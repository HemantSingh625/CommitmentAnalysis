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ambik\Desktop\Internship TATA STEEL\"/>
    </mc:Choice>
  </mc:AlternateContent>
  <xr:revisionPtr revIDLastSave="0" documentId="13_ncr:1_{8C702EF0-8A8A-48F8-8587-19901EE73988}" xr6:coauthVersionLast="47" xr6:coauthVersionMax="47" xr10:uidLastSave="{00000000-0000-0000-0000-000000000000}"/>
  <bookViews>
    <workbookView xWindow="-108" yWindow="-108" windowWidth="23256" windowHeight="12456" tabRatio="819" firstSheet="1" activeTab="1" xr2:uid="{00000000-000D-0000-FFFF-FFFF00000000}"/>
  </bookViews>
  <sheets>
    <sheet name="5 week summary" sheetId="42" state="hidden" r:id="rId1"/>
    <sheet name="May'25 week wise plan" sheetId="105" r:id="rId2"/>
    <sheet name="Sheet1" sheetId="106" state="hidden" r:id="rId3"/>
    <sheet name="5 week format May'25" sheetId="83" r:id="rId4"/>
    <sheet name="order load (2)" sheetId="107" state="hidden" r:id="rId5"/>
  </sheets>
  <externalReferences>
    <externalReference r:id="rId6"/>
  </externalReferences>
  <definedNames>
    <definedName name="_xlnm._FilterDatabase" localSheetId="3" hidden="1">'5 week format May''25'!$A$1:$AY$961</definedName>
    <definedName name="Test">[1]Vlookup!$A$1:$C$1477</definedName>
  </definedNames>
  <calcPr calcId="191028" iterateDelta="1E-4"/>
  <pivotCaches>
    <pivotCache cacheId="132" r:id="rId7"/>
    <pivotCache cacheId="133" r:id="rId8"/>
    <pivotCache cacheId="134" r:id="rId9"/>
    <pivotCache cacheId="13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107" l="1"/>
  <c r="H33" i="107" s="1"/>
  <c r="F32" i="107"/>
  <c r="G31" i="107"/>
  <c r="G32" i="107" s="1"/>
  <c r="H30" i="107"/>
  <c r="F30" i="107"/>
  <c r="G29" i="107"/>
  <c r="G28" i="107"/>
  <c r="G30" i="107" s="1"/>
  <c r="F28" i="107"/>
  <c r="H27" i="107"/>
  <c r="F27" i="107"/>
  <c r="G26" i="107"/>
  <c r="F26" i="107"/>
  <c r="G25" i="107"/>
  <c r="G24" i="107"/>
  <c r="G23" i="107"/>
  <c r="H22" i="107"/>
  <c r="G22" i="107"/>
  <c r="F22" i="107"/>
  <c r="G21" i="107"/>
  <c r="F21" i="107"/>
  <c r="G20" i="107"/>
  <c r="G19" i="107"/>
  <c r="H18" i="107"/>
  <c r="G17" i="107"/>
  <c r="G16" i="107"/>
  <c r="F16" i="107"/>
  <c r="F18" i="107" s="1"/>
  <c r="G15" i="107"/>
  <c r="G18" i="107" s="1"/>
  <c r="H14" i="107"/>
  <c r="F14" i="107"/>
  <c r="G12" i="107"/>
  <c r="G11" i="107"/>
  <c r="G10" i="107"/>
  <c r="G9" i="107"/>
  <c r="G8" i="107"/>
  <c r="G7" i="107"/>
  <c r="G6" i="107"/>
  <c r="G27" i="107" l="1"/>
  <c r="G14" i="107"/>
  <c r="G33" i="107"/>
  <c r="F33" i="107"/>
  <c r="N7" i="106" l="1"/>
  <c r="J11" i="106"/>
  <c r="J9" i="106"/>
  <c r="R15" i="42" l="1"/>
  <c r="S15" i="42"/>
  <c r="T15" i="42"/>
  <c r="U15" i="42"/>
  <c r="R18" i="42"/>
  <c r="S18" i="42"/>
  <c r="R23" i="42"/>
  <c r="S23" i="42"/>
  <c r="T23" i="42"/>
  <c r="U23" i="42"/>
</calcChain>
</file>

<file path=xl/sharedStrings.xml><?xml version="1.0" encoding="utf-8"?>
<sst xmlns="http://schemas.openxmlformats.org/spreadsheetml/2006/main" count="15916" uniqueCount="1853">
  <si>
    <t>test</t>
  </si>
  <si>
    <t>OK</t>
  </si>
  <si>
    <t>Mar'25 week wise GR &amp; Dispatch plan</t>
  </si>
  <si>
    <t>Values</t>
  </si>
  <si>
    <t>Product</t>
  </si>
  <si>
    <t>Brand</t>
  </si>
  <si>
    <t xml:space="preserve"> OSP</t>
  </si>
  <si>
    <t xml:space="preserve"> Total planned GR</t>
  </si>
  <si>
    <t xml:space="preserve"> FG 202509</t>
  </si>
  <si>
    <t xml:space="preserve"> FG 202510</t>
  </si>
  <si>
    <t xml:space="preserve"> FG 202511</t>
  </si>
  <si>
    <t xml:space="preserve"> FG 202512</t>
  </si>
  <si>
    <t xml:space="preserve"> FG 202513</t>
  </si>
  <si>
    <t xml:space="preserve"> FG stock 01.03.25</t>
  </si>
  <si>
    <t xml:space="preserve"> Total planned Dispatch</t>
  </si>
  <si>
    <t xml:space="preserve"> Disp 202509</t>
  </si>
  <si>
    <t xml:space="preserve"> Disp 202510</t>
  </si>
  <si>
    <t xml:space="preserve"> Disp 202511</t>
  </si>
  <si>
    <t xml:space="preserve"> Disp 202512</t>
  </si>
  <si>
    <t xml:space="preserve"> Disp 202513</t>
  </si>
  <si>
    <t xml:space="preserve"> CF stock for Apr'25</t>
  </si>
  <si>
    <t>Apr'2nd Comp%</t>
  </si>
  <si>
    <t>Apr'3rd Comp%</t>
  </si>
  <si>
    <t>Apr'4th Comp%</t>
  </si>
  <si>
    <t>Apr'5h Comp%</t>
  </si>
  <si>
    <t>CRCA</t>
  </si>
  <si>
    <t>BPRS</t>
  </si>
  <si>
    <t>BPRS Stamping</t>
  </si>
  <si>
    <t>IPP</t>
  </si>
  <si>
    <t>IPP Stamping</t>
  </si>
  <si>
    <t xml:space="preserve">Steelium  </t>
  </si>
  <si>
    <t>Steelium Super</t>
  </si>
  <si>
    <t>Steelium Milledge</t>
  </si>
  <si>
    <t>Tubes</t>
  </si>
  <si>
    <t>CRCA Total</t>
  </si>
  <si>
    <t>CRFH</t>
  </si>
  <si>
    <t>CRFH Khopoli</t>
  </si>
  <si>
    <t>CRFH Total</t>
  </si>
  <si>
    <t>GL</t>
  </si>
  <si>
    <t>Bluescope</t>
  </si>
  <si>
    <t>Manaksia</t>
  </si>
  <si>
    <t>Solar</t>
  </si>
  <si>
    <t>GL Total</t>
  </si>
  <si>
    <t>GP</t>
  </si>
  <si>
    <t>Kosh Wider</t>
  </si>
  <si>
    <t>Kosh Narrow</t>
  </si>
  <si>
    <t>Shaktee coil market</t>
  </si>
  <si>
    <t>GP Total</t>
  </si>
  <si>
    <t>PPGL</t>
  </si>
  <si>
    <t>PPGL Total</t>
  </si>
  <si>
    <t>HRPO</t>
  </si>
  <si>
    <t>HRPO Total</t>
  </si>
  <si>
    <t>Grand Total</t>
  </si>
  <si>
    <t>Status</t>
  </si>
  <si>
    <t>Auto</t>
  </si>
  <si>
    <t>Jindal India</t>
  </si>
  <si>
    <t>Customer Name</t>
  </si>
  <si>
    <t>Released orders</t>
  </si>
  <si>
    <t>Baba Container Manufacturers</t>
  </si>
  <si>
    <t>Balmer Lawrie &amp; Co. Limited</t>
  </si>
  <si>
    <t>BALMER LAWRIE &amp; CO. LIMITED..</t>
  </si>
  <si>
    <t>Balmer Lawrie &amp; Co. Ltd.,</t>
  </si>
  <si>
    <t>Balmer Lawrie And Co. Ltd.</t>
  </si>
  <si>
    <t>Balmer Lawrie And Company Limi</t>
  </si>
  <si>
    <t>TATA CENTER</t>
  </si>
  <si>
    <t>Galaxy Stamping Pvt. Ltd.</t>
  </si>
  <si>
    <t>RAVINDRA IRON WORKS</t>
  </si>
  <si>
    <t>TATA CENTRE</t>
  </si>
  <si>
    <t>AGARWAL STEEL TRADERS</t>
  </si>
  <si>
    <t>BASEER AND CO</t>
  </si>
  <si>
    <t>DURGA TRADERS</t>
  </si>
  <si>
    <t>FERRO STEEL SOLUTIONS</t>
  </si>
  <si>
    <t>G K ISPAT PRIVATE LIMITED</t>
  </si>
  <si>
    <t>G.R. GUPTA &amp; BROS.</t>
  </si>
  <si>
    <t>GOVINDARAJA MUDALIAR SONS PVT LTD</t>
  </si>
  <si>
    <t>INDIA STEEL INDUSTRIES</t>
  </si>
  <si>
    <t>O.V.S. ISPAT UDYOG</t>
  </si>
  <si>
    <t xml:space="preserve">PELIKAN DOSSIER (P) LTD </t>
  </si>
  <si>
    <t>PELIKAN DOSSIER PRIVATE LIMITE</t>
  </si>
  <si>
    <t>PSPL STEEL PROCESSORS PRIVATE</t>
  </si>
  <si>
    <t>R R STEEL INDUSTRIES</t>
  </si>
  <si>
    <t>R. S. BOKARO METAL (P) LTD.</t>
  </si>
  <si>
    <t>SHORI LAL KEWAL KUMAR.</t>
  </si>
  <si>
    <t>SITARAM IRON AND STEEL PVT LTD</t>
  </si>
  <si>
    <t>SWASTIK STEEL PROCESSOR LLP</t>
  </si>
  <si>
    <t>TATA STEEL DOWNSTREAM PRODUCTS</t>
  </si>
  <si>
    <t>TATA STEEL DOWNSTREAM PRODUCTS LIMI</t>
  </si>
  <si>
    <t>VIJAY VENKAT STEELS PRIVATE LI</t>
  </si>
  <si>
    <t>VIJAY VENKAT STEELS PRIVATE LIMITED</t>
  </si>
  <si>
    <t>BHARTIA  DISTRIBUTORS PVT. LTD</t>
  </si>
  <si>
    <t>BHARTIA  DISTRIBUTORS PVT. LTD.</t>
  </si>
  <si>
    <t>BMW VENTURES LIMITED</t>
  </si>
  <si>
    <t>PASA ASSOCIATES PRIVATE LIMITED</t>
  </si>
  <si>
    <t>PRESTIGE METALLICS PRIVATE LIM</t>
  </si>
  <si>
    <t>PRESTIGE METALLICS PRIVATE LIMITED</t>
  </si>
  <si>
    <t>RAMESH COMPANY</t>
  </si>
  <si>
    <t>SAGAR STEELS</t>
  </si>
  <si>
    <t>Shree Bajrang Steel Udyog</t>
  </si>
  <si>
    <t>SRI BALAJI STEEL TRADERS</t>
  </si>
  <si>
    <t>SUDISA ENTERPRISES (P) LTD.</t>
  </si>
  <si>
    <t>TEJRAM RAMNIWAS AGARWAL</t>
  </si>
  <si>
    <t>Angul Cold Rolling Mill</t>
  </si>
  <si>
    <t>TATA STEEL LIMITED</t>
  </si>
  <si>
    <t>TATA STEEL LIMITED,</t>
  </si>
  <si>
    <t>Manaksia Coated Metals &amp; Indus</t>
  </si>
  <si>
    <t>TATA BLUESCOPE STEEL PRIVATE L</t>
  </si>
  <si>
    <t>TATA BLUESCOPE STEEL PRIVATE LIMITE</t>
  </si>
  <si>
    <t>Metalkraft Forming Industries</t>
  </si>
  <si>
    <t>NAKODA STEEL</t>
  </si>
  <si>
    <t>PENNAR INDUSTRIES LIMITED</t>
  </si>
  <si>
    <t>SHEYRUB AGENCIES</t>
  </si>
  <si>
    <t>SHORI LAL KEWAL KUMAR</t>
  </si>
  <si>
    <t>Manaksia Steels Limited</t>
  </si>
  <si>
    <t>BIHANI ENTERPRISES</t>
  </si>
  <si>
    <t>BIHANI INTERNATIONAL PVT LTD.</t>
  </si>
  <si>
    <t>BUBNA COMMERCIAL COMPANY</t>
  </si>
  <si>
    <t>JAI LAXMI STEELS</t>
  </si>
  <si>
    <t>JAIN STEEL DISTRIBUTORS</t>
  </si>
  <si>
    <t>JAUSHNA STEELS (INDIA) PVT. LTD.</t>
  </si>
  <si>
    <t>K D J P STEELS PVT LTD</t>
  </si>
  <si>
    <t>Malerkotla Steel Industries</t>
  </si>
  <si>
    <t>Rakesh Steel Inds.(P) Ltd.</t>
  </si>
  <si>
    <t>SAGAR STEELS PROCESSING &amp; MANU</t>
  </si>
  <si>
    <t>ANM ISPAT PRIVATE LIMITED</t>
  </si>
  <si>
    <t>BAJRANG STEEL (SALES) CORPORAT</t>
  </si>
  <si>
    <t>BAJRANG STEEL (SALES) CORPORATION</t>
  </si>
  <si>
    <t>S C SHETTAR &amp; SONS PRIVATE LIM</t>
  </si>
  <si>
    <t>S C SHETTAR and SONS PRIVATE LIMITED</t>
  </si>
  <si>
    <t>DURGA STEEL INDUSTRIES</t>
  </si>
  <si>
    <t>G.K.ISPAT PVT.LTD</t>
  </si>
  <si>
    <t>RAKESH STEELS</t>
  </si>
  <si>
    <t>ROHIT &amp; COMPANY</t>
  </si>
  <si>
    <t>SHIVA FERRIC PVT LTD</t>
  </si>
  <si>
    <t>TATA BLUESCOPE STEEL PVT LTD.</t>
  </si>
  <si>
    <t>Plant</t>
  </si>
  <si>
    <t>Date</t>
  </si>
  <si>
    <t>order type</t>
  </si>
  <si>
    <t>SO No</t>
  </si>
  <si>
    <t>Item No</t>
  </si>
  <si>
    <t>SO-item</t>
  </si>
  <si>
    <t xml:space="preserve">Priority </t>
  </si>
  <si>
    <t>Sale org</t>
  </si>
  <si>
    <t>OSP</t>
  </si>
  <si>
    <t>M&amp;S Priority</t>
  </si>
  <si>
    <t>PPC Remarks</t>
  </si>
  <si>
    <t>Cust State</t>
  </si>
  <si>
    <t>SM/ZONE</t>
  </si>
  <si>
    <t>Destination</t>
  </si>
  <si>
    <t>Product type</t>
  </si>
  <si>
    <t>Customer Code</t>
  </si>
  <si>
    <t>Material</t>
  </si>
  <si>
    <t>MATERIAL DESC.</t>
  </si>
  <si>
    <t>AZ Coating</t>
  </si>
  <si>
    <t>Top Colour</t>
  </si>
  <si>
    <t>Min coil wt</t>
  </si>
  <si>
    <t>Max coil wt</t>
  </si>
  <si>
    <t>width type</t>
  </si>
  <si>
    <t>P. code</t>
  </si>
  <si>
    <t>Q  Code</t>
  </si>
  <si>
    <t>TDC NO</t>
  </si>
  <si>
    <t>Thk</t>
  </si>
  <si>
    <t>Width</t>
  </si>
  <si>
    <t>LENGTH</t>
  </si>
  <si>
    <t>Order Quantity</t>
  </si>
  <si>
    <t>FG Qty</t>
  </si>
  <si>
    <t>GP02</t>
  </si>
  <si>
    <t>Total planned GR</t>
  </si>
  <si>
    <t>Total planned Dispatch</t>
  </si>
  <si>
    <t>Total</t>
  </si>
  <si>
    <t>ZBTO</t>
  </si>
  <si>
    <t>2000-BPRS</t>
  </si>
  <si>
    <t>Haryana</t>
  </si>
  <si>
    <t>North</t>
  </si>
  <si>
    <t>FARIDABAD</t>
  </si>
  <si>
    <t>HR COILS-PO IS 10748 GR 1 2X1250</t>
  </si>
  <si>
    <t/>
  </si>
  <si>
    <t>Wider</t>
  </si>
  <si>
    <t>I09497</t>
  </si>
  <si>
    <t>HG01</t>
  </si>
  <si>
    <t>Orissa</t>
  </si>
  <si>
    <t>East</t>
  </si>
  <si>
    <t>TANGI</t>
  </si>
  <si>
    <t>GP SH SOFT TATXGP GK09 0.300X900X2500</t>
  </si>
  <si>
    <t>Narrow</t>
  </si>
  <si>
    <t>B11</t>
  </si>
  <si>
    <t>TATXGP</t>
  </si>
  <si>
    <t>GK09</t>
  </si>
  <si>
    <t>Rajasthan</t>
  </si>
  <si>
    <t>West</t>
  </si>
  <si>
    <t>JAIPUR</t>
  </si>
  <si>
    <t>C01</t>
  </si>
  <si>
    <t>TATXXD</t>
  </si>
  <si>
    <t>AU03</t>
  </si>
  <si>
    <t>ZBTF</t>
  </si>
  <si>
    <t>Uttar Pradesh</t>
  </si>
  <si>
    <t>PILKHUWA</t>
  </si>
  <si>
    <t>CR COIL TSBSTA EL06 0.500X1250</t>
  </si>
  <si>
    <t>TSBSTA</t>
  </si>
  <si>
    <t>EL06</t>
  </si>
  <si>
    <t>Bihar</t>
  </si>
  <si>
    <t>PURNIA</t>
  </si>
  <si>
    <t>Punjab</t>
  </si>
  <si>
    <t>SANHEWAL</t>
  </si>
  <si>
    <t>TUBE INVESTMENTS OF INDIA LIMI</t>
  </si>
  <si>
    <t>SA1010</t>
  </si>
  <si>
    <t>TU97</t>
  </si>
  <si>
    <t>CR COIL SA1010 TU97 1.500X1250</t>
  </si>
  <si>
    <t>West Bengal</t>
  </si>
  <si>
    <t>HOWRAH</t>
  </si>
  <si>
    <t>CRCA SHEET TATCRC SR16 0.350X900X2500</t>
  </si>
  <si>
    <t>C06</t>
  </si>
  <si>
    <t>TATCRC</t>
  </si>
  <si>
    <t>SR16</t>
  </si>
  <si>
    <t>Andhra Pradesh</t>
  </si>
  <si>
    <t>South</t>
  </si>
  <si>
    <t>VISHAKHAPATNAM</t>
  </si>
  <si>
    <t>Assam</t>
  </si>
  <si>
    <t>GUWAHATI</t>
  </si>
  <si>
    <t>TSBCRC</t>
  </si>
  <si>
    <t>SR25</t>
  </si>
  <si>
    <t>Jharkhand</t>
  </si>
  <si>
    <t>TATANAGAR</t>
  </si>
  <si>
    <t>B04</t>
  </si>
  <si>
    <t>Y550GL</t>
  </si>
  <si>
    <t>H6GL</t>
  </si>
  <si>
    <t>GAMHARIA</t>
  </si>
  <si>
    <t>PPGL C HARD Y550PL ISC6 0.300X1220</t>
  </si>
  <si>
    <t>PRO BLUE TSL 1913</t>
  </si>
  <si>
    <t>B18</t>
  </si>
  <si>
    <t>Y550PL</t>
  </si>
  <si>
    <t>ISC6</t>
  </si>
  <si>
    <t>NUVO BLUE TSL 1903</t>
  </si>
  <si>
    <t>D0C7</t>
  </si>
  <si>
    <t>1000-IPPE</t>
  </si>
  <si>
    <t>RAJASTHAN</t>
  </si>
  <si>
    <t>PPGL C Y550 ISC6 0.40BMT(0.45TPT)X1220</t>
  </si>
  <si>
    <t>aZ70</t>
  </si>
  <si>
    <t>LONI</t>
  </si>
  <si>
    <t>C02</t>
  </si>
  <si>
    <t>Karnataka</t>
  </si>
  <si>
    <t>YESHWANTHPURA</t>
  </si>
  <si>
    <t>HR COILS-PO THR099 HR99 1.90X1250</t>
  </si>
  <si>
    <t>THR099</t>
  </si>
  <si>
    <t>HR99</t>
  </si>
  <si>
    <t>Maharashtra</t>
  </si>
  <si>
    <t>Tamil Nadu</t>
  </si>
  <si>
    <t>CHENNAI</t>
  </si>
  <si>
    <t>CRCA SHEET TATCRC SR16 0.400X1000X1980</t>
  </si>
  <si>
    <t>CRCA SHEET TATCRC SR16 0.400X1000X2500</t>
  </si>
  <si>
    <t>CRCA SHEET TSBCRC SR15 0.900X1000X2500</t>
  </si>
  <si>
    <t>SR15</t>
  </si>
  <si>
    <t>CRCA COIL TATCRC TR15 0.5X1250</t>
  </si>
  <si>
    <t>TR15</t>
  </si>
  <si>
    <t>CRCA SHEET TSBCRC SR15 0.600X1000X2500</t>
  </si>
  <si>
    <t>CRCA SHEET TSBCRC SR15 0.700X1000X2500</t>
  </si>
  <si>
    <t>CRCA SHEET TATCRC SR16 0.450X1000X2500</t>
  </si>
  <si>
    <t>TAMILNADU</t>
  </si>
  <si>
    <t>PPGL C HARD Y550PL HPL5 0.450X1220</t>
  </si>
  <si>
    <t>ELITE LIGHT BLUE TSL 1687</t>
  </si>
  <si>
    <t>HPL5</t>
  </si>
  <si>
    <t>M306</t>
  </si>
  <si>
    <t>WEST BOKARO</t>
  </si>
  <si>
    <t>CRCA SHEET TATCRC SR16 0.300X900X2500</t>
  </si>
  <si>
    <t>CRCA SHEET TATCRC SR16 0.330X900X2500</t>
  </si>
  <si>
    <t>TBSPL</t>
  </si>
  <si>
    <t xml:space="preserve"> </t>
  </si>
  <si>
    <t>SUPREME MAROON TSL 283</t>
  </si>
  <si>
    <t>GAUHATI</t>
  </si>
  <si>
    <t>GP COIL TATGPH GP02 0.400X900</t>
  </si>
  <si>
    <t>C05</t>
  </si>
  <si>
    <t>TATGPH</t>
  </si>
  <si>
    <t>CRCA COIL-TATXXD-AU03-0.5X1250</t>
  </si>
  <si>
    <t>CRCA COIL TATXXD AU03 0.4X1250</t>
  </si>
  <si>
    <t>Delhi</t>
  </si>
  <si>
    <t>ZOSOLA</t>
  </si>
  <si>
    <t>CR COIL TATXHS BR45 1.600X1300</t>
  </si>
  <si>
    <t>TATXHS</t>
  </si>
  <si>
    <t>BR45</t>
  </si>
  <si>
    <t>CR COIL TATXHS BR45 2X1300</t>
  </si>
  <si>
    <t>CRCA COIL TSBHSQ TU99 1.400X1270</t>
  </si>
  <si>
    <t>TSBHSQ</t>
  </si>
  <si>
    <t>TU99</t>
  </si>
  <si>
    <t>CRCA SHEET TATCRC SR16 0.450X900X2440</t>
  </si>
  <si>
    <t>CRCA SHEET TSBCRC SR15 0.500X1000X2440</t>
  </si>
  <si>
    <t>CRCA SHEET TSBCRC SR15 0.800X1000X2500</t>
  </si>
  <si>
    <t>CRCA SHEET TSBCRC SR15 1X1000X2500</t>
  </si>
  <si>
    <t>VARANASI</t>
  </si>
  <si>
    <t>CRCA SHEET TSBCRC SR15 0.500X1000X2500</t>
  </si>
  <si>
    <t>CRCA COIL TSBSTA EL06 0.500X1160</t>
  </si>
  <si>
    <t>Gujarat</t>
  </si>
  <si>
    <t>VILLAGE-PRAGPAR</t>
  </si>
  <si>
    <t>Manaksia Coated Metals &amp; Industries</t>
  </si>
  <si>
    <t>C09</t>
  </si>
  <si>
    <t>TATFHC</t>
  </si>
  <si>
    <t>TR10</t>
  </si>
  <si>
    <t>PPGL C Y550 HPL9 0.45BMT(0.57TPT)X1220</t>
  </si>
  <si>
    <t>AZ200</t>
  </si>
  <si>
    <t>ELITE STONE BLUE TSL 1688</t>
  </si>
  <si>
    <t>HPL9</t>
  </si>
  <si>
    <t>KHOPOLI</t>
  </si>
  <si>
    <t>CRFH COIL TATFHC TR10 0.320X1245</t>
  </si>
  <si>
    <t>H7GL</t>
  </si>
  <si>
    <t>PURSHOTAM PROFILES PRIVATE LIM</t>
  </si>
  <si>
    <t>GL COIL HARD  Y550GL H0GL 0.900X1249</t>
  </si>
  <si>
    <t>H0GL</t>
  </si>
  <si>
    <t>HR COILS-PO IS 1079 HR2 2X1250</t>
  </si>
  <si>
    <t>KOLKATA</t>
  </si>
  <si>
    <t>GP COIL SOFT-TATXGP-GLK1-0.6X900</t>
  </si>
  <si>
    <t>Z80</t>
  </si>
  <si>
    <t>GLK1</t>
  </si>
  <si>
    <t>S K M STEELS LIMITED</t>
  </si>
  <si>
    <t>NAGPUR</t>
  </si>
  <si>
    <t>HR COILS-PO IS 1079 HR2 3.0X1250</t>
  </si>
  <si>
    <t>HR COILS-PO IS 1079 HR2 2.50X1250</t>
  </si>
  <si>
    <t>Feb'25</t>
  </si>
  <si>
    <t>CRCA COIL TATXXD AU03 2.5X1250</t>
  </si>
  <si>
    <t>Colorshine Coated Pvt.Ltd.</t>
  </si>
  <si>
    <t>AZ150</t>
  </si>
  <si>
    <t>PATNA</t>
  </si>
  <si>
    <t>GP COIL SOFT-TATXGP-GK09-0.6X900</t>
  </si>
  <si>
    <t>Mar'25</t>
  </si>
  <si>
    <t>Telangana</t>
  </si>
  <si>
    <t>PATTANCHERY</t>
  </si>
  <si>
    <t>CRSHEET-ICF  DQ TATXXD AU03 0.90 X 1220</t>
  </si>
  <si>
    <t>THIRUVALLUR</t>
  </si>
  <si>
    <t>CR COIL TSBSTA EL03 0.500X1217</t>
  </si>
  <si>
    <t>EL03</t>
  </si>
  <si>
    <t>TSBXGP</t>
  </si>
  <si>
    <t>RAJKOT</t>
  </si>
  <si>
    <t>SOHNA</t>
  </si>
  <si>
    <t>CRCA COIL-TATXXD-AU03-0.6X1250</t>
  </si>
  <si>
    <t>CRCA COIL-TATXXD-AU03-1.2X1250</t>
  </si>
  <si>
    <t>PPGL C HARD Y550PL ISC6 0.350X1220</t>
  </si>
  <si>
    <t>PRO GREY TSL 1916</t>
  </si>
  <si>
    <t>CRCA SHEET TATCRC SR16 0.400X1250X2030</t>
  </si>
  <si>
    <t xml:space="preserve">Apr'25 </t>
  </si>
  <si>
    <t>CRCA COIL TATXXD AU03 0.800X1320</t>
  </si>
  <si>
    <t>GUMMIDIPOONDI</t>
  </si>
  <si>
    <t>CRCA COIL-TATXXD-AU03-0.9X1250</t>
  </si>
  <si>
    <t>CRCA COIL-TATXXD-AU03-1X1250</t>
  </si>
  <si>
    <t>SANGAREDDY</t>
  </si>
  <si>
    <t>PPGL COIL HARD-Y550PL-HPL3-0.55X1220</t>
  </si>
  <si>
    <t>HPL3</t>
  </si>
  <si>
    <t>VADODARA</t>
  </si>
  <si>
    <t>Balmer Lawrie And Company Limited</t>
  </si>
  <si>
    <t>CRCA COIL TATXXD BT01 0.970X1315</t>
  </si>
  <si>
    <t>BT01</t>
  </si>
  <si>
    <t>PPGL C Y550 HPL3 0.42BMT(0.50TPT)X1220</t>
  </si>
  <si>
    <t>PPGL C Y550 D0C7 0.43BMT(0.47TPT)X1220</t>
  </si>
  <si>
    <t>AZ70</t>
  </si>
  <si>
    <t>CRCA COIL TATXXD BT01 0.970X1310</t>
  </si>
  <si>
    <t>9518454162-2</t>
  </si>
  <si>
    <t>RAL 5017 TSL 411</t>
  </si>
  <si>
    <t>PPGL C HARD Y550PL D0C9 0.50(TPT)X1220</t>
  </si>
  <si>
    <t>D0C9</t>
  </si>
  <si>
    <t>RAL 9002 TSL 1801</t>
  </si>
  <si>
    <t>RAL 9002 TSL 142A</t>
  </si>
  <si>
    <t>RAL 7024 TSL 1806</t>
  </si>
  <si>
    <t>CRCA SHEET TSBCRC SR15 0.700X1000X1930</t>
  </si>
  <si>
    <t>GORAKHPUR</t>
  </si>
  <si>
    <t>CRCA SHEET TSBCRC SR15 0.500X1250X2500</t>
  </si>
  <si>
    <t>KANPUR</t>
  </si>
  <si>
    <t>HR COILS-PO IS 1079 HR2 2.30X1250</t>
  </si>
  <si>
    <t>Chhattisgarh</t>
  </si>
  <si>
    <t>URLA</t>
  </si>
  <si>
    <t>CRCA SHEET TATCRC SR16 0.350X1000X1980</t>
  </si>
  <si>
    <t>CRCA SHEET TATCRC SR16 0.400X1000X1910</t>
  </si>
  <si>
    <t>GL COIL HARD  Y550GL GL6H 0.900X1220</t>
  </si>
  <si>
    <t>GL6H</t>
  </si>
  <si>
    <t>PASA ASSOCIATES PRIVATE LIMITE</t>
  </si>
  <si>
    <t>CRCA SHEET TATCRC SR16 0.450X900X2500</t>
  </si>
  <si>
    <t>VIKARABAD</t>
  </si>
  <si>
    <t>HGL6</t>
  </si>
  <si>
    <t>CRCA SHEET TSBCRC SR15 0.750X1000X2500</t>
  </si>
  <si>
    <t>CRCA SHEET TATCRC SR16 0.380X1000X2500</t>
  </si>
  <si>
    <t>9518403237-8</t>
  </si>
  <si>
    <t>CRCA SHEET TATCRC SR16 0.480X1000X2500</t>
  </si>
  <si>
    <t>CRCA SHEET TATCRC SR16 0.450X1000X1980</t>
  </si>
  <si>
    <t>SALEM</t>
  </si>
  <si>
    <t>CRCA SHEET TATCRC SR16 0.330X1000X2500</t>
  </si>
  <si>
    <t>JAMSHEDPUR</t>
  </si>
  <si>
    <t>GL COIL HARD  Y550GL HGL6 0.900X1045</t>
  </si>
  <si>
    <t>VISAJHAPATNAM</t>
  </si>
  <si>
    <t>CRCA COIL TATXXD BT02 1.200X914</t>
  </si>
  <si>
    <t>BT02</t>
  </si>
  <si>
    <t>GP COIL TATGPH GP02 0.300X900</t>
  </si>
  <si>
    <t>GP COIL TATGPH GP02 0.350X900</t>
  </si>
  <si>
    <t>GPCOIL TATXGP GP02 0.25X1015</t>
  </si>
  <si>
    <t>XXXGPH</t>
  </si>
  <si>
    <t>GH12</t>
  </si>
  <si>
    <t>GP COIL SOFT-TATXGP-GK09-0.45X900</t>
  </si>
  <si>
    <t>PLH5</t>
  </si>
  <si>
    <t>RAL 5012 TSL 245</t>
  </si>
  <si>
    <t>9518453235-7</t>
  </si>
  <si>
    <t>GP COIL SOFT-TATXGP-GK09-0.4X1220</t>
  </si>
  <si>
    <t>SR26</t>
  </si>
  <si>
    <t>GP COIL SOFT-TATXGP-GLK1-0.4X1220</t>
  </si>
  <si>
    <t>9518500318-1</t>
  </si>
  <si>
    <t>CRFH COIL TATFHC TR10 0.360X1250</t>
  </si>
  <si>
    <t>RAL 6011 TSL 1810</t>
  </si>
  <si>
    <t>TAURUS BLUE TSL 1813</t>
  </si>
  <si>
    <t>RAL 5012 TSL 1802</t>
  </si>
  <si>
    <t>9518543125-6</t>
  </si>
  <si>
    <t>PRO ROSY RED TSL 1920</t>
  </si>
  <si>
    <t>PPGL C Y550 HPL3 0.45BMT(0.53TPT)X1220</t>
  </si>
  <si>
    <t>9518489859-3</t>
  </si>
  <si>
    <t>GP COIL TATGPH GP02 0.450X1015</t>
  </si>
  <si>
    <t>Z120</t>
  </si>
  <si>
    <t>GP COIL TATGPH GP02 0.350X1015</t>
  </si>
  <si>
    <t>GL COIL HARD  Y550GL HGL6 0.900X1250</t>
  </si>
  <si>
    <t>9518498429-1</t>
  </si>
  <si>
    <t>GP COIL TATGPH GP02 0.400X1015</t>
  </si>
  <si>
    <t>RAL 9006 TSL 203</t>
  </si>
  <si>
    <t>RAL 7015 TSL 1805</t>
  </si>
  <si>
    <t>9518493932-1</t>
  </si>
  <si>
    <t>GL COIL HARD  Y550GL HGL6 0.900X1220</t>
  </si>
  <si>
    <t>GL COIL HARD Y550GL M308 0.47 (TCT)X1220</t>
  </si>
  <si>
    <t>M308</t>
  </si>
  <si>
    <t>GL COIL HARD Y550GL M308 0.50 (TCT)X1220</t>
  </si>
  <si>
    <t>RAJGURUNAGAR</t>
  </si>
  <si>
    <t>9518514116-2</t>
  </si>
  <si>
    <t>GL COIL HARD Y550GL M308 0.60 (TCT)X1220</t>
  </si>
  <si>
    <t>GP COIL SOFT-TATXGP-GK09-0.25X900</t>
  </si>
  <si>
    <t>9518508377-1</t>
  </si>
  <si>
    <t>DS STEEL</t>
  </si>
  <si>
    <t xml:space="preserve">THIRUPATHY STEELS </t>
  </si>
  <si>
    <t>CRCA COIL-TATXXD-AU03-2X1250</t>
  </si>
  <si>
    <t>GL C YS550 H6GL 0.55BMT(0.60TCT)X1220</t>
  </si>
  <si>
    <t>GL C YS550 H6GL 0.45BMT(0.50TCT)X1220</t>
  </si>
  <si>
    <t>GL C YS550 H6GL 0.42BMT(0.47TCT)X1220</t>
  </si>
  <si>
    <t>GP COIL SOFT-TATXGP-GLK1-0.45X1220</t>
  </si>
  <si>
    <t>GP COIL SOFT-TATXGP-GK09-0.45X1220</t>
  </si>
  <si>
    <t>GP COIL SOFT-TATXGP-GK09-0.5X1220</t>
  </si>
  <si>
    <t>9518513319-4</t>
  </si>
  <si>
    <t>RAL 9003 TSL 241</t>
  </si>
  <si>
    <t>9518411862-1</t>
  </si>
  <si>
    <t>CRCA COIL TSBSTA EL06 0.500X1170</t>
  </si>
  <si>
    <t>GP COIL SOFT-TATXGP-GLK1-0.5X1220</t>
  </si>
  <si>
    <t>9518495843-1</t>
  </si>
  <si>
    <t>WEST BENGAL</t>
  </si>
  <si>
    <t>GP COIL SOFT-TATXGP-GK09-0.35X900</t>
  </si>
  <si>
    <t>CRCA SHEET TATCRC SR16 0.430X1250X2500</t>
  </si>
  <si>
    <t>9518403770-1</t>
  </si>
  <si>
    <t>9518495920-7</t>
  </si>
  <si>
    <t>CRCA SHEET TSBCRC SR15 0.500X1250X2030</t>
  </si>
  <si>
    <t>CRCA SHEET TSBCRC SR15 0.950X1000X2500</t>
  </si>
  <si>
    <t>GP COIL SOFT-TATXGP-GK09-0.4X900</t>
  </si>
  <si>
    <t>9518535988-2</t>
  </si>
  <si>
    <t>GL C YS550 H6GL 0.50BMT(0.55TCT)X1220</t>
  </si>
  <si>
    <t>9518535988-3</t>
  </si>
  <si>
    <t>VALPARAI</t>
  </si>
  <si>
    <t>ZARON METAL SECTIONS</t>
  </si>
  <si>
    <t>9518517180-6</t>
  </si>
  <si>
    <t>9518517180-7</t>
  </si>
  <si>
    <t>9518411918-1</t>
  </si>
  <si>
    <t>9518517180-2</t>
  </si>
  <si>
    <t>GP COIL SOFT-TATXGP-GK09-0.5X900</t>
  </si>
  <si>
    <t>CRCA COIL-TATXXD-AU03-0.7X1250</t>
  </si>
  <si>
    <t>CRSHEET C06TATXXD AU03 2.0X1250X2500</t>
  </si>
  <si>
    <t>CRCA SHEET TATCRC SR16 0.450X1250X2500</t>
  </si>
  <si>
    <t>CRCA COIL TATXXD AU03 1.500X1250</t>
  </si>
  <si>
    <t>9518498155-5</t>
  </si>
  <si>
    <t>CRCA COIL-TATXXD-AU03-1X900</t>
  </si>
  <si>
    <t>9518536065-1</t>
  </si>
  <si>
    <t>CRCA SHEET TATXXD AU03 0.950X1250X2500</t>
  </si>
  <si>
    <t>CR COIL-ICF TATXXD AU03 2.00X1250</t>
  </si>
  <si>
    <t>CRCA SHEET TSBCRC SR15 0.600X1250X2030</t>
  </si>
  <si>
    <t>CRCA SHEET TSBCRC SR15 0.600X1250X2500</t>
  </si>
  <si>
    <t>CRCA COIL TATXXD AU03 0.8X1250</t>
  </si>
  <si>
    <t>MORIYA</t>
  </si>
  <si>
    <t>GIRIRAJ EXIM PRIVATE LIMITED</t>
  </si>
  <si>
    <t>9518517048-1</t>
  </si>
  <si>
    <t>CRCA SHEET TATCRC SR16 0.450X1250X2030</t>
  </si>
  <si>
    <t>GP COIL SOFT-TATXGP-GK09-0.3X900</t>
  </si>
  <si>
    <t>GP COIL SOFT-TATXGP-GK09-0.63X900</t>
  </si>
  <si>
    <t>GP COIL SOFT-TATXGP-GK09-0.6X1220</t>
  </si>
  <si>
    <t>HR COILS-PO THR099 4.10X1250</t>
  </si>
  <si>
    <t>JSR</t>
  </si>
  <si>
    <t>CRCA SHEET TSBCRC SR15 0.600X1250X2020</t>
  </si>
  <si>
    <t>9518507185-12</t>
  </si>
  <si>
    <t>CRCA COIL SA1008 TU98 1.600X1250</t>
  </si>
  <si>
    <t>SA1008</t>
  </si>
  <si>
    <t>TU98</t>
  </si>
  <si>
    <t>CRCA COIL SA1008 TU98 1.900X1250</t>
  </si>
  <si>
    <t>CRCA COIL TSBHSQ TU99 1.600X1270</t>
  </si>
  <si>
    <t>CRCA SHEET TATCRC SR16 0.350X1000X2500</t>
  </si>
  <si>
    <t>CRCA SHEET TATCRC SR16 0.400X900X2500</t>
  </si>
  <si>
    <t>4000495825-1</t>
  </si>
  <si>
    <t>CRCA COIL SA1008 TU98 1X1250</t>
  </si>
  <si>
    <t>9518527449-9</t>
  </si>
  <si>
    <t>CRCA SHEET TSBCRC SR15 0.600X1000X2440</t>
  </si>
  <si>
    <t>9518532816-1</t>
  </si>
  <si>
    <t>HR COILS-PO IS 10748 GR 1 3X1250</t>
  </si>
  <si>
    <t>9518526154-3</t>
  </si>
  <si>
    <t>CRFH COIL TATFHC TR10 0.570X1235</t>
  </si>
  <si>
    <t>9518526154-4</t>
  </si>
  <si>
    <t>GP COIL SOFT-TATXGP-GLK1-0.6X1220</t>
  </si>
  <si>
    <t>CRCA SHEET TSBCRC SR15 0.700X1250X2500</t>
  </si>
  <si>
    <t>9518498761-2</t>
  </si>
  <si>
    <t>CRCA COIL TATXXD BT02 0.770X920</t>
  </si>
  <si>
    <t>CRCA COIL TATXXD BT02 0.900X913</t>
  </si>
  <si>
    <t>CRCA COIL TATXXD BT02 0.970X913</t>
  </si>
  <si>
    <t>CRCA COIL TATXXD BT02 1.200X910</t>
  </si>
  <si>
    <t>9518498088-1</t>
  </si>
  <si>
    <t>CR COIL TATXXD AU03 0.700X925</t>
  </si>
  <si>
    <t>9518535833-9</t>
  </si>
  <si>
    <t>CRCA COIL-TATXXD-AU03-0.6X1000</t>
  </si>
  <si>
    <t>CRCA COIL TATXXD AU03 1X1320</t>
  </si>
  <si>
    <t>CRCA SHEET TATXXD AU03 0.80X1250X2500</t>
  </si>
  <si>
    <t>CRCA SHEET TSBCRC SR15 0.700X1250X1930</t>
  </si>
  <si>
    <t>9518490750-5</t>
  </si>
  <si>
    <t>9518518906-6</t>
  </si>
  <si>
    <t>CRCA SHEET TSBCRC SR15 0.700X1250X1925</t>
  </si>
  <si>
    <t>9518490750-16</t>
  </si>
  <si>
    <t>9518508377-3</t>
  </si>
  <si>
    <t>9518519620-1</t>
  </si>
  <si>
    <t>9518519644-7</t>
  </si>
  <si>
    <t>9518519644-9</t>
  </si>
  <si>
    <t>9518520213-7</t>
  </si>
  <si>
    <t>9518520213-9</t>
  </si>
  <si>
    <t>9518498761-3</t>
  </si>
  <si>
    <t>9518532816-2</t>
  </si>
  <si>
    <t>9518506961-1</t>
  </si>
  <si>
    <t>9518506961-3</t>
  </si>
  <si>
    <t>9518492304-3</t>
  </si>
  <si>
    <t>CRCA SHEET TSBCRC SR15 0.800X1250X2500</t>
  </si>
  <si>
    <t>9518495920-8</t>
  </si>
  <si>
    <t>CRCA SHEET TSBCRC SR15 0.600X1000X1930</t>
  </si>
  <si>
    <t>CRCA SHEET TSBCRC SR15 1X1250X2500</t>
  </si>
  <si>
    <t>9518498761-6</t>
  </si>
  <si>
    <t>AH03</t>
  </si>
  <si>
    <t>9518500267-3</t>
  </si>
  <si>
    <t>CRCA COIL TATXXD AH03 1.150X1250</t>
  </si>
  <si>
    <t>CRCA COIL TATXXD AH03 1.200X1250</t>
  </si>
  <si>
    <t>CRCA SHEET TATCRC TR15 .7X1250X2500</t>
  </si>
  <si>
    <t>CRCA SHEET TSBCRC SR15 1.200X1250X2500</t>
  </si>
  <si>
    <t>CRCA SHEET TATCRC TR15 .5X1250X2500</t>
  </si>
  <si>
    <t>9518497626-16</t>
  </si>
  <si>
    <t>CRCA SHEET TATCRC SR16 0.430X1000X2500</t>
  </si>
  <si>
    <t>CRCA COIL TATXXD AH03 1.500X1250</t>
  </si>
  <si>
    <t>9518499138-7</t>
  </si>
  <si>
    <t>9518519620-5</t>
  </si>
  <si>
    <t>9518424820-7</t>
  </si>
  <si>
    <t>9518518311-3</t>
  </si>
  <si>
    <t>9518518311-7</t>
  </si>
  <si>
    <t>9518507185-6</t>
  </si>
  <si>
    <t>CRCA SHEET TATCRC SR16 0.450X1000X2440</t>
  </si>
  <si>
    <t>9518497626-6</t>
  </si>
  <si>
    <t>CRCA SHEET TSBCRC SR15 0.500X900X2440</t>
  </si>
  <si>
    <t>9518535833-17</t>
  </si>
  <si>
    <t>CRSHEET TATXXD AU03 1.20X1250X2500</t>
  </si>
  <si>
    <t>9518497626-22</t>
  </si>
  <si>
    <t>CRSHEET TATXXD AU03 1.50X1250X2500</t>
  </si>
  <si>
    <t>CRCA COIL-TATXXD-AU03-1.6X1250</t>
  </si>
  <si>
    <t>CRSHEET C06 TATXXD AU03 1.6X1250X2500</t>
  </si>
  <si>
    <t>CRSHEET-ICF TATXXD AU03 1.60X1250</t>
  </si>
  <si>
    <t>CR COIL TATXXD AU03 1.620X1250</t>
  </si>
  <si>
    <t>CRCA SHEET TSBCRC SR15 0.500X1000X2000</t>
  </si>
  <si>
    <t>9518495161-1</t>
  </si>
  <si>
    <t>CRCA COIL TATXXD AH03 2X1250</t>
  </si>
  <si>
    <t>CRCA COIL TATXXD AH03 2.500X1250</t>
  </si>
  <si>
    <t>9518532816-7</t>
  </si>
  <si>
    <t>9518543125-5</t>
  </si>
  <si>
    <t>PPGL C HARD Y550PL ISC6 0.430X1220</t>
  </si>
  <si>
    <t>CRCA COIL TATXXD BT01 0.900X1315</t>
  </si>
  <si>
    <t>9518543125-3</t>
  </si>
  <si>
    <t>9518543125-4</t>
  </si>
  <si>
    <t>CRCA COIL TATXXD BT01 0.970X1220</t>
  </si>
  <si>
    <t>CRCA COIL TATXXD BT01 1.200X1315</t>
  </si>
  <si>
    <t>9518543125-2</t>
  </si>
  <si>
    <t>9518542152-1</t>
  </si>
  <si>
    <t>Dadra, Nagarhaveli</t>
  </si>
  <si>
    <t>VILLAGE DADRA</t>
  </si>
  <si>
    <t>9518542152-3</t>
  </si>
  <si>
    <t>SANAND</t>
  </si>
  <si>
    <t>9518532380-1</t>
  </si>
  <si>
    <t>Apr'25 additional</t>
  </si>
  <si>
    <t>9518532383-1</t>
  </si>
  <si>
    <t>9518532386-1</t>
  </si>
  <si>
    <t>9518542873-3</t>
  </si>
  <si>
    <t>PPGL C Y550 HPL3 0.39BMT(0.47TPT)X1220</t>
  </si>
  <si>
    <t>9518542873-6</t>
  </si>
  <si>
    <t>9518542994-7</t>
  </si>
  <si>
    <t>9518543125-7</t>
  </si>
  <si>
    <t>9518543214-6</t>
  </si>
  <si>
    <t>9518543214-7</t>
  </si>
  <si>
    <t>9518543214-9</t>
  </si>
  <si>
    <t>9518546113-1</t>
  </si>
  <si>
    <t>9518546113-2</t>
  </si>
  <si>
    <t>HR COILS-POIS 1079 HR2  2.90X1250</t>
  </si>
  <si>
    <t>9518419100-7</t>
  </si>
  <si>
    <t>HR COILS-PO IS 1079 HR2 3.15X1250</t>
  </si>
  <si>
    <t>HR COILS-PO IS 1079 HR2 4X1250</t>
  </si>
  <si>
    <t>HR COILS-PO IS 1079 HR2 5X1250</t>
  </si>
  <si>
    <t>PATANCHERU</t>
  </si>
  <si>
    <t>CRCA COIL TATXXD BT01 0.900X1320</t>
  </si>
  <si>
    <t>CRCA COIL TATXXD BT01 1X1320</t>
  </si>
  <si>
    <t>CR COIL TSBSTA EL03 1X1250</t>
  </si>
  <si>
    <t>9518560278-5</t>
  </si>
  <si>
    <t>HR COILS-PO THR099 HR99 3.40X1250</t>
  </si>
  <si>
    <t>9518527188-1</t>
  </si>
  <si>
    <t>9518567119-1</t>
  </si>
  <si>
    <t>CR COIL TATFHC TR10 0.360X1320</t>
  </si>
  <si>
    <t>GP COIL TATGPH GP02 0.500X1350</t>
  </si>
  <si>
    <t>9518561462-1</t>
  </si>
  <si>
    <t>WRINKLE DISTRIBUTORS PVT LTD.</t>
  </si>
  <si>
    <t>9518560055-1</t>
  </si>
  <si>
    <t>GP SH SOFT TATXGP GK09 0.400X900X2500</t>
  </si>
  <si>
    <t>GP SH SOFT TATXGP GK09 0.500X900X2500</t>
  </si>
  <si>
    <t>PURSHOTAM PROFILES PRIVATE LIMITED</t>
  </si>
  <si>
    <t>GP COIL TATXGP GP02 0.450X1350</t>
  </si>
  <si>
    <t>9518578543-1</t>
  </si>
  <si>
    <t>PPGL C HARD Y550PL DX01 0.53(TPT)X1220</t>
  </si>
  <si>
    <t>RAL 5012 TSL 2002</t>
  </si>
  <si>
    <t>DX01</t>
  </si>
  <si>
    <t>9518585087-2</t>
  </si>
  <si>
    <t>RAL 9010 TSL 2007</t>
  </si>
  <si>
    <t>CRCA SHEET TATXXD BT02 0.800X920X1805</t>
  </si>
  <si>
    <t>9518593369-1</t>
  </si>
  <si>
    <t>PPGL C HARD Y550PL DX01 0.68(TPT)X1220</t>
  </si>
  <si>
    <t>9518593433-2</t>
  </si>
  <si>
    <t>PPGL C Y550 ISC6 0.45BMT(0.50TPT)X1220</t>
  </si>
  <si>
    <t>PRO GREEN TSL 1911</t>
  </si>
  <si>
    <t>9518607093-1</t>
  </si>
  <si>
    <t>9518607093-6</t>
  </si>
  <si>
    <t>9518596806-2</t>
  </si>
  <si>
    <t>9518578859-1</t>
  </si>
  <si>
    <t>CRCA SHEET TSBCRC SR15 0.500X1250X2020</t>
  </si>
  <si>
    <t>9518598795-5</t>
  </si>
  <si>
    <t>MKT STEELS PRIVATE LIMITED</t>
  </si>
  <si>
    <t>9518579878-3</t>
  </si>
  <si>
    <t>9518579878-7</t>
  </si>
  <si>
    <t>9518583094-7</t>
  </si>
  <si>
    <t>9518519930-2</t>
  </si>
  <si>
    <t>CRCA SHEET TSBCRC SR15 0.600X1000X1980</t>
  </si>
  <si>
    <t>9518560055-2</t>
  </si>
  <si>
    <t>9518510093-11</t>
  </si>
  <si>
    <t>9518602675-2</t>
  </si>
  <si>
    <t>9518607093-2</t>
  </si>
  <si>
    <t>9518607093-7</t>
  </si>
  <si>
    <t>9518607093-8</t>
  </si>
  <si>
    <t>9518607093-9</t>
  </si>
  <si>
    <t>9518607093-10</t>
  </si>
  <si>
    <t>4000500393-1</t>
  </si>
  <si>
    <t>HR COILS-PO IS 1079 HR2 2.01X1250</t>
  </si>
  <si>
    <t>9518612385-8</t>
  </si>
  <si>
    <t>PPGL C Y550 ISC6 0.43BMT(0.48TPT)X1220</t>
  </si>
  <si>
    <t>PRO BLACK TSL 1914</t>
  </si>
  <si>
    <t>9518591774-16</t>
  </si>
  <si>
    <t>CRCA COIL TATXXD AU03 1.400X1250</t>
  </si>
  <si>
    <t>9518572384-2</t>
  </si>
  <si>
    <t>9518578381-1</t>
  </si>
  <si>
    <t>9518578381-2</t>
  </si>
  <si>
    <t>9518587895-1</t>
  </si>
  <si>
    <t>CR COIL TSBCRC SR25 0.550X1250</t>
  </si>
  <si>
    <t>CRCA SHEET TSBCRC SR15 0.600X1000X2000</t>
  </si>
  <si>
    <t>9518604323-6</t>
  </si>
  <si>
    <t>9518604323-14</t>
  </si>
  <si>
    <t>9518604323-17</t>
  </si>
  <si>
    <t>9518604323-7</t>
  </si>
  <si>
    <t>9518604323-11</t>
  </si>
  <si>
    <t>CRSHEET-ICF  DQ TATXXD AU03 2.02X1250</t>
  </si>
  <si>
    <t>9518607443-1</t>
  </si>
  <si>
    <t>9518602675-1</t>
  </si>
  <si>
    <t>9518593433-5</t>
  </si>
  <si>
    <t>9518591774-6</t>
  </si>
  <si>
    <t>CRCA COIL TATXXD AH03 0.800X1250</t>
  </si>
  <si>
    <t>9518598795-3</t>
  </si>
  <si>
    <t>9518598795-7</t>
  </si>
  <si>
    <t>CRCA COIL-TATXXD-AU03-2.3X1250</t>
  </si>
  <si>
    <t>9518593433-1</t>
  </si>
  <si>
    <t>9518591869-15</t>
  </si>
  <si>
    <t>PPGL C HARD Y550PL D0C9 0.450X1220</t>
  </si>
  <si>
    <t>BRICK RED TSL 1803</t>
  </si>
  <si>
    <t>9518579911-6</t>
  </si>
  <si>
    <t>SECO RED TSL 1814</t>
  </si>
  <si>
    <t>9518535833-24</t>
  </si>
  <si>
    <t>9518598795-8</t>
  </si>
  <si>
    <t>9518569788-7</t>
  </si>
  <si>
    <t>CR COIL TSBCRC SR25 0.800X1250</t>
  </si>
  <si>
    <t>9518602675-4</t>
  </si>
  <si>
    <t>9518602675-5</t>
  </si>
  <si>
    <t>PPGL C Y550 ISC6 0.35BMT(0.40TPT)X1220</t>
  </si>
  <si>
    <t>9518609830-5</t>
  </si>
  <si>
    <t>PPGL C HARD Y550PL D0C9 0.470(TPT)X1220</t>
  </si>
  <si>
    <t>9518572111-1</t>
  </si>
  <si>
    <t>9518604323-4</t>
  </si>
  <si>
    <t>9518596024-1</t>
  </si>
  <si>
    <t>PRO DEN BLUE TSL 1915</t>
  </si>
  <si>
    <t>9518591774-17</t>
  </si>
  <si>
    <t>9518598795-2</t>
  </si>
  <si>
    <t>9518598795-4</t>
  </si>
  <si>
    <t>ROYAL BLUE TSL 1815</t>
  </si>
  <si>
    <t>9518602675-3</t>
  </si>
  <si>
    <t>PRO RED TSL 1912</t>
  </si>
  <si>
    <t>9518610301-2</t>
  </si>
  <si>
    <t>9518612364-2</t>
  </si>
  <si>
    <t>PPGL C Y550 ISC6 0.30BMT(0.35TPT)X1220</t>
  </si>
  <si>
    <t>9518598100-5</t>
  </si>
  <si>
    <t>CRSHEET-ICF  DQ TATXXD AU03 1.00 X 1220</t>
  </si>
  <si>
    <t>CRCA COIL TATXXD AU03 1.800X1250</t>
  </si>
  <si>
    <t>9518578782-7</t>
  </si>
  <si>
    <t>9518578782-13</t>
  </si>
  <si>
    <t>9518592206-6</t>
  </si>
  <si>
    <t>9518578782-15</t>
  </si>
  <si>
    <t>9518578782-16</t>
  </si>
  <si>
    <t>9518599347-1</t>
  </si>
  <si>
    <t>CRCA COIL TATXXD AU03 1.100X1320</t>
  </si>
  <si>
    <t>9518606284-12</t>
  </si>
  <si>
    <t>9518606284-15</t>
  </si>
  <si>
    <t>9518606598-5</t>
  </si>
  <si>
    <t>9518606598-2</t>
  </si>
  <si>
    <t>9518606598-6</t>
  </si>
  <si>
    <t>9518606284-8</t>
  </si>
  <si>
    <t>9518606284-16</t>
  </si>
  <si>
    <t>9518572384-1</t>
  </si>
  <si>
    <t>9518578782-6</t>
  </si>
  <si>
    <t>9518578782-8</t>
  </si>
  <si>
    <t>9518579956-1</t>
  </si>
  <si>
    <t>9518519930-6</t>
  </si>
  <si>
    <t>CRCA COIL TATXXD AU03 1.200X900</t>
  </si>
  <si>
    <t>9518510371-4</t>
  </si>
  <si>
    <t>SILIGURI TOWN</t>
  </si>
  <si>
    <t>9518420076-1</t>
  </si>
  <si>
    <t>CRCA SHEET TSBCRC SR15 0.500X1000X1980</t>
  </si>
  <si>
    <t>9518610768-3</t>
  </si>
  <si>
    <t>9518433421-20</t>
  </si>
  <si>
    <t>9518499138-9</t>
  </si>
  <si>
    <t>9518529595-6</t>
  </si>
  <si>
    <t>9518610301-6</t>
  </si>
  <si>
    <t>9518610301-7</t>
  </si>
  <si>
    <t>9518606284-20</t>
  </si>
  <si>
    <t>CRCA SHEET TSBCRC SR15 1.200X1000X2500</t>
  </si>
  <si>
    <t>9518606284-6</t>
  </si>
  <si>
    <t>9518433421-21</t>
  </si>
  <si>
    <t>LIGHT BLUE TSL 1802</t>
  </si>
  <si>
    <t>9518613877-4</t>
  </si>
  <si>
    <t>9518613858-1</t>
  </si>
  <si>
    <t>9518613858-4</t>
  </si>
  <si>
    <t>9518613349-1</t>
  </si>
  <si>
    <t>JINDAL INDIA LIMITED</t>
  </si>
  <si>
    <t>GL COIL HARD  Y550GL H7GL 0.440X1240</t>
  </si>
  <si>
    <t>CRCA COIL-TATXXD-AU03-2X1000</t>
  </si>
  <si>
    <t>GP COIL XXXGPH GPH3 0.350X900</t>
  </si>
  <si>
    <t>GPH3</t>
  </si>
  <si>
    <t>GP COIL XXXGPH GPH3 0.300X900</t>
  </si>
  <si>
    <t>GP COIL XXXGPH GPH3 0.400X900</t>
  </si>
  <si>
    <t>GP COIL XXXGPH GPH3 0.500X900</t>
  </si>
  <si>
    <t>CRCA SHEET TSBCRC SR15 1.500X1250X2500</t>
  </si>
  <si>
    <t>GP COIL XXXGPH GPH3 0.250X900</t>
  </si>
  <si>
    <t>CRCA SHEET TATCRC SR16 0.400X1250X2500</t>
  </si>
  <si>
    <t>GP COIL SOFT-TATXGP-GLK1-0.25X900</t>
  </si>
  <si>
    <t>GP COIL SOFT-TATXGP-GLK1-0.5X900</t>
  </si>
  <si>
    <t>GP COIL SOFT-TATXGP-GLK1-0.28X900</t>
  </si>
  <si>
    <t>CR COIL TSBCRC SR25 0.600X1000</t>
  </si>
  <si>
    <t>CR COIL TATCRC SR26 0.400X1250</t>
  </si>
  <si>
    <t>CR COIL TATCRC SR26 0.350X1000</t>
  </si>
  <si>
    <t>CRCA SHEET TATCRC SR16 0.350X1250X2500</t>
  </si>
  <si>
    <t>CRCA SHEET TATCRC SR16 0.330X1250X2500</t>
  </si>
  <si>
    <t>GPCOIL TATXGP GP02 0.30X1015</t>
  </si>
  <si>
    <t>CRCA COIL TATXXD AH03 1X1250</t>
  </si>
  <si>
    <t>CRCA COIL TATXXD AH03 2.300X1250</t>
  </si>
  <si>
    <t>GP COIL SOFT-TATXGP-GLK1-0.22X900</t>
  </si>
  <si>
    <t>GP COIL TATGPH GP02 0.630X900</t>
  </si>
  <si>
    <t>GOVINDARAJA MUDALIAR SONS PVT</t>
  </si>
  <si>
    <t>CR COIL TSBCRC SR25 0.700X1250</t>
  </si>
  <si>
    <t>GP SH SOFT TATXGP GK09 0.600X900X2500</t>
  </si>
  <si>
    <t>GP COIL XXXGPH GH12 0.500X1220</t>
  </si>
  <si>
    <t>GL COIL HARD  Y550GL HGL6 0.900X1242</t>
  </si>
  <si>
    <t>9518546063-5</t>
  </si>
  <si>
    <t>9518619441-1</t>
  </si>
  <si>
    <t>HR COILS-PO I09497 2.01X1250</t>
  </si>
  <si>
    <t>9518619441-2</t>
  </si>
  <si>
    <t>9518598728-1</t>
  </si>
  <si>
    <t>PPGL C HARD Y550PL DX01 0.63(TPT)X1220</t>
  </si>
  <si>
    <t>RAL9002 TSL 2001</t>
  </si>
  <si>
    <t>9518598806-1</t>
  </si>
  <si>
    <t>PPGL C HARD Y550PL D0C9 0.70(TPT)X1220</t>
  </si>
  <si>
    <t>9518598889-1</t>
  </si>
  <si>
    <t>ZBTT</t>
  </si>
  <si>
    <t>9518624222-2</t>
  </si>
  <si>
    <t>CRCA COIL TATXXD AH03 0.500X1250</t>
  </si>
  <si>
    <t>CRCA COIL TATCRC TR15 0.6X1250</t>
  </si>
  <si>
    <t>9518619991-3</t>
  </si>
  <si>
    <t>9518623514-1</t>
  </si>
  <si>
    <t>Steelium super</t>
  </si>
  <si>
    <t>9518616273-2</t>
  </si>
  <si>
    <t>9518616273-3</t>
  </si>
  <si>
    <t>GP COIL TATGPH GP02 0.400X1350</t>
  </si>
  <si>
    <t>9518616273-4</t>
  </si>
  <si>
    <t>9518617132-2</t>
  </si>
  <si>
    <t>9518625201-1</t>
  </si>
  <si>
    <t>9518619991-2</t>
  </si>
  <si>
    <t>Jammu &amp; Kashmir</t>
  </si>
  <si>
    <t>9518610691-3</t>
  </si>
  <si>
    <t>9518610691-4</t>
  </si>
  <si>
    <t>9518610691-5</t>
  </si>
  <si>
    <t>9518624222-4</t>
  </si>
  <si>
    <t>9518598889-2</t>
  </si>
  <si>
    <t>9518617046-1</t>
  </si>
  <si>
    <t>9518617046-2</t>
  </si>
  <si>
    <t>9518624203-1</t>
  </si>
  <si>
    <t>9518624203-3</t>
  </si>
  <si>
    <t>9518624203-4</t>
  </si>
  <si>
    <t>9518624203-5</t>
  </si>
  <si>
    <t>9518624203-6</t>
  </si>
  <si>
    <t>9518624203-7</t>
  </si>
  <si>
    <t>9518624203-9</t>
  </si>
  <si>
    <t>9518624203-12</t>
  </si>
  <si>
    <t>9518624203-13</t>
  </si>
  <si>
    <t>PPGL C HARD Y550PL D0C9 0.60(TPT)X1220</t>
  </si>
  <si>
    <t>9518620375-2</t>
  </si>
  <si>
    <t>9518569795-20</t>
  </si>
  <si>
    <t>9518636039-1</t>
  </si>
  <si>
    <t>9518636039-2</t>
  </si>
  <si>
    <t>9518636039-3</t>
  </si>
  <si>
    <t>9518617583-1</t>
  </si>
  <si>
    <t>MTE STRUCTURES LIMITED</t>
  </si>
  <si>
    <t>GL COIL HARD  Y550GL HGL6 0.800X1250</t>
  </si>
  <si>
    <t>9518634000-2</t>
  </si>
  <si>
    <t>9518634000-1</t>
  </si>
  <si>
    <t>(All)</t>
  </si>
  <si>
    <t>9518497466-1</t>
  </si>
  <si>
    <t>S C SHETTAR &amp; SONS PRIVATE LIMITED</t>
  </si>
  <si>
    <t>9518631417-1</t>
  </si>
  <si>
    <t>9518613727-1</t>
  </si>
  <si>
    <t>9518617046-9</t>
  </si>
  <si>
    <t>9518637595-2</t>
  </si>
  <si>
    <t>9518644023-1</t>
  </si>
  <si>
    <t>9518624252-21</t>
  </si>
  <si>
    <t>9518624252-19</t>
  </si>
  <si>
    <t>9518624252-15</t>
  </si>
  <si>
    <t>9518624252-14</t>
  </si>
  <si>
    <t>9518624252-8</t>
  </si>
  <si>
    <t>9518624252-7</t>
  </si>
  <si>
    <t>9518624252-4</t>
  </si>
  <si>
    <t>9518624252-2</t>
  </si>
  <si>
    <t>9518624252-1</t>
  </si>
  <si>
    <t>SXO1</t>
  </si>
  <si>
    <t>PPGL C HARD Y550PL SXO1 0.53(TPT)X1220</t>
  </si>
  <si>
    <t>GP COIL TATGPH GP02 0.630X1350</t>
  </si>
  <si>
    <t>9518635704-1</t>
  </si>
  <si>
    <t>9518613800-1</t>
  </si>
  <si>
    <t>9518635704-2</t>
  </si>
  <si>
    <t>9518617039-1</t>
  </si>
  <si>
    <t>9518617039-4</t>
  </si>
  <si>
    <t>4000500995-4</t>
  </si>
  <si>
    <t>9518631417-4</t>
  </si>
  <si>
    <t>9518585087-1</t>
  </si>
  <si>
    <t>9518585087-3</t>
  </si>
  <si>
    <t>9518621067-1</t>
  </si>
  <si>
    <t>9518653307-2</t>
  </si>
  <si>
    <t>9518644656-3</t>
  </si>
  <si>
    <t>9518644656-4</t>
  </si>
  <si>
    <t>9518644656-5</t>
  </si>
  <si>
    <t>9518644656-6</t>
  </si>
  <si>
    <t>9518644656-7</t>
  </si>
  <si>
    <t>CRCA SHEET TSBCRC SR15 0.700X1000X2000</t>
  </si>
  <si>
    <t>Coil</t>
  </si>
  <si>
    <t>Sheet</t>
  </si>
  <si>
    <t>PPGL C HARD Y550PL DX01 0.530X1220</t>
  </si>
  <si>
    <t>PPGL C Y550 D0C7 0.48BMT(0.52TPT)X1220</t>
  </si>
  <si>
    <t>CR COIL TATXHS GB03 1.500X1260</t>
  </si>
  <si>
    <t>GB03</t>
  </si>
  <si>
    <t>B06</t>
  </si>
  <si>
    <t>PLH1</t>
  </si>
  <si>
    <t>9518579878-2</t>
  </si>
  <si>
    <t>9518628470-3</t>
  </si>
  <si>
    <t>9518628976-3</t>
  </si>
  <si>
    <t>9518635916-3</t>
  </si>
  <si>
    <t>PPGL C HARD Y550PL D0C9 0.53(TPT)X1220</t>
  </si>
  <si>
    <t>CRCA SHEET TATXXD AU03 0.70X1250X2500</t>
  </si>
  <si>
    <t>Export</t>
  </si>
  <si>
    <t>FG 202518</t>
  </si>
  <si>
    <t>Disp 202518</t>
  </si>
  <si>
    <t>Khopoli Wider CRM</t>
  </si>
  <si>
    <t>CR COIL TATFHC TR10 0.345X1220</t>
  </si>
  <si>
    <t>CR COIL TATFHC TR10 0.374X1220</t>
  </si>
  <si>
    <t>CR COIL TATFHC TR10 0.445X1220</t>
  </si>
  <si>
    <t>Actual BTF 01.05.25</t>
  </si>
  <si>
    <t>ZBTN</t>
  </si>
  <si>
    <t>3000-IPPE</t>
  </si>
  <si>
    <t>CHANDRA CONTAINER MANUACTURERS</t>
  </si>
  <si>
    <t>Jayarathne Distributors (Pvt) Ltd</t>
  </si>
  <si>
    <t>9518666887-5</t>
  </si>
  <si>
    <t>9518704836-1</t>
  </si>
  <si>
    <t>4000500995-1</t>
  </si>
  <si>
    <t>4000500995-2</t>
  </si>
  <si>
    <t>9518600669-1</t>
  </si>
  <si>
    <t>9518600669-2</t>
  </si>
  <si>
    <t>9518600669-5</t>
  </si>
  <si>
    <t>9518600669-6</t>
  </si>
  <si>
    <t>9518600669-7</t>
  </si>
  <si>
    <t>9518600669-8</t>
  </si>
  <si>
    <t>9518600669-9</t>
  </si>
  <si>
    <t>9518600669-10</t>
  </si>
  <si>
    <t>9518600669-11</t>
  </si>
  <si>
    <t>9518600669-12</t>
  </si>
  <si>
    <t>9518600669-13</t>
  </si>
  <si>
    <t>9518671430-1</t>
  </si>
  <si>
    <t>9518653333-1</t>
  </si>
  <si>
    <t>9518653333-2</t>
  </si>
  <si>
    <t>9518643800-1</t>
  </si>
  <si>
    <t>9518652258-2</t>
  </si>
  <si>
    <t>9518667422-3</t>
  </si>
  <si>
    <t>9518660656-2</t>
  </si>
  <si>
    <t>9518671083-1</t>
  </si>
  <si>
    <t>9518671225-1</t>
  </si>
  <si>
    <t>9518671225-2</t>
  </si>
  <si>
    <t>9518620006-1</t>
  </si>
  <si>
    <t>9518620159-5</t>
  </si>
  <si>
    <t>9518666258-1</t>
  </si>
  <si>
    <t>9518666258-2</t>
  </si>
  <si>
    <t>9518671154-1</t>
  </si>
  <si>
    <t>9518671154-2</t>
  </si>
  <si>
    <t>9518653378-1</t>
  </si>
  <si>
    <t>9518653378-2</t>
  </si>
  <si>
    <t>9518660506-1</t>
  </si>
  <si>
    <t>9518632689-1</t>
  </si>
  <si>
    <t>9518665413-2</t>
  </si>
  <si>
    <t>9518682933-1</t>
  </si>
  <si>
    <t>9518682933-2</t>
  </si>
  <si>
    <t>9518682933-3</t>
  </si>
  <si>
    <t>9518695456-1</t>
  </si>
  <si>
    <t>9518683949-3</t>
  </si>
  <si>
    <t>9518693957-1</t>
  </si>
  <si>
    <t>9518692220-12</t>
  </si>
  <si>
    <t>9518692220-14</t>
  </si>
  <si>
    <t>9518676905-7</t>
  </si>
  <si>
    <t>9518679911-1</t>
  </si>
  <si>
    <t>9518644656-1</t>
  </si>
  <si>
    <t>9518629852-1</t>
  </si>
  <si>
    <t>9518629852-2</t>
  </si>
  <si>
    <t>9518629852-3</t>
  </si>
  <si>
    <t>9518637097-2</t>
  </si>
  <si>
    <t>9518629852-4</t>
  </si>
  <si>
    <t>9518629852-5</t>
  </si>
  <si>
    <t>9518629852-6</t>
  </si>
  <si>
    <t>9518629852-7</t>
  </si>
  <si>
    <t>9518629852-9</t>
  </si>
  <si>
    <t>9518546063-3</t>
  </si>
  <si>
    <t>9518546063-4</t>
  </si>
  <si>
    <t>9518620674-26</t>
  </si>
  <si>
    <t>9518651680-1</t>
  </si>
  <si>
    <t>9518651680-2</t>
  </si>
  <si>
    <t>9518677543-1</t>
  </si>
  <si>
    <t>9518692220-6</t>
  </si>
  <si>
    <t>9518694054-3</t>
  </si>
  <si>
    <t>9518694174-1</t>
  </si>
  <si>
    <t>9518694174-2</t>
  </si>
  <si>
    <t>9518694174-3</t>
  </si>
  <si>
    <t>9518660695-1</t>
  </si>
  <si>
    <t>9518695452-1</t>
  </si>
  <si>
    <t>9518692103-13</t>
  </si>
  <si>
    <t>9518692103-14</t>
  </si>
  <si>
    <t>9518692103-15</t>
  </si>
  <si>
    <t>9518694054-2</t>
  </si>
  <si>
    <t>9518694054-4</t>
  </si>
  <si>
    <t>9518683949-1</t>
  </si>
  <si>
    <t>9518703480-7</t>
  </si>
  <si>
    <t>9518628976-7</t>
  </si>
  <si>
    <t>9518694586-1</t>
  </si>
  <si>
    <t>9518694961-1</t>
  </si>
  <si>
    <t>9518637097-4</t>
  </si>
  <si>
    <t>9518607443-3</t>
  </si>
  <si>
    <t>9518628976-2</t>
  </si>
  <si>
    <t>9518617039-3</t>
  </si>
  <si>
    <t>9518652442-1</t>
  </si>
  <si>
    <t>9518644656-11</t>
  </si>
  <si>
    <t>9518620674-19</t>
  </si>
  <si>
    <t>9518620159-1</t>
  </si>
  <si>
    <t>9518667687-1</t>
  </si>
  <si>
    <t>9518677543-2</t>
  </si>
  <si>
    <t>9518700594-1</t>
  </si>
  <si>
    <t>9518700504-1</t>
  </si>
  <si>
    <t>9518695452-2</t>
  </si>
  <si>
    <t>9518695452-3</t>
  </si>
  <si>
    <t>9518695452-4</t>
  </si>
  <si>
    <t>9518695452-5</t>
  </si>
  <si>
    <t>9518703251-1</t>
  </si>
  <si>
    <t>9518703251-3</t>
  </si>
  <si>
    <t>9518682295-1</t>
  </si>
  <si>
    <t>9518684484-10</t>
  </si>
  <si>
    <t>9518693944-1</t>
  </si>
  <si>
    <t>9518628391-2</t>
  </si>
  <si>
    <t>9518628321-2</t>
  </si>
  <si>
    <t>9518628321-4</t>
  </si>
  <si>
    <t>9518628321-5</t>
  </si>
  <si>
    <t>9518631278-2</t>
  </si>
  <si>
    <t>9518631278-1</t>
  </si>
  <si>
    <t>9518637595-4</t>
  </si>
  <si>
    <t>9518637595-5</t>
  </si>
  <si>
    <t>9518628391-1</t>
  </si>
  <si>
    <t>9518628321-3</t>
  </si>
  <si>
    <t>9518598100-6</t>
  </si>
  <si>
    <t>9518637426-1</t>
  </si>
  <si>
    <t>9518692220-8</t>
  </si>
  <si>
    <t>9518692220-9</t>
  </si>
  <si>
    <t>9518653307-4</t>
  </si>
  <si>
    <t>9518666670-1</t>
  </si>
  <si>
    <t>9518683200-10</t>
  </si>
  <si>
    <t>9518683200-11</t>
  </si>
  <si>
    <t>9518683200-13</t>
  </si>
  <si>
    <t>9518677599-1</t>
  </si>
  <si>
    <t>9518670143-1</t>
  </si>
  <si>
    <t>9518683949-7</t>
  </si>
  <si>
    <t>9518695452-6</t>
  </si>
  <si>
    <t>9518695452-7</t>
  </si>
  <si>
    <t>9518644656-13</t>
  </si>
  <si>
    <t>9518693944-2</t>
  </si>
  <si>
    <t>9518676905-2</t>
  </si>
  <si>
    <t>9518676905-3</t>
  </si>
  <si>
    <t>9518682471-1</t>
  </si>
  <si>
    <t>9518665413-1</t>
  </si>
  <si>
    <t>9518671384-2</t>
  </si>
  <si>
    <t>9518671242-1</t>
  </si>
  <si>
    <t>9518671209-1</t>
  </si>
  <si>
    <t>9518664230-1</t>
  </si>
  <si>
    <t>9518599122-1</t>
  </si>
  <si>
    <t>9518591774-19</t>
  </si>
  <si>
    <t>9518633792-1</t>
  </si>
  <si>
    <t>9518683949-4</t>
  </si>
  <si>
    <t>9518666670-2</t>
  </si>
  <si>
    <t>9518683200-19</t>
  </si>
  <si>
    <t>9518677464-1</t>
  </si>
  <si>
    <t>9518695452-8</t>
  </si>
  <si>
    <t>9518666887-2</t>
  </si>
  <si>
    <t>9518676905-1</t>
  </si>
  <si>
    <t>9518676905-4</t>
  </si>
  <si>
    <t>9518676905-10</t>
  </si>
  <si>
    <t>9518695502-1</t>
  </si>
  <si>
    <t>9518682471-2</t>
  </si>
  <si>
    <t>9518682471-3</t>
  </si>
  <si>
    <t>9518682471-4</t>
  </si>
  <si>
    <t>9518682471-5</t>
  </si>
  <si>
    <t>9518682471-6</t>
  </si>
  <si>
    <t>9518682471-7</t>
  </si>
  <si>
    <t>9518670066-5</t>
  </si>
  <si>
    <t>9518670119-7</t>
  </si>
  <si>
    <t>9518628976-16</t>
  </si>
  <si>
    <t>9518606704-5</t>
  </si>
  <si>
    <t>9518637097-5</t>
  </si>
  <si>
    <t>9518569795-18</t>
  </si>
  <si>
    <t>9518620674-11</t>
  </si>
  <si>
    <t>9518620674-13</t>
  </si>
  <si>
    <t>9518620674-16</t>
  </si>
  <si>
    <t>9518651680-6</t>
  </si>
  <si>
    <t>9518652646-1</t>
  </si>
  <si>
    <t>9518644023-2</t>
  </si>
  <si>
    <t>9518644023-3</t>
  </si>
  <si>
    <t>9518644023-4</t>
  </si>
  <si>
    <t>9518633048-1</t>
  </si>
  <si>
    <t>9518633048-2</t>
  </si>
  <si>
    <t>9518671384-1</t>
  </si>
  <si>
    <t>9518694586-2</t>
  </si>
  <si>
    <t>9518649438-3</t>
  </si>
  <si>
    <t>9518649438-4</t>
  </si>
  <si>
    <t>9518624252-5</t>
  </si>
  <si>
    <t>9518624252-20</t>
  </si>
  <si>
    <t>9518598962-1</t>
  </si>
  <si>
    <t>9518617046-12</t>
  </si>
  <si>
    <t>9518610301-5</t>
  </si>
  <si>
    <t>9518649334-7</t>
  </si>
  <si>
    <t>9518607479-1</t>
  </si>
  <si>
    <t>9518503922-1</t>
  </si>
  <si>
    <t>9518620674-15</t>
  </si>
  <si>
    <t>9518645033-2</t>
  </si>
  <si>
    <t>9518651680-9</t>
  </si>
  <si>
    <t>9518651680-10</t>
  </si>
  <si>
    <t>9518645033-5</t>
  </si>
  <si>
    <t>9518578782-1</t>
  </si>
  <si>
    <t>9518649438-1</t>
  </si>
  <si>
    <t>9518649334-3</t>
  </si>
  <si>
    <t>9518620159-2</t>
  </si>
  <si>
    <t>9518703431-3</t>
  </si>
  <si>
    <t>9518664768-1</t>
  </si>
  <si>
    <t>9518676905-6</t>
  </si>
  <si>
    <t>9518676905-8</t>
  </si>
  <si>
    <t>9518676905-9</t>
  </si>
  <si>
    <t>9518632148-2</t>
  </si>
  <si>
    <t>9518703480-4</t>
  </si>
  <si>
    <t>9518703480-8</t>
  </si>
  <si>
    <t>9518664230-3</t>
  </si>
  <si>
    <t>9518695426-2</t>
  </si>
  <si>
    <t>9518624252-17</t>
  </si>
  <si>
    <t>9518624252-18</t>
  </si>
  <si>
    <t>9518624252-22</t>
  </si>
  <si>
    <t>9518617046-10</t>
  </si>
  <si>
    <t>9518617046-11</t>
  </si>
  <si>
    <t>9518637595-6</t>
  </si>
  <si>
    <t>9518606284-14</t>
  </si>
  <si>
    <t>9518606284-17</t>
  </si>
  <si>
    <t>9518610997-1</t>
  </si>
  <si>
    <t>9518649438-11</t>
  </si>
  <si>
    <t>9518671154-3</t>
  </si>
  <si>
    <t>9518671154-4</t>
  </si>
  <si>
    <t>9518703251-2</t>
  </si>
  <si>
    <t>9518676905-5</t>
  </si>
  <si>
    <t>9518633147-1</t>
  </si>
  <si>
    <t>9518633147-4</t>
  </si>
  <si>
    <t>9518633147-6</t>
  </si>
  <si>
    <t>9518602390-4</t>
  </si>
  <si>
    <t>9518633147-5</t>
  </si>
  <si>
    <t>9518533596-5</t>
  </si>
  <si>
    <t>9518550430-1</t>
  </si>
  <si>
    <t>4000500995-7</t>
  </si>
  <si>
    <t>9518649108-1</t>
  </si>
  <si>
    <t>9518652119-2</t>
  </si>
  <si>
    <t>9518645033-4</t>
  </si>
  <si>
    <t>9518649438-2</t>
  </si>
  <si>
    <t>9518666879-1</t>
  </si>
  <si>
    <t>9518495920-4</t>
  </si>
  <si>
    <t>9518664956-1</t>
  </si>
  <si>
    <t>9518633224-1</t>
  </si>
  <si>
    <t>9518633224-2</t>
  </si>
  <si>
    <t>9518604267-2</t>
  </si>
  <si>
    <t>9518666216-2</t>
  </si>
  <si>
    <t>9518660606-1</t>
  </si>
  <si>
    <t>9518660606-2</t>
  </si>
  <si>
    <t>9518628976-4</t>
  </si>
  <si>
    <t>9518632737-3</t>
  </si>
  <si>
    <t>9518652119-3</t>
  </si>
  <si>
    <t>9518644154-1</t>
  </si>
  <si>
    <t>9518637097-1</t>
  </si>
  <si>
    <t>4000500995-3</t>
  </si>
  <si>
    <t>9518587628-1</t>
  </si>
  <si>
    <t>9518494843-1</t>
  </si>
  <si>
    <t>9518632148-1</t>
  </si>
  <si>
    <t>9518607443-2</t>
  </si>
  <si>
    <t>9518607406-2</t>
  </si>
  <si>
    <t>9518604323-18</t>
  </si>
  <si>
    <t>9518490750-15</t>
  </si>
  <si>
    <t>9518644652-1</t>
  </si>
  <si>
    <t>9518649017-1</t>
  </si>
  <si>
    <t>9518550511-6</t>
  </si>
  <si>
    <t>9518550511-7</t>
  </si>
  <si>
    <t>9518648408-2</t>
  </si>
  <si>
    <t>9518648408-3</t>
  </si>
  <si>
    <t>4000500995-5</t>
  </si>
  <si>
    <t>4000500995-6</t>
  </si>
  <si>
    <t>9518569788-8</t>
  </si>
  <si>
    <t>9518550511-4</t>
  </si>
  <si>
    <t>GL COIL SKINPASS Y250GL SGL1 0.330X1250</t>
  </si>
  <si>
    <t>CRCA COIL SA1008 TU98 1.200X1250</t>
  </si>
  <si>
    <t>CRCA COIL SA1008 TU98 1.400X1250</t>
  </si>
  <si>
    <t>CRCA COIL TSBHSQ TU99 2X1270</t>
  </si>
  <si>
    <t>PPGL C HARD Y550PL HPL6 0.400X1220</t>
  </si>
  <si>
    <t>PPGL C HARD Y550PL HPL6 0.430X1220</t>
  </si>
  <si>
    <t>PPGL C HARD Y550PL D0C9 0.630X1220</t>
  </si>
  <si>
    <t>CRCA SHEET TSBCRC SR15 2X1250X2500</t>
  </si>
  <si>
    <t>CRCA COIL TATXXD BT01 0.900X1220</t>
  </si>
  <si>
    <t>CRSHEET TATXXD AU03 0.60X1250X2500</t>
  </si>
  <si>
    <t>CRCA SHEET TATCRC TR15 .8X1250X2500</t>
  </si>
  <si>
    <t>CRCA SHEET TATCRC TR15 1.6X1250X2500</t>
  </si>
  <si>
    <t>PPGL C YS550 PLH5 0.50BMT(0.60TPT)X1220</t>
  </si>
  <si>
    <t>PPGL C HARD Y550PL DX01 0.600X1220</t>
  </si>
  <si>
    <t>CRCA SHEET TSBCRC SR15 0.550X1250X2500</t>
  </si>
  <si>
    <t>CR COIL TATXXD AU03 .55X1250</t>
  </si>
  <si>
    <t>PPGL C HARD Y550PL DX01 0.58(TPT)X1220</t>
  </si>
  <si>
    <t>HR COILS-PO IS 10748 GR 1 2.30X1250</t>
  </si>
  <si>
    <t>CRCA SHEET TATCRC TR15 .95X1250X2500</t>
  </si>
  <si>
    <t>CR COIL TSBCRC SR25 1X1250</t>
  </si>
  <si>
    <t>GL COIL HARD  Y550GL HGL6 0.900X1200</t>
  </si>
  <si>
    <t>CRCA COIL TATXXD BT02 0.800X920</t>
  </si>
  <si>
    <t>HR COILS-PO IS 1079-HR2 3X1250</t>
  </si>
  <si>
    <t>HR COILS-PO IS 1079-HR2 3.20X1250</t>
  </si>
  <si>
    <t>CRCA SHEET TATCRC EX08 0.380X1219X2438</t>
  </si>
  <si>
    <t>Y250GL</t>
  </si>
  <si>
    <t>SGL1</t>
  </si>
  <si>
    <t>T1GP</t>
  </si>
  <si>
    <t>HPL6</t>
  </si>
  <si>
    <t>THA058</t>
  </si>
  <si>
    <t>HA58</t>
  </si>
  <si>
    <t>EX08</t>
  </si>
  <si>
    <t>aZ150</t>
  </si>
  <si>
    <t>RAL 2003 TSL 853</t>
  </si>
  <si>
    <t>NG BRIGHT GREEN TSL 2211</t>
  </si>
  <si>
    <t>ENVIRONMENTAL GREEN TSL 199</t>
  </si>
  <si>
    <t>ASIAN WHITE TSL 1901</t>
  </si>
  <si>
    <t>NG SMART GREY TSL 1905</t>
  </si>
  <si>
    <t>PASSION RED (NG) TSL 2214</t>
  </si>
  <si>
    <t>RAL 9002 TSL 2101</t>
  </si>
  <si>
    <t>RAL 5018 TSL 1809</t>
  </si>
  <si>
    <t>TAURUS BLUES TSL 1813</t>
  </si>
  <si>
    <t>RAL 7024 TSL 560</t>
  </si>
  <si>
    <t>RAL 7043 TSL 1823</t>
  </si>
  <si>
    <t>RAL 9010 TSL 1807</t>
  </si>
  <si>
    <t>RAL 6038 TSL 1811</t>
  </si>
  <si>
    <t>PRO PEARL TSL 1918</t>
  </si>
  <si>
    <t>RAL 6011 TSL 1810 MIST GREEN</t>
  </si>
  <si>
    <t>9518685638-7</t>
  </si>
  <si>
    <t>9518667160-1</t>
  </si>
  <si>
    <t>9518667160-2</t>
  </si>
  <si>
    <t>9518667160-3</t>
  </si>
  <si>
    <t>9518620674-21</t>
  </si>
  <si>
    <t>9518620674-23</t>
  </si>
  <si>
    <t>9518620674-25</t>
  </si>
  <si>
    <t>9518684484-7</t>
  </si>
  <si>
    <t>9518684484-9</t>
  </si>
  <si>
    <t>9518684484-11</t>
  </si>
  <si>
    <t>9518684484-12</t>
  </si>
  <si>
    <t>9518684484-13</t>
  </si>
  <si>
    <t>9518684484-14</t>
  </si>
  <si>
    <t>9518604323-1</t>
  </si>
  <si>
    <t>9518604323-3</t>
  </si>
  <si>
    <t>9518605386-4</t>
  </si>
  <si>
    <t>9518605386-5</t>
  </si>
  <si>
    <t>9518613250-1</t>
  </si>
  <si>
    <t>9518681493-1</t>
  </si>
  <si>
    <t>9518681493-2</t>
  </si>
  <si>
    <t>9518681493-3</t>
  </si>
  <si>
    <t>9518681493-4</t>
  </si>
  <si>
    <t>9518681493-5</t>
  </si>
  <si>
    <t>9518681493-6</t>
  </si>
  <si>
    <t>9518681493-7</t>
  </si>
  <si>
    <t>9518694924-9</t>
  </si>
  <si>
    <t>9518631278-6</t>
  </si>
  <si>
    <t>9518694569-1</t>
  </si>
  <si>
    <t>9518680501-2</t>
  </si>
  <si>
    <t>9518680501-3</t>
  </si>
  <si>
    <t>9518680501-4</t>
  </si>
  <si>
    <t>9518680501-5</t>
  </si>
  <si>
    <t>9518680501-6</t>
  </si>
  <si>
    <t>9518681889-2</t>
  </si>
  <si>
    <t>9518698491-1</t>
  </si>
  <si>
    <t>9518666887-1</t>
  </si>
  <si>
    <t>9518666887-6</t>
  </si>
  <si>
    <t>9518666887-7</t>
  </si>
  <si>
    <t>9518666887-8</t>
  </si>
  <si>
    <t>9518666887-9</t>
  </si>
  <si>
    <t>9518670066-1</t>
  </si>
  <si>
    <t>9518670066-2</t>
  </si>
  <si>
    <t>9518670066-6</t>
  </si>
  <si>
    <t>9518670066-7</t>
  </si>
  <si>
    <t>9518670066-8</t>
  </si>
  <si>
    <t>9518670066-9</t>
  </si>
  <si>
    <t>9518670066-12</t>
  </si>
  <si>
    <t>9518692009-1</t>
  </si>
  <si>
    <t>9518628321-1</t>
  </si>
  <si>
    <t>9518696886-5</t>
  </si>
  <si>
    <t>9518637097-3</t>
  </si>
  <si>
    <t>9518644745-2</t>
  </si>
  <si>
    <t>9518620159-4</t>
  </si>
  <si>
    <t>9518664146-2</t>
  </si>
  <si>
    <t>9518664146-3</t>
  </si>
  <si>
    <t>9518593412-3</t>
  </si>
  <si>
    <t>9518567477-1</t>
  </si>
  <si>
    <t>9518583256-1</t>
  </si>
  <si>
    <t>9518623643-1</t>
  </si>
  <si>
    <t>9518631268-1</t>
  </si>
  <si>
    <t>9518610170-1</t>
  </si>
  <si>
    <t>9518610170-2</t>
  </si>
  <si>
    <t>9518691600-8</t>
  </si>
  <si>
    <t>9518691600-9</t>
  </si>
  <si>
    <t>9518691600-10</t>
  </si>
  <si>
    <t>9518691600-11</t>
  </si>
  <si>
    <t>9518683200-5</t>
  </si>
  <si>
    <t>9518683200-7</t>
  </si>
  <si>
    <t>9518683200-8</t>
  </si>
  <si>
    <t>9518683200-12</t>
  </si>
  <si>
    <t>9518683200-15</t>
  </si>
  <si>
    <t>9518613800-2</t>
  </si>
  <si>
    <t>9518677562-2</t>
  </si>
  <si>
    <t>9518699134-1</t>
  </si>
  <si>
    <t>9518694961-2</t>
  </si>
  <si>
    <t>9518696382-4</t>
  </si>
  <si>
    <t>9518697965-1</t>
  </si>
  <si>
    <t>9518697965-2</t>
  </si>
  <si>
    <t>9518697965-3</t>
  </si>
  <si>
    <t>9518697965-5</t>
  </si>
  <si>
    <t>9518697965-6</t>
  </si>
  <si>
    <t>9518670119-1</t>
  </si>
  <si>
    <t>Failed orders</t>
  </si>
  <si>
    <t>PRABHAT GLOBAL COLOURCOATED PR</t>
  </si>
  <si>
    <t>GP COIL TATGPH GP02 0.500X900</t>
  </si>
  <si>
    <t>CRCA SHEET TATCRC SR16 0.450X1000X2000</t>
  </si>
  <si>
    <t>GP COIL TATXGP GP02 0.350X1350</t>
  </si>
  <si>
    <t>CRCA SHEET TATXXD AU03 0.400X1250X2500</t>
  </si>
  <si>
    <t>GL COIL HARD -Y550GL-H7GL-0.42X1220</t>
  </si>
  <si>
    <t>CRCA COIL TATXXD AU03 0.400X1220</t>
  </si>
  <si>
    <t>GL C YS550 H6GL 0.75BMT(0.80TCT)X1220</t>
  </si>
  <si>
    <t>CR COIL-ICF  DQ TATXXD AU03 0.90 X 1250</t>
  </si>
  <si>
    <t>Khopoli</t>
  </si>
  <si>
    <t>Order gap</t>
  </si>
  <si>
    <t xml:space="preserve"> Exp BTF 01.05.25</t>
  </si>
  <si>
    <t>9518535833-20</t>
  </si>
  <si>
    <t>9518535833-22</t>
  </si>
  <si>
    <t>9518490750-3</t>
  </si>
  <si>
    <t>9518490750-4</t>
  </si>
  <si>
    <t>9518519644-2</t>
  </si>
  <si>
    <t>9518519644-4</t>
  </si>
  <si>
    <t>9518520213-1</t>
  </si>
  <si>
    <t>9518499138-1</t>
  </si>
  <si>
    <t>9518499138-2</t>
  </si>
  <si>
    <t>9518499138-3</t>
  </si>
  <si>
    <t>9518493782-1</t>
  </si>
  <si>
    <t>9518529960-3</t>
  </si>
  <si>
    <t>9518519921-1</t>
  </si>
  <si>
    <t>9518519921-2</t>
  </si>
  <si>
    <t>9518519921-3</t>
  </si>
  <si>
    <t>9518519921-4</t>
  </si>
  <si>
    <t>9518519921-5</t>
  </si>
  <si>
    <t>GODREJ AND BOYCE MANUFACTURING</t>
  </si>
  <si>
    <t>May'25</t>
  </si>
  <si>
    <t>2200-BPRS</t>
  </si>
  <si>
    <t>9518602675-10</t>
  </si>
  <si>
    <t>9518704427-1</t>
  </si>
  <si>
    <t>9518667214-3</t>
  </si>
  <si>
    <t>CRFH COIL TATFHC RE03 1X1250</t>
  </si>
  <si>
    <t>GP COIL SOFT-TSBXGP-T1GP-0.3X900</t>
  </si>
  <si>
    <t>RE03</t>
  </si>
  <si>
    <t>Kosh wider</t>
  </si>
  <si>
    <t>9518703509-1</t>
  </si>
  <si>
    <t>9518703509-2</t>
  </si>
  <si>
    <t>9518703423-1</t>
  </si>
  <si>
    <t>9518703431-1</t>
  </si>
  <si>
    <t>9518703431-2</t>
  </si>
  <si>
    <t>9518703431-4</t>
  </si>
  <si>
    <t>9518704091-1</t>
  </si>
  <si>
    <t>9518704091-2</t>
  </si>
  <si>
    <t>9518694209-1</t>
  </si>
  <si>
    <t>9518694209-7</t>
  </si>
  <si>
    <t>9518704147-1</t>
  </si>
  <si>
    <t>9518704147-3</t>
  </si>
  <si>
    <t>9518701085-1</t>
  </si>
  <si>
    <t>9518701085-2</t>
  </si>
  <si>
    <t>9518709108-1</t>
  </si>
  <si>
    <t>9518708769-1</t>
  </si>
  <si>
    <t>9518704714-1</t>
  </si>
  <si>
    <t>9518704714-2</t>
  </si>
  <si>
    <t>9518704714-3</t>
  </si>
  <si>
    <t>9518704714-4</t>
  </si>
  <si>
    <t>9518704714-5</t>
  </si>
  <si>
    <t>9518704714-6</t>
  </si>
  <si>
    <t>NAKODA POWER GREEN ENERGY LIMI</t>
  </si>
  <si>
    <t>Exp BTF &lt;17MT</t>
  </si>
  <si>
    <t>9518710417-1</t>
  </si>
  <si>
    <t>9518694209-11</t>
  </si>
  <si>
    <t>9518695380-1</t>
  </si>
  <si>
    <t>9518695418-1</t>
  </si>
  <si>
    <t>9518695418-2</t>
  </si>
  <si>
    <t>9518694613-6</t>
  </si>
  <si>
    <t>9518681889-1</t>
  </si>
  <si>
    <t>9518711420-2</t>
  </si>
  <si>
    <t>9518711241-4</t>
  </si>
  <si>
    <t>9518711241-5</t>
  </si>
  <si>
    <t>9518712059-1</t>
  </si>
  <si>
    <t>9518712059-3</t>
  </si>
  <si>
    <t>9518711241-6</t>
  </si>
  <si>
    <t>9518712059-2</t>
  </si>
  <si>
    <t>9518711420-1</t>
  </si>
  <si>
    <t>9518711318-1</t>
  </si>
  <si>
    <t>9518712059-4</t>
  </si>
  <si>
    <t>9518711318-2</t>
  </si>
  <si>
    <t>No allocation for IPP</t>
  </si>
  <si>
    <t>PPGL C HARD Y550PL DX04 0.530X1220</t>
  </si>
  <si>
    <t>PPGL C HARD Y550PL DX04 0.630X1220</t>
  </si>
  <si>
    <t>CRCA SHEET TATXXD AU03 0.350X1250X2500</t>
  </si>
  <si>
    <t>DX04</t>
  </si>
  <si>
    <t>CASTLE RED TSL 1904</t>
  </si>
  <si>
    <t>Sign-off remarks</t>
  </si>
  <si>
    <t>Apr CF orders - 440MT. South - 3200, East - 300, North-140 All released orders are considered</t>
  </si>
  <si>
    <t>Apr CF orders -1000MT.East-2600,South-1600,North-1100,West-400</t>
  </si>
  <si>
    <t>9518708445-4</t>
  </si>
  <si>
    <t>9518708445-5</t>
  </si>
  <si>
    <t>9518708445-6</t>
  </si>
  <si>
    <t>9518710703-1</t>
  </si>
  <si>
    <t>9518708445-7</t>
  </si>
  <si>
    <t>9518709004-1</t>
  </si>
  <si>
    <t>9518709004-2</t>
  </si>
  <si>
    <t>9518715051-2</t>
  </si>
  <si>
    <t>9518715051-3</t>
  </si>
  <si>
    <t>9518710703-2</t>
  </si>
  <si>
    <t>9518711554-1</t>
  </si>
  <si>
    <t>9518714453-9</t>
  </si>
  <si>
    <t>9518715401-2</t>
  </si>
  <si>
    <t>9518715401-3</t>
  </si>
  <si>
    <t>9518715401-4</t>
  </si>
  <si>
    <t>9518715371-3</t>
  </si>
  <si>
    <t>9518715371-4</t>
  </si>
  <si>
    <t>9518715371-5</t>
  </si>
  <si>
    <t>9518715371-6</t>
  </si>
  <si>
    <t>GP COIL SOFT TATXGP GLK1 0.35X1220</t>
  </si>
  <si>
    <t>PPGL C HARD Y550PL D0C9 0.80(TPT)X1220</t>
  </si>
  <si>
    <t>9518714995-1</t>
  </si>
  <si>
    <t>9518714995-2</t>
  </si>
  <si>
    <t>9518714995-3</t>
  </si>
  <si>
    <t>9518714995-4</t>
  </si>
  <si>
    <t>9518714995-5</t>
  </si>
  <si>
    <t>9518714995-6</t>
  </si>
  <si>
    <t>Deprioritized as per SPA's instruction</t>
  </si>
  <si>
    <t>Deproritized as per SPA's instruction</t>
  </si>
  <si>
    <t>Tempel Precisions</t>
  </si>
  <si>
    <t>For trial orders</t>
  </si>
  <si>
    <t>CRCA COIL TATXXD BT02 0.800X925</t>
  </si>
  <si>
    <t>P1-Priority for Balmer</t>
  </si>
  <si>
    <t>Hitkar Enterprises</t>
  </si>
  <si>
    <t>AHMEDABAD</t>
  </si>
  <si>
    <t>9518716203-1</t>
  </si>
  <si>
    <t>9518716203-2</t>
  </si>
  <si>
    <t>9518716203-3</t>
  </si>
  <si>
    <t>9518716203-4</t>
  </si>
  <si>
    <t>Capacity protected for IPP &amp; BPR trial orders</t>
  </si>
  <si>
    <t>700MT orders required (GL/PPGL) to consume 0.44mm FHCR indented at TSK</t>
  </si>
  <si>
    <t>Allocation reduced from 2400MT to give additional allocation to TBSPL</t>
  </si>
  <si>
    <t>Sheyrub agencies-160 &amp; TSDPL - 170MT orders</t>
  </si>
  <si>
    <t>Complete allocation to east customers</t>
  </si>
  <si>
    <t>TBSPL need to indicate 9KT priorities based on paint availability</t>
  </si>
  <si>
    <t>Need orders from market</t>
  </si>
  <si>
    <t>Galaxy-450MT, Kumar stampings-2500,Agp-80MT. 500MT Allied SPC orders to be logged</t>
  </si>
  <si>
    <r>
      <t xml:space="preserve">April CF orders TPI-98. </t>
    </r>
    <r>
      <rPr>
        <b/>
        <sz val="11"/>
        <color theme="1"/>
        <rFont val="Calibri"/>
        <family val="2"/>
        <scheme val="minor"/>
      </rPr>
      <t>Metal storage 116MT,</t>
    </r>
    <r>
      <rPr>
        <sz val="11"/>
        <color theme="1"/>
        <rFont val="Calibri"/>
        <family val="2"/>
        <scheme val="minor"/>
      </rPr>
      <t xml:space="preserve"> </t>
    </r>
    <r>
      <rPr>
        <b/>
        <sz val="11"/>
        <color theme="1"/>
        <rFont val="Calibri"/>
        <family val="2"/>
        <scheme val="minor"/>
      </rPr>
      <t>Tippers &amp; trailers orders 200MT to be added(orders neither released nor in failed status)</t>
    </r>
    <r>
      <rPr>
        <sz val="11"/>
        <color theme="1"/>
        <rFont val="Calibri"/>
        <family val="2"/>
        <scheme val="minor"/>
      </rPr>
      <t>, rest 2500MT Balmer fresh orders</t>
    </r>
  </si>
  <si>
    <t>BPR &amp; IPP Trial orfders</t>
  </si>
  <si>
    <t>Need 120MT orders</t>
  </si>
  <si>
    <t>500MT CF orders from April has been considered. 600MT further orders required.</t>
  </si>
  <si>
    <t>1.2KT narrow orders not considered. Centre slit HR trial will be taken at HSM by next week. If trial gets succesful, then narrow orders will be considered or else need wider orders.</t>
  </si>
  <si>
    <t>9518712210-7</t>
  </si>
  <si>
    <t>9518712491-1</t>
  </si>
  <si>
    <t>9518711518-1</t>
  </si>
  <si>
    <t>4000504653-2</t>
  </si>
  <si>
    <t>4000504653-3</t>
  </si>
  <si>
    <t>4000504653-4</t>
  </si>
  <si>
    <t>4000504653-5</t>
  </si>
  <si>
    <t>9518709061-3</t>
  </si>
  <si>
    <t>9518709061-4</t>
  </si>
  <si>
    <t>9518712210-5</t>
  </si>
  <si>
    <t>9518724444-1</t>
  </si>
  <si>
    <t>9518724444-2</t>
  </si>
  <si>
    <t>9518724444-3</t>
  </si>
  <si>
    <t>9518724444-4</t>
  </si>
  <si>
    <t>9518724444-5</t>
  </si>
  <si>
    <t>9518721133-2</t>
  </si>
  <si>
    <t>9518711518-2</t>
  </si>
  <si>
    <t>9518711518-3</t>
  </si>
  <si>
    <t>9518715401-1</t>
  </si>
  <si>
    <t>Hosur Tube Plant</t>
  </si>
  <si>
    <t>BMW VYAPAR PRIVATE LIMITED</t>
  </si>
  <si>
    <t>JABALPUR</t>
  </si>
  <si>
    <t>KOLAR</t>
  </si>
  <si>
    <t>GL COIL HARD  Y550GL GL6H 0.900X1250</t>
  </si>
  <si>
    <t>CRFH COIL TATFHC RE03 1.200X1250</t>
  </si>
  <si>
    <t>GP COIL SOFT TATXGP GK09 0.350X1250</t>
  </si>
  <si>
    <t>GP COIL SOFT-TATXGP-GK09-0.4X1250</t>
  </si>
  <si>
    <t>GP COIL TATXGP GK09 0.450X1250</t>
  </si>
  <si>
    <t>GP COIL SOFT-TATXGP-GK09-0.5X1250</t>
  </si>
  <si>
    <t>GP COIL SOFT-TATXGP-GK09-0.6X1250</t>
  </si>
  <si>
    <t>HR COILS-PO IS 1079 HR2 3.50X1250</t>
  </si>
  <si>
    <t>May'25 additional</t>
  </si>
  <si>
    <t>9518717365-1</t>
  </si>
  <si>
    <t>9518717365-2</t>
  </si>
  <si>
    <t>9518717365-3</t>
  </si>
  <si>
    <t>9518709112-1</t>
  </si>
  <si>
    <t>9518709169-1</t>
  </si>
  <si>
    <t>9518713333-1</t>
  </si>
  <si>
    <t>9518713406-1</t>
  </si>
  <si>
    <t>9518724466-1</t>
  </si>
  <si>
    <t>9518724466-5</t>
  </si>
  <si>
    <t>9518724466-7</t>
  </si>
  <si>
    <t>9518724466-8</t>
  </si>
  <si>
    <t>9518718466-1</t>
  </si>
  <si>
    <t>Purshotam Profiles Pvt. Ltd.</t>
  </si>
  <si>
    <t>GP COIL TATGPH GP02 0.600X1350</t>
  </si>
  <si>
    <t>Ok</t>
  </si>
  <si>
    <t>9518724466-3</t>
  </si>
  <si>
    <t>9518724466-4</t>
  </si>
  <si>
    <t>9518697965-7</t>
  </si>
  <si>
    <t>9518697965-8</t>
  </si>
  <si>
    <t>9518697965-4</t>
  </si>
  <si>
    <t>9518724466-2</t>
  </si>
  <si>
    <t>9518666879-2</t>
  </si>
  <si>
    <t>9518712127-9</t>
  </si>
  <si>
    <t>9518712127-10</t>
  </si>
  <si>
    <t>9518731229-2</t>
  </si>
  <si>
    <t>9518731229-3</t>
  </si>
  <si>
    <t>9518699641-1</t>
  </si>
  <si>
    <t>9518696886-2</t>
  </si>
  <si>
    <t>9518708683-1</t>
  </si>
  <si>
    <t>9518731229-1</t>
  </si>
  <si>
    <t>9518716588-1</t>
  </si>
  <si>
    <t>9518715119-3</t>
  </si>
  <si>
    <t>FG stock 01-05-25</t>
  </si>
  <si>
    <t xml:space="preserve"> Actual BTF 01.05.25</t>
  </si>
  <si>
    <t>Magni Steel Pvt Ltd</t>
  </si>
  <si>
    <t>CRCA SHEET TATCRC EX08 0.300X1219X2438</t>
  </si>
  <si>
    <t>HR COILS-PO IS 1079 HR2 3.20X1250</t>
  </si>
  <si>
    <t>HR COILS-PO IS 1079 HR2 2.60X1250</t>
  </si>
  <si>
    <t>HR COILS-PO IS 1079 HR2 4.50X1250</t>
  </si>
  <si>
    <t>GP COIL TATGPH GP02 0.500X1015</t>
  </si>
  <si>
    <t>9518612961-1</t>
  </si>
  <si>
    <t>9518550672-4</t>
  </si>
  <si>
    <t>9518529910-2</t>
  </si>
  <si>
    <t>9518543214-10</t>
  </si>
  <si>
    <t>9518543125-8</t>
  </si>
  <si>
    <t>9518591982-2</t>
  </si>
  <si>
    <t>9518499138-8</t>
  </si>
  <si>
    <t>9518404985-1</t>
  </si>
  <si>
    <t>9518450786-3</t>
  </si>
  <si>
    <t>9518453202-2</t>
  </si>
  <si>
    <t>9518457019-4</t>
  </si>
  <si>
    <t>9518616405-1</t>
  </si>
  <si>
    <t>9518619803-3</t>
  </si>
  <si>
    <t>9518579911-9</t>
  </si>
  <si>
    <t>9518429066-8</t>
  </si>
  <si>
    <t>9518517180-5</t>
  </si>
  <si>
    <t>9518607093-5</t>
  </si>
  <si>
    <t>9518607406-3</t>
  </si>
  <si>
    <t>9518617046-8</t>
  </si>
  <si>
    <t>9518506961-2</t>
  </si>
  <si>
    <t>9518527640-1</t>
  </si>
  <si>
    <t>9518579911-4</t>
  </si>
  <si>
    <t>9518715371-2</t>
  </si>
  <si>
    <t>9518667615-4</t>
  </si>
  <si>
    <t>9518527008-3</t>
  </si>
  <si>
    <t>9518456733-3</t>
  </si>
  <si>
    <t>9518500349-2</t>
  </si>
  <si>
    <t>9518609830-3</t>
  </si>
  <si>
    <t>9518710804-1</t>
  </si>
  <si>
    <t>9518671035-1</t>
  </si>
  <si>
    <t>9518653385-3</t>
  </si>
  <si>
    <t>9518653385-4</t>
  </si>
  <si>
    <t>9518653385-6</t>
  </si>
  <si>
    <t>9518714528-1</t>
  </si>
  <si>
    <t>9518711420-3</t>
  </si>
  <si>
    <t>9518711420-4</t>
  </si>
  <si>
    <t>9518660599-1</t>
  </si>
  <si>
    <t>9518720671-1</t>
  </si>
  <si>
    <t>9518494750-1</t>
  </si>
  <si>
    <t>9518664809-5</t>
  </si>
  <si>
    <t>9518661174-1</t>
  </si>
  <si>
    <t>9518711420-5</t>
  </si>
  <si>
    <t>9518711420-6</t>
  </si>
  <si>
    <t>9518609830-2</t>
  </si>
  <si>
    <t>9518547699-1</t>
  </si>
  <si>
    <t>9518714453-10</t>
  </si>
  <si>
    <t>9518660802-1</t>
  </si>
  <si>
    <t>9518695469-1</t>
  </si>
  <si>
    <t>9518483138-2</t>
  </si>
  <si>
    <t>9518419841-2</t>
  </si>
  <si>
    <t>9518420533-5</t>
  </si>
  <si>
    <t>9518713816-5</t>
  </si>
  <si>
    <t>9518712059-12</t>
  </si>
  <si>
    <t>9518710626-1</t>
  </si>
  <si>
    <t>9518483493-1</t>
  </si>
  <si>
    <t>9518710764-1</t>
  </si>
  <si>
    <t>9518653385-2</t>
  </si>
  <si>
    <t>9518653385-5</t>
  </si>
  <si>
    <t>9518453202-1</t>
  </si>
  <si>
    <t>9518453235-4</t>
  </si>
  <si>
    <t>9518635063-1</t>
  </si>
  <si>
    <t>9518591869-3</t>
  </si>
  <si>
    <t>9518454228-2</t>
  </si>
  <si>
    <t>9518496230-2</t>
  </si>
  <si>
    <t>9518451356-16</t>
  </si>
  <si>
    <t>9518712059-9</t>
  </si>
  <si>
    <t>9518715371-1</t>
  </si>
  <si>
    <t>NCPL</t>
  </si>
  <si>
    <t>BPRS Total</t>
  </si>
  <si>
    <t>Kosh Narrow Total</t>
  </si>
  <si>
    <t>Kosh Wider Total</t>
  </si>
  <si>
    <t>Shaktee coil market Total</t>
  </si>
  <si>
    <t>Sum of Actual BTF 01.05.25</t>
  </si>
  <si>
    <t>SPC</t>
  </si>
  <si>
    <t>Shaktee + Hard</t>
  </si>
  <si>
    <t>Kosh narrow</t>
  </si>
  <si>
    <t>Other BPR</t>
  </si>
  <si>
    <t>Sheyrub</t>
  </si>
  <si>
    <t>Shaktee</t>
  </si>
  <si>
    <t>Shaktee wider</t>
  </si>
  <si>
    <t>Shaktee coil SPC</t>
  </si>
  <si>
    <t>TBL- BARA AGRICO</t>
  </si>
  <si>
    <t>BOKARO STEEL CY</t>
  </si>
  <si>
    <t>PANCHALA</t>
  </si>
  <si>
    <t>SALEM JN</t>
  </si>
  <si>
    <t>BOKARO</t>
  </si>
  <si>
    <t>ADITYAPUR</t>
  </si>
  <si>
    <t>ABHOYAPUR</t>
  </si>
  <si>
    <t>PATNA CITY</t>
  </si>
  <si>
    <t>PURNEA JN.</t>
  </si>
  <si>
    <t>SINGUR</t>
  </si>
  <si>
    <t>HUBLI</t>
  </si>
  <si>
    <t>BIDADI</t>
  </si>
  <si>
    <t>TIRUNINRAVUR</t>
  </si>
  <si>
    <t>SRIPERUMBUDUR</t>
  </si>
  <si>
    <t>KUTCH</t>
  </si>
  <si>
    <t>CHITTOOR</t>
  </si>
  <si>
    <t>LUDHIANA</t>
  </si>
  <si>
    <t>JSR WORKS PLANTTRY</t>
  </si>
  <si>
    <t>RAIPUR</t>
  </si>
  <si>
    <t>SRINAGAR O.A.</t>
  </si>
  <si>
    <t>NEWDELHI</t>
  </si>
  <si>
    <t>BANGALORE CITY</t>
  </si>
  <si>
    <t>SRIPERUMBADUR</t>
  </si>
  <si>
    <t>BHIWADI</t>
  </si>
  <si>
    <t>CHANGODAR</t>
  </si>
  <si>
    <t>HYDERABAD</t>
  </si>
  <si>
    <t>GUMMIDIPUNDI</t>
  </si>
  <si>
    <t>COIMBATORE</t>
  </si>
  <si>
    <t>Order to be logged</t>
  </si>
  <si>
    <t>Sanfab</t>
  </si>
  <si>
    <t>60893680-1</t>
  </si>
  <si>
    <t>60895201-22</t>
  </si>
  <si>
    <t>60897511-39</t>
  </si>
  <si>
    <t>60907770-11</t>
  </si>
  <si>
    <t>60907770-12</t>
  </si>
  <si>
    <t>60907770-9</t>
  </si>
  <si>
    <t>60907771-14</t>
  </si>
  <si>
    <t>60917805-11</t>
  </si>
  <si>
    <t>60917805-9</t>
  </si>
  <si>
    <t>60917917-1</t>
  </si>
  <si>
    <t>60917918-9</t>
  </si>
  <si>
    <t>60921211-5</t>
  </si>
  <si>
    <t>60922649-1</t>
  </si>
  <si>
    <t>60922850-1</t>
  </si>
  <si>
    <t>9517427639-3</t>
  </si>
  <si>
    <t>9517771144-8</t>
  </si>
  <si>
    <t>9517928529-1</t>
  </si>
  <si>
    <t>9517952959-8</t>
  </si>
  <si>
    <t>9517976774-28</t>
  </si>
  <si>
    <t>9517976774-42</t>
  </si>
  <si>
    <t>9518037772-13</t>
  </si>
  <si>
    <t>9518037772-18</t>
  </si>
  <si>
    <t>9518125554-3</t>
  </si>
  <si>
    <t>9518136786-6</t>
  </si>
  <si>
    <t>9518150929-2</t>
  </si>
  <si>
    <t>9518188607-1</t>
  </si>
  <si>
    <t>9518188688-8</t>
  </si>
  <si>
    <t>9518197222-2</t>
  </si>
  <si>
    <t>9518202440-2</t>
  </si>
  <si>
    <t>9518202725-2</t>
  </si>
  <si>
    <t>9518235044-5</t>
  </si>
  <si>
    <t>9518253010-1</t>
  </si>
  <si>
    <t>9518275934-2</t>
  </si>
  <si>
    <t>9518281414-1</t>
  </si>
  <si>
    <t>9518294311-1</t>
  </si>
  <si>
    <t>9518326942-10</t>
  </si>
  <si>
    <t>9518326942-8</t>
  </si>
  <si>
    <t>9518326942-9</t>
  </si>
  <si>
    <t>9518341335-8</t>
  </si>
  <si>
    <t>9518341433-2</t>
  </si>
  <si>
    <t>9518419193-2</t>
  </si>
  <si>
    <t>9518434780-3</t>
  </si>
  <si>
    <t>9518468791-1</t>
  </si>
  <si>
    <t>9518493528-7</t>
  </si>
  <si>
    <t>9518519364-1</t>
  </si>
  <si>
    <t>9518522829-8</t>
  </si>
  <si>
    <t>9518525587-1</t>
  </si>
  <si>
    <t>9518535497-1</t>
  </si>
  <si>
    <t>9518563487-11</t>
  </si>
  <si>
    <t>9518563487-13</t>
  </si>
  <si>
    <t>9518563487-14</t>
  </si>
  <si>
    <t>9518563487-15</t>
  </si>
  <si>
    <t>9518563487-17</t>
  </si>
  <si>
    <t>9518563487-18</t>
  </si>
  <si>
    <t>9518587830-1</t>
  </si>
  <si>
    <t>9518620199-1</t>
  </si>
  <si>
    <t>9518636685-1</t>
  </si>
  <si>
    <t>9518658444-3</t>
  </si>
  <si>
    <t>9518676248-1</t>
  </si>
  <si>
    <t>9518681853-2</t>
  </si>
  <si>
    <t>9518682512-1</t>
  </si>
  <si>
    <t>9518682547-1</t>
  </si>
  <si>
    <t>9518682547-2</t>
  </si>
  <si>
    <t>9518685736-1</t>
  </si>
  <si>
    <t>9518700032-1</t>
  </si>
  <si>
    <t>9518700032-3</t>
  </si>
  <si>
    <t>9518703160-1</t>
  </si>
  <si>
    <t>9518717040-22</t>
  </si>
  <si>
    <t>9518717040-3</t>
  </si>
  <si>
    <t>9518717040-6</t>
  </si>
  <si>
    <t>9518717476-13</t>
  </si>
  <si>
    <t>9518717476-18</t>
  </si>
  <si>
    <t>9518717476-20</t>
  </si>
  <si>
    <t>9518717476-21</t>
  </si>
  <si>
    <t>9518717476-4</t>
  </si>
  <si>
    <t>9518717476-5</t>
  </si>
  <si>
    <t>9518717476-7</t>
  </si>
  <si>
    <t>9518717476-8</t>
  </si>
  <si>
    <t>9518719583-1</t>
  </si>
  <si>
    <t>9518719583-2</t>
  </si>
  <si>
    <t>9518729536-1</t>
  </si>
  <si>
    <t>9518731172-2</t>
  </si>
  <si>
    <t>9518731172-3</t>
  </si>
  <si>
    <t>9518731172-4</t>
  </si>
  <si>
    <t>9518733658-2</t>
  </si>
  <si>
    <t>9518733658-3</t>
  </si>
  <si>
    <t>9518733687-1</t>
  </si>
  <si>
    <t>9518737119-1</t>
  </si>
  <si>
    <t>ZBTC</t>
  </si>
  <si>
    <t>Stocks</t>
  </si>
  <si>
    <t>EAST</t>
  </si>
  <si>
    <t>NORTH</t>
  </si>
  <si>
    <t>WEST</t>
  </si>
  <si>
    <t>SOUTH</t>
  </si>
  <si>
    <t>GP SHEET SOFT-TATXGP-GK09-0.5X1220</t>
  </si>
  <si>
    <t>GL COIL HARD  Y550GL H7GL 0.460X1240</t>
  </si>
  <si>
    <t>CRCA SHEET TATCRC SR16 0.300X1000X1910</t>
  </si>
  <si>
    <t>CRCA SHEET TATXXD BT02 0.700X920X1798</t>
  </si>
  <si>
    <t>CRCA SHEET TATXXD BT02 0.770X925X1798</t>
  </si>
  <si>
    <t>CRCA SHEET TATXXD BT02 0.770X920X1798</t>
  </si>
  <si>
    <t>GL C YS550 H6GL 0.60BMT(0.65TCT)X1250</t>
  </si>
  <si>
    <t>GL COIL SKINPASS Y300GL SGL2 0.47X1220</t>
  </si>
  <si>
    <t>CRCA SHEET TATCRC SR16 0.400X1000X2000</t>
  </si>
  <si>
    <t>PPGL COIL HARD-Y550PL-HPL3-0.7X1220</t>
  </si>
  <si>
    <t>PPGL C Y550 HPL3 0.60BMT(0.68TPT)X1220</t>
  </si>
  <si>
    <t>GP SHEET SOFT-TATXGP-GK09-0.35X900</t>
  </si>
  <si>
    <t>GL C YS550 M306 0.38BMT(0.40TCT)X1000</t>
  </si>
  <si>
    <t>CRCA SHEET TATCRC SR16 0.400X1250X1980</t>
  </si>
  <si>
    <t>PPGL C HARD Y550PL PLH1 0.430X1020</t>
  </si>
  <si>
    <t>CR COIL TATXXD BT03 0.600X1120</t>
  </si>
  <si>
    <t>PPGL C Y550 D0C7 0.33BMT(0.37TPT)X1220</t>
  </si>
  <si>
    <t>GL C YS550 M306 0.43BMT(0.45TCT)X900</t>
  </si>
  <si>
    <t>PPGL C YS550 HPL8 0.40BMT(0.45TPT)X1220</t>
  </si>
  <si>
    <t>CRCA COIL TATXXD AH03 1.900X1250</t>
  </si>
  <si>
    <t>GL COIL HARD  Y550GL H7GL 0.450X1245</t>
  </si>
  <si>
    <t>GP COIL TATXGP GK09 0.630X1000</t>
  </si>
  <si>
    <t>GL COIL HARD  Y550GL H7GL 0.400X1245</t>
  </si>
  <si>
    <t>GL COIL HARD  Y550GL H7GL 0.370X1245</t>
  </si>
  <si>
    <t>PPGL COIL HARD-Y550PL-HPL3-0.65X1220</t>
  </si>
  <si>
    <t>PPGL C Y550 HPL3 0.72BMT(0.80TPT)X1220</t>
  </si>
  <si>
    <t>PPGL C Y550 HPL3 0.32BMT(0.40TPT)X1220</t>
  </si>
  <si>
    <t>PPGL C HARD Y550PL D0C9 0.450(TPT)X1220</t>
  </si>
  <si>
    <t>CRCA SHEET TATXXD AU03 0.750X1250X2500</t>
  </si>
  <si>
    <t>GP COIL SOFT TATXGP GK09 0.220X900</t>
  </si>
  <si>
    <t>CRCA SHEET TSBCRC SR15 0.500X900X2500</t>
  </si>
  <si>
    <t>PPGL C YS550 HPL8 0.30BMT(0.35TPT)X1220</t>
  </si>
  <si>
    <t>Y300GL</t>
  </si>
  <si>
    <t>SGL2</t>
  </si>
  <si>
    <t>BT03</t>
  </si>
  <si>
    <t>HPL8</t>
  </si>
  <si>
    <t>Pilkhuwa Depot</t>
  </si>
  <si>
    <t>Ludhiana - CA</t>
  </si>
  <si>
    <t>AASHRAY ENTERPRISES</t>
  </si>
  <si>
    <t>TATA BLUESCOPE STEEL PVT LTD</t>
  </si>
  <si>
    <t>R.K .Metal Roofings Private Li</t>
  </si>
  <si>
    <t>FG 202519</t>
  </si>
  <si>
    <t>FG 202520</t>
  </si>
  <si>
    <t>FG 202521</t>
  </si>
  <si>
    <t>FG 202522</t>
  </si>
  <si>
    <t>Disp 202519</t>
  </si>
  <si>
    <t>Disp 202520</t>
  </si>
  <si>
    <t>Disp 202521</t>
  </si>
  <si>
    <t>Disp 202522</t>
  </si>
  <si>
    <t>PPGL C HARD Y550PL HPL6 0.40(TPT)X1220</t>
  </si>
  <si>
    <t>PPGL C Y550 HPL6 0.43BMT(0.50TPT)X1220</t>
  </si>
  <si>
    <t>PPGL C Y550 HPL6 0.40BMT(0.47TPT)X1220</t>
  </si>
  <si>
    <t>PPGL C HARD Y550PL D0C9 0.430X1220</t>
  </si>
  <si>
    <t>PPGL C YS550 HPL5 0.45BMT(0.56TPT)X1220</t>
  </si>
  <si>
    <t>CF stock Jun'25</t>
  </si>
  <si>
    <t xml:space="preserve"> FG 202518</t>
  </si>
  <si>
    <t xml:space="preserve"> FG 202519</t>
  </si>
  <si>
    <t xml:space="preserve"> FG 202520</t>
  </si>
  <si>
    <t xml:space="preserve"> FG 202521</t>
  </si>
  <si>
    <t xml:space="preserve"> FG 202522</t>
  </si>
  <si>
    <t xml:space="preserve"> FG stock 01-05-25</t>
  </si>
  <si>
    <t xml:space="preserve"> Disp 202518</t>
  </si>
  <si>
    <t xml:space="preserve"> Disp 202519</t>
  </si>
  <si>
    <t xml:space="preserve"> Disp 202520</t>
  </si>
  <si>
    <t xml:space="preserve"> Disp 202521</t>
  </si>
  <si>
    <t xml:space="preserve"> Disp 202522</t>
  </si>
  <si>
    <t xml:space="preserve"> CF stock Jun'25</t>
  </si>
  <si>
    <t>1</t>
  </si>
  <si>
    <t>9518583094-3</t>
  </si>
  <si>
    <t>9518636677-1</t>
  </si>
  <si>
    <t>9518636677-2</t>
  </si>
  <si>
    <t>9518636677-3</t>
  </si>
  <si>
    <t>9518636677-4</t>
  </si>
  <si>
    <t>9518636677-5</t>
  </si>
  <si>
    <t>9518636677-6</t>
  </si>
  <si>
    <t>9518407392-4</t>
  </si>
  <si>
    <t>9518454228-1</t>
  </si>
  <si>
    <t>9518507185-1</t>
  </si>
  <si>
    <t>9518507185-3</t>
  </si>
  <si>
    <t>9518507185-4</t>
  </si>
  <si>
    <t>9518507657-4</t>
  </si>
  <si>
    <t>9518507657-5</t>
  </si>
  <si>
    <t>9518507657-6</t>
  </si>
  <si>
    <t>9518507657-7</t>
  </si>
  <si>
    <t>9518519567-1</t>
  </si>
  <si>
    <t>9518519644-5</t>
  </si>
  <si>
    <t>9518519644-6</t>
  </si>
  <si>
    <t>9518520213-4</t>
  </si>
  <si>
    <t>9518520213-5</t>
  </si>
  <si>
    <t>9518520213-6</t>
  </si>
  <si>
    <t>9518522888-1</t>
  </si>
  <si>
    <t>9518528325-6</t>
  </si>
  <si>
    <t>9518529569-1</t>
  </si>
  <si>
    <t>9518529688-1</t>
  </si>
  <si>
    <t>9518533557-2</t>
  </si>
  <si>
    <t>9518533557-3</t>
  </si>
  <si>
    <t>9518533557-4</t>
  </si>
  <si>
    <t>9518533557-5</t>
  </si>
  <si>
    <t>9518542770-7</t>
  </si>
  <si>
    <t>9518546801-2</t>
  </si>
  <si>
    <t>9518550511-8</t>
  </si>
  <si>
    <t>9518559566-1</t>
  </si>
  <si>
    <t>9518569788-1</t>
  </si>
  <si>
    <t>9518584468-1</t>
  </si>
  <si>
    <t>9518585068-1</t>
  </si>
  <si>
    <t>9518592268-1</t>
  </si>
  <si>
    <t>9518599122-3</t>
  </si>
  <si>
    <t>9518604267-1</t>
  </si>
  <si>
    <t>9518604267-3</t>
  </si>
  <si>
    <t>9518605539-3</t>
  </si>
  <si>
    <t>9518609826-2</t>
  </si>
  <si>
    <t>9518613003-1</t>
  </si>
  <si>
    <t>9518613003-2</t>
  </si>
  <si>
    <t>9518613067-1</t>
  </si>
  <si>
    <t>9518613067-2</t>
  </si>
  <si>
    <t>9518613530-1</t>
  </si>
  <si>
    <t>9518613638-2</t>
  </si>
  <si>
    <t>9518613638-3</t>
  </si>
  <si>
    <t>9518615307-2</t>
  </si>
  <si>
    <t>9518632737-1</t>
  </si>
  <si>
    <t>9518632737-2</t>
  </si>
  <si>
    <t>9518651680-3</t>
  </si>
  <si>
    <t>9518598830-1</t>
  </si>
  <si>
    <t>9518652226-1</t>
  </si>
  <si>
    <t>9518635916-2</t>
  </si>
  <si>
    <t>9518651680-4</t>
  </si>
  <si>
    <t>9518651680-5</t>
  </si>
  <si>
    <t>9518635916-4</t>
  </si>
  <si>
    <t>9518624252-11</t>
  </si>
  <si>
    <t>9518598962-2</t>
  </si>
  <si>
    <t>9518651680-7</t>
  </si>
  <si>
    <t>9518624252-13</t>
  </si>
  <si>
    <t>9518585087</t>
  </si>
  <si>
    <t>3</t>
  </si>
  <si>
    <t>9518621067</t>
  </si>
  <si>
    <t>9518653307</t>
  </si>
  <si>
    <t>2</t>
  </si>
  <si>
    <t>9518411862</t>
  </si>
  <si>
    <t>9518411918</t>
  </si>
  <si>
    <t>9518495920</t>
  </si>
  <si>
    <t>8</t>
  </si>
  <si>
    <t>9518500318</t>
  </si>
  <si>
    <t>9518543125</t>
  </si>
  <si>
    <t>9518561462</t>
  </si>
  <si>
    <t>9518578381</t>
  </si>
  <si>
    <t>9518579878</t>
  </si>
  <si>
    <t>9518598795</t>
  </si>
  <si>
    <t>4</t>
  </si>
  <si>
    <t>9518628470</t>
  </si>
  <si>
    <t>9518628976</t>
  </si>
  <si>
    <t>9518635916</t>
  </si>
  <si>
    <t>9518665983-1</t>
  </si>
  <si>
    <t>9518665983-2</t>
  </si>
  <si>
    <t>9518665983-3</t>
  </si>
  <si>
    <t>9518712653-1</t>
  </si>
  <si>
    <t>9518712672-7</t>
  </si>
  <si>
    <t>9518712677-2</t>
  </si>
  <si>
    <t>9518712674-4</t>
  </si>
  <si>
    <t>9518729315-2</t>
  </si>
  <si>
    <t>(blank)</t>
  </si>
  <si>
    <t>BABA CONTAINER MANUFACTURERS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</si>
</sst>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
  </numFmts>
  <fonts count="22" x14ac:knownFonts="1">
    <font>
      <sz val="11"/>
      <color theme="1"/>
      <name val="Calibri"/>
      <family val="2"/>
      <scheme val="minor"/>
    </font>
    <font>
      <sz val="10"/>
      <name val="Arial"/>
      <family val="2"/>
    </font>
    <font>
      <sz val="12"/>
      <name val="Times New Roman"/>
      <family val="1"/>
    </font>
    <font>
      <sz val="10"/>
      <name val="Arial"/>
      <family val="2"/>
    </font>
    <font>
      <sz val="11"/>
      <color theme="1"/>
      <name val="Calibri"/>
      <family val="2"/>
      <scheme val="minor"/>
    </font>
    <font>
      <sz val="12"/>
      <color theme="1"/>
      <name val="Calibri"/>
      <family val="2"/>
      <scheme val="minor"/>
    </font>
    <font>
      <b/>
      <sz val="11"/>
      <color theme="1"/>
      <name val="Calibri"/>
      <family val="2"/>
      <scheme val="minor"/>
    </font>
    <font>
      <sz val="9"/>
      <color theme="1"/>
      <name val="Calibri"/>
      <family val="2"/>
      <scheme val="minor"/>
    </font>
    <font>
      <b/>
      <sz val="11"/>
      <color rgb="FF000000"/>
      <name val="Calibri"/>
      <family val="2"/>
      <scheme val="minor"/>
    </font>
    <font>
      <sz val="9"/>
      <name val="Calibri"/>
      <family val="2"/>
      <scheme val="minor"/>
    </font>
    <font>
      <b/>
      <sz val="9"/>
      <color theme="1"/>
      <name val="Calibri"/>
      <family val="2"/>
      <scheme val="minor"/>
    </font>
    <font>
      <sz val="11"/>
      <name val="Calibri"/>
      <family val="2"/>
      <scheme val="minor"/>
    </font>
    <font>
      <sz val="10"/>
      <name val="Calibri"/>
      <family val="2"/>
      <scheme val="minor"/>
    </font>
    <font>
      <b/>
      <sz val="9"/>
      <color rgb="FF000000"/>
      <name val="Calibri"/>
      <family val="2"/>
      <scheme val="minor"/>
    </font>
    <font>
      <b/>
      <sz val="9"/>
      <color rgb="FFFF0000"/>
      <name val="Calibri"/>
      <family val="2"/>
      <scheme val="minor"/>
    </font>
    <font>
      <b/>
      <sz val="9"/>
      <color theme="0"/>
      <name val="Calibri"/>
      <family val="2"/>
      <scheme val="minor"/>
    </font>
    <font>
      <b/>
      <sz val="10"/>
      <name val="Calibri"/>
      <family val="2"/>
      <scheme val="minor"/>
    </font>
    <font>
      <sz val="9"/>
      <color rgb="FFFF0000"/>
      <name val="Calibri"/>
      <family val="2"/>
      <scheme val="minor"/>
    </font>
    <font>
      <sz val="10"/>
      <color theme="1"/>
      <name val="Calibri"/>
      <family val="2"/>
      <scheme val="minor"/>
    </font>
    <font>
      <b/>
      <sz val="9"/>
      <name val="Calibri"/>
      <family val="2"/>
      <scheme val="minor"/>
    </font>
    <font>
      <sz val="9"/>
      <color theme="0"/>
      <name val="Calibri"/>
      <family val="2"/>
      <scheme val="minor"/>
    </font>
    <font>
      <sz val="8"/>
      <name val="Calibri"/>
      <family val="2"/>
      <scheme val="minor"/>
    </font>
  </fonts>
  <fills count="28">
    <fill>
      <patternFill patternType="none"/>
    </fill>
    <fill>
      <patternFill patternType="gray125"/>
    </fill>
    <fill>
      <patternFill patternType="solid">
        <fgColor indexed="22"/>
        <bgColor indexed="64"/>
      </patternFill>
    </fill>
    <fill>
      <patternFill patternType="solid">
        <fgColor rgb="FF00B0F0"/>
        <bgColor indexed="64"/>
      </patternFill>
    </fill>
    <fill>
      <patternFill patternType="solid">
        <fgColor rgb="FFFFFF00"/>
        <bgColor rgb="FF000000"/>
      </patternFill>
    </fill>
    <fill>
      <patternFill patternType="solid">
        <fgColor rgb="FF0070C0"/>
        <bgColor indexed="64"/>
      </patternFill>
    </fill>
    <fill>
      <patternFill patternType="solid">
        <fgColor theme="5" tint="0.79998168889431442"/>
        <bgColor indexed="64"/>
      </patternFill>
    </fill>
    <fill>
      <patternFill patternType="solid">
        <fgColor rgb="FFDDEBF7"/>
        <bgColor rgb="FF000000"/>
      </patternFill>
    </fill>
    <fill>
      <patternFill patternType="solid">
        <fgColor theme="5" tint="0.79998168889431442"/>
        <bgColor rgb="FF000000"/>
      </patternFill>
    </fill>
    <fill>
      <patternFill patternType="solid">
        <fgColor rgb="FFFFC000"/>
        <bgColor rgb="FF000000"/>
      </patternFill>
    </fill>
    <fill>
      <patternFill patternType="solid">
        <fgColor theme="4" tint="0.79998168889431442"/>
        <bgColor rgb="FF000000"/>
      </patternFill>
    </fill>
    <fill>
      <patternFill patternType="solid">
        <fgColor rgb="FFED7D31"/>
        <bgColor rgb="FF000000"/>
      </patternFill>
    </fill>
    <fill>
      <patternFill patternType="solid">
        <fgColor theme="4" tint="0.39997558519241921"/>
        <bgColor rgb="FF000000"/>
      </patternFill>
    </fill>
    <fill>
      <patternFill patternType="solid">
        <fgColor rgb="FFD9E1F2"/>
        <bgColor rgb="FF000000"/>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rgb="FF92D050"/>
        <bgColor indexed="64"/>
      </patternFill>
    </fill>
    <fill>
      <patternFill patternType="solid">
        <fgColor rgb="FF00B0F0"/>
        <bgColor rgb="FFDDEBF7"/>
      </patternFill>
    </fill>
    <fill>
      <patternFill patternType="solid">
        <fgColor rgb="FFFFC000"/>
        <bgColor indexed="64"/>
      </patternFill>
    </fill>
    <fill>
      <patternFill patternType="solid">
        <fgColor rgb="FFFFFF00"/>
        <bgColor rgb="FFDDEBF7"/>
      </patternFill>
    </fill>
    <fill>
      <patternFill patternType="solid">
        <fgColor rgb="FF92D050"/>
        <bgColor rgb="FF000000"/>
      </patternFill>
    </fill>
    <fill>
      <patternFill patternType="solid">
        <fgColor theme="7" tint="0.79998168889431442"/>
        <bgColor indexed="64"/>
      </patternFill>
    </fill>
    <fill>
      <patternFill patternType="solid">
        <fgColor theme="5" tint="-0.249977111117893"/>
        <bgColor rgb="FF000000"/>
      </patternFill>
    </fill>
    <fill>
      <patternFill patternType="solid">
        <fgColor theme="8" tint="0.59999389629810485"/>
        <bgColor indexed="64"/>
      </patternFill>
    </fill>
    <fill>
      <patternFill patternType="solid">
        <fgColor theme="5" tint="0.79998168889431442"/>
        <bgColor theme="5" tint="0.79998168889431442"/>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thin">
        <color rgb="FF8EA9DB"/>
      </bottom>
      <diagonal/>
    </border>
    <border>
      <left style="thin">
        <color indexed="64"/>
      </left>
      <right/>
      <top/>
      <bottom style="thin">
        <color indexed="64"/>
      </bottom>
      <diagonal/>
    </border>
  </borders>
  <cellStyleXfs count="8">
    <xf numFmtId="0" fontId="0" fillId="0" borderId="0"/>
    <xf numFmtId="0" fontId="1" fillId="0" borderId="0"/>
    <xf numFmtId="0" fontId="2" fillId="0" borderId="0">
      <alignment vertical="center"/>
    </xf>
    <xf numFmtId="0" fontId="5" fillId="0" borderId="0"/>
    <xf numFmtId="0" fontId="3" fillId="0" borderId="0"/>
    <xf numFmtId="9" fontId="4" fillId="0" borderId="0" applyFont="0" applyFill="0" applyBorder="0" applyAlignment="0" applyProtection="0"/>
    <xf numFmtId="9" fontId="1" fillId="0" borderId="0" applyFont="0" applyFill="0" applyBorder="0" applyAlignment="0" applyProtection="0"/>
    <xf numFmtId="0" fontId="1" fillId="0" borderId="0"/>
  </cellStyleXfs>
  <cellXfs count="148">
    <xf numFmtId="0" fontId="0" fillId="0" borderId="0" xfId="0"/>
    <xf numFmtId="0" fontId="0" fillId="0" borderId="0" xfId="0" applyAlignment="1">
      <alignment horizontal="center" vertical="top"/>
    </xf>
    <xf numFmtId="0" fontId="0" fillId="0" borderId="0" xfId="0" applyAlignment="1">
      <alignment horizontal="center" vertical="top" wrapText="1"/>
    </xf>
    <xf numFmtId="1" fontId="0" fillId="0" borderId="0" xfId="0" applyNumberFormat="1" applyAlignment="1">
      <alignment horizontal="center" vertical="top" wrapText="1"/>
    </xf>
    <xf numFmtId="0" fontId="0" fillId="0" borderId="0" xfId="0" pivotButton="1" applyAlignment="1">
      <alignment horizontal="center" vertical="top"/>
    </xf>
    <xf numFmtId="9" fontId="6" fillId="0" borderId="0" xfId="5" applyFont="1" applyFill="1" applyAlignment="1">
      <alignment horizontal="center" vertical="top"/>
    </xf>
    <xf numFmtId="9" fontId="8" fillId="4" borderId="0" xfId="0" applyNumberFormat="1" applyFont="1" applyFill="1" applyAlignment="1">
      <alignment horizontal="center" vertical="top"/>
    </xf>
    <xf numFmtId="1" fontId="9"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1" xfId="0" pivotButton="1" applyBorder="1" applyAlignment="1">
      <alignment horizontal="center" vertical="top" wrapText="1"/>
    </xf>
    <xf numFmtId="164" fontId="7"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0" fontId="7" fillId="0" borderId="1" xfId="0" applyFont="1" applyBorder="1" applyAlignment="1">
      <alignment horizontal="left" vertical="center"/>
    </xf>
    <xf numFmtId="1" fontId="0" fillId="0" borderId="2" xfId="0" applyNumberFormat="1" applyBorder="1" applyAlignment="1">
      <alignment horizontal="center" vertical="top" wrapText="1"/>
    </xf>
    <xf numFmtId="1" fontId="0" fillId="0" borderId="3" xfId="0" applyNumberFormat="1" applyBorder="1" applyAlignment="1">
      <alignment horizontal="center" vertical="top" wrapText="1"/>
    </xf>
    <xf numFmtId="1" fontId="0" fillId="0" borderId="1" xfId="0" pivotButton="1" applyNumberFormat="1" applyBorder="1" applyAlignment="1">
      <alignment horizontal="center" vertical="top" wrapText="1"/>
    </xf>
    <xf numFmtId="0" fontId="11" fillId="0" borderId="0" xfId="0" applyFont="1" applyAlignment="1">
      <alignment horizontal="center" vertical="top" wrapText="1"/>
    </xf>
    <xf numFmtId="1" fontId="12" fillId="0" borderId="1" xfId="0" applyNumberFormat="1" applyFont="1" applyBorder="1" applyAlignment="1">
      <alignment horizontal="center" vertical="top" wrapText="1"/>
    </xf>
    <xf numFmtId="0" fontId="0" fillId="0" borderId="2" xfId="0" applyBorder="1" applyAlignment="1">
      <alignment horizontal="center" vertical="top"/>
    </xf>
    <xf numFmtId="0" fontId="0" fillId="0" borderId="3" xfId="0" applyBorder="1" applyAlignment="1">
      <alignment horizontal="center" vertical="top"/>
    </xf>
    <xf numFmtId="1" fontId="0" fillId="0" borderId="4" xfId="0" applyNumberFormat="1" applyBorder="1" applyAlignment="1">
      <alignment horizontal="center" vertical="top" wrapText="1"/>
    </xf>
    <xf numFmtId="0" fontId="0" fillId="0" borderId="1" xfId="0" applyBorder="1" applyAlignment="1">
      <alignment horizontal="center" vertical="top"/>
    </xf>
    <xf numFmtId="0" fontId="0" fillId="0" borderId="0" xfId="0" applyAlignment="1">
      <alignment wrapText="1"/>
    </xf>
    <xf numFmtId="0" fontId="0" fillId="0" borderId="5" xfId="0"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0" fillId="6" borderId="2" xfId="0" applyFill="1" applyBorder="1" applyAlignment="1">
      <alignment horizontal="center" vertical="top"/>
    </xf>
    <xf numFmtId="0" fontId="0" fillId="6" borderId="3" xfId="0" applyFill="1"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1" fontId="0" fillId="0" borderId="11" xfId="0" applyNumberFormat="1" applyBorder="1" applyAlignment="1">
      <alignment horizontal="center" vertical="top" wrapText="1"/>
    </xf>
    <xf numFmtId="1" fontId="0" fillId="0" borderId="8" xfId="0" applyNumberFormat="1" applyBorder="1" applyAlignment="1">
      <alignment horizontal="center" vertical="top" wrapText="1"/>
    </xf>
    <xf numFmtId="1" fontId="0" fillId="0" borderId="9" xfId="0" applyNumberFormat="1" applyBorder="1" applyAlignment="1">
      <alignment horizontal="center" vertical="top" wrapText="1"/>
    </xf>
    <xf numFmtId="0" fontId="0" fillId="0" borderId="9" xfId="0" applyBorder="1" applyAlignment="1">
      <alignment horizontal="center" vertical="top" wrapText="1"/>
    </xf>
    <xf numFmtId="1" fontId="10" fillId="0" borderId="1" xfId="0" applyNumberFormat="1" applyFont="1" applyBorder="1" applyAlignment="1">
      <alignment horizontal="center" vertical="center"/>
    </xf>
    <xf numFmtId="164" fontId="9" fillId="0" borderId="1" xfId="0" applyNumberFormat="1" applyFont="1" applyBorder="1" applyAlignment="1">
      <alignment horizontal="left" vertical="center"/>
    </xf>
    <xf numFmtId="0" fontId="8" fillId="4" borderId="13" xfId="0" applyFont="1" applyFill="1" applyBorder="1" applyAlignment="1">
      <alignment horizontal="center" vertical="top" wrapText="1"/>
    </xf>
    <xf numFmtId="1" fontId="0" fillId="3" borderId="12" xfId="0" applyNumberFormat="1" applyFill="1" applyBorder="1" applyAlignment="1">
      <alignment horizontal="center" vertical="top" wrapText="1"/>
    </xf>
    <xf numFmtId="1" fontId="0" fillId="20" borderId="12" xfId="0" applyNumberFormat="1" applyFill="1" applyBorder="1" applyAlignment="1">
      <alignment horizontal="center" vertical="top" wrapText="1"/>
    </xf>
    <xf numFmtId="0" fontId="0" fillId="3" borderId="9" xfId="0" applyFill="1" applyBorder="1" applyAlignment="1">
      <alignment horizontal="center" vertical="top" wrapText="1"/>
    </xf>
    <xf numFmtId="0" fontId="0" fillId="20" borderId="0" xfId="0" applyFill="1" applyAlignment="1">
      <alignment horizontal="center" vertical="top" wrapText="1"/>
    </xf>
    <xf numFmtId="0" fontId="0" fillId="23" borderId="0" xfId="0" applyFill="1" applyAlignment="1">
      <alignment horizontal="center" vertical="top" wrapText="1"/>
    </xf>
    <xf numFmtId="1" fontId="0" fillId="23" borderId="12" xfId="0" applyNumberFormat="1" applyFill="1" applyBorder="1" applyAlignment="1">
      <alignment horizontal="center" vertical="top" wrapText="1"/>
    </xf>
    <xf numFmtId="1" fontId="0" fillId="0" borderId="0" xfId="0" applyNumberFormat="1" applyAlignment="1">
      <alignment horizontal="center" vertical="top"/>
    </xf>
    <xf numFmtId="1" fontId="0" fillId="6" borderId="12" xfId="0" applyNumberFormat="1" applyFill="1" applyBorder="1" applyAlignment="1">
      <alignment horizontal="center" vertical="top" wrapText="1"/>
    </xf>
    <xf numFmtId="0" fontId="18" fillId="0" borderId="1" xfId="0" applyFont="1" applyBorder="1"/>
    <xf numFmtId="1" fontId="6" fillId="0" borderId="0" xfId="0" applyNumberFormat="1" applyFont="1" applyAlignment="1">
      <alignment horizontal="center" vertical="top" wrapText="1"/>
    </xf>
    <xf numFmtId="1" fontId="0" fillId="0" borderId="0" xfId="0" applyNumberFormat="1"/>
    <xf numFmtId="0" fontId="0" fillId="2" borderId="1" xfId="0" applyFill="1" applyBorder="1" applyAlignment="1">
      <alignment horizontal="center" vertical="top" wrapText="1"/>
    </xf>
    <xf numFmtId="164" fontId="13" fillId="0" borderId="1" xfId="0" applyNumberFormat="1" applyFont="1" applyBorder="1" applyAlignment="1">
      <alignment horizontal="center" vertical="top" wrapText="1"/>
    </xf>
    <xf numFmtId="164" fontId="13" fillId="7" borderId="1" xfId="0" applyNumberFormat="1" applyFont="1" applyFill="1" applyBorder="1" applyAlignment="1">
      <alignment horizontal="center" vertical="top" wrapText="1"/>
    </xf>
    <xf numFmtId="1" fontId="13" fillId="7" borderId="1" xfId="0" applyNumberFormat="1" applyFont="1" applyFill="1" applyBorder="1" applyAlignment="1">
      <alignment horizontal="center" vertical="top" wrapText="1"/>
    </xf>
    <xf numFmtId="1" fontId="13" fillId="8" borderId="1" xfId="0" applyNumberFormat="1" applyFont="1" applyFill="1" applyBorder="1" applyAlignment="1">
      <alignment horizontal="center" vertical="top" wrapText="1"/>
    </xf>
    <xf numFmtId="0" fontId="15" fillId="22" borderId="1" xfId="0" applyFont="1" applyFill="1" applyBorder="1" applyAlignment="1">
      <alignment horizontal="center" vertical="top" wrapText="1"/>
    </xf>
    <xf numFmtId="0" fontId="13" fillId="9" borderId="1" xfId="0" applyFont="1" applyFill="1" applyBorder="1" applyAlignment="1">
      <alignment horizontal="center" vertical="top" wrapText="1"/>
    </xf>
    <xf numFmtId="0" fontId="13" fillId="4" borderId="1" xfId="0" applyFont="1" applyFill="1" applyBorder="1" applyAlignment="1">
      <alignment horizontal="center" vertical="top" wrapText="1"/>
    </xf>
    <xf numFmtId="0" fontId="13" fillId="10" borderId="1" xfId="0" applyFont="1" applyFill="1" applyBorder="1" applyAlignment="1">
      <alignment horizontal="center" vertical="top" wrapText="1"/>
    </xf>
    <xf numFmtId="0" fontId="13" fillId="12" borderId="1" xfId="0" applyFont="1" applyFill="1" applyBorder="1" applyAlignment="1">
      <alignment horizontal="center" vertical="top" wrapText="1"/>
    </xf>
    <xf numFmtId="0" fontId="13" fillId="4" borderId="1" xfId="0" applyFont="1" applyFill="1" applyBorder="1" applyAlignment="1">
      <alignment horizontal="left" vertical="top" wrapText="1"/>
    </xf>
    <xf numFmtId="0" fontId="13" fillId="7" borderId="1" xfId="0" applyFont="1" applyFill="1" applyBorder="1" applyAlignment="1">
      <alignment horizontal="center" vertical="top" wrapText="1"/>
    </xf>
    <xf numFmtId="0" fontId="14" fillId="13" borderId="1" xfId="0" applyFont="1" applyFill="1" applyBorder="1" applyAlignment="1">
      <alignment horizontal="center" vertical="top" wrapText="1"/>
    </xf>
    <xf numFmtId="1" fontId="13" fillId="14" borderId="1" xfId="0" applyNumberFormat="1" applyFont="1" applyFill="1" applyBorder="1" applyAlignment="1">
      <alignment horizontal="center" vertical="top" wrapText="1"/>
    </xf>
    <xf numFmtId="0" fontId="13" fillId="7" borderId="1" xfId="0" applyFont="1" applyFill="1" applyBorder="1" applyAlignment="1">
      <alignment horizontal="left" vertical="top" wrapText="1"/>
    </xf>
    <xf numFmtId="2" fontId="13" fillId="7" borderId="1" xfId="0" applyNumberFormat="1" applyFont="1" applyFill="1" applyBorder="1" applyAlignment="1">
      <alignment horizontal="center" vertical="top" wrapText="1"/>
    </xf>
    <xf numFmtId="2" fontId="13" fillId="9" borderId="1" xfId="0" applyNumberFormat="1" applyFont="1" applyFill="1" applyBorder="1" applyAlignment="1">
      <alignment horizontal="center" vertical="top" wrapText="1"/>
    </xf>
    <xf numFmtId="1" fontId="13" fillId="9" borderId="1" xfId="0" applyNumberFormat="1" applyFont="1" applyFill="1" applyBorder="1" applyAlignment="1">
      <alignment horizontal="center" vertical="top" wrapText="1"/>
    </xf>
    <xf numFmtId="1" fontId="15" fillId="5" borderId="1" xfId="0" applyNumberFormat="1" applyFont="1" applyFill="1" applyBorder="1" applyAlignment="1">
      <alignment horizontal="center" vertical="top" wrapText="1"/>
    </xf>
    <xf numFmtId="1" fontId="13" fillId="19" borderId="1" xfId="0" applyNumberFormat="1" applyFont="1" applyFill="1" applyBorder="1" applyAlignment="1">
      <alignment horizontal="center" vertical="top" wrapText="1"/>
    </xf>
    <xf numFmtId="0" fontId="16" fillId="20" borderId="1" xfId="0" applyFont="1" applyFill="1" applyBorder="1" applyAlignment="1">
      <alignment horizontal="center" vertical="top" wrapText="1"/>
    </xf>
    <xf numFmtId="1" fontId="13" fillId="21" borderId="1" xfId="0" applyNumberFormat="1" applyFont="1" applyFill="1" applyBorder="1" applyAlignment="1">
      <alignment horizontal="center" vertical="top" wrapText="1"/>
    </xf>
    <xf numFmtId="1" fontId="10" fillId="16" borderId="1" xfId="0" applyNumberFormat="1" applyFont="1" applyFill="1" applyBorder="1" applyAlignment="1">
      <alignment horizontal="center" vertical="top" wrapText="1"/>
    </xf>
    <xf numFmtId="0" fontId="7" fillId="0" borderId="0" xfId="0" applyFont="1" applyAlignment="1">
      <alignment horizontal="center" vertical="top" wrapText="1"/>
    </xf>
    <xf numFmtId="0" fontId="7" fillId="3" borderId="1" xfId="0" applyFont="1" applyFill="1" applyBorder="1" applyAlignment="1">
      <alignment horizontal="center" vertical="center"/>
    </xf>
    <xf numFmtId="2" fontId="13" fillId="24" borderId="1" xfId="0" applyNumberFormat="1" applyFont="1" applyFill="1" applyBorder="1" applyAlignment="1">
      <alignment horizontal="center" vertical="top" wrapText="1"/>
    </xf>
    <xf numFmtId="0" fontId="10" fillId="0" borderId="1" xfId="0" applyFont="1" applyBorder="1" applyAlignment="1">
      <alignment horizontal="center" vertical="center"/>
    </xf>
    <xf numFmtId="1" fontId="0" fillId="6" borderId="0" xfId="0" applyNumberFormat="1" applyFill="1" applyAlignment="1">
      <alignment horizontal="center" vertical="top" wrapText="1"/>
    </xf>
    <xf numFmtId="1" fontId="0" fillId="6" borderId="9" xfId="0" applyNumberFormat="1" applyFill="1" applyBorder="1" applyAlignment="1">
      <alignment horizontal="center" vertical="top" wrapText="1"/>
    </xf>
    <xf numFmtId="1" fontId="0" fillId="3" borderId="0" xfId="0" applyNumberFormat="1" applyFill="1" applyAlignment="1">
      <alignment horizontal="center" vertical="top" wrapText="1"/>
    </xf>
    <xf numFmtId="1" fontId="0" fillId="20" borderId="0" xfId="0" applyNumberFormat="1" applyFill="1" applyAlignment="1">
      <alignment horizontal="center" vertical="top" wrapText="1"/>
    </xf>
    <xf numFmtId="1" fontId="0" fillId="23" borderId="0" xfId="0" applyNumberFormat="1" applyFill="1" applyAlignment="1">
      <alignment horizontal="center" vertical="top" wrapText="1"/>
    </xf>
    <xf numFmtId="0" fontId="0" fillId="6" borderId="0" xfId="0" applyFill="1" applyAlignment="1">
      <alignment horizontal="center" vertical="top" wrapText="1"/>
    </xf>
    <xf numFmtId="1" fontId="0" fillId="6" borderId="10" xfId="0" applyNumberFormat="1" applyFill="1" applyBorder="1" applyAlignment="1">
      <alignment horizontal="center" vertical="top" wrapText="1"/>
    </xf>
    <xf numFmtId="0" fontId="7" fillId="0" borderId="0" xfId="0" applyFont="1" applyAlignment="1">
      <alignment horizontal="center" vertical="center"/>
    </xf>
    <xf numFmtId="164" fontId="7" fillId="0" borderId="0" xfId="0" applyNumberFormat="1" applyFont="1" applyAlignment="1">
      <alignment horizontal="center" vertical="center"/>
    </xf>
    <xf numFmtId="1" fontId="7" fillId="0" borderId="0" xfId="0" applyNumberFormat="1" applyFont="1" applyAlignment="1">
      <alignment horizontal="center" vertical="center"/>
    </xf>
    <xf numFmtId="0" fontId="7" fillId="0" borderId="0" xfId="0" applyFont="1" applyAlignment="1">
      <alignment horizontal="left" vertical="center"/>
    </xf>
    <xf numFmtId="1" fontId="10" fillId="0" borderId="0" xfId="0" applyNumberFormat="1" applyFont="1" applyAlignment="1">
      <alignment horizontal="center" vertical="center"/>
    </xf>
    <xf numFmtId="164" fontId="9" fillId="0" borderId="0" xfId="0" applyNumberFormat="1" applyFont="1" applyAlignment="1">
      <alignment horizontal="left" vertical="center"/>
    </xf>
    <xf numFmtId="164" fontId="9" fillId="0" borderId="0" xfId="0" applyNumberFormat="1" applyFont="1" applyAlignment="1">
      <alignment horizontal="center" vertical="center"/>
    </xf>
    <xf numFmtId="2" fontId="7" fillId="0" borderId="0" xfId="0" applyNumberFormat="1" applyFont="1" applyAlignment="1">
      <alignment horizontal="center" vertical="center"/>
    </xf>
    <xf numFmtId="1" fontId="9" fillId="0" borderId="0" xfId="0" applyNumberFormat="1" applyFont="1" applyAlignment="1">
      <alignment horizontal="center" vertical="center"/>
    </xf>
    <xf numFmtId="0" fontId="0" fillId="0" borderId="0" xfId="0" applyAlignment="1">
      <alignment horizontal="left" vertical="top"/>
    </xf>
    <xf numFmtId="0" fontId="0" fillId="0" borderId="1" xfId="0" applyBorder="1" applyAlignment="1">
      <alignment horizontal="left" vertical="top"/>
    </xf>
    <xf numFmtId="0" fontId="0" fillId="17" borderId="1" xfId="0" applyFill="1" applyBorder="1" applyAlignment="1">
      <alignment horizontal="left" vertical="top"/>
    </xf>
    <xf numFmtId="0" fontId="7" fillId="17" borderId="1" xfId="0" applyFont="1" applyFill="1" applyBorder="1" applyAlignment="1">
      <alignment horizontal="center" vertical="center"/>
    </xf>
    <xf numFmtId="0" fontId="19" fillId="11" borderId="1" xfId="0" applyFont="1" applyFill="1" applyBorder="1" applyAlignment="1">
      <alignment horizontal="center" vertical="top" wrapText="1"/>
    </xf>
    <xf numFmtId="0" fontId="17" fillId="0" borderId="1" xfId="0" applyFont="1" applyBorder="1" applyAlignment="1">
      <alignment horizontal="center" vertical="center"/>
    </xf>
    <xf numFmtId="1" fontId="17" fillId="0" borderId="1" xfId="0" applyNumberFormat="1" applyFont="1" applyBorder="1" applyAlignment="1">
      <alignment horizontal="center" vertical="center"/>
    </xf>
    <xf numFmtId="1" fontId="20" fillId="5" borderId="1" xfId="0" applyNumberFormat="1" applyFont="1" applyFill="1" applyBorder="1" applyAlignment="1">
      <alignment horizontal="center" vertical="center"/>
    </xf>
    <xf numFmtId="0" fontId="7" fillId="25" borderId="1" xfId="0" applyFont="1" applyFill="1" applyBorder="1" applyAlignment="1">
      <alignment horizontal="center" vertical="center"/>
    </xf>
    <xf numFmtId="0" fontId="0" fillId="0" borderId="0" xfId="0" applyAlignment="1">
      <alignment horizontal="center"/>
    </xf>
    <xf numFmtId="1" fontId="0" fillId="0" borderId="1" xfId="0" applyNumberFormat="1" applyBorder="1" applyAlignment="1">
      <alignment horizontal="center" vertical="top"/>
    </xf>
    <xf numFmtId="1" fontId="0" fillId="17" borderId="1" xfId="0" applyNumberFormat="1" applyFill="1" applyBorder="1" applyAlignment="1">
      <alignment horizontal="center" vertical="top"/>
    </xf>
    <xf numFmtId="0" fontId="0" fillId="0" borderId="0" xfId="0" pivotButton="1" applyAlignment="1">
      <alignment horizontal="left" vertical="top"/>
    </xf>
    <xf numFmtId="0" fontId="0" fillId="0" borderId="8" xfId="0" applyBorder="1" applyAlignment="1">
      <alignment horizontal="left" vertical="top"/>
    </xf>
    <xf numFmtId="0" fontId="7" fillId="0" borderId="0" xfId="0" applyFont="1"/>
    <xf numFmtId="0" fontId="0" fillId="0" borderId="0" xfId="0" applyAlignment="1">
      <alignment horizontal="left" vertical="top" wrapText="1"/>
    </xf>
    <xf numFmtId="1" fontId="0" fillId="0" borderId="0" xfId="0" pivotButton="1" applyNumberFormat="1" applyAlignment="1">
      <alignment horizontal="center" vertical="top" wrapText="1"/>
    </xf>
    <xf numFmtId="1" fontId="6" fillId="17" borderId="1" xfId="0" applyNumberFormat="1" applyFont="1" applyFill="1" applyBorder="1" applyAlignment="1">
      <alignment horizontal="center" vertical="top"/>
    </xf>
    <xf numFmtId="1" fontId="6" fillId="17" borderId="3" xfId="0" applyNumberFormat="1" applyFont="1" applyFill="1" applyBorder="1" applyAlignment="1">
      <alignment horizontal="center" vertical="top"/>
    </xf>
    <xf numFmtId="1" fontId="6" fillId="26" borderId="3" xfId="0" applyNumberFormat="1" applyFont="1" applyFill="1" applyBorder="1" applyAlignment="1">
      <alignment horizontal="center" vertical="top"/>
    </xf>
    <xf numFmtId="0" fontId="6" fillId="6" borderId="1" xfId="0" applyFont="1" applyFill="1" applyBorder="1" applyAlignment="1">
      <alignment horizontal="center" vertical="top" wrapText="1"/>
    </xf>
    <xf numFmtId="0" fontId="0" fillId="0" borderId="1" xfId="0" applyBorder="1" applyAlignment="1">
      <alignment horizontal="center" vertical="top" wrapText="1"/>
    </xf>
    <xf numFmtId="1"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vertical="top" wrapText="1"/>
    </xf>
    <xf numFmtId="0" fontId="0" fillId="0" borderId="1" xfId="0" applyBorder="1" applyAlignment="1">
      <alignment wrapText="1"/>
    </xf>
    <xf numFmtId="1" fontId="6" fillId="26" borderId="1" xfId="0" applyNumberFormat="1" applyFont="1" applyFill="1" applyBorder="1" applyAlignment="1">
      <alignment horizontal="center" vertical="top"/>
    </xf>
    <xf numFmtId="1" fontId="0" fillId="0" borderId="3" xfId="0" applyNumberFormat="1" applyBorder="1" applyAlignment="1">
      <alignment horizontal="center" vertical="top"/>
    </xf>
    <xf numFmtId="0" fontId="7" fillId="27" borderId="1" xfId="0" applyFont="1" applyFill="1" applyBorder="1" applyAlignment="1">
      <alignment horizontal="center" vertical="center"/>
    </xf>
    <xf numFmtId="0" fontId="10" fillId="15" borderId="1" xfId="0" applyFont="1" applyFill="1" applyBorder="1" applyAlignment="1">
      <alignment horizontal="center" vertical="center"/>
    </xf>
    <xf numFmtId="1" fontId="9" fillId="0" borderId="1" xfId="0" applyNumberFormat="1" applyFont="1" applyBorder="1" applyAlignment="1">
      <alignment horizontal="center"/>
    </xf>
    <xf numFmtId="1" fontId="19" fillId="14" borderId="1" xfId="0" applyNumberFormat="1" applyFont="1" applyFill="1" applyBorder="1" applyAlignment="1">
      <alignment horizontal="center" vertical="top" wrapText="1"/>
    </xf>
    <xf numFmtId="1" fontId="9" fillId="0" borderId="0" xfId="0" applyNumberFormat="1" applyFont="1" applyAlignment="1">
      <alignment horizontal="center"/>
    </xf>
    <xf numFmtId="1" fontId="6" fillId="6" borderId="1" xfId="0" applyNumberFormat="1" applyFont="1" applyFill="1" applyBorder="1" applyAlignment="1">
      <alignment horizontal="center" vertical="top" wrapText="1"/>
    </xf>
    <xf numFmtId="0" fontId="6" fillId="6" borderId="8" xfId="0" applyFont="1" applyFill="1" applyBorder="1" applyAlignment="1">
      <alignment horizontal="center" vertical="top" wrapText="1"/>
    </xf>
    <xf numFmtId="0" fontId="6" fillId="6" borderId="0" xfId="0" applyFont="1" applyFill="1" applyAlignment="1">
      <alignment horizontal="center" vertical="top" wrapText="1"/>
    </xf>
    <xf numFmtId="0" fontId="0" fillId="0" borderId="0" xfId="0" pivotButton="1"/>
    <xf numFmtId="1" fontId="0" fillId="0" borderId="1" xfId="0" applyNumberFormat="1" applyBorder="1" applyAlignment="1">
      <alignment horizontal="center" vertical="top" wrapText="1"/>
    </xf>
    <xf numFmtId="1" fontId="0" fillId="16" borderId="0" xfId="0" applyNumberFormat="1" applyFill="1" applyAlignment="1">
      <alignment horizontal="center" vertical="top"/>
    </xf>
    <xf numFmtId="0" fontId="0" fillId="0" borderId="0" xfId="0" pivotButton="1" applyAlignment="1">
      <alignment horizontal="center" vertical="top" wrapText="1"/>
    </xf>
    <xf numFmtId="1" fontId="0" fillId="18" borderId="0" xfId="0" applyNumberFormat="1" applyFill="1" applyAlignment="1">
      <alignment horizontal="center" vertical="top"/>
    </xf>
    <xf numFmtId="0" fontId="0" fillId="16" borderId="0" xfId="0" applyFill="1"/>
    <xf numFmtId="0" fontId="16" fillId="27" borderId="1" xfId="0" applyFont="1" applyFill="1" applyBorder="1" applyAlignment="1">
      <alignment horizontal="center" vertical="top" wrapText="1"/>
    </xf>
    <xf numFmtId="1" fontId="0" fillId="17" borderId="1" xfId="0" applyNumberFormat="1" applyFill="1" applyBorder="1" applyAlignment="1">
      <alignment horizontal="center" vertical="top" wrapText="1"/>
    </xf>
    <xf numFmtId="0" fontId="0" fillId="3" borderId="0" xfId="0" applyFill="1" applyAlignment="1">
      <alignment horizontal="center" vertical="top" wrapText="1"/>
    </xf>
    <xf numFmtId="1" fontId="0" fillId="3" borderId="1" xfId="0" applyNumberFormat="1" applyFill="1" applyBorder="1" applyAlignment="1">
      <alignment horizontal="center" vertical="top" wrapText="1"/>
    </xf>
    <xf numFmtId="1" fontId="0" fillId="20" borderId="1" xfId="0" applyNumberFormat="1" applyFill="1" applyBorder="1" applyAlignment="1">
      <alignment horizontal="center" vertical="top" wrapText="1"/>
    </xf>
    <xf numFmtId="0" fontId="0" fillId="17" borderId="0" xfId="0" applyFill="1" applyAlignment="1">
      <alignment horizontal="center" vertical="top" wrapText="1"/>
    </xf>
    <xf numFmtId="1" fontId="0" fillId="23" borderId="1" xfId="0" applyNumberFormat="1" applyFill="1" applyBorder="1" applyAlignment="1">
      <alignment horizontal="center" vertical="top" wrapText="1"/>
    </xf>
    <xf numFmtId="0" fontId="6" fillId="6" borderId="14" xfId="0" applyFont="1" applyFill="1" applyBorder="1" applyAlignment="1">
      <alignment horizontal="center" vertical="top"/>
    </xf>
    <xf numFmtId="0" fontId="6" fillId="6" borderId="12" xfId="0" applyFont="1" applyFill="1" applyBorder="1" applyAlignment="1">
      <alignment horizontal="center" vertical="top"/>
    </xf>
  </cellXfs>
  <cellStyles count="8">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 name="Normal 5 2" xfId="7" xr:uid="{3C233F13-A686-4E95-BFC8-2D8A55C11821}"/>
    <cellStyle name="Percent" xfId="5" builtinId="5"/>
    <cellStyle name="Percent 2" xfId="6" xr:uid="{00000000-0005-0000-0000-000006000000}"/>
  </cellStyles>
  <dxfs count="452">
    <dxf>
      <alignment wrapText="1"/>
    </dxf>
    <dxf>
      <alignment horizontal="center"/>
    </dxf>
    <dxf>
      <alignment horizontal="center"/>
    </dxf>
    <dxf>
      <alignment horizontal="center"/>
    </dxf>
    <dxf>
      <alignment horizontal="center"/>
    </dxf>
    <dxf>
      <alignment vertical="top"/>
    </dxf>
    <dxf>
      <alignment vertical="top"/>
    </dxf>
    <dxf>
      <alignment vertical="top"/>
    </dxf>
    <dxf>
      <alignment vertical="top"/>
    </dxf>
    <dxf>
      <font>
        <b/>
      </font>
      <fill>
        <patternFill patternType="solid">
          <fgColor indexed="64"/>
          <bgColor theme="5" tint="0.79998168889431442"/>
        </patternFill>
      </fill>
    </dxf>
    <dxf>
      <font>
        <b/>
      </font>
      <fill>
        <patternFill patternType="solid">
          <fgColor indexed="64"/>
          <bgColor theme="5" tint="0.79998168889431442"/>
        </patternFill>
      </fill>
    </dxf>
    <dxf>
      <font>
        <b/>
      </font>
      <fill>
        <patternFill patternType="solid">
          <fgColor indexed="64"/>
          <bgColor theme="5" tint="0.79998168889431442"/>
        </patternFill>
      </fill>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alignment vertical="top"/>
    </dxf>
    <dxf>
      <alignment vertical="top"/>
    </dxf>
    <dxf>
      <alignment vertical="top"/>
    </dxf>
    <dxf>
      <alignment vertical="top"/>
    </dxf>
    <dxf>
      <alignment horizontal="center"/>
    </dxf>
    <dxf>
      <alignment horizontal="center"/>
    </dxf>
    <dxf>
      <alignment wrapText="1"/>
    </dxf>
    <dxf>
      <alignment wrapText="1"/>
    </dxf>
    <dxf>
      <alignment wrapText="1"/>
    </dxf>
    <dxf>
      <alignment wrapText="1"/>
    </dxf>
    <dxf>
      <alignment wrapText="1"/>
    </dxf>
    <dxf>
      <alignment wrapText="1"/>
    </dxf>
    <dxf>
      <alignment horizontal="center"/>
    </dxf>
    <dxf>
      <alignment horizontal="center"/>
    </dxf>
    <dxf>
      <border>
        <horizontal style="thin">
          <color indexed="64"/>
        </horizontal>
      </border>
    </dxf>
    <dxf>
      <border>
        <horizontal style="thin">
          <color indexed="64"/>
        </horizontal>
      </border>
    </dxf>
    <dxf>
      <border>
        <horizontal style="thin">
          <color indexed="64"/>
        </horizontal>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alignment wrapText="1"/>
    </dxf>
    <dxf>
      <alignment wrapText="1"/>
    </dxf>
    <dxf>
      <alignment wrapText="1"/>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fill>
        <patternFill patternType="solid">
          <bgColor theme="8" tint="0.79998168889431442"/>
        </patternFill>
      </fill>
    </dxf>
    <dxf>
      <alignment wrapText="1"/>
    </dxf>
    <dxf>
      <alignment wrapText="1"/>
    </dxf>
    <dxf>
      <alignment wrapText="1"/>
    </dxf>
    <dxf>
      <numFmt numFmtId="1" formatCode="0"/>
    </dxf>
    <dxf>
      <numFmt numFmtId="1" formatCode="0"/>
    </dxf>
    <dxf>
      <numFmt numFmtId="1" formatCode="0"/>
    </dxf>
    <dxf>
      <numFmt numFmtId="1" formatCode="0"/>
    </dxf>
    <dxf>
      <alignment vertical="top"/>
    </dxf>
    <dxf>
      <alignment vertical="top"/>
    </dxf>
    <dxf>
      <alignment vertical="top"/>
    </dxf>
    <dxf>
      <alignment vertical="top"/>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92D05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dxf>
    <dxf>
      <alignment horizontal="center"/>
    </dxf>
    <dxf>
      <alignment vertical="top"/>
    </dxf>
    <dxf>
      <alignment vertical="top"/>
    </dxf>
    <dxf>
      <alignment vertical="top"/>
    </dxf>
    <dxf>
      <alignment wrapText="1"/>
    </dxf>
    <dxf>
      <alignment wrapText="1"/>
    </dxf>
    <dxf>
      <alignment wrapText="1"/>
    </dxf>
    <dxf>
      <numFmt numFmtId="1" formatCode="0"/>
    </dxf>
    <dxf>
      <numFmt numFmtId="1" formatCode="0"/>
    </dxf>
    <dxf>
      <alignment vertical="top"/>
    </dxf>
    <dxf>
      <alignment vertical="top"/>
    </dxf>
    <dxf>
      <alignment horizontal="center"/>
    </dxf>
    <dxf>
      <alignment horizontal="center"/>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alignment wrapText="1"/>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patternType="none">
          <bgColor auto="1"/>
        </patternFill>
      </fill>
    </dxf>
    <dxf>
      <alignment wrapText="1"/>
    </dxf>
    <dxf>
      <alignment wrapText="1"/>
    </dxf>
    <dxf>
      <alignment wrapText="1"/>
    </dxf>
    <dxf>
      <fill>
        <patternFill>
          <bgColor theme="5" tint="0.79998168889431442"/>
        </patternFill>
      </fill>
    </dxf>
    <dxf>
      <fill>
        <patternFill patternType="solid">
          <bgColor theme="7" tint="0.7999816888943144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alignment wrapText="1"/>
    </dxf>
    <dxf>
      <alignment wrapText="1"/>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alignment wrapText="1"/>
    </dxf>
    <dxf>
      <alignment wrapText="1"/>
    </dxf>
    <dxf>
      <alignment wrapText="1"/>
    </dxf>
    <dxf>
      <border>
        <right style="thin">
          <color indexed="64"/>
        </right>
      </border>
    </dxf>
    <dxf>
      <border>
        <right style="thin">
          <color indexed="64"/>
        </right>
      </border>
    </dxf>
    <dxf>
      <border>
        <right style="thin">
          <color indexed="64"/>
        </right>
      </border>
    </dxf>
    <dxf>
      <alignment wrapText="1"/>
    </dxf>
    <dxf>
      <alignment wrapText="1"/>
    </dxf>
    <dxf>
      <alignment wrapText="1"/>
    </dxf>
    <dxf>
      <fill>
        <patternFill patternType="none">
          <bgColor indexed="65"/>
        </patternFill>
      </fill>
    </dxf>
    <dxf>
      <fill>
        <patternFill patternType="none">
          <bgColor indexed="65"/>
        </patternFill>
      </fill>
    </dxf>
    <dxf>
      <fill>
        <patternFill patternType="none">
          <bgColor indexed="65"/>
        </patternFill>
      </fill>
    </dxf>
    <dxf>
      <alignment vertical="top"/>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wrapText="1"/>
    </dxf>
    <dxf>
      <alignment wrapText="1"/>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theme="9" tint="0.39997558519241921"/>
        </patternFill>
      </fill>
    </dxf>
    <dxf>
      <alignment wrapText="1"/>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ill>
        <patternFill patternType="solid">
          <bgColor theme="5" tint="0.79998168889431442"/>
        </patternFill>
      </fill>
    </dxf>
    <dxf>
      <alignment wrapText="1"/>
    </dxf>
    <dxf>
      <fill>
        <patternFill patternType="solid">
          <bgColor theme="5" tint="0.79998168889431442"/>
        </patternFill>
      </fill>
    </dxf>
    <dxf>
      <alignment wrapText="1"/>
    </dxf>
    <dxf>
      <alignment wrapText="1"/>
    </dxf>
    <dxf>
      <numFmt numFmtId="1" formatCode="0"/>
    </dxf>
    <dxf>
      <numFmt numFmtId="1" formatCode="0"/>
    </dxf>
    <dxf>
      <numFmt numFmtId="1" formatCode="0"/>
    </dxf>
    <dxf>
      <alignment horizontal="center"/>
    </dxf>
    <dxf>
      <alignment horizontal="center"/>
    </dxf>
    <dxf>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alignment horizontal="center"/>
    </dxf>
    <dxf>
      <alignment horizontal="center"/>
    </dxf>
    <dxf>
      <alignment horizontal="center"/>
    </dxf>
    <dxf>
      <alignment wrapText="1"/>
    </dxf>
    <dxf>
      <alignment wrapText="1"/>
    </dxf>
    <dxf>
      <alignment wrapText="1"/>
    </dxf>
    <dxf>
      <alignment horizontal="center"/>
    </dxf>
    <dxf>
      <alignment horizontal="center"/>
    </dxf>
    <dxf>
      <alignment horizontal="center"/>
    </dxf>
    <dxf>
      <alignment vertical="top"/>
    </dxf>
    <dxf>
      <alignment vertical="top"/>
    </dxf>
    <dxf>
      <alignment vertical="top"/>
    </dxf>
    <dxf>
      <alignment vertical="top"/>
    </dxf>
    <dxf>
      <font>
        <b/>
      </font>
      <fill>
        <patternFill patternType="solid">
          <fgColor indexed="64"/>
          <bgColor theme="5" tint="0.79998168889431442"/>
        </patternFill>
      </fill>
    </dxf>
    <dxf>
      <font>
        <b/>
      </font>
      <fill>
        <patternFill patternType="solid">
          <fgColor indexed="64"/>
          <bgColor theme="5" tint="0.79998168889431442"/>
        </patternFill>
      </fill>
    </dxf>
    <dxf>
      <font>
        <b/>
      </font>
      <fill>
        <patternFill patternType="solid">
          <fgColor indexed="64"/>
          <bgColor theme="5" tint="0.79998168889431442"/>
        </patternFill>
      </fill>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alignment vertical="top"/>
    </dxf>
    <dxf>
      <alignment wrapText="1"/>
    </dxf>
    <dxf>
      <alignment wrapText="1"/>
    </dxf>
    <dxf>
      <alignment wrapText="1"/>
    </dxf>
    <dxf>
      <alignment wrapText="1"/>
    </dxf>
    <dxf>
      <alignment wrapText="1"/>
    </dxf>
    <dxf>
      <alignment horizontal="center"/>
    </dxf>
    <dxf>
      <alignment horizontal="center"/>
    </dxf>
    <dxf>
      <border>
        <horizontal style="thin">
          <color indexed="64"/>
        </horizontal>
      </border>
    </dxf>
    <dxf>
      <border>
        <horizontal style="thin">
          <color indexed="64"/>
        </horizontal>
      </border>
    </dxf>
    <dxf>
      <border>
        <horizontal style="thin">
          <color indexed="64"/>
        </horizontal>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alignment wrapText="1"/>
    </dxf>
    <dxf>
      <alignment wrapText="1"/>
    </dxf>
    <dxf>
      <alignment wrapText="1"/>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fill>
        <patternFill patternType="solid">
          <bgColor theme="8" tint="0.79998168889431442"/>
        </patternFill>
      </fill>
    </dxf>
    <dxf>
      <alignment wrapText="1"/>
    </dxf>
    <dxf>
      <alignment wrapText="1"/>
    </dxf>
    <dxf>
      <alignment wrapText="1"/>
    </dxf>
    <dxf>
      <numFmt numFmtId="1" formatCode="0"/>
    </dxf>
    <dxf>
      <numFmt numFmtId="1" formatCode="0"/>
    </dxf>
    <dxf>
      <numFmt numFmtId="1" formatCode="0"/>
    </dxf>
    <dxf>
      <numFmt numFmtId="1" formatCode="0"/>
    </dxf>
    <dxf>
      <alignment vertical="top"/>
    </dxf>
    <dxf>
      <alignment vertical="top"/>
    </dxf>
    <dxf>
      <alignment vertical="top"/>
    </dxf>
    <dxf>
      <alignment vertical="top"/>
    </dxf>
    <dxf>
      <alignment horizontal="center"/>
    </dxf>
    <dxf>
      <alignment horizontal="center"/>
    </dxf>
    <dxf>
      <alignment horizontal="center"/>
    </dxf>
    <dxf>
      <alignment horizontal="center"/>
    </dxf>
  </dxfs>
  <tableStyles count="0" defaultTableStyle="TableStyleMedium2" defaultPivotStyle="PivotStyleLight1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slin-my.sharepoint.com/personal/913466_tatasteelbsl_co_in/Documents/TSBSL/2021/Mar'21/April%20Planning/My%20Working/ABST_April%20Prior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ority Details"/>
      <sheetName val="Vlookup"/>
      <sheetName val="Summary (2)"/>
      <sheetName val="C C Load"/>
      <sheetName val="Line-Wise Planning"/>
      <sheetName val="Additional"/>
    </sheetNames>
    <sheetDataSet>
      <sheetData sheetId="0"/>
      <sheetData sheetId="1"/>
      <sheetData sheetId="2">
        <row r="1">
          <cell r="A1" t="str">
            <v>SO-Item</v>
          </cell>
          <cell r="B1" t="str">
            <v>Priority</v>
          </cell>
          <cell r="C1" t="str">
            <v>test</v>
          </cell>
        </row>
        <row r="2">
          <cell r="A2" t="str">
            <v>65095-4</v>
          </cell>
          <cell r="B2" t="str">
            <v>Feb'21</v>
          </cell>
          <cell r="C2" t="str">
            <v>N/C</v>
          </cell>
        </row>
        <row r="3">
          <cell r="A3" t="str">
            <v>75337-2</v>
          </cell>
          <cell r="B3" t="str">
            <v>Mar'21</v>
          </cell>
          <cell r="C3" t="str">
            <v>N/C</v>
          </cell>
        </row>
        <row r="4">
          <cell r="A4" t="str">
            <v>75337-3</v>
          </cell>
          <cell r="B4" t="str">
            <v>Mar'21</v>
          </cell>
          <cell r="C4" t="str">
            <v>N/C</v>
          </cell>
        </row>
        <row r="5">
          <cell r="A5" t="str">
            <v>75337-5</v>
          </cell>
          <cell r="B5" t="str">
            <v>Mar'21</v>
          </cell>
          <cell r="C5" t="str">
            <v>N/C</v>
          </cell>
        </row>
        <row r="6">
          <cell r="A6" t="str">
            <v>75337-6</v>
          </cell>
          <cell r="B6" t="str">
            <v>Mar'21</v>
          </cell>
          <cell r="C6" t="str">
            <v>N/C</v>
          </cell>
        </row>
        <row r="7">
          <cell r="A7" t="str">
            <v>68072-2</v>
          </cell>
          <cell r="B7" t="str">
            <v>Mar'21</v>
          </cell>
          <cell r="C7" t="str">
            <v>N/C</v>
          </cell>
        </row>
        <row r="8">
          <cell r="A8" t="str">
            <v>54287-1</v>
          </cell>
          <cell r="B8" t="str">
            <v>Feb'21</v>
          </cell>
          <cell r="C8" t="str">
            <v>N/C</v>
          </cell>
        </row>
        <row r="9">
          <cell r="A9" t="str">
            <v>61105-3</v>
          </cell>
          <cell r="B9" t="str">
            <v>Feb'21</v>
          </cell>
          <cell r="C9" t="str">
            <v>N/C</v>
          </cell>
        </row>
        <row r="10">
          <cell r="A10" t="str">
            <v>53472-1</v>
          </cell>
          <cell r="B10" t="str">
            <v>Feb'21</v>
          </cell>
          <cell r="C10" t="str">
            <v>N/C</v>
          </cell>
        </row>
        <row r="11">
          <cell r="A11" t="str">
            <v>53472-3</v>
          </cell>
          <cell r="B11" t="str">
            <v>Feb'21</v>
          </cell>
          <cell r="C11" t="str">
            <v>N/C</v>
          </cell>
        </row>
        <row r="12">
          <cell r="A12" t="str">
            <v>46664-1</v>
          </cell>
          <cell r="B12" t="str">
            <v>Feb'21</v>
          </cell>
          <cell r="C12" t="str">
            <v>N/C</v>
          </cell>
        </row>
        <row r="13">
          <cell r="A13" t="str">
            <v>38985-1</v>
          </cell>
          <cell r="B13" t="str">
            <v>Mar'21</v>
          </cell>
          <cell r="C13" t="str">
            <v>N/C</v>
          </cell>
        </row>
        <row r="14">
          <cell r="A14" t="str">
            <v>38985-3</v>
          </cell>
          <cell r="B14" t="str">
            <v>Mar'21</v>
          </cell>
          <cell r="C14" t="str">
            <v>N/C</v>
          </cell>
        </row>
        <row r="15">
          <cell r="A15" t="str">
            <v>38985-5</v>
          </cell>
          <cell r="B15" t="str">
            <v>Mar'21</v>
          </cell>
          <cell r="C15" t="str">
            <v>N/C</v>
          </cell>
        </row>
        <row r="16">
          <cell r="A16" t="str">
            <v>40989-2</v>
          </cell>
          <cell r="B16" t="str">
            <v>Mar'21</v>
          </cell>
          <cell r="C16" t="str">
            <v>N/C</v>
          </cell>
        </row>
        <row r="17">
          <cell r="A17" t="str">
            <v>40989-10</v>
          </cell>
          <cell r="B17" t="str">
            <v>Mar'21</v>
          </cell>
          <cell r="C17" t="str">
            <v>N/C</v>
          </cell>
        </row>
        <row r="18">
          <cell r="A18" t="str">
            <v>40745-6</v>
          </cell>
          <cell r="B18" t="str">
            <v>Mar'21</v>
          </cell>
          <cell r="C18" t="str">
            <v>N/C</v>
          </cell>
        </row>
        <row r="19">
          <cell r="A19" t="str">
            <v>68430-5</v>
          </cell>
          <cell r="B19" t="str">
            <v>Mar'21</v>
          </cell>
          <cell r="C19" t="str">
            <v>N/C</v>
          </cell>
        </row>
        <row r="20">
          <cell r="A20" t="str">
            <v>56204-1</v>
          </cell>
          <cell r="B20" t="str">
            <v>Mar'21</v>
          </cell>
          <cell r="C20" t="str">
            <v>N/C</v>
          </cell>
        </row>
        <row r="21">
          <cell r="A21" t="str">
            <v>37355-1</v>
          </cell>
          <cell r="B21" t="str">
            <v>Feb'21</v>
          </cell>
          <cell r="C21" t="str">
            <v>N/C</v>
          </cell>
        </row>
        <row r="22">
          <cell r="A22" t="str">
            <v>40729-4</v>
          </cell>
          <cell r="B22" t="str">
            <v>Feb'21</v>
          </cell>
          <cell r="C22" t="str">
            <v>N/C</v>
          </cell>
        </row>
        <row r="23">
          <cell r="A23" t="str">
            <v>53472-4</v>
          </cell>
          <cell r="B23" t="str">
            <v>Mar'21</v>
          </cell>
          <cell r="C23" t="str">
            <v>N/C</v>
          </cell>
        </row>
        <row r="24">
          <cell r="A24" t="str">
            <v>53472-5</v>
          </cell>
          <cell r="B24" t="str">
            <v>Mar'21</v>
          </cell>
          <cell r="C24" t="str">
            <v>N/C</v>
          </cell>
        </row>
        <row r="25">
          <cell r="A25" t="str">
            <v>40989-8</v>
          </cell>
          <cell r="B25" t="str">
            <v>Feb'21</v>
          </cell>
          <cell r="C25" t="str">
            <v>N/C</v>
          </cell>
        </row>
        <row r="26">
          <cell r="A26" t="str">
            <v>54287-4</v>
          </cell>
          <cell r="B26" t="str">
            <v>Feb'21</v>
          </cell>
          <cell r="C26" t="str">
            <v>N/C</v>
          </cell>
        </row>
        <row r="27">
          <cell r="A27" t="str">
            <v>56204-2</v>
          </cell>
          <cell r="B27" t="str">
            <v>Mar'21</v>
          </cell>
          <cell r="C27" t="str">
            <v>N/C</v>
          </cell>
        </row>
        <row r="28">
          <cell r="A28" t="str">
            <v>56204-4</v>
          </cell>
          <cell r="B28" t="str">
            <v>Mar'21</v>
          </cell>
          <cell r="C28" t="str">
            <v>N/C</v>
          </cell>
        </row>
        <row r="29">
          <cell r="A29" t="str">
            <v>61105-2</v>
          </cell>
          <cell r="B29" t="str">
            <v>Feb'21</v>
          </cell>
          <cell r="C29" t="str">
            <v>N/C</v>
          </cell>
        </row>
        <row r="30">
          <cell r="A30" t="str">
            <v>61105-5</v>
          </cell>
          <cell r="B30" t="str">
            <v>Mar'21</v>
          </cell>
          <cell r="C30" t="str">
            <v>N/C</v>
          </cell>
        </row>
        <row r="31">
          <cell r="A31" t="str">
            <v>61281-2</v>
          </cell>
          <cell r="B31" t="str">
            <v>Feb'21</v>
          </cell>
          <cell r="C31" t="str">
            <v>N/C</v>
          </cell>
        </row>
        <row r="32">
          <cell r="A32" t="str">
            <v>61281-4</v>
          </cell>
          <cell r="B32" t="str">
            <v>Mar'21</v>
          </cell>
          <cell r="C32" t="str">
            <v>N/C</v>
          </cell>
        </row>
        <row r="33">
          <cell r="A33" t="str">
            <v>39217-3</v>
          </cell>
          <cell r="B33" t="str">
            <v>Feb'21</v>
          </cell>
          <cell r="C33" t="str">
            <v>N/C</v>
          </cell>
        </row>
        <row r="34">
          <cell r="A34" t="str">
            <v>40733-2</v>
          </cell>
          <cell r="B34" t="str">
            <v>Feb'21</v>
          </cell>
          <cell r="C34" t="str">
            <v>N/C</v>
          </cell>
        </row>
        <row r="35">
          <cell r="A35" t="str">
            <v>40989-1</v>
          </cell>
          <cell r="B35" t="str">
            <v>Mar'21</v>
          </cell>
          <cell r="C35" t="str">
            <v>N/C</v>
          </cell>
        </row>
        <row r="36">
          <cell r="A36" t="str">
            <v>53472-2</v>
          </cell>
          <cell r="B36" t="str">
            <v>Feb'21</v>
          </cell>
          <cell r="C36" t="str">
            <v>N/C</v>
          </cell>
        </row>
        <row r="37">
          <cell r="A37" t="str">
            <v>72942-6</v>
          </cell>
          <cell r="B37" t="str">
            <v>Feb'21</v>
          </cell>
          <cell r="C37" t="str">
            <v>OK</v>
          </cell>
        </row>
        <row r="38">
          <cell r="A38" t="str">
            <v>77570-2</v>
          </cell>
          <cell r="B38" t="str">
            <v>Feb'21</v>
          </cell>
          <cell r="C38" t="str">
            <v>OK</v>
          </cell>
        </row>
        <row r="39">
          <cell r="A39" t="str">
            <v>78083-1</v>
          </cell>
          <cell r="B39" t="str">
            <v>Mar'21</v>
          </cell>
          <cell r="C39" t="str">
            <v>OK</v>
          </cell>
        </row>
        <row r="40">
          <cell r="A40" t="str">
            <v>80790-1</v>
          </cell>
          <cell r="B40" t="str">
            <v>Mar'21</v>
          </cell>
          <cell r="C40" t="str">
            <v>OK</v>
          </cell>
        </row>
        <row r="41">
          <cell r="A41" t="str">
            <v>80790-2</v>
          </cell>
          <cell r="B41" t="str">
            <v>Mar'21</v>
          </cell>
          <cell r="C41" t="str">
            <v>OK</v>
          </cell>
        </row>
        <row r="42">
          <cell r="A42" t="str">
            <v>80790-3</v>
          </cell>
          <cell r="B42" t="str">
            <v>Mar'21</v>
          </cell>
          <cell r="C42" t="str">
            <v>OK</v>
          </cell>
        </row>
        <row r="43">
          <cell r="A43" t="str">
            <v>80790-4</v>
          </cell>
          <cell r="B43" t="str">
            <v>Mar'21</v>
          </cell>
          <cell r="C43" t="str">
            <v>OK</v>
          </cell>
        </row>
        <row r="44">
          <cell r="A44" t="str">
            <v>86626-1</v>
          </cell>
          <cell r="B44" t="str">
            <v>Mar'21</v>
          </cell>
          <cell r="C44" t="str">
            <v>OK</v>
          </cell>
        </row>
        <row r="45">
          <cell r="A45" t="str">
            <v>86626-2</v>
          </cell>
          <cell r="B45" t="str">
            <v>Mar'21</v>
          </cell>
          <cell r="C45" t="str">
            <v>OK</v>
          </cell>
        </row>
        <row r="46">
          <cell r="A46" t="str">
            <v>86626-3</v>
          </cell>
          <cell r="B46" t="str">
            <v>Mar'21</v>
          </cell>
          <cell r="C46" t="str">
            <v>OK</v>
          </cell>
        </row>
        <row r="47">
          <cell r="A47" t="str">
            <v>73028-2</v>
          </cell>
          <cell r="B47" t="str">
            <v>Feb'21</v>
          </cell>
          <cell r="C47" t="str">
            <v>OK</v>
          </cell>
        </row>
        <row r="48">
          <cell r="A48" t="str">
            <v>77569-3</v>
          </cell>
          <cell r="B48" t="str">
            <v>Feb'21</v>
          </cell>
          <cell r="C48" t="str">
            <v>OK</v>
          </cell>
        </row>
        <row r="49">
          <cell r="A49" t="str">
            <v>79372-2</v>
          </cell>
          <cell r="B49" t="str">
            <v>Feb'21</v>
          </cell>
          <cell r="C49" t="str">
            <v>N/C</v>
          </cell>
        </row>
        <row r="50">
          <cell r="A50" t="str">
            <v>73028-3</v>
          </cell>
          <cell r="B50" t="str">
            <v>Feb'21</v>
          </cell>
          <cell r="C50" t="str">
            <v>OK</v>
          </cell>
        </row>
        <row r="51">
          <cell r="A51" t="str">
            <v>72482-2</v>
          </cell>
          <cell r="B51" t="str">
            <v>Jan'21</v>
          </cell>
          <cell r="C51" t="str">
            <v>N/C</v>
          </cell>
        </row>
        <row r="52">
          <cell r="A52" t="str">
            <v>77809-4</v>
          </cell>
          <cell r="B52" t="str">
            <v>Jan'21</v>
          </cell>
          <cell r="C52" t="str">
            <v>OK</v>
          </cell>
        </row>
        <row r="53">
          <cell r="A53" t="str">
            <v>77848-1</v>
          </cell>
          <cell r="B53" t="str">
            <v>Jan'21</v>
          </cell>
          <cell r="C53" t="str">
            <v>N/C</v>
          </cell>
        </row>
        <row r="54">
          <cell r="A54" t="str">
            <v>82925-3</v>
          </cell>
          <cell r="B54" t="str">
            <v>Mar'21</v>
          </cell>
          <cell r="C54" t="str">
            <v>OK</v>
          </cell>
        </row>
        <row r="55">
          <cell r="A55" t="str">
            <v>82925-4</v>
          </cell>
          <cell r="B55" t="str">
            <v>Mar'21</v>
          </cell>
          <cell r="C55" t="str">
            <v>OK</v>
          </cell>
        </row>
        <row r="56">
          <cell r="A56" t="str">
            <v>82925-5</v>
          </cell>
          <cell r="B56" t="str">
            <v>Mar'21</v>
          </cell>
          <cell r="C56" t="str">
            <v>OK</v>
          </cell>
        </row>
        <row r="57">
          <cell r="A57" t="str">
            <v>83230-3</v>
          </cell>
          <cell r="B57" t="str">
            <v>Mar'21</v>
          </cell>
          <cell r="C57" t="str">
            <v>OK</v>
          </cell>
        </row>
        <row r="58">
          <cell r="A58" t="str">
            <v>83230-5</v>
          </cell>
          <cell r="B58" t="str">
            <v>Mar'21</v>
          </cell>
          <cell r="C58" t="str">
            <v>OK</v>
          </cell>
        </row>
        <row r="59">
          <cell r="A59" t="str">
            <v>65095-9</v>
          </cell>
          <cell r="B59" t="str">
            <v>Mar'21</v>
          </cell>
          <cell r="C59" t="str">
            <v>N/C</v>
          </cell>
        </row>
        <row r="60">
          <cell r="A60" t="str">
            <v>74406-4</v>
          </cell>
          <cell r="B60" t="str">
            <v>Mar'21</v>
          </cell>
          <cell r="C60" t="str">
            <v>N/C</v>
          </cell>
        </row>
        <row r="61">
          <cell r="A61" t="str">
            <v>74406-7</v>
          </cell>
          <cell r="B61" t="str">
            <v>Mar'21</v>
          </cell>
          <cell r="C61" t="str">
            <v>N/C</v>
          </cell>
        </row>
        <row r="62">
          <cell r="A62" t="str">
            <v>71227-2</v>
          </cell>
          <cell r="B62" t="str">
            <v>Feb'21</v>
          </cell>
          <cell r="C62" t="str">
            <v>N/C</v>
          </cell>
        </row>
        <row r="63">
          <cell r="A63" t="str">
            <v>74618-11</v>
          </cell>
          <cell r="B63" t="str">
            <v>Feb'21</v>
          </cell>
          <cell r="C63" t="str">
            <v>OK</v>
          </cell>
        </row>
        <row r="64">
          <cell r="A64" t="str">
            <v>73547-14</v>
          </cell>
          <cell r="B64" t="str">
            <v>Feb'21</v>
          </cell>
          <cell r="C64" t="str">
            <v>OK</v>
          </cell>
        </row>
        <row r="65">
          <cell r="A65" t="str">
            <v>68857-2</v>
          </cell>
          <cell r="B65" t="str">
            <v>Mar'21</v>
          </cell>
          <cell r="C65" t="str">
            <v>N/C</v>
          </cell>
        </row>
        <row r="66">
          <cell r="A66" t="str">
            <v>68857-3</v>
          </cell>
          <cell r="B66" t="str">
            <v>Mar'21</v>
          </cell>
          <cell r="C66" t="str">
            <v>N/C</v>
          </cell>
        </row>
        <row r="67">
          <cell r="A67" t="str">
            <v>75949-4</v>
          </cell>
          <cell r="B67" t="str">
            <v>Feb'21</v>
          </cell>
          <cell r="C67" t="str">
            <v>N/C</v>
          </cell>
        </row>
        <row r="68">
          <cell r="A68" t="str">
            <v>61374-11</v>
          </cell>
          <cell r="B68" t="str">
            <v>Jan'21</v>
          </cell>
          <cell r="C68" t="str">
            <v>N/C</v>
          </cell>
        </row>
        <row r="69">
          <cell r="A69" t="str">
            <v>83319-14</v>
          </cell>
          <cell r="B69" t="str">
            <v>Mar'21</v>
          </cell>
          <cell r="C69" t="str">
            <v>N/C</v>
          </cell>
        </row>
        <row r="70">
          <cell r="A70" t="str">
            <v>83319-15</v>
          </cell>
          <cell r="B70" t="str">
            <v>Mar'21</v>
          </cell>
          <cell r="C70" t="str">
            <v>N/C</v>
          </cell>
        </row>
        <row r="71">
          <cell r="A71" t="str">
            <v>83319-16</v>
          </cell>
          <cell r="B71" t="str">
            <v>Mar'21</v>
          </cell>
          <cell r="C71" t="str">
            <v>N/C</v>
          </cell>
        </row>
        <row r="72">
          <cell r="A72" t="str">
            <v>70088-1</v>
          </cell>
          <cell r="B72" t="str">
            <v>Mar'21</v>
          </cell>
          <cell r="C72" t="str">
            <v>OK</v>
          </cell>
        </row>
        <row r="73">
          <cell r="A73" t="str">
            <v>83154-1</v>
          </cell>
          <cell r="B73" t="str">
            <v>Mar'21</v>
          </cell>
          <cell r="C73" t="str">
            <v>OK</v>
          </cell>
        </row>
        <row r="74">
          <cell r="A74" t="str">
            <v>83154-2</v>
          </cell>
          <cell r="B74" t="str">
            <v>Mar'21</v>
          </cell>
          <cell r="C74" t="str">
            <v>OK</v>
          </cell>
        </row>
        <row r="75">
          <cell r="A75" t="str">
            <v>83154-3</v>
          </cell>
          <cell r="B75" t="str">
            <v>Mar'21</v>
          </cell>
          <cell r="C75" t="str">
            <v>OK</v>
          </cell>
        </row>
        <row r="76">
          <cell r="A76" t="str">
            <v>83154-4</v>
          </cell>
          <cell r="B76" t="str">
            <v>Mar'21</v>
          </cell>
          <cell r="C76" t="str">
            <v>OK</v>
          </cell>
        </row>
        <row r="77">
          <cell r="A77" t="str">
            <v>83154-5</v>
          </cell>
          <cell r="B77" t="str">
            <v>Mar'21</v>
          </cell>
          <cell r="C77" t="str">
            <v>OK</v>
          </cell>
        </row>
        <row r="78">
          <cell r="A78" t="str">
            <v>83154-6</v>
          </cell>
          <cell r="B78" t="str">
            <v>Mar'21</v>
          </cell>
          <cell r="C78" t="str">
            <v>OK</v>
          </cell>
        </row>
        <row r="79">
          <cell r="A79" t="str">
            <v>83154-7</v>
          </cell>
          <cell r="B79" t="str">
            <v>Mar'21</v>
          </cell>
          <cell r="C79" t="str">
            <v>OK</v>
          </cell>
        </row>
        <row r="80">
          <cell r="A80" t="str">
            <v>69106-7</v>
          </cell>
          <cell r="B80" t="str">
            <v>Feb'21</v>
          </cell>
          <cell r="C80" t="str">
            <v>OK</v>
          </cell>
        </row>
        <row r="81">
          <cell r="A81" t="str">
            <v>77653-5</v>
          </cell>
          <cell r="B81" t="str">
            <v>Feb'21</v>
          </cell>
          <cell r="C81" t="str">
            <v>OK</v>
          </cell>
        </row>
        <row r="82">
          <cell r="A82" t="str">
            <v>73308-8</v>
          </cell>
          <cell r="B82" t="str">
            <v>Feb'21</v>
          </cell>
          <cell r="C82" t="str">
            <v>N/C</v>
          </cell>
        </row>
        <row r="83">
          <cell r="A83" t="str">
            <v>67129-3</v>
          </cell>
          <cell r="B83" t="str">
            <v>Mar'21</v>
          </cell>
          <cell r="C83" t="str">
            <v>OK</v>
          </cell>
        </row>
        <row r="84">
          <cell r="A84" t="str">
            <v>67129-1</v>
          </cell>
          <cell r="B84" t="str">
            <v>Mar'21</v>
          </cell>
          <cell r="C84" t="str">
            <v>OK</v>
          </cell>
        </row>
        <row r="85">
          <cell r="A85" t="str">
            <v>75797-3</v>
          </cell>
          <cell r="B85" t="str">
            <v>Mar'21</v>
          </cell>
          <cell r="C85" t="str">
            <v>N/C</v>
          </cell>
        </row>
        <row r="86">
          <cell r="A86" t="str">
            <v>84030-26</v>
          </cell>
          <cell r="B86" t="str">
            <v>Mar'21</v>
          </cell>
          <cell r="C86" t="str">
            <v>OK</v>
          </cell>
        </row>
        <row r="87">
          <cell r="A87" t="str">
            <v>76301-7</v>
          </cell>
          <cell r="B87" t="str">
            <v>Mar'21</v>
          </cell>
          <cell r="C87" t="str">
            <v>OK</v>
          </cell>
        </row>
        <row r="88">
          <cell r="A88" t="str">
            <v>74618-5</v>
          </cell>
          <cell r="B88" t="str">
            <v>Mar'21</v>
          </cell>
          <cell r="C88" t="str">
            <v>OK</v>
          </cell>
        </row>
        <row r="89">
          <cell r="A89" t="str">
            <v>76301-3</v>
          </cell>
          <cell r="B89" t="str">
            <v>Mar'21</v>
          </cell>
          <cell r="C89" t="str">
            <v>OK</v>
          </cell>
        </row>
        <row r="90">
          <cell r="A90" t="str">
            <v>73547-1</v>
          </cell>
          <cell r="B90" t="str">
            <v>Feb'21</v>
          </cell>
          <cell r="C90" t="str">
            <v>N/C</v>
          </cell>
        </row>
        <row r="91">
          <cell r="A91" t="str">
            <v>75605-1</v>
          </cell>
          <cell r="B91" t="str">
            <v>Mar'21</v>
          </cell>
          <cell r="C91" t="str">
            <v>OK</v>
          </cell>
        </row>
        <row r="92">
          <cell r="A92" t="str">
            <v>75605-3</v>
          </cell>
          <cell r="B92" t="str">
            <v>Mar'21</v>
          </cell>
          <cell r="C92" t="str">
            <v>OK</v>
          </cell>
        </row>
        <row r="93">
          <cell r="A93" t="str">
            <v>75605-4</v>
          </cell>
          <cell r="B93" t="str">
            <v>Mar'21</v>
          </cell>
          <cell r="C93" t="str">
            <v>OK</v>
          </cell>
        </row>
        <row r="94">
          <cell r="A94" t="str">
            <v>75605-5</v>
          </cell>
          <cell r="B94" t="str">
            <v>Mar'21</v>
          </cell>
          <cell r="C94" t="str">
            <v>OK</v>
          </cell>
        </row>
        <row r="95">
          <cell r="A95" t="str">
            <v>74654-3</v>
          </cell>
          <cell r="B95" t="str">
            <v>Mar'21</v>
          </cell>
          <cell r="C95" t="str">
            <v>OK</v>
          </cell>
        </row>
        <row r="96">
          <cell r="A96" t="str">
            <v>75984-5</v>
          </cell>
          <cell r="B96" t="str">
            <v>Mar'21</v>
          </cell>
          <cell r="C96" t="str">
            <v>OK</v>
          </cell>
        </row>
        <row r="97">
          <cell r="A97" t="str">
            <v>69447-4</v>
          </cell>
          <cell r="B97" t="str">
            <v>Mar'21</v>
          </cell>
          <cell r="C97" t="str">
            <v>OK</v>
          </cell>
        </row>
        <row r="98">
          <cell r="A98" t="str">
            <v>83141-1</v>
          </cell>
          <cell r="B98" t="str">
            <v>Mar'21</v>
          </cell>
          <cell r="C98" t="str">
            <v>OK</v>
          </cell>
        </row>
        <row r="99">
          <cell r="A99" t="str">
            <v>76060-2</v>
          </cell>
          <cell r="B99" t="str">
            <v>Mar'21</v>
          </cell>
          <cell r="C99" t="str">
            <v>OK</v>
          </cell>
        </row>
        <row r="100">
          <cell r="A100" t="str">
            <v>82461-1</v>
          </cell>
          <cell r="B100" t="str">
            <v>Mar'21</v>
          </cell>
          <cell r="C100" t="str">
            <v>OK</v>
          </cell>
        </row>
        <row r="101">
          <cell r="A101" t="str">
            <v>76037-12</v>
          </cell>
          <cell r="B101" t="str">
            <v>Mar'21</v>
          </cell>
          <cell r="C101" t="str">
            <v>OK</v>
          </cell>
        </row>
        <row r="102">
          <cell r="A102" t="str">
            <v>75405-4</v>
          </cell>
          <cell r="B102" t="str">
            <v>Mar'21</v>
          </cell>
          <cell r="C102" t="str">
            <v>OK</v>
          </cell>
        </row>
        <row r="103">
          <cell r="A103" t="str">
            <v>74431-10</v>
          </cell>
          <cell r="B103" t="str">
            <v>Feb'21</v>
          </cell>
          <cell r="C103" t="str">
            <v>OK</v>
          </cell>
        </row>
        <row r="104">
          <cell r="A104" t="str">
            <v>83141-3</v>
          </cell>
          <cell r="B104" t="str">
            <v>Mar'21</v>
          </cell>
          <cell r="C104" t="str">
            <v>OK</v>
          </cell>
        </row>
        <row r="105">
          <cell r="A105" t="str">
            <v>83141-4</v>
          </cell>
          <cell r="B105" t="str">
            <v>Mar'21</v>
          </cell>
          <cell r="C105" t="str">
            <v>OK</v>
          </cell>
        </row>
        <row r="106">
          <cell r="A106" t="str">
            <v>83141-5</v>
          </cell>
          <cell r="B106" t="str">
            <v>Mar'21</v>
          </cell>
          <cell r="C106" t="str">
            <v>OK</v>
          </cell>
        </row>
        <row r="107">
          <cell r="A107" t="str">
            <v>83134-5</v>
          </cell>
          <cell r="B107" t="str">
            <v>Mar'21</v>
          </cell>
          <cell r="C107" t="str">
            <v>OK</v>
          </cell>
        </row>
        <row r="108">
          <cell r="A108" t="str">
            <v>83134-8</v>
          </cell>
          <cell r="B108" t="str">
            <v>Mar'21</v>
          </cell>
          <cell r="C108" t="str">
            <v>OK</v>
          </cell>
        </row>
        <row r="109">
          <cell r="A109" t="str">
            <v>83134-13</v>
          </cell>
          <cell r="B109" t="str">
            <v>Mar'21</v>
          </cell>
          <cell r="C109" t="str">
            <v>OK</v>
          </cell>
        </row>
        <row r="110">
          <cell r="A110" t="str">
            <v>70556-2</v>
          </cell>
          <cell r="B110" t="str">
            <v>Mar'21</v>
          </cell>
          <cell r="C110" t="str">
            <v>OK</v>
          </cell>
        </row>
        <row r="111">
          <cell r="A111" t="str">
            <v>70556-5</v>
          </cell>
          <cell r="B111" t="str">
            <v>Mar'21</v>
          </cell>
          <cell r="C111" t="str">
            <v>OK</v>
          </cell>
        </row>
        <row r="112">
          <cell r="A112" t="str">
            <v>70556-6</v>
          </cell>
          <cell r="B112" t="str">
            <v>Mar'21</v>
          </cell>
          <cell r="C112" t="str">
            <v>OK</v>
          </cell>
        </row>
        <row r="113">
          <cell r="A113" t="str">
            <v>70556-7</v>
          </cell>
          <cell r="B113" t="str">
            <v>Mar'21</v>
          </cell>
          <cell r="C113" t="str">
            <v>OK</v>
          </cell>
        </row>
        <row r="114">
          <cell r="A114" t="str">
            <v>80313-1</v>
          </cell>
          <cell r="B114" t="str">
            <v>Mar'21</v>
          </cell>
          <cell r="C114" t="str">
            <v>OK</v>
          </cell>
        </row>
        <row r="115">
          <cell r="A115" t="str">
            <v>80313-2</v>
          </cell>
          <cell r="B115" t="str">
            <v>Mar'21</v>
          </cell>
          <cell r="C115" t="str">
            <v>OK</v>
          </cell>
        </row>
        <row r="116">
          <cell r="A116" t="str">
            <v>80313-3</v>
          </cell>
          <cell r="B116" t="str">
            <v>Mar'21</v>
          </cell>
          <cell r="C116" t="str">
            <v>OK</v>
          </cell>
        </row>
        <row r="117">
          <cell r="A117" t="str">
            <v>83104-1</v>
          </cell>
          <cell r="B117" t="str">
            <v>Mar'21</v>
          </cell>
          <cell r="C117" t="str">
            <v>OK</v>
          </cell>
        </row>
        <row r="118">
          <cell r="A118" t="str">
            <v>83104-2</v>
          </cell>
          <cell r="B118" t="str">
            <v>Mar'21</v>
          </cell>
          <cell r="C118" t="str">
            <v>OK</v>
          </cell>
        </row>
        <row r="119">
          <cell r="A119" t="str">
            <v>83104-3</v>
          </cell>
          <cell r="B119" t="str">
            <v>Mar'21</v>
          </cell>
          <cell r="C119" t="str">
            <v>OK</v>
          </cell>
        </row>
        <row r="120">
          <cell r="A120" t="str">
            <v>83104-4</v>
          </cell>
          <cell r="B120" t="str">
            <v>Mar'21</v>
          </cell>
          <cell r="C120" t="str">
            <v>OK</v>
          </cell>
        </row>
        <row r="121">
          <cell r="A121" t="str">
            <v>83104-5</v>
          </cell>
          <cell r="B121" t="str">
            <v>Mar'21</v>
          </cell>
          <cell r="C121" t="str">
            <v>OK</v>
          </cell>
        </row>
        <row r="122">
          <cell r="A122" t="str">
            <v>75987-5</v>
          </cell>
          <cell r="B122" t="str">
            <v>Mar'21</v>
          </cell>
          <cell r="C122" t="str">
            <v>N/C</v>
          </cell>
        </row>
        <row r="123">
          <cell r="A123" t="str">
            <v>83104-6</v>
          </cell>
          <cell r="B123" t="str">
            <v>Mar'21</v>
          </cell>
          <cell r="C123" t="str">
            <v>OK</v>
          </cell>
        </row>
        <row r="124">
          <cell r="A124" t="str">
            <v>83104-7</v>
          </cell>
          <cell r="B124" t="str">
            <v>Mar'21</v>
          </cell>
          <cell r="C124" t="str">
            <v>OK</v>
          </cell>
        </row>
        <row r="125">
          <cell r="A125" t="str">
            <v>77112-5</v>
          </cell>
          <cell r="B125" t="str">
            <v>Mar'21</v>
          </cell>
          <cell r="C125" t="str">
            <v>N/C</v>
          </cell>
        </row>
        <row r="126">
          <cell r="A126" t="str">
            <v>83104-9</v>
          </cell>
          <cell r="B126" t="str">
            <v>Mar'21</v>
          </cell>
          <cell r="C126" t="str">
            <v>OK</v>
          </cell>
        </row>
        <row r="127">
          <cell r="A127" t="str">
            <v>82925-8</v>
          </cell>
          <cell r="B127" t="str">
            <v>Mar'21</v>
          </cell>
          <cell r="C127" t="str">
            <v>OK</v>
          </cell>
        </row>
        <row r="128">
          <cell r="A128" t="str">
            <v>77824-1</v>
          </cell>
          <cell r="B128" t="str">
            <v>Feb'21</v>
          </cell>
          <cell r="C128" t="str">
            <v>OK</v>
          </cell>
        </row>
        <row r="129">
          <cell r="A129" t="str">
            <v>82925-9</v>
          </cell>
          <cell r="B129" t="str">
            <v>Mar'21</v>
          </cell>
          <cell r="C129" t="str">
            <v>OK</v>
          </cell>
        </row>
        <row r="130">
          <cell r="A130" t="str">
            <v>68910-2</v>
          </cell>
          <cell r="B130" t="str">
            <v>Mar'21</v>
          </cell>
          <cell r="C130" t="str">
            <v>OK</v>
          </cell>
        </row>
        <row r="131">
          <cell r="A131" t="str">
            <v>77112-2</v>
          </cell>
          <cell r="B131" t="str">
            <v>Mar'21</v>
          </cell>
          <cell r="C131" t="str">
            <v>OK</v>
          </cell>
        </row>
        <row r="132">
          <cell r="A132" t="str">
            <v>76066-2</v>
          </cell>
          <cell r="B132" t="str">
            <v>Mar'21</v>
          </cell>
          <cell r="C132" t="str">
            <v>OK</v>
          </cell>
        </row>
        <row r="133">
          <cell r="A133" t="str">
            <v>60998-1</v>
          </cell>
          <cell r="B133" t="str">
            <v>Mar'21</v>
          </cell>
          <cell r="C133" t="str">
            <v>OK</v>
          </cell>
        </row>
        <row r="134">
          <cell r="A134" t="str">
            <v>83552-1</v>
          </cell>
          <cell r="B134" t="str">
            <v>Mar'21</v>
          </cell>
          <cell r="C134" t="str">
            <v>OK</v>
          </cell>
        </row>
        <row r="135">
          <cell r="A135" t="str">
            <v>83555-5</v>
          </cell>
          <cell r="B135" t="str">
            <v>Mar'21</v>
          </cell>
          <cell r="C135" t="str">
            <v>OK</v>
          </cell>
        </row>
        <row r="136">
          <cell r="A136" t="str">
            <v>83555-8</v>
          </cell>
          <cell r="B136" t="str">
            <v>Mar'21</v>
          </cell>
          <cell r="C136" t="str">
            <v>OK</v>
          </cell>
        </row>
        <row r="137">
          <cell r="A137" t="str">
            <v>83562-1</v>
          </cell>
          <cell r="B137" t="str">
            <v>Mar'21</v>
          </cell>
          <cell r="C137" t="str">
            <v>OK</v>
          </cell>
        </row>
        <row r="138">
          <cell r="A138" t="str">
            <v>83562-2</v>
          </cell>
          <cell r="B138" t="str">
            <v>Mar'21</v>
          </cell>
          <cell r="C138" t="str">
            <v>OK</v>
          </cell>
        </row>
        <row r="139">
          <cell r="A139" t="str">
            <v>60563-1</v>
          </cell>
          <cell r="B139" t="str">
            <v>Mar'21</v>
          </cell>
          <cell r="C139" t="str">
            <v>OK</v>
          </cell>
        </row>
        <row r="140">
          <cell r="A140" t="str">
            <v>60563-2</v>
          </cell>
          <cell r="B140" t="str">
            <v>Mar'21</v>
          </cell>
          <cell r="C140" t="str">
            <v>OK</v>
          </cell>
        </row>
        <row r="141">
          <cell r="A141" t="str">
            <v>73547-4</v>
          </cell>
          <cell r="B141" t="str">
            <v>Feb'21</v>
          </cell>
          <cell r="C141" t="str">
            <v>OK</v>
          </cell>
        </row>
        <row r="142">
          <cell r="A142" t="str">
            <v>78034-1</v>
          </cell>
          <cell r="B142" t="str">
            <v>Feb'21</v>
          </cell>
          <cell r="C142" t="str">
            <v>OK</v>
          </cell>
        </row>
        <row r="143">
          <cell r="A143" t="str">
            <v>78034-3</v>
          </cell>
          <cell r="B143" t="str">
            <v>Feb'21</v>
          </cell>
          <cell r="C143" t="str">
            <v>OK</v>
          </cell>
        </row>
        <row r="144">
          <cell r="A144" t="str">
            <v>68430-3</v>
          </cell>
          <cell r="B144" t="str">
            <v>Mar'21</v>
          </cell>
          <cell r="C144" t="str">
            <v>OK</v>
          </cell>
        </row>
        <row r="145">
          <cell r="A145" t="str">
            <v>68430-4</v>
          </cell>
          <cell r="B145" t="str">
            <v>Mar'21</v>
          </cell>
          <cell r="C145" t="str">
            <v>OK</v>
          </cell>
        </row>
        <row r="146">
          <cell r="A146" t="str">
            <v>76020-2</v>
          </cell>
          <cell r="B146" t="str">
            <v>Mar'21</v>
          </cell>
          <cell r="C146" t="str">
            <v>OK</v>
          </cell>
        </row>
        <row r="147">
          <cell r="A147" t="str">
            <v>76020-4</v>
          </cell>
          <cell r="B147" t="str">
            <v>Mar'21</v>
          </cell>
          <cell r="C147" t="str">
            <v>OK</v>
          </cell>
        </row>
        <row r="148">
          <cell r="A148" t="str">
            <v>75989-4</v>
          </cell>
          <cell r="B148" t="str">
            <v>Mar'21</v>
          </cell>
          <cell r="C148" t="str">
            <v>OK</v>
          </cell>
        </row>
        <row r="149">
          <cell r="A149" t="str">
            <v>73037-8</v>
          </cell>
          <cell r="B149" t="str">
            <v>Mar'21</v>
          </cell>
          <cell r="C149" t="str">
            <v>OK</v>
          </cell>
        </row>
        <row r="150">
          <cell r="A150" t="str">
            <v>67391-8</v>
          </cell>
          <cell r="B150" t="str">
            <v>Mar'21</v>
          </cell>
          <cell r="C150" t="str">
            <v>OK</v>
          </cell>
        </row>
        <row r="151">
          <cell r="A151" t="str">
            <v>83154-9</v>
          </cell>
          <cell r="B151" t="str">
            <v>Mar'21</v>
          </cell>
          <cell r="C151" t="str">
            <v>OK</v>
          </cell>
        </row>
        <row r="152">
          <cell r="A152" t="str">
            <v>4000001698-4</v>
          </cell>
          <cell r="B152" t="str">
            <v>Mar'21</v>
          </cell>
          <cell r="C152" t="str">
            <v>OK</v>
          </cell>
        </row>
        <row r="153">
          <cell r="A153" t="str">
            <v>4000001748-2</v>
          </cell>
          <cell r="B153" t="str">
            <v>Mar'21</v>
          </cell>
          <cell r="C153" t="str">
            <v>OK</v>
          </cell>
        </row>
        <row r="154">
          <cell r="A154" t="str">
            <v>75737-11</v>
          </cell>
          <cell r="B154" t="str">
            <v>Mar'21</v>
          </cell>
          <cell r="C154" t="str">
            <v>OK</v>
          </cell>
        </row>
        <row r="155">
          <cell r="A155" t="str">
            <v>83319-1</v>
          </cell>
          <cell r="B155" t="str">
            <v>Mar'21</v>
          </cell>
          <cell r="C155" t="str">
            <v>OK</v>
          </cell>
        </row>
        <row r="156">
          <cell r="A156" t="str">
            <v>83319-2</v>
          </cell>
          <cell r="B156" t="str">
            <v>Mar'21</v>
          </cell>
          <cell r="C156" t="str">
            <v>OK</v>
          </cell>
        </row>
        <row r="157">
          <cell r="A157" t="str">
            <v>83319-4</v>
          </cell>
          <cell r="B157" t="str">
            <v>Mar'21</v>
          </cell>
          <cell r="C157" t="str">
            <v>OK</v>
          </cell>
        </row>
        <row r="158">
          <cell r="A158" t="str">
            <v>83319-6</v>
          </cell>
          <cell r="B158" t="str">
            <v>Mar'21</v>
          </cell>
          <cell r="C158" t="str">
            <v>OK</v>
          </cell>
        </row>
        <row r="159">
          <cell r="A159" t="str">
            <v>83319-8</v>
          </cell>
          <cell r="B159" t="str">
            <v>Mar'21</v>
          </cell>
          <cell r="C159" t="str">
            <v>OK</v>
          </cell>
        </row>
        <row r="160">
          <cell r="A160" t="str">
            <v>83319-9</v>
          </cell>
          <cell r="B160" t="str">
            <v>Mar'21</v>
          </cell>
          <cell r="C160" t="str">
            <v>OK</v>
          </cell>
        </row>
        <row r="161">
          <cell r="A161" t="str">
            <v>83319-11</v>
          </cell>
          <cell r="B161" t="str">
            <v>Mar'21</v>
          </cell>
          <cell r="C161" t="str">
            <v>OK</v>
          </cell>
        </row>
        <row r="162">
          <cell r="A162" t="str">
            <v>83466-6</v>
          </cell>
          <cell r="B162" t="str">
            <v>Mar'21</v>
          </cell>
          <cell r="C162" t="str">
            <v>OK</v>
          </cell>
        </row>
        <row r="163">
          <cell r="A163" t="str">
            <v>83466-7</v>
          </cell>
          <cell r="B163" t="str">
            <v>Mar'21</v>
          </cell>
          <cell r="C163" t="str">
            <v>OK</v>
          </cell>
        </row>
        <row r="164">
          <cell r="A164" t="str">
            <v>83319-13</v>
          </cell>
          <cell r="B164" t="str">
            <v>Mar'21</v>
          </cell>
          <cell r="C164" t="str">
            <v>OK</v>
          </cell>
        </row>
        <row r="165">
          <cell r="A165" t="str">
            <v>73547-15</v>
          </cell>
          <cell r="B165" t="str">
            <v>Feb'21</v>
          </cell>
          <cell r="C165" t="str">
            <v>OK</v>
          </cell>
        </row>
        <row r="166">
          <cell r="A166" t="str">
            <v>80980-4</v>
          </cell>
          <cell r="B166" t="str">
            <v>Mar'21</v>
          </cell>
          <cell r="C166" t="str">
            <v>OK</v>
          </cell>
        </row>
        <row r="167">
          <cell r="A167" t="str">
            <v>72057-9</v>
          </cell>
          <cell r="B167" t="str">
            <v>Feb'21</v>
          </cell>
          <cell r="C167" t="str">
            <v>OK</v>
          </cell>
        </row>
        <row r="168">
          <cell r="A168" t="str">
            <v>9514168403-2</v>
          </cell>
          <cell r="B168" t="str">
            <v>Mar'21</v>
          </cell>
          <cell r="C168" t="str">
            <v>OK</v>
          </cell>
        </row>
        <row r="169">
          <cell r="A169" t="str">
            <v>76018-1</v>
          </cell>
          <cell r="B169" t="str">
            <v>Feb'21</v>
          </cell>
          <cell r="C169" t="str">
            <v>OK</v>
          </cell>
        </row>
        <row r="170">
          <cell r="A170" t="str">
            <v>75949-5</v>
          </cell>
          <cell r="B170" t="str">
            <v>Feb'21</v>
          </cell>
          <cell r="C170" t="str">
            <v>OK</v>
          </cell>
        </row>
        <row r="171">
          <cell r="A171" t="str">
            <v>75737-8</v>
          </cell>
          <cell r="B171" t="str">
            <v>Feb'21</v>
          </cell>
          <cell r="C171" t="str">
            <v>OK</v>
          </cell>
        </row>
        <row r="172">
          <cell r="A172" t="str">
            <v>60997-6</v>
          </cell>
          <cell r="B172" t="str">
            <v>Jan'21</v>
          </cell>
          <cell r="C172" t="str">
            <v>OK</v>
          </cell>
        </row>
        <row r="173">
          <cell r="A173" t="str">
            <v>83109-1</v>
          </cell>
          <cell r="B173" t="str">
            <v>Mar'21</v>
          </cell>
          <cell r="C173" t="str">
            <v>OK</v>
          </cell>
        </row>
        <row r="174">
          <cell r="A174" t="str">
            <v>68430-2</v>
          </cell>
          <cell r="B174" t="str">
            <v>Mar'21</v>
          </cell>
          <cell r="C174" t="str">
            <v>OK</v>
          </cell>
        </row>
        <row r="175">
          <cell r="A175" t="str">
            <v>80983-5</v>
          </cell>
          <cell r="B175" t="str">
            <v>Feb'21</v>
          </cell>
          <cell r="C175" t="str">
            <v>OK</v>
          </cell>
        </row>
        <row r="176">
          <cell r="A176" t="str">
            <v>80980-6</v>
          </cell>
          <cell r="B176" t="str">
            <v>Mar'21</v>
          </cell>
          <cell r="C176" t="str">
            <v>OK</v>
          </cell>
        </row>
        <row r="177">
          <cell r="A177" t="str">
            <v>73071-14</v>
          </cell>
          <cell r="B177" t="str">
            <v>Mar'21</v>
          </cell>
          <cell r="C177" t="str">
            <v>OK</v>
          </cell>
        </row>
        <row r="178">
          <cell r="A178" t="str">
            <v>60997-1</v>
          </cell>
          <cell r="B178" t="str">
            <v>Jan'21</v>
          </cell>
          <cell r="C178" t="str">
            <v>OK</v>
          </cell>
        </row>
        <row r="179">
          <cell r="A179" t="str">
            <v>63546-1</v>
          </cell>
          <cell r="B179" t="str">
            <v>Jan'21</v>
          </cell>
          <cell r="C179" t="str">
            <v>OK</v>
          </cell>
        </row>
        <row r="180">
          <cell r="A180" t="str">
            <v>63546-3</v>
          </cell>
          <cell r="B180" t="str">
            <v>Jan'21</v>
          </cell>
          <cell r="C180" t="str">
            <v>OK</v>
          </cell>
        </row>
        <row r="181">
          <cell r="A181" t="str">
            <v>61749-7</v>
          </cell>
          <cell r="B181" t="str">
            <v>Dec'20</v>
          </cell>
          <cell r="C181" t="str">
            <v>OK</v>
          </cell>
        </row>
        <row r="182">
          <cell r="A182" t="str">
            <v>75992-5</v>
          </cell>
          <cell r="B182" t="str">
            <v>Feb'21</v>
          </cell>
          <cell r="C182" t="str">
            <v>OK</v>
          </cell>
        </row>
        <row r="183">
          <cell r="A183" t="str">
            <v>83547-7</v>
          </cell>
          <cell r="B183" t="str">
            <v>Mar'21</v>
          </cell>
          <cell r="C183" t="str">
            <v>OK</v>
          </cell>
        </row>
        <row r="184">
          <cell r="A184" t="str">
            <v>72057-11</v>
          </cell>
          <cell r="B184" t="str">
            <v>Mar'21</v>
          </cell>
          <cell r="C184" t="str">
            <v>OK</v>
          </cell>
        </row>
        <row r="185">
          <cell r="A185" t="str">
            <v>72057-13</v>
          </cell>
          <cell r="B185" t="str">
            <v>Mar'21</v>
          </cell>
          <cell r="C185" t="str">
            <v>N/C</v>
          </cell>
        </row>
        <row r="186">
          <cell r="A186" t="str">
            <v>63196-4</v>
          </cell>
          <cell r="B186" t="str">
            <v>Jan'21</v>
          </cell>
          <cell r="C186" t="str">
            <v>OK</v>
          </cell>
        </row>
        <row r="187">
          <cell r="A187" t="str">
            <v>63196-9</v>
          </cell>
          <cell r="B187" t="str">
            <v>Jan'21</v>
          </cell>
          <cell r="C187" t="str">
            <v>OK</v>
          </cell>
        </row>
        <row r="188">
          <cell r="A188" t="str">
            <v>64227-1</v>
          </cell>
          <cell r="B188" t="str">
            <v>Mar'21</v>
          </cell>
          <cell r="C188" t="str">
            <v>OK</v>
          </cell>
        </row>
        <row r="189">
          <cell r="A189" t="str">
            <v>71845-1</v>
          </cell>
          <cell r="B189" t="str">
            <v>Mar'21</v>
          </cell>
          <cell r="C189" t="str">
            <v>OK</v>
          </cell>
        </row>
        <row r="190">
          <cell r="A190" t="str">
            <v>74618-7</v>
          </cell>
          <cell r="B190" t="str">
            <v>Mar'21</v>
          </cell>
          <cell r="C190" t="str">
            <v>OK</v>
          </cell>
        </row>
        <row r="191">
          <cell r="A191" t="str">
            <v>65095-10</v>
          </cell>
          <cell r="B191" t="str">
            <v>Mar'21</v>
          </cell>
          <cell r="C191" t="str">
            <v>N/C</v>
          </cell>
        </row>
        <row r="192">
          <cell r="A192" t="str">
            <v>61670-2</v>
          </cell>
          <cell r="B192" t="str">
            <v>Mar'21</v>
          </cell>
          <cell r="C192" t="str">
            <v>N/C</v>
          </cell>
        </row>
        <row r="193">
          <cell r="A193" t="str">
            <v>68786-4</v>
          </cell>
          <cell r="B193" t="str">
            <v>Mar'21</v>
          </cell>
          <cell r="C193" t="str">
            <v>N/C</v>
          </cell>
        </row>
        <row r="194">
          <cell r="A194" t="str">
            <v>77115-3</v>
          </cell>
          <cell r="B194" t="str">
            <v>Mar'21</v>
          </cell>
          <cell r="C194" t="str">
            <v>OK</v>
          </cell>
        </row>
        <row r="195">
          <cell r="A195" t="str">
            <v>75276-2</v>
          </cell>
          <cell r="B195" t="str">
            <v>Mar'21</v>
          </cell>
          <cell r="C195" t="str">
            <v>N/C</v>
          </cell>
        </row>
        <row r="196">
          <cell r="A196" t="str">
            <v>75276-3</v>
          </cell>
          <cell r="B196" t="str">
            <v>Mar'21</v>
          </cell>
          <cell r="C196" t="str">
            <v>N/C</v>
          </cell>
        </row>
        <row r="197">
          <cell r="A197" t="str">
            <v>75276-5</v>
          </cell>
          <cell r="B197" t="str">
            <v>Mar'21</v>
          </cell>
          <cell r="C197" t="str">
            <v>N/C</v>
          </cell>
        </row>
        <row r="198">
          <cell r="A198" t="str">
            <v>75276-7</v>
          </cell>
          <cell r="B198" t="str">
            <v>Mar'21</v>
          </cell>
          <cell r="C198" t="str">
            <v>N/C</v>
          </cell>
        </row>
        <row r="199">
          <cell r="A199" t="str">
            <v>75949-8</v>
          </cell>
          <cell r="B199" t="str">
            <v>Mar'21</v>
          </cell>
          <cell r="C199" t="str">
            <v>N/C</v>
          </cell>
        </row>
        <row r="200">
          <cell r="A200" t="str">
            <v>68532-4</v>
          </cell>
          <cell r="B200" t="str">
            <v>Mar'21</v>
          </cell>
          <cell r="C200" t="str">
            <v>OK</v>
          </cell>
        </row>
        <row r="201">
          <cell r="A201" t="str">
            <v>69852-5</v>
          </cell>
          <cell r="B201" t="str">
            <v>Mar'21</v>
          </cell>
          <cell r="C201" t="str">
            <v>OK</v>
          </cell>
        </row>
        <row r="202">
          <cell r="A202" t="str">
            <v>84030-13</v>
          </cell>
          <cell r="B202" t="str">
            <v>Mar'21</v>
          </cell>
          <cell r="C202" t="str">
            <v>OK</v>
          </cell>
        </row>
        <row r="203">
          <cell r="A203" t="str">
            <v>59177-7</v>
          </cell>
          <cell r="B203" t="str">
            <v>Feb'21</v>
          </cell>
          <cell r="C203" t="str">
            <v>OK</v>
          </cell>
        </row>
        <row r="204">
          <cell r="A204" t="str">
            <v>55111-3</v>
          </cell>
          <cell r="B204" t="str">
            <v>Jan'21</v>
          </cell>
          <cell r="C204" t="str">
            <v>OK</v>
          </cell>
        </row>
        <row r="205">
          <cell r="A205" t="str">
            <v>68827-3</v>
          </cell>
          <cell r="B205" t="str">
            <v>Mar'21</v>
          </cell>
          <cell r="C205" t="str">
            <v>OK</v>
          </cell>
        </row>
        <row r="206">
          <cell r="A206" t="str">
            <v>77217-6</v>
          </cell>
          <cell r="B206" t="str">
            <v>Mar'21</v>
          </cell>
          <cell r="C206" t="str">
            <v>OK</v>
          </cell>
        </row>
        <row r="207">
          <cell r="A207" t="str">
            <v>77112-4</v>
          </cell>
          <cell r="B207" t="str">
            <v>Mar'21</v>
          </cell>
          <cell r="C207" t="str">
            <v>N/C</v>
          </cell>
        </row>
        <row r="208">
          <cell r="A208" t="str">
            <v>77115-2</v>
          </cell>
          <cell r="B208" t="str">
            <v>Mar'21</v>
          </cell>
          <cell r="C208" t="str">
            <v>N/C</v>
          </cell>
        </row>
        <row r="209">
          <cell r="A209" t="str">
            <v>68532-9</v>
          </cell>
          <cell r="B209" t="str">
            <v>Jan'21</v>
          </cell>
          <cell r="C209" t="str">
            <v>OK</v>
          </cell>
        </row>
        <row r="210">
          <cell r="A210" t="str">
            <v>74191-1</v>
          </cell>
          <cell r="B210" t="str">
            <v>Mar'21</v>
          </cell>
          <cell r="C210" t="str">
            <v>OK</v>
          </cell>
        </row>
        <row r="211">
          <cell r="A211" t="str">
            <v>76037-1</v>
          </cell>
          <cell r="B211" t="str">
            <v>Mar'21</v>
          </cell>
          <cell r="C211" t="str">
            <v>N/C</v>
          </cell>
        </row>
        <row r="212">
          <cell r="A212" t="str">
            <v>76037-2</v>
          </cell>
          <cell r="B212" t="str">
            <v>Mar'21</v>
          </cell>
          <cell r="C212" t="str">
            <v>OK</v>
          </cell>
        </row>
        <row r="213">
          <cell r="A213" t="str">
            <v>76037-9</v>
          </cell>
          <cell r="B213" t="str">
            <v>Mar'21</v>
          </cell>
          <cell r="C213" t="str">
            <v>N/C</v>
          </cell>
        </row>
        <row r="214">
          <cell r="A214" t="str">
            <v>75405-1</v>
          </cell>
          <cell r="B214" t="str">
            <v>Mar'21</v>
          </cell>
          <cell r="C214" t="str">
            <v>N/C</v>
          </cell>
        </row>
        <row r="215">
          <cell r="A215" t="str">
            <v>75405-5</v>
          </cell>
          <cell r="B215" t="str">
            <v>Mar'21</v>
          </cell>
          <cell r="C215" t="str">
            <v>N/C</v>
          </cell>
        </row>
        <row r="216">
          <cell r="A216" t="str">
            <v>75949-1</v>
          </cell>
          <cell r="B216" t="str">
            <v>Mar'21</v>
          </cell>
          <cell r="C216" t="str">
            <v>N/C</v>
          </cell>
        </row>
        <row r="217">
          <cell r="A217" t="str">
            <v>75737-1</v>
          </cell>
          <cell r="B217" t="str">
            <v>Mar'21</v>
          </cell>
          <cell r="C217" t="str">
            <v>N/C</v>
          </cell>
        </row>
        <row r="218">
          <cell r="A218" t="str">
            <v>75737-5</v>
          </cell>
          <cell r="B218" t="str">
            <v>Mar'21</v>
          </cell>
          <cell r="C218" t="str">
            <v>N/C</v>
          </cell>
        </row>
        <row r="219">
          <cell r="A219" t="str">
            <v>55512-6</v>
          </cell>
          <cell r="B219" t="str">
            <v>Feb'21</v>
          </cell>
          <cell r="C219" t="str">
            <v>OK</v>
          </cell>
        </row>
        <row r="220">
          <cell r="A220" t="str">
            <v>73071-6</v>
          </cell>
          <cell r="B220" t="str">
            <v>Mar'21</v>
          </cell>
          <cell r="C220" t="str">
            <v>N/C</v>
          </cell>
        </row>
        <row r="221">
          <cell r="A221" t="str">
            <v>73071-8</v>
          </cell>
          <cell r="B221" t="str">
            <v>Mar'21</v>
          </cell>
          <cell r="C221" t="str">
            <v>N/C</v>
          </cell>
        </row>
        <row r="222">
          <cell r="A222" t="str">
            <v>73071-11</v>
          </cell>
          <cell r="B222" t="str">
            <v>Mar'21</v>
          </cell>
          <cell r="C222" t="str">
            <v>N/C</v>
          </cell>
        </row>
        <row r="223">
          <cell r="A223" t="str">
            <v>73188-3</v>
          </cell>
          <cell r="B223" t="str">
            <v>Mar'21</v>
          </cell>
          <cell r="C223" t="str">
            <v>N/C</v>
          </cell>
        </row>
        <row r="224">
          <cell r="A224" t="str">
            <v>75989-1</v>
          </cell>
          <cell r="B224" t="str">
            <v>Mar'21</v>
          </cell>
          <cell r="C224" t="str">
            <v>N/C</v>
          </cell>
        </row>
        <row r="225">
          <cell r="A225" t="str">
            <v>75947-1</v>
          </cell>
          <cell r="B225" t="str">
            <v>Mar'21</v>
          </cell>
          <cell r="C225" t="str">
            <v>N/C</v>
          </cell>
        </row>
        <row r="226">
          <cell r="A226" t="str">
            <v>83141-6</v>
          </cell>
          <cell r="B226" t="str">
            <v>Mar'21</v>
          </cell>
          <cell r="C226" t="str">
            <v>OK</v>
          </cell>
        </row>
        <row r="227">
          <cell r="A227" t="str">
            <v>83141-7</v>
          </cell>
          <cell r="B227" t="str">
            <v>Mar'21</v>
          </cell>
          <cell r="C227" t="str">
            <v>OK</v>
          </cell>
        </row>
        <row r="228">
          <cell r="A228" t="str">
            <v>83141-8</v>
          </cell>
          <cell r="B228" t="str">
            <v>Mar'21</v>
          </cell>
          <cell r="C228" t="str">
            <v>OK</v>
          </cell>
        </row>
        <row r="229">
          <cell r="A229" t="str">
            <v>76018-3</v>
          </cell>
          <cell r="B229" t="str">
            <v>Mar'21</v>
          </cell>
          <cell r="C229" t="str">
            <v>N/C</v>
          </cell>
        </row>
        <row r="230">
          <cell r="A230" t="str">
            <v>76018-4</v>
          </cell>
          <cell r="B230" t="str">
            <v>Mar'21</v>
          </cell>
          <cell r="C230" t="str">
            <v>N/C</v>
          </cell>
        </row>
        <row r="231">
          <cell r="A231" t="str">
            <v>76018-6</v>
          </cell>
          <cell r="B231" t="str">
            <v>Mar'21</v>
          </cell>
          <cell r="C231" t="str">
            <v>N/C</v>
          </cell>
        </row>
        <row r="232">
          <cell r="A232" t="str">
            <v>76018-7</v>
          </cell>
          <cell r="B232" t="str">
            <v>Mar'21</v>
          </cell>
          <cell r="C232" t="str">
            <v>N/C</v>
          </cell>
        </row>
        <row r="233">
          <cell r="A233" t="str">
            <v>75356-1</v>
          </cell>
          <cell r="B233" t="str">
            <v>Mar'21</v>
          </cell>
          <cell r="C233" t="str">
            <v>N/C</v>
          </cell>
        </row>
        <row r="234">
          <cell r="A234" t="str">
            <v>74191-4</v>
          </cell>
          <cell r="B234" t="str">
            <v>Mar'21</v>
          </cell>
          <cell r="C234" t="str">
            <v>N/C</v>
          </cell>
        </row>
        <row r="235">
          <cell r="A235" t="str">
            <v>72057-16</v>
          </cell>
          <cell r="B235" t="str">
            <v>Mar'21</v>
          </cell>
          <cell r="C235" t="str">
            <v>N/C</v>
          </cell>
        </row>
        <row r="236">
          <cell r="A236" t="str">
            <v>72057-17</v>
          </cell>
          <cell r="B236" t="str">
            <v>Mar'21</v>
          </cell>
          <cell r="C236" t="str">
            <v>N/C</v>
          </cell>
        </row>
        <row r="237">
          <cell r="A237" t="str">
            <v>74191-7</v>
          </cell>
          <cell r="B237" t="str">
            <v>Mar'21</v>
          </cell>
          <cell r="C237" t="str">
            <v>N/C</v>
          </cell>
        </row>
        <row r="238">
          <cell r="A238" t="str">
            <v>73308-4</v>
          </cell>
          <cell r="B238" t="str">
            <v>Mar'21</v>
          </cell>
          <cell r="C238" t="str">
            <v>N/C</v>
          </cell>
        </row>
        <row r="239">
          <cell r="A239" t="str">
            <v>59226-10</v>
          </cell>
          <cell r="B239" t="str">
            <v>Mar'21</v>
          </cell>
          <cell r="C239" t="str">
            <v>OK</v>
          </cell>
        </row>
        <row r="240">
          <cell r="A240" t="str">
            <v>74173-4</v>
          </cell>
          <cell r="B240" t="str">
            <v>Mar'21</v>
          </cell>
          <cell r="C240" t="str">
            <v>OK</v>
          </cell>
        </row>
        <row r="241">
          <cell r="A241" t="str">
            <v>73308-9</v>
          </cell>
          <cell r="B241" t="str">
            <v>Mar'21</v>
          </cell>
          <cell r="C241" t="str">
            <v>N/C</v>
          </cell>
        </row>
        <row r="242">
          <cell r="A242" t="str">
            <v>74173-5</v>
          </cell>
          <cell r="B242" t="str">
            <v>Mar'21</v>
          </cell>
          <cell r="C242" t="str">
            <v>OK</v>
          </cell>
        </row>
        <row r="243">
          <cell r="A243" t="str">
            <v>73308-11</v>
          </cell>
          <cell r="B243" t="str">
            <v>Mar'21</v>
          </cell>
          <cell r="C243" t="str">
            <v>N/C</v>
          </cell>
        </row>
        <row r="244">
          <cell r="A244" t="str">
            <v>73308-13</v>
          </cell>
          <cell r="B244" t="str">
            <v>Mar'21</v>
          </cell>
          <cell r="C244" t="str">
            <v>N/C</v>
          </cell>
        </row>
        <row r="245">
          <cell r="A245" t="str">
            <v>74191-8</v>
          </cell>
          <cell r="B245" t="str">
            <v>Mar'21</v>
          </cell>
          <cell r="C245" t="str">
            <v>N/C</v>
          </cell>
        </row>
        <row r="246">
          <cell r="A246" t="str">
            <v>83134-3</v>
          </cell>
          <cell r="B246" t="str">
            <v>Mar'21</v>
          </cell>
          <cell r="C246" t="str">
            <v>OK</v>
          </cell>
        </row>
        <row r="247">
          <cell r="A247" t="str">
            <v>75992-1</v>
          </cell>
          <cell r="B247" t="str">
            <v>Mar'21</v>
          </cell>
          <cell r="C247" t="str">
            <v>N/C</v>
          </cell>
        </row>
        <row r="248">
          <cell r="A248" t="str">
            <v>75992-2</v>
          </cell>
          <cell r="B248" t="str">
            <v>Mar'21</v>
          </cell>
          <cell r="C248" t="str">
            <v>N/C</v>
          </cell>
        </row>
        <row r="249">
          <cell r="A249" t="str">
            <v>75992-3</v>
          </cell>
          <cell r="B249" t="str">
            <v>Mar'21</v>
          </cell>
          <cell r="C249" t="str">
            <v>N/C</v>
          </cell>
        </row>
        <row r="250">
          <cell r="A250" t="str">
            <v>68827-1</v>
          </cell>
          <cell r="B250" t="str">
            <v>Mar'21</v>
          </cell>
          <cell r="C250" t="str">
            <v>OK</v>
          </cell>
        </row>
        <row r="251">
          <cell r="A251" t="str">
            <v>75974-1</v>
          </cell>
          <cell r="B251" t="str">
            <v>Mar'21</v>
          </cell>
          <cell r="C251" t="str">
            <v>OK</v>
          </cell>
        </row>
        <row r="252">
          <cell r="A252" t="str">
            <v>75974-2</v>
          </cell>
          <cell r="B252" t="str">
            <v>Mar'21</v>
          </cell>
          <cell r="C252" t="str">
            <v>OK</v>
          </cell>
        </row>
        <row r="253">
          <cell r="A253" t="str">
            <v>68532-3</v>
          </cell>
          <cell r="B253" t="str">
            <v>Mar'21</v>
          </cell>
          <cell r="C253" t="str">
            <v>OK</v>
          </cell>
        </row>
        <row r="254">
          <cell r="A254" t="str">
            <v>66924-2</v>
          </cell>
          <cell r="B254" t="str">
            <v>Mar'21</v>
          </cell>
          <cell r="C254" t="str">
            <v>OK</v>
          </cell>
        </row>
        <row r="255">
          <cell r="A255" t="str">
            <v>75990-1</v>
          </cell>
          <cell r="B255" t="str">
            <v>Mar'21</v>
          </cell>
          <cell r="C255" t="str">
            <v>N/C</v>
          </cell>
        </row>
        <row r="256">
          <cell r="A256" t="str">
            <v>75990-3</v>
          </cell>
          <cell r="B256" t="str">
            <v>Mar'21</v>
          </cell>
          <cell r="C256" t="str">
            <v>N/C</v>
          </cell>
        </row>
        <row r="257">
          <cell r="A257" t="str">
            <v>75990-9</v>
          </cell>
          <cell r="B257" t="str">
            <v>Mar'21</v>
          </cell>
          <cell r="C257" t="str">
            <v>N/C</v>
          </cell>
        </row>
        <row r="258">
          <cell r="A258" t="str">
            <v>58721-4</v>
          </cell>
          <cell r="B258" t="str">
            <v>Mar'21</v>
          </cell>
          <cell r="C258" t="str">
            <v>OK</v>
          </cell>
        </row>
        <row r="259">
          <cell r="A259" t="str">
            <v>77217-11</v>
          </cell>
          <cell r="B259" t="str">
            <v>Mar'21</v>
          </cell>
          <cell r="C259" t="str">
            <v>OK</v>
          </cell>
        </row>
        <row r="260">
          <cell r="A260" t="str">
            <v>77217-12</v>
          </cell>
          <cell r="B260" t="str">
            <v>Mar'21</v>
          </cell>
          <cell r="C260" t="str">
            <v>OK</v>
          </cell>
        </row>
        <row r="261">
          <cell r="A261" t="str">
            <v>77217-13</v>
          </cell>
          <cell r="B261" t="str">
            <v>Mar'21</v>
          </cell>
          <cell r="C261" t="str">
            <v>OK</v>
          </cell>
        </row>
        <row r="262">
          <cell r="A262" t="str">
            <v>51665-1</v>
          </cell>
          <cell r="B262" t="str">
            <v>Mar'21</v>
          </cell>
          <cell r="C262" t="str">
            <v>OK</v>
          </cell>
        </row>
        <row r="263">
          <cell r="A263" t="str">
            <v>61801-8</v>
          </cell>
          <cell r="B263" t="str">
            <v>Mar'21</v>
          </cell>
          <cell r="C263" t="str">
            <v>OK</v>
          </cell>
        </row>
        <row r="264">
          <cell r="A264" t="str">
            <v>69538-1</v>
          </cell>
          <cell r="B264" t="str">
            <v>Mar'21</v>
          </cell>
          <cell r="C264" t="str">
            <v>OK</v>
          </cell>
        </row>
        <row r="265">
          <cell r="A265" t="str">
            <v>75335-3</v>
          </cell>
          <cell r="B265" t="str">
            <v>Mar'21</v>
          </cell>
          <cell r="C265" t="str">
            <v>OK</v>
          </cell>
        </row>
        <row r="266">
          <cell r="A266" t="str">
            <v>68866-2</v>
          </cell>
          <cell r="B266" t="str">
            <v>Mar'21</v>
          </cell>
          <cell r="C266" t="str">
            <v>OK</v>
          </cell>
        </row>
        <row r="267">
          <cell r="A267" t="str">
            <v>75342-2</v>
          </cell>
          <cell r="B267" t="str">
            <v>Mar'21</v>
          </cell>
          <cell r="C267" t="str">
            <v>OK</v>
          </cell>
        </row>
        <row r="268">
          <cell r="A268" t="str">
            <v>35925-1</v>
          </cell>
          <cell r="B268" t="str">
            <v>Mar'21</v>
          </cell>
          <cell r="C268" t="str">
            <v>N/C</v>
          </cell>
        </row>
        <row r="269">
          <cell r="A269" t="str">
            <v>61430-9</v>
          </cell>
          <cell r="B269" t="str">
            <v>Mar'21</v>
          </cell>
          <cell r="C269" t="str">
            <v>OK</v>
          </cell>
        </row>
        <row r="270">
          <cell r="A270" t="str">
            <v>61842-4</v>
          </cell>
          <cell r="B270" t="str">
            <v>Mar'21</v>
          </cell>
          <cell r="C270" t="str">
            <v>OK</v>
          </cell>
        </row>
        <row r="271">
          <cell r="A271" t="str">
            <v>80876-2</v>
          </cell>
          <cell r="B271" t="str">
            <v>Mar'21</v>
          </cell>
          <cell r="C271" t="str">
            <v>OK</v>
          </cell>
        </row>
        <row r="272">
          <cell r="A272" t="str">
            <v>72057-4</v>
          </cell>
          <cell r="B272" t="str">
            <v>Mar'21</v>
          </cell>
          <cell r="C272" t="str">
            <v>OK</v>
          </cell>
        </row>
        <row r="273">
          <cell r="A273" t="str">
            <v>72057-5</v>
          </cell>
          <cell r="B273" t="str">
            <v>Mar'21</v>
          </cell>
          <cell r="C273" t="str">
            <v>OK</v>
          </cell>
        </row>
        <row r="274">
          <cell r="A274" t="str">
            <v>46907-1</v>
          </cell>
          <cell r="B274" t="str">
            <v>Mar'21</v>
          </cell>
          <cell r="C274" t="str">
            <v>N/C</v>
          </cell>
        </row>
        <row r="275">
          <cell r="A275" t="str">
            <v>75990-4</v>
          </cell>
          <cell r="B275" t="str">
            <v>Mar'21</v>
          </cell>
          <cell r="C275" t="str">
            <v>N/C</v>
          </cell>
        </row>
        <row r="276">
          <cell r="A276" t="str">
            <v>75990-6</v>
          </cell>
          <cell r="B276" t="str">
            <v>Mar'21</v>
          </cell>
          <cell r="C276" t="str">
            <v>N/C</v>
          </cell>
        </row>
        <row r="277">
          <cell r="A277" t="str">
            <v>75990-7</v>
          </cell>
          <cell r="B277" t="str">
            <v>Mar'21</v>
          </cell>
          <cell r="C277" t="str">
            <v>N/C</v>
          </cell>
        </row>
        <row r="278">
          <cell r="A278" t="str">
            <v>75990-8</v>
          </cell>
          <cell r="B278" t="str">
            <v>Mar'21</v>
          </cell>
          <cell r="C278" t="str">
            <v>N/C</v>
          </cell>
        </row>
        <row r="279">
          <cell r="A279" t="str">
            <v>56226-1</v>
          </cell>
          <cell r="B279" t="str">
            <v>Mar'21</v>
          </cell>
          <cell r="C279" t="str">
            <v>N/C</v>
          </cell>
        </row>
        <row r="280">
          <cell r="A280" t="str">
            <v>54357-21</v>
          </cell>
          <cell r="B280" t="str">
            <v>Mar'21</v>
          </cell>
          <cell r="C280" t="str">
            <v>N/C</v>
          </cell>
        </row>
        <row r="281">
          <cell r="A281" t="str">
            <v>72057-6</v>
          </cell>
          <cell r="B281" t="str">
            <v>Mar'21</v>
          </cell>
          <cell r="C281" t="str">
            <v>OK</v>
          </cell>
        </row>
        <row r="282">
          <cell r="A282" t="str">
            <v>72057-7</v>
          </cell>
          <cell r="B282" t="str">
            <v>Mar'21</v>
          </cell>
          <cell r="C282" t="str">
            <v>OK</v>
          </cell>
        </row>
        <row r="283">
          <cell r="A283" t="str">
            <v>84030-8</v>
          </cell>
          <cell r="B283" t="str">
            <v>Mar'21</v>
          </cell>
          <cell r="C283" t="str">
            <v>OK</v>
          </cell>
        </row>
        <row r="284">
          <cell r="A284" t="str">
            <v>82097-1</v>
          </cell>
          <cell r="B284" t="str">
            <v>Mar'21</v>
          </cell>
          <cell r="C284" t="str">
            <v>OK</v>
          </cell>
        </row>
        <row r="285">
          <cell r="A285" t="str">
            <v>73988-3</v>
          </cell>
          <cell r="B285" t="str">
            <v>Mar'21</v>
          </cell>
          <cell r="C285" t="str">
            <v>N/C</v>
          </cell>
        </row>
        <row r="286">
          <cell r="A286" t="str">
            <v>73988-4</v>
          </cell>
          <cell r="B286" t="str">
            <v>Mar'21</v>
          </cell>
          <cell r="C286" t="str">
            <v>N/C</v>
          </cell>
        </row>
        <row r="287">
          <cell r="A287" t="str">
            <v>73988-5</v>
          </cell>
          <cell r="B287" t="str">
            <v>Mar'21</v>
          </cell>
          <cell r="C287" t="str">
            <v>N/C</v>
          </cell>
        </row>
        <row r="288">
          <cell r="A288" t="str">
            <v>73518-15</v>
          </cell>
          <cell r="B288" t="str">
            <v>Feb'21</v>
          </cell>
          <cell r="C288" t="str">
            <v>OK</v>
          </cell>
        </row>
        <row r="289">
          <cell r="A289" t="str">
            <v>73518-16</v>
          </cell>
          <cell r="B289" t="str">
            <v>Feb'21</v>
          </cell>
          <cell r="C289" t="str">
            <v>OK</v>
          </cell>
        </row>
        <row r="290">
          <cell r="A290" t="str">
            <v>73555-1</v>
          </cell>
          <cell r="B290" t="str">
            <v>Feb'21</v>
          </cell>
          <cell r="C290" t="str">
            <v>OK</v>
          </cell>
        </row>
        <row r="291">
          <cell r="A291" t="str">
            <v>74025-1</v>
          </cell>
          <cell r="B291" t="str">
            <v>Mar'21</v>
          </cell>
          <cell r="C291" t="str">
            <v>OK</v>
          </cell>
        </row>
        <row r="292">
          <cell r="A292" t="str">
            <v>75929-31</v>
          </cell>
          <cell r="B292" t="str">
            <v>Feb'21</v>
          </cell>
          <cell r="C292" t="str">
            <v>OK</v>
          </cell>
        </row>
        <row r="293">
          <cell r="A293" t="str">
            <v>72334-5</v>
          </cell>
          <cell r="B293" t="str">
            <v>Jan'21</v>
          </cell>
          <cell r="C293" t="str">
            <v>OK</v>
          </cell>
        </row>
        <row r="294">
          <cell r="A294" t="str">
            <v>73567-7</v>
          </cell>
          <cell r="B294" t="str">
            <v>Feb'21</v>
          </cell>
          <cell r="C294" t="str">
            <v>OK</v>
          </cell>
        </row>
        <row r="295">
          <cell r="A295" t="str">
            <v>68996-1</v>
          </cell>
          <cell r="B295" t="str">
            <v>Feb'21</v>
          </cell>
          <cell r="C295" t="str">
            <v>N/C</v>
          </cell>
        </row>
        <row r="296">
          <cell r="A296" t="str">
            <v>68996-2</v>
          </cell>
          <cell r="B296" t="str">
            <v>Feb'21</v>
          </cell>
          <cell r="C296" t="str">
            <v>N/C</v>
          </cell>
        </row>
        <row r="297">
          <cell r="A297" t="str">
            <v>75680-1</v>
          </cell>
          <cell r="B297" t="str">
            <v>Feb'21</v>
          </cell>
          <cell r="C297" t="str">
            <v>N/C</v>
          </cell>
        </row>
        <row r="298">
          <cell r="A298" t="str">
            <v>76820-1</v>
          </cell>
          <cell r="B298" t="str">
            <v>Feb'21</v>
          </cell>
          <cell r="C298" t="str">
            <v>OK</v>
          </cell>
        </row>
        <row r="299">
          <cell r="A299" t="str">
            <v>61635-6</v>
          </cell>
          <cell r="B299" t="str">
            <v>Feb'21</v>
          </cell>
          <cell r="C299" t="str">
            <v>OK</v>
          </cell>
        </row>
        <row r="300">
          <cell r="A300" t="str">
            <v>68274-1</v>
          </cell>
          <cell r="B300" t="str">
            <v>Feb'21</v>
          </cell>
          <cell r="C300" t="str">
            <v>N/C</v>
          </cell>
        </row>
        <row r="301">
          <cell r="A301" t="str">
            <v>54560-1</v>
          </cell>
          <cell r="B301" t="str">
            <v>Feb'21</v>
          </cell>
          <cell r="C301" t="str">
            <v>OK</v>
          </cell>
        </row>
        <row r="302">
          <cell r="A302" t="str">
            <v>54569-1</v>
          </cell>
          <cell r="B302" t="str">
            <v>Feb'21</v>
          </cell>
          <cell r="C302" t="str">
            <v>N/C</v>
          </cell>
        </row>
        <row r="303">
          <cell r="A303" t="str">
            <v>68572-1</v>
          </cell>
          <cell r="B303" t="str">
            <v>Feb'21</v>
          </cell>
          <cell r="C303" t="str">
            <v>N/C</v>
          </cell>
        </row>
        <row r="304">
          <cell r="A304" t="str">
            <v>55041-1</v>
          </cell>
          <cell r="B304" t="str">
            <v>Feb'21</v>
          </cell>
          <cell r="C304" t="str">
            <v>OK</v>
          </cell>
        </row>
        <row r="305">
          <cell r="A305" t="str">
            <v>68986-1</v>
          </cell>
          <cell r="B305" t="str">
            <v>Feb'21</v>
          </cell>
          <cell r="C305" t="str">
            <v>OK</v>
          </cell>
        </row>
        <row r="306">
          <cell r="A306" t="str">
            <v>55041-3</v>
          </cell>
          <cell r="B306" t="str">
            <v>Feb'21</v>
          </cell>
          <cell r="C306" t="str">
            <v>N/C</v>
          </cell>
        </row>
        <row r="307">
          <cell r="A307" t="str">
            <v>61592-1</v>
          </cell>
          <cell r="B307" t="str">
            <v>Feb'21</v>
          </cell>
          <cell r="C307" t="str">
            <v>OK</v>
          </cell>
        </row>
        <row r="308">
          <cell r="A308" t="str">
            <v>61592-3</v>
          </cell>
          <cell r="B308" t="str">
            <v>Feb'21</v>
          </cell>
          <cell r="C308" t="str">
            <v>N/C</v>
          </cell>
        </row>
        <row r="309">
          <cell r="A309" t="str">
            <v>61592-4</v>
          </cell>
          <cell r="B309" t="str">
            <v>Feb'21</v>
          </cell>
          <cell r="C309" t="str">
            <v>OK</v>
          </cell>
        </row>
        <row r="310">
          <cell r="A310" t="str">
            <v>69741-1</v>
          </cell>
          <cell r="B310" t="str">
            <v>Feb'21</v>
          </cell>
          <cell r="C310" t="str">
            <v>N/C</v>
          </cell>
        </row>
        <row r="311">
          <cell r="A311" t="str">
            <v>65161-1</v>
          </cell>
          <cell r="B311" t="str">
            <v>Jan'21</v>
          </cell>
          <cell r="C311" t="str">
            <v>OK</v>
          </cell>
        </row>
        <row r="312">
          <cell r="A312" t="str">
            <v>65161-4</v>
          </cell>
          <cell r="B312" t="str">
            <v>Jan'21</v>
          </cell>
          <cell r="C312" t="str">
            <v>OK</v>
          </cell>
        </row>
        <row r="313">
          <cell r="A313" t="str">
            <v>62230-1</v>
          </cell>
          <cell r="B313" t="str">
            <v>Mar'21</v>
          </cell>
          <cell r="C313" t="str">
            <v>OK</v>
          </cell>
        </row>
        <row r="314">
          <cell r="A314" t="str">
            <v>75967-4</v>
          </cell>
          <cell r="B314" t="str">
            <v>Mar'21</v>
          </cell>
          <cell r="C314" t="str">
            <v>OK</v>
          </cell>
        </row>
        <row r="315">
          <cell r="A315" t="str">
            <v>62223-3</v>
          </cell>
          <cell r="B315" t="str">
            <v>Mar'21</v>
          </cell>
          <cell r="C315" t="str">
            <v>OK</v>
          </cell>
        </row>
        <row r="316">
          <cell r="A316" t="str">
            <v>62223-4</v>
          </cell>
          <cell r="B316" t="str">
            <v>Mar'21</v>
          </cell>
          <cell r="C316" t="str">
            <v>OK</v>
          </cell>
        </row>
        <row r="317">
          <cell r="A317" t="str">
            <v>76380-5</v>
          </cell>
          <cell r="B317" t="str">
            <v>Feb'21</v>
          </cell>
          <cell r="C317" t="str">
            <v>OK</v>
          </cell>
        </row>
        <row r="318">
          <cell r="A318" t="str">
            <v>74453-7</v>
          </cell>
          <cell r="B318" t="str">
            <v>Apr'21</v>
          </cell>
          <cell r="C318" t="str">
            <v>N/C</v>
          </cell>
        </row>
        <row r="319">
          <cell r="A319" t="str">
            <v>65648-2</v>
          </cell>
          <cell r="B319" t="str">
            <v>Feb'21</v>
          </cell>
          <cell r="C319" t="str">
            <v>OK</v>
          </cell>
        </row>
        <row r="320">
          <cell r="A320" t="str">
            <v>77482-1</v>
          </cell>
          <cell r="B320" t="str">
            <v>Feb'21</v>
          </cell>
          <cell r="C320" t="str">
            <v>OK</v>
          </cell>
        </row>
        <row r="321">
          <cell r="A321" t="str">
            <v>77733-1</v>
          </cell>
          <cell r="B321" t="str">
            <v>Feb'21</v>
          </cell>
          <cell r="C321" t="str">
            <v>OK</v>
          </cell>
        </row>
        <row r="322">
          <cell r="A322" t="str">
            <v>77733-2</v>
          </cell>
          <cell r="B322" t="str">
            <v>Feb'21</v>
          </cell>
          <cell r="C322" t="str">
            <v>OK</v>
          </cell>
        </row>
        <row r="323">
          <cell r="A323" t="str">
            <v>74437-4</v>
          </cell>
          <cell r="B323" t="str">
            <v>Mar'21</v>
          </cell>
          <cell r="C323" t="str">
            <v>OK</v>
          </cell>
        </row>
        <row r="324">
          <cell r="A324" t="str">
            <v>56720-2</v>
          </cell>
          <cell r="B324" t="str">
            <v>Jan'21</v>
          </cell>
          <cell r="C324" t="str">
            <v>N/C</v>
          </cell>
        </row>
        <row r="325">
          <cell r="A325" t="str">
            <v>61373-3</v>
          </cell>
          <cell r="B325" t="str">
            <v>Jan'21</v>
          </cell>
          <cell r="C325" t="str">
            <v>N/C</v>
          </cell>
        </row>
        <row r="326">
          <cell r="A326" t="str">
            <v>54522-1</v>
          </cell>
          <cell r="B326" t="str">
            <v>Mar'21</v>
          </cell>
          <cell r="C326" t="str">
            <v>OK</v>
          </cell>
        </row>
        <row r="327">
          <cell r="A327" t="str">
            <v>54522-2</v>
          </cell>
          <cell r="B327" t="str">
            <v>Mar'21</v>
          </cell>
          <cell r="C327" t="str">
            <v>OK</v>
          </cell>
        </row>
        <row r="328">
          <cell r="A328" t="str">
            <v>60884-1</v>
          </cell>
          <cell r="B328" t="str">
            <v>Mar'21</v>
          </cell>
          <cell r="C328" t="str">
            <v>N/C</v>
          </cell>
        </row>
        <row r="329">
          <cell r="A329" t="str">
            <v>71115-3</v>
          </cell>
          <cell r="B329" t="str">
            <v>Jan'21</v>
          </cell>
          <cell r="C329" t="str">
            <v>N/C</v>
          </cell>
        </row>
        <row r="330">
          <cell r="A330" t="str">
            <v>71115-4</v>
          </cell>
          <cell r="B330" t="str">
            <v>Jan'21</v>
          </cell>
          <cell r="C330" t="str">
            <v>N/C</v>
          </cell>
        </row>
        <row r="331">
          <cell r="A331" t="str">
            <v>70593-1</v>
          </cell>
          <cell r="B331" t="str">
            <v>Apr'21</v>
          </cell>
          <cell r="C331" t="str">
            <v>N/C</v>
          </cell>
        </row>
        <row r="332">
          <cell r="A332" t="str">
            <v>71115-5</v>
          </cell>
          <cell r="B332" t="str">
            <v>Jan'21</v>
          </cell>
          <cell r="C332" t="str">
            <v>N/C</v>
          </cell>
        </row>
        <row r="333">
          <cell r="A333" t="str">
            <v>72018-3</v>
          </cell>
          <cell r="B333" t="str">
            <v>Jan'21</v>
          </cell>
          <cell r="C333" t="str">
            <v>N/C</v>
          </cell>
        </row>
        <row r="334">
          <cell r="A334" t="str">
            <v>74428-5</v>
          </cell>
          <cell r="B334" t="str">
            <v>Apr'21</v>
          </cell>
          <cell r="C334" t="str">
            <v>N/C</v>
          </cell>
        </row>
        <row r="335">
          <cell r="A335" t="str">
            <v>74435-2</v>
          </cell>
          <cell r="B335" t="str">
            <v>Mar'21</v>
          </cell>
          <cell r="C335" t="str">
            <v>OK</v>
          </cell>
        </row>
        <row r="336">
          <cell r="A336" t="str">
            <v>74436-3</v>
          </cell>
          <cell r="B336" t="str">
            <v>Apr'21</v>
          </cell>
          <cell r="C336" t="str">
            <v>N/C</v>
          </cell>
        </row>
        <row r="337">
          <cell r="A337" t="str">
            <v>74446-2</v>
          </cell>
          <cell r="B337" t="str">
            <v>Jan'21</v>
          </cell>
          <cell r="C337" t="str">
            <v>N/C</v>
          </cell>
        </row>
        <row r="338">
          <cell r="A338" t="str">
            <v>74448-4</v>
          </cell>
          <cell r="B338" t="str">
            <v>Jan'21</v>
          </cell>
          <cell r="C338" t="str">
            <v>N/C</v>
          </cell>
        </row>
        <row r="339">
          <cell r="A339" t="str">
            <v>74449-5</v>
          </cell>
          <cell r="B339" t="str">
            <v>Jan'21</v>
          </cell>
          <cell r="C339" t="str">
            <v>OK</v>
          </cell>
        </row>
        <row r="340">
          <cell r="A340" t="str">
            <v>74450-6</v>
          </cell>
          <cell r="B340" t="str">
            <v>Jan'21</v>
          </cell>
          <cell r="C340" t="str">
            <v>N/C</v>
          </cell>
        </row>
        <row r="341">
          <cell r="A341" t="str">
            <v>74450-7</v>
          </cell>
          <cell r="B341" t="str">
            <v>Jan'21</v>
          </cell>
          <cell r="C341" t="str">
            <v>N/C</v>
          </cell>
        </row>
        <row r="342">
          <cell r="A342" t="str">
            <v>74455-9</v>
          </cell>
          <cell r="B342" t="str">
            <v>Mar'21</v>
          </cell>
          <cell r="C342" t="str">
            <v>OK</v>
          </cell>
        </row>
        <row r="343">
          <cell r="A343" t="str">
            <v>63558-6</v>
          </cell>
          <cell r="B343" t="str">
            <v>Feb'21</v>
          </cell>
          <cell r="C343" t="str">
            <v>N/C</v>
          </cell>
        </row>
        <row r="344">
          <cell r="A344" t="str">
            <v>69741-5</v>
          </cell>
          <cell r="B344" t="str">
            <v>Feb'21</v>
          </cell>
          <cell r="C344" t="str">
            <v>N/C</v>
          </cell>
        </row>
        <row r="345">
          <cell r="A345" t="str">
            <v>61697-1</v>
          </cell>
          <cell r="B345" t="str">
            <v>Feb'21</v>
          </cell>
          <cell r="C345" t="str">
            <v>N/C</v>
          </cell>
        </row>
        <row r="346">
          <cell r="A346" t="str">
            <v>69525-3</v>
          </cell>
          <cell r="B346" t="str">
            <v>Feb'21</v>
          </cell>
          <cell r="C346" t="str">
            <v>N/C</v>
          </cell>
        </row>
        <row r="347">
          <cell r="A347" t="str">
            <v>63908-14</v>
          </cell>
          <cell r="B347" t="str">
            <v>Mar'21</v>
          </cell>
          <cell r="C347" t="str">
            <v>OK</v>
          </cell>
        </row>
        <row r="348">
          <cell r="A348" t="str">
            <v>65161-2</v>
          </cell>
          <cell r="B348" t="str">
            <v>Jan'21</v>
          </cell>
          <cell r="C348" t="str">
            <v>OK</v>
          </cell>
        </row>
        <row r="349">
          <cell r="A349" t="str">
            <v>69010-14</v>
          </cell>
          <cell r="B349" t="str">
            <v>Mar'21</v>
          </cell>
          <cell r="C349" t="str">
            <v>OK</v>
          </cell>
        </row>
        <row r="350">
          <cell r="A350" t="str">
            <v>63908-11</v>
          </cell>
          <cell r="B350" t="str">
            <v>Mar'21</v>
          </cell>
          <cell r="C350" t="str">
            <v>OK</v>
          </cell>
        </row>
        <row r="351">
          <cell r="A351" t="str">
            <v>69920-20</v>
          </cell>
          <cell r="B351" t="str">
            <v>Mar'21</v>
          </cell>
          <cell r="C351" t="str">
            <v>OK</v>
          </cell>
        </row>
        <row r="352">
          <cell r="A352" t="str">
            <v>69920-21</v>
          </cell>
          <cell r="B352" t="str">
            <v>Mar'21</v>
          </cell>
          <cell r="C352" t="str">
            <v>OK</v>
          </cell>
        </row>
        <row r="353">
          <cell r="A353" t="str">
            <v>69920-25</v>
          </cell>
          <cell r="B353" t="str">
            <v>Mar'21</v>
          </cell>
          <cell r="C353" t="str">
            <v>OK</v>
          </cell>
        </row>
        <row r="354">
          <cell r="A354" t="str">
            <v>69920-27</v>
          </cell>
          <cell r="B354" t="str">
            <v>Mar'21</v>
          </cell>
          <cell r="C354" t="str">
            <v>OK</v>
          </cell>
        </row>
        <row r="355">
          <cell r="A355" t="str">
            <v>69058-2</v>
          </cell>
          <cell r="B355" t="str">
            <v>Feb'21</v>
          </cell>
          <cell r="C355" t="str">
            <v>OK</v>
          </cell>
        </row>
        <row r="356">
          <cell r="A356" t="str">
            <v>64222-7</v>
          </cell>
          <cell r="B356" t="str">
            <v>Mar'21</v>
          </cell>
          <cell r="C356" t="str">
            <v>OK</v>
          </cell>
        </row>
        <row r="357">
          <cell r="A357" t="str">
            <v>68582-1</v>
          </cell>
          <cell r="B357" t="str">
            <v>Feb'21</v>
          </cell>
          <cell r="C357" t="str">
            <v>N/C</v>
          </cell>
        </row>
        <row r="358">
          <cell r="A358" t="str">
            <v>55152-1</v>
          </cell>
          <cell r="B358" t="str">
            <v>Feb'21</v>
          </cell>
          <cell r="C358" t="str">
            <v>N/C</v>
          </cell>
        </row>
        <row r="359">
          <cell r="A359" t="str">
            <v>61669-3</v>
          </cell>
          <cell r="B359" t="str">
            <v>Feb'21</v>
          </cell>
          <cell r="C359" t="str">
            <v>N/C</v>
          </cell>
        </row>
        <row r="360">
          <cell r="A360" t="str">
            <v>73671-2</v>
          </cell>
          <cell r="B360" t="str">
            <v>Feb'21</v>
          </cell>
          <cell r="C360" t="str">
            <v>N/C</v>
          </cell>
        </row>
        <row r="361">
          <cell r="A361" t="str">
            <v>66733-1</v>
          </cell>
          <cell r="B361" t="str">
            <v>Feb'21</v>
          </cell>
          <cell r="C361" t="str">
            <v>N/C</v>
          </cell>
        </row>
        <row r="362">
          <cell r="A362" t="str">
            <v>73028-4</v>
          </cell>
          <cell r="B362" t="str">
            <v>Feb'21</v>
          </cell>
          <cell r="C362" t="str">
            <v>OK</v>
          </cell>
        </row>
        <row r="363">
          <cell r="A363" t="str">
            <v>65155-1</v>
          </cell>
          <cell r="B363" t="str">
            <v>Jan'21</v>
          </cell>
          <cell r="C363" t="str">
            <v>OK</v>
          </cell>
        </row>
        <row r="364">
          <cell r="A364" t="str">
            <v>69092-15</v>
          </cell>
          <cell r="B364" t="str">
            <v>Jan'21</v>
          </cell>
          <cell r="C364" t="str">
            <v>OK</v>
          </cell>
        </row>
        <row r="365">
          <cell r="A365" t="str">
            <v>77997-1</v>
          </cell>
          <cell r="B365" t="str">
            <v>Feb'21</v>
          </cell>
          <cell r="C365" t="str">
            <v>OK</v>
          </cell>
        </row>
        <row r="366">
          <cell r="A366" t="str">
            <v>81256-2</v>
          </cell>
          <cell r="B366" t="str">
            <v>Feb'21</v>
          </cell>
          <cell r="C366" t="str">
            <v>OK</v>
          </cell>
        </row>
        <row r="367">
          <cell r="A367" t="str">
            <v>80035-1</v>
          </cell>
          <cell r="B367" t="str">
            <v>Feb'21</v>
          </cell>
          <cell r="C367" t="str">
            <v>OK</v>
          </cell>
        </row>
        <row r="368">
          <cell r="A368" t="str">
            <v>83574-1</v>
          </cell>
          <cell r="B368" t="str">
            <v>Mar'21</v>
          </cell>
          <cell r="C368" t="str">
            <v>OK</v>
          </cell>
        </row>
        <row r="369">
          <cell r="A369" t="str">
            <v>81453-2</v>
          </cell>
          <cell r="B369" t="str">
            <v>Mar'21</v>
          </cell>
          <cell r="C369" t="str">
            <v>OK</v>
          </cell>
        </row>
        <row r="370">
          <cell r="A370" t="str">
            <v>65155-4</v>
          </cell>
          <cell r="B370" t="str">
            <v>Feb'21</v>
          </cell>
          <cell r="C370" t="str">
            <v>OK</v>
          </cell>
        </row>
        <row r="371">
          <cell r="A371" t="str">
            <v>68830-4</v>
          </cell>
          <cell r="B371" t="str">
            <v>Feb'21</v>
          </cell>
          <cell r="C371" t="str">
            <v>OK</v>
          </cell>
        </row>
        <row r="372">
          <cell r="A372" t="str">
            <v>83428-1</v>
          </cell>
          <cell r="B372" t="str">
            <v>Mar'21</v>
          </cell>
          <cell r="C372" t="str">
            <v>N/C</v>
          </cell>
        </row>
        <row r="373">
          <cell r="A373" t="str">
            <v>73318-2</v>
          </cell>
          <cell r="B373" t="str">
            <v>Feb'21</v>
          </cell>
          <cell r="C373" t="str">
            <v>OK</v>
          </cell>
        </row>
        <row r="374">
          <cell r="A374" t="str">
            <v>73318-3</v>
          </cell>
          <cell r="B374" t="str">
            <v>Feb'21</v>
          </cell>
          <cell r="C374" t="str">
            <v>OK</v>
          </cell>
        </row>
        <row r="375">
          <cell r="A375" t="str">
            <v>73318-4</v>
          </cell>
          <cell r="B375" t="str">
            <v>Feb'21</v>
          </cell>
          <cell r="C375" t="str">
            <v>OK</v>
          </cell>
        </row>
        <row r="376">
          <cell r="A376" t="str">
            <v>73318-5</v>
          </cell>
          <cell r="B376" t="str">
            <v>Feb'21</v>
          </cell>
          <cell r="C376" t="str">
            <v>OK</v>
          </cell>
        </row>
        <row r="377">
          <cell r="A377" t="str">
            <v>17990-1</v>
          </cell>
          <cell r="B377" t="str">
            <v>Mar'21</v>
          </cell>
          <cell r="C377" t="str">
            <v>N/C</v>
          </cell>
        </row>
        <row r="378">
          <cell r="A378" t="str">
            <v>81256-1</v>
          </cell>
          <cell r="B378" t="str">
            <v>Mar'21</v>
          </cell>
          <cell r="C378" t="str">
            <v>OK</v>
          </cell>
        </row>
        <row r="379">
          <cell r="A379" t="str">
            <v>81256-3</v>
          </cell>
          <cell r="B379" t="str">
            <v>Mar'21</v>
          </cell>
          <cell r="C379" t="str">
            <v>OK</v>
          </cell>
        </row>
        <row r="380">
          <cell r="A380" t="str">
            <v>81256-4</v>
          </cell>
          <cell r="B380" t="str">
            <v>Mar'21</v>
          </cell>
          <cell r="C380" t="str">
            <v>OK</v>
          </cell>
        </row>
        <row r="381">
          <cell r="A381" t="str">
            <v>68022-5</v>
          </cell>
          <cell r="B381" t="str">
            <v>Mar'21</v>
          </cell>
          <cell r="C381" t="str">
            <v>OK</v>
          </cell>
        </row>
        <row r="382">
          <cell r="A382" t="str">
            <v>81256-5</v>
          </cell>
          <cell r="B382" t="str">
            <v>Mar'21</v>
          </cell>
          <cell r="C382" t="str">
            <v>OK</v>
          </cell>
        </row>
        <row r="383">
          <cell r="A383" t="str">
            <v>81109-1</v>
          </cell>
          <cell r="B383" t="str">
            <v>Mar'21</v>
          </cell>
          <cell r="C383" t="str">
            <v>N/C</v>
          </cell>
        </row>
        <row r="384">
          <cell r="A384" t="str">
            <v>84021-1</v>
          </cell>
          <cell r="B384" t="str">
            <v>Mar'21</v>
          </cell>
          <cell r="C384" t="str">
            <v>OK</v>
          </cell>
        </row>
        <row r="385">
          <cell r="A385" t="str">
            <v>73018-2</v>
          </cell>
          <cell r="B385" t="str">
            <v>Mar'21</v>
          </cell>
          <cell r="C385" t="str">
            <v>OK</v>
          </cell>
        </row>
        <row r="386">
          <cell r="A386" t="str">
            <v>74632-1</v>
          </cell>
          <cell r="B386" t="str">
            <v>Mar'21</v>
          </cell>
          <cell r="C386" t="str">
            <v>N/C</v>
          </cell>
        </row>
        <row r="387">
          <cell r="A387" t="str">
            <v>84764-4</v>
          </cell>
          <cell r="B387" t="str">
            <v>Mar'21</v>
          </cell>
          <cell r="C387" t="str">
            <v>OK</v>
          </cell>
        </row>
        <row r="388">
          <cell r="A388" t="str">
            <v>62906-1</v>
          </cell>
          <cell r="B388" t="str">
            <v>Mar'21</v>
          </cell>
          <cell r="C388" t="str">
            <v>N/C</v>
          </cell>
        </row>
        <row r="389">
          <cell r="A389" t="str">
            <v>62906-2</v>
          </cell>
          <cell r="B389" t="str">
            <v>Mar'21</v>
          </cell>
          <cell r="C389" t="str">
            <v>N/C</v>
          </cell>
        </row>
        <row r="390">
          <cell r="A390" t="str">
            <v>84764-5</v>
          </cell>
          <cell r="B390" t="str">
            <v>Mar'21</v>
          </cell>
          <cell r="C390" t="str">
            <v>OK</v>
          </cell>
        </row>
        <row r="391">
          <cell r="A391" t="str">
            <v>62123-1</v>
          </cell>
          <cell r="B391" t="str">
            <v>Feb'21</v>
          </cell>
          <cell r="C391" t="str">
            <v>OK</v>
          </cell>
        </row>
        <row r="392">
          <cell r="A392" t="str">
            <v>62123-3</v>
          </cell>
          <cell r="B392" t="str">
            <v>Feb'21</v>
          </cell>
          <cell r="C392" t="str">
            <v>OK</v>
          </cell>
        </row>
        <row r="393">
          <cell r="A393" t="str">
            <v>75348-1</v>
          </cell>
          <cell r="B393" t="str">
            <v>Feb'21</v>
          </cell>
          <cell r="C393" t="str">
            <v>N/C</v>
          </cell>
        </row>
        <row r="394">
          <cell r="A394" t="str">
            <v>75348-2</v>
          </cell>
          <cell r="B394" t="str">
            <v>Feb'21</v>
          </cell>
          <cell r="C394" t="str">
            <v>N/C</v>
          </cell>
        </row>
        <row r="395">
          <cell r="A395" t="str">
            <v>84989-1</v>
          </cell>
          <cell r="B395" t="str">
            <v>Mar'21</v>
          </cell>
          <cell r="C395" t="str">
            <v>N/C</v>
          </cell>
        </row>
        <row r="396">
          <cell r="A396" t="str">
            <v>69005-5</v>
          </cell>
          <cell r="B396" t="str">
            <v>Feb'21</v>
          </cell>
          <cell r="C396" t="str">
            <v>N/C</v>
          </cell>
        </row>
        <row r="397">
          <cell r="A397" t="str">
            <v>75967-5</v>
          </cell>
          <cell r="B397" t="str">
            <v>Feb'21</v>
          </cell>
          <cell r="C397" t="str">
            <v>OK</v>
          </cell>
        </row>
        <row r="398">
          <cell r="A398" t="str">
            <v>75348-7</v>
          </cell>
          <cell r="B398" t="str">
            <v>Feb'21</v>
          </cell>
          <cell r="C398" t="str">
            <v>OK</v>
          </cell>
        </row>
        <row r="399">
          <cell r="A399" t="str">
            <v>75348-9</v>
          </cell>
          <cell r="B399" t="str">
            <v>Feb'21</v>
          </cell>
          <cell r="C399" t="str">
            <v>N/C</v>
          </cell>
        </row>
        <row r="400">
          <cell r="A400" t="str">
            <v>75351-14</v>
          </cell>
          <cell r="B400" t="str">
            <v>Feb'21</v>
          </cell>
          <cell r="C400" t="str">
            <v>N/C</v>
          </cell>
        </row>
        <row r="401">
          <cell r="A401" t="str">
            <v>71813-1</v>
          </cell>
          <cell r="B401" t="str">
            <v>Feb'21</v>
          </cell>
          <cell r="C401" t="str">
            <v>N/C</v>
          </cell>
        </row>
        <row r="402">
          <cell r="A402" t="str">
            <v>85978-9</v>
          </cell>
          <cell r="B402" t="str">
            <v>Mar'21</v>
          </cell>
          <cell r="C402" t="str">
            <v>OK</v>
          </cell>
        </row>
        <row r="403">
          <cell r="A403" t="str">
            <v>69005-1</v>
          </cell>
          <cell r="B403" t="str">
            <v>Feb'21</v>
          </cell>
          <cell r="C403" t="str">
            <v>N/C</v>
          </cell>
        </row>
        <row r="404">
          <cell r="A404" t="str">
            <v>69005-2</v>
          </cell>
          <cell r="B404" t="str">
            <v>Feb'21</v>
          </cell>
          <cell r="C404" t="str">
            <v>OK</v>
          </cell>
        </row>
        <row r="405">
          <cell r="A405" t="str">
            <v>68274-3</v>
          </cell>
          <cell r="B405" t="str">
            <v>Feb'21</v>
          </cell>
          <cell r="C405" t="str">
            <v>N/C</v>
          </cell>
        </row>
        <row r="406">
          <cell r="A406" t="str">
            <v>85978-10</v>
          </cell>
          <cell r="B406" t="str">
            <v>Mar'21</v>
          </cell>
          <cell r="C406" t="str">
            <v>OK</v>
          </cell>
        </row>
        <row r="407">
          <cell r="A407" t="str">
            <v>85978-11</v>
          </cell>
          <cell r="B407" t="str">
            <v>Mar'21</v>
          </cell>
          <cell r="C407" t="str">
            <v>OK</v>
          </cell>
        </row>
        <row r="408">
          <cell r="A408" t="str">
            <v>86454-4</v>
          </cell>
          <cell r="B408" t="str">
            <v>Mar'21</v>
          </cell>
          <cell r="C408" t="str">
            <v>N/C</v>
          </cell>
        </row>
        <row r="409">
          <cell r="A409" t="str">
            <v>86454-5</v>
          </cell>
          <cell r="B409" t="str">
            <v>Mar'21</v>
          </cell>
          <cell r="C409" t="str">
            <v>N/C</v>
          </cell>
        </row>
        <row r="410">
          <cell r="A410" t="str">
            <v>67588-1</v>
          </cell>
          <cell r="B410" t="str">
            <v>Feb'21</v>
          </cell>
          <cell r="C410" t="str">
            <v>N/C</v>
          </cell>
        </row>
        <row r="411">
          <cell r="A411" t="str">
            <v>67588-2</v>
          </cell>
          <cell r="B411" t="str">
            <v>Feb'21</v>
          </cell>
          <cell r="C411" t="str">
            <v>N/C</v>
          </cell>
        </row>
        <row r="412">
          <cell r="A412" t="str">
            <v>62230-3</v>
          </cell>
          <cell r="B412" t="str">
            <v>Mar'21</v>
          </cell>
          <cell r="C412" t="str">
            <v>N/C</v>
          </cell>
        </row>
        <row r="413">
          <cell r="A413" t="str">
            <v>62230-4</v>
          </cell>
          <cell r="B413" t="str">
            <v>Mar'21</v>
          </cell>
          <cell r="C413" t="str">
            <v>N/C</v>
          </cell>
        </row>
        <row r="414">
          <cell r="A414" t="str">
            <v>62230-5</v>
          </cell>
          <cell r="B414" t="str">
            <v>Mar'21</v>
          </cell>
          <cell r="C414" t="str">
            <v>N/C</v>
          </cell>
        </row>
        <row r="415">
          <cell r="A415" t="str">
            <v>62230-6</v>
          </cell>
          <cell r="B415" t="str">
            <v>Mar'21</v>
          </cell>
          <cell r="C415" t="str">
            <v>N/C</v>
          </cell>
        </row>
        <row r="416">
          <cell r="A416" t="str">
            <v>72409-1</v>
          </cell>
          <cell r="B416" t="str">
            <v>Mar'21</v>
          </cell>
          <cell r="C416" t="str">
            <v>N/C</v>
          </cell>
        </row>
        <row r="417">
          <cell r="A417" t="str">
            <v>72409-2</v>
          </cell>
          <cell r="B417" t="str">
            <v>Mar'21</v>
          </cell>
          <cell r="C417" t="str">
            <v>N/C</v>
          </cell>
        </row>
        <row r="418">
          <cell r="A418" t="str">
            <v>68986-3</v>
          </cell>
          <cell r="B418" t="str">
            <v>Feb'21</v>
          </cell>
          <cell r="C418" t="str">
            <v>OK</v>
          </cell>
        </row>
        <row r="419">
          <cell r="A419" t="str">
            <v>86908-1</v>
          </cell>
          <cell r="B419" t="str">
            <v>Mar'21</v>
          </cell>
          <cell r="C419" t="str">
            <v>OK</v>
          </cell>
        </row>
        <row r="420">
          <cell r="A420" t="str">
            <v>86942-3</v>
          </cell>
          <cell r="B420" t="str">
            <v>Mar'21</v>
          </cell>
          <cell r="C420" t="str">
            <v>OK</v>
          </cell>
        </row>
        <row r="421">
          <cell r="A421" t="str">
            <v>86942-4</v>
          </cell>
          <cell r="B421" t="str">
            <v>Mar'21</v>
          </cell>
          <cell r="C421" t="str">
            <v>OK</v>
          </cell>
        </row>
        <row r="422">
          <cell r="A422" t="str">
            <v>86891-1</v>
          </cell>
          <cell r="B422" t="str">
            <v>Mar'21</v>
          </cell>
          <cell r="C422" t="str">
            <v>OK</v>
          </cell>
        </row>
        <row r="423">
          <cell r="A423" t="str">
            <v>86891-3</v>
          </cell>
          <cell r="B423" t="str">
            <v>Mar'21</v>
          </cell>
          <cell r="C423" t="str">
            <v>OK</v>
          </cell>
        </row>
        <row r="424">
          <cell r="A424" t="str">
            <v>68319-3</v>
          </cell>
          <cell r="B424" t="str">
            <v>Mar'21</v>
          </cell>
          <cell r="C424" t="str">
            <v>N/C</v>
          </cell>
        </row>
        <row r="425">
          <cell r="A425" t="str">
            <v>68319-4</v>
          </cell>
          <cell r="B425" t="str">
            <v>Mar'21</v>
          </cell>
          <cell r="C425" t="str">
            <v>N/C</v>
          </cell>
        </row>
        <row r="426">
          <cell r="A426" t="str">
            <v>68319-5</v>
          </cell>
          <cell r="B426" t="str">
            <v>Mar'21</v>
          </cell>
          <cell r="C426" t="str">
            <v>N/C</v>
          </cell>
        </row>
        <row r="427">
          <cell r="A427" t="str">
            <v>68319-6</v>
          </cell>
          <cell r="B427" t="str">
            <v>Mar'21</v>
          </cell>
          <cell r="C427" t="str">
            <v>N/C</v>
          </cell>
        </row>
        <row r="428">
          <cell r="A428" t="str">
            <v>68373-1</v>
          </cell>
          <cell r="B428" t="str">
            <v>Mar'21</v>
          </cell>
          <cell r="C428" t="str">
            <v>N/C</v>
          </cell>
        </row>
        <row r="429">
          <cell r="A429" t="str">
            <v>68373-2</v>
          </cell>
          <cell r="B429" t="str">
            <v>Mar'21</v>
          </cell>
          <cell r="C429" t="str">
            <v>N/C</v>
          </cell>
        </row>
        <row r="430">
          <cell r="A430" t="str">
            <v>68373-3</v>
          </cell>
          <cell r="B430" t="str">
            <v>Mar'21</v>
          </cell>
          <cell r="C430" t="str">
            <v>N/C</v>
          </cell>
        </row>
        <row r="431">
          <cell r="A431" t="str">
            <v>68373-4</v>
          </cell>
          <cell r="B431" t="str">
            <v>Mar'21</v>
          </cell>
          <cell r="C431" t="str">
            <v>N/C</v>
          </cell>
        </row>
        <row r="432">
          <cell r="A432" t="str">
            <v>86934-1</v>
          </cell>
          <cell r="B432" t="str">
            <v>Mar'21</v>
          </cell>
          <cell r="C432" t="str">
            <v>OK</v>
          </cell>
        </row>
        <row r="433">
          <cell r="A433" t="str">
            <v>72944-1</v>
          </cell>
          <cell r="B433" t="str">
            <v>Mar'21</v>
          </cell>
          <cell r="C433" t="str">
            <v>N/C</v>
          </cell>
        </row>
        <row r="434">
          <cell r="A434" t="str">
            <v>72944-2</v>
          </cell>
          <cell r="B434" t="str">
            <v>Mar'21</v>
          </cell>
          <cell r="C434" t="str">
            <v>N/C</v>
          </cell>
        </row>
        <row r="435">
          <cell r="A435" t="str">
            <v>72944-3</v>
          </cell>
          <cell r="B435" t="str">
            <v>Mar'21</v>
          </cell>
          <cell r="C435" t="str">
            <v>N/C</v>
          </cell>
        </row>
        <row r="436">
          <cell r="A436" t="str">
            <v>72944-4</v>
          </cell>
          <cell r="B436" t="str">
            <v>Mar'21</v>
          </cell>
          <cell r="C436" t="str">
            <v>N/C</v>
          </cell>
        </row>
        <row r="437">
          <cell r="A437" t="str">
            <v>72944-5</v>
          </cell>
          <cell r="B437" t="str">
            <v>Mar'21</v>
          </cell>
          <cell r="C437" t="str">
            <v>N/C</v>
          </cell>
        </row>
        <row r="438">
          <cell r="A438" t="str">
            <v>72944-6</v>
          </cell>
          <cell r="B438" t="str">
            <v>Mar'21</v>
          </cell>
          <cell r="C438" t="str">
            <v>N/C</v>
          </cell>
        </row>
        <row r="439">
          <cell r="A439" t="str">
            <v>72944-7</v>
          </cell>
          <cell r="B439" t="str">
            <v>Mar'21</v>
          </cell>
          <cell r="C439" t="str">
            <v>N/C</v>
          </cell>
        </row>
        <row r="440">
          <cell r="A440" t="str">
            <v>72944-8</v>
          </cell>
          <cell r="B440" t="str">
            <v>Mar'21</v>
          </cell>
          <cell r="C440" t="str">
            <v>N/C</v>
          </cell>
        </row>
        <row r="441">
          <cell r="A441" t="str">
            <v>86737-4</v>
          </cell>
          <cell r="B441" t="str">
            <v>Mar'21</v>
          </cell>
          <cell r="C441" t="str">
            <v>OK</v>
          </cell>
        </row>
        <row r="442">
          <cell r="A442" t="str">
            <v>86737-5</v>
          </cell>
          <cell r="B442" t="str">
            <v>Mar'21</v>
          </cell>
          <cell r="C442" t="str">
            <v>OK</v>
          </cell>
        </row>
        <row r="443">
          <cell r="A443" t="str">
            <v>86737-6</v>
          </cell>
          <cell r="B443" t="str">
            <v>Mar'21</v>
          </cell>
          <cell r="C443" t="str">
            <v>OK</v>
          </cell>
        </row>
        <row r="444">
          <cell r="A444" t="str">
            <v>86614-1</v>
          </cell>
          <cell r="B444" t="str">
            <v>Mar'21</v>
          </cell>
          <cell r="C444" t="str">
            <v>OK</v>
          </cell>
        </row>
        <row r="445">
          <cell r="A445" t="str">
            <v>86614-2</v>
          </cell>
          <cell r="B445" t="str">
            <v>Mar'21</v>
          </cell>
          <cell r="C445" t="str">
            <v>OK</v>
          </cell>
        </row>
        <row r="446">
          <cell r="A446" t="str">
            <v>55004-6</v>
          </cell>
          <cell r="B446" t="str">
            <v>Mar'21</v>
          </cell>
          <cell r="C446" t="str">
            <v>N/C</v>
          </cell>
        </row>
        <row r="447">
          <cell r="A447" t="str">
            <v>55004-7</v>
          </cell>
          <cell r="B447" t="str">
            <v>Mar'21</v>
          </cell>
          <cell r="C447" t="str">
            <v>N/C</v>
          </cell>
        </row>
        <row r="448">
          <cell r="A448" t="str">
            <v>75680-4</v>
          </cell>
          <cell r="B448" t="str">
            <v>Mar'21</v>
          </cell>
          <cell r="C448" t="str">
            <v>OK</v>
          </cell>
        </row>
        <row r="449">
          <cell r="A449" t="str">
            <v>75680-5</v>
          </cell>
          <cell r="B449" t="str">
            <v>Mar'21</v>
          </cell>
          <cell r="C449" t="str">
            <v>OK</v>
          </cell>
        </row>
        <row r="450">
          <cell r="A450" t="str">
            <v>75680-6</v>
          </cell>
          <cell r="B450" t="str">
            <v>Mar'21</v>
          </cell>
          <cell r="C450" t="str">
            <v>N/C</v>
          </cell>
        </row>
        <row r="451">
          <cell r="A451" t="str">
            <v>86626-4</v>
          </cell>
          <cell r="B451" t="str">
            <v>Mar'21</v>
          </cell>
          <cell r="C451" t="str">
            <v>OK</v>
          </cell>
        </row>
        <row r="452">
          <cell r="A452" t="str">
            <v>86980-1</v>
          </cell>
          <cell r="B452" t="str">
            <v>Mar'21</v>
          </cell>
          <cell r="C452" t="str">
            <v>OK</v>
          </cell>
        </row>
        <row r="453">
          <cell r="A453" t="str">
            <v>75929-35</v>
          </cell>
          <cell r="B453" t="str">
            <v>Feb'21</v>
          </cell>
          <cell r="C453" t="str">
            <v>OK</v>
          </cell>
        </row>
        <row r="454">
          <cell r="A454" t="str">
            <v>62223-13</v>
          </cell>
          <cell r="B454" t="str">
            <v>Mar'21</v>
          </cell>
          <cell r="C454" t="str">
            <v>N/C</v>
          </cell>
        </row>
        <row r="455">
          <cell r="A455" t="str">
            <v>62223-14</v>
          </cell>
          <cell r="B455" t="str">
            <v>Mar'21</v>
          </cell>
          <cell r="C455" t="str">
            <v>N/C</v>
          </cell>
        </row>
        <row r="456">
          <cell r="A456" t="str">
            <v>85978-1</v>
          </cell>
          <cell r="B456" t="str">
            <v>Mar'21</v>
          </cell>
          <cell r="C456" t="str">
            <v>N/C</v>
          </cell>
        </row>
        <row r="457">
          <cell r="A457" t="str">
            <v>75967-1</v>
          </cell>
          <cell r="B457" t="str">
            <v>Feb'21</v>
          </cell>
          <cell r="C457" t="str">
            <v>N/C</v>
          </cell>
        </row>
        <row r="458">
          <cell r="A458" t="str">
            <v>76763-1</v>
          </cell>
          <cell r="B458" t="str">
            <v>Feb'21</v>
          </cell>
          <cell r="C458" t="str">
            <v>OK</v>
          </cell>
        </row>
        <row r="459">
          <cell r="A459" t="str">
            <v>55004-2</v>
          </cell>
          <cell r="B459" t="str">
            <v>Apr'21</v>
          </cell>
          <cell r="C459" t="str">
            <v>OK</v>
          </cell>
        </row>
        <row r="460">
          <cell r="A460" t="str">
            <v>71813-8</v>
          </cell>
          <cell r="B460" t="str">
            <v>Mar'21</v>
          </cell>
          <cell r="C460" t="str">
            <v>N/C</v>
          </cell>
        </row>
        <row r="461">
          <cell r="A461" t="str">
            <v>71813-9</v>
          </cell>
          <cell r="B461" t="str">
            <v>Mar'21</v>
          </cell>
          <cell r="C461" t="str">
            <v>N/C</v>
          </cell>
        </row>
        <row r="462">
          <cell r="A462" t="str">
            <v>71813-10</v>
          </cell>
          <cell r="B462" t="str">
            <v>Mar'21</v>
          </cell>
          <cell r="C462" t="str">
            <v>N/C</v>
          </cell>
        </row>
        <row r="463">
          <cell r="A463" t="str">
            <v>69741-2</v>
          </cell>
          <cell r="B463" t="str">
            <v>Feb'21</v>
          </cell>
          <cell r="C463" t="str">
            <v>OK</v>
          </cell>
        </row>
        <row r="464">
          <cell r="A464" t="str">
            <v>75680-2</v>
          </cell>
          <cell r="B464" t="str">
            <v>Mar'21</v>
          </cell>
          <cell r="C464" t="str">
            <v>OK</v>
          </cell>
        </row>
        <row r="465">
          <cell r="A465" t="str">
            <v>84989-2</v>
          </cell>
          <cell r="B465" t="str">
            <v>Mar'21</v>
          </cell>
          <cell r="C465" t="str">
            <v>OK</v>
          </cell>
        </row>
        <row r="466">
          <cell r="A466" t="str">
            <v>85352-4</v>
          </cell>
          <cell r="B466" t="str">
            <v>Mar'21</v>
          </cell>
          <cell r="C466" t="str">
            <v>OK</v>
          </cell>
        </row>
        <row r="467">
          <cell r="A467" t="str">
            <v>86885-1</v>
          </cell>
          <cell r="B467" t="str">
            <v>Apr'21</v>
          </cell>
          <cell r="C467" t="str">
            <v>N/C</v>
          </cell>
        </row>
        <row r="468">
          <cell r="A468" t="str">
            <v>85978-2</v>
          </cell>
          <cell r="B468" t="str">
            <v>Mar'21</v>
          </cell>
          <cell r="C468" t="str">
            <v>N/C</v>
          </cell>
        </row>
        <row r="469">
          <cell r="A469" t="str">
            <v>54988-1</v>
          </cell>
          <cell r="B469" t="str">
            <v>Feb'21</v>
          </cell>
          <cell r="C469" t="str">
            <v>N/C</v>
          </cell>
        </row>
        <row r="470">
          <cell r="A470" t="str">
            <v>84101-1</v>
          </cell>
          <cell r="B470" t="str">
            <v>Mar'21</v>
          </cell>
          <cell r="C470" t="str">
            <v>N/C</v>
          </cell>
        </row>
        <row r="471">
          <cell r="A471" t="str">
            <v>77997-2</v>
          </cell>
          <cell r="B471" t="str">
            <v>Feb'21</v>
          </cell>
          <cell r="C471" t="str">
            <v>OK</v>
          </cell>
        </row>
        <row r="472">
          <cell r="A472" t="str">
            <v>62623-2</v>
          </cell>
          <cell r="B472" t="str">
            <v>Jan'21</v>
          </cell>
          <cell r="C472" t="str">
            <v>OK</v>
          </cell>
        </row>
        <row r="473">
          <cell r="A473" t="str">
            <v>75929-39</v>
          </cell>
          <cell r="B473" t="str">
            <v>Feb'21</v>
          </cell>
          <cell r="C473" t="str">
            <v>OK</v>
          </cell>
        </row>
        <row r="474">
          <cell r="A474" t="str">
            <v>73318-1</v>
          </cell>
          <cell r="B474" t="str">
            <v>Feb'21</v>
          </cell>
          <cell r="C474" t="str">
            <v>N/C</v>
          </cell>
        </row>
        <row r="475">
          <cell r="A475" t="str">
            <v>75967-2</v>
          </cell>
          <cell r="B475" t="str">
            <v>Feb'21</v>
          </cell>
          <cell r="C475" t="str">
            <v>N/C</v>
          </cell>
        </row>
        <row r="476">
          <cell r="A476" t="str">
            <v>73022-4</v>
          </cell>
          <cell r="B476" t="str">
            <v>Feb'21</v>
          </cell>
          <cell r="C476" t="str">
            <v>OK</v>
          </cell>
        </row>
        <row r="477">
          <cell r="A477" t="str">
            <v>68996-4</v>
          </cell>
          <cell r="B477" t="str">
            <v>Apr'21</v>
          </cell>
          <cell r="C477" t="str">
            <v>N/C</v>
          </cell>
        </row>
        <row r="478">
          <cell r="A478" t="str">
            <v>76763-2</v>
          </cell>
          <cell r="B478" t="str">
            <v>Feb'21</v>
          </cell>
          <cell r="C478" t="str">
            <v>OK</v>
          </cell>
        </row>
        <row r="479">
          <cell r="A479" t="str">
            <v>62223-1</v>
          </cell>
          <cell r="B479" t="str">
            <v>Feb'21</v>
          </cell>
          <cell r="C479" t="str">
            <v>N/C</v>
          </cell>
        </row>
        <row r="480">
          <cell r="A480" t="str">
            <v>76820-4</v>
          </cell>
          <cell r="B480" t="str">
            <v>Feb'21</v>
          </cell>
          <cell r="C480" t="str">
            <v>OK</v>
          </cell>
        </row>
        <row r="481">
          <cell r="A481" t="str">
            <v>61295-1</v>
          </cell>
          <cell r="B481" t="str">
            <v>Feb'21</v>
          </cell>
          <cell r="C481" t="str">
            <v>OK</v>
          </cell>
        </row>
        <row r="482">
          <cell r="A482" t="str">
            <v>68274-2</v>
          </cell>
          <cell r="B482" t="str">
            <v>Feb'21</v>
          </cell>
          <cell r="C482" t="str">
            <v>OK</v>
          </cell>
        </row>
        <row r="483">
          <cell r="A483" t="str">
            <v>54988-5</v>
          </cell>
          <cell r="B483" t="str">
            <v>Feb'21</v>
          </cell>
          <cell r="C483" t="str">
            <v>N/C</v>
          </cell>
        </row>
        <row r="484">
          <cell r="A484" t="str">
            <v>61296-1</v>
          </cell>
          <cell r="B484" t="str">
            <v>Feb'21</v>
          </cell>
          <cell r="C484" t="str">
            <v>OK</v>
          </cell>
        </row>
        <row r="485">
          <cell r="A485" t="str">
            <v>54569-2</v>
          </cell>
          <cell r="B485" t="str">
            <v>Apr'21</v>
          </cell>
          <cell r="C485" t="str">
            <v>N/C</v>
          </cell>
        </row>
        <row r="486">
          <cell r="A486" t="str">
            <v>68572-2</v>
          </cell>
          <cell r="B486" t="str">
            <v>Feb'21</v>
          </cell>
          <cell r="C486" t="str">
            <v>OK</v>
          </cell>
        </row>
        <row r="487">
          <cell r="A487" t="str">
            <v>55006-1</v>
          </cell>
          <cell r="B487" t="str">
            <v>Feb'21</v>
          </cell>
          <cell r="C487" t="str">
            <v>OK</v>
          </cell>
        </row>
        <row r="488">
          <cell r="A488" t="str">
            <v>55006-2</v>
          </cell>
          <cell r="B488" t="str">
            <v>Feb'21</v>
          </cell>
          <cell r="C488" t="str">
            <v>N/C</v>
          </cell>
        </row>
        <row r="489">
          <cell r="A489" t="str">
            <v>68626-1</v>
          </cell>
          <cell r="B489" t="str">
            <v>Feb'21</v>
          </cell>
          <cell r="C489" t="str">
            <v>OK</v>
          </cell>
        </row>
        <row r="490">
          <cell r="A490" t="str">
            <v>69741-6</v>
          </cell>
          <cell r="B490" t="str">
            <v>Feb'21</v>
          </cell>
          <cell r="C490" t="str">
            <v>OK</v>
          </cell>
        </row>
        <row r="491">
          <cell r="A491" t="str">
            <v>58722-1</v>
          </cell>
          <cell r="B491" t="str">
            <v>Feb'21</v>
          </cell>
          <cell r="C491" t="str">
            <v>OK</v>
          </cell>
        </row>
        <row r="492">
          <cell r="A492" t="str">
            <v>61697-2</v>
          </cell>
          <cell r="B492" t="str">
            <v>Feb'21</v>
          </cell>
          <cell r="C492" t="str">
            <v>OK</v>
          </cell>
        </row>
        <row r="493">
          <cell r="A493" t="str">
            <v>68582-2</v>
          </cell>
          <cell r="B493" t="str">
            <v>Feb'21</v>
          </cell>
          <cell r="C493" t="str">
            <v>OK</v>
          </cell>
        </row>
        <row r="494">
          <cell r="A494" t="str">
            <v>54988-2</v>
          </cell>
          <cell r="B494" t="str">
            <v>Feb'21</v>
          </cell>
          <cell r="C494" t="str">
            <v>N/C</v>
          </cell>
        </row>
        <row r="495">
          <cell r="A495" t="str">
            <v>85978-3</v>
          </cell>
          <cell r="B495" t="str">
            <v>Mar'21</v>
          </cell>
          <cell r="C495" t="str">
            <v>N/C</v>
          </cell>
        </row>
        <row r="496">
          <cell r="A496" t="str">
            <v>68986-4</v>
          </cell>
          <cell r="B496" t="str">
            <v>Mar'21</v>
          </cell>
          <cell r="C496" t="str">
            <v>N/C</v>
          </cell>
        </row>
        <row r="497">
          <cell r="A497" t="str">
            <v>68582-3</v>
          </cell>
          <cell r="B497" t="str">
            <v>Mar'21</v>
          </cell>
          <cell r="C497" t="str">
            <v>OK</v>
          </cell>
        </row>
        <row r="498">
          <cell r="A498" t="str">
            <v>68986-5</v>
          </cell>
          <cell r="B498" t="str">
            <v>Mar'21</v>
          </cell>
          <cell r="C498" t="str">
            <v>N/C</v>
          </cell>
        </row>
        <row r="499">
          <cell r="A499" t="str">
            <v>61669-4</v>
          </cell>
          <cell r="B499" t="str">
            <v>Feb'21</v>
          </cell>
          <cell r="C499" t="str">
            <v>OK</v>
          </cell>
        </row>
        <row r="500">
          <cell r="A500" t="str">
            <v>77247-1</v>
          </cell>
          <cell r="B500" t="str">
            <v>Feb'21</v>
          </cell>
          <cell r="C500" t="str">
            <v>OK</v>
          </cell>
        </row>
        <row r="501">
          <cell r="A501" t="str">
            <v>75700-1</v>
          </cell>
          <cell r="B501" t="str">
            <v>Mar'21</v>
          </cell>
          <cell r="C501" t="str">
            <v>OK</v>
          </cell>
        </row>
        <row r="502">
          <cell r="A502" t="str">
            <v>68986-6</v>
          </cell>
          <cell r="B502" t="str">
            <v>Mar'21</v>
          </cell>
          <cell r="C502" t="str">
            <v>N/C</v>
          </cell>
        </row>
        <row r="503">
          <cell r="A503" t="str">
            <v>62123-10</v>
          </cell>
          <cell r="B503" t="str">
            <v>Jan'21</v>
          </cell>
          <cell r="C503" t="str">
            <v>N/C</v>
          </cell>
        </row>
        <row r="504">
          <cell r="A504" t="str">
            <v>68714-2</v>
          </cell>
          <cell r="B504" t="str">
            <v>Jan'21</v>
          </cell>
          <cell r="C504" t="str">
            <v>OK</v>
          </cell>
        </row>
        <row r="505">
          <cell r="A505" t="str">
            <v>72958-5</v>
          </cell>
          <cell r="B505" t="str">
            <v>Feb'21</v>
          </cell>
          <cell r="C505" t="str">
            <v>OK</v>
          </cell>
        </row>
        <row r="506">
          <cell r="A506" t="str">
            <v>76380-2</v>
          </cell>
          <cell r="B506" t="str">
            <v>Feb'21</v>
          </cell>
          <cell r="C506" t="str">
            <v>N/C</v>
          </cell>
        </row>
        <row r="507">
          <cell r="A507" t="str">
            <v>77130-1</v>
          </cell>
          <cell r="B507" t="str">
            <v>Mar'21</v>
          </cell>
          <cell r="C507" t="str">
            <v>N/C</v>
          </cell>
        </row>
        <row r="508">
          <cell r="A508" t="str">
            <v>77130-2</v>
          </cell>
          <cell r="B508" t="str">
            <v>Mar'21</v>
          </cell>
          <cell r="C508" t="str">
            <v>N/C</v>
          </cell>
        </row>
        <row r="509">
          <cell r="A509" t="str">
            <v>69012-3</v>
          </cell>
          <cell r="B509" t="str">
            <v>Mar'21</v>
          </cell>
          <cell r="C509" t="str">
            <v>OK</v>
          </cell>
        </row>
        <row r="510">
          <cell r="A510" t="str">
            <v>69012-4</v>
          </cell>
          <cell r="B510" t="str">
            <v>Mar'21</v>
          </cell>
          <cell r="C510" t="str">
            <v>N/C</v>
          </cell>
        </row>
        <row r="511">
          <cell r="A511" t="str">
            <v>69012-5</v>
          </cell>
          <cell r="B511" t="str">
            <v>Mar'21</v>
          </cell>
          <cell r="C511" t="str">
            <v>N/C</v>
          </cell>
        </row>
        <row r="512">
          <cell r="A512" t="str">
            <v>69012-6</v>
          </cell>
          <cell r="B512" t="str">
            <v>Mar'21</v>
          </cell>
          <cell r="C512" t="str">
            <v>N/C</v>
          </cell>
        </row>
        <row r="513">
          <cell r="A513" t="str">
            <v>44243-1</v>
          </cell>
          <cell r="B513" t="str">
            <v>Mar'21</v>
          </cell>
          <cell r="C513" t="str">
            <v>OK</v>
          </cell>
        </row>
        <row r="514">
          <cell r="A514" t="str">
            <v>69006-3</v>
          </cell>
          <cell r="B514" t="str">
            <v>Dec'20</v>
          </cell>
          <cell r="C514" t="str">
            <v>OK</v>
          </cell>
        </row>
        <row r="515">
          <cell r="A515" t="str">
            <v>55041-4</v>
          </cell>
          <cell r="B515" t="str">
            <v>Jan'21</v>
          </cell>
          <cell r="C515" t="str">
            <v>N/C</v>
          </cell>
        </row>
        <row r="516">
          <cell r="A516" t="str">
            <v>81256-7</v>
          </cell>
          <cell r="B516" t="str">
            <v>Feb'21</v>
          </cell>
          <cell r="C516" t="str">
            <v>OK</v>
          </cell>
        </row>
        <row r="517">
          <cell r="A517" t="str">
            <v>81256-8</v>
          </cell>
          <cell r="B517" t="str">
            <v>Feb'21</v>
          </cell>
          <cell r="C517" t="str">
            <v>OK</v>
          </cell>
        </row>
        <row r="518">
          <cell r="A518" t="str">
            <v>84101-2</v>
          </cell>
          <cell r="B518" t="str">
            <v>Mar'21</v>
          </cell>
          <cell r="C518" t="str">
            <v>N/C</v>
          </cell>
        </row>
        <row r="519">
          <cell r="A519" t="str">
            <v>61424-1</v>
          </cell>
          <cell r="B519" t="str">
            <v>Mar'21</v>
          </cell>
          <cell r="C519" t="str">
            <v>N/C</v>
          </cell>
        </row>
        <row r="520">
          <cell r="A520" t="str">
            <v>81453-3</v>
          </cell>
          <cell r="B520" t="str">
            <v>Mar'21</v>
          </cell>
          <cell r="C520" t="str">
            <v>OK</v>
          </cell>
        </row>
        <row r="521">
          <cell r="A521" t="str">
            <v>67707-1</v>
          </cell>
          <cell r="B521" t="str">
            <v>Jan'21</v>
          </cell>
          <cell r="C521" t="str">
            <v>N/C</v>
          </cell>
        </row>
        <row r="522">
          <cell r="A522" t="str">
            <v>67707-2</v>
          </cell>
          <cell r="B522" t="str">
            <v>Jan'21</v>
          </cell>
          <cell r="C522" t="str">
            <v>OK</v>
          </cell>
        </row>
        <row r="523">
          <cell r="A523" t="str">
            <v>67707-3</v>
          </cell>
          <cell r="B523" t="str">
            <v>Jan'21</v>
          </cell>
          <cell r="C523" t="str">
            <v>N/C</v>
          </cell>
        </row>
        <row r="524">
          <cell r="A524" t="str">
            <v>83408-1</v>
          </cell>
          <cell r="B524" t="str">
            <v>Mar'21</v>
          </cell>
          <cell r="C524" t="str">
            <v>OK</v>
          </cell>
        </row>
        <row r="525">
          <cell r="A525" t="str">
            <v>83584-1</v>
          </cell>
          <cell r="B525" t="str">
            <v>Apr'21</v>
          </cell>
          <cell r="C525" t="str">
            <v>N/C</v>
          </cell>
        </row>
        <row r="526">
          <cell r="A526" t="str">
            <v>69525-4</v>
          </cell>
          <cell r="B526" t="str">
            <v>Jan'21</v>
          </cell>
          <cell r="C526" t="str">
            <v>N/C</v>
          </cell>
        </row>
        <row r="527">
          <cell r="A527" t="str">
            <v>61309-1</v>
          </cell>
          <cell r="B527" t="str">
            <v>Dec'20</v>
          </cell>
          <cell r="C527" t="str">
            <v>N/C</v>
          </cell>
        </row>
        <row r="528">
          <cell r="A528" t="str">
            <v>61465-1</v>
          </cell>
          <cell r="B528" t="str">
            <v>Dec'20</v>
          </cell>
          <cell r="C528" t="str">
            <v>N/C</v>
          </cell>
        </row>
        <row r="529">
          <cell r="A529" t="str">
            <v>61465-3</v>
          </cell>
          <cell r="B529" t="str">
            <v>Dec'20</v>
          </cell>
          <cell r="C529" t="str">
            <v>N/C</v>
          </cell>
        </row>
        <row r="530">
          <cell r="A530" t="str">
            <v>83585-1</v>
          </cell>
          <cell r="B530" t="str">
            <v>Mar'21</v>
          </cell>
          <cell r="C530" t="str">
            <v>N/C</v>
          </cell>
        </row>
        <row r="531">
          <cell r="A531" t="str">
            <v>83428-2</v>
          </cell>
          <cell r="B531" t="str">
            <v>Apr'21</v>
          </cell>
          <cell r="C531" t="str">
            <v>N/C</v>
          </cell>
        </row>
        <row r="532">
          <cell r="A532" t="str">
            <v>55041-5</v>
          </cell>
          <cell r="B532" t="str">
            <v>Apr'21</v>
          </cell>
          <cell r="C532" t="str">
            <v>N/C</v>
          </cell>
        </row>
        <row r="533">
          <cell r="A533" t="str">
            <v>61592-5</v>
          </cell>
          <cell r="B533" t="str">
            <v>Apr'21</v>
          </cell>
          <cell r="C533" t="str">
            <v>N/C</v>
          </cell>
        </row>
        <row r="534">
          <cell r="A534" t="str">
            <v>80035-2</v>
          </cell>
          <cell r="B534" t="str">
            <v>Mar'21</v>
          </cell>
          <cell r="C534" t="str">
            <v>OK</v>
          </cell>
        </row>
        <row r="535">
          <cell r="A535" t="str">
            <v>83624-7</v>
          </cell>
          <cell r="B535" t="str">
            <v>Mar'21</v>
          </cell>
          <cell r="C535" t="str">
            <v>OK</v>
          </cell>
        </row>
        <row r="536">
          <cell r="A536" t="str">
            <v>81256-9</v>
          </cell>
          <cell r="B536" t="str">
            <v>Mar'21</v>
          </cell>
          <cell r="C536" t="str">
            <v>OK</v>
          </cell>
        </row>
        <row r="537">
          <cell r="A537" t="str">
            <v>65155-6</v>
          </cell>
          <cell r="B537" t="str">
            <v>Jan'21</v>
          </cell>
          <cell r="C537" t="str">
            <v>OK</v>
          </cell>
        </row>
        <row r="538">
          <cell r="A538" t="str">
            <v>81256-10</v>
          </cell>
          <cell r="B538" t="str">
            <v>Mar'21</v>
          </cell>
          <cell r="C538" t="str">
            <v>OK</v>
          </cell>
        </row>
        <row r="539">
          <cell r="A539" t="str">
            <v>81256-11</v>
          </cell>
          <cell r="B539" t="str">
            <v>Mar'21</v>
          </cell>
          <cell r="C539" t="str">
            <v>OK</v>
          </cell>
        </row>
        <row r="540">
          <cell r="A540" t="str">
            <v>81109-2</v>
          </cell>
          <cell r="B540" t="str">
            <v>Mar'21</v>
          </cell>
          <cell r="C540" t="str">
            <v>N/C</v>
          </cell>
        </row>
        <row r="541">
          <cell r="A541" t="str">
            <v>84021-2</v>
          </cell>
          <cell r="B541" t="str">
            <v>Mar'21</v>
          </cell>
          <cell r="C541" t="str">
            <v>OK</v>
          </cell>
        </row>
        <row r="542">
          <cell r="A542" t="str">
            <v>84989-3</v>
          </cell>
          <cell r="B542" t="str">
            <v>Mar'21</v>
          </cell>
          <cell r="C542" t="str">
            <v>OK</v>
          </cell>
        </row>
        <row r="543">
          <cell r="A543" t="str">
            <v>85352-5</v>
          </cell>
          <cell r="B543" t="str">
            <v>Mar'21</v>
          </cell>
          <cell r="C543" t="str">
            <v>OK</v>
          </cell>
        </row>
        <row r="544">
          <cell r="A544" t="str">
            <v>54634-1</v>
          </cell>
          <cell r="B544" t="str">
            <v>Dec'20</v>
          </cell>
          <cell r="C544" t="str">
            <v>N/C</v>
          </cell>
        </row>
        <row r="545">
          <cell r="A545" t="str">
            <v>77267-14</v>
          </cell>
          <cell r="B545" t="str">
            <v>Mar'21</v>
          </cell>
          <cell r="C545" t="str">
            <v>OK</v>
          </cell>
        </row>
        <row r="546">
          <cell r="A546" t="str">
            <v>77267-15</v>
          </cell>
          <cell r="B546" t="str">
            <v>Mar'21</v>
          </cell>
          <cell r="C546" t="str">
            <v>OK</v>
          </cell>
        </row>
        <row r="547">
          <cell r="A547" t="str">
            <v>85978-4</v>
          </cell>
          <cell r="B547" t="str">
            <v>Mar'21</v>
          </cell>
          <cell r="C547" t="str">
            <v>N/C</v>
          </cell>
        </row>
        <row r="548">
          <cell r="A548" t="str">
            <v>85978-5</v>
          </cell>
          <cell r="B548" t="str">
            <v>Mar'21</v>
          </cell>
          <cell r="C548" t="str">
            <v>N/C</v>
          </cell>
        </row>
        <row r="549">
          <cell r="A549" t="str">
            <v>61301-3</v>
          </cell>
          <cell r="B549" t="str">
            <v>Dec'20</v>
          </cell>
          <cell r="C549" t="str">
            <v>N/C</v>
          </cell>
        </row>
        <row r="550">
          <cell r="A550" t="str">
            <v>86236-1</v>
          </cell>
          <cell r="B550" t="str">
            <v>Mar'21</v>
          </cell>
          <cell r="C550" t="str">
            <v>OK</v>
          </cell>
        </row>
        <row r="551">
          <cell r="A551" t="str">
            <v>77267-16</v>
          </cell>
          <cell r="B551" t="str">
            <v>Mar'21</v>
          </cell>
          <cell r="C551" t="str">
            <v>OK</v>
          </cell>
        </row>
        <row r="552">
          <cell r="A552" t="str">
            <v>86310-1</v>
          </cell>
          <cell r="B552" t="str">
            <v>Mar'21</v>
          </cell>
          <cell r="C552" t="str">
            <v>OK</v>
          </cell>
        </row>
        <row r="553">
          <cell r="A553" t="str">
            <v>86445-9</v>
          </cell>
          <cell r="B553" t="str">
            <v>Mar'21</v>
          </cell>
          <cell r="C553" t="str">
            <v>OK</v>
          </cell>
        </row>
        <row r="554">
          <cell r="A554" t="str">
            <v>86885-2</v>
          </cell>
          <cell r="B554" t="str">
            <v>Apr'21</v>
          </cell>
          <cell r="C554" t="str">
            <v>N/C</v>
          </cell>
        </row>
        <row r="555">
          <cell r="A555" t="str">
            <v>86908-2</v>
          </cell>
          <cell r="B555" t="str">
            <v>Mar'21</v>
          </cell>
          <cell r="C555" t="str">
            <v>OK</v>
          </cell>
        </row>
        <row r="556">
          <cell r="A556" t="str">
            <v>86894-1</v>
          </cell>
          <cell r="B556" t="str">
            <v>Mar'21</v>
          </cell>
          <cell r="C556" t="str">
            <v>OK</v>
          </cell>
        </row>
        <row r="557">
          <cell r="A557" t="str">
            <v>86737-7</v>
          </cell>
          <cell r="B557" t="str">
            <v>Mar'21</v>
          </cell>
          <cell r="C557" t="str">
            <v>OK</v>
          </cell>
        </row>
        <row r="558">
          <cell r="A558" t="str">
            <v>86737-8</v>
          </cell>
          <cell r="B558" t="str">
            <v>Mar'21</v>
          </cell>
          <cell r="C558" t="str">
            <v>OK</v>
          </cell>
        </row>
        <row r="559">
          <cell r="A559" t="str">
            <v>73559-11</v>
          </cell>
          <cell r="B559" t="str">
            <v>Mar'21</v>
          </cell>
          <cell r="C559" t="str">
            <v>OK</v>
          </cell>
        </row>
        <row r="560">
          <cell r="A560" t="str">
            <v>86737-9</v>
          </cell>
          <cell r="B560" t="str">
            <v>Mar'21</v>
          </cell>
          <cell r="C560" t="str">
            <v>OK</v>
          </cell>
        </row>
        <row r="561">
          <cell r="A561" t="str">
            <v>73571-19</v>
          </cell>
          <cell r="B561" t="str">
            <v>Mar'21</v>
          </cell>
          <cell r="C561" t="str">
            <v>OK</v>
          </cell>
        </row>
        <row r="562">
          <cell r="A562" t="str">
            <v>73948-9</v>
          </cell>
          <cell r="B562" t="str">
            <v>Mar'21</v>
          </cell>
          <cell r="C562" t="str">
            <v>OK</v>
          </cell>
        </row>
        <row r="563">
          <cell r="A563" t="str">
            <v>73948-10</v>
          </cell>
          <cell r="B563" t="str">
            <v>Mar'21</v>
          </cell>
          <cell r="C563" t="str">
            <v>OK</v>
          </cell>
        </row>
        <row r="564">
          <cell r="A564" t="str">
            <v>75539-4</v>
          </cell>
          <cell r="B564" t="str">
            <v>Mar'21</v>
          </cell>
          <cell r="C564" t="str">
            <v>OK</v>
          </cell>
        </row>
        <row r="565">
          <cell r="A565" t="str">
            <v>75539-5</v>
          </cell>
          <cell r="B565" t="str">
            <v>Mar'21</v>
          </cell>
          <cell r="C565" t="str">
            <v>OK</v>
          </cell>
        </row>
        <row r="566">
          <cell r="A566" t="str">
            <v>75539-6</v>
          </cell>
          <cell r="B566" t="str">
            <v>Mar'21</v>
          </cell>
          <cell r="C566" t="str">
            <v>OK</v>
          </cell>
        </row>
        <row r="567">
          <cell r="A567" t="str">
            <v>75539-7</v>
          </cell>
          <cell r="B567" t="str">
            <v>Mar'21</v>
          </cell>
          <cell r="C567" t="str">
            <v>N/C</v>
          </cell>
        </row>
        <row r="568">
          <cell r="A568" t="str">
            <v>75539-8</v>
          </cell>
          <cell r="B568" t="str">
            <v>Mar'21</v>
          </cell>
          <cell r="C568" t="str">
            <v>N/C</v>
          </cell>
        </row>
        <row r="569">
          <cell r="A569" t="str">
            <v>75539-9</v>
          </cell>
          <cell r="B569" t="str">
            <v>Mar'21</v>
          </cell>
          <cell r="C569" t="str">
            <v>N/C</v>
          </cell>
        </row>
        <row r="570">
          <cell r="A570" t="str">
            <v>86626-5</v>
          </cell>
          <cell r="B570" t="str">
            <v>Mar'21</v>
          </cell>
          <cell r="C570" t="str">
            <v>OK</v>
          </cell>
        </row>
        <row r="571">
          <cell r="A571" t="str">
            <v>86629-1</v>
          </cell>
          <cell r="B571" t="str">
            <v>Apr'21</v>
          </cell>
          <cell r="C571" t="str">
            <v>N/C</v>
          </cell>
        </row>
        <row r="572">
          <cell r="A572" t="str">
            <v>73522-1</v>
          </cell>
          <cell r="B572" t="str">
            <v>Feb'21</v>
          </cell>
          <cell r="C572" t="str">
            <v>OK</v>
          </cell>
        </row>
        <row r="573">
          <cell r="A573" t="str">
            <v>73522-2</v>
          </cell>
          <cell r="B573" t="str">
            <v>Feb'21</v>
          </cell>
          <cell r="C573" t="str">
            <v>OK</v>
          </cell>
        </row>
        <row r="574">
          <cell r="A574" t="str">
            <v>73522-3</v>
          </cell>
          <cell r="B574" t="str">
            <v>Feb'21</v>
          </cell>
          <cell r="C574" t="str">
            <v>OK</v>
          </cell>
        </row>
        <row r="575">
          <cell r="A575" t="str">
            <v>73550-1</v>
          </cell>
          <cell r="B575" t="str">
            <v>Feb'21</v>
          </cell>
          <cell r="C575" t="str">
            <v>OK</v>
          </cell>
        </row>
        <row r="576">
          <cell r="A576" t="str">
            <v>73550-5</v>
          </cell>
          <cell r="B576" t="str">
            <v>Feb'21</v>
          </cell>
          <cell r="C576" t="str">
            <v>OK</v>
          </cell>
        </row>
        <row r="577">
          <cell r="A577" t="str">
            <v>73550-6</v>
          </cell>
          <cell r="B577" t="str">
            <v>Feb'21</v>
          </cell>
          <cell r="C577" t="str">
            <v>OK</v>
          </cell>
        </row>
        <row r="578">
          <cell r="A578" t="str">
            <v>73552-1</v>
          </cell>
          <cell r="B578" t="str">
            <v>Feb'21</v>
          </cell>
          <cell r="C578" t="str">
            <v>OK</v>
          </cell>
        </row>
        <row r="579">
          <cell r="A579" t="str">
            <v>78097-4</v>
          </cell>
          <cell r="B579" t="str">
            <v>Feb'21</v>
          </cell>
          <cell r="C579" t="str">
            <v>OK</v>
          </cell>
        </row>
        <row r="580">
          <cell r="A580" t="str">
            <v>86809-1</v>
          </cell>
          <cell r="B580" t="str">
            <v>Mar'21</v>
          </cell>
          <cell r="C580" t="str">
            <v>OK</v>
          </cell>
        </row>
        <row r="581">
          <cell r="A581" t="str">
            <v>80083-1</v>
          </cell>
          <cell r="B581" t="str">
            <v>Feb'21</v>
          </cell>
          <cell r="C581" t="str">
            <v>N/C</v>
          </cell>
        </row>
        <row r="582">
          <cell r="A582" t="str">
            <v>80084-1</v>
          </cell>
          <cell r="B582" t="str">
            <v>Feb'21</v>
          </cell>
          <cell r="C582" t="str">
            <v>OK</v>
          </cell>
        </row>
        <row r="583">
          <cell r="A583" t="str">
            <v>71421-1</v>
          </cell>
          <cell r="B583" t="str">
            <v>Jan'21</v>
          </cell>
          <cell r="C583" t="str">
            <v>OK</v>
          </cell>
        </row>
        <row r="584">
          <cell r="A584" t="str">
            <v>80085-1</v>
          </cell>
          <cell r="B584" t="str">
            <v>Feb'21</v>
          </cell>
          <cell r="C584" t="str">
            <v>OK</v>
          </cell>
        </row>
        <row r="585">
          <cell r="A585" t="str">
            <v>78366-1</v>
          </cell>
          <cell r="B585" t="str">
            <v>Jan'21</v>
          </cell>
          <cell r="C585" t="str">
            <v>OK</v>
          </cell>
        </row>
        <row r="586">
          <cell r="A586" t="str">
            <v>84030-12</v>
          </cell>
          <cell r="B586" t="str">
            <v>Mar'21</v>
          </cell>
          <cell r="C586" t="str">
            <v>OK</v>
          </cell>
        </row>
        <row r="587">
          <cell r="A587" t="str">
            <v>61424-2</v>
          </cell>
          <cell r="B587" t="str">
            <v>Mar'21</v>
          </cell>
          <cell r="C587" t="str">
            <v>OK</v>
          </cell>
        </row>
        <row r="588">
          <cell r="A588" t="str">
            <v>74454-8</v>
          </cell>
          <cell r="B588" t="str">
            <v>Feb'21</v>
          </cell>
          <cell r="C588" t="str">
            <v>N/C</v>
          </cell>
        </row>
        <row r="589">
          <cell r="A589" t="str">
            <v>86980-2</v>
          </cell>
          <cell r="B589" t="str">
            <v>Mar'21</v>
          </cell>
          <cell r="C589" t="str">
            <v>OK</v>
          </cell>
        </row>
        <row r="590">
          <cell r="A590" t="str">
            <v>79216-1</v>
          </cell>
          <cell r="B590" t="str">
            <v>Mar'21</v>
          </cell>
          <cell r="C590" t="str">
            <v>OK</v>
          </cell>
        </row>
        <row r="591">
          <cell r="A591" t="str">
            <v>86981-1</v>
          </cell>
          <cell r="B591" t="str">
            <v>Mar'21</v>
          </cell>
          <cell r="C591" t="str">
            <v>OK</v>
          </cell>
        </row>
        <row r="592">
          <cell r="A592" t="str">
            <v>69525-1</v>
          </cell>
          <cell r="B592" t="str">
            <v>Feb'21</v>
          </cell>
          <cell r="C592" t="str">
            <v>N/C</v>
          </cell>
        </row>
        <row r="593">
          <cell r="A593" t="str">
            <v>80985-5</v>
          </cell>
          <cell r="B593" t="str">
            <v>Feb'21</v>
          </cell>
          <cell r="C593" t="str">
            <v>OK</v>
          </cell>
        </row>
        <row r="594">
          <cell r="A594" t="str">
            <v>84030-14</v>
          </cell>
          <cell r="B594" t="str">
            <v>Mar'21</v>
          </cell>
          <cell r="C594" t="str">
            <v>OK</v>
          </cell>
        </row>
        <row r="595">
          <cell r="A595" t="str">
            <v>75967-3</v>
          </cell>
          <cell r="B595" t="str">
            <v>Feb'21</v>
          </cell>
          <cell r="C595" t="str">
            <v>N/C</v>
          </cell>
        </row>
        <row r="596">
          <cell r="A596" t="str">
            <v>62223-2</v>
          </cell>
          <cell r="B596" t="str">
            <v>Feb'21</v>
          </cell>
          <cell r="C596" t="str">
            <v>OK</v>
          </cell>
        </row>
        <row r="597">
          <cell r="A597" t="str">
            <v>79276-1</v>
          </cell>
          <cell r="B597" t="str">
            <v>Feb'21</v>
          </cell>
          <cell r="C597" t="str">
            <v>OK</v>
          </cell>
        </row>
        <row r="598">
          <cell r="A598" t="str">
            <v>79287-1</v>
          </cell>
          <cell r="B598" t="str">
            <v>Feb'21</v>
          </cell>
          <cell r="C598" t="str">
            <v>N/C</v>
          </cell>
        </row>
        <row r="599">
          <cell r="A599" t="str">
            <v>81370-5</v>
          </cell>
          <cell r="B599" t="str">
            <v>Feb'21</v>
          </cell>
          <cell r="C599" t="str">
            <v>OK</v>
          </cell>
        </row>
        <row r="600">
          <cell r="A600" t="str">
            <v>84030-17</v>
          </cell>
          <cell r="B600" t="str">
            <v>Mar'21</v>
          </cell>
          <cell r="C600" t="str">
            <v>OK</v>
          </cell>
        </row>
        <row r="601">
          <cell r="A601" t="str">
            <v>82925-2</v>
          </cell>
          <cell r="B601" t="str">
            <v>Mar'21</v>
          </cell>
          <cell r="C601" t="str">
            <v>OK</v>
          </cell>
        </row>
        <row r="602">
          <cell r="A602" t="str">
            <v>82925-6</v>
          </cell>
          <cell r="B602" t="str">
            <v>Mar'21</v>
          </cell>
          <cell r="C602" t="str">
            <v>OK</v>
          </cell>
        </row>
        <row r="603">
          <cell r="A603" t="str">
            <v>82925-7</v>
          </cell>
          <cell r="B603" t="str">
            <v>Mar'21</v>
          </cell>
          <cell r="C603" t="str">
            <v>OK</v>
          </cell>
        </row>
        <row r="604">
          <cell r="A604" t="str">
            <v>74618-2</v>
          </cell>
          <cell r="B604" t="str">
            <v>Mar'21</v>
          </cell>
          <cell r="C604" t="str">
            <v>OK</v>
          </cell>
        </row>
        <row r="605">
          <cell r="A605" t="str">
            <v>83230-1</v>
          </cell>
          <cell r="B605" t="str">
            <v>Mar'21</v>
          </cell>
          <cell r="C605" t="str">
            <v>OK</v>
          </cell>
        </row>
        <row r="606">
          <cell r="A606" t="str">
            <v>83230-2</v>
          </cell>
          <cell r="B606" t="str">
            <v>Mar'21</v>
          </cell>
          <cell r="C606" t="str">
            <v>OK</v>
          </cell>
        </row>
        <row r="607">
          <cell r="A607" t="str">
            <v>83230-4</v>
          </cell>
          <cell r="B607" t="str">
            <v>Mar'21</v>
          </cell>
          <cell r="C607" t="str">
            <v>OK</v>
          </cell>
        </row>
        <row r="608">
          <cell r="A608" t="str">
            <v>84097-1</v>
          </cell>
          <cell r="B608" t="str">
            <v>Mar'21</v>
          </cell>
          <cell r="C608" t="str">
            <v>OK</v>
          </cell>
        </row>
        <row r="609">
          <cell r="A609" t="str">
            <v>84097-2</v>
          </cell>
          <cell r="B609" t="str">
            <v>Mar'21</v>
          </cell>
          <cell r="C609" t="str">
            <v>OK</v>
          </cell>
        </row>
        <row r="610">
          <cell r="A610" t="str">
            <v>84097-3</v>
          </cell>
          <cell r="B610" t="str">
            <v>Mar'21</v>
          </cell>
          <cell r="C610" t="str">
            <v>OK</v>
          </cell>
        </row>
        <row r="611">
          <cell r="A611" t="str">
            <v>84030-19</v>
          </cell>
          <cell r="B611" t="str">
            <v>Mar'21</v>
          </cell>
          <cell r="C611" t="str">
            <v>OK</v>
          </cell>
        </row>
        <row r="612">
          <cell r="A612" t="str">
            <v>84030-20</v>
          </cell>
          <cell r="B612" t="str">
            <v>Mar'21</v>
          </cell>
          <cell r="C612" t="str">
            <v>OK</v>
          </cell>
        </row>
        <row r="613">
          <cell r="A613" t="str">
            <v>84030-21</v>
          </cell>
          <cell r="B613" t="str">
            <v>Mar'21</v>
          </cell>
          <cell r="C613" t="str">
            <v>OK</v>
          </cell>
        </row>
        <row r="614">
          <cell r="A614" t="str">
            <v>84030-22</v>
          </cell>
          <cell r="B614" t="str">
            <v>Mar'21</v>
          </cell>
          <cell r="C614" t="str">
            <v>OK</v>
          </cell>
        </row>
        <row r="615">
          <cell r="A615" t="str">
            <v>73188-1</v>
          </cell>
          <cell r="B615" t="str">
            <v>Mar'21</v>
          </cell>
          <cell r="C615" t="str">
            <v>OK</v>
          </cell>
        </row>
        <row r="616">
          <cell r="A616" t="str">
            <v>73188-2</v>
          </cell>
          <cell r="B616" t="str">
            <v>Mar'21</v>
          </cell>
          <cell r="C616" t="str">
            <v>OK</v>
          </cell>
        </row>
        <row r="617">
          <cell r="A617" t="str">
            <v>84097-4</v>
          </cell>
          <cell r="B617" t="str">
            <v>Mar'21</v>
          </cell>
          <cell r="C617" t="str">
            <v>OK</v>
          </cell>
        </row>
        <row r="618">
          <cell r="A618" t="str">
            <v>84097-5</v>
          </cell>
          <cell r="B618" t="str">
            <v>Mar'21</v>
          </cell>
          <cell r="C618" t="str">
            <v>OK</v>
          </cell>
        </row>
        <row r="619">
          <cell r="A619" t="str">
            <v>84097-7</v>
          </cell>
          <cell r="B619" t="str">
            <v>Mar'21</v>
          </cell>
          <cell r="C619" t="str">
            <v>OK</v>
          </cell>
        </row>
        <row r="620">
          <cell r="A620" t="str">
            <v>80755-8</v>
          </cell>
          <cell r="B620" t="str">
            <v>Mar'21</v>
          </cell>
          <cell r="C620" t="str">
            <v>OK</v>
          </cell>
        </row>
        <row r="621">
          <cell r="A621" t="str">
            <v>56226-3</v>
          </cell>
          <cell r="B621" t="str">
            <v>Dec'20</v>
          </cell>
          <cell r="C621" t="str">
            <v>OK</v>
          </cell>
        </row>
        <row r="622">
          <cell r="A622" t="str">
            <v>73518-2</v>
          </cell>
          <cell r="B622" t="str">
            <v>Feb'21</v>
          </cell>
          <cell r="C622" t="str">
            <v>OK</v>
          </cell>
        </row>
        <row r="623">
          <cell r="A623" t="str">
            <v>65085-2</v>
          </cell>
          <cell r="B623" t="str">
            <v>Feb'21</v>
          </cell>
          <cell r="C623" t="str">
            <v>OK</v>
          </cell>
        </row>
        <row r="624">
          <cell r="A624" t="str">
            <v>75276-6</v>
          </cell>
          <cell r="B624" t="str">
            <v>Feb'21</v>
          </cell>
          <cell r="C624" t="str">
            <v>OK</v>
          </cell>
        </row>
        <row r="625">
          <cell r="A625" t="str">
            <v>56226-4</v>
          </cell>
          <cell r="B625" t="str">
            <v>Dec'20</v>
          </cell>
          <cell r="C625" t="str">
            <v>OK</v>
          </cell>
        </row>
        <row r="626">
          <cell r="A626" t="str">
            <v>83132-2</v>
          </cell>
          <cell r="B626" t="str">
            <v>Mar'21</v>
          </cell>
          <cell r="C626" t="str">
            <v>OK</v>
          </cell>
        </row>
        <row r="627">
          <cell r="A627" t="str">
            <v>75276-1</v>
          </cell>
          <cell r="B627" t="str">
            <v>Feb'21</v>
          </cell>
          <cell r="C627" t="str">
            <v>OK</v>
          </cell>
        </row>
        <row r="628">
          <cell r="A628" t="str">
            <v>73866-2</v>
          </cell>
          <cell r="B628" t="str">
            <v>Feb'21</v>
          </cell>
          <cell r="C628" t="str">
            <v>OK</v>
          </cell>
        </row>
        <row r="629">
          <cell r="A629" t="str">
            <v>61842-2</v>
          </cell>
          <cell r="B629" t="str">
            <v>Mar'21</v>
          </cell>
          <cell r="C629" t="str">
            <v>OK</v>
          </cell>
        </row>
        <row r="630">
          <cell r="A630" t="str">
            <v>68010-3</v>
          </cell>
          <cell r="B630" t="str">
            <v>Feb'21</v>
          </cell>
          <cell r="C630" t="str">
            <v>OK</v>
          </cell>
        </row>
        <row r="631">
          <cell r="A631" t="str">
            <v>68010-5</v>
          </cell>
          <cell r="B631" t="str">
            <v>Feb'21</v>
          </cell>
          <cell r="C631" t="str">
            <v>OK</v>
          </cell>
        </row>
        <row r="632">
          <cell r="A632" t="str">
            <v>83795-1</v>
          </cell>
          <cell r="B632" t="str">
            <v>Mar'21</v>
          </cell>
          <cell r="C632" t="str">
            <v>OK</v>
          </cell>
        </row>
        <row r="633">
          <cell r="A633" t="str">
            <v>76301-2</v>
          </cell>
          <cell r="B633" t="str">
            <v>Feb'21</v>
          </cell>
          <cell r="C633" t="str">
            <v>OK</v>
          </cell>
        </row>
        <row r="634">
          <cell r="A634" t="str">
            <v>74406-1</v>
          </cell>
          <cell r="B634" t="str">
            <v>Mar'21</v>
          </cell>
          <cell r="C634" t="str">
            <v>OK</v>
          </cell>
        </row>
        <row r="635">
          <cell r="A635" t="str">
            <v>55512-2</v>
          </cell>
          <cell r="B635" t="str">
            <v>Jan'21</v>
          </cell>
          <cell r="C635" t="str">
            <v>OK</v>
          </cell>
        </row>
        <row r="636">
          <cell r="A636" t="str">
            <v>83230-6</v>
          </cell>
          <cell r="B636" t="str">
            <v>Mar'21</v>
          </cell>
          <cell r="C636" t="str">
            <v>OK</v>
          </cell>
        </row>
        <row r="637">
          <cell r="A637" t="str">
            <v>67391-6</v>
          </cell>
          <cell r="B637" t="str">
            <v>Mar'21</v>
          </cell>
          <cell r="C637" t="str">
            <v>OK</v>
          </cell>
        </row>
        <row r="638">
          <cell r="A638" t="str">
            <v>76958-5</v>
          </cell>
          <cell r="B638" t="str">
            <v>Mar'21</v>
          </cell>
          <cell r="C638" t="str">
            <v>OK</v>
          </cell>
        </row>
        <row r="639">
          <cell r="A639" t="str">
            <v>75963-7</v>
          </cell>
          <cell r="B639" t="str">
            <v>Feb'21</v>
          </cell>
          <cell r="C639" t="str">
            <v>OK</v>
          </cell>
        </row>
        <row r="640">
          <cell r="A640" t="str">
            <v>75963-1</v>
          </cell>
          <cell r="B640" t="str">
            <v>Mar'21</v>
          </cell>
          <cell r="C640" t="str">
            <v>OK</v>
          </cell>
        </row>
        <row r="641">
          <cell r="A641" t="str">
            <v>76958-6</v>
          </cell>
          <cell r="B641" t="str">
            <v>Mar'21</v>
          </cell>
          <cell r="C641" t="str">
            <v>OK</v>
          </cell>
        </row>
        <row r="642">
          <cell r="A642" t="str">
            <v>76958-7</v>
          </cell>
          <cell r="B642" t="str">
            <v>Mar'21</v>
          </cell>
          <cell r="C642" t="str">
            <v>OK</v>
          </cell>
        </row>
        <row r="643">
          <cell r="A643" t="str">
            <v>76958-8</v>
          </cell>
          <cell r="B643" t="str">
            <v>Mar'21</v>
          </cell>
          <cell r="C643" t="str">
            <v>OK</v>
          </cell>
        </row>
        <row r="644">
          <cell r="A644" t="str">
            <v>76958-9</v>
          </cell>
          <cell r="B644" t="str">
            <v>Mar'21</v>
          </cell>
          <cell r="C644" t="str">
            <v>OK</v>
          </cell>
        </row>
        <row r="645">
          <cell r="A645" t="str">
            <v>76958-11</v>
          </cell>
          <cell r="B645" t="str">
            <v>Mar'21</v>
          </cell>
          <cell r="C645" t="str">
            <v>OK</v>
          </cell>
        </row>
        <row r="646">
          <cell r="A646" t="str">
            <v>74406-3</v>
          </cell>
          <cell r="B646" t="str">
            <v>Mar'21</v>
          </cell>
          <cell r="C646" t="str">
            <v>OK</v>
          </cell>
        </row>
        <row r="647">
          <cell r="A647" t="str">
            <v>80980-3</v>
          </cell>
          <cell r="B647" t="str">
            <v>Mar'21</v>
          </cell>
          <cell r="C647" t="str">
            <v>OK</v>
          </cell>
        </row>
        <row r="648">
          <cell r="A648" t="str">
            <v>74618-10</v>
          </cell>
          <cell r="B648" t="str">
            <v>Feb'21</v>
          </cell>
          <cell r="C648" t="str">
            <v>OK</v>
          </cell>
        </row>
        <row r="649">
          <cell r="A649" t="str">
            <v>9514148139-1</v>
          </cell>
          <cell r="B649" t="str">
            <v>Feb'21</v>
          </cell>
          <cell r="C649" t="str">
            <v>OK</v>
          </cell>
        </row>
        <row r="650">
          <cell r="A650" t="str">
            <v>70077-1</v>
          </cell>
          <cell r="B650" t="str">
            <v>Feb'21</v>
          </cell>
          <cell r="C650" t="str">
            <v>OK</v>
          </cell>
        </row>
        <row r="651">
          <cell r="A651" t="str">
            <v>79509-1</v>
          </cell>
          <cell r="B651" t="str">
            <v>Mar'21</v>
          </cell>
          <cell r="C651" t="str">
            <v>OK</v>
          </cell>
        </row>
        <row r="652">
          <cell r="A652" t="str">
            <v>67129-2</v>
          </cell>
          <cell r="B652" t="str">
            <v>Jan'21</v>
          </cell>
          <cell r="C652" t="str">
            <v>OK</v>
          </cell>
        </row>
        <row r="653">
          <cell r="A653" t="str">
            <v>75332-11</v>
          </cell>
          <cell r="B653" t="str">
            <v>Feb'21</v>
          </cell>
          <cell r="C653" t="str">
            <v>OK</v>
          </cell>
        </row>
        <row r="654">
          <cell r="A654" t="str">
            <v>61159-8</v>
          </cell>
          <cell r="B654" t="str">
            <v>Feb'21</v>
          </cell>
          <cell r="C654" t="str">
            <v>OK</v>
          </cell>
        </row>
        <row r="655">
          <cell r="A655" t="str">
            <v>75737-7</v>
          </cell>
          <cell r="B655" t="str">
            <v>Feb'21</v>
          </cell>
          <cell r="C655" t="str">
            <v>OK</v>
          </cell>
        </row>
        <row r="656">
          <cell r="A656" t="str">
            <v>79950-1</v>
          </cell>
          <cell r="B656" t="str">
            <v>Feb'21</v>
          </cell>
          <cell r="C656" t="str">
            <v>OK</v>
          </cell>
        </row>
        <row r="657">
          <cell r="A657" t="str">
            <v>73037-2</v>
          </cell>
          <cell r="B657" t="str">
            <v>Mar'21</v>
          </cell>
          <cell r="C657" t="str">
            <v>OK</v>
          </cell>
        </row>
        <row r="658">
          <cell r="A658" t="str">
            <v>67391-1</v>
          </cell>
          <cell r="B658" t="str">
            <v>Mar'21</v>
          </cell>
          <cell r="C658" t="str">
            <v>OK</v>
          </cell>
        </row>
        <row r="659">
          <cell r="A659" t="str">
            <v>67391-2</v>
          </cell>
          <cell r="B659" t="str">
            <v>Mar'21</v>
          </cell>
          <cell r="C659" t="str">
            <v>OK</v>
          </cell>
        </row>
        <row r="660">
          <cell r="A660" t="str">
            <v>61670-9</v>
          </cell>
          <cell r="B660" t="str">
            <v>Dec'20</v>
          </cell>
          <cell r="C660" t="str">
            <v>OK</v>
          </cell>
        </row>
        <row r="661">
          <cell r="A661" t="str">
            <v>61670-3</v>
          </cell>
          <cell r="B661" t="str">
            <v>Mar'21</v>
          </cell>
          <cell r="C661" t="str">
            <v>OK</v>
          </cell>
        </row>
        <row r="662">
          <cell r="A662" t="str">
            <v>61670-4</v>
          </cell>
          <cell r="B662" t="str">
            <v>Mar'21</v>
          </cell>
          <cell r="C662" t="str">
            <v>OK</v>
          </cell>
        </row>
        <row r="663">
          <cell r="A663" t="str">
            <v>80755-3</v>
          </cell>
          <cell r="B663" t="str">
            <v>Mar'21</v>
          </cell>
          <cell r="C663" t="str">
            <v>OK</v>
          </cell>
        </row>
        <row r="664">
          <cell r="A664" t="str">
            <v>70053-1</v>
          </cell>
          <cell r="B664" t="str">
            <v>Feb'21</v>
          </cell>
          <cell r="C664" t="str">
            <v>OK</v>
          </cell>
        </row>
        <row r="665">
          <cell r="A665" t="str">
            <v>68866-1</v>
          </cell>
          <cell r="B665" t="str">
            <v>Feb'21</v>
          </cell>
          <cell r="C665" t="str">
            <v>OK</v>
          </cell>
        </row>
        <row r="666">
          <cell r="A666" t="str">
            <v>73988-2</v>
          </cell>
          <cell r="B666" t="str">
            <v>Jan'21</v>
          </cell>
          <cell r="C666" t="str">
            <v>OK</v>
          </cell>
        </row>
        <row r="667">
          <cell r="A667" t="str">
            <v>77653-6</v>
          </cell>
          <cell r="B667" t="str">
            <v>Feb'21</v>
          </cell>
          <cell r="C667" t="str">
            <v>OK</v>
          </cell>
        </row>
        <row r="668">
          <cell r="A668" t="str">
            <v>61260-5</v>
          </cell>
          <cell r="B668" t="str">
            <v>Feb'21</v>
          </cell>
          <cell r="C668" t="str">
            <v>OK</v>
          </cell>
        </row>
        <row r="669">
          <cell r="A669" t="str">
            <v>75792-2</v>
          </cell>
          <cell r="B669" t="str">
            <v>Feb'21</v>
          </cell>
          <cell r="C669" t="str">
            <v>OK</v>
          </cell>
        </row>
        <row r="670">
          <cell r="A670" t="str">
            <v>61670-6</v>
          </cell>
          <cell r="B670" t="str">
            <v>Mar'21</v>
          </cell>
          <cell r="C670" t="str">
            <v>OK</v>
          </cell>
        </row>
        <row r="671">
          <cell r="A671" t="str">
            <v>75949-2</v>
          </cell>
          <cell r="B671" t="str">
            <v>Feb'21</v>
          </cell>
          <cell r="C671" t="str">
            <v>OK</v>
          </cell>
        </row>
        <row r="672">
          <cell r="A672" t="str">
            <v>83795-3</v>
          </cell>
          <cell r="B672" t="str">
            <v>Mar'21</v>
          </cell>
          <cell r="C672" t="str">
            <v>OK</v>
          </cell>
        </row>
        <row r="673">
          <cell r="A673" t="str">
            <v>75405-6</v>
          </cell>
          <cell r="B673" t="str">
            <v>Feb'21</v>
          </cell>
          <cell r="C673" t="str">
            <v>OK</v>
          </cell>
        </row>
        <row r="674">
          <cell r="A674" t="str">
            <v>71227-1</v>
          </cell>
          <cell r="B674" t="str">
            <v>Feb'21</v>
          </cell>
          <cell r="C674" t="str">
            <v>OK</v>
          </cell>
        </row>
        <row r="675">
          <cell r="A675" t="str">
            <v>75956-5</v>
          </cell>
          <cell r="B675" t="str">
            <v>Feb'21</v>
          </cell>
          <cell r="C675" t="str">
            <v>OK</v>
          </cell>
        </row>
        <row r="676">
          <cell r="A676" t="str">
            <v>80755-4</v>
          </cell>
          <cell r="B676" t="str">
            <v>Feb'21</v>
          </cell>
          <cell r="C676" t="str">
            <v>OK</v>
          </cell>
        </row>
        <row r="677">
          <cell r="A677" t="str">
            <v>81472-6</v>
          </cell>
          <cell r="B677" t="str">
            <v>Feb'21</v>
          </cell>
          <cell r="C677" t="str">
            <v>OK</v>
          </cell>
        </row>
        <row r="678">
          <cell r="A678" t="str">
            <v>59192-4</v>
          </cell>
          <cell r="B678" t="str">
            <v>Jan'21</v>
          </cell>
          <cell r="C678" t="str">
            <v>OK</v>
          </cell>
        </row>
        <row r="679">
          <cell r="A679" t="str">
            <v>9514157424-2</v>
          </cell>
          <cell r="B679" t="str">
            <v>Feb'21</v>
          </cell>
          <cell r="C679" t="str">
            <v>OK</v>
          </cell>
        </row>
        <row r="680">
          <cell r="A680" t="str">
            <v>83154-10</v>
          </cell>
          <cell r="B680" t="str">
            <v>Mar'21</v>
          </cell>
          <cell r="C680" t="str">
            <v>OK</v>
          </cell>
        </row>
        <row r="681">
          <cell r="A681" t="str">
            <v>77653-3</v>
          </cell>
          <cell r="B681" t="str">
            <v>Feb'21</v>
          </cell>
          <cell r="C681" t="str">
            <v>OK</v>
          </cell>
        </row>
        <row r="682">
          <cell r="A682" t="str">
            <v>55512-1</v>
          </cell>
          <cell r="B682" t="str">
            <v>Jan'21</v>
          </cell>
          <cell r="C682" t="str">
            <v>OK</v>
          </cell>
        </row>
        <row r="683">
          <cell r="A683" t="str">
            <v>83154-8</v>
          </cell>
          <cell r="B683" t="str">
            <v>Mar'21</v>
          </cell>
          <cell r="C683" t="str">
            <v>OK</v>
          </cell>
        </row>
        <row r="684">
          <cell r="A684" t="str">
            <v>61105-10</v>
          </cell>
          <cell r="B684" t="str">
            <v>Dec'20</v>
          </cell>
          <cell r="C684" t="str">
            <v>OK</v>
          </cell>
        </row>
        <row r="685">
          <cell r="A685" t="str">
            <v>81766-1</v>
          </cell>
          <cell r="B685" t="str">
            <v>Mar'21</v>
          </cell>
          <cell r="C685" t="str">
            <v>OK</v>
          </cell>
        </row>
        <row r="686">
          <cell r="A686" t="str">
            <v>82911-1</v>
          </cell>
          <cell r="B686" t="str">
            <v>Mar'21</v>
          </cell>
          <cell r="C686" t="str">
            <v>OK</v>
          </cell>
        </row>
        <row r="687">
          <cell r="A687" t="str">
            <v>82914-12</v>
          </cell>
          <cell r="B687" t="str">
            <v>Mar'21</v>
          </cell>
          <cell r="C687" t="str">
            <v>OK</v>
          </cell>
        </row>
        <row r="688">
          <cell r="A688" t="str">
            <v>82918-12</v>
          </cell>
          <cell r="B688" t="str">
            <v>Mar'21</v>
          </cell>
          <cell r="C688" t="str">
            <v>OK</v>
          </cell>
        </row>
        <row r="689">
          <cell r="A689" t="str">
            <v>82919-3</v>
          </cell>
          <cell r="B689" t="str">
            <v>Mar'21</v>
          </cell>
          <cell r="C689" t="str">
            <v>OK</v>
          </cell>
        </row>
        <row r="690">
          <cell r="A690" t="str">
            <v>82920-3</v>
          </cell>
          <cell r="B690" t="str">
            <v>Mar'21</v>
          </cell>
          <cell r="C690" t="str">
            <v>OK</v>
          </cell>
        </row>
        <row r="691">
          <cell r="A691" t="str">
            <v>83941-1</v>
          </cell>
          <cell r="B691" t="str">
            <v>Mar'21</v>
          </cell>
          <cell r="C691" t="str">
            <v>OK</v>
          </cell>
        </row>
        <row r="692">
          <cell r="A692" t="str">
            <v>83941-2</v>
          </cell>
          <cell r="B692" t="str">
            <v>Mar'21</v>
          </cell>
          <cell r="C692" t="str">
            <v>OK</v>
          </cell>
        </row>
        <row r="693">
          <cell r="A693" t="str">
            <v>83941-3</v>
          </cell>
          <cell r="B693" t="str">
            <v>Mar'21</v>
          </cell>
          <cell r="C693" t="str">
            <v>OK</v>
          </cell>
        </row>
        <row r="694">
          <cell r="A694" t="str">
            <v>83941-4</v>
          </cell>
          <cell r="B694" t="str">
            <v>Mar'21</v>
          </cell>
          <cell r="C694" t="str">
            <v>OK</v>
          </cell>
        </row>
        <row r="695">
          <cell r="A695" t="str">
            <v>83941-5</v>
          </cell>
          <cell r="B695" t="str">
            <v>Mar'21</v>
          </cell>
          <cell r="C695" t="str">
            <v>OK</v>
          </cell>
        </row>
        <row r="696">
          <cell r="A696" t="str">
            <v>83941-6</v>
          </cell>
          <cell r="B696" t="str">
            <v>Mar'21</v>
          </cell>
          <cell r="C696" t="str">
            <v>OK</v>
          </cell>
        </row>
        <row r="697">
          <cell r="A697" t="str">
            <v>83941-7</v>
          </cell>
          <cell r="B697" t="str">
            <v>Mar'21</v>
          </cell>
          <cell r="C697" t="str">
            <v>OK</v>
          </cell>
        </row>
        <row r="698">
          <cell r="A698" t="str">
            <v>83941-8</v>
          </cell>
          <cell r="B698" t="str">
            <v>Mar'21</v>
          </cell>
          <cell r="C698" t="str">
            <v>OK</v>
          </cell>
        </row>
        <row r="699">
          <cell r="A699" t="str">
            <v>83242-1</v>
          </cell>
          <cell r="B699" t="str">
            <v>Mar'21</v>
          </cell>
          <cell r="C699" t="str">
            <v>N/C</v>
          </cell>
        </row>
        <row r="700">
          <cell r="A700" t="str">
            <v>83242-2</v>
          </cell>
          <cell r="B700" t="str">
            <v>Mar'21</v>
          </cell>
          <cell r="C700" t="str">
            <v>N/C</v>
          </cell>
        </row>
        <row r="701">
          <cell r="A701" t="str">
            <v>81687-1</v>
          </cell>
          <cell r="B701" t="str">
            <v>Mar'21</v>
          </cell>
          <cell r="C701" t="str">
            <v>N/C</v>
          </cell>
        </row>
        <row r="702">
          <cell r="A702" t="str">
            <v>81687-2</v>
          </cell>
          <cell r="B702" t="str">
            <v>Mar'21</v>
          </cell>
          <cell r="C702" t="str">
            <v>N/C</v>
          </cell>
        </row>
        <row r="703">
          <cell r="A703" t="str">
            <v>81926-1</v>
          </cell>
          <cell r="B703" t="str">
            <v>Mar'21</v>
          </cell>
          <cell r="C703" t="str">
            <v>N/C</v>
          </cell>
        </row>
        <row r="704">
          <cell r="A704" t="str">
            <v>81109-3</v>
          </cell>
          <cell r="B704" t="str">
            <v>Mar'21</v>
          </cell>
          <cell r="C704" t="str">
            <v>N/C</v>
          </cell>
        </row>
        <row r="705">
          <cell r="A705" t="str">
            <v>85352-3</v>
          </cell>
          <cell r="B705" t="str">
            <v>Mar'21</v>
          </cell>
          <cell r="C705" t="str">
            <v>OK</v>
          </cell>
        </row>
        <row r="706">
          <cell r="A706" t="str">
            <v>86885-3</v>
          </cell>
          <cell r="B706" t="str">
            <v>Mar'21</v>
          </cell>
          <cell r="C706" t="str">
            <v>OK</v>
          </cell>
        </row>
        <row r="707">
          <cell r="A707" t="str">
            <v>51025-1</v>
          </cell>
          <cell r="B707" t="str">
            <v>Dec'20</v>
          </cell>
          <cell r="C707" t="str">
            <v>OK</v>
          </cell>
        </row>
        <row r="708">
          <cell r="A708" t="str">
            <v>82286-1</v>
          </cell>
          <cell r="B708" t="str">
            <v>Mar'21</v>
          </cell>
          <cell r="C708" t="str">
            <v>OK</v>
          </cell>
        </row>
        <row r="709">
          <cell r="A709" t="str">
            <v>82286-2</v>
          </cell>
          <cell r="B709" t="str">
            <v>Mar'21</v>
          </cell>
          <cell r="C709" t="str">
            <v>OK</v>
          </cell>
        </row>
        <row r="710">
          <cell r="A710" t="str">
            <v>82286-3</v>
          </cell>
          <cell r="B710" t="str">
            <v>Mar'21</v>
          </cell>
          <cell r="C710" t="str">
            <v>N/C</v>
          </cell>
        </row>
        <row r="711">
          <cell r="A711" t="str">
            <v>82286-4</v>
          </cell>
          <cell r="B711" t="str">
            <v>Mar'21</v>
          </cell>
          <cell r="C711" t="str">
            <v>N/C</v>
          </cell>
        </row>
        <row r="712">
          <cell r="A712" t="str">
            <v>82286-5</v>
          </cell>
          <cell r="B712" t="str">
            <v>Mar'21</v>
          </cell>
          <cell r="C712" t="str">
            <v>N/C</v>
          </cell>
        </row>
        <row r="713">
          <cell r="A713" t="str">
            <v>61287-1</v>
          </cell>
          <cell r="B713" t="str">
            <v>Dec'20</v>
          </cell>
          <cell r="C713" t="str">
            <v>OK</v>
          </cell>
        </row>
        <row r="714">
          <cell r="A714" t="str">
            <v>82583-3</v>
          </cell>
          <cell r="B714" t="str">
            <v>Mar'21</v>
          </cell>
          <cell r="C714" t="str">
            <v>OK</v>
          </cell>
        </row>
        <row r="715">
          <cell r="A715" t="str">
            <v>82583-4</v>
          </cell>
          <cell r="B715" t="str">
            <v>Apr'21</v>
          </cell>
          <cell r="C715" t="str">
            <v>OK</v>
          </cell>
        </row>
        <row r="716">
          <cell r="A716" t="str">
            <v>82583-5</v>
          </cell>
          <cell r="B716" t="str">
            <v>Apr'21</v>
          </cell>
          <cell r="C716" t="str">
            <v>OK</v>
          </cell>
        </row>
        <row r="717">
          <cell r="A717" t="str">
            <v>82583-6</v>
          </cell>
          <cell r="B717" t="str">
            <v>Apr'21</v>
          </cell>
          <cell r="C717" t="str">
            <v>N/C</v>
          </cell>
        </row>
        <row r="718">
          <cell r="A718" t="str">
            <v>62422-1</v>
          </cell>
          <cell r="B718" t="str">
            <v>Dec'20</v>
          </cell>
          <cell r="C718" t="str">
            <v>N/C</v>
          </cell>
        </row>
        <row r="719">
          <cell r="A719" t="str">
            <v>62422-3</v>
          </cell>
          <cell r="B719" t="str">
            <v>Dec'20</v>
          </cell>
          <cell r="C719" t="str">
            <v>N/C</v>
          </cell>
        </row>
        <row r="720">
          <cell r="A720" t="str">
            <v>62422-4</v>
          </cell>
          <cell r="B720" t="str">
            <v>Dec'20</v>
          </cell>
          <cell r="C720" t="str">
            <v>N/C</v>
          </cell>
        </row>
        <row r="721">
          <cell r="A721" t="str">
            <v>68397-1</v>
          </cell>
          <cell r="B721" t="str">
            <v>Jan'21</v>
          </cell>
          <cell r="C721" t="str">
            <v>OK</v>
          </cell>
        </row>
        <row r="722">
          <cell r="A722" t="str">
            <v>75929-3</v>
          </cell>
          <cell r="B722" t="str">
            <v>Feb'21</v>
          </cell>
          <cell r="C722" t="str">
            <v>OK</v>
          </cell>
        </row>
        <row r="723">
          <cell r="A723" t="str">
            <v>68397-2</v>
          </cell>
          <cell r="B723" t="str">
            <v>Jan'21</v>
          </cell>
          <cell r="C723" t="str">
            <v>OK</v>
          </cell>
        </row>
        <row r="724">
          <cell r="A724" t="str">
            <v>69525-2</v>
          </cell>
          <cell r="B724" t="str">
            <v>Feb'21</v>
          </cell>
          <cell r="C724" t="str">
            <v>N/C</v>
          </cell>
        </row>
        <row r="725">
          <cell r="A725" t="str">
            <v>82296-1</v>
          </cell>
          <cell r="B725" t="str">
            <v>Apr'21</v>
          </cell>
          <cell r="C725" t="str">
            <v>N/C</v>
          </cell>
        </row>
        <row r="726">
          <cell r="A726" t="str">
            <v>82296-3</v>
          </cell>
          <cell r="B726" t="str">
            <v>Apr'21</v>
          </cell>
          <cell r="C726" t="str">
            <v>N/C</v>
          </cell>
        </row>
        <row r="727">
          <cell r="A727" t="str">
            <v>82296-4</v>
          </cell>
          <cell r="B727" t="str">
            <v>Apr'21</v>
          </cell>
          <cell r="C727" t="str">
            <v>OK</v>
          </cell>
        </row>
        <row r="728">
          <cell r="A728" t="str">
            <v>82296-5</v>
          </cell>
          <cell r="B728" t="str">
            <v>Apr'21</v>
          </cell>
          <cell r="C728" t="str">
            <v>OK</v>
          </cell>
        </row>
        <row r="729">
          <cell r="A729" t="str">
            <v>82296-6</v>
          </cell>
          <cell r="B729" t="str">
            <v>Mar'21</v>
          </cell>
          <cell r="C729" t="str">
            <v>N/C</v>
          </cell>
        </row>
        <row r="730">
          <cell r="A730" t="str">
            <v>82296-7</v>
          </cell>
          <cell r="B730" t="str">
            <v>Mar'21</v>
          </cell>
          <cell r="C730" t="str">
            <v>N/C</v>
          </cell>
        </row>
        <row r="731">
          <cell r="A731" t="str">
            <v>83346-1</v>
          </cell>
          <cell r="B731" t="str">
            <v>Apr'21</v>
          </cell>
          <cell r="C731" t="str">
            <v>OK</v>
          </cell>
        </row>
        <row r="732">
          <cell r="A732" t="str">
            <v>83346-2</v>
          </cell>
          <cell r="B732" t="str">
            <v>Apr'21</v>
          </cell>
          <cell r="C732" t="str">
            <v>OK</v>
          </cell>
        </row>
        <row r="733">
          <cell r="A733" t="str">
            <v>82305-1</v>
          </cell>
          <cell r="B733" t="str">
            <v>Mar'21</v>
          </cell>
          <cell r="C733" t="str">
            <v>OK</v>
          </cell>
        </row>
        <row r="734">
          <cell r="A734" t="str">
            <v>82305-3</v>
          </cell>
          <cell r="B734" t="str">
            <v>Mar'21</v>
          </cell>
          <cell r="C734" t="str">
            <v>OK</v>
          </cell>
        </row>
        <row r="735">
          <cell r="A735" t="str">
            <v>82305-4</v>
          </cell>
          <cell r="B735" t="str">
            <v>Apr'21</v>
          </cell>
          <cell r="C735" t="str">
            <v>N/C</v>
          </cell>
        </row>
        <row r="736">
          <cell r="A736" t="str">
            <v>82305-5</v>
          </cell>
          <cell r="B736" t="str">
            <v>Apr'21</v>
          </cell>
          <cell r="C736" t="str">
            <v>N/C</v>
          </cell>
        </row>
        <row r="737">
          <cell r="A737" t="str">
            <v>82305-6</v>
          </cell>
          <cell r="B737" t="str">
            <v>Mar'21</v>
          </cell>
          <cell r="C737" t="str">
            <v>OK</v>
          </cell>
        </row>
        <row r="738">
          <cell r="A738" t="str">
            <v>82305-7</v>
          </cell>
          <cell r="B738" t="str">
            <v>Mar'21</v>
          </cell>
          <cell r="C738" t="str">
            <v>OK</v>
          </cell>
        </row>
        <row r="739">
          <cell r="A739" t="str">
            <v>75348-3</v>
          </cell>
          <cell r="B739" t="str">
            <v>Feb'21</v>
          </cell>
          <cell r="C739" t="str">
            <v>OK</v>
          </cell>
        </row>
        <row r="740">
          <cell r="A740" t="str">
            <v>75348-4</v>
          </cell>
          <cell r="B740" t="str">
            <v>Feb'21</v>
          </cell>
          <cell r="C740" t="str">
            <v>OK</v>
          </cell>
        </row>
        <row r="741">
          <cell r="A741" t="str">
            <v>75348-5</v>
          </cell>
          <cell r="B741" t="str">
            <v>Feb'21</v>
          </cell>
          <cell r="C741" t="str">
            <v>OK</v>
          </cell>
        </row>
        <row r="742">
          <cell r="A742" t="str">
            <v>83667-3</v>
          </cell>
          <cell r="B742" t="str">
            <v>Mar'21</v>
          </cell>
          <cell r="C742" t="str">
            <v>N/C</v>
          </cell>
        </row>
        <row r="743">
          <cell r="A743" t="str">
            <v>83667-4</v>
          </cell>
          <cell r="B743" t="str">
            <v>Mar'21</v>
          </cell>
          <cell r="C743" t="str">
            <v>N/C</v>
          </cell>
        </row>
        <row r="744">
          <cell r="A744" t="str">
            <v>65500-1</v>
          </cell>
          <cell r="B744" t="str">
            <v>Feb'21</v>
          </cell>
          <cell r="C744" t="str">
            <v>OK</v>
          </cell>
        </row>
        <row r="745">
          <cell r="A745" t="str">
            <v>74416-2</v>
          </cell>
          <cell r="B745" t="str">
            <v>Feb'21</v>
          </cell>
          <cell r="C745" t="str">
            <v>OK</v>
          </cell>
        </row>
        <row r="746">
          <cell r="A746" t="str">
            <v>83527-3</v>
          </cell>
          <cell r="B746" t="str">
            <v>Apr'21</v>
          </cell>
          <cell r="C746" t="str">
            <v>N/C</v>
          </cell>
        </row>
        <row r="747">
          <cell r="A747" t="str">
            <v>74416-3</v>
          </cell>
          <cell r="B747" t="str">
            <v>Feb'21</v>
          </cell>
          <cell r="C747" t="str">
            <v>OK</v>
          </cell>
        </row>
        <row r="748">
          <cell r="A748" t="str">
            <v>68626-2</v>
          </cell>
          <cell r="B748" t="str">
            <v>Feb'21</v>
          </cell>
          <cell r="C748" t="str">
            <v>OK</v>
          </cell>
        </row>
        <row r="749">
          <cell r="A749" t="str">
            <v>61641-1</v>
          </cell>
          <cell r="B749" t="str">
            <v>Dec'20</v>
          </cell>
          <cell r="C749" t="str">
            <v>OK</v>
          </cell>
        </row>
        <row r="750">
          <cell r="A750" t="str">
            <v>51025-2</v>
          </cell>
          <cell r="B750" t="str">
            <v>Dec'20</v>
          </cell>
          <cell r="C750" t="str">
            <v>OK</v>
          </cell>
        </row>
        <row r="751">
          <cell r="A751" t="str">
            <v>81984-1</v>
          </cell>
          <cell r="B751" t="str">
            <v>Feb'21</v>
          </cell>
          <cell r="C751" t="str">
            <v>OK</v>
          </cell>
        </row>
        <row r="752">
          <cell r="A752" t="str">
            <v>81536-1</v>
          </cell>
          <cell r="B752" t="str">
            <v>Feb'21</v>
          </cell>
          <cell r="C752" t="str">
            <v>OK</v>
          </cell>
        </row>
        <row r="753">
          <cell r="A753" t="str">
            <v>83574-2</v>
          </cell>
          <cell r="B753" t="str">
            <v>Mar'21</v>
          </cell>
          <cell r="C753" t="str">
            <v>OK</v>
          </cell>
        </row>
        <row r="754">
          <cell r="A754" t="str">
            <v>83624-1</v>
          </cell>
          <cell r="B754" t="str">
            <v>Mar'21</v>
          </cell>
          <cell r="C754" t="str">
            <v>N/C</v>
          </cell>
        </row>
        <row r="755">
          <cell r="A755" t="str">
            <v>83624-2</v>
          </cell>
          <cell r="B755" t="str">
            <v>Mar'21</v>
          </cell>
          <cell r="C755" t="str">
            <v>N/C</v>
          </cell>
        </row>
        <row r="756">
          <cell r="A756" t="str">
            <v>83624-3</v>
          </cell>
          <cell r="B756" t="str">
            <v>Mar'21</v>
          </cell>
          <cell r="C756" t="str">
            <v>N/C</v>
          </cell>
        </row>
        <row r="757">
          <cell r="A757" t="str">
            <v>83624-4</v>
          </cell>
          <cell r="B757" t="str">
            <v>Mar'21</v>
          </cell>
          <cell r="C757" t="str">
            <v>N/C</v>
          </cell>
        </row>
        <row r="758">
          <cell r="A758" t="str">
            <v>83624-5</v>
          </cell>
          <cell r="B758" t="str">
            <v>Mar'21</v>
          </cell>
          <cell r="C758" t="str">
            <v>N/C</v>
          </cell>
        </row>
        <row r="759">
          <cell r="A759" t="str">
            <v>82583-2</v>
          </cell>
          <cell r="B759" t="str">
            <v>Mar'21</v>
          </cell>
          <cell r="C759" t="str">
            <v>OK</v>
          </cell>
        </row>
        <row r="760">
          <cell r="A760" t="str">
            <v>81536-2</v>
          </cell>
          <cell r="B760" t="str">
            <v>Mar'21</v>
          </cell>
          <cell r="C760" t="str">
            <v>OK</v>
          </cell>
        </row>
        <row r="761">
          <cell r="A761" t="str">
            <v>83585-2</v>
          </cell>
          <cell r="B761" t="str">
            <v>Mar'21</v>
          </cell>
          <cell r="C761" t="str">
            <v>N/C</v>
          </cell>
        </row>
        <row r="762">
          <cell r="A762" t="str">
            <v>83527-1</v>
          </cell>
          <cell r="B762" t="str">
            <v>Mar'21</v>
          </cell>
          <cell r="C762" t="str">
            <v>N/C</v>
          </cell>
        </row>
        <row r="763">
          <cell r="A763" t="str">
            <v>83527-2</v>
          </cell>
          <cell r="B763" t="str">
            <v>Mar'21</v>
          </cell>
          <cell r="C763" t="str">
            <v>N/C</v>
          </cell>
        </row>
        <row r="764">
          <cell r="A764" t="str">
            <v>69741-4</v>
          </cell>
          <cell r="B764" t="str">
            <v>Mar'21</v>
          </cell>
          <cell r="C764" t="str">
            <v>N/C</v>
          </cell>
        </row>
        <row r="765">
          <cell r="A765" t="str">
            <v>80078-1</v>
          </cell>
          <cell r="B765" t="str">
            <v>Mar'21</v>
          </cell>
          <cell r="C765" t="str">
            <v>OK</v>
          </cell>
        </row>
        <row r="766">
          <cell r="A766" t="str">
            <v>65095-2</v>
          </cell>
          <cell r="B766" t="str">
            <v>Mar'21</v>
          </cell>
          <cell r="C766" t="str">
            <v>N/C</v>
          </cell>
        </row>
        <row r="767">
          <cell r="A767" t="str">
            <v>65095-3</v>
          </cell>
          <cell r="B767" t="str">
            <v>Mar'21</v>
          </cell>
          <cell r="C767" t="str">
            <v>N/C</v>
          </cell>
        </row>
        <row r="768">
          <cell r="A768" t="str">
            <v>55512-7</v>
          </cell>
          <cell r="B768" t="str">
            <v>Feb'21</v>
          </cell>
          <cell r="C768" t="str">
            <v>OK</v>
          </cell>
        </row>
        <row r="769">
          <cell r="A769" t="str">
            <v>53468-7</v>
          </cell>
          <cell r="B769" t="str">
            <v>Jan'21</v>
          </cell>
          <cell r="C769" t="str">
            <v>OK</v>
          </cell>
        </row>
        <row r="770">
          <cell r="A770" t="str">
            <v>75956-7</v>
          </cell>
          <cell r="B770" t="str">
            <v>Feb'21</v>
          </cell>
          <cell r="C770" t="str">
            <v>OK</v>
          </cell>
        </row>
        <row r="771">
          <cell r="A771" t="str">
            <v>75956-1</v>
          </cell>
          <cell r="B771" t="str">
            <v>Feb'21</v>
          </cell>
          <cell r="C771" t="str">
            <v>OK</v>
          </cell>
        </row>
        <row r="772">
          <cell r="A772" t="str">
            <v>68010-1</v>
          </cell>
          <cell r="B772" t="str">
            <v>Feb'21</v>
          </cell>
          <cell r="C772" t="str">
            <v>OK</v>
          </cell>
        </row>
        <row r="773">
          <cell r="A773" t="str">
            <v>80876-4</v>
          </cell>
          <cell r="B773" t="str">
            <v>Mar'21</v>
          </cell>
          <cell r="C773" t="str">
            <v>OK</v>
          </cell>
        </row>
        <row r="774">
          <cell r="A774" t="str">
            <v>80983-1</v>
          </cell>
          <cell r="B774" t="str">
            <v>Feb'21</v>
          </cell>
          <cell r="C774" t="str">
            <v>OK</v>
          </cell>
        </row>
        <row r="775">
          <cell r="A775" t="str">
            <v>59226-9</v>
          </cell>
          <cell r="B775" t="str">
            <v>Feb'21</v>
          </cell>
          <cell r="C775" t="str">
            <v>OK</v>
          </cell>
        </row>
        <row r="776">
          <cell r="A776" t="str">
            <v>60997-3</v>
          </cell>
          <cell r="B776" t="str">
            <v>Feb'21</v>
          </cell>
          <cell r="C776" t="str">
            <v>OK</v>
          </cell>
        </row>
        <row r="777">
          <cell r="A777" t="str">
            <v>60997-2</v>
          </cell>
          <cell r="B777" t="str">
            <v>Feb'21</v>
          </cell>
          <cell r="C777" t="str">
            <v>OK</v>
          </cell>
        </row>
        <row r="778">
          <cell r="A778" t="str">
            <v>83104-8</v>
          </cell>
          <cell r="B778" t="str">
            <v>Mar'21</v>
          </cell>
          <cell r="C778" t="str">
            <v>OK</v>
          </cell>
        </row>
        <row r="779">
          <cell r="A779" t="str">
            <v>71561-1</v>
          </cell>
          <cell r="B779" t="str">
            <v>Feb'21</v>
          </cell>
          <cell r="C779" t="str">
            <v>OK</v>
          </cell>
        </row>
        <row r="780">
          <cell r="A780" t="str">
            <v>69431-3</v>
          </cell>
          <cell r="B780" t="str">
            <v>Mar'21</v>
          </cell>
          <cell r="C780" t="str">
            <v>OK</v>
          </cell>
        </row>
        <row r="781">
          <cell r="A781" t="str">
            <v>77217-1</v>
          </cell>
          <cell r="B781" t="str">
            <v>Feb'21</v>
          </cell>
          <cell r="C781" t="str">
            <v>OK</v>
          </cell>
        </row>
        <row r="782">
          <cell r="A782" t="str">
            <v>75987-2</v>
          </cell>
          <cell r="B782" t="str">
            <v>Feb'21</v>
          </cell>
          <cell r="C782" t="str">
            <v>OK</v>
          </cell>
        </row>
        <row r="783">
          <cell r="A783" t="str">
            <v>54357-6</v>
          </cell>
          <cell r="B783" t="str">
            <v>Feb'21</v>
          </cell>
          <cell r="C783" t="str">
            <v>OK</v>
          </cell>
        </row>
        <row r="784">
          <cell r="A784" t="str">
            <v>76096-3</v>
          </cell>
          <cell r="B784" t="str">
            <v>Mar'21</v>
          </cell>
          <cell r="C784" t="str">
            <v>OK</v>
          </cell>
        </row>
        <row r="785">
          <cell r="A785" t="str">
            <v>79616-2</v>
          </cell>
          <cell r="B785" t="str">
            <v>Feb'21</v>
          </cell>
          <cell r="C785" t="str">
            <v>OK</v>
          </cell>
        </row>
        <row r="786">
          <cell r="A786" t="str">
            <v>77653-1</v>
          </cell>
          <cell r="B786" t="str">
            <v>Feb'21</v>
          </cell>
          <cell r="C786" t="str">
            <v>OK</v>
          </cell>
        </row>
        <row r="787">
          <cell r="A787" t="str">
            <v>83793-4</v>
          </cell>
          <cell r="B787" t="str">
            <v>Mar'21</v>
          </cell>
          <cell r="C787" t="str">
            <v>OK</v>
          </cell>
        </row>
        <row r="788">
          <cell r="A788" t="str">
            <v>77217-7</v>
          </cell>
          <cell r="B788" t="str">
            <v>Mar'21</v>
          </cell>
          <cell r="C788" t="str">
            <v>OK</v>
          </cell>
        </row>
        <row r="789">
          <cell r="A789" t="str">
            <v>80755-7</v>
          </cell>
          <cell r="B789" t="str">
            <v>Feb'21</v>
          </cell>
          <cell r="C789" t="str">
            <v>OK</v>
          </cell>
        </row>
        <row r="790">
          <cell r="A790" t="str">
            <v>77217-3</v>
          </cell>
          <cell r="B790" t="str">
            <v>Mar'21</v>
          </cell>
          <cell r="C790" t="str">
            <v>OK</v>
          </cell>
        </row>
        <row r="791">
          <cell r="A791" t="str">
            <v>83547-6</v>
          </cell>
          <cell r="B791" t="str">
            <v>Mar'21</v>
          </cell>
          <cell r="C791" t="str">
            <v>OK</v>
          </cell>
        </row>
        <row r="792">
          <cell r="A792" t="str">
            <v>69538-2</v>
          </cell>
          <cell r="B792" t="str">
            <v>Mar'21</v>
          </cell>
          <cell r="C792" t="str">
            <v>OK</v>
          </cell>
        </row>
        <row r="793">
          <cell r="A793" t="str">
            <v>75276-4</v>
          </cell>
          <cell r="B793" t="str">
            <v>Mar'21</v>
          </cell>
          <cell r="C793" t="str">
            <v>OK</v>
          </cell>
        </row>
        <row r="794">
          <cell r="A794" t="str">
            <v>79509-2</v>
          </cell>
          <cell r="B794" t="str">
            <v>Mar'21</v>
          </cell>
          <cell r="C794" t="str">
            <v>OK</v>
          </cell>
        </row>
        <row r="795">
          <cell r="A795" t="str">
            <v>84030-7</v>
          </cell>
          <cell r="B795" t="str">
            <v>Mar'21</v>
          </cell>
          <cell r="C795" t="str">
            <v>OK</v>
          </cell>
        </row>
        <row r="796">
          <cell r="A796" t="str">
            <v>84030-16</v>
          </cell>
          <cell r="B796" t="str">
            <v>Mar'21</v>
          </cell>
          <cell r="C796" t="str">
            <v>OK</v>
          </cell>
        </row>
        <row r="797">
          <cell r="A797" t="str">
            <v>83793-3</v>
          </cell>
          <cell r="B797" t="str">
            <v>Mar'21</v>
          </cell>
          <cell r="C797" t="str">
            <v>OK</v>
          </cell>
        </row>
        <row r="798">
          <cell r="A798" t="str">
            <v>82925-1</v>
          </cell>
          <cell r="B798" t="str">
            <v>Mar'21</v>
          </cell>
          <cell r="C798" t="str">
            <v>OK</v>
          </cell>
        </row>
        <row r="799">
          <cell r="A799" t="str">
            <v>76060-1</v>
          </cell>
          <cell r="B799" t="str">
            <v>Mar'21</v>
          </cell>
          <cell r="C799" t="str">
            <v>OK</v>
          </cell>
        </row>
        <row r="800">
          <cell r="A800" t="str">
            <v>75984-4</v>
          </cell>
          <cell r="B800" t="str">
            <v>Feb'21</v>
          </cell>
          <cell r="C800" t="str">
            <v>OK</v>
          </cell>
        </row>
        <row r="801">
          <cell r="A801" t="str">
            <v>62406-1</v>
          </cell>
          <cell r="B801" t="str">
            <v>Jan'21</v>
          </cell>
          <cell r="C801" t="str">
            <v>OK</v>
          </cell>
        </row>
        <row r="802">
          <cell r="A802" t="str">
            <v>61030-1</v>
          </cell>
          <cell r="B802" t="str">
            <v>Jan'21</v>
          </cell>
          <cell r="C802" t="str">
            <v>OK</v>
          </cell>
        </row>
        <row r="803">
          <cell r="A803" t="str">
            <v>75405-7</v>
          </cell>
          <cell r="B803" t="str">
            <v>Feb'21</v>
          </cell>
          <cell r="C803" t="str">
            <v>OK</v>
          </cell>
        </row>
        <row r="804">
          <cell r="A804" t="str">
            <v>75987-4</v>
          </cell>
          <cell r="B804" t="str">
            <v>Feb'21</v>
          </cell>
          <cell r="C804" t="str">
            <v>OK</v>
          </cell>
        </row>
        <row r="805">
          <cell r="A805" t="str">
            <v>74618-3</v>
          </cell>
          <cell r="B805" t="str">
            <v>Feb'21</v>
          </cell>
          <cell r="C805" t="str">
            <v>OK</v>
          </cell>
        </row>
        <row r="806">
          <cell r="A806" t="str">
            <v>80790-8</v>
          </cell>
          <cell r="B806" t="str">
            <v>Mar'21</v>
          </cell>
          <cell r="C806" t="str">
            <v>OK</v>
          </cell>
        </row>
        <row r="807">
          <cell r="A807" t="str">
            <v>81256-13</v>
          </cell>
          <cell r="B807" t="str">
            <v>Mar'21</v>
          </cell>
          <cell r="C807" t="str">
            <v>OK</v>
          </cell>
        </row>
        <row r="808">
          <cell r="A808" t="str">
            <v>81256-15</v>
          </cell>
          <cell r="B808" t="str">
            <v>Mar'21</v>
          </cell>
          <cell r="C808" t="str">
            <v>OK</v>
          </cell>
        </row>
        <row r="809">
          <cell r="A809" t="str">
            <v>81256-17</v>
          </cell>
          <cell r="B809" t="str">
            <v>Mar'21</v>
          </cell>
          <cell r="C809" t="str">
            <v>N/C</v>
          </cell>
        </row>
        <row r="810">
          <cell r="A810" t="str">
            <v>81109-4</v>
          </cell>
          <cell r="B810" t="str">
            <v>Mar'21</v>
          </cell>
          <cell r="C810" t="str">
            <v>OK</v>
          </cell>
        </row>
        <row r="811">
          <cell r="A811" t="str">
            <v>84735-1</v>
          </cell>
          <cell r="B811" t="str">
            <v>Mar'21</v>
          </cell>
          <cell r="C811" t="str">
            <v>N/C</v>
          </cell>
        </row>
        <row r="812">
          <cell r="A812" t="str">
            <v>77247-2</v>
          </cell>
          <cell r="B812" t="str">
            <v>Mar'21</v>
          </cell>
          <cell r="C812" t="str">
            <v>OK</v>
          </cell>
        </row>
        <row r="813">
          <cell r="A813" t="str">
            <v>81256-12</v>
          </cell>
          <cell r="B813" t="str">
            <v>Mar'21</v>
          </cell>
          <cell r="C813" t="str">
            <v>OK</v>
          </cell>
        </row>
        <row r="814">
          <cell r="A814" t="str">
            <v>84390-1</v>
          </cell>
          <cell r="B814" t="str">
            <v>Mar'21</v>
          </cell>
          <cell r="C814" t="str">
            <v>OK</v>
          </cell>
        </row>
        <row r="815">
          <cell r="A815" t="str">
            <v>84271-1</v>
          </cell>
          <cell r="B815" t="str">
            <v>Mar'21</v>
          </cell>
          <cell r="C815" t="str">
            <v>OK</v>
          </cell>
        </row>
        <row r="816">
          <cell r="A816" t="str">
            <v>84571-1</v>
          </cell>
          <cell r="B816" t="str">
            <v>Mar'21</v>
          </cell>
          <cell r="C816" t="str">
            <v>OK</v>
          </cell>
        </row>
        <row r="817">
          <cell r="A817" t="str">
            <v>84571-2</v>
          </cell>
          <cell r="B817" t="str">
            <v>Mar'21</v>
          </cell>
          <cell r="C817" t="str">
            <v>OK</v>
          </cell>
        </row>
        <row r="818">
          <cell r="A818" t="str">
            <v>84955-1</v>
          </cell>
          <cell r="B818" t="str">
            <v>Mar'21</v>
          </cell>
          <cell r="C818" t="str">
            <v>OK</v>
          </cell>
        </row>
        <row r="819">
          <cell r="A819" t="str">
            <v>84989-4</v>
          </cell>
          <cell r="B819" t="str">
            <v>Mar'21</v>
          </cell>
          <cell r="C819" t="str">
            <v>OK</v>
          </cell>
        </row>
        <row r="820">
          <cell r="A820" t="str">
            <v>84989-5</v>
          </cell>
          <cell r="B820" t="str">
            <v>Mar'21</v>
          </cell>
          <cell r="C820" t="str">
            <v>OK</v>
          </cell>
        </row>
        <row r="821">
          <cell r="A821" t="str">
            <v>84989-6</v>
          </cell>
          <cell r="B821" t="str">
            <v>Mar'21</v>
          </cell>
          <cell r="C821" t="str">
            <v>OK</v>
          </cell>
        </row>
        <row r="822">
          <cell r="A822" t="str">
            <v>85177-1</v>
          </cell>
          <cell r="B822" t="str">
            <v>Mar'21</v>
          </cell>
          <cell r="C822" t="str">
            <v>OK</v>
          </cell>
        </row>
        <row r="823">
          <cell r="A823" t="str">
            <v>85180-1</v>
          </cell>
          <cell r="B823" t="str">
            <v>Mar'21</v>
          </cell>
          <cell r="C823" t="str">
            <v>OK</v>
          </cell>
        </row>
        <row r="824">
          <cell r="A824" t="str">
            <v>85808-1</v>
          </cell>
          <cell r="B824" t="str">
            <v>Apr'21</v>
          </cell>
          <cell r="C824" t="str">
            <v>N/C</v>
          </cell>
        </row>
        <row r="825">
          <cell r="A825" t="str">
            <v>85809-1</v>
          </cell>
          <cell r="B825" t="str">
            <v>Mar'21</v>
          </cell>
          <cell r="C825" t="str">
            <v>OK</v>
          </cell>
        </row>
        <row r="826">
          <cell r="A826" t="str">
            <v>85811-1</v>
          </cell>
          <cell r="B826" t="str">
            <v>Apr'21</v>
          </cell>
          <cell r="C826" t="str">
            <v>N/C</v>
          </cell>
        </row>
        <row r="827">
          <cell r="A827" t="str">
            <v>86236-2</v>
          </cell>
          <cell r="B827" t="str">
            <v>Mar'21</v>
          </cell>
          <cell r="C827" t="str">
            <v>OK</v>
          </cell>
        </row>
        <row r="828">
          <cell r="A828" t="str">
            <v>86310-2</v>
          </cell>
          <cell r="B828" t="str">
            <v>Mar'21</v>
          </cell>
          <cell r="C828" t="str">
            <v>OK</v>
          </cell>
        </row>
        <row r="829">
          <cell r="A829" t="str">
            <v>86311-1</v>
          </cell>
          <cell r="B829" t="str">
            <v>Mar'21</v>
          </cell>
          <cell r="C829" t="str">
            <v>OK</v>
          </cell>
        </row>
        <row r="830">
          <cell r="A830" t="str">
            <v>86445-7</v>
          </cell>
          <cell r="B830" t="str">
            <v>Mar'21</v>
          </cell>
          <cell r="C830" t="str">
            <v>OK</v>
          </cell>
        </row>
        <row r="831">
          <cell r="A831" t="str">
            <v>61465-4</v>
          </cell>
          <cell r="B831" t="str">
            <v>Mar'21</v>
          </cell>
          <cell r="C831" t="str">
            <v>N/C</v>
          </cell>
        </row>
        <row r="832">
          <cell r="A832" t="str">
            <v>61134-15</v>
          </cell>
          <cell r="B832" t="str">
            <v>Mar'21</v>
          </cell>
          <cell r="C832" t="str">
            <v>OK</v>
          </cell>
        </row>
        <row r="833">
          <cell r="A833" t="str">
            <v>68010-8</v>
          </cell>
          <cell r="B833" t="str">
            <v>Jan'21</v>
          </cell>
          <cell r="C833" t="str">
            <v>OK</v>
          </cell>
        </row>
        <row r="834">
          <cell r="A834" t="str">
            <v>78034-2</v>
          </cell>
          <cell r="B834" t="str">
            <v>Feb'21</v>
          </cell>
          <cell r="C834" t="str">
            <v>OK</v>
          </cell>
        </row>
        <row r="835">
          <cell r="A835" t="str">
            <v>75797-1</v>
          </cell>
          <cell r="B835" t="str">
            <v>Feb'21</v>
          </cell>
          <cell r="C835" t="str">
            <v>OK</v>
          </cell>
        </row>
        <row r="836">
          <cell r="A836" t="str">
            <v>80980-1</v>
          </cell>
          <cell r="B836" t="str">
            <v>Mar'21</v>
          </cell>
          <cell r="C836" t="str">
            <v>OK</v>
          </cell>
        </row>
        <row r="837">
          <cell r="A837" t="str">
            <v>62413-1</v>
          </cell>
          <cell r="B837" t="str">
            <v>Jan'21</v>
          </cell>
          <cell r="C837" t="str">
            <v>OK</v>
          </cell>
        </row>
        <row r="838">
          <cell r="A838" t="str">
            <v>75990-2</v>
          </cell>
          <cell r="B838" t="str">
            <v>Feb'21</v>
          </cell>
          <cell r="C838" t="str">
            <v>OK</v>
          </cell>
        </row>
        <row r="839">
          <cell r="A839" t="str">
            <v>48262-6</v>
          </cell>
          <cell r="B839" t="str">
            <v>Feb'21</v>
          </cell>
          <cell r="C839" t="str">
            <v>OK</v>
          </cell>
        </row>
        <row r="840">
          <cell r="A840" t="str">
            <v>61801-7</v>
          </cell>
          <cell r="B840" t="str">
            <v>Mar'21</v>
          </cell>
          <cell r="C840" t="str">
            <v>OK</v>
          </cell>
        </row>
        <row r="841">
          <cell r="A841" t="str">
            <v>80876-3</v>
          </cell>
          <cell r="B841" t="str">
            <v>Mar'21</v>
          </cell>
          <cell r="C841" t="str">
            <v>OK</v>
          </cell>
        </row>
        <row r="842">
          <cell r="A842" t="str">
            <v>77408-1</v>
          </cell>
          <cell r="B842" t="str">
            <v>Mar'21</v>
          </cell>
          <cell r="C842" t="str">
            <v>OK</v>
          </cell>
        </row>
        <row r="843">
          <cell r="A843" t="str">
            <v>83141-9</v>
          </cell>
          <cell r="B843" t="str">
            <v>Mar'21</v>
          </cell>
          <cell r="C843" t="str">
            <v>OK</v>
          </cell>
        </row>
        <row r="844">
          <cell r="A844" t="str">
            <v>48262-7</v>
          </cell>
          <cell r="B844" t="str">
            <v>Jan'21</v>
          </cell>
          <cell r="C844" t="str">
            <v>OK</v>
          </cell>
        </row>
        <row r="845">
          <cell r="A845" t="str">
            <v>60996-13</v>
          </cell>
          <cell r="B845" t="str">
            <v>Dec'20</v>
          </cell>
          <cell r="C845" t="str">
            <v>OK</v>
          </cell>
        </row>
        <row r="846">
          <cell r="A846" t="str">
            <v>61801-5</v>
          </cell>
          <cell r="B846" t="str">
            <v>Feb'21</v>
          </cell>
          <cell r="C846" t="str">
            <v>OK</v>
          </cell>
        </row>
        <row r="847">
          <cell r="A847" t="str">
            <v>81366-1</v>
          </cell>
          <cell r="B847" t="str">
            <v>Mar'21</v>
          </cell>
          <cell r="C847" t="str">
            <v>OK</v>
          </cell>
        </row>
        <row r="848">
          <cell r="A848" t="str">
            <v>83134-7</v>
          </cell>
          <cell r="B848" t="str">
            <v>Mar'21</v>
          </cell>
          <cell r="C848" t="str">
            <v>OK</v>
          </cell>
        </row>
        <row r="849">
          <cell r="A849" t="str">
            <v>83134-10</v>
          </cell>
          <cell r="B849" t="str">
            <v>Mar'21</v>
          </cell>
          <cell r="C849" t="str">
            <v>OK</v>
          </cell>
        </row>
        <row r="850">
          <cell r="A850" t="str">
            <v>86445-8</v>
          </cell>
          <cell r="B850" t="str">
            <v>Mar'21</v>
          </cell>
          <cell r="C850" t="str">
            <v>OK</v>
          </cell>
        </row>
        <row r="851">
          <cell r="A851" t="str">
            <v>86454-6</v>
          </cell>
          <cell r="B851" t="str">
            <v>Mar'21</v>
          </cell>
          <cell r="C851" t="str">
            <v>OK</v>
          </cell>
        </row>
        <row r="852">
          <cell r="A852" t="str">
            <v>86754-1</v>
          </cell>
          <cell r="B852" t="str">
            <v>Mar'21</v>
          </cell>
          <cell r="C852" t="str">
            <v>OK</v>
          </cell>
        </row>
        <row r="853">
          <cell r="A853" t="str">
            <v>86914-4</v>
          </cell>
          <cell r="B853" t="str">
            <v>Mar'21</v>
          </cell>
          <cell r="C853" t="str">
            <v>OK</v>
          </cell>
        </row>
        <row r="854">
          <cell r="A854" t="str">
            <v>86885-4</v>
          </cell>
          <cell r="B854" t="str">
            <v>Mar'21</v>
          </cell>
          <cell r="C854" t="str">
            <v>OK</v>
          </cell>
        </row>
        <row r="855">
          <cell r="A855" t="str">
            <v>86888-1</v>
          </cell>
          <cell r="B855" t="str">
            <v>Mar'21</v>
          </cell>
          <cell r="C855" t="str">
            <v>OK</v>
          </cell>
        </row>
        <row r="856">
          <cell r="A856" t="str">
            <v>86908-3</v>
          </cell>
          <cell r="B856" t="str">
            <v>Mar'21</v>
          </cell>
          <cell r="C856" t="str">
            <v>OK</v>
          </cell>
        </row>
        <row r="857">
          <cell r="A857" t="str">
            <v>86891-2</v>
          </cell>
          <cell r="B857" t="str">
            <v>Mar'21</v>
          </cell>
          <cell r="C857" t="str">
            <v>OK</v>
          </cell>
        </row>
        <row r="858">
          <cell r="A858" t="str">
            <v>86894-2</v>
          </cell>
          <cell r="B858" t="str">
            <v>Mar'21</v>
          </cell>
          <cell r="C858" t="str">
            <v>OK</v>
          </cell>
        </row>
        <row r="859">
          <cell r="A859" t="str">
            <v>86898-1</v>
          </cell>
          <cell r="B859" t="str">
            <v>Mar'21</v>
          </cell>
          <cell r="C859" t="str">
            <v>OK</v>
          </cell>
        </row>
        <row r="860">
          <cell r="A860" t="str">
            <v>86898-2</v>
          </cell>
          <cell r="B860" t="str">
            <v>Mar'21</v>
          </cell>
          <cell r="C860" t="str">
            <v>OK</v>
          </cell>
        </row>
        <row r="861">
          <cell r="A861" t="str">
            <v>86898-3</v>
          </cell>
          <cell r="B861" t="str">
            <v>Mar'21</v>
          </cell>
          <cell r="C861" t="str">
            <v>OK</v>
          </cell>
        </row>
        <row r="862">
          <cell r="A862" t="str">
            <v>86629-2</v>
          </cell>
          <cell r="B862" t="str">
            <v>Apr'21</v>
          </cell>
          <cell r="C862" t="str">
            <v>N/C</v>
          </cell>
        </row>
        <row r="863">
          <cell r="A863" t="str">
            <v>86809-2</v>
          </cell>
          <cell r="B863" t="str">
            <v>Mar'21</v>
          </cell>
          <cell r="C863" t="str">
            <v>OK</v>
          </cell>
        </row>
        <row r="864">
          <cell r="A864" t="str">
            <v>85934-1</v>
          </cell>
          <cell r="B864" t="str">
            <v>Mar'21</v>
          </cell>
          <cell r="C864" t="str">
            <v>OK</v>
          </cell>
        </row>
        <row r="865">
          <cell r="A865" t="str">
            <v>84949-3</v>
          </cell>
          <cell r="B865" t="str">
            <v>Mar'21</v>
          </cell>
          <cell r="C865" t="str">
            <v>OK</v>
          </cell>
        </row>
        <row r="866">
          <cell r="A866" t="str">
            <v>62422-5</v>
          </cell>
          <cell r="B866" t="str">
            <v>Dec'20</v>
          </cell>
          <cell r="C866" t="str">
            <v>N/C</v>
          </cell>
        </row>
        <row r="867">
          <cell r="A867" t="str">
            <v>86200-1</v>
          </cell>
          <cell r="B867" t="str">
            <v>Mar'21</v>
          </cell>
          <cell r="C867" t="str">
            <v>OK</v>
          </cell>
        </row>
        <row r="868">
          <cell r="A868" t="str">
            <v>86200-2</v>
          </cell>
          <cell r="B868" t="str">
            <v>Mar'21</v>
          </cell>
          <cell r="C868" t="str">
            <v>OK</v>
          </cell>
        </row>
        <row r="869">
          <cell r="A869" t="str">
            <v>86206-1</v>
          </cell>
          <cell r="B869" t="str">
            <v>Mar'21</v>
          </cell>
          <cell r="C869" t="str">
            <v>OK</v>
          </cell>
        </row>
        <row r="870">
          <cell r="A870" t="str">
            <v>9514170154-1</v>
          </cell>
          <cell r="B870" t="str">
            <v>Mar'21</v>
          </cell>
          <cell r="C870" t="str">
            <v>N/C</v>
          </cell>
        </row>
        <row r="871">
          <cell r="A871" t="str">
            <v>48248-4</v>
          </cell>
          <cell r="B871" t="str">
            <v>Dec'20</v>
          </cell>
          <cell r="C871" t="str">
            <v>N/C</v>
          </cell>
        </row>
        <row r="872">
          <cell r="A872" t="str">
            <v>26033-1</v>
          </cell>
          <cell r="B872" t="str">
            <v>Nov'20</v>
          </cell>
          <cell r="C872" t="str">
            <v>OK</v>
          </cell>
        </row>
        <row r="873">
          <cell r="A873" t="str">
            <v>81109-5</v>
          </cell>
          <cell r="B873" t="str">
            <v>Mar'21</v>
          </cell>
          <cell r="C873" t="str">
            <v>OK</v>
          </cell>
        </row>
        <row r="874">
          <cell r="A874" t="str">
            <v>81109-6</v>
          </cell>
          <cell r="B874" t="str">
            <v>Mar'21</v>
          </cell>
          <cell r="C874" t="str">
            <v>OK</v>
          </cell>
        </row>
        <row r="875">
          <cell r="A875" t="str">
            <v>81109-7</v>
          </cell>
          <cell r="B875" t="str">
            <v>Mar'21</v>
          </cell>
          <cell r="C875" t="str">
            <v>OK</v>
          </cell>
        </row>
        <row r="876">
          <cell r="A876" t="str">
            <v>81109-8</v>
          </cell>
          <cell r="B876" t="str">
            <v>Mar'21</v>
          </cell>
          <cell r="C876" t="str">
            <v>OK</v>
          </cell>
        </row>
        <row r="877">
          <cell r="A877" t="str">
            <v>81109-9</v>
          </cell>
          <cell r="B877" t="str">
            <v>Mar'21</v>
          </cell>
          <cell r="C877" t="str">
            <v>N/C</v>
          </cell>
        </row>
        <row r="878">
          <cell r="A878" t="str">
            <v>83134-12</v>
          </cell>
          <cell r="B878" t="str">
            <v>Mar'21</v>
          </cell>
          <cell r="C878" t="str">
            <v>OK</v>
          </cell>
        </row>
        <row r="879">
          <cell r="A879" t="str">
            <v>74618-1</v>
          </cell>
          <cell r="B879" t="str">
            <v>Mar'21</v>
          </cell>
          <cell r="C879" t="str">
            <v>OK</v>
          </cell>
        </row>
        <row r="880">
          <cell r="A880" t="str">
            <v>84030-9</v>
          </cell>
          <cell r="B880" t="str">
            <v>Mar'21</v>
          </cell>
          <cell r="C880" t="str">
            <v>OK</v>
          </cell>
        </row>
        <row r="881">
          <cell r="A881" t="str">
            <v>80980-5</v>
          </cell>
          <cell r="B881" t="str">
            <v>Mar'21</v>
          </cell>
          <cell r="C881" t="str">
            <v>OK</v>
          </cell>
        </row>
        <row r="882">
          <cell r="A882" t="str">
            <v>80980-10</v>
          </cell>
          <cell r="B882" t="str">
            <v>Mar'21</v>
          </cell>
          <cell r="C882" t="str">
            <v>OK</v>
          </cell>
        </row>
        <row r="883">
          <cell r="A883" t="str">
            <v>83793-2</v>
          </cell>
          <cell r="B883" t="str">
            <v>Mar'21</v>
          </cell>
          <cell r="C883" t="str">
            <v>OK</v>
          </cell>
        </row>
        <row r="884">
          <cell r="A884" t="str">
            <v>83795-5</v>
          </cell>
          <cell r="B884" t="str">
            <v>Mar'21</v>
          </cell>
          <cell r="C884" t="str">
            <v>OK</v>
          </cell>
        </row>
        <row r="885">
          <cell r="A885" t="str">
            <v>84030-24</v>
          </cell>
          <cell r="B885" t="str">
            <v>Mar'21</v>
          </cell>
          <cell r="C885" t="str">
            <v>OK</v>
          </cell>
        </row>
        <row r="886">
          <cell r="A886" t="str">
            <v>84527-4</v>
          </cell>
          <cell r="B886" t="str">
            <v>Mar'21</v>
          </cell>
          <cell r="C886" t="str">
            <v>OK</v>
          </cell>
        </row>
        <row r="887">
          <cell r="A887" t="str">
            <v>84527-5</v>
          </cell>
          <cell r="B887" t="str">
            <v>Mar'21</v>
          </cell>
          <cell r="C887" t="str">
            <v>OK</v>
          </cell>
        </row>
        <row r="888">
          <cell r="A888" t="str">
            <v>80980-11</v>
          </cell>
          <cell r="B888" t="str">
            <v>Mar'21</v>
          </cell>
          <cell r="C888" t="str">
            <v>OK</v>
          </cell>
        </row>
        <row r="889">
          <cell r="A889" t="str">
            <v>48248-3</v>
          </cell>
          <cell r="B889" t="str">
            <v>Dec'20</v>
          </cell>
          <cell r="C889" t="str">
            <v>OK</v>
          </cell>
        </row>
        <row r="890">
          <cell r="A890" t="str">
            <v>73559-2</v>
          </cell>
          <cell r="B890" t="str">
            <v>Feb'21</v>
          </cell>
          <cell r="C890" t="str">
            <v>OK</v>
          </cell>
        </row>
        <row r="891">
          <cell r="A891" t="str">
            <v>76066-5</v>
          </cell>
          <cell r="B891" t="str">
            <v>Mar'21</v>
          </cell>
          <cell r="C891" t="str">
            <v>OK</v>
          </cell>
        </row>
        <row r="892">
          <cell r="A892" t="str">
            <v>73518-4</v>
          </cell>
          <cell r="B892" t="str">
            <v>Feb'21</v>
          </cell>
          <cell r="C892" t="str">
            <v>OK</v>
          </cell>
        </row>
        <row r="893">
          <cell r="A893" t="str">
            <v>84527-7</v>
          </cell>
          <cell r="B893" t="str">
            <v>Mar'21</v>
          </cell>
          <cell r="C893" t="str">
            <v>OK</v>
          </cell>
        </row>
        <row r="894">
          <cell r="A894" t="str">
            <v>70081-1</v>
          </cell>
          <cell r="B894" t="str">
            <v>Feb'21</v>
          </cell>
          <cell r="C894" t="str">
            <v>OK</v>
          </cell>
        </row>
        <row r="895">
          <cell r="A895" t="str">
            <v>74618-8</v>
          </cell>
          <cell r="B895" t="str">
            <v>Mar'21</v>
          </cell>
          <cell r="C895" t="str">
            <v>OK</v>
          </cell>
        </row>
        <row r="896">
          <cell r="A896" t="str">
            <v>73308-6</v>
          </cell>
          <cell r="B896" t="str">
            <v>Feb'21</v>
          </cell>
          <cell r="C896" t="str">
            <v>OK</v>
          </cell>
        </row>
        <row r="897">
          <cell r="A897" t="str">
            <v>73037-4</v>
          </cell>
          <cell r="B897" t="str">
            <v>Mar'21</v>
          </cell>
          <cell r="C897" t="str">
            <v>OK</v>
          </cell>
        </row>
        <row r="898">
          <cell r="A898" t="str">
            <v>73037-7</v>
          </cell>
          <cell r="B898" t="str">
            <v>Mar'21</v>
          </cell>
          <cell r="C898" t="str">
            <v>OK</v>
          </cell>
        </row>
        <row r="899">
          <cell r="A899" t="str">
            <v>74618-9</v>
          </cell>
          <cell r="B899" t="str">
            <v>Mar'21</v>
          </cell>
          <cell r="C899" t="str">
            <v>OK</v>
          </cell>
        </row>
        <row r="900">
          <cell r="A900" t="str">
            <v>75984-2</v>
          </cell>
          <cell r="B900" t="str">
            <v>Mar'21</v>
          </cell>
          <cell r="C900" t="str">
            <v>OK</v>
          </cell>
        </row>
        <row r="901">
          <cell r="A901" t="str">
            <v>81731-1</v>
          </cell>
          <cell r="B901" t="str">
            <v>Mar'21</v>
          </cell>
          <cell r="C901" t="str">
            <v>OK</v>
          </cell>
        </row>
        <row r="902">
          <cell r="A902" t="str">
            <v>81731-2</v>
          </cell>
          <cell r="B902" t="str">
            <v>Mar'21</v>
          </cell>
          <cell r="C902" t="str">
            <v>OK</v>
          </cell>
        </row>
        <row r="903">
          <cell r="A903" t="str">
            <v>74406-2</v>
          </cell>
          <cell r="B903" t="str">
            <v>Mar'21</v>
          </cell>
          <cell r="C903" t="str">
            <v>OK</v>
          </cell>
        </row>
        <row r="904">
          <cell r="A904" t="str">
            <v>74406-5</v>
          </cell>
          <cell r="B904" t="str">
            <v>Mar'21</v>
          </cell>
          <cell r="C904" t="str">
            <v>OK</v>
          </cell>
        </row>
        <row r="905">
          <cell r="A905" t="str">
            <v>74406-6</v>
          </cell>
          <cell r="B905" t="str">
            <v>Mar'21</v>
          </cell>
          <cell r="C905" t="str">
            <v>OK</v>
          </cell>
        </row>
        <row r="906">
          <cell r="A906" t="str">
            <v>71131-1</v>
          </cell>
          <cell r="B906" t="str">
            <v>Mar'21</v>
          </cell>
          <cell r="C906" t="str">
            <v>OK</v>
          </cell>
        </row>
        <row r="907">
          <cell r="A907" t="str">
            <v>75984-3</v>
          </cell>
          <cell r="B907" t="str">
            <v>Feb'21</v>
          </cell>
          <cell r="C907" t="str">
            <v>OK</v>
          </cell>
        </row>
        <row r="908">
          <cell r="A908" t="str">
            <v>84030-15</v>
          </cell>
          <cell r="B908" t="str">
            <v>Mar'21</v>
          </cell>
          <cell r="C908" t="str">
            <v>OK</v>
          </cell>
        </row>
        <row r="909">
          <cell r="A909" t="str">
            <v>59032-7</v>
          </cell>
          <cell r="B909" t="str">
            <v>Mar'21</v>
          </cell>
          <cell r="C909" t="str">
            <v>OK</v>
          </cell>
        </row>
        <row r="910">
          <cell r="A910" t="str">
            <v>61801-1</v>
          </cell>
          <cell r="B910" t="str">
            <v>Mar'21</v>
          </cell>
          <cell r="C910" t="str">
            <v>OK</v>
          </cell>
        </row>
        <row r="911">
          <cell r="A911" t="str">
            <v>83458-3</v>
          </cell>
          <cell r="B911" t="str">
            <v>Mar'21</v>
          </cell>
          <cell r="C911" t="str">
            <v>OK</v>
          </cell>
        </row>
        <row r="912">
          <cell r="A912" t="str">
            <v>83458-4</v>
          </cell>
          <cell r="B912" t="str">
            <v>Mar'21</v>
          </cell>
          <cell r="C912" t="str">
            <v>OK</v>
          </cell>
        </row>
        <row r="913">
          <cell r="A913" t="str">
            <v>83458-5</v>
          </cell>
          <cell r="B913" t="str">
            <v>Mar'21</v>
          </cell>
          <cell r="C913" t="str">
            <v>OK</v>
          </cell>
        </row>
        <row r="914">
          <cell r="A914" t="str">
            <v>75330-8</v>
          </cell>
          <cell r="B914" t="str">
            <v>Mar'21</v>
          </cell>
          <cell r="C914" t="str">
            <v>N/C</v>
          </cell>
        </row>
        <row r="915">
          <cell r="A915" t="str">
            <v>80876-9</v>
          </cell>
          <cell r="B915" t="str">
            <v>Mar'21</v>
          </cell>
          <cell r="C915" t="str">
            <v>OK</v>
          </cell>
        </row>
        <row r="916">
          <cell r="A916" t="str">
            <v>80876-10</v>
          </cell>
          <cell r="B916" t="str">
            <v>Mar'21</v>
          </cell>
          <cell r="C916" t="str">
            <v>OK</v>
          </cell>
        </row>
        <row r="917">
          <cell r="A917" t="str">
            <v>80876-12</v>
          </cell>
          <cell r="B917" t="str">
            <v>Mar'21</v>
          </cell>
          <cell r="C917" t="str">
            <v>OK</v>
          </cell>
        </row>
        <row r="918">
          <cell r="A918" t="str">
            <v>80876-15</v>
          </cell>
          <cell r="B918" t="str">
            <v>Mar'21</v>
          </cell>
          <cell r="C918" t="str">
            <v>OK</v>
          </cell>
        </row>
        <row r="919">
          <cell r="A919" t="str">
            <v>80876-16</v>
          </cell>
          <cell r="B919" t="str">
            <v>Mar'21</v>
          </cell>
          <cell r="C919" t="str">
            <v>OK</v>
          </cell>
        </row>
        <row r="920">
          <cell r="A920" t="str">
            <v>75737-3</v>
          </cell>
          <cell r="B920" t="str">
            <v>Mar'21</v>
          </cell>
          <cell r="C920" t="str">
            <v>OK</v>
          </cell>
        </row>
        <row r="921">
          <cell r="A921" t="str">
            <v>75737-6</v>
          </cell>
          <cell r="B921" t="str">
            <v>Mar'21</v>
          </cell>
          <cell r="C921" t="str">
            <v>OK</v>
          </cell>
        </row>
        <row r="922">
          <cell r="A922" t="str">
            <v>81509-1</v>
          </cell>
          <cell r="B922" t="str">
            <v>Mar'21</v>
          </cell>
          <cell r="C922" t="str">
            <v>OK</v>
          </cell>
        </row>
        <row r="923">
          <cell r="A923" t="str">
            <v>73071-1</v>
          </cell>
          <cell r="B923" t="str">
            <v>Mar'21</v>
          </cell>
          <cell r="C923" t="str">
            <v>N/C</v>
          </cell>
        </row>
        <row r="924">
          <cell r="A924" t="str">
            <v>73071-4</v>
          </cell>
          <cell r="B924" t="str">
            <v>Mar'21</v>
          </cell>
          <cell r="C924" t="str">
            <v>N/C</v>
          </cell>
        </row>
        <row r="925">
          <cell r="A925" t="str">
            <v>73071-12</v>
          </cell>
          <cell r="B925" t="str">
            <v>Mar'21</v>
          </cell>
          <cell r="C925" t="str">
            <v>OK</v>
          </cell>
        </row>
        <row r="926">
          <cell r="A926" t="str">
            <v>75602-3</v>
          </cell>
          <cell r="B926" t="str">
            <v>Mar'21</v>
          </cell>
          <cell r="C926" t="str">
            <v>OK</v>
          </cell>
        </row>
        <row r="927">
          <cell r="A927" t="str">
            <v>75602-4</v>
          </cell>
          <cell r="B927" t="str">
            <v>Mar'21</v>
          </cell>
          <cell r="C927" t="str">
            <v>OK</v>
          </cell>
        </row>
        <row r="928">
          <cell r="A928" t="str">
            <v>83105-1</v>
          </cell>
          <cell r="B928" t="str">
            <v>Mar'21</v>
          </cell>
          <cell r="C928" t="str">
            <v>OK</v>
          </cell>
        </row>
        <row r="929">
          <cell r="A929" t="str">
            <v>83105-2</v>
          </cell>
          <cell r="B929" t="str">
            <v>Mar'21</v>
          </cell>
          <cell r="C929" t="str">
            <v>OK</v>
          </cell>
        </row>
        <row r="930">
          <cell r="A930" t="str">
            <v>83107-1</v>
          </cell>
          <cell r="B930" t="str">
            <v>Mar'21</v>
          </cell>
          <cell r="C930" t="str">
            <v>OK</v>
          </cell>
        </row>
        <row r="931">
          <cell r="A931" t="str">
            <v>69852-3</v>
          </cell>
          <cell r="B931" t="str">
            <v>Feb'21</v>
          </cell>
          <cell r="C931" t="str">
            <v>OK</v>
          </cell>
        </row>
        <row r="932">
          <cell r="A932" t="str">
            <v>69852-4</v>
          </cell>
          <cell r="B932" t="str">
            <v>Feb'21</v>
          </cell>
          <cell r="C932" t="str">
            <v>OK</v>
          </cell>
        </row>
        <row r="933">
          <cell r="A933" t="str">
            <v>74654-1</v>
          </cell>
          <cell r="B933" t="str">
            <v>Mar'21</v>
          </cell>
          <cell r="C933" t="str">
            <v>OK</v>
          </cell>
        </row>
        <row r="934">
          <cell r="A934" t="str">
            <v>74654-2</v>
          </cell>
          <cell r="B934" t="str">
            <v>Mar'21</v>
          </cell>
          <cell r="C934" t="str">
            <v>OK</v>
          </cell>
        </row>
        <row r="935">
          <cell r="A935" t="str">
            <v>84030-3</v>
          </cell>
          <cell r="B935" t="str">
            <v>Mar'21</v>
          </cell>
          <cell r="C935" t="str">
            <v>OK</v>
          </cell>
        </row>
        <row r="936">
          <cell r="A936" t="str">
            <v>84030-4</v>
          </cell>
          <cell r="B936" t="str">
            <v>Mar'21</v>
          </cell>
          <cell r="C936" t="str">
            <v>OK</v>
          </cell>
        </row>
        <row r="937">
          <cell r="A937" t="str">
            <v>84030-5</v>
          </cell>
          <cell r="B937" t="str">
            <v>Mar'21</v>
          </cell>
          <cell r="C937" t="str">
            <v>OK</v>
          </cell>
        </row>
        <row r="938">
          <cell r="A938" t="str">
            <v>84097-6</v>
          </cell>
          <cell r="B938" t="str">
            <v>Mar'21</v>
          </cell>
          <cell r="C938" t="str">
            <v>OK</v>
          </cell>
        </row>
        <row r="939">
          <cell r="A939" t="str">
            <v>84527-2</v>
          </cell>
          <cell r="B939" t="str">
            <v>Mar'21</v>
          </cell>
          <cell r="C939" t="str">
            <v>OK</v>
          </cell>
        </row>
        <row r="940">
          <cell r="A940" t="str">
            <v>84527-3</v>
          </cell>
          <cell r="B940" t="str">
            <v>Mar'21</v>
          </cell>
          <cell r="C940" t="str">
            <v>OK</v>
          </cell>
        </row>
        <row r="941">
          <cell r="A941" t="str">
            <v>84527-6</v>
          </cell>
          <cell r="B941" t="str">
            <v>Mar'21</v>
          </cell>
          <cell r="C941" t="str">
            <v>OK</v>
          </cell>
        </row>
        <row r="942">
          <cell r="A942" t="str">
            <v>75792-1</v>
          </cell>
          <cell r="B942" t="str">
            <v>Mar'21</v>
          </cell>
          <cell r="C942" t="str">
            <v>N/C</v>
          </cell>
        </row>
        <row r="943">
          <cell r="A943" t="str">
            <v>73037-1</v>
          </cell>
          <cell r="B943" t="str">
            <v>Mar'21</v>
          </cell>
          <cell r="C943" t="str">
            <v>N/C</v>
          </cell>
        </row>
        <row r="944">
          <cell r="A944" t="str">
            <v>67391-9</v>
          </cell>
          <cell r="B944" t="str">
            <v>Mar'21</v>
          </cell>
          <cell r="C944" t="str">
            <v>N/C</v>
          </cell>
        </row>
        <row r="945">
          <cell r="A945" t="str">
            <v>67391-10</v>
          </cell>
          <cell r="B945" t="str">
            <v>Mar'21</v>
          </cell>
          <cell r="C945" t="str">
            <v>N/C</v>
          </cell>
        </row>
        <row r="946">
          <cell r="A946" t="str">
            <v>76876-1</v>
          </cell>
          <cell r="B946" t="str">
            <v>Mar'21</v>
          </cell>
          <cell r="C946" t="str">
            <v>N/C</v>
          </cell>
        </row>
        <row r="947">
          <cell r="A947" t="str">
            <v>76881-1</v>
          </cell>
          <cell r="B947" t="str">
            <v>Mar'21</v>
          </cell>
          <cell r="C947" t="str">
            <v>N/C</v>
          </cell>
        </row>
        <row r="948">
          <cell r="A948" t="str">
            <v>76882-1</v>
          </cell>
          <cell r="B948" t="str">
            <v>Mar'21</v>
          </cell>
          <cell r="C948" t="str">
            <v>N/C</v>
          </cell>
        </row>
        <row r="949">
          <cell r="A949" t="str">
            <v>76883-1</v>
          </cell>
          <cell r="B949" t="str">
            <v>Mar'21</v>
          </cell>
          <cell r="C949" t="str">
            <v>N/C</v>
          </cell>
        </row>
        <row r="950">
          <cell r="A950" t="str">
            <v>76884-1</v>
          </cell>
          <cell r="B950" t="str">
            <v>Mar'21</v>
          </cell>
          <cell r="C950" t="str">
            <v>N/C</v>
          </cell>
        </row>
        <row r="951">
          <cell r="A951" t="str">
            <v>83446-1</v>
          </cell>
          <cell r="B951" t="str">
            <v>Mar'21</v>
          </cell>
          <cell r="C951" t="str">
            <v>N/C</v>
          </cell>
        </row>
        <row r="952">
          <cell r="A952" t="str">
            <v>73555-3</v>
          </cell>
          <cell r="B952" t="str">
            <v>Feb'21</v>
          </cell>
          <cell r="C952" t="str">
            <v>OK</v>
          </cell>
        </row>
        <row r="953">
          <cell r="A953" t="str">
            <v>73547-2</v>
          </cell>
          <cell r="B953" t="str">
            <v>Feb'21</v>
          </cell>
          <cell r="C953" t="str">
            <v>OK</v>
          </cell>
        </row>
        <row r="954">
          <cell r="A954" t="str">
            <v>73555-4</v>
          </cell>
          <cell r="B954" t="str">
            <v>Feb'21</v>
          </cell>
          <cell r="C954" t="str">
            <v>OK</v>
          </cell>
        </row>
        <row r="955">
          <cell r="A955" t="str">
            <v>84030-2</v>
          </cell>
          <cell r="B955" t="str">
            <v>Mar'21</v>
          </cell>
          <cell r="C955" t="str">
            <v>OK</v>
          </cell>
        </row>
        <row r="956">
          <cell r="A956" t="str">
            <v>61749-8</v>
          </cell>
          <cell r="B956" t="str">
            <v>Dec'20</v>
          </cell>
          <cell r="C956" t="str">
            <v>N/C</v>
          </cell>
        </row>
        <row r="957">
          <cell r="A957" t="str">
            <v>69431-5</v>
          </cell>
          <cell r="B957" t="str">
            <v>Mar'21</v>
          </cell>
          <cell r="C957" t="str">
            <v>OK</v>
          </cell>
        </row>
        <row r="958">
          <cell r="A958" t="str">
            <v>75356-6</v>
          </cell>
          <cell r="B958" t="str">
            <v>Feb'21</v>
          </cell>
          <cell r="C958" t="str">
            <v>Ok</v>
          </cell>
        </row>
        <row r="959">
          <cell r="A959" t="str">
            <v>83134-4</v>
          </cell>
          <cell r="B959" t="str">
            <v>Mar'21</v>
          </cell>
          <cell r="C959" t="str">
            <v>OK</v>
          </cell>
        </row>
        <row r="960">
          <cell r="A960" t="str">
            <v>61052-1</v>
          </cell>
          <cell r="B960" t="str">
            <v>Dec'20</v>
          </cell>
          <cell r="C960" t="str">
            <v>OK</v>
          </cell>
        </row>
        <row r="961">
          <cell r="A961" t="str">
            <v>84097-9</v>
          </cell>
          <cell r="B961" t="str">
            <v>Mar'21</v>
          </cell>
          <cell r="C961" t="str">
            <v>Ok</v>
          </cell>
        </row>
        <row r="962">
          <cell r="A962" t="str">
            <v>63196-3</v>
          </cell>
          <cell r="B962" t="str">
            <v>Feb'21</v>
          </cell>
          <cell r="C962" t="str">
            <v>OK</v>
          </cell>
        </row>
        <row r="963">
          <cell r="A963" t="str">
            <v>51658-1</v>
          </cell>
          <cell r="B963" t="str">
            <v>Jan'21</v>
          </cell>
          <cell r="C963" t="str">
            <v>OK</v>
          </cell>
        </row>
        <row r="964">
          <cell r="A964" t="str">
            <v>9514150052-3</v>
          </cell>
          <cell r="B964" t="str">
            <v>Mar'21</v>
          </cell>
          <cell r="C964" t="str">
            <v>OK</v>
          </cell>
        </row>
        <row r="965">
          <cell r="A965" t="str">
            <v>69100-1</v>
          </cell>
          <cell r="B965" t="str">
            <v>Feb'21</v>
          </cell>
          <cell r="C965" t="str">
            <v>OK</v>
          </cell>
        </row>
        <row r="966">
          <cell r="A966" t="str">
            <v>83795-2</v>
          </cell>
          <cell r="B966" t="str">
            <v>Mar'21</v>
          </cell>
          <cell r="C966" t="str">
            <v>OK</v>
          </cell>
        </row>
        <row r="967">
          <cell r="A967" t="str">
            <v>76037-7</v>
          </cell>
          <cell r="B967" t="str">
            <v>Mar'21</v>
          </cell>
          <cell r="C967" t="str">
            <v>OK</v>
          </cell>
        </row>
        <row r="968">
          <cell r="A968" t="str">
            <v>61637-1</v>
          </cell>
          <cell r="B968" t="str">
            <v>Feb'21</v>
          </cell>
          <cell r="C968" t="str">
            <v>OK</v>
          </cell>
        </row>
        <row r="969">
          <cell r="A969" t="str">
            <v>76037-4</v>
          </cell>
          <cell r="B969" t="str">
            <v>Mar'21</v>
          </cell>
          <cell r="C969" t="str">
            <v>OK</v>
          </cell>
        </row>
        <row r="970">
          <cell r="A970" t="str">
            <v>76037-5</v>
          </cell>
          <cell r="B970" t="str">
            <v>Mar'21</v>
          </cell>
          <cell r="C970" t="str">
            <v>OK</v>
          </cell>
        </row>
        <row r="971">
          <cell r="A971" t="str">
            <v>68532-5</v>
          </cell>
          <cell r="B971" t="str">
            <v>Feb'21</v>
          </cell>
          <cell r="C971" t="str">
            <v>OK</v>
          </cell>
        </row>
        <row r="972">
          <cell r="A972" t="str">
            <v>55512-5</v>
          </cell>
          <cell r="B972" t="str">
            <v>Feb'21</v>
          </cell>
          <cell r="C972" t="str">
            <v>OK</v>
          </cell>
        </row>
        <row r="973">
          <cell r="A973" t="str">
            <v>81366-2</v>
          </cell>
          <cell r="B973" t="str">
            <v>Mar'21</v>
          </cell>
          <cell r="C973" t="str">
            <v>OK</v>
          </cell>
        </row>
        <row r="974">
          <cell r="A974" t="str">
            <v>83134-9</v>
          </cell>
          <cell r="B974" t="str">
            <v>Mar'21</v>
          </cell>
          <cell r="C974" t="str">
            <v>OK</v>
          </cell>
        </row>
        <row r="975">
          <cell r="A975" t="str">
            <v>84030-1</v>
          </cell>
          <cell r="B975" t="str">
            <v>Mar'21</v>
          </cell>
          <cell r="C975" t="str">
            <v>OK</v>
          </cell>
        </row>
        <row r="976">
          <cell r="A976" t="str">
            <v>75947-2</v>
          </cell>
          <cell r="B976" t="str">
            <v>Feb'21</v>
          </cell>
          <cell r="C976" t="str">
            <v>Ok</v>
          </cell>
        </row>
        <row r="977">
          <cell r="A977" t="str">
            <v>75405-2</v>
          </cell>
          <cell r="B977" t="str">
            <v>Mar'21</v>
          </cell>
          <cell r="C977" t="str">
            <v>OK</v>
          </cell>
        </row>
        <row r="978">
          <cell r="A978" t="str">
            <v>71131-2</v>
          </cell>
          <cell r="B978" t="str">
            <v>Mar'21</v>
          </cell>
          <cell r="C978" t="str">
            <v>OK</v>
          </cell>
        </row>
        <row r="979">
          <cell r="A979" t="str">
            <v>62528-5</v>
          </cell>
          <cell r="B979" t="str">
            <v>Jan'21</v>
          </cell>
          <cell r="C979" t="str">
            <v>Ok</v>
          </cell>
        </row>
        <row r="980">
          <cell r="A980" t="str">
            <v>83319-7</v>
          </cell>
          <cell r="B980" t="str">
            <v>Mar'21</v>
          </cell>
          <cell r="C980" t="str">
            <v>OK</v>
          </cell>
        </row>
        <row r="981">
          <cell r="A981" t="str">
            <v>60997-4</v>
          </cell>
          <cell r="B981" t="str">
            <v>Feb'21</v>
          </cell>
          <cell r="C981" t="str">
            <v>Ok</v>
          </cell>
        </row>
        <row r="982">
          <cell r="A982" t="str">
            <v>9514165257-1</v>
          </cell>
          <cell r="B982" t="str">
            <v>Mar'21</v>
          </cell>
          <cell r="C982" t="str">
            <v>OK</v>
          </cell>
        </row>
        <row r="983">
          <cell r="A983" t="str">
            <v>76301-5</v>
          </cell>
          <cell r="B983" t="str">
            <v>Feb'21</v>
          </cell>
          <cell r="C983" t="str">
            <v>OK</v>
          </cell>
        </row>
        <row r="984">
          <cell r="A984" t="str">
            <v>83134-1</v>
          </cell>
          <cell r="B984" t="str">
            <v>Mar'21</v>
          </cell>
          <cell r="C984" t="str">
            <v>OK</v>
          </cell>
        </row>
        <row r="985">
          <cell r="A985" t="str">
            <v>9514168403-1</v>
          </cell>
          <cell r="B985" t="str">
            <v>Mar'21</v>
          </cell>
          <cell r="C985" t="str">
            <v>OK</v>
          </cell>
        </row>
        <row r="986">
          <cell r="A986" t="str">
            <v>9514165257-2</v>
          </cell>
          <cell r="B986" t="str">
            <v>Mar'21</v>
          </cell>
          <cell r="C986" t="str">
            <v>OK</v>
          </cell>
        </row>
        <row r="987">
          <cell r="A987" t="str">
            <v>74200-1</v>
          </cell>
          <cell r="B987" t="str">
            <v>Mar'21</v>
          </cell>
          <cell r="C987" t="str">
            <v>OK</v>
          </cell>
        </row>
        <row r="988">
          <cell r="A988" t="str">
            <v>78015-2</v>
          </cell>
          <cell r="B988" t="str">
            <v>Feb'21</v>
          </cell>
          <cell r="C988" t="str">
            <v>OK</v>
          </cell>
        </row>
        <row r="989">
          <cell r="A989" t="str">
            <v>82097-2</v>
          </cell>
          <cell r="B989" t="str">
            <v>Mar'21</v>
          </cell>
          <cell r="C989" t="str">
            <v>OK</v>
          </cell>
        </row>
        <row r="990">
          <cell r="A990" t="str">
            <v>73518-8</v>
          </cell>
          <cell r="B990" t="str">
            <v>Feb'21</v>
          </cell>
          <cell r="C990" t="str">
            <v>OK</v>
          </cell>
        </row>
        <row r="991">
          <cell r="A991" t="str">
            <v>73071-7</v>
          </cell>
          <cell r="B991" t="str">
            <v>Mar'21</v>
          </cell>
          <cell r="C991" t="str">
            <v>OK</v>
          </cell>
        </row>
        <row r="992">
          <cell r="A992" t="str">
            <v>75737-2</v>
          </cell>
          <cell r="B992" t="str">
            <v>Mar'21</v>
          </cell>
          <cell r="C992" t="str">
            <v>OK</v>
          </cell>
        </row>
        <row r="993">
          <cell r="A993" t="str">
            <v>68593-9</v>
          </cell>
          <cell r="B993" t="str">
            <v>Feb'21</v>
          </cell>
          <cell r="C993" t="str">
            <v>OK</v>
          </cell>
        </row>
        <row r="994">
          <cell r="A994" t="str">
            <v>69098-2</v>
          </cell>
          <cell r="B994" t="str">
            <v>Feb'21</v>
          </cell>
          <cell r="C994" t="str">
            <v>OK</v>
          </cell>
        </row>
        <row r="995">
          <cell r="A995" t="str">
            <v>61340-8</v>
          </cell>
          <cell r="B995" t="str">
            <v>Feb'21</v>
          </cell>
          <cell r="C995" t="str">
            <v>OK</v>
          </cell>
        </row>
        <row r="996">
          <cell r="A996" t="str">
            <v>69852-2</v>
          </cell>
          <cell r="B996" t="str">
            <v>Feb'21</v>
          </cell>
          <cell r="C996" t="str">
            <v>OK</v>
          </cell>
        </row>
        <row r="997">
          <cell r="A997" t="str">
            <v>74618-4</v>
          </cell>
          <cell r="B997" t="str">
            <v>Mar'21</v>
          </cell>
          <cell r="C997" t="str">
            <v>OK</v>
          </cell>
        </row>
        <row r="998">
          <cell r="A998" t="str">
            <v>75989-3</v>
          </cell>
          <cell r="B998" t="str">
            <v>Mar'21</v>
          </cell>
          <cell r="C998" t="str">
            <v>OK</v>
          </cell>
        </row>
        <row r="999">
          <cell r="A999" t="str">
            <v>9514150052-2</v>
          </cell>
          <cell r="B999" t="str">
            <v>Mar'21</v>
          </cell>
          <cell r="C999" t="str">
            <v>OK</v>
          </cell>
        </row>
        <row r="1000">
          <cell r="A1000" t="str">
            <v>72057-15</v>
          </cell>
          <cell r="B1000" t="str">
            <v>Mar'21</v>
          </cell>
          <cell r="C1000" t="str">
            <v>OK</v>
          </cell>
        </row>
        <row r="1001">
          <cell r="A1001" t="str">
            <v>73547-10</v>
          </cell>
          <cell r="B1001" t="str">
            <v>Feb'21</v>
          </cell>
          <cell r="C1001" t="str">
            <v>OK</v>
          </cell>
        </row>
        <row r="1002">
          <cell r="A1002" t="str">
            <v>61235-8</v>
          </cell>
          <cell r="B1002" t="str">
            <v>Feb'21</v>
          </cell>
          <cell r="C1002" t="str">
            <v>OK</v>
          </cell>
        </row>
        <row r="1003">
          <cell r="A1003" t="str">
            <v>76066-6</v>
          </cell>
          <cell r="B1003" t="str">
            <v>Mar'21</v>
          </cell>
          <cell r="C1003" t="str">
            <v>N/C</v>
          </cell>
        </row>
        <row r="1004">
          <cell r="A1004" t="str">
            <v>80876-11</v>
          </cell>
          <cell r="B1004" t="str">
            <v>Mar'21</v>
          </cell>
          <cell r="C1004" t="str">
            <v>N/C</v>
          </cell>
        </row>
        <row r="1005">
          <cell r="A1005" t="str">
            <v>80876-13</v>
          </cell>
          <cell r="B1005" t="str">
            <v>Mar'21</v>
          </cell>
          <cell r="C1005" t="str">
            <v>N/C</v>
          </cell>
        </row>
        <row r="1006">
          <cell r="A1006" t="str">
            <v>9514168403-3</v>
          </cell>
          <cell r="B1006" t="str">
            <v>Mar'21</v>
          </cell>
          <cell r="C1006" t="str">
            <v>OK</v>
          </cell>
        </row>
        <row r="1007">
          <cell r="A1007" t="str">
            <v>75987-1</v>
          </cell>
          <cell r="B1007" t="str">
            <v>Mar'21</v>
          </cell>
          <cell r="C1007" t="str">
            <v>N/C</v>
          </cell>
        </row>
        <row r="1008">
          <cell r="A1008" t="str">
            <v>75987-7</v>
          </cell>
          <cell r="B1008" t="str">
            <v>Mar'21</v>
          </cell>
          <cell r="C1008" t="str">
            <v>N/C</v>
          </cell>
        </row>
        <row r="1009">
          <cell r="A1009" t="str">
            <v>59521-1</v>
          </cell>
          <cell r="B1009" t="str">
            <v>Feb'21</v>
          </cell>
          <cell r="C1009" t="str">
            <v>OK</v>
          </cell>
        </row>
        <row r="1010">
          <cell r="A1010" t="str">
            <v>75276-8</v>
          </cell>
          <cell r="B1010" t="str">
            <v>Feb'21</v>
          </cell>
          <cell r="C1010" t="str">
            <v>OK</v>
          </cell>
        </row>
        <row r="1011">
          <cell r="A1011" t="str">
            <v>61235-7</v>
          </cell>
          <cell r="B1011" t="str">
            <v>Feb'21</v>
          </cell>
          <cell r="C1011" t="str">
            <v>OK</v>
          </cell>
        </row>
        <row r="1012">
          <cell r="A1012" t="str">
            <v>73071-13</v>
          </cell>
          <cell r="B1012" t="str">
            <v>Mar'21</v>
          </cell>
          <cell r="C1012" t="str">
            <v>OK</v>
          </cell>
        </row>
        <row r="1013">
          <cell r="A1013" t="str">
            <v>62837-1</v>
          </cell>
          <cell r="B1013" t="str">
            <v>Jan'21</v>
          </cell>
          <cell r="C1013" t="str">
            <v>OK</v>
          </cell>
        </row>
        <row r="1014">
          <cell r="A1014" t="str">
            <v>73547-8</v>
          </cell>
          <cell r="B1014" t="str">
            <v>Feb'21</v>
          </cell>
          <cell r="C1014" t="str">
            <v>OK</v>
          </cell>
        </row>
        <row r="1015">
          <cell r="A1015" t="str">
            <v>73518-1</v>
          </cell>
          <cell r="B1015" t="str">
            <v>Feb'21</v>
          </cell>
          <cell r="C1015" t="str">
            <v>OK</v>
          </cell>
        </row>
        <row r="1016">
          <cell r="A1016" t="str">
            <v>75984-1</v>
          </cell>
          <cell r="B1016" t="str">
            <v>Mar'21</v>
          </cell>
          <cell r="C1016" t="str">
            <v>N/C</v>
          </cell>
        </row>
        <row r="1017">
          <cell r="A1017" t="str">
            <v>76020-1</v>
          </cell>
          <cell r="B1017" t="str">
            <v>Mar'21</v>
          </cell>
          <cell r="C1017" t="str">
            <v>OK</v>
          </cell>
        </row>
        <row r="1018">
          <cell r="A1018" t="str">
            <v>76098-2</v>
          </cell>
          <cell r="B1018" t="str">
            <v>Mar'21</v>
          </cell>
          <cell r="C1018" t="str">
            <v>OK</v>
          </cell>
        </row>
        <row r="1019">
          <cell r="A1019" t="str">
            <v>76020-3</v>
          </cell>
          <cell r="B1019" t="str">
            <v>Mar'21</v>
          </cell>
          <cell r="C1019" t="str">
            <v>OK</v>
          </cell>
        </row>
        <row r="1020">
          <cell r="A1020" t="str">
            <v>80876-7</v>
          </cell>
          <cell r="B1020" t="str">
            <v>Mar'21</v>
          </cell>
          <cell r="C1020" t="str">
            <v>OK</v>
          </cell>
        </row>
        <row r="1021">
          <cell r="A1021" t="str">
            <v>70677-1</v>
          </cell>
          <cell r="B1021" t="str">
            <v>Feb'21</v>
          </cell>
          <cell r="C1021" t="str">
            <v>OK</v>
          </cell>
        </row>
        <row r="1022">
          <cell r="A1022" t="str">
            <v>62387-5</v>
          </cell>
          <cell r="B1022" t="str">
            <v>Jan'21</v>
          </cell>
          <cell r="C1022" t="str">
            <v>OK</v>
          </cell>
        </row>
        <row r="1023">
          <cell r="A1023" t="str">
            <v>61430-1</v>
          </cell>
          <cell r="B1023" t="str">
            <v>Dec'20</v>
          </cell>
          <cell r="C1023" t="str">
            <v>OK</v>
          </cell>
        </row>
        <row r="1024">
          <cell r="A1024" t="str">
            <v>80876-8</v>
          </cell>
          <cell r="B1024" t="str">
            <v>Mar'21</v>
          </cell>
          <cell r="C1024" t="str">
            <v>OK</v>
          </cell>
        </row>
        <row r="1025">
          <cell r="A1025" t="str">
            <v>73518-14</v>
          </cell>
          <cell r="B1025" t="str">
            <v>Feb'21</v>
          </cell>
          <cell r="C1025" t="str">
            <v>OK</v>
          </cell>
        </row>
        <row r="1026">
          <cell r="A1026" t="str">
            <v>82097-3</v>
          </cell>
          <cell r="B1026" t="str">
            <v>Mar'21</v>
          </cell>
          <cell r="C1026" t="str">
            <v>N/C</v>
          </cell>
        </row>
        <row r="1027">
          <cell r="A1027" t="str">
            <v>82097-4</v>
          </cell>
          <cell r="B1027" t="str">
            <v>Mar'21</v>
          </cell>
          <cell r="C1027" t="str">
            <v>N/C</v>
          </cell>
        </row>
        <row r="1028">
          <cell r="A1028" t="str">
            <v>70556-1</v>
          </cell>
          <cell r="B1028" t="str">
            <v>Mar'21</v>
          </cell>
          <cell r="C1028" t="str">
            <v>N/C</v>
          </cell>
        </row>
        <row r="1029">
          <cell r="A1029" t="str">
            <v>80281-4</v>
          </cell>
          <cell r="B1029" t="str">
            <v>Jan'21</v>
          </cell>
          <cell r="C1029" t="str">
            <v>N/C</v>
          </cell>
        </row>
        <row r="1030">
          <cell r="A1030" t="str">
            <v>84527-1</v>
          </cell>
          <cell r="B1030" t="str">
            <v>Mar'21</v>
          </cell>
          <cell r="C1030" t="str">
            <v>N/C</v>
          </cell>
        </row>
        <row r="1031">
          <cell r="A1031" t="str">
            <v>69451-6</v>
          </cell>
          <cell r="B1031" t="str">
            <v>Mar'21</v>
          </cell>
          <cell r="C1031" t="str">
            <v>OK</v>
          </cell>
        </row>
        <row r="1032">
          <cell r="A1032" t="str">
            <v>78021-1</v>
          </cell>
          <cell r="B1032" t="str">
            <v>Feb'21</v>
          </cell>
          <cell r="C1032" t="str">
            <v>OK</v>
          </cell>
        </row>
        <row r="1033">
          <cell r="A1033" t="str">
            <v>75603-3</v>
          </cell>
          <cell r="B1033" t="str">
            <v>Feb'21</v>
          </cell>
          <cell r="C1033" t="str">
            <v>OK</v>
          </cell>
        </row>
        <row r="1034">
          <cell r="A1034" t="str">
            <v>9514165455-1</v>
          </cell>
          <cell r="B1034" t="str">
            <v>Mar'21</v>
          </cell>
          <cell r="C1034" t="str">
            <v>OK</v>
          </cell>
        </row>
        <row r="1035">
          <cell r="A1035" t="str">
            <v>9514160756-1</v>
          </cell>
          <cell r="B1035" t="str">
            <v>Mar'21</v>
          </cell>
          <cell r="C1035" t="str">
            <v>OK</v>
          </cell>
        </row>
        <row r="1036">
          <cell r="A1036" t="str">
            <v>9514160756-2</v>
          </cell>
          <cell r="B1036" t="str">
            <v>Mar'21</v>
          </cell>
          <cell r="C1036" t="str">
            <v>OK</v>
          </cell>
        </row>
        <row r="1037">
          <cell r="A1037" t="str">
            <v>9514160756-3</v>
          </cell>
          <cell r="B1037" t="str">
            <v>Mar'21</v>
          </cell>
          <cell r="C1037" t="str">
            <v>OK</v>
          </cell>
        </row>
        <row r="1038">
          <cell r="A1038" t="str">
            <v>9514160890-1</v>
          </cell>
          <cell r="B1038" t="str">
            <v>Mar'21</v>
          </cell>
          <cell r="C1038" t="str">
            <v>OK</v>
          </cell>
        </row>
        <row r="1039">
          <cell r="A1039" t="str">
            <v>9514160890-2</v>
          </cell>
          <cell r="B1039" t="str">
            <v>Mar'21</v>
          </cell>
          <cell r="C1039" t="str">
            <v>OK</v>
          </cell>
        </row>
        <row r="1040">
          <cell r="A1040" t="str">
            <v>68072-4</v>
          </cell>
          <cell r="B1040" t="str">
            <v>Feb'21</v>
          </cell>
          <cell r="C1040" t="str">
            <v>OK</v>
          </cell>
        </row>
        <row r="1041">
          <cell r="A1041" t="str">
            <v>77979-1</v>
          </cell>
          <cell r="B1041" t="str">
            <v>Feb'21</v>
          </cell>
          <cell r="C1041" t="str">
            <v>OK</v>
          </cell>
        </row>
        <row r="1042">
          <cell r="A1042" t="str">
            <v>73037-3</v>
          </cell>
          <cell r="B1042" t="str">
            <v>Mar'21</v>
          </cell>
          <cell r="C1042" t="str">
            <v>OK</v>
          </cell>
        </row>
        <row r="1043">
          <cell r="A1043" t="str">
            <v>76019-3</v>
          </cell>
          <cell r="B1043" t="str">
            <v>Feb'21</v>
          </cell>
          <cell r="C1043" t="str">
            <v>OK</v>
          </cell>
        </row>
        <row r="1044">
          <cell r="A1044" t="str">
            <v>73071-2</v>
          </cell>
          <cell r="B1044" t="str">
            <v>Mar'21</v>
          </cell>
          <cell r="C1044" t="str">
            <v>OK</v>
          </cell>
        </row>
        <row r="1045">
          <cell r="A1045" t="str">
            <v>55512-3</v>
          </cell>
          <cell r="B1045" t="str">
            <v>Feb'21</v>
          </cell>
          <cell r="C1045" t="str">
            <v>OK</v>
          </cell>
        </row>
        <row r="1046">
          <cell r="A1046" t="str">
            <v>76958-10</v>
          </cell>
          <cell r="B1046" t="str">
            <v>Mar'21</v>
          </cell>
          <cell r="C1046" t="str">
            <v>OK</v>
          </cell>
        </row>
        <row r="1047">
          <cell r="A1047" t="str">
            <v>85376-4</v>
          </cell>
          <cell r="B1047" t="str">
            <v>Feb'21</v>
          </cell>
          <cell r="C1047" t="str">
            <v>OK</v>
          </cell>
        </row>
        <row r="1048">
          <cell r="A1048" t="str">
            <v>76324-2</v>
          </cell>
          <cell r="B1048" t="str">
            <v>Feb'21</v>
          </cell>
          <cell r="C1048" t="str">
            <v>OK</v>
          </cell>
        </row>
        <row r="1049">
          <cell r="A1049" t="str">
            <v>72334-1</v>
          </cell>
          <cell r="B1049" t="str">
            <v>Feb'21</v>
          </cell>
          <cell r="C1049" t="str">
            <v>OK</v>
          </cell>
        </row>
        <row r="1050">
          <cell r="A1050" t="str">
            <v>76279-2</v>
          </cell>
          <cell r="B1050" t="str">
            <v>Feb'21</v>
          </cell>
          <cell r="C1050" t="str">
            <v>OK</v>
          </cell>
        </row>
        <row r="1051">
          <cell r="A1051" t="str">
            <v>76279-3</v>
          </cell>
          <cell r="B1051" t="str">
            <v>Feb'21</v>
          </cell>
          <cell r="C1051" t="str">
            <v>OK</v>
          </cell>
        </row>
        <row r="1052">
          <cell r="A1052" t="str">
            <v>68698-5</v>
          </cell>
          <cell r="B1052" t="str">
            <v>Jan'21</v>
          </cell>
          <cell r="C1052" t="str">
            <v>OK</v>
          </cell>
        </row>
        <row r="1053">
          <cell r="A1053" t="str">
            <v>68698-6</v>
          </cell>
          <cell r="B1053" t="str">
            <v>Jan'21</v>
          </cell>
          <cell r="C1053" t="str">
            <v>OK</v>
          </cell>
        </row>
        <row r="1054">
          <cell r="A1054" t="str">
            <v>68596-2</v>
          </cell>
          <cell r="B1054" t="str">
            <v>Jan'21</v>
          </cell>
          <cell r="C1054" t="str">
            <v>OK</v>
          </cell>
        </row>
        <row r="1055">
          <cell r="A1055" t="str">
            <v>72958-6</v>
          </cell>
          <cell r="B1055" t="str">
            <v>Feb'21</v>
          </cell>
          <cell r="C1055" t="str">
            <v>OK</v>
          </cell>
        </row>
        <row r="1056">
          <cell r="A1056" t="str">
            <v>80790-10</v>
          </cell>
          <cell r="B1056" t="str">
            <v>Mar'21</v>
          </cell>
          <cell r="C1056" t="str">
            <v>OK</v>
          </cell>
        </row>
        <row r="1057">
          <cell r="A1057" t="str">
            <v>80790-11</v>
          </cell>
          <cell r="B1057" t="str">
            <v>Mar'21</v>
          </cell>
          <cell r="C1057" t="str">
            <v>N/C</v>
          </cell>
        </row>
        <row r="1058">
          <cell r="A1058" t="str">
            <v>81256-21</v>
          </cell>
          <cell r="B1058" t="str">
            <v>Mar'21</v>
          </cell>
          <cell r="C1058" t="str">
            <v>OK</v>
          </cell>
        </row>
        <row r="1059">
          <cell r="A1059" t="str">
            <v>73037-5</v>
          </cell>
          <cell r="B1059" t="str">
            <v>Mar'21</v>
          </cell>
          <cell r="C1059" t="str">
            <v>OK</v>
          </cell>
        </row>
        <row r="1060">
          <cell r="A1060" t="str">
            <v>75602-1</v>
          </cell>
          <cell r="B1060" t="str">
            <v>Mar'21</v>
          </cell>
          <cell r="C1060" t="str">
            <v>OK</v>
          </cell>
        </row>
        <row r="1061">
          <cell r="A1061" t="str">
            <v>73547-9</v>
          </cell>
          <cell r="B1061" t="str">
            <v>Feb'21</v>
          </cell>
          <cell r="C1061" t="str">
            <v>OK</v>
          </cell>
        </row>
        <row r="1062">
          <cell r="A1062" t="str">
            <v>80876-14</v>
          </cell>
          <cell r="B1062" t="str">
            <v>Mar'21</v>
          </cell>
          <cell r="C1062" t="str">
            <v>OK</v>
          </cell>
        </row>
        <row r="1063">
          <cell r="A1063" t="str">
            <v>83419-1</v>
          </cell>
          <cell r="B1063" t="str">
            <v>Mar'21</v>
          </cell>
          <cell r="C1063" t="str">
            <v>N/C</v>
          </cell>
        </row>
        <row r="1064">
          <cell r="A1064" t="str">
            <v>65095-8</v>
          </cell>
          <cell r="B1064" t="str">
            <v>Feb'21</v>
          </cell>
          <cell r="C1064" t="str">
            <v>OK</v>
          </cell>
        </row>
        <row r="1065">
          <cell r="A1065" t="str">
            <v>73071-9</v>
          </cell>
          <cell r="B1065" t="str">
            <v>Mar'21</v>
          </cell>
          <cell r="C1065" t="str">
            <v>OK</v>
          </cell>
        </row>
        <row r="1066">
          <cell r="A1066" t="str">
            <v>80980-8</v>
          </cell>
          <cell r="B1066" t="str">
            <v>Mar'21</v>
          </cell>
          <cell r="C1066" t="str">
            <v>OK</v>
          </cell>
        </row>
        <row r="1067">
          <cell r="A1067" t="str">
            <v>80980-9</v>
          </cell>
          <cell r="B1067" t="str">
            <v>Mar'21</v>
          </cell>
          <cell r="C1067" t="str">
            <v>OK</v>
          </cell>
        </row>
        <row r="1068">
          <cell r="A1068" t="str">
            <v>70077-2</v>
          </cell>
          <cell r="B1068" t="str">
            <v>Mar'21</v>
          </cell>
          <cell r="C1068" t="str">
            <v>OK</v>
          </cell>
        </row>
        <row r="1069">
          <cell r="A1069" t="str">
            <v>84030-6</v>
          </cell>
          <cell r="B1069" t="str">
            <v>Mar'21</v>
          </cell>
          <cell r="C1069" t="str">
            <v>N/C</v>
          </cell>
        </row>
        <row r="1070">
          <cell r="A1070" t="str">
            <v>80985-1</v>
          </cell>
          <cell r="B1070" t="str">
            <v>Mar'21</v>
          </cell>
          <cell r="C1070" t="str">
            <v>OK</v>
          </cell>
        </row>
        <row r="1071">
          <cell r="A1071" t="str">
            <v>80985-2</v>
          </cell>
          <cell r="B1071" t="str">
            <v>Mar'21</v>
          </cell>
          <cell r="C1071" t="str">
            <v>OK</v>
          </cell>
        </row>
        <row r="1072">
          <cell r="A1072" t="str">
            <v>80985-3</v>
          </cell>
          <cell r="B1072" t="str">
            <v>Mar'21</v>
          </cell>
          <cell r="C1072" t="str">
            <v>OK</v>
          </cell>
        </row>
        <row r="1073">
          <cell r="A1073" t="str">
            <v>80985-4</v>
          </cell>
          <cell r="B1073" t="str">
            <v>Mar'21</v>
          </cell>
          <cell r="C1073" t="str">
            <v>OK</v>
          </cell>
        </row>
        <row r="1074">
          <cell r="A1074" t="str">
            <v>80985-6</v>
          </cell>
          <cell r="B1074" t="str">
            <v>Mar'21</v>
          </cell>
          <cell r="C1074" t="str">
            <v>OK</v>
          </cell>
        </row>
        <row r="1075">
          <cell r="A1075" t="str">
            <v>84030-23</v>
          </cell>
          <cell r="B1075" t="str">
            <v>Mar'21</v>
          </cell>
          <cell r="C1075" t="str">
            <v>OK</v>
          </cell>
        </row>
        <row r="1076">
          <cell r="A1076" t="str">
            <v>56204-3</v>
          </cell>
          <cell r="B1076" t="str">
            <v>Feb'21</v>
          </cell>
          <cell r="C1076" t="str">
            <v>N/C</v>
          </cell>
        </row>
        <row r="1077">
          <cell r="A1077" t="str">
            <v>69852-1</v>
          </cell>
          <cell r="B1077" t="str">
            <v>Feb'21</v>
          </cell>
          <cell r="C1077" t="str">
            <v>OK</v>
          </cell>
        </row>
        <row r="1078">
          <cell r="A1078" t="str">
            <v>65095-7</v>
          </cell>
          <cell r="B1078" t="str">
            <v>Feb'21</v>
          </cell>
          <cell r="C1078" t="str">
            <v>OK</v>
          </cell>
        </row>
        <row r="1079">
          <cell r="A1079" t="str">
            <v>75237-1</v>
          </cell>
          <cell r="B1079" t="str">
            <v>Feb'21</v>
          </cell>
          <cell r="C1079" t="str">
            <v>OK</v>
          </cell>
        </row>
        <row r="1080">
          <cell r="A1080" t="str">
            <v>83448-1</v>
          </cell>
          <cell r="B1080" t="str">
            <v>Mar'21</v>
          </cell>
          <cell r="C1080" t="str">
            <v>N/C</v>
          </cell>
        </row>
        <row r="1081">
          <cell r="A1081" t="str">
            <v>84030-18</v>
          </cell>
          <cell r="B1081" t="str">
            <v>Mar'21</v>
          </cell>
          <cell r="C1081" t="str">
            <v>OK</v>
          </cell>
        </row>
        <row r="1082">
          <cell r="A1082" t="str">
            <v>76536-2</v>
          </cell>
          <cell r="B1082" t="str">
            <v>Feb'21</v>
          </cell>
          <cell r="C1082" t="str">
            <v>OK</v>
          </cell>
        </row>
        <row r="1083">
          <cell r="A1083" t="str">
            <v>73518-11</v>
          </cell>
          <cell r="B1083" t="str">
            <v>Feb'21</v>
          </cell>
          <cell r="C1083" t="str">
            <v>OK</v>
          </cell>
        </row>
        <row r="1084">
          <cell r="A1084" t="str">
            <v>72018-4</v>
          </cell>
          <cell r="B1084" t="str">
            <v>Mar'21</v>
          </cell>
          <cell r="C1084" t="str">
            <v>OK</v>
          </cell>
        </row>
        <row r="1085">
          <cell r="A1085" t="str">
            <v>81756-1</v>
          </cell>
          <cell r="B1085" t="str">
            <v>Mar'21</v>
          </cell>
          <cell r="C1085" t="str">
            <v>N/C</v>
          </cell>
        </row>
        <row r="1086">
          <cell r="A1086" t="str">
            <v>73518-12</v>
          </cell>
          <cell r="B1086" t="str">
            <v>Feb'21</v>
          </cell>
          <cell r="C1086" t="str">
            <v>OK</v>
          </cell>
        </row>
        <row r="1087">
          <cell r="A1087" t="str">
            <v>74889-1</v>
          </cell>
          <cell r="B1087" t="str">
            <v>Feb'21</v>
          </cell>
          <cell r="C1087" t="str">
            <v>OK</v>
          </cell>
        </row>
        <row r="1088">
          <cell r="A1088" t="str">
            <v>74889-2</v>
          </cell>
          <cell r="B1088" t="str">
            <v>Feb'21</v>
          </cell>
          <cell r="C1088" t="str">
            <v>OK</v>
          </cell>
        </row>
        <row r="1089">
          <cell r="A1089" t="str">
            <v>47065-1</v>
          </cell>
          <cell r="B1089" t="str">
            <v>Jan'21</v>
          </cell>
          <cell r="C1089" t="str">
            <v>OK</v>
          </cell>
        </row>
        <row r="1090">
          <cell r="A1090" t="str">
            <v>75663-2</v>
          </cell>
          <cell r="B1090" t="str">
            <v>Feb'21</v>
          </cell>
          <cell r="C1090" t="str">
            <v>N/C</v>
          </cell>
        </row>
        <row r="1091">
          <cell r="A1091" t="str">
            <v>75663-3</v>
          </cell>
          <cell r="B1091" t="str">
            <v>Feb'21</v>
          </cell>
          <cell r="C1091" t="str">
            <v>OK</v>
          </cell>
        </row>
        <row r="1092">
          <cell r="A1092" t="str">
            <v>83144-1</v>
          </cell>
          <cell r="B1092" t="str">
            <v>Mar'21</v>
          </cell>
          <cell r="C1092" t="str">
            <v>OK</v>
          </cell>
        </row>
        <row r="1093">
          <cell r="A1093" t="str">
            <v>74560-1</v>
          </cell>
          <cell r="B1093" t="str">
            <v>Feb'21</v>
          </cell>
          <cell r="C1093" t="str">
            <v>OK</v>
          </cell>
        </row>
        <row r="1094">
          <cell r="A1094" t="str">
            <v>83144-2</v>
          </cell>
          <cell r="B1094" t="str">
            <v>Mar'21</v>
          </cell>
          <cell r="C1094" t="str">
            <v>OK</v>
          </cell>
        </row>
        <row r="1095">
          <cell r="A1095" t="str">
            <v>80876-1</v>
          </cell>
          <cell r="B1095" t="str">
            <v>Mar'21</v>
          </cell>
          <cell r="C1095" t="str">
            <v>OK</v>
          </cell>
        </row>
        <row r="1096">
          <cell r="A1096" t="str">
            <v>78373-1</v>
          </cell>
          <cell r="B1096" t="str">
            <v>Feb'21</v>
          </cell>
          <cell r="C1096" t="str">
            <v>OK</v>
          </cell>
        </row>
        <row r="1097">
          <cell r="A1097" t="str">
            <v>79277-1</v>
          </cell>
          <cell r="B1097" t="str">
            <v>Mar'21</v>
          </cell>
          <cell r="C1097" t="str">
            <v>OK</v>
          </cell>
        </row>
        <row r="1098">
          <cell r="A1098" t="str">
            <v>79507-1</v>
          </cell>
          <cell r="B1098" t="str">
            <v>Feb'21</v>
          </cell>
          <cell r="C1098" t="str">
            <v>OK</v>
          </cell>
        </row>
        <row r="1099">
          <cell r="A1099" t="str">
            <v>83458-2</v>
          </cell>
          <cell r="B1099" t="str">
            <v>Mar'21</v>
          </cell>
          <cell r="C1099" t="str">
            <v>OK</v>
          </cell>
        </row>
        <row r="1100">
          <cell r="A1100" t="str">
            <v>67391-3</v>
          </cell>
          <cell r="B1100" t="str">
            <v>Mar'21</v>
          </cell>
          <cell r="C1100" t="str">
            <v>OK</v>
          </cell>
        </row>
        <row r="1101">
          <cell r="A1101" t="str">
            <v>58721-5</v>
          </cell>
          <cell r="B1101" t="str">
            <v>Feb'21</v>
          </cell>
          <cell r="C1101" t="str">
            <v>OK</v>
          </cell>
        </row>
        <row r="1102">
          <cell r="A1102" t="str">
            <v>80280-1</v>
          </cell>
          <cell r="B1102" t="str">
            <v>Mar'21</v>
          </cell>
          <cell r="C1102" t="str">
            <v>N/C</v>
          </cell>
        </row>
        <row r="1103">
          <cell r="A1103" t="str">
            <v>61220-1</v>
          </cell>
          <cell r="B1103" t="str">
            <v>Feb'21</v>
          </cell>
          <cell r="C1103" t="str">
            <v>OK</v>
          </cell>
        </row>
        <row r="1104">
          <cell r="A1104" t="str">
            <v>81370-3</v>
          </cell>
          <cell r="B1104" t="str">
            <v>Feb'21</v>
          </cell>
          <cell r="C1104" t="str">
            <v>OK</v>
          </cell>
        </row>
        <row r="1105">
          <cell r="A1105" t="str">
            <v>81370-6</v>
          </cell>
          <cell r="B1105" t="str">
            <v>Feb'21</v>
          </cell>
          <cell r="C1105" t="str">
            <v>OK</v>
          </cell>
        </row>
        <row r="1106">
          <cell r="A1106" t="str">
            <v>80980-7</v>
          </cell>
          <cell r="B1106" t="str">
            <v>Mar'21</v>
          </cell>
          <cell r="C1106" t="str">
            <v>OK</v>
          </cell>
        </row>
        <row r="1107">
          <cell r="A1107" t="str">
            <v>82100-1</v>
          </cell>
          <cell r="B1107" t="str">
            <v>Feb'21</v>
          </cell>
          <cell r="C1107" t="str">
            <v>OK</v>
          </cell>
        </row>
        <row r="1108">
          <cell r="A1108" t="str">
            <v>81256-23</v>
          </cell>
          <cell r="B1108" t="str">
            <v>Mar'21</v>
          </cell>
          <cell r="C1108" t="str">
            <v>OK</v>
          </cell>
        </row>
        <row r="1109">
          <cell r="A1109" t="str">
            <v>9514170186-1</v>
          </cell>
          <cell r="B1109" t="str">
            <v>Mar'21</v>
          </cell>
          <cell r="C1109" t="str">
            <v>OK</v>
          </cell>
        </row>
        <row r="1110">
          <cell r="A1110" t="str">
            <v>9514170186-2</v>
          </cell>
          <cell r="B1110" t="str">
            <v>Mar'21</v>
          </cell>
          <cell r="C1110" t="str">
            <v>OK</v>
          </cell>
        </row>
        <row r="1111">
          <cell r="A1111" t="str">
            <v>81256-24</v>
          </cell>
          <cell r="B1111" t="str">
            <v>Mar'21</v>
          </cell>
          <cell r="C1111" t="str">
            <v>OK</v>
          </cell>
        </row>
        <row r="1112">
          <cell r="A1112" t="str">
            <v>85376-2</v>
          </cell>
          <cell r="B1112" t="str">
            <v>Feb'21</v>
          </cell>
          <cell r="C1112" t="str">
            <v>OK</v>
          </cell>
        </row>
        <row r="1113">
          <cell r="A1113" t="str">
            <v>80179-1</v>
          </cell>
          <cell r="B1113" t="str">
            <v>Feb'21</v>
          </cell>
          <cell r="C1113" t="str">
            <v>OK</v>
          </cell>
        </row>
        <row r="1114">
          <cell r="A1114" t="str">
            <v>75963-6</v>
          </cell>
          <cell r="B1114" t="str">
            <v>Feb'21</v>
          </cell>
          <cell r="C1114" t="str">
            <v>OK</v>
          </cell>
        </row>
        <row r="1115">
          <cell r="A1115" t="str">
            <v>73522-6</v>
          </cell>
          <cell r="B1115" t="str">
            <v>Feb'21</v>
          </cell>
          <cell r="C1115" t="str">
            <v>OK</v>
          </cell>
        </row>
        <row r="1116">
          <cell r="A1116" t="str">
            <v>73522-7</v>
          </cell>
          <cell r="B1116" t="str">
            <v>Feb'21</v>
          </cell>
          <cell r="C1116" t="str">
            <v>OK</v>
          </cell>
        </row>
        <row r="1117">
          <cell r="A1117" t="str">
            <v>75963-3</v>
          </cell>
          <cell r="B1117" t="str">
            <v>Feb'21</v>
          </cell>
          <cell r="C1117" t="str">
            <v>OK</v>
          </cell>
        </row>
        <row r="1118">
          <cell r="A1118" t="str">
            <v>60999-1</v>
          </cell>
          <cell r="B1118" t="str">
            <v>Feb'21</v>
          </cell>
          <cell r="C1118" t="str">
            <v>OK</v>
          </cell>
        </row>
        <row r="1119">
          <cell r="A1119" t="str">
            <v>62603-1</v>
          </cell>
          <cell r="B1119" t="str">
            <v>Jan'21</v>
          </cell>
          <cell r="C1119" t="str">
            <v>OK</v>
          </cell>
        </row>
        <row r="1120">
          <cell r="A1120" t="str">
            <v>62330-5</v>
          </cell>
          <cell r="B1120" t="str">
            <v>Jan'21</v>
          </cell>
          <cell r="C1120" t="str">
            <v>OK</v>
          </cell>
        </row>
        <row r="1121">
          <cell r="A1121" t="str">
            <v>80539-1</v>
          </cell>
          <cell r="B1121" t="str">
            <v>Feb'21</v>
          </cell>
          <cell r="C1121" t="str">
            <v>OK</v>
          </cell>
        </row>
        <row r="1122">
          <cell r="A1122" t="str">
            <v>81256-25</v>
          </cell>
          <cell r="B1122" t="str">
            <v>Mar'21</v>
          </cell>
          <cell r="C1122" t="str">
            <v>OK</v>
          </cell>
        </row>
        <row r="1123">
          <cell r="A1123" t="str">
            <v>65161-3</v>
          </cell>
          <cell r="B1123" t="str">
            <v>Mar'21</v>
          </cell>
          <cell r="C1123" t="str">
            <v>N/C</v>
          </cell>
        </row>
        <row r="1124">
          <cell r="A1124" t="str">
            <v>81256-26</v>
          </cell>
          <cell r="B1124" t="str">
            <v>Mar'21</v>
          </cell>
          <cell r="C1124" t="str">
            <v>OK</v>
          </cell>
        </row>
        <row r="1125">
          <cell r="A1125" t="str">
            <v>81256-27</v>
          </cell>
          <cell r="B1125" t="str">
            <v>Mar'21</v>
          </cell>
          <cell r="C1125" t="str">
            <v>OK</v>
          </cell>
        </row>
        <row r="1126">
          <cell r="A1126" t="str">
            <v>68830-2</v>
          </cell>
          <cell r="B1126" t="str">
            <v>Mar'21</v>
          </cell>
          <cell r="C1126" t="str">
            <v>OK</v>
          </cell>
        </row>
        <row r="1127">
          <cell r="A1127" t="str">
            <v>81256-28</v>
          </cell>
          <cell r="B1127" t="str">
            <v>Mar'21</v>
          </cell>
          <cell r="C1127" t="str">
            <v>OK</v>
          </cell>
        </row>
        <row r="1128">
          <cell r="A1128" t="str">
            <v>72018-2</v>
          </cell>
          <cell r="B1128" t="str">
            <v>Apr'21</v>
          </cell>
          <cell r="C1128" t="str">
            <v>N/C</v>
          </cell>
        </row>
        <row r="1129">
          <cell r="A1129" t="str">
            <v>81256-29</v>
          </cell>
          <cell r="B1129" t="str">
            <v>Mar'21</v>
          </cell>
          <cell r="C1129" t="str">
            <v>OK</v>
          </cell>
        </row>
        <row r="1130">
          <cell r="A1130" t="str">
            <v>84753-1</v>
          </cell>
          <cell r="B1130" t="str">
            <v>Mar'21</v>
          </cell>
          <cell r="C1130" t="str">
            <v>OK</v>
          </cell>
        </row>
        <row r="1131">
          <cell r="A1131" t="str">
            <v>84754-1</v>
          </cell>
          <cell r="B1131" t="str">
            <v>Mar'21</v>
          </cell>
          <cell r="C1131" t="str">
            <v>OK</v>
          </cell>
        </row>
        <row r="1132">
          <cell r="A1132" t="str">
            <v>64150-3</v>
          </cell>
          <cell r="B1132" t="str">
            <v>Mar'21</v>
          </cell>
          <cell r="C1132" t="str">
            <v>OK</v>
          </cell>
        </row>
        <row r="1133">
          <cell r="A1133" t="str">
            <v>85177-2</v>
          </cell>
          <cell r="B1133" t="str">
            <v>Mar'21</v>
          </cell>
          <cell r="C1133" t="str">
            <v>OK</v>
          </cell>
        </row>
        <row r="1134">
          <cell r="A1134" t="str">
            <v>86888-2</v>
          </cell>
          <cell r="B1134" t="str">
            <v>Mar'21</v>
          </cell>
          <cell r="C1134" t="str">
            <v>OK</v>
          </cell>
        </row>
        <row r="1135">
          <cell r="A1135" t="str">
            <v>81768-1</v>
          </cell>
          <cell r="B1135" t="str">
            <v>Mar'21</v>
          </cell>
          <cell r="C1135" t="str">
            <v>OK</v>
          </cell>
        </row>
        <row r="1136">
          <cell r="A1136" t="str">
            <v>82899-1</v>
          </cell>
          <cell r="B1136" t="str">
            <v>Mar'21</v>
          </cell>
          <cell r="C1136" t="str">
            <v>OK</v>
          </cell>
        </row>
        <row r="1137">
          <cell r="A1137" t="str">
            <v>86694-9</v>
          </cell>
          <cell r="B1137" t="str">
            <v>Mar'21</v>
          </cell>
          <cell r="C1137" t="str">
            <v>OK</v>
          </cell>
        </row>
        <row r="1138">
          <cell r="A1138" t="str">
            <v>86694-10</v>
          </cell>
          <cell r="B1138" t="str">
            <v>Mar'21</v>
          </cell>
          <cell r="C1138" t="str">
            <v>OK</v>
          </cell>
        </row>
        <row r="1139">
          <cell r="A1139" t="str">
            <v>86694-11</v>
          </cell>
          <cell r="B1139" t="str">
            <v>Mar'21</v>
          </cell>
          <cell r="C1139" t="str">
            <v>OK</v>
          </cell>
        </row>
        <row r="1140">
          <cell r="A1140" t="str">
            <v>86694-26</v>
          </cell>
          <cell r="B1140" t="str">
            <v>Mar'21</v>
          </cell>
          <cell r="C1140" t="str">
            <v>OK</v>
          </cell>
        </row>
        <row r="1141">
          <cell r="A1141" t="str">
            <v>84764-1</v>
          </cell>
          <cell r="B1141" t="str">
            <v>Mar'21</v>
          </cell>
          <cell r="C1141" t="str">
            <v>N/C</v>
          </cell>
        </row>
        <row r="1142">
          <cell r="A1142" t="str">
            <v>84764-2</v>
          </cell>
          <cell r="B1142" t="str">
            <v>Mar'21</v>
          </cell>
          <cell r="C1142" t="str">
            <v>N/C</v>
          </cell>
        </row>
        <row r="1143">
          <cell r="A1143" t="str">
            <v>84764-3</v>
          </cell>
          <cell r="B1143" t="str">
            <v>Mar'21</v>
          </cell>
          <cell r="C1143" t="str">
            <v>N/C</v>
          </cell>
        </row>
        <row r="1144">
          <cell r="A1144" t="str">
            <v>86625-9</v>
          </cell>
          <cell r="B1144" t="str">
            <v>Mar'21</v>
          </cell>
          <cell r="C1144" t="str">
            <v>OK</v>
          </cell>
        </row>
        <row r="1145">
          <cell r="A1145" t="str">
            <v>86625-10</v>
          </cell>
          <cell r="B1145" t="str">
            <v>Mar'21</v>
          </cell>
          <cell r="C1145" t="str">
            <v>OK</v>
          </cell>
        </row>
        <row r="1146">
          <cell r="A1146" t="str">
            <v>84662-1</v>
          </cell>
          <cell r="B1146" t="str">
            <v>Apr'21</v>
          </cell>
          <cell r="C1146" t="str">
            <v>N/C</v>
          </cell>
        </row>
        <row r="1147">
          <cell r="A1147" t="str">
            <v>84667-1</v>
          </cell>
          <cell r="B1147" t="str">
            <v>Mar'21</v>
          </cell>
          <cell r="C1147" t="str">
            <v>OK</v>
          </cell>
        </row>
        <row r="1148">
          <cell r="A1148" t="str">
            <v>84669-1</v>
          </cell>
          <cell r="B1148" t="str">
            <v>Mar'21</v>
          </cell>
          <cell r="C1148" t="str">
            <v>OK</v>
          </cell>
        </row>
        <row r="1149">
          <cell r="A1149" t="str">
            <v>86625-11</v>
          </cell>
          <cell r="B1149" t="str">
            <v>Mar'21</v>
          </cell>
          <cell r="C1149" t="str">
            <v>OK</v>
          </cell>
        </row>
        <row r="1150">
          <cell r="A1150" t="str">
            <v>86626-6</v>
          </cell>
          <cell r="B1150" t="str">
            <v>Mar'21</v>
          </cell>
          <cell r="C1150" t="str">
            <v>OK</v>
          </cell>
        </row>
        <row r="1151">
          <cell r="A1151" t="str">
            <v>48248-1</v>
          </cell>
          <cell r="B1151" t="str">
            <v>Dec'20</v>
          </cell>
          <cell r="C1151" t="str">
            <v>OK</v>
          </cell>
        </row>
        <row r="1152">
          <cell r="A1152" t="str">
            <v>63492-9</v>
          </cell>
          <cell r="B1152" t="str">
            <v>Dec'20</v>
          </cell>
          <cell r="C1152" t="str">
            <v>OK</v>
          </cell>
        </row>
        <row r="1153">
          <cell r="A1153" t="str">
            <v>63492-11</v>
          </cell>
          <cell r="B1153" t="str">
            <v>Dec'20</v>
          </cell>
          <cell r="C1153" t="str">
            <v>OK</v>
          </cell>
        </row>
        <row r="1154">
          <cell r="A1154" t="str">
            <v>68393-24</v>
          </cell>
          <cell r="B1154" t="str">
            <v>Jan'21</v>
          </cell>
          <cell r="C1154" t="str">
            <v>OK</v>
          </cell>
        </row>
        <row r="1155">
          <cell r="A1155" t="str">
            <v>68076-15</v>
          </cell>
          <cell r="B1155" t="str">
            <v>Jan'21</v>
          </cell>
          <cell r="C1155" t="str">
            <v>OK</v>
          </cell>
        </row>
        <row r="1156">
          <cell r="A1156" t="str">
            <v>84989-7</v>
          </cell>
          <cell r="B1156" t="str">
            <v>Mar'21</v>
          </cell>
          <cell r="C1156" t="str">
            <v>OK</v>
          </cell>
        </row>
        <row r="1157">
          <cell r="A1157" t="str">
            <v>75929-25</v>
          </cell>
          <cell r="B1157" t="str">
            <v>Feb'21</v>
          </cell>
          <cell r="C1157" t="str">
            <v>OK</v>
          </cell>
        </row>
        <row r="1158">
          <cell r="A1158" t="str">
            <v>75929-26</v>
          </cell>
          <cell r="B1158" t="str">
            <v>Feb'21</v>
          </cell>
          <cell r="C1158" t="str">
            <v>OK</v>
          </cell>
        </row>
        <row r="1159">
          <cell r="A1159" t="str">
            <v>73948-7</v>
          </cell>
          <cell r="B1159" t="str">
            <v>Feb'21</v>
          </cell>
          <cell r="C1159" t="str">
            <v>OK</v>
          </cell>
        </row>
        <row r="1160">
          <cell r="A1160" t="str">
            <v>85352-1</v>
          </cell>
          <cell r="B1160" t="str">
            <v>Mar'21</v>
          </cell>
          <cell r="C1160" t="str">
            <v>OK</v>
          </cell>
        </row>
        <row r="1161">
          <cell r="A1161" t="str">
            <v>85352-2</v>
          </cell>
          <cell r="B1161" t="str">
            <v>Mar'21</v>
          </cell>
          <cell r="C1161" t="str">
            <v>OK</v>
          </cell>
        </row>
        <row r="1162">
          <cell r="A1162" t="str">
            <v>75965-1</v>
          </cell>
          <cell r="B1162" t="str">
            <v>Feb'21</v>
          </cell>
          <cell r="C1162" t="str">
            <v>OK</v>
          </cell>
        </row>
        <row r="1163">
          <cell r="A1163" t="str">
            <v>75972-3</v>
          </cell>
          <cell r="B1163" t="str">
            <v>Feb'21</v>
          </cell>
          <cell r="C1163" t="str">
            <v>OK</v>
          </cell>
        </row>
        <row r="1164">
          <cell r="A1164" t="str">
            <v>73323-2</v>
          </cell>
          <cell r="B1164" t="str">
            <v>Feb'21</v>
          </cell>
          <cell r="C1164" t="str">
            <v>OK</v>
          </cell>
        </row>
        <row r="1165">
          <cell r="A1165" t="str">
            <v>85352-6</v>
          </cell>
          <cell r="B1165" t="str">
            <v>Mar'21</v>
          </cell>
          <cell r="C1165" t="str">
            <v>OK</v>
          </cell>
        </row>
        <row r="1166">
          <cell r="A1166" t="str">
            <v>85510-1</v>
          </cell>
          <cell r="B1166" t="str">
            <v>Mar'21</v>
          </cell>
          <cell r="C1166" t="str">
            <v>OK</v>
          </cell>
        </row>
        <row r="1167">
          <cell r="A1167" t="str">
            <v>85629-1</v>
          </cell>
          <cell r="B1167" t="str">
            <v>Apr'21</v>
          </cell>
          <cell r="C1167" t="str">
            <v>N/C</v>
          </cell>
        </row>
        <row r="1168">
          <cell r="A1168" t="str">
            <v>85758-1</v>
          </cell>
          <cell r="B1168" t="str">
            <v>Apr'21</v>
          </cell>
          <cell r="C1168" t="str">
            <v>N/C</v>
          </cell>
        </row>
        <row r="1169">
          <cell r="A1169" t="str">
            <v>85778-1</v>
          </cell>
          <cell r="B1169" t="str">
            <v>Apr'21</v>
          </cell>
          <cell r="C1169" t="str">
            <v>N/C</v>
          </cell>
        </row>
        <row r="1170">
          <cell r="A1170" t="str">
            <v>76324-3</v>
          </cell>
          <cell r="B1170" t="str">
            <v>Feb'21</v>
          </cell>
          <cell r="C1170" t="str">
            <v>OK</v>
          </cell>
        </row>
        <row r="1171">
          <cell r="A1171" t="str">
            <v>85808-2</v>
          </cell>
          <cell r="B1171" t="str">
            <v>Apr'21</v>
          </cell>
          <cell r="C1171" t="str">
            <v>N/C</v>
          </cell>
        </row>
        <row r="1172">
          <cell r="A1172" t="str">
            <v>85808-3</v>
          </cell>
          <cell r="B1172" t="str">
            <v>Apr'21</v>
          </cell>
          <cell r="C1172" t="str">
            <v>N/C</v>
          </cell>
        </row>
        <row r="1173">
          <cell r="A1173" t="str">
            <v>85808-4</v>
          </cell>
          <cell r="B1173" t="str">
            <v>Apr'21</v>
          </cell>
          <cell r="C1173" t="str">
            <v>N/C</v>
          </cell>
        </row>
        <row r="1174">
          <cell r="A1174" t="str">
            <v>73323-3</v>
          </cell>
          <cell r="B1174" t="str">
            <v>Feb'21</v>
          </cell>
          <cell r="C1174" t="str">
            <v>OK</v>
          </cell>
        </row>
        <row r="1175">
          <cell r="A1175" t="str">
            <v>85809-2</v>
          </cell>
          <cell r="B1175" t="str">
            <v>Mar'21</v>
          </cell>
          <cell r="C1175" t="str">
            <v>OK</v>
          </cell>
        </row>
        <row r="1176">
          <cell r="A1176" t="str">
            <v>85809-3</v>
          </cell>
          <cell r="B1176" t="str">
            <v>Mar'21</v>
          </cell>
          <cell r="C1176" t="str">
            <v>OK</v>
          </cell>
        </row>
        <row r="1177">
          <cell r="A1177" t="str">
            <v>85809-4</v>
          </cell>
          <cell r="B1177" t="str">
            <v>Mar'21</v>
          </cell>
          <cell r="C1177" t="str">
            <v>OK</v>
          </cell>
        </row>
        <row r="1178">
          <cell r="A1178" t="str">
            <v>74416-4</v>
          </cell>
          <cell r="B1178" t="str">
            <v>Feb'21</v>
          </cell>
          <cell r="C1178" t="str">
            <v>OK</v>
          </cell>
        </row>
        <row r="1179">
          <cell r="A1179" t="str">
            <v>85811-2</v>
          </cell>
          <cell r="B1179" t="str">
            <v>Apr'21</v>
          </cell>
          <cell r="C1179" t="str">
            <v>N/C</v>
          </cell>
        </row>
        <row r="1180">
          <cell r="A1180" t="str">
            <v>85811-3</v>
          </cell>
          <cell r="B1180" t="str">
            <v>Apr'21</v>
          </cell>
          <cell r="C1180" t="str">
            <v>N/C</v>
          </cell>
        </row>
        <row r="1181">
          <cell r="A1181" t="str">
            <v>85811-4</v>
          </cell>
          <cell r="B1181" t="str">
            <v>Apr'21</v>
          </cell>
          <cell r="C1181" t="str">
            <v>N/C</v>
          </cell>
        </row>
        <row r="1182">
          <cell r="A1182" t="str">
            <v>85858-1</v>
          </cell>
          <cell r="B1182" t="str">
            <v>Mar'21</v>
          </cell>
          <cell r="C1182" t="str">
            <v>OK</v>
          </cell>
        </row>
        <row r="1183">
          <cell r="A1183" t="str">
            <v>85978-6</v>
          </cell>
          <cell r="B1183" t="str">
            <v>Mar'21</v>
          </cell>
          <cell r="C1183" t="str">
            <v>N/C</v>
          </cell>
        </row>
        <row r="1184">
          <cell r="A1184" t="str">
            <v>85978-7</v>
          </cell>
          <cell r="B1184" t="str">
            <v>Mar'21</v>
          </cell>
          <cell r="C1184" t="str">
            <v>N/C</v>
          </cell>
        </row>
        <row r="1185">
          <cell r="A1185" t="str">
            <v>85978-8</v>
          </cell>
          <cell r="B1185" t="str">
            <v>Mar'21</v>
          </cell>
          <cell r="C1185" t="str">
            <v>N/C</v>
          </cell>
        </row>
        <row r="1186">
          <cell r="A1186" t="str">
            <v>77267-1</v>
          </cell>
          <cell r="B1186" t="str">
            <v>Feb'21</v>
          </cell>
          <cell r="C1186" t="str">
            <v>OK</v>
          </cell>
        </row>
        <row r="1187">
          <cell r="A1187" t="str">
            <v>77267-2</v>
          </cell>
          <cell r="B1187" t="str">
            <v>Feb'21</v>
          </cell>
          <cell r="C1187" t="str">
            <v>OK</v>
          </cell>
        </row>
        <row r="1188">
          <cell r="A1188" t="str">
            <v>77267-5</v>
          </cell>
          <cell r="B1188" t="str">
            <v>Feb'21</v>
          </cell>
          <cell r="C1188" t="str">
            <v>OK</v>
          </cell>
        </row>
        <row r="1189">
          <cell r="A1189" t="str">
            <v>62765-2</v>
          </cell>
          <cell r="B1189" t="str">
            <v>Dec'20</v>
          </cell>
          <cell r="C1189" t="str">
            <v>OK</v>
          </cell>
        </row>
        <row r="1190">
          <cell r="A1190" t="str">
            <v>72958-3</v>
          </cell>
          <cell r="B1190" t="str">
            <v>Feb'21</v>
          </cell>
          <cell r="C1190" t="str">
            <v>OK</v>
          </cell>
        </row>
        <row r="1191">
          <cell r="A1191" t="str">
            <v>66790-4</v>
          </cell>
          <cell r="B1191" t="str">
            <v>Jan'21</v>
          </cell>
          <cell r="C1191" t="str">
            <v>OK</v>
          </cell>
        </row>
        <row r="1192">
          <cell r="A1192" t="str">
            <v>65636-3</v>
          </cell>
          <cell r="B1192" t="str">
            <v>Dec'20</v>
          </cell>
          <cell r="C1192" t="str">
            <v>OK</v>
          </cell>
        </row>
        <row r="1193">
          <cell r="A1193" t="str">
            <v>62623-9</v>
          </cell>
          <cell r="B1193" t="str">
            <v>Jan'21</v>
          </cell>
          <cell r="C1193" t="str">
            <v>OK</v>
          </cell>
        </row>
        <row r="1194">
          <cell r="A1194" t="str">
            <v>86167-1</v>
          </cell>
          <cell r="B1194" t="str">
            <v>Apr'21</v>
          </cell>
          <cell r="C1194" t="str">
            <v>N/C</v>
          </cell>
        </row>
        <row r="1195">
          <cell r="A1195" t="str">
            <v>73571-7</v>
          </cell>
          <cell r="B1195" t="str">
            <v>Jan'21</v>
          </cell>
          <cell r="C1195" t="str">
            <v>OK</v>
          </cell>
        </row>
        <row r="1196">
          <cell r="A1196" t="str">
            <v>86236-3</v>
          </cell>
          <cell r="B1196" t="str">
            <v>Mar'21</v>
          </cell>
          <cell r="C1196" t="str">
            <v>OK</v>
          </cell>
        </row>
        <row r="1197">
          <cell r="A1197" t="str">
            <v>86236-4</v>
          </cell>
          <cell r="B1197" t="str">
            <v>Mar'21</v>
          </cell>
          <cell r="C1197" t="str">
            <v>OK</v>
          </cell>
        </row>
        <row r="1198">
          <cell r="A1198" t="str">
            <v>86236-5</v>
          </cell>
          <cell r="B1198" t="str">
            <v>Mar'21</v>
          </cell>
          <cell r="C1198" t="str">
            <v>OK</v>
          </cell>
        </row>
        <row r="1199">
          <cell r="A1199" t="str">
            <v>86236-6</v>
          </cell>
          <cell r="B1199" t="str">
            <v>Mar'21</v>
          </cell>
          <cell r="C1199" t="str">
            <v>OK</v>
          </cell>
        </row>
        <row r="1200">
          <cell r="A1200" t="str">
            <v>48248-2</v>
          </cell>
          <cell r="B1200" t="str">
            <v>Mar'21</v>
          </cell>
          <cell r="C1200" t="str">
            <v>OK</v>
          </cell>
        </row>
        <row r="1201">
          <cell r="A1201" t="str">
            <v>84753-2</v>
          </cell>
          <cell r="B1201" t="str">
            <v>Mar'21</v>
          </cell>
          <cell r="C1201" t="str">
            <v>OK</v>
          </cell>
        </row>
        <row r="1202">
          <cell r="A1202" t="str">
            <v>86310-3</v>
          </cell>
          <cell r="B1202" t="str">
            <v>Mar'21</v>
          </cell>
          <cell r="C1202" t="str">
            <v>OK</v>
          </cell>
        </row>
        <row r="1203">
          <cell r="A1203" t="str">
            <v>86310-4</v>
          </cell>
          <cell r="B1203" t="str">
            <v>Mar'21</v>
          </cell>
          <cell r="C1203" t="str">
            <v>OK</v>
          </cell>
        </row>
        <row r="1204">
          <cell r="A1204" t="str">
            <v>84735-2</v>
          </cell>
          <cell r="B1204" t="str">
            <v>Mar'21</v>
          </cell>
          <cell r="C1204" t="str">
            <v>N/C</v>
          </cell>
        </row>
        <row r="1205">
          <cell r="A1205" t="str">
            <v>86311-2</v>
          </cell>
          <cell r="B1205" t="str">
            <v>Apr'21</v>
          </cell>
          <cell r="C1205" t="str">
            <v>N/C</v>
          </cell>
        </row>
        <row r="1206">
          <cell r="A1206" t="str">
            <v>86311-3</v>
          </cell>
          <cell r="B1206" t="str">
            <v>Apr'21</v>
          </cell>
          <cell r="C1206" t="str">
            <v>N/C</v>
          </cell>
        </row>
        <row r="1207">
          <cell r="A1207" t="str">
            <v>86311-4</v>
          </cell>
          <cell r="B1207" t="str">
            <v>Apr'21</v>
          </cell>
          <cell r="C1207" t="str">
            <v>N/C</v>
          </cell>
        </row>
        <row r="1208">
          <cell r="A1208" t="str">
            <v>86313-1</v>
          </cell>
          <cell r="B1208" t="str">
            <v>Apr'21</v>
          </cell>
          <cell r="C1208" t="str">
            <v>N/C</v>
          </cell>
        </row>
        <row r="1209">
          <cell r="A1209" t="str">
            <v>86313-2</v>
          </cell>
          <cell r="B1209" t="str">
            <v>Apr'21</v>
          </cell>
          <cell r="C1209" t="str">
            <v>N/C</v>
          </cell>
        </row>
        <row r="1210">
          <cell r="A1210" t="str">
            <v>79609-1</v>
          </cell>
          <cell r="B1210" t="str">
            <v>Feb'21</v>
          </cell>
          <cell r="C1210" t="str">
            <v>OK</v>
          </cell>
        </row>
        <row r="1211">
          <cell r="A1211" t="str">
            <v>68010-7</v>
          </cell>
          <cell r="B1211" t="str">
            <v>Jan'21</v>
          </cell>
          <cell r="C1211" t="str">
            <v>OK</v>
          </cell>
        </row>
        <row r="1212">
          <cell r="A1212" t="str">
            <v>61260-6</v>
          </cell>
          <cell r="B1212" t="str">
            <v>Dec'20</v>
          </cell>
          <cell r="C1212" t="str">
            <v>OK</v>
          </cell>
        </row>
        <row r="1213">
          <cell r="A1213" t="str">
            <v>81509-2</v>
          </cell>
          <cell r="B1213" t="str">
            <v>Mar'21</v>
          </cell>
          <cell r="C1213" t="str">
            <v>OK</v>
          </cell>
        </row>
        <row r="1214">
          <cell r="A1214" t="str">
            <v>80980-2</v>
          </cell>
          <cell r="B1214" t="str">
            <v>Mar'21</v>
          </cell>
          <cell r="C1214" t="str">
            <v>OK</v>
          </cell>
        </row>
        <row r="1215">
          <cell r="A1215" t="str">
            <v>9514150052-1</v>
          </cell>
          <cell r="B1215" t="str">
            <v>Mar'21</v>
          </cell>
          <cell r="C1215" t="str">
            <v>OK</v>
          </cell>
        </row>
        <row r="1216">
          <cell r="A1216" t="str">
            <v>83793-1</v>
          </cell>
          <cell r="B1216" t="str">
            <v>Mar'21</v>
          </cell>
          <cell r="C1216" t="str">
            <v>OK</v>
          </cell>
        </row>
        <row r="1217">
          <cell r="A1217" t="str">
            <v>65095-6</v>
          </cell>
          <cell r="B1217" t="str">
            <v>Feb'21</v>
          </cell>
          <cell r="C1217" t="str">
            <v>OK</v>
          </cell>
        </row>
        <row r="1218">
          <cell r="A1218" t="str">
            <v>85376-1</v>
          </cell>
          <cell r="B1218" t="str">
            <v>Mar'21</v>
          </cell>
          <cell r="C1218" t="str">
            <v>N/C</v>
          </cell>
        </row>
        <row r="1219">
          <cell r="A1219" t="str">
            <v>85376-3</v>
          </cell>
          <cell r="B1219" t="str">
            <v>Mar'21</v>
          </cell>
          <cell r="C1219" t="str">
            <v>N/C</v>
          </cell>
        </row>
        <row r="1220">
          <cell r="A1220" t="str">
            <v>86445-1</v>
          </cell>
          <cell r="B1220" t="str">
            <v>Mar'21</v>
          </cell>
          <cell r="C1220" t="str">
            <v>OK</v>
          </cell>
        </row>
        <row r="1221">
          <cell r="A1221" t="str">
            <v>86445-2</v>
          </cell>
          <cell r="B1221" t="str">
            <v>Mar'21</v>
          </cell>
          <cell r="C1221" t="str">
            <v>OK</v>
          </cell>
        </row>
        <row r="1222">
          <cell r="A1222" t="str">
            <v>86445-3</v>
          </cell>
          <cell r="B1222" t="str">
            <v>Mar'21</v>
          </cell>
          <cell r="C1222" t="str">
            <v>OK</v>
          </cell>
        </row>
        <row r="1223">
          <cell r="A1223" t="str">
            <v>86445-4</v>
          </cell>
          <cell r="B1223" t="str">
            <v>Mar'21</v>
          </cell>
          <cell r="C1223" t="str">
            <v>OK</v>
          </cell>
        </row>
        <row r="1224">
          <cell r="A1224" t="str">
            <v>86445-5</v>
          </cell>
          <cell r="B1224" t="str">
            <v>Mar'21</v>
          </cell>
          <cell r="C1224" t="str">
            <v>OK</v>
          </cell>
        </row>
        <row r="1225">
          <cell r="A1225" t="str">
            <v>86445-6</v>
          </cell>
          <cell r="B1225" t="str">
            <v>Mar'21</v>
          </cell>
          <cell r="C1225" t="str">
            <v>OK</v>
          </cell>
        </row>
        <row r="1226">
          <cell r="A1226" t="str">
            <v>84735-3</v>
          </cell>
          <cell r="B1226" t="str">
            <v>Mar'21</v>
          </cell>
          <cell r="C1226" t="str">
            <v>N/C</v>
          </cell>
        </row>
        <row r="1227">
          <cell r="A1227" t="str">
            <v>83081-1</v>
          </cell>
          <cell r="B1227" t="str">
            <v>Feb'21</v>
          </cell>
          <cell r="C1227" t="str">
            <v>OK</v>
          </cell>
        </row>
        <row r="1228">
          <cell r="A1228" t="str">
            <v>86454-1</v>
          </cell>
          <cell r="B1228" t="str">
            <v>Mar'21</v>
          </cell>
          <cell r="C1228" t="str">
            <v>N/C</v>
          </cell>
        </row>
        <row r="1229">
          <cell r="A1229" t="str">
            <v>86454-2</v>
          </cell>
          <cell r="B1229" t="str">
            <v>Mar'21</v>
          </cell>
          <cell r="C1229" t="str">
            <v>N/C</v>
          </cell>
        </row>
        <row r="1230">
          <cell r="A1230" t="str">
            <v>86454-3</v>
          </cell>
          <cell r="B1230" t="str">
            <v>Mar'21</v>
          </cell>
          <cell r="C1230" t="str">
            <v>N/C</v>
          </cell>
        </row>
        <row r="1231">
          <cell r="A1231" t="str">
            <v>86200-3</v>
          </cell>
          <cell r="B1231" t="str">
            <v>Mar'21</v>
          </cell>
          <cell r="C1231" t="str">
            <v>OK</v>
          </cell>
        </row>
        <row r="1232">
          <cell r="A1232" t="str">
            <v>86200-4</v>
          </cell>
          <cell r="B1232" t="str">
            <v>Mar'21</v>
          </cell>
          <cell r="C1232" t="str">
            <v>OK</v>
          </cell>
        </row>
        <row r="1233">
          <cell r="A1233" t="str">
            <v>86454-7</v>
          </cell>
          <cell r="B1233" t="str">
            <v>Mar'21</v>
          </cell>
          <cell r="C1233" t="str">
            <v>OK</v>
          </cell>
        </row>
        <row r="1234">
          <cell r="A1234" t="str">
            <v>86454-8</v>
          </cell>
          <cell r="B1234" t="str">
            <v>Mar'21</v>
          </cell>
          <cell r="C1234" t="str">
            <v>OK</v>
          </cell>
        </row>
        <row r="1235">
          <cell r="A1235" t="str">
            <v>86454-9</v>
          </cell>
          <cell r="B1235" t="str">
            <v>Mar'21</v>
          </cell>
          <cell r="C1235" t="str">
            <v>OK</v>
          </cell>
        </row>
        <row r="1236">
          <cell r="A1236" t="str">
            <v>85614-1</v>
          </cell>
          <cell r="B1236" t="str">
            <v>Mar'21</v>
          </cell>
          <cell r="C1236" t="str">
            <v>OK</v>
          </cell>
        </row>
        <row r="1237">
          <cell r="A1237" t="str">
            <v>85614-2</v>
          </cell>
          <cell r="B1237" t="str">
            <v>Mar'21</v>
          </cell>
          <cell r="C1237" t="str">
            <v>OK</v>
          </cell>
        </row>
        <row r="1238">
          <cell r="A1238" t="str">
            <v>85614-3</v>
          </cell>
          <cell r="B1238" t="str">
            <v>Mar'21</v>
          </cell>
          <cell r="C1238" t="str">
            <v>OK</v>
          </cell>
        </row>
        <row r="1239">
          <cell r="A1239" t="str">
            <v>86339-1</v>
          </cell>
          <cell r="B1239" t="str">
            <v>Mar'21</v>
          </cell>
          <cell r="C1239" t="str">
            <v>OK</v>
          </cell>
        </row>
        <row r="1240">
          <cell r="A1240" t="str">
            <v>86339-2</v>
          </cell>
          <cell r="B1240" t="str">
            <v>Mar'21</v>
          </cell>
          <cell r="C1240" t="str">
            <v>OK</v>
          </cell>
        </row>
        <row r="1241">
          <cell r="A1241" t="str">
            <v>86339-3</v>
          </cell>
          <cell r="B1241" t="str">
            <v>Mar'21</v>
          </cell>
          <cell r="C1241" t="str">
            <v>OK</v>
          </cell>
        </row>
        <row r="1242">
          <cell r="A1242" t="str">
            <v>86339-4</v>
          </cell>
          <cell r="B1242" t="str">
            <v>Mar'21</v>
          </cell>
          <cell r="C1242" t="str">
            <v>OK</v>
          </cell>
        </row>
        <row r="1243">
          <cell r="A1243" t="str">
            <v>86340-1</v>
          </cell>
          <cell r="B1243" t="str">
            <v>Mar'21</v>
          </cell>
          <cell r="C1243" t="str">
            <v>OK</v>
          </cell>
        </row>
        <row r="1244">
          <cell r="A1244" t="str">
            <v>86340-2</v>
          </cell>
          <cell r="B1244" t="str">
            <v>Mar'21</v>
          </cell>
          <cell r="C1244" t="str">
            <v>OK</v>
          </cell>
        </row>
        <row r="1245">
          <cell r="A1245" t="str">
            <v>86340-3</v>
          </cell>
          <cell r="B1245" t="str">
            <v>Mar'21</v>
          </cell>
          <cell r="C1245" t="str">
            <v>OK</v>
          </cell>
        </row>
        <row r="1246">
          <cell r="A1246" t="str">
            <v>86340-4</v>
          </cell>
          <cell r="B1246" t="str">
            <v>Mar'21</v>
          </cell>
          <cell r="C1246" t="str">
            <v>OK</v>
          </cell>
        </row>
        <row r="1247">
          <cell r="A1247" t="str">
            <v>86342-1</v>
          </cell>
          <cell r="B1247" t="str">
            <v>Mar'21</v>
          </cell>
          <cell r="C1247" t="str">
            <v>OK</v>
          </cell>
        </row>
        <row r="1248">
          <cell r="A1248" t="str">
            <v>86342-2</v>
          </cell>
          <cell r="B1248" t="str">
            <v>Mar'21</v>
          </cell>
          <cell r="C1248" t="str">
            <v>OK</v>
          </cell>
        </row>
        <row r="1249">
          <cell r="A1249" t="str">
            <v>86338-1</v>
          </cell>
          <cell r="B1249" t="str">
            <v>Mar'21</v>
          </cell>
          <cell r="C1249" t="str">
            <v>OK</v>
          </cell>
        </row>
        <row r="1250">
          <cell r="A1250" t="str">
            <v>86371-1</v>
          </cell>
          <cell r="B1250" t="str">
            <v>Mar'21</v>
          </cell>
          <cell r="C1250" t="str">
            <v>OK</v>
          </cell>
        </row>
        <row r="1251">
          <cell r="A1251" t="str">
            <v>86371-2</v>
          </cell>
          <cell r="B1251" t="str">
            <v>Mar'21</v>
          </cell>
          <cell r="C1251" t="str">
            <v>OK</v>
          </cell>
        </row>
        <row r="1252">
          <cell r="A1252" t="str">
            <v>86371-3</v>
          </cell>
          <cell r="B1252" t="str">
            <v>Mar'21</v>
          </cell>
          <cell r="C1252" t="str">
            <v>OK</v>
          </cell>
        </row>
        <row r="1253">
          <cell r="A1253" t="str">
            <v>85596-1</v>
          </cell>
          <cell r="B1253" t="str">
            <v>Mar'21</v>
          </cell>
          <cell r="C1253" t="str">
            <v>OK</v>
          </cell>
        </row>
        <row r="1254">
          <cell r="A1254" t="str">
            <v>85596-2</v>
          </cell>
          <cell r="B1254" t="str">
            <v>Mar'21</v>
          </cell>
          <cell r="C1254" t="str">
            <v>OK</v>
          </cell>
        </row>
        <row r="1255">
          <cell r="A1255" t="str">
            <v>85600-1</v>
          </cell>
          <cell r="B1255" t="str">
            <v>Mar'21</v>
          </cell>
          <cell r="C1255" t="str">
            <v>OK</v>
          </cell>
        </row>
        <row r="1256">
          <cell r="A1256" t="str">
            <v>85600-2</v>
          </cell>
          <cell r="B1256" t="str">
            <v>Mar'21</v>
          </cell>
          <cell r="C1256" t="str">
            <v>OK</v>
          </cell>
        </row>
        <row r="1257">
          <cell r="A1257" t="str">
            <v>85634-1</v>
          </cell>
          <cell r="B1257" t="str">
            <v>Mar'21</v>
          </cell>
          <cell r="C1257" t="str">
            <v>OK</v>
          </cell>
        </row>
        <row r="1258">
          <cell r="A1258" t="str">
            <v>86200-5</v>
          </cell>
          <cell r="B1258" t="str">
            <v>Mar'21</v>
          </cell>
          <cell r="C1258" t="str">
            <v>OK</v>
          </cell>
        </row>
        <row r="1259">
          <cell r="A1259" t="str">
            <v>86888-3</v>
          </cell>
          <cell r="B1259" t="str">
            <v>Mar'21</v>
          </cell>
          <cell r="C1259" t="str">
            <v>OK</v>
          </cell>
        </row>
        <row r="1260">
          <cell r="A1260" t="str">
            <v>86694-12</v>
          </cell>
          <cell r="B1260" t="str">
            <v>Mar'21</v>
          </cell>
          <cell r="C1260" t="str">
            <v>OK</v>
          </cell>
        </row>
        <row r="1261">
          <cell r="A1261" t="str">
            <v>86694-13</v>
          </cell>
          <cell r="B1261" t="str">
            <v>Mar'21</v>
          </cell>
          <cell r="C1261" t="str">
            <v>OK</v>
          </cell>
        </row>
        <row r="1262">
          <cell r="A1262" t="str">
            <v>86694-14</v>
          </cell>
          <cell r="B1262" t="str">
            <v>Mar'21</v>
          </cell>
          <cell r="C1262" t="str">
            <v>OK</v>
          </cell>
        </row>
        <row r="1263">
          <cell r="A1263" t="str">
            <v>86694-15</v>
          </cell>
          <cell r="B1263" t="str">
            <v>Mar'21</v>
          </cell>
          <cell r="C1263" t="str">
            <v>OK</v>
          </cell>
        </row>
        <row r="1264">
          <cell r="A1264" t="str">
            <v>86502-1</v>
          </cell>
          <cell r="B1264" t="str">
            <v>Apr'21</v>
          </cell>
          <cell r="C1264" t="str">
            <v>N/C</v>
          </cell>
        </row>
        <row r="1265">
          <cell r="A1265" t="str">
            <v>86502-2</v>
          </cell>
          <cell r="B1265" t="str">
            <v>Apr'21</v>
          </cell>
          <cell r="C1265" t="str">
            <v>N/C</v>
          </cell>
        </row>
        <row r="1266">
          <cell r="A1266" t="str">
            <v>86694-25</v>
          </cell>
          <cell r="B1266" t="str">
            <v>Mar'21</v>
          </cell>
          <cell r="C1266" t="str">
            <v>OK</v>
          </cell>
        </row>
        <row r="1267">
          <cell r="A1267" t="str">
            <v>86754-2</v>
          </cell>
          <cell r="B1267" t="str">
            <v>Mar'21</v>
          </cell>
          <cell r="C1267" t="str">
            <v>OK</v>
          </cell>
        </row>
        <row r="1268">
          <cell r="A1268" t="str">
            <v>86754-3</v>
          </cell>
          <cell r="B1268" t="str">
            <v>Mar'21</v>
          </cell>
          <cell r="C1268" t="str">
            <v>OK</v>
          </cell>
        </row>
        <row r="1269">
          <cell r="A1269" t="str">
            <v>86754-4</v>
          </cell>
          <cell r="B1269" t="str">
            <v>Mar'21</v>
          </cell>
          <cell r="C1269" t="str">
            <v>OK</v>
          </cell>
        </row>
        <row r="1270">
          <cell r="A1270" t="str">
            <v>86886-1</v>
          </cell>
          <cell r="B1270" t="str">
            <v>Mar'21</v>
          </cell>
          <cell r="C1270" t="str">
            <v>OK</v>
          </cell>
        </row>
        <row r="1271">
          <cell r="A1271" t="str">
            <v>86886-2</v>
          </cell>
          <cell r="B1271" t="str">
            <v>Mar'21</v>
          </cell>
          <cell r="C1271" t="str">
            <v>OK</v>
          </cell>
        </row>
        <row r="1272">
          <cell r="A1272" t="str">
            <v>86914-1</v>
          </cell>
          <cell r="B1272" t="str">
            <v>Mar'21</v>
          </cell>
          <cell r="C1272" t="str">
            <v>OK</v>
          </cell>
        </row>
        <row r="1273">
          <cell r="A1273" t="str">
            <v>86914-2</v>
          </cell>
          <cell r="B1273" t="str">
            <v>Mar'21</v>
          </cell>
          <cell r="C1273" t="str">
            <v>OK</v>
          </cell>
        </row>
        <row r="1274">
          <cell r="A1274" t="str">
            <v>86914-3</v>
          </cell>
          <cell r="B1274" t="str">
            <v>Mar'21</v>
          </cell>
          <cell r="C1274" t="str">
            <v>OK</v>
          </cell>
        </row>
        <row r="1275">
          <cell r="A1275" t="str">
            <v>86625-12</v>
          </cell>
          <cell r="B1275" t="str">
            <v>Mar'21</v>
          </cell>
          <cell r="C1275" t="str">
            <v>OK</v>
          </cell>
        </row>
        <row r="1276">
          <cell r="A1276" t="str">
            <v>86914-5</v>
          </cell>
          <cell r="B1276" t="str">
            <v>Mar'21</v>
          </cell>
          <cell r="C1276" t="str">
            <v>OK</v>
          </cell>
        </row>
        <row r="1277">
          <cell r="A1277" t="str">
            <v>86625-13</v>
          </cell>
          <cell r="B1277" t="str">
            <v>Mar'21</v>
          </cell>
          <cell r="C1277" t="str">
            <v>OK</v>
          </cell>
        </row>
        <row r="1278">
          <cell r="A1278" t="str">
            <v>86625-14</v>
          </cell>
          <cell r="B1278" t="str">
            <v>Mar'21</v>
          </cell>
          <cell r="C1278" t="str">
            <v>OK</v>
          </cell>
        </row>
        <row r="1279">
          <cell r="A1279" t="str">
            <v>86625-15</v>
          </cell>
          <cell r="B1279" t="str">
            <v>Mar'21</v>
          </cell>
          <cell r="C1279" t="str">
            <v>OK</v>
          </cell>
        </row>
        <row r="1280">
          <cell r="A1280" t="str">
            <v>86626-7</v>
          </cell>
          <cell r="B1280" t="str">
            <v>Mar'21</v>
          </cell>
          <cell r="C1280" t="str">
            <v>OK</v>
          </cell>
        </row>
        <row r="1281">
          <cell r="A1281" t="str">
            <v>86626-8</v>
          </cell>
          <cell r="B1281" t="str">
            <v>Mar'21</v>
          </cell>
          <cell r="C1281" t="str">
            <v>OK</v>
          </cell>
        </row>
        <row r="1282">
          <cell r="A1282" t="str">
            <v>40588-1</v>
          </cell>
          <cell r="B1282" t="str">
            <v>Nov'20</v>
          </cell>
          <cell r="C1282" t="str">
            <v>OK</v>
          </cell>
        </row>
        <row r="1283">
          <cell r="A1283" t="str">
            <v>76249-3</v>
          </cell>
          <cell r="B1283" t="str">
            <v>Feb'21</v>
          </cell>
          <cell r="C1283" t="str">
            <v>OK</v>
          </cell>
        </row>
        <row r="1284">
          <cell r="A1284" t="str">
            <v>76249-4</v>
          </cell>
          <cell r="B1284" t="str">
            <v>Feb'21</v>
          </cell>
          <cell r="C1284" t="str">
            <v>OK</v>
          </cell>
        </row>
        <row r="1285">
          <cell r="A1285" t="str">
            <v>76249-5</v>
          </cell>
          <cell r="B1285" t="str">
            <v>Feb'21</v>
          </cell>
          <cell r="C1285" t="str">
            <v>OK</v>
          </cell>
        </row>
        <row r="1286">
          <cell r="A1286" t="str">
            <v>77267-7</v>
          </cell>
          <cell r="B1286" t="str">
            <v>Feb'21</v>
          </cell>
          <cell r="C1286" t="str">
            <v>OK</v>
          </cell>
        </row>
        <row r="1287">
          <cell r="A1287" t="str">
            <v>86920-1</v>
          </cell>
          <cell r="B1287" t="str">
            <v>Apr'21</v>
          </cell>
          <cell r="C1287" t="str">
            <v>N/C</v>
          </cell>
        </row>
        <row r="1288">
          <cell r="A1288" t="str">
            <v>73571-12</v>
          </cell>
          <cell r="B1288" t="str">
            <v>Feb'21</v>
          </cell>
          <cell r="C1288" t="str">
            <v>OK</v>
          </cell>
        </row>
        <row r="1289">
          <cell r="A1289" t="str">
            <v>80790-21</v>
          </cell>
          <cell r="B1289" t="str">
            <v>Mar'21</v>
          </cell>
          <cell r="C1289" t="str">
            <v>OK</v>
          </cell>
        </row>
        <row r="1290">
          <cell r="A1290" t="str">
            <v>80790-22</v>
          </cell>
          <cell r="B1290" t="str">
            <v>Mar'21</v>
          </cell>
          <cell r="C1290" t="str">
            <v>OK</v>
          </cell>
        </row>
        <row r="1291">
          <cell r="A1291" t="str">
            <v>86930-1</v>
          </cell>
          <cell r="B1291" t="str">
            <v>Mar'21</v>
          </cell>
          <cell r="C1291" t="str">
            <v>OK</v>
          </cell>
        </row>
        <row r="1292">
          <cell r="A1292" t="str">
            <v>86930-2</v>
          </cell>
          <cell r="B1292" t="str">
            <v>Mar'21</v>
          </cell>
          <cell r="C1292" t="str">
            <v>OK</v>
          </cell>
        </row>
        <row r="1293">
          <cell r="A1293" t="str">
            <v>86930-3</v>
          </cell>
          <cell r="B1293" t="str">
            <v>Mar'21</v>
          </cell>
          <cell r="C1293" t="str">
            <v>OK</v>
          </cell>
        </row>
        <row r="1294">
          <cell r="A1294" t="str">
            <v>86883-1</v>
          </cell>
          <cell r="B1294" t="str">
            <v>Mar'21</v>
          </cell>
          <cell r="C1294" t="str">
            <v>OK</v>
          </cell>
        </row>
        <row r="1295">
          <cell r="A1295" t="str">
            <v>86883-2</v>
          </cell>
          <cell r="B1295" t="str">
            <v>Mar'21</v>
          </cell>
          <cell r="C1295" t="str">
            <v>OK</v>
          </cell>
        </row>
        <row r="1296">
          <cell r="A1296" t="str">
            <v>86942-1</v>
          </cell>
          <cell r="B1296" t="str">
            <v>Mar'21</v>
          </cell>
          <cell r="C1296" t="str">
            <v>N/C</v>
          </cell>
        </row>
        <row r="1297">
          <cell r="A1297" t="str">
            <v>86942-2</v>
          </cell>
          <cell r="B1297" t="str">
            <v>Mar'21</v>
          </cell>
          <cell r="C1297" t="str">
            <v>N/C</v>
          </cell>
        </row>
        <row r="1298">
          <cell r="A1298" t="str">
            <v>80790-23</v>
          </cell>
          <cell r="B1298" t="str">
            <v>Mar'21</v>
          </cell>
          <cell r="C1298" t="str">
            <v>OK</v>
          </cell>
        </row>
        <row r="1299">
          <cell r="A1299" t="str">
            <v>80790-24</v>
          </cell>
          <cell r="B1299" t="str">
            <v>Mar'21</v>
          </cell>
          <cell r="C1299" t="str">
            <v>OK</v>
          </cell>
        </row>
        <row r="1300">
          <cell r="A1300" t="str">
            <v>86942-5</v>
          </cell>
          <cell r="B1300" t="str">
            <v>Mar'21</v>
          </cell>
          <cell r="C1300" t="str">
            <v>OK</v>
          </cell>
        </row>
        <row r="1301">
          <cell r="A1301" t="str">
            <v>86942-6</v>
          </cell>
          <cell r="B1301" t="str">
            <v>Mar'21</v>
          </cell>
          <cell r="C1301" t="str">
            <v>OK</v>
          </cell>
        </row>
        <row r="1302">
          <cell r="A1302" t="str">
            <v>80790-25</v>
          </cell>
          <cell r="B1302" t="str">
            <v>Mar'21</v>
          </cell>
          <cell r="C1302" t="str">
            <v>OK</v>
          </cell>
        </row>
        <row r="1303">
          <cell r="A1303" t="str">
            <v>80790-26</v>
          </cell>
          <cell r="B1303" t="str">
            <v>Mar'21</v>
          </cell>
          <cell r="C1303" t="str">
            <v>OK</v>
          </cell>
        </row>
        <row r="1304">
          <cell r="A1304" t="str">
            <v>80790-27</v>
          </cell>
          <cell r="B1304" t="str">
            <v>Mar'21</v>
          </cell>
          <cell r="C1304" t="str">
            <v>OK</v>
          </cell>
        </row>
        <row r="1305">
          <cell r="A1305" t="str">
            <v>86891-4</v>
          </cell>
          <cell r="B1305" t="str">
            <v>Mar'21</v>
          </cell>
          <cell r="C1305" t="str">
            <v>OK</v>
          </cell>
        </row>
        <row r="1306">
          <cell r="A1306" t="str">
            <v>86891-5</v>
          </cell>
          <cell r="B1306" t="str">
            <v>Mar'21</v>
          </cell>
          <cell r="C1306" t="str">
            <v>OK</v>
          </cell>
        </row>
        <row r="1307">
          <cell r="A1307" t="str">
            <v>84735-4</v>
          </cell>
          <cell r="B1307" t="str">
            <v>Mar'21</v>
          </cell>
          <cell r="C1307" t="str">
            <v>OK</v>
          </cell>
        </row>
        <row r="1308">
          <cell r="A1308" t="str">
            <v>84735-7</v>
          </cell>
          <cell r="B1308" t="str">
            <v>Mar'21</v>
          </cell>
          <cell r="C1308" t="str">
            <v>OK</v>
          </cell>
        </row>
        <row r="1309">
          <cell r="A1309" t="str">
            <v>86894-3</v>
          </cell>
          <cell r="B1309" t="str">
            <v>Mar'21</v>
          </cell>
          <cell r="C1309" t="str">
            <v>OK</v>
          </cell>
        </row>
        <row r="1310">
          <cell r="A1310" t="str">
            <v>86894-4</v>
          </cell>
          <cell r="B1310" t="str">
            <v>Mar'21</v>
          </cell>
          <cell r="C1310" t="str">
            <v>OK</v>
          </cell>
        </row>
        <row r="1311">
          <cell r="A1311" t="str">
            <v>86894-5</v>
          </cell>
          <cell r="B1311" t="str">
            <v>Mar'21</v>
          </cell>
          <cell r="C1311" t="str">
            <v>OK</v>
          </cell>
        </row>
        <row r="1312">
          <cell r="A1312" t="str">
            <v>86894-6</v>
          </cell>
          <cell r="B1312" t="str">
            <v>Mar'21</v>
          </cell>
          <cell r="C1312" t="str">
            <v>OK</v>
          </cell>
        </row>
        <row r="1313">
          <cell r="A1313" t="str">
            <v>86888-4</v>
          </cell>
          <cell r="B1313" t="str">
            <v>Mar'21</v>
          </cell>
          <cell r="C1313" t="str">
            <v>OK</v>
          </cell>
        </row>
        <row r="1314">
          <cell r="A1314" t="str">
            <v>86694-16</v>
          </cell>
          <cell r="B1314" t="str">
            <v>Mar'21</v>
          </cell>
          <cell r="C1314" t="str">
            <v>OK</v>
          </cell>
        </row>
        <row r="1315">
          <cell r="A1315" t="str">
            <v>86694-17</v>
          </cell>
          <cell r="B1315" t="str">
            <v>Mar'21</v>
          </cell>
          <cell r="C1315" t="str">
            <v>OK</v>
          </cell>
        </row>
        <row r="1316">
          <cell r="A1316" t="str">
            <v>86898-4</v>
          </cell>
          <cell r="B1316" t="str">
            <v>Mar'21</v>
          </cell>
          <cell r="C1316" t="str">
            <v>N/C</v>
          </cell>
        </row>
        <row r="1317">
          <cell r="A1317" t="str">
            <v>86898-5</v>
          </cell>
          <cell r="B1317" t="str">
            <v>Mar'21</v>
          </cell>
          <cell r="C1317" t="str">
            <v>N/C</v>
          </cell>
        </row>
        <row r="1318">
          <cell r="A1318" t="str">
            <v>86898-6</v>
          </cell>
          <cell r="B1318" t="str">
            <v>Mar'21</v>
          </cell>
          <cell r="C1318" t="str">
            <v>N/C</v>
          </cell>
        </row>
        <row r="1319">
          <cell r="A1319" t="str">
            <v>86898-7</v>
          </cell>
          <cell r="B1319" t="str">
            <v>Mar'21</v>
          </cell>
          <cell r="C1319" t="str">
            <v>N/C</v>
          </cell>
        </row>
        <row r="1320">
          <cell r="A1320" t="str">
            <v>86898-8</v>
          </cell>
          <cell r="B1320" t="str">
            <v>Mar'21</v>
          </cell>
          <cell r="C1320" t="str">
            <v>N/C</v>
          </cell>
        </row>
        <row r="1321">
          <cell r="A1321" t="str">
            <v>86898-9</v>
          </cell>
          <cell r="B1321" t="str">
            <v>Mar'21</v>
          </cell>
          <cell r="C1321" t="str">
            <v>N/C</v>
          </cell>
        </row>
        <row r="1322">
          <cell r="A1322" t="str">
            <v>86898-10</v>
          </cell>
          <cell r="B1322" t="str">
            <v>Mar'21</v>
          </cell>
          <cell r="C1322" t="str">
            <v>N/C</v>
          </cell>
        </row>
        <row r="1323">
          <cell r="A1323" t="str">
            <v>86898-11</v>
          </cell>
          <cell r="B1323" t="str">
            <v>Mar'21</v>
          </cell>
          <cell r="C1323" t="str">
            <v>N/C</v>
          </cell>
        </row>
        <row r="1324">
          <cell r="A1324" t="str">
            <v>86916-1</v>
          </cell>
          <cell r="B1324" t="str">
            <v>Mar'21</v>
          </cell>
          <cell r="C1324" t="str">
            <v>OK</v>
          </cell>
        </row>
        <row r="1325">
          <cell r="A1325" t="str">
            <v>86916-2</v>
          </cell>
          <cell r="B1325" t="str">
            <v>Mar'21</v>
          </cell>
          <cell r="C1325" t="str">
            <v>OK</v>
          </cell>
        </row>
        <row r="1326">
          <cell r="A1326" t="str">
            <v>86916-3</v>
          </cell>
          <cell r="B1326" t="str">
            <v>Mar'21</v>
          </cell>
          <cell r="C1326" t="str">
            <v>OK</v>
          </cell>
        </row>
        <row r="1327">
          <cell r="A1327" t="str">
            <v>86694-18</v>
          </cell>
          <cell r="B1327" t="str">
            <v>Mar'21</v>
          </cell>
          <cell r="C1327" t="str">
            <v>OK</v>
          </cell>
        </row>
        <row r="1328">
          <cell r="A1328" t="str">
            <v>86934-2</v>
          </cell>
          <cell r="B1328" t="str">
            <v>Mar'21</v>
          </cell>
          <cell r="C1328" t="str">
            <v>OK</v>
          </cell>
        </row>
        <row r="1329">
          <cell r="A1329" t="str">
            <v>86737-1</v>
          </cell>
          <cell r="B1329" t="str">
            <v>Mar'21</v>
          </cell>
          <cell r="C1329" t="str">
            <v>N/C</v>
          </cell>
        </row>
        <row r="1330">
          <cell r="A1330" t="str">
            <v>86737-2</v>
          </cell>
          <cell r="B1330" t="str">
            <v>Mar'21</v>
          </cell>
          <cell r="C1330" t="str">
            <v>N/C</v>
          </cell>
        </row>
        <row r="1331">
          <cell r="A1331" t="str">
            <v>86737-3</v>
          </cell>
          <cell r="B1331" t="str">
            <v>Mar'21</v>
          </cell>
          <cell r="C1331" t="str">
            <v>N/C</v>
          </cell>
        </row>
        <row r="1332">
          <cell r="A1332" t="str">
            <v>86694-19</v>
          </cell>
          <cell r="B1332" t="str">
            <v>Mar'21</v>
          </cell>
          <cell r="C1332" t="str">
            <v>OK</v>
          </cell>
        </row>
        <row r="1333">
          <cell r="A1333" t="str">
            <v>86694-24</v>
          </cell>
          <cell r="B1333" t="str">
            <v>Mar'21</v>
          </cell>
          <cell r="C1333" t="str">
            <v>OK</v>
          </cell>
        </row>
        <row r="1334">
          <cell r="A1334" t="str">
            <v>86625-16</v>
          </cell>
          <cell r="B1334" t="str">
            <v>Mar'21</v>
          </cell>
          <cell r="C1334" t="str">
            <v>OK</v>
          </cell>
        </row>
        <row r="1335">
          <cell r="A1335" t="str">
            <v>86625-17</v>
          </cell>
          <cell r="B1335" t="str">
            <v>Mar'21</v>
          </cell>
          <cell r="C1335" t="str">
            <v>OK</v>
          </cell>
        </row>
        <row r="1336">
          <cell r="A1336" t="str">
            <v>86625-18</v>
          </cell>
          <cell r="B1336" t="str">
            <v>Mar'21</v>
          </cell>
          <cell r="C1336" t="str">
            <v>OK</v>
          </cell>
        </row>
        <row r="1337">
          <cell r="A1337" t="str">
            <v>86625-19</v>
          </cell>
          <cell r="B1337" t="str">
            <v>Mar'21</v>
          </cell>
          <cell r="C1337" t="str">
            <v>OK</v>
          </cell>
        </row>
        <row r="1338">
          <cell r="A1338" t="str">
            <v>86626-9</v>
          </cell>
          <cell r="B1338" t="str">
            <v>Mar'21</v>
          </cell>
          <cell r="C1338" t="str">
            <v>OK</v>
          </cell>
        </row>
        <row r="1339">
          <cell r="A1339" t="str">
            <v>86626-10</v>
          </cell>
          <cell r="B1339" t="str">
            <v>Mar'21</v>
          </cell>
          <cell r="C1339" t="str">
            <v>OK</v>
          </cell>
        </row>
        <row r="1340">
          <cell r="A1340" t="str">
            <v>64839-1</v>
          </cell>
          <cell r="B1340" t="str">
            <v>Jan'21</v>
          </cell>
          <cell r="C1340" t="str">
            <v>OK</v>
          </cell>
        </row>
        <row r="1341">
          <cell r="A1341" t="str">
            <v>73571-9</v>
          </cell>
          <cell r="B1341" t="str">
            <v>Feb'21</v>
          </cell>
          <cell r="C1341" t="str">
            <v>OK</v>
          </cell>
        </row>
        <row r="1342">
          <cell r="A1342" t="str">
            <v>75972-5</v>
          </cell>
          <cell r="B1342" t="str">
            <v>Feb'21</v>
          </cell>
          <cell r="C1342" t="str">
            <v>OK</v>
          </cell>
        </row>
        <row r="1343">
          <cell r="A1343" t="str">
            <v>68022-4</v>
          </cell>
          <cell r="B1343" t="str">
            <v>Feb'21</v>
          </cell>
          <cell r="C1343" t="str">
            <v>OK</v>
          </cell>
        </row>
        <row r="1344">
          <cell r="A1344" t="str">
            <v>76324-9</v>
          </cell>
          <cell r="B1344" t="str">
            <v>Feb'21</v>
          </cell>
          <cell r="C1344" t="str">
            <v>OK</v>
          </cell>
        </row>
        <row r="1345">
          <cell r="A1345" t="str">
            <v>74416-6</v>
          </cell>
          <cell r="B1345" t="str">
            <v>Feb'21</v>
          </cell>
          <cell r="C1345" t="str">
            <v>OK</v>
          </cell>
        </row>
        <row r="1346">
          <cell r="A1346" t="str">
            <v>73323-4</v>
          </cell>
          <cell r="B1346" t="str">
            <v>Feb'21</v>
          </cell>
          <cell r="C1346" t="str">
            <v>OK</v>
          </cell>
        </row>
        <row r="1347">
          <cell r="A1347" t="str">
            <v>77267-10</v>
          </cell>
          <cell r="B1347" t="str">
            <v>Feb'21</v>
          </cell>
          <cell r="C1347" t="str">
            <v>OK</v>
          </cell>
        </row>
        <row r="1348">
          <cell r="A1348" t="str">
            <v>62398-4</v>
          </cell>
          <cell r="B1348" t="str">
            <v>Dec'20</v>
          </cell>
          <cell r="C1348" t="str">
            <v>OK</v>
          </cell>
        </row>
        <row r="1349">
          <cell r="A1349" t="str">
            <v>72958-8</v>
          </cell>
          <cell r="B1349" t="str">
            <v>Feb'21</v>
          </cell>
          <cell r="C1349" t="str">
            <v>OK</v>
          </cell>
        </row>
        <row r="1350">
          <cell r="A1350" t="str">
            <v>78856-1</v>
          </cell>
          <cell r="B1350" t="str">
            <v>Mar'21</v>
          </cell>
          <cell r="C1350" t="str">
            <v>OK</v>
          </cell>
        </row>
        <row r="1351">
          <cell r="A1351" t="str">
            <v>80790-31</v>
          </cell>
          <cell r="B1351" t="str">
            <v>Mar'21</v>
          </cell>
          <cell r="C1351" t="str">
            <v>OK</v>
          </cell>
        </row>
        <row r="1352">
          <cell r="A1352" t="str">
            <v>80790-32</v>
          </cell>
          <cell r="B1352" t="str">
            <v>Mar'21</v>
          </cell>
          <cell r="C1352" t="str">
            <v>OK</v>
          </cell>
        </row>
        <row r="1353">
          <cell r="A1353" t="str">
            <v>80790-34</v>
          </cell>
          <cell r="B1353" t="str">
            <v>Mar'21</v>
          </cell>
          <cell r="C1353" t="str">
            <v>OK</v>
          </cell>
        </row>
        <row r="1354">
          <cell r="A1354" t="str">
            <v>82892-2</v>
          </cell>
          <cell r="B1354" t="str">
            <v>Mar'21</v>
          </cell>
          <cell r="C1354" t="str">
            <v>OK</v>
          </cell>
        </row>
        <row r="1355">
          <cell r="A1355" t="str">
            <v>84735-5</v>
          </cell>
          <cell r="B1355" t="str">
            <v>Mar'21</v>
          </cell>
          <cell r="C1355" t="str">
            <v>OK</v>
          </cell>
        </row>
        <row r="1356">
          <cell r="A1356" t="str">
            <v>84735-6</v>
          </cell>
          <cell r="B1356" t="str">
            <v>Mar'21</v>
          </cell>
          <cell r="C1356" t="str">
            <v>OK</v>
          </cell>
        </row>
        <row r="1357">
          <cell r="A1357" t="str">
            <v>76249-8</v>
          </cell>
          <cell r="B1357" t="str">
            <v>Mar'21</v>
          </cell>
          <cell r="C1357" t="str">
            <v>OK</v>
          </cell>
        </row>
        <row r="1358">
          <cell r="A1358" t="str">
            <v>86888-5</v>
          </cell>
          <cell r="B1358" t="str">
            <v>Mar'21</v>
          </cell>
          <cell r="C1358" t="str">
            <v>OK</v>
          </cell>
        </row>
        <row r="1359">
          <cell r="A1359" t="str">
            <v>86694-20</v>
          </cell>
          <cell r="B1359" t="str">
            <v>Mar'21</v>
          </cell>
          <cell r="C1359" t="str">
            <v>OK</v>
          </cell>
        </row>
        <row r="1360">
          <cell r="A1360" t="str">
            <v>86694-21</v>
          </cell>
          <cell r="B1360" t="str">
            <v>Mar'21</v>
          </cell>
          <cell r="C1360" t="str">
            <v>OK</v>
          </cell>
        </row>
        <row r="1361">
          <cell r="A1361" t="str">
            <v>86694-22</v>
          </cell>
          <cell r="B1361" t="str">
            <v>Mar'21</v>
          </cell>
          <cell r="C1361" t="str">
            <v>OK</v>
          </cell>
        </row>
        <row r="1362">
          <cell r="A1362" t="str">
            <v>86694-23</v>
          </cell>
          <cell r="B1362" t="str">
            <v>Mar'21</v>
          </cell>
          <cell r="C1362" t="str">
            <v>OK</v>
          </cell>
        </row>
        <row r="1363">
          <cell r="A1363" t="str">
            <v>86625-20</v>
          </cell>
          <cell r="B1363" t="str">
            <v>Mar'21</v>
          </cell>
          <cell r="C1363" t="str">
            <v>OK</v>
          </cell>
        </row>
        <row r="1364">
          <cell r="A1364" t="str">
            <v>86625-21</v>
          </cell>
          <cell r="B1364" t="str">
            <v>Mar'21</v>
          </cell>
          <cell r="C1364" t="str">
            <v>OK</v>
          </cell>
        </row>
        <row r="1365">
          <cell r="A1365" t="str">
            <v>86625-22</v>
          </cell>
          <cell r="B1365" t="str">
            <v>Mar'21</v>
          </cell>
          <cell r="C1365" t="str">
            <v>OK</v>
          </cell>
        </row>
        <row r="1366">
          <cell r="A1366" t="str">
            <v>86625-23</v>
          </cell>
          <cell r="B1366" t="str">
            <v>Mar'21</v>
          </cell>
          <cell r="C1366" t="str">
            <v>OK</v>
          </cell>
        </row>
        <row r="1367">
          <cell r="A1367" t="str">
            <v>86626-11</v>
          </cell>
          <cell r="B1367" t="str">
            <v>Mar'21</v>
          </cell>
          <cell r="C1367" t="str">
            <v>OK</v>
          </cell>
        </row>
        <row r="1368">
          <cell r="A1368" t="str">
            <v>86626-12</v>
          </cell>
          <cell r="B1368" t="str">
            <v>Mar'21</v>
          </cell>
          <cell r="C1368" t="str">
            <v>OK</v>
          </cell>
        </row>
        <row r="1369">
          <cell r="A1369" t="str">
            <v>86626-13</v>
          </cell>
          <cell r="B1369" t="str">
            <v>Mar'21</v>
          </cell>
          <cell r="C1369" t="str">
            <v>OK</v>
          </cell>
        </row>
        <row r="1370">
          <cell r="A1370" t="str">
            <v>86626-14</v>
          </cell>
          <cell r="B1370" t="str">
            <v>Mar'21</v>
          </cell>
          <cell r="C1370" t="str">
            <v>OK</v>
          </cell>
        </row>
        <row r="1371">
          <cell r="A1371" t="str">
            <v>75965-4</v>
          </cell>
          <cell r="B1371" t="str">
            <v>Feb'21</v>
          </cell>
          <cell r="C1371" t="str">
            <v>OK</v>
          </cell>
        </row>
        <row r="1372">
          <cell r="A1372" t="str">
            <v>75972-7</v>
          </cell>
          <cell r="B1372" t="str">
            <v>Feb'21</v>
          </cell>
          <cell r="C1372" t="str">
            <v>OK</v>
          </cell>
        </row>
        <row r="1373">
          <cell r="A1373" t="str">
            <v>67913-4</v>
          </cell>
          <cell r="B1373" t="str">
            <v>Feb'21</v>
          </cell>
          <cell r="C1373" t="str">
            <v>OK</v>
          </cell>
        </row>
        <row r="1374">
          <cell r="A1374" t="str">
            <v>77870-2</v>
          </cell>
          <cell r="B1374" t="str">
            <v>Feb'21</v>
          </cell>
          <cell r="C1374" t="str">
            <v>OK</v>
          </cell>
        </row>
        <row r="1375">
          <cell r="A1375" t="str">
            <v>68698-9</v>
          </cell>
          <cell r="B1375" t="str">
            <v>Jan'21</v>
          </cell>
          <cell r="C1375" t="str">
            <v>OK</v>
          </cell>
        </row>
        <row r="1376">
          <cell r="A1376" t="str">
            <v>64834-5</v>
          </cell>
          <cell r="B1376" t="str">
            <v>Jan'21</v>
          </cell>
          <cell r="C1376" t="str">
            <v>OK</v>
          </cell>
        </row>
        <row r="1377">
          <cell r="A1377" t="str">
            <v>66746-3</v>
          </cell>
          <cell r="B1377" t="str">
            <v>Jan'21</v>
          </cell>
          <cell r="C1377" t="str">
            <v>OK</v>
          </cell>
        </row>
        <row r="1378">
          <cell r="A1378" t="str">
            <v>72958-9</v>
          </cell>
          <cell r="B1378" t="str">
            <v>Feb'21</v>
          </cell>
          <cell r="C1378" t="str">
            <v>OK</v>
          </cell>
        </row>
        <row r="1379">
          <cell r="A1379" t="str">
            <v>61641-4</v>
          </cell>
          <cell r="B1379" t="str">
            <v>Dec'20</v>
          </cell>
          <cell r="C1379" t="str">
            <v>OK</v>
          </cell>
        </row>
        <row r="1380">
          <cell r="A1380" t="str">
            <v>80790-37</v>
          </cell>
          <cell r="B1380" t="str">
            <v>Mar'21</v>
          </cell>
          <cell r="C1380" t="str">
            <v>OK</v>
          </cell>
        </row>
        <row r="1381">
          <cell r="A1381" t="str">
            <v>84753-3</v>
          </cell>
          <cell r="B1381" t="str">
            <v>Mar'21</v>
          </cell>
          <cell r="C1381" t="str">
            <v>OK</v>
          </cell>
        </row>
        <row r="1382">
          <cell r="A1382" t="str">
            <v>69448-1</v>
          </cell>
          <cell r="B1382" t="str">
            <v>Mar'21</v>
          </cell>
          <cell r="C1382" t="str">
            <v>OK</v>
          </cell>
        </row>
        <row r="1383">
          <cell r="A1383" t="str">
            <v>80790-35</v>
          </cell>
          <cell r="B1383" t="str">
            <v>Mar'21</v>
          </cell>
          <cell r="C1383" t="str">
            <v>OK</v>
          </cell>
        </row>
        <row r="1384">
          <cell r="A1384" t="str">
            <v>86888-6</v>
          </cell>
          <cell r="B1384" t="str">
            <v>Mar'21</v>
          </cell>
          <cell r="C1384" t="str">
            <v>OK</v>
          </cell>
        </row>
        <row r="1385">
          <cell r="A1385" t="str">
            <v>68393-32</v>
          </cell>
          <cell r="B1385" t="str">
            <v>Jan'21</v>
          </cell>
          <cell r="C1385" t="str">
            <v>OK</v>
          </cell>
        </row>
        <row r="1386">
          <cell r="A1386" t="str">
            <v>76244-1</v>
          </cell>
          <cell r="B1386" t="str">
            <v>Feb'21</v>
          </cell>
          <cell r="C1386" t="str">
            <v>OK</v>
          </cell>
        </row>
        <row r="1387">
          <cell r="A1387" t="str">
            <v>86902-1</v>
          </cell>
          <cell r="B1387" t="str">
            <v>Mar'21</v>
          </cell>
          <cell r="C1387" t="str">
            <v>OK</v>
          </cell>
        </row>
        <row r="1388">
          <cell r="A1388" t="str">
            <v>86902-2</v>
          </cell>
          <cell r="B1388" t="str">
            <v>Mar'21</v>
          </cell>
          <cell r="C1388" t="str">
            <v>OK</v>
          </cell>
        </row>
        <row r="1389">
          <cell r="A1389" t="str">
            <v>86902-3</v>
          </cell>
          <cell r="B1389" t="str">
            <v>Mar'21</v>
          </cell>
          <cell r="C1389" t="str">
            <v>OK</v>
          </cell>
        </row>
        <row r="1390">
          <cell r="A1390" t="str">
            <v>86903-1</v>
          </cell>
          <cell r="B1390" t="str">
            <v>Mar'21</v>
          </cell>
          <cell r="C1390" t="str">
            <v>OK</v>
          </cell>
        </row>
        <row r="1391">
          <cell r="A1391" t="str">
            <v>86903-2</v>
          </cell>
          <cell r="B1391" t="str">
            <v>Mar'21</v>
          </cell>
          <cell r="C1391" t="str">
            <v>OK</v>
          </cell>
        </row>
        <row r="1392">
          <cell r="A1392" t="str">
            <v>86903-3</v>
          </cell>
          <cell r="B1392" t="str">
            <v>Mar'21</v>
          </cell>
          <cell r="C1392" t="str">
            <v>OK</v>
          </cell>
        </row>
        <row r="1393">
          <cell r="A1393" t="str">
            <v>86903-4</v>
          </cell>
          <cell r="B1393" t="str">
            <v>Mar'21</v>
          </cell>
          <cell r="C1393" t="str">
            <v>OK</v>
          </cell>
        </row>
        <row r="1394">
          <cell r="A1394" t="str">
            <v>86910-1</v>
          </cell>
          <cell r="B1394" t="str">
            <v>Mar'21</v>
          </cell>
          <cell r="C1394" t="str">
            <v>OK</v>
          </cell>
        </row>
        <row r="1395">
          <cell r="A1395" t="str">
            <v>86910-2</v>
          </cell>
          <cell r="B1395" t="str">
            <v>Mar'21</v>
          </cell>
          <cell r="C1395" t="str">
            <v>OK</v>
          </cell>
        </row>
        <row r="1396">
          <cell r="A1396" t="str">
            <v>86910-3</v>
          </cell>
          <cell r="B1396" t="str">
            <v>Mar'21</v>
          </cell>
          <cell r="C1396" t="str">
            <v>OK</v>
          </cell>
        </row>
        <row r="1397">
          <cell r="A1397" t="str">
            <v>86816-1</v>
          </cell>
          <cell r="B1397" t="str">
            <v>Mar'21</v>
          </cell>
          <cell r="C1397" t="str">
            <v>CANCEL</v>
          </cell>
        </row>
        <row r="1398">
          <cell r="A1398" t="str">
            <v>86984-1</v>
          </cell>
          <cell r="B1398" t="str">
            <v>Mar'21</v>
          </cell>
          <cell r="C1398" t="str">
            <v>OK</v>
          </cell>
        </row>
        <row r="1399">
          <cell r="A1399" t="str">
            <v>86984-2</v>
          </cell>
          <cell r="B1399" t="str">
            <v>Mar'21</v>
          </cell>
          <cell r="C1399" t="str">
            <v>OK</v>
          </cell>
        </row>
        <row r="1400">
          <cell r="A1400" t="str">
            <v>86984-3</v>
          </cell>
          <cell r="B1400" t="str">
            <v>Mar'21</v>
          </cell>
          <cell r="C1400" t="str">
            <v>OK</v>
          </cell>
        </row>
        <row r="1401">
          <cell r="A1401" t="str">
            <v>86984-4</v>
          </cell>
          <cell r="B1401" t="str">
            <v>Mar'21</v>
          </cell>
          <cell r="C1401" t="str">
            <v>OK</v>
          </cell>
        </row>
        <row r="1402">
          <cell r="A1402" t="str">
            <v>86985-1</v>
          </cell>
          <cell r="B1402" t="str">
            <v>Mar'21</v>
          </cell>
          <cell r="C1402" t="str">
            <v>OK</v>
          </cell>
        </row>
        <row r="1403">
          <cell r="A1403" t="str">
            <v>86812-1</v>
          </cell>
          <cell r="B1403" t="str">
            <v>Mar'21</v>
          </cell>
          <cell r="C1403" t="str">
            <v>CANCEL</v>
          </cell>
        </row>
        <row r="1404">
          <cell r="A1404" t="str">
            <v>87442-1</v>
          </cell>
          <cell r="B1404" t="str">
            <v>Mar'21</v>
          </cell>
          <cell r="C1404" t="str">
            <v>OK</v>
          </cell>
        </row>
        <row r="1405">
          <cell r="A1405" t="str">
            <v>86311-5</v>
          </cell>
          <cell r="B1405" t="str">
            <v>Mar'21</v>
          </cell>
          <cell r="C1405" t="str">
            <v>OK</v>
          </cell>
        </row>
        <row r="1406">
          <cell r="A1406" t="str">
            <v>75972-8</v>
          </cell>
          <cell r="B1406" t="str">
            <v>Feb'21</v>
          </cell>
          <cell r="C1406" t="str">
            <v>OK</v>
          </cell>
        </row>
        <row r="1407">
          <cell r="A1407" t="str">
            <v>80790-38</v>
          </cell>
          <cell r="B1407" t="str">
            <v>Mar'21</v>
          </cell>
          <cell r="C1407" t="str">
            <v>OK</v>
          </cell>
        </row>
        <row r="1408">
          <cell r="A1408" t="str">
            <v>86980-3</v>
          </cell>
          <cell r="B1408" t="str">
            <v>Mar'21</v>
          </cell>
          <cell r="C1408" t="str">
            <v>OK</v>
          </cell>
        </row>
        <row r="1409">
          <cell r="A1409" t="str">
            <v>80790-39</v>
          </cell>
          <cell r="B1409" t="str">
            <v>Mar'21</v>
          </cell>
          <cell r="C1409" t="str">
            <v>OK</v>
          </cell>
        </row>
        <row r="1410">
          <cell r="A1410" t="str">
            <v>86981-2</v>
          </cell>
          <cell r="B1410" t="str">
            <v>Mar'21</v>
          </cell>
          <cell r="C1410" t="str">
            <v>OK</v>
          </cell>
        </row>
        <row r="1411">
          <cell r="A1411" t="str">
            <v>80790-40</v>
          </cell>
          <cell r="B1411" t="str">
            <v>Mar'21</v>
          </cell>
          <cell r="C1411" t="str">
            <v>OK</v>
          </cell>
        </row>
        <row r="1412">
          <cell r="A1412" t="str">
            <v>80790-41</v>
          </cell>
          <cell r="B1412" t="str">
            <v>Mar'21</v>
          </cell>
          <cell r="C1412" t="str">
            <v>OK</v>
          </cell>
        </row>
        <row r="1413">
          <cell r="A1413" t="str">
            <v>80790-42</v>
          </cell>
          <cell r="B1413" t="str">
            <v>Mar'21</v>
          </cell>
          <cell r="C1413" t="str">
            <v>OK</v>
          </cell>
        </row>
        <row r="1414">
          <cell r="A1414" t="str">
            <v>80790-43</v>
          </cell>
          <cell r="B1414" t="str">
            <v>Mar'21</v>
          </cell>
          <cell r="C1414" t="str">
            <v>OK</v>
          </cell>
        </row>
        <row r="1415">
          <cell r="A1415" t="str">
            <v>9514173168-1</v>
          </cell>
          <cell r="B1415" t="str">
            <v>Mar'21</v>
          </cell>
          <cell r="C1415" t="str">
            <v>N/C</v>
          </cell>
        </row>
        <row r="1416">
          <cell r="A1416" t="str">
            <v>9514173168-2</v>
          </cell>
          <cell r="B1416" t="str">
            <v>Mar'21</v>
          </cell>
          <cell r="C1416" t="str">
            <v>N/C</v>
          </cell>
        </row>
        <row r="1417">
          <cell r="A1417" t="str">
            <v>9514173168-3</v>
          </cell>
          <cell r="B1417" t="str">
            <v>Mar'21</v>
          </cell>
          <cell r="C1417" t="str">
            <v>N/C</v>
          </cell>
        </row>
        <row r="1418">
          <cell r="A1418" t="str">
            <v>9514173168-4</v>
          </cell>
          <cell r="B1418" t="str">
            <v>Mar'21</v>
          </cell>
          <cell r="C1418" t="str">
            <v>N/C</v>
          </cell>
        </row>
        <row r="1419">
          <cell r="A1419" t="str">
            <v>70054-1</v>
          </cell>
          <cell r="B1419" t="str">
            <v>MAR'21</v>
          </cell>
          <cell r="C1419" t="str">
            <v>OK</v>
          </cell>
        </row>
        <row r="1420">
          <cell r="A1420" t="str">
            <v>74703-1</v>
          </cell>
          <cell r="B1420" t="str">
            <v>MAR'21</v>
          </cell>
          <cell r="C1420" t="str">
            <v>OK</v>
          </cell>
        </row>
        <row r="1421">
          <cell r="A1421" t="str">
            <v>74705-1</v>
          </cell>
          <cell r="B1421" t="str">
            <v>MAR'21</v>
          </cell>
          <cell r="C1421" t="str">
            <v>OK</v>
          </cell>
        </row>
        <row r="1422">
          <cell r="A1422" t="str">
            <v>63207-1</v>
          </cell>
          <cell r="B1422" t="str">
            <v>MAR'21</v>
          </cell>
          <cell r="C1422" t="str">
            <v>OK</v>
          </cell>
        </row>
        <row r="1423">
          <cell r="A1423" t="str">
            <v>70132-1</v>
          </cell>
          <cell r="B1423" t="str">
            <v>MAR'21</v>
          </cell>
          <cell r="C1423" t="str">
            <v>OK</v>
          </cell>
        </row>
        <row r="1424">
          <cell r="A1424" t="str">
            <v>65512-1</v>
          </cell>
          <cell r="B1424" t="str">
            <v>MAR'21</v>
          </cell>
          <cell r="C1424" t="str">
            <v>OK</v>
          </cell>
        </row>
        <row r="1425">
          <cell r="A1425" t="str">
            <v>66542-1</v>
          </cell>
          <cell r="B1425" t="str">
            <v>MAR'21</v>
          </cell>
          <cell r="C1425" t="str">
            <v>OK</v>
          </cell>
        </row>
        <row r="1426">
          <cell r="A1426" t="str">
            <v>63405-3</v>
          </cell>
          <cell r="B1426" t="str">
            <v>MAR'21</v>
          </cell>
          <cell r="C1426" t="str">
            <v>OK</v>
          </cell>
        </row>
        <row r="1427">
          <cell r="A1427" t="str">
            <v>71727-1</v>
          </cell>
          <cell r="B1427" t="str">
            <v>MAR'21</v>
          </cell>
          <cell r="C1427" t="str">
            <v>OK</v>
          </cell>
        </row>
        <row r="1428">
          <cell r="A1428" t="str">
            <v>70130-3</v>
          </cell>
          <cell r="B1428" t="str">
            <v>MAR'21</v>
          </cell>
          <cell r="C1428" t="str">
            <v>OK</v>
          </cell>
        </row>
        <row r="1429">
          <cell r="A1429" t="str">
            <v>75057-1</v>
          </cell>
          <cell r="B1429" t="str">
            <v>MAR'21</v>
          </cell>
          <cell r="C1429" t="str">
            <v>OK</v>
          </cell>
        </row>
        <row r="1430">
          <cell r="A1430" t="str">
            <v>57749-1</v>
          </cell>
          <cell r="B1430" t="str">
            <v>MAR'21</v>
          </cell>
          <cell r="C1430" t="str">
            <v>OK</v>
          </cell>
        </row>
        <row r="1431">
          <cell r="A1431" t="str">
            <v>74703-5</v>
          </cell>
          <cell r="B1431" t="str">
            <v>MAR'21</v>
          </cell>
          <cell r="C1431" t="str">
            <v>OK</v>
          </cell>
        </row>
        <row r="1432">
          <cell r="A1432" t="str">
            <v>75057-3</v>
          </cell>
          <cell r="B1432" t="str">
            <v>MAR'21</v>
          </cell>
          <cell r="C1432" t="str">
            <v>OK</v>
          </cell>
        </row>
        <row r="1433">
          <cell r="A1433" t="str">
            <v>75057-2</v>
          </cell>
          <cell r="B1433" t="str">
            <v>MAR'21</v>
          </cell>
          <cell r="C1433" t="str">
            <v>OK</v>
          </cell>
        </row>
        <row r="1434">
          <cell r="A1434" t="str">
            <v>75057-4</v>
          </cell>
          <cell r="B1434" t="str">
            <v>MAR'21</v>
          </cell>
          <cell r="C1434" t="str">
            <v>OK</v>
          </cell>
        </row>
        <row r="1435">
          <cell r="A1435" t="str">
            <v>66542-2</v>
          </cell>
          <cell r="B1435" t="str">
            <v>MAR'21</v>
          </cell>
          <cell r="C1435" t="str">
            <v>OK</v>
          </cell>
        </row>
        <row r="1436">
          <cell r="A1436" t="str">
            <v>82007-1</v>
          </cell>
          <cell r="B1436" t="str">
            <v>MAR'21</v>
          </cell>
          <cell r="C1436" t="str">
            <v>OK</v>
          </cell>
        </row>
        <row r="1437">
          <cell r="A1437" t="str">
            <v>82007-2</v>
          </cell>
          <cell r="B1437" t="str">
            <v>MAR'21</v>
          </cell>
          <cell r="C1437" t="str">
            <v>OK</v>
          </cell>
        </row>
        <row r="1438">
          <cell r="A1438" t="str">
            <v>76364-6</v>
          </cell>
          <cell r="B1438" t="str">
            <v>MAR'21</v>
          </cell>
          <cell r="C1438" t="str">
            <v>OK</v>
          </cell>
        </row>
        <row r="1439">
          <cell r="A1439" t="str">
            <v>76364-7</v>
          </cell>
          <cell r="B1439" t="str">
            <v>MAR'21</v>
          </cell>
          <cell r="C1439" t="str">
            <v>OK</v>
          </cell>
        </row>
        <row r="1440">
          <cell r="A1440" t="str">
            <v>76364-8</v>
          </cell>
          <cell r="B1440" t="str">
            <v>MAR'21</v>
          </cell>
          <cell r="C1440" t="str">
            <v>OK</v>
          </cell>
        </row>
        <row r="1441">
          <cell r="A1441" t="str">
            <v>76364-1</v>
          </cell>
          <cell r="B1441" t="str">
            <v>MAR'21</v>
          </cell>
          <cell r="C1441" t="str">
            <v>OK</v>
          </cell>
        </row>
        <row r="1442">
          <cell r="A1442" t="str">
            <v>76364-9</v>
          </cell>
          <cell r="B1442" t="str">
            <v>MAR'21</v>
          </cell>
          <cell r="C1442" t="str">
            <v>OK</v>
          </cell>
        </row>
        <row r="1443">
          <cell r="A1443" t="str">
            <v>64090-2</v>
          </cell>
          <cell r="B1443" t="str">
            <v>MAR'21</v>
          </cell>
          <cell r="C1443" t="str">
            <v>OK</v>
          </cell>
        </row>
        <row r="1444">
          <cell r="A1444" t="str">
            <v>76364-5</v>
          </cell>
          <cell r="B1444" t="str">
            <v>MAR'21</v>
          </cell>
          <cell r="C1444" t="str">
            <v>OK</v>
          </cell>
        </row>
        <row r="1445">
          <cell r="A1445" t="str">
            <v>64090-1</v>
          </cell>
          <cell r="B1445" t="str">
            <v>MAR'21</v>
          </cell>
          <cell r="C1445" t="str">
            <v>OK</v>
          </cell>
        </row>
        <row r="1446">
          <cell r="A1446" t="str">
            <v>73494-3</v>
          </cell>
          <cell r="B1446" t="str">
            <v>MAR'21</v>
          </cell>
          <cell r="C1446" t="str">
            <v>OK</v>
          </cell>
        </row>
        <row r="1447">
          <cell r="A1447" t="str">
            <v>70132-2</v>
          </cell>
          <cell r="B1447" t="str">
            <v>MAR'21</v>
          </cell>
          <cell r="C1447" t="str">
            <v>OK</v>
          </cell>
        </row>
        <row r="1448">
          <cell r="A1448" t="str">
            <v>76364-2</v>
          </cell>
          <cell r="B1448" t="str">
            <v>MAR'21</v>
          </cell>
          <cell r="C1448" t="str">
            <v>OK</v>
          </cell>
        </row>
        <row r="1449">
          <cell r="A1449" t="str">
            <v>76364-3</v>
          </cell>
          <cell r="B1449" t="str">
            <v>MAR'21</v>
          </cell>
          <cell r="C1449" t="str">
            <v>OK</v>
          </cell>
        </row>
        <row r="1450">
          <cell r="A1450" t="str">
            <v>76364-4</v>
          </cell>
          <cell r="B1450" t="str">
            <v>MAR'21</v>
          </cell>
          <cell r="C1450" t="str">
            <v>OK</v>
          </cell>
        </row>
        <row r="1451">
          <cell r="A1451" t="str">
            <v>76771-2</v>
          </cell>
          <cell r="B1451" t="str">
            <v>MAR'21</v>
          </cell>
          <cell r="C1451" t="str">
            <v>OK</v>
          </cell>
        </row>
        <row r="1452">
          <cell r="A1452" t="str">
            <v>76771-1</v>
          </cell>
          <cell r="B1452" t="str">
            <v>MAR'21</v>
          </cell>
          <cell r="C1452" t="str">
            <v>OK</v>
          </cell>
        </row>
        <row r="1453">
          <cell r="A1453" t="str">
            <v>65832-1</v>
          </cell>
          <cell r="B1453" t="str">
            <v>MAR'21</v>
          </cell>
          <cell r="C1453" t="str">
            <v>OK</v>
          </cell>
        </row>
        <row r="1454">
          <cell r="A1454" t="str">
            <v>66372-1</v>
          </cell>
          <cell r="B1454" t="str">
            <v>MAR'21</v>
          </cell>
          <cell r="C1454" t="str">
            <v>OK</v>
          </cell>
        </row>
        <row r="1455">
          <cell r="A1455" t="str">
            <v>66372-2</v>
          </cell>
          <cell r="B1455" t="str">
            <v>MAR'21</v>
          </cell>
          <cell r="C1455" t="str">
            <v>OK</v>
          </cell>
        </row>
        <row r="1456">
          <cell r="A1456" t="str">
            <v>82643-1</v>
          </cell>
          <cell r="B1456" t="str">
            <v>MAR'21</v>
          </cell>
          <cell r="C1456" t="str">
            <v>OK</v>
          </cell>
        </row>
        <row r="1457">
          <cell r="A1457" t="str">
            <v>82643-2</v>
          </cell>
          <cell r="B1457" t="str">
            <v>MAR'21</v>
          </cell>
          <cell r="C1457" t="str">
            <v>OK</v>
          </cell>
        </row>
        <row r="1458">
          <cell r="A1458" t="str">
            <v>82643-3</v>
          </cell>
          <cell r="B1458" t="str">
            <v>MAR'21</v>
          </cell>
          <cell r="C1458" t="str">
            <v>OK</v>
          </cell>
        </row>
        <row r="1459">
          <cell r="A1459" t="str">
            <v>83165-1</v>
          </cell>
          <cell r="B1459" t="str">
            <v>MAR'21</v>
          </cell>
          <cell r="C1459" t="str">
            <v>OK</v>
          </cell>
        </row>
        <row r="1460">
          <cell r="A1460" t="str">
            <v>86683-1</v>
          </cell>
          <cell r="B1460" t="str">
            <v>MAR'21</v>
          </cell>
          <cell r="C1460" t="str">
            <v>OK</v>
          </cell>
        </row>
        <row r="1461">
          <cell r="A1461" t="str">
            <v>30237-3</v>
          </cell>
          <cell r="B1461" t="str">
            <v>Jan'21</v>
          </cell>
          <cell r="C1461" t="str">
            <v>OK</v>
          </cell>
        </row>
        <row r="1462">
          <cell r="A1462" t="str">
            <v>84408-1</v>
          </cell>
          <cell r="B1462" t="str">
            <v>MAR'21</v>
          </cell>
          <cell r="C1462" t="str">
            <v>OK</v>
          </cell>
        </row>
        <row r="1463">
          <cell r="A1463" t="str">
            <v>69086-1</v>
          </cell>
          <cell r="B1463" t="str">
            <v>Feb'21</v>
          </cell>
          <cell r="C1463" t="str">
            <v>OK</v>
          </cell>
        </row>
        <row r="1464">
          <cell r="A1464" t="str">
            <v>49378-2</v>
          </cell>
          <cell r="B1464" t="str">
            <v>Jan'21</v>
          </cell>
          <cell r="C1464" t="str">
            <v>OK</v>
          </cell>
        </row>
        <row r="1465">
          <cell r="A1465" t="str">
            <v>68348-4</v>
          </cell>
          <cell r="B1465" t="str">
            <v>Feb'21</v>
          </cell>
          <cell r="C1465" t="str">
            <v>OK</v>
          </cell>
        </row>
        <row r="1466">
          <cell r="A1466" t="str">
            <v>74618-6</v>
          </cell>
          <cell r="B1466" t="str">
            <v>Feb'21</v>
          </cell>
          <cell r="C1466" t="str">
            <v>OK</v>
          </cell>
        </row>
        <row r="1467">
          <cell r="A1467" t="str">
            <v>80563-1</v>
          </cell>
          <cell r="B1467" t="str">
            <v>MAR'21</v>
          </cell>
          <cell r="C1467" t="str">
            <v>OK</v>
          </cell>
        </row>
        <row r="1468">
          <cell r="A1468" t="str">
            <v>80755-1</v>
          </cell>
          <cell r="B1468" t="str">
            <v>MAR'21</v>
          </cell>
          <cell r="C1468" t="str">
            <v>OK</v>
          </cell>
        </row>
        <row r="1469">
          <cell r="A1469" t="str">
            <v>75237-8</v>
          </cell>
          <cell r="B1469" t="str">
            <v>Feb'21</v>
          </cell>
          <cell r="C1469" t="str">
            <v>OK</v>
          </cell>
        </row>
        <row r="1470">
          <cell r="A1470" t="str">
            <v>73866-1</v>
          </cell>
          <cell r="B1470" t="str">
            <v>MAR'21</v>
          </cell>
          <cell r="C1470" t="str">
            <v>OK</v>
          </cell>
        </row>
        <row r="1471">
          <cell r="A1471" t="str">
            <v>80983-6</v>
          </cell>
          <cell r="B1471" t="str">
            <v>MAR'21</v>
          </cell>
          <cell r="C1471" t="str">
            <v>OK</v>
          </cell>
        </row>
        <row r="1472">
          <cell r="A1472" t="str">
            <v>75992-7</v>
          </cell>
          <cell r="B1472" t="str">
            <v>MAR'21</v>
          </cell>
          <cell r="C1472" t="str">
            <v>OK</v>
          </cell>
        </row>
        <row r="1473">
          <cell r="A1473" t="str">
            <v>87140-11</v>
          </cell>
          <cell r="B1473" t="str">
            <v>MAR'21</v>
          </cell>
          <cell r="C1473" t="str">
            <v>OK</v>
          </cell>
        </row>
        <row r="1474">
          <cell r="A1474" t="str">
            <v>87140-21</v>
          </cell>
          <cell r="B1474" t="str">
            <v>MAR'21</v>
          </cell>
          <cell r="C1474" t="str">
            <v>OK</v>
          </cell>
        </row>
        <row r="1475">
          <cell r="A1475" t="str">
            <v>87140-22</v>
          </cell>
          <cell r="B1475" t="str">
            <v>MAR'21</v>
          </cell>
          <cell r="C1475" t="str">
            <v>OK</v>
          </cell>
        </row>
        <row r="1476">
          <cell r="A1476" t="str">
            <v>87140-23</v>
          </cell>
          <cell r="B1476" t="str">
            <v>MAR'21</v>
          </cell>
          <cell r="C1476" t="str">
            <v>OK</v>
          </cell>
        </row>
        <row r="1477">
          <cell r="A1477" t="str">
            <v>87490-14</v>
          </cell>
          <cell r="B1477" t="str">
            <v>MAR'21</v>
          </cell>
          <cell r="C1477" t="str">
            <v>OK</v>
          </cell>
        </row>
      </sheetData>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Subhash" refreshedDate="45728.77960347222" createdVersion="8" refreshedVersion="8" minRefreshableVersion="3" recordCount="1416" xr:uid="{B801C37C-376A-4B3C-94F2-22EB946A85C4}">
  <cacheSource type="worksheet">
    <worksheetSource ref="AH1:AH1048576" sheet="5 week format May'25"/>
  </cacheSource>
  <cacheFields count="118">
    <cacheField name="Plant" numFmtId="0">
      <sharedItems containsString="0" containsBlank="1" containsNumber="1" containsInteger="1" minValue="742" maxValue="8214"/>
    </cacheField>
    <cacheField name="Date" numFmtId="164">
      <sharedItems containsNonDate="0" containsDate="1" containsString="0" containsBlank="1" minDate="2024-10-04T00:00:00" maxDate="2025-03-11T00:00:00"/>
    </cacheField>
    <cacheField name="order type" numFmtId="0">
      <sharedItems containsBlank="1"/>
    </cacheField>
    <cacheField name="SO No" numFmtId="0">
      <sharedItems containsBlank="1" containsMixedTypes="1" containsNumber="1" containsInteger="1" minValue="4000487111" maxValue="9518588324"/>
    </cacheField>
    <cacheField name="Item No" numFmtId="1">
      <sharedItems containsString="0" containsBlank="1" containsNumber="1" containsInteger="1" minValue="1" maxValue="27"/>
    </cacheField>
    <cacheField name="SO-item" numFmtId="0">
      <sharedItems containsBlank="1"/>
    </cacheField>
    <cacheField name="Remarks" numFmtId="0">
      <sharedItems containsNonDate="0" containsString="0" containsBlank="1"/>
    </cacheField>
    <cacheField name="Priority " numFmtId="0">
      <sharedItems containsBlank="1"/>
    </cacheField>
    <cacheField name="Status" numFmtId="0">
      <sharedItems containsBlank="1"/>
    </cacheField>
    <cacheField name="Product" numFmtId="0">
      <sharedItems containsBlank="1" count="7">
        <s v="HRPO"/>
        <s v="CRCA"/>
        <s v="GP"/>
        <s v="GL"/>
        <s v="PPGL"/>
        <s v="CRFH"/>
        <m/>
      </sharedItems>
    </cacheField>
    <cacheField name="Brand" numFmtId="0">
      <sharedItems containsBlank="1" count="17">
        <s v="BPRS"/>
        <s v="Steelium Super"/>
        <s v="Kosh Narrow"/>
        <s v="Steelium  "/>
        <s v="IPP Stamping"/>
        <s v="IPP"/>
        <s v="Kosh Wider"/>
        <s v="Bluescope"/>
        <s v="GalvaRos"/>
        <s v="Tubes"/>
        <s v="Shaktee coil market"/>
        <s v="CRFH Khopoli"/>
        <s v="Manaksia"/>
        <s v="Solar"/>
        <s v="BPRS Stamping"/>
        <s v="Steelium Milledge"/>
        <m/>
      </sharedItems>
    </cacheField>
    <cacheField name="Sale org" numFmtId="0">
      <sharedItems containsBlank="1" containsMixedTypes="1" containsNumber="1" containsInteger="1" minValue="1000" maxValue="2200"/>
    </cacheField>
    <cacheField name="OSP" numFmtId="1">
      <sharedItems containsString="0" containsBlank="1" containsNumber="1" containsInteger="1" minValue="300" maxValue="6000"/>
    </cacheField>
    <cacheField name="test" numFmtId="1">
      <sharedItems containsBlank="1" count="3">
        <s v="OK"/>
        <s v="N/C"/>
        <m/>
      </sharedItems>
    </cacheField>
    <cacheField name="M&amp;S Priority" numFmtId="1">
      <sharedItems containsBlank="1"/>
    </cacheField>
    <cacheField name="PPC Remarks" numFmtId="164">
      <sharedItems containsBlank="1"/>
    </cacheField>
    <cacheField name="Cust State" numFmtId="164">
      <sharedItems containsBlank="1"/>
    </cacheField>
    <cacheField name="SM/ZONE" numFmtId="0">
      <sharedItems containsBlank="1"/>
    </cacheField>
    <cacheField name="Destination" numFmtId="0">
      <sharedItems containsBlank="1"/>
    </cacheField>
    <cacheField name="Product type" numFmtId="0">
      <sharedItems containsNonDate="0" containsString="0" containsBlank="1"/>
    </cacheField>
    <cacheField name="Customer Code" numFmtId="0">
      <sharedItems containsString="0" containsBlank="1" containsNumber="1" containsInteger="1" minValue="100922" maxValue="948173"/>
    </cacheField>
    <cacheField name="Customer Name" numFmtId="0">
      <sharedItems containsBlank="1"/>
    </cacheField>
    <cacheField name="Material" numFmtId="0">
      <sharedItems containsString="0" containsBlank="1" containsNumber="1" containsInteger="1" minValue="27569" maxValue="3947394"/>
    </cacheField>
    <cacheField name="MATERIAL DESC." numFmtId="1">
      <sharedItems containsBlank="1"/>
    </cacheField>
    <cacheField name="AZ Coating" numFmtId="1">
      <sharedItems containsBlank="1" containsMixedTypes="1" containsNumber="1" containsInteger="1" minValue="70" maxValue="200"/>
    </cacheField>
    <cacheField name="Top Colour" numFmtId="1">
      <sharedItems containsBlank="1"/>
    </cacheField>
    <cacheField name="Min coil wt" numFmtId="1">
      <sharedItems containsString="0" containsBlank="1" containsNumber="1" minValue="0" maxValue="25"/>
    </cacheField>
    <cacheField name="Max coil wt" numFmtId="1">
      <sharedItems containsString="0" containsBlank="1" containsNumber="1" minValue="0" maxValue="35"/>
    </cacheField>
    <cacheField name="width type" numFmtId="1">
      <sharedItems containsBlank="1"/>
    </cacheField>
    <cacheField name="P. code" numFmtId="0">
      <sharedItems containsBlank="1" containsMixedTypes="1" containsNumber="1" containsInteger="1" minValue="768" maxValue="768"/>
    </cacheField>
    <cacheField name="Q  Code" numFmtId="0">
      <sharedItems containsBlank="1"/>
    </cacheField>
    <cacheField name="TDC NO" numFmtId="0">
      <sharedItems containsBlank="1"/>
    </cacheField>
    <cacheField name="Thk" numFmtId="0">
      <sharedItems containsString="0" containsBlank="1" containsNumber="1" minValue="0" maxValue="5"/>
    </cacheField>
    <cacheField name="Width" numFmtId="1">
      <sharedItems containsString="0" containsBlank="1" containsNumber="1" containsInteger="1" minValue="900" maxValue="1350"/>
    </cacheField>
    <cacheField name="LENGTH" numFmtId="1">
      <sharedItems containsString="0" containsBlank="1" containsNumber="1" containsInteger="1" minValue="0" maxValue="6486"/>
    </cacheField>
    <cacheField name="Order Quantity" numFmtId="1">
      <sharedItems containsString="0" containsBlank="1" containsNumber="1" minValue="1E-3" maxValue="405"/>
    </cacheField>
    <cacheField name="FG Qty" numFmtId="1">
      <sharedItems containsBlank="1" containsMixedTypes="1" containsNumber="1" minValue="0" maxValue="469.47500000000002"/>
    </cacheField>
    <cacheField name="Bal. to Finish 21.02.25" numFmtId="1">
      <sharedItems containsString="0" containsBlank="1" containsNumber="1" minValue="1E-3" maxValue="405"/>
    </cacheField>
    <cacheField name="Bal. to Finish 24.02.25" numFmtId="1">
      <sharedItems containsString="0" containsBlank="1" containsNumber="1" minValue="-33.96" maxValue="405"/>
    </cacheField>
    <cacheField name="WIP 24.02.25" numFmtId="1">
      <sharedItems containsBlank="1" containsMixedTypes="1" containsNumber="1" minValue="0" maxValue="410.39"/>
    </cacheField>
    <cacheField name="Balance to Plan 24.02.25" numFmtId="1">
      <sharedItems containsBlank="1" containsMixedTypes="1" containsNumber="1" minValue="-0.32" maxValue="348"/>
    </cacheField>
    <cacheField name="HRC Avl." numFmtId="1">
      <sharedItems containsString="0" containsBlank="1" containsNumber="1" minValue="0" maxValue="300"/>
    </cacheField>
    <cacheField name="Expected GR" numFmtId="1">
      <sharedItems containsString="0" containsBlank="1" containsNumber="1" minValue="0" maxValue="300"/>
    </cacheField>
    <cacheField name="Exp BTF 01.03.25" numFmtId="1">
      <sharedItems containsString="0" containsBlank="1" containsNumber="1" minValue="0" maxValue="348"/>
    </cacheField>
    <cacheField name="Actual BTF 01.03.25" numFmtId="1">
      <sharedItems containsString="0" containsBlank="1" containsNumber="1" minValue="0" maxValue="348"/>
    </cacheField>
    <cacheField name="TSK FHCR available" numFmtId="1">
      <sharedItems containsString="0" containsBlank="1" containsNumber="1" containsInteger="1" minValue="0" maxValue="0"/>
    </cacheField>
    <cacheField name="BTR @ +12%" numFmtId="1">
      <sharedItems containsString="0" containsBlank="1" containsNumber="1" minValue="-4.3903999999999987" maxValue="389.76000000000005"/>
    </cacheField>
    <cacheField name="T" numFmtId="1">
      <sharedItems containsString="0" containsBlank="1" containsNumber="1" minValue="0" maxValue="287.14"/>
    </cacheField>
    <cacheField name="P" numFmtId="1">
      <sharedItems containsString="0" containsBlank="1" containsNumber="1" minValue="0" maxValue="49.47"/>
    </cacheField>
    <cacheField name="M" numFmtId="1">
      <sharedItems containsString="0" containsBlank="1" containsNumber="1" minValue="0" maxValue="147.49"/>
    </cacheField>
    <cacheField name="TR" numFmtId="1">
      <sharedItems containsString="0" containsBlank="1" containsNumber="1" minValue="0" maxValue="60.83"/>
    </cacheField>
    <cacheField name="GP02" numFmtId="1">
      <sharedItems containsString="0" containsBlank="1" containsNumber="1" minValue="0" maxValue="169.81"/>
    </cacheField>
    <cacheField name="GP03" numFmtId="1">
      <sharedItems containsString="0" containsBlank="1" containsNumber="1" minValue="0" maxValue="95.91"/>
    </cacheField>
    <cacheField name="E" numFmtId="1">
      <sharedItems containsString="0" containsBlank="1" containsNumber="1" minValue="0" maxValue="237.39500000000001"/>
    </cacheField>
    <cacheField name="X" numFmtId="1">
      <sharedItems containsString="0" containsBlank="1" containsNumber="1" minValue="0" maxValue="84.57"/>
    </cacheField>
    <cacheField name="C" numFmtId="1">
      <sharedItems containsString="0" containsBlank="1" containsNumber="1" minValue="0" maxValue="78.260000000000005"/>
    </cacheField>
    <cacheField name="A" numFmtId="1">
      <sharedItems containsString="0" containsBlank="1" containsNumber="1" minValue="0" maxValue="119.43"/>
    </cacheField>
    <cacheField name="B" numFmtId="1">
      <sharedItems containsString="0" containsBlank="1" containsNumber="1" minValue="0" maxValue="82.44"/>
    </cacheField>
    <cacheField name="N" numFmtId="1">
      <sharedItems containsString="0" containsBlank="1" containsNumber="1" minValue="0" maxValue="131.53"/>
    </cacheField>
    <cacheField name="I" numFmtId="1">
      <sharedItems containsString="0" containsBlank="1" containsNumber="1" minValue="0" maxValue="235.63"/>
    </cacheField>
    <cacheField name="R" numFmtId="1">
      <sharedItems containsString="0" containsBlank="1" containsNumber="1" minValue="0" maxValue="85.89"/>
    </cacheField>
    <cacheField name="NC" numFmtId="1">
      <sharedItems containsString="0" containsBlank="1" containsNumber="1" minValue="0" maxValue="51.965000000000003"/>
    </cacheField>
    <cacheField name="PP" numFmtId="1">
      <sharedItems containsString="0" containsBlank="1" containsNumber="1" minValue="0" maxValue="142.53"/>
    </cacheField>
    <cacheField name="QA" numFmtId="1">
      <sharedItems containsString="0" containsBlank="1" containsNumber="1" minValue="0" maxValue="110.91500000000001"/>
    </cacheField>
    <cacheField name="Pack" numFmtId="1">
      <sharedItems containsString="0" containsBlank="1" containsNumber="1" minValue="0" maxValue="242.52500000000001"/>
    </cacheField>
    <cacheField name="Total WIP 21.02.25" numFmtId="1">
      <sharedItems containsString="0" containsBlank="1" containsNumber="1" minValue="0" maxValue="393.625"/>
    </cacheField>
    <cacheField name="Expected FG by 28.02.25" numFmtId="1">
      <sharedItems containsString="0" containsBlank="1" containsNumber="1" minValue="0" maxValue="393.62499999999994"/>
    </cacheField>
    <cacheField name="Further plan" numFmtId="1">
      <sharedItems containsString="0" containsBlank="1" containsNumber="1" containsInteger="1" minValue="0" maxValue="0"/>
    </cacheField>
    <cacheField name="Total Expected FG 31.01.25" numFmtId="1">
      <sharedItems containsString="0" containsBlank="1" containsNumber="1" minValue="0" maxValue="393.62499999999994"/>
    </cacheField>
    <cacheField name="CF WIP" numFmtId="1">
      <sharedItems containsString="0" containsBlank="1" containsNumber="1" minValue="-300" maxValue="290.16500000000002"/>
    </cacheField>
    <cacheField name="FG stock 01.03.25" numFmtId="1">
      <sharedItems containsString="0" containsBlank="1" containsNumber="1" minValue="0" maxValue="276"/>
    </cacheField>
    <cacheField name="Total planned GR" numFmtId="1">
      <sharedItems containsString="0" containsBlank="1" containsNumber="1" minValue="0" maxValue="348"/>
    </cacheField>
    <cacheField name="FG 202509" numFmtId="1">
      <sharedItems containsString="0" containsBlank="1" containsNumber="1" minValue="0" maxValue="28.875"/>
    </cacheField>
    <cacheField name="FG 202510" numFmtId="1">
      <sharedItems containsString="0" containsBlank="1" containsNumber="1" minValue="0" maxValue="297"/>
    </cacheField>
    <cacheField name="FG 202511" numFmtId="1">
      <sharedItems containsString="0" containsBlank="1" containsNumber="1" minValue="0" maxValue="300"/>
    </cacheField>
    <cacheField name="FG 202512" numFmtId="1">
      <sharedItems containsString="0" containsBlank="1" containsNumber="1" minValue="0" maxValue="348"/>
    </cacheField>
    <cacheField name="FG 202513" numFmtId="1">
      <sharedItems containsString="0" containsBlank="1" containsNumber="1" minValue="0" maxValue="297"/>
    </cacheField>
    <cacheField name="Total planned Dispatch" numFmtId="1">
      <sharedItems containsString="0" containsBlank="1" containsNumber="1" minValue="0" maxValue="373.96500000000003"/>
    </cacheField>
    <cacheField name="Disp 202509" numFmtId="1">
      <sharedItems containsString="0" containsBlank="1" containsNumber="1" minValue="0" maxValue="103.19500000000002"/>
    </cacheField>
    <cacheField name="Disp 202510" numFmtId="1">
      <sharedItems containsString="0" containsBlank="1" containsNumber="1" minValue="0" maxValue="297"/>
    </cacheField>
    <cacheField name="Disp 202511" numFmtId="1">
      <sharedItems containsString="0" containsBlank="1" containsNumber="1" minValue="0" maxValue="297"/>
    </cacheField>
    <cacheField name="Disp 202512" numFmtId="1">
      <sharedItems containsString="0" containsBlank="1" containsNumber="1" minValue="0" maxValue="373.96500000000003"/>
    </cacheField>
    <cacheField name="Disp 202513" numFmtId="1">
      <sharedItems containsString="0" containsBlank="1" containsNumber="1" minValue="0" maxValue="294"/>
    </cacheField>
    <cacheField name="CF stock for Apr'25" numFmtId="1">
      <sharedItems containsString="0" containsBlank="1" containsNumber="1" minValue="-1.0000000000005116E-2" maxValue="297"/>
    </cacheField>
    <cacheField name="Total Act GR" numFmtId="1">
      <sharedItems containsString="0" containsBlank="1" containsNumber="1" minValue="0" maxValue="196.75000000000003"/>
    </cacheField>
    <cacheField name="Jan'1st wk GR " numFmtId="1">
      <sharedItems containsString="0" containsBlank="1" containsNumber="1" containsInteger="1" minValue="0" maxValue="0"/>
    </cacheField>
    <cacheField name="Jan'2nd wk GR " numFmtId="1">
      <sharedItems containsString="0" containsBlank="1" containsNumber="1" minValue="0" maxValue="99.375"/>
    </cacheField>
    <cacheField name="Jan'3rd wk GR " numFmtId="1">
      <sharedItems containsString="0" containsBlank="1" containsNumber="1" minValue="0" maxValue="20.995000000000001"/>
    </cacheField>
    <cacheField name="Jan'4th wk GR " numFmtId="1">
      <sharedItems containsString="0" containsBlank="1" containsNumber="1" minValue="0" maxValue="22.815000000000001"/>
    </cacheField>
    <cacheField name="Jan'5th wk GR " numFmtId="1">
      <sharedItems containsString="0" containsBlank="1" containsNumber="1" minValue="0" maxValue="50.654999999999994"/>
    </cacheField>
    <cacheField name="Extra" numFmtId="1">
      <sharedItems containsNonDate="0" containsString="0" containsBlank="1"/>
    </cacheField>
    <cacheField name="Total Act Disp" numFmtId="1">
      <sharedItems containsNonDate="0" containsString="0" containsBlank="1"/>
    </cacheField>
    <cacheField name="Bal. to dispatch" numFmtId="1">
      <sharedItems containsNonDate="0" containsString="0" containsBlank="1"/>
    </cacheField>
    <cacheField name="Jul'1st wk Disp actual" numFmtId="0">
      <sharedItems containsNonDate="0" containsString="0" containsBlank="1"/>
    </cacheField>
    <cacheField name="Jul'2nd wk Disp actual" numFmtId="0">
      <sharedItems containsNonDate="0" containsString="0" containsBlank="1"/>
    </cacheField>
    <cacheField name="Jul'3rd wk Disp actual" numFmtId="0">
      <sharedItems containsNonDate="0" containsString="0" containsBlank="1"/>
    </cacheField>
    <cacheField name="Jul'4th wk Disp actual" numFmtId="0">
      <sharedItems containsNonDate="0" containsString="0" containsBlank="1"/>
    </cacheField>
    <cacheField name="Jul'5th wk Disp actual" numFmtId="0">
      <sharedItems containsNonDate="0" containsString="0" containsBlank="1"/>
    </cacheField>
    <cacheField name="Disp check" numFmtId="0">
      <sharedItems containsNonDate="0" containsString="0" containsBlank="1"/>
    </cacheField>
    <cacheField name="FG_WK01 compliance" numFmtId="0">
      <sharedItems containsBlank="1"/>
    </cacheField>
    <cacheField name="FG_WK02 compliance" numFmtId="0">
      <sharedItems containsBlank="1"/>
    </cacheField>
    <cacheField name="FG_WK03 compliance" numFmtId="0">
      <sharedItems containsBlank="1"/>
    </cacheField>
    <cacheField name="FG_WK04 compliance" numFmtId="0">
      <sharedItems containsBlank="1"/>
    </cacheField>
    <cacheField name="FG_WK-05 compliance" numFmtId="0">
      <sharedItems containsBlank="1"/>
    </cacheField>
    <cacheField name="Jul'1st wk Disp compliance" numFmtId="0">
      <sharedItems containsNonDate="0" containsString="0" containsBlank="1"/>
    </cacheField>
    <cacheField name="Jul'2nd wk Disp compliance" numFmtId="0">
      <sharedItems containsNonDate="0" containsString="0" containsBlank="1"/>
    </cacheField>
    <cacheField name="Jul'3rd wk Disp compliance" numFmtId="0">
      <sharedItems containsNonDate="0" containsString="0" containsBlank="1"/>
    </cacheField>
    <cacheField name="Jul'4th wk Disp compliance" numFmtId="0">
      <sharedItems containsNonDate="0" containsString="0" containsBlank="1"/>
    </cacheField>
    <cacheField name="Jul'5th wk Disp compliance" numFmtId="0">
      <sharedItems containsNonDate="0" containsString="0" containsBlank="1"/>
    </cacheField>
    <cacheField name="Reasons for failure" numFmtId="0">
      <sharedItems containsBlank="1"/>
    </cacheField>
    <cacheField name="Failure Reasons Summary" numFmtId="0">
      <sharedItems containsNonDate="0" containsString="0" containsBlank="1"/>
    </cacheField>
    <cacheField name="Compliance summary" numFmtId="0">
      <sharedItems containsNonDate="0" containsString="0" containsBlank="1"/>
    </cacheField>
    <cacheField name="1st week" numFmtId="0">
      <sharedItems containsNonDate="0" containsString="0" containsBlank="1"/>
    </cacheField>
    <cacheField name="2nd week" numFmtId="0">
      <sharedItems containsNonDate="0" containsString="0" containsBlank="1"/>
    </cacheField>
    <cacheField name="3rd week" numFmtId="0">
      <sharedItems containsNonDate="0" containsString="0" containsBlank="1"/>
    </cacheField>
    <cacheField name="4th week" numFmtId="0">
      <sharedItems containsNonDate="0" containsString="0" containsBlank="1"/>
    </cacheField>
    <cacheField name="5th week" numFmtId="0">
      <sharedItems containsNonDate="0" containsString="0" containsBlank="1"/>
    </cacheField>
    <cacheField name="Tot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Subhash" refreshedDate="45779.62497488426" createdVersion="8" refreshedVersion="8" minRefreshableVersion="3" recordCount="1720" xr:uid="{58561229-ED79-4B1B-9570-A76114B34154}">
  <cacheSource type="worksheet">
    <worksheetSource ref="A1:AY802" sheet="5 week format May'25"/>
  </cacheSource>
  <cacheFields count="113">
    <cacheField name="Plant" numFmtId="0">
      <sharedItems containsSemiMixedTypes="0" containsString="0" containsNumber="1" containsInteger="1" minValue="742" maxValue="8214"/>
    </cacheField>
    <cacheField name="Date" numFmtId="164">
      <sharedItems containsNonDate="0" containsDate="1" containsString="0" containsBlank="1" minDate="2025-01-02T00:00:00" maxDate="2025-04-30T00:00:00"/>
    </cacheField>
    <cacheField name="order type" numFmtId="0">
      <sharedItems containsBlank="1"/>
    </cacheField>
    <cacheField name="SO No" numFmtId="0">
      <sharedItems containsBlank="1" containsMixedTypes="1" containsNumber="1" containsInteger="1" minValue="4000495825" maxValue="9518731229"/>
    </cacheField>
    <cacheField name="Item No" numFmtId="1">
      <sharedItems containsBlank="1" containsMixedTypes="1" containsNumber="1" containsInteger="1" minValue="1" maxValue="28"/>
    </cacheField>
    <cacheField name="SO-item" numFmtId="0">
      <sharedItems containsBlank="1"/>
    </cacheField>
    <cacheField name="Priority " numFmtId="0">
      <sharedItems/>
    </cacheField>
    <cacheField name="Status" numFmtId="0">
      <sharedItems count="3">
        <s v="Released orders"/>
        <s v="Failed orders"/>
        <s v="For trial orders"/>
      </sharedItems>
    </cacheField>
    <cacheField name="RM Indent Yes/No" numFmtId="0">
      <sharedItems containsBlank="1"/>
    </cacheField>
    <cacheField name="Product" numFmtId="0">
      <sharedItems count="6">
        <s v="HRPO"/>
        <s v="CRCA"/>
        <s v="PPGL"/>
        <s v="GP"/>
        <s v="GL"/>
        <s v="CRFH"/>
      </sharedItems>
    </cacheField>
    <cacheField name="Brand" numFmtId="0">
      <sharedItems count="20">
        <s v="BPRS"/>
        <s v="Steelium  "/>
        <s v="Steelium Super"/>
        <s v="Bluescope"/>
        <s v="Shaktee coil market"/>
        <s v="Solar"/>
        <s v="Tubes"/>
        <s v="IPP Stamping"/>
        <s v="CRFH Khopoli"/>
        <s v="Kosh Narrow"/>
        <s v="IPP"/>
        <s v="Steelium Milledge"/>
        <s v="BPRS Stamping"/>
        <s v="Jindal India"/>
        <s v="Kosh Wider"/>
        <s v="Auto"/>
        <s v="BPRS  "/>
        <s v="Export"/>
        <s v="BPR &amp; IPP Trial orfders"/>
        <s v="C30 Trial"/>
      </sharedItems>
    </cacheField>
    <cacheField name="Sale org" numFmtId="0">
      <sharedItems containsMixedTypes="1" containsNumber="1" containsInteger="1" minValue="1000" maxValue="3000"/>
    </cacheField>
    <cacheField name="OSP" numFmtId="1">
      <sharedItems containsString="0" containsBlank="1" containsNumber="1" containsInteger="1" minValue="300" maxValue="9000"/>
    </cacheField>
    <cacheField name="test" numFmtId="1">
      <sharedItems count="2">
        <s v="N/C"/>
        <s v="OK"/>
      </sharedItems>
    </cacheField>
    <cacheField name="M&amp;S Priority" numFmtId="1">
      <sharedItems containsNonDate="0" containsString="0" containsBlank="1"/>
    </cacheField>
    <cacheField name="PPC Remarks" numFmtId="164">
      <sharedItems containsBlank="1"/>
    </cacheField>
    <cacheField name="Cust State" numFmtId="0">
      <sharedItems containsBlank="1"/>
    </cacheField>
    <cacheField name="SM/ZONE" numFmtId="0">
      <sharedItems containsBlank="1"/>
    </cacheField>
    <cacheField name="Destination" numFmtId="0">
      <sharedItems containsBlank="1"/>
    </cacheField>
    <cacheField name="Product type" numFmtId="0">
      <sharedItems containsBlank="1"/>
    </cacheField>
    <cacheField name="Customer Code" numFmtId="0">
      <sharedItems containsString="0" containsBlank="1" containsNumber="1" containsInteger="1" minValue="100237" maxValue="949285"/>
    </cacheField>
    <cacheField name="Customer Name" numFmtId="0">
      <sharedItems containsBlank="1" count="128">
        <s v="TATA STEEL DOWNSTREAM PRODUCTS LIMI"/>
        <s v="BHAGWATI STEEL SALES"/>
        <s v="INDIA STEEL INDUSTRIES"/>
        <s v="SHORI LAL KEWAL KUMAR"/>
        <s v="BASEER AND CO"/>
        <s v="SUDISA ENTERPRISES (P) LTD."/>
        <s v="TATA BLUESCOPE STEEL PRIVATE LIMITE"/>
        <s v="O.V.S. ISPAT UDYOG"/>
        <s v="SITARAM IRON AND STEEL PVT LTD"/>
        <s v="Kummenchery Steels,"/>
        <s v="R. S. BOKARO METAL (P) LTD."/>
        <s v="RAMESH COMPANY"/>
        <s v="Shree Bajrang Steel Udyog"/>
        <s v="SRI BALAJI STEEL TRADERS"/>
        <s v="S C SHETTAR &amp; SONS PRIVATE LIM"/>
        <s v="TATA BLUESCOPE STEEL PVT LTD."/>
        <s v="S C SHETTAR and SONS PRIVATE LIMITED"/>
        <s v="BAJRANG STEEL (SALES) CORPORATION"/>
        <s v="NAKODA STEEL"/>
        <s v="BHARTIA  DISTRIBUTORS PVT. LTD"/>
        <s v="PSPL STEEL PROCESSORS PRIVATE LIMIT"/>
        <s v="TATA STEEL LIMITED"/>
        <s v="RAVINDRA IRON WORKS"/>
        <s v="TATA CENTER"/>
        <s v="SAGAR STEELS"/>
        <s v="BHARTIA  DISTRIBUTORS PVT. LTD."/>
        <s v="Angul Cold Rolling Mill"/>
        <s v="ANM ISPAT PRIVATE LIMITED"/>
        <s v="ROHIT &amp; COMPANY"/>
        <s v="TATA STEEL LIMITED,"/>
        <s v="BALMER LAWRIE &amp; CO. LIMITED.."/>
        <s v="BMW VENTURES LIMITED"/>
        <s v="K D J P STEELS PVT LTD"/>
        <s v="FERRO STEEL SOLUTIONS"/>
        <s v="DURGA TRADERS"/>
        <s v="VIJAY VENKAT STEELS PRIVATE LIMITED"/>
        <s v="BUBNA COMMERCIAL COMPANY"/>
        <s v="SKM STEELS LIMITED(CRCADIVISIO"/>
        <s v="TATA STEEL DOWNSTREAM PRODUCTS"/>
        <s v="TATA BLUESCOPE STEEL PRIVATE L"/>
        <s v="Balmer Lawrie &amp; Co. Limited"/>
        <s v="Balmer Lawrie &amp; Co. Ltd.,"/>
        <s v="Balmer Lawrie And Co. Ltd."/>
        <s v="Balmer Lawrie And Company Limi"/>
        <s v="PURSHOTAM PROFILES PRIVATE LIM"/>
        <s v="DURGA STEEL INDUSTRIES"/>
        <s v="BABA CONTAINER MANUFACTURERS"/>
        <s v="Galaxy Stamping Pvt. Ltd."/>
        <s v="G.R. GUPTA &amp; BROS."/>
        <s v="SWASTIK STEEL PROCESSOR LLP"/>
        <s v="AGARWAL STEEL TRADERS"/>
        <s v="R R STEEL INDUSTRIES"/>
        <s v="SHORI LAL KEWAL KUMAR."/>
        <s v="MKT STEELS PRIVATE LIMITED"/>
        <s v="GOVINDARAJA MUDALIAR SONS PVT LTD"/>
        <s v="KUMMENCHERY STEELS"/>
        <s v="SHIVA FERRIC PVT LTD"/>
        <s v="G.K.ISPAT PVT.LTD"/>
        <s v="JINDAL INDIA LIMITED"/>
        <s v="TEJRAM RAMNIWAS AGARWAL"/>
        <s v="SAGAR STEELS PROCESSING &amp; MANU"/>
        <s v="PSPL STEEL PROCESSORS PRIVATE"/>
        <s v="PELIKAN DOSSIER PRIVATE LIMITE"/>
        <s v="TATA CENTRE"/>
        <s v="Manaksia Coated Metals &amp; Indus"/>
        <s v="PENNAR INDUSTRIES LIMITED"/>
        <s v="TUBE INVESTMENTS OF INDIA LIMI"/>
        <s v="RAKESH STEELS"/>
        <s v="TUBE INVESTMENTS OF INDIA LIMITED"/>
        <s v="PRESTIGE METALLICS PRIVATE LIMITED"/>
        <s v="BANSAL BROTHERS"/>
        <s v="PRESTIGE METALLICS PRIVATE LIM"/>
        <s v="SHEYRUB AGENCIES"/>
        <s v="MTE STRUCTURES LIMITED"/>
        <s v="S C SHETTAR &amp; SONS PRIVATE LIMITED"/>
        <s v="Manaksia Steels Limited"/>
        <s v="Colorshine Coated Pvt.Ltd."/>
        <s v=""/>
        <s v="WRINKLE DISTRIBUTORS PVT LTD."/>
        <s v="G K ISPAT PRIVATE LIMITED"/>
        <s v="BIHANI ENTERPRISES"/>
        <s v="Malerkotla Steel Industries"/>
        <s v="Khopoli Wider CRM"/>
        <s v="PRABHAT GLOBAL COLOURCOATED PRIVATE"/>
        <s v="PURSHOTAM PROFILES PRIVATE LIMITED"/>
        <s v="BIHANI INTERNATIONAL PVT LTD."/>
        <s v="RAMSAROOP &amp; SONS "/>
        <s v="BANSAL BROTHERS "/>
        <s v="Rakesh Steel Inds.(P) Ltd."/>
        <s v="PASA ASSOCIATES PRIVATE LIMITED"/>
        <s v="CHANDRA CONTAINER MANUACTURERS"/>
        <s v="PELIKAN DOSSIER (P) LTD "/>
        <s v="JAIN STEEL DISTRIBUTORS"/>
        <s v="Balmer Lawrie And Company Limited"/>
        <s v="A.G.P.ENTERPRISE"/>
        <s v="THIRUPATHY STEELS "/>
        <s v="Angul Color Coating Plant"/>
        <s v="ZARON METAL SECTIONS"/>
        <s v="GIRIRAJ EXIM PRIVATE LIMITED"/>
        <s v="JAI LAXMI STEELS"/>
        <s v="SANGEETA STEEL CORPORATION"/>
        <s v="G R GUPTA &amp; BROS"/>
        <s v="Metalkraft Forming Industries Pvt L"/>
        <s v="S K M STEELS LIMITED"/>
        <s v="JAUSHNA STEELS (INDIA) PVT. LTD."/>
        <s v="Manaksia Coated Metals &amp; Industries"/>
        <s v="Tata International West Asia Dmcc"/>
        <s v="Jayarathne Distributors (Pvt) Ltd"/>
        <s v="BAJRANG STEEL (SALES) CORPORAT"/>
        <s v="BESTEEL KUMMENCHERY,"/>
        <s v="DS STEEL"/>
        <s v="GOVINDARAJA MUDALIAR SONS PVT"/>
        <s v="PASA ASSOCIATES PRIVATE LIMITE"/>
        <s v="PRABHAT GLOBAL COLOURCOATED PR"/>
        <s v="THIRUPATHY STEELS"/>
        <s v="VIJAY VENKAT STEELS PRIVATE LI"/>
        <s v="GODREJ AND BOYCE MANUFACTURING"/>
        <s v="Metalkraft Forming Industries"/>
        <s v="R.S. STEELS"/>
        <s v="NAKODA POWER GREEN ENERGY LIMI"/>
        <s v="CHANDRA CONTAINER MANUFACTURERS"/>
        <m/>
        <s v="Hitkar Enterprises"/>
        <s v="Hosur Tube Plant"/>
        <s v="BMW VYAPAR PRIVATE LIMITED"/>
        <s v="GRIP STRAPPING TECHNOLOGIES PVT. LT"/>
        <s v="Purshotam Profiles Pvt. Ltd."/>
        <s v="Magni Steel Pvt Ltd"/>
      </sharedItems>
    </cacheField>
    <cacheField name="Material" numFmtId="0">
      <sharedItems containsString="0" containsBlank="1" containsNumber="1" containsInteger="1" minValue="26120" maxValue="4015694"/>
    </cacheField>
    <cacheField name="MATERIAL DESC." numFmtId="1">
      <sharedItems containsBlank="1"/>
    </cacheField>
    <cacheField name="AZ Coating" numFmtId="1">
      <sharedItems containsBlank="1" containsMixedTypes="1" containsNumber="1" containsInteger="1" minValue="70" maxValue="150"/>
    </cacheField>
    <cacheField name="Top Colour" numFmtId="1">
      <sharedItems containsBlank="1"/>
    </cacheField>
    <cacheField name="Min coil wt" numFmtId="1">
      <sharedItems containsString="0" containsBlank="1" containsNumber="1" minValue="0" maxValue="25"/>
    </cacheField>
    <cacheField name="Max coil wt" numFmtId="1">
      <sharedItems containsString="0" containsBlank="1" containsNumber="1" minValue="0" maxValue="35"/>
    </cacheField>
    <cacheField name="width type" numFmtId="1">
      <sharedItems containsBlank="1"/>
    </cacheField>
    <cacheField name="P. code" numFmtId="1">
      <sharedItems containsBlank="1" containsMixedTypes="1" containsNumber="1" containsInteger="1" minValue="768" maxValue="768"/>
    </cacheField>
    <cacheField name="Q  Code" numFmtId="2">
      <sharedItems containsBlank="1"/>
    </cacheField>
    <cacheField name="TDC NO" numFmtId="1">
      <sharedItems containsBlank="1"/>
    </cacheField>
    <cacheField name="Thk" numFmtId="0">
      <sharedItems containsString="0" containsBlank="1" containsNumber="1" minValue="0" maxValue="6"/>
    </cacheField>
    <cacheField name="Width" numFmtId="1">
      <sharedItems containsString="0" containsBlank="1" containsNumber="1" containsInteger="1" minValue="0" maxValue="1500"/>
    </cacheField>
    <cacheField name="LENGTH" numFmtId="1">
      <sharedItems containsString="0" containsBlank="1" containsNumber="1" containsInteger="1" minValue="0" maxValue="2500"/>
    </cacheField>
    <cacheField name="Order Quantity" numFmtId="1">
      <sharedItems containsString="0" containsBlank="1" containsNumber="1" minValue="3" maxValue="560"/>
    </cacheField>
    <cacheField name="FG Qty" numFmtId="1">
      <sharedItems containsString="0" containsBlank="1" containsNumber="1" minValue="0" maxValue="490.19499999999999"/>
    </cacheField>
    <cacheField name="Bal. to Finish 21.04.25" numFmtId="1">
      <sharedItems containsString="0" containsBlank="1" containsNumber="1" minValue="0" maxValue="560"/>
    </cacheField>
    <cacheField name="Balance to Plan 21.04.25" numFmtId="1">
      <sharedItems containsString="0" containsBlank="1" containsNumber="1" minValue="-74.14" maxValue="420"/>
    </cacheField>
    <cacheField name="Exp BTF 01.05.25" numFmtId="1">
      <sharedItems containsString="0" containsBlank="1" containsNumber="1" minValue="-71.984999999999985" maxValue="300.99900000000002"/>
    </cacheField>
    <cacheField name="Actual BTF 01.05.25" numFmtId="1">
      <sharedItems containsSemiMixedTypes="0" containsString="0" containsNumber="1" minValue="-3.55" maxValue="500"/>
    </cacheField>
    <cacheField name="BTR @ +12%" numFmtId="1">
      <sharedItems containsString="0" containsBlank="1" containsNumber="1" containsInteger="1" minValue="0" maxValue="0"/>
    </cacheField>
    <cacheField name="T" numFmtId="1">
      <sharedItems containsString="0" containsBlank="1" containsNumber="1" minValue="0" maxValue="143.46"/>
    </cacheField>
    <cacheField name="P" numFmtId="1">
      <sharedItems containsString="0" containsBlank="1" containsNumber="1" minValue="0" maxValue="201.38"/>
    </cacheField>
    <cacheField name="M" numFmtId="1">
      <sharedItems containsString="0" containsBlank="1" containsNumber="1" minValue="0" maxValue="137.06"/>
    </cacheField>
    <cacheField name="TR" numFmtId="1">
      <sharedItems containsString="0" containsBlank="1" containsNumber="1" minValue="0" maxValue="62.1"/>
    </cacheField>
    <cacheField name="GP02" numFmtId="1">
      <sharedItems containsString="0" containsBlank="1" containsNumber="1" minValue="0" maxValue="110.03"/>
    </cacheField>
    <cacheField name="GP03" numFmtId="1">
      <sharedItems containsString="0" containsBlank="1" containsNumber="1" minValue="0" maxValue="134.32"/>
    </cacheField>
    <cacheField name="E" numFmtId="1">
      <sharedItems containsString="0" containsBlank="1" containsNumber="1" minValue="0" maxValue="66.930000000000007"/>
    </cacheField>
    <cacheField name="X" numFmtId="1">
      <sharedItems containsString="0" containsBlank="1" containsNumber="1" minValue="0" maxValue="51.204999999999998"/>
    </cacheField>
    <cacheField name="C" numFmtId="1">
      <sharedItems containsString="0" containsBlank="1" containsNumber="1" minValue="0" maxValue="27.810000000000002"/>
    </cacheField>
    <cacheField name="A" numFmtId="1">
      <sharedItems containsString="0" containsBlank="1" containsNumber="1" minValue="0" maxValue="28.865000000000002"/>
    </cacheField>
    <cacheField name="B" numFmtId="1">
      <sharedItems containsString="0" containsBlank="1" containsNumber="1" minValue="0" maxValue="53.09"/>
    </cacheField>
    <cacheField name="N" numFmtId="1">
      <sharedItems containsString="0" containsBlank="1" containsNumber="1" minValue="0" maxValue="238.74"/>
    </cacheField>
    <cacheField name="I" numFmtId="1">
      <sharedItems containsString="0" containsBlank="1" containsNumber="1" minValue="0" maxValue="137.6"/>
    </cacheField>
    <cacheField name="R" numFmtId="1">
      <sharedItems containsString="0" containsBlank="1" containsNumber="1" minValue="0" maxValue="48.125"/>
    </cacheField>
    <cacheField name="NC" numFmtId="1">
      <sharedItems containsString="0" containsBlank="1" containsNumber="1" minValue="0" maxValue="48.125"/>
    </cacheField>
    <cacheField name="PP" numFmtId="1">
      <sharedItems containsString="0" containsBlank="1" containsNumber="1" minValue="0" maxValue="66.27"/>
    </cacheField>
    <cacheField name="QA" numFmtId="1">
      <sharedItems containsString="0" containsBlank="1" containsNumber="1" minValue="0" maxValue="26.965"/>
    </cacheField>
    <cacheField name="Pack" numFmtId="1">
      <sharedItems containsString="0" containsBlank="1" containsNumber="1" minValue="0" maxValue="222.31"/>
    </cacheField>
    <cacheField name="Total WIP 01.05.25" numFmtId="1">
      <sharedItems containsSemiMixedTypes="0" containsString="0" containsNumber="1" minValue="0" maxValue="292.39"/>
    </cacheField>
    <cacheField name="Expected FG by 30.04.25" numFmtId="0">
      <sharedItems containsString="0" containsBlank="1" containsNumber="1" minValue="0" maxValue="292.39"/>
    </cacheField>
    <cacheField name="Further plan" numFmtId="1">
      <sharedItems containsString="0" containsBlank="1" containsNumber="1" containsInteger="1" minValue="0" maxValue="420"/>
    </cacheField>
    <cacheField name="Total Expected FG 30.04.25" numFmtId="1">
      <sharedItems containsString="0" containsBlank="1" containsNumber="1" minValue="0" maxValue="530.78499999999997"/>
    </cacheField>
    <cacheField name="CF WIP" numFmtId="0">
      <sharedItems containsString="0" containsBlank="1" containsNumber="1" containsInteger="1" minValue="-50" maxValue="0"/>
    </cacheField>
    <cacheField name="FG stock 01-05-25" numFmtId="1">
      <sharedItems containsString="0" containsBlank="1" containsNumber="1" minValue="0" maxValue="207.47499999999997"/>
    </cacheField>
    <cacheField name="Total planned GR" numFmtId="1">
      <sharedItems containsString="0" containsBlank="1" containsNumber="1" minValue="0" maxValue="560"/>
    </cacheField>
    <cacheField name="FG 202518" numFmtId="1">
      <sharedItems containsString="0" containsBlank="1" containsNumber="1" minValue="0" maxValue="237.58"/>
    </cacheField>
    <cacheField name="FG 202515" numFmtId="1">
      <sharedItems containsString="0" containsBlank="1" containsNumber="1" minValue="0" maxValue="560"/>
    </cacheField>
    <cacheField name="FG 202516" numFmtId="1">
      <sharedItems containsString="0" containsBlank="1" containsNumber="1" minValue="0" maxValue="560"/>
    </cacheField>
    <cacheField name="FG 202517" numFmtId="1">
      <sharedItems containsString="0" containsBlank="1" containsNumber="1" minValue="0" maxValue="560"/>
    </cacheField>
    <cacheField name="FG 2025182" numFmtId="1">
      <sharedItems containsString="0" containsBlank="1" containsNumber="1" minValue="0" maxValue="560"/>
    </cacheField>
    <cacheField name="Total planned Dispatch" numFmtId="1">
      <sharedItems containsString="0" containsBlank="1" containsNumber="1" minValue="0" maxValue="560"/>
    </cacheField>
    <cacheField name="Disp 202514" numFmtId="1">
      <sharedItems containsString="0" containsBlank="1" containsNumber="1" minValue="0" maxValue="135.59000000000003"/>
    </cacheField>
    <cacheField name="Disp 202515" numFmtId="1">
      <sharedItems containsString="0" containsBlank="1" containsNumber="1" minValue="0" maxValue="560"/>
    </cacheField>
    <cacheField name="Disp 202516" numFmtId="1">
      <sharedItems containsString="0" containsBlank="1" containsNumber="1" minValue="0" maxValue="321.95999999999998"/>
    </cacheField>
    <cacheField name="Disp 202517" numFmtId="1">
      <sharedItems containsString="0" containsBlank="1" containsNumber="1" minValue="0" maxValue="560"/>
    </cacheField>
    <cacheField name="Disp 202518" numFmtId="1">
      <sharedItems containsString="0" containsBlank="1" containsNumber="1" minValue="0" maxValue="560"/>
    </cacheField>
    <cacheField name="CF stock May'25" numFmtId="1">
      <sharedItems containsString="0" containsBlank="1" containsNumber="1" minValue="0" maxValue="560"/>
    </cacheField>
    <cacheField name="Total Act GR" numFmtId="1">
      <sharedItems containsString="0" containsBlank="1" containsNumber="1" minValue="0" maxValue="215.93999999999997"/>
    </cacheField>
    <cacheField name="Apr'1st wk GR " numFmtId="1">
      <sharedItems containsString="0" containsBlank="1" containsNumber="1" minValue="0" maxValue="148.435"/>
    </cacheField>
    <cacheField name="Apr'2nd wk GR " numFmtId="1">
      <sharedItems containsString="0" containsBlank="1" containsNumber="1" minValue="0" maxValue="215.93999999999997"/>
    </cacheField>
    <cacheField name="Apr'3rd wk GR " numFmtId="1">
      <sharedItems containsString="0" containsBlank="1" containsNumber="1" minValue="0" maxValue="158.91999999999996"/>
    </cacheField>
    <cacheField name="Apr'4th wk GR " numFmtId="0">
      <sharedItems containsString="0" containsBlank="1" containsNumber="1" minValue="0" maxValue="86.575000000000017"/>
    </cacheField>
    <cacheField name="Apr'5th wk GR " numFmtId="0">
      <sharedItems containsString="0" containsBlank="1" containsNumber="1" minValue="0" maxValue="18.68"/>
    </cacheField>
    <cacheField name="Extra" numFmtId="0">
      <sharedItems containsString="0" containsBlank="1" containsNumber="1" minValue="0" maxValue="118.23000000000002"/>
    </cacheField>
    <cacheField name="Total Act Disp" numFmtId="0">
      <sharedItems containsNonDate="0" containsString="0" containsBlank="1"/>
    </cacheField>
    <cacheField name="Bal. to dispatch" numFmtId="0">
      <sharedItems containsNonDate="0" containsString="0" containsBlank="1"/>
    </cacheField>
    <cacheField name="Apr'1st wk Disp actual" numFmtId="0">
      <sharedItems containsNonDate="0" containsString="0" containsBlank="1"/>
    </cacheField>
    <cacheField name="Apr'2nd wk Disp actual" numFmtId="0">
      <sharedItems containsNonDate="0" containsString="0" containsBlank="1"/>
    </cacheField>
    <cacheField name="Apr'3rd wk Disp actual" numFmtId="0">
      <sharedItems containsNonDate="0" containsString="0" containsBlank="1"/>
    </cacheField>
    <cacheField name="Apr'4th wk Disp actual" numFmtId="0">
      <sharedItems containsNonDate="0" containsString="0" containsBlank="1"/>
    </cacheField>
    <cacheField name="Apr'5th wk Disp actual" numFmtId="0">
      <sharedItems containsNonDate="0" containsString="0" containsBlank="1"/>
    </cacheField>
    <cacheField name="Disp check" numFmtId="0">
      <sharedItems containsNonDate="0" containsString="0" containsBlank="1"/>
    </cacheField>
    <cacheField name="FG_WK01 compliance" numFmtId="0">
      <sharedItems containsBlank="1"/>
    </cacheField>
    <cacheField name="FG_WK02 compliance" numFmtId="0">
      <sharedItems containsBlank="1"/>
    </cacheField>
    <cacheField name="FG_WK03 compliance" numFmtId="0">
      <sharedItems containsBlank="1"/>
    </cacheField>
    <cacheField name="FG_WK04 compliance" numFmtId="0">
      <sharedItems containsBlank="1"/>
    </cacheField>
    <cacheField name="FG_WK-05 compliance" numFmtId="0">
      <sharedItems containsBlank="1"/>
    </cacheField>
    <cacheField name="Apr'1st wk Disp compliance" numFmtId="0">
      <sharedItems containsNonDate="0" containsString="0" containsBlank="1"/>
    </cacheField>
    <cacheField name="Apr'2nd wk Disp compliance" numFmtId="0">
      <sharedItems containsNonDate="0" containsString="0" containsBlank="1"/>
    </cacheField>
    <cacheField name="Apr'3rd wk Disp compliance" numFmtId="0">
      <sharedItems containsNonDate="0" containsString="0" containsBlank="1"/>
    </cacheField>
    <cacheField name="Apr'4th wk Disp compliance" numFmtId="0">
      <sharedItems containsNonDate="0" containsString="0" containsBlank="1"/>
    </cacheField>
    <cacheField name="Apr'5th wk Disp compliance" numFmtId="0">
      <sharedItems containsNonDate="0" containsString="0" containsBlank="1"/>
    </cacheField>
    <cacheField name="Reasons for failure" numFmtId="0">
      <sharedItems containsNonDate="0" containsString="0" containsBlank="1"/>
    </cacheField>
    <cacheField name="Failure Reasons Summary" numFmtId="0">
      <sharedItems containsNonDate="0" containsString="0" containsBlank="1"/>
    </cacheField>
    <cacheField name="Compliance summary" numFmtId="0">
      <sharedItems containsNonDate="0" containsString="0" containsBlank="1"/>
    </cacheField>
    <cacheField name="1st week" numFmtId="0">
      <sharedItems containsNonDate="0" containsString="0" containsBlank="1"/>
    </cacheField>
    <cacheField name="2nd week" numFmtId="0">
      <sharedItems containsNonDate="0" containsString="0" containsBlank="1"/>
    </cacheField>
    <cacheField name="3rd week" numFmtId="0">
      <sharedItems containsNonDate="0" containsString="0" containsBlank="1"/>
    </cacheField>
    <cacheField name="4th week" numFmtId="0">
      <sharedItems containsNonDate="0" containsString="0" containsBlank="1"/>
    </cacheField>
    <cacheField name="5th week" numFmtId="0">
      <sharedItems containsNonDate="0" containsString="0" containsBlank="1"/>
    </cacheField>
    <cacheField name="Tot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Subhash" refreshedDate="45780.403981481482" createdVersion="8" refreshedVersion="8" minRefreshableVersion="3" recordCount="1855" xr:uid="{CAA49642-40D4-430D-9CC0-61C490E959D9}">
  <cacheSource type="worksheet">
    <worksheetSource ref="A1:AY961" sheet="5 week format May'25"/>
  </cacheSource>
  <cacheFields count="113">
    <cacheField name="Plant" numFmtId="0">
      <sharedItems containsSemiMixedTypes="0" containsString="0" containsNumber="1" containsInteger="1" minValue="742" maxValue="8214"/>
    </cacheField>
    <cacheField name="Date" numFmtId="164">
      <sharedItems containsNonDate="0" containsDate="1" containsString="0" containsBlank="1" minDate="2025-01-02T00:00:00" maxDate="2025-04-30T00:00:00"/>
    </cacheField>
    <cacheField name="order type" numFmtId="0">
      <sharedItems containsBlank="1"/>
    </cacheField>
    <cacheField name="SO No" numFmtId="0">
      <sharedItems containsBlank="1" containsMixedTypes="1" containsNumber="1" containsInteger="1" minValue="4000495825" maxValue="9518731229"/>
    </cacheField>
    <cacheField name="Item No" numFmtId="1">
      <sharedItems containsBlank="1" containsMixedTypes="1" containsNumber="1" containsInteger="1" minValue="1" maxValue="28"/>
    </cacheField>
    <cacheField name="SO-item" numFmtId="0">
      <sharedItems containsBlank="1"/>
    </cacheField>
    <cacheField name="Priority " numFmtId="0">
      <sharedItems/>
    </cacheField>
    <cacheField name="Status" numFmtId="0">
      <sharedItems containsBlank="1" count="5">
        <s v="Released orders"/>
        <s v="Failed orders"/>
        <s v="For trial orders"/>
        <s v="Order to be logged"/>
        <m/>
      </sharedItems>
    </cacheField>
    <cacheField name="RM Indent Yes/No" numFmtId="0">
      <sharedItems containsBlank="1"/>
    </cacheField>
    <cacheField name="Product" numFmtId="0">
      <sharedItems count="6">
        <s v="HRPO"/>
        <s v="CRCA"/>
        <s v="PPGL"/>
        <s v="GP"/>
        <s v="GL"/>
        <s v="CRFH"/>
      </sharedItems>
    </cacheField>
    <cacheField name="Brand" numFmtId="0">
      <sharedItems count="22">
        <s v="BPRS"/>
        <s v="Steelium  "/>
        <s v="Steelium Super"/>
        <s v="Bluescope"/>
        <s v="Shaktee coil market"/>
        <s v="Solar"/>
        <s v="Tubes"/>
        <s v="IPP Stamping"/>
        <s v="CRFH Khopoli"/>
        <s v="Kosh Narrow"/>
        <s v="IPP"/>
        <s v="Steelium Milledge"/>
        <s v="BPRS Stamping"/>
        <s v="Jindal India"/>
        <s v="Kosh Wider"/>
        <s v="Auto"/>
        <s v="BPRS  "/>
        <s v="Export"/>
        <s v="BPR &amp; IPP Trial orfders"/>
        <s v="C30 Trial"/>
        <s v="Shaktee coil SPC"/>
        <s v="Steelium" u="1"/>
      </sharedItems>
    </cacheField>
    <cacheField name="Sale org" numFmtId="0">
      <sharedItems containsMixedTypes="1" containsNumber="1" containsInteger="1" minValue="1000" maxValue="3000"/>
    </cacheField>
    <cacheField name="OSP" numFmtId="1">
      <sharedItems containsString="0" containsBlank="1" containsNumber="1" containsInteger="1" minValue="400" maxValue="9000"/>
    </cacheField>
    <cacheField name="test" numFmtId="1">
      <sharedItems count="2">
        <s v="N/C"/>
        <s v="OK"/>
      </sharedItems>
    </cacheField>
    <cacheField name="M&amp;S Priority" numFmtId="1">
      <sharedItems containsNonDate="0" containsString="0" containsBlank="1"/>
    </cacheField>
    <cacheField name="PPC Remarks" numFmtId="164">
      <sharedItems containsBlank="1"/>
    </cacheField>
    <cacheField name="Cust State" numFmtId="0">
      <sharedItems containsBlank="1"/>
    </cacheField>
    <cacheField name="SM/ZONE" numFmtId="0">
      <sharedItems containsBlank="1"/>
    </cacheField>
    <cacheField name="Destination" numFmtId="0">
      <sharedItems containsBlank="1"/>
    </cacheField>
    <cacheField name="Product type" numFmtId="0">
      <sharedItems containsBlank="1"/>
    </cacheField>
    <cacheField name="Customer Code" numFmtId="0">
      <sharedItems containsString="0" containsBlank="1" containsNumber="1" containsInteger="1" minValue="100237" maxValue="949285"/>
    </cacheField>
    <cacheField name="Customer Name" numFmtId="0">
      <sharedItems containsBlank="1"/>
    </cacheField>
    <cacheField name="Material" numFmtId="0">
      <sharedItems containsString="0" containsBlank="1" containsNumber="1" containsInteger="1" minValue="26120" maxValue="4015694"/>
    </cacheField>
    <cacheField name="MATERIAL DESC." numFmtId="1">
      <sharedItems containsBlank="1"/>
    </cacheField>
    <cacheField name="AZ Coating" numFmtId="1">
      <sharedItems containsBlank="1" containsMixedTypes="1" containsNumber="1" containsInteger="1" minValue="70" maxValue="150"/>
    </cacheField>
    <cacheField name="Top Colour" numFmtId="1">
      <sharedItems containsBlank="1"/>
    </cacheField>
    <cacheField name="Min coil wt" numFmtId="1">
      <sharedItems containsString="0" containsBlank="1" containsNumber="1" minValue="0" maxValue="25"/>
    </cacheField>
    <cacheField name="Max coil wt" numFmtId="1">
      <sharedItems containsString="0" containsBlank="1" containsNumber="1" minValue="0" maxValue="35"/>
    </cacheField>
    <cacheField name="width type" numFmtId="1">
      <sharedItems containsBlank="1"/>
    </cacheField>
    <cacheField name="P. code" numFmtId="1">
      <sharedItems containsBlank="1" containsMixedTypes="1" containsNumber="1" containsInteger="1" minValue="768" maxValue="768"/>
    </cacheField>
    <cacheField name="Q  Code" numFmtId="2">
      <sharedItems containsBlank="1"/>
    </cacheField>
    <cacheField name="TDC NO" numFmtId="1">
      <sharedItems containsBlank="1"/>
    </cacheField>
    <cacheField name="Thk" numFmtId="2">
      <sharedItems containsString="0" containsBlank="1" containsNumber="1" minValue="0" maxValue="6"/>
    </cacheField>
    <cacheField name="Width" numFmtId="1">
      <sharedItems containsString="0" containsBlank="1" containsNumber="1" containsInteger="1" minValue="0" maxValue="1500"/>
    </cacheField>
    <cacheField name="LENGTH" numFmtId="1">
      <sharedItems containsString="0" containsBlank="1" containsNumber="1" containsInteger="1" minValue="0" maxValue="2500"/>
    </cacheField>
    <cacheField name="Order Quantity" numFmtId="1">
      <sharedItems containsString="0" containsBlank="1" containsNumber="1" minValue="3" maxValue="600"/>
    </cacheField>
    <cacheField name="FG Qty" numFmtId="1">
      <sharedItems containsString="0" containsBlank="1" containsNumber="1" minValue="0" maxValue="490.19499999999999"/>
    </cacheField>
    <cacheField name="Bal. to Finish 21.04.25" numFmtId="1">
      <sharedItems containsString="0" containsBlank="1" containsNumber="1" minValue="0" maxValue="560"/>
    </cacheField>
    <cacheField name="Balance to Plan 21.04.25" numFmtId="1">
      <sharedItems containsString="0" containsBlank="1" containsNumber="1" minValue="-74.14" maxValue="420"/>
    </cacheField>
    <cacheField name="Exp BTF 01.05.25" numFmtId="1">
      <sharedItems containsString="0" containsBlank="1" containsNumber="1" minValue="-71.984999999999985" maxValue="300.99900000000002"/>
    </cacheField>
    <cacheField name="Actual BTF 01.05.25" numFmtId="1">
      <sharedItems containsString="0" containsBlank="1" containsNumber="1" minValue="-3.55" maxValue="600"/>
    </cacheField>
    <cacheField name="BTR @ +12%" numFmtId="1">
      <sharedItems containsString="0" containsBlank="1" containsNumber="1" containsInteger="1" minValue="0" maxValue="0"/>
    </cacheField>
    <cacheField name="T" numFmtId="1">
      <sharedItems containsString="0" containsBlank="1" containsNumber="1" minValue="0" maxValue="143.46"/>
    </cacheField>
    <cacheField name="P" numFmtId="1">
      <sharedItems containsString="0" containsBlank="1" containsNumber="1" minValue="0" maxValue="201.38"/>
    </cacheField>
    <cacheField name="M" numFmtId="1">
      <sharedItems containsString="0" containsBlank="1" containsNumber="1" minValue="0" maxValue="137.06"/>
    </cacheField>
    <cacheField name="TR" numFmtId="1">
      <sharedItems containsString="0" containsBlank="1" containsNumber="1" minValue="0" maxValue="62.1"/>
    </cacheField>
    <cacheField name="GP02" numFmtId="1">
      <sharedItems containsString="0" containsBlank="1" containsNumber="1" minValue="0" maxValue="110.03"/>
    </cacheField>
    <cacheField name="GP03" numFmtId="1">
      <sharedItems containsString="0" containsBlank="1" containsNumber="1" minValue="0" maxValue="134.32"/>
    </cacheField>
    <cacheField name="E" numFmtId="1">
      <sharedItems containsString="0" containsBlank="1" containsNumber="1" minValue="0" maxValue="66.930000000000007"/>
    </cacheField>
    <cacheField name="X" numFmtId="1">
      <sharedItems containsString="0" containsBlank="1" containsNumber="1" minValue="0" maxValue="51.204999999999998"/>
    </cacheField>
    <cacheField name="C" numFmtId="1">
      <sharedItems containsString="0" containsBlank="1" containsNumber="1" minValue="0" maxValue="27.810000000000002"/>
    </cacheField>
    <cacheField name="A" numFmtId="1">
      <sharedItems containsString="0" containsBlank="1" containsNumber="1" minValue="0" maxValue="28.865000000000002"/>
    </cacheField>
    <cacheField name="B" numFmtId="1">
      <sharedItems containsString="0" containsBlank="1" containsNumber="1" minValue="0" maxValue="53.09"/>
    </cacheField>
    <cacheField name="N" numFmtId="1">
      <sharedItems containsString="0" containsBlank="1" containsNumber="1" minValue="0" maxValue="238.74"/>
    </cacheField>
    <cacheField name="I" numFmtId="1">
      <sharedItems containsString="0" containsBlank="1" containsNumber="1" minValue="0" maxValue="137.6"/>
    </cacheField>
    <cacheField name="R" numFmtId="1">
      <sharedItems containsString="0" containsBlank="1" containsNumber="1" minValue="0" maxValue="48.125"/>
    </cacheField>
    <cacheField name="NC" numFmtId="1">
      <sharedItems containsString="0" containsBlank="1" containsNumber="1" minValue="0" maxValue="48.125"/>
    </cacheField>
    <cacheField name="PP" numFmtId="1">
      <sharedItems containsString="0" containsBlank="1" containsNumber="1" minValue="0" maxValue="66.27"/>
    </cacheField>
    <cacheField name="QA" numFmtId="1">
      <sharedItems containsString="0" containsBlank="1" containsNumber="1" minValue="0" maxValue="26.965"/>
    </cacheField>
    <cacheField name="Pack" numFmtId="1">
      <sharedItems containsString="0" containsBlank="1" containsNumber="1" minValue="0" maxValue="222.31"/>
    </cacheField>
    <cacheField name="Total WIP 01.05.25" numFmtId="1">
      <sharedItems containsString="0" containsBlank="1" containsNumber="1" minValue="0" maxValue="292.39"/>
    </cacheField>
    <cacheField name="Expected FG by 30.04.25" numFmtId="0">
      <sharedItems containsString="0" containsBlank="1" containsNumber="1" minValue="0" maxValue="292.39"/>
    </cacheField>
    <cacheField name="Further plan" numFmtId="1">
      <sharedItems containsString="0" containsBlank="1" containsNumber="1" containsInteger="1" minValue="0" maxValue="420"/>
    </cacheField>
    <cacheField name="Total Expected FG 30.04.25" numFmtId="1">
      <sharedItems containsString="0" containsBlank="1" containsNumber="1" minValue="0" maxValue="530.78499999999997"/>
    </cacheField>
    <cacheField name="CF WIP" numFmtId="0">
      <sharedItems containsString="0" containsBlank="1" containsNumber="1" containsInteger="1" minValue="-50" maxValue="0"/>
    </cacheField>
    <cacheField name="FG stock 01-05-25" numFmtId="1">
      <sharedItems containsSemiMixedTypes="0" containsString="0" containsNumber="1" minValue="0" maxValue="207.50499999999997"/>
    </cacheField>
    <cacheField name="Total planned GR" numFmtId="1">
      <sharedItems containsSemiMixedTypes="0" containsString="0" containsNumber="1" minValue="0" maxValue="308"/>
    </cacheField>
    <cacheField name="FG 202518" numFmtId="1">
      <sharedItems containsSemiMixedTypes="0" containsString="0" containsNumber="1" minValue="0" maxValue="262.72500000000002"/>
    </cacheField>
    <cacheField name="FG 202519" numFmtId="1">
      <sharedItems containsSemiMixedTypes="0" containsString="0" containsNumber="1" minValue="0" maxValue="297"/>
    </cacheField>
    <cacheField name="FG 202520" numFmtId="1">
      <sharedItems containsSemiMixedTypes="0" containsString="0" containsNumber="1" minValue="0" maxValue="308"/>
    </cacheField>
    <cacheField name="FG 202521" numFmtId="1">
      <sharedItems containsSemiMixedTypes="0" containsString="0" containsNumber="1" minValue="0" maxValue="297"/>
    </cacheField>
    <cacheField name="FG 202522" numFmtId="1">
      <sharedItems containsSemiMixedTypes="0" containsString="0" containsNumber="1" minValue="0" maxValue="300"/>
    </cacheField>
    <cacheField name="Total planned Dispatch" numFmtId="1">
      <sharedItems containsSemiMixedTypes="0" containsString="0" containsNumber="1" minValue="0" maxValue="297"/>
    </cacheField>
    <cacheField name="Disp 202518" numFmtId="1">
      <sharedItems containsSemiMixedTypes="0" containsString="0" containsNumber="1" containsInteger="1" minValue="0" maxValue="0"/>
    </cacheField>
    <cacheField name="Disp 202519" numFmtId="1">
      <sharedItems containsSemiMixedTypes="0" containsString="0" containsNumber="1" minValue="0" maxValue="297"/>
    </cacheField>
    <cacheField name="Disp 202520" numFmtId="1">
      <sharedItems containsSemiMixedTypes="0" containsString="0" containsNumber="1" containsInteger="1" minValue="0" maxValue="0"/>
    </cacheField>
    <cacheField name="Disp 202521" numFmtId="1">
      <sharedItems containsSemiMixedTypes="0" containsString="0" containsNumber="1" containsInteger="1" minValue="0" maxValue="0"/>
    </cacheField>
    <cacheField name="Disp 202522" numFmtId="1">
      <sharedItems containsSemiMixedTypes="0" containsString="0" containsNumber="1" containsInteger="1" minValue="0" maxValue="0"/>
    </cacheField>
    <cacheField name="CF stock May'25" numFmtId="1">
      <sharedItems containsString="0" containsBlank="1" containsNumber="1" minValue="0" maxValue="316.565"/>
    </cacheField>
    <cacheField name="Total Act GR" numFmtId="1">
      <sharedItems containsString="0" containsBlank="1" containsNumber="1" minValue="0" maxValue="215.93999999999997"/>
    </cacheField>
    <cacheField name="Apr'1st wk GR " numFmtId="1">
      <sharedItems containsString="0" containsBlank="1" containsNumber="1" minValue="0" maxValue="27.545000000000002"/>
    </cacheField>
    <cacheField name="Apr'2nd wk GR " numFmtId="1">
      <sharedItems containsString="0" containsBlank="1" containsNumber="1" minValue="0" maxValue="33.984999999999999"/>
    </cacheField>
    <cacheField name="Apr'3rd wk GR " numFmtId="1">
      <sharedItems containsString="0" containsBlank="1" containsNumber="1" minValue="0" maxValue="31.06"/>
    </cacheField>
    <cacheField name="Apr'4th wk GR " numFmtId="0">
      <sharedItems containsString="0" containsBlank="1" containsNumber="1" containsInteger="1" minValue="0" maxValue="0"/>
    </cacheField>
    <cacheField name="Apr'5th wk GR " numFmtId="0">
      <sharedItems containsString="0" containsBlank="1" containsNumber="1" minValue="0" maxValue="21.05"/>
    </cacheField>
    <cacheField name="Extra" numFmtId="0">
      <sharedItems containsString="0" containsBlank="1" containsNumber="1" minValue="0" maxValue="215.93999999999997"/>
    </cacheField>
    <cacheField name="Total Act Disp" numFmtId="0">
      <sharedItems containsNonDate="0" containsString="0" containsBlank="1"/>
    </cacheField>
    <cacheField name="Bal. to dispatch" numFmtId="0">
      <sharedItems containsNonDate="0" containsString="0" containsBlank="1"/>
    </cacheField>
    <cacheField name="Apr'1st wk Disp actual" numFmtId="0">
      <sharedItems containsNonDate="0" containsString="0" containsBlank="1"/>
    </cacheField>
    <cacheField name="Apr'2nd wk Disp actual" numFmtId="0">
      <sharedItems containsNonDate="0" containsString="0" containsBlank="1"/>
    </cacheField>
    <cacheField name="Apr'3rd wk Disp actual" numFmtId="0">
      <sharedItems containsNonDate="0" containsString="0" containsBlank="1"/>
    </cacheField>
    <cacheField name="Apr'4th wk Disp actual" numFmtId="0">
      <sharedItems containsNonDate="0" containsString="0" containsBlank="1"/>
    </cacheField>
    <cacheField name="Apr'5th wk Disp actual" numFmtId="0">
      <sharedItems containsNonDate="0" containsString="0" containsBlank="1"/>
    </cacheField>
    <cacheField name="Disp check" numFmtId="0">
      <sharedItems containsNonDate="0" containsString="0" containsBlank="1"/>
    </cacheField>
    <cacheField name="FG_WK01 compliance" numFmtId="0">
      <sharedItems containsBlank="1"/>
    </cacheField>
    <cacheField name="FG_WK02 compliance" numFmtId="0">
      <sharedItems containsBlank="1"/>
    </cacheField>
    <cacheField name="FG_WK03 compliance" numFmtId="0">
      <sharedItems containsBlank="1"/>
    </cacheField>
    <cacheField name="FG_WK04 compliance" numFmtId="0">
      <sharedItems containsBlank="1"/>
    </cacheField>
    <cacheField name="FG_WK-05 compliance" numFmtId="0">
      <sharedItems containsBlank="1"/>
    </cacheField>
    <cacheField name="Apr'1st wk Disp compliance" numFmtId="0">
      <sharedItems containsNonDate="0" containsString="0" containsBlank="1"/>
    </cacheField>
    <cacheField name="Apr'2nd wk Disp compliance" numFmtId="0">
      <sharedItems containsNonDate="0" containsString="0" containsBlank="1"/>
    </cacheField>
    <cacheField name="Apr'3rd wk Disp compliance" numFmtId="0">
      <sharedItems containsNonDate="0" containsString="0" containsBlank="1"/>
    </cacheField>
    <cacheField name="Apr'4th wk Disp compliance" numFmtId="0">
      <sharedItems containsNonDate="0" containsString="0" containsBlank="1"/>
    </cacheField>
    <cacheField name="Apr'5th wk Disp compliance" numFmtId="0">
      <sharedItems containsNonDate="0" containsString="0" containsBlank="1"/>
    </cacheField>
    <cacheField name="Reasons for failure" numFmtId="0">
      <sharedItems containsNonDate="0" containsString="0" containsBlank="1"/>
    </cacheField>
    <cacheField name="Failure Reasons Summary" numFmtId="0">
      <sharedItems containsNonDate="0" containsString="0" containsBlank="1"/>
    </cacheField>
    <cacheField name="Compliance summary" numFmtId="0">
      <sharedItems containsNonDate="0" containsString="0" containsBlank="1"/>
    </cacheField>
    <cacheField name="1st week" numFmtId="0">
      <sharedItems containsNonDate="0" containsString="0" containsBlank="1"/>
    </cacheField>
    <cacheField name="2nd week" numFmtId="0">
      <sharedItems containsNonDate="0" containsString="0" containsBlank="1"/>
    </cacheField>
    <cacheField name="3rd week" numFmtId="0">
      <sharedItems containsNonDate="0" containsString="0" containsBlank="1"/>
    </cacheField>
    <cacheField name="4th week" numFmtId="0">
      <sharedItems containsNonDate="0" containsString="0" containsBlank="1"/>
    </cacheField>
    <cacheField name="5th week" numFmtId="0">
      <sharedItems containsNonDate="0" containsString="0" containsBlank="1"/>
    </cacheField>
    <cacheField name="Tot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Subhash" refreshedDate="45780.84574409722" createdVersion="8" refreshedVersion="8" minRefreshableVersion="3" recordCount="1880" xr:uid="{AE0E3883-7243-4137-99AD-D0CDD9D01DDC}">
  <cacheSource type="worksheet">
    <worksheetSource ref="A1:AY961" sheet="5 week format May'25"/>
  </cacheSource>
  <cacheFields count="113">
    <cacheField name="Plant" numFmtId="0">
      <sharedItems containsSemiMixedTypes="0" containsString="0" containsNumber="1" containsInteger="1" minValue="742" maxValue="8214"/>
    </cacheField>
    <cacheField name="Date" numFmtId="164">
      <sharedItems containsNonDate="0" containsDate="1" containsString="0" containsBlank="1" minDate="2025-01-02T00:00:00" maxDate="2025-04-30T00:00:00"/>
    </cacheField>
    <cacheField name="order type" numFmtId="0">
      <sharedItems containsBlank="1" count="7">
        <s v="ZBTO"/>
        <s v="ZBTF"/>
        <s v="ZBTT"/>
        <s v="ZBTN"/>
        <m/>
        <s v=""/>
        <s v="ZBTC"/>
      </sharedItems>
    </cacheField>
    <cacheField name="SO No" numFmtId="0">
      <sharedItems containsBlank="1" containsMixedTypes="1" containsNumber="1" containsInteger="1" minValue="4000495825" maxValue="9518731229"/>
    </cacheField>
    <cacheField name="Item No" numFmtId="1">
      <sharedItems containsBlank="1" containsMixedTypes="1" containsNumber="1" containsInteger="1" minValue="1" maxValue="28"/>
    </cacheField>
    <cacheField name="SO-item" numFmtId="0">
      <sharedItems containsBlank="1"/>
    </cacheField>
    <cacheField name="Priority " numFmtId="0">
      <sharedItems/>
    </cacheField>
    <cacheField name="Status" numFmtId="0">
      <sharedItems containsBlank="1" count="6">
        <s v="Released orders"/>
        <s v="Failed orders"/>
        <s v="For trial orders"/>
        <s v="Order to be logged"/>
        <m/>
        <s v="May'25" u="1"/>
      </sharedItems>
    </cacheField>
    <cacheField name="RM Indent Yes/No" numFmtId="0">
      <sharedItems containsBlank="1"/>
    </cacheField>
    <cacheField name="Product" numFmtId="0">
      <sharedItems count="6">
        <s v="HRPO"/>
        <s v="CRCA"/>
        <s v="PPGL"/>
        <s v="GP"/>
        <s v="GL"/>
        <s v="CRFH"/>
      </sharedItems>
    </cacheField>
    <cacheField name="Brand" numFmtId="0">
      <sharedItems count="21">
        <s v="BPRS"/>
        <s v="Steelium  "/>
        <s v="Steelium Super"/>
        <s v="Bluescope"/>
        <s v="Shaktee coil market"/>
        <s v="Solar"/>
        <s v="Tubes"/>
        <s v="IPP Stamping"/>
        <s v="CRFH Khopoli"/>
        <s v="Kosh Narrow"/>
        <s v="IPP"/>
        <s v="Steelium Milledge"/>
        <s v="BPRS Stamping"/>
        <s v="Jindal India"/>
        <s v="Kosh Wider"/>
        <s v="Auto"/>
        <s v="BPRS  "/>
        <s v="Export"/>
        <s v="BPR &amp; IPP Trial orfders"/>
        <s v="C30 Trial"/>
        <s v="Shaktee coil SPC"/>
      </sharedItems>
    </cacheField>
    <cacheField name="Sale org" numFmtId="0">
      <sharedItems containsMixedTypes="1" containsNumber="1" containsInteger="1" minValue="1000" maxValue="3000" count="8">
        <s v="2000-BPRS"/>
        <n v="2000"/>
        <s v="1000-IPPE"/>
        <n v="1000"/>
        <n v="3000"/>
        <s v="3000-IPPE"/>
        <n v="2200"/>
        <s v="2200-BPRS"/>
      </sharedItems>
    </cacheField>
    <cacheField name="OSP" numFmtId="1">
      <sharedItems containsString="0" containsBlank="1" containsNumber="1" containsInteger="1" minValue="400" maxValue="9000"/>
    </cacheField>
    <cacheField name="test" numFmtId="1">
      <sharedItems count="2">
        <s v="N/C"/>
        <s v="OK"/>
      </sharedItems>
    </cacheField>
    <cacheField name="M&amp;S Priority" numFmtId="1">
      <sharedItems containsNonDate="0" containsString="0" containsBlank="1"/>
    </cacheField>
    <cacheField name="PPC Remarks" numFmtId="164">
      <sharedItems containsBlank="1"/>
    </cacheField>
    <cacheField name="Cust State" numFmtId="0">
      <sharedItems containsBlank="1"/>
    </cacheField>
    <cacheField name="SM/ZONE" numFmtId="0">
      <sharedItems containsBlank="1"/>
    </cacheField>
    <cacheField name="Destination" numFmtId="0">
      <sharedItems containsBlank="1"/>
    </cacheField>
    <cacheField name="Product type" numFmtId="0">
      <sharedItems containsBlank="1" count="3">
        <s v="Coil"/>
        <s v="Sheet"/>
        <m/>
      </sharedItems>
    </cacheField>
    <cacheField name="Customer Code" numFmtId="0">
      <sharedItems containsString="0" containsBlank="1" containsNumber="1" containsInteger="1" minValue="100237" maxValue="949285" count="122">
        <n v="154641"/>
        <n v="819097"/>
        <n v="931525"/>
        <n v="936528"/>
        <n v="938550"/>
        <n v="165053"/>
        <n v="941597"/>
        <n v="115841"/>
        <n v="946077"/>
        <n v="116650"/>
        <n v="121328"/>
        <n v="101278"/>
        <n v="185794"/>
        <n v="116465"/>
        <n v="942923"/>
        <n v="940016"/>
        <n v="103671"/>
        <n v="184591"/>
        <n v="942290"/>
        <n v="117061"/>
        <n v="925093"/>
        <n v="600103"/>
        <n v="942283"/>
        <n v="947126"/>
        <n v="600250"/>
        <n v="116649"/>
        <n v="650742"/>
        <n v="932086"/>
        <n v="163486"/>
        <n v="650250"/>
        <n v="187214"/>
        <n v="103227"/>
        <n v="931235"/>
        <n v="831432"/>
        <n v="932244"/>
        <n v="939422"/>
        <n v="100922"/>
        <n v="120612"/>
        <n v="155536"/>
        <n v="942284"/>
        <n v="939268"/>
        <n v="188238"/>
        <n v="189430"/>
        <n v="189405"/>
        <n v="189022"/>
        <n v="944226"/>
        <n v="932179"/>
        <n v="186001"/>
        <n v="188891"/>
        <n v="101499"/>
        <n v="184986"/>
        <n v="942293"/>
        <n v="940074"/>
        <n v="933952"/>
        <n v="822271"/>
        <n v="936997"/>
        <n v="936527"/>
        <n v="946441"/>
        <n v="161312"/>
        <n v="801611"/>
        <n v="165992"/>
        <n v="101122"/>
        <n v="103092"/>
        <n v="936511"/>
        <n v="116137"/>
        <n v="942294"/>
        <n v="948783"/>
        <n v="189108"/>
        <n v="947959"/>
        <n v="925428"/>
        <n v="116735"/>
        <n v="940008"/>
        <n v="931662"/>
        <n v="144917"/>
        <n v="931671"/>
        <n v="115190"/>
        <n v="157491"/>
        <n v="947011"/>
        <n v="189406"/>
        <n v="188750"/>
        <n v="122082"/>
        <n v="158122"/>
        <n v="847544"/>
        <n v="117583"/>
        <n v="185845"/>
        <n v="650783"/>
        <n v="942186"/>
        <n v="154464"/>
        <n v="150962"/>
        <n v="100237"/>
        <n v="101446"/>
        <n v="183259"/>
        <n v="139336"/>
        <n v="948926"/>
        <n v="938789"/>
        <n v="948173"/>
        <n v="102888"/>
        <n v="650744"/>
        <n v="947775"/>
        <n v="940707"/>
        <n v="931234"/>
        <n v="104485"/>
        <n v="123052"/>
        <n v="188152"/>
        <n v="934796"/>
        <n v="120961"/>
        <n v="930519"/>
        <n v="189745"/>
        <n v="189858"/>
        <n v="948853"/>
        <n v="185408"/>
        <n v="157501"/>
        <n v="116734"/>
        <n v="949285"/>
        <n v="947865"/>
        <m/>
        <n v="931911"/>
        <n v="650789"/>
        <n v="929931"/>
        <n v="943931"/>
        <n v="188916"/>
        <n v="189881"/>
      </sharedItems>
    </cacheField>
    <cacheField name="Customer Name" numFmtId="0">
      <sharedItems containsBlank="1" count="135">
        <s v="TATA STEEL DOWNSTREAM PRODUCTS LIMI"/>
        <s v="BHAGWATI STEEL SALES"/>
        <s v="INDIA STEEL INDUSTRIES"/>
        <s v="SHORI LAL KEWAL KUMAR"/>
        <s v="BASEER AND CO"/>
        <s v="SUDISA ENTERPRISES (P) LTD."/>
        <s v="TATA BLUESCOPE STEEL PRIVATE LIMITE"/>
        <s v="O.V.S. ISPAT UDYOG"/>
        <s v="SITARAM IRON AND STEEL PVT LTD"/>
        <s v="Kummenchery Steels,"/>
        <s v="R. S. BOKARO METAL (P) LTD."/>
        <s v="RAMESH COMPANY"/>
        <s v="Shree Bajrang Steel Udyog"/>
        <s v="SRI BALAJI STEEL TRADERS"/>
        <s v="S C SHETTAR &amp; SONS PRIVATE LIM"/>
        <s v="TATA BLUESCOPE STEEL PVT LTD."/>
        <s v="S C SHETTAR and SONS PRIVATE LIMITED"/>
        <s v="BAJRANG STEEL (SALES) CORPORATION"/>
        <s v="NAKODA STEEL"/>
        <s v="BHARTIA  DISTRIBUTORS PVT. LTD"/>
        <s v="PSPL STEEL PROCESSORS PRIVATE LIMIT"/>
        <s v="TATA STEEL LIMITED"/>
        <s v="RAVINDRA IRON WORKS"/>
        <s v="TATA CENTER"/>
        <s v="SAGAR STEELS"/>
        <s v="BHARTIA  DISTRIBUTORS PVT. LTD."/>
        <s v="Angul Cold Rolling Mill"/>
        <s v="ANM ISPAT PRIVATE LIMITED"/>
        <s v="ROHIT &amp; COMPANY"/>
        <s v="TATA STEEL LIMITED,"/>
        <s v="BALMER LAWRIE &amp; CO. LIMITED.."/>
        <s v="BMW VENTURES LIMITED"/>
        <s v="K D J P STEELS PVT LTD"/>
        <s v="FERRO STEEL SOLUTIONS"/>
        <s v="DURGA TRADERS"/>
        <s v="VIJAY VENKAT STEELS PRIVATE LIMITED"/>
        <s v="BUBNA COMMERCIAL COMPANY"/>
        <s v="SKM STEELS LIMITED(CRCADIVISIO"/>
        <s v="TATA STEEL DOWNSTREAM PRODUCTS"/>
        <s v="TATA BLUESCOPE STEEL PRIVATE L"/>
        <s v="Balmer Lawrie &amp; Co. Limited"/>
        <s v="Balmer Lawrie &amp; Co. Ltd.,"/>
        <s v="Balmer Lawrie And Co. Ltd."/>
        <s v="Balmer Lawrie And Company Limi"/>
        <s v="PURSHOTAM PROFILES PRIVATE LIM"/>
        <s v="DURGA STEEL INDUSTRIES"/>
        <s v="BABA CONTAINER MANUFACTURERS"/>
        <s v="Galaxy Stamping Pvt. Ltd."/>
        <s v="G.R. GUPTA &amp; BROS."/>
        <s v="SWASTIK STEEL PROCESSOR LLP"/>
        <s v="AGARWAL STEEL TRADERS"/>
        <s v="R R STEEL INDUSTRIES"/>
        <s v="SHORI LAL KEWAL KUMAR."/>
        <s v="MKT STEELS PRIVATE LIMITED"/>
        <s v="GOVINDARAJA MUDALIAR SONS PVT LTD"/>
        <s v="KUMMENCHERY STEELS"/>
        <s v="SHIVA FERRIC PVT LTD"/>
        <s v="G.K.ISPAT PVT.LTD"/>
        <s v="JINDAL INDIA LIMITED"/>
        <s v="TEJRAM RAMNIWAS AGARWAL"/>
        <s v="SAGAR STEELS PROCESSING &amp; MANU"/>
        <s v="PSPL STEEL PROCESSORS PRIVATE"/>
        <s v="PELIKAN DOSSIER PRIVATE LIMITE"/>
        <s v="TATA CENTRE"/>
        <s v="Manaksia Coated Metals &amp; Indus"/>
        <s v="PENNAR INDUSTRIES LIMITED"/>
        <s v="TUBE INVESTMENTS OF INDIA LIMI"/>
        <s v="RAKESH STEELS"/>
        <s v="TUBE INVESTMENTS OF INDIA LIMITED"/>
        <s v="PRESTIGE METALLICS PRIVATE LIMITED"/>
        <s v="BANSAL BROTHERS"/>
        <s v="PRESTIGE METALLICS PRIVATE LIM"/>
        <s v="SHEYRUB AGENCIES"/>
        <s v="MTE STRUCTURES LIMITED"/>
        <s v="S C SHETTAR &amp; SONS PRIVATE LIMITED"/>
        <s v="Manaksia Steels Limited"/>
        <s v="Colorshine Coated Pvt.Ltd."/>
        <s v=""/>
        <s v="WRINKLE DISTRIBUTORS PVT LTD."/>
        <s v="G K ISPAT PRIVATE LIMITED"/>
        <s v="BIHANI ENTERPRISES"/>
        <s v="Malerkotla Steel Industries"/>
        <s v="Khopoli Wider CRM"/>
        <s v="PRABHAT GLOBAL COLOURCOATED PRIVATE"/>
        <s v="PURSHOTAM PROFILES PRIVATE LIMITED"/>
        <s v="BIHANI INTERNATIONAL PVT LTD."/>
        <s v="RAMSAROOP &amp; SONS "/>
        <s v="BANSAL BROTHERS "/>
        <s v="Rakesh Steel Inds.(P) Ltd."/>
        <s v="PASA ASSOCIATES PRIVATE LIMITED"/>
        <s v="CHANDRA CONTAINER MANUACTURERS"/>
        <s v="PELIKAN DOSSIER (P) LTD "/>
        <s v="JAIN STEEL DISTRIBUTORS"/>
        <s v="Balmer Lawrie And Company Limited"/>
        <s v="A.G.P.ENTERPRISE"/>
        <s v="THIRUPATHY STEELS "/>
        <s v="Angul Color Coating Plant"/>
        <s v="ZARON METAL SECTIONS"/>
        <s v="GIRIRAJ EXIM PRIVATE LIMITED"/>
        <s v="JAI LAXMI STEELS"/>
        <s v="SANGEETA STEEL CORPORATION"/>
        <s v="G R GUPTA &amp; BROS"/>
        <s v="Metalkraft Forming Industries Pvt L"/>
        <s v="S K M STEELS LIMITED"/>
        <s v="JAUSHNA STEELS (INDIA) PVT. LTD."/>
        <s v="Manaksia Coated Metals &amp; Industries"/>
        <s v="Tata International West Asia Dmcc"/>
        <s v="Jayarathne Distributors (Pvt) Ltd"/>
        <s v="BAJRANG STEEL (SALES) CORPORAT"/>
        <s v="BESTEEL KUMMENCHERY,"/>
        <s v="DS STEEL"/>
        <s v="GOVINDARAJA MUDALIAR SONS PVT"/>
        <s v="PASA ASSOCIATES PRIVATE LIMITE"/>
        <s v="PRABHAT GLOBAL COLOURCOATED PR"/>
        <s v="THIRUPATHY STEELS"/>
        <s v="VIJAY VENKAT STEELS PRIVATE LI"/>
        <s v="GODREJ AND BOYCE MANUFACTURING"/>
        <s v="Metalkraft Forming Industries"/>
        <s v="R.S. STEELS"/>
        <s v="NAKODA POWER GREEN ENERGY LIMI"/>
        <s v="CHANDRA CONTAINER MANUFACTURERS"/>
        <m/>
        <s v="Hitkar Enterprises"/>
        <s v="Hosur Tube Plant"/>
        <s v="BMW VYAPAR PRIVATE LIMITED"/>
        <s v="GRIP STRAPPING TECHNOLOGIES PVT. LT"/>
        <s v="Purshotam Profiles Pvt. Ltd."/>
        <s v="Magni Steel Pvt Ltd"/>
        <s v="Sanfab"/>
        <s v="NCPL"/>
        <s v="Pilkhuwa Depot"/>
        <s v="Ludhiana - CA"/>
        <s v="AASHRAY ENTERPRISES"/>
        <s v="TATA BLUESCOPE STEEL PVT LTD"/>
        <s v="R.K .Metal Roofings Private Li"/>
      </sharedItems>
    </cacheField>
    <cacheField name="Material" numFmtId="0">
      <sharedItems containsString="0" containsBlank="1" containsNumber="1" containsInteger="1" minValue="26120" maxValue="4015694" count="541">
        <n v="1252834"/>
        <n v="1804908"/>
        <n v="185664"/>
        <n v="3437524"/>
        <n v="37862"/>
        <n v="1804772"/>
        <n v="1633706"/>
        <n v="3765561"/>
        <n v="3240805"/>
        <n v="3239539"/>
        <n v="3239552"/>
        <n v="3239538"/>
        <n v="3239551"/>
        <n v="3152198"/>
        <n v="3239572"/>
        <n v="3446127"/>
        <n v="3239554"/>
        <n v="3239567"/>
        <n v="3239564"/>
        <n v="3239408"/>
        <n v="3152197"/>
        <n v="304874"/>
        <n v="3777531"/>
        <n v="3883538"/>
        <n v="3777532"/>
        <n v="3776939"/>
        <n v="3884496"/>
        <n v="3946362"/>
        <n v="3240765"/>
        <n v="3820032"/>
        <n v="3240761"/>
        <n v="3410102"/>
        <n v="3240836"/>
        <n v="1881988"/>
        <n v="1882004"/>
        <n v="1881969"/>
        <n v="196234"/>
        <n v="3587949"/>
        <n v="3240790"/>
        <n v="1801798"/>
        <n v="1640840"/>
        <n v="3240785"/>
        <n v="3240792"/>
        <n v="3239542"/>
        <n v="3173079"/>
        <n v="2279503"/>
        <n v="3240776"/>
        <n v="1210083"/>
        <n v="1179966"/>
        <n v="3825819"/>
        <n v="2175550"/>
        <n v="1191955"/>
        <n v="2164800"/>
        <n v="3912458"/>
        <n v="3240760"/>
        <n v="1191956"/>
        <n v="1178439"/>
        <n v="3409561"/>
        <n v="2420521"/>
        <n v="322575"/>
        <n v="215066"/>
        <n v="3152199"/>
        <n v="1854424"/>
        <n v="3215894"/>
        <n v="2398457"/>
        <n v="1854429"/>
        <n v="3239559"/>
        <n v="3411571"/>
        <n v="3240759"/>
        <n v="2334995"/>
        <n v="187538"/>
        <n v="3410101"/>
        <n v="1851836"/>
        <n v="1852246"/>
        <n v="3909187"/>
        <n v="2420618"/>
        <n v="3900141"/>
        <n v="2402200"/>
        <n v="3797658"/>
        <n v="2170008"/>
        <n v="2421724"/>
        <n v="2164803"/>
        <n v="2164814"/>
        <n v="3865176"/>
        <n v="3902332"/>
        <n v="3930916"/>
        <n v="3879501"/>
        <n v="1294722"/>
        <n v="1210086"/>
        <n v="2426078"/>
        <n v="3704262"/>
        <n v="3226988"/>
        <n v="1636510"/>
        <n v="2439203"/>
        <n v="2306895"/>
        <n v="1804854"/>
        <n v="1800890"/>
        <n v="3960056"/>
        <n v="3945230"/>
        <n v="3964963"/>
        <n v="3240787"/>
        <n v="3247971"/>
        <n v="1804867"/>
        <n v="3247972"/>
        <n v="3240775"/>
        <n v="1852012"/>
        <n v="1424552"/>
        <n v="2193599"/>
        <n v="3240757"/>
        <n v="3402254"/>
        <n v="3240778"/>
        <n v="3240808"/>
        <n v="3240818"/>
        <n v="1801290"/>
        <n v="1804826"/>
        <n v="2155233"/>
        <n v="1884117"/>
        <n v="1802550"/>
        <n v="187541"/>
        <n v="3960726"/>
        <n v="3516022"/>
        <n v="1854418"/>
        <n v="3858001"/>
        <n v="3855287"/>
        <n v="3240799"/>
        <n v="2390540"/>
        <n v="2420514"/>
        <n v="292577"/>
        <n v="2386037"/>
        <n v="3240771"/>
        <n v="3240812"/>
        <n v="223287"/>
        <n v="2356622"/>
        <n v="1296288"/>
        <n v="1294723"/>
        <n v="3240756"/>
        <n v="3239568"/>
        <n v="3940122"/>
        <n v="3239563"/>
        <n v="3974226"/>
        <n v="1371338"/>
        <n v="3988091"/>
        <n v="2440959"/>
        <n v="2441001"/>
        <n v="3239548"/>
        <n v="3239557"/>
        <n v="3931932"/>
        <n v="1854380"/>
        <n v="1142896"/>
        <n v="3239536"/>
        <n v="3516003"/>
        <n v="3241808"/>
        <n v="3241804"/>
        <n v="1142897"/>
        <n v="3239543"/>
        <n v="3711646"/>
        <n v="3239573"/>
        <n v="222922"/>
        <n v="2420540"/>
        <n v="3659268"/>
        <n v="3516009"/>
        <n v="3928137"/>
        <n v="3577912"/>
        <n v="3946364"/>
        <n v="3886225"/>
        <n v="2421723"/>
        <n v="3701960"/>
        <n v="3741588"/>
        <n v="3741589"/>
        <n v="3187346"/>
        <n v="3960057"/>
        <n v="3961812"/>
        <n v="1308785"/>
        <n v="28512"/>
        <n v="2420508"/>
        <n v="1804917"/>
        <n v="3239560"/>
        <n v="3712516"/>
        <n v="3768542"/>
        <n v="3777535"/>
        <n v="3767014"/>
        <n v="3774103"/>
        <n v="3240849"/>
        <n v="3897428"/>
        <n v="3897429"/>
        <n v="3897430"/>
        <n v="3897501"/>
        <n v="2164792"/>
        <n v="1320787"/>
        <n v="2420518"/>
        <n v="2420522"/>
        <n v="3832848"/>
        <n v="3522241"/>
        <n v="3875613"/>
        <n v="3708868"/>
        <n v="3941967"/>
        <n v="3767487"/>
        <n v="1250221"/>
        <n v="3553033"/>
        <n v="3974073"/>
        <n v="3240797"/>
        <n v="3542989"/>
        <n v="3533337"/>
        <n v="2427628"/>
        <n v="3409912"/>
        <n v="2427834"/>
        <n v="1632044"/>
        <n v="1640795"/>
        <n v="1636098"/>
        <n v="3240851"/>
        <n v="3240781"/>
        <n v="2439201"/>
        <n v="1142893"/>
        <n v="3444592"/>
        <n v="3240895"/>
        <n v="3713960"/>
        <n v="3867646"/>
        <n v="3230681"/>
        <n v="2320878"/>
        <n v="2441002"/>
        <n v="3446129"/>
        <n v="3774639"/>
        <n v="3240837"/>
        <n v="3433440"/>
        <n v="3905150"/>
        <n v="3672140"/>
        <n v="2441004"/>
        <n v="3245089"/>
        <n v="1801804"/>
        <n v="3965990"/>
        <n v="3240842"/>
        <n v="1854410"/>
        <n v="1178444"/>
        <n v="353956"/>
        <n v="3996848"/>
        <n v="3996849"/>
        <n v="3996850"/>
        <n v="189866"/>
        <n v="281630"/>
        <n v="353957"/>
        <n v="2439968"/>
        <n v="3946140"/>
        <n v="3226987"/>
        <n v="3820031"/>
        <n v="2150938"/>
        <n v="2150940"/>
        <n v="2397430"/>
        <n v="2150942"/>
        <n v="2150943"/>
        <n v="2279476"/>
        <n v="2279483"/>
        <n v="3946363"/>
        <n v="1852440"/>
        <n v="3889776"/>
        <n v="185675"/>
        <n v="3996225"/>
        <n v="3409913"/>
        <n v="1852445"/>
        <n v="3727860"/>
        <n v="2438381"/>
        <n v="1852414"/>
        <n v="1851065"/>
        <n v="1854425"/>
        <n v="1326486"/>
        <n v="1326487"/>
        <n v="1854416"/>
        <n v="1300227"/>
        <n v="4001001"/>
        <n v="3627096"/>
        <n v="27478"/>
        <n v="3893162"/>
        <n v="3240786"/>
        <n v="3240863"/>
        <n v="3240869"/>
        <n v="2355305"/>
        <n v="1852256"/>
        <n v="1247912"/>
        <n v="3974072"/>
        <n v="1300228"/>
        <n v="1851101"/>
        <n v="1334725"/>
        <n v="1854413"/>
        <n v="1300229"/>
        <n v="2170030"/>
        <n v="2279492"/>
        <n v="194544"/>
        <n v="3533096"/>
        <n v="274376"/>
        <n v="3926984"/>
        <n v="2426388"/>
        <n v="1801022"/>
        <n v="3239566"/>
        <n v="1804814"/>
        <n v="1801456"/>
        <n v="1804889"/>
        <n v="2420512"/>
        <n v="279230"/>
        <n v="291034"/>
        <n v="2165170"/>
        <n v="3461597"/>
        <n v="322579"/>
        <n v="3678577"/>
        <n v="322577"/>
        <n v="400982"/>
        <n v="2414175"/>
        <n v="3933289"/>
        <n v="3998148"/>
        <n v="3914106"/>
        <n v="1851815"/>
        <n v="2193598"/>
        <n v="2403370"/>
        <n v="350229"/>
        <n v="3965294"/>
        <n v="2156439"/>
        <n v="2404802"/>
        <n v="3954447"/>
        <n v="1851054"/>
        <n v="2170009"/>
        <n v="3211298"/>
        <n v="1422306"/>
        <n v="3649329"/>
        <n v="3187348"/>
        <n v="2398456"/>
        <n v="1115279"/>
        <n v="1179967"/>
        <n v="463611"/>
        <n v="2439967"/>
        <n v="3658709"/>
        <n v="1353179"/>
        <n v="1854414"/>
        <n v="1178446"/>
        <n v="1854399"/>
        <n v="1851097"/>
        <n v="3624035"/>
        <n v="3240839"/>
        <n v="1406015"/>
        <n v="4001376"/>
        <n v="2164807"/>
        <n v="3946807"/>
        <n v="196233"/>
        <n v="3893161"/>
        <n v="2279429"/>
        <n v="1801286"/>
        <n v="3931386"/>
        <n v="3513392"/>
        <n v="3953694"/>
        <n v="3953695"/>
        <n v="2420520"/>
        <n v="3912459"/>
        <n v="3240806"/>
        <n v="3982724"/>
        <n v="2299154"/>
        <n v="3924555"/>
        <n v="1309819"/>
        <n v="1309820"/>
        <n v="1309822"/>
        <n v="1309702"/>
        <n v="1305553"/>
        <n v="1294719"/>
        <n v="3515918"/>
        <n v="3542990"/>
        <n v="3532129"/>
        <n v="508085"/>
        <n v="1851909"/>
        <n v="3532128"/>
        <n v="3959449"/>
        <n v="3959450"/>
        <n v="3973124"/>
        <n v="3710431"/>
        <n v="2420525"/>
        <n v="2420615"/>
        <n v="2420668"/>
        <n v="1804912"/>
        <n v="2427916"/>
        <n v="1854421"/>
        <n v="3240855"/>
        <n v="3708869"/>
        <n v="3776940"/>
        <n v="187513"/>
        <n v="2352643"/>
        <n v="2352644"/>
        <n v="1804893"/>
        <n v="1804896"/>
        <n v="1804905"/>
        <n v="1804914"/>
        <n v="1801562"/>
        <n v="1155509"/>
        <n v="322578"/>
        <n v="279229"/>
        <n v="3533339"/>
        <n v="2165172"/>
        <n v="1801159"/>
        <n v="2378009"/>
        <n v="1804927"/>
        <n v="2390329"/>
        <n v="1804870"/>
        <n v="3484325"/>
        <n v="3484326"/>
        <n v="3484328"/>
        <n v="3484329"/>
        <n v="3484324"/>
        <n v="2427612"/>
        <n v="3633498"/>
        <n v="3907468"/>
        <n v="3708867"/>
        <n v="2441006"/>
        <n v="1853143"/>
        <n v="1142895"/>
        <n v="2270690"/>
        <n v="1210097"/>
        <n v="3238263"/>
        <n v="1319275"/>
        <n v="1854363"/>
        <n v="1851066"/>
        <n v="1804940"/>
        <n v="1804946"/>
        <n v="322585"/>
        <n v="322580"/>
        <n v="1882436"/>
        <n v="1707170"/>
        <n v="2258434"/>
        <n v="3134045"/>
        <n v="38098"/>
        <n v="3727801"/>
        <n v="3958363"/>
        <n v="3958364"/>
        <n v="3958365"/>
        <n v="3958366"/>
        <n v="3887877"/>
        <n v="3883539"/>
        <n v="3878040"/>
        <n v="3958370"/>
        <n v="3952437"/>
        <n v="1851074"/>
        <n v="1142792"/>
        <n v="3516002"/>
        <n v="2427610"/>
        <n v="1329070"/>
        <n v="206969"/>
        <n v="3859860"/>
        <n v="3239535"/>
        <n v="3239540"/>
        <n v="3239549"/>
        <n v="3239555"/>
        <n v="189865"/>
        <n v="3924669"/>
        <n v="353958"/>
        <n v="325986"/>
        <n v="2193752"/>
        <n v="3855004"/>
        <n v="2355296"/>
        <n v="3547683"/>
        <n v="2355414"/>
        <n v="3482687"/>
        <n v="3532322"/>
        <n v="3532323"/>
        <n v="1804701"/>
        <n v="26120"/>
        <n v="2396820"/>
        <n v="1804907"/>
        <n v="2396817"/>
        <n v="187518"/>
        <n v="2420516"/>
        <n v="2420523"/>
        <n v="2229968"/>
        <n v="1801587"/>
        <n v="2229967"/>
        <n v="1142414"/>
        <n v="3870547"/>
        <n v="3903395"/>
        <n v="3951358"/>
        <n v="3952438"/>
        <n v="3897427"/>
        <n v="2420602"/>
        <n v="2324172"/>
        <n v="1854427"/>
        <n v="1851832"/>
        <n v="3781084"/>
        <n v="3767518"/>
        <n v="2417293"/>
        <n v="2405215"/>
        <n v="4005315"/>
        <n v="4005316"/>
        <n v="4006905"/>
        <n v="3435197"/>
        <n v="2233645"/>
        <m/>
        <n v="3886090"/>
        <n v="2324181"/>
        <n v="2428450"/>
        <n v="1851091"/>
        <n v="1367614"/>
        <n v="1851102"/>
        <n v="1851106"/>
        <n v="4011917"/>
        <n v="4011918"/>
        <n v="3993937"/>
        <n v="1252836"/>
        <n v="2306858"/>
        <n v="4015694"/>
        <n v="3767015"/>
        <n v="2403240"/>
        <n v="3532124"/>
        <n v="1252835"/>
        <n v="1272343"/>
        <n v="1251304"/>
        <n v="3777533"/>
        <n v="4015467"/>
        <n v="1851145"/>
        <n v="3782152"/>
        <n v="3239410"/>
        <n v="3403890"/>
        <n v="3202438"/>
        <n v="3403911"/>
        <n v="3789964"/>
        <n v="2165893"/>
        <n v="2427835"/>
        <n v="3533338"/>
        <n v="1637522"/>
        <n v="1641099"/>
        <n v="1851133"/>
        <n v="3856039"/>
        <n v="3870145"/>
        <n v="3724432"/>
        <n v="3867647"/>
        <n v="3521298"/>
        <n v="3856040"/>
        <n v="3837004"/>
        <n v="2420609"/>
        <n v="2427833"/>
        <n v="3661684"/>
        <n v="2427832"/>
        <n v="3240793"/>
        <n v="3200143"/>
        <n v="1641131"/>
        <n v="3408372"/>
        <n v="3440211"/>
        <n v="1206324"/>
        <n v="2399771"/>
        <n v="3240753"/>
        <n v="3837002"/>
      </sharedItems>
    </cacheField>
    <cacheField name="MATERIAL DESC." numFmtId="1">
      <sharedItems containsBlank="1"/>
    </cacheField>
    <cacheField name="AZ Coating" numFmtId="1">
      <sharedItems containsBlank="1" containsMixedTypes="1" containsNumber="1" containsInteger="1" minValue="70" maxValue="150"/>
    </cacheField>
    <cacheField name="Top Colour" numFmtId="1">
      <sharedItems containsBlank="1"/>
    </cacheField>
    <cacheField name="Min coil wt" numFmtId="1">
      <sharedItems containsString="0" containsBlank="1" containsNumber="1" minValue="0" maxValue="25"/>
    </cacheField>
    <cacheField name="Max coil wt" numFmtId="1">
      <sharedItems containsString="0" containsBlank="1" containsNumber="1" minValue="0" maxValue="35"/>
    </cacheField>
    <cacheField name="width type" numFmtId="1">
      <sharedItems containsBlank="1"/>
    </cacheField>
    <cacheField name="P. code" numFmtId="1">
      <sharedItems containsBlank="1" containsMixedTypes="1" containsNumber="1" containsInteger="1" minValue="768" maxValue="768" count="12">
        <n v="768"/>
        <s v="C01"/>
        <s v="C06"/>
        <s v="B18"/>
        <s v="C05"/>
        <s v="B04"/>
        <s v="C09"/>
        <s v="C02"/>
        <s v="B06"/>
        <s v="B20"/>
        <s v="B11"/>
        <m/>
      </sharedItems>
    </cacheField>
    <cacheField name="Q  Code" numFmtId="2">
      <sharedItems containsBlank="1" count="23">
        <s v="THR099"/>
        <s v="TATCRC"/>
        <s v="TATXXD"/>
        <s v="Y550PL"/>
        <s v="TSBCRC"/>
        <s v="TATXGP"/>
        <s v="TATGPH"/>
        <s v="Y550GL"/>
        <s v="TATXHS"/>
        <s v="TSBSTA"/>
        <s v="TSBHSQ"/>
        <s v="I09497"/>
        <s v="TATFHC"/>
        <s v="TSBXGP"/>
        <m/>
        <s v="SA1010"/>
        <s v="XXXGPH"/>
        <s v="Y250GL"/>
        <s v="SA1008"/>
        <s v="TRDHPL"/>
        <s v="THA058"/>
        <s v="TATFHM"/>
        <s v="Y300GL"/>
      </sharedItems>
    </cacheField>
    <cacheField name="TDC NO" numFmtId="1">
      <sharedItems containsBlank="1"/>
    </cacheField>
    <cacheField name="Thk" numFmtId="2">
      <sharedItems containsString="0" containsBlank="1" containsNumber="1" minValue="0" maxValue="6" count="85">
        <n v="3"/>
        <n v="0.5"/>
        <n v="0.4"/>
        <n v="0.42"/>
        <n v="0.7"/>
        <n v="0.8"/>
        <n v="0.35"/>
        <n v="0.38"/>
        <n v="0.48"/>
        <n v="0.33"/>
        <n v="0.45"/>
        <n v="0.3"/>
        <n v="0.25"/>
        <n v="0.9"/>
        <n v="0.47"/>
        <n v="2"/>
        <n v="0.95"/>
        <n v="1"/>
        <n v="0.55000000000000004"/>
        <n v="1.2"/>
        <n v="0.6"/>
        <n v="4.0999999999999996"/>
        <n v="1.6"/>
        <n v="0.56999999999999995"/>
        <n v="0.97"/>
        <n v="0.43"/>
        <n v="0.63"/>
        <n v="1.5"/>
        <n v="0.75"/>
        <n v="2.4500000000000002"/>
        <n v="3.15"/>
        <n v="4"/>
        <n v="3.4"/>
        <n v="0.32"/>
        <n v="0.53"/>
        <n v="0.68"/>
        <n v="2.0099999999999998"/>
        <n v="1.4"/>
        <n v="2.5"/>
        <n v="2.2999999999999998"/>
        <n v="1.62"/>
        <n v="1.8"/>
        <n v="2.02"/>
        <n v="1.1000000000000001"/>
        <n v="0.44"/>
        <n v="0.26"/>
        <n v="0.85"/>
        <n v="0.36"/>
        <n v="0.77"/>
        <n v="1.1499999999999999"/>
        <n v="0.98"/>
        <n v="0.52"/>
        <n v="0.34499999999999997"/>
        <n v="0.374"/>
        <n v="0.44500000000000001"/>
        <n v="1.9"/>
        <n v="2.2000000000000002"/>
        <n v="2.4"/>
        <n v="4.5999999999999996"/>
        <n v="0.28000000000000003"/>
        <n v="0.57999999999999996"/>
        <n v="0.2"/>
        <n v="2.8"/>
        <n v="3.5"/>
        <n v="0.39"/>
        <n v="0.94"/>
        <n v="3.2"/>
        <n v="5"/>
        <n v="6"/>
        <n v="2.9"/>
        <n v="0"/>
        <n v="0.22"/>
        <n v="0.37"/>
        <n v="1.18"/>
        <n v="1.45"/>
        <n v="1.53"/>
        <n v="1.55"/>
        <m/>
        <n v="0.65"/>
        <n v="0.78"/>
        <n v="0.41"/>
        <n v="2.6"/>
        <n v="4.5"/>
        <n v="0.46"/>
        <n v="0.72"/>
      </sharedItems>
    </cacheField>
    <cacheField name="Width" numFmtId="1">
      <sharedItems containsString="0" containsBlank="1" containsNumber="1" containsInteger="1" minValue="0" maxValue="1500" count="38">
        <n v="1250"/>
        <n v="1220"/>
        <n v="1000"/>
        <n v="900"/>
        <n v="1015"/>
        <n v="1300"/>
        <n v="1270"/>
        <n v="1235"/>
        <n v="913"/>
        <n v="1320"/>
        <n v="1315"/>
        <n v="1310"/>
        <n v="910"/>
        <n v="1160"/>
        <n v="1245"/>
        <n v="920"/>
        <n v="1500"/>
        <n v="1240"/>
        <n v="1217"/>
        <n v="1242"/>
        <n v="1350"/>
        <n v="1120"/>
        <n v="1170"/>
        <n v="1260"/>
        <n v="1249"/>
        <n v="1080"/>
        <n v="914"/>
        <n v="925"/>
        <n v="1200"/>
        <n v="1045"/>
        <n v="1219"/>
        <n v="0"/>
        <n v="1258"/>
        <n v="1050"/>
        <n v="1005"/>
        <n v="848"/>
        <m/>
        <n v="1020"/>
      </sharedItems>
    </cacheField>
    <cacheField name="LENGTH" numFmtId="1">
      <sharedItems containsString="0" containsBlank="1" containsNumber="1" containsInteger="1" minValue="0" maxValue="2500" count="15">
        <n v="0"/>
        <n v="2030"/>
        <n v="1930"/>
        <n v="2500"/>
        <n v="1980"/>
        <n v="1910"/>
        <n v="2440"/>
        <n v="1925"/>
        <n v="1805"/>
        <n v="2020"/>
        <n v="2000"/>
        <m/>
        <n v="2438"/>
        <n v="1000"/>
        <n v="2370"/>
      </sharedItems>
    </cacheField>
    <cacheField name="Order Quantity" numFmtId="1">
      <sharedItems containsString="0" containsBlank="1" containsNumber="1" minValue="3" maxValue="600"/>
    </cacheField>
    <cacheField name="FG Qty" numFmtId="1">
      <sharedItems containsString="0" containsBlank="1" containsNumber="1" minValue="0" maxValue="490.19499999999999"/>
    </cacheField>
    <cacheField name="Bal. to Finish 21.04.25" numFmtId="1">
      <sharedItems containsString="0" containsBlank="1" containsNumber="1" minValue="0" maxValue="560"/>
    </cacheField>
    <cacheField name="Balance to Plan 21.04.25" numFmtId="1">
      <sharedItems containsString="0" containsBlank="1" containsNumber="1" minValue="-74.14" maxValue="420"/>
    </cacheField>
    <cacheField name="Exp BTF 01.05.25" numFmtId="1">
      <sharedItems containsString="0" containsBlank="1" containsNumber="1" minValue="-71.984999999999985" maxValue="300.99900000000002"/>
    </cacheField>
    <cacheField name="Actual BTF 01.05.25" numFmtId="1">
      <sharedItems containsString="0" containsBlank="1" containsNumber="1" minValue="-3.55" maxValue="600"/>
    </cacheField>
    <cacheField name="BTR @ +12%" numFmtId="1">
      <sharedItems containsString="0" containsBlank="1" containsNumber="1" containsInteger="1" minValue="0" maxValue="0"/>
    </cacheField>
    <cacheField name="T" numFmtId="1">
      <sharedItems containsString="0" containsBlank="1" containsNumber="1" minValue="0" maxValue="143.46"/>
    </cacheField>
    <cacheField name="P" numFmtId="1">
      <sharedItems containsString="0" containsBlank="1" containsNumber="1" minValue="0" maxValue="201.38"/>
    </cacheField>
    <cacheField name="M" numFmtId="1">
      <sharedItems containsString="0" containsBlank="1" containsNumber="1" minValue="0" maxValue="137.06"/>
    </cacheField>
    <cacheField name="TR" numFmtId="1">
      <sharedItems containsString="0" containsBlank="1" containsNumber="1" minValue="0" maxValue="62.1"/>
    </cacheField>
    <cacheField name="GP02" numFmtId="1">
      <sharedItems containsString="0" containsBlank="1" containsNumber="1" minValue="0" maxValue="110.03"/>
    </cacheField>
    <cacheField name="GP03" numFmtId="1">
      <sharedItems containsString="0" containsBlank="1" containsNumber="1" minValue="0" maxValue="134.32"/>
    </cacheField>
    <cacheField name="E" numFmtId="1">
      <sharedItems containsString="0" containsBlank="1" containsNumber="1" minValue="0" maxValue="66.930000000000007"/>
    </cacheField>
    <cacheField name="X" numFmtId="1">
      <sharedItems containsString="0" containsBlank="1" containsNumber="1" minValue="0" maxValue="51.204999999999998"/>
    </cacheField>
    <cacheField name="C" numFmtId="1">
      <sharedItems containsString="0" containsBlank="1" containsNumber="1" minValue="0" maxValue="27.810000000000002"/>
    </cacheField>
    <cacheField name="A" numFmtId="1">
      <sharedItems containsString="0" containsBlank="1" containsNumber="1" minValue="0" maxValue="28.865000000000002"/>
    </cacheField>
    <cacheField name="B" numFmtId="1">
      <sharedItems containsString="0" containsBlank="1" containsNumber="1" minValue="0" maxValue="53.09"/>
    </cacheField>
    <cacheField name="N" numFmtId="1">
      <sharedItems containsString="0" containsBlank="1" containsNumber="1" minValue="0" maxValue="238.74"/>
    </cacheField>
    <cacheField name="I" numFmtId="1">
      <sharedItems containsString="0" containsBlank="1" containsNumber="1" minValue="0" maxValue="137.6"/>
    </cacheField>
    <cacheField name="R" numFmtId="1">
      <sharedItems containsString="0" containsBlank="1" containsNumber="1" minValue="0" maxValue="48.125"/>
    </cacheField>
    <cacheField name="NC" numFmtId="1">
      <sharedItems containsString="0" containsBlank="1" containsNumber="1" minValue="0" maxValue="48.125"/>
    </cacheField>
    <cacheField name="PP" numFmtId="1">
      <sharedItems containsString="0" containsBlank="1" containsNumber="1" minValue="0" maxValue="66.27"/>
    </cacheField>
    <cacheField name="QA" numFmtId="1">
      <sharedItems containsString="0" containsBlank="1" containsNumber="1" minValue="0" maxValue="26.965"/>
    </cacheField>
    <cacheField name="Pack" numFmtId="1">
      <sharedItems containsString="0" containsBlank="1" containsNumber="1" minValue="0" maxValue="222.31"/>
    </cacheField>
    <cacheField name="Total WIP 01.05.25" numFmtId="1">
      <sharedItems containsString="0" containsBlank="1" containsNumber="1" minValue="0" maxValue="292.39"/>
    </cacheField>
    <cacheField name="Expected FG by 30.04.25" numFmtId="0">
      <sharedItems containsString="0" containsBlank="1" containsNumber="1" minValue="0" maxValue="292.39"/>
    </cacheField>
    <cacheField name="Further plan" numFmtId="1">
      <sharedItems containsString="0" containsBlank="1" containsNumber="1" containsInteger="1" minValue="0" maxValue="420"/>
    </cacheField>
    <cacheField name="Total Expected FG 30.04.25" numFmtId="1">
      <sharedItems containsString="0" containsBlank="1" containsNumber="1" minValue="0" maxValue="530.78499999999997"/>
    </cacheField>
    <cacheField name="CF WIP" numFmtId="0">
      <sharedItems containsString="0" containsBlank="1" containsNumber="1" containsInteger="1" minValue="-50" maxValue="0"/>
    </cacheField>
    <cacheField name="FG stock 01-05-25" numFmtId="1">
      <sharedItems containsSemiMixedTypes="0" containsString="0" containsNumber="1" minValue="0" maxValue="207.50499999999997"/>
    </cacheField>
    <cacheField name="Total planned GR" numFmtId="1">
      <sharedItems containsSemiMixedTypes="0" containsString="0" containsNumber="1" minValue="0" maxValue="600"/>
    </cacheField>
    <cacheField name="FG 202518" numFmtId="1">
      <sharedItems containsSemiMixedTypes="0" containsString="0" containsNumber="1" minValue="0" maxValue="262.72500000000002"/>
    </cacheField>
    <cacheField name="FG 202519" numFmtId="1">
      <sharedItems containsSemiMixedTypes="0" containsString="0" containsNumber="1" minValue="0" maxValue="297"/>
    </cacheField>
    <cacheField name="FG 202520" numFmtId="1">
      <sharedItems containsSemiMixedTypes="0" containsString="0" containsNumber="1" minValue="0" maxValue="308"/>
    </cacheField>
    <cacheField name="FG 202521" numFmtId="1">
      <sharedItems containsSemiMixedTypes="0" containsString="0" containsNumber="1" minValue="0" maxValue="297"/>
    </cacheField>
    <cacheField name="FG 202522" numFmtId="1">
      <sharedItems containsSemiMixedTypes="0" containsString="0" containsNumber="1" minValue="0" maxValue="600"/>
    </cacheField>
    <cacheField name="Total planned Dispatch" numFmtId="1">
      <sharedItems containsSemiMixedTypes="0" containsString="0" containsNumber="1" minValue="0" maxValue="600"/>
    </cacheField>
    <cacheField name="Disp 202518" numFmtId="1">
      <sharedItems containsSemiMixedTypes="0" containsString="0" containsNumber="1" minValue="0" maxValue="124.99500000000002"/>
    </cacheField>
    <cacheField name="Disp 202519" numFmtId="1">
      <sharedItems containsSemiMixedTypes="0" containsString="0" containsNumber="1" minValue="0" maxValue="308.19499999999994"/>
    </cacheField>
    <cacheField name="Disp 202520" numFmtId="1">
      <sharedItems containsSemiMixedTypes="0" containsString="0" containsNumber="1" minValue="0" maxValue="300"/>
    </cacheField>
    <cacheField name="Disp 202521" numFmtId="1">
      <sharedItems containsSemiMixedTypes="0" containsString="0" containsNumber="1" minValue="0" maxValue="316.565"/>
    </cacheField>
    <cacheField name="Disp 202522" numFmtId="1">
      <sharedItems containsSemiMixedTypes="0" containsString="0" containsNumber="1" minValue="0" maxValue="600"/>
    </cacheField>
    <cacheField name="CF stock Jun'25" numFmtId="1">
      <sharedItems containsSemiMixedTypes="0" containsString="0" containsNumber="1" minValue="0" maxValue="300"/>
    </cacheField>
    <cacheField name="Total Act GR" numFmtId="1">
      <sharedItems containsString="0" containsBlank="1" containsNumber="1" minValue="0" maxValue="215.93999999999997"/>
    </cacheField>
    <cacheField name="Apr'1st wk GR " numFmtId="1">
      <sharedItems containsString="0" containsBlank="1" containsNumber="1" minValue="0" maxValue="27.545000000000002"/>
    </cacheField>
    <cacheField name="Apr'2nd wk GR " numFmtId="1">
      <sharedItems containsString="0" containsBlank="1" containsNumber="1" minValue="0" maxValue="33.984999999999999"/>
    </cacheField>
    <cacheField name="Apr'3rd wk GR " numFmtId="1">
      <sharedItems containsString="0" containsBlank="1" containsNumber="1" minValue="0" maxValue="31.06"/>
    </cacheField>
    <cacheField name="Apr'4th wk GR " numFmtId="0">
      <sharedItems containsString="0" containsBlank="1" containsNumber="1" containsInteger="1" minValue="0" maxValue="0"/>
    </cacheField>
    <cacheField name="Apr'5th wk GR " numFmtId="0">
      <sharedItems containsString="0" containsBlank="1" containsNumber="1" minValue="0" maxValue="21.05"/>
    </cacheField>
    <cacheField name="Extra" numFmtId="0">
      <sharedItems containsString="0" containsBlank="1" containsNumber="1" minValue="0" maxValue="215.93999999999997"/>
    </cacheField>
    <cacheField name="Total Act Disp" numFmtId="0">
      <sharedItems containsNonDate="0" containsString="0" containsBlank="1"/>
    </cacheField>
    <cacheField name="Bal. to dispatch" numFmtId="0">
      <sharedItems containsNonDate="0" containsString="0" containsBlank="1"/>
    </cacheField>
    <cacheField name="Apr'1st wk Disp actual" numFmtId="0">
      <sharedItems containsNonDate="0" containsString="0" containsBlank="1"/>
    </cacheField>
    <cacheField name="Apr'2nd wk Disp actual" numFmtId="0">
      <sharedItems containsNonDate="0" containsString="0" containsBlank="1"/>
    </cacheField>
    <cacheField name="Apr'3rd wk Disp actual" numFmtId="0">
      <sharedItems containsNonDate="0" containsString="0" containsBlank="1"/>
    </cacheField>
    <cacheField name="Apr'4th wk Disp actual" numFmtId="0">
      <sharedItems containsNonDate="0" containsString="0" containsBlank="1"/>
    </cacheField>
    <cacheField name="Apr'5th wk Disp actual" numFmtId="0">
      <sharedItems containsNonDate="0" containsString="0" containsBlank="1"/>
    </cacheField>
    <cacheField name="Disp check" numFmtId="0">
      <sharedItems containsNonDate="0" containsString="0" containsBlank="1"/>
    </cacheField>
    <cacheField name="FG_WK01 compliance" numFmtId="0">
      <sharedItems containsBlank="1"/>
    </cacheField>
    <cacheField name="FG_WK02 compliance" numFmtId="0">
      <sharedItems containsBlank="1"/>
    </cacheField>
    <cacheField name="FG_WK03 compliance" numFmtId="0">
      <sharedItems containsBlank="1"/>
    </cacheField>
    <cacheField name="FG_WK04 compliance" numFmtId="0">
      <sharedItems containsBlank="1"/>
    </cacheField>
    <cacheField name="FG_WK-05 compliance" numFmtId="0">
      <sharedItems containsBlank="1"/>
    </cacheField>
    <cacheField name="Apr'1st wk Disp compliance" numFmtId="0">
      <sharedItems containsNonDate="0" containsString="0" containsBlank="1"/>
    </cacheField>
    <cacheField name="Apr'2nd wk Disp compliance" numFmtId="0">
      <sharedItems containsNonDate="0" containsString="0" containsBlank="1"/>
    </cacheField>
    <cacheField name="Apr'3rd wk Disp compliance" numFmtId="0">
      <sharedItems containsNonDate="0" containsString="0" containsBlank="1"/>
    </cacheField>
    <cacheField name="Apr'4th wk Disp compliance" numFmtId="0">
      <sharedItems containsNonDate="0" containsString="0" containsBlank="1"/>
    </cacheField>
    <cacheField name="Apr'5th wk Disp compliance" numFmtId="0">
      <sharedItems containsNonDate="0" containsString="0" containsBlank="1"/>
    </cacheField>
    <cacheField name="Reasons for failure" numFmtId="0">
      <sharedItems containsNonDate="0" containsString="0" containsBlank="1"/>
    </cacheField>
    <cacheField name="Failure Reasons Summary" numFmtId="0">
      <sharedItems containsNonDate="0" containsString="0" containsBlank="1"/>
    </cacheField>
    <cacheField name="Compliance summary" numFmtId="0">
      <sharedItems containsNonDate="0" containsString="0" containsBlank="1"/>
    </cacheField>
    <cacheField name="1st week" numFmtId="0">
      <sharedItems containsNonDate="0" containsString="0" containsBlank="1"/>
    </cacheField>
    <cacheField name="2nd week" numFmtId="0">
      <sharedItems containsNonDate="0" containsString="0" containsBlank="1"/>
    </cacheField>
    <cacheField name="3rd week" numFmtId="0">
      <sharedItems containsNonDate="0" containsString="0" containsBlank="1"/>
    </cacheField>
    <cacheField name="4th week" numFmtId="0">
      <sharedItems containsNonDate="0" containsString="0" containsBlank="1"/>
    </cacheField>
    <cacheField name="5th week" numFmtId="0">
      <sharedItems containsNonDate="0" containsString="0" containsBlank="1"/>
    </cacheField>
    <cacheField name="Tot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6">
  <r>
    <n v="742"/>
    <d v="2024-11-04T00:00:00"/>
    <s v="ZBTO"/>
    <n v="9518232820"/>
    <n v="2"/>
    <s v="9518232820-2"/>
    <m/>
    <s v="Feb'25"/>
    <s v="Released orders"/>
    <x v="0"/>
    <x v="0"/>
    <s v="2000-BPRS"/>
    <n v="1800"/>
    <x v="0"/>
    <m/>
    <m/>
    <m/>
    <s v="North"/>
    <s v="FARIDABAD"/>
    <m/>
    <n v="102457"/>
    <s v="SANJEEV INDUSTRIAL CORPORATION"/>
    <n v="1179966"/>
    <s v="HR COILS-PO IS 10748 GR 1 2X1250"/>
    <m/>
    <s v=""/>
    <n v="17"/>
    <n v="26"/>
    <s v="Wider"/>
    <n v="768"/>
    <s v="I09497"/>
    <s v="HG01"/>
    <n v="2"/>
    <n v="1250"/>
    <n v="0"/>
    <n v="116"/>
    <n v="98.12"/>
    <n v="17.88"/>
    <n v="17.88"/>
    <n v="0"/>
    <n v="17.88"/>
    <m/>
    <m/>
    <n v="17.88"/>
    <n v="17.88"/>
    <n v="0"/>
    <n v="20.025600000000001"/>
    <n v="0"/>
    <n v="0"/>
    <n v="0"/>
    <n v="0"/>
    <n v="0"/>
    <n v="0"/>
    <n v="0"/>
    <n v="0"/>
    <n v="0"/>
    <n v="0"/>
    <n v="0"/>
    <n v="0"/>
    <n v="0"/>
    <n v="0"/>
    <n v="0"/>
    <n v="0"/>
    <n v="0"/>
    <n v="0"/>
    <n v="0"/>
    <n v="0"/>
    <n v="0"/>
    <n v="0"/>
    <n v="0"/>
    <n v="0"/>
    <n v="17.88"/>
    <n v="0"/>
    <n v="0"/>
    <n v="17.88"/>
    <n v="0"/>
    <n v="0"/>
    <n v="17.88"/>
    <n v="0"/>
    <n v="0"/>
    <n v="17.88"/>
    <n v="0"/>
    <n v="0"/>
    <n v="0"/>
    <n v="0"/>
    <n v="0"/>
    <n v="0"/>
    <n v="0"/>
    <n v="0"/>
    <n v="0"/>
    <m/>
    <m/>
    <m/>
    <m/>
    <m/>
    <m/>
    <m/>
    <m/>
    <m/>
    <s v="1"/>
    <s v="1"/>
    <s v="0"/>
    <s v="1"/>
    <s v="1"/>
    <m/>
    <m/>
    <m/>
    <m/>
    <m/>
    <s v="Planning delay due to RM QA hold at HSM"/>
    <m/>
    <m/>
    <m/>
    <m/>
    <m/>
    <m/>
    <m/>
    <m/>
  </r>
  <r>
    <n v="742"/>
    <d v="2024-11-05T00:00:00"/>
    <s v="ZBTO"/>
    <n v="9518234877"/>
    <n v="1"/>
    <s v="9518234877-1"/>
    <m/>
    <s v="Dec'24"/>
    <s v="Released orders"/>
    <x v="1"/>
    <x v="1"/>
    <s v="2000-BPRS"/>
    <m/>
    <x v="0"/>
    <s v="Mar"/>
    <m/>
    <m/>
    <s v="East"/>
    <s v="GUWAHATI"/>
    <m/>
    <n v="936510"/>
    <s v="SAAGAR FURNICO PRIVATE LIMITED"/>
    <n v="3878040"/>
    <s v="CRCA SHEET TATCRC SR18 0.500X1000X2000"/>
    <m/>
    <s v=""/>
    <n v="1"/>
    <n v="5"/>
    <s v="Narrow"/>
    <s v="C06"/>
    <s v="TATCRC"/>
    <s v="SR18"/>
    <n v="0.5"/>
    <n v="1000"/>
    <n v="2000"/>
    <n v="23"/>
    <n v="0"/>
    <n v="23"/>
    <n v="23"/>
    <n v="0"/>
    <n v="23"/>
    <m/>
    <m/>
    <n v="23"/>
    <n v="23"/>
    <n v="0"/>
    <n v="25.76"/>
    <n v="0"/>
    <n v="0"/>
    <n v="0"/>
    <n v="0"/>
    <n v="0"/>
    <n v="0"/>
    <n v="0"/>
    <n v="0"/>
    <n v="0"/>
    <n v="0"/>
    <n v="0"/>
    <n v="0"/>
    <n v="0"/>
    <n v="0"/>
    <n v="0"/>
    <n v="0"/>
    <n v="0"/>
    <n v="0"/>
    <n v="0"/>
    <n v="0"/>
    <n v="0"/>
    <n v="0"/>
    <n v="0"/>
    <n v="0"/>
    <n v="23"/>
    <n v="0"/>
    <n v="0"/>
    <n v="0"/>
    <n v="0"/>
    <n v="23"/>
    <n v="23"/>
    <n v="0"/>
    <n v="0"/>
    <n v="0"/>
    <n v="0"/>
    <n v="23"/>
    <n v="0"/>
    <n v="0"/>
    <n v="0"/>
    <n v="0"/>
    <n v="0"/>
    <n v="0"/>
    <n v="0"/>
    <m/>
    <m/>
    <m/>
    <m/>
    <m/>
    <m/>
    <m/>
    <m/>
    <m/>
    <s v="1"/>
    <s v="1"/>
    <s v="1"/>
    <s v="1"/>
    <s v="0"/>
    <m/>
    <m/>
    <m/>
    <m/>
    <m/>
    <m/>
    <m/>
    <m/>
    <m/>
    <m/>
    <m/>
    <m/>
    <m/>
    <m/>
  </r>
  <r>
    <n v="742"/>
    <d v="2024-11-05T00:00:00"/>
    <s v="ZBTO"/>
    <n v="9518234877"/>
    <n v="2"/>
    <s v="9518234877-2"/>
    <m/>
    <s v="Dec'24"/>
    <s v="Released orders"/>
    <x v="1"/>
    <x v="1"/>
    <s v="2000-BPRS"/>
    <m/>
    <x v="0"/>
    <s v="Mar"/>
    <m/>
    <m/>
    <s v="East"/>
    <s v="GUWAHATI"/>
    <m/>
    <n v="936510"/>
    <s v="SAAGAR FURNICO PRIVATE LIMITED"/>
    <n v="3887877"/>
    <s v="CRCA SHEET TATCRC SR18 0.600X1000X2000"/>
    <m/>
    <s v=""/>
    <n v="1"/>
    <n v="5"/>
    <s v="Narrow"/>
    <s v="C06"/>
    <s v="TATCRC"/>
    <s v="SR18"/>
    <n v="0.6"/>
    <n v="1000"/>
    <n v="2000"/>
    <n v="23"/>
    <n v="0"/>
    <n v="23"/>
    <n v="23"/>
    <n v="0"/>
    <n v="23"/>
    <m/>
    <m/>
    <n v="23"/>
    <n v="23"/>
    <n v="0"/>
    <n v="25.76"/>
    <n v="0"/>
    <n v="0"/>
    <n v="0"/>
    <n v="0"/>
    <n v="0"/>
    <n v="0"/>
    <n v="0"/>
    <n v="0"/>
    <n v="0"/>
    <n v="0"/>
    <n v="0"/>
    <n v="0"/>
    <n v="0"/>
    <n v="0"/>
    <n v="0"/>
    <n v="0"/>
    <n v="0"/>
    <n v="0"/>
    <n v="0"/>
    <n v="0"/>
    <n v="0"/>
    <n v="0"/>
    <n v="0"/>
    <n v="0"/>
    <n v="23"/>
    <n v="0"/>
    <n v="0"/>
    <n v="0"/>
    <n v="0"/>
    <n v="23"/>
    <n v="23"/>
    <n v="0"/>
    <n v="0"/>
    <n v="0"/>
    <n v="0"/>
    <n v="23"/>
    <n v="0"/>
    <n v="0"/>
    <n v="0"/>
    <n v="0"/>
    <n v="0"/>
    <n v="0"/>
    <n v="0"/>
    <m/>
    <m/>
    <m/>
    <m/>
    <m/>
    <m/>
    <m/>
    <m/>
    <m/>
    <s v="1"/>
    <s v="1"/>
    <s v="1"/>
    <s v="1"/>
    <s v="0"/>
    <m/>
    <m/>
    <m/>
    <m/>
    <m/>
    <m/>
    <m/>
    <m/>
    <m/>
    <m/>
    <m/>
    <m/>
    <m/>
    <m/>
  </r>
  <r>
    <n v="743"/>
    <d v="2024-11-05T00:00:00"/>
    <s v="ZBTO"/>
    <n v="9518235044"/>
    <n v="1"/>
    <s v="9518235044-1"/>
    <m/>
    <s v="Stocks"/>
    <s v="Released orders"/>
    <x v="2"/>
    <x v="2"/>
    <n v="2000"/>
    <m/>
    <x v="0"/>
    <m/>
    <m/>
    <m/>
    <s v="East"/>
    <s v="TANGI"/>
    <m/>
    <n v="117061"/>
    <s v="BHARTIA  DISTRIBUTORS PVT. LTD"/>
    <n v="3484324"/>
    <s v="GP SH SOFT TATXGP GK09 0.300X900X2500"/>
    <m/>
    <s v=""/>
    <n v="0"/>
    <n v="0"/>
    <s v="Narrow"/>
    <s v="B11"/>
    <s v="TATXGP"/>
    <s v="GK09"/>
    <n v="0.3"/>
    <n v="900"/>
    <n v="2500"/>
    <n v="42"/>
    <n v="19.454999999999998"/>
    <n v="42"/>
    <n v="42"/>
    <n v="39.174999999999997"/>
    <n v="0"/>
    <m/>
    <n v="39.174999999999997"/>
    <n v="0"/>
    <n v="22.545000000000002"/>
    <n v="0"/>
    <n v="3.1640000000000037"/>
    <n v="0"/>
    <n v="0"/>
    <n v="0"/>
    <n v="0"/>
    <n v="0"/>
    <n v="0"/>
    <n v="0"/>
    <n v="39.174999999999997"/>
    <n v="0"/>
    <n v="0"/>
    <n v="0"/>
    <n v="0"/>
    <n v="0"/>
    <n v="0"/>
    <n v="0"/>
    <n v="0"/>
    <n v="0"/>
    <n v="0"/>
    <n v="39.174999999999997"/>
    <n v="39.174999999999997"/>
    <n v="0"/>
    <n v="39.174999999999997"/>
    <n v="0"/>
    <n v="19.454999999999998"/>
    <n v="0"/>
    <n v="0"/>
    <n v="0"/>
    <n v="0"/>
    <n v="0"/>
    <n v="0"/>
    <n v="19.454999999999998"/>
    <n v="19.454999999999998"/>
    <n v="0"/>
    <n v="0"/>
    <n v="0"/>
    <n v="0"/>
    <n v="0"/>
    <n v="0"/>
    <n v="0"/>
    <n v="0"/>
    <n v="0"/>
    <n v="0"/>
    <n v="0"/>
    <m/>
    <m/>
    <m/>
    <m/>
    <m/>
    <m/>
    <m/>
    <m/>
    <m/>
    <s v="1"/>
    <s v="1"/>
    <s v="1"/>
    <s v="1"/>
    <s v="1"/>
    <m/>
    <m/>
    <m/>
    <m/>
    <m/>
    <m/>
    <m/>
    <m/>
    <m/>
    <m/>
    <m/>
    <m/>
    <m/>
    <m/>
  </r>
  <r>
    <n v="742"/>
    <d v="2024-11-07T00:00:00"/>
    <s v="ZBTO"/>
    <n v="9518241859"/>
    <n v="2"/>
    <s v="9518241859-2"/>
    <m/>
    <s v="Jan'25"/>
    <s v="Released orders"/>
    <x v="1"/>
    <x v="3"/>
    <n v="2000"/>
    <m/>
    <x v="0"/>
    <s v="Mar"/>
    <m/>
    <s v="Rajasthan"/>
    <s v="West"/>
    <s v="JAIPUR"/>
    <m/>
    <n v="116137"/>
    <s v="PELIKAN DOSSIER PRIVATE LIMITE"/>
    <n v="1804771"/>
    <s v="CRCA COIL-TATXXD-AU03-0.4X1000"/>
    <m/>
    <s v=""/>
    <n v="10"/>
    <n v="25"/>
    <s v="Narrow"/>
    <s v="C01"/>
    <s v="TATXXD"/>
    <s v="AU03"/>
    <n v="0.4"/>
    <n v="1000"/>
    <n v="0"/>
    <n v="46"/>
    <n v="20.844999999999999"/>
    <n v="25.155000000000001"/>
    <n v="25.155000000000001"/>
    <n v="0"/>
    <n v="25.155000000000001"/>
    <m/>
    <m/>
    <n v="25.155000000000001"/>
    <n v="25.155000000000001"/>
    <n v="0"/>
    <n v="28.173600000000004"/>
    <n v="0"/>
    <n v="0"/>
    <n v="0"/>
    <n v="0"/>
    <n v="0"/>
    <n v="0"/>
    <n v="0"/>
    <n v="0"/>
    <n v="0"/>
    <n v="0"/>
    <n v="0"/>
    <n v="0"/>
    <n v="0"/>
    <n v="0"/>
    <n v="0"/>
    <n v="0"/>
    <n v="0"/>
    <n v="0"/>
    <n v="0"/>
    <n v="0"/>
    <n v="0"/>
    <n v="0"/>
    <n v="0"/>
    <n v="0"/>
    <n v="25.155000000000001"/>
    <n v="0"/>
    <n v="0"/>
    <n v="0"/>
    <n v="0"/>
    <n v="25.155000000000001"/>
    <n v="25.155000000000001"/>
    <n v="0"/>
    <n v="0"/>
    <n v="0"/>
    <n v="0"/>
    <n v="25.155000000000001"/>
    <n v="0"/>
    <n v="20.844999999999999"/>
    <n v="0"/>
    <n v="0"/>
    <n v="0"/>
    <n v="0"/>
    <n v="20.844999999999999"/>
    <m/>
    <m/>
    <m/>
    <m/>
    <m/>
    <m/>
    <m/>
    <m/>
    <m/>
    <s v="1"/>
    <s v="1"/>
    <s v="1"/>
    <s v="1"/>
    <s v="0"/>
    <m/>
    <m/>
    <m/>
    <m/>
    <m/>
    <s v="Process delay at CRS"/>
    <m/>
    <m/>
    <m/>
    <m/>
    <m/>
    <m/>
    <m/>
    <m/>
  </r>
  <r>
    <n v="8214"/>
    <d v="2024-11-09T00:00:00"/>
    <s v="ZBTF"/>
    <n v="9518247640"/>
    <n v="10"/>
    <s v="9518247640-10"/>
    <m/>
    <s v="Mar'25 additional"/>
    <s v="Released orders"/>
    <x v="1"/>
    <x v="4"/>
    <n v="1000"/>
    <m/>
    <x v="0"/>
    <m/>
    <m/>
    <m/>
    <s v="East"/>
    <s v="PILKHUWA"/>
    <m/>
    <n v="600250"/>
    <s v="TATA CENTRE"/>
    <n v="3587949"/>
    <s v="CR COIL TSBSTA EL06 0.500X1250"/>
    <m/>
    <s v=""/>
    <n v="8"/>
    <n v="13"/>
    <s v="Wider"/>
    <s v="C01"/>
    <s v="TSBSTA"/>
    <s v="EL06"/>
    <n v="0.5"/>
    <n v="1250"/>
    <n v="0"/>
    <n v="290"/>
    <n v="266.99"/>
    <n v="23.01"/>
    <n v="23.01"/>
    <n v="19"/>
    <n v="0"/>
    <m/>
    <n v="19"/>
    <n v="0"/>
    <n v="23.01"/>
    <n v="0"/>
    <n v="0"/>
    <n v="0"/>
    <n v="0"/>
    <n v="0"/>
    <n v="0"/>
    <n v="0"/>
    <n v="0"/>
    <n v="0"/>
    <n v="0"/>
    <n v="0"/>
    <n v="0"/>
    <n v="0"/>
    <n v="0"/>
    <n v="19"/>
    <n v="0"/>
    <n v="0"/>
    <n v="0"/>
    <n v="0"/>
    <n v="0"/>
    <n v="19"/>
    <n v="19"/>
    <n v="0"/>
    <n v="19"/>
    <n v="0"/>
    <n v="0"/>
    <n v="23.01"/>
    <n v="0"/>
    <n v="0"/>
    <n v="23.01"/>
    <n v="0"/>
    <n v="0"/>
    <n v="23.01"/>
    <n v="0"/>
    <n v="0"/>
    <n v="23.01"/>
    <n v="0"/>
    <n v="0"/>
    <n v="0"/>
    <n v="0"/>
    <n v="0"/>
    <n v="0"/>
    <n v="0"/>
    <n v="0"/>
    <n v="0"/>
    <m/>
    <m/>
    <m/>
    <m/>
    <m/>
    <m/>
    <m/>
    <m/>
    <m/>
    <s v="1"/>
    <s v="1"/>
    <s v="0"/>
    <s v="1"/>
    <s v="1"/>
    <m/>
    <m/>
    <m/>
    <m/>
    <m/>
    <m/>
    <m/>
    <m/>
    <m/>
    <m/>
    <m/>
    <m/>
    <m/>
    <m/>
  </r>
  <r>
    <n v="742"/>
    <d v="2024-11-10T00:00:00"/>
    <s v="ZBTO"/>
    <n v="9518248825"/>
    <n v="3"/>
    <s v="9518248825-3"/>
    <m/>
    <s v="Mar'25"/>
    <s v="Released orders"/>
    <x v="1"/>
    <x v="1"/>
    <n v="2000"/>
    <m/>
    <x v="0"/>
    <s v="Mar"/>
    <m/>
    <s v="Andhra Pradesh"/>
    <s v="South"/>
    <s v="VISHAKHAPATNAM"/>
    <m/>
    <n v="946077"/>
    <s v="SITARAM IRON AND STEEL PVT LTD"/>
    <n v="3239549"/>
    <s v="CRCA SHEET TATCRC SR16 0.400X900X2440"/>
    <m/>
    <s v=""/>
    <n v="0"/>
    <n v="0"/>
    <s v="Narrow"/>
    <s v="C06"/>
    <s v="TATCRC"/>
    <s v="SR16"/>
    <n v="0.4"/>
    <n v="900"/>
    <n v="2440"/>
    <n v="42"/>
    <n v="0"/>
    <n v="42"/>
    <n v="42"/>
    <n v="0"/>
    <n v="42"/>
    <m/>
    <m/>
    <n v="42"/>
    <n v="42"/>
    <n v="0"/>
    <n v="47.040000000000006"/>
    <n v="0"/>
    <n v="0"/>
    <n v="0"/>
    <n v="0"/>
    <n v="0"/>
    <n v="0"/>
    <n v="0"/>
    <n v="0"/>
    <n v="0"/>
    <n v="0"/>
    <n v="0"/>
    <n v="0"/>
    <n v="0"/>
    <n v="0"/>
    <n v="0"/>
    <n v="0"/>
    <n v="0"/>
    <n v="0"/>
    <n v="0"/>
    <n v="0"/>
    <n v="0"/>
    <n v="0"/>
    <n v="0"/>
    <n v="0"/>
    <n v="42"/>
    <n v="0"/>
    <n v="0"/>
    <n v="0"/>
    <n v="0"/>
    <n v="42"/>
    <n v="42"/>
    <n v="0"/>
    <n v="0"/>
    <n v="0"/>
    <n v="0"/>
    <n v="42"/>
    <n v="0"/>
    <n v="0"/>
    <n v="0"/>
    <n v="0"/>
    <n v="0"/>
    <n v="0"/>
    <n v="0"/>
    <m/>
    <m/>
    <m/>
    <m/>
    <m/>
    <m/>
    <m/>
    <m/>
    <m/>
    <s v="1"/>
    <s v="1"/>
    <s v="1"/>
    <s v="1"/>
    <s v="0"/>
    <m/>
    <m/>
    <m/>
    <m/>
    <m/>
    <m/>
    <m/>
    <m/>
    <m/>
    <m/>
    <m/>
    <m/>
    <m/>
    <m/>
  </r>
  <r>
    <n v="742"/>
    <d v="2024-11-10T00:00:00"/>
    <s v="ZBTO"/>
    <n v="9518248825"/>
    <n v="18"/>
    <s v="9518248825-18"/>
    <m/>
    <s v="Mar'25"/>
    <s v="Released orders"/>
    <x v="1"/>
    <x v="1"/>
    <n v="2000"/>
    <m/>
    <x v="0"/>
    <s v="Mar"/>
    <m/>
    <s v="Andhra Pradesh"/>
    <s v="South"/>
    <s v="VISHAKHAPATNAM"/>
    <m/>
    <n v="946077"/>
    <s v="SITARAM IRON AND STEEL PVT LTD"/>
    <n v="3410102"/>
    <s v="CRCA SHEET TSBCRC SR15 0.950X1000X2500"/>
    <m/>
    <s v=""/>
    <n v="0"/>
    <n v="0"/>
    <s v="Narrow"/>
    <s v="C06"/>
    <s v="TSBCRC"/>
    <s v="SR15"/>
    <n v="0.95"/>
    <n v="1000"/>
    <n v="2500"/>
    <n v="23"/>
    <n v="0"/>
    <n v="23"/>
    <n v="23"/>
    <n v="0"/>
    <n v="23"/>
    <m/>
    <m/>
    <n v="23"/>
    <n v="23"/>
    <n v="0"/>
    <n v="25.76"/>
    <n v="0"/>
    <n v="0"/>
    <n v="0"/>
    <n v="0"/>
    <n v="0"/>
    <n v="0"/>
    <n v="0"/>
    <n v="0"/>
    <n v="0"/>
    <n v="0"/>
    <n v="0"/>
    <n v="0"/>
    <n v="0"/>
    <n v="0"/>
    <n v="0"/>
    <n v="0"/>
    <n v="0"/>
    <n v="0"/>
    <n v="0"/>
    <n v="0"/>
    <n v="0"/>
    <n v="0"/>
    <n v="0"/>
    <n v="0"/>
    <n v="23"/>
    <n v="0"/>
    <n v="0"/>
    <n v="0"/>
    <n v="23"/>
    <n v="0"/>
    <n v="23"/>
    <n v="0"/>
    <n v="0"/>
    <n v="0"/>
    <n v="23"/>
    <n v="0"/>
    <n v="0"/>
    <n v="0"/>
    <n v="0"/>
    <n v="0"/>
    <n v="0"/>
    <n v="0"/>
    <n v="0"/>
    <m/>
    <m/>
    <m/>
    <m/>
    <m/>
    <m/>
    <m/>
    <m/>
    <m/>
    <s v="1"/>
    <s v="1"/>
    <s v="1"/>
    <s v="0"/>
    <s v="1"/>
    <m/>
    <m/>
    <m/>
    <m/>
    <m/>
    <m/>
    <m/>
    <m/>
    <m/>
    <m/>
    <m/>
    <m/>
    <m/>
    <m/>
  </r>
  <r>
    <n v="742"/>
    <d v="2024-11-10T00:00:00"/>
    <s v="ZBTO"/>
    <n v="9518248825"/>
    <n v="19"/>
    <s v="9518248825-19"/>
    <m/>
    <s v="Jan'25"/>
    <s v="Released orders"/>
    <x v="1"/>
    <x v="1"/>
    <n v="2000"/>
    <m/>
    <x v="0"/>
    <s v="Mar"/>
    <m/>
    <s v="Andhra Pradesh"/>
    <s v="South"/>
    <s v="VISHAKHAPATNAM"/>
    <m/>
    <n v="946077"/>
    <s v="SITARAM IRON AND STEEL PVT LTD"/>
    <n v="3240836"/>
    <s v="CRCA SHEET TSBCRC SR15 1X1000X2500"/>
    <m/>
    <s v=""/>
    <n v="0"/>
    <n v="0"/>
    <s v="Narrow"/>
    <s v="C06"/>
    <s v="TSBCRC"/>
    <s v="SR15"/>
    <n v="1"/>
    <n v="1000"/>
    <n v="2500"/>
    <n v="23"/>
    <n v="0"/>
    <n v="23"/>
    <n v="23"/>
    <n v="0"/>
    <n v="23"/>
    <m/>
    <m/>
    <n v="23"/>
    <n v="23"/>
    <n v="0"/>
    <n v="25.76"/>
    <n v="0"/>
    <n v="0"/>
    <n v="0"/>
    <n v="0"/>
    <n v="0"/>
    <n v="0"/>
    <n v="0"/>
    <n v="0"/>
    <n v="0"/>
    <n v="0"/>
    <n v="0"/>
    <n v="0"/>
    <n v="0"/>
    <n v="0"/>
    <n v="0"/>
    <n v="0"/>
    <n v="0"/>
    <n v="0"/>
    <n v="0"/>
    <n v="0"/>
    <n v="0"/>
    <n v="0"/>
    <n v="0"/>
    <n v="0"/>
    <n v="23"/>
    <n v="0"/>
    <n v="0"/>
    <n v="0"/>
    <n v="23"/>
    <n v="0"/>
    <n v="23"/>
    <n v="0"/>
    <n v="0"/>
    <n v="0"/>
    <n v="23"/>
    <n v="0"/>
    <n v="0"/>
    <n v="0"/>
    <n v="0"/>
    <n v="0"/>
    <n v="0"/>
    <n v="0"/>
    <n v="0"/>
    <m/>
    <m/>
    <m/>
    <m/>
    <m/>
    <m/>
    <m/>
    <m/>
    <m/>
    <s v="1"/>
    <s v="1"/>
    <s v="1"/>
    <s v="0"/>
    <s v="1"/>
    <m/>
    <m/>
    <m/>
    <m/>
    <m/>
    <m/>
    <m/>
    <m/>
    <m/>
    <m/>
    <m/>
    <m/>
    <m/>
    <m/>
  </r>
  <r>
    <n v="742"/>
    <d v="2024-11-11T00:00:00"/>
    <s v="ZBTO"/>
    <n v="9518249681"/>
    <n v="1"/>
    <s v="9518249681-1"/>
    <m/>
    <s v="No Priority"/>
    <s v="Released orders"/>
    <x v="1"/>
    <x v="3"/>
    <n v="2000"/>
    <m/>
    <x v="1"/>
    <s v="Mar"/>
    <s v="Beyond HSM rollability"/>
    <s v="Andhra Pradesh"/>
    <s v="South"/>
    <s v="VISHAKHAPATNAM"/>
    <m/>
    <n v="946077"/>
    <s v="SITARAM IRON AND STEEL PVT LTD"/>
    <n v="1804912"/>
    <s v="CRCA COIL-TATCRC-TR15-0.6X900"/>
    <m/>
    <s v=""/>
    <n v="8"/>
    <n v="29"/>
    <s v="Narrow"/>
    <s v="C01"/>
    <s v="TATCRC"/>
    <s v="TR15"/>
    <n v="0.6"/>
    <n v="900"/>
    <n v="0"/>
    <n v="21"/>
    <n v="0"/>
    <n v="21"/>
    <n v="21"/>
    <n v="0"/>
    <n v="21"/>
    <m/>
    <m/>
    <n v="21"/>
    <n v="21"/>
    <n v="0"/>
    <n v="23.520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4-11-13T00:00:00"/>
    <s v="ZBTO"/>
    <n v="9518256202"/>
    <n v="1"/>
    <s v="9518256202-1"/>
    <m/>
    <s v="Stocks"/>
    <s v="Released orders"/>
    <x v="2"/>
    <x v="2"/>
    <n v="2000"/>
    <m/>
    <x v="0"/>
    <m/>
    <m/>
    <s v="Bihar"/>
    <s v="East"/>
    <s v="PURNIA"/>
    <m/>
    <n v="103227"/>
    <s v="BMW VENTURES LIMITED"/>
    <n v="1851127"/>
    <s v="GP SHEET SOFT-TATXGP-GK09-0.25X900"/>
    <m/>
    <s v=""/>
    <n v="0"/>
    <n v="0"/>
    <s v="Narrow"/>
    <s v="B11"/>
    <s v="TATXGP"/>
    <s v="GK09"/>
    <n v="0.25"/>
    <n v="900"/>
    <n v="2370"/>
    <n v="63"/>
    <n v="51.41"/>
    <n v="63"/>
    <n v="45.74"/>
    <n v="42.454999999999998"/>
    <n v="0"/>
    <m/>
    <n v="42.454999999999998"/>
    <n v="0"/>
    <n v="11.59"/>
    <n v="0"/>
    <n v="3.4272000000000027"/>
    <n v="0"/>
    <n v="0"/>
    <n v="0"/>
    <n v="0"/>
    <n v="0"/>
    <n v="0"/>
    <n v="0"/>
    <n v="59.94"/>
    <n v="0"/>
    <n v="0"/>
    <n v="0"/>
    <n v="0"/>
    <n v="0"/>
    <n v="0"/>
    <n v="0"/>
    <n v="0"/>
    <n v="0"/>
    <n v="0"/>
    <n v="59.94"/>
    <n v="59.94"/>
    <n v="0"/>
    <n v="42.454999999999998"/>
    <n v="0"/>
    <n v="31.75"/>
    <n v="0"/>
    <n v="0"/>
    <n v="0"/>
    <n v="0"/>
    <n v="0"/>
    <n v="0"/>
    <n v="31.75"/>
    <n v="31.75"/>
    <n v="0"/>
    <n v="0"/>
    <n v="0"/>
    <n v="0"/>
    <n v="0"/>
    <n v="0"/>
    <n v="0"/>
    <n v="0"/>
    <n v="0"/>
    <n v="0"/>
    <n v="0"/>
    <m/>
    <m/>
    <m/>
    <m/>
    <m/>
    <m/>
    <m/>
    <m/>
    <m/>
    <s v="1"/>
    <s v="1"/>
    <s v="1"/>
    <s v="1"/>
    <s v="1"/>
    <m/>
    <m/>
    <m/>
    <m/>
    <m/>
    <s v="Process delay at CTL"/>
    <m/>
    <m/>
    <m/>
    <m/>
    <m/>
    <m/>
    <m/>
    <m/>
  </r>
  <r>
    <n v="743"/>
    <d v="2024-11-13T00:00:00"/>
    <s v="ZBTO"/>
    <n v="9518256202"/>
    <n v="2"/>
    <s v="9518256202-2"/>
    <m/>
    <s v="No Priority"/>
    <s v="Released orders"/>
    <x v="2"/>
    <x v="2"/>
    <n v="2000"/>
    <m/>
    <x v="1"/>
    <m/>
    <m/>
    <s v="Bihar"/>
    <s v="East"/>
    <s v="PURNIA"/>
    <m/>
    <n v="103227"/>
    <s v="BMW VENTURES LIMITED"/>
    <n v="1851130"/>
    <s v="GP SHEET SOFT-TATXGP-GK09-0.3X900"/>
    <m/>
    <s v=""/>
    <n v="0"/>
    <n v="0"/>
    <s v="Narrow"/>
    <s v="B11"/>
    <s v="TATXGP"/>
    <s v="GK09"/>
    <n v="0.3"/>
    <n v="900"/>
    <n v="2370"/>
    <n v="63"/>
    <n v="32.674999999999997"/>
    <n v="36.854999999999997"/>
    <n v="30.324999999999999"/>
    <n v="30.265000000000001"/>
    <n v="0.06"/>
    <m/>
    <n v="30.265000000000001"/>
    <n v="0"/>
    <n v="30.324999999999999"/>
    <n v="0"/>
    <n v="3.7967999999999931"/>
    <n v="0"/>
    <n v="0"/>
    <n v="0"/>
    <n v="20.420000000000002"/>
    <n v="0"/>
    <n v="0"/>
    <n v="0"/>
    <n v="13.045"/>
    <n v="0"/>
    <n v="0"/>
    <n v="0"/>
    <n v="0"/>
    <n v="0"/>
    <n v="0"/>
    <n v="0"/>
    <n v="0"/>
    <n v="0"/>
    <n v="0"/>
    <n v="33.465000000000003"/>
    <n v="33.465000000000003"/>
    <n v="0"/>
    <n v="30.265000000000001"/>
    <n v="0"/>
    <n v="0"/>
    <n v="0"/>
    <n v="0"/>
    <n v="0"/>
    <n v="0"/>
    <n v="0"/>
    <n v="0"/>
    <n v="0"/>
    <n v="0"/>
    <n v="0"/>
    <n v="0"/>
    <n v="0"/>
    <n v="0"/>
    <n v="0"/>
    <n v="0"/>
    <n v="0"/>
    <n v="0"/>
    <n v="0"/>
    <n v="0"/>
    <n v="0"/>
    <m/>
    <m/>
    <m/>
    <m/>
    <m/>
    <m/>
    <m/>
    <m/>
    <m/>
    <s v="1"/>
    <s v="1"/>
    <s v="1"/>
    <s v="1"/>
    <s v="1"/>
    <m/>
    <m/>
    <m/>
    <m/>
    <m/>
    <m/>
    <m/>
    <m/>
    <m/>
    <m/>
    <m/>
    <m/>
    <m/>
    <m/>
  </r>
  <r>
    <n v="743"/>
    <d v="2024-11-13T00:00:00"/>
    <s v="ZBTO"/>
    <n v="9518256202"/>
    <n v="3"/>
    <s v="9518256202-3"/>
    <m/>
    <s v="Stocks"/>
    <s v="Released orders"/>
    <x v="2"/>
    <x v="2"/>
    <n v="2000"/>
    <m/>
    <x v="0"/>
    <m/>
    <m/>
    <s v="Bihar"/>
    <s v="East"/>
    <s v="PURNIA"/>
    <m/>
    <n v="103227"/>
    <s v="BMW VENTURES LIMITED"/>
    <n v="1851133"/>
    <s v="GP SHEET SOFT-TATXGP-GK09-0.35X900"/>
    <m/>
    <s v=""/>
    <n v="0"/>
    <n v="0"/>
    <s v="Narrow"/>
    <s v="B11"/>
    <s v="TATXGP"/>
    <s v="GK09"/>
    <n v="0.35"/>
    <n v="900"/>
    <n v="2370"/>
    <n v="63"/>
    <n v="41.73"/>
    <n v="53.055"/>
    <n v="53.055"/>
    <n v="51.145000000000003"/>
    <n v="0"/>
    <m/>
    <n v="51.145000000000003"/>
    <n v="0"/>
    <n v="21.27"/>
    <n v="0"/>
    <n v="0.57680000000000065"/>
    <n v="0"/>
    <n v="0"/>
    <n v="0"/>
    <n v="20.54"/>
    <n v="0"/>
    <n v="0"/>
    <n v="0"/>
    <n v="32"/>
    <n v="0"/>
    <n v="0"/>
    <n v="0"/>
    <n v="0"/>
    <n v="0"/>
    <n v="0"/>
    <n v="0"/>
    <n v="0"/>
    <n v="0"/>
    <n v="0"/>
    <n v="52.54"/>
    <n v="52.54"/>
    <n v="0"/>
    <n v="51.145000000000003"/>
    <n v="0"/>
    <n v="12.375"/>
    <n v="0"/>
    <n v="0"/>
    <n v="0"/>
    <n v="0"/>
    <n v="0"/>
    <n v="0"/>
    <n v="12.375"/>
    <n v="12.375"/>
    <n v="0"/>
    <n v="0"/>
    <n v="0"/>
    <n v="0"/>
    <n v="0"/>
    <n v="0"/>
    <n v="0"/>
    <n v="0"/>
    <n v="0"/>
    <n v="0"/>
    <n v="0"/>
    <m/>
    <m/>
    <m/>
    <m/>
    <m/>
    <m/>
    <m/>
    <m/>
    <m/>
    <s v="1"/>
    <s v="1"/>
    <s v="1"/>
    <s v="1"/>
    <s v="1"/>
    <m/>
    <m/>
    <m/>
    <m/>
    <m/>
    <m/>
    <m/>
    <m/>
    <m/>
    <m/>
    <m/>
    <m/>
    <m/>
    <m/>
  </r>
  <r>
    <n v="743"/>
    <d v="2024-11-13T00:00:00"/>
    <s v="ZBTO"/>
    <n v="9518256202"/>
    <n v="4"/>
    <s v="9518256202-4"/>
    <m/>
    <s v="Stocks"/>
    <s v="Released orders"/>
    <x v="2"/>
    <x v="2"/>
    <n v="2000"/>
    <m/>
    <x v="0"/>
    <m/>
    <m/>
    <s v="Bihar"/>
    <s v="East"/>
    <s v="PURNIA"/>
    <m/>
    <n v="103227"/>
    <s v="BMW VENTURES LIMITED"/>
    <n v="1854534"/>
    <s v="GP SHEET SOFT-TATXGP-GK09-0.4X900"/>
    <m/>
    <s v=""/>
    <n v="0"/>
    <n v="0"/>
    <s v="Narrow"/>
    <s v="B11"/>
    <s v="TATXGP"/>
    <s v="GK09"/>
    <n v="0.4"/>
    <n v="900"/>
    <n v="2370"/>
    <n v="63"/>
    <n v="58.26"/>
    <n v="24.08"/>
    <n v="24.08"/>
    <n v="19.484999999999999"/>
    <n v="0"/>
    <m/>
    <n v="19.484999999999999"/>
    <n v="0"/>
    <n v="4.74"/>
    <n v="0"/>
    <n v="5.1239999999999997"/>
    <n v="0"/>
    <n v="0"/>
    <n v="0"/>
    <n v="0"/>
    <n v="0"/>
    <n v="0.02"/>
    <n v="0"/>
    <n v="0"/>
    <n v="0"/>
    <n v="0"/>
    <n v="0"/>
    <n v="0"/>
    <n v="0"/>
    <n v="0"/>
    <n v="0"/>
    <n v="0"/>
    <n v="19.484999999999999"/>
    <n v="0"/>
    <n v="19.504999999999999"/>
    <n v="19.504999999999999"/>
    <n v="0"/>
    <n v="19.484999999999999"/>
    <n v="0"/>
    <n v="15.615"/>
    <n v="0"/>
    <n v="0"/>
    <n v="0"/>
    <n v="0"/>
    <n v="0"/>
    <n v="0"/>
    <n v="15.615"/>
    <n v="15.615"/>
    <n v="0"/>
    <n v="0"/>
    <n v="0"/>
    <n v="0"/>
    <n v="0"/>
    <n v="0"/>
    <n v="0"/>
    <n v="0"/>
    <n v="0"/>
    <n v="0"/>
    <n v="0"/>
    <m/>
    <m/>
    <m/>
    <m/>
    <m/>
    <m/>
    <m/>
    <m/>
    <m/>
    <s v="1"/>
    <s v="1"/>
    <s v="1"/>
    <s v="1"/>
    <s v="1"/>
    <m/>
    <m/>
    <m/>
    <m/>
    <m/>
    <m/>
    <m/>
    <m/>
    <m/>
    <m/>
    <m/>
    <m/>
    <m/>
    <m/>
  </r>
  <r>
    <n v="743"/>
    <d v="2024-11-13T00:00:00"/>
    <s v="ZBTO"/>
    <n v="9518256202"/>
    <n v="6"/>
    <s v="9518256202-6"/>
    <m/>
    <s v="Stocks"/>
    <s v="Released orders"/>
    <x v="2"/>
    <x v="2"/>
    <n v="2000"/>
    <m/>
    <x v="0"/>
    <m/>
    <m/>
    <s v="Bihar"/>
    <s v="East"/>
    <s v="PURNIA"/>
    <m/>
    <n v="103227"/>
    <s v="BMW VENTURES LIMITED"/>
    <n v="1854563"/>
    <s v="GP SHEET SOFT-TATXGP-GK09-0.6X900"/>
    <m/>
    <s v=""/>
    <n v="0"/>
    <n v="0"/>
    <s v="Narrow"/>
    <s v="B11"/>
    <s v="TATXGP"/>
    <s v="GK09"/>
    <n v="0.6"/>
    <n v="900"/>
    <n v="2370"/>
    <n v="63"/>
    <n v="54.63"/>
    <n v="25.9"/>
    <n v="25.9"/>
    <n v="17.53"/>
    <n v="0"/>
    <m/>
    <n v="17.53"/>
    <n v="0"/>
    <n v="8.3699999999999992"/>
    <n v="0"/>
    <n v="8.5063999999999993"/>
    <n v="0"/>
    <n v="0"/>
    <n v="0"/>
    <n v="0"/>
    <n v="0"/>
    <n v="0"/>
    <n v="0"/>
    <n v="18.305"/>
    <n v="0"/>
    <n v="0"/>
    <n v="0"/>
    <n v="0"/>
    <n v="0"/>
    <n v="0"/>
    <n v="0"/>
    <n v="0"/>
    <n v="0"/>
    <n v="0"/>
    <n v="18.305"/>
    <n v="18.305"/>
    <n v="0"/>
    <n v="17.53"/>
    <n v="0"/>
    <n v="20.11"/>
    <n v="0"/>
    <n v="0"/>
    <n v="0"/>
    <n v="0"/>
    <n v="0"/>
    <n v="0"/>
    <n v="20.11"/>
    <n v="20.11"/>
    <n v="0"/>
    <n v="0"/>
    <n v="0"/>
    <n v="0"/>
    <n v="0"/>
    <n v="0"/>
    <n v="0"/>
    <n v="0"/>
    <n v="0"/>
    <n v="0"/>
    <n v="0"/>
    <m/>
    <m/>
    <m/>
    <m/>
    <m/>
    <m/>
    <m/>
    <m/>
    <m/>
    <s v="1"/>
    <s v="1"/>
    <s v="1"/>
    <s v="1"/>
    <s v="1"/>
    <m/>
    <m/>
    <m/>
    <m/>
    <m/>
    <m/>
    <m/>
    <m/>
    <m/>
    <m/>
    <m/>
    <m/>
    <m/>
    <m/>
  </r>
  <r>
    <n v="2341"/>
    <d v="2024-11-16T00:00:00"/>
    <s v="ZBTF"/>
    <n v="9518263243"/>
    <n v="2"/>
    <s v="9518263243-2"/>
    <m/>
    <s v="Mar'25 additional"/>
    <s v="Released orders"/>
    <x v="1"/>
    <x v="5"/>
    <n v="1000"/>
    <m/>
    <x v="0"/>
    <m/>
    <s v="FG will come in Feb'25"/>
    <s v="Punjab"/>
    <s v="North"/>
    <s v="SANHEWAL"/>
    <m/>
    <n v="925428"/>
    <s v="TUBE INVESTMENTS OF INDIA LIMI"/>
    <n v="3741588"/>
    <s v="CR COIL SA1010 TU97 1.150X1250"/>
    <m/>
    <s v=""/>
    <n v="16"/>
    <n v="27"/>
    <s v="Wider"/>
    <s v="C01"/>
    <s v="SA1010"/>
    <s v="TU97"/>
    <n v="1.1499999999999999"/>
    <n v="1250"/>
    <n v="0"/>
    <n v="261"/>
    <n v="180.845"/>
    <n v="182.94"/>
    <n v="182.94"/>
    <n v="166.07"/>
    <n v="16.87"/>
    <m/>
    <n v="0"/>
    <n v="182.94"/>
    <n v="80.155000000000001"/>
    <n v="0"/>
    <n v="173.26400000000001"/>
    <n v="0"/>
    <n v="0"/>
    <n v="0"/>
    <n v="0"/>
    <n v="0"/>
    <n v="0"/>
    <n v="0"/>
    <n v="0"/>
    <n v="0"/>
    <n v="28.240000000000002"/>
    <n v="0"/>
    <n v="0"/>
    <n v="0"/>
    <n v="0"/>
    <n v="0"/>
    <n v="0"/>
    <n v="0"/>
    <n v="0"/>
    <n v="28.240000000000002"/>
    <n v="28.240000000000002"/>
    <n v="0"/>
    <n v="28.240000000000002"/>
    <n v="166.07"/>
    <n v="102.785"/>
    <n v="0"/>
    <n v="0"/>
    <n v="0"/>
    <n v="0"/>
    <n v="0"/>
    <n v="0"/>
    <n v="102.785"/>
    <n v="0"/>
    <n v="102.785"/>
    <n v="0"/>
    <n v="0"/>
    <n v="0"/>
    <n v="0"/>
    <n v="0"/>
    <n v="0"/>
    <n v="0"/>
    <n v="0"/>
    <n v="0"/>
    <n v="0"/>
    <m/>
    <m/>
    <m/>
    <m/>
    <m/>
    <m/>
    <m/>
    <m/>
    <m/>
    <s v="1"/>
    <s v="1"/>
    <s v="1"/>
    <s v="1"/>
    <s v="1"/>
    <m/>
    <m/>
    <m/>
    <m/>
    <m/>
    <m/>
    <m/>
    <m/>
    <m/>
    <m/>
    <m/>
    <m/>
    <m/>
    <m/>
  </r>
  <r>
    <n v="2341"/>
    <d v="2024-11-16T00:00:00"/>
    <s v="ZBTF"/>
    <n v="9518263243"/>
    <n v="4"/>
    <s v="9518263243-4"/>
    <m/>
    <s v="Stocks"/>
    <s v="Released orders"/>
    <x v="1"/>
    <x v="5"/>
    <n v="1000"/>
    <m/>
    <x v="0"/>
    <m/>
    <s v="FG will come in Feb'25"/>
    <s v="Punjab"/>
    <s v="North"/>
    <s v="SANHEWAL"/>
    <m/>
    <n v="925428"/>
    <s v="TUBE INVESTMENTS OF INDIA LIMI"/>
    <n v="3741589"/>
    <s v="CR COIL SA1010 TU97 1.500X1250"/>
    <m/>
    <s v=""/>
    <n v="16"/>
    <n v="27"/>
    <s v="Wider"/>
    <s v="C01"/>
    <s v="SA1010"/>
    <s v="TU97"/>
    <n v="1.5"/>
    <n v="1250"/>
    <n v="0"/>
    <n v="261"/>
    <n v="258.17500000000001"/>
    <n v="105.93"/>
    <n v="105.93"/>
    <n v="110.27"/>
    <n v="0"/>
    <m/>
    <n v="0"/>
    <n v="105.93"/>
    <n v="2.8250000000000002"/>
    <n v="0"/>
    <n v="0"/>
    <n v="0"/>
    <n v="0"/>
    <n v="0"/>
    <n v="0"/>
    <n v="0"/>
    <n v="0"/>
    <n v="0"/>
    <n v="0"/>
    <n v="0"/>
    <n v="112.98"/>
    <n v="0"/>
    <n v="0"/>
    <n v="0"/>
    <n v="0"/>
    <n v="0"/>
    <n v="0"/>
    <n v="0"/>
    <n v="0"/>
    <n v="112.98"/>
    <n v="112.98"/>
    <n v="0"/>
    <n v="112.98"/>
    <n v="110.27"/>
    <n v="103.105"/>
    <n v="0"/>
    <n v="0"/>
    <n v="0"/>
    <n v="0"/>
    <n v="0"/>
    <n v="0"/>
    <n v="103.105"/>
    <n v="103.105"/>
    <n v="0"/>
    <n v="0"/>
    <n v="0"/>
    <n v="0"/>
    <n v="0"/>
    <n v="0"/>
    <n v="0"/>
    <n v="0"/>
    <n v="0"/>
    <n v="0"/>
    <n v="0"/>
    <m/>
    <m/>
    <m/>
    <m/>
    <m/>
    <m/>
    <m/>
    <m/>
    <m/>
    <s v="1"/>
    <s v="1"/>
    <s v="1"/>
    <s v="1"/>
    <s v="1"/>
    <m/>
    <m/>
    <m/>
    <m/>
    <m/>
    <m/>
    <m/>
    <m/>
    <m/>
    <m/>
    <m/>
    <m/>
    <m/>
    <m/>
  </r>
  <r>
    <n v="742"/>
    <d v="2024-11-18T00:00:00"/>
    <s v="ZBTO"/>
    <n v="9518267076"/>
    <n v="1"/>
    <s v="9518267076-1"/>
    <m/>
    <s v="Feb'25"/>
    <s v="Released orders"/>
    <x v="1"/>
    <x v="1"/>
    <n v="2000"/>
    <m/>
    <x v="0"/>
    <s v="Mar"/>
    <m/>
    <m/>
    <s v="East"/>
    <s v="HOWRAH"/>
    <m/>
    <n v="925093"/>
    <s v="PSPL STEEL PROCESSORS PRIVATE"/>
    <n v="3239536"/>
    <s v="CRCA SHEET TATCRC SR16 0.350X900X2500"/>
    <m/>
    <s v=""/>
    <n v="0"/>
    <n v="0"/>
    <s v="Narrow"/>
    <s v="C06"/>
    <s v="TATCRC"/>
    <s v="SR16"/>
    <n v="0.35"/>
    <n v="900"/>
    <n v="2500"/>
    <n v="42"/>
    <n v="19.11"/>
    <n v="42"/>
    <n v="42"/>
    <n v="20.170000000000002"/>
    <n v="21.83"/>
    <m/>
    <n v="0"/>
    <n v="21.83"/>
    <n v="22.89"/>
    <n v="0"/>
    <n v="24.4496"/>
    <n v="0"/>
    <n v="0"/>
    <n v="0"/>
    <n v="0"/>
    <n v="0"/>
    <n v="0"/>
    <n v="0"/>
    <n v="0"/>
    <n v="0"/>
    <n v="0"/>
    <n v="0"/>
    <n v="20.170000000000002"/>
    <n v="0"/>
    <n v="0"/>
    <n v="0"/>
    <n v="0"/>
    <n v="0"/>
    <n v="0"/>
    <n v="20.170000000000002"/>
    <n v="20.170000000000002"/>
    <n v="0"/>
    <n v="20.170000000000002"/>
    <n v="20.170000000000002"/>
    <n v="0"/>
    <n v="22.89"/>
    <n v="0"/>
    <n v="0"/>
    <n v="0"/>
    <n v="0"/>
    <n v="22.89"/>
    <n v="22.89"/>
    <n v="0"/>
    <n v="0"/>
    <n v="0"/>
    <n v="0"/>
    <n v="22.89"/>
    <n v="0"/>
    <n v="0"/>
    <n v="0"/>
    <n v="0"/>
    <n v="0"/>
    <n v="0"/>
    <n v="0"/>
    <m/>
    <m/>
    <m/>
    <m/>
    <m/>
    <m/>
    <m/>
    <m/>
    <m/>
    <s v="1"/>
    <s v="1"/>
    <s v="1"/>
    <s v="1"/>
    <s v="0"/>
    <m/>
    <m/>
    <m/>
    <m/>
    <m/>
    <m/>
    <m/>
    <m/>
    <m/>
    <m/>
    <m/>
    <m/>
    <m/>
    <m/>
  </r>
  <r>
    <n v="742"/>
    <d v="2024-11-21T00:00:00"/>
    <s v="ZBTO"/>
    <n v="9518275934"/>
    <n v="2"/>
    <s v="9518275934-2"/>
    <m/>
    <s v="Mar'25 additional"/>
    <s v="Released orders"/>
    <x v="1"/>
    <x v="5"/>
    <n v="1000"/>
    <m/>
    <x v="0"/>
    <m/>
    <m/>
    <s v="Andhra Pradesh"/>
    <s v="South"/>
    <s v="VISHAKHAPATNAM"/>
    <m/>
    <n v="186001"/>
    <s v="Baba Container Manufacturers"/>
    <n v="3867647"/>
    <s v="CR COIL TATXXD BT03 0.600X1120"/>
    <m/>
    <s v=""/>
    <n v="4"/>
    <n v="7"/>
    <s v="Narrow"/>
    <s v="C01"/>
    <s v="TATXXD"/>
    <s v="BT03"/>
    <n v="0.6"/>
    <n v="1120"/>
    <n v="0"/>
    <n v="208"/>
    <n v="187.005"/>
    <n v="20.995000000000001"/>
    <n v="20.995000000000001"/>
    <n v="24"/>
    <n v="0"/>
    <m/>
    <n v="24"/>
    <n v="0"/>
    <n v="20.995000000000001"/>
    <n v="0"/>
    <n v="0"/>
    <n v="0"/>
    <n v="0"/>
    <n v="0"/>
    <n v="0"/>
    <n v="0"/>
    <n v="0"/>
    <n v="0"/>
    <n v="0"/>
    <n v="0"/>
    <n v="0"/>
    <n v="0"/>
    <n v="0"/>
    <n v="0"/>
    <n v="0"/>
    <n v="0"/>
    <n v="24"/>
    <n v="0"/>
    <n v="0"/>
    <n v="24"/>
    <n v="24"/>
    <n v="0"/>
    <n v="24"/>
    <n v="0"/>
    <n v="187.005"/>
    <n v="20.995000000000001"/>
    <n v="0"/>
    <n v="0"/>
    <n v="20.995000000000001"/>
    <n v="0"/>
    <n v="0"/>
    <n v="208"/>
    <n v="0"/>
    <n v="0"/>
    <n v="0"/>
    <n v="208"/>
    <n v="0"/>
    <n v="0"/>
    <n v="68.86999999999999"/>
    <n v="0"/>
    <n v="0"/>
    <n v="20.995000000000001"/>
    <n v="0"/>
    <n v="0"/>
    <m/>
    <m/>
    <m/>
    <m/>
    <m/>
    <m/>
    <m/>
    <m/>
    <m/>
    <s v="1"/>
    <s v="1"/>
    <s v="1"/>
    <s v="1"/>
    <s v="1"/>
    <m/>
    <m/>
    <m/>
    <m/>
    <m/>
    <s v="Process delay at CRS &amp; Mill3"/>
    <m/>
    <m/>
    <m/>
    <m/>
    <m/>
    <m/>
    <m/>
    <m/>
  </r>
  <r>
    <n v="743"/>
    <d v="2024-11-21T00:00:00"/>
    <s v="ZBTO"/>
    <n v="9518276289"/>
    <n v="1"/>
    <s v="9518276289-1"/>
    <m/>
    <s v="Stocks"/>
    <s v="Released orders"/>
    <x v="2"/>
    <x v="6"/>
    <n v="2000"/>
    <m/>
    <x v="0"/>
    <m/>
    <m/>
    <s v="Bihar"/>
    <s v="East"/>
    <s v="PURNIA"/>
    <m/>
    <n v="103227"/>
    <s v="BMW VENTURES LIMITED"/>
    <n v="1854539"/>
    <s v="GP SHEET SOFT-TATXGP-GK09-0.4X1220"/>
    <m/>
    <s v=""/>
    <n v="0"/>
    <n v="0"/>
    <s v="Wider"/>
    <s v="B11"/>
    <s v="TATXGP"/>
    <s v="GK09"/>
    <n v="0.4"/>
    <n v="1220"/>
    <n v="2370"/>
    <n v="28"/>
    <n v="30.42"/>
    <n v="28"/>
    <n v="3.8450000000000002"/>
    <n v="3.5000000000000003E-2"/>
    <n v="0"/>
    <m/>
    <m/>
    <n v="0"/>
    <n v="0"/>
    <n v="0"/>
    <n v="4.1720000000000024"/>
    <n v="0"/>
    <n v="0"/>
    <n v="0"/>
    <n v="0"/>
    <n v="0"/>
    <n v="0"/>
    <n v="0"/>
    <n v="24.274999999999999"/>
    <n v="0"/>
    <n v="0"/>
    <n v="0"/>
    <n v="0"/>
    <n v="0"/>
    <n v="0"/>
    <n v="0"/>
    <n v="0"/>
    <n v="0"/>
    <n v="0"/>
    <n v="24.274999999999999"/>
    <n v="24.274999999999999"/>
    <n v="0"/>
    <n v="24.274999999999999"/>
    <n v="3.5000000000000003E-2"/>
    <n v="3.0449999999999999"/>
    <n v="0"/>
    <n v="0"/>
    <n v="0"/>
    <n v="0"/>
    <n v="0"/>
    <n v="0"/>
    <n v="3.0449999999999999"/>
    <n v="3.0449999999999999"/>
    <n v="0"/>
    <n v="0"/>
    <n v="0"/>
    <n v="0"/>
    <n v="0"/>
    <n v="0"/>
    <n v="0"/>
    <n v="0"/>
    <n v="0"/>
    <n v="0"/>
    <n v="0"/>
    <m/>
    <m/>
    <m/>
    <m/>
    <m/>
    <m/>
    <m/>
    <m/>
    <m/>
    <s v="1"/>
    <s v="1"/>
    <s v="1"/>
    <s v="1"/>
    <s v="1"/>
    <m/>
    <m/>
    <m/>
    <m/>
    <m/>
    <m/>
    <m/>
    <m/>
    <m/>
    <m/>
    <m/>
    <m/>
    <m/>
    <m/>
  </r>
  <r>
    <n v="742"/>
    <d v="2024-11-21T00:00:00"/>
    <s v="ZBTO"/>
    <n v="9518276072"/>
    <n v="5"/>
    <s v="9518276072-5"/>
    <m/>
    <s v="Feb'25"/>
    <s v="Released orders"/>
    <x v="1"/>
    <x v="1"/>
    <n v="2000"/>
    <m/>
    <x v="0"/>
    <s v="Mar"/>
    <m/>
    <s v="Assam"/>
    <s v="East"/>
    <s v="GUWAHATI"/>
    <m/>
    <n v="116649"/>
    <s v="SAGAR STEELS"/>
    <n v="3515914"/>
    <s v="CR COIL TSBCRC SR25 0.500X1000"/>
    <m/>
    <s v=""/>
    <n v="15"/>
    <n v="28"/>
    <s v="Narrow"/>
    <s v="C01"/>
    <s v="TSBCRC"/>
    <s v="SR25"/>
    <n v="0.5"/>
    <n v="1000"/>
    <n v="0"/>
    <n v="46"/>
    <n v="17.954999999999998"/>
    <n v="28.045000000000002"/>
    <n v="28.045000000000002"/>
    <n v="0"/>
    <n v="28.045000000000002"/>
    <m/>
    <m/>
    <n v="28.045000000000002"/>
    <n v="28.045000000000002"/>
    <n v="0"/>
    <n v="31.410400000000006"/>
    <n v="0"/>
    <n v="0"/>
    <n v="0"/>
    <n v="0"/>
    <n v="0"/>
    <n v="0"/>
    <n v="0"/>
    <n v="0"/>
    <n v="0"/>
    <n v="0"/>
    <n v="0"/>
    <n v="0"/>
    <n v="0"/>
    <n v="0"/>
    <n v="0"/>
    <n v="0"/>
    <n v="0"/>
    <n v="0"/>
    <n v="0"/>
    <n v="0"/>
    <n v="0"/>
    <n v="0"/>
    <n v="0"/>
    <n v="0"/>
    <n v="28.045000000000002"/>
    <n v="0"/>
    <n v="0"/>
    <n v="0"/>
    <n v="28.045000000000002"/>
    <n v="0"/>
    <n v="28.045000000000002"/>
    <n v="0"/>
    <n v="0"/>
    <n v="0"/>
    <n v="28.045000000000002"/>
    <n v="0"/>
    <n v="0"/>
    <n v="0"/>
    <n v="0"/>
    <n v="0"/>
    <n v="0"/>
    <n v="0"/>
    <n v="0"/>
    <m/>
    <m/>
    <m/>
    <m/>
    <m/>
    <m/>
    <m/>
    <m/>
    <m/>
    <s v="1"/>
    <s v="1"/>
    <s v="1"/>
    <s v="0"/>
    <s v="1"/>
    <m/>
    <m/>
    <m/>
    <m/>
    <m/>
    <m/>
    <m/>
    <m/>
    <m/>
    <m/>
    <m/>
    <m/>
    <m/>
    <m/>
  </r>
  <r>
    <n v="743"/>
    <d v="2024-11-22T00:00:00"/>
    <s v="ZBTO"/>
    <n v="9518281491"/>
    <n v="1"/>
    <s v="9518281491-1"/>
    <m/>
    <s v="Feb'25"/>
    <s v="Released orders"/>
    <x v="3"/>
    <x v="7"/>
    <n v="1000"/>
    <m/>
    <x v="0"/>
    <m/>
    <m/>
    <s v="Jharkhand"/>
    <s v="East"/>
    <s v="TATANAGAR"/>
    <m/>
    <n v="942284"/>
    <s v="TATA BLUESCOPE STEEL PRIVATE L"/>
    <n v="1881954"/>
    <s v="GL COIL HARD -Y550GL-H6GL-0.3X1220"/>
    <n v="150"/>
    <s v=""/>
    <n v="3"/>
    <n v="5"/>
    <s v="Wider"/>
    <s v="B04"/>
    <s v="Y550GL"/>
    <s v="H6GL"/>
    <n v="0.3"/>
    <n v="1220"/>
    <n v="0"/>
    <n v="56"/>
    <n v="28.004999999999999"/>
    <n v="27.995000000000001"/>
    <n v="27.995000000000001"/>
    <n v="26.19"/>
    <n v="0"/>
    <m/>
    <m/>
    <n v="27.995000000000001"/>
    <n v="27.995000000000001"/>
    <n v="0"/>
    <n v="0"/>
    <n v="0"/>
    <n v="0"/>
    <n v="0"/>
    <n v="0"/>
    <n v="0"/>
    <n v="0"/>
    <n v="26.19"/>
    <n v="0"/>
    <n v="0"/>
    <n v="0"/>
    <n v="0"/>
    <n v="0"/>
    <n v="0"/>
    <n v="0"/>
    <n v="0"/>
    <n v="0"/>
    <n v="0"/>
    <n v="0"/>
    <n v="26.19"/>
    <n v="26.19"/>
    <n v="0"/>
    <n v="26.19"/>
    <n v="26.19"/>
    <n v="23.11"/>
    <n v="27.995000000000001"/>
    <n v="0"/>
    <n v="27.995000000000001"/>
    <n v="0"/>
    <n v="0"/>
    <n v="0"/>
    <n v="51.105000000000004"/>
    <n v="0"/>
    <n v="0"/>
    <n v="51.105000000000004"/>
    <n v="0"/>
    <n v="0"/>
    <n v="0"/>
    <n v="11.495000000000001"/>
    <n v="0"/>
    <n v="11.495000000000001"/>
    <n v="0"/>
    <n v="0"/>
    <n v="0"/>
    <m/>
    <m/>
    <m/>
    <m/>
    <m/>
    <m/>
    <m/>
    <m/>
    <m/>
    <s v="1"/>
    <s v="0"/>
    <s v="1"/>
    <s v="1"/>
    <s v="1"/>
    <m/>
    <m/>
    <m/>
    <m/>
    <m/>
    <s v="Process delay at GP02"/>
    <m/>
    <m/>
    <m/>
    <m/>
    <m/>
    <m/>
    <m/>
    <m/>
  </r>
  <r>
    <n v="744"/>
    <d v="2024-11-22T00:00:00"/>
    <s v="ZBTO"/>
    <n v="9518279370"/>
    <n v="5"/>
    <s v="9518279370-5"/>
    <m/>
    <s v="Mar'25 additional"/>
    <s v="Released orders"/>
    <x v="4"/>
    <x v="7"/>
    <n v="1000"/>
    <m/>
    <x v="0"/>
    <m/>
    <m/>
    <s v="Jharkhand"/>
    <s v="East"/>
    <s v="GAMHARIA"/>
    <m/>
    <n v="940016"/>
    <s v="TATA BLUESCOPE STEEL PVT LTD."/>
    <n v="3883538"/>
    <s v="PPGL C HARD Y550PL ISC6 0.300X1220"/>
    <n v="70"/>
    <s v="PRO BLUE TSL 1913"/>
    <n v="3"/>
    <n v="5"/>
    <s v="Wider"/>
    <s v="B18"/>
    <s v="Y550PL"/>
    <s v="ISC6"/>
    <n v="0.3"/>
    <n v="1220"/>
    <n v="0"/>
    <n v="56"/>
    <n v="23.66"/>
    <n v="32.340000000000003"/>
    <n v="32.340000000000003"/>
    <n v="39.414000000000001"/>
    <n v="0"/>
    <m/>
    <n v="39.414000000000001"/>
    <n v="0"/>
    <n v="32.340000000000003"/>
    <n v="0"/>
    <n v="0"/>
    <n v="0"/>
    <n v="0"/>
    <n v="0"/>
    <n v="0"/>
    <n v="19.975000000000001"/>
    <n v="0"/>
    <n v="0"/>
    <n v="0"/>
    <n v="0"/>
    <n v="0"/>
    <n v="0"/>
    <n v="0"/>
    <n v="0"/>
    <n v="0"/>
    <n v="9.56"/>
    <n v="0"/>
    <n v="0"/>
    <n v="0"/>
    <n v="29.535000000000004"/>
    <n v="29.535000000000004"/>
    <n v="0"/>
    <n v="29.535000000000004"/>
    <n v="0"/>
    <n v="0"/>
    <n v="32.340000000000003"/>
    <n v="0"/>
    <n v="32.340000000000003"/>
    <n v="0"/>
    <n v="0"/>
    <n v="0"/>
    <n v="32.340000000000003"/>
    <n v="0"/>
    <n v="32.340000000000003"/>
    <n v="0"/>
    <n v="0"/>
    <n v="0"/>
    <n v="0"/>
    <n v="0"/>
    <n v="0"/>
    <n v="0"/>
    <n v="0"/>
    <n v="0"/>
    <n v="0"/>
    <m/>
    <m/>
    <m/>
    <m/>
    <m/>
    <m/>
    <m/>
    <m/>
    <m/>
    <s v="1"/>
    <s v="0"/>
    <s v="1"/>
    <s v="1"/>
    <s v="1"/>
    <m/>
    <m/>
    <m/>
    <m/>
    <m/>
    <m/>
    <m/>
    <m/>
    <m/>
    <m/>
    <m/>
    <m/>
    <m/>
    <m/>
  </r>
  <r>
    <n v="744"/>
    <d v="2024-11-22T00:00:00"/>
    <s v="ZBTO"/>
    <n v="9518281414"/>
    <n v="1"/>
    <s v="9518281414-1"/>
    <m/>
    <s v="Mar'25 additional"/>
    <s v="Released orders"/>
    <x v="4"/>
    <x v="7"/>
    <n v="1000"/>
    <m/>
    <x v="0"/>
    <m/>
    <m/>
    <s v="Jharkhand"/>
    <s v="East"/>
    <s v="GAMHARIA"/>
    <m/>
    <n v="940016"/>
    <s v="TATA BLUESCOPE STEEL PVT LTD."/>
    <n v="3521298"/>
    <s v="PPGL C Y550 D0C7 0.33BMT(0.37TPT)X1220"/>
    <n v="70"/>
    <s v="NUVO BLUE TSL 1903"/>
    <n v="3"/>
    <n v="5"/>
    <s v="Wider"/>
    <s v="B18"/>
    <s v="Y550PL"/>
    <s v="D0C7"/>
    <n v="0.33"/>
    <n v="1220"/>
    <n v="0"/>
    <n v="28"/>
    <n v="0"/>
    <n v="28"/>
    <n v="28"/>
    <n v="26.25"/>
    <n v="0"/>
    <m/>
    <n v="26.25"/>
    <n v="0"/>
    <n v="28"/>
    <n v="0"/>
    <n v="0"/>
    <n v="0"/>
    <n v="0"/>
    <n v="0"/>
    <n v="26.25"/>
    <n v="0"/>
    <n v="0"/>
    <n v="0"/>
    <n v="0"/>
    <n v="0"/>
    <n v="0"/>
    <n v="0"/>
    <n v="0"/>
    <n v="0"/>
    <n v="0"/>
    <n v="0"/>
    <n v="0"/>
    <n v="0"/>
    <n v="0"/>
    <n v="26.25"/>
    <n v="26.25"/>
    <n v="0"/>
    <n v="26.25"/>
    <n v="0"/>
    <n v="0"/>
    <n v="28"/>
    <n v="0"/>
    <n v="28"/>
    <n v="0"/>
    <n v="0"/>
    <n v="0"/>
    <n v="28"/>
    <n v="0"/>
    <n v="28"/>
    <n v="0"/>
    <n v="0"/>
    <n v="0"/>
    <n v="0"/>
    <n v="0"/>
    <n v="0"/>
    <n v="0"/>
    <n v="0"/>
    <n v="0"/>
    <n v="0"/>
    <m/>
    <m/>
    <m/>
    <m/>
    <m/>
    <m/>
    <m/>
    <m/>
    <m/>
    <s v="1"/>
    <s v="0"/>
    <s v="1"/>
    <s v="1"/>
    <s v="1"/>
    <m/>
    <m/>
    <m/>
    <m/>
    <m/>
    <m/>
    <m/>
    <m/>
    <m/>
    <m/>
    <m/>
    <m/>
    <m/>
    <m/>
  </r>
  <r>
    <n v="744"/>
    <d v="2025-02-04T00:00:00"/>
    <s v="ZBTO"/>
    <n v="9518493586"/>
    <n v="1"/>
    <s v="9518493586-1"/>
    <m/>
    <s v="Stocks"/>
    <s v="Released orders"/>
    <x v="4"/>
    <x v="7"/>
    <s v="1000-IPPE"/>
    <m/>
    <x v="0"/>
    <m/>
    <m/>
    <m/>
    <s v="West"/>
    <s v="RAJASTHAN"/>
    <m/>
    <n v="940008"/>
    <s v="TATA BLUESCOPE STEEL PVT LTD."/>
    <n v="3797658"/>
    <s v="PPGL C Y550 ISC6 0.40BMT(0.45TPT)X1220"/>
    <s v="aZ70"/>
    <s v="PRO BLUE TSL 1913"/>
    <m/>
    <m/>
    <s v="Wider"/>
    <s v="B18"/>
    <s v="Y550PL"/>
    <s v="ISC6"/>
    <n v="0.4"/>
    <n v="1220"/>
    <n v="0"/>
    <n v="83.99"/>
    <n v="67.385000000000005"/>
    <n v="18.945"/>
    <n v="18.945"/>
    <n v="2.34"/>
    <n v="16.605"/>
    <m/>
    <m/>
    <n v="18.945"/>
    <n v="16.605"/>
    <n v="0"/>
    <n v="0"/>
    <n v="0"/>
    <n v="0"/>
    <n v="0"/>
    <n v="0"/>
    <n v="0"/>
    <n v="0"/>
    <n v="4.43"/>
    <n v="0"/>
    <n v="2.56"/>
    <n v="0"/>
    <n v="0"/>
    <n v="0"/>
    <n v="0"/>
    <n v="0"/>
    <n v="2.34"/>
    <n v="0"/>
    <n v="0"/>
    <n v="0"/>
    <n v="9.33"/>
    <n v="9.33"/>
    <n v="0"/>
    <n v="9.33"/>
    <n v="2.34"/>
    <n v="15.715"/>
    <n v="0"/>
    <n v="0"/>
    <n v="0"/>
    <n v="0"/>
    <n v="0"/>
    <n v="0"/>
    <n v="15.715"/>
    <n v="0"/>
    <n v="15.715"/>
    <n v="0"/>
    <n v="0"/>
    <n v="0"/>
    <n v="0"/>
    <n v="0"/>
    <n v="0"/>
    <n v="0"/>
    <n v="0"/>
    <n v="0"/>
    <n v="0"/>
    <m/>
    <m/>
    <m/>
    <m/>
    <m/>
    <m/>
    <m/>
    <m/>
    <m/>
    <s v="1"/>
    <s v="1"/>
    <s v="1"/>
    <s v="1"/>
    <s v="1"/>
    <m/>
    <m/>
    <m/>
    <m/>
    <m/>
    <m/>
    <m/>
    <m/>
    <m/>
    <m/>
    <m/>
    <m/>
    <m/>
    <m/>
  </r>
  <r>
    <n v="743"/>
    <d v="2024-11-27T00:00:00"/>
    <s v="ZBTO"/>
    <n v="9518296380"/>
    <n v="1"/>
    <s v="9518296380-1"/>
    <m/>
    <s v="No Priority"/>
    <s v="Released orders"/>
    <x v="2"/>
    <x v="8"/>
    <n v="2000"/>
    <m/>
    <x v="1"/>
    <m/>
    <m/>
    <m/>
    <s v="North"/>
    <s v="LONI"/>
    <m/>
    <n v="931234"/>
    <s v="JAI LAXMI STEELS"/>
    <n v="2422618"/>
    <s v="GP COIL SOFT TATGPL RSN1 0.300X1000"/>
    <m/>
    <s v=""/>
    <n v="4"/>
    <n v="6"/>
    <s v="Narrow"/>
    <s v="C02"/>
    <s v="TATGPL"/>
    <s v="RSN1"/>
    <n v="0.3"/>
    <n v="1000"/>
    <n v="0"/>
    <n v="46"/>
    <n v="21.925000000000001"/>
    <n v="24.074999999999999"/>
    <n v="24.074999999999999"/>
    <n v="0"/>
    <n v="24.074999999999999"/>
    <m/>
    <m/>
    <n v="24.074999999999999"/>
    <n v="24.074999999999999"/>
    <n v="0"/>
    <n v="26.964000000000002"/>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4-11-13T00:00:00"/>
    <s v="ZBTF"/>
    <n v="4000487111"/>
    <n v="1"/>
    <s v="4000487111-1"/>
    <m/>
    <s v="No Priority"/>
    <s v="Released orders"/>
    <x v="0"/>
    <x v="9"/>
    <s v="2000-BPRS"/>
    <m/>
    <x v="1"/>
    <m/>
    <s v="Beyond HSM rollability"/>
    <m/>
    <s v="South"/>
    <s v="YESHWANTHPURA"/>
    <m/>
    <n v="600103"/>
    <s v="TATA STEEL LIMITED"/>
    <n v="3226987"/>
    <s v="HR COILS-PO THR099 HR99 1.90X1250"/>
    <m/>
    <s v=""/>
    <n v="10"/>
    <n v="27"/>
    <s v="Wider"/>
    <n v="768"/>
    <s v="THR099"/>
    <s v="HR99"/>
    <n v="1.9"/>
    <n v="1250"/>
    <n v="0"/>
    <n v="203"/>
    <n v="88.7"/>
    <n v="203"/>
    <n v="203"/>
    <n v="0"/>
    <n v="203"/>
    <m/>
    <m/>
    <n v="203"/>
    <n v="114.3"/>
    <n v="0"/>
    <n v="227.36"/>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4-12-07T00:00:00"/>
    <s v="ZBTO"/>
    <n v="9518326386"/>
    <n v="1"/>
    <s v="9518326386-1"/>
    <m/>
    <s v="Mar'25"/>
    <s v="Released orders"/>
    <x v="3"/>
    <x v="5"/>
    <s v="1000-IPPE"/>
    <m/>
    <x v="0"/>
    <m/>
    <m/>
    <m/>
    <s v="West"/>
    <s v="TAMBATI"/>
    <m/>
    <n v="942186"/>
    <s v="PRABHAT GLOBAL COLOURCOATED PRIVATE"/>
    <n v="3248015"/>
    <s v="GL COIL HARD  Y550GL H9GL 0.370X1220"/>
    <n v="150"/>
    <s v=""/>
    <n v="8"/>
    <n v="12"/>
    <s v="Wider"/>
    <s v="B04"/>
    <s v="Y550GL"/>
    <s v="H9GL"/>
    <n v="0.37"/>
    <n v="1220"/>
    <n v="0"/>
    <n v="56"/>
    <n v="0"/>
    <n v="56"/>
    <n v="56"/>
    <n v="33.659999999999997"/>
    <n v="22.34"/>
    <m/>
    <m/>
    <n v="56"/>
    <n v="56"/>
    <n v="0"/>
    <n v="24.623200000000001"/>
    <n v="0"/>
    <n v="0"/>
    <n v="0"/>
    <n v="0"/>
    <n v="0"/>
    <n v="0"/>
    <n v="14.9"/>
    <n v="0"/>
    <n v="0"/>
    <n v="0"/>
    <n v="0"/>
    <n v="0"/>
    <n v="0"/>
    <n v="0"/>
    <n v="0.35500000000000004"/>
    <n v="0"/>
    <n v="18.760000000000002"/>
    <n v="0"/>
    <n v="34.015000000000001"/>
    <n v="34.015000000000001"/>
    <n v="0"/>
    <n v="34.015000000000001"/>
    <n v="33.659999999999997"/>
    <n v="0"/>
    <n v="56"/>
    <n v="0"/>
    <n v="0"/>
    <n v="56"/>
    <n v="0"/>
    <n v="0"/>
    <n v="56"/>
    <n v="0"/>
    <n v="0"/>
    <n v="56"/>
    <n v="0"/>
    <n v="0"/>
    <n v="0"/>
    <n v="0"/>
    <n v="0"/>
    <n v="0"/>
    <n v="0"/>
    <n v="0"/>
    <n v="0"/>
    <m/>
    <m/>
    <m/>
    <m/>
    <m/>
    <m/>
    <m/>
    <m/>
    <m/>
    <s v="1"/>
    <s v="1"/>
    <s v="0"/>
    <s v="1"/>
    <s v="1"/>
    <m/>
    <m/>
    <m/>
    <m/>
    <m/>
    <m/>
    <m/>
    <m/>
    <m/>
    <m/>
    <m/>
    <m/>
    <m/>
    <m/>
  </r>
  <r>
    <n v="742"/>
    <d v="2024-11-15T00:00:00"/>
    <s v="ZBTO"/>
    <n v="9518260513"/>
    <n v="5"/>
    <s v="9518260513-5"/>
    <m/>
    <s v="Jan'25"/>
    <s v="Released orders"/>
    <x v="1"/>
    <x v="1"/>
    <s v="2000-BPRS"/>
    <m/>
    <x v="0"/>
    <s v="Mar"/>
    <m/>
    <m/>
    <s v="East"/>
    <s v="GUWAHATI"/>
    <m/>
    <n v="116649"/>
    <s v="SAGAR STEELS"/>
    <n v="3516021"/>
    <s v="CR COIL TSBCRC SR25 0.800X1000"/>
    <m/>
    <s v=""/>
    <n v="7"/>
    <n v="11"/>
    <s v="Narrow"/>
    <s v="C01"/>
    <s v="TSBCRC"/>
    <s v="SR25"/>
    <n v="0.8"/>
    <n v="1000"/>
    <n v="0"/>
    <n v="46"/>
    <n v="0"/>
    <n v="46"/>
    <n v="46"/>
    <n v="0"/>
    <n v="46"/>
    <m/>
    <m/>
    <n v="46"/>
    <n v="46"/>
    <n v="0"/>
    <n v="51.52"/>
    <n v="0"/>
    <n v="0"/>
    <n v="0"/>
    <n v="0"/>
    <n v="0"/>
    <n v="0"/>
    <n v="0"/>
    <n v="0"/>
    <n v="0"/>
    <n v="0"/>
    <n v="0"/>
    <n v="0"/>
    <n v="0"/>
    <n v="0"/>
    <n v="0"/>
    <n v="0"/>
    <n v="0"/>
    <n v="0"/>
    <n v="0"/>
    <n v="0"/>
    <n v="0"/>
    <n v="0"/>
    <n v="0"/>
    <n v="0"/>
    <n v="46"/>
    <n v="0"/>
    <n v="0"/>
    <n v="0"/>
    <n v="46"/>
    <n v="0"/>
    <n v="46"/>
    <n v="0"/>
    <n v="0"/>
    <n v="0"/>
    <n v="46"/>
    <n v="0"/>
    <n v="0"/>
    <n v="0"/>
    <n v="0"/>
    <n v="0"/>
    <n v="0"/>
    <n v="0"/>
    <n v="0"/>
    <m/>
    <m/>
    <m/>
    <m/>
    <m/>
    <m/>
    <m/>
    <m/>
    <m/>
    <s v="1"/>
    <s v="1"/>
    <s v="1"/>
    <s v="0"/>
    <s v="1"/>
    <m/>
    <m/>
    <m/>
    <m/>
    <m/>
    <m/>
    <m/>
    <m/>
    <m/>
    <m/>
    <m/>
    <m/>
    <m/>
    <m/>
  </r>
  <r>
    <n v="742"/>
    <d v="2024-11-19T00:00:00"/>
    <s v="ZBTO"/>
    <n v="9518271049"/>
    <n v="1"/>
    <s v="9518271049-1"/>
    <m/>
    <s v="Feb'25"/>
    <s v="Released orders"/>
    <x v="1"/>
    <x v="3"/>
    <s v="2000-BPRS"/>
    <m/>
    <x v="0"/>
    <s v="Mar"/>
    <s v="Added to consume WIP"/>
    <m/>
    <s v="South"/>
    <s v="CHENNAI"/>
    <m/>
    <n v="938550"/>
    <s v="BASEER AND CO"/>
    <n v="3724828"/>
    <s v="CR COIL TATXXD AU03 0.800X930"/>
    <m/>
    <s v=""/>
    <n v="6"/>
    <n v="18"/>
    <s v="Narrow"/>
    <s v="C01"/>
    <s v="TATXXD"/>
    <s v="AU03"/>
    <n v="0.8"/>
    <n v="930"/>
    <n v="0"/>
    <n v="84"/>
    <n v="0"/>
    <n v="84"/>
    <n v="84"/>
    <n v="55.83"/>
    <n v="28.17"/>
    <m/>
    <n v="55.83"/>
    <n v="28.17"/>
    <n v="84"/>
    <n v="0"/>
    <n v="31.550400000000003"/>
    <n v="0"/>
    <n v="0"/>
    <n v="0"/>
    <n v="0"/>
    <n v="0"/>
    <n v="0"/>
    <n v="0"/>
    <n v="0"/>
    <n v="0"/>
    <n v="0"/>
    <n v="0"/>
    <n v="0"/>
    <n v="0"/>
    <n v="0"/>
    <n v="0"/>
    <n v="55.83"/>
    <n v="0"/>
    <n v="0"/>
    <n v="55.83"/>
    <n v="55.83"/>
    <n v="0"/>
    <n v="55.83"/>
    <n v="0"/>
    <n v="0"/>
    <n v="84"/>
    <n v="0"/>
    <n v="0"/>
    <n v="0"/>
    <n v="0"/>
    <n v="84"/>
    <n v="84"/>
    <n v="0"/>
    <n v="0"/>
    <n v="0"/>
    <n v="0"/>
    <n v="84"/>
    <n v="0"/>
    <n v="0"/>
    <n v="0"/>
    <n v="0"/>
    <n v="0"/>
    <n v="0"/>
    <n v="0"/>
    <m/>
    <m/>
    <m/>
    <m/>
    <m/>
    <m/>
    <m/>
    <m/>
    <m/>
    <s v="1"/>
    <s v="1"/>
    <s v="1"/>
    <s v="1"/>
    <s v="0"/>
    <m/>
    <m/>
    <m/>
    <m/>
    <m/>
    <s v="Planning delay due to RM unavailability"/>
    <m/>
    <m/>
    <m/>
    <m/>
    <m/>
    <m/>
    <m/>
    <m/>
  </r>
  <r>
    <n v="742"/>
    <d v="2024-11-19T00:00:00"/>
    <s v="ZBTO"/>
    <n v="9518271791"/>
    <n v="1"/>
    <s v="9518271791-1"/>
    <m/>
    <s v="Feb'25"/>
    <s v="Released orders"/>
    <x v="1"/>
    <x v="1"/>
    <s v="2000-BPRS"/>
    <m/>
    <x v="0"/>
    <s v="Mar"/>
    <m/>
    <m/>
    <s v="South"/>
    <s v="CHENNAI"/>
    <m/>
    <n v="116465"/>
    <s v="SRI BALAJI STEEL TRADERS"/>
    <n v="3239536"/>
    <s v="CRCA SHEET TATCRC SR16 0.350X900X2500"/>
    <m/>
    <s v=""/>
    <n v="0"/>
    <n v="0"/>
    <s v="Narrow"/>
    <s v="C06"/>
    <s v="TATCRC"/>
    <s v="SR16"/>
    <n v="0.35"/>
    <n v="900"/>
    <n v="2500"/>
    <n v="21"/>
    <n v="0"/>
    <n v="21"/>
    <n v="21"/>
    <n v="0"/>
    <n v="21"/>
    <m/>
    <m/>
    <n v="21"/>
    <n v="21"/>
    <n v="0"/>
    <n v="23.520000000000003"/>
    <n v="0"/>
    <n v="0"/>
    <n v="0"/>
    <n v="0"/>
    <n v="0"/>
    <n v="0"/>
    <n v="0"/>
    <n v="0"/>
    <n v="0"/>
    <n v="0"/>
    <n v="0"/>
    <n v="0"/>
    <n v="0"/>
    <n v="0"/>
    <n v="0"/>
    <n v="0"/>
    <n v="0"/>
    <n v="0"/>
    <n v="0"/>
    <n v="0"/>
    <n v="0"/>
    <n v="0"/>
    <n v="0"/>
    <n v="0"/>
    <n v="21"/>
    <n v="0"/>
    <n v="0"/>
    <n v="0"/>
    <n v="0"/>
    <n v="21"/>
    <n v="21"/>
    <n v="0"/>
    <n v="0"/>
    <n v="0"/>
    <n v="0"/>
    <n v="21"/>
    <n v="0"/>
    <n v="0"/>
    <n v="0"/>
    <n v="0"/>
    <n v="0"/>
    <n v="0"/>
    <n v="0"/>
    <m/>
    <m/>
    <m/>
    <m/>
    <m/>
    <m/>
    <m/>
    <m/>
    <m/>
    <s v="1"/>
    <s v="1"/>
    <s v="1"/>
    <s v="1"/>
    <s v="0"/>
    <m/>
    <m/>
    <m/>
    <m/>
    <m/>
    <m/>
    <m/>
    <m/>
    <m/>
    <m/>
    <m/>
    <m/>
    <m/>
    <m/>
  </r>
  <r>
    <n v="742"/>
    <d v="2024-11-19T00:00:00"/>
    <s v="ZBTO"/>
    <n v="9518271791"/>
    <n v="4"/>
    <s v="9518271791-4"/>
    <m/>
    <s v="Feb'25"/>
    <s v="Released orders"/>
    <x v="1"/>
    <x v="1"/>
    <s v="2000-BPRS"/>
    <m/>
    <x v="0"/>
    <s v="Mar"/>
    <m/>
    <m/>
    <s v="South"/>
    <s v="CHENNAI"/>
    <m/>
    <n v="116465"/>
    <s v="SRI BALAJI STEEL TRADERS"/>
    <n v="3239552"/>
    <s v="CRCA SHEET TATCRC SR16 0.400X1000X1980"/>
    <m/>
    <s v=""/>
    <n v="0"/>
    <n v="0"/>
    <s v="Narrow"/>
    <s v="C06"/>
    <s v="TATCRC"/>
    <s v="SR16"/>
    <n v="0.4"/>
    <n v="1000"/>
    <n v="1980"/>
    <n v="23"/>
    <n v="0"/>
    <n v="23"/>
    <n v="23"/>
    <n v="0"/>
    <n v="23"/>
    <m/>
    <m/>
    <n v="23"/>
    <n v="23"/>
    <n v="0"/>
    <n v="25.76"/>
    <n v="0"/>
    <n v="0"/>
    <n v="0"/>
    <n v="0"/>
    <n v="0"/>
    <n v="0"/>
    <n v="0"/>
    <n v="0"/>
    <n v="0"/>
    <n v="0"/>
    <n v="0"/>
    <n v="0"/>
    <n v="0"/>
    <n v="0"/>
    <n v="0"/>
    <n v="0"/>
    <n v="0"/>
    <n v="0"/>
    <n v="0"/>
    <n v="0"/>
    <n v="0"/>
    <n v="0"/>
    <n v="0"/>
    <n v="0"/>
    <n v="23"/>
    <n v="0"/>
    <n v="0"/>
    <n v="0"/>
    <n v="0"/>
    <n v="23"/>
    <n v="23"/>
    <n v="0"/>
    <n v="0"/>
    <n v="0"/>
    <n v="0"/>
    <n v="23"/>
    <n v="0"/>
    <n v="0"/>
    <n v="0"/>
    <n v="0"/>
    <n v="0"/>
    <n v="0"/>
    <n v="0"/>
    <m/>
    <m/>
    <m/>
    <m/>
    <m/>
    <m/>
    <m/>
    <m/>
    <m/>
    <s v="1"/>
    <s v="1"/>
    <s v="1"/>
    <s v="1"/>
    <s v="0"/>
    <m/>
    <m/>
    <m/>
    <m/>
    <m/>
    <m/>
    <m/>
    <m/>
    <m/>
    <m/>
    <m/>
    <m/>
    <m/>
    <m/>
  </r>
  <r>
    <n v="742"/>
    <d v="2024-11-24T00:00:00"/>
    <s v="ZBTO"/>
    <n v="9518285530"/>
    <n v="4"/>
    <s v="9518285530-4"/>
    <m/>
    <s v="Feb'25"/>
    <s v="Released orders"/>
    <x v="1"/>
    <x v="1"/>
    <s v="2000-BPRS"/>
    <m/>
    <x v="0"/>
    <s v="Mar"/>
    <m/>
    <m/>
    <s v="East"/>
    <s v="TANGI"/>
    <m/>
    <n v="117061"/>
    <s v="BHARTIA  DISTRIBUTORS PVT. LTD."/>
    <n v="3239554"/>
    <s v="CRCA SHEET TATCRC SR16 0.400X1000X2500"/>
    <m/>
    <s v=""/>
    <n v="0"/>
    <n v="0"/>
    <s v="Narrow"/>
    <s v="C06"/>
    <s v="TATCRC"/>
    <s v="SR16"/>
    <n v="0.4"/>
    <n v="1000"/>
    <n v="2500"/>
    <n v="46"/>
    <n v="20.864999999999998"/>
    <n v="25.135000000000002"/>
    <n v="25.135000000000002"/>
    <n v="0"/>
    <n v="25.135000000000002"/>
    <m/>
    <m/>
    <n v="25.135000000000002"/>
    <n v="25.135000000000002"/>
    <n v="0"/>
    <n v="28.151200000000003"/>
    <n v="0"/>
    <n v="0"/>
    <n v="0"/>
    <n v="0"/>
    <n v="0"/>
    <n v="0"/>
    <n v="0"/>
    <n v="0"/>
    <n v="0"/>
    <n v="0"/>
    <n v="0"/>
    <n v="0"/>
    <n v="0"/>
    <n v="0"/>
    <n v="0"/>
    <n v="0"/>
    <n v="0"/>
    <n v="0"/>
    <n v="0"/>
    <n v="0"/>
    <n v="0"/>
    <n v="0"/>
    <n v="0"/>
    <n v="0"/>
    <n v="0"/>
    <n v="0"/>
    <n v="0"/>
    <n v="0"/>
    <n v="0"/>
    <n v="0"/>
    <n v="0"/>
    <n v="0"/>
    <n v="0"/>
    <n v="0"/>
    <n v="0"/>
    <n v="0"/>
    <n v="0"/>
    <n v="20.865000000000002"/>
    <n v="0"/>
    <n v="0"/>
    <n v="0"/>
    <n v="0"/>
    <n v="0"/>
    <m/>
    <m/>
    <m/>
    <m/>
    <m/>
    <m/>
    <m/>
    <m/>
    <m/>
    <s v="1"/>
    <s v="1"/>
    <s v="1"/>
    <s v="1"/>
    <s v="1"/>
    <m/>
    <m/>
    <m/>
    <m/>
    <m/>
    <s v="Planning delay"/>
    <m/>
    <m/>
    <m/>
    <m/>
    <m/>
    <m/>
    <m/>
    <m/>
  </r>
  <r>
    <n v="742"/>
    <d v="2024-11-24T00:00:00"/>
    <s v="ZBTO"/>
    <n v="9518285530"/>
    <n v="8"/>
    <s v="9518285530-8"/>
    <m/>
    <s v="Feb'25"/>
    <s v="Released orders"/>
    <x v="1"/>
    <x v="1"/>
    <s v="2000-BPRS"/>
    <n v="3500"/>
    <x v="0"/>
    <s v="Mar"/>
    <m/>
    <m/>
    <s v="East"/>
    <s v="TANGI"/>
    <m/>
    <n v="117061"/>
    <s v="BHARTIA  DISTRIBUTORS PVT. LTD."/>
    <n v="3240818"/>
    <s v="CRCA SHEET TSBCRC SR15 0.900X1000X2500"/>
    <m/>
    <s v=""/>
    <n v="0"/>
    <n v="0"/>
    <s v="Narrow"/>
    <s v="C06"/>
    <s v="TSBCRC"/>
    <s v="SR15"/>
    <n v="0.9"/>
    <n v="1000"/>
    <n v="2500"/>
    <n v="23"/>
    <n v="0"/>
    <n v="23"/>
    <n v="23"/>
    <n v="0"/>
    <n v="23"/>
    <m/>
    <m/>
    <n v="23"/>
    <n v="23"/>
    <n v="0"/>
    <n v="25.76"/>
    <n v="0"/>
    <n v="0"/>
    <n v="0"/>
    <n v="0"/>
    <n v="0"/>
    <n v="0"/>
    <n v="0"/>
    <n v="0"/>
    <n v="0"/>
    <n v="0"/>
    <n v="0"/>
    <n v="0"/>
    <n v="0"/>
    <n v="0"/>
    <n v="0"/>
    <n v="0"/>
    <n v="0"/>
    <n v="0"/>
    <n v="0"/>
    <n v="0"/>
    <n v="0"/>
    <n v="0"/>
    <n v="0"/>
    <n v="0"/>
    <n v="23"/>
    <n v="0"/>
    <n v="0"/>
    <n v="0"/>
    <n v="23"/>
    <n v="0"/>
    <n v="23"/>
    <n v="0"/>
    <n v="0"/>
    <n v="0"/>
    <n v="23"/>
    <n v="0"/>
    <n v="0"/>
    <n v="0"/>
    <n v="0"/>
    <n v="0"/>
    <n v="0"/>
    <n v="0"/>
    <n v="0"/>
    <m/>
    <m/>
    <m/>
    <m/>
    <m/>
    <m/>
    <m/>
    <m/>
    <m/>
    <s v="1"/>
    <s v="1"/>
    <s v="1"/>
    <s v="0"/>
    <s v="1"/>
    <m/>
    <m/>
    <m/>
    <m/>
    <m/>
    <m/>
    <m/>
    <m/>
    <m/>
    <m/>
    <m/>
    <m/>
    <m/>
    <m/>
  </r>
  <r>
    <n v="743"/>
    <d v="2024-12-11T00:00:00"/>
    <s v="ZBTO"/>
    <n v="9518336654"/>
    <n v="1"/>
    <s v="9518336654-1"/>
    <m/>
    <s v="No Priority"/>
    <s v="Released orders"/>
    <x v="2"/>
    <x v="10"/>
    <s v="2000-BPRS"/>
    <m/>
    <x v="1"/>
    <m/>
    <m/>
    <m/>
    <s v="East"/>
    <s v="PURNIA"/>
    <m/>
    <n v="931671"/>
    <s v="BMW VENTURES LIMITED"/>
    <n v="3907468"/>
    <s v="GP COIL TATXGP GP02 0.350X1350"/>
    <m/>
    <s v=""/>
    <n v="1"/>
    <n v="5"/>
    <s v="Wider"/>
    <s v="C05"/>
    <s v="TATXGP"/>
    <s v="GP02"/>
    <n v="0.35"/>
    <n v="1350"/>
    <n v="0"/>
    <n v="93"/>
    <n v="59.22"/>
    <n v="33.78"/>
    <n v="33.78"/>
    <n v="30.98"/>
    <n v="0"/>
    <m/>
    <n v="30.98"/>
    <n v="0"/>
    <n v="0"/>
    <n v="0"/>
    <n v="0"/>
    <n v="30.98"/>
    <n v="0"/>
    <n v="0"/>
    <n v="0"/>
    <n v="0"/>
    <n v="0"/>
    <n v="0"/>
    <n v="0"/>
    <n v="0"/>
    <n v="0"/>
    <n v="0"/>
    <n v="0"/>
    <n v="0"/>
    <n v="0"/>
    <n v="0"/>
    <n v="0"/>
    <n v="0"/>
    <n v="0"/>
    <n v="30.98"/>
    <n v="30.98"/>
    <n v="0"/>
    <n v="30.98"/>
    <n v="0"/>
    <n v="0"/>
    <n v="0"/>
    <n v="0"/>
    <n v="0"/>
    <n v="0"/>
    <n v="0"/>
    <n v="0"/>
    <n v="0"/>
    <n v="0"/>
    <n v="0"/>
    <n v="0"/>
    <n v="0"/>
    <n v="0"/>
    <n v="0"/>
    <n v="0"/>
    <n v="0"/>
    <n v="0"/>
    <n v="0"/>
    <n v="0"/>
    <n v="0"/>
    <m/>
    <m/>
    <m/>
    <m/>
    <m/>
    <m/>
    <m/>
    <m/>
    <m/>
    <s v="1"/>
    <s v="1"/>
    <s v="1"/>
    <s v="1"/>
    <s v="1"/>
    <m/>
    <m/>
    <m/>
    <m/>
    <m/>
    <m/>
    <m/>
    <m/>
    <m/>
    <m/>
    <m/>
    <m/>
    <m/>
    <m/>
  </r>
  <r>
    <n v="742"/>
    <d v="2024-12-11T00:00:00"/>
    <s v="ZBTO"/>
    <n v="9518336485"/>
    <n v="1"/>
    <s v="9518336485-1"/>
    <m/>
    <s v="Mar'25"/>
    <s v="Released orders"/>
    <x v="1"/>
    <x v="3"/>
    <s v="2000-BPRS"/>
    <m/>
    <x v="0"/>
    <s v="Mar"/>
    <m/>
    <m/>
    <s v="North"/>
    <s v="FARIDABAD"/>
    <m/>
    <n v="831432"/>
    <s v="FERRO STEEL SOLUTIONS"/>
    <n v="1804908"/>
    <s v="CRCA COIL TATCRC TR15 0.5X1250"/>
    <m/>
    <s v=""/>
    <n v="10"/>
    <n v="27"/>
    <s v="Wider"/>
    <s v="C01"/>
    <s v="TATCRC"/>
    <s v="TR15"/>
    <n v="0.5"/>
    <n v="1250"/>
    <n v="0"/>
    <n v="260.99"/>
    <n v="179.77500000000001"/>
    <n v="81.215000000000003"/>
    <n v="81.215000000000003"/>
    <n v="0"/>
    <n v="81.215000000000003"/>
    <m/>
    <m/>
    <n v="81.215000000000003"/>
    <n v="81.215000000000003"/>
    <n v="0"/>
    <n v="90.960800000000006"/>
    <n v="0"/>
    <n v="0"/>
    <n v="0"/>
    <n v="0"/>
    <n v="0"/>
    <n v="0"/>
    <n v="0"/>
    <n v="0"/>
    <n v="0"/>
    <n v="0"/>
    <n v="0"/>
    <n v="0"/>
    <n v="0"/>
    <n v="0"/>
    <n v="0"/>
    <n v="0"/>
    <n v="0"/>
    <n v="0"/>
    <n v="0"/>
    <n v="0"/>
    <n v="0"/>
    <n v="0"/>
    <n v="0"/>
    <n v="0"/>
    <n v="81.215000000000003"/>
    <n v="0"/>
    <n v="0"/>
    <n v="0"/>
    <n v="81.215000000000003"/>
    <n v="0"/>
    <n v="81.215000000000003"/>
    <n v="0"/>
    <n v="0"/>
    <n v="0"/>
    <n v="81.215000000000003"/>
    <n v="0"/>
    <n v="0"/>
    <n v="0"/>
    <n v="0"/>
    <n v="0"/>
    <n v="0"/>
    <n v="0"/>
    <n v="0"/>
    <m/>
    <m/>
    <m/>
    <m/>
    <m/>
    <m/>
    <m/>
    <m/>
    <m/>
    <s v="1"/>
    <s v="1"/>
    <s v="1"/>
    <s v="0"/>
    <s v="1"/>
    <m/>
    <m/>
    <m/>
    <m/>
    <m/>
    <m/>
    <m/>
    <m/>
    <m/>
    <m/>
    <m/>
    <m/>
    <m/>
    <m/>
  </r>
  <r>
    <n v="742"/>
    <d v="2024-11-25T00:00:00"/>
    <s v="ZBTO"/>
    <n v="9518289665"/>
    <n v="1"/>
    <s v="9518289665-1"/>
    <m/>
    <s v="Mar'25"/>
    <s v="Released orders"/>
    <x v="1"/>
    <x v="1"/>
    <s v="2000-BPRS"/>
    <m/>
    <x v="0"/>
    <s v="Mar"/>
    <m/>
    <m/>
    <s v="South"/>
    <s v="VISHAKHAPATNAM"/>
    <m/>
    <n v="946077"/>
    <s v="SITARAM IRON AND STEEL PVT LTD"/>
    <n v="3239535"/>
    <s v="CRCA SHEET TATCRC SR16 0.350X900X2440"/>
    <m/>
    <s v=""/>
    <n v="0"/>
    <n v="0"/>
    <s v="Narrow"/>
    <s v="C06"/>
    <s v="TATCRC"/>
    <s v="SR16"/>
    <n v="0.35"/>
    <n v="900"/>
    <n v="2440"/>
    <n v="42"/>
    <n v="0"/>
    <n v="42"/>
    <n v="42"/>
    <n v="0"/>
    <n v="42"/>
    <m/>
    <m/>
    <n v="42"/>
    <n v="42"/>
    <n v="0"/>
    <n v="47.040000000000006"/>
    <n v="0"/>
    <n v="0"/>
    <n v="0"/>
    <n v="0"/>
    <n v="0"/>
    <n v="0"/>
    <n v="0"/>
    <n v="0"/>
    <n v="0"/>
    <n v="0"/>
    <n v="0"/>
    <n v="0"/>
    <n v="0"/>
    <n v="0"/>
    <n v="0"/>
    <n v="0"/>
    <n v="0"/>
    <n v="0"/>
    <n v="0"/>
    <n v="0"/>
    <n v="0"/>
    <n v="0"/>
    <n v="0"/>
    <n v="0"/>
    <n v="42"/>
    <n v="0"/>
    <n v="0"/>
    <n v="0"/>
    <n v="0"/>
    <n v="42"/>
    <n v="42"/>
    <n v="0"/>
    <n v="0"/>
    <n v="0"/>
    <n v="0"/>
    <n v="42"/>
    <n v="0"/>
    <n v="0"/>
    <n v="0"/>
    <n v="0"/>
    <n v="0"/>
    <n v="0"/>
    <n v="0"/>
    <m/>
    <m/>
    <m/>
    <m/>
    <m/>
    <m/>
    <m/>
    <m/>
    <m/>
    <s v="1"/>
    <s v="1"/>
    <s v="1"/>
    <s v="1"/>
    <s v="0"/>
    <m/>
    <m/>
    <m/>
    <m/>
    <m/>
    <m/>
    <m/>
    <m/>
    <m/>
    <m/>
    <m/>
    <m/>
    <m/>
    <m/>
  </r>
  <r>
    <n v="742"/>
    <d v="2024-11-25T00:00:00"/>
    <s v="ZBTO"/>
    <n v="9518289665"/>
    <n v="2"/>
    <s v="9518289665-2"/>
    <m/>
    <s v="Mar'25"/>
    <s v="Released orders"/>
    <x v="1"/>
    <x v="1"/>
    <s v="2000-BPRS"/>
    <m/>
    <x v="0"/>
    <s v="Mar"/>
    <m/>
    <m/>
    <s v="South"/>
    <s v="VISHAKHAPATNAM"/>
    <m/>
    <n v="946077"/>
    <s v="SITARAM IRON AND STEEL PVT LTD"/>
    <n v="3239549"/>
    <s v="CRCA SHEET TATCRC SR16 0.400X900X2440"/>
    <m/>
    <s v=""/>
    <n v="0"/>
    <n v="0"/>
    <s v="Narrow"/>
    <s v="C06"/>
    <s v="TATCRC"/>
    <s v="SR16"/>
    <n v="0.4"/>
    <n v="900"/>
    <n v="2440"/>
    <n v="42"/>
    <n v="0"/>
    <n v="42"/>
    <n v="42"/>
    <n v="0"/>
    <n v="42"/>
    <m/>
    <m/>
    <n v="42"/>
    <n v="42"/>
    <n v="0"/>
    <n v="47.040000000000006"/>
    <n v="0"/>
    <n v="0"/>
    <n v="0"/>
    <n v="0"/>
    <n v="0"/>
    <n v="0"/>
    <n v="0"/>
    <n v="0"/>
    <n v="0"/>
    <n v="0"/>
    <n v="0"/>
    <n v="0"/>
    <n v="0"/>
    <n v="0"/>
    <n v="0"/>
    <n v="0"/>
    <n v="0"/>
    <n v="0"/>
    <n v="0"/>
    <n v="0"/>
    <n v="0"/>
    <n v="0"/>
    <n v="0"/>
    <n v="0"/>
    <n v="42"/>
    <n v="0"/>
    <n v="0"/>
    <n v="0"/>
    <n v="0"/>
    <n v="42"/>
    <n v="42"/>
    <n v="0"/>
    <n v="0"/>
    <n v="0"/>
    <n v="0"/>
    <n v="42"/>
    <n v="0"/>
    <n v="0"/>
    <n v="0"/>
    <n v="0"/>
    <n v="0"/>
    <n v="0"/>
    <n v="0"/>
    <m/>
    <m/>
    <m/>
    <m/>
    <m/>
    <m/>
    <m/>
    <m/>
    <m/>
    <s v="1"/>
    <s v="1"/>
    <s v="1"/>
    <s v="1"/>
    <s v="0"/>
    <m/>
    <m/>
    <m/>
    <m/>
    <m/>
    <m/>
    <m/>
    <m/>
    <m/>
    <m/>
    <m/>
    <m/>
    <m/>
    <m/>
  </r>
  <r>
    <n v="742"/>
    <d v="2024-11-26T00:00:00"/>
    <s v="ZBTO"/>
    <n v="9518291398"/>
    <n v="1"/>
    <s v="9518291398-1"/>
    <m/>
    <s v="Mar'25"/>
    <s v="Released orders"/>
    <x v="1"/>
    <x v="3"/>
    <s v="2000-BPRS"/>
    <m/>
    <x v="0"/>
    <m/>
    <m/>
    <m/>
    <s v="South"/>
    <s v="VISHAKHAPATNAM"/>
    <m/>
    <n v="946077"/>
    <s v="SITARAM IRON AND STEEL PVT LTD"/>
    <n v="3238266"/>
    <s v="CRCA SHEET TATXXD AU03 0.500X900X2440"/>
    <m/>
    <s v=""/>
    <n v="0"/>
    <n v="0"/>
    <s v="Narrow"/>
    <s v="C06"/>
    <s v="TATXXD"/>
    <s v="AU03"/>
    <n v="0.5"/>
    <n v="900"/>
    <n v="2440"/>
    <n v="84"/>
    <n v="0"/>
    <n v="84"/>
    <n v="84"/>
    <n v="0"/>
    <n v="84"/>
    <m/>
    <m/>
    <n v="84"/>
    <n v="84"/>
    <n v="0"/>
    <n v="94.080000000000013"/>
    <n v="0"/>
    <n v="0"/>
    <n v="0"/>
    <n v="0"/>
    <n v="0"/>
    <n v="0"/>
    <n v="0"/>
    <n v="0"/>
    <n v="0"/>
    <n v="0"/>
    <n v="0"/>
    <n v="0"/>
    <n v="0"/>
    <n v="0"/>
    <n v="0"/>
    <n v="0"/>
    <n v="0"/>
    <n v="0"/>
    <n v="0"/>
    <n v="0"/>
    <n v="0"/>
    <n v="0"/>
    <n v="0"/>
    <n v="0"/>
    <n v="84"/>
    <n v="0"/>
    <n v="0"/>
    <n v="0"/>
    <n v="0"/>
    <n v="84"/>
    <n v="84"/>
    <n v="0"/>
    <n v="0"/>
    <n v="0"/>
    <n v="0"/>
    <n v="84"/>
    <n v="0"/>
    <n v="0"/>
    <n v="0"/>
    <n v="0"/>
    <n v="0"/>
    <n v="0"/>
    <n v="0"/>
    <m/>
    <m/>
    <m/>
    <m/>
    <m/>
    <m/>
    <m/>
    <m/>
    <m/>
    <s v="1"/>
    <s v="1"/>
    <s v="1"/>
    <s v="1"/>
    <s v="0"/>
    <m/>
    <m/>
    <m/>
    <m/>
    <m/>
    <m/>
    <m/>
    <m/>
    <m/>
    <m/>
    <m/>
    <m/>
    <m/>
    <m/>
  </r>
  <r>
    <n v="742"/>
    <d v="2024-12-09T00:00:00"/>
    <s v="ZBTO"/>
    <n v="9518331393"/>
    <n v="1"/>
    <s v="9518331393-1"/>
    <m/>
    <s v="No Priority"/>
    <s v="Released orders"/>
    <x v="1"/>
    <x v="3"/>
    <s v="2000-BPRS"/>
    <m/>
    <x v="1"/>
    <s v="Mar"/>
    <s v="Beyond HSM rollability"/>
    <m/>
    <s v="South"/>
    <s v="VISHAKHAPATNAM"/>
    <m/>
    <n v="946077"/>
    <s v="SITARAM IRON AND STEEL PVT LTD"/>
    <n v="1804912"/>
    <s v="CRCA COIL-TATCRC-TR15-0.6X900"/>
    <m/>
    <s v=""/>
    <n v="8"/>
    <n v="29"/>
    <s v="Narrow"/>
    <s v="C01"/>
    <s v="TATCRC"/>
    <s v="TR15"/>
    <n v="0.6"/>
    <n v="900"/>
    <n v="0"/>
    <n v="21"/>
    <n v="0"/>
    <n v="21"/>
    <n v="21"/>
    <n v="0"/>
    <n v="21"/>
    <m/>
    <m/>
    <n v="21"/>
    <n v="21"/>
    <n v="0"/>
    <n v="23.520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4-12-13T00:00:00"/>
    <s v="ZBTO"/>
    <n v="9518341335"/>
    <n v="6"/>
    <s v="9518341335-6"/>
    <m/>
    <s v="Feb'25"/>
    <s v="Released orders"/>
    <x v="1"/>
    <x v="1"/>
    <s v="2000-BPRS"/>
    <m/>
    <x v="0"/>
    <s v="Mar"/>
    <m/>
    <m/>
    <s v="East"/>
    <s v="TANGI"/>
    <m/>
    <n v="117061"/>
    <s v="BHARTIA  DISTRIBUTORS PVT. LTD."/>
    <n v="3240778"/>
    <s v="CRCA SHEET TSBCRC SR15 0.600X1000X2500"/>
    <m/>
    <s v=""/>
    <n v="0.1"/>
    <n v="5"/>
    <s v="Narrow"/>
    <s v="C06"/>
    <s v="TSBCRC"/>
    <s v="SR15"/>
    <n v="0.6"/>
    <n v="1000"/>
    <n v="2500"/>
    <n v="23"/>
    <n v="0"/>
    <n v="23"/>
    <n v="23"/>
    <n v="0"/>
    <n v="23"/>
    <m/>
    <m/>
    <n v="23"/>
    <n v="23"/>
    <n v="0"/>
    <n v="25.76"/>
    <n v="0"/>
    <n v="0"/>
    <n v="0"/>
    <n v="0"/>
    <n v="0"/>
    <n v="0"/>
    <n v="0"/>
    <n v="0"/>
    <n v="0"/>
    <n v="0"/>
    <n v="0"/>
    <n v="0"/>
    <n v="0"/>
    <n v="0"/>
    <n v="0"/>
    <n v="0"/>
    <n v="0"/>
    <n v="0"/>
    <n v="0"/>
    <n v="0"/>
    <n v="0"/>
    <n v="0"/>
    <n v="0"/>
    <n v="0"/>
    <n v="23"/>
    <n v="0"/>
    <n v="0"/>
    <n v="0"/>
    <n v="0"/>
    <n v="23"/>
    <n v="23"/>
    <n v="0"/>
    <n v="0"/>
    <n v="0"/>
    <n v="0"/>
    <n v="23"/>
    <n v="0"/>
    <n v="0"/>
    <n v="0"/>
    <n v="0"/>
    <n v="0"/>
    <n v="0"/>
    <n v="0"/>
    <m/>
    <m/>
    <m/>
    <m/>
    <m/>
    <m/>
    <m/>
    <m/>
    <m/>
    <s v="1"/>
    <s v="1"/>
    <s v="1"/>
    <s v="1"/>
    <s v="0"/>
    <m/>
    <m/>
    <m/>
    <m/>
    <m/>
    <m/>
    <m/>
    <m/>
    <m/>
    <m/>
    <m/>
    <m/>
    <m/>
    <m/>
  </r>
  <r>
    <n v="742"/>
    <d v="2024-12-13T00:00:00"/>
    <s v="ZBTO"/>
    <n v="9518341335"/>
    <n v="7"/>
    <s v="9518341335-7"/>
    <m/>
    <s v="No Priority"/>
    <s v="Released orders"/>
    <x v="1"/>
    <x v="1"/>
    <s v="2000-BPRS"/>
    <m/>
    <x v="1"/>
    <m/>
    <m/>
    <m/>
    <s v="East"/>
    <s v="TANGI"/>
    <m/>
    <n v="117061"/>
    <s v="BHARTIA  DISTRIBUTORS PVT. LTD."/>
    <n v="3240790"/>
    <s v="CRCA SHEET TSBCRC SR15 0.700X1000X2500"/>
    <m/>
    <s v=""/>
    <n v="0.1"/>
    <n v="5"/>
    <s v="Narrow"/>
    <s v="C06"/>
    <s v="TSBCRC"/>
    <s v="SR15"/>
    <n v="0.7"/>
    <n v="1000"/>
    <n v="2500"/>
    <n v="23"/>
    <n v="20.864999999999998"/>
    <n v="23"/>
    <n v="2.1349999999999998"/>
    <n v="0"/>
    <n v="0"/>
    <m/>
    <m/>
    <n v="0"/>
    <n v="2.1349999999999998"/>
    <n v="0"/>
    <n v="1.3552000000000011"/>
    <n v="0"/>
    <n v="0"/>
    <n v="0"/>
    <n v="0"/>
    <n v="0"/>
    <n v="0"/>
    <n v="0"/>
    <n v="0"/>
    <n v="0"/>
    <n v="0"/>
    <n v="0"/>
    <n v="0"/>
    <n v="0"/>
    <n v="21.79"/>
    <n v="0"/>
    <n v="0"/>
    <n v="0"/>
    <n v="0"/>
    <n v="21.79"/>
    <n v="21.79"/>
    <n v="0"/>
    <n v="21.79"/>
    <n v="0"/>
    <n v="0"/>
    <n v="0"/>
    <n v="0"/>
    <n v="0"/>
    <n v="0"/>
    <n v="0"/>
    <n v="0"/>
    <n v="0"/>
    <n v="0"/>
    <n v="0"/>
    <n v="0"/>
    <n v="0"/>
    <n v="0"/>
    <n v="0"/>
    <n v="0"/>
    <n v="0"/>
    <n v="0"/>
    <n v="0"/>
    <n v="0"/>
    <n v="0"/>
    <m/>
    <m/>
    <m/>
    <m/>
    <m/>
    <m/>
    <m/>
    <m/>
    <m/>
    <s v="1"/>
    <s v="1"/>
    <s v="1"/>
    <s v="1"/>
    <s v="1"/>
    <m/>
    <m/>
    <m/>
    <m/>
    <m/>
    <m/>
    <m/>
    <m/>
    <m/>
    <m/>
    <m/>
    <m/>
    <m/>
    <m/>
  </r>
  <r>
    <n v="742"/>
    <d v="2024-12-13T00:00:00"/>
    <s v="ZBTO"/>
    <n v="9518341335"/>
    <n v="8"/>
    <s v="9518341335-8"/>
    <m/>
    <s v="Jan'25"/>
    <s v="Released orders"/>
    <x v="1"/>
    <x v="1"/>
    <s v="2000-BPRS"/>
    <m/>
    <x v="0"/>
    <s v="Mar"/>
    <m/>
    <m/>
    <s v="East"/>
    <s v="TANGI"/>
    <m/>
    <n v="117061"/>
    <s v="BHARTIA  DISTRIBUTORS PVT. LTD."/>
    <n v="3240818"/>
    <s v="CRCA SHEET TSBCRC SR15 0.900X1000X2500"/>
    <m/>
    <s v=""/>
    <n v="0.1"/>
    <n v="5"/>
    <s v="Narrow"/>
    <s v="C06"/>
    <s v="TSBCRC"/>
    <s v="SR15"/>
    <n v="0.9"/>
    <n v="1000"/>
    <n v="2500"/>
    <n v="23"/>
    <n v="0"/>
    <n v="23"/>
    <n v="23"/>
    <n v="0"/>
    <n v="23"/>
    <m/>
    <m/>
    <n v="23"/>
    <n v="23"/>
    <n v="0"/>
    <n v="25.76"/>
    <n v="0"/>
    <n v="0"/>
    <n v="0"/>
    <n v="0"/>
    <n v="0"/>
    <n v="0"/>
    <n v="0"/>
    <n v="0"/>
    <n v="0"/>
    <n v="0"/>
    <n v="0"/>
    <n v="0"/>
    <n v="0"/>
    <n v="0"/>
    <n v="0"/>
    <n v="0"/>
    <n v="0"/>
    <n v="0"/>
    <n v="0"/>
    <n v="0"/>
    <n v="0"/>
    <n v="0"/>
    <n v="0"/>
    <n v="0"/>
    <n v="23"/>
    <n v="0"/>
    <n v="0"/>
    <n v="0"/>
    <n v="23"/>
    <n v="0"/>
    <n v="23"/>
    <n v="0"/>
    <n v="0"/>
    <n v="0"/>
    <n v="23"/>
    <n v="0"/>
    <n v="0"/>
    <n v="0"/>
    <n v="0"/>
    <n v="0"/>
    <n v="0"/>
    <n v="0"/>
    <n v="0"/>
    <m/>
    <m/>
    <m/>
    <m/>
    <m/>
    <m/>
    <m/>
    <m/>
    <m/>
    <s v="1"/>
    <s v="1"/>
    <s v="1"/>
    <s v="0"/>
    <s v="1"/>
    <m/>
    <m/>
    <m/>
    <m/>
    <m/>
    <m/>
    <m/>
    <m/>
    <m/>
    <m/>
    <m/>
    <m/>
    <m/>
    <m/>
  </r>
  <r>
    <n v="742"/>
    <d v="2024-11-26T00:00:00"/>
    <s v="ZBTO"/>
    <n v="9518291314"/>
    <n v="1"/>
    <s v="9518291314-1"/>
    <m/>
    <s v="Feb'25"/>
    <s v="Released orders"/>
    <x v="1"/>
    <x v="1"/>
    <s v="2000-BPRS"/>
    <m/>
    <x v="0"/>
    <s v="Mar"/>
    <m/>
    <m/>
    <s v="East"/>
    <s v="TATANAGAR"/>
    <m/>
    <n v="165053"/>
    <s v="SUDISA ENTERPRISES (P) LTD."/>
    <n v="3239567"/>
    <s v="CRCA SHEET TATCRC SR16 0.450X1000X2500"/>
    <m/>
    <s v=""/>
    <n v="2.8"/>
    <n v="3.2"/>
    <s v="Narrow"/>
    <s v="C06"/>
    <s v="TATCRC"/>
    <s v="SR16"/>
    <n v="0.45"/>
    <n v="1000"/>
    <n v="2500"/>
    <n v="23"/>
    <n v="0"/>
    <n v="23"/>
    <n v="23"/>
    <n v="0"/>
    <n v="23"/>
    <m/>
    <m/>
    <n v="23"/>
    <n v="23"/>
    <n v="0"/>
    <n v="25.76"/>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4"/>
    <d v="2024-12-18T00:00:00"/>
    <s v="ZBTO"/>
    <n v="9518352997"/>
    <n v="1"/>
    <s v="9518352997-1"/>
    <m/>
    <s v="No Priority"/>
    <s v="Released orders"/>
    <x v="4"/>
    <x v="7"/>
    <s v="1000-IPPE"/>
    <m/>
    <x v="0"/>
    <m/>
    <m/>
    <m/>
    <s v="South"/>
    <s v="TAMILNADU"/>
    <m/>
    <n v="940074"/>
    <s v="TATA BLUESCOPE STEEL PRIVATE LIMITE"/>
    <n v="3712516"/>
    <s v="PPGL C HARD Y550PL HPL5 0.450X1220"/>
    <n v="150"/>
    <s v="ELITE LIGHT BLUE TSL 1687"/>
    <n v="3"/>
    <n v="5"/>
    <s v="Wider"/>
    <s v="B18"/>
    <s v="Y550PL"/>
    <s v="HPL5"/>
    <n v="0.45"/>
    <n v="1220"/>
    <n v="0"/>
    <n v="28"/>
    <n v="9.91"/>
    <n v="28"/>
    <n v="21.05"/>
    <n v="41.71"/>
    <n v="0"/>
    <m/>
    <n v="41.71"/>
    <n v="0"/>
    <n v="18.079999999999998"/>
    <n v="0"/>
    <n v="0"/>
    <n v="0"/>
    <n v="0"/>
    <n v="0"/>
    <n v="0"/>
    <n v="0"/>
    <n v="0"/>
    <n v="15.55"/>
    <n v="0"/>
    <n v="16.649999999999999"/>
    <n v="0"/>
    <n v="0"/>
    <n v="0"/>
    <n v="0"/>
    <n v="0"/>
    <n v="0"/>
    <n v="0"/>
    <n v="0"/>
    <n v="0"/>
    <n v="32.200000000000003"/>
    <n v="32.200000000000003"/>
    <n v="0"/>
    <n v="32.200000000000003"/>
    <n v="0"/>
    <n v="0"/>
    <n v="18.079999999999998"/>
    <n v="0"/>
    <n v="18.079999999999998"/>
    <n v="0"/>
    <n v="0"/>
    <n v="0"/>
    <n v="18.079999999999998"/>
    <n v="0"/>
    <n v="18.079999999999998"/>
    <n v="0"/>
    <n v="0"/>
    <n v="0"/>
    <n v="0"/>
    <n v="0"/>
    <n v="0"/>
    <n v="0"/>
    <n v="0"/>
    <n v="0"/>
    <n v="0"/>
    <m/>
    <m/>
    <m/>
    <m/>
    <m/>
    <m/>
    <m/>
    <m/>
    <m/>
    <s v="1"/>
    <s v="0"/>
    <s v="1"/>
    <s v="1"/>
    <s v="1"/>
    <m/>
    <m/>
    <m/>
    <m/>
    <m/>
    <m/>
    <m/>
    <m/>
    <m/>
    <m/>
    <m/>
    <m/>
    <m/>
    <m/>
  </r>
  <r>
    <n v="743"/>
    <d v="2024-12-07T00:00:00"/>
    <s v="ZBTO"/>
    <n v="9518326942"/>
    <n v="1"/>
    <s v="9518326942-1"/>
    <m/>
    <s v="No Priority"/>
    <s v="Released orders"/>
    <x v="3"/>
    <x v="7"/>
    <s v="1000-IPPE"/>
    <m/>
    <x v="1"/>
    <m/>
    <m/>
    <m/>
    <s v="East"/>
    <s v="TATANAGAR"/>
    <m/>
    <n v="942284"/>
    <s v="TATA BLUESCOPE STEEL PRIVATE LIMITE"/>
    <n v="3856036"/>
    <s v="GL COIL HARD  Y550GL M306 0.300X900"/>
    <n v="70"/>
    <s v=""/>
    <n v="3"/>
    <n v="5"/>
    <s v="Narrow"/>
    <s v="B04"/>
    <s v="Y550GL"/>
    <s v="M306"/>
    <n v="0.3"/>
    <n v="900"/>
    <n v="0"/>
    <n v="210"/>
    <n v="0"/>
    <n v="210"/>
    <n v="210"/>
    <n v="0"/>
    <n v="210"/>
    <m/>
    <m/>
    <n v="210"/>
    <n v="210"/>
    <n v="0"/>
    <n v="235.20000000000002"/>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4-12-07T00:00:00"/>
    <s v="ZBTO"/>
    <n v="9518326942"/>
    <n v="3"/>
    <s v="9518326942-3"/>
    <m/>
    <s v="Stocks"/>
    <s v="Released orders"/>
    <x v="3"/>
    <x v="7"/>
    <s v="1000-IPPE"/>
    <m/>
    <x v="0"/>
    <m/>
    <m/>
    <m/>
    <s v="East"/>
    <s v="TATANAGAR"/>
    <m/>
    <n v="942284"/>
    <s v="TATA BLUESCOPE STEEL PRIVATE LIMITE"/>
    <n v="3856037"/>
    <s v="GL COIL HARD  Y550GL M306 0.300X1000"/>
    <n v="70"/>
    <s v=""/>
    <n v="3"/>
    <n v="5"/>
    <s v="Narrow"/>
    <s v="B04"/>
    <s v="Y550GL"/>
    <s v="M306"/>
    <n v="0.3"/>
    <n v="1000"/>
    <n v="0"/>
    <n v="115"/>
    <n v="84.38"/>
    <n v="93.185000000000002"/>
    <n v="88.805000000000007"/>
    <n v="82.173000000000002"/>
    <n v="0"/>
    <m/>
    <m/>
    <n v="88.805000000000007"/>
    <n v="30.61"/>
    <n v="0"/>
    <n v="0"/>
    <n v="73.25"/>
    <n v="0"/>
    <n v="0"/>
    <n v="3.2"/>
    <n v="14.950000000000001"/>
    <n v="0"/>
    <n v="15.22"/>
    <n v="0"/>
    <n v="0"/>
    <n v="0"/>
    <n v="0"/>
    <n v="0"/>
    <n v="0"/>
    <n v="0"/>
    <n v="0"/>
    <n v="0"/>
    <n v="0"/>
    <n v="4.97"/>
    <n v="111.59"/>
    <n v="111.59"/>
    <n v="0"/>
    <n v="111.59"/>
    <n v="82.173000000000002"/>
    <n v="23.055000000000003"/>
    <n v="0"/>
    <n v="0"/>
    <n v="0"/>
    <n v="0"/>
    <n v="0"/>
    <n v="0"/>
    <n v="23.055000000000003"/>
    <n v="0"/>
    <n v="23.055000000000003"/>
    <n v="0"/>
    <n v="0"/>
    <n v="0"/>
    <n v="0"/>
    <n v="3.59"/>
    <n v="0"/>
    <n v="0"/>
    <n v="0"/>
    <n v="0"/>
    <n v="0"/>
    <m/>
    <m/>
    <m/>
    <m/>
    <m/>
    <m/>
    <m/>
    <m/>
    <m/>
    <s v="1"/>
    <s v="1"/>
    <s v="1"/>
    <s v="1"/>
    <s v="1"/>
    <m/>
    <m/>
    <m/>
    <m/>
    <m/>
    <m/>
    <m/>
    <m/>
    <m/>
    <m/>
    <m/>
    <m/>
    <m/>
    <m/>
  </r>
  <r>
    <n v="743"/>
    <d v="2024-12-07T00:00:00"/>
    <s v="ZBTO"/>
    <n v="9518326942"/>
    <n v="4"/>
    <s v="9518326942-4"/>
    <m/>
    <s v="No Priority"/>
    <s v="Released orders"/>
    <x v="3"/>
    <x v="7"/>
    <s v="1000-IPPE"/>
    <m/>
    <x v="1"/>
    <m/>
    <m/>
    <m/>
    <s v="East"/>
    <s v="TATANAGAR"/>
    <m/>
    <n v="942284"/>
    <s v="TATA BLUESCOPE STEEL PRIVATE LIMITE"/>
    <n v="3774721"/>
    <s v="GL COIL HARD  Y550GL M306 0.330X900"/>
    <n v="70"/>
    <s v=""/>
    <n v="3"/>
    <n v="5"/>
    <s v="Narrow"/>
    <s v="B04"/>
    <s v="Y550GL"/>
    <s v="M306"/>
    <n v="0.33"/>
    <n v="900"/>
    <n v="0"/>
    <n v="294"/>
    <n v="0"/>
    <n v="294"/>
    <n v="294"/>
    <n v="0"/>
    <n v="294"/>
    <m/>
    <m/>
    <n v="294"/>
    <n v="294"/>
    <n v="0"/>
    <n v="329.28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4-12-07T00:00:00"/>
    <s v="ZBTO"/>
    <n v="9518326942"/>
    <n v="5"/>
    <s v="9518326942-5"/>
    <m/>
    <s v="No Priority"/>
    <s v="Released orders"/>
    <x v="3"/>
    <x v="7"/>
    <s v="1000-IPPE"/>
    <m/>
    <x v="1"/>
    <m/>
    <m/>
    <m/>
    <s v="East"/>
    <s v="TATANAGAR"/>
    <m/>
    <n v="942284"/>
    <s v="TATA BLUESCOPE STEEL PRIVATE LIMITE"/>
    <n v="3856038"/>
    <s v="GL COIL HARD  Y550GL M306 0.330X1000"/>
    <n v="70"/>
    <s v=""/>
    <n v="3"/>
    <n v="5"/>
    <s v="Narrow"/>
    <s v="B04"/>
    <s v="Y550GL"/>
    <s v="M306"/>
    <n v="0.33"/>
    <n v="1000"/>
    <n v="0"/>
    <n v="299"/>
    <n v="88.45"/>
    <n v="214.07499999999999"/>
    <n v="214.07499999999999"/>
    <n v="18.155000000000001"/>
    <n v="195.92"/>
    <m/>
    <m/>
    <n v="214.07499999999999"/>
    <n v="210.55"/>
    <n v="0"/>
    <n v="219.43040000000002"/>
    <n v="0"/>
    <n v="0"/>
    <n v="0"/>
    <n v="0"/>
    <n v="0"/>
    <n v="0"/>
    <n v="8.4250000000000007"/>
    <n v="0"/>
    <n v="0"/>
    <n v="0"/>
    <n v="0"/>
    <n v="0"/>
    <n v="0"/>
    <n v="0"/>
    <n v="6.2050000000000001"/>
    <n v="0"/>
    <n v="0"/>
    <n v="3.5250000000000004"/>
    <n v="18.155000000000001"/>
    <n v="18.155000000000001"/>
    <n v="0"/>
    <n v="18.155000000000001"/>
    <n v="18.155000000000001"/>
    <n v="3.5249999999999999"/>
    <n v="210.55"/>
    <n v="0"/>
    <n v="0"/>
    <n v="0"/>
    <n v="210.55"/>
    <n v="0"/>
    <n v="214.07500000000002"/>
    <n v="0"/>
    <n v="0"/>
    <n v="0"/>
    <n v="0"/>
    <n v="214.07500000000002"/>
    <n v="0"/>
    <n v="10.914999999999999"/>
    <n v="0"/>
    <n v="0"/>
    <n v="0"/>
    <n v="10.914999999999999"/>
    <n v="0"/>
    <m/>
    <m/>
    <m/>
    <m/>
    <m/>
    <m/>
    <m/>
    <m/>
    <m/>
    <s v="1"/>
    <s v="1"/>
    <s v="1"/>
    <s v="0"/>
    <s v="1"/>
    <m/>
    <m/>
    <m/>
    <m/>
    <m/>
    <m/>
    <m/>
    <m/>
    <m/>
    <m/>
    <m/>
    <m/>
    <m/>
    <m/>
  </r>
  <r>
    <n v="743"/>
    <d v="2024-12-07T00:00:00"/>
    <s v="ZBTO"/>
    <n v="9518326942"/>
    <n v="7"/>
    <s v="9518326942-7"/>
    <m/>
    <s v="No Priority"/>
    <s v="Released orders"/>
    <x v="3"/>
    <x v="7"/>
    <s v="1000-IPPE"/>
    <m/>
    <x v="1"/>
    <m/>
    <m/>
    <m/>
    <s v="East"/>
    <s v="TATANAGAR"/>
    <m/>
    <n v="942284"/>
    <s v="TATA BLUESCOPE STEEL PRIVATE LIMITE"/>
    <n v="3775011"/>
    <s v="GL COIL HARD  Y550GL M306 0.380X900"/>
    <n v="70"/>
    <s v=""/>
    <n v="3"/>
    <n v="5"/>
    <s v="Narrow"/>
    <s v="B04"/>
    <s v="Y550GL"/>
    <s v="M306"/>
    <n v="0.38"/>
    <n v="900"/>
    <n v="0"/>
    <n v="294"/>
    <n v="0"/>
    <n v="294"/>
    <n v="294"/>
    <n v="0"/>
    <n v="294"/>
    <m/>
    <m/>
    <n v="294"/>
    <n v="294"/>
    <n v="0"/>
    <n v="329.28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4-12-07T00:00:00"/>
    <s v="ZBTO"/>
    <n v="9518326942"/>
    <n v="8"/>
    <s v="9518326942-8"/>
    <m/>
    <s v="No Priority"/>
    <s v="Released orders"/>
    <x v="3"/>
    <x v="7"/>
    <s v="1000-IPPE"/>
    <m/>
    <x v="1"/>
    <m/>
    <m/>
    <m/>
    <s v="East"/>
    <s v="TATANAGAR"/>
    <m/>
    <n v="942284"/>
    <s v="TATA BLUESCOPE STEEL PRIVATE LIMITE"/>
    <n v="3856039"/>
    <s v="GL COIL HARD  Y550GL M306 0.380X1000"/>
    <n v="70"/>
    <s v=""/>
    <n v="3"/>
    <n v="5"/>
    <s v="Narrow"/>
    <s v="B04"/>
    <s v="Y550GL"/>
    <s v="M306"/>
    <n v="0.38"/>
    <n v="1000"/>
    <n v="0"/>
    <n v="299"/>
    <n v="160.29499999999999"/>
    <n v="299"/>
    <n v="233.63499999999999"/>
    <n v="133.68600000000001"/>
    <n v="99.948999999999998"/>
    <m/>
    <m/>
    <n v="233.63499999999999"/>
    <n v="138.70500000000001"/>
    <n v="0"/>
    <n v="89.188960000000023"/>
    <n v="219.36699999999999"/>
    <n v="0"/>
    <n v="0"/>
    <n v="0"/>
    <n v="0"/>
    <n v="0"/>
    <n v="0"/>
    <n v="0"/>
    <n v="0"/>
    <n v="0"/>
    <n v="0"/>
    <n v="0"/>
    <n v="0"/>
    <n v="0"/>
    <n v="0"/>
    <n v="0"/>
    <n v="0"/>
    <n v="0"/>
    <n v="219.36699999999999"/>
    <n v="219.36699999999999"/>
    <n v="0"/>
    <n v="219.36699999999999"/>
    <n v="133.68600000000001"/>
    <n v="152.255"/>
    <n v="138.70500000000001"/>
    <n v="0"/>
    <n v="0"/>
    <n v="0"/>
    <n v="138.70500000000001"/>
    <n v="0"/>
    <n v="290.96000000000004"/>
    <n v="0"/>
    <n v="0"/>
    <n v="0"/>
    <n v="0"/>
    <n v="290.96000000000004"/>
    <n v="0"/>
    <n v="0"/>
    <n v="0"/>
    <n v="0"/>
    <n v="0"/>
    <n v="0"/>
    <n v="0"/>
    <m/>
    <m/>
    <m/>
    <m/>
    <m/>
    <m/>
    <m/>
    <m/>
    <m/>
    <s v="1"/>
    <s v="1"/>
    <s v="1"/>
    <s v="0"/>
    <s v="1"/>
    <m/>
    <m/>
    <m/>
    <m/>
    <m/>
    <m/>
    <m/>
    <m/>
    <m/>
    <m/>
    <m/>
    <m/>
    <m/>
    <m/>
  </r>
  <r>
    <n v="743"/>
    <d v="2024-12-07T00:00:00"/>
    <s v="ZBTO"/>
    <n v="9518326942"/>
    <n v="10"/>
    <s v="9518326942-10"/>
    <m/>
    <s v="No Priority"/>
    <s v="Released orders"/>
    <x v="3"/>
    <x v="7"/>
    <s v="1000-IPPE"/>
    <m/>
    <x v="1"/>
    <m/>
    <m/>
    <m/>
    <s v="East"/>
    <s v="TATANAGAR"/>
    <m/>
    <n v="942284"/>
    <s v="TATA BLUESCOPE STEEL PRIVATE LIMITE"/>
    <n v="3856040"/>
    <s v="GL COIL HARD  Y550GL M306 0.430X900"/>
    <n v="70"/>
    <s v=""/>
    <n v="3"/>
    <n v="5"/>
    <s v="Narrow"/>
    <s v="B04"/>
    <s v="Y550GL"/>
    <s v="M306"/>
    <n v="0.43"/>
    <n v="900"/>
    <n v="0"/>
    <n v="42"/>
    <n v="0"/>
    <n v="42"/>
    <n v="42"/>
    <n v="11.6"/>
    <n v="30.4"/>
    <m/>
    <m/>
    <n v="42"/>
    <n v="42"/>
    <n v="0"/>
    <n v="31.197599999999998"/>
    <n v="0"/>
    <n v="0"/>
    <n v="0"/>
    <n v="0"/>
    <n v="0"/>
    <n v="0"/>
    <n v="0"/>
    <n v="0"/>
    <n v="0"/>
    <n v="0"/>
    <n v="0"/>
    <n v="0"/>
    <n v="0"/>
    <n v="0"/>
    <n v="14.145000000000001"/>
    <n v="0"/>
    <n v="0"/>
    <n v="0"/>
    <n v="14.145000000000001"/>
    <n v="14.145000000000001"/>
    <n v="0"/>
    <n v="14.145000000000001"/>
    <n v="11.6"/>
    <n v="0"/>
    <n v="0"/>
    <n v="0"/>
    <n v="0"/>
    <n v="0"/>
    <n v="0"/>
    <n v="0"/>
    <n v="0"/>
    <n v="0"/>
    <n v="0"/>
    <n v="0"/>
    <n v="0"/>
    <n v="0"/>
    <n v="0"/>
    <n v="0"/>
    <n v="0"/>
    <n v="0"/>
    <n v="0"/>
    <n v="0"/>
    <n v="0"/>
    <m/>
    <m/>
    <m/>
    <m/>
    <m/>
    <m/>
    <m/>
    <m/>
    <m/>
    <s v="1"/>
    <s v="1"/>
    <s v="1"/>
    <s v="1"/>
    <s v="1"/>
    <m/>
    <m/>
    <m/>
    <m/>
    <m/>
    <m/>
    <m/>
    <m/>
    <m/>
    <m/>
    <m/>
    <m/>
    <m/>
    <m/>
  </r>
  <r>
    <n v="742"/>
    <d v="2024-11-20T00:00:00"/>
    <s v="ZBTO"/>
    <n v="9518273811"/>
    <n v="1"/>
    <s v="9518273811-1"/>
    <m/>
    <s v="Feb'25"/>
    <s v="Released orders"/>
    <x v="1"/>
    <x v="1"/>
    <s v="2000-BPRS"/>
    <m/>
    <x v="0"/>
    <s v="Mar"/>
    <m/>
    <m/>
    <s v="East"/>
    <s v="WEST BOKARO"/>
    <m/>
    <n v="185794"/>
    <s v="Shree Bajrang Steel Udyog"/>
    <n v="3239408"/>
    <s v="CRCA SHEET TATCRC SR16 0.300X900X2500"/>
    <m/>
    <s v=""/>
    <n v="2.8"/>
    <n v="3.2"/>
    <s v="Narrow"/>
    <s v="C06"/>
    <s v="TATCRC"/>
    <s v="SR16"/>
    <n v="0.3"/>
    <n v="900"/>
    <n v="2500"/>
    <n v="63"/>
    <n v="17.094999999999999"/>
    <n v="63"/>
    <n v="63"/>
    <n v="40.795000000000002"/>
    <n v="22.204999999999998"/>
    <m/>
    <n v="0"/>
    <n v="22.204999999999998"/>
    <n v="45.905000000000001"/>
    <n v="0"/>
    <n v="24.869600000000002"/>
    <n v="0"/>
    <n v="0"/>
    <n v="0"/>
    <n v="0"/>
    <n v="0"/>
    <n v="0"/>
    <n v="0"/>
    <n v="0"/>
    <n v="0"/>
    <n v="0"/>
    <n v="0"/>
    <n v="40.795000000000002"/>
    <n v="0"/>
    <n v="0"/>
    <n v="0"/>
    <n v="0"/>
    <n v="0"/>
    <n v="0"/>
    <n v="40.795000000000002"/>
    <n v="40.795000000000002"/>
    <n v="0"/>
    <n v="40.795000000000002"/>
    <n v="40.795000000000002"/>
    <n v="0"/>
    <n v="45.905000000000001"/>
    <n v="0"/>
    <n v="0"/>
    <n v="0"/>
    <n v="0"/>
    <n v="45.905000000000001"/>
    <n v="45.905000000000001"/>
    <n v="0"/>
    <n v="0"/>
    <n v="0"/>
    <n v="0"/>
    <n v="45.905000000000001"/>
    <n v="0"/>
    <n v="0"/>
    <n v="0"/>
    <n v="0"/>
    <n v="0"/>
    <n v="0"/>
    <n v="0"/>
    <m/>
    <m/>
    <m/>
    <m/>
    <m/>
    <m/>
    <m/>
    <m/>
    <m/>
    <s v="1"/>
    <s v="1"/>
    <s v="1"/>
    <s v="1"/>
    <s v="0"/>
    <m/>
    <m/>
    <m/>
    <m/>
    <m/>
    <m/>
    <m/>
    <m/>
    <m/>
    <m/>
    <m/>
    <m/>
    <m/>
    <m/>
  </r>
  <r>
    <n v="742"/>
    <d v="2024-11-20T00:00:00"/>
    <s v="ZBTO"/>
    <n v="9518273811"/>
    <n v="5"/>
    <s v="9518273811-5"/>
    <m/>
    <s v="Jan'25"/>
    <s v="Released orders"/>
    <x v="1"/>
    <x v="1"/>
    <s v="2000-BPRS"/>
    <m/>
    <x v="0"/>
    <s v="Mar"/>
    <m/>
    <m/>
    <s v="East"/>
    <s v="WEST BOKARO"/>
    <m/>
    <n v="185794"/>
    <s v="Shree Bajrang Steel Udyog"/>
    <n v="3239554"/>
    <s v="CRCA SHEET TATCRC SR16 0.400X1000X2500"/>
    <m/>
    <s v=""/>
    <n v="2.8"/>
    <n v="3.2"/>
    <s v="Narrow"/>
    <s v="C06"/>
    <s v="TATCRC"/>
    <s v="SR16"/>
    <n v="0.4"/>
    <n v="1000"/>
    <n v="2500"/>
    <n v="46"/>
    <n v="14.615"/>
    <n v="31.385000000000002"/>
    <n v="31.385000000000002"/>
    <n v="0"/>
    <n v="31.385000000000002"/>
    <m/>
    <m/>
    <n v="31.385000000000002"/>
    <n v="31.385000000000002"/>
    <n v="0"/>
    <n v="35.1512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s v="Planning delay"/>
    <m/>
    <m/>
    <m/>
    <m/>
    <m/>
    <m/>
    <m/>
    <m/>
  </r>
  <r>
    <n v="742"/>
    <d v="2024-12-16T00:00:00"/>
    <s v="ZBTO"/>
    <n v="9518347105"/>
    <n v="2"/>
    <s v="9518347105-2"/>
    <m/>
    <s v="No Priority"/>
    <s v="Released orders"/>
    <x v="1"/>
    <x v="1"/>
    <s v="2000-BPRS"/>
    <m/>
    <x v="1"/>
    <m/>
    <m/>
    <m/>
    <s v="East"/>
    <s v="HOWRAH"/>
    <m/>
    <n v="925093"/>
    <s v="PSPL STEEL PROCESSORS PRIVATE LIMIT"/>
    <n v="3446127"/>
    <s v="CRCA SHEET TATCRC SR16 0.330X900X2500"/>
    <m/>
    <s v=""/>
    <n v="0"/>
    <n v="0"/>
    <s v="Narrow"/>
    <s v="C06"/>
    <s v="TATCRC"/>
    <s v="SR16"/>
    <n v="0.33"/>
    <n v="900"/>
    <n v="2500"/>
    <n v="21"/>
    <n v="18.844999999999999"/>
    <n v="18.22"/>
    <n v="18.22"/>
    <n v="20.329999999999998"/>
    <n v="0"/>
    <m/>
    <n v="0"/>
    <n v="18.22"/>
    <n v="2.1549999999999998"/>
    <n v="0"/>
    <n v="-2.3632000000000035"/>
    <n v="0"/>
    <n v="0"/>
    <n v="0"/>
    <n v="0"/>
    <n v="0"/>
    <n v="0"/>
    <n v="0"/>
    <n v="0"/>
    <n v="0"/>
    <n v="0"/>
    <n v="0"/>
    <n v="20.330000000000002"/>
    <n v="0"/>
    <n v="0"/>
    <n v="0"/>
    <n v="0"/>
    <n v="0"/>
    <n v="0"/>
    <n v="20.330000000000002"/>
    <n v="20.330000000000002"/>
    <n v="0"/>
    <n v="20.330000000000002"/>
    <n v="20.329999999999998"/>
    <n v="0"/>
    <n v="0"/>
    <n v="0"/>
    <n v="0"/>
    <n v="0"/>
    <n v="0"/>
    <n v="0"/>
    <n v="0"/>
    <n v="0"/>
    <n v="0"/>
    <n v="0"/>
    <n v="0"/>
    <n v="0"/>
    <n v="0"/>
    <n v="0"/>
    <n v="0"/>
    <n v="0"/>
    <n v="0"/>
    <n v="0"/>
    <n v="0"/>
    <m/>
    <m/>
    <m/>
    <m/>
    <m/>
    <m/>
    <m/>
    <m/>
    <m/>
    <s v="1"/>
    <s v="1"/>
    <s v="1"/>
    <s v="1"/>
    <s v="1"/>
    <m/>
    <m/>
    <m/>
    <m/>
    <m/>
    <m/>
    <m/>
    <m/>
    <m/>
    <m/>
    <m/>
    <m/>
    <m/>
    <m/>
  </r>
  <r>
    <n v="744"/>
    <d v="2024-12-14T00:00:00"/>
    <s v="ZBTO"/>
    <n v="9518344142"/>
    <n v="1"/>
    <s v="9518344142-1"/>
    <m/>
    <s v="Mar'25 additional"/>
    <s v="Released orders"/>
    <x v="4"/>
    <x v="7"/>
    <s v="1000-IPPE"/>
    <m/>
    <x v="0"/>
    <m/>
    <m/>
    <m/>
    <s v="TBSPL"/>
    <s v=" "/>
    <m/>
    <n v="941597"/>
    <s v="TATA BLUESCOPE STEEL PRIVATE LIMITE"/>
    <n v="3876034"/>
    <s v="PPGL C SOFT Y300PL SPL8 0.320X1220"/>
    <n v="150"/>
    <s v="SUPREME MAROON TSL 283"/>
    <n v="3"/>
    <n v="5"/>
    <s v="Wider"/>
    <s v="B17"/>
    <s v="Y300PL"/>
    <s v="SPL8"/>
    <n v="0.32"/>
    <n v="1220"/>
    <n v="0"/>
    <n v="28"/>
    <n v="5.14"/>
    <n v="22.86"/>
    <n v="22.86"/>
    <n v="14.51"/>
    <n v="0"/>
    <m/>
    <n v="14.51"/>
    <n v="0"/>
    <n v="22.86"/>
    <n v="0"/>
    <n v="0"/>
    <n v="0"/>
    <n v="0"/>
    <n v="0"/>
    <n v="0"/>
    <n v="0"/>
    <n v="0"/>
    <n v="3.6"/>
    <n v="0"/>
    <n v="10.91"/>
    <n v="0"/>
    <n v="0"/>
    <n v="0"/>
    <n v="0"/>
    <n v="0"/>
    <n v="0"/>
    <n v="0"/>
    <n v="0"/>
    <n v="0"/>
    <n v="14.51"/>
    <n v="14.51"/>
    <n v="0"/>
    <n v="14.51"/>
    <n v="0"/>
    <n v="0"/>
    <n v="0"/>
    <n v="0"/>
    <n v="0"/>
    <n v="0"/>
    <n v="0"/>
    <n v="0"/>
    <n v="0"/>
    <n v="0"/>
    <n v="0"/>
    <n v="0"/>
    <n v="0"/>
    <n v="0"/>
    <n v="0"/>
    <n v="0"/>
    <n v="0"/>
    <n v="0"/>
    <n v="0"/>
    <n v="0"/>
    <n v="0"/>
    <m/>
    <m/>
    <m/>
    <m/>
    <m/>
    <m/>
    <m/>
    <m/>
    <m/>
    <s v="1"/>
    <s v="1"/>
    <s v="1"/>
    <s v="1"/>
    <s v="1"/>
    <m/>
    <m/>
    <m/>
    <m/>
    <m/>
    <s v="Material diverted &amp; partial process delay"/>
    <m/>
    <m/>
    <m/>
    <m/>
    <m/>
    <m/>
    <m/>
    <m/>
  </r>
  <r>
    <n v="742"/>
    <d v="2024-12-16T00:00:00"/>
    <s v="ZBTO"/>
    <n v="9518347105"/>
    <n v="4"/>
    <s v="9518347105-4"/>
    <m/>
    <s v="No Priority"/>
    <s v="Released orders"/>
    <x v="1"/>
    <x v="1"/>
    <s v="2000-BPRS"/>
    <m/>
    <x v="1"/>
    <m/>
    <m/>
    <m/>
    <s v="East"/>
    <s v="HOWRAH"/>
    <m/>
    <n v="925093"/>
    <s v="PSPL STEEL PROCESSORS PRIVATE LIMIT"/>
    <n v="3240760"/>
    <s v="CRCA SHEET TSBCRC SR15 0.500X1000X2500"/>
    <m/>
    <s v=""/>
    <n v="0"/>
    <n v="0"/>
    <s v="Narrow"/>
    <s v="C06"/>
    <s v="TSBCRC"/>
    <s v="SR15"/>
    <n v="0.5"/>
    <n v="1000"/>
    <n v="2500"/>
    <n v="23"/>
    <n v="22.83"/>
    <n v="20.385000000000002"/>
    <n v="20.385000000000002"/>
    <n v="22.19"/>
    <n v="0"/>
    <m/>
    <n v="0"/>
    <n v="20.385000000000002"/>
    <n v="0"/>
    <n v="0"/>
    <n v="-2.0215999999999998"/>
    <n v="0"/>
    <n v="0"/>
    <n v="0"/>
    <n v="0"/>
    <n v="0"/>
    <n v="0"/>
    <n v="0"/>
    <n v="0"/>
    <n v="0"/>
    <n v="0"/>
    <n v="0"/>
    <n v="22.19"/>
    <n v="0"/>
    <n v="0"/>
    <n v="0"/>
    <n v="0"/>
    <n v="0"/>
    <n v="0"/>
    <n v="22.19"/>
    <n v="22.19"/>
    <n v="0"/>
    <n v="22.19"/>
    <n v="22.19"/>
    <n v="0"/>
    <n v="0"/>
    <n v="0"/>
    <n v="0"/>
    <n v="0"/>
    <n v="0"/>
    <n v="0"/>
    <n v="0"/>
    <n v="0"/>
    <n v="0"/>
    <n v="0"/>
    <n v="0"/>
    <n v="0"/>
    <n v="0"/>
    <n v="0"/>
    <n v="0"/>
    <n v="0"/>
    <n v="0"/>
    <n v="0"/>
    <n v="0"/>
    <m/>
    <m/>
    <m/>
    <m/>
    <m/>
    <m/>
    <m/>
    <m/>
    <m/>
    <s v="1"/>
    <s v="1"/>
    <s v="1"/>
    <s v="1"/>
    <s v="1"/>
    <m/>
    <m/>
    <m/>
    <m/>
    <m/>
    <m/>
    <m/>
    <m/>
    <m/>
    <m/>
    <m/>
    <m/>
    <m/>
    <m/>
  </r>
  <r>
    <n v="743"/>
    <d v="2024-12-06T00:00:00"/>
    <s v="ZBTO"/>
    <n v="9518323977"/>
    <n v="3"/>
    <s v="9518323977-3"/>
    <m/>
    <s v="Stocks"/>
    <s v="Released orders"/>
    <x v="2"/>
    <x v="10"/>
    <s v="2000-BPRS"/>
    <m/>
    <x v="0"/>
    <m/>
    <m/>
    <m/>
    <s v="East"/>
    <s v="GAUHATI"/>
    <m/>
    <n v="103671"/>
    <s v="BAJRANG STEEL (SALES) CORPORATION"/>
    <n v="3777535"/>
    <s v="GP COIL TATGPH GP02 0.400X900"/>
    <m/>
    <s v=""/>
    <n v="1"/>
    <n v="5"/>
    <s v="Narrow"/>
    <s v="C05"/>
    <s v="TATGPH"/>
    <s v="GP02"/>
    <n v="0.4"/>
    <n v="900"/>
    <n v="0"/>
    <n v="42"/>
    <n v="40.43"/>
    <n v="21.754999999999999"/>
    <n v="5.6349999999999998"/>
    <n v="4.1050000000000004"/>
    <n v="0"/>
    <m/>
    <m/>
    <n v="0"/>
    <n v="1.57"/>
    <n v="0"/>
    <n v="0"/>
    <n v="0"/>
    <n v="0"/>
    <n v="0"/>
    <n v="0"/>
    <n v="0"/>
    <n v="19.52"/>
    <n v="0"/>
    <n v="0"/>
    <n v="0"/>
    <n v="0"/>
    <n v="0"/>
    <n v="0"/>
    <n v="0"/>
    <n v="0"/>
    <n v="0"/>
    <n v="0"/>
    <n v="0"/>
    <n v="0"/>
    <n v="19.52"/>
    <n v="19.52"/>
    <n v="0"/>
    <n v="19.52"/>
    <n v="4.1050000000000004"/>
    <n v="3.84"/>
    <n v="0"/>
    <n v="0"/>
    <n v="0"/>
    <n v="0"/>
    <n v="0"/>
    <n v="0"/>
    <n v="3.84"/>
    <n v="3.84"/>
    <n v="0"/>
    <n v="0"/>
    <n v="0"/>
    <n v="0"/>
    <n v="0"/>
    <n v="0"/>
    <n v="0"/>
    <n v="0"/>
    <n v="0"/>
    <n v="0"/>
    <n v="0"/>
    <m/>
    <m/>
    <m/>
    <m/>
    <m/>
    <m/>
    <m/>
    <m/>
    <m/>
    <s v="1"/>
    <s v="1"/>
    <s v="1"/>
    <s v="1"/>
    <s v="1"/>
    <m/>
    <m/>
    <m/>
    <m/>
    <m/>
    <m/>
    <m/>
    <m/>
    <m/>
    <m/>
    <m/>
    <m/>
    <m/>
    <m/>
  </r>
  <r>
    <n v="742"/>
    <d v="2024-12-12T00:00:00"/>
    <s v="ZBTO"/>
    <n v="9518338673"/>
    <n v="2"/>
    <s v="9518338673-2"/>
    <m/>
    <s v="No Priority"/>
    <s v="Released orders"/>
    <x v="1"/>
    <x v="3"/>
    <s v="2000-BPRS"/>
    <m/>
    <x v="1"/>
    <m/>
    <m/>
    <m/>
    <s v="North"/>
    <s v="LONI"/>
    <m/>
    <n v="123052"/>
    <s v="G R GUPTA &amp; BROS"/>
    <n v="185675"/>
    <s v="CRCA COIL-TATXXD-AU03-0.5X1250"/>
    <m/>
    <s v=""/>
    <n v="10"/>
    <n v="30"/>
    <s v="Wider"/>
    <s v="C01"/>
    <s v="TATXXD"/>
    <s v="AU03"/>
    <n v="0.5"/>
    <n v="1250"/>
    <n v="0"/>
    <n v="145"/>
    <n v="138.49"/>
    <n v="17.489999999999998"/>
    <n v="17.489999999999998"/>
    <n v="27.67"/>
    <n v="0"/>
    <m/>
    <n v="0"/>
    <n v="17.489999999999998"/>
    <n v="6.51"/>
    <n v="0"/>
    <n v="0"/>
    <n v="0"/>
    <n v="0"/>
    <n v="0"/>
    <n v="0"/>
    <n v="0"/>
    <n v="0"/>
    <n v="0"/>
    <n v="0"/>
    <n v="0"/>
    <n v="0"/>
    <n v="0"/>
    <n v="27.67"/>
    <n v="0"/>
    <n v="0"/>
    <n v="0"/>
    <n v="0"/>
    <n v="0"/>
    <n v="0"/>
    <n v="27.67"/>
    <n v="27.67"/>
    <n v="0"/>
    <n v="27.67"/>
    <n v="27.67"/>
    <n v="0"/>
    <n v="0"/>
    <n v="0"/>
    <n v="0"/>
    <n v="0"/>
    <n v="0"/>
    <n v="0"/>
    <n v="0"/>
    <n v="0"/>
    <n v="0"/>
    <n v="0"/>
    <n v="0"/>
    <n v="0"/>
    <n v="0"/>
    <n v="0"/>
    <n v="0"/>
    <n v="0"/>
    <n v="0"/>
    <n v="0"/>
    <n v="0"/>
    <m/>
    <m/>
    <m/>
    <m/>
    <m/>
    <m/>
    <m/>
    <m/>
    <m/>
    <s v="1"/>
    <s v="1"/>
    <s v="1"/>
    <s v="1"/>
    <s v="1"/>
    <m/>
    <m/>
    <m/>
    <m/>
    <m/>
    <m/>
    <m/>
    <m/>
    <m/>
    <m/>
    <m/>
    <m/>
    <m/>
    <m/>
  </r>
  <r>
    <n v="742"/>
    <d v="2024-12-12T00:00:00"/>
    <s v="ZBTO"/>
    <n v="9518338670"/>
    <n v="1"/>
    <s v="9518338670-1"/>
    <m/>
    <s v="Stocks"/>
    <s v="Released orders"/>
    <x v="1"/>
    <x v="3"/>
    <s v="2000-BPRS"/>
    <m/>
    <x v="0"/>
    <s v="Mar"/>
    <s v="Low exp BTF"/>
    <m/>
    <s v="North"/>
    <s v="LONI"/>
    <m/>
    <n v="123052"/>
    <s v="G R GUPTA &amp; BROS"/>
    <n v="1804772"/>
    <s v="CRCA COIL TATXXD AU03 0.4X1250"/>
    <m/>
    <s v=""/>
    <n v="10"/>
    <n v="30"/>
    <s v="Wider"/>
    <s v="C01"/>
    <s v="TATXXD"/>
    <s v="AU03"/>
    <n v="0.4"/>
    <n v="1250"/>
    <n v="0"/>
    <n v="58"/>
    <n v="49.914999999999999"/>
    <n v="58"/>
    <n v="45.064999999999998"/>
    <n v="39.99"/>
    <n v="0"/>
    <m/>
    <n v="26.93"/>
    <n v="4.3500000000000014"/>
    <n v="8.0850000000000009"/>
    <n v="0"/>
    <n v="0"/>
    <n v="0"/>
    <n v="0"/>
    <n v="0"/>
    <n v="0"/>
    <n v="0"/>
    <n v="0"/>
    <n v="0"/>
    <n v="0"/>
    <n v="0"/>
    <n v="0"/>
    <n v="0"/>
    <n v="26.72"/>
    <n v="26.93"/>
    <n v="0"/>
    <n v="0"/>
    <n v="0"/>
    <n v="0"/>
    <n v="0"/>
    <n v="53.65"/>
    <n v="53.65"/>
    <n v="0"/>
    <n v="53.65"/>
    <n v="13.060000000000002"/>
    <n v="24.31"/>
    <n v="0"/>
    <n v="0"/>
    <n v="0"/>
    <n v="0"/>
    <n v="0"/>
    <n v="0"/>
    <n v="24.31"/>
    <n v="24.31"/>
    <n v="0"/>
    <n v="0"/>
    <n v="0"/>
    <n v="0"/>
    <n v="0"/>
    <n v="0"/>
    <n v="0"/>
    <n v="0"/>
    <n v="0"/>
    <n v="0"/>
    <n v="0"/>
    <m/>
    <m/>
    <m/>
    <m/>
    <m/>
    <m/>
    <m/>
    <m/>
    <m/>
    <s v="1"/>
    <s v="1"/>
    <s v="1"/>
    <s v="1"/>
    <s v="1"/>
    <m/>
    <m/>
    <m/>
    <m/>
    <m/>
    <m/>
    <m/>
    <m/>
    <m/>
    <m/>
    <m/>
    <m/>
    <m/>
    <m/>
  </r>
  <r>
    <n v="742"/>
    <d v="2024-12-12T00:00:00"/>
    <s v="ZBTO"/>
    <n v="9518338673"/>
    <n v="1"/>
    <s v="9518338673-1"/>
    <m/>
    <s v="Mar'25 additional"/>
    <s v="Released orders"/>
    <x v="1"/>
    <x v="3"/>
    <s v="2000-BPRS"/>
    <m/>
    <x v="0"/>
    <s v="Mar"/>
    <m/>
    <m/>
    <s v="North"/>
    <s v="LONI"/>
    <m/>
    <n v="123052"/>
    <s v="G R GUPTA &amp; BROS"/>
    <n v="1804772"/>
    <s v="CRCA COIL TATXXD AU03 0.4X1250"/>
    <m/>
    <s v=""/>
    <n v="10"/>
    <n v="30"/>
    <s v="Wider"/>
    <s v="C01"/>
    <s v="TATXXD"/>
    <s v="AU03"/>
    <n v="0.4"/>
    <n v="1250"/>
    <n v="0"/>
    <n v="116"/>
    <n v="97.02"/>
    <n v="69.02"/>
    <n v="43.84"/>
    <n v="31.38"/>
    <n v="0"/>
    <m/>
    <n v="30.45"/>
    <n v="10.919999999999995"/>
    <n v="18.98"/>
    <n v="0"/>
    <n v="0"/>
    <n v="0"/>
    <n v="0"/>
    <n v="0"/>
    <n v="0"/>
    <n v="0"/>
    <n v="0"/>
    <n v="0"/>
    <n v="0"/>
    <n v="0"/>
    <n v="27.650000000000002"/>
    <n v="0"/>
    <n v="0"/>
    <n v="27.48"/>
    <n v="2.97"/>
    <n v="0"/>
    <n v="0"/>
    <n v="0"/>
    <n v="0"/>
    <n v="58.1"/>
    <n v="58.1"/>
    <n v="0"/>
    <n v="58.1"/>
    <n v="0.92999999999999972"/>
    <n v="24.86"/>
    <n v="0"/>
    <n v="0"/>
    <n v="0"/>
    <n v="0"/>
    <n v="0"/>
    <n v="0"/>
    <n v="24.86"/>
    <n v="0"/>
    <n v="24.86"/>
    <n v="0"/>
    <n v="0"/>
    <n v="0"/>
    <n v="0"/>
    <n v="0"/>
    <n v="0"/>
    <n v="0"/>
    <n v="0"/>
    <n v="0"/>
    <n v="0"/>
    <m/>
    <m/>
    <m/>
    <m/>
    <m/>
    <m/>
    <m/>
    <m/>
    <m/>
    <s v="1"/>
    <s v="1"/>
    <s v="1"/>
    <s v="1"/>
    <s v="1"/>
    <m/>
    <m/>
    <m/>
    <m/>
    <m/>
    <m/>
    <m/>
    <m/>
    <m/>
    <m/>
    <m/>
    <m/>
    <m/>
    <m/>
  </r>
  <r>
    <n v="742"/>
    <d v="2024-10-25T00:00:00"/>
    <s v="ZBTO"/>
    <n v="9518209377"/>
    <n v="3"/>
    <s v="9518209377-3"/>
    <m/>
    <s v="Mar'25"/>
    <s v="Released orders"/>
    <x v="1"/>
    <x v="3"/>
    <s v="2000-BPRS"/>
    <n v="6000"/>
    <x v="0"/>
    <s v="Mar"/>
    <m/>
    <m/>
    <m/>
    <s v="ZOSOLA"/>
    <m/>
    <n v="101499"/>
    <s v="G.R. GUPTA &amp; BROS."/>
    <n v="1800890"/>
    <s v="CRCA COIL-TATXXD-AU03-0.35X1250"/>
    <s v=" "/>
    <s v=""/>
    <n v="10"/>
    <n v="30"/>
    <s v="Wider"/>
    <s v="C01"/>
    <s v="TATXXD"/>
    <s v="AU03"/>
    <n v="0.35"/>
    <n v="1250"/>
    <n v="0"/>
    <n v="86.998999999999995"/>
    <n v="63.31"/>
    <n v="23.689"/>
    <n v="23.689"/>
    <n v="0"/>
    <n v="23.689"/>
    <n v="23.689"/>
    <m/>
    <n v="23.689"/>
    <n v="23.689"/>
    <n v="0"/>
    <n v="26.531680000000001"/>
    <n v="0"/>
    <n v="0"/>
    <n v="0"/>
    <n v="0"/>
    <n v="0"/>
    <n v="0"/>
    <n v="0"/>
    <n v="0"/>
    <n v="0"/>
    <n v="0"/>
    <n v="0"/>
    <n v="0"/>
    <n v="0"/>
    <n v="0"/>
    <n v="0"/>
    <n v="0"/>
    <n v="0"/>
    <n v="0"/>
    <n v="0"/>
    <n v="0"/>
    <n v="0"/>
    <n v="0"/>
    <n v="0"/>
    <n v="0"/>
    <n v="23.689"/>
    <n v="0"/>
    <n v="0"/>
    <n v="0"/>
    <n v="23.689"/>
    <n v="0"/>
    <n v="23.689"/>
    <n v="0"/>
    <n v="0"/>
    <n v="0"/>
    <n v="23.689"/>
    <n v="0"/>
    <n v="0"/>
    <m/>
    <m/>
    <m/>
    <m/>
    <m/>
    <m/>
    <m/>
    <m/>
    <m/>
    <m/>
    <m/>
    <m/>
    <m/>
    <m/>
    <m/>
    <m/>
    <m/>
    <m/>
    <m/>
    <m/>
    <m/>
    <m/>
    <m/>
    <m/>
    <m/>
    <m/>
    <m/>
    <m/>
    <m/>
    <m/>
    <m/>
    <m/>
    <m/>
    <m/>
  </r>
  <r>
    <n v="742"/>
    <d v="2024-12-17T00:00:00"/>
    <s v="ZBTO"/>
    <n v="9518351207"/>
    <n v="3"/>
    <s v="9518351207-3"/>
    <m/>
    <s v="No Priority"/>
    <s v="Released orders"/>
    <x v="1"/>
    <x v="5"/>
    <s v="1000-IPPE"/>
    <m/>
    <x v="1"/>
    <m/>
    <m/>
    <m/>
    <s v="North"/>
    <s v="FARIDABAD"/>
    <m/>
    <n v="189430"/>
    <s v="Balmer Lawrie &amp; Co. Ltd.,"/>
    <n v="2164800"/>
    <s v="CRCA COIL TATXXD BT02 0.970X913"/>
    <m/>
    <s v=""/>
    <n v="7"/>
    <n v="10"/>
    <s v="Narrow"/>
    <s v="C01"/>
    <s v="TATXXD"/>
    <s v="BT02"/>
    <n v="0.97"/>
    <n v="913"/>
    <n v="0"/>
    <n v="294"/>
    <n v="241.85499999999999"/>
    <n v="52.145000000000003"/>
    <n v="0"/>
    <n v="37.78"/>
    <n v="0"/>
    <m/>
    <n v="0"/>
    <n v="0"/>
    <n v="0"/>
    <n v="0"/>
    <n v="0"/>
    <n v="0"/>
    <n v="0"/>
    <n v="0"/>
    <n v="0"/>
    <n v="0"/>
    <n v="0"/>
    <n v="0"/>
    <n v="0"/>
    <n v="0"/>
    <n v="0"/>
    <n v="20.53"/>
    <n v="17.25"/>
    <n v="0"/>
    <n v="0"/>
    <n v="0"/>
    <n v="0"/>
    <n v="0"/>
    <n v="0"/>
    <n v="37.78"/>
    <n v="37.78"/>
    <n v="0"/>
    <n v="37.78"/>
    <n v="37.78"/>
    <n v="0"/>
    <n v="0"/>
    <n v="0"/>
    <n v="0"/>
    <n v="0"/>
    <n v="0"/>
    <n v="0"/>
    <n v="0"/>
    <n v="0"/>
    <n v="0"/>
    <n v="0"/>
    <n v="0"/>
    <n v="0"/>
    <n v="0"/>
    <n v="0"/>
    <n v="0"/>
    <n v="0"/>
    <n v="0"/>
    <n v="0"/>
    <n v="0"/>
    <m/>
    <m/>
    <m/>
    <m/>
    <m/>
    <m/>
    <m/>
    <m/>
    <m/>
    <s v="1"/>
    <s v="1"/>
    <s v="1"/>
    <s v="1"/>
    <s v="1"/>
    <m/>
    <m/>
    <m/>
    <m/>
    <m/>
    <m/>
    <m/>
    <m/>
    <m/>
    <m/>
    <m/>
    <m/>
    <m/>
    <m/>
  </r>
  <r>
    <n v="742"/>
    <d v="2024-12-19T00:00:00"/>
    <s v="ZBTF"/>
    <n v="9518357124"/>
    <n v="1"/>
    <s v="9518357124-1"/>
    <m/>
    <s v="Jan'25"/>
    <s v="Released orders"/>
    <x v="1"/>
    <x v="9"/>
    <s v="2000-BPRS"/>
    <m/>
    <x v="0"/>
    <m/>
    <m/>
    <m/>
    <s v="South"/>
    <s v="YESHWANTHPURA"/>
    <m/>
    <n v="600103"/>
    <s v="TATA STEEL LIMITED"/>
    <n v="3820031"/>
    <s v="CR COIL TATXHS BR45 1.600X1300"/>
    <m/>
    <s v=""/>
    <n v="10"/>
    <n v="27"/>
    <s v="Wider"/>
    <s v="C01"/>
    <s v="TATXHS"/>
    <s v="BR45"/>
    <n v="1.6"/>
    <n v="1300"/>
    <n v="0"/>
    <n v="90"/>
    <n v="39.24"/>
    <n v="50.76"/>
    <n v="50.76"/>
    <n v="0"/>
    <n v="50.76"/>
    <n v="51"/>
    <m/>
    <n v="50.76"/>
    <n v="50.76"/>
    <n v="0"/>
    <n v="56.851200000000006"/>
    <n v="0"/>
    <n v="0"/>
    <n v="0"/>
    <n v="0"/>
    <n v="0"/>
    <n v="0"/>
    <n v="0"/>
    <n v="0"/>
    <n v="0"/>
    <n v="0"/>
    <n v="0"/>
    <n v="0"/>
    <n v="0"/>
    <n v="0"/>
    <n v="0"/>
    <n v="0"/>
    <n v="0"/>
    <n v="0"/>
    <n v="0"/>
    <n v="0"/>
    <n v="0"/>
    <n v="0"/>
    <n v="0"/>
    <n v="0"/>
    <n v="50.76"/>
    <n v="0"/>
    <n v="0"/>
    <n v="0"/>
    <n v="0"/>
    <n v="50.76"/>
    <n v="50.76"/>
    <n v="0"/>
    <n v="0"/>
    <n v="0"/>
    <n v="0"/>
    <n v="50.76"/>
    <n v="0"/>
    <n v="0"/>
    <n v="0"/>
    <n v="0"/>
    <n v="0"/>
    <n v="0"/>
    <n v="0"/>
    <m/>
    <m/>
    <m/>
    <m/>
    <m/>
    <m/>
    <m/>
    <m/>
    <m/>
    <s v="1"/>
    <s v="1"/>
    <s v="1"/>
    <s v="1"/>
    <s v="0"/>
    <m/>
    <m/>
    <m/>
    <m/>
    <m/>
    <m/>
    <m/>
    <m/>
    <m/>
    <m/>
    <m/>
    <m/>
    <m/>
    <m/>
  </r>
  <r>
    <n v="742"/>
    <d v="2024-12-19T00:00:00"/>
    <s v="ZBTF"/>
    <n v="9518357124"/>
    <n v="2"/>
    <s v="9518357124-2"/>
    <m/>
    <s v="Jan'25"/>
    <s v="Released orders"/>
    <x v="1"/>
    <x v="9"/>
    <s v="2000-BPRS"/>
    <m/>
    <x v="0"/>
    <m/>
    <m/>
    <m/>
    <s v="South"/>
    <s v="YESHWANTHPURA"/>
    <m/>
    <n v="600103"/>
    <s v="TATA STEEL LIMITED"/>
    <n v="3820032"/>
    <s v="CR COIL TATXHS BR45 2X1300"/>
    <m/>
    <s v=""/>
    <n v="10"/>
    <n v="27"/>
    <s v="Wider"/>
    <s v="C01"/>
    <s v="TATXHS"/>
    <s v="BR45"/>
    <n v="2"/>
    <n v="1300"/>
    <n v="0"/>
    <n v="150"/>
    <n v="24.17"/>
    <n v="125.83"/>
    <n v="125.83"/>
    <n v="141.78"/>
    <n v="0"/>
    <m/>
    <n v="0"/>
    <n v="125.83"/>
    <n v="125.83"/>
    <n v="0"/>
    <n v="140.92960000000002"/>
    <n v="0"/>
    <n v="0"/>
    <n v="0"/>
    <n v="0"/>
    <n v="0"/>
    <n v="0"/>
    <n v="0"/>
    <n v="0"/>
    <n v="0"/>
    <n v="0"/>
    <n v="0"/>
    <n v="0"/>
    <n v="0"/>
    <n v="0"/>
    <n v="0"/>
    <n v="0"/>
    <n v="0"/>
    <n v="0"/>
    <n v="0"/>
    <n v="0"/>
    <n v="0"/>
    <n v="0"/>
    <n v="141.78"/>
    <n v="0"/>
    <n v="125.83"/>
    <n v="0"/>
    <n v="0"/>
    <n v="125.83"/>
    <n v="0"/>
    <n v="0"/>
    <n v="125.83"/>
    <n v="0"/>
    <n v="0"/>
    <n v="125.83"/>
    <n v="0"/>
    <n v="0"/>
    <n v="0"/>
    <n v="0"/>
    <n v="0"/>
    <n v="0"/>
    <n v="0"/>
    <n v="0"/>
    <n v="0"/>
    <m/>
    <m/>
    <m/>
    <m/>
    <m/>
    <m/>
    <m/>
    <m/>
    <m/>
    <s v="1"/>
    <s v="1"/>
    <s v="0"/>
    <s v="1"/>
    <s v="1"/>
    <m/>
    <m/>
    <m/>
    <m/>
    <m/>
    <m/>
    <m/>
    <m/>
    <m/>
    <m/>
    <m/>
    <m/>
    <m/>
    <m/>
  </r>
  <r>
    <n v="742"/>
    <d v="2024-12-19T00:00:00"/>
    <s v="ZBTF"/>
    <n v="9518357124"/>
    <n v="3"/>
    <s v="9518357124-3"/>
    <m/>
    <s v="Stocks"/>
    <s v="Released orders"/>
    <x v="1"/>
    <x v="9"/>
    <s v="2000-BPRS"/>
    <m/>
    <x v="0"/>
    <m/>
    <m/>
    <m/>
    <s v="South"/>
    <s v="YESHWANTHPURA"/>
    <m/>
    <n v="600103"/>
    <s v="TATA STEEL LIMITED"/>
    <n v="2279476"/>
    <s v="CRCA COIL TSBHSQ TU99 1.400X1270"/>
    <m/>
    <s v=""/>
    <n v="10"/>
    <n v="27"/>
    <s v="Wider"/>
    <s v="C01"/>
    <s v="TSBHSQ"/>
    <s v="TU99"/>
    <n v="1.4"/>
    <n v="1270"/>
    <n v="0"/>
    <n v="58"/>
    <n v="53.15"/>
    <n v="58"/>
    <n v="58"/>
    <n v="55.02"/>
    <n v="0"/>
    <m/>
    <n v="0"/>
    <n v="58"/>
    <n v="4.8499999999999996"/>
    <n v="0"/>
    <n v="0"/>
    <n v="0"/>
    <n v="0"/>
    <n v="0"/>
    <n v="0"/>
    <n v="0"/>
    <n v="0"/>
    <n v="0"/>
    <n v="0"/>
    <n v="0"/>
    <n v="0"/>
    <n v="0"/>
    <n v="55.02"/>
    <n v="0"/>
    <n v="0"/>
    <n v="0"/>
    <n v="0"/>
    <n v="0"/>
    <n v="0"/>
    <n v="55.02"/>
    <n v="55.02"/>
    <n v="0"/>
    <n v="55.02"/>
    <n v="55.02"/>
    <n v="53.15"/>
    <n v="0"/>
    <n v="0"/>
    <n v="0"/>
    <n v="0"/>
    <n v="0"/>
    <n v="0"/>
    <n v="53.15"/>
    <n v="53.15"/>
    <n v="0"/>
    <n v="0"/>
    <n v="0"/>
    <n v="0"/>
    <n v="0"/>
    <n v="0"/>
    <n v="0"/>
    <n v="0"/>
    <n v="0"/>
    <n v="0"/>
    <n v="0"/>
    <m/>
    <m/>
    <m/>
    <m/>
    <m/>
    <m/>
    <m/>
    <m/>
    <m/>
    <s v="1"/>
    <s v="1"/>
    <s v="1"/>
    <s v="1"/>
    <s v="1"/>
    <m/>
    <m/>
    <m/>
    <m/>
    <m/>
    <m/>
    <m/>
    <m/>
    <m/>
    <m/>
    <m/>
    <m/>
    <m/>
    <m/>
  </r>
  <r>
    <n v="742"/>
    <d v="2024-12-13T00:00:00"/>
    <s v="ZBTO"/>
    <n v="9518340627"/>
    <n v="4"/>
    <s v="9518340627-4"/>
    <m/>
    <s v="No Priority"/>
    <s v="Released orders"/>
    <x v="1"/>
    <x v="1"/>
    <s v="2000-BPRS"/>
    <m/>
    <x v="1"/>
    <m/>
    <m/>
    <m/>
    <s v="North"/>
    <s v="VARANASI"/>
    <m/>
    <n v="115841"/>
    <s v="O.V.S. ISPAT UDYOG"/>
    <n v="3765561"/>
    <s v="CRCA SHEET TSBCRC SR15 0.700X1000X1930"/>
    <m/>
    <s v=""/>
    <n v="0"/>
    <n v="0"/>
    <s v="Narrow"/>
    <s v="C06"/>
    <s v="TSBCRC"/>
    <s v="SR15"/>
    <n v="0.7"/>
    <n v="1000"/>
    <n v="1930"/>
    <n v="23"/>
    <n v="22.68"/>
    <n v="17.920000000000002"/>
    <n v="17.920000000000002"/>
    <n v="21.84"/>
    <n v="0"/>
    <m/>
    <n v="0"/>
    <n v="17.920000000000002"/>
    <n v="0"/>
    <n v="0"/>
    <n v="-4.3903999999999987"/>
    <n v="0"/>
    <n v="0"/>
    <n v="0"/>
    <n v="0"/>
    <n v="0"/>
    <n v="0"/>
    <n v="0"/>
    <n v="0"/>
    <n v="0"/>
    <n v="0"/>
    <n v="0"/>
    <n v="21.84"/>
    <n v="0"/>
    <n v="0"/>
    <n v="0"/>
    <n v="0"/>
    <n v="0"/>
    <n v="0"/>
    <n v="21.84"/>
    <n v="21.84"/>
    <n v="0"/>
    <n v="21.84"/>
    <n v="21.84"/>
    <n v="0"/>
    <n v="0"/>
    <n v="0"/>
    <n v="0"/>
    <n v="0"/>
    <n v="0"/>
    <n v="0"/>
    <n v="0"/>
    <n v="0"/>
    <n v="0"/>
    <n v="0"/>
    <n v="0"/>
    <n v="0"/>
    <n v="0"/>
    <n v="0"/>
    <n v="0"/>
    <n v="0"/>
    <n v="0"/>
    <n v="0"/>
    <n v="0"/>
    <m/>
    <m/>
    <m/>
    <m/>
    <m/>
    <m/>
    <m/>
    <m/>
    <m/>
    <s v="1"/>
    <s v="1"/>
    <s v="1"/>
    <s v="1"/>
    <s v="1"/>
    <m/>
    <m/>
    <m/>
    <m/>
    <m/>
    <m/>
    <m/>
    <m/>
    <m/>
    <m/>
    <m/>
    <m/>
    <m/>
    <m/>
  </r>
  <r>
    <n v="743"/>
    <d v="2025-02-13T00:00:00"/>
    <s v="ZBTO"/>
    <n v="9518516044"/>
    <n v="2"/>
    <s v="9518516044-2"/>
    <m/>
    <s v="No Priority"/>
    <s v="Released orders"/>
    <x v="2"/>
    <x v="2"/>
    <n v="2000"/>
    <m/>
    <x v="1"/>
    <m/>
    <m/>
    <s v="Uttar Pradesh"/>
    <m/>
    <m/>
    <m/>
    <n v="931235"/>
    <s v="K D J P STEELS PVT LTD"/>
    <n v="2399771"/>
    <s v="GP COIL SOFT TATXGP GK09 0.220X900"/>
    <n v="80"/>
    <s v=""/>
    <m/>
    <m/>
    <s v="Narrow"/>
    <s v="C02"/>
    <s v="TATXGP"/>
    <s v="GK09"/>
    <n v="0.22"/>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4-12-09T00:00:00"/>
    <s v="ZBTO"/>
    <n v="9518331392"/>
    <n v="1"/>
    <s v="9518331392-1"/>
    <m/>
    <s v="Mar'25"/>
    <s v="Released orders"/>
    <x v="1"/>
    <x v="1"/>
    <s v="2000-BPRS"/>
    <m/>
    <x v="0"/>
    <s v="Mar"/>
    <m/>
    <m/>
    <s v="South"/>
    <s v="VISHAKHAPATNAM"/>
    <m/>
    <n v="946077"/>
    <s v="SITARAM IRON AND STEEL PVT LTD"/>
    <n v="3239535"/>
    <s v="CRCA SHEET TATCRC SR16 0.350X900X2440"/>
    <m/>
    <s v=""/>
    <n v="0"/>
    <n v="0"/>
    <s v="Narrow"/>
    <s v="C06"/>
    <s v="TATCRC"/>
    <s v="SR16"/>
    <n v="0.35"/>
    <n v="900"/>
    <n v="2440"/>
    <n v="42"/>
    <n v="0"/>
    <n v="42"/>
    <n v="42"/>
    <n v="0"/>
    <n v="42"/>
    <m/>
    <m/>
    <n v="42"/>
    <n v="42"/>
    <n v="0"/>
    <n v="47.040000000000006"/>
    <n v="0"/>
    <n v="0"/>
    <n v="0"/>
    <n v="0"/>
    <n v="0"/>
    <n v="0"/>
    <n v="0"/>
    <n v="0"/>
    <n v="0"/>
    <n v="0"/>
    <n v="0"/>
    <n v="0"/>
    <n v="0"/>
    <n v="0"/>
    <n v="0"/>
    <n v="0"/>
    <n v="0"/>
    <n v="0"/>
    <n v="0"/>
    <n v="0"/>
    <n v="0"/>
    <n v="0"/>
    <n v="0"/>
    <n v="0"/>
    <n v="42"/>
    <n v="0"/>
    <n v="0"/>
    <n v="0"/>
    <n v="0"/>
    <n v="42"/>
    <n v="42"/>
    <n v="0"/>
    <n v="0"/>
    <n v="0"/>
    <n v="0"/>
    <n v="42"/>
    <n v="0"/>
    <n v="0"/>
    <n v="0"/>
    <n v="0"/>
    <n v="0"/>
    <n v="0"/>
    <n v="0"/>
    <m/>
    <m/>
    <m/>
    <m/>
    <m/>
    <m/>
    <m/>
    <m/>
    <m/>
    <s v="1"/>
    <s v="1"/>
    <s v="1"/>
    <s v="1"/>
    <s v="0"/>
    <m/>
    <m/>
    <m/>
    <m/>
    <m/>
    <m/>
    <m/>
    <m/>
    <m/>
    <m/>
    <m/>
    <m/>
    <m/>
    <m/>
  </r>
  <r>
    <n v="742"/>
    <d v="2024-12-09T00:00:00"/>
    <s v="ZBTO"/>
    <n v="9518331392"/>
    <n v="3"/>
    <s v="9518331392-3"/>
    <m/>
    <s v="Mar'25"/>
    <s v="Released orders"/>
    <x v="1"/>
    <x v="1"/>
    <s v="2000-BPRS"/>
    <m/>
    <x v="0"/>
    <s v="Mar"/>
    <m/>
    <m/>
    <s v="South"/>
    <s v="VISHAKHAPATNAM"/>
    <m/>
    <n v="946077"/>
    <s v="SITARAM IRON AND STEEL PVT LTD"/>
    <n v="3239549"/>
    <s v="CRCA SHEET TATCRC SR16 0.400X900X2440"/>
    <m/>
    <s v=""/>
    <n v="0"/>
    <n v="0"/>
    <s v="Narrow"/>
    <s v="C06"/>
    <s v="TATCRC"/>
    <s v="SR16"/>
    <n v="0.4"/>
    <n v="900"/>
    <n v="2440"/>
    <n v="42"/>
    <n v="0"/>
    <n v="42"/>
    <n v="42"/>
    <n v="0"/>
    <n v="42"/>
    <m/>
    <m/>
    <n v="42"/>
    <n v="42"/>
    <n v="0"/>
    <n v="47.040000000000006"/>
    <n v="0"/>
    <n v="0"/>
    <n v="0"/>
    <n v="0"/>
    <n v="0"/>
    <n v="0"/>
    <n v="0"/>
    <n v="0"/>
    <n v="0"/>
    <n v="0"/>
    <n v="0"/>
    <n v="0"/>
    <n v="0"/>
    <n v="0"/>
    <n v="0"/>
    <n v="0"/>
    <n v="0"/>
    <n v="0"/>
    <n v="0"/>
    <n v="0"/>
    <n v="0"/>
    <n v="0"/>
    <n v="0"/>
    <n v="0"/>
    <n v="42"/>
    <n v="0"/>
    <n v="0"/>
    <n v="0"/>
    <n v="0"/>
    <n v="42"/>
    <n v="42"/>
    <n v="0"/>
    <n v="0"/>
    <n v="0"/>
    <n v="0"/>
    <n v="42"/>
    <n v="0"/>
    <n v="0"/>
    <n v="0"/>
    <n v="0"/>
    <n v="0"/>
    <n v="0"/>
    <n v="0"/>
    <m/>
    <m/>
    <m/>
    <m/>
    <m/>
    <m/>
    <m/>
    <m/>
    <m/>
    <s v="1"/>
    <s v="1"/>
    <s v="1"/>
    <s v="1"/>
    <s v="0"/>
    <m/>
    <m/>
    <m/>
    <m/>
    <m/>
    <m/>
    <m/>
    <m/>
    <m/>
    <m/>
    <m/>
    <m/>
    <m/>
    <m/>
  </r>
  <r>
    <n v="742"/>
    <d v="2024-12-09T00:00:00"/>
    <s v="ZBTO"/>
    <n v="9518331392"/>
    <n v="4"/>
    <s v="9518331392-4"/>
    <m/>
    <s v="Feb'25"/>
    <s v="Released orders"/>
    <x v="1"/>
    <x v="1"/>
    <s v="2000-BPRS"/>
    <m/>
    <x v="0"/>
    <s v="Mar"/>
    <m/>
    <m/>
    <s v="South"/>
    <s v="VISHAKHAPATNAM"/>
    <m/>
    <n v="946077"/>
    <s v="SITARAM IRON AND STEEL PVT LTD"/>
    <n v="3239555"/>
    <s v="CRCA SHEET TATCRC SR16 0.400X1000X2440"/>
    <m/>
    <s v=""/>
    <n v="0"/>
    <n v="0"/>
    <s v="Narrow"/>
    <s v="C06"/>
    <s v="TATCRC"/>
    <s v="SR16"/>
    <n v="0.4"/>
    <n v="1000"/>
    <n v="2440"/>
    <n v="45.99"/>
    <n v="20.885000000000002"/>
    <n v="25.105"/>
    <n v="25.105"/>
    <n v="0"/>
    <n v="25.105"/>
    <m/>
    <m/>
    <n v="25.105"/>
    <n v="25.105"/>
    <n v="0"/>
    <n v="28.117600000000003"/>
    <n v="0"/>
    <n v="0"/>
    <n v="0"/>
    <n v="0"/>
    <n v="0"/>
    <n v="0"/>
    <n v="0"/>
    <n v="0"/>
    <n v="0"/>
    <n v="0"/>
    <n v="0"/>
    <n v="0"/>
    <n v="0"/>
    <n v="0"/>
    <n v="0"/>
    <n v="0"/>
    <n v="0"/>
    <n v="0"/>
    <n v="0"/>
    <n v="0"/>
    <n v="0"/>
    <n v="0"/>
    <n v="0"/>
    <n v="0"/>
    <n v="0"/>
    <n v="0"/>
    <n v="0"/>
    <n v="0"/>
    <n v="0"/>
    <n v="0"/>
    <n v="0"/>
    <n v="0"/>
    <n v="0"/>
    <n v="0"/>
    <n v="0"/>
    <n v="0"/>
    <n v="0"/>
    <n v="18.125"/>
    <n v="0"/>
    <n v="0"/>
    <n v="0"/>
    <n v="0"/>
    <n v="0"/>
    <m/>
    <m/>
    <m/>
    <m/>
    <m/>
    <m/>
    <m/>
    <m/>
    <m/>
    <s v="1"/>
    <s v="1"/>
    <s v="1"/>
    <s v="1"/>
    <s v="1"/>
    <m/>
    <m/>
    <m/>
    <m/>
    <m/>
    <s v="Planning delay"/>
    <m/>
    <m/>
    <m/>
    <m/>
    <m/>
    <m/>
    <m/>
    <m/>
  </r>
  <r>
    <n v="742"/>
    <d v="2024-12-09T00:00:00"/>
    <s v="ZBTO"/>
    <n v="9518331392"/>
    <n v="6"/>
    <s v="9518331392-6"/>
    <m/>
    <s v="Mar'25"/>
    <s v="Released orders"/>
    <x v="1"/>
    <x v="1"/>
    <s v="2000-BPRS"/>
    <m/>
    <x v="0"/>
    <s v="Mar"/>
    <m/>
    <m/>
    <s v="South"/>
    <s v="VISHAKHAPATNAM"/>
    <m/>
    <n v="946077"/>
    <s v="SITARAM IRON AND STEEL PVT LTD"/>
    <n v="3239559"/>
    <s v="CRCA SHEET TATCRC SR16 0.450X900X2440"/>
    <m/>
    <s v=""/>
    <n v="0"/>
    <n v="0"/>
    <s v="Narrow"/>
    <s v="C06"/>
    <s v="TATCRC"/>
    <s v="SR16"/>
    <n v="0.45"/>
    <n v="900"/>
    <n v="2440"/>
    <n v="41.99"/>
    <n v="18.21"/>
    <n v="23.78"/>
    <n v="23.78"/>
    <n v="0"/>
    <n v="23.78"/>
    <m/>
    <m/>
    <n v="23.78"/>
    <n v="23.78"/>
    <n v="0"/>
    <n v="26.633600000000005"/>
    <n v="0"/>
    <n v="0"/>
    <n v="0"/>
    <n v="0"/>
    <n v="0"/>
    <n v="0"/>
    <n v="0"/>
    <n v="0"/>
    <n v="0"/>
    <n v="0"/>
    <n v="0"/>
    <n v="0"/>
    <n v="0"/>
    <n v="0"/>
    <n v="0"/>
    <n v="0"/>
    <n v="0"/>
    <n v="0"/>
    <n v="0"/>
    <n v="0"/>
    <n v="0"/>
    <n v="0"/>
    <n v="0"/>
    <n v="0"/>
    <n v="23.78"/>
    <n v="0"/>
    <n v="0"/>
    <n v="0"/>
    <n v="0"/>
    <n v="23.78"/>
    <n v="23.78"/>
    <n v="0"/>
    <n v="0"/>
    <n v="0"/>
    <n v="0"/>
    <n v="23.78"/>
    <n v="0"/>
    <n v="0"/>
    <n v="0"/>
    <n v="0"/>
    <n v="0"/>
    <n v="0"/>
    <n v="0"/>
    <m/>
    <m/>
    <m/>
    <m/>
    <m/>
    <m/>
    <m/>
    <m/>
    <m/>
    <s v="1"/>
    <s v="1"/>
    <s v="1"/>
    <s v="1"/>
    <s v="0"/>
    <m/>
    <m/>
    <m/>
    <m/>
    <m/>
    <m/>
    <m/>
    <m/>
    <m/>
    <m/>
    <m/>
    <m/>
    <m/>
    <m/>
  </r>
  <r>
    <n v="742"/>
    <d v="2024-12-09T00:00:00"/>
    <s v="ZBTO"/>
    <n v="9518331392"/>
    <n v="9"/>
    <s v="9518331392-9"/>
    <m/>
    <s v="Mar'25"/>
    <s v="Released orders"/>
    <x v="1"/>
    <x v="1"/>
    <s v="2000-BPRS"/>
    <m/>
    <x v="0"/>
    <s v="Mar"/>
    <m/>
    <m/>
    <s v="South"/>
    <s v="VISHAKHAPATNAM"/>
    <m/>
    <n v="946077"/>
    <s v="SITARAM IRON AND STEEL PVT LTD"/>
    <n v="3240759"/>
    <s v="CRCA SHEET TSBCRC SR15 0.500X1000X2440"/>
    <m/>
    <s v=""/>
    <n v="0"/>
    <n v="0"/>
    <s v="Narrow"/>
    <s v="C06"/>
    <s v="TSBCRC"/>
    <s v="SR15"/>
    <n v="0.5"/>
    <n v="1000"/>
    <n v="2440"/>
    <n v="23"/>
    <n v="0"/>
    <n v="23"/>
    <n v="23"/>
    <n v="0"/>
    <n v="23"/>
    <m/>
    <m/>
    <n v="23"/>
    <n v="23"/>
    <n v="0"/>
    <n v="25.76"/>
    <n v="0"/>
    <n v="0"/>
    <n v="0"/>
    <n v="0"/>
    <n v="0"/>
    <n v="0"/>
    <n v="0"/>
    <n v="0"/>
    <n v="0"/>
    <n v="0"/>
    <n v="0"/>
    <n v="0"/>
    <n v="0"/>
    <n v="0"/>
    <n v="0"/>
    <n v="0"/>
    <n v="0"/>
    <n v="0"/>
    <n v="0"/>
    <n v="0"/>
    <n v="0"/>
    <n v="0"/>
    <n v="0"/>
    <n v="0"/>
    <n v="23"/>
    <n v="0"/>
    <n v="0"/>
    <n v="0"/>
    <n v="0"/>
    <n v="23"/>
    <n v="23"/>
    <n v="0"/>
    <n v="0"/>
    <n v="0"/>
    <n v="0"/>
    <n v="23"/>
    <n v="0"/>
    <n v="0"/>
    <n v="0"/>
    <n v="0"/>
    <n v="0"/>
    <n v="0"/>
    <n v="0"/>
    <m/>
    <m/>
    <m/>
    <m/>
    <m/>
    <m/>
    <m/>
    <m/>
    <m/>
    <s v="1"/>
    <s v="1"/>
    <s v="1"/>
    <s v="1"/>
    <s v="0"/>
    <m/>
    <m/>
    <m/>
    <m/>
    <m/>
    <m/>
    <m/>
    <m/>
    <m/>
    <m/>
    <m/>
    <m/>
    <m/>
    <m/>
  </r>
  <r>
    <n v="742"/>
    <d v="2024-12-09T00:00:00"/>
    <s v="ZBTO"/>
    <n v="9518331392"/>
    <n v="12"/>
    <s v="9518331392-12"/>
    <m/>
    <s v="No Priority"/>
    <s v="Released orders"/>
    <x v="1"/>
    <x v="1"/>
    <s v="2000-BPRS"/>
    <m/>
    <x v="1"/>
    <m/>
    <m/>
    <m/>
    <s v="South"/>
    <s v="VISHAKHAPATNAM"/>
    <m/>
    <n v="946077"/>
    <s v="SITARAM IRON AND STEEL PVT LTD"/>
    <n v="3240776"/>
    <s v="CRCA SHEET TSBCRC SR15 0.600X1000X2440"/>
    <m/>
    <s v=""/>
    <n v="0"/>
    <n v="0"/>
    <s v="Narrow"/>
    <s v="C06"/>
    <s v="TSBCRC"/>
    <s v="SR15"/>
    <n v="0.6"/>
    <n v="1000"/>
    <n v="2440"/>
    <n v="45.99"/>
    <n v="41.94"/>
    <n v="45.99"/>
    <n v="4.05"/>
    <n v="0"/>
    <n v="0"/>
    <m/>
    <m/>
    <n v="0"/>
    <n v="4.05"/>
    <n v="0"/>
    <n v="3.2984000000000004"/>
    <n v="0"/>
    <n v="0"/>
    <n v="0"/>
    <n v="0"/>
    <n v="0"/>
    <n v="0"/>
    <n v="0"/>
    <n v="43.045000000000002"/>
    <n v="0"/>
    <n v="0"/>
    <n v="0"/>
    <n v="0"/>
    <n v="0"/>
    <n v="0"/>
    <n v="0"/>
    <n v="0"/>
    <n v="0"/>
    <n v="0"/>
    <n v="43.045000000000002"/>
    <n v="43.045000000000002"/>
    <n v="0"/>
    <n v="43.045000000000002"/>
    <n v="0"/>
    <n v="0"/>
    <n v="0"/>
    <n v="0"/>
    <n v="0"/>
    <n v="0"/>
    <n v="0"/>
    <n v="0"/>
    <n v="0"/>
    <n v="0"/>
    <n v="0"/>
    <n v="0"/>
    <n v="0"/>
    <n v="0"/>
    <n v="0"/>
    <n v="0"/>
    <n v="0"/>
    <n v="0"/>
    <n v="0"/>
    <n v="0"/>
    <n v="0"/>
    <m/>
    <m/>
    <m/>
    <m/>
    <m/>
    <m/>
    <m/>
    <m/>
    <m/>
    <s v="1"/>
    <s v="1"/>
    <s v="1"/>
    <s v="1"/>
    <s v="1"/>
    <m/>
    <m/>
    <m/>
    <m/>
    <m/>
    <m/>
    <m/>
    <m/>
    <m/>
    <m/>
    <m/>
    <m/>
    <m/>
    <m/>
  </r>
  <r>
    <n v="742"/>
    <d v="2024-12-09T00:00:00"/>
    <s v="ZBTO"/>
    <n v="9518331392"/>
    <n v="14"/>
    <s v="9518331392-14"/>
    <m/>
    <s v="Jan'25"/>
    <s v="Released orders"/>
    <x v="1"/>
    <x v="1"/>
    <s v="2000-BPRS"/>
    <m/>
    <x v="0"/>
    <s v="Mar"/>
    <m/>
    <m/>
    <s v="South"/>
    <s v="VISHAKHAPATNAM"/>
    <m/>
    <n v="946077"/>
    <s v="SITARAM IRON AND STEEL PVT LTD"/>
    <n v="3240805"/>
    <s v="CRCA SHEET TSBCRC SR15 0.800X1000X2500"/>
    <m/>
    <s v=""/>
    <n v="0"/>
    <n v="0"/>
    <s v="Narrow"/>
    <s v="C06"/>
    <s v="TSBCRC"/>
    <s v="SR15"/>
    <n v="0.8"/>
    <n v="1000"/>
    <n v="2500"/>
    <n v="23"/>
    <n v="0"/>
    <n v="23"/>
    <n v="23"/>
    <n v="0"/>
    <n v="23"/>
    <m/>
    <m/>
    <n v="23"/>
    <n v="23"/>
    <n v="0"/>
    <n v="25.76"/>
    <n v="0"/>
    <n v="0"/>
    <n v="0"/>
    <n v="0"/>
    <n v="0"/>
    <n v="0"/>
    <n v="0"/>
    <n v="0"/>
    <n v="0"/>
    <n v="0"/>
    <n v="0"/>
    <n v="0"/>
    <n v="0"/>
    <n v="0"/>
    <n v="0"/>
    <n v="0"/>
    <n v="0"/>
    <n v="0"/>
    <n v="0"/>
    <n v="0"/>
    <n v="0"/>
    <n v="0"/>
    <n v="0"/>
    <n v="0"/>
    <n v="23"/>
    <n v="0"/>
    <n v="0"/>
    <n v="0"/>
    <n v="23"/>
    <n v="0"/>
    <n v="23"/>
    <n v="0"/>
    <n v="0"/>
    <n v="0"/>
    <n v="23"/>
    <n v="0"/>
    <n v="0"/>
    <n v="0"/>
    <n v="0"/>
    <n v="0"/>
    <n v="0"/>
    <n v="0"/>
    <n v="0"/>
    <m/>
    <m/>
    <m/>
    <m/>
    <m/>
    <m/>
    <m/>
    <m/>
    <m/>
    <s v="1"/>
    <s v="1"/>
    <s v="1"/>
    <s v="0"/>
    <s v="1"/>
    <m/>
    <m/>
    <m/>
    <m/>
    <m/>
    <m/>
    <m/>
    <m/>
    <m/>
    <m/>
    <m/>
    <m/>
    <m/>
    <m/>
  </r>
  <r>
    <n v="742"/>
    <d v="2024-12-09T00:00:00"/>
    <s v="ZBTO"/>
    <n v="9518331392"/>
    <n v="17"/>
    <s v="9518331392-17"/>
    <m/>
    <s v="Jan'25"/>
    <s v="Released orders"/>
    <x v="1"/>
    <x v="1"/>
    <s v="2000-BPRS"/>
    <m/>
    <x v="0"/>
    <s v="Mar"/>
    <m/>
    <m/>
    <s v="South"/>
    <s v="VISHAKHAPATNAM"/>
    <m/>
    <n v="946077"/>
    <s v="SITARAM IRON AND STEEL PVT LTD"/>
    <n v="3240836"/>
    <s v="CRCA SHEET TSBCRC SR15 1X1000X2500"/>
    <m/>
    <s v=""/>
    <n v="0"/>
    <n v="0"/>
    <s v="Narrow"/>
    <s v="C06"/>
    <s v="TSBCRC"/>
    <s v="SR15"/>
    <n v="1"/>
    <n v="1000"/>
    <n v="2500"/>
    <n v="23"/>
    <n v="0"/>
    <n v="23"/>
    <n v="23"/>
    <n v="0"/>
    <n v="23"/>
    <m/>
    <m/>
    <n v="23"/>
    <n v="23"/>
    <n v="0"/>
    <n v="25.76"/>
    <n v="0"/>
    <n v="0"/>
    <n v="0"/>
    <n v="0"/>
    <n v="0"/>
    <n v="0"/>
    <n v="0"/>
    <n v="0"/>
    <n v="0"/>
    <n v="0"/>
    <n v="0"/>
    <n v="0"/>
    <n v="0"/>
    <n v="0"/>
    <n v="0"/>
    <n v="0"/>
    <n v="0"/>
    <n v="0"/>
    <n v="0"/>
    <n v="0"/>
    <n v="0"/>
    <n v="0"/>
    <n v="0"/>
    <n v="0"/>
    <n v="23"/>
    <n v="0"/>
    <n v="0"/>
    <n v="0"/>
    <n v="23"/>
    <n v="0"/>
    <n v="23"/>
    <n v="0"/>
    <n v="0"/>
    <n v="0"/>
    <n v="23"/>
    <n v="0"/>
    <n v="0"/>
    <n v="0"/>
    <n v="0"/>
    <n v="0"/>
    <n v="0"/>
    <n v="0"/>
    <n v="0"/>
    <m/>
    <m/>
    <m/>
    <m/>
    <m/>
    <m/>
    <m/>
    <m/>
    <m/>
    <s v="1"/>
    <s v="1"/>
    <s v="1"/>
    <s v="0"/>
    <s v="1"/>
    <m/>
    <m/>
    <m/>
    <m/>
    <m/>
    <m/>
    <m/>
    <m/>
    <m/>
    <m/>
    <m/>
    <m/>
    <m/>
    <m/>
  </r>
  <r>
    <n v="742"/>
    <d v="2024-12-16T00:00:00"/>
    <s v="ZBTO"/>
    <n v="9518347055"/>
    <n v="4"/>
    <s v="9518347055-4"/>
    <m/>
    <s v="Feb'25"/>
    <s v="Released orders"/>
    <x v="1"/>
    <x v="1"/>
    <s v="2000-BPRS"/>
    <m/>
    <x v="0"/>
    <s v="Mar"/>
    <m/>
    <m/>
    <s v="East"/>
    <s v="WEST BOKARO"/>
    <m/>
    <n v="185794"/>
    <s v="Shree Bajrang Steel Udyog"/>
    <n v="3239567"/>
    <s v="CRCA SHEET TATCRC SR16 0.450X1000X2500"/>
    <m/>
    <s v=""/>
    <n v="2.8"/>
    <n v="3.2"/>
    <s v="Narrow"/>
    <s v="C06"/>
    <s v="TATCRC"/>
    <s v="SR16"/>
    <n v="0.45"/>
    <n v="1000"/>
    <n v="2500"/>
    <n v="23"/>
    <n v="0"/>
    <n v="23"/>
    <n v="23"/>
    <n v="0"/>
    <n v="23"/>
    <m/>
    <m/>
    <n v="23"/>
    <n v="23"/>
    <n v="0"/>
    <n v="25.76"/>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4-12-16T00:00:00"/>
    <s v="ZBTO"/>
    <n v="9518347055"/>
    <n v="8"/>
    <s v="9518347055-8"/>
    <m/>
    <s v="No Priority"/>
    <s v="Released orders"/>
    <x v="1"/>
    <x v="1"/>
    <s v="2000-BPRS"/>
    <m/>
    <x v="1"/>
    <s v="Mar"/>
    <m/>
    <m/>
    <s v="East"/>
    <s v="WEST BOKARO"/>
    <m/>
    <n v="185794"/>
    <s v="Shree Bajrang Steel Udyog"/>
    <n v="3240778"/>
    <s v="CRCA SHEET TSBCRC SR15 0.600X1000X2500"/>
    <m/>
    <s v=""/>
    <n v="2.8"/>
    <n v="3.2"/>
    <s v="Narrow"/>
    <s v="C06"/>
    <s v="TSBCRC"/>
    <s v="SR15"/>
    <n v="0.6"/>
    <n v="1000"/>
    <n v="2500"/>
    <n v="46"/>
    <n v="41.41"/>
    <n v="46"/>
    <n v="25.094999999999999"/>
    <n v="22.04"/>
    <n v="0"/>
    <m/>
    <n v="44.36"/>
    <n v="1.6400000000000006"/>
    <n v="4.57"/>
    <n v="0"/>
    <n v="1.8368000000000009"/>
    <n v="0"/>
    <n v="0"/>
    <n v="0"/>
    <n v="0"/>
    <n v="0"/>
    <n v="0"/>
    <n v="0"/>
    <n v="0"/>
    <n v="0"/>
    <n v="0"/>
    <n v="0"/>
    <n v="0"/>
    <n v="44.36"/>
    <n v="0"/>
    <n v="0"/>
    <n v="0"/>
    <n v="0"/>
    <n v="0"/>
    <n v="44.36"/>
    <n v="44.36"/>
    <n v="0"/>
    <n v="44.36"/>
    <n v="-22.32"/>
    <n v="0"/>
    <n v="0"/>
    <n v="0"/>
    <n v="0"/>
    <n v="0"/>
    <n v="0"/>
    <n v="0"/>
    <n v="0"/>
    <n v="0"/>
    <n v="0"/>
    <n v="0"/>
    <n v="0"/>
    <n v="0"/>
    <n v="0"/>
    <n v="0"/>
    <n v="0"/>
    <n v="0"/>
    <n v="0"/>
    <n v="0"/>
    <n v="0"/>
    <m/>
    <m/>
    <m/>
    <m/>
    <m/>
    <m/>
    <m/>
    <m/>
    <m/>
    <s v="1"/>
    <s v="1"/>
    <s v="1"/>
    <s v="1"/>
    <s v="1"/>
    <m/>
    <m/>
    <m/>
    <m/>
    <m/>
    <m/>
    <m/>
    <m/>
    <m/>
    <m/>
    <m/>
    <m/>
    <m/>
    <m/>
  </r>
  <r>
    <n v="742"/>
    <d v="2024-12-11T00:00:00"/>
    <s v="ZBTO"/>
    <n v="9518336485"/>
    <n v="2"/>
    <s v="9518336485-2"/>
    <m/>
    <s v="No Priority"/>
    <s v="Released orders"/>
    <x v="1"/>
    <x v="3"/>
    <s v="2000-BPRS"/>
    <m/>
    <x v="1"/>
    <s v="Mar"/>
    <s v="Beyond HSM rollability"/>
    <m/>
    <s v="North"/>
    <s v="FARIDABAD"/>
    <m/>
    <n v="831432"/>
    <s v="FERRO STEEL SOLUTIONS"/>
    <n v="1804908"/>
    <s v="CRCA COIL TATCRC TR15 0.5X1250"/>
    <m/>
    <s v=""/>
    <n v="10"/>
    <n v="27"/>
    <s v="Wider"/>
    <s v="C01"/>
    <s v="TATCRC"/>
    <s v="TR15"/>
    <n v="0.5"/>
    <n v="1250"/>
    <n v="0"/>
    <n v="261"/>
    <n v="255.685"/>
    <n v="27.204999999999998"/>
    <n v="27.204999999999998"/>
    <n v="22.79"/>
    <n v="0"/>
    <m/>
    <n v="23.42"/>
    <n v="3.7849999999999966"/>
    <n v="5.3150000000000004"/>
    <n v="0"/>
    <n v="0"/>
    <n v="0"/>
    <n v="0"/>
    <n v="0"/>
    <n v="0"/>
    <n v="0"/>
    <n v="0"/>
    <n v="0"/>
    <n v="0"/>
    <n v="0"/>
    <n v="0"/>
    <n v="0"/>
    <n v="0"/>
    <n v="23.42"/>
    <n v="0"/>
    <n v="0"/>
    <n v="0"/>
    <n v="0"/>
    <n v="0"/>
    <n v="23.42"/>
    <n v="23.42"/>
    <n v="0"/>
    <n v="23.42"/>
    <n v="-0.63000000000000256"/>
    <n v="0"/>
    <n v="0"/>
    <n v="0"/>
    <n v="0"/>
    <n v="0"/>
    <n v="0"/>
    <n v="0"/>
    <n v="0"/>
    <n v="0"/>
    <n v="0"/>
    <n v="0"/>
    <n v="0"/>
    <n v="0"/>
    <n v="0"/>
    <n v="0"/>
    <n v="0"/>
    <n v="0"/>
    <n v="0"/>
    <n v="0"/>
    <n v="0"/>
    <m/>
    <m/>
    <m/>
    <m/>
    <m/>
    <m/>
    <m/>
    <m/>
    <m/>
    <s v="1"/>
    <s v="1"/>
    <s v="1"/>
    <s v="1"/>
    <s v="1"/>
    <m/>
    <m/>
    <m/>
    <m/>
    <m/>
    <m/>
    <m/>
    <m/>
    <m/>
    <m/>
    <m/>
    <m/>
    <m/>
    <m/>
  </r>
  <r>
    <n v="742"/>
    <d v="2024-12-16T00:00:00"/>
    <s v="ZBTO"/>
    <n v="9518348189"/>
    <n v="1"/>
    <s v="9518348189-1"/>
    <m/>
    <s v="Feb'25"/>
    <s v="Released orders"/>
    <x v="1"/>
    <x v="3"/>
    <s v="2000-BPRS"/>
    <m/>
    <x v="0"/>
    <m/>
    <m/>
    <m/>
    <s v="East"/>
    <s v="TATANAGAR"/>
    <m/>
    <n v="165053"/>
    <s v="SUDISA ENTERPRISES (P) LTD."/>
    <n v="1804772"/>
    <s v="CRCA COIL TATXXD AU03 0.4X1250"/>
    <m/>
    <s v=""/>
    <n v="20"/>
    <n v="29"/>
    <s v="Wider"/>
    <s v="C01"/>
    <s v="TATXXD"/>
    <s v="AU03"/>
    <n v="0.4"/>
    <n v="1250"/>
    <n v="0"/>
    <n v="87"/>
    <n v="69.3"/>
    <n v="17.7"/>
    <n v="17.7"/>
    <n v="26.99"/>
    <n v="0"/>
    <m/>
    <n v="0"/>
    <n v="17.7"/>
    <n v="17.7"/>
    <n v="0"/>
    <n v="0"/>
    <n v="0"/>
    <n v="0"/>
    <n v="0"/>
    <n v="0"/>
    <n v="0"/>
    <n v="0"/>
    <n v="0"/>
    <n v="0"/>
    <n v="0"/>
    <n v="0"/>
    <n v="0"/>
    <n v="26.990000000000002"/>
    <n v="0"/>
    <n v="0"/>
    <n v="0"/>
    <n v="0"/>
    <n v="0"/>
    <n v="0"/>
    <n v="26.990000000000002"/>
    <n v="26.990000000000002"/>
    <n v="0"/>
    <n v="26.990000000000002"/>
    <n v="26.99"/>
    <n v="0"/>
    <n v="17.7"/>
    <n v="0"/>
    <n v="17.7"/>
    <n v="0"/>
    <n v="0"/>
    <n v="0"/>
    <n v="17.7"/>
    <n v="0"/>
    <n v="17.7"/>
    <n v="0"/>
    <n v="0"/>
    <n v="0"/>
    <n v="0"/>
    <n v="0"/>
    <n v="0"/>
    <n v="0"/>
    <n v="0"/>
    <n v="0"/>
    <n v="0"/>
    <m/>
    <m/>
    <m/>
    <m/>
    <m/>
    <m/>
    <m/>
    <m/>
    <m/>
    <s v="1"/>
    <s v="0"/>
    <s v="1"/>
    <s v="1"/>
    <s v="1"/>
    <m/>
    <m/>
    <m/>
    <m/>
    <m/>
    <m/>
    <m/>
    <m/>
    <m/>
    <m/>
    <m/>
    <m/>
    <m/>
    <m/>
  </r>
  <r>
    <n v="742"/>
    <d v="2024-12-11T00:00:00"/>
    <s v="ZBTO"/>
    <n v="9518337009"/>
    <n v="3"/>
    <s v="9518337009-3"/>
    <m/>
    <s v="Feb'25"/>
    <s v="Released orders"/>
    <x v="1"/>
    <x v="1"/>
    <s v="2000-BPRS"/>
    <m/>
    <x v="0"/>
    <s v="Mar"/>
    <m/>
    <m/>
    <s v="North"/>
    <s v="VARANASI"/>
    <m/>
    <n v="931525"/>
    <s v="INDIA STEEL INDUSTRIES"/>
    <n v="3239554"/>
    <s v="CRCA SHEET TATCRC SR16 0.400X1000X2500"/>
    <m/>
    <s v=""/>
    <n v="0"/>
    <n v="0"/>
    <s v="Narrow"/>
    <s v="C06"/>
    <s v="TATCRC"/>
    <s v="SR16"/>
    <n v="0.4"/>
    <n v="1000"/>
    <n v="2500"/>
    <n v="23"/>
    <n v="0"/>
    <n v="23"/>
    <n v="23"/>
    <n v="0"/>
    <n v="23"/>
    <m/>
    <m/>
    <n v="23"/>
    <n v="23"/>
    <n v="0"/>
    <n v="25.76"/>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2-19T00:00:00"/>
    <s v="ZBTO"/>
    <n v="9518533557"/>
    <n v="2"/>
    <s v="9518533557-2"/>
    <m/>
    <s v="No Priority"/>
    <s v="Failed orders"/>
    <x v="1"/>
    <x v="1"/>
    <n v="2000"/>
    <m/>
    <x v="1"/>
    <s v="Mar"/>
    <m/>
    <s v="West Bengal"/>
    <m/>
    <m/>
    <m/>
    <n v="101278"/>
    <s v="RAMESH COMPANY"/>
    <n v="3711646"/>
    <s v="CRCA SHEET TATCRC SR16 0.330X1250X2500"/>
    <s v=""/>
    <s v=""/>
    <m/>
    <m/>
    <s v="Wider"/>
    <s v="C06"/>
    <s v="TATCRC"/>
    <s v="SR16"/>
    <n v="0.33"/>
    <n v="1250"/>
    <n v="2500"/>
    <n v="30"/>
    <e v="#N/A"/>
    <n v="30"/>
    <n v="30"/>
    <e v="#N/A"/>
    <e v="#N/A"/>
    <m/>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4-12-16T00:00:00"/>
    <s v="ZBTO"/>
    <n v="9518347055"/>
    <n v="5"/>
    <s v="9518347055-5"/>
    <m/>
    <s v="No Priority"/>
    <s v="Released orders"/>
    <x v="1"/>
    <x v="1"/>
    <s v="2000-BPRS"/>
    <m/>
    <x v="1"/>
    <m/>
    <m/>
    <m/>
    <s v="East"/>
    <s v="WEST BOKARO"/>
    <m/>
    <n v="185794"/>
    <s v="Shree Bajrang Steel Udyog"/>
    <n v="3240760"/>
    <s v="CRCA SHEET TSBCRC SR15 0.500X1000X2500"/>
    <m/>
    <s v=""/>
    <n v="2.8"/>
    <n v="3.2"/>
    <s v="Narrow"/>
    <s v="C06"/>
    <s v="TSBCRC"/>
    <s v="SR15"/>
    <n v="0.5"/>
    <n v="1000"/>
    <n v="2500"/>
    <n v="23"/>
    <n v="21.055"/>
    <n v="23"/>
    <n v="23"/>
    <n v="21.43"/>
    <n v="0"/>
    <m/>
    <n v="22.13"/>
    <n v="0"/>
    <n v="1.9450000000000001"/>
    <n v="0"/>
    <n v="0.97440000000000115"/>
    <n v="0"/>
    <n v="0"/>
    <n v="0"/>
    <n v="0"/>
    <n v="0"/>
    <n v="0"/>
    <n v="0"/>
    <n v="0"/>
    <n v="0"/>
    <n v="0"/>
    <n v="0"/>
    <n v="0"/>
    <n v="22.13"/>
    <n v="0"/>
    <n v="0"/>
    <n v="0"/>
    <n v="0"/>
    <n v="0"/>
    <n v="22.13"/>
    <n v="22.13"/>
    <n v="0"/>
    <n v="22.13"/>
    <n v="-0.69999999999999929"/>
    <n v="0"/>
    <n v="0"/>
    <n v="0"/>
    <n v="0"/>
    <n v="0"/>
    <n v="0"/>
    <n v="0"/>
    <n v="0"/>
    <n v="0"/>
    <n v="0"/>
    <n v="0"/>
    <n v="0"/>
    <n v="0"/>
    <n v="0"/>
    <n v="0"/>
    <n v="0"/>
    <n v="0"/>
    <n v="0"/>
    <n v="0"/>
    <n v="0"/>
    <m/>
    <m/>
    <m/>
    <m/>
    <m/>
    <m/>
    <m/>
    <m/>
    <m/>
    <s v="1"/>
    <s v="1"/>
    <s v="1"/>
    <s v="1"/>
    <s v="1"/>
    <m/>
    <m/>
    <m/>
    <m/>
    <m/>
    <m/>
    <m/>
    <m/>
    <m/>
    <m/>
    <m/>
    <m/>
    <m/>
    <m/>
  </r>
  <r>
    <n v="742"/>
    <d v="2024-11-27T00:00:00"/>
    <s v="ZBTF"/>
    <n v="9518294631"/>
    <n v="4"/>
    <s v="9518294631-4"/>
    <m/>
    <s v="Stocks"/>
    <s v="Released orders"/>
    <x v="1"/>
    <x v="4"/>
    <s v="1000-IPPE"/>
    <m/>
    <x v="0"/>
    <m/>
    <m/>
    <m/>
    <s v="East"/>
    <s v="PILKHUWA"/>
    <m/>
    <n v="600250"/>
    <s v="TATA CENTER"/>
    <n v="2439203"/>
    <s v="CRCA COIL TSBSTA EL06 0.500X1160"/>
    <m/>
    <s v=""/>
    <n v="8"/>
    <n v="13"/>
    <s v="Wider"/>
    <s v="C01"/>
    <s v="TSBSTA"/>
    <s v="EL06"/>
    <n v="0.5"/>
    <n v="1160"/>
    <n v="0"/>
    <n v="297"/>
    <n v="296.92500000000001"/>
    <n v="61.884999999999998"/>
    <n v="37.1"/>
    <n v="52.27"/>
    <n v="0"/>
    <m/>
    <n v="26.27"/>
    <n v="0"/>
    <n v="0"/>
    <n v="0"/>
    <n v="39.888799999999996"/>
    <n v="0"/>
    <n v="0"/>
    <n v="0"/>
    <n v="0"/>
    <n v="0"/>
    <n v="0"/>
    <n v="0"/>
    <n v="0"/>
    <n v="0"/>
    <n v="0"/>
    <n v="0"/>
    <n v="0"/>
    <n v="26.27"/>
    <n v="0"/>
    <n v="0"/>
    <n v="0"/>
    <n v="0"/>
    <n v="0"/>
    <n v="26.27"/>
    <n v="26.27"/>
    <n v="0"/>
    <n v="26.27"/>
    <n v="26.000000000000004"/>
    <n v="12.175000000000001"/>
    <n v="0"/>
    <n v="0"/>
    <n v="0"/>
    <n v="0"/>
    <n v="0"/>
    <n v="0"/>
    <n v="12.175000000000001"/>
    <n v="12.175000000000001"/>
    <n v="0"/>
    <n v="0"/>
    <n v="0"/>
    <n v="0"/>
    <n v="0"/>
    <n v="147.82500000000002"/>
    <n v="0"/>
    <n v="0"/>
    <n v="0"/>
    <n v="0"/>
    <n v="0"/>
    <m/>
    <m/>
    <m/>
    <m/>
    <m/>
    <m/>
    <m/>
    <m/>
    <m/>
    <s v="1"/>
    <s v="1"/>
    <s v="1"/>
    <s v="1"/>
    <s v="1"/>
    <m/>
    <m/>
    <m/>
    <m/>
    <m/>
    <m/>
    <m/>
    <m/>
    <m/>
    <m/>
    <m/>
    <m/>
    <m/>
    <m/>
  </r>
  <r>
    <n v="742"/>
    <d v="2025-01-20T00:00:00"/>
    <s v="ZBTF"/>
    <n v="9518444919"/>
    <n v="13"/>
    <s v="9518444919-13"/>
    <m/>
    <s v="Mar'25 additional"/>
    <s v="Released orders"/>
    <x v="1"/>
    <x v="4"/>
    <s v="1000-IPPE"/>
    <m/>
    <x v="0"/>
    <m/>
    <m/>
    <m/>
    <s v="North"/>
    <s v="PILKHUWA"/>
    <m/>
    <n v="600250"/>
    <s v="TATA CENTER"/>
    <n v="2439203"/>
    <s v="CRCA COIL TSBSTA EL06 0.500X1160"/>
    <s v=" "/>
    <s v=""/>
    <n v="0"/>
    <n v="0"/>
    <s v="Wider"/>
    <s v="C01"/>
    <s v="TSBSTA"/>
    <s v="EL06"/>
    <n v="0.5"/>
    <n v="1160"/>
    <n v="0"/>
    <n v="297"/>
    <n v="197.625"/>
    <n v="149.15"/>
    <n v="124.065"/>
    <n v="113.405"/>
    <n v="0"/>
    <m/>
    <n v="138.49"/>
    <n v="0"/>
    <n v="99.375"/>
    <n v="0"/>
    <n v="0"/>
    <n v="0"/>
    <n v="0"/>
    <n v="0"/>
    <n v="0"/>
    <n v="0"/>
    <n v="0"/>
    <n v="1.1100000000000001"/>
    <n v="0"/>
    <n v="0"/>
    <n v="0"/>
    <n v="0"/>
    <n v="0"/>
    <n v="113.405"/>
    <n v="0"/>
    <n v="0"/>
    <n v="0"/>
    <n v="25.085000000000001"/>
    <n v="0"/>
    <n v="139.6"/>
    <n v="138.49"/>
    <n v="0"/>
    <n v="138.49"/>
    <n v="-25.085000000000008"/>
    <n v="0"/>
    <n v="99.375"/>
    <n v="0"/>
    <n v="99.375"/>
    <n v="0"/>
    <n v="0"/>
    <n v="0"/>
    <n v="99.375"/>
    <n v="0"/>
    <n v="99.375"/>
    <n v="0"/>
    <n v="0"/>
    <n v="0"/>
    <n v="0"/>
    <n v="147.85"/>
    <n v="0"/>
    <n v="99.375"/>
    <n v="0"/>
    <n v="0"/>
    <n v="0"/>
    <m/>
    <m/>
    <m/>
    <m/>
    <m/>
    <m/>
    <m/>
    <m/>
    <m/>
    <s v="1"/>
    <s v="1"/>
    <s v="1"/>
    <s v="1"/>
    <s v="1"/>
    <m/>
    <m/>
    <m/>
    <m/>
    <m/>
    <m/>
    <m/>
    <m/>
    <m/>
    <m/>
    <m/>
    <m/>
    <m/>
    <m/>
  </r>
  <r>
    <n v="742"/>
    <d v="2025-01-20T00:00:00"/>
    <s v="ZBTF"/>
    <n v="9518444919"/>
    <n v="1"/>
    <s v="9518444919-1"/>
    <m/>
    <s v="No Priority"/>
    <s v="Released orders"/>
    <x v="1"/>
    <x v="4"/>
    <s v="1000-IPPE"/>
    <m/>
    <x v="1"/>
    <m/>
    <m/>
    <m/>
    <s v="North"/>
    <s v="PILKHUWA"/>
    <m/>
    <n v="600250"/>
    <s v="TATA CENTER"/>
    <n v="2439203"/>
    <s v="CRCA COIL TSBSTA EL06 0.500X1160"/>
    <s v=" "/>
    <s v=""/>
    <n v="8"/>
    <n v="13"/>
    <s v="Wider"/>
    <s v="C01"/>
    <s v="TSBSTA"/>
    <s v="EL06"/>
    <n v="0.5"/>
    <n v="1160"/>
    <n v="0"/>
    <n v="297"/>
    <n v="286.63499999999999"/>
    <n v="47.424999999999997"/>
    <n v="10.365"/>
    <n v="14.675000000000001"/>
    <n v="0"/>
    <m/>
    <n v="26.29"/>
    <n v="0"/>
    <n v="10.365"/>
    <n v="0"/>
    <n v="23.671199999999999"/>
    <n v="0"/>
    <n v="0"/>
    <n v="0"/>
    <n v="0"/>
    <n v="0"/>
    <n v="0"/>
    <n v="0"/>
    <n v="0"/>
    <n v="0"/>
    <n v="0"/>
    <n v="0"/>
    <n v="0"/>
    <n v="26.29"/>
    <n v="0"/>
    <n v="0"/>
    <n v="0"/>
    <n v="0"/>
    <n v="0"/>
    <n v="26.29"/>
    <n v="26.29"/>
    <n v="0"/>
    <n v="26.29"/>
    <n v="-11.614999999999998"/>
    <n v="0"/>
    <n v="0"/>
    <n v="0"/>
    <n v="0"/>
    <n v="0"/>
    <n v="0"/>
    <n v="0"/>
    <n v="0"/>
    <n v="0"/>
    <n v="0"/>
    <n v="0"/>
    <n v="0"/>
    <n v="0"/>
    <n v="0"/>
    <n v="174.52500000000001"/>
    <n v="0"/>
    <n v="0"/>
    <n v="0"/>
    <n v="0"/>
    <n v="0"/>
    <m/>
    <m/>
    <m/>
    <m/>
    <m/>
    <m/>
    <m/>
    <m/>
    <m/>
    <s v="1"/>
    <s v="1"/>
    <s v="1"/>
    <s v="1"/>
    <s v="1"/>
    <m/>
    <m/>
    <m/>
    <m/>
    <m/>
    <m/>
    <m/>
    <m/>
    <m/>
    <m/>
    <m/>
    <m/>
    <m/>
    <m/>
  </r>
  <r>
    <n v="742"/>
    <d v="2025-01-20T00:00:00"/>
    <s v="ZBTF"/>
    <n v="9518444919"/>
    <n v="2"/>
    <s v="9518444919-2"/>
    <m/>
    <s v="Stocks"/>
    <s v="Released orders"/>
    <x v="1"/>
    <x v="4"/>
    <s v="1000-IPPE"/>
    <m/>
    <x v="0"/>
    <m/>
    <m/>
    <m/>
    <s v="North"/>
    <s v="PILKHUWA"/>
    <m/>
    <n v="600250"/>
    <s v="TATA CENTER"/>
    <n v="2439203"/>
    <s v="CRCA COIL TSBSTA EL06 0.500X1160"/>
    <s v=" "/>
    <s v=""/>
    <n v="8"/>
    <n v="13"/>
    <s v="Wider"/>
    <s v="C01"/>
    <s v="TSBSTA"/>
    <s v="EL06"/>
    <n v="0.5"/>
    <n v="1160"/>
    <n v="0"/>
    <n v="297"/>
    <n v="296.63"/>
    <n v="73.265000000000001"/>
    <n v="49.335000000000001"/>
    <n v="52.15"/>
    <n v="0"/>
    <m/>
    <n v="0"/>
    <n v="49.335000000000001"/>
    <n v="0"/>
    <n v="0"/>
    <n v="82.05680000000001"/>
    <n v="0"/>
    <n v="0"/>
    <n v="0"/>
    <n v="0"/>
    <n v="0"/>
    <n v="0"/>
    <n v="0"/>
    <n v="0"/>
    <n v="0"/>
    <n v="0"/>
    <n v="0"/>
    <n v="0"/>
    <n v="0"/>
    <n v="0"/>
    <n v="0"/>
    <n v="0"/>
    <n v="0"/>
    <n v="0"/>
    <n v="0"/>
    <n v="0"/>
    <n v="0"/>
    <n v="0"/>
    <n v="52.15"/>
    <n v="24.68"/>
    <n v="0"/>
    <n v="0"/>
    <n v="0"/>
    <n v="0"/>
    <n v="0"/>
    <n v="0"/>
    <n v="24.68"/>
    <n v="24.68"/>
    <n v="0"/>
    <n v="0"/>
    <n v="0"/>
    <n v="0"/>
    <n v="0"/>
    <n v="112.17500000000001"/>
    <n v="0"/>
    <n v="0"/>
    <n v="0"/>
    <n v="0"/>
    <n v="0"/>
    <m/>
    <m/>
    <m/>
    <m/>
    <m/>
    <m/>
    <m/>
    <m/>
    <m/>
    <s v="1"/>
    <s v="1"/>
    <s v="1"/>
    <s v="1"/>
    <s v="1"/>
    <m/>
    <m/>
    <m/>
    <m/>
    <m/>
    <m/>
    <m/>
    <m/>
    <m/>
    <m/>
    <m/>
    <m/>
    <m/>
    <m/>
  </r>
  <r>
    <n v="742"/>
    <d v="2025-01-20T00:00:00"/>
    <s v="ZBTF"/>
    <n v="9518444919"/>
    <n v="3"/>
    <s v="9518444919-3"/>
    <m/>
    <s v="No Priority"/>
    <s v="Released orders"/>
    <x v="1"/>
    <x v="4"/>
    <s v="1000-IPPE"/>
    <m/>
    <x v="1"/>
    <m/>
    <m/>
    <m/>
    <s v="North"/>
    <s v="PILKHUWA"/>
    <m/>
    <n v="600250"/>
    <s v="TATA CENTER"/>
    <n v="2439203"/>
    <s v="CRCA COIL TSBSTA EL06 0.500X1160"/>
    <s v=" "/>
    <s v=""/>
    <n v="8"/>
    <n v="13"/>
    <s v="Wider"/>
    <s v="C01"/>
    <s v="TSBSTA"/>
    <s v="EL06"/>
    <n v="0.5"/>
    <n v="1160"/>
    <n v="0"/>
    <n v="297"/>
    <n v="287.11"/>
    <n v="47.314999999999998"/>
    <n v="9.89"/>
    <n v="1.18"/>
    <n v="0"/>
    <m/>
    <m/>
    <n v="0"/>
    <n v="9.89"/>
    <n v="0"/>
    <n v="23.648800000000001"/>
    <n v="0"/>
    <n v="0"/>
    <n v="0"/>
    <n v="0"/>
    <n v="0"/>
    <n v="0"/>
    <n v="0"/>
    <n v="0"/>
    <n v="0"/>
    <n v="0"/>
    <n v="0"/>
    <n v="0"/>
    <n v="26.2"/>
    <n v="0"/>
    <n v="0"/>
    <n v="0"/>
    <n v="0"/>
    <n v="0"/>
    <n v="26.2"/>
    <n v="26.2"/>
    <n v="0"/>
    <n v="26.2"/>
    <n v="1.18"/>
    <n v="0"/>
    <n v="0"/>
    <n v="0"/>
    <n v="0"/>
    <n v="0"/>
    <n v="0"/>
    <n v="0"/>
    <n v="0"/>
    <n v="0"/>
    <n v="0"/>
    <n v="0"/>
    <n v="0"/>
    <n v="0"/>
    <n v="0"/>
    <n v="174.87"/>
    <n v="0"/>
    <n v="0"/>
    <n v="0"/>
    <n v="0"/>
    <n v="0"/>
    <m/>
    <m/>
    <m/>
    <m/>
    <m/>
    <m/>
    <m/>
    <m/>
    <m/>
    <s v="1"/>
    <s v="1"/>
    <s v="1"/>
    <s v="1"/>
    <s v="1"/>
    <m/>
    <m/>
    <m/>
    <m/>
    <m/>
    <s v="Process delay at TLL"/>
    <m/>
    <m/>
    <m/>
    <m/>
    <m/>
    <m/>
    <m/>
    <m/>
  </r>
  <r>
    <n v="742"/>
    <d v="2025-01-20T00:00:00"/>
    <s v="ZBTF"/>
    <n v="9518444919"/>
    <n v="4"/>
    <s v="9518444919-4"/>
    <m/>
    <s v="Stocks"/>
    <s v="Released orders"/>
    <x v="1"/>
    <x v="4"/>
    <s v="1000-IPPE"/>
    <m/>
    <x v="0"/>
    <m/>
    <m/>
    <m/>
    <s v="North"/>
    <s v="PILKHUWA"/>
    <m/>
    <n v="600250"/>
    <s v="TATA CENTER"/>
    <n v="2439203"/>
    <s v="CRCA COIL TSBSTA EL06 0.500X1160"/>
    <s v=" "/>
    <s v=""/>
    <n v="8"/>
    <n v="13"/>
    <s v="Wider"/>
    <s v="C01"/>
    <s v="TSBSTA"/>
    <s v="EL06"/>
    <n v="0.5"/>
    <n v="1160"/>
    <n v="0"/>
    <n v="297"/>
    <n v="289.67"/>
    <n v="92.605000000000004"/>
    <n v="31.11"/>
    <n v="39.39"/>
    <n v="0"/>
    <m/>
    <n v="52.56"/>
    <n v="0"/>
    <n v="7.33"/>
    <n v="0"/>
    <n v="43.926400000000001"/>
    <n v="0"/>
    <n v="0"/>
    <n v="0"/>
    <n v="0"/>
    <n v="0"/>
    <n v="0"/>
    <n v="0.82500000000000007"/>
    <n v="0"/>
    <n v="0"/>
    <n v="0"/>
    <n v="0"/>
    <n v="0"/>
    <n v="52.56"/>
    <n v="0"/>
    <n v="0"/>
    <n v="0"/>
    <n v="0"/>
    <n v="0"/>
    <n v="53.385000000000005"/>
    <n v="52.56"/>
    <n v="0"/>
    <n v="52.56"/>
    <n v="-13.170000000000002"/>
    <n v="11.19"/>
    <n v="0"/>
    <n v="0"/>
    <n v="0"/>
    <n v="0"/>
    <n v="0"/>
    <n v="0"/>
    <n v="11.19"/>
    <n v="11.19"/>
    <n v="0"/>
    <n v="0"/>
    <n v="0"/>
    <n v="0"/>
    <n v="0"/>
    <n v="99.12"/>
    <n v="0"/>
    <n v="0"/>
    <n v="0"/>
    <n v="0"/>
    <n v="0"/>
    <m/>
    <m/>
    <m/>
    <m/>
    <m/>
    <m/>
    <m/>
    <m/>
    <m/>
    <s v="1"/>
    <s v="1"/>
    <s v="1"/>
    <s v="1"/>
    <s v="1"/>
    <m/>
    <m/>
    <m/>
    <m/>
    <m/>
    <s v="Wrongly committed in 1st week"/>
    <m/>
    <m/>
    <m/>
    <m/>
    <m/>
    <m/>
    <m/>
    <m/>
  </r>
  <r>
    <n v="742"/>
    <d v="2024-12-18T00:00:00"/>
    <s v="ZBTO"/>
    <n v="9518353034"/>
    <n v="2"/>
    <s v="9518353034-2"/>
    <m/>
    <s v="Mar'25 additional"/>
    <s v="Released orders"/>
    <x v="1"/>
    <x v="3"/>
    <s v="2000-BPRS"/>
    <m/>
    <x v="0"/>
    <s v="Mar"/>
    <m/>
    <m/>
    <s v="North"/>
    <s v="LONI"/>
    <m/>
    <n v="123052"/>
    <s v="G R GUPTA &amp; BROS"/>
    <n v="1804772"/>
    <s v="CRCA COIL TATXXD AU03 0.4X1250"/>
    <m/>
    <m/>
    <n v="10"/>
    <n v="30"/>
    <s v="Wider"/>
    <s v="C01"/>
    <s v="TATXXD"/>
    <s v="AU03"/>
    <n v="0.4"/>
    <n v="1250"/>
    <n v="0"/>
    <n v="29"/>
    <n v="0"/>
    <n v="29"/>
    <n v="29"/>
    <n v="27.04"/>
    <n v="0"/>
    <m/>
    <n v="0"/>
    <n v="1.9600000000000009"/>
    <n v="29"/>
    <n v="0"/>
    <n v="0"/>
    <n v="0"/>
    <n v="0"/>
    <n v="0"/>
    <n v="0"/>
    <n v="0"/>
    <n v="0"/>
    <n v="0"/>
    <n v="0"/>
    <n v="0"/>
    <n v="0"/>
    <n v="27.04"/>
    <n v="0"/>
    <n v="0"/>
    <n v="0"/>
    <n v="0"/>
    <n v="0"/>
    <n v="0"/>
    <n v="0"/>
    <n v="27.04"/>
    <n v="27.04"/>
    <n v="0"/>
    <n v="27.04"/>
    <n v="27.04"/>
    <n v="0"/>
    <n v="29"/>
    <n v="0"/>
    <n v="29"/>
    <n v="0"/>
    <n v="0"/>
    <n v="0"/>
    <n v="29"/>
    <n v="0"/>
    <n v="29"/>
    <n v="0"/>
    <n v="0"/>
    <n v="0"/>
    <n v="0"/>
    <n v="0"/>
    <n v="0"/>
    <n v="0"/>
    <n v="0"/>
    <n v="0"/>
    <n v="0"/>
    <m/>
    <m/>
    <m/>
    <m/>
    <m/>
    <m/>
    <m/>
    <m/>
    <m/>
    <s v="1"/>
    <s v="0"/>
    <s v="1"/>
    <s v="1"/>
    <s v="1"/>
    <m/>
    <m/>
    <m/>
    <m/>
    <m/>
    <m/>
    <m/>
    <m/>
    <m/>
    <m/>
    <m/>
    <m/>
    <m/>
    <m/>
  </r>
  <r>
    <n v="742"/>
    <d v="2024-12-18T00:00:00"/>
    <s v="ZBTO"/>
    <n v="9518353782"/>
    <n v="2"/>
    <s v="9518353782-2"/>
    <m/>
    <s v="No Priority"/>
    <s v="Released orders"/>
    <x v="1"/>
    <x v="3"/>
    <s v="2000-BPRS"/>
    <m/>
    <x v="1"/>
    <s v="Mar"/>
    <m/>
    <m/>
    <s v="North"/>
    <s v="ZOSOLA"/>
    <m/>
    <n v="184986"/>
    <s v="SWASTIK STEEL PROCESSOR LLP"/>
    <n v="1800890"/>
    <s v="CRCA COIL-TATXXD-AU03-0.35X1250"/>
    <m/>
    <m/>
    <n v="7"/>
    <n v="29"/>
    <s v="Wider"/>
    <s v="C01"/>
    <s v="TATXXD"/>
    <s v="AU03"/>
    <n v="0.35"/>
    <n v="1250"/>
    <n v="0"/>
    <n v="116"/>
    <n v="101.33"/>
    <n v="91.08"/>
    <n v="91.08"/>
    <n v="80.510000000000005"/>
    <n v="0"/>
    <m/>
    <n v="80.88"/>
    <n v="10.200000000000003"/>
    <n v="14.67"/>
    <n v="0"/>
    <n v="0"/>
    <n v="0"/>
    <n v="0"/>
    <n v="0"/>
    <n v="0"/>
    <n v="0"/>
    <n v="0"/>
    <n v="0"/>
    <n v="0"/>
    <n v="0"/>
    <n v="0"/>
    <n v="0"/>
    <n v="0"/>
    <n v="80.88"/>
    <n v="0"/>
    <n v="0"/>
    <n v="0"/>
    <n v="0"/>
    <n v="0"/>
    <n v="80.88"/>
    <n v="80.88"/>
    <n v="0"/>
    <n v="80.88"/>
    <n v="-0.36999999999999034"/>
    <n v="0"/>
    <n v="0"/>
    <n v="0"/>
    <n v="0"/>
    <n v="0"/>
    <n v="0"/>
    <n v="0"/>
    <n v="0"/>
    <n v="0"/>
    <n v="0"/>
    <n v="0"/>
    <n v="0"/>
    <n v="0"/>
    <n v="0"/>
    <n v="0"/>
    <n v="0"/>
    <n v="0"/>
    <n v="0"/>
    <n v="0"/>
    <n v="0"/>
    <m/>
    <m/>
    <m/>
    <m/>
    <m/>
    <m/>
    <m/>
    <m/>
    <m/>
    <s v="1"/>
    <s v="1"/>
    <s v="1"/>
    <s v="1"/>
    <s v="1"/>
    <m/>
    <m/>
    <m/>
    <m/>
    <m/>
    <m/>
    <m/>
    <m/>
    <m/>
    <m/>
    <m/>
    <m/>
    <m/>
    <m/>
  </r>
  <r>
    <n v="742"/>
    <d v="2024-12-15T00:00:00"/>
    <s v="ZBTO"/>
    <n v="9518345592"/>
    <n v="2"/>
    <s v="9518345592-2"/>
    <m/>
    <s v="Mar'25 additional"/>
    <s v="Released orders"/>
    <x v="5"/>
    <x v="5"/>
    <s v="1000-IPPE"/>
    <m/>
    <x v="0"/>
    <m/>
    <m/>
    <m/>
    <s v="West"/>
    <s v="VILLAGE-PRAGPAR"/>
    <m/>
    <n v="189108"/>
    <s v="Manaksia Coated Metals &amp; Industries"/>
    <n v="2154931"/>
    <s v="CRFH COIL TATFHC TR10 0.360X1220"/>
    <m/>
    <s v=""/>
    <n v="8"/>
    <n v="20"/>
    <s v="Wider"/>
    <s v="C09"/>
    <s v="TATFHC"/>
    <s v="TR10"/>
    <n v="0.36"/>
    <n v="1220"/>
    <n v="0"/>
    <n v="252"/>
    <n v="227.77"/>
    <n v="24.23"/>
    <n v="24.23"/>
    <n v="0"/>
    <n v="24.23"/>
    <m/>
    <n v="0"/>
    <n v="24.23"/>
    <n v="24.23"/>
    <n v="0"/>
    <n v="27.1376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4"/>
    <d v="2024-12-24T00:00:00"/>
    <s v="ZBTO"/>
    <n v="9518370344"/>
    <n v="2"/>
    <s v="9518370344-2"/>
    <m/>
    <s v="Mar'25 additional"/>
    <s v="Released orders"/>
    <x v="4"/>
    <x v="7"/>
    <s v="1000-IPPE"/>
    <m/>
    <x v="0"/>
    <m/>
    <m/>
    <m/>
    <s v="East"/>
    <s v="GAMHARIA"/>
    <m/>
    <n v="940016"/>
    <s v="TATA BLUESCOPE STEEL PVT LTD."/>
    <n v="3883538"/>
    <s v="PPGL C HARD Y550PL ISC6 0.300X1220"/>
    <n v="70"/>
    <s v="PRO BLUE TSL 1913"/>
    <n v="3"/>
    <n v="5"/>
    <s v="Wider"/>
    <s v="B18"/>
    <s v="Y550PL"/>
    <s v="ISC6"/>
    <n v="0.3"/>
    <n v="1220"/>
    <n v="0"/>
    <n v="56"/>
    <n v="37.085000000000001"/>
    <n v="25.324999999999999"/>
    <n v="25.324999999999999"/>
    <n v="39.89"/>
    <n v="0"/>
    <m/>
    <n v="39.89"/>
    <n v="0"/>
    <n v="18.914999999999999"/>
    <n v="0"/>
    <n v="0"/>
    <n v="28.78"/>
    <n v="0"/>
    <n v="0"/>
    <n v="0"/>
    <n v="0"/>
    <n v="0"/>
    <n v="5.3500000000000005"/>
    <n v="0"/>
    <n v="11.625"/>
    <n v="0"/>
    <n v="0"/>
    <n v="0"/>
    <n v="0"/>
    <n v="0"/>
    <n v="0"/>
    <n v="0"/>
    <n v="0"/>
    <n v="0"/>
    <n v="45.755000000000003"/>
    <n v="45.755000000000003"/>
    <n v="0"/>
    <n v="45.755000000000003"/>
    <n v="0"/>
    <n v="6.41"/>
    <n v="18.914999999999999"/>
    <n v="0"/>
    <n v="0"/>
    <n v="0"/>
    <n v="0"/>
    <n v="18.914999999999999"/>
    <n v="25.324999999999999"/>
    <n v="0"/>
    <n v="0"/>
    <n v="0"/>
    <n v="0"/>
    <n v="25.324999999999999"/>
    <n v="0"/>
    <n v="0"/>
    <n v="0"/>
    <n v="0"/>
    <n v="0"/>
    <n v="0"/>
    <n v="0"/>
    <m/>
    <m/>
    <m/>
    <m/>
    <m/>
    <m/>
    <m/>
    <m/>
    <m/>
    <s v="1"/>
    <s v="1"/>
    <s v="1"/>
    <s v="1"/>
    <s v="0"/>
    <m/>
    <m/>
    <m/>
    <m/>
    <m/>
    <m/>
    <m/>
    <m/>
    <m/>
    <m/>
    <m/>
    <m/>
    <m/>
    <m/>
  </r>
  <r>
    <n v="744"/>
    <d v="2024-12-28T00:00:00"/>
    <s v="ZBTO"/>
    <n v="9518383994"/>
    <n v="7"/>
    <s v="9518383994-7"/>
    <m/>
    <s v="No Priority"/>
    <s v="Released orders"/>
    <x v="4"/>
    <x v="7"/>
    <s v="1000-IPPE"/>
    <m/>
    <x v="1"/>
    <m/>
    <m/>
    <m/>
    <s v="East"/>
    <s v="GAMHARIA"/>
    <m/>
    <n v="940016"/>
    <s v="TATA BLUESCOPE STEEL PVT LTD."/>
    <n v="3837006"/>
    <s v="PPGL C YS550 HPL8 0.45BMT(0.50TPT)X1220"/>
    <n v="70"/>
    <s v="SAGE GREEN TSL 258"/>
    <n v="3"/>
    <n v="5"/>
    <s v="Wider"/>
    <s v="B18"/>
    <s v="Y550PL"/>
    <s v="HPL8"/>
    <n v="0.45"/>
    <n v="1220"/>
    <n v="0"/>
    <n v="140"/>
    <n v="69.665000000000006"/>
    <n v="70.334999999999994"/>
    <n v="70.334999999999994"/>
    <n v="78.260000000000005"/>
    <n v="0"/>
    <m/>
    <n v="78.260000000000005"/>
    <n v="0"/>
    <n v="70.334999999999994"/>
    <n v="0"/>
    <n v="0"/>
    <n v="0"/>
    <n v="0"/>
    <n v="0"/>
    <n v="0"/>
    <n v="0"/>
    <n v="0"/>
    <n v="0"/>
    <n v="0"/>
    <n v="78.260000000000005"/>
    <n v="0"/>
    <n v="0"/>
    <n v="0"/>
    <n v="0"/>
    <n v="0"/>
    <n v="0"/>
    <n v="0"/>
    <n v="0"/>
    <n v="0"/>
    <n v="78.260000000000005"/>
    <n v="78.260000000000005"/>
    <n v="0"/>
    <n v="78.260000000000005"/>
    <n v="0"/>
    <n v="0"/>
    <n v="0"/>
    <n v="0"/>
    <n v="0"/>
    <n v="0"/>
    <n v="0"/>
    <n v="0"/>
    <n v="0"/>
    <n v="0"/>
    <n v="0"/>
    <n v="0"/>
    <n v="0"/>
    <n v="0"/>
    <n v="0"/>
    <n v="0"/>
    <n v="0"/>
    <n v="0"/>
    <n v="0"/>
    <n v="0"/>
    <n v="0"/>
    <m/>
    <m/>
    <m/>
    <m/>
    <m/>
    <m/>
    <m/>
    <m/>
    <m/>
    <s v="1"/>
    <s v="1"/>
    <s v="1"/>
    <s v="1"/>
    <s v="1"/>
    <m/>
    <m/>
    <m/>
    <m/>
    <m/>
    <m/>
    <m/>
    <m/>
    <m/>
    <m/>
    <m/>
    <m/>
    <m/>
    <m/>
  </r>
  <r>
    <n v="744"/>
    <d v="2024-12-26T00:00:00"/>
    <s v="ZBTO"/>
    <n v="9518377811"/>
    <n v="1"/>
    <s v="9518377811-1"/>
    <m/>
    <s v="Stocks"/>
    <s v="Released orders"/>
    <x v="4"/>
    <x v="7"/>
    <s v="1000-IPPE"/>
    <m/>
    <x v="0"/>
    <m/>
    <m/>
    <m/>
    <s v="TBSPL"/>
    <s v=" "/>
    <m/>
    <n v="941597"/>
    <s v="TATA BLUESCOPE STEEL PRIVATE LIMITE"/>
    <n v="3858001"/>
    <s v="PPGL C Y550 HPL9 0.45BMT(0.57TPT)X1220"/>
    <s v="AZ200"/>
    <s v="ELITE STONE BLUE TSL 1688"/>
    <n v="3"/>
    <n v="5"/>
    <s v="Wider"/>
    <s v="B18"/>
    <s v="Y550PL"/>
    <s v="HPL9"/>
    <n v="0.45"/>
    <n v="1220"/>
    <n v="0"/>
    <n v="56"/>
    <n v="47.92"/>
    <n v="19.03"/>
    <n v="11.96"/>
    <n v="3.88"/>
    <n v="0"/>
    <m/>
    <m/>
    <n v="0"/>
    <n v="8.08"/>
    <n v="0"/>
    <n v="0"/>
    <n v="0"/>
    <n v="0"/>
    <n v="0"/>
    <n v="0"/>
    <n v="0"/>
    <n v="0"/>
    <n v="0"/>
    <n v="0"/>
    <n v="6.4450000000000003"/>
    <n v="0"/>
    <n v="0"/>
    <n v="0"/>
    <n v="0"/>
    <n v="0"/>
    <n v="20.7"/>
    <n v="0"/>
    <n v="0"/>
    <n v="7.07"/>
    <n v="34.215000000000003"/>
    <n v="34.215000000000003"/>
    <n v="0"/>
    <n v="34.215000000000003"/>
    <n v="3.88"/>
    <n v="3.88"/>
    <n v="0"/>
    <n v="0"/>
    <n v="0"/>
    <n v="0"/>
    <n v="0"/>
    <n v="0"/>
    <n v="3.88"/>
    <n v="0"/>
    <n v="3.88"/>
    <n v="0"/>
    <n v="0"/>
    <n v="0"/>
    <n v="0"/>
    <n v="0"/>
    <n v="0"/>
    <n v="0"/>
    <n v="0"/>
    <n v="0"/>
    <n v="0"/>
    <m/>
    <m/>
    <m/>
    <m/>
    <m/>
    <m/>
    <m/>
    <m/>
    <m/>
    <s v="1"/>
    <s v="1"/>
    <s v="1"/>
    <s v="1"/>
    <s v="1"/>
    <m/>
    <m/>
    <m/>
    <m/>
    <m/>
    <s v="Process delay at TLL &amp; CCL"/>
    <m/>
    <m/>
    <m/>
    <m/>
    <m/>
    <m/>
    <m/>
    <m/>
  </r>
  <r>
    <n v="742"/>
    <d v="2024-12-31T00:00:00"/>
    <s v="ZBTF"/>
    <n v="9518395074"/>
    <n v="1"/>
    <s v="9518395074-1"/>
    <m/>
    <s v="Jan'25"/>
    <s v="Released orders"/>
    <x v="5"/>
    <x v="11"/>
    <s v="2000-BPRS"/>
    <n v="500"/>
    <x v="0"/>
    <m/>
    <m/>
    <m/>
    <s v="West"/>
    <s v="KHOPOLI"/>
    <m/>
    <n v="650250"/>
    <s v="TATA STEEL LIMITED,"/>
    <n v="2306895"/>
    <s v="CRFH COIL TATFHC TR10 0.320X1245"/>
    <m/>
    <m/>
    <n v="22"/>
    <n v="25"/>
    <s v="Wider"/>
    <s v="C09"/>
    <s v="TATFHC"/>
    <s v="TR10"/>
    <n v="0.32"/>
    <n v="1245"/>
    <n v="0"/>
    <n v="290"/>
    <n v="97.28"/>
    <n v="216.98"/>
    <n v="192.72"/>
    <n v="0"/>
    <n v="192.72"/>
    <n v="23"/>
    <n v="23"/>
    <n v="169.72"/>
    <n v="192.72"/>
    <n v="0"/>
    <n v="215.65600000000001"/>
    <n v="0"/>
    <n v="0"/>
    <n v="24.43"/>
    <n v="0"/>
    <n v="0"/>
    <n v="0"/>
    <n v="0"/>
    <n v="0"/>
    <n v="0"/>
    <n v="0"/>
    <n v="0"/>
    <n v="0"/>
    <n v="0"/>
    <n v="0"/>
    <n v="0"/>
    <n v="0"/>
    <n v="0"/>
    <n v="0"/>
    <n v="24.43"/>
    <n v="24.43"/>
    <n v="0"/>
    <n v="23"/>
    <n v="-23"/>
    <n v="0"/>
    <n v="192.72"/>
    <n v="0"/>
    <n v="0"/>
    <n v="0"/>
    <n v="0"/>
    <n v="192.72"/>
    <n v="192.72"/>
    <n v="0"/>
    <n v="0"/>
    <n v="0"/>
    <n v="0"/>
    <n v="192.72"/>
    <n v="0"/>
    <n v="48.67"/>
    <n v="0"/>
    <n v="0"/>
    <n v="0"/>
    <n v="0"/>
    <n v="48.67"/>
    <m/>
    <m/>
    <m/>
    <m/>
    <m/>
    <m/>
    <m/>
    <m/>
    <m/>
    <s v="1"/>
    <s v="1"/>
    <s v="1"/>
    <s v="1"/>
    <s v="0"/>
    <m/>
    <m/>
    <m/>
    <m/>
    <m/>
    <m/>
    <m/>
    <m/>
    <m/>
    <m/>
    <m/>
    <m/>
    <m/>
    <m/>
  </r>
  <r>
    <n v="743"/>
    <d v="2025-01-03T00:00:00"/>
    <s v="ZBTO"/>
    <n v="9518403227"/>
    <n v="1"/>
    <s v="9518403227-1"/>
    <m/>
    <s v="Jan'25"/>
    <s v="Released orders"/>
    <x v="3"/>
    <x v="12"/>
    <s v="1000-IPPE"/>
    <m/>
    <x v="0"/>
    <m/>
    <m/>
    <m/>
    <s v="East"/>
    <s v="West Bengal"/>
    <m/>
    <n v="189406"/>
    <s v="Manaksia Steels Limited"/>
    <n v="2427834"/>
    <s v="GL COIL HARD  Y550GL H7GL 0.300X1245"/>
    <m/>
    <m/>
    <n v="7"/>
    <n v="16"/>
    <s v="Wider"/>
    <s v="B04"/>
    <s v="Y550GL"/>
    <s v="H7GL"/>
    <n v="0.3"/>
    <n v="1245"/>
    <n v="0"/>
    <n v="261"/>
    <n v="163.51499999999999"/>
    <n v="125.325"/>
    <n v="97.484999999999999"/>
    <n v="83.555000000000007"/>
    <n v="0"/>
    <m/>
    <m/>
    <n v="97.484999999999999"/>
    <n v="97.484999999999999"/>
    <n v="0"/>
    <n v="0"/>
    <n v="0"/>
    <n v="0"/>
    <n v="0"/>
    <n v="0"/>
    <n v="54.875"/>
    <n v="0"/>
    <n v="55.94"/>
    <n v="0"/>
    <n v="0"/>
    <n v="0"/>
    <n v="0"/>
    <n v="0"/>
    <n v="0"/>
    <n v="0"/>
    <n v="0"/>
    <n v="0"/>
    <n v="0"/>
    <n v="0"/>
    <n v="110.815"/>
    <n v="110.815"/>
    <n v="0"/>
    <n v="110.815"/>
    <n v="83.555000000000007"/>
    <n v="0"/>
    <n v="97.484999999999999"/>
    <n v="0"/>
    <n v="97.484999999999999"/>
    <n v="0"/>
    <n v="0"/>
    <n v="0"/>
    <n v="97.484999999999999"/>
    <n v="0"/>
    <n v="97.484999999999999"/>
    <n v="0"/>
    <n v="0"/>
    <n v="0"/>
    <n v="0"/>
    <n v="67.384999999999991"/>
    <n v="0"/>
    <n v="67.384999999999991"/>
    <n v="0"/>
    <n v="0"/>
    <n v="0"/>
    <m/>
    <m/>
    <m/>
    <m/>
    <m/>
    <m/>
    <m/>
    <m/>
    <m/>
    <s v="1"/>
    <s v="0"/>
    <s v="1"/>
    <s v="1"/>
    <s v="1"/>
    <m/>
    <m/>
    <m/>
    <m/>
    <m/>
    <s v="Process delay at GP02 &amp; trimmer"/>
    <m/>
    <m/>
    <m/>
    <m/>
    <m/>
    <m/>
    <m/>
    <m/>
  </r>
  <r>
    <n v="743"/>
    <d v="2025-01-03T00:00:00"/>
    <s v="ZBTO"/>
    <n v="9518403227"/>
    <n v="2"/>
    <s v="9518403227-2"/>
    <m/>
    <s v="Stocks"/>
    <s v="Released orders"/>
    <x v="3"/>
    <x v="12"/>
    <s v="1000-IPPE"/>
    <m/>
    <x v="0"/>
    <m/>
    <m/>
    <m/>
    <s v="East"/>
    <s v="West Bengal"/>
    <m/>
    <n v="189406"/>
    <s v="Manaksia Steels Limited"/>
    <n v="2427834"/>
    <s v="GL COIL HARD  Y550GL H7GL 0.300X1245"/>
    <m/>
    <m/>
    <n v="7"/>
    <n v="16"/>
    <s v="Wider"/>
    <s v="B04"/>
    <s v="Y550GL"/>
    <s v="H7GL"/>
    <n v="0.3"/>
    <n v="1245"/>
    <n v="0"/>
    <n v="261"/>
    <n v="65.674999999999997"/>
    <n v="261"/>
    <n v="208.375"/>
    <n v="39.356000000000002"/>
    <n v="169.01900000000001"/>
    <n v="85"/>
    <m/>
    <n v="208.375"/>
    <n v="195.32499999999999"/>
    <n v="0"/>
    <n v="201.93600000000004"/>
    <n v="0"/>
    <n v="0"/>
    <n v="0"/>
    <n v="0"/>
    <n v="0"/>
    <n v="0"/>
    <n v="80.7"/>
    <n v="0"/>
    <n v="0"/>
    <n v="0"/>
    <n v="0"/>
    <n v="0"/>
    <n v="0"/>
    <n v="0"/>
    <n v="0"/>
    <n v="0"/>
    <n v="0"/>
    <n v="0"/>
    <n v="80.7"/>
    <n v="80.7"/>
    <n v="0"/>
    <n v="80.7"/>
    <n v="39.356000000000002"/>
    <n v="13.05"/>
    <n v="195.32499999999999"/>
    <n v="0"/>
    <n v="0"/>
    <n v="0"/>
    <n v="195.32499999999999"/>
    <n v="0"/>
    <n v="208.375"/>
    <n v="0"/>
    <n v="0"/>
    <n v="0"/>
    <n v="0"/>
    <n v="208.375"/>
    <n v="0"/>
    <n v="0"/>
    <n v="0"/>
    <n v="0"/>
    <n v="0"/>
    <n v="0"/>
    <n v="0"/>
    <m/>
    <m/>
    <m/>
    <m/>
    <m/>
    <m/>
    <m/>
    <m/>
    <m/>
    <s v="1"/>
    <s v="1"/>
    <s v="1"/>
    <s v="0"/>
    <s v="1"/>
    <m/>
    <m/>
    <m/>
    <m/>
    <m/>
    <m/>
    <m/>
    <m/>
    <m/>
    <m/>
    <m/>
    <m/>
    <m/>
    <m/>
  </r>
  <r>
    <n v="743"/>
    <d v="2024-12-30T00:00:00"/>
    <s v="ZBTO"/>
    <n v="9518392469"/>
    <n v="1"/>
    <s v="9518392469-1"/>
    <m/>
    <s v="Mar'25 additional"/>
    <s v="Released orders"/>
    <x v="3"/>
    <x v="13"/>
    <n v="1000"/>
    <m/>
    <x v="0"/>
    <m/>
    <m/>
    <m/>
    <s v="West"/>
    <s v="Gujarat"/>
    <m/>
    <n v="944226"/>
    <s v="PURSHOTAM PROFILES PRIVATE LIM"/>
    <n v="3889776"/>
    <s v="GL COIL HARD  Y550GL H0GL 0.900X1249"/>
    <n v="150"/>
    <m/>
    <n v="10"/>
    <n v="16"/>
    <s v="Wider"/>
    <s v="B04"/>
    <s v="Y550GL"/>
    <s v="H0GL"/>
    <n v="0.9"/>
    <n v="1249"/>
    <m/>
    <n v="290"/>
    <n v="271.38"/>
    <n v="32.54"/>
    <n v="18.62"/>
    <n v="0"/>
    <n v="18.62"/>
    <n v="25"/>
    <n v="25"/>
    <n v="0"/>
    <n v="18.62"/>
    <n v="0"/>
    <n v="36.444800000000001"/>
    <n v="0"/>
    <n v="0"/>
    <n v="0"/>
    <n v="0"/>
    <n v="0"/>
    <n v="0"/>
    <n v="0"/>
    <n v="0"/>
    <n v="0"/>
    <n v="0"/>
    <n v="0"/>
    <n v="0"/>
    <n v="0"/>
    <n v="0"/>
    <n v="0"/>
    <n v="0"/>
    <n v="0"/>
    <n v="0"/>
    <n v="0"/>
    <n v="0"/>
    <n v="0"/>
    <n v="25"/>
    <n v="-25"/>
    <n v="0"/>
    <n v="18.62"/>
    <n v="18.62"/>
    <n v="0"/>
    <n v="0"/>
    <n v="0"/>
    <n v="0"/>
    <n v="18.62"/>
    <n v="0"/>
    <n v="18.62"/>
    <n v="0"/>
    <n v="0"/>
    <n v="0"/>
    <n v="0"/>
    <n v="0"/>
    <n v="0"/>
    <n v="0"/>
    <n v="0"/>
    <n v="0"/>
    <n v="0"/>
    <m/>
    <m/>
    <m/>
    <m/>
    <m/>
    <m/>
    <m/>
    <m/>
    <m/>
    <s v="0"/>
    <s v="1"/>
    <s v="1"/>
    <s v="1"/>
    <s v="1"/>
    <m/>
    <m/>
    <m/>
    <m/>
    <m/>
    <m/>
    <m/>
    <m/>
    <m/>
    <m/>
    <m/>
    <m/>
    <m/>
    <m/>
  </r>
  <r>
    <n v="743"/>
    <d v="2024-12-30T00:00:00"/>
    <s v="ZBTO"/>
    <n v="9518392471"/>
    <n v="1"/>
    <s v="9518392471-1"/>
    <m/>
    <s v="Mar'25 additional"/>
    <s v="Released orders"/>
    <x v="3"/>
    <x v="13"/>
    <n v="1000"/>
    <m/>
    <x v="0"/>
    <m/>
    <m/>
    <m/>
    <s v="West"/>
    <s v="Gujarat"/>
    <m/>
    <n v="944226"/>
    <s v="PURSHOTAM PROFILES PRIVATE LIM"/>
    <n v="3889776"/>
    <s v="GL COIL HARD  Y550GL H0GL 0.900X1249"/>
    <n v="150"/>
    <m/>
    <n v="10"/>
    <n v="16"/>
    <s v="Wider"/>
    <s v="B04"/>
    <s v="Y550GL"/>
    <s v="H0GL"/>
    <n v="0.9"/>
    <n v="1249"/>
    <m/>
    <n v="290"/>
    <n v="268.54500000000002"/>
    <n v="21.454999999999998"/>
    <n v="21.454999999999998"/>
    <n v="0"/>
    <n v="21.454999999999998"/>
    <n v="25"/>
    <n v="25"/>
    <n v="0"/>
    <n v="21.454999999999998"/>
    <n v="0"/>
    <n v="24.029600000000002"/>
    <n v="0"/>
    <n v="0"/>
    <n v="0"/>
    <n v="0"/>
    <n v="0"/>
    <n v="0"/>
    <n v="0"/>
    <n v="0"/>
    <n v="0"/>
    <n v="0"/>
    <n v="0"/>
    <n v="0"/>
    <n v="0"/>
    <n v="0"/>
    <n v="0"/>
    <n v="0"/>
    <n v="0"/>
    <n v="0"/>
    <n v="0"/>
    <n v="0"/>
    <n v="0"/>
    <n v="25"/>
    <n v="-25"/>
    <n v="0"/>
    <n v="21.454999999999998"/>
    <n v="21.454999999999998"/>
    <n v="0"/>
    <n v="0"/>
    <n v="0"/>
    <n v="0"/>
    <n v="21.454999999999998"/>
    <n v="0"/>
    <n v="21.454999999999998"/>
    <n v="0"/>
    <n v="0"/>
    <n v="0"/>
    <n v="0"/>
    <n v="0"/>
    <n v="0"/>
    <n v="0"/>
    <n v="0"/>
    <n v="0"/>
    <n v="0"/>
    <m/>
    <m/>
    <m/>
    <m/>
    <m/>
    <m/>
    <m/>
    <m/>
    <m/>
    <s v="0"/>
    <s v="1"/>
    <s v="1"/>
    <s v="1"/>
    <s v="1"/>
    <m/>
    <m/>
    <m/>
    <m/>
    <m/>
    <m/>
    <m/>
    <m/>
    <m/>
    <m/>
    <m/>
    <m/>
    <m/>
    <m/>
  </r>
  <r>
    <n v="743"/>
    <d v="2024-12-30T00:00:00"/>
    <s v="ZBTO"/>
    <n v="9518392472"/>
    <n v="1"/>
    <s v="9518392472-1"/>
    <m/>
    <s v="Mar'25 additional"/>
    <s v="Released orders"/>
    <x v="3"/>
    <x v="13"/>
    <n v="1000"/>
    <m/>
    <x v="0"/>
    <m/>
    <m/>
    <m/>
    <s v="West"/>
    <s v="Gujarat"/>
    <m/>
    <n v="944226"/>
    <s v="PURSHOTAM PROFILES PRIVATE LIM"/>
    <n v="3889776"/>
    <s v="GL COIL HARD  Y550GL H0GL 0.900X1249"/>
    <n v="150"/>
    <m/>
    <n v="10"/>
    <n v="16"/>
    <s v="Wider"/>
    <s v="B04"/>
    <s v="Y550GL"/>
    <s v="H0GL"/>
    <n v="0.9"/>
    <n v="1249"/>
    <m/>
    <n v="290"/>
    <n v="267.21499999999997"/>
    <n v="22.785"/>
    <n v="22.785"/>
    <n v="0"/>
    <n v="22.785"/>
    <n v="25"/>
    <n v="25"/>
    <n v="0"/>
    <n v="22.785"/>
    <n v="0"/>
    <n v="25.519200000000001"/>
    <n v="0"/>
    <n v="0"/>
    <n v="0"/>
    <n v="0"/>
    <n v="0"/>
    <n v="0"/>
    <n v="0"/>
    <n v="0"/>
    <n v="0"/>
    <n v="0"/>
    <n v="0"/>
    <n v="0"/>
    <n v="0"/>
    <n v="0"/>
    <n v="0"/>
    <n v="0"/>
    <n v="0"/>
    <n v="0"/>
    <n v="0"/>
    <n v="0"/>
    <n v="0"/>
    <n v="25"/>
    <n v="-25"/>
    <n v="0"/>
    <n v="22.785"/>
    <n v="22.785"/>
    <n v="0"/>
    <n v="0"/>
    <n v="0"/>
    <n v="0"/>
    <n v="22.785"/>
    <n v="0"/>
    <n v="22.785"/>
    <n v="0"/>
    <n v="0"/>
    <n v="0"/>
    <n v="0"/>
    <n v="0"/>
    <n v="0"/>
    <n v="0"/>
    <n v="0"/>
    <n v="0"/>
    <n v="0"/>
    <m/>
    <m/>
    <m/>
    <m/>
    <m/>
    <m/>
    <m/>
    <m/>
    <m/>
    <s v="0"/>
    <s v="1"/>
    <s v="1"/>
    <s v="1"/>
    <s v="1"/>
    <m/>
    <m/>
    <m/>
    <m/>
    <m/>
    <m/>
    <m/>
    <m/>
    <m/>
    <m/>
    <m/>
    <m/>
    <m/>
    <m/>
  </r>
  <r>
    <n v="742"/>
    <d v="2024-12-19T00:00:00"/>
    <s v="ZBTF"/>
    <n v="4000491950"/>
    <n v="4"/>
    <s v="4000491950-4"/>
    <m/>
    <s v="No Priority"/>
    <s v="Released orders"/>
    <x v="0"/>
    <x v="9"/>
    <s v="2000-BPRS"/>
    <m/>
    <x v="1"/>
    <m/>
    <m/>
    <m/>
    <s v="South"/>
    <s v="YESHWANTHPURA"/>
    <m/>
    <n v="600103"/>
    <s v="TATA STEEL LIMITED"/>
    <n v="1210083"/>
    <s v="HR COILS-PO IS 1079 HR2 2X1250"/>
    <s v=" "/>
    <s v=""/>
    <n v="0"/>
    <n v="0"/>
    <s v="Wider"/>
    <n v="768"/>
    <s v="THR099"/>
    <s v="HR99"/>
    <n v="2"/>
    <n v="1250"/>
    <n v="0"/>
    <n v="300"/>
    <n v="287.8"/>
    <n v="83.18"/>
    <n v="83.18"/>
    <n v="22.32"/>
    <n v="60.86"/>
    <m/>
    <n v="22.32"/>
    <n v="60.860000000000007"/>
    <n v="12.2"/>
    <n v="0"/>
    <n v="93.161600000000021"/>
    <n v="0"/>
    <n v="0"/>
    <n v="0"/>
    <n v="0"/>
    <n v="0"/>
    <n v="0"/>
    <n v="0"/>
    <n v="0"/>
    <n v="0"/>
    <n v="0"/>
    <n v="0"/>
    <n v="0"/>
    <n v="0"/>
    <n v="0"/>
    <n v="0"/>
    <n v="0"/>
    <n v="0"/>
    <n v="0"/>
    <n v="0"/>
    <n v="0"/>
    <n v="0"/>
    <n v="22.32"/>
    <n v="0"/>
    <n v="0"/>
    <n v="0"/>
    <n v="0"/>
    <n v="0"/>
    <n v="0"/>
    <n v="0"/>
    <n v="0"/>
    <n v="0"/>
    <n v="0"/>
    <n v="0"/>
    <n v="0"/>
    <n v="0"/>
    <n v="0"/>
    <n v="0"/>
    <n v="0"/>
    <n v="0"/>
    <n v="0"/>
    <n v="0"/>
    <n v="0"/>
    <n v="0"/>
    <m/>
    <m/>
    <m/>
    <m/>
    <m/>
    <m/>
    <m/>
    <m/>
    <m/>
    <s v="1"/>
    <s v="1"/>
    <s v="1"/>
    <s v="1"/>
    <s v="1"/>
    <m/>
    <m/>
    <m/>
    <m/>
    <m/>
    <m/>
    <m/>
    <m/>
    <m/>
    <m/>
    <m/>
    <m/>
    <m/>
    <m/>
  </r>
  <r>
    <n v="742"/>
    <d v="2024-12-19T00:00:00"/>
    <s v="ZBTF"/>
    <n v="4000491950"/>
    <n v="2"/>
    <s v="4000491950-2"/>
    <m/>
    <s v="No Priority"/>
    <s v="Released orders"/>
    <x v="0"/>
    <x v="9"/>
    <s v="2000-BPRS"/>
    <m/>
    <x v="1"/>
    <m/>
    <m/>
    <m/>
    <s v="South"/>
    <s v="YESHWANTHPURA"/>
    <m/>
    <n v="600103"/>
    <s v="TATA STEEL LIMITED"/>
    <n v="1210083"/>
    <s v="HR COILS-PO IS 1079 HR2 2X1250"/>
    <s v=" "/>
    <s v=""/>
    <n v="10"/>
    <n v="27"/>
    <s v="Wider"/>
    <n v="768"/>
    <s v="THR099"/>
    <s v="HR99"/>
    <n v="2"/>
    <n v="1250"/>
    <n v="0"/>
    <n v="300"/>
    <n v="299.85500000000002"/>
    <n v="133.68"/>
    <n v="0.14499999999999999"/>
    <n v="22.19"/>
    <n v="0"/>
    <m/>
    <n v="22.19"/>
    <n v="0"/>
    <n v="0"/>
    <n v="0"/>
    <n v="99.624000000000009"/>
    <n v="0"/>
    <n v="22.39"/>
    <n v="0"/>
    <n v="0"/>
    <n v="0"/>
    <n v="0"/>
    <n v="0"/>
    <n v="0"/>
    <n v="0"/>
    <n v="0"/>
    <n v="0"/>
    <n v="0"/>
    <n v="0"/>
    <n v="0"/>
    <n v="0"/>
    <n v="0"/>
    <n v="22.34"/>
    <n v="0"/>
    <n v="44.730000000000004"/>
    <n v="44.730000000000004"/>
    <n v="0"/>
    <n v="22.19"/>
    <n v="0"/>
    <n v="0"/>
    <n v="0"/>
    <n v="0"/>
    <n v="0"/>
    <n v="0"/>
    <n v="0"/>
    <n v="0"/>
    <n v="0"/>
    <n v="0"/>
    <n v="0"/>
    <n v="0"/>
    <n v="0"/>
    <n v="0"/>
    <n v="0"/>
    <n v="0"/>
    <n v="0"/>
    <n v="0"/>
    <n v="0"/>
    <n v="0"/>
    <n v="0"/>
    <m/>
    <m/>
    <m/>
    <m/>
    <m/>
    <m/>
    <m/>
    <m/>
    <m/>
    <s v="1"/>
    <s v="1"/>
    <s v="1"/>
    <s v="1"/>
    <s v="1"/>
    <m/>
    <m/>
    <m/>
    <m/>
    <m/>
    <m/>
    <m/>
    <m/>
    <m/>
    <m/>
    <m/>
    <m/>
    <m/>
    <m/>
  </r>
  <r>
    <n v="742"/>
    <d v="2025-01-07T00:00:00"/>
    <s v="ZBTO"/>
    <n v="9518411703"/>
    <n v="1"/>
    <s v="9518411703-1"/>
    <m/>
    <s v="No Priority"/>
    <s v="Released orders"/>
    <x v="0"/>
    <x v="0"/>
    <s v="2000-BPRS"/>
    <m/>
    <x v="1"/>
    <m/>
    <m/>
    <m/>
    <s v="East"/>
    <s v="HOWRAH"/>
    <m/>
    <n v="154464"/>
    <s v="TATA STEEL DOWNSTREAM PRODUCTS LIMI"/>
    <n v="3920661"/>
    <s v="HR COILS-PO I09497 1.80X1275"/>
    <s v=" "/>
    <s v=""/>
    <n v="13"/>
    <n v="28.5"/>
    <s v="Wider"/>
    <n v="768"/>
    <s v="I09497"/>
    <s v="HG01"/>
    <n v="1.8"/>
    <n v="1275"/>
    <n v="0"/>
    <n v="100"/>
    <n v="85.72"/>
    <n v="100"/>
    <n v="100"/>
    <n v="0"/>
    <n v="100"/>
    <n v="100"/>
    <n v="100"/>
    <n v="0"/>
    <n v="14.27"/>
    <n v="0"/>
    <n v="112.00000000000001"/>
    <n v="0"/>
    <n v="0"/>
    <n v="0"/>
    <n v="0"/>
    <n v="0"/>
    <n v="0"/>
    <n v="0"/>
    <n v="0"/>
    <n v="0"/>
    <n v="0"/>
    <n v="0"/>
    <n v="0"/>
    <n v="0"/>
    <n v="0"/>
    <n v="0"/>
    <n v="0"/>
    <n v="0"/>
    <n v="0"/>
    <n v="0"/>
    <n v="0"/>
    <n v="0"/>
    <n v="100"/>
    <n v="-100"/>
    <n v="0"/>
    <n v="0"/>
    <n v="0"/>
    <n v="0"/>
    <n v="0"/>
    <n v="0"/>
    <n v="0"/>
    <n v="0"/>
    <n v="0"/>
    <n v="0"/>
    <n v="0"/>
    <n v="0"/>
    <n v="0"/>
    <n v="0"/>
    <n v="0"/>
    <n v="0"/>
    <n v="0"/>
    <n v="0"/>
    <n v="0"/>
    <n v="0"/>
    <m/>
    <m/>
    <m/>
    <m/>
    <m/>
    <m/>
    <m/>
    <m/>
    <m/>
    <s v="1"/>
    <s v="1"/>
    <s v="1"/>
    <s v="1"/>
    <s v="1"/>
    <m/>
    <m/>
    <m/>
    <m/>
    <m/>
    <m/>
    <m/>
    <m/>
    <m/>
    <m/>
    <m/>
    <m/>
    <m/>
    <m/>
  </r>
  <r>
    <n v="742"/>
    <d v="2025-01-03T00:00:00"/>
    <s v="ZBTO"/>
    <n v="9518401789"/>
    <n v="1"/>
    <s v="9518401789-1"/>
    <m/>
    <s v="Stocks"/>
    <s v="Released orders"/>
    <x v="1"/>
    <x v="3"/>
    <s v="2000-BPRS"/>
    <m/>
    <x v="0"/>
    <s v="Mar"/>
    <m/>
    <m/>
    <s v="South"/>
    <s v="YESHWANTHPURA"/>
    <m/>
    <n v="932244"/>
    <s v="DURGA TRADERS"/>
    <n v="1800890"/>
    <s v="CRCA COIL-TATXXD-AU03-0.35X1250"/>
    <s v=" "/>
    <s v=""/>
    <n v="2"/>
    <n v="26"/>
    <s v="Wider"/>
    <s v="C01"/>
    <s v="TATXXD"/>
    <s v="AU03"/>
    <n v="0.35"/>
    <n v="1250"/>
    <n v="0"/>
    <n v="58"/>
    <n v="50.98"/>
    <n v="58"/>
    <n v="58"/>
    <n v="53.81"/>
    <n v="0"/>
    <m/>
    <n v="53.980000000000004"/>
    <n v="4.019999999999996"/>
    <n v="7.02"/>
    <n v="0"/>
    <n v="0"/>
    <n v="0"/>
    <n v="0"/>
    <n v="0"/>
    <n v="0"/>
    <n v="0"/>
    <n v="0"/>
    <n v="0"/>
    <n v="0"/>
    <n v="0"/>
    <n v="0"/>
    <n v="0"/>
    <n v="0"/>
    <n v="53.980000000000004"/>
    <n v="0"/>
    <n v="0"/>
    <n v="0"/>
    <n v="0"/>
    <n v="0"/>
    <n v="53.980000000000004"/>
    <n v="53.980000000000004"/>
    <n v="0"/>
    <n v="53.980000000000004"/>
    <n v="-0.17000000000000171"/>
    <n v="25.744999999999997"/>
    <n v="0"/>
    <n v="0"/>
    <n v="0"/>
    <n v="0"/>
    <n v="0"/>
    <n v="0"/>
    <n v="25.744999999999997"/>
    <n v="25.744999999999997"/>
    <n v="0"/>
    <n v="0"/>
    <n v="0"/>
    <n v="0"/>
    <n v="0"/>
    <n v="0"/>
    <n v="0"/>
    <n v="0"/>
    <n v="0"/>
    <n v="0"/>
    <n v="0"/>
    <m/>
    <m/>
    <m/>
    <m/>
    <m/>
    <m/>
    <m/>
    <m/>
    <m/>
    <s v="1"/>
    <s v="1"/>
    <s v="1"/>
    <s v="1"/>
    <s v="1"/>
    <m/>
    <m/>
    <m/>
    <m/>
    <m/>
    <m/>
    <m/>
    <m/>
    <m/>
    <m/>
    <m/>
    <m/>
    <m/>
    <m/>
  </r>
  <r>
    <n v="742"/>
    <d v="2025-01-20T00:00:00"/>
    <s v="ZBTF"/>
    <n v="9518444919"/>
    <n v="6"/>
    <s v="9518444919-6"/>
    <m/>
    <s v="No Priority"/>
    <s v="Released orders"/>
    <x v="1"/>
    <x v="4"/>
    <s v="1000-IPPE"/>
    <m/>
    <x v="1"/>
    <m/>
    <m/>
    <m/>
    <s v="North"/>
    <s v="PILKHUWA"/>
    <m/>
    <n v="600250"/>
    <s v="TATA CENTER"/>
    <n v="2439203"/>
    <s v="CRCA COIL TSBSTA EL06 0.500X1160"/>
    <s v=" "/>
    <s v=""/>
    <n v="8"/>
    <n v="13"/>
    <s v="Wider"/>
    <s v="C01"/>
    <s v="TSBSTA"/>
    <s v="EL06"/>
    <n v="0.5"/>
    <n v="1160"/>
    <n v="0"/>
    <n v="297"/>
    <n v="286.17500000000001"/>
    <n v="35.585000000000001"/>
    <n v="35.585000000000001"/>
    <n v="26.88"/>
    <n v="0"/>
    <m/>
    <n v="26.88"/>
    <n v="0"/>
    <n v="10.824999999999999"/>
    <n v="0"/>
    <n v="0"/>
    <n v="0"/>
    <n v="0"/>
    <n v="0"/>
    <n v="0"/>
    <n v="0"/>
    <n v="0"/>
    <n v="3.0300000000000002"/>
    <n v="0"/>
    <n v="0"/>
    <n v="0"/>
    <n v="0"/>
    <n v="0"/>
    <n v="0"/>
    <n v="0"/>
    <n v="26.88"/>
    <n v="0"/>
    <n v="0"/>
    <n v="0"/>
    <n v="29.91"/>
    <n v="26.88"/>
    <n v="0"/>
    <n v="26.88"/>
    <n v="0"/>
    <n v="0"/>
    <n v="0"/>
    <n v="0"/>
    <n v="0"/>
    <n v="0"/>
    <n v="0"/>
    <n v="0"/>
    <n v="0"/>
    <n v="0"/>
    <n v="0"/>
    <n v="0"/>
    <n v="0"/>
    <n v="0"/>
    <n v="0"/>
    <n v="37.64"/>
    <n v="0"/>
    <n v="0"/>
    <n v="0"/>
    <n v="0"/>
    <n v="0"/>
    <m/>
    <m/>
    <m/>
    <m/>
    <m/>
    <m/>
    <m/>
    <m/>
    <m/>
    <s v="1"/>
    <s v="1"/>
    <s v="1"/>
    <s v="1"/>
    <s v="1"/>
    <m/>
    <m/>
    <m/>
    <m/>
    <m/>
    <m/>
    <m/>
    <m/>
    <m/>
    <m/>
    <m/>
    <m/>
    <m/>
    <m/>
  </r>
  <r>
    <n v="743"/>
    <d v="2025-01-06T00:00:00"/>
    <s v="ZBTO"/>
    <n v="9518407442"/>
    <n v="4"/>
    <s v="9518407442-4"/>
    <m/>
    <s v="Stocks"/>
    <s v="Released orders"/>
    <x v="2"/>
    <x v="2"/>
    <s v="2000-BPRS"/>
    <m/>
    <x v="0"/>
    <m/>
    <m/>
    <m/>
    <s v="East"/>
    <s v="KOLKATA"/>
    <m/>
    <n v="100922"/>
    <s v="BUBNA COMMERCIAL COMPANY"/>
    <n v="3215894"/>
    <s v="GP COIL SOFT-TATXGP-GLK1-0.6X900"/>
    <s v="Z80"/>
    <s v=""/>
    <n v="5"/>
    <n v="15"/>
    <s v="Narrow"/>
    <s v="C02"/>
    <s v="TATXGP"/>
    <s v="GLK1"/>
    <n v="0.6"/>
    <n v="900"/>
    <n v="0"/>
    <n v="84"/>
    <n v="77.19"/>
    <n v="84"/>
    <n v="65.025000000000006"/>
    <n v="59.76"/>
    <n v="0"/>
    <m/>
    <n v="59.76"/>
    <n v="0"/>
    <n v="6.81"/>
    <n v="0"/>
    <n v="94.080000000000013"/>
    <n v="0"/>
    <n v="0"/>
    <n v="0"/>
    <n v="0"/>
    <n v="0"/>
    <n v="0"/>
    <n v="0"/>
    <n v="0"/>
    <n v="0"/>
    <n v="0"/>
    <n v="0"/>
    <n v="0"/>
    <n v="0"/>
    <n v="0"/>
    <n v="0"/>
    <n v="0"/>
    <n v="0"/>
    <n v="0"/>
    <n v="0"/>
    <n v="0"/>
    <n v="0"/>
    <n v="59.76"/>
    <n v="0"/>
    <n v="19.760000000000002"/>
    <n v="0"/>
    <n v="0"/>
    <n v="0"/>
    <n v="0"/>
    <n v="0"/>
    <n v="0"/>
    <n v="19.760000000000002"/>
    <n v="19.760000000000002"/>
    <n v="0"/>
    <n v="0"/>
    <n v="0"/>
    <n v="0"/>
    <n v="0"/>
    <n v="0"/>
    <n v="0"/>
    <n v="0"/>
    <n v="0"/>
    <n v="0"/>
    <n v="0"/>
    <m/>
    <m/>
    <m/>
    <m/>
    <m/>
    <m/>
    <m/>
    <m/>
    <m/>
    <s v="1"/>
    <s v="1"/>
    <s v="1"/>
    <s v="1"/>
    <s v="1"/>
    <m/>
    <m/>
    <m/>
    <m/>
    <m/>
    <m/>
    <m/>
    <m/>
    <m/>
    <m/>
    <m/>
    <m/>
    <m/>
    <m/>
  </r>
  <r>
    <n v="742"/>
    <d v="2024-12-18T00:00:00"/>
    <s v="ZBTO"/>
    <n v="9518353819"/>
    <n v="1"/>
    <s v="9518353819-1"/>
    <m/>
    <s v="Stocks"/>
    <s v="Released orders"/>
    <x v="1"/>
    <x v="3"/>
    <s v="2200-BPRS"/>
    <m/>
    <x v="0"/>
    <m/>
    <m/>
    <m/>
    <s v="West"/>
    <s v="SIYAGANJ"/>
    <m/>
    <n v="120961"/>
    <s v="S K M STEELS LIMITED"/>
    <n v="187532"/>
    <s v="CRSHEET-ICF  DQ TATXXD AU03 1.50 X 1250"/>
    <s v=" "/>
    <s v=""/>
    <n v="18"/>
    <n v="25"/>
    <s v="Wider"/>
    <s v="C01"/>
    <s v="TATXXD"/>
    <s v="AU03"/>
    <n v="1.5"/>
    <n v="1250"/>
    <n v="0"/>
    <n v="86.99"/>
    <n v="85.004999999999995"/>
    <n v="52.225000000000001"/>
    <n v="52.225000000000001"/>
    <n v="55.18"/>
    <n v="0"/>
    <m/>
    <n v="1.45"/>
    <n v="50.774999999999999"/>
    <n v="1.9750000000000001"/>
    <n v="0"/>
    <n v="0"/>
    <n v="0"/>
    <n v="0"/>
    <n v="0"/>
    <n v="0"/>
    <n v="0"/>
    <n v="0"/>
    <n v="0"/>
    <n v="0"/>
    <n v="0"/>
    <n v="0"/>
    <n v="0"/>
    <n v="55.18"/>
    <n v="0"/>
    <n v="0"/>
    <n v="1.45"/>
    <n v="0"/>
    <n v="0"/>
    <n v="0"/>
    <n v="56.63"/>
    <n v="56.63"/>
    <n v="0"/>
    <n v="56.63"/>
    <n v="53.73"/>
    <n v="25.005000000000003"/>
    <n v="0"/>
    <n v="0"/>
    <n v="0"/>
    <n v="0"/>
    <n v="0"/>
    <n v="0"/>
    <n v="25.005000000000003"/>
    <n v="25.005000000000003"/>
    <n v="0"/>
    <n v="0"/>
    <n v="0"/>
    <n v="0"/>
    <n v="0"/>
    <n v="0"/>
    <n v="0"/>
    <n v="0"/>
    <n v="0"/>
    <n v="0"/>
    <n v="0"/>
    <m/>
    <m/>
    <m/>
    <m/>
    <m/>
    <m/>
    <m/>
    <m/>
    <m/>
    <s v="1"/>
    <s v="1"/>
    <s v="1"/>
    <s v="1"/>
    <s v="1"/>
    <m/>
    <m/>
    <m/>
    <m/>
    <m/>
    <m/>
    <m/>
    <m/>
    <m/>
    <m/>
    <m/>
    <m/>
    <m/>
    <m/>
  </r>
  <r>
    <n v="742"/>
    <d v="2024-12-10T00:00:00"/>
    <s v="ZBTO"/>
    <n v="9518334424"/>
    <n v="15"/>
    <s v="9518334424-15"/>
    <m/>
    <s v="Stocks"/>
    <s v="Released orders"/>
    <x v="1"/>
    <x v="3"/>
    <s v="2000-BPRS"/>
    <m/>
    <x v="0"/>
    <s v="Mar"/>
    <s v="Low exp BTF"/>
    <m/>
    <s v="South"/>
    <s v="SANGAREDDY"/>
    <m/>
    <n v="947126"/>
    <s v="RAVINDRA IRON WORKS"/>
    <n v="2386038"/>
    <s v="CRCA COIL TATXXD AU03 1.200X1320"/>
    <s v=" "/>
    <s v=""/>
    <n v="5"/>
    <n v="30"/>
    <s v="Wider"/>
    <s v="C01"/>
    <s v="TATXXD"/>
    <s v="AU03"/>
    <n v="1.2"/>
    <n v="1320"/>
    <n v="0"/>
    <n v="60"/>
    <n v="54.115000000000002"/>
    <n v="60"/>
    <n v="60"/>
    <n v="57.66"/>
    <n v="0"/>
    <m/>
    <n v="0"/>
    <n v="2.3399999999999963"/>
    <n v="5.8849999999999998"/>
    <n v="0"/>
    <n v="0"/>
    <n v="0"/>
    <n v="0"/>
    <n v="0"/>
    <n v="0"/>
    <n v="0"/>
    <n v="0"/>
    <n v="0"/>
    <n v="0"/>
    <n v="0"/>
    <n v="0"/>
    <n v="0"/>
    <n v="57.660000000000004"/>
    <n v="0"/>
    <n v="0"/>
    <n v="0"/>
    <n v="0"/>
    <n v="0"/>
    <n v="0"/>
    <n v="57.660000000000004"/>
    <n v="57.660000000000004"/>
    <n v="0"/>
    <n v="57.660000000000004"/>
    <n v="57.66"/>
    <n v="27.094999999999999"/>
    <n v="0"/>
    <n v="0"/>
    <n v="0"/>
    <n v="0"/>
    <n v="0"/>
    <n v="0"/>
    <n v="27.094999999999999"/>
    <n v="27.094999999999999"/>
    <n v="0"/>
    <n v="0"/>
    <n v="0"/>
    <n v="0"/>
    <n v="0"/>
    <n v="0"/>
    <n v="0"/>
    <n v="0"/>
    <n v="0"/>
    <n v="0"/>
    <n v="0"/>
    <m/>
    <m/>
    <m/>
    <m/>
    <m/>
    <m/>
    <m/>
    <m/>
    <m/>
    <s v="1"/>
    <s v="1"/>
    <s v="1"/>
    <s v="1"/>
    <s v="1"/>
    <m/>
    <m/>
    <m/>
    <m/>
    <m/>
    <m/>
    <m/>
    <m/>
    <m/>
    <m/>
    <m/>
    <m/>
    <m/>
    <m/>
  </r>
  <r>
    <n v="742"/>
    <d v="2025-01-06T00:00:00"/>
    <s v="ZBTO"/>
    <n v="9518407181"/>
    <n v="1"/>
    <s v="9518407181-1"/>
    <m/>
    <s v="Stocks"/>
    <s v="Released orders"/>
    <x v="0"/>
    <x v="0"/>
    <s v="2000-BPRS"/>
    <m/>
    <x v="0"/>
    <m/>
    <m/>
    <m/>
    <s v="West"/>
    <s v="NAGPUR"/>
    <m/>
    <n v="154641"/>
    <s v="TATA STEEL DOWNSTREAM PRODUCTS LIMI"/>
    <n v="1210083"/>
    <s v="HR COILS-PO IS 1079 HR2 2X1250"/>
    <s v=" "/>
    <s v=""/>
    <n v="25"/>
    <n v="35"/>
    <s v="Wider"/>
    <n v="768"/>
    <s v="THR099"/>
    <s v="HR99"/>
    <n v="2"/>
    <n v="1250"/>
    <n v="0"/>
    <n v="86.99"/>
    <n v="70.680000000000007"/>
    <n v="38.619999999999997"/>
    <n v="38.619999999999997"/>
    <n v="0"/>
    <n v="38.619999999999997"/>
    <m/>
    <m/>
    <n v="38.619999999999997"/>
    <n v="16.3"/>
    <n v="0"/>
    <n v="43.254400000000004"/>
    <n v="0"/>
    <n v="0"/>
    <n v="0"/>
    <n v="0"/>
    <n v="0"/>
    <n v="0"/>
    <n v="0"/>
    <n v="0"/>
    <n v="0"/>
    <n v="0"/>
    <n v="0"/>
    <n v="0"/>
    <n v="0"/>
    <n v="0"/>
    <n v="0"/>
    <n v="0"/>
    <n v="0"/>
    <n v="0"/>
    <n v="0"/>
    <n v="0"/>
    <n v="0"/>
    <n v="0"/>
    <n v="0"/>
    <n v="22.31"/>
    <n v="0"/>
    <n v="0"/>
    <n v="0"/>
    <n v="0"/>
    <n v="0"/>
    <n v="0"/>
    <n v="22.31"/>
    <n v="22.31"/>
    <n v="0"/>
    <n v="0"/>
    <n v="0"/>
    <n v="0"/>
    <n v="0"/>
    <n v="0"/>
    <n v="0"/>
    <n v="0"/>
    <n v="0"/>
    <n v="0"/>
    <n v="0"/>
    <m/>
    <m/>
    <m/>
    <m/>
    <m/>
    <m/>
    <m/>
    <m/>
    <m/>
    <s v="1"/>
    <s v="1"/>
    <s v="1"/>
    <s v="1"/>
    <s v="1"/>
    <m/>
    <m/>
    <m/>
    <m/>
    <m/>
    <m/>
    <m/>
    <m/>
    <m/>
    <m/>
    <m/>
    <m/>
    <m/>
    <m/>
  </r>
  <r>
    <n v="742"/>
    <d v="2025-01-06T00:00:00"/>
    <s v="ZBTO"/>
    <n v="9518407181"/>
    <n v="3"/>
    <s v="9518407181-3"/>
    <m/>
    <s v="No Priority"/>
    <s v="Released orders"/>
    <x v="0"/>
    <x v="0"/>
    <s v="2000-BPRS"/>
    <m/>
    <x v="1"/>
    <m/>
    <m/>
    <m/>
    <s v="West"/>
    <s v="NAGPUR"/>
    <m/>
    <n v="154641"/>
    <s v="TATA STEEL DOWNSTREAM PRODUCTS LIMI"/>
    <n v="1252834"/>
    <s v="HR COILS-PO IS 1079 HR2 3.0X1250"/>
    <s v=" "/>
    <s v=""/>
    <n v="25"/>
    <n v="35"/>
    <s v="Wider"/>
    <n v="768"/>
    <s v="THR099"/>
    <s v="HR99"/>
    <n v="3"/>
    <n v="1250"/>
    <n v="0"/>
    <n v="260.99"/>
    <n v="244.08"/>
    <n v="41.21"/>
    <n v="16.91"/>
    <n v="48.68"/>
    <n v="0"/>
    <m/>
    <n v="48.68"/>
    <n v="0"/>
    <n v="16.91"/>
    <n v="0"/>
    <n v="0"/>
    <n v="0"/>
    <n v="0"/>
    <n v="0"/>
    <n v="0"/>
    <n v="0"/>
    <n v="0"/>
    <n v="0"/>
    <n v="0"/>
    <n v="0"/>
    <n v="0"/>
    <n v="0"/>
    <n v="0"/>
    <n v="0"/>
    <n v="0"/>
    <n v="0"/>
    <n v="48.68"/>
    <n v="0"/>
    <n v="0"/>
    <n v="48.68"/>
    <n v="48.68"/>
    <n v="0"/>
    <n v="48.68"/>
    <n v="0"/>
    <n v="0"/>
    <n v="0"/>
    <n v="0"/>
    <n v="0"/>
    <n v="0"/>
    <n v="0"/>
    <n v="0"/>
    <n v="0"/>
    <n v="0"/>
    <n v="0"/>
    <n v="0"/>
    <n v="0"/>
    <n v="0"/>
    <n v="0"/>
    <n v="0"/>
    <n v="0"/>
    <n v="0"/>
    <n v="0"/>
    <n v="0"/>
    <n v="0"/>
    <m/>
    <m/>
    <m/>
    <m/>
    <m/>
    <m/>
    <m/>
    <m/>
    <m/>
    <s v="1"/>
    <s v="1"/>
    <s v="1"/>
    <s v="1"/>
    <s v="1"/>
    <m/>
    <m/>
    <m/>
    <m/>
    <m/>
    <s v="Process delay"/>
    <m/>
    <m/>
    <m/>
    <m/>
    <m/>
    <m/>
    <m/>
    <m/>
  </r>
  <r>
    <n v="742"/>
    <d v="2025-01-06T00:00:00"/>
    <s v="ZBTO"/>
    <n v="9518408753"/>
    <n v="2"/>
    <s v="9518408753-2"/>
    <m/>
    <s v="Stocks"/>
    <s v="Released orders"/>
    <x v="0"/>
    <x v="0"/>
    <s v="2000-BPRS"/>
    <m/>
    <x v="0"/>
    <m/>
    <m/>
    <m/>
    <s v="East"/>
    <s v="HOWRAH"/>
    <m/>
    <n v="154464"/>
    <s v="TATA STEEL DOWNSTREAM PRODUCTS LIMI"/>
    <n v="1250221"/>
    <s v="HR COILS-PO IS 1079 HR2 2.50X1250"/>
    <s v=" "/>
    <s v=""/>
    <n v="13"/>
    <n v="30"/>
    <s v="Wider"/>
    <n v="768"/>
    <s v="THR099"/>
    <s v="HR99"/>
    <n v="2.5"/>
    <n v="1250"/>
    <n v="0"/>
    <n v="116"/>
    <n v="109.675"/>
    <n v="55.36"/>
    <n v="55.36"/>
    <n v="0"/>
    <n v="55.36"/>
    <n v="55"/>
    <m/>
    <n v="55.36"/>
    <n v="6.3250000000000002"/>
    <n v="0"/>
    <n v="62.003200000000007"/>
    <n v="0"/>
    <n v="0"/>
    <n v="0"/>
    <n v="0"/>
    <n v="0"/>
    <n v="0"/>
    <n v="0"/>
    <n v="0"/>
    <n v="0"/>
    <n v="0"/>
    <n v="0"/>
    <n v="0"/>
    <n v="0"/>
    <n v="0"/>
    <n v="0"/>
    <n v="0"/>
    <n v="0"/>
    <n v="0"/>
    <n v="0"/>
    <n v="0"/>
    <n v="0"/>
    <n v="0"/>
    <n v="0"/>
    <n v="49.034999999999997"/>
    <n v="0"/>
    <n v="0"/>
    <n v="0"/>
    <n v="0"/>
    <n v="0"/>
    <n v="0"/>
    <n v="49.034999999999997"/>
    <n v="49.034999999999997"/>
    <n v="0"/>
    <n v="0"/>
    <n v="0"/>
    <n v="0"/>
    <n v="0"/>
    <n v="60.64"/>
    <n v="0"/>
    <n v="0"/>
    <n v="0"/>
    <n v="0"/>
    <n v="0"/>
    <m/>
    <m/>
    <m/>
    <m/>
    <m/>
    <m/>
    <m/>
    <m/>
    <m/>
    <s v="1"/>
    <s v="1"/>
    <s v="1"/>
    <s v="1"/>
    <s v="1"/>
    <m/>
    <m/>
    <m/>
    <m/>
    <m/>
    <m/>
    <m/>
    <m/>
    <m/>
    <m/>
    <m/>
    <m/>
    <m/>
    <m/>
  </r>
  <r>
    <n v="742"/>
    <d v="2025-01-06T00:00:00"/>
    <s v="ZBTO"/>
    <n v="9518408753"/>
    <n v="1"/>
    <s v="9518408753-1"/>
    <m/>
    <s v="Feb'25"/>
    <s v="Released orders"/>
    <x v="0"/>
    <x v="0"/>
    <s v="2000-BPRS"/>
    <m/>
    <x v="0"/>
    <m/>
    <m/>
    <m/>
    <s v="East"/>
    <s v="HOWRAH"/>
    <m/>
    <n v="154464"/>
    <s v="TATA STEEL DOWNSTREAM PRODUCTS LIMI"/>
    <n v="1210083"/>
    <s v="HR COILS-PO IS 1079 HR2 2X1250"/>
    <s v=" "/>
    <s v=""/>
    <n v="13"/>
    <n v="30"/>
    <s v="Wider"/>
    <n v="768"/>
    <s v="THR099"/>
    <s v="HR99"/>
    <n v="2"/>
    <n v="1250"/>
    <n v="0"/>
    <n v="116"/>
    <n v="93.17"/>
    <n v="91.61"/>
    <n v="91.61"/>
    <n v="22.34"/>
    <n v="69.27"/>
    <m/>
    <n v="22.34"/>
    <n v="69.27"/>
    <n v="22.83"/>
    <n v="0"/>
    <n v="77.436800000000005"/>
    <n v="0"/>
    <n v="22.47"/>
    <n v="0"/>
    <n v="0"/>
    <n v="0"/>
    <n v="0"/>
    <n v="0"/>
    <n v="0"/>
    <n v="0"/>
    <n v="0"/>
    <n v="0"/>
    <n v="0"/>
    <n v="0"/>
    <n v="0"/>
    <n v="0"/>
    <n v="0"/>
    <n v="0"/>
    <n v="0"/>
    <n v="22.47"/>
    <n v="22.47"/>
    <n v="0"/>
    <n v="22.34"/>
    <n v="0"/>
    <n v="68.78"/>
    <n v="22.83"/>
    <n v="0"/>
    <n v="0"/>
    <n v="0"/>
    <n v="22.83"/>
    <n v="0"/>
    <n v="91.61"/>
    <n v="0"/>
    <n v="0"/>
    <n v="0"/>
    <n v="0"/>
    <n v="91.61"/>
    <n v="0"/>
    <n v="0"/>
    <n v="0"/>
    <n v="0"/>
    <n v="0"/>
    <n v="0"/>
    <n v="0"/>
    <m/>
    <m/>
    <m/>
    <m/>
    <m/>
    <m/>
    <m/>
    <m/>
    <m/>
    <s v="1"/>
    <s v="1"/>
    <s v="1"/>
    <s v="0"/>
    <s v="1"/>
    <m/>
    <m/>
    <m/>
    <m/>
    <m/>
    <m/>
    <m/>
    <m/>
    <m/>
    <m/>
    <m/>
    <m/>
    <m/>
    <m/>
  </r>
  <r>
    <n v="743"/>
    <d v="2025-01-08T00:00:00"/>
    <s v="ZBTO"/>
    <n v="9518413965"/>
    <n v="8"/>
    <s v="9518413965-8"/>
    <m/>
    <s v="Mar'25 additional"/>
    <s v="Released orders"/>
    <x v="2"/>
    <x v="6"/>
    <s v="2000-BPRS"/>
    <m/>
    <x v="0"/>
    <m/>
    <m/>
    <m/>
    <s v="North"/>
    <s v="UTTARKASHI"/>
    <m/>
    <n v="150962"/>
    <s v="BIHANI INTERNATIONAL PVT LTD."/>
    <n v="1851102"/>
    <s v="GP COIL SOFT-TATXGP-GK09-0.5X1250"/>
    <s v="Z80"/>
    <s v=""/>
    <n v="5"/>
    <n v="7"/>
    <s v="Wider"/>
    <s v="C02"/>
    <s v="TATXGP"/>
    <s v="GK09"/>
    <n v="0.5"/>
    <n v="1250"/>
    <n v="0"/>
    <n v="29"/>
    <n v="0"/>
    <n v="29"/>
    <n v="29"/>
    <n v="77.349999999999994"/>
    <n v="0"/>
    <m/>
    <n v="77.349999999999994"/>
    <n v="0"/>
    <n v="29"/>
    <n v="0"/>
    <n v="0"/>
    <n v="0"/>
    <n v="0"/>
    <n v="0"/>
    <n v="0"/>
    <n v="0"/>
    <n v="0"/>
    <n v="0"/>
    <n v="0"/>
    <n v="0"/>
    <n v="0"/>
    <n v="0"/>
    <n v="0"/>
    <n v="0"/>
    <n v="0"/>
    <n v="0"/>
    <n v="77.350000000000009"/>
    <n v="0"/>
    <n v="0"/>
    <n v="77.350000000000009"/>
    <n v="77.350000000000009"/>
    <n v="0"/>
    <n v="77.349999999999994"/>
    <n v="0"/>
    <n v="0"/>
    <n v="29"/>
    <n v="0"/>
    <n v="0"/>
    <n v="29"/>
    <n v="0"/>
    <n v="0"/>
    <n v="29"/>
    <n v="0"/>
    <n v="0"/>
    <n v="29"/>
    <n v="0"/>
    <n v="0"/>
    <n v="0"/>
    <n v="0"/>
    <n v="0"/>
    <n v="0"/>
    <n v="0"/>
    <n v="0"/>
    <n v="0"/>
    <m/>
    <m/>
    <m/>
    <m/>
    <m/>
    <m/>
    <m/>
    <m/>
    <m/>
    <s v="1"/>
    <s v="1"/>
    <s v="0"/>
    <s v="1"/>
    <s v="1"/>
    <m/>
    <m/>
    <m/>
    <m/>
    <m/>
    <m/>
    <m/>
    <m/>
    <m/>
    <m/>
    <m/>
    <m/>
    <m/>
    <m/>
  </r>
  <r>
    <n v="742"/>
    <d v="2025-01-20T00:00:00"/>
    <s v="ZBTF"/>
    <n v="9518444919"/>
    <n v="7"/>
    <s v="9518444919-7"/>
    <m/>
    <s v="Stocks"/>
    <s v="Released orders"/>
    <x v="1"/>
    <x v="4"/>
    <s v="1000-IPPE"/>
    <m/>
    <x v="0"/>
    <m/>
    <m/>
    <m/>
    <s v="North"/>
    <s v="PILKHUWA"/>
    <m/>
    <n v="600250"/>
    <s v="TATA CENTER"/>
    <n v="2439203"/>
    <s v="CRCA COIL TSBSTA EL06 0.500X1160"/>
    <s v=" "/>
    <s v=""/>
    <n v="8"/>
    <n v="13"/>
    <s v="Wider"/>
    <s v="C01"/>
    <s v="TSBSTA"/>
    <s v="EL06"/>
    <n v="0.5"/>
    <n v="1160"/>
    <n v="0"/>
    <n v="297"/>
    <n v="296.42"/>
    <n v="161.03"/>
    <n v="37.725000000000001"/>
    <n v="53.274999999999999"/>
    <n v="0"/>
    <m/>
    <n v="116.815"/>
    <n v="0"/>
    <n v="0.57999999999999996"/>
    <n v="0"/>
    <n v="41.921600000000012"/>
    <n v="0"/>
    <n v="0"/>
    <n v="0"/>
    <n v="0"/>
    <n v="0"/>
    <n v="0"/>
    <n v="6.7850000000000001"/>
    <n v="0"/>
    <n v="0"/>
    <n v="0"/>
    <n v="0"/>
    <n v="0"/>
    <n v="78.67"/>
    <n v="0"/>
    <n v="1.07"/>
    <n v="0"/>
    <n v="24.6"/>
    <n v="12.475000000000001"/>
    <n v="123.6"/>
    <n v="116.815"/>
    <n v="0"/>
    <n v="116.815"/>
    <n v="-63.54"/>
    <n v="24.774999999999999"/>
    <n v="0"/>
    <n v="0"/>
    <n v="0"/>
    <n v="0"/>
    <n v="0"/>
    <n v="0"/>
    <n v="24.774999999999999"/>
    <n v="24.774999999999999"/>
    <n v="0"/>
    <n v="0"/>
    <n v="0"/>
    <n v="0"/>
    <n v="0"/>
    <n v="0"/>
    <n v="0"/>
    <n v="0"/>
    <n v="0"/>
    <n v="0"/>
    <n v="0"/>
    <m/>
    <m/>
    <m/>
    <m/>
    <m/>
    <m/>
    <m/>
    <m/>
    <m/>
    <s v="1"/>
    <s v="1"/>
    <s v="1"/>
    <s v="1"/>
    <s v="1"/>
    <m/>
    <m/>
    <m/>
    <m/>
    <m/>
    <m/>
    <m/>
    <m/>
    <m/>
    <m/>
    <m/>
    <m/>
    <m/>
    <m/>
  </r>
  <r>
    <n v="742"/>
    <d v="2025-01-20T00:00:00"/>
    <s v="ZBTF"/>
    <n v="9518444919"/>
    <n v="8"/>
    <s v="9518444919-8"/>
    <m/>
    <s v="No Priority"/>
    <s v="Released orders"/>
    <x v="1"/>
    <x v="4"/>
    <s v="1000-IPPE"/>
    <m/>
    <x v="1"/>
    <m/>
    <m/>
    <m/>
    <s v="North"/>
    <s v="PILKHUWA"/>
    <m/>
    <n v="600250"/>
    <s v="TATA CENTER"/>
    <n v="2439203"/>
    <s v="CRCA COIL TSBSTA EL06 0.500X1160"/>
    <s v=" "/>
    <s v=""/>
    <n v="8"/>
    <n v="13"/>
    <s v="Wider"/>
    <s v="C01"/>
    <s v="TSBSTA"/>
    <s v="EL06"/>
    <n v="0.5"/>
    <n v="1160"/>
    <n v="0"/>
    <n v="297"/>
    <n v="286.20999999999998"/>
    <n v="109.925"/>
    <n v="10.79"/>
    <n v="9.3000000000000007"/>
    <n v="0"/>
    <m/>
    <n v="88.534999999999997"/>
    <n v="0"/>
    <n v="10.79"/>
    <n v="0"/>
    <n v="0"/>
    <n v="0"/>
    <n v="0"/>
    <n v="0"/>
    <n v="0"/>
    <n v="0"/>
    <n v="0"/>
    <n v="10.63"/>
    <n v="0"/>
    <n v="0"/>
    <n v="0"/>
    <n v="0"/>
    <n v="0"/>
    <n v="0"/>
    <n v="0"/>
    <n v="0"/>
    <n v="0"/>
    <n v="51.914999999999999"/>
    <n v="36.619999999999997"/>
    <n v="99.164999999999992"/>
    <n v="88.534999999999997"/>
    <n v="0"/>
    <n v="88.534999999999997"/>
    <n v="-79.234999999999999"/>
    <n v="0"/>
    <n v="0"/>
    <n v="0"/>
    <n v="0"/>
    <n v="0"/>
    <n v="0"/>
    <n v="0"/>
    <n v="0"/>
    <n v="0"/>
    <n v="0"/>
    <n v="0"/>
    <n v="0"/>
    <n v="0"/>
    <n v="0"/>
    <n v="0"/>
    <n v="0"/>
    <n v="0"/>
    <n v="0"/>
    <n v="0"/>
    <n v="0"/>
    <m/>
    <m/>
    <m/>
    <m/>
    <m/>
    <m/>
    <m/>
    <m/>
    <m/>
    <s v="1"/>
    <s v="1"/>
    <s v="1"/>
    <s v="1"/>
    <s v="1"/>
    <m/>
    <m/>
    <m/>
    <m/>
    <m/>
    <m/>
    <m/>
    <m/>
    <m/>
    <m/>
    <m/>
    <m/>
    <m/>
    <m/>
  </r>
  <r>
    <n v="743"/>
    <d v="2025-01-21T00:00:00"/>
    <s v="ZBTO"/>
    <n v="9518446974"/>
    <n v="1"/>
    <s v="9518446974-1"/>
    <m/>
    <s v="Feb'25"/>
    <s v="Released orders"/>
    <x v="2"/>
    <x v="6"/>
    <n v="2000"/>
    <m/>
    <x v="0"/>
    <m/>
    <m/>
    <s v="MP"/>
    <s v="West"/>
    <m/>
    <m/>
    <n v="944695"/>
    <s v="ANM ISPAT PRIVATE LIMITED"/>
    <n v="2428450"/>
    <s v="GP COIL SOFT TATXGP GK09 0.350X1250"/>
    <s v="ZINC"/>
    <m/>
    <m/>
    <m/>
    <s v="Wider"/>
    <s v="C02"/>
    <s v="TATXGP"/>
    <s v="GK09"/>
    <n v="0.35"/>
    <n v="1250"/>
    <n v="0"/>
    <n v="29"/>
    <n v="0"/>
    <n v="29"/>
    <n v="29"/>
    <n v="0"/>
    <n v="29"/>
    <n v="25"/>
    <m/>
    <n v="29"/>
    <n v="29"/>
    <n v="0"/>
    <n v="32.480000000000004"/>
    <n v="0"/>
    <n v="0"/>
    <n v="0"/>
    <n v="0"/>
    <n v="0"/>
    <n v="0"/>
    <n v="0"/>
    <n v="0"/>
    <n v="0"/>
    <n v="0"/>
    <n v="0"/>
    <n v="0"/>
    <n v="0"/>
    <n v="0"/>
    <n v="0"/>
    <n v="0"/>
    <n v="0"/>
    <n v="0"/>
    <n v="0"/>
    <n v="0"/>
    <n v="0"/>
    <n v="0"/>
    <n v="0"/>
    <n v="0"/>
    <n v="29"/>
    <n v="0"/>
    <n v="0"/>
    <n v="0"/>
    <n v="29"/>
    <n v="0"/>
    <n v="29"/>
    <n v="0"/>
    <n v="0"/>
    <n v="0"/>
    <n v="29"/>
    <n v="0"/>
    <n v="0"/>
    <n v="0"/>
    <n v="0"/>
    <n v="0"/>
    <n v="0"/>
    <n v="0"/>
    <n v="0"/>
    <m/>
    <m/>
    <m/>
    <m/>
    <m/>
    <m/>
    <m/>
    <m/>
    <m/>
    <s v="1"/>
    <s v="1"/>
    <s v="1"/>
    <s v="0"/>
    <s v="1"/>
    <m/>
    <m/>
    <m/>
    <m/>
    <m/>
    <s v="Planning delay due to RM delay"/>
    <m/>
    <m/>
    <m/>
    <m/>
    <m/>
    <m/>
    <m/>
    <m/>
  </r>
  <r>
    <n v="742"/>
    <d v="2024-12-30T00:00:00"/>
    <s v="ZBTO"/>
    <n v="9518391663"/>
    <n v="1"/>
    <s v="9518391663-1"/>
    <m/>
    <s v="Stocks"/>
    <s v="Released orders"/>
    <x v="1"/>
    <x v="3"/>
    <s v="2000-BPRS"/>
    <m/>
    <x v="0"/>
    <s v="Mar"/>
    <m/>
    <m/>
    <s v="South"/>
    <s v="YESHWANTHPURA"/>
    <m/>
    <n v="939268"/>
    <s v="TATA STEEL DOWNSTREAM PRODUCTS LIMI"/>
    <n v="1804772"/>
    <s v="CRCA COIL TATXXD AU03 0.4X1250"/>
    <s v=" "/>
    <s v=""/>
    <n v="2"/>
    <n v="26"/>
    <s v="Wider"/>
    <s v="C01"/>
    <s v="TATXXD"/>
    <s v="AU03"/>
    <n v="0.4"/>
    <n v="1250"/>
    <n v="0"/>
    <n v="58"/>
    <n v="50.95"/>
    <n v="32.51"/>
    <n v="18.95"/>
    <n v="11.9"/>
    <n v="0"/>
    <m/>
    <n v="25.46"/>
    <n v="7.0499999999999972"/>
    <n v="7.05"/>
    <n v="0"/>
    <n v="0"/>
    <n v="0"/>
    <n v="0"/>
    <n v="0"/>
    <n v="0"/>
    <n v="0"/>
    <n v="0"/>
    <n v="0"/>
    <n v="0"/>
    <n v="0"/>
    <n v="0"/>
    <n v="0"/>
    <n v="0"/>
    <n v="0"/>
    <n v="0"/>
    <n v="11.9"/>
    <n v="0"/>
    <n v="0"/>
    <n v="13.56"/>
    <n v="25.46"/>
    <n v="25.46"/>
    <n v="0"/>
    <n v="25.46"/>
    <n v="-13.56"/>
    <n v="11.9"/>
    <n v="0"/>
    <n v="0"/>
    <n v="0"/>
    <n v="0"/>
    <n v="0"/>
    <n v="0"/>
    <n v="11.9"/>
    <n v="11.9"/>
    <n v="0"/>
    <n v="0"/>
    <n v="0"/>
    <n v="0"/>
    <n v="0"/>
    <n v="0"/>
    <n v="0"/>
    <n v="0"/>
    <n v="0"/>
    <n v="0"/>
    <n v="0"/>
    <m/>
    <m/>
    <m/>
    <m/>
    <m/>
    <m/>
    <m/>
    <m/>
    <m/>
    <s v="1"/>
    <s v="1"/>
    <s v="1"/>
    <s v="1"/>
    <s v="1"/>
    <m/>
    <m/>
    <m/>
    <m/>
    <m/>
    <m/>
    <m/>
    <m/>
    <m/>
    <m/>
    <m/>
    <m/>
    <m/>
    <m/>
  </r>
  <r>
    <n v="742"/>
    <d v="2025-01-08T00:00:00"/>
    <s v="ZBTO"/>
    <n v="9518413981"/>
    <n v="1"/>
    <s v="9518413981-1"/>
    <m/>
    <s v="Feb'25"/>
    <s v="Released orders"/>
    <x v="1"/>
    <x v="3"/>
    <s v="2000-BPRS"/>
    <m/>
    <x v="0"/>
    <s v="Mar"/>
    <m/>
    <m/>
    <s v="North"/>
    <s v="DERABASSI"/>
    <m/>
    <n v="819097"/>
    <s v="BHAGWATI STEEL SALES"/>
    <n v="1804908"/>
    <s v="CRCA COIL TATCRC TR15 0.5X1250"/>
    <s v=" "/>
    <s v=""/>
    <n v="7"/>
    <n v="14"/>
    <s v="Wider"/>
    <s v="C01"/>
    <s v="TATCRC"/>
    <s v="TR15"/>
    <n v="0.5"/>
    <n v="1250"/>
    <n v="0"/>
    <n v="290"/>
    <n v="0"/>
    <n v="290"/>
    <n v="290"/>
    <n v="0"/>
    <n v="290"/>
    <m/>
    <m/>
    <n v="290"/>
    <n v="290"/>
    <n v="0"/>
    <n v="324.8"/>
    <n v="0"/>
    <n v="0"/>
    <n v="0"/>
    <n v="0"/>
    <n v="0"/>
    <n v="0"/>
    <n v="0"/>
    <n v="0"/>
    <n v="0"/>
    <n v="0"/>
    <n v="0"/>
    <n v="0"/>
    <n v="0"/>
    <n v="0"/>
    <n v="0"/>
    <n v="0"/>
    <n v="0"/>
    <n v="0"/>
    <n v="0"/>
    <n v="0"/>
    <n v="0"/>
    <n v="0"/>
    <n v="0"/>
    <n v="0"/>
    <n v="290"/>
    <n v="0"/>
    <n v="0"/>
    <n v="0"/>
    <n v="290"/>
    <n v="0"/>
    <n v="290"/>
    <n v="0"/>
    <n v="0"/>
    <n v="0"/>
    <n v="290"/>
    <n v="0"/>
    <n v="0"/>
    <n v="0"/>
    <n v="0"/>
    <n v="0"/>
    <n v="0"/>
    <n v="0"/>
    <n v="0"/>
    <m/>
    <m/>
    <m/>
    <m/>
    <m/>
    <m/>
    <m/>
    <m/>
    <m/>
    <s v="1"/>
    <s v="1"/>
    <s v="1"/>
    <s v="0"/>
    <s v="1"/>
    <m/>
    <m/>
    <m/>
    <m/>
    <m/>
    <m/>
    <m/>
    <m/>
    <m/>
    <m/>
    <m/>
    <m/>
    <m/>
    <m/>
  </r>
  <r>
    <n v="742"/>
    <d v="2025-02-18T00:00:00"/>
    <s v="ZBTO"/>
    <n v="9518529688"/>
    <n v="1"/>
    <s v="9518529688-1"/>
    <m/>
    <s v="No Priority"/>
    <s v="Failed orders"/>
    <x v="1"/>
    <x v="1"/>
    <n v="2000"/>
    <m/>
    <x v="1"/>
    <s v="Mar"/>
    <m/>
    <s v="Rajasthan"/>
    <m/>
    <m/>
    <m/>
    <n v="116137"/>
    <s v="PELIKAN DOSSIER PRIVATE LIMITE"/>
    <n v="3239543"/>
    <s v="CRCA SHEET TATCRC SR16 0.350X1250X2500"/>
    <s v=""/>
    <s v=""/>
    <m/>
    <m/>
    <s v="Wider"/>
    <s v="C06"/>
    <s v="TATCRC"/>
    <s v="SR16"/>
    <n v="0.35"/>
    <n v="1250"/>
    <n v="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4-12-31T00:00:00"/>
    <s v="ZBTO"/>
    <n v="9518393381"/>
    <n v="2"/>
    <s v="9518393381-2"/>
    <m/>
    <s v="Stocks"/>
    <s v="Released orders"/>
    <x v="1"/>
    <x v="3"/>
    <s v="2000-BPRS"/>
    <m/>
    <x v="0"/>
    <m/>
    <m/>
    <m/>
    <s v="South"/>
    <s v="YESHWANTHPURA"/>
    <m/>
    <n v="939268"/>
    <s v="TATA STEEL DOWNSTREAM PRODUCTS LIMI"/>
    <n v="1804772"/>
    <s v="CRCA COIL TATXXD AU03 0.4X1250"/>
    <s v=" "/>
    <s v=""/>
    <n v="2"/>
    <n v="26"/>
    <s v="Wider"/>
    <s v="C01"/>
    <s v="TATXXD"/>
    <s v="AU03"/>
    <n v="0.4"/>
    <n v="1250"/>
    <n v="0"/>
    <n v="58"/>
    <n v="51.475000000000001"/>
    <n v="32.14"/>
    <n v="6.5250000000000004"/>
    <n v="0.9"/>
    <n v="0"/>
    <m/>
    <m/>
    <n v="0"/>
    <n v="6.5250000000000004"/>
    <n v="0"/>
    <n v="0"/>
    <n v="0"/>
    <n v="0"/>
    <n v="0"/>
    <n v="0"/>
    <n v="0"/>
    <n v="0"/>
    <n v="0"/>
    <n v="0"/>
    <n v="0"/>
    <n v="0"/>
    <n v="0"/>
    <n v="0"/>
    <n v="27.68"/>
    <n v="0"/>
    <n v="11.425000000000001"/>
    <n v="0"/>
    <n v="0"/>
    <n v="0"/>
    <n v="39.105000000000004"/>
    <n v="39.105000000000004"/>
    <n v="0"/>
    <n v="39.105000000000004"/>
    <n v="0.9"/>
    <n v="13.154999999999999"/>
    <n v="0"/>
    <n v="0"/>
    <n v="0"/>
    <n v="0"/>
    <n v="0"/>
    <n v="0"/>
    <n v="13.154999999999999"/>
    <n v="13.154999999999999"/>
    <n v="0"/>
    <n v="0"/>
    <n v="0"/>
    <n v="0"/>
    <n v="0"/>
    <n v="0"/>
    <n v="0"/>
    <n v="0"/>
    <n v="0"/>
    <n v="0"/>
    <n v="0"/>
    <m/>
    <m/>
    <m/>
    <m/>
    <m/>
    <m/>
    <m/>
    <m/>
    <m/>
    <s v="1"/>
    <s v="1"/>
    <s v="1"/>
    <s v="1"/>
    <s v="1"/>
    <m/>
    <m/>
    <m/>
    <m/>
    <m/>
    <m/>
    <m/>
    <m/>
    <m/>
    <m/>
    <m/>
    <m/>
    <m/>
    <m/>
  </r>
  <r>
    <n v="742"/>
    <d v="2024-12-31T00:00:00"/>
    <s v="ZBTO"/>
    <n v="9518393381"/>
    <n v="3"/>
    <s v="9518393381-3"/>
    <m/>
    <s v="Stocks"/>
    <s v="Released orders"/>
    <x v="1"/>
    <x v="3"/>
    <s v="2000-BPRS"/>
    <m/>
    <x v="0"/>
    <s v="Mar"/>
    <m/>
    <m/>
    <s v="South"/>
    <s v="YESHWANTHPURA"/>
    <m/>
    <n v="939268"/>
    <s v="TATA STEEL DOWNSTREAM PRODUCTS LIMI"/>
    <n v="2155233"/>
    <s v="CRCA COIL TATXXD AU03 2.5X1250"/>
    <s v=" "/>
    <s v=""/>
    <n v="2"/>
    <n v="26"/>
    <s v="Wider"/>
    <s v="C01"/>
    <s v="TATXXD"/>
    <s v="AU03"/>
    <n v="2.5"/>
    <n v="1250"/>
    <n v="0"/>
    <n v="87"/>
    <n v="70.06"/>
    <n v="87"/>
    <n v="16.93"/>
    <n v="3.2"/>
    <n v="0"/>
    <m/>
    <m/>
    <n v="11.719999999999999"/>
    <n v="16.93"/>
    <n v="0"/>
    <n v="0"/>
    <n v="0"/>
    <n v="0"/>
    <n v="0"/>
    <n v="0"/>
    <n v="0"/>
    <n v="0"/>
    <n v="0"/>
    <n v="0"/>
    <n v="0"/>
    <n v="0"/>
    <n v="0"/>
    <n v="0"/>
    <n v="48.28"/>
    <n v="0"/>
    <n v="0.9"/>
    <n v="0"/>
    <n v="0"/>
    <n v="26.1"/>
    <n v="75.28"/>
    <n v="75.28"/>
    <n v="0"/>
    <n v="75.28"/>
    <n v="3.2"/>
    <n v="25.21"/>
    <n v="0"/>
    <n v="0"/>
    <n v="0"/>
    <n v="0"/>
    <n v="0"/>
    <n v="0"/>
    <n v="25.21"/>
    <n v="25.21"/>
    <n v="0"/>
    <n v="0"/>
    <n v="0"/>
    <n v="0"/>
    <n v="0"/>
    <n v="0"/>
    <n v="0"/>
    <n v="0"/>
    <n v="0"/>
    <n v="0"/>
    <n v="0"/>
    <m/>
    <m/>
    <m/>
    <m/>
    <m/>
    <m/>
    <m/>
    <m/>
    <m/>
    <s v="1"/>
    <s v="1"/>
    <s v="1"/>
    <s v="1"/>
    <s v="1"/>
    <m/>
    <m/>
    <m/>
    <m/>
    <m/>
    <m/>
    <m/>
    <m/>
    <m/>
    <m/>
    <m/>
    <m/>
    <m/>
    <m/>
  </r>
  <r>
    <n v="743"/>
    <d v="2025-01-25T00:00:00"/>
    <s v="ZBTO"/>
    <n v="9518459604"/>
    <n v="2"/>
    <s v="9518459604-2"/>
    <m/>
    <s v="No Priority"/>
    <s v="Released orders"/>
    <x v="3"/>
    <x v="5"/>
    <s v="1000-IPPE"/>
    <m/>
    <x v="1"/>
    <m/>
    <m/>
    <m/>
    <s v="South"/>
    <s v="VINJAMURU"/>
    <m/>
    <n v="188750"/>
    <s v="Colorshine Coated Pvt.Ltd."/>
    <n v="3713960"/>
    <s v="GL COIL HARD  Y550GL H9GL 0.440X1235"/>
    <s v="AZ150"/>
    <s v=""/>
    <n v="7"/>
    <n v="20"/>
    <s v="Wider"/>
    <s v="B04"/>
    <s v="Y550GL"/>
    <s v="H9GL"/>
    <n v="0.44"/>
    <n v="1235"/>
    <n v="0"/>
    <n v="112"/>
    <n v="101.63"/>
    <n v="26.555"/>
    <n v="10.37"/>
    <n v="28.98"/>
    <n v="0"/>
    <m/>
    <m/>
    <n v="0"/>
    <n v="43.37"/>
    <n v="0"/>
    <n v="0"/>
    <n v="0"/>
    <n v="0"/>
    <n v="0"/>
    <n v="0"/>
    <n v="1.2250000000000001"/>
    <n v="0"/>
    <n v="27.755000000000003"/>
    <n v="0"/>
    <n v="0"/>
    <n v="0"/>
    <n v="0"/>
    <n v="0"/>
    <n v="0"/>
    <n v="0"/>
    <n v="7.2"/>
    <n v="0"/>
    <n v="0"/>
    <n v="0"/>
    <n v="36.180000000000007"/>
    <n v="36.180000000000007"/>
    <n v="0"/>
    <n v="36.180000000000007"/>
    <n v="28.98"/>
    <n v="0"/>
    <n v="0"/>
    <n v="0"/>
    <n v="0"/>
    <n v="0"/>
    <n v="0"/>
    <n v="0"/>
    <n v="0"/>
    <n v="0"/>
    <n v="0"/>
    <n v="0"/>
    <n v="0"/>
    <n v="0"/>
    <n v="0"/>
    <n v="0"/>
    <n v="0"/>
    <n v="0"/>
    <n v="0"/>
    <n v="0"/>
    <n v="0"/>
    <m/>
    <m/>
    <m/>
    <m/>
    <m/>
    <m/>
    <m/>
    <m/>
    <m/>
    <s v="1"/>
    <s v="1"/>
    <s v="1"/>
    <s v="1"/>
    <s v="1"/>
    <m/>
    <m/>
    <m/>
    <m/>
    <m/>
    <m/>
    <m/>
    <m/>
    <m/>
    <m/>
    <m/>
    <m/>
    <m/>
    <m/>
  </r>
  <r>
    <n v="743"/>
    <d v="2024-12-27T00:00:00"/>
    <s v="ZBTO"/>
    <n v="9518379900"/>
    <n v="3"/>
    <s v="9518379900-3"/>
    <m/>
    <s v="Stocks"/>
    <s v="Released orders"/>
    <x v="2"/>
    <x v="2"/>
    <s v="2000-BPRS"/>
    <m/>
    <x v="0"/>
    <m/>
    <m/>
    <m/>
    <s v="East"/>
    <s v="PATNA"/>
    <m/>
    <n v="103227"/>
    <s v="BMW VENTURES LIMITED"/>
    <n v="1854424"/>
    <s v="GP COIL SOFT-TATXGP-GK09-0.6X900"/>
    <s v="Z80"/>
    <s v=""/>
    <n v="2"/>
    <n v="6"/>
    <s v="Narrow"/>
    <s v="C02"/>
    <s v="TATXGP"/>
    <s v="GK09"/>
    <n v="0.6"/>
    <n v="900"/>
    <n v="0"/>
    <n v="63"/>
    <n v="53.17"/>
    <n v="18.925000000000001"/>
    <n v="13.855"/>
    <n v="18.355"/>
    <n v="0"/>
    <m/>
    <n v="18.355"/>
    <n v="0"/>
    <n v="9.83"/>
    <n v="0"/>
    <n v="0"/>
    <n v="0"/>
    <n v="0"/>
    <n v="0"/>
    <n v="0"/>
    <n v="0"/>
    <n v="0"/>
    <n v="14.33"/>
    <n v="0"/>
    <n v="0"/>
    <n v="0"/>
    <n v="0"/>
    <n v="0"/>
    <n v="0"/>
    <n v="0"/>
    <n v="0"/>
    <n v="0"/>
    <n v="0"/>
    <n v="0"/>
    <n v="14.33"/>
    <n v="14.33"/>
    <n v="0"/>
    <n v="18.355"/>
    <n v="0"/>
    <n v="9.0950000000000006"/>
    <n v="0"/>
    <n v="0"/>
    <n v="0"/>
    <n v="0"/>
    <n v="0"/>
    <n v="0"/>
    <n v="9.0950000000000006"/>
    <n v="9.0950000000000006"/>
    <n v="0"/>
    <n v="0"/>
    <n v="0"/>
    <n v="0"/>
    <n v="0"/>
    <n v="17.425000000000001"/>
    <n v="0"/>
    <n v="0"/>
    <n v="0"/>
    <n v="0"/>
    <n v="0"/>
    <m/>
    <m/>
    <m/>
    <m/>
    <m/>
    <m/>
    <m/>
    <m/>
    <m/>
    <s v="1"/>
    <s v="1"/>
    <s v="1"/>
    <s v="1"/>
    <s v="1"/>
    <m/>
    <m/>
    <m/>
    <m/>
    <m/>
    <m/>
    <m/>
    <m/>
    <m/>
    <m/>
    <m/>
    <m/>
    <m/>
    <m/>
  </r>
  <r>
    <n v="742"/>
    <d v="2025-01-08T00:00:00"/>
    <s v="ZBTO"/>
    <n v="9518413509"/>
    <n v="2"/>
    <s v="9518413509-2"/>
    <m/>
    <s v="No Priority"/>
    <s v="Released orders"/>
    <x v="0"/>
    <x v="0"/>
    <s v="2000-BPRS"/>
    <m/>
    <x v="1"/>
    <m/>
    <m/>
    <m/>
    <s v="North"/>
    <s v="FARIDABAD"/>
    <m/>
    <n v="102457"/>
    <s v="SANJEEV INDUSTRIAL CORPORATION"/>
    <n v="1247912"/>
    <s v="HR COILS-PO IS 10748 GR 1 2.20X1250"/>
    <s v=" "/>
    <s v=""/>
    <n v="17"/>
    <n v="26"/>
    <s v="Wider"/>
    <n v="768"/>
    <s v="I09497"/>
    <s v="HG01"/>
    <n v="2.2000000000000002"/>
    <n v="1250"/>
    <n v="0"/>
    <n v="115.97"/>
    <n v="99.94"/>
    <n v="43.38"/>
    <n v="43.38"/>
    <n v="27.48"/>
    <n v="15.9"/>
    <m/>
    <n v="27.48"/>
    <n v="0"/>
    <n v="16.02"/>
    <n v="0"/>
    <n v="48.585600000000007"/>
    <n v="0"/>
    <n v="0"/>
    <n v="0"/>
    <n v="0"/>
    <n v="0"/>
    <n v="0"/>
    <n v="0"/>
    <n v="0"/>
    <n v="0"/>
    <n v="0"/>
    <n v="0"/>
    <n v="0"/>
    <n v="0"/>
    <n v="0"/>
    <n v="0"/>
    <n v="0"/>
    <n v="0"/>
    <n v="0"/>
    <n v="0"/>
    <n v="0"/>
    <n v="0"/>
    <n v="27.48"/>
    <n v="0"/>
    <n v="0"/>
    <n v="0"/>
    <n v="0"/>
    <n v="0"/>
    <n v="0"/>
    <n v="0"/>
    <n v="0"/>
    <n v="0"/>
    <n v="0"/>
    <n v="0"/>
    <n v="0"/>
    <n v="0"/>
    <n v="0"/>
    <n v="0"/>
    <n v="72.59"/>
    <n v="0"/>
    <n v="0"/>
    <n v="0"/>
    <n v="0"/>
    <n v="0"/>
    <m/>
    <m/>
    <m/>
    <m/>
    <m/>
    <m/>
    <m/>
    <m/>
    <m/>
    <s v="1"/>
    <s v="1"/>
    <s v="1"/>
    <s v="1"/>
    <s v="1"/>
    <m/>
    <m/>
    <m/>
    <m/>
    <m/>
    <s v="Planning delay due to RM delay"/>
    <m/>
    <m/>
    <m/>
    <m/>
    <m/>
    <m/>
    <m/>
    <m/>
  </r>
  <r>
    <n v="742"/>
    <d v="2025-01-07T00:00:00"/>
    <s v="ZBTO"/>
    <n v="9518410318"/>
    <n v="2"/>
    <s v="9518410318-2"/>
    <m/>
    <s v="Mar'25"/>
    <s v="Released orders"/>
    <x v="1"/>
    <x v="3"/>
    <s v="2000-BPRS"/>
    <m/>
    <x v="0"/>
    <s v="Mar"/>
    <m/>
    <m/>
    <s v="North"/>
    <s v="VARANASI"/>
    <m/>
    <n v="931525"/>
    <s v="INDIA STEEL INDUSTRIES"/>
    <n v="1804908"/>
    <s v="CRCA COIL TATCRC TR15 0.5X1250"/>
    <s v=" "/>
    <s v=""/>
    <n v="7"/>
    <n v="14"/>
    <s v="Wider"/>
    <s v="C01"/>
    <s v="TATCRC"/>
    <s v="TR15"/>
    <n v="0.5"/>
    <n v="1250"/>
    <n v="0"/>
    <n v="58"/>
    <n v="0"/>
    <n v="58"/>
    <n v="58"/>
    <n v="0"/>
    <n v="58"/>
    <m/>
    <m/>
    <n v="58"/>
    <n v="58"/>
    <n v="0"/>
    <n v="64.960000000000008"/>
    <n v="0"/>
    <n v="0"/>
    <n v="0"/>
    <n v="0"/>
    <n v="0"/>
    <n v="0"/>
    <n v="0"/>
    <n v="0"/>
    <n v="0"/>
    <n v="0"/>
    <n v="0"/>
    <n v="0"/>
    <n v="0"/>
    <n v="0"/>
    <n v="0"/>
    <n v="0"/>
    <n v="0"/>
    <n v="0"/>
    <n v="0"/>
    <n v="0"/>
    <n v="0"/>
    <n v="0"/>
    <n v="0"/>
    <n v="0"/>
    <n v="58"/>
    <n v="0"/>
    <n v="0"/>
    <n v="0"/>
    <n v="58"/>
    <n v="0"/>
    <n v="58"/>
    <n v="0"/>
    <n v="0"/>
    <n v="0"/>
    <n v="58"/>
    <n v="0"/>
    <n v="0"/>
    <n v="0"/>
    <n v="0"/>
    <n v="0"/>
    <n v="0"/>
    <n v="0"/>
    <n v="0"/>
    <m/>
    <m/>
    <m/>
    <m/>
    <m/>
    <m/>
    <m/>
    <m/>
    <m/>
    <s v="1"/>
    <s v="1"/>
    <s v="1"/>
    <s v="0"/>
    <s v="1"/>
    <m/>
    <m/>
    <m/>
    <m/>
    <m/>
    <m/>
    <m/>
    <m/>
    <m/>
    <m/>
    <m/>
    <m/>
    <m/>
    <m/>
  </r>
  <r>
    <n v="742"/>
    <d v="2024-12-10T00:00:00"/>
    <s v="ZBTO"/>
    <n v="9518334424"/>
    <n v="13"/>
    <s v="9518334424-13"/>
    <m/>
    <s v="Stocks"/>
    <s v="Released orders"/>
    <x v="1"/>
    <x v="3"/>
    <s v="2000-BPRS"/>
    <m/>
    <x v="0"/>
    <s v="Mar"/>
    <m/>
    <m/>
    <s v="South"/>
    <s v="SANGAREDDY"/>
    <m/>
    <n v="947126"/>
    <s v="RAVINDRA IRON WORKS"/>
    <n v="2418765"/>
    <s v="CRCA COIL TATXXD AU03 1.150X1320"/>
    <s v=" "/>
    <s v=""/>
    <n v="5"/>
    <n v="30"/>
    <s v="Wider"/>
    <s v="C01"/>
    <s v="TATXXD"/>
    <s v="AU03"/>
    <n v="1.1499999999999999"/>
    <n v="1320"/>
    <n v="0"/>
    <n v="150"/>
    <n v="146.89500000000001"/>
    <n v="53.71"/>
    <n v="26.445"/>
    <n v="87.08"/>
    <n v="0"/>
    <m/>
    <n v="31.65"/>
    <n v="22.060000000000002"/>
    <n v="3.105"/>
    <n v="0"/>
    <n v="0"/>
    <n v="0"/>
    <n v="0"/>
    <n v="89.01"/>
    <n v="0"/>
    <n v="0"/>
    <n v="0"/>
    <n v="0"/>
    <n v="0"/>
    <n v="0"/>
    <n v="0"/>
    <n v="0"/>
    <n v="0"/>
    <n v="28.75"/>
    <n v="0"/>
    <n v="2.9"/>
    <n v="0"/>
    <n v="0"/>
    <n v="0"/>
    <n v="120.66000000000001"/>
    <n v="31.65"/>
    <n v="0"/>
    <n v="31.65"/>
    <n v="55.43"/>
    <n v="23.34"/>
    <n v="0"/>
    <n v="0"/>
    <n v="0"/>
    <n v="0"/>
    <n v="0"/>
    <n v="0"/>
    <n v="23.34"/>
    <n v="23.34"/>
    <n v="0"/>
    <n v="0"/>
    <n v="0"/>
    <n v="0"/>
    <n v="0"/>
    <n v="0"/>
    <n v="0"/>
    <n v="0"/>
    <n v="0"/>
    <n v="0"/>
    <n v="0"/>
    <m/>
    <m/>
    <m/>
    <m/>
    <m/>
    <m/>
    <m/>
    <m/>
    <m/>
    <s v="1"/>
    <s v="1"/>
    <s v="1"/>
    <s v="1"/>
    <s v="1"/>
    <m/>
    <m/>
    <m/>
    <m/>
    <m/>
    <m/>
    <m/>
    <m/>
    <m/>
    <m/>
    <m/>
    <m/>
    <m/>
    <m/>
  </r>
  <r>
    <n v="742"/>
    <d v="2024-12-10T00:00:00"/>
    <s v="ZBTO"/>
    <n v="9518332329"/>
    <n v="11"/>
    <s v="9518332329-11"/>
    <m/>
    <s v="Feb'25"/>
    <s v="Released orders"/>
    <x v="1"/>
    <x v="3"/>
    <s v="2000-BPRS"/>
    <m/>
    <x v="0"/>
    <m/>
    <m/>
    <m/>
    <s v="South"/>
    <s v="PATTANCHERY"/>
    <m/>
    <n v="939422"/>
    <s v="VIJAY VENKAT STEELS PRIVATE LIMITED"/>
    <n v="215066"/>
    <s v="CRSHEET-ICF  DQ TATXXD AU03 0.90 X 1220"/>
    <s v=" "/>
    <s v=""/>
    <n v="18"/>
    <n v="30"/>
    <s v="Wider"/>
    <s v="C01"/>
    <s v="TATXXD"/>
    <s v="AU03"/>
    <n v="0.9"/>
    <n v="1220"/>
    <n v="0"/>
    <n v="28"/>
    <n v="0"/>
    <n v="28"/>
    <n v="28"/>
    <n v="27.71"/>
    <n v="0.28999999999999998"/>
    <m/>
    <n v="0"/>
    <n v="28"/>
    <n v="28"/>
    <n v="0"/>
    <n v="0"/>
    <n v="0"/>
    <n v="0"/>
    <n v="0"/>
    <n v="0"/>
    <n v="0"/>
    <n v="0"/>
    <n v="0"/>
    <n v="0"/>
    <n v="0"/>
    <n v="28.3"/>
    <n v="0"/>
    <n v="0"/>
    <n v="0"/>
    <n v="0"/>
    <n v="0"/>
    <n v="0"/>
    <n v="0"/>
    <n v="0"/>
    <n v="28.3"/>
    <n v="28.3"/>
    <n v="0"/>
    <n v="28.3"/>
    <n v="27.71"/>
    <n v="0"/>
    <n v="28"/>
    <n v="0"/>
    <n v="28"/>
    <n v="0"/>
    <n v="0"/>
    <n v="0"/>
    <n v="28"/>
    <n v="0"/>
    <n v="28"/>
    <n v="0"/>
    <n v="0"/>
    <n v="0"/>
    <n v="0"/>
    <n v="0"/>
    <n v="0"/>
    <n v="0"/>
    <n v="0"/>
    <n v="0"/>
    <n v="0"/>
    <m/>
    <m/>
    <m/>
    <m/>
    <m/>
    <m/>
    <m/>
    <m/>
    <m/>
    <s v="1"/>
    <s v="0"/>
    <s v="1"/>
    <s v="1"/>
    <s v="1"/>
    <m/>
    <m/>
    <m/>
    <m/>
    <m/>
    <m/>
    <m/>
    <m/>
    <m/>
    <m/>
    <m/>
    <m/>
    <m/>
    <m/>
  </r>
  <r>
    <n v="742"/>
    <d v="2024-12-10T00:00:00"/>
    <s v="ZBTO"/>
    <n v="9518332329"/>
    <n v="12"/>
    <s v="9518332329-12"/>
    <m/>
    <s v="No Priority"/>
    <s v="Released orders"/>
    <x v="1"/>
    <x v="3"/>
    <s v="2000-BPRS"/>
    <m/>
    <x v="1"/>
    <s v="Mar"/>
    <m/>
    <m/>
    <s v="South"/>
    <s v="PATTANCHERY"/>
    <m/>
    <n v="939422"/>
    <s v="VIJAY VENKAT STEELS PRIVATE LIMITED"/>
    <n v="2386035"/>
    <s v="CRCA COIL TATXXD AU03 0.900X1320"/>
    <s v=" "/>
    <s v=""/>
    <n v="18"/>
    <n v="30"/>
    <s v="Wider"/>
    <s v="C01"/>
    <s v="TATXXD"/>
    <s v="AU03"/>
    <n v="0.9"/>
    <n v="1320"/>
    <n v="0"/>
    <n v="30"/>
    <n v="20.170000000000002"/>
    <n v="30"/>
    <n v="9.83"/>
    <n v="0.4"/>
    <n v="0"/>
    <m/>
    <m/>
    <n v="8.7100000000000009"/>
    <n v="9.83"/>
    <n v="0"/>
    <n v="0"/>
    <n v="0"/>
    <n v="0"/>
    <n v="0"/>
    <n v="0"/>
    <n v="0"/>
    <n v="0"/>
    <n v="0"/>
    <n v="0"/>
    <n v="0"/>
    <n v="0"/>
    <n v="0"/>
    <n v="0"/>
    <n v="21.29"/>
    <n v="0"/>
    <n v="0"/>
    <n v="0"/>
    <n v="0"/>
    <n v="0"/>
    <n v="21.29"/>
    <n v="21.29"/>
    <n v="0"/>
    <n v="21.29"/>
    <n v="0.4"/>
    <n v="0"/>
    <n v="0"/>
    <n v="0"/>
    <n v="0"/>
    <n v="0"/>
    <n v="0"/>
    <n v="0"/>
    <n v="0"/>
    <n v="0"/>
    <n v="0"/>
    <n v="0"/>
    <n v="0"/>
    <n v="0"/>
    <n v="0"/>
    <n v="0"/>
    <n v="0"/>
    <n v="0"/>
    <n v="0"/>
    <n v="0"/>
    <n v="0"/>
    <m/>
    <m/>
    <m/>
    <m/>
    <m/>
    <m/>
    <m/>
    <m/>
    <m/>
    <s v="1"/>
    <s v="1"/>
    <s v="1"/>
    <s v="1"/>
    <s v="1"/>
    <m/>
    <m/>
    <m/>
    <m/>
    <m/>
    <m/>
    <m/>
    <m/>
    <m/>
    <m/>
    <m/>
    <m/>
    <m/>
    <m/>
  </r>
  <r>
    <n v="742"/>
    <d v="2024-12-26T00:00:00"/>
    <s v="ZBTF"/>
    <n v="9518377002"/>
    <n v="1"/>
    <s v="9518377002-1"/>
    <m/>
    <s v="Stocks"/>
    <s v="Released orders"/>
    <x v="1"/>
    <x v="4"/>
    <s v="1000-IPPE"/>
    <m/>
    <x v="0"/>
    <m/>
    <m/>
    <m/>
    <s v="South"/>
    <s v="THIRUVALLUR"/>
    <m/>
    <n v="944825"/>
    <s v="TEMPEL PRECISION METAL PRODUCTS IND"/>
    <n v="3659268"/>
    <s v="CR COIL TSBSTA EL03 0.500X1217"/>
    <s v=" "/>
    <s v=""/>
    <n v="8"/>
    <n v="11"/>
    <s v="Wider"/>
    <s v="C01"/>
    <s v="TSBSTA"/>
    <s v="EL03"/>
    <n v="0.5"/>
    <n v="1217"/>
    <n v="0"/>
    <n v="195.99"/>
    <n v="193.29"/>
    <n v="27.895"/>
    <n v="27.895"/>
    <n v="35.164999999999999"/>
    <n v="0"/>
    <m/>
    <n v="7.9450000000000003"/>
    <n v="19.95"/>
    <n v="12.71"/>
    <n v="0"/>
    <n v="0"/>
    <n v="0"/>
    <n v="0"/>
    <n v="0"/>
    <n v="0"/>
    <n v="0"/>
    <n v="0"/>
    <n v="0"/>
    <n v="0"/>
    <n v="0"/>
    <n v="0"/>
    <n v="0"/>
    <n v="27.22"/>
    <n v="0"/>
    <n v="0"/>
    <n v="7.9450000000000003"/>
    <n v="0"/>
    <n v="0"/>
    <n v="0"/>
    <n v="35.164999999999999"/>
    <n v="35.164999999999999"/>
    <n v="0"/>
    <n v="35.164999999999999"/>
    <n v="27.22"/>
    <n v="50.125"/>
    <n v="0"/>
    <n v="0"/>
    <n v="0"/>
    <n v="0"/>
    <n v="0"/>
    <n v="0"/>
    <n v="50.125"/>
    <n v="50.125"/>
    <n v="0"/>
    <n v="0"/>
    <n v="0"/>
    <n v="0"/>
    <n v="0"/>
    <n v="0"/>
    <n v="0"/>
    <n v="0"/>
    <n v="0"/>
    <n v="0"/>
    <n v="0"/>
    <m/>
    <m/>
    <m/>
    <m/>
    <m/>
    <m/>
    <m/>
    <m/>
    <m/>
    <s v="1"/>
    <s v="1"/>
    <s v="1"/>
    <s v="1"/>
    <s v="1"/>
    <m/>
    <m/>
    <m/>
    <m/>
    <m/>
    <m/>
    <m/>
    <m/>
    <m/>
    <m/>
    <m/>
    <m/>
    <m/>
    <m/>
  </r>
  <r>
    <n v="743"/>
    <d v="2025-01-11T00:00:00"/>
    <s v="ZBTO"/>
    <n v="9518421455"/>
    <n v="1"/>
    <s v="9518421455-1"/>
    <m/>
    <s v="Mar'25"/>
    <s v="Released orders"/>
    <x v="2"/>
    <x v="0"/>
    <s v="2000-BPRS"/>
    <m/>
    <x v="1"/>
    <m/>
    <s v="De-prioritized due to narrow HR unavailability"/>
    <m/>
    <s v="East"/>
    <s v="TATANAGAR"/>
    <m/>
    <n v="165053"/>
    <s v="SUDISA ENTERPRISES (P) LTD."/>
    <n v="1851759"/>
    <s v="GP COIL SOFT-TSBXGP-N1GP-0.25X900"/>
    <s v="Z80"/>
    <s v=""/>
    <n v="4"/>
    <n v="12"/>
    <s v="Narrow"/>
    <s v="C02"/>
    <s v="TSBXGP"/>
    <s v="N1GP"/>
    <n v="0.25"/>
    <n v="900"/>
    <n v="0"/>
    <n v="21"/>
    <n v="0"/>
    <n v="21"/>
    <n v="21"/>
    <n v="0"/>
    <n v="21"/>
    <m/>
    <m/>
    <n v="21"/>
    <n v="21"/>
    <n v="0"/>
    <n v="23.520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5-01-24T00:00:00"/>
    <s v="ZBTO"/>
    <n v="9518456757"/>
    <n v="1"/>
    <s v="9518456757-1"/>
    <m/>
    <s v="Stocks"/>
    <s v="Released orders"/>
    <x v="2"/>
    <x v="6"/>
    <s v="2000-BPRS"/>
    <m/>
    <x v="0"/>
    <m/>
    <m/>
    <m/>
    <s v="West"/>
    <s v="JABALPUR"/>
    <m/>
    <n v="929931"/>
    <s v="BMW VYAPAR PRIVATE LIMITED"/>
    <n v="1851106"/>
    <s v="GP COIL SOFT-TATXGP-GK09-0.6X1250"/>
    <s v="Z80"/>
    <s v=""/>
    <n v="4"/>
    <n v="6"/>
    <s v="Wider"/>
    <s v="C02"/>
    <s v="TATXGP"/>
    <s v="GK09"/>
    <n v="0.6"/>
    <n v="1250"/>
    <n v="0"/>
    <n v="29"/>
    <n v="27.164999999999999"/>
    <n v="29"/>
    <n v="1.835"/>
    <n v="0"/>
    <n v="0"/>
    <m/>
    <m/>
    <n v="0"/>
    <n v="1.835"/>
    <n v="0"/>
    <n v="0"/>
    <n v="0"/>
    <n v="0"/>
    <n v="0"/>
    <n v="0"/>
    <n v="0"/>
    <n v="0.12"/>
    <n v="0"/>
    <n v="0"/>
    <n v="0"/>
    <n v="0"/>
    <n v="0"/>
    <n v="0"/>
    <n v="0"/>
    <n v="0"/>
    <n v="0"/>
    <n v="0"/>
    <n v="0"/>
    <n v="27.165000000000003"/>
    <n v="27.285000000000004"/>
    <n v="27.285000000000004"/>
    <n v="0"/>
    <n v="27.285000000000004"/>
    <n v="0"/>
    <n v="10.835000000000001"/>
    <n v="0"/>
    <n v="0"/>
    <n v="0"/>
    <n v="0"/>
    <n v="0"/>
    <n v="0"/>
    <n v="10.835000000000001"/>
    <n v="10.835000000000001"/>
    <n v="0"/>
    <n v="0"/>
    <n v="0"/>
    <n v="0"/>
    <n v="0"/>
    <n v="0"/>
    <n v="0"/>
    <n v="0"/>
    <n v="0"/>
    <n v="0"/>
    <n v="0"/>
    <m/>
    <m/>
    <m/>
    <m/>
    <m/>
    <m/>
    <m/>
    <m/>
    <m/>
    <s v="1"/>
    <s v="1"/>
    <s v="1"/>
    <s v="1"/>
    <s v="1"/>
    <m/>
    <m/>
    <m/>
    <m/>
    <m/>
    <m/>
    <m/>
    <m/>
    <m/>
    <m/>
    <m/>
    <m/>
    <m/>
    <m/>
  </r>
  <r>
    <n v="743"/>
    <d v="2025-01-24T00:00:00"/>
    <s v="ZBTO"/>
    <n v="9518456757"/>
    <n v="2"/>
    <s v="9518456757-2"/>
    <m/>
    <s v="Stocks"/>
    <s v="Released orders"/>
    <x v="2"/>
    <x v="6"/>
    <s v="2000-BPRS"/>
    <m/>
    <x v="0"/>
    <m/>
    <m/>
    <m/>
    <s v="West"/>
    <s v="JABALPUR"/>
    <m/>
    <n v="929931"/>
    <s v="BMW VYAPAR PRIVATE LIMITED"/>
    <n v="1851102"/>
    <s v="GP COIL SOFT-TATXGP-GK09-0.5X1250"/>
    <s v="Z80"/>
    <s v=""/>
    <n v="4"/>
    <n v="6"/>
    <s v="Wider"/>
    <s v="C02"/>
    <s v="TATXGP"/>
    <s v="GK09"/>
    <n v="0.5"/>
    <n v="1250"/>
    <n v="0"/>
    <n v="29"/>
    <n v="27.07"/>
    <n v="29"/>
    <n v="1.93"/>
    <n v="0"/>
    <n v="0"/>
    <m/>
    <m/>
    <n v="0"/>
    <n v="1.93"/>
    <n v="0"/>
    <n v="0"/>
    <n v="0"/>
    <n v="0"/>
    <n v="0"/>
    <n v="1.06"/>
    <n v="0"/>
    <n v="0.54100000000000004"/>
    <n v="0"/>
    <n v="0"/>
    <n v="0"/>
    <n v="0"/>
    <n v="0"/>
    <n v="0"/>
    <n v="0"/>
    <n v="0"/>
    <n v="0"/>
    <n v="0"/>
    <n v="27.07"/>
    <n v="0"/>
    <n v="28.670999999999999"/>
    <n v="28.670999999999999"/>
    <n v="0"/>
    <n v="28.670999999999999"/>
    <n v="0"/>
    <n v="5.42"/>
    <n v="0"/>
    <n v="0"/>
    <n v="0"/>
    <n v="0"/>
    <n v="0"/>
    <n v="0"/>
    <n v="5.42"/>
    <n v="5.42"/>
    <n v="0"/>
    <n v="0"/>
    <n v="0"/>
    <n v="0"/>
    <n v="0"/>
    <n v="0"/>
    <n v="0"/>
    <n v="0"/>
    <n v="0"/>
    <n v="0"/>
    <n v="0"/>
    <m/>
    <m/>
    <m/>
    <m/>
    <m/>
    <m/>
    <m/>
    <m/>
    <m/>
    <s v="1"/>
    <s v="1"/>
    <s v="1"/>
    <s v="1"/>
    <s v="1"/>
    <m/>
    <m/>
    <m/>
    <m/>
    <m/>
    <m/>
    <m/>
    <m/>
    <m/>
    <m/>
    <m/>
    <m/>
    <m/>
    <m/>
  </r>
  <r>
    <n v="742"/>
    <d v="2025-01-09T00:00:00"/>
    <s v="ZBTO"/>
    <n v="9518417858"/>
    <n v="1"/>
    <s v="9518417858-1"/>
    <m/>
    <s v="Feb'25"/>
    <s v="Released orders"/>
    <x v="1"/>
    <x v="4"/>
    <s v="1000-IPPE"/>
    <m/>
    <x v="0"/>
    <m/>
    <m/>
    <m/>
    <s v="West"/>
    <s v="RAJKOT"/>
    <m/>
    <n v="188891"/>
    <s v="Galaxy Stamping Pvt. Ltd."/>
    <n v="2439203"/>
    <s v="CRCA COIL TSBSTA EL06 0.500X1160"/>
    <s v=" "/>
    <s v=""/>
    <n v="6"/>
    <n v="8"/>
    <s v="Wider"/>
    <s v="C01"/>
    <s v="TSBSTA"/>
    <s v="EL06"/>
    <n v="0.5"/>
    <n v="1160"/>
    <n v="0"/>
    <n v="405"/>
    <n v="252.92"/>
    <n v="405"/>
    <n v="405"/>
    <n v="410.39"/>
    <n v="0"/>
    <m/>
    <n v="235.63"/>
    <n v="169.37"/>
    <n v="152.07"/>
    <n v="0"/>
    <n v="0"/>
    <n v="0"/>
    <n v="0"/>
    <n v="0"/>
    <n v="0"/>
    <n v="0"/>
    <n v="0"/>
    <n v="0"/>
    <n v="0"/>
    <n v="0"/>
    <n v="0"/>
    <n v="26.465"/>
    <n v="131.53"/>
    <n v="235.63"/>
    <n v="0"/>
    <n v="0"/>
    <n v="0"/>
    <n v="0"/>
    <n v="0"/>
    <n v="393.625"/>
    <n v="393.62499999999994"/>
    <n v="0"/>
    <n v="393.62499999999994"/>
    <n v="174.76"/>
    <n v="221.89500000000001"/>
    <n v="152.07"/>
    <n v="0"/>
    <n v="0"/>
    <n v="152.07"/>
    <n v="0"/>
    <n v="0"/>
    <n v="373.96500000000003"/>
    <n v="0"/>
    <n v="0"/>
    <n v="0"/>
    <n v="373.96500000000003"/>
    <n v="0"/>
    <n v="0"/>
    <n v="0"/>
    <n v="0"/>
    <n v="0"/>
    <n v="0"/>
    <n v="0"/>
    <n v="0"/>
    <m/>
    <m/>
    <m/>
    <m/>
    <m/>
    <m/>
    <m/>
    <m/>
    <m/>
    <s v="1"/>
    <s v="1"/>
    <s v="0"/>
    <s v="1"/>
    <s v="1"/>
    <m/>
    <m/>
    <m/>
    <m/>
    <m/>
    <m/>
    <m/>
    <m/>
    <m/>
    <m/>
    <m/>
    <m/>
    <m/>
    <m/>
  </r>
  <r>
    <n v="742"/>
    <d v="2025-01-17T00:00:00"/>
    <s v="ZBTF"/>
    <n v="9518437249"/>
    <n v="2"/>
    <s v="9518437249-2"/>
    <m/>
    <s v="Mar'25 additional"/>
    <s v="Released orders"/>
    <x v="1"/>
    <x v="4"/>
    <s v="1000-IPPE"/>
    <m/>
    <x v="0"/>
    <m/>
    <m/>
    <m/>
    <m/>
    <s v="SOHNA"/>
    <m/>
    <n v="600250"/>
    <s v="TATA CENTER"/>
    <n v="2439203"/>
    <s v="CRCA COIL TSBSTA EL06 0.500X1160"/>
    <s v=" "/>
    <s v=""/>
    <n v="11.57"/>
    <n v="26"/>
    <s v="Wider"/>
    <s v="C01"/>
    <s v="TSBSTA"/>
    <s v="EL06"/>
    <n v="0.5"/>
    <n v="1160"/>
    <n v="0"/>
    <n v="297"/>
    <n v="248.095"/>
    <n v="61.4"/>
    <n v="48.905000000000001"/>
    <n v="39.975000000000001"/>
    <n v="0"/>
    <m/>
    <n v="52.39"/>
    <n v="0"/>
    <n v="48.905000000000001"/>
    <n v="0"/>
    <n v="0"/>
    <n v="0"/>
    <n v="0"/>
    <n v="0"/>
    <n v="0"/>
    <n v="0"/>
    <n v="0"/>
    <n v="1.1500000000000001"/>
    <n v="0"/>
    <n v="0"/>
    <n v="0"/>
    <n v="0"/>
    <n v="0"/>
    <n v="52.39"/>
    <n v="0"/>
    <n v="0"/>
    <n v="0"/>
    <n v="0"/>
    <n v="0"/>
    <n v="53.54"/>
    <n v="52.39"/>
    <n v="0"/>
    <n v="52.39"/>
    <n v="-12.414999999999999"/>
    <n v="0"/>
    <n v="48.905000000000001"/>
    <n v="0"/>
    <n v="0"/>
    <n v="48.905000000000001"/>
    <n v="0"/>
    <n v="0"/>
    <n v="48.905000000000001"/>
    <n v="0"/>
    <n v="0"/>
    <n v="48.905000000000001"/>
    <n v="0"/>
    <n v="0"/>
    <n v="0"/>
    <m/>
    <m/>
    <m/>
    <m/>
    <m/>
    <m/>
    <m/>
    <m/>
    <m/>
    <m/>
    <m/>
    <m/>
    <m/>
    <m/>
    <m/>
    <m/>
    <m/>
    <m/>
    <m/>
    <m/>
    <m/>
    <m/>
    <m/>
    <m/>
    <m/>
    <m/>
    <m/>
    <m/>
    <m/>
    <m/>
    <m/>
    <m/>
    <m/>
    <m/>
  </r>
  <r>
    <n v="742"/>
    <d v="2024-11-27T00:00:00"/>
    <s v="ZBTF"/>
    <n v="9518294631"/>
    <n v="2"/>
    <s v="9518294631-2"/>
    <m/>
    <s v="No Priority"/>
    <s v="Released orders"/>
    <x v="1"/>
    <x v="4"/>
    <s v="1000-IPPE"/>
    <m/>
    <x v="1"/>
    <m/>
    <m/>
    <m/>
    <s v="East"/>
    <s v="PILKHUWA"/>
    <m/>
    <n v="600250"/>
    <s v="TATA CENTER"/>
    <n v="2439203"/>
    <s v="CRCA COIL TSBSTA EL06 0.500X1160"/>
    <m/>
    <s v=""/>
    <n v="8"/>
    <n v="13"/>
    <s v="Wider"/>
    <s v="C01"/>
    <s v="TSBSTA"/>
    <s v="EL06"/>
    <n v="0.5"/>
    <n v="1160"/>
    <n v="0"/>
    <n v="297"/>
    <n v="282.88"/>
    <n v="50.99"/>
    <n v="26.504999999999999"/>
    <n v="26.1"/>
    <n v="0.40500000000000003"/>
    <m/>
    <n v="26.28"/>
    <n v="0"/>
    <n v="14.12"/>
    <n v="0"/>
    <n v="27.675200000000004"/>
    <n v="0"/>
    <n v="0"/>
    <n v="0"/>
    <n v="0"/>
    <n v="0"/>
    <n v="0"/>
    <n v="0"/>
    <n v="0"/>
    <n v="0"/>
    <n v="0"/>
    <n v="0"/>
    <n v="0"/>
    <n v="26.28"/>
    <n v="0"/>
    <n v="0"/>
    <n v="0"/>
    <n v="0"/>
    <n v="0"/>
    <n v="26.28"/>
    <n v="26.28"/>
    <n v="0"/>
    <n v="26.28"/>
    <n v="-0.17999999999999972"/>
    <n v="0"/>
    <n v="0"/>
    <n v="0"/>
    <n v="0"/>
    <n v="0"/>
    <n v="0"/>
    <n v="0"/>
    <n v="0"/>
    <n v="0"/>
    <n v="0"/>
    <n v="0"/>
    <n v="0"/>
    <n v="0"/>
    <n v="0"/>
    <n v="196.75000000000003"/>
    <n v="0"/>
    <n v="0"/>
    <n v="0"/>
    <n v="0"/>
    <n v="0"/>
    <m/>
    <m/>
    <m/>
    <m/>
    <m/>
    <m/>
    <m/>
    <m/>
    <m/>
    <s v="1"/>
    <s v="1"/>
    <s v="1"/>
    <s v="1"/>
    <s v="1"/>
    <m/>
    <m/>
    <m/>
    <m/>
    <m/>
    <s v="Process delay at TLL"/>
    <m/>
    <m/>
    <m/>
    <m/>
    <m/>
    <m/>
    <m/>
    <m/>
  </r>
  <r>
    <n v="742"/>
    <d v="2025-01-03T00:00:00"/>
    <s v="ZBTO"/>
    <n v="9518401782"/>
    <n v="4"/>
    <s v="9518401782-4"/>
    <m/>
    <s v="Feb'25"/>
    <s v="Released orders"/>
    <x v="1"/>
    <x v="3"/>
    <s v="2000-BPRS"/>
    <m/>
    <x v="0"/>
    <m/>
    <m/>
    <m/>
    <s v="North"/>
    <s v="LONI"/>
    <m/>
    <n v="936528"/>
    <s v="SHORI LAL KEWAL KUMAR"/>
    <n v="185632"/>
    <s v="CRSHEET-ICF  DQ TATXXD AU03 0.45 X 1250"/>
    <s v=" "/>
    <s v=""/>
    <n v="10"/>
    <n v="30"/>
    <s v="Wider"/>
    <s v="C01"/>
    <s v="TATXXD"/>
    <s v="AU03"/>
    <n v="0.45"/>
    <n v="1250"/>
    <n v="0"/>
    <n v="28.99"/>
    <n v="0"/>
    <n v="28.99"/>
    <n v="28.99"/>
    <n v="27.56"/>
    <n v="0"/>
    <m/>
    <n v="0"/>
    <n v="28.99"/>
    <n v="28.99"/>
    <n v="0"/>
    <n v="0"/>
    <n v="0"/>
    <n v="0"/>
    <n v="0"/>
    <n v="0"/>
    <n v="0"/>
    <n v="0"/>
    <n v="0"/>
    <n v="0"/>
    <n v="0"/>
    <n v="28.3"/>
    <n v="0"/>
    <n v="0"/>
    <n v="0"/>
    <n v="0"/>
    <n v="0"/>
    <n v="0"/>
    <n v="0"/>
    <n v="0"/>
    <n v="28.3"/>
    <n v="28.3"/>
    <n v="0"/>
    <n v="28.3"/>
    <n v="27.56"/>
    <n v="0"/>
    <n v="28.99"/>
    <n v="0"/>
    <n v="28.99"/>
    <n v="0"/>
    <n v="0"/>
    <n v="0"/>
    <n v="28.99"/>
    <n v="0"/>
    <n v="28.99"/>
    <n v="0"/>
    <n v="0"/>
    <n v="0"/>
    <n v="0"/>
    <n v="0"/>
    <n v="0"/>
    <n v="0"/>
    <n v="0"/>
    <n v="0"/>
    <n v="0"/>
    <m/>
    <m/>
    <m/>
    <m/>
    <m/>
    <m/>
    <m/>
    <m/>
    <m/>
    <s v="1"/>
    <s v="0"/>
    <s v="1"/>
    <s v="1"/>
    <s v="1"/>
    <m/>
    <m/>
    <m/>
    <m/>
    <m/>
    <m/>
    <m/>
    <m/>
    <m/>
    <m/>
    <m/>
    <m/>
    <m/>
    <m/>
  </r>
  <r>
    <n v="742"/>
    <d v="2025-02-11T00:00:00"/>
    <s v="ZBTO"/>
    <n v="9518510093"/>
    <n v="2"/>
    <s v="9518510093-2"/>
    <m/>
    <s v="Mar'25"/>
    <s v="Released orders"/>
    <x v="1"/>
    <x v="3"/>
    <s v="2000-BPRS"/>
    <m/>
    <x v="0"/>
    <s v="Mar"/>
    <m/>
    <m/>
    <m/>
    <s v="LONI"/>
    <m/>
    <n v="101499"/>
    <s v="G.R. GUPTA &amp; BROS."/>
    <n v="1800890"/>
    <s v="CRCA COIL-TATXXD-AU03-0.35X1250"/>
    <s v=" "/>
    <s v=""/>
    <n v="10"/>
    <n v="30"/>
    <s v="Wider"/>
    <s v="C01"/>
    <s v="TATXXD"/>
    <s v="AU03"/>
    <n v="0.35"/>
    <n v="1250"/>
    <n v="0"/>
    <n v="29"/>
    <n v="0"/>
    <n v="29"/>
    <n v="29"/>
    <n v="0"/>
    <n v="29"/>
    <n v="29"/>
    <m/>
    <n v="29"/>
    <n v="29"/>
    <n v="0"/>
    <n v="32.480000000000004"/>
    <n v="0"/>
    <n v="0"/>
    <n v="0"/>
    <n v="0"/>
    <n v="0"/>
    <n v="0"/>
    <n v="0"/>
    <n v="0"/>
    <n v="0"/>
    <n v="0"/>
    <n v="0"/>
    <n v="0"/>
    <n v="0"/>
    <n v="0"/>
    <n v="0"/>
    <n v="0"/>
    <n v="0"/>
    <n v="0"/>
    <n v="0"/>
    <n v="0"/>
    <n v="0"/>
    <n v="0"/>
    <n v="0"/>
    <n v="0"/>
    <n v="29"/>
    <n v="0"/>
    <n v="0"/>
    <n v="29"/>
    <n v="0"/>
    <n v="0"/>
    <n v="29"/>
    <n v="0"/>
    <n v="0"/>
    <n v="29"/>
    <n v="0"/>
    <n v="0"/>
    <n v="0"/>
    <m/>
    <m/>
    <m/>
    <m/>
    <m/>
    <m/>
    <m/>
    <m/>
    <m/>
    <m/>
    <m/>
    <m/>
    <m/>
    <m/>
    <m/>
    <m/>
    <m/>
    <m/>
    <m/>
    <m/>
    <m/>
    <m/>
    <m/>
    <m/>
    <m/>
    <m/>
    <m/>
    <m/>
    <m/>
    <m/>
    <m/>
    <m/>
    <m/>
    <m/>
  </r>
  <r>
    <n v="744"/>
    <d v="2025-01-25T00:00:00"/>
    <s v="ZBTO"/>
    <n v="9518461170"/>
    <n v="1"/>
    <s v="9518461170-1"/>
    <m/>
    <s v="Stocks"/>
    <s v="Released orders"/>
    <x v="4"/>
    <x v="7"/>
    <s v="1000-IPPE"/>
    <m/>
    <x v="0"/>
    <m/>
    <m/>
    <m/>
    <s v="East"/>
    <s v="GAMHARIA"/>
    <m/>
    <n v="940016"/>
    <s v="TATA BLUESCOPE STEEL PVT LTD."/>
    <n v="3712516"/>
    <s v="PPGL C HARD Y550PL HPL5 0.450X1220"/>
    <s v="AZ150"/>
    <s v="E. CLOUD WHITE TSL 1685"/>
    <n v="3"/>
    <n v="5"/>
    <s v="Wider"/>
    <s v="B18"/>
    <s v="Y550PL"/>
    <s v="HPL5"/>
    <n v="0.45"/>
    <n v="1220"/>
    <n v="0"/>
    <n v="28"/>
    <n v="26.535"/>
    <n v="28"/>
    <n v="28"/>
    <n v="26.68"/>
    <n v="0"/>
    <m/>
    <n v="26.68"/>
    <n v="0"/>
    <n v="1.4650000000000001"/>
    <n v="0"/>
    <n v="0"/>
    <n v="0"/>
    <n v="0"/>
    <n v="0"/>
    <n v="0"/>
    <n v="0"/>
    <n v="0"/>
    <n v="0"/>
    <n v="0"/>
    <n v="26.68"/>
    <n v="0"/>
    <n v="0"/>
    <n v="0"/>
    <n v="0"/>
    <n v="0"/>
    <n v="0"/>
    <n v="0"/>
    <n v="0"/>
    <n v="0"/>
    <n v="26.68"/>
    <n v="26.68"/>
    <n v="0"/>
    <n v="26.68"/>
    <n v="0"/>
    <n v="26.535000000000004"/>
    <n v="0"/>
    <n v="0"/>
    <n v="0"/>
    <n v="0"/>
    <n v="0"/>
    <n v="0"/>
    <n v="26.535000000000004"/>
    <n v="0"/>
    <n v="26.535000000000004"/>
    <n v="0"/>
    <n v="0"/>
    <n v="0"/>
    <n v="0"/>
    <n v="0"/>
    <n v="0"/>
    <n v="0"/>
    <n v="0"/>
    <n v="0"/>
    <n v="0"/>
    <m/>
    <m/>
    <m/>
    <m/>
    <m/>
    <m/>
    <m/>
    <m/>
    <m/>
    <s v="1"/>
    <s v="1"/>
    <s v="1"/>
    <s v="1"/>
    <s v="1"/>
    <m/>
    <m/>
    <m/>
    <m/>
    <m/>
    <m/>
    <m/>
    <m/>
    <m/>
    <m/>
    <m/>
    <m/>
    <m/>
    <m/>
  </r>
  <r>
    <n v="744"/>
    <d v="2025-01-23T00:00:00"/>
    <s v="ZBTO"/>
    <n v="9518453235"/>
    <n v="8"/>
    <s v="9518453235-8"/>
    <m/>
    <s v="Feb'25"/>
    <s v="Released orders"/>
    <x v="4"/>
    <x v="7"/>
    <s v="1000-IPPE"/>
    <m/>
    <x v="0"/>
    <m/>
    <m/>
    <m/>
    <s v="East"/>
    <s v="GAMHARIA"/>
    <m/>
    <n v="940016"/>
    <s v="TATA BLUESCOPE STEEL PVT LTD."/>
    <n v="3879501"/>
    <s v="PPGL C HARD Y550PL ISC6 0.450X1220"/>
    <s v="aZ70"/>
    <s v="PRO BLUE TSL 1913"/>
    <n v="3"/>
    <n v="5"/>
    <s v="Wider"/>
    <s v="B18"/>
    <s v="Y550PL"/>
    <s v="ISC6"/>
    <n v="0.45"/>
    <n v="1220"/>
    <n v="0"/>
    <n v="111.99"/>
    <n v="94.504999999999995"/>
    <n v="32.424999999999997"/>
    <n v="17.484999999999999"/>
    <n v="0"/>
    <n v="17.484999999999999"/>
    <m/>
    <m/>
    <n v="17.484999999999999"/>
    <n v="17.484999999999999"/>
    <n v="0"/>
    <n v="0"/>
    <n v="0"/>
    <n v="0"/>
    <n v="0"/>
    <n v="0"/>
    <n v="0"/>
    <n v="0"/>
    <n v="0"/>
    <n v="0"/>
    <n v="15.945"/>
    <n v="0"/>
    <n v="0"/>
    <n v="0"/>
    <n v="0"/>
    <n v="0"/>
    <n v="0"/>
    <n v="6.76"/>
    <n v="0"/>
    <n v="0"/>
    <n v="22.704999999999998"/>
    <n v="22.704999999999998"/>
    <n v="0"/>
    <n v="22.704999999999998"/>
    <n v="0"/>
    <n v="0"/>
    <n v="17.484999999999999"/>
    <n v="0"/>
    <n v="0"/>
    <n v="0"/>
    <n v="0"/>
    <n v="17.484999999999999"/>
    <n v="17.484999999999999"/>
    <n v="0"/>
    <n v="0"/>
    <n v="0"/>
    <n v="0"/>
    <n v="17.484999999999999"/>
    <n v="0"/>
    <n v="14.91"/>
    <n v="0"/>
    <n v="0"/>
    <n v="0"/>
    <n v="0"/>
    <n v="14.91"/>
    <m/>
    <m/>
    <m/>
    <m/>
    <m/>
    <m/>
    <m/>
    <m/>
    <m/>
    <s v="1"/>
    <s v="1"/>
    <s v="1"/>
    <s v="1"/>
    <s v="0"/>
    <m/>
    <m/>
    <m/>
    <m/>
    <m/>
    <s v="Planning delay"/>
    <m/>
    <m/>
    <m/>
    <m/>
    <m/>
    <m/>
    <m/>
    <m/>
  </r>
  <r>
    <n v="742"/>
    <d v="2024-12-12T00:00:00"/>
    <s v="ZBTF"/>
    <n v="9518338403"/>
    <n v="9"/>
    <s v="9518338403-9"/>
    <m/>
    <s v="Mar'25"/>
    <s v="Released orders"/>
    <x v="1"/>
    <x v="4"/>
    <s v="1000-IPPE"/>
    <m/>
    <x v="0"/>
    <m/>
    <m/>
    <m/>
    <s v="East"/>
    <s v="PILKHUWA"/>
    <m/>
    <n v="600250"/>
    <s v="TATA CENTER"/>
    <n v="3587949"/>
    <s v="CR COIL TSBSTA EL06 0.500X1250"/>
    <m/>
    <s v=""/>
    <n v="8"/>
    <n v="13"/>
    <s v="Wider"/>
    <s v="C01"/>
    <s v="TSBSTA"/>
    <s v="EL06"/>
    <n v="0.5"/>
    <n v="1250"/>
    <n v="0"/>
    <n v="289.98"/>
    <n v="271.19499999999999"/>
    <n v="18.785"/>
    <n v="18.785"/>
    <n v="0"/>
    <n v="18.785"/>
    <m/>
    <m/>
    <n v="18.785"/>
    <n v="18.785"/>
    <n v="0"/>
    <n v="21.039200000000001"/>
    <n v="0"/>
    <n v="0"/>
    <n v="0"/>
    <n v="0"/>
    <n v="0"/>
    <n v="0"/>
    <n v="0"/>
    <n v="0"/>
    <n v="0"/>
    <n v="0"/>
    <n v="0"/>
    <n v="0"/>
    <n v="0"/>
    <n v="0"/>
    <n v="0"/>
    <n v="0"/>
    <n v="0"/>
    <n v="0"/>
    <n v="0"/>
    <n v="0"/>
    <n v="0"/>
    <n v="0"/>
    <n v="0"/>
    <n v="0"/>
    <n v="18.785"/>
    <n v="0"/>
    <n v="0"/>
    <n v="0"/>
    <n v="0"/>
    <n v="18.785"/>
    <n v="18.785"/>
    <n v="0"/>
    <n v="0"/>
    <n v="0"/>
    <n v="0"/>
    <n v="18.785"/>
    <n v="0"/>
    <n v="0"/>
    <n v="0"/>
    <n v="0"/>
    <n v="0"/>
    <n v="0"/>
    <n v="0"/>
    <m/>
    <m/>
    <m/>
    <m/>
    <m/>
    <m/>
    <m/>
    <m/>
    <m/>
    <s v="1"/>
    <s v="1"/>
    <s v="1"/>
    <s v="1"/>
    <s v="0"/>
    <m/>
    <m/>
    <m/>
    <m/>
    <m/>
    <m/>
    <m/>
    <m/>
    <m/>
    <m/>
    <m/>
    <m/>
    <m/>
    <m/>
  </r>
  <r>
    <n v="742"/>
    <d v="2024-12-12T00:00:00"/>
    <s v="ZBTF"/>
    <n v="9518338403"/>
    <n v="10"/>
    <s v="9518338403-10"/>
    <m/>
    <s v="Mar'25"/>
    <s v="Released orders"/>
    <x v="1"/>
    <x v="4"/>
    <s v="1000-IPPE"/>
    <m/>
    <x v="0"/>
    <m/>
    <m/>
    <m/>
    <s v="East"/>
    <s v="PILKHUWA"/>
    <m/>
    <n v="600250"/>
    <s v="TATA CENTER"/>
    <n v="3587949"/>
    <s v="CR COIL TSBSTA EL06 0.500X1250"/>
    <m/>
    <s v=""/>
    <n v="8"/>
    <n v="13"/>
    <s v="Wider"/>
    <s v="C01"/>
    <s v="TSBSTA"/>
    <s v="EL06"/>
    <n v="0.5"/>
    <n v="1250"/>
    <n v="0"/>
    <n v="289.99"/>
    <n v="266.85000000000002"/>
    <n v="23.14"/>
    <n v="23.14"/>
    <n v="0"/>
    <n v="23.14"/>
    <m/>
    <m/>
    <n v="23.14"/>
    <n v="23.14"/>
    <n v="0"/>
    <n v="25.916800000000002"/>
    <n v="0"/>
    <n v="0"/>
    <n v="0"/>
    <n v="0"/>
    <n v="0"/>
    <n v="0"/>
    <n v="0"/>
    <n v="0"/>
    <n v="0"/>
    <n v="0"/>
    <n v="0"/>
    <n v="0"/>
    <n v="0"/>
    <n v="0"/>
    <n v="0"/>
    <n v="0"/>
    <n v="0"/>
    <n v="0"/>
    <n v="0"/>
    <n v="0"/>
    <n v="0"/>
    <n v="0"/>
    <n v="0"/>
    <n v="0"/>
    <n v="23.14"/>
    <n v="0"/>
    <n v="0"/>
    <n v="0"/>
    <n v="0"/>
    <n v="23.14"/>
    <n v="23.14"/>
    <n v="0"/>
    <n v="0"/>
    <n v="0"/>
    <n v="0"/>
    <n v="23.14"/>
    <n v="0"/>
    <n v="0"/>
    <n v="0"/>
    <n v="0"/>
    <n v="0"/>
    <n v="0"/>
    <n v="0"/>
    <m/>
    <m/>
    <m/>
    <m/>
    <m/>
    <m/>
    <m/>
    <m/>
    <m/>
    <s v="1"/>
    <s v="1"/>
    <s v="1"/>
    <s v="1"/>
    <s v="0"/>
    <m/>
    <m/>
    <m/>
    <m/>
    <m/>
    <m/>
    <m/>
    <m/>
    <m/>
    <m/>
    <m/>
    <m/>
    <m/>
    <m/>
  </r>
  <r>
    <n v="742"/>
    <d v="2024-12-12T00:00:00"/>
    <s v="ZBTF"/>
    <n v="9518338403"/>
    <n v="2"/>
    <s v="9518338403-2"/>
    <m/>
    <s v="Mar'25"/>
    <s v="Released orders"/>
    <x v="1"/>
    <x v="4"/>
    <s v="1000-IPPE"/>
    <m/>
    <x v="0"/>
    <m/>
    <s v="BTF&lt;=17MT"/>
    <m/>
    <s v="East"/>
    <s v="PILKHUWA"/>
    <m/>
    <n v="600250"/>
    <s v="TATA CENTER"/>
    <n v="2439203"/>
    <s v="CRCA COIL TSBSTA EL06 0.500X1160"/>
    <m/>
    <s v=""/>
    <n v="8"/>
    <n v="13"/>
    <s v="Wider"/>
    <s v="C01"/>
    <s v="TSBSTA"/>
    <s v="EL06"/>
    <n v="0.5"/>
    <n v="1160"/>
    <n v="0"/>
    <n v="297"/>
    <n v="273.55500000000001"/>
    <n v="23.445"/>
    <n v="23.445"/>
    <n v="0"/>
    <n v="23.445"/>
    <n v="23.445"/>
    <m/>
    <n v="23.445"/>
    <n v="23.445"/>
    <n v="0"/>
    <n v="26.258400000000002"/>
    <n v="0"/>
    <n v="0"/>
    <n v="0"/>
    <n v="0"/>
    <n v="0"/>
    <n v="0"/>
    <n v="0"/>
    <n v="0"/>
    <n v="0"/>
    <n v="0"/>
    <n v="0"/>
    <n v="0"/>
    <n v="0"/>
    <n v="0"/>
    <n v="0"/>
    <n v="0"/>
    <n v="0"/>
    <n v="0"/>
    <n v="0"/>
    <n v="0"/>
    <n v="0"/>
    <n v="0"/>
    <n v="0"/>
    <n v="0"/>
    <n v="23.445"/>
    <n v="0"/>
    <n v="23.445"/>
    <n v="0"/>
    <n v="0"/>
    <n v="0"/>
    <n v="23.445"/>
    <n v="0"/>
    <n v="23.445"/>
    <n v="0"/>
    <n v="0"/>
    <n v="0"/>
    <n v="0"/>
    <n v="0"/>
    <n v="0"/>
    <n v="0"/>
    <n v="0"/>
    <n v="0"/>
    <n v="0"/>
    <m/>
    <m/>
    <m/>
    <m/>
    <m/>
    <m/>
    <m/>
    <m/>
    <m/>
    <s v="1"/>
    <s v="0"/>
    <s v="1"/>
    <s v="1"/>
    <s v="1"/>
    <m/>
    <m/>
    <m/>
    <m/>
    <m/>
    <m/>
    <m/>
    <m/>
    <m/>
    <m/>
    <m/>
    <m/>
    <m/>
    <m/>
  </r>
  <r>
    <n v="742"/>
    <d v="2025-01-03T00:00:00"/>
    <s v="ZBTO"/>
    <n v="9518401782"/>
    <n v="3"/>
    <s v="9518401782-3"/>
    <m/>
    <s v="Mar'25 additional"/>
    <s v="Released orders"/>
    <x v="1"/>
    <x v="3"/>
    <s v="2000-BPRS"/>
    <m/>
    <x v="0"/>
    <s v="Mar"/>
    <m/>
    <m/>
    <s v="North"/>
    <s v="LONI"/>
    <m/>
    <n v="936528"/>
    <s v="SHORI LAL KEWAL KUMAR"/>
    <n v="185664"/>
    <s v="CRSHEET-ICF  DQ TATXXD AU03 0.40 X 1250"/>
    <s v=" "/>
    <s v=""/>
    <n v="10"/>
    <n v="30"/>
    <s v="Wider"/>
    <s v="C01"/>
    <s v="TATXXD"/>
    <s v="AU03"/>
    <n v="0.4"/>
    <n v="1250"/>
    <n v="0"/>
    <n v="115.99"/>
    <n v="87.424999999999997"/>
    <n v="90.504999999999995"/>
    <n v="90.504999999999995"/>
    <n v="76.5"/>
    <n v="0"/>
    <m/>
    <n v="78.715000000000003"/>
    <n v="11.789999999999992"/>
    <n v="28.565000000000001"/>
    <n v="0"/>
    <n v="0"/>
    <n v="0"/>
    <n v="0"/>
    <n v="0"/>
    <n v="0"/>
    <n v="0"/>
    <n v="0"/>
    <n v="0"/>
    <n v="0"/>
    <n v="0"/>
    <n v="0"/>
    <n v="0"/>
    <n v="0"/>
    <n v="26.96"/>
    <n v="39.305"/>
    <n v="12.450000000000001"/>
    <n v="0"/>
    <n v="0"/>
    <n v="0"/>
    <n v="78.715000000000003"/>
    <n v="78.715000000000003"/>
    <n v="0"/>
    <n v="78.715000000000003"/>
    <n v="-2.2150000000000034"/>
    <n v="37.049999999999997"/>
    <n v="28.565000000000001"/>
    <n v="0"/>
    <n v="0"/>
    <n v="28.565000000000001"/>
    <n v="0"/>
    <n v="0"/>
    <n v="65.614999999999995"/>
    <n v="0"/>
    <n v="0"/>
    <n v="0"/>
    <n v="65.614999999999995"/>
    <n v="0"/>
    <n v="0"/>
    <n v="0"/>
    <n v="0"/>
    <n v="0"/>
    <n v="0"/>
    <n v="0"/>
    <n v="0"/>
    <m/>
    <m/>
    <m/>
    <m/>
    <m/>
    <m/>
    <m/>
    <m/>
    <m/>
    <s v="1"/>
    <s v="1"/>
    <s v="0"/>
    <s v="1"/>
    <s v="1"/>
    <m/>
    <m/>
    <m/>
    <m/>
    <m/>
    <m/>
    <m/>
    <m/>
    <m/>
    <m/>
    <m/>
    <m/>
    <m/>
    <m/>
  </r>
  <r>
    <n v="742"/>
    <d v="2024-12-05T00:00:00"/>
    <s v="ZBTO"/>
    <n v="9518322082"/>
    <n v="2"/>
    <s v="9518322082-2"/>
    <m/>
    <s v="Stocks"/>
    <s v="Released orders"/>
    <x v="1"/>
    <x v="3"/>
    <s v="2000-BPRS"/>
    <m/>
    <x v="0"/>
    <m/>
    <m/>
    <m/>
    <s v="North"/>
    <s v="ZOSOLA"/>
    <m/>
    <n v="184986"/>
    <s v="SWASTIK STEEL PROCESSOR LLP"/>
    <n v="185675"/>
    <s v="CRCA COIL-TATXXD-AU03-0.5X1250"/>
    <s v=" "/>
    <s v=""/>
    <n v="20"/>
    <n v="29"/>
    <s v="Wider"/>
    <s v="C01"/>
    <s v="TATXXD"/>
    <s v="AU03"/>
    <n v="0.5"/>
    <n v="1250"/>
    <n v="0"/>
    <n v="28.99"/>
    <n v="25.414999999999999"/>
    <n v="28.99"/>
    <n v="28.99"/>
    <n v="27.53"/>
    <n v="0"/>
    <m/>
    <n v="0"/>
    <n v="28.99"/>
    <n v="3.5750000000000002"/>
    <n v="0"/>
    <n v="0"/>
    <n v="0"/>
    <n v="0"/>
    <n v="0"/>
    <n v="0"/>
    <n v="0"/>
    <n v="0"/>
    <n v="0"/>
    <n v="0"/>
    <n v="0"/>
    <n v="28.25"/>
    <n v="0"/>
    <n v="0"/>
    <n v="0"/>
    <n v="0"/>
    <n v="0"/>
    <n v="0"/>
    <n v="0"/>
    <n v="0"/>
    <n v="28.25"/>
    <n v="28.25"/>
    <n v="0"/>
    <n v="28.25"/>
    <n v="27.53"/>
    <n v="25.414999999999999"/>
    <n v="0"/>
    <n v="0"/>
    <n v="0"/>
    <n v="0"/>
    <n v="0"/>
    <n v="0"/>
    <n v="25.414999999999999"/>
    <n v="25.414999999999999"/>
    <n v="0"/>
    <n v="0"/>
    <n v="0"/>
    <n v="0"/>
    <n v="0"/>
    <n v="0"/>
    <n v="0"/>
    <n v="0"/>
    <n v="0"/>
    <n v="0"/>
    <n v="0"/>
    <m/>
    <m/>
    <m/>
    <m/>
    <m/>
    <m/>
    <m/>
    <m/>
    <m/>
    <s v="1"/>
    <s v="1"/>
    <s v="1"/>
    <s v="1"/>
    <s v="1"/>
    <m/>
    <m/>
    <m/>
    <m/>
    <m/>
    <m/>
    <m/>
    <m/>
    <m/>
    <m/>
    <m/>
    <m/>
    <m/>
    <m/>
  </r>
  <r>
    <n v="742"/>
    <d v="2025-01-08T00:00:00"/>
    <s v="ZBTO"/>
    <n v="9518414378"/>
    <n v="2"/>
    <s v="9518414378-2"/>
    <m/>
    <s v="Mar'25 additional"/>
    <s v="Released orders"/>
    <x v="1"/>
    <x v="3"/>
    <s v="2000-BPRS"/>
    <m/>
    <x v="0"/>
    <s v="Mar"/>
    <m/>
    <m/>
    <s v="North"/>
    <s v="FARIDABAD"/>
    <m/>
    <n v="102457"/>
    <s v="SANJEEV INDUSTRIAL CORPORATION"/>
    <n v="1804772"/>
    <s v="CRCA COIL TATXXD AU03 0.4X1250"/>
    <s v=" "/>
    <s v=""/>
    <n v="10"/>
    <n v="30"/>
    <s v="Wider"/>
    <s v="C01"/>
    <s v="TATXXD"/>
    <s v="AU03"/>
    <n v="0.4"/>
    <n v="1250"/>
    <n v="0"/>
    <n v="86.99"/>
    <n v="50.13"/>
    <n v="61.744999999999997"/>
    <n v="61.744999999999997"/>
    <n v="53.84"/>
    <n v="0"/>
    <m/>
    <n v="0"/>
    <n v="7.3299999999999912"/>
    <n v="36.86"/>
    <n v="0"/>
    <n v="0"/>
    <n v="0"/>
    <n v="0"/>
    <n v="0"/>
    <n v="0"/>
    <n v="0"/>
    <n v="0"/>
    <n v="0"/>
    <n v="0"/>
    <n v="0"/>
    <n v="27.455000000000002"/>
    <n v="0"/>
    <n v="26.96"/>
    <n v="0"/>
    <n v="0"/>
    <n v="0"/>
    <n v="0"/>
    <n v="0"/>
    <n v="0"/>
    <n v="54.415000000000006"/>
    <n v="54.415000000000006"/>
    <n v="0"/>
    <n v="54.415000000000006"/>
    <n v="53.84"/>
    <n v="0"/>
    <n v="36.86"/>
    <n v="0"/>
    <n v="0"/>
    <n v="36.86"/>
    <n v="0"/>
    <n v="0"/>
    <n v="36.86"/>
    <n v="0"/>
    <n v="0"/>
    <n v="36.86"/>
    <n v="0"/>
    <n v="0"/>
    <n v="0"/>
    <n v="0"/>
    <n v="0"/>
    <n v="0"/>
    <n v="0"/>
    <n v="0"/>
    <n v="0"/>
    <m/>
    <m/>
    <m/>
    <m/>
    <m/>
    <m/>
    <m/>
    <m/>
    <m/>
    <s v="1"/>
    <s v="1"/>
    <s v="0"/>
    <s v="1"/>
    <s v="1"/>
    <m/>
    <m/>
    <m/>
    <m/>
    <m/>
    <m/>
    <m/>
    <m/>
    <m/>
    <m/>
    <m/>
    <m/>
    <m/>
    <m/>
  </r>
  <r>
    <n v="742"/>
    <d v="2025-01-14T00:00:00"/>
    <s v="ZBTO"/>
    <n v="9518428296"/>
    <n v="1"/>
    <s v="9518428296-1"/>
    <m/>
    <s v="Feb'25"/>
    <s v="Released orders"/>
    <x v="1"/>
    <x v="3"/>
    <s v="2000-BPRS"/>
    <m/>
    <x v="0"/>
    <m/>
    <m/>
    <m/>
    <s v="East"/>
    <s v="TATANAGAR"/>
    <m/>
    <n v="165053"/>
    <s v="SUDISA ENTERPRISES (P) LTD."/>
    <n v="1801290"/>
    <s v="CRCA COIL-TATXXD-AU03-0.6X1250"/>
    <s v=" "/>
    <s v=""/>
    <n v="24"/>
    <n v="29"/>
    <s v="Wider"/>
    <s v="C01"/>
    <s v="TATXXD"/>
    <s v="AU03"/>
    <n v="0.6"/>
    <n v="1250"/>
    <n v="0"/>
    <n v="58"/>
    <n v="26.105"/>
    <n v="31.895"/>
    <n v="31.895"/>
    <n v="34.354999999999997"/>
    <n v="0"/>
    <m/>
    <n v="6.875"/>
    <n v="25.02"/>
    <n v="31.895"/>
    <n v="0"/>
    <n v="0"/>
    <n v="0"/>
    <n v="0"/>
    <n v="0"/>
    <n v="0"/>
    <n v="0"/>
    <n v="0"/>
    <n v="0"/>
    <n v="0"/>
    <n v="0"/>
    <n v="28.2"/>
    <n v="0"/>
    <n v="0"/>
    <n v="0"/>
    <n v="0"/>
    <n v="6.875"/>
    <n v="0"/>
    <n v="0"/>
    <n v="0"/>
    <n v="35.075000000000003"/>
    <n v="35.075000000000003"/>
    <n v="0"/>
    <n v="35.075000000000003"/>
    <n v="27.479999999999997"/>
    <n v="0"/>
    <n v="31.895"/>
    <n v="0"/>
    <n v="31.895"/>
    <n v="0"/>
    <n v="0"/>
    <n v="0"/>
    <n v="31.895"/>
    <n v="0"/>
    <n v="31.895"/>
    <n v="0"/>
    <n v="0"/>
    <n v="0"/>
    <n v="0"/>
    <n v="0"/>
    <n v="0"/>
    <n v="0"/>
    <n v="0"/>
    <n v="0"/>
    <n v="0"/>
    <m/>
    <m/>
    <m/>
    <m/>
    <m/>
    <m/>
    <m/>
    <m/>
    <m/>
    <s v="1"/>
    <s v="0"/>
    <s v="1"/>
    <s v="1"/>
    <s v="1"/>
    <m/>
    <m/>
    <m/>
    <m/>
    <m/>
    <m/>
    <m/>
    <m/>
    <m/>
    <m/>
    <m/>
    <m/>
    <m/>
    <m/>
  </r>
  <r>
    <n v="742"/>
    <d v="2025-01-20T00:00:00"/>
    <s v="ZBTO"/>
    <n v="9518444317"/>
    <n v="2"/>
    <s v="9518444317-2"/>
    <m/>
    <s v="No Priority"/>
    <s v="Released orders"/>
    <x v="1"/>
    <x v="3"/>
    <s v="2000-BPRS"/>
    <m/>
    <x v="1"/>
    <s v="Mar"/>
    <s v="Low exp BTF"/>
    <m/>
    <s v="South"/>
    <s v="PATTANCHERY"/>
    <m/>
    <n v="939422"/>
    <s v="VIJAY VENKAT STEELS PRIVATE LIMITED"/>
    <n v="1804854"/>
    <s v="CRCA COIL-TATXXD-AU03-1.2X1250"/>
    <s v=" "/>
    <s v=""/>
    <n v="18"/>
    <n v="30"/>
    <s v="Wider"/>
    <s v="C01"/>
    <s v="TATXXD"/>
    <s v="AU03"/>
    <n v="1.2"/>
    <n v="1250"/>
    <n v="0"/>
    <n v="29"/>
    <n v="26.16"/>
    <n v="29"/>
    <n v="29"/>
    <n v="27.38"/>
    <n v="0"/>
    <m/>
    <n v="0"/>
    <n v="1.620000000000001"/>
    <n v="2.84"/>
    <n v="0"/>
    <n v="0"/>
    <n v="0"/>
    <n v="0"/>
    <n v="0"/>
    <n v="0"/>
    <n v="0"/>
    <n v="0"/>
    <n v="0"/>
    <n v="0"/>
    <n v="0"/>
    <n v="0"/>
    <n v="0"/>
    <n v="27.38"/>
    <n v="0"/>
    <n v="0"/>
    <n v="0"/>
    <n v="0"/>
    <n v="0"/>
    <n v="0"/>
    <n v="27.38"/>
    <n v="27.38"/>
    <n v="0"/>
    <n v="27.38"/>
    <n v="27.38"/>
    <n v="0"/>
    <n v="0"/>
    <n v="0"/>
    <n v="0"/>
    <n v="0"/>
    <n v="0"/>
    <n v="0"/>
    <n v="0"/>
    <n v="0"/>
    <n v="0"/>
    <n v="0"/>
    <n v="0"/>
    <n v="0"/>
    <n v="0"/>
    <n v="0"/>
    <n v="0"/>
    <n v="0"/>
    <n v="0"/>
    <n v="0"/>
    <n v="0"/>
    <m/>
    <m/>
    <m/>
    <m/>
    <m/>
    <m/>
    <m/>
    <m/>
    <m/>
    <s v="1"/>
    <s v="1"/>
    <s v="1"/>
    <s v="1"/>
    <s v="1"/>
    <m/>
    <m/>
    <m/>
    <m/>
    <m/>
    <m/>
    <m/>
    <m/>
    <m/>
    <m/>
    <m/>
    <m/>
    <m/>
    <m/>
  </r>
  <r>
    <n v="744"/>
    <d v="2025-01-23T00:00:00"/>
    <s v="ZBTO"/>
    <n v="9518453703"/>
    <n v="1"/>
    <s v="9518453703-1"/>
    <m/>
    <s v="Mar'25 additional"/>
    <s v="Released orders"/>
    <x v="4"/>
    <x v="7"/>
    <s v="1000-IPPE"/>
    <m/>
    <x v="0"/>
    <m/>
    <m/>
    <m/>
    <s v="East"/>
    <s v="GAMHARIA"/>
    <m/>
    <n v="940016"/>
    <s v="TATA BLUESCOPE STEEL PVT LTD."/>
    <n v="3930916"/>
    <s v="PPGL C HARD Y550PL ISC6 0.350X1220"/>
    <s v="aZ70"/>
    <s v="PRO BLUE TSL 1913"/>
    <n v="3"/>
    <n v="5"/>
    <s v="Wider"/>
    <s v="B18"/>
    <s v="Y550PL"/>
    <s v="ISC6"/>
    <n v="0.35"/>
    <n v="1220"/>
    <n v="0"/>
    <n v="56"/>
    <n v="36.700000000000003"/>
    <n v="24.245000000000001"/>
    <n v="19.3"/>
    <n v="31.95"/>
    <n v="0"/>
    <m/>
    <n v="31.95"/>
    <n v="0"/>
    <n v="19.3"/>
    <n v="0"/>
    <n v="0"/>
    <n v="28.73"/>
    <n v="0"/>
    <n v="0"/>
    <n v="0"/>
    <n v="0"/>
    <n v="0"/>
    <n v="4.43"/>
    <n v="0"/>
    <n v="1.71"/>
    <n v="0"/>
    <n v="0"/>
    <n v="0"/>
    <n v="0"/>
    <n v="0"/>
    <n v="0"/>
    <n v="0"/>
    <n v="0"/>
    <n v="4.9450000000000003"/>
    <n v="39.814999999999998"/>
    <n v="39.814999999999998"/>
    <n v="0"/>
    <n v="39.814999999999998"/>
    <n v="0"/>
    <n v="0"/>
    <n v="19.3"/>
    <n v="0"/>
    <n v="0"/>
    <n v="0"/>
    <n v="0"/>
    <n v="19.3"/>
    <n v="19.3"/>
    <n v="0"/>
    <n v="0"/>
    <n v="0"/>
    <n v="0"/>
    <n v="19.3"/>
    <n v="0"/>
    <n v="0"/>
    <n v="0"/>
    <n v="0"/>
    <n v="0"/>
    <n v="0"/>
    <n v="0"/>
    <m/>
    <m/>
    <m/>
    <m/>
    <m/>
    <m/>
    <m/>
    <m/>
    <m/>
    <s v="1"/>
    <s v="1"/>
    <s v="1"/>
    <s v="1"/>
    <s v="0"/>
    <m/>
    <m/>
    <m/>
    <m/>
    <m/>
    <m/>
    <m/>
    <m/>
    <m/>
    <m/>
    <m/>
    <m/>
    <m/>
    <m/>
  </r>
  <r>
    <n v="744"/>
    <d v="2025-01-23T00:00:00"/>
    <s v="ZBTO"/>
    <n v="9518453703"/>
    <n v="3"/>
    <s v="9518453703-3"/>
    <m/>
    <s v="Stocks"/>
    <s v="Released orders"/>
    <x v="4"/>
    <x v="7"/>
    <s v="1000-IPPE"/>
    <m/>
    <x v="0"/>
    <m/>
    <m/>
    <m/>
    <s v="East"/>
    <s v="GAMHARIA"/>
    <m/>
    <n v="940016"/>
    <s v="TATA BLUESCOPE STEEL PVT LTD."/>
    <n v="3930916"/>
    <s v="PPGL C HARD Y550PL ISC6 0.350X1220"/>
    <s v="aZ70"/>
    <s v="PRO GREY TSL 1916"/>
    <n v="3"/>
    <n v="5"/>
    <s v="Wider"/>
    <s v="B18"/>
    <s v="Y550PL"/>
    <s v="ISC6"/>
    <n v="0.35"/>
    <n v="1220"/>
    <n v="0"/>
    <n v="27.99"/>
    <n v="26.58"/>
    <n v="27.99"/>
    <n v="1.41"/>
    <n v="0"/>
    <n v="0"/>
    <m/>
    <m/>
    <n v="0"/>
    <n v="1.41"/>
    <n v="0"/>
    <n v="0"/>
    <n v="0"/>
    <n v="0"/>
    <n v="0"/>
    <n v="0"/>
    <n v="0"/>
    <n v="0"/>
    <n v="0"/>
    <n v="0"/>
    <n v="26.8"/>
    <n v="0"/>
    <n v="0"/>
    <n v="0"/>
    <n v="0"/>
    <n v="0"/>
    <n v="0"/>
    <n v="0"/>
    <n v="0"/>
    <n v="0"/>
    <n v="26.8"/>
    <n v="26.8"/>
    <n v="0"/>
    <n v="26.8"/>
    <n v="0"/>
    <n v="17.914999999999999"/>
    <n v="0"/>
    <n v="0"/>
    <n v="0"/>
    <n v="0"/>
    <n v="0"/>
    <n v="0"/>
    <n v="17.914999999999999"/>
    <n v="0"/>
    <n v="17.914999999999999"/>
    <n v="0"/>
    <n v="0"/>
    <n v="0"/>
    <n v="0"/>
    <n v="0"/>
    <n v="0"/>
    <n v="0"/>
    <n v="0"/>
    <n v="0"/>
    <n v="0"/>
    <m/>
    <m/>
    <m/>
    <m/>
    <m/>
    <m/>
    <m/>
    <m/>
    <m/>
    <s v="1"/>
    <s v="1"/>
    <s v="1"/>
    <s v="1"/>
    <s v="1"/>
    <m/>
    <m/>
    <m/>
    <m/>
    <m/>
    <m/>
    <m/>
    <m/>
    <m/>
    <m/>
    <m/>
    <m/>
    <m/>
    <m/>
  </r>
  <r>
    <n v="744"/>
    <d v="2025-01-23T00:00:00"/>
    <s v="ZBTO"/>
    <n v="9518453235"/>
    <n v="2"/>
    <s v="9518453235-2"/>
    <m/>
    <s v="Stocks"/>
    <s v="Released orders"/>
    <x v="4"/>
    <x v="7"/>
    <s v="1000-IPPE"/>
    <m/>
    <x v="0"/>
    <m/>
    <m/>
    <m/>
    <s v="East"/>
    <s v="GAMHARIA"/>
    <m/>
    <n v="940016"/>
    <s v="TATA BLUESCOPE STEEL PVT LTD."/>
    <n v="3797658"/>
    <s v="PPGL C Y550 ISC6 0.40BMT(0.45TPT)X1220"/>
    <s v="aZ70"/>
    <s v="PRO BLUE TSL 1913"/>
    <n v="3"/>
    <n v="5"/>
    <s v="Wider"/>
    <s v="B18"/>
    <s v="Y550PL"/>
    <s v="ISC6"/>
    <n v="0.4"/>
    <n v="1220"/>
    <n v="0"/>
    <n v="279.98"/>
    <n v="269.67500000000001"/>
    <n v="31.745000000000001"/>
    <n v="13.91"/>
    <n v="3.605"/>
    <n v="0"/>
    <m/>
    <m/>
    <n v="0"/>
    <n v="10.305"/>
    <n v="0"/>
    <n v="0"/>
    <n v="0"/>
    <n v="0"/>
    <n v="0"/>
    <n v="0"/>
    <n v="0"/>
    <n v="0"/>
    <n v="4.4649999999999999"/>
    <n v="0"/>
    <n v="9.61"/>
    <n v="0"/>
    <n v="0"/>
    <n v="0"/>
    <n v="0"/>
    <n v="0"/>
    <n v="13.780000000000001"/>
    <n v="0"/>
    <n v="0"/>
    <n v="0"/>
    <n v="27.855"/>
    <n v="27.855"/>
    <n v="0"/>
    <n v="27.855"/>
    <n v="3.605"/>
    <n v="12.010000000000002"/>
    <n v="0"/>
    <n v="0"/>
    <n v="0"/>
    <n v="0"/>
    <n v="0"/>
    <n v="0"/>
    <n v="12.010000000000002"/>
    <n v="0"/>
    <n v="12.010000000000002"/>
    <n v="0"/>
    <n v="0"/>
    <n v="0"/>
    <n v="0"/>
    <n v="5.01"/>
    <n v="0"/>
    <n v="0"/>
    <n v="0"/>
    <n v="0"/>
    <n v="0"/>
    <m/>
    <m/>
    <m/>
    <m/>
    <m/>
    <m/>
    <m/>
    <m/>
    <m/>
    <s v="1"/>
    <s v="1"/>
    <s v="1"/>
    <s v="1"/>
    <s v="1"/>
    <m/>
    <m/>
    <m/>
    <m/>
    <m/>
    <m/>
    <m/>
    <m/>
    <m/>
    <m/>
    <m/>
    <m/>
    <m/>
    <m/>
  </r>
  <r>
    <n v="742"/>
    <d v="2025-01-21T00:00:00"/>
    <s v="ZBTO"/>
    <n v="9518447665"/>
    <n v="4"/>
    <s v="9518447665-4"/>
    <m/>
    <s v="Mar'25"/>
    <s v="Released orders"/>
    <x v="1"/>
    <x v="3"/>
    <s v="2000-BPRS"/>
    <m/>
    <x v="0"/>
    <s v="Mar"/>
    <m/>
    <m/>
    <s v="North"/>
    <s v="JAIPUR"/>
    <m/>
    <n v="116137"/>
    <s v="PELIKAN DOSSIER (P) LTD "/>
    <n v="37862"/>
    <s v="CRCA COIL TATCRC TR15 0.4X1250"/>
    <s v=" "/>
    <s v=""/>
    <n v="10"/>
    <n v="25"/>
    <s v="Wider"/>
    <s v="C01"/>
    <s v="TATCRC"/>
    <s v="TR15"/>
    <n v="0.4"/>
    <n v="1250"/>
    <n v="0"/>
    <n v="29"/>
    <n v="0"/>
    <n v="29"/>
    <n v="29"/>
    <n v="0"/>
    <n v="29"/>
    <m/>
    <m/>
    <n v="29"/>
    <n v="29"/>
    <n v="0"/>
    <n v="32.480000000000004"/>
    <n v="0"/>
    <n v="0"/>
    <n v="0"/>
    <n v="0"/>
    <n v="0"/>
    <n v="0"/>
    <n v="0"/>
    <n v="0"/>
    <n v="0"/>
    <n v="0"/>
    <n v="0"/>
    <n v="0"/>
    <n v="0"/>
    <n v="0"/>
    <n v="0"/>
    <n v="0"/>
    <n v="0"/>
    <n v="0"/>
    <n v="0"/>
    <n v="0"/>
    <n v="0"/>
    <n v="0"/>
    <n v="0"/>
    <n v="0"/>
    <n v="29"/>
    <n v="0"/>
    <n v="0"/>
    <n v="0"/>
    <n v="29"/>
    <n v="0"/>
    <n v="29"/>
    <n v="0"/>
    <n v="0"/>
    <n v="0"/>
    <n v="29"/>
    <n v="0"/>
    <n v="0"/>
    <n v="0"/>
    <n v="0"/>
    <n v="0"/>
    <n v="0"/>
    <n v="0"/>
    <n v="0"/>
    <m/>
    <m/>
    <m/>
    <m/>
    <m/>
    <m/>
    <m/>
    <m/>
    <m/>
    <s v="1"/>
    <s v="1"/>
    <s v="1"/>
    <s v="0"/>
    <s v="1"/>
    <m/>
    <m/>
    <m/>
    <m/>
    <m/>
    <m/>
    <m/>
    <m/>
    <m/>
    <m/>
    <m/>
    <m/>
    <m/>
    <m/>
  </r>
  <r>
    <n v="742"/>
    <d v="2025-02-14T00:00:00"/>
    <s v="ZBTO"/>
    <n v="9518519644"/>
    <n v="3"/>
    <s v="9518519644-3"/>
    <m/>
    <s v="No Priority"/>
    <s v="Failed orders"/>
    <x v="1"/>
    <x v="1"/>
    <n v="2000"/>
    <m/>
    <x v="1"/>
    <m/>
    <m/>
    <s v="Bihar"/>
    <m/>
    <m/>
    <m/>
    <n v="103227"/>
    <s v="BMW VENTURES LIMITED"/>
    <n v="2441002"/>
    <s v="CRCA SHEET TATCRC SR16 0.380X1250X2500"/>
    <s v=""/>
    <s v=""/>
    <m/>
    <m/>
    <s v="Wider"/>
    <s v="C06"/>
    <s v="TATCRC"/>
    <s v="SR16"/>
    <n v="0.38"/>
    <n v="1250"/>
    <n v="2500"/>
    <n v="51"/>
    <e v="#N/A"/>
    <n v="51"/>
    <n v="51"/>
    <e v="#N/A"/>
    <e v="#N/A"/>
    <n v="51"/>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3"/>
    <s v="9518520213-3"/>
    <m/>
    <s v="No Priority"/>
    <s v="Failed orders"/>
    <x v="1"/>
    <x v="1"/>
    <n v="2000"/>
    <m/>
    <x v="1"/>
    <m/>
    <m/>
    <s v="Bihar"/>
    <m/>
    <m/>
    <m/>
    <n v="103227"/>
    <s v="BMW VENTURES LIMITED"/>
    <n v="2441002"/>
    <s v="CRCA SHEET TATCRC SR16 0.380X1250X2500"/>
    <s v=""/>
    <s v=""/>
    <m/>
    <m/>
    <s v="Wider"/>
    <s v="C06"/>
    <s v="TATCRC"/>
    <s v="SR16"/>
    <n v="0.38"/>
    <n v="1250"/>
    <n v="2500"/>
    <n v="51"/>
    <e v="#N/A"/>
    <n v="51"/>
    <n v="51"/>
    <e v="#N/A"/>
    <e v="#N/A"/>
    <n v="51"/>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9138"/>
    <n v="6"/>
    <s v="9518499138-6"/>
    <m/>
    <s v="No Priority"/>
    <s v="Failed orders"/>
    <x v="1"/>
    <x v="1"/>
    <n v="2000"/>
    <m/>
    <x v="1"/>
    <s v="Mar"/>
    <m/>
    <s v="Jharkhand"/>
    <m/>
    <m/>
    <m/>
    <n v="121328"/>
    <s v="R. S. BOKARO METAL (P) LTD."/>
    <n v="2441002"/>
    <s v="CRCA SHEET TATCRC SR16 0.380X1250X2500"/>
    <s v=""/>
    <s v=""/>
    <m/>
    <m/>
    <s v="Wider"/>
    <s v="C06"/>
    <s v="TATCRC"/>
    <s v="SR16"/>
    <n v="0.38"/>
    <n v="1250"/>
    <n v="2500"/>
    <n v="24"/>
    <e v="#N/A"/>
    <n v="24"/>
    <n v="24"/>
    <e v="#N/A"/>
    <e v="#N/A"/>
    <n v="24"/>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4-12-11T00:00:00"/>
    <s v="ZBTO"/>
    <n v="9518337009"/>
    <n v="4"/>
    <s v="9518337009-4"/>
    <m/>
    <s v="Jan'25"/>
    <s v="Released orders"/>
    <x v="1"/>
    <x v="1"/>
    <s v="2000-BPRS"/>
    <m/>
    <x v="0"/>
    <s v="Mar"/>
    <m/>
    <m/>
    <s v="North"/>
    <s v="VARANASI"/>
    <m/>
    <n v="931525"/>
    <s v="INDIA STEEL INDUSTRIES"/>
    <n v="3437524"/>
    <s v="CRCA SHEET TATCRC SR16 0.400X1250X2030"/>
    <m/>
    <s v=""/>
    <n v="0"/>
    <n v="0"/>
    <s v="Wider"/>
    <s v="C06"/>
    <s v="TATCRC"/>
    <s v="SR16"/>
    <n v="0.4"/>
    <n v="1250"/>
    <n v="2030"/>
    <n v="116"/>
    <n v="97.644999999999996"/>
    <n v="18.355"/>
    <n v="18.355"/>
    <n v="85.47"/>
    <n v="0"/>
    <n v="18.355"/>
    <n v="0"/>
    <n v="18.355"/>
    <n v="18.355"/>
    <n v="0"/>
    <n v="20.557600000000001"/>
    <n v="0"/>
    <n v="0"/>
    <n v="0"/>
    <n v="0"/>
    <n v="0"/>
    <n v="0"/>
    <n v="0"/>
    <n v="0"/>
    <n v="0"/>
    <n v="0"/>
    <n v="0"/>
    <n v="0"/>
    <n v="0"/>
    <n v="0"/>
    <n v="0"/>
    <n v="0"/>
    <n v="0"/>
    <n v="0"/>
    <n v="0"/>
    <n v="0"/>
    <n v="0"/>
    <n v="0"/>
    <n v="85.47"/>
    <n v="0"/>
    <n v="18.355"/>
    <n v="0"/>
    <n v="0"/>
    <n v="18.355"/>
    <n v="0"/>
    <n v="0"/>
    <n v="18.355"/>
    <n v="0"/>
    <n v="0"/>
    <n v="18.355"/>
    <n v="0"/>
    <n v="0"/>
    <n v="0"/>
    <n v="25.545000000000002"/>
    <n v="0"/>
    <n v="0"/>
    <n v="18.355"/>
    <n v="0"/>
    <n v="0"/>
    <m/>
    <m/>
    <m/>
    <m/>
    <m/>
    <m/>
    <m/>
    <m/>
    <m/>
    <s v="1"/>
    <s v="1"/>
    <s v="1"/>
    <s v="1"/>
    <s v="1"/>
    <m/>
    <m/>
    <m/>
    <m/>
    <m/>
    <s v="Planning delay"/>
    <m/>
    <m/>
    <m/>
    <m/>
    <m/>
    <m/>
    <m/>
    <m/>
  </r>
  <r>
    <n v="742"/>
    <d v="2025-01-07T00:00:00"/>
    <s v="ZBTO"/>
    <n v="9518410223"/>
    <n v="3"/>
    <s v="9518410223-3"/>
    <m/>
    <s v="No Priority"/>
    <s v="Failed orders"/>
    <x v="1"/>
    <x v="1"/>
    <n v="2000"/>
    <m/>
    <x v="1"/>
    <m/>
    <m/>
    <s v="Uttar Pradesh"/>
    <m/>
    <m/>
    <m/>
    <n v="931525"/>
    <s v="INDIA STEEL INDUSTRIES"/>
    <n v="3437524"/>
    <s v="CRCA SHEET TATCRC SR16 0.400X1250X2030"/>
    <s v=""/>
    <s v=""/>
    <m/>
    <m/>
    <s v="Wider"/>
    <s v="C06"/>
    <s v="TATCRC"/>
    <s v="SR16"/>
    <n v="0.4"/>
    <n v="1250"/>
    <n v="2030"/>
    <n v="87"/>
    <e v="#N/A"/>
    <n v="87"/>
    <n v="87"/>
    <e v="#N/A"/>
    <e v="#N/A"/>
    <n v="87"/>
    <n v="0"/>
    <n v="87"/>
    <n v="0"/>
    <n v="0"/>
    <n v="97.440000000000012"/>
    <n v="0"/>
    <n v="0"/>
    <n v="0"/>
    <n v="0"/>
    <n v="0"/>
    <n v="0"/>
    <n v="0"/>
    <n v="0"/>
    <n v="0"/>
    <n v="0"/>
    <n v="0"/>
    <n v="0"/>
    <n v="0"/>
    <n v="0"/>
    <n v="0"/>
    <n v="0"/>
    <n v="0"/>
    <n v="0"/>
    <n v="0"/>
    <n v="0"/>
    <n v="0"/>
    <n v="0"/>
    <n v="0"/>
    <n v="0"/>
    <n v="0"/>
    <n v="0"/>
    <n v="0"/>
    <n v="0"/>
    <n v="0"/>
    <n v="0"/>
    <n v="0"/>
    <n v="0"/>
    <n v="0"/>
    <n v="0"/>
    <n v="0"/>
    <n v="0"/>
    <n v="0"/>
    <m/>
    <m/>
    <m/>
    <m/>
    <m/>
    <m/>
    <m/>
    <m/>
    <m/>
    <m/>
    <m/>
    <m/>
    <m/>
    <m/>
    <m/>
    <m/>
    <m/>
    <m/>
    <m/>
    <m/>
    <m/>
    <m/>
    <m/>
    <m/>
    <m/>
    <m/>
    <m/>
    <m/>
    <m/>
    <m/>
    <m/>
    <m/>
    <m/>
    <m/>
  </r>
  <r>
    <n v="742"/>
    <d v="2025-01-17T00:00:00"/>
    <s v="ZBTF"/>
    <n v="9518437249"/>
    <n v="1"/>
    <s v="9518437249-1"/>
    <m/>
    <s v="Mar'25 additional"/>
    <s v="Released orders"/>
    <x v="1"/>
    <x v="4"/>
    <s v="1000-IPPE"/>
    <m/>
    <x v="0"/>
    <m/>
    <m/>
    <m/>
    <m/>
    <s v="SOHNA"/>
    <m/>
    <n v="600250"/>
    <s v="TATA CENTER"/>
    <n v="2439203"/>
    <s v="CRCA COIL TSBSTA EL06 0.500X1160"/>
    <s v=" "/>
    <s v=""/>
    <n v="11.8"/>
    <n v="26"/>
    <s v="Wider"/>
    <s v="C01"/>
    <s v="TSBSTA"/>
    <s v="EL06"/>
    <n v="0.5"/>
    <n v="1160"/>
    <n v="0"/>
    <n v="297"/>
    <n v="162.21"/>
    <n v="134.79"/>
    <n v="134.79"/>
    <n v="86.944999999999993"/>
    <n v="47.844999999999999"/>
    <n v="47.844999999999999"/>
    <n v="123.43"/>
    <n v="0"/>
    <n v="134.79"/>
    <n v="0"/>
    <n v="0"/>
    <n v="0"/>
    <n v="0"/>
    <n v="0"/>
    <n v="0"/>
    <n v="0"/>
    <n v="0"/>
    <n v="0"/>
    <n v="0"/>
    <n v="0"/>
    <n v="0"/>
    <n v="0"/>
    <n v="0"/>
    <n v="37.54"/>
    <n v="85.89"/>
    <n v="0"/>
    <n v="0"/>
    <n v="0"/>
    <n v="0"/>
    <n v="123.43"/>
    <n v="123.43"/>
    <n v="0"/>
    <n v="123.43"/>
    <n v="-36.485000000000014"/>
    <n v="0"/>
    <n v="0"/>
    <n v="0"/>
    <n v="0"/>
    <n v="0"/>
    <n v="0"/>
    <n v="0"/>
    <n v="0"/>
    <n v="0"/>
    <n v="0"/>
    <n v="0"/>
    <n v="0"/>
    <n v="0"/>
    <n v="0"/>
    <m/>
    <m/>
    <m/>
    <m/>
    <m/>
    <m/>
    <m/>
    <m/>
    <m/>
    <m/>
    <m/>
    <m/>
    <m/>
    <m/>
    <m/>
    <m/>
    <m/>
    <m/>
    <m/>
    <m/>
    <m/>
    <m/>
    <m/>
    <m/>
    <m/>
    <m/>
    <m/>
    <m/>
    <m/>
    <m/>
    <m/>
    <m/>
    <m/>
    <m/>
  </r>
  <r>
    <n v="742"/>
    <d v="2024-12-12T00:00:00"/>
    <s v="ZBTF"/>
    <n v="9518338403"/>
    <n v="11"/>
    <s v="9518338403-11"/>
    <m/>
    <s v="Feb'25"/>
    <s v="Released orders"/>
    <x v="1"/>
    <x v="4"/>
    <s v="1000-IPPE"/>
    <m/>
    <x v="0"/>
    <m/>
    <s v="Added to consume WIP"/>
    <m/>
    <s v="East"/>
    <s v="PILKHUWA"/>
    <m/>
    <n v="600250"/>
    <s v="TATA CENTER"/>
    <n v="3587949"/>
    <s v="CR COIL TSBSTA EL06 0.500X1250"/>
    <m/>
    <s v=""/>
    <n v="8"/>
    <n v="13"/>
    <s v="Wider"/>
    <s v="C01"/>
    <s v="TSBSTA"/>
    <s v="EL06"/>
    <n v="0.5"/>
    <n v="1250"/>
    <n v="0"/>
    <n v="290"/>
    <n v="213"/>
    <n v="77"/>
    <n v="77"/>
    <n v="0"/>
    <n v="77"/>
    <m/>
    <m/>
    <n v="77"/>
    <n v="77"/>
    <n v="0"/>
    <n v="86.240000000000009"/>
    <n v="0"/>
    <n v="0"/>
    <n v="0"/>
    <n v="0"/>
    <n v="0"/>
    <n v="0"/>
    <n v="0"/>
    <n v="0"/>
    <n v="0"/>
    <n v="0"/>
    <n v="0"/>
    <n v="0"/>
    <n v="0"/>
    <n v="0"/>
    <n v="0"/>
    <n v="0"/>
    <n v="0"/>
    <n v="0"/>
    <n v="0"/>
    <n v="0"/>
    <n v="0"/>
    <n v="0"/>
    <n v="0"/>
    <n v="0"/>
    <n v="77"/>
    <n v="0"/>
    <n v="0"/>
    <n v="0"/>
    <n v="0"/>
    <n v="77"/>
    <n v="77"/>
    <n v="0"/>
    <n v="0"/>
    <n v="0"/>
    <n v="0"/>
    <n v="77"/>
    <n v="0"/>
    <n v="50.654999999999994"/>
    <n v="0"/>
    <n v="0"/>
    <n v="0"/>
    <n v="0"/>
    <n v="50.654999999999994"/>
    <m/>
    <m/>
    <m/>
    <m/>
    <m/>
    <m/>
    <m/>
    <m/>
    <m/>
    <s v="1"/>
    <s v="1"/>
    <s v="1"/>
    <s v="1"/>
    <s v="0"/>
    <m/>
    <m/>
    <m/>
    <m/>
    <m/>
    <m/>
    <m/>
    <m/>
    <m/>
    <m/>
    <m/>
    <m/>
    <m/>
    <m/>
  </r>
  <r>
    <n v="742"/>
    <d v="2024-12-12T00:00:00"/>
    <s v="ZBTO"/>
    <n v="9518338674"/>
    <n v="1"/>
    <s v="9518338674-1"/>
    <m/>
    <s v="Feb'25"/>
    <s v="Released orders"/>
    <x v="1"/>
    <x v="3"/>
    <s v="2000-BPRS"/>
    <m/>
    <x v="0"/>
    <s v="Mar"/>
    <m/>
    <m/>
    <s v="North"/>
    <s v="NEW DELHI"/>
    <m/>
    <n v="101499"/>
    <s v="G.R. GUPTA &amp; BROS."/>
    <n v="1804772"/>
    <s v="CRCA COIL TATXXD AU03 0.4X1250"/>
    <m/>
    <s v=""/>
    <n v="10"/>
    <n v="30"/>
    <s v="Wider"/>
    <s v="C01"/>
    <s v="TATXXD"/>
    <s v="AU03"/>
    <n v="0.4"/>
    <n v="1250"/>
    <n v="0"/>
    <n v="145"/>
    <n v="36.729999999999997"/>
    <n v="119.98"/>
    <n v="108.27"/>
    <n v="82.72"/>
    <n v="25.55"/>
    <n v="25.55"/>
    <n v="11.71"/>
    <n v="53.120000000000005"/>
    <n v="108.27"/>
    <n v="0"/>
    <n v="59.494400000000013"/>
    <n v="0"/>
    <n v="0"/>
    <n v="0"/>
    <n v="0"/>
    <n v="0"/>
    <n v="0"/>
    <n v="0"/>
    <n v="0"/>
    <n v="0"/>
    <n v="55.15"/>
    <n v="0"/>
    <n v="0"/>
    <n v="0"/>
    <n v="0"/>
    <n v="0"/>
    <n v="0"/>
    <n v="11.71"/>
    <n v="0"/>
    <n v="66.86"/>
    <n v="66.86"/>
    <n v="0"/>
    <n v="66.86"/>
    <n v="71.009999999999991"/>
    <n v="0"/>
    <n v="108.27"/>
    <n v="0"/>
    <n v="0"/>
    <n v="108.27"/>
    <n v="0"/>
    <n v="0"/>
    <n v="108.27"/>
    <n v="0"/>
    <n v="0"/>
    <n v="108.27"/>
    <n v="0"/>
    <n v="0"/>
    <n v="0"/>
    <n v="0"/>
    <n v="0"/>
    <n v="0"/>
    <n v="0"/>
    <n v="0"/>
    <n v="0"/>
    <m/>
    <m/>
    <m/>
    <m/>
    <m/>
    <m/>
    <m/>
    <m/>
    <m/>
    <s v="1"/>
    <s v="1"/>
    <s v="0"/>
    <s v="1"/>
    <s v="1"/>
    <m/>
    <m/>
    <m/>
    <m/>
    <m/>
    <m/>
    <m/>
    <m/>
    <m/>
    <m/>
    <m/>
    <m/>
    <m/>
    <m/>
  </r>
  <r>
    <n v="742"/>
    <d v="2025-01-16T00:00:00"/>
    <s v="ZBTO"/>
    <n v="9518433421"/>
    <n v="10"/>
    <s v="9518433421-10"/>
    <m/>
    <s v="No Priority"/>
    <s v="Released orders"/>
    <x v="1"/>
    <x v="3"/>
    <s v="2000-BPRS"/>
    <m/>
    <x v="1"/>
    <m/>
    <m/>
    <m/>
    <s v="South"/>
    <s v="CHENNAI"/>
    <m/>
    <n v="938550"/>
    <s v="BASEER AND CO"/>
    <n v="1801290"/>
    <s v="CRCA COIL-TATXXD-AU03-0.6X1250"/>
    <s v=" "/>
    <s v=""/>
    <n v="6"/>
    <n v="18"/>
    <s v="Wider"/>
    <s v="C01"/>
    <s v="TATXXD"/>
    <s v="AU03"/>
    <n v="0.6"/>
    <n v="1250"/>
    <n v="0"/>
    <n v="29"/>
    <n v="25.965"/>
    <n v="29"/>
    <n v="3.0350000000000001"/>
    <n v="0.7"/>
    <n v="0"/>
    <m/>
    <m/>
    <n v="0"/>
    <n v="3.0350000000000001"/>
    <n v="0"/>
    <n v="0"/>
    <n v="0"/>
    <n v="0"/>
    <n v="0"/>
    <n v="0"/>
    <n v="0"/>
    <n v="0"/>
    <n v="0"/>
    <n v="0"/>
    <n v="0"/>
    <n v="0"/>
    <n v="0"/>
    <n v="0"/>
    <n v="27.52"/>
    <n v="0"/>
    <n v="0"/>
    <n v="0"/>
    <n v="0"/>
    <n v="0"/>
    <n v="27.52"/>
    <n v="27.52"/>
    <n v="0"/>
    <n v="27.52"/>
    <n v="0.7"/>
    <n v="0"/>
    <n v="0"/>
    <n v="0"/>
    <n v="0"/>
    <n v="0"/>
    <n v="0"/>
    <n v="0"/>
    <n v="0"/>
    <n v="0"/>
    <n v="0"/>
    <n v="0"/>
    <n v="0"/>
    <n v="0"/>
    <n v="0"/>
    <n v="0"/>
    <n v="0"/>
    <n v="0"/>
    <n v="0"/>
    <n v="0"/>
    <n v="0"/>
    <m/>
    <m/>
    <m/>
    <m/>
    <m/>
    <m/>
    <m/>
    <m/>
    <m/>
    <s v="1"/>
    <s v="1"/>
    <s v="1"/>
    <s v="1"/>
    <s v="1"/>
    <m/>
    <m/>
    <m/>
    <m/>
    <m/>
    <m/>
    <m/>
    <m/>
    <m/>
    <m/>
    <m/>
    <m/>
    <m/>
    <m/>
  </r>
  <r>
    <n v="742"/>
    <d v="2025-01-16T00:00:00"/>
    <s v="ZBTO"/>
    <n v="9518433421"/>
    <n v="24"/>
    <s v="9518433421-24"/>
    <m/>
    <s v="No Priority"/>
    <s v="Released orders"/>
    <x v="1"/>
    <x v="3"/>
    <s v="2000-BPRS"/>
    <m/>
    <x v="1"/>
    <s v="Mar"/>
    <m/>
    <m/>
    <s v="South"/>
    <s v="CHENNAI"/>
    <m/>
    <n v="938550"/>
    <s v="BASEER AND CO"/>
    <n v="2398456"/>
    <s v="CRCA COIL TATXXD AU03 0.800X1320"/>
    <s v=" "/>
    <s v=""/>
    <n v="6"/>
    <n v="18"/>
    <s v="Wider"/>
    <s v="C01"/>
    <s v="TATXXD"/>
    <s v="AU03"/>
    <n v="0.8"/>
    <n v="1320"/>
    <n v="0"/>
    <n v="60"/>
    <n v="51.41"/>
    <n v="34.695"/>
    <n v="8.59"/>
    <n v="1.5"/>
    <n v="0"/>
    <m/>
    <m/>
    <n v="5.1849999999999987"/>
    <n v="8.59"/>
    <n v="0"/>
    <n v="0"/>
    <n v="0"/>
    <n v="0"/>
    <n v="0"/>
    <n v="0"/>
    <n v="0"/>
    <n v="0"/>
    <n v="0"/>
    <n v="0"/>
    <n v="0"/>
    <n v="0"/>
    <n v="0"/>
    <n v="0"/>
    <n v="28.310000000000002"/>
    <n v="0"/>
    <n v="1.2"/>
    <n v="0"/>
    <n v="0"/>
    <n v="0"/>
    <n v="29.51"/>
    <n v="29.51"/>
    <n v="0"/>
    <n v="29.51"/>
    <n v="1.5"/>
    <n v="0"/>
    <n v="0"/>
    <n v="0"/>
    <n v="0"/>
    <n v="0"/>
    <n v="0"/>
    <n v="0"/>
    <n v="0"/>
    <n v="0"/>
    <n v="0"/>
    <n v="0"/>
    <n v="0"/>
    <n v="0"/>
    <n v="0"/>
    <n v="0"/>
    <n v="0"/>
    <n v="0"/>
    <n v="0"/>
    <n v="0"/>
    <n v="0"/>
    <m/>
    <m/>
    <m/>
    <m/>
    <m/>
    <m/>
    <m/>
    <m/>
    <m/>
    <s v="1"/>
    <s v="1"/>
    <s v="1"/>
    <s v="1"/>
    <s v="1"/>
    <m/>
    <m/>
    <m/>
    <m/>
    <m/>
    <m/>
    <m/>
    <m/>
    <m/>
    <m/>
    <m/>
    <m/>
    <m/>
    <m/>
  </r>
  <r>
    <n v="742"/>
    <d v="2025-01-07T00:00:00"/>
    <s v="ZBTO"/>
    <n v="9518410308"/>
    <n v="2"/>
    <s v="9518410308-2"/>
    <m/>
    <s v="Stocks"/>
    <s v="Released orders"/>
    <x v="1"/>
    <x v="3"/>
    <s v="2000-BPRS"/>
    <m/>
    <x v="0"/>
    <s v="Mar"/>
    <m/>
    <m/>
    <s v="North"/>
    <s v="ZOSOLA"/>
    <m/>
    <n v="184986"/>
    <s v="SWASTIK STEEL PROCESSOR LLP"/>
    <n v="1800890"/>
    <s v="CRCA COIL-TATXXD-AU03-0.35X1250"/>
    <s v=" "/>
    <s v=""/>
    <n v="7"/>
    <n v="29"/>
    <s v="Wider"/>
    <s v="C01"/>
    <s v="TATXXD"/>
    <s v="AU03"/>
    <n v="0.35"/>
    <n v="1250"/>
    <n v="0"/>
    <n v="58"/>
    <n v="50.96"/>
    <n v="58"/>
    <n v="58"/>
    <n v="52.91"/>
    <n v="0"/>
    <m/>
    <n v="53.68"/>
    <n v="4.32"/>
    <n v="7.04"/>
    <n v="0"/>
    <n v="0"/>
    <n v="0"/>
    <n v="0"/>
    <n v="0"/>
    <n v="0"/>
    <n v="0"/>
    <n v="0"/>
    <n v="0"/>
    <n v="0"/>
    <n v="0"/>
    <n v="0"/>
    <n v="0"/>
    <n v="0"/>
    <n v="53.68"/>
    <n v="0"/>
    <n v="0"/>
    <n v="0"/>
    <n v="0"/>
    <n v="0"/>
    <n v="53.68"/>
    <n v="53.68"/>
    <n v="0"/>
    <n v="53.68"/>
    <n v="-0.77000000000000313"/>
    <n v="12.6"/>
    <n v="0"/>
    <n v="0"/>
    <n v="0"/>
    <n v="0"/>
    <n v="0"/>
    <n v="0"/>
    <n v="12.6"/>
    <n v="12.6"/>
    <n v="0"/>
    <n v="0"/>
    <n v="0"/>
    <n v="0"/>
    <n v="0"/>
    <n v="0"/>
    <n v="0"/>
    <n v="0"/>
    <n v="0"/>
    <n v="0"/>
    <n v="0"/>
    <m/>
    <m/>
    <m/>
    <m/>
    <m/>
    <m/>
    <m/>
    <m/>
    <m/>
    <s v="1"/>
    <s v="1"/>
    <s v="1"/>
    <s v="1"/>
    <s v="1"/>
    <m/>
    <m/>
    <m/>
    <m/>
    <m/>
    <m/>
    <m/>
    <m/>
    <m/>
    <m/>
    <m/>
    <m/>
    <m/>
    <m/>
  </r>
  <r>
    <n v="742"/>
    <d v="2025-01-13T00:00:00"/>
    <s v="ZBTO"/>
    <n v="9518426592"/>
    <n v="1"/>
    <s v="9518426592-1"/>
    <m/>
    <s v="No Priority"/>
    <s v="Released orders"/>
    <x v="1"/>
    <x v="3"/>
    <s v="2000-BPRS"/>
    <m/>
    <x v="1"/>
    <s v="Mar"/>
    <m/>
    <m/>
    <s v="South"/>
    <s v="GUMMIDIPOONDI"/>
    <m/>
    <n v="822271"/>
    <s v="TATA STEEL DOWNSTREAM PRODUCTS LIMI"/>
    <n v="1804772"/>
    <s v="CRCA COIL TATXXD AU03 0.4X1250"/>
    <s v=" "/>
    <s v=""/>
    <n v="5"/>
    <n v="29"/>
    <s v="Wider"/>
    <s v="C01"/>
    <s v="TATXXD"/>
    <s v="AU03"/>
    <n v="0.4"/>
    <n v="1250"/>
    <n v="0"/>
    <n v="58"/>
    <n v="54.494999999999997"/>
    <n v="34.19"/>
    <n v="34.19"/>
    <n v="25.895"/>
    <n v="0"/>
    <m/>
    <n v="26.900000000000002"/>
    <n v="7.2899999999999956"/>
    <n v="3.5049999999999999"/>
    <n v="0"/>
    <n v="0"/>
    <n v="0"/>
    <n v="0"/>
    <n v="0"/>
    <n v="0"/>
    <n v="0"/>
    <n v="0"/>
    <n v="0"/>
    <n v="0"/>
    <n v="0"/>
    <n v="0"/>
    <n v="0"/>
    <n v="0"/>
    <n v="26.900000000000002"/>
    <n v="0"/>
    <n v="0"/>
    <n v="0"/>
    <n v="0"/>
    <n v="0"/>
    <n v="26.900000000000002"/>
    <n v="26.900000000000002"/>
    <n v="0"/>
    <n v="26.900000000000002"/>
    <n v="-1.0050000000000026"/>
    <n v="0"/>
    <n v="0"/>
    <n v="0"/>
    <n v="0"/>
    <n v="0"/>
    <n v="0"/>
    <n v="0"/>
    <n v="0"/>
    <n v="0"/>
    <n v="0"/>
    <n v="0"/>
    <n v="0"/>
    <n v="0"/>
    <n v="0"/>
    <n v="0"/>
    <n v="0"/>
    <n v="0"/>
    <n v="0"/>
    <n v="0"/>
    <n v="0"/>
    <m/>
    <m/>
    <m/>
    <m/>
    <m/>
    <m/>
    <m/>
    <m/>
    <m/>
    <s v="1"/>
    <s v="1"/>
    <s v="1"/>
    <s v="1"/>
    <s v="1"/>
    <m/>
    <m/>
    <m/>
    <m/>
    <m/>
    <m/>
    <m/>
    <m/>
    <m/>
    <m/>
    <m/>
    <m/>
    <m/>
    <m/>
  </r>
  <r>
    <n v="742"/>
    <d v="2025-01-20T00:00:00"/>
    <s v="ZBTO"/>
    <n v="9518444459"/>
    <n v="1"/>
    <s v="9518444459-1"/>
    <m/>
    <s v="Stocks"/>
    <s v="Released orders"/>
    <x v="1"/>
    <x v="3"/>
    <s v="2000-BPRS"/>
    <m/>
    <x v="0"/>
    <s v="Mar"/>
    <s v="Low exp BTF"/>
    <m/>
    <s v="South"/>
    <s v="PATTANCHERY"/>
    <m/>
    <n v="939422"/>
    <s v="VIJAY VENKAT STEELS PRIVATE LIMITED"/>
    <n v="185675"/>
    <s v="CRCA COIL-TATXXD-AU03-0.5X1250"/>
    <s v=" "/>
    <s v=""/>
    <n v="18"/>
    <n v="30"/>
    <s v="Wider"/>
    <s v="C01"/>
    <s v="TATXXD"/>
    <s v="AU03"/>
    <n v="0.5"/>
    <n v="1250"/>
    <n v="0"/>
    <n v="57.99"/>
    <n v="51.06"/>
    <n v="32.094999999999999"/>
    <n v="32.094999999999999"/>
    <n v="247.63"/>
    <n v="0"/>
    <m/>
    <n v="0"/>
    <n v="4.004999999999999"/>
    <n v="6.93"/>
    <n v="0"/>
    <n v="0"/>
    <n v="0"/>
    <n v="0"/>
    <n v="0"/>
    <n v="0"/>
    <n v="0"/>
    <n v="0"/>
    <n v="0"/>
    <n v="0"/>
    <n v="0"/>
    <n v="28.09"/>
    <n v="0"/>
    <n v="0"/>
    <n v="0"/>
    <n v="0"/>
    <n v="0"/>
    <n v="0"/>
    <n v="0"/>
    <n v="0"/>
    <n v="28.09"/>
    <n v="28.09"/>
    <n v="0"/>
    <n v="28.09"/>
    <n v="247.63"/>
    <n v="25.164999999999999"/>
    <n v="0"/>
    <n v="0"/>
    <n v="0"/>
    <n v="0"/>
    <n v="0"/>
    <n v="0"/>
    <n v="25.164999999999999"/>
    <n v="25.164999999999999"/>
    <n v="0"/>
    <n v="0"/>
    <n v="0"/>
    <n v="0"/>
    <n v="0"/>
    <n v="0"/>
    <n v="0"/>
    <n v="0"/>
    <n v="0"/>
    <n v="0"/>
    <n v="0"/>
    <m/>
    <m/>
    <m/>
    <m/>
    <m/>
    <m/>
    <m/>
    <m/>
    <m/>
    <s v="1"/>
    <s v="1"/>
    <s v="1"/>
    <s v="1"/>
    <s v="1"/>
    <m/>
    <m/>
    <m/>
    <m/>
    <m/>
    <m/>
    <m/>
    <m/>
    <m/>
    <m/>
    <m/>
    <m/>
    <m/>
    <m/>
  </r>
  <r>
    <n v="742"/>
    <d v="2025-01-20T00:00:00"/>
    <s v="ZBTO"/>
    <n v="9518444459"/>
    <n v="3"/>
    <s v="9518444459-3"/>
    <m/>
    <s v="Feb'25"/>
    <s v="Released orders"/>
    <x v="1"/>
    <x v="3"/>
    <s v="2000-BPRS"/>
    <m/>
    <x v="0"/>
    <s v="Mar"/>
    <m/>
    <m/>
    <s v="South"/>
    <s v="PATTANCHERY"/>
    <m/>
    <n v="939422"/>
    <s v="VIJAY VENKAT STEELS PRIVATE LIMITED"/>
    <n v="215066"/>
    <s v="CRSHEET-ICF  DQ TATXXD AU03 0.90 X 1220"/>
    <s v=" "/>
    <s v=""/>
    <n v="18"/>
    <n v="30"/>
    <s v="Wider"/>
    <s v="C01"/>
    <s v="TATXXD"/>
    <s v="AU03"/>
    <n v="0.9"/>
    <n v="1220"/>
    <n v="0"/>
    <n v="28"/>
    <n v="0"/>
    <n v="28"/>
    <n v="28"/>
    <n v="27.69"/>
    <n v="0.31"/>
    <m/>
    <n v="0"/>
    <n v="28"/>
    <n v="28"/>
    <n v="0"/>
    <n v="0"/>
    <n v="0"/>
    <n v="0"/>
    <n v="28.580000000000002"/>
    <n v="0"/>
    <n v="0"/>
    <n v="0"/>
    <n v="0"/>
    <n v="0"/>
    <n v="0"/>
    <n v="0"/>
    <n v="0"/>
    <n v="0"/>
    <n v="0"/>
    <n v="0"/>
    <n v="0"/>
    <n v="0"/>
    <n v="0"/>
    <n v="0"/>
    <n v="28.580000000000002"/>
    <n v="0"/>
    <n v="0"/>
    <n v="0"/>
    <n v="27.69"/>
    <n v="0"/>
    <n v="28"/>
    <n v="0"/>
    <n v="28"/>
    <n v="0"/>
    <n v="0"/>
    <n v="0"/>
    <n v="28"/>
    <n v="0"/>
    <n v="28"/>
    <n v="0"/>
    <n v="0"/>
    <n v="0"/>
    <n v="0"/>
    <n v="0"/>
    <n v="0"/>
    <n v="0"/>
    <n v="0"/>
    <n v="0"/>
    <n v="0"/>
    <m/>
    <m/>
    <m/>
    <m/>
    <m/>
    <m/>
    <m/>
    <m/>
    <m/>
    <s v="1"/>
    <s v="0"/>
    <s v="1"/>
    <s v="1"/>
    <s v="1"/>
    <m/>
    <m/>
    <m/>
    <m/>
    <m/>
    <m/>
    <m/>
    <m/>
    <m/>
    <m/>
    <m/>
    <m/>
    <m/>
    <m/>
  </r>
  <r>
    <n v="742"/>
    <d v="2025-01-20T00:00:00"/>
    <s v="ZBTO"/>
    <n v="9518444459"/>
    <n v="4"/>
    <s v="9518444459-4"/>
    <m/>
    <s v="No Priority"/>
    <s v="Released orders"/>
    <x v="1"/>
    <x v="3"/>
    <s v="2000-BPRS"/>
    <m/>
    <x v="1"/>
    <m/>
    <m/>
    <m/>
    <s v="South"/>
    <s v="PATTANCHERY"/>
    <m/>
    <n v="939422"/>
    <s v="VIJAY VENKAT STEELS PRIVATE LIMITED"/>
    <n v="1804826"/>
    <s v="CRCA COIL-TATXXD-AU03-0.9X1250"/>
    <s v=" "/>
    <s v=""/>
    <n v="18"/>
    <n v="30"/>
    <s v="Wider"/>
    <s v="C01"/>
    <s v="TATXXD"/>
    <s v="AU03"/>
    <n v="0.9"/>
    <n v="1250"/>
    <n v="0"/>
    <n v="29"/>
    <n v="25.545000000000002"/>
    <n v="29"/>
    <n v="3.4550000000000001"/>
    <n v="59.14"/>
    <n v="0"/>
    <m/>
    <n v="27.72"/>
    <n v="0"/>
    <n v="3.4550000000000001"/>
    <n v="0"/>
    <n v="0"/>
    <n v="0"/>
    <n v="0"/>
    <n v="0"/>
    <n v="0"/>
    <n v="0"/>
    <n v="0"/>
    <n v="0"/>
    <n v="0"/>
    <n v="0"/>
    <n v="0"/>
    <n v="0"/>
    <n v="0"/>
    <n v="27.72"/>
    <n v="0"/>
    <n v="0"/>
    <n v="0"/>
    <n v="0"/>
    <n v="0"/>
    <n v="27.72"/>
    <n v="27.72"/>
    <n v="0"/>
    <n v="27.72"/>
    <n v="31.42"/>
    <n v="0"/>
    <n v="0"/>
    <n v="0"/>
    <n v="0"/>
    <n v="0"/>
    <n v="0"/>
    <n v="0"/>
    <n v="0"/>
    <n v="0"/>
    <n v="0"/>
    <n v="0"/>
    <n v="0"/>
    <n v="0"/>
    <n v="0"/>
    <n v="0"/>
    <n v="0"/>
    <n v="0"/>
    <n v="0"/>
    <n v="0"/>
    <n v="0"/>
    <m/>
    <m/>
    <m/>
    <m/>
    <m/>
    <m/>
    <m/>
    <m/>
    <m/>
    <s v="1"/>
    <s v="1"/>
    <s v="1"/>
    <s v="1"/>
    <s v="1"/>
    <m/>
    <m/>
    <m/>
    <m/>
    <m/>
    <m/>
    <m/>
    <m/>
    <m/>
    <m/>
    <m/>
    <m/>
    <m/>
    <m/>
  </r>
  <r>
    <n v="742"/>
    <d v="2025-01-20T00:00:00"/>
    <s v="ZBTO"/>
    <n v="9518444459"/>
    <n v="5"/>
    <s v="9518444459-5"/>
    <m/>
    <s v="Feb'25"/>
    <s v="Released orders"/>
    <x v="1"/>
    <x v="3"/>
    <s v="2000-BPRS"/>
    <m/>
    <x v="0"/>
    <m/>
    <m/>
    <m/>
    <s v="South"/>
    <s v="PATTANCHERY"/>
    <m/>
    <n v="939422"/>
    <s v="VIJAY VENKAT STEELS PRIVATE LIMITED"/>
    <n v="2386035"/>
    <s v="CRCA COIL TATXXD AU03 0.900X1320"/>
    <s v=" "/>
    <s v=""/>
    <n v="18"/>
    <n v="30"/>
    <s v="Wider"/>
    <s v="C01"/>
    <s v="TATXXD"/>
    <s v="AU03"/>
    <n v="0.9"/>
    <n v="1320"/>
    <n v="0"/>
    <n v="30"/>
    <n v="0"/>
    <n v="30"/>
    <n v="30"/>
    <n v="28.52"/>
    <n v="0"/>
    <m/>
    <n v="0"/>
    <n v="30"/>
    <n v="30"/>
    <n v="0"/>
    <n v="0"/>
    <n v="0"/>
    <n v="0"/>
    <n v="0"/>
    <n v="0"/>
    <n v="0"/>
    <n v="0"/>
    <n v="0"/>
    <n v="0"/>
    <n v="0"/>
    <n v="0"/>
    <n v="0"/>
    <n v="28.52"/>
    <n v="0"/>
    <n v="0"/>
    <n v="0"/>
    <n v="0"/>
    <n v="0"/>
    <n v="0"/>
    <n v="28.52"/>
    <n v="28.52"/>
    <n v="0"/>
    <n v="28.52"/>
    <n v="28.52"/>
    <n v="0"/>
    <n v="30"/>
    <n v="0"/>
    <n v="0"/>
    <n v="0"/>
    <n v="0"/>
    <n v="30"/>
    <n v="30"/>
    <n v="0"/>
    <n v="0"/>
    <n v="0"/>
    <n v="0"/>
    <n v="30"/>
    <n v="0"/>
    <n v="0"/>
    <n v="0"/>
    <n v="0"/>
    <n v="0"/>
    <n v="0"/>
    <n v="0"/>
    <m/>
    <m/>
    <m/>
    <m/>
    <m/>
    <m/>
    <m/>
    <m/>
    <m/>
    <s v="1"/>
    <s v="1"/>
    <s v="1"/>
    <s v="1"/>
    <s v="0"/>
    <m/>
    <m/>
    <m/>
    <m/>
    <m/>
    <m/>
    <m/>
    <m/>
    <m/>
    <m/>
    <m/>
    <m/>
    <m/>
    <m/>
  </r>
  <r>
    <n v="742"/>
    <d v="2025-01-20T00:00:00"/>
    <s v="ZBTO"/>
    <n v="9518444459"/>
    <n v="7"/>
    <s v="9518444459-7"/>
    <m/>
    <s v="Mar'25 additional"/>
    <s v="Released orders"/>
    <x v="1"/>
    <x v="3"/>
    <s v="2000-BPRS"/>
    <m/>
    <x v="0"/>
    <m/>
    <m/>
    <m/>
    <s v="South"/>
    <s v="PATTANCHERY"/>
    <m/>
    <n v="939422"/>
    <s v="VIJAY VENKAT STEELS PRIVATE LIMITED"/>
    <n v="1801804"/>
    <s v="CRCA COIL-TATXXD-AU03-1X1250"/>
    <s v=" "/>
    <s v=""/>
    <n v="18"/>
    <n v="30"/>
    <s v="Wider"/>
    <s v="C01"/>
    <s v="TATXXD"/>
    <s v="AU03"/>
    <n v="1"/>
    <n v="1250"/>
    <n v="0"/>
    <n v="57.99"/>
    <n v="36.090000000000003"/>
    <n v="21.9"/>
    <n v="21.9"/>
    <n v="27.78"/>
    <n v="0"/>
    <m/>
    <n v="6.09"/>
    <n v="0"/>
    <n v="21.9"/>
    <n v="0"/>
    <n v="0"/>
    <n v="0"/>
    <n v="0"/>
    <n v="0"/>
    <n v="0"/>
    <n v="0"/>
    <n v="0"/>
    <n v="0"/>
    <n v="0"/>
    <n v="0"/>
    <n v="0"/>
    <n v="27.78"/>
    <n v="0"/>
    <n v="0"/>
    <n v="0"/>
    <n v="6.09"/>
    <n v="0"/>
    <n v="0"/>
    <n v="0"/>
    <n v="33.870000000000005"/>
    <n v="33.870000000000005"/>
    <n v="0"/>
    <n v="33.870000000000005"/>
    <n v="21.69"/>
    <n v="10.06"/>
    <n v="0"/>
    <n v="0"/>
    <n v="0"/>
    <n v="0"/>
    <n v="0"/>
    <n v="0"/>
    <n v="10.06"/>
    <n v="0"/>
    <n v="10.06"/>
    <n v="0"/>
    <n v="0"/>
    <n v="0"/>
    <n v="0"/>
    <n v="0"/>
    <n v="0"/>
    <n v="0"/>
    <n v="0"/>
    <n v="0"/>
    <n v="0"/>
    <m/>
    <m/>
    <m/>
    <m/>
    <m/>
    <m/>
    <m/>
    <m/>
    <m/>
    <s v="1"/>
    <s v="1"/>
    <s v="1"/>
    <s v="1"/>
    <s v="1"/>
    <m/>
    <m/>
    <m/>
    <m/>
    <m/>
    <m/>
    <m/>
    <m/>
    <m/>
    <m/>
    <m/>
    <m/>
    <m/>
    <m/>
  </r>
  <r>
    <n v="742"/>
    <d v="2025-01-20T00:00:00"/>
    <s v="ZBTO"/>
    <n v="9518444459"/>
    <n v="9"/>
    <s v="9518444459-9"/>
    <m/>
    <s v="No Priority"/>
    <s v="Released orders"/>
    <x v="1"/>
    <x v="3"/>
    <s v="2000-BPRS"/>
    <m/>
    <x v="1"/>
    <s v="Mar"/>
    <m/>
    <m/>
    <s v="South"/>
    <s v="PATTANCHERY"/>
    <m/>
    <n v="939422"/>
    <s v="VIJAY VENKAT STEELS PRIVATE LIMITED"/>
    <n v="1804854"/>
    <s v="CRCA COIL-TATXXD-AU03-1.2X1250"/>
    <s v=" "/>
    <s v=""/>
    <n v="18"/>
    <n v="30"/>
    <s v="Wider"/>
    <s v="C01"/>
    <s v="TATXXD"/>
    <s v="AU03"/>
    <n v="1.2"/>
    <n v="1250"/>
    <n v="0"/>
    <n v="58"/>
    <n v="52.024999999999999"/>
    <n v="32.06"/>
    <n v="5.9749999999999996"/>
    <n v="27.8"/>
    <n v="0"/>
    <m/>
    <n v="0"/>
    <n v="4.2600000000000016"/>
    <n v="5.9749999999999996"/>
    <n v="0"/>
    <n v="0"/>
    <n v="0"/>
    <n v="0"/>
    <n v="0"/>
    <n v="0"/>
    <n v="0"/>
    <n v="0"/>
    <n v="0"/>
    <n v="0"/>
    <n v="0"/>
    <n v="0"/>
    <n v="27.8"/>
    <n v="0"/>
    <n v="0"/>
    <n v="0"/>
    <n v="0"/>
    <n v="0"/>
    <n v="0"/>
    <n v="0"/>
    <n v="27.8"/>
    <n v="27.8"/>
    <n v="0"/>
    <n v="27.8"/>
    <n v="27.8"/>
    <n v="0"/>
    <n v="0"/>
    <n v="0"/>
    <n v="0"/>
    <n v="0"/>
    <n v="0"/>
    <n v="0"/>
    <n v="0"/>
    <n v="0"/>
    <n v="0"/>
    <n v="0"/>
    <n v="0"/>
    <n v="0"/>
    <n v="0"/>
    <n v="0"/>
    <n v="0"/>
    <n v="0"/>
    <n v="0"/>
    <n v="0"/>
    <n v="0"/>
    <m/>
    <m/>
    <m/>
    <m/>
    <m/>
    <m/>
    <m/>
    <m/>
    <m/>
    <s v="1"/>
    <s v="1"/>
    <s v="1"/>
    <s v="1"/>
    <s v="1"/>
    <m/>
    <m/>
    <m/>
    <m/>
    <m/>
    <m/>
    <m/>
    <m/>
    <m/>
    <m/>
    <m/>
    <m/>
    <m/>
    <m/>
  </r>
  <r>
    <n v="742"/>
    <d v="2025-01-21T00:00:00"/>
    <s v="ZBTO"/>
    <n v="9518446197"/>
    <n v="6"/>
    <s v="9518446197-6"/>
    <m/>
    <s v="Feb'25"/>
    <s v="Released orders"/>
    <x v="1"/>
    <x v="3"/>
    <s v="2000-BPRS"/>
    <m/>
    <x v="0"/>
    <m/>
    <m/>
    <m/>
    <s v="South"/>
    <s v="SANGAREDDY"/>
    <m/>
    <n v="947126"/>
    <s v="RAVINDRA IRON WORKS"/>
    <n v="2418765"/>
    <s v="CRCA COIL TATXXD AU03 1.150X1320"/>
    <s v=" "/>
    <s v=""/>
    <n v="5"/>
    <n v="30"/>
    <s v="Wider"/>
    <s v="C01"/>
    <s v="TATXXD"/>
    <s v="AU03"/>
    <n v="1.1499999999999999"/>
    <n v="1320"/>
    <n v="0"/>
    <n v="90"/>
    <n v="54.41"/>
    <n v="90"/>
    <n v="90"/>
    <n v="86.98"/>
    <n v="0"/>
    <m/>
    <n v="0"/>
    <n v="90"/>
    <n v="35.590000000000003"/>
    <n v="0"/>
    <n v="0"/>
    <n v="0"/>
    <n v="0"/>
    <n v="0"/>
    <n v="0"/>
    <n v="0"/>
    <n v="0"/>
    <n v="0"/>
    <n v="0"/>
    <n v="0"/>
    <n v="0"/>
    <n v="28.97"/>
    <n v="58.01"/>
    <n v="0"/>
    <n v="0"/>
    <n v="0"/>
    <n v="0"/>
    <n v="0"/>
    <n v="0"/>
    <n v="86.97999999999999"/>
    <n v="86.97999999999999"/>
    <n v="0"/>
    <n v="86.97999999999999"/>
    <n v="86.98"/>
    <n v="27.21"/>
    <n v="35.590000000000003"/>
    <n v="0"/>
    <n v="35.590000000000003"/>
    <n v="0"/>
    <n v="0"/>
    <n v="0"/>
    <n v="62.800000000000004"/>
    <n v="0"/>
    <n v="0"/>
    <n v="62.800000000000004"/>
    <n v="0"/>
    <n v="0"/>
    <n v="0"/>
    <n v="0"/>
    <n v="0"/>
    <n v="0"/>
    <n v="0"/>
    <n v="0"/>
    <n v="0"/>
    <m/>
    <m/>
    <m/>
    <m/>
    <m/>
    <m/>
    <m/>
    <m/>
    <m/>
    <s v="1"/>
    <s v="0"/>
    <s v="1"/>
    <s v="1"/>
    <s v="1"/>
    <m/>
    <m/>
    <m/>
    <m/>
    <m/>
    <m/>
    <m/>
    <m/>
    <m/>
    <m/>
    <m/>
    <m/>
    <m/>
    <m/>
  </r>
  <r>
    <n v="742"/>
    <d v="2025-01-21T00:00:00"/>
    <s v="ZBTO"/>
    <n v="9518446197"/>
    <n v="7"/>
    <s v="9518446197-7"/>
    <m/>
    <s v="Mar'25 additional"/>
    <s v="Released orders"/>
    <x v="1"/>
    <x v="3"/>
    <s v="2000-BPRS"/>
    <m/>
    <x v="0"/>
    <s v="Mar"/>
    <m/>
    <m/>
    <s v="South"/>
    <s v="SANGAREDDY"/>
    <m/>
    <n v="947126"/>
    <s v="RAVINDRA IRON WORKS"/>
    <n v="196233"/>
    <s v="CRSHEET-ICF  DQ TATXXD AU03 1.00 X 1270"/>
    <s v=" "/>
    <s v=""/>
    <n v="5"/>
    <n v="30"/>
    <s v="Wider"/>
    <s v="C01"/>
    <s v="TATXXD"/>
    <s v="AU03"/>
    <n v="1"/>
    <n v="1270"/>
    <n v="0"/>
    <n v="87"/>
    <n v="68.349999999999994"/>
    <n v="87"/>
    <n v="87"/>
    <n v="83.15"/>
    <n v="0"/>
    <m/>
    <n v="0"/>
    <n v="3.8499999999999943"/>
    <n v="18.649999999999999"/>
    <n v="0"/>
    <n v="0"/>
    <n v="0"/>
    <n v="0"/>
    <n v="0"/>
    <n v="0"/>
    <n v="0"/>
    <n v="0"/>
    <n v="0"/>
    <n v="0"/>
    <n v="0"/>
    <n v="0"/>
    <n v="27.87"/>
    <n v="55.28"/>
    <n v="0"/>
    <n v="0"/>
    <n v="0"/>
    <n v="0"/>
    <n v="0"/>
    <n v="0"/>
    <n v="83.15"/>
    <n v="83.15"/>
    <n v="0"/>
    <n v="83.15"/>
    <n v="83.15"/>
    <n v="15.370000000000001"/>
    <n v="18.649999999999999"/>
    <n v="0"/>
    <n v="0"/>
    <n v="18.649999999999999"/>
    <n v="0"/>
    <n v="0"/>
    <n v="34.019999999999996"/>
    <n v="0"/>
    <n v="0"/>
    <n v="0"/>
    <n v="34.019999999999996"/>
    <n v="0"/>
    <n v="0"/>
    <n v="0"/>
    <n v="0"/>
    <n v="0"/>
    <n v="0"/>
    <n v="0"/>
    <n v="0"/>
    <m/>
    <m/>
    <m/>
    <m/>
    <m/>
    <m/>
    <m/>
    <m/>
    <m/>
    <s v="1"/>
    <s v="1"/>
    <s v="0"/>
    <s v="1"/>
    <s v="1"/>
    <m/>
    <m/>
    <m/>
    <m/>
    <m/>
    <m/>
    <m/>
    <m/>
    <m/>
    <m/>
    <m/>
    <m/>
    <m/>
    <m/>
  </r>
  <r>
    <n v="744"/>
    <d v="2025-01-21T00:00:00"/>
    <s v="ZBTO"/>
    <n v="9518447346"/>
    <n v="1"/>
    <s v="9518447346-1"/>
    <m/>
    <s v="No Priority"/>
    <s v="Released orders"/>
    <x v="4"/>
    <x v="7"/>
    <s v="1000-IPPE"/>
    <m/>
    <x v="1"/>
    <m/>
    <m/>
    <m/>
    <s v="East"/>
    <s v="GAMHARIA"/>
    <m/>
    <n v="940016"/>
    <s v="TATA BLUESCOPE STEEL PVT LTD."/>
    <n v="1636510"/>
    <s v="PPGL COIL HARD-Y550PL-HPL3-0.55X1220"/>
    <s v="AZ150"/>
    <s v="RAL 5023 TSL 712"/>
    <n v="3"/>
    <n v="5"/>
    <s v="Wider"/>
    <s v="B18"/>
    <s v="Y550PL"/>
    <s v="HPL3"/>
    <n v="0.55000000000000004"/>
    <n v="1220"/>
    <n v="0"/>
    <n v="28"/>
    <n v="26.204999999999998"/>
    <n v="28"/>
    <n v="28"/>
    <n v="30.324000000000002"/>
    <n v="0"/>
    <m/>
    <n v="30.324000000000002"/>
    <n v="0"/>
    <n v="1.7949999999999999"/>
    <n v="0"/>
    <n v="0"/>
    <n v="0"/>
    <n v="0"/>
    <n v="0"/>
    <n v="0"/>
    <n v="2.7240000000000002"/>
    <n v="0"/>
    <n v="23.77"/>
    <n v="0"/>
    <n v="0"/>
    <n v="0"/>
    <n v="0"/>
    <n v="0"/>
    <n v="0"/>
    <n v="0"/>
    <n v="0"/>
    <n v="0"/>
    <n v="0"/>
    <n v="0"/>
    <n v="26.494"/>
    <n v="26.494"/>
    <n v="0"/>
    <n v="26.494"/>
    <n v="0"/>
    <n v="0"/>
    <n v="0"/>
    <n v="0"/>
    <n v="0"/>
    <n v="0"/>
    <n v="0"/>
    <n v="0"/>
    <n v="0"/>
    <n v="0"/>
    <n v="0"/>
    <n v="0"/>
    <n v="0"/>
    <n v="0"/>
    <n v="0"/>
    <n v="0"/>
    <n v="0"/>
    <n v="0"/>
    <n v="0"/>
    <n v="0"/>
    <n v="0"/>
    <m/>
    <m/>
    <m/>
    <m/>
    <m/>
    <m/>
    <m/>
    <m/>
    <m/>
    <s v="1"/>
    <s v="1"/>
    <s v="1"/>
    <s v="1"/>
    <s v="1"/>
    <m/>
    <m/>
    <m/>
    <m/>
    <m/>
    <m/>
    <m/>
    <m/>
    <m/>
    <m/>
    <m/>
    <m/>
    <m/>
    <m/>
  </r>
  <r>
    <n v="743"/>
    <d v="2025-01-24T00:00:00"/>
    <s v="ZBTO"/>
    <n v="9518456757"/>
    <n v="3"/>
    <s v="9518456757-3"/>
    <m/>
    <s v="No Priority"/>
    <s v="Released orders"/>
    <x v="2"/>
    <x v="6"/>
    <s v="2000-BPRS"/>
    <m/>
    <x v="1"/>
    <m/>
    <m/>
    <m/>
    <s v="West"/>
    <s v="JABALPUR"/>
    <m/>
    <n v="929931"/>
    <s v="BMW VYAPAR PRIVATE LIMITED"/>
    <n v="1851101"/>
    <s v="GP COIL SOFT-TATXGP-GK09-0.5X1220"/>
    <s v="Z80"/>
    <s v=""/>
    <n v="4"/>
    <n v="6"/>
    <s v="Wider"/>
    <s v="C02"/>
    <s v="TATXGP"/>
    <s v="GK09"/>
    <n v="0.5"/>
    <n v="1220"/>
    <n v="0"/>
    <n v="28"/>
    <n v="27.605"/>
    <n v="28"/>
    <n v="0.39500000000000002"/>
    <n v="0"/>
    <n v="0.39500000000000002"/>
    <m/>
    <m/>
    <n v="0"/>
    <n v="0"/>
    <n v="0"/>
    <n v="0"/>
    <n v="0"/>
    <n v="0"/>
    <n v="0"/>
    <n v="0"/>
    <n v="0"/>
    <n v="0.19500000000000001"/>
    <n v="0"/>
    <n v="0"/>
    <n v="0"/>
    <n v="0"/>
    <n v="0"/>
    <n v="0"/>
    <n v="0"/>
    <n v="0"/>
    <n v="3.48"/>
    <n v="0"/>
    <n v="0"/>
    <n v="27.605"/>
    <n v="31.28"/>
    <n v="31.28"/>
    <n v="0"/>
    <n v="31.28"/>
    <n v="0"/>
    <n v="0"/>
    <n v="0"/>
    <n v="0"/>
    <n v="0"/>
    <n v="0"/>
    <n v="0"/>
    <n v="0"/>
    <n v="0"/>
    <n v="0"/>
    <n v="0"/>
    <n v="0"/>
    <n v="0"/>
    <n v="0"/>
    <n v="0"/>
    <n v="0"/>
    <n v="0"/>
    <n v="0"/>
    <n v="0"/>
    <n v="0"/>
    <n v="0"/>
    <m/>
    <m/>
    <m/>
    <m/>
    <m/>
    <m/>
    <m/>
    <m/>
    <m/>
    <s v="1"/>
    <s v="1"/>
    <s v="1"/>
    <s v="1"/>
    <s v="1"/>
    <m/>
    <m/>
    <m/>
    <m/>
    <m/>
    <s v="Planning delay"/>
    <m/>
    <m/>
    <m/>
    <m/>
    <m/>
    <m/>
    <m/>
    <m/>
  </r>
  <r>
    <n v="744"/>
    <d v="2025-01-18T00:00:00"/>
    <s v="ZBTO"/>
    <n v="9518439776"/>
    <n v="1"/>
    <s v="9518439776-1"/>
    <m/>
    <s v="No Priority"/>
    <s v="Released orders"/>
    <x v="4"/>
    <x v="7"/>
    <s v="1000-IPPE"/>
    <m/>
    <x v="1"/>
    <m/>
    <m/>
    <m/>
    <s v="East"/>
    <s v="GAMHARIA"/>
    <m/>
    <n v="940016"/>
    <s v="TATA BLUESCOPE STEEL PVT LTD."/>
    <n v="3797658"/>
    <s v="PPGL C Y550 ISC6 0.40BMT(0.45TPT)X1220"/>
    <s v="aZ70"/>
    <s v="PRO GREY TSL 1916"/>
    <n v="3"/>
    <n v="5"/>
    <s v="Wider"/>
    <s v="B18"/>
    <s v="Y550PL"/>
    <s v="ISC6"/>
    <n v="0.4"/>
    <n v="1220"/>
    <n v="0"/>
    <n v="28"/>
    <n v="19.605"/>
    <n v="28"/>
    <n v="8.3949999999999996"/>
    <n v="4.8250000000000002"/>
    <n v="0"/>
    <m/>
    <m/>
    <n v="0"/>
    <n v="8.3949999999999996"/>
    <n v="0"/>
    <n v="0"/>
    <n v="0"/>
    <n v="0"/>
    <n v="0"/>
    <n v="0"/>
    <n v="0"/>
    <n v="0"/>
    <n v="0"/>
    <n v="0"/>
    <n v="24.635000000000002"/>
    <n v="0"/>
    <n v="0"/>
    <n v="0"/>
    <n v="0"/>
    <n v="0"/>
    <n v="0"/>
    <n v="0"/>
    <n v="0"/>
    <n v="0"/>
    <n v="24.635000000000002"/>
    <n v="24.635000000000002"/>
    <n v="0"/>
    <n v="24.635000000000002"/>
    <n v="4.8250000000000002"/>
    <n v="0"/>
    <n v="0"/>
    <n v="0"/>
    <n v="0"/>
    <n v="0"/>
    <n v="0"/>
    <n v="0"/>
    <n v="0"/>
    <n v="0"/>
    <n v="0"/>
    <n v="0"/>
    <n v="0"/>
    <n v="0"/>
    <n v="0"/>
    <n v="0"/>
    <n v="0"/>
    <n v="0"/>
    <n v="0"/>
    <n v="0"/>
    <n v="0"/>
    <m/>
    <m/>
    <m/>
    <m/>
    <m/>
    <m/>
    <m/>
    <m/>
    <m/>
    <s v="1"/>
    <s v="1"/>
    <s v="1"/>
    <s v="1"/>
    <s v="1"/>
    <m/>
    <m/>
    <m/>
    <m/>
    <m/>
    <m/>
    <m/>
    <m/>
    <m/>
    <m/>
    <m/>
    <m/>
    <m/>
    <m/>
  </r>
  <r>
    <n v="742"/>
    <d v="2025-01-20T00:00:00"/>
    <s v="ZBTO"/>
    <n v="9518444459"/>
    <n v="2"/>
    <s v="9518444459-2"/>
    <m/>
    <s v="No Priority"/>
    <s v="Released orders"/>
    <x v="1"/>
    <x v="3"/>
    <s v="2000-BPRS"/>
    <m/>
    <x v="1"/>
    <s v="Mar"/>
    <s v="Beyond HSM rollability"/>
    <m/>
    <s v="South"/>
    <s v="PATTANCHERY"/>
    <m/>
    <n v="939422"/>
    <s v="VIJAY VENKAT STEELS PRIVATE LIMITED"/>
    <n v="1804908"/>
    <s v="CRCA COIL TATCRC TR15 0.5X1250"/>
    <s v=" "/>
    <s v=""/>
    <n v="18"/>
    <n v="30"/>
    <s v="Wider"/>
    <s v="C01"/>
    <s v="TATCRC"/>
    <s v="TR15"/>
    <n v="0.5"/>
    <n v="1250"/>
    <n v="0"/>
    <n v="29"/>
    <n v="21.29"/>
    <n v="29"/>
    <n v="29"/>
    <n v="22.09"/>
    <n v="0"/>
    <m/>
    <n v="23.16"/>
    <n v="5.84"/>
    <n v="7.71"/>
    <n v="0"/>
    <n v="0"/>
    <n v="0"/>
    <n v="0"/>
    <n v="0"/>
    <n v="0"/>
    <n v="0"/>
    <n v="0"/>
    <n v="0"/>
    <n v="0"/>
    <n v="0"/>
    <n v="0"/>
    <n v="0"/>
    <n v="0"/>
    <n v="23.16"/>
    <n v="0"/>
    <n v="0"/>
    <n v="0"/>
    <n v="0"/>
    <n v="0"/>
    <n v="23.16"/>
    <n v="23.16"/>
    <n v="0"/>
    <n v="23.16"/>
    <n v="-1.0700000000000003"/>
    <n v="0"/>
    <n v="0"/>
    <n v="0"/>
    <n v="0"/>
    <n v="0"/>
    <n v="0"/>
    <n v="0"/>
    <n v="0"/>
    <n v="0"/>
    <n v="0"/>
    <n v="0"/>
    <n v="0"/>
    <n v="0"/>
    <n v="0"/>
    <n v="0"/>
    <n v="0"/>
    <n v="0"/>
    <n v="0"/>
    <n v="0"/>
    <n v="0"/>
    <m/>
    <m/>
    <m/>
    <m/>
    <m/>
    <m/>
    <m/>
    <m/>
    <m/>
    <s v="1"/>
    <s v="1"/>
    <s v="1"/>
    <s v="1"/>
    <s v="1"/>
    <m/>
    <m/>
    <m/>
    <m/>
    <m/>
    <m/>
    <m/>
    <m/>
    <m/>
    <m/>
    <m/>
    <m/>
    <m/>
    <m/>
  </r>
  <r>
    <n v="742"/>
    <d v="2025-01-18T00:00:00"/>
    <s v="ZBTO"/>
    <n v="9518439549"/>
    <n v="2"/>
    <s v="9518439549-2"/>
    <m/>
    <s v="Stocks"/>
    <s v="Released orders"/>
    <x v="1"/>
    <x v="5"/>
    <s v="1000-IPPE"/>
    <m/>
    <x v="0"/>
    <m/>
    <m/>
    <m/>
    <s v="West"/>
    <s v="VADODARA"/>
    <m/>
    <n v="189022"/>
    <s v="Balmer Lawrie And Company Limited"/>
    <n v="2164814"/>
    <s v="CRCA COIL TATXXD BT01 0.970X1315"/>
    <s v=" "/>
    <s v=""/>
    <n v="8"/>
    <n v="12"/>
    <s v="Wider"/>
    <s v="C01"/>
    <s v="TATXXD"/>
    <s v="BT01"/>
    <n v="0.97"/>
    <n v="1315"/>
    <n v="0"/>
    <n v="60"/>
    <n v="45.795000000000002"/>
    <n v="60"/>
    <n v="32.255000000000003"/>
    <n v="26.96"/>
    <n v="0"/>
    <m/>
    <n v="58.15"/>
    <n v="0"/>
    <n v="14.205"/>
    <n v="0"/>
    <n v="0"/>
    <n v="0"/>
    <n v="0"/>
    <n v="0"/>
    <n v="0"/>
    <n v="0"/>
    <n v="0"/>
    <n v="0"/>
    <n v="0"/>
    <n v="0"/>
    <n v="0"/>
    <n v="0"/>
    <n v="0"/>
    <n v="29.95"/>
    <n v="28.2"/>
    <n v="0"/>
    <n v="0"/>
    <n v="0"/>
    <n v="0"/>
    <n v="58.15"/>
    <n v="58.15"/>
    <n v="0"/>
    <n v="58.15"/>
    <n v="-31.189999999999998"/>
    <n v="27.18"/>
    <n v="0"/>
    <n v="0"/>
    <n v="0"/>
    <n v="0"/>
    <n v="0"/>
    <n v="0"/>
    <n v="27.18"/>
    <n v="27.18"/>
    <n v="0"/>
    <n v="0"/>
    <n v="0"/>
    <n v="0"/>
    <n v="0"/>
    <n v="0"/>
    <n v="0"/>
    <n v="0"/>
    <n v="0"/>
    <n v="0"/>
    <n v="0"/>
    <m/>
    <m/>
    <m/>
    <m/>
    <m/>
    <m/>
    <m/>
    <m/>
    <m/>
    <s v="1"/>
    <s v="1"/>
    <s v="1"/>
    <s v="1"/>
    <s v="1"/>
    <m/>
    <m/>
    <m/>
    <m/>
    <m/>
    <m/>
    <m/>
    <m/>
    <m/>
    <m/>
    <m/>
    <m/>
    <m/>
    <m/>
  </r>
  <r>
    <n v="742"/>
    <d v="2025-02-05T00:00:00"/>
    <s v="ZBTO"/>
    <n v="9518495920"/>
    <n v="5"/>
    <s v="9518495920-5"/>
    <m/>
    <s v="No Priority"/>
    <s v="Failed orders"/>
    <x v="1"/>
    <x v="1"/>
    <n v="2000"/>
    <m/>
    <x v="1"/>
    <m/>
    <m/>
    <s v="Uttar Pradesh"/>
    <m/>
    <m/>
    <m/>
    <n v="931525"/>
    <s v="INDIA STEEL INDUSTRIES"/>
    <n v="3437524"/>
    <s v="CRCA SHEET TATCRC SR16 0.400X1250X2030"/>
    <s v=""/>
    <s v=""/>
    <m/>
    <m/>
    <s v="Wider"/>
    <s v="C06"/>
    <s v="TATCRC"/>
    <s v="SR16"/>
    <n v="0.4"/>
    <n v="1250"/>
    <n v="2030"/>
    <n v="27"/>
    <e v="#N/A"/>
    <n v="27"/>
    <n v="27"/>
    <e v="#N/A"/>
    <e v="#N/A"/>
    <n v="27"/>
    <n v="0"/>
    <n v="27"/>
    <n v="0"/>
    <n v="0"/>
    <n v="30.24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1-16T00:00:00"/>
    <s v="ZBTO"/>
    <n v="9518433421"/>
    <n v="5"/>
    <s v="9518433421-5"/>
    <m/>
    <s v="Mar'25"/>
    <s v="Released orders"/>
    <x v="1"/>
    <x v="3"/>
    <s v="2000-BPRS"/>
    <m/>
    <x v="0"/>
    <s v="Mar"/>
    <m/>
    <m/>
    <s v="South"/>
    <s v="CHENNAI"/>
    <m/>
    <n v="938550"/>
    <s v="BASEER AND CO"/>
    <n v="37862"/>
    <s v="CRCA COIL TATCRC TR15 0.4X1250"/>
    <s v=" "/>
    <s v=""/>
    <n v="6"/>
    <n v="18"/>
    <s v="Wider"/>
    <s v="C01"/>
    <s v="TATCRC"/>
    <s v="TR15"/>
    <n v="0.4"/>
    <n v="1250"/>
    <n v="0"/>
    <n v="58"/>
    <n v="0"/>
    <n v="58"/>
    <n v="58"/>
    <n v="0"/>
    <n v="58"/>
    <m/>
    <m/>
    <n v="58"/>
    <n v="58"/>
    <n v="0"/>
    <n v="64.960000000000008"/>
    <n v="0"/>
    <n v="0"/>
    <n v="0"/>
    <n v="0"/>
    <n v="0"/>
    <n v="0"/>
    <n v="0"/>
    <n v="0"/>
    <n v="0"/>
    <n v="0"/>
    <n v="0"/>
    <n v="0"/>
    <n v="0"/>
    <n v="0"/>
    <n v="0"/>
    <n v="0"/>
    <n v="0"/>
    <n v="0"/>
    <n v="0"/>
    <n v="0"/>
    <n v="0"/>
    <n v="0"/>
    <n v="0"/>
    <n v="0"/>
    <n v="58"/>
    <n v="0"/>
    <n v="0"/>
    <n v="0"/>
    <n v="58"/>
    <n v="0"/>
    <n v="58"/>
    <n v="0"/>
    <n v="0"/>
    <n v="0"/>
    <n v="58"/>
    <n v="0"/>
    <n v="0"/>
    <n v="0"/>
    <n v="0"/>
    <n v="0"/>
    <n v="0"/>
    <n v="0"/>
    <n v="0"/>
    <m/>
    <m/>
    <m/>
    <m/>
    <m/>
    <m/>
    <m/>
    <m/>
    <m/>
    <s v="1"/>
    <s v="1"/>
    <s v="1"/>
    <s v="0"/>
    <s v="1"/>
    <m/>
    <m/>
    <m/>
    <m/>
    <m/>
    <m/>
    <m/>
    <m/>
    <m/>
    <m/>
    <m/>
    <m/>
    <m/>
    <m/>
  </r>
  <r>
    <n v="742"/>
    <d v="2025-01-17T00:00:00"/>
    <s v="ZBTO"/>
    <n v="9518437583"/>
    <n v="1"/>
    <s v="9518437583-1"/>
    <m/>
    <s v="No Priority"/>
    <s v="Released orders"/>
    <x v="1"/>
    <x v="3"/>
    <s v="2000-BPRS"/>
    <m/>
    <x v="1"/>
    <s v="Mar"/>
    <s v="Low exp BTF"/>
    <m/>
    <s v="West"/>
    <s v="SIYAGANJ"/>
    <m/>
    <n v="120961"/>
    <s v="S K M STEELS LIMITED"/>
    <n v="2229968"/>
    <s v="CRCA COIL TATXXD AU03 0.750X1250"/>
    <s v=" "/>
    <s v=""/>
    <n v="18"/>
    <n v="25"/>
    <s v="Wider"/>
    <s v="C01"/>
    <s v="TATXXD"/>
    <s v="AU03"/>
    <n v="0.75"/>
    <n v="1250"/>
    <n v="0"/>
    <n v="57.98"/>
    <n v="51.305"/>
    <n v="32.630000000000003"/>
    <n v="32.630000000000003"/>
    <n v="27.54"/>
    <n v="0"/>
    <m/>
    <n v="0"/>
    <n v="5.0900000000000034"/>
    <n v="6.6749999999999998"/>
    <n v="0"/>
    <n v="0"/>
    <n v="0"/>
    <n v="0"/>
    <n v="0"/>
    <n v="0"/>
    <n v="0"/>
    <n v="0"/>
    <n v="0"/>
    <n v="0"/>
    <n v="0"/>
    <n v="0"/>
    <n v="0"/>
    <n v="27.54"/>
    <n v="0"/>
    <n v="0"/>
    <n v="0"/>
    <n v="0"/>
    <n v="0"/>
    <n v="0"/>
    <n v="27.54"/>
    <n v="27.54"/>
    <n v="0"/>
    <n v="27.54"/>
    <n v="27.54"/>
    <n v="0"/>
    <n v="0"/>
    <n v="0"/>
    <n v="0"/>
    <n v="0"/>
    <n v="0"/>
    <n v="0"/>
    <n v="0"/>
    <n v="0"/>
    <n v="0"/>
    <n v="0"/>
    <n v="0"/>
    <n v="0"/>
    <n v="0"/>
    <n v="0"/>
    <n v="0"/>
    <n v="0"/>
    <n v="0"/>
    <n v="0"/>
    <n v="0"/>
    <m/>
    <m/>
    <m/>
    <m/>
    <m/>
    <m/>
    <m/>
    <m/>
    <m/>
    <s v="1"/>
    <s v="1"/>
    <s v="1"/>
    <s v="1"/>
    <s v="1"/>
    <m/>
    <m/>
    <m/>
    <m/>
    <m/>
    <m/>
    <m/>
    <m/>
    <m/>
    <m/>
    <m/>
    <m/>
    <m/>
    <m/>
  </r>
  <r>
    <n v="744"/>
    <d v="2025-01-11T00:00:00"/>
    <s v="ZBTO"/>
    <n v="9518422054"/>
    <n v="1"/>
    <s v="9518422054-1"/>
    <m/>
    <s v="Stocks"/>
    <s v="Released orders"/>
    <x v="4"/>
    <x v="7"/>
    <s v="1000-IPPE"/>
    <m/>
    <x v="0"/>
    <m/>
    <m/>
    <m/>
    <s v="TBSPL"/>
    <s v=" "/>
    <m/>
    <n v="941597"/>
    <s v="TATA BLUESCOPE STEEL PRIVATE LIMITE"/>
    <n v="1633706"/>
    <s v="PPGL C Y550 HPL3 0.42BMT(0.50TPT)X1220"/>
    <s v="AZ150"/>
    <s v="RAL 7011 TSL 680"/>
    <n v="3"/>
    <n v="5"/>
    <s v="Wider"/>
    <s v="B18"/>
    <s v="Y550PL"/>
    <s v="HPL3"/>
    <n v="0.42"/>
    <n v="1220"/>
    <n v="0"/>
    <n v="56"/>
    <n v="54.435000000000002"/>
    <n v="56"/>
    <n v="56"/>
    <n v="56.05"/>
    <n v="-0.05"/>
    <m/>
    <n v="56.05"/>
    <n v="0"/>
    <n v="1.5649999999999999"/>
    <n v="0"/>
    <n v="0"/>
    <n v="57.49"/>
    <n v="0"/>
    <n v="0"/>
    <n v="0"/>
    <n v="0"/>
    <n v="0"/>
    <n v="0"/>
    <n v="0"/>
    <n v="0"/>
    <n v="0"/>
    <n v="0"/>
    <n v="0"/>
    <n v="0"/>
    <n v="0"/>
    <n v="0"/>
    <n v="0"/>
    <n v="0"/>
    <n v="0"/>
    <n v="57.49"/>
    <n v="57.49"/>
    <n v="0"/>
    <n v="57.49"/>
    <n v="0"/>
    <n v="54.434999999999995"/>
    <n v="1.5649999999999999"/>
    <n v="0"/>
    <n v="1.5649999999999999"/>
    <n v="0"/>
    <n v="0"/>
    <n v="0"/>
    <n v="56"/>
    <n v="0"/>
    <n v="56"/>
    <n v="0"/>
    <n v="0"/>
    <n v="0"/>
    <n v="0"/>
    <n v="0"/>
    <n v="0"/>
    <n v="0"/>
    <n v="0"/>
    <n v="0"/>
    <n v="0"/>
    <m/>
    <m/>
    <m/>
    <m/>
    <m/>
    <m/>
    <m/>
    <m/>
    <m/>
    <s v="1"/>
    <s v="0"/>
    <s v="1"/>
    <s v="1"/>
    <s v="1"/>
    <m/>
    <m/>
    <m/>
    <m/>
    <m/>
    <m/>
    <m/>
    <m/>
    <m/>
    <m/>
    <m/>
    <m/>
    <m/>
    <m/>
  </r>
  <r>
    <n v="742"/>
    <d v="2024-12-10T00:00:00"/>
    <s v="ZBTO"/>
    <n v="9518334424"/>
    <n v="17"/>
    <s v="9518334424-17"/>
    <m/>
    <s v="Stocks"/>
    <s v="Released orders"/>
    <x v="1"/>
    <x v="3"/>
    <s v="2000-BPRS"/>
    <m/>
    <x v="0"/>
    <s v="Mar"/>
    <m/>
    <m/>
    <s v="South"/>
    <s v="SANGAREDDY"/>
    <m/>
    <n v="947126"/>
    <s v="RAVINDRA IRON WORKS"/>
    <n v="2334995"/>
    <s v="CRCA COIL TATXXD AU03 1.500X1250"/>
    <s v=" "/>
    <s v=""/>
    <n v="5"/>
    <n v="30"/>
    <s v="Wider"/>
    <s v="C01"/>
    <s v="TATXXD"/>
    <s v="AU03"/>
    <n v="1.5"/>
    <n v="1250"/>
    <n v="0"/>
    <n v="58"/>
    <n v="54.09"/>
    <n v="38.515000000000001"/>
    <n v="13.55"/>
    <n v="29.22"/>
    <n v="0"/>
    <m/>
    <n v="27.45"/>
    <n v="11.065000000000001"/>
    <n v="3.91"/>
    <n v="0"/>
    <n v="0"/>
    <n v="0"/>
    <n v="28.67"/>
    <n v="0"/>
    <n v="0"/>
    <n v="0"/>
    <n v="0"/>
    <n v="0"/>
    <n v="0"/>
    <n v="0"/>
    <n v="0"/>
    <n v="0"/>
    <n v="0"/>
    <n v="27.45"/>
    <n v="0"/>
    <n v="0"/>
    <n v="0"/>
    <n v="0"/>
    <n v="0"/>
    <n v="56.120000000000005"/>
    <n v="27.45"/>
    <n v="0"/>
    <n v="27.45"/>
    <n v="1.7699999999999996"/>
    <n v="9.64"/>
    <n v="0"/>
    <n v="0"/>
    <n v="0"/>
    <n v="0"/>
    <n v="0"/>
    <n v="0"/>
    <n v="9.64"/>
    <n v="9.64"/>
    <n v="0"/>
    <n v="0"/>
    <n v="0"/>
    <n v="0"/>
    <n v="0"/>
    <n v="0"/>
    <n v="0"/>
    <n v="0"/>
    <n v="0"/>
    <n v="0"/>
    <n v="0"/>
    <m/>
    <m/>
    <m/>
    <m/>
    <m/>
    <m/>
    <m/>
    <m/>
    <m/>
    <s v="1"/>
    <s v="1"/>
    <s v="1"/>
    <s v="1"/>
    <s v="1"/>
    <m/>
    <m/>
    <m/>
    <m/>
    <m/>
    <m/>
    <m/>
    <m/>
    <m/>
    <m/>
    <m/>
    <m/>
    <m/>
    <m/>
  </r>
  <r>
    <n v="742"/>
    <d v="2025-01-07T00:00:00"/>
    <s v="ZBTO"/>
    <n v="9518410308"/>
    <n v="3"/>
    <s v="9518410308-3"/>
    <m/>
    <s v="Mar'25 additional"/>
    <s v="Released orders"/>
    <x v="1"/>
    <x v="3"/>
    <s v="2000-BPRS"/>
    <m/>
    <x v="0"/>
    <s v="Mar"/>
    <m/>
    <m/>
    <s v="North"/>
    <s v="ZOSOLA"/>
    <m/>
    <n v="184986"/>
    <s v="SWASTIK STEEL PROCESSOR LLP"/>
    <n v="185664"/>
    <s v="CRSHEET-ICF  DQ TATXXD AU03 0.40 X 1250"/>
    <s v=" "/>
    <s v=""/>
    <n v="7"/>
    <n v="29"/>
    <s v="Wider"/>
    <s v="C01"/>
    <s v="TATXXD"/>
    <s v="AU03"/>
    <n v="0.4"/>
    <n v="1250"/>
    <n v="0"/>
    <n v="87"/>
    <n v="25.28"/>
    <n v="87"/>
    <n v="87"/>
    <n v="79.545000000000002"/>
    <n v="0"/>
    <m/>
    <n v="26.810000000000002"/>
    <n v="6.0999999999999943"/>
    <n v="61.72"/>
    <n v="0"/>
    <n v="0"/>
    <n v="0"/>
    <n v="0"/>
    <n v="0"/>
    <n v="0"/>
    <n v="0"/>
    <n v="0"/>
    <n v="0"/>
    <n v="0"/>
    <n v="0"/>
    <n v="27.43"/>
    <n v="0"/>
    <n v="26.66"/>
    <n v="26.810000000000002"/>
    <n v="0"/>
    <n v="0"/>
    <n v="0"/>
    <n v="0"/>
    <n v="0"/>
    <n v="80.900000000000006"/>
    <n v="80.900000000000006"/>
    <n v="0"/>
    <n v="80.900000000000006"/>
    <n v="52.734999999999999"/>
    <n v="0"/>
    <n v="61.72"/>
    <n v="0"/>
    <n v="0"/>
    <n v="0"/>
    <n v="0"/>
    <n v="61.72"/>
    <n v="61.72"/>
    <n v="0"/>
    <n v="0"/>
    <n v="0"/>
    <n v="0"/>
    <n v="61.72"/>
    <n v="0"/>
    <n v="0"/>
    <n v="0"/>
    <n v="0"/>
    <n v="0"/>
    <n v="0"/>
    <n v="0"/>
    <m/>
    <m/>
    <m/>
    <m/>
    <m/>
    <m/>
    <m/>
    <m/>
    <m/>
    <s v="1"/>
    <s v="1"/>
    <s v="1"/>
    <s v="1"/>
    <s v="0"/>
    <m/>
    <m/>
    <m/>
    <m/>
    <m/>
    <m/>
    <m/>
    <m/>
    <m/>
    <m/>
    <m/>
    <m/>
    <m/>
    <m/>
  </r>
  <r>
    <n v="742"/>
    <d v="2025-01-03T00:00:00"/>
    <s v="ZBTO"/>
    <n v="9518401782"/>
    <n v="2"/>
    <s v="9518401782-2"/>
    <m/>
    <s v="Stocks"/>
    <s v="Released orders"/>
    <x v="1"/>
    <x v="3"/>
    <s v="2000-BPRS"/>
    <m/>
    <x v="0"/>
    <s v="Mar"/>
    <m/>
    <m/>
    <s v="North"/>
    <s v="LONI"/>
    <m/>
    <n v="936528"/>
    <s v="SHORI LAL KEWAL KUMAR"/>
    <n v="259534"/>
    <s v="CRSHEET-ICF  DQ TATXXD AU03 0.35 X 1250"/>
    <s v=" "/>
    <s v=""/>
    <n v="10"/>
    <n v="30"/>
    <s v="Wider"/>
    <s v="C01"/>
    <s v="TATXXD"/>
    <s v="AU03"/>
    <n v="0.35"/>
    <n v="1250"/>
    <n v="0"/>
    <n v="58"/>
    <n v="50.494999999999997"/>
    <n v="58"/>
    <n v="58"/>
    <n v="53.74"/>
    <n v="0"/>
    <m/>
    <n v="53.81"/>
    <n v="4.1899999999999977"/>
    <n v="7.5049999999999999"/>
    <n v="0"/>
    <n v="0"/>
    <n v="0"/>
    <n v="0"/>
    <n v="0"/>
    <n v="0"/>
    <n v="0"/>
    <n v="0"/>
    <n v="0"/>
    <n v="0"/>
    <n v="0"/>
    <n v="0"/>
    <n v="0"/>
    <n v="0"/>
    <n v="53.81"/>
    <n v="0"/>
    <n v="0"/>
    <n v="0"/>
    <n v="0"/>
    <n v="0"/>
    <n v="53.81"/>
    <n v="53.81"/>
    <n v="0"/>
    <n v="53.81"/>
    <n v="-7.0000000000000284E-2"/>
    <n v="13.54"/>
    <n v="0"/>
    <n v="0"/>
    <n v="0"/>
    <n v="0"/>
    <n v="0"/>
    <n v="0"/>
    <n v="13.54"/>
    <n v="13.54"/>
    <n v="0"/>
    <n v="0"/>
    <n v="0"/>
    <n v="0"/>
    <n v="0"/>
    <n v="0"/>
    <n v="0"/>
    <n v="0"/>
    <n v="0"/>
    <n v="0"/>
    <n v="0"/>
    <m/>
    <m/>
    <m/>
    <m/>
    <m/>
    <m/>
    <m/>
    <m/>
    <m/>
    <s v="1"/>
    <s v="1"/>
    <s v="1"/>
    <s v="1"/>
    <s v="1"/>
    <m/>
    <m/>
    <m/>
    <m/>
    <m/>
    <m/>
    <m/>
    <m/>
    <m/>
    <m/>
    <m/>
    <m/>
    <m/>
    <m/>
  </r>
  <r>
    <n v="742"/>
    <d v="2025-01-22T00:00:00"/>
    <s v="ZBTO"/>
    <n v="9518451356"/>
    <n v="1"/>
    <s v="9518451356-1"/>
    <m/>
    <s v="No Priority"/>
    <s v="Released orders"/>
    <x v="1"/>
    <x v="3"/>
    <s v="2000-BPRS"/>
    <m/>
    <x v="1"/>
    <s v="Mar"/>
    <s v="Beyond HSM rollability"/>
    <m/>
    <s v="South"/>
    <s v="YESHWANTHPURA"/>
    <m/>
    <n v="932244"/>
    <s v="DURGA TRADERS"/>
    <n v="2243480"/>
    <s v="CRCA COIL TATCRC TR15 0.350X1250"/>
    <s v=" "/>
    <s v=""/>
    <n v="2"/>
    <n v="26"/>
    <s v="Wider"/>
    <s v="C01"/>
    <s v="TATCRC"/>
    <s v="TR15"/>
    <n v="0.35"/>
    <n v="1250"/>
    <n v="0"/>
    <n v="58"/>
    <e v="#N/A"/>
    <n v="58"/>
    <n v="58"/>
    <n v="0"/>
    <n v="58"/>
    <m/>
    <m/>
    <n v="58"/>
    <n v="0"/>
    <n v="0"/>
    <n v="64.960000000000008"/>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5-01-21T00:00:00"/>
    <s v="ZBTO"/>
    <n v="9518448202"/>
    <n v="1"/>
    <s v="9518448202-1"/>
    <m/>
    <s v="No Priority"/>
    <s v="Released orders"/>
    <x v="3"/>
    <x v="7"/>
    <s v="1000-IPPE"/>
    <m/>
    <x v="0"/>
    <m/>
    <m/>
    <m/>
    <s v="TBSPL"/>
    <s v=" "/>
    <m/>
    <n v="942283"/>
    <s v="TATA BLUESCOPE STEEL PRIVATE LIMITE"/>
    <n v="3928137"/>
    <s v="GL C YS550 H6GL 0.85BMT(0.90TCT)X1250"/>
    <s v="AZ150"/>
    <s v=""/>
    <n v="3"/>
    <n v="5"/>
    <s v="Wider"/>
    <s v="B04"/>
    <s v="Y550GL"/>
    <s v="H6GL"/>
    <n v="0.85"/>
    <n v="1220"/>
    <n v="0"/>
    <n v="27.99"/>
    <n v="12.55"/>
    <n v="27.99"/>
    <n v="15.44"/>
    <n v="9.6649999999999991"/>
    <n v="0"/>
    <m/>
    <m/>
    <n v="0"/>
    <n v="15.44"/>
    <n v="0"/>
    <n v="0"/>
    <n v="0"/>
    <n v="0"/>
    <n v="0"/>
    <n v="0"/>
    <n v="0"/>
    <n v="0"/>
    <n v="22.455000000000002"/>
    <n v="0"/>
    <n v="0"/>
    <n v="0"/>
    <n v="0"/>
    <n v="0"/>
    <n v="0"/>
    <n v="0"/>
    <n v="0"/>
    <n v="0"/>
    <n v="0"/>
    <n v="0"/>
    <n v="22.455000000000002"/>
    <n v="22.455000000000002"/>
    <n v="0"/>
    <n v="22.455000000000002"/>
    <n v="9.6649999999999991"/>
    <n v="0"/>
    <n v="15.44"/>
    <n v="0"/>
    <n v="0"/>
    <n v="0"/>
    <n v="15.44"/>
    <n v="0"/>
    <n v="15.44"/>
    <n v="0"/>
    <n v="0"/>
    <n v="0"/>
    <n v="15.44"/>
    <n v="0"/>
    <n v="0"/>
    <n v="0"/>
    <n v="0"/>
    <n v="0"/>
    <n v="0"/>
    <n v="0"/>
    <n v="0"/>
    <m/>
    <m/>
    <m/>
    <m/>
    <m/>
    <m/>
    <m/>
    <m/>
    <m/>
    <s v="1"/>
    <s v="1"/>
    <s v="1"/>
    <s v="0"/>
    <s v="1"/>
    <m/>
    <m/>
    <m/>
    <m/>
    <m/>
    <s v="Planning delay"/>
    <m/>
    <m/>
    <m/>
    <m/>
    <m/>
    <m/>
    <m/>
    <m/>
  </r>
  <r>
    <n v="742"/>
    <d v="2024-12-10T00:00:00"/>
    <s v="ZBTO"/>
    <n v="9518334424"/>
    <n v="11"/>
    <s v="9518334424-11"/>
    <m/>
    <s v="Feb'25"/>
    <s v="Released orders"/>
    <x v="1"/>
    <x v="3"/>
    <s v="2000-BPRS"/>
    <m/>
    <x v="0"/>
    <s v="Mar"/>
    <m/>
    <m/>
    <s v="South"/>
    <s v="SANGAREDDY"/>
    <m/>
    <n v="947126"/>
    <s v="RAVINDRA IRON WORKS"/>
    <n v="2398457"/>
    <s v="CRCA COIL TATXXD AU03 1X1320"/>
    <s v=" "/>
    <s v=""/>
    <n v="5"/>
    <n v="30"/>
    <s v="Wider"/>
    <s v="C01"/>
    <s v="TATXXD"/>
    <s v="AU03"/>
    <n v="1"/>
    <n v="1320"/>
    <n v="0"/>
    <n v="120"/>
    <n v="72.83"/>
    <n v="47.17"/>
    <n v="47.17"/>
    <n v="84.04"/>
    <n v="0"/>
    <m/>
    <n v="26.82"/>
    <n v="20.350000000000001"/>
    <n v="47.17"/>
    <n v="0"/>
    <n v="0"/>
    <n v="0"/>
    <n v="29.72"/>
    <n v="29.69"/>
    <n v="0"/>
    <n v="0"/>
    <n v="0"/>
    <n v="0"/>
    <n v="0"/>
    <n v="0"/>
    <n v="0"/>
    <n v="0"/>
    <n v="0"/>
    <n v="0"/>
    <n v="0"/>
    <n v="26.82"/>
    <n v="0"/>
    <n v="0"/>
    <n v="0"/>
    <n v="86.22999999999999"/>
    <n v="26.82"/>
    <n v="0"/>
    <n v="26.82"/>
    <n v="57.220000000000006"/>
    <n v="0"/>
    <n v="47.17"/>
    <n v="0"/>
    <n v="47.17"/>
    <n v="0"/>
    <n v="0"/>
    <n v="0"/>
    <n v="47.17"/>
    <n v="0"/>
    <n v="47.17"/>
    <n v="0"/>
    <n v="0"/>
    <n v="0"/>
    <n v="0"/>
    <n v="0"/>
    <n v="0"/>
    <n v="0"/>
    <n v="0"/>
    <n v="0"/>
    <n v="0"/>
    <m/>
    <m/>
    <m/>
    <m/>
    <m/>
    <m/>
    <m/>
    <m/>
    <m/>
    <s v="1"/>
    <s v="0"/>
    <s v="1"/>
    <s v="1"/>
    <s v="1"/>
    <m/>
    <m/>
    <m/>
    <m/>
    <m/>
    <m/>
    <m/>
    <m/>
    <m/>
    <m/>
    <m/>
    <m/>
    <m/>
    <m/>
  </r>
  <r>
    <n v="742"/>
    <d v="2025-01-13T00:00:00"/>
    <s v="ZBTO"/>
    <n v="9518425868"/>
    <n v="1"/>
    <s v="9518425868-1"/>
    <m/>
    <s v="Feb'25"/>
    <s v="Released orders"/>
    <x v="1"/>
    <x v="3"/>
    <s v="2000-BPRS"/>
    <m/>
    <x v="0"/>
    <s v="Mar"/>
    <m/>
    <m/>
    <s v="East"/>
    <s v="TATANAGAR"/>
    <m/>
    <n v="165053"/>
    <s v="SUDISA ENTERPRISES (P) LTD."/>
    <n v="1804772"/>
    <s v="CRCA COIL TATXXD AU03 0.4X1250"/>
    <s v=" "/>
    <s v=""/>
    <n v="20"/>
    <n v="29"/>
    <s v="Wider"/>
    <s v="C01"/>
    <s v="TATXXD"/>
    <s v="AU03"/>
    <n v="0.4"/>
    <n v="1250"/>
    <n v="0"/>
    <n v="58"/>
    <n v="0"/>
    <n v="58"/>
    <n v="58"/>
    <n v="57.09"/>
    <n v="0"/>
    <m/>
    <n v="12.125"/>
    <n v="45.875"/>
    <n v="58"/>
    <n v="0"/>
    <n v="51.38"/>
    <n v="0"/>
    <n v="0"/>
    <n v="0"/>
    <n v="0"/>
    <n v="0"/>
    <n v="0"/>
    <n v="0"/>
    <n v="0"/>
    <n v="0"/>
    <n v="0"/>
    <n v="0"/>
    <n v="0"/>
    <n v="0"/>
    <n v="0"/>
    <n v="0"/>
    <n v="12.125"/>
    <n v="0"/>
    <n v="0"/>
    <n v="12.125"/>
    <n v="12.125"/>
    <n v="0"/>
    <n v="12.125"/>
    <n v="44.965000000000003"/>
    <n v="0"/>
    <n v="58"/>
    <n v="0"/>
    <n v="0"/>
    <n v="58"/>
    <n v="0"/>
    <n v="0"/>
    <n v="58"/>
    <n v="0"/>
    <n v="0"/>
    <n v="58"/>
    <n v="0"/>
    <n v="0"/>
    <n v="0"/>
    <n v="0"/>
    <n v="0"/>
    <n v="0"/>
    <n v="0"/>
    <n v="0"/>
    <n v="0"/>
    <m/>
    <m/>
    <m/>
    <m/>
    <m/>
    <m/>
    <m/>
    <m/>
    <m/>
    <s v="1"/>
    <s v="1"/>
    <s v="0"/>
    <s v="1"/>
    <s v="1"/>
    <m/>
    <m/>
    <m/>
    <m/>
    <m/>
    <m/>
    <m/>
    <m/>
    <m/>
    <m/>
    <m/>
    <m/>
    <m/>
    <m/>
  </r>
  <r>
    <n v="742"/>
    <d v="2025-01-06T00:00:00"/>
    <s v="ZBTO"/>
    <n v="9518407253"/>
    <n v="1"/>
    <s v="9518407253-1"/>
    <m/>
    <s v="Mar'25 additional"/>
    <s v="Released orders"/>
    <x v="1"/>
    <x v="3"/>
    <s v="2000-BPRS"/>
    <m/>
    <x v="0"/>
    <s v="Mar"/>
    <m/>
    <m/>
    <s v="North"/>
    <s v="FARIDABAD"/>
    <m/>
    <n v="831432"/>
    <s v="FERRO STEEL SOLUTIONS"/>
    <n v="1804772"/>
    <s v="CRCA COIL TATXXD AU03 0.4X1250"/>
    <s v=" "/>
    <s v=""/>
    <n v="10"/>
    <n v="30"/>
    <s v="Wider"/>
    <s v="C01"/>
    <s v="TATXXD"/>
    <s v="AU03"/>
    <n v="0.4"/>
    <n v="1250"/>
    <n v="0"/>
    <n v="116"/>
    <n v="88.435000000000002"/>
    <n v="27.565000000000001"/>
    <n v="27.565000000000001"/>
    <n v="28.33"/>
    <n v="0"/>
    <m/>
    <n v="12.35"/>
    <n v="15.215000000000002"/>
    <n v="27.565000000000001"/>
    <n v="0"/>
    <n v="17.040800000000004"/>
    <n v="0"/>
    <n v="0"/>
    <n v="0"/>
    <n v="0"/>
    <n v="0"/>
    <n v="0"/>
    <n v="0"/>
    <n v="0"/>
    <n v="0"/>
    <n v="0"/>
    <n v="0"/>
    <n v="0"/>
    <n v="0"/>
    <n v="0"/>
    <n v="12.35"/>
    <n v="0"/>
    <n v="0"/>
    <n v="0"/>
    <n v="12.35"/>
    <n v="12.35"/>
    <n v="0"/>
    <n v="12.35"/>
    <n v="15.979999999999999"/>
    <n v="0"/>
    <n v="27.565000000000001"/>
    <n v="0"/>
    <n v="27.565000000000001"/>
    <n v="0"/>
    <n v="0"/>
    <n v="0"/>
    <n v="27.565000000000001"/>
    <n v="0"/>
    <n v="27.565000000000001"/>
    <n v="0"/>
    <n v="0"/>
    <n v="0"/>
    <n v="0"/>
    <n v="0"/>
    <n v="0"/>
    <n v="0"/>
    <n v="0"/>
    <n v="0"/>
    <n v="0"/>
    <m/>
    <m/>
    <m/>
    <m/>
    <m/>
    <m/>
    <m/>
    <m/>
    <m/>
    <s v="1"/>
    <s v="0"/>
    <s v="1"/>
    <s v="1"/>
    <s v="1"/>
    <m/>
    <m/>
    <m/>
    <m/>
    <m/>
    <m/>
    <m/>
    <m/>
    <m/>
    <m/>
    <m/>
    <m/>
    <m/>
    <m/>
  </r>
  <r>
    <n v="744"/>
    <d v="2025-01-04T00:00:00"/>
    <s v="ZBTO"/>
    <n v="9518404985"/>
    <n v="1"/>
    <s v="9518404985-1"/>
    <m/>
    <s v="Stocks"/>
    <s v="Released orders"/>
    <x v="4"/>
    <x v="7"/>
    <s v="1000-IPPE"/>
    <m/>
    <x v="0"/>
    <m/>
    <m/>
    <m/>
    <s v="East"/>
    <s v="GAMHARIA"/>
    <m/>
    <n v="940016"/>
    <s v="TATA BLUESCOPE STEEL PVT LTD."/>
    <n v="1640840"/>
    <s v="PPGL C Y550 HPL3 0.45BMT(0.53TPT)X1220"/>
    <s v="AZ150"/>
    <s v="RAL 9010 TSL 150"/>
    <n v="3"/>
    <n v="5"/>
    <s v="Wider"/>
    <s v="B18"/>
    <s v="Y550PL"/>
    <s v="HPL3"/>
    <n v="0.45"/>
    <n v="1220"/>
    <n v="0"/>
    <n v="55.99"/>
    <n v="55.62"/>
    <n v="31.96"/>
    <n v="31.96"/>
    <n v="44.935000000000002"/>
    <n v="0"/>
    <m/>
    <n v="44.935000000000002"/>
    <n v="0"/>
    <n v="0"/>
    <n v="0"/>
    <n v="0"/>
    <n v="0"/>
    <n v="0"/>
    <n v="0"/>
    <n v="0"/>
    <n v="0"/>
    <n v="0"/>
    <n v="0"/>
    <n v="0"/>
    <n v="44.984999999999999"/>
    <n v="0"/>
    <n v="0"/>
    <n v="0"/>
    <n v="0"/>
    <n v="0"/>
    <n v="0"/>
    <n v="0"/>
    <n v="0"/>
    <n v="0"/>
    <n v="44.984999999999999"/>
    <n v="44.984999999999999"/>
    <n v="0"/>
    <n v="44.984999999999999"/>
    <n v="0"/>
    <n v="4.42"/>
    <n v="0"/>
    <n v="0"/>
    <n v="0"/>
    <n v="0"/>
    <n v="0"/>
    <n v="0"/>
    <n v="4.42"/>
    <n v="0"/>
    <n v="4.42"/>
    <n v="0"/>
    <n v="0"/>
    <n v="0"/>
    <n v="0"/>
    <n v="24.03"/>
    <n v="0"/>
    <n v="0"/>
    <n v="0"/>
    <n v="0"/>
    <n v="0"/>
    <m/>
    <m/>
    <m/>
    <m/>
    <m/>
    <m/>
    <m/>
    <m/>
    <m/>
    <s v="1"/>
    <s v="1"/>
    <s v="1"/>
    <s v="1"/>
    <s v="1"/>
    <m/>
    <m/>
    <m/>
    <m/>
    <m/>
    <m/>
    <m/>
    <m/>
    <m/>
    <m/>
    <m/>
    <m/>
    <m/>
    <m/>
  </r>
  <r>
    <n v="744"/>
    <d v="2025-01-10T00:00:00"/>
    <s v="ZBTO"/>
    <n v="9518419763"/>
    <n v="1"/>
    <s v="9518419763-1"/>
    <m/>
    <s v="Mar'25 additional"/>
    <s v="Released orders"/>
    <x v="4"/>
    <x v="7"/>
    <s v="1000-IPPE"/>
    <m/>
    <x v="0"/>
    <m/>
    <m/>
    <m/>
    <s v="TBSPL"/>
    <s v=" "/>
    <m/>
    <n v="941597"/>
    <s v="TATA BLUESCOPE STEEL PRIVATE LIMITE"/>
    <n v="1633706"/>
    <s v="PPGL C Y550 HPL3 0.42BMT(0.50TPT)X1220"/>
    <s v="AZ150"/>
    <s v="RAL 1019 TSL 466"/>
    <n v="3"/>
    <n v="5"/>
    <s v="Wider"/>
    <s v="B18"/>
    <s v="Y550PL"/>
    <s v="HPL3"/>
    <n v="0.42"/>
    <n v="1220"/>
    <n v="0"/>
    <n v="28"/>
    <n v="0"/>
    <n v="28"/>
    <n v="28"/>
    <n v="11.35"/>
    <n v="16.649999999999999"/>
    <m/>
    <n v="11.35"/>
    <n v="0"/>
    <n v="28"/>
    <n v="0"/>
    <n v="18.648"/>
    <n v="0"/>
    <n v="0"/>
    <n v="0"/>
    <n v="0"/>
    <n v="11.35"/>
    <n v="0"/>
    <n v="0"/>
    <n v="0"/>
    <n v="0"/>
    <n v="0"/>
    <n v="0"/>
    <n v="0"/>
    <n v="0"/>
    <n v="0"/>
    <n v="0"/>
    <n v="0"/>
    <n v="0"/>
    <n v="0"/>
    <n v="11.35"/>
    <n v="11.35"/>
    <n v="0"/>
    <n v="11.35"/>
    <n v="0"/>
    <n v="0"/>
    <n v="28"/>
    <n v="0"/>
    <n v="0"/>
    <n v="28"/>
    <n v="0"/>
    <n v="0"/>
    <n v="28"/>
    <n v="0"/>
    <n v="0"/>
    <n v="28"/>
    <n v="0"/>
    <n v="0"/>
    <n v="0"/>
    <n v="0"/>
    <n v="0"/>
    <n v="0"/>
    <n v="0"/>
    <n v="0"/>
    <n v="0"/>
    <m/>
    <m/>
    <m/>
    <m/>
    <m/>
    <m/>
    <m/>
    <m/>
    <m/>
    <s v="1"/>
    <s v="1"/>
    <s v="0"/>
    <s v="1"/>
    <s v="1"/>
    <m/>
    <m/>
    <m/>
    <m/>
    <m/>
    <m/>
    <m/>
    <m/>
    <m/>
    <m/>
    <m/>
    <m/>
    <m/>
    <m/>
  </r>
  <r>
    <n v="744"/>
    <d v="2025-01-23T00:00:00"/>
    <s v="ZBTO"/>
    <n v="9518453202"/>
    <n v="2"/>
    <s v="9518453202-2"/>
    <m/>
    <s v="Mar'25 additional"/>
    <s v="Released orders"/>
    <x v="4"/>
    <x v="7"/>
    <s v="1000-IPPE"/>
    <m/>
    <x v="0"/>
    <m/>
    <m/>
    <m/>
    <s v="East"/>
    <s v="GAMHARIA"/>
    <m/>
    <n v="940016"/>
    <s v="TATA BLUESCOPE STEEL PVT LTD."/>
    <n v="3522241"/>
    <s v="PPGL C Y550 D0C7 0.43BMT(0.47TPT)X1220"/>
    <s v="aZ70"/>
    <s v="NUVO BLUE TSL 1903"/>
    <n v="3"/>
    <n v="5"/>
    <s v="Wider"/>
    <s v="B18"/>
    <s v="Y550PL"/>
    <s v="D0C7"/>
    <n v="0.43"/>
    <n v="1220"/>
    <n v="0"/>
    <n v="167.98"/>
    <n v="144.79499999999999"/>
    <n v="77.06"/>
    <n v="23.184999999999999"/>
    <n v="21.975000000000001"/>
    <n v="0"/>
    <m/>
    <n v="21.975000000000001"/>
    <n v="0"/>
    <n v="23.184999999999999"/>
    <n v="0"/>
    <n v="0"/>
    <n v="0"/>
    <n v="0"/>
    <n v="0"/>
    <n v="0"/>
    <n v="0"/>
    <n v="0"/>
    <n v="19.815000000000001"/>
    <n v="0"/>
    <n v="9.4550000000000001"/>
    <n v="0"/>
    <n v="0"/>
    <n v="0"/>
    <n v="0"/>
    <n v="0"/>
    <n v="4.5"/>
    <n v="0"/>
    <n v="0"/>
    <n v="45.125"/>
    <n v="78.89500000000001"/>
    <n v="78.89500000000001"/>
    <n v="0"/>
    <n v="78.89500000000001"/>
    <n v="0"/>
    <n v="144.79500000000002"/>
    <n v="23.184999999999999"/>
    <n v="0"/>
    <n v="23.184999999999999"/>
    <n v="0"/>
    <n v="0"/>
    <n v="0"/>
    <n v="167.98000000000002"/>
    <n v="0"/>
    <n v="0"/>
    <n v="167.98000000000002"/>
    <n v="0"/>
    <n v="0"/>
    <n v="0"/>
    <n v="50.215000000000003"/>
    <n v="0"/>
    <n v="23.184999999999999"/>
    <n v="0"/>
    <n v="0"/>
    <n v="0"/>
    <m/>
    <m/>
    <m/>
    <m/>
    <m/>
    <m/>
    <m/>
    <m/>
    <m/>
    <s v="1"/>
    <s v="1"/>
    <s v="1"/>
    <s v="1"/>
    <s v="1"/>
    <m/>
    <m/>
    <m/>
    <m/>
    <m/>
    <m/>
    <m/>
    <m/>
    <m/>
    <m/>
    <m/>
    <m/>
    <m/>
    <m/>
  </r>
  <r>
    <n v="742"/>
    <d v="2025-01-18T00:00:00"/>
    <s v="ZBTO"/>
    <n v="9518439457"/>
    <n v="1"/>
    <s v="9518439457-1"/>
    <m/>
    <s v="Stocks"/>
    <s v="Released orders"/>
    <x v="1"/>
    <x v="5"/>
    <s v="1000-IPPE"/>
    <m/>
    <x v="0"/>
    <m/>
    <m/>
    <m/>
    <s v="South"/>
    <s v="CHENNAI"/>
    <m/>
    <n v="187214"/>
    <s v="BALMER LAWRIE &amp; CO. LIMITED.."/>
    <n v="2421724"/>
    <s v="CRCA COIL TATXXD BT01 0.970X1310"/>
    <s v=" "/>
    <s v=""/>
    <n v="6"/>
    <n v="12"/>
    <s v="Wider"/>
    <s v="C01"/>
    <s v="TATXXD"/>
    <s v="BT01"/>
    <n v="0.97"/>
    <n v="1310"/>
    <n v="0"/>
    <n v="30"/>
    <n v="80.709999999999994"/>
    <n v="30"/>
    <n v="0"/>
    <n v="4.9000000000000004"/>
    <n v="0"/>
    <m/>
    <n v="88.7"/>
    <n v="0"/>
    <n v="0"/>
    <n v="0"/>
    <n v="0"/>
    <n v="0"/>
    <n v="0"/>
    <n v="0"/>
    <n v="0"/>
    <n v="0"/>
    <n v="0"/>
    <n v="0"/>
    <n v="0"/>
    <n v="0"/>
    <n v="0"/>
    <n v="0"/>
    <n v="0"/>
    <n v="88.7"/>
    <n v="0"/>
    <n v="0"/>
    <n v="0"/>
    <n v="0"/>
    <n v="0"/>
    <n v="88.7"/>
    <n v="88.7"/>
    <n v="0"/>
    <n v="88.7"/>
    <n v="-83.8"/>
    <n v="80.709999999999994"/>
    <n v="0"/>
    <n v="0"/>
    <n v="0"/>
    <n v="0"/>
    <n v="0"/>
    <n v="0"/>
    <n v="80.709999999999994"/>
    <n v="80.709999999999994"/>
    <n v="0"/>
    <n v="0"/>
    <n v="0"/>
    <n v="0"/>
    <n v="0"/>
    <n v="0"/>
    <n v="0"/>
    <n v="0"/>
    <n v="0"/>
    <n v="0"/>
    <n v="0"/>
    <m/>
    <m/>
    <m/>
    <m/>
    <m/>
    <m/>
    <m/>
    <m/>
    <m/>
    <s v="1"/>
    <s v="1"/>
    <s v="1"/>
    <s v="1"/>
    <s v="1"/>
    <m/>
    <m/>
    <m/>
    <m/>
    <m/>
    <m/>
    <m/>
    <m/>
    <m/>
    <m/>
    <m/>
    <m/>
    <m/>
    <m/>
  </r>
  <r>
    <n v="744"/>
    <d v="2025-01-23T00:00:00"/>
    <s v="ZBTO"/>
    <n v="9518454162"/>
    <n v="2"/>
    <s v="9518454162-2"/>
    <m/>
    <s v="Feb'25"/>
    <s v="Released orders"/>
    <x v="4"/>
    <x v="7"/>
    <s v="1000-IPPE"/>
    <m/>
    <x v="0"/>
    <m/>
    <m/>
    <m/>
    <s v="TBSPL"/>
    <s v=" "/>
    <m/>
    <n v="941597"/>
    <s v="TATA BLUESCOPE STEEL PRIVATE LIMITE"/>
    <n v="1633706"/>
    <s v="PPGL C Y550 HPL3 0.42BMT(0.50TPT)X1220"/>
    <s v="AZ150"/>
    <s v="RAL 5017 TSL 411"/>
    <n v="3"/>
    <n v="5"/>
    <s v="Wider"/>
    <s v="B18"/>
    <s v="Y550PL"/>
    <s v="HPL3"/>
    <n v="0.42"/>
    <n v="1220"/>
    <n v="0"/>
    <n v="140"/>
    <n v="106.45"/>
    <n v="140"/>
    <n v="140"/>
    <n v="111.63"/>
    <n v="28.37"/>
    <m/>
    <n v="111.63"/>
    <n v="28.370000000000005"/>
    <n v="33.549999999999997"/>
    <n v="0"/>
    <n v="0"/>
    <n v="143.69"/>
    <n v="0"/>
    <n v="0"/>
    <n v="0"/>
    <n v="0"/>
    <n v="0"/>
    <n v="0"/>
    <n v="0"/>
    <n v="0"/>
    <n v="0"/>
    <n v="0"/>
    <n v="0"/>
    <n v="0"/>
    <n v="0"/>
    <n v="0"/>
    <n v="0"/>
    <n v="0"/>
    <n v="0"/>
    <n v="143.69"/>
    <n v="143.69"/>
    <n v="0"/>
    <n v="143.69"/>
    <n v="0"/>
    <n v="106.44999999999999"/>
    <n v="33.549999999999997"/>
    <n v="0"/>
    <n v="0"/>
    <n v="0"/>
    <n v="33.549999999999997"/>
    <n v="0"/>
    <n v="140"/>
    <n v="0"/>
    <n v="0"/>
    <n v="0"/>
    <n v="0"/>
    <n v="140"/>
    <n v="0"/>
    <n v="0"/>
    <n v="0"/>
    <n v="0"/>
    <n v="0"/>
    <n v="0"/>
    <n v="0"/>
    <m/>
    <m/>
    <m/>
    <m/>
    <m/>
    <m/>
    <m/>
    <m/>
    <m/>
    <s v="1"/>
    <s v="1"/>
    <s v="1"/>
    <s v="0"/>
    <s v="1"/>
    <m/>
    <m/>
    <m/>
    <m/>
    <m/>
    <m/>
    <m/>
    <m/>
    <m/>
    <m/>
    <m/>
    <m/>
    <m/>
    <m/>
  </r>
  <r>
    <n v="742"/>
    <d v="2025-02-11T00:00:00"/>
    <s v="ZBTO"/>
    <n v="9518510820"/>
    <n v="1"/>
    <s v="9518510820-1"/>
    <m/>
    <s v="No Priority"/>
    <s v="Failed orders"/>
    <x v="1"/>
    <x v="1"/>
    <n v="2000"/>
    <m/>
    <x v="1"/>
    <m/>
    <m/>
    <s v="Uttar Pradesh"/>
    <m/>
    <m/>
    <m/>
    <n v="115841"/>
    <s v="O.V.S. ISPAT UDYOG"/>
    <n v="3437524"/>
    <s v="CRCA SHEET TATCRC SR16 0.400X1250X2030"/>
    <s v=""/>
    <s v=""/>
    <m/>
    <m/>
    <s v="Wider"/>
    <s v="C06"/>
    <s v="TATCRC"/>
    <s v="SR16"/>
    <n v="0.4"/>
    <n v="1250"/>
    <n v="2030"/>
    <n v="69"/>
    <e v="#N/A"/>
    <n v="69"/>
    <n v="69"/>
    <e v="#N/A"/>
    <e v="#N/A"/>
    <n v="69"/>
    <n v="0"/>
    <n v="69"/>
    <n v="0"/>
    <n v="0"/>
    <n v="77.28"/>
    <n v="0"/>
    <n v="0"/>
    <n v="0"/>
    <n v="0"/>
    <n v="0"/>
    <n v="0"/>
    <n v="0"/>
    <n v="0"/>
    <n v="0"/>
    <n v="0"/>
    <n v="0"/>
    <n v="0"/>
    <n v="0"/>
    <n v="0"/>
    <n v="0"/>
    <n v="0"/>
    <n v="0"/>
    <n v="0"/>
    <n v="0"/>
    <n v="0"/>
    <n v="0"/>
    <n v="0"/>
    <n v="0"/>
    <n v="0"/>
    <n v="0"/>
    <n v="0"/>
    <n v="0"/>
    <n v="0"/>
    <n v="0"/>
    <n v="0"/>
    <n v="0"/>
    <n v="0"/>
    <n v="0"/>
    <n v="0"/>
    <n v="0"/>
    <n v="0"/>
    <n v="0"/>
    <m/>
    <m/>
    <m/>
    <m/>
    <m/>
    <m/>
    <m/>
    <m/>
    <m/>
    <m/>
    <m/>
    <m/>
    <m/>
    <m/>
    <m/>
    <m/>
    <m/>
    <m/>
    <m/>
    <m/>
    <m/>
    <m/>
    <m/>
    <m/>
    <m/>
    <m/>
    <m/>
    <m/>
    <m/>
    <m/>
    <m/>
    <m/>
    <m/>
    <m/>
  </r>
  <r>
    <n v="742"/>
    <d v="2025-02-18T00:00:00"/>
    <s v="ZBTO"/>
    <n v="9518529569"/>
    <n v="1"/>
    <s v="9518529569-1"/>
    <m/>
    <s v="No Priority"/>
    <s v="Failed orders"/>
    <x v="1"/>
    <x v="1"/>
    <n v="2000"/>
    <m/>
    <x v="1"/>
    <s v="Mar"/>
    <m/>
    <s v="Rajasthan"/>
    <m/>
    <m/>
    <m/>
    <n v="116137"/>
    <s v="PELIKAN DOSSIER PRIVATE LIMITE"/>
    <n v="3239557"/>
    <s v="CRCA SHEET TATCRC SR16 0.400X1250X2500"/>
    <s v=""/>
    <s v=""/>
    <m/>
    <m/>
    <s v="Wider"/>
    <s v="C06"/>
    <s v="TATCRC"/>
    <s v="SR16"/>
    <n v="0.4"/>
    <n v="1250"/>
    <n v="0"/>
    <n v="48"/>
    <e v="#N/A"/>
    <n v="48"/>
    <n v="48"/>
    <e v="#N/A"/>
    <e v="#N/A"/>
    <n v="48"/>
    <n v="0"/>
    <n v="48"/>
    <n v="0"/>
    <n v="0"/>
    <n v="53.76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9T00:00:00"/>
    <s v="ZBTO"/>
    <n v="9518533557"/>
    <n v="5"/>
    <s v="9518533557-5"/>
    <m/>
    <s v="No Priority"/>
    <s v="Failed orders"/>
    <x v="1"/>
    <x v="1"/>
    <n v="2000"/>
    <m/>
    <x v="1"/>
    <s v="Mar"/>
    <m/>
    <s v="West Bengal"/>
    <m/>
    <m/>
    <m/>
    <n v="101278"/>
    <s v="RAMESH COMPANY"/>
    <n v="3239557"/>
    <s v="CRCA SHEET TATCRC SR16 0.400X1250X2500"/>
    <s v=""/>
    <s v=""/>
    <m/>
    <m/>
    <s v="Wider"/>
    <s v="C06"/>
    <s v="TATCRC"/>
    <s v="SR16"/>
    <n v="0.4"/>
    <n v="1250"/>
    <n v="0"/>
    <n v="30"/>
    <e v="#N/A"/>
    <n v="30"/>
    <n v="30"/>
    <e v="#N/A"/>
    <e v="#N/A"/>
    <n v="30"/>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5-02-10T00:00:00"/>
    <s v="ZBTO"/>
    <n v="9518507657"/>
    <n v="5"/>
    <s v="9518507657-5"/>
    <m/>
    <s v="No Priority"/>
    <s v="Failed orders"/>
    <x v="1"/>
    <x v="1"/>
    <n v="2000"/>
    <m/>
    <x v="1"/>
    <s v="Mar"/>
    <m/>
    <s v="Assam"/>
    <m/>
    <m/>
    <m/>
    <n v="116649"/>
    <s v="SAGAR STEELS"/>
    <n v="3241808"/>
    <s v="CR COIL TATCRC SR26 0.400X1250"/>
    <s v=""/>
    <s v=""/>
    <m/>
    <m/>
    <s v="Wider"/>
    <s v="C01"/>
    <s v="TATCRC"/>
    <s v="SR26"/>
    <n v="0.4"/>
    <n v="1250"/>
    <n v="0"/>
    <n v="58"/>
    <e v="#N/A"/>
    <n v="58"/>
    <n v="58"/>
    <e v="#N/A"/>
    <e v="#N/A"/>
    <m/>
    <n v="0"/>
    <n v="58"/>
    <n v="0"/>
    <n v="0"/>
    <n v="64.960000000000008"/>
    <n v="0"/>
    <n v="0"/>
    <n v="0"/>
    <n v="0"/>
    <n v="0"/>
    <n v="0"/>
    <n v="0"/>
    <n v="0"/>
    <n v="0"/>
    <n v="0"/>
    <n v="0"/>
    <n v="0"/>
    <n v="0"/>
    <n v="0"/>
    <n v="0"/>
    <n v="0"/>
    <n v="0"/>
    <n v="0"/>
    <n v="0"/>
    <n v="0"/>
    <n v="0"/>
    <n v="0"/>
    <n v="0"/>
    <n v="0"/>
    <n v="0"/>
    <n v="0"/>
    <n v="0"/>
    <n v="0"/>
    <n v="0"/>
    <n v="0"/>
    <n v="0"/>
    <n v="0"/>
    <n v="0"/>
    <n v="0"/>
    <n v="0"/>
    <n v="0"/>
    <n v="0"/>
    <m/>
    <m/>
    <m/>
    <m/>
    <m/>
    <m/>
    <m/>
    <m/>
    <m/>
    <m/>
    <m/>
    <m/>
    <m/>
    <m/>
    <m/>
    <m/>
    <m/>
    <m/>
    <m/>
    <m/>
    <m/>
    <m/>
    <m/>
    <m/>
    <m/>
    <m/>
    <m/>
    <m/>
    <m/>
    <m/>
    <m/>
    <m/>
    <m/>
    <m/>
  </r>
  <r>
    <n v="744"/>
    <d v="2025-01-23T00:00:00"/>
    <s v="ZBTO"/>
    <n v="9518453235"/>
    <n v="5"/>
    <s v="9518453235-5"/>
    <m/>
    <s v="Mar'25 additional"/>
    <s v="Released orders"/>
    <x v="4"/>
    <x v="7"/>
    <s v="1000-IPPE"/>
    <m/>
    <x v="0"/>
    <m/>
    <m/>
    <m/>
    <s v="East"/>
    <s v="GAMHARIA"/>
    <m/>
    <n v="940016"/>
    <s v="TATA BLUESCOPE STEEL PVT LTD."/>
    <n v="3883538"/>
    <s v="PPGL C HARD Y550PL ISC6 0.300X1220"/>
    <s v="aZ70"/>
    <s v="PRO BLUE TSL 1913"/>
    <n v="3"/>
    <n v="5"/>
    <s v="Wider"/>
    <s v="B18"/>
    <s v="Y550PL"/>
    <s v="ISC6"/>
    <n v="0.3"/>
    <n v="1220"/>
    <n v="0"/>
    <n v="56"/>
    <n v="33.954999999999998"/>
    <n v="22.045000000000002"/>
    <n v="22.045000000000002"/>
    <n v="10.42"/>
    <n v="0"/>
    <m/>
    <n v="10.42"/>
    <n v="0"/>
    <n v="22.045000000000002"/>
    <n v="0"/>
    <n v="0"/>
    <n v="0"/>
    <n v="0"/>
    <n v="0"/>
    <n v="0"/>
    <n v="15.9"/>
    <n v="0"/>
    <n v="9.01"/>
    <n v="0"/>
    <n v="3.4"/>
    <n v="0"/>
    <n v="0"/>
    <n v="0"/>
    <n v="0"/>
    <n v="0"/>
    <n v="0"/>
    <n v="0"/>
    <n v="0"/>
    <n v="0"/>
    <n v="28.31"/>
    <n v="28.31"/>
    <n v="0"/>
    <n v="28.31"/>
    <n v="0"/>
    <n v="3.98"/>
    <n v="22.045000000000002"/>
    <n v="0"/>
    <n v="0"/>
    <n v="0"/>
    <n v="0"/>
    <n v="22.045000000000002"/>
    <n v="26.025000000000002"/>
    <n v="0"/>
    <n v="0"/>
    <n v="0"/>
    <n v="0"/>
    <n v="26.025000000000002"/>
    <n v="0"/>
    <n v="0"/>
    <n v="0"/>
    <n v="0"/>
    <n v="0"/>
    <n v="0"/>
    <n v="0"/>
    <m/>
    <m/>
    <m/>
    <m/>
    <m/>
    <m/>
    <m/>
    <m/>
    <m/>
    <s v="1"/>
    <s v="1"/>
    <s v="1"/>
    <s v="1"/>
    <s v="0"/>
    <m/>
    <m/>
    <m/>
    <m/>
    <m/>
    <m/>
    <m/>
    <m/>
    <m/>
    <m/>
    <m/>
    <m/>
    <m/>
    <m/>
  </r>
  <r>
    <n v="742"/>
    <d v="2025-01-27T00:00:00"/>
    <s v="ZBTO"/>
    <n v="9518464219"/>
    <n v="1"/>
    <s v="9518464219-1"/>
    <m/>
    <s v="Feb'25"/>
    <s v="Released orders"/>
    <x v="1"/>
    <x v="3"/>
    <s v="2000-BPRS"/>
    <m/>
    <x v="0"/>
    <m/>
    <m/>
    <m/>
    <s v="South"/>
    <m/>
    <m/>
    <n v="939268"/>
    <s v="TATA STEEL DOWNSTREAM PRODUCTS LIMI"/>
    <n v="1801022"/>
    <s v="CRCA COIL-TATXXD-AU03-0.45X1250"/>
    <s v=" "/>
    <m/>
    <n v="2"/>
    <n v="26"/>
    <s v="Wider"/>
    <s v="C01"/>
    <s v="TATXXD"/>
    <s v="AU03"/>
    <n v="0.45"/>
    <n v="1250"/>
    <m/>
    <n v="116"/>
    <n v="97.954999999999998"/>
    <n v="18.045000000000002"/>
    <n v="18.045000000000002"/>
    <n v="27.64"/>
    <n v="0"/>
    <m/>
    <n v="0"/>
    <n v="18.045000000000002"/>
    <n v="18.045000000000002"/>
    <n v="0"/>
    <n v="0"/>
    <n v="0"/>
    <n v="0"/>
    <n v="0"/>
    <n v="0"/>
    <n v="0"/>
    <n v="0"/>
    <n v="0"/>
    <n v="0"/>
    <n v="0"/>
    <n v="28.2"/>
    <n v="0"/>
    <n v="0"/>
    <n v="0"/>
    <n v="0"/>
    <n v="0"/>
    <n v="0"/>
    <n v="0"/>
    <n v="0"/>
    <n v="28.2"/>
    <n v="28.2"/>
    <n v="0"/>
    <n v="28.2"/>
    <n v="27.64"/>
    <n v="11.55"/>
    <n v="18.045000000000002"/>
    <n v="0"/>
    <n v="18.045000000000002"/>
    <n v="0"/>
    <n v="0"/>
    <n v="0"/>
    <n v="29.595000000000002"/>
    <n v="0"/>
    <n v="0"/>
    <n v="29.595000000000002"/>
    <n v="0"/>
    <n v="0"/>
    <n v="0"/>
    <n v="24.48"/>
    <n v="0"/>
    <n v="18.045000000000002"/>
    <n v="0"/>
    <n v="0"/>
    <n v="0"/>
    <m/>
    <m/>
    <m/>
    <m/>
    <m/>
    <m/>
    <m/>
    <m/>
    <m/>
    <s v="1"/>
    <s v="1"/>
    <s v="1"/>
    <s v="1"/>
    <s v="1"/>
    <m/>
    <m/>
    <m/>
    <m/>
    <m/>
    <m/>
    <m/>
    <m/>
    <m/>
    <m/>
    <m/>
    <m/>
    <m/>
    <m/>
  </r>
  <r>
    <n v="743"/>
    <d v="2025-01-27T00:00:00"/>
    <s v="ZBTO"/>
    <n v="9518464491"/>
    <n v="3"/>
    <s v="9518464491-3"/>
    <m/>
    <s v="Stocks"/>
    <s v="Released orders"/>
    <x v="3"/>
    <x v="5"/>
    <n v="1000"/>
    <m/>
    <x v="0"/>
    <m/>
    <m/>
    <m/>
    <s v="South"/>
    <s v="VINJAMURU"/>
    <m/>
    <n v="188750"/>
    <s v="Colorshine Coated Pvt.Ltd."/>
    <n v="3931394"/>
    <s v="GL COIL HARD  Y550GL H9GL 0.470X1235"/>
    <s v="AZ150"/>
    <m/>
    <n v="7"/>
    <n v="20"/>
    <s v="Wider"/>
    <s v="B04"/>
    <s v="Y550GL"/>
    <s v="H9GL"/>
    <n v="0.47"/>
    <n v="1235"/>
    <n v="0"/>
    <n v="392"/>
    <n v="469.47500000000002"/>
    <n v="62.424999999999997"/>
    <n v="-33.96"/>
    <n v="44.737000000000002"/>
    <n v="0"/>
    <m/>
    <m/>
    <n v="0"/>
    <n v="0"/>
    <n v="0"/>
    <n v="0"/>
    <n v="0"/>
    <n v="0"/>
    <n v="23.77"/>
    <n v="0"/>
    <n v="64.53"/>
    <n v="0"/>
    <n v="0"/>
    <n v="0"/>
    <n v="0"/>
    <n v="0"/>
    <n v="0"/>
    <n v="0"/>
    <n v="0"/>
    <n v="0"/>
    <n v="0"/>
    <n v="0"/>
    <n v="0"/>
    <n v="11.085000000000001"/>
    <n v="99.384999999999991"/>
    <n v="99.384999999999991"/>
    <n v="0"/>
    <n v="99.384999999999991"/>
    <n v="44.737000000000002"/>
    <n v="20.439999999999998"/>
    <n v="0"/>
    <n v="0"/>
    <n v="0"/>
    <n v="0"/>
    <n v="0"/>
    <n v="0"/>
    <n v="20.439999999999998"/>
    <n v="20.439999999999998"/>
    <n v="0"/>
    <n v="0"/>
    <n v="0"/>
    <n v="0"/>
    <n v="0"/>
    <n v="0"/>
    <n v="0"/>
    <n v="0"/>
    <n v="0"/>
    <n v="0"/>
    <n v="0"/>
    <m/>
    <m/>
    <m/>
    <m/>
    <m/>
    <m/>
    <m/>
    <m/>
    <m/>
    <s v="1"/>
    <s v="1"/>
    <s v="1"/>
    <s v="1"/>
    <s v="1"/>
    <m/>
    <m/>
    <m/>
    <m/>
    <m/>
    <m/>
    <m/>
    <m/>
    <m/>
    <m/>
    <m/>
    <m/>
    <m/>
    <m/>
  </r>
  <r>
    <n v="744"/>
    <d v="2025-01-28T00:00:00"/>
    <s v="ZBTO"/>
    <n v="9518469304"/>
    <n v="2"/>
    <s v="9518469304-2"/>
    <m/>
    <s v="Stocks"/>
    <s v="Released orders"/>
    <x v="4"/>
    <x v="7"/>
    <n v="1000"/>
    <m/>
    <x v="0"/>
    <m/>
    <m/>
    <m/>
    <s v="TBSPL"/>
    <m/>
    <m/>
    <n v="941597"/>
    <s v="TATA BLUESCOPE STEEL PRIVATE LIMITE"/>
    <n v="3902332"/>
    <s v="PPGL C HARD Y550PL D0C9 0.50(TPT)X1220"/>
    <s v="AZ150"/>
    <s v=""/>
    <n v="3"/>
    <n v="5"/>
    <s v="Wider"/>
    <s v="B18"/>
    <s v="Y550PL"/>
    <s v="D0C9"/>
    <n v="0.5"/>
    <n v="1220"/>
    <n v="0"/>
    <n v="112"/>
    <n v="51.58"/>
    <n v="85.375"/>
    <n v="72.09"/>
    <n v="67.27"/>
    <n v="0"/>
    <m/>
    <n v="67.27"/>
    <n v="0"/>
    <n v="60.41"/>
    <n v="0"/>
    <n v="0"/>
    <n v="28.7"/>
    <n v="0"/>
    <n v="0"/>
    <n v="0"/>
    <n v="27.6"/>
    <n v="0"/>
    <n v="0"/>
    <n v="0"/>
    <n v="17.05"/>
    <n v="0"/>
    <n v="0"/>
    <n v="0"/>
    <n v="0"/>
    <n v="0"/>
    <n v="0"/>
    <n v="0"/>
    <n v="0"/>
    <n v="16.809999999999999"/>
    <n v="90.16"/>
    <n v="90.16"/>
    <n v="0"/>
    <n v="90.16"/>
    <n v="0"/>
    <n v="51.58"/>
    <n v="60.41"/>
    <n v="0"/>
    <n v="60.41"/>
    <n v="0"/>
    <n v="0"/>
    <n v="0"/>
    <n v="112"/>
    <n v="0"/>
    <n v="112"/>
    <n v="0"/>
    <n v="0"/>
    <n v="0"/>
    <n v="-1.0000000000005116E-2"/>
    <n v="0"/>
    <n v="0"/>
    <n v="0"/>
    <n v="0"/>
    <n v="0"/>
    <n v="0"/>
    <m/>
    <m/>
    <m/>
    <m/>
    <m/>
    <m/>
    <m/>
    <m/>
    <m/>
    <s v="1"/>
    <s v="0"/>
    <s v="1"/>
    <s v="1"/>
    <s v="1"/>
    <m/>
    <m/>
    <m/>
    <m/>
    <m/>
    <m/>
    <m/>
    <m/>
    <m/>
    <m/>
    <m/>
    <m/>
    <m/>
    <m/>
  </r>
  <r>
    <n v="744"/>
    <d v="2025-01-28T00:00:00"/>
    <s v="ZBTO"/>
    <n v="9518469304"/>
    <n v="3"/>
    <s v="9518469304-3"/>
    <m/>
    <s v="Mar'25 additional"/>
    <s v="Released orders"/>
    <x v="4"/>
    <x v="7"/>
    <n v="1000"/>
    <m/>
    <x v="0"/>
    <m/>
    <m/>
    <m/>
    <s v="TBSPL"/>
    <m/>
    <m/>
    <n v="941597"/>
    <s v="TATA BLUESCOPE STEEL PRIVATE LIMITE"/>
    <n v="3902332"/>
    <s v="PPGL C HARD Y550PL D0C9 0.50(TPT)X1220"/>
    <s v="AZ150"/>
    <s v="RAL 9002 TSL 1801"/>
    <n v="3"/>
    <n v="5"/>
    <s v="Wider"/>
    <s v="B18"/>
    <s v="Y550PL"/>
    <s v="D0C9"/>
    <n v="0.5"/>
    <n v="1220"/>
    <n v="0"/>
    <n v="27.99"/>
    <n v="0"/>
    <n v="27.99"/>
    <n v="27.99"/>
    <n v="27.79"/>
    <n v="0.2"/>
    <m/>
    <n v="27.79"/>
    <n v="0"/>
    <n v="27.99"/>
    <n v="0"/>
    <n v="0"/>
    <n v="28.79"/>
    <n v="0"/>
    <n v="0"/>
    <n v="0"/>
    <n v="0"/>
    <n v="0"/>
    <n v="0"/>
    <n v="0"/>
    <n v="0"/>
    <n v="0"/>
    <n v="0"/>
    <n v="0"/>
    <n v="0"/>
    <n v="0"/>
    <n v="0"/>
    <n v="0"/>
    <n v="0"/>
    <n v="0"/>
    <n v="28.79"/>
    <n v="28.79"/>
    <n v="0"/>
    <n v="28.79"/>
    <n v="0"/>
    <n v="0"/>
    <n v="27.99"/>
    <n v="0"/>
    <n v="0"/>
    <n v="27.99"/>
    <n v="0"/>
    <n v="0"/>
    <n v="27.99"/>
    <n v="0"/>
    <n v="0"/>
    <n v="27.99"/>
    <n v="0"/>
    <n v="0"/>
    <n v="0"/>
    <n v="0"/>
    <n v="0"/>
    <n v="0"/>
    <n v="0"/>
    <n v="0"/>
    <n v="0"/>
    <m/>
    <m/>
    <m/>
    <m/>
    <m/>
    <m/>
    <m/>
    <m/>
    <m/>
    <s v="1"/>
    <s v="1"/>
    <s v="0"/>
    <s v="1"/>
    <s v="1"/>
    <m/>
    <m/>
    <m/>
    <m/>
    <m/>
    <m/>
    <m/>
    <m/>
    <m/>
    <m/>
    <m/>
    <m/>
    <m/>
    <m/>
  </r>
  <r>
    <n v="744"/>
    <d v="2025-01-28T00:00:00"/>
    <s v="ZBTO"/>
    <n v="9518469241"/>
    <n v="5"/>
    <s v="9518469241-5"/>
    <m/>
    <s v="Stocks"/>
    <s v="Released orders"/>
    <x v="4"/>
    <x v="7"/>
    <n v="1000"/>
    <m/>
    <x v="0"/>
    <m/>
    <m/>
    <m/>
    <s v="TBSPL"/>
    <m/>
    <m/>
    <n v="941597"/>
    <s v="TATA BLUESCOPE STEEL PRIVATE LIMITE"/>
    <n v="1633706"/>
    <s v="PPGL C Y550 HPL3 0.42BMT(0.50TPT)X1220"/>
    <s v="AZ150"/>
    <s v="RAL 9002 TSL 142A"/>
    <n v="3"/>
    <n v="5"/>
    <s v="Wider"/>
    <s v="B18"/>
    <s v="Y550PL"/>
    <s v="HPL3"/>
    <n v="0.42"/>
    <n v="1220"/>
    <n v="0"/>
    <n v="84"/>
    <n v="68.775000000000006"/>
    <n v="24.565000000000001"/>
    <n v="19.945"/>
    <n v="14.17"/>
    <n v="0"/>
    <m/>
    <n v="14.17"/>
    <n v="0"/>
    <n v="15.225"/>
    <n v="0"/>
    <n v="0"/>
    <n v="0"/>
    <n v="0"/>
    <n v="0"/>
    <n v="0"/>
    <n v="0"/>
    <n v="0"/>
    <n v="9.8650000000000002"/>
    <n v="0"/>
    <n v="4.45"/>
    <n v="0"/>
    <n v="0"/>
    <n v="0"/>
    <n v="0"/>
    <n v="0"/>
    <n v="0"/>
    <n v="0"/>
    <n v="0"/>
    <n v="0"/>
    <n v="14.315000000000001"/>
    <n v="14.315000000000001"/>
    <n v="0"/>
    <n v="14.315000000000001"/>
    <n v="0"/>
    <n v="4.72"/>
    <n v="0"/>
    <n v="0"/>
    <n v="0"/>
    <n v="0"/>
    <n v="0"/>
    <n v="0"/>
    <n v="4.72"/>
    <n v="0"/>
    <n v="4.72"/>
    <n v="0"/>
    <n v="0"/>
    <n v="0"/>
    <n v="0"/>
    <n v="26.49"/>
    <n v="0"/>
    <n v="0"/>
    <n v="0"/>
    <n v="0"/>
    <n v="0"/>
    <m/>
    <m/>
    <m/>
    <m/>
    <m/>
    <m/>
    <m/>
    <m/>
    <m/>
    <s v="1"/>
    <s v="1"/>
    <s v="1"/>
    <s v="1"/>
    <s v="1"/>
    <m/>
    <m/>
    <m/>
    <m/>
    <m/>
    <s v="WIP diverted &amp; process delay"/>
    <m/>
    <m/>
    <m/>
    <m/>
    <m/>
    <m/>
    <m/>
    <m/>
  </r>
  <r>
    <n v="744"/>
    <d v="2024-12-25T00:00:00"/>
    <s v="ZBTO"/>
    <n v="9518373862"/>
    <n v="1"/>
    <s v="9518373862-1"/>
    <m/>
    <s v="Feb'25"/>
    <s v="Released orders"/>
    <x v="4"/>
    <x v="7"/>
    <n v="1000"/>
    <m/>
    <x v="0"/>
    <m/>
    <m/>
    <m/>
    <s v="TBSPL"/>
    <m/>
    <m/>
    <n v="941597"/>
    <s v="TATA BLUESCOPE STEEL PRIVATE LIMITE"/>
    <n v="3902332"/>
    <s v="PPGL C HARD Y550PL D0C9 0.50(TPT)X1220"/>
    <s v="AZ150"/>
    <s v="RAL 7024 TSL 1806"/>
    <n v="3"/>
    <n v="5"/>
    <s v="Wider"/>
    <s v="B18"/>
    <s v="Y550PL"/>
    <s v="D0C9"/>
    <n v="0.5"/>
    <n v="1220"/>
    <n v="0"/>
    <n v="111.98"/>
    <n v="93.825000000000003"/>
    <n v="22.074999999999999"/>
    <n v="22.074999999999999"/>
    <n v="3.92"/>
    <n v="18.155000000000001"/>
    <m/>
    <m/>
    <n v="22.074999999999999"/>
    <n v="18.155000000000001"/>
    <n v="0"/>
    <n v="18.535999999999998"/>
    <n v="0"/>
    <n v="0"/>
    <n v="0"/>
    <n v="0"/>
    <n v="0"/>
    <n v="0"/>
    <n v="0"/>
    <n v="0"/>
    <n v="1.605"/>
    <n v="0"/>
    <n v="0"/>
    <n v="0"/>
    <n v="0"/>
    <n v="0"/>
    <n v="0"/>
    <n v="0"/>
    <n v="0"/>
    <n v="3.92"/>
    <n v="5.5250000000000004"/>
    <n v="5.5250000000000004"/>
    <n v="0"/>
    <n v="5.5250000000000004"/>
    <n v="3.92"/>
    <n v="53.915000000000006"/>
    <n v="18.155000000000001"/>
    <n v="0"/>
    <n v="18.155000000000001"/>
    <n v="0"/>
    <n v="0"/>
    <n v="0"/>
    <n v="72.070000000000007"/>
    <n v="0"/>
    <n v="0"/>
    <n v="72.070000000000007"/>
    <n v="0"/>
    <n v="0"/>
    <n v="0"/>
    <n v="67.644999999999996"/>
    <n v="0"/>
    <n v="18.155000000000001"/>
    <n v="0"/>
    <n v="0"/>
    <n v="0"/>
    <m/>
    <m/>
    <m/>
    <m/>
    <m/>
    <m/>
    <m/>
    <m/>
    <m/>
    <s v="1"/>
    <s v="1"/>
    <s v="1"/>
    <s v="1"/>
    <s v="1"/>
    <m/>
    <m/>
    <m/>
    <m/>
    <m/>
    <s v="Packing delay"/>
    <m/>
    <m/>
    <m/>
    <m/>
    <m/>
    <m/>
    <m/>
    <m/>
  </r>
  <r>
    <n v="744"/>
    <d v="2025-02-05T00:00:00"/>
    <s v="ZBTO"/>
    <n v="9518494750"/>
    <n v="1"/>
    <s v="9518494750-1"/>
    <m/>
    <s v="No Priority"/>
    <s v="Released orders"/>
    <x v="4"/>
    <x v="7"/>
    <s v="1000-IPPE"/>
    <m/>
    <x v="1"/>
    <m/>
    <m/>
    <m/>
    <s v="Bluescope"/>
    <s v=" "/>
    <m/>
    <n v="941597"/>
    <s v="TATA BLUESCOPE STEEL PRIVATE LIMITE"/>
    <n v="3902332"/>
    <s v="PPGL C HARD Y550PL D0C9 0.50(TPT)X1220"/>
    <s v="AZ150"/>
    <s v="RAL 9002 TSL 1801"/>
    <m/>
    <m/>
    <s v="Wider"/>
    <s v="B18"/>
    <s v="Y550PL"/>
    <s v="D0C9"/>
    <n v="0.5"/>
    <n v="1220"/>
    <n v="0"/>
    <n v="27.99"/>
    <n v="24.645"/>
    <n v="24.99"/>
    <n v="22.05"/>
    <n v="0"/>
    <n v="22.05"/>
    <m/>
    <m/>
    <n v="22.05"/>
    <n v="3.3450000000000002"/>
    <n v="0"/>
    <n v="0"/>
    <n v="28.62"/>
    <n v="0"/>
    <n v="0"/>
    <n v="0"/>
    <n v="0"/>
    <n v="0"/>
    <n v="0"/>
    <n v="0"/>
    <n v="0"/>
    <n v="0"/>
    <n v="0"/>
    <n v="0"/>
    <n v="0"/>
    <n v="0"/>
    <n v="0"/>
    <n v="0"/>
    <n v="0"/>
    <n v="0"/>
    <n v="28.62"/>
    <n v="28.62"/>
    <n v="0"/>
    <n v="28.62"/>
    <n v="0"/>
    <n v="0"/>
    <n v="0"/>
    <n v="0"/>
    <n v="0"/>
    <n v="0"/>
    <n v="0"/>
    <n v="0"/>
    <n v="0"/>
    <n v="0"/>
    <n v="0"/>
    <n v="0"/>
    <n v="0"/>
    <n v="0"/>
    <n v="0"/>
    <n v="0"/>
    <n v="0"/>
    <n v="0"/>
    <n v="0"/>
    <n v="0"/>
    <n v="0"/>
    <m/>
    <m/>
    <m/>
    <m/>
    <m/>
    <m/>
    <m/>
    <m/>
    <m/>
    <s v="1"/>
    <s v="1"/>
    <s v="1"/>
    <s v="1"/>
    <s v="1"/>
    <m/>
    <m/>
    <m/>
    <m/>
    <m/>
    <m/>
    <m/>
    <m/>
    <m/>
    <m/>
    <m/>
    <m/>
    <m/>
    <m/>
  </r>
  <r>
    <n v="744"/>
    <d v="2025-01-03T00:00:00"/>
    <s v="ZBTO"/>
    <n v="9518402034"/>
    <n v="1"/>
    <s v="9518402034-1"/>
    <m/>
    <s v="Stocks"/>
    <s v="Released orders"/>
    <x v="4"/>
    <x v="7"/>
    <n v="1000"/>
    <m/>
    <x v="0"/>
    <m/>
    <m/>
    <m/>
    <s v="TBSPL"/>
    <m/>
    <m/>
    <n v="941597"/>
    <s v="TATA BLUESCOPE STEEL PRIVATE LIMITE"/>
    <n v="3902332"/>
    <s v="PPGL C HARD Y550PL D0C9 0.50(TPT)X1220"/>
    <s v="AZ150"/>
    <m/>
    <m/>
    <m/>
    <s v="Wider"/>
    <s v="B18"/>
    <s v="Y550PL"/>
    <s v="D0C9"/>
    <n v="0.5"/>
    <n v="1220"/>
    <n v="0"/>
    <n v="56"/>
    <n v="47.475000000000001"/>
    <n v="31.945"/>
    <n v="31.945"/>
    <n v="28.024999999999999"/>
    <n v="0"/>
    <m/>
    <n v="28.024999999999999"/>
    <n v="0"/>
    <n v="8.5250000000000004"/>
    <n v="0"/>
    <n v="0"/>
    <n v="28.83"/>
    <n v="0"/>
    <n v="0"/>
    <n v="0"/>
    <n v="0"/>
    <n v="0"/>
    <n v="0"/>
    <n v="0"/>
    <n v="0"/>
    <n v="0"/>
    <n v="0"/>
    <n v="0"/>
    <n v="0"/>
    <n v="0"/>
    <n v="0"/>
    <n v="0"/>
    <n v="0"/>
    <n v="0"/>
    <n v="28.83"/>
    <n v="28.83"/>
    <n v="0"/>
    <n v="28.83"/>
    <n v="0"/>
    <n v="24.055"/>
    <n v="0"/>
    <n v="0"/>
    <n v="0"/>
    <n v="0"/>
    <n v="0"/>
    <n v="0"/>
    <n v="24.055"/>
    <n v="0"/>
    <n v="24.055"/>
    <n v="0"/>
    <n v="0"/>
    <n v="0"/>
    <n v="0"/>
    <n v="0"/>
    <n v="0"/>
    <n v="0"/>
    <n v="0"/>
    <n v="0"/>
    <n v="0"/>
    <m/>
    <m/>
    <m/>
    <m/>
    <m/>
    <m/>
    <m/>
    <m/>
    <m/>
    <s v="1"/>
    <s v="1"/>
    <s v="1"/>
    <s v="1"/>
    <s v="1"/>
    <m/>
    <m/>
    <m/>
    <m/>
    <m/>
    <m/>
    <m/>
    <m/>
    <m/>
    <m/>
    <m/>
    <m/>
    <m/>
    <m/>
  </r>
  <r>
    <n v="743"/>
    <d v="2025-01-31T00:00:00"/>
    <s v="ZBTO"/>
    <n v="9518481975"/>
    <n v="1"/>
    <s v="9518481975-1"/>
    <m/>
    <s v="Feb'25"/>
    <s v="Released orders"/>
    <x v="2"/>
    <x v="6"/>
    <n v="2000"/>
    <m/>
    <x v="0"/>
    <m/>
    <m/>
    <s v="Assam"/>
    <s v="East"/>
    <m/>
    <m/>
    <n v="116649"/>
    <s v="SAGAR STEELS"/>
    <n v="2233645"/>
    <s v="GP COIL SOFT TATXGP GLK1 0.35X1220"/>
    <s v=""/>
    <s v=""/>
    <m/>
    <m/>
    <s v="Wider"/>
    <s v="C02"/>
    <s v="TATXGP"/>
    <s v="GLK1"/>
    <n v="0.35"/>
    <n v="1220"/>
    <n v="0"/>
    <n v="112"/>
    <n v="29.704999999999998"/>
    <n v="93.924999999999997"/>
    <n v="93.924999999999997"/>
    <n v="22.9"/>
    <n v="71.025000000000006"/>
    <m/>
    <n v="22.9"/>
    <n v="71.025000000000006"/>
    <n v="82.295000000000002"/>
    <n v="0"/>
    <n v="77.520800000000008"/>
    <n v="0"/>
    <n v="24.71"/>
    <n v="0"/>
    <n v="0"/>
    <n v="0"/>
    <n v="0"/>
    <n v="0"/>
    <n v="0"/>
    <n v="0"/>
    <n v="0"/>
    <n v="0"/>
    <n v="0"/>
    <n v="0"/>
    <n v="0"/>
    <n v="0"/>
    <n v="0"/>
    <n v="0"/>
    <n v="0"/>
    <n v="24.71"/>
    <n v="24.71"/>
    <n v="0"/>
    <n v="22.9"/>
    <n v="0"/>
    <n v="11.63"/>
    <n v="82.295000000000002"/>
    <n v="0"/>
    <n v="0"/>
    <n v="0"/>
    <n v="82.295000000000002"/>
    <n v="0"/>
    <n v="93.924999999999997"/>
    <n v="0"/>
    <n v="0"/>
    <n v="0"/>
    <n v="0"/>
    <n v="93.924999999999997"/>
    <n v="0"/>
    <n v="0"/>
    <n v="0"/>
    <n v="0"/>
    <n v="0"/>
    <n v="0"/>
    <n v="0"/>
    <m/>
    <m/>
    <m/>
    <m/>
    <m/>
    <m/>
    <m/>
    <m/>
    <m/>
    <s v="1"/>
    <s v="1"/>
    <s v="1"/>
    <s v="0"/>
    <s v="1"/>
    <m/>
    <m/>
    <m/>
    <m/>
    <m/>
    <m/>
    <m/>
    <m/>
    <m/>
    <m/>
    <m/>
    <m/>
    <m/>
    <m/>
  </r>
  <r>
    <n v="742"/>
    <d v="2025-01-27T00:00:00"/>
    <s v="ZBTO"/>
    <n v="9518464914"/>
    <n v="3"/>
    <s v="9518464914-3"/>
    <m/>
    <s v="No Priority"/>
    <s v="Released orders"/>
    <x v="1"/>
    <x v="1"/>
    <n v="2000"/>
    <m/>
    <x v="1"/>
    <m/>
    <m/>
    <m/>
    <s v="East"/>
    <s v="JALPAIGURI"/>
    <m/>
    <n v="116649"/>
    <s v="SAGAR STEELS"/>
    <n v="3240797"/>
    <s v="CRCA SHEET TSBCRC SR15 0.700X1000X2500"/>
    <s v=" "/>
    <m/>
    <n v="2"/>
    <n v="3"/>
    <s v="Narrow"/>
    <s v="C06"/>
    <s v="TSBCRC"/>
    <s v="SR15"/>
    <n v="0.7"/>
    <n v="1000"/>
    <n v="2500"/>
    <n v="21"/>
    <n v="20.745000000000001"/>
    <n v="21"/>
    <n v="21"/>
    <n v="21.18"/>
    <n v="-0.18"/>
    <m/>
    <n v="21.78"/>
    <n v="0"/>
    <n v="0"/>
    <n v="0"/>
    <n v="-0.87360000000000138"/>
    <n v="0"/>
    <n v="0"/>
    <n v="0"/>
    <n v="0"/>
    <n v="0"/>
    <n v="0"/>
    <n v="0"/>
    <n v="0"/>
    <n v="0"/>
    <n v="0"/>
    <n v="0"/>
    <n v="0"/>
    <n v="21.78"/>
    <n v="0"/>
    <n v="0"/>
    <n v="0"/>
    <n v="0"/>
    <n v="0"/>
    <n v="21.78"/>
    <n v="21.78"/>
    <n v="0"/>
    <n v="21.78"/>
    <n v="-0.60000000000000142"/>
    <n v="0"/>
    <n v="0"/>
    <n v="0"/>
    <n v="0"/>
    <n v="0"/>
    <n v="0"/>
    <n v="0"/>
    <n v="0"/>
    <n v="0"/>
    <n v="0"/>
    <n v="0"/>
    <n v="0"/>
    <n v="0"/>
    <n v="0"/>
    <n v="0"/>
    <n v="0"/>
    <n v="0"/>
    <n v="0"/>
    <n v="0"/>
    <n v="0"/>
    <m/>
    <m/>
    <m/>
    <m/>
    <m/>
    <m/>
    <m/>
    <m/>
    <m/>
    <s v="1"/>
    <s v="1"/>
    <s v="1"/>
    <s v="1"/>
    <s v="1"/>
    <m/>
    <m/>
    <m/>
    <m/>
    <m/>
    <m/>
    <m/>
    <m/>
    <m/>
    <m/>
    <m/>
    <m/>
    <m/>
    <m/>
  </r>
  <r>
    <n v="742"/>
    <d v="2025-01-22T00:00:00"/>
    <s v="ZBTO"/>
    <n v="9518451407"/>
    <n v="3"/>
    <s v="9518451407-3"/>
    <m/>
    <s v="Feb'25"/>
    <s v="Released orders"/>
    <x v="1"/>
    <x v="1"/>
    <n v="2000"/>
    <m/>
    <x v="0"/>
    <s v="Mar"/>
    <m/>
    <m/>
    <s v="North"/>
    <s v="VARANASI"/>
    <m/>
    <n v="115841"/>
    <s v="O.V.S. ISPAT UDYOG"/>
    <n v="3765561"/>
    <s v="CRCA SHEET TSBCRC SR15 0.700X1000X1930"/>
    <s v=" "/>
    <m/>
    <n v="0"/>
    <n v="0"/>
    <s v="Narrow"/>
    <s v="C06"/>
    <s v="TSBCRC"/>
    <s v="SR15"/>
    <n v="0.7"/>
    <n v="1000"/>
    <n v="1930"/>
    <n v="48"/>
    <n v="2.94"/>
    <n v="48"/>
    <n v="48"/>
    <n v="0"/>
    <n v="48"/>
    <m/>
    <m/>
    <n v="48"/>
    <n v="45.06"/>
    <n v="0"/>
    <n v="53.760000000000005"/>
    <n v="0"/>
    <n v="0"/>
    <n v="0"/>
    <n v="0"/>
    <n v="0"/>
    <n v="0"/>
    <n v="0"/>
    <n v="0"/>
    <n v="0"/>
    <n v="0"/>
    <n v="0"/>
    <n v="0"/>
    <n v="0"/>
    <n v="0"/>
    <n v="0"/>
    <n v="0"/>
    <n v="0"/>
    <n v="0"/>
    <n v="0"/>
    <n v="0"/>
    <n v="0"/>
    <n v="0"/>
    <n v="0"/>
    <n v="0"/>
    <n v="45.06"/>
    <n v="0"/>
    <n v="0"/>
    <n v="0"/>
    <n v="45.06"/>
    <n v="0"/>
    <n v="45.06"/>
    <n v="0"/>
    <n v="0"/>
    <n v="0"/>
    <n v="45.06"/>
    <n v="0"/>
    <n v="0"/>
    <n v="0"/>
    <n v="0"/>
    <n v="0"/>
    <n v="0"/>
    <n v="0"/>
    <n v="0"/>
    <m/>
    <m/>
    <m/>
    <m/>
    <m/>
    <m/>
    <m/>
    <m/>
    <m/>
    <s v="1"/>
    <s v="1"/>
    <s v="1"/>
    <s v="0"/>
    <s v="1"/>
    <m/>
    <m/>
    <m/>
    <m/>
    <m/>
    <m/>
    <m/>
    <m/>
    <m/>
    <m/>
    <m/>
    <m/>
    <m/>
    <m/>
  </r>
  <r>
    <n v="742"/>
    <d v="2025-02-11T00:00:00"/>
    <s v="ZBTO"/>
    <n v="9518510371"/>
    <n v="3"/>
    <s v="9518510371-3"/>
    <m/>
    <s v="Mar'25"/>
    <s v="Released orders"/>
    <x v="1"/>
    <x v="1"/>
    <s v="2000-BPRS"/>
    <m/>
    <x v="0"/>
    <s v="Mar"/>
    <m/>
    <m/>
    <m/>
    <s v="GORAKHPUR"/>
    <m/>
    <n v="115841"/>
    <s v="O.V.S. ISPAT UDYOG"/>
    <n v="3240765"/>
    <s v="CRCA SHEET TSBCRC SR15 0.500X1250X2500"/>
    <s v=" "/>
    <s v=""/>
    <n v="0"/>
    <n v="0"/>
    <s v="Wider"/>
    <s v="C06"/>
    <s v="TSBCRC"/>
    <s v="SR15"/>
    <n v="0.5"/>
    <n v="1250"/>
    <n v="2500"/>
    <n v="39"/>
    <n v="0"/>
    <n v="39"/>
    <n v="39"/>
    <n v="27.36"/>
    <n v="0"/>
    <m/>
    <n v="0"/>
    <n v="39"/>
    <n v="39"/>
    <n v="0"/>
    <n v="13.036800000000001"/>
    <n v="0"/>
    <n v="0"/>
    <n v="0"/>
    <n v="0"/>
    <n v="0"/>
    <n v="0"/>
    <n v="0"/>
    <n v="0"/>
    <n v="0"/>
    <n v="0"/>
    <n v="27.36"/>
    <n v="0"/>
    <n v="0"/>
    <n v="0"/>
    <n v="0"/>
    <n v="0"/>
    <n v="0"/>
    <n v="0"/>
    <n v="27.36"/>
    <n v="0"/>
    <n v="0"/>
    <n v="0"/>
    <n v="27.36"/>
    <n v="0"/>
    <n v="39"/>
    <n v="0"/>
    <n v="0"/>
    <n v="39"/>
    <n v="0"/>
    <n v="0"/>
    <n v="39"/>
    <n v="0"/>
    <n v="0"/>
    <n v="39"/>
    <n v="0"/>
    <n v="0"/>
    <n v="0"/>
    <m/>
    <m/>
    <m/>
    <m/>
    <m/>
    <m/>
    <m/>
    <m/>
    <m/>
    <m/>
    <m/>
    <m/>
    <m/>
    <m/>
    <m/>
    <m/>
    <m/>
    <m/>
    <m/>
    <m/>
    <m/>
    <m/>
    <m/>
    <m/>
    <m/>
    <m/>
    <m/>
    <m/>
    <m/>
    <m/>
    <m/>
    <m/>
    <m/>
    <m/>
  </r>
  <r>
    <n v="742"/>
    <d v="2025-02-13T00:00:00"/>
    <s v="ZBTO"/>
    <n v="9518516573"/>
    <n v="1"/>
    <s v="9518516573-1"/>
    <m/>
    <s v="Mar'25"/>
    <s v="Released orders"/>
    <x v="1"/>
    <x v="1"/>
    <s v="2000-BPRS"/>
    <m/>
    <x v="0"/>
    <s v="Mar"/>
    <m/>
    <m/>
    <m/>
    <s v="HOWRAH"/>
    <m/>
    <n v="925093"/>
    <s v="PSPL STEEL PROCESSORS PRIVATE LIMIT"/>
    <n v="3240765"/>
    <s v="CRCA SHEET TSBCRC SR15 0.500X1250X2500"/>
    <s v=" "/>
    <s v=""/>
    <n v="0"/>
    <n v="0"/>
    <s v="Wider"/>
    <s v="C06"/>
    <s v="TSBCRC"/>
    <s v="SR15"/>
    <n v="0.5"/>
    <n v="1250"/>
    <n v="2500"/>
    <n v="66"/>
    <n v="8.1"/>
    <n v="57.9"/>
    <n v="57.9"/>
    <n v="27.45"/>
    <n v="30.45"/>
    <n v="28"/>
    <n v="0"/>
    <n v="57.9"/>
    <n v="57.9"/>
    <n v="0"/>
    <n v="64.847999999999999"/>
    <n v="0"/>
    <n v="0"/>
    <n v="0"/>
    <n v="0"/>
    <n v="0"/>
    <n v="0"/>
    <n v="0"/>
    <n v="0"/>
    <n v="0"/>
    <n v="0"/>
    <n v="0"/>
    <n v="0"/>
    <n v="0"/>
    <n v="0"/>
    <n v="0"/>
    <n v="0"/>
    <n v="0"/>
    <n v="0"/>
    <n v="0"/>
    <n v="0"/>
    <n v="0"/>
    <n v="0"/>
    <n v="27.45"/>
    <n v="0"/>
    <n v="57.9"/>
    <n v="0"/>
    <n v="0"/>
    <n v="57.9"/>
    <n v="0"/>
    <n v="0"/>
    <n v="57.9"/>
    <n v="0"/>
    <n v="0"/>
    <n v="57.9"/>
    <n v="0"/>
    <n v="0"/>
    <n v="0"/>
    <m/>
    <m/>
    <m/>
    <m/>
    <m/>
    <m/>
    <m/>
    <m/>
    <m/>
    <m/>
    <m/>
    <m/>
    <m/>
    <m/>
    <m/>
    <m/>
    <m/>
    <m/>
    <m/>
    <m/>
    <m/>
    <m/>
    <m/>
    <m/>
    <m/>
    <m/>
    <m/>
    <m/>
    <m/>
    <m/>
    <m/>
    <m/>
    <m/>
    <m/>
  </r>
  <r>
    <n v="742"/>
    <d v="2025-01-13T00:00:00"/>
    <s v="ZBTO"/>
    <n v="9518425909"/>
    <n v="17"/>
    <s v="9518425909-17"/>
    <m/>
    <s v="Feb'25"/>
    <s v="Released orders"/>
    <x v="1"/>
    <x v="1"/>
    <n v="2000"/>
    <m/>
    <x v="0"/>
    <s v="Mar"/>
    <m/>
    <m/>
    <s v="South"/>
    <s v="VISHAKHAPATNAM"/>
    <m/>
    <n v="946077"/>
    <s v="SITARAM IRON AND STEEL PVT LTD"/>
    <n v="3240805"/>
    <s v="CRCA SHEET TSBCRC SR15 0.800X1000X2500"/>
    <s v=" "/>
    <m/>
    <n v="0"/>
    <n v="0"/>
    <s v="Narrow"/>
    <s v="C06"/>
    <s v="TSBCRC"/>
    <s v="SR15"/>
    <n v="0.8"/>
    <n v="1000"/>
    <n v="2500"/>
    <n v="24"/>
    <n v="0"/>
    <n v="24"/>
    <n v="24"/>
    <n v="0"/>
    <n v="24"/>
    <m/>
    <m/>
    <n v="24"/>
    <n v="24"/>
    <n v="0"/>
    <n v="26.880000000000003"/>
    <n v="0"/>
    <n v="0"/>
    <n v="0"/>
    <n v="0"/>
    <n v="0"/>
    <n v="0"/>
    <n v="0"/>
    <n v="0"/>
    <n v="0"/>
    <n v="0"/>
    <n v="0"/>
    <n v="0"/>
    <n v="0"/>
    <n v="0"/>
    <n v="0"/>
    <n v="0"/>
    <n v="0"/>
    <n v="0"/>
    <n v="0"/>
    <n v="0"/>
    <n v="0"/>
    <n v="0"/>
    <n v="0"/>
    <n v="0"/>
    <n v="24"/>
    <n v="0"/>
    <n v="0"/>
    <n v="0"/>
    <n v="24"/>
    <n v="0"/>
    <n v="24"/>
    <n v="0"/>
    <n v="0"/>
    <n v="0"/>
    <n v="24"/>
    <n v="0"/>
    <n v="0"/>
    <n v="0"/>
    <n v="0"/>
    <n v="0"/>
    <n v="0"/>
    <n v="0"/>
    <n v="0"/>
    <m/>
    <m/>
    <m/>
    <m/>
    <m/>
    <m/>
    <m/>
    <m/>
    <m/>
    <s v="1"/>
    <s v="1"/>
    <s v="1"/>
    <s v="0"/>
    <s v="1"/>
    <m/>
    <m/>
    <m/>
    <m/>
    <m/>
    <m/>
    <m/>
    <m/>
    <m/>
    <m/>
    <m/>
    <m/>
    <m/>
    <m/>
  </r>
  <r>
    <n v="742"/>
    <d v="2025-01-14T00:00:00"/>
    <s v="ZBTO"/>
    <n v="9518429066"/>
    <n v="8"/>
    <s v="9518429066-8"/>
    <m/>
    <s v="Mar'25"/>
    <s v="Released orders"/>
    <x v="1"/>
    <x v="1"/>
    <n v="2000"/>
    <m/>
    <x v="0"/>
    <s v="Mar"/>
    <m/>
    <m/>
    <s v="East"/>
    <s v="TANGI"/>
    <m/>
    <n v="117061"/>
    <s v="BHARTIA  DISTRIBUTORS PVT. LTD."/>
    <n v="3240818"/>
    <s v="CRCA SHEET TSBCRC SR15 0.900X1000X2500"/>
    <s v=" "/>
    <m/>
    <n v="0.1"/>
    <n v="5"/>
    <s v="Narrow"/>
    <s v="C06"/>
    <s v="TSBCRC"/>
    <s v="SR15"/>
    <n v="0.9"/>
    <n v="1000"/>
    <n v="2500"/>
    <n v="24"/>
    <n v="0"/>
    <n v="24"/>
    <n v="24"/>
    <n v="0"/>
    <n v="24"/>
    <m/>
    <m/>
    <n v="24"/>
    <n v="24"/>
    <n v="0"/>
    <n v="26.880000000000003"/>
    <n v="0"/>
    <n v="0"/>
    <n v="0"/>
    <n v="0"/>
    <n v="0"/>
    <n v="0"/>
    <n v="0"/>
    <n v="0"/>
    <n v="0"/>
    <n v="0"/>
    <n v="0"/>
    <n v="0"/>
    <n v="0"/>
    <n v="0"/>
    <n v="0"/>
    <n v="0"/>
    <n v="0"/>
    <n v="0"/>
    <n v="0"/>
    <n v="0"/>
    <n v="0"/>
    <n v="0"/>
    <n v="0"/>
    <n v="0"/>
    <n v="24"/>
    <n v="0"/>
    <n v="0"/>
    <n v="0"/>
    <n v="24"/>
    <n v="0"/>
    <n v="24"/>
    <n v="0"/>
    <n v="0"/>
    <n v="0"/>
    <n v="24"/>
    <n v="0"/>
    <n v="0"/>
    <n v="0"/>
    <n v="0"/>
    <n v="0"/>
    <n v="0"/>
    <n v="0"/>
    <n v="0"/>
    <m/>
    <m/>
    <m/>
    <m/>
    <m/>
    <m/>
    <m/>
    <m/>
    <m/>
    <s v="1"/>
    <s v="1"/>
    <s v="1"/>
    <s v="0"/>
    <s v="1"/>
    <m/>
    <m/>
    <m/>
    <m/>
    <m/>
    <m/>
    <m/>
    <m/>
    <m/>
    <m/>
    <m/>
    <m/>
    <m/>
    <m/>
  </r>
  <r>
    <n v="743"/>
    <d v="2024-10-23T00:00:00"/>
    <s v="ZBTO"/>
    <n v="9518202442"/>
    <n v="3"/>
    <s v="9518202442-3"/>
    <m/>
    <s v="Feb'25"/>
    <s v="Released orders"/>
    <x v="3"/>
    <x v="12"/>
    <n v="1000"/>
    <m/>
    <x v="0"/>
    <m/>
    <m/>
    <m/>
    <s v="East"/>
    <s v="PURBA MEDINIPUR"/>
    <m/>
    <n v="189406"/>
    <s v="Manaksia Steels Limited"/>
    <n v="3446607"/>
    <s v="GL COIL HARD  Y550GL H7GL 0.310X1245"/>
    <s v="aZ70"/>
    <m/>
    <n v="7"/>
    <n v="16"/>
    <s v="Wider"/>
    <s v="B04"/>
    <s v="Y550GL"/>
    <s v="H7GL"/>
    <n v="0.31"/>
    <n v="1245"/>
    <n v="0"/>
    <n v="174"/>
    <n v="136.01"/>
    <n v="37.99"/>
    <n v="37.99"/>
    <n v="0"/>
    <n v="37.99"/>
    <m/>
    <m/>
    <n v="37.99"/>
    <n v="37.99"/>
    <n v="0"/>
    <n v="42.548800000000007"/>
    <n v="0"/>
    <n v="0"/>
    <n v="0"/>
    <n v="0"/>
    <n v="0"/>
    <n v="0"/>
    <n v="0"/>
    <n v="0"/>
    <n v="0"/>
    <n v="0"/>
    <n v="0"/>
    <n v="0"/>
    <n v="0"/>
    <n v="0"/>
    <n v="0"/>
    <n v="0"/>
    <n v="0"/>
    <n v="0"/>
    <n v="0"/>
    <n v="0"/>
    <n v="0"/>
    <n v="0"/>
    <n v="0"/>
    <n v="0"/>
    <n v="37.99"/>
    <n v="0"/>
    <n v="0"/>
    <n v="0"/>
    <n v="37.99"/>
    <n v="0"/>
    <n v="37.99"/>
    <n v="0"/>
    <n v="0"/>
    <n v="0"/>
    <n v="37.99"/>
    <n v="0"/>
    <n v="0"/>
    <n v="0"/>
    <n v="0"/>
    <n v="0"/>
    <n v="0"/>
    <n v="0"/>
    <n v="0"/>
    <m/>
    <m/>
    <m/>
    <m/>
    <m/>
    <m/>
    <m/>
    <m/>
    <m/>
    <s v="1"/>
    <s v="1"/>
    <s v="1"/>
    <s v="0"/>
    <s v="1"/>
    <m/>
    <m/>
    <m/>
    <m/>
    <m/>
    <s v="Plannig delay"/>
    <m/>
    <m/>
    <m/>
    <m/>
    <m/>
    <m/>
    <m/>
    <m/>
  </r>
  <r>
    <n v="743"/>
    <d v="2024-10-23T00:00:00"/>
    <s v="ZBTO"/>
    <n v="9518202442"/>
    <n v="15"/>
    <s v="9518202442-15"/>
    <m/>
    <s v="Feb'25"/>
    <s v="Released orders"/>
    <x v="3"/>
    <x v="12"/>
    <n v="1000"/>
    <m/>
    <x v="0"/>
    <m/>
    <m/>
    <m/>
    <s v="East"/>
    <s v="PURBA MEDINIPUR"/>
    <m/>
    <n v="189406"/>
    <s v="Manaksia Steels Limited"/>
    <n v="2427832"/>
    <s v="GL COIL HARD  Y550GL H7GL 0.400X1245"/>
    <s v="aZ70"/>
    <m/>
    <n v="7"/>
    <n v="15"/>
    <s v="Wider"/>
    <s v="B04"/>
    <s v="Y550GL"/>
    <s v="H7GL"/>
    <n v="0.4"/>
    <n v="1245"/>
    <n v="0"/>
    <n v="261"/>
    <n v="241.96"/>
    <n v="28.914999999999999"/>
    <n v="19.04"/>
    <n v="13.3"/>
    <n v="0"/>
    <m/>
    <m/>
    <n v="19.04"/>
    <n v="19.04"/>
    <n v="0"/>
    <n v="21.3248"/>
    <n v="0"/>
    <n v="0"/>
    <n v="0"/>
    <n v="0"/>
    <n v="0"/>
    <n v="0"/>
    <n v="0"/>
    <n v="0"/>
    <n v="0"/>
    <n v="0"/>
    <n v="0"/>
    <n v="0"/>
    <n v="0"/>
    <n v="0"/>
    <n v="0"/>
    <n v="0"/>
    <n v="0"/>
    <n v="9.875"/>
    <n v="9.875"/>
    <n v="9.875"/>
    <n v="0"/>
    <n v="9.875"/>
    <n v="13.3"/>
    <n v="0"/>
    <n v="19.04"/>
    <n v="0"/>
    <n v="19.04"/>
    <n v="0"/>
    <n v="0"/>
    <n v="0"/>
    <n v="19.04"/>
    <n v="0"/>
    <n v="19.04"/>
    <n v="0"/>
    <n v="0"/>
    <n v="0"/>
    <n v="0"/>
    <n v="0"/>
    <n v="0"/>
    <n v="0"/>
    <n v="0"/>
    <n v="0"/>
    <n v="0"/>
    <m/>
    <m/>
    <m/>
    <m/>
    <m/>
    <m/>
    <m/>
    <m/>
    <m/>
    <s v="1"/>
    <s v="0"/>
    <s v="1"/>
    <s v="1"/>
    <s v="1"/>
    <m/>
    <m/>
    <m/>
    <m/>
    <m/>
    <s v="Plannig delay"/>
    <m/>
    <m/>
    <m/>
    <m/>
    <m/>
    <m/>
    <m/>
    <m/>
  </r>
  <r>
    <n v="743"/>
    <d v="2025-02-03T00:00:00"/>
    <s v="ZBTO"/>
    <n v="9518490997"/>
    <n v="5"/>
    <s v="9518490997-5"/>
    <m/>
    <s v="Mar'25"/>
    <s v="Released orders"/>
    <x v="2"/>
    <x v="6"/>
    <s v="2000-BPRS"/>
    <n v="1500"/>
    <x v="0"/>
    <m/>
    <m/>
    <m/>
    <s v="North"/>
    <s v="KANPUR"/>
    <m/>
    <n v="938789"/>
    <s v="JAIN STEEL DISTRIBUTORS"/>
    <n v="2233645"/>
    <s v="GP COIL SOFT TATXGP GLK1 0.35X1220"/>
    <s v="Z80"/>
    <s v=""/>
    <m/>
    <m/>
    <s v="Wider"/>
    <s v="C02"/>
    <s v="TATXGP"/>
    <s v="GLK1"/>
    <n v="0.35"/>
    <n v="1220"/>
    <n v="0"/>
    <n v="28"/>
    <n v="0"/>
    <n v="28"/>
    <n v="28"/>
    <n v="0"/>
    <n v="28"/>
    <n v="25"/>
    <m/>
    <n v="28"/>
    <n v="28"/>
    <n v="0"/>
    <n v="31.360000000000003"/>
    <n v="0"/>
    <n v="0"/>
    <n v="0"/>
    <n v="0"/>
    <n v="0"/>
    <n v="0"/>
    <n v="0"/>
    <n v="0"/>
    <n v="0"/>
    <n v="0"/>
    <n v="0"/>
    <n v="0"/>
    <n v="0"/>
    <n v="0"/>
    <n v="0"/>
    <n v="0"/>
    <n v="0"/>
    <n v="0"/>
    <n v="0"/>
    <n v="0"/>
    <n v="0"/>
    <n v="0"/>
    <n v="0"/>
    <n v="0"/>
    <n v="28"/>
    <n v="0"/>
    <n v="0"/>
    <n v="28"/>
    <n v="0"/>
    <n v="0"/>
    <n v="28"/>
    <n v="0"/>
    <n v="0"/>
    <n v="28"/>
    <n v="0"/>
    <n v="0"/>
    <n v="0"/>
    <n v="0"/>
    <n v="0"/>
    <n v="0"/>
    <n v="0"/>
    <n v="0"/>
    <n v="0"/>
    <m/>
    <m/>
    <m/>
    <m/>
    <m/>
    <m/>
    <m/>
    <m/>
    <m/>
    <s v="1"/>
    <s v="1"/>
    <s v="0"/>
    <s v="1"/>
    <s v="1"/>
    <m/>
    <m/>
    <m/>
    <m/>
    <m/>
    <m/>
    <m/>
    <m/>
    <m/>
    <m/>
    <m/>
    <m/>
    <m/>
    <m/>
  </r>
  <r>
    <n v="743"/>
    <d v="2025-01-30T00:00:00"/>
    <s v="ZBTO"/>
    <n v="9518477269"/>
    <n v="2"/>
    <s v="9518477269-2"/>
    <m/>
    <s v="Stocks"/>
    <s v="Released orders"/>
    <x v="2"/>
    <x v="6"/>
    <n v="2000"/>
    <m/>
    <x v="0"/>
    <m/>
    <m/>
    <m/>
    <s v="West"/>
    <s v="SIYAGANJ"/>
    <m/>
    <n v="944695"/>
    <s v="ANM ISPAT PRIVATE LIMITED"/>
    <n v="1851102"/>
    <s v="GP COIL SOFT-TATXGP-GK09-0.5X1250"/>
    <s v="Z80"/>
    <m/>
    <n v="1"/>
    <n v="5"/>
    <s v="Wider"/>
    <s v="C02"/>
    <s v="TATXGP"/>
    <s v="GK09"/>
    <n v="0.5"/>
    <n v="1250"/>
    <n v="0"/>
    <n v="58"/>
    <n v="52.91"/>
    <n v="58"/>
    <n v="5.09"/>
    <n v="1.7350000000000001"/>
    <n v="0"/>
    <m/>
    <m/>
    <n v="0"/>
    <n v="5.09"/>
    <n v="0"/>
    <n v="0"/>
    <n v="0"/>
    <n v="0"/>
    <n v="0"/>
    <n v="0"/>
    <n v="0"/>
    <n v="0.17800000000000002"/>
    <n v="0"/>
    <n v="0"/>
    <n v="0"/>
    <n v="0"/>
    <n v="0"/>
    <n v="0"/>
    <n v="0"/>
    <n v="0"/>
    <n v="0"/>
    <n v="0"/>
    <n v="0"/>
    <n v="54.645000000000003"/>
    <n v="54.823"/>
    <n v="54.823"/>
    <n v="0"/>
    <n v="54.823"/>
    <n v="1.7350000000000001"/>
    <n v="17.835000000000001"/>
    <n v="0"/>
    <n v="0"/>
    <n v="0"/>
    <n v="0"/>
    <n v="0"/>
    <n v="0"/>
    <n v="17.835000000000001"/>
    <n v="17.835000000000001"/>
    <n v="0"/>
    <n v="0"/>
    <n v="0"/>
    <n v="0"/>
    <n v="0"/>
    <n v="0"/>
    <n v="0"/>
    <n v="0"/>
    <n v="0"/>
    <n v="0"/>
    <n v="0"/>
    <m/>
    <m/>
    <m/>
    <m/>
    <m/>
    <m/>
    <m/>
    <m/>
    <m/>
    <s v="1"/>
    <s v="1"/>
    <s v="1"/>
    <s v="1"/>
    <s v="1"/>
    <m/>
    <m/>
    <m/>
    <m/>
    <m/>
    <s v="Planning delay due to RM delay"/>
    <m/>
    <m/>
    <m/>
    <m/>
    <m/>
    <m/>
    <m/>
    <m/>
  </r>
  <r>
    <n v="742"/>
    <d v="2025-01-19T00:00:00"/>
    <s v="ZBTF"/>
    <n v="4000495199"/>
    <n v="4"/>
    <s v="4000495199-4"/>
    <m/>
    <s v="No Priority"/>
    <s v="Released orders"/>
    <x v="0"/>
    <x v="9"/>
    <s v="2000-BPRS"/>
    <m/>
    <x v="1"/>
    <m/>
    <m/>
    <m/>
    <s v="South"/>
    <s v="YESHWANTHPURA"/>
    <m/>
    <n v="600103"/>
    <s v="TATA STEEL LIMITED"/>
    <n v="1250221"/>
    <s v="HR COILS-PO IS 1079 HR2 2.50X1250"/>
    <s v=" "/>
    <s v=""/>
    <n v="10"/>
    <n v="27"/>
    <s v="Wider"/>
    <n v="768"/>
    <s v="THR099"/>
    <s v="HR99"/>
    <n v="2.5"/>
    <n v="1250"/>
    <n v="0"/>
    <n v="150"/>
    <n v="144.78"/>
    <n v="101.17"/>
    <n v="101.17"/>
    <n v="24.55"/>
    <n v="76.62"/>
    <n v="77"/>
    <n v="77"/>
    <n v="24.17"/>
    <n v="5.22"/>
    <n v="0"/>
    <n v="113.31040000000002"/>
    <n v="0"/>
    <n v="0"/>
    <n v="0"/>
    <n v="0"/>
    <n v="0"/>
    <n v="0"/>
    <n v="0"/>
    <n v="0"/>
    <n v="0"/>
    <n v="0"/>
    <n v="0"/>
    <n v="0"/>
    <n v="0"/>
    <n v="0"/>
    <n v="0"/>
    <n v="0"/>
    <n v="0"/>
    <n v="0"/>
    <n v="0"/>
    <n v="0"/>
    <n v="0"/>
    <n v="77"/>
    <n v="-52.45"/>
    <n v="0"/>
    <n v="0"/>
    <n v="0"/>
    <n v="0"/>
    <n v="0"/>
    <n v="0"/>
    <n v="0"/>
    <n v="0"/>
    <n v="0"/>
    <n v="0"/>
    <n v="0"/>
    <n v="0"/>
    <n v="0"/>
    <n v="0"/>
    <n v="0"/>
    <n v="0"/>
    <n v="0"/>
    <n v="0"/>
    <n v="0"/>
    <n v="0"/>
    <m/>
    <m/>
    <m/>
    <m/>
    <m/>
    <m/>
    <m/>
    <m/>
    <m/>
    <s v="1"/>
    <s v="1"/>
    <s v="1"/>
    <s v="1"/>
    <s v="1"/>
    <m/>
    <m/>
    <m/>
    <m/>
    <m/>
    <m/>
    <m/>
    <m/>
    <m/>
    <m/>
    <m/>
    <m/>
    <m/>
    <m/>
  </r>
  <r>
    <n v="742"/>
    <d v="2025-01-19T00:00:00"/>
    <s v="ZBTF"/>
    <n v="4000495199"/>
    <n v="1"/>
    <s v="4000495199-1"/>
    <m/>
    <s v="No Priority"/>
    <s v="Released orders"/>
    <x v="0"/>
    <x v="9"/>
    <s v="2000-BPRS"/>
    <m/>
    <x v="1"/>
    <m/>
    <s v="Beyond HSM rollability"/>
    <m/>
    <s v="South"/>
    <s v="YESHWANTHPURA"/>
    <m/>
    <n v="600103"/>
    <s v="TATA STEEL LIMITED"/>
    <n v="3226987"/>
    <s v="HR COILS-PO THR099 HR99 1.90X1250"/>
    <s v=" "/>
    <s v=""/>
    <n v="10"/>
    <n v="27"/>
    <s v="Wider"/>
    <n v="768"/>
    <s v="THR099"/>
    <s v="HR99"/>
    <n v="1.9"/>
    <n v="1250"/>
    <n v="0"/>
    <n v="100"/>
    <n v="0"/>
    <n v="100"/>
    <n v="100"/>
    <n v="0"/>
    <n v="100"/>
    <n v="100"/>
    <n v="100"/>
    <n v="0"/>
    <n v="100"/>
    <n v="0"/>
    <n v="112.00000000000001"/>
    <n v="0"/>
    <n v="0"/>
    <n v="0"/>
    <n v="0"/>
    <n v="0"/>
    <n v="0"/>
    <n v="0"/>
    <n v="0"/>
    <n v="0"/>
    <n v="0"/>
    <n v="0"/>
    <n v="0"/>
    <n v="0"/>
    <n v="0"/>
    <n v="0"/>
    <n v="0"/>
    <n v="0"/>
    <n v="0"/>
    <n v="0"/>
    <n v="0"/>
    <n v="0"/>
    <n v="100"/>
    <n v="-100"/>
    <n v="0"/>
    <n v="0"/>
    <n v="0"/>
    <n v="0"/>
    <n v="0"/>
    <n v="0"/>
    <n v="0"/>
    <n v="0"/>
    <n v="0"/>
    <n v="0"/>
    <n v="0"/>
    <n v="0"/>
    <n v="0"/>
    <n v="0"/>
    <n v="0"/>
    <n v="0"/>
    <n v="0"/>
    <n v="0"/>
    <n v="0"/>
    <n v="0"/>
    <m/>
    <m/>
    <m/>
    <m/>
    <m/>
    <m/>
    <m/>
    <m/>
    <m/>
    <s v="1"/>
    <s v="1"/>
    <s v="1"/>
    <s v="1"/>
    <s v="1"/>
    <m/>
    <m/>
    <m/>
    <m/>
    <m/>
    <m/>
    <m/>
    <m/>
    <m/>
    <m/>
    <m/>
    <m/>
    <m/>
    <m/>
  </r>
  <r>
    <n v="742"/>
    <d v="2025-01-19T00:00:00"/>
    <s v="ZBTF"/>
    <n v="4000495199"/>
    <n v="2"/>
    <s v="4000495199-2"/>
    <m/>
    <s v="Feb'25"/>
    <s v="Released orders"/>
    <x v="0"/>
    <x v="9"/>
    <s v="2000-BPRS"/>
    <m/>
    <x v="0"/>
    <m/>
    <m/>
    <m/>
    <s v="South"/>
    <s v="YESHWANTHPURA"/>
    <m/>
    <n v="600103"/>
    <s v="TATA STEEL LIMITED"/>
    <n v="1210083"/>
    <s v="HR COILS-PO IS 1079 HR2 2X1250"/>
    <s v=" "/>
    <s v=""/>
    <n v="10"/>
    <n v="27"/>
    <s v="Wider"/>
    <n v="768"/>
    <s v="THR099"/>
    <s v="HR99"/>
    <n v="2"/>
    <n v="1250"/>
    <n v="0"/>
    <n v="150"/>
    <n v="88.295000000000002"/>
    <n v="150"/>
    <n v="150"/>
    <n v="0"/>
    <n v="150"/>
    <m/>
    <m/>
    <n v="150"/>
    <n v="61.704999999999998"/>
    <n v="0"/>
    <n v="168.00000000000003"/>
    <n v="0"/>
    <n v="0"/>
    <n v="0"/>
    <n v="0"/>
    <n v="0"/>
    <n v="0"/>
    <n v="0"/>
    <n v="0"/>
    <n v="0"/>
    <n v="0"/>
    <n v="0"/>
    <n v="0"/>
    <n v="0"/>
    <n v="0"/>
    <n v="0"/>
    <n v="0"/>
    <n v="0"/>
    <n v="0"/>
    <n v="0"/>
    <n v="0"/>
    <n v="0"/>
    <n v="0"/>
    <n v="0"/>
    <n v="0"/>
    <n v="61.704999999999998"/>
    <n v="0"/>
    <n v="0"/>
    <n v="61.704999999999998"/>
    <n v="0"/>
    <n v="0"/>
    <n v="61.704999999999998"/>
    <n v="0"/>
    <n v="0"/>
    <n v="61.704999999999998"/>
    <n v="0"/>
    <n v="0"/>
    <n v="0"/>
    <n v="0"/>
    <n v="0"/>
    <n v="0"/>
    <n v="0"/>
    <n v="0"/>
    <n v="0"/>
    <m/>
    <m/>
    <m/>
    <m/>
    <m/>
    <m/>
    <m/>
    <m/>
    <m/>
    <s v="1"/>
    <s v="1"/>
    <s v="0"/>
    <s v="1"/>
    <s v="1"/>
    <m/>
    <m/>
    <m/>
    <m/>
    <m/>
    <m/>
    <m/>
    <m/>
    <m/>
    <m/>
    <m/>
    <m/>
    <m/>
    <m/>
  </r>
  <r>
    <n v="742"/>
    <d v="2025-01-19T00:00:00"/>
    <s v="ZBTF"/>
    <n v="4000495199"/>
    <n v="3"/>
    <s v="4000495199-3"/>
    <m/>
    <s v="No Priority"/>
    <s v="Released orders"/>
    <x v="0"/>
    <x v="9"/>
    <s v="2000-BPRS"/>
    <m/>
    <x v="1"/>
    <m/>
    <m/>
    <m/>
    <s v="South"/>
    <s v="YESHWANTHPURA"/>
    <m/>
    <n v="600103"/>
    <s v="TATA STEEL LIMITED"/>
    <n v="1371338"/>
    <s v="HR COILS-PO IS 1079 HR2 2.30X1250"/>
    <s v=" "/>
    <s v=""/>
    <n v="10"/>
    <n v="27"/>
    <s v="Wider"/>
    <n v="768"/>
    <s v="THR099"/>
    <s v="HR99"/>
    <n v="2.2999999999999998"/>
    <n v="1250"/>
    <n v="0"/>
    <n v="125"/>
    <n v="111.965"/>
    <n v="125"/>
    <n v="102.64"/>
    <n v="90.2"/>
    <n v="0"/>
    <n v="167"/>
    <n v="90.2"/>
    <n v="0"/>
    <n v="13.035"/>
    <n v="0"/>
    <n v="114.95680000000002"/>
    <n v="0"/>
    <n v="0"/>
    <n v="0"/>
    <n v="0"/>
    <n v="0"/>
    <n v="0"/>
    <n v="0"/>
    <n v="0"/>
    <n v="0"/>
    <n v="0"/>
    <n v="0"/>
    <n v="0"/>
    <n v="0"/>
    <n v="0"/>
    <n v="0"/>
    <n v="0"/>
    <n v="22.36"/>
    <n v="0"/>
    <n v="22.36"/>
    <n v="22.36"/>
    <n v="0"/>
    <n v="90.2"/>
    <n v="0"/>
    <n v="0"/>
    <n v="0"/>
    <n v="0"/>
    <n v="0"/>
    <n v="0"/>
    <n v="0"/>
    <n v="0"/>
    <n v="0"/>
    <n v="0"/>
    <n v="0"/>
    <n v="0"/>
    <n v="0"/>
    <n v="0"/>
    <n v="0"/>
    <n v="0"/>
    <n v="0"/>
    <n v="0"/>
    <n v="0"/>
    <n v="0"/>
    <n v="0"/>
    <m/>
    <m/>
    <m/>
    <m/>
    <m/>
    <m/>
    <m/>
    <m/>
    <m/>
    <s v="1"/>
    <s v="1"/>
    <s v="1"/>
    <s v="1"/>
    <s v="1"/>
    <m/>
    <m/>
    <m/>
    <m/>
    <m/>
    <m/>
    <m/>
    <m/>
    <m/>
    <m/>
    <m/>
    <m/>
    <m/>
    <m/>
  </r>
  <r>
    <n v="744"/>
    <d v="2025-01-31T00:00:00"/>
    <s v="ZBTO"/>
    <n v="9518483493"/>
    <n v="1"/>
    <s v="9518483493-1"/>
    <m/>
    <s v="Mar'25 additional"/>
    <s v="Released orders"/>
    <x v="4"/>
    <x v="7"/>
    <s v="1000-IPPE"/>
    <m/>
    <x v="0"/>
    <m/>
    <m/>
    <m/>
    <s v="East"/>
    <s v="GAMHARIA"/>
    <m/>
    <n v="940016"/>
    <s v="TATA BLUESCOPE STEEL PVT LTD."/>
    <n v="3797658"/>
    <s v="PPGL C Y550 ISC6 0.40BMT(0.45TPT)X1220"/>
    <s v="aZ70"/>
    <s v="PRO BLUE TSL 1913"/>
    <n v="3"/>
    <n v="5"/>
    <s v="Wider"/>
    <s v="B18"/>
    <s v="Y550PL"/>
    <s v="ISC6"/>
    <n v="0.4"/>
    <n v="1220"/>
    <n v="0"/>
    <n v="224"/>
    <n v="205.495"/>
    <n v="99.034999999999997"/>
    <n v="58.61"/>
    <n v="68.665000000000006"/>
    <n v="0"/>
    <m/>
    <n v="68.665000000000006"/>
    <n v="0"/>
    <n v="18.504999999999999"/>
    <n v="0"/>
    <n v="0"/>
    <n v="28.76"/>
    <n v="0"/>
    <n v="0"/>
    <n v="0"/>
    <n v="0"/>
    <n v="0"/>
    <n v="16.63"/>
    <n v="0"/>
    <n v="47.2"/>
    <n v="0"/>
    <n v="0"/>
    <n v="0"/>
    <n v="0"/>
    <n v="0"/>
    <n v="0"/>
    <n v="3.2250000000000001"/>
    <n v="0"/>
    <n v="22.455000000000002"/>
    <n v="118.27"/>
    <n v="118.27"/>
    <n v="0"/>
    <n v="118.27"/>
    <n v="0"/>
    <n v="64.150000000000006"/>
    <n v="18.504999999999999"/>
    <n v="0"/>
    <n v="18.504999999999999"/>
    <n v="0"/>
    <n v="0"/>
    <n v="0"/>
    <n v="82.655000000000001"/>
    <n v="0"/>
    <n v="0"/>
    <n v="82.655000000000001"/>
    <n v="0"/>
    <n v="0"/>
    <n v="0"/>
    <n v="15.765000000000001"/>
    <n v="0"/>
    <n v="15.765000000000001"/>
    <n v="0"/>
    <n v="0"/>
    <n v="0"/>
    <m/>
    <m/>
    <m/>
    <m/>
    <m/>
    <m/>
    <m/>
    <m/>
    <m/>
    <s v="1"/>
    <s v="0"/>
    <s v="1"/>
    <s v="1"/>
    <s v="1"/>
    <m/>
    <m/>
    <m/>
    <m/>
    <m/>
    <m/>
    <m/>
    <m/>
    <m/>
    <m/>
    <m/>
    <m/>
    <m/>
    <m/>
  </r>
  <r>
    <n v="744"/>
    <d v="2025-01-31T00:00:00"/>
    <s v="ZBTO"/>
    <n v="9518482230"/>
    <n v="2"/>
    <s v="9518482230-2"/>
    <m/>
    <s v="Stocks"/>
    <s v="Released orders"/>
    <x v="4"/>
    <x v="7"/>
    <s v="1000-IPPE"/>
    <m/>
    <x v="0"/>
    <m/>
    <m/>
    <m/>
    <s v="TBSPL"/>
    <s v=" "/>
    <m/>
    <n v="941597"/>
    <s v="TATA BLUESCOPE STEEL PRIVATE LIMITE"/>
    <n v="1633706"/>
    <s v="PPGL C Y550 HPL3 0.42BMT(0.50TPT)X1220"/>
    <s v="AZ150"/>
    <s v="SUPREME MAROON TSL 283"/>
    <n v="3"/>
    <n v="5"/>
    <s v="Wider"/>
    <s v="B18"/>
    <s v="Y550PL"/>
    <s v="HPL3"/>
    <n v="0.42"/>
    <n v="1220"/>
    <n v="0"/>
    <n v="84"/>
    <n v="48.234999999999999"/>
    <n v="35.765000000000001"/>
    <n v="35.765000000000001"/>
    <n v="32.685000000000002"/>
    <n v="0"/>
    <m/>
    <n v="32.685000000000002"/>
    <n v="0"/>
    <n v="35.765000000000001"/>
    <n v="0"/>
    <n v="0"/>
    <n v="28.7"/>
    <n v="0"/>
    <n v="0"/>
    <n v="0"/>
    <n v="0"/>
    <n v="0"/>
    <n v="0"/>
    <n v="0"/>
    <n v="5.65"/>
    <n v="0"/>
    <n v="0"/>
    <n v="0"/>
    <n v="0"/>
    <n v="0"/>
    <n v="0"/>
    <n v="0"/>
    <n v="0"/>
    <n v="0"/>
    <n v="34.35"/>
    <n v="34.35"/>
    <n v="0"/>
    <n v="34.35"/>
    <n v="0"/>
    <n v="17.399999999999999"/>
    <n v="0"/>
    <n v="0"/>
    <n v="0"/>
    <n v="0"/>
    <n v="0"/>
    <n v="0"/>
    <n v="17.399999999999999"/>
    <n v="0"/>
    <n v="17.399999999999999"/>
    <n v="0"/>
    <n v="0"/>
    <n v="0"/>
    <n v="0"/>
    <n v="31.765000000000001"/>
    <n v="0"/>
    <n v="0"/>
    <n v="0"/>
    <n v="0"/>
    <n v="0"/>
    <m/>
    <m/>
    <m/>
    <m/>
    <m/>
    <m/>
    <m/>
    <m/>
    <m/>
    <s v="1"/>
    <s v="1"/>
    <s v="1"/>
    <s v="1"/>
    <s v="1"/>
    <m/>
    <m/>
    <m/>
    <m/>
    <m/>
    <s v="Process delay at CCL"/>
    <m/>
    <m/>
    <m/>
    <m/>
    <m/>
    <m/>
    <m/>
    <m/>
  </r>
  <r>
    <n v="744"/>
    <d v="2025-01-31T00:00:00"/>
    <s v="ZBTO"/>
    <n v="9518482230"/>
    <n v="3"/>
    <s v="9518482230-3"/>
    <m/>
    <s v="Stocks"/>
    <s v="Released orders"/>
    <x v="4"/>
    <x v="7"/>
    <s v="1000-IPPE"/>
    <m/>
    <x v="0"/>
    <m/>
    <m/>
    <m/>
    <s v="TBSPL"/>
    <s v=" "/>
    <m/>
    <n v="941597"/>
    <s v="TATA BLUESCOPE STEEL PRIVATE LIMITE"/>
    <n v="1633706"/>
    <s v="PPGL C Y550 HPL3 0.42BMT(0.50TPT)X1220"/>
    <s v="AZ150"/>
    <s v="RAL 9002 TSL 142A"/>
    <n v="3"/>
    <n v="5"/>
    <s v="Wider"/>
    <s v="B18"/>
    <s v="Y550PL"/>
    <s v="HPL3"/>
    <n v="0.42"/>
    <n v="1220"/>
    <n v="0"/>
    <n v="195.99"/>
    <n v="195.10499999999999"/>
    <n v="41.2"/>
    <n v="5.15"/>
    <n v="4.2649999999999997"/>
    <n v="0"/>
    <m/>
    <m/>
    <n v="0"/>
    <n v="0.88500000000000001"/>
    <n v="0"/>
    <n v="0"/>
    <n v="0"/>
    <n v="0"/>
    <n v="0"/>
    <n v="0"/>
    <n v="0"/>
    <n v="0"/>
    <n v="0"/>
    <n v="0"/>
    <n v="1.1599999999999999"/>
    <n v="0"/>
    <n v="0"/>
    <n v="0"/>
    <n v="0"/>
    <n v="0"/>
    <n v="40.315000000000005"/>
    <n v="0"/>
    <n v="0"/>
    <n v="0"/>
    <n v="41.475000000000001"/>
    <n v="41.475000000000001"/>
    <n v="0"/>
    <n v="41.475000000000001"/>
    <n v="4.2649999999999997"/>
    <n v="4.2649999999999997"/>
    <n v="0"/>
    <n v="0"/>
    <n v="0"/>
    <n v="0"/>
    <n v="0"/>
    <n v="0"/>
    <n v="4.2649999999999997"/>
    <n v="0"/>
    <n v="4.2649999999999997"/>
    <n v="0"/>
    <n v="0"/>
    <n v="0"/>
    <n v="0"/>
    <n v="42.67"/>
    <n v="0"/>
    <n v="0"/>
    <n v="0"/>
    <n v="0"/>
    <n v="0"/>
    <m/>
    <m/>
    <m/>
    <m/>
    <m/>
    <m/>
    <m/>
    <m/>
    <m/>
    <s v="1"/>
    <s v="1"/>
    <s v="1"/>
    <s v="1"/>
    <s v="1"/>
    <m/>
    <m/>
    <m/>
    <m/>
    <m/>
    <m/>
    <m/>
    <m/>
    <m/>
    <m/>
    <m/>
    <m/>
    <m/>
    <m/>
  </r>
  <r>
    <n v="743"/>
    <d v="2025-02-10T00:00:00"/>
    <s v="ZBTO"/>
    <n v="9518507255"/>
    <n v="1"/>
    <s v="9518507255-1"/>
    <m/>
    <s v="Mar'25"/>
    <s v="Released orders"/>
    <x v="2"/>
    <x v="6"/>
    <s v="2000-BPRS"/>
    <m/>
    <x v="0"/>
    <m/>
    <m/>
    <m/>
    <m/>
    <s v="URLA"/>
    <m/>
    <n v="139336"/>
    <s v="PASA ASSOCIATES PRIVATE LIMITED"/>
    <n v="1854399"/>
    <s v="GP COIL SOFT-TATXGP-GK09-0.35X1220"/>
    <s v="Z80"/>
    <s v=""/>
    <n v="3"/>
    <n v="5"/>
    <s v="Wider"/>
    <s v="C02"/>
    <s v="TATXGP"/>
    <s v="GK09"/>
    <n v="0.35"/>
    <n v="1220"/>
    <n v="0"/>
    <n v="56"/>
    <n v="18.734999999999999"/>
    <n v="56"/>
    <n v="56"/>
    <n v="0"/>
    <n v="56"/>
    <m/>
    <m/>
    <n v="56"/>
    <n v="37.265000000000001"/>
    <n v="0"/>
    <n v="62.720000000000006"/>
    <n v="0"/>
    <n v="0"/>
    <n v="0"/>
    <n v="0"/>
    <n v="0"/>
    <n v="0"/>
    <n v="0"/>
    <n v="0"/>
    <n v="0"/>
    <n v="0"/>
    <n v="0"/>
    <n v="0"/>
    <n v="0"/>
    <n v="0"/>
    <n v="0"/>
    <n v="0"/>
    <n v="0"/>
    <n v="0"/>
    <n v="0"/>
    <n v="0"/>
    <n v="0"/>
    <n v="0"/>
    <n v="0"/>
    <n v="13.975"/>
    <n v="37.265000000000001"/>
    <n v="0"/>
    <n v="0"/>
    <n v="0"/>
    <n v="37.265000000000001"/>
    <n v="0"/>
    <n v="51.24"/>
    <n v="0"/>
    <n v="0"/>
    <n v="0"/>
    <n v="0"/>
    <n v="51.24"/>
    <n v="0"/>
    <m/>
    <m/>
    <m/>
    <m/>
    <m/>
    <m/>
    <m/>
    <m/>
    <m/>
    <m/>
    <m/>
    <m/>
    <m/>
    <m/>
    <m/>
    <m/>
    <m/>
    <m/>
    <m/>
    <m/>
    <m/>
    <m/>
    <m/>
    <m/>
    <m/>
    <m/>
    <m/>
    <m/>
    <m/>
    <m/>
    <m/>
    <m/>
    <m/>
    <m/>
  </r>
  <r>
    <n v="743"/>
    <d v="2025-01-21T00:00:00"/>
    <s v="ZBTO"/>
    <n v="9518446974"/>
    <n v="2"/>
    <s v="9518446974-2"/>
    <m/>
    <s v="Stocks"/>
    <s v="Released orders"/>
    <x v="2"/>
    <x v="6"/>
    <n v="2000"/>
    <m/>
    <x v="0"/>
    <m/>
    <m/>
    <s v="MP"/>
    <s v="West"/>
    <m/>
    <m/>
    <n v="944695"/>
    <s v="ANM ISPAT PRIVATE LIMITED"/>
    <n v="1851091"/>
    <s v="GP COIL SOFT-TATXGP-GK09-0.4X1250"/>
    <n v="80"/>
    <m/>
    <m/>
    <m/>
    <s v="Wider"/>
    <s v="C02"/>
    <s v="TATXGP"/>
    <s v="GK09"/>
    <n v="0.4"/>
    <n v="1250"/>
    <n v="0"/>
    <n v="29"/>
    <n v="22.1"/>
    <n v="29"/>
    <n v="29"/>
    <n v="28.27"/>
    <n v="0"/>
    <m/>
    <n v="28.27"/>
    <n v="0"/>
    <n v="6.9"/>
    <n v="0"/>
    <n v="0"/>
    <n v="0"/>
    <n v="28.71"/>
    <n v="0"/>
    <n v="0"/>
    <n v="0"/>
    <n v="0"/>
    <n v="0"/>
    <n v="0"/>
    <n v="0"/>
    <n v="0"/>
    <n v="0"/>
    <n v="0"/>
    <n v="0"/>
    <n v="0"/>
    <n v="0"/>
    <n v="0"/>
    <n v="0"/>
    <n v="0"/>
    <n v="28.71"/>
    <n v="28.71"/>
    <n v="0"/>
    <n v="28.27"/>
    <n v="0"/>
    <n v="22.1"/>
    <n v="0"/>
    <n v="0"/>
    <n v="0"/>
    <n v="0"/>
    <n v="0"/>
    <n v="0"/>
    <n v="22.1"/>
    <n v="22.1"/>
    <n v="0"/>
    <n v="0"/>
    <n v="0"/>
    <n v="0"/>
    <n v="0"/>
    <n v="0"/>
    <n v="0"/>
    <n v="0"/>
    <n v="0"/>
    <n v="0"/>
    <n v="0"/>
    <m/>
    <m/>
    <m/>
    <m/>
    <m/>
    <m/>
    <m/>
    <m/>
    <m/>
    <s v="1"/>
    <s v="1"/>
    <s v="1"/>
    <s v="1"/>
    <s v="1"/>
    <m/>
    <m/>
    <m/>
    <m/>
    <m/>
    <s v="Planning delay due to RM delay"/>
    <m/>
    <m/>
    <m/>
    <m/>
    <m/>
    <m/>
    <m/>
    <m/>
  </r>
  <r>
    <n v="742"/>
    <d v="2024-12-19T00:00:00"/>
    <s v="ZBTO"/>
    <n v="9518356689"/>
    <n v="21"/>
    <s v="9518356689-21"/>
    <m/>
    <s v="Feb'25"/>
    <s v="Released orders"/>
    <x v="1"/>
    <x v="1"/>
    <n v="2000"/>
    <m/>
    <x v="0"/>
    <s v="Mar"/>
    <m/>
    <s v="TN"/>
    <s v="South"/>
    <m/>
    <m/>
    <n v="938550"/>
    <s v="BASEER AND CO"/>
    <n v="3239539"/>
    <s v="CRCA SHEET TATCRC SR16 0.350X1000X1980"/>
    <n v="80"/>
    <m/>
    <m/>
    <m/>
    <s v="Narrow"/>
    <s v="C06"/>
    <s v="TATCRC"/>
    <s v="SR16"/>
    <n v="0.35"/>
    <n v="1000"/>
    <n v="1980"/>
    <n v="45"/>
    <n v="0"/>
    <n v="45"/>
    <n v="45"/>
    <n v="0"/>
    <n v="45"/>
    <m/>
    <m/>
    <n v="45"/>
    <n v="45"/>
    <n v="0"/>
    <n v="50.400000000000006"/>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16T00:00:00"/>
    <s v="ZBTO"/>
    <n v="9518433421"/>
    <n v="16"/>
    <s v="9518433421-16"/>
    <m/>
    <s v="Feb'25"/>
    <s v="Released orders"/>
    <x v="1"/>
    <x v="1"/>
    <n v="2000"/>
    <m/>
    <x v="1"/>
    <m/>
    <s v="De-prioritized due to narrow HR unavailability"/>
    <s v="TN"/>
    <s v="South"/>
    <m/>
    <m/>
    <n v="938550"/>
    <s v="BASEER AND CO"/>
    <n v="3239408"/>
    <s v="CRCA SHEET TATCRC SR16 0.300X900X2500"/>
    <s v=""/>
    <m/>
    <m/>
    <m/>
    <s v="Narrow"/>
    <s v="C06"/>
    <s v="TATCRC"/>
    <s v="SR16"/>
    <n v="0.3"/>
    <n v="900"/>
    <n v="2500"/>
    <n v="63"/>
    <n v="36.685000000000002"/>
    <n v="63"/>
    <n v="45.594999999999999"/>
    <n v="40.854999999999997"/>
    <n v="0"/>
    <m/>
    <n v="19.440000000000001"/>
    <n v="26.154999999999998"/>
    <n v="26.315000000000001"/>
    <n v="0"/>
    <n v="3.3263999999999991"/>
    <n v="0"/>
    <n v="0"/>
    <n v="0"/>
    <n v="0"/>
    <n v="0"/>
    <n v="0"/>
    <n v="0"/>
    <n v="0"/>
    <n v="0"/>
    <n v="0"/>
    <n v="0"/>
    <n v="40.590000000000003"/>
    <n v="0"/>
    <n v="19.440000000000001"/>
    <n v="0"/>
    <n v="0"/>
    <n v="0"/>
    <n v="0"/>
    <n v="60.03"/>
    <n v="60.03"/>
    <n v="0"/>
    <n v="60.03"/>
    <n v="21.414999999999996"/>
    <n v="0"/>
    <n v="0"/>
    <n v="0"/>
    <n v="0"/>
    <n v="0"/>
    <n v="0"/>
    <n v="0"/>
    <n v="0"/>
    <n v="0"/>
    <n v="0"/>
    <n v="0"/>
    <n v="0"/>
    <n v="0"/>
    <n v="0"/>
    <n v="0"/>
    <n v="0"/>
    <n v="0"/>
    <n v="0"/>
    <n v="0"/>
    <n v="0"/>
    <m/>
    <m/>
    <m/>
    <m/>
    <m/>
    <m/>
    <m/>
    <m/>
    <m/>
    <s v="1"/>
    <s v="1"/>
    <s v="1"/>
    <s v="1"/>
    <s v="1"/>
    <m/>
    <m/>
    <m/>
    <m/>
    <m/>
    <m/>
    <m/>
    <m/>
    <m/>
    <m/>
    <m/>
    <m/>
    <m/>
    <m/>
  </r>
  <r>
    <n v="742"/>
    <d v="2025-01-16T00:00:00"/>
    <s v="ZBTO"/>
    <n v="9518433421"/>
    <n v="18"/>
    <s v="9518433421-18"/>
    <m/>
    <s v="Feb'25"/>
    <s v="Released orders"/>
    <x v="1"/>
    <x v="1"/>
    <n v="2000"/>
    <m/>
    <x v="0"/>
    <s v="Mar"/>
    <m/>
    <s v="TN"/>
    <s v="South"/>
    <m/>
    <m/>
    <n v="938550"/>
    <s v="BASEER AND CO"/>
    <n v="3239539"/>
    <s v="CRCA SHEET TATCRC SR16 0.350X1000X1980"/>
    <s v=""/>
    <m/>
    <m/>
    <m/>
    <s v="Narrow"/>
    <s v="C06"/>
    <s v="TATCRC"/>
    <s v="SR16"/>
    <n v="0.35"/>
    <n v="1000"/>
    <n v="1980"/>
    <n v="90"/>
    <n v="0"/>
    <n v="90"/>
    <n v="90"/>
    <n v="0"/>
    <n v="90"/>
    <m/>
    <m/>
    <n v="90"/>
    <n v="90"/>
    <n v="0"/>
    <n v="100.80000000000001"/>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16T00:00:00"/>
    <s v="ZBTO"/>
    <n v="9518433421"/>
    <n v="19"/>
    <s v="9518433421-19"/>
    <m/>
    <s v="Feb'25"/>
    <s v="Released orders"/>
    <x v="1"/>
    <x v="1"/>
    <n v="2000"/>
    <m/>
    <x v="0"/>
    <s v="Mar"/>
    <m/>
    <s v="TN"/>
    <s v="South"/>
    <m/>
    <m/>
    <n v="938550"/>
    <s v="BASEER AND CO"/>
    <n v="3239552"/>
    <s v="CRCA SHEET TATCRC SR16 0.400X1000X1980"/>
    <s v=""/>
    <m/>
    <m/>
    <m/>
    <s v="Narrow"/>
    <s v="C06"/>
    <s v="TATCRC"/>
    <s v="SR16"/>
    <n v="0.4"/>
    <n v="1000"/>
    <n v="1980"/>
    <n v="69"/>
    <n v="0"/>
    <n v="69"/>
    <n v="69"/>
    <n v="0"/>
    <n v="69"/>
    <m/>
    <m/>
    <n v="69"/>
    <n v="69"/>
    <n v="0"/>
    <n v="77.28"/>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14T00:00:00"/>
    <s v="ZBTO"/>
    <n v="9518429066"/>
    <n v="5"/>
    <s v="9518429066-5"/>
    <m/>
    <s v="Feb'25"/>
    <s v="Released orders"/>
    <x v="1"/>
    <x v="1"/>
    <n v="2000"/>
    <m/>
    <x v="0"/>
    <s v="Mar"/>
    <m/>
    <s v="OR"/>
    <s v="East"/>
    <m/>
    <m/>
    <n v="117061"/>
    <s v="BHARTIA  DISTRIBUTORS PVT. LTD"/>
    <n v="3239567"/>
    <s v="CRCA SHEET TATCRC SR16 0.450X1000X2500"/>
    <s v=""/>
    <m/>
    <m/>
    <m/>
    <s v="Narrow"/>
    <s v="C06"/>
    <s v="TATCRC"/>
    <s v="SR16"/>
    <n v="0.45"/>
    <n v="1000"/>
    <n v="2500"/>
    <n v="51"/>
    <n v="0"/>
    <n v="51"/>
    <n v="51"/>
    <n v="0"/>
    <n v="51"/>
    <m/>
    <m/>
    <n v="51"/>
    <n v="51"/>
    <n v="0"/>
    <n v="57.120000000000005"/>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14T00:00:00"/>
    <s v="ZBTO"/>
    <n v="9518429066"/>
    <n v="6"/>
    <s v="9518429066-6"/>
    <m/>
    <s v="Feb'25"/>
    <s v="Released orders"/>
    <x v="1"/>
    <x v="1"/>
    <n v="2000"/>
    <m/>
    <x v="0"/>
    <s v="Mar"/>
    <m/>
    <s v="OR"/>
    <s v="East"/>
    <m/>
    <m/>
    <n v="117061"/>
    <s v="BHARTIA  DISTRIBUTORS PVT. LTD"/>
    <n v="3240778"/>
    <s v="CRCA SHEET TSBCRC SR15 0.600X1000X2500"/>
    <s v=""/>
    <m/>
    <m/>
    <m/>
    <s v="Narrow"/>
    <s v="C06"/>
    <s v="TSBCRC"/>
    <s v="SR15"/>
    <n v="0.6"/>
    <n v="1000"/>
    <n v="2500"/>
    <n v="24"/>
    <n v="0"/>
    <n v="24"/>
    <n v="24"/>
    <n v="22.02"/>
    <n v="0"/>
    <m/>
    <n v="0"/>
    <n v="24"/>
    <n v="24"/>
    <n v="0"/>
    <n v="1.5623999999999996"/>
    <n v="0"/>
    <n v="0"/>
    <n v="0"/>
    <n v="0"/>
    <n v="0"/>
    <n v="0"/>
    <n v="0"/>
    <n v="0"/>
    <n v="0"/>
    <n v="22.605"/>
    <n v="0"/>
    <n v="0"/>
    <n v="0"/>
    <n v="0"/>
    <n v="0"/>
    <n v="0"/>
    <n v="0"/>
    <n v="0"/>
    <n v="22.605"/>
    <n v="0"/>
    <n v="0"/>
    <n v="0"/>
    <n v="22.02"/>
    <n v="0"/>
    <n v="24"/>
    <n v="0"/>
    <n v="0"/>
    <n v="24"/>
    <n v="0"/>
    <n v="0"/>
    <n v="24"/>
    <n v="0"/>
    <n v="0"/>
    <n v="24"/>
    <n v="0"/>
    <n v="0"/>
    <n v="0"/>
    <n v="0"/>
    <n v="0"/>
    <n v="0"/>
    <n v="0"/>
    <n v="0"/>
    <n v="0"/>
    <m/>
    <m/>
    <m/>
    <m/>
    <m/>
    <m/>
    <m/>
    <m/>
    <m/>
    <s v="1"/>
    <s v="1"/>
    <s v="0"/>
    <s v="1"/>
    <s v="1"/>
    <m/>
    <m/>
    <m/>
    <m/>
    <m/>
    <m/>
    <m/>
    <m/>
    <m/>
    <m/>
    <m/>
    <m/>
    <m/>
    <m/>
  </r>
  <r>
    <n v="742"/>
    <d v="2024-12-19T00:00:00"/>
    <s v="ZBTO"/>
    <n v="9518356253"/>
    <n v="4"/>
    <s v="9518356253-4"/>
    <m/>
    <s v="No Priority"/>
    <s v="Released orders"/>
    <x v="1"/>
    <x v="1"/>
    <n v="2000"/>
    <m/>
    <x v="1"/>
    <s v="Mar"/>
    <m/>
    <s v="BH"/>
    <s v="East"/>
    <m/>
    <m/>
    <n v="103227"/>
    <s v="BMW VENTURES LIMITED"/>
    <n v="3239554"/>
    <s v="CRCA SHEET TATCRC SR16 0.400X1000X2500"/>
    <s v=""/>
    <m/>
    <m/>
    <m/>
    <s v="Narrow"/>
    <s v="C06"/>
    <s v="TATCRC"/>
    <s v="SR16"/>
    <n v="0.4"/>
    <n v="1000"/>
    <n v="2500"/>
    <n v="48"/>
    <n v="20.385000000000002"/>
    <n v="27.614999999999998"/>
    <n v="27.614999999999998"/>
    <n v="0"/>
    <n v="27.614999999999998"/>
    <m/>
    <m/>
    <n v="27.614999999999998"/>
    <n v="0"/>
    <n v="0"/>
    <n v="30.928800000000003"/>
    <n v="0"/>
    <n v="0"/>
    <n v="0"/>
    <n v="0"/>
    <n v="0"/>
    <n v="0"/>
    <n v="0"/>
    <n v="0"/>
    <n v="0"/>
    <n v="0"/>
    <n v="0"/>
    <n v="0"/>
    <n v="0"/>
    <n v="0"/>
    <n v="0"/>
    <n v="0"/>
    <n v="0"/>
    <n v="0"/>
    <n v="0"/>
    <n v="0"/>
    <n v="0"/>
    <n v="0"/>
    <n v="0"/>
    <n v="0"/>
    <n v="0"/>
    <n v="0"/>
    <n v="0"/>
    <n v="0"/>
    <n v="0"/>
    <n v="0"/>
    <n v="0"/>
    <n v="0"/>
    <n v="0"/>
    <n v="0"/>
    <n v="0"/>
    <n v="0"/>
    <n v="0"/>
    <n v="20.385000000000002"/>
    <n v="0"/>
    <n v="0"/>
    <n v="0"/>
    <n v="0"/>
    <n v="0"/>
    <m/>
    <m/>
    <m/>
    <m/>
    <m/>
    <m/>
    <m/>
    <m/>
    <m/>
    <s v="1"/>
    <s v="1"/>
    <s v="1"/>
    <s v="1"/>
    <s v="1"/>
    <m/>
    <m/>
    <m/>
    <m/>
    <m/>
    <m/>
    <m/>
    <m/>
    <m/>
    <m/>
    <m/>
    <m/>
    <m/>
    <m/>
  </r>
  <r>
    <n v="743"/>
    <d v="2025-01-22T00:00:00"/>
    <s v="ZBTO"/>
    <n v="9518450786"/>
    <n v="2"/>
    <s v="9518450786-2"/>
    <m/>
    <s v="Stocks"/>
    <s v="Released orders"/>
    <x v="2"/>
    <x v="10"/>
    <n v="2000"/>
    <m/>
    <x v="0"/>
    <m/>
    <m/>
    <s v="BH"/>
    <s v="East"/>
    <m/>
    <m/>
    <n v="931671"/>
    <s v="BMW VENTURES LIMITED"/>
    <n v="3767014"/>
    <s v="GP COIL TATGPH GP02 0.400X1350"/>
    <s v=""/>
    <m/>
    <m/>
    <m/>
    <s v="Wider"/>
    <s v="C05"/>
    <s v="TATGPH"/>
    <s v="GP02"/>
    <n v="0.4"/>
    <n v="1350"/>
    <n v="0"/>
    <n v="155"/>
    <n v="136.63999999999999"/>
    <n v="155"/>
    <n v="54.75"/>
    <n v="45.954999999999998"/>
    <n v="0"/>
    <m/>
    <n v="45.954999999999998"/>
    <n v="0"/>
    <n v="0"/>
    <n v="0"/>
    <n v="0"/>
    <n v="0"/>
    <n v="0"/>
    <n v="89.76"/>
    <n v="0"/>
    <n v="0"/>
    <n v="58.525000000000006"/>
    <n v="0"/>
    <n v="0"/>
    <n v="0"/>
    <n v="0"/>
    <n v="0"/>
    <n v="0"/>
    <n v="0"/>
    <n v="0"/>
    <n v="0"/>
    <n v="0"/>
    <n v="0"/>
    <n v="0"/>
    <n v="148.28500000000003"/>
    <n v="148.28500000000003"/>
    <n v="0"/>
    <n v="45.954999999999998"/>
    <n v="0"/>
    <n v="103.19500000000002"/>
    <n v="0"/>
    <n v="0"/>
    <n v="0"/>
    <n v="0"/>
    <n v="0"/>
    <n v="0"/>
    <n v="103.19500000000002"/>
    <n v="103.19500000000002"/>
    <n v="0"/>
    <n v="0"/>
    <n v="0"/>
    <n v="0"/>
    <n v="0"/>
    <n v="0"/>
    <n v="0"/>
    <n v="0"/>
    <n v="0"/>
    <n v="0"/>
    <n v="0"/>
    <m/>
    <m/>
    <m/>
    <m/>
    <m/>
    <m/>
    <m/>
    <m/>
    <m/>
    <s v="1"/>
    <s v="1"/>
    <s v="1"/>
    <s v="1"/>
    <s v="1"/>
    <m/>
    <m/>
    <m/>
    <m/>
    <m/>
    <m/>
    <m/>
    <m/>
    <m/>
    <m/>
    <m/>
    <m/>
    <m/>
    <m/>
  </r>
  <r>
    <n v="742"/>
    <d v="2025-01-02T00:00:00"/>
    <s v="ZBTO"/>
    <n v="9518400614"/>
    <n v="9"/>
    <s v="9518400614-9"/>
    <m/>
    <s v="Mar'25"/>
    <s v="Released orders"/>
    <x v="1"/>
    <x v="1"/>
    <n v="2000"/>
    <m/>
    <x v="0"/>
    <s v="Mar"/>
    <m/>
    <s v="KER"/>
    <s v="South"/>
    <m/>
    <m/>
    <n v="116650"/>
    <s v="Kummenchery Steels,"/>
    <n v="3239538"/>
    <s v="CRCA SHEET TATCRC SR16 0.350X1000X1910"/>
    <s v=""/>
    <m/>
    <m/>
    <m/>
    <s v="Narrow"/>
    <s v="C06"/>
    <s v="TATCRC"/>
    <s v="SR16"/>
    <n v="0.35"/>
    <n v="1000"/>
    <n v="1910"/>
    <n v="21"/>
    <n v="0"/>
    <n v="21"/>
    <n v="21"/>
    <n v="0"/>
    <n v="21"/>
    <m/>
    <m/>
    <n v="21"/>
    <n v="21"/>
    <n v="0"/>
    <n v="23.520000000000003"/>
    <n v="0"/>
    <n v="0"/>
    <n v="0"/>
    <n v="0"/>
    <n v="0"/>
    <n v="0"/>
    <n v="0"/>
    <n v="0"/>
    <n v="0"/>
    <n v="0"/>
    <n v="0"/>
    <n v="0"/>
    <n v="0"/>
    <n v="0"/>
    <n v="0"/>
    <n v="0"/>
    <n v="0"/>
    <n v="0"/>
    <n v="0"/>
    <n v="0"/>
    <n v="0"/>
    <n v="0"/>
    <n v="0"/>
    <n v="0"/>
    <n v="21"/>
    <n v="0"/>
    <n v="0"/>
    <n v="0"/>
    <n v="0"/>
    <n v="21"/>
    <n v="21"/>
    <n v="0"/>
    <n v="0"/>
    <n v="0"/>
    <n v="0"/>
    <n v="21"/>
    <n v="0"/>
    <n v="0"/>
    <n v="0"/>
    <n v="0"/>
    <n v="0"/>
    <n v="0"/>
    <n v="0"/>
    <m/>
    <m/>
    <m/>
    <m/>
    <m/>
    <m/>
    <m/>
    <m/>
    <m/>
    <s v="1"/>
    <s v="1"/>
    <s v="1"/>
    <s v="1"/>
    <s v="0"/>
    <m/>
    <m/>
    <m/>
    <m/>
    <m/>
    <m/>
    <m/>
    <m/>
    <m/>
    <m/>
    <m/>
    <m/>
    <m/>
    <m/>
  </r>
  <r>
    <n v="742"/>
    <d v="2025-01-02T00:00:00"/>
    <s v="ZBTO"/>
    <n v="9518400614"/>
    <n v="10"/>
    <s v="9518400614-10"/>
    <m/>
    <s v="Mar'25"/>
    <s v="Released orders"/>
    <x v="1"/>
    <x v="1"/>
    <n v="2000"/>
    <m/>
    <x v="0"/>
    <s v="Mar"/>
    <m/>
    <s v="KER"/>
    <s v="South"/>
    <m/>
    <m/>
    <n v="116650"/>
    <s v="Kummenchery Steels,"/>
    <n v="3239551"/>
    <s v="CRCA SHEET TATCRC SR16 0.400X1000X1910"/>
    <s v=""/>
    <m/>
    <m/>
    <m/>
    <s v="Narrow"/>
    <s v="C06"/>
    <s v="TATCRC"/>
    <s v="SR16"/>
    <n v="0.4"/>
    <n v="1000"/>
    <n v="1910"/>
    <n v="21"/>
    <n v="0"/>
    <n v="21"/>
    <n v="21"/>
    <n v="0"/>
    <n v="21"/>
    <m/>
    <m/>
    <n v="21"/>
    <n v="21"/>
    <n v="0"/>
    <n v="23.520000000000003"/>
    <n v="0"/>
    <n v="0"/>
    <n v="0"/>
    <n v="0"/>
    <n v="0"/>
    <n v="0"/>
    <n v="0"/>
    <n v="0"/>
    <n v="0"/>
    <n v="0"/>
    <n v="0"/>
    <n v="0"/>
    <n v="0"/>
    <n v="0"/>
    <n v="0"/>
    <n v="0"/>
    <n v="0"/>
    <n v="0"/>
    <n v="0"/>
    <n v="0"/>
    <n v="0"/>
    <n v="0"/>
    <n v="0"/>
    <n v="0"/>
    <n v="21"/>
    <n v="0"/>
    <n v="0"/>
    <n v="0"/>
    <n v="0"/>
    <n v="21"/>
    <n v="21"/>
    <n v="0"/>
    <n v="0"/>
    <n v="0"/>
    <n v="0"/>
    <n v="21"/>
    <n v="0"/>
    <n v="0"/>
    <n v="0"/>
    <n v="0"/>
    <n v="0"/>
    <n v="0"/>
    <n v="0"/>
    <m/>
    <m/>
    <m/>
    <m/>
    <m/>
    <m/>
    <m/>
    <m/>
    <m/>
    <s v="1"/>
    <s v="1"/>
    <s v="1"/>
    <s v="1"/>
    <s v="0"/>
    <m/>
    <m/>
    <m/>
    <m/>
    <m/>
    <m/>
    <m/>
    <m/>
    <m/>
    <m/>
    <m/>
    <m/>
    <m/>
    <m/>
  </r>
  <r>
    <n v="743"/>
    <d v="2025-01-17T00:00:00"/>
    <s v="ZBTO"/>
    <n v="9518436819"/>
    <n v="1"/>
    <s v="9518436819-1"/>
    <m/>
    <s v="Feb'25"/>
    <s v="Released orders"/>
    <x v="3"/>
    <x v="13"/>
    <n v="1000"/>
    <m/>
    <x v="0"/>
    <m/>
    <m/>
    <s v="TG"/>
    <s v="South"/>
    <m/>
    <m/>
    <n v="188152"/>
    <s v="Metalkraft Forming Industries"/>
    <n v="3903395"/>
    <s v="GL COIL HARD  Y550GL GL6H 0.900X1220"/>
    <s v=""/>
    <m/>
    <m/>
    <m/>
    <s v="Wider"/>
    <s v="B04"/>
    <s v="Y550GL"/>
    <s v="GL6H"/>
    <n v="0.9"/>
    <n v="1220"/>
    <n v="0"/>
    <n v="251"/>
    <n v="230.97"/>
    <n v="20.03"/>
    <n v="20.03"/>
    <n v="19.785"/>
    <n v="0.245"/>
    <m/>
    <m/>
    <n v="20.03"/>
    <n v="20.03"/>
    <n v="0"/>
    <n v="0"/>
    <n v="0"/>
    <n v="0"/>
    <n v="0"/>
    <n v="0"/>
    <n v="0"/>
    <n v="0"/>
    <n v="8.0250000000000004"/>
    <n v="0"/>
    <n v="0"/>
    <n v="0"/>
    <n v="0"/>
    <n v="0"/>
    <n v="0"/>
    <n v="0"/>
    <n v="0"/>
    <n v="0"/>
    <n v="0"/>
    <n v="11.76"/>
    <n v="19.785"/>
    <n v="19.785"/>
    <n v="0"/>
    <n v="19.785"/>
    <n v="19.785"/>
    <n v="8.69"/>
    <n v="20.03"/>
    <n v="0"/>
    <n v="20.03"/>
    <n v="0"/>
    <n v="0"/>
    <n v="0"/>
    <n v="28.72"/>
    <n v="0"/>
    <n v="0"/>
    <n v="28.72"/>
    <n v="0"/>
    <n v="0"/>
    <n v="0"/>
    <n v="0"/>
    <n v="0"/>
    <n v="0"/>
    <n v="0"/>
    <n v="0"/>
    <n v="0"/>
    <m/>
    <m/>
    <m/>
    <m/>
    <m/>
    <m/>
    <m/>
    <m/>
    <m/>
    <s v="1"/>
    <s v="0"/>
    <s v="1"/>
    <s v="1"/>
    <s v="1"/>
    <m/>
    <m/>
    <m/>
    <m/>
    <m/>
    <m/>
    <m/>
    <m/>
    <m/>
    <m/>
    <m/>
    <m/>
    <m/>
    <m/>
  </r>
  <r>
    <n v="743"/>
    <d v="2025-01-17T00:00:00"/>
    <s v="ZBTO"/>
    <n v="9518436819"/>
    <n v="4"/>
    <s v="9518436819-4"/>
    <m/>
    <s v="No Priority"/>
    <s v="Released orders"/>
    <x v="3"/>
    <x v="13"/>
    <n v="1000"/>
    <m/>
    <x v="1"/>
    <m/>
    <m/>
    <s v="TG"/>
    <s v="South"/>
    <m/>
    <m/>
    <n v="188152"/>
    <s v="Metalkraft Forming Industries"/>
    <n v="3903395"/>
    <s v="GL COIL HARD  Y550GL GL6H 0.900X1220"/>
    <n v="150"/>
    <m/>
    <m/>
    <m/>
    <s v="Wider"/>
    <s v="B04"/>
    <s v="Y550GL"/>
    <s v="GL6H"/>
    <n v="0.9"/>
    <n v="1220"/>
    <n v="0"/>
    <n v="251"/>
    <n v="249.13"/>
    <n v="35.93"/>
    <n v="14.005000000000001"/>
    <n v="36.57"/>
    <n v="0"/>
    <m/>
    <m/>
    <n v="0"/>
    <n v="1.86"/>
    <n v="0"/>
    <n v="0"/>
    <n v="0"/>
    <n v="0"/>
    <n v="0"/>
    <n v="0"/>
    <n v="0"/>
    <n v="0"/>
    <n v="11.405000000000001"/>
    <n v="0"/>
    <n v="0"/>
    <n v="0"/>
    <n v="0"/>
    <n v="0"/>
    <n v="0"/>
    <n v="0"/>
    <n v="0"/>
    <n v="0"/>
    <n v="0"/>
    <n v="25.165000000000003"/>
    <n v="36.570000000000007"/>
    <n v="36.570000000000007"/>
    <n v="0"/>
    <n v="36.570000000000007"/>
    <n v="36.57"/>
    <n v="0"/>
    <n v="0"/>
    <n v="0"/>
    <n v="0"/>
    <n v="0"/>
    <n v="0"/>
    <n v="0"/>
    <n v="0"/>
    <n v="0"/>
    <n v="0"/>
    <n v="0"/>
    <n v="0"/>
    <n v="0"/>
    <n v="0"/>
    <n v="0"/>
    <n v="0"/>
    <n v="0"/>
    <n v="0"/>
    <n v="0"/>
    <n v="0"/>
    <m/>
    <m/>
    <m/>
    <m/>
    <m/>
    <m/>
    <m/>
    <m/>
    <m/>
    <s v="1"/>
    <s v="1"/>
    <s v="1"/>
    <s v="1"/>
    <s v="1"/>
    <m/>
    <m/>
    <m/>
    <m/>
    <m/>
    <m/>
    <m/>
    <m/>
    <m/>
    <m/>
    <m/>
    <m/>
    <m/>
    <m/>
  </r>
  <r>
    <n v="742"/>
    <d v="2024-11-24T00:00:00"/>
    <s v="ZBTO"/>
    <n v="9518285722"/>
    <n v="3"/>
    <s v="9518285722-3"/>
    <m/>
    <s v="Feb'25"/>
    <s v="Released orders"/>
    <x v="1"/>
    <x v="1"/>
    <n v="2000"/>
    <m/>
    <x v="0"/>
    <s v="Mar"/>
    <m/>
    <s v="CG"/>
    <s v="East"/>
    <m/>
    <m/>
    <n v="139336"/>
    <s v="PASA ASSOCIATES PRIVATE LIMITE"/>
    <n v="3239560"/>
    <s v="CRCA SHEET TATCRC SR16 0.450X900X2500"/>
    <s v=""/>
    <m/>
    <m/>
    <m/>
    <s v="Narrow"/>
    <s v="C06"/>
    <s v="TATCRC"/>
    <s v="SR16"/>
    <n v="0.45"/>
    <n v="900"/>
    <n v="2500"/>
    <n v="63"/>
    <n v="0"/>
    <n v="63"/>
    <n v="63"/>
    <n v="0"/>
    <n v="63"/>
    <m/>
    <m/>
    <n v="63"/>
    <n v="63"/>
    <n v="0"/>
    <n v="70.56"/>
    <n v="0"/>
    <n v="0"/>
    <n v="0"/>
    <n v="0"/>
    <n v="0"/>
    <n v="0"/>
    <n v="0"/>
    <n v="0"/>
    <n v="0"/>
    <n v="0"/>
    <n v="0"/>
    <n v="0"/>
    <n v="0"/>
    <n v="0"/>
    <n v="0"/>
    <n v="0"/>
    <n v="0"/>
    <n v="0"/>
    <n v="0"/>
    <n v="0"/>
    <n v="0"/>
    <n v="0"/>
    <n v="0"/>
    <n v="0"/>
    <n v="63"/>
    <n v="0"/>
    <n v="0"/>
    <n v="0"/>
    <n v="0"/>
    <n v="63"/>
    <n v="63"/>
    <n v="0"/>
    <n v="0"/>
    <n v="0"/>
    <n v="0"/>
    <n v="63"/>
    <n v="0"/>
    <n v="0"/>
    <n v="0"/>
    <n v="0"/>
    <n v="0"/>
    <n v="0"/>
    <n v="0"/>
    <m/>
    <m/>
    <m/>
    <m/>
    <m/>
    <m/>
    <m/>
    <m/>
    <m/>
    <s v="1"/>
    <s v="1"/>
    <s v="1"/>
    <s v="1"/>
    <s v="0"/>
    <m/>
    <m/>
    <m/>
    <m/>
    <m/>
    <m/>
    <m/>
    <m/>
    <m/>
    <m/>
    <m/>
    <m/>
    <m/>
    <m/>
  </r>
  <r>
    <n v="742"/>
    <d v="2024-11-24T00:00:00"/>
    <s v="ZBTO"/>
    <n v="9518285722"/>
    <n v="4"/>
    <s v="9518285722-4"/>
    <m/>
    <s v="Feb'25"/>
    <s v="Released orders"/>
    <x v="1"/>
    <x v="1"/>
    <n v="2000"/>
    <m/>
    <x v="0"/>
    <s v="Mar"/>
    <m/>
    <s v="CG"/>
    <s v="East"/>
    <m/>
    <m/>
    <n v="139336"/>
    <s v="PASA ASSOCIATES PRIVATE LIMITE"/>
    <n v="3239567"/>
    <s v="CRCA SHEET TATCRC SR16 0.450X1000X2500"/>
    <s v=""/>
    <m/>
    <m/>
    <m/>
    <s v="Narrow"/>
    <s v="C06"/>
    <s v="TATCRC"/>
    <s v="SR16"/>
    <n v="0.45"/>
    <n v="1000"/>
    <n v="2500"/>
    <n v="48"/>
    <n v="0"/>
    <n v="48"/>
    <n v="48"/>
    <n v="0"/>
    <n v="48"/>
    <m/>
    <m/>
    <n v="48"/>
    <n v="48"/>
    <n v="0"/>
    <n v="53.760000000000005"/>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4-11-24T00:00:00"/>
    <s v="ZBTO"/>
    <n v="9518285722"/>
    <n v="5"/>
    <s v="9518285722-5"/>
    <m/>
    <s v="Feb'25"/>
    <s v="Released orders"/>
    <x v="1"/>
    <x v="1"/>
    <n v="2000"/>
    <m/>
    <x v="0"/>
    <s v="Mar"/>
    <m/>
    <s v="CG"/>
    <s v="East"/>
    <m/>
    <m/>
    <n v="139336"/>
    <s v="PASA ASSOCIATES PRIVATE LIMITE"/>
    <n v="3240760"/>
    <s v="CRCA SHEET TSBCRC SR15 0.500X1000X2500"/>
    <s v=""/>
    <m/>
    <m/>
    <m/>
    <s v="Narrow"/>
    <s v="C06"/>
    <s v="TSBCRC"/>
    <s v="SR15"/>
    <n v="0.5"/>
    <n v="1000"/>
    <n v="2500"/>
    <n v="48"/>
    <n v="23.914999999999999"/>
    <n v="48"/>
    <n v="48"/>
    <n v="43.43"/>
    <n v="0"/>
    <m/>
    <n v="22.335000000000001"/>
    <n v="25.664999999999999"/>
    <n v="24.085000000000001"/>
    <n v="0"/>
    <n v="3.2536000000000014"/>
    <n v="0"/>
    <n v="0"/>
    <n v="0"/>
    <n v="0"/>
    <n v="0"/>
    <n v="0"/>
    <n v="0"/>
    <n v="0"/>
    <n v="0"/>
    <n v="22.76"/>
    <n v="0"/>
    <n v="0"/>
    <n v="22.335000000000001"/>
    <n v="0"/>
    <n v="0"/>
    <n v="0"/>
    <n v="0"/>
    <n v="0"/>
    <n v="45.094999999999999"/>
    <n v="22.335000000000001"/>
    <n v="0"/>
    <n v="22.335000000000001"/>
    <n v="21.094999999999999"/>
    <n v="0"/>
    <n v="24.085000000000001"/>
    <n v="0"/>
    <n v="24.085000000000001"/>
    <n v="0"/>
    <n v="0"/>
    <n v="0"/>
    <n v="24.085000000000001"/>
    <n v="0"/>
    <n v="24.085000000000001"/>
    <n v="0"/>
    <n v="0"/>
    <n v="0"/>
    <n v="0"/>
    <n v="0"/>
    <n v="0"/>
    <n v="0"/>
    <n v="0"/>
    <n v="0"/>
    <n v="0"/>
    <m/>
    <m/>
    <m/>
    <m/>
    <m/>
    <m/>
    <m/>
    <m/>
    <m/>
    <s v="1"/>
    <s v="0"/>
    <s v="1"/>
    <s v="1"/>
    <s v="1"/>
    <m/>
    <m/>
    <m/>
    <m/>
    <m/>
    <m/>
    <m/>
    <m/>
    <m/>
    <m/>
    <m/>
    <m/>
    <m/>
    <m/>
  </r>
  <r>
    <n v="742"/>
    <d v="2024-11-24T00:00:00"/>
    <s v="ZBTO"/>
    <n v="9518285722"/>
    <n v="6"/>
    <s v="9518285722-6"/>
    <m/>
    <s v="Feb'25"/>
    <s v="Released orders"/>
    <x v="1"/>
    <x v="1"/>
    <n v="2000"/>
    <m/>
    <x v="0"/>
    <s v="Mar"/>
    <m/>
    <s v="CG"/>
    <s v="East"/>
    <m/>
    <m/>
    <n v="139336"/>
    <s v="PASA ASSOCIATES PRIVATE LIMITE"/>
    <n v="3240778"/>
    <s v="CRCA SHEET TSBCRC SR15 0.600X1000X2500"/>
    <s v=""/>
    <m/>
    <m/>
    <m/>
    <s v="Narrow"/>
    <s v="C06"/>
    <s v="TSBCRC"/>
    <s v="SR15"/>
    <n v="0.6"/>
    <n v="1000"/>
    <n v="2500"/>
    <n v="69"/>
    <n v="0"/>
    <n v="69"/>
    <n v="69"/>
    <n v="20.36"/>
    <n v="48.64"/>
    <m/>
    <n v="0"/>
    <n v="69"/>
    <n v="69"/>
    <n v="0"/>
    <n v="53.838400000000007"/>
    <n v="0"/>
    <n v="0"/>
    <n v="0"/>
    <n v="0"/>
    <n v="0"/>
    <n v="0"/>
    <n v="0"/>
    <n v="0"/>
    <n v="0"/>
    <n v="20.93"/>
    <n v="0"/>
    <n v="0"/>
    <n v="0"/>
    <n v="0"/>
    <n v="0"/>
    <n v="0"/>
    <n v="0"/>
    <n v="0"/>
    <n v="20.93"/>
    <n v="0"/>
    <n v="0"/>
    <n v="0"/>
    <n v="20.36"/>
    <n v="0"/>
    <n v="69"/>
    <n v="0"/>
    <n v="0"/>
    <n v="0"/>
    <n v="69"/>
    <n v="0"/>
    <n v="69"/>
    <n v="0"/>
    <n v="0"/>
    <n v="0"/>
    <n v="69"/>
    <n v="0"/>
    <n v="0"/>
    <n v="0"/>
    <n v="0"/>
    <n v="0"/>
    <n v="0"/>
    <n v="0"/>
    <n v="0"/>
    <m/>
    <m/>
    <m/>
    <m/>
    <m/>
    <m/>
    <m/>
    <m/>
    <m/>
    <s v="1"/>
    <s v="1"/>
    <s v="1"/>
    <s v="0"/>
    <s v="1"/>
    <m/>
    <m/>
    <m/>
    <m/>
    <m/>
    <m/>
    <m/>
    <m/>
    <m/>
    <m/>
    <m/>
    <m/>
    <m/>
    <m/>
  </r>
  <r>
    <n v="743"/>
    <d v="2025-01-24T00:00:00"/>
    <s v="ZBTO"/>
    <n v="9518457019"/>
    <n v="1"/>
    <s v="9518457019-1"/>
    <m/>
    <s v="Feb'25"/>
    <s v="Released orders"/>
    <x v="3"/>
    <x v="13"/>
    <n v="1000"/>
    <m/>
    <x v="0"/>
    <m/>
    <m/>
    <s v="TG"/>
    <s v="South"/>
    <m/>
    <m/>
    <n v="947959"/>
    <s v="PENNAR INDUSTRIES LIMITED"/>
    <n v="3924553"/>
    <s v="GL COIL HARD  Y550GL HGL6 0.900X1205"/>
    <s v=""/>
    <m/>
    <m/>
    <m/>
    <s v="Wider"/>
    <s v="B04"/>
    <s v="Y550GL"/>
    <s v="HGL6"/>
    <n v="0.9"/>
    <n v="1205"/>
    <n v="0"/>
    <n v="140"/>
    <n v="66.33"/>
    <n v="140"/>
    <n v="140"/>
    <n v="0"/>
    <n v="140"/>
    <n v="0"/>
    <m/>
    <n v="140"/>
    <n v="73.67"/>
    <n v="0"/>
    <n v="156.80000000000001"/>
    <n v="0"/>
    <n v="0"/>
    <n v="0"/>
    <n v="0"/>
    <n v="0"/>
    <n v="0"/>
    <n v="0"/>
    <n v="0"/>
    <n v="0"/>
    <n v="0"/>
    <n v="0"/>
    <n v="0"/>
    <n v="0"/>
    <n v="0"/>
    <n v="0"/>
    <n v="0"/>
    <n v="0"/>
    <n v="0"/>
    <n v="0"/>
    <n v="0"/>
    <n v="0"/>
    <n v="0"/>
    <n v="0"/>
    <n v="66.33"/>
    <n v="73.67"/>
    <n v="0"/>
    <n v="73.67"/>
    <n v="0"/>
    <n v="0"/>
    <n v="0"/>
    <n v="140"/>
    <n v="0"/>
    <n v="0"/>
    <n v="140"/>
    <n v="0"/>
    <n v="0"/>
    <n v="0"/>
    <n v="0"/>
    <n v="0"/>
    <n v="0"/>
    <n v="0"/>
    <n v="0"/>
    <n v="0"/>
    <m/>
    <m/>
    <m/>
    <m/>
    <m/>
    <m/>
    <m/>
    <m/>
    <m/>
    <s v="1"/>
    <s v="0"/>
    <s v="1"/>
    <s v="1"/>
    <s v="1"/>
    <m/>
    <m/>
    <m/>
    <m/>
    <m/>
    <m/>
    <m/>
    <m/>
    <m/>
    <m/>
    <m/>
    <m/>
    <m/>
    <m/>
  </r>
  <r>
    <n v="743"/>
    <d v="2025-01-24T00:00:00"/>
    <s v="ZBTO"/>
    <n v="9518457019"/>
    <n v="2"/>
    <s v="9518457019-2"/>
    <m/>
    <s v="Feb'25"/>
    <s v="Released orders"/>
    <x v="3"/>
    <x v="13"/>
    <n v="1000"/>
    <m/>
    <x v="0"/>
    <m/>
    <m/>
    <s v="TG"/>
    <s v="South"/>
    <m/>
    <m/>
    <n v="947959"/>
    <s v="PENNAR INDUSTRIES LIMITED"/>
    <n v="3924553"/>
    <s v="GL COIL HARD  Y550GL HGL6 0.900X1205"/>
    <n v="150"/>
    <m/>
    <m/>
    <m/>
    <s v="Wider"/>
    <s v="B04"/>
    <s v="Y550GL"/>
    <s v="HGL6"/>
    <n v="0.9"/>
    <n v="1205"/>
    <n v="0"/>
    <n v="168"/>
    <n v="97.8"/>
    <n v="168"/>
    <n v="168"/>
    <n v="0"/>
    <n v="168"/>
    <n v="150"/>
    <n v="150"/>
    <n v="18"/>
    <n v="70.2"/>
    <n v="0"/>
    <n v="188.16000000000003"/>
    <n v="0"/>
    <n v="0"/>
    <n v="0"/>
    <n v="0"/>
    <n v="0"/>
    <n v="0"/>
    <n v="0"/>
    <n v="0"/>
    <n v="0"/>
    <n v="0"/>
    <n v="0"/>
    <n v="0"/>
    <n v="0"/>
    <n v="0"/>
    <n v="0"/>
    <n v="0"/>
    <n v="0"/>
    <n v="0"/>
    <n v="0"/>
    <n v="0"/>
    <n v="0"/>
    <n v="150"/>
    <n v="-150"/>
    <n v="97.800000000000011"/>
    <n v="70.2"/>
    <n v="0"/>
    <n v="70.2"/>
    <n v="0"/>
    <n v="0"/>
    <n v="0"/>
    <n v="168"/>
    <n v="0"/>
    <n v="0"/>
    <n v="168"/>
    <n v="0"/>
    <n v="0"/>
    <n v="0"/>
    <n v="0"/>
    <n v="0"/>
    <n v="0"/>
    <n v="0"/>
    <n v="0"/>
    <n v="0"/>
    <m/>
    <m/>
    <m/>
    <m/>
    <m/>
    <m/>
    <m/>
    <m/>
    <m/>
    <s v="1"/>
    <s v="0"/>
    <s v="1"/>
    <s v="1"/>
    <s v="1"/>
    <m/>
    <m/>
    <m/>
    <m/>
    <m/>
    <m/>
    <m/>
    <m/>
    <m/>
    <m/>
    <m/>
    <m/>
    <m/>
    <m/>
  </r>
  <r>
    <n v="742"/>
    <d v="2024-11-24T00:00:00"/>
    <s v="ZBTO"/>
    <n v="9518285652"/>
    <n v="1"/>
    <s v="9518285652-1"/>
    <m/>
    <s v="Feb'25"/>
    <s v="Released orders"/>
    <x v="1"/>
    <x v="1"/>
    <n v="2000"/>
    <m/>
    <x v="0"/>
    <s v="Mar"/>
    <m/>
    <s v="CG"/>
    <s v="East"/>
    <m/>
    <m/>
    <n v="931662"/>
    <s v="PRESTIGE METALLICS PRIVATE LIM"/>
    <n v="3239560"/>
    <s v="CRCA SHEET TATCRC SR16 0.450X900X2500"/>
    <n v="150"/>
    <m/>
    <m/>
    <m/>
    <s v="Narrow"/>
    <s v="C06"/>
    <s v="TATCRC"/>
    <s v="SR16"/>
    <n v="0.45"/>
    <n v="900"/>
    <n v="2500"/>
    <n v="21"/>
    <n v="0"/>
    <n v="21"/>
    <n v="21"/>
    <n v="0"/>
    <n v="21"/>
    <m/>
    <m/>
    <n v="21"/>
    <n v="21"/>
    <n v="0"/>
    <n v="23.520000000000003"/>
    <n v="0"/>
    <n v="0"/>
    <n v="0"/>
    <n v="0"/>
    <n v="0"/>
    <n v="0"/>
    <n v="0"/>
    <n v="0"/>
    <n v="0"/>
    <n v="0"/>
    <n v="0"/>
    <n v="0"/>
    <n v="0"/>
    <n v="0"/>
    <n v="0"/>
    <n v="0"/>
    <n v="0"/>
    <n v="0"/>
    <n v="0"/>
    <n v="0"/>
    <n v="0"/>
    <n v="0"/>
    <n v="0"/>
    <n v="0"/>
    <n v="21"/>
    <n v="0"/>
    <n v="0"/>
    <n v="0"/>
    <n v="0"/>
    <n v="21"/>
    <n v="21"/>
    <n v="0"/>
    <n v="0"/>
    <n v="0"/>
    <n v="0"/>
    <n v="21"/>
    <n v="0"/>
    <n v="0"/>
    <n v="0"/>
    <n v="0"/>
    <n v="0"/>
    <n v="0"/>
    <n v="0"/>
    <m/>
    <m/>
    <m/>
    <m/>
    <m/>
    <m/>
    <m/>
    <m/>
    <m/>
    <s v="1"/>
    <s v="1"/>
    <s v="1"/>
    <s v="1"/>
    <s v="0"/>
    <m/>
    <m/>
    <m/>
    <m/>
    <m/>
    <m/>
    <m/>
    <m/>
    <m/>
    <m/>
    <m/>
    <m/>
    <m/>
    <m/>
  </r>
  <r>
    <n v="742"/>
    <d v="2024-11-24T00:00:00"/>
    <s v="ZBTO"/>
    <n v="9518285652"/>
    <n v="3"/>
    <s v="9518285652-3"/>
    <m/>
    <s v="Feb'25"/>
    <s v="Released orders"/>
    <x v="1"/>
    <x v="1"/>
    <n v="2000"/>
    <m/>
    <x v="0"/>
    <s v="Mar"/>
    <m/>
    <s v="CG"/>
    <s v="East"/>
    <m/>
    <m/>
    <n v="931662"/>
    <s v="PRESTIGE METALLICS PRIVATE LIM"/>
    <n v="3239567"/>
    <s v="CRCA SHEET TATCRC SR16 0.450X1000X2500"/>
    <s v=""/>
    <m/>
    <m/>
    <m/>
    <s v="Narrow"/>
    <s v="C06"/>
    <s v="TATCRC"/>
    <s v="SR16"/>
    <n v="0.45"/>
    <n v="1000"/>
    <n v="2500"/>
    <n v="27"/>
    <n v="0"/>
    <n v="27"/>
    <n v="27"/>
    <n v="0"/>
    <n v="27"/>
    <m/>
    <m/>
    <n v="27"/>
    <n v="27"/>
    <n v="0"/>
    <n v="30.240000000000002"/>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4-12-17T00:00:00"/>
    <s v="ZBTO"/>
    <n v="9518349574"/>
    <n v="2"/>
    <s v="9518349574-2"/>
    <m/>
    <s v="Feb'25"/>
    <s v="Released orders"/>
    <x v="1"/>
    <x v="1"/>
    <n v="2000"/>
    <m/>
    <x v="0"/>
    <s v="Mar"/>
    <m/>
    <s v="CG"/>
    <s v="East"/>
    <m/>
    <m/>
    <n v="931662"/>
    <s v="PRESTIGE METALLICS PRIVATE LIM"/>
    <n v="3239536"/>
    <s v="CRCA SHEET TATCRC SR16 0.350X900X2500"/>
    <s v=""/>
    <m/>
    <m/>
    <m/>
    <s v="Narrow"/>
    <s v="C06"/>
    <s v="TATCRC"/>
    <s v="SR16"/>
    <n v="0.35"/>
    <n v="900"/>
    <n v="2500"/>
    <n v="27"/>
    <n v="18.135000000000002"/>
    <n v="27"/>
    <n v="8.8650000000000002"/>
    <n v="0.36"/>
    <n v="0"/>
    <m/>
    <m/>
    <n v="7.3999999999999986"/>
    <n v="8.8650000000000002"/>
    <n v="0"/>
    <n v="8.2879999999999985"/>
    <n v="0"/>
    <n v="0"/>
    <n v="0"/>
    <n v="0"/>
    <n v="0"/>
    <n v="0"/>
    <n v="0"/>
    <n v="0"/>
    <n v="0"/>
    <n v="0"/>
    <n v="0"/>
    <n v="0"/>
    <n v="0"/>
    <n v="19.600000000000001"/>
    <n v="0"/>
    <n v="0"/>
    <n v="0"/>
    <n v="0"/>
    <n v="19.600000000000001"/>
    <n v="19.600000000000001"/>
    <n v="0"/>
    <n v="19.600000000000001"/>
    <n v="0.36"/>
    <n v="0"/>
    <n v="8.8650000000000002"/>
    <n v="0"/>
    <n v="0"/>
    <n v="0"/>
    <n v="0"/>
    <n v="8.8650000000000002"/>
    <n v="8.8650000000000002"/>
    <n v="0"/>
    <n v="0"/>
    <n v="0"/>
    <n v="0"/>
    <n v="8.8650000000000002"/>
    <n v="0"/>
    <n v="0"/>
    <n v="0"/>
    <n v="0"/>
    <n v="0"/>
    <n v="0"/>
    <n v="0"/>
    <m/>
    <m/>
    <m/>
    <m/>
    <m/>
    <m/>
    <m/>
    <m/>
    <m/>
    <s v="1"/>
    <s v="1"/>
    <s v="1"/>
    <s v="1"/>
    <s v="0"/>
    <m/>
    <m/>
    <m/>
    <m/>
    <m/>
    <m/>
    <m/>
    <m/>
    <m/>
    <m/>
    <m/>
    <m/>
    <m/>
    <m/>
  </r>
  <r>
    <n v="742"/>
    <d v="2024-12-17T00:00:00"/>
    <s v="ZBTO"/>
    <n v="9518349574"/>
    <n v="4"/>
    <s v="9518349574-4"/>
    <m/>
    <s v="No Priority"/>
    <s v="Released orders"/>
    <x v="1"/>
    <x v="1"/>
    <n v="2000"/>
    <m/>
    <x v="1"/>
    <s v="Mar"/>
    <m/>
    <s v="CG"/>
    <s v="East"/>
    <m/>
    <m/>
    <n v="931662"/>
    <s v="PRESTIGE METALLICS PRIVATE LIM"/>
    <n v="3240760"/>
    <s v="CRCA SHEET TSBCRC SR15 0.500X1000X2500"/>
    <s v=""/>
    <m/>
    <m/>
    <m/>
    <s v="Narrow"/>
    <s v="C06"/>
    <s v="TSBCRC"/>
    <s v="SR15"/>
    <n v="0.5"/>
    <n v="1000"/>
    <n v="2500"/>
    <n v="27"/>
    <n v="23.03"/>
    <n v="27"/>
    <n v="27"/>
    <n v="21.03"/>
    <n v="0"/>
    <m/>
    <n v="22.11"/>
    <n v="4.8900000000000006"/>
    <n v="3.97"/>
    <n v="0"/>
    <n v="5.4768000000000008"/>
    <n v="0"/>
    <n v="0"/>
    <n v="0"/>
    <n v="0"/>
    <n v="0"/>
    <n v="0"/>
    <n v="0"/>
    <n v="0"/>
    <n v="0"/>
    <n v="0"/>
    <n v="0"/>
    <n v="0"/>
    <n v="22.11"/>
    <n v="0"/>
    <n v="0"/>
    <n v="0"/>
    <n v="0"/>
    <n v="0"/>
    <n v="22.11"/>
    <n v="22.11"/>
    <n v="0"/>
    <n v="22.11"/>
    <n v="-1.0799999999999983"/>
    <n v="0"/>
    <n v="0"/>
    <n v="0"/>
    <n v="0"/>
    <n v="0"/>
    <n v="0"/>
    <n v="0"/>
    <n v="0"/>
    <n v="0"/>
    <n v="0"/>
    <n v="0"/>
    <n v="0"/>
    <n v="0"/>
    <n v="0"/>
    <n v="0"/>
    <n v="0"/>
    <n v="0"/>
    <n v="0"/>
    <n v="0"/>
    <n v="0"/>
    <m/>
    <m/>
    <m/>
    <m/>
    <m/>
    <m/>
    <m/>
    <m/>
    <m/>
    <s v="1"/>
    <s v="1"/>
    <s v="1"/>
    <s v="1"/>
    <s v="1"/>
    <m/>
    <m/>
    <m/>
    <m/>
    <m/>
    <m/>
    <m/>
    <m/>
    <m/>
    <m/>
    <m/>
    <m/>
    <m/>
    <m/>
  </r>
  <r>
    <n v="742"/>
    <d v="2024-12-21T00:00:00"/>
    <s v="ZBTO"/>
    <n v="9518362076"/>
    <n v="1"/>
    <s v="9518362076-1"/>
    <m/>
    <s v="Feb'25"/>
    <s v="Released orders"/>
    <x v="1"/>
    <x v="1"/>
    <n v="2000"/>
    <m/>
    <x v="0"/>
    <s v="Mar"/>
    <m/>
    <s v="CG"/>
    <s v="East"/>
    <m/>
    <m/>
    <n v="931662"/>
    <s v="PRESTIGE METALLICS PRIVATE LIM"/>
    <n v="3239560"/>
    <s v="CRCA SHEET TATCRC SR16 0.450X900X2500"/>
    <s v=""/>
    <m/>
    <m/>
    <m/>
    <s v="Narrow"/>
    <s v="C06"/>
    <s v="TATCRC"/>
    <s v="SR16"/>
    <n v="0.45"/>
    <n v="900"/>
    <n v="2500"/>
    <n v="27"/>
    <n v="0"/>
    <n v="27"/>
    <n v="27"/>
    <n v="0"/>
    <n v="27"/>
    <m/>
    <m/>
    <n v="27"/>
    <n v="27"/>
    <n v="0"/>
    <n v="30.240000000000002"/>
    <n v="0"/>
    <n v="0"/>
    <n v="0"/>
    <n v="0"/>
    <n v="0"/>
    <n v="0"/>
    <n v="0"/>
    <n v="0"/>
    <n v="0"/>
    <n v="0"/>
    <n v="0"/>
    <n v="0"/>
    <n v="0"/>
    <n v="0"/>
    <n v="0"/>
    <n v="0"/>
    <n v="0"/>
    <n v="0"/>
    <n v="0"/>
    <n v="0"/>
    <n v="0"/>
    <n v="0"/>
    <n v="0"/>
    <n v="0"/>
    <n v="27"/>
    <n v="0"/>
    <n v="0"/>
    <n v="0"/>
    <n v="0"/>
    <n v="27"/>
    <n v="27"/>
    <n v="0"/>
    <n v="0"/>
    <n v="0"/>
    <n v="0"/>
    <n v="27"/>
    <n v="0"/>
    <n v="0"/>
    <n v="0"/>
    <n v="0"/>
    <n v="0"/>
    <n v="0"/>
    <n v="0"/>
    <m/>
    <m/>
    <m/>
    <m/>
    <m/>
    <m/>
    <m/>
    <m/>
    <m/>
    <s v="1"/>
    <s v="1"/>
    <s v="1"/>
    <s v="1"/>
    <s v="0"/>
    <m/>
    <m/>
    <m/>
    <m/>
    <m/>
    <m/>
    <m/>
    <m/>
    <m/>
    <m/>
    <m/>
    <m/>
    <m/>
    <m/>
  </r>
  <r>
    <n v="742"/>
    <d v="2024-12-21T00:00:00"/>
    <s v="ZBTO"/>
    <n v="9518362076"/>
    <n v="4"/>
    <s v="9518362076-4"/>
    <m/>
    <s v="No Priority"/>
    <s v="Released orders"/>
    <x v="1"/>
    <x v="1"/>
    <n v="2000"/>
    <m/>
    <x v="1"/>
    <s v="Mar"/>
    <m/>
    <s v="CG"/>
    <s v="East"/>
    <m/>
    <m/>
    <n v="931662"/>
    <s v="PRESTIGE METALLICS PRIVATE LIM"/>
    <n v="3410101"/>
    <s v="CRCA SHEET TSBCRC SR15 0.750X1000X2500"/>
    <s v=""/>
    <m/>
    <m/>
    <m/>
    <s v="Narrow"/>
    <s v="C06"/>
    <s v="TSBCRC"/>
    <s v="SR15"/>
    <n v="0.75"/>
    <n v="1000"/>
    <n v="2500"/>
    <n v="30"/>
    <n v="20.945"/>
    <n v="30"/>
    <n v="30"/>
    <n v="22.34"/>
    <n v="0"/>
    <m/>
    <n v="22.34"/>
    <n v="7.66"/>
    <n v="9.0549999999999997"/>
    <n v="0"/>
    <n v="8.5792000000000002"/>
    <n v="0"/>
    <n v="0"/>
    <n v="0"/>
    <n v="0"/>
    <n v="0"/>
    <n v="0"/>
    <n v="0"/>
    <n v="0"/>
    <n v="0"/>
    <n v="0"/>
    <n v="0"/>
    <n v="0"/>
    <n v="22.34"/>
    <n v="0"/>
    <n v="0"/>
    <n v="0"/>
    <n v="0"/>
    <n v="0"/>
    <n v="22.34"/>
    <n v="22.34"/>
    <n v="0"/>
    <n v="22.34"/>
    <n v="0"/>
    <n v="0"/>
    <n v="0"/>
    <n v="0"/>
    <n v="0"/>
    <n v="0"/>
    <n v="0"/>
    <n v="0"/>
    <n v="0"/>
    <n v="0"/>
    <n v="0"/>
    <n v="0"/>
    <n v="0"/>
    <n v="0"/>
    <n v="0"/>
    <n v="0"/>
    <n v="0"/>
    <n v="0"/>
    <n v="0"/>
    <n v="0"/>
    <n v="0"/>
    <m/>
    <m/>
    <m/>
    <m/>
    <m/>
    <m/>
    <m/>
    <m/>
    <m/>
    <s v="1"/>
    <s v="1"/>
    <s v="1"/>
    <s v="1"/>
    <s v="1"/>
    <m/>
    <m/>
    <m/>
    <m/>
    <m/>
    <m/>
    <m/>
    <m/>
    <m/>
    <m/>
    <m/>
    <m/>
    <m/>
    <m/>
  </r>
  <r>
    <n v="742"/>
    <d v="2025-01-03T00:00:00"/>
    <s v="ZBTO"/>
    <n v="9518403237"/>
    <n v="4"/>
    <s v="9518403237-4"/>
    <m/>
    <s v="Mar'25"/>
    <s v="Released orders"/>
    <x v="1"/>
    <x v="1"/>
    <n v="2000"/>
    <m/>
    <x v="0"/>
    <s v="Mar"/>
    <m/>
    <s v="JH"/>
    <s v="East"/>
    <m/>
    <m/>
    <n v="121328"/>
    <s v="R. S. BOKARO METAL (P) LTD."/>
    <n v="3152198"/>
    <s v="CRCA SHEET TATCRC SR16 0.380X1000X2500"/>
    <s v=""/>
    <m/>
    <m/>
    <m/>
    <s v="Narrow"/>
    <s v="C06"/>
    <s v="TATCRC"/>
    <s v="SR16"/>
    <n v="0.38"/>
    <n v="1000"/>
    <n v="2500"/>
    <n v="24"/>
    <n v="0"/>
    <n v="24"/>
    <n v="24"/>
    <n v="0"/>
    <n v="24"/>
    <m/>
    <m/>
    <n v="24"/>
    <n v="24"/>
    <n v="0"/>
    <n v="26.880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03T00:00:00"/>
    <s v="ZBTO"/>
    <n v="9518403237"/>
    <n v="8"/>
    <s v="9518403237-8"/>
    <m/>
    <s v="Feb'25"/>
    <s v="Released orders"/>
    <x v="1"/>
    <x v="1"/>
    <n v="2000"/>
    <m/>
    <x v="0"/>
    <s v="Mar"/>
    <m/>
    <s v="JH"/>
    <s v="East"/>
    <m/>
    <m/>
    <n v="121328"/>
    <s v="R. S. BOKARO METAL (P) LTD."/>
    <n v="3239572"/>
    <s v="CRCA SHEET TATCRC SR16 0.480X1000X2500"/>
    <s v=""/>
    <m/>
    <m/>
    <m/>
    <s v="Narrow"/>
    <s v="C06"/>
    <s v="TATCRC"/>
    <s v="SR16"/>
    <n v="0.48"/>
    <n v="1000"/>
    <n v="2500"/>
    <n v="24"/>
    <n v="0"/>
    <n v="24"/>
    <n v="24"/>
    <n v="0"/>
    <n v="24"/>
    <m/>
    <m/>
    <n v="24"/>
    <n v="24"/>
    <n v="0"/>
    <n v="26.880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2-10T00:00:00"/>
    <s v="ZBTO"/>
    <n v="9518507657"/>
    <n v="7"/>
    <s v="9518507657-7"/>
    <m/>
    <s v="No Priority"/>
    <s v="Failed orders"/>
    <x v="1"/>
    <x v="1"/>
    <n v="2000"/>
    <m/>
    <x v="1"/>
    <s v="Mar"/>
    <m/>
    <s v="Assam"/>
    <m/>
    <m/>
    <m/>
    <n v="116649"/>
    <s v="SAGAR STEELS"/>
    <n v="3239557"/>
    <s v="CRCA SHEET TATCRC SR16 0.400X1250X2500"/>
    <s v=""/>
    <s v=""/>
    <m/>
    <m/>
    <s v="Wider"/>
    <s v="C06"/>
    <s v="TATCRC"/>
    <s v="SR16"/>
    <n v="0.4"/>
    <n v="1250"/>
    <n v="0"/>
    <n v="30"/>
    <e v="#N/A"/>
    <n v="30"/>
    <n v="30"/>
    <e v="#N/A"/>
    <e v="#N/A"/>
    <n v="30"/>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5-01-15T00:00:00"/>
    <s v="ZBTO"/>
    <n v="9518430338"/>
    <n v="10"/>
    <s v="9518430338-10"/>
    <m/>
    <s v="Feb'25"/>
    <s v="Released orders"/>
    <x v="1"/>
    <x v="1"/>
    <n v="2000"/>
    <m/>
    <x v="0"/>
    <s v="Mar"/>
    <m/>
    <s v="JH"/>
    <s v="East"/>
    <m/>
    <m/>
    <n v="121328"/>
    <s v="R. S. BOKARO METAL (P) LTD."/>
    <n v="3240768"/>
    <s v="CRCA SHEET TSBCRC SR15 0.580X1000X2500"/>
    <s v=""/>
    <m/>
    <m/>
    <m/>
    <s v="Narrow"/>
    <s v="C06"/>
    <s v="TSBCRC"/>
    <s v="SR15"/>
    <n v="0.57999999999999996"/>
    <n v="1000"/>
    <n v="2500"/>
    <n v="24"/>
    <n v="18.465"/>
    <n v="24"/>
    <n v="24"/>
    <n v="22.25"/>
    <n v="0"/>
    <m/>
    <n v="0"/>
    <n v="1.75"/>
    <n v="5.5250000000000004"/>
    <n v="0"/>
    <n v="1.9600000000000002"/>
    <n v="0"/>
    <n v="0"/>
    <n v="0"/>
    <n v="0"/>
    <n v="0"/>
    <n v="0"/>
    <n v="0"/>
    <n v="0"/>
    <n v="0"/>
    <n v="0"/>
    <n v="0"/>
    <n v="22.25"/>
    <n v="0"/>
    <n v="0"/>
    <n v="0"/>
    <n v="0"/>
    <n v="0"/>
    <n v="0"/>
    <n v="22.25"/>
    <n v="22.25"/>
    <n v="0"/>
    <n v="22.25"/>
    <n v="22.25"/>
    <n v="0"/>
    <n v="5.5250000000000004"/>
    <n v="0"/>
    <n v="5.5250000000000004"/>
    <n v="0"/>
    <n v="0"/>
    <n v="0"/>
    <n v="5.5250000000000004"/>
    <n v="0"/>
    <n v="5.5250000000000004"/>
    <n v="0"/>
    <n v="0"/>
    <n v="0"/>
    <n v="0"/>
    <n v="0"/>
    <n v="0"/>
    <n v="0"/>
    <n v="0"/>
    <n v="0"/>
    <n v="0"/>
    <m/>
    <m/>
    <m/>
    <m/>
    <m/>
    <m/>
    <m/>
    <m/>
    <m/>
    <s v="1"/>
    <s v="0"/>
    <s v="1"/>
    <s v="1"/>
    <s v="1"/>
    <m/>
    <m/>
    <m/>
    <m/>
    <m/>
    <m/>
    <m/>
    <m/>
    <m/>
    <m/>
    <m/>
    <m/>
    <m/>
    <m/>
  </r>
  <r>
    <n v="742"/>
    <d v="2024-12-20T00:00:00"/>
    <s v="ZBTO"/>
    <n v="9518359381"/>
    <n v="1"/>
    <s v="9518359381-1"/>
    <m/>
    <s v="No Priority"/>
    <s v="Released orders"/>
    <x v="1"/>
    <x v="1"/>
    <n v="2000"/>
    <m/>
    <x v="1"/>
    <m/>
    <m/>
    <s v="WB"/>
    <s v="East"/>
    <m/>
    <m/>
    <n v="101278"/>
    <s v="RAMESH COMPANY"/>
    <n v="3446127"/>
    <s v="CRCA SHEET TATCRC SR16 0.330X900X2500"/>
    <s v=""/>
    <m/>
    <m/>
    <m/>
    <s v="Narrow"/>
    <s v="C06"/>
    <s v="TATCRC"/>
    <s v="SR16"/>
    <n v="0.33"/>
    <n v="900"/>
    <n v="2500"/>
    <n v="21"/>
    <n v="19.260000000000002"/>
    <n v="21"/>
    <n v="21"/>
    <n v="20.440000000000001"/>
    <n v="0"/>
    <m/>
    <n v="0"/>
    <n v="21"/>
    <n v="1.74"/>
    <n v="0"/>
    <n v="0.62719999999999865"/>
    <n v="0"/>
    <n v="0"/>
    <n v="0"/>
    <n v="0"/>
    <n v="0"/>
    <n v="0"/>
    <n v="0"/>
    <n v="0"/>
    <n v="0"/>
    <n v="0"/>
    <n v="0"/>
    <n v="20.440000000000001"/>
    <n v="0"/>
    <n v="0"/>
    <n v="0"/>
    <n v="0"/>
    <n v="0"/>
    <n v="0"/>
    <n v="20.440000000000001"/>
    <n v="20.440000000000001"/>
    <n v="0"/>
    <n v="20.440000000000001"/>
    <n v="20.440000000000001"/>
    <n v="0"/>
    <n v="0"/>
    <n v="0"/>
    <n v="0"/>
    <n v="0"/>
    <n v="0"/>
    <n v="0"/>
    <n v="0"/>
    <n v="0"/>
    <n v="0"/>
    <n v="0"/>
    <n v="0"/>
    <n v="0"/>
    <n v="0"/>
    <n v="0"/>
    <n v="0"/>
    <n v="0"/>
    <n v="0"/>
    <n v="0"/>
    <n v="0"/>
    <m/>
    <m/>
    <m/>
    <m/>
    <m/>
    <m/>
    <m/>
    <m/>
    <m/>
    <s v="1"/>
    <s v="1"/>
    <s v="1"/>
    <s v="1"/>
    <s v="1"/>
    <m/>
    <m/>
    <m/>
    <m/>
    <m/>
    <m/>
    <m/>
    <m/>
    <m/>
    <m/>
    <m/>
    <m/>
    <m/>
    <m/>
  </r>
  <r>
    <n v="742"/>
    <d v="2024-12-20T00:00:00"/>
    <s v="ZBTO"/>
    <n v="9518359381"/>
    <n v="7"/>
    <s v="9518359381-7"/>
    <m/>
    <s v="Feb'25"/>
    <s v="Released orders"/>
    <x v="1"/>
    <x v="1"/>
    <n v="2000"/>
    <m/>
    <x v="0"/>
    <s v="Mar"/>
    <m/>
    <s v="WB"/>
    <s v="East"/>
    <m/>
    <m/>
    <n v="101278"/>
    <s v="RAMESH COMPANY"/>
    <n v="3239554"/>
    <s v="CRCA SHEET TATCRC SR16 0.400X1000X2500"/>
    <s v=""/>
    <m/>
    <m/>
    <m/>
    <s v="Narrow"/>
    <s v="C06"/>
    <s v="TATCRC"/>
    <s v="SR16"/>
    <n v="0.4"/>
    <n v="1000"/>
    <n v="2500"/>
    <n v="21"/>
    <n v="0"/>
    <n v="21"/>
    <n v="21"/>
    <n v="0"/>
    <n v="21"/>
    <m/>
    <m/>
    <n v="21"/>
    <n v="21"/>
    <n v="0"/>
    <n v="23.520000000000003"/>
    <n v="0"/>
    <n v="0"/>
    <n v="0"/>
    <n v="0"/>
    <n v="0"/>
    <n v="0"/>
    <n v="0"/>
    <n v="0"/>
    <n v="0"/>
    <n v="0"/>
    <n v="0"/>
    <n v="0"/>
    <n v="0"/>
    <n v="0"/>
    <n v="0"/>
    <n v="0"/>
    <n v="0"/>
    <n v="0"/>
    <n v="0"/>
    <n v="0"/>
    <n v="0"/>
    <n v="0"/>
    <n v="0"/>
    <n v="0"/>
    <n v="21"/>
    <n v="0"/>
    <n v="0"/>
    <n v="0"/>
    <n v="0"/>
    <n v="21"/>
    <n v="21"/>
    <n v="0"/>
    <n v="0"/>
    <n v="0"/>
    <n v="0"/>
    <n v="21"/>
    <n v="0"/>
    <n v="0"/>
    <n v="0"/>
    <n v="0"/>
    <n v="0"/>
    <n v="0"/>
    <n v="0"/>
    <m/>
    <m/>
    <m/>
    <m/>
    <m/>
    <m/>
    <m/>
    <m/>
    <m/>
    <s v="1"/>
    <s v="1"/>
    <s v="1"/>
    <s v="1"/>
    <s v="0"/>
    <m/>
    <m/>
    <m/>
    <m/>
    <m/>
    <m/>
    <m/>
    <m/>
    <m/>
    <m/>
    <m/>
    <m/>
    <m/>
    <m/>
  </r>
  <r>
    <n v="742"/>
    <d v="2025-01-21T00:00:00"/>
    <s v="ZBTO"/>
    <n v="9518447967"/>
    <n v="1"/>
    <s v="9518447967-1"/>
    <m/>
    <s v="Feb'25"/>
    <s v="Released orders"/>
    <x v="1"/>
    <x v="1"/>
    <n v="2000"/>
    <m/>
    <x v="0"/>
    <s v="Mar"/>
    <m/>
    <s v="WB"/>
    <s v="East"/>
    <m/>
    <m/>
    <n v="101278"/>
    <s v="RAMESH COMPANY"/>
    <n v="3446127"/>
    <s v="CRCA SHEET TATCRC SR16 0.330X900X2500"/>
    <s v=""/>
    <m/>
    <m/>
    <m/>
    <s v="Narrow"/>
    <s v="C06"/>
    <s v="TATCRC"/>
    <s v="SR16"/>
    <n v="0.33"/>
    <n v="900"/>
    <n v="2500"/>
    <n v="27"/>
    <n v="0"/>
    <n v="27"/>
    <n v="27"/>
    <n v="0"/>
    <n v="27"/>
    <m/>
    <m/>
    <n v="27"/>
    <n v="27"/>
    <n v="0"/>
    <n v="30.240000000000002"/>
    <n v="0"/>
    <n v="0"/>
    <n v="0"/>
    <n v="0"/>
    <n v="0"/>
    <n v="0"/>
    <n v="0"/>
    <n v="0"/>
    <n v="0"/>
    <n v="0"/>
    <n v="0"/>
    <n v="0"/>
    <n v="0"/>
    <n v="0"/>
    <n v="0"/>
    <n v="0"/>
    <n v="0"/>
    <n v="0"/>
    <n v="0"/>
    <n v="0"/>
    <n v="0"/>
    <n v="0"/>
    <n v="0"/>
    <n v="0"/>
    <n v="27"/>
    <n v="0"/>
    <n v="0"/>
    <n v="0"/>
    <n v="0"/>
    <n v="27"/>
    <n v="27"/>
    <n v="0"/>
    <n v="0"/>
    <n v="0"/>
    <n v="0"/>
    <n v="27"/>
    <n v="0"/>
    <n v="0"/>
    <n v="0"/>
    <n v="0"/>
    <n v="0"/>
    <n v="0"/>
    <n v="0"/>
    <m/>
    <m/>
    <m/>
    <m/>
    <m/>
    <m/>
    <m/>
    <m/>
    <m/>
    <s v="1"/>
    <s v="1"/>
    <s v="1"/>
    <s v="1"/>
    <s v="0"/>
    <m/>
    <m/>
    <m/>
    <m/>
    <m/>
    <m/>
    <m/>
    <m/>
    <m/>
    <m/>
    <m/>
    <m/>
    <m/>
    <m/>
  </r>
  <r>
    <n v="742"/>
    <d v="2025-01-21T00:00:00"/>
    <s v="ZBTO"/>
    <n v="9518447967"/>
    <n v="2"/>
    <s v="9518447967-2"/>
    <m/>
    <s v="Mar'25"/>
    <s v="Released orders"/>
    <x v="1"/>
    <x v="1"/>
    <n v="2000"/>
    <m/>
    <x v="0"/>
    <s v="Mar"/>
    <m/>
    <s v="WB"/>
    <s v="East"/>
    <m/>
    <m/>
    <n v="101278"/>
    <s v="RAMESH COMPANY"/>
    <n v="3239536"/>
    <s v="CRCA SHEET TATCRC SR16 0.350X900X2500"/>
    <s v=""/>
    <m/>
    <m/>
    <m/>
    <s v="Narrow"/>
    <s v="C06"/>
    <s v="TATCRC"/>
    <s v="SR16"/>
    <n v="0.35"/>
    <n v="900"/>
    <n v="2500"/>
    <n v="51"/>
    <n v="0"/>
    <n v="51"/>
    <n v="51"/>
    <n v="0"/>
    <n v="51"/>
    <m/>
    <m/>
    <n v="51"/>
    <n v="51"/>
    <n v="0"/>
    <n v="57.120000000000005"/>
    <n v="0"/>
    <n v="0"/>
    <n v="0"/>
    <n v="0"/>
    <n v="0"/>
    <n v="0"/>
    <n v="0"/>
    <n v="0"/>
    <n v="0"/>
    <n v="0"/>
    <n v="0"/>
    <n v="0"/>
    <n v="0"/>
    <n v="0"/>
    <n v="0"/>
    <n v="0"/>
    <n v="0"/>
    <n v="0"/>
    <n v="0"/>
    <n v="0"/>
    <n v="0"/>
    <n v="0"/>
    <n v="0"/>
    <n v="0"/>
    <n v="51"/>
    <n v="0"/>
    <n v="0"/>
    <n v="0"/>
    <n v="0"/>
    <n v="51"/>
    <n v="51"/>
    <n v="0"/>
    <n v="0"/>
    <n v="0"/>
    <n v="0"/>
    <n v="51"/>
    <n v="0"/>
    <n v="0"/>
    <n v="0"/>
    <n v="0"/>
    <n v="0"/>
    <n v="0"/>
    <n v="0"/>
    <m/>
    <m/>
    <m/>
    <m/>
    <m/>
    <m/>
    <m/>
    <m/>
    <m/>
    <s v="1"/>
    <s v="1"/>
    <s v="1"/>
    <s v="1"/>
    <s v="0"/>
    <m/>
    <m/>
    <m/>
    <m/>
    <m/>
    <m/>
    <m/>
    <m/>
    <m/>
    <m/>
    <m/>
    <m/>
    <m/>
    <m/>
  </r>
  <r>
    <n v="742"/>
    <d v="2025-01-21T00:00:00"/>
    <s v="ZBTO"/>
    <n v="9518447967"/>
    <n v="4"/>
    <s v="9518447967-4"/>
    <m/>
    <s v="Feb'25"/>
    <s v="Released orders"/>
    <x v="1"/>
    <x v="1"/>
    <n v="2000"/>
    <m/>
    <x v="0"/>
    <s v="Mar"/>
    <m/>
    <s v="WB"/>
    <s v="East"/>
    <m/>
    <m/>
    <n v="101278"/>
    <s v="RAMESH COMPANY"/>
    <n v="3239554"/>
    <s v="CRCA SHEET TATCRC SR16 0.400X1000X2500"/>
    <s v=""/>
    <m/>
    <m/>
    <m/>
    <s v="Narrow"/>
    <s v="C06"/>
    <s v="TATCRC"/>
    <s v="SR16"/>
    <n v="0.4"/>
    <n v="1000"/>
    <n v="2500"/>
    <n v="27"/>
    <n v="0"/>
    <n v="27"/>
    <n v="27"/>
    <n v="0"/>
    <n v="27"/>
    <m/>
    <m/>
    <n v="27"/>
    <n v="27"/>
    <n v="0"/>
    <n v="30.240000000000002"/>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21T00:00:00"/>
    <s v="ZBTO"/>
    <n v="9518447967"/>
    <n v="5"/>
    <s v="9518447967-5"/>
    <m/>
    <s v="Feb'25"/>
    <s v="Released orders"/>
    <x v="1"/>
    <x v="1"/>
    <n v="2000"/>
    <m/>
    <x v="0"/>
    <s v="Mar"/>
    <m/>
    <s v="WB"/>
    <s v="East"/>
    <m/>
    <m/>
    <n v="101278"/>
    <s v="RAMESH COMPANY"/>
    <n v="3239560"/>
    <s v="CRCA SHEET TATCRC SR16 0.450X900X2500"/>
    <s v=""/>
    <m/>
    <m/>
    <m/>
    <s v="Narrow"/>
    <s v="C06"/>
    <s v="TATCRC"/>
    <s v="SR16"/>
    <n v="0.45"/>
    <n v="900"/>
    <n v="2500"/>
    <n v="42"/>
    <n v="18.114999999999998"/>
    <n v="42"/>
    <n v="23.885000000000002"/>
    <n v="0.15"/>
    <n v="23.734999999999999"/>
    <m/>
    <m/>
    <n v="23.04"/>
    <n v="23.885000000000002"/>
    <n v="0"/>
    <n v="25.8048"/>
    <n v="0"/>
    <n v="0"/>
    <n v="0"/>
    <n v="0"/>
    <n v="0"/>
    <n v="0"/>
    <n v="0"/>
    <n v="0"/>
    <n v="0"/>
    <n v="0"/>
    <n v="0"/>
    <n v="0"/>
    <n v="0"/>
    <n v="18.96"/>
    <n v="0"/>
    <n v="0"/>
    <n v="0"/>
    <n v="0"/>
    <n v="18.96"/>
    <n v="18.96"/>
    <n v="0"/>
    <n v="18.96"/>
    <n v="0.15"/>
    <n v="0"/>
    <n v="23.885000000000002"/>
    <n v="0"/>
    <n v="0"/>
    <n v="0"/>
    <n v="0"/>
    <n v="23.885000000000002"/>
    <n v="23.885000000000002"/>
    <n v="0"/>
    <n v="0"/>
    <n v="0"/>
    <n v="0"/>
    <n v="23.885000000000002"/>
    <n v="0"/>
    <n v="0"/>
    <n v="0"/>
    <n v="0"/>
    <n v="0"/>
    <n v="0"/>
    <n v="0"/>
    <m/>
    <m/>
    <m/>
    <m/>
    <m/>
    <m/>
    <m/>
    <m/>
    <m/>
    <s v="1"/>
    <s v="1"/>
    <s v="1"/>
    <s v="1"/>
    <s v="0"/>
    <m/>
    <m/>
    <m/>
    <m/>
    <m/>
    <m/>
    <m/>
    <m/>
    <m/>
    <m/>
    <m/>
    <m/>
    <m/>
    <m/>
  </r>
  <r>
    <n v="742"/>
    <d v="2025-01-11T00:00:00"/>
    <s v="ZBTO"/>
    <n v="9518421446"/>
    <n v="5"/>
    <s v="9518421446-5"/>
    <m/>
    <s v="Feb'25"/>
    <s v="Released orders"/>
    <x v="1"/>
    <x v="1"/>
    <n v="2000"/>
    <m/>
    <x v="0"/>
    <s v="Mar"/>
    <m/>
    <s v="JH"/>
    <s v="East"/>
    <m/>
    <m/>
    <n v="185794"/>
    <s v="Shree Bajrang Steel Udyog"/>
    <n v="3239567"/>
    <s v="CRCA SHEET TATCRC SR16 0.450X1000X2500"/>
    <s v=""/>
    <m/>
    <m/>
    <m/>
    <s v="Narrow"/>
    <s v="C06"/>
    <s v="TATCRC"/>
    <s v="SR16"/>
    <n v="0.45"/>
    <n v="1000"/>
    <n v="2500"/>
    <n v="51"/>
    <n v="0"/>
    <n v="51"/>
    <n v="51"/>
    <n v="0"/>
    <n v="51"/>
    <m/>
    <m/>
    <n v="51"/>
    <n v="51"/>
    <n v="0"/>
    <n v="57.120000000000005"/>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11T00:00:00"/>
    <s v="ZBTO"/>
    <n v="9518421446"/>
    <n v="9"/>
    <s v="9518421446-9"/>
    <m/>
    <s v="Feb'25"/>
    <s v="Released orders"/>
    <x v="1"/>
    <x v="1"/>
    <n v="2000"/>
    <m/>
    <x v="0"/>
    <s v="Mar"/>
    <m/>
    <s v="JH"/>
    <s v="East"/>
    <m/>
    <m/>
    <n v="185794"/>
    <s v="Shree Bajrang Steel Udyog"/>
    <n v="3240778"/>
    <s v="CRCA SHEET TSBCRC SR15 0.600X1000X2500"/>
    <s v=""/>
    <m/>
    <m/>
    <m/>
    <s v="Narrow"/>
    <s v="C06"/>
    <s v="TSBCRC"/>
    <s v="SR15"/>
    <n v="0.6"/>
    <n v="1000"/>
    <n v="2500"/>
    <n v="39"/>
    <n v="0"/>
    <n v="39"/>
    <n v="39"/>
    <n v="22.33"/>
    <n v="16.670000000000002"/>
    <m/>
    <n v="0"/>
    <n v="39"/>
    <n v="39"/>
    <n v="0"/>
    <n v="18.0656"/>
    <n v="0"/>
    <n v="0"/>
    <n v="0"/>
    <n v="0"/>
    <n v="0"/>
    <n v="0"/>
    <n v="0"/>
    <n v="0"/>
    <n v="0"/>
    <n v="22.87"/>
    <n v="0"/>
    <n v="0"/>
    <n v="0"/>
    <n v="0"/>
    <n v="0"/>
    <n v="0"/>
    <n v="0"/>
    <n v="0"/>
    <n v="22.87"/>
    <n v="0"/>
    <n v="0"/>
    <n v="0"/>
    <n v="22.33"/>
    <n v="0"/>
    <n v="39"/>
    <n v="0"/>
    <n v="0"/>
    <n v="0"/>
    <n v="39"/>
    <n v="0"/>
    <n v="39"/>
    <n v="0"/>
    <n v="0"/>
    <n v="0"/>
    <n v="39"/>
    <n v="0"/>
    <n v="0"/>
    <n v="0"/>
    <n v="0"/>
    <n v="0"/>
    <n v="0"/>
    <n v="0"/>
    <n v="0"/>
    <m/>
    <m/>
    <m/>
    <m/>
    <m/>
    <m/>
    <m/>
    <m/>
    <m/>
    <s v="1"/>
    <s v="1"/>
    <s v="1"/>
    <s v="0"/>
    <s v="1"/>
    <m/>
    <m/>
    <m/>
    <m/>
    <m/>
    <m/>
    <m/>
    <m/>
    <m/>
    <m/>
    <m/>
    <m/>
    <m/>
    <m/>
  </r>
  <r>
    <n v="742"/>
    <d v="2025-01-06T00:00:00"/>
    <s v="ZBTO"/>
    <n v="9518407284"/>
    <n v="6"/>
    <s v="9518407284-6"/>
    <m/>
    <s v="Mar'25"/>
    <s v="Released orders"/>
    <x v="1"/>
    <x v="1"/>
    <n v="2000"/>
    <m/>
    <x v="0"/>
    <s v="Mar"/>
    <m/>
    <s v="TN"/>
    <s v="South"/>
    <m/>
    <m/>
    <n v="116465"/>
    <s v="SRI BALAJI STEEL TRADERS"/>
    <n v="3239552"/>
    <s v="CRCA SHEET TATCRC SR16 0.400X1000X1980"/>
    <s v=""/>
    <m/>
    <m/>
    <m/>
    <s v="Narrow"/>
    <s v="C06"/>
    <s v="TATCRC"/>
    <s v="SR16"/>
    <n v="0.4"/>
    <n v="1000"/>
    <n v="1980"/>
    <n v="24"/>
    <n v="0"/>
    <n v="24"/>
    <n v="24"/>
    <n v="0"/>
    <n v="24"/>
    <m/>
    <m/>
    <n v="24"/>
    <n v="24"/>
    <n v="0"/>
    <n v="26.880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06T00:00:00"/>
    <s v="ZBTO"/>
    <n v="9518407284"/>
    <n v="8"/>
    <s v="9518407284-8"/>
    <m/>
    <s v="Feb'25"/>
    <s v="Released orders"/>
    <x v="1"/>
    <x v="1"/>
    <n v="2000"/>
    <m/>
    <x v="0"/>
    <s v="Mar"/>
    <m/>
    <s v="TN"/>
    <s v="South"/>
    <m/>
    <m/>
    <n v="116465"/>
    <s v="SRI BALAJI STEEL TRADERS"/>
    <n v="3239564"/>
    <s v="CRCA SHEET TATCRC SR16 0.450X1000X1980"/>
    <s v=""/>
    <m/>
    <m/>
    <m/>
    <s v="Narrow"/>
    <s v="C06"/>
    <s v="TATCRC"/>
    <s v="SR16"/>
    <n v="0.45"/>
    <n v="1000"/>
    <n v="1980"/>
    <n v="24"/>
    <n v="0"/>
    <n v="24"/>
    <n v="24"/>
    <n v="0"/>
    <n v="24"/>
    <m/>
    <m/>
    <n v="24"/>
    <n v="24"/>
    <n v="0"/>
    <n v="26.880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06T00:00:00"/>
    <s v="ZBTO"/>
    <n v="9518407392"/>
    <n v="1"/>
    <s v="9518407392-1"/>
    <m/>
    <s v="Mar'25"/>
    <s v="Released orders"/>
    <x v="1"/>
    <x v="1"/>
    <n v="2000"/>
    <m/>
    <x v="0"/>
    <s v="Mar"/>
    <m/>
    <s v="TN"/>
    <s v="South"/>
    <m/>
    <m/>
    <n v="116465"/>
    <s v="SRI BALAJI STEEL TRADERS"/>
    <n v="3239408"/>
    <s v="CRCA SHEET TATCRC SR16 0.300X900X2500"/>
    <s v=""/>
    <m/>
    <m/>
    <m/>
    <s v="Narrow"/>
    <s v="C06"/>
    <s v="TATCRC"/>
    <s v="SR16"/>
    <n v="0.3"/>
    <n v="900"/>
    <n v="2500"/>
    <n v="21"/>
    <n v="0"/>
    <n v="21"/>
    <n v="21"/>
    <n v="0"/>
    <n v="21"/>
    <m/>
    <m/>
    <n v="21"/>
    <n v="21"/>
    <n v="0"/>
    <n v="23.520000000000003"/>
    <n v="0"/>
    <n v="0"/>
    <n v="0"/>
    <n v="0"/>
    <n v="0"/>
    <n v="0"/>
    <n v="0"/>
    <n v="0"/>
    <n v="0"/>
    <n v="0"/>
    <n v="0"/>
    <n v="0"/>
    <n v="0"/>
    <n v="0"/>
    <n v="0"/>
    <n v="0"/>
    <n v="0"/>
    <n v="0"/>
    <n v="0"/>
    <n v="0"/>
    <n v="0"/>
    <n v="0"/>
    <n v="0"/>
    <n v="0"/>
    <n v="21"/>
    <n v="0"/>
    <n v="0"/>
    <n v="0"/>
    <n v="0"/>
    <n v="21"/>
    <n v="21"/>
    <n v="0"/>
    <n v="0"/>
    <n v="0"/>
    <n v="0"/>
    <n v="21"/>
    <n v="0"/>
    <n v="0"/>
    <n v="0"/>
    <n v="0"/>
    <n v="0"/>
    <n v="0"/>
    <n v="0"/>
    <m/>
    <m/>
    <m/>
    <m/>
    <m/>
    <m/>
    <m/>
    <m/>
    <m/>
    <s v="1"/>
    <s v="1"/>
    <s v="1"/>
    <s v="1"/>
    <s v="0"/>
    <m/>
    <m/>
    <m/>
    <m/>
    <m/>
    <m/>
    <m/>
    <m/>
    <m/>
    <m/>
    <m/>
    <m/>
    <m/>
    <m/>
  </r>
  <r>
    <n v="742"/>
    <d v="2025-01-06T00:00:00"/>
    <s v="ZBTO"/>
    <n v="9518407392"/>
    <n v="6"/>
    <s v="9518407392-6"/>
    <m/>
    <s v="Feb'25"/>
    <s v="Released orders"/>
    <x v="1"/>
    <x v="1"/>
    <n v="2000"/>
    <m/>
    <x v="0"/>
    <s v="Mar"/>
    <m/>
    <s v="TN"/>
    <s v="South"/>
    <m/>
    <m/>
    <n v="116465"/>
    <s v="SRI BALAJI STEEL TRADERS"/>
    <n v="3239564"/>
    <s v="CRCA SHEET TATCRC SR16 0.450X1000X1980"/>
    <s v=""/>
    <m/>
    <m/>
    <m/>
    <s v="Narrow"/>
    <s v="C06"/>
    <s v="TATCRC"/>
    <s v="SR16"/>
    <n v="0.45"/>
    <n v="1000"/>
    <n v="1980"/>
    <n v="21"/>
    <n v="0"/>
    <n v="21"/>
    <n v="21"/>
    <n v="0"/>
    <n v="21"/>
    <m/>
    <m/>
    <n v="21"/>
    <n v="21"/>
    <n v="0"/>
    <n v="23.520000000000003"/>
    <n v="0"/>
    <n v="0"/>
    <n v="0"/>
    <n v="0"/>
    <n v="0"/>
    <n v="0"/>
    <n v="0"/>
    <n v="0"/>
    <n v="0"/>
    <n v="0"/>
    <n v="0"/>
    <n v="0"/>
    <n v="0"/>
    <n v="0"/>
    <n v="0"/>
    <n v="0"/>
    <n v="0"/>
    <n v="0"/>
    <n v="0"/>
    <n v="0"/>
    <n v="0"/>
    <n v="0"/>
    <n v="0"/>
    <n v="0"/>
    <n v="21"/>
    <n v="0"/>
    <n v="0"/>
    <n v="0"/>
    <n v="0"/>
    <n v="21"/>
    <n v="21"/>
    <n v="0"/>
    <n v="0"/>
    <n v="0"/>
    <n v="0"/>
    <n v="21"/>
    <n v="0"/>
    <n v="0"/>
    <n v="0"/>
    <n v="0"/>
    <n v="0"/>
    <n v="0"/>
    <n v="0"/>
    <m/>
    <m/>
    <m/>
    <m/>
    <m/>
    <m/>
    <m/>
    <m/>
    <m/>
    <s v="1"/>
    <s v="1"/>
    <s v="1"/>
    <s v="1"/>
    <s v="0"/>
    <m/>
    <m/>
    <m/>
    <m/>
    <m/>
    <m/>
    <m/>
    <m/>
    <m/>
    <m/>
    <m/>
    <m/>
    <m/>
    <m/>
  </r>
  <r>
    <n v="742"/>
    <d v="2025-01-10T00:00:00"/>
    <s v="ZBTO"/>
    <n v="9518419878"/>
    <n v="1"/>
    <s v="9518419878-1"/>
    <m/>
    <s v="Mar'25"/>
    <s v="Released orders"/>
    <x v="1"/>
    <x v="1"/>
    <n v="2000"/>
    <m/>
    <x v="0"/>
    <s v="Mar"/>
    <m/>
    <s v="JH"/>
    <s v="East"/>
    <m/>
    <m/>
    <n v="165053"/>
    <s v="SUDISA ENTERPRISES (P) LTD."/>
    <n v="3239408"/>
    <s v="CRCA SHEET TATCRC SR16 0.300X900X2500"/>
    <s v=""/>
    <m/>
    <m/>
    <m/>
    <s v="Narrow"/>
    <s v="C06"/>
    <s v="TATCRC"/>
    <s v="SR16"/>
    <n v="0.3"/>
    <n v="900"/>
    <n v="2500"/>
    <n v="21"/>
    <n v="0"/>
    <n v="21"/>
    <n v="21"/>
    <n v="0"/>
    <n v="21"/>
    <m/>
    <m/>
    <n v="21"/>
    <n v="21"/>
    <n v="0"/>
    <n v="23.520000000000003"/>
    <n v="0"/>
    <n v="0"/>
    <n v="0"/>
    <n v="0"/>
    <n v="0"/>
    <n v="0"/>
    <n v="0"/>
    <n v="0"/>
    <n v="0"/>
    <n v="0"/>
    <n v="0"/>
    <n v="0"/>
    <n v="0"/>
    <n v="0"/>
    <n v="0"/>
    <n v="0"/>
    <n v="0"/>
    <n v="0"/>
    <n v="0"/>
    <n v="0"/>
    <n v="0"/>
    <n v="0"/>
    <n v="0"/>
    <n v="0"/>
    <n v="21"/>
    <n v="0"/>
    <n v="0"/>
    <n v="0"/>
    <n v="0"/>
    <n v="21"/>
    <n v="21"/>
    <n v="0"/>
    <n v="0"/>
    <n v="0"/>
    <n v="0"/>
    <n v="21"/>
    <n v="0"/>
    <n v="0"/>
    <n v="0"/>
    <n v="0"/>
    <n v="0"/>
    <n v="0"/>
    <n v="0"/>
    <m/>
    <m/>
    <m/>
    <m/>
    <m/>
    <m/>
    <m/>
    <m/>
    <m/>
    <s v="1"/>
    <s v="1"/>
    <s v="1"/>
    <s v="1"/>
    <s v="0"/>
    <m/>
    <m/>
    <m/>
    <m/>
    <m/>
    <m/>
    <m/>
    <m/>
    <m/>
    <m/>
    <m/>
    <m/>
    <m/>
    <m/>
  </r>
  <r>
    <n v="742"/>
    <d v="2025-01-10T00:00:00"/>
    <s v="ZBTO"/>
    <n v="9518419878"/>
    <n v="3"/>
    <s v="9518419878-3"/>
    <m/>
    <s v="Mar'25"/>
    <s v="Released orders"/>
    <x v="1"/>
    <x v="1"/>
    <n v="2000"/>
    <m/>
    <x v="0"/>
    <s v="Mar"/>
    <m/>
    <s v="JH"/>
    <s v="East"/>
    <m/>
    <m/>
    <n v="165053"/>
    <s v="SUDISA ENTERPRISES (P) LTD."/>
    <n v="3152197"/>
    <s v="CRCA SHEET TATCRC SR16 0.330X1000X2500"/>
    <s v=""/>
    <m/>
    <m/>
    <m/>
    <s v="Narrow"/>
    <s v="C06"/>
    <s v="TATCRC"/>
    <s v="SR16"/>
    <n v="0.33"/>
    <n v="1000"/>
    <n v="2500"/>
    <n v="42"/>
    <n v="0"/>
    <n v="42"/>
    <n v="42"/>
    <n v="0"/>
    <n v="42"/>
    <m/>
    <m/>
    <n v="42"/>
    <n v="42"/>
    <n v="0"/>
    <n v="47.040000000000006"/>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2-10T00:00:00"/>
    <s v="ZBTO"/>
    <n v="9518507185"/>
    <n v="5"/>
    <s v="9518507185-5"/>
    <m/>
    <s v="No Priority"/>
    <s v="Failed orders"/>
    <x v="1"/>
    <x v="1"/>
    <n v="2000"/>
    <m/>
    <x v="1"/>
    <m/>
    <m/>
    <s v="Jharkhand"/>
    <m/>
    <m/>
    <m/>
    <n v="185794"/>
    <s v="Shree Bajrang Steel Udyog"/>
    <n v="3239557"/>
    <s v="CRCA SHEET TATCRC SR16 0.400X1250X2500"/>
    <s v=""/>
    <s v=""/>
    <m/>
    <m/>
    <s v="Wider"/>
    <s v="C06"/>
    <s v="TATCRC"/>
    <s v="SR16"/>
    <n v="0.4"/>
    <n v="1250"/>
    <n v="0"/>
    <n v="30"/>
    <e v="#N/A"/>
    <n v="30"/>
    <n v="30"/>
    <e v="#N/A"/>
    <e v="#N/A"/>
    <m/>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5-01-10T00:00:00"/>
    <s v="ZBTO"/>
    <n v="9518419878"/>
    <n v="5"/>
    <s v="9518419878-5"/>
    <m/>
    <s v="No Priority"/>
    <s v="Released orders"/>
    <x v="1"/>
    <x v="1"/>
    <n v="2000"/>
    <m/>
    <x v="1"/>
    <s v="Mar"/>
    <m/>
    <s v="JH"/>
    <s v="East"/>
    <m/>
    <m/>
    <n v="165053"/>
    <s v="SUDISA ENTERPRISES (P) LTD."/>
    <n v="3240760"/>
    <s v="CRCA SHEET TSBCRC SR15 0.500X1000X2500"/>
    <s v=""/>
    <m/>
    <m/>
    <m/>
    <s v="Narrow"/>
    <s v="C06"/>
    <s v="TSBCRC"/>
    <s v="SR15"/>
    <n v="0.5"/>
    <n v="1000"/>
    <n v="2500"/>
    <n v="24"/>
    <n v="21.074999999999999"/>
    <n v="24"/>
    <n v="13.734999999999999"/>
    <n v="10.96"/>
    <n v="0"/>
    <m/>
    <n v="22.150000000000002"/>
    <n v="1.8499999999999979"/>
    <n v="2.915"/>
    <n v="0"/>
    <n v="2.0719999999999978"/>
    <n v="0"/>
    <n v="0"/>
    <n v="0"/>
    <n v="0"/>
    <n v="0"/>
    <n v="0"/>
    <n v="0"/>
    <n v="0"/>
    <n v="0"/>
    <n v="0"/>
    <n v="0"/>
    <n v="0"/>
    <n v="22.150000000000002"/>
    <n v="0"/>
    <n v="0"/>
    <n v="0"/>
    <n v="0"/>
    <n v="0"/>
    <n v="22.150000000000002"/>
    <n v="22.150000000000002"/>
    <n v="0"/>
    <n v="22.150000000000002"/>
    <n v="-11.190000000000001"/>
    <n v="0"/>
    <n v="0"/>
    <n v="0"/>
    <n v="0"/>
    <n v="0"/>
    <n v="0"/>
    <n v="0"/>
    <n v="0"/>
    <n v="0"/>
    <n v="0"/>
    <n v="0"/>
    <n v="0"/>
    <n v="0"/>
    <n v="0"/>
    <n v="0"/>
    <n v="0"/>
    <n v="0"/>
    <n v="0"/>
    <n v="0"/>
    <n v="0"/>
    <m/>
    <m/>
    <m/>
    <m/>
    <m/>
    <m/>
    <m/>
    <m/>
    <m/>
    <s v="1"/>
    <s v="1"/>
    <s v="1"/>
    <s v="1"/>
    <s v="1"/>
    <m/>
    <m/>
    <m/>
    <m/>
    <m/>
    <m/>
    <m/>
    <m/>
    <m/>
    <m/>
    <m/>
    <m/>
    <m/>
    <m/>
  </r>
  <r>
    <n v="742"/>
    <d v="2025-01-23T00:00:00"/>
    <s v="ZBTO"/>
    <n v="9518454228"/>
    <n v="1"/>
    <s v="9518454228-1"/>
    <m/>
    <s v="No Priority"/>
    <s v="Failed orders"/>
    <x v="1"/>
    <x v="1"/>
    <n v="2000"/>
    <m/>
    <x v="1"/>
    <m/>
    <m/>
    <s v="Maharashtra"/>
    <m/>
    <m/>
    <m/>
    <n v="103092"/>
    <s v="TEJRAM RAMNIWAS AGARWAL"/>
    <n v="3239557"/>
    <s v="CRCA SHEET TATCRC SR16 0.400X1250X2500"/>
    <s v=""/>
    <s v=""/>
    <m/>
    <m/>
    <s v="Wider"/>
    <s v="C06"/>
    <s v="TATCRC"/>
    <s v="SR16"/>
    <n v="0.4"/>
    <n v="1250"/>
    <n v="0"/>
    <n v="60"/>
    <e v="#N/A"/>
    <n v="60"/>
    <n v="60"/>
    <e v="#N/A"/>
    <e v="#N/A"/>
    <m/>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1121"/>
    <d v="2025-01-24T00:00:00"/>
    <s v="ZBTF"/>
    <n v="9518456240"/>
    <n v="5"/>
    <s v="9518456240-5"/>
    <m/>
    <s v="Stocks"/>
    <s v="Released orders"/>
    <x v="2"/>
    <x v="2"/>
    <n v="2000"/>
    <m/>
    <x v="0"/>
    <m/>
    <m/>
    <s v="WB"/>
    <s v="East"/>
    <m/>
    <m/>
    <n v="600250"/>
    <s v="TATA CENTRE"/>
    <n v="1854424"/>
    <s v="GP COIL SOFT-TATXGP-GK09-0.6X900"/>
    <s v=""/>
    <m/>
    <m/>
    <m/>
    <s v="Narrow"/>
    <s v="C02"/>
    <s v="TATXGP"/>
    <s v="GK09"/>
    <n v="0.6"/>
    <n v="900"/>
    <n v="0"/>
    <n v="210"/>
    <n v="196.22499999999999"/>
    <n v="145.26499999999999"/>
    <n v="42.814999999999998"/>
    <n v="39.274999999999999"/>
    <n v="0"/>
    <m/>
    <n v="39.274999999999999"/>
    <n v="0"/>
    <n v="13.775"/>
    <n v="0"/>
    <n v="0"/>
    <n v="0"/>
    <n v="0"/>
    <n v="0"/>
    <n v="25.75"/>
    <n v="0"/>
    <n v="92.850000000000009"/>
    <n v="0"/>
    <n v="0"/>
    <n v="0"/>
    <n v="0"/>
    <n v="0"/>
    <n v="0"/>
    <n v="0"/>
    <n v="0"/>
    <n v="1.3"/>
    <n v="0"/>
    <n v="18.330000000000002"/>
    <n v="0"/>
    <n v="138.23000000000002"/>
    <n v="138.23000000000002"/>
    <n v="0"/>
    <n v="39.274999999999999"/>
    <n v="0"/>
    <n v="101.29499999999999"/>
    <n v="0"/>
    <n v="0"/>
    <n v="0"/>
    <n v="0"/>
    <n v="0"/>
    <n v="0"/>
    <n v="101.29499999999999"/>
    <n v="101.29499999999999"/>
    <n v="0"/>
    <n v="0"/>
    <n v="0"/>
    <n v="0"/>
    <n v="0"/>
    <n v="9.67"/>
    <n v="0"/>
    <n v="0"/>
    <n v="0"/>
    <n v="0"/>
    <n v="0"/>
    <m/>
    <m/>
    <m/>
    <m/>
    <m/>
    <m/>
    <m/>
    <m/>
    <m/>
    <s v="1"/>
    <s v="1"/>
    <s v="1"/>
    <s v="1"/>
    <s v="1"/>
    <m/>
    <m/>
    <m/>
    <m/>
    <m/>
    <m/>
    <m/>
    <m/>
    <m/>
    <m/>
    <m/>
    <m/>
    <m/>
    <m/>
  </r>
  <r>
    <n v="743"/>
    <d v="2025-01-24T00:00:00"/>
    <s v="ZBTO"/>
    <n v="9518457019"/>
    <n v="3"/>
    <s v="9518457019-3"/>
    <m/>
    <s v="No Priority"/>
    <s v="Released orders"/>
    <x v="3"/>
    <x v="13"/>
    <n v="1000"/>
    <m/>
    <x v="1"/>
    <m/>
    <s v="To be closed"/>
    <s v="TG"/>
    <s v="South"/>
    <m/>
    <m/>
    <n v="947959"/>
    <s v="PENNAR INDUSTRIES LIMITED"/>
    <n v="3924555"/>
    <s v="GL COIL HARD  Y550GL HGL6 0.900X1045"/>
    <n v="150"/>
    <m/>
    <m/>
    <m/>
    <s v="Narrow"/>
    <s v="B04"/>
    <s v="Y550GL"/>
    <s v="HGL6"/>
    <n v="0.9"/>
    <n v="1045"/>
    <n v="0"/>
    <n v="144"/>
    <n v="0"/>
    <n v="144"/>
    <n v="144"/>
    <n v="0"/>
    <n v="144"/>
    <n v="144"/>
    <m/>
    <n v="144"/>
    <n v="144"/>
    <n v="0"/>
    <n v="161.28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5-01-24T00:00:00"/>
    <s v="ZBTO"/>
    <n v="9518457019"/>
    <n v="4"/>
    <s v="9518457019-4"/>
    <m/>
    <s v="No Priority"/>
    <s v="Released orders"/>
    <x v="3"/>
    <x v="13"/>
    <n v="1000"/>
    <m/>
    <x v="1"/>
    <m/>
    <s v="To be closed"/>
    <s v="TG"/>
    <s v="South"/>
    <m/>
    <m/>
    <n v="947959"/>
    <s v="PENNAR INDUSTRIES LIMITED"/>
    <n v="3924555"/>
    <s v="GL COIL HARD  Y550GL HGL6 0.900X1045"/>
    <n v="150"/>
    <m/>
    <m/>
    <m/>
    <s v="Narrow"/>
    <s v="B04"/>
    <s v="Y550GL"/>
    <s v="HGL6"/>
    <n v="0.9"/>
    <n v="1045"/>
    <n v="0"/>
    <n v="168"/>
    <n v="0"/>
    <n v="168"/>
    <n v="168"/>
    <n v="0"/>
    <n v="168"/>
    <n v="168"/>
    <m/>
    <n v="168"/>
    <n v="168"/>
    <n v="0"/>
    <n v="188.16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1-18T00:00:00"/>
    <s v="ZBTO"/>
    <n v="9518439481"/>
    <n v="2"/>
    <s v="9518439481-2"/>
    <m/>
    <s v="Stocks"/>
    <s v="Released orders"/>
    <x v="1"/>
    <x v="5"/>
    <n v="1000"/>
    <m/>
    <x v="0"/>
    <m/>
    <m/>
    <s v="Andhra Pradesh"/>
    <s v="South"/>
    <m/>
    <m/>
    <n v="188238"/>
    <s v="Balmer Lawrie &amp; Co. Limited"/>
    <n v="2170009"/>
    <s v="CRCA COIL TATXXD BT02 1.200X914"/>
    <m/>
    <m/>
    <m/>
    <m/>
    <s v="Narrow"/>
    <s v="C01"/>
    <s v="TATXXD"/>
    <s v="BT02"/>
    <n v="1.2"/>
    <n v="914"/>
    <n v="0"/>
    <n v="42"/>
    <n v="36.244999999999997"/>
    <n v="42"/>
    <n v="23.614999999999998"/>
    <n v="20.12"/>
    <n v="0"/>
    <m/>
    <n v="40.520000000000003"/>
    <n v="0"/>
    <n v="5.7549999999999999"/>
    <n v="0"/>
    <n v="0"/>
    <n v="0"/>
    <n v="0"/>
    <n v="0"/>
    <n v="0"/>
    <n v="0"/>
    <n v="0"/>
    <n v="0"/>
    <n v="0"/>
    <n v="0"/>
    <n v="0"/>
    <n v="0"/>
    <n v="0"/>
    <n v="40.520000000000003"/>
    <n v="0"/>
    <n v="0"/>
    <n v="0"/>
    <n v="0"/>
    <n v="0"/>
    <n v="40.520000000000003"/>
    <n v="40.520000000000003"/>
    <n v="0"/>
    <n v="40.520000000000003"/>
    <n v="-20.400000000000002"/>
    <n v="36.244999999999997"/>
    <n v="0"/>
    <n v="0"/>
    <n v="0"/>
    <n v="0"/>
    <n v="0"/>
    <n v="0"/>
    <n v="36.244999999999997"/>
    <n v="0"/>
    <n v="36.244999999999997"/>
    <n v="0"/>
    <n v="0"/>
    <n v="0"/>
    <n v="0"/>
    <n v="0"/>
    <n v="0"/>
    <n v="0"/>
    <n v="0"/>
    <n v="0"/>
    <n v="0"/>
    <m/>
    <m/>
    <m/>
    <m/>
    <m/>
    <m/>
    <m/>
    <m/>
    <m/>
    <s v="1"/>
    <s v="1"/>
    <s v="1"/>
    <s v="1"/>
    <s v="1"/>
    <m/>
    <m/>
    <m/>
    <m/>
    <m/>
    <m/>
    <m/>
    <m/>
    <m/>
    <m/>
    <m/>
    <m/>
    <m/>
    <m/>
  </r>
  <r>
    <n v="742"/>
    <d v="2025-01-18T00:00:00"/>
    <s v="ZBTO"/>
    <n v="9518439537"/>
    <n v="4"/>
    <s v="9518439537-4"/>
    <m/>
    <s v="Stocks"/>
    <s v="Released orders"/>
    <x v="1"/>
    <x v="5"/>
    <n v="1000"/>
    <m/>
    <x v="0"/>
    <m/>
    <m/>
    <s v="Haryana"/>
    <s v="North"/>
    <m/>
    <m/>
    <n v="189430"/>
    <s v="Balmer Lawrie &amp; Co. Ltd.,"/>
    <n v="2164803"/>
    <s v="CRCA COIL TATXXD BT02 1.200X910"/>
    <m/>
    <m/>
    <m/>
    <m/>
    <s v="Narrow"/>
    <s v="C01"/>
    <s v="TATXXD"/>
    <s v="BT02"/>
    <n v="1.2"/>
    <n v="910"/>
    <n v="0"/>
    <n v="42"/>
    <n v="36.555"/>
    <n v="42"/>
    <n v="5.4450000000000003"/>
    <n v="0"/>
    <n v="0"/>
    <m/>
    <m/>
    <n v="0"/>
    <n v="5.4450000000000003"/>
    <n v="0"/>
    <n v="0"/>
    <n v="0"/>
    <n v="0"/>
    <n v="0"/>
    <n v="0"/>
    <n v="0"/>
    <n v="0"/>
    <n v="0"/>
    <n v="0"/>
    <n v="0"/>
    <n v="0"/>
    <n v="0"/>
    <n v="0"/>
    <n v="0"/>
    <n v="0"/>
    <n v="0"/>
    <n v="0"/>
    <n v="39.86"/>
    <n v="0"/>
    <n v="39.86"/>
    <n v="39.86"/>
    <n v="0"/>
    <n v="39.86"/>
    <n v="0"/>
    <n v="36.555000000000007"/>
    <n v="0"/>
    <n v="0"/>
    <n v="0"/>
    <n v="0"/>
    <n v="0"/>
    <n v="0"/>
    <n v="36.555000000000007"/>
    <n v="0"/>
    <n v="36.555000000000007"/>
    <n v="0"/>
    <n v="0"/>
    <n v="0"/>
    <n v="0"/>
    <n v="0"/>
    <n v="0"/>
    <n v="0"/>
    <n v="0"/>
    <n v="0"/>
    <n v="0"/>
    <m/>
    <m/>
    <m/>
    <m/>
    <m/>
    <m/>
    <m/>
    <m/>
    <m/>
    <s v="1"/>
    <s v="1"/>
    <s v="1"/>
    <s v="1"/>
    <s v="1"/>
    <m/>
    <m/>
    <m/>
    <m/>
    <m/>
    <m/>
    <m/>
    <m/>
    <m/>
    <m/>
    <m/>
    <m/>
    <m/>
    <m/>
  </r>
  <r>
    <n v="743"/>
    <d v="2025-01-06T00:00:00"/>
    <s v="ZBTO"/>
    <n v="9518408051"/>
    <n v="2"/>
    <s v="9518408051-2"/>
    <m/>
    <s v="Stocks"/>
    <s v="Released orders"/>
    <x v="2"/>
    <x v="10"/>
    <n v="2000"/>
    <m/>
    <x v="0"/>
    <m/>
    <m/>
    <s v="Bihar"/>
    <s v="East"/>
    <m/>
    <m/>
    <n v="931671"/>
    <s v="BMW VENTURES LIMITED"/>
    <n v="3767014"/>
    <s v="GP COIL TATGPH GP02 0.400X1350"/>
    <m/>
    <m/>
    <m/>
    <m/>
    <s v="Wider"/>
    <s v="C05"/>
    <s v="TATGPH"/>
    <s v="GP02"/>
    <n v="0.4"/>
    <n v="1350"/>
    <n v="0"/>
    <n v="93"/>
    <n v="74.155000000000001"/>
    <n v="93"/>
    <n v="48.744999999999997"/>
    <n v="44.935000000000002"/>
    <n v="0"/>
    <m/>
    <n v="44.935000000000002"/>
    <n v="0"/>
    <n v="0"/>
    <n v="0"/>
    <n v="0"/>
    <n v="0"/>
    <n v="0"/>
    <n v="60.71"/>
    <n v="0"/>
    <n v="0"/>
    <n v="29.830000000000002"/>
    <n v="0"/>
    <n v="0"/>
    <n v="0"/>
    <n v="0"/>
    <n v="0"/>
    <n v="0"/>
    <n v="0"/>
    <n v="0"/>
    <n v="0"/>
    <n v="0"/>
    <n v="0"/>
    <n v="0"/>
    <n v="90.54"/>
    <n v="90.54"/>
    <n v="0"/>
    <n v="44.935000000000002"/>
    <n v="0"/>
    <n v="74.155000000000001"/>
    <n v="0"/>
    <n v="0"/>
    <n v="0"/>
    <n v="0"/>
    <n v="0"/>
    <n v="0"/>
    <n v="74.155000000000001"/>
    <n v="0"/>
    <n v="74.155000000000001"/>
    <n v="0"/>
    <n v="0"/>
    <n v="0"/>
    <n v="0"/>
    <n v="0"/>
    <n v="0"/>
    <n v="0"/>
    <n v="0"/>
    <n v="0"/>
    <n v="0"/>
    <m/>
    <m/>
    <m/>
    <m/>
    <m/>
    <m/>
    <m/>
    <m/>
    <m/>
    <s v="1"/>
    <s v="1"/>
    <s v="1"/>
    <s v="1"/>
    <s v="1"/>
    <m/>
    <m/>
    <m/>
    <m/>
    <m/>
    <m/>
    <m/>
    <m/>
    <m/>
    <m/>
    <m/>
    <m/>
    <m/>
    <m/>
  </r>
  <r>
    <n v="743"/>
    <d v="2025-01-06T00:00:00"/>
    <s v="ZBTO"/>
    <n v="9518408051"/>
    <n v="5"/>
    <s v="9518408051-5"/>
    <m/>
    <s v="Stocks"/>
    <s v="Released orders"/>
    <x v="2"/>
    <x v="10"/>
    <n v="2000"/>
    <m/>
    <x v="0"/>
    <m/>
    <m/>
    <s v="Bihar"/>
    <s v="East"/>
    <m/>
    <m/>
    <n v="931671"/>
    <s v="BMW VENTURES LIMITED"/>
    <n v="3708867"/>
    <s v="GP COIL TATGPH GP02 0.300X900"/>
    <m/>
    <m/>
    <m/>
    <m/>
    <s v="Narrow"/>
    <s v="C05"/>
    <s v="TATGPH"/>
    <s v="GP02"/>
    <n v="0.3"/>
    <n v="900"/>
    <n v="0"/>
    <n v="105"/>
    <n v="101.88"/>
    <n v="23.475000000000001"/>
    <n v="23.475000000000001"/>
    <n v="20.355"/>
    <n v="0"/>
    <m/>
    <n v="20.355"/>
    <n v="0"/>
    <n v="0"/>
    <n v="0"/>
    <n v="0"/>
    <n v="0"/>
    <n v="0"/>
    <n v="0"/>
    <n v="0"/>
    <n v="0"/>
    <n v="19.41"/>
    <n v="0"/>
    <n v="0"/>
    <n v="0"/>
    <n v="0"/>
    <n v="0"/>
    <n v="0"/>
    <n v="0"/>
    <n v="0"/>
    <n v="0"/>
    <n v="0"/>
    <n v="0"/>
    <n v="0"/>
    <n v="19.41"/>
    <n v="19.41"/>
    <n v="0"/>
    <n v="20.355"/>
    <n v="0"/>
    <n v="85.231999999999999"/>
    <n v="0"/>
    <n v="0"/>
    <n v="0"/>
    <n v="0"/>
    <n v="0"/>
    <n v="0"/>
    <n v="85.231999999999999"/>
    <n v="0"/>
    <n v="85.231999999999999"/>
    <n v="0"/>
    <n v="0"/>
    <n v="0"/>
    <n v="0"/>
    <n v="0"/>
    <n v="0"/>
    <n v="0"/>
    <n v="0"/>
    <n v="0"/>
    <n v="0"/>
    <m/>
    <m/>
    <m/>
    <m/>
    <m/>
    <m/>
    <m/>
    <m/>
    <m/>
    <s v="1"/>
    <s v="1"/>
    <s v="1"/>
    <s v="1"/>
    <s v="1"/>
    <m/>
    <m/>
    <m/>
    <m/>
    <m/>
    <s v="Planning delay due to RM delay"/>
    <m/>
    <m/>
    <m/>
    <m/>
    <m/>
    <m/>
    <m/>
    <m/>
  </r>
  <r>
    <n v="743"/>
    <d v="2025-01-06T00:00:00"/>
    <s v="ZBTO"/>
    <n v="9518408051"/>
    <n v="6"/>
    <s v="9518408051-6"/>
    <m/>
    <s v="Stocks"/>
    <s v="Released orders"/>
    <x v="2"/>
    <x v="10"/>
    <n v="2000"/>
    <m/>
    <x v="0"/>
    <m/>
    <m/>
    <s v="Bihar"/>
    <s v="East"/>
    <m/>
    <m/>
    <n v="931671"/>
    <s v="BMW VENTURES LIMITED"/>
    <n v="3768542"/>
    <s v="GP COIL TATGPH GP02 0.350X900"/>
    <m/>
    <m/>
    <m/>
    <m/>
    <s v="Narrow"/>
    <s v="C05"/>
    <s v="TATGPH"/>
    <s v="GP02"/>
    <n v="0.35"/>
    <n v="900"/>
    <n v="0"/>
    <n v="105"/>
    <n v="78.7"/>
    <n v="105"/>
    <n v="100.01"/>
    <n v="72.66"/>
    <n v="27.35"/>
    <m/>
    <n v="72.66"/>
    <n v="0"/>
    <n v="5.3"/>
    <n v="0"/>
    <n v="32.642400000000002"/>
    <n v="0"/>
    <n v="0"/>
    <n v="0"/>
    <n v="0"/>
    <n v="0"/>
    <n v="75.855000000000004"/>
    <n v="0"/>
    <n v="0"/>
    <n v="0"/>
    <n v="0"/>
    <n v="0"/>
    <n v="0"/>
    <n v="0"/>
    <n v="0"/>
    <n v="0"/>
    <n v="0"/>
    <n v="0"/>
    <n v="0"/>
    <n v="75.855000000000004"/>
    <n v="75.855000000000004"/>
    <n v="0"/>
    <n v="72.66"/>
    <n v="0"/>
    <n v="54.184999999999995"/>
    <n v="0"/>
    <n v="0"/>
    <n v="0"/>
    <n v="0"/>
    <n v="0"/>
    <n v="0"/>
    <n v="54.184999999999995"/>
    <n v="0"/>
    <n v="54.184999999999995"/>
    <n v="0"/>
    <n v="0"/>
    <n v="0"/>
    <n v="0"/>
    <n v="0"/>
    <n v="0"/>
    <n v="0"/>
    <n v="0"/>
    <n v="0"/>
    <n v="0"/>
    <m/>
    <m/>
    <m/>
    <m/>
    <m/>
    <m/>
    <m/>
    <m/>
    <m/>
    <s v="1"/>
    <s v="1"/>
    <s v="1"/>
    <s v="1"/>
    <s v="1"/>
    <m/>
    <m/>
    <m/>
    <m/>
    <m/>
    <m/>
    <m/>
    <m/>
    <m/>
    <m/>
    <m/>
    <m/>
    <m/>
    <m/>
  </r>
  <r>
    <n v="743"/>
    <d v="2025-01-06T00:00:00"/>
    <s v="ZBTO"/>
    <n v="9518408527"/>
    <n v="1"/>
    <s v="9518408527-1"/>
    <m/>
    <s v="Feb'25"/>
    <s v="Released orders"/>
    <x v="2"/>
    <x v="10"/>
    <n v="2000"/>
    <m/>
    <x v="0"/>
    <m/>
    <m/>
    <s v="Karnataka"/>
    <s v="South"/>
    <m/>
    <m/>
    <n v="942923"/>
    <s v="S C SHETTAR &amp; SONS PRIVATE LIM"/>
    <n v="304874"/>
    <s v="GPCOIL TATXGP GP02 0.25X1015"/>
    <m/>
    <m/>
    <m/>
    <m/>
    <s v="Narrow"/>
    <s v="C05"/>
    <s v="TATXGP"/>
    <s v="GP02"/>
    <n v="0"/>
    <n v="1015"/>
    <n v="0"/>
    <n v="46"/>
    <n v="0"/>
    <n v="46"/>
    <n v="46"/>
    <n v="0"/>
    <n v="46"/>
    <m/>
    <m/>
    <n v="46"/>
    <n v="46"/>
    <n v="0"/>
    <n v="51.52"/>
    <n v="0"/>
    <n v="0"/>
    <n v="0"/>
    <n v="0"/>
    <n v="0"/>
    <n v="0"/>
    <n v="0"/>
    <n v="0"/>
    <n v="0"/>
    <n v="0"/>
    <n v="0"/>
    <n v="0"/>
    <n v="0"/>
    <n v="0"/>
    <n v="0"/>
    <n v="0"/>
    <n v="0"/>
    <n v="0"/>
    <n v="0"/>
    <n v="0"/>
    <n v="0"/>
    <n v="0"/>
    <n v="0"/>
    <n v="0"/>
    <n v="46"/>
    <n v="0"/>
    <n v="0"/>
    <n v="0"/>
    <n v="0"/>
    <n v="46"/>
    <n v="46"/>
    <n v="0"/>
    <n v="0"/>
    <n v="0"/>
    <n v="0"/>
    <n v="46"/>
    <n v="0"/>
    <n v="0"/>
    <n v="0"/>
    <n v="0"/>
    <n v="0"/>
    <n v="0"/>
    <n v="0"/>
    <m/>
    <m/>
    <m/>
    <m/>
    <m/>
    <m/>
    <m/>
    <m/>
    <m/>
    <s v="1"/>
    <s v="1"/>
    <s v="1"/>
    <s v="1"/>
    <s v="0"/>
    <m/>
    <m/>
    <m/>
    <m/>
    <m/>
    <s v="MOQ issue for RM"/>
    <m/>
    <m/>
    <m/>
    <m/>
    <m/>
    <m/>
    <m/>
    <m/>
  </r>
  <r>
    <n v="743"/>
    <d v="2025-01-06T00:00:00"/>
    <s v="ZBTO"/>
    <n v="9518408527"/>
    <n v="2"/>
    <s v="9518408527-2"/>
    <m/>
    <s v="Feb'25"/>
    <s v="Released orders"/>
    <x v="2"/>
    <x v="10"/>
    <n v="2000"/>
    <n v="600"/>
    <x v="0"/>
    <m/>
    <m/>
    <s v="Karnataka"/>
    <s v="South"/>
    <m/>
    <m/>
    <n v="942923"/>
    <s v="S C SHETTAR &amp; SONS PRIVATE LIM"/>
    <n v="3777531"/>
    <s v="GP COIL TATGPH GP02 0.300X1015"/>
    <m/>
    <m/>
    <m/>
    <m/>
    <s v="Narrow"/>
    <s v="C05"/>
    <s v="TATGPH"/>
    <s v="GP02"/>
    <n v="0.3"/>
    <n v="1015"/>
    <n v="0"/>
    <n v="92"/>
    <n v="0"/>
    <n v="92"/>
    <n v="92"/>
    <n v="0"/>
    <n v="92"/>
    <m/>
    <m/>
    <n v="92"/>
    <n v="92"/>
    <n v="0"/>
    <n v="103.04"/>
    <n v="0"/>
    <n v="0"/>
    <n v="0"/>
    <n v="0"/>
    <n v="0"/>
    <n v="0"/>
    <n v="0"/>
    <n v="0"/>
    <n v="0"/>
    <n v="0"/>
    <n v="0"/>
    <n v="0"/>
    <n v="0"/>
    <n v="0"/>
    <n v="0"/>
    <n v="0"/>
    <n v="0"/>
    <n v="0"/>
    <n v="0"/>
    <n v="0"/>
    <n v="0"/>
    <n v="0"/>
    <n v="0"/>
    <n v="0"/>
    <n v="92"/>
    <n v="0"/>
    <n v="0"/>
    <n v="0"/>
    <n v="0"/>
    <n v="92"/>
    <n v="92"/>
    <n v="0"/>
    <n v="0"/>
    <n v="0"/>
    <n v="0"/>
    <n v="92"/>
    <n v="0"/>
    <n v="0"/>
    <n v="0"/>
    <n v="0"/>
    <n v="0"/>
    <n v="0"/>
    <n v="0"/>
    <m/>
    <m/>
    <m/>
    <m/>
    <m/>
    <m/>
    <m/>
    <m/>
    <m/>
    <s v="1"/>
    <s v="1"/>
    <s v="1"/>
    <s v="1"/>
    <s v="0"/>
    <m/>
    <m/>
    <m/>
    <m/>
    <m/>
    <s v="MOQ issue for RM"/>
    <m/>
    <m/>
    <m/>
    <m/>
    <m/>
    <m/>
    <m/>
    <m/>
  </r>
  <r>
    <n v="743"/>
    <d v="2025-02-05T00:00:00"/>
    <s v="ZBTO"/>
    <n v="9518495509"/>
    <n v="1"/>
    <s v="9518495509-1"/>
    <m/>
    <s v="No Priority"/>
    <s v="Released orders"/>
    <x v="2"/>
    <x v="2"/>
    <s v="2000-BPRS"/>
    <m/>
    <x v="1"/>
    <m/>
    <m/>
    <m/>
    <m/>
    <s v="KANPUR"/>
    <m/>
    <n v="933952"/>
    <s v="AGARWAL STEEL TRADERS"/>
    <n v="1851054"/>
    <s v="GP COIL SOFT-TATXGP-GK09-0.2X900"/>
    <s v="Z80"/>
    <s v=""/>
    <n v="3.2"/>
    <n v="5"/>
    <s v="Narrow"/>
    <s v="C02"/>
    <s v="TATXGP"/>
    <s v="GK09"/>
    <n v="0.2"/>
    <n v="900"/>
    <n v="0"/>
    <n v="21"/>
    <n v="0"/>
    <n v="21"/>
    <n v="21"/>
    <n v="0"/>
    <n v="21"/>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28T00:00:00"/>
    <s v="ZBTO"/>
    <n v="9518470028"/>
    <n v="1"/>
    <s v="9518470028-1"/>
    <m/>
    <s v="Stocks"/>
    <s v="Released orders"/>
    <x v="2"/>
    <x v="5"/>
    <n v="1000"/>
    <m/>
    <x v="0"/>
    <m/>
    <m/>
    <s v="West Bengal"/>
    <s v="East"/>
    <m/>
    <m/>
    <n v="189406"/>
    <s v="Manaksia Steels Limited"/>
    <n v="2419808"/>
    <s v="GP COIL HARD XXXGPH GH12 0.220X900"/>
    <n v="80"/>
    <s v=""/>
    <m/>
    <m/>
    <s v="Narrow"/>
    <s v="C05"/>
    <s v="XXXGPH"/>
    <s v="GH12"/>
    <n v="0.22"/>
    <n v="900"/>
    <n v="0"/>
    <n v="168"/>
    <n v="147.87"/>
    <n v="154.55000000000001"/>
    <n v="154.55000000000001"/>
    <n v="142.44"/>
    <n v="0"/>
    <m/>
    <n v="142.44"/>
    <n v="0"/>
    <n v="20.13"/>
    <n v="0"/>
    <n v="80.729600000000019"/>
    <n v="0"/>
    <n v="0"/>
    <n v="82.47"/>
    <n v="0"/>
    <n v="0"/>
    <n v="0"/>
    <n v="0"/>
    <n v="0"/>
    <n v="0"/>
    <n v="0"/>
    <n v="0"/>
    <n v="0"/>
    <n v="0"/>
    <n v="0"/>
    <n v="0"/>
    <n v="0"/>
    <n v="0"/>
    <n v="0"/>
    <n v="82.47"/>
    <n v="82.47"/>
    <n v="0"/>
    <n v="142.44"/>
    <n v="0"/>
    <n v="134.41999999999999"/>
    <n v="0"/>
    <n v="0"/>
    <n v="0"/>
    <n v="0"/>
    <n v="0"/>
    <n v="0"/>
    <n v="134.41999999999999"/>
    <n v="0"/>
    <n v="134.41999999999999"/>
    <n v="0"/>
    <n v="0"/>
    <n v="0"/>
    <n v="0"/>
    <n v="0"/>
    <n v="0"/>
    <n v="0"/>
    <n v="0"/>
    <n v="0"/>
    <n v="0"/>
    <m/>
    <m/>
    <m/>
    <m/>
    <m/>
    <m/>
    <m/>
    <m/>
    <m/>
    <s v="1"/>
    <s v="1"/>
    <s v="1"/>
    <s v="1"/>
    <s v="1"/>
    <m/>
    <m/>
    <m/>
    <m/>
    <m/>
    <m/>
    <m/>
    <m/>
    <m/>
    <m/>
    <m/>
    <m/>
    <m/>
    <m/>
  </r>
  <r>
    <n v="743"/>
    <d v="2025-01-28T00:00:00"/>
    <s v="ZBTO"/>
    <n v="9518470028"/>
    <n v="2"/>
    <s v="9518470028-2"/>
    <m/>
    <s v="Stocks"/>
    <s v="Released orders"/>
    <x v="2"/>
    <x v="5"/>
    <n v="1000"/>
    <m/>
    <x v="0"/>
    <m/>
    <s v="De-prioritized due to narrow HR unavailability"/>
    <s v="West Bengal"/>
    <s v="East"/>
    <m/>
    <m/>
    <n v="189406"/>
    <s v="Manaksia Steels Limited"/>
    <n v="2419808"/>
    <s v="GP COIL HARD XXXGPH GH12 0.220X900"/>
    <n v="80"/>
    <s v=""/>
    <m/>
    <m/>
    <s v="Narrow"/>
    <s v="C05"/>
    <s v="XXXGPH"/>
    <s v="GH12"/>
    <n v="0.22"/>
    <n v="900"/>
    <n v="0"/>
    <n v="147"/>
    <n v="32.125"/>
    <n v="147"/>
    <n v="147"/>
    <n v="40.86"/>
    <n v="106.14"/>
    <m/>
    <n v="40.86"/>
    <n v="106.14"/>
    <n v="114.875"/>
    <n v="0"/>
    <n v="141.72480000000002"/>
    <n v="0"/>
    <n v="0"/>
    <n v="0"/>
    <n v="20.46"/>
    <n v="0"/>
    <n v="0"/>
    <n v="0"/>
    <n v="0"/>
    <n v="0"/>
    <n v="0"/>
    <n v="0"/>
    <n v="0"/>
    <n v="0"/>
    <n v="0"/>
    <n v="0"/>
    <n v="0"/>
    <n v="0"/>
    <n v="0"/>
    <n v="20.46"/>
    <n v="20.46"/>
    <n v="0"/>
    <n v="40.86"/>
    <n v="0"/>
    <n v="6.64"/>
    <n v="0"/>
    <n v="0"/>
    <n v="0"/>
    <n v="0"/>
    <n v="0"/>
    <n v="0"/>
    <n v="6.64"/>
    <n v="0"/>
    <n v="6.64"/>
    <n v="0"/>
    <n v="0"/>
    <n v="0"/>
    <n v="0"/>
    <n v="0"/>
    <n v="0"/>
    <n v="0"/>
    <n v="0"/>
    <n v="0"/>
    <n v="0"/>
    <m/>
    <m/>
    <m/>
    <m/>
    <m/>
    <m/>
    <m/>
    <m/>
    <m/>
    <s v="1"/>
    <s v="1"/>
    <s v="1"/>
    <s v="1"/>
    <s v="1"/>
    <m/>
    <m/>
    <m/>
    <m/>
    <m/>
    <m/>
    <m/>
    <m/>
    <m/>
    <m/>
    <m/>
    <m/>
    <m/>
    <m/>
  </r>
  <r>
    <n v="743"/>
    <d v="2025-01-28T00:00:00"/>
    <s v="ZBTO"/>
    <n v="9518470028"/>
    <n v="3"/>
    <s v="9518470028-3"/>
    <m/>
    <s v="Stocks"/>
    <s v="Released orders"/>
    <x v="2"/>
    <x v="5"/>
    <n v="1000"/>
    <m/>
    <x v="0"/>
    <m/>
    <s v="De-prioritized due to narrow HR unavailability"/>
    <s v="West Bengal"/>
    <s v="East"/>
    <m/>
    <m/>
    <n v="189406"/>
    <s v="Manaksia Steels Limited"/>
    <n v="2418493"/>
    <s v="GP COIL HARD XXXGPH GH12 0.260X900"/>
    <n v="80"/>
    <s v=""/>
    <m/>
    <m/>
    <s v="Narrow"/>
    <s v="C05"/>
    <s v="XXXGPH"/>
    <s v="GH12"/>
    <n v="0.26"/>
    <n v="900"/>
    <n v="0"/>
    <n v="105"/>
    <n v="59.3"/>
    <n v="105"/>
    <n v="105"/>
    <n v="58.87"/>
    <n v="46.13"/>
    <m/>
    <n v="58.87"/>
    <n v="46.13"/>
    <n v="45.7"/>
    <n v="0"/>
    <n v="117.60000000000001"/>
    <n v="0"/>
    <n v="0"/>
    <n v="0"/>
    <n v="0"/>
    <n v="0"/>
    <n v="0"/>
    <n v="0"/>
    <n v="0"/>
    <n v="0"/>
    <n v="0"/>
    <n v="0"/>
    <n v="0"/>
    <n v="0"/>
    <n v="0"/>
    <n v="0"/>
    <n v="0"/>
    <n v="0"/>
    <n v="0"/>
    <n v="0"/>
    <n v="0"/>
    <n v="0"/>
    <n v="58.87"/>
    <n v="0"/>
    <n v="8.32"/>
    <n v="0"/>
    <n v="0"/>
    <n v="0"/>
    <n v="0"/>
    <n v="0"/>
    <n v="0"/>
    <n v="8.32"/>
    <n v="0"/>
    <n v="8.32"/>
    <n v="0"/>
    <n v="0"/>
    <n v="0"/>
    <n v="0"/>
    <n v="0"/>
    <n v="0"/>
    <n v="0"/>
    <n v="0"/>
    <n v="0"/>
    <n v="0"/>
    <m/>
    <m/>
    <m/>
    <m/>
    <m/>
    <m/>
    <m/>
    <m/>
    <m/>
    <s v="1"/>
    <s v="1"/>
    <s v="1"/>
    <s v="1"/>
    <s v="1"/>
    <m/>
    <m/>
    <m/>
    <m/>
    <m/>
    <m/>
    <m/>
    <m/>
    <m/>
    <m/>
    <m/>
    <m/>
    <m/>
    <m/>
  </r>
  <r>
    <n v="743"/>
    <d v="2025-01-28T00:00:00"/>
    <s v="ZBTO"/>
    <n v="9518470028"/>
    <n v="4"/>
    <s v="9518470028-4"/>
    <m/>
    <s v="Stocks"/>
    <s v="Released orders"/>
    <x v="2"/>
    <x v="5"/>
    <n v="1000"/>
    <m/>
    <x v="0"/>
    <m/>
    <m/>
    <s v="West Bengal"/>
    <s v="East"/>
    <m/>
    <m/>
    <n v="189406"/>
    <s v="Manaksia Steels Limited"/>
    <n v="2418494"/>
    <s v="GP COIL HARD XXXGPH GH12 0.320X900"/>
    <n v="80"/>
    <s v=""/>
    <m/>
    <m/>
    <s v="Narrow"/>
    <s v="C05"/>
    <s v="XXXGPH"/>
    <s v="GH12"/>
    <n v="0.32"/>
    <n v="900"/>
    <n v="0"/>
    <n v="105"/>
    <n v="92.174999999999997"/>
    <n v="105"/>
    <n v="105"/>
    <n v="95.91"/>
    <n v="0"/>
    <m/>
    <n v="95.91"/>
    <n v="0"/>
    <n v="12.824999999999999"/>
    <n v="0"/>
    <n v="0"/>
    <n v="0"/>
    <n v="0"/>
    <n v="0"/>
    <n v="0"/>
    <n v="0"/>
    <n v="95.91"/>
    <n v="0"/>
    <n v="0"/>
    <n v="0"/>
    <n v="0"/>
    <n v="0"/>
    <n v="0"/>
    <n v="0"/>
    <n v="0"/>
    <n v="0"/>
    <n v="0"/>
    <n v="0"/>
    <n v="0"/>
    <n v="95.91"/>
    <n v="95.91"/>
    <n v="0"/>
    <n v="95.91"/>
    <n v="0"/>
    <n v="44.285000000000004"/>
    <n v="0"/>
    <n v="0"/>
    <n v="0"/>
    <n v="0"/>
    <n v="0"/>
    <n v="0"/>
    <n v="44.285000000000004"/>
    <n v="0"/>
    <n v="44.285000000000004"/>
    <n v="0"/>
    <n v="0"/>
    <n v="0"/>
    <n v="0"/>
    <n v="0"/>
    <n v="0"/>
    <n v="0"/>
    <n v="0"/>
    <n v="0"/>
    <n v="0"/>
    <m/>
    <m/>
    <m/>
    <m/>
    <m/>
    <m/>
    <m/>
    <m/>
    <m/>
    <s v="1"/>
    <s v="1"/>
    <s v="1"/>
    <s v="1"/>
    <s v="1"/>
    <m/>
    <m/>
    <m/>
    <m/>
    <m/>
    <m/>
    <m/>
    <m/>
    <m/>
    <m/>
    <m/>
    <m/>
    <m/>
    <m/>
  </r>
  <r>
    <n v="743"/>
    <d v="2025-02-13T00:00:00"/>
    <s v="ZBTO"/>
    <n v="9518515618"/>
    <n v="1"/>
    <s v="9518515618-1"/>
    <m/>
    <s v="Mar'25"/>
    <s v="Released orders"/>
    <x v="2"/>
    <x v="6"/>
    <n v="2000"/>
    <m/>
    <x v="0"/>
    <m/>
    <m/>
    <s v="Madhya Pradesh"/>
    <m/>
    <m/>
    <m/>
    <n v="944695"/>
    <s v="ANM ISPAT PRIVATE LIMITED"/>
    <n v="2428450"/>
    <s v="GP COIL SOFT TATXGP GK09 0.350X1250"/>
    <n v="80"/>
    <s v=""/>
    <m/>
    <m/>
    <s v="Wider"/>
    <s v="C02"/>
    <s v="TATXGP"/>
    <s v="GK09"/>
    <n v="0.35"/>
    <n v="1250"/>
    <n v="0"/>
    <n v="29"/>
    <n v="0"/>
    <n v="29"/>
    <n v="29"/>
    <n v="0"/>
    <n v="29"/>
    <m/>
    <m/>
    <n v="29"/>
    <n v="29"/>
    <n v="0"/>
    <n v="32.480000000000004"/>
    <n v="0"/>
    <n v="0"/>
    <n v="0"/>
    <n v="0"/>
    <n v="0"/>
    <n v="0"/>
    <n v="0"/>
    <n v="0"/>
    <n v="0"/>
    <n v="0"/>
    <n v="0"/>
    <n v="0"/>
    <n v="0"/>
    <n v="0"/>
    <n v="0"/>
    <n v="0"/>
    <n v="0"/>
    <n v="0"/>
    <n v="0"/>
    <n v="0"/>
    <n v="0"/>
    <n v="0"/>
    <n v="0"/>
    <n v="0"/>
    <n v="29"/>
    <n v="0"/>
    <n v="0"/>
    <n v="0"/>
    <n v="29"/>
    <n v="0"/>
    <n v="29"/>
    <n v="0"/>
    <n v="0"/>
    <n v="0"/>
    <n v="29"/>
    <n v="0"/>
    <n v="0"/>
    <m/>
    <m/>
    <m/>
    <m/>
    <m/>
    <m/>
    <m/>
    <m/>
    <m/>
    <m/>
    <m/>
    <m/>
    <m/>
    <m/>
    <m/>
    <m/>
    <m/>
    <m/>
    <m/>
    <m/>
    <m/>
    <m/>
    <m/>
    <m/>
    <m/>
    <m/>
    <m/>
    <m/>
    <m/>
    <m/>
    <m/>
    <m/>
    <m/>
    <m/>
  </r>
  <r>
    <n v="743"/>
    <d v="2025-01-10T00:00:00"/>
    <s v="ZBTO"/>
    <n v="9518420533"/>
    <n v="7"/>
    <s v="9518420533-7"/>
    <m/>
    <s v="No Priority"/>
    <s v="Released orders"/>
    <x v="2"/>
    <x v="2"/>
    <n v="2000"/>
    <m/>
    <x v="1"/>
    <m/>
    <m/>
    <s v="Jharkhand"/>
    <s v="East"/>
    <m/>
    <m/>
    <n v="185794"/>
    <s v="Shree Bajrang Steel Udyog"/>
    <n v="1854413"/>
    <s v="GP COIL SOFT-TATXGP-GK09-0.45X900"/>
    <n v="80"/>
    <s v=""/>
    <m/>
    <m/>
    <s v="Narrow"/>
    <s v="C02"/>
    <s v="TATXGP"/>
    <s v="GK09"/>
    <n v="0.45"/>
    <n v="900"/>
    <n v="0"/>
    <n v="21"/>
    <n v="19.645"/>
    <n v="21"/>
    <n v="21"/>
    <n v="19.27"/>
    <n v="0"/>
    <m/>
    <n v="19.27"/>
    <n v="0"/>
    <n v="1.355"/>
    <n v="0"/>
    <n v="23.520000000000003"/>
    <n v="0"/>
    <n v="0"/>
    <n v="0"/>
    <n v="0"/>
    <n v="0"/>
    <n v="0"/>
    <n v="0"/>
    <n v="0"/>
    <n v="0"/>
    <n v="0"/>
    <n v="0"/>
    <n v="0"/>
    <n v="0"/>
    <n v="0"/>
    <n v="0"/>
    <n v="0"/>
    <n v="0"/>
    <n v="0"/>
    <n v="0"/>
    <n v="0"/>
    <n v="0"/>
    <n v="19.27"/>
    <n v="0"/>
    <n v="0"/>
    <n v="0"/>
    <n v="0"/>
    <n v="0"/>
    <n v="0"/>
    <n v="0"/>
    <n v="0"/>
    <n v="0"/>
    <n v="0"/>
    <n v="0"/>
    <n v="0"/>
    <n v="0"/>
    <n v="0"/>
    <n v="0"/>
    <n v="0"/>
    <n v="0"/>
    <n v="0"/>
    <n v="0"/>
    <n v="0"/>
    <n v="0"/>
    <m/>
    <m/>
    <m/>
    <m/>
    <m/>
    <m/>
    <m/>
    <m/>
    <m/>
    <s v="1"/>
    <s v="1"/>
    <s v="1"/>
    <s v="1"/>
    <s v="1"/>
    <m/>
    <m/>
    <m/>
    <m/>
    <m/>
    <m/>
    <m/>
    <m/>
    <m/>
    <m/>
    <m/>
    <m/>
    <m/>
    <m/>
  </r>
  <r>
    <n v="744"/>
    <d v="2024-12-28T00:00:00"/>
    <s v="ZBTO"/>
    <n v="9518384379"/>
    <n v="1"/>
    <s v="9518384379-1"/>
    <m/>
    <s v="Stocks"/>
    <s v="Released orders"/>
    <x v="4"/>
    <x v="7"/>
    <n v="1000"/>
    <m/>
    <x v="0"/>
    <m/>
    <m/>
    <s v="Jharkhand"/>
    <s v="East"/>
    <m/>
    <m/>
    <n v="941597"/>
    <s v="TATA BLUESCOPE STEEL PRIVATE L"/>
    <n v="3902332"/>
    <s v="PPGL C HARD Y550PL D0C9 0.50(TPT)X1220"/>
    <n v="150"/>
    <s v="RAL 9002 TSL 1801"/>
    <m/>
    <m/>
    <s v="Wider"/>
    <s v="B18"/>
    <s v="Y550PL"/>
    <s v="D0C9"/>
    <n v="0.5"/>
    <n v="1220"/>
    <n v="0"/>
    <n v="196"/>
    <n v="178.11"/>
    <n v="87.614999999999995"/>
    <n v="83.305000000000007"/>
    <n v="73.344999999999999"/>
    <n v="0"/>
    <m/>
    <n v="73.344999999999999"/>
    <n v="0"/>
    <n v="17.87"/>
    <n v="0"/>
    <n v="0"/>
    <n v="0"/>
    <n v="0"/>
    <n v="0"/>
    <n v="0"/>
    <n v="0"/>
    <n v="0"/>
    <n v="4.8"/>
    <n v="0"/>
    <n v="14.315000000000001"/>
    <n v="0"/>
    <n v="0"/>
    <n v="0"/>
    <n v="0"/>
    <n v="0"/>
    <n v="51.965000000000003"/>
    <n v="0"/>
    <n v="0"/>
    <n v="16.25"/>
    <n v="87.330000000000013"/>
    <n v="87.330000000000013"/>
    <n v="0"/>
    <n v="87.330000000000013"/>
    <n v="0"/>
    <n v="3.68"/>
    <n v="0"/>
    <n v="0"/>
    <n v="0"/>
    <n v="0"/>
    <n v="0"/>
    <n v="0"/>
    <n v="3.68"/>
    <n v="0"/>
    <n v="3.68"/>
    <n v="0"/>
    <n v="0"/>
    <n v="0"/>
    <n v="0"/>
    <n v="0"/>
    <n v="0"/>
    <n v="0"/>
    <n v="0"/>
    <n v="0"/>
    <n v="0"/>
    <m/>
    <m/>
    <m/>
    <m/>
    <m/>
    <m/>
    <m/>
    <m/>
    <m/>
    <s v="1"/>
    <s v="1"/>
    <s v="1"/>
    <s v="1"/>
    <s v="1"/>
    <m/>
    <m/>
    <m/>
    <m/>
    <m/>
    <m/>
    <m/>
    <m/>
    <m/>
    <m/>
    <m/>
    <m/>
    <m/>
    <m/>
  </r>
  <r>
    <n v="744"/>
    <d v="2025-01-28T00:00:00"/>
    <s v="ZBTO"/>
    <n v="9518469563"/>
    <n v="2"/>
    <s v="9518469563-2"/>
    <m/>
    <s v="Stocks"/>
    <s v="Released orders"/>
    <x v="4"/>
    <x v="7"/>
    <n v="1000"/>
    <m/>
    <x v="0"/>
    <m/>
    <m/>
    <s v="Jharkhand"/>
    <s v="East"/>
    <m/>
    <m/>
    <n v="941597"/>
    <s v="TATA BLUESCOPE STEEL PRIVATE L"/>
    <n v="3895039"/>
    <s v="PPGL C HARD Y550PL PLH5 0.420X1220"/>
    <n v="200"/>
    <s v="RAL 9002 TSL 142A"/>
    <m/>
    <m/>
    <s v="Wider"/>
    <s v="B18"/>
    <s v="Y550PL"/>
    <s v="PLH5"/>
    <n v="0.42"/>
    <n v="1220"/>
    <n v="0"/>
    <n v="28"/>
    <n v="26.954999999999998"/>
    <n v="28"/>
    <n v="20.18"/>
    <n v="29.745000000000001"/>
    <n v="0"/>
    <m/>
    <n v="29.745000000000001"/>
    <n v="0"/>
    <n v="1.0449999999999999"/>
    <n v="0"/>
    <n v="0"/>
    <n v="0"/>
    <n v="0"/>
    <n v="0"/>
    <n v="0"/>
    <n v="21.32"/>
    <n v="0"/>
    <n v="4.2"/>
    <n v="0"/>
    <n v="1.5"/>
    <n v="0"/>
    <n v="0"/>
    <n v="0"/>
    <n v="0"/>
    <n v="0"/>
    <n v="0"/>
    <n v="0"/>
    <n v="0"/>
    <n v="12.045"/>
    <n v="39.064999999999998"/>
    <n v="39.064999999999998"/>
    <n v="0"/>
    <n v="39.064999999999998"/>
    <n v="0"/>
    <n v="12.045"/>
    <n v="0"/>
    <n v="0"/>
    <n v="0"/>
    <n v="0"/>
    <n v="0"/>
    <n v="0"/>
    <n v="12.045"/>
    <n v="0"/>
    <n v="12.045"/>
    <n v="0"/>
    <n v="0"/>
    <n v="0"/>
    <n v="0"/>
    <n v="0"/>
    <n v="0"/>
    <n v="0"/>
    <n v="0"/>
    <n v="0"/>
    <n v="0"/>
    <m/>
    <m/>
    <m/>
    <m/>
    <m/>
    <m/>
    <m/>
    <m/>
    <m/>
    <s v="1"/>
    <s v="1"/>
    <s v="1"/>
    <s v="1"/>
    <s v="1"/>
    <m/>
    <m/>
    <m/>
    <m/>
    <m/>
    <m/>
    <m/>
    <m/>
    <m/>
    <m/>
    <m/>
    <m/>
    <m/>
    <m/>
  </r>
  <r>
    <n v="744"/>
    <d v="2025-01-28T00:00:00"/>
    <s v="ZBTO"/>
    <n v="9518470170"/>
    <n v="1"/>
    <s v="9518470170-1"/>
    <m/>
    <s v="Stocks"/>
    <s v="Released orders"/>
    <x v="4"/>
    <x v="7"/>
    <n v="1000"/>
    <m/>
    <x v="0"/>
    <m/>
    <m/>
    <s v="Jharkhand"/>
    <s v="East"/>
    <m/>
    <m/>
    <n v="941597"/>
    <s v="TATA BLUESCOPE STEEL PRIVATE L"/>
    <n v="3933289"/>
    <s v="PPGL C HARD Y550PL PLH5 0.500X1220"/>
    <n v="200"/>
    <s v="RAL 5012 TSL 245"/>
    <m/>
    <m/>
    <s v="Wider"/>
    <s v="B18"/>
    <s v="Y550PL"/>
    <s v="PLH5"/>
    <n v="0.5"/>
    <n v="1220"/>
    <n v="0"/>
    <n v="28"/>
    <n v="23.76"/>
    <n v="28"/>
    <n v="24.599"/>
    <n v="48.945"/>
    <n v="0"/>
    <m/>
    <n v="48.945"/>
    <n v="0"/>
    <n v="4.2389999999999999"/>
    <n v="0"/>
    <n v="0"/>
    <n v="0"/>
    <n v="0"/>
    <n v="0"/>
    <n v="0"/>
    <n v="0"/>
    <n v="0"/>
    <n v="0"/>
    <n v="0"/>
    <n v="17.705000000000002"/>
    <n v="0"/>
    <n v="0"/>
    <n v="0"/>
    <n v="0"/>
    <n v="0"/>
    <n v="7.6050000000000004"/>
    <n v="0"/>
    <n v="0"/>
    <n v="0"/>
    <n v="25.310000000000002"/>
    <n v="25.310000000000002"/>
    <n v="0"/>
    <n v="25.310000000000002"/>
    <n v="0"/>
    <n v="23.759999999999998"/>
    <n v="0"/>
    <n v="0"/>
    <n v="0"/>
    <n v="0"/>
    <n v="0"/>
    <n v="0"/>
    <n v="23.759999999999998"/>
    <n v="0"/>
    <n v="23.759999999999998"/>
    <n v="0"/>
    <n v="0"/>
    <n v="0"/>
    <n v="0"/>
    <n v="0"/>
    <n v="0"/>
    <n v="0"/>
    <n v="0"/>
    <n v="0"/>
    <n v="0"/>
    <m/>
    <m/>
    <m/>
    <m/>
    <m/>
    <m/>
    <m/>
    <m/>
    <m/>
    <s v="1"/>
    <s v="1"/>
    <s v="1"/>
    <s v="1"/>
    <s v="1"/>
    <m/>
    <m/>
    <m/>
    <m/>
    <m/>
    <m/>
    <m/>
    <m/>
    <m/>
    <m/>
    <m/>
    <m/>
    <m/>
    <m/>
  </r>
  <r>
    <n v="744"/>
    <d v="2024-11-28T00:00:00"/>
    <s v="ZBTO"/>
    <n v="9518298694"/>
    <n v="3"/>
    <s v="9518298694-3"/>
    <m/>
    <s v="Feb'25"/>
    <s v="Released orders"/>
    <x v="4"/>
    <x v="7"/>
    <n v="1000"/>
    <m/>
    <x v="0"/>
    <m/>
    <m/>
    <m/>
    <s v="East"/>
    <s v="GAMHARIA"/>
    <m/>
    <n v="940016"/>
    <s v="TATA BLUESCOPE STEEL PVT LTD."/>
    <n v="3837004"/>
    <s v="PPGL C YS550 HPL8 0.40BMT(0.45TPT)X1220"/>
    <n v="70"/>
    <s v="NEON BLUE TSL 147"/>
    <n v="3"/>
    <n v="5"/>
    <s v="Wider"/>
    <s v="B18"/>
    <s v="Y550PL"/>
    <s v="HPL8"/>
    <n v="0.4"/>
    <n v="1220"/>
    <n v="0"/>
    <n v="280"/>
    <n v="255.6"/>
    <n v="24.4"/>
    <n v="24.4"/>
    <n v="0"/>
    <n v="24.4"/>
    <m/>
    <m/>
    <n v="24.4"/>
    <n v="24.4"/>
    <n v="0"/>
    <n v="27.327999999999999"/>
    <n v="0"/>
    <n v="0"/>
    <n v="0"/>
    <n v="0"/>
    <n v="0"/>
    <n v="0"/>
    <n v="0"/>
    <n v="0"/>
    <n v="0"/>
    <n v="0"/>
    <n v="0"/>
    <n v="0"/>
    <n v="0"/>
    <n v="0"/>
    <n v="0"/>
    <n v="0"/>
    <n v="0"/>
    <n v="0"/>
    <n v="0"/>
    <n v="0"/>
    <n v="0"/>
    <n v="0"/>
    <n v="0"/>
    <n v="4.55"/>
    <n v="0"/>
    <n v="0"/>
    <n v="0"/>
    <n v="0"/>
    <n v="0"/>
    <n v="0"/>
    <n v="4.55"/>
    <n v="0"/>
    <n v="4.55"/>
    <n v="0"/>
    <n v="0"/>
    <n v="0"/>
    <n v="0"/>
    <n v="0"/>
    <n v="0"/>
    <n v="0"/>
    <n v="0"/>
    <n v="0"/>
    <n v="0"/>
    <m/>
    <m/>
    <m/>
    <m/>
    <m/>
    <m/>
    <m/>
    <m/>
    <m/>
    <s v="1"/>
    <s v="1"/>
    <s v="1"/>
    <s v="1"/>
    <s v="1"/>
    <m/>
    <m/>
    <m/>
    <m/>
    <m/>
    <m/>
    <m/>
    <m/>
    <m/>
    <m/>
    <m/>
    <m/>
    <m/>
    <m/>
  </r>
  <r>
    <n v="744"/>
    <d v="2025-01-23T00:00:00"/>
    <s v="ZBTO"/>
    <n v="9518453235"/>
    <n v="7"/>
    <s v="9518453235-7"/>
    <m/>
    <s v="Mar'25 additional"/>
    <s v="Released orders"/>
    <x v="4"/>
    <x v="7"/>
    <n v="1000"/>
    <m/>
    <x v="0"/>
    <m/>
    <m/>
    <s v="Jharkhand"/>
    <s v="East"/>
    <m/>
    <m/>
    <n v="940016"/>
    <s v="TATA BLUESCOPE STEEL PVT LTD."/>
    <n v="3883538"/>
    <s v="PPGL C HARD Y550PL ISC6 0.300X1220"/>
    <n v="70"/>
    <s v="PRO GREY TSL 1916"/>
    <m/>
    <m/>
    <s v="Wider"/>
    <s v="B18"/>
    <s v="Y550PL"/>
    <s v="ISC6"/>
    <n v="0.3"/>
    <n v="1220"/>
    <n v="0"/>
    <n v="28"/>
    <n v="0"/>
    <n v="28"/>
    <n v="28"/>
    <n v="27.9"/>
    <n v="0.1"/>
    <m/>
    <n v="27.9"/>
    <n v="0"/>
    <n v="28"/>
    <n v="0"/>
    <n v="0"/>
    <n v="28.72"/>
    <n v="0"/>
    <n v="0"/>
    <n v="0"/>
    <n v="10.61"/>
    <n v="0"/>
    <n v="0"/>
    <n v="0"/>
    <n v="0"/>
    <n v="0"/>
    <n v="0"/>
    <n v="0"/>
    <n v="0"/>
    <n v="0"/>
    <n v="0"/>
    <n v="0"/>
    <n v="0"/>
    <n v="0"/>
    <n v="39.33"/>
    <n v="39.33"/>
    <n v="0"/>
    <n v="39.33"/>
    <n v="0"/>
    <n v="0"/>
    <n v="28"/>
    <n v="0"/>
    <n v="0"/>
    <n v="0"/>
    <n v="0"/>
    <n v="28"/>
    <n v="28"/>
    <n v="0"/>
    <n v="0"/>
    <n v="0"/>
    <n v="0"/>
    <n v="28"/>
    <n v="0"/>
    <n v="0"/>
    <n v="0"/>
    <n v="0"/>
    <n v="0"/>
    <n v="0"/>
    <n v="0"/>
    <m/>
    <m/>
    <m/>
    <m/>
    <m/>
    <m/>
    <m/>
    <m/>
    <m/>
    <s v="1"/>
    <s v="1"/>
    <s v="1"/>
    <s v="1"/>
    <s v="0"/>
    <m/>
    <m/>
    <m/>
    <m/>
    <m/>
    <m/>
    <m/>
    <m/>
    <m/>
    <m/>
    <m/>
    <m/>
    <m/>
    <m/>
  </r>
  <r>
    <n v="743"/>
    <d v="2025-01-30T00:00:00"/>
    <s v="ZBTO"/>
    <n v="9518477269"/>
    <n v="3"/>
    <s v="9518477269-3"/>
    <m/>
    <s v="Feb'25"/>
    <s v="Released orders"/>
    <x v="2"/>
    <x v="6"/>
    <n v="2000"/>
    <m/>
    <x v="0"/>
    <m/>
    <m/>
    <m/>
    <s v="West"/>
    <s v="SIYAGANJ"/>
    <m/>
    <n v="944695"/>
    <s v="ANM ISPAT PRIVATE LIMITED"/>
    <n v="1851091"/>
    <s v="GP COIL SOFT-TATXGP-GK09-0.4X1250"/>
    <s v="Z80"/>
    <m/>
    <n v="1"/>
    <n v="5"/>
    <s v="Wider"/>
    <s v="C02"/>
    <s v="TATXGP"/>
    <s v="GK09"/>
    <n v="0.4"/>
    <n v="1250"/>
    <n v="0"/>
    <n v="29"/>
    <n v="0"/>
    <n v="29"/>
    <n v="29"/>
    <n v="0"/>
    <n v="29"/>
    <m/>
    <m/>
    <n v="29"/>
    <n v="29"/>
    <n v="0"/>
    <n v="32.480000000000004"/>
    <n v="0"/>
    <n v="0"/>
    <n v="0"/>
    <n v="0"/>
    <n v="0"/>
    <n v="0"/>
    <n v="0"/>
    <n v="0"/>
    <n v="0"/>
    <n v="0"/>
    <n v="0"/>
    <n v="0"/>
    <n v="0"/>
    <n v="0"/>
    <n v="0"/>
    <n v="0"/>
    <n v="0"/>
    <n v="0"/>
    <n v="0"/>
    <n v="0"/>
    <n v="0"/>
    <n v="0"/>
    <n v="0"/>
    <n v="0"/>
    <n v="29"/>
    <n v="0"/>
    <n v="0"/>
    <n v="0"/>
    <n v="29"/>
    <n v="0"/>
    <n v="29"/>
    <n v="0"/>
    <n v="0"/>
    <n v="0"/>
    <n v="29"/>
    <n v="0"/>
    <n v="0"/>
    <n v="0"/>
    <n v="0"/>
    <n v="0"/>
    <n v="0"/>
    <n v="0"/>
    <n v="0"/>
    <m/>
    <m/>
    <m/>
    <m/>
    <m/>
    <m/>
    <m/>
    <m/>
    <m/>
    <s v="1"/>
    <s v="1"/>
    <s v="1"/>
    <s v="0"/>
    <s v="1"/>
    <m/>
    <m/>
    <m/>
    <m/>
    <m/>
    <m/>
    <m/>
    <m/>
    <m/>
    <m/>
    <m/>
    <m/>
    <m/>
    <m/>
  </r>
  <r>
    <n v="743"/>
    <d v="2025-02-10T00:00:00"/>
    <s v="ZBTO"/>
    <n v="9518507805"/>
    <n v="1"/>
    <s v="9518507805-1"/>
    <m/>
    <s v="Stocks"/>
    <s v="Released orders"/>
    <x v="2"/>
    <x v="6"/>
    <s v="2200-BPRS"/>
    <m/>
    <x v="0"/>
    <m/>
    <m/>
    <m/>
    <m/>
    <s v="NAGPUR"/>
    <m/>
    <n v="930519"/>
    <s v="JAUSHNA STEELS (INDIA) PVT. LTD."/>
    <n v="1854410"/>
    <s v="GP COIL SOFT-TATXGP-GK09-0.4X1220"/>
    <s v="Z80"/>
    <s v=""/>
    <n v="3"/>
    <n v="5"/>
    <s v="Wider"/>
    <s v="C02"/>
    <s v="TATXGP"/>
    <s v="GK09"/>
    <n v="0.4"/>
    <n v="1220"/>
    <n v="0"/>
    <n v="28"/>
    <n v="26.76"/>
    <n v="28"/>
    <n v="28"/>
    <n v="0"/>
    <n v="28"/>
    <n v="25"/>
    <m/>
    <n v="28"/>
    <n v="1.24"/>
    <n v="0"/>
    <n v="31.360000000000003"/>
    <n v="0"/>
    <n v="0"/>
    <n v="0"/>
    <n v="0"/>
    <n v="0"/>
    <n v="0"/>
    <n v="0"/>
    <n v="0"/>
    <n v="0"/>
    <n v="0"/>
    <n v="0"/>
    <n v="0"/>
    <n v="0"/>
    <n v="0"/>
    <n v="0"/>
    <n v="0"/>
    <n v="0"/>
    <n v="0"/>
    <n v="0"/>
    <n v="0"/>
    <n v="0"/>
    <n v="0"/>
    <n v="0"/>
    <n v="17.68"/>
    <n v="0"/>
    <n v="0"/>
    <n v="0"/>
    <n v="0"/>
    <n v="0"/>
    <n v="0"/>
    <n v="17.68"/>
    <n v="0"/>
    <n v="17.68"/>
    <n v="0"/>
    <n v="0"/>
    <n v="0"/>
    <n v="0"/>
    <m/>
    <m/>
    <m/>
    <m/>
    <m/>
    <m/>
    <m/>
    <m/>
    <m/>
    <m/>
    <m/>
    <m/>
    <m/>
    <m/>
    <m/>
    <m/>
    <m/>
    <m/>
    <m/>
    <m/>
    <m/>
    <m/>
    <m/>
    <m/>
    <m/>
    <m/>
    <m/>
    <m/>
    <m/>
    <m/>
    <m/>
    <m/>
    <m/>
    <m/>
  </r>
  <r>
    <n v="742"/>
    <d v="2024-10-08T00:00:00"/>
    <s v="ZBTO"/>
    <n v="9518166254"/>
    <n v="4"/>
    <s v="9518166254-4"/>
    <m/>
    <s v="Feb'25"/>
    <s v="Released orders"/>
    <x v="1"/>
    <x v="1"/>
    <n v="2000"/>
    <m/>
    <x v="0"/>
    <s v="Mar"/>
    <s v="Added to consume WIP"/>
    <m/>
    <s v="East"/>
    <s v="GUWAHATI"/>
    <m/>
    <n v="116649"/>
    <s v="SAGAR STEELS"/>
    <n v="3241360"/>
    <s v="CR COIL TATCRC SR26 0.330X900"/>
    <m/>
    <m/>
    <m/>
    <m/>
    <s v="Narrow"/>
    <s v="C01"/>
    <s v="TATCRC"/>
    <s v="SR26"/>
    <n v="0.33"/>
    <n v="900"/>
    <n v="0"/>
    <n v="42"/>
    <n v="11.2"/>
    <n v="42"/>
    <n v="30.79"/>
    <n v="6.52"/>
    <n v="24.27"/>
    <m/>
    <n v="19.350000000000001"/>
    <n v="22.65"/>
    <n v="30.79"/>
    <n v="0"/>
    <n v="25.368000000000002"/>
    <n v="0"/>
    <n v="0"/>
    <n v="0"/>
    <n v="0"/>
    <n v="0"/>
    <n v="0"/>
    <n v="0"/>
    <n v="0"/>
    <n v="0"/>
    <n v="0"/>
    <n v="0"/>
    <n v="0"/>
    <n v="0"/>
    <n v="19.350000000000001"/>
    <n v="0"/>
    <n v="0"/>
    <n v="0"/>
    <n v="0"/>
    <n v="19.350000000000001"/>
    <n v="19.350000000000001"/>
    <n v="0"/>
    <n v="19.350000000000001"/>
    <n v="-12.830000000000002"/>
    <n v="0"/>
    <n v="30.79"/>
    <n v="0"/>
    <n v="0"/>
    <n v="0"/>
    <n v="0"/>
    <n v="30.79"/>
    <n v="30.79"/>
    <n v="0"/>
    <n v="0"/>
    <n v="0"/>
    <n v="0"/>
    <n v="30.79"/>
    <n v="0"/>
    <n v="0"/>
    <n v="0"/>
    <n v="0"/>
    <n v="0"/>
    <n v="0"/>
    <n v="0"/>
    <m/>
    <m/>
    <m/>
    <m/>
    <m/>
    <m/>
    <m/>
    <m/>
    <m/>
    <s v="1"/>
    <s v="1"/>
    <s v="1"/>
    <s v="1"/>
    <s v="0"/>
    <m/>
    <m/>
    <m/>
    <m/>
    <m/>
    <m/>
    <m/>
    <m/>
    <m/>
    <m/>
    <m/>
    <m/>
    <m/>
    <m/>
  </r>
  <r>
    <n v="743"/>
    <m/>
    <s v="ZBTO"/>
    <n v="9518199177"/>
    <n v="2"/>
    <s v="9518199177-2"/>
    <m/>
    <s v="Feb'25"/>
    <s v="Released orders"/>
    <x v="2"/>
    <x v="6"/>
    <n v="2000"/>
    <m/>
    <x v="0"/>
    <m/>
    <s v="Added to consume WIP"/>
    <m/>
    <s v="East"/>
    <m/>
    <m/>
    <m/>
    <s v="BMW VENTURES LIMITED"/>
    <m/>
    <m/>
    <m/>
    <m/>
    <m/>
    <m/>
    <s v="Narrow"/>
    <s v="B11"/>
    <m/>
    <s v="GK09"/>
    <n v="0.3"/>
    <n v="900"/>
    <n v="2370"/>
    <n v="126"/>
    <n v="52.265000000000001"/>
    <n v="120.625"/>
    <n v="110.34"/>
    <n v="98.15"/>
    <n v="0"/>
    <m/>
    <n v="98.15"/>
    <n v="12.189999999999998"/>
    <n v="73.734999999999999"/>
    <n v="0"/>
    <n v="40.381600000000013"/>
    <n v="0"/>
    <n v="0"/>
    <n v="0"/>
    <n v="0"/>
    <n v="0"/>
    <n v="0"/>
    <n v="0"/>
    <n v="84.57"/>
    <n v="0"/>
    <n v="0"/>
    <n v="0"/>
    <n v="0"/>
    <n v="0"/>
    <n v="0"/>
    <n v="0"/>
    <n v="0"/>
    <n v="0"/>
    <n v="0"/>
    <n v="84.57"/>
    <n v="84.57"/>
    <n v="0"/>
    <n v="98.15"/>
    <n v="0"/>
    <n v="26.999999999999996"/>
    <n v="73.734999999999999"/>
    <n v="0"/>
    <n v="0"/>
    <n v="0"/>
    <n v="73.734999999999999"/>
    <n v="0"/>
    <n v="100.735"/>
    <n v="0"/>
    <n v="0"/>
    <n v="0"/>
    <n v="0"/>
    <n v="100.735"/>
    <n v="0"/>
    <n v="0"/>
    <n v="0"/>
    <n v="0"/>
    <n v="0"/>
    <n v="0"/>
    <n v="0"/>
    <m/>
    <m/>
    <m/>
    <m/>
    <m/>
    <m/>
    <m/>
    <m/>
    <m/>
    <s v="1"/>
    <s v="1"/>
    <s v="1"/>
    <s v="0"/>
    <s v="1"/>
    <m/>
    <m/>
    <m/>
    <m/>
    <m/>
    <m/>
    <m/>
    <m/>
    <m/>
    <m/>
    <m/>
    <m/>
    <m/>
    <m/>
  </r>
  <r>
    <n v="743"/>
    <d v="2025-02-03T00:00:00"/>
    <s v="ZBTF"/>
    <n v="9518490503"/>
    <n v="1"/>
    <s v="9518490503-1"/>
    <m/>
    <s v="Stocks"/>
    <s v="Released orders"/>
    <x v="2"/>
    <x v="0"/>
    <s v="2000-BPRS"/>
    <m/>
    <x v="0"/>
    <m/>
    <s v="De-prioritized due to narrow HR unavailability"/>
    <m/>
    <s v="East"/>
    <s v="TCIL-JAMSHEDPUR"/>
    <m/>
    <n v="600250"/>
    <s v="TATA CENTER"/>
    <n v="3230681"/>
    <s v="GP COIL TATXGP GLR1 0.420X1220"/>
    <s v="Z80"/>
    <s v=""/>
    <m/>
    <m/>
    <s v="Wider"/>
    <s v="C02"/>
    <s v="TATXGP"/>
    <s v="GLR1"/>
    <n v="0.42"/>
    <n v="1220"/>
    <n v="0"/>
    <n v="252"/>
    <n v="46.16"/>
    <n v="252"/>
    <n v="252"/>
    <n v="0"/>
    <n v="252"/>
    <m/>
    <m/>
    <n v="252"/>
    <n v="205.84"/>
    <n v="0"/>
    <n v="282.24"/>
    <n v="0"/>
    <n v="0"/>
    <n v="0"/>
    <n v="0"/>
    <n v="0"/>
    <n v="0"/>
    <n v="0"/>
    <n v="0"/>
    <n v="0"/>
    <n v="0"/>
    <n v="0"/>
    <n v="0"/>
    <n v="0"/>
    <n v="0"/>
    <n v="0"/>
    <n v="0"/>
    <n v="0"/>
    <n v="0"/>
    <n v="0"/>
    <n v="0"/>
    <n v="0"/>
    <n v="0"/>
    <n v="0"/>
    <n v="46.16"/>
    <n v="0"/>
    <n v="0"/>
    <n v="0"/>
    <n v="0"/>
    <n v="0"/>
    <n v="0"/>
    <n v="46.16"/>
    <n v="0"/>
    <n v="46.16"/>
    <n v="0"/>
    <n v="0"/>
    <n v="0"/>
    <n v="0"/>
    <n v="0"/>
    <n v="0"/>
    <n v="0"/>
    <n v="0"/>
    <n v="0"/>
    <n v="0"/>
    <m/>
    <m/>
    <m/>
    <m/>
    <m/>
    <m/>
    <m/>
    <m/>
    <m/>
    <s v="1"/>
    <s v="1"/>
    <s v="1"/>
    <s v="1"/>
    <s v="1"/>
    <m/>
    <m/>
    <m/>
    <m/>
    <m/>
    <m/>
    <m/>
    <m/>
    <m/>
    <m/>
    <m/>
    <m/>
    <m/>
    <m/>
  </r>
  <r>
    <n v="743"/>
    <d v="2025-02-10T00:00:00"/>
    <s v="ZBTO"/>
    <n v="9518508302"/>
    <n v="1"/>
    <s v="9518508302-1"/>
    <m/>
    <s v="Mar'25"/>
    <s v="Released orders"/>
    <x v="2"/>
    <x v="6"/>
    <s v="2000-BPRS"/>
    <m/>
    <x v="0"/>
    <m/>
    <m/>
    <m/>
    <m/>
    <s v="WEST BOKARO"/>
    <m/>
    <n v="185794"/>
    <s v="Shree Bajrang Steel Udyog"/>
    <n v="1300229"/>
    <s v="GP COIL SOFT-TATXGP-GLK1-0.4X1220"/>
    <s v="Z80"/>
    <s v=""/>
    <n v="4"/>
    <n v="12"/>
    <s v="Wider"/>
    <s v="C02"/>
    <s v="TATXGP"/>
    <s v="GLK1"/>
    <n v="0.4"/>
    <n v="1220"/>
    <n v="0"/>
    <n v="28"/>
    <n v="0"/>
    <n v="28"/>
    <n v="28"/>
    <n v="0"/>
    <n v="28"/>
    <m/>
    <m/>
    <n v="28"/>
    <n v="28"/>
    <n v="0"/>
    <n v="31.360000000000003"/>
    <n v="0"/>
    <n v="0"/>
    <n v="0"/>
    <n v="0"/>
    <n v="0"/>
    <n v="0"/>
    <n v="0"/>
    <n v="0"/>
    <n v="0"/>
    <n v="0"/>
    <n v="0"/>
    <n v="0"/>
    <n v="0"/>
    <n v="0"/>
    <n v="0"/>
    <n v="0"/>
    <n v="0"/>
    <n v="0"/>
    <n v="0"/>
    <n v="0"/>
    <n v="0"/>
    <n v="0"/>
    <n v="0"/>
    <n v="0"/>
    <n v="28"/>
    <n v="0"/>
    <n v="0"/>
    <n v="28"/>
    <n v="0"/>
    <n v="0"/>
    <n v="28"/>
    <n v="0"/>
    <n v="0"/>
    <n v="28"/>
    <n v="0"/>
    <n v="0"/>
    <n v="0"/>
    <m/>
    <m/>
    <m/>
    <m/>
    <m/>
    <m/>
    <m/>
    <m/>
    <m/>
    <m/>
    <m/>
    <m/>
    <m/>
    <m/>
    <m/>
    <m/>
    <m/>
    <m/>
    <m/>
    <m/>
    <m/>
    <m/>
    <m/>
    <m/>
    <m/>
    <m/>
    <m/>
    <m/>
    <m/>
    <m/>
    <m/>
    <m/>
    <m/>
    <m/>
  </r>
  <r>
    <n v="742"/>
    <d v="2025-02-07T00:00:00"/>
    <s v="ZBTO"/>
    <n v="9518500318"/>
    <n v="1"/>
    <s v="9518500318-1"/>
    <m/>
    <s v="Mar'25"/>
    <s v="Released orders"/>
    <x v="5"/>
    <x v="5"/>
    <s v="1000-IPPE"/>
    <n v="300"/>
    <x v="0"/>
    <m/>
    <m/>
    <m/>
    <s v="West"/>
    <s v="VILLAGE-PRAGPAR"/>
    <m/>
    <n v="189108"/>
    <s v="Manaksia Coated Metals &amp; Industries"/>
    <n v="2320878"/>
    <s v="CRFH COIL TATFHC TR10 0.360X1250"/>
    <s v=" "/>
    <s v=""/>
    <m/>
    <m/>
    <s v="Wider"/>
    <s v="C09"/>
    <s v="TATFHC"/>
    <s v="TR10"/>
    <n v="0.36"/>
    <n v="1250"/>
    <n v="0"/>
    <n v="261"/>
    <n v="0"/>
    <n v="261"/>
    <n v="261"/>
    <n v="0"/>
    <n v="261"/>
    <m/>
    <n v="0"/>
    <n v="261"/>
    <n v="261"/>
    <n v="0"/>
    <n v="292.32000000000005"/>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5-02-05T00:00:00"/>
    <s v="ZBTO"/>
    <n v="9518496230"/>
    <n v="3"/>
    <s v="9518496230-3"/>
    <m/>
    <s v="No Priority"/>
    <s v="Released orders"/>
    <x v="3"/>
    <x v="12"/>
    <s v="1000-IPPE"/>
    <m/>
    <x v="1"/>
    <m/>
    <m/>
    <m/>
    <s v="East"/>
    <s v="PURBA MEDINIPUR"/>
    <m/>
    <n v="189406"/>
    <s v="Manaksia Steels Limited"/>
    <n v="2427832"/>
    <s v="GL COIL HARD  Y550GL H7GL 0.400X1245"/>
    <s v="aZ70"/>
    <s v=""/>
    <m/>
    <m/>
    <s v="Wider"/>
    <s v="B04"/>
    <s v="Y550GL"/>
    <s v="H7GL"/>
    <n v="0.4"/>
    <n v="1245"/>
    <n v="0"/>
    <n v="145"/>
    <n v="153.97999999999999"/>
    <n v="18.940000000000001"/>
    <n v="-8.98"/>
    <n v="13.955"/>
    <n v="0"/>
    <m/>
    <m/>
    <n v="0"/>
    <n v="0"/>
    <n v="0"/>
    <n v="0"/>
    <n v="0"/>
    <n v="0"/>
    <n v="0"/>
    <n v="0"/>
    <n v="0"/>
    <n v="0"/>
    <n v="13.955"/>
    <n v="0"/>
    <n v="0"/>
    <n v="0"/>
    <n v="0"/>
    <n v="0"/>
    <n v="0"/>
    <n v="0"/>
    <n v="0"/>
    <n v="0"/>
    <n v="0"/>
    <n v="0"/>
    <n v="13.955"/>
    <n v="13.955"/>
    <n v="0"/>
    <n v="13.955"/>
    <n v="13.955"/>
    <n v="0"/>
    <n v="0"/>
    <n v="0"/>
    <n v="0"/>
    <n v="0"/>
    <n v="0"/>
    <n v="0"/>
    <n v="0"/>
    <n v="0"/>
    <n v="0"/>
    <n v="0"/>
    <n v="0"/>
    <n v="0"/>
    <n v="0"/>
    <n v="0"/>
    <n v="0"/>
    <n v="0"/>
    <n v="0"/>
    <n v="0"/>
    <n v="0"/>
    <m/>
    <m/>
    <m/>
    <m/>
    <m/>
    <m/>
    <m/>
    <m/>
    <m/>
    <s v="1"/>
    <s v="1"/>
    <s v="1"/>
    <s v="1"/>
    <s v="1"/>
    <m/>
    <m/>
    <m/>
    <m/>
    <m/>
    <m/>
    <m/>
    <m/>
    <m/>
    <m/>
    <m/>
    <m/>
    <m/>
    <m/>
  </r>
  <r>
    <n v="743"/>
    <d v="2025-02-05T00:00:00"/>
    <s v="ZBTO"/>
    <n v="9518496230"/>
    <n v="1"/>
    <s v="9518496230-1"/>
    <m/>
    <s v="Feb'25"/>
    <s v="Released orders"/>
    <x v="3"/>
    <x v="12"/>
    <s v="1000-IPPE"/>
    <m/>
    <x v="0"/>
    <m/>
    <m/>
    <m/>
    <s v="East"/>
    <s v="PURBA MEDINIPUR"/>
    <m/>
    <n v="189406"/>
    <s v="Manaksia Steels Limited"/>
    <n v="2427835"/>
    <s v="GL COIL HARD  Y550GL H7GL 0.350X1245"/>
    <s v="aZ70"/>
    <s v=""/>
    <m/>
    <m/>
    <s v="Wider"/>
    <s v="B04"/>
    <s v="Y550GL"/>
    <s v="H7GL"/>
    <n v="0.35"/>
    <n v="1245"/>
    <n v="0"/>
    <n v="116"/>
    <n v="37.895000000000003"/>
    <n v="96.08"/>
    <n v="78.105000000000004"/>
    <n v="18.285"/>
    <n v="59.82"/>
    <n v="60"/>
    <m/>
    <n v="78.105000000000004"/>
    <n v="78.105000000000004"/>
    <n v="0"/>
    <n v="65.128"/>
    <n v="0"/>
    <n v="0"/>
    <n v="0"/>
    <n v="0"/>
    <n v="28.25"/>
    <n v="0"/>
    <n v="0"/>
    <n v="0"/>
    <n v="0"/>
    <n v="0"/>
    <n v="0"/>
    <n v="0"/>
    <n v="0"/>
    <n v="0"/>
    <n v="0"/>
    <n v="9.68"/>
    <n v="0"/>
    <n v="0"/>
    <n v="37.93"/>
    <n v="37.93"/>
    <n v="0"/>
    <n v="37.93"/>
    <n v="18.285"/>
    <n v="0"/>
    <n v="78.105000000000004"/>
    <n v="0"/>
    <n v="0"/>
    <n v="0"/>
    <n v="78.105000000000004"/>
    <n v="0"/>
    <n v="78.105000000000004"/>
    <n v="0"/>
    <n v="0"/>
    <n v="0"/>
    <n v="78.105000000000004"/>
    <n v="0"/>
    <n v="0"/>
    <n v="0"/>
    <n v="0"/>
    <n v="0"/>
    <n v="0"/>
    <n v="0"/>
    <n v="0"/>
    <m/>
    <m/>
    <m/>
    <m/>
    <m/>
    <m/>
    <m/>
    <m/>
    <m/>
    <s v="1"/>
    <s v="1"/>
    <s v="1"/>
    <s v="0"/>
    <s v="1"/>
    <m/>
    <m/>
    <m/>
    <m/>
    <m/>
    <m/>
    <m/>
    <m/>
    <m/>
    <m/>
    <m/>
    <m/>
    <m/>
    <m/>
  </r>
  <r>
    <n v="744"/>
    <d v="2025-01-31T00:00:00"/>
    <s v="ZBTO"/>
    <n v="9518482357"/>
    <n v="2"/>
    <s v="9518482357-2"/>
    <m/>
    <s v="Feb'25"/>
    <s v="Released orders"/>
    <x v="4"/>
    <x v="7"/>
    <n v="1000"/>
    <m/>
    <x v="0"/>
    <m/>
    <m/>
    <s v="Jharkhand"/>
    <s v="East"/>
    <m/>
    <m/>
    <n v="941597"/>
    <s v="TATA BLUESCOPE STEEL PRIVATE L"/>
    <n v="3902332"/>
    <s v="PPGL C HARD Y550PL D0C9 0.50(TPT)X1220"/>
    <n v="150"/>
    <s v="RAL 6011 TSL 1810"/>
    <m/>
    <m/>
    <s v="Wider"/>
    <s v="B18"/>
    <s v="Y550PL"/>
    <s v="D0C9"/>
    <n v="0.5"/>
    <n v="1220"/>
    <n v="0"/>
    <n v="28"/>
    <n v="0"/>
    <n v="28"/>
    <n v="28"/>
    <n v="0"/>
    <n v="28"/>
    <m/>
    <m/>
    <n v="28"/>
    <n v="28"/>
    <n v="0"/>
    <n v="31.360000000000003"/>
    <n v="0"/>
    <n v="0"/>
    <n v="0"/>
    <n v="0"/>
    <n v="0"/>
    <n v="0"/>
    <n v="0"/>
    <n v="0"/>
    <n v="0"/>
    <n v="0"/>
    <n v="0"/>
    <n v="0"/>
    <n v="0"/>
    <n v="0"/>
    <n v="0"/>
    <n v="0"/>
    <n v="0"/>
    <n v="0"/>
    <n v="0"/>
    <n v="0"/>
    <n v="0"/>
    <n v="0"/>
    <n v="0"/>
    <n v="0"/>
    <n v="28"/>
    <n v="0"/>
    <n v="28"/>
    <n v="0"/>
    <n v="0"/>
    <n v="0"/>
    <n v="28"/>
    <n v="0"/>
    <n v="28"/>
    <n v="0"/>
    <n v="0"/>
    <n v="0"/>
    <n v="0"/>
    <n v="0"/>
    <n v="0"/>
    <n v="0"/>
    <n v="0"/>
    <n v="0"/>
    <n v="0"/>
    <m/>
    <m/>
    <m/>
    <m/>
    <m/>
    <m/>
    <m/>
    <m/>
    <m/>
    <s v="1"/>
    <s v="0"/>
    <s v="1"/>
    <s v="1"/>
    <s v="1"/>
    <m/>
    <m/>
    <m/>
    <m/>
    <m/>
    <m/>
    <m/>
    <m/>
    <m/>
    <m/>
    <m/>
    <m/>
    <m/>
    <m/>
  </r>
  <r>
    <n v="744"/>
    <d v="2025-02-04T00:00:00"/>
    <s v="ZBTO"/>
    <n v="9518493474"/>
    <n v="1"/>
    <s v="9518493474-1"/>
    <m/>
    <s v="Stocks"/>
    <s v="Released orders"/>
    <x v="4"/>
    <x v="7"/>
    <s v="1000-IPPE"/>
    <m/>
    <x v="0"/>
    <m/>
    <m/>
    <m/>
    <s v="West"/>
    <s v="RAJASTHAN"/>
    <m/>
    <n v="940008"/>
    <s v="TATA BLUESCOPE STEEL PVT LTD."/>
    <n v="3522241"/>
    <s v="PPGL C Y550 D0C7 0.43BMT(0.47TPT)X1220"/>
    <s v="aZ70"/>
    <s v="ASIAN WHITE TSL 1901"/>
    <m/>
    <m/>
    <s v="Wider"/>
    <s v="B18"/>
    <s v="Y550PL"/>
    <s v="D0C7"/>
    <n v="0.43"/>
    <n v="1220"/>
    <n v="0"/>
    <n v="140"/>
    <n v="126.23"/>
    <n v="113.575"/>
    <n v="27.56"/>
    <n v="18.265000000000001"/>
    <n v="0"/>
    <m/>
    <n v="18.265000000000001"/>
    <n v="0"/>
    <n v="13.77"/>
    <n v="0"/>
    <n v="0"/>
    <n v="0"/>
    <n v="0"/>
    <n v="0"/>
    <n v="0"/>
    <n v="0"/>
    <n v="0"/>
    <n v="0"/>
    <n v="0"/>
    <n v="1.0550000000000002"/>
    <n v="0"/>
    <n v="0"/>
    <n v="0"/>
    <n v="0"/>
    <n v="0"/>
    <n v="4.4450000000000003"/>
    <n v="0"/>
    <n v="0"/>
    <n v="104.28"/>
    <n v="109.78"/>
    <n v="109.78"/>
    <n v="0"/>
    <n v="109.78"/>
    <n v="0"/>
    <n v="22.875"/>
    <n v="0"/>
    <n v="0"/>
    <n v="0"/>
    <n v="0"/>
    <n v="0"/>
    <n v="0"/>
    <n v="22.875"/>
    <n v="0"/>
    <n v="22.875"/>
    <n v="0"/>
    <n v="0"/>
    <n v="0"/>
    <n v="0"/>
    <n v="0"/>
    <n v="0"/>
    <n v="0"/>
    <n v="0"/>
    <n v="0"/>
    <n v="0"/>
    <m/>
    <m/>
    <m/>
    <m/>
    <m/>
    <m/>
    <m/>
    <m/>
    <m/>
    <s v="1"/>
    <s v="1"/>
    <s v="1"/>
    <s v="1"/>
    <s v="1"/>
    <m/>
    <m/>
    <m/>
    <m/>
    <m/>
    <m/>
    <m/>
    <m/>
    <m/>
    <m/>
    <m/>
    <m/>
    <m/>
    <m/>
  </r>
  <r>
    <n v="743"/>
    <d v="2025-02-05T00:00:00"/>
    <s v="ZBTO"/>
    <n v="9518496230"/>
    <n v="4"/>
    <s v="9518496230-4"/>
    <m/>
    <s v="Feb'25"/>
    <s v="Released orders"/>
    <x v="3"/>
    <x v="12"/>
    <s v="1000-IPPE"/>
    <m/>
    <x v="0"/>
    <m/>
    <m/>
    <m/>
    <s v="East"/>
    <s v="PURBA MEDINIPUR"/>
    <m/>
    <n v="189406"/>
    <s v="Manaksia Steels Limited"/>
    <n v="2427833"/>
    <s v="GL COIL HARD  Y550GL H7GL 0.450X1245"/>
    <s v="aZ70"/>
    <s v=""/>
    <m/>
    <m/>
    <s v="Wider"/>
    <s v="B04"/>
    <s v="Y550GL"/>
    <s v="H7GL"/>
    <n v="0.45"/>
    <n v="1245"/>
    <n v="0"/>
    <n v="115.99"/>
    <n v="36.74"/>
    <n v="89.5"/>
    <n v="79.25"/>
    <n v="28.157"/>
    <n v="51.093000000000004"/>
    <n v="50"/>
    <m/>
    <n v="79.25"/>
    <n v="79.25"/>
    <n v="0"/>
    <n v="33.065759999999997"/>
    <n v="0"/>
    <n v="0"/>
    <n v="0"/>
    <n v="0"/>
    <n v="14.047000000000001"/>
    <n v="0"/>
    <n v="0"/>
    <n v="0"/>
    <n v="0"/>
    <n v="0"/>
    <n v="0"/>
    <n v="0"/>
    <n v="0"/>
    <n v="0"/>
    <n v="21.240000000000002"/>
    <n v="10.58"/>
    <n v="0"/>
    <n v="14.11"/>
    <n v="59.977000000000004"/>
    <n v="59.977000000000004"/>
    <n v="0"/>
    <n v="59.977000000000004"/>
    <n v="28.157"/>
    <n v="0"/>
    <n v="79.25"/>
    <n v="0"/>
    <n v="79.25"/>
    <n v="0"/>
    <n v="0"/>
    <n v="0"/>
    <n v="79.25"/>
    <n v="0"/>
    <n v="79.25"/>
    <n v="0"/>
    <n v="0"/>
    <n v="0"/>
    <n v="0"/>
    <n v="0"/>
    <n v="0"/>
    <n v="0"/>
    <n v="0"/>
    <n v="0"/>
    <n v="0"/>
    <m/>
    <m/>
    <m/>
    <m/>
    <m/>
    <m/>
    <m/>
    <m/>
    <m/>
    <s v="1"/>
    <s v="0"/>
    <s v="1"/>
    <s v="1"/>
    <s v="1"/>
    <m/>
    <m/>
    <m/>
    <m/>
    <m/>
    <m/>
    <m/>
    <m/>
    <m/>
    <m/>
    <m/>
    <m/>
    <m/>
    <m/>
  </r>
  <r>
    <n v="744"/>
    <d v="2025-02-05T00:00:00"/>
    <s v="ZBTO"/>
    <n v="9518494982"/>
    <n v="1"/>
    <s v="9518494982-1"/>
    <m/>
    <s v="Feb'25"/>
    <s v="Released orders"/>
    <x v="4"/>
    <x v="7"/>
    <s v="1000-IPPE"/>
    <m/>
    <x v="0"/>
    <m/>
    <m/>
    <m/>
    <s v="Bluescope"/>
    <s v=" "/>
    <m/>
    <n v="941597"/>
    <s v="TATA BLUESCOPE STEEL PRIVATE LIMITE"/>
    <n v="3902332"/>
    <s v="PPGL C HARD Y550PL D0C9 0.50(TPT)X1220"/>
    <s v="AZ150"/>
    <s v="TAURUS BLUE TSL 1813"/>
    <m/>
    <m/>
    <s v="Wider"/>
    <s v="B18"/>
    <s v="Y550PL"/>
    <s v="D0C9"/>
    <n v="0.5"/>
    <n v="1220"/>
    <n v="0"/>
    <n v="28"/>
    <n v="0"/>
    <n v="28"/>
    <n v="28"/>
    <n v="0"/>
    <n v="28"/>
    <m/>
    <m/>
    <n v="28"/>
    <n v="28"/>
    <n v="0"/>
    <n v="31.360000000000003"/>
    <n v="0"/>
    <n v="0"/>
    <n v="0"/>
    <n v="0"/>
    <n v="0"/>
    <n v="0"/>
    <n v="0"/>
    <n v="0"/>
    <n v="0"/>
    <n v="0"/>
    <n v="0"/>
    <n v="0"/>
    <n v="0"/>
    <n v="0"/>
    <n v="0"/>
    <n v="0"/>
    <n v="0"/>
    <n v="0"/>
    <n v="0"/>
    <n v="0"/>
    <n v="0"/>
    <n v="0"/>
    <n v="0"/>
    <n v="0"/>
    <n v="28"/>
    <n v="0"/>
    <n v="0"/>
    <n v="0"/>
    <n v="28"/>
    <n v="0"/>
    <n v="28"/>
    <n v="0"/>
    <n v="0"/>
    <n v="0"/>
    <n v="28"/>
    <n v="0"/>
    <n v="0"/>
    <n v="0"/>
    <n v="0"/>
    <n v="0"/>
    <n v="0"/>
    <n v="0"/>
    <n v="0"/>
    <m/>
    <m/>
    <m/>
    <m/>
    <m/>
    <m/>
    <m/>
    <m/>
    <m/>
    <s v="1"/>
    <s v="1"/>
    <s v="1"/>
    <s v="0"/>
    <s v="1"/>
    <m/>
    <m/>
    <m/>
    <m/>
    <m/>
    <m/>
    <m/>
    <m/>
    <m/>
    <m/>
    <m/>
    <m/>
    <m/>
    <m/>
  </r>
  <r>
    <n v="744"/>
    <d v="2025-02-07T00:00:00"/>
    <s v="ZBTO"/>
    <n v="9518500976"/>
    <n v="1"/>
    <s v="9518500976-1"/>
    <m/>
    <s v="Stocks"/>
    <s v="Released orders"/>
    <x v="4"/>
    <x v="7"/>
    <s v="1000-IPPE"/>
    <m/>
    <x v="0"/>
    <m/>
    <m/>
    <m/>
    <s v="West"/>
    <s v="RAJASTHAN"/>
    <m/>
    <n v="940008"/>
    <s v="TATA BLUESCOPE STEEL PVT LTD."/>
    <n v="3797658"/>
    <s v="PPGL C Y550 ISC6 0.40BMT(0.45TPT)X1220"/>
    <s v="aZ70"/>
    <s v="PRO BLUE TSL 1913"/>
    <m/>
    <m/>
    <s v="Wider"/>
    <s v="B18"/>
    <s v="Y550PL"/>
    <s v="ISC6"/>
    <n v="0.4"/>
    <n v="1220"/>
    <n v="0"/>
    <n v="83.99"/>
    <n v="73.81"/>
    <n v="75.935000000000002"/>
    <n v="27.47"/>
    <n v="30.44"/>
    <n v="0"/>
    <m/>
    <n v="30.44"/>
    <n v="0"/>
    <n v="10.18"/>
    <n v="0"/>
    <n v="0"/>
    <n v="0"/>
    <n v="0"/>
    <n v="0"/>
    <n v="0"/>
    <n v="0"/>
    <n v="0"/>
    <n v="0"/>
    <n v="0"/>
    <n v="69.725000000000009"/>
    <n v="0"/>
    <n v="0"/>
    <n v="0"/>
    <n v="0"/>
    <n v="0"/>
    <n v="0"/>
    <n v="0"/>
    <n v="19.305"/>
    <n v="0"/>
    <n v="89.03"/>
    <n v="89.03"/>
    <n v="0"/>
    <n v="89.03"/>
    <n v="0"/>
    <n v="17.094999999999999"/>
    <n v="0"/>
    <n v="0"/>
    <n v="0"/>
    <n v="0"/>
    <n v="0"/>
    <n v="0"/>
    <n v="17.094999999999999"/>
    <n v="0"/>
    <n v="17.094999999999999"/>
    <n v="0"/>
    <n v="0"/>
    <n v="0"/>
    <n v="0"/>
    <n v="0"/>
    <n v="0"/>
    <n v="0"/>
    <n v="0"/>
    <n v="0"/>
    <n v="0"/>
    <m/>
    <m/>
    <m/>
    <m/>
    <m/>
    <m/>
    <m/>
    <m/>
    <m/>
    <s v="1"/>
    <s v="1"/>
    <s v="1"/>
    <s v="1"/>
    <s v="1"/>
    <m/>
    <m/>
    <m/>
    <m/>
    <m/>
    <m/>
    <m/>
    <m/>
    <m/>
    <m/>
    <m/>
    <m/>
    <m/>
    <m/>
  </r>
  <r>
    <n v="744"/>
    <d v="2025-02-05T00:00:00"/>
    <s v="ZBTO"/>
    <n v="9518494772"/>
    <n v="1"/>
    <s v="9518494772-1"/>
    <m/>
    <s v="Feb'25"/>
    <s v="Released orders"/>
    <x v="4"/>
    <x v="7"/>
    <s v="1000-IPPE"/>
    <m/>
    <x v="0"/>
    <m/>
    <m/>
    <m/>
    <s v="Bluescope"/>
    <s v=" "/>
    <m/>
    <n v="941597"/>
    <s v="TATA BLUESCOPE STEEL PRIVATE LIMITE"/>
    <n v="3902332"/>
    <s v="PPGL C HARD Y550PL D0C9 0.50(TPT)X1220"/>
    <s v="AZ150"/>
    <s v="RAL 5012 TSL 1802"/>
    <m/>
    <m/>
    <s v="Wider"/>
    <s v="B18"/>
    <s v="Y550PL"/>
    <s v="D0C9"/>
    <n v="0.5"/>
    <n v="1220"/>
    <n v="0"/>
    <n v="28"/>
    <n v="0"/>
    <n v="28"/>
    <n v="28"/>
    <n v="0"/>
    <n v="28"/>
    <m/>
    <m/>
    <n v="28"/>
    <n v="28"/>
    <n v="0"/>
    <n v="31.360000000000003"/>
    <n v="0"/>
    <n v="0"/>
    <n v="0"/>
    <n v="0"/>
    <n v="0"/>
    <n v="0"/>
    <n v="0"/>
    <n v="0"/>
    <n v="0"/>
    <n v="0"/>
    <n v="0"/>
    <n v="0"/>
    <n v="0"/>
    <n v="0"/>
    <n v="0"/>
    <n v="0"/>
    <n v="0"/>
    <n v="0"/>
    <n v="0"/>
    <n v="0"/>
    <n v="0"/>
    <n v="0"/>
    <n v="0"/>
    <n v="0"/>
    <n v="28"/>
    <n v="0"/>
    <n v="28"/>
    <n v="0"/>
    <n v="0"/>
    <n v="0"/>
    <n v="28"/>
    <n v="0"/>
    <n v="28"/>
    <n v="0"/>
    <n v="0"/>
    <n v="0"/>
    <n v="0"/>
    <n v="0"/>
    <n v="0"/>
    <n v="0"/>
    <n v="0"/>
    <n v="0"/>
    <n v="0"/>
    <m/>
    <m/>
    <m/>
    <m/>
    <m/>
    <m/>
    <m/>
    <m/>
    <m/>
    <s v="1"/>
    <s v="0"/>
    <s v="1"/>
    <s v="1"/>
    <s v="1"/>
    <m/>
    <m/>
    <m/>
    <m/>
    <m/>
    <m/>
    <m/>
    <m/>
    <m/>
    <m/>
    <m/>
    <m/>
    <m/>
    <m/>
  </r>
  <r>
    <n v="744"/>
    <d v="2025-02-22T00:00:00"/>
    <s v="ZBTO"/>
    <n v="9518543125"/>
    <n v="6"/>
    <s v="9518543125-6"/>
    <m/>
    <s v="Mar'25"/>
    <s v="Released orders"/>
    <x v="4"/>
    <x v="7"/>
    <s v="1000-IPPE"/>
    <m/>
    <x v="0"/>
    <m/>
    <m/>
    <m/>
    <m/>
    <s v="GAMHARIA"/>
    <m/>
    <n v="940016"/>
    <s v="TATA BLUESCOPE STEEL PVT LTD."/>
    <n v="3883538"/>
    <s v="PPGL C HARD Y550PL ISC6 0.300X1220"/>
    <s v="aZ70"/>
    <s v="PRO ROSY RED TSL 1920"/>
    <n v="3"/>
    <n v="5"/>
    <s v="Wider"/>
    <s v="B18"/>
    <s v="Y550PL"/>
    <s v="ISC6"/>
    <n v="0.3"/>
    <n v="1220"/>
    <n v="0"/>
    <n v="28"/>
    <n v="0"/>
    <n v="28"/>
    <n v="28"/>
    <n v="0"/>
    <n v="28"/>
    <m/>
    <m/>
    <n v="28"/>
    <n v="28"/>
    <m/>
    <n v="31.360000000000003"/>
    <n v="0"/>
    <n v="0"/>
    <n v="0"/>
    <n v="0"/>
    <n v="0"/>
    <n v="0"/>
    <n v="0"/>
    <n v="0"/>
    <n v="0"/>
    <n v="0"/>
    <n v="0"/>
    <n v="0"/>
    <n v="0"/>
    <n v="0"/>
    <n v="0"/>
    <n v="0"/>
    <n v="0"/>
    <n v="0"/>
    <n v="0"/>
    <n v="0"/>
    <n v="0"/>
    <n v="0"/>
    <n v="0"/>
    <n v="0"/>
    <n v="28"/>
    <n v="0"/>
    <n v="0"/>
    <n v="0"/>
    <n v="0"/>
    <n v="28"/>
    <n v="28"/>
    <n v="0"/>
    <n v="0"/>
    <n v="0"/>
    <n v="0"/>
    <n v="28"/>
    <n v="0"/>
    <m/>
    <m/>
    <m/>
    <m/>
    <m/>
    <m/>
    <m/>
    <m/>
    <m/>
    <m/>
    <m/>
    <m/>
    <m/>
    <m/>
    <m/>
    <m/>
    <m/>
    <m/>
    <m/>
    <m/>
    <m/>
    <m/>
    <m/>
    <m/>
    <m/>
    <m/>
    <m/>
    <m/>
    <m/>
    <m/>
    <m/>
    <m/>
    <m/>
    <m/>
  </r>
  <r>
    <n v="744"/>
    <d v="2024-12-25T00:00:00"/>
    <s v="ZBTO"/>
    <n v="9518373862"/>
    <n v="2"/>
    <s v="9518373862-2"/>
    <m/>
    <s v="Feb'25"/>
    <s v="Released orders"/>
    <x v="4"/>
    <x v="7"/>
    <n v="1000"/>
    <m/>
    <x v="0"/>
    <m/>
    <m/>
    <m/>
    <s v="TBSPL"/>
    <m/>
    <m/>
    <n v="941597"/>
    <s v="TATA BLUESCOPE STEEL PRIVATE LIMITE"/>
    <n v="3902332"/>
    <s v="PPGL C HARD Y550PL D0C9 0.50(TPT)X1220"/>
    <s v="AZ150"/>
    <s v="RAL 5012 TSL 1802"/>
    <n v="3"/>
    <n v="5"/>
    <s v="Wider"/>
    <s v="B18"/>
    <s v="Y550PL"/>
    <s v="D0C9"/>
    <n v="0.5"/>
    <n v="1220"/>
    <n v="0"/>
    <n v="112"/>
    <n v="83.125"/>
    <n v="33.725000000000001"/>
    <n v="33.725000000000001"/>
    <n v="0"/>
    <n v="33.725000000000001"/>
    <m/>
    <m/>
    <n v="33.725000000000001"/>
    <n v="28.875"/>
    <n v="0"/>
    <n v="0"/>
    <n v="0"/>
    <n v="0"/>
    <n v="0"/>
    <n v="0"/>
    <n v="0"/>
    <n v="0"/>
    <n v="0"/>
    <n v="0"/>
    <n v="24.18"/>
    <n v="0"/>
    <n v="0"/>
    <n v="0"/>
    <n v="0"/>
    <n v="0"/>
    <n v="0"/>
    <n v="0"/>
    <n v="0"/>
    <n v="0"/>
    <n v="24.18"/>
    <n v="24.18"/>
    <n v="0"/>
    <n v="24.18"/>
    <n v="0"/>
    <n v="9.5399999999999991"/>
    <n v="28.875"/>
    <n v="28.875"/>
    <n v="0"/>
    <n v="0"/>
    <n v="0"/>
    <n v="0"/>
    <n v="38.414999999999999"/>
    <n v="0"/>
    <n v="38.414999999999999"/>
    <n v="0"/>
    <n v="0"/>
    <n v="0"/>
    <n v="0"/>
    <n v="0"/>
    <n v="0"/>
    <n v="0"/>
    <n v="0"/>
    <n v="0"/>
    <n v="0"/>
    <m/>
    <m/>
    <m/>
    <m/>
    <m/>
    <m/>
    <m/>
    <m/>
    <m/>
    <s v="0"/>
    <s v="1"/>
    <s v="1"/>
    <s v="1"/>
    <s v="1"/>
    <m/>
    <m/>
    <m/>
    <m/>
    <m/>
    <m/>
    <m/>
    <m/>
    <m/>
    <m/>
    <m/>
    <m/>
    <m/>
    <m/>
  </r>
  <r>
    <n v="744"/>
    <d v="2025-02-05T00:00:00"/>
    <s v="ZBTO"/>
    <n v="9518494819"/>
    <n v="1"/>
    <s v="9518494819-1"/>
    <m/>
    <s v="Feb'25"/>
    <s v="Released orders"/>
    <x v="4"/>
    <x v="7"/>
    <s v="1000-IPPE"/>
    <m/>
    <x v="0"/>
    <m/>
    <m/>
    <m/>
    <s v="Bluescope"/>
    <s v=" "/>
    <m/>
    <n v="941597"/>
    <s v="TATA BLUESCOPE STEEL PRIVATE LIMITE"/>
    <n v="3902332"/>
    <s v="PPGL C HARD Y550PL D0C9 0.50(TPT)X1220"/>
    <s v="AZ150"/>
    <s v="RAL 5012 TSL 1802"/>
    <m/>
    <m/>
    <s v="Wider"/>
    <s v="B18"/>
    <s v="Y550PL"/>
    <s v="D0C9"/>
    <n v="0.5"/>
    <n v="1220"/>
    <n v="0"/>
    <n v="280"/>
    <n v="136.63499999999999"/>
    <n v="280"/>
    <n v="256.80500000000001"/>
    <n v="208.268"/>
    <n v="48.536999999999999"/>
    <m/>
    <n v="208.268"/>
    <n v="48.537000000000006"/>
    <n v="143.35499999999999"/>
    <n v="0"/>
    <n v="0"/>
    <n v="287.14"/>
    <n v="0"/>
    <n v="0"/>
    <n v="0"/>
    <n v="0"/>
    <n v="0"/>
    <n v="0"/>
    <n v="0"/>
    <n v="0"/>
    <n v="0"/>
    <n v="0"/>
    <n v="0"/>
    <n v="0"/>
    <n v="0"/>
    <n v="0"/>
    <n v="0"/>
    <n v="0"/>
    <n v="0"/>
    <n v="287.14"/>
    <n v="287.14"/>
    <n v="0"/>
    <n v="287.14"/>
    <n v="0"/>
    <n v="20.645"/>
    <n v="143.35499999999999"/>
    <n v="0"/>
    <n v="143.35499999999999"/>
    <n v="0"/>
    <n v="0"/>
    <n v="0"/>
    <n v="164"/>
    <n v="0"/>
    <n v="0"/>
    <n v="164"/>
    <n v="0"/>
    <n v="0"/>
    <n v="0"/>
    <n v="0"/>
    <n v="0"/>
    <n v="0"/>
    <n v="0"/>
    <n v="0"/>
    <n v="0"/>
    <m/>
    <m/>
    <m/>
    <m/>
    <m/>
    <m/>
    <m/>
    <m/>
    <m/>
    <s v="1"/>
    <s v="0"/>
    <s v="1"/>
    <s v="1"/>
    <s v="1"/>
    <m/>
    <m/>
    <m/>
    <m/>
    <m/>
    <m/>
    <m/>
    <m/>
    <m/>
    <m/>
    <m/>
    <m/>
    <m/>
    <m/>
  </r>
  <r>
    <n v="744"/>
    <d v="2025-02-05T00:00:00"/>
    <s v="ZBTO"/>
    <n v="9518494796"/>
    <n v="1"/>
    <s v="9518494796-1"/>
    <m/>
    <s v="Feb'25"/>
    <s v="Released orders"/>
    <x v="4"/>
    <x v="7"/>
    <s v="1000-IPPE"/>
    <m/>
    <x v="0"/>
    <m/>
    <m/>
    <m/>
    <s v="Bluescope"/>
    <s v=" "/>
    <m/>
    <n v="941597"/>
    <s v="TATA BLUESCOPE STEEL PRIVATE LIMITE"/>
    <n v="3902332"/>
    <s v="PPGL C HARD Y550PL D0C9 0.50(TPT)X1220"/>
    <s v="AZ150"/>
    <s v="RAL 5012 TSL 1802"/>
    <m/>
    <m/>
    <s v="Wider"/>
    <s v="B18"/>
    <s v="Y550PL"/>
    <s v="D0C9"/>
    <n v="0.5"/>
    <n v="1220"/>
    <n v="0"/>
    <n v="280"/>
    <n v="186.315"/>
    <n v="159.13"/>
    <n v="120.52"/>
    <n v="69.47"/>
    <n v="51.05"/>
    <m/>
    <n v="69.47"/>
    <n v="51.05"/>
    <n v="93.674999999999997"/>
    <n v="0"/>
    <n v="0"/>
    <n v="0"/>
    <n v="0"/>
    <n v="0"/>
    <n v="0"/>
    <n v="0"/>
    <n v="0"/>
    <n v="79.55"/>
    <n v="0"/>
    <n v="2.88"/>
    <n v="0"/>
    <n v="0"/>
    <n v="0"/>
    <n v="0"/>
    <n v="0"/>
    <n v="6.0250000000000004"/>
    <n v="12.44"/>
    <n v="0"/>
    <n v="43.484999999999999"/>
    <n v="144.38"/>
    <n v="144.38"/>
    <n v="0"/>
    <n v="144.38"/>
    <n v="0"/>
    <n v="10.775"/>
    <n v="93.674999999999997"/>
    <n v="0"/>
    <n v="93.674999999999997"/>
    <n v="0"/>
    <n v="0"/>
    <n v="0"/>
    <n v="104.45"/>
    <n v="0"/>
    <n v="0"/>
    <n v="104.45"/>
    <n v="0"/>
    <n v="0"/>
    <n v="0"/>
    <n v="0"/>
    <n v="0"/>
    <n v="0"/>
    <n v="0"/>
    <n v="0"/>
    <n v="0"/>
    <m/>
    <m/>
    <m/>
    <m/>
    <m/>
    <m/>
    <m/>
    <m/>
    <m/>
    <s v="1"/>
    <s v="0"/>
    <s v="1"/>
    <s v="1"/>
    <s v="1"/>
    <m/>
    <m/>
    <m/>
    <m/>
    <m/>
    <m/>
    <m/>
    <m/>
    <m/>
    <m/>
    <m/>
    <m/>
    <m/>
    <m/>
  </r>
  <r>
    <n v="744"/>
    <d v="2025-02-05T00:00:00"/>
    <s v="ZBTO"/>
    <n v="9518494792"/>
    <n v="1"/>
    <s v="9518494792-1"/>
    <m/>
    <s v="No Priority"/>
    <s v="Released orders"/>
    <x v="4"/>
    <x v="7"/>
    <s v="1000-IPPE"/>
    <m/>
    <x v="1"/>
    <m/>
    <m/>
    <m/>
    <s v="Bluescope"/>
    <s v=" "/>
    <m/>
    <n v="941597"/>
    <s v="TATA BLUESCOPE STEEL PRIVATE LIMITE"/>
    <n v="3902332"/>
    <s v="PPGL C HARD Y550PL D0C9 0.50(TPT)X1220"/>
    <s v="AZ150"/>
    <s v="RAL 9002 TSL 1801"/>
    <m/>
    <m/>
    <s v="Wider"/>
    <s v="B18"/>
    <s v="Y550PL"/>
    <s v="D0C9"/>
    <n v="0.5"/>
    <n v="1220"/>
    <n v="0"/>
    <n v="28"/>
    <n v="26.934999999999999"/>
    <n v="28"/>
    <n v="28"/>
    <n v="55.66"/>
    <n v="0"/>
    <m/>
    <n v="55.66"/>
    <n v="0"/>
    <n v="1.0649999999999999"/>
    <n v="0"/>
    <n v="0"/>
    <n v="28.63"/>
    <n v="0"/>
    <n v="0"/>
    <n v="0"/>
    <n v="0"/>
    <n v="0"/>
    <n v="0"/>
    <n v="0"/>
    <n v="0"/>
    <n v="0"/>
    <n v="0"/>
    <n v="0"/>
    <n v="0"/>
    <n v="0"/>
    <n v="0"/>
    <n v="0"/>
    <n v="0"/>
    <n v="0"/>
    <n v="28.63"/>
    <n v="28.63"/>
    <n v="0"/>
    <n v="28.63"/>
    <n v="0"/>
    <n v="0"/>
    <n v="0"/>
    <n v="0"/>
    <n v="0"/>
    <n v="0"/>
    <n v="0"/>
    <n v="0"/>
    <n v="0"/>
    <n v="0"/>
    <n v="0"/>
    <n v="0"/>
    <n v="0"/>
    <n v="0"/>
    <n v="0"/>
    <n v="0"/>
    <n v="0"/>
    <n v="0"/>
    <n v="0"/>
    <n v="0"/>
    <n v="0"/>
    <m/>
    <m/>
    <m/>
    <m/>
    <m/>
    <m/>
    <m/>
    <m/>
    <m/>
    <s v="1"/>
    <s v="1"/>
    <s v="1"/>
    <s v="1"/>
    <s v="1"/>
    <m/>
    <m/>
    <m/>
    <m/>
    <m/>
    <m/>
    <m/>
    <m/>
    <m/>
    <m/>
    <m/>
    <m/>
    <m/>
    <m/>
  </r>
  <r>
    <n v="744"/>
    <d v="2025-02-07T00:00:00"/>
    <s v="ZBTO"/>
    <n v="9518500986"/>
    <n v="1"/>
    <s v="9518500986-1"/>
    <m/>
    <s v="Feb'25"/>
    <s v="Released orders"/>
    <x v="4"/>
    <x v="7"/>
    <s v="1000-IPPE"/>
    <m/>
    <x v="0"/>
    <m/>
    <m/>
    <m/>
    <s v="East"/>
    <s v="GAMHARIA"/>
    <m/>
    <n v="940016"/>
    <s v="TATA BLUESCOPE STEEL PVT LTD."/>
    <n v="1640840"/>
    <s v="PPGL C Y550 HPL3 0.45BMT(0.53TPT)X1220"/>
    <s v="AZ150"/>
    <s v="RAL 5012 TSL 245"/>
    <m/>
    <m/>
    <s v="Wider"/>
    <s v="B18"/>
    <s v="Y550PL"/>
    <s v="HPL3"/>
    <n v="0.45"/>
    <n v="1220"/>
    <n v="0"/>
    <n v="84"/>
    <n v="0"/>
    <n v="84"/>
    <n v="84"/>
    <n v="63.895000000000003"/>
    <n v="20.105"/>
    <m/>
    <n v="63.895000000000003"/>
    <n v="20.104999999999997"/>
    <n v="84"/>
    <n v="0"/>
    <n v="22.517599999999998"/>
    <n v="0"/>
    <n v="0"/>
    <n v="0"/>
    <n v="0"/>
    <n v="0"/>
    <n v="0"/>
    <n v="0"/>
    <n v="0"/>
    <n v="63.895000000000003"/>
    <n v="0"/>
    <n v="0"/>
    <n v="0"/>
    <n v="0"/>
    <n v="0"/>
    <n v="0"/>
    <n v="0"/>
    <n v="0"/>
    <n v="0"/>
    <n v="63.895000000000003"/>
    <n v="63.895000000000003"/>
    <n v="0"/>
    <n v="63.895000000000003"/>
    <n v="0"/>
    <n v="0"/>
    <n v="84"/>
    <n v="0"/>
    <n v="0"/>
    <n v="84"/>
    <n v="0"/>
    <n v="0"/>
    <n v="84"/>
    <n v="0"/>
    <n v="0"/>
    <n v="84"/>
    <n v="0"/>
    <n v="0"/>
    <n v="0"/>
    <n v="0"/>
    <n v="0"/>
    <n v="0"/>
    <n v="0"/>
    <n v="0"/>
    <n v="0"/>
    <m/>
    <m/>
    <m/>
    <m/>
    <m/>
    <m/>
    <m/>
    <m/>
    <m/>
    <s v="1"/>
    <s v="1"/>
    <s v="0"/>
    <s v="1"/>
    <s v="1"/>
    <m/>
    <m/>
    <m/>
    <m/>
    <m/>
    <m/>
    <m/>
    <m/>
    <m/>
    <m/>
    <m/>
    <m/>
    <m/>
    <m/>
  </r>
  <r>
    <n v="744"/>
    <d v="2025-02-05T00:00:00"/>
    <s v="ZBTO"/>
    <n v="9518495051"/>
    <n v="1"/>
    <s v="9518495051-1"/>
    <m/>
    <s v="Stocks"/>
    <s v="Released orders"/>
    <x v="4"/>
    <x v="7"/>
    <s v="1000-IPPE"/>
    <m/>
    <x v="0"/>
    <m/>
    <m/>
    <m/>
    <s v="Bluescope"/>
    <s v=" "/>
    <m/>
    <n v="941597"/>
    <s v="TATA BLUESCOPE STEEL PRIVATE LIMITE"/>
    <n v="3940122"/>
    <s v="PPGL C HARD Y550PL D0C9 0.470X1220"/>
    <s v="AZ150"/>
    <s v="RAL 9002 TSL 1801"/>
    <m/>
    <m/>
    <s v="Wider"/>
    <s v="B18"/>
    <s v="Y550PL"/>
    <s v="D0C9"/>
    <n v="0.47"/>
    <n v="1220"/>
    <n v="0"/>
    <n v="112"/>
    <n v="78.875"/>
    <n v="100.13"/>
    <n v="57.594999999999999"/>
    <n v="46.981999999999999"/>
    <n v="0"/>
    <m/>
    <n v="46.981999999999999"/>
    <n v="0"/>
    <n v="33.115000000000002"/>
    <n v="0"/>
    <n v="0"/>
    <n v="0"/>
    <n v="0"/>
    <n v="55.745000000000005"/>
    <n v="0"/>
    <n v="0"/>
    <n v="0"/>
    <n v="27.945"/>
    <n v="0"/>
    <n v="0"/>
    <n v="0"/>
    <n v="0"/>
    <n v="0"/>
    <n v="0"/>
    <n v="0"/>
    <n v="5.3250000000000002"/>
    <n v="0"/>
    <n v="0"/>
    <n v="8.4850000000000012"/>
    <n v="97.5"/>
    <n v="97.5"/>
    <n v="0"/>
    <n v="97.5"/>
    <n v="0"/>
    <n v="78.875000000000014"/>
    <n v="0"/>
    <n v="0"/>
    <n v="0"/>
    <n v="0"/>
    <n v="0"/>
    <n v="0"/>
    <n v="78.875000000000014"/>
    <n v="0"/>
    <n v="78.875000000000014"/>
    <n v="0"/>
    <n v="0"/>
    <n v="0"/>
    <n v="0"/>
    <n v="0"/>
    <n v="0"/>
    <n v="0"/>
    <n v="0"/>
    <n v="0"/>
    <n v="0"/>
    <m/>
    <m/>
    <m/>
    <m/>
    <m/>
    <m/>
    <m/>
    <m/>
    <m/>
    <s v="1"/>
    <s v="1"/>
    <s v="1"/>
    <s v="1"/>
    <s v="1"/>
    <m/>
    <m/>
    <m/>
    <m/>
    <m/>
    <m/>
    <m/>
    <m/>
    <m/>
    <m/>
    <m/>
    <m/>
    <m/>
    <m/>
  </r>
  <r>
    <n v="743"/>
    <d v="2025-01-18T00:00:00"/>
    <s v="ZBTO"/>
    <n v="9518439023"/>
    <n v="4"/>
    <s v="9518439023-4"/>
    <m/>
    <s v="Mar'25"/>
    <s v="Released orders"/>
    <x v="2"/>
    <x v="6"/>
    <s v="2000-BPRS"/>
    <m/>
    <x v="0"/>
    <m/>
    <m/>
    <m/>
    <m/>
    <s v="SANHEWAL"/>
    <m/>
    <n v="185845"/>
    <s v="Malerkotla Steel Industries"/>
    <n v="1851091"/>
    <s v="GP COIL SOFT-TATXGP-GK09-0.4X1250"/>
    <s v="Z80"/>
    <s v=""/>
    <n v="4"/>
    <n v="6"/>
    <s v="Wider"/>
    <s v="C02"/>
    <s v="TATXGP"/>
    <s v="GK09"/>
    <n v="0.4"/>
    <n v="1250"/>
    <n v="0"/>
    <n v="29"/>
    <n v="0"/>
    <n v="29"/>
    <n v="29"/>
    <n v="0"/>
    <n v="29"/>
    <m/>
    <m/>
    <n v="29"/>
    <n v="29"/>
    <n v="0"/>
    <n v="32.480000000000004"/>
    <n v="0"/>
    <n v="0"/>
    <n v="0"/>
    <n v="0"/>
    <n v="0"/>
    <n v="0"/>
    <n v="0"/>
    <n v="0"/>
    <n v="0"/>
    <n v="0"/>
    <n v="0"/>
    <n v="0"/>
    <n v="0"/>
    <n v="0"/>
    <n v="0"/>
    <n v="0"/>
    <n v="0"/>
    <n v="0"/>
    <n v="0"/>
    <n v="0"/>
    <n v="0"/>
    <n v="0"/>
    <n v="0"/>
    <n v="0"/>
    <n v="29"/>
    <n v="0"/>
    <n v="0"/>
    <n v="0"/>
    <n v="29"/>
    <n v="0"/>
    <n v="29"/>
    <n v="0"/>
    <n v="0"/>
    <n v="0"/>
    <n v="29"/>
    <n v="0"/>
    <n v="0"/>
    <m/>
    <m/>
    <m/>
    <m/>
    <m/>
    <m/>
    <m/>
    <m/>
    <m/>
    <m/>
    <m/>
    <m/>
    <m/>
    <m/>
    <m/>
    <m/>
    <m/>
    <m/>
    <m/>
    <m/>
    <m/>
    <m/>
    <m/>
    <m/>
    <m/>
    <m/>
    <m/>
    <m/>
    <m/>
    <m/>
    <m/>
    <m/>
    <m/>
    <m/>
  </r>
  <r>
    <n v="743"/>
    <d v="2025-02-03T00:00:00"/>
    <s v="ZBTO"/>
    <n v="9518489859"/>
    <n v="3"/>
    <s v="9518489859-3"/>
    <m/>
    <s v="Feb'25"/>
    <s v="Released orders"/>
    <x v="2"/>
    <x v="10"/>
    <s v="2000-BPRS"/>
    <m/>
    <x v="0"/>
    <m/>
    <m/>
    <m/>
    <s v="South"/>
    <s v="YESHWANTHPURA"/>
    <m/>
    <n v="942923"/>
    <s v="S C SHETTAR and SONS PRIVATE LIMITED"/>
    <n v="3777532"/>
    <s v="GP COIL TATGPH GP02 0.450X1015"/>
    <s v="Z120"/>
    <s v=""/>
    <m/>
    <m/>
    <s v="Narrow"/>
    <s v="C05"/>
    <s v="TATGPH"/>
    <s v="GP02"/>
    <n v="0.45"/>
    <n v="1015"/>
    <n v="0"/>
    <n v="23"/>
    <n v="0"/>
    <n v="23"/>
    <n v="23"/>
    <n v="0"/>
    <n v="23"/>
    <m/>
    <m/>
    <n v="23"/>
    <n v="23"/>
    <n v="0"/>
    <n v="25.76"/>
    <n v="0"/>
    <n v="0"/>
    <n v="0"/>
    <n v="0"/>
    <n v="0"/>
    <n v="0"/>
    <n v="0"/>
    <n v="0"/>
    <n v="0"/>
    <n v="0"/>
    <n v="0"/>
    <n v="0"/>
    <n v="0"/>
    <n v="0"/>
    <n v="0"/>
    <n v="0"/>
    <n v="0"/>
    <n v="0"/>
    <n v="0"/>
    <n v="0"/>
    <n v="0"/>
    <n v="0"/>
    <n v="0"/>
    <n v="0"/>
    <n v="23"/>
    <n v="0"/>
    <n v="0"/>
    <n v="0"/>
    <n v="0"/>
    <n v="23"/>
    <n v="23"/>
    <n v="0"/>
    <n v="0"/>
    <n v="0"/>
    <n v="0"/>
    <n v="23"/>
    <n v="0"/>
    <n v="0"/>
    <n v="0"/>
    <n v="0"/>
    <n v="0"/>
    <n v="0"/>
    <n v="0"/>
    <m/>
    <m/>
    <m/>
    <m/>
    <m/>
    <m/>
    <m/>
    <m/>
    <m/>
    <s v="1"/>
    <s v="1"/>
    <s v="1"/>
    <s v="1"/>
    <s v="0"/>
    <m/>
    <m/>
    <m/>
    <m/>
    <m/>
    <m/>
    <m/>
    <m/>
    <m/>
    <m/>
    <m/>
    <m/>
    <m/>
    <m/>
  </r>
  <r>
    <n v="743"/>
    <d v="2025-02-03T00:00:00"/>
    <s v="ZBTO"/>
    <n v="9518489859"/>
    <n v="1"/>
    <s v="9518489859-1"/>
    <m/>
    <s v="Feb'25"/>
    <s v="Released orders"/>
    <x v="2"/>
    <x v="10"/>
    <s v="2000-BPRS"/>
    <m/>
    <x v="0"/>
    <m/>
    <m/>
    <m/>
    <s v="South"/>
    <s v="YESHWANTHPURA"/>
    <m/>
    <n v="942923"/>
    <s v="S C SHETTAR and SONS PRIVATE LIMITED"/>
    <n v="3776940"/>
    <s v="GP COIL TATGPH GP02 0.350X1015"/>
    <s v="Z120"/>
    <s v=""/>
    <m/>
    <m/>
    <s v="Narrow"/>
    <s v="C05"/>
    <s v="TATGPH"/>
    <s v="GP02"/>
    <n v="0.35"/>
    <n v="1015"/>
    <n v="0"/>
    <n v="23"/>
    <n v="0"/>
    <n v="23"/>
    <n v="23"/>
    <n v="0"/>
    <n v="23"/>
    <m/>
    <m/>
    <n v="23"/>
    <n v="23"/>
    <n v="0"/>
    <n v="25.76"/>
    <n v="0"/>
    <n v="0"/>
    <n v="0"/>
    <n v="0"/>
    <n v="0"/>
    <n v="0"/>
    <n v="0"/>
    <n v="0"/>
    <n v="0"/>
    <n v="0"/>
    <n v="0"/>
    <n v="0"/>
    <n v="0"/>
    <n v="0"/>
    <n v="0"/>
    <n v="0"/>
    <n v="0"/>
    <n v="0"/>
    <n v="0"/>
    <n v="0"/>
    <n v="0"/>
    <n v="0"/>
    <n v="0"/>
    <n v="0"/>
    <n v="23"/>
    <n v="0"/>
    <n v="0"/>
    <n v="0"/>
    <n v="0"/>
    <n v="23"/>
    <n v="23"/>
    <n v="0"/>
    <n v="0"/>
    <n v="0"/>
    <n v="0"/>
    <n v="23"/>
    <n v="0"/>
    <n v="0"/>
    <n v="0"/>
    <n v="0"/>
    <n v="0"/>
    <n v="0"/>
    <n v="0"/>
    <m/>
    <m/>
    <m/>
    <m/>
    <m/>
    <m/>
    <m/>
    <m/>
    <m/>
    <s v="1"/>
    <s v="1"/>
    <s v="1"/>
    <s v="1"/>
    <s v="0"/>
    <m/>
    <m/>
    <m/>
    <m/>
    <m/>
    <m/>
    <m/>
    <m/>
    <m/>
    <m/>
    <m/>
    <m/>
    <m/>
    <m/>
  </r>
  <r>
    <n v="743"/>
    <d v="2025-02-10T00:00:00"/>
    <s v="ZBTO"/>
    <n v="9518507255"/>
    <n v="2"/>
    <s v="9518507255-2"/>
    <m/>
    <s v="Mar'25"/>
    <s v="Released orders"/>
    <x v="2"/>
    <x v="6"/>
    <s v="2000-BPRS"/>
    <m/>
    <x v="0"/>
    <m/>
    <m/>
    <m/>
    <m/>
    <s v="URLA"/>
    <m/>
    <n v="139336"/>
    <s v="PASA ASSOCIATES PRIVATE LIMITED"/>
    <n v="1854410"/>
    <s v="GP COIL SOFT-TATXGP-GK09-0.4X1220"/>
    <s v="Z80"/>
    <s v=""/>
    <n v="3"/>
    <n v="5"/>
    <s v="Wider"/>
    <s v="C02"/>
    <s v="TATXGP"/>
    <s v="GK09"/>
    <n v="0.4"/>
    <n v="1220"/>
    <n v="0"/>
    <n v="28"/>
    <n v="0"/>
    <n v="28"/>
    <n v="28"/>
    <n v="0"/>
    <n v="28"/>
    <m/>
    <m/>
    <n v="28"/>
    <n v="28"/>
    <n v="0"/>
    <n v="31.360000000000003"/>
    <n v="0"/>
    <n v="0"/>
    <n v="0"/>
    <n v="0"/>
    <n v="0"/>
    <n v="0"/>
    <n v="0"/>
    <n v="0"/>
    <n v="0"/>
    <n v="0"/>
    <n v="0"/>
    <n v="0"/>
    <n v="0"/>
    <n v="0"/>
    <n v="0"/>
    <n v="0"/>
    <n v="0"/>
    <n v="0"/>
    <n v="0"/>
    <n v="0"/>
    <n v="0"/>
    <n v="0"/>
    <n v="0"/>
    <n v="0"/>
    <n v="28"/>
    <n v="0"/>
    <n v="0"/>
    <n v="28"/>
    <n v="0"/>
    <n v="0"/>
    <n v="28"/>
    <n v="0"/>
    <n v="0"/>
    <n v="28"/>
    <n v="0"/>
    <n v="0"/>
    <n v="0"/>
    <m/>
    <m/>
    <m/>
    <m/>
    <m/>
    <m/>
    <m/>
    <m/>
    <m/>
    <m/>
    <m/>
    <m/>
    <m/>
    <m/>
    <m/>
    <m/>
    <m/>
    <m/>
    <m/>
    <m/>
    <m/>
    <m/>
    <m/>
    <m/>
    <m/>
    <m/>
    <m/>
    <m/>
    <m/>
    <m/>
    <m/>
    <m/>
    <m/>
    <m/>
  </r>
  <r>
    <n v="743"/>
    <d v="2025-02-06T00:00:00"/>
    <s v="ZBTO"/>
    <n v="9518498668"/>
    <n v="1"/>
    <s v="9518498668-1"/>
    <m/>
    <s v="Stocks"/>
    <s v="Released orders"/>
    <x v="3"/>
    <x v="13"/>
    <s v="1000-IPPE"/>
    <m/>
    <x v="0"/>
    <m/>
    <m/>
    <m/>
    <s v="South"/>
    <s v="SIKANDRABAD"/>
    <m/>
    <n v="898099"/>
    <s v="GOODLUCK INDIA LIMITED"/>
    <n v="3865176"/>
    <s v="GL COIL HARD  Y550GL HGL6 0.900X1250"/>
    <s v="AZ150"/>
    <s v=""/>
    <m/>
    <m/>
    <s v="Wider"/>
    <s v="B04"/>
    <s v="Y550GL"/>
    <s v="HGL6"/>
    <n v="0.9"/>
    <n v="1250"/>
    <n v="0"/>
    <n v="289.99"/>
    <n v="274.42500000000001"/>
    <n v="25.254999999999999"/>
    <n v="15.565"/>
    <n v="13.89"/>
    <n v="0"/>
    <m/>
    <m/>
    <n v="0"/>
    <n v="15.565"/>
    <n v="0"/>
    <n v="0"/>
    <n v="0"/>
    <n v="0"/>
    <n v="0"/>
    <n v="0"/>
    <n v="0"/>
    <n v="0"/>
    <n v="13.89"/>
    <n v="0"/>
    <n v="0"/>
    <n v="0"/>
    <n v="0"/>
    <n v="0"/>
    <n v="0"/>
    <n v="0"/>
    <n v="0"/>
    <n v="0"/>
    <n v="0"/>
    <n v="0"/>
    <n v="13.89"/>
    <n v="13.89"/>
    <n v="0"/>
    <n v="13.89"/>
    <n v="13.89"/>
    <n v="13.81"/>
    <n v="0"/>
    <n v="0"/>
    <n v="0"/>
    <n v="0"/>
    <n v="0"/>
    <n v="0"/>
    <n v="13.81"/>
    <n v="0"/>
    <n v="13.81"/>
    <n v="0"/>
    <n v="0"/>
    <n v="0"/>
    <n v="0"/>
    <n v="0"/>
    <n v="0"/>
    <n v="0"/>
    <n v="0"/>
    <n v="0"/>
    <n v="0"/>
    <m/>
    <m/>
    <m/>
    <m/>
    <m/>
    <m/>
    <m/>
    <m/>
    <m/>
    <s v="1"/>
    <s v="1"/>
    <s v="1"/>
    <s v="1"/>
    <s v="1"/>
    <m/>
    <m/>
    <m/>
    <m/>
    <m/>
    <m/>
    <m/>
    <m/>
    <m/>
    <m/>
    <m/>
    <m/>
    <m/>
    <m/>
  </r>
  <r>
    <n v="743"/>
    <d v="2025-02-06T00:00:00"/>
    <s v="ZBTO"/>
    <n v="9518498556"/>
    <n v="2"/>
    <s v="9518498556-2"/>
    <m/>
    <s v="Feb'25"/>
    <s v="Released orders"/>
    <x v="3"/>
    <x v="13"/>
    <s v="1000-IPPE"/>
    <m/>
    <x v="0"/>
    <m/>
    <m/>
    <m/>
    <s v="South"/>
    <s v="SIKANDRABAD"/>
    <m/>
    <n v="898099"/>
    <s v="GOODLUCK INDIA LIMITED"/>
    <n v="3865176"/>
    <s v="GL COIL HARD  Y550GL HGL6 0.900X1250"/>
    <s v="AZ150"/>
    <s v=""/>
    <m/>
    <m/>
    <s v="Wider"/>
    <s v="B04"/>
    <s v="Y550GL"/>
    <s v="HGL6"/>
    <n v="0.9"/>
    <n v="1250"/>
    <n v="0"/>
    <n v="290"/>
    <n v="243.91499999999999"/>
    <n v="290"/>
    <n v="290"/>
    <n v="286.62"/>
    <n v="0"/>
    <m/>
    <m/>
    <n v="290"/>
    <n v="46.085000000000001"/>
    <n v="0"/>
    <n v="324.8"/>
    <n v="0"/>
    <n v="0"/>
    <n v="0"/>
    <n v="0"/>
    <n v="0"/>
    <n v="0"/>
    <n v="0"/>
    <n v="0"/>
    <n v="0"/>
    <n v="0"/>
    <n v="0"/>
    <n v="0"/>
    <n v="0"/>
    <n v="0"/>
    <n v="0"/>
    <n v="0"/>
    <n v="0"/>
    <n v="0"/>
    <n v="0"/>
    <n v="0"/>
    <n v="0"/>
    <n v="0"/>
    <n v="286.62"/>
    <n v="189.12499999999997"/>
    <n v="46.085000000000001"/>
    <n v="0"/>
    <n v="0"/>
    <n v="0"/>
    <n v="46.085000000000001"/>
    <n v="0"/>
    <n v="235.20999999999998"/>
    <n v="0"/>
    <n v="0"/>
    <n v="0"/>
    <n v="0"/>
    <n v="235.20999999999998"/>
    <n v="0"/>
    <n v="0"/>
    <n v="0"/>
    <n v="0"/>
    <n v="0"/>
    <n v="0"/>
    <n v="0"/>
    <m/>
    <m/>
    <m/>
    <m/>
    <m/>
    <m/>
    <m/>
    <m/>
    <m/>
    <s v="1"/>
    <s v="1"/>
    <s v="1"/>
    <s v="0"/>
    <s v="1"/>
    <m/>
    <m/>
    <m/>
    <m/>
    <m/>
    <m/>
    <m/>
    <m/>
    <m/>
    <m/>
    <m/>
    <m/>
    <m/>
    <m/>
  </r>
  <r>
    <n v="743"/>
    <d v="2025-02-06T00:00:00"/>
    <s v="ZBTO"/>
    <n v="9518498429"/>
    <n v="1"/>
    <s v="9518498429-1"/>
    <m/>
    <s v="Feb'25"/>
    <s v="Released orders"/>
    <x v="2"/>
    <x v="10"/>
    <s v="2000-BPRS"/>
    <m/>
    <x v="0"/>
    <m/>
    <m/>
    <m/>
    <s v="East"/>
    <s v="GAUHATI"/>
    <m/>
    <n v="103671"/>
    <s v="BAJRANG STEEL (SALES) CORPORATION"/>
    <n v="3776939"/>
    <s v="GP COIL TATGPH GP02 0.400X1015"/>
    <s v="Z120"/>
    <s v=""/>
    <m/>
    <m/>
    <s v="Narrow"/>
    <s v="C05"/>
    <s v="TATGPH"/>
    <s v="GP02"/>
    <n v="0.4"/>
    <n v="1015"/>
    <n v="0"/>
    <n v="23"/>
    <n v="0"/>
    <n v="23"/>
    <n v="23"/>
    <n v="0"/>
    <n v="23"/>
    <m/>
    <m/>
    <n v="23"/>
    <n v="23"/>
    <n v="0"/>
    <n v="25.76"/>
    <n v="0"/>
    <n v="0"/>
    <n v="0"/>
    <n v="0"/>
    <n v="0"/>
    <n v="0"/>
    <n v="0"/>
    <n v="0"/>
    <n v="0"/>
    <n v="0"/>
    <n v="0"/>
    <n v="0"/>
    <n v="0"/>
    <n v="0"/>
    <n v="0"/>
    <n v="0"/>
    <n v="0"/>
    <n v="0"/>
    <n v="0"/>
    <n v="0"/>
    <n v="0"/>
    <n v="0"/>
    <n v="0"/>
    <n v="0"/>
    <n v="23"/>
    <n v="0"/>
    <n v="0"/>
    <n v="0"/>
    <n v="0"/>
    <n v="23"/>
    <n v="23"/>
    <n v="0"/>
    <n v="0"/>
    <n v="0"/>
    <n v="0"/>
    <n v="23"/>
    <n v="0"/>
    <n v="0"/>
    <n v="0"/>
    <n v="0"/>
    <n v="0"/>
    <n v="0"/>
    <n v="0"/>
    <m/>
    <m/>
    <m/>
    <m/>
    <m/>
    <m/>
    <m/>
    <m/>
    <m/>
    <s v="1"/>
    <s v="1"/>
    <s v="1"/>
    <s v="1"/>
    <s v="0"/>
    <m/>
    <m/>
    <m/>
    <m/>
    <m/>
    <m/>
    <m/>
    <m/>
    <m/>
    <m/>
    <m/>
    <m/>
    <m/>
    <m/>
  </r>
  <r>
    <n v="743"/>
    <d v="2025-02-06T00:00:00"/>
    <s v="ZBTO"/>
    <n v="9518498565"/>
    <n v="1"/>
    <s v="9518498565-1"/>
    <m/>
    <s v="No Priority"/>
    <s v="Released orders"/>
    <x v="3"/>
    <x v="13"/>
    <s v="1000-IPPE"/>
    <m/>
    <x v="1"/>
    <m/>
    <m/>
    <m/>
    <s v="South"/>
    <s v="SIKANDRABAD"/>
    <m/>
    <n v="898099"/>
    <s v="GOODLUCK INDIA LIMITED"/>
    <n v="3865176"/>
    <s v="GL COIL HARD  Y550GL HGL6 0.900X1250"/>
    <s v="AZ150"/>
    <s v=""/>
    <m/>
    <m/>
    <s v="Wider"/>
    <s v="B04"/>
    <s v="Y550GL"/>
    <s v="HGL6"/>
    <n v="0.9"/>
    <n v="1250"/>
    <n v="0"/>
    <n v="290"/>
    <n v="285.86500000000001"/>
    <n v="49.064999999999998"/>
    <n v="4.1349999999999998"/>
    <n v="0"/>
    <n v="0"/>
    <m/>
    <m/>
    <n v="0"/>
    <n v="4.1349999999999998"/>
    <n v="0"/>
    <n v="0"/>
    <n v="0"/>
    <n v="0"/>
    <n v="0"/>
    <n v="0"/>
    <n v="0"/>
    <n v="0"/>
    <n v="0"/>
    <n v="0"/>
    <n v="0"/>
    <n v="0"/>
    <n v="0"/>
    <n v="0"/>
    <n v="0"/>
    <n v="0"/>
    <n v="0"/>
    <n v="0"/>
    <n v="0"/>
    <n v="38.69"/>
    <n v="38.69"/>
    <n v="38.69"/>
    <n v="0"/>
    <n v="38.69"/>
    <n v="0"/>
    <n v="0"/>
    <n v="0"/>
    <n v="0"/>
    <n v="0"/>
    <n v="0"/>
    <n v="0"/>
    <n v="0"/>
    <n v="0"/>
    <n v="0"/>
    <n v="0"/>
    <n v="0"/>
    <n v="0"/>
    <n v="0"/>
    <n v="0"/>
    <n v="0"/>
    <n v="0"/>
    <n v="0"/>
    <n v="0"/>
    <n v="0"/>
    <n v="0"/>
    <m/>
    <m/>
    <m/>
    <m/>
    <m/>
    <m/>
    <m/>
    <m/>
    <m/>
    <s v="1"/>
    <s v="1"/>
    <s v="1"/>
    <s v="1"/>
    <s v="1"/>
    <m/>
    <m/>
    <m/>
    <m/>
    <m/>
    <m/>
    <m/>
    <m/>
    <m/>
    <m/>
    <m/>
    <m/>
    <m/>
    <m/>
  </r>
  <r>
    <n v="743"/>
    <d v="2025-02-06T00:00:00"/>
    <s v="ZBTO"/>
    <n v="9518498564"/>
    <n v="1"/>
    <s v="9518498564-1"/>
    <m/>
    <s v="Feb'25"/>
    <s v="Released orders"/>
    <x v="3"/>
    <x v="13"/>
    <s v="1000-IPPE"/>
    <m/>
    <x v="0"/>
    <m/>
    <m/>
    <m/>
    <s v="South"/>
    <s v="SIKANDRABAD"/>
    <m/>
    <n v="898099"/>
    <s v="GOODLUCK INDIA LIMITED"/>
    <n v="3865176"/>
    <s v="GL COIL HARD  Y550GL HGL6 0.900X1250"/>
    <s v="AZ150"/>
    <s v=""/>
    <m/>
    <m/>
    <s v="Wider"/>
    <s v="B04"/>
    <s v="Y550GL"/>
    <s v="HGL6"/>
    <n v="0.9"/>
    <n v="1250"/>
    <n v="0"/>
    <n v="290"/>
    <n v="251.88499999999999"/>
    <n v="290"/>
    <n v="290"/>
    <n v="257.67"/>
    <n v="32.33"/>
    <n v="25"/>
    <n v="25"/>
    <n v="265"/>
    <n v="38.115000000000002"/>
    <n v="0"/>
    <n v="324.8"/>
    <n v="0"/>
    <n v="0"/>
    <n v="0"/>
    <n v="0"/>
    <n v="0"/>
    <n v="0"/>
    <n v="0"/>
    <n v="0"/>
    <n v="0"/>
    <n v="0"/>
    <n v="0"/>
    <n v="0"/>
    <n v="0"/>
    <n v="0"/>
    <n v="0"/>
    <n v="0"/>
    <n v="0"/>
    <n v="0"/>
    <n v="0"/>
    <n v="0"/>
    <n v="0"/>
    <n v="25"/>
    <n v="232.67000000000002"/>
    <n v="209.92500000000004"/>
    <n v="38.115000000000002"/>
    <n v="0"/>
    <n v="0"/>
    <n v="38.115000000000002"/>
    <n v="0"/>
    <n v="0"/>
    <n v="248.04000000000005"/>
    <n v="0"/>
    <n v="0"/>
    <n v="0"/>
    <n v="248.04000000000005"/>
    <n v="0"/>
    <n v="0"/>
    <n v="0"/>
    <n v="0"/>
    <n v="0"/>
    <n v="0"/>
    <n v="0"/>
    <n v="0"/>
    <m/>
    <m/>
    <m/>
    <m/>
    <m/>
    <m/>
    <m/>
    <m/>
    <m/>
    <s v="1"/>
    <s v="1"/>
    <s v="0"/>
    <s v="1"/>
    <s v="1"/>
    <m/>
    <m/>
    <m/>
    <m/>
    <m/>
    <m/>
    <m/>
    <m/>
    <m/>
    <m/>
    <m/>
    <m/>
    <m/>
    <m/>
  </r>
  <r>
    <n v="743"/>
    <d v="2025-02-06T00:00:00"/>
    <s v="ZBTO"/>
    <n v="9518498556"/>
    <n v="1"/>
    <s v="9518498556-1"/>
    <m/>
    <s v="Stocks"/>
    <s v="Released orders"/>
    <x v="3"/>
    <x v="13"/>
    <s v="1000-IPPE"/>
    <m/>
    <x v="0"/>
    <m/>
    <m/>
    <m/>
    <s v="South"/>
    <s v="SIKANDRABAD"/>
    <m/>
    <n v="898099"/>
    <s v="GOODLUCK INDIA LIMITED"/>
    <n v="3865176"/>
    <s v="GL COIL HARD  Y550GL HGL6 0.900X1250"/>
    <s v="AZ150"/>
    <s v=""/>
    <m/>
    <m/>
    <s v="Wider"/>
    <s v="B04"/>
    <s v="Y550GL"/>
    <s v="HGL6"/>
    <n v="0.9"/>
    <n v="1250"/>
    <n v="0"/>
    <n v="290"/>
    <n v="201.715"/>
    <n v="290"/>
    <n v="290"/>
    <n v="0"/>
    <n v="290"/>
    <n v="300"/>
    <n v="300"/>
    <n v="0"/>
    <n v="88.284999999999997"/>
    <n v="0"/>
    <n v="324.8"/>
    <n v="0"/>
    <n v="0"/>
    <n v="0"/>
    <n v="0"/>
    <n v="0"/>
    <n v="0"/>
    <n v="0"/>
    <n v="0"/>
    <n v="0"/>
    <n v="0"/>
    <n v="0"/>
    <n v="0"/>
    <n v="0"/>
    <n v="0"/>
    <n v="0"/>
    <n v="0"/>
    <n v="0"/>
    <n v="0"/>
    <n v="0"/>
    <n v="0"/>
    <n v="0"/>
    <n v="300"/>
    <n v="-300"/>
    <n v="187.60499999999999"/>
    <n v="0"/>
    <n v="0"/>
    <n v="0"/>
    <n v="0"/>
    <n v="0"/>
    <n v="0"/>
    <n v="187.60499999999999"/>
    <n v="0"/>
    <n v="187.60499999999999"/>
    <n v="0"/>
    <n v="0"/>
    <n v="0"/>
    <n v="0"/>
    <n v="0"/>
    <n v="0"/>
    <n v="0"/>
    <n v="0"/>
    <n v="0"/>
    <n v="0"/>
    <m/>
    <m/>
    <m/>
    <m/>
    <m/>
    <m/>
    <m/>
    <m/>
    <m/>
    <s v="1"/>
    <s v="1"/>
    <s v="1"/>
    <s v="1"/>
    <s v="1"/>
    <m/>
    <m/>
    <m/>
    <m/>
    <m/>
    <m/>
    <m/>
    <m/>
    <m/>
    <m/>
    <m/>
    <m/>
    <m/>
    <m/>
  </r>
  <r>
    <n v="742"/>
    <d v="2025-02-07T00:00:00"/>
    <s v="ZBTO"/>
    <n v="9518500513"/>
    <n v="1"/>
    <s v="9518500513-1"/>
    <m/>
    <s v="Mar'25"/>
    <s v="Released orders"/>
    <x v="5"/>
    <x v="5"/>
    <s v="1000-IPPE"/>
    <m/>
    <x v="0"/>
    <m/>
    <m/>
    <m/>
    <s v="West"/>
    <s v="VILLAGE-PRAGPAR"/>
    <m/>
    <n v="189108"/>
    <s v="Manaksia Coated Metals &amp; Industries"/>
    <n v="43577"/>
    <s v="CR COIL C09 TATFHC TR10 0.41 X 1220"/>
    <s v=" "/>
    <s v=""/>
    <m/>
    <m/>
    <s v="Wider"/>
    <s v="C09"/>
    <s v="TATFHC"/>
    <s v="TR10"/>
    <n v="0.41"/>
    <n v="1220"/>
    <n v="0"/>
    <n v="224"/>
    <n v="0"/>
    <n v="224"/>
    <n v="224"/>
    <n v="0"/>
    <n v="224"/>
    <m/>
    <n v="0"/>
    <n v="224"/>
    <n v="224"/>
    <n v="0"/>
    <n v="250.88000000000002"/>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4"/>
    <d v="2025-02-05T00:00:00"/>
    <s v="ZBTO"/>
    <n v="9518496388"/>
    <n v="2"/>
    <s v="9518496388-2"/>
    <m/>
    <s v="Mar'25 additional"/>
    <s v="Released orders"/>
    <x v="4"/>
    <x v="7"/>
    <s v="1000-IPPE"/>
    <m/>
    <x v="0"/>
    <m/>
    <m/>
    <m/>
    <s v="Bluescope"/>
    <s v=" "/>
    <m/>
    <n v="941597"/>
    <s v="TATA BLUESCOPE STEEL PRIVATE LIMITE"/>
    <n v="1640840"/>
    <s v="PPGL C Y550 HPL3 0.45BMT(0.53TPT)X1220"/>
    <s v="AZ150"/>
    <s v="RAL 9006 TSL 203"/>
    <m/>
    <m/>
    <s v="Wider"/>
    <s v="B18"/>
    <s v="Y550PL"/>
    <s v="HPL3"/>
    <n v="0.45"/>
    <n v="1220"/>
    <n v="0"/>
    <n v="28"/>
    <n v="0"/>
    <n v="28"/>
    <n v="28"/>
    <n v="26.515000000000001"/>
    <n v="0"/>
    <m/>
    <n v="26.515000000000001"/>
    <n v="0"/>
    <n v="28"/>
    <n v="0"/>
    <n v="0"/>
    <n v="0"/>
    <n v="0"/>
    <n v="0"/>
    <n v="0"/>
    <n v="0"/>
    <n v="0"/>
    <n v="0"/>
    <n v="0"/>
    <n v="26.515000000000001"/>
    <n v="0"/>
    <n v="0"/>
    <n v="0"/>
    <n v="0"/>
    <n v="0"/>
    <n v="0"/>
    <n v="0"/>
    <n v="0"/>
    <n v="0"/>
    <n v="26.515000000000001"/>
    <n v="26.515000000000001"/>
    <n v="0"/>
    <n v="26.515000000000001"/>
    <n v="0"/>
    <n v="0"/>
    <n v="28"/>
    <n v="0"/>
    <n v="0"/>
    <n v="28"/>
    <n v="0"/>
    <n v="0"/>
    <n v="28"/>
    <n v="0"/>
    <n v="0"/>
    <n v="28"/>
    <n v="0"/>
    <n v="0"/>
    <n v="0"/>
    <n v="0"/>
    <n v="0"/>
    <n v="0"/>
    <n v="0"/>
    <n v="0"/>
    <n v="0"/>
    <m/>
    <m/>
    <m/>
    <m/>
    <m/>
    <m/>
    <m/>
    <m/>
    <m/>
    <s v="1"/>
    <s v="1"/>
    <s v="0"/>
    <s v="1"/>
    <s v="1"/>
    <m/>
    <m/>
    <m/>
    <m/>
    <m/>
    <m/>
    <m/>
    <m/>
    <m/>
    <m/>
    <m/>
    <m/>
    <m/>
    <m/>
  </r>
  <r>
    <n v="744"/>
    <d v="2025-02-05T00:00:00"/>
    <s v="ZBTO"/>
    <n v="9518496391"/>
    <n v="1"/>
    <s v="9518496391-1"/>
    <m/>
    <s v="Feb'25"/>
    <s v="Released orders"/>
    <x v="4"/>
    <x v="7"/>
    <s v="1000-IPPE"/>
    <m/>
    <x v="0"/>
    <m/>
    <m/>
    <m/>
    <s v="Bluescope"/>
    <s v=" "/>
    <m/>
    <n v="941597"/>
    <s v="TATA BLUESCOPE STEEL PRIVATE LIMITE"/>
    <n v="1633706"/>
    <s v="PPGL C Y550 HPL3 0.42BMT(0.50TPT)X1220"/>
    <s v="AZ150"/>
    <s v="RAL 7035 TSL 410"/>
    <m/>
    <m/>
    <s v="Wider"/>
    <s v="B18"/>
    <s v="Y550PL"/>
    <s v="HPL3"/>
    <n v="0.42"/>
    <n v="1220"/>
    <n v="0"/>
    <n v="83.99"/>
    <n v="36.020000000000003"/>
    <n v="47.97"/>
    <n v="47.97"/>
    <n v="9.1999999999999993"/>
    <n v="38.770000000000003"/>
    <m/>
    <n v="9.1999999999999993"/>
    <n v="38.769999999999996"/>
    <n v="47.97"/>
    <n v="0"/>
    <n v="43.422400000000003"/>
    <n v="0"/>
    <n v="0"/>
    <n v="0"/>
    <n v="0"/>
    <n v="0"/>
    <n v="0"/>
    <n v="0"/>
    <n v="0"/>
    <n v="9.2000000000000011"/>
    <n v="0"/>
    <n v="0"/>
    <n v="0"/>
    <n v="0"/>
    <n v="0"/>
    <n v="0"/>
    <n v="0"/>
    <n v="0"/>
    <n v="0"/>
    <n v="9.2000000000000011"/>
    <n v="9.2000000000000011"/>
    <n v="0"/>
    <n v="9.2000000000000011"/>
    <n v="0"/>
    <n v="2.74"/>
    <n v="47.97"/>
    <n v="0"/>
    <n v="0"/>
    <n v="47.97"/>
    <n v="0"/>
    <n v="0"/>
    <n v="50.71"/>
    <n v="0"/>
    <n v="0"/>
    <n v="0"/>
    <n v="50.71"/>
    <n v="0"/>
    <n v="0"/>
    <n v="0"/>
    <n v="0"/>
    <n v="0"/>
    <n v="0"/>
    <n v="0"/>
    <n v="0"/>
    <m/>
    <m/>
    <m/>
    <m/>
    <m/>
    <m/>
    <m/>
    <m/>
    <m/>
    <s v="1"/>
    <s v="1"/>
    <s v="0"/>
    <s v="1"/>
    <s v="1"/>
    <m/>
    <m/>
    <m/>
    <m/>
    <m/>
    <m/>
    <m/>
    <m/>
    <m/>
    <m/>
    <m/>
    <m/>
    <m/>
    <m/>
  </r>
  <r>
    <n v="744"/>
    <d v="2025-02-05T00:00:00"/>
    <s v="ZBTO"/>
    <n v="9518496391"/>
    <n v="4"/>
    <s v="9518496391-4"/>
    <m/>
    <s v="No Priority"/>
    <s v="Released orders"/>
    <x v="4"/>
    <x v="7"/>
    <s v="1000-IPPE"/>
    <m/>
    <x v="1"/>
    <m/>
    <m/>
    <m/>
    <s v="Bluescope"/>
    <s v=" "/>
    <m/>
    <n v="941597"/>
    <s v="TATA BLUESCOPE STEEL PRIVATE LIMITE"/>
    <n v="1634425"/>
    <s v="PPGL C Y550 HPL3 0.47BMT(0.55TPT)X1220"/>
    <s v="AZ150"/>
    <s v="BOTTLE GREEN TSL 139"/>
    <m/>
    <m/>
    <s v="Wider"/>
    <s v="B18"/>
    <s v="Y550PL"/>
    <s v="HPL3"/>
    <n v="0.47"/>
    <n v="1220"/>
    <n v="0"/>
    <n v="28"/>
    <n v="27.54"/>
    <n v="28"/>
    <n v="28"/>
    <n v="27.8"/>
    <n v="0.2"/>
    <m/>
    <n v="27.8"/>
    <n v="0"/>
    <n v="0"/>
    <n v="0"/>
    <n v="0"/>
    <n v="28.82"/>
    <n v="0"/>
    <n v="0"/>
    <n v="0"/>
    <n v="0"/>
    <n v="0"/>
    <n v="0"/>
    <n v="0"/>
    <n v="0"/>
    <n v="0"/>
    <n v="0"/>
    <n v="0"/>
    <n v="0"/>
    <n v="0"/>
    <n v="0"/>
    <n v="0"/>
    <n v="0"/>
    <n v="0"/>
    <n v="28.82"/>
    <n v="28.82"/>
    <n v="0"/>
    <n v="28.82"/>
    <n v="0"/>
    <n v="0"/>
    <n v="0"/>
    <n v="0"/>
    <n v="0"/>
    <n v="0"/>
    <n v="0"/>
    <n v="0"/>
    <n v="0"/>
    <n v="0"/>
    <n v="0"/>
    <n v="0"/>
    <n v="0"/>
    <n v="0"/>
    <n v="0"/>
    <n v="0"/>
    <n v="0"/>
    <n v="0"/>
    <n v="0"/>
    <n v="0"/>
    <n v="0"/>
    <m/>
    <m/>
    <m/>
    <m/>
    <m/>
    <m/>
    <m/>
    <m/>
    <m/>
    <s v="1"/>
    <s v="1"/>
    <s v="1"/>
    <s v="1"/>
    <s v="1"/>
    <m/>
    <m/>
    <m/>
    <m/>
    <m/>
    <m/>
    <m/>
    <m/>
    <m/>
    <m/>
    <m/>
    <m/>
    <m/>
    <m/>
  </r>
  <r>
    <n v="744"/>
    <d v="2025-02-05T00:00:00"/>
    <s v="ZBTO"/>
    <n v="9518494808"/>
    <n v="1"/>
    <s v="9518494808-1"/>
    <m/>
    <s v="No Priority"/>
    <s v="Released orders"/>
    <x v="4"/>
    <x v="7"/>
    <s v="1000-IPPE"/>
    <m/>
    <x v="1"/>
    <m/>
    <m/>
    <m/>
    <s v="Bluescope"/>
    <s v=" "/>
    <m/>
    <n v="941597"/>
    <s v="TATA BLUESCOPE STEEL PRIVATE LIMITE"/>
    <n v="3902332"/>
    <s v="PPGL C HARD Y550PL D0C9 0.50(TPT)X1220"/>
    <s v="AZ150"/>
    <s v="RAL 9002 TSL 1801"/>
    <m/>
    <m/>
    <s v="Wider"/>
    <s v="B18"/>
    <s v="Y550PL"/>
    <s v="D0C9"/>
    <n v="0.5"/>
    <n v="1220"/>
    <n v="0"/>
    <n v="279.99"/>
    <n v="264.48500000000001"/>
    <n v="143.46"/>
    <n v="95.25"/>
    <n v="161.565"/>
    <n v="0"/>
    <m/>
    <n v="161.565"/>
    <n v="0"/>
    <n v="15.505000000000001"/>
    <n v="0"/>
    <n v="0"/>
    <n v="28.67"/>
    <n v="0"/>
    <n v="0"/>
    <n v="0"/>
    <n v="21.64"/>
    <n v="0"/>
    <n v="20.38"/>
    <n v="0"/>
    <n v="28.375"/>
    <n v="0"/>
    <n v="0"/>
    <n v="0"/>
    <n v="0"/>
    <n v="0"/>
    <n v="13.93"/>
    <n v="3.585"/>
    <n v="0"/>
    <n v="35.865000000000002"/>
    <n v="152.44499999999999"/>
    <n v="152.44499999999999"/>
    <n v="0"/>
    <n v="152.44499999999999"/>
    <n v="0"/>
    <n v="0"/>
    <n v="0"/>
    <n v="0"/>
    <n v="0"/>
    <n v="0"/>
    <n v="0"/>
    <n v="0"/>
    <n v="0"/>
    <n v="0"/>
    <n v="0"/>
    <n v="0"/>
    <n v="0"/>
    <n v="0"/>
    <n v="0"/>
    <n v="0"/>
    <n v="0"/>
    <n v="0"/>
    <n v="0"/>
    <n v="0"/>
    <n v="0"/>
    <m/>
    <m/>
    <m/>
    <m/>
    <m/>
    <m/>
    <m/>
    <m/>
    <m/>
    <s v="1"/>
    <s v="1"/>
    <s v="1"/>
    <s v="1"/>
    <s v="1"/>
    <m/>
    <m/>
    <m/>
    <m/>
    <m/>
    <m/>
    <m/>
    <m/>
    <m/>
    <m/>
    <m/>
    <m/>
    <m/>
    <m/>
  </r>
  <r>
    <n v="744"/>
    <d v="2025-02-05T00:00:00"/>
    <s v="ZBTO"/>
    <n v="9518494821"/>
    <n v="1"/>
    <s v="9518494821-1"/>
    <m/>
    <s v="Feb'25"/>
    <s v="Released orders"/>
    <x v="4"/>
    <x v="7"/>
    <s v="1000-IPPE"/>
    <m/>
    <x v="0"/>
    <m/>
    <m/>
    <m/>
    <s v="Bluescope"/>
    <s v=" "/>
    <m/>
    <n v="941597"/>
    <s v="TATA BLUESCOPE STEEL PRIVATE LIMITE"/>
    <n v="3902332"/>
    <s v="PPGL C HARD Y550PL D0C9 0.50(TPT)X1220"/>
    <s v="AZ150"/>
    <s v="RAL 7015 TSL 1805"/>
    <m/>
    <m/>
    <s v="Wider"/>
    <s v="B18"/>
    <s v="Y550PL"/>
    <s v="D0C9"/>
    <n v="0.5"/>
    <n v="1220"/>
    <n v="0"/>
    <n v="56"/>
    <n v="0"/>
    <n v="56"/>
    <n v="56"/>
    <n v="0"/>
    <n v="56"/>
    <m/>
    <m/>
    <n v="56"/>
    <n v="56"/>
    <n v="0"/>
    <n v="62.720000000000006"/>
    <n v="0"/>
    <n v="0"/>
    <n v="0"/>
    <n v="0"/>
    <n v="0"/>
    <n v="0"/>
    <n v="0"/>
    <n v="0"/>
    <n v="0"/>
    <n v="0"/>
    <n v="0"/>
    <n v="0"/>
    <n v="0"/>
    <n v="0"/>
    <n v="0"/>
    <n v="0"/>
    <n v="0"/>
    <n v="0"/>
    <n v="0"/>
    <n v="0"/>
    <n v="0"/>
    <n v="0"/>
    <n v="0"/>
    <n v="0"/>
    <n v="56"/>
    <n v="0"/>
    <n v="0"/>
    <n v="0"/>
    <n v="56"/>
    <n v="0"/>
    <n v="56"/>
    <n v="0"/>
    <n v="0"/>
    <n v="0"/>
    <n v="56"/>
    <n v="0"/>
    <n v="0"/>
    <n v="0"/>
    <n v="0"/>
    <n v="0"/>
    <n v="0"/>
    <n v="0"/>
    <n v="0"/>
    <m/>
    <m/>
    <m/>
    <m/>
    <m/>
    <m/>
    <m/>
    <m/>
    <m/>
    <s v="1"/>
    <s v="1"/>
    <s v="1"/>
    <s v="0"/>
    <s v="1"/>
    <m/>
    <m/>
    <m/>
    <m/>
    <m/>
    <m/>
    <m/>
    <m/>
    <m/>
    <m/>
    <m/>
    <m/>
    <m/>
    <m/>
  </r>
  <r>
    <n v="744"/>
    <d v="2025-02-05T00:00:00"/>
    <s v="ZBTO"/>
    <n v="9518494819"/>
    <n v="2"/>
    <s v="9518494819-2"/>
    <m/>
    <s v="No Priority"/>
    <s v="Released orders"/>
    <x v="4"/>
    <x v="7"/>
    <s v="1000-IPPE"/>
    <m/>
    <x v="1"/>
    <m/>
    <m/>
    <m/>
    <s v="Bluescope"/>
    <s v=" "/>
    <m/>
    <n v="941597"/>
    <s v="TATA BLUESCOPE STEEL PRIVATE LIMITE"/>
    <n v="3902332"/>
    <s v="PPGL C HARD Y550PL D0C9 0.50(TPT)X1220"/>
    <s v="AZ150"/>
    <s v="RAL 5012 TSL 1802"/>
    <m/>
    <m/>
    <s v="Wider"/>
    <s v="B18"/>
    <s v="Y550PL"/>
    <s v="D0C9"/>
    <n v="0.5"/>
    <n v="1220"/>
    <n v="0"/>
    <n v="28"/>
    <n v="27.64"/>
    <n v="28"/>
    <n v="28"/>
    <n v="27.64"/>
    <n v="0.36"/>
    <m/>
    <n v="27.64"/>
    <n v="0"/>
    <n v="0"/>
    <n v="0"/>
    <n v="0"/>
    <n v="28.7"/>
    <n v="0"/>
    <n v="0"/>
    <n v="0"/>
    <n v="0"/>
    <n v="0"/>
    <n v="0"/>
    <n v="0"/>
    <n v="0"/>
    <n v="0"/>
    <n v="0"/>
    <n v="0"/>
    <n v="0"/>
    <n v="0"/>
    <n v="0"/>
    <n v="0"/>
    <n v="0"/>
    <n v="0"/>
    <n v="28.7"/>
    <n v="28.7"/>
    <n v="0"/>
    <n v="28.7"/>
    <n v="0"/>
    <n v="0"/>
    <n v="0"/>
    <n v="0"/>
    <n v="0"/>
    <n v="0"/>
    <n v="0"/>
    <n v="0"/>
    <n v="0"/>
    <n v="0"/>
    <n v="0"/>
    <n v="0"/>
    <n v="0"/>
    <n v="0"/>
    <n v="0"/>
    <n v="0"/>
    <n v="0"/>
    <n v="0"/>
    <n v="0"/>
    <n v="0"/>
    <n v="0"/>
    <m/>
    <m/>
    <m/>
    <m/>
    <m/>
    <m/>
    <m/>
    <m/>
    <m/>
    <s v="1"/>
    <s v="1"/>
    <s v="1"/>
    <s v="1"/>
    <s v="1"/>
    <m/>
    <m/>
    <m/>
    <m/>
    <m/>
    <m/>
    <m/>
    <m/>
    <m/>
    <m/>
    <m/>
    <m/>
    <m/>
    <m/>
  </r>
  <r>
    <n v="743"/>
    <d v="2025-02-06T00:00:00"/>
    <s v="ZBTO"/>
    <n v="9518498568"/>
    <n v="1"/>
    <s v="9518498568-1"/>
    <m/>
    <s v="Feb'25"/>
    <s v="Released orders"/>
    <x v="3"/>
    <x v="13"/>
    <s v="1000-IPPE"/>
    <m/>
    <x v="0"/>
    <m/>
    <m/>
    <m/>
    <s v="South"/>
    <s v="SIKANDRABAD"/>
    <m/>
    <n v="898099"/>
    <s v="GOODLUCK INDIA LIMITED"/>
    <n v="3865176"/>
    <s v="GL COIL HARD  Y550GL HGL6 0.900X1250"/>
    <s v="AZ150"/>
    <s v=""/>
    <m/>
    <m/>
    <s v="Wider"/>
    <s v="B04"/>
    <s v="Y550GL"/>
    <s v="HGL6"/>
    <n v="0.9"/>
    <n v="1250"/>
    <n v="0"/>
    <n v="289.99"/>
    <n v="239.32499999999999"/>
    <n v="207.5"/>
    <n v="168.81"/>
    <n v="170.58500000000001"/>
    <n v="0"/>
    <m/>
    <m/>
    <n v="168.81"/>
    <n v="50.664999999999999"/>
    <n v="0"/>
    <n v="60.435200000000016"/>
    <n v="0"/>
    <n v="0"/>
    <n v="0"/>
    <n v="0"/>
    <n v="0"/>
    <n v="0"/>
    <n v="0"/>
    <n v="0"/>
    <n v="0"/>
    <n v="0"/>
    <n v="0"/>
    <n v="0"/>
    <n v="0"/>
    <n v="0"/>
    <n v="0"/>
    <n v="142.53"/>
    <n v="0"/>
    <n v="11.01"/>
    <n v="153.54"/>
    <n v="153.54"/>
    <n v="0"/>
    <n v="153.54"/>
    <n v="170.58500000000001"/>
    <n v="67.62"/>
    <n v="50.664999999999999"/>
    <n v="0"/>
    <n v="50.664999999999999"/>
    <n v="0"/>
    <n v="0"/>
    <n v="0"/>
    <n v="118.285"/>
    <n v="0"/>
    <n v="0"/>
    <n v="118.285"/>
    <n v="0"/>
    <n v="0"/>
    <n v="0"/>
    <n v="0"/>
    <n v="0"/>
    <n v="0"/>
    <n v="0"/>
    <n v="0"/>
    <n v="0"/>
    <m/>
    <m/>
    <m/>
    <m/>
    <m/>
    <m/>
    <m/>
    <m/>
    <m/>
    <s v="1"/>
    <s v="0"/>
    <s v="1"/>
    <s v="1"/>
    <s v="1"/>
    <m/>
    <m/>
    <m/>
    <m/>
    <m/>
    <m/>
    <m/>
    <m/>
    <m/>
    <m/>
    <m/>
    <m/>
    <m/>
    <m/>
  </r>
  <r>
    <n v="744"/>
    <d v="2025-02-05T00:00:00"/>
    <s v="ZBTO"/>
    <n v="9518494796"/>
    <n v="2"/>
    <s v="9518494796-2"/>
    <m/>
    <s v="Stocks"/>
    <s v="Released orders"/>
    <x v="4"/>
    <x v="7"/>
    <s v="1000-IPPE"/>
    <m/>
    <x v="0"/>
    <m/>
    <m/>
    <m/>
    <s v="Bluescope"/>
    <s v=" "/>
    <m/>
    <n v="941597"/>
    <s v="TATA BLUESCOPE STEEL PRIVATE LIMITE"/>
    <n v="3902332"/>
    <s v="PPGL C HARD Y550PL D0C9 0.50(TPT)X1220"/>
    <s v="AZ150"/>
    <s v="RAL 5012 TSL 1802"/>
    <m/>
    <m/>
    <s v="Wider"/>
    <s v="B18"/>
    <s v="Y550PL"/>
    <s v="D0C9"/>
    <n v="0.5"/>
    <n v="1220"/>
    <n v="0"/>
    <n v="28"/>
    <n v="23.42"/>
    <n v="28"/>
    <n v="28"/>
    <n v="47.625"/>
    <n v="0"/>
    <m/>
    <n v="47.625"/>
    <n v="0"/>
    <n v="4.58"/>
    <n v="0"/>
    <n v="0"/>
    <n v="28.73"/>
    <n v="0"/>
    <n v="0"/>
    <n v="0"/>
    <n v="0"/>
    <n v="0"/>
    <n v="0"/>
    <n v="0"/>
    <n v="0"/>
    <n v="0"/>
    <n v="0"/>
    <n v="0"/>
    <n v="0"/>
    <n v="0"/>
    <n v="0"/>
    <n v="0"/>
    <n v="0"/>
    <n v="0"/>
    <n v="28.73"/>
    <n v="28.73"/>
    <n v="0"/>
    <n v="28.73"/>
    <n v="0"/>
    <n v="3.5950000000000002"/>
    <n v="0"/>
    <n v="0"/>
    <n v="0"/>
    <n v="0"/>
    <n v="0"/>
    <n v="0"/>
    <n v="3.5950000000000002"/>
    <n v="0"/>
    <n v="0"/>
    <n v="3.5950000000000002"/>
    <n v="0"/>
    <n v="0"/>
    <n v="0"/>
    <n v="0"/>
    <n v="0"/>
    <n v="0"/>
    <n v="0"/>
    <n v="0"/>
    <n v="0"/>
    <m/>
    <m/>
    <m/>
    <m/>
    <m/>
    <m/>
    <m/>
    <m/>
    <m/>
    <s v="1"/>
    <s v="1"/>
    <s v="1"/>
    <s v="1"/>
    <s v="1"/>
    <m/>
    <m/>
    <m/>
    <m/>
    <m/>
    <m/>
    <m/>
    <m/>
    <m/>
    <m/>
    <m/>
    <m/>
    <m/>
    <m/>
  </r>
  <r>
    <n v="744"/>
    <d v="2025-02-05T00:00:00"/>
    <s v="ZBTO"/>
    <n v="9518494808"/>
    <n v="2"/>
    <s v="9518494808-2"/>
    <m/>
    <s v="No Priority"/>
    <s v="Released orders"/>
    <x v="4"/>
    <x v="7"/>
    <s v="1000-IPPE"/>
    <m/>
    <x v="1"/>
    <m/>
    <m/>
    <m/>
    <s v="Bluescope"/>
    <s v=" "/>
    <m/>
    <n v="941597"/>
    <s v="TATA BLUESCOPE STEEL PRIVATE LIMITE"/>
    <n v="3902332"/>
    <s v="PPGL C HARD Y550PL D0C9 0.50(TPT)X1220"/>
    <s v="AZ150"/>
    <s v="RAL 9002 TSL 1801"/>
    <m/>
    <m/>
    <s v="Wider"/>
    <s v="B18"/>
    <s v="Y550PL"/>
    <s v="D0C9"/>
    <n v="0.5"/>
    <n v="1220"/>
    <n v="0"/>
    <n v="28"/>
    <n v="19.945"/>
    <n v="18.05"/>
    <n v="13.065"/>
    <n v="12.175000000000001"/>
    <n v="0"/>
    <m/>
    <n v="12.175000000000001"/>
    <n v="0"/>
    <n v="8.0449999999999999"/>
    <n v="0"/>
    <n v="0"/>
    <n v="0"/>
    <n v="0"/>
    <n v="0"/>
    <n v="0"/>
    <n v="0"/>
    <n v="0"/>
    <n v="0"/>
    <n v="0"/>
    <n v="0"/>
    <n v="0"/>
    <n v="0"/>
    <n v="0"/>
    <n v="0"/>
    <n v="0"/>
    <n v="0"/>
    <n v="7.165"/>
    <n v="0"/>
    <n v="9.995000000000001"/>
    <n v="17.16"/>
    <n v="17.16"/>
    <n v="0"/>
    <n v="17.16"/>
    <n v="0"/>
    <n v="0"/>
    <n v="0"/>
    <n v="0"/>
    <n v="0"/>
    <n v="0"/>
    <n v="0"/>
    <n v="0"/>
    <n v="0"/>
    <n v="0"/>
    <n v="0"/>
    <n v="0"/>
    <n v="0"/>
    <n v="0"/>
    <n v="0"/>
    <n v="0"/>
    <n v="0"/>
    <n v="0"/>
    <n v="0"/>
    <n v="0"/>
    <n v="0"/>
    <m/>
    <m/>
    <m/>
    <m/>
    <m/>
    <m/>
    <m/>
    <m/>
    <m/>
    <s v="1"/>
    <s v="1"/>
    <s v="1"/>
    <s v="1"/>
    <s v="1"/>
    <m/>
    <m/>
    <m/>
    <m/>
    <m/>
    <m/>
    <m/>
    <m/>
    <m/>
    <m/>
    <m/>
    <m/>
    <m/>
    <m/>
  </r>
  <r>
    <n v="742"/>
    <d v="2025-02-04T00:00:00"/>
    <s v="ZBTO"/>
    <n v="9518492163"/>
    <n v="4"/>
    <s v="9518492163-4"/>
    <m/>
    <s v="No Priority"/>
    <s v="Released orders"/>
    <x v="5"/>
    <x v="5"/>
    <s v="1000-IPPE"/>
    <m/>
    <x v="1"/>
    <m/>
    <s v="Order to be closed, quality issue"/>
    <m/>
    <s v="North"/>
    <s v="TATARPUR"/>
    <m/>
    <n v="936951"/>
    <s v="PROMPT ENTERPRISES PRIVATE LIMITED"/>
    <n v="2154935"/>
    <s v="CRFH COIL TATFHC TR10 0.460X1220"/>
    <s v=" "/>
    <s v=""/>
    <m/>
    <m/>
    <s v="Wider"/>
    <s v="C09"/>
    <s v="TATFHC"/>
    <s v="TR10"/>
    <n v="0.46"/>
    <n v="1220"/>
    <n v="0"/>
    <n v="168"/>
    <e v="#N/A"/>
    <n v="168"/>
    <n v="168"/>
    <n v="0"/>
    <n v="168"/>
    <m/>
    <n v="0"/>
    <n v="168"/>
    <n v="0"/>
    <n v="0"/>
    <n v="188.16000000000003"/>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2-04T00:00:00"/>
    <s v="ZBTO"/>
    <n v="9518492163"/>
    <n v="3"/>
    <s v="9518492163-3"/>
    <m/>
    <s v="No Priority"/>
    <s v="Released orders"/>
    <x v="5"/>
    <x v="5"/>
    <s v="1000-IPPE"/>
    <m/>
    <x v="1"/>
    <m/>
    <s v="Order to be closed, quality issue"/>
    <m/>
    <s v="North"/>
    <s v="TATARPUR"/>
    <m/>
    <n v="936951"/>
    <s v="PROMPT ENTERPRISES PRIVATE LIMITED"/>
    <n v="2154935"/>
    <s v="CRFH COIL TATFHC TR10 0.460X1220"/>
    <s v=" "/>
    <s v=""/>
    <m/>
    <m/>
    <s v="Wider"/>
    <s v="C09"/>
    <s v="TATFHC"/>
    <s v="TR10"/>
    <n v="0.46"/>
    <n v="1220"/>
    <n v="0"/>
    <n v="280"/>
    <e v="#N/A"/>
    <n v="280"/>
    <n v="280"/>
    <n v="0"/>
    <n v="280"/>
    <m/>
    <n v="0"/>
    <n v="280"/>
    <n v="0"/>
    <n v="0"/>
    <n v="313.60000000000002"/>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2-04T00:00:00"/>
    <s v="ZBTO"/>
    <n v="9518492163"/>
    <n v="1"/>
    <s v="9518492163-1"/>
    <m/>
    <s v="No Priority"/>
    <s v="Released orders"/>
    <x v="5"/>
    <x v="5"/>
    <s v="1000-IPPE"/>
    <m/>
    <x v="1"/>
    <m/>
    <s v="Order to be closed, quality issue"/>
    <m/>
    <s v="North"/>
    <s v="TATARPUR"/>
    <m/>
    <n v="936951"/>
    <s v="PROMPT ENTERPRISES PRIVATE LIMITED"/>
    <n v="2154935"/>
    <s v="CRFH COIL TATFHC TR10 0.460X1220"/>
    <s v=" "/>
    <s v=""/>
    <m/>
    <m/>
    <s v="Wider"/>
    <s v="C09"/>
    <s v="TATFHC"/>
    <s v="TR10"/>
    <n v="0.46"/>
    <n v="1220"/>
    <n v="0"/>
    <n v="280"/>
    <e v="#N/A"/>
    <n v="280"/>
    <n v="280"/>
    <n v="0"/>
    <n v="280"/>
    <m/>
    <n v="0"/>
    <n v="280"/>
    <n v="0"/>
    <n v="0"/>
    <n v="313.60000000000002"/>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2-04T00:00:00"/>
    <s v="ZBTO"/>
    <n v="9518492163"/>
    <n v="2"/>
    <s v="9518492163-2"/>
    <m/>
    <s v="No Priority"/>
    <s v="Released orders"/>
    <x v="5"/>
    <x v="5"/>
    <s v="1000-IPPE"/>
    <m/>
    <x v="1"/>
    <m/>
    <s v="Order to be closed, quality issue"/>
    <m/>
    <s v="North"/>
    <s v="TATARPUR"/>
    <m/>
    <n v="936951"/>
    <s v="PROMPT ENTERPRISES PRIVATE LIMITED"/>
    <n v="2154935"/>
    <s v="CRFH COIL TATFHC TR10 0.460X1220"/>
    <s v=" "/>
    <s v=""/>
    <m/>
    <m/>
    <s v="Wider"/>
    <s v="C09"/>
    <s v="TATFHC"/>
    <s v="TR10"/>
    <n v="0.46"/>
    <n v="1220"/>
    <n v="0"/>
    <n v="280"/>
    <e v="#N/A"/>
    <n v="280"/>
    <n v="280"/>
    <n v="0"/>
    <n v="280"/>
    <m/>
    <n v="0"/>
    <n v="280"/>
    <n v="0"/>
    <n v="0"/>
    <n v="313.60000000000002"/>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5-02-04T00:00:00"/>
    <s v="ZBTO"/>
    <n v="9518493932"/>
    <n v="1"/>
    <s v="9518493932-1"/>
    <m/>
    <s v="Mar'25 additional"/>
    <s v="Released orders"/>
    <x v="3"/>
    <x v="13"/>
    <s v="1000-IPPE"/>
    <m/>
    <x v="0"/>
    <m/>
    <m/>
    <m/>
    <m/>
    <s v="VADODARA"/>
    <m/>
    <n v="184591"/>
    <s v="NAKODA STEEL"/>
    <n v="3884496"/>
    <s v="GL COIL HARD  Y550GL HGL6 0.900X1220"/>
    <s v="AZ150"/>
    <m/>
    <n v="7"/>
    <n v="15"/>
    <s v="Wider"/>
    <s v="B04"/>
    <s v="Y550GL"/>
    <s v="HGL6"/>
    <n v="0.9"/>
    <n v="1220"/>
    <n v="0"/>
    <n v="252"/>
    <n v="13.31"/>
    <n v="252"/>
    <n v="252"/>
    <n v="0"/>
    <n v="252"/>
    <n v="270"/>
    <n v="270"/>
    <n v="0"/>
    <n v="238.69"/>
    <n v="0"/>
    <n v="282.24"/>
    <n v="0"/>
    <n v="0"/>
    <n v="0"/>
    <n v="0"/>
    <n v="0"/>
    <n v="0"/>
    <n v="0"/>
    <n v="0"/>
    <n v="0"/>
    <n v="0"/>
    <n v="0"/>
    <n v="0"/>
    <n v="0"/>
    <n v="0"/>
    <n v="0"/>
    <n v="0"/>
    <n v="0"/>
    <n v="0"/>
    <n v="0"/>
    <n v="0"/>
    <n v="0"/>
    <n v="270"/>
    <n v="-270"/>
    <n v="13.31"/>
    <n v="239"/>
    <n v="0"/>
    <n v="0"/>
    <n v="0"/>
    <n v="239"/>
    <n v="0"/>
    <n v="252.31"/>
    <n v="0"/>
    <n v="0"/>
    <n v="0"/>
    <n v="0"/>
    <n v="252.31"/>
    <n v="0"/>
    <m/>
    <m/>
    <m/>
    <m/>
    <m/>
    <m/>
    <m/>
    <m/>
    <m/>
    <m/>
    <m/>
    <m/>
    <m/>
    <m/>
    <m/>
    <m/>
    <m/>
    <m/>
    <m/>
    <m/>
    <m/>
    <m/>
    <m/>
    <m/>
    <m/>
    <m/>
    <m/>
    <m/>
    <m/>
    <m/>
    <m/>
    <m/>
    <m/>
    <m/>
  </r>
  <r>
    <n v="743"/>
    <d v="2025-02-04T00:00:00"/>
    <s v="ZBTO"/>
    <n v="9518493932"/>
    <n v="2"/>
    <s v="9518493932-2"/>
    <m/>
    <s v="Mar'25 additional"/>
    <s v="Released orders"/>
    <x v="3"/>
    <x v="13"/>
    <s v="1000-IPPE"/>
    <m/>
    <x v="0"/>
    <m/>
    <m/>
    <m/>
    <m/>
    <s v="VADODARA"/>
    <m/>
    <n v="184591"/>
    <s v="NAKODA STEEL"/>
    <n v="3884496"/>
    <s v="GL COIL HARD  Y550GL HGL6 0.900X1220"/>
    <s v="AZ150"/>
    <m/>
    <n v="7"/>
    <n v="15"/>
    <s v="Wider"/>
    <s v="B04"/>
    <s v="Y550GL"/>
    <s v="HGL6"/>
    <n v="0.9"/>
    <n v="1220"/>
    <n v="0"/>
    <n v="252"/>
    <n v="12.59"/>
    <n v="252"/>
    <n v="252"/>
    <n v="0"/>
    <n v="252"/>
    <n v="270"/>
    <n v="270"/>
    <n v="0"/>
    <n v="239.41"/>
    <n v="0"/>
    <n v="282.24"/>
    <n v="0"/>
    <n v="0"/>
    <n v="0"/>
    <n v="0"/>
    <n v="0"/>
    <n v="0"/>
    <n v="0"/>
    <n v="0"/>
    <n v="0"/>
    <n v="0"/>
    <n v="0"/>
    <n v="0"/>
    <n v="0"/>
    <n v="0"/>
    <n v="0"/>
    <n v="0"/>
    <n v="0"/>
    <n v="0"/>
    <n v="0"/>
    <n v="0"/>
    <n v="0"/>
    <n v="270"/>
    <n v="-270"/>
    <n v="12.59"/>
    <n v="239"/>
    <n v="0"/>
    <n v="0"/>
    <n v="0"/>
    <n v="239"/>
    <n v="0"/>
    <n v="251.59"/>
    <n v="0"/>
    <n v="0"/>
    <n v="0"/>
    <n v="0"/>
    <n v="251.59"/>
    <n v="0"/>
    <m/>
    <m/>
    <m/>
    <m/>
    <m/>
    <m/>
    <m/>
    <m/>
    <m/>
    <m/>
    <m/>
    <m/>
    <m/>
    <m/>
    <m/>
    <m/>
    <m/>
    <m/>
    <m/>
    <m/>
    <m/>
    <m/>
    <m/>
    <m/>
    <m/>
    <m/>
    <m/>
    <m/>
    <m/>
    <m/>
    <m/>
    <m/>
    <m/>
    <m/>
  </r>
  <r>
    <n v="743"/>
    <d v="2025-02-12T00:00:00"/>
    <s v="ZBTO"/>
    <n v="9518514029"/>
    <n v="1"/>
    <s v="9518514029-1"/>
    <m/>
    <s v="Stocks"/>
    <s v="Released orders"/>
    <x v="3"/>
    <x v="7"/>
    <s v="1000-IPPE"/>
    <m/>
    <x v="0"/>
    <m/>
    <m/>
    <m/>
    <m/>
    <s v="RAJASTHAN"/>
    <m/>
    <n v="942293"/>
    <s v="TATA BLUESCOPE STEEL PRIVATE LIMITE"/>
    <n v="3946362"/>
    <s v="GL COIL HARD Y550GL M308 0.47 (TCT)X1220"/>
    <s v="AZ150"/>
    <m/>
    <n v="3"/>
    <n v="5"/>
    <s v="Wider"/>
    <s v="B04"/>
    <s v="Y550GL"/>
    <s v="M308"/>
    <n v="0.47"/>
    <n v="1220"/>
    <n v="0"/>
    <n v="112"/>
    <n v="109.36499999999999"/>
    <n v="112"/>
    <n v="112"/>
    <n v="0"/>
    <n v="112"/>
    <m/>
    <m/>
    <n v="112"/>
    <n v="2.6349999999999998"/>
    <n v="0"/>
    <n v="0"/>
    <n v="0"/>
    <n v="0"/>
    <n v="28.12"/>
    <n v="0"/>
    <n v="27.7"/>
    <n v="0"/>
    <n v="0"/>
    <n v="0"/>
    <n v="0"/>
    <n v="0"/>
    <n v="0"/>
    <n v="0"/>
    <n v="0"/>
    <n v="0"/>
    <n v="0"/>
    <n v="0"/>
    <n v="56.09"/>
    <n v="0"/>
    <n v="111.91"/>
    <n v="111.91"/>
    <n v="0"/>
    <n v="111.91"/>
    <n v="0"/>
    <n v="9.3350000000000009"/>
    <n v="0"/>
    <n v="0"/>
    <n v="0"/>
    <n v="0"/>
    <n v="0"/>
    <n v="0"/>
    <n v="9.3350000000000009"/>
    <n v="0"/>
    <n v="0"/>
    <n v="9.3350000000000009"/>
    <n v="0"/>
    <n v="0"/>
    <n v="0"/>
    <m/>
    <m/>
    <m/>
    <m/>
    <m/>
    <m/>
    <m/>
    <m/>
    <m/>
    <m/>
    <m/>
    <m/>
    <m/>
    <m/>
    <m/>
    <m/>
    <m/>
    <m/>
    <m/>
    <m/>
    <m/>
    <m/>
    <m/>
    <m/>
    <m/>
    <m/>
    <m/>
    <m/>
    <m/>
    <m/>
    <m/>
    <m/>
    <m/>
    <m/>
  </r>
  <r>
    <n v="743"/>
    <d v="2025-02-12T00:00:00"/>
    <s v="ZBTO"/>
    <n v="9518514029"/>
    <n v="2"/>
    <s v="9518514029-2"/>
    <m/>
    <s v="Stocks"/>
    <s v="Released orders"/>
    <x v="3"/>
    <x v="7"/>
    <s v="1000-IPPE"/>
    <m/>
    <x v="0"/>
    <m/>
    <m/>
    <m/>
    <m/>
    <s v="RAJASTHAN"/>
    <m/>
    <n v="942293"/>
    <s v="TATA BLUESCOPE STEEL PRIVATE LIMITE"/>
    <n v="3946364"/>
    <s v="GL COIL HARD Y550GL M308 0.50 (TCT)X1220"/>
    <s v="AZ150"/>
    <m/>
    <n v="3"/>
    <n v="5"/>
    <s v="Wider"/>
    <s v="B04"/>
    <s v="Y550GL"/>
    <s v="M308"/>
    <n v="0.5"/>
    <n v="1220"/>
    <n v="0"/>
    <n v="56"/>
    <n v="49.39"/>
    <n v="56"/>
    <n v="56"/>
    <n v="54.795000000000002"/>
    <n v="0"/>
    <m/>
    <m/>
    <n v="56"/>
    <n v="6.61"/>
    <n v="0"/>
    <n v="0"/>
    <n v="0"/>
    <n v="0"/>
    <n v="0"/>
    <n v="0"/>
    <n v="0"/>
    <n v="0"/>
    <n v="54.795000000000002"/>
    <n v="0"/>
    <n v="0"/>
    <n v="0"/>
    <n v="0"/>
    <n v="0"/>
    <n v="0"/>
    <n v="0"/>
    <n v="0"/>
    <n v="0"/>
    <n v="0"/>
    <n v="0"/>
    <n v="54.795000000000002"/>
    <n v="54.795000000000002"/>
    <n v="0"/>
    <n v="54.795000000000002"/>
    <n v="54.795000000000002"/>
    <n v="36.270000000000003"/>
    <n v="0"/>
    <n v="0"/>
    <n v="0"/>
    <n v="0"/>
    <n v="0"/>
    <n v="0"/>
    <n v="36.270000000000003"/>
    <n v="0"/>
    <n v="0"/>
    <n v="36.270000000000003"/>
    <n v="0"/>
    <n v="0"/>
    <n v="0"/>
    <m/>
    <m/>
    <m/>
    <m/>
    <m/>
    <m/>
    <m/>
    <m/>
    <m/>
    <m/>
    <m/>
    <m/>
    <m/>
    <m/>
    <m/>
    <m/>
    <m/>
    <m/>
    <m/>
    <m/>
    <m/>
    <m/>
    <m/>
    <m/>
    <m/>
    <m/>
    <m/>
    <m/>
    <m/>
    <m/>
    <m/>
    <m/>
    <m/>
    <m/>
  </r>
  <r>
    <n v="743"/>
    <d v="2025-02-12T00:00:00"/>
    <s v="ZBTO"/>
    <n v="9518513980"/>
    <n v="1"/>
    <s v="9518513980-1"/>
    <m/>
    <s v="Mar'25"/>
    <s v="Released orders"/>
    <x v="3"/>
    <x v="7"/>
    <s v="1000-IPPE"/>
    <m/>
    <x v="0"/>
    <m/>
    <m/>
    <m/>
    <m/>
    <s v="TAMILNADU"/>
    <m/>
    <n v="942294"/>
    <s v="TATA BLUESCOPE STEEL PRIVATE LIMITE"/>
    <n v="3946362"/>
    <s v="GL COIL HARD Y550GL M308 0.47 (TCT)X1220"/>
    <s v="AZ150"/>
    <m/>
    <n v="3"/>
    <n v="5"/>
    <s v="Wider"/>
    <s v="B04"/>
    <s v="Y550GL"/>
    <s v="M308"/>
    <n v="0.47"/>
    <n v="1220"/>
    <n v="0"/>
    <n v="280"/>
    <n v="300.42"/>
    <n v="280"/>
    <n v="165.315"/>
    <n v="161.52500000000001"/>
    <n v="0"/>
    <m/>
    <m/>
    <n v="165.315"/>
    <n v="89.58"/>
    <n v="0"/>
    <n v="64.831199999999995"/>
    <n v="0"/>
    <n v="0"/>
    <n v="0"/>
    <n v="0"/>
    <n v="111.2"/>
    <n v="0"/>
    <n v="0"/>
    <n v="0"/>
    <n v="0"/>
    <n v="0"/>
    <n v="0"/>
    <n v="0"/>
    <n v="0"/>
    <n v="0"/>
    <n v="0"/>
    <n v="0"/>
    <n v="110.91500000000001"/>
    <n v="0"/>
    <n v="222.11500000000001"/>
    <n v="222.11500000000001"/>
    <n v="0"/>
    <n v="222.11500000000001"/>
    <n v="161.52500000000001"/>
    <n v="92.589999999999975"/>
    <n v="89.58"/>
    <n v="0"/>
    <n v="0"/>
    <n v="89.58"/>
    <n v="0"/>
    <n v="0"/>
    <n v="182.16999999999996"/>
    <n v="0"/>
    <n v="0"/>
    <n v="0"/>
    <n v="182.16999999999996"/>
    <n v="0"/>
    <n v="0"/>
    <m/>
    <m/>
    <m/>
    <m/>
    <m/>
    <m/>
    <m/>
    <m/>
    <m/>
    <m/>
    <m/>
    <m/>
    <m/>
    <m/>
    <m/>
    <m/>
    <m/>
    <m/>
    <m/>
    <m/>
    <m/>
    <m/>
    <m/>
    <m/>
    <m/>
    <m/>
    <m/>
    <m/>
    <m/>
    <m/>
    <m/>
    <m/>
    <m/>
    <m/>
  </r>
  <r>
    <n v="743"/>
    <d v="2025-02-12T00:00:00"/>
    <s v="ZBTO"/>
    <n v="9518513980"/>
    <n v="2"/>
    <s v="9518513980-2"/>
    <m/>
    <s v="Feb'25"/>
    <s v="Released orders"/>
    <x v="3"/>
    <x v="7"/>
    <s v="1000-IPPE"/>
    <n v="2500"/>
    <x v="0"/>
    <m/>
    <m/>
    <m/>
    <m/>
    <s v="TAMILNADU"/>
    <m/>
    <n v="942294"/>
    <s v="TATA BLUESCOPE STEEL PRIVATE LIMITE"/>
    <n v="3946362"/>
    <s v="GL COIL HARD Y550GL M308 0.47 (TCT)X1220"/>
    <s v="AZ150"/>
    <m/>
    <n v="3"/>
    <n v="5"/>
    <s v="Wider"/>
    <s v="B04"/>
    <s v="Y550GL"/>
    <s v="M308"/>
    <n v="0.47"/>
    <n v="1220"/>
    <n v="0"/>
    <n v="168"/>
    <n v="65.834999999999994"/>
    <n v="168"/>
    <n v="145.505"/>
    <n v="95.204999999999998"/>
    <n v="50.3"/>
    <m/>
    <m/>
    <n v="145.505"/>
    <n v="102.16500000000001"/>
    <n v="0"/>
    <n v="46.933600000000006"/>
    <n v="0"/>
    <n v="0"/>
    <n v="0"/>
    <n v="0"/>
    <n v="0"/>
    <n v="0"/>
    <n v="91.965000000000003"/>
    <n v="0"/>
    <n v="0"/>
    <n v="0"/>
    <n v="0"/>
    <n v="0"/>
    <n v="0"/>
    <n v="0"/>
    <n v="27.5"/>
    <n v="6.63"/>
    <n v="0"/>
    <n v="0"/>
    <n v="126.095"/>
    <n v="126.095"/>
    <n v="0"/>
    <n v="126.095"/>
    <n v="95.204999999999998"/>
    <n v="43.165000000000006"/>
    <n v="102.16500000000001"/>
    <n v="0"/>
    <n v="102.16500000000001"/>
    <n v="0"/>
    <n v="0"/>
    <n v="0"/>
    <n v="145.33000000000001"/>
    <n v="0"/>
    <n v="0"/>
    <n v="145.33000000000001"/>
    <n v="0"/>
    <n v="0"/>
    <n v="0"/>
    <m/>
    <m/>
    <m/>
    <m/>
    <m/>
    <m/>
    <m/>
    <m/>
    <m/>
    <m/>
    <m/>
    <m/>
    <m/>
    <m/>
    <m/>
    <m/>
    <m/>
    <m/>
    <m/>
    <m/>
    <m/>
    <m/>
    <m/>
    <m/>
    <m/>
    <m/>
    <m/>
    <m/>
    <m/>
    <m/>
    <m/>
    <m/>
    <m/>
    <m/>
  </r>
  <r>
    <n v="743"/>
    <d v="2025-02-12T00:00:00"/>
    <s v="ZBTO"/>
    <n v="9518514116"/>
    <n v="1"/>
    <s v="9518514116-1"/>
    <m/>
    <s v="Stocks"/>
    <s v="Released orders"/>
    <x v="3"/>
    <x v="7"/>
    <s v="1000-IPPE"/>
    <m/>
    <x v="0"/>
    <m/>
    <m/>
    <m/>
    <m/>
    <s v="RAJGURUNAGAR"/>
    <m/>
    <n v="942290"/>
    <s v="TATA BLUESCOPE STEEL PRIVATE LIMITE"/>
    <n v="3946364"/>
    <s v="GL COIL HARD Y550GL M308 0.50 (TCT)X1220"/>
    <s v="AZ150"/>
    <m/>
    <n v="3"/>
    <n v="5"/>
    <s v="Wider"/>
    <s v="B04"/>
    <s v="Y550GL"/>
    <s v="M308"/>
    <n v="0.5"/>
    <n v="1220"/>
    <n v="0"/>
    <n v="28"/>
    <n v="27.495000000000001"/>
    <n v="28"/>
    <n v="14.42"/>
    <n v="14.08"/>
    <n v="0.34"/>
    <m/>
    <m/>
    <n v="0"/>
    <n v="0.505"/>
    <n v="0"/>
    <n v="0"/>
    <n v="0"/>
    <n v="0"/>
    <n v="0"/>
    <n v="0"/>
    <n v="0"/>
    <n v="0"/>
    <n v="27.85"/>
    <n v="0"/>
    <n v="0"/>
    <n v="0"/>
    <n v="0"/>
    <n v="0"/>
    <n v="0"/>
    <n v="0"/>
    <n v="0"/>
    <n v="0"/>
    <n v="0"/>
    <n v="0"/>
    <n v="27.85"/>
    <n v="27.85"/>
    <n v="0"/>
    <n v="27.85"/>
    <n v="14.08"/>
    <n v="4.68"/>
    <n v="0"/>
    <n v="0"/>
    <n v="0"/>
    <n v="0"/>
    <n v="0"/>
    <n v="0"/>
    <n v="4.68"/>
    <n v="0"/>
    <n v="0"/>
    <n v="4.68"/>
    <n v="0"/>
    <n v="0"/>
    <n v="0"/>
    <m/>
    <m/>
    <m/>
    <m/>
    <m/>
    <m/>
    <m/>
    <m/>
    <m/>
    <m/>
    <m/>
    <m/>
    <m/>
    <m/>
    <m/>
    <m/>
    <m/>
    <m/>
    <m/>
    <m/>
    <m/>
    <m/>
    <m/>
    <m/>
    <m/>
    <m/>
    <m/>
    <m/>
    <m/>
    <m/>
    <m/>
    <m/>
    <m/>
    <m/>
  </r>
  <r>
    <n v="743"/>
    <d v="2025-02-12T00:00:00"/>
    <s v="ZBTO"/>
    <n v="9518514116"/>
    <n v="2"/>
    <s v="9518514116-2"/>
    <m/>
    <s v="Mar'25"/>
    <s v="Released orders"/>
    <x v="3"/>
    <x v="7"/>
    <s v="1000-IPPE"/>
    <m/>
    <x v="0"/>
    <m/>
    <m/>
    <m/>
    <m/>
    <s v="RAJGURUNAGAR"/>
    <m/>
    <n v="942290"/>
    <s v="TATA BLUESCOPE STEEL PRIVATE LIMITE"/>
    <n v="3946362"/>
    <s v="GL COIL HARD Y550GL M308 0.47 (TCT)X1220"/>
    <s v="AZ150"/>
    <m/>
    <n v="3"/>
    <n v="5"/>
    <s v="Wider"/>
    <s v="B04"/>
    <s v="Y550GL"/>
    <s v="M308"/>
    <n v="0.47"/>
    <n v="1220"/>
    <n v="0"/>
    <n v="224"/>
    <n v="116.925"/>
    <n v="224"/>
    <n v="224"/>
    <n v="195.17"/>
    <n v="28.83"/>
    <m/>
    <m/>
    <n v="224"/>
    <n v="107.075"/>
    <n v="0"/>
    <n v="250.88000000000002"/>
    <n v="0"/>
    <n v="0"/>
    <n v="0"/>
    <n v="0"/>
    <n v="0"/>
    <n v="0"/>
    <n v="0"/>
    <n v="0"/>
    <n v="0"/>
    <n v="0"/>
    <n v="0"/>
    <n v="0"/>
    <n v="0"/>
    <n v="0"/>
    <n v="0"/>
    <n v="0"/>
    <n v="0"/>
    <n v="0"/>
    <n v="0"/>
    <n v="0"/>
    <n v="0"/>
    <n v="0"/>
    <n v="195.17"/>
    <n v="126.01500000000003"/>
    <n v="107.075"/>
    <n v="0"/>
    <n v="107.075"/>
    <n v="0"/>
    <n v="0"/>
    <n v="0"/>
    <n v="233.09000000000003"/>
    <n v="0"/>
    <n v="0"/>
    <n v="233.09000000000003"/>
    <n v="0"/>
    <n v="0"/>
    <n v="0"/>
    <m/>
    <m/>
    <m/>
    <m/>
    <m/>
    <m/>
    <m/>
    <m/>
    <m/>
    <m/>
    <m/>
    <m/>
    <m/>
    <m/>
    <m/>
    <m/>
    <m/>
    <m/>
    <m/>
    <m/>
    <m/>
    <m/>
    <m/>
    <m/>
    <m/>
    <m/>
    <m/>
    <m/>
    <m/>
    <m/>
    <m/>
    <m/>
    <m/>
    <m/>
  </r>
  <r>
    <n v="743"/>
    <d v="2025-02-12T00:00:00"/>
    <s v="ZBTO"/>
    <n v="9518513893"/>
    <n v="1"/>
    <s v="9518513893-1"/>
    <m/>
    <s v="Stocks"/>
    <s v="Released orders"/>
    <x v="3"/>
    <x v="7"/>
    <s v="1000-IPPE"/>
    <m/>
    <x v="0"/>
    <m/>
    <m/>
    <m/>
    <m/>
    <s v="TATANAGAR"/>
    <m/>
    <n v="942284"/>
    <s v="TATA BLUESCOPE STEEL PRIVATE LIMITE"/>
    <n v="3946362"/>
    <s v="GL COIL HARD Y550GL M308 0.47 (TCT)X1220"/>
    <s v="AZ150"/>
    <m/>
    <n v="3"/>
    <n v="5"/>
    <s v="Wider"/>
    <s v="B04"/>
    <s v="Y550GL"/>
    <s v="M308"/>
    <n v="0.47"/>
    <n v="1220"/>
    <n v="0"/>
    <n v="280"/>
    <n v="275.85000000000002"/>
    <n v="275.22000000000003"/>
    <n v="112.63"/>
    <n v="209.78800000000001"/>
    <n v="0"/>
    <m/>
    <m/>
    <n v="112.63"/>
    <n v="4.1500000000000004"/>
    <n v="0"/>
    <n v="0"/>
    <n v="0"/>
    <n v="0"/>
    <n v="0"/>
    <n v="0"/>
    <n v="27.400000000000002"/>
    <n v="0"/>
    <n v="237.39500000000001"/>
    <n v="0"/>
    <n v="0"/>
    <n v="0"/>
    <n v="0"/>
    <n v="0"/>
    <n v="0"/>
    <n v="0"/>
    <n v="0"/>
    <n v="0"/>
    <n v="0"/>
    <n v="0"/>
    <n v="264.79500000000002"/>
    <n v="264.79500000000002"/>
    <n v="0"/>
    <n v="264.79500000000002"/>
    <n v="209.78800000000001"/>
    <n v="195.72499999999997"/>
    <n v="0"/>
    <n v="0"/>
    <n v="0"/>
    <n v="0"/>
    <n v="0"/>
    <n v="0"/>
    <n v="195.72499999999997"/>
    <n v="0"/>
    <n v="0"/>
    <n v="195.72499999999997"/>
    <n v="0"/>
    <n v="0"/>
    <n v="0"/>
    <m/>
    <m/>
    <m/>
    <m/>
    <m/>
    <m/>
    <m/>
    <m/>
    <m/>
    <m/>
    <m/>
    <m/>
    <m/>
    <m/>
    <m/>
    <m/>
    <m/>
    <m/>
    <m/>
    <m/>
    <m/>
    <m/>
    <m/>
    <m/>
    <m/>
    <m/>
    <m/>
    <m/>
    <m/>
    <m/>
    <m/>
    <m/>
    <m/>
    <m/>
  </r>
  <r>
    <n v="743"/>
    <d v="2025-02-12T00:00:00"/>
    <s v="ZBTO"/>
    <n v="9518513893"/>
    <n v="2"/>
    <s v="9518513893-2"/>
    <m/>
    <s v="Stocks"/>
    <s v="Released orders"/>
    <x v="3"/>
    <x v="7"/>
    <s v="1000-IPPE"/>
    <m/>
    <x v="0"/>
    <m/>
    <m/>
    <m/>
    <m/>
    <s v="TATANAGAR"/>
    <m/>
    <n v="942284"/>
    <s v="TATA BLUESCOPE STEEL PRIVATE LIMITE"/>
    <n v="3946363"/>
    <s v="GL COIL HARD Y550GL M308 0.60 (TCT)X1220"/>
    <s v="AZ150"/>
    <m/>
    <n v="3"/>
    <n v="5"/>
    <s v="Wider"/>
    <s v="B04"/>
    <s v="Y550GL"/>
    <s v="M308"/>
    <n v="0.6"/>
    <n v="1220"/>
    <n v="0"/>
    <n v="56"/>
    <n v="52.82"/>
    <n v="56"/>
    <n v="56"/>
    <n v="53.7"/>
    <n v="0"/>
    <m/>
    <m/>
    <n v="56"/>
    <n v="3.18"/>
    <n v="0"/>
    <n v="0"/>
    <n v="0"/>
    <n v="0"/>
    <n v="0"/>
    <n v="0"/>
    <n v="0"/>
    <n v="0"/>
    <n v="53.7"/>
    <n v="0"/>
    <n v="0"/>
    <n v="0"/>
    <n v="0"/>
    <n v="0"/>
    <n v="0"/>
    <n v="0"/>
    <n v="0"/>
    <n v="0"/>
    <n v="0"/>
    <n v="0"/>
    <n v="53.7"/>
    <n v="53.7"/>
    <n v="0"/>
    <n v="53.7"/>
    <n v="53.7"/>
    <n v="52.820000000000007"/>
    <n v="0"/>
    <n v="0"/>
    <n v="0"/>
    <n v="0"/>
    <n v="0"/>
    <n v="0"/>
    <n v="52.820000000000007"/>
    <n v="0"/>
    <n v="0"/>
    <n v="52.820000000000007"/>
    <n v="0"/>
    <n v="0"/>
    <n v="0"/>
    <m/>
    <m/>
    <m/>
    <m/>
    <m/>
    <m/>
    <m/>
    <m/>
    <m/>
    <m/>
    <m/>
    <m/>
    <m/>
    <m/>
    <m/>
    <m/>
    <m/>
    <m/>
    <m/>
    <m/>
    <m/>
    <m/>
    <m/>
    <m/>
    <m/>
    <m/>
    <m/>
    <m/>
    <m/>
    <m/>
    <m/>
    <m/>
    <m/>
    <m/>
  </r>
  <r>
    <n v="743"/>
    <d v="2025-02-12T00:00:00"/>
    <s v="ZBTO"/>
    <n v="9518513893"/>
    <n v="3"/>
    <s v="9518513893-3"/>
    <m/>
    <s v="Stocks"/>
    <s v="Released orders"/>
    <x v="3"/>
    <x v="7"/>
    <s v="1000-IPPE"/>
    <m/>
    <x v="0"/>
    <m/>
    <m/>
    <m/>
    <m/>
    <s v="TATANAGAR"/>
    <m/>
    <n v="942284"/>
    <s v="TATA BLUESCOPE STEEL PRIVATE LIMITE"/>
    <n v="3946363"/>
    <s v="GL COIL HARD Y550GL M308 0.60 (TCT)X1220"/>
    <s v="AZ150"/>
    <m/>
    <n v="3"/>
    <n v="5"/>
    <s v="Wider"/>
    <s v="B04"/>
    <s v="Y550GL"/>
    <s v="M308"/>
    <n v="0.6"/>
    <n v="1220"/>
    <n v="0"/>
    <n v="56"/>
    <n v="52.734999999999999"/>
    <n v="56"/>
    <n v="56"/>
    <n v="53.225000000000001"/>
    <n v="0"/>
    <m/>
    <m/>
    <n v="56"/>
    <n v="3.2450000000000001"/>
    <n v="0"/>
    <n v="0"/>
    <n v="0"/>
    <n v="0"/>
    <n v="0"/>
    <n v="0"/>
    <n v="0"/>
    <n v="0"/>
    <n v="53.505000000000003"/>
    <n v="0"/>
    <n v="0"/>
    <n v="0"/>
    <n v="0"/>
    <n v="0"/>
    <n v="0"/>
    <n v="0"/>
    <n v="0"/>
    <n v="0"/>
    <n v="0"/>
    <n v="0"/>
    <n v="53.505000000000003"/>
    <n v="53.505000000000003"/>
    <n v="0"/>
    <n v="53.505000000000003"/>
    <n v="53.225000000000001"/>
    <n v="52.734999999999999"/>
    <n v="0"/>
    <n v="0"/>
    <n v="0"/>
    <n v="0"/>
    <n v="0"/>
    <n v="0"/>
    <n v="52.734999999999999"/>
    <n v="0"/>
    <n v="0"/>
    <n v="52.734999999999999"/>
    <n v="0"/>
    <n v="0"/>
    <n v="0"/>
    <m/>
    <m/>
    <m/>
    <m/>
    <m/>
    <m/>
    <m/>
    <m/>
    <m/>
    <m/>
    <m/>
    <m/>
    <m/>
    <m/>
    <m/>
    <m/>
    <m/>
    <m/>
    <m/>
    <m/>
    <m/>
    <m/>
    <m/>
    <m/>
    <m/>
    <m/>
    <m/>
    <m/>
    <m/>
    <m/>
    <m/>
    <m/>
    <m/>
    <m/>
  </r>
  <r>
    <n v="743"/>
    <d v="2025-02-07T00:00:00"/>
    <s v="ZBTO"/>
    <n v="9518500284"/>
    <n v="1"/>
    <s v="9518500284-1"/>
    <m/>
    <s v="Feb'25"/>
    <s v="Released orders"/>
    <x v="3"/>
    <x v="13"/>
    <s v="1000-IPPE"/>
    <m/>
    <x v="0"/>
    <m/>
    <m/>
    <m/>
    <m/>
    <s v="VIKARABAD"/>
    <m/>
    <n v="947959"/>
    <s v="PENNAR INDUSTRIES LIMITED"/>
    <n v="3924553"/>
    <s v="GL COIL HARD  Y550GL HGL6 0.900X1205"/>
    <s v="AZ150"/>
    <m/>
    <n v="7"/>
    <n v="15"/>
    <s v="Wider"/>
    <s v="B04"/>
    <s v="Y550GL"/>
    <s v="HGL6"/>
    <n v="0.9"/>
    <n v="1205"/>
    <n v="0"/>
    <n v="252"/>
    <n v="99.47"/>
    <n v="252"/>
    <n v="252"/>
    <n v="0"/>
    <n v="252"/>
    <m/>
    <m/>
    <n v="252"/>
    <n v="152.52000000000001"/>
    <n v="0"/>
    <n v="282.24"/>
    <n v="0"/>
    <n v="0"/>
    <n v="0"/>
    <n v="0"/>
    <n v="0"/>
    <n v="0"/>
    <n v="0"/>
    <n v="0"/>
    <n v="0"/>
    <n v="0"/>
    <n v="0"/>
    <n v="0"/>
    <n v="0"/>
    <n v="0"/>
    <n v="0"/>
    <n v="0"/>
    <n v="0"/>
    <n v="0"/>
    <n v="0"/>
    <n v="0"/>
    <n v="0"/>
    <n v="0"/>
    <n v="0"/>
    <n v="99.469999999999985"/>
    <n v="152.52000000000001"/>
    <n v="0"/>
    <n v="0"/>
    <n v="152.52000000000001"/>
    <n v="0"/>
    <n v="0"/>
    <n v="251.99"/>
    <n v="0"/>
    <n v="0"/>
    <n v="0"/>
    <n v="251.99"/>
    <n v="0"/>
    <n v="0"/>
    <m/>
    <m/>
    <m/>
    <m/>
    <m/>
    <m/>
    <m/>
    <m/>
    <m/>
    <m/>
    <m/>
    <m/>
    <m/>
    <m/>
    <m/>
    <m/>
    <m/>
    <m/>
    <m/>
    <m/>
    <m/>
    <m/>
    <m/>
    <m/>
    <m/>
    <m/>
    <m/>
    <m/>
    <m/>
    <m/>
    <m/>
    <m/>
    <m/>
    <m/>
  </r>
  <r>
    <n v="743"/>
    <d v="2025-02-07T00:00:00"/>
    <s v="ZBTO"/>
    <n v="9518500284"/>
    <n v="2"/>
    <s v="9518500284-2"/>
    <m/>
    <s v="Feb'25"/>
    <s v="Released orders"/>
    <x v="3"/>
    <x v="13"/>
    <s v="1000-IPPE"/>
    <n v="5500"/>
    <x v="0"/>
    <m/>
    <m/>
    <m/>
    <m/>
    <s v="VIKARABAD"/>
    <m/>
    <n v="947959"/>
    <s v="PENNAR INDUSTRIES LIMITED"/>
    <n v="3924553"/>
    <s v="GL COIL HARD  Y550GL HGL6 0.900X1205"/>
    <s v="AZ150"/>
    <m/>
    <n v="7"/>
    <n v="15"/>
    <s v="Wider"/>
    <s v="B04"/>
    <s v="Y550GL"/>
    <s v="HGL6"/>
    <n v="0.9"/>
    <n v="1205"/>
    <n v="0"/>
    <n v="252"/>
    <n v="0"/>
    <n v="252"/>
    <n v="252"/>
    <n v="0"/>
    <n v="252"/>
    <m/>
    <m/>
    <n v="252"/>
    <n v="252"/>
    <n v="0"/>
    <n v="282.24"/>
    <n v="0"/>
    <n v="0"/>
    <n v="0"/>
    <n v="0"/>
    <n v="0"/>
    <n v="0"/>
    <n v="0"/>
    <n v="0"/>
    <n v="0"/>
    <n v="0"/>
    <n v="0"/>
    <n v="0"/>
    <n v="0"/>
    <n v="0"/>
    <n v="0"/>
    <n v="0"/>
    <n v="0"/>
    <n v="0"/>
    <n v="0"/>
    <n v="0"/>
    <n v="0"/>
    <n v="0"/>
    <n v="0"/>
    <n v="0"/>
    <n v="252"/>
    <n v="0"/>
    <n v="0"/>
    <n v="252"/>
    <n v="0"/>
    <n v="0"/>
    <n v="252"/>
    <n v="0"/>
    <n v="0"/>
    <n v="252"/>
    <n v="0"/>
    <n v="0"/>
    <n v="0"/>
    <m/>
    <m/>
    <m/>
    <m/>
    <m/>
    <m/>
    <m/>
    <m/>
    <m/>
    <m/>
    <m/>
    <m/>
    <m/>
    <m/>
    <m/>
    <m/>
    <m/>
    <m/>
    <m/>
    <m/>
    <m/>
    <m/>
    <m/>
    <m/>
    <m/>
    <m/>
    <m/>
    <m/>
    <m/>
    <m/>
    <m/>
    <m/>
    <m/>
    <m/>
  </r>
  <r>
    <n v="743"/>
    <d v="2025-02-07T00:00:00"/>
    <s v="ZBTO"/>
    <n v="9518500284"/>
    <n v="3"/>
    <s v="9518500284-3"/>
    <m/>
    <s v="No Priority"/>
    <s v="Released orders"/>
    <x v="3"/>
    <x v="13"/>
    <s v="1000-IPPE"/>
    <m/>
    <x v="1"/>
    <m/>
    <s v="To be closed"/>
    <m/>
    <m/>
    <s v="VIKARABAD"/>
    <m/>
    <n v="947959"/>
    <s v="PENNAR INDUSTRIES LIMITED"/>
    <n v="3924555"/>
    <s v="GL COIL HARD  Y550GL HGL6 0.900X1045"/>
    <s v="AZ150"/>
    <m/>
    <n v="7"/>
    <n v="15"/>
    <s v="Narrow"/>
    <s v="B04"/>
    <s v="Y550GL"/>
    <s v="HGL6"/>
    <n v="0.9"/>
    <n v="1045"/>
    <n v="0"/>
    <n v="48"/>
    <n v="0"/>
    <n v="48"/>
    <n v="48"/>
    <n v="0"/>
    <n v="48"/>
    <n v="48"/>
    <m/>
    <n v="48"/>
    <n v="48"/>
    <n v="0"/>
    <n v="53.760000000000005"/>
    <n v="0"/>
    <n v="0"/>
    <n v="0"/>
    <n v="0"/>
    <n v="0"/>
    <n v="0"/>
    <n v="0"/>
    <n v="0"/>
    <n v="0"/>
    <n v="0"/>
    <n v="0"/>
    <n v="0"/>
    <n v="0"/>
    <n v="0"/>
    <n v="0"/>
    <n v="0"/>
    <n v="0"/>
    <n v="0"/>
    <n v="0"/>
    <n v="0"/>
    <n v="0"/>
    <n v="0"/>
    <n v="0"/>
    <n v="0"/>
    <n v="0"/>
    <n v="0"/>
    <n v="0"/>
    <n v="0"/>
    <n v="0"/>
    <n v="0"/>
    <n v="0"/>
    <n v="0"/>
    <n v="0"/>
    <n v="0"/>
    <n v="0"/>
    <n v="0"/>
    <n v="0"/>
    <m/>
    <m/>
    <m/>
    <m/>
    <m/>
    <m/>
    <m/>
    <m/>
    <m/>
    <m/>
    <m/>
    <m/>
    <m/>
    <m/>
    <m/>
    <m/>
    <m/>
    <m/>
    <m/>
    <m/>
    <m/>
    <m/>
    <m/>
    <m/>
    <m/>
    <m/>
    <m/>
    <m/>
    <m/>
    <m/>
    <m/>
    <m/>
    <m/>
    <m/>
  </r>
  <r>
    <n v="743"/>
    <d v="2025-01-25T00:00:00"/>
    <s v="ZBTO"/>
    <n v="9518459972"/>
    <n v="2"/>
    <s v="9518459972-2"/>
    <m/>
    <s v="Mar'25"/>
    <s v="Released orders"/>
    <x v="2"/>
    <x v="2"/>
    <s v="2000-BPRS"/>
    <m/>
    <x v="0"/>
    <m/>
    <m/>
    <m/>
    <m/>
    <s v="LONI"/>
    <m/>
    <n v="183259"/>
    <s v="Rakesh Steel Inds.(P) Ltd."/>
    <n v="1851065"/>
    <s v="GP COIL SOFT-TATXGP-GK09-0.25X900"/>
    <s v="Z80"/>
    <s v=""/>
    <n v="4"/>
    <n v="6"/>
    <s v="Narrow"/>
    <s v="C02"/>
    <s v="TATXGP"/>
    <s v="GK09"/>
    <n v="0.25"/>
    <n v="900"/>
    <n v="0"/>
    <n v="21"/>
    <n v="0"/>
    <n v="21"/>
    <n v="21"/>
    <n v="0"/>
    <n v="21"/>
    <n v="21"/>
    <m/>
    <n v="21"/>
    <n v="21"/>
    <n v="0"/>
    <n v="23.520000000000003"/>
    <n v="0"/>
    <n v="0"/>
    <n v="0"/>
    <n v="0"/>
    <n v="0"/>
    <n v="0"/>
    <n v="0"/>
    <n v="0"/>
    <n v="0"/>
    <n v="0"/>
    <n v="0"/>
    <n v="0"/>
    <n v="0"/>
    <n v="0"/>
    <n v="0"/>
    <n v="0"/>
    <n v="0"/>
    <n v="0"/>
    <n v="0"/>
    <n v="0"/>
    <n v="0"/>
    <n v="0"/>
    <n v="0"/>
    <n v="0"/>
    <n v="21"/>
    <n v="0"/>
    <n v="21"/>
    <n v="0"/>
    <n v="0"/>
    <n v="0"/>
    <n v="21"/>
    <n v="0"/>
    <n v="21"/>
    <n v="0"/>
    <n v="0"/>
    <n v="0"/>
    <n v="0"/>
    <m/>
    <m/>
    <m/>
    <m/>
    <m/>
    <m/>
    <m/>
    <m/>
    <m/>
    <m/>
    <m/>
    <m/>
    <m/>
    <m/>
    <m/>
    <m/>
    <m/>
    <m/>
    <m/>
    <m/>
    <m/>
    <m/>
    <m/>
    <m/>
    <m/>
    <m/>
    <m/>
    <m/>
    <m/>
    <m/>
    <m/>
    <m/>
    <m/>
    <m/>
  </r>
  <r>
    <n v="743"/>
    <d v="2025-02-10T00:00:00"/>
    <s v="ZBTO"/>
    <n v="9518508377"/>
    <n v="1"/>
    <s v="9518508377-1"/>
    <m/>
    <s v="Mar'25"/>
    <s v="Released orders"/>
    <x v="2"/>
    <x v="2"/>
    <n v="2000"/>
    <n v="4400"/>
    <x v="0"/>
    <m/>
    <m/>
    <s v="Jharkhand"/>
    <m/>
    <m/>
    <m/>
    <n v="185794"/>
    <s v="Shree Bajrang Steel Udyog"/>
    <n v="1851065"/>
    <s v="GP COIL SOFT-TATXGP-GK09-0.25X900"/>
    <n v="80"/>
    <s v=""/>
    <m/>
    <m/>
    <s v="Narrow"/>
    <s v="C02"/>
    <s v="TATXGP"/>
    <s v="GK09"/>
    <n v="0.25"/>
    <n v="900"/>
    <n v="0"/>
    <n v="21"/>
    <n v="0"/>
    <n v="21"/>
    <n v="21"/>
    <n v="0"/>
    <n v="21"/>
    <n v="21"/>
    <m/>
    <n v="21"/>
    <n v="21"/>
    <n v="0"/>
    <n v="23.520000000000003"/>
    <n v="0"/>
    <n v="0"/>
    <n v="0"/>
    <n v="0"/>
    <n v="0"/>
    <n v="0"/>
    <n v="0"/>
    <n v="0"/>
    <n v="0"/>
    <n v="0"/>
    <n v="0"/>
    <n v="0"/>
    <n v="0"/>
    <n v="0"/>
    <n v="0"/>
    <n v="0"/>
    <n v="0"/>
    <n v="0"/>
    <n v="0"/>
    <n v="0"/>
    <n v="0"/>
    <n v="0"/>
    <n v="0"/>
    <n v="0"/>
    <n v="21"/>
    <n v="0"/>
    <n v="21"/>
    <n v="0"/>
    <n v="0"/>
    <n v="0"/>
    <n v="21"/>
    <n v="0"/>
    <n v="21"/>
    <n v="0"/>
    <n v="0"/>
    <n v="0"/>
    <n v="0"/>
    <m/>
    <m/>
    <m/>
    <m/>
    <m/>
    <m/>
    <m/>
    <m/>
    <m/>
    <m/>
    <m/>
    <m/>
    <m/>
    <m/>
    <m/>
    <m/>
    <m/>
    <m/>
    <m/>
    <m/>
    <m/>
    <m/>
    <m/>
    <m/>
    <m/>
    <m/>
    <m/>
    <m/>
    <m/>
    <m/>
    <m/>
    <m/>
    <m/>
    <m/>
  </r>
  <r>
    <n v="742"/>
    <d v="2024-10-25T00:00:00"/>
    <s v="ZBTO"/>
    <n v="9518208101"/>
    <n v="14"/>
    <s v="9518208101-14"/>
    <m/>
    <s v="Mar'25"/>
    <s v="Released orders"/>
    <x v="1"/>
    <x v="3"/>
    <s v="2000-BPRS"/>
    <m/>
    <x v="0"/>
    <s v="Mar"/>
    <m/>
    <m/>
    <m/>
    <s v="CHENNAI"/>
    <m/>
    <n v="938550"/>
    <s v="BASEER AND CO"/>
    <n v="1804852"/>
    <s v="CRCA COIL-TATXXD-AU03-1.2X1000"/>
    <s v=" "/>
    <s v=""/>
    <n v="6"/>
    <n v="18"/>
    <s v="Narrow"/>
    <s v="C01"/>
    <s v="TATXXD"/>
    <s v="AU03"/>
    <n v="1.2"/>
    <n v="1000"/>
    <n v="0"/>
    <n v="68.98"/>
    <n v="40.71"/>
    <n v="28.27"/>
    <n v="28.27"/>
    <n v="0"/>
    <n v="28.27"/>
    <m/>
    <m/>
    <n v="28.27"/>
    <n v="28.27"/>
    <n v="0"/>
    <n v="31.662400000000002"/>
    <n v="0"/>
    <n v="0"/>
    <n v="0"/>
    <n v="0"/>
    <n v="0"/>
    <n v="0"/>
    <n v="0"/>
    <n v="0"/>
    <n v="0"/>
    <n v="0"/>
    <n v="0"/>
    <n v="0"/>
    <n v="0"/>
    <n v="0"/>
    <n v="0"/>
    <n v="0"/>
    <n v="0"/>
    <n v="0"/>
    <n v="0"/>
    <n v="0"/>
    <n v="0"/>
    <n v="0"/>
    <n v="0"/>
    <n v="0"/>
    <n v="28.27"/>
    <n v="0"/>
    <n v="0"/>
    <n v="0"/>
    <n v="0"/>
    <n v="28.27"/>
    <n v="28.27"/>
    <n v="0"/>
    <n v="0"/>
    <n v="0"/>
    <n v="0"/>
    <n v="28.27"/>
    <n v="0"/>
    <m/>
    <m/>
    <m/>
    <m/>
    <m/>
    <m/>
    <m/>
    <m/>
    <m/>
    <m/>
    <m/>
    <m/>
    <m/>
    <m/>
    <m/>
    <m/>
    <m/>
    <m/>
    <m/>
    <m/>
    <m/>
    <m/>
    <m/>
    <m/>
    <m/>
    <m/>
    <m/>
    <m/>
    <m/>
    <m/>
    <m/>
    <m/>
    <m/>
    <m/>
  </r>
  <r>
    <n v="743"/>
    <d v="2024-12-16T00:00:00"/>
    <s v="ZBTO"/>
    <n v="9518347329"/>
    <n v="1"/>
    <s v="9518347329-1"/>
    <m/>
    <s v="Feb'25"/>
    <s v="Released orders"/>
    <x v="2"/>
    <x v="2"/>
    <s v="2000-BPRS"/>
    <m/>
    <x v="0"/>
    <m/>
    <m/>
    <m/>
    <s v="North"/>
    <s v="ROHTAK"/>
    <m/>
    <n v="185408"/>
    <s v="DS STEEL"/>
    <n v="2270690"/>
    <s v="GP COIL SOFT TATXGP GLK1 0.25X1000"/>
    <m/>
    <s v=""/>
    <n v="4"/>
    <n v="6"/>
    <s v="Narrow"/>
    <s v="C02"/>
    <s v="TATXGP"/>
    <s v="GLK1"/>
    <n v="0.25"/>
    <n v="1000"/>
    <n v="0"/>
    <n v="46"/>
    <n v="21.105"/>
    <n v="24.895"/>
    <n v="24.895"/>
    <n v="0"/>
    <n v="24.895"/>
    <m/>
    <m/>
    <n v="24.895"/>
    <n v="24.895"/>
    <n v="0"/>
    <n v="27.882400000000001"/>
    <n v="0"/>
    <n v="0"/>
    <n v="0"/>
    <n v="0"/>
    <n v="0"/>
    <n v="0"/>
    <n v="0"/>
    <n v="0"/>
    <n v="0"/>
    <n v="0"/>
    <n v="0"/>
    <n v="0"/>
    <n v="0"/>
    <n v="0"/>
    <n v="0"/>
    <n v="0"/>
    <n v="0"/>
    <n v="0"/>
    <n v="0"/>
    <n v="0"/>
    <n v="0"/>
    <n v="0"/>
    <n v="0"/>
    <n v="21.105"/>
    <n v="24.895"/>
    <n v="0"/>
    <n v="0"/>
    <n v="0"/>
    <n v="0"/>
    <n v="24.895"/>
    <n v="46"/>
    <n v="0"/>
    <n v="0"/>
    <n v="0"/>
    <n v="0"/>
    <n v="46"/>
    <n v="0"/>
    <n v="5.45"/>
    <n v="0"/>
    <n v="0"/>
    <n v="0"/>
    <n v="0"/>
    <n v="5.45"/>
    <m/>
    <m/>
    <m/>
    <m/>
    <m/>
    <m/>
    <m/>
    <m/>
    <m/>
    <s v="1"/>
    <s v="1"/>
    <s v="1"/>
    <s v="1"/>
    <s v="0"/>
    <m/>
    <m/>
    <m/>
    <m/>
    <m/>
    <s v="Process delay &amp; planning delay"/>
    <m/>
    <m/>
    <m/>
    <m/>
    <m/>
    <m/>
    <m/>
    <m/>
  </r>
  <r>
    <n v="743"/>
    <d v="2025-01-21T00:00:00"/>
    <s v="ZBTO"/>
    <n v="9518448141"/>
    <n v="1"/>
    <s v="9518448141-1"/>
    <m/>
    <s v="Mar'25"/>
    <s v="Released orders"/>
    <x v="2"/>
    <x v="2"/>
    <s v="2000-BPRS"/>
    <m/>
    <x v="1"/>
    <m/>
    <s v="Deprioritized due to narrow HR unavailability"/>
    <m/>
    <m/>
    <s v="LONI"/>
    <m/>
    <n v="931234"/>
    <s v="JAI LAXMI STEELS"/>
    <n v="1851065"/>
    <s v="GP COIL SOFT-TATXGP-GK09-0.25X900"/>
    <s v="Z80"/>
    <s v=""/>
    <n v="4"/>
    <n v="6"/>
    <s v="Narrow"/>
    <s v="C02"/>
    <s v="TATXGP"/>
    <s v="GK09"/>
    <n v="0.25"/>
    <n v="900"/>
    <n v="0"/>
    <n v="42"/>
    <n v="0"/>
    <n v="42"/>
    <n v="42"/>
    <n v="0"/>
    <n v="42"/>
    <n v="42"/>
    <m/>
    <n v="42"/>
    <n v="42"/>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1-07T00:00:00"/>
    <s v="ZBTO"/>
    <n v="9518410325"/>
    <n v="1"/>
    <s v="9518410325-1"/>
    <m/>
    <s v="Mar'25 additional"/>
    <s v="Released orders"/>
    <x v="1"/>
    <x v="3"/>
    <s v="2000-BPRS"/>
    <m/>
    <x v="0"/>
    <s v="Mar"/>
    <m/>
    <m/>
    <s v="North"/>
    <s v="ZOSOLA"/>
    <m/>
    <n v="184986"/>
    <s v="SWASTIK STEEL PROCESSOR LLP"/>
    <n v="185664"/>
    <s v="CRSHEET-ICF  DQ TATXXD AU03 0.40 X 1250"/>
    <s v=" "/>
    <s v=""/>
    <n v="7"/>
    <n v="29"/>
    <s v="Wider"/>
    <s v="C01"/>
    <s v="TATXXD"/>
    <s v="AU03"/>
    <n v="0.4"/>
    <n v="1250"/>
    <n v="0"/>
    <n v="58"/>
    <n v="26.984999999999999"/>
    <n v="45.41"/>
    <n v="45.41"/>
    <n v="27.1"/>
    <n v="18.309999999999999"/>
    <n v="18.309999999999999"/>
    <n v="12.285"/>
    <n v="5.3699999999999903"/>
    <n v="31.015000000000001"/>
    <n v="0"/>
    <n v="0"/>
    <n v="0"/>
    <n v="0"/>
    <n v="0"/>
    <n v="0"/>
    <n v="0"/>
    <n v="0"/>
    <n v="0"/>
    <n v="0"/>
    <n v="0"/>
    <n v="27.755000000000003"/>
    <n v="0"/>
    <n v="0"/>
    <n v="0"/>
    <n v="0"/>
    <n v="0"/>
    <n v="12.285"/>
    <n v="0"/>
    <n v="0"/>
    <n v="40.040000000000006"/>
    <n v="40.040000000000006"/>
    <n v="0"/>
    <n v="40.040000000000006"/>
    <n v="14.815000000000001"/>
    <n v="0"/>
    <n v="31.015000000000001"/>
    <n v="0"/>
    <n v="31.015000000000001"/>
    <n v="0"/>
    <n v="0"/>
    <n v="0"/>
    <n v="31.015000000000001"/>
    <n v="0"/>
    <n v="31.015000000000001"/>
    <n v="0"/>
    <n v="0"/>
    <n v="0"/>
    <n v="0"/>
    <n v="0"/>
    <n v="0"/>
    <n v="0"/>
    <n v="0"/>
    <n v="0"/>
    <n v="0"/>
    <m/>
    <m/>
    <m/>
    <m/>
    <m/>
    <m/>
    <m/>
    <m/>
    <m/>
    <s v="1"/>
    <s v="0"/>
    <s v="1"/>
    <s v="1"/>
    <s v="1"/>
    <m/>
    <m/>
    <m/>
    <m/>
    <m/>
    <m/>
    <m/>
    <m/>
    <m/>
    <m/>
    <m/>
    <m/>
    <m/>
    <m/>
  </r>
  <r>
    <n v="742"/>
    <d v="2024-10-04T00:00:00"/>
    <s v="ZBTO"/>
    <n v="9518156804"/>
    <n v="3"/>
    <s v="9518156804-3"/>
    <m/>
    <s v="Mar'25"/>
    <s v="Released orders"/>
    <x v="1"/>
    <x v="1"/>
    <s v="2000-BPRS"/>
    <m/>
    <x v="0"/>
    <s v="Mar"/>
    <m/>
    <m/>
    <m/>
    <s v="VISHAKHAPATNAM"/>
    <m/>
    <n v="946077"/>
    <s v="SITARAM IRON AND STEEL PVT LTD"/>
    <n v="3239549"/>
    <s v="CRCA SHEET TATCRC SR16 0.400X900X2440"/>
    <s v=" "/>
    <s v=""/>
    <n v="0"/>
    <n v="0"/>
    <s v="Narrow"/>
    <s v="C06"/>
    <s v="TATCRC"/>
    <s v="SR16"/>
    <n v="0.4"/>
    <n v="900"/>
    <n v="2440"/>
    <n v="63"/>
    <n v="18.04"/>
    <n v="44.96"/>
    <n v="44.96"/>
    <n v="0"/>
    <n v="44.96"/>
    <m/>
    <m/>
    <n v="44.96"/>
    <n v="44.96"/>
    <n v="0"/>
    <n v="50.355200000000004"/>
    <n v="0"/>
    <n v="0"/>
    <n v="0"/>
    <n v="0"/>
    <n v="0"/>
    <n v="0"/>
    <n v="0"/>
    <n v="0"/>
    <n v="0"/>
    <n v="0"/>
    <n v="0"/>
    <n v="0"/>
    <n v="0"/>
    <n v="0"/>
    <n v="0"/>
    <n v="0"/>
    <n v="0"/>
    <n v="0"/>
    <n v="0"/>
    <n v="0"/>
    <n v="0"/>
    <n v="0"/>
    <n v="0"/>
    <n v="0"/>
    <n v="44.96"/>
    <n v="0"/>
    <n v="0"/>
    <n v="0"/>
    <n v="0"/>
    <n v="44.96"/>
    <n v="44.96"/>
    <n v="0"/>
    <n v="0"/>
    <n v="0"/>
    <n v="0"/>
    <n v="44.96"/>
    <n v="0"/>
    <m/>
    <m/>
    <m/>
    <m/>
    <m/>
    <m/>
    <m/>
    <m/>
    <m/>
    <m/>
    <m/>
    <m/>
    <m/>
    <m/>
    <m/>
    <m/>
    <m/>
    <m/>
    <m/>
    <m/>
    <m/>
    <m/>
    <m/>
    <m/>
    <m/>
    <m/>
    <m/>
    <m/>
    <m/>
    <m/>
    <m/>
    <m/>
    <m/>
    <m/>
  </r>
  <r>
    <n v="742"/>
    <d v="2025-02-03T00:00:00"/>
    <s v="ZBTO"/>
    <n v="9518490388"/>
    <n v="4"/>
    <s v="9518490388-4"/>
    <m/>
    <s v="Stocks"/>
    <s v="Released orders"/>
    <x v="1"/>
    <x v="3"/>
    <s v="2000-BPRS"/>
    <m/>
    <x v="0"/>
    <s v="Mar"/>
    <m/>
    <m/>
    <m/>
    <s v="CHENNAI"/>
    <m/>
    <n v="102888"/>
    <s v="THIRUPATHY STEELS "/>
    <n v="1884117"/>
    <s v="CRCA COIL-TATXXD-AU03-2X1250"/>
    <s v=" "/>
    <s v=""/>
    <n v="6"/>
    <n v="29"/>
    <s v="Wider"/>
    <s v="C01"/>
    <s v="TATXXD"/>
    <s v="AU03"/>
    <n v="2"/>
    <n v="1250"/>
    <n v="0"/>
    <n v="29"/>
    <n v="19.344999999999999"/>
    <n v="29"/>
    <n v="9.6549999999999994"/>
    <n v="1.2"/>
    <n v="0"/>
    <m/>
    <m/>
    <n v="7.9899999999999984"/>
    <n v="9.6549999999999994"/>
    <n v="0"/>
    <n v="0"/>
    <n v="0"/>
    <n v="0"/>
    <n v="0"/>
    <n v="0"/>
    <n v="0"/>
    <n v="0"/>
    <n v="0"/>
    <n v="0"/>
    <n v="0"/>
    <n v="0"/>
    <n v="0"/>
    <n v="0"/>
    <n v="21.01"/>
    <n v="0"/>
    <n v="0"/>
    <n v="0"/>
    <n v="0"/>
    <n v="0"/>
    <n v="21.01"/>
    <n v="21.01"/>
    <n v="0"/>
    <n v="21.01"/>
    <n v="1.2"/>
    <n v="19.344999999999999"/>
    <n v="0"/>
    <n v="0"/>
    <n v="0"/>
    <n v="0"/>
    <n v="0"/>
    <n v="0"/>
    <n v="19.344999999999999"/>
    <n v="0"/>
    <n v="19.344999999999999"/>
    <n v="0"/>
    <n v="0"/>
    <n v="0"/>
    <n v="0"/>
    <m/>
    <m/>
    <m/>
    <m/>
    <m/>
    <m/>
    <m/>
    <m/>
    <m/>
    <m/>
    <m/>
    <m/>
    <m/>
    <m/>
    <m/>
    <m/>
    <m/>
    <m/>
    <m/>
    <m/>
    <m/>
    <m/>
    <m/>
    <m/>
    <m/>
    <m/>
    <m/>
    <m/>
    <m/>
    <m/>
    <m/>
    <m/>
    <m/>
    <m/>
  </r>
  <r>
    <n v="743"/>
    <d v="2025-02-13T00:00:00"/>
    <s v="ZBTO"/>
    <n v="9518515618"/>
    <n v="2"/>
    <s v="9518515618-2"/>
    <m/>
    <s v="Mar'25"/>
    <s v="Released orders"/>
    <x v="2"/>
    <x v="6"/>
    <n v="2000"/>
    <m/>
    <x v="0"/>
    <m/>
    <m/>
    <s v="Madhya Pradesh"/>
    <m/>
    <m/>
    <m/>
    <n v="944695"/>
    <s v="ANM ISPAT PRIVATE LIMITED"/>
    <n v="1851091"/>
    <s v="GP COIL SOFT-TATXGP-GK09-0.4X1250"/>
    <n v="80"/>
    <s v=""/>
    <m/>
    <m/>
    <s v="Wider"/>
    <s v="C02"/>
    <s v="TATXGP"/>
    <s v="GK09"/>
    <n v="0.4"/>
    <n v="1250"/>
    <n v="0"/>
    <n v="29"/>
    <n v="0"/>
    <n v="29"/>
    <n v="29"/>
    <n v="0"/>
    <n v="29"/>
    <m/>
    <m/>
    <n v="29"/>
    <n v="29"/>
    <n v="0"/>
    <n v="32.480000000000004"/>
    <n v="0"/>
    <n v="0"/>
    <n v="0"/>
    <n v="0"/>
    <n v="0"/>
    <n v="0"/>
    <n v="0"/>
    <n v="0"/>
    <n v="0"/>
    <n v="0"/>
    <n v="0"/>
    <n v="0"/>
    <n v="0"/>
    <n v="0"/>
    <n v="0"/>
    <n v="0"/>
    <n v="0"/>
    <n v="0"/>
    <n v="0"/>
    <n v="0"/>
    <n v="0"/>
    <n v="0"/>
    <n v="0"/>
    <n v="0"/>
    <n v="29"/>
    <n v="0"/>
    <n v="0"/>
    <n v="0"/>
    <n v="29"/>
    <n v="0"/>
    <n v="29"/>
    <n v="0"/>
    <n v="0"/>
    <n v="0"/>
    <n v="29"/>
    <n v="0"/>
    <n v="0"/>
    <m/>
    <m/>
    <m/>
    <m/>
    <m/>
    <m/>
    <m/>
    <m/>
    <m/>
    <m/>
    <m/>
    <m/>
    <m/>
    <m/>
    <m/>
    <m/>
    <m/>
    <m/>
    <m/>
    <m/>
    <m/>
    <m/>
    <m/>
    <m/>
    <m/>
    <m/>
    <m/>
    <m/>
    <m/>
    <m/>
    <m/>
    <m/>
    <m/>
    <m/>
  </r>
  <r>
    <n v="743"/>
    <d v="2025-02-22T00:00:00"/>
    <s v="ZBTO"/>
    <n v="9518542035"/>
    <n v="4"/>
    <s v="9518542035-4"/>
    <m/>
    <s v="Mar'25"/>
    <s v="Released orders"/>
    <x v="2"/>
    <x v="6"/>
    <s v="2000-BPRS"/>
    <m/>
    <x v="0"/>
    <m/>
    <m/>
    <m/>
    <m/>
    <s v="JAIPUR"/>
    <m/>
    <n v="117583"/>
    <s v="BIHANI ENTERPRISES"/>
    <n v="1854410"/>
    <s v="GP COIL SOFT-TATXGP-GK09-0.4X1220"/>
    <s v="Z80"/>
    <s v=""/>
    <n v="5"/>
    <n v="7"/>
    <s v="Wider"/>
    <s v="C02"/>
    <s v="TATXGP"/>
    <s v="GK09"/>
    <n v="0.4"/>
    <n v="1220"/>
    <n v="0"/>
    <n v="84"/>
    <n v="0"/>
    <n v="84"/>
    <n v="84"/>
    <n v="0"/>
    <n v="84"/>
    <m/>
    <m/>
    <n v="84"/>
    <n v="84"/>
    <m/>
    <n v="94.080000000000013"/>
    <n v="0"/>
    <n v="0"/>
    <n v="0"/>
    <n v="0"/>
    <n v="0"/>
    <n v="0"/>
    <n v="0"/>
    <n v="0"/>
    <n v="0"/>
    <n v="0"/>
    <n v="0"/>
    <n v="0"/>
    <n v="0"/>
    <n v="0"/>
    <n v="0"/>
    <n v="0"/>
    <n v="0"/>
    <n v="0"/>
    <n v="0"/>
    <n v="0"/>
    <n v="0"/>
    <n v="0"/>
    <n v="0"/>
    <n v="0"/>
    <n v="84"/>
    <n v="0"/>
    <n v="0"/>
    <n v="0"/>
    <n v="84"/>
    <n v="0"/>
    <n v="84"/>
    <n v="0"/>
    <n v="0"/>
    <n v="0"/>
    <n v="84"/>
    <n v="0"/>
    <n v="0"/>
    <m/>
    <m/>
    <m/>
    <m/>
    <m/>
    <m/>
    <m/>
    <m/>
    <m/>
    <m/>
    <m/>
    <m/>
    <m/>
    <m/>
    <m/>
    <m/>
    <m/>
    <m/>
    <m/>
    <m/>
    <m/>
    <m/>
    <m/>
    <m/>
    <m/>
    <m/>
    <m/>
    <m/>
    <m/>
    <m/>
    <m/>
    <m/>
    <m/>
    <m/>
  </r>
  <r>
    <n v="742"/>
    <d v="2025-02-17T00:00:00"/>
    <s v="ZBTF"/>
    <n v="9518527449"/>
    <n v="1"/>
    <s v="9518527449-1"/>
    <m/>
    <s v="Mar'25"/>
    <s v="Released orders"/>
    <x v="1"/>
    <x v="9"/>
    <s v="2000-BPRS"/>
    <n v="1400"/>
    <x v="0"/>
    <m/>
    <m/>
    <m/>
    <m/>
    <s v="YESHWANTHPURA"/>
    <m/>
    <n v="650742"/>
    <s v="Angul Cold Rolling Mill"/>
    <n v="3820031"/>
    <s v="CR COIL TATXHS BR45 1.600X1300"/>
    <s v=" "/>
    <s v=""/>
    <n v="10"/>
    <n v="27"/>
    <s v="Wider"/>
    <s v="C01"/>
    <s v="TATXHS"/>
    <s v="BR45"/>
    <n v="1.6"/>
    <n v="1300"/>
    <n v="0"/>
    <n v="120"/>
    <n v="0"/>
    <n v="120"/>
    <n v="120"/>
    <n v="0"/>
    <n v="120"/>
    <m/>
    <m/>
    <n v="120"/>
    <n v="120"/>
    <n v="0"/>
    <n v="134.4"/>
    <n v="0"/>
    <n v="0"/>
    <n v="0"/>
    <n v="0"/>
    <n v="0"/>
    <n v="0"/>
    <n v="0"/>
    <n v="0"/>
    <n v="0"/>
    <n v="0"/>
    <n v="0"/>
    <n v="0"/>
    <n v="0"/>
    <n v="0"/>
    <n v="0"/>
    <n v="0"/>
    <n v="0"/>
    <n v="0"/>
    <n v="0"/>
    <n v="0"/>
    <n v="0"/>
    <n v="0"/>
    <n v="0"/>
    <n v="0"/>
    <n v="120"/>
    <n v="0"/>
    <n v="0"/>
    <n v="0"/>
    <n v="0"/>
    <n v="120"/>
    <n v="120"/>
    <n v="0"/>
    <n v="0"/>
    <n v="0"/>
    <n v="0"/>
    <n v="120"/>
    <n v="0"/>
    <m/>
    <m/>
    <m/>
    <m/>
    <m/>
    <m/>
    <m/>
    <m/>
    <m/>
    <m/>
    <m/>
    <m/>
    <m/>
    <m/>
    <m/>
    <m/>
    <m/>
    <m/>
    <m/>
    <m/>
    <m/>
    <m/>
    <m/>
    <m/>
    <m/>
    <m/>
    <m/>
    <m/>
    <m/>
    <m/>
    <m/>
    <m/>
    <m/>
    <m/>
  </r>
  <r>
    <n v="743"/>
    <d v="2025-01-23T00:00:00"/>
    <s v="ZBTO"/>
    <n v="9518454190"/>
    <n v="1"/>
    <s v="9518454190-1"/>
    <m/>
    <s v="Mar'25"/>
    <s v="Released orders"/>
    <x v="3"/>
    <x v="7"/>
    <s v="1000-IPPE"/>
    <m/>
    <x v="0"/>
    <m/>
    <m/>
    <m/>
    <m/>
    <s v=" "/>
    <m/>
    <n v="942283"/>
    <s v="TATA BLUESCOPE STEEL PRIVATE LIMITE"/>
    <n v="1882004"/>
    <s v="GL C YS550 H6GL 0.55BMT(0.60TCT)X1220"/>
    <s v="AZ150"/>
    <s v=""/>
    <n v="3"/>
    <n v="5"/>
    <s v="Wider"/>
    <s v="B04"/>
    <s v="Y550GL"/>
    <s v="H6GL"/>
    <n v="0.55000000000000004"/>
    <n v="1220"/>
    <n v="0"/>
    <n v="28"/>
    <n v="0"/>
    <n v="28"/>
    <n v="28"/>
    <n v="27.85"/>
    <n v="0.15"/>
    <m/>
    <m/>
    <n v="28"/>
    <n v="28"/>
    <n v="0"/>
    <n v="0"/>
    <n v="28.85"/>
    <n v="0"/>
    <n v="0"/>
    <n v="0"/>
    <n v="0"/>
    <n v="0"/>
    <n v="0"/>
    <n v="0"/>
    <n v="0"/>
    <n v="0"/>
    <n v="0"/>
    <n v="0"/>
    <n v="0"/>
    <n v="0"/>
    <n v="0"/>
    <n v="0"/>
    <n v="0"/>
    <n v="0"/>
    <n v="28.85"/>
    <n v="28.85"/>
    <n v="0"/>
    <n v="28.85"/>
    <n v="27.85"/>
    <n v="0"/>
    <n v="28"/>
    <n v="0"/>
    <n v="28"/>
    <n v="0"/>
    <n v="0"/>
    <n v="0"/>
    <n v="28"/>
    <n v="0"/>
    <n v="28"/>
    <n v="0"/>
    <n v="0"/>
    <n v="0"/>
    <n v="0"/>
    <m/>
    <m/>
    <m/>
    <m/>
    <m/>
    <m/>
    <m/>
    <m/>
    <m/>
    <m/>
    <m/>
    <m/>
    <m/>
    <m/>
    <m/>
    <m/>
    <m/>
    <m/>
    <m/>
    <m/>
    <m/>
    <m/>
    <m/>
    <m/>
    <m/>
    <m/>
    <m/>
    <m/>
    <m/>
    <m/>
    <m/>
    <m/>
    <m/>
    <m/>
  </r>
  <r>
    <n v="743"/>
    <d v="2025-01-31T00:00:00"/>
    <s v="ZBTO"/>
    <n v="9518482271"/>
    <n v="1"/>
    <s v="9518482271-1"/>
    <m/>
    <s v="Stocks"/>
    <s v="Released orders"/>
    <x v="3"/>
    <x v="7"/>
    <s v="1000-IPPE"/>
    <m/>
    <x v="0"/>
    <m/>
    <m/>
    <m/>
    <m/>
    <s v=" "/>
    <m/>
    <n v="942283"/>
    <s v="TATA BLUESCOPE STEEL PRIVATE LIMITE"/>
    <n v="1882004"/>
    <s v="GL C YS550 H6GL 0.55BMT(0.60TCT)X1220"/>
    <s v="AZ150"/>
    <s v=""/>
    <n v="3"/>
    <n v="5"/>
    <s v="Wider"/>
    <s v="B04"/>
    <s v="Y550GL"/>
    <s v="H6GL"/>
    <n v="0.55000000000000004"/>
    <n v="1220"/>
    <n v="0"/>
    <n v="28"/>
    <n v="13.28"/>
    <n v="28"/>
    <n v="28"/>
    <n v="0"/>
    <n v="28"/>
    <m/>
    <m/>
    <n v="28"/>
    <n v="14.72"/>
    <n v="0"/>
    <n v="31.360000000000003"/>
    <n v="0"/>
    <n v="0"/>
    <n v="0"/>
    <n v="0"/>
    <n v="0"/>
    <n v="0"/>
    <n v="0"/>
    <n v="0"/>
    <n v="0"/>
    <n v="0"/>
    <n v="0"/>
    <n v="0"/>
    <n v="0"/>
    <n v="0"/>
    <n v="0"/>
    <n v="0"/>
    <n v="0"/>
    <n v="0"/>
    <n v="0"/>
    <n v="0"/>
    <n v="0"/>
    <n v="0"/>
    <n v="0"/>
    <n v="13.28"/>
    <n v="0"/>
    <n v="0"/>
    <n v="0"/>
    <n v="0"/>
    <n v="0"/>
    <n v="0"/>
    <n v="13.28"/>
    <n v="0"/>
    <n v="0"/>
    <n v="13.28"/>
    <n v="0"/>
    <n v="0"/>
    <n v="0"/>
    <m/>
    <m/>
    <m/>
    <m/>
    <m/>
    <m/>
    <m/>
    <m/>
    <m/>
    <m/>
    <m/>
    <m/>
    <m/>
    <m/>
    <m/>
    <m/>
    <m/>
    <m/>
    <m/>
    <m/>
    <m/>
    <m/>
    <m/>
    <m/>
    <m/>
    <m/>
    <m/>
    <m/>
    <m/>
    <m/>
    <m/>
    <m/>
    <m/>
    <m/>
  </r>
  <r>
    <n v="743"/>
    <d v="2025-01-31T00:00:00"/>
    <s v="ZBTO"/>
    <n v="9518482271"/>
    <n v="2"/>
    <s v="9518482271-2"/>
    <m/>
    <s v="Stocks"/>
    <s v="Released orders"/>
    <x v="3"/>
    <x v="7"/>
    <s v="1000-IPPE"/>
    <m/>
    <x v="0"/>
    <m/>
    <m/>
    <m/>
    <m/>
    <s v=" "/>
    <m/>
    <n v="942283"/>
    <s v="TATA BLUESCOPE STEEL PRIVATE LIMITE"/>
    <n v="1881969"/>
    <s v="GL C YS550 H6GL 0.45BMT(0.50TCT)X1220"/>
    <s v="AZ150"/>
    <s v=""/>
    <n v="3"/>
    <n v="5"/>
    <s v="Wider"/>
    <s v="B04"/>
    <s v="Y550GL"/>
    <s v="H6GL"/>
    <n v="0.45"/>
    <n v="1220"/>
    <n v="0"/>
    <n v="84"/>
    <n v="68.405000000000001"/>
    <n v="65.91"/>
    <n v="38.965000000000003"/>
    <n v="44.46"/>
    <n v="0"/>
    <m/>
    <m/>
    <n v="38.965000000000003"/>
    <n v="15.585000000000001"/>
    <n v="0"/>
    <n v="0"/>
    <n v="0"/>
    <n v="0"/>
    <n v="0"/>
    <n v="0"/>
    <n v="0"/>
    <n v="0"/>
    <n v="43.645000000000003"/>
    <n v="0"/>
    <n v="0"/>
    <n v="0"/>
    <n v="0"/>
    <n v="0"/>
    <n v="0"/>
    <n v="0"/>
    <n v="0"/>
    <n v="0"/>
    <n v="13.615"/>
    <n v="14.665000000000001"/>
    <n v="71.925000000000011"/>
    <n v="71.925000000000011"/>
    <n v="0"/>
    <n v="71.925000000000011"/>
    <n v="44.46"/>
    <n v="4.4050000000000002"/>
    <n v="0"/>
    <n v="0"/>
    <n v="0"/>
    <n v="0"/>
    <n v="0"/>
    <n v="0"/>
    <n v="4.4050000000000002"/>
    <n v="0"/>
    <n v="0"/>
    <n v="4.4050000000000002"/>
    <n v="0"/>
    <n v="0"/>
    <n v="0"/>
    <m/>
    <m/>
    <m/>
    <m/>
    <m/>
    <m/>
    <m/>
    <m/>
    <m/>
    <m/>
    <m/>
    <m/>
    <m/>
    <m/>
    <m/>
    <m/>
    <m/>
    <m/>
    <m/>
    <m/>
    <m/>
    <m/>
    <m/>
    <m/>
    <m/>
    <m/>
    <m/>
    <m/>
    <m/>
    <m/>
    <m/>
    <m/>
    <m/>
    <m/>
  </r>
  <r>
    <n v="743"/>
    <d v="2025-01-31T00:00:00"/>
    <s v="ZBTO"/>
    <n v="9518482271"/>
    <n v="3"/>
    <s v="9518482271-3"/>
    <m/>
    <s v="Mar'25"/>
    <s v="Released orders"/>
    <x v="3"/>
    <x v="7"/>
    <s v="1000-IPPE"/>
    <m/>
    <x v="0"/>
    <m/>
    <m/>
    <m/>
    <m/>
    <s v=" "/>
    <m/>
    <n v="942283"/>
    <s v="TATA BLUESCOPE STEEL PRIVATE LIMITE"/>
    <n v="3239573"/>
    <s v="GL C YS550 H6GL 0.42BMT(0.47TCT)X1220"/>
    <s v="AZ150"/>
    <s v=""/>
    <n v="3"/>
    <n v="5"/>
    <s v="Wider"/>
    <s v="B04"/>
    <s v="Y550GL"/>
    <s v="H6GL"/>
    <n v="0.42"/>
    <n v="1220"/>
    <n v="0"/>
    <n v="56"/>
    <n v="14.414999999999999"/>
    <n v="56"/>
    <n v="41.585000000000001"/>
    <n v="0"/>
    <n v="41.585000000000001"/>
    <m/>
    <m/>
    <n v="41.585000000000001"/>
    <n v="41.585000000000001"/>
    <n v="0"/>
    <n v="62.720000000000006"/>
    <n v="0"/>
    <n v="0"/>
    <n v="0"/>
    <n v="0"/>
    <n v="0"/>
    <n v="0"/>
    <n v="0"/>
    <n v="0"/>
    <n v="0"/>
    <n v="0"/>
    <n v="0"/>
    <n v="0"/>
    <n v="0"/>
    <n v="0"/>
    <n v="0"/>
    <n v="0"/>
    <n v="0"/>
    <n v="0"/>
    <n v="0"/>
    <n v="0"/>
    <n v="0"/>
    <n v="0"/>
    <n v="0"/>
    <n v="14.415000000000001"/>
    <n v="41.585000000000001"/>
    <n v="0"/>
    <n v="41.585000000000001"/>
    <n v="0"/>
    <n v="0"/>
    <n v="0"/>
    <n v="56"/>
    <n v="0"/>
    <n v="0"/>
    <n v="56"/>
    <n v="0"/>
    <n v="0"/>
    <n v="0"/>
    <m/>
    <m/>
    <m/>
    <m/>
    <m/>
    <m/>
    <m/>
    <m/>
    <m/>
    <m/>
    <m/>
    <m/>
    <m/>
    <m/>
    <m/>
    <m/>
    <m/>
    <m/>
    <m/>
    <m/>
    <m/>
    <m/>
    <m/>
    <m/>
    <m/>
    <m/>
    <m/>
    <m/>
    <m/>
    <m/>
    <m/>
    <m/>
    <m/>
    <m/>
  </r>
  <r>
    <n v="743"/>
    <d v="2025-01-31T00:00:00"/>
    <s v="ZBTO"/>
    <n v="9518482271"/>
    <n v="4"/>
    <s v="9518482271-4"/>
    <m/>
    <s v="Stocks"/>
    <s v="Released orders"/>
    <x v="3"/>
    <x v="7"/>
    <s v="1000-IPPE"/>
    <m/>
    <x v="0"/>
    <m/>
    <m/>
    <m/>
    <m/>
    <s v=" "/>
    <m/>
    <n v="942283"/>
    <s v="TATA BLUESCOPE STEEL PRIVATE LIMITE"/>
    <n v="1882004"/>
    <s v="GL C YS550 H6GL 0.55BMT(0.60TCT)X1220"/>
    <s v="AZ150"/>
    <s v=""/>
    <n v="3"/>
    <n v="5"/>
    <s v="Wider"/>
    <s v="B04"/>
    <s v="Y550GL"/>
    <s v="H6GL"/>
    <n v="0.55000000000000004"/>
    <n v="1220"/>
    <n v="0"/>
    <n v="28"/>
    <n v="13.335000000000001"/>
    <n v="28"/>
    <n v="28"/>
    <n v="0"/>
    <n v="28"/>
    <m/>
    <m/>
    <n v="28"/>
    <n v="14.664999999999999"/>
    <n v="0"/>
    <n v="31.360000000000003"/>
    <n v="0"/>
    <n v="0"/>
    <n v="0"/>
    <n v="0"/>
    <n v="0"/>
    <n v="0"/>
    <n v="0"/>
    <n v="0"/>
    <n v="0"/>
    <n v="0"/>
    <n v="0"/>
    <n v="0"/>
    <n v="0"/>
    <n v="0"/>
    <n v="0"/>
    <n v="0"/>
    <n v="0"/>
    <n v="0"/>
    <n v="0"/>
    <n v="0"/>
    <n v="0"/>
    <n v="0"/>
    <n v="0"/>
    <n v="27.450000000000003"/>
    <n v="0"/>
    <n v="0"/>
    <n v="0"/>
    <n v="0"/>
    <n v="0"/>
    <n v="0"/>
    <n v="27.450000000000003"/>
    <n v="0"/>
    <n v="0"/>
    <n v="27.450000000000003"/>
    <n v="0"/>
    <n v="0"/>
    <n v="0"/>
    <m/>
    <m/>
    <m/>
    <m/>
    <m/>
    <m/>
    <m/>
    <m/>
    <m/>
    <m/>
    <m/>
    <m/>
    <m/>
    <m/>
    <m/>
    <m/>
    <m/>
    <m/>
    <m/>
    <m/>
    <m/>
    <m/>
    <m/>
    <m/>
    <m/>
    <m/>
    <m/>
    <m/>
    <m/>
    <m/>
    <m/>
    <m/>
    <m/>
    <m/>
  </r>
  <r>
    <n v="743"/>
    <d v="2025-01-31T00:00:00"/>
    <s v="ZBTO"/>
    <n v="9518482271"/>
    <n v="5"/>
    <s v="9518482271-5"/>
    <m/>
    <s v="Mar'25"/>
    <s v="Released orders"/>
    <x v="3"/>
    <x v="7"/>
    <s v="1000-IPPE"/>
    <m/>
    <x v="0"/>
    <m/>
    <m/>
    <m/>
    <m/>
    <s v=" "/>
    <m/>
    <n v="942283"/>
    <s v="TATA BLUESCOPE STEEL PRIVATE LIMITE"/>
    <n v="1881969"/>
    <s v="GL C YS550 H6GL 0.45BMT(0.50TCT)X1220"/>
    <s v="AZ150"/>
    <s v=""/>
    <n v="3"/>
    <n v="5"/>
    <s v="Wider"/>
    <s v="B04"/>
    <s v="Y550GL"/>
    <s v="H6GL"/>
    <n v="0.45"/>
    <n v="1220"/>
    <n v="0"/>
    <n v="84"/>
    <n v="59.42"/>
    <n v="50.494999999999997"/>
    <n v="28.91"/>
    <n v="33.299999999999997"/>
    <n v="0"/>
    <m/>
    <m/>
    <n v="28.91"/>
    <n v="24.58"/>
    <n v="0"/>
    <n v="0"/>
    <n v="0"/>
    <n v="0"/>
    <n v="0"/>
    <n v="0"/>
    <n v="0"/>
    <n v="0"/>
    <n v="38"/>
    <n v="0"/>
    <n v="0"/>
    <n v="0"/>
    <n v="0"/>
    <n v="0"/>
    <n v="0"/>
    <n v="0"/>
    <n v="14.415000000000001"/>
    <n v="0"/>
    <n v="12.915000000000001"/>
    <n v="4.0950000000000006"/>
    <n v="69.424999999999997"/>
    <n v="69.424999999999997"/>
    <n v="0"/>
    <n v="69.424999999999997"/>
    <n v="33.299999999999997"/>
    <n v="0"/>
    <n v="24.58"/>
    <n v="0"/>
    <n v="24.58"/>
    <n v="0"/>
    <n v="0"/>
    <n v="0"/>
    <n v="24.58"/>
    <n v="0"/>
    <n v="24.58"/>
    <n v="0"/>
    <n v="0"/>
    <n v="0"/>
    <n v="0"/>
    <m/>
    <m/>
    <m/>
    <m/>
    <m/>
    <m/>
    <m/>
    <m/>
    <m/>
    <m/>
    <m/>
    <m/>
    <m/>
    <m/>
    <m/>
    <m/>
    <m/>
    <m/>
    <m/>
    <m/>
    <m/>
    <m/>
    <m/>
    <m/>
    <m/>
    <m/>
    <m/>
    <m/>
    <m/>
    <m/>
    <m/>
    <m/>
    <m/>
    <m/>
  </r>
  <r>
    <n v="742"/>
    <d v="2025-01-14T00:00:00"/>
    <s v="ZBTO"/>
    <n v="9518428016"/>
    <n v="1"/>
    <s v="9518428016-1"/>
    <m/>
    <s v="No Priority"/>
    <s v="Released orders"/>
    <x v="5"/>
    <x v="0"/>
    <s v="2200-BPRS"/>
    <m/>
    <x v="1"/>
    <m/>
    <m/>
    <m/>
    <m/>
    <s v="BOMBAY"/>
    <m/>
    <n v="120612"/>
    <s v="SKM STEELS LTD"/>
    <n v="3924669"/>
    <s v="CR COIL TATFHC RE02 0.350X1220"/>
    <s v=" "/>
    <s v=""/>
    <n v="10"/>
    <n v="12"/>
    <s v="Wider"/>
    <s v="C09"/>
    <s v="TATFHC"/>
    <s v="RE02"/>
    <n v="0.35"/>
    <n v="1220"/>
    <n v="0"/>
    <n v="84"/>
    <n v="0"/>
    <n v="84"/>
    <n v="84"/>
    <n v="0"/>
    <n v="84"/>
    <m/>
    <n v="0"/>
    <n v="84"/>
    <n v="84"/>
    <n v="0"/>
    <n v="94.080000000000013"/>
    <n v="0"/>
    <n v="0"/>
    <n v="0"/>
    <n v="0"/>
    <n v="0"/>
    <n v="0"/>
    <n v="0"/>
    <n v="0"/>
    <n v="0"/>
    <n v="0"/>
    <n v="0"/>
    <n v="0"/>
    <n v="0"/>
    <n v="0"/>
    <n v="0"/>
    <n v="0"/>
    <n v="0"/>
    <n v="0"/>
    <n v="0"/>
    <n v="0"/>
    <n v="0"/>
    <n v="0"/>
    <n v="0"/>
    <n v="0"/>
    <n v="0"/>
    <n v="0"/>
    <n v="0"/>
    <n v="0"/>
    <n v="0"/>
    <n v="0"/>
    <n v="0"/>
    <n v="0"/>
    <n v="0"/>
    <n v="0"/>
    <n v="0"/>
    <n v="0"/>
    <n v="0"/>
    <m/>
    <m/>
    <m/>
    <m/>
    <m/>
    <m/>
    <m/>
    <m/>
    <m/>
    <m/>
    <m/>
    <m/>
    <m/>
    <m/>
    <m/>
    <m/>
    <m/>
    <m/>
    <m/>
    <m/>
    <m/>
    <m/>
    <m/>
    <m/>
    <m/>
    <m/>
    <m/>
    <m/>
    <m/>
    <m/>
    <m/>
    <m/>
    <m/>
    <m/>
  </r>
  <r>
    <n v="742"/>
    <d v="2025-01-14T00:00:00"/>
    <s v="ZBTO"/>
    <n v="9518428016"/>
    <n v="2"/>
    <s v="9518428016-2"/>
    <m/>
    <s v="No Priority"/>
    <s v="Released orders"/>
    <x v="5"/>
    <x v="0"/>
    <s v="2200-BPRS"/>
    <m/>
    <x v="1"/>
    <m/>
    <m/>
    <m/>
    <m/>
    <s v="BOMBAY"/>
    <m/>
    <n v="120612"/>
    <s v="SKM STEELS LTD"/>
    <n v="3924668"/>
    <s v="CR COIL TATFHC RE02 0.370X1220"/>
    <s v=" "/>
    <s v=""/>
    <n v="10"/>
    <n v="12"/>
    <s v="Wider"/>
    <s v="C09"/>
    <s v="TATFHC"/>
    <s v="RE02"/>
    <n v="0.37"/>
    <n v="1220"/>
    <n v="0"/>
    <n v="84"/>
    <n v="0"/>
    <n v="84"/>
    <n v="84"/>
    <n v="0"/>
    <n v="84"/>
    <m/>
    <n v="0"/>
    <n v="84"/>
    <n v="84"/>
    <n v="0"/>
    <n v="94.080000000000013"/>
    <n v="0"/>
    <n v="0"/>
    <n v="0"/>
    <n v="0"/>
    <n v="0"/>
    <n v="0"/>
    <n v="0"/>
    <n v="0"/>
    <n v="0"/>
    <n v="0"/>
    <n v="0"/>
    <n v="0"/>
    <n v="0"/>
    <n v="0"/>
    <n v="0"/>
    <n v="0"/>
    <n v="0"/>
    <n v="0"/>
    <n v="0"/>
    <n v="0"/>
    <n v="0"/>
    <n v="0"/>
    <n v="0"/>
    <n v="0"/>
    <n v="0"/>
    <n v="0"/>
    <n v="0"/>
    <n v="0"/>
    <n v="0"/>
    <n v="0"/>
    <n v="0"/>
    <n v="0"/>
    <n v="0"/>
    <n v="0"/>
    <n v="0"/>
    <n v="0"/>
    <n v="0"/>
    <m/>
    <m/>
    <m/>
    <m/>
    <m/>
    <m/>
    <m/>
    <m/>
    <m/>
    <m/>
    <m/>
    <m/>
    <m/>
    <m/>
    <m/>
    <m/>
    <m/>
    <m/>
    <m/>
    <m/>
    <m/>
    <m/>
    <m/>
    <m/>
    <m/>
    <m/>
    <m/>
    <m/>
    <m/>
    <m/>
    <m/>
    <m/>
    <m/>
    <m/>
  </r>
  <r>
    <n v="742"/>
    <d v="2025-01-02T00:00:00"/>
    <s v="ZBTO"/>
    <n v="9518400614"/>
    <n v="1"/>
    <s v="9518400614-1"/>
    <m/>
    <s v="No Priority"/>
    <s v="Released orders"/>
    <x v="1"/>
    <x v="3"/>
    <s v="2000-BPRS"/>
    <m/>
    <x v="1"/>
    <s v="Mar"/>
    <s v="Beyond HSM rollability"/>
    <m/>
    <m/>
    <s v="COCHIN HARBOUR "/>
    <m/>
    <n v="116650"/>
    <s v="KUMMENCHERY STEELS"/>
    <n v="1804905"/>
    <s v="CRCA COIL-TATCRC-TR15-0.5X1000"/>
    <s v=" "/>
    <s v=""/>
    <n v="6"/>
    <n v="18"/>
    <s v="Narrow"/>
    <s v="C01"/>
    <s v="TATCRC"/>
    <s v="TR15"/>
    <n v="0.5"/>
    <n v="1000"/>
    <n v="0"/>
    <n v="23"/>
    <n v="0"/>
    <n v="23"/>
    <n v="23"/>
    <n v="0"/>
    <n v="23"/>
    <m/>
    <m/>
    <n v="23"/>
    <n v="23"/>
    <n v="0"/>
    <n v="25.76"/>
    <n v="0"/>
    <n v="0"/>
    <n v="0"/>
    <n v="0"/>
    <n v="0"/>
    <n v="0"/>
    <n v="0"/>
    <n v="0"/>
    <n v="0"/>
    <n v="0"/>
    <n v="0"/>
    <n v="0"/>
    <n v="0"/>
    <n v="0"/>
    <n v="0"/>
    <n v="0"/>
    <n v="0"/>
    <n v="0"/>
    <n v="0"/>
    <n v="0"/>
    <n v="0"/>
    <n v="0"/>
    <n v="0"/>
    <n v="0"/>
    <n v="0"/>
    <n v="0"/>
    <n v="0"/>
    <n v="0"/>
    <n v="0"/>
    <n v="0"/>
    <n v="0"/>
    <n v="0"/>
    <n v="0"/>
    <n v="0"/>
    <n v="0"/>
    <n v="0"/>
    <n v="0"/>
    <m/>
    <m/>
    <m/>
    <m/>
    <m/>
    <m/>
    <m/>
    <m/>
    <m/>
    <m/>
    <m/>
    <m/>
    <m/>
    <m/>
    <m/>
    <m/>
    <m/>
    <m/>
    <m/>
    <m/>
    <m/>
    <m/>
    <m/>
    <m/>
    <m/>
    <m/>
    <m/>
    <m/>
    <m/>
    <m/>
    <m/>
    <m/>
    <m/>
    <m/>
  </r>
  <r>
    <n v="743"/>
    <d v="2025-02-10T00:00:00"/>
    <s v="ZBTO"/>
    <n v="9518508302"/>
    <n v="2"/>
    <s v="9518508302-2"/>
    <m/>
    <s v="Mar'25"/>
    <s v="Released orders"/>
    <x v="2"/>
    <x v="6"/>
    <s v="2000-BPRS"/>
    <m/>
    <x v="0"/>
    <m/>
    <m/>
    <m/>
    <m/>
    <s v="WEST BOKARO"/>
    <m/>
    <n v="185794"/>
    <s v="Shree Bajrang Steel Udyog"/>
    <n v="1854416"/>
    <s v="GP COIL SOFT-TATXGP-GLK1-0.45X1220"/>
    <s v="Z80"/>
    <s v=""/>
    <n v="4"/>
    <n v="12"/>
    <s v="Wider"/>
    <s v="C02"/>
    <s v="TATXGP"/>
    <s v="GLK1"/>
    <n v="0.45"/>
    <n v="1220"/>
    <n v="0"/>
    <n v="28"/>
    <n v="0"/>
    <n v="28"/>
    <n v="28"/>
    <n v="0"/>
    <n v="28"/>
    <m/>
    <m/>
    <n v="28"/>
    <n v="28"/>
    <n v="0"/>
    <n v="31.360000000000003"/>
    <n v="0"/>
    <n v="0"/>
    <n v="0"/>
    <n v="0"/>
    <n v="0"/>
    <n v="0"/>
    <n v="0"/>
    <n v="0"/>
    <n v="0"/>
    <n v="0"/>
    <n v="0"/>
    <n v="0"/>
    <n v="0"/>
    <n v="0"/>
    <n v="0"/>
    <n v="0"/>
    <n v="0"/>
    <n v="0"/>
    <n v="0"/>
    <n v="0"/>
    <n v="0"/>
    <n v="0"/>
    <n v="0"/>
    <n v="0"/>
    <n v="28"/>
    <n v="0"/>
    <n v="0"/>
    <n v="28"/>
    <n v="0"/>
    <n v="0"/>
    <n v="28"/>
    <n v="0"/>
    <n v="0"/>
    <n v="28"/>
    <n v="0"/>
    <n v="0"/>
    <n v="0"/>
    <m/>
    <m/>
    <m/>
    <m/>
    <m/>
    <m/>
    <m/>
    <m/>
    <m/>
    <m/>
    <m/>
    <m/>
    <m/>
    <m/>
    <m/>
    <m/>
    <m/>
    <m/>
    <m/>
    <m/>
    <m/>
    <m/>
    <m/>
    <m/>
    <m/>
    <m/>
    <m/>
    <m/>
    <m/>
    <m/>
    <m/>
    <m/>
    <m/>
    <m/>
  </r>
  <r>
    <n v="743"/>
    <d v="2025-02-22T00:00:00"/>
    <s v="ZBTO"/>
    <n v="9518542035"/>
    <n v="5"/>
    <s v="9518542035-5"/>
    <m/>
    <s v="Mar'25"/>
    <s v="Released orders"/>
    <x v="2"/>
    <x v="6"/>
    <s v="2000-BPRS"/>
    <m/>
    <x v="0"/>
    <m/>
    <m/>
    <m/>
    <m/>
    <s v="JAIPUR"/>
    <m/>
    <n v="117583"/>
    <s v="BIHANI ENTERPRISES"/>
    <n v="1851097"/>
    <s v="GP COIL SOFT-TATXGP-GK09-0.45X1220"/>
    <s v="Z80"/>
    <s v=""/>
    <n v="5"/>
    <n v="7"/>
    <s v="Wider"/>
    <s v="C02"/>
    <s v="TATXGP"/>
    <s v="GK09"/>
    <n v="0.45"/>
    <n v="1220"/>
    <n v="0"/>
    <n v="28"/>
    <n v="0"/>
    <n v="28"/>
    <n v="28"/>
    <n v="0"/>
    <n v="28"/>
    <m/>
    <m/>
    <n v="28"/>
    <n v="28"/>
    <m/>
    <n v="31.360000000000003"/>
    <n v="0"/>
    <n v="0"/>
    <n v="0"/>
    <n v="0"/>
    <n v="0"/>
    <n v="0"/>
    <n v="0"/>
    <n v="0"/>
    <n v="0"/>
    <n v="0"/>
    <n v="0"/>
    <n v="0"/>
    <n v="0"/>
    <n v="0"/>
    <n v="0"/>
    <n v="0"/>
    <n v="0"/>
    <n v="0"/>
    <n v="0"/>
    <n v="0"/>
    <n v="0"/>
    <n v="0"/>
    <n v="0"/>
    <n v="0"/>
    <n v="28"/>
    <n v="0"/>
    <n v="0"/>
    <n v="28"/>
    <n v="0"/>
    <n v="0"/>
    <n v="28"/>
    <n v="0"/>
    <n v="0"/>
    <n v="28"/>
    <n v="0"/>
    <n v="0"/>
    <n v="0"/>
    <m/>
    <m/>
    <m/>
    <m/>
    <m/>
    <m/>
    <m/>
    <m/>
    <m/>
    <m/>
    <m/>
    <m/>
    <m/>
    <m/>
    <m/>
    <m/>
    <m/>
    <m/>
    <m/>
    <m/>
    <m/>
    <m/>
    <m/>
    <m/>
    <m/>
    <m/>
    <m/>
    <m/>
    <m/>
    <m/>
    <m/>
    <m/>
    <m/>
    <m/>
  </r>
  <r>
    <n v="743"/>
    <d v="2025-01-31T00:00:00"/>
    <s v="ZBTO"/>
    <n v="9518482983"/>
    <n v="2"/>
    <s v="9518482983-2"/>
    <m/>
    <s v="Stocks"/>
    <s v="Released orders"/>
    <x v="2"/>
    <x v="6"/>
    <n v="2000"/>
    <m/>
    <x v="0"/>
    <m/>
    <m/>
    <m/>
    <s v="West"/>
    <s v="NAGPUR"/>
    <m/>
    <n v="930519"/>
    <s v="JAUSHNA STEELS (INDIA) PVT. LTD."/>
    <n v="1851101"/>
    <s v="GP COIL SOFT-TATXGP-GK09-0.5X1220"/>
    <m/>
    <m/>
    <m/>
    <m/>
    <s v="Wider"/>
    <s v="C02"/>
    <s v="TATXGP"/>
    <s v="GK09"/>
    <n v="0.5"/>
    <n v="1220"/>
    <n v="0"/>
    <n v="28"/>
    <n v="13.84"/>
    <n v="28"/>
    <n v="28"/>
    <n v="0"/>
    <n v="28"/>
    <n v="25"/>
    <m/>
    <n v="28"/>
    <n v="14.16"/>
    <n v="0"/>
    <n v="0"/>
    <n v="0"/>
    <n v="0"/>
    <n v="0"/>
    <n v="0"/>
    <n v="0"/>
    <n v="0"/>
    <n v="0"/>
    <n v="0"/>
    <n v="0"/>
    <n v="0"/>
    <n v="0"/>
    <n v="0"/>
    <n v="0"/>
    <n v="0"/>
    <n v="0"/>
    <n v="27.12"/>
    <n v="0"/>
    <n v="0"/>
    <n v="27.12"/>
    <n v="27.12"/>
    <n v="0"/>
    <n v="27.12"/>
    <n v="0"/>
    <n v="13.794999999999998"/>
    <n v="0"/>
    <n v="0"/>
    <n v="0"/>
    <n v="0"/>
    <n v="0"/>
    <n v="0"/>
    <n v="13.794999999999998"/>
    <n v="0"/>
    <n v="13.794999999999998"/>
    <n v="0"/>
    <n v="0"/>
    <n v="0"/>
    <n v="0"/>
    <n v="0"/>
    <n v="0"/>
    <n v="0"/>
    <n v="0"/>
    <n v="0"/>
    <n v="0"/>
    <m/>
    <m/>
    <m/>
    <m/>
    <m/>
    <m/>
    <m/>
    <m/>
    <m/>
    <s v="1"/>
    <s v="1"/>
    <s v="1"/>
    <s v="1"/>
    <s v="1"/>
    <m/>
    <m/>
    <m/>
    <m/>
    <m/>
    <m/>
    <m/>
    <m/>
    <m/>
    <m/>
    <m/>
    <m/>
    <m/>
    <m/>
  </r>
  <r>
    <n v="742"/>
    <d v="2025-02-03T00:00:00"/>
    <s v="ZBTO"/>
    <n v="9518490750"/>
    <n v="9"/>
    <s v="9518490750-9"/>
    <m/>
    <s v="Mar'25 additional"/>
    <s v="Released orders"/>
    <x v="1"/>
    <x v="1"/>
    <n v="2000"/>
    <m/>
    <x v="1"/>
    <m/>
    <m/>
    <s v="Orissa"/>
    <m/>
    <m/>
    <m/>
    <n v="117061"/>
    <s v="BHARTIA  DISTRIBUTORS PVT. LTD"/>
    <n v="3240765"/>
    <s v="CRCA SHEET TSBCRC SR15 0.500X1250X2500"/>
    <s v=""/>
    <s v=""/>
    <m/>
    <m/>
    <s v="Wider"/>
    <s v="C06"/>
    <s v="TSBCRC"/>
    <s v="SR15"/>
    <n v="0.5"/>
    <n v="1250"/>
    <n v="0"/>
    <n v="75"/>
    <n v="0"/>
    <n v="75"/>
    <n v="75"/>
    <e v="#N/A"/>
    <e v="#N/A"/>
    <m/>
    <n v="0"/>
    <n v="75"/>
    <n v="75"/>
    <n v="0"/>
    <n v="84.000000000000014"/>
    <n v="0"/>
    <n v="0"/>
    <n v="0"/>
    <n v="0"/>
    <n v="0"/>
    <n v="0"/>
    <n v="0"/>
    <n v="0"/>
    <n v="0"/>
    <n v="0"/>
    <n v="0"/>
    <n v="0"/>
    <n v="0"/>
    <n v="0"/>
    <n v="0"/>
    <n v="0"/>
    <n v="0"/>
    <n v="0"/>
    <n v="0"/>
    <n v="0"/>
    <n v="0"/>
    <n v="0"/>
    <n v="0"/>
    <n v="0"/>
    <n v="0"/>
    <n v="0"/>
    <n v="0"/>
    <n v="0"/>
    <n v="0"/>
    <n v="0"/>
    <n v="0"/>
    <n v="0"/>
    <n v="0"/>
    <n v="0"/>
    <n v="0"/>
    <n v="0"/>
    <n v="0"/>
    <m/>
    <m/>
    <m/>
    <m/>
    <m/>
    <m/>
    <m/>
    <m/>
    <m/>
    <m/>
    <m/>
    <m/>
    <m/>
    <m/>
    <m/>
    <m/>
    <m/>
    <m/>
    <m/>
    <m/>
    <m/>
    <m/>
    <m/>
    <m/>
    <m/>
    <m/>
    <m/>
    <m/>
    <m/>
    <m/>
    <m/>
    <m/>
    <m/>
    <m/>
  </r>
  <r>
    <n v="742"/>
    <d v="2025-02-15T00:00:00"/>
    <s v="ZBTO"/>
    <n v="9518521904"/>
    <n v="1"/>
    <s v="9518521904-1"/>
    <m/>
    <s v="Mar'25"/>
    <s v="Released orders"/>
    <x v="0"/>
    <x v="0"/>
    <s v="2000-BPRS"/>
    <m/>
    <x v="0"/>
    <m/>
    <m/>
    <m/>
    <m/>
    <s v="NAGPUR"/>
    <m/>
    <n v="154641"/>
    <s v="TATA STEEL DOWNSTREAM PRODUCTS LIMI"/>
    <n v="1210083"/>
    <s v="HR COILS-PO IS 1079 HR2 2X1250"/>
    <s v=" "/>
    <s v=""/>
    <n v="24"/>
    <n v="35"/>
    <s v="Wider"/>
    <n v="768"/>
    <s v="THR099"/>
    <s v="HR99"/>
    <n v="2"/>
    <n v="1250"/>
    <n v="0"/>
    <n v="50"/>
    <n v="0"/>
    <n v="50"/>
    <n v="50"/>
    <n v="0"/>
    <n v="50"/>
    <m/>
    <m/>
    <n v="50"/>
    <n v="50"/>
    <n v="0"/>
    <n v="56.000000000000007"/>
    <n v="0"/>
    <n v="0"/>
    <n v="0"/>
    <n v="0"/>
    <n v="0"/>
    <n v="0"/>
    <n v="0"/>
    <n v="0"/>
    <n v="0"/>
    <n v="0"/>
    <n v="0"/>
    <n v="0"/>
    <n v="0"/>
    <n v="0"/>
    <n v="0"/>
    <n v="0"/>
    <n v="0"/>
    <n v="0"/>
    <n v="0"/>
    <n v="0"/>
    <n v="0"/>
    <n v="0"/>
    <n v="0"/>
    <n v="0"/>
    <n v="50"/>
    <n v="0"/>
    <n v="0"/>
    <n v="0"/>
    <n v="50"/>
    <n v="0"/>
    <n v="50"/>
    <n v="0"/>
    <n v="0"/>
    <n v="0"/>
    <n v="50"/>
    <n v="0"/>
    <n v="0"/>
    <m/>
    <m/>
    <m/>
    <m/>
    <m/>
    <m/>
    <m/>
    <m/>
    <m/>
    <m/>
    <m/>
    <m/>
    <m/>
    <m/>
    <m/>
    <m/>
    <m/>
    <m/>
    <m/>
    <m/>
    <m/>
    <m/>
    <m/>
    <m/>
    <m/>
    <m/>
    <m/>
    <m/>
    <m/>
    <m/>
    <m/>
    <m/>
    <m/>
    <m/>
  </r>
  <r>
    <n v="742"/>
    <d v="2025-02-15T00:00:00"/>
    <s v="ZBTO"/>
    <n v="9518521904"/>
    <n v="2"/>
    <s v="9518521904-2"/>
    <m/>
    <s v="Mar'25"/>
    <s v="Released orders"/>
    <x v="0"/>
    <x v="0"/>
    <s v="2000-BPRS"/>
    <m/>
    <x v="0"/>
    <m/>
    <m/>
    <m/>
    <m/>
    <s v="NAGPUR"/>
    <m/>
    <n v="154641"/>
    <s v="TATA STEEL DOWNSTREAM PRODUCTS LIMI"/>
    <n v="1250221"/>
    <s v="HR COILS-PO IS 1079 HR2 2.50X1250"/>
    <s v=" "/>
    <s v=""/>
    <n v="24"/>
    <n v="35"/>
    <s v="Wider"/>
    <n v="768"/>
    <s v="THR099"/>
    <s v="HR99"/>
    <n v="2.5"/>
    <n v="1250"/>
    <n v="0"/>
    <n v="50"/>
    <n v="0"/>
    <n v="50"/>
    <n v="50"/>
    <n v="0"/>
    <n v="50"/>
    <n v="50"/>
    <m/>
    <n v="50"/>
    <n v="50"/>
    <n v="0"/>
    <n v="56.000000000000007"/>
    <n v="0"/>
    <n v="0"/>
    <n v="0"/>
    <n v="0"/>
    <n v="0"/>
    <n v="0"/>
    <n v="0"/>
    <n v="0"/>
    <n v="0"/>
    <n v="0"/>
    <n v="0"/>
    <n v="0"/>
    <n v="0"/>
    <n v="0"/>
    <n v="0"/>
    <n v="0"/>
    <n v="0"/>
    <n v="0"/>
    <n v="0"/>
    <n v="0"/>
    <n v="0"/>
    <n v="0"/>
    <n v="0"/>
    <n v="0"/>
    <n v="50"/>
    <n v="0"/>
    <n v="0"/>
    <n v="0"/>
    <n v="50"/>
    <n v="0"/>
    <n v="50"/>
    <n v="0"/>
    <n v="0"/>
    <n v="0"/>
    <n v="50"/>
    <n v="0"/>
    <n v="0"/>
    <m/>
    <m/>
    <m/>
    <m/>
    <m/>
    <m/>
    <m/>
    <m/>
    <m/>
    <m/>
    <m/>
    <m/>
    <m/>
    <m/>
    <m/>
    <m/>
    <m/>
    <m/>
    <m/>
    <m/>
    <m/>
    <m/>
    <m/>
    <m/>
    <m/>
    <m/>
    <m/>
    <m/>
    <m/>
    <m/>
    <m/>
    <m/>
    <m/>
    <m/>
  </r>
  <r>
    <n v="742"/>
    <d v="2025-02-15T00:00:00"/>
    <s v="ZBTO"/>
    <n v="9518521904"/>
    <n v="3"/>
    <s v="9518521904-3"/>
    <m/>
    <s v="Mar'25"/>
    <s v="Released orders"/>
    <x v="0"/>
    <x v="0"/>
    <s v="2000-BPRS"/>
    <m/>
    <x v="0"/>
    <m/>
    <m/>
    <m/>
    <m/>
    <s v="NAGPUR"/>
    <m/>
    <n v="154641"/>
    <s v="TATA STEEL DOWNSTREAM PRODUCTS LIMI"/>
    <n v="1252834"/>
    <s v="HR COILS-PO IS 1079 HR2 3.0X1250"/>
    <s v=" "/>
    <s v=""/>
    <n v="24"/>
    <n v="35"/>
    <s v="Wider"/>
    <n v="768"/>
    <s v="THR099"/>
    <s v="HR99"/>
    <n v="3"/>
    <n v="1250"/>
    <n v="0"/>
    <n v="150"/>
    <n v="0"/>
    <n v="150"/>
    <n v="150"/>
    <n v="0"/>
    <n v="150"/>
    <m/>
    <m/>
    <n v="150"/>
    <n v="150"/>
    <n v="0"/>
    <n v="168.00000000000003"/>
    <n v="0"/>
    <n v="0"/>
    <n v="0"/>
    <n v="0"/>
    <n v="0"/>
    <n v="0"/>
    <n v="0"/>
    <n v="0"/>
    <n v="0"/>
    <n v="0"/>
    <n v="0"/>
    <n v="0"/>
    <n v="0"/>
    <n v="0"/>
    <n v="0"/>
    <n v="0"/>
    <n v="0"/>
    <n v="0"/>
    <n v="0"/>
    <n v="0"/>
    <n v="0"/>
    <n v="0"/>
    <n v="0"/>
    <n v="0"/>
    <n v="150"/>
    <n v="0"/>
    <n v="0"/>
    <n v="0"/>
    <n v="0"/>
    <n v="150"/>
    <n v="150"/>
    <n v="0"/>
    <n v="0"/>
    <n v="0"/>
    <n v="0"/>
    <n v="150"/>
    <n v="0"/>
    <m/>
    <m/>
    <m/>
    <m/>
    <m/>
    <m/>
    <m/>
    <m/>
    <m/>
    <m/>
    <m/>
    <m/>
    <m/>
    <m/>
    <m/>
    <m/>
    <m/>
    <m/>
    <m/>
    <m/>
    <m/>
    <m/>
    <m/>
    <m/>
    <m/>
    <m/>
    <m/>
    <m/>
    <m/>
    <m/>
    <m/>
    <m/>
    <m/>
    <m/>
  </r>
  <r>
    <n v="742"/>
    <d v="2025-02-15T00:00:00"/>
    <s v="ZBTO"/>
    <n v="9518521904"/>
    <n v="4"/>
    <s v="9518521904-4"/>
    <m/>
    <s v="No Priority"/>
    <s v="Released orders"/>
    <x v="0"/>
    <x v="0"/>
    <s v="2000-BPRS"/>
    <m/>
    <x v="1"/>
    <m/>
    <m/>
    <m/>
    <m/>
    <s v="NAGPUR"/>
    <m/>
    <n v="154641"/>
    <s v="TATA STEEL DOWNSTREAM PRODUCTS LIMI"/>
    <n v="1252835"/>
    <s v="HR COILS-PO IS 1079 HR2 3.20X1250"/>
    <s v=" "/>
    <s v=""/>
    <n v="24"/>
    <n v="35"/>
    <s v="Wider"/>
    <n v="768"/>
    <s v="THR099"/>
    <s v="HR99"/>
    <n v="3.2"/>
    <n v="1250"/>
    <n v="0"/>
    <n v="50"/>
    <n v="49.2"/>
    <n v="50"/>
    <n v="25.32"/>
    <n v="24.58"/>
    <n v="0"/>
    <m/>
    <n v="24.58"/>
    <n v="0"/>
    <n v="0.8"/>
    <n v="0"/>
    <n v="28.313600000000005"/>
    <n v="0"/>
    <n v="24.72"/>
    <n v="0"/>
    <n v="0"/>
    <n v="0"/>
    <n v="0"/>
    <n v="0"/>
    <n v="0"/>
    <n v="0"/>
    <n v="0"/>
    <n v="0"/>
    <n v="0"/>
    <n v="0"/>
    <n v="0"/>
    <n v="0"/>
    <n v="0"/>
    <n v="0"/>
    <n v="0"/>
    <n v="24.72"/>
    <n v="24.72"/>
    <n v="0"/>
    <n v="24.58"/>
    <n v="0"/>
    <n v="0"/>
    <n v="0"/>
    <n v="0"/>
    <n v="0"/>
    <n v="0"/>
    <n v="0"/>
    <n v="0"/>
    <n v="0"/>
    <n v="0"/>
    <n v="0"/>
    <n v="0"/>
    <n v="0"/>
    <n v="0"/>
    <n v="0"/>
    <m/>
    <m/>
    <m/>
    <m/>
    <m/>
    <m/>
    <m/>
    <m/>
    <m/>
    <m/>
    <m/>
    <m/>
    <m/>
    <m/>
    <m/>
    <m/>
    <m/>
    <m/>
    <m/>
    <m/>
    <m/>
    <m/>
    <m/>
    <m/>
    <m/>
    <m/>
    <m/>
    <m/>
    <m/>
    <m/>
    <m/>
    <m/>
    <m/>
    <m/>
  </r>
  <r>
    <n v="742"/>
    <d v="2025-02-15T00:00:00"/>
    <s v="ZBTO"/>
    <n v="9518521904"/>
    <n v="5"/>
    <s v="9518521904-5"/>
    <m/>
    <s v="Mar'25"/>
    <s v="Released orders"/>
    <x v="0"/>
    <x v="0"/>
    <s v="2000-BPRS"/>
    <m/>
    <x v="0"/>
    <m/>
    <m/>
    <m/>
    <m/>
    <s v="NAGPUR"/>
    <m/>
    <n v="154641"/>
    <s v="TATA STEEL DOWNSTREAM PRODUCTS LIMI"/>
    <n v="1210086"/>
    <s v="HR COILS-PO IS 1079 HR2 4X1250"/>
    <s v=" "/>
    <s v=""/>
    <n v="24"/>
    <n v="35"/>
    <s v="Wider"/>
    <n v="768"/>
    <s v="THR099"/>
    <s v="HR99"/>
    <n v="4"/>
    <n v="1250"/>
    <n v="0"/>
    <n v="50"/>
    <n v="24.55"/>
    <n v="50"/>
    <n v="25.45"/>
    <n v="0"/>
    <n v="25.45"/>
    <n v="25"/>
    <m/>
    <n v="25.45"/>
    <n v="25.45"/>
    <n v="0"/>
    <n v="56.000000000000007"/>
    <n v="0"/>
    <n v="0"/>
    <n v="0"/>
    <n v="0"/>
    <n v="0"/>
    <n v="0"/>
    <n v="0"/>
    <n v="0"/>
    <n v="0"/>
    <n v="0"/>
    <n v="0"/>
    <n v="0"/>
    <n v="0"/>
    <n v="0"/>
    <n v="0"/>
    <n v="0"/>
    <n v="0"/>
    <n v="0"/>
    <n v="0"/>
    <n v="0"/>
    <n v="0"/>
    <n v="0"/>
    <n v="0"/>
    <n v="0"/>
    <n v="25.45"/>
    <n v="0"/>
    <n v="0"/>
    <n v="0"/>
    <n v="25.45"/>
    <n v="0"/>
    <n v="25.45"/>
    <n v="0"/>
    <n v="0"/>
    <n v="0"/>
    <n v="25.45"/>
    <n v="0"/>
    <n v="0"/>
    <m/>
    <m/>
    <m/>
    <m/>
    <m/>
    <m/>
    <m/>
    <m/>
    <m/>
    <m/>
    <m/>
    <m/>
    <m/>
    <m/>
    <m/>
    <m/>
    <m/>
    <m/>
    <m/>
    <m/>
    <m/>
    <m/>
    <m/>
    <m/>
    <m/>
    <m/>
    <m/>
    <m/>
    <m/>
    <m/>
    <m/>
    <m/>
    <m/>
    <m/>
  </r>
  <r>
    <n v="743"/>
    <d v="2025-02-14T00:00:00"/>
    <s v="ZBTO"/>
    <n v="9518519865"/>
    <n v="1"/>
    <s v="9518519865-1"/>
    <m/>
    <s v="Mar'25"/>
    <s v="Released orders"/>
    <x v="3"/>
    <x v="5"/>
    <s v="1000-IPPE"/>
    <n v="2500"/>
    <x v="0"/>
    <m/>
    <m/>
    <m/>
    <m/>
    <s v="VINJAMURU"/>
    <m/>
    <n v="188750"/>
    <s v="Colorshine Coated Pvt.Ltd."/>
    <n v="3946807"/>
    <s v="GL COIL HARD  Y550GL H9GL 0.320X1245"/>
    <s v="AZ150"/>
    <s v=""/>
    <n v="7"/>
    <n v="20"/>
    <s v="Wider"/>
    <s v="B04"/>
    <s v="Y550GL"/>
    <s v="H9GL"/>
    <n v="0.32"/>
    <n v="1245"/>
    <n v="0"/>
    <n v="58"/>
    <n v="0"/>
    <n v="58"/>
    <n v="58"/>
    <n v="0"/>
    <n v="58"/>
    <m/>
    <m/>
    <n v="58"/>
    <n v="58"/>
    <n v="0"/>
    <n v="64.960000000000008"/>
    <n v="0"/>
    <n v="0"/>
    <n v="0"/>
    <n v="0"/>
    <n v="0"/>
    <n v="0"/>
    <n v="0"/>
    <n v="0"/>
    <n v="0"/>
    <n v="0"/>
    <n v="0"/>
    <n v="0"/>
    <n v="0"/>
    <n v="0"/>
    <n v="0"/>
    <n v="0"/>
    <n v="0"/>
    <n v="0"/>
    <n v="0"/>
    <n v="0"/>
    <n v="0"/>
    <n v="0"/>
    <n v="0"/>
    <n v="0"/>
    <n v="58"/>
    <n v="0"/>
    <n v="0"/>
    <n v="58"/>
    <n v="0"/>
    <n v="0"/>
    <n v="58"/>
    <n v="0"/>
    <n v="0"/>
    <n v="58"/>
    <n v="0"/>
    <n v="0"/>
    <n v="0"/>
    <m/>
    <m/>
    <m/>
    <m/>
    <m/>
    <m/>
    <m/>
    <m/>
    <m/>
    <m/>
    <m/>
    <m/>
    <m/>
    <m/>
    <m/>
    <m/>
    <m/>
    <m/>
    <m/>
    <m/>
    <m/>
    <m/>
    <m/>
    <m/>
    <m/>
    <m/>
    <m/>
    <m/>
    <m/>
    <m/>
    <m/>
    <m/>
    <m/>
    <m/>
  </r>
  <r>
    <n v="744"/>
    <d v="2025-02-12T00:00:00"/>
    <s v="ZBTO"/>
    <n v="9518513319"/>
    <n v="2"/>
    <s v="9518513319-2"/>
    <m/>
    <s v="Stocks"/>
    <s v="Released orders"/>
    <x v="4"/>
    <x v="7"/>
    <s v="1000-IPPE"/>
    <m/>
    <x v="0"/>
    <m/>
    <m/>
    <m/>
    <m/>
    <s v=" "/>
    <m/>
    <n v="941597"/>
    <s v="TATA BLUESCOPE STEEL PRIVATE LIMITE"/>
    <n v="1633706"/>
    <s v="PPGL C Y550 HPL3 0.42BMT(0.50TPT)X1220"/>
    <s v="AZ150"/>
    <s v="RAL 9002 TSL 142A"/>
    <n v="3"/>
    <n v="5"/>
    <s v="Wider"/>
    <s v="B18"/>
    <s v="Y550PL"/>
    <s v="HPL3"/>
    <n v="0.42"/>
    <n v="1220"/>
    <n v="0"/>
    <n v="56"/>
    <n v="53.305"/>
    <n v="30.055"/>
    <n v="30.055"/>
    <n v="30.254999999999999"/>
    <n v="-0.2"/>
    <m/>
    <n v="30.254999999999999"/>
    <n v="0"/>
    <n v="2.6850000000000001"/>
    <n v="0"/>
    <n v="0"/>
    <n v="0"/>
    <n v="0"/>
    <n v="0"/>
    <n v="0"/>
    <n v="0"/>
    <n v="0"/>
    <n v="0"/>
    <n v="0"/>
    <n v="2.9350000000000001"/>
    <n v="0"/>
    <n v="0"/>
    <n v="0"/>
    <n v="0"/>
    <n v="0"/>
    <n v="0"/>
    <n v="4.1349999999999998"/>
    <n v="0"/>
    <n v="26.12"/>
    <n v="33.19"/>
    <n v="33.19"/>
    <n v="0"/>
    <n v="33.19"/>
    <n v="0"/>
    <n v="5.0049999999999999"/>
    <n v="0"/>
    <n v="0"/>
    <n v="0"/>
    <n v="0"/>
    <n v="0"/>
    <n v="0"/>
    <n v="5.0049999999999999"/>
    <n v="0"/>
    <n v="0"/>
    <n v="5.0049999999999999"/>
    <n v="0"/>
    <n v="0"/>
    <n v="0"/>
    <m/>
    <m/>
    <m/>
    <m/>
    <m/>
    <m/>
    <m/>
    <m/>
    <m/>
    <m/>
    <m/>
    <m/>
    <m/>
    <m/>
    <m/>
    <m/>
    <m/>
    <m/>
    <m/>
    <m/>
    <m/>
    <m/>
    <m/>
    <m/>
    <m/>
    <m/>
    <m/>
    <m/>
    <m/>
    <m/>
    <m/>
    <m/>
    <m/>
    <m/>
  </r>
  <r>
    <n v="744"/>
    <d v="2025-02-12T00:00:00"/>
    <s v="ZBTO"/>
    <n v="9518513319"/>
    <n v="4"/>
    <s v="9518513319-4"/>
    <m/>
    <s v="Mar'25"/>
    <s v="Released orders"/>
    <x v="4"/>
    <x v="7"/>
    <s v="1000-IPPE"/>
    <m/>
    <x v="0"/>
    <m/>
    <m/>
    <m/>
    <m/>
    <s v=" "/>
    <m/>
    <n v="941597"/>
    <s v="TATA BLUESCOPE STEEL PRIVATE LIMITE"/>
    <n v="1633706"/>
    <s v="PPGL C Y550 HPL3 0.42BMT(0.50TPT)X1220"/>
    <s v="AZ150"/>
    <s v="RAL 9003 TSL 241"/>
    <n v="3"/>
    <n v="5"/>
    <s v="Wider"/>
    <s v="B18"/>
    <s v="Y550PL"/>
    <s v="HPL3"/>
    <n v="0.42"/>
    <n v="1220"/>
    <n v="0"/>
    <n v="28"/>
    <n v="0"/>
    <n v="28"/>
    <n v="28"/>
    <n v="0"/>
    <n v="28"/>
    <m/>
    <m/>
    <n v="28"/>
    <n v="28"/>
    <n v="0"/>
    <n v="31.360000000000003"/>
    <n v="0"/>
    <n v="0"/>
    <n v="0"/>
    <n v="0"/>
    <n v="0"/>
    <n v="0"/>
    <n v="0"/>
    <n v="0"/>
    <n v="0"/>
    <n v="0"/>
    <n v="0"/>
    <n v="0"/>
    <n v="0"/>
    <n v="0"/>
    <n v="0"/>
    <n v="0"/>
    <n v="0"/>
    <n v="0"/>
    <n v="0"/>
    <n v="0"/>
    <n v="0"/>
    <n v="0"/>
    <n v="0"/>
    <n v="0"/>
    <n v="28"/>
    <n v="0"/>
    <n v="0"/>
    <n v="0"/>
    <n v="0"/>
    <n v="28"/>
    <n v="28"/>
    <n v="0"/>
    <n v="0"/>
    <n v="0"/>
    <n v="0"/>
    <n v="28"/>
    <n v="0"/>
    <m/>
    <m/>
    <m/>
    <m/>
    <m/>
    <m/>
    <m/>
    <m/>
    <m/>
    <m/>
    <m/>
    <m/>
    <m/>
    <m/>
    <m/>
    <m/>
    <m/>
    <m/>
    <m/>
    <m/>
    <m/>
    <m/>
    <m/>
    <m/>
    <m/>
    <m/>
    <m/>
    <m/>
    <m/>
    <m/>
    <m/>
    <m/>
    <m/>
    <m/>
  </r>
  <r>
    <n v="742"/>
    <d v="2025-01-20T00:00:00"/>
    <s v="ZBTF"/>
    <n v="9518444919"/>
    <n v="11"/>
    <s v="9518444919-11"/>
    <m/>
    <s v="Mar'25"/>
    <s v="Released orders"/>
    <x v="1"/>
    <x v="4"/>
    <s v="1000-IPPE"/>
    <m/>
    <x v="0"/>
    <m/>
    <s v="Deprioritized to add 1250mm size"/>
    <m/>
    <s v="North"/>
    <s v="PILKHUWA"/>
    <m/>
    <n v="600250"/>
    <s v="TATA CENTER"/>
    <n v="2439203"/>
    <s v="CRCA COIL TSBSTA EL06 0.500X1160"/>
    <s v=" "/>
    <s v=""/>
    <n v="8"/>
    <n v="13"/>
    <s v="Wider"/>
    <s v="C01"/>
    <s v="TSBSTA"/>
    <s v="EL06"/>
    <n v="0.5"/>
    <n v="1160"/>
    <n v="0"/>
    <n v="297"/>
    <n v="36.805"/>
    <n v="297"/>
    <n v="297"/>
    <n v="36.484999999999999"/>
    <n v="260.51499999999999"/>
    <n v="260.51499999999999"/>
    <n v="0"/>
    <n v="297"/>
    <n v="260.19499999999999"/>
    <n v="0"/>
    <n v="332.64000000000004"/>
    <n v="0"/>
    <n v="0"/>
    <n v="0"/>
    <n v="0"/>
    <n v="0"/>
    <n v="0"/>
    <n v="0"/>
    <n v="0"/>
    <n v="0"/>
    <n v="0"/>
    <n v="0"/>
    <n v="0"/>
    <n v="0"/>
    <n v="0"/>
    <n v="0"/>
    <n v="0"/>
    <n v="0"/>
    <n v="0"/>
    <n v="0"/>
    <n v="0"/>
    <n v="0"/>
    <n v="0"/>
    <n v="36.484999999999999"/>
    <n v="36.805"/>
    <n v="260.19499999999999"/>
    <n v="0"/>
    <n v="260.19499999999999"/>
    <n v="0"/>
    <n v="0"/>
    <n v="0"/>
    <n v="297"/>
    <n v="0"/>
    <n v="0"/>
    <n v="297"/>
    <n v="0"/>
    <n v="0"/>
    <n v="0"/>
    <n v="0"/>
    <n v="0"/>
    <n v="0"/>
    <n v="0"/>
    <n v="0"/>
    <n v="0"/>
    <m/>
    <m/>
    <m/>
    <m/>
    <m/>
    <m/>
    <m/>
    <m/>
    <m/>
    <s v="1"/>
    <s v="0"/>
    <s v="1"/>
    <s v="1"/>
    <s v="1"/>
    <m/>
    <m/>
    <m/>
    <m/>
    <m/>
    <m/>
    <m/>
    <m/>
    <m/>
    <m/>
    <m/>
    <m/>
    <m/>
    <m/>
  </r>
  <r>
    <n v="742"/>
    <d v="2025-01-07T00:00:00"/>
    <s v="ZBTO"/>
    <n v="9518411862"/>
    <n v="1"/>
    <s v="9518411862-1"/>
    <m/>
    <s v="No Priority"/>
    <s v="Released orders"/>
    <x v="1"/>
    <x v="14"/>
    <s v="2200-BPRS"/>
    <m/>
    <x v="1"/>
    <m/>
    <m/>
    <m/>
    <s v="North"/>
    <s v="ZOSOLA"/>
    <m/>
    <n v="184986"/>
    <s v="SWASTIK STEEL PROCESSOR LLP"/>
    <n v="2439201"/>
    <s v="CRCA COIL TSBSTA EL06 0.500X1170"/>
    <s v=" "/>
    <s v=""/>
    <n v="9"/>
    <n v="12"/>
    <s v="Wider"/>
    <s v="C01"/>
    <s v="TSBSTA"/>
    <s v="EL06"/>
    <n v="0.5"/>
    <n v="1170"/>
    <n v="0"/>
    <n v="296.99"/>
    <n v="24.745000000000001"/>
    <n v="272.245"/>
    <n v="272.245"/>
    <n v="0"/>
    <n v="272.245"/>
    <m/>
    <m/>
    <n v="272.245"/>
    <n v="272.245"/>
    <n v="0"/>
    <n v="0"/>
    <n v="0"/>
    <n v="0"/>
    <n v="0"/>
    <n v="0"/>
    <n v="0"/>
    <n v="0"/>
    <n v="130.92000000000002"/>
    <n v="0"/>
    <n v="0"/>
    <n v="0"/>
    <n v="0"/>
    <n v="0"/>
    <n v="131.12"/>
    <n v="0"/>
    <n v="0"/>
    <n v="0"/>
    <n v="0"/>
    <n v="0"/>
    <n v="262.04000000000002"/>
    <n v="131.12"/>
    <n v="0"/>
    <n v="131.12"/>
    <n v="0"/>
    <n v="0"/>
    <n v="0"/>
    <n v="0"/>
    <n v="0"/>
    <n v="0"/>
    <n v="0"/>
    <n v="0"/>
    <n v="0"/>
    <n v="0"/>
    <n v="0"/>
    <n v="0"/>
    <n v="0"/>
    <n v="0"/>
    <n v="0"/>
    <n v="0"/>
    <n v="0"/>
    <n v="0"/>
    <n v="0"/>
    <n v="0"/>
    <n v="0"/>
    <m/>
    <m/>
    <m/>
    <m/>
    <m/>
    <m/>
    <m/>
    <m/>
    <m/>
    <s v="1"/>
    <s v="1"/>
    <s v="1"/>
    <s v="1"/>
    <s v="1"/>
    <m/>
    <m/>
    <m/>
    <m/>
    <m/>
    <m/>
    <m/>
    <m/>
    <m/>
    <m/>
    <m/>
    <m/>
    <m/>
    <m/>
  </r>
  <r>
    <n v="742"/>
    <d v="2025-02-13T00:00:00"/>
    <s v="ZBTF"/>
    <n v="9518517180"/>
    <n v="5"/>
    <s v="9518517180-5"/>
    <m/>
    <s v="Mar'25"/>
    <s v="Released orders"/>
    <x v="1"/>
    <x v="4"/>
    <s v="1000-IPPE"/>
    <n v="4300"/>
    <x v="0"/>
    <m/>
    <m/>
    <m/>
    <m/>
    <s v="PILKHUWA"/>
    <m/>
    <n v="600250"/>
    <s v="TATA CENTER"/>
    <n v="3587949"/>
    <s v="CR COIL TSBSTA EL06 0.500X1250"/>
    <s v=" "/>
    <s v=""/>
    <n v="8"/>
    <n v="14"/>
    <s v="Wider"/>
    <s v="C01"/>
    <s v="TSBSTA"/>
    <s v="EL06"/>
    <n v="0.5"/>
    <n v="1250"/>
    <n v="0"/>
    <n v="290"/>
    <n v="0"/>
    <n v="290"/>
    <n v="290"/>
    <n v="0"/>
    <n v="290"/>
    <m/>
    <m/>
    <n v="290"/>
    <n v="290"/>
    <n v="0"/>
    <n v="324.8"/>
    <n v="0"/>
    <n v="0"/>
    <n v="0"/>
    <n v="0"/>
    <n v="0"/>
    <n v="0"/>
    <n v="0"/>
    <n v="0"/>
    <n v="0"/>
    <n v="0"/>
    <n v="0"/>
    <n v="0"/>
    <n v="0"/>
    <n v="0"/>
    <n v="0"/>
    <n v="0"/>
    <n v="0"/>
    <n v="0"/>
    <n v="0"/>
    <n v="0"/>
    <n v="0"/>
    <n v="0"/>
    <n v="0"/>
    <n v="0"/>
    <n v="290"/>
    <n v="0"/>
    <n v="0"/>
    <n v="0"/>
    <n v="0"/>
    <n v="290"/>
    <n v="290"/>
    <n v="0"/>
    <n v="0"/>
    <n v="0"/>
    <n v="0"/>
    <n v="290"/>
    <n v="0"/>
    <m/>
    <m/>
    <m/>
    <m/>
    <m/>
    <m/>
    <m/>
    <m/>
    <m/>
    <m/>
    <m/>
    <m/>
    <m/>
    <m/>
    <m/>
    <m/>
    <m/>
    <m/>
    <m/>
    <m/>
    <m/>
    <m/>
    <m/>
    <m/>
    <m/>
    <m/>
    <m/>
    <m/>
    <m/>
    <m/>
    <m/>
    <m/>
    <m/>
    <m/>
  </r>
  <r>
    <n v="743"/>
    <d v="2025-02-03T00:00:00"/>
    <s v="ZBTO"/>
    <n v="9518490997"/>
    <n v="7"/>
    <s v="9518490997-7"/>
    <m/>
    <s v="Mar'25"/>
    <s v="Released orders"/>
    <x v="2"/>
    <x v="6"/>
    <s v="2000-BPRS"/>
    <m/>
    <x v="0"/>
    <m/>
    <m/>
    <m/>
    <s v="North"/>
    <s v="KANPUR"/>
    <m/>
    <n v="938789"/>
    <s v="JAIN STEEL DISTRIBUTORS"/>
    <n v="1300228"/>
    <s v="GP COIL SOFT-TATXGP-GLK1-0.5X1220"/>
    <s v="Z80"/>
    <s v=""/>
    <m/>
    <m/>
    <s v="Wider"/>
    <s v="C02"/>
    <s v="TATXGP"/>
    <s v="GLK1"/>
    <n v="0.5"/>
    <n v="1220"/>
    <n v="0"/>
    <n v="28"/>
    <n v="0"/>
    <n v="28"/>
    <n v="28"/>
    <n v="0"/>
    <n v="28"/>
    <m/>
    <m/>
    <n v="28"/>
    <n v="28"/>
    <n v="0"/>
    <n v="31.360000000000003"/>
    <n v="0"/>
    <n v="0"/>
    <n v="0"/>
    <n v="0"/>
    <n v="0"/>
    <n v="0"/>
    <n v="0"/>
    <n v="0"/>
    <n v="0"/>
    <n v="0"/>
    <n v="0"/>
    <n v="0"/>
    <n v="0"/>
    <n v="0"/>
    <n v="0"/>
    <n v="0"/>
    <n v="0"/>
    <n v="0"/>
    <n v="0"/>
    <n v="0"/>
    <n v="0"/>
    <n v="0"/>
    <n v="0"/>
    <n v="0"/>
    <n v="28"/>
    <n v="0"/>
    <n v="0"/>
    <n v="28"/>
    <n v="0"/>
    <n v="0"/>
    <n v="28"/>
    <n v="0"/>
    <n v="0"/>
    <n v="28"/>
    <n v="0"/>
    <n v="0"/>
    <n v="0"/>
    <n v="0"/>
    <n v="0"/>
    <n v="0"/>
    <n v="0"/>
    <n v="0"/>
    <n v="0"/>
    <m/>
    <m/>
    <m/>
    <m/>
    <m/>
    <m/>
    <m/>
    <m/>
    <m/>
    <s v="1"/>
    <s v="1"/>
    <s v="0"/>
    <s v="1"/>
    <s v="1"/>
    <m/>
    <m/>
    <m/>
    <m/>
    <m/>
    <m/>
    <m/>
    <m/>
    <m/>
    <m/>
    <m/>
    <m/>
    <m/>
    <m/>
  </r>
  <r>
    <n v="743"/>
    <d v="2025-02-10T00:00:00"/>
    <s v="ZBTO"/>
    <n v="9518507805"/>
    <n v="2"/>
    <s v="9518507805-2"/>
    <m/>
    <s v="Mar'25"/>
    <s v="Released orders"/>
    <x v="2"/>
    <x v="6"/>
    <s v="2200-BPRS"/>
    <m/>
    <x v="0"/>
    <m/>
    <m/>
    <m/>
    <m/>
    <s v="NAGPUR"/>
    <m/>
    <n v="930519"/>
    <s v="JAUSHNA STEELS (INDIA) PVT. LTD."/>
    <n v="1851101"/>
    <s v="GP COIL SOFT-TATXGP-GK09-0.5X1220"/>
    <s v="Z80"/>
    <s v=""/>
    <n v="3"/>
    <n v="5"/>
    <s v="Wider"/>
    <s v="C02"/>
    <s v="TATXGP"/>
    <s v="GK09"/>
    <n v="0.5"/>
    <n v="1220"/>
    <n v="0"/>
    <n v="28"/>
    <n v="0"/>
    <n v="28"/>
    <n v="28"/>
    <n v="0"/>
    <n v="28"/>
    <m/>
    <m/>
    <n v="28"/>
    <n v="28"/>
    <n v="0"/>
    <n v="31.360000000000003"/>
    <n v="0"/>
    <n v="0"/>
    <n v="0"/>
    <n v="0"/>
    <n v="0"/>
    <n v="0"/>
    <n v="0"/>
    <n v="0"/>
    <n v="0"/>
    <n v="0"/>
    <n v="0"/>
    <n v="0"/>
    <n v="0"/>
    <n v="0"/>
    <n v="0"/>
    <n v="0"/>
    <n v="0"/>
    <n v="0"/>
    <n v="0"/>
    <n v="0"/>
    <n v="0"/>
    <n v="0"/>
    <n v="0"/>
    <n v="0"/>
    <n v="28"/>
    <n v="0"/>
    <n v="0"/>
    <n v="28"/>
    <n v="0"/>
    <n v="0"/>
    <n v="28"/>
    <n v="0"/>
    <n v="0"/>
    <n v="28"/>
    <n v="0"/>
    <n v="0"/>
    <n v="0"/>
    <m/>
    <m/>
    <m/>
    <m/>
    <m/>
    <m/>
    <m/>
    <m/>
    <m/>
    <m/>
    <m/>
    <m/>
    <m/>
    <m/>
    <m/>
    <m/>
    <m/>
    <m/>
    <m/>
    <m/>
    <m/>
    <m/>
    <m/>
    <m/>
    <m/>
    <m/>
    <m/>
    <m/>
    <m/>
    <m/>
    <m/>
    <m/>
    <m/>
    <m/>
  </r>
  <r>
    <n v="742"/>
    <d v="2025-02-17T00:00:00"/>
    <s v="ZBTO"/>
    <n v="9518525571"/>
    <n v="1"/>
    <s v="9518525571-1"/>
    <m/>
    <s v="Mar'25"/>
    <s v="Released orders"/>
    <x v="1"/>
    <x v="1"/>
    <s v="2000-BPRS"/>
    <m/>
    <x v="0"/>
    <s v="Mar"/>
    <m/>
    <m/>
    <m/>
    <s v="HOWRAH"/>
    <m/>
    <n v="925093"/>
    <s v="PSPL STEEL PROCESSORS PRIVATE LIMIT"/>
    <n v="3239408"/>
    <s v="CRCA SHEET TATCRC SR16 0.300X900X2500"/>
    <s v=" "/>
    <s v=""/>
    <n v="2"/>
    <n v="3"/>
    <s v="Narrow"/>
    <s v="C06"/>
    <s v="TATCRC"/>
    <s v="SR16"/>
    <n v="0.3"/>
    <n v="900"/>
    <n v="2500"/>
    <n v="24"/>
    <n v="0"/>
    <n v="24"/>
    <n v="24"/>
    <n v="0"/>
    <n v="24"/>
    <m/>
    <m/>
    <n v="24"/>
    <n v="24"/>
    <n v="0"/>
    <n v="26.880000000000003"/>
    <n v="0"/>
    <n v="0"/>
    <n v="0"/>
    <n v="0"/>
    <n v="0"/>
    <n v="0"/>
    <n v="0"/>
    <n v="0"/>
    <n v="0"/>
    <n v="0"/>
    <n v="0"/>
    <n v="0"/>
    <n v="0"/>
    <n v="0"/>
    <n v="0"/>
    <n v="0"/>
    <n v="0"/>
    <n v="0"/>
    <n v="0"/>
    <n v="0"/>
    <n v="0"/>
    <n v="0"/>
    <n v="0"/>
    <n v="0"/>
    <n v="24"/>
    <n v="0"/>
    <n v="0"/>
    <n v="0"/>
    <n v="0"/>
    <n v="24"/>
    <n v="24"/>
    <n v="0"/>
    <n v="0"/>
    <n v="0"/>
    <n v="0"/>
    <n v="24"/>
    <n v="0"/>
    <m/>
    <m/>
    <m/>
    <m/>
    <m/>
    <m/>
    <m/>
    <m/>
    <m/>
    <m/>
    <m/>
    <m/>
    <m/>
    <m/>
    <m/>
    <m/>
    <m/>
    <m/>
    <m/>
    <m/>
    <m/>
    <m/>
    <m/>
    <m/>
    <m/>
    <m/>
    <m/>
    <m/>
    <m/>
    <m/>
    <m/>
    <m/>
    <m/>
    <m/>
  </r>
  <r>
    <n v="742"/>
    <d v="2025-02-17T00:00:00"/>
    <s v="ZBTO"/>
    <n v="9518525571"/>
    <n v="2"/>
    <s v="9518525571-2"/>
    <m/>
    <s v="Mar'25"/>
    <s v="Released orders"/>
    <x v="1"/>
    <x v="1"/>
    <s v="2000-BPRS"/>
    <m/>
    <x v="0"/>
    <s v="Mar"/>
    <m/>
    <m/>
    <m/>
    <s v="HOWRAH"/>
    <m/>
    <n v="925093"/>
    <s v="PSPL STEEL PROCESSORS PRIVATE LIMIT"/>
    <n v="3533340"/>
    <s v="CRCA SHEET TATCRC SR16 0.450X1120X2000"/>
    <s v=" "/>
    <s v=""/>
    <n v="2"/>
    <n v="3"/>
    <s v="Narrow"/>
    <s v="C06"/>
    <s v="TATCRC"/>
    <s v="SR16"/>
    <n v="0.45"/>
    <n v="1120"/>
    <n v="2000"/>
    <n v="24"/>
    <n v="0"/>
    <n v="24"/>
    <n v="24"/>
    <n v="24.32"/>
    <n v="-0.32"/>
    <m/>
    <n v="0"/>
    <n v="24"/>
    <n v="24"/>
    <n v="0"/>
    <n v="-0.80639999999999878"/>
    <n v="0"/>
    <n v="24.72"/>
    <n v="0"/>
    <n v="0"/>
    <n v="0"/>
    <n v="0"/>
    <n v="0"/>
    <n v="0"/>
    <n v="0"/>
    <n v="0"/>
    <n v="0"/>
    <n v="0"/>
    <n v="0"/>
    <n v="0"/>
    <n v="0"/>
    <n v="0"/>
    <n v="0"/>
    <n v="0"/>
    <n v="24.72"/>
    <n v="0"/>
    <n v="0"/>
    <n v="0"/>
    <n v="24.32"/>
    <n v="0"/>
    <n v="24"/>
    <n v="0"/>
    <n v="24"/>
    <n v="0"/>
    <n v="0"/>
    <n v="0"/>
    <n v="24"/>
    <n v="0"/>
    <n v="24"/>
    <n v="0"/>
    <n v="0"/>
    <n v="0"/>
    <n v="0"/>
    <m/>
    <m/>
    <m/>
    <m/>
    <m/>
    <m/>
    <m/>
    <m/>
    <m/>
    <m/>
    <m/>
    <m/>
    <m/>
    <m/>
    <m/>
    <m/>
    <m/>
    <m/>
    <m/>
    <m/>
    <m/>
    <m/>
    <m/>
    <m/>
    <m/>
    <m/>
    <m/>
    <m/>
    <m/>
    <m/>
    <m/>
    <m/>
    <m/>
    <m/>
  </r>
  <r>
    <n v="742"/>
    <d v="2025-02-17T00:00:00"/>
    <s v="ZBTO"/>
    <n v="9518525571"/>
    <n v="3"/>
    <s v="9518525571-3"/>
    <m/>
    <s v="Mar'25"/>
    <s v="Released orders"/>
    <x v="1"/>
    <x v="1"/>
    <s v="2000-BPRS"/>
    <m/>
    <x v="0"/>
    <s v="Mar"/>
    <m/>
    <m/>
    <m/>
    <s v="HOWRAH"/>
    <m/>
    <n v="925093"/>
    <s v="PSPL STEEL PROCESSORS PRIVATE LIMIT"/>
    <n v="3627096"/>
    <s v="CRCA SHEET TSBCRC SR15 0.800X1120X2000"/>
    <s v=" "/>
    <s v=""/>
    <n v="2"/>
    <n v="3"/>
    <s v="Narrow"/>
    <s v="C06"/>
    <s v="TSBCRC"/>
    <s v="SR15"/>
    <n v="0.8"/>
    <n v="1120"/>
    <n v="2000"/>
    <n v="24"/>
    <n v="0"/>
    <n v="24"/>
    <n v="24"/>
    <n v="0"/>
    <n v="24"/>
    <m/>
    <m/>
    <n v="24"/>
    <n v="24"/>
    <n v="0"/>
    <n v="26.880000000000003"/>
    <n v="0"/>
    <n v="0"/>
    <n v="0"/>
    <n v="0"/>
    <n v="0"/>
    <n v="0"/>
    <n v="0"/>
    <n v="0"/>
    <n v="0"/>
    <n v="0"/>
    <n v="0"/>
    <n v="0"/>
    <n v="0"/>
    <n v="0"/>
    <n v="0"/>
    <n v="0"/>
    <n v="0"/>
    <n v="0"/>
    <n v="0"/>
    <n v="0"/>
    <n v="0"/>
    <n v="0"/>
    <n v="0"/>
    <n v="0"/>
    <n v="24"/>
    <n v="0"/>
    <n v="0"/>
    <n v="0"/>
    <n v="24"/>
    <n v="0"/>
    <n v="24"/>
    <n v="0"/>
    <n v="0"/>
    <n v="0"/>
    <n v="24"/>
    <n v="0"/>
    <n v="0"/>
    <m/>
    <m/>
    <m/>
    <m/>
    <m/>
    <m/>
    <m/>
    <m/>
    <m/>
    <m/>
    <m/>
    <m/>
    <m/>
    <m/>
    <m/>
    <m/>
    <m/>
    <m/>
    <m/>
    <m/>
    <m/>
    <m/>
    <m/>
    <m/>
    <m/>
    <m/>
    <m/>
    <m/>
    <m/>
    <m/>
    <m/>
    <m/>
    <m/>
    <m/>
  </r>
  <r>
    <n v="743"/>
    <d v="2025-02-05T00:00:00"/>
    <s v="ZBTO"/>
    <n v="9518495843"/>
    <n v="1"/>
    <s v="9518495843-1"/>
    <m/>
    <s v="Mar'25"/>
    <s v="Released orders"/>
    <x v="2"/>
    <x v="2"/>
    <n v="2000"/>
    <m/>
    <x v="0"/>
    <m/>
    <m/>
    <s v="West Bengal"/>
    <m/>
    <m/>
    <m/>
    <n v="100922"/>
    <s v="BUBNA COMMERCIAL COMPANY"/>
    <n v="1851065"/>
    <s v="GP COIL SOFT-TATXGP-GK09-0.25X900"/>
    <s v=""/>
    <s v=""/>
    <m/>
    <m/>
    <s v="Narrow"/>
    <s v="C02"/>
    <s v="TATXGP"/>
    <s v="GK09"/>
    <n v="0.25"/>
    <n v="900"/>
    <n v="0"/>
    <n v="63"/>
    <n v="0"/>
    <n v="63"/>
    <n v="63"/>
    <n v="0"/>
    <n v="63"/>
    <m/>
    <m/>
    <n v="63"/>
    <n v="63"/>
    <n v="0"/>
    <n v="70.56"/>
    <n v="0"/>
    <n v="0"/>
    <n v="0"/>
    <n v="0"/>
    <n v="0"/>
    <n v="0"/>
    <n v="0"/>
    <n v="0"/>
    <n v="0"/>
    <n v="0"/>
    <n v="0"/>
    <n v="0"/>
    <n v="0"/>
    <n v="0"/>
    <n v="0"/>
    <n v="0"/>
    <n v="0"/>
    <n v="0"/>
    <n v="0"/>
    <n v="0"/>
    <n v="0"/>
    <n v="0"/>
    <n v="0"/>
    <n v="0"/>
    <n v="63"/>
    <n v="0"/>
    <n v="0"/>
    <n v="0"/>
    <n v="63"/>
    <n v="0"/>
    <n v="63"/>
    <n v="0"/>
    <n v="0"/>
    <n v="0"/>
    <n v="63"/>
    <n v="0"/>
    <n v="0"/>
    <m/>
    <m/>
    <m/>
    <m/>
    <m/>
    <m/>
    <m/>
    <m/>
    <m/>
    <m/>
    <m/>
    <m/>
    <m/>
    <m/>
    <m/>
    <m/>
    <m/>
    <m/>
    <m/>
    <m/>
    <m/>
    <m/>
    <m/>
    <m/>
    <m/>
    <m/>
    <m/>
    <m/>
    <m/>
    <m/>
    <m/>
    <m/>
    <m/>
    <m/>
  </r>
  <r>
    <n v="742"/>
    <d v="2025-02-10T00:00:00"/>
    <s v="ZBTO"/>
    <n v="9518507185"/>
    <n v="11"/>
    <s v="9518507185-11"/>
    <m/>
    <s v="Mar'25"/>
    <s v="Released orders"/>
    <x v="1"/>
    <x v="1"/>
    <s v="2000-BPRS"/>
    <m/>
    <x v="0"/>
    <s v="Mar"/>
    <m/>
    <m/>
    <m/>
    <s v="WEST BOKARO"/>
    <m/>
    <n v="185794"/>
    <s v="Shree Bajrang Steel Udyog"/>
    <n v="3240778"/>
    <s v="CRCA SHEET TSBCRC SR15 0.600X1000X2500"/>
    <s v=" "/>
    <s v=""/>
    <n v="2.8"/>
    <n v="3.2"/>
    <s v="Narrow"/>
    <s v="C06"/>
    <s v="TSBCRC"/>
    <s v="SR15"/>
    <n v="0.6"/>
    <n v="1000"/>
    <n v="2500"/>
    <n v="21"/>
    <n v="0"/>
    <n v="21"/>
    <n v="21"/>
    <n v="0"/>
    <n v="21"/>
    <m/>
    <m/>
    <n v="21"/>
    <n v="21"/>
    <n v="0"/>
    <n v="23.520000000000003"/>
    <n v="0"/>
    <n v="0"/>
    <n v="0"/>
    <n v="0"/>
    <n v="0"/>
    <n v="0"/>
    <n v="0"/>
    <n v="0"/>
    <n v="0"/>
    <n v="0"/>
    <n v="0"/>
    <n v="0"/>
    <n v="0"/>
    <n v="0"/>
    <n v="0"/>
    <n v="0"/>
    <n v="0"/>
    <n v="0"/>
    <n v="0"/>
    <n v="0"/>
    <n v="0"/>
    <n v="0"/>
    <n v="0"/>
    <n v="0"/>
    <n v="21"/>
    <n v="0"/>
    <n v="0"/>
    <n v="0"/>
    <n v="0"/>
    <n v="21"/>
    <n v="21"/>
    <n v="0"/>
    <n v="0"/>
    <n v="0"/>
    <n v="0"/>
    <n v="21"/>
    <n v="0"/>
    <m/>
    <m/>
    <m/>
    <m/>
    <m/>
    <m/>
    <m/>
    <m/>
    <m/>
    <m/>
    <m/>
    <m/>
    <m/>
    <m/>
    <m/>
    <m/>
    <m/>
    <m/>
    <m/>
    <m/>
    <m/>
    <m/>
    <m/>
    <m/>
    <m/>
    <m/>
    <m/>
    <m/>
    <m/>
    <m/>
    <m/>
    <m/>
    <m/>
    <m/>
  </r>
  <r>
    <n v="743"/>
    <d v="2025-02-18T00:00:00"/>
    <s v="ZBTO"/>
    <n v="9518528641"/>
    <n v="1"/>
    <s v="9518528641-1"/>
    <m/>
    <s v="No Priority"/>
    <s v="Released orders"/>
    <x v="2"/>
    <x v="2"/>
    <s v="2000-BPRS"/>
    <m/>
    <x v="1"/>
    <m/>
    <m/>
    <m/>
    <m/>
    <s v="WEST BENGAL"/>
    <m/>
    <n v="100922"/>
    <s v="BUBNA COMMERCIAL COMPANY"/>
    <n v="1191956"/>
    <s v="GP COIL SOFT-TATXGP-GK09-0.35X900"/>
    <s v="Z80"/>
    <s v=""/>
    <n v="5"/>
    <n v="15"/>
    <s v="Narrow"/>
    <s v="C02"/>
    <s v="TATXGP"/>
    <s v="GK09"/>
    <n v="0.35"/>
    <n v="900"/>
    <n v="0"/>
    <n v="42"/>
    <n v="33.03"/>
    <n v="28.905000000000001"/>
    <n v="8.9700000000000006"/>
    <n v="4.17"/>
    <n v="0"/>
    <m/>
    <m/>
    <n v="0"/>
    <n v="8.9700000000000006"/>
    <n v="0"/>
    <n v="0"/>
    <n v="0"/>
    <n v="0"/>
    <n v="0"/>
    <n v="0"/>
    <n v="0"/>
    <n v="1"/>
    <n v="0"/>
    <n v="0"/>
    <n v="0"/>
    <n v="0"/>
    <n v="0"/>
    <n v="0"/>
    <n v="0"/>
    <n v="0"/>
    <n v="0"/>
    <n v="0"/>
    <n v="9.8250000000000011"/>
    <n v="4.17"/>
    <n v="14.995000000000001"/>
    <n v="14.995000000000001"/>
    <n v="0"/>
    <n v="14.995000000000001"/>
    <n v="4.17"/>
    <n v="0"/>
    <n v="0"/>
    <n v="0"/>
    <n v="0"/>
    <n v="0"/>
    <n v="0"/>
    <n v="0"/>
    <n v="0"/>
    <n v="0"/>
    <n v="0"/>
    <n v="0"/>
    <n v="0"/>
    <n v="0"/>
    <n v="0"/>
    <m/>
    <m/>
    <m/>
    <m/>
    <m/>
    <m/>
    <m/>
    <m/>
    <m/>
    <m/>
    <m/>
    <m/>
    <m/>
    <m/>
    <m/>
    <m/>
    <m/>
    <m/>
    <m/>
    <m/>
    <m/>
    <m/>
    <m/>
    <m/>
    <m/>
    <m/>
    <m/>
    <m/>
    <m/>
    <m/>
    <m/>
    <m/>
    <m/>
    <m/>
  </r>
  <r>
    <n v="742"/>
    <d v="2025-01-02T00:00:00"/>
    <s v="ZBTO"/>
    <n v="9518400614"/>
    <n v="2"/>
    <s v="9518400614-2"/>
    <m/>
    <s v="No Priority"/>
    <s v="Released orders"/>
    <x v="1"/>
    <x v="3"/>
    <s v="2000-BPRS"/>
    <m/>
    <x v="1"/>
    <s v="Mar"/>
    <s v="Beyond HSM rollability"/>
    <m/>
    <m/>
    <s v="COCHIN HARBOUR "/>
    <m/>
    <n v="116650"/>
    <s v="KUMMENCHERY STEELS"/>
    <n v="1804914"/>
    <s v="CRCA COIL TATCRC TR15 0.6X1000"/>
    <s v=" "/>
    <s v=""/>
    <n v="6"/>
    <n v="18"/>
    <s v="Narrow"/>
    <s v="C01"/>
    <s v="TATCRC"/>
    <s v="TR15"/>
    <n v="0.6"/>
    <n v="1000"/>
    <n v="0"/>
    <n v="46"/>
    <n v="0"/>
    <n v="46"/>
    <n v="46"/>
    <n v="0"/>
    <n v="46"/>
    <m/>
    <m/>
    <n v="46"/>
    <n v="46"/>
    <n v="0"/>
    <n v="51.52"/>
    <n v="0"/>
    <n v="0"/>
    <n v="0"/>
    <n v="0"/>
    <n v="0"/>
    <n v="0"/>
    <n v="0"/>
    <n v="0"/>
    <n v="0"/>
    <n v="0"/>
    <n v="0"/>
    <n v="0"/>
    <n v="0"/>
    <n v="0"/>
    <n v="0"/>
    <n v="0"/>
    <n v="0"/>
    <n v="0"/>
    <n v="0"/>
    <n v="0"/>
    <n v="0"/>
    <n v="0"/>
    <n v="0"/>
    <n v="0"/>
    <n v="0"/>
    <n v="0"/>
    <n v="0"/>
    <n v="0"/>
    <n v="0"/>
    <n v="0"/>
    <n v="0"/>
    <n v="0"/>
    <n v="0"/>
    <n v="0"/>
    <n v="0"/>
    <n v="0"/>
    <n v="0"/>
    <m/>
    <m/>
    <m/>
    <m/>
    <m/>
    <m/>
    <m/>
    <m/>
    <m/>
    <m/>
    <m/>
    <m/>
    <m/>
    <m/>
    <m/>
    <m/>
    <m/>
    <m/>
    <m/>
    <m/>
    <m/>
    <m/>
    <m/>
    <m/>
    <m/>
    <m/>
    <m/>
    <m/>
    <m/>
    <m/>
    <m/>
    <m/>
    <m/>
    <m/>
  </r>
  <r>
    <n v="742"/>
    <d v="2025-01-31T00:00:00"/>
    <s v="ZBTO"/>
    <n v="9518480825"/>
    <n v="1"/>
    <s v="9518480825-1"/>
    <m/>
    <s v="Mar'25"/>
    <s v="Released orders"/>
    <x v="1"/>
    <x v="5"/>
    <s v="1000-IPPE"/>
    <m/>
    <x v="0"/>
    <m/>
    <m/>
    <m/>
    <m/>
    <s v="VISHAKHAPATNAM"/>
    <m/>
    <n v="186001"/>
    <s v="BABA CONTAINER MANUFACTURERS"/>
    <n v="3867646"/>
    <s v="CR COIL TATXXD BT04 0.600X900"/>
    <s v=" "/>
    <s v=""/>
    <n v="4"/>
    <n v="7"/>
    <s v="Narrow"/>
    <s v="C01"/>
    <s v="TATXXD"/>
    <s v="BT04"/>
    <n v="0.6"/>
    <n v="900"/>
    <n v="0"/>
    <n v="126"/>
    <n v="0"/>
    <n v="126"/>
    <n v="126"/>
    <n v="0"/>
    <n v="126"/>
    <m/>
    <m/>
    <n v="126"/>
    <n v="126"/>
    <n v="0"/>
    <n v="141.12"/>
    <n v="0"/>
    <n v="0"/>
    <n v="0"/>
    <n v="0"/>
    <n v="0"/>
    <n v="0"/>
    <n v="0"/>
    <n v="0"/>
    <n v="0"/>
    <n v="0"/>
    <n v="0"/>
    <n v="0"/>
    <n v="0"/>
    <n v="0"/>
    <n v="0"/>
    <n v="0"/>
    <n v="0"/>
    <n v="0"/>
    <n v="0"/>
    <n v="0"/>
    <n v="0"/>
    <n v="0"/>
    <n v="0"/>
    <n v="0"/>
    <n v="126"/>
    <n v="0"/>
    <n v="126"/>
    <n v="0"/>
    <n v="0"/>
    <n v="0"/>
    <n v="126"/>
    <n v="0"/>
    <n v="126"/>
    <n v="0"/>
    <n v="0"/>
    <n v="0"/>
    <n v="0"/>
    <m/>
    <m/>
    <m/>
    <m/>
    <m/>
    <m/>
    <m/>
    <m/>
    <m/>
    <m/>
    <m/>
    <m/>
    <m/>
    <m/>
    <m/>
    <m/>
    <m/>
    <m/>
    <m/>
    <m/>
    <m/>
    <m/>
    <m/>
    <m/>
    <m/>
    <m/>
    <m/>
    <m/>
    <m/>
    <m/>
    <m/>
    <m/>
    <m/>
    <m/>
  </r>
  <r>
    <n v="742"/>
    <d v="2025-02-06T00:00:00"/>
    <s v="ZBTO"/>
    <n v="9518497626"/>
    <n v="15"/>
    <s v="9518497626-15"/>
    <m/>
    <s v="Mar'25"/>
    <s v="Released orders"/>
    <x v="1"/>
    <x v="1"/>
    <s v="2000-BPRS"/>
    <m/>
    <x v="0"/>
    <s v="Mar"/>
    <m/>
    <m/>
    <m/>
    <s v="VISHAKHAPATNAM"/>
    <m/>
    <n v="946077"/>
    <s v="SITARAM IRON AND STEEL PVT LTD"/>
    <n v="3240805"/>
    <s v="CRCA SHEET TSBCRC SR15 0.800X1000X2500"/>
    <s v=" "/>
    <s v=""/>
    <n v="0"/>
    <n v="0"/>
    <s v="Narrow"/>
    <s v="C06"/>
    <s v="TSBCRC"/>
    <s v="SR15"/>
    <n v="0.8"/>
    <n v="1000"/>
    <n v="2500"/>
    <n v="21"/>
    <n v="0"/>
    <n v="21"/>
    <n v="21"/>
    <n v="0"/>
    <n v="21"/>
    <m/>
    <m/>
    <n v="21"/>
    <n v="21"/>
    <n v="0"/>
    <n v="23.520000000000003"/>
    <n v="0"/>
    <n v="0"/>
    <n v="0"/>
    <n v="0"/>
    <n v="0"/>
    <n v="0"/>
    <n v="0"/>
    <n v="0"/>
    <n v="0"/>
    <n v="0"/>
    <n v="0"/>
    <n v="0"/>
    <n v="0"/>
    <n v="0"/>
    <n v="0"/>
    <n v="0"/>
    <n v="0"/>
    <n v="0"/>
    <n v="0"/>
    <n v="0"/>
    <n v="0"/>
    <n v="0"/>
    <n v="0"/>
    <n v="0"/>
    <n v="21"/>
    <n v="0"/>
    <n v="0"/>
    <n v="0"/>
    <n v="0"/>
    <n v="21"/>
    <n v="21"/>
    <n v="0"/>
    <n v="0"/>
    <n v="0"/>
    <n v="0"/>
    <n v="21"/>
    <n v="0"/>
    <m/>
    <m/>
    <m/>
    <m/>
    <m/>
    <m/>
    <m/>
    <m/>
    <m/>
    <m/>
    <m/>
    <m/>
    <m/>
    <m/>
    <m/>
    <m/>
    <m/>
    <m/>
    <m/>
    <m/>
    <m/>
    <m/>
    <m/>
    <m/>
    <m/>
    <m/>
    <m/>
    <m/>
    <m/>
    <m/>
    <m/>
    <m/>
    <m/>
    <m/>
  </r>
  <r>
    <n v="742"/>
    <d v="2025-01-03T00:00:00"/>
    <s v="ZBTO"/>
    <n v="9518403237"/>
    <n v="7"/>
    <s v="9518403237-7"/>
    <m/>
    <s v="No Priority"/>
    <s v="Failed orders"/>
    <x v="1"/>
    <x v="1"/>
    <n v="2000"/>
    <m/>
    <x v="1"/>
    <m/>
    <m/>
    <s v="Jharkhand"/>
    <m/>
    <m/>
    <m/>
    <n v="121328"/>
    <s v="R. S. BOKARO METAL (P) LTD."/>
    <n v="2441004"/>
    <s v="CRCA SHEET TATCRC SR16 0.430X1250X2500"/>
    <s v=""/>
    <s v=""/>
    <m/>
    <m/>
    <s v="Wider"/>
    <s v="C06"/>
    <s v="TATCRC"/>
    <s v="SR16"/>
    <n v="0.43"/>
    <n v="1250"/>
    <n v="2500"/>
    <n v="29"/>
    <e v="#N/A"/>
    <n v="29"/>
    <n v="29"/>
    <e v="#N/A"/>
    <e v="#N/A"/>
    <n v="29"/>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1-03T00:00:00"/>
    <s v="ZBTF"/>
    <n v="9518403770"/>
    <n v="1"/>
    <s v="9518403770-1"/>
    <m/>
    <s v="Mar'25"/>
    <s v="Released orders"/>
    <x v="1"/>
    <x v="9"/>
    <s v="2000-BPRS"/>
    <m/>
    <x v="0"/>
    <m/>
    <m/>
    <m/>
    <m/>
    <s v="YESHWANTHPURA"/>
    <m/>
    <n v="600103"/>
    <s v="TATA STEEL LIMITED"/>
    <n v="3820032"/>
    <s v="CR COIL TATXHS BR45 2X1300"/>
    <s v=" "/>
    <s v=""/>
    <n v="10"/>
    <n v="27"/>
    <s v="Wider"/>
    <s v="C01"/>
    <s v="TATXHS"/>
    <s v="BR45"/>
    <n v="2"/>
    <n v="1300"/>
    <n v="0"/>
    <n v="120"/>
    <n v="0"/>
    <n v="120"/>
    <n v="120"/>
    <n v="0"/>
    <n v="120"/>
    <m/>
    <m/>
    <n v="120"/>
    <n v="120"/>
    <n v="0"/>
    <n v="134.4"/>
    <n v="0"/>
    <n v="0"/>
    <n v="0"/>
    <n v="0"/>
    <n v="0"/>
    <n v="0"/>
    <n v="0"/>
    <n v="0"/>
    <n v="0"/>
    <n v="0"/>
    <n v="0"/>
    <n v="0"/>
    <n v="0"/>
    <n v="0"/>
    <n v="0"/>
    <n v="0"/>
    <n v="0"/>
    <n v="0"/>
    <n v="0"/>
    <n v="0"/>
    <n v="0"/>
    <n v="0"/>
    <n v="0"/>
    <n v="0"/>
    <n v="120"/>
    <n v="0"/>
    <n v="0"/>
    <n v="0"/>
    <n v="0"/>
    <n v="120"/>
    <n v="120"/>
    <n v="0"/>
    <n v="0"/>
    <n v="0"/>
    <n v="0"/>
    <n v="120"/>
    <n v="0"/>
    <m/>
    <m/>
    <m/>
    <m/>
    <m/>
    <m/>
    <m/>
    <m/>
    <m/>
    <m/>
    <m/>
    <m/>
    <m/>
    <m/>
    <m/>
    <m/>
    <m/>
    <m/>
    <m/>
    <m/>
    <m/>
    <m/>
    <m/>
    <m/>
    <m/>
    <m/>
    <m/>
    <m/>
    <m/>
    <m/>
    <m/>
    <m/>
    <m/>
    <m/>
  </r>
  <r>
    <n v="743"/>
    <d v="2025-02-10T00:00:00"/>
    <s v="ZBTO"/>
    <n v="9518508302"/>
    <n v="3"/>
    <s v="9518508302-3"/>
    <m/>
    <s v="Mar'25"/>
    <s v="Released orders"/>
    <x v="2"/>
    <x v="6"/>
    <s v="2000-BPRS"/>
    <m/>
    <x v="0"/>
    <m/>
    <m/>
    <m/>
    <m/>
    <s v="WEST BOKARO"/>
    <m/>
    <n v="185794"/>
    <s v="Shree Bajrang Steel Udyog"/>
    <n v="1300228"/>
    <s v="GP COIL SOFT-TATXGP-GLK1-0.5X1220"/>
    <s v="Z80"/>
    <s v=""/>
    <n v="4"/>
    <n v="12"/>
    <s v="Wider"/>
    <s v="C02"/>
    <s v="TATXGP"/>
    <s v="GLK1"/>
    <n v="0.5"/>
    <n v="1220"/>
    <n v="0"/>
    <n v="28"/>
    <n v="0"/>
    <n v="28"/>
    <n v="28"/>
    <n v="0"/>
    <n v="28"/>
    <m/>
    <m/>
    <n v="28"/>
    <n v="28"/>
    <n v="0"/>
    <n v="31.360000000000003"/>
    <n v="0"/>
    <n v="0"/>
    <n v="0"/>
    <n v="0"/>
    <n v="0"/>
    <n v="0"/>
    <n v="0"/>
    <n v="0"/>
    <n v="0"/>
    <n v="0"/>
    <n v="0"/>
    <n v="0"/>
    <n v="0"/>
    <n v="0"/>
    <n v="0"/>
    <n v="0"/>
    <n v="0"/>
    <n v="0"/>
    <n v="0"/>
    <n v="0"/>
    <n v="0"/>
    <n v="0"/>
    <n v="0"/>
    <n v="0"/>
    <n v="28"/>
    <n v="0"/>
    <n v="0"/>
    <n v="28"/>
    <n v="0"/>
    <n v="0"/>
    <n v="28"/>
    <n v="0"/>
    <n v="0"/>
    <n v="28"/>
    <n v="0"/>
    <n v="0"/>
    <n v="0"/>
    <m/>
    <m/>
    <m/>
    <m/>
    <m/>
    <m/>
    <m/>
    <m/>
    <m/>
    <m/>
    <m/>
    <m/>
    <m/>
    <m/>
    <m/>
    <m/>
    <m/>
    <m/>
    <m/>
    <m/>
    <m/>
    <m/>
    <m/>
    <m/>
    <m/>
    <m/>
    <m/>
    <m/>
    <m/>
    <m/>
    <m/>
    <m/>
    <m/>
    <m/>
  </r>
  <r>
    <n v="743"/>
    <d v="2025-02-17T00:00:00"/>
    <s v="ZBTO"/>
    <n v="9518527077"/>
    <n v="1"/>
    <s v="9518527077-1"/>
    <m/>
    <s v="Mar'25"/>
    <s v="Released orders"/>
    <x v="2"/>
    <x v="6"/>
    <s v="2000-BPRS"/>
    <m/>
    <x v="0"/>
    <m/>
    <m/>
    <m/>
    <m/>
    <s v="COCHIN HARBOUR "/>
    <m/>
    <n v="116650"/>
    <s v="KUMMENCHERY STEELS"/>
    <n v="1300228"/>
    <s v="GP COIL SOFT-TATXGP-GLK1-0.5X1220"/>
    <s v="Z80"/>
    <s v=""/>
    <n v="6"/>
    <n v="11"/>
    <s v="Wider"/>
    <s v="C02"/>
    <s v="TATXGP"/>
    <s v="GLK1"/>
    <n v="0.5"/>
    <n v="1220"/>
    <n v="0"/>
    <n v="28"/>
    <n v="0"/>
    <n v="28"/>
    <n v="28"/>
    <n v="0"/>
    <n v="28"/>
    <m/>
    <m/>
    <n v="28"/>
    <n v="28"/>
    <n v="0"/>
    <n v="31.360000000000003"/>
    <n v="0"/>
    <n v="0"/>
    <n v="0"/>
    <n v="0"/>
    <n v="0"/>
    <n v="0"/>
    <n v="0"/>
    <n v="0"/>
    <n v="0"/>
    <n v="0"/>
    <n v="0"/>
    <n v="0"/>
    <n v="0"/>
    <n v="0"/>
    <n v="0"/>
    <n v="0"/>
    <n v="0"/>
    <n v="0"/>
    <n v="0"/>
    <n v="0"/>
    <n v="0"/>
    <n v="0"/>
    <n v="0"/>
    <n v="0"/>
    <n v="28"/>
    <n v="0"/>
    <n v="0"/>
    <n v="28"/>
    <n v="0"/>
    <n v="0"/>
    <n v="28"/>
    <n v="0"/>
    <n v="0"/>
    <n v="28"/>
    <n v="0"/>
    <n v="0"/>
    <n v="0"/>
    <m/>
    <m/>
    <m/>
    <m/>
    <m/>
    <m/>
    <m/>
    <m/>
    <m/>
    <m/>
    <m/>
    <m/>
    <m/>
    <m/>
    <m/>
    <m/>
    <m/>
    <m/>
    <m/>
    <m/>
    <m/>
    <m/>
    <m/>
    <m/>
    <m/>
    <m/>
    <m/>
    <m/>
    <m/>
    <m/>
    <m/>
    <m/>
    <m/>
    <m/>
  </r>
  <r>
    <n v="742"/>
    <d v="2025-02-05T00:00:00"/>
    <s v="ZBTO"/>
    <n v="9518495920"/>
    <n v="7"/>
    <s v="9518495920-7"/>
    <m/>
    <s v="Mar'25 additional"/>
    <s v="Released orders"/>
    <x v="1"/>
    <x v="1"/>
    <n v="2000"/>
    <m/>
    <x v="1"/>
    <m/>
    <m/>
    <s v="Uttar Pradesh"/>
    <m/>
    <m/>
    <m/>
    <n v="931525"/>
    <s v="INDIA STEEL INDUSTRIES"/>
    <n v="3240761"/>
    <s v="CRCA SHEET TSBCRC SR15 0.500X1250X2030"/>
    <s v=""/>
    <s v=""/>
    <m/>
    <m/>
    <s v="Wider"/>
    <s v="C06"/>
    <s v="TSBCRC"/>
    <s v="SR15"/>
    <n v="0.5"/>
    <n v="1250"/>
    <n v="2030"/>
    <n v="27"/>
    <n v="0"/>
    <n v="27"/>
    <n v="27"/>
    <e v="#N/A"/>
    <e v="#N/A"/>
    <m/>
    <n v="0"/>
    <n v="27"/>
    <n v="27"/>
    <n v="0"/>
    <n v="30.24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8906"/>
    <n v="3"/>
    <s v="9518518906-3"/>
    <m/>
    <s v="No Priority"/>
    <s v="Failed orders"/>
    <x v="1"/>
    <x v="1"/>
    <n v="2000"/>
    <m/>
    <x v="1"/>
    <s v="Mar"/>
    <m/>
    <s v="Uttar Pradesh"/>
    <m/>
    <m/>
    <m/>
    <n v="931525"/>
    <s v="INDIA STEEL INDUSTRIES"/>
    <n v="3240761"/>
    <s v="CRCA SHEET TSBCRC SR15 0.500X1250X2030"/>
    <s v=""/>
    <s v=""/>
    <m/>
    <m/>
    <s v="Wider"/>
    <s v="C06"/>
    <s v="TSBCRC"/>
    <s v="SR15"/>
    <n v="0.5"/>
    <n v="1250"/>
    <n v="203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17"/>
    <s v="9518497626-17"/>
    <m/>
    <s v="Mar'25"/>
    <s v="Released orders"/>
    <x v="1"/>
    <x v="1"/>
    <s v="2000-BPRS"/>
    <m/>
    <x v="0"/>
    <s v="Mar"/>
    <m/>
    <m/>
    <m/>
    <s v="VISHAKHAPATNAM"/>
    <m/>
    <n v="946077"/>
    <s v="SITARAM IRON AND STEEL PVT LTD"/>
    <n v="3410102"/>
    <s v="CRCA SHEET TSBCRC SR15 0.950X1000X2500"/>
    <s v=" "/>
    <s v=""/>
    <n v="0"/>
    <n v="0"/>
    <s v="Narrow"/>
    <s v="C06"/>
    <s v="TSBCRC"/>
    <s v="SR15"/>
    <n v="0.95"/>
    <n v="1000"/>
    <n v="2500"/>
    <n v="21"/>
    <n v="0"/>
    <n v="21"/>
    <n v="21"/>
    <n v="0"/>
    <n v="21"/>
    <m/>
    <m/>
    <n v="21"/>
    <n v="21"/>
    <n v="0"/>
    <n v="23.520000000000003"/>
    <n v="0"/>
    <n v="0"/>
    <n v="0"/>
    <n v="0"/>
    <n v="0"/>
    <n v="0"/>
    <n v="0"/>
    <n v="0"/>
    <n v="0"/>
    <n v="0"/>
    <n v="0"/>
    <n v="0"/>
    <n v="0"/>
    <n v="0"/>
    <n v="0"/>
    <n v="0"/>
    <n v="0"/>
    <n v="0"/>
    <n v="0"/>
    <n v="0"/>
    <n v="0"/>
    <n v="0"/>
    <n v="0"/>
    <n v="0"/>
    <n v="21"/>
    <n v="0"/>
    <n v="0"/>
    <n v="0"/>
    <n v="0"/>
    <n v="21"/>
    <n v="21"/>
    <n v="0"/>
    <n v="0"/>
    <n v="0"/>
    <n v="0"/>
    <n v="21"/>
    <n v="0"/>
    <m/>
    <m/>
    <m/>
    <m/>
    <m/>
    <m/>
    <m/>
    <m/>
    <m/>
    <m/>
    <m/>
    <m/>
    <m/>
    <m/>
    <m/>
    <m/>
    <m/>
    <m/>
    <m/>
    <m/>
    <m/>
    <m/>
    <m/>
    <m/>
    <m/>
    <m/>
    <m/>
    <m/>
    <m/>
    <m/>
    <m/>
    <m/>
    <m/>
    <m/>
  </r>
  <r>
    <n v="742"/>
    <d v="2025-02-06T00:00:00"/>
    <s v="ZBTO"/>
    <n v="9518497626"/>
    <n v="19"/>
    <s v="9518497626-19"/>
    <m/>
    <s v="Mar'25"/>
    <s v="Released orders"/>
    <x v="1"/>
    <x v="1"/>
    <s v="2000-BPRS"/>
    <m/>
    <x v="0"/>
    <s v="Mar"/>
    <m/>
    <m/>
    <m/>
    <s v="VISHAKHAPATNAM"/>
    <m/>
    <n v="946077"/>
    <s v="SITARAM IRON AND STEEL PVT LTD"/>
    <n v="3240836"/>
    <s v="CRCA SHEET TSBCRC SR15 1X1000X2500"/>
    <s v=" "/>
    <s v=""/>
    <n v="0"/>
    <n v="0"/>
    <s v="Narrow"/>
    <s v="C06"/>
    <s v="TSBCRC"/>
    <s v="SR15"/>
    <n v="1"/>
    <n v="1000"/>
    <n v="2500"/>
    <n v="21"/>
    <n v="0"/>
    <n v="21"/>
    <n v="21"/>
    <n v="0"/>
    <n v="21"/>
    <m/>
    <m/>
    <n v="21"/>
    <n v="21"/>
    <n v="0"/>
    <n v="23.520000000000003"/>
    <n v="0"/>
    <n v="0"/>
    <n v="0"/>
    <n v="0"/>
    <n v="0"/>
    <n v="0"/>
    <n v="0"/>
    <n v="0"/>
    <n v="0"/>
    <n v="0"/>
    <n v="0"/>
    <n v="0"/>
    <n v="0"/>
    <n v="0"/>
    <n v="0"/>
    <n v="0"/>
    <n v="0"/>
    <n v="0"/>
    <n v="0"/>
    <n v="0"/>
    <n v="0"/>
    <n v="0"/>
    <n v="0"/>
    <n v="0"/>
    <n v="21"/>
    <n v="0"/>
    <n v="0"/>
    <n v="0"/>
    <n v="0"/>
    <n v="21"/>
    <n v="21"/>
    <n v="0"/>
    <n v="0"/>
    <n v="0"/>
    <n v="0"/>
    <n v="21"/>
    <n v="0"/>
    <m/>
    <m/>
    <m/>
    <m/>
    <m/>
    <m/>
    <m/>
    <m/>
    <m/>
    <m/>
    <m/>
    <m/>
    <m/>
    <m/>
    <m/>
    <m/>
    <m/>
    <m/>
    <m/>
    <m/>
    <m/>
    <m/>
    <m/>
    <m/>
    <m/>
    <m/>
    <m/>
    <m/>
    <m/>
    <m/>
    <m/>
    <m/>
    <m/>
    <m/>
  </r>
  <r>
    <n v="743"/>
    <d v="2025-02-04T00:00:00"/>
    <s v="ZBTO"/>
    <n v="9518493651"/>
    <n v="2"/>
    <s v="9518493651-2"/>
    <m/>
    <s v="No Priority"/>
    <s v="Failed orders"/>
    <x v="2"/>
    <x v="2"/>
    <n v="2000"/>
    <m/>
    <x v="1"/>
    <m/>
    <m/>
    <s v="Orissa"/>
    <m/>
    <m/>
    <m/>
    <n v="117061"/>
    <s v="BHARTIA  DISTRIBUTORS PVT. LTD"/>
    <n v="1851066"/>
    <s v="GP COIL SOFT-TATXGP-GLK1-0.25X900"/>
    <n v="80"/>
    <s v=""/>
    <m/>
    <m/>
    <s v="Narrow"/>
    <s v="C02"/>
    <s v="TATXGP"/>
    <s v="GLK1"/>
    <n v="0.25"/>
    <n v="900"/>
    <n v="0"/>
    <n v="40"/>
    <e v="#N/A"/>
    <n v="40"/>
    <n v="40"/>
    <e v="#N/A"/>
    <e v="#N/A"/>
    <m/>
    <m/>
    <n v="40"/>
    <n v="0"/>
    <n v="0"/>
    <n v="44.800000000000004"/>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8325"/>
    <n v="2"/>
    <s v="9518528325-2"/>
    <m/>
    <s v="No Priority"/>
    <s v="Released orders"/>
    <x v="2"/>
    <x v="2"/>
    <s v="2000-BPRS"/>
    <m/>
    <x v="1"/>
    <m/>
    <m/>
    <m/>
    <m/>
    <s v="KOLKATA"/>
    <m/>
    <n v="100922"/>
    <s v="BUBNA COMMERCIAL COMPANY"/>
    <n v="1178439"/>
    <s v="GP COIL SOFT-TATXGP-GK09-0.4X900"/>
    <s v="Z80"/>
    <s v=""/>
    <n v="5"/>
    <n v="15"/>
    <s v="Narrow"/>
    <s v="C02"/>
    <s v="TATXGP"/>
    <s v="GK09"/>
    <n v="0.4"/>
    <n v="900"/>
    <n v="0"/>
    <n v="42"/>
    <n v="39.555"/>
    <n v="42"/>
    <n v="2.4449999999999998"/>
    <n v="0"/>
    <n v="0"/>
    <m/>
    <m/>
    <n v="0"/>
    <n v="2.4449999999999998"/>
    <n v="0"/>
    <n v="0"/>
    <n v="0"/>
    <n v="0"/>
    <n v="21.1"/>
    <n v="0"/>
    <n v="0"/>
    <n v="19.240000000000002"/>
    <n v="0"/>
    <n v="0"/>
    <n v="0"/>
    <n v="0"/>
    <n v="0"/>
    <n v="0"/>
    <n v="0"/>
    <n v="0"/>
    <n v="0"/>
    <n v="0"/>
    <n v="0"/>
    <n v="0"/>
    <n v="40.340000000000003"/>
    <n v="40.340000000000003"/>
    <n v="0"/>
    <n v="40.340000000000003"/>
    <n v="0"/>
    <n v="0"/>
    <n v="0"/>
    <n v="0"/>
    <n v="0"/>
    <n v="0"/>
    <n v="0"/>
    <n v="0"/>
    <n v="0"/>
    <n v="0"/>
    <n v="0"/>
    <n v="0"/>
    <n v="0"/>
    <n v="0"/>
    <n v="0"/>
    <m/>
    <m/>
    <m/>
    <m/>
    <m/>
    <m/>
    <m/>
    <m/>
    <m/>
    <m/>
    <m/>
    <m/>
    <m/>
    <m/>
    <m/>
    <m/>
    <m/>
    <m/>
    <m/>
    <m/>
    <m/>
    <m/>
    <m/>
    <m/>
    <m/>
    <m/>
    <m/>
    <m/>
    <m/>
    <m/>
    <m/>
    <m/>
    <m/>
    <m/>
  </r>
  <r>
    <n v="743"/>
    <d v="2025-02-20T00:00:00"/>
    <s v="ZBTO"/>
    <n v="9518535988"/>
    <n v="1"/>
    <s v="9518535988-1"/>
    <m/>
    <s v="Mar'25"/>
    <s v="Released orders"/>
    <x v="3"/>
    <x v="7"/>
    <s v="1000-IPPE"/>
    <m/>
    <x v="0"/>
    <m/>
    <m/>
    <m/>
    <m/>
    <s v=" "/>
    <m/>
    <n v="942283"/>
    <s v="TATA BLUESCOPE STEEL PRIVATE LIMITE"/>
    <n v="1881969"/>
    <s v="GL C YS550 H6GL 0.45BMT(0.50TCT)X1220"/>
    <s v="AZ150"/>
    <s v=""/>
    <n v="3"/>
    <n v="5"/>
    <s v="Wider"/>
    <s v="B04"/>
    <s v="Y550GL"/>
    <s v="H6GL"/>
    <n v="0.45"/>
    <n v="1220"/>
    <n v="0"/>
    <n v="112"/>
    <n v="59.16"/>
    <n v="112"/>
    <n v="99.135000000000005"/>
    <n v="102.61499999999999"/>
    <n v="0"/>
    <m/>
    <m/>
    <n v="99.135000000000005"/>
    <n v="52.84"/>
    <n v="0"/>
    <n v="0"/>
    <n v="0"/>
    <n v="0"/>
    <n v="0"/>
    <n v="0"/>
    <n v="67.12"/>
    <n v="0"/>
    <n v="47.35"/>
    <n v="0"/>
    <n v="0"/>
    <n v="0"/>
    <n v="0"/>
    <n v="0"/>
    <n v="0"/>
    <n v="0"/>
    <n v="0"/>
    <n v="0"/>
    <n v="0"/>
    <n v="0"/>
    <n v="114.47"/>
    <n v="114.47"/>
    <n v="0"/>
    <n v="114.47"/>
    <n v="102.61499999999999"/>
    <n v="34.380000000000003"/>
    <n v="52.84"/>
    <n v="0"/>
    <n v="52.84"/>
    <n v="0"/>
    <n v="0"/>
    <n v="0"/>
    <n v="87.22"/>
    <n v="0"/>
    <n v="0"/>
    <n v="87.22"/>
    <n v="0"/>
    <n v="0"/>
    <n v="0"/>
    <m/>
    <m/>
    <m/>
    <m/>
    <m/>
    <m/>
    <m/>
    <m/>
    <m/>
    <m/>
    <m/>
    <m/>
    <m/>
    <m/>
    <m/>
    <m/>
    <m/>
    <m/>
    <m/>
    <m/>
    <m/>
    <m/>
    <m/>
    <m/>
    <m/>
    <m/>
    <m/>
    <m/>
    <m/>
    <m/>
    <m/>
    <m/>
    <m/>
    <m/>
  </r>
  <r>
    <n v="743"/>
    <d v="2025-02-20T00:00:00"/>
    <s v="ZBTO"/>
    <n v="9518535988"/>
    <n v="2"/>
    <s v="9518535988-2"/>
    <m/>
    <s v="Mar'25"/>
    <s v="Released orders"/>
    <x v="3"/>
    <x v="7"/>
    <s v="1000-IPPE"/>
    <m/>
    <x v="0"/>
    <m/>
    <m/>
    <m/>
    <m/>
    <s v=" "/>
    <m/>
    <n v="942283"/>
    <s v="TATA BLUESCOPE STEEL PRIVATE LIMITE"/>
    <n v="1881988"/>
    <s v="GL C YS550 H6GL 0.50BMT(0.55TCT)X1220"/>
    <s v="AZ150"/>
    <s v=""/>
    <n v="3"/>
    <n v="5"/>
    <s v="Wider"/>
    <s v="B04"/>
    <s v="Y550GL"/>
    <s v="H6GL"/>
    <n v="0.5"/>
    <n v="1220"/>
    <n v="0"/>
    <n v="28"/>
    <n v="0"/>
    <n v="28"/>
    <n v="28"/>
    <n v="0"/>
    <n v="28"/>
    <m/>
    <m/>
    <n v="28"/>
    <n v="28"/>
    <n v="0"/>
    <n v="31.360000000000003"/>
    <n v="0"/>
    <n v="0"/>
    <n v="0"/>
    <n v="0"/>
    <n v="0"/>
    <n v="0"/>
    <n v="0"/>
    <n v="0"/>
    <n v="0"/>
    <n v="0"/>
    <n v="0"/>
    <n v="0"/>
    <n v="0"/>
    <n v="0"/>
    <n v="0"/>
    <n v="0"/>
    <n v="0"/>
    <n v="0"/>
    <n v="0"/>
    <n v="0"/>
    <n v="0"/>
    <n v="0"/>
    <n v="0"/>
    <n v="0"/>
    <n v="28"/>
    <n v="0"/>
    <n v="0"/>
    <n v="0"/>
    <n v="0"/>
    <n v="28"/>
    <n v="28"/>
    <n v="0"/>
    <n v="0"/>
    <n v="0"/>
    <n v="0"/>
    <n v="28"/>
    <n v="0"/>
    <m/>
    <m/>
    <m/>
    <m/>
    <m/>
    <m/>
    <m/>
    <m/>
    <m/>
    <m/>
    <m/>
    <m/>
    <m/>
    <m/>
    <m/>
    <m/>
    <m/>
    <m/>
    <m/>
    <m/>
    <m/>
    <m/>
    <m/>
    <m/>
    <m/>
    <m/>
    <m/>
    <m/>
    <m/>
    <m/>
    <m/>
    <m/>
    <m/>
    <m/>
  </r>
  <r>
    <n v="743"/>
    <d v="2025-02-20T00:00:00"/>
    <s v="ZBTO"/>
    <n v="9518535988"/>
    <n v="3"/>
    <s v="9518535988-3"/>
    <m/>
    <s v="Mar'25"/>
    <s v="Released orders"/>
    <x v="3"/>
    <x v="7"/>
    <s v="1000-IPPE"/>
    <m/>
    <x v="0"/>
    <m/>
    <m/>
    <m/>
    <m/>
    <s v=" "/>
    <m/>
    <n v="942283"/>
    <s v="TATA BLUESCOPE STEEL PRIVATE LIMITE"/>
    <n v="1882004"/>
    <s v="GL C YS550 H6GL 0.55BMT(0.60TCT)X1220"/>
    <s v="AZ150"/>
    <s v=""/>
    <n v="3"/>
    <n v="5"/>
    <s v="Wider"/>
    <s v="B04"/>
    <s v="Y550GL"/>
    <s v="H6GL"/>
    <n v="0.55000000000000004"/>
    <n v="1220"/>
    <n v="0"/>
    <n v="28"/>
    <n v="0"/>
    <n v="28"/>
    <n v="28"/>
    <n v="0"/>
    <n v="28"/>
    <m/>
    <m/>
    <n v="28"/>
    <n v="28"/>
    <n v="0"/>
    <n v="31.360000000000003"/>
    <n v="0"/>
    <n v="0"/>
    <n v="0"/>
    <n v="0"/>
    <n v="0"/>
    <n v="0"/>
    <n v="0"/>
    <n v="0"/>
    <n v="0"/>
    <n v="0"/>
    <n v="0"/>
    <n v="0"/>
    <n v="0"/>
    <n v="0"/>
    <n v="0"/>
    <n v="0"/>
    <n v="0"/>
    <n v="0"/>
    <n v="0"/>
    <n v="0"/>
    <n v="0"/>
    <n v="0"/>
    <n v="0"/>
    <n v="0"/>
    <n v="28"/>
    <n v="0"/>
    <n v="0"/>
    <n v="0"/>
    <n v="0"/>
    <n v="28"/>
    <n v="28"/>
    <n v="0"/>
    <n v="0"/>
    <n v="0"/>
    <n v="0"/>
    <n v="28"/>
    <n v="0"/>
    <m/>
    <m/>
    <m/>
    <m/>
    <m/>
    <m/>
    <m/>
    <m/>
    <m/>
    <m/>
    <m/>
    <m/>
    <m/>
    <m/>
    <m/>
    <m/>
    <m/>
    <m/>
    <m/>
    <m/>
    <m/>
    <m/>
    <m/>
    <m/>
    <m/>
    <m/>
    <m/>
    <m/>
    <m/>
    <m/>
    <m/>
    <m/>
    <m/>
    <m/>
  </r>
  <r>
    <n v="743"/>
    <d v="2025-02-20T00:00:00"/>
    <s v="ZBTO"/>
    <n v="9518535988"/>
    <n v="4"/>
    <s v="9518535988-4"/>
    <m/>
    <s v="Mar'25"/>
    <s v="Released orders"/>
    <x v="3"/>
    <x v="7"/>
    <s v="1000-IPPE"/>
    <m/>
    <x v="0"/>
    <m/>
    <m/>
    <m/>
    <m/>
    <s v=" "/>
    <m/>
    <n v="942283"/>
    <s v="TATA BLUESCOPE STEEL PRIVATE LIMITE"/>
    <n v="1881969"/>
    <s v="GL C YS550 H6GL 0.45BMT(0.50TCT)X1220"/>
    <s v="AZ150"/>
    <s v=""/>
    <n v="3"/>
    <n v="5"/>
    <s v="Wider"/>
    <s v="B04"/>
    <s v="Y550GL"/>
    <s v="H6GL"/>
    <n v="0.45"/>
    <n v="1220"/>
    <n v="0"/>
    <n v="252"/>
    <n v="93.605000000000004"/>
    <n v="252"/>
    <n v="232.36"/>
    <n v="290.16500000000002"/>
    <n v="0"/>
    <m/>
    <m/>
    <n v="232.36"/>
    <n v="158.39500000000001"/>
    <n v="0"/>
    <n v="0"/>
    <n v="0"/>
    <n v="0"/>
    <n v="0"/>
    <n v="0"/>
    <n v="169.81"/>
    <n v="0"/>
    <n v="88.87"/>
    <n v="0"/>
    <n v="0"/>
    <n v="0"/>
    <n v="0"/>
    <n v="0"/>
    <n v="0"/>
    <n v="0"/>
    <n v="0"/>
    <n v="0"/>
    <n v="0"/>
    <n v="0"/>
    <n v="258.68"/>
    <n v="258.68"/>
    <n v="0"/>
    <n v="258.68"/>
    <n v="290.16500000000002"/>
    <n v="34.175000000000004"/>
    <n v="158.39500000000001"/>
    <n v="0"/>
    <n v="158.39500000000001"/>
    <n v="0"/>
    <n v="0"/>
    <n v="0"/>
    <n v="192.57000000000002"/>
    <n v="0"/>
    <n v="0"/>
    <n v="192.57000000000002"/>
    <n v="0"/>
    <n v="0"/>
    <n v="0"/>
    <m/>
    <m/>
    <m/>
    <m/>
    <m/>
    <m/>
    <m/>
    <m/>
    <m/>
    <m/>
    <m/>
    <m/>
    <m/>
    <m/>
    <m/>
    <m/>
    <m/>
    <m/>
    <m/>
    <m/>
    <m/>
    <m/>
    <m/>
    <m/>
    <m/>
    <m/>
    <m/>
    <m/>
    <m/>
    <m/>
    <m/>
    <m/>
    <m/>
    <m/>
  </r>
  <r>
    <n v="743"/>
    <d v="2025-02-18T00:00:00"/>
    <s v="ZBTO"/>
    <n v="9518528708"/>
    <n v="1"/>
    <s v="9518528708-1"/>
    <m/>
    <s v="Mar'25"/>
    <s v="Released orders"/>
    <x v="3"/>
    <x v="5"/>
    <s v="1000-IPPE"/>
    <m/>
    <x v="0"/>
    <m/>
    <m/>
    <m/>
    <m/>
    <s v="VALPARAI"/>
    <m/>
    <n v="947775"/>
    <s v="ZARON METAL SECTIONS"/>
    <n v="3886090"/>
    <s v="GL COIL HARD  Y550GL GL6H 0.900X1250"/>
    <s v="AZ150"/>
    <s v=""/>
    <n v="10"/>
    <n v="15"/>
    <s v="Wider"/>
    <s v="B04"/>
    <s v="Y550GL"/>
    <s v="GL6H"/>
    <n v="0.9"/>
    <n v="1250"/>
    <n v="0"/>
    <n v="174"/>
    <n v="142.53"/>
    <n v="174"/>
    <n v="174"/>
    <n v="142.53"/>
    <n v="31.47"/>
    <m/>
    <m/>
    <n v="174"/>
    <n v="31.47"/>
    <n v="0"/>
    <n v="194.88000000000002"/>
    <n v="0"/>
    <n v="0"/>
    <n v="0"/>
    <n v="0"/>
    <n v="0"/>
    <n v="0"/>
    <n v="0"/>
    <n v="0"/>
    <n v="0"/>
    <n v="0"/>
    <n v="0"/>
    <n v="0"/>
    <n v="0"/>
    <n v="0"/>
    <n v="0"/>
    <n v="0"/>
    <n v="0"/>
    <n v="0"/>
    <n v="0"/>
    <n v="0"/>
    <n v="0"/>
    <n v="0"/>
    <n v="142.53"/>
    <n v="106.91"/>
    <n v="31.47"/>
    <n v="0"/>
    <n v="0"/>
    <n v="0"/>
    <n v="0"/>
    <n v="31.47"/>
    <n v="138.38"/>
    <n v="0"/>
    <n v="0"/>
    <n v="0"/>
    <n v="0"/>
    <n v="138.38"/>
    <n v="0"/>
    <m/>
    <m/>
    <m/>
    <m/>
    <m/>
    <m/>
    <m/>
    <m/>
    <m/>
    <m/>
    <m/>
    <m/>
    <m/>
    <m/>
    <m/>
    <m/>
    <m/>
    <m/>
    <m/>
    <m/>
    <m/>
    <m/>
    <m/>
    <m/>
    <m/>
    <m/>
    <m/>
    <m/>
    <m/>
    <m/>
    <m/>
    <m/>
    <m/>
    <m/>
  </r>
  <r>
    <n v="743"/>
    <d v="2025-02-05T00:00:00"/>
    <s v="ZBTO"/>
    <n v="9518495509"/>
    <n v="3"/>
    <s v="9518495509-3"/>
    <m/>
    <s v="Stocks"/>
    <s v="Released orders"/>
    <x v="2"/>
    <x v="2"/>
    <s v="2000-BPRS"/>
    <m/>
    <x v="0"/>
    <m/>
    <m/>
    <m/>
    <m/>
    <s v="KANPUR"/>
    <m/>
    <n v="933952"/>
    <s v="AGARWAL STEEL TRADERS"/>
    <n v="1178439"/>
    <s v="GP COIL SOFT-TATXGP-GK09-0.4X900"/>
    <s v="Z80"/>
    <s v=""/>
    <n v="3.2"/>
    <n v="5"/>
    <s v="Narrow"/>
    <s v="C02"/>
    <s v="TATXGP"/>
    <s v="GK09"/>
    <n v="0.4"/>
    <n v="900"/>
    <n v="0"/>
    <n v="63"/>
    <n v="57.67"/>
    <n v="63"/>
    <n v="10.14"/>
    <n v="4.8099999999999996"/>
    <n v="0"/>
    <m/>
    <m/>
    <n v="0"/>
    <n v="5.33"/>
    <n v="0"/>
    <n v="0"/>
    <n v="0"/>
    <n v="20.77"/>
    <n v="40.99"/>
    <n v="0"/>
    <n v="0"/>
    <n v="0"/>
    <n v="0"/>
    <n v="0"/>
    <n v="0"/>
    <n v="0"/>
    <n v="0"/>
    <n v="0"/>
    <n v="0"/>
    <n v="0"/>
    <n v="0"/>
    <n v="0"/>
    <n v="0"/>
    <n v="0"/>
    <n v="61.760000000000005"/>
    <n v="61.760000000000005"/>
    <n v="0"/>
    <n v="61.760000000000005"/>
    <n v="4.8099999999999996"/>
    <n v="18.834999999999997"/>
    <n v="0"/>
    <n v="0"/>
    <n v="0"/>
    <n v="0"/>
    <n v="0"/>
    <n v="0"/>
    <n v="18.834999999999997"/>
    <n v="0"/>
    <n v="18.834999999999997"/>
    <n v="0"/>
    <n v="0"/>
    <n v="0"/>
    <n v="0"/>
    <m/>
    <m/>
    <m/>
    <m/>
    <m/>
    <m/>
    <m/>
    <m/>
    <m/>
    <m/>
    <m/>
    <m/>
    <m/>
    <m/>
    <m/>
    <m/>
    <m/>
    <m/>
    <m/>
    <m/>
    <m/>
    <m/>
    <m/>
    <m/>
    <m/>
    <m/>
    <m/>
    <m/>
    <m/>
    <m/>
    <m/>
    <m/>
    <m/>
    <m/>
  </r>
  <r>
    <n v="742"/>
    <d v="2025-02-11T00:00:00"/>
    <s v="ZBTO"/>
    <n v="9518510371"/>
    <n v="1"/>
    <s v="9518510371-1"/>
    <m/>
    <s v="Mar'25"/>
    <s v="Released orders"/>
    <x v="1"/>
    <x v="1"/>
    <s v="2000-BPRS"/>
    <m/>
    <x v="0"/>
    <s v="Mar"/>
    <m/>
    <m/>
    <m/>
    <s v="GORAKHPUR"/>
    <m/>
    <n v="115841"/>
    <s v="O.V.S. ISPAT UDYOG"/>
    <n v="3240760"/>
    <s v="CRCA SHEET TSBCRC SR15 0.500X1000X2500"/>
    <s v=" "/>
    <s v=""/>
    <n v="0"/>
    <n v="0"/>
    <s v="Narrow"/>
    <s v="C06"/>
    <s v="TSBCRC"/>
    <s v="SR15"/>
    <n v="0.5"/>
    <n v="1000"/>
    <n v="2500"/>
    <n v="33"/>
    <n v="0"/>
    <n v="33"/>
    <n v="33"/>
    <n v="0"/>
    <n v="33"/>
    <m/>
    <m/>
    <n v="33"/>
    <n v="33"/>
    <n v="0"/>
    <n v="36.96"/>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8641"/>
    <n v="2"/>
    <s v="9518528641-2"/>
    <m/>
    <s v="No Priority"/>
    <s v="Released orders"/>
    <x v="2"/>
    <x v="2"/>
    <s v="2000-BPRS"/>
    <m/>
    <x v="1"/>
    <m/>
    <m/>
    <m/>
    <m/>
    <s v="WEST BENGAL"/>
    <m/>
    <n v="100922"/>
    <s v="BUBNA COMMERCIAL COMPANY"/>
    <n v="1178439"/>
    <s v="GP COIL SOFT-TATXGP-GK09-0.4X900"/>
    <s v="Z80"/>
    <s v=""/>
    <n v="5"/>
    <n v="15"/>
    <s v="Narrow"/>
    <s v="C02"/>
    <s v="TATXGP"/>
    <s v="GK09"/>
    <n v="0.4"/>
    <n v="900"/>
    <n v="0"/>
    <n v="42"/>
    <n v="19.64"/>
    <n v="42"/>
    <n v="22.36"/>
    <n v="19.821999999999999"/>
    <n v="0"/>
    <m/>
    <n v="19.821999999999999"/>
    <n v="0"/>
    <n v="22.36"/>
    <n v="0"/>
    <n v="47.040000000000006"/>
    <n v="0"/>
    <n v="0"/>
    <n v="0"/>
    <n v="0"/>
    <n v="0"/>
    <n v="0"/>
    <n v="0"/>
    <n v="0"/>
    <n v="0"/>
    <n v="0"/>
    <n v="0"/>
    <n v="0"/>
    <n v="0"/>
    <n v="0"/>
    <n v="0"/>
    <n v="0"/>
    <n v="0"/>
    <n v="0"/>
    <n v="0"/>
    <n v="0"/>
    <n v="0"/>
    <n v="19.821999999999999"/>
    <n v="0"/>
    <n v="0"/>
    <n v="0"/>
    <n v="0"/>
    <n v="0"/>
    <n v="0"/>
    <n v="0"/>
    <n v="0"/>
    <n v="0"/>
    <n v="0"/>
    <n v="0"/>
    <n v="0"/>
    <n v="0"/>
    <n v="0"/>
    <n v="0"/>
    <m/>
    <m/>
    <m/>
    <m/>
    <m/>
    <m/>
    <m/>
    <m/>
    <m/>
    <m/>
    <m/>
    <m/>
    <m/>
    <m/>
    <m/>
    <m/>
    <m/>
    <m/>
    <m/>
    <m/>
    <m/>
    <m/>
    <m/>
    <m/>
    <m/>
    <m/>
    <m/>
    <m/>
    <m/>
    <m/>
    <m/>
    <m/>
    <m/>
    <m/>
  </r>
  <r>
    <n v="742"/>
    <d v="2025-01-02T00:00:00"/>
    <s v="ZBTO"/>
    <n v="9518400614"/>
    <n v="3"/>
    <s v="9518400614-3"/>
    <m/>
    <s v="No Priority"/>
    <s v="Released orders"/>
    <x v="1"/>
    <x v="3"/>
    <s v="2000-BPRS"/>
    <m/>
    <x v="1"/>
    <s v="Mar"/>
    <s v="Beyond HSM rollability"/>
    <m/>
    <m/>
    <s v="COCHIN HARBOUR "/>
    <m/>
    <n v="116650"/>
    <s v="KUMMENCHERY STEELS"/>
    <n v="2165172"/>
    <s v="CRCA COIL TATCRC TR15 0.700X1000"/>
    <s v=" "/>
    <s v=""/>
    <n v="6"/>
    <n v="18"/>
    <s v="Narrow"/>
    <s v="C01"/>
    <s v="TATCRC"/>
    <s v="TR15"/>
    <n v="0.7"/>
    <n v="1000"/>
    <n v="0"/>
    <n v="46"/>
    <n v="0"/>
    <n v="46"/>
    <n v="46"/>
    <n v="0"/>
    <n v="46"/>
    <m/>
    <m/>
    <n v="46"/>
    <n v="46"/>
    <n v="0"/>
    <n v="51.52"/>
    <n v="0"/>
    <n v="0"/>
    <n v="0"/>
    <n v="0"/>
    <n v="0"/>
    <n v="0"/>
    <n v="0"/>
    <n v="0"/>
    <n v="0"/>
    <n v="0"/>
    <n v="0"/>
    <n v="0"/>
    <n v="0"/>
    <n v="0"/>
    <n v="0"/>
    <n v="0"/>
    <n v="0"/>
    <n v="0"/>
    <n v="0"/>
    <n v="0"/>
    <n v="0"/>
    <n v="0"/>
    <n v="0"/>
    <n v="0"/>
    <n v="0"/>
    <n v="0"/>
    <n v="0"/>
    <n v="0"/>
    <n v="0"/>
    <n v="0"/>
    <n v="0"/>
    <n v="0"/>
    <n v="0"/>
    <n v="0"/>
    <n v="0"/>
    <n v="0"/>
    <n v="0"/>
    <m/>
    <m/>
    <m/>
    <m/>
    <m/>
    <m/>
    <m/>
    <m/>
    <m/>
    <m/>
    <m/>
    <m/>
    <m/>
    <m/>
    <m/>
    <m/>
    <m/>
    <m/>
    <m/>
    <m/>
    <m/>
    <m/>
    <m/>
    <m/>
    <m/>
    <m/>
    <m/>
    <m/>
    <m/>
    <m/>
    <m/>
    <m/>
    <m/>
    <m/>
  </r>
  <r>
    <n v="742"/>
    <d v="2025-01-16T00:00:00"/>
    <s v="ZBTO"/>
    <n v="9518433421"/>
    <n v="1"/>
    <s v="9518433421-1"/>
    <m/>
    <s v="No Priority"/>
    <s v="Released orders"/>
    <x v="1"/>
    <x v="3"/>
    <s v="2000-BPRS"/>
    <m/>
    <x v="1"/>
    <s v="Mar"/>
    <s v="Beyond HSM rollability"/>
    <m/>
    <m/>
    <s v="CHENNAI"/>
    <m/>
    <n v="938550"/>
    <s v="BASEER AND CO"/>
    <n v="2352643"/>
    <s v="CRCA COIL TATCRC TR15 0.350X900"/>
    <s v=" "/>
    <s v=""/>
    <n v="6"/>
    <n v="18"/>
    <s v="Narrow"/>
    <s v="C01"/>
    <s v="TATCRC"/>
    <s v="TR15"/>
    <n v="0.35"/>
    <n v="900"/>
    <n v="0"/>
    <n v="42"/>
    <n v="0"/>
    <n v="42"/>
    <n v="42"/>
    <n v="0"/>
    <n v="42"/>
    <m/>
    <m/>
    <n v="42"/>
    <n v="42"/>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89748"/>
    <n v="2"/>
    <s v="9518489748-2"/>
    <m/>
    <s v="Mar'25"/>
    <s v="Released orders"/>
    <x v="1"/>
    <x v="3"/>
    <s v="2000-BPRS"/>
    <m/>
    <x v="0"/>
    <s v="Mar"/>
    <m/>
    <m/>
    <m/>
    <s v="DERABASSI"/>
    <m/>
    <n v="819097"/>
    <s v="BHAGWATI STEEL SALES"/>
    <n v="1804772"/>
    <s v="CRCA COIL TATXXD AU03 0.4X1250"/>
    <s v=" "/>
    <s v=""/>
    <n v="10"/>
    <n v="30"/>
    <s v="Wider"/>
    <s v="C01"/>
    <s v="TATXXD"/>
    <s v="AU03"/>
    <n v="0.4"/>
    <n v="1250"/>
    <n v="0"/>
    <n v="58"/>
    <n v="0"/>
    <n v="58"/>
    <n v="58"/>
    <n v="0"/>
    <n v="58"/>
    <n v="58"/>
    <m/>
    <n v="58"/>
    <n v="58"/>
    <n v="0"/>
    <n v="64.960000000000008"/>
    <n v="0"/>
    <n v="0"/>
    <n v="0"/>
    <n v="0"/>
    <n v="0"/>
    <n v="0"/>
    <n v="0"/>
    <n v="0"/>
    <n v="0"/>
    <n v="0"/>
    <n v="0"/>
    <n v="0"/>
    <n v="0"/>
    <n v="0"/>
    <n v="0"/>
    <n v="0"/>
    <n v="0"/>
    <n v="0"/>
    <n v="0"/>
    <n v="0"/>
    <n v="0"/>
    <n v="0"/>
    <n v="0"/>
    <n v="0"/>
    <n v="58"/>
    <n v="0"/>
    <n v="0"/>
    <n v="58"/>
    <n v="0"/>
    <n v="0"/>
    <n v="58"/>
    <n v="0"/>
    <n v="0"/>
    <n v="58"/>
    <n v="0"/>
    <n v="0"/>
    <n v="0"/>
    <m/>
    <m/>
    <m/>
    <m/>
    <m/>
    <m/>
    <m/>
    <m/>
    <m/>
    <m/>
    <m/>
    <m/>
    <m/>
    <m/>
    <m/>
    <m/>
    <m/>
    <m/>
    <m/>
    <m/>
    <m/>
    <m/>
    <m/>
    <m/>
    <m/>
    <m/>
    <m/>
    <m/>
    <m/>
    <m/>
    <m/>
    <m/>
    <m/>
    <m/>
  </r>
  <r>
    <n v="742"/>
    <d v="2025-01-30T00:00:00"/>
    <s v="ZBTO"/>
    <n v="9518477709"/>
    <n v="1"/>
    <s v="9518477709-1"/>
    <m/>
    <s v="Mar'25"/>
    <s v="Released orders"/>
    <x v="1"/>
    <x v="3"/>
    <s v="2000-BPRS"/>
    <m/>
    <x v="0"/>
    <s v="Mar"/>
    <m/>
    <m/>
    <m/>
    <s v="SANGAREDDY"/>
    <m/>
    <n v="947126"/>
    <s v="RAVINDRA IRON WORKS"/>
    <n v="196234"/>
    <s v="CRSHEET-ICF  DQ TATXXD AU03 1.20 X 1270"/>
    <s v=" "/>
    <s v=""/>
    <n v="5"/>
    <n v="30"/>
    <s v="Wider"/>
    <s v="C01"/>
    <s v="TATXXD"/>
    <s v="AU03"/>
    <n v="1.2"/>
    <n v="1270"/>
    <n v="0"/>
    <n v="87"/>
    <n v="0"/>
    <n v="87"/>
    <n v="87"/>
    <n v="0"/>
    <n v="87"/>
    <m/>
    <m/>
    <n v="87"/>
    <n v="87"/>
    <n v="0"/>
    <n v="97.440000000000012"/>
    <n v="0"/>
    <n v="0"/>
    <n v="0"/>
    <n v="0"/>
    <n v="0"/>
    <n v="0"/>
    <n v="0"/>
    <n v="0"/>
    <n v="0"/>
    <n v="0"/>
    <n v="0"/>
    <n v="0"/>
    <n v="0"/>
    <n v="0"/>
    <n v="0"/>
    <n v="0"/>
    <n v="0"/>
    <n v="0"/>
    <n v="0"/>
    <n v="0"/>
    <n v="0"/>
    <n v="0"/>
    <n v="0"/>
    <n v="0"/>
    <n v="87"/>
    <n v="0"/>
    <n v="0"/>
    <n v="0"/>
    <n v="0"/>
    <n v="87"/>
    <n v="87"/>
    <n v="0"/>
    <n v="0"/>
    <n v="0"/>
    <n v="0"/>
    <n v="87"/>
    <n v="0"/>
    <m/>
    <m/>
    <m/>
    <m/>
    <m/>
    <m/>
    <m/>
    <m/>
    <m/>
    <m/>
    <m/>
    <m/>
    <m/>
    <m/>
    <m/>
    <m/>
    <m/>
    <m/>
    <m/>
    <m/>
    <m/>
    <m/>
    <m/>
    <m/>
    <m/>
    <m/>
    <m/>
    <m/>
    <m/>
    <m/>
    <m/>
    <m/>
    <m/>
    <m/>
  </r>
  <r>
    <n v="742"/>
    <d v="2025-02-11T00:00:00"/>
    <s v="ZBTO"/>
    <n v="9518510093"/>
    <n v="3"/>
    <s v="9518510093-3"/>
    <m/>
    <s v="Mar'25"/>
    <s v="Released orders"/>
    <x v="1"/>
    <x v="3"/>
    <s v="2000-BPRS"/>
    <m/>
    <x v="0"/>
    <s v="Mar"/>
    <m/>
    <m/>
    <m/>
    <s v="LONI"/>
    <m/>
    <n v="101499"/>
    <s v="G.R. GUPTA &amp; BROS."/>
    <n v="1804772"/>
    <s v="CRCA COIL TATXXD AU03 0.4X1250"/>
    <s v=" "/>
    <s v=""/>
    <n v="10"/>
    <n v="30"/>
    <s v="Wider"/>
    <s v="C01"/>
    <s v="TATXXD"/>
    <s v="AU03"/>
    <n v="0.4"/>
    <n v="1250"/>
    <n v="0"/>
    <n v="29"/>
    <n v="0"/>
    <n v="29"/>
    <n v="29"/>
    <n v="0"/>
    <n v="29"/>
    <n v="29"/>
    <m/>
    <n v="29"/>
    <n v="29"/>
    <n v="0"/>
    <n v="32.480000000000004"/>
    <n v="0"/>
    <n v="0"/>
    <n v="0"/>
    <n v="0"/>
    <n v="0"/>
    <n v="0"/>
    <n v="0"/>
    <n v="0"/>
    <n v="0"/>
    <n v="0"/>
    <n v="0"/>
    <n v="0"/>
    <n v="0"/>
    <n v="0"/>
    <n v="0"/>
    <n v="0"/>
    <n v="0"/>
    <n v="0"/>
    <n v="0"/>
    <n v="0"/>
    <n v="0"/>
    <n v="0"/>
    <n v="0"/>
    <n v="0"/>
    <n v="29"/>
    <n v="0"/>
    <n v="0"/>
    <n v="29"/>
    <n v="0"/>
    <n v="0"/>
    <n v="29"/>
    <n v="0"/>
    <n v="0"/>
    <n v="29"/>
    <n v="0"/>
    <n v="0"/>
    <n v="0"/>
    <m/>
    <m/>
    <m/>
    <m/>
    <m/>
    <m/>
    <m/>
    <m/>
    <m/>
    <m/>
    <m/>
    <m/>
    <m/>
    <m/>
    <m/>
    <m/>
    <m/>
    <m/>
    <m/>
    <m/>
    <m/>
    <m/>
    <m/>
    <m/>
    <m/>
    <m/>
    <m/>
    <m/>
    <m/>
    <m/>
    <m/>
    <m/>
    <m/>
    <m/>
  </r>
  <r>
    <n v="743"/>
    <d v="2025-02-14T00:00:00"/>
    <s v="ZBTO"/>
    <n v="9518520023"/>
    <n v="1"/>
    <s v="9518520023-1"/>
    <m/>
    <s v="Mar'25"/>
    <s v="Released orders"/>
    <x v="2"/>
    <x v="6"/>
    <s v="2000-BPRS"/>
    <m/>
    <x v="0"/>
    <m/>
    <m/>
    <m/>
    <m/>
    <s v="PATNA"/>
    <m/>
    <n v="103227"/>
    <s v="BMW VENTURES LIMITED"/>
    <n v="1851101"/>
    <s v="GP COIL SOFT-TATXGP-GK09-0.5X1220"/>
    <s v="Z80"/>
    <s v=""/>
    <n v="2"/>
    <n v="4"/>
    <s v="Wider"/>
    <s v="C02"/>
    <s v="TATXGP"/>
    <s v="GK09"/>
    <n v="0.5"/>
    <n v="1220"/>
    <n v="0"/>
    <n v="28"/>
    <n v="0"/>
    <n v="28"/>
    <n v="28"/>
    <n v="2.6549999999999998"/>
    <n v="25.344999999999999"/>
    <m/>
    <m/>
    <n v="28"/>
    <n v="28"/>
    <n v="0"/>
    <n v="31.360000000000003"/>
    <n v="0"/>
    <n v="0"/>
    <n v="0"/>
    <n v="0"/>
    <n v="0"/>
    <n v="0"/>
    <n v="0"/>
    <n v="0"/>
    <n v="0"/>
    <n v="0"/>
    <n v="0"/>
    <n v="0"/>
    <n v="0"/>
    <n v="0"/>
    <n v="0"/>
    <n v="0"/>
    <n v="0"/>
    <n v="0"/>
    <n v="0"/>
    <n v="0"/>
    <n v="0"/>
    <n v="0"/>
    <n v="2.6549999999999998"/>
    <n v="0"/>
    <n v="28"/>
    <n v="0"/>
    <n v="0"/>
    <n v="28"/>
    <n v="0"/>
    <n v="0"/>
    <n v="28"/>
    <n v="0"/>
    <n v="0"/>
    <n v="28"/>
    <n v="0"/>
    <n v="0"/>
    <n v="0"/>
    <m/>
    <m/>
    <m/>
    <m/>
    <m/>
    <m/>
    <m/>
    <m/>
    <m/>
    <m/>
    <m/>
    <m/>
    <m/>
    <m/>
    <m/>
    <m/>
    <m/>
    <m/>
    <m/>
    <m/>
    <m/>
    <m/>
    <m/>
    <m/>
    <m/>
    <m/>
    <m/>
    <m/>
    <m/>
    <m/>
    <m/>
    <m/>
    <m/>
    <m/>
  </r>
  <r>
    <n v="742"/>
    <d v="2025-02-13T00:00:00"/>
    <s v="ZBTF"/>
    <n v="9518517180"/>
    <n v="6"/>
    <s v="9518517180-6"/>
    <m/>
    <s v="Mar'25"/>
    <s v="Released orders"/>
    <x v="1"/>
    <x v="4"/>
    <s v="1000-IPPE"/>
    <m/>
    <x v="0"/>
    <m/>
    <m/>
    <m/>
    <m/>
    <s v="PILKHUWA"/>
    <m/>
    <n v="600250"/>
    <s v="TATA CENTER"/>
    <n v="3587949"/>
    <s v="CR COIL TSBSTA EL06 0.500X1250"/>
    <s v=" "/>
    <s v=""/>
    <n v="8"/>
    <n v="14"/>
    <s v="Wider"/>
    <s v="C01"/>
    <s v="TSBSTA"/>
    <s v="EL06"/>
    <n v="0.5"/>
    <n v="1250"/>
    <n v="0"/>
    <n v="290"/>
    <n v="0"/>
    <n v="290"/>
    <n v="290"/>
    <n v="0"/>
    <n v="290"/>
    <m/>
    <m/>
    <n v="290"/>
    <n v="290"/>
    <n v="0"/>
    <n v="324.8"/>
    <n v="0"/>
    <n v="0"/>
    <n v="0"/>
    <n v="0"/>
    <n v="0"/>
    <n v="0"/>
    <n v="0"/>
    <n v="0"/>
    <n v="0"/>
    <n v="0"/>
    <n v="0"/>
    <n v="0"/>
    <n v="0"/>
    <n v="0"/>
    <n v="0"/>
    <n v="0"/>
    <n v="0"/>
    <n v="0"/>
    <n v="0"/>
    <n v="0"/>
    <n v="0"/>
    <n v="0"/>
    <n v="0"/>
    <n v="0"/>
    <n v="290"/>
    <n v="0"/>
    <n v="0"/>
    <n v="0"/>
    <n v="0"/>
    <n v="290"/>
    <n v="290"/>
    <n v="0"/>
    <n v="0"/>
    <n v="0"/>
    <n v="0"/>
    <n v="290"/>
    <n v="0"/>
    <m/>
    <m/>
    <m/>
    <m/>
    <m/>
    <m/>
    <m/>
    <m/>
    <m/>
    <m/>
    <m/>
    <m/>
    <m/>
    <m/>
    <m/>
    <m/>
    <m/>
    <m/>
    <m/>
    <m/>
    <m/>
    <m/>
    <m/>
    <m/>
    <m/>
    <m/>
    <m/>
    <m/>
    <m/>
    <m/>
    <m/>
    <m/>
    <m/>
    <m/>
  </r>
  <r>
    <n v="742"/>
    <d v="2025-02-13T00:00:00"/>
    <s v="ZBTF"/>
    <n v="9518517180"/>
    <n v="7"/>
    <s v="9518517180-7"/>
    <m/>
    <s v="Mar'25"/>
    <s v="Released orders"/>
    <x v="1"/>
    <x v="4"/>
    <s v="1000-IPPE"/>
    <m/>
    <x v="0"/>
    <m/>
    <m/>
    <m/>
    <m/>
    <s v="PILKHUWA"/>
    <m/>
    <n v="600250"/>
    <s v="TATA CENTER"/>
    <n v="3587949"/>
    <s v="CR COIL TSBSTA EL06 0.500X1250"/>
    <s v=" "/>
    <s v=""/>
    <n v="8"/>
    <n v="14"/>
    <s v="Wider"/>
    <s v="C01"/>
    <s v="TSBSTA"/>
    <s v="EL06"/>
    <n v="0.5"/>
    <n v="1250"/>
    <n v="0"/>
    <n v="290"/>
    <n v="0"/>
    <n v="290"/>
    <n v="290"/>
    <n v="0"/>
    <n v="290"/>
    <m/>
    <m/>
    <n v="290"/>
    <n v="290"/>
    <n v="0"/>
    <n v="324.8"/>
    <n v="0"/>
    <n v="0"/>
    <n v="0"/>
    <n v="0"/>
    <n v="0"/>
    <n v="0"/>
    <n v="0"/>
    <n v="0"/>
    <n v="0"/>
    <n v="0"/>
    <n v="0"/>
    <n v="0"/>
    <n v="0"/>
    <n v="0"/>
    <n v="0"/>
    <n v="0"/>
    <n v="0"/>
    <n v="0"/>
    <n v="0"/>
    <n v="0"/>
    <n v="0"/>
    <n v="0"/>
    <n v="0"/>
    <n v="0"/>
    <n v="290"/>
    <n v="0"/>
    <n v="0"/>
    <n v="0"/>
    <n v="0"/>
    <n v="290"/>
    <n v="0"/>
    <n v="0"/>
    <n v="0"/>
    <n v="0"/>
    <n v="0"/>
    <n v="0"/>
    <n v="290"/>
    <m/>
    <m/>
    <m/>
    <m/>
    <m/>
    <m/>
    <m/>
    <m/>
    <m/>
    <m/>
    <m/>
    <m/>
    <m/>
    <m/>
    <m/>
    <m/>
    <m/>
    <m/>
    <m/>
    <m/>
    <m/>
    <m/>
    <m/>
    <m/>
    <m/>
    <m/>
    <m/>
    <m/>
    <m/>
    <m/>
    <m/>
    <m/>
    <m/>
    <m/>
  </r>
  <r>
    <n v="742"/>
    <d v="2025-01-07T00:00:00"/>
    <s v="ZBTO"/>
    <n v="9518411918"/>
    <n v="1"/>
    <s v="9518411918-1"/>
    <m/>
    <s v="No Priority"/>
    <s v="Released orders"/>
    <x v="1"/>
    <x v="14"/>
    <s v="2200-BPRS"/>
    <m/>
    <x v="1"/>
    <m/>
    <m/>
    <m/>
    <s v="North"/>
    <s v="ZOSOLA"/>
    <m/>
    <n v="184986"/>
    <s v="SWASTIK STEEL PROCESSOR LLP"/>
    <n v="2439201"/>
    <s v="CRCA COIL TSBSTA EL06 0.500X1170"/>
    <s v=" "/>
    <s v=""/>
    <n v="9"/>
    <n v="12"/>
    <s v="Wider"/>
    <s v="C01"/>
    <s v="TSBSTA"/>
    <s v="EL06"/>
    <n v="0.5"/>
    <n v="1170"/>
    <n v="0"/>
    <n v="297"/>
    <n v="0"/>
    <n v="297"/>
    <n v="297"/>
    <n v="0"/>
    <n v="297"/>
    <m/>
    <m/>
    <n v="297"/>
    <n v="297"/>
    <n v="0"/>
    <n v="186.02080000000001"/>
    <n v="0"/>
    <n v="0"/>
    <n v="0"/>
    <n v="0"/>
    <n v="0"/>
    <n v="0"/>
    <n v="52.2"/>
    <n v="0"/>
    <n v="0"/>
    <n v="0"/>
    <n v="0"/>
    <n v="26.2"/>
    <n v="52.51"/>
    <n v="0"/>
    <n v="0"/>
    <n v="0"/>
    <n v="0"/>
    <n v="0"/>
    <n v="130.91"/>
    <n v="78.709999999999994"/>
    <n v="0"/>
    <n v="78.709999999999994"/>
    <n v="0"/>
    <n v="0"/>
    <n v="0"/>
    <n v="0"/>
    <n v="0"/>
    <n v="0"/>
    <n v="0"/>
    <n v="0"/>
    <n v="0"/>
    <n v="0"/>
    <n v="0"/>
    <n v="0"/>
    <n v="0"/>
    <n v="0"/>
    <n v="0"/>
    <n v="0"/>
    <n v="0"/>
    <n v="0"/>
    <n v="0"/>
    <n v="0"/>
    <n v="0"/>
    <m/>
    <m/>
    <m/>
    <m/>
    <m/>
    <m/>
    <m/>
    <m/>
    <m/>
    <s v="1"/>
    <s v="1"/>
    <s v="1"/>
    <s v="1"/>
    <s v="1"/>
    <m/>
    <m/>
    <m/>
    <m/>
    <m/>
    <m/>
    <m/>
    <m/>
    <m/>
    <m/>
    <m/>
    <m/>
    <m/>
    <m/>
  </r>
  <r>
    <n v="742"/>
    <d v="2025-01-20T00:00:00"/>
    <s v="ZBTF"/>
    <n v="9518444919"/>
    <n v="12"/>
    <s v="9518444919-12"/>
    <m/>
    <s v="Mar'25"/>
    <s v="Released orders"/>
    <x v="1"/>
    <x v="4"/>
    <s v="1000-IPPE"/>
    <m/>
    <x v="0"/>
    <m/>
    <m/>
    <m/>
    <s v="North"/>
    <s v="PILKHUWA"/>
    <m/>
    <n v="600250"/>
    <s v="TATA CENTER"/>
    <n v="2439203"/>
    <s v="CRCA COIL TSBSTA EL06 0.500X1160"/>
    <s v=" "/>
    <s v=""/>
    <n v="8"/>
    <n v="13"/>
    <s v="Wider"/>
    <s v="C01"/>
    <s v="TSBSTA"/>
    <s v="EL06"/>
    <n v="0.5"/>
    <n v="1160"/>
    <n v="0"/>
    <n v="297"/>
    <n v="0"/>
    <n v="297"/>
    <n v="297"/>
    <n v="0"/>
    <n v="297"/>
    <n v="297"/>
    <m/>
    <n v="297"/>
    <n v="297"/>
    <n v="0"/>
    <n v="332.64000000000004"/>
    <n v="0"/>
    <n v="0"/>
    <n v="0"/>
    <n v="0"/>
    <n v="0"/>
    <n v="0"/>
    <n v="0"/>
    <n v="0"/>
    <n v="0"/>
    <n v="0"/>
    <n v="0"/>
    <n v="0"/>
    <n v="0"/>
    <n v="0"/>
    <n v="0"/>
    <n v="0"/>
    <n v="0"/>
    <n v="0"/>
    <n v="0"/>
    <n v="0"/>
    <n v="0"/>
    <n v="0"/>
    <n v="0"/>
    <n v="0"/>
    <n v="297"/>
    <n v="0"/>
    <n v="297"/>
    <n v="0"/>
    <n v="0"/>
    <n v="0"/>
    <n v="297"/>
    <n v="0"/>
    <n v="297"/>
    <n v="0"/>
    <n v="0"/>
    <n v="0"/>
    <n v="0"/>
    <n v="0"/>
    <n v="0"/>
    <n v="0"/>
    <n v="0"/>
    <n v="0"/>
    <n v="0"/>
    <m/>
    <m/>
    <m/>
    <m/>
    <m/>
    <m/>
    <m/>
    <m/>
    <m/>
    <s v="1"/>
    <s v="0"/>
    <s v="1"/>
    <s v="1"/>
    <s v="1"/>
    <m/>
    <m/>
    <m/>
    <m/>
    <m/>
    <m/>
    <m/>
    <m/>
    <m/>
    <m/>
    <m/>
    <m/>
    <m/>
    <m/>
  </r>
  <r>
    <n v="742"/>
    <d v="2025-02-13T00:00:00"/>
    <s v="ZBTF"/>
    <n v="9518517180"/>
    <n v="1"/>
    <s v="9518517180-1"/>
    <m/>
    <s v="Mar'25"/>
    <s v="Released orders"/>
    <x v="1"/>
    <x v="4"/>
    <s v="1000-IPPE"/>
    <m/>
    <x v="0"/>
    <m/>
    <m/>
    <m/>
    <m/>
    <s v="PILKHUWA"/>
    <m/>
    <n v="600250"/>
    <s v="TATA CENTER"/>
    <n v="2439203"/>
    <s v="CRCA COIL TSBSTA EL06 0.500X1160"/>
    <s v=" "/>
    <s v=""/>
    <n v="8"/>
    <n v="13"/>
    <s v="Wider"/>
    <s v="C01"/>
    <s v="TSBSTA"/>
    <s v="EL06"/>
    <n v="0.5"/>
    <n v="1160"/>
    <n v="0"/>
    <n v="297"/>
    <n v="10.91"/>
    <n v="297"/>
    <n v="297"/>
    <n v="0"/>
    <n v="297"/>
    <n v="297"/>
    <m/>
    <n v="297"/>
    <n v="286.08999999999997"/>
    <n v="0"/>
    <n v="332.64000000000004"/>
    <n v="0"/>
    <n v="0"/>
    <n v="0"/>
    <n v="0"/>
    <n v="0"/>
    <n v="0"/>
    <n v="0"/>
    <n v="0"/>
    <n v="0"/>
    <n v="0"/>
    <n v="0"/>
    <n v="0"/>
    <n v="0"/>
    <n v="0"/>
    <n v="0"/>
    <n v="0"/>
    <n v="0"/>
    <n v="0"/>
    <n v="0"/>
    <n v="0"/>
    <n v="0"/>
    <n v="0"/>
    <n v="0"/>
    <n v="10.91"/>
    <n v="286.08999999999997"/>
    <n v="0"/>
    <n v="0"/>
    <n v="286.08999999999997"/>
    <n v="0"/>
    <n v="0"/>
    <n v="297"/>
    <n v="0"/>
    <n v="0"/>
    <n v="0"/>
    <n v="297"/>
    <n v="0"/>
    <n v="0"/>
    <m/>
    <m/>
    <m/>
    <m/>
    <m/>
    <m/>
    <m/>
    <m/>
    <m/>
    <m/>
    <m/>
    <m/>
    <m/>
    <m/>
    <m/>
    <m/>
    <m/>
    <m/>
    <m/>
    <m/>
    <m/>
    <m/>
    <m/>
    <m/>
    <m/>
    <m/>
    <m/>
    <m/>
    <m/>
    <m/>
    <m/>
    <m/>
    <m/>
    <m/>
  </r>
  <r>
    <n v="742"/>
    <d v="2025-02-13T00:00:00"/>
    <s v="ZBTF"/>
    <n v="9518517180"/>
    <n v="2"/>
    <s v="9518517180-2"/>
    <m/>
    <s v="Mar'25"/>
    <s v="Released orders"/>
    <x v="1"/>
    <x v="4"/>
    <s v="1000-IPPE"/>
    <m/>
    <x v="0"/>
    <m/>
    <m/>
    <m/>
    <m/>
    <s v="PILKHUWA"/>
    <m/>
    <n v="600250"/>
    <s v="TATA CENTER"/>
    <n v="2439203"/>
    <s v="CRCA COIL TSBSTA EL06 0.500X1160"/>
    <s v=" "/>
    <s v=""/>
    <n v="8"/>
    <n v="13"/>
    <s v="Wider"/>
    <s v="C01"/>
    <s v="TSBSTA"/>
    <s v="EL06"/>
    <n v="0.5"/>
    <n v="1160"/>
    <n v="0"/>
    <n v="297"/>
    <n v="0"/>
    <n v="297"/>
    <n v="297"/>
    <n v="0"/>
    <n v="297"/>
    <n v="297"/>
    <m/>
    <n v="297"/>
    <n v="297"/>
    <n v="0"/>
    <n v="332.64000000000004"/>
    <n v="0"/>
    <n v="0"/>
    <n v="0"/>
    <n v="0"/>
    <n v="0"/>
    <n v="0"/>
    <n v="0"/>
    <n v="0"/>
    <n v="0"/>
    <n v="0"/>
    <n v="0"/>
    <n v="0"/>
    <n v="0"/>
    <n v="0"/>
    <n v="0"/>
    <n v="0"/>
    <n v="0"/>
    <n v="0"/>
    <n v="0"/>
    <n v="0"/>
    <n v="0"/>
    <n v="0"/>
    <n v="0"/>
    <n v="0"/>
    <n v="297"/>
    <n v="0"/>
    <n v="0"/>
    <n v="297"/>
    <n v="0"/>
    <n v="0"/>
    <n v="297"/>
    <n v="0"/>
    <n v="0"/>
    <n v="297"/>
    <n v="0"/>
    <n v="0"/>
    <n v="0"/>
    <m/>
    <m/>
    <m/>
    <m/>
    <m/>
    <m/>
    <m/>
    <m/>
    <m/>
    <m/>
    <m/>
    <m/>
    <m/>
    <m/>
    <m/>
    <m/>
    <m/>
    <m/>
    <m/>
    <m/>
    <m/>
    <m/>
    <m/>
    <m/>
    <m/>
    <m/>
    <m/>
    <m/>
    <m/>
    <m/>
    <m/>
    <m/>
    <m/>
    <m/>
  </r>
  <r>
    <n v="742"/>
    <d v="2025-02-11T00:00:00"/>
    <s v="ZBTO"/>
    <n v="9518510820"/>
    <n v="6"/>
    <s v="9518510820-6"/>
    <m/>
    <s v="Mar'25"/>
    <s v="Released orders"/>
    <x v="1"/>
    <x v="1"/>
    <n v="2000"/>
    <m/>
    <x v="0"/>
    <s v="Mar"/>
    <m/>
    <s v="Uttar Pradesh"/>
    <m/>
    <m/>
    <m/>
    <n v="115841"/>
    <s v="O.V.S. ISPAT UDYOG"/>
    <n v="3240761"/>
    <s v="CRCA SHEET TSBCRC SR15 0.500X1250X2030"/>
    <s v=""/>
    <s v=""/>
    <m/>
    <m/>
    <s v="Wider"/>
    <s v="C06"/>
    <s v="TSBCRC"/>
    <s v="SR15"/>
    <n v="0.5"/>
    <n v="1250"/>
    <n v="2030"/>
    <n v="27"/>
    <n v="0"/>
    <n v="27"/>
    <n v="27"/>
    <e v="#N/A"/>
    <e v="#N/A"/>
    <m/>
    <n v="0"/>
    <n v="27"/>
    <n v="27"/>
    <n v="0"/>
    <n v="30.240000000000002"/>
    <n v="0"/>
    <n v="0"/>
    <n v="0"/>
    <n v="0"/>
    <n v="0"/>
    <n v="0"/>
    <n v="0"/>
    <n v="0"/>
    <n v="0"/>
    <n v="0"/>
    <n v="0"/>
    <n v="0"/>
    <n v="0"/>
    <n v="0"/>
    <n v="0"/>
    <n v="0"/>
    <n v="0"/>
    <n v="0"/>
    <n v="0"/>
    <n v="0"/>
    <n v="0"/>
    <n v="0"/>
    <n v="0"/>
    <n v="0"/>
    <n v="27"/>
    <n v="0"/>
    <n v="0"/>
    <n v="0"/>
    <n v="27"/>
    <n v="0"/>
    <n v="27"/>
    <n v="0"/>
    <n v="0"/>
    <n v="0"/>
    <n v="27"/>
    <n v="0"/>
    <n v="0"/>
    <m/>
    <m/>
    <m/>
    <m/>
    <m/>
    <m/>
    <m/>
    <m/>
    <m/>
    <m/>
    <m/>
    <m/>
    <m/>
    <m/>
    <m/>
    <m/>
    <m/>
    <m/>
    <m/>
    <m/>
    <m/>
    <m/>
    <m/>
    <m/>
    <m/>
    <m/>
    <m/>
    <m/>
    <m/>
    <m/>
    <m/>
    <m/>
    <m/>
    <m/>
  </r>
  <r>
    <n v="742"/>
    <d v="2025-02-18T00:00:00"/>
    <s v="ZBTO"/>
    <n v="9518529569"/>
    <n v="2"/>
    <s v="9518529569-2"/>
    <m/>
    <s v="Mar'25"/>
    <s v="Released orders"/>
    <x v="1"/>
    <x v="1"/>
    <n v="2000"/>
    <m/>
    <x v="0"/>
    <s v="Mar"/>
    <m/>
    <s v="Rajasthan"/>
    <m/>
    <m/>
    <m/>
    <n v="116137"/>
    <s v="PELIKAN DOSSIER PRIVATE LIMITE"/>
    <n v="3240765"/>
    <s v="CRCA SHEET TSBCRC SR15 0.500X1250X2500"/>
    <s v=""/>
    <s v=""/>
    <m/>
    <m/>
    <s v="Wider"/>
    <s v="C06"/>
    <s v="TSBCRC"/>
    <s v="SR15"/>
    <n v="0.5"/>
    <n v="1250"/>
    <n v="0"/>
    <n v="99"/>
    <n v="0"/>
    <n v="99"/>
    <n v="99"/>
    <e v="#N/A"/>
    <e v="#N/A"/>
    <m/>
    <n v="0"/>
    <n v="99"/>
    <n v="99"/>
    <n v="0"/>
    <n v="110.88000000000001"/>
    <n v="0"/>
    <n v="0"/>
    <n v="0"/>
    <n v="0"/>
    <n v="0"/>
    <n v="0"/>
    <n v="0"/>
    <n v="0"/>
    <n v="0"/>
    <n v="0"/>
    <n v="0"/>
    <n v="0"/>
    <n v="0"/>
    <n v="0"/>
    <n v="0"/>
    <n v="0"/>
    <n v="0"/>
    <n v="0"/>
    <n v="0"/>
    <n v="0"/>
    <n v="0"/>
    <n v="0"/>
    <n v="0"/>
    <n v="0"/>
    <n v="99"/>
    <n v="0"/>
    <n v="0"/>
    <n v="0"/>
    <n v="99"/>
    <n v="0"/>
    <n v="99"/>
    <n v="0"/>
    <n v="0"/>
    <n v="0"/>
    <n v="99"/>
    <n v="0"/>
    <n v="0"/>
    <m/>
    <m/>
    <m/>
    <m/>
    <m/>
    <m/>
    <m/>
    <m/>
    <m/>
    <m/>
    <m/>
    <m/>
    <m/>
    <m/>
    <m/>
    <m/>
    <m/>
    <m/>
    <m/>
    <m/>
    <m/>
    <m/>
    <m/>
    <m/>
    <m/>
    <m/>
    <m/>
    <m/>
    <m/>
    <m/>
    <m/>
    <m/>
    <m/>
    <m/>
  </r>
  <r>
    <n v="742"/>
    <d v="2025-02-03T00:00:00"/>
    <s v="ZBTO"/>
    <n v="9518490862"/>
    <n v="2"/>
    <s v="9518490862-2"/>
    <m/>
    <s v="Mar'25 additional"/>
    <s v="Released orders"/>
    <x v="1"/>
    <x v="1"/>
    <n v="2000"/>
    <m/>
    <x v="1"/>
    <m/>
    <m/>
    <s v="West Bengal"/>
    <m/>
    <m/>
    <m/>
    <n v="925093"/>
    <s v="PSPL STEEL PROCESSORS PRIVATE"/>
    <n v="3240765"/>
    <s v="CRCA SHEET TSBCRC SR15 0.500X1250X2500"/>
    <s v=""/>
    <s v=""/>
    <m/>
    <m/>
    <s v="Wider"/>
    <s v="C06"/>
    <s v="TSBCRC"/>
    <s v="SR15"/>
    <n v="0.5"/>
    <n v="1250"/>
    <n v="0"/>
    <n v="75"/>
    <n v="0"/>
    <n v="75"/>
    <n v="75"/>
    <e v="#N/A"/>
    <e v="#N/A"/>
    <m/>
    <n v="0"/>
    <n v="75"/>
    <n v="75"/>
    <n v="0"/>
    <n v="84.000000000000014"/>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8906"/>
    <n v="7"/>
    <s v="9518518906-7"/>
    <m/>
    <s v="Mar'25"/>
    <s v="Released orders"/>
    <x v="1"/>
    <x v="1"/>
    <s v="2000-BPRS"/>
    <m/>
    <x v="0"/>
    <s v="Mar"/>
    <m/>
    <m/>
    <m/>
    <s v="VARANASI"/>
    <m/>
    <n v="931525"/>
    <s v="INDIA STEEL INDUSTRIES"/>
    <n v="3912459"/>
    <s v="CRCA SHEET TSBCRC SR15 0.700X1000X1925"/>
    <s v=" "/>
    <s v=""/>
    <n v="0"/>
    <n v="0"/>
    <s v="Narrow"/>
    <s v="C06"/>
    <s v="TSBCRC"/>
    <s v="SR15"/>
    <n v="0.7"/>
    <n v="1000"/>
    <n v="1925"/>
    <n v="33"/>
    <n v="0"/>
    <n v="33"/>
    <n v="33"/>
    <n v="0"/>
    <n v="33"/>
    <m/>
    <m/>
    <n v="33"/>
    <n v="33"/>
    <n v="0"/>
    <n v="36.96"/>
    <n v="0"/>
    <n v="0"/>
    <n v="0"/>
    <n v="0"/>
    <n v="0"/>
    <n v="0"/>
    <n v="0"/>
    <n v="0"/>
    <n v="0"/>
    <n v="0"/>
    <n v="0"/>
    <n v="0"/>
    <n v="0"/>
    <n v="0"/>
    <n v="0"/>
    <n v="0"/>
    <n v="0"/>
    <n v="0"/>
    <n v="0"/>
    <n v="0"/>
    <n v="0"/>
    <n v="0"/>
    <n v="0"/>
    <n v="0"/>
    <n v="33"/>
    <n v="0"/>
    <n v="0"/>
    <n v="0"/>
    <n v="33"/>
    <n v="0"/>
    <n v="33"/>
    <n v="0"/>
    <n v="0"/>
    <n v="0"/>
    <n v="33"/>
    <n v="0"/>
    <n v="0"/>
    <m/>
    <m/>
    <m/>
    <m/>
    <m/>
    <m/>
    <m/>
    <m/>
    <m/>
    <m/>
    <m/>
    <m/>
    <m/>
    <m/>
    <m/>
    <m/>
    <m/>
    <m/>
    <m/>
    <m/>
    <m/>
    <m/>
    <m/>
    <m/>
    <m/>
    <m/>
    <m/>
    <m/>
    <m/>
    <m/>
    <m/>
    <m/>
    <m/>
    <m/>
  </r>
  <r>
    <n v="742"/>
    <d v="2025-02-05T00:00:00"/>
    <s v="ZBTO"/>
    <n v="9518495161"/>
    <n v="2"/>
    <s v="9518495161-2"/>
    <m/>
    <s v="Mar'25"/>
    <s v="Released orders"/>
    <x v="1"/>
    <x v="1"/>
    <n v="2000"/>
    <m/>
    <x v="0"/>
    <s v="Mar"/>
    <m/>
    <s v="Jharkhand"/>
    <m/>
    <m/>
    <m/>
    <n v="165053"/>
    <s v="SUDISA ENTERPRISES (P) LTD."/>
    <n v="3240765"/>
    <s v="CRCA SHEET TSBCRC SR15 0.500X1250X2500"/>
    <s v=""/>
    <s v=""/>
    <m/>
    <m/>
    <s v="Wider"/>
    <s v="C06"/>
    <s v="TSBCRC"/>
    <s v="SR15"/>
    <n v="0.5"/>
    <n v="1250"/>
    <n v="0"/>
    <n v="30"/>
    <n v="0"/>
    <n v="30"/>
    <n v="30"/>
    <e v="#N/A"/>
    <e v="#N/A"/>
    <m/>
    <n v="0"/>
    <n v="30"/>
    <n v="30"/>
    <n v="0"/>
    <n v="33.6"/>
    <n v="0"/>
    <n v="0"/>
    <n v="0"/>
    <n v="0"/>
    <n v="0"/>
    <n v="0"/>
    <n v="0"/>
    <n v="0"/>
    <n v="0"/>
    <n v="0"/>
    <n v="0"/>
    <n v="0"/>
    <n v="0"/>
    <n v="0"/>
    <n v="0"/>
    <n v="0"/>
    <n v="0"/>
    <n v="0"/>
    <n v="0"/>
    <n v="0"/>
    <n v="0"/>
    <n v="0"/>
    <n v="0"/>
    <n v="0"/>
    <n v="30"/>
    <n v="0"/>
    <n v="0"/>
    <n v="0"/>
    <n v="30"/>
    <n v="0"/>
    <n v="30"/>
    <n v="0"/>
    <n v="0"/>
    <n v="0"/>
    <n v="30"/>
    <n v="0"/>
    <n v="0"/>
    <m/>
    <m/>
    <m/>
    <m/>
    <m/>
    <m/>
    <m/>
    <m/>
    <m/>
    <m/>
    <m/>
    <m/>
    <m/>
    <m/>
    <m/>
    <m/>
    <m/>
    <m/>
    <m/>
    <m/>
    <m/>
    <m/>
    <m/>
    <m/>
    <m/>
    <m/>
    <m/>
    <m/>
    <m/>
    <m/>
    <m/>
    <m/>
    <m/>
    <m/>
  </r>
  <r>
    <n v="742"/>
    <d v="2025-02-10T00:00:00"/>
    <s v="ZBTO"/>
    <n v="9518507657"/>
    <n v="9"/>
    <s v="9518507657-9"/>
    <m/>
    <s v="Mar'25"/>
    <s v="Released orders"/>
    <x v="1"/>
    <x v="1"/>
    <s v="2000-BPRS"/>
    <m/>
    <x v="0"/>
    <s v="Mar"/>
    <m/>
    <m/>
    <m/>
    <s v="GUWAHATI"/>
    <m/>
    <n v="116649"/>
    <s v="SAGAR STEELS"/>
    <n v="3240790"/>
    <s v="CRCA SHEET TSBCRC SR15 0.700X1000X2500"/>
    <s v=" "/>
    <s v=""/>
    <n v="2"/>
    <n v="3"/>
    <s v="Narrow"/>
    <s v="C06"/>
    <s v="TSBCRC"/>
    <s v="SR15"/>
    <n v="0.7"/>
    <n v="1000"/>
    <n v="2500"/>
    <n v="21"/>
    <n v="0"/>
    <n v="21"/>
    <n v="21"/>
    <n v="0"/>
    <n v="21"/>
    <m/>
    <m/>
    <n v="21"/>
    <n v="21"/>
    <n v="0"/>
    <n v="23.520000000000003"/>
    <n v="0"/>
    <n v="0"/>
    <n v="0"/>
    <n v="0"/>
    <n v="0"/>
    <n v="0"/>
    <n v="0"/>
    <n v="0"/>
    <n v="0"/>
    <n v="0"/>
    <n v="0"/>
    <n v="0"/>
    <n v="0"/>
    <n v="0"/>
    <n v="0"/>
    <n v="0"/>
    <n v="0"/>
    <n v="0"/>
    <n v="0"/>
    <n v="0"/>
    <n v="0"/>
    <n v="0"/>
    <n v="0"/>
    <n v="0"/>
    <n v="21"/>
    <n v="0"/>
    <n v="0"/>
    <n v="0"/>
    <n v="0"/>
    <n v="21"/>
    <n v="0"/>
    <n v="0"/>
    <n v="0"/>
    <n v="0"/>
    <n v="0"/>
    <n v="0"/>
    <n v="21"/>
    <m/>
    <m/>
    <m/>
    <m/>
    <m/>
    <m/>
    <m/>
    <m/>
    <m/>
    <m/>
    <m/>
    <m/>
    <m/>
    <m/>
    <m/>
    <m/>
    <m/>
    <m/>
    <m/>
    <m/>
    <m/>
    <m/>
    <m/>
    <m/>
    <m/>
    <m/>
    <m/>
    <m/>
    <m/>
    <m/>
    <m/>
    <m/>
    <m/>
    <m/>
  </r>
  <r>
    <n v="742"/>
    <d v="2025-01-13T00:00:00"/>
    <s v="ZBTO"/>
    <n v="9518426290"/>
    <n v="7"/>
    <s v="9518426290-7"/>
    <m/>
    <s v="No Priority"/>
    <s v="Released orders"/>
    <x v="1"/>
    <x v="1"/>
    <n v="2000"/>
    <m/>
    <x v="1"/>
    <m/>
    <m/>
    <s v="Bihar"/>
    <m/>
    <m/>
    <m/>
    <n v="103227"/>
    <s v="BMW VENTURES LIMITED"/>
    <n v="3240766"/>
    <s v="CRCA SHEET TSBCRC SR15 0.580X1250X2500"/>
    <s v=""/>
    <s v=""/>
    <m/>
    <m/>
    <s v="Wider"/>
    <s v="C06"/>
    <s v="TSBCRC"/>
    <s v="SR15"/>
    <n v="0.57999999999999996"/>
    <n v="125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90"/>
    <n v="9"/>
    <s v="9518426290-9"/>
    <m/>
    <s v="No Priority"/>
    <s v="Released orders"/>
    <x v="1"/>
    <x v="1"/>
    <s v="2000-BPRS"/>
    <m/>
    <x v="1"/>
    <s v="Mar"/>
    <m/>
    <m/>
    <m/>
    <s v="PURNIA"/>
    <m/>
    <n v="103227"/>
    <s v="BMW VENTURES LIMITED"/>
    <n v="3240785"/>
    <s v="CRCA SHEET TSBCRC SR15 0.600X1250X2500"/>
    <s v=" "/>
    <s v=""/>
    <n v="0"/>
    <n v="0"/>
    <s v="Wider"/>
    <s v="C06"/>
    <s v="TSBCRC"/>
    <s v="SR15"/>
    <n v="0.6"/>
    <n v="1250"/>
    <n v="2500"/>
    <n v="24"/>
    <e v="#N/A"/>
    <n v="24"/>
    <n v="24"/>
    <n v="0"/>
    <n v="24"/>
    <m/>
    <m/>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9138"/>
    <n v="8"/>
    <s v="9518499138-8"/>
    <m/>
    <s v="No Priority"/>
    <s v="Failed orders"/>
    <x v="1"/>
    <x v="1"/>
    <n v="2000"/>
    <m/>
    <x v="1"/>
    <s v="Mar"/>
    <m/>
    <s v="Jharkhand"/>
    <m/>
    <m/>
    <m/>
    <n v="121328"/>
    <s v="R. S. BOKARO METAL (P) LTD."/>
    <n v="2441004"/>
    <s v="CRCA SHEET TATCRC SR16 0.430X1250X2500"/>
    <s v=""/>
    <s v=""/>
    <m/>
    <m/>
    <s v="Wider"/>
    <s v="C06"/>
    <s v="TATCRC"/>
    <s v="SR16"/>
    <n v="0.43"/>
    <n v="1250"/>
    <n v="2500"/>
    <n v="60"/>
    <e v="#N/A"/>
    <n v="60"/>
    <n v="60"/>
    <e v="#N/A"/>
    <e v="#N/A"/>
    <n v="60"/>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743"/>
    <d v="2025-02-05T00:00:00"/>
    <s v="ZBTO"/>
    <n v="9518495509"/>
    <n v="4"/>
    <s v="9518495509-4"/>
    <m/>
    <s v="Stocks"/>
    <s v="Released orders"/>
    <x v="2"/>
    <x v="2"/>
    <s v="2000-BPRS"/>
    <m/>
    <x v="0"/>
    <m/>
    <m/>
    <m/>
    <m/>
    <s v="KANPUR"/>
    <m/>
    <n v="933952"/>
    <s v="AGARWAL STEEL TRADERS"/>
    <n v="1854418"/>
    <s v="GP COIL SOFT-TATXGP-GK09-0.5X900"/>
    <s v="Z80"/>
    <s v=""/>
    <n v="3.2"/>
    <n v="5"/>
    <s v="Narrow"/>
    <s v="C02"/>
    <s v="TATXGP"/>
    <s v="GK09"/>
    <n v="0.5"/>
    <n v="900"/>
    <n v="0"/>
    <n v="62.99"/>
    <n v="57.015000000000001"/>
    <n v="62.99"/>
    <n v="24.83"/>
    <n v="21.05"/>
    <n v="0"/>
    <m/>
    <n v="21.05"/>
    <n v="0"/>
    <n v="5.9749999999999996"/>
    <n v="0"/>
    <n v="0"/>
    <n v="0"/>
    <n v="41.24"/>
    <n v="20.3"/>
    <n v="0"/>
    <n v="0"/>
    <n v="0"/>
    <n v="0"/>
    <n v="0"/>
    <n v="0"/>
    <n v="0"/>
    <n v="0"/>
    <n v="0"/>
    <n v="0"/>
    <n v="0"/>
    <n v="0"/>
    <n v="0"/>
    <n v="0"/>
    <n v="0"/>
    <n v="61.540000000000006"/>
    <n v="61.540000000000006"/>
    <n v="0"/>
    <n v="21.05"/>
    <n v="0"/>
    <n v="32.955000000000005"/>
    <n v="0"/>
    <n v="0"/>
    <n v="0"/>
    <n v="0"/>
    <n v="0"/>
    <n v="0"/>
    <n v="32.955000000000005"/>
    <n v="0"/>
    <n v="32.955000000000005"/>
    <n v="0"/>
    <n v="0"/>
    <n v="0"/>
    <n v="0"/>
    <m/>
    <m/>
    <m/>
    <m/>
    <m/>
    <m/>
    <m/>
    <m/>
    <m/>
    <m/>
    <m/>
    <m/>
    <m/>
    <m/>
    <m/>
    <m/>
    <m/>
    <m/>
    <m/>
    <m/>
    <m/>
    <m/>
    <m/>
    <m/>
    <m/>
    <m/>
    <m/>
    <m/>
    <m/>
    <m/>
    <m/>
    <m/>
    <m/>
    <m/>
  </r>
  <r>
    <n v="742"/>
    <d v="2025-01-16T00:00:00"/>
    <s v="ZBTO"/>
    <n v="9518433421"/>
    <n v="2"/>
    <s v="9518433421-2"/>
    <m/>
    <s v="No Priority"/>
    <s v="Released orders"/>
    <x v="1"/>
    <x v="3"/>
    <s v="2000-BPRS"/>
    <m/>
    <x v="1"/>
    <s v="Mar"/>
    <s v="Beyond HSM rollability"/>
    <m/>
    <m/>
    <s v="CHENNAI"/>
    <m/>
    <n v="938550"/>
    <s v="BASEER AND CO"/>
    <n v="2352644"/>
    <s v="CRCA COIL TATCRC TR15 0.350X1000"/>
    <s v=" "/>
    <s v=""/>
    <n v="6"/>
    <n v="18"/>
    <s v="Narrow"/>
    <s v="C01"/>
    <s v="TATCRC"/>
    <s v="TR15"/>
    <n v="0.35"/>
    <n v="1000"/>
    <n v="0"/>
    <n v="46"/>
    <n v="0"/>
    <n v="46"/>
    <n v="46"/>
    <n v="0"/>
    <n v="46"/>
    <m/>
    <m/>
    <n v="46"/>
    <n v="46"/>
    <n v="0"/>
    <n v="51.52"/>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89748"/>
    <n v="1"/>
    <s v="9518489748-1"/>
    <m/>
    <s v="No Priority"/>
    <s v="Released orders"/>
    <x v="1"/>
    <x v="3"/>
    <s v="2000-BPRS"/>
    <m/>
    <x v="1"/>
    <s v="Mar"/>
    <s v="Low exp BTF"/>
    <m/>
    <m/>
    <s v="DERABASSI"/>
    <m/>
    <n v="819097"/>
    <s v="BHAGWATI STEEL SALES"/>
    <n v="1801456"/>
    <s v="CRCA COIL-TATXXD-AU03-0.7X1250"/>
    <s v=" "/>
    <s v=""/>
    <n v="10"/>
    <n v="30"/>
    <s v="Wider"/>
    <s v="C01"/>
    <s v="TATXXD"/>
    <s v="AU03"/>
    <n v="0.7"/>
    <n v="1250"/>
    <n v="0"/>
    <n v="29"/>
    <n v="24.475000000000001"/>
    <n v="29"/>
    <n v="29"/>
    <n v="26.89"/>
    <n v="0"/>
    <m/>
    <n v="0"/>
    <n v="2.1099999999999994"/>
    <n v="4.5250000000000004"/>
    <n v="0"/>
    <n v="0"/>
    <n v="0"/>
    <n v="0"/>
    <n v="0"/>
    <n v="0"/>
    <n v="0"/>
    <n v="0"/>
    <n v="0"/>
    <n v="0"/>
    <n v="0"/>
    <n v="0"/>
    <n v="0"/>
    <n v="26.89"/>
    <n v="0"/>
    <n v="0"/>
    <n v="0"/>
    <n v="0"/>
    <n v="0"/>
    <n v="0"/>
    <n v="26.89"/>
    <n v="26.89"/>
    <n v="0"/>
    <n v="26.89"/>
    <n v="26.89"/>
    <n v="0"/>
    <n v="0"/>
    <n v="0"/>
    <n v="0"/>
    <n v="0"/>
    <n v="0"/>
    <n v="0"/>
    <n v="0"/>
    <n v="0"/>
    <n v="0"/>
    <n v="0"/>
    <n v="0"/>
    <n v="0"/>
    <n v="0"/>
    <m/>
    <m/>
    <m/>
    <m/>
    <m/>
    <m/>
    <m/>
    <m/>
    <m/>
    <m/>
    <m/>
    <m/>
    <m/>
    <m/>
    <m/>
    <m/>
    <m/>
    <m/>
    <m/>
    <m/>
    <m/>
    <m/>
    <m/>
    <m/>
    <m/>
    <m/>
    <m/>
    <m/>
    <m/>
    <m/>
    <m/>
    <m/>
    <m/>
    <m/>
  </r>
  <r>
    <n v="743"/>
    <d v="2025-02-18T00:00:00"/>
    <s v="ZBTO"/>
    <n v="9518528325"/>
    <n v="7"/>
    <s v="9518528325-7"/>
    <m/>
    <s v="Mar'25"/>
    <s v="Released orders"/>
    <x v="2"/>
    <x v="6"/>
    <s v="2000-BPRS"/>
    <m/>
    <x v="0"/>
    <m/>
    <m/>
    <m/>
    <m/>
    <s v="KOLKATA"/>
    <m/>
    <n v="100922"/>
    <s v="BUBNA COMMERCIAL COMPANY"/>
    <n v="1300228"/>
    <s v="GP COIL SOFT-TATXGP-GLK1-0.5X1220"/>
    <s v="Z80"/>
    <s v=""/>
    <n v="5"/>
    <n v="15"/>
    <s v="Wider"/>
    <s v="C02"/>
    <s v="TATXGP"/>
    <s v="GLK1"/>
    <n v="0.5"/>
    <n v="1220"/>
    <n v="0"/>
    <n v="28"/>
    <n v="0"/>
    <n v="28"/>
    <n v="28"/>
    <n v="0"/>
    <n v="28"/>
    <m/>
    <m/>
    <n v="28"/>
    <n v="28"/>
    <n v="0"/>
    <n v="31.360000000000003"/>
    <n v="0"/>
    <n v="0"/>
    <n v="0"/>
    <n v="0"/>
    <n v="0"/>
    <n v="0"/>
    <n v="0"/>
    <n v="0"/>
    <n v="0"/>
    <n v="0"/>
    <n v="0"/>
    <n v="0"/>
    <n v="0"/>
    <n v="0"/>
    <n v="0"/>
    <n v="0"/>
    <n v="0"/>
    <n v="0"/>
    <n v="0"/>
    <n v="0"/>
    <n v="0"/>
    <n v="0"/>
    <n v="0"/>
    <n v="0"/>
    <n v="28"/>
    <n v="0"/>
    <n v="0"/>
    <n v="28"/>
    <n v="0"/>
    <n v="0"/>
    <n v="28"/>
    <n v="0"/>
    <n v="0"/>
    <n v="28"/>
    <n v="0"/>
    <n v="0"/>
    <n v="0"/>
    <m/>
    <m/>
    <m/>
    <m/>
    <m/>
    <m/>
    <m/>
    <m/>
    <m/>
    <m/>
    <m/>
    <m/>
    <m/>
    <m/>
    <m/>
    <m/>
    <m/>
    <m/>
    <m/>
    <m/>
    <m/>
    <m/>
    <m/>
    <m/>
    <m/>
    <m/>
    <m/>
    <m/>
    <m/>
    <m/>
    <m/>
    <m/>
    <m/>
    <m/>
  </r>
  <r>
    <n v="742"/>
    <d v="2024-12-19T00:00:00"/>
    <s v="ZBTO"/>
    <n v="9518356689"/>
    <n v="25"/>
    <s v="9518356689-25"/>
    <m/>
    <s v="Stocks"/>
    <s v="Released orders"/>
    <x v="1"/>
    <x v="3"/>
    <s v="2000-BPRS"/>
    <m/>
    <x v="0"/>
    <m/>
    <m/>
    <m/>
    <m/>
    <s v="CHENNAI"/>
    <m/>
    <n v="938550"/>
    <s v="BASEER AND CO"/>
    <n v="274376"/>
    <s v="CRSHEET C06TATXXD AU03 2.0X1250X2500"/>
    <s v=" "/>
    <s v=""/>
    <n v="0"/>
    <n v="0"/>
    <s v="Wider"/>
    <s v="C06"/>
    <s v="TATXXD"/>
    <s v="AU03"/>
    <n v="2"/>
    <n v="1250"/>
    <n v="2500"/>
    <n v="27"/>
    <n v="19.68"/>
    <n v="27"/>
    <n v="10.23"/>
    <n v="58.52"/>
    <n v="0"/>
    <m/>
    <n v="21.2"/>
    <n v="5.8000000000000007"/>
    <n v="7.32"/>
    <n v="0"/>
    <n v="6.4960000000000013"/>
    <n v="0"/>
    <n v="0"/>
    <n v="0"/>
    <n v="0"/>
    <n v="0"/>
    <n v="0"/>
    <n v="0"/>
    <n v="0"/>
    <n v="0"/>
    <n v="0"/>
    <n v="0"/>
    <n v="0"/>
    <n v="21.2"/>
    <n v="0"/>
    <n v="0"/>
    <n v="0"/>
    <n v="0"/>
    <n v="0"/>
    <n v="21.2"/>
    <n v="21.2"/>
    <n v="0"/>
    <n v="21.2"/>
    <n v="37.320000000000007"/>
    <n v="2.91"/>
    <n v="0"/>
    <n v="0"/>
    <n v="0"/>
    <n v="0"/>
    <n v="0"/>
    <n v="0"/>
    <n v="2.91"/>
    <n v="0"/>
    <n v="2.91"/>
    <n v="0"/>
    <n v="0"/>
    <n v="0"/>
    <n v="0"/>
    <m/>
    <m/>
    <m/>
    <m/>
    <m/>
    <m/>
    <m/>
    <m/>
    <m/>
    <m/>
    <m/>
    <m/>
    <m/>
    <m/>
    <m/>
    <m/>
    <m/>
    <m/>
    <m/>
    <m/>
    <m/>
    <m/>
    <m/>
    <m/>
    <m/>
    <m/>
    <m/>
    <m/>
    <m/>
    <m/>
    <m/>
    <m/>
    <m/>
    <m/>
  </r>
  <r>
    <n v="742"/>
    <d v="2025-01-10T00:00:00"/>
    <s v="ZBTO"/>
    <n v="9518419878"/>
    <n v="4"/>
    <s v="9518419878-4"/>
    <m/>
    <s v="Feb'25"/>
    <s v="Released orders"/>
    <x v="1"/>
    <x v="1"/>
    <n v="2000"/>
    <m/>
    <x v="1"/>
    <m/>
    <m/>
    <s v="JH"/>
    <s v="East"/>
    <m/>
    <m/>
    <n v="165053"/>
    <s v="SUDISA ENTERPRISES (P) LTD."/>
    <n v="3239568"/>
    <s v="CRCA SHEET TATCRC SR16 0.450X1250X2500"/>
    <s v=""/>
    <m/>
    <m/>
    <m/>
    <s v="Wider"/>
    <s v="C06"/>
    <s v="TATCRC"/>
    <s v="SR16"/>
    <n v="0.45"/>
    <n v="1250"/>
    <n v="2500"/>
    <n v="30"/>
    <n v="17.065000000000001"/>
    <n v="30"/>
    <n v="30"/>
    <n v="55.195"/>
    <n v="0"/>
    <m/>
    <n v="0"/>
    <n v="30"/>
    <n v="12.925000000000001"/>
    <n v="0"/>
    <n v="3.1247999999999991"/>
    <n v="0"/>
    <n v="0"/>
    <n v="0"/>
    <n v="0"/>
    <n v="0"/>
    <n v="0"/>
    <n v="0"/>
    <n v="0"/>
    <n v="0"/>
    <n v="0"/>
    <n v="0"/>
    <n v="27.21"/>
    <n v="0"/>
    <n v="0"/>
    <n v="0"/>
    <n v="0"/>
    <n v="0"/>
    <n v="0"/>
    <n v="27.21"/>
    <n v="27.21"/>
    <n v="0"/>
    <n v="27.21"/>
    <n v="55.195"/>
    <n v="0"/>
    <n v="0"/>
    <n v="0"/>
    <n v="0"/>
    <n v="0"/>
    <n v="0"/>
    <n v="0"/>
    <n v="0"/>
    <n v="0"/>
    <n v="0"/>
    <n v="0"/>
    <n v="0"/>
    <n v="0"/>
    <n v="0"/>
    <n v="0"/>
    <n v="0"/>
    <n v="0"/>
    <n v="0"/>
    <n v="0"/>
    <n v="0"/>
    <m/>
    <m/>
    <m/>
    <m/>
    <m/>
    <m/>
    <m/>
    <m/>
    <m/>
    <s v="1"/>
    <s v="1"/>
    <s v="1"/>
    <s v="1"/>
    <s v="1"/>
    <m/>
    <m/>
    <m/>
    <m/>
    <m/>
    <m/>
    <m/>
    <m/>
    <m/>
    <m/>
    <m/>
    <m/>
    <m/>
    <m/>
  </r>
  <r>
    <n v="742"/>
    <d v="2025-02-09T00:00:00"/>
    <s v="ZBTO"/>
    <n v="9518505599"/>
    <n v="2"/>
    <s v="9518505599-2"/>
    <m/>
    <s v="Mar'25 additional"/>
    <s v="Released orders"/>
    <x v="1"/>
    <x v="3"/>
    <s v="2000-BPRS"/>
    <m/>
    <x v="0"/>
    <s v="Mar"/>
    <m/>
    <m/>
    <m/>
    <s v="PATTANCHERY"/>
    <m/>
    <n v="939422"/>
    <s v="VIJAY VENKAT STEELS PRIVATE LIMITED"/>
    <n v="1804908"/>
    <s v="CRCA COIL TATCRC TR15 0.5X1250"/>
    <s v=" "/>
    <s v=""/>
    <n v="18"/>
    <n v="30"/>
    <s v="Wider"/>
    <s v="C01"/>
    <s v="TATCRC"/>
    <s v="TR15"/>
    <n v="0.5"/>
    <n v="1250"/>
    <n v="0"/>
    <n v="29"/>
    <n v="0"/>
    <n v="29"/>
    <n v="29"/>
    <n v="23.47"/>
    <n v="0"/>
    <m/>
    <n v="0"/>
    <n v="4.8000000000000007"/>
    <n v="29"/>
    <n v="0"/>
    <n v="0"/>
    <n v="0"/>
    <n v="0"/>
    <n v="0"/>
    <n v="0"/>
    <n v="0"/>
    <n v="0"/>
    <n v="0"/>
    <n v="0"/>
    <n v="0"/>
    <n v="24.2"/>
    <n v="0"/>
    <n v="0"/>
    <n v="0"/>
    <n v="0"/>
    <n v="0"/>
    <n v="0"/>
    <n v="0"/>
    <n v="0"/>
    <n v="24.2"/>
    <n v="24.2"/>
    <n v="0"/>
    <n v="24.2"/>
    <n v="23.47"/>
    <n v="0"/>
    <n v="29"/>
    <n v="0"/>
    <n v="29"/>
    <n v="0"/>
    <n v="0"/>
    <n v="0"/>
    <n v="29"/>
    <n v="0"/>
    <n v="29"/>
    <n v="0"/>
    <n v="0"/>
    <n v="0"/>
    <n v="0"/>
    <m/>
    <m/>
    <m/>
    <m/>
    <m/>
    <m/>
    <m/>
    <m/>
    <m/>
    <m/>
    <m/>
    <m/>
    <m/>
    <m/>
    <m/>
    <m/>
    <m/>
    <m/>
    <m/>
    <m/>
    <m/>
    <m/>
    <m/>
    <m/>
    <m/>
    <m/>
    <m/>
    <m/>
    <m/>
    <m/>
    <m/>
    <m/>
    <m/>
    <m/>
  </r>
  <r>
    <n v="742"/>
    <d v="2025-02-09T00:00:00"/>
    <s v="ZBTO"/>
    <n v="9518505599"/>
    <n v="7"/>
    <s v="9518505599-7"/>
    <m/>
    <s v="No Priority"/>
    <s v="Released orders"/>
    <x v="1"/>
    <x v="3"/>
    <s v="2000-BPRS"/>
    <m/>
    <x v="1"/>
    <m/>
    <m/>
    <m/>
    <m/>
    <s v="PATTANCHERY"/>
    <m/>
    <n v="939422"/>
    <s v="VIJAY VENKAT STEELS PRIVATE LIMITED"/>
    <n v="2334995"/>
    <s v="CRCA COIL TATXXD AU03 1.500X1250"/>
    <s v=" "/>
    <s v=""/>
    <n v="18"/>
    <n v="30"/>
    <s v="Wider"/>
    <s v="C01"/>
    <s v="TATXXD"/>
    <s v="AU03"/>
    <n v="1.5"/>
    <n v="1250"/>
    <n v="0"/>
    <n v="58"/>
    <n v="51.55"/>
    <n v="32.055"/>
    <n v="6.45"/>
    <n v="2"/>
    <n v="0"/>
    <m/>
    <m/>
    <n v="0"/>
    <n v="6.45"/>
    <n v="0"/>
    <n v="0"/>
    <n v="0"/>
    <n v="0"/>
    <n v="0"/>
    <n v="0"/>
    <n v="0"/>
    <n v="0"/>
    <n v="0"/>
    <n v="0"/>
    <n v="0"/>
    <n v="0"/>
    <n v="0"/>
    <n v="0"/>
    <n v="54.63"/>
    <n v="0"/>
    <n v="0"/>
    <n v="0"/>
    <n v="0"/>
    <n v="0"/>
    <n v="54.63"/>
    <n v="54.63"/>
    <n v="0"/>
    <n v="54.63"/>
    <n v="2"/>
    <n v="0"/>
    <n v="0"/>
    <n v="0"/>
    <n v="0"/>
    <n v="0"/>
    <n v="0"/>
    <n v="0"/>
    <n v="0"/>
    <n v="0"/>
    <n v="0"/>
    <n v="0"/>
    <n v="0"/>
    <n v="0"/>
    <n v="0"/>
    <m/>
    <m/>
    <m/>
    <m/>
    <m/>
    <m/>
    <m/>
    <m/>
    <m/>
    <m/>
    <m/>
    <m/>
    <m/>
    <m/>
    <m/>
    <m/>
    <m/>
    <m/>
    <m/>
    <m/>
    <m/>
    <m/>
    <m/>
    <m/>
    <m/>
    <m/>
    <m/>
    <m/>
    <m/>
    <m/>
    <m/>
    <m/>
    <m/>
    <m/>
  </r>
  <r>
    <n v="742"/>
    <d v="2025-02-06T00:00:00"/>
    <s v="ZBTO"/>
    <n v="9518498155"/>
    <n v="7"/>
    <s v="9518498155-7"/>
    <m/>
    <s v="Mar'25"/>
    <s v="Released orders"/>
    <x v="1"/>
    <x v="3"/>
    <s v="2000-BPRS"/>
    <m/>
    <x v="0"/>
    <m/>
    <m/>
    <m/>
    <m/>
    <s v="VISHAKHAPATNAM"/>
    <m/>
    <n v="946077"/>
    <s v="SITARAM IRON AND STEEL PVT LTD"/>
    <n v="1804854"/>
    <s v="CRCA COIL-TATXXD-AU03-1.2X1250"/>
    <s v=" "/>
    <s v=""/>
    <n v="8"/>
    <n v="29"/>
    <s v="Wider"/>
    <s v="C01"/>
    <s v="TATXXD"/>
    <s v="AU03"/>
    <n v="1.2"/>
    <n v="1250"/>
    <n v="0"/>
    <n v="72"/>
    <n v="50.575000000000003"/>
    <n v="21.425000000000001"/>
    <n v="21.425000000000001"/>
    <n v="27.91"/>
    <n v="0"/>
    <m/>
    <n v="0"/>
    <n v="21.425000000000001"/>
    <n v="21.425000000000001"/>
    <n v="0"/>
    <n v="0"/>
    <n v="0"/>
    <n v="0"/>
    <n v="0"/>
    <n v="0"/>
    <n v="0"/>
    <n v="0"/>
    <n v="0"/>
    <n v="0"/>
    <n v="0"/>
    <n v="0"/>
    <n v="27.91"/>
    <n v="0"/>
    <n v="0"/>
    <n v="0"/>
    <n v="0"/>
    <n v="0"/>
    <n v="0"/>
    <n v="0"/>
    <n v="27.91"/>
    <n v="27.91"/>
    <n v="0"/>
    <n v="27.91"/>
    <n v="27.91"/>
    <n v="0"/>
    <n v="21.425000000000001"/>
    <n v="0"/>
    <n v="0"/>
    <n v="0"/>
    <n v="0"/>
    <n v="21.425000000000001"/>
    <n v="0"/>
    <n v="0"/>
    <n v="0"/>
    <n v="0"/>
    <n v="0"/>
    <n v="0"/>
    <n v="21.425000000000001"/>
    <m/>
    <m/>
    <m/>
    <m/>
    <m/>
    <m/>
    <m/>
    <m/>
    <m/>
    <m/>
    <m/>
    <m/>
    <m/>
    <m/>
    <m/>
    <m/>
    <m/>
    <m/>
    <m/>
    <m/>
    <m/>
    <m/>
    <m/>
    <m/>
    <m/>
    <m/>
    <m/>
    <m/>
    <m/>
    <m/>
    <m/>
    <m/>
    <m/>
    <m/>
  </r>
  <r>
    <n v="742"/>
    <d v="2025-02-06T00:00:00"/>
    <s v="ZBTO"/>
    <n v="9518498155"/>
    <n v="8"/>
    <s v="9518498155-8"/>
    <m/>
    <s v="Stocks"/>
    <s v="Released orders"/>
    <x v="1"/>
    <x v="3"/>
    <s v="2000-BPRS"/>
    <m/>
    <x v="0"/>
    <s v="Mar"/>
    <m/>
    <m/>
    <m/>
    <s v="VISHAKHAPATNAM"/>
    <m/>
    <n v="946077"/>
    <s v="SITARAM IRON AND STEEL PVT LTD"/>
    <n v="2334995"/>
    <s v="CRCA COIL TATXXD AU03 1.500X1250"/>
    <s v=" "/>
    <s v=""/>
    <n v="8"/>
    <n v="29"/>
    <s v="Wider"/>
    <s v="C01"/>
    <s v="TATXXD"/>
    <s v="AU03"/>
    <n v="1.5"/>
    <n v="1250"/>
    <n v="0"/>
    <n v="29"/>
    <n v="25.585000000000001"/>
    <n v="29"/>
    <n v="3.415"/>
    <n v="1.2"/>
    <n v="0"/>
    <m/>
    <m/>
    <n v="1.5"/>
    <n v="3.415"/>
    <n v="0"/>
    <n v="0"/>
    <n v="0"/>
    <n v="0"/>
    <n v="0"/>
    <n v="0"/>
    <n v="0"/>
    <n v="0"/>
    <n v="0"/>
    <n v="0"/>
    <n v="0"/>
    <n v="0"/>
    <n v="0"/>
    <n v="0"/>
    <n v="27.5"/>
    <n v="0"/>
    <n v="0"/>
    <n v="0"/>
    <n v="0"/>
    <n v="0"/>
    <n v="27.5"/>
    <n v="27.5"/>
    <n v="0"/>
    <n v="27.5"/>
    <n v="1.2"/>
    <n v="25.585000000000001"/>
    <n v="0"/>
    <n v="0"/>
    <n v="0"/>
    <n v="0"/>
    <n v="0"/>
    <n v="0"/>
    <n v="25.585000000000001"/>
    <n v="0"/>
    <n v="25.585000000000001"/>
    <n v="0"/>
    <n v="0"/>
    <n v="0"/>
    <n v="0"/>
    <m/>
    <m/>
    <m/>
    <m/>
    <m/>
    <m/>
    <m/>
    <m/>
    <m/>
    <m/>
    <m/>
    <m/>
    <m/>
    <m/>
    <m/>
    <m/>
    <m/>
    <m/>
    <m/>
    <m/>
    <m/>
    <m/>
    <m/>
    <m/>
    <m/>
    <m/>
    <m/>
    <m/>
    <m/>
    <m/>
    <m/>
    <m/>
    <m/>
    <m/>
  </r>
  <r>
    <n v="742"/>
    <d v="2025-02-06T00:00:00"/>
    <s v="ZBTO"/>
    <n v="9518498155"/>
    <n v="10"/>
    <s v="9518498155-10"/>
    <m/>
    <s v="Stocks"/>
    <s v="Released orders"/>
    <x v="1"/>
    <x v="3"/>
    <s v="2000-BPRS"/>
    <m/>
    <x v="0"/>
    <m/>
    <m/>
    <m/>
    <m/>
    <s v="VISHAKHAPATNAM"/>
    <m/>
    <n v="946077"/>
    <s v="SITARAM IRON AND STEEL PVT LTD"/>
    <n v="1884117"/>
    <s v="CRCA COIL-TATXXD-AU03-2X1250"/>
    <s v=" "/>
    <s v=""/>
    <n v="8"/>
    <n v="29"/>
    <s v="Wider"/>
    <s v="C01"/>
    <s v="TATXXD"/>
    <s v="AU03"/>
    <n v="2"/>
    <n v="1250"/>
    <n v="0"/>
    <n v="58"/>
    <n v="50.27"/>
    <n v="45.155000000000001"/>
    <n v="45.155000000000001"/>
    <n v="55.19"/>
    <n v="0"/>
    <m/>
    <n v="0"/>
    <n v="45.155000000000001"/>
    <n v="7.73"/>
    <n v="0"/>
    <n v="0"/>
    <n v="0"/>
    <n v="0"/>
    <n v="0"/>
    <n v="0"/>
    <n v="0"/>
    <n v="0"/>
    <n v="0"/>
    <n v="0"/>
    <n v="0"/>
    <n v="0"/>
    <n v="0"/>
    <n v="55.19"/>
    <n v="0"/>
    <n v="0"/>
    <n v="0"/>
    <n v="0"/>
    <n v="0"/>
    <n v="0"/>
    <n v="55.19"/>
    <n v="55.19"/>
    <n v="0"/>
    <n v="55.19"/>
    <n v="55.19"/>
    <n v="11.8"/>
    <n v="0"/>
    <n v="0"/>
    <n v="0"/>
    <n v="0"/>
    <n v="0"/>
    <n v="0"/>
    <n v="11.8"/>
    <n v="0"/>
    <n v="11.8"/>
    <n v="0"/>
    <n v="0"/>
    <n v="0"/>
    <n v="0"/>
    <m/>
    <m/>
    <m/>
    <m/>
    <m/>
    <m/>
    <m/>
    <m/>
    <m/>
    <m/>
    <m/>
    <m/>
    <m/>
    <m/>
    <m/>
    <m/>
    <m/>
    <m/>
    <m/>
    <m/>
    <m/>
    <m/>
    <m/>
    <m/>
    <m/>
    <m/>
    <m/>
    <m/>
    <m/>
    <m/>
    <m/>
    <m/>
    <m/>
    <m/>
  </r>
  <r>
    <n v="742"/>
    <d v="2025-02-06T00:00:00"/>
    <s v="ZBTO"/>
    <n v="9518498155"/>
    <n v="5"/>
    <s v="9518498155-5"/>
    <m/>
    <s v="Mar'25"/>
    <s v="Released orders"/>
    <x v="1"/>
    <x v="3"/>
    <s v="2000-BPRS"/>
    <m/>
    <x v="0"/>
    <s v="Mar"/>
    <m/>
    <m/>
    <m/>
    <s v="VISHAKHAPATNAM"/>
    <m/>
    <n v="946077"/>
    <s v="SITARAM IRON AND STEEL PVT LTD"/>
    <n v="1801798"/>
    <s v="CRCA COIL-TATXXD-AU03-1X900"/>
    <s v=" "/>
    <s v=""/>
    <n v="8"/>
    <n v="29"/>
    <s v="Narrow"/>
    <s v="C01"/>
    <s v="TATXXD"/>
    <s v="AU03"/>
    <n v="1"/>
    <n v="900"/>
    <n v="0"/>
    <n v="21"/>
    <n v="0"/>
    <n v="21"/>
    <n v="21"/>
    <n v="0"/>
    <n v="21"/>
    <m/>
    <m/>
    <n v="21"/>
    <n v="21"/>
    <n v="0"/>
    <n v="23.520000000000003"/>
    <n v="0"/>
    <n v="0"/>
    <n v="0"/>
    <n v="0"/>
    <n v="0"/>
    <n v="0"/>
    <n v="0"/>
    <n v="0"/>
    <n v="0"/>
    <n v="0"/>
    <n v="0"/>
    <n v="0"/>
    <n v="0"/>
    <n v="0"/>
    <n v="0"/>
    <n v="0"/>
    <n v="0"/>
    <n v="0"/>
    <n v="0"/>
    <n v="0"/>
    <n v="0"/>
    <n v="0"/>
    <n v="0"/>
    <n v="0"/>
    <n v="21"/>
    <n v="0"/>
    <n v="0"/>
    <n v="0"/>
    <n v="0"/>
    <n v="21"/>
    <n v="0"/>
    <n v="0"/>
    <n v="0"/>
    <n v="0"/>
    <n v="0"/>
    <n v="0"/>
    <n v="21"/>
    <m/>
    <m/>
    <m/>
    <m/>
    <m/>
    <m/>
    <m/>
    <m/>
    <m/>
    <m/>
    <m/>
    <m/>
    <m/>
    <m/>
    <m/>
    <m/>
    <m/>
    <m/>
    <m/>
    <m/>
    <m/>
    <m/>
    <m/>
    <m/>
    <m/>
    <m/>
    <m/>
    <m/>
    <m/>
    <m/>
    <m/>
    <m/>
    <m/>
    <m/>
  </r>
  <r>
    <n v="744"/>
    <d v="2025-02-18T00:00:00"/>
    <s v="ZBTO"/>
    <n v="9518530272"/>
    <n v="1"/>
    <s v="9518530272-1"/>
    <m/>
    <s v="Mar'25"/>
    <s v="Released orders"/>
    <x v="4"/>
    <x v="7"/>
    <s v="1000-IPPE"/>
    <m/>
    <x v="0"/>
    <m/>
    <m/>
    <m/>
    <m/>
    <s v="GAMHARIA"/>
    <m/>
    <n v="940016"/>
    <s v="TATA BLUESCOPE STEEL PVT LTD."/>
    <n v="1640840"/>
    <s v="PPGL C Y550 HPL3 0.45BMT(0.53TPT)X1220"/>
    <s v="AZ150"/>
    <s v="RAL 5017 TSL 411"/>
    <n v="1.5"/>
    <n v="5"/>
    <s v="Wider"/>
    <s v="B18"/>
    <s v="Y550PL"/>
    <s v="HPL3"/>
    <n v="0.45"/>
    <n v="1220"/>
    <n v="0"/>
    <n v="56"/>
    <n v="0"/>
    <n v="56"/>
    <n v="56"/>
    <n v="0"/>
    <n v="56"/>
    <m/>
    <m/>
    <n v="56"/>
    <n v="56"/>
    <n v="0"/>
    <n v="62.720000000000006"/>
    <n v="0"/>
    <n v="0"/>
    <n v="0"/>
    <n v="0"/>
    <n v="0"/>
    <n v="0"/>
    <n v="0"/>
    <n v="0"/>
    <n v="0"/>
    <n v="0"/>
    <n v="0"/>
    <n v="0"/>
    <n v="0"/>
    <n v="0"/>
    <n v="0"/>
    <n v="0"/>
    <n v="0"/>
    <n v="0"/>
    <n v="0"/>
    <n v="0"/>
    <n v="0"/>
    <n v="0"/>
    <n v="0"/>
    <n v="0"/>
    <n v="56"/>
    <n v="0"/>
    <n v="0"/>
    <n v="0"/>
    <n v="0"/>
    <n v="56"/>
    <n v="0"/>
    <n v="0"/>
    <n v="0"/>
    <n v="0"/>
    <n v="0"/>
    <n v="0"/>
    <n v="56"/>
    <m/>
    <m/>
    <m/>
    <m/>
    <m/>
    <m/>
    <m/>
    <m/>
    <m/>
    <m/>
    <m/>
    <m/>
    <m/>
    <m/>
    <m/>
    <m/>
    <m/>
    <m/>
    <m/>
    <m/>
    <m/>
    <m/>
    <m/>
    <m/>
    <m/>
    <m/>
    <m/>
    <m/>
    <m/>
    <m/>
    <m/>
    <m/>
    <m/>
    <m/>
  </r>
  <r>
    <n v="742"/>
    <d v="2025-02-06T00:00:00"/>
    <s v="ZBTO"/>
    <n v="9518498155"/>
    <n v="1"/>
    <s v="9518498155-1"/>
    <m/>
    <s v="No Priority"/>
    <s v="Released orders"/>
    <x v="1"/>
    <x v="3"/>
    <s v="2000-BPRS"/>
    <m/>
    <x v="1"/>
    <s v="Mar"/>
    <s v="Beyond HSM rollability"/>
    <m/>
    <m/>
    <s v="VISHAKHAPATNAM"/>
    <m/>
    <n v="946077"/>
    <s v="SITARAM IRON AND STEEL PVT LTD"/>
    <n v="1804912"/>
    <s v="CRCA COIL-TATCRC-TR15-0.6X900"/>
    <s v=" "/>
    <s v=""/>
    <n v="8"/>
    <n v="29"/>
    <s v="Narrow"/>
    <s v="C01"/>
    <s v="TATCRC"/>
    <s v="TR15"/>
    <n v="0.6"/>
    <n v="900"/>
    <n v="0"/>
    <n v="21"/>
    <n v="0"/>
    <n v="21"/>
    <n v="21"/>
    <n v="0"/>
    <n v="21"/>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4-12-04T00:00:00"/>
    <s v="ZBTO"/>
    <n v="9518318805"/>
    <n v="1"/>
    <s v="9518318805-1"/>
    <m/>
    <s v="Mar'25"/>
    <s v="Released orders"/>
    <x v="1"/>
    <x v="3"/>
    <s v="2000-BPRS"/>
    <m/>
    <x v="0"/>
    <s v="Mar"/>
    <m/>
    <m/>
    <m/>
    <s v="DERABASSI"/>
    <m/>
    <n v="819097"/>
    <s v="BHAGWATI STEEL SALES"/>
    <n v="1804772"/>
    <s v="CRCA COIL TATXXD AU03 0.4X1250"/>
    <s v=" "/>
    <s v=""/>
    <n v="10"/>
    <n v="30"/>
    <s v="Wider"/>
    <s v="C01"/>
    <s v="TATXXD"/>
    <s v="AU03"/>
    <n v="0.4"/>
    <n v="1250"/>
    <n v="0"/>
    <n v="58"/>
    <n v="0"/>
    <n v="58"/>
    <n v="58"/>
    <n v="0"/>
    <n v="58"/>
    <n v="58"/>
    <m/>
    <n v="58"/>
    <n v="58"/>
    <n v="0"/>
    <n v="64.960000000000008"/>
    <n v="0"/>
    <n v="0"/>
    <n v="0"/>
    <n v="0"/>
    <n v="0"/>
    <n v="0"/>
    <n v="0"/>
    <n v="0"/>
    <n v="0"/>
    <n v="0"/>
    <n v="0"/>
    <n v="0"/>
    <n v="0"/>
    <n v="0"/>
    <n v="0"/>
    <n v="0"/>
    <n v="0"/>
    <n v="0"/>
    <n v="0"/>
    <n v="0"/>
    <n v="0"/>
    <n v="0"/>
    <n v="0"/>
    <n v="0"/>
    <n v="58"/>
    <n v="0"/>
    <n v="0"/>
    <n v="58"/>
    <n v="0"/>
    <n v="0"/>
    <n v="58"/>
    <n v="0"/>
    <n v="0"/>
    <n v="58"/>
    <n v="0"/>
    <n v="0"/>
    <n v="0"/>
    <m/>
    <m/>
    <m/>
    <m/>
    <m/>
    <m/>
    <m/>
    <m/>
    <m/>
    <m/>
    <m/>
    <m/>
    <m/>
    <m/>
    <m/>
    <m/>
    <m/>
    <m/>
    <m/>
    <m/>
    <m/>
    <m/>
    <m/>
    <m/>
    <m/>
    <m/>
    <m/>
    <m/>
    <m/>
    <m/>
    <m/>
    <m/>
    <m/>
    <m/>
  </r>
  <r>
    <n v="742"/>
    <d v="2025-01-13T00:00:00"/>
    <s v="ZBTO"/>
    <n v="9518425909"/>
    <n v="15"/>
    <s v="9518425909-15"/>
    <m/>
    <s v="Mar'25"/>
    <s v="Released orders"/>
    <x v="1"/>
    <x v="3"/>
    <s v="2000-BPRS"/>
    <m/>
    <x v="0"/>
    <m/>
    <m/>
    <m/>
    <m/>
    <s v="VISHAKHAPATNAM"/>
    <m/>
    <n v="946077"/>
    <s v="SITARAM IRON AND STEEL PVT LTD"/>
    <n v="1206324"/>
    <s v="CRCA SHEET TATXXD AU03 0.750X1250X2500"/>
    <s v=" "/>
    <s v=""/>
    <n v="0"/>
    <n v="0"/>
    <s v="Wider"/>
    <s v="C06"/>
    <s v="TATXXD"/>
    <s v="AU03"/>
    <n v="0.75"/>
    <n v="1250"/>
    <n v="2500"/>
    <n v="27"/>
    <n v="0"/>
    <n v="27"/>
    <n v="27"/>
    <n v="55.34"/>
    <n v="0"/>
    <m/>
    <n v="0"/>
    <n v="27"/>
    <n v="27"/>
    <n v="0"/>
    <n v="30.240000000000002"/>
    <n v="0"/>
    <n v="0"/>
    <n v="0"/>
    <n v="0"/>
    <n v="0"/>
    <n v="0"/>
    <n v="0"/>
    <n v="0"/>
    <n v="0"/>
    <n v="0"/>
    <n v="0"/>
    <n v="0"/>
    <n v="0"/>
    <n v="0"/>
    <n v="0"/>
    <n v="0"/>
    <n v="0"/>
    <n v="0"/>
    <n v="0"/>
    <n v="0"/>
    <n v="0"/>
    <n v="0"/>
    <n v="55.34"/>
    <n v="0"/>
    <n v="27"/>
    <n v="0"/>
    <n v="27"/>
    <n v="0"/>
    <n v="0"/>
    <n v="0"/>
    <n v="27"/>
    <n v="0"/>
    <n v="27"/>
    <n v="0"/>
    <n v="0"/>
    <n v="0"/>
    <n v="0"/>
    <m/>
    <m/>
    <m/>
    <m/>
    <m/>
    <m/>
    <m/>
    <m/>
    <m/>
    <m/>
    <m/>
    <m/>
    <m/>
    <m/>
    <m/>
    <m/>
    <m/>
    <m/>
    <m/>
    <m/>
    <m/>
    <m/>
    <m/>
    <m/>
    <m/>
    <m/>
    <m/>
    <m/>
    <m/>
    <m/>
    <m/>
    <m/>
    <m/>
    <m/>
  </r>
  <r>
    <n v="742"/>
    <d v="2025-02-18T00:00:00"/>
    <s v="ZBTO"/>
    <n v="9518529500"/>
    <n v="2"/>
    <s v="9518529500-2"/>
    <m/>
    <s v="No Priority"/>
    <s v="Released orders"/>
    <x v="1"/>
    <x v="3"/>
    <s v="2000-BPRS"/>
    <m/>
    <x v="1"/>
    <s v="Mar"/>
    <s v="Customer don't want order"/>
    <m/>
    <m/>
    <s v="JAIPUR"/>
    <m/>
    <n v="116137"/>
    <s v="PELIKAN DOSSIER (P) LTD "/>
    <n v="1804908"/>
    <s v="CRCA COIL TATCRC TR15 0.5X1250"/>
    <s v=" "/>
    <s v=""/>
    <n v="10"/>
    <n v="25"/>
    <s v="Wider"/>
    <s v="C01"/>
    <s v="TATCRC"/>
    <s v="TR15"/>
    <n v="0.5"/>
    <n v="1250"/>
    <n v="0"/>
    <n v="29"/>
    <n v="0"/>
    <n v="29"/>
    <n v="29"/>
    <n v="0"/>
    <n v="29"/>
    <m/>
    <m/>
    <n v="29"/>
    <n v="29"/>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4"/>
    <d v="2025-02-20T00:00:00"/>
    <s v="ZBTO"/>
    <n v="9518536065"/>
    <n v="1"/>
    <s v="9518536065-1"/>
    <m/>
    <s v="Mar'25"/>
    <s v="Released orders"/>
    <x v="4"/>
    <x v="7"/>
    <s v="1000-IPPE"/>
    <m/>
    <x v="0"/>
    <m/>
    <m/>
    <m/>
    <m/>
    <s v=" "/>
    <m/>
    <n v="941597"/>
    <s v="TATA BLUESCOPE STEEL PRIVATE LIMITE"/>
    <n v="1640840"/>
    <s v="PPGL C Y550 HPL3 0.45BMT(0.53TPT)X1220"/>
    <s v="AZ150"/>
    <s v="RAL 9006 TSL 203"/>
    <n v="3"/>
    <n v="5"/>
    <s v="Wider"/>
    <s v="B18"/>
    <s v="Y550PL"/>
    <s v="HPL3"/>
    <n v="0.45"/>
    <n v="1220"/>
    <n v="0"/>
    <n v="56"/>
    <n v="0"/>
    <n v="56"/>
    <n v="56"/>
    <n v="0"/>
    <n v="56"/>
    <m/>
    <m/>
    <n v="56"/>
    <n v="56"/>
    <n v="0"/>
    <n v="62.720000000000006"/>
    <n v="0"/>
    <n v="0"/>
    <n v="0"/>
    <n v="0"/>
    <n v="0"/>
    <n v="0"/>
    <n v="0"/>
    <n v="0"/>
    <n v="0"/>
    <n v="0"/>
    <n v="0"/>
    <n v="0"/>
    <n v="0"/>
    <n v="0"/>
    <n v="0"/>
    <n v="0"/>
    <n v="0"/>
    <n v="0"/>
    <n v="0"/>
    <n v="0"/>
    <n v="0"/>
    <n v="0"/>
    <n v="0"/>
    <n v="0"/>
    <n v="56"/>
    <n v="0"/>
    <n v="0"/>
    <n v="0"/>
    <n v="0"/>
    <n v="56"/>
    <n v="0"/>
    <n v="0"/>
    <n v="0"/>
    <n v="0"/>
    <n v="0"/>
    <n v="0"/>
    <n v="56"/>
    <m/>
    <m/>
    <m/>
    <m/>
    <m/>
    <m/>
    <m/>
    <m/>
    <m/>
    <m/>
    <m/>
    <m/>
    <m/>
    <m/>
    <m/>
    <m/>
    <m/>
    <m/>
    <m/>
    <m/>
    <m/>
    <m/>
    <m/>
    <m/>
    <m/>
    <m/>
    <m/>
    <m/>
    <m/>
    <m/>
    <m/>
    <m/>
    <m/>
    <m/>
  </r>
  <r>
    <n v="742"/>
    <d v="2025-02-06T00:00:00"/>
    <s v="ZBTO"/>
    <n v="9518497626"/>
    <n v="18"/>
    <s v="9518497626-18"/>
    <m/>
    <s v="No Priority"/>
    <s v="Released orders"/>
    <x v="1"/>
    <x v="3"/>
    <s v="2000-BPRS"/>
    <m/>
    <x v="1"/>
    <m/>
    <m/>
    <m/>
    <m/>
    <s v="VISHAKHAPATNAM"/>
    <m/>
    <n v="946077"/>
    <s v="SITARAM IRON AND STEEL PVT LTD"/>
    <n v="1406015"/>
    <s v="CRCA SHEET TATXXD AU03 0.950X1250X2500"/>
    <s v=" "/>
    <s v=""/>
    <n v="0"/>
    <n v="0"/>
    <s v="Wider"/>
    <s v="C06"/>
    <s v="TATXXD"/>
    <s v="AU03"/>
    <n v="0.95"/>
    <n v="1250"/>
    <n v="2500"/>
    <n v="27"/>
    <n v="26.074999999999999"/>
    <n v="27"/>
    <n v="27"/>
    <n v="27.82"/>
    <n v="0"/>
    <m/>
    <n v="0"/>
    <n v="27"/>
    <n v="0.92500000000000004"/>
    <n v="0"/>
    <n v="-0.91840000000000044"/>
    <n v="0"/>
    <n v="0"/>
    <n v="0"/>
    <n v="0"/>
    <n v="0"/>
    <n v="0"/>
    <n v="0"/>
    <n v="0"/>
    <n v="0"/>
    <n v="0"/>
    <n v="0"/>
    <n v="27.82"/>
    <n v="0"/>
    <n v="0"/>
    <n v="0"/>
    <n v="0"/>
    <n v="0"/>
    <n v="0"/>
    <n v="27.82"/>
    <n v="27.82"/>
    <n v="0"/>
    <n v="27.82"/>
    <n v="27.82"/>
    <n v="0"/>
    <n v="0"/>
    <n v="0"/>
    <n v="0"/>
    <n v="0"/>
    <n v="0"/>
    <n v="0"/>
    <n v="0"/>
    <n v="0"/>
    <n v="0"/>
    <n v="0"/>
    <n v="0"/>
    <n v="0"/>
    <n v="0"/>
    <m/>
    <m/>
    <m/>
    <m/>
    <m/>
    <m/>
    <m/>
    <m/>
    <m/>
    <m/>
    <m/>
    <m/>
    <m/>
    <m/>
    <m/>
    <m/>
    <m/>
    <m/>
    <m/>
    <m/>
    <m/>
    <m/>
    <m/>
    <m/>
    <m/>
    <m/>
    <m/>
    <m/>
    <m/>
    <m/>
    <m/>
    <m/>
    <m/>
    <m/>
  </r>
  <r>
    <n v="742"/>
    <d v="2024-12-19T00:00:00"/>
    <s v="ZBTO"/>
    <n v="9518356689"/>
    <n v="15"/>
    <s v="9518356689-15"/>
    <m/>
    <s v="Mar'25"/>
    <s v="Released orders"/>
    <x v="1"/>
    <x v="3"/>
    <s v="2000-BPRS"/>
    <m/>
    <x v="0"/>
    <s v="Mar"/>
    <m/>
    <m/>
    <m/>
    <s v="CHENNAI"/>
    <m/>
    <n v="938550"/>
    <s v="BASEER AND CO"/>
    <n v="1804842"/>
    <s v="CRCA COIL-TATXXD-AU03-1X1000"/>
    <s v=" "/>
    <s v=""/>
    <n v="6"/>
    <n v="18"/>
    <s v="Narrow"/>
    <s v="C01"/>
    <s v="TATXXD"/>
    <s v="AU03"/>
    <n v="1"/>
    <n v="1000"/>
    <n v="0"/>
    <n v="46"/>
    <n v="0"/>
    <n v="46"/>
    <n v="46"/>
    <n v="0"/>
    <n v="46"/>
    <m/>
    <m/>
    <n v="46"/>
    <n v="46"/>
    <n v="0"/>
    <n v="51.52"/>
    <n v="0"/>
    <n v="0"/>
    <n v="0"/>
    <n v="0"/>
    <n v="0"/>
    <n v="0"/>
    <n v="0"/>
    <n v="0"/>
    <n v="0"/>
    <n v="0"/>
    <n v="0"/>
    <n v="0"/>
    <n v="0"/>
    <n v="0"/>
    <n v="0"/>
    <n v="0"/>
    <n v="0"/>
    <n v="0"/>
    <n v="0"/>
    <n v="0"/>
    <n v="0"/>
    <n v="0"/>
    <n v="0"/>
    <n v="0"/>
    <n v="46"/>
    <n v="0"/>
    <n v="0"/>
    <n v="0"/>
    <n v="0"/>
    <n v="46"/>
    <n v="0"/>
    <n v="0"/>
    <n v="0"/>
    <n v="0"/>
    <n v="0"/>
    <n v="0"/>
    <n v="46"/>
    <m/>
    <m/>
    <m/>
    <m/>
    <m/>
    <m/>
    <m/>
    <m/>
    <m/>
    <m/>
    <m/>
    <m/>
    <m/>
    <m/>
    <m/>
    <m/>
    <m/>
    <m/>
    <m/>
    <m/>
    <m/>
    <m/>
    <m/>
    <m/>
    <m/>
    <m/>
    <m/>
    <m/>
    <m/>
    <m/>
    <m/>
    <m/>
    <m/>
    <m/>
  </r>
  <r>
    <n v="742"/>
    <d v="2025-02-09T00:00:00"/>
    <s v="ZBTO"/>
    <n v="9518505599"/>
    <n v="11"/>
    <s v="9518505599-11"/>
    <m/>
    <s v="Stocks"/>
    <s v="Released orders"/>
    <x v="1"/>
    <x v="3"/>
    <s v="2000-BPRS"/>
    <m/>
    <x v="0"/>
    <s v="Mar"/>
    <s v="Low exp BTF"/>
    <m/>
    <m/>
    <s v="PATTANCHERY"/>
    <m/>
    <n v="939422"/>
    <s v="VIJAY VENKAT STEELS PRIVATE LIMITED"/>
    <n v="187541"/>
    <s v="CR COIL-ICF TATXXD AU03 2.00X1250"/>
    <s v=" "/>
    <s v=""/>
    <n v="18"/>
    <n v="30"/>
    <s v="Wider"/>
    <s v="C01"/>
    <s v="TATXXD"/>
    <s v="AU03"/>
    <n v="2"/>
    <n v="1250"/>
    <n v="0"/>
    <n v="58"/>
    <n v="52.03"/>
    <n v="58"/>
    <n v="58"/>
    <n v="55.51"/>
    <n v="0"/>
    <m/>
    <n v="0"/>
    <n v="2.490000000000002"/>
    <n v="5.97"/>
    <n v="0"/>
    <n v="0"/>
    <n v="0"/>
    <n v="0"/>
    <n v="0"/>
    <n v="0"/>
    <n v="0"/>
    <n v="0"/>
    <n v="0"/>
    <n v="0"/>
    <n v="0"/>
    <n v="0"/>
    <n v="0"/>
    <n v="55.51"/>
    <n v="0"/>
    <n v="0"/>
    <n v="0"/>
    <n v="0"/>
    <n v="0"/>
    <n v="0"/>
    <n v="55.51"/>
    <n v="55.51"/>
    <n v="0"/>
    <n v="55.51"/>
    <n v="55.51"/>
    <n v="25.95"/>
    <n v="0"/>
    <n v="0"/>
    <n v="0"/>
    <n v="0"/>
    <n v="0"/>
    <n v="0"/>
    <n v="25.95"/>
    <n v="0"/>
    <n v="25.95"/>
    <n v="0"/>
    <n v="0"/>
    <n v="0"/>
    <n v="0"/>
    <m/>
    <m/>
    <m/>
    <m/>
    <m/>
    <m/>
    <m/>
    <m/>
    <m/>
    <m/>
    <m/>
    <m/>
    <m/>
    <m/>
    <m/>
    <m/>
    <m/>
    <m/>
    <m/>
    <m/>
    <m/>
    <m/>
    <m/>
    <m/>
    <m/>
    <m/>
    <m/>
    <m/>
    <m/>
    <m/>
    <m/>
    <m/>
    <m/>
    <m/>
  </r>
  <r>
    <n v="742"/>
    <d v="2025-02-14T00:00:00"/>
    <s v="ZBTO"/>
    <n v="9518518311"/>
    <n v="10"/>
    <s v="9518518311-10"/>
    <m/>
    <s v="No Priority"/>
    <s v="Released orders"/>
    <x v="1"/>
    <x v="3"/>
    <s v="2000-BPRS"/>
    <m/>
    <x v="1"/>
    <m/>
    <m/>
    <m/>
    <m/>
    <s v="SANGAREDDY"/>
    <m/>
    <n v="947126"/>
    <s v="RAVINDRA IRON WORKS"/>
    <n v="1884117"/>
    <s v="CRCA COIL-TATXXD-AU03-2X1250"/>
    <s v=" "/>
    <s v=""/>
    <n v="5"/>
    <n v="30"/>
    <s v="Wider"/>
    <s v="C01"/>
    <s v="TATXXD"/>
    <s v="AU03"/>
    <n v="2"/>
    <n v="1250"/>
    <n v="0"/>
    <n v="29"/>
    <n v="26.03"/>
    <n v="29"/>
    <n v="29"/>
    <n v="27.65"/>
    <n v="0"/>
    <m/>
    <n v="0"/>
    <n v="29"/>
    <n v="2.97"/>
    <n v="0"/>
    <n v="0"/>
    <n v="0"/>
    <n v="0"/>
    <n v="0"/>
    <n v="0"/>
    <n v="0"/>
    <n v="0"/>
    <n v="0"/>
    <n v="0"/>
    <n v="0"/>
    <n v="0"/>
    <n v="0"/>
    <n v="27.650000000000002"/>
    <n v="0"/>
    <n v="0"/>
    <n v="0"/>
    <n v="0"/>
    <n v="0"/>
    <n v="0"/>
    <n v="27.650000000000002"/>
    <n v="27.650000000000002"/>
    <n v="0"/>
    <n v="27.650000000000002"/>
    <n v="27.65"/>
    <n v="0"/>
    <n v="0"/>
    <n v="0"/>
    <n v="0"/>
    <n v="0"/>
    <n v="0"/>
    <n v="0"/>
    <n v="0"/>
    <n v="0"/>
    <n v="0"/>
    <n v="0"/>
    <n v="0"/>
    <n v="0"/>
    <n v="0"/>
    <m/>
    <m/>
    <m/>
    <m/>
    <m/>
    <m/>
    <m/>
    <m/>
    <m/>
    <m/>
    <m/>
    <m/>
    <m/>
    <m/>
    <m/>
    <m/>
    <m/>
    <m/>
    <m/>
    <m/>
    <m/>
    <m/>
    <m/>
    <m/>
    <m/>
    <m/>
    <m/>
    <m/>
    <m/>
    <m/>
    <m/>
    <m/>
    <m/>
    <m/>
  </r>
  <r>
    <n v="742"/>
    <d v="2025-02-18T00:00:00"/>
    <s v="ZBTO"/>
    <n v="9518528624"/>
    <n v="2"/>
    <s v="9518528624-2"/>
    <m/>
    <s v="Mar'25"/>
    <s v="Released orders"/>
    <x v="1"/>
    <x v="3"/>
    <n v="2000"/>
    <m/>
    <x v="0"/>
    <m/>
    <m/>
    <s v="Punjab"/>
    <m/>
    <m/>
    <m/>
    <n v="819097"/>
    <s v="BHAGWATI STEEL SALES"/>
    <n v="1804772"/>
    <s v="CRCA COIL TATXXD AU03 0.4X1250"/>
    <s v=""/>
    <s v=""/>
    <m/>
    <m/>
    <s v="Wider"/>
    <s v="C01"/>
    <s v="TATXXD"/>
    <s v="AU03"/>
    <n v="0.4"/>
    <n v="1250"/>
    <n v="0"/>
    <n v="116"/>
    <n v="0"/>
    <n v="116"/>
    <n v="116"/>
    <e v="#N/A"/>
    <e v="#N/A"/>
    <m/>
    <n v="0"/>
    <n v="116"/>
    <n v="116"/>
    <n v="0"/>
    <n v="129.92000000000002"/>
    <n v="0"/>
    <n v="0"/>
    <n v="0"/>
    <n v="0"/>
    <n v="0"/>
    <n v="0"/>
    <n v="0"/>
    <n v="0"/>
    <n v="0"/>
    <n v="0"/>
    <n v="0"/>
    <n v="0"/>
    <n v="0"/>
    <n v="0"/>
    <n v="0"/>
    <n v="0"/>
    <n v="0"/>
    <n v="0"/>
    <n v="0"/>
    <n v="0"/>
    <n v="0"/>
    <n v="0"/>
    <n v="0"/>
    <n v="0"/>
    <n v="116"/>
    <n v="0"/>
    <n v="0"/>
    <n v="0"/>
    <n v="0"/>
    <n v="116"/>
    <n v="0"/>
    <n v="0"/>
    <n v="0"/>
    <n v="0"/>
    <n v="0"/>
    <n v="0"/>
    <n v="116"/>
    <m/>
    <m/>
    <m/>
    <m/>
    <m/>
    <m/>
    <m/>
    <m/>
    <m/>
    <m/>
    <m/>
    <m/>
    <m/>
    <m/>
    <m/>
    <m/>
    <m/>
    <m/>
    <m/>
    <m/>
    <m/>
    <m/>
    <m/>
    <m/>
    <m/>
    <m/>
    <m/>
    <m/>
    <m/>
    <m/>
    <m/>
    <m/>
    <m/>
    <m/>
  </r>
  <r>
    <n v="742"/>
    <d v="2025-02-11T00:00:00"/>
    <s v="ZBTO"/>
    <n v="9518510093"/>
    <n v="4"/>
    <s v="9518510093-4"/>
    <m/>
    <s v="No Priority"/>
    <s v="Released orders"/>
    <x v="1"/>
    <x v="3"/>
    <s v="2000-BPRS"/>
    <m/>
    <x v="1"/>
    <m/>
    <m/>
    <m/>
    <m/>
    <s v="LONI"/>
    <m/>
    <n v="101499"/>
    <s v="G.R. GUPTA &amp; BROS."/>
    <n v="185675"/>
    <s v="CRCA COIL-TATXXD-AU03-0.5X1250"/>
    <s v=" "/>
    <s v=""/>
    <n v="10"/>
    <n v="30"/>
    <s v="Wider"/>
    <s v="C01"/>
    <s v="TATXXD"/>
    <s v="AU03"/>
    <n v="0.5"/>
    <n v="1250"/>
    <n v="0"/>
    <n v="29"/>
    <n v="22.03"/>
    <n v="18.8"/>
    <n v="18.8"/>
    <n v="27.37"/>
    <n v="0"/>
    <m/>
    <n v="0"/>
    <n v="18.8"/>
    <n v="6.97"/>
    <n v="0"/>
    <n v="0"/>
    <n v="0"/>
    <n v="0"/>
    <n v="0"/>
    <n v="0"/>
    <n v="0"/>
    <n v="0"/>
    <n v="0"/>
    <n v="0"/>
    <n v="0"/>
    <n v="0"/>
    <n v="0"/>
    <n v="27.37"/>
    <n v="0"/>
    <n v="0"/>
    <n v="0"/>
    <n v="0"/>
    <n v="0"/>
    <n v="0"/>
    <n v="27.37"/>
    <n v="27.37"/>
    <n v="0"/>
    <n v="27.37"/>
    <n v="27.37"/>
    <n v="0"/>
    <n v="0"/>
    <n v="0"/>
    <n v="0"/>
    <n v="0"/>
    <n v="0"/>
    <n v="0"/>
    <n v="0"/>
    <n v="0"/>
    <n v="0"/>
    <n v="0"/>
    <n v="0"/>
    <n v="0"/>
    <n v="0"/>
    <m/>
    <m/>
    <m/>
    <m/>
    <m/>
    <m/>
    <m/>
    <m/>
    <m/>
    <m/>
    <m/>
    <m/>
    <m/>
    <m/>
    <m/>
    <m/>
    <m/>
    <m/>
    <m/>
    <m/>
    <m/>
    <m/>
    <m/>
    <m/>
    <m/>
    <m/>
    <m/>
    <m/>
    <m/>
    <m/>
    <m/>
    <m/>
    <m/>
    <m/>
  </r>
  <r>
    <n v="742"/>
    <d v="2025-02-11T00:00:00"/>
    <s v="ZBTO"/>
    <n v="9518510093"/>
    <n v="5"/>
    <s v="9518510093-5"/>
    <m/>
    <s v="Mar'25 additional"/>
    <s v="Released orders"/>
    <x v="1"/>
    <x v="3"/>
    <s v="2000-BPRS"/>
    <m/>
    <x v="0"/>
    <s v="Mar"/>
    <m/>
    <m/>
    <m/>
    <s v="LONI"/>
    <m/>
    <n v="101499"/>
    <s v="G.R. GUPTA &amp; BROS."/>
    <n v="1801290"/>
    <s v="CRCA COIL-TATXXD-AU03-0.6X1250"/>
    <s v=" "/>
    <s v=""/>
    <n v="10"/>
    <n v="30"/>
    <s v="Wider"/>
    <s v="C01"/>
    <s v="TATXXD"/>
    <s v="AU03"/>
    <n v="0.6"/>
    <n v="1250"/>
    <n v="0"/>
    <n v="58"/>
    <n v="25.76"/>
    <n v="58"/>
    <n v="58"/>
    <n v="55.9"/>
    <n v="0"/>
    <m/>
    <n v="0"/>
    <n v="2.0999999999999943"/>
    <n v="32.24"/>
    <n v="0"/>
    <n v="0"/>
    <n v="0"/>
    <n v="0"/>
    <n v="0"/>
    <n v="0"/>
    <n v="0"/>
    <n v="0"/>
    <n v="0"/>
    <n v="0"/>
    <n v="0"/>
    <n v="28.3"/>
    <n v="0"/>
    <n v="27.6"/>
    <n v="0"/>
    <n v="0"/>
    <n v="0"/>
    <n v="0"/>
    <n v="0"/>
    <n v="0"/>
    <n v="55.900000000000006"/>
    <n v="55.900000000000006"/>
    <n v="0"/>
    <n v="55.900000000000006"/>
    <n v="55.9"/>
    <n v="0"/>
    <n v="32.24"/>
    <n v="0"/>
    <n v="32.24"/>
    <n v="0"/>
    <n v="0"/>
    <n v="0"/>
    <n v="32.24"/>
    <n v="0"/>
    <n v="32.24"/>
    <n v="0"/>
    <n v="0"/>
    <n v="0"/>
    <n v="0"/>
    <m/>
    <m/>
    <m/>
    <m/>
    <m/>
    <m/>
    <m/>
    <m/>
    <m/>
    <m/>
    <m/>
    <m/>
    <m/>
    <m/>
    <m/>
    <m/>
    <m/>
    <m/>
    <m/>
    <m/>
    <m/>
    <m/>
    <m/>
    <m/>
    <m/>
    <m/>
    <m/>
    <m/>
    <m/>
    <m/>
    <m/>
    <m/>
    <m/>
    <m/>
  </r>
  <r>
    <n v="742"/>
    <d v="2025-02-11T00:00:00"/>
    <s v="ZBTO"/>
    <n v="9518510093"/>
    <n v="8"/>
    <s v="9518510093-8"/>
    <m/>
    <s v="Mar'25"/>
    <s v="Released orders"/>
    <x v="1"/>
    <x v="3"/>
    <s v="2000-BPRS"/>
    <m/>
    <x v="0"/>
    <s v="Mar"/>
    <m/>
    <m/>
    <m/>
    <s v="LONI"/>
    <m/>
    <n v="101499"/>
    <s v="G.R. GUPTA &amp; BROS."/>
    <n v="1804826"/>
    <s v="CRCA COIL-TATXXD-AU03-0.9X1250"/>
    <s v=" "/>
    <s v=""/>
    <n v="10"/>
    <n v="30"/>
    <s v="Wider"/>
    <s v="C01"/>
    <s v="TATXXD"/>
    <s v="AU03"/>
    <n v="0.9"/>
    <n v="1250"/>
    <n v="0"/>
    <n v="29"/>
    <n v="11.54"/>
    <n v="17.46"/>
    <n v="17.46"/>
    <n v="27.7"/>
    <n v="0"/>
    <m/>
    <n v="0"/>
    <n v="17.46"/>
    <n v="17.46"/>
    <n v="0"/>
    <n v="19.555200000000003"/>
    <n v="0"/>
    <n v="0"/>
    <n v="0"/>
    <n v="0"/>
    <n v="0"/>
    <n v="0"/>
    <n v="0"/>
    <n v="0"/>
    <n v="0"/>
    <n v="0"/>
    <n v="0"/>
    <n v="0"/>
    <n v="0"/>
    <n v="0"/>
    <n v="0"/>
    <n v="0"/>
    <n v="0"/>
    <n v="0"/>
    <n v="0"/>
    <n v="0"/>
    <n v="0"/>
    <n v="0"/>
    <n v="27.7"/>
    <n v="0"/>
    <n v="17.46"/>
    <n v="0"/>
    <n v="0"/>
    <n v="0"/>
    <n v="0"/>
    <n v="17.46"/>
    <n v="0"/>
    <n v="0"/>
    <n v="0"/>
    <n v="0"/>
    <n v="0"/>
    <n v="0"/>
    <n v="17.46"/>
    <m/>
    <m/>
    <m/>
    <m/>
    <m/>
    <m/>
    <m/>
    <m/>
    <m/>
    <m/>
    <m/>
    <m/>
    <m/>
    <m/>
    <m/>
    <m/>
    <m/>
    <m/>
    <m/>
    <m/>
    <m/>
    <m/>
    <m/>
    <m/>
    <m/>
    <m/>
    <m/>
    <m/>
    <m/>
    <m/>
    <m/>
    <m/>
    <m/>
    <m/>
  </r>
  <r>
    <n v="742"/>
    <d v="2025-02-03T00:00:00"/>
    <s v="ZBTO"/>
    <n v="9518490862"/>
    <n v="6"/>
    <s v="9518490862-6"/>
    <m/>
    <s v="Mar'25 additional"/>
    <s v="Released orders"/>
    <x v="1"/>
    <x v="3"/>
    <s v="2000-BPRS"/>
    <m/>
    <x v="0"/>
    <m/>
    <m/>
    <m/>
    <m/>
    <s v="HOWRAH"/>
    <m/>
    <n v="925093"/>
    <s v="PSPL STEEL PROCESSORS PRIVATE LIMIT"/>
    <n v="322581"/>
    <s v="CRCA SHEET TATCRC TR15 0.60X1250X2500"/>
    <s v=" "/>
    <s v=""/>
    <n v="0"/>
    <n v="0"/>
    <s v="Wider"/>
    <s v="C06"/>
    <s v="TATCRC"/>
    <s v="TR15"/>
    <n v="0.6"/>
    <n v="1250"/>
    <n v="2500"/>
    <n v="24"/>
    <n v="0"/>
    <n v="24"/>
    <n v="24"/>
    <n v="0"/>
    <n v="24"/>
    <m/>
    <m/>
    <n v="24"/>
    <n v="24"/>
    <n v="0"/>
    <n v="26.880000000000003"/>
    <n v="0"/>
    <n v="0"/>
    <n v="0"/>
    <n v="0"/>
    <n v="0"/>
    <n v="0"/>
    <n v="0"/>
    <n v="0"/>
    <n v="0"/>
    <n v="0"/>
    <n v="0"/>
    <n v="0"/>
    <n v="0"/>
    <n v="0"/>
    <n v="0"/>
    <n v="0"/>
    <n v="0"/>
    <n v="0"/>
    <n v="0"/>
    <n v="0"/>
    <n v="0"/>
    <n v="0"/>
    <n v="0"/>
    <n v="0"/>
    <n v="24"/>
    <n v="0"/>
    <n v="0"/>
    <n v="0"/>
    <n v="0"/>
    <n v="24"/>
    <n v="0"/>
    <n v="0"/>
    <n v="0"/>
    <n v="0"/>
    <n v="0"/>
    <n v="0"/>
    <n v="24"/>
    <m/>
    <m/>
    <m/>
    <m/>
    <m/>
    <m/>
    <m/>
    <m/>
    <m/>
    <m/>
    <m/>
    <m/>
    <m/>
    <m/>
    <m/>
    <m/>
    <m/>
    <m/>
    <m/>
    <m/>
    <m/>
    <m/>
    <m/>
    <m/>
    <m/>
    <m/>
    <m/>
    <m/>
    <m/>
    <m/>
    <m/>
    <m/>
    <m/>
    <m/>
  </r>
  <r>
    <n v="742"/>
    <d v="2025-02-11T00:00:00"/>
    <s v="ZBTO"/>
    <n v="9518510820"/>
    <n v="4"/>
    <s v="9518510820-4"/>
    <m/>
    <s v="Mar'25"/>
    <s v="Released orders"/>
    <x v="1"/>
    <x v="1"/>
    <s v="2000-BPRS"/>
    <m/>
    <x v="0"/>
    <s v="Mar"/>
    <m/>
    <m/>
    <m/>
    <s v="VARANASI"/>
    <m/>
    <n v="115841"/>
    <s v="O.V.S. ISPAT UDYOG"/>
    <n v="3240781"/>
    <s v="CRCA SHEET TSBCRC SR15 0.600X1250X2030"/>
    <s v=" "/>
    <s v=""/>
    <n v="0"/>
    <n v="0"/>
    <s v="Wider"/>
    <s v="C06"/>
    <s v="TSBCRC"/>
    <s v="SR15"/>
    <n v="0.6"/>
    <n v="1250"/>
    <n v="2030"/>
    <n v="27"/>
    <n v="0"/>
    <n v="27"/>
    <n v="27"/>
    <n v="0"/>
    <n v="27"/>
    <m/>
    <m/>
    <n v="27"/>
    <n v="27"/>
    <n v="0"/>
    <n v="30.240000000000002"/>
    <n v="0"/>
    <n v="0"/>
    <n v="0"/>
    <n v="0"/>
    <n v="0"/>
    <n v="0"/>
    <n v="0"/>
    <n v="0"/>
    <n v="0"/>
    <n v="0"/>
    <n v="0"/>
    <n v="0"/>
    <n v="0"/>
    <n v="0"/>
    <n v="0"/>
    <n v="0"/>
    <n v="0"/>
    <n v="0"/>
    <n v="0"/>
    <n v="0"/>
    <n v="0"/>
    <n v="0"/>
    <n v="0"/>
    <n v="0"/>
    <n v="27"/>
    <n v="0"/>
    <n v="0"/>
    <n v="0"/>
    <n v="27"/>
    <n v="0"/>
    <n v="27"/>
    <n v="0"/>
    <n v="0"/>
    <n v="0"/>
    <n v="27"/>
    <n v="0"/>
    <n v="0"/>
    <m/>
    <m/>
    <m/>
    <m/>
    <m/>
    <m/>
    <m/>
    <m/>
    <m/>
    <m/>
    <m/>
    <m/>
    <m/>
    <m/>
    <m/>
    <m/>
    <m/>
    <m/>
    <m/>
    <m/>
    <m/>
    <m/>
    <m/>
    <m/>
    <m/>
    <m/>
    <m/>
    <m/>
    <m/>
    <m/>
    <m/>
    <m/>
    <m/>
    <m/>
  </r>
  <r>
    <n v="742"/>
    <d v="2025-02-03T00:00:00"/>
    <s v="ZBTO"/>
    <n v="9518490750"/>
    <n v="7"/>
    <s v="9518490750-7"/>
    <m/>
    <s v="Mar'25"/>
    <s v="Released orders"/>
    <x v="1"/>
    <x v="1"/>
    <s v="2000-BPRS"/>
    <m/>
    <x v="0"/>
    <s v="Mar"/>
    <m/>
    <m/>
    <m/>
    <s v="TANGI"/>
    <m/>
    <n v="117061"/>
    <s v="BHARTIA  DISTRIBUTORS PVT. LTD."/>
    <n v="3240790"/>
    <s v="CRCA SHEET TSBCRC SR15 0.700X1000X2500"/>
    <s v=" "/>
    <s v=""/>
    <n v="0.1"/>
    <n v="5"/>
    <s v="Narrow"/>
    <s v="C06"/>
    <s v="TSBCRC"/>
    <s v="SR15"/>
    <n v="0.7"/>
    <n v="1000"/>
    <n v="2500"/>
    <n v="75"/>
    <n v="0"/>
    <n v="75"/>
    <n v="75"/>
    <n v="0"/>
    <n v="75"/>
    <m/>
    <m/>
    <n v="75"/>
    <n v="75"/>
    <n v="0"/>
    <n v="84.000000000000014"/>
    <n v="0"/>
    <n v="0"/>
    <n v="0"/>
    <n v="0"/>
    <n v="0"/>
    <n v="0"/>
    <n v="0"/>
    <n v="0"/>
    <n v="0"/>
    <n v="0"/>
    <n v="0"/>
    <n v="0"/>
    <n v="0"/>
    <n v="0"/>
    <n v="0"/>
    <n v="0"/>
    <n v="0"/>
    <n v="0"/>
    <n v="0"/>
    <n v="0"/>
    <n v="0"/>
    <n v="0"/>
    <n v="0"/>
    <n v="0"/>
    <n v="75"/>
    <n v="0"/>
    <n v="0"/>
    <n v="0"/>
    <n v="75"/>
    <n v="0"/>
    <n v="75"/>
    <n v="0"/>
    <n v="0"/>
    <n v="0"/>
    <n v="75"/>
    <n v="0"/>
    <n v="0"/>
    <m/>
    <m/>
    <m/>
    <m/>
    <m/>
    <m/>
    <m/>
    <m/>
    <m/>
    <m/>
    <m/>
    <m/>
    <m/>
    <m/>
    <m/>
    <m/>
    <m/>
    <m/>
    <m/>
    <m/>
    <m/>
    <m/>
    <m/>
    <m/>
    <m/>
    <m/>
    <m/>
    <m/>
    <m/>
    <m/>
    <m/>
    <m/>
    <m/>
    <m/>
  </r>
  <r>
    <n v="742"/>
    <d v="2025-01-14T00:00:00"/>
    <s v="ZBTO"/>
    <n v="9518429066"/>
    <n v="10"/>
    <s v="9518429066-10"/>
    <m/>
    <s v="No Priority"/>
    <s v="Failed orders"/>
    <x v="1"/>
    <x v="1"/>
    <n v="2000"/>
    <m/>
    <x v="1"/>
    <m/>
    <m/>
    <s v="Orissa"/>
    <m/>
    <m/>
    <m/>
    <n v="117061"/>
    <s v="BHARTIA  DISTRIBUTORS PVT. LTD"/>
    <n v="3240785"/>
    <s v="CRCA SHEET TSBCRC SR15 0.600X1250X2500"/>
    <s v=""/>
    <s v=""/>
    <m/>
    <m/>
    <s v="Wider"/>
    <s v="C06"/>
    <s v="TSBCRC"/>
    <s v="SR15"/>
    <n v="0.6"/>
    <n v="1250"/>
    <n v="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90750"/>
    <n v="10"/>
    <s v="9518490750-10"/>
    <m/>
    <s v="No Priority"/>
    <s v="Failed orders"/>
    <x v="1"/>
    <x v="1"/>
    <n v="2000"/>
    <m/>
    <x v="1"/>
    <m/>
    <m/>
    <s v="Orissa"/>
    <m/>
    <m/>
    <m/>
    <n v="117061"/>
    <s v="BHARTIA  DISTRIBUTORS PVT. LTD"/>
    <n v="3240785"/>
    <s v="CRCA SHEET TSBCRC SR15 0.600X1250X2500"/>
    <s v=""/>
    <s v=""/>
    <m/>
    <m/>
    <s v="Wider"/>
    <s v="C06"/>
    <s v="TSBCRC"/>
    <s v="SR15"/>
    <n v="0.6"/>
    <n v="1250"/>
    <n v="0"/>
    <n v="75"/>
    <e v="#N/A"/>
    <n v="75"/>
    <n v="75"/>
    <e v="#N/A"/>
    <e v="#N/A"/>
    <m/>
    <n v="0"/>
    <n v="75"/>
    <n v="0"/>
    <n v="0"/>
    <n v="84.000000000000014"/>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8311"/>
    <n v="5"/>
    <s v="9518518311-5"/>
    <m/>
    <s v="Stocks"/>
    <s v="Released orders"/>
    <x v="1"/>
    <x v="3"/>
    <s v="2000-BPRS"/>
    <m/>
    <x v="0"/>
    <s v="Mar"/>
    <s v="Low exp BTF"/>
    <m/>
    <m/>
    <s v="SANGAREDDY"/>
    <m/>
    <n v="947126"/>
    <s v="RAVINDRA IRON WORKS"/>
    <n v="1804814"/>
    <s v="CRCA COIL TATXXD AU03 0.8X1250"/>
    <s v=" "/>
    <s v=""/>
    <n v="5"/>
    <n v="30"/>
    <s v="Wider"/>
    <s v="C01"/>
    <s v="TATXXD"/>
    <s v="AU03"/>
    <n v="0.8"/>
    <n v="1250"/>
    <n v="0"/>
    <n v="58"/>
    <n v="51.45"/>
    <n v="58"/>
    <n v="32.299999999999997"/>
    <n v="55.58"/>
    <n v="0"/>
    <m/>
    <n v="0"/>
    <n v="1.9599999999999937"/>
    <n v="6.55"/>
    <n v="0"/>
    <n v="0"/>
    <n v="0"/>
    <n v="0"/>
    <n v="0"/>
    <n v="0"/>
    <n v="0"/>
    <n v="0"/>
    <n v="0"/>
    <n v="0"/>
    <n v="0"/>
    <n v="28.26"/>
    <n v="0"/>
    <n v="27.78"/>
    <n v="0"/>
    <n v="0"/>
    <n v="0"/>
    <n v="0"/>
    <n v="0"/>
    <n v="0"/>
    <n v="56.040000000000006"/>
    <n v="56.040000000000006"/>
    <n v="0"/>
    <n v="56.040000000000006"/>
    <n v="55.58"/>
    <n v="25.7"/>
    <n v="0"/>
    <n v="0"/>
    <n v="0"/>
    <n v="0"/>
    <n v="0"/>
    <n v="0"/>
    <n v="25.7"/>
    <n v="0"/>
    <n v="25.7"/>
    <n v="0"/>
    <n v="0"/>
    <n v="0"/>
    <n v="0"/>
    <m/>
    <m/>
    <m/>
    <m/>
    <m/>
    <m/>
    <m/>
    <m/>
    <m/>
    <m/>
    <m/>
    <m/>
    <m/>
    <m/>
    <m/>
    <m/>
    <m/>
    <m/>
    <m/>
    <m/>
    <m/>
    <m/>
    <m/>
    <m/>
    <m/>
    <m/>
    <m/>
    <m/>
    <m/>
    <m/>
    <m/>
    <m/>
    <m/>
    <m/>
  </r>
  <r>
    <n v="742"/>
    <d v="2025-02-14T00:00:00"/>
    <s v="ZBTO"/>
    <n v="9518518311"/>
    <n v="9"/>
    <s v="9518518311-9"/>
    <m/>
    <s v="Stocks"/>
    <s v="Released orders"/>
    <x v="1"/>
    <x v="3"/>
    <s v="2000-BPRS"/>
    <m/>
    <x v="0"/>
    <s v="Mar"/>
    <s v="Low exp BTF"/>
    <m/>
    <m/>
    <s v="SANGAREDDY"/>
    <m/>
    <n v="947126"/>
    <s v="RAVINDRA IRON WORKS"/>
    <n v="2334995"/>
    <s v="CRCA COIL TATXXD AU03 1.500X1250"/>
    <s v=" "/>
    <s v=""/>
    <n v="5"/>
    <n v="30"/>
    <s v="Wider"/>
    <s v="C01"/>
    <s v="TATXXD"/>
    <s v="AU03"/>
    <n v="1.5"/>
    <n v="1250"/>
    <n v="0"/>
    <n v="58"/>
    <n v="52.125"/>
    <n v="58"/>
    <n v="58"/>
    <n v="55.56"/>
    <n v="0"/>
    <m/>
    <n v="0"/>
    <n v="2.4399999999999977"/>
    <n v="5.875"/>
    <n v="0"/>
    <n v="0"/>
    <n v="0"/>
    <n v="0"/>
    <n v="0"/>
    <n v="0"/>
    <n v="0"/>
    <n v="0"/>
    <n v="0"/>
    <n v="0"/>
    <n v="0"/>
    <n v="0"/>
    <n v="0"/>
    <n v="55.56"/>
    <n v="0"/>
    <n v="0"/>
    <n v="0"/>
    <n v="0"/>
    <n v="0"/>
    <n v="0"/>
    <n v="55.56"/>
    <n v="55.56"/>
    <n v="0"/>
    <n v="55.56"/>
    <n v="55.56"/>
    <n v="52.125"/>
    <n v="0"/>
    <n v="0"/>
    <n v="0"/>
    <n v="0"/>
    <n v="0"/>
    <n v="0"/>
    <n v="52.125"/>
    <n v="0"/>
    <n v="52.125"/>
    <n v="0"/>
    <n v="0"/>
    <n v="0"/>
    <n v="0"/>
    <m/>
    <m/>
    <m/>
    <m/>
    <m/>
    <m/>
    <m/>
    <m/>
    <m/>
    <m/>
    <m/>
    <m/>
    <m/>
    <m/>
    <m/>
    <m/>
    <m/>
    <m/>
    <m/>
    <m/>
    <m/>
    <m/>
    <m/>
    <m/>
    <m/>
    <m/>
    <m/>
    <m/>
    <m/>
    <m/>
    <m/>
    <m/>
    <m/>
    <m/>
  </r>
  <r>
    <n v="742"/>
    <d v="2025-02-14T00:00:00"/>
    <s v="ZBTO"/>
    <n v="9518518311"/>
    <n v="11"/>
    <s v="9518518311-11"/>
    <m/>
    <s v="No Priority"/>
    <s v="Released orders"/>
    <x v="1"/>
    <x v="3"/>
    <s v="2000-BPRS"/>
    <m/>
    <x v="1"/>
    <m/>
    <m/>
    <m/>
    <m/>
    <s v="SANGAREDDY"/>
    <m/>
    <n v="947126"/>
    <s v="RAVINDRA IRON WORKS"/>
    <n v="2155233"/>
    <s v="CRCA COIL TATXXD AU03 2.5X1250"/>
    <s v=" "/>
    <s v=""/>
    <n v="5"/>
    <n v="30"/>
    <s v="Wider"/>
    <s v="C01"/>
    <s v="TATXXD"/>
    <s v="AU03"/>
    <n v="2.5"/>
    <n v="1250"/>
    <n v="0"/>
    <n v="29"/>
    <n v="25.094999999999999"/>
    <n v="29"/>
    <n v="29"/>
    <n v="27.54"/>
    <n v="0"/>
    <m/>
    <n v="0"/>
    <n v="29"/>
    <n v="3.9049999999999998"/>
    <n v="0"/>
    <n v="0"/>
    <n v="0"/>
    <n v="0"/>
    <n v="0"/>
    <n v="0"/>
    <n v="0"/>
    <n v="0"/>
    <n v="0"/>
    <n v="0"/>
    <n v="0"/>
    <n v="0"/>
    <n v="27.54"/>
    <n v="0"/>
    <n v="0"/>
    <n v="0"/>
    <n v="0"/>
    <n v="0"/>
    <n v="0"/>
    <n v="0"/>
    <n v="27.54"/>
    <n v="27.54"/>
    <n v="0"/>
    <n v="27.54"/>
    <n v="27.54"/>
    <n v="0"/>
    <n v="0"/>
    <n v="0"/>
    <n v="0"/>
    <n v="0"/>
    <n v="0"/>
    <n v="0"/>
    <n v="0"/>
    <n v="0"/>
    <n v="0"/>
    <n v="0"/>
    <n v="0"/>
    <n v="0"/>
    <n v="0"/>
    <m/>
    <m/>
    <m/>
    <m/>
    <m/>
    <m/>
    <m/>
    <m/>
    <m/>
    <m/>
    <m/>
    <m/>
    <m/>
    <m/>
    <m/>
    <m/>
    <m/>
    <m/>
    <m/>
    <m/>
    <m/>
    <m/>
    <m/>
    <m/>
    <m/>
    <m/>
    <m/>
    <m/>
    <m/>
    <m/>
    <m/>
    <m/>
    <m/>
    <m/>
  </r>
  <r>
    <n v="742"/>
    <d v="2025-02-04T00:00:00"/>
    <s v="ZBTO"/>
    <n v="9518492304"/>
    <n v="2"/>
    <s v="9518492304-2"/>
    <m/>
    <s v="Stocks"/>
    <s v="Released orders"/>
    <x v="1"/>
    <x v="0"/>
    <s v="2000-BPRS"/>
    <m/>
    <x v="0"/>
    <m/>
    <m/>
    <m/>
    <m/>
    <s v="MORIYA"/>
    <m/>
    <n v="940707"/>
    <s v="GIRIRAJ EXIM PRIVATE LIMITED"/>
    <n v="2320796"/>
    <s v="CRCA COIL TATXXD BT02 1X914"/>
    <s v=" "/>
    <s v=""/>
    <n v="18"/>
    <n v="24"/>
    <s v="Narrow"/>
    <s v="C01"/>
    <s v="TATXXD"/>
    <s v="BT02"/>
    <n v="1"/>
    <n v="914"/>
    <n v="0"/>
    <n v="147"/>
    <n v="111.845"/>
    <n v="147"/>
    <n v="147"/>
    <n v="121.53"/>
    <n v="25.47"/>
    <m/>
    <n v="0"/>
    <n v="147"/>
    <n v="35.104999999999997"/>
    <n v="0"/>
    <n v="28.526400000000002"/>
    <n v="0"/>
    <n v="0"/>
    <n v="0"/>
    <n v="0"/>
    <n v="0"/>
    <n v="0"/>
    <n v="0"/>
    <n v="0"/>
    <n v="0"/>
    <n v="0"/>
    <n v="20.330000000000002"/>
    <n v="101.2"/>
    <n v="0"/>
    <n v="0"/>
    <n v="0"/>
    <n v="0"/>
    <n v="0"/>
    <n v="0"/>
    <n v="121.53"/>
    <n v="121.53"/>
    <n v="0"/>
    <n v="121.53"/>
    <n v="121.53"/>
    <n v="111.845"/>
    <n v="0"/>
    <n v="0"/>
    <n v="0"/>
    <n v="0"/>
    <n v="0"/>
    <n v="0"/>
    <n v="111.845"/>
    <n v="0"/>
    <n v="111.845"/>
    <n v="0"/>
    <n v="0"/>
    <n v="0"/>
    <n v="0"/>
    <m/>
    <m/>
    <m/>
    <m/>
    <m/>
    <m/>
    <m/>
    <m/>
    <m/>
    <m/>
    <m/>
    <m/>
    <m/>
    <m/>
    <m/>
    <m/>
    <m/>
    <m/>
    <m/>
    <m/>
    <m/>
    <m/>
    <m/>
    <m/>
    <m/>
    <m/>
    <m/>
    <m/>
    <m/>
    <m/>
    <m/>
    <m/>
    <m/>
    <m/>
  </r>
  <r>
    <n v="742"/>
    <d v="2025-01-13T00:00:00"/>
    <s v="ZBTO"/>
    <n v="9518425890"/>
    <n v="1"/>
    <s v="9518425890-1"/>
    <m/>
    <s v="No Priority"/>
    <s v="Released orders"/>
    <x v="1"/>
    <x v="1"/>
    <n v="2000"/>
    <m/>
    <x v="1"/>
    <m/>
    <m/>
    <s v="JH"/>
    <s v="East"/>
    <m/>
    <m/>
    <n v="165053"/>
    <s v="SUDISA ENTERPRISES (P) LTD."/>
    <n v="3239568"/>
    <s v="CRCA SHEET TATCRC SR16 0.450X1250X2500"/>
    <s v=""/>
    <m/>
    <m/>
    <m/>
    <s v="Wider"/>
    <s v="C06"/>
    <s v="TATCRC"/>
    <s v="SR16"/>
    <n v="0.45"/>
    <n v="1250"/>
    <n v="2500"/>
    <n v="24"/>
    <n v="22.234999999999999"/>
    <n v="24"/>
    <n v="9.83"/>
    <n v="11.75"/>
    <n v="0"/>
    <m/>
    <n v="26.41"/>
    <n v="0"/>
    <n v="1.7549999999999999"/>
    <n v="0"/>
    <n v="-2.6992000000000003"/>
    <n v="0"/>
    <n v="0"/>
    <n v="0"/>
    <n v="0"/>
    <n v="0"/>
    <n v="0"/>
    <n v="0"/>
    <n v="0"/>
    <n v="0"/>
    <n v="0"/>
    <n v="0"/>
    <n v="0"/>
    <n v="23.48"/>
    <n v="0"/>
    <n v="2.93"/>
    <n v="0"/>
    <n v="0"/>
    <n v="0"/>
    <n v="26.41"/>
    <n v="26.41"/>
    <n v="0"/>
    <n v="26.41"/>
    <n v="-14.66"/>
    <n v="0"/>
    <n v="0"/>
    <n v="0"/>
    <n v="0"/>
    <n v="0"/>
    <n v="0"/>
    <n v="0"/>
    <n v="0"/>
    <n v="0"/>
    <n v="0"/>
    <n v="0"/>
    <n v="0"/>
    <n v="0"/>
    <n v="0"/>
    <n v="0"/>
    <n v="0"/>
    <n v="0"/>
    <n v="0"/>
    <n v="0"/>
    <n v="0"/>
    <m/>
    <m/>
    <m/>
    <m/>
    <m/>
    <m/>
    <m/>
    <m/>
    <m/>
    <s v="1"/>
    <s v="1"/>
    <s v="1"/>
    <s v="1"/>
    <s v="1"/>
    <m/>
    <m/>
    <m/>
    <m/>
    <m/>
    <m/>
    <m/>
    <m/>
    <m/>
    <m/>
    <m/>
    <m/>
    <m/>
    <m/>
  </r>
  <r>
    <n v="742"/>
    <d v="2025-02-14T00:00:00"/>
    <s v="ZBTO"/>
    <n v="9518519644"/>
    <n v="8"/>
    <s v="9518519644-8"/>
    <m/>
    <s v="Mar'25 additional"/>
    <s v="Released orders"/>
    <x v="1"/>
    <x v="1"/>
    <n v="2000"/>
    <m/>
    <x v="1"/>
    <m/>
    <m/>
    <s v="Bihar"/>
    <m/>
    <m/>
    <m/>
    <n v="103227"/>
    <s v="BMW VENTURES LIMITED"/>
    <n v="3239568"/>
    <s v="CRCA SHEET TATCRC SR16 0.450X1250X2500"/>
    <s v=""/>
    <s v=""/>
    <m/>
    <m/>
    <s v="Wider"/>
    <s v="C06"/>
    <s v="TATCRC"/>
    <s v="SR16"/>
    <n v="0.45"/>
    <n v="1250"/>
    <n v="2500"/>
    <n v="36"/>
    <n v="8.5350000000000001"/>
    <n v="36"/>
    <n v="36"/>
    <e v="#N/A"/>
    <e v="#N/A"/>
    <n v="36"/>
    <n v="0"/>
    <n v="36"/>
    <n v="27.465"/>
    <n v="0"/>
    <n v="40.320000000000007"/>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8"/>
    <s v="9518520213-8"/>
    <m/>
    <s v="Mar'25 additional"/>
    <s v="Released orders"/>
    <x v="1"/>
    <x v="1"/>
    <n v="2000"/>
    <m/>
    <x v="1"/>
    <m/>
    <m/>
    <s v="Bihar"/>
    <m/>
    <m/>
    <m/>
    <n v="103227"/>
    <s v="BMW VENTURES LIMITED"/>
    <n v="3239568"/>
    <s v="CRCA SHEET TATCRC SR16 0.450X1250X2500"/>
    <s v=""/>
    <s v=""/>
    <m/>
    <m/>
    <s v="Wider"/>
    <s v="C06"/>
    <s v="TATCRC"/>
    <s v="SR16"/>
    <n v="0.45"/>
    <n v="1250"/>
    <n v="2500"/>
    <n v="36"/>
    <n v="0"/>
    <n v="36"/>
    <n v="36"/>
    <e v="#N/A"/>
    <e v="#N/A"/>
    <n v="36"/>
    <n v="0"/>
    <n v="36"/>
    <n v="36"/>
    <n v="0"/>
    <n v="40.320000000000007"/>
    <n v="0"/>
    <n v="0"/>
    <n v="0"/>
    <n v="0"/>
    <n v="0"/>
    <n v="0"/>
    <n v="0"/>
    <n v="0"/>
    <n v="0"/>
    <n v="0"/>
    <n v="0"/>
    <n v="0"/>
    <n v="0"/>
    <n v="0"/>
    <n v="0"/>
    <n v="0"/>
    <n v="0"/>
    <n v="0"/>
    <n v="0"/>
    <n v="0"/>
    <n v="0"/>
    <n v="0"/>
    <n v="0"/>
    <n v="0"/>
    <n v="0"/>
    <n v="0"/>
    <n v="0"/>
    <n v="0"/>
    <n v="0"/>
    <n v="0"/>
    <n v="0"/>
    <n v="0"/>
    <n v="0"/>
    <n v="0"/>
    <n v="0"/>
    <n v="0"/>
    <n v="0"/>
    <m/>
    <m/>
    <m/>
    <m/>
    <m/>
    <m/>
    <m/>
    <m/>
    <m/>
    <m/>
    <m/>
    <m/>
    <m/>
    <m/>
    <m/>
    <m/>
    <m/>
    <m/>
    <m/>
    <m/>
    <m/>
    <m/>
    <m/>
    <m/>
    <m/>
    <m/>
    <m/>
    <m/>
    <m/>
    <m/>
    <m/>
    <m/>
    <m/>
    <m/>
  </r>
  <r>
    <n v="742"/>
    <d v="2025-01-16T00:00:00"/>
    <s v="ZBTO"/>
    <n v="9518433421"/>
    <n v="12"/>
    <s v="9518433421-12"/>
    <m/>
    <s v="Mar'25"/>
    <s v="Released orders"/>
    <x v="1"/>
    <x v="3"/>
    <s v="2000-BPRS"/>
    <m/>
    <x v="0"/>
    <s v="Mar"/>
    <m/>
    <m/>
    <m/>
    <s v="CHENNAI"/>
    <m/>
    <n v="938550"/>
    <s v="BASEER AND CO"/>
    <n v="1804842"/>
    <s v="CRCA COIL-TATXXD-AU03-1X1000"/>
    <s v=" "/>
    <s v=""/>
    <n v="6"/>
    <n v="18"/>
    <s v="Narrow"/>
    <s v="C01"/>
    <s v="TATXXD"/>
    <s v="AU03"/>
    <n v="1"/>
    <n v="1000"/>
    <n v="0"/>
    <n v="23"/>
    <n v="0"/>
    <n v="23"/>
    <n v="23"/>
    <n v="0"/>
    <n v="23"/>
    <m/>
    <m/>
    <n v="23"/>
    <n v="23"/>
    <n v="0"/>
    <n v="25.76"/>
    <n v="0"/>
    <n v="0"/>
    <n v="0"/>
    <n v="0"/>
    <n v="0"/>
    <n v="0"/>
    <n v="0"/>
    <n v="0"/>
    <n v="0"/>
    <n v="0"/>
    <n v="0"/>
    <n v="0"/>
    <n v="0"/>
    <n v="0"/>
    <n v="0"/>
    <n v="0"/>
    <n v="0"/>
    <n v="0"/>
    <n v="0"/>
    <n v="0"/>
    <n v="0"/>
    <n v="0"/>
    <n v="0"/>
    <n v="0"/>
    <n v="23"/>
    <n v="0"/>
    <n v="0"/>
    <n v="0"/>
    <n v="0"/>
    <n v="23"/>
    <n v="0"/>
    <n v="0"/>
    <n v="0"/>
    <n v="0"/>
    <n v="0"/>
    <n v="0"/>
    <n v="23"/>
    <m/>
    <m/>
    <m/>
    <m/>
    <m/>
    <m/>
    <m/>
    <m/>
    <m/>
    <m/>
    <m/>
    <m/>
    <m/>
    <m/>
    <m/>
    <m/>
    <m/>
    <m/>
    <m/>
    <m/>
    <m/>
    <m/>
    <m/>
    <m/>
    <m/>
    <m/>
    <m/>
    <m/>
    <m/>
    <m/>
    <m/>
    <m/>
    <m/>
    <m/>
  </r>
  <r>
    <n v="742"/>
    <d v="2025-02-13T00:00:00"/>
    <s v="ZBTO"/>
    <n v="9518517048"/>
    <n v="1"/>
    <s v="9518517048-1"/>
    <m/>
    <s v="Mar'25"/>
    <s v="Released orders"/>
    <x v="1"/>
    <x v="3"/>
    <n v="2000"/>
    <m/>
    <x v="0"/>
    <s v="Mar"/>
    <m/>
    <s v="Jharkhand"/>
    <m/>
    <m/>
    <m/>
    <n v="165053"/>
    <s v="SUDISA ENTERPRISES (P) LTD."/>
    <n v="1804772"/>
    <s v="CRCA COIL TATXXD AU03 0.4X1250"/>
    <s v=""/>
    <s v=""/>
    <m/>
    <m/>
    <s v="Wider"/>
    <s v="C01"/>
    <s v="TATXXD"/>
    <s v="AU03"/>
    <n v="0.4"/>
    <n v="1250"/>
    <n v="0"/>
    <n v="87"/>
    <n v="0"/>
    <n v="87"/>
    <n v="87"/>
    <e v="#N/A"/>
    <e v="#N/A"/>
    <m/>
    <n v="0"/>
    <n v="87"/>
    <n v="87"/>
    <n v="0"/>
    <n v="97.440000000000012"/>
    <n v="0"/>
    <n v="0"/>
    <n v="0"/>
    <n v="0"/>
    <n v="0"/>
    <n v="0"/>
    <n v="0"/>
    <n v="0"/>
    <n v="0"/>
    <n v="0"/>
    <n v="0"/>
    <n v="0"/>
    <n v="0"/>
    <n v="0"/>
    <n v="0"/>
    <n v="0"/>
    <n v="0"/>
    <n v="0"/>
    <n v="0"/>
    <n v="0"/>
    <n v="0"/>
    <n v="0"/>
    <n v="0"/>
    <n v="0"/>
    <n v="87"/>
    <n v="0"/>
    <n v="0"/>
    <n v="0"/>
    <n v="0"/>
    <n v="87"/>
    <n v="0"/>
    <n v="0"/>
    <n v="0"/>
    <n v="0"/>
    <n v="0"/>
    <n v="0"/>
    <n v="87"/>
    <m/>
    <m/>
    <m/>
    <m/>
    <m/>
    <m/>
    <m/>
    <m/>
    <m/>
    <m/>
    <m/>
    <m/>
    <m/>
    <m/>
    <m/>
    <m/>
    <m/>
    <m/>
    <m/>
    <m/>
    <m/>
    <m/>
    <m/>
    <m/>
    <m/>
    <m/>
    <m/>
    <m/>
    <m/>
    <m/>
    <m/>
    <m/>
    <m/>
    <m/>
  </r>
  <r>
    <n v="742"/>
    <d v="2025-02-11T00:00:00"/>
    <s v="ZBTO"/>
    <n v="9518510093"/>
    <n v="14"/>
    <s v="9518510093-14"/>
    <m/>
    <s v="No Priority"/>
    <s v="Released orders"/>
    <x v="1"/>
    <x v="3"/>
    <s v="2000-BPRS"/>
    <m/>
    <x v="1"/>
    <m/>
    <m/>
    <m/>
    <m/>
    <s v="LONI"/>
    <m/>
    <n v="101499"/>
    <s v="G.R. GUPTA &amp; BROS."/>
    <n v="1884117"/>
    <s v="CRCA COIL-TATXXD-AU03-2X1250"/>
    <s v=" "/>
    <s v=""/>
    <n v="10"/>
    <n v="30"/>
    <s v="Wider"/>
    <s v="C01"/>
    <s v="TATXXD"/>
    <s v="AU03"/>
    <n v="2"/>
    <n v="1250"/>
    <n v="0"/>
    <n v="29"/>
    <n v="25.39"/>
    <n v="29"/>
    <n v="29"/>
    <n v="27.7"/>
    <n v="0"/>
    <m/>
    <n v="0"/>
    <n v="29"/>
    <n v="3.61"/>
    <n v="0"/>
    <n v="0"/>
    <n v="0"/>
    <n v="0"/>
    <n v="0"/>
    <n v="0"/>
    <n v="0"/>
    <n v="0"/>
    <n v="0"/>
    <n v="0"/>
    <n v="0"/>
    <n v="0"/>
    <n v="0"/>
    <n v="27.7"/>
    <n v="0"/>
    <n v="0"/>
    <n v="0"/>
    <n v="0"/>
    <n v="0"/>
    <n v="0"/>
    <n v="27.7"/>
    <n v="27.7"/>
    <n v="0"/>
    <n v="27.7"/>
    <n v="27.7"/>
    <n v="0"/>
    <n v="0"/>
    <n v="0"/>
    <n v="0"/>
    <n v="0"/>
    <n v="0"/>
    <n v="0"/>
    <n v="0"/>
    <n v="0"/>
    <n v="0"/>
    <n v="0"/>
    <n v="0"/>
    <n v="0"/>
    <n v="0"/>
    <m/>
    <m/>
    <m/>
    <m/>
    <m/>
    <m/>
    <m/>
    <m/>
    <m/>
    <m/>
    <m/>
    <m/>
    <m/>
    <m/>
    <m/>
    <m/>
    <m/>
    <m/>
    <m/>
    <m/>
    <m/>
    <m/>
    <m/>
    <m/>
    <m/>
    <m/>
    <m/>
    <m/>
    <m/>
    <m/>
    <m/>
    <m/>
    <m/>
    <m/>
  </r>
  <r>
    <n v="742"/>
    <d v="2024-12-19T00:00:00"/>
    <s v="ZBTO"/>
    <n v="9518356689"/>
    <n v="17"/>
    <s v="9518356689-17"/>
    <m/>
    <s v="Mar'25"/>
    <s v="Released orders"/>
    <x v="1"/>
    <x v="3"/>
    <s v="2000-BPRS"/>
    <m/>
    <x v="0"/>
    <s v="Mar"/>
    <m/>
    <m/>
    <m/>
    <s v="CHENNAI"/>
    <m/>
    <n v="938550"/>
    <s v="BASEER AND CO"/>
    <n v="1804852"/>
    <s v="CRCA COIL-TATXXD-AU03-1.2X1000"/>
    <s v=" "/>
    <s v=""/>
    <n v="6"/>
    <n v="18"/>
    <s v="Narrow"/>
    <s v="C01"/>
    <s v="TATXXD"/>
    <s v="AU03"/>
    <n v="1.2"/>
    <n v="1000"/>
    <n v="0"/>
    <n v="46"/>
    <n v="0"/>
    <n v="46"/>
    <n v="46"/>
    <n v="0"/>
    <n v="46"/>
    <m/>
    <m/>
    <n v="46"/>
    <n v="46"/>
    <n v="0"/>
    <n v="51.52"/>
    <n v="0"/>
    <n v="0"/>
    <n v="0"/>
    <n v="0"/>
    <n v="0"/>
    <n v="0"/>
    <n v="0"/>
    <n v="0"/>
    <n v="0"/>
    <n v="0"/>
    <n v="0"/>
    <n v="0"/>
    <n v="0"/>
    <n v="0"/>
    <n v="0"/>
    <n v="0"/>
    <n v="0"/>
    <n v="0"/>
    <n v="0"/>
    <n v="0"/>
    <n v="0"/>
    <n v="0"/>
    <n v="0"/>
    <n v="0"/>
    <n v="46"/>
    <n v="0"/>
    <n v="0"/>
    <n v="0"/>
    <n v="0"/>
    <n v="46"/>
    <n v="0"/>
    <n v="0"/>
    <n v="0"/>
    <n v="0"/>
    <n v="0"/>
    <n v="0"/>
    <n v="46"/>
    <m/>
    <m/>
    <m/>
    <m/>
    <m/>
    <m/>
    <m/>
    <m/>
    <m/>
    <m/>
    <m/>
    <m/>
    <m/>
    <m/>
    <m/>
    <m/>
    <m/>
    <m/>
    <m/>
    <m/>
    <m/>
    <m/>
    <m/>
    <m/>
    <m/>
    <m/>
    <m/>
    <m/>
    <m/>
    <m/>
    <m/>
    <m/>
    <m/>
    <m/>
  </r>
  <r>
    <n v="742"/>
    <d v="2025-01-07T00:00:00"/>
    <s v="ZBTO"/>
    <n v="9518410223"/>
    <n v="4"/>
    <s v="9518410223-4"/>
    <m/>
    <s v="No Priority"/>
    <s v="Failed orders"/>
    <x v="1"/>
    <x v="1"/>
    <n v="2000"/>
    <m/>
    <x v="1"/>
    <m/>
    <m/>
    <s v="Uttar Pradesh"/>
    <m/>
    <m/>
    <m/>
    <n v="931525"/>
    <s v="INDIA STEEL INDUSTRIES"/>
    <n v="3444592"/>
    <s v="CRCA SHEET TATCRC SR16 0.450X1250X2030"/>
    <s v=""/>
    <s v=""/>
    <m/>
    <m/>
    <s v="Wider"/>
    <s v="C06"/>
    <s v="TATCRC"/>
    <s v="SR16"/>
    <n v="0.45"/>
    <n v="1250"/>
    <n v="2030"/>
    <n v="57"/>
    <e v="#N/A"/>
    <n v="57"/>
    <n v="57"/>
    <e v="#N/A"/>
    <e v="#N/A"/>
    <n v="57"/>
    <n v="0"/>
    <n v="57"/>
    <n v="0"/>
    <n v="0"/>
    <n v="63.84"/>
    <n v="0"/>
    <n v="0"/>
    <n v="0"/>
    <n v="0"/>
    <n v="0"/>
    <n v="0"/>
    <n v="0"/>
    <n v="0"/>
    <n v="0"/>
    <n v="0"/>
    <n v="0"/>
    <n v="0"/>
    <n v="0"/>
    <n v="0"/>
    <n v="0"/>
    <n v="0"/>
    <n v="0"/>
    <n v="0"/>
    <n v="0"/>
    <n v="0"/>
    <n v="0"/>
    <n v="0"/>
    <n v="0"/>
    <n v="0"/>
    <n v="0"/>
    <n v="0"/>
    <n v="0"/>
    <n v="0"/>
    <n v="0"/>
    <n v="0"/>
    <n v="0"/>
    <n v="0"/>
    <n v="0"/>
    <n v="0"/>
    <n v="0"/>
    <n v="0"/>
    <n v="0"/>
    <m/>
    <m/>
    <m/>
    <m/>
    <m/>
    <m/>
    <m/>
    <m/>
    <m/>
    <m/>
    <m/>
    <m/>
    <m/>
    <m/>
    <m/>
    <m/>
    <m/>
    <m/>
    <m/>
    <m/>
    <m/>
    <m/>
    <m/>
    <m/>
    <m/>
    <m/>
    <m/>
    <m/>
    <m/>
    <m/>
    <m/>
    <m/>
    <m/>
    <m/>
  </r>
  <r>
    <n v="742"/>
    <d v="2025-02-05T00:00:00"/>
    <s v="ZBTO"/>
    <n v="9518495920"/>
    <n v="6"/>
    <s v="9518495920-6"/>
    <m/>
    <s v="Mar'25 additional"/>
    <s v="Released orders"/>
    <x v="1"/>
    <x v="1"/>
    <n v="2000"/>
    <m/>
    <x v="0"/>
    <s v="Mar"/>
    <m/>
    <s v="Uttar Pradesh"/>
    <m/>
    <m/>
    <m/>
    <n v="931525"/>
    <s v="INDIA STEEL INDUSTRIES"/>
    <n v="3444592"/>
    <s v="CRCA SHEET TATCRC SR16 0.450X1250X2030"/>
    <s v=""/>
    <s v=""/>
    <m/>
    <m/>
    <s v="Wider"/>
    <s v="C06"/>
    <s v="TATCRC"/>
    <s v="SR16"/>
    <n v="0.45"/>
    <n v="1250"/>
    <n v="2030"/>
    <n v="54"/>
    <n v="0"/>
    <n v="54"/>
    <n v="54"/>
    <e v="#N/A"/>
    <e v="#N/A"/>
    <n v="54"/>
    <n v="0"/>
    <n v="54"/>
    <n v="54"/>
    <n v="0"/>
    <n v="60.480000000000004"/>
    <n v="0"/>
    <n v="0"/>
    <n v="0"/>
    <n v="0"/>
    <n v="0"/>
    <n v="0"/>
    <n v="0"/>
    <n v="0"/>
    <n v="0"/>
    <n v="0"/>
    <n v="0"/>
    <n v="0"/>
    <n v="0"/>
    <n v="0"/>
    <n v="0"/>
    <n v="0"/>
    <n v="0"/>
    <n v="0"/>
    <n v="0"/>
    <n v="0"/>
    <n v="0"/>
    <n v="0"/>
    <n v="0"/>
    <n v="0"/>
    <n v="54"/>
    <n v="0"/>
    <n v="0"/>
    <n v="0"/>
    <n v="0"/>
    <n v="54"/>
    <n v="0"/>
    <n v="0"/>
    <n v="0"/>
    <n v="0"/>
    <n v="0"/>
    <n v="0"/>
    <n v="54"/>
    <m/>
    <m/>
    <m/>
    <m/>
    <m/>
    <m/>
    <m/>
    <m/>
    <m/>
    <m/>
    <m/>
    <m/>
    <m/>
    <m/>
    <m/>
    <m/>
    <m/>
    <m/>
    <m/>
    <m/>
    <m/>
    <m/>
    <m/>
    <m/>
    <m/>
    <m/>
    <m/>
    <m/>
    <m/>
    <m/>
    <m/>
    <m/>
    <m/>
    <m/>
  </r>
  <r>
    <n v="742"/>
    <d v="2025-02-11T00:00:00"/>
    <s v="ZBTO"/>
    <n v="9518510681"/>
    <n v="1"/>
    <s v="9518510681-1"/>
    <m/>
    <s v="Mar'25"/>
    <s v="Released orders"/>
    <x v="1"/>
    <x v="1"/>
    <n v="2000"/>
    <m/>
    <x v="0"/>
    <s v="Mar"/>
    <m/>
    <s v="Uttar Pradesh"/>
    <m/>
    <m/>
    <m/>
    <n v="115841"/>
    <s v="O.V.S. ISPAT UDYOG"/>
    <n v="3444592"/>
    <s v="CRCA SHEET TATCRC SR16 0.450X1250X2030"/>
    <s v=""/>
    <s v=""/>
    <m/>
    <m/>
    <s v="Wider"/>
    <s v="C06"/>
    <s v="TATCRC"/>
    <s v="SR16"/>
    <n v="0.45"/>
    <n v="1250"/>
    <n v="2030"/>
    <n v="33"/>
    <n v="0"/>
    <n v="33"/>
    <n v="33"/>
    <e v="#N/A"/>
    <e v="#N/A"/>
    <n v="33"/>
    <n v="0"/>
    <n v="33"/>
    <n v="33"/>
    <n v="0"/>
    <n v="36.96"/>
    <n v="0"/>
    <n v="0"/>
    <n v="0"/>
    <n v="0"/>
    <n v="0"/>
    <n v="0"/>
    <n v="0"/>
    <n v="0"/>
    <n v="0"/>
    <n v="0"/>
    <n v="0"/>
    <n v="0"/>
    <n v="0"/>
    <n v="0"/>
    <n v="0"/>
    <n v="0"/>
    <n v="0"/>
    <n v="0"/>
    <n v="0"/>
    <n v="0"/>
    <n v="0"/>
    <n v="0"/>
    <n v="0"/>
    <n v="0"/>
    <n v="33"/>
    <n v="0"/>
    <n v="33"/>
    <n v="0"/>
    <n v="0"/>
    <n v="0"/>
    <n v="33"/>
    <n v="0"/>
    <n v="33"/>
    <n v="0"/>
    <n v="0"/>
    <n v="0"/>
    <n v="0"/>
    <m/>
    <m/>
    <m/>
    <m/>
    <m/>
    <m/>
    <m/>
    <m/>
    <m/>
    <m/>
    <m/>
    <m/>
    <m/>
    <m/>
    <m/>
    <m/>
    <m/>
    <m/>
    <m/>
    <m/>
    <m/>
    <m/>
    <m/>
    <m/>
    <m/>
    <m/>
    <m/>
    <m/>
    <m/>
    <m/>
    <m/>
    <m/>
    <m/>
    <m/>
  </r>
  <r>
    <n v="743"/>
    <d v="2025-02-12T00:00:00"/>
    <s v="ZBTO"/>
    <n v="9518511839"/>
    <n v="2"/>
    <s v="9518511839-2"/>
    <m/>
    <s v="Stocks"/>
    <s v="Released orders"/>
    <x v="2"/>
    <x v="6"/>
    <s v="2000-BPRS"/>
    <m/>
    <x v="0"/>
    <m/>
    <m/>
    <m/>
    <m/>
    <s v="SIYAGANJ"/>
    <m/>
    <n v="944695"/>
    <s v="ANM ISPAT PRIVATE LIMITED"/>
    <n v="1851102"/>
    <s v="GP COIL SOFT-TATXGP-GK09-0.5X1250"/>
    <s v="Z80"/>
    <s v=""/>
    <n v="3"/>
    <n v="5"/>
    <s v="Wider"/>
    <s v="C02"/>
    <s v="TATXGP"/>
    <s v="GK09"/>
    <n v="0.5"/>
    <n v="1250"/>
    <n v="0"/>
    <n v="29"/>
    <n v="27.385000000000002"/>
    <n v="29"/>
    <n v="29"/>
    <n v="28.15"/>
    <n v="0"/>
    <m/>
    <n v="28.15"/>
    <n v="0"/>
    <n v="1.615"/>
    <n v="0"/>
    <n v="0"/>
    <n v="0"/>
    <n v="28.6"/>
    <n v="0"/>
    <n v="0"/>
    <n v="0"/>
    <n v="0"/>
    <n v="0"/>
    <n v="0"/>
    <n v="0"/>
    <n v="0"/>
    <n v="0"/>
    <n v="0"/>
    <n v="0"/>
    <n v="0"/>
    <n v="0"/>
    <n v="0"/>
    <n v="0"/>
    <n v="0"/>
    <n v="28.6"/>
    <n v="28.6"/>
    <n v="0"/>
    <n v="28.15"/>
    <n v="0"/>
    <n v="27.384999999999998"/>
    <n v="0"/>
    <n v="0"/>
    <n v="0"/>
    <n v="0"/>
    <n v="0"/>
    <n v="0"/>
    <n v="27.384999999999998"/>
    <n v="0"/>
    <n v="27.384999999999998"/>
    <n v="0"/>
    <n v="0"/>
    <n v="0"/>
    <n v="0"/>
    <m/>
    <m/>
    <m/>
    <m/>
    <m/>
    <m/>
    <m/>
    <m/>
    <m/>
    <m/>
    <m/>
    <m/>
    <m/>
    <m/>
    <m/>
    <m/>
    <m/>
    <m/>
    <m/>
    <m/>
    <m/>
    <m/>
    <m/>
    <m/>
    <m/>
    <m/>
    <m/>
    <m/>
    <m/>
    <m/>
    <m/>
    <m/>
    <m/>
    <m/>
  </r>
  <r>
    <n v="742"/>
    <d v="2025-02-19T00:00:00"/>
    <s v="ZBTO"/>
    <n v="9518533215"/>
    <n v="1"/>
    <s v="9518533215-1"/>
    <m/>
    <s v="Mar'25"/>
    <s v="Released orders"/>
    <x v="1"/>
    <x v="3"/>
    <s v="2000-BPRS"/>
    <m/>
    <x v="0"/>
    <s v="Mar"/>
    <m/>
    <m/>
    <m/>
    <s v="ZOSOLA"/>
    <m/>
    <n v="184986"/>
    <s v="SWASTIK STEEL PROCESSOR LLP"/>
    <n v="185675"/>
    <s v="CRCA COIL-TATXXD-AU03-0.5X1250"/>
    <s v=" "/>
    <s v=""/>
    <n v="10"/>
    <n v="29"/>
    <s v="Wider"/>
    <s v="C01"/>
    <s v="TATXXD"/>
    <s v="AU03"/>
    <n v="0.5"/>
    <n v="1250"/>
    <n v="0"/>
    <n v="116"/>
    <n v="64.474999999999994"/>
    <n v="116"/>
    <n v="116"/>
    <n v="151.46"/>
    <n v="0"/>
    <m/>
    <n v="0"/>
    <n v="46.120000000000005"/>
    <n v="51.524999999999999"/>
    <n v="0"/>
    <n v="51.65440000000001"/>
    <n v="0"/>
    <n v="0"/>
    <n v="0"/>
    <n v="0"/>
    <n v="0"/>
    <n v="0"/>
    <n v="0"/>
    <n v="0"/>
    <n v="0"/>
    <n v="69.88"/>
    <n v="0"/>
    <n v="0"/>
    <n v="0"/>
    <n v="0"/>
    <n v="0"/>
    <n v="0"/>
    <n v="0"/>
    <n v="0"/>
    <n v="69.88"/>
    <n v="69.88"/>
    <n v="0"/>
    <n v="69.88"/>
    <n v="151.46"/>
    <n v="52.064999999999998"/>
    <n v="51.524999999999999"/>
    <n v="0"/>
    <n v="51.524999999999999"/>
    <n v="0"/>
    <n v="0"/>
    <n v="0"/>
    <n v="103.59"/>
    <n v="0"/>
    <n v="0"/>
    <n v="103.59"/>
    <n v="0"/>
    <n v="0"/>
    <n v="0"/>
    <m/>
    <m/>
    <m/>
    <m/>
    <m/>
    <m/>
    <m/>
    <m/>
    <m/>
    <m/>
    <m/>
    <m/>
    <m/>
    <m/>
    <m/>
    <m/>
    <m/>
    <m/>
    <m/>
    <m/>
    <m/>
    <m/>
    <m/>
    <m/>
    <m/>
    <m/>
    <m/>
    <m/>
    <m/>
    <m/>
    <m/>
    <m/>
    <m/>
    <m/>
  </r>
  <r>
    <n v="742"/>
    <d v="2025-01-21T00:00:00"/>
    <s v="ZBTO"/>
    <n v="9518447967"/>
    <n v="8"/>
    <s v="9518447967-8"/>
    <m/>
    <s v="Mar'25"/>
    <s v="Released orders"/>
    <x v="1"/>
    <x v="1"/>
    <s v="2000-BPRS"/>
    <m/>
    <x v="0"/>
    <s v="Mar"/>
    <m/>
    <m/>
    <m/>
    <s v="HOWRAH"/>
    <m/>
    <n v="101278"/>
    <s v="RAMESH COMPANY"/>
    <n v="3409913"/>
    <s v="CRCA SHEET TSBCRC SR15 0.600X1120X2000"/>
    <s v=" "/>
    <s v=""/>
    <n v="2"/>
    <n v="3"/>
    <s v="Narrow"/>
    <s v="C06"/>
    <s v="TSBCRC"/>
    <s v="SR15"/>
    <n v="0.6"/>
    <n v="1120"/>
    <n v="2000"/>
    <n v="27"/>
    <n v="0"/>
    <n v="27"/>
    <n v="27"/>
    <n v="0"/>
    <n v="27"/>
    <m/>
    <m/>
    <n v="27"/>
    <n v="27"/>
    <n v="0"/>
    <n v="30.240000000000002"/>
    <n v="0"/>
    <n v="0"/>
    <n v="0"/>
    <n v="0"/>
    <n v="0"/>
    <n v="0"/>
    <n v="0"/>
    <n v="0"/>
    <n v="0"/>
    <n v="0"/>
    <n v="0"/>
    <n v="0"/>
    <n v="0"/>
    <n v="0"/>
    <n v="0"/>
    <n v="0"/>
    <n v="0"/>
    <n v="0"/>
    <n v="0"/>
    <n v="0"/>
    <n v="0"/>
    <n v="0"/>
    <n v="0"/>
    <n v="0"/>
    <n v="27"/>
    <n v="0"/>
    <n v="0"/>
    <n v="0"/>
    <n v="27"/>
    <n v="0"/>
    <n v="27"/>
    <n v="0"/>
    <n v="0"/>
    <n v="0"/>
    <n v="27"/>
    <n v="0"/>
    <n v="0"/>
    <m/>
    <m/>
    <m/>
    <m/>
    <m/>
    <m/>
    <m/>
    <m/>
    <m/>
    <m/>
    <m/>
    <m/>
    <m/>
    <m/>
    <m/>
    <m/>
    <m/>
    <m/>
    <m/>
    <m/>
    <m/>
    <m/>
    <m/>
    <m/>
    <m/>
    <m/>
    <m/>
    <m/>
    <m/>
    <m/>
    <m/>
    <m/>
    <m/>
    <m/>
  </r>
  <r>
    <n v="743"/>
    <d v="2025-02-05T00:00:00"/>
    <s v="ZBTO"/>
    <n v="9518495509"/>
    <n v="2"/>
    <s v="9518495509-2"/>
    <m/>
    <s v="Stocks"/>
    <s v="Released orders"/>
    <x v="2"/>
    <x v="2"/>
    <s v="2000-BPRS"/>
    <m/>
    <x v="0"/>
    <m/>
    <m/>
    <m/>
    <m/>
    <s v="KANPUR"/>
    <m/>
    <n v="933952"/>
    <s v="AGARWAL STEEL TRADERS"/>
    <n v="1191955"/>
    <s v="GP COIL SOFT-TATXGP-GK09-0.3X900"/>
    <s v="Z80"/>
    <s v=""/>
    <n v="3.2"/>
    <n v="5"/>
    <s v="Narrow"/>
    <s v="C02"/>
    <s v="TATXGP"/>
    <s v="GK09"/>
    <n v="0.3"/>
    <n v="900"/>
    <n v="0"/>
    <n v="104.99"/>
    <n v="92.2"/>
    <n v="31.695"/>
    <n v="31.695"/>
    <n v="20.350000000000001"/>
    <n v="0"/>
    <m/>
    <n v="20.350000000000001"/>
    <n v="0"/>
    <n v="12.79"/>
    <n v="0"/>
    <n v="0"/>
    <n v="0"/>
    <n v="0"/>
    <n v="0"/>
    <n v="20.350000000000001"/>
    <n v="0"/>
    <n v="0.29500000000000004"/>
    <n v="0"/>
    <n v="0"/>
    <n v="0"/>
    <n v="0"/>
    <n v="0"/>
    <n v="0"/>
    <n v="0"/>
    <n v="0"/>
    <n v="0"/>
    <n v="18.240000000000002"/>
    <n v="0"/>
    <n v="0"/>
    <n v="38.885000000000005"/>
    <n v="38.885000000000005"/>
    <n v="0"/>
    <n v="20.350000000000001"/>
    <n v="0"/>
    <n v="33.19"/>
    <n v="0"/>
    <n v="0"/>
    <n v="0"/>
    <n v="0"/>
    <n v="0"/>
    <n v="0"/>
    <n v="33.19"/>
    <n v="0"/>
    <n v="33.19"/>
    <n v="0"/>
    <n v="0"/>
    <n v="0"/>
    <n v="0"/>
    <m/>
    <m/>
    <m/>
    <m/>
    <m/>
    <m/>
    <m/>
    <m/>
    <m/>
    <m/>
    <m/>
    <m/>
    <m/>
    <m/>
    <m/>
    <m/>
    <m/>
    <m/>
    <m/>
    <m/>
    <m/>
    <m/>
    <m/>
    <m/>
    <m/>
    <m/>
    <m/>
    <m/>
    <m/>
    <m/>
    <m/>
    <m/>
    <m/>
    <m/>
  </r>
  <r>
    <n v="742"/>
    <d v="2025-01-16T00:00:00"/>
    <s v="ZBTO"/>
    <n v="9518433597"/>
    <n v="2"/>
    <s v="9518433597-2"/>
    <m/>
    <s v="Mar'25"/>
    <s v="Released orders"/>
    <x v="1"/>
    <x v="3"/>
    <s v="2000-BPRS"/>
    <m/>
    <x v="0"/>
    <m/>
    <m/>
    <m/>
    <m/>
    <s v="CHENNAI"/>
    <m/>
    <n v="938550"/>
    <s v="BASEER AND CO"/>
    <n v="1804814"/>
    <s v="CRCA COIL TATXXD AU03 0.8X1250"/>
    <s v=" "/>
    <s v=""/>
    <n v="6"/>
    <n v="18"/>
    <s v="Wider"/>
    <s v="C01"/>
    <s v="TATXXD"/>
    <s v="AU03"/>
    <n v="0.8"/>
    <n v="1250"/>
    <n v="0"/>
    <n v="29"/>
    <n v="0"/>
    <n v="29"/>
    <n v="29"/>
    <n v="27.75"/>
    <n v="0"/>
    <m/>
    <n v="0"/>
    <n v="29"/>
    <n v="29"/>
    <n v="0"/>
    <n v="0"/>
    <n v="0"/>
    <n v="0"/>
    <n v="0"/>
    <n v="0"/>
    <n v="0"/>
    <n v="0"/>
    <n v="0"/>
    <n v="0"/>
    <n v="0"/>
    <n v="28.38"/>
    <n v="0"/>
    <n v="0"/>
    <n v="0"/>
    <n v="0"/>
    <n v="0"/>
    <n v="0"/>
    <n v="0"/>
    <n v="0"/>
    <n v="28.38"/>
    <n v="28.38"/>
    <n v="0"/>
    <n v="28.38"/>
    <n v="27.75"/>
    <n v="0"/>
    <n v="29"/>
    <n v="0"/>
    <n v="29"/>
    <n v="0"/>
    <n v="0"/>
    <n v="0"/>
    <n v="29"/>
    <n v="0"/>
    <n v="29"/>
    <n v="0"/>
    <n v="0"/>
    <n v="0"/>
    <n v="0"/>
    <m/>
    <m/>
    <m/>
    <m/>
    <m/>
    <m/>
    <m/>
    <m/>
    <m/>
    <m/>
    <m/>
    <m/>
    <m/>
    <m/>
    <m/>
    <m/>
    <m/>
    <m/>
    <m/>
    <m/>
    <m/>
    <m/>
    <m/>
    <m/>
    <m/>
    <m/>
    <m/>
    <m/>
    <m/>
    <m/>
    <m/>
    <m/>
    <m/>
    <m/>
  </r>
  <r>
    <n v="742"/>
    <d v="2025-02-10T00:00:00"/>
    <s v="ZBTO"/>
    <n v="9518507657"/>
    <n v="1"/>
    <s v="9518507657-1"/>
    <m/>
    <s v="Stocks"/>
    <s v="Released orders"/>
    <x v="1"/>
    <x v="3"/>
    <s v="2000-BPRS"/>
    <m/>
    <x v="0"/>
    <m/>
    <m/>
    <m/>
    <m/>
    <s v="GUWAHATI"/>
    <m/>
    <n v="116649"/>
    <s v="SAGAR STEELS"/>
    <n v="1804814"/>
    <s v="CRCA COIL TATXXD AU03 0.8X1250"/>
    <s v=" "/>
    <s v=""/>
    <n v="3"/>
    <n v="10"/>
    <s v="Wider"/>
    <s v="C01"/>
    <s v="TATXXD"/>
    <s v="AU03"/>
    <n v="0.8"/>
    <n v="1250"/>
    <n v="0"/>
    <n v="58"/>
    <n v="51.145000000000003"/>
    <n v="58"/>
    <n v="40.85"/>
    <n v="66.13"/>
    <n v="0"/>
    <m/>
    <n v="56.38"/>
    <n v="0"/>
    <n v="6.8550000000000004"/>
    <n v="0"/>
    <n v="0"/>
    <n v="0"/>
    <n v="0"/>
    <n v="0"/>
    <n v="0"/>
    <n v="0"/>
    <n v="0"/>
    <n v="0"/>
    <n v="0"/>
    <n v="0"/>
    <n v="0"/>
    <n v="0"/>
    <n v="27.76"/>
    <n v="27.580000000000002"/>
    <n v="0"/>
    <n v="0"/>
    <n v="28.8"/>
    <n v="0"/>
    <n v="0"/>
    <n v="84.14"/>
    <n v="84.14"/>
    <n v="0"/>
    <n v="84.14"/>
    <n v="9.7499999999999929"/>
    <n v="8.3699999999999992"/>
    <n v="0"/>
    <n v="0"/>
    <n v="0"/>
    <n v="0"/>
    <n v="0"/>
    <n v="0"/>
    <n v="8.3699999999999992"/>
    <n v="0"/>
    <n v="8.3699999999999992"/>
    <n v="0"/>
    <n v="0"/>
    <n v="0"/>
    <n v="0"/>
    <m/>
    <m/>
    <m/>
    <m/>
    <m/>
    <m/>
    <m/>
    <m/>
    <m/>
    <m/>
    <m/>
    <m/>
    <m/>
    <m/>
    <m/>
    <m/>
    <m/>
    <m/>
    <m/>
    <m/>
    <m/>
    <m/>
    <m/>
    <m/>
    <m/>
    <m/>
    <m/>
    <m/>
    <m/>
    <m/>
    <m/>
    <m/>
    <m/>
    <m/>
  </r>
  <r>
    <n v="742"/>
    <d v="2025-02-09T00:00:00"/>
    <s v="ZBTO"/>
    <n v="9518505599"/>
    <n v="1"/>
    <s v="9518505599-1"/>
    <m/>
    <s v="No Priority"/>
    <s v="Released orders"/>
    <x v="1"/>
    <x v="3"/>
    <s v="2000-BPRS"/>
    <m/>
    <x v="1"/>
    <s v="Mar"/>
    <m/>
    <m/>
    <m/>
    <s v="PATTANCHERY"/>
    <m/>
    <n v="939422"/>
    <s v="VIJAY VENKAT STEELS PRIVATE LIMITED"/>
    <n v="185675"/>
    <s v="CRCA COIL-TATXXD-AU03-0.5X1250"/>
    <s v=" "/>
    <s v=""/>
    <n v="18"/>
    <n v="30"/>
    <s v="Wider"/>
    <s v="C01"/>
    <s v="TATXXD"/>
    <s v="AU03"/>
    <n v="0.5"/>
    <n v="1250"/>
    <n v="0"/>
    <n v="29"/>
    <n v="25.77"/>
    <n v="29"/>
    <n v="3.23"/>
    <n v="86.87"/>
    <n v="0"/>
    <m/>
    <n v="27.26"/>
    <n v="1.7399999999999984"/>
    <n v="3.23"/>
    <n v="0"/>
    <n v="0"/>
    <n v="0"/>
    <n v="0"/>
    <n v="0"/>
    <n v="0"/>
    <n v="0"/>
    <n v="0"/>
    <n v="0"/>
    <n v="0"/>
    <n v="0"/>
    <n v="0"/>
    <n v="0"/>
    <n v="0"/>
    <n v="27.26"/>
    <n v="0"/>
    <n v="0"/>
    <n v="0"/>
    <n v="0"/>
    <n v="0"/>
    <n v="27.26"/>
    <n v="27.26"/>
    <n v="0"/>
    <n v="27.26"/>
    <n v="59.61"/>
    <n v="0"/>
    <n v="0"/>
    <n v="0"/>
    <n v="0"/>
    <n v="0"/>
    <n v="0"/>
    <n v="0"/>
    <n v="0"/>
    <n v="0"/>
    <n v="0"/>
    <n v="0"/>
    <n v="0"/>
    <n v="0"/>
    <n v="0"/>
    <m/>
    <m/>
    <m/>
    <m/>
    <m/>
    <m/>
    <m/>
    <m/>
    <m/>
    <m/>
    <m/>
    <m/>
    <m/>
    <m/>
    <m/>
    <m/>
    <m/>
    <m/>
    <m/>
    <m/>
    <m/>
    <m/>
    <m/>
    <m/>
    <m/>
    <m/>
    <m/>
    <m/>
    <m/>
    <m/>
    <m/>
    <m/>
    <m/>
    <m/>
  </r>
  <r>
    <n v="744"/>
    <d v="2025-02-11T00:00:00"/>
    <s v="ZBTO"/>
    <n v="9518510381"/>
    <n v="1"/>
    <s v="9518510381-1"/>
    <m/>
    <s v="Mar'25 additional"/>
    <s v="Released orders"/>
    <x v="4"/>
    <x v="7"/>
    <s v="1000-IPPE"/>
    <m/>
    <x v="0"/>
    <m/>
    <m/>
    <m/>
    <m/>
    <s v=" "/>
    <m/>
    <n v="941597"/>
    <s v="TATA BLUESCOPE STEEL PRIVATE LIMITE"/>
    <n v="1633727"/>
    <s v="PPGL C Y300PL SPL8 0.42BMT(0.50TPT)X1220"/>
    <s v="AZ150"/>
    <s v="RAL 5017 TSL 411"/>
    <n v="3"/>
    <n v="5"/>
    <s v="Wider"/>
    <s v="B17"/>
    <s v="Y300PL"/>
    <s v="SPL8"/>
    <n v="0.42"/>
    <n v="1220"/>
    <n v="0"/>
    <n v="28"/>
    <n v="0"/>
    <n v="28"/>
    <n v="28"/>
    <n v="21.17"/>
    <n v="0"/>
    <m/>
    <n v="21.17"/>
    <n v="0"/>
    <n v="28"/>
    <n v="0"/>
    <n v="0"/>
    <n v="0"/>
    <n v="0"/>
    <n v="0"/>
    <n v="0"/>
    <n v="21.17"/>
    <n v="0"/>
    <n v="0"/>
    <n v="0"/>
    <n v="0"/>
    <n v="0"/>
    <n v="0"/>
    <n v="0"/>
    <n v="0"/>
    <n v="0"/>
    <n v="0"/>
    <n v="0"/>
    <n v="0"/>
    <n v="0"/>
    <n v="21.17"/>
    <n v="21.17"/>
    <n v="0"/>
    <n v="21.17"/>
    <n v="0"/>
    <n v="0"/>
    <n v="28"/>
    <n v="0"/>
    <n v="0"/>
    <n v="0"/>
    <n v="28"/>
    <n v="0"/>
    <n v="28"/>
    <n v="0"/>
    <n v="0"/>
    <n v="0"/>
    <n v="28"/>
    <n v="0"/>
    <n v="0"/>
    <m/>
    <m/>
    <m/>
    <m/>
    <m/>
    <m/>
    <m/>
    <m/>
    <m/>
    <m/>
    <m/>
    <m/>
    <m/>
    <m/>
    <m/>
    <m/>
    <m/>
    <m/>
    <m/>
    <m/>
    <m/>
    <m/>
    <m/>
    <m/>
    <m/>
    <m/>
    <m/>
    <m/>
    <m/>
    <m/>
    <m/>
    <m/>
    <m/>
    <m/>
  </r>
  <r>
    <n v="744"/>
    <d v="2025-02-11T00:00:00"/>
    <s v="ZBTO"/>
    <n v="9518510383"/>
    <n v="1"/>
    <s v="9518510383-1"/>
    <m/>
    <s v="Mar'25 additional"/>
    <s v="Released orders"/>
    <x v="4"/>
    <x v="7"/>
    <s v="1000-IPPE"/>
    <m/>
    <x v="0"/>
    <m/>
    <m/>
    <m/>
    <m/>
    <s v=" "/>
    <m/>
    <n v="941597"/>
    <s v="TATA BLUESCOPE STEEL PRIVATE LIMITE"/>
    <n v="1633727"/>
    <s v="PPGL C Y300PL SPL8 0.42BMT(0.50TPT)X1220"/>
    <s v="AZ150"/>
    <s v="RAL 7035 TSL 410"/>
    <n v="3"/>
    <n v="5"/>
    <s v="Wider"/>
    <s v="B17"/>
    <s v="Y300PL"/>
    <s v="SPL8"/>
    <n v="0.42"/>
    <n v="1220"/>
    <n v="0"/>
    <n v="28"/>
    <n v="0"/>
    <n v="28"/>
    <n v="28"/>
    <n v="21.35"/>
    <n v="0"/>
    <m/>
    <n v="21.35"/>
    <n v="0"/>
    <n v="28"/>
    <n v="0"/>
    <n v="0"/>
    <n v="0"/>
    <n v="0"/>
    <n v="0"/>
    <n v="0"/>
    <n v="21.35"/>
    <n v="0"/>
    <n v="0"/>
    <n v="0"/>
    <n v="0"/>
    <n v="0"/>
    <n v="0"/>
    <n v="0"/>
    <n v="0"/>
    <n v="0"/>
    <n v="0"/>
    <n v="0"/>
    <n v="0"/>
    <n v="0"/>
    <n v="21.35"/>
    <n v="21.35"/>
    <n v="0"/>
    <n v="21.35"/>
    <n v="0"/>
    <n v="0"/>
    <n v="28"/>
    <n v="0"/>
    <n v="0"/>
    <n v="28"/>
    <n v="0"/>
    <n v="0"/>
    <n v="28"/>
    <n v="0"/>
    <n v="0"/>
    <n v="28"/>
    <n v="0"/>
    <n v="0"/>
    <n v="0"/>
    <m/>
    <m/>
    <m/>
    <m/>
    <m/>
    <m/>
    <m/>
    <m/>
    <m/>
    <m/>
    <m/>
    <m/>
    <m/>
    <m/>
    <m/>
    <m/>
    <m/>
    <m/>
    <m/>
    <m/>
    <m/>
    <m/>
    <m/>
    <m/>
    <m/>
    <m/>
    <m/>
    <m/>
    <m/>
    <m/>
    <m/>
    <m/>
    <m/>
    <m/>
  </r>
  <r>
    <n v="743"/>
    <d v="2025-02-13T00:00:00"/>
    <s v="ZBTO"/>
    <n v="9518515618"/>
    <n v="3"/>
    <s v="9518515618-3"/>
    <m/>
    <s v="Mar'25"/>
    <s v="Released orders"/>
    <x v="2"/>
    <x v="6"/>
    <n v="2000"/>
    <m/>
    <x v="0"/>
    <m/>
    <m/>
    <s v="Madhya Pradesh"/>
    <m/>
    <m/>
    <m/>
    <n v="944695"/>
    <s v="ANM ISPAT PRIVATE LIMITED"/>
    <n v="1851102"/>
    <s v="GP COIL SOFT-TATXGP-GK09-0.5X1250"/>
    <n v="80"/>
    <s v=""/>
    <m/>
    <m/>
    <s v="Wider"/>
    <s v="C02"/>
    <s v="TATXGP"/>
    <s v="GK09"/>
    <n v="0.5"/>
    <n v="1250"/>
    <n v="0"/>
    <n v="29"/>
    <n v="0"/>
    <n v="29"/>
    <n v="29"/>
    <n v="0"/>
    <n v="29"/>
    <m/>
    <m/>
    <n v="29"/>
    <n v="29"/>
    <n v="0"/>
    <n v="32.480000000000004"/>
    <n v="0"/>
    <n v="0"/>
    <n v="0"/>
    <n v="0"/>
    <n v="0"/>
    <n v="0"/>
    <n v="0"/>
    <n v="0"/>
    <n v="0"/>
    <n v="0"/>
    <n v="0"/>
    <n v="0"/>
    <n v="0"/>
    <n v="0"/>
    <n v="0"/>
    <n v="0"/>
    <n v="0"/>
    <n v="0"/>
    <n v="0"/>
    <n v="0"/>
    <n v="0"/>
    <n v="0"/>
    <n v="0"/>
    <n v="0"/>
    <n v="29"/>
    <n v="0"/>
    <n v="0"/>
    <n v="0"/>
    <n v="29"/>
    <n v="0"/>
    <n v="29"/>
    <n v="0"/>
    <n v="0"/>
    <n v="0"/>
    <n v="29"/>
    <n v="0"/>
    <n v="0"/>
    <m/>
    <m/>
    <m/>
    <m/>
    <m/>
    <m/>
    <m/>
    <m/>
    <m/>
    <m/>
    <m/>
    <m/>
    <m/>
    <m/>
    <m/>
    <m/>
    <m/>
    <m/>
    <m/>
    <m/>
    <m/>
    <m/>
    <m/>
    <m/>
    <m/>
    <m/>
    <m/>
    <m/>
    <m/>
    <m/>
    <m/>
    <m/>
    <m/>
    <m/>
  </r>
  <r>
    <n v="742"/>
    <d v="2025-02-17T00:00:00"/>
    <s v="ZBTO"/>
    <n v="9518525986"/>
    <n v="1"/>
    <s v="9518525986-1"/>
    <m/>
    <s v="No Priority"/>
    <s v="Released orders"/>
    <x v="1"/>
    <x v="3"/>
    <s v="2000-BPRS"/>
    <m/>
    <x v="1"/>
    <m/>
    <m/>
    <m/>
    <m/>
    <s v="KANPUR"/>
    <m/>
    <n v="115841"/>
    <s v="O.V.S. ISPAT UDYOG"/>
    <n v="1801804"/>
    <s v="CRCA COIL-TATXXD-AU03-1X1250"/>
    <s v=" "/>
    <s v=""/>
    <n v="7"/>
    <n v="28"/>
    <s v="Wider"/>
    <s v="C01"/>
    <s v="TATXXD"/>
    <s v="AU03"/>
    <n v="1"/>
    <n v="1250"/>
    <n v="0"/>
    <n v="29"/>
    <n v="26.254999999999999"/>
    <n v="29"/>
    <n v="29"/>
    <n v="27.58"/>
    <n v="0"/>
    <m/>
    <n v="0"/>
    <n v="29"/>
    <n v="2.7450000000000001"/>
    <n v="0"/>
    <n v="0"/>
    <n v="0"/>
    <n v="0"/>
    <n v="0"/>
    <n v="0"/>
    <n v="0"/>
    <n v="0"/>
    <n v="0"/>
    <n v="0"/>
    <n v="0"/>
    <n v="0"/>
    <n v="0"/>
    <n v="27.580000000000002"/>
    <n v="0"/>
    <n v="0"/>
    <n v="0"/>
    <n v="0"/>
    <n v="0"/>
    <n v="0"/>
    <n v="27.580000000000002"/>
    <n v="27.580000000000002"/>
    <n v="0"/>
    <n v="27.580000000000002"/>
    <n v="27.58"/>
    <n v="0"/>
    <n v="0"/>
    <n v="0"/>
    <n v="0"/>
    <n v="0"/>
    <n v="0"/>
    <n v="0"/>
    <n v="0"/>
    <n v="0"/>
    <n v="0"/>
    <n v="0"/>
    <n v="0"/>
    <n v="0"/>
    <n v="0"/>
    <m/>
    <m/>
    <m/>
    <m/>
    <m/>
    <m/>
    <m/>
    <m/>
    <m/>
    <m/>
    <m/>
    <m/>
    <m/>
    <m/>
    <m/>
    <m/>
    <m/>
    <m/>
    <m/>
    <m/>
    <m/>
    <m/>
    <m/>
    <m/>
    <m/>
    <m/>
    <m/>
    <m/>
    <m/>
    <m/>
    <m/>
    <m/>
    <m/>
    <m/>
  </r>
  <r>
    <n v="742"/>
    <d v="2025-02-17T00:00:00"/>
    <s v="ZBTO"/>
    <n v="9518525986"/>
    <n v="2"/>
    <s v="9518525986-2"/>
    <m/>
    <s v="Stocks"/>
    <s v="Released orders"/>
    <x v="1"/>
    <x v="3"/>
    <s v="2000-BPRS"/>
    <m/>
    <x v="0"/>
    <m/>
    <m/>
    <m/>
    <m/>
    <s v="KANPUR"/>
    <m/>
    <n v="115841"/>
    <s v="O.V.S. ISPAT UDYOG"/>
    <n v="1884117"/>
    <s v="CRCA COIL-TATXXD-AU03-2X1250"/>
    <s v=" "/>
    <s v=""/>
    <n v="7"/>
    <n v="28"/>
    <s v="Wider"/>
    <s v="C01"/>
    <s v="TATXXD"/>
    <s v="AU03"/>
    <n v="2"/>
    <n v="1250"/>
    <n v="0"/>
    <n v="29"/>
    <n v="25.56"/>
    <n v="29"/>
    <n v="29"/>
    <n v="27.69"/>
    <n v="0"/>
    <m/>
    <n v="0"/>
    <n v="29"/>
    <n v="3.44"/>
    <n v="0"/>
    <n v="0"/>
    <n v="0"/>
    <n v="0"/>
    <n v="0"/>
    <n v="0"/>
    <n v="0"/>
    <n v="0"/>
    <n v="0"/>
    <n v="0"/>
    <n v="0"/>
    <n v="0"/>
    <n v="0"/>
    <n v="27.69"/>
    <n v="0"/>
    <n v="0"/>
    <n v="0"/>
    <n v="0"/>
    <n v="0"/>
    <n v="0"/>
    <n v="27.69"/>
    <n v="27.69"/>
    <n v="0"/>
    <n v="27.69"/>
    <n v="27.69"/>
    <n v="25.56"/>
    <n v="0"/>
    <n v="0"/>
    <n v="0"/>
    <n v="0"/>
    <n v="0"/>
    <n v="0"/>
    <n v="25.56"/>
    <n v="0"/>
    <n v="25.56"/>
    <n v="0"/>
    <n v="0"/>
    <n v="0"/>
    <n v="0"/>
    <m/>
    <m/>
    <m/>
    <m/>
    <m/>
    <m/>
    <m/>
    <m/>
    <m/>
    <m/>
    <m/>
    <m/>
    <m/>
    <m/>
    <m/>
    <m/>
    <m/>
    <m/>
    <m/>
    <m/>
    <m/>
    <m/>
    <m/>
    <m/>
    <m/>
    <m/>
    <m/>
    <m/>
    <m/>
    <m/>
    <m/>
    <m/>
    <m/>
    <m/>
  </r>
  <r>
    <n v="742"/>
    <d v="2025-01-29T00:00:00"/>
    <s v="ZBTO"/>
    <n v="9518474200"/>
    <n v="9"/>
    <s v="9518474200-9"/>
    <m/>
    <s v="No Priority"/>
    <s v="Released orders"/>
    <x v="1"/>
    <x v="3"/>
    <s v="2000-BPRS"/>
    <m/>
    <x v="1"/>
    <m/>
    <m/>
    <m/>
    <m/>
    <s v="BOMBAY"/>
    <m/>
    <n v="115806"/>
    <s v="NARESH STEEL INDUSTRIES"/>
    <n v="1884117"/>
    <s v="CRCA COIL-TATXXD-AU03-2X1250"/>
    <s v=" "/>
    <s v=""/>
    <n v="10"/>
    <n v="15"/>
    <s v="Wider"/>
    <s v="C01"/>
    <s v="TATXXD"/>
    <s v="AU03"/>
    <n v="2"/>
    <n v="1250"/>
    <n v="0"/>
    <n v="29"/>
    <n v="25.164999999999999"/>
    <n v="29"/>
    <n v="29"/>
    <n v="55.08"/>
    <n v="0"/>
    <m/>
    <n v="0"/>
    <n v="29"/>
    <n v="3.835"/>
    <n v="0"/>
    <n v="0"/>
    <n v="0"/>
    <n v="0"/>
    <n v="0"/>
    <n v="0"/>
    <n v="0"/>
    <n v="0"/>
    <n v="0"/>
    <n v="0"/>
    <n v="0"/>
    <n v="0"/>
    <n v="0"/>
    <n v="27.66"/>
    <n v="0"/>
    <n v="0"/>
    <n v="0"/>
    <n v="0"/>
    <n v="0"/>
    <n v="0"/>
    <n v="27.66"/>
    <n v="27.66"/>
    <n v="0"/>
    <n v="27.66"/>
    <n v="55.08"/>
    <n v="0"/>
    <n v="0"/>
    <n v="0"/>
    <n v="0"/>
    <n v="0"/>
    <n v="0"/>
    <n v="0"/>
    <n v="0"/>
    <n v="0"/>
    <n v="0"/>
    <n v="0"/>
    <n v="0"/>
    <n v="0"/>
    <n v="0"/>
    <m/>
    <m/>
    <m/>
    <m/>
    <m/>
    <m/>
    <m/>
    <m/>
    <m/>
    <m/>
    <m/>
    <m/>
    <m/>
    <m/>
    <m/>
    <m/>
    <m/>
    <m/>
    <m/>
    <m/>
    <m/>
    <m/>
    <m/>
    <m/>
    <m/>
    <m/>
    <m/>
    <m/>
    <m/>
    <m/>
    <m/>
    <m/>
    <m/>
    <m/>
  </r>
  <r>
    <n v="744"/>
    <d v="2025-02-14T00:00:00"/>
    <s v="ZBTO"/>
    <n v="9518519136"/>
    <n v="1"/>
    <s v="9518519136-1"/>
    <m/>
    <s v="Stocks"/>
    <s v="Released orders"/>
    <x v="4"/>
    <x v="7"/>
    <s v="1000-IPPE"/>
    <m/>
    <x v="0"/>
    <m/>
    <m/>
    <m/>
    <m/>
    <s v=" "/>
    <m/>
    <n v="941597"/>
    <s v="TATA BLUESCOPE STEEL PRIVATE LIMITE"/>
    <n v="1633727"/>
    <s v="PPGL C Y300PL SPL8 0.42BMT(0.50TPT)X1220"/>
    <s v="AZ150"/>
    <s v="SECO RED TSL 176"/>
    <n v="3"/>
    <n v="5"/>
    <s v="Wider"/>
    <s v="B17"/>
    <s v="Y300PL"/>
    <s v="SPL8"/>
    <n v="0.42"/>
    <n v="1220"/>
    <n v="0"/>
    <n v="56"/>
    <n v="50.81"/>
    <n v="56"/>
    <n v="56"/>
    <n v="83.51"/>
    <n v="0"/>
    <m/>
    <n v="83.51"/>
    <n v="0"/>
    <n v="5.19"/>
    <n v="0"/>
    <n v="62.720000000000006"/>
    <n v="0"/>
    <n v="0"/>
    <n v="0"/>
    <n v="0"/>
    <n v="0"/>
    <n v="0"/>
    <n v="0"/>
    <n v="0"/>
    <n v="0"/>
    <n v="0"/>
    <n v="0"/>
    <n v="0"/>
    <n v="0"/>
    <n v="0"/>
    <n v="0"/>
    <n v="0"/>
    <n v="0"/>
    <n v="0"/>
    <n v="0"/>
    <n v="0"/>
    <n v="0"/>
    <n v="0"/>
    <n v="0"/>
    <n v="50.810000000000009"/>
    <n v="5.19"/>
    <n v="0"/>
    <n v="5.19"/>
    <n v="0"/>
    <n v="0"/>
    <n v="0"/>
    <n v="56.000000000000007"/>
    <n v="0"/>
    <n v="56.000000000000007"/>
    <n v="0"/>
    <n v="0"/>
    <n v="0"/>
    <n v="0"/>
    <m/>
    <m/>
    <m/>
    <m/>
    <m/>
    <m/>
    <m/>
    <m/>
    <m/>
    <m/>
    <m/>
    <m/>
    <m/>
    <m/>
    <m/>
    <m/>
    <m/>
    <m/>
    <m/>
    <m/>
    <m/>
    <m/>
    <m/>
    <m/>
    <m/>
    <m/>
    <m/>
    <m/>
    <m/>
    <m/>
    <m/>
    <m/>
    <m/>
    <m/>
  </r>
  <r>
    <n v="743"/>
    <d v="2025-01-03T00:00:00"/>
    <s v="ZBTO"/>
    <n v="9518401843"/>
    <n v="2"/>
    <s v="9518401843-2"/>
    <m/>
    <s v="Feb'25"/>
    <s v="Released orders"/>
    <x v="2"/>
    <x v="6"/>
    <s v="2000-BPRS"/>
    <m/>
    <x v="0"/>
    <m/>
    <m/>
    <m/>
    <s v="East"/>
    <s v=" "/>
    <m/>
    <n v="121328"/>
    <s v="R. S. BOKARO METAL (P) LTD."/>
    <n v="1854427"/>
    <s v="GP COIL SOFT-TATXGP-GLK1-0.6X1250"/>
    <s v="Z80"/>
    <s v=""/>
    <n v="4"/>
    <n v="12"/>
    <s v="Wider"/>
    <s v="C02"/>
    <s v="TATXGP"/>
    <s v="GLK1"/>
    <n v="0.6"/>
    <n v="1250"/>
    <n v="0"/>
    <n v="29"/>
    <n v="0"/>
    <n v="29"/>
    <n v="29"/>
    <n v="0"/>
    <n v="29"/>
    <m/>
    <m/>
    <n v="29"/>
    <n v="29"/>
    <n v="0"/>
    <n v="32.480000000000004"/>
    <n v="0"/>
    <n v="0"/>
    <n v="0"/>
    <n v="0"/>
    <n v="0"/>
    <n v="0"/>
    <n v="0"/>
    <n v="0"/>
    <n v="0"/>
    <n v="0"/>
    <n v="0"/>
    <n v="0"/>
    <n v="0"/>
    <n v="0"/>
    <n v="0"/>
    <n v="0"/>
    <n v="0"/>
    <n v="0"/>
    <n v="0"/>
    <n v="0"/>
    <n v="0"/>
    <n v="0"/>
    <n v="0"/>
    <n v="0"/>
    <n v="29"/>
    <n v="0"/>
    <n v="0"/>
    <n v="0"/>
    <n v="29"/>
    <n v="0"/>
    <n v="29"/>
    <n v="0"/>
    <n v="0"/>
    <n v="0"/>
    <n v="29"/>
    <n v="0"/>
    <n v="0"/>
    <n v="0"/>
    <n v="0"/>
    <n v="0"/>
    <n v="0"/>
    <n v="0"/>
    <n v="0"/>
    <m/>
    <m/>
    <m/>
    <m/>
    <m/>
    <m/>
    <m/>
    <m/>
    <m/>
    <s v="1"/>
    <s v="1"/>
    <s v="1"/>
    <s v="0"/>
    <s v="1"/>
    <m/>
    <m/>
    <m/>
    <m/>
    <m/>
    <m/>
    <m/>
    <m/>
    <m/>
    <m/>
    <m/>
    <m/>
    <m/>
    <m/>
  </r>
  <r>
    <n v="742"/>
    <d v="2025-01-16T00:00:00"/>
    <s v="ZBTO"/>
    <n v="9518433421"/>
    <n v="3"/>
    <s v="9518433421-3"/>
    <m/>
    <s v="No Priority"/>
    <s v="Released orders"/>
    <x v="1"/>
    <x v="3"/>
    <s v="2000-BPRS"/>
    <m/>
    <x v="1"/>
    <s v="Mar"/>
    <s v="Beyond HSM rollability"/>
    <m/>
    <m/>
    <s v="CHENNAI"/>
    <m/>
    <n v="938550"/>
    <s v="BASEER AND CO"/>
    <n v="2165170"/>
    <s v="CRCA COIL TATCRC TR15 0.400X900"/>
    <s v=" "/>
    <s v=""/>
    <n v="6"/>
    <n v="18"/>
    <s v="Narrow"/>
    <s v="C01"/>
    <s v="TATCRC"/>
    <s v="TR15"/>
    <n v="0.4"/>
    <n v="900"/>
    <n v="0"/>
    <n v="63"/>
    <n v="0"/>
    <n v="63"/>
    <n v="63"/>
    <n v="0"/>
    <n v="63"/>
    <m/>
    <m/>
    <n v="63"/>
    <n v="63"/>
    <n v="0"/>
    <n v="70.56"/>
    <n v="0"/>
    <n v="0"/>
    <n v="0"/>
    <n v="0"/>
    <n v="0"/>
    <n v="0"/>
    <n v="0"/>
    <n v="0"/>
    <n v="0"/>
    <n v="0"/>
    <n v="0"/>
    <n v="0"/>
    <n v="0"/>
    <n v="0"/>
    <n v="0"/>
    <n v="0"/>
    <n v="0"/>
    <n v="0"/>
    <n v="0"/>
    <n v="0"/>
    <n v="0"/>
    <n v="0"/>
    <n v="0"/>
    <n v="0"/>
    <n v="0"/>
    <n v="0"/>
    <n v="0"/>
    <n v="0"/>
    <n v="0"/>
    <n v="0"/>
    <n v="0"/>
    <n v="0"/>
    <n v="0"/>
    <n v="0"/>
    <n v="0"/>
    <n v="0"/>
    <n v="0"/>
    <m/>
    <m/>
    <m/>
    <m/>
    <m/>
    <m/>
    <m/>
    <m/>
    <m/>
    <m/>
    <m/>
    <m/>
    <m/>
    <m/>
    <m/>
    <m/>
    <m/>
    <m/>
    <m/>
    <m/>
    <m/>
    <m/>
    <m/>
    <m/>
    <m/>
    <m/>
    <m/>
    <m/>
    <m/>
    <m/>
    <m/>
    <m/>
    <m/>
    <m/>
  </r>
  <r>
    <n v="743"/>
    <d v="2025-02-17T00:00:00"/>
    <s v="ZBTO"/>
    <n v="9518527008"/>
    <n v="5"/>
    <s v="9518527008-5"/>
    <m/>
    <s v="No Priority"/>
    <s v="Failed orders"/>
    <x v="2"/>
    <x v="2"/>
    <n v="2000"/>
    <m/>
    <x v="1"/>
    <m/>
    <m/>
    <s v="Uttar Pradesh"/>
    <m/>
    <m/>
    <m/>
    <n v="931234"/>
    <s v="JAI LAXMI STEELS"/>
    <n v="2270690"/>
    <s v="GP COIL SOFT TATXGP GLK1 0.25X1000"/>
    <n v="80"/>
    <s v=""/>
    <m/>
    <m/>
    <s v="Narrow"/>
    <s v="C02"/>
    <s v="TATXGP"/>
    <s v="GLK1"/>
    <n v="0.25"/>
    <n v="1000"/>
    <n v="0"/>
    <n v="23"/>
    <e v="#N/A"/>
    <n v="23"/>
    <n v="23"/>
    <e v="#N/A"/>
    <e v="#N/A"/>
    <m/>
    <m/>
    <n v="23"/>
    <n v="0"/>
    <n v="0"/>
    <n v="25.76"/>
    <n v="0"/>
    <n v="0"/>
    <n v="0"/>
    <n v="0"/>
    <n v="0"/>
    <n v="0"/>
    <n v="0"/>
    <n v="0"/>
    <n v="0"/>
    <n v="0"/>
    <n v="0"/>
    <n v="0"/>
    <n v="0"/>
    <n v="0"/>
    <n v="0"/>
    <n v="0"/>
    <n v="0"/>
    <n v="0"/>
    <n v="0"/>
    <n v="0"/>
    <n v="0"/>
    <n v="0"/>
    <n v="0"/>
    <n v="0"/>
    <n v="0"/>
    <n v="0"/>
    <n v="0"/>
    <n v="0"/>
    <n v="0"/>
    <n v="0"/>
    <n v="0"/>
    <n v="0"/>
    <n v="0"/>
    <n v="0"/>
    <n v="0"/>
    <n v="0"/>
    <n v="0"/>
    <m/>
    <m/>
    <m/>
    <m/>
    <m/>
    <m/>
    <m/>
    <m/>
    <m/>
    <m/>
    <m/>
    <m/>
    <m/>
    <m/>
    <m/>
    <m/>
    <m/>
    <m/>
    <m/>
    <m/>
    <m/>
    <m/>
    <m/>
    <m/>
    <m/>
    <m/>
    <m/>
    <m/>
    <m/>
    <m/>
    <m/>
    <m/>
    <m/>
    <m/>
  </r>
  <r>
    <n v="743"/>
    <d v="2025-01-13T00:00:00"/>
    <s v="ZBTO"/>
    <n v="9518425927"/>
    <n v="6"/>
    <s v="9518425927-6"/>
    <m/>
    <s v="Stocks"/>
    <s v="Released orders"/>
    <x v="2"/>
    <x v="2"/>
    <s v="2000-BPRS"/>
    <m/>
    <x v="0"/>
    <m/>
    <m/>
    <m/>
    <m/>
    <s v="PATNA"/>
    <m/>
    <n v="103227"/>
    <s v="BMW VENTURES LIMITED"/>
    <n v="1854429"/>
    <s v="GP COIL SOFT-TATXGP-GK09-0.63X900"/>
    <s v="Z80"/>
    <s v=""/>
    <n v="2"/>
    <n v="6"/>
    <s v="Narrow"/>
    <s v="C02"/>
    <s v="TATXGP"/>
    <s v="GK09"/>
    <n v="0.63"/>
    <n v="900"/>
    <n v="0"/>
    <n v="84"/>
    <n v="77.09"/>
    <n v="84"/>
    <n v="55.024999999999999"/>
    <n v="51.98"/>
    <n v="0"/>
    <m/>
    <n v="51.98"/>
    <n v="0"/>
    <n v="6.91"/>
    <n v="0"/>
    <n v="94.080000000000013"/>
    <n v="0"/>
    <n v="0"/>
    <n v="0"/>
    <n v="0"/>
    <n v="0"/>
    <n v="0"/>
    <n v="0"/>
    <n v="0"/>
    <n v="0"/>
    <n v="0"/>
    <n v="0"/>
    <n v="0"/>
    <n v="0"/>
    <n v="0"/>
    <n v="0"/>
    <n v="0"/>
    <n v="0"/>
    <n v="0"/>
    <n v="0"/>
    <n v="0"/>
    <n v="0"/>
    <n v="51.98"/>
    <n v="0"/>
    <n v="72.27000000000001"/>
    <n v="0"/>
    <n v="0"/>
    <n v="0"/>
    <n v="0"/>
    <n v="0"/>
    <n v="0"/>
    <n v="72.27000000000001"/>
    <n v="0"/>
    <n v="72.27000000000001"/>
    <n v="0"/>
    <n v="0"/>
    <n v="0"/>
    <n v="0"/>
    <m/>
    <m/>
    <m/>
    <m/>
    <m/>
    <m/>
    <m/>
    <m/>
    <m/>
    <m/>
    <m/>
    <m/>
    <m/>
    <m/>
    <m/>
    <m/>
    <m/>
    <m/>
    <m/>
    <m/>
    <m/>
    <m/>
    <m/>
    <m/>
    <m/>
    <m/>
    <m/>
    <m/>
    <m/>
    <m/>
    <m/>
    <m/>
    <m/>
    <m/>
  </r>
  <r>
    <n v="743"/>
    <d v="2025-01-28T00:00:00"/>
    <s v="ZBTO"/>
    <n v="9518470698"/>
    <n v="1"/>
    <s v="9518470698-1"/>
    <m/>
    <s v="Feb'25"/>
    <s v="Released orders"/>
    <x v="2"/>
    <x v="6"/>
    <n v="2000"/>
    <m/>
    <x v="0"/>
    <m/>
    <m/>
    <m/>
    <s v="West"/>
    <s v="JABALPUR"/>
    <m/>
    <n v="929931"/>
    <s v="BMW VYAPAR PRIVATE LIMITED"/>
    <n v="1334725"/>
    <s v="GP COIL SOFT-TATXGP-GK09-0.6X1220"/>
    <s v="Z80"/>
    <m/>
    <n v="3"/>
    <n v="5"/>
    <s v="Wider"/>
    <s v="C02"/>
    <s v="TATXGP"/>
    <s v="GK09"/>
    <n v="0.6"/>
    <n v="1220"/>
    <n v="0"/>
    <n v="28"/>
    <n v="0"/>
    <n v="28"/>
    <n v="28"/>
    <n v="0"/>
    <n v="28"/>
    <m/>
    <m/>
    <n v="28"/>
    <n v="28"/>
    <n v="0"/>
    <n v="31.360000000000003"/>
    <n v="0"/>
    <n v="0"/>
    <n v="0"/>
    <n v="0"/>
    <n v="0"/>
    <n v="0"/>
    <n v="0"/>
    <n v="0"/>
    <n v="0"/>
    <n v="0"/>
    <n v="0"/>
    <n v="0"/>
    <n v="0"/>
    <n v="0"/>
    <n v="0"/>
    <n v="0"/>
    <n v="0"/>
    <n v="0"/>
    <n v="0"/>
    <n v="0"/>
    <n v="0"/>
    <n v="0"/>
    <n v="0"/>
    <n v="0"/>
    <n v="28"/>
    <n v="0"/>
    <n v="0"/>
    <n v="28"/>
    <n v="0"/>
    <n v="0"/>
    <n v="28"/>
    <n v="0"/>
    <n v="0"/>
    <n v="28"/>
    <n v="0"/>
    <n v="0"/>
    <n v="0"/>
    <n v="0"/>
    <n v="0"/>
    <n v="0"/>
    <n v="0"/>
    <n v="0"/>
    <n v="0"/>
    <m/>
    <m/>
    <m/>
    <m/>
    <m/>
    <m/>
    <m/>
    <m/>
    <m/>
    <s v="1"/>
    <s v="1"/>
    <s v="0"/>
    <s v="1"/>
    <s v="1"/>
    <m/>
    <m/>
    <m/>
    <m/>
    <m/>
    <m/>
    <m/>
    <m/>
    <m/>
    <m/>
    <m/>
    <m/>
    <m/>
    <m/>
  </r>
  <r>
    <n v="742"/>
    <d v="2025-02-05T00:00:00"/>
    <s v="ZBTF"/>
    <n v="4000497193"/>
    <n v="1"/>
    <s v="4000497193-1"/>
    <m/>
    <s v="No Priority"/>
    <s v="Released orders"/>
    <x v="0"/>
    <x v="9"/>
    <s v=""/>
    <m/>
    <x v="1"/>
    <m/>
    <m/>
    <m/>
    <m/>
    <s v="YESHWANTHPURA"/>
    <m/>
    <n v="600103"/>
    <s v="TATA STEEL LIMITED"/>
    <n v="3173079"/>
    <s v="HR COILS-PO THR099 4.10X1250"/>
    <s v=" "/>
    <s v=""/>
    <n v="17"/>
    <n v="27.5"/>
    <s v="Wider"/>
    <n v="768"/>
    <s v="THR099"/>
    <s v="HR99"/>
    <n v="4.0999999999999996"/>
    <n v="1250"/>
    <n v="0"/>
    <n v="150"/>
    <n v="147.35499999999999"/>
    <n v="101.05500000000001"/>
    <n v="76.484999999999999"/>
    <n v="49.33"/>
    <n v="27.155000000000001"/>
    <n v="25"/>
    <n v="49.33"/>
    <n v="27.155000000000001"/>
    <n v="2.645"/>
    <n v="0"/>
    <n v="113.18160000000002"/>
    <n v="0"/>
    <n v="0"/>
    <n v="0"/>
    <n v="0"/>
    <n v="0"/>
    <n v="0"/>
    <n v="0"/>
    <n v="0"/>
    <n v="0"/>
    <n v="0"/>
    <n v="0"/>
    <n v="0"/>
    <n v="0"/>
    <n v="0"/>
    <n v="0"/>
    <n v="0"/>
    <n v="0"/>
    <n v="0"/>
    <n v="0"/>
    <n v="0"/>
    <n v="0"/>
    <n v="49.33"/>
    <n v="0"/>
    <n v="0"/>
    <n v="0"/>
    <n v="0"/>
    <n v="0"/>
    <n v="0"/>
    <n v="0"/>
    <n v="0"/>
    <n v="0"/>
    <n v="0"/>
    <n v="0"/>
    <n v="0"/>
    <n v="0"/>
    <n v="0"/>
    <n v="0"/>
    <m/>
    <m/>
    <m/>
    <m/>
    <m/>
    <m/>
    <m/>
    <m/>
    <m/>
    <m/>
    <m/>
    <m/>
    <m/>
    <m/>
    <m/>
    <m/>
    <m/>
    <m/>
    <m/>
    <m/>
    <m/>
    <m/>
    <m/>
    <m/>
    <m/>
    <m/>
    <m/>
    <m/>
    <m/>
    <m/>
    <m/>
    <m/>
    <m/>
    <m/>
  </r>
  <r>
    <n v="742"/>
    <d v="2025-02-05T00:00:00"/>
    <s v="ZBTF"/>
    <n v="4000497193"/>
    <n v="2"/>
    <s v="4000497193-2"/>
    <m/>
    <s v="Mar'25"/>
    <s v="Released orders"/>
    <x v="0"/>
    <x v="9"/>
    <s v=""/>
    <m/>
    <x v="0"/>
    <m/>
    <m/>
    <m/>
    <m/>
    <s v="YESHWANTHPURA"/>
    <m/>
    <n v="600103"/>
    <s v="TATA STEEL LIMITED"/>
    <n v="3678577"/>
    <s v="HR COILS-PO THR099 4.60X1250"/>
    <s v=" "/>
    <s v=""/>
    <n v="17"/>
    <n v="27.5"/>
    <s v="Wider"/>
    <n v="768"/>
    <s v="THR099"/>
    <s v="HR99"/>
    <n v="4.5999999999999996"/>
    <n v="1250"/>
    <n v="0"/>
    <n v="150"/>
    <n v="97.93"/>
    <n v="150"/>
    <n v="150"/>
    <n v="98.07"/>
    <n v="51.93"/>
    <m/>
    <n v="98.07"/>
    <n v="51.930000000000007"/>
    <n v="52.07"/>
    <n v="0"/>
    <n v="112.73920000000001"/>
    <n v="0"/>
    <n v="49.34"/>
    <n v="0"/>
    <n v="0"/>
    <n v="0"/>
    <n v="0"/>
    <n v="0"/>
    <n v="0"/>
    <n v="0"/>
    <n v="0"/>
    <n v="0"/>
    <n v="0"/>
    <n v="0"/>
    <n v="0"/>
    <n v="0"/>
    <n v="0"/>
    <n v="0"/>
    <n v="0"/>
    <n v="49.34"/>
    <n v="49.34"/>
    <n v="0"/>
    <n v="98.07"/>
    <n v="0"/>
    <n v="0"/>
    <n v="52.07"/>
    <n v="0"/>
    <n v="0"/>
    <n v="52.07"/>
    <n v="0"/>
    <n v="0"/>
    <n v="52.07"/>
    <n v="0"/>
    <n v="0"/>
    <n v="52.07"/>
    <n v="0"/>
    <n v="0"/>
    <n v="0"/>
    <m/>
    <m/>
    <m/>
    <m/>
    <m/>
    <m/>
    <m/>
    <m/>
    <m/>
    <m/>
    <m/>
    <m/>
    <m/>
    <m/>
    <m/>
    <m/>
    <m/>
    <m/>
    <m/>
    <m/>
    <m/>
    <m/>
    <m/>
    <m/>
    <m/>
    <m/>
    <m/>
    <m/>
    <m/>
    <m/>
    <m/>
    <m/>
    <m/>
    <m/>
  </r>
  <r>
    <n v="742"/>
    <d v="2025-02-03T00:00:00"/>
    <s v="ZBTO"/>
    <n v="9518490892"/>
    <n v="1"/>
    <s v="9518490892-1"/>
    <m/>
    <s v="No Priority"/>
    <s v="Released orders"/>
    <x v="1"/>
    <x v="3"/>
    <s v="2000-BPRS"/>
    <m/>
    <x v="1"/>
    <m/>
    <m/>
    <m/>
    <m/>
    <s v="JSR"/>
    <m/>
    <n v="925093"/>
    <s v="PSPL STEEL PROCESSORS PRIVATE LIMIT"/>
    <n v="1804814"/>
    <s v="CRCA COIL TATXXD AU03 0.8X1250"/>
    <s v=" "/>
    <s v=""/>
    <n v="13"/>
    <n v="29"/>
    <s v="Wider"/>
    <s v="C01"/>
    <s v="TATXXD"/>
    <s v="AU03"/>
    <n v="0.8"/>
    <n v="1250"/>
    <n v="0"/>
    <n v="29"/>
    <n v="26.454999999999998"/>
    <n v="29"/>
    <n v="29"/>
    <n v="27.6"/>
    <n v="0"/>
    <m/>
    <n v="0"/>
    <n v="29"/>
    <n v="2.5449999999999999"/>
    <n v="0"/>
    <n v="0"/>
    <n v="0"/>
    <n v="0"/>
    <n v="0"/>
    <n v="0"/>
    <n v="0"/>
    <n v="0"/>
    <n v="0"/>
    <n v="0"/>
    <n v="0"/>
    <n v="0"/>
    <n v="0"/>
    <n v="27.6"/>
    <n v="0"/>
    <n v="0"/>
    <n v="0"/>
    <n v="0"/>
    <n v="0"/>
    <n v="0"/>
    <n v="27.6"/>
    <n v="27.6"/>
    <n v="0"/>
    <n v="27.6"/>
    <n v="27.6"/>
    <n v="0"/>
    <n v="0"/>
    <n v="0"/>
    <n v="0"/>
    <n v="0"/>
    <n v="0"/>
    <n v="0"/>
    <n v="0"/>
    <n v="0"/>
    <n v="0"/>
    <n v="0"/>
    <n v="0"/>
    <n v="0"/>
    <n v="0"/>
    <m/>
    <m/>
    <m/>
    <m/>
    <m/>
    <m/>
    <m/>
    <m/>
    <m/>
    <m/>
    <m/>
    <m/>
    <m/>
    <m/>
    <m/>
    <m/>
    <m/>
    <m/>
    <m/>
    <m/>
    <m/>
    <m/>
    <m/>
    <m/>
    <m/>
    <m/>
    <m/>
    <m/>
    <m/>
    <m/>
    <m/>
    <m/>
    <m/>
    <m/>
  </r>
  <r>
    <n v="742"/>
    <d v="2025-02-06T00:00:00"/>
    <s v="ZBTO"/>
    <n v="9518497626"/>
    <n v="14"/>
    <s v="9518497626-14"/>
    <m/>
    <s v="Mar'25"/>
    <s v="Released orders"/>
    <x v="1"/>
    <x v="3"/>
    <s v="2000-BPRS"/>
    <m/>
    <x v="0"/>
    <m/>
    <m/>
    <m/>
    <m/>
    <s v="VISHAKHAPATNAM"/>
    <m/>
    <n v="946077"/>
    <s v="SITARAM IRON AND STEEL PVT LTD"/>
    <n v="1206324"/>
    <s v="CRCA SHEET TATXXD AU03 0.750X1250X2500"/>
    <s v=" "/>
    <s v=""/>
    <n v="0"/>
    <n v="0"/>
    <s v="Wider"/>
    <s v="C06"/>
    <s v="TATXXD"/>
    <s v="AU03"/>
    <n v="0.75"/>
    <n v="1250"/>
    <n v="2500"/>
    <n v="27"/>
    <n v="0"/>
    <n v="27"/>
    <n v="27"/>
    <n v="27.69"/>
    <n v="0"/>
    <m/>
    <n v="0"/>
    <n v="27"/>
    <n v="27"/>
    <n v="0"/>
    <n v="-1.4336000000000013"/>
    <n v="0"/>
    <n v="0"/>
    <n v="0"/>
    <n v="0"/>
    <n v="0"/>
    <n v="0"/>
    <n v="0"/>
    <n v="0"/>
    <n v="0"/>
    <n v="28.28"/>
    <n v="0"/>
    <n v="0"/>
    <n v="0"/>
    <n v="0"/>
    <n v="0"/>
    <n v="0"/>
    <n v="0"/>
    <n v="0"/>
    <n v="28.28"/>
    <n v="0"/>
    <n v="0"/>
    <n v="0"/>
    <n v="27.69"/>
    <n v="0"/>
    <n v="27"/>
    <n v="0"/>
    <n v="27"/>
    <n v="0"/>
    <n v="0"/>
    <n v="0"/>
    <n v="27"/>
    <n v="0"/>
    <n v="27"/>
    <n v="0"/>
    <n v="0"/>
    <n v="0"/>
    <n v="0"/>
    <m/>
    <m/>
    <m/>
    <m/>
    <m/>
    <m/>
    <m/>
    <m/>
    <m/>
    <m/>
    <m/>
    <m/>
    <m/>
    <m/>
    <m/>
    <m/>
    <m/>
    <m/>
    <m/>
    <m/>
    <m/>
    <m/>
    <m/>
    <m/>
    <m/>
    <m/>
    <m/>
    <m/>
    <m/>
    <m/>
    <m/>
    <m/>
    <m/>
    <m/>
  </r>
  <r>
    <n v="742"/>
    <d v="2025-01-07T00:00:00"/>
    <s v="ZBTO"/>
    <n v="9518410223"/>
    <n v="8"/>
    <s v="9518410223-8"/>
    <m/>
    <s v="Mar'25"/>
    <s v="Released orders"/>
    <x v="1"/>
    <x v="1"/>
    <n v="2000"/>
    <m/>
    <x v="0"/>
    <s v="Mar"/>
    <m/>
    <s v="Uttar Pradesh"/>
    <m/>
    <m/>
    <m/>
    <n v="931525"/>
    <s v="INDIA STEEL INDUSTRIES"/>
    <n v="3247972"/>
    <s v="CRCA SHEET TSBCRC SR15 0.600X1250X2020"/>
    <s v=""/>
    <s v=""/>
    <m/>
    <m/>
    <s v="Wider"/>
    <s v="C06"/>
    <s v="TSBCRC"/>
    <s v="SR15"/>
    <n v="0.6"/>
    <n v="1250"/>
    <n v="2020"/>
    <n v="30"/>
    <n v="0"/>
    <n v="30"/>
    <n v="30"/>
    <e v="#N/A"/>
    <e v="#N/A"/>
    <m/>
    <n v="0"/>
    <n v="30"/>
    <n v="30"/>
    <n v="0"/>
    <n v="33.6"/>
    <n v="0"/>
    <n v="0"/>
    <n v="0"/>
    <n v="0"/>
    <n v="0"/>
    <n v="0"/>
    <n v="0"/>
    <n v="0"/>
    <n v="0"/>
    <n v="0"/>
    <n v="0"/>
    <n v="0"/>
    <n v="0"/>
    <n v="0"/>
    <n v="0"/>
    <n v="0"/>
    <n v="0"/>
    <n v="0"/>
    <n v="0"/>
    <n v="0"/>
    <n v="0"/>
    <n v="0"/>
    <n v="0"/>
    <n v="0"/>
    <n v="30"/>
    <n v="0"/>
    <n v="0"/>
    <n v="0"/>
    <n v="30"/>
    <n v="0"/>
    <n v="30"/>
    <n v="0"/>
    <n v="0"/>
    <n v="0"/>
    <n v="30"/>
    <n v="0"/>
    <n v="0"/>
    <m/>
    <m/>
    <m/>
    <m/>
    <m/>
    <m/>
    <m/>
    <m/>
    <m/>
    <m/>
    <m/>
    <m/>
    <m/>
    <m/>
    <m/>
    <m/>
    <m/>
    <m/>
    <m/>
    <m/>
    <m/>
    <m/>
    <m/>
    <m/>
    <m/>
    <m/>
    <m/>
    <m/>
    <m/>
    <m/>
    <m/>
    <m/>
    <m/>
    <m/>
  </r>
  <r>
    <n v="742"/>
    <d v="2025-02-13T00:00:00"/>
    <s v="ZBTF"/>
    <n v="9518517180"/>
    <n v="3"/>
    <s v="9518517180-3"/>
    <m/>
    <s v="Mar'25"/>
    <s v="Released orders"/>
    <x v="1"/>
    <x v="4"/>
    <s v="1000-IPPE"/>
    <m/>
    <x v="0"/>
    <m/>
    <m/>
    <m/>
    <m/>
    <s v="PILKHUWA"/>
    <m/>
    <n v="600250"/>
    <s v="TATA CENTER"/>
    <n v="2439203"/>
    <s v="CRCA COIL TSBSTA EL06 0.500X1160"/>
    <s v=" "/>
    <s v=""/>
    <n v="8"/>
    <n v="13"/>
    <s v="Wider"/>
    <s v="C01"/>
    <s v="TSBSTA"/>
    <s v="EL06"/>
    <n v="0.5"/>
    <n v="1160"/>
    <n v="0"/>
    <n v="297"/>
    <n v="0"/>
    <n v="297"/>
    <n v="297"/>
    <n v="0"/>
    <n v="297"/>
    <n v="297"/>
    <m/>
    <n v="297"/>
    <n v="297"/>
    <n v="0"/>
    <n v="332.64000000000004"/>
    <n v="0"/>
    <n v="0"/>
    <n v="0"/>
    <n v="0"/>
    <n v="0"/>
    <n v="0"/>
    <n v="0"/>
    <n v="0"/>
    <n v="0"/>
    <n v="0"/>
    <n v="0"/>
    <n v="0"/>
    <n v="0"/>
    <n v="0"/>
    <n v="0"/>
    <n v="0"/>
    <n v="0"/>
    <n v="0"/>
    <n v="0"/>
    <n v="0"/>
    <n v="0"/>
    <n v="0"/>
    <n v="0"/>
    <n v="0"/>
    <n v="297"/>
    <n v="0"/>
    <n v="0"/>
    <n v="297"/>
    <n v="0"/>
    <n v="0"/>
    <n v="297"/>
    <n v="0"/>
    <n v="0"/>
    <n v="297"/>
    <n v="0"/>
    <n v="0"/>
    <n v="0"/>
    <m/>
    <m/>
    <m/>
    <m/>
    <m/>
    <m/>
    <m/>
    <m/>
    <m/>
    <m/>
    <m/>
    <m/>
    <m/>
    <m/>
    <m/>
    <m/>
    <m/>
    <m/>
    <m/>
    <m/>
    <m/>
    <m/>
    <m/>
    <m/>
    <m/>
    <m/>
    <m/>
    <m/>
    <m/>
    <m/>
    <m/>
    <m/>
    <m/>
    <m/>
  </r>
  <r>
    <n v="742"/>
    <d v="2025-02-13T00:00:00"/>
    <s v="ZBTF"/>
    <n v="9518517180"/>
    <n v="4"/>
    <s v="9518517180-4"/>
    <m/>
    <s v="Mar'25"/>
    <s v="Released orders"/>
    <x v="1"/>
    <x v="4"/>
    <s v="1000-IPPE"/>
    <m/>
    <x v="0"/>
    <m/>
    <m/>
    <m/>
    <m/>
    <s v="PILKHUWA"/>
    <m/>
    <n v="600250"/>
    <s v="TATA CENTER"/>
    <n v="2439203"/>
    <s v="CRCA COIL TSBSTA EL06 0.500X1160"/>
    <s v=" "/>
    <s v=""/>
    <n v="8"/>
    <n v="13"/>
    <s v="Wider"/>
    <s v="C01"/>
    <s v="TSBSTA"/>
    <s v="EL06"/>
    <n v="0.5"/>
    <n v="1160"/>
    <n v="0"/>
    <n v="297"/>
    <n v="22.344999999999999"/>
    <n v="297"/>
    <n v="297"/>
    <n v="0"/>
    <n v="297"/>
    <n v="297"/>
    <m/>
    <n v="297"/>
    <n v="274.65499999999997"/>
    <n v="0"/>
    <n v="332.64000000000004"/>
    <n v="0"/>
    <n v="0"/>
    <n v="0"/>
    <n v="0"/>
    <n v="0"/>
    <n v="0"/>
    <n v="0"/>
    <n v="0"/>
    <n v="0"/>
    <n v="0"/>
    <n v="0"/>
    <n v="0"/>
    <n v="0"/>
    <n v="0"/>
    <n v="0"/>
    <n v="0"/>
    <n v="0"/>
    <n v="0"/>
    <n v="0"/>
    <n v="0"/>
    <n v="0"/>
    <n v="0"/>
    <n v="0"/>
    <n v="0"/>
    <n v="274.65499999999997"/>
    <n v="0"/>
    <n v="0"/>
    <n v="274.65499999999997"/>
    <n v="0"/>
    <n v="0"/>
    <n v="274.65499999999997"/>
    <n v="0"/>
    <n v="0"/>
    <n v="274.65499999999997"/>
    <n v="0"/>
    <n v="0"/>
    <n v="0"/>
    <m/>
    <m/>
    <m/>
    <m/>
    <m/>
    <m/>
    <m/>
    <m/>
    <m/>
    <m/>
    <m/>
    <m/>
    <m/>
    <m/>
    <m/>
    <m/>
    <m/>
    <m/>
    <m/>
    <m/>
    <m/>
    <m/>
    <m/>
    <m/>
    <m/>
    <m/>
    <m/>
    <m/>
    <m/>
    <m/>
    <m/>
    <m/>
    <m/>
    <m/>
  </r>
  <r>
    <n v="742"/>
    <d v="2025-01-03T00:00:00"/>
    <s v="ZBTF"/>
    <n v="4000493550"/>
    <n v="1"/>
    <s v="4000493550-1"/>
    <m/>
    <s v="Mar'25"/>
    <s v="Released orders"/>
    <x v="0"/>
    <x v="9"/>
    <s v="2000-BPRS"/>
    <m/>
    <x v="0"/>
    <m/>
    <m/>
    <m/>
    <m/>
    <s v="YESHWANTHPURA"/>
    <m/>
    <n v="650789"/>
    <s v="Hosur Tube Plant"/>
    <n v="1250221"/>
    <s v="HR COILS-PO IS 1079 HR2 2.50X1250"/>
    <s v=" "/>
    <s v=""/>
    <n v="10"/>
    <n v="27"/>
    <s v="Wider"/>
    <n v="768"/>
    <s v="THR099"/>
    <s v="HR99"/>
    <n v="2.5"/>
    <n v="1250"/>
    <n v="0"/>
    <n v="200"/>
    <n v="24.53"/>
    <n v="200"/>
    <n v="200"/>
    <n v="0"/>
    <n v="200"/>
    <n v="200"/>
    <m/>
    <n v="200"/>
    <n v="175.47"/>
    <n v="0"/>
    <n v="224.00000000000003"/>
    <n v="0"/>
    <n v="0"/>
    <n v="0"/>
    <n v="0"/>
    <n v="0"/>
    <n v="0"/>
    <n v="0"/>
    <n v="0"/>
    <n v="0"/>
    <n v="0"/>
    <n v="0"/>
    <n v="0"/>
    <n v="0"/>
    <n v="0"/>
    <n v="0"/>
    <n v="0"/>
    <n v="0"/>
    <n v="0"/>
    <n v="0"/>
    <n v="0"/>
    <n v="0"/>
    <n v="0"/>
    <n v="0"/>
    <n v="0"/>
    <n v="175.47"/>
    <n v="0"/>
    <n v="0"/>
    <n v="0"/>
    <n v="175.47"/>
    <n v="0"/>
    <n v="175.47"/>
    <n v="0"/>
    <n v="0"/>
    <n v="0"/>
    <n v="175.47"/>
    <n v="0"/>
    <n v="0"/>
    <m/>
    <m/>
    <m/>
    <m/>
    <m/>
    <m/>
    <m/>
    <m/>
    <m/>
    <m/>
    <m/>
    <m/>
    <m/>
    <m/>
    <m/>
    <m/>
    <m/>
    <m/>
    <m/>
    <m/>
    <m/>
    <m/>
    <m/>
    <m/>
    <m/>
    <m/>
    <m/>
    <m/>
    <m/>
    <m/>
    <m/>
    <m/>
    <m/>
    <m/>
  </r>
  <r>
    <n v="742"/>
    <d v="2025-01-03T00:00:00"/>
    <s v="ZBTF"/>
    <n v="4000493550"/>
    <n v="2"/>
    <s v="4000493550-2"/>
    <m/>
    <s v="No Priority"/>
    <s v="Released orders"/>
    <x v="0"/>
    <x v="9"/>
    <s v="2000-BPRS"/>
    <m/>
    <x v="1"/>
    <m/>
    <m/>
    <m/>
    <m/>
    <s v="YESHWANTHPURA"/>
    <m/>
    <n v="650789"/>
    <s v="Hosur Tube Plant"/>
    <n v="3226987"/>
    <s v="HR COILS-PO THR099 HR99 1.90X1250"/>
    <s v=" "/>
    <s v=""/>
    <n v="10"/>
    <n v="27"/>
    <s v="Wider"/>
    <n v="768"/>
    <s v="THR099"/>
    <s v="HR99"/>
    <n v="1.9"/>
    <n v="1250"/>
    <n v="0"/>
    <n v="203"/>
    <n v="199.655"/>
    <n v="203"/>
    <n v="203"/>
    <n v="66.77"/>
    <n v="136.22999999999999"/>
    <m/>
    <n v="66.77"/>
    <n v="136.23000000000002"/>
    <n v="3.3450000000000002"/>
    <n v="0"/>
    <n v="227.36"/>
    <n v="0"/>
    <n v="0"/>
    <n v="0"/>
    <n v="0"/>
    <n v="0"/>
    <n v="0"/>
    <n v="0"/>
    <n v="0"/>
    <n v="0"/>
    <n v="0"/>
    <n v="0"/>
    <n v="0"/>
    <n v="0"/>
    <n v="0"/>
    <n v="0"/>
    <n v="0"/>
    <n v="0"/>
    <n v="0"/>
    <n v="0"/>
    <n v="0"/>
    <n v="0"/>
    <n v="66.77"/>
    <n v="0"/>
    <n v="0"/>
    <n v="0"/>
    <n v="0"/>
    <n v="0"/>
    <n v="0"/>
    <n v="0"/>
    <n v="0"/>
    <n v="0"/>
    <n v="0"/>
    <n v="0"/>
    <n v="0"/>
    <n v="0"/>
    <n v="0"/>
    <n v="0"/>
    <m/>
    <m/>
    <m/>
    <m/>
    <m/>
    <m/>
    <m/>
    <m/>
    <m/>
    <m/>
    <m/>
    <m/>
    <m/>
    <m/>
    <m/>
    <m/>
    <m/>
    <m/>
    <m/>
    <m/>
    <m/>
    <m/>
    <m/>
    <m/>
    <m/>
    <m/>
    <m/>
    <m/>
    <m/>
    <m/>
    <m/>
    <m/>
    <m/>
    <m/>
  </r>
  <r>
    <n v="742"/>
    <d v="2025-01-03T00:00:00"/>
    <s v="ZBTF"/>
    <n v="4000493550"/>
    <n v="3"/>
    <s v="4000493550-3"/>
    <m/>
    <s v="No Priority"/>
    <s v="Released orders"/>
    <x v="0"/>
    <x v="9"/>
    <s v="2000-BPRS"/>
    <m/>
    <x v="1"/>
    <m/>
    <m/>
    <m/>
    <m/>
    <s v="YESHWANTHPURA"/>
    <m/>
    <n v="650789"/>
    <s v="Hosur Tube Plant"/>
    <n v="1210083"/>
    <s v="HR COILS-PO IS 1079 HR2 2X1250"/>
    <s v=" "/>
    <s v=""/>
    <n v="10"/>
    <n v="27"/>
    <s v="Wider"/>
    <n v="768"/>
    <s v="THR099"/>
    <s v="HR99"/>
    <n v="2"/>
    <n v="1250"/>
    <n v="0"/>
    <n v="200"/>
    <n v="0"/>
    <n v="200"/>
    <n v="200"/>
    <n v="0"/>
    <n v="200"/>
    <n v="200"/>
    <n v="200"/>
    <n v="0"/>
    <n v="200"/>
    <n v="0"/>
    <n v="224.00000000000003"/>
    <n v="0"/>
    <n v="0"/>
    <n v="0"/>
    <n v="0"/>
    <n v="0"/>
    <n v="0"/>
    <n v="0"/>
    <n v="0"/>
    <n v="0"/>
    <n v="0"/>
    <n v="0"/>
    <n v="0"/>
    <n v="0"/>
    <n v="0"/>
    <n v="0"/>
    <n v="0"/>
    <n v="0"/>
    <n v="0"/>
    <n v="0"/>
    <n v="0"/>
    <n v="0"/>
    <n v="200"/>
    <n v="-200"/>
    <n v="0"/>
    <n v="0"/>
    <n v="0"/>
    <n v="0"/>
    <n v="0"/>
    <n v="0"/>
    <n v="0"/>
    <n v="0"/>
    <n v="0"/>
    <n v="0"/>
    <n v="0"/>
    <n v="0"/>
    <n v="0"/>
    <n v="0"/>
    <m/>
    <m/>
    <m/>
    <m/>
    <m/>
    <m/>
    <m/>
    <m/>
    <m/>
    <m/>
    <m/>
    <m/>
    <m/>
    <m/>
    <m/>
    <m/>
    <m/>
    <m/>
    <m/>
    <m/>
    <m/>
    <m/>
    <m/>
    <m/>
    <m/>
    <m/>
    <m/>
    <m/>
    <m/>
    <m/>
    <m/>
    <m/>
    <m/>
    <m/>
  </r>
  <r>
    <n v="742"/>
    <d v="2025-02-11T00:00:00"/>
    <s v="ZBTO"/>
    <n v="9518510820"/>
    <n v="2"/>
    <s v="9518510820-2"/>
    <m/>
    <s v="Mar'25"/>
    <s v="Released orders"/>
    <x v="1"/>
    <x v="1"/>
    <n v="2000"/>
    <m/>
    <x v="0"/>
    <s v="Mar"/>
    <m/>
    <s v="Uttar Pradesh"/>
    <m/>
    <m/>
    <m/>
    <n v="115841"/>
    <s v="O.V.S. ISPAT UDYOG"/>
    <n v="3444592"/>
    <s v="CRCA SHEET TATCRC SR16 0.450X1250X2030"/>
    <s v=""/>
    <s v=""/>
    <m/>
    <m/>
    <s v="Wider"/>
    <s v="C06"/>
    <s v="TATCRC"/>
    <s v="SR16"/>
    <n v="0.45"/>
    <n v="1250"/>
    <n v="2030"/>
    <n v="27"/>
    <n v="0"/>
    <n v="27"/>
    <n v="27"/>
    <e v="#N/A"/>
    <e v="#N/A"/>
    <n v="27"/>
    <n v="0"/>
    <n v="27"/>
    <n v="27"/>
    <n v="0"/>
    <n v="30.240000000000002"/>
    <n v="0"/>
    <n v="0"/>
    <n v="0"/>
    <n v="0"/>
    <n v="0"/>
    <n v="0"/>
    <n v="0"/>
    <n v="0"/>
    <n v="0"/>
    <n v="0"/>
    <n v="0"/>
    <n v="0"/>
    <n v="0"/>
    <n v="0"/>
    <n v="0"/>
    <n v="0"/>
    <n v="0"/>
    <n v="0"/>
    <n v="0"/>
    <n v="0"/>
    <n v="0"/>
    <n v="0"/>
    <n v="0"/>
    <n v="0"/>
    <n v="27"/>
    <n v="0"/>
    <n v="27"/>
    <n v="0"/>
    <n v="0"/>
    <n v="0"/>
    <n v="27"/>
    <n v="0"/>
    <n v="27"/>
    <n v="0"/>
    <n v="0"/>
    <n v="0"/>
    <n v="0"/>
    <m/>
    <m/>
    <m/>
    <m/>
    <m/>
    <m/>
    <m/>
    <m/>
    <m/>
    <m/>
    <m/>
    <m/>
    <m/>
    <m/>
    <m/>
    <m/>
    <m/>
    <m/>
    <m/>
    <m/>
    <m/>
    <m/>
    <m/>
    <m/>
    <m/>
    <m/>
    <m/>
    <m/>
    <m/>
    <m/>
    <m/>
    <m/>
    <m/>
    <m/>
  </r>
  <r>
    <n v="742"/>
    <d v="2025-02-10T00:00:00"/>
    <s v="ZBTO"/>
    <n v="9518507185"/>
    <n v="7"/>
    <s v="9518507185-7"/>
    <m/>
    <s v="Mar'25 additional"/>
    <s v="Released orders"/>
    <x v="1"/>
    <x v="1"/>
    <n v="2000"/>
    <m/>
    <x v="1"/>
    <m/>
    <m/>
    <s v="Jharkhand"/>
    <m/>
    <m/>
    <m/>
    <n v="185794"/>
    <s v="Shree Bajrang Steel Udyog"/>
    <n v="3239568"/>
    <s v="CRCA SHEET TATCRC SR16 0.450X1250X2500"/>
    <s v=""/>
    <s v=""/>
    <m/>
    <m/>
    <s v="Wider"/>
    <s v="C06"/>
    <s v="TATCRC"/>
    <s v="SR16"/>
    <n v="0.45"/>
    <n v="1250"/>
    <n v="2500"/>
    <n v="30"/>
    <n v="2.86"/>
    <n v="30"/>
    <n v="30"/>
    <e v="#N/A"/>
    <e v="#N/A"/>
    <n v="30"/>
    <n v="0"/>
    <n v="30"/>
    <n v="27.14"/>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5-02-10T00:00:00"/>
    <s v="ZBTO"/>
    <n v="9518507657"/>
    <n v="8"/>
    <s v="9518507657-8"/>
    <m/>
    <s v="Mar'25"/>
    <s v="Released orders"/>
    <x v="1"/>
    <x v="1"/>
    <s v="2000-BPRS"/>
    <m/>
    <x v="0"/>
    <s v="Mar"/>
    <m/>
    <m/>
    <m/>
    <s v="GUWAHATI"/>
    <m/>
    <n v="116649"/>
    <s v="SAGAR STEELS"/>
    <n v="3240778"/>
    <s v="CRCA SHEET TSBCRC SR15 0.600X1000X2500"/>
    <s v=" "/>
    <s v=""/>
    <n v="2"/>
    <n v="3"/>
    <s v="Narrow"/>
    <s v="C06"/>
    <s v="TSBCRC"/>
    <s v="SR15"/>
    <n v="0.6"/>
    <n v="1000"/>
    <n v="2500"/>
    <n v="21"/>
    <n v="0"/>
    <n v="21"/>
    <n v="21"/>
    <n v="0"/>
    <n v="21"/>
    <m/>
    <m/>
    <n v="21"/>
    <n v="21"/>
    <n v="0"/>
    <n v="23.520000000000003"/>
    <n v="0"/>
    <n v="0"/>
    <n v="0"/>
    <n v="0"/>
    <n v="0"/>
    <n v="0"/>
    <n v="0"/>
    <n v="0"/>
    <n v="0"/>
    <n v="0"/>
    <n v="0"/>
    <n v="0"/>
    <n v="0"/>
    <n v="0"/>
    <n v="0"/>
    <n v="0"/>
    <n v="0"/>
    <n v="0"/>
    <n v="0"/>
    <n v="0"/>
    <n v="0"/>
    <n v="0"/>
    <n v="0"/>
    <n v="0"/>
    <n v="21"/>
    <n v="0"/>
    <n v="0"/>
    <n v="0"/>
    <n v="0"/>
    <n v="21"/>
    <n v="0"/>
    <n v="0"/>
    <n v="0"/>
    <n v="0"/>
    <n v="0"/>
    <n v="0"/>
    <n v="21"/>
    <m/>
    <m/>
    <m/>
    <m/>
    <m/>
    <m/>
    <m/>
    <m/>
    <m/>
    <m/>
    <m/>
    <m/>
    <m/>
    <m/>
    <m/>
    <m/>
    <m/>
    <m/>
    <m/>
    <m/>
    <m/>
    <m/>
    <m/>
    <m/>
    <m/>
    <m/>
    <m/>
    <m/>
    <m/>
    <m/>
    <m/>
    <m/>
    <m/>
    <m/>
  </r>
  <r>
    <n v="742"/>
    <d v="2025-02-14T00:00:00"/>
    <s v="ZBTO"/>
    <n v="9518519644"/>
    <n v="12"/>
    <s v="9518519644-12"/>
    <m/>
    <s v="Mar'25"/>
    <s v="Released orders"/>
    <x v="1"/>
    <x v="1"/>
    <s v="2000-BPRS"/>
    <m/>
    <x v="0"/>
    <s v="Mar"/>
    <m/>
    <m/>
    <m/>
    <s v="PATNA"/>
    <m/>
    <n v="103227"/>
    <s v="BMW VENTURES LIMITED"/>
    <n v="3240778"/>
    <s v="CRCA SHEET TSBCRC SR15 0.600X1000X2500"/>
    <s v=" "/>
    <s v=""/>
    <n v="0"/>
    <n v="0"/>
    <s v="Narrow"/>
    <s v="C06"/>
    <s v="TSBCRC"/>
    <s v="SR15"/>
    <n v="0.6"/>
    <n v="1000"/>
    <n v="2500"/>
    <n v="24"/>
    <n v="0"/>
    <n v="24"/>
    <n v="24"/>
    <n v="0"/>
    <n v="24"/>
    <m/>
    <m/>
    <n v="24"/>
    <n v="24"/>
    <n v="0"/>
    <n v="26.880000000000003"/>
    <n v="0"/>
    <n v="0"/>
    <n v="0"/>
    <n v="0"/>
    <n v="0"/>
    <n v="0"/>
    <n v="0"/>
    <n v="0"/>
    <n v="0"/>
    <n v="0"/>
    <n v="0"/>
    <n v="0"/>
    <n v="0"/>
    <n v="0"/>
    <n v="0"/>
    <n v="0"/>
    <n v="0"/>
    <n v="0"/>
    <n v="0"/>
    <n v="0"/>
    <n v="0"/>
    <n v="0"/>
    <n v="0"/>
    <n v="0"/>
    <n v="24"/>
    <n v="0"/>
    <n v="0"/>
    <n v="0"/>
    <n v="24"/>
    <n v="0"/>
    <n v="24"/>
    <n v="0"/>
    <n v="0"/>
    <n v="0"/>
    <n v="24"/>
    <n v="0"/>
    <n v="0"/>
    <m/>
    <m/>
    <m/>
    <m/>
    <m/>
    <m/>
    <m/>
    <m/>
    <m/>
    <m/>
    <m/>
    <m/>
    <m/>
    <m/>
    <m/>
    <m/>
    <m/>
    <m/>
    <m/>
    <m/>
    <m/>
    <m/>
    <m/>
    <m/>
    <m/>
    <m/>
    <m/>
    <m/>
    <m/>
    <m/>
    <m/>
    <m/>
    <m/>
    <m/>
  </r>
  <r>
    <n v="742"/>
    <d v="2025-02-10T00:00:00"/>
    <s v="ZBTO"/>
    <n v="9518507185"/>
    <n v="12"/>
    <s v="9518507185-12"/>
    <m/>
    <s v="No Priority"/>
    <s v="Failed orders"/>
    <x v="1"/>
    <x v="1"/>
    <n v="2000"/>
    <m/>
    <x v="1"/>
    <m/>
    <m/>
    <s v="Jharkhand"/>
    <m/>
    <m/>
    <m/>
    <n v="185794"/>
    <s v="Shree Bajrang Steel Udyog"/>
    <n v="3240792"/>
    <s v="CRCA SHEET TSBCRC SR15 0.600X1250X2500"/>
    <s v=""/>
    <s v=""/>
    <m/>
    <m/>
    <s v="Wider"/>
    <s v="C06"/>
    <s v="TSBCRC"/>
    <s v="SR15"/>
    <n v="0.6"/>
    <n v="1250"/>
    <n v="2500"/>
    <n v="39"/>
    <e v="#N/A"/>
    <n v="39"/>
    <n v="39"/>
    <e v="#N/A"/>
    <e v="#N/A"/>
    <m/>
    <n v="0"/>
    <n v="39"/>
    <n v="0"/>
    <n v="0"/>
    <n v="43.680000000000007"/>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13"/>
    <s v="9518425909-13"/>
    <m/>
    <s v="Mar'25 additional"/>
    <s v="Released orders"/>
    <x v="1"/>
    <x v="1"/>
    <n v="2000"/>
    <m/>
    <x v="1"/>
    <m/>
    <m/>
    <s v="Andhra Pradesh"/>
    <m/>
    <m/>
    <m/>
    <n v="946077"/>
    <s v="SITARAM IRON AND STEEL PVT LTD"/>
    <n v="3240785"/>
    <s v="CRCA SHEET TSBCRC SR15 0.600X1250X2500"/>
    <s v=""/>
    <s v=""/>
    <m/>
    <m/>
    <s v="Wider"/>
    <s v="C06"/>
    <s v="TSBCRC"/>
    <s v="SR15"/>
    <n v="0.6"/>
    <n v="1250"/>
    <n v="0"/>
    <n v="27"/>
    <n v="0"/>
    <n v="27"/>
    <n v="27"/>
    <e v="#N/A"/>
    <e v="#N/A"/>
    <m/>
    <n v="0"/>
    <n v="27"/>
    <n v="27"/>
    <n v="0"/>
    <n v="30.24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12"/>
    <s v="9518497626-12"/>
    <m/>
    <s v="No Priority"/>
    <s v="Failed orders"/>
    <x v="1"/>
    <x v="1"/>
    <n v="2000"/>
    <m/>
    <x v="1"/>
    <m/>
    <m/>
    <s v="Andhra Pradesh"/>
    <m/>
    <m/>
    <m/>
    <n v="946077"/>
    <s v="SITARAM IRON AND STEEL PVT LTD"/>
    <n v="3240785"/>
    <s v="CRCA SHEET TSBCRC SR15 0.600X1250X2500"/>
    <s v=""/>
    <s v=""/>
    <m/>
    <m/>
    <s v="Wider"/>
    <s v="C06"/>
    <s v="TSBCRC"/>
    <s v="SR15"/>
    <n v="0.6"/>
    <n v="1250"/>
    <n v="0"/>
    <n v="27"/>
    <e v="#N/A"/>
    <n v="27"/>
    <n v="27"/>
    <e v="#N/A"/>
    <e v="#N/A"/>
    <m/>
    <n v="0"/>
    <n v="27"/>
    <n v="0"/>
    <n v="0"/>
    <n v="30.240000000000002"/>
    <n v="0"/>
    <n v="0"/>
    <n v="0"/>
    <n v="0"/>
    <n v="0"/>
    <n v="0"/>
    <n v="0"/>
    <n v="0"/>
    <n v="0"/>
    <n v="0"/>
    <n v="0"/>
    <n v="0"/>
    <n v="0"/>
    <n v="0"/>
    <n v="0"/>
    <n v="0"/>
    <n v="0"/>
    <n v="0"/>
    <n v="0"/>
    <n v="0"/>
    <n v="0"/>
    <n v="0"/>
    <n v="0"/>
    <n v="0"/>
    <n v="0"/>
    <n v="0"/>
    <n v="0"/>
    <n v="0"/>
    <n v="0"/>
    <n v="0"/>
    <n v="0"/>
    <n v="0"/>
    <n v="0"/>
    <n v="0"/>
    <n v="0"/>
    <n v="0"/>
    <n v="0"/>
    <m/>
    <m/>
    <m/>
    <m/>
    <m/>
    <m/>
    <m/>
    <m/>
    <m/>
    <m/>
    <m/>
    <m/>
    <m/>
    <m/>
    <m/>
    <m/>
    <m/>
    <m/>
    <m/>
    <m/>
    <m/>
    <m/>
    <m/>
    <m/>
    <m/>
    <m/>
    <m/>
    <m/>
    <m/>
    <m/>
    <m/>
    <m/>
    <m/>
    <m/>
  </r>
  <r>
    <n v="743"/>
    <d v="2025-01-31T00:00:00"/>
    <s v="ZBTO"/>
    <n v="9518482983"/>
    <n v="1"/>
    <s v="9518482983-1"/>
    <m/>
    <s v="Feb'25"/>
    <s v="Released orders"/>
    <x v="2"/>
    <x v="6"/>
    <n v="2000"/>
    <m/>
    <x v="0"/>
    <m/>
    <m/>
    <m/>
    <s v="West"/>
    <s v="NAGPUR"/>
    <m/>
    <n v="930519"/>
    <s v="JAUSHNA STEELS (INDIA) PVT. LTD."/>
    <n v="1334725"/>
    <s v="GP COIL SOFT-TATXGP-GK09-0.6X1220"/>
    <m/>
    <m/>
    <m/>
    <m/>
    <s v="Wider"/>
    <s v="C02"/>
    <s v="TATXGP"/>
    <s v="GK09"/>
    <n v="0.6"/>
    <n v="1220"/>
    <n v="0"/>
    <n v="56"/>
    <n v="0"/>
    <n v="56"/>
    <n v="56"/>
    <n v="0"/>
    <n v="56"/>
    <m/>
    <m/>
    <n v="56"/>
    <n v="56"/>
    <n v="0"/>
    <n v="62.720000000000006"/>
    <n v="0"/>
    <n v="0"/>
    <n v="0"/>
    <n v="0"/>
    <n v="0"/>
    <n v="0"/>
    <n v="0"/>
    <n v="0"/>
    <n v="0"/>
    <n v="0"/>
    <n v="0"/>
    <n v="0"/>
    <n v="0"/>
    <n v="0"/>
    <n v="0"/>
    <n v="0"/>
    <n v="0"/>
    <n v="0"/>
    <n v="0"/>
    <n v="0"/>
    <n v="0"/>
    <n v="0"/>
    <n v="0"/>
    <n v="0"/>
    <n v="56"/>
    <n v="0"/>
    <n v="0"/>
    <n v="0"/>
    <n v="56"/>
    <n v="0"/>
    <n v="56"/>
    <n v="0"/>
    <n v="0"/>
    <n v="0"/>
    <n v="56"/>
    <n v="0"/>
    <n v="0"/>
    <n v="0"/>
    <n v="0"/>
    <n v="0"/>
    <n v="0"/>
    <n v="0"/>
    <n v="0"/>
    <m/>
    <m/>
    <m/>
    <m/>
    <m/>
    <m/>
    <m/>
    <m/>
    <m/>
    <s v="1"/>
    <s v="1"/>
    <s v="1"/>
    <s v="0"/>
    <s v="1"/>
    <m/>
    <m/>
    <m/>
    <m/>
    <m/>
    <m/>
    <m/>
    <m/>
    <m/>
    <m/>
    <m/>
    <m/>
    <m/>
    <m/>
  </r>
  <r>
    <n v="742"/>
    <d v="2025-02-04T00:00:00"/>
    <s v="ZBTO"/>
    <n v="9518493075"/>
    <n v="1"/>
    <s v="9518493075-1"/>
    <m/>
    <s v="Stocks"/>
    <s v="Released orders"/>
    <x v="0"/>
    <x v="0"/>
    <s v="2000-BPRS"/>
    <m/>
    <x v="0"/>
    <m/>
    <m/>
    <m/>
    <m/>
    <s v="HOWRAH"/>
    <m/>
    <n v="154464"/>
    <s v="TATA STEEL DOWNSTREAM PRODUCTS LIMI"/>
    <n v="1252834"/>
    <s v="HR COILS-PO IS 1079 HR2 3.0X1250"/>
    <s v=" "/>
    <s v=""/>
    <n v="13"/>
    <n v="30"/>
    <s v="Wider"/>
    <n v="768"/>
    <s v="THR099"/>
    <s v="HR99"/>
    <n v="3"/>
    <n v="1250"/>
    <n v="0"/>
    <n v="100"/>
    <n v="97.78"/>
    <n v="26.85"/>
    <n v="26.85"/>
    <n v="0"/>
    <n v="26.85"/>
    <m/>
    <m/>
    <n v="26.85"/>
    <n v="2.2200000000000002"/>
    <n v="0"/>
    <n v="30.072000000000003"/>
    <n v="0"/>
    <n v="0"/>
    <n v="0"/>
    <n v="0"/>
    <n v="0"/>
    <n v="0"/>
    <n v="0"/>
    <n v="0"/>
    <n v="0"/>
    <n v="0"/>
    <n v="0"/>
    <n v="0"/>
    <n v="0"/>
    <n v="0"/>
    <n v="0"/>
    <n v="0"/>
    <n v="0"/>
    <n v="0"/>
    <n v="0"/>
    <n v="0"/>
    <n v="0"/>
    <n v="0"/>
    <n v="0"/>
    <n v="97.779999999999987"/>
    <n v="0"/>
    <n v="0"/>
    <n v="0"/>
    <n v="0"/>
    <n v="0"/>
    <n v="0"/>
    <n v="97.779999999999987"/>
    <n v="0"/>
    <n v="97.779999999999987"/>
    <n v="0"/>
    <n v="0"/>
    <n v="0"/>
    <n v="0"/>
    <m/>
    <m/>
    <m/>
    <m/>
    <m/>
    <m/>
    <m/>
    <m/>
    <m/>
    <m/>
    <m/>
    <m/>
    <m/>
    <m/>
    <m/>
    <m/>
    <m/>
    <m/>
    <m/>
    <m/>
    <m/>
    <m/>
    <m/>
    <m/>
    <m/>
    <m/>
    <m/>
    <m/>
    <m/>
    <m/>
    <m/>
    <m/>
    <m/>
    <m/>
  </r>
  <r>
    <n v="742"/>
    <d v="2025-01-10T00:00:00"/>
    <s v="ZBTO"/>
    <n v="9518419878"/>
    <n v="6"/>
    <s v="9518419878-6"/>
    <m/>
    <s v="Mar'25"/>
    <s v="Released orders"/>
    <x v="1"/>
    <x v="1"/>
    <s v="2000-BPRS"/>
    <m/>
    <x v="0"/>
    <s v="Mar"/>
    <m/>
    <m/>
    <m/>
    <s v="TATANAGAR"/>
    <m/>
    <n v="165053"/>
    <s v="SUDISA ENTERPRISES (P) LTD."/>
    <n v="3240778"/>
    <s v="CRCA SHEET TSBCRC SR15 0.600X1000X2500"/>
    <s v=" "/>
    <s v=""/>
    <n v="3.0859999999999999"/>
    <n v="3.5270000000000001"/>
    <s v="Narrow"/>
    <s v="C06"/>
    <s v="TSBCRC"/>
    <s v="SR15"/>
    <n v="0.6"/>
    <n v="1000"/>
    <n v="2500"/>
    <n v="24"/>
    <n v="0"/>
    <n v="24"/>
    <n v="24"/>
    <n v="0"/>
    <n v="24"/>
    <m/>
    <m/>
    <n v="24"/>
    <n v="24"/>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13T00:00:00"/>
    <s v="ZBTO"/>
    <n v="9518425366"/>
    <n v="4"/>
    <s v="9518425366-4"/>
    <m/>
    <s v="No Priority"/>
    <s v="Released orders"/>
    <x v="2"/>
    <x v="2"/>
    <s v="2000-BPRS"/>
    <m/>
    <x v="1"/>
    <m/>
    <m/>
    <m/>
    <m/>
    <s v=" "/>
    <m/>
    <n v="121328"/>
    <s v="R. S. BOKARO METAL (P) LTD."/>
    <n v="1854418"/>
    <s v="GP COIL SOFT-TATXGP-GK09-0.5X900"/>
    <s v="Z80"/>
    <s v=""/>
    <n v="4"/>
    <n v="12"/>
    <s v="Narrow"/>
    <s v="C02"/>
    <s v="TATXGP"/>
    <s v="GK09"/>
    <n v="0.5"/>
    <n v="900"/>
    <n v="0"/>
    <n v="147"/>
    <n v="132.71"/>
    <n v="147"/>
    <n v="33.130000000000003"/>
    <n v="19.43"/>
    <n v="0"/>
    <m/>
    <n v="19.43"/>
    <n v="0"/>
    <n v="14.29"/>
    <n v="0"/>
    <n v="164.64000000000001"/>
    <n v="0"/>
    <n v="0"/>
    <n v="0"/>
    <n v="0"/>
    <n v="0"/>
    <n v="0"/>
    <n v="0"/>
    <n v="0"/>
    <n v="0"/>
    <n v="0"/>
    <n v="0"/>
    <n v="0"/>
    <n v="0"/>
    <n v="0"/>
    <n v="0"/>
    <n v="0"/>
    <n v="0"/>
    <n v="0"/>
    <n v="0"/>
    <n v="0"/>
    <n v="0"/>
    <n v="19.43"/>
    <n v="0"/>
    <n v="0"/>
    <n v="0"/>
    <n v="0"/>
    <n v="0"/>
    <n v="0"/>
    <n v="0"/>
    <n v="0"/>
    <n v="0"/>
    <n v="0"/>
    <n v="0"/>
    <n v="0"/>
    <n v="0"/>
    <n v="0"/>
    <n v="0"/>
    <m/>
    <m/>
    <m/>
    <m/>
    <m/>
    <m/>
    <m/>
    <m/>
    <m/>
    <m/>
    <m/>
    <m/>
    <m/>
    <m/>
    <m/>
    <m/>
    <m/>
    <m/>
    <m/>
    <m/>
    <m/>
    <m/>
    <m/>
    <m/>
    <m/>
    <m/>
    <m/>
    <m/>
    <m/>
    <m/>
    <m/>
    <m/>
    <m/>
    <m/>
  </r>
  <r>
    <n v="743"/>
    <d v="2025-01-13T00:00:00"/>
    <s v="ZBTO"/>
    <n v="9518425366"/>
    <n v="5"/>
    <s v="9518425366-5"/>
    <m/>
    <s v="No Priority"/>
    <s v="Released orders"/>
    <x v="2"/>
    <x v="2"/>
    <s v="2000-BPRS"/>
    <m/>
    <x v="1"/>
    <m/>
    <m/>
    <m/>
    <m/>
    <s v=" "/>
    <m/>
    <n v="121328"/>
    <s v="R. S. BOKARO METAL (P) LTD."/>
    <n v="1854424"/>
    <s v="GP COIL SOFT-TATXGP-GK09-0.6X900"/>
    <s v="Z80"/>
    <s v=""/>
    <n v="4"/>
    <n v="12"/>
    <s v="Narrow"/>
    <s v="C02"/>
    <s v="TATXGP"/>
    <s v="GK09"/>
    <n v="0.6"/>
    <n v="900"/>
    <n v="0"/>
    <n v="42"/>
    <n v="38.865000000000002"/>
    <n v="42"/>
    <n v="42"/>
    <n v="38.234999999999999"/>
    <n v="0"/>
    <m/>
    <n v="38.234999999999999"/>
    <n v="0"/>
    <n v="3.1349999999999998"/>
    <n v="0"/>
    <n v="47.040000000000006"/>
    <n v="0"/>
    <n v="0"/>
    <n v="0"/>
    <n v="0"/>
    <n v="0"/>
    <n v="0"/>
    <n v="0"/>
    <n v="0"/>
    <n v="0"/>
    <n v="0"/>
    <n v="0"/>
    <n v="0"/>
    <n v="0"/>
    <n v="0"/>
    <n v="0"/>
    <n v="0"/>
    <n v="0"/>
    <n v="0"/>
    <n v="0"/>
    <n v="0"/>
    <n v="0"/>
    <n v="38.234999999999999"/>
    <n v="0"/>
    <n v="0"/>
    <n v="0"/>
    <n v="0"/>
    <n v="0"/>
    <n v="0"/>
    <n v="0"/>
    <n v="0"/>
    <n v="0"/>
    <n v="0"/>
    <n v="0"/>
    <n v="0"/>
    <n v="0"/>
    <n v="0"/>
    <n v="0"/>
    <m/>
    <m/>
    <m/>
    <m/>
    <m/>
    <m/>
    <m/>
    <m/>
    <m/>
    <m/>
    <m/>
    <m/>
    <m/>
    <m/>
    <m/>
    <m/>
    <m/>
    <m/>
    <m/>
    <m/>
    <m/>
    <m/>
    <m/>
    <m/>
    <m/>
    <m/>
    <m/>
    <m/>
    <m/>
    <m/>
    <m/>
    <m/>
    <m/>
    <m/>
  </r>
  <r>
    <n v="743"/>
    <d v="2025-02-17T00:00:00"/>
    <s v="ZBTO"/>
    <n v="9518525385"/>
    <n v="2"/>
    <s v="9518525385-2"/>
    <m/>
    <s v="No Priority"/>
    <s v="Released orders"/>
    <x v="2"/>
    <x v="2"/>
    <n v="2000"/>
    <m/>
    <x v="1"/>
    <m/>
    <m/>
    <s v="Uttar Pradesh"/>
    <m/>
    <m/>
    <m/>
    <n v="938789"/>
    <s v="JAIN STEEL DISTRIBUTORS"/>
    <n v="1851065"/>
    <s v="GP COIL SOFT-TATXGP-GK09-0.25X900"/>
    <n v="80"/>
    <s v=""/>
    <m/>
    <m/>
    <s v="Narrow"/>
    <s v="C02"/>
    <s v="TATXGP"/>
    <s v="GK09"/>
    <n v="0.25"/>
    <n v="900"/>
    <n v="0"/>
    <n v="84"/>
    <n v="0"/>
    <n v="84"/>
    <n v="84"/>
    <e v="#N/A"/>
    <e v="#N/A"/>
    <m/>
    <m/>
    <n v="84"/>
    <n v="84"/>
    <n v="0"/>
    <n v="94.080000000000013"/>
    <n v="0"/>
    <n v="0"/>
    <n v="0"/>
    <n v="0"/>
    <n v="0"/>
    <n v="0"/>
    <n v="0"/>
    <n v="0"/>
    <n v="0"/>
    <n v="0"/>
    <n v="0"/>
    <n v="0"/>
    <n v="0"/>
    <n v="0"/>
    <n v="0"/>
    <n v="0"/>
    <n v="0"/>
    <n v="0"/>
    <n v="0"/>
    <n v="0"/>
    <n v="0"/>
    <n v="0"/>
    <n v="0"/>
    <n v="0"/>
    <n v="0"/>
    <n v="0"/>
    <n v="0"/>
    <n v="0"/>
    <n v="0"/>
    <n v="0"/>
    <n v="0"/>
    <n v="0"/>
    <n v="0"/>
    <n v="0"/>
    <n v="0"/>
    <n v="0"/>
    <n v="0"/>
    <m/>
    <m/>
    <m/>
    <m/>
    <m/>
    <m/>
    <m/>
    <m/>
    <m/>
    <m/>
    <m/>
    <m/>
    <m/>
    <m/>
    <m/>
    <m/>
    <m/>
    <m/>
    <m/>
    <m/>
    <m/>
    <m/>
    <m/>
    <m/>
    <m/>
    <m/>
    <m/>
    <m/>
    <m/>
    <m/>
    <m/>
    <m/>
    <m/>
    <m/>
  </r>
  <r>
    <n v="743"/>
    <d v="2025-02-13T00:00:00"/>
    <s v="ZBTO"/>
    <n v="9518516044"/>
    <n v="3"/>
    <s v="9518516044-3"/>
    <m/>
    <s v="No Priority"/>
    <s v="Released orders"/>
    <x v="2"/>
    <x v="2"/>
    <n v="2000"/>
    <m/>
    <x v="1"/>
    <m/>
    <m/>
    <s v="Uttar Pradesh"/>
    <m/>
    <m/>
    <m/>
    <n v="931235"/>
    <s v="K D J P STEELS PVT LTD"/>
    <n v="1851065"/>
    <s v="GP COIL SOFT-TATXGP-GK09-0.25X900"/>
    <n v="80"/>
    <s v=""/>
    <m/>
    <m/>
    <s v="Narrow"/>
    <s v="C02"/>
    <s v="TATXGP"/>
    <s v="GK09"/>
    <n v="0.25"/>
    <n v="900"/>
    <n v="0"/>
    <n v="42"/>
    <n v="0"/>
    <n v="42"/>
    <n v="42"/>
    <e v="#N/A"/>
    <e v="#N/A"/>
    <m/>
    <m/>
    <n v="42"/>
    <n v="42"/>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5-01-18T00:00:00"/>
    <s v="ZBTO"/>
    <n v="9518439023"/>
    <n v="2"/>
    <s v="9518439023-2"/>
    <m/>
    <s v="No Priority"/>
    <s v="Released orders"/>
    <x v="2"/>
    <x v="2"/>
    <n v="2000"/>
    <m/>
    <x v="1"/>
    <m/>
    <m/>
    <s v="Punjab"/>
    <m/>
    <m/>
    <m/>
    <n v="185845"/>
    <s v="Malerkotla Steel Industries"/>
    <n v="1851065"/>
    <s v="GP COIL SOFT-TATXGP-GK09-0.25X900"/>
    <s v=""/>
    <s v=""/>
    <m/>
    <m/>
    <s v="Narrow"/>
    <s v="C02"/>
    <s v="TATXGP"/>
    <s v="GK09"/>
    <n v="0.25"/>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9T00:00:00"/>
    <s v="ZBTF"/>
    <n v="9518440980"/>
    <n v="1"/>
    <s v="9518440980-1"/>
    <m/>
    <s v="Mar'25"/>
    <s v="Released orders"/>
    <x v="1"/>
    <x v="9"/>
    <s v="2000-BPRS"/>
    <m/>
    <x v="0"/>
    <m/>
    <m/>
    <m/>
    <m/>
    <s v="YESHWANTHPURA"/>
    <m/>
    <n v="650742"/>
    <s v="Angul Cold Rolling Mill"/>
    <n v="3820031"/>
    <s v="CR COIL TATXHS BR45 1.600X1300"/>
    <s v=" "/>
    <s v=""/>
    <n v="10"/>
    <n v="27"/>
    <s v="Wider"/>
    <s v="C01"/>
    <s v="TATXHS"/>
    <s v="BR45"/>
    <n v="1.6"/>
    <n v="1300"/>
    <n v="0"/>
    <n v="60"/>
    <n v="0"/>
    <n v="60"/>
    <n v="60"/>
    <n v="0"/>
    <n v="60"/>
    <m/>
    <m/>
    <n v="60"/>
    <n v="60"/>
    <n v="0"/>
    <n v="67.2"/>
    <n v="0"/>
    <n v="0"/>
    <n v="0"/>
    <n v="0"/>
    <n v="0"/>
    <n v="0"/>
    <n v="0"/>
    <n v="0"/>
    <n v="0"/>
    <n v="0"/>
    <n v="0"/>
    <n v="0"/>
    <n v="0"/>
    <n v="0"/>
    <n v="0"/>
    <n v="0"/>
    <n v="0"/>
    <n v="0"/>
    <n v="0"/>
    <n v="0"/>
    <n v="0"/>
    <n v="0"/>
    <n v="0"/>
    <n v="0"/>
    <n v="60"/>
    <n v="0"/>
    <n v="0"/>
    <n v="0"/>
    <n v="0"/>
    <n v="60"/>
    <n v="0"/>
    <n v="0"/>
    <n v="0"/>
    <n v="0"/>
    <n v="0"/>
    <n v="0"/>
    <n v="60"/>
    <m/>
    <m/>
    <m/>
    <m/>
    <m/>
    <m/>
    <m/>
    <m/>
    <m/>
    <m/>
    <m/>
    <m/>
    <m/>
    <m/>
    <m/>
    <m/>
    <m/>
    <m/>
    <m/>
    <m/>
    <m/>
    <m/>
    <m/>
    <m/>
    <m/>
    <m/>
    <m/>
    <m/>
    <m/>
    <m/>
    <m/>
    <m/>
    <m/>
    <m/>
  </r>
  <r>
    <n v="742"/>
    <d v="2025-01-19T00:00:00"/>
    <s v="ZBTF"/>
    <n v="9518440980"/>
    <n v="2"/>
    <s v="9518440980-2"/>
    <m/>
    <s v="No Priority"/>
    <s v="Released orders"/>
    <x v="1"/>
    <x v="9"/>
    <s v="2000-BPRS"/>
    <m/>
    <x v="1"/>
    <m/>
    <m/>
    <m/>
    <m/>
    <s v="YESHWANTHPURA"/>
    <m/>
    <n v="650742"/>
    <s v="Angul Cold Rolling Mill"/>
    <n v="3820032"/>
    <s v="CR COIL TATXHS BR45 2X1300"/>
    <s v=" "/>
    <s v=""/>
    <n v="10"/>
    <n v="27"/>
    <s v="Wider"/>
    <s v="C01"/>
    <s v="TATXHS"/>
    <s v="BR45"/>
    <n v="2"/>
    <n v="1300"/>
    <n v="0"/>
    <n v="120"/>
    <n v="0"/>
    <n v="120"/>
    <n v="120"/>
    <n v="0"/>
    <n v="120"/>
    <m/>
    <m/>
    <n v="120"/>
    <n v="120"/>
    <n v="0"/>
    <n v="134.4"/>
    <n v="0"/>
    <n v="0"/>
    <n v="0"/>
    <n v="0"/>
    <n v="0"/>
    <n v="0"/>
    <n v="0"/>
    <n v="0"/>
    <n v="0"/>
    <n v="0"/>
    <n v="0"/>
    <n v="0"/>
    <n v="0"/>
    <n v="0"/>
    <n v="0"/>
    <n v="0"/>
    <n v="0"/>
    <n v="0"/>
    <n v="0"/>
    <n v="0"/>
    <n v="0"/>
    <n v="0"/>
    <n v="0"/>
    <n v="0"/>
    <n v="0"/>
    <n v="0"/>
    <n v="0"/>
    <n v="0"/>
    <n v="0"/>
    <n v="0"/>
    <n v="0"/>
    <n v="0"/>
    <n v="0"/>
    <n v="0"/>
    <n v="0"/>
    <n v="0"/>
    <n v="0"/>
    <m/>
    <m/>
    <m/>
    <m/>
    <m/>
    <m/>
    <m/>
    <m/>
    <m/>
    <m/>
    <m/>
    <m/>
    <m/>
    <m/>
    <m/>
    <m/>
    <m/>
    <m/>
    <m/>
    <m/>
    <m/>
    <m/>
    <m/>
    <m/>
    <m/>
    <m/>
    <m/>
    <m/>
    <m/>
    <m/>
    <m/>
    <m/>
    <m/>
    <m/>
  </r>
  <r>
    <n v="742"/>
    <d v="2025-01-19T00:00:00"/>
    <s v="ZBTF"/>
    <n v="9518440980"/>
    <n v="5"/>
    <s v="9518440980-5"/>
    <m/>
    <s v="Mar'25"/>
    <s v="Released orders"/>
    <x v="1"/>
    <x v="9"/>
    <s v="2000-BPRS"/>
    <m/>
    <x v="0"/>
    <m/>
    <m/>
    <m/>
    <m/>
    <s v="YESHWANTHPURA"/>
    <m/>
    <n v="650742"/>
    <s v="Angul Cold Rolling Mill"/>
    <n v="2150942"/>
    <s v="CRCA COIL SA1008 TU98 1.600X1250"/>
    <s v=" "/>
    <s v=""/>
    <n v="10"/>
    <n v="27"/>
    <s v="Wider"/>
    <s v="C01"/>
    <s v="SA1008"/>
    <s v="TU98"/>
    <n v="1.6"/>
    <n v="1250"/>
    <n v="0"/>
    <n v="348"/>
    <n v="0"/>
    <n v="348"/>
    <n v="348"/>
    <n v="0"/>
    <n v="348"/>
    <m/>
    <m/>
    <n v="348"/>
    <n v="348"/>
    <n v="0"/>
    <n v="389.76000000000005"/>
    <n v="0"/>
    <n v="0"/>
    <n v="0"/>
    <n v="0"/>
    <n v="0"/>
    <n v="0"/>
    <n v="0"/>
    <n v="0"/>
    <n v="0"/>
    <n v="0"/>
    <n v="0"/>
    <n v="0"/>
    <n v="0"/>
    <n v="0"/>
    <n v="0"/>
    <n v="0"/>
    <n v="0"/>
    <n v="0"/>
    <n v="0"/>
    <n v="0"/>
    <n v="0"/>
    <n v="0"/>
    <n v="0"/>
    <n v="0"/>
    <n v="348"/>
    <n v="0"/>
    <n v="0"/>
    <n v="0"/>
    <n v="348"/>
    <n v="0"/>
    <n v="348"/>
    <n v="0"/>
    <n v="0"/>
    <n v="0"/>
    <n v="348"/>
    <n v="0"/>
    <n v="0"/>
    <m/>
    <m/>
    <m/>
    <m/>
    <m/>
    <m/>
    <m/>
    <m/>
    <m/>
    <m/>
    <m/>
    <m/>
    <m/>
    <m/>
    <m/>
    <m/>
    <m/>
    <m/>
    <m/>
    <m/>
    <m/>
    <m/>
    <m/>
    <m/>
    <m/>
    <m/>
    <m/>
    <m/>
    <m/>
    <m/>
    <m/>
    <m/>
    <m/>
    <m/>
  </r>
  <r>
    <n v="742"/>
    <d v="2025-01-19T00:00:00"/>
    <s v="ZBTF"/>
    <n v="9518440980"/>
    <n v="6"/>
    <s v="9518440980-6"/>
    <m/>
    <s v="Mar'25"/>
    <s v="Released orders"/>
    <x v="1"/>
    <x v="9"/>
    <s v="2000-BPRS"/>
    <m/>
    <x v="0"/>
    <m/>
    <m/>
    <m/>
    <m/>
    <s v="YESHWANTHPURA"/>
    <m/>
    <n v="650742"/>
    <s v="Angul Cold Rolling Mill"/>
    <n v="2150943"/>
    <s v="CRCA COIL SA1008 TU98 1.900X1250"/>
    <s v=" "/>
    <s v=""/>
    <n v="10"/>
    <n v="27"/>
    <s v="Wider"/>
    <s v="C01"/>
    <s v="SA1008"/>
    <s v="TU98"/>
    <n v="1.9"/>
    <n v="1250"/>
    <n v="0"/>
    <n v="116"/>
    <n v="0"/>
    <n v="116"/>
    <n v="116"/>
    <n v="0"/>
    <n v="116"/>
    <m/>
    <m/>
    <n v="116"/>
    <n v="116"/>
    <n v="0"/>
    <n v="129.92000000000002"/>
    <n v="0"/>
    <n v="0"/>
    <n v="0"/>
    <n v="0"/>
    <n v="0"/>
    <n v="0"/>
    <n v="0"/>
    <n v="0"/>
    <n v="0"/>
    <n v="0"/>
    <n v="0"/>
    <n v="0"/>
    <n v="0"/>
    <n v="0"/>
    <n v="0"/>
    <n v="0"/>
    <n v="0"/>
    <n v="0"/>
    <n v="0"/>
    <n v="0"/>
    <n v="0"/>
    <n v="0"/>
    <n v="0"/>
    <n v="0"/>
    <n v="116"/>
    <n v="0"/>
    <n v="0"/>
    <n v="0"/>
    <n v="116"/>
    <n v="0"/>
    <n v="116"/>
    <n v="0"/>
    <n v="0"/>
    <n v="0"/>
    <n v="116"/>
    <n v="0"/>
    <n v="0"/>
    <m/>
    <m/>
    <m/>
    <m/>
    <m/>
    <m/>
    <m/>
    <m/>
    <m/>
    <m/>
    <m/>
    <m/>
    <m/>
    <m/>
    <m/>
    <m/>
    <m/>
    <m/>
    <m/>
    <m/>
    <m/>
    <m/>
    <m/>
    <m/>
    <m/>
    <m/>
    <m/>
    <m/>
    <m/>
    <m/>
    <m/>
    <m/>
    <m/>
    <m/>
  </r>
  <r>
    <n v="742"/>
    <d v="2025-01-19T00:00:00"/>
    <s v="ZBTF"/>
    <n v="9518440980"/>
    <n v="7"/>
    <s v="9518440980-7"/>
    <m/>
    <s v="Mar'25"/>
    <s v="Released orders"/>
    <x v="1"/>
    <x v="9"/>
    <s v="2000-BPRS"/>
    <m/>
    <x v="0"/>
    <m/>
    <m/>
    <m/>
    <m/>
    <s v="YESHWANTHPURA"/>
    <m/>
    <n v="650742"/>
    <s v="Angul Cold Rolling Mill"/>
    <n v="2279476"/>
    <s v="CRCA COIL TSBHSQ TU99 1.400X1270"/>
    <s v=" "/>
    <s v=""/>
    <n v="10"/>
    <n v="27"/>
    <s v="Wider"/>
    <s v="C01"/>
    <s v="TSBHSQ"/>
    <s v="TU99"/>
    <n v="1.4"/>
    <n v="1270"/>
    <n v="0"/>
    <n v="58"/>
    <n v="26.824999999999999"/>
    <n v="58"/>
    <n v="58"/>
    <n v="81.674999999999997"/>
    <n v="0"/>
    <m/>
    <n v="0"/>
    <n v="58"/>
    <n v="31.175000000000001"/>
    <n v="0"/>
    <n v="0"/>
    <n v="0"/>
    <n v="0"/>
    <n v="0"/>
    <n v="0"/>
    <n v="0"/>
    <n v="0"/>
    <n v="0"/>
    <n v="0"/>
    <n v="0"/>
    <n v="0"/>
    <n v="54.45"/>
    <n v="27.47"/>
    <n v="0"/>
    <n v="0"/>
    <n v="0"/>
    <n v="0"/>
    <n v="0"/>
    <n v="0"/>
    <n v="81.92"/>
    <n v="81.92"/>
    <n v="0"/>
    <n v="81.92"/>
    <n v="81.674999999999997"/>
    <n v="0"/>
    <n v="31.175000000000001"/>
    <n v="0"/>
    <n v="31.175000000000001"/>
    <n v="0"/>
    <n v="0"/>
    <n v="0"/>
    <n v="31.175000000000001"/>
    <n v="0"/>
    <n v="31.175000000000001"/>
    <n v="0"/>
    <n v="0"/>
    <n v="0"/>
    <n v="0"/>
    <m/>
    <m/>
    <m/>
    <m/>
    <m/>
    <m/>
    <m/>
    <m/>
    <m/>
    <m/>
    <m/>
    <m/>
    <m/>
    <m/>
    <m/>
    <m/>
    <m/>
    <m/>
    <m/>
    <m/>
    <m/>
    <m/>
    <m/>
    <m/>
    <m/>
    <m/>
    <m/>
    <m/>
    <m/>
    <m/>
    <m/>
    <m/>
    <m/>
    <m/>
  </r>
  <r>
    <n v="742"/>
    <d v="2025-01-19T00:00:00"/>
    <s v="ZBTF"/>
    <n v="9518440980"/>
    <n v="8"/>
    <s v="9518440980-8"/>
    <m/>
    <s v="Mar'25"/>
    <s v="Released orders"/>
    <x v="1"/>
    <x v="9"/>
    <s v="2000-BPRS"/>
    <m/>
    <x v="0"/>
    <m/>
    <m/>
    <m/>
    <m/>
    <s v="YESHWANTHPURA"/>
    <m/>
    <n v="650742"/>
    <s v="Angul Cold Rolling Mill"/>
    <n v="2279503"/>
    <s v="CRCA COIL TSBHSQ TU99 1.600X1270"/>
    <s v=" "/>
    <s v=""/>
    <n v="10"/>
    <n v="27"/>
    <s v="Wider"/>
    <s v="C01"/>
    <s v="TSBHSQ"/>
    <s v="TU99"/>
    <n v="1.6"/>
    <n v="1270"/>
    <n v="0"/>
    <n v="174"/>
    <n v="106.56"/>
    <n v="174"/>
    <n v="174"/>
    <n v="217.32"/>
    <n v="0"/>
    <m/>
    <n v="27.43"/>
    <n v="146.57"/>
    <n v="67.44"/>
    <n v="0"/>
    <n v="0"/>
    <n v="0"/>
    <n v="0"/>
    <n v="0"/>
    <n v="0"/>
    <n v="0"/>
    <n v="0"/>
    <n v="0"/>
    <n v="0"/>
    <n v="0"/>
    <n v="26.095000000000002"/>
    <n v="82.44"/>
    <n v="82.33"/>
    <n v="27.43"/>
    <n v="0"/>
    <n v="0"/>
    <n v="0"/>
    <n v="0"/>
    <n v="0"/>
    <n v="218.29500000000002"/>
    <n v="218.29499999999999"/>
    <n v="0"/>
    <n v="218.29499999999999"/>
    <n v="189.89"/>
    <n v="10.765000000000001"/>
    <n v="67.44"/>
    <n v="0"/>
    <n v="67.44"/>
    <n v="0"/>
    <n v="0"/>
    <n v="0"/>
    <n v="78.204999999999998"/>
    <n v="0"/>
    <n v="0"/>
    <n v="78.204999999999998"/>
    <n v="0"/>
    <n v="0"/>
    <n v="0"/>
    <m/>
    <m/>
    <m/>
    <m/>
    <m/>
    <m/>
    <m/>
    <m/>
    <m/>
    <m/>
    <m/>
    <m/>
    <m/>
    <m/>
    <m/>
    <m/>
    <m/>
    <m/>
    <m/>
    <m/>
    <m/>
    <m/>
    <m/>
    <m/>
    <m/>
    <m/>
    <m/>
    <m/>
    <m/>
    <m/>
    <m/>
    <m/>
    <m/>
    <m/>
  </r>
  <r>
    <n v="743"/>
    <d v="2025-01-10T00:00:00"/>
    <s v="ZBTO"/>
    <n v="9518420533"/>
    <n v="11"/>
    <s v="9518420533-11"/>
    <m/>
    <s v="Stocks"/>
    <s v="Released orders"/>
    <x v="2"/>
    <x v="2"/>
    <s v="2000-BPRS"/>
    <m/>
    <x v="0"/>
    <m/>
    <m/>
    <m/>
    <m/>
    <s v="WEST BOKARO"/>
    <m/>
    <n v="185794"/>
    <s v="Shree Bajrang Steel Udyog"/>
    <n v="1854424"/>
    <s v="GP COIL SOFT-TATXGP-GK09-0.6X900"/>
    <s v="Z80"/>
    <s v=""/>
    <n v="4"/>
    <n v="12"/>
    <s v="Narrow"/>
    <s v="C02"/>
    <s v="TATXGP"/>
    <s v="GK09"/>
    <n v="0.6"/>
    <n v="900"/>
    <n v="0"/>
    <n v="147"/>
    <n v="142.685"/>
    <n v="137.215"/>
    <n v="4.3150000000000004"/>
    <n v="0.34"/>
    <n v="0"/>
    <m/>
    <m/>
    <n v="0"/>
    <n v="4.3150000000000004"/>
    <n v="0"/>
    <n v="0"/>
    <n v="0"/>
    <n v="20.7"/>
    <n v="61.910000000000004"/>
    <n v="60.83"/>
    <n v="0"/>
    <n v="0"/>
    <n v="0"/>
    <n v="0"/>
    <n v="0"/>
    <n v="0"/>
    <n v="0"/>
    <n v="0"/>
    <n v="0"/>
    <n v="0"/>
    <n v="0"/>
    <n v="0"/>
    <n v="0"/>
    <n v="0"/>
    <n v="143.44"/>
    <n v="143.44"/>
    <n v="0"/>
    <n v="143.44"/>
    <n v="0.34"/>
    <n v="16.12"/>
    <n v="0"/>
    <n v="0"/>
    <n v="0"/>
    <n v="0"/>
    <n v="0"/>
    <n v="0"/>
    <n v="16.12"/>
    <n v="0"/>
    <n v="16.12"/>
    <n v="0"/>
    <n v="0"/>
    <n v="0"/>
    <n v="0"/>
    <m/>
    <m/>
    <m/>
    <m/>
    <m/>
    <m/>
    <m/>
    <m/>
    <m/>
    <m/>
    <m/>
    <m/>
    <m/>
    <m/>
    <m/>
    <m/>
    <m/>
    <m/>
    <m/>
    <m/>
    <m/>
    <m/>
    <m/>
    <m/>
    <m/>
    <m/>
    <m/>
    <m/>
    <m/>
    <m/>
    <m/>
    <m/>
    <m/>
    <m/>
  </r>
  <r>
    <n v="743"/>
    <d v="2025-01-10T00:00:00"/>
    <s v="ZBTO"/>
    <n v="9518420533"/>
    <n v="12"/>
    <s v="9518420533-12"/>
    <m/>
    <s v="No Priority"/>
    <s v="Released orders"/>
    <x v="2"/>
    <x v="2"/>
    <s v="2000-BPRS"/>
    <m/>
    <x v="1"/>
    <m/>
    <m/>
    <m/>
    <m/>
    <s v="WEST BOKARO"/>
    <m/>
    <n v="185794"/>
    <s v="Shree Bajrang Steel Udyog"/>
    <n v="1854429"/>
    <s v="GP COIL SOFT-TATXGP-GK09-0.63X900"/>
    <s v="Z80"/>
    <s v=""/>
    <n v="4"/>
    <n v="12"/>
    <s v="Narrow"/>
    <s v="C02"/>
    <s v="TATXGP"/>
    <s v="GK09"/>
    <n v="0.63"/>
    <n v="900"/>
    <n v="0"/>
    <n v="21"/>
    <n v="19.074999999999999"/>
    <n v="21"/>
    <n v="1.925"/>
    <n v="0"/>
    <n v="0"/>
    <m/>
    <m/>
    <n v="0"/>
    <n v="1.925"/>
    <n v="0"/>
    <n v="0"/>
    <n v="0"/>
    <n v="0"/>
    <n v="0"/>
    <n v="0"/>
    <n v="0"/>
    <n v="18.88"/>
    <n v="0"/>
    <n v="0"/>
    <n v="0"/>
    <n v="0"/>
    <n v="0"/>
    <n v="0"/>
    <n v="0"/>
    <n v="0"/>
    <n v="0"/>
    <n v="0"/>
    <n v="0"/>
    <n v="0"/>
    <n v="18.88"/>
    <n v="18.88"/>
    <n v="0"/>
    <n v="18.88"/>
    <n v="0"/>
    <n v="0"/>
    <n v="0"/>
    <n v="0"/>
    <n v="0"/>
    <n v="0"/>
    <n v="0"/>
    <n v="0"/>
    <n v="0"/>
    <n v="0"/>
    <n v="0"/>
    <n v="0"/>
    <n v="0"/>
    <n v="0"/>
    <n v="0"/>
    <m/>
    <m/>
    <m/>
    <m/>
    <m/>
    <m/>
    <m/>
    <m/>
    <m/>
    <m/>
    <m/>
    <m/>
    <m/>
    <m/>
    <m/>
    <m/>
    <m/>
    <m/>
    <m/>
    <m/>
    <m/>
    <m/>
    <m/>
    <m/>
    <m/>
    <m/>
    <m/>
    <m/>
    <m/>
    <m/>
    <m/>
    <m/>
    <m/>
    <m/>
  </r>
  <r>
    <n v="742"/>
    <d v="2025-01-11T00:00:00"/>
    <s v="ZBTO"/>
    <n v="9518421446"/>
    <n v="1"/>
    <s v="9518421446-1"/>
    <m/>
    <s v="Mar'25"/>
    <s v="Released orders"/>
    <x v="1"/>
    <x v="1"/>
    <s v="2000-BPRS"/>
    <m/>
    <x v="0"/>
    <s v="Mar"/>
    <m/>
    <m/>
    <m/>
    <s v="WEST BOKARO"/>
    <m/>
    <n v="185794"/>
    <s v="Shree Bajrang Steel Udyog"/>
    <n v="3239536"/>
    <s v="CRCA SHEET TATCRC SR16 0.350X900X2500"/>
    <s v=" "/>
    <s v=""/>
    <n v="2.8"/>
    <n v="3.2"/>
    <s v="Narrow"/>
    <s v="C06"/>
    <s v="TATCRC"/>
    <s v="SR16"/>
    <n v="0.35"/>
    <n v="900"/>
    <n v="2500"/>
    <n v="51"/>
    <n v="0"/>
    <n v="51"/>
    <n v="51"/>
    <n v="0"/>
    <n v="51"/>
    <m/>
    <m/>
    <n v="51"/>
    <n v="51"/>
    <n v="0"/>
    <n v="57.120000000000005"/>
    <n v="0"/>
    <n v="0"/>
    <n v="0"/>
    <n v="0"/>
    <n v="0"/>
    <n v="0"/>
    <n v="0"/>
    <n v="0"/>
    <n v="0"/>
    <n v="0"/>
    <n v="0"/>
    <n v="0"/>
    <n v="0"/>
    <n v="0"/>
    <n v="0"/>
    <n v="0"/>
    <n v="0"/>
    <n v="0"/>
    <n v="0"/>
    <n v="0"/>
    <n v="0"/>
    <n v="0"/>
    <n v="0"/>
    <n v="0"/>
    <n v="51"/>
    <n v="0"/>
    <n v="0"/>
    <n v="0"/>
    <n v="0"/>
    <n v="51"/>
    <n v="0"/>
    <n v="0"/>
    <n v="0"/>
    <n v="0"/>
    <n v="0"/>
    <n v="0"/>
    <n v="51"/>
    <m/>
    <m/>
    <m/>
    <m/>
    <m/>
    <m/>
    <m/>
    <m/>
    <m/>
    <m/>
    <m/>
    <m/>
    <m/>
    <m/>
    <m/>
    <m/>
    <m/>
    <m/>
    <m/>
    <m/>
    <m/>
    <m/>
    <m/>
    <m/>
    <m/>
    <m/>
    <m/>
    <m/>
    <m/>
    <m/>
    <m/>
    <m/>
    <m/>
    <m/>
  </r>
  <r>
    <n v="742"/>
    <d v="2025-01-11T00:00:00"/>
    <s v="ZBTO"/>
    <n v="9518421446"/>
    <n v="2"/>
    <s v="9518421446-2"/>
    <m/>
    <s v="Mar'25"/>
    <s v="Released orders"/>
    <x v="1"/>
    <x v="1"/>
    <s v="2000-BPRS"/>
    <m/>
    <x v="0"/>
    <s v="Mar"/>
    <m/>
    <m/>
    <m/>
    <s v="WEST BOKARO"/>
    <m/>
    <n v="185794"/>
    <s v="Shree Bajrang Steel Udyog"/>
    <n v="3239542"/>
    <s v="CRCA SHEET TATCRC SR16 0.350X1000X2500"/>
    <s v=" "/>
    <s v=""/>
    <n v="2.8"/>
    <n v="3.2"/>
    <s v="Narrow"/>
    <s v="C06"/>
    <s v="TATCRC"/>
    <s v="SR16"/>
    <n v="0.35"/>
    <n v="1000"/>
    <n v="2500"/>
    <n v="24"/>
    <n v="0"/>
    <n v="24"/>
    <n v="24"/>
    <n v="0"/>
    <n v="24"/>
    <m/>
    <m/>
    <n v="24"/>
    <n v="24"/>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1T00:00:00"/>
    <s v="ZBTO"/>
    <n v="9518421446"/>
    <n v="6"/>
    <s v="9518421446-6"/>
    <m/>
    <s v="Mar'25"/>
    <s v="Released orders"/>
    <x v="1"/>
    <x v="1"/>
    <s v="2000-BPRS"/>
    <m/>
    <x v="0"/>
    <s v="Mar"/>
    <m/>
    <m/>
    <m/>
    <s v="WEST BOKARO"/>
    <m/>
    <n v="185794"/>
    <s v="Shree Bajrang Steel Udyog"/>
    <n v="3240760"/>
    <s v="CRCA SHEET TSBCRC SR15 0.500X1000X2500"/>
    <s v=" "/>
    <s v=""/>
    <n v="2.8"/>
    <n v="3.2"/>
    <s v="Narrow"/>
    <s v="C06"/>
    <s v="TSBCRC"/>
    <s v="SR15"/>
    <n v="0.5"/>
    <n v="1000"/>
    <n v="2500"/>
    <n v="24"/>
    <n v="0"/>
    <n v="24"/>
    <n v="24"/>
    <n v="0"/>
    <n v="24"/>
    <m/>
    <m/>
    <n v="24"/>
    <n v="24"/>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1T00:00:00"/>
    <s v="ZBTO"/>
    <n v="9518421446"/>
    <n v="12"/>
    <s v="9518421446-12"/>
    <m/>
    <s v="Mar'25"/>
    <s v="Released orders"/>
    <x v="1"/>
    <x v="1"/>
    <s v="2000-BPRS"/>
    <m/>
    <x v="0"/>
    <s v="Mar"/>
    <m/>
    <m/>
    <m/>
    <s v="WEST BOKARO"/>
    <m/>
    <n v="185794"/>
    <s v="Shree Bajrang Steel Udyog"/>
    <n v="3239548"/>
    <s v="CRCA SHEET TATCRC SR16 0.400X900X2500"/>
    <s v=" "/>
    <s v=""/>
    <n v="2.8"/>
    <n v="3.2"/>
    <s v="Narrow"/>
    <s v="C06"/>
    <s v="TATCRC"/>
    <s v="SR16"/>
    <n v="0.4"/>
    <n v="900"/>
    <n v="2500"/>
    <n v="39"/>
    <n v="0"/>
    <n v="39"/>
    <n v="39"/>
    <n v="0"/>
    <n v="39"/>
    <m/>
    <m/>
    <n v="39"/>
    <n v="39"/>
    <n v="0"/>
    <n v="43.680000000000007"/>
    <n v="0"/>
    <n v="0"/>
    <n v="0"/>
    <n v="0"/>
    <n v="0"/>
    <n v="0"/>
    <n v="0"/>
    <n v="0"/>
    <n v="0"/>
    <n v="0"/>
    <n v="0"/>
    <n v="0"/>
    <n v="0"/>
    <n v="0"/>
    <n v="0"/>
    <n v="0"/>
    <n v="0"/>
    <n v="0"/>
    <n v="0"/>
    <n v="0"/>
    <n v="0"/>
    <n v="0"/>
    <n v="0"/>
    <n v="0"/>
    <n v="39"/>
    <n v="0"/>
    <n v="0"/>
    <n v="0"/>
    <n v="0"/>
    <n v="39"/>
    <n v="0"/>
    <n v="0"/>
    <n v="0"/>
    <n v="0"/>
    <n v="0"/>
    <n v="0"/>
    <n v="39"/>
    <m/>
    <m/>
    <m/>
    <m/>
    <m/>
    <m/>
    <m/>
    <m/>
    <m/>
    <m/>
    <m/>
    <m/>
    <m/>
    <m/>
    <m/>
    <m/>
    <m/>
    <m/>
    <m/>
    <m/>
    <m/>
    <m/>
    <m/>
    <m/>
    <m/>
    <m/>
    <m/>
    <m/>
    <m/>
    <m/>
    <m/>
    <m/>
    <m/>
    <m/>
  </r>
  <r>
    <n v="742"/>
    <d v="2025-01-24T00:00:00"/>
    <s v="ZBTF"/>
    <n v="4000495825"/>
    <n v="1"/>
    <s v="4000495825-1"/>
    <m/>
    <s v="Mar'25"/>
    <s v="Released orders"/>
    <x v="0"/>
    <x v="9"/>
    <s v=""/>
    <n v="1200"/>
    <x v="0"/>
    <m/>
    <m/>
    <m/>
    <m/>
    <s v="YESHWANTHPURA"/>
    <m/>
    <n v="600103"/>
    <s v="TATA STEEL LIMITED"/>
    <n v="3173079"/>
    <s v="HR COILS-PO THR099 4.10X1250"/>
    <s v=" "/>
    <s v=""/>
    <n v="17"/>
    <n v="27.5"/>
    <s v="Wider"/>
    <n v="768"/>
    <s v="THR099"/>
    <s v="HR99"/>
    <n v="4.0999999999999996"/>
    <n v="1250"/>
    <n v="0"/>
    <n v="75"/>
    <n v="0"/>
    <n v="75"/>
    <n v="75"/>
    <n v="0"/>
    <n v="75"/>
    <m/>
    <m/>
    <n v="75"/>
    <n v="75"/>
    <n v="0"/>
    <n v="84.000000000000014"/>
    <n v="0"/>
    <n v="0"/>
    <n v="0"/>
    <n v="0"/>
    <n v="0"/>
    <n v="0"/>
    <n v="0"/>
    <n v="0"/>
    <n v="0"/>
    <n v="0"/>
    <n v="0"/>
    <n v="0"/>
    <n v="0"/>
    <n v="0"/>
    <n v="0"/>
    <n v="0"/>
    <n v="0"/>
    <n v="0"/>
    <n v="0"/>
    <n v="0"/>
    <n v="0"/>
    <n v="0"/>
    <n v="0"/>
    <n v="0"/>
    <n v="75"/>
    <n v="0"/>
    <n v="0"/>
    <n v="75"/>
    <n v="0"/>
    <n v="0"/>
    <n v="75"/>
    <n v="0"/>
    <n v="0"/>
    <n v="75"/>
    <n v="0"/>
    <n v="0"/>
    <n v="0"/>
    <m/>
    <m/>
    <m/>
    <m/>
    <m/>
    <m/>
    <m/>
    <m/>
    <m/>
    <m/>
    <m/>
    <m/>
    <m/>
    <m/>
    <m/>
    <m/>
    <m/>
    <m/>
    <m/>
    <m/>
    <m/>
    <m/>
    <m/>
    <m/>
    <m/>
    <m/>
    <m/>
    <m/>
    <m/>
    <m/>
    <m/>
    <m/>
    <m/>
    <m/>
  </r>
  <r>
    <n v="742"/>
    <d v="2025-01-24T00:00:00"/>
    <s v="ZBTF"/>
    <n v="4000495825"/>
    <n v="2"/>
    <s v="4000495825-2"/>
    <m/>
    <s v="No Priority"/>
    <s v="Released orders"/>
    <x v="0"/>
    <x v="9"/>
    <s v=""/>
    <m/>
    <x v="1"/>
    <m/>
    <m/>
    <m/>
    <m/>
    <s v="YESHWANTHPURA"/>
    <m/>
    <n v="600103"/>
    <s v="TATA STEEL LIMITED"/>
    <n v="3678577"/>
    <s v="HR COILS-PO THR099 4.60X1250"/>
    <s v=" "/>
    <s v=""/>
    <n v="17"/>
    <n v="27.5"/>
    <s v="Wider"/>
    <n v="768"/>
    <s v="THR099"/>
    <s v="HR99"/>
    <n v="4.5999999999999996"/>
    <n v="1250"/>
    <n v="0"/>
    <n v="50"/>
    <n v="49.19"/>
    <n v="50"/>
    <n v="50"/>
    <n v="49.19"/>
    <n v="0"/>
    <m/>
    <n v="49.19"/>
    <n v="0"/>
    <n v="0.81"/>
    <n v="0"/>
    <n v="0"/>
    <n v="0"/>
    <n v="49.47"/>
    <n v="0"/>
    <n v="0"/>
    <n v="0"/>
    <n v="0"/>
    <n v="0"/>
    <n v="0"/>
    <n v="0"/>
    <n v="0"/>
    <n v="0"/>
    <n v="0"/>
    <n v="0"/>
    <n v="0"/>
    <n v="0"/>
    <n v="0"/>
    <n v="0"/>
    <n v="0"/>
    <n v="49.47"/>
    <n v="49.47"/>
    <n v="0"/>
    <n v="49.19"/>
    <n v="0"/>
    <n v="0"/>
    <n v="0"/>
    <n v="0"/>
    <n v="0"/>
    <n v="0"/>
    <n v="0"/>
    <n v="0"/>
    <n v="0"/>
    <n v="0"/>
    <n v="0"/>
    <n v="0"/>
    <n v="0"/>
    <n v="0"/>
    <n v="0"/>
    <m/>
    <m/>
    <m/>
    <m/>
    <m/>
    <m/>
    <m/>
    <m/>
    <m/>
    <m/>
    <m/>
    <m/>
    <m/>
    <m/>
    <m/>
    <m/>
    <m/>
    <m/>
    <m/>
    <m/>
    <m/>
    <m/>
    <m/>
    <m/>
    <m/>
    <m/>
    <m/>
    <m/>
    <m/>
    <m/>
    <m/>
    <m/>
    <m/>
    <m/>
  </r>
  <r>
    <n v="742"/>
    <d v="2025-01-02T00:00:00"/>
    <s v="ZBTO"/>
    <n v="9518400614"/>
    <n v="7"/>
    <s v="9518400614-7"/>
    <m/>
    <s v="No Priority"/>
    <s v="Released orders"/>
    <x v="1"/>
    <x v="3"/>
    <s v="2000-BPRS"/>
    <m/>
    <x v="1"/>
    <s v="Mar"/>
    <s v="Beyond HSM rollability"/>
    <m/>
    <m/>
    <s v="COCHIN HARBOUR "/>
    <m/>
    <n v="116650"/>
    <s v="KUMMENCHERY STEELS"/>
    <n v="38100"/>
    <s v="CRSHEET-ICF C01 TATCRC TR15 0.60 X 1220"/>
    <s v=" "/>
    <s v=""/>
    <n v="6"/>
    <n v="18"/>
    <s v="Wider"/>
    <s v="C01"/>
    <s v="TATCRC"/>
    <s v="TR15"/>
    <n v="0.6"/>
    <n v="1220"/>
    <n v="0"/>
    <n v="28"/>
    <n v="0"/>
    <n v="28"/>
    <n v="28"/>
    <n v="0"/>
    <n v="28"/>
    <m/>
    <m/>
    <n v="28"/>
    <n v="28"/>
    <n v="0"/>
    <n v="31.36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24T00:00:00"/>
    <s v="ZBTF"/>
    <n v="9518457415"/>
    <n v="1"/>
    <s v="9518457415-1"/>
    <m/>
    <s v="No Priority"/>
    <s v="Released orders"/>
    <x v="1"/>
    <x v="9"/>
    <s v="2000-BPRS"/>
    <m/>
    <x v="1"/>
    <m/>
    <m/>
    <m/>
    <m/>
    <s v="YESHWANTHPURA"/>
    <m/>
    <n v="650742"/>
    <s v="Angul Cold Rolling Mill"/>
    <n v="2279476"/>
    <s v="CRCA COIL TSBHSQ TU99 1.400X1270"/>
    <s v=" "/>
    <s v=""/>
    <n v="10"/>
    <n v="27"/>
    <s v="Wider"/>
    <s v="C01"/>
    <s v="TSBHSQ"/>
    <s v="TU99"/>
    <n v="1.4"/>
    <n v="1270"/>
    <n v="0"/>
    <n v="58"/>
    <n v="51.97"/>
    <n v="58"/>
    <n v="58"/>
    <n v="54.69"/>
    <n v="0"/>
    <m/>
    <n v="27.490000000000002"/>
    <n v="30.509999999999998"/>
    <n v="6.03"/>
    <n v="0"/>
    <n v="0"/>
    <n v="0"/>
    <n v="0"/>
    <n v="0"/>
    <n v="0"/>
    <n v="0"/>
    <n v="0"/>
    <n v="0"/>
    <n v="0"/>
    <n v="0"/>
    <n v="0"/>
    <n v="0"/>
    <n v="27.2"/>
    <n v="27.490000000000002"/>
    <n v="0"/>
    <n v="0"/>
    <n v="0"/>
    <n v="0"/>
    <n v="0"/>
    <n v="54.69"/>
    <n v="54.69"/>
    <n v="0"/>
    <n v="54.69"/>
    <n v="27.199999999999996"/>
    <n v="0"/>
    <n v="0"/>
    <n v="0"/>
    <n v="0"/>
    <n v="0"/>
    <n v="0"/>
    <n v="0"/>
    <n v="0"/>
    <n v="0"/>
    <n v="0"/>
    <n v="0"/>
    <n v="0"/>
    <n v="0"/>
    <n v="0"/>
    <m/>
    <m/>
    <m/>
    <m/>
    <m/>
    <m/>
    <m/>
    <m/>
    <m/>
    <m/>
    <m/>
    <m/>
    <m/>
    <m/>
    <m/>
    <m/>
    <m/>
    <m/>
    <m/>
    <m/>
    <m/>
    <m/>
    <m/>
    <m/>
    <m/>
    <m/>
    <m/>
    <m/>
    <m/>
    <m/>
    <m/>
    <m/>
    <m/>
    <m/>
  </r>
  <r>
    <n v="742"/>
    <d v="2025-01-24T00:00:00"/>
    <s v="ZBTF"/>
    <n v="9518457415"/>
    <n v="2"/>
    <s v="9518457415-2"/>
    <m/>
    <s v="No Priority"/>
    <s v="Released orders"/>
    <x v="1"/>
    <x v="9"/>
    <s v="2000-BPRS"/>
    <m/>
    <x v="1"/>
    <m/>
    <m/>
    <m/>
    <m/>
    <s v="YESHWANTHPURA"/>
    <m/>
    <n v="650742"/>
    <s v="Angul Cold Rolling Mill"/>
    <n v="2279503"/>
    <s v="CRCA COIL TSBHSQ TU99 1.600X1270"/>
    <s v=" "/>
    <s v=""/>
    <n v="10"/>
    <n v="27"/>
    <s v="Wider"/>
    <s v="C01"/>
    <s v="TSBHSQ"/>
    <s v="TU99"/>
    <n v="1.6"/>
    <n v="1270"/>
    <n v="0"/>
    <n v="87"/>
    <n v="79.204999999999998"/>
    <n v="87"/>
    <n v="87"/>
    <n v="81.83"/>
    <n v="0"/>
    <m/>
    <n v="54.72"/>
    <n v="32.28"/>
    <n v="7.7949999999999999"/>
    <n v="0"/>
    <n v="0"/>
    <n v="0"/>
    <n v="0"/>
    <n v="0"/>
    <n v="0"/>
    <n v="0"/>
    <n v="0"/>
    <n v="0"/>
    <n v="0"/>
    <n v="0"/>
    <n v="0"/>
    <n v="0"/>
    <n v="27.11"/>
    <n v="54.72"/>
    <n v="0"/>
    <n v="0"/>
    <n v="0"/>
    <n v="0"/>
    <n v="0"/>
    <n v="81.83"/>
    <n v="81.83"/>
    <n v="0"/>
    <n v="81.83"/>
    <n v="27.11"/>
    <n v="0"/>
    <n v="0"/>
    <n v="0"/>
    <n v="0"/>
    <n v="0"/>
    <n v="0"/>
    <n v="0"/>
    <n v="0"/>
    <n v="0"/>
    <n v="0"/>
    <n v="0"/>
    <n v="0"/>
    <n v="0"/>
    <n v="0"/>
    <m/>
    <m/>
    <m/>
    <m/>
    <m/>
    <m/>
    <m/>
    <m/>
    <m/>
    <m/>
    <m/>
    <m/>
    <m/>
    <m/>
    <m/>
    <m/>
    <m/>
    <m/>
    <m/>
    <m/>
    <m/>
    <m/>
    <m/>
    <m/>
    <m/>
    <m/>
    <m/>
    <m/>
    <m/>
    <m/>
    <m/>
    <m/>
    <m/>
    <m/>
  </r>
  <r>
    <n v="742"/>
    <d v="2025-01-24T00:00:00"/>
    <s v="ZBTF"/>
    <n v="9518457415"/>
    <n v="3"/>
    <s v="9518457415-3"/>
    <m/>
    <s v="Stocks"/>
    <s v="Released orders"/>
    <x v="1"/>
    <x v="9"/>
    <s v="2000-BPRS"/>
    <m/>
    <x v="0"/>
    <m/>
    <m/>
    <m/>
    <m/>
    <s v="YESHWANTHPURA"/>
    <m/>
    <n v="650742"/>
    <s v="Angul Cold Rolling Mill"/>
    <n v="3439077"/>
    <s v="CR COIL TSBHSQ TU99 2.300X1270"/>
    <s v=" "/>
    <s v=""/>
    <n v="10"/>
    <n v="27"/>
    <s v="Wider"/>
    <s v="C01"/>
    <s v="TSBHSQ"/>
    <s v="TU99"/>
    <n v="2.2999999999999998"/>
    <n v="1270"/>
    <n v="0"/>
    <n v="58"/>
    <n v="51.07"/>
    <n v="58"/>
    <n v="58"/>
    <n v="53.86"/>
    <n v="0"/>
    <m/>
    <n v="0"/>
    <n v="58"/>
    <n v="6.93"/>
    <n v="0"/>
    <n v="0"/>
    <n v="0"/>
    <n v="0"/>
    <n v="0"/>
    <n v="0"/>
    <n v="0"/>
    <n v="0"/>
    <n v="0"/>
    <n v="0"/>
    <n v="0"/>
    <n v="0"/>
    <n v="0"/>
    <n v="53.86"/>
    <n v="0"/>
    <n v="0"/>
    <n v="0"/>
    <n v="0"/>
    <n v="0"/>
    <n v="0"/>
    <n v="53.86"/>
    <n v="53.86"/>
    <n v="0"/>
    <n v="53.86"/>
    <n v="53.86"/>
    <n v="23.83"/>
    <n v="0"/>
    <n v="0"/>
    <n v="0"/>
    <n v="0"/>
    <n v="0"/>
    <n v="0"/>
    <n v="23.83"/>
    <n v="0"/>
    <n v="23.83"/>
    <n v="0"/>
    <n v="0"/>
    <n v="0"/>
    <n v="0"/>
    <m/>
    <m/>
    <m/>
    <m/>
    <m/>
    <m/>
    <m/>
    <m/>
    <m/>
    <m/>
    <m/>
    <m/>
    <m/>
    <m/>
    <m/>
    <m/>
    <m/>
    <m/>
    <m/>
    <m/>
    <m/>
    <m/>
    <m/>
    <m/>
    <m/>
    <m/>
    <m/>
    <m/>
    <m/>
    <m/>
    <m/>
    <m/>
    <m/>
    <m/>
  </r>
  <r>
    <n v="743"/>
    <d v="2025-02-14T00:00:00"/>
    <s v="ZBTO"/>
    <n v="9518519230"/>
    <n v="2"/>
    <s v="9518519230-2"/>
    <m/>
    <s v="No Priority"/>
    <s v="Released orders"/>
    <x v="2"/>
    <x v="2"/>
    <n v="2000"/>
    <m/>
    <x v="1"/>
    <m/>
    <m/>
    <s v="Punjab"/>
    <m/>
    <m/>
    <m/>
    <n v="185845"/>
    <s v="Malerkotla Steel Industries"/>
    <n v="1851065"/>
    <s v="GP COIL SOFT-TATXGP-GK09-0.25X900"/>
    <s v=""/>
    <s v=""/>
    <m/>
    <m/>
    <s v="Narrow"/>
    <s v="C02"/>
    <s v="TATXGP"/>
    <s v="GK09"/>
    <n v="0.25"/>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17T00:00:00"/>
    <s v="ZBTF"/>
    <n v="9518527449"/>
    <n v="2"/>
    <s v="9518527449-2"/>
    <m/>
    <s v="No Priority"/>
    <s v="Released orders"/>
    <x v="1"/>
    <x v="9"/>
    <s v="2000-BPRS"/>
    <m/>
    <x v="1"/>
    <m/>
    <m/>
    <m/>
    <m/>
    <s v="YESHWANTHPURA"/>
    <m/>
    <n v="650742"/>
    <s v="Angul Cold Rolling Mill"/>
    <n v="3820032"/>
    <s v="CR COIL TATXHS BR45 2X1300"/>
    <s v=" "/>
    <s v=""/>
    <n v="10"/>
    <n v="27"/>
    <s v="Wider"/>
    <s v="C01"/>
    <s v="TATXHS"/>
    <s v="BR45"/>
    <n v="2"/>
    <n v="1300"/>
    <n v="0"/>
    <n v="210"/>
    <n v="0"/>
    <n v="210"/>
    <n v="210"/>
    <n v="0"/>
    <n v="210"/>
    <m/>
    <m/>
    <n v="210"/>
    <n v="210"/>
    <n v="0"/>
    <n v="235.2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2-17T00:00:00"/>
    <s v="ZBTF"/>
    <n v="9518527449"/>
    <n v="3"/>
    <s v="9518527449-3"/>
    <m/>
    <s v="Mar'25"/>
    <s v="Released orders"/>
    <x v="5"/>
    <x v="9"/>
    <s v="2000-BPRS"/>
    <n v="400"/>
    <x v="0"/>
    <m/>
    <m/>
    <m/>
    <m/>
    <s v="YESHWANTHPURA"/>
    <m/>
    <n v="650742"/>
    <s v="Angul Cold Rolling Mill"/>
    <n v="2324172"/>
    <s v="CRFH COIL TATFHC RE03 1X1250"/>
    <s v=" "/>
    <s v=""/>
    <n v="10"/>
    <n v="27"/>
    <s v="Wider"/>
    <s v="C09"/>
    <s v="TATFHC"/>
    <s v="RE03"/>
    <n v="1"/>
    <n v="1250"/>
    <n v="0"/>
    <n v="116"/>
    <n v="23.93"/>
    <n v="116"/>
    <n v="116"/>
    <n v="24.69"/>
    <n v="91.31"/>
    <m/>
    <n v="24.69"/>
    <n v="91.31"/>
    <n v="92.07"/>
    <n v="0"/>
    <n v="129.92000000000002"/>
    <n v="0"/>
    <n v="0"/>
    <n v="0"/>
    <n v="0"/>
    <n v="0"/>
    <n v="0"/>
    <n v="0"/>
    <n v="0"/>
    <n v="0"/>
    <n v="0"/>
    <n v="0"/>
    <n v="0"/>
    <n v="0"/>
    <n v="0"/>
    <n v="0"/>
    <n v="0"/>
    <n v="0"/>
    <n v="0"/>
    <n v="0"/>
    <n v="0"/>
    <n v="0"/>
    <n v="24.69"/>
    <n v="0"/>
    <n v="23.93"/>
    <n v="92.07"/>
    <n v="0"/>
    <n v="0"/>
    <n v="0"/>
    <n v="92.07"/>
    <n v="0"/>
    <n v="116"/>
    <n v="0"/>
    <n v="0"/>
    <n v="0"/>
    <n v="0"/>
    <n v="116"/>
    <n v="0"/>
    <m/>
    <m/>
    <m/>
    <m/>
    <m/>
    <m/>
    <m/>
    <m/>
    <m/>
    <m/>
    <m/>
    <m/>
    <m/>
    <m/>
    <m/>
    <m/>
    <m/>
    <m/>
    <m/>
    <m/>
    <m/>
    <m/>
    <m/>
    <m/>
    <m/>
    <m/>
    <m/>
    <m/>
    <m/>
    <m/>
    <m/>
    <m/>
    <m/>
    <m/>
  </r>
  <r>
    <n v="742"/>
    <d v="2025-02-17T00:00:00"/>
    <s v="ZBTF"/>
    <n v="9518527449"/>
    <n v="4"/>
    <s v="9518527449-4"/>
    <m/>
    <s v="Mar'25"/>
    <s v="Released orders"/>
    <x v="5"/>
    <x v="9"/>
    <s v="2000-BPRS"/>
    <m/>
    <x v="0"/>
    <m/>
    <m/>
    <m/>
    <m/>
    <s v="YESHWANTHPURA"/>
    <m/>
    <n v="650742"/>
    <s v="Angul Cold Rolling Mill"/>
    <n v="2324181"/>
    <s v="CRFH COIL TATFHC RE03 1.200X1250"/>
    <s v=" "/>
    <s v=""/>
    <n v="10"/>
    <n v="27"/>
    <s v="Wider"/>
    <s v="C09"/>
    <s v="TATFHC"/>
    <s v="RE03"/>
    <n v="1.2"/>
    <n v="1250"/>
    <n v="0"/>
    <n v="290"/>
    <n v="167.54499999999999"/>
    <n v="290"/>
    <n v="290"/>
    <n v="169.36500000000001"/>
    <n v="120.63500000000001"/>
    <m/>
    <n v="169.36500000000001"/>
    <n v="120.63499999999999"/>
    <n v="122.455"/>
    <n v="0"/>
    <n v="324.8"/>
    <n v="0"/>
    <n v="0"/>
    <n v="0"/>
    <n v="0"/>
    <n v="0"/>
    <n v="0"/>
    <n v="0"/>
    <n v="0"/>
    <n v="0"/>
    <n v="0"/>
    <n v="0"/>
    <n v="0"/>
    <n v="0"/>
    <n v="0"/>
    <n v="0"/>
    <n v="0"/>
    <n v="0"/>
    <n v="0"/>
    <n v="0"/>
    <n v="0"/>
    <n v="0"/>
    <n v="169.36500000000001"/>
    <n v="0"/>
    <n v="83.81"/>
    <n v="122.455"/>
    <n v="0"/>
    <n v="0"/>
    <n v="0"/>
    <n v="0"/>
    <n v="122.455"/>
    <n v="206.26499999999999"/>
    <n v="0"/>
    <n v="0"/>
    <n v="0"/>
    <n v="0"/>
    <n v="206.26499999999999"/>
    <n v="0"/>
    <m/>
    <m/>
    <m/>
    <m/>
    <m/>
    <m/>
    <m/>
    <m/>
    <m/>
    <m/>
    <m/>
    <m/>
    <m/>
    <m/>
    <m/>
    <m/>
    <m/>
    <m/>
    <m/>
    <m/>
    <m/>
    <m/>
    <m/>
    <m/>
    <m/>
    <m/>
    <m/>
    <m/>
    <m/>
    <m/>
    <m/>
    <m/>
    <m/>
    <m/>
  </r>
  <r>
    <n v="742"/>
    <d v="2025-02-17T00:00:00"/>
    <s v="ZBTF"/>
    <n v="9518527449"/>
    <n v="5"/>
    <s v="9518527449-5"/>
    <m/>
    <s v="Mar'25"/>
    <s v="Released orders"/>
    <x v="1"/>
    <x v="9"/>
    <s v="2000-BPRS"/>
    <m/>
    <x v="0"/>
    <m/>
    <m/>
    <m/>
    <m/>
    <s v="YESHWANTHPURA"/>
    <m/>
    <n v="650742"/>
    <s v="Angul Cold Rolling Mill"/>
    <n v="2150938"/>
    <s v="CRCA COIL SA1008 TU98 1X1250"/>
    <s v=" "/>
    <s v=""/>
    <n v="10"/>
    <n v="27"/>
    <s v="Wider"/>
    <s v="C01"/>
    <s v="SA1008"/>
    <s v="TU98"/>
    <n v="1"/>
    <n v="1250"/>
    <n v="0"/>
    <n v="29"/>
    <n v="0"/>
    <n v="29"/>
    <n v="29"/>
    <n v="0"/>
    <n v="29"/>
    <m/>
    <m/>
    <n v="29"/>
    <n v="29"/>
    <n v="0"/>
    <n v="32.480000000000004"/>
    <n v="0"/>
    <n v="0"/>
    <n v="0"/>
    <n v="0"/>
    <n v="0"/>
    <n v="0"/>
    <n v="0"/>
    <n v="0"/>
    <n v="0"/>
    <n v="0"/>
    <n v="0"/>
    <n v="0"/>
    <n v="0"/>
    <n v="0"/>
    <n v="0"/>
    <n v="0"/>
    <n v="0"/>
    <n v="0"/>
    <n v="0"/>
    <n v="0"/>
    <n v="0"/>
    <n v="0"/>
    <n v="0"/>
    <n v="0"/>
    <n v="29"/>
    <n v="0"/>
    <n v="0"/>
    <n v="0"/>
    <n v="29"/>
    <n v="0"/>
    <n v="29"/>
    <n v="0"/>
    <n v="0"/>
    <n v="0"/>
    <n v="29"/>
    <n v="0"/>
    <n v="0"/>
    <m/>
    <m/>
    <m/>
    <m/>
    <m/>
    <m/>
    <m/>
    <m/>
    <m/>
    <m/>
    <m/>
    <m/>
    <m/>
    <m/>
    <m/>
    <m/>
    <m/>
    <m/>
    <m/>
    <m/>
    <m/>
    <m/>
    <m/>
    <m/>
    <m/>
    <m/>
    <m/>
    <m/>
    <m/>
    <m/>
    <m/>
    <m/>
    <m/>
    <m/>
  </r>
  <r>
    <n v="742"/>
    <d v="2025-02-17T00:00:00"/>
    <s v="ZBTF"/>
    <n v="9518527449"/>
    <n v="6"/>
    <s v="9518527449-6"/>
    <m/>
    <s v="No Priority"/>
    <s v="Released orders"/>
    <x v="1"/>
    <x v="9"/>
    <s v="2000-BPRS"/>
    <m/>
    <x v="1"/>
    <m/>
    <m/>
    <m/>
    <m/>
    <s v="YESHWANTHPURA"/>
    <m/>
    <n v="650742"/>
    <s v="Angul Cold Rolling Mill"/>
    <n v="2150942"/>
    <s v="CRCA COIL SA1008 TU98 1.600X1250"/>
    <s v=" "/>
    <s v=""/>
    <n v="10"/>
    <n v="27"/>
    <s v="Wider"/>
    <s v="C01"/>
    <s v="SA1008"/>
    <s v="TU98"/>
    <n v="1.6"/>
    <n v="1250"/>
    <n v="0"/>
    <n v="290"/>
    <n v="0"/>
    <n v="290"/>
    <n v="290"/>
    <n v="0"/>
    <n v="290"/>
    <m/>
    <m/>
    <n v="290"/>
    <n v="290"/>
    <n v="0"/>
    <n v="324.8"/>
    <n v="0"/>
    <n v="0"/>
    <n v="0"/>
    <n v="0"/>
    <n v="0"/>
    <n v="0"/>
    <n v="0"/>
    <n v="0"/>
    <n v="0"/>
    <n v="0"/>
    <n v="0"/>
    <n v="0"/>
    <n v="0"/>
    <n v="0"/>
    <n v="0"/>
    <n v="0"/>
    <n v="0"/>
    <n v="0"/>
    <n v="0"/>
    <n v="0"/>
    <n v="0"/>
    <n v="0"/>
    <n v="0"/>
    <n v="0"/>
    <n v="0"/>
    <n v="0"/>
    <n v="0"/>
    <n v="0"/>
    <n v="0"/>
    <n v="0"/>
    <n v="0"/>
    <n v="0"/>
    <n v="0"/>
    <n v="0"/>
    <n v="0"/>
    <n v="0"/>
    <n v="0"/>
    <m/>
    <m/>
    <m/>
    <m/>
    <m/>
    <m/>
    <m/>
    <m/>
    <m/>
    <m/>
    <m/>
    <m/>
    <m/>
    <m/>
    <m/>
    <m/>
    <m/>
    <m/>
    <m/>
    <m/>
    <m/>
    <m/>
    <m/>
    <m/>
    <m/>
    <m/>
    <m/>
    <m/>
    <m/>
    <m/>
    <m/>
    <m/>
    <m/>
    <m/>
  </r>
  <r>
    <n v="742"/>
    <d v="2025-02-17T00:00:00"/>
    <s v="ZBTF"/>
    <n v="9518527449"/>
    <n v="7"/>
    <s v="9518527449-7"/>
    <m/>
    <s v="No Priority"/>
    <s v="Released orders"/>
    <x v="1"/>
    <x v="9"/>
    <s v="2000-BPRS"/>
    <m/>
    <x v="1"/>
    <m/>
    <m/>
    <m/>
    <m/>
    <s v="YESHWANTHPURA"/>
    <m/>
    <n v="650742"/>
    <s v="Angul Cold Rolling Mill"/>
    <n v="2150943"/>
    <s v="CRCA COIL SA1008 TU98 1.900X1250"/>
    <s v=" "/>
    <s v=""/>
    <n v="10"/>
    <n v="27"/>
    <s v="Wider"/>
    <s v="C01"/>
    <s v="SA1008"/>
    <s v="TU98"/>
    <n v="1.9"/>
    <n v="1250"/>
    <n v="0"/>
    <n v="145"/>
    <n v="0"/>
    <n v="145"/>
    <n v="145"/>
    <n v="0"/>
    <n v="145"/>
    <m/>
    <m/>
    <n v="145"/>
    <n v="145"/>
    <n v="0"/>
    <n v="162.4"/>
    <n v="0"/>
    <n v="0"/>
    <n v="0"/>
    <n v="0"/>
    <n v="0"/>
    <n v="0"/>
    <n v="0"/>
    <n v="0"/>
    <n v="0"/>
    <n v="0"/>
    <n v="0"/>
    <n v="0"/>
    <n v="0"/>
    <n v="0"/>
    <n v="0"/>
    <n v="0"/>
    <n v="0"/>
    <n v="0"/>
    <n v="0"/>
    <n v="0"/>
    <n v="0"/>
    <n v="0"/>
    <n v="0"/>
    <n v="0"/>
    <n v="0"/>
    <n v="0"/>
    <n v="0"/>
    <n v="0"/>
    <n v="0"/>
    <n v="0"/>
    <n v="0"/>
    <n v="0"/>
    <n v="0"/>
    <n v="0"/>
    <n v="0"/>
    <n v="0"/>
    <n v="0"/>
    <m/>
    <m/>
    <m/>
    <m/>
    <m/>
    <m/>
    <m/>
    <m/>
    <m/>
    <m/>
    <m/>
    <m/>
    <m/>
    <m/>
    <m/>
    <m/>
    <m/>
    <m/>
    <m/>
    <m/>
    <m/>
    <m/>
    <m/>
    <m/>
    <m/>
    <m/>
    <m/>
    <m/>
    <m/>
    <m/>
    <m/>
    <m/>
    <m/>
    <m/>
  </r>
  <r>
    <n v="742"/>
    <d v="2025-02-17T00:00:00"/>
    <s v="ZBTF"/>
    <n v="9518527449"/>
    <n v="8"/>
    <s v="9518527449-8"/>
    <m/>
    <s v="Mar'25"/>
    <s v="Released orders"/>
    <x v="1"/>
    <x v="9"/>
    <s v="2000-BPRS"/>
    <m/>
    <x v="0"/>
    <m/>
    <m/>
    <m/>
    <m/>
    <s v="YESHWANTHPURA"/>
    <m/>
    <n v="650742"/>
    <s v="Angul Cold Rolling Mill"/>
    <n v="2279476"/>
    <s v="CRCA COIL TSBHSQ TU99 1.400X1270"/>
    <s v=" "/>
    <s v=""/>
    <n v="10"/>
    <n v="27"/>
    <s v="Wider"/>
    <s v="C01"/>
    <s v="TSBHSQ"/>
    <s v="TU99"/>
    <n v="1.4"/>
    <n v="1270"/>
    <n v="0"/>
    <n v="116"/>
    <n v="0"/>
    <n v="116"/>
    <n v="116"/>
    <n v="0"/>
    <n v="116"/>
    <n v="55"/>
    <m/>
    <n v="116"/>
    <n v="116"/>
    <n v="0"/>
    <n v="129.92000000000002"/>
    <n v="0"/>
    <n v="0"/>
    <n v="0"/>
    <n v="0"/>
    <n v="0"/>
    <n v="0"/>
    <n v="0"/>
    <n v="0"/>
    <n v="0"/>
    <n v="0"/>
    <n v="0"/>
    <n v="0"/>
    <n v="0"/>
    <n v="0"/>
    <n v="0"/>
    <n v="0"/>
    <n v="0"/>
    <n v="0"/>
    <n v="0"/>
    <n v="0"/>
    <n v="0"/>
    <n v="0"/>
    <n v="0"/>
    <n v="0"/>
    <n v="116"/>
    <n v="0"/>
    <n v="0"/>
    <n v="0"/>
    <n v="116"/>
    <n v="0"/>
    <n v="116"/>
    <n v="0"/>
    <n v="0"/>
    <n v="0"/>
    <n v="116"/>
    <n v="0"/>
    <n v="0"/>
    <m/>
    <m/>
    <m/>
    <m/>
    <m/>
    <m/>
    <m/>
    <m/>
    <m/>
    <m/>
    <m/>
    <m/>
    <m/>
    <m/>
    <m/>
    <m/>
    <m/>
    <m/>
    <m/>
    <m/>
    <m/>
    <m/>
    <m/>
    <m/>
    <m/>
    <m/>
    <m/>
    <m/>
    <m/>
    <m/>
    <m/>
    <m/>
    <m/>
    <m/>
  </r>
  <r>
    <n v="742"/>
    <d v="2025-02-17T00:00:00"/>
    <s v="ZBTF"/>
    <n v="9518527449"/>
    <n v="9"/>
    <s v="9518527449-9"/>
    <m/>
    <s v="Mar'25"/>
    <s v="Released orders"/>
    <x v="1"/>
    <x v="9"/>
    <s v="2000-BPRS"/>
    <m/>
    <x v="0"/>
    <m/>
    <m/>
    <m/>
    <m/>
    <s v="YESHWANTHPURA"/>
    <m/>
    <n v="650742"/>
    <s v="Angul Cold Rolling Mill"/>
    <n v="2279503"/>
    <s v="CRCA COIL TSBHSQ TU99 1.600X1270"/>
    <s v=" "/>
    <s v=""/>
    <n v="10"/>
    <n v="27"/>
    <s v="Wider"/>
    <s v="C01"/>
    <s v="TSBHSQ"/>
    <s v="TU99"/>
    <n v="1.6"/>
    <n v="1270"/>
    <n v="0"/>
    <n v="116"/>
    <n v="0"/>
    <n v="116"/>
    <n v="116"/>
    <n v="0"/>
    <n v="116"/>
    <m/>
    <m/>
    <n v="116"/>
    <n v="116"/>
    <n v="0"/>
    <n v="129.92000000000002"/>
    <n v="0"/>
    <n v="0"/>
    <n v="0"/>
    <n v="0"/>
    <n v="0"/>
    <n v="0"/>
    <n v="0"/>
    <n v="0"/>
    <n v="0"/>
    <n v="0"/>
    <n v="0"/>
    <n v="0"/>
    <n v="0"/>
    <n v="0"/>
    <n v="0"/>
    <n v="0"/>
    <n v="0"/>
    <n v="0"/>
    <n v="0"/>
    <n v="0"/>
    <n v="0"/>
    <n v="0"/>
    <n v="0"/>
    <n v="0"/>
    <n v="116"/>
    <n v="0"/>
    <n v="0"/>
    <n v="0"/>
    <n v="116"/>
    <n v="0"/>
    <n v="116"/>
    <n v="0"/>
    <n v="0"/>
    <n v="0"/>
    <n v="116"/>
    <n v="0"/>
    <n v="0"/>
    <m/>
    <m/>
    <m/>
    <m/>
    <m/>
    <m/>
    <m/>
    <m/>
    <m/>
    <m/>
    <m/>
    <m/>
    <m/>
    <m/>
    <m/>
    <m/>
    <m/>
    <m/>
    <m/>
    <m/>
    <m/>
    <m/>
    <m/>
    <m/>
    <m/>
    <m/>
    <m/>
    <m/>
    <m/>
    <m/>
    <m/>
    <m/>
    <m/>
    <m/>
  </r>
  <r>
    <n v="742"/>
    <d v="2025-02-17T00:00:00"/>
    <s v="ZBTF"/>
    <n v="9518527449"/>
    <n v="10"/>
    <s v="9518527449-10"/>
    <m/>
    <s v="Mar'25"/>
    <s v="Released orders"/>
    <x v="1"/>
    <x v="9"/>
    <s v="2000-BPRS"/>
    <m/>
    <x v="0"/>
    <m/>
    <m/>
    <m/>
    <m/>
    <s v="YESHWANTHPURA"/>
    <m/>
    <n v="650742"/>
    <s v="Angul Cold Rolling Mill"/>
    <n v="2150942"/>
    <s v="CRCA COIL SA1008 TU98 1.600X1250"/>
    <s v=" "/>
    <s v=""/>
    <n v="10"/>
    <n v="27"/>
    <s v="Wider"/>
    <s v="C01"/>
    <s v="SA1008"/>
    <s v="TU98"/>
    <n v="1.6"/>
    <n v="1250"/>
    <n v="0"/>
    <n v="145"/>
    <n v="0"/>
    <n v="145"/>
    <n v="145"/>
    <n v="105.95"/>
    <n v="39.049999999999997"/>
    <m/>
    <n v="0"/>
    <n v="145"/>
    <n v="145"/>
    <n v="0"/>
    <n v="162.4"/>
    <n v="0"/>
    <n v="0"/>
    <n v="0"/>
    <n v="0"/>
    <n v="0"/>
    <n v="0"/>
    <n v="0"/>
    <n v="0"/>
    <n v="0"/>
    <n v="0"/>
    <n v="0"/>
    <n v="0"/>
    <n v="0"/>
    <n v="0"/>
    <n v="0"/>
    <n v="0"/>
    <n v="0"/>
    <n v="0"/>
    <n v="0"/>
    <n v="0"/>
    <n v="0"/>
    <n v="0"/>
    <n v="105.95"/>
    <n v="0"/>
    <n v="145"/>
    <n v="0"/>
    <n v="0"/>
    <n v="0"/>
    <n v="145"/>
    <n v="0"/>
    <n v="145"/>
    <n v="0"/>
    <n v="0"/>
    <n v="0"/>
    <n v="145"/>
    <n v="0"/>
    <n v="0"/>
    <m/>
    <m/>
    <m/>
    <m/>
    <m/>
    <m/>
    <m/>
    <m/>
    <m/>
    <m/>
    <m/>
    <m/>
    <m/>
    <m/>
    <m/>
    <m/>
    <m/>
    <m/>
    <m/>
    <m/>
    <m/>
    <m/>
    <m/>
    <m/>
    <m/>
    <m/>
    <m/>
    <m/>
    <m/>
    <m/>
    <m/>
    <m/>
    <m/>
    <m/>
  </r>
  <r>
    <n v="742"/>
    <d v="2025-02-06T00:00:00"/>
    <s v="ZBTO"/>
    <n v="9518497626"/>
    <n v="10"/>
    <s v="9518497626-10"/>
    <m/>
    <s v="Mar'25"/>
    <s v="Released orders"/>
    <x v="1"/>
    <x v="1"/>
    <s v="2000-BPRS"/>
    <m/>
    <x v="0"/>
    <s v="Mar"/>
    <m/>
    <m/>
    <m/>
    <s v="VISHAKHAPATNAM"/>
    <m/>
    <n v="946077"/>
    <s v="SITARAM IRON AND STEEL PVT LTD"/>
    <n v="3240771"/>
    <s v="CRCA SHEET TSBCRC SR15 0.600X900X2440"/>
    <s v=" "/>
    <s v=""/>
    <n v="0"/>
    <n v="0"/>
    <s v="Narrow"/>
    <s v="C06"/>
    <s v="TSBCRC"/>
    <s v="SR15"/>
    <n v="0.6"/>
    <n v="900"/>
    <n v="2440"/>
    <n v="21"/>
    <n v="0"/>
    <n v="21"/>
    <n v="21"/>
    <n v="0"/>
    <n v="21"/>
    <n v="21"/>
    <m/>
    <n v="21"/>
    <n v="21"/>
    <n v="0"/>
    <n v="23.520000000000003"/>
    <n v="0"/>
    <n v="0"/>
    <n v="0"/>
    <n v="0"/>
    <n v="0"/>
    <n v="0"/>
    <n v="0"/>
    <n v="0"/>
    <n v="0"/>
    <n v="0"/>
    <n v="0"/>
    <n v="0"/>
    <n v="0"/>
    <n v="0"/>
    <n v="0"/>
    <n v="0"/>
    <n v="0"/>
    <n v="0"/>
    <n v="0"/>
    <n v="0"/>
    <n v="0"/>
    <n v="0"/>
    <n v="0"/>
    <n v="0"/>
    <n v="21"/>
    <n v="0"/>
    <n v="0"/>
    <n v="21"/>
    <n v="0"/>
    <n v="0"/>
    <n v="21"/>
    <n v="0"/>
    <n v="0"/>
    <n v="21"/>
    <n v="0"/>
    <n v="0"/>
    <n v="0"/>
    <m/>
    <m/>
    <m/>
    <m/>
    <m/>
    <m/>
    <m/>
    <m/>
    <m/>
    <m/>
    <m/>
    <m/>
    <m/>
    <m/>
    <m/>
    <m/>
    <m/>
    <m/>
    <m/>
    <m/>
    <m/>
    <m/>
    <m/>
    <m/>
    <m/>
    <m/>
    <m/>
    <m/>
    <m/>
    <m/>
    <m/>
    <m/>
    <m/>
    <m/>
  </r>
  <r>
    <n v="742"/>
    <d v="2025-01-13T00:00:00"/>
    <s v="ZBTO"/>
    <n v="9518425909"/>
    <n v="11"/>
    <s v="9518425909-11"/>
    <m/>
    <s v="Mar'25"/>
    <s v="Released orders"/>
    <x v="1"/>
    <x v="1"/>
    <s v="2000-BPRS"/>
    <m/>
    <x v="0"/>
    <s v="Mar"/>
    <m/>
    <m/>
    <m/>
    <s v="VISHAKHAPATNAM"/>
    <m/>
    <n v="946077"/>
    <s v="SITARAM IRON AND STEEL PVT LTD"/>
    <n v="3240776"/>
    <s v="CRCA SHEET TSBCRC SR15 0.600X1000X2440"/>
    <s v=" "/>
    <s v=""/>
    <n v="0"/>
    <n v="0"/>
    <s v="Narrow"/>
    <s v="C06"/>
    <s v="TSBCRC"/>
    <s v="SR15"/>
    <n v="0.6"/>
    <n v="1000"/>
    <n v="2440"/>
    <n v="48"/>
    <n v="0"/>
    <n v="48"/>
    <n v="48"/>
    <n v="0"/>
    <n v="48"/>
    <m/>
    <m/>
    <n v="48"/>
    <n v="48"/>
    <n v="0"/>
    <n v="53.760000000000005"/>
    <n v="0"/>
    <n v="0"/>
    <n v="0"/>
    <n v="0"/>
    <n v="0"/>
    <n v="0"/>
    <n v="0"/>
    <n v="0"/>
    <n v="0"/>
    <n v="0"/>
    <n v="0"/>
    <n v="0"/>
    <n v="0"/>
    <n v="0"/>
    <n v="0"/>
    <n v="0"/>
    <n v="0"/>
    <n v="0"/>
    <n v="0"/>
    <n v="0"/>
    <n v="0"/>
    <n v="0"/>
    <n v="0"/>
    <n v="0"/>
    <n v="48"/>
    <n v="0"/>
    <n v="0"/>
    <n v="0"/>
    <n v="48"/>
    <n v="0"/>
    <n v="48"/>
    <n v="0"/>
    <n v="0"/>
    <n v="0"/>
    <n v="48"/>
    <n v="0"/>
    <n v="0"/>
    <m/>
    <m/>
    <m/>
    <m/>
    <m/>
    <m/>
    <m/>
    <m/>
    <m/>
    <m/>
    <m/>
    <m/>
    <m/>
    <m/>
    <m/>
    <m/>
    <m/>
    <m/>
    <m/>
    <m/>
    <m/>
    <m/>
    <m/>
    <m/>
    <m/>
    <m/>
    <m/>
    <m/>
    <m/>
    <m/>
    <m/>
    <m/>
    <m/>
    <m/>
  </r>
  <r>
    <n v="742"/>
    <d v="2025-02-14T00:00:00"/>
    <s v="ZBTO"/>
    <n v="9518520213"/>
    <n v="12"/>
    <s v="9518520213-12"/>
    <m/>
    <s v="Mar'25"/>
    <s v="Released orders"/>
    <x v="1"/>
    <x v="1"/>
    <s v="2000-BPRS"/>
    <m/>
    <x v="0"/>
    <s v="Mar"/>
    <m/>
    <m/>
    <m/>
    <s v="PURNIA"/>
    <m/>
    <n v="103227"/>
    <s v="BMW VENTURES LIMITED"/>
    <n v="3240778"/>
    <s v="CRCA SHEET TSBCRC SR15 0.600X1000X2500"/>
    <s v=" "/>
    <s v=""/>
    <n v="0"/>
    <n v="0"/>
    <s v="Narrow"/>
    <s v="C06"/>
    <s v="TSBCRC"/>
    <s v="SR15"/>
    <n v="0.6"/>
    <n v="1000"/>
    <n v="2500"/>
    <n v="24"/>
    <n v="0"/>
    <n v="24"/>
    <n v="24"/>
    <n v="0"/>
    <n v="24"/>
    <m/>
    <m/>
    <n v="24"/>
    <n v="24"/>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90750"/>
    <n v="8"/>
    <s v="9518490750-8"/>
    <m/>
    <s v="Mar'25"/>
    <s v="Released orders"/>
    <x v="1"/>
    <x v="1"/>
    <s v="2000-BPRS"/>
    <m/>
    <x v="0"/>
    <s v="Mar"/>
    <m/>
    <m/>
    <m/>
    <s v="TANGI"/>
    <m/>
    <n v="117061"/>
    <s v="BHARTIA  DISTRIBUTORS PVT. LTD."/>
    <n v="3240818"/>
    <s v="CRCA SHEET TSBCRC SR15 0.900X1000X2500"/>
    <s v=" "/>
    <s v=""/>
    <n v="0.1"/>
    <n v="5"/>
    <s v="Narrow"/>
    <s v="C06"/>
    <s v="TSBCRC"/>
    <s v="SR15"/>
    <n v="0.9"/>
    <n v="1000"/>
    <n v="2500"/>
    <n v="75"/>
    <n v="0"/>
    <n v="75"/>
    <n v="75"/>
    <n v="0"/>
    <n v="75"/>
    <m/>
    <m/>
    <n v="75"/>
    <n v="75"/>
    <n v="0"/>
    <n v="84.000000000000014"/>
    <n v="0"/>
    <n v="0"/>
    <n v="0"/>
    <n v="0"/>
    <n v="0"/>
    <n v="0"/>
    <n v="0"/>
    <n v="0"/>
    <n v="0"/>
    <n v="0"/>
    <n v="0"/>
    <n v="0"/>
    <n v="0"/>
    <n v="0"/>
    <n v="0"/>
    <n v="0"/>
    <n v="0"/>
    <n v="0"/>
    <n v="0"/>
    <n v="0"/>
    <n v="0"/>
    <n v="0"/>
    <n v="0"/>
    <n v="0"/>
    <n v="75"/>
    <n v="0"/>
    <n v="0"/>
    <n v="0"/>
    <n v="75"/>
    <n v="0"/>
    <n v="75"/>
    <n v="0"/>
    <n v="0"/>
    <n v="0"/>
    <n v="75"/>
    <n v="0"/>
    <n v="0"/>
    <m/>
    <m/>
    <m/>
    <m/>
    <m/>
    <m/>
    <m/>
    <m/>
    <m/>
    <m/>
    <m/>
    <m/>
    <m/>
    <m/>
    <m/>
    <m/>
    <m/>
    <m/>
    <m/>
    <m/>
    <m/>
    <m/>
    <m/>
    <m/>
    <m/>
    <m/>
    <m/>
    <m/>
    <m/>
    <m/>
    <m/>
    <m/>
    <m/>
    <m/>
  </r>
  <r>
    <n v="742"/>
    <d v="2025-01-13T00:00:00"/>
    <s v="ZBTO"/>
    <n v="9518425909"/>
    <n v="12"/>
    <s v="9518425909-12"/>
    <m/>
    <s v="Mar'25"/>
    <s v="Released orders"/>
    <x v="1"/>
    <x v="1"/>
    <s v="2000-BPRS"/>
    <m/>
    <x v="0"/>
    <s v="Mar"/>
    <m/>
    <m/>
    <m/>
    <s v="VISHAKHAPATNAM"/>
    <m/>
    <n v="946077"/>
    <s v="SITARAM IRON AND STEEL PVT LTD"/>
    <n v="3240780"/>
    <s v="CRCA SHEET TSBCRC SR15 0.600X1120X2440"/>
    <s v=" "/>
    <s v=""/>
    <n v="0"/>
    <n v="0"/>
    <s v="Narrow"/>
    <s v="C06"/>
    <s v="TSBCRC"/>
    <s v="SR15"/>
    <n v="0.6"/>
    <n v="1120"/>
    <n v="2440"/>
    <n v="21"/>
    <n v="0"/>
    <n v="21"/>
    <n v="21"/>
    <n v="0"/>
    <n v="21"/>
    <m/>
    <m/>
    <n v="21"/>
    <n v="21"/>
    <n v="0"/>
    <n v="23.520000000000003"/>
    <n v="0"/>
    <n v="0"/>
    <n v="0"/>
    <n v="0"/>
    <n v="0"/>
    <n v="0"/>
    <n v="0"/>
    <n v="0"/>
    <n v="0"/>
    <n v="0"/>
    <n v="0"/>
    <n v="0"/>
    <n v="0"/>
    <n v="0"/>
    <n v="0"/>
    <n v="0"/>
    <n v="0"/>
    <n v="0"/>
    <n v="0"/>
    <n v="0"/>
    <n v="0"/>
    <n v="0"/>
    <n v="0"/>
    <n v="0"/>
    <n v="21"/>
    <n v="0"/>
    <n v="0"/>
    <n v="0"/>
    <n v="21"/>
    <n v="0"/>
    <n v="21"/>
    <n v="0"/>
    <n v="0"/>
    <n v="0"/>
    <n v="21"/>
    <n v="0"/>
    <n v="0"/>
    <m/>
    <m/>
    <m/>
    <m/>
    <m/>
    <m/>
    <m/>
    <m/>
    <m/>
    <m/>
    <m/>
    <m/>
    <m/>
    <m/>
    <m/>
    <m/>
    <m/>
    <m/>
    <m/>
    <m/>
    <m/>
    <m/>
    <m/>
    <m/>
    <m/>
    <m/>
    <m/>
    <m/>
    <m/>
    <m/>
    <m/>
    <m/>
    <m/>
    <m/>
  </r>
  <r>
    <n v="742"/>
    <d v="2025-02-14T00:00:00"/>
    <s v="ZBTO"/>
    <n v="9518519534"/>
    <n v="1"/>
    <s v="9518519534-1"/>
    <m/>
    <s v="No Priority"/>
    <s v="Released orders"/>
    <x v="0"/>
    <x v="0"/>
    <s v="2000-BPRS"/>
    <m/>
    <x v="1"/>
    <m/>
    <m/>
    <m/>
    <m/>
    <s v="BOMBAY"/>
    <m/>
    <n v="932086"/>
    <s v="ANM ISPAT PRIVATE LIMITED"/>
    <n v="1210083"/>
    <s v="HR COILS-PO IS 1079 HR2 2X1250"/>
    <s v=" "/>
    <s v=""/>
    <n v="16"/>
    <n v="32"/>
    <s v="Wider"/>
    <n v="768"/>
    <s v="THR099"/>
    <s v="HR99"/>
    <n v="2"/>
    <n v="1250"/>
    <n v="0"/>
    <n v="50"/>
    <n v="0"/>
    <n v="50"/>
    <n v="50"/>
    <n v="0"/>
    <n v="50"/>
    <n v="50"/>
    <n v="50"/>
    <n v="0"/>
    <n v="50"/>
    <n v="0"/>
    <n v="56.000000000000007"/>
    <n v="0"/>
    <n v="0"/>
    <n v="0"/>
    <n v="0"/>
    <n v="0"/>
    <n v="0"/>
    <n v="0"/>
    <n v="0"/>
    <n v="0"/>
    <n v="0"/>
    <n v="0"/>
    <n v="0"/>
    <n v="0"/>
    <n v="0"/>
    <n v="0"/>
    <n v="0"/>
    <n v="0"/>
    <n v="0"/>
    <n v="0"/>
    <n v="0"/>
    <n v="0"/>
    <n v="50"/>
    <n v="-50"/>
    <n v="0"/>
    <n v="0"/>
    <n v="0"/>
    <n v="0"/>
    <n v="0"/>
    <n v="0"/>
    <n v="0"/>
    <n v="0"/>
    <n v="0"/>
    <n v="0"/>
    <n v="0"/>
    <n v="0"/>
    <n v="0"/>
    <n v="0"/>
    <m/>
    <m/>
    <m/>
    <m/>
    <m/>
    <m/>
    <m/>
    <m/>
    <m/>
    <m/>
    <m/>
    <m/>
    <m/>
    <m/>
    <m/>
    <m/>
    <m/>
    <m/>
    <m/>
    <m/>
    <m/>
    <m/>
    <m/>
    <m/>
    <m/>
    <m/>
    <m/>
    <m/>
    <m/>
    <m/>
    <m/>
    <m/>
    <m/>
    <m/>
  </r>
  <r>
    <n v="742"/>
    <d v="2025-02-14T00:00:00"/>
    <s v="ZBTO"/>
    <n v="9518519534"/>
    <n v="2"/>
    <s v="9518519534-2"/>
    <m/>
    <s v="Mar'25"/>
    <s v="Released orders"/>
    <x v="0"/>
    <x v="0"/>
    <s v="2000-BPRS"/>
    <m/>
    <x v="0"/>
    <m/>
    <m/>
    <m/>
    <m/>
    <s v="BOMBAY"/>
    <m/>
    <n v="932086"/>
    <s v="ANM ISPAT PRIVATE LIMITED"/>
    <n v="1250221"/>
    <s v="HR COILS-PO IS 1079 HR2 2.50X1250"/>
    <s v=" "/>
    <s v=""/>
    <n v="16"/>
    <n v="32"/>
    <s v="Wider"/>
    <n v="768"/>
    <s v="THR099"/>
    <s v="HR99"/>
    <n v="2.5"/>
    <n v="1250"/>
    <n v="0"/>
    <n v="25"/>
    <n v="0"/>
    <n v="25"/>
    <n v="25"/>
    <n v="0"/>
    <n v="25"/>
    <n v="25"/>
    <m/>
    <n v="25"/>
    <n v="25"/>
    <n v="0"/>
    <n v="28.000000000000004"/>
    <n v="0"/>
    <n v="0"/>
    <n v="0"/>
    <n v="0"/>
    <n v="0"/>
    <n v="0"/>
    <n v="0"/>
    <n v="0"/>
    <n v="0"/>
    <n v="0"/>
    <n v="0"/>
    <n v="0"/>
    <n v="0"/>
    <n v="0"/>
    <n v="0"/>
    <n v="0"/>
    <n v="0"/>
    <n v="0"/>
    <n v="0"/>
    <n v="0"/>
    <n v="0"/>
    <n v="0"/>
    <n v="0"/>
    <n v="0"/>
    <n v="25"/>
    <n v="0"/>
    <n v="0"/>
    <n v="0"/>
    <n v="25"/>
    <n v="0"/>
    <n v="25"/>
    <n v="0"/>
    <n v="0"/>
    <n v="0"/>
    <n v="25"/>
    <n v="0"/>
    <n v="0"/>
    <m/>
    <m/>
    <m/>
    <m/>
    <m/>
    <m/>
    <m/>
    <m/>
    <m/>
    <m/>
    <m/>
    <m/>
    <m/>
    <m/>
    <m/>
    <m/>
    <m/>
    <m/>
    <m/>
    <m/>
    <m/>
    <m/>
    <m/>
    <m/>
    <m/>
    <m/>
    <m/>
    <m/>
    <m/>
    <m/>
    <m/>
    <m/>
    <m/>
    <m/>
  </r>
  <r>
    <n v="742"/>
    <d v="2025-02-14T00:00:00"/>
    <s v="ZBTO"/>
    <n v="9518519534"/>
    <n v="3"/>
    <s v="9518519534-3"/>
    <m/>
    <s v="Mar'25"/>
    <s v="Released orders"/>
    <x v="0"/>
    <x v="0"/>
    <s v="2000-BPRS"/>
    <m/>
    <x v="0"/>
    <m/>
    <m/>
    <m/>
    <m/>
    <s v="BOMBAY"/>
    <m/>
    <n v="932086"/>
    <s v="ANM ISPAT PRIVATE LIMITED"/>
    <n v="1252834"/>
    <s v="HR COILS-PO IS 1079 HR2 3.0X1250"/>
    <s v=" "/>
    <s v=""/>
    <n v="16"/>
    <n v="32"/>
    <s v="Wider"/>
    <n v="768"/>
    <s v="THR099"/>
    <s v="HR99"/>
    <n v="3"/>
    <n v="1250"/>
    <n v="0"/>
    <n v="25"/>
    <n v="0"/>
    <n v="25"/>
    <n v="25"/>
    <n v="0"/>
    <n v="25"/>
    <n v="25"/>
    <m/>
    <n v="25"/>
    <n v="25"/>
    <n v="0"/>
    <n v="28.000000000000004"/>
    <n v="0"/>
    <n v="0"/>
    <n v="0"/>
    <n v="0"/>
    <n v="0"/>
    <n v="0"/>
    <n v="0"/>
    <n v="0"/>
    <n v="0"/>
    <n v="0"/>
    <n v="0"/>
    <n v="0"/>
    <n v="0"/>
    <n v="0"/>
    <n v="0"/>
    <n v="0"/>
    <n v="0"/>
    <n v="0"/>
    <n v="0"/>
    <n v="0"/>
    <n v="0"/>
    <n v="0"/>
    <n v="0"/>
    <n v="0"/>
    <n v="25"/>
    <n v="0"/>
    <n v="0"/>
    <n v="0"/>
    <n v="25"/>
    <n v="0"/>
    <n v="25"/>
    <n v="0"/>
    <n v="0"/>
    <n v="0"/>
    <n v="25"/>
    <n v="0"/>
    <n v="0"/>
    <m/>
    <m/>
    <m/>
    <m/>
    <m/>
    <m/>
    <m/>
    <m/>
    <m/>
    <m/>
    <m/>
    <m/>
    <m/>
    <m/>
    <m/>
    <m/>
    <m/>
    <m/>
    <m/>
    <m/>
    <m/>
    <m/>
    <m/>
    <m/>
    <m/>
    <m/>
    <m/>
    <m/>
    <m/>
    <m/>
    <m/>
    <m/>
    <m/>
    <m/>
  </r>
  <r>
    <n v="743"/>
    <d v="2025-01-25T00:00:00"/>
    <s v="ZBTO"/>
    <n v="9518459972"/>
    <n v="1"/>
    <s v="9518459972-1"/>
    <m/>
    <s v="No Priority"/>
    <s v="Failed orders"/>
    <x v="2"/>
    <x v="2"/>
    <n v="2000"/>
    <m/>
    <x v="1"/>
    <m/>
    <m/>
    <s v="Delhi"/>
    <m/>
    <m/>
    <m/>
    <n v="183259"/>
    <s v="Rakesh Steel Inds.(P) Ltd."/>
    <n v="1851066"/>
    <s v="GP COIL SOFT-TATXGP-GLK1-0.25X900"/>
    <n v="80"/>
    <s v=""/>
    <m/>
    <m/>
    <s v="Narrow"/>
    <s v="C02"/>
    <s v="TATXGP"/>
    <s v="GLK1"/>
    <n v="0.25"/>
    <n v="900"/>
    <n v="0"/>
    <n v="21"/>
    <e v="#N/A"/>
    <n v="21"/>
    <n v="21"/>
    <e v="#N/A"/>
    <e v="#N/A"/>
    <m/>
    <m/>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2-19T00:00:00"/>
    <s v="ZBTO"/>
    <n v="9518532816"/>
    <n v="1"/>
    <s v="9518532816-1"/>
    <m/>
    <s v="Mar'25"/>
    <s v="Released orders"/>
    <x v="2"/>
    <x v="2"/>
    <n v="2000"/>
    <m/>
    <x v="0"/>
    <m/>
    <m/>
    <s v="Jharkhand"/>
    <m/>
    <m/>
    <m/>
    <n v="121328"/>
    <s v="R. S. BOKARO METAL (P) LTD."/>
    <n v="1191955"/>
    <s v="GP COIL SOFT-TATXGP-GK09-0.3X900"/>
    <n v="80"/>
    <s v=""/>
    <m/>
    <m/>
    <s v="Narrow"/>
    <s v="C02"/>
    <s v="TATXGP"/>
    <s v="GK09"/>
    <n v="0.3"/>
    <n v="900"/>
    <n v="0"/>
    <n v="63"/>
    <n v="0"/>
    <n v="63"/>
    <n v="63"/>
    <n v="0"/>
    <n v="63"/>
    <m/>
    <m/>
    <n v="63"/>
    <n v="63"/>
    <n v="0"/>
    <n v="70.56"/>
    <n v="0"/>
    <n v="0"/>
    <n v="0"/>
    <n v="0"/>
    <n v="0"/>
    <n v="0"/>
    <n v="0"/>
    <n v="0"/>
    <n v="0"/>
    <n v="0"/>
    <n v="0"/>
    <n v="0"/>
    <n v="0"/>
    <n v="0"/>
    <n v="0"/>
    <n v="0"/>
    <n v="0"/>
    <n v="0"/>
    <n v="0"/>
    <n v="0"/>
    <n v="0"/>
    <n v="0"/>
    <n v="0"/>
    <n v="0"/>
    <n v="63"/>
    <n v="0"/>
    <n v="63"/>
    <n v="0"/>
    <n v="0"/>
    <n v="0"/>
    <n v="63"/>
    <n v="0"/>
    <n v="63"/>
    <n v="0"/>
    <n v="0"/>
    <n v="0"/>
    <n v="0"/>
    <m/>
    <m/>
    <m/>
    <m/>
    <m/>
    <m/>
    <m/>
    <m/>
    <m/>
    <m/>
    <m/>
    <m/>
    <m/>
    <m/>
    <m/>
    <m/>
    <m/>
    <m/>
    <m/>
    <m/>
    <m/>
    <m/>
    <m/>
    <m/>
    <m/>
    <m/>
    <m/>
    <m/>
    <m/>
    <m/>
    <m/>
    <m/>
    <m/>
    <m/>
  </r>
  <r>
    <n v="743"/>
    <d v="2025-02-05T00:00:00"/>
    <s v="ZBTO"/>
    <n v="9518495889"/>
    <n v="1"/>
    <s v="9518495889-1"/>
    <m/>
    <s v="Mar'25"/>
    <s v="Released orders"/>
    <x v="2"/>
    <x v="2"/>
    <n v="2000"/>
    <m/>
    <x v="0"/>
    <m/>
    <m/>
    <s v="West Bengal"/>
    <m/>
    <m/>
    <m/>
    <n v="100922"/>
    <s v="BUBNA COMMERCIAL COMPANY"/>
    <n v="1191955"/>
    <s v="GP COIL SOFT-TATXGP-GK09-0.3X900"/>
    <s v=""/>
    <s v=""/>
    <m/>
    <m/>
    <s v="Narrow"/>
    <s v="C02"/>
    <s v="TATXGP"/>
    <s v="GK09"/>
    <n v="0.3"/>
    <n v="900"/>
    <n v="0"/>
    <n v="105"/>
    <n v="0"/>
    <n v="105"/>
    <n v="105"/>
    <n v="0"/>
    <n v="105"/>
    <m/>
    <m/>
    <n v="105"/>
    <n v="105"/>
    <n v="0"/>
    <n v="117.60000000000001"/>
    <n v="0"/>
    <n v="0"/>
    <n v="0"/>
    <n v="0"/>
    <n v="0"/>
    <n v="0"/>
    <n v="0"/>
    <n v="0"/>
    <n v="0"/>
    <n v="0"/>
    <n v="0"/>
    <n v="0"/>
    <n v="0"/>
    <n v="0"/>
    <n v="0"/>
    <n v="0"/>
    <n v="0"/>
    <n v="0"/>
    <n v="0"/>
    <n v="0"/>
    <n v="0"/>
    <n v="0"/>
    <n v="0"/>
    <n v="0"/>
    <n v="105"/>
    <n v="0"/>
    <n v="105"/>
    <n v="0"/>
    <n v="0"/>
    <n v="0"/>
    <n v="105"/>
    <n v="0"/>
    <n v="105"/>
    <n v="0"/>
    <n v="0"/>
    <n v="0"/>
    <n v="0"/>
    <m/>
    <m/>
    <m/>
    <m/>
    <m/>
    <m/>
    <m/>
    <m/>
    <m/>
    <m/>
    <m/>
    <m/>
    <m/>
    <m/>
    <m/>
    <m/>
    <m/>
    <m/>
    <m/>
    <m/>
    <m/>
    <m/>
    <m/>
    <m/>
    <m/>
    <m/>
    <m/>
    <m/>
    <m/>
    <m/>
    <m/>
    <m/>
    <m/>
    <m/>
  </r>
  <r>
    <n v="742"/>
    <d v="2025-02-14T00:00:00"/>
    <s v="ZBTO"/>
    <n v="9518519560"/>
    <n v="2"/>
    <s v="9518519560-2"/>
    <m/>
    <s v="Mar'25"/>
    <s v="Released orders"/>
    <x v="0"/>
    <x v="0"/>
    <s v="2000-BPRS"/>
    <m/>
    <x v="0"/>
    <m/>
    <m/>
    <m/>
    <m/>
    <s v="BOMBAY"/>
    <m/>
    <n v="932086"/>
    <s v="ANM ISPAT PRIVATE LIMITED"/>
    <n v="1179966"/>
    <s v="HR COILS-PO IS 10748 GR 1 2X1250"/>
    <s v=" "/>
    <s v=""/>
    <n v="16"/>
    <n v="32"/>
    <s v="Wider"/>
    <n v="768"/>
    <s v="I09497"/>
    <s v="HG01"/>
    <n v="2"/>
    <n v="1250"/>
    <n v="0"/>
    <n v="50"/>
    <n v="28.225000000000001"/>
    <n v="50"/>
    <n v="21.774999999999999"/>
    <n v="0"/>
    <n v="21.774999999999999"/>
    <m/>
    <m/>
    <n v="21.774999999999999"/>
    <n v="21.774999999999999"/>
    <n v="0"/>
    <n v="24.248000000000001"/>
    <n v="0"/>
    <n v="0"/>
    <n v="0"/>
    <n v="0"/>
    <n v="0"/>
    <n v="0"/>
    <n v="0"/>
    <n v="0"/>
    <n v="0"/>
    <n v="0"/>
    <n v="0"/>
    <n v="0"/>
    <n v="0"/>
    <n v="0"/>
    <n v="0"/>
    <n v="0"/>
    <n v="28.35"/>
    <n v="0"/>
    <n v="28.35"/>
    <n v="28.35"/>
    <n v="0"/>
    <n v="28.35"/>
    <n v="0"/>
    <n v="0"/>
    <n v="21.774999999999999"/>
    <n v="0"/>
    <n v="0"/>
    <n v="21.774999999999999"/>
    <n v="0"/>
    <n v="0"/>
    <n v="21.774999999999999"/>
    <n v="0"/>
    <n v="0"/>
    <n v="21.774999999999999"/>
    <n v="0"/>
    <n v="0"/>
    <n v="0"/>
    <m/>
    <m/>
    <m/>
    <m/>
    <m/>
    <m/>
    <m/>
    <m/>
    <m/>
    <m/>
    <m/>
    <m/>
    <m/>
    <m/>
    <m/>
    <m/>
    <m/>
    <m/>
    <m/>
    <m/>
    <m/>
    <m/>
    <m/>
    <m/>
    <m/>
    <m/>
    <m/>
    <m/>
    <m/>
    <m/>
    <m/>
    <m/>
    <m/>
    <m/>
  </r>
  <r>
    <n v="742"/>
    <d v="2025-02-17T00:00:00"/>
    <s v="ZBTO"/>
    <n v="9518524929"/>
    <n v="1"/>
    <s v="9518524929-1"/>
    <m/>
    <s v="Mar'25"/>
    <s v="Released orders"/>
    <x v="0"/>
    <x v="0"/>
    <s v="2000-BPRS"/>
    <m/>
    <x v="0"/>
    <m/>
    <m/>
    <m/>
    <m/>
    <s v="BOMBAY"/>
    <m/>
    <n v="163486"/>
    <s v="ROHIT &amp; COMPANY"/>
    <n v="3947393"/>
    <s v="HR COILS-PO I09497 4.50X1250"/>
    <s v=" "/>
    <s v=""/>
    <n v="16"/>
    <n v="32"/>
    <s v="Wider"/>
    <n v="768"/>
    <s v="I09497"/>
    <s v="HG01"/>
    <n v="4.5"/>
    <n v="1250"/>
    <n v="0"/>
    <n v="50"/>
    <n v="25.01"/>
    <n v="50"/>
    <n v="50"/>
    <n v="25.17"/>
    <n v="24.83"/>
    <m/>
    <n v="25.17"/>
    <n v="24.83"/>
    <n v="24.99"/>
    <n v="0"/>
    <n v="56.000000000000007"/>
    <n v="0"/>
    <n v="0"/>
    <n v="0"/>
    <n v="0"/>
    <n v="0"/>
    <n v="0"/>
    <n v="0"/>
    <n v="0"/>
    <n v="0"/>
    <n v="0"/>
    <n v="0"/>
    <n v="0"/>
    <n v="0"/>
    <n v="0"/>
    <n v="0"/>
    <n v="0"/>
    <n v="0"/>
    <n v="0"/>
    <n v="0"/>
    <n v="0"/>
    <n v="0"/>
    <n v="25.17"/>
    <n v="0"/>
    <n v="0"/>
    <n v="24.99"/>
    <n v="0"/>
    <n v="0"/>
    <n v="24.99"/>
    <n v="0"/>
    <n v="0"/>
    <n v="24.99"/>
    <n v="0"/>
    <n v="0"/>
    <n v="24.99"/>
    <n v="0"/>
    <n v="0"/>
    <n v="0"/>
    <m/>
    <m/>
    <m/>
    <m/>
    <m/>
    <m/>
    <m/>
    <m/>
    <m/>
    <m/>
    <m/>
    <m/>
    <m/>
    <m/>
    <m/>
    <m/>
    <m/>
    <m/>
    <m/>
    <m/>
    <m/>
    <m/>
    <m/>
    <m/>
    <m/>
    <m/>
    <m/>
    <m/>
    <m/>
    <m/>
    <m/>
    <m/>
    <m/>
    <m/>
  </r>
  <r>
    <n v="742"/>
    <d v="2025-02-17T00:00:00"/>
    <s v="ZBTO"/>
    <n v="9518524929"/>
    <n v="2"/>
    <s v="9518524929-2"/>
    <m/>
    <s v="No Priority"/>
    <s v="Released orders"/>
    <x v="0"/>
    <x v="0"/>
    <s v="2000-BPRS"/>
    <m/>
    <x v="1"/>
    <m/>
    <m/>
    <m/>
    <m/>
    <s v="BOMBAY"/>
    <m/>
    <n v="163486"/>
    <s v="ROHIT &amp; COMPANY"/>
    <n v="3947394"/>
    <s v="HR COILS-PO I09497 5X1250"/>
    <s v=" "/>
    <s v=""/>
    <n v="16"/>
    <n v="32"/>
    <s v="Wider"/>
    <n v="768"/>
    <s v="I09497"/>
    <s v="HG01"/>
    <n v="5"/>
    <n v="1250"/>
    <n v="0"/>
    <n v="100"/>
    <n v="93.79"/>
    <n v="100"/>
    <n v="100"/>
    <n v="94.44"/>
    <n v="0"/>
    <n v="28"/>
    <n v="94.44"/>
    <n v="0"/>
    <n v="6.21"/>
    <n v="0"/>
    <n v="112.00000000000001"/>
    <n v="0"/>
    <n v="0"/>
    <n v="0"/>
    <n v="0"/>
    <n v="0"/>
    <n v="0"/>
    <n v="0"/>
    <n v="0"/>
    <n v="0"/>
    <n v="0"/>
    <n v="0"/>
    <n v="0"/>
    <n v="0"/>
    <n v="0"/>
    <n v="0"/>
    <n v="0"/>
    <n v="0"/>
    <n v="0"/>
    <n v="0"/>
    <n v="0"/>
    <n v="0"/>
    <n v="94.44"/>
    <n v="0"/>
    <n v="0"/>
    <n v="0"/>
    <n v="0"/>
    <n v="0"/>
    <n v="0"/>
    <n v="0"/>
    <n v="0"/>
    <n v="0"/>
    <n v="0"/>
    <n v="0"/>
    <n v="0"/>
    <n v="0"/>
    <n v="0"/>
    <n v="0"/>
    <m/>
    <m/>
    <m/>
    <m/>
    <m/>
    <m/>
    <m/>
    <m/>
    <m/>
    <m/>
    <m/>
    <m/>
    <m/>
    <m/>
    <m/>
    <m/>
    <m/>
    <m/>
    <m/>
    <m/>
    <m/>
    <m/>
    <m/>
    <m/>
    <m/>
    <m/>
    <m/>
    <m/>
    <m/>
    <m/>
    <m/>
    <m/>
    <m/>
    <m/>
  </r>
  <r>
    <n v="742"/>
    <d v="2025-02-14T00:00:00"/>
    <s v="ZBTO"/>
    <n v="9518519621"/>
    <n v="1"/>
    <s v="9518519621-1"/>
    <m/>
    <s v="Mar'25"/>
    <s v="Released orders"/>
    <x v="0"/>
    <x v="0"/>
    <s v="2000-BPRS"/>
    <m/>
    <x v="0"/>
    <m/>
    <m/>
    <m/>
    <m/>
    <s v="BOMBAY"/>
    <m/>
    <n v="163486"/>
    <s v="ROHIT &amp; COMPANY"/>
    <n v="1179966"/>
    <s v="HR COILS-PO IS 10748 GR 1 2X1250"/>
    <s v=" "/>
    <s v=""/>
    <n v="16"/>
    <n v="32"/>
    <s v="Wider"/>
    <n v="768"/>
    <s v="I09497"/>
    <s v="HG01"/>
    <n v="2"/>
    <n v="1250"/>
    <n v="0"/>
    <n v="75"/>
    <n v="28.225000000000001"/>
    <n v="75"/>
    <n v="75"/>
    <n v="0"/>
    <n v="75"/>
    <m/>
    <m/>
    <n v="75"/>
    <n v="46.774999999999999"/>
    <n v="0"/>
    <n v="84.000000000000014"/>
    <n v="0"/>
    <n v="0"/>
    <n v="0"/>
    <n v="0"/>
    <n v="0"/>
    <n v="0"/>
    <n v="0"/>
    <n v="0"/>
    <n v="0"/>
    <n v="0"/>
    <n v="0"/>
    <n v="0"/>
    <n v="0"/>
    <n v="0"/>
    <n v="0"/>
    <n v="0"/>
    <n v="0"/>
    <n v="0"/>
    <n v="0"/>
    <n v="0"/>
    <n v="0"/>
    <n v="0"/>
    <n v="0"/>
    <n v="0"/>
    <n v="46.774999999999999"/>
    <n v="0"/>
    <n v="0"/>
    <n v="46.774999999999999"/>
    <n v="0"/>
    <n v="0"/>
    <n v="46.774999999999999"/>
    <n v="0"/>
    <n v="0"/>
    <n v="46.774999999999999"/>
    <n v="0"/>
    <n v="0"/>
    <n v="0"/>
    <m/>
    <m/>
    <m/>
    <m/>
    <m/>
    <m/>
    <m/>
    <m/>
    <m/>
    <m/>
    <m/>
    <m/>
    <m/>
    <m/>
    <m/>
    <m/>
    <m/>
    <m/>
    <m/>
    <m/>
    <m/>
    <m/>
    <m/>
    <m/>
    <m/>
    <m/>
    <m/>
    <m/>
    <m/>
    <m/>
    <m/>
    <m/>
    <m/>
    <m/>
  </r>
  <r>
    <n v="742"/>
    <d v="2025-02-14T00:00:00"/>
    <s v="ZBTO"/>
    <n v="9518519621"/>
    <n v="2"/>
    <s v="9518519621-2"/>
    <m/>
    <s v="No Priority"/>
    <s v="Released orders"/>
    <x v="0"/>
    <x v="0"/>
    <s v="2000-BPRS"/>
    <m/>
    <x v="1"/>
    <m/>
    <m/>
    <m/>
    <m/>
    <s v="BOMBAY"/>
    <m/>
    <n v="163486"/>
    <s v="ROHIT &amp; COMPANY"/>
    <n v="1179967"/>
    <s v="HR COILS-PO IS 10748 GR 1 2.50X1250"/>
    <s v=" "/>
    <s v=""/>
    <n v="16"/>
    <n v="32"/>
    <s v="Wider"/>
    <n v="768"/>
    <s v="I09497"/>
    <s v="HG01"/>
    <n v="2.5"/>
    <n v="1250"/>
    <n v="0"/>
    <n v="50"/>
    <n v="54.48"/>
    <n v="50"/>
    <n v="50"/>
    <n v="54.8"/>
    <n v="0"/>
    <m/>
    <n v="54.8"/>
    <n v="0"/>
    <n v="2.52"/>
    <n v="0"/>
    <n v="56.000000000000007"/>
    <n v="0"/>
    <n v="0"/>
    <n v="0"/>
    <n v="0"/>
    <n v="0"/>
    <n v="0"/>
    <n v="0"/>
    <n v="0"/>
    <n v="0"/>
    <n v="0"/>
    <n v="0"/>
    <n v="0"/>
    <n v="0"/>
    <n v="0"/>
    <n v="0"/>
    <n v="0"/>
    <n v="0"/>
    <n v="0"/>
    <n v="0"/>
    <n v="0"/>
    <n v="0"/>
    <n v="54.8"/>
    <n v="0"/>
    <n v="0"/>
    <n v="0"/>
    <n v="0"/>
    <n v="0"/>
    <n v="0"/>
    <n v="0"/>
    <n v="0"/>
    <n v="0"/>
    <n v="0"/>
    <n v="0"/>
    <n v="0"/>
    <n v="0"/>
    <n v="0"/>
    <n v="0"/>
    <m/>
    <m/>
    <m/>
    <m/>
    <m/>
    <m/>
    <m/>
    <m/>
    <m/>
    <m/>
    <m/>
    <m/>
    <m/>
    <m/>
    <m/>
    <m/>
    <m/>
    <m/>
    <m/>
    <m/>
    <m/>
    <m/>
    <m/>
    <m/>
    <m/>
    <m/>
    <m/>
    <m/>
    <m/>
    <m/>
    <m/>
    <m/>
    <m/>
    <m/>
  </r>
  <r>
    <n v="742"/>
    <d v="2025-02-14T00:00:00"/>
    <s v="ZBTO"/>
    <n v="9518519621"/>
    <n v="3"/>
    <s v="9518519621-3"/>
    <m/>
    <s v="Mar'25"/>
    <s v="Released orders"/>
    <x v="0"/>
    <x v="0"/>
    <s v="2000-BPRS"/>
    <m/>
    <x v="0"/>
    <m/>
    <m/>
    <m/>
    <m/>
    <s v="BOMBAY"/>
    <m/>
    <n v="163486"/>
    <s v="ROHIT &amp; COMPANY"/>
    <n v="1422306"/>
    <s v="HR COILS-PO IS 10748 GR 1 3X1250"/>
    <s v=" "/>
    <s v=""/>
    <n v="16"/>
    <n v="32"/>
    <s v="Wider"/>
    <n v="768"/>
    <s v="I09497"/>
    <s v="HG01"/>
    <n v="3"/>
    <n v="1250"/>
    <n v="0"/>
    <n v="100"/>
    <n v="73.16"/>
    <n v="100"/>
    <n v="100"/>
    <n v="73.66"/>
    <n v="26.34"/>
    <m/>
    <n v="73.66"/>
    <n v="26.340000000000003"/>
    <n v="26.84"/>
    <n v="0"/>
    <n v="112.00000000000001"/>
    <n v="0"/>
    <n v="0"/>
    <n v="0"/>
    <n v="0"/>
    <n v="0"/>
    <n v="0"/>
    <n v="0"/>
    <n v="0"/>
    <n v="0"/>
    <n v="0"/>
    <n v="0"/>
    <n v="0"/>
    <n v="0"/>
    <n v="0"/>
    <n v="0"/>
    <n v="0"/>
    <n v="0"/>
    <n v="0"/>
    <n v="0"/>
    <n v="0"/>
    <n v="0"/>
    <n v="73.66"/>
    <n v="0"/>
    <n v="0"/>
    <n v="26.84"/>
    <n v="0"/>
    <n v="0"/>
    <n v="26.84"/>
    <n v="0"/>
    <n v="0"/>
    <n v="26.84"/>
    <n v="0"/>
    <n v="0"/>
    <n v="26.84"/>
    <n v="0"/>
    <n v="0"/>
    <n v="0"/>
    <m/>
    <m/>
    <m/>
    <m/>
    <m/>
    <m/>
    <m/>
    <m/>
    <m/>
    <m/>
    <m/>
    <m/>
    <m/>
    <m/>
    <m/>
    <m/>
    <m/>
    <m/>
    <m/>
    <m/>
    <m/>
    <m/>
    <m/>
    <m/>
    <m/>
    <m/>
    <m/>
    <m/>
    <m/>
    <m/>
    <m/>
    <m/>
    <m/>
    <m/>
  </r>
  <r>
    <n v="742"/>
    <d v="2025-02-14T00:00:00"/>
    <s v="ZBTO"/>
    <n v="9518519621"/>
    <n v="4"/>
    <s v="9518519621-4"/>
    <m/>
    <s v="No Priority"/>
    <s v="Released orders"/>
    <x v="0"/>
    <x v="0"/>
    <s v="2000-BPRS"/>
    <m/>
    <x v="1"/>
    <m/>
    <m/>
    <m/>
    <m/>
    <s v="BOMBAY"/>
    <m/>
    <n v="163486"/>
    <s v="ROHIT &amp; COMPANY"/>
    <n v="3187348"/>
    <s v="HR COILS-PO I09497 4X1250"/>
    <s v=" "/>
    <s v=""/>
    <n v="16"/>
    <n v="32"/>
    <s v="Wider"/>
    <n v="768"/>
    <s v="I09497"/>
    <s v="HG01"/>
    <n v="4"/>
    <n v="1250"/>
    <n v="0"/>
    <n v="50"/>
    <n v="48.06"/>
    <n v="50"/>
    <n v="1.94"/>
    <n v="0"/>
    <n v="0"/>
    <m/>
    <m/>
    <n v="0"/>
    <n v="0"/>
    <n v="0"/>
    <n v="0"/>
    <n v="0"/>
    <n v="48.33"/>
    <n v="0"/>
    <n v="0"/>
    <n v="0"/>
    <n v="0"/>
    <n v="0"/>
    <n v="0"/>
    <n v="0"/>
    <n v="0"/>
    <n v="0"/>
    <n v="0"/>
    <n v="0"/>
    <n v="0"/>
    <n v="0"/>
    <n v="0"/>
    <n v="0"/>
    <n v="0"/>
    <n v="48.33"/>
    <n v="48.33"/>
    <n v="0"/>
    <n v="48.33"/>
    <n v="0"/>
    <n v="0"/>
    <n v="0"/>
    <n v="0"/>
    <n v="0"/>
    <n v="0"/>
    <n v="0"/>
    <n v="0"/>
    <n v="0"/>
    <n v="0"/>
    <n v="0"/>
    <n v="0"/>
    <n v="0"/>
    <n v="0"/>
    <n v="0"/>
    <m/>
    <m/>
    <m/>
    <m/>
    <m/>
    <m/>
    <m/>
    <m/>
    <m/>
    <m/>
    <m/>
    <m/>
    <m/>
    <m/>
    <m/>
    <m/>
    <m/>
    <m/>
    <m/>
    <m/>
    <m/>
    <m/>
    <m/>
    <m/>
    <m/>
    <m/>
    <m/>
    <m/>
    <m/>
    <m/>
    <m/>
    <m/>
    <m/>
    <m/>
  </r>
  <r>
    <n v="742"/>
    <d v="2025-02-17T00:00:00"/>
    <s v="ZBTF"/>
    <n v="9518526154"/>
    <n v="1"/>
    <s v="9518526154-1"/>
    <m/>
    <s v="Stocks"/>
    <s v="Released orders"/>
    <x v="5"/>
    <x v="11"/>
    <s v="2000-BPRS"/>
    <m/>
    <x v="0"/>
    <m/>
    <m/>
    <m/>
    <m/>
    <s v="KHOPOLI"/>
    <m/>
    <n v="650250"/>
    <s v="TATA STEEL LIMITED,"/>
    <n v="2306919"/>
    <s v="CRFH COIL TATFHC TR10 0.370X1235"/>
    <s v=" "/>
    <s v=""/>
    <n v="22"/>
    <n v="25"/>
    <s v="Wider"/>
    <s v="C09"/>
    <s v="TATFHC"/>
    <s v="TR10"/>
    <n v="0.37"/>
    <n v="1235"/>
    <n v="0"/>
    <n v="252"/>
    <n v="241.38"/>
    <n v="252"/>
    <n v="83.57"/>
    <n v="97.11"/>
    <n v="0"/>
    <m/>
    <n v="97.11"/>
    <n v="0"/>
    <n v="25.62"/>
    <n v="0"/>
    <n v="0"/>
    <n v="0"/>
    <n v="0"/>
    <n v="147.49"/>
    <n v="0.91"/>
    <n v="0"/>
    <n v="0"/>
    <n v="0"/>
    <n v="0"/>
    <n v="0"/>
    <n v="0"/>
    <n v="0"/>
    <n v="0"/>
    <n v="0"/>
    <n v="0"/>
    <n v="0"/>
    <n v="0"/>
    <n v="0"/>
    <n v="119.45"/>
    <n v="267.85000000000002"/>
    <n v="267.85000000000002"/>
    <n v="0"/>
    <n v="97.11"/>
    <n v="0"/>
    <n v="144.5"/>
    <n v="0"/>
    <n v="0"/>
    <n v="0"/>
    <n v="0"/>
    <n v="0"/>
    <n v="0"/>
    <n v="144.5"/>
    <n v="0"/>
    <n v="144.5"/>
    <n v="0"/>
    <n v="0"/>
    <n v="0"/>
    <n v="0"/>
    <m/>
    <m/>
    <m/>
    <m/>
    <m/>
    <m/>
    <m/>
    <m/>
    <m/>
    <m/>
    <m/>
    <m/>
    <m/>
    <m/>
    <m/>
    <m/>
    <m/>
    <m/>
    <m/>
    <m/>
    <m/>
    <m/>
    <m/>
    <m/>
    <m/>
    <m/>
    <m/>
    <m/>
    <m/>
    <m/>
    <m/>
    <m/>
    <m/>
    <m/>
  </r>
  <r>
    <n v="742"/>
    <d v="2025-02-17T00:00:00"/>
    <s v="ZBTF"/>
    <n v="9518526154"/>
    <n v="2"/>
    <s v="9518526154-2"/>
    <m/>
    <s v="Mar'25"/>
    <s v="Released orders"/>
    <x v="5"/>
    <x v="11"/>
    <s v="2000-BPRS"/>
    <m/>
    <x v="0"/>
    <m/>
    <m/>
    <m/>
    <m/>
    <s v="KHOPOLI"/>
    <m/>
    <n v="650250"/>
    <s v="TATA STEEL LIMITED,"/>
    <n v="2175550"/>
    <s v="CRFH COIL TATFHC TR10 0.470X1235"/>
    <s v=" "/>
    <s v=""/>
    <n v="22"/>
    <n v="25"/>
    <s v="Wider"/>
    <s v="C09"/>
    <s v="TATFHC"/>
    <s v="TR10"/>
    <n v="0.47"/>
    <n v="1235"/>
    <n v="0"/>
    <n v="280"/>
    <n v="242.52500000000001"/>
    <n v="280"/>
    <n v="37.475000000000001"/>
    <n v="0"/>
    <n v="37.475000000000001"/>
    <m/>
    <n v="0"/>
    <n v="37.475000000000001"/>
    <n v="37.475000000000001"/>
    <n v="0"/>
    <n v="41.971999999999994"/>
    <n v="0"/>
    <n v="0"/>
    <n v="0"/>
    <n v="0"/>
    <n v="0"/>
    <n v="0"/>
    <n v="0"/>
    <n v="0"/>
    <n v="0"/>
    <n v="0"/>
    <n v="0"/>
    <n v="0"/>
    <n v="0"/>
    <n v="0"/>
    <n v="0"/>
    <n v="0"/>
    <n v="0"/>
    <n v="242.52500000000001"/>
    <n v="242.52500000000001"/>
    <n v="242.52500000000001"/>
    <n v="0"/>
    <n v="242.52500000000001"/>
    <n v="0"/>
    <n v="48.275000000000006"/>
    <n v="37.475000000000001"/>
    <n v="0"/>
    <n v="0"/>
    <n v="0"/>
    <n v="0"/>
    <n v="37.475000000000001"/>
    <n v="85.75"/>
    <n v="0"/>
    <n v="0"/>
    <n v="0"/>
    <n v="0"/>
    <n v="85.75"/>
    <n v="0"/>
    <m/>
    <m/>
    <m/>
    <m/>
    <m/>
    <m/>
    <m/>
    <m/>
    <m/>
    <m/>
    <m/>
    <m/>
    <m/>
    <m/>
    <m/>
    <m/>
    <m/>
    <m/>
    <m/>
    <m/>
    <m/>
    <m/>
    <m/>
    <m/>
    <m/>
    <m/>
    <m/>
    <m/>
    <m/>
    <m/>
    <m/>
    <m/>
    <m/>
    <m/>
  </r>
  <r>
    <n v="742"/>
    <d v="2025-02-17T00:00:00"/>
    <s v="ZBTF"/>
    <n v="9518526154"/>
    <n v="3"/>
    <s v="9518526154-3"/>
    <m/>
    <s v="Stocks"/>
    <s v="Released orders"/>
    <x v="5"/>
    <x v="11"/>
    <s v="2000-BPRS"/>
    <m/>
    <x v="0"/>
    <m/>
    <m/>
    <m/>
    <m/>
    <s v="KHOPOLI"/>
    <m/>
    <n v="650250"/>
    <s v="TATA STEEL LIMITED,"/>
    <n v="3825819"/>
    <s v="CRFH COIL TATFHC TR10 0.570X1235"/>
    <s v=" "/>
    <s v=""/>
    <n v="22"/>
    <n v="25"/>
    <s v="Wider"/>
    <s v="C09"/>
    <s v="TATFHC"/>
    <s v="TR10"/>
    <n v="0.56999999999999995"/>
    <n v="1235"/>
    <n v="0"/>
    <n v="280"/>
    <n v="280.71499999999997"/>
    <n v="280"/>
    <n v="209.42"/>
    <n v="169.32"/>
    <n v="40.1"/>
    <m/>
    <n v="169.32"/>
    <n v="40.099999999999994"/>
    <n v="0"/>
    <n v="0"/>
    <n v="43.422399999999982"/>
    <n v="0"/>
    <n v="0"/>
    <n v="106.59"/>
    <n v="0"/>
    <n v="0"/>
    <n v="0"/>
    <n v="0"/>
    <n v="0"/>
    <n v="0"/>
    <n v="0"/>
    <n v="0"/>
    <n v="0"/>
    <n v="0"/>
    <n v="0"/>
    <n v="0"/>
    <n v="0"/>
    <n v="0"/>
    <n v="134.64000000000001"/>
    <n v="241.23000000000002"/>
    <n v="241.23000000000002"/>
    <n v="0"/>
    <n v="169.32"/>
    <n v="0"/>
    <n v="87.875"/>
    <n v="0"/>
    <n v="0"/>
    <n v="0"/>
    <n v="0"/>
    <n v="0"/>
    <n v="0"/>
    <n v="87.875"/>
    <n v="0"/>
    <n v="87.875"/>
    <n v="0"/>
    <n v="0"/>
    <n v="0"/>
    <n v="0"/>
    <m/>
    <m/>
    <m/>
    <m/>
    <m/>
    <m/>
    <m/>
    <m/>
    <m/>
    <m/>
    <m/>
    <m/>
    <m/>
    <m/>
    <m/>
    <m/>
    <m/>
    <m/>
    <m/>
    <m/>
    <m/>
    <m/>
    <m/>
    <m/>
    <m/>
    <m/>
    <m/>
    <m/>
    <m/>
    <m/>
    <m/>
    <m/>
    <m/>
    <m/>
  </r>
  <r>
    <n v="742"/>
    <d v="2025-02-17T00:00:00"/>
    <s v="ZBTF"/>
    <n v="9518526154"/>
    <n v="4"/>
    <s v="9518526154-4"/>
    <m/>
    <s v="Mar'25"/>
    <s v="Released orders"/>
    <x v="5"/>
    <x v="11"/>
    <s v="2000-BPRS"/>
    <m/>
    <x v="0"/>
    <m/>
    <m/>
    <m/>
    <m/>
    <s v="KHOPOLI"/>
    <m/>
    <n v="650250"/>
    <s v="TATA STEEL LIMITED,"/>
    <n v="3825819"/>
    <s v="CRFH COIL TATFHC TR10 0.570X1235"/>
    <s v=" "/>
    <s v=""/>
    <n v="22"/>
    <n v="25"/>
    <s v="Wider"/>
    <s v="C09"/>
    <s v="TATFHC"/>
    <s v="TR10"/>
    <n v="0.56999999999999995"/>
    <n v="1235"/>
    <n v="0"/>
    <n v="168"/>
    <n v="64.45"/>
    <n v="168"/>
    <n v="168"/>
    <n v="0"/>
    <n v="168"/>
    <n v="96"/>
    <n v="96"/>
    <n v="72"/>
    <n v="103.55"/>
    <n v="0"/>
    <n v="188.16000000000003"/>
    <n v="0"/>
    <n v="0"/>
    <n v="0"/>
    <n v="0"/>
    <n v="0"/>
    <n v="0"/>
    <n v="0"/>
    <n v="0"/>
    <n v="0"/>
    <n v="0"/>
    <n v="0"/>
    <n v="0"/>
    <n v="0"/>
    <n v="0"/>
    <n v="0"/>
    <n v="0"/>
    <n v="0"/>
    <n v="0"/>
    <n v="0"/>
    <n v="0"/>
    <n v="0"/>
    <n v="96"/>
    <n v="-96"/>
    <n v="64.45"/>
    <n v="103.55"/>
    <n v="0"/>
    <n v="0"/>
    <n v="0"/>
    <n v="0"/>
    <n v="103.55"/>
    <n v="168"/>
    <n v="0"/>
    <n v="0"/>
    <n v="0"/>
    <n v="0"/>
    <n v="168"/>
    <n v="0"/>
    <m/>
    <m/>
    <m/>
    <m/>
    <m/>
    <m/>
    <m/>
    <m/>
    <m/>
    <m/>
    <m/>
    <m/>
    <m/>
    <m/>
    <m/>
    <m/>
    <m/>
    <m/>
    <m/>
    <m/>
    <m/>
    <m/>
    <m/>
    <m/>
    <m/>
    <m/>
    <m/>
    <m/>
    <m/>
    <m/>
    <m/>
    <m/>
    <m/>
    <m/>
  </r>
  <r>
    <n v="742"/>
    <d v="2025-02-17T00:00:00"/>
    <s v="ZBTF"/>
    <n v="9518526154"/>
    <n v="5"/>
    <s v="9518526154-5"/>
    <m/>
    <s v="Mar'25"/>
    <s v="Released orders"/>
    <x v="5"/>
    <x v="11"/>
    <s v="2000-BPRS"/>
    <m/>
    <x v="0"/>
    <m/>
    <m/>
    <m/>
    <m/>
    <s v="KHOPOLI"/>
    <m/>
    <n v="650250"/>
    <s v="TATA STEEL LIMITED,"/>
    <n v="2175550"/>
    <s v="CRFH COIL TATFHC TR10 0.470X1235"/>
    <s v=" "/>
    <s v=""/>
    <n v="22"/>
    <n v="25"/>
    <s v="Wider"/>
    <s v="C09"/>
    <s v="TATFHC"/>
    <s v="TR10"/>
    <n v="0.47"/>
    <n v="1235"/>
    <n v="0"/>
    <n v="28"/>
    <n v="0"/>
    <n v="28"/>
    <n v="28"/>
    <n v="0"/>
    <n v="28"/>
    <m/>
    <n v="0"/>
    <n v="28"/>
    <n v="28"/>
    <n v="0"/>
    <n v="31.360000000000003"/>
    <n v="0"/>
    <n v="0"/>
    <n v="0"/>
    <n v="0"/>
    <n v="0"/>
    <n v="0"/>
    <n v="0"/>
    <n v="0"/>
    <n v="0"/>
    <n v="0"/>
    <n v="0"/>
    <n v="0"/>
    <n v="0"/>
    <n v="0"/>
    <n v="0"/>
    <n v="0"/>
    <n v="0"/>
    <n v="0"/>
    <n v="0"/>
    <n v="0"/>
    <n v="0"/>
    <n v="0"/>
    <n v="0"/>
    <n v="0"/>
    <n v="28"/>
    <n v="0"/>
    <n v="0"/>
    <n v="0"/>
    <n v="0"/>
    <n v="28"/>
    <n v="0"/>
    <n v="0"/>
    <n v="0"/>
    <n v="0"/>
    <n v="0"/>
    <n v="0"/>
    <n v="28"/>
    <m/>
    <m/>
    <m/>
    <m/>
    <m/>
    <m/>
    <m/>
    <m/>
    <m/>
    <m/>
    <m/>
    <m/>
    <m/>
    <m/>
    <m/>
    <m/>
    <m/>
    <m/>
    <m/>
    <m/>
    <m/>
    <m/>
    <m/>
    <m/>
    <m/>
    <m/>
    <m/>
    <m/>
    <m/>
    <m/>
    <m/>
    <m/>
    <m/>
    <m/>
  </r>
  <r>
    <n v="743"/>
    <d v="2025-02-06T00:00:00"/>
    <s v="ZBTO"/>
    <n v="9518498466"/>
    <n v="2"/>
    <s v="9518498466-2"/>
    <m/>
    <s v="Mar'25"/>
    <s v="Released orders"/>
    <x v="2"/>
    <x v="6"/>
    <s v="2000-BPRS"/>
    <m/>
    <x v="0"/>
    <m/>
    <m/>
    <m/>
    <s v="South"/>
    <s v="GUMMIDIPOONDI"/>
    <m/>
    <n v="826558"/>
    <s v="V.N.C. STEEL DISTRIBUTORS"/>
    <n v="1300227"/>
    <s v="GP COIL SOFT-TATXGP-GLK1-0.6X1220"/>
    <s v="Z80"/>
    <s v=""/>
    <m/>
    <m/>
    <s v="Wider"/>
    <s v="C02"/>
    <s v="TATXGP"/>
    <s v="GLK1"/>
    <n v="0.6"/>
    <n v="1220"/>
    <n v="0"/>
    <n v="28"/>
    <n v="0"/>
    <n v="28"/>
    <n v="28"/>
    <n v="0"/>
    <n v="28"/>
    <m/>
    <m/>
    <n v="28"/>
    <n v="28"/>
    <n v="0"/>
    <n v="31.360000000000003"/>
    <n v="0"/>
    <n v="0"/>
    <n v="0"/>
    <n v="0"/>
    <n v="0"/>
    <n v="0"/>
    <n v="0"/>
    <n v="0"/>
    <n v="0"/>
    <n v="0"/>
    <n v="0"/>
    <n v="0"/>
    <n v="0"/>
    <n v="0"/>
    <n v="0"/>
    <n v="0"/>
    <n v="0"/>
    <n v="0"/>
    <n v="0"/>
    <n v="0"/>
    <n v="0"/>
    <n v="0"/>
    <n v="0"/>
    <n v="0"/>
    <n v="28"/>
    <n v="0"/>
    <n v="0"/>
    <n v="28"/>
    <n v="0"/>
    <n v="0"/>
    <n v="28"/>
    <n v="0"/>
    <n v="0"/>
    <n v="28"/>
    <n v="0"/>
    <n v="0"/>
    <n v="0"/>
    <n v="0"/>
    <n v="0"/>
    <n v="0"/>
    <n v="0"/>
    <n v="0"/>
    <n v="0"/>
    <m/>
    <m/>
    <m/>
    <m/>
    <m/>
    <m/>
    <m/>
    <m/>
    <m/>
    <s v="1"/>
    <s v="1"/>
    <s v="0"/>
    <s v="1"/>
    <s v="1"/>
    <m/>
    <m/>
    <m/>
    <m/>
    <m/>
    <m/>
    <m/>
    <m/>
    <m/>
    <m/>
    <m/>
    <m/>
    <m/>
    <m/>
  </r>
  <r>
    <n v="743"/>
    <d v="2025-02-10T00:00:00"/>
    <s v="ZBTO"/>
    <n v="9518507805"/>
    <n v="3"/>
    <s v="9518507805-3"/>
    <m/>
    <s v="Mar'25"/>
    <s v="Released orders"/>
    <x v="2"/>
    <x v="6"/>
    <s v="2200-BPRS"/>
    <m/>
    <x v="0"/>
    <m/>
    <m/>
    <m/>
    <m/>
    <s v="NAGPUR"/>
    <m/>
    <n v="930519"/>
    <s v="JAUSHNA STEELS (INDIA) PVT. LTD."/>
    <n v="1334725"/>
    <s v="GP COIL SOFT-TATXGP-GK09-0.6X1220"/>
    <s v="Z80"/>
    <s v=""/>
    <n v="3"/>
    <n v="5"/>
    <s v="Wider"/>
    <s v="C02"/>
    <s v="TATXGP"/>
    <s v="GK09"/>
    <n v="0.6"/>
    <n v="1220"/>
    <n v="0"/>
    <n v="84"/>
    <n v="0"/>
    <n v="84"/>
    <n v="84"/>
    <n v="0"/>
    <n v="84"/>
    <m/>
    <m/>
    <n v="84"/>
    <n v="84"/>
    <n v="0"/>
    <n v="94.080000000000013"/>
    <n v="0"/>
    <n v="0"/>
    <n v="0"/>
    <n v="0"/>
    <n v="0"/>
    <n v="0"/>
    <n v="0"/>
    <n v="0"/>
    <n v="0"/>
    <n v="0"/>
    <n v="0"/>
    <n v="0"/>
    <n v="0"/>
    <n v="0"/>
    <n v="0"/>
    <n v="0"/>
    <n v="0"/>
    <n v="0"/>
    <n v="0"/>
    <n v="0"/>
    <n v="0"/>
    <n v="0"/>
    <n v="0"/>
    <n v="0"/>
    <n v="84"/>
    <n v="0"/>
    <n v="0"/>
    <n v="0"/>
    <n v="84"/>
    <n v="0"/>
    <n v="84"/>
    <n v="0"/>
    <n v="0"/>
    <n v="0"/>
    <n v="84"/>
    <n v="0"/>
    <n v="0"/>
    <m/>
    <m/>
    <m/>
    <m/>
    <m/>
    <m/>
    <m/>
    <m/>
    <m/>
    <m/>
    <m/>
    <m/>
    <m/>
    <m/>
    <m/>
    <m/>
    <m/>
    <m/>
    <m/>
    <m/>
    <m/>
    <m/>
    <m/>
    <m/>
    <m/>
    <m/>
    <m/>
    <m/>
    <m/>
    <m/>
    <m/>
    <m/>
    <m/>
    <m/>
  </r>
  <r>
    <n v="742"/>
    <d v="2025-02-18T00:00:00"/>
    <s v="ZBTO"/>
    <n v="9518529569"/>
    <n v="3"/>
    <s v="9518529569-3"/>
    <m/>
    <s v="Mar'25"/>
    <s v="Released orders"/>
    <x v="1"/>
    <x v="1"/>
    <s v="2000-BPRS"/>
    <m/>
    <x v="0"/>
    <s v="Mar"/>
    <m/>
    <m/>
    <m/>
    <s v="JAIPUR"/>
    <m/>
    <n v="116137"/>
    <s v="PELIKAN DOSSIER (P) LTD "/>
    <n v="3240786"/>
    <s v="CRCA SHEET TSBCRC SR15 0.700X1250X2500"/>
    <s v=" "/>
    <s v=""/>
    <n v="1"/>
    <n v="3"/>
    <s v="Wider"/>
    <s v="C06"/>
    <s v="TSBCRC"/>
    <s v="SR15"/>
    <n v="0.7"/>
    <n v="1250"/>
    <n v="2500"/>
    <n v="48"/>
    <n v="0"/>
    <n v="48"/>
    <n v="48"/>
    <n v="43.89"/>
    <n v="0"/>
    <m/>
    <n v="0"/>
    <n v="48"/>
    <n v="48"/>
    <n v="0"/>
    <n v="3.135999999999997"/>
    <n v="0"/>
    <n v="0"/>
    <n v="17.080000000000002"/>
    <n v="0"/>
    <n v="0"/>
    <n v="0"/>
    <n v="0"/>
    <n v="0"/>
    <n v="0"/>
    <n v="28.12"/>
    <n v="0"/>
    <n v="0"/>
    <n v="0"/>
    <n v="0"/>
    <n v="0"/>
    <n v="0"/>
    <n v="0"/>
    <n v="0"/>
    <n v="45.2"/>
    <n v="0"/>
    <n v="0"/>
    <n v="0"/>
    <n v="43.89"/>
    <n v="0"/>
    <n v="48"/>
    <n v="0"/>
    <n v="48"/>
    <n v="0"/>
    <n v="0"/>
    <n v="0"/>
    <n v="48"/>
    <n v="0"/>
    <n v="48"/>
    <n v="0"/>
    <n v="0"/>
    <n v="0"/>
    <n v="0"/>
    <m/>
    <m/>
    <m/>
    <m/>
    <m/>
    <m/>
    <m/>
    <m/>
    <m/>
    <m/>
    <m/>
    <m/>
    <m/>
    <m/>
    <m/>
    <m/>
    <m/>
    <m/>
    <m/>
    <m/>
    <m/>
    <m/>
    <m/>
    <m/>
    <m/>
    <m/>
    <m/>
    <m/>
    <m/>
    <m/>
    <m/>
    <m/>
    <m/>
    <m/>
  </r>
  <r>
    <n v="743"/>
    <d v="2025-02-06T00:00:00"/>
    <s v="ZBTO"/>
    <n v="9518498761"/>
    <n v="1"/>
    <s v="9518498761-1"/>
    <m/>
    <s v="Mar'25"/>
    <s v="Released orders"/>
    <x v="2"/>
    <x v="2"/>
    <n v="2000"/>
    <m/>
    <x v="0"/>
    <m/>
    <m/>
    <s v="Jharkhand"/>
    <m/>
    <m/>
    <m/>
    <n v="121328"/>
    <s v="R. S. BOKARO METAL (P) LTD."/>
    <n v="1191955"/>
    <s v="GP COIL SOFT-TATXGP-GK09-0.3X900"/>
    <n v="80"/>
    <s v=""/>
    <m/>
    <m/>
    <s v="Narrow"/>
    <s v="C02"/>
    <s v="TATXGP"/>
    <s v="GK09"/>
    <n v="0.3"/>
    <n v="900"/>
    <n v="0"/>
    <n v="105"/>
    <n v="0"/>
    <n v="105"/>
    <n v="105"/>
    <n v="0"/>
    <n v="105"/>
    <m/>
    <m/>
    <n v="105"/>
    <n v="105"/>
    <n v="0"/>
    <n v="117.60000000000001"/>
    <n v="0"/>
    <n v="0"/>
    <n v="0"/>
    <n v="0"/>
    <n v="0"/>
    <n v="0"/>
    <n v="0"/>
    <n v="0"/>
    <n v="0"/>
    <n v="0"/>
    <n v="0"/>
    <n v="0"/>
    <n v="0"/>
    <n v="0"/>
    <n v="0"/>
    <n v="0"/>
    <n v="0"/>
    <n v="0"/>
    <n v="0"/>
    <n v="0"/>
    <n v="0"/>
    <n v="0"/>
    <n v="0"/>
    <n v="0"/>
    <n v="105"/>
    <n v="0"/>
    <n v="105"/>
    <n v="0"/>
    <n v="0"/>
    <n v="0"/>
    <n v="105"/>
    <n v="0"/>
    <n v="105"/>
    <n v="0"/>
    <n v="0"/>
    <n v="0"/>
    <n v="0"/>
    <m/>
    <m/>
    <m/>
    <m/>
    <m/>
    <m/>
    <m/>
    <m/>
    <m/>
    <m/>
    <m/>
    <m/>
    <m/>
    <m/>
    <m/>
    <m/>
    <m/>
    <m/>
    <m/>
    <m/>
    <m/>
    <m/>
    <m/>
    <m/>
    <m/>
    <m/>
    <m/>
    <m/>
    <m/>
    <m/>
    <m/>
    <m/>
    <m/>
    <m/>
  </r>
  <r>
    <n v="743"/>
    <d v="2025-02-06T00:00:00"/>
    <s v="ZBTO"/>
    <n v="9518498761"/>
    <n v="2"/>
    <s v="9518498761-2"/>
    <m/>
    <s v="Mar'25"/>
    <s v="Released orders"/>
    <x v="2"/>
    <x v="2"/>
    <n v="2000"/>
    <m/>
    <x v="1"/>
    <m/>
    <s v="De-prioritized due to narrow HR unavailability"/>
    <s v="Jharkhand"/>
    <m/>
    <m/>
    <m/>
    <n v="121328"/>
    <s v="R. S. BOKARO METAL (P) LTD."/>
    <n v="1191955"/>
    <s v="GP COIL SOFT-TATXGP-GK09-0.3X900"/>
    <n v="80"/>
    <s v=""/>
    <m/>
    <m/>
    <s v="Narrow"/>
    <s v="C02"/>
    <s v="TATXGP"/>
    <s v="GK09"/>
    <n v="0.3"/>
    <n v="900"/>
    <n v="0"/>
    <n v="105"/>
    <n v="0"/>
    <n v="105"/>
    <n v="105"/>
    <n v="0"/>
    <n v="105"/>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0T00:00:00"/>
    <s v="ZBTO"/>
    <n v="9518508377"/>
    <n v="2"/>
    <s v="9518508377-2"/>
    <m/>
    <s v="Mar'25"/>
    <s v="Released orders"/>
    <x v="2"/>
    <x v="2"/>
    <n v="2000"/>
    <m/>
    <x v="0"/>
    <m/>
    <m/>
    <s v="Jharkhand"/>
    <m/>
    <m/>
    <m/>
    <n v="185794"/>
    <s v="Shree Bajrang Steel Udyog"/>
    <n v="1191955"/>
    <s v="GP COIL SOFT-TATXGP-GK09-0.3X900"/>
    <n v="80"/>
    <s v=""/>
    <m/>
    <m/>
    <s v="Narrow"/>
    <s v="C02"/>
    <s v="TATXGP"/>
    <s v="GK09"/>
    <n v="0.3"/>
    <n v="900"/>
    <n v="0"/>
    <n v="105"/>
    <n v="0"/>
    <n v="105"/>
    <n v="105"/>
    <n v="0"/>
    <n v="105"/>
    <m/>
    <m/>
    <n v="105"/>
    <n v="105"/>
    <n v="0"/>
    <n v="117.60000000000001"/>
    <n v="0"/>
    <n v="0"/>
    <n v="0"/>
    <n v="0"/>
    <n v="0"/>
    <n v="0"/>
    <n v="0"/>
    <n v="0"/>
    <n v="0"/>
    <n v="0"/>
    <n v="0"/>
    <n v="0"/>
    <n v="0"/>
    <n v="0"/>
    <n v="0"/>
    <n v="0"/>
    <n v="0"/>
    <n v="0"/>
    <n v="0"/>
    <n v="0"/>
    <n v="0"/>
    <n v="0"/>
    <n v="0"/>
    <n v="0"/>
    <n v="105"/>
    <n v="0"/>
    <n v="105"/>
    <n v="0"/>
    <n v="0"/>
    <n v="0"/>
    <n v="105"/>
    <n v="0"/>
    <n v="105"/>
    <n v="0"/>
    <n v="0"/>
    <n v="0"/>
    <n v="0"/>
    <m/>
    <m/>
    <m/>
    <m/>
    <m/>
    <m/>
    <m/>
    <m/>
    <m/>
    <m/>
    <m/>
    <m/>
    <m/>
    <m/>
    <m/>
    <m/>
    <m/>
    <m/>
    <m/>
    <m/>
    <m/>
    <m/>
    <m/>
    <m/>
    <m/>
    <m/>
    <m/>
    <m/>
    <m/>
    <m/>
    <m/>
    <m/>
    <m/>
    <m/>
  </r>
  <r>
    <n v="743"/>
    <d v="2025-02-10T00:00:00"/>
    <s v="ZBTO"/>
    <n v="9518508302"/>
    <n v="4"/>
    <s v="9518508302-4"/>
    <m/>
    <s v="Mar'25"/>
    <s v="Released orders"/>
    <x v="2"/>
    <x v="6"/>
    <s v="2000-BPRS"/>
    <m/>
    <x v="0"/>
    <m/>
    <m/>
    <m/>
    <m/>
    <s v="WEST BOKARO"/>
    <m/>
    <n v="185794"/>
    <s v="Shree Bajrang Steel Udyog"/>
    <n v="1300227"/>
    <s v="GP COIL SOFT-TATXGP-GLK1-0.6X1220"/>
    <s v="Z80"/>
    <s v=""/>
    <n v="4"/>
    <n v="12"/>
    <s v="Wider"/>
    <s v="C02"/>
    <s v="TATXGP"/>
    <s v="GLK1"/>
    <n v="0.6"/>
    <n v="1220"/>
    <n v="0"/>
    <n v="28"/>
    <n v="0"/>
    <n v="28"/>
    <n v="28"/>
    <n v="0"/>
    <n v="28"/>
    <m/>
    <m/>
    <n v="28"/>
    <n v="28"/>
    <n v="0"/>
    <n v="31.360000000000003"/>
    <n v="0"/>
    <n v="0"/>
    <n v="0"/>
    <n v="0"/>
    <n v="0"/>
    <n v="0"/>
    <n v="0"/>
    <n v="0"/>
    <n v="0"/>
    <n v="0"/>
    <n v="0"/>
    <n v="0"/>
    <n v="0"/>
    <n v="0"/>
    <n v="0"/>
    <n v="0"/>
    <n v="0"/>
    <n v="0"/>
    <n v="0"/>
    <n v="0"/>
    <n v="0"/>
    <n v="0"/>
    <n v="0"/>
    <n v="0"/>
    <n v="28"/>
    <n v="0"/>
    <n v="0"/>
    <n v="28"/>
    <n v="0"/>
    <n v="0"/>
    <n v="28"/>
    <n v="0"/>
    <n v="0"/>
    <n v="28"/>
    <n v="0"/>
    <n v="0"/>
    <n v="0"/>
    <m/>
    <m/>
    <m/>
    <m/>
    <m/>
    <m/>
    <m/>
    <m/>
    <m/>
    <m/>
    <m/>
    <m/>
    <m/>
    <m/>
    <m/>
    <m/>
    <m/>
    <m/>
    <m/>
    <m/>
    <m/>
    <m/>
    <m/>
    <m/>
    <m/>
    <m/>
    <m/>
    <m/>
    <m/>
    <m/>
    <m/>
    <m/>
    <m/>
    <m/>
  </r>
  <r>
    <n v="743"/>
    <d v="2025-02-17T00:00:00"/>
    <s v="ZBTO"/>
    <n v="9518527077"/>
    <n v="2"/>
    <s v="9518527077-2"/>
    <m/>
    <s v="Mar'25"/>
    <s v="Released orders"/>
    <x v="2"/>
    <x v="6"/>
    <s v="2000-BPRS"/>
    <m/>
    <x v="0"/>
    <m/>
    <m/>
    <m/>
    <m/>
    <s v="COCHIN HARBOUR "/>
    <m/>
    <n v="116650"/>
    <s v="KUMMENCHERY STEELS"/>
    <n v="1312665"/>
    <s v="GP COIL TATXGP GLK2 0.600X1220"/>
    <s v="Z120"/>
    <s v=""/>
    <n v="6"/>
    <n v="11"/>
    <s v="Wider"/>
    <s v="C02"/>
    <s v="TATXGP"/>
    <s v="GLK2"/>
    <n v="0.6"/>
    <n v="1220"/>
    <n v="0"/>
    <n v="28"/>
    <n v="0"/>
    <n v="28"/>
    <n v="28"/>
    <n v="0"/>
    <n v="28"/>
    <m/>
    <m/>
    <n v="28"/>
    <n v="28"/>
    <n v="0"/>
    <n v="31.360000000000003"/>
    <n v="0"/>
    <n v="0"/>
    <n v="0"/>
    <n v="0"/>
    <n v="0"/>
    <n v="0"/>
    <n v="0"/>
    <n v="0"/>
    <n v="0"/>
    <n v="0"/>
    <n v="0"/>
    <n v="0"/>
    <n v="0"/>
    <n v="0"/>
    <n v="0"/>
    <n v="0"/>
    <n v="0"/>
    <n v="0"/>
    <n v="0"/>
    <n v="0"/>
    <n v="0"/>
    <n v="0"/>
    <n v="0"/>
    <n v="0"/>
    <n v="28"/>
    <n v="0"/>
    <n v="0"/>
    <n v="0"/>
    <n v="28"/>
    <n v="0"/>
    <n v="28"/>
    <n v="0"/>
    <n v="0"/>
    <n v="0"/>
    <n v="28"/>
    <n v="0"/>
    <n v="0"/>
    <m/>
    <m/>
    <m/>
    <m/>
    <m/>
    <m/>
    <m/>
    <m/>
    <m/>
    <m/>
    <m/>
    <m/>
    <m/>
    <m/>
    <m/>
    <m/>
    <m/>
    <m/>
    <m/>
    <m/>
    <m/>
    <m/>
    <m/>
    <m/>
    <m/>
    <m/>
    <m/>
    <m/>
    <m/>
    <m/>
    <m/>
    <m/>
    <m/>
    <m/>
  </r>
  <r>
    <n v="743"/>
    <d v="2025-02-14T00:00:00"/>
    <s v="ZBTO"/>
    <n v="9518520023"/>
    <n v="2"/>
    <s v="9518520023-2"/>
    <m/>
    <s v="Mar'25"/>
    <s v="Released orders"/>
    <x v="2"/>
    <x v="6"/>
    <s v="2000-BPRS"/>
    <m/>
    <x v="0"/>
    <m/>
    <m/>
    <m/>
    <m/>
    <s v="PATNA"/>
    <m/>
    <n v="103227"/>
    <s v="BMW VENTURES LIMITED"/>
    <n v="1334725"/>
    <s v="GP COIL SOFT-TATXGP-GK09-0.6X1220"/>
    <s v="Z80"/>
    <s v=""/>
    <n v="2"/>
    <n v="4"/>
    <s v="Wider"/>
    <s v="C02"/>
    <s v="TATXGP"/>
    <s v="GK09"/>
    <n v="0.6"/>
    <n v="1220"/>
    <n v="0"/>
    <n v="28"/>
    <n v="0"/>
    <n v="28"/>
    <n v="28"/>
    <n v="0"/>
    <n v="28"/>
    <m/>
    <m/>
    <n v="28"/>
    <n v="28"/>
    <n v="0"/>
    <n v="31.360000000000003"/>
    <n v="0"/>
    <n v="0"/>
    <n v="0"/>
    <n v="0"/>
    <n v="0"/>
    <n v="0"/>
    <n v="0"/>
    <n v="0"/>
    <n v="0"/>
    <n v="0"/>
    <n v="0"/>
    <n v="0"/>
    <n v="0"/>
    <n v="0"/>
    <n v="0"/>
    <n v="0"/>
    <n v="0"/>
    <n v="0"/>
    <n v="0"/>
    <n v="0"/>
    <n v="0"/>
    <n v="0"/>
    <n v="0"/>
    <n v="0"/>
    <n v="28"/>
    <n v="0"/>
    <n v="0"/>
    <n v="0"/>
    <n v="28"/>
    <n v="0"/>
    <n v="28"/>
    <n v="0"/>
    <n v="0"/>
    <n v="0"/>
    <n v="28"/>
    <n v="0"/>
    <n v="0"/>
    <m/>
    <m/>
    <m/>
    <m/>
    <m/>
    <m/>
    <m/>
    <m/>
    <m/>
    <m/>
    <m/>
    <m/>
    <m/>
    <m/>
    <m/>
    <m/>
    <m/>
    <m/>
    <m/>
    <m/>
    <m/>
    <m/>
    <m/>
    <m/>
    <m/>
    <m/>
    <m/>
    <m/>
    <m/>
    <m/>
    <m/>
    <m/>
    <m/>
    <m/>
  </r>
  <r>
    <n v="743"/>
    <d v="2025-01-30T00:00:00"/>
    <s v="ZBTO"/>
    <n v="9518477269"/>
    <n v="1"/>
    <s v="9518477269-1"/>
    <m/>
    <s v="Mar'25"/>
    <s v="Released orders"/>
    <x v="2"/>
    <x v="6"/>
    <s v="2000-BPRS"/>
    <m/>
    <x v="0"/>
    <m/>
    <m/>
    <m/>
    <m/>
    <s v="SIYAGANJ"/>
    <m/>
    <n v="944695"/>
    <s v="ANM ISPAT PRIVATE LIMITED"/>
    <n v="1851106"/>
    <s v="GP COIL SOFT-TATXGP-GK09-0.6X1250"/>
    <s v="Z80"/>
    <s v=""/>
    <n v="1"/>
    <n v="5"/>
    <s v="Wider"/>
    <s v="C02"/>
    <s v="TATXGP"/>
    <s v="GK09"/>
    <n v="0.6"/>
    <n v="1250"/>
    <n v="0"/>
    <n v="58"/>
    <n v="0"/>
    <n v="58"/>
    <n v="58"/>
    <n v="0"/>
    <n v="58"/>
    <m/>
    <m/>
    <n v="58"/>
    <n v="58"/>
    <n v="0"/>
    <n v="64.960000000000008"/>
    <n v="0"/>
    <n v="0"/>
    <n v="0"/>
    <n v="0"/>
    <n v="0"/>
    <n v="0"/>
    <n v="0"/>
    <n v="0"/>
    <n v="0"/>
    <n v="0"/>
    <n v="0"/>
    <n v="0"/>
    <n v="0"/>
    <n v="0"/>
    <n v="0"/>
    <n v="0"/>
    <n v="0"/>
    <n v="0"/>
    <n v="0"/>
    <n v="0"/>
    <n v="0"/>
    <n v="0"/>
    <n v="0"/>
    <n v="0"/>
    <n v="58"/>
    <n v="0"/>
    <n v="0"/>
    <n v="0"/>
    <n v="58"/>
    <n v="0"/>
    <n v="58"/>
    <n v="0"/>
    <n v="0"/>
    <n v="0"/>
    <n v="58"/>
    <n v="0"/>
    <n v="0"/>
    <m/>
    <m/>
    <m/>
    <m/>
    <m/>
    <m/>
    <m/>
    <m/>
    <m/>
    <m/>
    <m/>
    <m/>
    <m/>
    <m/>
    <m/>
    <m/>
    <m/>
    <m/>
    <m/>
    <m/>
    <m/>
    <m/>
    <m/>
    <m/>
    <m/>
    <m/>
    <m/>
    <m/>
    <m/>
    <m/>
    <m/>
    <m/>
    <m/>
    <m/>
  </r>
  <r>
    <n v="743"/>
    <d v="2025-02-06T00:00:00"/>
    <s v="ZBTO"/>
    <n v="9518499344"/>
    <n v="1"/>
    <s v="9518499344-1"/>
    <m/>
    <s v="No Priority"/>
    <s v="Failed orders"/>
    <x v="2"/>
    <x v="10"/>
    <n v="2000"/>
    <m/>
    <x v="1"/>
    <m/>
    <m/>
    <s v="Assam"/>
    <m/>
    <m/>
    <m/>
    <n v="103671"/>
    <s v="BAJRANG STEEL (SALES) CORPORAT"/>
    <n v="3767014"/>
    <s v="GP COIL TATGPH GP02 0.400X1350"/>
    <s v=""/>
    <s v=""/>
    <m/>
    <m/>
    <s v="Wider"/>
    <s v="C05"/>
    <s v="TATGPH"/>
    <s v="GP02"/>
    <n v="0.4"/>
    <n v="1350"/>
    <n v="0"/>
    <n v="31"/>
    <e v="#N/A"/>
    <n v="31"/>
    <n v="31"/>
    <e v="#N/A"/>
    <e v="#N/A"/>
    <n v="60"/>
    <m/>
    <n v="31"/>
    <n v="0"/>
    <n v="0"/>
    <n v="34.72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2-19T00:00:00"/>
    <s v="ZBTO"/>
    <n v="9518534086"/>
    <n v="1"/>
    <s v="9518534086-1"/>
    <m/>
    <s v="Mar'25"/>
    <s v="Released orders"/>
    <x v="1"/>
    <x v="5"/>
    <n v="1000"/>
    <m/>
    <x v="0"/>
    <m/>
    <m/>
    <s v="Andhra Pradesh"/>
    <m/>
    <m/>
    <m/>
    <n v="188238"/>
    <s v="Balmer Lawrie &amp; Co. Limited"/>
    <n v="2421723"/>
    <s v="CRCA COIL TATXXD BT02 0.770X920"/>
    <s v=""/>
    <s v=""/>
    <m/>
    <m/>
    <s v="Narrow"/>
    <s v="C01"/>
    <s v="TATXXD"/>
    <s v="BT02"/>
    <n v="0.77"/>
    <n v="920"/>
    <n v="0"/>
    <n v="84"/>
    <n v="0"/>
    <n v="84"/>
    <n v="84"/>
    <e v="#N/A"/>
    <e v="#N/A"/>
    <m/>
    <n v="0"/>
    <n v="84"/>
    <n v="84"/>
    <n v="0"/>
    <n v="94.080000000000013"/>
    <n v="0"/>
    <n v="0"/>
    <n v="0"/>
    <n v="0"/>
    <n v="0"/>
    <n v="0"/>
    <n v="0"/>
    <n v="0"/>
    <n v="0"/>
    <n v="0"/>
    <n v="0"/>
    <n v="0"/>
    <n v="0"/>
    <n v="0"/>
    <n v="0"/>
    <n v="0"/>
    <n v="0"/>
    <n v="0"/>
    <n v="0"/>
    <n v="0"/>
    <n v="0"/>
    <n v="0"/>
    <n v="0"/>
    <n v="0"/>
    <n v="84"/>
    <n v="0"/>
    <n v="0"/>
    <n v="0"/>
    <n v="84"/>
    <n v="0"/>
    <n v="84"/>
    <n v="0"/>
    <n v="0"/>
    <n v="0"/>
    <n v="84"/>
    <n v="0"/>
    <n v="0"/>
    <m/>
    <m/>
    <m/>
    <m/>
    <m/>
    <m/>
    <m/>
    <m/>
    <m/>
    <m/>
    <m/>
    <m/>
    <m/>
    <m/>
    <m/>
    <m/>
    <m/>
    <m/>
    <m/>
    <m/>
    <m/>
    <m/>
    <m/>
    <m/>
    <m/>
    <m/>
    <m/>
    <m/>
    <m/>
    <m/>
    <m/>
    <m/>
    <m/>
    <m/>
  </r>
  <r>
    <n v="742"/>
    <d v="2025-02-20T00:00:00"/>
    <s v="ZBTO"/>
    <n v="9518534103"/>
    <n v="2"/>
    <s v="9518534103-2"/>
    <m/>
    <s v="Mar'25"/>
    <s v="Released orders"/>
    <x v="1"/>
    <x v="5"/>
    <n v="1000"/>
    <m/>
    <x v="0"/>
    <m/>
    <m/>
    <s v="Tamil Nadu"/>
    <m/>
    <m/>
    <m/>
    <n v="187214"/>
    <s v="BALMER LAWRIE &amp; CO. LIMITED.."/>
    <n v="2164792"/>
    <s v="CRCA COIL TATXXD BT02 0.900X913"/>
    <s v=""/>
    <s v=""/>
    <m/>
    <m/>
    <s v="Narrow"/>
    <s v="C01"/>
    <s v="TATXXD"/>
    <s v="BT02"/>
    <n v="0.9"/>
    <n v="913"/>
    <n v="0"/>
    <n v="21"/>
    <n v="0"/>
    <n v="21"/>
    <n v="21"/>
    <e v="#N/A"/>
    <e v="#N/A"/>
    <m/>
    <n v="0"/>
    <n v="21"/>
    <n v="21"/>
    <n v="0"/>
    <n v="23.520000000000003"/>
    <n v="0"/>
    <n v="0"/>
    <n v="0"/>
    <n v="0"/>
    <n v="0"/>
    <n v="0"/>
    <n v="0"/>
    <n v="0"/>
    <n v="0"/>
    <n v="0"/>
    <n v="0"/>
    <n v="0"/>
    <n v="0"/>
    <n v="0"/>
    <n v="0"/>
    <n v="0"/>
    <n v="0"/>
    <n v="0"/>
    <n v="0"/>
    <n v="0"/>
    <n v="0"/>
    <n v="0"/>
    <n v="0"/>
    <n v="0"/>
    <n v="21"/>
    <n v="0"/>
    <n v="0"/>
    <n v="0"/>
    <n v="21"/>
    <n v="0"/>
    <n v="21"/>
    <n v="0"/>
    <n v="0"/>
    <n v="0"/>
    <n v="21"/>
    <n v="0"/>
    <n v="0"/>
    <m/>
    <m/>
    <m/>
    <m/>
    <m/>
    <m/>
    <m/>
    <m/>
    <m/>
    <m/>
    <m/>
    <m/>
    <m/>
    <m/>
    <m/>
    <m/>
    <m/>
    <m/>
    <m/>
    <m/>
    <m/>
    <m/>
    <m/>
    <m/>
    <m/>
    <m/>
    <m/>
    <m/>
    <m/>
    <m/>
    <m/>
    <m/>
    <m/>
    <m/>
  </r>
  <r>
    <n v="742"/>
    <d v="2025-02-20T00:00:00"/>
    <s v="ZBTO"/>
    <n v="9518534103"/>
    <n v="3"/>
    <s v="9518534103-3"/>
    <m/>
    <s v="Mar'25"/>
    <s v="Released orders"/>
    <x v="1"/>
    <x v="5"/>
    <n v="1000"/>
    <m/>
    <x v="0"/>
    <m/>
    <m/>
    <s v="Tamil Nadu"/>
    <m/>
    <m/>
    <m/>
    <n v="187214"/>
    <s v="BALMER LAWRIE &amp; CO. LIMITED.."/>
    <n v="2164800"/>
    <s v="CRCA COIL TATXXD BT02 0.970X913"/>
    <s v=""/>
    <s v=""/>
    <m/>
    <m/>
    <s v="Narrow"/>
    <s v="C01"/>
    <s v="TATXXD"/>
    <s v="BT02"/>
    <n v="0.97"/>
    <n v="913"/>
    <n v="0"/>
    <n v="147"/>
    <n v="0"/>
    <n v="147"/>
    <n v="147"/>
    <e v="#N/A"/>
    <e v="#N/A"/>
    <m/>
    <n v="0"/>
    <n v="147"/>
    <n v="147"/>
    <n v="0"/>
    <n v="164.64000000000001"/>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4103"/>
    <n v="4"/>
    <s v="9518534103-4"/>
    <m/>
    <s v="Mar'25"/>
    <s v="Released orders"/>
    <x v="1"/>
    <x v="5"/>
    <n v="1000"/>
    <m/>
    <x v="0"/>
    <m/>
    <m/>
    <s v="Tamil Nadu"/>
    <m/>
    <m/>
    <m/>
    <n v="187214"/>
    <s v="BALMER LAWRIE &amp; CO. LIMITED.."/>
    <n v="2164803"/>
    <s v="CRCA COIL TATXXD BT02 1.200X910"/>
    <s v=""/>
    <s v=""/>
    <m/>
    <m/>
    <s v="Narrow"/>
    <s v="C01"/>
    <s v="TATXXD"/>
    <s v="BT02"/>
    <n v="1.2"/>
    <n v="910"/>
    <n v="0"/>
    <n v="42"/>
    <n v="0"/>
    <n v="42"/>
    <n v="42"/>
    <e v="#N/A"/>
    <e v="#N/A"/>
    <m/>
    <n v="0"/>
    <n v="42"/>
    <n v="42"/>
    <n v="0"/>
    <n v="47.040000000000006"/>
    <n v="0"/>
    <n v="0"/>
    <n v="0"/>
    <n v="0"/>
    <n v="0"/>
    <n v="0"/>
    <n v="0"/>
    <n v="0"/>
    <n v="0"/>
    <n v="0"/>
    <n v="0"/>
    <n v="0"/>
    <n v="0"/>
    <n v="0"/>
    <n v="0"/>
    <n v="0"/>
    <n v="0"/>
    <n v="0"/>
    <n v="0"/>
    <n v="0"/>
    <n v="0"/>
    <n v="0"/>
    <n v="0"/>
    <n v="0"/>
    <n v="42"/>
    <n v="0"/>
    <n v="0"/>
    <n v="0"/>
    <n v="42"/>
    <n v="0"/>
    <n v="42"/>
    <n v="0"/>
    <n v="0"/>
    <n v="0"/>
    <n v="42"/>
    <n v="0"/>
    <n v="0"/>
    <m/>
    <m/>
    <m/>
    <m/>
    <m/>
    <m/>
    <m/>
    <m/>
    <m/>
    <m/>
    <m/>
    <m/>
    <m/>
    <m/>
    <m/>
    <m/>
    <m/>
    <m/>
    <m/>
    <m/>
    <m/>
    <m/>
    <m/>
    <m/>
    <m/>
    <m/>
    <m/>
    <m/>
    <m/>
    <m/>
    <m/>
    <m/>
    <m/>
    <m/>
  </r>
  <r>
    <n v="742"/>
    <d v="2025-02-20T00:00:00"/>
    <s v="ZBTO"/>
    <n v="9518534128"/>
    <n v="1"/>
    <s v="9518534128-1"/>
    <m/>
    <s v="No Priority"/>
    <s v="Failed orders"/>
    <x v="1"/>
    <x v="5"/>
    <n v="1000"/>
    <m/>
    <x v="1"/>
    <m/>
    <s v="Order shortclosed"/>
    <s v="Haryana"/>
    <m/>
    <m/>
    <m/>
    <n v="189430"/>
    <s v="Balmer Lawrie &amp; Co. Ltd.,"/>
    <n v="2164792"/>
    <s v="CRCA COIL TATXXD BT02 0.900X913"/>
    <s v=""/>
    <s v=""/>
    <m/>
    <m/>
    <s v="Narrow"/>
    <s v="C01"/>
    <s v="TATXXD"/>
    <s v="BT02"/>
    <n v="0.9"/>
    <n v="913"/>
    <n v="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4128"/>
    <n v="3"/>
    <s v="9518534128-3"/>
    <m/>
    <s v="Mar'25"/>
    <s v="Released orders"/>
    <x v="1"/>
    <x v="5"/>
    <n v="1000"/>
    <m/>
    <x v="0"/>
    <m/>
    <m/>
    <s v="Haryana"/>
    <m/>
    <m/>
    <m/>
    <n v="189430"/>
    <s v="Balmer Lawrie &amp; Co. Ltd.,"/>
    <n v="2164800"/>
    <s v="CRCA COIL TATXXD BT02 0.970X913"/>
    <s v=""/>
    <s v=""/>
    <m/>
    <m/>
    <s v="Narrow"/>
    <s v="C01"/>
    <s v="TATXXD"/>
    <s v="BT02"/>
    <n v="0.97"/>
    <n v="913"/>
    <n v="0"/>
    <n v="210"/>
    <n v="0"/>
    <n v="210"/>
    <n v="210"/>
    <e v="#N/A"/>
    <e v="#N/A"/>
    <m/>
    <n v="0"/>
    <n v="210"/>
    <n v="105"/>
    <n v="0"/>
    <n v="235.20000000000002"/>
    <n v="0"/>
    <n v="0"/>
    <n v="0"/>
    <n v="0"/>
    <n v="0"/>
    <n v="0"/>
    <n v="0"/>
    <n v="0"/>
    <n v="0"/>
    <n v="0"/>
    <n v="0"/>
    <n v="0"/>
    <n v="0"/>
    <n v="0"/>
    <n v="0"/>
    <n v="0"/>
    <n v="0"/>
    <n v="0"/>
    <n v="0"/>
    <n v="0"/>
    <n v="0"/>
    <n v="0"/>
    <n v="0"/>
    <n v="0"/>
    <n v="105"/>
    <n v="0"/>
    <n v="0"/>
    <n v="0"/>
    <n v="105"/>
    <n v="0"/>
    <n v="105"/>
    <n v="0"/>
    <n v="0"/>
    <n v="0"/>
    <n v="105"/>
    <n v="0"/>
    <n v="0"/>
    <m/>
    <m/>
    <m/>
    <m/>
    <m/>
    <m/>
    <m/>
    <m/>
    <m/>
    <m/>
    <m/>
    <m/>
    <m/>
    <m/>
    <m/>
    <m/>
    <m/>
    <m/>
    <m/>
    <m/>
    <m/>
    <m/>
    <m/>
    <m/>
    <m/>
    <m/>
    <m/>
    <m/>
    <m/>
    <m/>
    <m/>
    <m/>
    <m/>
    <m/>
  </r>
  <r>
    <n v="742"/>
    <d v="2025-02-20T00:00:00"/>
    <s v="ZBTO"/>
    <n v="9518534128"/>
    <n v="4"/>
    <s v="9518534128-4"/>
    <m/>
    <s v="Stocks"/>
    <s v="Released orders"/>
    <x v="1"/>
    <x v="5"/>
    <n v="1000"/>
    <m/>
    <x v="0"/>
    <m/>
    <m/>
    <s v="Haryana"/>
    <m/>
    <m/>
    <m/>
    <n v="189430"/>
    <s v="Balmer Lawrie &amp; Co. Ltd.,"/>
    <n v="2164803"/>
    <s v="CRCA COIL TATXXD BT02 1.200X910"/>
    <s v=""/>
    <s v=""/>
    <m/>
    <m/>
    <s v="Narrow"/>
    <s v="C01"/>
    <s v="TATXXD"/>
    <s v="BT02"/>
    <n v="1.2"/>
    <n v="910"/>
    <n v="0"/>
    <n v="84"/>
    <n v="9.27"/>
    <n v="84"/>
    <n v="84"/>
    <e v="#N/A"/>
    <e v="#N/A"/>
    <m/>
    <n v="0"/>
    <n v="84"/>
    <n v="11.73"/>
    <n v="0"/>
    <n v="94.080000000000013"/>
    <n v="0"/>
    <n v="0"/>
    <n v="0"/>
    <n v="0"/>
    <n v="0"/>
    <n v="0"/>
    <n v="0"/>
    <n v="0"/>
    <n v="0"/>
    <n v="0"/>
    <n v="0"/>
    <n v="0"/>
    <n v="0"/>
    <n v="0"/>
    <n v="0"/>
    <n v="0"/>
    <n v="0"/>
    <n v="0"/>
    <n v="0"/>
    <n v="0"/>
    <n v="0"/>
    <n v="0"/>
    <n v="0"/>
    <n v="9.27"/>
    <n v="0"/>
    <n v="0"/>
    <n v="0"/>
    <n v="0"/>
    <n v="0"/>
    <n v="0"/>
    <n v="9.27"/>
    <n v="0"/>
    <n v="9.27"/>
    <n v="0"/>
    <n v="0"/>
    <n v="0"/>
    <n v="0"/>
    <m/>
    <m/>
    <m/>
    <m/>
    <m/>
    <m/>
    <m/>
    <m/>
    <m/>
    <m/>
    <m/>
    <m/>
    <m/>
    <m/>
    <m/>
    <m/>
    <m/>
    <m/>
    <m/>
    <m/>
    <m/>
    <m/>
    <m/>
    <m/>
    <m/>
    <m/>
    <m/>
    <m/>
    <m/>
    <m/>
    <m/>
    <m/>
    <m/>
    <m/>
  </r>
  <r>
    <n v="742"/>
    <d v="2025-02-20T00:00:00"/>
    <s v="ZBTO"/>
    <n v="9518534128"/>
    <n v="5"/>
    <s v="9518534128-5"/>
    <m/>
    <s v="Mar'25"/>
    <s v="Released orders"/>
    <x v="1"/>
    <x v="5"/>
    <n v="1000"/>
    <m/>
    <x v="0"/>
    <m/>
    <m/>
    <s v="Haryana"/>
    <m/>
    <m/>
    <m/>
    <n v="189430"/>
    <s v="Balmer Lawrie &amp; Co. Ltd.,"/>
    <n v="2170030"/>
    <s v="CRCA COIL TATXXD BT01 1.200X1220"/>
    <s v=""/>
    <s v=""/>
    <m/>
    <m/>
    <s v="Wider"/>
    <s v="C01"/>
    <s v="TATXXD"/>
    <s v="BT01"/>
    <n v="1.2"/>
    <n v="1220"/>
    <n v="0"/>
    <n v="56"/>
    <n v="0"/>
    <n v="56"/>
    <n v="56"/>
    <n v="54.98"/>
    <n v="0"/>
    <m/>
    <n v="0"/>
    <n v="56"/>
    <n v="56"/>
    <n v="0"/>
    <n v="62.720000000000006"/>
    <n v="0"/>
    <n v="0"/>
    <n v="0"/>
    <n v="0"/>
    <n v="0"/>
    <n v="0"/>
    <n v="0"/>
    <n v="0"/>
    <n v="0"/>
    <n v="0"/>
    <n v="0"/>
    <n v="0"/>
    <n v="0"/>
    <n v="0"/>
    <n v="0"/>
    <n v="0"/>
    <n v="0"/>
    <n v="0"/>
    <n v="0"/>
    <n v="0"/>
    <n v="0"/>
    <n v="0"/>
    <n v="54.98"/>
    <n v="0"/>
    <n v="56"/>
    <n v="0"/>
    <n v="56"/>
    <n v="0"/>
    <n v="0"/>
    <n v="0"/>
    <n v="56"/>
    <n v="0"/>
    <n v="56"/>
    <n v="0"/>
    <n v="0"/>
    <n v="0"/>
    <n v="0"/>
    <m/>
    <m/>
    <m/>
    <m/>
    <m/>
    <m/>
    <m/>
    <m/>
    <m/>
    <m/>
    <m/>
    <m/>
    <m/>
    <m/>
    <m/>
    <m/>
    <m/>
    <m/>
    <m/>
    <m/>
    <m/>
    <m/>
    <m/>
    <m/>
    <m/>
    <m/>
    <m/>
    <m/>
    <m/>
    <m/>
    <m/>
    <m/>
    <m/>
    <m/>
  </r>
  <r>
    <n v="742"/>
    <d v="2024-12-19T00:00:00"/>
    <s v="ZBTO"/>
    <n v="9518356689"/>
    <n v="7"/>
    <s v="9518356689-7"/>
    <m/>
    <s v="No Priority"/>
    <s v="Failed orders"/>
    <x v="1"/>
    <x v="3"/>
    <n v="2000"/>
    <m/>
    <x v="1"/>
    <m/>
    <s v="Beyond HSM rollability"/>
    <s v="Tamil Nadu"/>
    <m/>
    <m/>
    <m/>
    <n v="938550"/>
    <s v="BASEER AND CO"/>
    <n v="1804893"/>
    <s v="CRCA COIL-TATCRC-TR15-0.45X900"/>
    <s v=""/>
    <s v=""/>
    <m/>
    <m/>
    <s v="Narrow"/>
    <s v="C01"/>
    <s v="TATCRC"/>
    <s v="TR15"/>
    <n v="0.45"/>
    <n v="900"/>
    <n v="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4-12-19T00:00:00"/>
    <s v="ZBTO"/>
    <n v="9518356689"/>
    <n v="8"/>
    <s v="9518356689-8"/>
    <m/>
    <s v="No Priority"/>
    <s v="Failed orders"/>
    <x v="1"/>
    <x v="3"/>
    <n v="2000"/>
    <m/>
    <x v="1"/>
    <m/>
    <s v="Beyond HSM rollability"/>
    <s v="Tamil Nadu"/>
    <m/>
    <m/>
    <m/>
    <n v="938550"/>
    <s v="BASEER AND CO"/>
    <n v="1804896"/>
    <s v="CRCA COIL-TATCRC-TR15-0.45X1000"/>
    <s v=""/>
    <s v=""/>
    <m/>
    <m/>
    <s v="Narrow"/>
    <s v="C01"/>
    <s v="TATCRC"/>
    <s v="TR15"/>
    <n v="0.45"/>
    <n v="1000"/>
    <n v="0"/>
    <n v="46"/>
    <e v="#N/A"/>
    <n v="46"/>
    <n v="46"/>
    <e v="#N/A"/>
    <e v="#N/A"/>
    <m/>
    <n v="0"/>
    <n v="46"/>
    <n v="0"/>
    <n v="0"/>
    <n v="51.52"/>
    <n v="0"/>
    <n v="0"/>
    <n v="0"/>
    <n v="0"/>
    <n v="0"/>
    <n v="0"/>
    <n v="0"/>
    <n v="0"/>
    <n v="0"/>
    <n v="0"/>
    <n v="0"/>
    <n v="0"/>
    <n v="0"/>
    <n v="0"/>
    <n v="0"/>
    <n v="0"/>
    <n v="0"/>
    <n v="0"/>
    <n v="0"/>
    <n v="0"/>
    <n v="0"/>
    <n v="0"/>
    <n v="0"/>
    <n v="0"/>
    <n v="0"/>
    <n v="0"/>
    <n v="0"/>
    <n v="0"/>
    <n v="0"/>
    <n v="0"/>
    <n v="0"/>
    <n v="0"/>
    <n v="0"/>
    <n v="0"/>
    <n v="0"/>
    <n v="0"/>
    <n v="0"/>
    <m/>
    <m/>
    <m/>
    <m/>
    <m/>
    <m/>
    <m/>
    <m/>
    <m/>
    <m/>
    <m/>
    <m/>
    <m/>
    <m/>
    <m/>
    <m/>
    <m/>
    <m/>
    <m/>
    <m/>
    <m/>
    <m/>
    <m/>
    <m/>
    <m/>
    <m/>
    <m/>
    <m/>
    <m/>
    <m/>
    <m/>
    <m/>
    <m/>
    <m/>
  </r>
  <r>
    <n v="742"/>
    <d v="2024-12-19T00:00:00"/>
    <s v="ZBTO"/>
    <n v="9518356689"/>
    <n v="9"/>
    <s v="9518356689-9"/>
    <m/>
    <s v="No Priority"/>
    <s v="Failed orders"/>
    <x v="1"/>
    <x v="3"/>
    <n v="2000"/>
    <m/>
    <x v="1"/>
    <m/>
    <s v="Beyond HSM rollability"/>
    <s v="Tamil Nadu"/>
    <m/>
    <m/>
    <m/>
    <n v="938550"/>
    <s v="BASEER AND CO"/>
    <n v="1804905"/>
    <s v="CRCA COIL-TATCRC-TR15-0.5X1000"/>
    <s v=""/>
    <s v=""/>
    <m/>
    <m/>
    <s v="Narrow"/>
    <s v="C01"/>
    <s v="TATCRC"/>
    <s v="TR15"/>
    <n v="0.5"/>
    <n v="1000"/>
    <n v="0"/>
    <n v="46"/>
    <e v="#N/A"/>
    <n v="46"/>
    <n v="46"/>
    <e v="#N/A"/>
    <e v="#N/A"/>
    <m/>
    <n v="0"/>
    <n v="46"/>
    <n v="0"/>
    <n v="0"/>
    <n v="51.52"/>
    <n v="0"/>
    <n v="0"/>
    <n v="0"/>
    <n v="0"/>
    <n v="0"/>
    <n v="0"/>
    <n v="0"/>
    <n v="0"/>
    <n v="0"/>
    <n v="0"/>
    <n v="0"/>
    <n v="0"/>
    <n v="0"/>
    <n v="0"/>
    <n v="0"/>
    <n v="0"/>
    <n v="0"/>
    <n v="0"/>
    <n v="0"/>
    <n v="0"/>
    <n v="0"/>
    <n v="0"/>
    <n v="0"/>
    <n v="0"/>
    <n v="0"/>
    <n v="0"/>
    <n v="0"/>
    <n v="0"/>
    <n v="0"/>
    <n v="0"/>
    <n v="0"/>
    <n v="0"/>
    <n v="0"/>
    <n v="0"/>
    <n v="0"/>
    <n v="0"/>
    <n v="0"/>
    <m/>
    <m/>
    <m/>
    <m/>
    <m/>
    <m/>
    <m/>
    <m/>
    <m/>
    <m/>
    <m/>
    <m/>
    <m/>
    <m/>
    <m/>
    <m/>
    <m/>
    <m/>
    <m/>
    <m/>
    <m/>
    <m/>
    <m/>
    <m/>
    <m/>
    <m/>
    <m/>
    <m/>
    <m/>
    <m/>
    <m/>
    <m/>
    <m/>
    <m/>
  </r>
  <r>
    <n v="742"/>
    <d v="2024-12-19T00:00:00"/>
    <s v="ZBTO"/>
    <n v="9518356689"/>
    <n v="19"/>
    <s v="9518356689-19"/>
    <m/>
    <s v="No Priority"/>
    <s v="Failed orders"/>
    <x v="1"/>
    <x v="1"/>
    <n v="2000"/>
    <m/>
    <x v="1"/>
    <s v="Mar"/>
    <m/>
    <s v="Tamil Nadu"/>
    <m/>
    <m/>
    <m/>
    <n v="938550"/>
    <s v="BASEER AND CO"/>
    <n v="3239408"/>
    <s v="CRCA SHEET TATCRC SR16 0.300X900X2500"/>
    <s v=""/>
    <s v=""/>
    <m/>
    <m/>
    <s v="Narrow"/>
    <s v="C06"/>
    <s v="TATCRC"/>
    <s v="SR16"/>
    <n v="0.3"/>
    <n v="900"/>
    <n v="250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1-16T00:00:00"/>
    <s v="ZBTO"/>
    <n v="9518433421"/>
    <n v="4"/>
    <s v="9518433421-4"/>
    <m/>
    <s v="No Priority"/>
    <s v="Failed orders"/>
    <x v="1"/>
    <x v="3"/>
    <n v="2000"/>
    <m/>
    <x v="1"/>
    <m/>
    <s v="Beyond HSM rollability"/>
    <s v="Tamil Nadu"/>
    <m/>
    <m/>
    <m/>
    <n v="938550"/>
    <s v="BASEER AND CO"/>
    <n v="1804889"/>
    <s v="CRCA COIL-TATCRC-TR15-0.4X1000"/>
    <s v=""/>
    <s v=""/>
    <m/>
    <m/>
    <s v="Narrow"/>
    <s v="C01"/>
    <s v="TATCRC"/>
    <s v="TR15"/>
    <n v="0.4"/>
    <n v="1000"/>
    <n v="0"/>
    <n v="69"/>
    <e v="#N/A"/>
    <n v="69"/>
    <n v="69"/>
    <e v="#N/A"/>
    <e v="#N/A"/>
    <m/>
    <n v="0"/>
    <n v="69"/>
    <n v="0"/>
    <n v="0"/>
    <n v="77.28"/>
    <n v="0"/>
    <n v="0"/>
    <n v="0"/>
    <n v="0"/>
    <n v="0"/>
    <n v="0"/>
    <n v="0"/>
    <n v="0"/>
    <n v="0"/>
    <n v="0"/>
    <n v="0"/>
    <n v="0"/>
    <n v="0"/>
    <n v="0"/>
    <n v="0"/>
    <n v="0"/>
    <n v="0"/>
    <n v="0"/>
    <n v="0"/>
    <n v="0"/>
    <n v="0"/>
    <n v="0"/>
    <n v="0"/>
    <n v="0"/>
    <n v="0"/>
    <n v="0"/>
    <n v="0"/>
    <n v="0"/>
    <n v="0"/>
    <n v="0"/>
    <n v="0"/>
    <n v="0"/>
    <n v="0"/>
    <n v="0"/>
    <n v="0"/>
    <n v="0"/>
    <n v="0"/>
    <m/>
    <m/>
    <m/>
    <m/>
    <m/>
    <m/>
    <m/>
    <m/>
    <m/>
    <m/>
    <m/>
    <m/>
    <m/>
    <m/>
    <m/>
    <m/>
    <m/>
    <m/>
    <m/>
    <m/>
    <m/>
    <m/>
    <m/>
    <m/>
    <m/>
    <m/>
    <m/>
    <m/>
    <m/>
    <m/>
    <m/>
    <m/>
    <m/>
    <m/>
  </r>
  <r>
    <n v="742"/>
    <d v="2025-01-16T00:00:00"/>
    <s v="ZBTO"/>
    <n v="9518433421"/>
    <n v="6"/>
    <s v="9518433421-6"/>
    <m/>
    <s v="No Priority"/>
    <s v="Failed orders"/>
    <x v="1"/>
    <x v="3"/>
    <n v="2000"/>
    <m/>
    <x v="1"/>
    <m/>
    <s v="Beyond HSM rollability"/>
    <s v="Tamil Nadu"/>
    <m/>
    <m/>
    <m/>
    <n v="938550"/>
    <s v="BASEER AND CO"/>
    <n v="1804893"/>
    <s v="CRCA COIL-TATCRC-TR15-0.45X900"/>
    <s v=""/>
    <s v=""/>
    <m/>
    <m/>
    <s v="Narrow"/>
    <s v="C01"/>
    <s v="TATCRC"/>
    <s v="TR15"/>
    <n v="0.45"/>
    <n v="900"/>
    <n v="0"/>
    <n v="63"/>
    <e v="#N/A"/>
    <n v="63"/>
    <n v="63"/>
    <e v="#N/A"/>
    <e v="#N/A"/>
    <m/>
    <n v="0"/>
    <n v="63"/>
    <n v="0"/>
    <n v="0"/>
    <n v="70.56"/>
    <n v="0"/>
    <n v="0"/>
    <n v="0"/>
    <n v="0"/>
    <n v="0"/>
    <n v="0"/>
    <n v="0"/>
    <n v="0"/>
    <n v="0"/>
    <n v="0"/>
    <n v="0"/>
    <n v="0"/>
    <n v="0"/>
    <n v="0"/>
    <n v="0"/>
    <n v="0"/>
    <n v="0"/>
    <n v="0"/>
    <n v="0"/>
    <n v="0"/>
    <n v="0"/>
    <n v="0"/>
    <n v="0"/>
    <n v="0"/>
    <n v="0"/>
    <n v="0"/>
    <n v="0"/>
    <n v="0"/>
    <n v="0"/>
    <n v="0"/>
    <n v="0"/>
    <n v="0"/>
    <n v="0"/>
    <n v="0"/>
    <n v="0"/>
    <n v="0"/>
    <n v="0"/>
    <m/>
    <m/>
    <m/>
    <m/>
    <m/>
    <m/>
    <m/>
    <m/>
    <m/>
    <m/>
    <m/>
    <m/>
    <m/>
    <m/>
    <m/>
    <m/>
    <m/>
    <m/>
    <m/>
    <m/>
    <m/>
    <m/>
    <m/>
    <m/>
    <m/>
    <m/>
    <m/>
    <m/>
    <m/>
    <m/>
    <m/>
    <m/>
    <m/>
    <m/>
  </r>
  <r>
    <n v="742"/>
    <d v="2025-01-16T00:00:00"/>
    <s v="ZBTO"/>
    <n v="9518433421"/>
    <n v="7"/>
    <s v="9518433421-7"/>
    <m/>
    <s v="No Priority"/>
    <s v="Failed orders"/>
    <x v="1"/>
    <x v="3"/>
    <n v="2000"/>
    <m/>
    <x v="1"/>
    <m/>
    <s v="Beyond HSM rollability"/>
    <s v="Tamil Nadu"/>
    <m/>
    <m/>
    <m/>
    <n v="938550"/>
    <s v="BASEER AND CO"/>
    <n v="1804896"/>
    <s v="CRCA COIL-TATCRC-TR15-0.45X1000"/>
    <s v=""/>
    <s v=""/>
    <m/>
    <m/>
    <s v="Narrow"/>
    <s v="C01"/>
    <s v="TATCRC"/>
    <s v="TR15"/>
    <n v="0.45"/>
    <n v="1000"/>
    <n v="0"/>
    <n v="69"/>
    <e v="#N/A"/>
    <n v="69"/>
    <n v="69"/>
    <e v="#N/A"/>
    <e v="#N/A"/>
    <m/>
    <n v="0"/>
    <n v="69"/>
    <n v="0"/>
    <n v="0"/>
    <n v="77.28"/>
    <n v="0"/>
    <n v="0"/>
    <n v="0"/>
    <n v="0"/>
    <n v="0"/>
    <n v="0"/>
    <n v="0"/>
    <n v="0"/>
    <n v="0"/>
    <n v="0"/>
    <n v="0"/>
    <n v="0"/>
    <n v="0"/>
    <n v="0"/>
    <n v="0"/>
    <n v="0"/>
    <n v="0"/>
    <n v="0"/>
    <n v="0"/>
    <n v="0"/>
    <n v="0"/>
    <n v="0"/>
    <n v="0"/>
    <n v="0"/>
    <n v="0"/>
    <n v="0"/>
    <n v="0"/>
    <n v="0"/>
    <n v="0"/>
    <n v="0"/>
    <n v="0"/>
    <n v="0"/>
    <n v="0"/>
    <n v="0"/>
    <n v="0"/>
    <n v="0"/>
    <n v="0"/>
    <m/>
    <m/>
    <m/>
    <m/>
    <m/>
    <m/>
    <m/>
    <m/>
    <m/>
    <m/>
    <m/>
    <m/>
    <m/>
    <m/>
    <m/>
    <m/>
    <m/>
    <m/>
    <m/>
    <m/>
    <m/>
    <m/>
    <m/>
    <m/>
    <m/>
    <m/>
    <m/>
    <m/>
    <m/>
    <m/>
    <m/>
    <m/>
    <m/>
    <m/>
  </r>
  <r>
    <n v="742"/>
    <d v="2025-01-16T00:00:00"/>
    <s v="ZBTO"/>
    <n v="9518433421"/>
    <n v="8"/>
    <s v="9518433421-8"/>
    <m/>
    <s v="No Priority"/>
    <s v="Failed orders"/>
    <x v="1"/>
    <x v="3"/>
    <n v="2000"/>
    <m/>
    <x v="1"/>
    <m/>
    <s v="Beyond HSM rollability"/>
    <s v="Tamil Nadu"/>
    <m/>
    <m/>
    <m/>
    <n v="938550"/>
    <s v="BASEER AND CO"/>
    <n v="1804905"/>
    <s v="CRCA COIL-TATCRC-TR15-0.5X1000"/>
    <s v=""/>
    <s v=""/>
    <m/>
    <m/>
    <s v="Narrow"/>
    <s v="C01"/>
    <s v="TATCRC"/>
    <s v="TR15"/>
    <n v="0.5"/>
    <n v="1000"/>
    <n v="0"/>
    <n v="46"/>
    <e v="#N/A"/>
    <n v="46"/>
    <n v="46"/>
    <e v="#N/A"/>
    <e v="#N/A"/>
    <m/>
    <n v="0"/>
    <n v="46"/>
    <n v="0"/>
    <n v="0"/>
    <n v="51.52"/>
    <n v="0"/>
    <n v="0"/>
    <n v="0"/>
    <n v="0"/>
    <n v="0"/>
    <n v="0"/>
    <n v="0"/>
    <n v="0"/>
    <n v="0"/>
    <n v="0"/>
    <n v="0"/>
    <n v="0"/>
    <n v="0"/>
    <n v="0"/>
    <n v="0"/>
    <n v="0"/>
    <n v="0"/>
    <n v="0"/>
    <n v="0"/>
    <n v="0"/>
    <n v="0"/>
    <n v="0"/>
    <n v="0"/>
    <n v="0"/>
    <n v="0"/>
    <n v="0"/>
    <n v="0"/>
    <n v="0"/>
    <n v="0"/>
    <n v="0"/>
    <n v="0"/>
    <n v="0"/>
    <n v="0"/>
    <n v="0"/>
    <n v="0"/>
    <n v="0"/>
    <n v="0"/>
    <m/>
    <m/>
    <m/>
    <m/>
    <m/>
    <m/>
    <m/>
    <m/>
    <m/>
    <m/>
    <m/>
    <m/>
    <m/>
    <m/>
    <m/>
    <m/>
    <m/>
    <m/>
    <m/>
    <m/>
    <m/>
    <m/>
    <m/>
    <m/>
    <m/>
    <m/>
    <m/>
    <m/>
    <m/>
    <m/>
    <m/>
    <m/>
    <m/>
    <m/>
  </r>
  <r>
    <n v="742"/>
    <d v="2025-01-16T00:00:00"/>
    <s v="ZBTO"/>
    <n v="9518433421"/>
    <n v="11"/>
    <s v="9518433421-11"/>
    <m/>
    <s v="Mar'25"/>
    <s v="Released orders"/>
    <x v="1"/>
    <x v="3"/>
    <n v="2000"/>
    <m/>
    <x v="0"/>
    <s v="Mar"/>
    <m/>
    <s v="Tamil Nadu"/>
    <m/>
    <m/>
    <m/>
    <n v="938550"/>
    <s v="BASEER AND CO"/>
    <n v="1801562"/>
    <s v="CRCA COIL-TATXXD-AU03-0.8X1000"/>
    <s v=""/>
    <s v=""/>
    <m/>
    <m/>
    <s v="Narrow"/>
    <s v="C01"/>
    <s v="TATXXD"/>
    <s v="AU03"/>
    <n v="0.8"/>
    <n v="1000"/>
    <n v="0"/>
    <n v="46"/>
    <n v="0"/>
    <n v="46"/>
    <n v="46"/>
    <e v="#N/A"/>
    <e v="#N/A"/>
    <m/>
    <n v="0"/>
    <n v="46"/>
    <n v="46"/>
    <n v="0"/>
    <n v="51.52"/>
    <n v="0"/>
    <n v="0"/>
    <n v="0"/>
    <n v="0"/>
    <n v="0"/>
    <n v="0"/>
    <n v="0"/>
    <n v="0"/>
    <n v="0"/>
    <n v="0"/>
    <n v="0"/>
    <n v="0"/>
    <n v="0"/>
    <n v="0"/>
    <n v="0"/>
    <n v="0"/>
    <n v="0"/>
    <n v="0"/>
    <n v="0"/>
    <n v="0"/>
    <n v="0"/>
    <n v="0"/>
    <n v="0"/>
    <n v="0"/>
    <n v="46"/>
    <n v="0"/>
    <n v="0"/>
    <n v="0"/>
    <n v="0"/>
    <n v="46"/>
    <n v="0"/>
    <n v="0"/>
    <n v="0"/>
    <n v="0"/>
    <n v="0"/>
    <n v="0"/>
    <n v="46"/>
    <m/>
    <m/>
    <m/>
    <m/>
    <m/>
    <m/>
    <m/>
    <m/>
    <m/>
    <m/>
    <m/>
    <m/>
    <m/>
    <m/>
    <m/>
    <m/>
    <m/>
    <m/>
    <m/>
    <m/>
    <m/>
    <m/>
    <m/>
    <m/>
    <m/>
    <m/>
    <m/>
    <m/>
    <m/>
    <m/>
    <m/>
    <m/>
    <m/>
    <m/>
  </r>
  <r>
    <n v="742"/>
    <d v="2025-01-16T00:00:00"/>
    <s v="ZBTO"/>
    <n v="9518433421"/>
    <n v="14"/>
    <s v="9518433421-14"/>
    <m/>
    <s v="Mar'25"/>
    <s v="Released orders"/>
    <x v="1"/>
    <x v="3"/>
    <n v="2000"/>
    <m/>
    <x v="0"/>
    <s v="Mar"/>
    <m/>
    <s v="Tamil Nadu"/>
    <m/>
    <m/>
    <m/>
    <n v="938550"/>
    <s v="BASEER AND CO"/>
    <n v="1804852"/>
    <s v="CRCA COIL-TATXXD-AU03-1.2X1000"/>
    <s v=""/>
    <s v=""/>
    <m/>
    <m/>
    <s v="Narrow"/>
    <s v="C01"/>
    <s v="TATXXD"/>
    <s v="AU03"/>
    <n v="1.2"/>
    <n v="1000"/>
    <n v="0"/>
    <n v="46"/>
    <n v="0"/>
    <n v="46"/>
    <n v="46"/>
    <e v="#N/A"/>
    <e v="#N/A"/>
    <m/>
    <n v="0"/>
    <n v="46"/>
    <n v="46"/>
    <n v="0"/>
    <n v="51.52"/>
    <n v="0"/>
    <n v="0"/>
    <n v="0"/>
    <n v="0"/>
    <n v="0"/>
    <n v="0"/>
    <n v="0"/>
    <n v="0"/>
    <n v="0"/>
    <n v="0"/>
    <n v="0"/>
    <n v="0"/>
    <n v="0"/>
    <n v="0"/>
    <n v="0"/>
    <n v="0"/>
    <n v="0"/>
    <n v="0"/>
    <n v="0"/>
    <n v="0"/>
    <n v="0"/>
    <n v="0"/>
    <n v="0"/>
    <n v="0"/>
    <n v="46"/>
    <n v="0"/>
    <n v="0"/>
    <n v="0"/>
    <n v="0"/>
    <n v="46"/>
    <n v="0"/>
    <n v="0"/>
    <n v="0"/>
    <n v="0"/>
    <n v="0"/>
    <n v="0"/>
    <n v="46"/>
    <m/>
    <m/>
    <m/>
    <m/>
    <m/>
    <m/>
    <m/>
    <m/>
    <m/>
    <m/>
    <m/>
    <m/>
    <m/>
    <m/>
    <m/>
    <m/>
    <m/>
    <m/>
    <m/>
    <m/>
    <m/>
    <m/>
    <m/>
    <m/>
    <m/>
    <m/>
    <m/>
    <m/>
    <m/>
    <m/>
    <m/>
    <m/>
    <m/>
    <m/>
  </r>
  <r>
    <n v="742"/>
    <d v="2025-01-16T00:00:00"/>
    <s v="ZBTO"/>
    <n v="9518433421"/>
    <n v="23"/>
    <s v="9518433421-23"/>
    <m/>
    <s v="Mar'25"/>
    <s v="Released orders"/>
    <x v="1"/>
    <x v="3"/>
    <n v="2000"/>
    <m/>
    <x v="0"/>
    <s v="Mar"/>
    <m/>
    <s v="Tamil Nadu"/>
    <m/>
    <m/>
    <m/>
    <n v="938550"/>
    <s v="BASEER AND CO"/>
    <n v="3513392"/>
    <s v="CR COIL TATXXD AU03 0.800X925"/>
    <s v=""/>
    <s v=""/>
    <m/>
    <m/>
    <s v="Narrow"/>
    <s v="C01"/>
    <s v="TATXXD"/>
    <s v="AU03"/>
    <n v="0.8"/>
    <n v="925"/>
    <n v="0"/>
    <n v="42"/>
    <n v="0"/>
    <n v="42"/>
    <n v="42"/>
    <e v="#N/A"/>
    <e v="#N/A"/>
    <m/>
    <n v="0"/>
    <n v="42"/>
    <n v="42"/>
    <n v="0"/>
    <n v="47.040000000000006"/>
    <n v="0"/>
    <n v="0"/>
    <n v="0"/>
    <n v="0"/>
    <n v="0"/>
    <n v="0"/>
    <n v="0"/>
    <n v="0"/>
    <n v="0"/>
    <n v="0"/>
    <n v="0"/>
    <n v="0"/>
    <n v="0"/>
    <n v="0"/>
    <n v="0"/>
    <n v="0"/>
    <n v="0"/>
    <n v="0"/>
    <n v="0"/>
    <n v="0"/>
    <n v="0"/>
    <n v="0"/>
    <n v="0"/>
    <n v="0"/>
    <n v="42"/>
    <n v="0"/>
    <n v="0"/>
    <n v="0"/>
    <n v="0"/>
    <n v="42"/>
    <n v="0"/>
    <n v="0"/>
    <n v="0"/>
    <n v="0"/>
    <n v="0"/>
    <n v="0"/>
    <n v="42"/>
    <m/>
    <m/>
    <m/>
    <m/>
    <m/>
    <m/>
    <m/>
    <m/>
    <m/>
    <m/>
    <m/>
    <m/>
    <m/>
    <m/>
    <m/>
    <m/>
    <m/>
    <m/>
    <m/>
    <m/>
    <m/>
    <m/>
    <m/>
    <m/>
    <m/>
    <m/>
    <m/>
    <m/>
    <m/>
    <m/>
    <m/>
    <m/>
    <m/>
    <m/>
  </r>
  <r>
    <n v="742"/>
    <d v="2025-02-06T00:00:00"/>
    <s v="ZBTO"/>
    <n v="9518498088"/>
    <n v="1"/>
    <s v="9518498088-1"/>
    <m/>
    <s v="Mar'25"/>
    <s v="Released orders"/>
    <x v="1"/>
    <x v="3"/>
    <n v="2000"/>
    <m/>
    <x v="0"/>
    <s v="Mar"/>
    <m/>
    <s v="Tamil Nadu"/>
    <m/>
    <m/>
    <m/>
    <n v="938550"/>
    <s v="BASEER AND CO"/>
    <n v="3931386"/>
    <s v="CR COIL TATXXD AU03 0.700X925"/>
    <s v=""/>
    <s v=""/>
    <m/>
    <m/>
    <s v="Narrow"/>
    <s v="C01"/>
    <s v="TATXXD"/>
    <s v="AU03"/>
    <n v="0.7"/>
    <n v="925"/>
    <n v="0"/>
    <n v="42"/>
    <n v="0"/>
    <n v="42"/>
    <n v="42"/>
    <e v="#N/A"/>
    <e v="#N/A"/>
    <m/>
    <n v="0"/>
    <n v="42"/>
    <n v="42"/>
    <n v="0"/>
    <n v="47.040000000000006"/>
    <n v="0"/>
    <n v="0"/>
    <n v="0"/>
    <n v="0"/>
    <n v="0"/>
    <n v="0"/>
    <n v="0"/>
    <n v="0"/>
    <n v="0"/>
    <n v="0"/>
    <n v="0"/>
    <n v="0"/>
    <n v="0"/>
    <n v="0"/>
    <n v="0"/>
    <n v="0"/>
    <n v="0"/>
    <n v="0"/>
    <n v="0"/>
    <n v="0"/>
    <n v="0"/>
    <n v="0"/>
    <n v="0"/>
    <n v="0"/>
    <n v="42"/>
    <n v="0"/>
    <n v="0"/>
    <n v="0"/>
    <n v="0"/>
    <n v="42"/>
    <n v="0"/>
    <n v="0"/>
    <n v="0"/>
    <n v="0"/>
    <n v="0"/>
    <n v="0"/>
    <n v="42"/>
    <m/>
    <m/>
    <m/>
    <m/>
    <m/>
    <m/>
    <m/>
    <m/>
    <m/>
    <m/>
    <m/>
    <m/>
    <m/>
    <m/>
    <m/>
    <m/>
    <m/>
    <m/>
    <m/>
    <m/>
    <m/>
    <m/>
    <m/>
    <m/>
    <m/>
    <m/>
    <m/>
    <m/>
    <m/>
    <m/>
    <m/>
    <m/>
    <m/>
    <m/>
  </r>
  <r>
    <n v="742"/>
    <d v="2025-02-20T00:00:00"/>
    <s v="ZBTO"/>
    <n v="9518535833"/>
    <n v="1"/>
    <s v="9518535833-1"/>
    <m/>
    <s v="No Priority"/>
    <s v="Failed orders"/>
    <x v="1"/>
    <x v="3"/>
    <n v="2000"/>
    <m/>
    <x v="1"/>
    <m/>
    <s v="Beyond HSM rollability"/>
    <s v="Tamil Nadu"/>
    <m/>
    <m/>
    <m/>
    <n v="938550"/>
    <s v="BASEER AND CO"/>
    <n v="2352643"/>
    <s v="CRCA COIL TATCRC TR15 0.350X900"/>
    <s v=""/>
    <s v=""/>
    <m/>
    <m/>
    <s v="Narrow"/>
    <s v="C01"/>
    <s v="TATCRC"/>
    <s v="TR15"/>
    <n v="0.35"/>
    <n v="900"/>
    <n v="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2"/>
    <s v="9518535833-2"/>
    <m/>
    <s v="No Priority"/>
    <s v="Failed orders"/>
    <x v="1"/>
    <x v="3"/>
    <n v="2000"/>
    <m/>
    <x v="1"/>
    <m/>
    <s v="Beyond HSM rollability"/>
    <s v="Tamil Nadu"/>
    <m/>
    <m/>
    <m/>
    <n v="938550"/>
    <s v="BASEER AND CO"/>
    <n v="2352644"/>
    <s v="CRCA COIL TATCRC TR15 0.350X1000"/>
    <s v=""/>
    <s v=""/>
    <m/>
    <m/>
    <s v="Narrow"/>
    <s v="C01"/>
    <s v="TATCRC"/>
    <s v="TR15"/>
    <n v="0.35"/>
    <n v="1000"/>
    <n v="0"/>
    <n v="46"/>
    <e v="#N/A"/>
    <n v="46"/>
    <n v="46"/>
    <e v="#N/A"/>
    <e v="#N/A"/>
    <m/>
    <n v="0"/>
    <n v="46"/>
    <n v="0"/>
    <n v="0"/>
    <n v="51.52"/>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3"/>
    <s v="9518535833-3"/>
    <m/>
    <s v="No Priority"/>
    <s v="Failed orders"/>
    <x v="1"/>
    <x v="3"/>
    <n v="2000"/>
    <m/>
    <x v="1"/>
    <m/>
    <s v="Beyond HSM rollability"/>
    <s v="Tamil Nadu"/>
    <m/>
    <m/>
    <m/>
    <n v="938550"/>
    <s v="BASEER AND CO"/>
    <n v="2165170"/>
    <s v="CRCA COIL TATCRC TR15 0.400X900"/>
    <s v=""/>
    <s v=""/>
    <m/>
    <m/>
    <s v="Narrow"/>
    <s v="C01"/>
    <s v="TATCRC"/>
    <s v="TR15"/>
    <n v="0.4"/>
    <n v="900"/>
    <n v="0"/>
    <n v="63"/>
    <e v="#N/A"/>
    <n v="63"/>
    <n v="63"/>
    <e v="#N/A"/>
    <e v="#N/A"/>
    <m/>
    <n v="0"/>
    <n v="63"/>
    <n v="0"/>
    <n v="0"/>
    <n v="70.56"/>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4"/>
    <s v="9518535833-4"/>
    <m/>
    <s v="No Priority"/>
    <s v="Failed orders"/>
    <x v="1"/>
    <x v="3"/>
    <n v="2000"/>
    <m/>
    <x v="1"/>
    <m/>
    <s v="Beyond HSM rollability"/>
    <s v="Tamil Nadu"/>
    <m/>
    <m/>
    <m/>
    <n v="938550"/>
    <s v="BASEER AND CO"/>
    <n v="1804889"/>
    <s v="CRCA COIL-TATCRC-TR15-0.4X1000"/>
    <s v=""/>
    <s v=""/>
    <m/>
    <m/>
    <s v="Narrow"/>
    <s v="C01"/>
    <s v="TATCRC"/>
    <s v="TR15"/>
    <n v="0.4"/>
    <n v="1000"/>
    <n v="0"/>
    <n v="69"/>
    <e v="#N/A"/>
    <n v="69"/>
    <n v="69"/>
    <e v="#N/A"/>
    <e v="#N/A"/>
    <m/>
    <n v="0"/>
    <n v="69"/>
    <n v="0"/>
    <n v="0"/>
    <n v="77.28"/>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5"/>
    <s v="9518535833-5"/>
    <m/>
    <s v="No Priority"/>
    <s v="Failed orders"/>
    <x v="1"/>
    <x v="3"/>
    <n v="2000"/>
    <m/>
    <x v="1"/>
    <s v="Mar"/>
    <m/>
    <s v="Tamil Nadu"/>
    <m/>
    <m/>
    <m/>
    <n v="938550"/>
    <s v="BASEER AND CO"/>
    <n v="37862"/>
    <s v="CRCA COIL TATCRC TR15 0.4X1250"/>
    <s v=""/>
    <s v=""/>
    <m/>
    <m/>
    <s v="Wider"/>
    <s v="C01"/>
    <s v="TATCRC"/>
    <s v="TR15"/>
    <n v="0.4"/>
    <n v="1250"/>
    <n v="0"/>
    <n v="58"/>
    <e v="#N/A"/>
    <n v="58"/>
    <n v="58"/>
    <e v="#N/A"/>
    <e v="#N/A"/>
    <m/>
    <n v="0"/>
    <n v="58"/>
    <n v="0"/>
    <n v="0"/>
    <n v="64.960000000000008"/>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6"/>
    <s v="9518535833-6"/>
    <m/>
    <s v="No Priority"/>
    <s v="Failed orders"/>
    <x v="1"/>
    <x v="3"/>
    <n v="2000"/>
    <m/>
    <x v="1"/>
    <m/>
    <s v="Beyond HSM rollability"/>
    <s v="Tamil Nadu"/>
    <m/>
    <m/>
    <m/>
    <n v="938550"/>
    <s v="BASEER AND CO"/>
    <n v="1804893"/>
    <s v="CRCA COIL-TATCRC-TR15-0.45X900"/>
    <s v=""/>
    <s v=""/>
    <m/>
    <m/>
    <s v="Narrow"/>
    <s v="C01"/>
    <s v="TATCRC"/>
    <s v="TR15"/>
    <n v="0.45"/>
    <n v="900"/>
    <n v="0"/>
    <n v="63"/>
    <e v="#N/A"/>
    <n v="63"/>
    <n v="63"/>
    <e v="#N/A"/>
    <e v="#N/A"/>
    <m/>
    <n v="0"/>
    <n v="63"/>
    <n v="0"/>
    <n v="0"/>
    <n v="70.56"/>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7"/>
    <s v="9518535833-7"/>
    <m/>
    <s v="No Priority"/>
    <s v="Failed orders"/>
    <x v="1"/>
    <x v="3"/>
    <n v="2000"/>
    <m/>
    <x v="1"/>
    <m/>
    <s v="Beyond HSM rollability"/>
    <s v="Tamil Nadu"/>
    <m/>
    <m/>
    <m/>
    <n v="938550"/>
    <s v="BASEER AND CO"/>
    <n v="1804896"/>
    <s v="CRCA COIL-TATCRC-TR15-0.45X1000"/>
    <s v=""/>
    <s v=""/>
    <m/>
    <m/>
    <s v="Narrow"/>
    <s v="C01"/>
    <s v="TATCRC"/>
    <s v="TR15"/>
    <n v="0.45"/>
    <n v="1000"/>
    <n v="0"/>
    <n v="69"/>
    <e v="#N/A"/>
    <n v="69"/>
    <n v="69"/>
    <e v="#N/A"/>
    <e v="#N/A"/>
    <m/>
    <n v="0"/>
    <n v="69"/>
    <n v="0"/>
    <n v="0"/>
    <n v="77.28"/>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8"/>
    <s v="9518535833-8"/>
    <m/>
    <s v="No Priority"/>
    <s v="Failed orders"/>
    <x v="1"/>
    <x v="3"/>
    <n v="2000"/>
    <m/>
    <x v="1"/>
    <m/>
    <s v="Beyond HSM rollability"/>
    <s v="Tamil Nadu"/>
    <m/>
    <m/>
    <m/>
    <n v="938550"/>
    <s v="BASEER AND CO"/>
    <n v="1804905"/>
    <s v="CRCA COIL-TATCRC-TR15-0.5X1000"/>
    <s v=""/>
    <s v=""/>
    <m/>
    <m/>
    <s v="Narrow"/>
    <s v="C01"/>
    <s v="TATCRC"/>
    <s v="TR15"/>
    <n v="0.5"/>
    <n v="1000"/>
    <n v="0"/>
    <n v="46"/>
    <e v="#N/A"/>
    <n v="46"/>
    <n v="46"/>
    <e v="#N/A"/>
    <e v="#N/A"/>
    <m/>
    <n v="0"/>
    <n v="46"/>
    <n v="0"/>
    <n v="0"/>
    <n v="51.52"/>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9"/>
    <s v="9518535833-9"/>
    <m/>
    <s v="Mar'25 additional"/>
    <s v="Released orders"/>
    <x v="1"/>
    <x v="3"/>
    <n v="2000"/>
    <m/>
    <x v="0"/>
    <m/>
    <m/>
    <s v="Tamil Nadu"/>
    <m/>
    <m/>
    <m/>
    <n v="938550"/>
    <s v="BASEER AND CO"/>
    <n v="1801286"/>
    <s v="CRCA COIL-TATXXD-AU03-0.6X1000"/>
    <s v=""/>
    <s v=""/>
    <m/>
    <m/>
    <s v="Narrow"/>
    <s v="C01"/>
    <s v="TATXXD"/>
    <s v="AU03"/>
    <n v="0.6"/>
    <n v="1000"/>
    <n v="0"/>
    <n v="46"/>
    <n v="0"/>
    <n v="46"/>
    <n v="46"/>
    <e v="#N/A"/>
    <e v="#N/A"/>
    <m/>
    <n v="0"/>
    <n v="46"/>
    <n v="46"/>
    <n v="0"/>
    <n v="51.52"/>
    <n v="0"/>
    <n v="0"/>
    <n v="0"/>
    <n v="0"/>
    <n v="0"/>
    <n v="0"/>
    <n v="0"/>
    <n v="0"/>
    <n v="0"/>
    <n v="0"/>
    <n v="0"/>
    <n v="0"/>
    <n v="0"/>
    <n v="0"/>
    <n v="0"/>
    <n v="0"/>
    <n v="0"/>
    <n v="0"/>
    <n v="0"/>
    <n v="0"/>
    <n v="0"/>
    <n v="0"/>
    <n v="0"/>
    <n v="0"/>
    <n v="46"/>
    <n v="0"/>
    <n v="0"/>
    <n v="0"/>
    <n v="0"/>
    <n v="46"/>
    <n v="0"/>
    <n v="0"/>
    <n v="0"/>
    <n v="0"/>
    <n v="0"/>
    <n v="0"/>
    <n v="46"/>
    <m/>
    <m/>
    <m/>
    <m/>
    <m/>
    <m/>
    <m/>
    <m/>
    <m/>
    <m/>
    <m/>
    <m/>
    <m/>
    <m/>
    <m/>
    <m/>
    <m/>
    <m/>
    <m/>
    <m/>
    <m/>
    <m/>
    <m/>
    <m/>
    <m/>
    <m/>
    <m/>
    <m/>
    <m/>
    <m/>
    <m/>
    <m/>
    <m/>
    <m/>
  </r>
  <r>
    <n v="742"/>
    <d v="2025-02-19T00:00:00"/>
    <s v="ZBTO"/>
    <n v="9518533596"/>
    <n v="7"/>
    <s v="9518533596-7"/>
    <m/>
    <s v="Mar'25"/>
    <s v="Released orders"/>
    <x v="1"/>
    <x v="3"/>
    <n v="2000"/>
    <m/>
    <x v="0"/>
    <s v="Mar"/>
    <m/>
    <s v="West Bengal"/>
    <m/>
    <m/>
    <m/>
    <n v="155536"/>
    <s v="TATA STEEL DOWNSTREAM PRODUCTS"/>
    <n v="185675"/>
    <s v="CRCA COIL-TATXXD-AU03-0.5X1250"/>
    <s v=""/>
    <s v=""/>
    <m/>
    <m/>
    <s v="Wider"/>
    <s v="C01"/>
    <s v="TATXXD"/>
    <s v="AU03"/>
    <n v="0.5"/>
    <n v="1250"/>
    <n v="0"/>
    <n v="58"/>
    <n v="0"/>
    <n v="58"/>
    <n v="58"/>
    <e v="#N/A"/>
    <e v="#N/A"/>
    <m/>
    <n v="0"/>
    <n v="58"/>
    <n v="58"/>
    <n v="0"/>
    <n v="64.960000000000008"/>
    <n v="0"/>
    <n v="0"/>
    <n v="0"/>
    <n v="0"/>
    <n v="0"/>
    <n v="0"/>
    <n v="0"/>
    <n v="0"/>
    <n v="0"/>
    <n v="0"/>
    <n v="0"/>
    <n v="0"/>
    <n v="0"/>
    <n v="0"/>
    <n v="0"/>
    <n v="0"/>
    <n v="0"/>
    <n v="0"/>
    <n v="0"/>
    <n v="0"/>
    <n v="0"/>
    <n v="0"/>
    <n v="0"/>
    <n v="0"/>
    <n v="58"/>
    <n v="0"/>
    <n v="58"/>
    <n v="0"/>
    <n v="0"/>
    <n v="0"/>
    <n v="58"/>
    <n v="0"/>
    <n v="0"/>
    <n v="58"/>
    <n v="0"/>
    <n v="0"/>
    <n v="0"/>
    <m/>
    <m/>
    <m/>
    <m/>
    <m/>
    <m/>
    <m/>
    <m/>
    <m/>
    <m/>
    <m/>
    <m/>
    <m/>
    <m/>
    <m/>
    <m/>
    <m/>
    <m/>
    <m/>
    <m/>
    <m/>
    <m/>
    <m/>
    <m/>
    <m/>
    <m/>
    <m/>
    <m/>
    <m/>
    <m/>
    <m/>
    <m/>
    <m/>
    <m/>
  </r>
  <r>
    <n v="742"/>
    <d v="2025-02-20T00:00:00"/>
    <s v="ZBTO"/>
    <n v="9518535833"/>
    <n v="11"/>
    <s v="9518535833-11"/>
    <m/>
    <s v="Mar'25 additional"/>
    <s v="Released orders"/>
    <x v="1"/>
    <x v="3"/>
    <n v="2000"/>
    <m/>
    <x v="0"/>
    <m/>
    <m/>
    <s v="Tamil Nadu"/>
    <m/>
    <m/>
    <m/>
    <n v="938550"/>
    <s v="BASEER AND CO"/>
    <n v="3931386"/>
    <s v="CR COIL TATXXD AU03 0.700X925"/>
    <s v=""/>
    <s v=""/>
    <m/>
    <m/>
    <s v="Narrow"/>
    <s v="C01"/>
    <s v="TATXXD"/>
    <s v="AU03"/>
    <n v="0.7"/>
    <n v="925"/>
    <n v="0"/>
    <n v="63"/>
    <n v="0"/>
    <n v="63"/>
    <n v="63"/>
    <e v="#N/A"/>
    <e v="#N/A"/>
    <m/>
    <n v="0"/>
    <n v="63"/>
    <n v="63"/>
    <n v="0"/>
    <n v="70.56"/>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12"/>
    <s v="9518535833-12"/>
    <m/>
    <s v="Mar'25 additional"/>
    <s v="Released orders"/>
    <x v="1"/>
    <x v="3"/>
    <n v="2000"/>
    <m/>
    <x v="0"/>
    <m/>
    <m/>
    <s v="Tamil Nadu"/>
    <m/>
    <m/>
    <m/>
    <n v="938550"/>
    <s v="BASEER AND CO"/>
    <n v="3513392"/>
    <s v="CR COIL TATXXD AU03 0.800X925"/>
    <s v=""/>
    <s v=""/>
    <m/>
    <m/>
    <s v="Narrow"/>
    <s v="C01"/>
    <s v="TATXXD"/>
    <s v="AU03"/>
    <n v="0.8"/>
    <n v="925"/>
    <n v="0"/>
    <n v="63"/>
    <n v="0"/>
    <n v="63"/>
    <n v="63"/>
    <e v="#N/A"/>
    <e v="#N/A"/>
    <m/>
    <n v="0"/>
    <n v="63"/>
    <n v="63"/>
    <n v="0"/>
    <n v="70.56"/>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13"/>
    <s v="9518535833-13"/>
    <m/>
    <s v="Mar'25 additional"/>
    <s v="Released orders"/>
    <x v="1"/>
    <x v="3"/>
    <n v="2000"/>
    <m/>
    <x v="0"/>
    <m/>
    <m/>
    <s v="Tamil Nadu"/>
    <m/>
    <m/>
    <m/>
    <n v="938550"/>
    <s v="BASEER AND CO"/>
    <n v="1801562"/>
    <s v="CRCA COIL-TATXXD-AU03-0.8X1000"/>
    <s v=""/>
    <s v=""/>
    <m/>
    <m/>
    <s v="Narrow"/>
    <s v="C01"/>
    <s v="TATXXD"/>
    <s v="AU03"/>
    <n v="0.8"/>
    <n v="1000"/>
    <n v="0"/>
    <n v="46"/>
    <n v="0"/>
    <n v="46"/>
    <n v="46"/>
    <e v="#N/A"/>
    <e v="#N/A"/>
    <m/>
    <n v="0"/>
    <n v="46"/>
    <n v="46"/>
    <n v="0"/>
    <n v="51.52"/>
    <n v="0"/>
    <n v="0"/>
    <n v="0"/>
    <n v="0"/>
    <n v="0"/>
    <n v="0"/>
    <n v="0"/>
    <n v="0"/>
    <n v="0"/>
    <n v="0"/>
    <n v="0"/>
    <n v="0"/>
    <n v="0"/>
    <n v="0"/>
    <n v="0"/>
    <n v="0"/>
    <n v="0"/>
    <n v="0"/>
    <n v="0"/>
    <n v="0"/>
    <n v="0"/>
    <n v="0"/>
    <n v="0"/>
    <n v="0"/>
    <n v="46"/>
    <n v="0"/>
    <n v="0"/>
    <n v="0"/>
    <n v="0"/>
    <n v="46"/>
    <n v="0"/>
    <n v="0"/>
    <n v="0"/>
    <n v="0"/>
    <n v="0"/>
    <n v="0"/>
    <n v="46"/>
    <m/>
    <m/>
    <m/>
    <m/>
    <m/>
    <m/>
    <m/>
    <m/>
    <m/>
    <m/>
    <m/>
    <m/>
    <m/>
    <m/>
    <m/>
    <m/>
    <m/>
    <m/>
    <m/>
    <m/>
    <m/>
    <m/>
    <m/>
    <m/>
    <m/>
    <m/>
    <m/>
    <m/>
    <m/>
    <m/>
    <m/>
    <m/>
    <m/>
    <m/>
  </r>
  <r>
    <n v="742"/>
    <d v="2025-02-20T00:00:00"/>
    <s v="ZBTO"/>
    <n v="9518535833"/>
    <n v="10"/>
    <s v="9518535833-10"/>
    <m/>
    <s v="Mar'25"/>
    <s v="Released orders"/>
    <x v="1"/>
    <x v="3"/>
    <n v="2000"/>
    <m/>
    <x v="0"/>
    <s v="Mar"/>
    <m/>
    <s v="Tamil Nadu"/>
    <m/>
    <m/>
    <m/>
    <n v="938550"/>
    <s v="BASEER AND CO"/>
    <n v="1801290"/>
    <s v="CRCA COIL-TATXXD-AU03-0.6X1250"/>
    <s v=""/>
    <s v=""/>
    <m/>
    <m/>
    <s v="Wider"/>
    <s v="C01"/>
    <s v="TATXXD"/>
    <s v="AU03"/>
    <n v="0.6"/>
    <n v="1250"/>
    <n v="0"/>
    <n v="29"/>
    <n v="6.875"/>
    <n v="29"/>
    <n v="29"/>
    <e v="#N/A"/>
    <e v="#N/A"/>
    <n v="29"/>
    <n v="0"/>
    <n v="29"/>
    <n v="22.125"/>
    <n v="0"/>
    <n v="32.480000000000004"/>
    <n v="0"/>
    <n v="0"/>
    <n v="0"/>
    <n v="0"/>
    <n v="0"/>
    <n v="0"/>
    <n v="0"/>
    <n v="0"/>
    <n v="0"/>
    <n v="0"/>
    <n v="0"/>
    <n v="0"/>
    <n v="0"/>
    <n v="0"/>
    <n v="0"/>
    <n v="0"/>
    <n v="0"/>
    <n v="0"/>
    <n v="0"/>
    <n v="0"/>
    <n v="0"/>
    <n v="0"/>
    <n v="0"/>
    <n v="6.875"/>
    <n v="22.125"/>
    <n v="0"/>
    <n v="0"/>
    <n v="22.125"/>
    <n v="0"/>
    <n v="0"/>
    <n v="29"/>
    <n v="0"/>
    <n v="0"/>
    <n v="0"/>
    <n v="29"/>
    <n v="0"/>
    <n v="0"/>
    <m/>
    <m/>
    <m/>
    <m/>
    <m/>
    <m/>
    <m/>
    <m/>
    <m/>
    <m/>
    <m/>
    <m/>
    <m/>
    <m/>
    <m/>
    <m/>
    <m/>
    <m/>
    <m/>
    <m/>
    <m/>
    <m/>
    <m/>
    <m/>
    <m/>
    <m/>
    <m/>
    <m/>
    <m/>
    <m/>
    <m/>
    <m/>
    <m/>
    <m/>
  </r>
  <r>
    <n v="742"/>
    <d v="2025-02-14T00:00:00"/>
    <s v="ZBTO"/>
    <n v="9518519930"/>
    <n v="1"/>
    <s v="9518519930-1"/>
    <m/>
    <s v="Mar'25"/>
    <s v="Released orders"/>
    <x v="1"/>
    <x v="3"/>
    <n v="2000"/>
    <m/>
    <x v="0"/>
    <s v="Mar"/>
    <m/>
    <s v="Punjab"/>
    <m/>
    <m/>
    <m/>
    <n v="936997"/>
    <s v="R R STEEL INDUSTRIES"/>
    <n v="1801456"/>
    <s v="CRCA COIL-TATXXD-AU03-0.7X1250"/>
    <s v=""/>
    <s v=""/>
    <m/>
    <m/>
    <s v="Wider"/>
    <s v="C01"/>
    <s v="TATXXD"/>
    <s v="AU03"/>
    <n v="0.7"/>
    <n v="1250"/>
    <n v="0"/>
    <n v="29"/>
    <n v="0"/>
    <n v="29"/>
    <n v="29"/>
    <e v="#N/A"/>
    <e v="#N/A"/>
    <m/>
    <n v="0"/>
    <n v="29"/>
    <n v="29"/>
    <n v="0"/>
    <n v="32.480000000000004"/>
    <n v="0"/>
    <n v="0"/>
    <n v="0"/>
    <n v="0"/>
    <n v="0"/>
    <n v="0"/>
    <n v="0"/>
    <n v="0"/>
    <n v="0"/>
    <n v="0"/>
    <n v="0"/>
    <n v="0"/>
    <n v="0"/>
    <n v="0"/>
    <n v="0"/>
    <n v="0"/>
    <n v="0"/>
    <n v="0"/>
    <n v="0"/>
    <n v="0"/>
    <n v="0"/>
    <n v="0"/>
    <n v="0"/>
    <n v="0"/>
    <n v="29"/>
    <n v="0"/>
    <n v="0"/>
    <n v="0"/>
    <n v="29"/>
    <n v="0"/>
    <n v="29"/>
    <n v="0"/>
    <n v="0"/>
    <n v="0"/>
    <n v="29"/>
    <n v="0"/>
    <n v="0"/>
    <m/>
    <m/>
    <m/>
    <m/>
    <m/>
    <m/>
    <m/>
    <m/>
    <m/>
    <m/>
    <m/>
    <m/>
    <m/>
    <m/>
    <m/>
    <m/>
    <m/>
    <m/>
    <m/>
    <m/>
    <m/>
    <m/>
    <m/>
    <m/>
    <m/>
    <m/>
    <m/>
    <m/>
    <m/>
    <m/>
    <m/>
    <m/>
    <m/>
    <m/>
  </r>
  <r>
    <n v="742"/>
    <d v="2025-02-20T00:00:00"/>
    <s v="ZBTO"/>
    <n v="9518535833"/>
    <n v="16"/>
    <s v="9518535833-16"/>
    <m/>
    <s v="Mar'25"/>
    <s v="Released orders"/>
    <x v="1"/>
    <x v="3"/>
    <n v="2000"/>
    <m/>
    <x v="0"/>
    <s v="Mar"/>
    <m/>
    <s v="Tamil Nadu"/>
    <m/>
    <m/>
    <m/>
    <n v="938550"/>
    <s v="BASEER AND CO"/>
    <n v="2398457"/>
    <s v="CRCA COIL TATXXD AU03 1X1320"/>
    <s v=""/>
    <s v=""/>
    <m/>
    <m/>
    <s v="Wider"/>
    <s v="C01"/>
    <s v="TATXXD"/>
    <s v="AU03"/>
    <n v="1"/>
    <n v="1320"/>
    <n v="0"/>
    <n v="30"/>
    <n v="0"/>
    <n v="30"/>
    <n v="30"/>
    <e v="#N/A"/>
    <e v="#N/A"/>
    <m/>
    <n v="0"/>
    <n v="30"/>
    <n v="30"/>
    <n v="0"/>
    <n v="33.6"/>
    <n v="0"/>
    <n v="0"/>
    <n v="0"/>
    <n v="0"/>
    <n v="0"/>
    <n v="0"/>
    <n v="0"/>
    <n v="0"/>
    <n v="0"/>
    <n v="0"/>
    <n v="0"/>
    <n v="0"/>
    <n v="0"/>
    <n v="0"/>
    <n v="0"/>
    <n v="0"/>
    <n v="0"/>
    <n v="0"/>
    <n v="0"/>
    <n v="0"/>
    <n v="0"/>
    <n v="0"/>
    <n v="0"/>
    <n v="0"/>
    <n v="30"/>
    <n v="0"/>
    <n v="0"/>
    <n v="0"/>
    <n v="0"/>
    <n v="30"/>
    <n v="0"/>
    <n v="0"/>
    <n v="0"/>
    <n v="0"/>
    <n v="0"/>
    <n v="0"/>
    <n v="30"/>
    <m/>
    <m/>
    <m/>
    <m/>
    <m/>
    <m/>
    <m/>
    <m/>
    <m/>
    <m/>
    <m/>
    <m/>
    <m/>
    <m/>
    <m/>
    <m/>
    <m/>
    <m/>
    <m/>
    <m/>
    <m/>
    <m/>
    <m/>
    <m/>
    <m/>
    <m/>
    <m/>
    <m/>
    <m/>
    <m/>
    <m/>
    <m/>
    <m/>
    <m/>
  </r>
  <r>
    <n v="742"/>
    <d v="2024-11-21T00:00:00"/>
    <s v="ZBTO"/>
    <n v="9518277438"/>
    <n v="2"/>
    <s v="9518277438-2"/>
    <m/>
    <s v="Feb'25"/>
    <s v="Released orders"/>
    <x v="1"/>
    <x v="3"/>
    <s v="2000-BPRS"/>
    <m/>
    <x v="0"/>
    <m/>
    <m/>
    <m/>
    <s v="South"/>
    <s v="GUMMIDIPOONDI"/>
    <m/>
    <n v="822271"/>
    <s v="TATA STEEL DOWNSTREAM PRODUCTS LIMI"/>
    <n v="1804814"/>
    <s v="CRCA COIL TATXXD AU03 0.8X1250"/>
    <m/>
    <s v=""/>
    <n v="5"/>
    <n v="29"/>
    <s v="Wider"/>
    <s v="C01"/>
    <s v="TATXXD"/>
    <s v="AU03"/>
    <n v="0.8"/>
    <n v="1250"/>
    <n v="0"/>
    <n v="58"/>
    <n v="38.454999999999998"/>
    <n v="19.545000000000002"/>
    <n v="19.545000000000002"/>
    <n v="1.1000000000000001"/>
    <n v="18.445"/>
    <n v="18.445"/>
    <m/>
    <n v="19.545000000000002"/>
    <n v="19.545000000000002"/>
    <n v="0"/>
    <n v="0"/>
    <n v="0"/>
    <n v="0"/>
    <n v="0"/>
    <n v="0"/>
    <n v="0"/>
    <n v="0"/>
    <n v="0"/>
    <n v="0"/>
    <n v="0"/>
    <n v="0"/>
    <n v="0"/>
    <n v="0"/>
    <n v="27.43"/>
    <n v="0"/>
    <n v="0"/>
    <n v="0"/>
    <n v="0"/>
    <n v="0"/>
    <n v="27.43"/>
    <n v="27.43"/>
    <n v="0"/>
    <n v="27.43"/>
    <n v="1.1000000000000001"/>
    <n v="0"/>
    <n v="19.545000000000002"/>
    <n v="0"/>
    <n v="19.545000000000002"/>
    <n v="0"/>
    <n v="0"/>
    <n v="0"/>
    <n v="19.545000000000002"/>
    <n v="0"/>
    <n v="0"/>
    <n v="19.545000000000002"/>
    <n v="0"/>
    <n v="0"/>
    <n v="0"/>
    <n v="0"/>
    <n v="0"/>
    <n v="0"/>
    <n v="0"/>
    <n v="0"/>
    <n v="0"/>
    <m/>
    <m/>
    <m/>
    <m/>
    <m/>
    <m/>
    <m/>
    <m/>
    <m/>
    <s v="1"/>
    <s v="0"/>
    <s v="1"/>
    <s v="1"/>
    <s v="1"/>
    <m/>
    <m/>
    <m/>
    <m/>
    <m/>
    <m/>
    <m/>
    <m/>
    <m/>
    <m/>
    <m/>
    <m/>
    <m/>
    <m/>
  </r>
  <r>
    <n v="742"/>
    <d v="2025-02-20T00:00:00"/>
    <s v="ZBTO"/>
    <n v="9518535833"/>
    <n v="14"/>
    <s v="9518535833-14"/>
    <m/>
    <s v="Mar'25"/>
    <s v="Released orders"/>
    <x v="1"/>
    <x v="3"/>
    <n v="2000"/>
    <m/>
    <x v="0"/>
    <m/>
    <m/>
    <s v="Tamil Nadu"/>
    <m/>
    <m/>
    <m/>
    <n v="938550"/>
    <s v="BASEER AND CO"/>
    <n v="1804814"/>
    <s v="CRCA COIL TATXXD AU03 0.8X1250"/>
    <s v=""/>
    <s v=""/>
    <m/>
    <m/>
    <s v="Wider"/>
    <s v="C01"/>
    <s v="TATXXD"/>
    <s v="AU03"/>
    <n v="0.8"/>
    <n v="1250"/>
    <n v="0"/>
    <n v="58"/>
    <n v="0"/>
    <n v="58"/>
    <n v="58"/>
    <e v="#N/A"/>
    <e v="#N/A"/>
    <m/>
    <n v="0"/>
    <n v="58"/>
    <n v="58"/>
    <n v="0"/>
    <n v="64.960000000000008"/>
    <n v="0"/>
    <n v="0"/>
    <n v="0"/>
    <n v="0"/>
    <n v="0"/>
    <n v="0"/>
    <n v="0"/>
    <n v="0"/>
    <n v="0"/>
    <n v="0"/>
    <n v="0"/>
    <n v="0"/>
    <n v="0"/>
    <n v="0"/>
    <n v="0"/>
    <n v="0"/>
    <n v="0"/>
    <n v="0"/>
    <n v="0"/>
    <n v="0"/>
    <n v="0"/>
    <n v="0"/>
    <n v="0"/>
    <n v="0"/>
    <n v="58"/>
    <n v="0"/>
    <n v="0"/>
    <n v="0"/>
    <n v="0"/>
    <n v="58"/>
    <n v="0"/>
    <n v="0"/>
    <n v="0"/>
    <n v="0"/>
    <n v="0"/>
    <n v="0"/>
    <n v="58"/>
    <m/>
    <m/>
    <m/>
    <m/>
    <m/>
    <m/>
    <m/>
    <m/>
    <m/>
    <m/>
    <m/>
    <m/>
    <m/>
    <m/>
    <m/>
    <m/>
    <m/>
    <m/>
    <m/>
    <m/>
    <m/>
    <m/>
    <m/>
    <m/>
    <m/>
    <m/>
    <m/>
    <m/>
    <m/>
    <m/>
    <m/>
    <m/>
    <m/>
    <m/>
  </r>
  <r>
    <n v="742"/>
    <d v="2025-01-30T00:00:00"/>
    <s v="ZBTO"/>
    <n v="9518477709"/>
    <n v="2"/>
    <s v="9518477709-2"/>
    <m/>
    <s v="Mar'25"/>
    <s v="Released orders"/>
    <x v="1"/>
    <x v="3"/>
    <n v="2000"/>
    <m/>
    <x v="0"/>
    <s v="Mar"/>
    <m/>
    <s v="Telangana"/>
    <m/>
    <m/>
    <m/>
    <n v="947126"/>
    <s v="RAVINDRA IRON WORKS"/>
    <n v="1804814"/>
    <s v="CRCA COIL TATXXD AU03 0.8X1250"/>
    <s v=""/>
    <s v=""/>
    <m/>
    <m/>
    <s v="Wider"/>
    <s v="C01"/>
    <s v="TATXXD"/>
    <s v="AU03"/>
    <n v="0.8"/>
    <n v="1250"/>
    <n v="0"/>
    <n v="58"/>
    <n v="0"/>
    <n v="58"/>
    <n v="58"/>
    <e v="#N/A"/>
    <e v="#N/A"/>
    <m/>
    <n v="0"/>
    <n v="58"/>
    <n v="58"/>
    <n v="0"/>
    <n v="64.960000000000008"/>
    <n v="0"/>
    <n v="0"/>
    <n v="0"/>
    <n v="0"/>
    <n v="0"/>
    <n v="0"/>
    <n v="0"/>
    <n v="0"/>
    <n v="0"/>
    <n v="0"/>
    <n v="0"/>
    <n v="0"/>
    <n v="0"/>
    <n v="0"/>
    <n v="0"/>
    <n v="0"/>
    <n v="0"/>
    <n v="0"/>
    <n v="0"/>
    <n v="0"/>
    <n v="0"/>
    <n v="0"/>
    <n v="0"/>
    <n v="0"/>
    <n v="58"/>
    <n v="0"/>
    <n v="58"/>
    <n v="0"/>
    <n v="0"/>
    <n v="0"/>
    <n v="58"/>
    <n v="0"/>
    <n v="0"/>
    <n v="58"/>
    <n v="0"/>
    <n v="0"/>
    <n v="0"/>
    <m/>
    <m/>
    <m/>
    <m/>
    <m/>
    <m/>
    <m/>
    <m/>
    <m/>
    <m/>
    <m/>
    <m/>
    <m/>
    <m/>
    <m/>
    <m/>
    <m/>
    <m/>
    <m/>
    <m/>
    <m/>
    <m/>
    <m/>
    <m/>
    <m/>
    <m/>
    <m/>
    <m/>
    <m/>
    <m/>
    <m/>
    <m/>
    <m/>
    <m/>
  </r>
  <r>
    <n v="742"/>
    <d v="2025-02-20T00:00:00"/>
    <s v="ZBTO"/>
    <n v="9518535833"/>
    <n v="22"/>
    <s v="9518535833-22"/>
    <m/>
    <s v="No Priority"/>
    <s v="Failed orders"/>
    <x v="1"/>
    <x v="1"/>
    <n v="2000"/>
    <m/>
    <x v="1"/>
    <s v="Mar"/>
    <m/>
    <s v="Tamil Nadu"/>
    <m/>
    <m/>
    <m/>
    <n v="938550"/>
    <s v="BASEER AND CO"/>
    <n v="3239552"/>
    <s v="CRCA SHEET TATCRC SR16 0.400X1000X1980"/>
    <s v=""/>
    <s v=""/>
    <m/>
    <m/>
    <s v="Narrow"/>
    <s v="C06"/>
    <s v="TATCRC"/>
    <s v="SR16"/>
    <n v="0.4"/>
    <n v="1000"/>
    <n v="1980"/>
    <n v="45"/>
    <e v="#N/A"/>
    <n v="45"/>
    <n v="45"/>
    <e v="#N/A"/>
    <e v="#N/A"/>
    <m/>
    <n v="0"/>
    <n v="45"/>
    <n v="0"/>
    <n v="0"/>
    <n v="50.40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1-06T00:00:00"/>
    <s v="ZBTO"/>
    <n v="9518407284"/>
    <n v="9"/>
    <s v="9518407284-9"/>
    <m/>
    <s v="No Priority"/>
    <s v="Failed orders"/>
    <x v="1"/>
    <x v="1"/>
    <n v="2000"/>
    <m/>
    <x v="1"/>
    <s v="Mar"/>
    <m/>
    <s v="Tamil Nadu"/>
    <m/>
    <m/>
    <m/>
    <n v="116465"/>
    <s v="SRI BALAJI STEEL TRADERS"/>
    <n v="3239568"/>
    <s v="CRCA SHEET TATCRC SR16 0.450X1250X2500"/>
    <s v=""/>
    <s v=""/>
    <m/>
    <m/>
    <s v="Wider"/>
    <s v="C06"/>
    <s v="TATCRC"/>
    <s v="SR16"/>
    <n v="0.45"/>
    <n v="1250"/>
    <n v="2500"/>
    <n v="29"/>
    <e v="#N/A"/>
    <n v="29"/>
    <n v="29"/>
    <e v="#N/A"/>
    <e v="#N/A"/>
    <n v="29"/>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18"/>
    <s v="9518425909-18"/>
    <m/>
    <s v="Mar'25 additional"/>
    <s v="Released orders"/>
    <x v="1"/>
    <x v="3"/>
    <n v="2000"/>
    <m/>
    <x v="0"/>
    <m/>
    <m/>
    <s v="Andhra Pradesh"/>
    <m/>
    <m/>
    <m/>
    <n v="946077"/>
    <s v="SITARAM IRON AND STEEL PVT LTD"/>
    <n v="353957"/>
    <s v="CRCA SHEET TATXXD AU03 0.80X1250X2500"/>
    <s v=""/>
    <s v=""/>
    <m/>
    <m/>
    <s v="Wider"/>
    <s v="C06"/>
    <s v="TATXXD"/>
    <s v="AU03"/>
    <n v="0.8"/>
    <n v="1250"/>
    <n v="2500"/>
    <n v="27"/>
    <n v="0"/>
    <n v="27"/>
    <n v="27"/>
    <e v="#N/A"/>
    <e v="#N/A"/>
    <m/>
    <n v="0"/>
    <n v="27"/>
    <n v="27"/>
    <n v="0"/>
    <n v="30.240000000000002"/>
    <n v="0"/>
    <n v="0"/>
    <n v="0"/>
    <n v="0"/>
    <n v="0"/>
    <n v="0"/>
    <n v="0"/>
    <n v="0"/>
    <n v="0"/>
    <n v="0"/>
    <n v="0"/>
    <n v="0"/>
    <n v="0"/>
    <n v="0"/>
    <n v="0"/>
    <n v="0"/>
    <n v="0"/>
    <n v="0"/>
    <n v="0"/>
    <n v="0"/>
    <n v="0"/>
    <n v="0"/>
    <n v="0"/>
    <n v="0"/>
    <n v="27"/>
    <n v="0"/>
    <n v="27"/>
    <n v="0"/>
    <n v="0"/>
    <n v="0"/>
    <n v="27"/>
    <n v="0"/>
    <n v="0"/>
    <n v="27"/>
    <n v="0"/>
    <n v="0"/>
    <n v="0"/>
    <m/>
    <m/>
    <m/>
    <m/>
    <m/>
    <m/>
    <m/>
    <m/>
    <m/>
    <m/>
    <m/>
    <m/>
    <m/>
    <m/>
    <m/>
    <m/>
    <m/>
    <m/>
    <m/>
    <m/>
    <m/>
    <m/>
    <m/>
    <m/>
    <m/>
    <m/>
    <m/>
    <m/>
    <m/>
    <m/>
    <m/>
    <m/>
    <m/>
    <m/>
  </r>
  <r>
    <n v="742"/>
    <d v="2025-01-14T00:00:00"/>
    <s v="ZBTO"/>
    <n v="9518429066"/>
    <n v="1"/>
    <s v="9518429066-1"/>
    <m/>
    <s v="No Priority"/>
    <s v="Failed orders"/>
    <x v="1"/>
    <x v="1"/>
    <n v="2000"/>
    <m/>
    <x v="1"/>
    <m/>
    <m/>
    <s v="Orissa"/>
    <m/>
    <m/>
    <m/>
    <n v="117061"/>
    <s v="BHARTIA  DISTRIBUTORS PVT. LTD"/>
    <n v="3239536"/>
    <s v="CRCA SHEET TATCRC SR16 0.350X900X2500"/>
    <s v=""/>
    <s v=""/>
    <m/>
    <m/>
    <s v="Narrow"/>
    <s v="C06"/>
    <s v="TATCRC"/>
    <s v="SR16"/>
    <n v="0.35"/>
    <n v="9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4T00:00:00"/>
    <s v="ZBTO"/>
    <n v="9518429066"/>
    <n v="2"/>
    <s v="9518429066-2"/>
    <m/>
    <s v="No Priority"/>
    <s v="Failed orders"/>
    <x v="1"/>
    <x v="1"/>
    <n v="2000"/>
    <m/>
    <x v="1"/>
    <m/>
    <m/>
    <s v="Orissa"/>
    <m/>
    <m/>
    <m/>
    <n v="117061"/>
    <s v="BHARTIA  DISTRIBUTORS PVT. LTD"/>
    <n v="3239548"/>
    <s v="CRCA SHEET TATCRC SR16 0.400X900X2500"/>
    <s v=""/>
    <s v=""/>
    <m/>
    <m/>
    <s v="Narrow"/>
    <s v="C06"/>
    <s v="TATCRC"/>
    <s v="SR16"/>
    <n v="0.4"/>
    <n v="9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4T00:00:00"/>
    <s v="ZBTO"/>
    <n v="9518429066"/>
    <n v="3"/>
    <s v="9518429066-3"/>
    <m/>
    <s v="No Priority"/>
    <s v="Failed orders"/>
    <x v="1"/>
    <x v="1"/>
    <n v="2000"/>
    <m/>
    <x v="1"/>
    <m/>
    <m/>
    <s v="Orissa"/>
    <m/>
    <m/>
    <m/>
    <n v="117061"/>
    <s v="BHARTIA  DISTRIBUTORS PVT. LTD"/>
    <n v="3239542"/>
    <s v="CRCA SHEET TATCRC SR16 0.350X1000X2500"/>
    <s v=""/>
    <s v=""/>
    <m/>
    <m/>
    <s v="Narrow"/>
    <s v="C06"/>
    <s v="TATCRC"/>
    <s v="SR16"/>
    <n v="0.35"/>
    <n v="10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1-14T00:00:00"/>
    <s v="ZBTO"/>
    <n v="9518429066"/>
    <n v="4"/>
    <s v="9518429066-4"/>
    <m/>
    <s v="No Priority"/>
    <s v="Failed orders"/>
    <x v="1"/>
    <x v="1"/>
    <n v="2000"/>
    <m/>
    <x v="1"/>
    <m/>
    <m/>
    <s v="Orissa"/>
    <m/>
    <m/>
    <m/>
    <n v="117061"/>
    <s v="BHARTIA  DISTRIBUTORS PVT. LTD"/>
    <n v="3239554"/>
    <s v="CRCA SHEET TATCRC SR16 0.400X1000X2500"/>
    <s v=""/>
    <s v=""/>
    <m/>
    <m/>
    <s v="Narrow"/>
    <s v="C06"/>
    <s v="TATCRC"/>
    <s v="SR16"/>
    <n v="0.4"/>
    <n v="10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1-14T00:00:00"/>
    <s v="ZBTO"/>
    <n v="9518429066"/>
    <n v="7"/>
    <s v="9518429066-7"/>
    <m/>
    <s v="Mar'25"/>
    <s v="Released orders"/>
    <x v="1"/>
    <x v="1"/>
    <n v="2000"/>
    <m/>
    <x v="0"/>
    <s v="Mar"/>
    <m/>
    <s v="Orissa"/>
    <m/>
    <m/>
    <m/>
    <n v="117061"/>
    <s v="BHARTIA  DISTRIBUTORS PVT. LTD"/>
    <n v="3240790"/>
    <s v="CRCA SHEET TSBCRC SR15 0.700X1000X2500"/>
    <s v=""/>
    <s v=""/>
    <m/>
    <m/>
    <s v="Narrow"/>
    <s v="C06"/>
    <s v="TSBCRC"/>
    <s v="SR15"/>
    <n v="0.7"/>
    <n v="1000"/>
    <n v="2500"/>
    <n v="24"/>
    <n v="0"/>
    <n v="24"/>
    <n v="24"/>
    <n v="0"/>
    <n v="24"/>
    <m/>
    <m/>
    <n v="24"/>
    <n v="24"/>
    <n v="0"/>
    <n v="26.880000000000003"/>
    <n v="0"/>
    <n v="0"/>
    <n v="0"/>
    <n v="0"/>
    <n v="0"/>
    <n v="0"/>
    <n v="0"/>
    <n v="0"/>
    <n v="0"/>
    <n v="0"/>
    <n v="0"/>
    <n v="0"/>
    <n v="0"/>
    <n v="0"/>
    <n v="0"/>
    <n v="0"/>
    <n v="0"/>
    <n v="0"/>
    <n v="0"/>
    <n v="0"/>
    <n v="0"/>
    <n v="0"/>
    <n v="0"/>
    <n v="0"/>
    <n v="24"/>
    <n v="0"/>
    <n v="0"/>
    <n v="0"/>
    <n v="24"/>
    <n v="0"/>
    <n v="24"/>
    <n v="0"/>
    <n v="0"/>
    <n v="0"/>
    <n v="24"/>
    <n v="0"/>
    <n v="0"/>
    <m/>
    <m/>
    <m/>
    <m/>
    <m/>
    <m/>
    <m/>
    <m/>
    <m/>
    <m/>
    <m/>
    <m/>
    <m/>
    <m/>
    <m/>
    <m/>
    <m/>
    <m/>
    <m/>
    <m/>
    <m/>
    <m/>
    <m/>
    <m/>
    <m/>
    <m/>
    <m/>
    <m/>
    <m/>
    <m/>
    <m/>
    <m/>
    <m/>
    <m/>
  </r>
  <r>
    <n v="742"/>
    <d v="2025-02-11T00:00:00"/>
    <s v="ZBTO"/>
    <n v="9518510681"/>
    <n v="2"/>
    <s v="9518510681-2"/>
    <m/>
    <s v="Mar'25"/>
    <s v="Released orders"/>
    <x v="1"/>
    <x v="1"/>
    <s v="2000-BPRS"/>
    <m/>
    <x v="0"/>
    <s v="Mar"/>
    <m/>
    <m/>
    <m/>
    <s v="KANPUR"/>
    <m/>
    <n v="115841"/>
    <s v="O.V.S. ISPAT UDYOG"/>
    <n v="3240787"/>
    <s v="CRCA SHEET TSBCRC SR15 0.700X1250X1930"/>
    <s v=" "/>
    <s v=""/>
    <n v="0"/>
    <n v="0"/>
    <s v="Wider"/>
    <s v="C06"/>
    <s v="TSBCRC"/>
    <s v="SR15"/>
    <n v="0.7"/>
    <n v="1250"/>
    <n v="1930"/>
    <n v="33"/>
    <n v="0"/>
    <n v="33"/>
    <n v="33"/>
    <n v="27.39"/>
    <n v="0"/>
    <m/>
    <n v="0"/>
    <n v="33"/>
    <n v="33"/>
    <n v="0"/>
    <n v="5.3423999999999996"/>
    <n v="0"/>
    <n v="0"/>
    <n v="0"/>
    <n v="0"/>
    <n v="0"/>
    <n v="0"/>
    <n v="0"/>
    <n v="0"/>
    <n v="0"/>
    <n v="28.23"/>
    <n v="0"/>
    <n v="0"/>
    <n v="0"/>
    <n v="0"/>
    <n v="0"/>
    <n v="0"/>
    <n v="0"/>
    <n v="0"/>
    <n v="28.23"/>
    <n v="0"/>
    <n v="0"/>
    <n v="0"/>
    <n v="27.39"/>
    <n v="0"/>
    <n v="33"/>
    <n v="0"/>
    <n v="33"/>
    <n v="0"/>
    <n v="0"/>
    <n v="0"/>
    <n v="33"/>
    <n v="0"/>
    <n v="0"/>
    <n v="33"/>
    <n v="0"/>
    <n v="0"/>
    <n v="0"/>
    <m/>
    <m/>
    <m/>
    <m/>
    <m/>
    <m/>
    <m/>
    <m/>
    <m/>
    <m/>
    <m/>
    <m/>
    <m/>
    <m/>
    <m/>
    <m/>
    <m/>
    <m/>
    <m/>
    <m/>
    <m/>
    <m/>
    <m/>
    <m/>
    <m/>
    <m/>
    <m/>
    <m/>
    <m/>
    <m/>
    <m/>
    <m/>
    <m/>
    <m/>
  </r>
  <r>
    <n v="742"/>
    <d v="2025-01-07T00:00:00"/>
    <s v="ZBTO"/>
    <n v="9518410223"/>
    <n v="9"/>
    <s v="9518410223-9"/>
    <m/>
    <s v="Mar'25"/>
    <s v="Released orders"/>
    <x v="1"/>
    <x v="1"/>
    <s v="2000-BPRS"/>
    <m/>
    <x v="0"/>
    <s v="Mar"/>
    <m/>
    <m/>
    <m/>
    <s v="VARANASI"/>
    <m/>
    <n v="931525"/>
    <s v="INDIA STEEL INDUSTRIES"/>
    <n v="3240787"/>
    <s v="CRCA SHEET TSBCRC SR15 0.700X1250X1930"/>
    <s v=" "/>
    <s v=""/>
    <n v="0"/>
    <n v="0"/>
    <s v="Wider"/>
    <s v="C06"/>
    <s v="TSBCRC"/>
    <s v="SR15"/>
    <n v="0.7"/>
    <n v="1250"/>
    <n v="1930"/>
    <n v="57"/>
    <n v="0"/>
    <n v="57"/>
    <n v="57"/>
    <n v="27.45"/>
    <n v="29.55"/>
    <m/>
    <n v="0"/>
    <n v="57"/>
    <n v="57"/>
    <n v="0"/>
    <n v="32.2224"/>
    <n v="0"/>
    <n v="0"/>
    <n v="0"/>
    <n v="0"/>
    <n v="0"/>
    <n v="0"/>
    <n v="0"/>
    <n v="0"/>
    <n v="0"/>
    <n v="28.23"/>
    <n v="0"/>
    <n v="0"/>
    <n v="0"/>
    <n v="0"/>
    <n v="0"/>
    <n v="0"/>
    <n v="0"/>
    <n v="0"/>
    <n v="28.23"/>
    <n v="0"/>
    <n v="0"/>
    <n v="0"/>
    <n v="27.45"/>
    <n v="0"/>
    <n v="57"/>
    <n v="0"/>
    <n v="0"/>
    <n v="0"/>
    <n v="57"/>
    <n v="0"/>
    <n v="57"/>
    <n v="0"/>
    <n v="0"/>
    <n v="0"/>
    <n v="57"/>
    <n v="0"/>
    <n v="0"/>
    <m/>
    <m/>
    <m/>
    <m/>
    <m/>
    <m/>
    <m/>
    <m/>
    <m/>
    <m/>
    <m/>
    <m/>
    <m/>
    <m/>
    <m/>
    <m/>
    <m/>
    <m/>
    <m/>
    <m/>
    <m/>
    <m/>
    <m/>
    <m/>
    <m/>
    <m/>
    <m/>
    <m/>
    <m/>
    <m/>
    <m/>
    <m/>
    <m/>
    <m/>
  </r>
  <r>
    <n v="742"/>
    <d v="2025-01-14T00:00:00"/>
    <s v="ZBTO"/>
    <n v="9518429066"/>
    <n v="16"/>
    <s v="9518429066-16"/>
    <m/>
    <s v="Mar'25"/>
    <s v="Released orders"/>
    <x v="1"/>
    <x v="1"/>
    <n v="2000"/>
    <m/>
    <x v="0"/>
    <s v="Mar"/>
    <m/>
    <s v="Orissa"/>
    <m/>
    <m/>
    <m/>
    <n v="117061"/>
    <s v="BHARTIA  DISTRIBUTORS PVT. LTD"/>
    <n v="3240836"/>
    <s v="CRCA SHEET TSBCRC SR15 1X1000X2500"/>
    <s v=""/>
    <s v=""/>
    <m/>
    <m/>
    <s v="Narrow"/>
    <s v="C06"/>
    <s v="TSBCRC"/>
    <s v="SR15"/>
    <n v="1"/>
    <n v="1000"/>
    <n v="2500"/>
    <n v="24"/>
    <n v="0"/>
    <n v="24"/>
    <n v="24"/>
    <n v="0"/>
    <n v="24"/>
    <m/>
    <m/>
    <n v="24"/>
    <n v="24"/>
    <n v="0"/>
    <n v="26.880000000000003"/>
    <n v="0"/>
    <n v="0"/>
    <n v="0"/>
    <n v="0"/>
    <n v="0"/>
    <n v="0"/>
    <n v="0"/>
    <n v="0"/>
    <n v="0"/>
    <n v="0"/>
    <n v="0"/>
    <n v="0"/>
    <n v="0"/>
    <n v="0"/>
    <n v="0"/>
    <n v="0"/>
    <n v="0"/>
    <n v="0"/>
    <n v="0"/>
    <n v="0"/>
    <n v="0"/>
    <n v="0"/>
    <n v="0"/>
    <n v="0"/>
    <n v="24"/>
    <n v="0"/>
    <n v="0"/>
    <n v="0"/>
    <n v="24"/>
    <n v="0"/>
    <n v="24"/>
    <n v="0"/>
    <n v="0"/>
    <n v="0"/>
    <n v="24"/>
    <n v="0"/>
    <n v="0"/>
    <m/>
    <m/>
    <m/>
    <m/>
    <m/>
    <m/>
    <m/>
    <m/>
    <m/>
    <m/>
    <m/>
    <m/>
    <m/>
    <m/>
    <m/>
    <m/>
    <m/>
    <m/>
    <m/>
    <m/>
    <m/>
    <m/>
    <m/>
    <m/>
    <m/>
    <m/>
    <m/>
    <m/>
    <m/>
    <m/>
    <m/>
    <m/>
    <m/>
    <m/>
  </r>
  <r>
    <n v="742"/>
    <d v="2025-02-03T00:00:00"/>
    <s v="ZBTO"/>
    <n v="9518490750"/>
    <n v="1"/>
    <s v="9518490750-1"/>
    <m/>
    <s v="No Priority"/>
    <s v="Failed orders"/>
    <x v="1"/>
    <x v="1"/>
    <n v="2000"/>
    <m/>
    <x v="1"/>
    <m/>
    <m/>
    <s v="Orissa"/>
    <m/>
    <m/>
    <m/>
    <n v="117061"/>
    <s v="BHARTIA  DISTRIBUTORS PVT. LTD"/>
    <n v="3239536"/>
    <s v="CRCA SHEET TATCRC SR16 0.350X900X2500"/>
    <s v=""/>
    <s v=""/>
    <m/>
    <m/>
    <s v="Narrow"/>
    <s v="C06"/>
    <s v="TATCRC"/>
    <s v="SR16"/>
    <n v="0.35"/>
    <n v="900"/>
    <n v="2500"/>
    <n v="9"/>
    <e v="#N/A"/>
    <n v="9"/>
    <n v="9"/>
    <e v="#N/A"/>
    <e v="#N/A"/>
    <m/>
    <n v="0"/>
    <n v="9"/>
    <n v="0"/>
    <n v="0"/>
    <n v="10.08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90750"/>
    <n v="3"/>
    <s v="9518490750-3"/>
    <m/>
    <s v="No Priority"/>
    <s v="Failed orders"/>
    <x v="1"/>
    <x v="1"/>
    <n v="2000"/>
    <m/>
    <x v="1"/>
    <m/>
    <m/>
    <s v="Orissa"/>
    <m/>
    <m/>
    <m/>
    <n v="117061"/>
    <s v="BHARTIA  DISTRIBUTORS PVT. LTD"/>
    <n v="3239542"/>
    <s v="CRCA SHEET TATCRC SR16 0.350X1000X2500"/>
    <s v=""/>
    <s v=""/>
    <m/>
    <m/>
    <s v="Narrow"/>
    <s v="C06"/>
    <s v="TATCRC"/>
    <s v="SR16"/>
    <n v="0.35"/>
    <n v="1000"/>
    <n v="2500"/>
    <n v="75"/>
    <e v="#N/A"/>
    <n v="75"/>
    <n v="75"/>
    <e v="#N/A"/>
    <e v="#N/A"/>
    <m/>
    <n v="0"/>
    <n v="75"/>
    <n v="0"/>
    <n v="0"/>
    <n v="84.000000000000014"/>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90750"/>
    <n v="4"/>
    <s v="9518490750-4"/>
    <m/>
    <s v="No Priority"/>
    <s v="Failed orders"/>
    <x v="1"/>
    <x v="1"/>
    <n v="2000"/>
    <m/>
    <x v="1"/>
    <m/>
    <m/>
    <s v="Orissa"/>
    <m/>
    <m/>
    <m/>
    <n v="117061"/>
    <s v="BHARTIA  DISTRIBUTORS PVT. LTD"/>
    <n v="3239554"/>
    <s v="CRCA SHEET TATCRC SR16 0.400X1000X2500"/>
    <s v=""/>
    <s v=""/>
    <m/>
    <m/>
    <s v="Narrow"/>
    <s v="C06"/>
    <s v="TATCRC"/>
    <s v="SR16"/>
    <n v="0.4"/>
    <n v="1000"/>
    <n v="2500"/>
    <n v="75"/>
    <e v="#N/A"/>
    <n v="75"/>
    <n v="75"/>
    <e v="#N/A"/>
    <e v="#N/A"/>
    <m/>
    <n v="0"/>
    <n v="75"/>
    <n v="0"/>
    <n v="0"/>
    <n v="84.000000000000014"/>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90750"/>
    <n v="5"/>
    <s v="9518490750-5"/>
    <m/>
    <s v="No Priority"/>
    <s v="Failed orders"/>
    <x v="1"/>
    <x v="1"/>
    <n v="2000"/>
    <m/>
    <x v="1"/>
    <m/>
    <m/>
    <s v="Orissa"/>
    <m/>
    <m/>
    <m/>
    <n v="117061"/>
    <s v="BHARTIA  DISTRIBUTORS PVT. LTD"/>
    <n v="3239567"/>
    <s v="CRCA SHEET TATCRC SR16 0.450X1000X2500"/>
    <s v=""/>
    <s v=""/>
    <m/>
    <m/>
    <s v="Narrow"/>
    <s v="C06"/>
    <s v="TATCRC"/>
    <s v="SR16"/>
    <n v="0.45"/>
    <n v="1000"/>
    <n v="2500"/>
    <n v="75"/>
    <e v="#N/A"/>
    <n v="75"/>
    <n v="75"/>
    <e v="#N/A"/>
    <e v="#N/A"/>
    <m/>
    <n v="0"/>
    <n v="75"/>
    <n v="0"/>
    <n v="0"/>
    <n v="84.000000000000014"/>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90750"/>
    <n v="6"/>
    <s v="9518490750-6"/>
    <m/>
    <s v="Mar'25 additional"/>
    <s v="Released orders"/>
    <x v="1"/>
    <x v="1"/>
    <n v="2000"/>
    <m/>
    <x v="1"/>
    <m/>
    <s v="De-prioritized due to narrow HR unavailability"/>
    <s v="Orissa"/>
    <m/>
    <m/>
    <m/>
    <n v="117061"/>
    <s v="BHARTIA  DISTRIBUTORS PVT. LTD"/>
    <n v="3240778"/>
    <s v="CRCA SHEET TSBCRC SR15 0.600X1000X2500"/>
    <s v=""/>
    <s v=""/>
    <m/>
    <m/>
    <s v="Narrow"/>
    <s v="C06"/>
    <s v="TSBCRC"/>
    <s v="SR15"/>
    <n v="0.6"/>
    <n v="1000"/>
    <n v="2500"/>
    <n v="75"/>
    <n v="0"/>
    <n v="75"/>
    <n v="75"/>
    <e v="#N/A"/>
    <e v="#N/A"/>
    <m/>
    <n v="0"/>
    <n v="75"/>
    <n v="75"/>
    <n v="0"/>
    <n v="84.000000000000014"/>
    <n v="0"/>
    <n v="0"/>
    <n v="0"/>
    <n v="0"/>
    <n v="0"/>
    <n v="0"/>
    <n v="0"/>
    <n v="0"/>
    <n v="0"/>
    <n v="0"/>
    <n v="0"/>
    <n v="0"/>
    <n v="0"/>
    <n v="0"/>
    <n v="0"/>
    <n v="0"/>
    <n v="0"/>
    <n v="0"/>
    <n v="0"/>
    <n v="0"/>
    <n v="0"/>
    <n v="0"/>
    <n v="0"/>
    <n v="0"/>
    <n v="0"/>
    <n v="0"/>
    <n v="0"/>
    <n v="0"/>
    <n v="0"/>
    <n v="0"/>
    <n v="0"/>
    <n v="0"/>
    <n v="0"/>
    <n v="0"/>
    <n v="0"/>
    <n v="0"/>
    <n v="0"/>
    <m/>
    <m/>
    <m/>
    <m/>
    <m/>
    <m/>
    <m/>
    <m/>
    <m/>
    <m/>
    <m/>
    <m/>
    <m/>
    <m/>
    <m/>
    <m/>
    <m/>
    <m/>
    <m/>
    <m/>
    <m/>
    <m/>
    <m/>
    <m/>
    <m/>
    <m/>
    <m/>
    <m/>
    <m/>
    <m/>
    <m/>
    <m/>
    <m/>
    <m/>
  </r>
  <r>
    <n v="742"/>
    <d v="2025-02-11T00:00:00"/>
    <s v="ZBTO"/>
    <n v="9518510820"/>
    <n v="5"/>
    <s v="9518510820-5"/>
    <m/>
    <s v="Mar'25"/>
    <s v="Released orders"/>
    <x v="1"/>
    <x v="1"/>
    <s v="2000-BPRS"/>
    <m/>
    <x v="0"/>
    <s v="Mar"/>
    <m/>
    <m/>
    <m/>
    <s v="VARANASI"/>
    <m/>
    <n v="115841"/>
    <s v="O.V.S. ISPAT UDYOG"/>
    <n v="3240787"/>
    <s v="CRCA SHEET TSBCRC SR15 0.700X1250X1930"/>
    <s v=" "/>
    <s v=""/>
    <n v="0"/>
    <n v="0"/>
    <s v="Wider"/>
    <s v="C06"/>
    <s v="TSBCRC"/>
    <s v="SR15"/>
    <n v="0.7"/>
    <n v="1250"/>
    <n v="1930"/>
    <n v="27"/>
    <n v="0"/>
    <n v="27"/>
    <n v="27"/>
    <n v="0"/>
    <n v="27"/>
    <m/>
    <m/>
    <n v="27"/>
    <n v="27"/>
    <n v="0"/>
    <n v="30.240000000000002"/>
    <n v="0"/>
    <n v="0"/>
    <n v="0"/>
    <n v="0"/>
    <n v="0"/>
    <n v="0"/>
    <n v="0"/>
    <n v="0"/>
    <n v="0"/>
    <n v="0"/>
    <n v="0"/>
    <n v="0"/>
    <n v="0"/>
    <n v="0"/>
    <n v="0"/>
    <n v="0"/>
    <n v="0"/>
    <n v="0"/>
    <n v="0"/>
    <n v="0"/>
    <n v="0"/>
    <n v="0"/>
    <n v="0"/>
    <n v="0"/>
    <n v="27"/>
    <n v="0"/>
    <n v="0"/>
    <n v="0"/>
    <n v="27"/>
    <n v="0"/>
    <n v="27"/>
    <n v="0"/>
    <n v="0"/>
    <n v="0"/>
    <n v="27"/>
    <n v="0"/>
    <n v="0"/>
    <m/>
    <m/>
    <m/>
    <m/>
    <m/>
    <m/>
    <m/>
    <m/>
    <m/>
    <m/>
    <m/>
    <m/>
    <m/>
    <m/>
    <m/>
    <m/>
    <m/>
    <m/>
    <m/>
    <m/>
    <m/>
    <m/>
    <m/>
    <m/>
    <m/>
    <m/>
    <m/>
    <m/>
    <m/>
    <m/>
    <m/>
    <m/>
    <m/>
    <m/>
  </r>
  <r>
    <n v="742"/>
    <d v="2025-02-14T00:00:00"/>
    <s v="ZBTO"/>
    <n v="9518518906"/>
    <n v="6"/>
    <s v="9518518906-6"/>
    <m/>
    <s v="Mar'25"/>
    <s v="Released orders"/>
    <x v="1"/>
    <x v="1"/>
    <s v="2000-BPRS"/>
    <m/>
    <x v="0"/>
    <s v="Mar"/>
    <m/>
    <m/>
    <m/>
    <s v="VARANASI"/>
    <m/>
    <n v="931525"/>
    <s v="INDIA STEEL INDUSTRIES"/>
    <n v="3912458"/>
    <s v="CRCA SHEET TSBCRC SR15 0.700X1250X1925"/>
    <s v=" "/>
    <s v=""/>
    <n v="0"/>
    <n v="0"/>
    <s v="Wider"/>
    <s v="C06"/>
    <s v="TSBCRC"/>
    <s v="SR15"/>
    <n v="0.7"/>
    <n v="1250"/>
    <n v="1925"/>
    <n v="33"/>
    <n v="0"/>
    <n v="33"/>
    <n v="33"/>
    <n v="0"/>
    <n v="33"/>
    <m/>
    <m/>
    <n v="33"/>
    <n v="33"/>
    <n v="0"/>
    <n v="36.96"/>
    <n v="0"/>
    <n v="0"/>
    <n v="0"/>
    <n v="0"/>
    <n v="0"/>
    <n v="0"/>
    <n v="0"/>
    <n v="0"/>
    <n v="0"/>
    <n v="0"/>
    <n v="0"/>
    <n v="0"/>
    <n v="0"/>
    <n v="0"/>
    <n v="0"/>
    <n v="0"/>
    <n v="0"/>
    <n v="0"/>
    <n v="0"/>
    <n v="0"/>
    <n v="0"/>
    <n v="0"/>
    <n v="0"/>
    <n v="0"/>
    <n v="33"/>
    <n v="0"/>
    <n v="0"/>
    <n v="0"/>
    <n v="33"/>
    <n v="0"/>
    <n v="33"/>
    <n v="0"/>
    <n v="0"/>
    <n v="0"/>
    <n v="33"/>
    <n v="0"/>
    <n v="0"/>
    <m/>
    <m/>
    <m/>
    <m/>
    <m/>
    <m/>
    <m/>
    <m/>
    <m/>
    <m/>
    <m/>
    <m/>
    <m/>
    <m/>
    <m/>
    <m/>
    <m/>
    <m/>
    <m/>
    <m/>
    <m/>
    <m/>
    <m/>
    <m/>
    <m/>
    <m/>
    <m/>
    <m/>
    <m/>
    <m/>
    <m/>
    <m/>
    <m/>
    <m/>
  </r>
  <r>
    <n v="742"/>
    <d v="2025-02-03T00:00:00"/>
    <s v="ZBTO"/>
    <n v="9518490750"/>
    <n v="11"/>
    <s v="9518490750-11"/>
    <m/>
    <s v="Mar'25"/>
    <s v="Released orders"/>
    <x v="1"/>
    <x v="1"/>
    <s v="2000-BPRS"/>
    <m/>
    <x v="0"/>
    <s v="Mar"/>
    <m/>
    <m/>
    <m/>
    <s v="TANGI"/>
    <m/>
    <n v="117061"/>
    <s v="BHARTIA  DISTRIBUTORS PVT. LTD."/>
    <n v="3240786"/>
    <s v="CRCA SHEET TSBCRC SR15 0.700X1250X2500"/>
    <s v=" "/>
    <s v=""/>
    <n v="0.1"/>
    <n v="5"/>
    <s v="Wider"/>
    <s v="C06"/>
    <s v="TSBCRC"/>
    <s v="SR15"/>
    <n v="0.7"/>
    <n v="1250"/>
    <n v="2500"/>
    <n v="75"/>
    <n v="0"/>
    <n v="75"/>
    <n v="75"/>
    <n v="0"/>
    <n v="75"/>
    <m/>
    <m/>
    <n v="75"/>
    <n v="75"/>
    <n v="0"/>
    <n v="84.000000000000014"/>
    <n v="0"/>
    <n v="0"/>
    <n v="0"/>
    <n v="0"/>
    <n v="0"/>
    <n v="0"/>
    <n v="0"/>
    <n v="0"/>
    <n v="0"/>
    <n v="0"/>
    <n v="0"/>
    <n v="0"/>
    <n v="0"/>
    <n v="0"/>
    <n v="0"/>
    <n v="0"/>
    <n v="0"/>
    <n v="0"/>
    <n v="0"/>
    <n v="0"/>
    <n v="0"/>
    <n v="0"/>
    <n v="0"/>
    <n v="0"/>
    <n v="75"/>
    <n v="0"/>
    <n v="0"/>
    <n v="0"/>
    <n v="75"/>
    <n v="0"/>
    <n v="75"/>
    <n v="0"/>
    <n v="0"/>
    <n v="0"/>
    <n v="0"/>
    <n v="75"/>
    <n v="0"/>
    <m/>
    <m/>
    <m/>
    <m/>
    <m/>
    <m/>
    <m/>
    <m/>
    <m/>
    <m/>
    <m/>
    <m/>
    <m/>
    <m/>
    <m/>
    <m/>
    <m/>
    <m/>
    <m/>
    <m/>
    <m/>
    <m/>
    <m/>
    <m/>
    <m/>
    <m/>
    <m/>
    <m/>
    <m/>
    <m/>
    <m/>
    <m/>
    <m/>
    <m/>
  </r>
  <r>
    <n v="742"/>
    <d v="2025-02-03T00:00:00"/>
    <s v="ZBTO"/>
    <n v="9518490750"/>
    <n v="16"/>
    <s v="9518490750-16"/>
    <m/>
    <s v="Mar'25 additional"/>
    <s v="Released orders"/>
    <x v="1"/>
    <x v="1"/>
    <n v="2000"/>
    <m/>
    <x v="1"/>
    <m/>
    <s v="De-prioritized due to narrow HR unavailability"/>
    <s v="Orissa"/>
    <m/>
    <m/>
    <m/>
    <n v="117061"/>
    <s v="BHARTIA  DISTRIBUTORS PVT. LTD"/>
    <n v="3240836"/>
    <s v="CRCA SHEET TSBCRC SR15 1X1000X2500"/>
    <s v=""/>
    <s v=""/>
    <m/>
    <m/>
    <s v="Narrow"/>
    <s v="C06"/>
    <s v="TSBCRC"/>
    <s v="SR15"/>
    <n v="1"/>
    <n v="1000"/>
    <n v="2500"/>
    <n v="75"/>
    <n v="0"/>
    <n v="75"/>
    <n v="75"/>
    <e v="#N/A"/>
    <e v="#N/A"/>
    <m/>
    <n v="0"/>
    <n v="75"/>
    <n v="75"/>
    <n v="0"/>
    <n v="84.000000000000014"/>
    <n v="0"/>
    <n v="0"/>
    <n v="0"/>
    <n v="0"/>
    <n v="0"/>
    <n v="0"/>
    <n v="0"/>
    <n v="0"/>
    <n v="0"/>
    <n v="0"/>
    <n v="0"/>
    <n v="0"/>
    <n v="0"/>
    <n v="0"/>
    <n v="0"/>
    <n v="0"/>
    <n v="0"/>
    <n v="0"/>
    <n v="0"/>
    <n v="0"/>
    <n v="0"/>
    <n v="0"/>
    <n v="0"/>
    <n v="0"/>
    <n v="0"/>
    <n v="0"/>
    <n v="0"/>
    <n v="0"/>
    <n v="0"/>
    <n v="0"/>
    <n v="0"/>
    <n v="0"/>
    <n v="0"/>
    <n v="0"/>
    <n v="0"/>
    <n v="0"/>
    <n v="0"/>
    <m/>
    <m/>
    <m/>
    <m/>
    <m/>
    <m/>
    <m/>
    <m/>
    <m/>
    <m/>
    <m/>
    <m/>
    <m/>
    <m/>
    <m/>
    <m/>
    <m/>
    <m/>
    <m/>
    <m/>
    <m/>
    <m/>
    <m/>
    <m/>
    <m/>
    <m/>
    <m/>
    <m/>
    <m/>
    <m/>
    <m/>
    <m/>
    <m/>
    <m/>
  </r>
  <r>
    <n v="743"/>
    <d v="2025-02-10T00:00:00"/>
    <s v="ZBTO"/>
    <n v="9518508377"/>
    <n v="3"/>
    <s v="9518508377-3"/>
    <m/>
    <s v="Mar'25"/>
    <s v="Released orders"/>
    <x v="2"/>
    <x v="2"/>
    <n v="2000"/>
    <m/>
    <x v="0"/>
    <m/>
    <m/>
    <s v="Jharkhand"/>
    <m/>
    <m/>
    <m/>
    <n v="185794"/>
    <s v="Shree Bajrang Steel Udyog"/>
    <n v="1191955"/>
    <s v="GP COIL SOFT-TATXGP-GK09-0.3X900"/>
    <n v="80"/>
    <s v=""/>
    <m/>
    <m/>
    <s v="Narrow"/>
    <s v="C02"/>
    <s v="TATXGP"/>
    <s v="GK09"/>
    <n v="0.3"/>
    <n v="900"/>
    <n v="0"/>
    <n v="105"/>
    <n v="0"/>
    <n v="105"/>
    <n v="105"/>
    <n v="0"/>
    <n v="105"/>
    <m/>
    <m/>
    <n v="105"/>
    <n v="105"/>
    <n v="0"/>
    <n v="117.60000000000001"/>
    <n v="0"/>
    <n v="0"/>
    <n v="0"/>
    <n v="0"/>
    <n v="0"/>
    <n v="0"/>
    <n v="0"/>
    <n v="0"/>
    <n v="0"/>
    <n v="0"/>
    <n v="0"/>
    <n v="0"/>
    <n v="0"/>
    <n v="0"/>
    <n v="0"/>
    <n v="0"/>
    <n v="0"/>
    <n v="0"/>
    <n v="0"/>
    <n v="0"/>
    <n v="0"/>
    <n v="0"/>
    <n v="0"/>
    <n v="0"/>
    <n v="105"/>
    <n v="0"/>
    <n v="105"/>
    <n v="0"/>
    <n v="0"/>
    <n v="0"/>
    <n v="105"/>
    <n v="0"/>
    <n v="0"/>
    <n v="105"/>
    <n v="0"/>
    <n v="0"/>
    <n v="0"/>
    <m/>
    <m/>
    <m/>
    <m/>
    <m/>
    <m/>
    <m/>
    <m/>
    <m/>
    <m/>
    <m/>
    <m/>
    <m/>
    <m/>
    <m/>
    <m/>
    <m/>
    <m/>
    <m/>
    <m/>
    <m/>
    <m/>
    <m/>
    <m/>
    <m/>
    <m/>
    <m/>
    <m/>
    <m/>
    <m/>
    <m/>
    <m/>
    <m/>
    <m/>
  </r>
  <r>
    <n v="743"/>
    <d v="2025-02-14T00:00:00"/>
    <s v="ZBTO"/>
    <n v="9518519620"/>
    <n v="1"/>
    <s v="9518519620-1"/>
    <m/>
    <s v="Stocks"/>
    <s v="Released orders"/>
    <x v="2"/>
    <x v="2"/>
    <n v="2000"/>
    <m/>
    <x v="0"/>
    <m/>
    <s v="De-prioritized due to narrow HR unavailability"/>
    <s v="Bihar"/>
    <m/>
    <m/>
    <m/>
    <n v="103227"/>
    <s v="BMW VENTURES LIMITED"/>
    <n v="1191955"/>
    <s v="GP COIL SOFT-TATXGP-GK09-0.3X900"/>
    <n v="80"/>
    <s v=""/>
    <m/>
    <m/>
    <s v="Narrow"/>
    <s v="C02"/>
    <s v="TATXGP"/>
    <s v="GK09"/>
    <n v="0.3"/>
    <n v="900"/>
    <n v="0"/>
    <n v="147"/>
    <n v="2.54"/>
    <n v="147"/>
    <n v="144.46"/>
    <n v="1.75"/>
    <n v="142.71"/>
    <m/>
    <m/>
    <n v="144.46"/>
    <n v="144.46"/>
    <n v="0"/>
    <n v="164.64000000000001"/>
    <n v="0"/>
    <n v="0"/>
    <n v="0"/>
    <n v="0"/>
    <n v="0"/>
    <n v="0"/>
    <n v="0"/>
    <n v="0"/>
    <n v="0"/>
    <n v="0"/>
    <n v="0"/>
    <n v="0"/>
    <n v="0"/>
    <n v="0"/>
    <n v="0"/>
    <n v="0"/>
    <n v="0"/>
    <n v="0"/>
    <n v="0"/>
    <n v="0"/>
    <n v="0"/>
    <n v="0"/>
    <n v="1.75"/>
    <n v="2.54"/>
    <n v="0"/>
    <n v="0"/>
    <n v="0"/>
    <n v="0"/>
    <n v="0"/>
    <n v="0"/>
    <n v="2.54"/>
    <n v="0"/>
    <n v="2.54"/>
    <n v="0"/>
    <n v="0"/>
    <n v="0"/>
    <n v="0"/>
    <m/>
    <m/>
    <m/>
    <m/>
    <m/>
    <m/>
    <m/>
    <m/>
    <m/>
    <m/>
    <m/>
    <m/>
    <m/>
    <m/>
    <m/>
    <m/>
    <m/>
    <m/>
    <m/>
    <m/>
    <m/>
    <m/>
    <m/>
    <m/>
    <m/>
    <m/>
    <m/>
    <m/>
    <m/>
    <m/>
    <m/>
    <m/>
    <m/>
    <m/>
  </r>
  <r>
    <n v="743"/>
    <d v="2025-02-04T00:00:00"/>
    <s v="ZBTO"/>
    <n v="9518493651"/>
    <n v="1"/>
    <s v="9518493651-1"/>
    <m/>
    <s v="No Priority"/>
    <s v="Failed orders"/>
    <x v="2"/>
    <x v="2"/>
    <n v="2000"/>
    <m/>
    <x v="1"/>
    <m/>
    <m/>
    <s v="Orissa"/>
    <m/>
    <m/>
    <m/>
    <n v="117061"/>
    <s v="BHARTIA  DISTRIBUTORS PVT. LTD"/>
    <n v="1142792"/>
    <s v="GP COIL SOFT-TATXGP-GLK1-0.3X900"/>
    <n v="80"/>
    <s v=""/>
    <m/>
    <m/>
    <s v="Narrow"/>
    <s v="C02"/>
    <s v="TATXGP"/>
    <s v="GLK1"/>
    <n v="0.3"/>
    <n v="900"/>
    <n v="0"/>
    <n v="40"/>
    <e v="#N/A"/>
    <n v="40"/>
    <n v="40"/>
    <e v="#N/A"/>
    <e v="#N/A"/>
    <m/>
    <m/>
    <n v="40"/>
    <n v="0"/>
    <n v="0"/>
    <n v="44.800000000000004"/>
    <n v="0"/>
    <n v="0"/>
    <n v="0"/>
    <n v="0"/>
    <n v="0"/>
    <n v="0"/>
    <n v="0"/>
    <n v="0"/>
    <n v="0"/>
    <n v="0"/>
    <n v="0"/>
    <n v="0"/>
    <n v="0"/>
    <n v="0"/>
    <n v="0"/>
    <n v="0"/>
    <n v="0"/>
    <n v="0"/>
    <n v="0"/>
    <n v="0"/>
    <n v="0"/>
    <n v="0"/>
    <n v="0"/>
    <n v="0"/>
    <n v="0"/>
    <n v="0"/>
    <n v="0"/>
    <n v="0"/>
    <n v="0"/>
    <n v="0"/>
    <n v="0"/>
    <n v="0"/>
    <n v="0"/>
    <n v="0"/>
    <n v="0"/>
    <n v="0"/>
    <n v="0"/>
    <m/>
    <m/>
    <m/>
    <m/>
    <m/>
    <m/>
    <m/>
    <m/>
    <m/>
    <m/>
    <m/>
    <m/>
    <m/>
    <m/>
    <m/>
    <m/>
    <m/>
    <m/>
    <m/>
    <m/>
    <m/>
    <m/>
    <m/>
    <m/>
    <m/>
    <m/>
    <m/>
    <m/>
    <m/>
    <m/>
    <m/>
    <m/>
    <m/>
    <m/>
  </r>
  <r>
    <n v="743"/>
    <d v="2025-02-04T00:00:00"/>
    <s v="ZBTO"/>
    <n v="9518493782"/>
    <n v="1"/>
    <s v="9518493782-1"/>
    <m/>
    <s v="No Priority"/>
    <s v="Failed orders"/>
    <x v="2"/>
    <x v="2"/>
    <n v="2000"/>
    <m/>
    <x v="1"/>
    <m/>
    <m/>
    <s v="Orissa"/>
    <m/>
    <m/>
    <m/>
    <n v="117061"/>
    <s v="BHARTIA  DISTRIBUTORS PVT. LTD"/>
    <n v="3484324"/>
    <s v="GP SH SOFT TATXGP GK09 0.300X900X2500"/>
    <n v="80"/>
    <s v=""/>
    <m/>
    <m/>
    <s v="Narrow"/>
    <s v="B11"/>
    <s v="TATXGP"/>
    <s v="GK09"/>
    <n v="0.3"/>
    <n v="900"/>
    <n v="2500"/>
    <n v="80"/>
    <e v="#N/A"/>
    <n v="80"/>
    <n v="80"/>
    <e v="#N/A"/>
    <e v="#N/A"/>
    <m/>
    <m/>
    <n v="80"/>
    <n v="0"/>
    <n v="0"/>
    <n v="89.600000000000009"/>
    <n v="0"/>
    <n v="0"/>
    <n v="0"/>
    <n v="0"/>
    <n v="0"/>
    <n v="0"/>
    <n v="0"/>
    <n v="0"/>
    <n v="0"/>
    <n v="0"/>
    <n v="0"/>
    <n v="0"/>
    <n v="0"/>
    <n v="0"/>
    <n v="0"/>
    <n v="0"/>
    <n v="0"/>
    <n v="0"/>
    <n v="0"/>
    <n v="0"/>
    <n v="0"/>
    <n v="0"/>
    <n v="0"/>
    <n v="0"/>
    <n v="0"/>
    <n v="0"/>
    <n v="0"/>
    <n v="0"/>
    <n v="0"/>
    <n v="0"/>
    <n v="0"/>
    <n v="0"/>
    <n v="0"/>
    <n v="0"/>
    <n v="0"/>
    <n v="0"/>
    <n v="0"/>
    <m/>
    <m/>
    <m/>
    <m/>
    <m/>
    <m/>
    <m/>
    <m/>
    <m/>
    <m/>
    <m/>
    <m/>
    <m/>
    <m/>
    <m/>
    <m/>
    <m/>
    <m/>
    <m/>
    <m/>
    <m/>
    <m/>
    <m/>
    <m/>
    <m/>
    <m/>
    <m/>
    <m/>
    <m/>
    <m/>
    <m/>
    <m/>
    <m/>
    <m/>
  </r>
  <r>
    <n v="743"/>
    <d v="2025-01-21T00:00:00"/>
    <s v="ZBTO"/>
    <n v="9518448141"/>
    <n v="2"/>
    <s v="9518448141-2"/>
    <m/>
    <s v="No Priority"/>
    <s v="Released orders"/>
    <x v="2"/>
    <x v="2"/>
    <n v="2000"/>
    <m/>
    <x v="1"/>
    <m/>
    <m/>
    <s v="Uttar Pradesh"/>
    <m/>
    <m/>
    <m/>
    <n v="931234"/>
    <s v="JAI LAXMI STEELS"/>
    <n v="1191955"/>
    <s v="GP COIL SOFT-TATXGP-GK09-0.3X900"/>
    <n v="80"/>
    <s v=""/>
    <m/>
    <m/>
    <s v="Narrow"/>
    <s v="C02"/>
    <s v="TATXGP"/>
    <s v="GK09"/>
    <n v="0.3"/>
    <n v="900"/>
    <n v="0"/>
    <n v="147"/>
    <n v="0"/>
    <n v="147"/>
    <n v="147"/>
    <e v="#N/A"/>
    <e v="#N/A"/>
    <m/>
    <m/>
    <n v="147"/>
    <n v="147"/>
    <n v="0"/>
    <n v="164.64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7T00:00:00"/>
    <s v="ZBTO"/>
    <n v="9518527008"/>
    <n v="2"/>
    <s v="9518527008-2"/>
    <m/>
    <s v="No Priority"/>
    <s v="Released orders"/>
    <x v="2"/>
    <x v="2"/>
    <n v="2000"/>
    <m/>
    <x v="1"/>
    <m/>
    <m/>
    <s v="Uttar Pradesh"/>
    <m/>
    <m/>
    <m/>
    <n v="931234"/>
    <s v="JAI LAXMI STEELS"/>
    <n v="1191955"/>
    <s v="GP COIL SOFT-TATXGP-GK09-0.3X900"/>
    <n v="80"/>
    <s v=""/>
    <m/>
    <m/>
    <s v="Narrow"/>
    <s v="C02"/>
    <s v="TATXGP"/>
    <s v="GK09"/>
    <n v="0.3"/>
    <n v="900"/>
    <n v="0"/>
    <n v="105"/>
    <n v="0"/>
    <n v="105"/>
    <n v="105"/>
    <e v="#N/A"/>
    <e v="#N/A"/>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7T00:00:00"/>
    <s v="ZBTO"/>
    <n v="9518525385"/>
    <n v="3"/>
    <s v="9518525385-3"/>
    <m/>
    <s v="No Priority"/>
    <s v="Released orders"/>
    <x v="2"/>
    <x v="2"/>
    <n v="2000"/>
    <m/>
    <x v="1"/>
    <m/>
    <m/>
    <s v="Uttar Pradesh"/>
    <m/>
    <m/>
    <m/>
    <n v="938789"/>
    <s v="JAIN STEEL DISTRIBUTORS"/>
    <n v="1191955"/>
    <s v="GP COIL SOFT-TATXGP-GK09-0.3X900"/>
    <n v="80"/>
    <s v=""/>
    <m/>
    <m/>
    <s v="Narrow"/>
    <s v="C02"/>
    <s v="TATXGP"/>
    <s v="GK09"/>
    <n v="0.3"/>
    <n v="900"/>
    <n v="0"/>
    <n v="147"/>
    <n v="0"/>
    <n v="147"/>
    <n v="147"/>
    <e v="#N/A"/>
    <e v="#N/A"/>
    <m/>
    <m/>
    <n v="147"/>
    <n v="147"/>
    <n v="0"/>
    <n v="164.64000000000001"/>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52"/>
    <n v="1"/>
    <s v="9518426252-1"/>
    <m/>
    <s v="No Priority"/>
    <s v="Failed orders"/>
    <x v="1"/>
    <x v="1"/>
    <n v="2000"/>
    <m/>
    <x v="1"/>
    <m/>
    <m/>
    <s v="Bihar"/>
    <m/>
    <m/>
    <m/>
    <n v="103227"/>
    <s v="BMW VENTURES LIMITED"/>
    <n v="3239408"/>
    <s v="CRCA SHEET TATCRC SR16 0.300X900X2500"/>
    <s v=""/>
    <s v=""/>
    <m/>
    <m/>
    <s v="Narrow"/>
    <s v="C06"/>
    <s v="TATCRC"/>
    <s v="SR16"/>
    <n v="0.3"/>
    <n v="9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52"/>
    <n v="2"/>
    <s v="9518426252-2"/>
    <m/>
    <s v="No Priority"/>
    <s v="Failed orders"/>
    <x v="1"/>
    <x v="1"/>
    <n v="2000"/>
    <m/>
    <x v="1"/>
    <m/>
    <m/>
    <s v="Bihar"/>
    <m/>
    <m/>
    <m/>
    <n v="103227"/>
    <s v="BMW VENTURES LIMITED"/>
    <n v="3239536"/>
    <s v="CRCA SHEET TATCRC SR16 0.350X900X2500"/>
    <s v=""/>
    <s v=""/>
    <m/>
    <m/>
    <s v="Narrow"/>
    <s v="C06"/>
    <s v="TATCRC"/>
    <s v="SR16"/>
    <n v="0.35"/>
    <n v="9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52"/>
    <n v="3"/>
    <s v="9518426252-3"/>
    <m/>
    <s v="No Priority"/>
    <s v="Failed orders"/>
    <x v="1"/>
    <x v="1"/>
    <n v="2000"/>
    <m/>
    <x v="1"/>
    <m/>
    <m/>
    <s v="Bihar"/>
    <m/>
    <m/>
    <m/>
    <n v="103227"/>
    <s v="BMW VENTURES LIMITED"/>
    <n v="3239542"/>
    <s v="CRCA SHEET TATCRC SR16 0.350X1000X2500"/>
    <s v=""/>
    <s v=""/>
    <m/>
    <m/>
    <s v="Narrow"/>
    <s v="C06"/>
    <s v="TATCRC"/>
    <s v="SR16"/>
    <n v="0.35"/>
    <n v="10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52"/>
    <n v="4"/>
    <s v="9518426252-4"/>
    <m/>
    <s v="No Priority"/>
    <s v="Failed orders"/>
    <x v="1"/>
    <x v="1"/>
    <n v="2000"/>
    <m/>
    <x v="1"/>
    <m/>
    <m/>
    <s v="Bihar"/>
    <m/>
    <m/>
    <m/>
    <n v="103227"/>
    <s v="BMW VENTURES LIMITED"/>
    <n v="3239554"/>
    <s v="CRCA SHEET TATCRC SR16 0.400X1000X2500"/>
    <s v=""/>
    <s v=""/>
    <m/>
    <m/>
    <s v="Narrow"/>
    <s v="C06"/>
    <s v="TATCRC"/>
    <s v="SR16"/>
    <n v="0.4"/>
    <n v="1000"/>
    <n v="2500"/>
    <n v="48"/>
    <e v="#N/A"/>
    <n v="48"/>
    <n v="48"/>
    <e v="#N/A"/>
    <e v="#N/A"/>
    <m/>
    <n v="0"/>
    <n v="48"/>
    <n v="0"/>
    <n v="0"/>
    <n v="53.76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52"/>
    <n v="6"/>
    <s v="9518426252-6"/>
    <m/>
    <s v="No Priority"/>
    <s v="Released orders"/>
    <x v="1"/>
    <x v="1"/>
    <n v="2000"/>
    <m/>
    <x v="1"/>
    <s v="Mar"/>
    <m/>
    <s v="Bihar"/>
    <m/>
    <m/>
    <m/>
    <n v="103227"/>
    <s v="BMW VENTURES LIMITED"/>
    <n v="3240760"/>
    <s v="CRCA SHEET TSBCRC SR15 0.500X1000X2500"/>
    <s v=""/>
    <s v=""/>
    <m/>
    <m/>
    <s v="Narrow"/>
    <s v="C06"/>
    <s v="TSBCRC"/>
    <s v="SR15"/>
    <n v="0.5"/>
    <n v="1000"/>
    <n v="2500"/>
    <n v="48"/>
    <e v="#N/A"/>
    <n v="48"/>
    <n v="48"/>
    <e v="#N/A"/>
    <e v="#N/A"/>
    <m/>
    <n v="0"/>
    <n v="48"/>
    <n v="0"/>
    <n v="0"/>
    <n v="53.76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90"/>
    <n v="1"/>
    <s v="9518426290-1"/>
    <m/>
    <s v="No Priority"/>
    <s v="Failed orders"/>
    <x v="1"/>
    <x v="1"/>
    <n v="2000"/>
    <m/>
    <x v="1"/>
    <m/>
    <m/>
    <s v="Bihar"/>
    <m/>
    <m/>
    <m/>
    <n v="103227"/>
    <s v="BMW VENTURES LIMITED"/>
    <n v="3239408"/>
    <s v="CRCA SHEET TATCRC SR16 0.300X900X2500"/>
    <s v=""/>
    <s v=""/>
    <m/>
    <m/>
    <s v="Narrow"/>
    <s v="C06"/>
    <s v="TATCRC"/>
    <s v="SR16"/>
    <n v="0.3"/>
    <n v="900"/>
    <n v="2500"/>
    <n v="12"/>
    <e v="#N/A"/>
    <n v="12"/>
    <n v="12"/>
    <e v="#N/A"/>
    <e v="#N/A"/>
    <m/>
    <n v="0"/>
    <n v="12"/>
    <n v="0"/>
    <n v="0"/>
    <n v="13.440000000000001"/>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90"/>
    <n v="2"/>
    <s v="9518426290-2"/>
    <m/>
    <s v="No Priority"/>
    <s v="Failed orders"/>
    <x v="1"/>
    <x v="1"/>
    <n v="2000"/>
    <m/>
    <x v="1"/>
    <m/>
    <m/>
    <s v="Bihar"/>
    <m/>
    <m/>
    <m/>
    <n v="103227"/>
    <s v="BMW VENTURES LIMITED"/>
    <n v="3239536"/>
    <s v="CRCA SHEET TATCRC SR16 0.350X900X2500"/>
    <s v=""/>
    <s v=""/>
    <m/>
    <m/>
    <s v="Narrow"/>
    <s v="C06"/>
    <s v="TATCRC"/>
    <s v="SR16"/>
    <n v="0.35"/>
    <n v="900"/>
    <n v="2500"/>
    <n v="12"/>
    <e v="#N/A"/>
    <n v="12"/>
    <n v="12"/>
    <e v="#N/A"/>
    <e v="#N/A"/>
    <m/>
    <n v="0"/>
    <n v="12"/>
    <n v="0"/>
    <n v="0"/>
    <n v="13.440000000000001"/>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90"/>
    <n v="3"/>
    <s v="9518426290-3"/>
    <m/>
    <s v="No Priority"/>
    <s v="Failed orders"/>
    <x v="1"/>
    <x v="1"/>
    <n v="2000"/>
    <m/>
    <x v="1"/>
    <s v="Mar"/>
    <m/>
    <s v="Bihar"/>
    <m/>
    <m/>
    <m/>
    <n v="103227"/>
    <s v="BMW VENTURES LIMITED"/>
    <n v="3239542"/>
    <s v="CRCA SHEET TATCRC SR16 0.350X1000X2500"/>
    <s v=""/>
    <s v=""/>
    <m/>
    <m/>
    <s v="Narrow"/>
    <s v="C06"/>
    <s v="TATCRC"/>
    <s v="SR16"/>
    <n v="0.35"/>
    <n v="1000"/>
    <n v="2500"/>
    <n v="12"/>
    <e v="#N/A"/>
    <n v="12"/>
    <n v="12"/>
    <e v="#N/A"/>
    <e v="#N/A"/>
    <m/>
    <n v="0"/>
    <n v="12"/>
    <n v="0"/>
    <n v="0"/>
    <n v="13.440000000000001"/>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90"/>
    <n v="4"/>
    <s v="9518426290-4"/>
    <m/>
    <s v="No Priority"/>
    <s v="Failed orders"/>
    <x v="1"/>
    <x v="1"/>
    <n v="2000"/>
    <m/>
    <x v="1"/>
    <m/>
    <m/>
    <s v="Bihar"/>
    <m/>
    <m/>
    <m/>
    <n v="103227"/>
    <s v="BMW VENTURES LIMITED"/>
    <n v="3239554"/>
    <s v="CRCA SHEET TATCRC SR16 0.400X1000X2500"/>
    <s v=""/>
    <s v=""/>
    <m/>
    <m/>
    <s v="Narrow"/>
    <s v="C06"/>
    <s v="TATCRC"/>
    <s v="SR16"/>
    <n v="0.4"/>
    <n v="1000"/>
    <n v="250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90"/>
    <n v="6"/>
    <s v="9518426290-6"/>
    <m/>
    <s v="No Priority"/>
    <s v="Released orders"/>
    <x v="1"/>
    <x v="1"/>
    <n v="2000"/>
    <m/>
    <x v="1"/>
    <s v="Mar"/>
    <m/>
    <s v="Bihar"/>
    <m/>
    <m/>
    <m/>
    <n v="103227"/>
    <s v="BMW VENTURES LIMITED"/>
    <n v="3240760"/>
    <s v="CRCA SHEET TSBCRC SR15 0.500X1000X2500"/>
    <s v=""/>
    <s v=""/>
    <m/>
    <m/>
    <s v="Narrow"/>
    <s v="C06"/>
    <s v="TSBCRC"/>
    <s v="SR15"/>
    <n v="0.5"/>
    <n v="10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10T00:00:00"/>
    <s v="ZBTO"/>
    <n v="9518507185"/>
    <n v="13"/>
    <s v="9518507185-13"/>
    <m/>
    <s v="Mar'25"/>
    <s v="Released orders"/>
    <x v="1"/>
    <x v="1"/>
    <s v="2000-BPRS"/>
    <m/>
    <x v="0"/>
    <s v="Mar"/>
    <m/>
    <m/>
    <m/>
    <s v="WEST BOKARO"/>
    <m/>
    <n v="185794"/>
    <s v="Shree Bajrang Steel Udyog"/>
    <n v="3240786"/>
    <s v="CRCA SHEET TSBCRC SR15 0.700X1250X2500"/>
    <s v=" "/>
    <s v=""/>
    <n v="2.8"/>
    <n v="3.2"/>
    <s v="Wider"/>
    <s v="C06"/>
    <s v="TSBCRC"/>
    <s v="SR15"/>
    <n v="0.7"/>
    <n v="1250"/>
    <n v="2500"/>
    <n v="24"/>
    <n v="0"/>
    <n v="24"/>
    <n v="24"/>
    <n v="0"/>
    <n v="24"/>
    <m/>
    <m/>
    <n v="24"/>
    <n v="24"/>
    <n v="0"/>
    <n v="26.880000000000003"/>
    <n v="0"/>
    <n v="0"/>
    <n v="0"/>
    <n v="0"/>
    <n v="0"/>
    <n v="0"/>
    <n v="0"/>
    <n v="0"/>
    <n v="0"/>
    <n v="0"/>
    <n v="0"/>
    <n v="0"/>
    <n v="0"/>
    <n v="0"/>
    <n v="0"/>
    <n v="0"/>
    <n v="0"/>
    <n v="0"/>
    <n v="0"/>
    <n v="0"/>
    <n v="0"/>
    <n v="0"/>
    <n v="0"/>
    <n v="0"/>
    <n v="24"/>
    <n v="0"/>
    <n v="0"/>
    <n v="0"/>
    <n v="24"/>
    <n v="0"/>
    <n v="24"/>
    <n v="0"/>
    <n v="0"/>
    <n v="0"/>
    <n v="0"/>
    <n v="24"/>
    <n v="0"/>
    <m/>
    <m/>
    <m/>
    <m/>
    <m/>
    <m/>
    <m/>
    <m/>
    <m/>
    <m/>
    <m/>
    <m/>
    <m/>
    <m/>
    <m/>
    <m/>
    <m/>
    <m/>
    <m/>
    <m/>
    <m/>
    <m/>
    <m/>
    <m/>
    <m/>
    <m/>
    <m/>
    <m/>
    <m/>
    <m/>
    <m/>
    <m/>
    <m/>
    <m/>
  </r>
  <r>
    <n v="743"/>
    <d v="2025-02-13T00:00:00"/>
    <s v="ZBTO"/>
    <n v="9518516044"/>
    <n v="4"/>
    <s v="9518516044-4"/>
    <m/>
    <s v="No Priority"/>
    <s v="Released orders"/>
    <x v="2"/>
    <x v="2"/>
    <n v="2000"/>
    <m/>
    <x v="1"/>
    <m/>
    <m/>
    <s v="Uttar Pradesh"/>
    <m/>
    <m/>
    <m/>
    <n v="931235"/>
    <s v="K D J P STEELS PVT LTD"/>
    <n v="1191955"/>
    <s v="GP COIL SOFT-TATXGP-GK09-0.3X900"/>
    <n v="80"/>
    <s v=""/>
    <m/>
    <m/>
    <s v="Narrow"/>
    <s v="C02"/>
    <s v="TATXGP"/>
    <s v="GK09"/>
    <n v="0.3"/>
    <n v="900"/>
    <n v="0"/>
    <n v="105"/>
    <n v="0"/>
    <n v="105"/>
    <n v="105"/>
    <e v="#N/A"/>
    <e v="#N/A"/>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4T00:00:00"/>
    <s v="ZBTO"/>
    <n v="9518519230"/>
    <n v="4"/>
    <s v="9518519230-4"/>
    <m/>
    <s v="No Priority"/>
    <s v="Released orders"/>
    <x v="2"/>
    <x v="2"/>
    <n v="2000"/>
    <m/>
    <x v="1"/>
    <m/>
    <m/>
    <s v="Punjab"/>
    <m/>
    <m/>
    <m/>
    <n v="185845"/>
    <s v="Malerkotla Steel Industries"/>
    <n v="1191955"/>
    <s v="GP COIL SOFT-TATXGP-GK09-0.3X900"/>
    <s v=""/>
    <s v=""/>
    <m/>
    <m/>
    <s v="Narrow"/>
    <s v="C02"/>
    <s v="TATXGP"/>
    <s v="GK09"/>
    <n v="0.3"/>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25T00:00:00"/>
    <s v="ZBTO"/>
    <n v="9518459972"/>
    <n v="3"/>
    <s v="9518459972-3"/>
    <m/>
    <s v="No Priority"/>
    <s v="Released orders"/>
    <x v="2"/>
    <x v="2"/>
    <n v="2000"/>
    <m/>
    <x v="1"/>
    <m/>
    <m/>
    <s v="Delhi"/>
    <m/>
    <m/>
    <m/>
    <n v="183259"/>
    <s v="Rakesh Steel Inds.(P) Ltd."/>
    <n v="1191955"/>
    <s v="GP COIL SOFT-TATXGP-GK09-0.3X900"/>
    <n v="80"/>
    <s v=""/>
    <m/>
    <m/>
    <s v="Narrow"/>
    <s v="C02"/>
    <s v="TATXGP"/>
    <s v="GK09"/>
    <n v="0.3"/>
    <n v="900"/>
    <n v="0"/>
    <n v="42"/>
    <n v="0"/>
    <n v="42"/>
    <n v="42"/>
    <e v="#N/A"/>
    <e v="#N/A"/>
    <m/>
    <m/>
    <n v="42"/>
    <n v="42"/>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5-01-25T00:00:00"/>
    <s v="ZBTO"/>
    <n v="9518459983"/>
    <n v="1"/>
    <s v="9518459983-1"/>
    <m/>
    <s v="No Priority"/>
    <s v="Failed orders"/>
    <x v="2"/>
    <x v="2"/>
    <n v="2000"/>
    <m/>
    <x v="1"/>
    <m/>
    <m/>
    <s v="Delhi"/>
    <m/>
    <m/>
    <m/>
    <n v="183259"/>
    <s v="Rakesh Steel Inds.(P) Ltd."/>
    <n v="1142901"/>
    <s v="GP COIL SOFT-TATXGP-GLK1-0.3X1000"/>
    <n v="80"/>
    <s v=""/>
    <m/>
    <m/>
    <s v="Narrow"/>
    <s v="C02"/>
    <s v="TATXGP"/>
    <s v="GLK1"/>
    <n v="0.3"/>
    <n v="1000"/>
    <n v="0"/>
    <n v="23"/>
    <e v="#N/A"/>
    <n v="23"/>
    <n v="23"/>
    <e v="#N/A"/>
    <e v="#N/A"/>
    <m/>
    <m/>
    <n v="23"/>
    <n v="0"/>
    <n v="0"/>
    <n v="25.76"/>
    <n v="0"/>
    <n v="0"/>
    <n v="0"/>
    <n v="0"/>
    <n v="0"/>
    <n v="0"/>
    <n v="0"/>
    <n v="0"/>
    <n v="0"/>
    <n v="0"/>
    <n v="0"/>
    <n v="0"/>
    <n v="0"/>
    <n v="0"/>
    <n v="0"/>
    <n v="0"/>
    <n v="0"/>
    <n v="0"/>
    <n v="0"/>
    <n v="0"/>
    <n v="0"/>
    <n v="0"/>
    <n v="0"/>
    <n v="0"/>
    <n v="0"/>
    <n v="0"/>
    <n v="0"/>
    <n v="0"/>
    <n v="0"/>
    <n v="0"/>
    <n v="0"/>
    <n v="0"/>
    <n v="0"/>
    <n v="0"/>
    <n v="0"/>
    <n v="0"/>
    <n v="0"/>
    <m/>
    <m/>
    <m/>
    <m/>
    <m/>
    <m/>
    <m/>
    <m/>
    <m/>
    <m/>
    <m/>
    <m/>
    <m/>
    <m/>
    <m/>
    <m/>
    <m/>
    <m/>
    <m/>
    <m/>
    <m/>
    <m/>
    <m/>
    <m/>
    <m/>
    <m/>
    <m/>
    <m/>
    <m/>
    <m/>
    <m/>
    <m/>
    <m/>
    <m/>
  </r>
  <r>
    <n v="743"/>
    <d v="2025-02-20T00:00:00"/>
    <s v="ZBTO"/>
    <n v="9518534963"/>
    <n v="3"/>
    <s v="9518534963-3"/>
    <m/>
    <s v="Mar'25"/>
    <s v="Released orders"/>
    <x v="2"/>
    <x v="2"/>
    <s v="2000-BPRS"/>
    <m/>
    <x v="0"/>
    <m/>
    <m/>
    <m/>
    <m/>
    <s v="LONI"/>
    <m/>
    <n v="183259"/>
    <s v="Rakesh Steel Inds.(P) Ltd."/>
    <n v="1191956"/>
    <s v="GP COIL SOFT-TATXGP-GK09-0.35X900"/>
    <s v="Z80"/>
    <s v=""/>
    <n v="4"/>
    <n v="6"/>
    <s v="Narrow"/>
    <s v="C02"/>
    <s v="TATXGP"/>
    <s v="GK09"/>
    <n v="0.35"/>
    <n v="900"/>
    <n v="0"/>
    <n v="21"/>
    <n v="0"/>
    <n v="21"/>
    <n v="21"/>
    <n v="0"/>
    <n v="21"/>
    <n v="21"/>
    <m/>
    <n v="21"/>
    <n v="21"/>
    <m/>
    <n v="23.520000000000003"/>
    <n v="0"/>
    <n v="0"/>
    <n v="0"/>
    <n v="0"/>
    <n v="0"/>
    <n v="0"/>
    <n v="0"/>
    <n v="0"/>
    <n v="0"/>
    <n v="0"/>
    <n v="0"/>
    <n v="0"/>
    <n v="0"/>
    <n v="0"/>
    <n v="0"/>
    <n v="0"/>
    <n v="0"/>
    <n v="0"/>
    <n v="0"/>
    <n v="0"/>
    <n v="0"/>
    <n v="0"/>
    <n v="0"/>
    <n v="0"/>
    <n v="21"/>
    <n v="0"/>
    <n v="21"/>
    <n v="0"/>
    <n v="0"/>
    <n v="0"/>
    <n v="21"/>
    <n v="0"/>
    <n v="0"/>
    <n v="21"/>
    <n v="0"/>
    <n v="0"/>
    <n v="0"/>
    <m/>
    <m/>
    <m/>
    <m/>
    <m/>
    <m/>
    <m/>
    <m/>
    <m/>
    <m/>
    <m/>
    <m/>
    <m/>
    <m/>
    <m/>
    <m/>
    <m/>
    <m/>
    <m/>
    <m/>
    <m/>
    <m/>
    <m/>
    <m/>
    <m/>
    <m/>
    <m/>
    <m/>
    <m/>
    <m/>
    <m/>
    <m/>
    <m/>
    <m/>
  </r>
  <r>
    <n v="743"/>
    <d v="2025-02-18T00:00:00"/>
    <s v="ZBTO"/>
    <n v="9518528325"/>
    <n v="1"/>
    <s v="9518528325-1"/>
    <m/>
    <s v="Mar'25"/>
    <s v="Released orders"/>
    <x v="2"/>
    <x v="2"/>
    <s v="2000-BPRS"/>
    <m/>
    <x v="1"/>
    <m/>
    <s v="De-prioritized due to narrow HR unavailability"/>
    <m/>
    <m/>
    <s v="KOLKATA"/>
    <m/>
    <n v="100922"/>
    <s v="BUBNA COMMERCIAL COMPANY"/>
    <n v="1191956"/>
    <s v="GP COIL SOFT-TATXGP-GK09-0.35X900"/>
    <s v="Z80"/>
    <s v=""/>
    <n v="5"/>
    <n v="15"/>
    <s v="Narrow"/>
    <s v="C02"/>
    <s v="TATXGP"/>
    <s v="GK09"/>
    <n v="0.35"/>
    <n v="900"/>
    <n v="0"/>
    <n v="42"/>
    <n v="0"/>
    <n v="42"/>
    <n v="42"/>
    <n v="0"/>
    <n v="42"/>
    <n v="42"/>
    <m/>
    <n v="42"/>
    <n v="42"/>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4-10-22T00:00:00"/>
    <s v="ZBTO"/>
    <n v="9518199177"/>
    <n v="3"/>
    <s v="9518199177-3"/>
    <m/>
    <s v="Mar'25"/>
    <s v="Released orders"/>
    <x v="2"/>
    <x v="2"/>
    <s v="2000-BPRS"/>
    <m/>
    <x v="1"/>
    <m/>
    <m/>
    <m/>
    <m/>
    <s v="PURNIA"/>
    <m/>
    <n v="103227"/>
    <s v="BMW VENTURES LIMITED"/>
    <n v="1851133"/>
    <s v="GP SHEET SOFT-TATXGP-GK09-0.35X900"/>
    <s v="Z80"/>
    <s v=""/>
    <n v="0"/>
    <n v="0"/>
    <s v="Narrow"/>
    <s v="B11"/>
    <s v="TATXGP"/>
    <s v="GK09"/>
    <n v="0.35"/>
    <n v="900"/>
    <n v="2370"/>
    <n v="126"/>
    <n v="62.27"/>
    <n v="72"/>
    <n v="63.73"/>
    <n v="0"/>
    <n v="63.73"/>
    <n v="63.73"/>
    <m/>
    <n v="63.73"/>
    <n v="63.73"/>
    <n v="0"/>
    <n v="80.64000000000001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9644"/>
    <n v="1"/>
    <s v="9518519644-1"/>
    <m/>
    <s v="No Priority"/>
    <s v="Failed orders"/>
    <x v="1"/>
    <x v="1"/>
    <n v="2000"/>
    <m/>
    <x v="1"/>
    <m/>
    <m/>
    <s v="Bihar"/>
    <m/>
    <m/>
    <m/>
    <n v="103227"/>
    <s v="BMW VENTURES LIMITED"/>
    <n v="3239408"/>
    <s v="CRCA SHEET TATCRC SR16 0.300X900X2500"/>
    <s v=""/>
    <s v=""/>
    <m/>
    <m/>
    <s v="Narrow"/>
    <s v="C06"/>
    <s v="TATCRC"/>
    <s v="SR16"/>
    <n v="0.3"/>
    <n v="9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9644"/>
    <n v="2"/>
    <s v="9518519644-2"/>
    <m/>
    <s v="No Priority"/>
    <s v="Failed orders"/>
    <x v="1"/>
    <x v="1"/>
    <n v="2000"/>
    <m/>
    <x v="1"/>
    <m/>
    <m/>
    <s v="Bihar"/>
    <m/>
    <m/>
    <m/>
    <n v="103227"/>
    <s v="BMW VENTURES LIMITED"/>
    <n v="2440959"/>
    <s v="CRCA SHEET TATCRC SR16 0.330X900X2500"/>
    <s v=""/>
    <s v=""/>
    <m/>
    <m/>
    <s v="Narrow"/>
    <s v="C06"/>
    <s v="TATCRC"/>
    <s v="SR16"/>
    <n v="0.33"/>
    <n v="9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1-23T00:00:00"/>
    <s v="ZBTO"/>
    <n v="9518454228"/>
    <n v="2"/>
    <s v="9518454228-2"/>
    <m/>
    <s v="No Priority"/>
    <s v="Failed orders"/>
    <x v="1"/>
    <x v="1"/>
    <n v="2000"/>
    <m/>
    <x v="1"/>
    <m/>
    <m/>
    <s v="Maharashtra"/>
    <m/>
    <m/>
    <m/>
    <n v="103092"/>
    <s v="TEJRAM RAMNIWAS AGARWAL"/>
    <n v="3239568"/>
    <s v="CRCA SHEET TATCRC SR16 0.450X1250X2500"/>
    <s v=""/>
    <s v=""/>
    <m/>
    <m/>
    <s v="Wider"/>
    <s v="C06"/>
    <s v="TATCRC"/>
    <s v="SR16"/>
    <n v="0.45"/>
    <n v="1250"/>
    <n v="2500"/>
    <n v="60"/>
    <e v="#N/A"/>
    <n v="60"/>
    <n v="60"/>
    <e v="#N/A"/>
    <e v="#N/A"/>
    <m/>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9644"/>
    <n v="4"/>
    <s v="9518519644-4"/>
    <m/>
    <s v="No Priority"/>
    <s v="Failed orders"/>
    <x v="1"/>
    <x v="1"/>
    <n v="2000"/>
    <m/>
    <x v="1"/>
    <m/>
    <m/>
    <s v="Bihar"/>
    <m/>
    <m/>
    <m/>
    <n v="103227"/>
    <s v="BMW VENTURES LIMITED"/>
    <n v="3239536"/>
    <s v="CRCA SHEET TATCRC SR16 0.350X900X2500"/>
    <s v=""/>
    <s v=""/>
    <m/>
    <m/>
    <s v="Narrow"/>
    <s v="C06"/>
    <s v="TATCRC"/>
    <s v="SR16"/>
    <n v="0.35"/>
    <n v="9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9644"/>
    <n v="5"/>
    <s v="9518519644-5"/>
    <m/>
    <s v="No Priority"/>
    <s v="Failed orders"/>
    <x v="1"/>
    <x v="1"/>
    <n v="2000"/>
    <m/>
    <x v="1"/>
    <m/>
    <m/>
    <s v="Bihar"/>
    <m/>
    <m/>
    <m/>
    <n v="103227"/>
    <s v="BMW VENTURES LIMITED"/>
    <n v="3239542"/>
    <s v="CRCA SHEET TATCRC SR16 0.350X1000X2500"/>
    <s v=""/>
    <s v=""/>
    <m/>
    <m/>
    <s v="Narrow"/>
    <s v="C06"/>
    <s v="TATCRC"/>
    <s v="SR16"/>
    <n v="0.35"/>
    <n v="10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9644"/>
    <n v="6"/>
    <s v="9518519644-6"/>
    <m/>
    <s v="No Priority"/>
    <s v="Failed orders"/>
    <x v="1"/>
    <x v="1"/>
    <n v="2000"/>
    <m/>
    <x v="1"/>
    <s v="Mar"/>
    <m/>
    <s v="Bihar"/>
    <m/>
    <m/>
    <m/>
    <n v="103227"/>
    <s v="BMW VENTURES LIMITED"/>
    <n v="3239554"/>
    <s v="CRCA SHEET TATCRC SR16 0.400X1000X2500"/>
    <s v=""/>
    <s v=""/>
    <m/>
    <m/>
    <s v="Narrow"/>
    <s v="C06"/>
    <s v="TATCRC"/>
    <s v="SR16"/>
    <n v="0.4"/>
    <n v="1000"/>
    <n v="2500"/>
    <n v="36"/>
    <e v="#N/A"/>
    <n v="36"/>
    <n v="36"/>
    <e v="#N/A"/>
    <e v="#N/A"/>
    <m/>
    <n v="0"/>
    <n v="36"/>
    <n v="0"/>
    <n v="0"/>
    <n v="40.320000000000007"/>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9644"/>
    <n v="7"/>
    <s v="9518519644-7"/>
    <m/>
    <s v="Mar'25 additional"/>
    <s v="Released orders"/>
    <x v="1"/>
    <x v="1"/>
    <n v="2000"/>
    <m/>
    <x v="1"/>
    <m/>
    <s v="De-prioritized due to narrow HR unavailability"/>
    <s v="Bihar"/>
    <m/>
    <m/>
    <m/>
    <n v="103227"/>
    <s v="BMW VENTURES LIMITED"/>
    <n v="3239567"/>
    <s v="CRCA SHEET TATCRC SR16 0.450X1000X2500"/>
    <s v=""/>
    <s v=""/>
    <m/>
    <m/>
    <s v="Narrow"/>
    <s v="C06"/>
    <s v="TATCRC"/>
    <s v="SR16"/>
    <n v="0.45"/>
    <n v="1000"/>
    <n v="2500"/>
    <n v="51"/>
    <n v="0"/>
    <n v="51"/>
    <n v="51"/>
    <e v="#N/A"/>
    <e v="#N/A"/>
    <m/>
    <n v="0"/>
    <n v="51"/>
    <n v="51"/>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770"/>
    <n v="8"/>
    <s v="9518425770-8"/>
    <m/>
    <s v="No Priority"/>
    <s v="Released orders"/>
    <x v="1"/>
    <x v="1"/>
    <n v="2000"/>
    <m/>
    <x v="1"/>
    <m/>
    <m/>
    <s v="JH"/>
    <s v="East"/>
    <m/>
    <m/>
    <n v="121328"/>
    <s v="R. S. BOKARO METAL (P) LTD."/>
    <n v="2441006"/>
    <s v="CRCA SHEET TATCRC SR16 0.480X1250X2500"/>
    <s v=""/>
    <m/>
    <m/>
    <m/>
    <s v="Wider"/>
    <s v="C06"/>
    <s v="TATCRC"/>
    <s v="SR16"/>
    <n v="0.48"/>
    <n v="1250"/>
    <n v="2500"/>
    <n v="27"/>
    <n v="22.4"/>
    <n v="27"/>
    <n v="4.59"/>
    <n v="57.69"/>
    <n v="0"/>
    <m/>
    <n v="0"/>
    <n v="0"/>
    <n v="4.59"/>
    <n v="0"/>
    <n v="0.78399999999999925"/>
    <n v="0"/>
    <n v="0"/>
    <n v="0"/>
    <n v="0"/>
    <n v="0"/>
    <n v="0"/>
    <n v="0"/>
    <n v="26.3"/>
    <n v="0"/>
    <n v="0"/>
    <n v="0"/>
    <n v="0"/>
    <n v="0"/>
    <n v="0"/>
    <n v="0"/>
    <n v="0"/>
    <n v="0"/>
    <n v="0"/>
    <n v="26.3"/>
    <n v="26.3"/>
    <n v="0"/>
    <n v="26.3"/>
    <n v="57.69"/>
    <n v="0"/>
    <n v="0"/>
    <n v="0"/>
    <n v="0"/>
    <n v="0"/>
    <n v="0"/>
    <n v="0"/>
    <n v="0"/>
    <n v="0"/>
    <n v="0"/>
    <n v="0"/>
    <n v="0"/>
    <n v="0"/>
    <n v="0"/>
    <n v="0"/>
    <n v="0"/>
    <n v="0"/>
    <n v="0"/>
    <n v="0"/>
    <n v="0"/>
    <m/>
    <m/>
    <m/>
    <m/>
    <m/>
    <m/>
    <m/>
    <m/>
    <m/>
    <s v="1"/>
    <s v="1"/>
    <s v="1"/>
    <s v="1"/>
    <s v="1"/>
    <m/>
    <m/>
    <m/>
    <m/>
    <m/>
    <m/>
    <m/>
    <m/>
    <m/>
    <m/>
    <m/>
    <m/>
    <m/>
    <m/>
  </r>
  <r>
    <n v="742"/>
    <d v="2025-02-14T00:00:00"/>
    <s v="ZBTO"/>
    <n v="9518519644"/>
    <n v="9"/>
    <s v="9518519644-9"/>
    <m/>
    <s v="No Priority"/>
    <s v="Failed orders"/>
    <x v="1"/>
    <x v="1"/>
    <n v="2000"/>
    <m/>
    <x v="1"/>
    <m/>
    <m/>
    <s v="Bihar"/>
    <m/>
    <m/>
    <m/>
    <n v="103227"/>
    <s v="BMW VENTURES LIMITED"/>
    <n v="3239572"/>
    <s v="CRCA SHEET TATCRC SR16 0.480X1000X2500"/>
    <s v=""/>
    <s v=""/>
    <m/>
    <m/>
    <s v="Narrow"/>
    <s v="C06"/>
    <s v="TATCRC"/>
    <s v="SR16"/>
    <n v="0.48"/>
    <n v="1000"/>
    <n v="250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9644"/>
    <n v="10"/>
    <s v="9518519644-10"/>
    <m/>
    <s v="No Priority"/>
    <s v="Failed orders"/>
    <x v="1"/>
    <x v="1"/>
    <n v="2000"/>
    <m/>
    <x v="1"/>
    <m/>
    <m/>
    <s v="Bihar"/>
    <m/>
    <m/>
    <m/>
    <n v="103227"/>
    <s v="BMW VENTURES LIMITED"/>
    <n v="3446129"/>
    <s v="CRCA SHEET TATCRC SR16 0.480X1250X2500"/>
    <s v=""/>
    <s v=""/>
    <m/>
    <m/>
    <s v="Wider"/>
    <s v="C06"/>
    <s v="TATCRC"/>
    <s v="SR16"/>
    <n v="0.48"/>
    <n v="125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9644"/>
    <n v="11"/>
    <s v="9518519644-11"/>
    <m/>
    <s v="No Priority"/>
    <s v="Failed orders"/>
    <x v="1"/>
    <x v="1"/>
    <n v="2000"/>
    <m/>
    <x v="1"/>
    <m/>
    <m/>
    <s v="Bihar"/>
    <m/>
    <m/>
    <m/>
    <n v="103227"/>
    <s v="BMW VENTURES LIMITED"/>
    <n v="3240760"/>
    <s v="CRCA SHEET TSBCRC SR15 0.500X1000X2500"/>
    <s v=""/>
    <s v=""/>
    <m/>
    <m/>
    <s v="Narrow"/>
    <s v="C06"/>
    <s v="TSBCRC"/>
    <s v="SR15"/>
    <n v="0.5"/>
    <n v="1000"/>
    <n v="250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1"/>
    <s v="9518520213-1"/>
    <m/>
    <s v="No Priority"/>
    <s v="Failed orders"/>
    <x v="1"/>
    <x v="1"/>
    <n v="2000"/>
    <m/>
    <x v="1"/>
    <m/>
    <m/>
    <s v="Bihar"/>
    <m/>
    <m/>
    <m/>
    <n v="103227"/>
    <s v="BMW VENTURES LIMITED"/>
    <n v="3239408"/>
    <s v="CRCA SHEET TATCRC SR16 0.300X900X2500"/>
    <s v=""/>
    <s v=""/>
    <m/>
    <m/>
    <s v="Narrow"/>
    <s v="C06"/>
    <s v="TATCRC"/>
    <s v="SR16"/>
    <n v="0.3"/>
    <n v="9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2"/>
    <s v="9518520213-2"/>
    <m/>
    <s v="No Priority"/>
    <s v="Failed orders"/>
    <x v="1"/>
    <x v="1"/>
    <n v="2000"/>
    <m/>
    <x v="1"/>
    <m/>
    <m/>
    <s v="Bihar"/>
    <m/>
    <m/>
    <m/>
    <n v="103227"/>
    <s v="BMW VENTURES LIMITED"/>
    <n v="2440959"/>
    <s v="CRCA SHEET TATCRC SR16 0.330X900X2500"/>
    <s v=""/>
    <s v=""/>
    <m/>
    <m/>
    <s v="Narrow"/>
    <s v="C06"/>
    <s v="TATCRC"/>
    <s v="SR16"/>
    <n v="0.33"/>
    <n v="9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10"/>
    <s v="9518520213-10"/>
    <m/>
    <s v="No Priority"/>
    <s v="Failed orders"/>
    <x v="1"/>
    <x v="1"/>
    <n v="2000"/>
    <m/>
    <x v="1"/>
    <m/>
    <m/>
    <s v="Bihar"/>
    <m/>
    <m/>
    <m/>
    <n v="103227"/>
    <s v="BMW VENTURES LIMITED"/>
    <n v="3446129"/>
    <s v="CRCA SHEET TATCRC SR16 0.480X1250X2500"/>
    <s v=""/>
    <s v=""/>
    <m/>
    <m/>
    <s v="Wider"/>
    <s v="C06"/>
    <s v="TATCRC"/>
    <s v="SR16"/>
    <n v="0.48"/>
    <n v="125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4"/>
    <s v="9518520213-4"/>
    <m/>
    <s v="No Priority"/>
    <s v="Failed orders"/>
    <x v="1"/>
    <x v="1"/>
    <n v="2000"/>
    <m/>
    <x v="1"/>
    <s v="Mar"/>
    <m/>
    <s v="Bihar"/>
    <m/>
    <m/>
    <m/>
    <n v="103227"/>
    <s v="BMW VENTURES LIMITED"/>
    <n v="3239536"/>
    <s v="CRCA SHEET TATCRC SR16 0.350X900X2500"/>
    <s v=""/>
    <s v=""/>
    <m/>
    <m/>
    <s v="Narrow"/>
    <s v="C06"/>
    <s v="TATCRC"/>
    <s v="SR16"/>
    <n v="0.35"/>
    <n v="9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5"/>
    <s v="9518520213-5"/>
    <m/>
    <s v="No Priority"/>
    <s v="Failed orders"/>
    <x v="1"/>
    <x v="1"/>
    <n v="2000"/>
    <m/>
    <x v="1"/>
    <s v="Mar"/>
    <m/>
    <s v="Bihar"/>
    <m/>
    <m/>
    <m/>
    <n v="103227"/>
    <s v="BMW VENTURES LIMITED"/>
    <n v="3239542"/>
    <s v="CRCA SHEET TATCRC SR16 0.350X1000X2500"/>
    <s v=""/>
    <s v=""/>
    <m/>
    <m/>
    <s v="Narrow"/>
    <s v="C06"/>
    <s v="TATCRC"/>
    <s v="SR16"/>
    <n v="0.35"/>
    <n v="10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6"/>
    <s v="9518520213-6"/>
    <m/>
    <s v="No Priority"/>
    <s v="Failed orders"/>
    <x v="1"/>
    <x v="1"/>
    <n v="2000"/>
    <m/>
    <x v="1"/>
    <s v="Mar"/>
    <m/>
    <s v="Bihar"/>
    <m/>
    <m/>
    <m/>
    <n v="103227"/>
    <s v="BMW VENTURES LIMITED"/>
    <n v="3239554"/>
    <s v="CRCA SHEET TATCRC SR16 0.400X1000X2500"/>
    <s v=""/>
    <s v=""/>
    <m/>
    <m/>
    <s v="Narrow"/>
    <s v="C06"/>
    <s v="TATCRC"/>
    <s v="SR16"/>
    <n v="0.4"/>
    <n v="1000"/>
    <n v="2500"/>
    <n v="36"/>
    <e v="#N/A"/>
    <n v="36"/>
    <n v="36"/>
    <e v="#N/A"/>
    <e v="#N/A"/>
    <m/>
    <n v="0"/>
    <n v="36"/>
    <n v="0"/>
    <n v="0"/>
    <n v="40.320000000000007"/>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7"/>
    <s v="9518520213-7"/>
    <m/>
    <s v="Mar'25 additional"/>
    <s v="Released orders"/>
    <x v="1"/>
    <x v="1"/>
    <n v="2000"/>
    <m/>
    <x v="1"/>
    <m/>
    <s v="De-prioritized due to narrow HR unavailability"/>
    <s v="Bihar"/>
    <m/>
    <m/>
    <m/>
    <n v="103227"/>
    <s v="BMW VENTURES LIMITED"/>
    <n v="3239567"/>
    <s v="CRCA SHEET TATCRC SR16 0.450X1000X2500"/>
    <s v=""/>
    <s v=""/>
    <m/>
    <m/>
    <s v="Narrow"/>
    <s v="C06"/>
    <s v="TATCRC"/>
    <s v="SR16"/>
    <n v="0.45"/>
    <n v="1000"/>
    <n v="2500"/>
    <n v="51"/>
    <n v="0"/>
    <n v="51"/>
    <n v="51"/>
    <e v="#N/A"/>
    <e v="#N/A"/>
    <m/>
    <n v="0"/>
    <n v="51"/>
    <n v="51"/>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4-12-31T00:00:00"/>
    <s v="ZBTO"/>
    <n v="9518393381"/>
    <n v="1"/>
    <s v="9518393381-1"/>
    <m/>
    <s v="No Priority"/>
    <s v="Released orders"/>
    <x v="1"/>
    <x v="14"/>
    <s v="2000-BPRS"/>
    <m/>
    <x v="1"/>
    <m/>
    <m/>
    <m/>
    <s v="South"/>
    <s v="YESHWANTHPURA"/>
    <m/>
    <n v="939268"/>
    <s v="TATA STEEL DOWNSTREAM PRODUCTS LIMI"/>
    <n v="2156439"/>
    <s v="CRCA COIL TSBSTA EL03 0.5X1250"/>
    <s v=" "/>
    <s v=""/>
    <n v="2"/>
    <n v="26"/>
    <s v="Wider"/>
    <s v="C01"/>
    <s v="TSBSTA"/>
    <s v="EL03"/>
    <n v="0.5"/>
    <n v="1250"/>
    <n v="0"/>
    <n v="86.99"/>
    <n v="89.36"/>
    <n v="20.64"/>
    <n v="20.64"/>
    <n v="24.41"/>
    <n v="0"/>
    <m/>
    <n v="24.830000000000002"/>
    <n v="0"/>
    <n v="0.66"/>
    <n v="0"/>
    <n v="0"/>
    <n v="0"/>
    <n v="0"/>
    <n v="0"/>
    <n v="0"/>
    <n v="0"/>
    <n v="0"/>
    <n v="0"/>
    <n v="0"/>
    <n v="0"/>
    <n v="0"/>
    <n v="0"/>
    <n v="0"/>
    <n v="24.830000000000002"/>
    <n v="0"/>
    <n v="0"/>
    <n v="0"/>
    <n v="0"/>
    <n v="0"/>
    <n v="24.830000000000002"/>
    <n v="24.830000000000002"/>
    <n v="0"/>
    <n v="24.830000000000002"/>
    <n v="-0.42000000000000171"/>
    <n v="0"/>
    <n v="0"/>
    <n v="0"/>
    <n v="0"/>
    <n v="0"/>
    <n v="0"/>
    <n v="0"/>
    <n v="0"/>
    <n v="0"/>
    <n v="0"/>
    <n v="0"/>
    <n v="0"/>
    <n v="0"/>
    <n v="0"/>
    <n v="66.349999999999994"/>
    <n v="0"/>
    <n v="0"/>
    <n v="0"/>
    <n v="0"/>
    <n v="0"/>
    <m/>
    <m/>
    <m/>
    <m/>
    <m/>
    <m/>
    <m/>
    <m/>
    <m/>
    <s v="1"/>
    <s v="1"/>
    <s v="1"/>
    <s v="1"/>
    <s v="1"/>
    <m/>
    <m/>
    <m/>
    <m/>
    <m/>
    <m/>
    <m/>
    <m/>
    <m/>
    <m/>
    <m/>
    <m/>
    <m/>
    <m/>
  </r>
  <r>
    <n v="742"/>
    <d v="2025-02-14T00:00:00"/>
    <s v="ZBTO"/>
    <n v="9518520213"/>
    <n v="9"/>
    <s v="9518520213-9"/>
    <m/>
    <s v="No Priority"/>
    <s v="Failed orders"/>
    <x v="1"/>
    <x v="1"/>
    <n v="2000"/>
    <m/>
    <x v="1"/>
    <m/>
    <m/>
    <s v="Bihar"/>
    <m/>
    <m/>
    <m/>
    <n v="103227"/>
    <s v="BMW VENTURES LIMITED"/>
    <n v="3239572"/>
    <s v="CRCA SHEET TATCRC SR16 0.480X1000X2500"/>
    <s v=""/>
    <s v=""/>
    <m/>
    <m/>
    <s v="Narrow"/>
    <s v="C06"/>
    <s v="TATCRC"/>
    <s v="SR16"/>
    <n v="0.48"/>
    <n v="1000"/>
    <n v="250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29T00:00:00"/>
    <s v="ZBTO"/>
    <n v="9518474200"/>
    <n v="2"/>
    <s v="9518474200-2"/>
    <m/>
    <s v="No Priority"/>
    <s v="Failed orders"/>
    <x v="1"/>
    <x v="15"/>
    <n v="2000"/>
    <m/>
    <x v="1"/>
    <m/>
    <m/>
    <s v="Maharashtra"/>
    <m/>
    <m/>
    <m/>
    <n v="115806"/>
    <s v="NARESH STEEL INDUSTRIES PVT LT"/>
    <n v="2420508"/>
    <s v="CRCA COIL TATXXD AH03 0.500X1250"/>
    <s v=""/>
    <s v=""/>
    <m/>
    <m/>
    <s v="Wider"/>
    <s v="C01"/>
    <s v="TATXXD"/>
    <s v="AH03"/>
    <n v="0.5"/>
    <n v="1250"/>
    <n v="0"/>
    <n v="29"/>
    <e v="#N/A"/>
    <n v="29"/>
    <n v="29"/>
    <e v="#N/A"/>
    <e v="#N/A"/>
    <n v="29"/>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20213"/>
    <n v="11"/>
    <s v="9518520213-11"/>
    <m/>
    <s v="Mar'25"/>
    <s v="Released orders"/>
    <x v="1"/>
    <x v="1"/>
    <n v="2000"/>
    <m/>
    <x v="0"/>
    <s v="Mar"/>
    <m/>
    <s v="Bihar"/>
    <m/>
    <m/>
    <m/>
    <n v="103227"/>
    <s v="BMW VENTURES LIMITED"/>
    <n v="3240760"/>
    <s v="CRCA SHEET TSBCRC SR15 0.500X1000X2500"/>
    <s v=""/>
    <s v=""/>
    <m/>
    <m/>
    <s v="Narrow"/>
    <s v="C06"/>
    <s v="TSBCRC"/>
    <s v="SR15"/>
    <n v="0.5"/>
    <n v="1000"/>
    <n v="2500"/>
    <n v="24"/>
    <n v="0"/>
    <n v="24"/>
    <n v="24"/>
    <e v="#N/A"/>
    <e v="#N/A"/>
    <m/>
    <n v="0"/>
    <n v="24"/>
    <n v="24"/>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13T00:00:00"/>
    <s v="ZBTO"/>
    <n v="9518424820"/>
    <n v="4"/>
    <s v="9518424820-4"/>
    <m/>
    <s v="Mar'25"/>
    <s v="Released orders"/>
    <x v="2"/>
    <x v="2"/>
    <s v="2000-BPRS"/>
    <m/>
    <x v="0"/>
    <m/>
    <m/>
    <m/>
    <m/>
    <s v="KOLKATA"/>
    <m/>
    <n v="100922"/>
    <s v="BUBNA COMMERCIAL COMPANY"/>
    <n v="1142893"/>
    <s v="GP COIL SOFT-TATXGP-GLK1-0.35X900"/>
    <s v="Z80"/>
    <s v=""/>
    <n v="5"/>
    <n v="15"/>
    <s v="Narrow"/>
    <s v="C02"/>
    <s v="TATXGP"/>
    <s v="GLK1"/>
    <n v="0.35"/>
    <n v="900"/>
    <n v="0"/>
    <n v="105"/>
    <n v="0"/>
    <n v="105"/>
    <n v="105"/>
    <n v="0"/>
    <n v="105"/>
    <n v="105"/>
    <m/>
    <n v="105"/>
    <n v="105"/>
    <n v="0"/>
    <n v="117.60000000000001"/>
    <n v="0"/>
    <n v="0"/>
    <n v="0"/>
    <n v="0"/>
    <n v="0"/>
    <n v="0"/>
    <n v="0"/>
    <n v="0"/>
    <n v="0"/>
    <n v="0"/>
    <n v="0"/>
    <n v="0"/>
    <n v="0"/>
    <n v="0"/>
    <n v="0"/>
    <n v="0"/>
    <n v="0"/>
    <n v="0"/>
    <n v="0"/>
    <n v="0"/>
    <n v="0"/>
    <n v="0"/>
    <n v="0"/>
    <n v="0"/>
    <n v="105"/>
    <n v="0"/>
    <n v="0"/>
    <n v="0"/>
    <n v="0"/>
    <n v="105"/>
    <n v="0"/>
    <n v="0"/>
    <n v="0"/>
    <n v="0"/>
    <n v="0"/>
    <n v="0"/>
    <n v="105"/>
    <m/>
    <m/>
    <m/>
    <m/>
    <m/>
    <m/>
    <m/>
    <m/>
    <m/>
    <m/>
    <m/>
    <m/>
    <m/>
    <m/>
    <m/>
    <m/>
    <m/>
    <m/>
    <m/>
    <m/>
    <m/>
    <m/>
    <m/>
    <m/>
    <m/>
    <m/>
    <m/>
    <m/>
    <m/>
    <m/>
    <m/>
    <m/>
    <m/>
    <m/>
  </r>
  <r>
    <n v="743"/>
    <d v="2025-02-05T00:00:00"/>
    <s v="ZBTO"/>
    <n v="9518495889"/>
    <n v="2"/>
    <s v="9518495889-2"/>
    <m/>
    <s v="Mar'25"/>
    <s v="Released orders"/>
    <x v="2"/>
    <x v="2"/>
    <n v="2000"/>
    <m/>
    <x v="0"/>
    <m/>
    <m/>
    <s v="West Bengal"/>
    <m/>
    <m/>
    <m/>
    <n v="100922"/>
    <s v="BUBNA COMMERCIAL COMPANY"/>
    <n v="1191956"/>
    <s v="GP COIL SOFT-TATXGP-GK09-0.35X900"/>
    <s v=""/>
    <s v=""/>
    <m/>
    <m/>
    <s v="Narrow"/>
    <s v="C02"/>
    <s v="TATXGP"/>
    <s v="GK09"/>
    <n v="0.35"/>
    <n v="900"/>
    <n v="0"/>
    <n v="105"/>
    <n v="0"/>
    <n v="105"/>
    <n v="105"/>
    <n v="0"/>
    <n v="105"/>
    <m/>
    <m/>
    <n v="105"/>
    <n v="105"/>
    <n v="0"/>
    <n v="117.60000000000001"/>
    <n v="0"/>
    <n v="0"/>
    <n v="0"/>
    <n v="0"/>
    <n v="0"/>
    <n v="0"/>
    <n v="0"/>
    <n v="0"/>
    <n v="0"/>
    <n v="0"/>
    <n v="0"/>
    <n v="0"/>
    <n v="0"/>
    <n v="0"/>
    <n v="0"/>
    <n v="0"/>
    <n v="0"/>
    <n v="0"/>
    <n v="0"/>
    <n v="0"/>
    <n v="0"/>
    <n v="0"/>
    <n v="0"/>
    <n v="0"/>
    <n v="105"/>
    <n v="0"/>
    <n v="0"/>
    <n v="0"/>
    <n v="0"/>
    <n v="105"/>
    <n v="0"/>
    <n v="0"/>
    <n v="0"/>
    <n v="0"/>
    <n v="0"/>
    <n v="0"/>
    <n v="105"/>
    <m/>
    <m/>
    <m/>
    <m/>
    <m/>
    <m/>
    <m/>
    <m/>
    <m/>
    <m/>
    <m/>
    <m/>
    <m/>
    <m/>
    <m/>
    <m/>
    <m/>
    <m/>
    <m/>
    <m/>
    <m/>
    <m/>
    <m/>
    <m/>
    <m/>
    <m/>
    <m/>
    <m/>
    <m/>
    <m/>
    <m/>
    <m/>
    <m/>
    <m/>
  </r>
  <r>
    <n v="743"/>
    <d v="2025-02-06T00:00:00"/>
    <s v="ZBTO"/>
    <n v="9518498761"/>
    <n v="3"/>
    <s v="9518498761-3"/>
    <m/>
    <s v="Mar'25"/>
    <s v="Released orders"/>
    <x v="2"/>
    <x v="2"/>
    <n v="2000"/>
    <m/>
    <x v="1"/>
    <m/>
    <s v="De-prioritized due to narrow HR unavailability"/>
    <s v="Jharkhand"/>
    <m/>
    <m/>
    <m/>
    <n v="121328"/>
    <s v="R. S. BOKARO METAL (P) LTD."/>
    <n v="1191956"/>
    <s v="GP COIL SOFT-TATXGP-GK09-0.35X900"/>
    <n v="80"/>
    <s v=""/>
    <m/>
    <m/>
    <s v="Narrow"/>
    <s v="C02"/>
    <s v="TATXGP"/>
    <s v="GK09"/>
    <n v="0.35"/>
    <n v="900"/>
    <n v="0"/>
    <n v="105"/>
    <n v="0"/>
    <n v="105"/>
    <n v="105"/>
    <n v="0"/>
    <n v="105"/>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0T00:00:00"/>
    <s v="ZBTO"/>
    <n v="9518508377"/>
    <n v="4"/>
    <s v="9518508377-4"/>
    <m/>
    <s v="Mar'25"/>
    <s v="Released orders"/>
    <x v="2"/>
    <x v="2"/>
    <n v="2000"/>
    <m/>
    <x v="0"/>
    <m/>
    <m/>
    <s v="Jharkhand"/>
    <m/>
    <m/>
    <m/>
    <n v="185794"/>
    <s v="Shree Bajrang Steel Udyog"/>
    <n v="1191956"/>
    <s v="GP COIL SOFT-TATXGP-GK09-0.35X900"/>
    <n v="80"/>
    <s v=""/>
    <m/>
    <m/>
    <s v="Narrow"/>
    <s v="C02"/>
    <s v="TATXGP"/>
    <s v="GK09"/>
    <n v="0.35"/>
    <n v="900"/>
    <n v="0"/>
    <n v="126"/>
    <n v="0"/>
    <n v="126"/>
    <n v="126"/>
    <n v="0"/>
    <n v="126"/>
    <m/>
    <m/>
    <n v="126"/>
    <n v="126"/>
    <n v="0"/>
    <n v="141.12"/>
    <n v="0"/>
    <n v="0"/>
    <n v="0"/>
    <n v="0"/>
    <n v="0"/>
    <n v="0"/>
    <n v="0"/>
    <n v="0"/>
    <n v="0"/>
    <n v="0"/>
    <n v="0"/>
    <n v="0"/>
    <n v="0"/>
    <n v="0"/>
    <n v="0"/>
    <n v="0"/>
    <n v="0"/>
    <n v="0"/>
    <n v="0"/>
    <n v="0"/>
    <n v="0"/>
    <n v="0"/>
    <n v="0"/>
    <n v="0"/>
    <n v="126"/>
    <n v="0"/>
    <n v="0"/>
    <n v="0"/>
    <n v="0"/>
    <n v="126"/>
    <n v="0"/>
    <n v="0"/>
    <n v="0"/>
    <n v="0"/>
    <n v="0"/>
    <n v="0"/>
    <n v="126"/>
    <m/>
    <m/>
    <m/>
    <m/>
    <m/>
    <m/>
    <m/>
    <m/>
    <m/>
    <m/>
    <m/>
    <m/>
    <m/>
    <m/>
    <m/>
    <m/>
    <m/>
    <m/>
    <m/>
    <m/>
    <m/>
    <m/>
    <m/>
    <m/>
    <m/>
    <m/>
    <m/>
    <m/>
    <m/>
    <m/>
    <m/>
    <m/>
    <m/>
    <m/>
  </r>
  <r>
    <n v="743"/>
    <d v="2025-02-10T00:00:00"/>
    <s v="ZBTO"/>
    <n v="9518508377"/>
    <n v="5"/>
    <s v="9518508377-5"/>
    <m/>
    <s v="Mar'25"/>
    <s v="Released orders"/>
    <x v="2"/>
    <x v="2"/>
    <n v="2000"/>
    <m/>
    <x v="1"/>
    <m/>
    <s v="De-prioritized due to narrow HR unavailability"/>
    <s v="Jharkhand"/>
    <m/>
    <m/>
    <m/>
    <n v="185794"/>
    <s v="Shree Bajrang Steel Udyog"/>
    <n v="1191956"/>
    <s v="GP COIL SOFT-TATXGP-GK09-0.35X900"/>
    <n v="80"/>
    <s v=""/>
    <m/>
    <m/>
    <s v="Narrow"/>
    <s v="C02"/>
    <s v="TATXGP"/>
    <s v="GK09"/>
    <n v="0.35"/>
    <n v="900"/>
    <n v="0"/>
    <n v="126"/>
    <n v="0"/>
    <n v="126"/>
    <n v="126"/>
    <n v="0"/>
    <n v="126"/>
    <m/>
    <m/>
    <n v="126"/>
    <n v="126"/>
    <n v="0"/>
    <n v="141.12"/>
    <n v="0"/>
    <n v="0"/>
    <n v="0"/>
    <n v="0"/>
    <n v="0"/>
    <n v="0"/>
    <n v="0"/>
    <n v="0"/>
    <n v="0"/>
    <n v="0"/>
    <n v="0"/>
    <n v="0"/>
    <n v="0"/>
    <n v="0"/>
    <n v="0"/>
    <n v="0"/>
    <n v="0"/>
    <n v="0"/>
    <n v="0"/>
    <n v="0"/>
    <n v="0"/>
    <n v="0"/>
    <n v="0"/>
    <n v="0"/>
    <n v="0"/>
    <n v="0"/>
    <n v="0"/>
    <n v="0"/>
    <n v="0"/>
    <n v="0"/>
    <n v="0"/>
    <n v="0"/>
    <n v="0"/>
    <n v="0"/>
    <n v="0"/>
    <n v="0"/>
    <n v="0"/>
    <m/>
    <m/>
    <m/>
    <m/>
    <m/>
    <m/>
    <m/>
    <m/>
    <m/>
    <m/>
    <m/>
    <m/>
    <m/>
    <m/>
    <m/>
    <m/>
    <m/>
    <m/>
    <m/>
    <m/>
    <m/>
    <m/>
    <m/>
    <m/>
    <m/>
    <m/>
    <m/>
    <m/>
    <m/>
    <m/>
    <m/>
    <m/>
    <m/>
    <m/>
  </r>
  <r>
    <n v="743"/>
    <d v="2025-02-14T00:00:00"/>
    <s v="ZBTO"/>
    <n v="9518519620"/>
    <n v="2"/>
    <s v="9518519620-2"/>
    <m/>
    <s v="Mar'25"/>
    <s v="Released orders"/>
    <x v="2"/>
    <x v="2"/>
    <n v="2000"/>
    <m/>
    <x v="0"/>
    <m/>
    <m/>
    <s v="Bihar"/>
    <m/>
    <m/>
    <m/>
    <n v="103227"/>
    <s v="BMW VENTURES LIMITED"/>
    <n v="1191956"/>
    <s v="GP COIL SOFT-TATXGP-GK09-0.35X900"/>
    <n v="80"/>
    <s v=""/>
    <m/>
    <m/>
    <s v="Narrow"/>
    <s v="C02"/>
    <s v="TATXGP"/>
    <s v="GK09"/>
    <n v="0.35"/>
    <n v="900"/>
    <n v="0"/>
    <n v="147"/>
    <n v="0"/>
    <n v="147"/>
    <n v="147"/>
    <n v="0"/>
    <n v="147"/>
    <m/>
    <m/>
    <n v="147"/>
    <n v="147"/>
    <n v="0"/>
    <n v="164.64000000000001"/>
    <n v="0"/>
    <n v="0"/>
    <n v="0"/>
    <n v="0"/>
    <n v="0"/>
    <n v="0"/>
    <n v="0"/>
    <n v="0"/>
    <n v="0"/>
    <n v="0"/>
    <n v="0"/>
    <n v="0"/>
    <n v="0"/>
    <n v="0"/>
    <n v="0"/>
    <n v="0"/>
    <n v="0"/>
    <n v="0"/>
    <n v="0"/>
    <n v="0"/>
    <n v="0"/>
    <n v="0"/>
    <n v="0"/>
    <n v="0"/>
    <n v="147"/>
    <n v="0"/>
    <n v="0"/>
    <n v="147"/>
    <n v="0"/>
    <n v="0"/>
    <n v="147"/>
    <n v="0"/>
    <n v="0"/>
    <n v="147"/>
    <n v="0"/>
    <n v="0"/>
    <n v="0"/>
    <m/>
    <m/>
    <m/>
    <m/>
    <m/>
    <m/>
    <m/>
    <m/>
    <m/>
    <m/>
    <m/>
    <m/>
    <m/>
    <m/>
    <m/>
    <m/>
    <m/>
    <m/>
    <m/>
    <m/>
    <m/>
    <m/>
    <m/>
    <m/>
    <m/>
    <m/>
    <m/>
    <m/>
    <m/>
    <m/>
    <m/>
    <m/>
    <m/>
    <m/>
  </r>
  <r>
    <n v="743"/>
    <d v="2025-02-19T00:00:00"/>
    <s v="ZBTO"/>
    <n v="9518532816"/>
    <n v="2"/>
    <s v="9518532816-2"/>
    <m/>
    <s v="Mar'25"/>
    <s v="Released orders"/>
    <x v="2"/>
    <x v="2"/>
    <n v="2000"/>
    <m/>
    <x v="0"/>
    <m/>
    <m/>
    <s v="Jharkhand"/>
    <m/>
    <m/>
    <m/>
    <n v="121328"/>
    <s v="R. S. BOKARO METAL (P) LTD."/>
    <n v="1191956"/>
    <s v="GP COIL SOFT-TATXGP-GK09-0.35X900"/>
    <n v="80"/>
    <s v=""/>
    <m/>
    <m/>
    <s v="Narrow"/>
    <s v="C02"/>
    <s v="TATXGP"/>
    <s v="GK09"/>
    <n v="0.35"/>
    <n v="900"/>
    <n v="0"/>
    <n v="147"/>
    <n v="0"/>
    <n v="147"/>
    <n v="147"/>
    <n v="0"/>
    <n v="147"/>
    <m/>
    <m/>
    <n v="147"/>
    <n v="147"/>
    <n v="0"/>
    <n v="164.64000000000001"/>
    <n v="0"/>
    <n v="0"/>
    <n v="0"/>
    <n v="0"/>
    <n v="0"/>
    <n v="0"/>
    <n v="0"/>
    <n v="0"/>
    <n v="0"/>
    <n v="0"/>
    <n v="0"/>
    <n v="0"/>
    <n v="0"/>
    <n v="0"/>
    <n v="0"/>
    <n v="0"/>
    <n v="0"/>
    <n v="0"/>
    <n v="0"/>
    <n v="0"/>
    <n v="0"/>
    <n v="0"/>
    <n v="0"/>
    <n v="0"/>
    <n v="147"/>
    <n v="0"/>
    <n v="0"/>
    <n v="147"/>
    <n v="0"/>
    <n v="0"/>
    <n v="147"/>
    <n v="0"/>
    <n v="0"/>
    <n v="0"/>
    <n v="147"/>
    <n v="0"/>
    <n v="0"/>
    <m/>
    <m/>
    <m/>
    <m/>
    <m/>
    <m/>
    <m/>
    <m/>
    <m/>
    <m/>
    <m/>
    <m/>
    <m/>
    <m/>
    <m/>
    <m/>
    <m/>
    <m/>
    <m/>
    <m/>
    <m/>
    <m/>
    <m/>
    <m/>
    <m/>
    <m/>
    <m/>
    <m/>
    <m/>
    <m/>
    <m/>
    <m/>
    <m/>
    <m/>
  </r>
  <r>
    <n v="743"/>
    <d v="2025-02-04T00:00:00"/>
    <s v="ZBTO"/>
    <n v="9518493782"/>
    <n v="2"/>
    <s v="9518493782-2"/>
    <m/>
    <s v="No Priority"/>
    <s v="Failed orders"/>
    <x v="2"/>
    <x v="2"/>
    <n v="2000"/>
    <m/>
    <x v="1"/>
    <m/>
    <m/>
    <s v="Orissa"/>
    <m/>
    <m/>
    <m/>
    <n v="117061"/>
    <s v="BHARTIA  DISTRIBUTORS PVT. LTD"/>
    <n v="3484325"/>
    <s v="GP SH SOFT TATXGP GK09 0.350X900X2500"/>
    <n v="80"/>
    <s v=""/>
    <m/>
    <m/>
    <s v="Narrow"/>
    <s v="B11"/>
    <s v="TATXGP"/>
    <s v="GK09"/>
    <n v="0.35"/>
    <n v="900"/>
    <n v="0"/>
    <n v="80"/>
    <e v="#N/A"/>
    <n v="80"/>
    <n v="80"/>
    <e v="#N/A"/>
    <e v="#N/A"/>
    <m/>
    <m/>
    <n v="80"/>
    <n v="0"/>
    <n v="0"/>
    <n v="89.600000000000009"/>
    <n v="0"/>
    <n v="0"/>
    <n v="0"/>
    <n v="0"/>
    <n v="0"/>
    <n v="0"/>
    <n v="0"/>
    <n v="0"/>
    <n v="0"/>
    <n v="0"/>
    <n v="0"/>
    <n v="0"/>
    <n v="0"/>
    <n v="0"/>
    <n v="0"/>
    <n v="0"/>
    <n v="0"/>
    <n v="0"/>
    <n v="0"/>
    <n v="0"/>
    <n v="0"/>
    <n v="0"/>
    <n v="0"/>
    <n v="0"/>
    <n v="0"/>
    <n v="0"/>
    <n v="0"/>
    <n v="0"/>
    <n v="0"/>
    <n v="0"/>
    <n v="0"/>
    <n v="0"/>
    <n v="0"/>
    <n v="0"/>
    <n v="0"/>
    <n v="0"/>
    <n v="0"/>
    <m/>
    <m/>
    <m/>
    <m/>
    <m/>
    <m/>
    <m/>
    <m/>
    <m/>
    <m/>
    <m/>
    <m/>
    <m/>
    <m/>
    <m/>
    <m/>
    <m/>
    <m/>
    <m/>
    <m/>
    <m/>
    <m/>
    <m/>
    <m/>
    <m/>
    <m/>
    <m/>
    <m/>
    <m/>
    <m/>
    <m/>
    <m/>
    <m/>
    <m/>
  </r>
  <r>
    <n v="743"/>
    <d v="2025-02-17T00:00:00"/>
    <s v="ZBTO"/>
    <n v="9518525385"/>
    <n v="4"/>
    <s v="9518525385-4"/>
    <m/>
    <s v="No Priority"/>
    <s v="Released orders"/>
    <x v="2"/>
    <x v="2"/>
    <n v="2000"/>
    <m/>
    <x v="1"/>
    <m/>
    <m/>
    <s v="Uttar Pradesh"/>
    <m/>
    <m/>
    <m/>
    <n v="938789"/>
    <s v="JAIN STEEL DISTRIBUTORS"/>
    <n v="1191956"/>
    <s v="GP COIL SOFT-TATXGP-GK09-0.35X900"/>
    <n v="80"/>
    <s v=""/>
    <m/>
    <m/>
    <s v="Narrow"/>
    <s v="C02"/>
    <s v="TATXGP"/>
    <s v="GK09"/>
    <n v="0.35"/>
    <n v="900"/>
    <n v="0"/>
    <n v="63"/>
    <n v="0"/>
    <n v="63"/>
    <n v="63"/>
    <e v="#N/A"/>
    <e v="#N/A"/>
    <m/>
    <m/>
    <n v="63"/>
    <n v="63"/>
    <n v="0"/>
    <n v="70.56"/>
    <n v="0"/>
    <n v="0"/>
    <n v="0"/>
    <n v="0"/>
    <n v="0"/>
    <n v="0"/>
    <n v="0"/>
    <n v="0"/>
    <n v="0"/>
    <n v="0"/>
    <n v="0"/>
    <n v="0"/>
    <n v="0"/>
    <n v="0"/>
    <n v="0"/>
    <n v="0"/>
    <n v="0"/>
    <n v="0"/>
    <n v="0"/>
    <n v="0"/>
    <n v="0"/>
    <n v="0"/>
    <n v="0"/>
    <n v="0"/>
    <n v="0"/>
    <n v="0"/>
    <n v="0"/>
    <n v="0"/>
    <n v="0"/>
    <n v="0"/>
    <n v="0"/>
    <n v="0"/>
    <n v="0"/>
    <n v="0"/>
    <n v="0"/>
    <n v="0"/>
    <n v="0"/>
    <m/>
    <m/>
    <m/>
    <m/>
    <m/>
    <m/>
    <m/>
    <m/>
    <m/>
    <m/>
    <m/>
    <m/>
    <m/>
    <m/>
    <m/>
    <m/>
    <m/>
    <m/>
    <m/>
    <m/>
    <m/>
    <m/>
    <m/>
    <m/>
    <m/>
    <m/>
    <m/>
    <m/>
    <m/>
    <m/>
    <m/>
    <m/>
    <m/>
    <m/>
  </r>
  <r>
    <n v="743"/>
    <d v="2025-02-13T00:00:00"/>
    <s v="ZBTO"/>
    <n v="9518516069"/>
    <n v="1"/>
    <s v="9518516069-1"/>
    <m/>
    <s v="Mar'25"/>
    <s v="Released orders"/>
    <x v="2"/>
    <x v="2"/>
    <n v="2000"/>
    <m/>
    <x v="0"/>
    <m/>
    <m/>
    <s v="Uttar Pradesh"/>
    <m/>
    <m/>
    <m/>
    <n v="931235"/>
    <s v="K D J P STEELS PVT LTD"/>
    <n v="1191956"/>
    <s v="GP COIL SOFT-TATXGP-GK09-0.35X900"/>
    <n v="80"/>
    <s v=""/>
    <m/>
    <m/>
    <s v="Narrow"/>
    <s v="C02"/>
    <s v="TATXGP"/>
    <s v="GK09"/>
    <n v="0.35"/>
    <n v="900"/>
    <n v="0"/>
    <n v="105"/>
    <n v="0"/>
    <n v="105"/>
    <n v="105"/>
    <e v="#N/A"/>
    <e v="#N/A"/>
    <m/>
    <m/>
    <n v="105"/>
    <n v="105"/>
    <n v="0"/>
    <n v="117.60000000000001"/>
    <n v="0"/>
    <n v="0"/>
    <n v="0"/>
    <n v="0"/>
    <n v="0"/>
    <n v="0"/>
    <n v="0"/>
    <n v="0"/>
    <n v="0"/>
    <n v="0"/>
    <n v="0"/>
    <n v="0"/>
    <n v="0"/>
    <n v="0"/>
    <n v="0"/>
    <n v="0"/>
    <n v="0"/>
    <n v="0"/>
    <n v="0"/>
    <n v="0"/>
    <n v="0"/>
    <n v="0"/>
    <n v="0"/>
    <n v="0"/>
    <n v="105"/>
    <n v="0"/>
    <n v="0"/>
    <n v="0"/>
    <n v="0"/>
    <n v="105"/>
    <n v="0"/>
    <n v="0"/>
    <n v="0"/>
    <n v="0"/>
    <n v="0"/>
    <n v="0"/>
    <n v="105"/>
    <m/>
    <m/>
    <m/>
    <m/>
    <m/>
    <m/>
    <m/>
    <m/>
    <m/>
    <m/>
    <m/>
    <m/>
    <m/>
    <m/>
    <m/>
    <m/>
    <m/>
    <m/>
    <m/>
    <m/>
    <m/>
    <m/>
    <m/>
    <m/>
    <m/>
    <m/>
    <m/>
    <m/>
    <m/>
    <m/>
    <m/>
    <m/>
    <m/>
    <m/>
  </r>
  <r>
    <n v="743"/>
    <d v="2025-01-25T00:00:00"/>
    <s v="ZBTO"/>
    <n v="9518459983"/>
    <n v="2"/>
    <s v="9518459983-2"/>
    <m/>
    <s v="No Priority"/>
    <s v="Failed orders"/>
    <x v="2"/>
    <x v="2"/>
    <n v="2000"/>
    <m/>
    <x v="1"/>
    <m/>
    <m/>
    <s v="Delhi"/>
    <m/>
    <m/>
    <m/>
    <n v="183259"/>
    <s v="Rakesh Steel Inds.(P) Ltd."/>
    <n v="1142902"/>
    <s v="GP COIL SOFT-TATXGP-GLK1-0.35X1000"/>
    <n v="80"/>
    <s v=""/>
    <m/>
    <m/>
    <s v="Narrow"/>
    <s v="C02"/>
    <s v="TATXGP"/>
    <s v="GLK1"/>
    <n v="0.35"/>
    <n v="1000"/>
    <n v="0"/>
    <n v="23"/>
    <e v="#N/A"/>
    <n v="23"/>
    <n v="23"/>
    <e v="#N/A"/>
    <e v="#N/A"/>
    <m/>
    <m/>
    <n v="23"/>
    <n v="0"/>
    <n v="0"/>
    <n v="25.76"/>
    <n v="0"/>
    <n v="0"/>
    <n v="0"/>
    <n v="0"/>
    <n v="0"/>
    <n v="0"/>
    <n v="0"/>
    <n v="0"/>
    <n v="0"/>
    <n v="0"/>
    <n v="0"/>
    <n v="0"/>
    <n v="0"/>
    <n v="0"/>
    <n v="0"/>
    <n v="0"/>
    <n v="0"/>
    <n v="0"/>
    <n v="0"/>
    <n v="0"/>
    <n v="0"/>
    <n v="0"/>
    <n v="0"/>
    <n v="0"/>
    <n v="0"/>
    <n v="0"/>
    <n v="0"/>
    <n v="0"/>
    <n v="0"/>
    <n v="0"/>
    <n v="0"/>
    <n v="0"/>
    <n v="0"/>
    <n v="0"/>
    <n v="0"/>
    <n v="0"/>
    <n v="0"/>
    <m/>
    <m/>
    <m/>
    <m/>
    <m/>
    <m/>
    <m/>
    <m/>
    <m/>
    <m/>
    <m/>
    <m/>
    <m/>
    <m/>
    <m/>
    <m/>
    <m/>
    <m/>
    <m/>
    <m/>
    <m/>
    <m/>
    <m/>
    <m/>
    <m/>
    <m/>
    <m/>
    <m/>
    <m/>
    <m/>
    <m/>
    <m/>
    <m/>
    <m/>
  </r>
  <r>
    <n v="743"/>
    <d v="2025-02-05T00:00:00"/>
    <s v="ZBTO"/>
    <n v="9518495889"/>
    <n v="3"/>
    <s v="9518495889-3"/>
    <m/>
    <s v="Stocks"/>
    <s v="Released orders"/>
    <x v="2"/>
    <x v="2"/>
    <n v="2000"/>
    <m/>
    <x v="0"/>
    <m/>
    <m/>
    <s v="West Bengal"/>
    <m/>
    <m/>
    <m/>
    <n v="100922"/>
    <s v="BUBNA COMMERCIAL COMPANY"/>
    <n v="1178439"/>
    <s v="GP COIL SOFT-TATXGP-GK09-0.4X900"/>
    <s v=""/>
    <s v=""/>
    <m/>
    <m/>
    <s v="Narrow"/>
    <s v="C02"/>
    <s v="TATXGP"/>
    <s v="GK09"/>
    <n v="0.4"/>
    <n v="900"/>
    <n v="0"/>
    <n v="105"/>
    <n v="102.345"/>
    <n v="105"/>
    <n v="105"/>
    <n v="94.22"/>
    <n v="0"/>
    <m/>
    <n v="94.22"/>
    <n v="0"/>
    <n v="1.655"/>
    <n v="0"/>
    <n v="117.60000000000001"/>
    <n v="0"/>
    <n v="0"/>
    <n v="0"/>
    <n v="0"/>
    <n v="0"/>
    <n v="0"/>
    <n v="0"/>
    <n v="0"/>
    <n v="0"/>
    <n v="0"/>
    <n v="0"/>
    <n v="0"/>
    <n v="0"/>
    <n v="0"/>
    <n v="0"/>
    <n v="0"/>
    <n v="0"/>
    <n v="0"/>
    <n v="0"/>
    <n v="0"/>
    <n v="0"/>
    <n v="94.22"/>
    <n v="0"/>
    <n v="6.97"/>
    <n v="0"/>
    <n v="0"/>
    <n v="0"/>
    <n v="0"/>
    <n v="0"/>
    <n v="0"/>
    <n v="6.97"/>
    <n v="0"/>
    <n v="6.97"/>
    <n v="0"/>
    <n v="0"/>
    <n v="0"/>
    <n v="0"/>
    <m/>
    <m/>
    <m/>
    <m/>
    <m/>
    <m/>
    <m/>
    <m/>
    <m/>
    <m/>
    <m/>
    <m/>
    <m/>
    <m/>
    <m/>
    <m/>
    <m/>
    <m/>
    <m/>
    <m/>
    <m/>
    <m/>
    <m/>
    <m/>
    <m/>
    <m/>
    <m/>
    <m/>
    <m/>
    <m/>
    <m/>
    <m/>
    <m/>
    <m/>
  </r>
  <r>
    <n v="743"/>
    <d v="2024-10-22T00:00:00"/>
    <s v="ZBTO"/>
    <n v="9518199177"/>
    <n v="4"/>
    <s v="9518199177-4"/>
    <m/>
    <s v="Mar'25"/>
    <s v="Released orders"/>
    <x v="2"/>
    <x v="2"/>
    <s v="2000-BPRS"/>
    <m/>
    <x v="0"/>
    <m/>
    <m/>
    <m/>
    <m/>
    <s v="PURNIA"/>
    <m/>
    <n v="103227"/>
    <s v="BMW VENTURES LIMITED"/>
    <n v="1854534"/>
    <s v="GP SHEET SOFT-TATXGP-GK09-0.4X900"/>
    <s v="Z80"/>
    <s v=""/>
    <n v="0"/>
    <n v="0"/>
    <s v="Narrow"/>
    <s v="B11"/>
    <s v="TATXGP"/>
    <s v="GK09"/>
    <n v="0.4"/>
    <n v="900"/>
    <n v="2370"/>
    <n v="168"/>
    <n v="109.16500000000001"/>
    <n v="77.290000000000006"/>
    <n v="77.290000000000006"/>
    <n v="58.905000000000001"/>
    <n v="18.385000000000002"/>
    <m/>
    <n v="58.905000000000001"/>
    <n v="18.385000000000005"/>
    <n v="58.835000000000001"/>
    <n v="0"/>
    <n v="65.727200000000011"/>
    <n v="0"/>
    <n v="0"/>
    <n v="0"/>
    <n v="0"/>
    <n v="0"/>
    <n v="0"/>
    <n v="0"/>
    <n v="18.605"/>
    <n v="0"/>
    <n v="0"/>
    <n v="0"/>
    <n v="0"/>
    <n v="0"/>
    <n v="0"/>
    <n v="0"/>
    <n v="0"/>
    <n v="0"/>
    <n v="0"/>
    <n v="18.605"/>
    <n v="18.605"/>
    <n v="0"/>
    <n v="58.905000000000001"/>
    <n v="0"/>
    <n v="18.454999999999998"/>
    <n v="58.835000000000001"/>
    <n v="0"/>
    <n v="0"/>
    <n v="0"/>
    <n v="58.835000000000001"/>
    <n v="0"/>
    <n v="77.289999999999992"/>
    <n v="0"/>
    <n v="0"/>
    <n v="0"/>
    <n v="0"/>
    <n v="77.289999999999992"/>
    <n v="0"/>
    <m/>
    <m/>
    <m/>
    <m/>
    <m/>
    <m/>
    <m/>
    <m/>
    <m/>
    <m/>
    <m/>
    <m/>
    <m/>
    <m/>
    <m/>
    <m/>
    <m/>
    <m/>
    <m/>
    <m/>
    <m/>
    <m/>
    <m/>
    <m/>
    <m/>
    <m/>
    <m/>
    <m/>
    <m/>
    <m/>
    <m/>
    <m/>
    <m/>
    <m/>
  </r>
  <r>
    <n v="743"/>
    <d v="2025-02-10T00:00:00"/>
    <s v="ZBTO"/>
    <n v="9518507255"/>
    <n v="3"/>
    <s v="9518507255-3"/>
    <m/>
    <s v="Mar'25"/>
    <s v="Released orders"/>
    <x v="2"/>
    <x v="2"/>
    <n v="2000"/>
    <m/>
    <x v="0"/>
    <m/>
    <m/>
    <s v="Chhattisgarh"/>
    <m/>
    <m/>
    <m/>
    <n v="139336"/>
    <s v="PASA ASSOCIATES PRIVATE LIMITE"/>
    <n v="1178439"/>
    <s v="GP COIL SOFT-TATXGP-GK09-0.4X900"/>
    <s v=""/>
    <s v=""/>
    <m/>
    <m/>
    <s v="Narrow"/>
    <s v="C02"/>
    <s v="TATXGP"/>
    <s v="GK09"/>
    <n v="0.4"/>
    <n v="900"/>
    <n v="0"/>
    <n v="21"/>
    <n v="0"/>
    <n v="21"/>
    <n v="21"/>
    <n v="0"/>
    <n v="21"/>
    <m/>
    <m/>
    <n v="21"/>
    <n v="21"/>
    <n v="0"/>
    <n v="23.520000000000003"/>
    <n v="0"/>
    <n v="0"/>
    <n v="0"/>
    <n v="0"/>
    <n v="0"/>
    <n v="0"/>
    <n v="0"/>
    <n v="0"/>
    <n v="0"/>
    <n v="0"/>
    <n v="0"/>
    <n v="0"/>
    <n v="0"/>
    <n v="0"/>
    <n v="0"/>
    <n v="0"/>
    <n v="0"/>
    <n v="0"/>
    <n v="0"/>
    <n v="0"/>
    <n v="0"/>
    <n v="0"/>
    <n v="0"/>
    <n v="0"/>
    <n v="21"/>
    <n v="0"/>
    <n v="21"/>
    <n v="0"/>
    <n v="0"/>
    <n v="0"/>
    <n v="21"/>
    <n v="0"/>
    <n v="0"/>
    <n v="21"/>
    <n v="0"/>
    <n v="0"/>
    <n v="0"/>
    <m/>
    <m/>
    <m/>
    <m/>
    <m/>
    <m/>
    <m/>
    <m/>
    <m/>
    <m/>
    <m/>
    <m/>
    <m/>
    <m/>
    <m/>
    <m/>
    <m/>
    <m/>
    <m/>
    <m/>
    <m/>
    <m/>
    <m/>
    <m/>
    <m/>
    <m/>
    <m/>
    <m/>
    <m/>
    <m/>
    <m/>
    <m/>
    <m/>
    <m/>
  </r>
  <r>
    <n v="743"/>
    <d v="2025-02-06T00:00:00"/>
    <s v="ZBTO"/>
    <n v="9518498761"/>
    <n v="4"/>
    <s v="9518498761-4"/>
    <m/>
    <s v="Mar'25"/>
    <s v="Released orders"/>
    <x v="2"/>
    <x v="2"/>
    <n v="2000"/>
    <m/>
    <x v="0"/>
    <m/>
    <m/>
    <s v="Jharkhand"/>
    <m/>
    <m/>
    <m/>
    <n v="121328"/>
    <s v="R. S. BOKARO METAL (P) LTD."/>
    <n v="1178439"/>
    <s v="GP COIL SOFT-TATXGP-GK09-0.4X900"/>
    <n v="80"/>
    <s v=""/>
    <m/>
    <m/>
    <s v="Narrow"/>
    <s v="C02"/>
    <s v="TATXGP"/>
    <s v="GK09"/>
    <n v="0.4"/>
    <n v="900"/>
    <n v="0"/>
    <n v="126"/>
    <n v="48.954999999999998"/>
    <n v="126"/>
    <n v="77.045000000000002"/>
    <n v="0"/>
    <n v="77.045000000000002"/>
    <m/>
    <m/>
    <n v="77.045000000000002"/>
    <n v="77.045000000000002"/>
    <n v="0"/>
    <n v="141.12"/>
    <n v="0"/>
    <n v="0"/>
    <n v="0"/>
    <n v="0"/>
    <n v="0"/>
    <n v="0"/>
    <n v="0"/>
    <n v="0"/>
    <n v="0"/>
    <n v="0"/>
    <n v="0"/>
    <n v="0"/>
    <n v="0"/>
    <n v="0"/>
    <n v="0"/>
    <n v="0"/>
    <n v="0"/>
    <n v="0"/>
    <n v="0"/>
    <n v="0"/>
    <n v="0"/>
    <n v="0"/>
    <n v="0"/>
    <n v="7.08"/>
    <n v="77.045000000000002"/>
    <n v="0"/>
    <n v="0"/>
    <n v="77.045000000000002"/>
    <n v="0"/>
    <n v="0"/>
    <n v="84.125"/>
    <n v="0"/>
    <n v="0"/>
    <n v="0"/>
    <n v="84.125"/>
    <n v="0"/>
    <n v="0"/>
    <m/>
    <m/>
    <m/>
    <m/>
    <m/>
    <m/>
    <m/>
    <m/>
    <m/>
    <m/>
    <m/>
    <m/>
    <m/>
    <m/>
    <m/>
    <m/>
    <m/>
    <m/>
    <m/>
    <m/>
    <m/>
    <m/>
    <m/>
    <m/>
    <m/>
    <m/>
    <m/>
    <m/>
    <m/>
    <m/>
    <m/>
    <m/>
    <m/>
    <m/>
  </r>
  <r>
    <n v="743"/>
    <d v="2025-01-21T00:00:00"/>
    <s v="ZBTO"/>
    <n v="9518446974"/>
    <n v="3"/>
    <s v="9518446974-3"/>
    <m/>
    <s v="No Priority"/>
    <s v="Failed orders"/>
    <x v="2"/>
    <x v="2"/>
    <n v="2000"/>
    <m/>
    <x v="1"/>
    <m/>
    <m/>
    <s v="Madhya Pradesh"/>
    <m/>
    <m/>
    <m/>
    <n v="944695"/>
    <s v="ANM ISPAT PRIVATE LIMITED"/>
    <n v="1319275"/>
    <s v="GP COIL SOFT-TATXGP-GLK1-0.2X900"/>
    <n v="80"/>
    <s v=""/>
    <m/>
    <m/>
    <s v="Narrow"/>
    <s v="C02"/>
    <s v="TATXGP"/>
    <s v="GLK1"/>
    <n v="0.2"/>
    <n v="900"/>
    <n v="0"/>
    <n v="42"/>
    <e v="#N/A"/>
    <n v="42"/>
    <n v="42"/>
    <e v="#N/A"/>
    <e v="#N/A"/>
    <m/>
    <m/>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5-01-21T00:00:00"/>
    <s v="ZBTO"/>
    <n v="9518446974"/>
    <n v="4"/>
    <s v="9518446974-4"/>
    <m/>
    <s v="No Priority"/>
    <s v="Failed orders"/>
    <x v="2"/>
    <x v="2"/>
    <n v="2000"/>
    <m/>
    <x v="1"/>
    <m/>
    <m/>
    <s v="Madhya Pradesh"/>
    <m/>
    <m/>
    <m/>
    <n v="944695"/>
    <s v="ANM ISPAT PRIVATE LIMITED"/>
    <n v="1851054"/>
    <s v="GP COIL SOFT-TATXGP-GK09-0.2X900"/>
    <n v="80"/>
    <s v=""/>
    <m/>
    <m/>
    <s v="Narrow"/>
    <s v="C02"/>
    <s v="TATXGP"/>
    <s v="GK09"/>
    <n v="0.2"/>
    <n v="900"/>
    <n v="0"/>
    <n v="21"/>
    <e v="#N/A"/>
    <n v="21"/>
    <n v="21"/>
    <e v="#N/A"/>
    <e v="#N/A"/>
    <m/>
    <m/>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2-10T00:00:00"/>
    <s v="ZBTO"/>
    <n v="9518508377"/>
    <n v="8"/>
    <s v="9518508377-8"/>
    <m/>
    <s v="Mar'25"/>
    <s v="Released orders"/>
    <x v="2"/>
    <x v="2"/>
    <n v="2000"/>
    <m/>
    <x v="1"/>
    <m/>
    <s v="De-prioritized due to narrow HR unavailability"/>
    <s v="Jharkhand"/>
    <m/>
    <m/>
    <m/>
    <n v="185794"/>
    <s v="Shree Bajrang Steel Udyog"/>
    <n v="1178439"/>
    <s v="GP COIL SOFT-TATXGP-GK09-0.4X900"/>
    <n v="80"/>
    <s v=""/>
    <m/>
    <m/>
    <s v="Narrow"/>
    <s v="C02"/>
    <s v="TATXGP"/>
    <s v="GK09"/>
    <n v="0.4"/>
    <n v="900"/>
    <n v="0"/>
    <n v="105"/>
    <n v="0"/>
    <n v="105"/>
    <n v="105"/>
    <n v="0"/>
    <n v="105"/>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2"/>
    <d v="2025-02-10T00:00:00"/>
    <s v="ZBTO"/>
    <n v="9518506961"/>
    <n v="1"/>
    <s v="9518506961-1"/>
    <m/>
    <s v="Mar'25"/>
    <s v="Released orders"/>
    <x v="1"/>
    <x v="3"/>
    <n v="2000"/>
    <m/>
    <x v="0"/>
    <s v="Mar"/>
    <m/>
    <s v="Haryana"/>
    <m/>
    <m/>
    <m/>
    <n v="831432"/>
    <s v="FERRO STEEL SOLUTIONS"/>
    <n v="1804908"/>
    <s v="CRCA COIL TATCRC TR15 0.5X1250"/>
    <s v=""/>
    <s v=""/>
    <m/>
    <m/>
    <s v="Wider"/>
    <s v="C01"/>
    <s v="TATCRC"/>
    <s v="TR15"/>
    <n v="0.5"/>
    <n v="1250"/>
    <n v="0"/>
    <n v="261"/>
    <n v="0"/>
    <n v="261"/>
    <n v="261"/>
    <n v="0"/>
    <n v="261"/>
    <m/>
    <m/>
    <n v="261"/>
    <n v="261"/>
    <n v="0"/>
    <n v="292.32000000000005"/>
    <n v="0"/>
    <n v="0"/>
    <n v="0"/>
    <n v="0"/>
    <n v="0"/>
    <n v="0"/>
    <n v="0"/>
    <n v="0"/>
    <n v="0"/>
    <n v="0"/>
    <n v="0"/>
    <n v="0"/>
    <n v="0"/>
    <n v="0"/>
    <n v="0"/>
    <n v="0"/>
    <n v="0"/>
    <n v="0"/>
    <n v="0"/>
    <n v="0"/>
    <n v="0"/>
    <n v="0"/>
    <n v="0"/>
    <n v="0"/>
    <n v="261"/>
    <n v="0"/>
    <n v="0"/>
    <n v="0"/>
    <n v="261"/>
    <n v="0"/>
    <n v="261"/>
    <n v="0"/>
    <n v="0"/>
    <n v="0"/>
    <n v="0"/>
    <n v="261"/>
    <n v="0"/>
    <m/>
    <m/>
    <m/>
    <m/>
    <m/>
    <m/>
    <m/>
    <m/>
    <m/>
    <m/>
    <m/>
    <m/>
    <m/>
    <m/>
    <m/>
    <m/>
    <m/>
    <m/>
    <m/>
    <m/>
    <m/>
    <m/>
    <m/>
    <m/>
    <m/>
    <m/>
    <m/>
    <m/>
    <m/>
    <m/>
    <m/>
    <m/>
    <m/>
    <m/>
  </r>
  <r>
    <n v="742"/>
    <d v="2025-02-10T00:00:00"/>
    <s v="ZBTO"/>
    <n v="9518506961"/>
    <n v="2"/>
    <s v="9518506961-2"/>
    <m/>
    <s v="Mar'25"/>
    <s v="Released orders"/>
    <x v="1"/>
    <x v="3"/>
    <n v="2000"/>
    <m/>
    <x v="0"/>
    <s v="Mar"/>
    <m/>
    <s v="Haryana"/>
    <m/>
    <m/>
    <m/>
    <n v="831432"/>
    <s v="FERRO STEEL SOLUTIONS"/>
    <n v="1804908"/>
    <s v="CRCA COIL TATCRC TR15 0.5X1250"/>
    <s v=""/>
    <s v=""/>
    <m/>
    <m/>
    <s v="Wider"/>
    <s v="C01"/>
    <s v="TATCRC"/>
    <s v="TR15"/>
    <n v="0.5"/>
    <n v="1250"/>
    <n v="0"/>
    <n v="261"/>
    <n v="0"/>
    <n v="261"/>
    <n v="261"/>
    <n v="0"/>
    <n v="261"/>
    <m/>
    <m/>
    <n v="261"/>
    <n v="261"/>
    <n v="0"/>
    <n v="292.32000000000005"/>
    <n v="0"/>
    <n v="0"/>
    <n v="0"/>
    <n v="0"/>
    <n v="0"/>
    <n v="0"/>
    <n v="0"/>
    <n v="0"/>
    <n v="0"/>
    <n v="0"/>
    <n v="0"/>
    <n v="0"/>
    <n v="0"/>
    <n v="0"/>
    <n v="0"/>
    <n v="0"/>
    <n v="0"/>
    <n v="0"/>
    <n v="0"/>
    <n v="0"/>
    <n v="0"/>
    <n v="0"/>
    <n v="0"/>
    <n v="0"/>
    <n v="261"/>
    <n v="0"/>
    <n v="0"/>
    <n v="0"/>
    <n v="261"/>
    <n v="0"/>
    <n v="261"/>
    <n v="0"/>
    <n v="0"/>
    <n v="0"/>
    <n v="0"/>
    <n v="261"/>
    <n v="0"/>
    <m/>
    <m/>
    <m/>
    <m/>
    <m/>
    <m/>
    <m/>
    <m/>
    <m/>
    <m/>
    <m/>
    <m/>
    <m/>
    <m/>
    <m/>
    <m/>
    <m/>
    <m/>
    <m/>
    <m/>
    <m/>
    <m/>
    <m/>
    <m/>
    <m/>
    <m/>
    <m/>
    <m/>
    <m/>
    <m/>
    <m/>
    <m/>
    <m/>
    <m/>
  </r>
  <r>
    <n v="742"/>
    <d v="2025-02-10T00:00:00"/>
    <s v="ZBTO"/>
    <n v="9518506961"/>
    <n v="3"/>
    <s v="9518506961-3"/>
    <m/>
    <s v="Mar'25"/>
    <s v="Released orders"/>
    <x v="1"/>
    <x v="3"/>
    <n v="2000"/>
    <m/>
    <x v="0"/>
    <s v="Mar"/>
    <m/>
    <s v="Haryana"/>
    <m/>
    <m/>
    <m/>
    <n v="831432"/>
    <s v="FERRO STEEL SOLUTIONS"/>
    <n v="1804908"/>
    <s v="CRCA COIL TATCRC TR15 0.5X1250"/>
    <s v=""/>
    <s v=""/>
    <m/>
    <m/>
    <s v="Wider"/>
    <s v="C01"/>
    <s v="TATCRC"/>
    <s v="TR15"/>
    <n v="0.5"/>
    <n v="1250"/>
    <n v="0"/>
    <n v="261"/>
    <n v="0"/>
    <n v="261"/>
    <n v="261"/>
    <n v="0"/>
    <n v="261"/>
    <m/>
    <m/>
    <n v="261"/>
    <n v="261"/>
    <n v="0"/>
    <n v="292.32000000000005"/>
    <n v="0"/>
    <n v="0"/>
    <n v="0"/>
    <n v="0"/>
    <n v="0"/>
    <n v="0"/>
    <n v="0"/>
    <n v="0"/>
    <n v="0"/>
    <n v="0"/>
    <n v="0"/>
    <n v="0"/>
    <n v="0"/>
    <n v="0"/>
    <n v="0"/>
    <n v="0"/>
    <n v="0"/>
    <n v="0"/>
    <n v="0"/>
    <n v="0"/>
    <n v="0"/>
    <n v="0"/>
    <n v="0"/>
    <n v="0"/>
    <n v="261"/>
    <n v="0"/>
    <n v="0"/>
    <n v="0"/>
    <n v="261"/>
    <n v="0"/>
    <n v="261"/>
    <n v="0"/>
    <n v="0"/>
    <n v="0"/>
    <n v="0"/>
    <n v="261"/>
    <n v="0"/>
    <m/>
    <m/>
    <m/>
    <m/>
    <m/>
    <m/>
    <m/>
    <m/>
    <m/>
    <m/>
    <m/>
    <m/>
    <m/>
    <m/>
    <m/>
    <m/>
    <m/>
    <m/>
    <m/>
    <m/>
    <m/>
    <m/>
    <m/>
    <m/>
    <m/>
    <m/>
    <m/>
    <m/>
    <m/>
    <m/>
    <m/>
    <m/>
    <m/>
    <m/>
  </r>
  <r>
    <n v="742"/>
    <d v="2025-02-10T00:00:00"/>
    <s v="ZBTO"/>
    <n v="9518506961"/>
    <n v="4"/>
    <s v="9518506961-4"/>
    <m/>
    <s v="Mar'25"/>
    <s v="Released orders"/>
    <x v="1"/>
    <x v="3"/>
    <n v="2000"/>
    <m/>
    <x v="0"/>
    <s v="Mar"/>
    <m/>
    <s v="Haryana"/>
    <m/>
    <m/>
    <m/>
    <n v="831432"/>
    <s v="FERRO STEEL SOLUTIONS"/>
    <n v="1804908"/>
    <s v="CRCA COIL TATCRC TR15 0.5X1250"/>
    <s v=""/>
    <s v=""/>
    <m/>
    <m/>
    <s v="Wider"/>
    <s v="C01"/>
    <s v="TATCRC"/>
    <s v="TR15"/>
    <n v="0.5"/>
    <n v="1250"/>
    <n v="0"/>
    <n v="261"/>
    <n v="0"/>
    <n v="261"/>
    <n v="261"/>
    <n v="0"/>
    <n v="261"/>
    <m/>
    <m/>
    <n v="261"/>
    <n v="261"/>
    <n v="0"/>
    <n v="292.32000000000005"/>
    <n v="0"/>
    <n v="0"/>
    <n v="0"/>
    <n v="0"/>
    <n v="0"/>
    <n v="0"/>
    <n v="0"/>
    <n v="0"/>
    <n v="0"/>
    <n v="0"/>
    <n v="0"/>
    <n v="0"/>
    <n v="0"/>
    <n v="0"/>
    <n v="0"/>
    <n v="0"/>
    <n v="0"/>
    <n v="0"/>
    <n v="0"/>
    <n v="0"/>
    <n v="0"/>
    <n v="0"/>
    <n v="0"/>
    <n v="0"/>
    <n v="261"/>
    <n v="0"/>
    <n v="0"/>
    <n v="0"/>
    <n v="261"/>
    <n v="0"/>
    <n v="261"/>
    <n v="0"/>
    <n v="0"/>
    <n v="0"/>
    <n v="0"/>
    <n v="261"/>
    <n v="0"/>
    <m/>
    <m/>
    <m/>
    <m/>
    <m/>
    <m/>
    <m/>
    <m/>
    <m/>
    <m/>
    <m/>
    <m/>
    <m/>
    <m/>
    <m/>
    <m/>
    <m/>
    <m/>
    <m/>
    <m/>
    <m/>
    <m/>
    <m/>
    <m/>
    <m/>
    <m/>
    <m/>
    <m/>
    <m/>
    <m/>
    <m/>
    <m/>
    <m/>
    <m/>
  </r>
  <r>
    <n v="742"/>
    <d v="2025-02-04T00:00:00"/>
    <s v="ZBTO"/>
    <n v="9518492304"/>
    <n v="1"/>
    <s v="9518492304-1"/>
    <m/>
    <s v="No Priority"/>
    <s v="Released orders"/>
    <x v="1"/>
    <x v="0"/>
    <n v="2000"/>
    <m/>
    <x v="1"/>
    <m/>
    <m/>
    <s v="Gujarat"/>
    <m/>
    <m/>
    <m/>
    <n v="940707"/>
    <s v="GIRIRAJ EXIM PRIVATE LIMITED"/>
    <n v="2279429"/>
    <s v="CRCA COIL TATXXD BT02 0.900X914"/>
    <s v=""/>
    <s v=""/>
    <m/>
    <m/>
    <s v="Narrow"/>
    <s v="C01"/>
    <s v="TATXXD"/>
    <s v="BT02"/>
    <n v="0.9"/>
    <n v="914"/>
    <n v="0"/>
    <n v="63"/>
    <n v="0"/>
    <n v="63"/>
    <n v="63"/>
    <e v="#N/A"/>
    <e v="#N/A"/>
    <m/>
    <n v="0"/>
    <n v="63"/>
    <n v="63"/>
    <n v="0"/>
    <n v="70.56"/>
    <n v="0"/>
    <n v="0"/>
    <n v="0"/>
    <n v="0"/>
    <n v="0"/>
    <n v="0"/>
    <n v="0"/>
    <n v="0"/>
    <n v="0"/>
    <n v="0"/>
    <n v="0"/>
    <n v="0"/>
    <n v="0"/>
    <n v="0"/>
    <n v="0"/>
    <n v="0"/>
    <n v="0"/>
    <n v="0"/>
    <n v="0"/>
    <n v="0"/>
    <n v="0"/>
    <n v="0"/>
    <n v="0"/>
    <n v="0"/>
    <n v="0"/>
    <n v="0"/>
    <n v="0"/>
    <n v="0"/>
    <n v="0"/>
    <n v="0"/>
    <n v="0"/>
    <n v="0"/>
    <n v="0"/>
    <n v="0"/>
    <n v="0"/>
    <n v="0"/>
    <n v="0"/>
    <m/>
    <m/>
    <m/>
    <m/>
    <m/>
    <m/>
    <m/>
    <m/>
    <m/>
    <m/>
    <m/>
    <m/>
    <m/>
    <m/>
    <m/>
    <m/>
    <m/>
    <m/>
    <m/>
    <m/>
    <m/>
    <m/>
    <m/>
    <m/>
    <m/>
    <m/>
    <m/>
    <m/>
    <m/>
    <m/>
    <m/>
    <m/>
    <m/>
    <m/>
  </r>
  <r>
    <n v="742"/>
    <d v="2025-02-04T00:00:00"/>
    <s v="ZBTO"/>
    <n v="9518492304"/>
    <n v="3"/>
    <s v="9518492304-3"/>
    <m/>
    <s v="No Priority"/>
    <s v="Released orders"/>
    <x v="1"/>
    <x v="0"/>
    <n v="2000"/>
    <m/>
    <x v="1"/>
    <m/>
    <m/>
    <s v="Gujarat"/>
    <m/>
    <m/>
    <m/>
    <n v="940707"/>
    <s v="GIRIRAJ EXIM PRIVATE LIMITED"/>
    <n v="2170009"/>
    <s v="CRCA COIL TATXXD BT02 1.200X914"/>
    <s v=""/>
    <s v=""/>
    <m/>
    <m/>
    <s v="Narrow"/>
    <s v="C01"/>
    <s v="TATXXD"/>
    <s v="BT02"/>
    <n v="1.2"/>
    <n v="914"/>
    <n v="0"/>
    <n v="147"/>
    <n v="0"/>
    <n v="147"/>
    <n v="147"/>
    <e v="#N/A"/>
    <e v="#N/A"/>
    <m/>
    <n v="0"/>
    <n v="147"/>
    <n v="147"/>
    <n v="0"/>
    <n v="164.64000000000001"/>
    <n v="0"/>
    <n v="0"/>
    <n v="0"/>
    <n v="0"/>
    <n v="0"/>
    <n v="0"/>
    <n v="0"/>
    <n v="0"/>
    <n v="0"/>
    <n v="0"/>
    <n v="0"/>
    <n v="0"/>
    <n v="0"/>
    <n v="0"/>
    <n v="0"/>
    <n v="0"/>
    <n v="0"/>
    <n v="0"/>
    <n v="0"/>
    <n v="0"/>
    <n v="0"/>
    <n v="0"/>
    <n v="0"/>
    <n v="0"/>
    <n v="0"/>
    <n v="0"/>
    <n v="0"/>
    <n v="0"/>
    <n v="0"/>
    <n v="0"/>
    <n v="0"/>
    <n v="0"/>
    <n v="0"/>
    <n v="0"/>
    <n v="0"/>
    <n v="0"/>
    <n v="0"/>
    <m/>
    <m/>
    <m/>
    <m/>
    <m/>
    <m/>
    <m/>
    <m/>
    <m/>
    <m/>
    <m/>
    <m/>
    <m/>
    <m/>
    <m/>
    <m/>
    <m/>
    <m/>
    <m/>
    <m/>
    <m/>
    <m/>
    <m/>
    <m/>
    <m/>
    <m/>
    <m/>
    <m/>
    <m/>
    <m/>
    <m/>
    <m/>
    <m/>
    <m/>
  </r>
  <r>
    <n v="742"/>
    <d v="2025-01-29T00:00:00"/>
    <s v="ZBTO"/>
    <n v="9518474200"/>
    <n v="3"/>
    <s v="9518474200-3"/>
    <m/>
    <s v="No Priority"/>
    <s v="Failed orders"/>
    <x v="1"/>
    <x v="15"/>
    <n v="2000"/>
    <m/>
    <x v="1"/>
    <m/>
    <m/>
    <s v="Maharashtra"/>
    <m/>
    <m/>
    <m/>
    <n v="115806"/>
    <s v="NARESH STEEL INDUSTRIES PVT LT"/>
    <n v="2420510"/>
    <s v="CRCA COIL TATXXD AH03 0.600X1250"/>
    <s v=""/>
    <s v=""/>
    <m/>
    <m/>
    <s v="Wider"/>
    <s v="C01"/>
    <s v="TATXXD"/>
    <s v="AH03"/>
    <n v="0.6"/>
    <n v="1250"/>
    <n v="0"/>
    <n v="29"/>
    <e v="#N/A"/>
    <n v="29"/>
    <n v="29"/>
    <e v="#N/A"/>
    <e v="#N/A"/>
    <n v="29"/>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89748"/>
    <n v="3"/>
    <s v="9518489748-3"/>
    <m/>
    <s v="No Priority"/>
    <s v="Failed orders"/>
    <x v="1"/>
    <x v="15"/>
    <n v="2000"/>
    <m/>
    <x v="1"/>
    <m/>
    <m/>
    <s v="Punjab"/>
    <m/>
    <m/>
    <m/>
    <n v="819097"/>
    <s v="BHAGWATI STEEL SALES"/>
    <n v="2420512"/>
    <s v="CRCA COIL TATXXD AH03 0.700X1250"/>
    <s v=""/>
    <s v=""/>
    <m/>
    <m/>
    <s v="Wider"/>
    <s v="C01"/>
    <s v="TATXXD"/>
    <s v="AH03"/>
    <n v="0.7"/>
    <n v="1250"/>
    <n v="0"/>
    <n v="29"/>
    <e v="#N/A"/>
    <n v="29"/>
    <n v="29"/>
    <e v="#N/A"/>
    <e v="#N/A"/>
    <n v="29"/>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6290"/>
    <n v="11"/>
    <s v="9518426290-11"/>
    <m/>
    <s v="No Priority"/>
    <s v="Released orders"/>
    <x v="1"/>
    <x v="1"/>
    <n v="2000"/>
    <m/>
    <x v="1"/>
    <s v="Mar"/>
    <m/>
    <m/>
    <s v="East"/>
    <s v="PURNIA"/>
    <m/>
    <n v="103227"/>
    <s v="BMW VENTURES LIMITED"/>
    <n v="3240799"/>
    <s v="CRCA SHEET TSBCRC SR15 0.750X1250X2500"/>
    <s v=" "/>
    <m/>
    <n v="0"/>
    <n v="0"/>
    <s v="Wider"/>
    <s v="C06"/>
    <s v="TSBCRC"/>
    <s v="SR15"/>
    <n v="0.75"/>
    <n v="1250"/>
    <n v="2500"/>
    <n v="29"/>
    <e v="#N/A"/>
    <n v="29"/>
    <n v="29"/>
    <n v="27.67"/>
    <n v="0"/>
    <m/>
    <n v="0"/>
    <n v="29"/>
    <n v="0"/>
    <n v="0"/>
    <n v="1.4895999999999983"/>
    <n v="0"/>
    <n v="0"/>
    <n v="0"/>
    <n v="0"/>
    <n v="0"/>
    <n v="0"/>
    <n v="0"/>
    <n v="0"/>
    <n v="0"/>
    <n v="0"/>
    <n v="27.67"/>
    <n v="0"/>
    <n v="0"/>
    <n v="0"/>
    <n v="0"/>
    <n v="0"/>
    <n v="0"/>
    <n v="0"/>
    <n v="27.67"/>
    <n v="0"/>
    <n v="0"/>
    <n v="0"/>
    <n v="27.67"/>
    <n v="0"/>
    <n v="0"/>
    <n v="0"/>
    <n v="0"/>
    <n v="0"/>
    <n v="0"/>
    <n v="0"/>
    <n v="0"/>
    <n v="0"/>
    <n v="0"/>
    <n v="0"/>
    <n v="0"/>
    <n v="0"/>
    <n v="0"/>
    <n v="0"/>
    <n v="0"/>
    <n v="0"/>
    <n v="0"/>
    <n v="0"/>
    <n v="0"/>
    <m/>
    <m/>
    <m/>
    <m/>
    <m/>
    <m/>
    <m/>
    <m/>
    <m/>
    <s v="1"/>
    <s v="1"/>
    <s v="1"/>
    <s v="1"/>
    <s v="1"/>
    <m/>
    <m/>
    <m/>
    <m/>
    <m/>
    <s v="Planning delay"/>
    <m/>
    <m/>
    <m/>
    <m/>
    <m/>
    <m/>
    <m/>
    <m/>
  </r>
  <r>
    <n v="742"/>
    <d v="2025-02-03T00:00:00"/>
    <s v="ZBTO"/>
    <n v="9518490750"/>
    <n v="12"/>
    <s v="9518490750-12"/>
    <m/>
    <s v="Mar'25"/>
    <s v="Released orders"/>
    <x v="1"/>
    <x v="1"/>
    <s v="2000-BPRS"/>
    <m/>
    <x v="0"/>
    <s v="Mar"/>
    <m/>
    <m/>
    <m/>
    <s v="TANGI"/>
    <m/>
    <n v="117061"/>
    <s v="BHARTIA  DISTRIBUTORS PVT. LTD."/>
    <n v="3240799"/>
    <s v="CRCA SHEET TSBCRC SR15 0.750X1250X2500"/>
    <s v=" "/>
    <s v=""/>
    <n v="0.1"/>
    <n v="5"/>
    <s v="Wider"/>
    <s v="C06"/>
    <s v="TSBCRC"/>
    <s v="SR15"/>
    <n v="0.75"/>
    <n v="1250"/>
    <n v="2500"/>
    <n v="75"/>
    <n v="45.174999999999997"/>
    <n v="75"/>
    <n v="75"/>
    <n v="54.83"/>
    <n v="20.170000000000002"/>
    <m/>
    <n v="0"/>
    <n v="75"/>
    <n v="29.824999999999999"/>
    <n v="0"/>
    <n v="21.537599999999998"/>
    <n v="0"/>
    <n v="0"/>
    <n v="0"/>
    <n v="0"/>
    <n v="0"/>
    <n v="0"/>
    <n v="0"/>
    <n v="0"/>
    <n v="0"/>
    <n v="28.310000000000002"/>
    <n v="27.46"/>
    <n v="0"/>
    <n v="0"/>
    <n v="0"/>
    <n v="0"/>
    <n v="0"/>
    <n v="0"/>
    <n v="0"/>
    <n v="55.77"/>
    <n v="0"/>
    <n v="0"/>
    <n v="0"/>
    <n v="54.83"/>
    <n v="0"/>
    <n v="29.824999999999999"/>
    <n v="0"/>
    <n v="29.824999999999999"/>
    <n v="0"/>
    <n v="0"/>
    <n v="0"/>
    <n v="29.824999999999999"/>
    <n v="0"/>
    <n v="0"/>
    <n v="29.824999999999999"/>
    <n v="0"/>
    <n v="0"/>
    <n v="0"/>
    <m/>
    <m/>
    <m/>
    <m/>
    <m/>
    <m/>
    <m/>
    <m/>
    <m/>
    <m/>
    <m/>
    <m/>
    <m/>
    <m/>
    <m/>
    <m/>
    <m/>
    <m/>
    <m/>
    <m/>
    <m/>
    <m/>
    <m/>
    <m/>
    <m/>
    <m/>
    <m/>
    <m/>
    <m/>
    <m/>
    <m/>
    <m/>
    <m/>
    <m/>
  </r>
  <r>
    <n v="742"/>
    <d v="2025-02-20T00:00:00"/>
    <s v="ZBTO"/>
    <n v="9518535833"/>
    <n v="26"/>
    <s v="9518535833-26"/>
    <m/>
    <s v="Mar'25"/>
    <s v="Released orders"/>
    <x v="1"/>
    <x v="1"/>
    <s v="2000-BPRS"/>
    <m/>
    <x v="0"/>
    <s v="Mar"/>
    <m/>
    <m/>
    <m/>
    <s v="CHENNAI"/>
    <m/>
    <n v="938550"/>
    <s v="BASEER AND CO"/>
    <n v="3240808"/>
    <s v="CRCA SHEET TSBCRC SR15 0.800X1250X2500"/>
    <s v=" "/>
    <s v=""/>
    <n v="0"/>
    <n v="0"/>
    <s v="Wider"/>
    <s v="C06"/>
    <s v="TSBCRC"/>
    <s v="SR15"/>
    <n v="0.8"/>
    <n v="1250"/>
    <n v="2500"/>
    <n v="30"/>
    <n v="0"/>
    <n v="30"/>
    <n v="30"/>
    <n v="0"/>
    <n v="30"/>
    <m/>
    <m/>
    <n v="30"/>
    <n v="30"/>
    <n v="0"/>
    <n v="33.6"/>
    <n v="0"/>
    <n v="0"/>
    <n v="0"/>
    <n v="0"/>
    <n v="0"/>
    <n v="0"/>
    <n v="0"/>
    <n v="0"/>
    <n v="0"/>
    <n v="0"/>
    <n v="0"/>
    <n v="0"/>
    <n v="0"/>
    <n v="0"/>
    <n v="0"/>
    <n v="0"/>
    <n v="0"/>
    <n v="0"/>
    <n v="0"/>
    <n v="0"/>
    <n v="0"/>
    <n v="0"/>
    <n v="0"/>
    <n v="0"/>
    <n v="30"/>
    <n v="0"/>
    <n v="0"/>
    <n v="0"/>
    <n v="30"/>
    <n v="0"/>
    <n v="30"/>
    <n v="0"/>
    <n v="0"/>
    <n v="0"/>
    <n v="0"/>
    <n v="30"/>
    <n v="0"/>
    <m/>
    <m/>
    <m/>
    <m/>
    <m/>
    <m/>
    <m/>
    <m/>
    <m/>
    <m/>
    <m/>
    <m/>
    <m/>
    <m/>
    <m/>
    <m/>
    <m/>
    <m/>
    <m/>
    <m/>
    <m/>
    <m/>
    <m/>
    <m/>
    <m/>
    <m/>
    <m/>
    <m/>
    <m/>
    <m/>
    <m/>
    <m/>
    <m/>
    <m/>
  </r>
  <r>
    <n v="742"/>
    <d v="2025-01-29T00:00:00"/>
    <s v="ZBTO"/>
    <n v="9518474200"/>
    <n v="4"/>
    <s v="9518474200-4"/>
    <m/>
    <s v="No Priority"/>
    <s v="Released orders"/>
    <x v="1"/>
    <x v="15"/>
    <s v="2000-BPRS"/>
    <m/>
    <x v="1"/>
    <m/>
    <m/>
    <m/>
    <m/>
    <s v="BOMBAY"/>
    <m/>
    <n v="115806"/>
    <s v="NARESH STEEL INDUSTRIES"/>
    <n v="2420514"/>
    <s v="CRCA COIL TATXXD AH03 0.800X1250"/>
    <s v=" "/>
    <s v=""/>
    <n v="10"/>
    <n v="15"/>
    <s v="Wider"/>
    <s v="C01"/>
    <s v="TATXXD"/>
    <s v="AH03"/>
    <n v="0.8"/>
    <n v="1250"/>
    <n v="0"/>
    <n v="29"/>
    <n v="25.06"/>
    <n v="29"/>
    <n v="3.94"/>
    <n v="1.9"/>
    <n v="0"/>
    <m/>
    <m/>
    <n v="2.25"/>
    <n v="0"/>
    <n v="0"/>
    <n v="0"/>
    <n v="0"/>
    <n v="0"/>
    <n v="0"/>
    <n v="0"/>
    <n v="0"/>
    <n v="0"/>
    <n v="0"/>
    <n v="0"/>
    <n v="0"/>
    <n v="0"/>
    <n v="0"/>
    <n v="0"/>
    <n v="26.75"/>
    <n v="0"/>
    <n v="0"/>
    <n v="0"/>
    <n v="0"/>
    <n v="0"/>
    <n v="26.75"/>
    <n v="26.75"/>
    <n v="0"/>
    <n v="26.75"/>
    <n v="1.9"/>
    <n v="0"/>
    <n v="0"/>
    <n v="0"/>
    <n v="0"/>
    <n v="0"/>
    <n v="0"/>
    <n v="0"/>
    <n v="0"/>
    <n v="0"/>
    <n v="0"/>
    <n v="0"/>
    <n v="0"/>
    <n v="0"/>
    <n v="0"/>
    <m/>
    <m/>
    <m/>
    <m/>
    <m/>
    <m/>
    <m/>
    <m/>
    <m/>
    <m/>
    <m/>
    <m/>
    <m/>
    <m/>
    <m/>
    <m/>
    <m/>
    <m/>
    <m/>
    <m/>
    <m/>
    <m/>
    <m/>
    <m/>
    <m/>
    <m/>
    <m/>
    <m/>
    <m/>
    <m/>
    <m/>
    <m/>
    <m/>
    <m/>
  </r>
  <r>
    <n v="742"/>
    <d v="2025-02-07T00:00:00"/>
    <s v="ZBTO"/>
    <n v="9518500267"/>
    <n v="2"/>
    <s v="9518500267-2"/>
    <m/>
    <s v="No Priority"/>
    <s v="Failed orders"/>
    <x v="1"/>
    <x v="15"/>
    <n v="2000"/>
    <m/>
    <x v="1"/>
    <m/>
    <m/>
    <s v="Karnataka"/>
    <m/>
    <m/>
    <m/>
    <n v="939268"/>
    <s v="TATA STEEL DOWNSTREAM PRODUCTS"/>
    <n v="3941912"/>
    <s v="CR COIL TATXXD AH03 0.970X1250"/>
    <s v=""/>
    <s v=""/>
    <m/>
    <m/>
    <s v="Wider"/>
    <s v="C01"/>
    <s v="TATXXD"/>
    <s v="AH03"/>
    <n v="0.97"/>
    <n v="1250"/>
    <n v="0"/>
    <n v="29"/>
    <e v="#N/A"/>
    <n v="29"/>
    <n v="29"/>
    <e v="#N/A"/>
    <e v="#N/A"/>
    <m/>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2-11T00:00:00"/>
    <s v="ZBTO"/>
    <n v="9518510681"/>
    <n v="3"/>
    <s v="9518510681-3"/>
    <m/>
    <s v="Mar'25"/>
    <s v="Released orders"/>
    <x v="1"/>
    <x v="1"/>
    <s v="2000-BPRS"/>
    <m/>
    <x v="0"/>
    <s v="Mar"/>
    <m/>
    <m/>
    <m/>
    <s v="KANPUR"/>
    <m/>
    <n v="115841"/>
    <s v="O.V.S. ISPAT UDYOG"/>
    <n v="3240806"/>
    <s v="CRCA SHEET TSBCRC SR15 0.800X1250X1930"/>
    <s v=" "/>
    <s v=""/>
    <n v="0"/>
    <n v="0"/>
    <s v="Wider"/>
    <s v="C06"/>
    <s v="TSBCRC"/>
    <s v="SR15"/>
    <n v="0.8"/>
    <n v="1250"/>
    <n v="1930"/>
    <n v="33"/>
    <n v="0"/>
    <n v="33"/>
    <n v="33"/>
    <n v="0"/>
    <n v="33"/>
    <m/>
    <m/>
    <n v="33"/>
    <n v="33"/>
    <n v="0"/>
    <n v="36.96"/>
    <n v="0"/>
    <n v="0"/>
    <n v="0"/>
    <n v="0"/>
    <n v="0"/>
    <n v="0"/>
    <n v="0"/>
    <n v="0"/>
    <n v="0"/>
    <n v="0"/>
    <n v="0"/>
    <n v="0"/>
    <n v="0"/>
    <n v="0"/>
    <n v="0"/>
    <n v="0"/>
    <n v="0"/>
    <n v="0"/>
    <n v="0"/>
    <n v="0"/>
    <n v="0"/>
    <n v="0"/>
    <n v="0"/>
    <n v="0"/>
    <n v="33"/>
    <n v="0"/>
    <n v="0"/>
    <n v="0"/>
    <n v="33"/>
    <n v="0"/>
    <n v="33"/>
    <n v="0"/>
    <n v="0"/>
    <n v="0"/>
    <n v="0"/>
    <n v="33"/>
    <n v="0"/>
    <m/>
    <m/>
    <m/>
    <m/>
    <m/>
    <m/>
    <m/>
    <m/>
    <m/>
    <m/>
    <m/>
    <m/>
    <m/>
    <m/>
    <m/>
    <m/>
    <m/>
    <m/>
    <m/>
    <m/>
    <m/>
    <m/>
    <m/>
    <m/>
    <m/>
    <m/>
    <m/>
    <m/>
    <m/>
    <m/>
    <m/>
    <m/>
    <m/>
    <m/>
  </r>
  <r>
    <n v="742"/>
    <d v="2025-02-05T00:00:00"/>
    <s v="ZBTO"/>
    <n v="9518495920"/>
    <n v="8"/>
    <s v="9518495920-8"/>
    <m/>
    <s v="Mar'25"/>
    <s v="Released orders"/>
    <x v="1"/>
    <x v="1"/>
    <n v="2000"/>
    <m/>
    <x v="0"/>
    <s v="Mar"/>
    <m/>
    <s v="Uttar Pradesh"/>
    <m/>
    <m/>
    <m/>
    <n v="931525"/>
    <s v="INDIA STEEL INDUSTRIES"/>
    <n v="3765561"/>
    <s v="CRCA SHEET TSBCRC SR15 0.700X1000X1930"/>
    <s v=""/>
    <s v=""/>
    <m/>
    <m/>
    <s v="Narrow"/>
    <s v="C06"/>
    <s v="TSBCRC"/>
    <s v="SR15"/>
    <n v="0.7"/>
    <n v="1000"/>
    <n v="1930"/>
    <n v="27"/>
    <n v="0"/>
    <n v="27"/>
    <n v="27"/>
    <n v="0"/>
    <n v="27"/>
    <m/>
    <m/>
    <n v="27"/>
    <n v="27"/>
    <n v="0"/>
    <n v="30.240000000000002"/>
    <n v="0"/>
    <n v="0"/>
    <n v="0"/>
    <n v="0"/>
    <n v="0"/>
    <n v="0"/>
    <n v="0"/>
    <n v="0"/>
    <n v="0"/>
    <n v="0"/>
    <n v="0"/>
    <n v="0"/>
    <n v="0"/>
    <n v="0"/>
    <n v="0"/>
    <n v="0"/>
    <n v="0"/>
    <n v="0"/>
    <n v="0"/>
    <n v="0"/>
    <n v="0"/>
    <n v="0"/>
    <n v="0"/>
    <n v="0"/>
    <n v="27"/>
    <n v="0"/>
    <n v="0"/>
    <n v="0"/>
    <n v="27"/>
    <n v="0"/>
    <n v="27"/>
    <n v="0"/>
    <n v="0"/>
    <n v="0"/>
    <n v="0"/>
    <n v="27"/>
    <n v="0"/>
    <m/>
    <m/>
    <m/>
    <m/>
    <m/>
    <m/>
    <m/>
    <m/>
    <m/>
    <m/>
    <m/>
    <m/>
    <m/>
    <m/>
    <m/>
    <m/>
    <m/>
    <m/>
    <m/>
    <m/>
    <m/>
    <m/>
    <m/>
    <m/>
    <m/>
    <m/>
    <m/>
    <m/>
    <m/>
    <m/>
    <m/>
    <m/>
    <m/>
    <m/>
  </r>
  <r>
    <n v="742"/>
    <d v="2025-02-05T00:00:00"/>
    <s v="ZBTO"/>
    <n v="9518495920"/>
    <n v="9"/>
    <s v="9518495920-9"/>
    <m/>
    <s v="Mar'25 additional"/>
    <s v="Released orders"/>
    <x v="1"/>
    <x v="1"/>
    <n v="2000"/>
    <m/>
    <x v="1"/>
    <m/>
    <s v="De-prioritized due to narrow HR unavailability"/>
    <s v="Uttar Pradesh"/>
    <m/>
    <m/>
    <m/>
    <n v="931525"/>
    <s v="INDIA STEEL INDUSTRIES"/>
    <n v="3409561"/>
    <s v="CRCA SHEET TSBCRC SR15 0.600X1000X1930"/>
    <s v=""/>
    <s v=""/>
    <m/>
    <m/>
    <s v="Narrow"/>
    <s v="C06"/>
    <s v="TSBCRC"/>
    <s v="SR15"/>
    <n v="0.6"/>
    <n v="1000"/>
    <n v="1930"/>
    <n v="27"/>
    <n v="0"/>
    <n v="27"/>
    <n v="27"/>
    <e v="#N/A"/>
    <e v="#N/A"/>
    <m/>
    <n v="0"/>
    <n v="27"/>
    <n v="27"/>
    <n v="0"/>
    <n v="30.24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1-02T00:00:00"/>
    <s v="ZBTO"/>
    <n v="9518400185"/>
    <n v="1"/>
    <s v="9518400185-1"/>
    <m/>
    <s v="Mar'25"/>
    <s v="Released orders"/>
    <x v="1"/>
    <x v="15"/>
    <s v="2000-BPRS"/>
    <m/>
    <x v="0"/>
    <s v="Mar"/>
    <m/>
    <m/>
    <s v="East"/>
    <s v="JSR"/>
    <m/>
    <n v="155536"/>
    <s v="TATA STEEL DOWNSTREAM PRODUCTS LIMI"/>
    <n v="2420518"/>
    <s v="CRCA COIL TATXXD AH03 1X1250"/>
    <s v=" "/>
    <s v=""/>
    <n v="13"/>
    <n v="29"/>
    <s v="Wider"/>
    <s v="C01"/>
    <s v="TATXXD"/>
    <s v="AH03"/>
    <n v="1"/>
    <n v="1250"/>
    <n v="0"/>
    <n v="116"/>
    <n v="95.474999999999994"/>
    <n v="20.524999999999999"/>
    <n v="20.524999999999999"/>
    <n v="0"/>
    <n v="20.524999999999999"/>
    <m/>
    <m/>
    <n v="20.524999999999999"/>
    <n v="20.524999999999999"/>
    <n v="0"/>
    <n v="22.988"/>
    <n v="0"/>
    <n v="0"/>
    <n v="0"/>
    <n v="0"/>
    <n v="0"/>
    <n v="0"/>
    <n v="0"/>
    <n v="0"/>
    <n v="0"/>
    <n v="0"/>
    <n v="0"/>
    <n v="0"/>
    <n v="0"/>
    <n v="0"/>
    <n v="0"/>
    <n v="0"/>
    <n v="0"/>
    <n v="0"/>
    <n v="0"/>
    <n v="0"/>
    <n v="0"/>
    <n v="0"/>
    <n v="0"/>
    <n v="0"/>
    <n v="20.524999999999999"/>
    <n v="0"/>
    <n v="20.524999999999999"/>
    <n v="0"/>
    <n v="0"/>
    <n v="0"/>
    <n v="20.524999999999999"/>
    <n v="0"/>
    <n v="0"/>
    <n v="20.524999999999999"/>
    <n v="0"/>
    <n v="0"/>
    <n v="0"/>
    <n v="0"/>
    <n v="0"/>
    <n v="0"/>
    <n v="0"/>
    <n v="0"/>
    <n v="0"/>
    <m/>
    <m/>
    <m/>
    <m/>
    <m/>
    <m/>
    <m/>
    <m/>
    <m/>
    <s v="1"/>
    <s v="0"/>
    <s v="1"/>
    <s v="1"/>
    <s v="1"/>
    <m/>
    <m/>
    <m/>
    <m/>
    <m/>
    <m/>
    <m/>
    <m/>
    <m/>
    <m/>
    <m/>
    <m/>
    <m/>
    <m/>
  </r>
  <r>
    <n v="742"/>
    <d v="2025-02-20T00:00:00"/>
    <s v="ZBTO"/>
    <n v="9518535833"/>
    <n v="27"/>
    <s v="9518535833-27"/>
    <m/>
    <s v="Mar'25"/>
    <s v="Released orders"/>
    <x v="1"/>
    <x v="1"/>
    <s v="2000-BPRS"/>
    <m/>
    <x v="0"/>
    <s v="Mar"/>
    <m/>
    <m/>
    <m/>
    <s v="CHENNAI"/>
    <m/>
    <n v="938550"/>
    <s v="BASEER AND CO"/>
    <n v="3240837"/>
    <s v="CRCA SHEET TSBCRC SR15 1X1250X2500"/>
    <s v=" "/>
    <s v=""/>
    <n v="0"/>
    <n v="0"/>
    <s v="Wider"/>
    <s v="C06"/>
    <s v="TSBCRC"/>
    <s v="SR15"/>
    <n v="1"/>
    <n v="1250"/>
    <n v="2500"/>
    <n v="30"/>
    <n v="0"/>
    <n v="30"/>
    <n v="30"/>
    <n v="0"/>
    <n v="30"/>
    <m/>
    <m/>
    <n v="30"/>
    <n v="30"/>
    <n v="0"/>
    <n v="33.6"/>
    <n v="0"/>
    <n v="0"/>
    <n v="0"/>
    <n v="0"/>
    <n v="0"/>
    <n v="0"/>
    <n v="0"/>
    <n v="0"/>
    <n v="0"/>
    <n v="0"/>
    <n v="0"/>
    <n v="0"/>
    <n v="0"/>
    <n v="0"/>
    <n v="0"/>
    <n v="0"/>
    <n v="0"/>
    <n v="0"/>
    <n v="0"/>
    <n v="0"/>
    <n v="0"/>
    <n v="0"/>
    <n v="0"/>
    <n v="0"/>
    <n v="30"/>
    <n v="0"/>
    <n v="0"/>
    <n v="0"/>
    <n v="30"/>
    <n v="0"/>
    <n v="30"/>
    <n v="0"/>
    <n v="0"/>
    <n v="0"/>
    <n v="0"/>
    <n v="30"/>
    <n v="0"/>
    <m/>
    <m/>
    <m/>
    <m/>
    <m/>
    <m/>
    <m/>
    <m/>
    <m/>
    <m/>
    <m/>
    <m/>
    <m/>
    <m/>
    <m/>
    <m/>
    <m/>
    <m/>
    <m/>
    <m/>
    <m/>
    <m/>
    <m/>
    <m/>
    <m/>
    <m/>
    <m/>
    <m/>
    <m/>
    <m/>
    <m/>
    <m/>
    <m/>
    <m/>
  </r>
  <r>
    <n v="742"/>
    <d v="2025-02-14T00:00:00"/>
    <s v="ZBTO"/>
    <n v="9518518906"/>
    <n v="5"/>
    <s v="9518518906-5"/>
    <m/>
    <s v="Mar'25"/>
    <s v="Released orders"/>
    <x v="1"/>
    <x v="1"/>
    <n v="2000"/>
    <m/>
    <x v="0"/>
    <s v="Mar"/>
    <m/>
    <s v="Uttar Pradesh"/>
    <m/>
    <m/>
    <m/>
    <n v="931525"/>
    <s v="INDIA STEEL INDUSTRIES"/>
    <n v="3409561"/>
    <s v="CRCA SHEET TSBCRC SR15 0.600X1000X1930"/>
    <s v=""/>
    <s v=""/>
    <m/>
    <m/>
    <s v="Narrow"/>
    <s v="C06"/>
    <s v="TSBCRC"/>
    <s v="SR15"/>
    <n v="0.6"/>
    <n v="1000"/>
    <n v="1930"/>
    <n v="33"/>
    <n v="0"/>
    <n v="33"/>
    <n v="33"/>
    <e v="#N/A"/>
    <e v="#N/A"/>
    <m/>
    <n v="0"/>
    <n v="33"/>
    <n v="33"/>
    <n v="0"/>
    <n v="36.96"/>
    <n v="0"/>
    <n v="0"/>
    <n v="0"/>
    <n v="0"/>
    <n v="0"/>
    <n v="0"/>
    <n v="0"/>
    <n v="0"/>
    <n v="0"/>
    <n v="0"/>
    <n v="0"/>
    <n v="0"/>
    <n v="0"/>
    <n v="0"/>
    <n v="0"/>
    <n v="0"/>
    <n v="0"/>
    <n v="0"/>
    <n v="0"/>
    <n v="0"/>
    <n v="0"/>
    <n v="0"/>
    <n v="0"/>
    <n v="0"/>
    <n v="33"/>
    <n v="0"/>
    <n v="0"/>
    <n v="0"/>
    <n v="33"/>
    <n v="0"/>
    <n v="33"/>
    <n v="0"/>
    <n v="0"/>
    <n v="0"/>
    <n v="0"/>
    <n v="33"/>
    <n v="0"/>
    <m/>
    <m/>
    <m/>
    <m/>
    <m/>
    <m/>
    <m/>
    <m/>
    <m/>
    <m/>
    <m/>
    <m/>
    <m/>
    <m/>
    <m/>
    <m/>
    <m/>
    <m/>
    <m/>
    <m/>
    <m/>
    <m/>
    <m/>
    <m/>
    <m/>
    <m/>
    <m/>
    <m/>
    <m/>
    <m/>
    <m/>
    <m/>
    <m/>
    <m/>
  </r>
  <r>
    <n v="743"/>
    <d v="2025-02-06T00:00:00"/>
    <s v="ZBTO"/>
    <n v="9518498761"/>
    <n v="5"/>
    <s v="9518498761-5"/>
    <m/>
    <s v="Mar'25"/>
    <s v="Released orders"/>
    <x v="2"/>
    <x v="2"/>
    <n v="2000"/>
    <m/>
    <x v="1"/>
    <m/>
    <s v="De-prioritized due to narrow HR unavailability"/>
    <s v="Jharkhand"/>
    <m/>
    <m/>
    <m/>
    <n v="121328"/>
    <s v="R. S. BOKARO METAL (P) LTD."/>
    <n v="1178439"/>
    <s v="GP COIL SOFT-TATXGP-GK09-0.4X900"/>
    <n v="80"/>
    <s v=""/>
    <m/>
    <m/>
    <s v="Narrow"/>
    <s v="C02"/>
    <s v="TATXGP"/>
    <s v="GK09"/>
    <n v="0.4"/>
    <n v="900"/>
    <n v="0"/>
    <n v="126"/>
    <n v="0"/>
    <n v="126"/>
    <n v="126"/>
    <n v="0"/>
    <n v="126"/>
    <m/>
    <m/>
    <n v="126"/>
    <n v="126"/>
    <n v="0"/>
    <n v="141.12"/>
    <n v="0"/>
    <n v="0"/>
    <n v="0"/>
    <n v="0"/>
    <n v="0"/>
    <n v="0"/>
    <n v="0"/>
    <n v="0"/>
    <n v="0"/>
    <n v="0"/>
    <n v="0"/>
    <n v="0"/>
    <n v="0"/>
    <n v="0"/>
    <n v="0"/>
    <n v="0"/>
    <n v="0"/>
    <n v="0"/>
    <n v="0"/>
    <n v="0"/>
    <n v="0"/>
    <n v="0"/>
    <n v="0"/>
    <n v="0"/>
    <n v="0"/>
    <n v="0"/>
    <n v="0"/>
    <n v="0"/>
    <n v="0"/>
    <n v="0"/>
    <n v="0"/>
    <n v="0"/>
    <n v="0"/>
    <n v="0"/>
    <n v="0"/>
    <n v="0"/>
    <n v="0"/>
    <m/>
    <m/>
    <m/>
    <m/>
    <m/>
    <m/>
    <m/>
    <m/>
    <m/>
    <m/>
    <m/>
    <m/>
    <m/>
    <m/>
    <m/>
    <m/>
    <m/>
    <m/>
    <m/>
    <m/>
    <m/>
    <m/>
    <m/>
    <m/>
    <m/>
    <m/>
    <m/>
    <m/>
    <m/>
    <m/>
    <m/>
    <m/>
    <m/>
    <m/>
  </r>
  <r>
    <n v="743"/>
    <d v="2025-01-13T00:00:00"/>
    <s v="ZBTO"/>
    <n v="9518424820"/>
    <n v="5"/>
    <s v="9518424820-5"/>
    <m/>
    <s v="Mar'25"/>
    <s v="Released orders"/>
    <x v="2"/>
    <x v="2"/>
    <n v="2000"/>
    <m/>
    <x v="0"/>
    <m/>
    <m/>
    <s v="West Bengal"/>
    <s v="East"/>
    <m/>
    <m/>
    <n v="100922"/>
    <s v="BUBNA COMMERCIAL COMPANY"/>
    <n v="1853143"/>
    <s v="GP COIL SOFT-TATXGP-GLK1-0.4X900"/>
    <s v=""/>
    <s v=""/>
    <m/>
    <m/>
    <s v="Narrow"/>
    <s v="C02"/>
    <s v="TATXGP"/>
    <s v="GLK1"/>
    <n v="0.4"/>
    <n v="900"/>
    <n v="0"/>
    <n v="147"/>
    <n v="5.01"/>
    <n v="141.99"/>
    <n v="141.99"/>
    <n v="4.1100000000000003"/>
    <n v="137.88"/>
    <m/>
    <m/>
    <n v="141.99"/>
    <n v="141.99"/>
    <n v="0"/>
    <n v="154.4256"/>
    <n v="0"/>
    <n v="0"/>
    <n v="0"/>
    <n v="0"/>
    <n v="0"/>
    <n v="0"/>
    <n v="0"/>
    <n v="0"/>
    <n v="0"/>
    <n v="0"/>
    <n v="0"/>
    <n v="0"/>
    <n v="0"/>
    <n v="0"/>
    <n v="0"/>
    <n v="0"/>
    <n v="0"/>
    <n v="4.1100000000000003"/>
    <n v="4.1100000000000003"/>
    <n v="4.1100000000000003"/>
    <n v="0"/>
    <n v="4.1100000000000003"/>
    <n v="4.1100000000000003"/>
    <n v="0"/>
    <n v="141.99"/>
    <n v="0"/>
    <n v="0"/>
    <n v="0"/>
    <n v="0"/>
    <n v="141.99"/>
    <n v="0"/>
    <n v="0"/>
    <n v="0"/>
    <n v="0"/>
    <n v="0"/>
    <n v="0"/>
    <n v="141.99"/>
    <n v="0"/>
    <n v="0"/>
    <n v="0"/>
    <n v="0"/>
    <n v="0"/>
    <n v="0"/>
    <m/>
    <m/>
    <m/>
    <m/>
    <m/>
    <m/>
    <m/>
    <m/>
    <m/>
    <s v="1"/>
    <s v="1"/>
    <s v="1"/>
    <s v="1"/>
    <s v="0"/>
    <m/>
    <m/>
    <m/>
    <m/>
    <m/>
    <m/>
    <m/>
    <m/>
    <m/>
    <m/>
    <m/>
    <m/>
    <m/>
    <m/>
  </r>
  <r>
    <n v="743"/>
    <d v="2025-02-19T00:00:00"/>
    <s v="ZBTO"/>
    <n v="9518532816"/>
    <n v="3"/>
    <s v="9518532816-3"/>
    <m/>
    <s v="Mar'25"/>
    <s v="Released orders"/>
    <x v="2"/>
    <x v="2"/>
    <n v="2000"/>
    <m/>
    <x v="0"/>
    <m/>
    <m/>
    <s v="Jharkhand"/>
    <m/>
    <m/>
    <m/>
    <n v="121328"/>
    <s v="R. S. BOKARO METAL (P) LTD."/>
    <n v="1178439"/>
    <s v="GP COIL SOFT-TATXGP-GK09-0.4X900"/>
    <n v="80"/>
    <s v=""/>
    <m/>
    <m/>
    <s v="Narrow"/>
    <s v="C02"/>
    <s v="TATXGP"/>
    <s v="GK09"/>
    <n v="0.4"/>
    <n v="900"/>
    <n v="0"/>
    <n v="147"/>
    <n v="0"/>
    <n v="147"/>
    <n v="147"/>
    <n v="0"/>
    <n v="147"/>
    <m/>
    <m/>
    <n v="147"/>
    <n v="147"/>
    <n v="0"/>
    <n v="164.64000000000001"/>
    <n v="0"/>
    <n v="0"/>
    <n v="0"/>
    <n v="0"/>
    <n v="0"/>
    <n v="0"/>
    <n v="0"/>
    <n v="0"/>
    <n v="0"/>
    <n v="0"/>
    <n v="0"/>
    <n v="0"/>
    <n v="0"/>
    <n v="0"/>
    <n v="0"/>
    <n v="0"/>
    <n v="0"/>
    <n v="0"/>
    <n v="0"/>
    <n v="0"/>
    <n v="0"/>
    <n v="0"/>
    <n v="0"/>
    <n v="0"/>
    <n v="147"/>
    <n v="0"/>
    <n v="0"/>
    <n v="147"/>
    <n v="0"/>
    <n v="0"/>
    <n v="147"/>
    <n v="0"/>
    <n v="0"/>
    <n v="0"/>
    <n v="147"/>
    <n v="0"/>
    <n v="0"/>
    <m/>
    <m/>
    <m/>
    <m/>
    <m/>
    <m/>
    <m/>
    <m/>
    <m/>
    <m/>
    <m/>
    <m/>
    <m/>
    <m/>
    <m/>
    <m/>
    <m/>
    <m/>
    <m/>
    <m/>
    <m/>
    <m/>
    <m/>
    <m/>
    <m/>
    <m/>
    <m/>
    <m/>
    <m/>
    <m/>
    <m/>
    <m/>
    <m/>
    <m/>
  </r>
  <r>
    <n v="743"/>
    <d v="2025-02-10T00:00:00"/>
    <s v="ZBTO"/>
    <n v="9518508377"/>
    <n v="6"/>
    <s v="9518508377-6"/>
    <m/>
    <s v="Mar'25"/>
    <s v="Released orders"/>
    <x v="2"/>
    <x v="2"/>
    <n v="2000"/>
    <m/>
    <x v="0"/>
    <m/>
    <m/>
    <s v="Jharkhand"/>
    <m/>
    <m/>
    <m/>
    <n v="185794"/>
    <s v="Shree Bajrang Steel Udyog"/>
    <n v="1178439"/>
    <s v="GP COIL SOFT-TATXGP-GK09-0.4X900"/>
    <n v="80"/>
    <s v=""/>
    <m/>
    <m/>
    <s v="Narrow"/>
    <s v="C02"/>
    <s v="TATXGP"/>
    <s v="GK09"/>
    <n v="0.4"/>
    <n v="900"/>
    <n v="0"/>
    <n v="147"/>
    <n v="0"/>
    <n v="147"/>
    <n v="147"/>
    <n v="0"/>
    <n v="147"/>
    <m/>
    <m/>
    <n v="147"/>
    <n v="147"/>
    <n v="0"/>
    <n v="164.64000000000001"/>
    <n v="0"/>
    <n v="0"/>
    <n v="0"/>
    <n v="0"/>
    <n v="0"/>
    <n v="0"/>
    <n v="0"/>
    <n v="0"/>
    <n v="0"/>
    <n v="0"/>
    <n v="0"/>
    <n v="0"/>
    <n v="0"/>
    <n v="0"/>
    <n v="0"/>
    <n v="0"/>
    <n v="0"/>
    <n v="0"/>
    <n v="0"/>
    <n v="0"/>
    <n v="0"/>
    <n v="0"/>
    <n v="0"/>
    <n v="0"/>
    <n v="147"/>
    <n v="0"/>
    <n v="0"/>
    <n v="147"/>
    <n v="0"/>
    <n v="0"/>
    <n v="147"/>
    <n v="0"/>
    <n v="0"/>
    <n v="0"/>
    <n v="147"/>
    <n v="0"/>
    <n v="0"/>
    <m/>
    <m/>
    <m/>
    <m/>
    <m/>
    <m/>
    <m/>
    <m/>
    <m/>
    <m/>
    <m/>
    <m/>
    <m/>
    <m/>
    <m/>
    <m/>
    <m/>
    <m/>
    <m/>
    <m/>
    <m/>
    <m/>
    <m/>
    <m/>
    <m/>
    <m/>
    <m/>
    <m/>
    <m/>
    <m/>
    <m/>
    <m/>
    <m/>
    <m/>
  </r>
  <r>
    <n v="743"/>
    <d v="2025-02-10T00:00:00"/>
    <s v="ZBTO"/>
    <n v="9518508377"/>
    <n v="7"/>
    <s v="9518508377-7"/>
    <m/>
    <s v="Mar'25"/>
    <s v="Released orders"/>
    <x v="2"/>
    <x v="2"/>
    <n v="2000"/>
    <m/>
    <x v="0"/>
    <m/>
    <m/>
    <s v="Jharkhand"/>
    <m/>
    <m/>
    <m/>
    <n v="185794"/>
    <s v="Shree Bajrang Steel Udyog"/>
    <n v="1178439"/>
    <s v="GP COIL SOFT-TATXGP-GK09-0.4X900"/>
    <n v="80"/>
    <s v=""/>
    <m/>
    <m/>
    <s v="Narrow"/>
    <s v="C02"/>
    <s v="TATXGP"/>
    <s v="GK09"/>
    <n v="0.4"/>
    <n v="900"/>
    <n v="0"/>
    <n v="147"/>
    <n v="0"/>
    <n v="147"/>
    <n v="147"/>
    <n v="0"/>
    <n v="147"/>
    <m/>
    <m/>
    <n v="147"/>
    <n v="147"/>
    <n v="0"/>
    <n v="164.64000000000001"/>
    <n v="0"/>
    <n v="0"/>
    <n v="0"/>
    <n v="0"/>
    <n v="0"/>
    <n v="0"/>
    <n v="0"/>
    <n v="0"/>
    <n v="0"/>
    <n v="0"/>
    <n v="0"/>
    <n v="0"/>
    <n v="0"/>
    <n v="0"/>
    <n v="0"/>
    <n v="0"/>
    <n v="0"/>
    <n v="0"/>
    <n v="0"/>
    <n v="0"/>
    <n v="0"/>
    <n v="0"/>
    <n v="0"/>
    <n v="0"/>
    <n v="147"/>
    <n v="0"/>
    <n v="0"/>
    <n v="147"/>
    <n v="0"/>
    <n v="0"/>
    <n v="147"/>
    <n v="0"/>
    <n v="0"/>
    <n v="0"/>
    <n v="147"/>
    <n v="0"/>
    <n v="0"/>
    <m/>
    <m/>
    <m/>
    <m/>
    <m/>
    <m/>
    <m/>
    <m/>
    <m/>
    <m/>
    <m/>
    <m/>
    <m/>
    <m/>
    <m/>
    <m/>
    <m/>
    <m/>
    <m/>
    <m/>
    <m/>
    <m/>
    <m/>
    <m/>
    <m/>
    <m/>
    <m/>
    <m/>
    <m/>
    <m/>
    <m/>
    <m/>
    <m/>
    <m/>
  </r>
  <r>
    <n v="743"/>
    <d v="2025-02-03T00:00:00"/>
    <s v="ZBTO"/>
    <n v="9518490997"/>
    <n v="1"/>
    <s v="9518490997-1"/>
    <m/>
    <s v="Mar'25"/>
    <s v="Released orders"/>
    <x v="2"/>
    <x v="2"/>
    <n v="2000"/>
    <m/>
    <x v="1"/>
    <m/>
    <s v="Deprioritized due to narrow HR unavailability"/>
    <s v="Uttar Pradesh"/>
    <m/>
    <m/>
    <m/>
    <n v="938789"/>
    <s v="JAIN STEEL DISTRIBUTORS"/>
    <n v="1178439"/>
    <s v="GP COIL SOFT-TATXGP-GK09-0.4X900"/>
    <n v="80"/>
    <s v=""/>
    <m/>
    <m/>
    <s v="Narrow"/>
    <s v="C02"/>
    <s v="TATXGP"/>
    <s v="GK09"/>
    <n v="0.4"/>
    <n v="900"/>
    <n v="0"/>
    <n v="210"/>
    <n v="0"/>
    <n v="210"/>
    <n v="210"/>
    <n v="0"/>
    <n v="210"/>
    <m/>
    <m/>
    <n v="210"/>
    <n v="210"/>
    <n v="0"/>
    <n v="235.20000000000002"/>
    <n v="0"/>
    <n v="0"/>
    <n v="0"/>
    <n v="0"/>
    <n v="0"/>
    <n v="0"/>
    <n v="0"/>
    <n v="0"/>
    <n v="0"/>
    <n v="0"/>
    <n v="0"/>
    <n v="0"/>
    <n v="0"/>
    <n v="0"/>
    <n v="0"/>
    <n v="0"/>
    <n v="0"/>
    <n v="0"/>
    <n v="0"/>
    <n v="0"/>
    <n v="0"/>
    <n v="0"/>
    <n v="0"/>
    <n v="0"/>
    <n v="0"/>
    <n v="0"/>
    <n v="0"/>
    <n v="0"/>
    <n v="0"/>
    <n v="0"/>
    <n v="0"/>
    <n v="0"/>
    <n v="0"/>
    <n v="0"/>
    <n v="0"/>
    <n v="0"/>
    <n v="0"/>
    <m/>
    <m/>
    <m/>
    <m/>
    <m/>
    <m/>
    <m/>
    <m/>
    <m/>
    <m/>
    <m/>
    <m/>
    <m/>
    <m/>
    <m/>
    <m/>
    <m/>
    <m/>
    <m/>
    <m/>
    <m/>
    <m/>
    <m/>
    <m/>
    <m/>
    <m/>
    <m/>
    <m/>
    <m/>
    <m/>
    <m/>
    <m/>
    <m/>
    <m/>
  </r>
  <r>
    <n v="743"/>
    <d v="2025-02-14T00:00:00"/>
    <s v="ZBTO"/>
    <n v="9518519620"/>
    <n v="3"/>
    <s v="9518519620-3"/>
    <m/>
    <s v="Mar'25"/>
    <s v="Released orders"/>
    <x v="2"/>
    <x v="2"/>
    <n v="2000"/>
    <m/>
    <x v="0"/>
    <m/>
    <m/>
    <s v="Bihar"/>
    <m/>
    <m/>
    <m/>
    <n v="103227"/>
    <s v="BMW VENTURES LIMITED"/>
    <n v="1178439"/>
    <s v="GP COIL SOFT-TATXGP-GK09-0.4X900"/>
    <n v="80"/>
    <s v=""/>
    <m/>
    <m/>
    <s v="Narrow"/>
    <s v="C02"/>
    <s v="TATXGP"/>
    <s v="GK09"/>
    <n v="0.4"/>
    <n v="900"/>
    <n v="0"/>
    <n v="294"/>
    <n v="0"/>
    <n v="294"/>
    <n v="294"/>
    <n v="0"/>
    <n v="294"/>
    <m/>
    <m/>
    <n v="294"/>
    <n v="294"/>
    <n v="0"/>
    <n v="329.28000000000003"/>
    <n v="0"/>
    <n v="0"/>
    <n v="0"/>
    <n v="0"/>
    <n v="0"/>
    <n v="0"/>
    <n v="0"/>
    <n v="0"/>
    <n v="0"/>
    <n v="0"/>
    <n v="0"/>
    <n v="0"/>
    <n v="0"/>
    <n v="0"/>
    <n v="0"/>
    <n v="0"/>
    <n v="0"/>
    <n v="0"/>
    <n v="0"/>
    <n v="0"/>
    <n v="0"/>
    <n v="0"/>
    <n v="0"/>
    <n v="0"/>
    <n v="294"/>
    <n v="0"/>
    <n v="0"/>
    <n v="294"/>
    <n v="0"/>
    <n v="0"/>
    <n v="294"/>
    <n v="0"/>
    <n v="0"/>
    <n v="0"/>
    <n v="294"/>
    <n v="0"/>
    <n v="0"/>
    <m/>
    <m/>
    <m/>
    <m/>
    <m/>
    <m/>
    <m/>
    <m/>
    <m/>
    <m/>
    <m/>
    <m/>
    <m/>
    <m/>
    <m/>
    <m/>
    <m/>
    <m/>
    <m/>
    <m/>
    <m/>
    <m/>
    <m/>
    <m/>
    <m/>
    <m/>
    <m/>
    <m/>
    <m/>
    <m/>
    <m/>
    <m/>
    <m/>
    <m/>
  </r>
  <r>
    <n v="743"/>
    <d v="2025-02-04T00:00:00"/>
    <s v="ZBTO"/>
    <n v="9518493782"/>
    <n v="3"/>
    <s v="9518493782-3"/>
    <m/>
    <s v="No Priority"/>
    <s v="Failed orders"/>
    <x v="2"/>
    <x v="2"/>
    <n v="2000"/>
    <m/>
    <x v="1"/>
    <m/>
    <m/>
    <s v="Orissa"/>
    <m/>
    <m/>
    <m/>
    <n v="117061"/>
    <s v="BHARTIA  DISTRIBUTORS PVT. LTD"/>
    <n v="3484326"/>
    <s v="GP SH SOFT TATXGP GK09 0.400X900X2500"/>
    <n v="80"/>
    <s v=""/>
    <m/>
    <m/>
    <s v="Narrow"/>
    <s v="B11"/>
    <s v="TATXGP"/>
    <s v="GK09"/>
    <n v="0.4"/>
    <n v="900"/>
    <n v="0"/>
    <n v="80"/>
    <e v="#N/A"/>
    <n v="80"/>
    <n v="80"/>
    <e v="#N/A"/>
    <e v="#N/A"/>
    <m/>
    <m/>
    <n v="80"/>
    <n v="0"/>
    <n v="0"/>
    <n v="89.600000000000009"/>
    <n v="0"/>
    <n v="0"/>
    <n v="0"/>
    <n v="0"/>
    <n v="0"/>
    <n v="0"/>
    <n v="0"/>
    <n v="0"/>
    <n v="0"/>
    <n v="0"/>
    <n v="0"/>
    <n v="0"/>
    <n v="0"/>
    <n v="0"/>
    <n v="0"/>
    <n v="0"/>
    <n v="0"/>
    <n v="0"/>
    <n v="0"/>
    <n v="0"/>
    <n v="0"/>
    <n v="0"/>
    <n v="0"/>
    <n v="0"/>
    <n v="0"/>
    <n v="0"/>
    <n v="0"/>
    <n v="0"/>
    <n v="0"/>
    <n v="0"/>
    <n v="0"/>
    <n v="0"/>
    <n v="0"/>
    <n v="0"/>
    <n v="0"/>
    <n v="0"/>
    <n v="0"/>
    <m/>
    <m/>
    <m/>
    <m/>
    <m/>
    <m/>
    <m/>
    <m/>
    <m/>
    <m/>
    <m/>
    <m/>
    <m/>
    <m/>
    <m/>
    <m/>
    <m/>
    <m/>
    <m/>
    <m/>
    <m/>
    <m/>
    <m/>
    <m/>
    <m/>
    <m/>
    <m/>
    <m/>
    <m/>
    <m/>
    <m/>
    <m/>
    <m/>
    <m/>
  </r>
  <r>
    <n v="743"/>
    <d v="2025-02-05T00:00:00"/>
    <s v="ZBTO"/>
    <n v="9518495843"/>
    <n v="3"/>
    <s v="9518495843-3"/>
    <m/>
    <s v="No Priority"/>
    <s v="Released orders"/>
    <x v="2"/>
    <x v="2"/>
    <n v="2000"/>
    <m/>
    <x v="1"/>
    <m/>
    <m/>
    <s v="West Bengal"/>
    <m/>
    <m/>
    <m/>
    <n v="100922"/>
    <s v="BUBNA COMMERCIAL COMPANY"/>
    <n v="1142894"/>
    <s v="GP COIL TATXGP GLK1 0.400X900"/>
    <s v=""/>
    <s v=""/>
    <m/>
    <m/>
    <s v="Narrow"/>
    <s v="C02"/>
    <s v="TATXGP"/>
    <s v="GLK1"/>
    <n v="0.4"/>
    <n v="900"/>
    <n v="0"/>
    <n v="105"/>
    <n v="0"/>
    <n v="105"/>
    <n v="105"/>
    <e v="#N/A"/>
    <e v="#N/A"/>
    <m/>
    <m/>
    <n v="105"/>
    <n v="21"/>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8325"/>
    <n v="3"/>
    <s v="9518528325-3"/>
    <m/>
    <s v="No Priority"/>
    <s v="Failed orders"/>
    <x v="2"/>
    <x v="2"/>
    <n v="2000"/>
    <m/>
    <x v="1"/>
    <m/>
    <m/>
    <s v="West Bengal"/>
    <m/>
    <m/>
    <m/>
    <n v="100922"/>
    <s v="BUBNA COMMERCIAL COMPANY"/>
    <n v="1142894"/>
    <s v="GP COIL TATXGP GLK1 0.400X900"/>
    <s v=""/>
    <s v=""/>
    <m/>
    <m/>
    <s v="Narrow"/>
    <s v="C02"/>
    <s v="TATXGP"/>
    <s v="GLK1"/>
    <n v="0.4"/>
    <n v="900"/>
    <n v="0"/>
    <n v="42"/>
    <e v="#N/A"/>
    <n v="42"/>
    <n v="42"/>
    <e v="#N/A"/>
    <e v="#N/A"/>
    <m/>
    <m/>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5-02-13T00:00:00"/>
    <s v="ZBTO"/>
    <n v="9518516069"/>
    <n v="2"/>
    <s v="9518516069-2"/>
    <m/>
    <s v="Mar'25"/>
    <s v="Released orders"/>
    <x v="2"/>
    <x v="2"/>
    <n v="2000"/>
    <m/>
    <x v="0"/>
    <m/>
    <m/>
    <s v="Uttar Pradesh"/>
    <m/>
    <m/>
    <m/>
    <n v="931235"/>
    <s v="K D J P STEELS PVT LTD"/>
    <n v="1178439"/>
    <s v="GP COIL SOFT-TATXGP-GK09-0.4X900"/>
    <n v="80"/>
    <s v=""/>
    <m/>
    <m/>
    <s v="Narrow"/>
    <s v="C02"/>
    <s v="TATXGP"/>
    <s v="GK09"/>
    <n v="0.4"/>
    <n v="900"/>
    <n v="0"/>
    <n v="105"/>
    <n v="0"/>
    <n v="105"/>
    <n v="105"/>
    <e v="#N/A"/>
    <e v="#N/A"/>
    <m/>
    <m/>
    <n v="105"/>
    <n v="105"/>
    <n v="0"/>
    <n v="117.60000000000001"/>
    <n v="0"/>
    <n v="0"/>
    <n v="0"/>
    <n v="0"/>
    <n v="0"/>
    <n v="0"/>
    <n v="0"/>
    <n v="0"/>
    <n v="0"/>
    <n v="0"/>
    <n v="0"/>
    <n v="0"/>
    <n v="0"/>
    <n v="0"/>
    <n v="0"/>
    <n v="0"/>
    <n v="0"/>
    <n v="0"/>
    <n v="0"/>
    <n v="0"/>
    <n v="0"/>
    <n v="0"/>
    <n v="0"/>
    <n v="0"/>
    <n v="105"/>
    <n v="0"/>
    <n v="0"/>
    <n v="0"/>
    <n v="0"/>
    <n v="105"/>
    <n v="0"/>
    <n v="0"/>
    <n v="0"/>
    <n v="0"/>
    <n v="0"/>
    <n v="0"/>
    <n v="105"/>
    <m/>
    <m/>
    <m/>
    <m/>
    <m/>
    <m/>
    <m/>
    <m/>
    <m/>
    <m/>
    <m/>
    <m/>
    <m/>
    <m/>
    <m/>
    <m/>
    <m/>
    <m/>
    <m/>
    <m/>
    <m/>
    <m/>
    <m/>
    <m/>
    <m/>
    <m/>
    <m/>
    <m/>
    <m/>
    <m/>
    <m/>
    <m/>
    <m/>
    <m/>
  </r>
  <r>
    <n v="743"/>
    <d v="2025-01-25T00:00:00"/>
    <s v="ZBTO"/>
    <n v="9518459972"/>
    <n v="5"/>
    <s v="9518459972-5"/>
    <m/>
    <s v="Stocks"/>
    <s v="Released orders"/>
    <x v="2"/>
    <x v="2"/>
    <n v="2000"/>
    <m/>
    <x v="0"/>
    <m/>
    <m/>
    <s v="Delhi"/>
    <m/>
    <m/>
    <m/>
    <n v="183259"/>
    <s v="Rakesh Steel Inds.(P) Ltd."/>
    <n v="1853143"/>
    <s v="GP COIL SOFT-TATXGP-GLK1-0.4X900"/>
    <n v="80"/>
    <s v=""/>
    <m/>
    <m/>
    <s v="Narrow"/>
    <s v="C02"/>
    <s v="TATXGP"/>
    <s v="GLK1"/>
    <n v="0.4"/>
    <n v="900"/>
    <n v="0"/>
    <n v="21"/>
    <n v="4.1100000000000003"/>
    <n v="21"/>
    <n v="21"/>
    <e v="#N/A"/>
    <e v="#N/A"/>
    <m/>
    <m/>
    <n v="21"/>
    <n v="16.89"/>
    <n v="0"/>
    <n v="23.520000000000003"/>
    <n v="0"/>
    <n v="0"/>
    <n v="0"/>
    <n v="0"/>
    <n v="0"/>
    <n v="0"/>
    <n v="0"/>
    <n v="0"/>
    <n v="0"/>
    <n v="0"/>
    <n v="0"/>
    <n v="0"/>
    <n v="0"/>
    <n v="0"/>
    <n v="0"/>
    <n v="0"/>
    <n v="0"/>
    <n v="0"/>
    <n v="0"/>
    <n v="0"/>
    <n v="0"/>
    <n v="0"/>
    <n v="0"/>
    <n v="4.1100000000000003"/>
    <n v="0"/>
    <n v="0"/>
    <n v="0"/>
    <n v="0"/>
    <n v="0"/>
    <n v="0"/>
    <n v="4.1100000000000003"/>
    <n v="0"/>
    <n v="4.1100000000000003"/>
    <n v="0"/>
    <n v="0"/>
    <n v="0"/>
    <n v="0"/>
    <m/>
    <m/>
    <m/>
    <m/>
    <m/>
    <m/>
    <m/>
    <m/>
    <m/>
    <m/>
    <m/>
    <m/>
    <m/>
    <m/>
    <m/>
    <m/>
    <m/>
    <m/>
    <m/>
    <m/>
    <m/>
    <m/>
    <m/>
    <m/>
    <m/>
    <m/>
    <m/>
    <m/>
    <m/>
    <m/>
    <m/>
    <m/>
    <m/>
    <m/>
  </r>
  <r>
    <n v="743"/>
    <d v="2025-02-05T00:00:00"/>
    <s v="ZBTO"/>
    <n v="9518495843"/>
    <n v="4"/>
    <s v="9518495843-4"/>
    <m/>
    <s v="No Priority"/>
    <s v="Failed orders"/>
    <x v="2"/>
    <x v="2"/>
    <n v="2000"/>
    <m/>
    <x v="1"/>
    <m/>
    <m/>
    <s v="West Bengal"/>
    <m/>
    <m/>
    <m/>
    <n v="100922"/>
    <s v="BUBNA COMMERCIAL COMPANY"/>
    <n v="1142414"/>
    <s v="GP COIL SOFT-TATXGP-GLK1-0.45X900"/>
    <s v=""/>
    <s v=""/>
    <m/>
    <m/>
    <s v="Narrow"/>
    <s v="C02"/>
    <s v="TATXGP"/>
    <s v="GLK1"/>
    <n v="0.45"/>
    <n v="900"/>
    <n v="0"/>
    <n v="63"/>
    <e v="#N/A"/>
    <n v="63"/>
    <n v="63"/>
    <e v="#N/A"/>
    <e v="#N/A"/>
    <m/>
    <m/>
    <n v="63"/>
    <n v="0"/>
    <n v="0"/>
    <n v="70.56"/>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8325"/>
    <n v="4"/>
    <s v="9518528325-4"/>
    <m/>
    <s v="No Priority"/>
    <s v="Failed orders"/>
    <x v="2"/>
    <x v="2"/>
    <n v="2000"/>
    <m/>
    <x v="1"/>
    <m/>
    <m/>
    <s v="West Bengal"/>
    <m/>
    <m/>
    <m/>
    <n v="100922"/>
    <s v="BUBNA COMMERCIAL COMPANY"/>
    <n v="1142414"/>
    <s v="GP COIL SOFT-TATXGP-GLK1-0.45X900"/>
    <s v=""/>
    <s v=""/>
    <m/>
    <m/>
    <s v="Narrow"/>
    <s v="C02"/>
    <s v="TATXGP"/>
    <s v="GLK1"/>
    <n v="0.45"/>
    <n v="900"/>
    <n v="0"/>
    <n v="42"/>
    <e v="#N/A"/>
    <n v="42"/>
    <n v="42"/>
    <e v="#N/A"/>
    <e v="#N/A"/>
    <m/>
    <m/>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5-02-06T00:00:00"/>
    <s v="ZBTO"/>
    <n v="9518498761"/>
    <n v="6"/>
    <s v="9518498761-6"/>
    <m/>
    <s v="No Priority"/>
    <s v="Released orders"/>
    <x v="2"/>
    <x v="2"/>
    <n v="2000"/>
    <m/>
    <x v="1"/>
    <m/>
    <m/>
    <s v="Jharkhand"/>
    <m/>
    <m/>
    <m/>
    <n v="121328"/>
    <s v="R. S. BOKARO METAL (P) LTD."/>
    <n v="1854413"/>
    <s v="GP COIL SOFT-TATXGP-GK09-0.45X900"/>
    <n v="80"/>
    <s v=""/>
    <m/>
    <m/>
    <s v="Narrow"/>
    <s v="C02"/>
    <s v="TATXGP"/>
    <s v="GK09"/>
    <n v="0.45"/>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2-19T00:00:00"/>
    <s v="ZBTO"/>
    <n v="9518532816"/>
    <n v="4"/>
    <s v="9518532816-4"/>
    <m/>
    <s v="No Priority"/>
    <s v="Released orders"/>
    <x v="2"/>
    <x v="2"/>
    <n v="2000"/>
    <m/>
    <x v="1"/>
    <m/>
    <m/>
    <s v="Jharkhand"/>
    <m/>
    <m/>
    <m/>
    <n v="121328"/>
    <s v="R. S. BOKARO METAL (P) LTD."/>
    <n v="1854413"/>
    <s v="GP COIL SOFT-TATXGP-GK09-0.45X900"/>
    <n v="80"/>
    <s v=""/>
    <m/>
    <m/>
    <s v="Narrow"/>
    <s v="C02"/>
    <s v="TATXGP"/>
    <s v="GK09"/>
    <n v="0.45"/>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2-10T00:00:00"/>
    <s v="ZBTO"/>
    <n v="9518508377"/>
    <n v="9"/>
    <s v="9518508377-9"/>
    <m/>
    <s v="No Priority"/>
    <s v="Released orders"/>
    <x v="2"/>
    <x v="2"/>
    <n v="2000"/>
    <m/>
    <x v="1"/>
    <m/>
    <m/>
    <s v="Jharkhand"/>
    <m/>
    <m/>
    <m/>
    <n v="185794"/>
    <s v="Shree Bajrang Steel Udyog"/>
    <n v="1854413"/>
    <s v="GP COIL SOFT-TATXGP-GK09-0.45X900"/>
    <n v="80"/>
    <s v=""/>
    <m/>
    <m/>
    <s v="Narrow"/>
    <s v="C02"/>
    <s v="TATXGP"/>
    <s v="GK09"/>
    <n v="0.45"/>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25T00:00:00"/>
    <s v="ZBTO"/>
    <n v="9518459972"/>
    <n v="6"/>
    <s v="9518459972-6"/>
    <m/>
    <s v="Mar'25"/>
    <s v="Released orders"/>
    <x v="2"/>
    <x v="2"/>
    <s v="2000-BPRS"/>
    <m/>
    <x v="1"/>
    <m/>
    <s v="Deprioritized due to narrow HR unavailability"/>
    <m/>
    <m/>
    <s v="LONI"/>
    <m/>
    <n v="183259"/>
    <s v="Rakesh Steel Inds.(P) Ltd."/>
    <n v="1854418"/>
    <s v="GP COIL SOFT-TATXGP-GK09-0.5X900"/>
    <s v="Z80"/>
    <s v=""/>
    <n v="4"/>
    <n v="6"/>
    <s v="Narrow"/>
    <s v="C02"/>
    <s v="TATXGP"/>
    <s v="GK09"/>
    <n v="0.5"/>
    <n v="900"/>
    <n v="0"/>
    <n v="21"/>
    <n v="0"/>
    <n v="21"/>
    <n v="21"/>
    <n v="0"/>
    <n v="21"/>
    <n v="21"/>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m/>
    <s v="ZBTO"/>
    <s v="9518211623"/>
    <n v="6"/>
    <s v="9518211623-6"/>
    <m/>
    <s v="Mar'25"/>
    <s v="Released orders"/>
    <x v="2"/>
    <x v="2"/>
    <n v="2000"/>
    <m/>
    <x v="1"/>
    <m/>
    <s v="Deprioritized due to narrow HR unavailability"/>
    <m/>
    <s v="North"/>
    <m/>
    <m/>
    <m/>
    <s v="JAIN STEEL DISTRIBUTORS"/>
    <n v="1854418"/>
    <s v="Coated CR Coils"/>
    <m/>
    <m/>
    <m/>
    <m/>
    <s v="Narrow"/>
    <s v="C02"/>
    <m/>
    <s v="GK09"/>
    <n v="0.5"/>
    <n v="900"/>
    <m/>
    <n v="105"/>
    <n v="78.204999999999998"/>
    <n v="26.795000000000002"/>
    <n v="26.795000000000002"/>
    <n v="0"/>
    <n v="26.795000000000002"/>
    <n v="26.795000000000002"/>
    <m/>
    <n v="26.795000000000002"/>
    <n v="26.795000000000002"/>
    <n v="0"/>
    <n v="30.010400000000004"/>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3"/>
    <d v="2025-02-06T00:00:00"/>
    <s v="ZBTO"/>
    <n v="9518498761"/>
    <n v="7"/>
    <s v="9518498761-7"/>
    <m/>
    <s v="Mar'25"/>
    <s v="Released orders"/>
    <x v="2"/>
    <x v="2"/>
    <n v="2000"/>
    <m/>
    <x v="0"/>
    <m/>
    <m/>
    <s v="Jharkhand"/>
    <m/>
    <m/>
    <m/>
    <n v="121328"/>
    <s v="R. S. BOKARO METAL (P) LTD."/>
    <n v="1854418"/>
    <s v="GP COIL SOFT-TATXGP-GK09-0.5X900"/>
    <n v="80"/>
    <s v=""/>
    <m/>
    <m/>
    <s v="Narrow"/>
    <s v="C02"/>
    <s v="TATXGP"/>
    <s v="GK09"/>
    <n v="0.5"/>
    <n v="900"/>
    <n v="0"/>
    <n v="105"/>
    <n v="0"/>
    <n v="105"/>
    <n v="105"/>
    <n v="0"/>
    <n v="105"/>
    <n v="105"/>
    <m/>
    <n v="105"/>
    <n v="105"/>
    <n v="0"/>
    <n v="117.60000000000001"/>
    <n v="0"/>
    <n v="0"/>
    <n v="0"/>
    <n v="0"/>
    <n v="0"/>
    <n v="0"/>
    <n v="0"/>
    <n v="0"/>
    <n v="0"/>
    <n v="0"/>
    <n v="0"/>
    <n v="0"/>
    <n v="0"/>
    <n v="0"/>
    <n v="0"/>
    <n v="0"/>
    <n v="0"/>
    <n v="0"/>
    <n v="0"/>
    <n v="0"/>
    <n v="0"/>
    <n v="0"/>
    <n v="0"/>
    <n v="0"/>
    <n v="105"/>
    <n v="0"/>
    <n v="0"/>
    <n v="0"/>
    <n v="105"/>
    <n v="0"/>
    <n v="105"/>
    <n v="0"/>
    <n v="0"/>
    <n v="0"/>
    <n v="0"/>
    <n v="105"/>
    <n v="0"/>
    <m/>
    <m/>
    <m/>
    <m/>
    <m/>
    <m/>
    <m/>
    <m/>
    <m/>
    <m/>
    <m/>
    <m/>
    <m/>
    <m/>
    <m/>
    <m/>
    <m/>
    <m/>
    <m/>
    <m/>
    <m/>
    <m/>
    <m/>
    <m/>
    <m/>
    <m/>
    <m/>
    <m/>
    <m/>
    <m/>
    <m/>
    <m/>
    <m/>
    <m/>
  </r>
  <r>
    <n v="743"/>
    <d v="2025-02-14T00:00:00"/>
    <s v="ZBTO"/>
    <n v="9518519620"/>
    <n v="4"/>
    <s v="9518519620-4"/>
    <m/>
    <s v="Mar'25"/>
    <s v="Released orders"/>
    <x v="2"/>
    <x v="2"/>
    <n v="2000"/>
    <m/>
    <x v="0"/>
    <m/>
    <m/>
    <s v="Bihar"/>
    <m/>
    <m/>
    <m/>
    <n v="103227"/>
    <s v="BMW VENTURES LIMITED"/>
    <n v="1854418"/>
    <s v="GP COIL SOFT-TATXGP-GK09-0.5X900"/>
    <n v="80"/>
    <s v=""/>
    <m/>
    <m/>
    <s v="Narrow"/>
    <s v="C02"/>
    <s v="TATXGP"/>
    <s v="GK09"/>
    <n v="0.5"/>
    <n v="900"/>
    <n v="0"/>
    <n v="231"/>
    <n v="153.505"/>
    <n v="231"/>
    <n v="231"/>
    <n v="124.6"/>
    <n v="106.4"/>
    <n v="106.4"/>
    <n v="124.6"/>
    <n v="106.4"/>
    <n v="77.495000000000005"/>
    <n v="0"/>
    <n v="258.72000000000003"/>
    <n v="0"/>
    <n v="0"/>
    <n v="0"/>
    <n v="0"/>
    <n v="0"/>
    <n v="0"/>
    <n v="0"/>
    <n v="0"/>
    <n v="0"/>
    <n v="0"/>
    <n v="0"/>
    <n v="0"/>
    <n v="0"/>
    <n v="0"/>
    <n v="0"/>
    <n v="0"/>
    <n v="0"/>
    <n v="0"/>
    <n v="0"/>
    <n v="0"/>
    <n v="0"/>
    <n v="124.6"/>
    <n v="0"/>
    <n v="178.64999999999998"/>
    <n v="77.495000000000005"/>
    <n v="0"/>
    <n v="77.495000000000005"/>
    <n v="0"/>
    <n v="0"/>
    <n v="0"/>
    <n v="256.14499999999998"/>
    <n v="0"/>
    <n v="0"/>
    <n v="256.14499999999998"/>
    <n v="0"/>
    <n v="0"/>
    <n v="0"/>
    <m/>
    <m/>
    <m/>
    <m/>
    <m/>
    <m/>
    <m/>
    <m/>
    <m/>
    <m/>
    <m/>
    <m/>
    <m/>
    <m/>
    <m/>
    <m/>
    <m/>
    <m/>
    <m/>
    <m/>
    <m/>
    <m/>
    <m/>
    <m/>
    <m/>
    <m/>
    <m/>
    <m/>
    <m/>
    <m/>
    <m/>
    <m/>
    <m/>
    <m/>
  </r>
  <r>
    <n v="743"/>
    <d v="2025-02-19T00:00:00"/>
    <s v="ZBTO"/>
    <n v="9518532816"/>
    <n v="5"/>
    <s v="9518532816-5"/>
    <m/>
    <s v="Mar'25"/>
    <s v="Released orders"/>
    <x v="2"/>
    <x v="2"/>
    <n v="2000"/>
    <m/>
    <x v="0"/>
    <m/>
    <m/>
    <s v="Jharkhand"/>
    <m/>
    <m/>
    <m/>
    <n v="121328"/>
    <s v="R. S. BOKARO METAL (P) LTD."/>
    <n v="1854418"/>
    <s v="GP COIL SOFT-TATXGP-GK09-0.5X900"/>
    <n v="80"/>
    <s v=""/>
    <m/>
    <m/>
    <s v="Narrow"/>
    <s v="C02"/>
    <s v="TATXGP"/>
    <s v="GK09"/>
    <n v="0.5"/>
    <n v="900"/>
    <n v="0"/>
    <n v="126"/>
    <n v="0"/>
    <n v="126"/>
    <n v="126"/>
    <n v="0"/>
    <n v="126"/>
    <n v="126"/>
    <m/>
    <n v="126"/>
    <n v="126"/>
    <n v="0"/>
    <n v="141.12"/>
    <n v="0"/>
    <n v="0"/>
    <n v="0"/>
    <n v="0"/>
    <n v="0"/>
    <n v="0"/>
    <n v="0"/>
    <n v="0"/>
    <n v="0"/>
    <n v="0"/>
    <n v="0"/>
    <n v="0"/>
    <n v="0"/>
    <n v="0"/>
    <n v="0"/>
    <n v="0"/>
    <n v="0"/>
    <n v="0"/>
    <n v="0"/>
    <n v="0"/>
    <n v="0"/>
    <n v="0"/>
    <n v="0"/>
    <n v="0"/>
    <n v="126"/>
    <n v="0"/>
    <n v="0"/>
    <n v="0"/>
    <n v="0"/>
    <n v="126"/>
    <n v="0"/>
    <n v="0"/>
    <n v="0"/>
    <n v="0"/>
    <n v="0"/>
    <n v="0"/>
    <n v="126"/>
    <m/>
    <m/>
    <m/>
    <m/>
    <m/>
    <m/>
    <m/>
    <m/>
    <m/>
    <m/>
    <m/>
    <m/>
    <m/>
    <m/>
    <m/>
    <m/>
    <m/>
    <m/>
    <m/>
    <m/>
    <m/>
    <m/>
    <m/>
    <m/>
    <m/>
    <m/>
    <m/>
    <m/>
    <m/>
    <m/>
    <m/>
    <m/>
    <m/>
    <m/>
  </r>
  <r>
    <n v="743"/>
    <d v="2025-01-10T00:00:00"/>
    <s v="ZBTO"/>
    <n v="9518420533"/>
    <n v="8"/>
    <s v="9518420533-8"/>
    <m/>
    <s v="Mar'25"/>
    <s v="Released orders"/>
    <x v="2"/>
    <x v="2"/>
    <s v="2000-BPRS"/>
    <m/>
    <x v="0"/>
    <m/>
    <m/>
    <m/>
    <m/>
    <s v="WEST BOKARO"/>
    <m/>
    <n v="185794"/>
    <s v="Shree Bajrang Steel Udyog"/>
    <n v="1854418"/>
    <s v="GP COIL SOFT-TATXGP-GK09-0.5X900"/>
    <s v="Z80"/>
    <s v=""/>
    <n v="4"/>
    <n v="12"/>
    <s v="Narrow"/>
    <s v="C02"/>
    <s v="TATXGP"/>
    <s v="GK09"/>
    <n v="0.5"/>
    <n v="900"/>
    <n v="0"/>
    <n v="147"/>
    <n v="0"/>
    <n v="147"/>
    <n v="147"/>
    <n v="0"/>
    <n v="147"/>
    <m/>
    <m/>
    <n v="147"/>
    <n v="147"/>
    <n v="0"/>
    <n v="164.64000000000001"/>
    <n v="0"/>
    <n v="0"/>
    <n v="0"/>
    <n v="0"/>
    <n v="0"/>
    <n v="0"/>
    <n v="0"/>
    <n v="0"/>
    <n v="0"/>
    <n v="0"/>
    <n v="0"/>
    <n v="0"/>
    <n v="0"/>
    <n v="0"/>
    <n v="0"/>
    <n v="0"/>
    <n v="0"/>
    <n v="0"/>
    <n v="0"/>
    <n v="0"/>
    <n v="0"/>
    <n v="0"/>
    <n v="0"/>
    <n v="0"/>
    <n v="147"/>
    <n v="0"/>
    <n v="0"/>
    <n v="0"/>
    <n v="0"/>
    <n v="147"/>
    <n v="0"/>
    <n v="0"/>
    <n v="0"/>
    <n v="0"/>
    <n v="0"/>
    <n v="0"/>
    <n v="147"/>
    <m/>
    <m/>
    <m/>
    <m/>
    <m/>
    <m/>
    <m/>
    <m/>
    <m/>
    <m/>
    <m/>
    <m/>
    <m/>
    <m/>
    <m/>
    <m/>
    <m/>
    <m/>
    <m/>
    <m/>
    <m/>
    <m/>
    <m/>
    <m/>
    <m/>
    <m/>
    <m/>
    <m/>
    <m/>
    <m/>
    <m/>
    <m/>
    <m/>
    <m/>
  </r>
  <r>
    <n v="742"/>
    <d v="2025-01-02T00:00:00"/>
    <s v="ZBTO"/>
    <n v="9518400614"/>
    <n v="8"/>
    <s v="9518400614-8"/>
    <m/>
    <s v="No Priority"/>
    <s v="Failed orders"/>
    <x v="1"/>
    <x v="3"/>
    <n v="2000"/>
    <m/>
    <x v="1"/>
    <s v="Mar"/>
    <m/>
    <s v="Kerala"/>
    <m/>
    <m/>
    <m/>
    <n v="116650"/>
    <s v="Kummenchery Steels,"/>
    <n v="1804870"/>
    <s v="CRCA COIL-TATXXD-AU03-2X1000"/>
    <s v=""/>
    <s v=""/>
    <m/>
    <m/>
    <s v="Narrow"/>
    <s v="C01"/>
    <s v="TATXXD"/>
    <s v="AU03"/>
    <n v="2"/>
    <n v="1000"/>
    <n v="0"/>
    <n v="46"/>
    <e v="#N/A"/>
    <n v="46"/>
    <n v="46"/>
    <e v="#N/A"/>
    <e v="#N/A"/>
    <m/>
    <n v="0"/>
    <n v="46"/>
    <n v="0"/>
    <n v="0"/>
    <n v="51.52"/>
    <n v="0"/>
    <n v="0"/>
    <n v="0"/>
    <n v="0"/>
    <n v="0"/>
    <n v="0"/>
    <n v="0"/>
    <n v="0"/>
    <n v="0"/>
    <n v="0"/>
    <n v="0"/>
    <n v="0"/>
    <n v="0"/>
    <n v="0"/>
    <n v="0"/>
    <n v="0"/>
    <n v="0"/>
    <n v="0"/>
    <n v="0"/>
    <n v="0"/>
    <n v="0"/>
    <n v="0"/>
    <n v="0"/>
    <n v="0"/>
    <n v="0"/>
    <n v="0"/>
    <n v="0"/>
    <n v="0"/>
    <n v="0"/>
    <n v="0"/>
    <n v="0"/>
    <n v="0"/>
    <n v="0"/>
    <n v="0"/>
    <n v="0"/>
    <n v="0"/>
    <n v="0"/>
    <m/>
    <m/>
    <m/>
    <m/>
    <m/>
    <m/>
    <m/>
    <m/>
    <m/>
    <m/>
    <m/>
    <m/>
    <m/>
    <m/>
    <m/>
    <m/>
    <m/>
    <m/>
    <m/>
    <m/>
    <m/>
    <m/>
    <m/>
    <m/>
    <m/>
    <m/>
    <m/>
    <m/>
    <m/>
    <m/>
    <m/>
    <m/>
    <m/>
    <m/>
  </r>
  <r>
    <n v="743"/>
    <d v="2025-01-10T00:00:00"/>
    <s v="ZBTO"/>
    <n v="9518420533"/>
    <n v="9"/>
    <s v="9518420533-9"/>
    <m/>
    <s v="Mar'25"/>
    <s v="Released orders"/>
    <x v="2"/>
    <x v="2"/>
    <s v="2000-BPRS"/>
    <m/>
    <x v="0"/>
    <m/>
    <m/>
    <m/>
    <m/>
    <s v="WEST BOKARO"/>
    <m/>
    <n v="185794"/>
    <s v="Shree Bajrang Steel Udyog"/>
    <n v="1854418"/>
    <s v="GP COIL SOFT-TATXGP-GK09-0.5X900"/>
    <s v="Z80"/>
    <s v=""/>
    <n v="4"/>
    <n v="12"/>
    <s v="Narrow"/>
    <s v="C02"/>
    <s v="TATXGP"/>
    <s v="GK09"/>
    <n v="0.5"/>
    <n v="900"/>
    <n v="0"/>
    <n v="147"/>
    <n v="0"/>
    <n v="147"/>
    <n v="147"/>
    <n v="0"/>
    <n v="147"/>
    <m/>
    <m/>
    <n v="147"/>
    <n v="147"/>
    <n v="0"/>
    <n v="164.64000000000001"/>
    <n v="0"/>
    <n v="0"/>
    <n v="0"/>
    <n v="0"/>
    <n v="0"/>
    <n v="0"/>
    <n v="0"/>
    <n v="0"/>
    <n v="0"/>
    <n v="0"/>
    <n v="0"/>
    <n v="0"/>
    <n v="0"/>
    <n v="0"/>
    <n v="0"/>
    <n v="0"/>
    <n v="0"/>
    <n v="0"/>
    <n v="0"/>
    <n v="0"/>
    <n v="0"/>
    <n v="0"/>
    <n v="0"/>
    <n v="0"/>
    <n v="147"/>
    <n v="0"/>
    <n v="0"/>
    <n v="0"/>
    <n v="0"/>
    <n v="147"/>
    <n v="0"/>
    <n v="0"/>
    <n v="0"/>
    <n v="0"/>
    <n v="0"/>
    <n v="0"/>
    <n v="147"/>
    <m/>
    <m/>
    <m/>
    <m/>
    <m/>
    <m/>
    <m/>
    <m/>
    <m/>
    <m/>
    <m/>
    <m/>
    <m/>
    <m/>
    <m/>
    <m/>
    <m/>
    <m/>
    <m/>
    <m/>
    <m/>
    <m/>
    <m/>
    <m/>
    <m/>
    <m/>
    <m/>
    <m/>
    <m/>
    <m/>
    <m/>
    <m/>
    <m/>
    <m/>
  </r>
  <r>
    <n v="743"/>
    <d v="2025-02-17T00:00:00"/>
    <s v="ZBTO"/>
    <n v="9518527008"/>
    <n v="1"/>
    <s v="9518527008-1"/>
    <m/>
    <s v="No Priority"/>
    <s v="Failed orders"/>
    <x v="2"/>
    <x v="2"/>
    <n v="2000"/>
    <m/>
    <x v="1"/>
    <m/>
    <m/>
    <s v="Uttar Pradesh"/>
    <m/>
    <m/>
    <m/>
    <n v="931234"/>
    <s v="JAI LAXMI STEELS"/>
    <n v="1319275"/>
    <s v="GP COIL SOFT-TATXGP-GLK1-0.2X900"/>
    <n v="80"/>
    <s v=""/>
    <m/>
    <m/>
    <s v="Narrow"/>
    <s v="C02"/>
    <s v="TATXGP"/>
    <s v="GLK1"/>
    <n v="0.2"/>
    <n v="900"/>
    <n v="0"/>
    <n v="42"/>
    <e v="#N/A"/>
    <n v="42"/>
    <n v="42"/>
    <e v="#N/A"/>
    <e v="#N/A"/>
    <m/>
    <m/>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5-02-10T00:00:00"/>
    <s v="ZBTO"/>
    <n v="9518508377"/>
    <n v="11"/>
    <s v="9518508377-11"/>
    <m/>
    <s v="Mar'25"/>
    <s v="Released orders"/>
    <x v="2"/>
    <x v="2"/>
    <n v="2000"/>
    <m/>
    <x v="0"/>
    <m/>
    <m/>
    <s v="Jharkhand"/>
    <m/>
    <m/>
    <m/>
    <n v="185794"/>
    <s v="Shree Bajrang Steel Udyog"/>
    <n v="1854418"/>
    <s v="GP COIL SOFT-TATXGP-GK09-0.5X900"/>
    <n v="80"/>
    <s v=""/>
    <m/>
    <m/>
    <s v="Narrow"/>
    <s v="C02"/>
    <s v="TATXGP"/>
    <s v="GK09"/>
    <n v="0.5"/>
    <n v="900"/>
    <n v="0"/>
    <n v="168"/>
    <n v="0"/>
    <n v="168"/>
    <n v="168"/>
    <n v="0"/>
    <n v="168"/>
    <m/>
    <m/>
    <n v="168"/>
    <n v="168"/>
    <n v="0"/>
    <n v="188.16000000000003"/>
    <n v="0"/>
    <n v="0"/>
    <n v="0"/>
    <n v="0"/>
    <n v="0"/>
    <n v="0"/>
    <n v="0"/>
    <n v="0"/>
    <n v="0"/>
    <n v="0"/>
    <n v="0"/>
    <n v="0"/>
    <n v="0"/>
    <n v="0"/>
    <n v="0"/>
    <n v="0"/>
    <n v="0"/>
    <n v="0"/>
    <n v="0"/>
    <n v="0"/>
    <n v="0"/>
    <n v="0"/>
    <n v="0"/>
    <n v="0"/>
    <n v="168"/>
    <n v="0"/>
    <n v="0"/>
    <n v="0"/>
    <n v="168"/>
    <n v="0"/>
    <n v="168"/>
    <n v="0"/>
    <n v="0"/>
    <n v="0"/>
    <n v="0"/>
    <n v="168"/>
    <n v="0"/>
    <m/>
    <m/>
    <m/>
    <m/>
    <m/>
    <m/>
    <m/>
    <m/>
    <m/>
    <m/>
    <m/>
    <m/>
    <m/>
    <m/>
    <m/>
    <m/>
    <m/>
    <m/>
    <m/>
    <m/>
    <m/>
    <m/>
    <m/>
    <m/>
    <m/>
    <m/>
    <m/>
    <m/>
    <m/>
    <m/>
    <m/>
    <m/>
    <m/>
    <m/>
  </r>
  <r>
    <n v="743"/>
    <d v="2025-02-10T00:00:00"/>
    <s v="ZBTO"/>
    <n v="9518508377"/>
    <n v="10"/>
    <s v="9518508377-10"/>
    <m/>
    <s v="Mar'25"/>
    <s v="Released orders"/>
    <x v="2"/>
    <x v="2"/>
    <n v="2000"/>
    <m/>
    <x v="0"/>
    <m/>
    <m/>
    <s v="Jharkhand"/>
    <m/>
    <m/>
    <m/>
    <n v="185794"/>
    <s v="Shree Bajrang Steel Udyog"/>
    <n v="1854418"/>
    <s v="GP COIL SOFT-TATXGP-GK09-0.5X900"/>
    <n v="80"/>
    <s v=""/>
    <m/>
    <m/>
    <s v="Narrow"/>
    <s v="C02"/>
    <s v="TATXGP"/>
    <s v="GK09"/>
    <n v="0.5"/>
    <n v="900"/>
    <n v="0"/>
    <n v="189"/>
    <n v="0"/>
    <n v="189"/>
    <n v="189"/>
    <n v="0"/>
    <n v="189"/>
    <m/>
    <m/>
    <n v="189"/>
    <n v="189"/>
    <n v="0"/>
    <n v="211.68"/>
    <n v="0"/>
    <n v="0"/>
    <n v="0"/>
    <n v="0"/>
    <n v="0"/>
    <n v="0"/>
    <n v="0"/>
    <n v="0"/>
    <n v="0"/>
    <n v="0"/>
    <n v="0"/>
    <n v="0"/>
    <n v="0"/>
    <n v="0"/>
    <n v="0"/>
    <n v="0"/>
    <n v="0"/>
    <n v="0"/>
    <n v="0"/>
    <n v="0"/>
    <n v="0"/>
    <n v="0"/>
    <n v="0"/>
    <n v="0"/>
    <n v="189"/>
    <n v="0"/>
    <n v="0"/>
    <n v="0"/>
    <n v="189"/>
    <n v="0"/>
    <n v="189"/>
    <n v="0"/>
    <n v="0"/>
    <n v="0"/>
    <n v="0"/>
    <n v="189"/>
    <n v="0"/>
    <m/>
    <m/>
    <m/>
    <m/>
    <m/>
    <m/>
    <m/>
    <m/>
    <m/>
    <m/>
    <m/>
    <m/>
    <m/>
    <m/>
    <m/>
    <m/>
    <m/>
    <m/>
    <m/>
    <m/>
    <m/>
    <m/>
    <m/>
    <m/>
    <m/>
    <m/>
    <m/>
    <m/>
    <m/>
    <m/>
    <m/>
    <m/>
    <m/>
    <m/>
  </r>
  <r>
    <n v="743"/>
    <d v="2025-02-04T00:00:00"/>
    <s v="ZBTO"/>
    <n v="9518493782"/>
    <n v="4"/>
    <s v="9518493782-4"/>
    <m/>
    <s v="No Priority"/>
    <s v="Failed orders"/>
    <x v="2"/>
    <x v="2"/>
    <n v="2000"/>
    <m/>
    <x v="1"/>
    <m/>
    <m/>
    <s v="Orissa"/>
    <m/>
    <m/>
    <m/>
    <n v="117061"/>
    <s v="BHARTIA  DISTRIBUTORS PVT. LTD"/>
    <n v="3484328"/>
    <s v="GP SH SOFT TATXGP GK09 0.500X900X2500"/>
    <n v="80"/>
    <s v=""/>
    <m/>
    <m/>
    <s v="Narrow"/>
    <s v="B11"/>
    <s v="TATXGP"/>
    <s v="GK09"/>
    <n v="0.5"/>
    <n v="900"/>
    <n v="0"/>
    <n v="80"/>
    <e v="#N/A"/>
    <n v="80"/>
    <n v="80"/>
    <e v="#N/A"/>
    <e v="#N/A"/>
    <m/>
    <m/>
    <n v="80"/>
    <n v="0"/>
    <n v="0"/>
    <n v="89.600000000000009"/>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9910"/>
    <n v="1"/>
    <s v="9518529910-1"/>
    <m/>
    <s v="Mar'25 additional"/>
    <s v="Released orders"/>
    <x v="3"/>
    <x v="13"/>
    <n v="1000"/>
    <m/>
    <x v="0"/>
    <m/>
    <m/>
    <s v="Telangana"/>
    <m/>
    <m/>
    <m/>
    <n v="188152"/>
    <s v="Metalkraft Forming Industries"/>
    <n v="3903395"/>
    <s v="GL COIL HARD  Y550GL GL6H 0.900X1220"/>
    <n v="150"/>
    <s v=""/>
    <m/>
    <m/>
    <s v="Wider"/>
    <s v="B04"/>
    <s v="Y550GL"/>
    <s v="GL6H"/>
    <n v="0.9"/>
    <n v="1220"/>
    <n v="0"/>
    <n v="252"/>
    <e v="#N/A"/>
    <n v="252"/>
    <n v="252"/>
    <e v="#N/A"/>
    <e v="#N/A"/>
    <m/>
    <m/>
    <n v="252"/>
    <n v="252"/>
    <n v="0"/>
    <n v="282.24"/>
    <n v="0"/>
    <n v="0"/>
    <n v="0"/>
    <n v="0"/>
    <n v="0"/>
    <n v="0"/>
    <n v="0"/>
    <n v="0"/>
    <n v="0"/>
    <n v="0"/>
    <n v="0"/>
    <n v="0"/>
    <n v="0"/>
    <n v="0"/>
    <n v="0"/>
    <n v="0"/>
    <n v="0"/>
    <n v="0"/>
    <n v="0"/>
    <n v="0"/>
    <n v="0"/>
    <n v="0"/>
    <n v="0"/>
    <n v="0"/>
    <n v="252"/>
    <n v="0"/>
    <n v="0"/>
    <n v="252"/>
    <n v="0"/>
    <n v="0"/>
    <n v="252"/>
    <n v="0"/>
    <n v="0"/>
    <n v="0"/>
    <n v="252"/>
    <n v="0"/>
    <n v="0"/>
    <m/>
    <m/>
    <m/>
    <m/>
    <m/>
    <m/>
    <m/>
    <m/>
    <m/>
    <m/>
    <m/>
    <m/>
    <m/>
    <m/>
    <m/>
    <m/>
    <m/>
    <m/>
    <m/>
    <m/>
    <m/>
    <m/>
    <m/>
    <m/>
    <m/>
    <m/>
    <m/>
    <m/>
    <m/>
    <m/>
    <m/>
    <m/>
    <m/>
    <m/>
  </r>
  <r>
    <n v="743"/>
    <d v="2025-02-18T00:00:00"/>
    <s v="ZBTO"/>
    <n v="9518529910"/>
    <n v="2"/>
    <s v="9518529910-2"/>
    <m/>
    <s v="Mar'25 additional"/>
    <s v="Released orders"/>
    <x v="3"/>
    <x v="13"/>
    <n v="1000"/>
    <m/>
    <x v="0"/>
    <m/>
    <m/>
    <s v="Telangana"/>
    <m/>
    <m/>
    <m/>
    <n v="188152"/>
    <s v="Metalkraft Forming Industries"/>
    <n v="3903395"/>
    <s v="GL COIL HARD  Y550GL GL6H 0.900X1220"/>
    <n v="150"/>
    <s v=""/>
    <m/>
    <m/>
    <s v="Wider"/>
    <s v="B04"/>
    <s v="Y550GL"/>
    <s v="GL6H"/>
    <n v="0.9"/>
    <n v="1220"/>
    <n v="0"/>
    <n v="252"/>
    <e v="#N/A"/>
    <n v="252"/>
    <n v="252"/>
    <e v="#N/A"/>
    <e v="#N/A"/>
    <m/>
    <m/>
    <n v="252"/>
    <n v="252"/>
    <n v="0"/>
    <n v="282.24"/>
    <n v="0"/>
    <n v="0"/>
    <n v="0"/>
    <n v="0"/>
    <n v="0"/>
    <n v="0"/>
    <n v="0"/>
    <n v="0"/>
    <n v="0"/>
    <n v="0"/>
    <n v="0"/>
    <n v="0"/>
    <n v="0"/>
    <n v="0"/>
    <n v="0"/>
    <n v="0"/>
    <n v="0"/>
    <n v="0"/>
    <n v="0"/>
    <n v="0"/>
    <n v="0"/>
    <n v="0"/>
    <n v="0"/>
    <n v="0"/>
    <n v="252"/>
    <n v="0"/>
    <n v="0"/>
    <n v="252"/>
    <n v="0"/>
    <n v="0"/>
    <n v="252"/>
    <n v="0"/>
    <n v="0"/>
    <n v="0"/>
    <n v="252"/>
    <n v="0"/>
    <n v="0"/>
    <m/>
    <m/>
    <m/>
    <m/>
    <m/>
    <m/>
    <m/>
    <m/>
    <m/>
    <m/>
    <m/>
    <m/>
    <m/>
    <m/>
    <m/>
    <m/>
    <m/>
    <m/>
    <m/>
    <m/>
    <m/>
    <m/>
    <m/>
    <m/>
    <m/>
    <m/>
    <m/>
    <m/>
    <m/>
    <m/>
    <m/>
    <m/>
    <m/>
    <m/>
  </r>
  <r>
    <n v="743"/>
    <d v="2025-02-18T00:00:00"/>
    <s v="ZBTO"/>
    <n v="9518529910"/>
    <n v="3"/>
    <s v="9518529910-3"/>
    <m/>
    <s v="No Priority"/>
    <s v="Failed orders"/>
    <x v="3"/>
    <x v="13"/>
    <n v="1000"/>
    <m/>
    <x v="1"/>
    <m/>
    <s v="Order shortclosed"/>
    <s v="Telangana"/>
    <m/>
    <m/>
    <m/>
    <n v="188152"/>
    <s v="Metalkraft Forming Industries"/>
    <n v="3903395"/>
    <s v="GL COIL HARD  Y550GL GL6H 0.900X1220"/>
    <n v="150"/>
    <s v=""/>
    <m/>
    <m/>
    <s v="Wider"/>
    <s v="B04"/>
    <s v="Y550GL"/>
    <s v="GL6H"/>
    <n v="0.9"/>
    <n v="1220"/>
    <n v="0"/>
    <n v="196"/>
    <e v="#N/A"/>
    <n v="196"/>
    <n v="196"/>
    <e v="#N/A"/>
    <e v="#N/A"/>
    <m/>
    <m/>
    <n v="196"/>
    <n v="0"/>
    <n v="0"/>
    <n v="219.52"/>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9960"/>
    <n v="1"/>
    <s v="9518529960-1"/>
    <m/>
    <s v="No Priority"/>
    <s v="Failed orders"/>
    <x v="3"/>
    <x v="13"/>
    <n v="1000"/>
    <m/>
    <x v="1"/>
    <m/>
    <s v="Order shortclosed"/>
    <s v="Telangana"/>
    <m/>
    <m/>
    <m/>
    <n v="188152"/>
    <s v="Metalkraft Forming Industries"/>
    <n v="3903395"/>
    <s v="GL COIL HARD  Y550GL GL6H 0.900X1220"/>
    <n v="150"/>
    <s v=""/>
    <m/>
    <m/>
    <s v="Wider"/>
    <s v="B04"/>
    <s v="Y550GL"/>
    <s v="GL6H"/>
    <n v="0.9"/>
    <n v="1220"/>
    <n v="0"/>
    <n v="252"/>
    <e v="#N/A"/>
    <n v="252"/>
    <n v="252"/>
    <e v="#N/A"/>
    <e v="#N/A"/>
    <m/>
    <m/>
    <n v="252"/>
    <n v="0"/>
    <n v="0"/>
    <n v="282.24"/>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9960"/>
    <n v="2"/>
    <s v="9518529960-2"/>
    <m/>
    <s v="No Priority"/>
    <s v="Failed orders"/>
    <x v="3"/>
    <x v="13"/>
    <n v="1000"/>
    <m/>
    <x v="1"/>
    <m/>
    <s v="Order shortclosed"/>
    <s v="Telangana"/>
    <m/>
    <m/>
    <m/>
    <n v="188152"/>
    <s v="Metalkraft Forming Industries"/>
    <n v="3903395"/>
    <s v="GL COIL HARD  Y550GL GL6H 0.900X1220"/>
    <n v="150"/>
    <s v=""/>
    <m/>
    <m/>
    <s v="Wider"/>
    <s v="B04"/>
    <s v="Y550GL"/>
    <s v="GL6H"/>
    <n v="0.9"/>
    <n v="1220"/>
    <n v="0"/>
    <n v="252"/>
    <e v="#N/A"/>
    <n v="252"/>
    <n v="252"/>
    <e v="#N/A"/>
    <e v="#N/A"/>
    <m/>
    <m/>
    <n v="252"/>
    <n v="0"/>
    <n v="0"/>
    <n v="282.24"/>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9960"/>
    <n v="3"/>
    <s v="9518529960-3"/>
    <m/>
    <s v="No Priority"/>
    <s v="Failed orders"/>
    <x v="3"/>
    <x v="13"/>
    <n v="1000"/>
    <m/>
    <x v="1"/>
    <m/>
    <s v="Order shortclosed"/>
    <s v="Telangana"/>
    <m/>
    <m/>
    <m/>
    <n v="188152"/>
    <s v="Metalkraft Forming Industries"/>
    <n v="3903395"/>
    <s v="GL COIL HARD  Y550GL GL6H 0.900X1220"/>
    <n v="150"/>
    <s v=""/>
    <m/>
    <m/>
    <s v="Wider"/>
    <s v="B04"/>
    <s v="Y550GL"/>
    <s v="GL6H"/>
    <n v="0.9"/>
    <n v="1220"/>
    <n v="0"/>
    <n v="196"/>
    <e v="#N/A"/>
    <n v="196"/>
    <n v="196"/>
    <e v="#N/A"/>
    <e v="#N/A"/>
    <m/>
    <m/>
    <n v="196"/>
    <n v="0"/>
    <n v="0"/>
    <n v="219.52"/>
    <n v="0"/>
    <n v="0"/>
    <n v="0"/>
    <n v="0"/>
    <n v="0"/>
    <n v="0"/>
    <n v="0"/>
    <n v="0"/>
    <n v="0"/>
    <n v="0"/>
    <n v="0"/>
    <n v="0"/>
    <n v="0"/>
    <n v="0"/>
    <n v="0"/>
    <n v="0"/>
    <n v="0"/>
    <n v="0"/>
    <n v="0"/>
    <n v="0"/>
    <n v="0"/>
    <n v="0"/>
    <n v="0"/>
    <n v="0"/>
    <n v="0"/>
    <n v="0"/>
    <n v="0"/>
    <n v="0"/>
    <n v="0"/>
    <n v="0"/>
    <n v="0"/>
    <n v="0"/>
    <n v="0"/>
    <n v="0"/>
    <n v="0"/>
    <n v="0"/>
    <n v="0"/>
    <m/>
    <m/>
    <m/>
    <m/>
    <m/>
    <m/>
    <m/>
    <m/>
    <m/>
    <m/>
    <m/>
    <m/>
    <m/>
    <m/>
    <m/>
    <m/>
    <m/>
    <m/>
    <m/>
    <m/>
    <m/>
    <m/>
    <m/>
    <m/>
    <m/>
    <m/>
    <m/>
    <m/>
    <m/>
    <m/>
    <m/>
    <m/>
    <m/>
    <m/>
  </r>
  <r>
    <n v="742"/>
    <d v="2025-02-07T00:00:00"/>
    <s v="ZBTO"/>
    <n v="9518500199"/>
    <n v="1"/>
    <s v="9518500199-1"/>
    <m/>
    <s v="No Priority"/>
    <s v="Released orders"/>
    <x v="1"/>
    <x v="15"/>
    <s v="2000-BPRS"/>
    <m/>
    <x v="1"/>
    <m/>
    <m/>
    <m/>
    <m/>
    <s v="YESHWANTHPURA"/>
    <m/>
    <n v="932244"/>
    <s v="DURGA TRADERS"/>
    <n v="2420518"/>
    <s v="CRCA COIL TATXXD AH03 1X1250"/>
    <s v=" "/>
    <s v=""/>
    <n v="2"/>
    <n v="27.1"/>
    <s v="Wider"/>
    <s v="C01"/>
    <s v="TATXXD"/>
    <s v="AH03"/>
    <n v="1"/>
    <n v="1250"/>
    <n v="0"/>
    <n v="115.98"/>
    <n v="75.864999999999995"/>
    <n v="40.115000000000002"/>
    <n v="40.115000000000002"/>
    <n v="73.03"/>
    <n v="0"/>
    <m/>
    <n v="0"/>
    <n v="40.115000000000002"/>
    <n v="0"/>
    <n v="0"/>
    <n v="0"/>
    <n v="0"/>
    <n v="0"/>
    <n v="0"/>
    <n v="0"/>
    <n v="0"/>
    <n v="0"/>
    <n v="0"/>
    <n v="0"/>
    <n v="0"/>
    <n v="46.230000000000004"/>
    <n v="0"/>
    <n v="0"/>
    <n v="0"/>
    <n v="0"/>
    <n v="0"/>
    <n v="0"/>
    <n v="0"/>
    <n v="0"/>
    <n v="46.230000000000004"/>
    <n v="46.230000000000004"/>
    <n v="0"/>
    <n v="46.230000000000004"/>
    <n v="73.03"/>
    <n v="0"/>
    <n v="0"/>
    <n v="0"/>
    <n v="0"/>
    <n v="0"/>
    <n v="0"/>
    <n v="0"/>
    <n v="0"/>
    <n v="0"/>
    <n v="0"/>
    <n v="0"/>
    <n v="0"/>
    <n v="0"/>
    <n v="0"/>
    <m/>
    <m/>
    <m/>
    <m/>
    <m/>
    <m/>
    <m/>
    <m/>
    <m/>
    <m/>
    <m/>
    <m/>
    <m/>
    <m/>
    <m/>
    <m/>
    <m/>
    <m/>
    <m/>
    <m/>
    <m/>
    <m/>
    <m/>
    <m/>
    <m/>
    <m/>
    <m/>
    <m/>
    <m/>
    <m/>
    <m/>
    <m/>
    <m/>
    <m/>
  </r>
  <r>
    <n v="742"/>
    <d v="2025-01-29T00:00:00"/>
    <s v="ZBTO"/>
    <n v="9518474200"/>
    <n v="5"/>
    <s v="9518474200-5"/>
    <m/>
    <s v="No Priority"/>
    <s v="Failed orders"/>
    <x v="1"/>
    <x v="15"/>
    <n v="2000"/>
    <m/>
    <x v="1"/>
    <m/>
    <m/>
    <s v="Maharashtra"/>
    <m/>
    <m/>
    <m/>
    <n v="115806"/>
    <s v="NARESH STEEL INDUSTRIES PVT LT"/>
    <n v="2420518"/>
    <s v="CRCA COIL TATXXD AH03 1X1250"/>
    <s v=""/>
    <s v=""/>
    <m/>
    <m/>
    <s v="Wider"/>
    <s v="C01"/>
    <s v="TATXXD"/>
    <s v="AH03"/>
    <n v="1"/>
    <n v="1250"/>
    <n v="0"/>
    <n v="29"/>
    <e v="#N/A"/>
    <n v="29"/>
    <n v="29"/>
    <e v="#N/A"/>
    <e v="#N/A"/>
    <m/>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1-22T00:00:00"/>
    <s v="ZBTO"/>
    <n v="9518451356"/>
    <n v="10"/>
    <s v="9518451356-10"/>
    <m/>
    <s v="No Priority"/>
    <s v="Released orders"/>
    <x v="1"/>
    <x v="15"/>
    <s v="2000-BPRS"/>
    <m/>
    <x v="1"/>
    <m/>
    <m/>
    <m/>
    <s v="South"/>
    <s v="YESHWANTHPURA"/>
    <m/>
    <n v="932244"/>
    <s v="DURGA TRADERS"/>
    <n v="2420519"/>
    <s v="CRCA COIL TATXXD AH03 1.100X1250"/>
    <s v=" "/>
    <s v=""/>
    <n v="2"/>
    <n v="26"/>
    <s v="Wider"/>
    <s v="C01"/>
    <s v="TATXXD"/>
    <s v="AH03"/>
    <n v="1.1000000000000001"/>
    <n v="1250"/>
    <n v="0"/>
    <n v="58"/>
    <n v="49.12"/>
    <n v="58"/>
    <n v="8.8800000000000008"/>
    <n v="3.58"/>
    <n v="0"/>
    <m/>
    <m/>
    <n v="3.8299999999999983"/>
    <n v="8.8800000000000008"/>
    <n v="0"/>
    <n v="0"/>
    <n v="0"/>
    <n v="0"/>
    <n v="0"/>
    <n v="0"/>
    <n v="0"/>
    <n v="0"/>
    <n v="0"/>
    <n v="0"/>
    <n v="0"/>
    <n v="0"/>
    <n v="0"/>
    <n v="0"/>
    <n v="54.17"/>
    <n v="0"/>
    <n v="0"/>
    <n v="0"/>
    <n v="0"/>
    <n v="0"/>
    <n v="54.17"/>
    <n v="54.17"/>
    <n v="0"/>
    <n v="54.17"/>
    <n v="3.58"/>
    <n v="0"/>
    <n v="0"/>
    <n v="0"/>
    <n v="0"/>
    <n v="0"/>
    <n v="0"/>
    <n v="0"/>
    <n v="0"/>
    <n v="0"/>
    <n v="0"/>
    <n v="0"/>
    <n v="0"/>
    <n v="0"/>
    <n v="0"/>
    <n v="0"/>
    <n v="0"/>
    <n v="0"/>
    <n v="0"/>
    <n v="0"/>
    <n v="0"/>
    <m/>
    <m/>
    <m/>
    <m/>
    <m/>
    <m/>
    <m/>
    <m/>
    <m/>
    <s v="1"/>
    <s v="1"/>
    <s v="1"/>
    <s v="1"/>
    <s v="1"/>
    <m/>
    <m/>
    <m/>
    <m/>
    <m/>
    <m/>
    <m/>
    <m/>
    <m/>
    <m/>
    <m/>
    <m/>
    <m/>
    <m/>
  </r>
  <r>
    <n v="742"/>
    <d v="2025-02-07T00:00:00"/>
    <s v="ZBTO"/>
    <n v="9518500267"/>
    <n v="3"/>
    <s v="9518500267-3"/>
    <m/>
    <s v="Mar'25"/>
    <s v="Released orders"/>
    <x v="1"/>
    <x v="15"/>
    <s v="2000-BPRS"/>
    <n v="400"/>
    <x v="0"/>
    <s v="Mar"/>
    <m/>
    <m/>
    <m/>
    <s v="YESHWANTHPURA"/>
    <m/>
    <n v="939268"/>
    <s v="TATA STEEL DOWNSTREAM PRODUCTS LIMI"/>
    <n v="2420520"/>
    <s v="CRCA COIL TATXXD AH03 1.150X1250"/>
    <s v=" "/>
    <s v=""/>
    <n v="2"/>
    <n v="26"/>
    <s v="Wider"/>
    <s v="C01"/>
    <s v="TATXXD"/>
    <s v="AH03"/>
    <n v="1.1499999999999999"/>
    <n v="1250"/>
    <n v="0"/>
    <n v="29"/>
    <n v="0"/>
    <n v="29"/>
    <n v="29"/>
    <n v="0"/>
    <n v="29"/>
    <m/>
    <m/>
    <n v="29"/>
    <n v="29"/>
    <n v="0"/>
    <n v="32.480000000000004"/>
    <n v="0"/>
    <n v="0"/>
    <n v="0"/>
    <n v="0"/>
    <n v="0"/>
    <n v="0"/>
    <n v="0"/>
    <n v="0"/>
    <n v="0"/>
    <n v="0"/>
    <n v="0"/>
    <n v="0"/>
    <n v="0"/>
    <n v="0"/>
    <n v="0"/>
    <n v="0"/>
    <n v="0"/>
    <n v="0"/>
    <n v="0"/>
    <n v="0"/>
    <n v="0"/>
    <n v="0"/>
    <n v="0"/>
    <n v="0"/>
    <n v="29"/>
    <n v="0"/>
    <n v="0"/>
    <n v="0"/>
    <n v="29"/>
    <n v="0"/>
    <n v="29"/>
    <n v="0"/>
    <n v="0"/>
    <n v="0"/>
    <n v="0"/>
    <n v="29"/>
    <n v="0"/>
    <m/>
    <m/>
    <m/>
    <m/>
    <m/>
    <m/>
    <m/>
    <m/>
    <m/>
    <m/>
    <m/>
    <m/>
    <m/>
    <m/>
    <m/>
    <m/>
    <m/>
    <m/>
    <m/>
    <m/>
    <m/>
    <m/>
    <m/>
    <m/>
    <m/>
    <m/>
    <m/>
    <m/>
    <m/>
    <m/>
    <m/>
    <m/>
    <m/>
    <m/>
  </r>
  <r>
    <n v="742"/>
    <d v="2025-01-22T00:00:00"/>
    <s v="ZBTO"/>
    <n v="9518451356"/>
    <n v="11"/>
    <s v="9518451356-11"/>
    <m/>
    <s v="Stocks"/>
    <s v="Released orders"/>
    <x v="1"/>
    <x v="15"/>
    <s v="2000-BPRS"/>
    <m/>
    <x v="0"/>
    <m/>
    <s v="Added to consume WIP"/>
    <m/>
    <s v="South"/>
    <s v="YESHWANTHPURA"/>
    <m/>
    <n v="932244"/>
    <s v="DURGA TRADERS"/>
    <n v="2420521"/>
    <s v="CRCA COIL TATXXD AH03 1.200X1250"/>
    <s v=" "/>
    <s v=""/>
    <n v="2"/>
    <n v="26"/>
    <s v="Wider"/>
    <s v="C01"/>
    <s v="TATXXD"/>
    <s v="AH03"/>
    <n v="1.2"/>
    <n v="1250"/>
    <n v="0"/>
    <n v="145"/>
    <n v="119.47499999999999"/>
    <n v="42.225000000000001"/>
    <n v="42.225000000000001"/>
    <n v="26.17"/>
    <n v="16.055"/>
    <m/>
    <n v="26.17"/>
    <n v="16.055"/>
    <n v="25.524999999999999"/>
    <n v="0"/>
    <n v="17.9816"/>
    <n v="0"/>
    <n v="0"/>
    <n v="0"/>
    <n v="0"/>
    <n v="0"/>
    <n v="0"/>
    <n v="0"/>
    <n v="0"/>
    <n v="0"/>
    <n v="0"/>
    <n v="0"/>
    <n v="0"/>
    <n v="0"/>
    <n v="0"/>
    <n v="0"/>
    <n v="0"/>
    <n v="26.17"/>
    <n v="0"/>
    <n v="26.17"/>
    <n v="26.17"/>
    <n v="0"/>
    <n v="26.17"/>
    <n v="0"/>
    <n v="16.7"/>
    <n v="0"/>
    <n v="0"/>
    <n v="0"/>
    <n v="0"/>
    <n v="0"/>
    <n v="0"/>
    <n v="16.7"/>
    <n v="0"/>
    <n v="16.7"/>
    <n v="0"/>
    <n v="0"/>
    <n v="0"/>
    <n v="0"/>
    <n v="0"/>
    <n v="0"/>
    <n v="0"/>
    <n v="0"/>
    <n v="0"/>
    <n v="0"/>
    <m/>
    <m/>
    <m/>
    <m/>
    <m/>
    <m/>
    <m/>
    <m/>
    <m/>
    <s v="1"/>
    <s v="1"/>
    <s v="1"/>
    <s v="1"/>
    <s v="1"/>
    <m/>
    <m/>
    <m/>
    <m/>
    <m/>
    <s v="Planning delay"/>
    <m/>
    <m/>
    <m/>
    <m/>
    <m/>
    <m/>
    <m/>
    <m/>
  </r>
  <r>
    <n v="742"/>
    <d v="2025-02-07T00:00:00"/>
    <s v="ZBTO"/>
    <n v="9518500199"/>
    <n v="2"/>
    <s v="9518500199-2"/>
    <m/>
    <s v="Stocks"/>
    <s v="Released orders"/>
    <x v="1"/>
    <x v="15"/>
    <s v="2000-BPRS"/>
    <m/>
    <x v="0"/>
    <m/>
    <m/>
    <m/>
    <m/>
    <s v="YESHWANTHPURA"/>
    <m/>
    <n v="932244"/>
    <s v="DURGA TRADERS"/>
    <n v="2420521"/>
    <s v="CRCA COIL TATXXD AH03 1.200X1250"/>
    <s v=" "/>
    <s v=""/>
    <n v="2"/>
    <n v="26"/>
    <s v="Wider"/>
    <s v="C01"/>
    <s v="TATXXD"/>
    <s v="AH03"/>
    <n v="1.2"/>
    <n v="1250"/>
    <n v="0"/>
    <n v="116"/>
    <n v="67.37"/>
    <n v="116"/>
    <n v="116"/>
    <n v="117.14"/>
    <n v="0"/>
    <m/>
    <n v="0"/>
    <n v="116"/>
    <n v="48.63"/>
    <n v="0"/>
    <n v="0"/>
    <n v="0"/>
    <n v="0"/>
    <n v="0"/>
    <n v="0"/>
    <n v="0"/>
    <n v="0"/>
    <n v="0"/>
    <n v="0"/>
    <n v="0"/>
    <n v="119.43"/>
    <n v="0"/>
    <n v="0"/>
    <n v="0"/>
    <n v="0"/>
    <n v="0"/>
    <n v="0"/>
    <n v="0"/>
    <n v="0"/>
    <n v="119.43"/>
    <n v="119.43"/>
    <n v="0"/>
    <n v="119.43"/>
    <n v="117.14"/>
    <n v="22.2"/>
    <n v="0"/>
    <n v="0"/>
    <n v="0"/>
    <n v="0"/>
    <n v="0"/>
    <n v="0"/>
    <n v="22.2"/>
    <n v="0"/>
    <n v="22.2"/>
    <n v="0"/>
    <n v="0"/>
    <n v="0"/>
    <n v="0"/>
    <m/>
    <m/>
    <m/>
    <m/>
    <m/>
    <m/>
    <m/>
    <m/>
    <m/>
    <m/>
    <m/>
    <m/>
    <m/>
    <m/>
    <m/>
    <m/>
    <m/>
    <m/>
    <m/>
    <m/>
    <m/>
    <m/>
    <m/>
    <m/>
    <m/>
    <m/>
    <m/>
    <m/>
    <m/>
    <m/>
    <m/>
    <m/>
    <m/>
    <m/>
  </r>
  <r>
    <n v="742"/>
    <d v="2025-02-11T00:00:00"/>
    <s v="ZBTO"/>
    <n v="9518510371"/>
    <n v="5"/>
    <s v="9518510371-5"/>
    <m/>
    <s v="No Priority"/>
    <s v="Failed orders"/>
    <x v="1"/>
    <x v="3"/>
    <n v="2000"/>
    <m/>
    <x v="1"/>
    <m/>
    <m/>
    <s v="Uttar Pradesh"/>
    <m/>
    <m/>
    <m/>
    <n v="115841"/>
    <s v="O.V.S. ISPAT UDYOG"/>
    <n v="322575"/>
    <s v="CRCA SHEET TATCRC TR15 .7X1250X2500"/>
    <s v=""/>
    <s v=""/>
    <m/>
    <m/>
    <s v="Wider"/>
    <s v="C06"/>
    <s v="TATCRC"/>
    <s v="TR15"/>
    <n v="0.7"/>
    <n v="1250"/>
    <n v="2500"/>
    <n v="39"/>
    <e v="#N/A"/>
    <n v="39"/>
    <n v="39"/>
    <e v="#N/A"/>
    <e v="#N/A"/>
    <m/>
    <n v="0"/>
    <n v="39"/>
    <n v="0"/>
    <n v="0"/>
    <n v="43.680000000000007"/>
    <n v="0"/>
    <n v="0"/>
    <n v="0"/>
    <n v="0"/>
    <n v="0"/>
    <n v="0"/>
    <n v="0"/>
    <n v="0"/>
    <n v="0"/>
    <n v="0"/>
    <n v="0"/>
    <n v="0"/>
    <n v="0"/>
    <n v="0"/>
    <n v="0"/>
    <n v="0"/>
    <n v="0"/>
    <n v="0"/>
    <n v="0"/>
    <n v="0"/>
    <n v="0"/>
    <n v="0"/>
    <n v="0"/>
    <n v="0"/>
    <n v="0"/>
    <n v="0"/>
    <n v="0"/>
    <n v="0"/>
    <n v="0"/>
    <n v="0"/>
    <n v="0"/>
    <n v="0"/>
    <n v="0"/>
    <n v="0"/>
    <n v="0"/>
    <n v="0"/>
    <n v="0"/>
    <m/>
    <m/>
    <m/>
    <m/>
    <m/>
    <m/>
    <m/>
    <m/>
    <m/>
    <m/>
    <m/>
    <m/>
    <m/>
    <m/>
    <m/>
    <m/>
    <m/>
    <m/>
    <m/>
    <m/>
    <m/>
    <m/>
    <m/>
    <m/>
    <m/>
    <m/>
    <m/>
    <m/>
    <m/>
    <m/>
    <m/>
    <m/>
    <m/>
    <m/>
  </r>
  <r>
    <n v="742"/>
    <d v="2025-02-11T00:00:00"/>
    <s v="ZBTO"/>
    <n v="9518510371"/>
    <n v="6"/>
    <s v="9518510371-6"/>
    <m/>
    <s v="No Priority"/>
    <s v="Failed orders"/>
    <x v="1"/>
    <x v="3"/>
    <n v="2000"/>
    <m/>
    <x v="1"/>
    <m/>
    <m/>
    <s v="Uttar Pradesh"/>
    <m/>
    <m/>
    <m/>
    <n v="115841"/>
    <s v="O.V.S. ISPAT UDYOG"/>
    <n v="322585"/>
    <s v="CRCA SHEET TATCRC TR15 .9X1250X2500"/>
    <s v=""/>
    <s v=""/>
    <m/>
    <m/>
    <s v="Wider"/>
    <s v="C06"/>
    <s v="TATCRC"/>
    <s v="TR15"/>
    <n v="0.9"/>
    <n v="1250"/>
    <n v="2500"/>
    <n v="33"/>
    <e v="#N/A"/>
    <n v="33"/>
    <n v="33"/>
    <e v="#N/A"/>
    <e v="#N/A"/>
    <m/>
    <n v="0"/>
    <n v="33"/>
    <n v="0"/>
    <n v="0"/>
    <n v="36.96"/>
    <n v="0"/>
    <n v="0"/>
    <n v="0"/>
    <n v="0"/>
    <n v="0"/>
    <n v="0"/>
    <n v="0"/>
    <n v="0"/>
    <n v="0"/>
    <n v="0"/>
    <n v="0"/>
    <n v="0"/>
    <n v="0"/>
    <n v="0"/>
    <n v="0"/>
    <n v="0"/>
    <n v="0"/>
    <n v="0"/>
    <n v="0"/>
    <n v="0"/>
    <n v="0"/>
    <n v="0"/>
    <n v="0"/>
    <n v="0"/>
    <n v="0"/>
    <n v="0"/>
    <n v="0"/>
    <n v="0"/>
    <n v="0"/>
    <n v="0"/>
    <n v="0"/>
    <n v="0"/>
    <n v="0"/>
    <n v="0"/>
    <n v="0"/>
    <n v="0"/>
    <n v="0"/>
    <m/>
    <m/>
    <m/>
    <m/>
    <m/>
    <m/>
    <m/>
    <m/>
    <m/>
    <m/>
    <m/>
    <m/>
    <m/>
    <m/>
    <m/>
    <m/>
    <m/>
    <m/>
    <m/>
    <m/>
    <m/>
    <m/>
    <m/>
    <m/>
    <m/>
    <m/>
    <m/>
    <m/>
    <m/>
    <m/>
    <m/>
    <m/>
    <m/>
    <m/>
  </r>
  <r>
    <n v="742"/>
    <d v="2025-01-29T00:00:00"/>
    <s v="ZBTO"/>
    <n v="9518474200"/>
    <n v="6"/>
    <s v="9518474200-6"/>
    <m/>
    <s v="No Priority"/>
    <s v="Failed orders"/>
    <x v="1"/>
    <x v="15"/>
    <n v="2000"/>
    <m/>
    <x v="1"/>
    <m/>
    <m/>
    <s v="Maharashtra"/>
    <m/>
    <m/>
    <m/>
    <n v="115806"/>
    <s v="NARESH STEEL INDUSTRIES PVT LT"/>
    <n v="2420521"/>
    <s v="CRCA COIL TATXXD AH03 1.200X1250"/>
    <s v=""/>
    <s v=""/>
    <m/>
    <m/>
    <s v="Wider"/>
    <s v="C01"/>
    <s v="TATXXD"/>
    <s v="AH03"/>
    <n v="1.2"/>
    <n v="1250"/>
    <n v="0"/>
    <n v="29"/>
    <e v="#N/A"/>
    <n v="29"/>
    <n v="29"/>
    <e v="#N/A"/>
    <e v="#N/A"/>
    <m/>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1-22T00:00:00"/>
    <s v="ZBTO"/>
    <n v="9518451267"/>
    <n v="1"/>
    <s v="9518451267-1"/>
    <m/>
    <s v="No Priority"/>
    <s v="Failed orders"/>
    <x v="1"/>
    <x v="15"/>
    <n v="2000"/>
    <m/>
    <x v="1"/>
    <m/>
    <m/>
    <s v="Maharashtra"/>
    <m/>
    <m/>
    <m/>
    <n v="154641"/>
    <s v="TATA STEEL DOWNSTREAM PRODUCTS"/>
    <n v="2420521"/>
    <s v="CRCA COIL TATXXD AH03 1.200X1250"/>
    <s v=""/>
    <s v=""/>
    <m/>
    <m/>
    <s v="Wider"/>
    <s v="C01"/>
    <s v="TATXXD"/>
    <s v="AH03"/>
    <n v="1.2"/>
    <n v="1250"/>
    <n v="0"/>
    <n v="58"/>
    <e v="#N/A"/>
    <n v="58"/>
    <n v="58"/>
    <e v="#N/A"/>
    <e v="#N/A"/>
    <m/>
    <n v="0"/>
    <n v="58"/>
    <n v="0"/>
    <n v="0"/>
    <n v="64.960000000000008"/>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90750"/>
    <n v="13"/>
    <s v="9518490750-13"/>
    <m/>
    <s v="Mar'25"/>
    <s v="Released orders"/>
    <x v="1"/>
    <x v="1"/>
    <s v="2000-BPRS"/>
    <m/>
    <x v="0"/>
    <s v="Mar"/>
    <m/>
    <m/>
    <m/>
    <s v="TANGI"/>
    <m/>
    <n v="117061"/>
    <s v="BHARTIA  DISTRIBUTORS PVT. LTD."/>
    <n v="3240842"/>
    <s v="CRCA SHEET TSBCRC SR15 1X1250X2500"/>
    <s v=" "/>
    <s v=""/>
    <n v="0.1"/>
    <n v="5"/>
    <s v="Wider"/>
    <s v="C06"/>
    <s v="TSBCRC"/>
    <s v="SR15"/>
    <n v="1"/>
    <n v="1250"/>
    <n v="2500"/>
    <n v="75"/>
    <n v="0"/>
    <n v="75"/>
    <n v="75"/>
    <n v="0"/>
    <n v="75"/>
    <m/>
    <m/>
    <n v="75"/>
    <n v="75"/>
    <n v="0"/>
    <n v="84.000000000000014"/>
    <n v="0"/>
    <n v="0"/>
    <n v="0"/>
    <n v="0"/>
    <n v="0"/>
    <n v="0"/>
    <n v="0"/>
    <n v="0"/>
    <n v="0"/>
    <n v="0"/>
    <n v="0"/>
    <n v="0"/>
    <n v="0"/>
    <n v="0"/>
    <n v="0"/>
    <n v="0"/>
    <n v="0"/>
    <n v="0"/>
    <n v="0"/>
    <n v="0"/>
    <n v="0"/>
    <n v="0"/>
    <n v="0"/>
    <n v="0"/>
    <n v="75"/>
    <n v="0"/>
    <n v="0"/>
    <n v="0"/>
    <n v="75"/>
    <n v="0"/>
    <n v="75"/>
    <n v="0"/>
    <n v="0"/>
    <n v="0"/>
    <n v="0"/>
    <n v="75"/>
    <n v="0"/>
    <m/>
    <m/>
    <m/>
    <m/>
    <m/>
    <m/>
    <m/>
    <m/>
    <m/>
    <m/>
    <m/>
    <m/>
    <m/>
    <m/>
    <m/>
    <m/>
    <m/>
    <m/>
    <m/>
    <m/>
    <m/>
    <m/>
    <m/>
    <m/>
    <m/>
    <m/>
    <m/>
    <m/>
    <m/>
    <m/>
    <m/>
    <m/>
    <m/>
    <m/>
  </r>
  <r>
    <n v="742"/>
    <d v="2025-02-17T00:00:00"/>
    <s v="ZBTO"/>
    <n v="9518525986"/>
    <n v="3"/>
    <s v="9518525986-3"/>
    <m/>
    <s v="Mar'25"/>
    <s v="Released orders"/>
    <x v="1"/>
    <x v="3"/>
    <n v="2000"/>
    <m/>
    <x v="0"/>
    <s v="Mar"/>
    <m/>
    <s v="Uttar Pradesh"/>
    <m/>
    <m/>
    <m/>
    <n v="115841"/>
    <s v="O.V.S. ISPAT UDYOG"/>
    <n v="1804908"/>
    <s v="CRCA COIL TATCRC TR15 0.5X1250"/>
    <s v=""/>
    <s v=""/>
    <m/>
    <m/>
    <s v="Wider"/>
    <s v="C01"/>
    <s v="TATCRC"/>
    <s v="TR15"/>
    <n v="0.5"/>
    <n v="1250"/>
    <n v="0"/>
    <n v="29"/>
    <n v="0"/>
    <n v="29"/>
    <n v="29"/>
    <n v="0"/>
    <n v="29"/>
    <m/>
    <m/>
    <n v="29"/>
    <n v="29"/>
    <n v="0"/>
    <n v="32.480000000000004"/>
    <n v="0"/>
    <n v="0"/>
    <n v="0"/>
    <n v="0"/>
    <n v="0"/>
    <n v="0"/>
    <n v="0"/>
    <n v="0"/>
    <n v="0"/>
    <n v="0"/>
    <n v="0"/>
    <n v="0"/>
    <n v="0"/>
    <n v="0"/>
    <n v="0"/>
    <n v="0"/>
    <n v="0"/>
    <n v="0"/>
    <n v="0"/>
    <n v="0"/>
    <n v="0"/>
    <n v="0"/>
    <n v="0"/>
    <n v="0"/>
    <n v="29"/>
    <n v="0"/>
    <n v="0"/>
    <n v="0"/>
    <n v="29"/>
    <n v="0"/>
    <n v="29"/>
    <n v="0"/>
    <n v="0"/>
    <n v="0"/>
    <n v="0"/>
    <n v="29"/>
    <n v="0"/>
    <m/>
    <m/>
    <m/>
    <m/>
    <m/>
    <m/>
    <m/>
    <m/>
    <m/>
    <m/>
    <m/>
    <m/>
    <m/>
    <m/>
    <m/>
    <m/>
    <m/>
    <m/>
    <m/>
    <m/>
    <m/>
    <m/>
    <m/>
    <m/>
    <m/>
    <m/>
    <m/>
    <m/>
    <m/>
    <m/>
    <m/>
    <m/>
    <m/>
    <m/>
  </r>
  <r>
    <n v="742"/>
    <d v="2024-12-06T00:00:00"/>
    <s v="ZBTO"/>
    <n v="9518324058"/>
    <n v="5"/>
    <s v="9518324058-5"/>
    <m/>
    <s v="No Priority"/>
    <s v="Failed orders"/>
    <x v="1"/>
    <x v="3"/>
    <n v="2000"/>
    <m/>
    <x v="1"/>
    <m/>
    <m/>
    <s v="Chhattisgarh"/>
    <m/>
    <m/>
    <m/>
    <n v="139336"/>
    <s v="PASA ASSOCIATES PRIVATE LIMITE"/>
    <n v="322577"/>
    <s v="CRCA SHEET TATCRC TR15 1.6X1250X2500"/>
    <s v=""/>
    <s v=""/>
    <m/>
    <m/>
    <s v="Wider"/>
    <s v="C06"/>
    <s v="TATCRC"/>
    <s v="TR15"/>
    <n v="1.6"/>
    <n v="1250"/>
    <n v="2500"/>
    <n v="33"/>
    <e v="#N/A"/>
    <n v="33"/>
    <n v="33"/>
    <e v="#N/A"/>
    <e v="#N/A"/>
    <m/>
    <n v="0"/>
    <n v="33"/>
    <n v="0"/>
    <n v="0"/>
    <n v="36.96"/>
    <n v="0"/>
    <n v="0"/>
    <n v="0"/>
    <n v="0"/>
    <n v="0"/>
    <n v="0"/>
    <n v="0"/>
    <n v="0"/>
    <n v="0"/>
    <n v="0"/>
    <n v="0"/>
    <n v="0"/>
    <n v="0"/>
    <n v="0"/>
    <n v="0"/>
    <n v="0"/>
    <n v="0"/>
    <n v="0"/>
    <n v="0"/>
    <n v="0"/>
    <n v="0"/>
    <n v="0"/>
    <n v="0"/>
    <n v="0"/>
    <n v="0"/>
    <n v="0"/>
    <n v="0"/>
    <n v="0"/>
    <n v="0"/>
    <n v="0"/>
    <n v="0"/>
    <n v="0"/>
    <n v="0"/>
    <n v="0"/>
    <n v="0"/>
    <n v="0"/>
    <n v="0"/>
    <m/>
    <m/>
    <m/>
    <m/>
    <m/>
    <m/>
    <m/>
    <m/>
    <m/>
    <m/>
    <m/>
    <m/>
    <m/>
    <m/>
    <m/>
    <m/>
    <m/>
    <m/>
    <m/>
    <m/>
    <m/>
    <m/>
    <m/>
    <m/>
    <m/>
    <m/>
    <m/>
    <m/>
    <m/>
    <m/>
    <m/>
    <m/>
    <m/>
    <m/>
  </r>
  <r>
    <n v="742"/>
    <d v="2024-12-06T00:00:00"/>
    <s v="ZBTO"/>
    <n v="9518324058"/>
    <n v="6"/>
    <s v="9518324058-6"/>
    <m/>
    <s v="No Priority"/>
    <s v="Failed orders"/>
    <x v="1"/>
    <x v="3"/>
    <n v="2000"/>
    <m/>
    <x v="1"/>
    <m/>
    <m/>
    <s v="Chhattisgarh"/>
    <m/>
    <m/>
    <m/>
    <n v="139336"/>
    <s v="PASA ASSOCIATES PRIVATE LIMITE"/>
    <n v="291034"/>
    <s v="CRSHEET C06 TATCRC TR15 2X1250X2500"/>
    <s v=""/>
    <s v=""/>
    <m/>
    <m/>
    <s v="Wider"/>
    <s v="C06"/>
    <s v="TATCRC"/>
    <s v="TR15"/>
    <n v="2"/>
    <n v="1250"/>
    <n v="2500"/>
    <n v="33"/>
    <e v="#N/A"/>
    <n v="33"/>
    <n v="33"/>
    <e v="#N/A"/>
    <e v="#N/A"/>
    <m/>
    <n v="0"/>
    <n v="33"/>
    <n v="0"/>
    <n v="0"/>
    <n v="36.96"/>
    <n v="0"/>
    <n v="0"/>
    <n v="0"/>
    <n v="0"/>
    <n v="0"/>
    <n v="0"/>
    <n v="0"/>
    <n v="0"/>
    <n v="0"/>
    <n v="0"/>
    <n v="0"/>
    <n v="0"/>
    <n v="0"/>
    <n v="0"/>
    <n v="0"/>
    <n v="0"/>
    <n v="0"/>
    <n v="0"/>
    <n v="0"/>
    <n v="0"/>
    <n v="0"/>
    <n v="0"/>
    <n v="0"/>
    <n v="0"/>
    <n v="0"/>
    <n v="0"/>
    <n v="0"/>
    <n v="0"/>
    <n v="0"/>
    <n v="0"/>
    <n v="0"/>
    <n v="0"/>
    <n v="0"/>
    <n v="0"/>
    <n v="0"/>
    <n v="0"/>
    <n v="0"/>
    <m/>
    <m/>
    <m/>
    <m/>
    <m/>
    <m/>
    <m/>
    <m/>
    <m/>
    <m/>
    <m/>
    <m/>
    <m/>
    <m/>
    <m/>
    <m/>
    <m/>
    <m/>
    <m/>
    <m/>
    <m/>
    <m/>
    <m/>
    <m/>
    <m/>
    <m/>
    <m/>
    <m/>
    <m/>
    <m/>
    <m/>
    <m/>
    <m/>
    <m/>
  </r>
  <r>
    <n v="743"/>
    <d v="2024-12-30T00:00:00"/>
    <s v="ZBTO"/>
    <n v="9518388810"/>
    <n v="4"/>
    <s v="9518388810-4"/>
    <m/>
    <s v="No Priority"/>
    <s v="Released orders"/>
    <x v="2"/>
    <x v="2"/>
    <n v="2000"/>
    <m/>
    <x v="1"/>
    <m/>
    <m/>
    <s v="West Bengal"/>
    <m/>
    <m/>
    <m/>
    <n v="100922"/>
    <s v="BUBNA COMMERCIAL COMPANY"/>
    <n v="1142895"/>
    <s v="GP COIL SOFT-TATXGP-GLK1-0.5X900"/>
    <s v=""/>
    <s v=""/>
    <m/>
    <m/>
    <s v="Narrow"/>
    <s v="C02"/>
    <s v="TATXGP"/>
    <s v="GLK1"/>
    <n v="0.5"/>
    <n v="900"/>
    <n v="0"/>
    <n v="42"/>
    <n v="0"/>
    <n v="42"/>
    <n v="42"/>
    <e v="#N/A"/>
    <e v="#N/A"/>
    <m/>
    <m/>
    <n v="42"/>
    <n v="42"/>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1-29T00:00:00"/>
    <s v="ZBTO"/>
    <n v="9518474200"/>
    <n v="7"/>
    <s v="9518474200-7"/>
    <m/>
    <s v="No Priority"/>
    <s v="Failed orders"/>
    <x v="1"/>
    <x v="15"/>
    <n v="2000"/>
    <m/>
    <x v="1"/>
    <m/>
    <m/>
    <s v="Maharashtra"/>
    <m/>
    <m/>
    <m/>
    <n v="115806"/>
    <s v="NARESH STEEL INDUSTRIES PVT LT"/>
    <n v="2420602"/>
    <s v="CRCA COIL TATXXD AH03 1.400X1250"/>
    <s v=""/>
    <s v=""/>
    <m/>
    <m/>
    <s v="Wider"/>
    <s v="C01"/>
    <s v="TATXXD"/>
    <s v="AH03"/>
    <n v="1.4"/>
    <n v="1250"/>
    <n v="0"/>
    <n v="29"/>
    <e v="#N/A"/>
    <n v="29"/>
    <n v="29"/>
    <e v="#N/A"/>
    <e v="#N/A"/>
    <m/>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1-14T00:00:00"/>
    <s v="ZBTO"/>
    <n v="9518429066"/>
    <n v="13"/>
    <s v="9518429066-13"/>
    <m/>
    <s v="Mar'25"/>
    <s v="Released orders"/>
    <x v="1"/>
    <x v="1"/>
    <n v="2000"/>
    <m/>
    <x v="0"/>
    <s v="Mar"/>
    <m/>
    <s v="Orissa"/>
    <m/>
    <m/>
    <m/>
    <n v="117061"/>
    <s v="BHARTIA  DISTRIBUTORS PVT. LTD"/>
    <n v="3240842"/>
    <s v="CRCA SHEET TSBCRC SR15 1X1250X2500"/>
    <s v=""/>
    <s v=""/>
    <m/>
    <m/>
    <s v="Wider"/>
    <s v="C06"/>
    <s v="TSBCRC"/>
    <s v="SR15"/>
    <n v="1"/>
    <n v="1250"/>
    <n v="2500"/>
    <n v="24"/>
    <n v="0"/>
    <n v="24"/>
    <n v="24"/>
    <n v="0"/>
    <n v="24"/>
    <m/>
    <m/>
    <n v="24"/>
    <n v="24"/>
    <n v="0"/>
    <n v="26.880000000000003"/>
    <n v="0"/>
    <n v="0"/>
    <n v="0"/>
    <n v="0"/>
    <n v="0"/>
    <n v="0"/>
    <n v="0"/>
    <n v="0"/>
    <n v="0"/>
    <n v="0"/>
    <n v="0"/>
    <n v="0"/>
    <n v="0"/>
    <n v="0"/>
    <n v="0"/>
    <n v="0"/>
    <n v="0"/>
    <n v="0"/>
    <n v="0"/>
    <n v="0"/>
    <n v="0"/>
    <n v="0"/>
    <n v="0"/>
    <n v="0"/>
    <n v="24"/>
    <n v="0"/>
    <n v="0"/>
    <n v="0"/>
    <n v="24"/>
    <n v="0"/>
    <n v="24"/>
    <n v="0"/>
    <n v="0"/>
    <n v="0"/>
    <n v="0"/>
    <n v="24"/>
    <n v="0"/>
    <m/>
    <m/>
    <m/>
    <m/>
    <m/>
    <m/>
    <m/>
    <m/>
    <m/>
    <m/>
    <m/>
    <m/>
    <m/>
    <m/>
    <m/>
    <m/>
    <m/>
    <m/>
    <m/>
    <m/>
    <m/>
    <m/>
    <m/>
    <m/>
    <m/>
    <m/>
    <m/>
    <m/>
    <m/>
    <m/>
    <m/>
    <m/>
    <m/>
    <m/>
  </r>
  <r>
    <n v="742"/>
    <d v="2025-02-07T00:00:00"/>
    <s v="ZBTO"/>
    <n v="9518500267"/>
    <n v="4"/>
    <s v="9518500267-4"/>
    <m/>
    <s v="Mar'25"/>
    <s v="Released orders"/>
    <x v="1"/>
    <x v="15"/>
    <s v="2000-BPRS"/>
    <m/>
    <x v="0"/>
    <s v="Mar"/>
    <m/>
    <m/>
    <m/>
    <s v="YESHWANTHPURA"/>
    <m/>
    <n v="939268"/>
    <s v="TATA STEEL DOWNSTREAM PRODUCTS LIMI"/>
    <n v="2420603"/>
    <s v="CRCA COIL TATXXD AH03 1.450X1250"/>
    <s v=" "/>
    <s v=""/>
    <n v="2"/>
    <n v="26"/>
    <s v="Wider"/>
    <s v="C01"/>
    <s v="TATXXD"/>
    <s v="AH03"/>
    <n v="1.45"/>
    <n v="1250"/>
    <n v="0"/>
    <n v="87"/>
    <n v="0"/>
    <n v="87"/>
    <n v="87"/>
    <n v="0"/>
    <n v="87"/>
    <m/>
    <m/>
    <n v="87"/>
    <n v="87"/>
    <n v="0"/>
    <n v="97.440000000000012"/>
    <n v="0"/>
    <n v="0"/>
    <n v="0"/>
    <n v="0"/>
    <n v="0"/>
    <n v="0"/>
    <n v="0"/>
    <n v="0"/>
    <n v="0"/>
    <n v="0"/>
    <n v="0"/>
    <n v="0"/>
    <n v="0"/>
    <n v="0"/>
    <n v="0"/>
    <n v="0"/>
    <n v="0"/>
    <n v="0"/>
    <n v="0"/>
    <n v="0"/>
    <n v="0"/>
    <n v="0"/>
    <n v="0"/>
    <n v="0"/>
    <n v="87"/>
    <n v="0"/>
    <n v="0"/>
    <n v="0"/>
    <n v="0"/>
    <n v="87"/>
    <n v="0"/>
    <n v="0"/>
    <n v="0"/>
    <n v="0"/>
    <n v="0"/>
    <n v="0"/>
    <n v="87"/>
    <m/>
    <m/>
    <m/>
    <m/>
    <m/>
    <m/>
    <m/>
    <m/>
    <m/>
    <m/>
    <m/>
    <m/>
    <m/>
    <m/>
    <m/>
    <m/>
    <m/>
    <m/>
    <m/>
    <m/>
    <m/>
    <m/>
    <m/>
    <m/>
    <m/>
    <m/>
    <m/>
    <m/>
    <m/>
    <m/>
    <m/>
    <m/>
    <m/>
    <m/>
  </r>
  <r>
    <n v="743"/>
    <d v="2025-02-07T00:00:00"/>
    <s v="ZBTO"/>
    <n v="9518500308"/>
    <n v="1"/>
    <s v="9518500308-1"/>
    <m/>
    <s v="No Priority"/>
    <s v="Failed orders"/>
    <x v="3"/>
    <x v="13"/>
    <n v="1000"/>
    <m/>
    <x v="1"/>
    <m/>
    <s v="To be closed"/>
    <s v="Telangana"/>
    <m/>
    <m/>
    <m/>
    <n v="947959"/>
    <s v="PENNAR INDUSTRIES LIMITED"/>
    <n v="3924555"/>
    <s v="GL COIL HARD  Y550GL HGL6 0.900X1045"/>
    <n v="150"/>
    <s v=""/>
    <m/>
    <m/>
    <s v="Narrow"/>
    <s v="B04"/>
    <s v="Y550GL"/>
    <s v="HGL6"/>
    <n v="0.9"/>
    <n v="1045"/>
    <n v="0"/>
    <n v="264"/>
    <e v="#N/A"/>
    <n v="264"/>
    <n v="264"/>
    <e v="#N/A"/>
    <e v="#N/A"/>
    <m/>
    <m/>
    <n v="264"/>
    <n v="0"/>
    <n v="0"/>
    <n v="295.68"/>
    <n v="0"/>
    <n v="0"/>
    <n v="0"/>
    <n v="0"/>
    <n v="0"/>
    <n v="0"/>
    <n v="0"/>
    <n v="0"/>
    <n v="0"/>
    <n v="0"/>
    <n v="0"/>
    <n v="0"/>
    <n v="0"/>
    <n v="0"/>
    <n v="0"/>
    <n v="0"/>
    <n v="0"/>
    <n v="0"/>
    <n v="0"/>
    <n v="0"/>
    <n v="0"/>
    <n v="0"/>
    <n v="0"/>
    <n v="0"/>
    <n v="0"/>
    <n v="0"/>
    <n v="0"/>
    <n v="0"/>
    <n v="0"/>
    <n v="0"/>
    <n v="0"/>
    <n v="0"/>
    <n v="0"/>
    <n v="0"/>
    <n v="0"/>
    <n v="0"/>
    <n v="0"/>
    <m/>
    <m/>
    <m/>
    <m/>
    <m/>
    <m/>
    <m/>
    <m/>
    <m/>
    <m/>
    <m/>
    <m/>
    <m/>
    <m/>
    <m/>
    <m/>
    <m/>
    <m/>
    <m/>
    <m/>
    <m/>
    <m/>
    <m/>
    <m/>
    <m/>
    <m/>
    <m/>
    <m/>
    <m/>
    <m/>
    <m/>
    <m/>
    <m/>
    <m/>
  </r>
  <r>
    <n v="743"/>
    <d v="2025-02-07T00:00:00"/>
    <s v="ZBTO"/>
    <n v="9518500308"/>
    <n v="2"/>
    <s v="9518500308-2"/>
    <m/>
    <s v="No Priority"/>
    <s v="Failed orders"/>
    <x v="3"/>
    <x v="13"/>
    <n v="1000"/>
    <m/>
    <x v="1"/>
    <m/>
    <s v="To be closed"/>
    <s v="Telangana"/>
    <m/>
    <m/>
    <m/>
    <n v="947959"/>
    <s v="PENNAR INDUSTRIES LIMITED"/>
    <n v="3924555"/>
    <s v="GL COIL HARD  Y550GL HGL6 0.900X1045"/>
    <n v="150"/>
    <s v=""/>
    <m/>
    <m/>
    <s v="Narrow"/>
    <s v="B04"/>
    <s v="Y550GL"/>
    <s v="HGL6"/>
    <n v="0.9"/>
    <n v="1045"/>
    <n v="0"/>
    <n v="264"/>
    <e v="#N/A"/>
    <n v="264"/>
    <n v="264"/>
    <e v="#N/A"/>
    <e v="#N/A"/>
    <m/>
    <m/>
    <n v="264"/>
    <n v="0"/>
    <n v="0"/>
    <n v="295.68"/>
    <n v="0"/>
    <n v="0"/>
    <n v="0"/>
    <n v="0"/>
    <n v="0"/>
    <n v="0"/>
    <n v="0"/>
    <n v="0"/>
    <n v="0"/>
    <n v="0"/>
    <n v="0"/>
    <n v="0"/>
    <n v="0"/>
    <n v="0"/>
    <n v="0"/>
    <n v="0"/>
    <n v="0"/>
    <n v="0"/>
    <n v="0"/>
    <n v="0"/>
    <n v="0"/>
    <n v="0"/>
    <n v="0"/>
    <n v="0"/>
    <n v="0"/>
    <n v="0"/>
    <n v="0"/>
    <n v="0"/>
    <n v="0"/>
    <n v="0"/>
    <n v="0"/>
    <n v="0"/>
    <n v="0"/>
    <n v="0"/>
    <n v="0"/>
    <n v="0"/>
    <n v="0"/>
    <m/>
    <m/>
    <m/>
    <m/>
    <m/>
    <m/>
    <m/>
    <m/>
    <m/>
    <m/>
    <m/>
    <m/>
    <m/>
    <m/>
    <m/>
    <m/>
    <m/>
    <m/>
    <m/>
    <m/>
    <m/>
    <m/>
    <m/>
    <m/>
    <m/>
    <m/>
    <m/>
    <m/>
    <m/>
    <m/>
    <m/>
    <m/>
    <m/>
    <m/>
  </r>
  <r>
    <n v="743"/>
    <d v="2025-02-07T00:00:00"/>
    <s v="ZBTO"/>
    <n v="9518500308"/>
    <n v="3"/>
    <s v="9518500308-3"/>
    <m/>
    <s v="No Priority"/>
    <s v="Failed orders"/>
    <x v="3"/>
    <x v="13"/>
    <n v="1000"/>
    <m/>
    <x v="1"/>
    <m/>
    <s v="To be closed"/>
    <s v="Telangana"/>
    <m/>
    <m/>
    <m/>
    <n v="947959"/>
    <s v="PENNAR INDUSTRIES LIMITED"/>
    <n v="3924555"/>
    <s v="GL COIL HARD  Y550GL HGL6 0.900X1045"/>
    <n v="150"/>
    <s v=""/>
    <m/>
    <m/>
    <s v="Narrow"/>
    <s v="B04"/>
    <s v="Y550GL"/>
    <s v="HGL6"/>
    <n v="0.9"/>
    <n v="1045"/>
    <n v="0"/>
    <n v="48"/>
    <e v="#N/A"/>
    <n v="48"/>
    <n v="48"/>
    <e v="#N/A"/>
    <e v="#N/A"/>
    <m/>
    <m/>
    <n v="48"/>
    <n v="0"/>
    <n v="0"/>
    <n v="53.76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4-12-17T00:00:00"/>
    <s v="ZBTO"/>
    <n v="9518349396"/>
    <n v="1"/>
    <s v="9518349396-1"/>
    <m/>
    <s v="No Priority"/>
    <s v="Failed orders"/>
    <x v="1"/>
    <x v="3"/>
    <n v="2000"/>
    <m/>
    <x v="1"/>
    <m/>
    <m/>
    <s v="Chhattisgarh"/>
    <m/>
    <m/>
    <m/>
    <n v="931662"/>
    <s v="PRESTIGE METALLICS PRIVATE LIM"/>
    <n v="291034"/>
    <s v="CRSHEET C06 TATCRC TR15 2X1250X2500"/>
    <s v=""/>
    <s v=""/>
    <m/>
    <m/>
    <s v="Wider"/>
    <s v="C06"/>
    <s v="TATCRC"/>
    <s v="TR15"/>
    <n v="2"/>
    <n v="1250"/>
    <n v="2500"/>
    <n v="30"/>
    <e v="#N/A"/>
    <n v="30"/>
    <n v="30"/>
    <e v="#N/A"/>
    <e v="#N/A"/>
    <m/>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4-12-17T00:00:00"/>
    <s v="ZBTO"/>
    <n v="9518349396"/>
    <n v="3"/>
    <s v="9518349396-3"/>
    <m/>
    <s v="No Priority"/>
    <s v="Failed orders"/>
    <x v="1"/>
    <x v="3"/>
    <n v="2000"/>
    <m/>
    <x v="1"/>
    <m/>
    <m/>
    <s v="Chhattisgarh"/>
    <m/>
    <m/>
    <m/>
    <n v="931662"/>
    <s v="PRESTIGE METALLICS PRIVATE LIM"/>
    <n v="463611"/>
    <s v="CRCA SHEET TATCRC TR15 .95X1250X2500"/>
    <s v=""/>
    <s v=""/>
    <m/>
    <m/>
    <s v="Wider"/>
    <s v="C06"/>
    <s v="TATCRC"/>
    <s v="TR15"/>
    <n v="0.95"/>
    <n v="1250"/>
    <n v="2500"/>
    <n v="30"/>
    <e v="#N/A"/>
    <n v="30"/>
    <n v="30"/>
    <e v="#N/A"/>
    <e v="#N/A"/>
    <m/>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4-12-17T00:00:00"/>
    <s v="ZBTO"/>
    <n v="9518349396"/>
    <n v="4"/>
    <s v="9518349396-4"/>
    <m/>
    <s v="No Priority"/>
    <s v="Failed orders"/>
    <x v="1"/>
    <x v="3"/>
    <n v="2000"/>
    <m/>
    <x v="1"/>
    <m/>
    <s v="Beyond HSM rollability"/>
    <s v="Chhattisgarh"/>
    <m/>
    <m/>
    <m/>
    <n v="931662"/>
    <s v="PRESTIGE METALLICS PRIVATE LIM"/>
    <n v="1404375"/>
    <s v="CRCA SHEET TATCRC TR15 0.350X900X2500"/>
    <s v=""/>
    <s v=""/>
    <m/>
    <m/>
    <s v="Narrow"/>
    <s v="C06"/>
    <s v="TATCRC"/>
    <s v="TR15"/>
    <n v="0.35"/>
    <n v="900"/>
    <n v="250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4-12-21T00:00:00"/>
    <s v="ZBTO"/>
    <n v="9518362076"/>
    <n v="3"/>
    <s v="9518362076-3"/>
    <m/>
    <s v="No Priority"/>
    <s v="Failed orders"/>
    <x v="1"/>
    <x v="3"/>
    <n v="2000"/>
    <m/>
    <x v="1"/>
    <m/>
    <m/>
    <s v="Chhattisgarh"/>
    <m/>
    <m/>
    <m/>
    <n v="931662"/>
    <s v="PRESTIGE METALLICS PRIVATE LIM"/>
    <n v="322577"/>
    <s v="CRCA SHEET TATCRC TR15 1.6X1250X2500"/>
    <s v=""/>
    <s v=""/>
    <m/>
    <m/>
    <s v="Wider"/>
    <s v="C06"/>
    <s v="TATCRC"/>
    <s v="TR15"/>
    <n v="1.6"/>
    <n v="1250"/>
    <n v="2500"/>
    <n v="30"/>
    <e v="#N/A"/>
    <n v="30"/>
    <n v="30"/>
    <e v="#N/A"/>
    <e v="#N/A"/>
    <m/>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4-12-21T00:00:00"/>
    <s v="ZBTO"/>
    <n v="9518362076"/>
    <n v="6"/>
    <s v="9518362076-6"/>
    <m/>
    <s v="No Priority"/>
    <s v="Failed orders"/>
    <x v="1"/>
    <x v="3"/>
    <n v="2000"/>
    <m/>
    <x v="1"/>
    <m/>
    <m/>
    <s v="Chhattisgarh"/>
    <m/>
    <m/>
    <m/>
    <n v="931662"/>
    <s v="PRESTIGE METALLICS PRIVATE LIM"/>
    <n v="322580"/>
    <s v="CRCA SHEET TATCRC TR15 1.2X1250X2500"/>
    <s v=""/>
    <s v=""/>
    <m/>
    <m/>
    <s v="Wider"/>
    <s v="C06"/>
    <s v="TATCRC"/>
    <s v="TR15"/>
    <n v="1.2"/>
    <n v="1250"/>
    <n v="2500"/>
    <n v="30"/>
    <e v="#N/A"/>
    <n v="30"/>
    <n v="30"/>
    <e v="#N/A"/>
    <e v="#N/A"/>
    <m/>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90750"/>
    <n v="14"/>
    <s v="9518490750-14"/>
    <m/>
    <s v="Mar'25"/>
    <s v="Released orders"/>
    <x v="1"/>
    <x v="1"/>
    <s v="2000-BPRS"/>
    <m/>
    <x v="0"/>
    <s v="Mar"/>
    <m/>
    <m/>
    <m/>
    <s v="TANGI"/>
    <m/>
    <n v="117061"/>
    <s v="BHARTIA  DISTRIBUTORS PVT. LTD."/>
    <n v="3240851"/>
    <s v="CRCA SHEET TSBCRC SR15 1.200X1250X2500"/>
    <s v=" "/>
    <s v=""/>
    <n v="0.1"/>
    <n v="5"/>
    <s v="Wider"/>
    <s v="C06"/>
    <s v="TSBCRC"/>
    <s v="SR15"/>
    <n v="1.2"/>
    <n v="1250"/>
    <n v="2500"/>
    <n v="75"/>
    <n v="0"/>
    <n v="75"/>
    <n v="75"/>
    <n v="0"/>
    <n v="75"/>
    <m/>
    <m/>
    <n v="75"/>
    <n v="75"/>
    <n v="0"/>
    <n v="84.000000000000014"/>
    <n v="0"/>
    <n v="0"/>
    <n v="0"/>
    <n v="0"/>
    <n v="0"/>
    <n v="0"/>
    <n v="0"/>
    <n v="0"/>
    <n v="0"/>
    <n v="0"/>
    <n v="0"/>
    <n v="0"/>
    <n v="0"/>
    <n v="0"/>
    <n v="0"/>
    <n v="0"/>
    <n v="0"/>
    <n v="0"/>
    <n v="0"/>
    <n v="0"/>
    <n v="0"/>
    <n v="0"/>
    <n v="0"/>
    <n v="0"/>
    <n v="75"/>
    <n v="0"/>
    <n v="0"/>
    <n v="0"/>
    <n v="75"/>
    <n v="0"/>
    <n v="75"/>
    <n v="0"/>
    <n v="0"/>
    <n v="0"/>
    <n v="0"/>
    <n v="75"/>
    <n v="0"/>
    <m/>
    <m/>
    <m/>
    <m/>
    <m/>
    <m/>
    <m/>
    <m/>
    <m/>
    <m/>
    <m/>
    <m/>
    <m/>
    <m/>
    <m/>
    <m/>
    <m/>
    <m/>
    <m/>
    <m/>
    <m/>
    <m/>
    <m/>
    <m/>
    <m/>
    <m/>
    <m/>
    <m/>
    <m/>
    <m/>
    <m/>
    <m/>
    <m/>
    <m/>
  </r>
  <r>
    <n v="742"/>
    <d v="2025-02-03T00:00:00"/>
    <s v="ZBTO"/>
    <n v="9518490862"/>
    <n v="3"/>
    <s v="9518490862-3"/>
    <m/>
    <s v="Mar'25"/>
    <s v="Released orders"/>
    <x v="1"/>
    <x v="1"/>
    <n v="2000"/>
    <m/>
    <x v="0"/>
    <s v="Mar"/>
    <m/>
    <s v="West Bengal"/>
    <m/>
    <m/>
    <m/>
    <n v="925093"/>
    <s v="PSPL STEEL PROCESSORS PRIVATE"/>
    <n v="3240760"/>
    <s v="CRCA SHEET TSBCRC SR15 0.500X1000X2500"/>
    <s v=""/>
    <s v=""/>
    <m/>
    <m/>
    <s v="Narrow"/>
    <s v="C06"/>
    <s v="TSBCRC"/>
    <s v="SR15"/>
    <n v="0.5"/>
    <n v="1000"/>
    <n v="2500"/>
    <n v="24"/>
    <n v="0"/>
    <n v="24"/>
    <n v="24"/>
    <e v="#N/A"/>
    <e v="#N/A"/>
    <m/>
    <n v="0"/>
    <n v="24"/>
    <n v="24"/>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3T00:00:00"/>
    <s v="ZBTO"/>
    <n v="9518490862"/>
    <n v="5"/>
    <s v="9518490862-5"/>
    <m/>
    <s v="Mar'25 additional"/>
    <s v="Released orders"/>
    <x v="1"/>
    <x v="3"/>
    <n v="2000"/>
    <m/>
    <x v="0"/>
    <m/>
    <m/>
    <s v="West Bengal"/>
    <m/>
    <m/>
    <m/>
    <n v="925093"/>
    <s v="PSPL STEEL PROCESSORS PRIVATE"/>
    <n v="322578"/>
    <s v="CRCA SHEET TATCRC TR15 .5X1250X2500"/>
    <s v=""/>
    <s v=""/>
    <m/>
    <m/>
    <s v="Wider"/>
    <s v="C06"/>
    <s v="TATCRC"/>
    <s v="TR15"/>
    <n v="0.5"/>
    <n v="1250"/>
    <n v="2500"/>
    <n v="24"/>
    <n v="0"/>
    <n v="24"/>
    <n v="24"/>
    <n v="0"/>
    <n v="24"/>
    <m/>
    <m/>
    <n v="24"/>
    <n v="24"/>
    <n v="0"/>
    <n v="26.880000000000003"/>
    <n v="0"/>
    <n v="0"/>
    <n v="0"/>
    <n v="0"/>
    <n v="0"/>
    <n v="0"/>
    <n v="0"/>
    <n v="0"/>
    <n v="0"/>
    <n v="0"/>
    <n v="0"/>
    <n v="0"/>
    <n v="0"/>
    <n v="0"/>
    <n v="0"/>
    <n v="0"/>
    <n v="0"/>
    <n v="0"/>
    <n v="0"/>
    <n v="0"/>
    <n v="0"/>
    <n v="0"/>
    <n v="0"/>
    <n v="0"/>
    <n v="24"/>
    <n v="0"/>
    <n v="0"/>
    <n v="0"/>
    <n v="0"/>
    <n v="24"/>
    <n v="0"/>
    <n v="0"/>
    <n v="0"/>
    <n v="0"/>
    <n v="0"/>
    <n v="0"/>
    <n v="24"/>
    <m/>
    <m/>
    <m/>
    <m/>
    <m/>
    <m/>
    <m/>
    <m/>
    <m/>
    <m/>
    <m/>
    <m/>
    <m/>
    <m/>
    <m/>
    <m/>
    <m/>
    <m/>
    <m/>
    <m/>
    <m/>
    <m/>
    <m/>
    <m/>
    <m/>
    <m/>
    <m/>
    <m/>
    <m/>
    <m/>
    <m/>
    <m/>
    <m/>
    <m/>
  </r>
  <r>
    <n v="742"/>
    <d v="2025-02-14T00:00:00"/>
    <s v="ZBTO"/>
    <n v="9518519567"/>
    <n v="1"/>
    <s v="9518519567-1"/>
    <m/>
    <s v="No Priority"/>
    <s v="Failed orders"/>
    <x v="1"/>
    <x v="1"/>
    <n v="2000"/>
    <m/>
    <x v="1"/>
    <s v="Mar"/>
    <m/>
    <s v="West Bengal"/>
    <m/>
    <m/>
    <m/>
    <n v="925093"/>
    <s v="PSPL STEEL PROCESSORS PRIVATE"/>
    <n v="3239408"/>
    <s v="CRCA SHEET TATCRC SR16 0.300X900X2500"/>
    <s v=""/>
    <s v=""/>
    <m/>
    <m/>
    <s v="Narrow"/>
    <s v="C06"/>
    <s v="TATCRC"/>
    <s v="SR16"/>
    <n v="0.3"/>
    <n v="900"/>
    <n v="2500"/>
    <n v="48"/>
    <e v="#N/A"/>
    <n v="48"/>
    <n v="48"/>
    <e v="#N/A"/>
    <e v="#N/A"/>
    <m/>
    <n v="0"/>
    <n v="48"/>
    <n v="0"/>
    <n v="0"/>
    <n v="53.76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16"/>
    <s v="9518497626-16"/>
    <m/>
    <s v="No Priority"/>
    <s v="Failed orders"/>
    <x v="1"/>
    <x v="3"/>
    <n v="2000"/>
    <m/>
    <x v="1"/>
    <m/>
    <m/>
    <s v="Andhra Pradesh"/>
    <m/>
    <m/>
    <m/>
    <n v="946077"/>
    <s v="SITARAM IRON AND STEEL PVT LTD"/>
    <n v="353957"/>
    <s v="CRCA SHEET TATXXD AU03 0.80X1250X2500"/>
    <s v=""/>
    <s v=""/>
    <m/>
    <m/>
    <s v="Wider"/>
    <s v="C06"/>
    <s v="TATXXD"/>
    <s v="AU03"/>
    <n v="0.8"/>
    <n v="1250"/>
    <n v="2500"/>
    <n v="27"/>
    <e v="#N/A"/>
    <n v="27"/>
    <n v="27"/>
    <e v="#N/A"/>
    <e v="#N/A"/>
    <m/>
    <n v="0"/>
    <n v="27"/>
    <n v="0"/>
    <n v="0"/>
    <n v="30.24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8155"/>
    <n v="4"/>
    <s v="9518498155-4"/>
    <m/>
    <s v="Mar'25"/>
    <s v="Released orders"/>
    <x v="1"/>
    <x v="3"/>
    <n v="2000"/>
    <m/>
    <x v="0"/>
    <s v="Mar"/>
    <m/>
    <s v="Andhra Pradesh"/>
    <m/>
    <m/>
    <m/>
    <n v="946077"/>
    <s v="SITARAM IRON AND STEEL PVT LTD"/>
    <n v="1804814"/>
    <s v="CRCA COIL TATXXD AU03 0.8X1250"/>
    <s v=""/>
    <s v=""/>
    <m/>
    <m/>
    <s v="Wider"/>
    <s v="C01"/>
    <s v="TATXXD"/>
    <s v="AU03"/>
    <n v="0.8"/>
    <n v="1250"/>
    <n v="0"/>
    <n v="29"/>
    <n v="0"/>
    <n v="29"/>
    <n v="29"/>
    <e v="#N/A"/>
    <e v="#N/A"/>
    <m/>
    <n v="0"/>
    <n v="29"/>
    <n v="29"/>
    <n v="0"/>
    <n v="32.480000000000004"/>
    <n v="0"/>
    <n v="0"/>
    <n v="0"/>
    <n v="0"/>
    <n v="0"/>
    <n v="0"/>
    <n v="0"/>
    <n v="0"/>
    <n v="0"/>
    <n v="0"/>
    <n v="0"/>
    <n v="0"/>
    <n v="0"/>
    <n v="0"/>
    <n v="0"/>
    <n v="0"/>
    <n v="0"/>
    <n v="0"/>
    <n v="0"/>
    <n v="0"/>
    <n v="0"/>
    <n v="0"/>
    <n v="0"/>
    <n v="0"/>
    <n v="29"/>
    <n v="0"/>
    <n v="29"/>
    <n v="0"/>
    <n v="0"/>
    <n v="0"/>
    <n v="29"/>
    <n v="0"/>
    <n v="0"/>
    <n v="29"/>
    <n v="0"/>
    <n v="0"/>
    <n v="0"/>
    <m/>
    <m/>
    <m/>
    <m/>
    <m/>
    <m/>
    <m/>
    <m/>
    <m/>
    <m/>
    <m/>
    <m/>
    <m/>
    <m/>
    <m/>
    <m/>
    <m/>
    <m/>
    <m/>
    <m/>
    <m/>
    <m/>
    <m/>
    <m/>
    <m/>
    <m/>
    <m/>
    <m/>
    <m/>
    <m/>
    <m/>
    <m/>
    <m/>
    <m/>
  </r>
  <r>
    <n v="742"/>
    <d v="2025-02-14T00:00:00"/>
    <s v="ZBTO"/>
    <n v="9518519930"/>
    <n v="4"/>
    <s v="9518519930-4"/>
    <m/>
    <s v="Stocks"/>
    <s v="Released orders"/>
    <x v="1"/>
    <x v="3"/>
    <n v="2000"/>
    <m/>
    <x v="0"/>
    <s v="Mar"/>
    <m/>
    <s v="Punjab"/>
    <m/>
    <m/>
    <m/>
    <n v="936997"/>
    <s v="R R STEEL INDUSTRIES"/>
    <n v="2430219"/>
    <s v="CRCA COIL TATXXD AU03 0.800X900"/>
    <s v=""/>
    <s v=""/>
    <m/>
    <m/>
    <s v="Narrow"/>
    <s v="C01"/>
    <s v="TATXXD"/>
    <s v="AU03"/>
    <n v="0.8"/>
    <n v="900"/>
    <n v="0"/>
    <n v="21"/>
    <n v="17.170000000000002"/>
    <n v="21"/>
    <n v="21"/>
    <e v="#N/A"/>
    <e v="#N/A"/>
    <m/>
    <n v="0"/>
    <n v="21"/>
    <n v="3.83"/>
    <n v="0"/>
    <n v="23.520000000000003"/>
    <n v="0"/>
    <n v="0"/>
    <n v="0"/>
    <n v="0"/>
    <n v="0"/>
    <n v="0"/>
    <n v="0"/>
    <n v="0"/>
    <n v="0"/>
    <n v="0"/>
    <n v="0"/>
    <n v="0"/>
    <n v="0"/>
    <n v="0"/>
    <n v="0"/>
    <n v="0"/>
    <n v="0"/>
    <n v="0"/>
    <n v="0"/>
    <n v="0"/>
    <n v="0"/>
    <n v="0"/>
    <n v="0"/>
    <n v="17.170000000000002"/>
    <n v="0"/>
    <n v="0"/>
    <n v="0"/>
    <n v="0"/>
    <n v="0"/>
    <n v="0"/>
    <n v="17.170000000000002"/>
    <n v="0"/>
    <n v="17.170000000000002"/>
    <n v="0"/>
    <n v="0"/>
    <n v="0"/>
    <n v="0"/>
    <m/>
    <m/>
    <m/>
    <m/>
    <m/>
    <m/>
    <m/>
    <m/>
    <m/>
    <m/>
    <m/>
    <m/>
    <m/>
    <m/>
    <m/>
    <m/>
    <m/>
    <m/>
    <m/>
    <m/>
    <m/>
    <m/>
    <m/>
    <m/>
    <m/>
    <m/>
    <m/>
    <m/>
    <m/>
    <m/>
    <m/>
    <m/>
    <m/>
    <m/>
  </r>
  <r>
    <n v="742"/>
    <d v="2025-02-09T00:00:00"/>
    <s v="ZBTO"/>
    <n v="9518505599"/>
    <n v="4"/>
    <s v="9518505599-4"/>
    <m/>
    <s v="Mar'25"/>
    <s v="Released orders"/>
    <x v="1"/>
    <x v="3"/>
    <s v="2000-BPRS"/>
    <m/>
    <x v="0"/>
    <s v="Mar"/>
    <m/>
    <m/>
    <m/>
    <s v="PATTANCHERY"/>
    <m/>
    <n v="939422"/>
    <s v="VIJAY VENKAT STEELS PRIVATE LIMITED"/>
    <n v="215066"/>
    <s v="CRSHEET-ICF  DQ TATXXD AU03 0.90 X 1220"/>
    <s v=" "/>
    <s v=""/>
    <n v="18"/>
    <n v="30"/>
    <s v="Wider"/>
    <s v="C01"/>
    <s v="TATXXD"/>
    <s v="AU03"/>
    <n v="0.9"/>
    <n v="1220"/>
    <n v="0"/>
    <n v="56"/>
    <n v="0"/>
    <n v="56"/>
    <n v="56"/>
    <n v="0"/>
    <n v="56"/>
    <n v="56"/>
    <m/>
    <n v="56"/>
    <n v="56"/>
    <n v="0"/>
    <n v="62.720000000000006"/>
    <n v="0"/>
    <n v="0"/>
    <n v="0"/>
    <n v="0"/>
    <n v="0"/>
    <n v="0"/>
    <n v="0"/>
    <n v="0"/>
    <n v="0"/>
    <n v="0"/>
    <n v="0"/>
    <n v="0"/>
    <n v="0"/>
    <n v="0"/>
    <n v="0"/>
    <n v="0"/>
    <n v="0"/>
    <n v="0"/>
    <n v="0"/>
    <n v="0"/>
    <n v="0"/>
    <n v="0"/>
    <n v="0"/>
    <n v="0"/>
    <n v="56"/>
    <n v="0"/>
    <n v="0"/>
    <n v="0"/>
    <n v="0"/>
    <n v="56"/>
    <n v="0"/>
    <n v="0"/>
    <n v="0"/>
    <n v="0"/>
    <n v="0"/>
    <n v="0"/>
    <n v="56"/>
    <m/>
    <m/>
    <m/>
    <m/>
    <m/>
    <m/>
    <m/>
    <m/>
    <m/>
    <m/>
    <m/>
    <m/>
    <m/>
    <m/>
    <m/>
    <m/>
    <m/>
    <m/>
    <m/>
    <m/>
    <m/>
    <m/>
    <m/>
    <m/>
    <m/>
    <m/>
    <m/>
    <m/>
    <m/>
    <m/>
    <m/>
    <m/>
    <m/>
    <m/>
  </r>
  <r>
    <n v="742"/>
    <d v="2025-01-03T00:00:00"/>
    <s v="ZBTO"/>
    <n v="9518403237"/>
    <n v="1"/>
    <s v="9518403237-1"/>
    <m/>
    <s v="No Priority"/>
    <s v="Failed orders"/>
    <x v="1"/>
    <x v="1"/>
    <n v="2000"/>
    <m/>
    <x v="1"/>
    <m/>
    <m/>
    <s v="Jharkhand"/>
    <m/>
    <m/>
    <m/>
    <n v="121328"/>
    <s v="R. S. BOKARO METAL (P) LTD."/>
    <n v="2440959"/>
    <s v="CRCA SHEET TATCRC SR16 0.330X900X2500"/>
    <s v=""/>
    <s v=""/>
    <m/>
    <m/>
    <s v="Narrow"/>
    <s v="C06"/>
    <s v="TATCRC"/>
    <s v="SR16"/>
    <n v="0.33"/>
    <n v="900"/>
    <n v="250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1-03T00:00:00"/>
    <s v="ZBTO"/>
    <n v="9518403237"/>
    <n v="2"/>
    <s v="9518403237-2"/>
    <m/>
    <s v="No Priority"/>
    <s v="Failed orders"/>
    <x v="1"/>
    <x v="1"/>
    <n v="2000"/>
    <m/>
    <x v="1"/>
    <m/>
    <m/>
    <s v="Jharkhand"/>
    <m/>
    <m/>
    <m/>
    <n v="121328"/>
    <s v="R. S. BOKARO METAL (P) LTD."/>
    <n v="3152197"/>
    <s v="CRCA SHEET TATCRC SR16 0.330X1000X2500"/>
    <s v=""/>
    <s v=""/>
    <m/>
    <m/>
    <s v="Narrow"/>
    <s v="C06"/>
    <s v="TATCRC"/>
    <s v="SR16"/>
    <n v="0.33"/>
    <n v="1000"/>
    <n v="2500"/>
    <n v="45"/>
    <e v="#N/A"/>
    <n v="45"/>
    <n v="45"/>
    <e v="#N/A"/>
    <e v="#N/A"/>
    <m/>
    <n v="0"/>
    <n v="45"/>
    <n v="0"/>
    <n v="0"/>
    <n v="50.40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1-03T00:00:00"/>
    <s v="ZBTO"/>
    <n v="9518403237"/>
    <n v="3"/>
    <s v="9518403237-3"/>
    <m/>
    <s v="No Priority"/>
    <s v="Failed orders"/>
    <x v="1"/>
    <x v="1"/>
    <n v="2000"/>
    <m/>
    <x v="1"/>
    <m/>
    <m/>
    <s v="Jharkhand"/>
    <m/>
    <m/>
    <m/>
    <n v="121328"/>
    <s v="R. S. BOKARO METAL (P) LTD."/>
    <n v="2441001"/>
    <s v="CRCA SHEET TATCRC SR16 0.380X900X2500"/>
    <s v=""/>
    <s v=""/>
    <m/>
    <m/>
    <s v="Narrow"/>
    <s v="C06"/>
    <s v="TATCRC"/>
    <s v="SR16"/>
    <n v="0.38"/>
    <n v="900"/>
    <n v="250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1-03T00:00:00"/>
    <s v="ZBTO"/>
    <n v="9518403237"/>
    <n v="6"/>
    <s v="9518403237-6"/>
    <m/>
    <s v="Mar'25 additional"/>
    <s v="Released orders"/>
    <x v="1"/>
    <x v="1"/>
    <n v="2000"/>
    <m/>
    <x v="0"/>
    <s v="Mar"/>
    <m/>
    <s v="Jharkhand"/>
    <m/>
    <m/>
    <m/>
    <n v="121328"/>
    <s v="R. S. BOKARO METAL (P) LTD."/>
    <n v="3152199"/>
    <s v="CRCA SHEET TATCRC SR16 0.430X1000X2500"/>
    <s v=""/>
    <s v=""/>
    <m/>
    <m/>
    <s v="Narrow"/>
    <s v="C06"/>
    <s v="TATCRC"/>
    <s v="SR16"/>
    <n v="0.43"/>
    <n v="1000"/>
    <n v="2500"/>
    <n v="23"/>
    <n v="0"/>
    <n v="23"/>
    <n v="23"/>
    <e v="#N/A"/>
    <e v="#N/A"/>
    <m/>
    <n v="0"/>
    <n v="23"/>
    <n v="23"/>
    <n v="0"/>
    <n v="25.76"/>
    <n v="0"/>
    <n v="0"/>
    <n v="0"/>
    <n v="0"/>
    <n v="0"/>
    <n v="0"/>
    <n v="0"/>
    <n v="0"/>
    <n v="0"/>
    <n v="0"/>
    <n v="0"/>
    <n v="0"/>
    <n v="0"/>
    <n v="0"/>
    <n v="0"/>
    <n v="0"/>
    <n v="0"/>
    <n v="0"/>
    <n v="0"/>
    <n v="0"/>
    <n v="0"/>
    <n v="0"/>
    <n v="0"/>
    <n v="0"/>
    <n v="23"/>
    <n v="0"/>
    <n v="0"/>
    <n v="0"/>
    <n v="0"/>
    <n v="23"/>
    <n v="0"/>
    <n v="0"/>
    <n v="0"/>
    <n v="0"/>
    <n v="0"/>
    <n v="0"/>
    <n v="23"/>
    <m/>
    <m/>
    <m/>
    <m/>
    <m/>
    <m/>
    <m/>
    <m/>
    <m/>
    <m/>
    <m/>
    <m/>
    <m/>
    <m/>
    <m/>
    <m/>
    <m/>
    <m/>
    <m/>
    <m/>
    <m/>
    <m/>
    <m/>
    <m/>
    <m/>
    <m/>
    <m/>
    <m/>
    <m/>
    <m/>
    <m/>
    <m/>
    <m/>
    <m/>
  </r>
  <r>
    <n v="742"/>
    <d v="2025-01-22T00:00:00"/>
    <s v="ZBTO"/>
    <n v="9518451356"/>
    <n v="13"/>
    <s v="9518451356-13"/>
    <m/>
    <s v="No Priority"/>
    <s v="Released orders"/>
    <x v="1"/>
    <x v="15"/>
    <s v="2000-BPRS"/>
    <m/>
    <x v="1"/>
    <m/>
    <s v="Added to consume WIP"/>
    <m/>
    <s v="South"/>
    <s v="YESHWANTHPURA"/>
    <m/>
    <n v="932244"/>
    <s v="DURGA TRADERS"/>
    <n v="2420522"/>
    <s v="CRCA COIL TATXXD AH03 1.500X1250"/>
    <s v=" "/>
    <s v=""/>
    <n v="2"/>
    <n v="26"/>
    <s v="Wider"/>
    <s v="C01"/>
    <s v="TATXXD"/>
    <s v="AH03"/>
    <n v="1.5"/>
    <n v="1250"/>
    <n v="0"/>
    <n v="144.99"/>
    <n v="123.93"/>
    <n v="21.06"/>
    <n v="21.06"/>
    <n v="0.5"/>
    <n v="20.56"/>
    <m/>
    <m/>
    <n v="21.06"/>
    <n v="21.06"/>
    <n v="0"/>
    <n v="0"/>
    <n v="0"/>
    <n v="0"/>
    <n v="0"/>
    <n v="0"/>
    <n v="0"/>
    <n v="0"/>
    <n v="0"/>
    <n v="0"/>
    <n v="0"/>
    <n v="0"/>
    <n v="0"/>
    <n v="0"/>
    <n v="27.02"/>
    <n v="0"/>
    <n v="0"/>
    <n v="0"/>
    <n v="0"/>
    <n v="0"/>
    <n v="27.02"/>
    <n v="27.02"/>
    <n v="0"/>
    <n v="27.02"/>
    <n v="0.5"/>
    <n v="0"/>
    <n v="0"/>
    <n v="0"/>
    <n v="0"/>
    <n v="0"/>
    <n v="0"/>
    <n v="0"/>
    <n v="0"/>
    <n v="0"/>
    <n v="0"/>
    <n v="0"/>
    <n v="0"/>
    <n v="0"/>
    <n v="0"/>
    <n v="98.004999999999995"/>
    <n v="0"/>
    <n v="0"/>
    <n v="0"/>
    <n v="0"/>
    <n v="0"/>
    <m/>
    <m/>
    <m/>
    <m/>
    <m/>
    <m/>
    <m/>
    <m/>
    <m/>
    <s v="1"/>
    <s v="1"/>
    <s v="1"/>
    <s v="1"/>
    <s v="1"/>
    <m/>
    <m/>
    <m/>
    <m/>
    <m/>
    <m/>
    <m/>
    <m/>
    <m/>
    <m/>
    <m/>
    <m/>
    <m/>
    <m/>
  </r>
  <r>
    <n v="743"/>
    <d v="2025-02-05T00:00:00"/>
    <s v="ZBTO"/>
    <n v="9518495843"/>
    <n v="5"/>
    <s v="9518495843-5"/>
    <m/>
    <s v="No Priority"/>
    <s v="Failed orders"/>
    <x v="2"/>
    <x v="2"/>
    <n v="2000"/>
    <m/>
    <x v="1"/>
    <m/>
    <m/>
    <s v="West Bengal"/>
    <m/>
    <m/>
    <m/>
    <n v="100922"/>
    <s v="BUBNA COMMERCIAL COMPANY"/>
    <n v="1142895"/>
    <s v="GP COIL SOFT-TATXGP-GLK1-0.5X900"/>
    <s v=""/>
    <s v=""/>
    <m/>
    <m/>
    <s v="Narrow"/>
    <s v="C02"/>
    <s v="TATXGP"/>
    <s v="GLK1"/>
    <n v="0.5"/>
    <n v="900"/>
    <n v="0"/>
    <n v="147"/>
    <e v="#N/A"/>
    <n v="147"/>
    <n v="147"/>
    <e v="#N/A"/>
    <e v="#N/A"/>
    <m/>
    <m/>
    <n v="147"/>
    <n v="0"/>
    <n v="0"/>
    <n v="164.64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05T00:00:00"/>
    <s v="ZBTO"/>
    <n v="9518495889"/>
    <n v="4"/>
    <s v="9518495889-4"/>
    <m/>
    <s v="No Priority"/>
    <s v="Released orders"/>
    <x v="2"/>
    <x v="2"/>
    <n v="2000"/>
    <m/>
    <x v="1"/>
    <m/>
    <m/>
    <s v="West Bengal"/>
    <m/>
    <m/>
    <m/>
    <n v="100922"/>
    <s v="BUBNA COMMERCIAL COMPANY"/>
    <n v="1353179"/>
    <s v="GP COIL TATXGP GK09 0.500X900"/>
    <s v=""/>
    <s v=""/>
    <m/>
    <m/>
    <s v="Narrow"/>
    <s v="C02"/>
    <s v="TATXGP"/>
    <s v="GK09"/>
    <n v="0.5"/>
    <n v="900"/>
    <n v="0"/>
    <n v="105"/>
    <n v="0"/>
    <n v="105"/>
    <n v="105"/>
    <e v="#N/A"/>
    <e v="#N/A"/>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8325"/>
    <n v="5"/>
    <s v="9518528325-5"/>
    <m/>
    <s v="No Priority"/>
    <s v="Failed orders"/>
    <x v="2"/>
    <x v="2"/>
    <n v="2000"/>
    <m/>
    <x v="1"/>
    <m/>
    <m/>
    <s v="West Bengal"/>
    <m/>
    <m/>
    <m/>
    <n v="100922"/>
    <s v="BUBNA COMMERCIAL COMPANY"/>
    <n v="1142895"/>
    <s v="GP COIL SOFT-TATXGP-GLK1-0.5X900"/>
    <s v=""/>
    <s v=""/>
    <m/>
    <m/>
    <s v="Narrow"/>
    <s v="C02"/>
    <s v="TATXGP"/>
    <s v="GLK1"/>
    <n v="0.5"/>
    <n v="900"/>
    <n v="0"/>
    <n v="42"/>
    <e v="#N/A"/>
    <n v="42"/>
    <n v="42"/>
    <e v="#N/A"/>
    <e v="#N/A"/>
    <m/>
    <m/>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5-02-17T00:00:00"/>
    <s v="ZBTO"/>
    <n v="9518527008"/>
    <n v="3"/>
    <s v="9518527008-3"/>
    <m/>
    <s v="Mar'25"/>
    <s v="Released orders"/>
    <x v="2"/>
    <x v="2"/>
    <n v="2000"/>
    <m/>
    <x v="1"/>
    <m/>
    <s v="Deprioritized due to narrow HR unavailability"/>
    <s v="Uttar Pradesh"/>
    <m/>
    <m/>
    <m/>
    <n v="931234"/>
    <s v="JAI LAXMI STEELS"/>
    <n v="1854418"/>
    <s v="GP COIL SOFT-TATXGP-GK09-0.5X900"/>
    <n v="80"/>
    <s v=""/>
    <m/>
    <m/>
    <s v="Narrow"/>
    <s v="C02"/>
    <s v="TATXGP"/>
    <s v="GK09"/>
    <n v="0.5"/>
    <n v="900"/>
    <n v="0"/>
    <n v="105"/>
    <n v="0"/>
    <n v="105"/>
    <n v="105"/>
    <e v="#N/A"/>
    <e v="#N/A"/>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03T00:00:00"/>
    <s v="ZBTO"/>
    <n v="9518490997"/>
    <n v="2"/>
    <s v="9518490997-2"/>
    <m/>
    <s v="No Priority"/>
    <s v="Released orders"/>
    <x v="2"/>
    <x v="2"/>
    <n v="2000"/>
    <m/>
    <x v="1"/>
    <m/>
    <m/>
    <s v="Uttar Pradesh"/>
    <m/>
    <m/>
    <m/>
    <n v="938789"/>
    <s v="JAIN STEEL DISTRIBUTORS"/>
    <n v="1854418"/>
    <s v="GP COIL SOFT-TATXGP-GK09-0.5X900"/>
    <n v="80"/>
    <s v=""/>
    <m/>
    <m/>
    <s v="Narrow"/>
    <s v="C02"/>
    <s v="TATXGP"/>
    <s v="GK09"/>
    <n v="0.5"/>
    <n v="900"/>
    <n v="0"/>
    <n v="210"/>
    <n v="0"/>
    <n v="210"/>
    <n v="210"/>
    <e v="#N/A"/>
    <e v="#N/A"/>
    <m/>
    <m/>
    <n v="210"/>
    <n v="210"/>
    <n v="0"/>
    <n v="235.20000000000002"/>
    <n v="0"/>
    <n v="0"/>
    <n v="0"/>
    <n v="0"/>
    <n v="0"/>
    <n v="0"/>
    <n v="0"/>
    <n v="0"/>
    <n v="0"/>
    <n v="0"/>
    <n v="0"/>
    <n v="0"/>
    <n v="0"/>
    <n v="0"/>
    <n v="0"/>
    <n v="0"/>
    <n v="0"/>
    <n v="0"/>
    <n v="0"/>
    <n v="0"/>
    <n v="0"/>
    <n v="0"/>
    <n v="0"/>
    <n v="0"/>
    <n v="0"/>
    <n v="0"/>
    <n v="0"/>
    <n v="0"/>
    <n v="0"/>
    <n v="0"/>
    <n v="0"/>
    <n v="0"/>
    <n v="0"/>
    <n v="0"/>
    <n v="0"/>
    <n v="0"/>
    <n v="0"/>
    <m/>
    <m/>
    <m/>
    <m/>
    <m/>
    <m/>
    <m/>
    <m/>
    <m/>
    <m/>
    <m/>
    <m/>
    <m/>
    <m/>
    <m/>
    <m/>
    <m/>
    <m/>
    <m/>
    <m/>
    <m/>
    <m/>
    <m/>
    <m/>
    <m/>
    <m/>
    <m/>
    <m/>
    <m/>
    <m/>
    <m/>
    <m/>
    <m/>
    <m/>
  </r>
  <r>
    <n v="743"/>
    <d v="2025-02-13T00:00:00"/>
    <s v="ZBTO"/>
    <n v="9518516069"/>
    <n v="3"/>
    <s v="9518516069-3"/>
    <m/>
    <s v="Mar'25"/>
    <s v="Released orders"/>
    <x v="2"/>
    <x v="2"/>
    <n v="2000"/>
    <m/>
    <x v="0"/>
    <m/>
    <m/>
    <s v="Uttar Pradesh"/>
    <m/>
    <m/>
    <m/>
    <n v="931235"/>
    <s v="K D J P STEELS PVT LTD"/>
    <n v="1854418"/>
    <s v="GP COIL SOFT-TATXGP-GK09-0.5X900"/>
    <n v="80"/>
    <s v=""/>
    <m/>
    <m/>
    <s v="Narrow"/>
    <s v="C02"/>
    <s v="TATXGP"/>
    <s v="GK09"/>
    <n v="0.5"/>
    <n v="900"/>
    <n v="0"/>
    <n v="147"/>
    <n v="0"/>
    <n v="147"/>
    <n v="147"/>
    <e v="#N/A"/>
    <e v="#N/A"/>
    <m/>
    <m/>
    <n v="147"/>
    <n v="147"/>
    <n v="0"/>
    <n v="164.64000000000001"/>
    <n v="0"/>
    <n v="0"/>
    <n v="0"/>
    <n v="0"/>
    <n v="0"/>
    <n v="0"/>
    <n v="0"/>
    <n v="0"/>
    <n v="0"/>
    <n v="0"/>
    <n v="0"/>
    <n v="0"/>
    <n v="0"/>
    <n v="0"/>
    <n v="0"/>
    <n v="0"/>
    <n v="0"/>
    <n v="0"/>
    <n v="0"/>
    <n v="0"/>
    <n v="0"/>
    <n v="0"/>
    <n v="0"/>
    <n v="0"/>
    <n v="147"/>
    <n v="0"/>
    <n v="0"/>
    <n v="0"/>
    <n v="147"/>
    <n v="0"/>
    <n v="147"/>
    <n v="0"/>
    <n v="0"/>
    <n v="0"/>
    <n v="0"/>
    <n v="147"/>
    <n v="0"/>
    <m/>
    <m/>
    <m/>
    <m/>
    <m/>
    <m/>
    <m/>
    <m/>
    <m/>
    <m/>
    <m/>
    <m/>
    <m/>
    <m/>
    <m/>
    <m/>
    <m/>
    <m/>
    <m/>
    <m/>
    <m/>
    <m/>
    <m/>
    <m/>
    <m/>
    <m/>
    <m/>
    <m/>
    <m/>
    <m/>
    <m/>
    <m/>
    <m/>
    <m/>
  </r>
  <r>
    <n v="743"/>
    <d v="2025-02-13T00:00:00"/>
    <s v="ZBTO"/>
    <n v="9518516044"/>
    <n v="1"/>
    <s v="9518516044-1"/>
    <m/>
    <s v="No Priority"/>
    <s v="Released orders"/>
    <x v="2"/>
    <x v="2"/>
    <n v="2000"/>
    <m/>
    <x v="1"/>
    <m/>
    <m/>
    <s v="Uttar Pradesh"/>
    <m/>
    <m/>
    <m/>
    <n v="931235"/>
    <s v="K D J P STEELS PVT LTD"/>
    <n v="1851054"/>
    <s v="GP COIL SOFT-TATXGP-GK09-0.2X900"/>
    <n v="80"/>
    <s v=""/>
    <m/>
    <m/>
    <s v="Narrow"/>
    <s v="C02"/>
    <s v="TATXGP"/>
    <s v="GK09"/>
    <n v="0.2"/>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2-13T00:00:00"/>
    <s v="ZBTO"/>
    <n v="9518516044"/>
    <n v="5"/>
    <s v="9518516044-5"/>
    <m/>
    <s v="No Priority"/>
    <s v="Released orders"/>
    <x v="2"/>
    <x v="2"/>
    <n v="2000"/>
    <m/>
    <x v="1"/>
    <m/>
    <m/>
    <s v="Uttar Pradesh"/>
    <m/>
    <m/>
    <m/>
    <n v="931235"/>
    <s v="K D J P STEELS PVT LTD"/>
    <n v="1854421"/>
    <s v="GP COIL SOFT-TATXGP-GK09-0.55X900"/>
    <n v="80"/>
    <s v=""/>
    <m/>
    <m/>
    <s v="Narrow"/>
    <s v="C02"/>
    <s v="TATXGP"/>
    <s v="GK09"/>
    <n v="0.55000000000000004"/>
    <n v="900"/>
    <n v="0"/>
    <n v="42"/>
    <n v="0"/>
    <n v="42"/>
    <n v="42"/>
    <e v="#N/A"/>
    <e v="#N/A"/>
    <m/>
    <m/>
    <n v="42"/>
    <n v="42"/>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5-01-10T00:00:00"/>
    <s v="ZBTO"/>
    <n v="9518420533"/>
    <n v="10"/>
    <s v="9518420533-10"/>
    <m/>
    <s v="Mar'25"/>
    <s v="Released orders"/>
    <x v="2"/>
    <x v="2"/>
    <s v="2000-BPRS"/>
    <m/>
    <x v="0"/>
    <m/>
    <m/>
    <m/>
    <m/>
    <s v="WEST BOKARO"/>
    <m/>
    <n v="185794"/>
    <s v="Shree Bajrang Steel Udyog"/>
    <n v="1854424"/>
    <s v="GP COIL SOFT-TATXGP-GK09-0.6X900"/>
    <s v="Z80"/>
    <s v=""/>
    <n v="4"/>
    <n v="12"/>
    <s v="Narrow"/>
    <s v="C02"/>
    <s v="TATXGP"/>
    <s v="GK09"/>
    <n v="0.6"/>
    <n v="900"/>
    <n v="0"/>
    <n v="21"/>
    <n v="0"/>
    <n v="21"/>
    <n v="21"/>
    <n v="0"/>
    <n v="21"/>
    <m/>
    <m/>
    <n v="21"/>
    <n v="21"/>
    <n v="0"/>
    <n v="23.520000000000003"/>
    <n v="0"/>
    <n v="0"/>
    <n v="0"/>
    <n v="0"/>
    <n v="0"/>
    <n v="0"/>
    <n v="0"/>
    <n v="0"/>
    <n v="0"/>
    <n v="0"/>
    <n v="0"/>
    <n v="0"/>
    <n v="0"/>
    <n v="0"/>
    <n v="0"/>
    <n v="0"/>
    <n v="0"/>
    <n v="0"/>
    <n v="0"/>
    <n v="0"/>
    <n v="0"/>
    <n v="0"/>
    <n v="0"/>
    <n v="0"/>
    <n v="21"/>
    <n v="0"/>
    <n v="0"/>
    <n v="0"/>
    <n v="21"/>
    <n v="0"/>
    <n v="21"/>
    <n v="0"/>
    <n v="0"/>
    <n v="0"/>
    <n v="0"/>
    <n v="21"/>
    <n v="0"/>
    <m/>
    <m/>
    <m/>
    <m/>
    <m/>
    <m/>
    <m/>
    <m/>
    <m/>
    <m/>
    <m/>
    <m/>
    <m/>
    <m/>
    <m/>
    <m/>
    <m/>
    <m/>
    <m/>
    <m/>
    <m/>
    <m/>
    <m/>
    <m/>
    <m/>
    <m/>
    <m/>
    <m/>
    <m/>
    <m/>
    <m/>
    <m/>
    <m/>
    <m/>
  </r>
  <r>
    <n v="743"/>
    <m/>
    <s v="ZBTO"/>
    <s v="9518216006"/>
    <n v="5"/>
    <s v="9518216006-5"/>
    <m/>
    <s v="Mar'25"/>
    <s v="Released orders"/>
    <x v="2"/>
    <x v="2"/>
    <n v="2000"/>
    <m/>
    <x v="1"/>
    <m/>
    <s v="Deprioritized due to narrow HR unavailability"/>
    <m/>
    <s v="North"/>
    <m/>
    <m/>
    <m/>
    <s v="INDIA STEEL INDUSTRIES"/>
    <n v="1854424"/>
    <s v="Coated CR Coils"/>
    <m/>
    <m/>
    <m/>
    <m/>
    <s v="Narrow"/>
    <s v="C02"/>
    <m/>
    <s v="GK09"/>
    <n v="0.6"/>
    <n v="900"/>
    <m/>
    <n v="63"/>
    <n v="19.274999999999999"/>
    <n v="43.725000000000001"/>
    <n v="43.725000000000001"/>
    <n v="0"/>
    <n v="43.725000000000001"/>
    <m/>
    <m/>
    <n v="43.725000000000001"/>
    <n v="43.725000000000001"/>
    <n v="0"/>
    <n v="48.972000000000008"/>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2-06T00:00:00"/>
    <s v="ZBTO"/>
    <n v="9518499138"/>
    <n v="1"/>
    <s v="9518499138-1"/>
    <m/>
    <s v="No Priority"/>
    <s v="Failed orders"/>
    <x v="1"/>
    <x v="1"/>
    <n v="2000"/>
    <m/>
    <x v="1"/>
    <m/>
    <m/>
    <s v="Jharkhand"/>
    <m/>
    <m/>
    <m/>
    <n v="121328"/>
    <s v="R. S. BOKARO METAL (P) LTD."/>
    <n v="3239408"/>
    <s v="CRCA SHEET TATCRC SR16 0.300X900X2500"/>
    <s v=""/>
    <s v=""/>
    <m/>
    <m/>
    <s v="Narrow"/>
    <s v="C06"/>
    <s v="TATCRC"/>
    <s v="SR16"/>
    <n v="0.3"/>
    <n v="900"/>
    <n v="2500"/>
    <n v="81"/>
    <e v="#N/A"/>
    <n v="81"/>
    <n v="81"/>
    <e v="#N/A"/>
    <e v="#N/A"/>
    <m/>
    <n v="0"/>
    <n v="81"/>
    <n v="0"/>
    <n v="0"/>
    <n v="90.720000000000013"/>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9138"/>
    <n v="2"/>
    <s v="9518499138-2"/>
    <m/>
    <s v="No Priority"/>
    <s v="Failed orders"/>
    <x v="1"/>
    <x v="1"/>
    <n v="2000"/>
    <m/>
    <x v="1"/>
    <m/>
    <m/>
    <s v="Jharkhand"/>
    <m/>
    <m/>
    <m/>
    <n v="121328"/>
    <s v="R. S. BOKARO METAL (P) LTD."/>
    <n v="2440959"/>
    <s v="CRCA SHEET TATCRC SR16 0.330X900X2500"/>
    <s v=""/>
    <s v=""/>
    <m/>
    <m/>
    <s v="Narrow"/>
    <s v="C06"/>
    <s v="TATCRC"/>
    <s v="SR16"/>
    <n v="0.33"/>
    <n v="900"/>
    <n v="2500"/>
    <n v="60"/>
    <e v="#N/A"/>
    <n v="60"/>
    <n v="60"/>
    <e v="#N/A"/>
    <e v="#N/A"/>
    <m/>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9138"/>
    <n v="3"/>
    <s v="9518499138-3"/>
    <m/>
    <s v="No Priority"/>
    <s v="Failed orders"/>
    <x v="1"/>
    <x v="1"/>
    <n v="2000"/>
    <m/>
    <x v="1"/>
    <m/>
    <m/>
    <s v="Jharkhand"/>
    <m/>
    <m/>
    <m/>
    <n v="121328"/>
    <s v="R. S. BOKARO METAL (P) LTD."/>
    <n v="3152197"/>
    <s v="CRCA SHEET TATCRC SR16 0.330X1000X2500"/>
    <s v=""/>
    <s v=""/>
    <m/>
    <m/>
    <s v="Narrow"/>
    <s v="C06"/>
    <s v="TATCRC"/>
    <s v="SR16"/>
    <n v="0.33"/>
    <n v="1000"/>
    <n v="2500"/>
    <n v="60"/>
    <e v="#N/A"/>
    <n v="60"/>
    <n v="60"/>
    <e v="#N/A"/>
    <e v="#N/A"/>
    <m/>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9138"/>
    <n v="4"/>
    <s v="9518499138-4"/>
    <m/>
    <s v="No Priority"/>
    <s v="Failed orders"/>
    <x v="1"/>
    <x v="1"/>
    <n v="2000"/>
    <m/>
    <x v="1"/>
    <s v="Mar"/>
    <m/>
    <s v="Jharkhand"/>
    <m/>
    <m/>
    <m/>
    <n v="121328"/>
    <s v="R. S. BOKARO METAL (P) LTD."/>
    <n v="2441001"/>
    <s v="CRCA SHEET TATCRC SR16 0.380X900X2500"/>
    <s v=""/>
    <s v=""/>
    <m/>
    <m/>
    <s v="Narrow"/>
    <s v="C06"/>
    <s v="TATCRC"/>
    <s v="SR16"/>
    <n v="0.38"/>
    <n v="900"/>
    <n v="2500"/>
    <n v="39"/>
    <e v="#N/A"/>
    <n v="39"/>
    <n v="39"/>
    <e v="#N/A"/>
    <e v="#N/A"/>
    <m/>
    <n v="0"/>
    <n v="39"/>
    <n v="0"/>
    <n v="0"/>
    <n v="43.680000000000007"/>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9138"/>
    <n v="5"/>
    <s v="9518499138-5"/>
    <m/>
    <s v="No Priority"/>
    <s v="Failed orders"/>
    <x v="1"/>
    <x v="1"/>
    <n v="2000"/>
    <m/>
    <x v="1"/>
    <s v="Mar"/>
    <m/>
    <s v="Jharkhand"/>
    <m/>
    <m/>
    <m/>
    <n v="121328"/>
    <s v="R. S. BOKARO METAL (P) LTD."/>
    <n v="3152198"/>
    <s v="CRCA SHEET TATCRC SR16 0.380X1000X2500"/>
    <s v=""/>
    <s v=""/>
    <m/>
    <m/>
    <s v="Narrow"/>
    <s v="C06"/>
    <s v="TATCRC"/>
    <s v="SR16"/>
    <n v="0.38"/>
    <n v="1000"/>
    <n v="2500"/>
    <n v="60"/>
    <e v="#N/A"/>
    <n v="60"/>
    <n v="60"/>
    <e v="#N/A"/>
    <e v="#N/A"/>
    <m/>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742"/>
    <d v="2025-01-02T00:00:00"/>
    <s v="ZBTO"/>
    <n v="9518400185"/>
    <n v="3"/>
    <s v="9518400185-3"/>
    <m/>
    <s v="Mar'25"/>
    <s v="Released orders"/>
    <x v="1"/>
    <x v="15"/>
    <s v="2000-BPRS"/>
    <m/>
    <x v="0"/>
    <s v="Mar"/>
    <m/>
    <m/>
    <s v="East"/>
    <s v="JSR"/>
    <m/>
    <n v="155536"/>
    <s v="TATA STEEL DOWNSTREAM PRODUCTS LIMI"/>
    <n v="2420522"/>
    <s v="CRCA COIL TATXXD AH03 1.500X1250"/>
    <s v=" "/>
    <s v=""/>
    <n v="13"/>
    <n v="29"/>
    <s v="Wider"/>
    <s v="C01"/>
    <s v="TATXXD"/>
    <s v="AH03"/>
    <n v="1.5"/>
    <n v="1250"/>
    <n v="0"/>
    <n v="261"/>
    <n v="238.185"/>
    <n v="22.815000000000001"/>
    <n v="22.815000000000001"/>
    <n v="0"/>
    <n v="22.815000000000001"/>
    <m/>
    <m/>
    <n v="22.815000000000001"/>
    <n v="22.815000000000001"/>
    <n v="0"/>
    <n v="25.552800000000005"/>
    <n v="0"/>
    <n v="0"/>
    <n v="0"/>
    <n v="0"/>
    <n v="0"/>
    <n v="0"/>
    <n v="0"/>
    <n v="0"/>
    <n v="0"/>
    <n v="0"/>
    <n v="0"/>
    <n v="0"/>
    <n v="0"/>
    <n v="0"/>
    <n v="0"/>
    <n v="0"/>
    <n v="0"/>
    <n v="0"/>
    <n v="0"/>
    <n v="0"/>
    <n v="0"/>
    <n v="0"/>
    <n v="0"/>
    <n v="52.82"/>
    <n v="22.815000000000001"/>
    <n v="0"/>
    <n v="0"/>
    <n v="0"/>
    <n v="22.815000000000001"/>
    <n v="0"/>
    <n v="75.635000000000005"/>
    <n v="0"/>
    <n v="0"/>
    <n v="0"/>
    <n v="0"/>
    <n v="75.635000000000005"/>
    <n v="0"/>
    <n v="79.53"/>
    <n v="0"/>
    <n v="0"/>
    <n v="0"/>
    <n v="22.815000000000001"/>
    <n v="0"/>
    <m/>
    <m/>
    <m/>
    <m/>
    <m/>
    <m/>
    <m/>
    <m/>
    <m/>
    <s v="1"/>
    <s v="1"/>
    <s v="1"/>
    <s v="1"/>
    <s v="1"/>
    <m/>
    <m/>
    <m/>
    <m/>
    <m/>
    <m/>
    <m/>
    <m/>
    <m/>
    <m/>
    <m/>
    <m/>
    <m/>
    <m/>
  </r>
  <r>
    <n v="742"/>
    <d v="2025-02-06T00:00:00"/>
    <s v="ZBTO"/>
    <n v="9518499138"/>
    <n v="7"/>
    <s v="9518499138-7"/>
    <m/>
    <s v="Mar'25 additional"/>
    <s v="Released orders"/>
    <x v="1"/>
    <x v="1"/>
    <n v="2000"/>
    <m/>
    <x v="0"/>
    <s v="Mar"/>
    <m/>
    <s v="Jharkhand"/>
    <m/>
    <m/>
    <m/>
    <n v="121328"/>
    <s v="R. S. BOKARO METAL (P) LTD."/>
    <n v="3152199"/>
    <s v="CRCA SHEET TATCRC SR16 0.430X1000X2500"/>
    <s v=""/>
    <s v=""/>
    <m/>
    <m/>
    <s v="Narrow"/>
    <s v="C06"/>
    <s v="TATCRC"/>
    <s v="SR16"/>
    <n v="0.43"/>
    <n v="1000"/>
    <n v="2500"/>
    <n v="60"/>
    <n v="0"/>
    <n v="60"/>
    <n v="60"/>
    <e v="#N/A"/>
    <e v="#N/A"/>
    <m/>
    <n v="0"/>
    <n v="60"/>
    <n v="60"/>
    <n v="0"/>
    <n v="67.2"/>
    <n v="0"/>
    <n v="0"/>
    <n v="0"/>
    <n v="0"/>
    <n v="0"/>
    <n v="0"/>
    <n v="0"/>
    <n v="0"/>
    <n v="0"/>
    <n v="0"/>
    <n v="0"/>
    <n v="0"/>
    <n v="0"/>
    <n v="0"/>
    <n v="0"/>
    <n v="0"/>
    <n v="0"/>
    <n v="0"/>
    <n v="0"/>
    <n v="0"/>
    <n v="0"/>
    <n v="0"/>
    <n v="0"/>
    <n v="0"/>
    <n v="60"/>
    <n v="0"/>
    <n v="0"/>
    <n v="0"/>
    <n v="0"/>
    <n v="60"/>
    <n v="0"/>
    <n v="0"/>
    <n v="0"/>
    <n v="0"/>
    <n v="0"/>
    <n v="0"/>
    <n v="60"/>
    <m/>
    <m/>
    <m/>
    <m/>
    <m/>
    <m/>
    <m/>
    <m/>
    <m/>
    <m/>
    <m/>
    <m/>
    <m/>
    <m/>
    <m/>
    <m/>
    <m/>
    <m/>
    <m/>
    <m/>
    <m/>
    <m/>
    <m/>
    <m/>
    <m/>
    <m/>
    <m/>
    <m/>
    <m/>
    <m/>
    <m/>
    <m/>
    <m/>
    <m/>
  </r>
  <r>
    <n v="742"/>
    <d v="2025-02-06T00:00:00"/>
    <s v="ZBTO"/>
    <n v="9518499138"/>
    <n v="9"/>
    <s v="9518499138-9"/>
    <m/>
    <s v="No Priority"/>
    <s v="Failed orders"/>
    <x v="1"/>
    <x v="1"/>
    <n v="2000"/>
    <m/>
    <x v="1"/>
    <m/>
    <m/>
    <s v="Jharkhand"/>
    <m/>
    <m/>
    <m/>
    <n v="121328"/>
    <s v="R. S. BOKARO METAL (P) LTD."/>
    <n v="3239572"/>
    <s v="CRCA SHEET TATCRC SR16 0.480X1000X2500"/>
    <s v=""/>
    <s v=""/>
    <m/>
    <m/>
    <s v="Narrow"/>
    <s v="C06"/>
    <s v="TATCRC"/>
    <s v="SR16"/>
    <n v="0.48"/>
    <n v="1000"/>
    <n v="250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13T00:00:00"/>
    <s v="ZBTO"/>
    <n v="9518425927"/>
    <n v="5"/>
    <s v="9518425927-5"/>
    <m/>
    <s v="Mar'25"/>
    <s v="Released orders"/>
    <x v="2"/>
    <x v="2"/>
    <s v="2000-BPRS"/>
    <m/>
    <x v="0"/>
    <m/>
    <m/>
    <m/>
    <m/>
    <s v="PATNA"/>
    <m/>
    <n v="103227"/>
    <s v="BMW VENTURES LIMITED"/>
    <n v="1854424"/>
    <s v="GP COIL SOFT-TATXGP-GK09-0.6X900"/>
    <s v="Z80"/>
    <s v=""/>
    <n v="2"/>
    <n v="6"/>
    <s v="Narrow"/>
    <s v="C02"/>
    <s v="TATXGP"/>
    <s v="GK09"/>
    <n v="0.6"/>
    <n v="900"/>
    <n v="0"/>
    <n v="210"/>
    <n v="152.845"/>
    <n v="210"/>
    <n v="210"/>
    <n v="103.37"/>
    <n v="106.63"/>
    <m/>
    <n v="103.37"/>
    <n v="106.63"/>
    <n v="57.155000000000001"/>
    <n v="0"/>
    <n v="235.20000000000002"/>
    <n v="0"/>
    <n v="0"/>
    <n v="0"/>
    <n v="0"/>
    <n v="0"/>
    <n v="0"/>
    <n v="0"/>
    <n v="0"/>
    <n v="0"/>
    <n v="0"/>
    <n v="0"/>
    <n v="0"/>
    <n v="0"/>
    <n v="0"/>
    <n v="0"/>
    <n v="0"/>
    <n v="0"/>
    <n v="0"/>
    <n v="0"/>
    <n v="0"/>
    <n v="0"/>
    <n v="103.37"/>
    <n v="0"/>
    <n v="137.995"/>
    <n v="57.155000000000001"/>
    <n v="0"/>
    <n v="0"/>
    <n v="0"/>
    <n v="0"/>
    <n v="57.155000000000001"/>
    <n v="195.15"/>
    <n v="0"/>
    <n v="0"/>
    <n v="0"/>
    <n v="0"/>
    <n v="195.15"/>
    <n v="0"/>
    <m/>
    <m/>
    <m/>
    <m/>
    <m/>
    <m/>
    <m/>
    <m/>
    <m/>
    <m/>
    <m/>
    <m/>
    <m/>
    <m/>
    <m/>
    <m/>
    <m/>
    <m/>
    <m/>
    <m/>
    <m/>
    <m/>
    <m/>
    <m/>
    <m/>
    <m/>
    <m/>
    <m/>
    <m/>
    <m/>
    <m/>
    <m/>
    <m/>
    <m/>
  </r>
  <r>
    <n v="743"/>
    <d v="2025-02-05T00:00:00"/>
    <s v="ZBTO"/>
    <n v="9518495509"/>
    <n v="5"/>
    <s v="9518495509-5"/>
    <m/>
    <s v="No Priority"/>
    <s v="Released orders"/>
    <x v="2"/>
    <x v="2"/>
    <n v="2000"/>
    <m/>
    <x v="1"/>
    <m/>
    <m/>
    <s v="Uttar Pradesh"/>
    <m/>
    <m/>
    <m/>
    <n v="933952"/>
    <s v="AGARWAL STEEL TRADERS"/>
    <n v="1854424"/>
    <s v="GP COIL SOFT-TATXGP-GK09-0.6X900"/>
    <n v="80"/>
    <s v=""/>
    <m/>
    <m/>
    <s v="Narrow"/>
    <s v="C02"/>
    <s v="TATXGP"/>
    <s v="GK09"/>
    <n v="0.6"/>
    <n v="900"/>
    <n v="0"/>
    <n v="63"/>
    <n v="0"/>
    <n v="63"/>
    <n v="63"/>
    <e v="#N/A"/>
    <e v="#N/A"/>
    <m/>
    <m/>
    <n v="63"/>
    <n v="63"/>
    <n v="0"/>
    <n v="70.56"/>
    <n v="0"/>
    <n v="0"/>
    <n v="0"/>
    <n v="0"/>
    <n v="0"/>
    <n v="0"/>
    <n v="0"/>
    <n v="0"/>
    <n v="0"/>
    <n v="0"/>
    <n v="0"/>
    <n v="0"/>
    <n v="0"/>
    <n v="0"/>
    <n v="0"/>
    <n v="0"/>
    <n v="0"/>
    <n v="0"/>
    <n v="0"/>
    <n v="0"/>
    <n v="0"/>
    <n v="0"/>
    <n v="0"/>
    <n v="0"/>
    <n v="0"/>
    <n v="0"/>
    <n v="0"/>
    <n v="0"/>
    <n v="0"/>
    <n v="0"/>
    <n v="0"/>
    <n v="0"/>
    <n v="0"/>
    <n v="0"/>
    <n v="0"/>
    <n v="0"/>
    <n v="0"/>
    <m/>
    <m/>
    <m/>
    <m/>
    <m/>
    <m/>
    <m/>
    <m/>
    <m/>
    <m/>
    <m/>
    <m/>
    <m/>
    <m/>
    <m/>
    <m/>
    <m/>
    <m/>
    <m/>
    <m/>
    <m/>
    <m/>
    <m/>
    <m/>
    <m/>
    <m/>
    <m/>
    <m/>
    <m/>
    <m/>
    <m/>
    <m/>
    <m/>
    <m/>
  </r>
  <r>
    <n v="743"/>
    <d v="2025-02-14T00:00:00"/>
    <s v="ZBTO"/>
    <n v="9518519620"/>
    <n v="5"/>
    <s v="9518519620-5"/>
    <m/>
    <s v="No Priority"/>
    <s v="Released orders"/>
    <x v="2"/>
    <x v="2"/>
    <n v="2000"/>
    <m/>
    <x v="1"/>
    <m/>
    <m/>
    <s v="Bihar"/>
    <m/>
    <m/>
    <m/>
    <n v="103227"/>
    <s v="BMW VENTURES LIMITED"/>
    <n v="1854424"/>
    <s v="GP COIL SOFT-TATXGP-GK09-0.6X900"/>
    <n v="80"/>
    <s v=""/>
    <m/>
    <m/>
    <s v="Narrow"/>
    <s v="C02"/>
    <s v="TATXGP"/>
    <s v="GK09"/>
    <n v="0.6"/>
    <n v="900"/>
    <n v="0"/>
    <n v="210"/>
    <n v="0"/>
    <n v="210"/>
    <n v="210"/>
    <e v="#N/A"/>
    <e v="#N/A"/>
    <m/>
    <m/>
    <n v="210"/>
    <n v="210"/>
    <n v="0"/>
    <n v="235.20000000000002"/>
    <n v="0"/>
    <n v="0"/>
    <n v="0"/>
    <n v="0"/>
    <n v="0"/>
    <n v="0"/>
    <n v="0"/>
    <n v="0"/>
    <n v="0"/>
    <n v="0"/>
    <n v="0"/>
    <n v="0"/>
    <n v="0"/>
    <n v="0"/>
    <n v="0"/>
    <n v="0"/>
    <n v="0"/>
    <n v="0"/>
    <n v="0"/>
    <n v="0"/>
    <n v="0"/>
    <n v="0"/>
    <n v="0"/>
    <n v="0"/>
    <n v="0"/>
    <n v="0"/>
    <n v="0"/>
    <n v="0"/>
    <n v="0"/>
    <n v="0"/>
    <n v="0"/>
    <n v="0"/>
    <n v="0"/>
    <n v="0"/>
    <n v="0"/>
    <n v="0"/>
    <n v="0"/>
    <m/>
    <m/>
    <m/>
    <m/>
    <m/>
    <m/>
    <m/>
    <m/>
    <m/>
    <m/>
    <m/>
    <m/>
    <m/>
    <m/>
    <m/>
    <m/>
    <m/>
    <m/>
    <m/>
    <m/>
    <m/>
    <m/>
    <m/>
    <m/>
    <m/>
    <m/>
    <m/>
    <m/>
    <m/>
    <m/>
    <m/>
    <m/>
    <m/>
    <m/>
  </r>
  <r>
    <n v="743"/>
    <d v="2024-12-30T00:00:00"/>
    <s v="ZBTO"/>
    <n v="9518388810"/>
    <n v="5"/>
    <s v="9518388810-5"/>
    <m/>
    <s v="No Priority"/>
    <s v="Released orders"/>
    <x v="2"/>
    <x v="2"/>
    <n v="2000"/>
    <m/>
    <x v="1"/>
    <m/>
    <m/>
    <s v="West Bengal"/>
    <m/>
    <m/>
    <m/>
    <n v="100922"/>
    <s v="BUBNA COMMERCIAL COMPANY"/>
    <n v="3215894"/>
    <s v="GP COIL SOFT-TATXGP-GLK1-0.6X900"/>
    <s v=""/>
    <s v=""/>
    <m/>
    <m/>
    <s v="Narrow"/>
    <s v="C02"/>
    <s v="TATXGP"/>
    <s v="GLK1"/>
    <n v="0.6"/>
    <n v="900"/>
    <n v="0"/>
    <n v="42"/>
    <n v="0"/>
    <n v="42"/>
    <n v="42"/>
    <e v="#N/A"/>
    <e v="#N/A"/>
    <m/>
    <m/>
    <n v="42"/>
    <n v="42"/>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5-01-13T00:00:00"/>
    <s v="ZBTO"/>
    <n v="9518424820"/>
    <n v="7"/>
    <s v="9518424820-7"/>
    <m/>
    <s v="No Priority"/>
    <s v="Released orders"/>
    <x v="2"/>
    <x v="2"/>
    <n v="2000"/>
    <m/>
    <x v="1"/>
    <m/>
    <m/>
    <s v="West Bengal"/>
    <m/>
    <m/>
    <m/>
    <n v="100922"/>
    <s v="BUBNA COMMERCIAL COMPANY"/>
    <n v="3215894"/>
    <s v="GP COIL SOFT-TATXGP-GLK1-0.6X900"/>
    <s v=""/>
    <s v=""/>
    <m/>
    <m/>
    <s v="Narrow"/>
    <s v="C02"/>
    <s v="TATXGP"/>
    <s v="GLK1"/>
    <n v="0.6"/>
    <n v="900"/>
    <n v="0"/>
    <n v="105"/>
    <n v="0"/>
    <n v="105"/>
    <n v="105"/>
    <e v="#N/A"/>
    <e v="#N/A"/>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1-13T00:00:00"/>
    <s v="ZBTO"/>
    <n v="9518424861"/>
    <n v="5"/>
    <s v="9518424861-5"/>
    <m/>
    <s v="No Priority"/>
    <s v="Released orders"/>
    <x v="2"/>
    <x v="2"/>
    <n v="2000"/>
    <m/>
    <x v="1"/>
    <m/>
    <m/>
    <s v="West Bengal"/>
    <m/>
    <m/>
    <m/>
    <n v="100922"/>
    <s v="BUBNA COMMERCIAL COMPANY"/>
    <n v="1854424"/>
    <s v="GP COIL SOFT-TATXGP-GK09-0.6X900"/>
    <s v=""/>
    <s v=""/>
    <m/>
    <m/>
    <s v="Narrow"/>
    <s v="C02"/>
    <s v="TATXGP"/>
    <s v="GK09"/>
    <n v="0.6"/>
    <n v="900"/>
    <n v="0"/>
    <n v="105"/>
    <n v="0"/>
    <n v="105"/>
    <n v="105"/>
    <e v="#N/A"/>
    <e v="#N/A"/>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1-18T00:00:00"/>
    <s v="ZBTO"/>
    <n v="9518439023"/>
    <n v="1"/>
    <s v="9518439023-1"/>
    <m/>
    <s v="No Priority"/>
    <s v="Released orders"/>
    <x v="2"/>
    <x v="2"/>
    <n v="2000"/>
    <m/>
    <x v="1"/>
    <m/>
    <m/>
    <s v="Punjab"/>
    <m/>
    <m/>
    <m/>
    <n v="185845"/>
    <s v="Malerkotla Steel Industries"/>
    <n v="1851054"/>
    <s v="GP COIL SOFT-TATXGP-GK09-0.2X900"/>
    <s v=""/>
    <s v=""/>
    <m/>
    <m/>
    <s v="Narrow"/>
    <s v="C02"/>
    <s v="TATXGP"/>
    <s v="GK09"/>
    <n v="0.2"/>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2-05T00:00:00"/>
    <s v="ZBTO"/>
    <n v="9518495843"/>
    <n v="6"/>
    <s v="9518495843-6"/>
    <m/>
    <s v="No Priority"/>
    <s v="Failed orders"/>
    <x v="2"/>
    <x v="2"/>
    <n v="2000"/>
    <m/>
    <x v="1"/>
    <m/>
    <m/>
    <s v="West Bengal"/>
    <m/>
    <m/>
    <m/>
    <n v="100922"/>
    <s v="BUBNA COMMERCIAL COMPANY"/>
    <n v="1142897"/>
    <s v="GP COIL SOFT-TATXGP-GLK1-0.6X900"/>
    <s v=""/>
    <s v=""/>
    <m/>
    <m/>
    <s v="Narrow"/>
    <s v="C02"/>
    <s v="TATXGP"/>
    <s v="GLK1"/>
    <n v="0.6"/>
    <n v="900"/>
    <n v="0"/>
    <n v="63"/>
    <e v="#N/A"/>
    <n v="63"/>
    <n v="63"/>
    <e v="#N/A"/>
    <e v="#N/A"/>
    <m/>
    <m/>
    <n v="63"/>
    <n v="0"/>
    <n v="0"/>
    <n v="70.56"/>
    <n v="0"/>
    <n v="0"/>
    <n v="0"/>
    <n v="0"/>
    <n v="0"/>
    <n v="0"/>
    <n v="0"/>
    <n v="0"/>
    <n v="0"/>
    <n v="0"/>
    <n v="0"/>
    <n v="0"/>
    <n v="0"/>
    <n v="0"/>
    <n v="0"/>
    <n v="0"/>
    <n v="0"/>
    <n v="0"/>
    <n v="0"/>
    <n v="0"/>
    <n v="0"/>
    <n v="0"/>
    <n v="0"/>
    <n v="0"/>
    <n v="0"/>
    <n v="0"/>
    <n v="0"/>
    <n v="0"/>
    <n v="0"/>
    <n v="0"/>
    <n v="0"/>
    <n v="0"/>
    <n v="0"/>
    <n v="0"/>
    <n v="0"/>
    <n v="0"/>
    <n v="0"/>
    <m/>
    <m/>
    <m/>
    <m/>
    <m/>
    <m/>
    <m/>
    <m/>
    <m/>
    <m/>
    <m/>
    <m/>
    <m/>
    <m/>
    <m/>
    <m/>
    <m/>
    <m/>
    <m/>
    <m/>
    <m/>
    <m/>
    <m/>
    <m/>
    <m/>
    <m/>
    <m/>
    <m/>
    <m/>
    <m/>
    <m/>
    <m/>
    <m/>
    <m/>
  </r>
  <r>
    <n v="743"/>
    <d v="2025-02-14T00:00:00"/>
    <s v="ZBTO"/>
    <n v="9518519230"/>
    <n v="1"/>
    <s v="9518519230-1"/>
    <m/>
    <s v="No Priority"/>
    <s v="Released orders"/>
    <x v="2"/>
    <x v="2"/>
    <n v="2000"/>
    <m/>
    <x v="1"/>
    <m/>
    <m/>
    <s v="Punjab"/>
    <m/>
    <m/>
    <m/>
    <n v="185845"/>
    <s v="Malerkotla Steel Industries"/>
    <n v="1851054"/>
    <s v="GP COIL SOFT-TATXGP-GK09-0.2X900"/>
    <s v=""/>
    <s v=""/>
    <m/>
    <m/>
    <s v="Narrow"/>
    <s v="C02"/>
    <s v="TATXGP"/>
    <s v="GK09"/>
    <n v="0.2"/>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2-05T00:00:00"/>
    <s v="ZBTO"/>
    <n v="9518495889"/>
    <n v="5"/>
    <s v="9518495889-5"/>
    <m/>
    <s v="No Priority"/>
    <s v="Released orders"/>
    <x v="2"/>
    <x v="2"/>
    <n v="2000"/>
    <m/>
    <x v="1"/>
    <m/>
    <m/>
    <s v="West Bengal"/>
    <m/>
    <m/>
    <m/>
    <n v="100922"/>
    <s v="BUBNA COMMERCIAL COMPANY"/>
    <n v="1854424"/>
    <s v="GP COIL SOFT-TATXGP-GK09-0.6X900"/>
    <s v=""/>
    <s v=""/>
    <m/>
    <m/>
    <s v="Narrow"/>
    <s v="C02"/>
    <s v="TATXGP"/>
    <s v="GK09"/>
    <n v="0.6"/>
    <n v="900"/>
    <n v="0"/>
    <n v="105"/>
    <n v="0"/>
    <n v="105"/>
    <n v="105"/>
    <e v="#N/A"/>
    <e v="#N/A"/>
    <m/>
    <m/>
    <n v="105"/>
    <n v="42"/>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8T00:00:00"/>
    <s v="ZBTO"/>
    <n v="9518528325"/>
    <n v="6"/>
    <s v="9518528325-6"/>
    <m/>
    <s v="No Priority"/>
    <s v="Failed orders"/>
    <x v="2"/>
    <x v="2"/>
    <n v="2000"/>
    <m/>
    <x v="1"/>
    <m/>
    <m/>
    <s v="West Bengal"/>
    <m/>
    <m/>
    <m/>
    <n v="100922"/>
    <s v="BUBNA COMMERCIAL COMPANY"/>
    <n v="1142897"/>
    <s v="GP COIL SOFT-TATXGP-GLK1-0.6X900"/>
    <s v=""/>
    <s v=""/>
    <m/>
    <m/>
    <s v="Narrow"/>
    <s v="C02"/>
    <s v="TATXGP"/>
    <s v="GLK1"/>
    <n v="0.6"/>
    <n v="900"/>
    <n v="0"/>
    <n v="105"/>
    <e v="#N/A"/>
    <n v="105"/>
    <n v="105"/>
    <e v="#N/A"/>
    <e v="#N/A"/>
    <m/>
    <m/>
    <n v="105"/>
    <n v="0"/>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7T00:00:00"/>
    <s v="ZBTO"/>
    <n v="9518527008"/>
    <n v="4"/>
    <s v="9518527008-4"/>
    <m/>
    <s v="No Priority"/>
    <s v="Released orders"/>
    <x v="2"/>
    <x v="2"/>
    <n v="2000"/>
    <m/>
    <x v="1"/>
    <m/>
    <m/>
    <s v="Uttar Pradesh"/>
    <m/>
    <m/>
    <m/>
    <n v="931234"/>
    <s v="JAI LAXMI STEELS"/>
    <n v="1854424"/>
    <s v="GP COIL SOFT-TATXGP-GK09-0.6X900"/>
    <n v="80"/>
    <s v=""/>
    <m/>
    <m/>
    <s v="Narrow"/>
    <s v="C02"/>
    <s v="TATXGP"/>
    <s v="GK09"/>
    <n v="0.6"/>
    <n v="900"/>
    <n v="0"/>
    <n v="105"/>
    <n v="0"/>
    <n v="105"/>
    <n v="105"/>
    <e v="#N/A"/>
    <e v="#N/A"/>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2"/>
    <d v="2025-01-21T00:00:00"/>
    <s v="ZBTO"/>
    <n v="9518447967"/>
    <n v="3"/>
    <s v="9518447967-3"/>
    <m/>
    <s v="No Priority"/>
    <s v="Failed orders"/>
    <x v="1"/>
    <x v="1"/>
    <n v="2000"/>
    <m/>
    <x v="1"/>
    <s v="Mar"/>
    <m/>
    <s v="West Bengal"/>
    <m/>
    <m/>
    <m/>
    <n v="101278"/>
    <s v="RAMESH COMPANY"/>
    <n v="3239548"/>
    <s v="CRCA SHEET TATCRC SR16 0.400X900X2500"/>
    <s v=""/>
    <s v=""/>
    <m/>
    <m/>
    <s v="Narrow"/>
    <s v="C06"/>
    <s v="TATCRC"/>
    <s v="SR16"/>
    <n v="0.4"/>
    <n v="900"/>
    <n v="2500"/>
    <n v="51"/>
    <e v="#N/A"/>
    <n v="51"/>
    <n v="51"/>
    <e v="#N/A"/>
    <e v="#N/A"/>
    <m/>
    <n v="0"/>
    <n v="51"/>
    <n v="0"/>
    <n v="0"/>
    <n v="57.120000000000005"/>
    <n v="0"/>
    <n v="0"/>
    <n v="0"/>
    <n v="0"/>
    <n v="0"/>
    <n v="0"/>
    <n v="0"/>
    <n v="0"/>
    <n v="0"/>
    <n v="0"/>
    <n v="0"/>
    <n v="0"/>
    <n v="0"/>
    <n v="0"/>
    <n v="0"/>
    <n v="0"/>
    <n v="0"/>
    <n v="0"/>
    <n v="0"/>
    <n v="0"/>
    <n v="0"/>
    <n v="0"/>
    <n v="0"/>
    <n v="0"/>
    <n v="0"/>
    <n v="0"/>
    <n v="0"/>
    <n v="0"/>
    <n v="0"/>
    <n v="0"/>
    <n v="0"/>
    <n v="0"/>
    <n v="0"/>
    <n v="0"/>
    <n v="0"/>
    <n v="0"/>
    <n v="0"/>
    <m/>
    <m/>
    <m/>
    <m/>
    <m/>
    <m/>
    <m/>
    <m/>
    <m/>
    <m/>
    <m/>
    <m/>
    <m/>
    <m/>
    <m/>
    <m/>
    <m/>
    <m/>
    <m/>
    <m/>
    <m/>
    <m/>
    <m/>
    <m/>
    <m/>
    <m/>
    <m/>
    <m/>
    <m/>
    <m/>
    <m/>
    <m/>
    <m/>
    <m/>
  </r>
  <r>
    <n v="742"/>
    <d v="2025-02-19T00:00:00"/>
    <s v="ZBTO"/>
    <n v="9518533557"/>
    <n v="1"/>
    <s v="9518533557-1"/>
    <m/>
    <s v="No Priority"/>
    <s v="Failed orders"/>
    <x v="1"/>
    <x v="1"/>
    <n v="2000"/>
    <m/>
    <x v="1"/>
    <m/>
    <m/>
    <s v="West Bengal"/>
    <m/>
    <m/>
    <m/>
    <n v="101278"/>
    <s v="RAMESH COMPANY"/>
    <n v="3239408"/>
    <s v="CRCA SHEET TATCRC SR16 0.300X900X2500"/>
    <s v=""/>
    <s v=""/>
    <m/>
    <m/>
    <s v="Narrow"/>
    <s v="C06"/>
    <s v="TATCRC"/>
    <s v="SR16"/>
    <n v="0.3"/>
    <n v="900"/>
    <n v="2500"/>
    <n v="30"/>
    <e v="#N/A"/>
    <n v="30"/>
    <n v="30"/>
    <e v="#N/A"/>
    <e v="#N/A"/>
    <m/>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5-02-19T00:00:00"/>
    <s v="ZBTO"/>
    <n v="9518533557"/>
    <n v="3"/>
    <s v="9518533557-3"/>
    <m/>
    <s v="No Priority"/>
    <s v="Failed orders"/>
    <x v="1"/>
    <x v="1"/>
    <n v="2000"/>
    <m/>
    <x v="1"/>
    <m/>
    <m/>
    <s v="West Bengal"/>
    <m/>
    <m/>
    <m/>
    <n v="101278"/>
    <s v="RAMESH COMPANY"/>
    <n v="3239536"/>
    <s v="CRCA SHEET TATCRC SR16 0.350X900X2500"/>
    <s v=""/>
    <s v=""/>
    <m/>
    <m/>
    <s v="Narrow"/>
    <s v="C06"/>
    <s v="TATCRC"/>
    <s v="SR16"/>
    <n v="0.35"/>
    <n v="900"/>
    <n v="2500"/>
    <n v="60"/>
    <e v="#N/A"/>
    <n v="60"/>
    <n v="60"/>
    <e v="#N/A"/>
    <e v="#N/A"/>
    <m/>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742"/>
    <d v="2025-02-19T00:00:00"/>
    <s v="ZBTO"/>
    <n v="9518533557"/>
    <n v="4"/>
    <s v="9518533557-4"/>
    <m/>
    <s v="No Priority"/>
    <s v="Failed orders"/>
    <x v="1"/>
    <x v="1"/>
    <n v="2000"/>
    <m/>
    <x v="1"/>
    <s v="Mar"/>
    <m/>
    <s v="West Bengal"/>
    <m/>
    <m/>
    <m/>
    <n v="101278"/>
    <s v="RAMESH COMPANY"/>
    <n v="3239548"/>
    <s v="CRCA SHEET TATCRC SR16 0.400X900X2500"/>
    <s v=""/>
    <s v=""/>
    <m/>
    <m/>
    <s v="Narrow"/>
    <s v="C06"/>
    <s v="TATCRC"/>
    <s v="SR16"/>
    <n v="0.4"/>
    <n v="900"/>
    <n v="2500"/>
    <n v="30"/>
    <e v="#N/A"/>
    <n v="30"/>
    <n v="30"/>
    <e v="#N/A"/>
    <e v="#N/A"/>
    <m/>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5-02-19T00:00:00"/>
    <s v="ZBTO"/>
    <n v="9518533596"/>
    <n v="3"/>
    <s v="9518533596-3"/>
    <m/>
    <s v="No Priority"/>
    <s v="Failed orders"/>
    <x v="1"/>
    <x v="15"/>
    <n v="2000"/>
    <m/>
    <x v="1"/>
    <m/>
    <m/>
    <s v="West Bengal"/>
    <m/>
    <m/>
    <m/>
    <n v="155536"/>
    <s v="TATA STEEL DOWNSTREAM PRODUCTS"/>
    <n v="2420523"/>
    <s v="CRCA COIL TATXXD AH03 1.600X1250"/>
    <s v=""/>
    <s v=""/>
    <m/>
    <m/>
    <s v="Wider"/>
    <s v="C01"/>
    <s v="TATXXD"/>
    <s v="AH03"/>
    <n v="1.6"/>
    <n v="1250"/>
    <n v="0"/>
    <n v="58"/>
    <e v="#N/A"/>
    <n v="58"/>
    <n v="58"/>
    <e v="#N/A"/>
    <e v="#N/A"/>
    <m/>
    <n v="0"/>
    <n v="58"/>
    <n v="0"/>
    <n v="0"/>
    <n v="64.960000000000008"/>
    <n v="0"/>
    <n v="0"/>
    <n v="0"/>
    <n v="0"/>
    <n v="0"/>
    <n v="0"/>
    <n v="0"/>
    <n v="0"/>
    <n v="0"/>
    <n v="0"/>
    <n v="0"/>
    <n v="0"/>
    <n v="0"/>
    <n v="0"/>
    <n v="0"/>
    <n v="0"/>
    <n v="0"/>
    <n v="0"/>
    <n v="0"/>
    <n v="0"/>
    <n v="0"/>
    <n v="0"/>
    <n v="0"/>
    <n v="0"/>
    <n v="0"/>
    <n v="0"/>
    <n v="0"/>
    <n v="0"/>
    <n v="0"/>
    <n v="0"/>
    <n v="0"/>
    <n v="0"/>
    <n v="0"/>
    <n v="0"/>
    <n v="0"/>
    <n v="0"/>
    <n v="0"/>
    <m/>
    <m/>
    <m/>
    <m/>
    <m/>
    <m/>
    <m/>
    <m/>
    <m/>
    <m/>
    <m/>
    <m/>
    <m/>
    <m/>
    <m/>
    <m/>
    <m/>
    <m/>
    <m/>
    <m/>
    <m/>
    <m/>
    <m/>
    <m/>
    <m/>
    <m/>
    <m/>
    <m/>
    <m/>
    <m/>
    <m/>
    <m/>
    <m/>
    <m/>
  </r>
  <r>
    <n v="742"/>
    <d v="2025-02-19T00:00:00"/>
    <s v="ZBTO"/>
    <n v="9518533557"/>
    <n v="8"/>
    <s v="9518533557-8"/>
    <m/>
    <s v="No Priority"/>
    <s v="Failed orders"/>
    <x v="1"/>
    <x v="1"/>
    <n v="2000"/>
    <m/>
    <x v="1"/>
    <s v="Mar"/>
    <m/>
    <s v="West Bengal"/>
    <m/>
    <m/>
    <m/>
    <n v="101278"/>
    <s v="RAMESH COMPANY"/>
    <n v="3239560"/>
    <s v="CRCA SHEET TATCRC SR16 0.450X900X2500"/>
    <s v=""/>
    <s v=""/>
    <m/>
    <m/>
    <s v="Narrow"/>
    <s v="C06"/>
    <s v="TATCRC"/>
    <s v="SR16"/>
    <n v="0.45"/>
    <n v="900"/>
    <n v="250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14T00:00:00"/>
    <s v="ZBTO"/>
    <n v="9518519930"/>
    <n v="3"/>
    <s v="9518519930-3"/>
    <m/>
    <s v="Stocks"/>
    <s v="Released orders"/>
    <x v="1"/>
    <x v="3"/>
    <n v="2000"/>
    <m/>
    <x v="0"/>
    <s v="Mar"/>
    <m/>
    <s v="Punjab"/>
    <m/>
    <m/>
    <m/>
    <n v="936997"/>
    <s v="R R STEEL INDUSTRIES"/>
    <n v="1804826"/>
    <s v="CRCA COIL-TATXXD-AU03-0.9X1250"/>
    <s v=""/>
    <s v=""/>
    <m/>
    <m/>
    <s v="Wider"/>
    <s v="C01"/>
    <s v="TATXXD"/>
    <s v="AU03"/>
    <n v="0.9"/>
    <n v="1250"/>
    <n v="0"/>
    <n v="29"/>
    <n v="26.03"/>
    <n v="29"/>
    <n v="29"/>
    <e v="#N/A"/>
    <e v="#N/A"/>
    <m/>
    <n v="0"/>
    <n v="29"/>
    <n v="2.97"/>
    <n v="0"/>
    <n v="32.480000000000004"/>
    <n v="0"/>
    <n v="0"/>
    <n v="0"/>
    <n v="0"/>
    <n v="0"/>
    <n v="0"/>
    <n v="0"/>
    <n v="0"/>
    <n v="0"/>
    <n v="0"/>
    <n v="0"/>
    <n v="0"/>
    <n v="0"/>
    <n v="0"/>
    <n v="0"/>
    <n v="0"/>
    <n v="0"/>
    <n v="0"/>
    <n v="0"/>
    <n v="0"/>
    <n v="0"/>
    <n v="0"/>
    <n v="0"/>
    <n v="26.03"/>
    <n v="0"/>
    <n v="0"/>
    <n v="0"/>
    <n v="0"/>
    <n v="0"/>
    <n v="0"/>
    <n v="26.03"/>
    <n v="0"/>
    <n v="26.03"/>
    <n v="0"/>
    <n v="0"/>
    <n v="0"/>
    <n v="0"/>
    <m/>
    <m/>
    <m/>
    <m/>
    <m/>
    <m/>
    <m/>
    <m/>
    <m/>
    <m/>
    <m/>
    <m/>
    <m/>
    <m/>
    <m/>
    <m/>
    <m/>
    <m/>
    <m/>
    <m/>
    <m/>
    <m/>
    <m/>
    <m/>
    <m/>
    <m/>
    <m/>
    <m/>
    <m/>
    <m/>
    <m/>
    <m/>
    <m/>
    <m/>
  </r>
  <r>
    <n v="742"/>
    <d v="2025-02-14T00:00:00"/>
    <s v="ZBTO"/>
    <n v="9518518311"/>
    <n v="3"/>
    <s v="9518518311-3"/>
    <m/>
    <s v="Mar'25"/>
    <s v="Released orders"/>
    <x v="1"/>
    <x v="3"/>
    <n v="2000"/>
    <m/>
    <x v="0"/>
    <s v="Mar"/>
    <m/>
    <s v="Telangana"/>
    <m/>
    <m/>
    <m/>
    <n v="947126"/>
    <s v="RAVINDRA IRON WORKS"/>
    <n v="1804908"/>
    <s v="CRCA COIL TATCRC TR15 0.5X1250"/>
    <s v=""/>
    <s v=""/>
    <m/>
    <m/>
    <s v="Wider"/>
    <s v="C01"/>
    <s v="TATCRC"/>
    <s v="TR15"/>
    <n v="0.5"/>
    <n v="1250"/>
    <n v="0"/>
    <n v="87"/>
    <n v="0"/>
    <n v="87"/>
    <n v="87"/>
    <n v="0"/>
    <n v="87"/>
    <m/>
    <m/>
    <n v="87"/>
    <n v="87"/>
    <n v="0"/>
    <n v="97.440000000000012"/>
    <n v="0"/>
    <n v="0"/>
    <n v="0"/>
    <n v="0"/>
    <n v="0"/>
    <n v="0"/>
    <n v="0"/>
    <n v="0"/>
    <n v="0"/>
    <n v="0"/>
    <n v="0"/>
    <n v="0"/>
    <n v="0"/>
    <n v="0"/>
    <n v="0"/>
    <n v="0"/>
    <n v="0"/>
    <n v="0"/>
    <n v="0"/>
    <n v="0"/>
    <n v="0"/>
    <n v="0"/>
    <n v="0"/>
    <n v="0"/>
    <n v="87"/>
    <n v="0"/>
    <n v="0"/>
    <n v="0"/>
    <n v="87"/>
    <n v="0"/>
    <n v="87"/>
    <n v="0"/>
    <n v="0"/>
    <n v="0"/>
    <n v="0"/>
    <n v="87"/>
    <n v="0"/>
    <m/>
    <m/>
    <m/>
    <m/>
    <m/>
    <m/>
    <m/>
    <m/>
    <m/>
    <m/>
    <m/>
    <m/>
    <m/>
    <m/>
    <m/>
    <m/>
    <m/>
    <m/>
    <m/>
    <m/>
    <m/>
    <m/>
    <m/>
    <m/>
    <m/>
    <m/>
    <m/>
    <m/>
    <m/>
    <m/>
    <m/>
    <m/>
    <m/>
    <m/>
  </r>
  <r>
    <n v="742"/>
    <d v="2025-02-14T00:00:00"/>
    <s v="ZBTO"/>
    <n v="9518518311"/>
    <n v="4"/>
    <s v="9518518311-4"/>
    <m/>
    <s v="Mar'25"/>
    <s v="Released orders"/>
    <x v="1"/>
    <x v="3"/>
    <n v="2000"/>
    <m/>
    <x v="0"/>
    <s v="Mar"/>
    <m/>
    <s v="Telangana"/>
    <m/>
    <m/>
    <m/>
    <n v="947126"/>
    <s v="RAVINDRA IRON WORKS"/>
    <n v="2229967"/>
    <s v="CRCA COIL TATCRC TR15 0.700X1250"/>
    <s v=""/>
    <s v=""/>
    <m/>
    <m/>
    <s v="Wider"/>
    <s v="C01"/>
    <s v="TATCRC"/>
    <s v="TR15"/>
    <n v="0.7"/>
    <n v="1250"/>
    <n v="0"/>
    <n v="29"/>
    <n v="0"/>
    <n v="29"/>
    <n v="29"/>
    <n v="27.73"/>
    <n v="0"/>
    <m/>
    <n v="0"/>
    <n v="29"/>
    <n v="29"/>
    <n v="0"/>
    <n v="32.480000000000004"/>
    <n v="0"/>
    <n v="0"/>
    <n v="0"/>
    <n v="0"/>
    <n v="0"/>
    <n v="0"/>
    <n v="0"/>
    <n v="0"/>
    <n v="0"/>
    <n v="0"/>
    <n v="0"/>
    <n v="0"/>
    <n v="0"/>
    <n v="0"/>
    <n v="0"/>
    <n v="0"/>
    <n v="0"/>
    <n v="0"/>
    <n v="0"/>
    <n v="0"/>
    <n v="0"/>
    <n v="0"/>
    <n v="27.73"/>
    <n v="0"/>
    <n v="29"/>
    <n v="0"/>
    <n v="29"/>
    <n v="0"/>
    <n v="0"/>
    <n v="0"/>
    <n v="29"/>
    <n v="0"/>
    <n v="0"/>
    <n v="29"/>
    <n v="0"/>
    <n v="0"/>
    <n v="0"/>
    <m/>
    <m/>
    <m/>
    <m/>
    <m/>
    <m/>
    <m/>
    <m/>
    <m/>
    <m/>
    <m/>
    <m/>
    <m/>
    <m/>
    <m/>
    <m/>
    <m/>
    <m/>
    <m/>
    <m/>
    <m/>
    <m/>
    <m/>
    <m/>
    <m/>
    <m/>
    <m/>
    <m/>
    <m/>
    <m/>
    <m/>
    <m/>
    <m/>
    <m/>
  </r>
  <r>
    <n v="742"/>
    <d v="2025-01-13T00:00:00"/>
    <s v="ZBTO"/>
    <n v="9518425909"/>
    <n v="20"/>
    <s v="9518425909-20"/>
    <m/>
    <s v="Mar'25"/>
    <s v="Released orders"/>
    <x v="1"/>
    <x v="3"/>
    <n v="2000"/>
    <m/>
    <x v="0"/>
    <m/>
    <m/>
    <s v="Andhra Pradesh"/>
    <m/>
    <m/>
    <m/>
    <n v="946077"/>
    <s v="SITARAM IRON AND STEEL PVT LTD"/>
    <n v="1406015"/>
    <s v="CRCA SHEET TATXXD AU03 0.950X1250X2500"/>
    <s v=""/>
    <s v=""/>
    <m/>
    <m/>
    <s v="Wider"/>
    <s v="C06"/>
    <s v="TATXXD"/>
    <s v="AU03"/>
    <n v="0.95"/>
    <n v="1250"/>
    <n v="2500"/>
    <n v="27"/>
    <n v="0"/>
    <n v="27"/>
    <n v="27"/>
    <e v="#N/A"/>
    <e v="#N/A"/>
    <m/>
    <n v="0"/>
    <n v="27"/>
    <n v="27"/>
    <n v="0"/>
    <n v="30.240000000000002"/>
    <n v="0"/>
    <n v="0"/>
    <n v="0"/>
    <n v="0"/>
    <n v="0"/>
    <n v="0"/>
    <n v="0"/>
    <n v="0"/>
    <n v="0"/>
    <n v="0"/>
    <n v="0"/>
    <n v="0"/>
    <n v="0"/>
    <n v="0"/>
    <n v="0"/>
    <n v="0"/>
    <n v="0"/>
    <n v="0"/>
    <n v="0"/>
    <n v="0"/>
    <n v="0"/>
    <n v="0"/>
    <n v="0"/>
    <n v="0"/>
    <n v="27"/>
    <n v="0"/>
    <n v="27"/>
    <n v="0"/>
    <n v="0"/>
    <n v="0"/>
    <n v="27"/>
    <n v="0"/>
    <n v="0"/>
    <n v="27"/>
    <n v="0"/>
    <n v="0"/>
    <n v="0"/>
    <m/>
    <m/>
    <m/>
    <m/>
    <m/>
    <m/>
    <m/>
    <m/>
    <m/>
    <m/>
    <m/>
    <m/>
    <m/>
    <m/>
    <m/>
    <m/>
    <m/>
    <m/>
    <m/>
    <m/>
    <m/>
    <m/>
    <m/>
    <m/>
    <m/>
    <m/>
    <m/>
    <m/>
    <m/>
    <m/>
    <m/>
    <m/>
    <m/>
    <m/>
  </r>
  <r>
    <n v="742"/>
    <d v="2025-02-14T00:00:00"/>
    <s v="ZBTO"/>
    <n v="9518518311"/>
    <n v="7"/>
    <s v="9518518311-7"/>
    <m/>
    <s v="Mar'25"/>
    <s v="Released orders"/>
    <x v="1"/>
    <x v="3"/>
    <n v="2000"/>
    <m/>
    <x v="0"/>
    <m/>
    <m/>
    <s v="Telangana"/>
    <m/>
    <m/>
    <m/>
    <n v="947126"/>
    <s v="RAVINDRA IRON WORKS"/>
    <n v="2398457"/>
    <s v="CRCA COIL TATXXD AU03 1X1320"/>
    <s v=""/>
    <s v=""/>
    <m/>
    <m/>
    <s v="Wider"/>
    <s v="C01"/>
    <s v="TATXXD"/>
    <s v="AU03"/>
    <n v="1"/>
    <n v="1320"/>
    <n v="0"/>
    <n v="210"/>
    <n v="0"/>
    <n v="210"/>
    <n v="210"/>
    <e v="#N/A"/>
    <e v="#N/A"/>
    <n v="210"/>
    <n v="0"/>
    <n v="210"/>
    <n v="210"/>
    <n v="0"/>
    <n v="235.20000000000002"/>
    <n v="0"/>
    <n v="0"/>
    <n v="0"/>
    <n v="0"/>
    <n v="0"/>
    <n v="0"/>
    <n v="0"/>
    <n v="0"/>
    <n v="0"/>
    <n v="0"/>
    <n v="0"/>
    <n v="0"/>
    <n v="0"/>
    <n v="0"/>
    <n v="0"/>
    <n v="0"/>
    <n v="0"/>
    <n v="0"/>
    <n v="0"/>
    <n v="0"/>
    <n v="0"/>
    <n v="0"/>
    <n v="0"/>
    <n v="0"/>
    <n v="210"/>
    <n v="0"/>
    <n v="0"/>
    <n v="0"/>
    <n v="0"/>
    <n v="210"/>
    <n v="0"/>
    <n v="0"/>
    <n v="0"/>
    <n v="0"/>
    <n v="0"/>
    <n v="0"/>
    <n v="210"/>
    <m/>
    <m/>
    <m/>
    <m/>
    <m/>
    <m/>
    <m/>
    <m/>
    <m/>
    <m/>
    <m/>
    <m/>
    <m/>
    <m/>
    <m/>
    <m/>
    <m/>
    <m/>
    <m/>
    <m/>
    <m/>
    <m/>
    <m/>
    <m/>
    <m/>
    <m/>
    <m/>
    <m/>
    <m/>
    <m/>
    <m/>
    <m/>
    <m/>
    <m/>
  </r>
  <r>
    <n v="742"/>
    <d v="2025-02-14T00:00:00"/>
    <s v="ZBTO"/>
    <n v="9518518311"/>
    <n v="8"/>
    <s v="9518518311-8"/>
    <m/>
    <s v="Mar'25"/>
    <s v="Released orders"/>
    <x v="1"/>
    <x v="3"/>
    <n v="2000"/>
    <m/>
    <x v="0"/>
    <s v="Mar"/>
    <m/>
    <s v="Telangana"/>
    <m/>
    <m/>
    <m/>
    <n v="947126"/>
    <s v="RAVINDRA IRON WORKS"/>
    <n v="2418765"/>
    <s v="CRCA COIL TATXXD AU03 1.150X1320"/>
    <s v=""/>
    <s v=""/>
    <m/>
    <m/>
    <s v="Wider"/>
    <s v="C01"/>
    <s v="TATXXD"/>
    <s v="AU03"/>
    <n v="1.1499999999999999"/>
    <n v="1320"/>
    <n v="0"/>
    <n v="60"/>
    <n v="0"/>
    <n v="60"/>
    <n v="60"/>
    <e v="#N/A"/>
    <e v="#N/A"/>
    <n v="60"/>
    <n v="0"/>
    <n v="60"/>
    <n v="60"/>
    <n v="0"/>
    <n v="67.2"/>
    <n v="0"/>
    <n v="0"/>
    <n v="0"/>
    <n v="0"/>
    <n v="0"/>
    <n v="0"/>
    <n v="0"/>
    <n v="0"/>
    <n v="0"/>
    <n v="0"/>
    <n v="0"/>
    <n v="0"/>
    <n v="0"/>
    <n v="0"/>
    <n v="0"/>
    <n v="0"/>
    <n v="0"/>
    <n v="0"/>
    <n v="0"/>
    <n v="0"/>
    <n v="0"/>
    <n v="0"/>
    <n v="0"/>
    <n v="0"/>
    <n v="60"/>
    <n v="0"/>
    <n v="0"/>
    <n v="0"/>
    <n v="0"/>
    <n v="60"/>
    <n v="0"/>
    <n v="0"/>
    <n v="0"/>
    <n v="0"/>
    <n v="0"/>
    <n v="0"/>
    <n v="60"/>
    <m/>
    <m/>
    <m/>
    <m/>
    <m/>
    <m/>
    <m/>
    <m/>
    <m/>
    <m/>
    <m/>
    <m/>
    <m/>
    <m/>
    <m/>
    <m/>
    <m/>
    <m/>
    <m/>
    <m/>
    <m/>
    <m/>
    <m/>
    <m/>
    <m/>
    <m/>
    <m/>
    <m/>
    <m/>
    <m/>
    <m/>
    <m/>
    <m/>
    <m/>
  </r>
  <r>
    <n v="742"/>
    <d v="2025-02-17T00:00:00"/>
    <s v="ZBTO"/>
    <n v="9518527640"/>
    <n v="1"/>
    <s v="9518527640-1"/>
    <m/>
    <s v="Mar'25"/>
    <s v="Released orders"/>
    <x v="1"/>
    <x v="3"/>
    <n v="2000"/>
    <m/>
    <x v="0"/>
    <s v="Mar"/>
    <m/>
    <s v="Telangana"/>
    <m/>
    <m/>
    <m/>
    <n v="947126"/>
    <s v="RAVINDRA IRON WORKS"/>
    <n v="1804908"/>
    <s v="CRCA COIL TATCRC TR15 0.5X1250"/>
    <s v=""/>
    <s v=""/>
    <m/>
    <m/>
    <s v="Wider"/>
    <s v="C01"/>
    <s v="TATCRC"/>
    <s v="TR15"/>
    <n v="0.5"/>
    <n v="1250"/>
    <n v="0"/>
    <n v="116"/>
    <n v="0"/>
    <n v="116"/>
    <n v="116"/>
    <n v="0"/>
    <n v="116"/>
    <m/>
    <m/>
    <n v="116"/>
    <n v="116"/>
    <n v="0"/>
    <n v="129.92000000000002"/>
    <n v="0"/>
    <n v="0"/>
    <n v="0"/>
    <n v="0"/>
    <n v="0"/>
    <n v="0"/>
    <n v="0"/>
    <n v="0"/>
    <n v="0"/>
    <n v="0"/>
    <n v="0"/>
    <n v="0"/>
    <n v="0"/>
    <n v="0"/>
    <n v="0"/>
    <n v="0"/>
    <n v="0"/>
    <n v="0"/>
    <n v="0"/>
    <n v="0"/>
    <n v="0"/>
    <n v="0"/>
    <n v="0"/>
    <n v="0"/>
    <n v="116"/>
    <n v="0"/>
    <n v="0"/>
    <n v="0"/>
    <n v="116"/>
    <n v="0"/>
    <n v="116"/>
    <n v="0"/>
    <n v="0"/>
    <n v="0"/>
    <n v="0"/>
    <n v="116"/>
    <n v="0"/>
    <m/>
    <m/>
    <m/>
    <m/>
    <m/>
    <m/>
    <m/>
    <m/>
    <m/>
    <m/>
    <m/>
    <m/>
    <m/>
    <m/>
    <m/>
    <m/>
    <m/>
    <m/>
    <m/>
    <m/>
    <m/>
    <m/>
    <m/>
    <m/>
    <m/>
    <m/>
    <m/>
    <m/>
    <m/>
    <m/>
    <m/>
    <m/>
    <m/>
    <m/>
  </r>
  <r>
    <n v="742"/>
    <d v="2025-02-20T00:00:00"/>
    <s v="ZBTO"/>
    <n v="9518534932"/>
    <n v="1"/>
    <s v="9518534932-1"/>
    <m/>
    <s v="Mar'25"/>
    <s v="Released orders"/>
    <x v="1"/>
    <x v="3"/>
    <n v="2000"/>
    <m/>
    <x v="0"/>
    <s v="Mar"/>
    <m/>
    <s v="Telangana"/>
    <m/>
    <m/>
    <m/>
    <n v="947126"/>
    <s v="RAVINDRA IRON WORKS"/>
    <n v="2398457"/>
    <s v="CRCA COIL TATXXD AU03 1X1320"/>
    <s v=""/>
    <s v=""/>
    <m/>
    <m/>
    <s v="Wider"/>
    <s v="C01"/>
    <s v="TATXXD"/>
    <s v="AU03"/>
    <n v="1"/>
    <n v="1320"/>
    <n v="0"/>
    <n v="59.999000000000002"/>
    <n v="0"/>
    <n v="59.999000000000002"/>
    <n v="59.999000000000002"/>
    <e v="#N/A"/>
    <e v="#N/A"/>
    <n v="59.999000000000002"/>
    <n v="0"/>
    <n v="59.999000000000002"/>
    <n v="60"/>
    <n v="0"/>
    <n v="67.198880000000003"/>
    <n v="0"/>
    <n v="0"/>
    <n v="0"/>
    <n v="0"/>
    <n v="0"/>
    <n v="0"/>
    <n v="0"/>
    <n v="0"/>
    <n v="0"/>
    <n v="0"/>
    <n v="0"/>
    <n v="0"/>
    <n v="0"/>
    <n v="0"/>
    <n v="0"/>
    <n v="0"/>
    <n v="0"/>
    <n v="0"/>
    <n v="0"/>
    <n v="0"/>
    <n v="0"/>
    <n v="0"/>
    <n v="0"/>
    <n v="0"/>
    <n v="60"/>
    <n v="0"/>
    <n v="0"/>
    <n v="0"/>
    <n v="0"/>
    <n v="60"/>
    <n v="0"/>
    <n v="0"/>
    <n v="0"/>
    <n v="0"/>
    <n v="0"/>
    <n v="0"/>
    <n v="60"/>
    <m/>
    <m/>
    <m/>
    <m/>
    <m/>
    <m/>
    <m/>
    <m/>
    <m/>
    <m/>
    <m/>
    <m/>
    <m/>
    <m/>
    <m/>
    <m/>
    <m/>
    <m/>
    <m/>
    <m/>
    <m/>
    <m/>
    <m/>
    <m/>
    <m/>
    <m/>
    <m/>
    <m/>
    <m/>
    <m/>
    <m/>
    <m/>
    <m/>
    <m/>
  </r>
  <r>
    <n v="742"/>
    <d v="2025-02-20T00:00:00"/>
    <s v="ZBTO"/>
    <n v="9518534932"/>
    <n v="2"/>
    <s v="9518534932-2"/>
    <m/>
    <s v="Mar'25"/>
    <s v="Released orders"/>
    <x v="1"/>
    <x v="3"/>
    <n v="2000"/>
    <m/>
    <x v="0"/>
    <s v="Mar"/>
    <m/>
    <s v="Telangana"/>
    <m/>
    <m/>
    <m/>
    <n v="947126"/>
    <s v="RAVINDRA IRON WORKS"/>
    <n v="2418765"/>
    <s v="CRCA COIL TATXXD AU03 1.150X1320"/>
    <s v=""/>
    <s v=""/>
    <m/>
    <m/>
    <s v="Wider"/>
    <s v="C01"/>
    <s v="TATXXD"/>
    <s v="AU03"/>
    <n v="1.1499999999999999"/>
    <n v="1320"/>
    <n v="0"/>
    <n v="89.998999999999995"/>
    <n v="0"/>
    <n v="89.998999999999995"/>
    <n v="89.998999999999995"/>
    <e v="#N/A"/>
    <e v="#N/A"/>
    <n v="89.998999999999995"/>
    <n v="0"/>
    <n v="89.998999999999995"/>
    <n v="90"/>
    <n v="0"/>
    <n v="100.79888000000001"/>
    <n v="0"/>
    <n v="0"/>
    <n v="0"/>
    <n v="0"/>
    <n v="0"/>
    <n v="0"/>
    <n v="0"/>
    <n v="0"/>
    <n v="0"/>
    <n v="0"/>
    <n v="0"/>
    <n v="0"/>
    <n v="0"/>
    <n v="0"/>
    <n v="0"/>
    <n v="0"/>
    <n v="0"/>
    <n v="0"/>
    <n v="0"/>
    <n v="0"/>
    <n v="0"/>
    <n v="0"/>
    <n v="0"/>
    <n v="0"/>
    <n v="90"/>
    <n v="0"/>
    <n v="0"/>
    <n v="0"/>
    <n v="0"/>
    <n v="90"/>
    <n v="0"/>
    <n v="0"/>
    <n v="0"/>
    <n v="0"/>
    <n v="0"/>
    <n v="0"/>
    <n v="90"/>
    <m/>
    <m/>
    <m/>
    <m/>
    <m/>
    <m/>
    <m/>
    <m/>
    <m/>
    <m/>
    <m/>
    <m/>
    <m/>
    <m/>
    <m/>
    <m/>
    <m/>
    <m/>
    <m/>
    <m/>
    <m/>
    <m/>
    <m/>
    <m/>
    <m/>
    <m/>
    <m/>
    <m/>
    <m/>
    <m/>
    <m/>
    <m/>
    <m/>
    <m/>
  </r>
  <r>
    <n v="742"/>
    <d v="2025-02-20T00:00:00"/>
    <s v="ZBTO"/>
    <n v="9518535833"/>
    <n v="15"/>
    <s v="9518535833-15"/>
    <m/>
    <s v="Mar'25"/>
    <s v="Released orders"/>
    <x v="1"/>
    <x v="3"/>
    <n v="2000"/>
    <m/>
    <x v="0"/>
    <s v="Mar"/>
    <m/>
    <s v="Tamil Nadu"/>
    <m/>
    <m/>
    <m/>
    <n v="938550"/>
    <s v="BASEER AND CO"/>
    <n v="1801804"/>
    <s v="CRCA COIL-TATXXD-AU03-1X1250"/>
    <s v=""/>
    <s v=""/>
    <m/>
    <m/>
    <s v="Wider"/>
    <s v="C01"/>
    <s v="TATXXD"/>
    <s v="AU03"/>
    <n v="1"/>
    <n v="1250"/>
    <n v="0"/>
    <n v="29"/>
    <n v="0"/>
    <n v="29"/>
    <n v="29"/>
    <e v="#N/A"/>
    <e v="#N/A"/>
    <m/>
    <n v="0"/>
    <n v="29"/>
    <n v="29"/>
    <n v="0"/>
    <n v="32.480000000000004"/>
    <n v="0"/>
    <n v="0"/>
    <n v="0"/>
    <n v="0"/>
    <n v="0"/>
    <n v="0"/>
    <n v="0"/>
    <n v="0"/>
    <n v="0"/>
    <n v="0"/>
    <n v="0"/>
    <n v="0"/>
    <n v="0"/>
    <n v="0"/>
    <n v="0"/>
    <n v="0"/>
    <n v="0"/>
    <n v="0"/>
    <n v="0"/>
    <n v="0"/>
    <n v="0"/>
    <n v="0"/>
    <n v="0"/>
    <n v="0"/>
    <n v="29"/>
    <n v="0"/>
    <n v="0"/>
    <n v="0"/>
    <n v="29"/>
    <n v="0"/>
    <n v="29"/>
    <n v="0"/>
    <n v="0"/>
    <n v="0"/>
    <n v="0"/>
    <n v="29"/>
    <n v="0"/>
    <m/>
    <m/>
    <m/>
    <m/>
    <m/>
    <m/>
    <m/>
    <m/>
    <m/>
    <m/>
    <m/>
    <m/>
    <m/>
    <m/>
    <m/>
    <m/>
    <m/>
    <m/>
    <m/>
    <m/>
    <m/>
    <m/>
    <m/>
    <m/>
    <m/>
    <m/>
    <m/>
    <m/>
    <m/>
    <m/>
    <m/>
    <m/>
    <m/>
    <m/>
  </r>
  <r>
    <n v="742"/>
    <d v="2025-02-14T00:00:00"/>
    <s v="ZBTO"/>
    <n v="9518519930"/>
    <n v="5"/>
    <s v="9518519930-5"/>
    <m/>
    <s v="Mar'25"/>
    <s v="Released orders"/>
    <x v="1"/>
    <x v="3"/>
    <n v="2000"/>
    <m/>
    <x v="0"/>
    <m/>
    <m/>
    <s v="Punjab"/>
    <m/>
    <m/>
    <m/>
    <n v="936997"/>
    <s v="R R STEEL INDUSTRIES"/>
    <n v="187525"/>
    <s v="CRSHEET-ICF  DQ TATXXD AU03 1.00 X 1250"/>
    <s v=""/>
    <s v=""/>
    <m/>
    <m/>
    <s v="Wider"/>
    <s v="C01"/>
    <s v="TATXXD"/>
    <s v="AU03"/>
    <n v="1"/>
    <n v="1250"/>
    <n v="0"/>
    <n v="29"/>
    <n v="0"/>
    <n v="29"/>
    <n v="29"/>
    <e v="#N/A"/>
    <e v="#N/A"/>
    <m/>
    <n v="0"/>
    <n v="29"/>
    <n v="29"/>
    <n v="0"/>
    <n v="32.480000000000004"/>
    <n v="0"/>
    <n v="0"/>
    <n v="0"/>
    <n v="0"/>
    <n v="0"/>
    <n v="0"/>
    <n v="0"/>
    <n v="0"/>
    <n v="0"/>
    <n v="0"/>
    <n v="0"/>
    <n v="0"/>
    <n v="0"/>
    <n v="0"/>
    <n v="0"/>
    <n v="0"/>
    <n v="0"/>
    <n v="0"/>
    <n v="0"/>
    <n v="0"/>
    <n v="0"/>
    <n v="0"/>
    <n v="0"/>
    <n v="0"/>
    <n v="29"/>
    <n v="0"/>
    <n v="0"/>
    <n v="0"/>
    <n v="29"/>
    <n v="0"/>
    <n v="29"/>
    <n v="0"/>
    <n v="0"/>
    <n v="0"/>
    <n v="0"/>
    <n v="29"/>
    <n v="0"/>
    <m/>
    <m/>
    <m/>
    <m/>
    <m/>
    <m/>
    <m/>
    <m/>
    <m/>
    <m/>
    <m/>
    <m/>
    <m/>
    <m/>
    <m/>
    <m/>
    <m/>
    <m/>
    <m/>
    <m/>
    <m/>
    <m/>
    <m/>
    <m/>
    <m/>
    <m/>
    <m/>
    <m/>
    <m/>
    <m/>
    <m/>
    <m/>
    <m/>
    <m/>
  </r>
  <r>
    <n v="742"/>
    <d v="2025-02-10T00:00:00"/>
    <s v="ZBTO"/>
    <n v="9518507657"/>
    <n v="2"/>
    <s v="9518507657-2"/>
    <m/>
    <s v="Mar'25"/>
    <s v="Released orders"/>
    <x v="1"/>
    <x v="3"/>
    <n v="2000"/>
    <m/>
    <x v="0"/>
    <s v="Mar"/>
    <m/>
    <s v="Assam"/>
    <m/>
    <m/>
    <m/>
    <n v="116649"/>
    <s v="SAGAR STEELS"/>
    <n v="1801562"/>
    <s v="CRCA COIL-TATXXD-AU03-0.8X1000"/>
    <s v=""/>
    <s v=""/>
    <m/>
    <m/>
    <s v="Narrow"/>
    <s v="C01"/>
    <s v="TATXXD"/>
    <s v="AU03"/>
    <n v="0.8"/>
    <n v="1000"/>
    <n v="0"/>
    <n v="92"/>
    <n v="0"/>
    <n v="92"/>
    <n v="92"/>
    <e v="#N/A"/>
    <e v="#N/A"/>
    <m/>
    <n v="0"/>
    <n v="92"/>
    <n v="92"/>
    <n v="0"/>
    <n v="103.04"/>
    <n v="0"/>
    <n v="0"/>
    <n v="0"/>
    <n v="0"/>
    <n v="0"/>
    <n v="0"/>
    <n v="0"/>
    <n v="0"/>
    <n v="0"/>
    <n v="0"/>
    <n v="0"/>
    <n v="0"/>
    <n v="0"/>
    <n v="0"/>
    <n v="0"/>
    <n v="0"/>
    <n v="0"/>
    <n v="0"/>
    <n v="0"/>
    <n v="0"/>
    <n v="0"/>
    <n v="0"/>
    <n v="0"/>
    <n v="0"/>
    <n v="92"/>
    <n v="0"/>
    <n v="0"/>
    <n v="0"/>
    <n v="0"/>
    <n v="92"/>
    <n v="0"/>
    <n v="0"/>
    <n v="0"/>
    <n v="0"/>
    <n v="0"/>
    <n v="0"/>
    <n v="92"/>
    <m/>
    <m/>
    <m/>
    <m/>
    <m/>
    <m/>
    <m/>
    <m/>
    <m/>
    <m/>
    <m/>
    <m/>
    <m/>
    <m/>
    <m/>
    <m/>
    <m/>
    <m/>
    <m/>
    <m/>
    <m/>
    <m/>
    <m/>
    <m/>
    <m/>
    <m/>
    <m/>
    <m/>
    <m/>
    <m/>
    <m/>
    <m/>
    <m/>
    <m/>
  </r>
  <r>
    <n v="742"/>
    <d v="2025-02-10T00:00:00"/>
    <s v="ZBTO"/>
    <n v="9518507657"/>
    <n v="3"/>
    <s v="9518507657-3"/>
    <m/>
    <s v="Mar'25"/>
    <s v="Released orders"/>
    <x v="1"/>
    <x v="3"/>
    <n v="2000"/>
    <m/>
    <x v="0"/>
    <s v="Mar"/>
    <m/>
    <s v="Assam"/>
    <m/>
    <m/>
    <m/>
    <n v="116649"/>
    <s v="SAGAR STEELS"/>
    <n v="2378009"/>
    <s v="CRCA COIL TATXXD AU03 0.700X1000"/>
    <s v=""/>
    <s v=""/>
    <m/>
    <m/>
    <s v="Narrow"/>
    <s v="C01"/>
    <s v="TATXXD"/>
    <s v="AU03"/>
    <n v="0.7"/>
    <n v="1000"/>
    <n v="0"/>
    <n v="69"/>
    <n v="0"/>
    <n v="69"/>
    <n v="69"/>
    <e v="#N/A"/>
    <e v="#N/A"/>
    <m/>
    <n v="0"/>
    <n v="69"/>
    <n v="69"/>
    <n v="0"/>
    <n v="77.28"/>
    <n v="0"/>
    <n v="0"/>
    <n v="0"/>
    <n v="0"/>
    <n v="0"/>
    <n v="0"/>
    <n v="0"/>
    <n v="0"/>
    <n v="0"/>
    <n v="0"/>
    <n v="0"/>
    <n v="0"/>
    <n v="0"/>
    <n v="0"/>
    <n v="0"/>
    <n v="0"/>
    <n v="0"/>
    <n v="0"/>
    <n v="0"/>
    <n v="0"/>
    <n v="0"/>
    <n v="0"/>
    <n v="0"/>
    <n v="0"/>
    <n v="69"/>
    <n v="0"/>
    <n v="0"/>
    <n v="0"/>
    <n v="0"/>
    <n v="69"/>
    <n v="0"/>
    <n v="0"/>
    <n v="0"/>
    <n v="0"/>
    <n v="0"/>
    <n v="0"/>
    <n v="69"/>
    <m/>
    <m/>
    <m/>
    <m/>
    <m/>
    <m/>
    <m/>
    <m/>
    <m/>
    <m/>
    <m/>
    <m/>
    <m/>
    <m/>
    <m/>
    <m/>
    <m/>
    <m/>
    <m/>
    <m/>
    <m/>
    <m/>
    <m/>
    <m/>
    <m/>
    <m/>
    <m/>
    <m/>
    <m/>
    <m/>
    <m/>
    <m/>
    <m/>
    <m/>
  </r>
  <r>
    <n v="742"/>
    <d v="2025-02-10T00:00:00"/>
    <s v="ZBTO"/>
    <n v="9518507657"/>
    <n v="4"/>
    <s v="9518507657-4"/>
    <m/>
    <s v="No Priority"/>
    <s v="Failed orders"/>
    <x v="1"/>
    <x v="1"/>
    <n v="2000"/>
    <m/>
    <x v="1"/>
    <s v="Mar"/>
    <m/>
    <s v="Assam"/>
    <m/>
    <m/>
    <m/>
    <n v="116649"/>
    <s v="SAGAR STEELS"/>
    <n v="3516003"/>
    <s v="CR COIL TSBCRC SR25 0.600X1000"/>
    <s v=""/>
    <s v=""/>
    <m/>
    <m/>
    <s v="Narrow"/>
    <s v="C01"/>
    <s v="TSBCRC"/>
    <s v="SR25"/>
    <n v="0.6"/>
    <n v="1000"/>
    <n v="0"/>
    <n v="46"/>
    <e v="#N/A"/>
    <n v="46"/>
    <n v="46"/>
    <e v="#N/A"/>
    <e v="#N/A"/>
    <m/>
    <n v="0"/>
    <n v="46"/>
    <n v="0"/>
    <n v="0"/>
    <n v="51.52"/>
    <n v="0"/>
    <n v="0"/>
    <n v="0"/>
    <n v="0"/>
    <n v="0"/>
    <n v="0"/>
    <n v="0"/>
    <n v="0"/>
    <n v="0"/>
    <n v="0"/>
    <n v="0"/>
    <n v="0"/>
    <n v="0"/>
    <n v="0"/>
    <n v="0"/>
    <n v="0"/>
    <n v="0"/>
    <n v="0"/>
    <n v="0"/>
    <n v="0"/>
    <n v="0"/>
    <n v="0"/>
    <n v="0"/>
    <n v="0"/>
    <n v="0"/>
    <n v="0"/>
    <n v="0"/>
    <n v="0"/>
    <n v="0"/>
    <n v="0"/>
    <n v="0"/>
    <n v="0"/>
    <n v="0"/>
    <n v="0"/>
    <n v="0"/>
    <n v="0"/>
    <n v="0"/>
    <m/>
    <m/>
    <m/>
    <m/>
    <m/>
    <m/>
    <m/>
    <m/>
    <m/>
    <m/>
    <m/>
    <m/>
    <m/>
    <m/>
    <m/>
    <m/>
    <m/>
    <m/>
    <m/>
    <m/>
    <m/>
    <m/>
    <m/>
    <m/>
    <m/>
    <m/>
    <m/>
    <m/>
    <m/>
    <m/>
    <m/>
    <m/>
    <m/>
    <m/>
  </r>
  <r>
    <n v="742"/>
    <d v="2025-01-22T00:00:00"/>
    <s v="ZBTO"/>
    <n v="9518451356"/>
    <n v="15"/>
    <s v="9518451356-15"/>
    <m/>
    <s v="No Priority"/>
    <s v="Released orders"/>
    <x v="1"/>
    <x v="15"/>
    <s v="2000-BPRS"/>
    <m/>
    <x v="1"/>
    <m/>
    <m/>
    <m/>
    <s v="South"/>
    <s v="YESHWANTHPURA"/>
    <m/>
    <n v="932244"/>
    <s v="DURGA TRADERS"/>
    <n v="2420608"/>
    <s v="CRCA COIL TATXXD AH03 1.800X1250"/>
    <s v=" "/>
    <s v=""/>
    <n v="2"/>
    <n v="26"/>
    <s v="Wider"/>
    <s v="C01"/>
    <s v="TATXXD"/>
    <s v="AH03"/>
    <n v="1.8"/>
    <n v="1250"/>
    <n v="0"/>
    <n v="29"/>
    <n v="0"/>
    <n v="29"/>
    <n v="29"/>
    <n v="0"/>
    <n v="29"/>
    <m/>
    <m/>
    <n v="29"/>
    <n v="29"/>
    <n v="0"/>
    <n v="32.480000000000004"/>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2-10T00:00:00"/>
    <s v="ZBTO"/>
    <n v="9518507657"/>
    <n v="6"/>
    <s v="9518507657-6"/>
    <m/>
    <s v="No Priority"/>
    <s v="Failed orders"/>
    <x v="1"/>
    <x v="1"/>
    <n v="2000"/>
    <m/>
    <x v="1"/>
    <s v="Mar"/>
    <m/>
    <s v="Assam"/>
    <m/>
    <m/>
    <m/>
    <n v="116649"/>
    <s v="SAGAR STEELS"/>
    <n v="3241804"/>
    <s v="CR COIL TATCRC SR26 0.350X1000"/>
    <s v=""/>
    <s v=""/>
    <m/>
    <m/>
    <s v="Narrow"/>
    <s v="C01"/>
    <s v="TATCRC"/>
    <s v="SR26"/>
    <n v="0.35"/>
    <n v="1000"/>
    <n v="0"/>
    <n v="23"/>
    <e v="#N/A"/>
    <n v="23"/>
    <n v="23"/>
    <e v="#N/A"/>
    <e v="#N/A"/>
    <m/>
    <n v="0"/>
    <n v="23"/>
    <n v="0"/>
    <n v="0"/>
    <n v="25.76"/>
    <n v="0"/>
    <n v="0"/>
    <n v="0"/>
    <n v="0"/>
    <n v="0"/>
    <n v="0"/>
    <n v="0"/>
    <n v="0"/>
    <n v="0"/>
    <n v="0"/>
    <n v="0"/>
    <n v="0"/>
    <n v="0"/>
    <n v="0"/>
    <n v="0"/>
    <n v="0"/>
    <n v="0"/>
    <n v="0"/>
    <n v="0"/>
    <n v="0"/>
    <n v="0"/>
    <n v="0"/>
    <n v="0"/>
    <n v="0"/>
    <n v="0"/>
    <n v="0"/>
    <n v="0"/>
    <n v="0"/>
    <n v="0"/>
    <n v="0"/>
    <n v="0"/>
    <n v="0"/>
    <n v="0"/>
    <n v="0"/>
    <n v="0"/>
    <n v="0"/>
    <n v="0"/>
    <m/>
    <m/>
    <m/>
    <m/>
    <m/>
    <m/>
    <m/>
    <m/>
    <m/>
    <m/>
    <m/>
    <m/>
    <m/>
    <m/>
    <m/>
    <m/>
    <m/>
    <m/>
    <m/>
    <m/>
    <m/>
    <m/>
    <m/>
    <m/>
    <m/>
    <m/>
    <m/>
    <m/>
    <m/>
    <m/>
    <m/>
    <m/>
    <m/>
    <m/>
  </r>
  <r>
    <n v="742"/>
    <d v="2025-01-03T00:00:00"/>
    <s v="ZBTO"/>
    <n v="9518401789"/>
    <n v="8"/>
    <s v="9518401789-8"/>
    <m/>
    <s v="No Priority"/>
    <s v="Released orders"/>
    <x v="1"/>
    <x v="15"/>
    <s v="2000-BPRS"/>
    <m/>
    <x v="1"/>
    <m/>
    <m/>
    <m/>
    <s v="South"/>
    <s v="YESHWANTHPURA"/>
    <m/>
    <n v="932244"/>
    <s v="DURGA TRADERS"/>
    <n v="2420608"/>
    <s v="CRCA COIL TATXXD AH03 1.800X1250"/>
    <s v=" "/>
    <s v=""/>
    <n v="2"/>
    <n v="26"/>
    <s v="Wider"/>
    <s v="C01"/>
    <s v="TATXXD"/>
    <s v="AH03"/>
    <n v="1.8"/>
    <n v="1250"/>
    <n v="0"/>
    <n v="29"/>
    <n v="0"/>
    <n v="29"/>
    <n v="29"/>
    <n v="0"/>
    <n v="29"/>
    <m/>
    <m/>
    <n v="29"/>
    <n v="29"/>
    <n v="0"/>
    <n v="32.480000000000004"/>
    <n v="0"/>
    <n v="0"/>
    <n v="0"/>
    <n v="0"/>
    <n v="0"/>
    <n v="0"/>
    <n v="0"/>
    <n v="0"/>
    <n v="0"/>
    <n v="0"/>
    <n v="0"/>
    <n v="0"/>
    <n v="0"/>
    <n v="0"/>
    <n v="0"/>
    <n v="0"/>
    <n v="0"/>
    <n v="0"/>
    <n v="0"/>
    <n v="0"/>
    <n v="0"/>
    <n v="0"/>
    <n v="0"/>
    <n v="0"/>
    <n v="0"/>
    <n v="0"/>
    <n v="0"/>
    <n v="0"/>
    <n v="0"/>
    <n v="0"/>
    <n v="0"/>
    <n v="0"/>
    <n v="0"/>
    <n v="0"/>
    <n v="0"/>
    <n v="0"/>
    <n v="0"/>
    <n v="0"/>
    <n v="0"/>
    <n v="0"/>
    <n v="0"/>
    <n v="0"/>
    <n v="0"/>
    <m/>
    <m/>
    <m/>
    <m/>
    <m/>
    <m/>
    <m/>
    <m/>
    <m/>
    <s v="1"/>
    <s v="1"/>
    <s v="1"/>
    <s v="1"/>
    <s v="1"/>
    <m/>
    <m/>
    <m/>
    <m/>
    <m/>
    <m/>
    <m/>
    <m/>
    <m/>
    <m/>
    <m/>
    <m/>
    <m/>
    <m/>
  </r>
  <r>
    <n v="742"/>
    <d v="2025-02-10T00:00:00"/>
    <s v="ZBTO"/>
    <n v="9518507657"/>
    <n v="10"/>
    <s v="9518507657-10"/>
    <m/>
    <s v="Mar'25"/>
    <s v="Released orders"/>
    <x v="1"/>
    <x v="1"/>
    <n v="2000"/>
    <m/>
    <x v="0"/>
    <s v="Mar"/>
    <m/>
    <s v="Assam"/>
    <m/>
    <m/>
    <m/>
    <n v="116649"/>
    <s v="SAGAR STEELS"/>
    <n v="3240760"/>
    <s v="CRCA SHEET TSBCRC SR15 0.500X1000X2500"/>
    <s v=""/>
    <s v=""/>
    <m/>
    <m/>
    <s v="Narrow"/>
    <s v="C06"/>
    <s v="TSBCRC"/>
    <s v="SR15"/>
    <n v="0.5"/>
    <n v="1000"/>
    <n v="2500"/>
    <n v="21"/>
    <n v="0"/>
    <n v="21"/>
    <n v="21"/>
    <e v="#N/A"/>
    <e v="#N/A"/>
    <m/>
    <n v="0"/>
    <n v="21"/>
    <n v="21"/>
    <n v="0"/>
    <n v="23.520000000000003"/>
    <n v="0"/>
    <n v="0"/>
    <n v="0"/>
    <n v="0"/>
    <n v="0"/>
    <n v="0"/>
    <n v="0"/>
    <n v="0"/>
    <n v="0"/>
    <n v="0"/>
    <n v="0"/>
    <n v="0"/>
    <n v="0"/>
    <n v="0"/>
    <n v="0"/>
    <n v="0"/>
    <n v="0"/>
    <n v="0"/>
    <n v="0"/>
    <n v="0"/>
    <n v="0"/>
    <n v="0"/>
    <n v="0"/>
    <n v="0"/>
    <n v="21"/>
    <n v="0"/>
    <n v="0"/>
    <n v="0"/>
    <n v="0"/>
    <n v="21"/>
    <n v="0"/>
    <n v="0"/>
    <n v="0"/>
    <n v="0"/>
    <n v="0"/>
    <n v="0"/>
    <n v="21"/>
    <m/>
    <m/>
    <m/>
    <m/>
    <m/>
    <m/>
    <m/>
    <m/>
    <m/>
    <m/>
    <m/>
    <m/>
    <m/>
    <m/>
    <m/>
    <m/>
    <m/>
    <m/>
    <m/>
    <m/>
    <m/>
    <m/>
    <m/>
    <m/>
    <m/>
    <m/>
    <m/>
    <m/>
    <m/>
    <m/>
    <m/>
    <m/>
    <m/>
    <m/>
  </r>
  <r>
    <n v="743"/>
    <d v="2024-12-18T00:00:00"/>
    <s v="ZBTO"/>
    <n v="9518354078"/>
    <n v="1"/>
    <s v="9518354078-1"/>
    <m/>
    <s v="No Priority"/>
    <s v="Failed orders"/>
    <x v="2"/>
    <x v="0"/>
    <n v="2000"/>
    <m/>
    <x v="1"/>
    <m/>
    <m/>
    <s v="Jammu &amp; Kashmir"/>
    <m/>
    <m/>
    <m/>
    <n v="115190"/>
    <s v="SHEYRUB AGENCIES"/>
    <n v="3897427"/>
    <s v="GP COIL XXXGPH GPH3 0.250X900"/>
    <s v=""/>
    <s v=""/>
    <m/>
    <m/>
    <s v="Narrow"/>
    <s v="C05"/>
    <s v="XXXGPH"/>
    <s v="GPH3"/>
    <n v="0.25"/>
    <n v="900"/>
    <n v="0"/>
    <n v="21"/>
    <e v="#N/A"/>
    <n v="21"/>
    <n v="21"/>
    <e v="#N/A"/>
    <e v="#N/A"/>
    <m/>
    <m/>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4-12-18T00:00:00"/>
    <s v="ZBTO"/>
    <n v="9518354078"/>
    <n v="2"/>
    <s v="9518354078-2"/>
    <m/>
    <s v="No Priority"/>
    <s v="Failed orders"/>
    <x v="2"/>
    <x v="0"/>
    <n v="2000"/>
    <m/>
    <x v="1"/>
    <m/>
    <m/>
    <s v="Jammu &amp; Kashmir"/>
    <m/>
    <m/>
    <m/>
    <n v="115190"/>
    <s v="SHEYRUB AGENCIES"/>
    <n v="3897428"/>
    <s v="GP COIL XXXGPH GPH3 0.300X900"/>
    <s v=""/>
    <s v=""/>
    <m/>
    <m/>
    <s v="Narrow"/>
    <s v="C05"/>
    <s v="XXXGPH"/>
    <s v="GPH3"/>
    <n v="0.3"/>
    <n v="900"/>
    <n v="0"/>
    <n v="42"/>
    <e v="#N/A"/>
    <n v="42"/>
    <n v="42"/>
    <e v="#N/A"/>
    <e v="#N/A"/>
    <m/>
    <m/>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4-12-18T00:00:00"/>
    <s v="ZBTO"/>
    <n v="9518354078"/>
    <n v="3"/>
    <s v="9518354078-3"/>
    <m/>
    <s v="No Priority"/>
    <s v="Failed orders"/>
    <x v="2"/>
    <x v="0"/>
    <n v="2000"/>
    <m/>
    <x v="1"/>
    <m/>
    <m/>
    <s v="Jammu &amp; Kashmir"/>
    <m/>
    <m/>
    <m/>
    <n v="115190"/>
    <s v="SHEYRUB AGENCIES"/>
    <n v="3897429"/>
    <s v="GP COIL XXXGPH GPH3 0.350X900"/>
    <s v=""/>
    <s v=""/>
    <m/>
    <m/>
    <s v="Narrow"/>
    <s v="C05"/>
    <s v="XXXGPH"/>
    <s v="GPH3"/>
    <n v="0.35"/>
    <n v="900"/>
    <n v="0"/>
    <n v="42"/>
    <e v="#N/A"/>
    <n v="42"/>
    <n v="42"/>
    <e v="#N/A"/>
    <e v="#N/A"/>
    <m/>
    <m/>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3"/>
    <d v="2024-12-18T00:00:00"/>
    <s v="ZBTO"/>
    <n v="9518354078"/>
    <n v="4"/>
    <s v="9518354078-4"/>
    <m/>
    <s v="No Priority"/>
    <s v="Failed orders"/>
    <x v="2"/>
    <x v="0"/>
    <n v="2000"/>
    <m/>
    <x v="1"/>
    <m/>
    <m/>
    <s v="Jammu &amp; Kashmir"/>
    <m/>
    <m/>
    <m/>
    <n v="115190"/>
    <s v="SHEYRUB AGENCIES"/>
    <n v="3897430"/>
    <s v="GP COIL XXXGPH GPH3 0.400X900"/>
    <s v=""/>
    <s v=""/>
    <m/>
    <m/>
    <s v="Narrow"/>
    <s v="C05"/>
    <s v="XXXGPH"/>
    <s v="GPH3"/>
    <n v="0.4"/>
    <n v="900"/>
    <n v="0"/>
    <n v="63"/>
    <e v="#N/A"/>
    <n v="63"/>
    <n v="63"/>
    <e v="#N/A"/>
    <e v="#N/A"/>
    <m/>
    <m/>
    <n v="63"/>
    <n v="0"/>
    <n v="0"/>
    <n v="70.56"/>
    <n v="0"/>
    <n v="0"/>
    <n v="0"/>
    <n v="0"/>
    <n v="0"/>
    <n v="0"/>
    <n v="0"/>
    <n v="0"/>
    <n v="0"/>
    <n v="0"/>
    <n v="0"/>
    <n v="0"/>
    <n v="0"/>
    <n v="0"/>
    <n v="0"/>
    <n v="0"/>
    <n v="0"/>
    <n v="0"/>
    <n v="0"/>
    <n v="0"/>
    <n v="0"/>
    <n v="0"/>
    <n v="0"/>
    <n v="0"/>
    <n v="0"/>
    <n v="0"/>
    <n v="0"/>
    <n v="0"/>
    <n v="0"/>
    <n v="0"/>
    <n v="0"/>
    <n v="0"/>
    <n v="0"/>
    <n v="0"/>
    <n v="0"/>
    <n v="0"/>
    <n v="0"/>
    <m/>
    <m/>
    <m/>
    <m/>
    <m/>
    <m/>
    <m/>
    <m/>
    <m/>
    <m/>
    <m/>
    <m/>
    <m/>
    <m/>
    <m/>
    <m/>
    <m/>
    <m/>
    <m/>
    <m/>
    <m/>
    <m/>
    <m/>
    <m/>
    <m/>
    <m/>
    <m/>
    <m/>
    <m/>
    <m/>
    <m/>
    <m/>
    <m/>
    <m/>
  </r>
  <r>
    <n v="743"/>
    <d v="2024-12-18T00:00:00"/>
    <s v="ZBTO"/>
    <n v="9518354078"/>
    <n v="5"/>
    <s v="9518354078-5"/>
    <m/>
    <s v="No Priority"/>
    <s v="Failed orders"/>
    <x v="2"/>
    <x v="0"/>
    <n v="2000"/>
    <m/>
    <x v="1"/>
    <m/>
    <m/>
    <s v="Jammu &amp; Kashmir"/>
    <m/>
    <m/>
    <m/>
    <n v="115190"/>
    <s v="SHEYRUB AGENCIES"/>
    <n v="3897501"/>
    <s v="GP COIL XXXGPH GPH3 0.500X900"/>
    <s v=""/>
    <s v=""/>
    <m/>
    <m/>
    <s v="Narrow"/>
    <s v="C05"/>
    <s v="XXXGPH"/>
    <s v="GPH3"/>
    <n v="0.5"/>
    <n v="900"/>
    <n v="0"/>
    <n v="63"/>
    <e v="#N/A"/>
    <n v="63"/>
    <n v="63"/>
    <e v="#N/A"/>
    <e v="#N/A"/>
    <m/>
    <m/>
    <n v="63"/>
    <n v="0"/>
    <n v="0"/>
    <n v="70.56"/>
    <n v="0"/>
    <n v="0"/>
    <n v="0"/>
    <n v="0"/>
    <n v="0"/>
    <n v="0"/>
    <n v="0"/>
    <n v="0"/>
    <n v="0"/>
    <n v="0"/>
    <n v="0"/>
    <n v="0"/>
    <n v="0"/>
    <n v="0"/>
    <n v="0"/>
    <n v="0"/>
    <n v="0"/>
    <n v="0"/>
    <n v="0"/>
    <n v="0"/>
    <n v="0"/>
    <n v="0"/>
    <n v="0"/>
    <n v="0"/>
    <n v="0"/>
    <n v="0"/>
    <n v="0"/>
    <n v="0"/>
    <n v="0"/>
    <n v="0"/>
    <n v="0"/>
    <n v="0"/>
    <n v="0"/>
    <n v="0"/>
    <n v="0"/>
    <n v="0"/>
    <n v="0"/>
    <m/>
    <m/>
    <m/>
    <m/>
    <m/>
    <m/>
    <m/>
    <m/>
    <m/>
    <m/>
    <m/>
    <m/>
    <m/>
    <m/>
    <m/>
    <m/>
    <m/>
    <m/>
    <m/>
    <m/>
    <m/>
    <m/>
    <m/>
    <m/>
    <m/>
    <m/>
    <m/>
    <m/>
    <m/>
    <m/>
    <m/>
    <m/>
    <m/>
    <m/>
  </r>
  <r>
    <n v="743"/>
    <d v="2025-01-03T00:00:00"/>
    <s v="ZBTO"/>
    <n v="9518403478"/>
    <n v="1"/>
    <s v="9518403478-1"/>
    <m/>
    <s v="No Priority"/>
    <s v="Failed orders"/>
    <x v="2"/>
    <x v="0"/>
    <n v="2000"/>
    <m/>
    <x v="1"/>
    <m/>
    <m/>
    <s v="Jammu &amp; Kashmir"/>
    <m/>
    <m/>
    <m/>
    <n v="115190"/>
    <s v="SHEYRUB AGENCIES"/>
    <n v="3897429"/>
    <s v="GP COIL XXXGPH GPH3 0.350X900"/>
    <s v=""/>
    <s v=""/>
    <m/>
    <m/>
    <s v="Narrow"/>
    <s v="C05"/>
    <s v="XXXGPH"/>
    <s v="GPH3"/>
    <n v="0.35"/>
    <n v="900"/>
    <n v="0"/>
    <n v="84"/>
    <e v="#N/A"/>
    <n v="84"/>
    <n v="84"/>
    <e v="#N/A"/>
    <e v="#N/A"/>
    <m/>
    <m/>
    <n v="84"/>
    <n v="0"/>
    <n v="0"/>
    <n v="94.080000000000013"/>
    <n v="0"/>
    <n v="0"/>
    <n v="0"/>
    <n v="0"/>
    <n v="0"/>
    <n v="0"/>
    <n v="0"/>
    <n v="0"/>
    <n v="0"/>
    <n v="0"/>
    <n v="0"/>
    <n v="0"/>
    <n v="0"/>
    <n v="0"/>
    <n v="0"/>
    <n v="0"/>
    <n v="0"/>
    <n v="0"/>
    <n v="0"/>
    <n v="0"/>
    <n v="0"/>
    <n v="0"/>
    <n v="0"/>
    <n v="0"/>
    <n v="0"/>
    <n v="0"/>
    <n v="0"/>
    <n v="0"/>
    <n v="0"/>
    <n v="0"/>
    <n v="0"/>
    <n v="0"/>
    <n v="0"/>
    <n v="0"/>
    <n v="0"/>
    <n v="0"/>
    <n v="0"/>
    <m/>
    <m/>
    <m/>
    <m/>
    <m/>
    <m/>
    <m/>
    <m/>
    <m/>
    <m/>
    <m/>
    <m/>
    <m/>
    <m/>
    <m/>
    <m/>
    <m/>
    <m/>
    <m/>
    <m/>
    <m/>
    <m/>
    <m/>
    <m/>
    <m/>
    <m/>
    <m/>
    <m/>
    <m/>
    <m/>
    <m/>
    <m/>
    <m/>
    <m/>
  </r>
  <r>
    <n v="743"/>
    <d v="2025-01-03T00:00:00"/>
    <s v="ZBTO"/>
    <n v="9518403478"/>
    <n v="2"/>
    <s v="9518403478-2"/>
    <m/>
    <s v="No Priority"/>
    <s v="Failed orders"/>
    <x v="2"/>
    <x v="0"/>
    <n v="2000"/>
    <m/>
    <x v="1"/>
    <m/>
    <m/>
    <s v="Jammu &amp; Kashmir"/>
    <m/>
    <m/>
    <m/>
    <n v="115190"/>
    <s v="SHEYRUB AGENCIES"/>
    <n v="3897428"/>
    <s v="GP COIL XXXGPH GPH3 0.300X900"/>
    <s v=""/>
    <s v=""/>
    <m/>
    <m/>
    <s v="Narrow"/>
    <s v="C05"/>
    <s v="XXXGPH"/>
    <s v="GPH3"/>
    <n v="0.3"/>
    <n v="900"/>
    <n v="0"/>
    <n v="21"/>
    <e v="#N/A"/>
    <n v="21"/>
    <n v="21"/>
    <e v="#N/A"/>
    <e v="#N/A"/>
    <m/>
    <m/>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03T00:00:00"/>
    <s v="ZBTO"/>
    <n v="9518403478"/>
    <n v="3"/>
    <s v="9518403478-3"/>
    <m/>
    <s v="No Priority"/>
    <s v="Failed orders"/>
    <x v="2"/>
    <x v="0"/>
    <n v="2000"/>
    <m/>
    <x v="1"/>
    <m/>
    <m/>
    <s v="Jammu &amp; Kashmir"/>
    <m/>
    <m/>
    <m/>
    <n v="115190"/>
    <s v="SHEYRUB AGENCIES"/>
    <n v="3897430"/>
    <s v="GP COIL XXXGPH GPH3 0.400X900"/>
    <s v=""/>
    <s v=""/>
    <m/>
    <m/>
    <s v="Narrow"/>
    <s v="C05"/>
    <s v="XXXGPH"/>
    <s v="GPH3"/>
    <n v="0.4"/>
    <n v="900"/>
    <n v="0"/>
    <n v="63"/>
    <e v="#N/A"/>
    <n v="63"/>
    <n v="63"/>
    <e v="#N/A"/>
    <e v="#N/A"/>
    <m/>
    <m/>
    <n v="63"/>
    <n v="0"/>
    <n v="0"/>
    <n v="70.56"/>
    <n v="0"/>
    <n v="0"/>
    <n v="0"/>
    <n v="0"/>
    <n v="0"/>
    <n v="0"/>
    <n v="0"/>
    <n v="0"/>
    <n v="0"/>
    <n v="0"/>
    <n v="0"/>
    <n v="0"/>
    <n v="0"/>
    <n v="0"/>
    <n v="0"/>
    <n v="0"/>
    <n v="0"/>
    <n v="0"/>
    <n v="0"/>
    <n v="0"/>
    <n v="0"/>
    <n v="0"/>
    <n v="0"/>
    <n v="0"/>
    <n v="0"/>
    <n v="0"/>
    <n v="0"/>
    <n v="0"/>
    <n v="0"/>
    <n v="0"/>
    <n v="0"/>
    <n v="0"/>
    <n v="0"/>
    <n v="0"/>
    <n v="0"/>
    <n v="0"/>
    <n v="0"/>
    <m/>
    <m/>
    <m/>
    <m/>
    <m/>
    <m/>
    <m/>
    <m/>
    <m/>
    <m/>
    <m/>
    <m/>
    <m/>
    <m/>
    <m/>
    <m/>
    <m/>
    <m/>
    <m/>
    <m/>
    <m/>
    <m/>
    <m/>
    <m/>
    <m/>
    <m/>
    <m/>
    <m/>
    <m/>
    <m/>
    <m/>
    <m/>
    <m/>
    <m/>
  </r>
  <r>
    <n v="743"/>
    <d v="2025-01-03T00:00:00"/>
    <s v="ZBTO"/>
    <n v="9518403478"/>
    <n v="4"/>
    <s v="9518403478-4"/>
    <m/>
    <s v="No Priority"/>
    <s v="Failed orders"/>
    <x v="2"/>
    <x v="0"/>
    <n v="2000"/>
    <m/>
    <x v="1"/>
    <m/>
    <m/>
    <s v="Jammu &amp; Kashmir"/>
    <m/>
    <m/>
    <m/>
    <n v="115190"/>
    <s v="SHEYRUB AGENCIES"/>
    <n v="3897501"/>
    <s v="GP COIL XXXGPH GPH3 0.500X900"/>
    <s v=""/>
    <s v=""/>
    <m/>
    <m/>
    <s v="Narrow"/>
    <s v="C05"/>
    <s v="XXXGPH"/>
    <s v="GPH3"/>
    <n v="0.5"/>
    <n v="900"/>
    <n v="0"/>
    <n v="84"/>
    <e v="#N/A"/>
    <n v="84"/>
    <n v="84"/>
    <e v="#N/A"/>
    <e v="#N/A"/>
    <m/>
    <m/>
    <n v="84"/>
    <n v="0"/>
    <n v="0"/>
    <n v="94.080000000000013"/>
    <n v="0"/>
    <n v="0"/>
    <n v="0"/>
    <n v="0"/>
    <n v="0"/>
    <n v="0"/>
    <n v="0"/>
    <n v="0"/>
    <n v="0"/>
    <n v="0"/>
    <n v="0"/>
    <n v="0"/>
    <n v="0"/>
    <n v="0"/>
    <n v="0"/>
    <n v="0"/>
    <n v="0"/>
    <n v="0"/>
    <n v="0"/>
    <n v="0"/>
    <n v="0"/>
    <n v="0"/>
    <n v="0"/>
    <n v="0"/>
    <n v="0"/>
    <n v="0"/>
    <n v="0"/>
    <n v="0"/>
    <n v="0"/>
    <n v="0"/>
    <n v="0"/>
    <n v="0"/>
    <n v="0"/>
    <n v="0"/>
    <n v="0"/>
    <n v="0"/>
    <n v="0"/>
    <m/>
    <m/>
    <m/>
    <m/>
    <m/>
    <m/>
    <m/>
    <m/>
    <m/>
    <m/>
    <m/>
    <m/>
    <m/>
    <m/>
    <m/>
    <m/>
    <m/>
    <m/>
    <m/>
    <m/>
    <m/>
    <m/>
    <m/>
    <m/>
    <m/>
    <m/>
    <m/>
    <m/>
    <m/>
    <m/>
    <m/>
    <m/>
    <m/>
    <m/>
  </r>
  <r>
    <n v="743"/>
    <d v="2025-01-18T00:00:00"/>
    <s v="ZBTO"/>
    <n v="9518439260"/>
    <n v="1"/>
    <s v="9518439260-1"/>
    <m/>
    <s v="No Priority"/>
    <s v="Failed orders"/>
    <x v="2"/>
    <x v="0"/>
    <n v="2000"/>
    <m/>
    <x v="1"/>
    <m/>
    <m/>
    <s v="Jammu &amp; Kashmir"/>
    <m/>
    <m/>
    <m/>
    <n v="115190"/>
    <s v="SHEYRUB AGENCIES"/>
    <n v="3897427"/>
    <s v="GP COIL XXXGPH GPH3 0.250X900"/>
    <s v=""/>
    <s v=""/>
    <m/>
    <m/>
    <s v="Narrow"/>
    <s v="C05"/>
    <s v="XXXGPH"/>
    <s v="GPH3"/>
    <n v="0.25"/>
    <n v="900"/>
    <n v="0"/>
    <n v="21"/>
    <e v="#N/A"/>
    <n v="21"/>
    <n v="21"/>
    <e v="#N/A"/>
    <e v="#N/A"/>
    <m/>
    <m/>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18T00:00:00"/>
    <s v="ZBTO"/>
    <n v="9518439260"/>
    <n v="2"/>
    <s v="9518439260-2"/>
    <m/>
    <s v="No Priority"/>
    <s v="Failed orders"/>
    <x v="2"/>
    <x v="0"/>
    <n v="2000"/>
    <m/>
    <x v="1"/>
    <m/>
    <m/>
    <s v="Jammu &amp; Kashmir"/>
    <m/>
    <m/>
    <m/>
    <n v="115190"/>
    <s v="SHEYRUB AGENCIES"/>
    <n v="3897428"/>
    <s v="GP COIL XXXGPH GPH3 0.300X900"/>
    <s v=""/>
    <s v=""/>
    <m/>
    <m/>
    <s v="Narrow"/>
    <s v="C05"/>
    <s v="XXXGPH"/>
    <s v="GPH3"/>
    <n v="0.3"/>
    <n v="900"/>
    <n v="0"/>
    <n v="21"/>
    <e v="#N/A"/>
    <n v="21"/>
    <n v="21"/>
    <e v="#N/A"/>
    <e v="#N/A"/>
    <m/>
    <m/>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18T00:00:00"/>
    <s v="ZBTO"/>
    <n v="9518439260"/>
    <n v="3"/>
    <s v="9518439260-3"/>
    <m/>
    <s v="No Priority"/>
    <s v="Failed orders"/>
    <x v="2"/>
    <x v="0"/>
    <n v="2000"/>
    <m/>
    <x v="1"/>
    <m/>
    <m/>
    <s v="Jammu &amp; Kashmir"/>
    <m/>
    <m/>
    <m/>
    <n v="115190"/>
    <s v="SHEYRUB AGENCIES"/>
    <n v="3897429"/>
    <s v="GP COIL XXXGPH GPH3 0.350X900"/>
    <s v=""/>
    <s v=""/>
    <m/>
    <m/>
    <s v="Narrow"/>
    <s v="C05"/>
    <s v="XXXGPH"/>
    <s v="GPH3"/>
    <n v="0.35"/>
    <n v="900"/>
    <n v="0"/>
    <n v="21"/>
    <e v="#N/A"/>
    <n v="21"/>
    <n v="21"/>
    <e v="#N/A"/>
    <e v="#N/A"/>
    <m/>
    <m/>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18T00:00:00"/>
    <s v="ZBTO"/>
    <n v="9518439260"/>
    <n v="4"/>
    <s v="9518439260-4"/>
    <m/>
    <s v="No Priority"/>
    <s v="Failed orders"/>
    <x v="2"/>
    <x v="0"/>
    <n v="2000"/>
    <m/>
    <x v="1"/>
    <m/>
    <m/>
    <s v="Jammu &amp; Kashmir"/>
    <m/>
    <m/>
    <m/>
    <n v="115190"/>
    <s v="SHEYRUB AGENCIES"/>
    <n v="3897430"/>
    <s v="GP COIL XXXGPH GPH3 0.400X900"/>
    <s v=""/>
    <s v=""/>
    <m/>
    <m/>
    <s v="Narrow"/>
    <s v="C05"/>
    <s v="XXXGPH"/>
    <s v="GPH3"/>
    <n v="0.4"/>
    <n v="900"/>
    <n v="0"/>
    <n v="21"/>
    <e v="#N/A"/>
    <n v="21"/>
    <n v="21"/>
    <e v="#N/A"/>
    <e v="#N/A"/>
    <m/>
    <m/>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18T00:00:00"/>
    <s v="ZBTO"/>
    <n v="9518439260"/>
    <n v="5"/>
    <s v="9518439260-5"/>
    <m/>
    <s v="No Priority"/>
    <s v="Failed orders"/>
    <x v="2"/>
    <x v="0"/>
    <n v="2000"/>
    <m/>
    <x v="1"/>
    <m/>
    <m/>
    <s v="Jammu &amp; Kashmir"/>
    <m/>
    <m/>
    <m/>
    <n v="115190"/>
    <s v="SHEYRUB AGENCIES"/>
    <n v="3897501"/>
    <s v="GP COIL XXXGPH GPH3 0.500X900"/>
    <s v=""/>
    <s v=""/>
    <m/>
    <m/>
    <s v="Narrow"/>
    <s v="C05"/>
    <s v="XXXGPH"/>
    <s v="GPH3"/>
    <n v="0.5"/>
    <n v="900"/>
    <n v="0"/>
    <n v="21"/>
    <e v="#N/A"/>
    <n v="21"/>
    <n v="21"/>
    <e v="#N/A"/>
    <e v="#N/A"/>
    <m/>
    <m/>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1T00:00:00"/>
    <s v="ZBTO"/>
    <n v="9518421413"/>
    <n v="1"/>
    <s v="9518421413-1"/>
    <m/>
    <s v="No Priority"/>
    <s v="Failed orders"/>
    <x v="1"/>
    <x v="1"/>
    <n v="2000"/>
    <m/>
    <x v="1"/>
    <m/>
    <m/>
    <s v="Jharkhand"/>
    <m/>
    <m/>
    <m/>
    <n v="185794"/>
    <s v="Shree Bajrang Steel Udyog"/>
    <n v="3239408"/>
    <s v="CRCA SHEET TATCRC SR16 0.300X900X2500"/>
    <s v=""/>
    <s v=""/>
    <m/>
    <m/>
    <s v="Narrow"/>
    <s v="C06"/>
    <s v="TATCRC"/>
    <s v="SR16"/>
    <n v="0.3"/>
    <n v="900"/>
    <n v="2500"/>
    <n v="75"/>
    <e v="#N/A"/>
    <n v="75"/>
    <n v="75"/>
    <e v="#N/A"/>
    <e v="#N/A"/>
    <m/>
    <n v="0"/>
    <n v="75"/>
    <n v="0"/>
    <n v="0"/>
    <n v="84.000000000000014"/>
    <n v="0"/>
    <n v="0"/>
    <n v="0"/>
    <n v="0"/>
    <n v="0"/>
    <n v="0"/>
    <n v="0"/>
    <n v="0"/>
    <n v="0"/>
    <n v="0"/>
    <n v="0"/>
    <n v="0"/>
    <n v="0"/>
    <n v="0"/>
    <n v="0"/>
    <n v="0"/>
    <n v="0"/>
    <n v="0"/>
    <n v="0"/>
    <n v="0"/>
    <n v="0"/>
    <n v="0"/>
    <n v="0"/>
    <n v="0"/>
    <n v="0"/>
    <n v="0"/>
    <n v="0"/>
    <n v="0"/>
    <n v="0"/>
    <n v="0"/>
    <n v="0"/>
    <n v="0"/>
    <n v="0"/>
    <n v="0"/>
    <n v="0"/>
    <n v="0"/>
    <n v="0"/>
    <m/>
    <m/>
    <m/>
    <m/>
    <m/>
    <m/>
    <m/>
    <m/>
    <m/>
    <m/>
    <m/>
    <m/>
    <m/>
    <m/>
    <m/>
    <m/>
    <m/>
    <m/>
    <m/>
    <m/>
    <m/>
    <m/>
    <m/>
    <m/>
    <m/>
    <m/>
    <m/>
    <m/>
    <m/>
    <m/>
    <m/>
    <m/>
    <m/>
    <m/>
  </r>
  <r>
    <n v="742"/>
    <d v="2025-02-10T00:00:00"/>
    <s v="ZBTO"/>
    <n v="9518507185"/>
    <n v="1"/>
    <s v="9518507185-1"/>
    <m/>
    <s v="No Priority"/>
    <s v="Failed orders"/>
    <x v="1"/>
    <x v="1"/>
    <n v="2000"/>
    <m/>
    <x v="1"/>
    <m/>
    <m/>
    <s v="Jharkhand"/>
    <m/>
    <m/>
    <m/>
    <n v="185794"/>
    <s v="Shree Bajrang Steel Udyog"/>
    <n v="3239408"/>
    <s v="CRCA SHEET TATCRC SR16 0.300X900X2500"/>
    <s v=""/>
    <s v=""/>
    <m/>
    <m/>
    <s v="Narrow"/>
    <s v="C06"/>
    <s v="TATCRC"/>
    <s v="SR16"/>
    <n v="0.3"/>
    <n v="900"/>
    <n v="2500"/>
    <n v="60"/>
    <e v="#N/A"/>
    <n v="60"/>
    <n v="60"/>
    <e v="#N/A"/>
    <e v="#N/A"/>
    <m/>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742"/>
    <d v="2025-02-10T00:00:00"/>
    <s v="ZBTO"/>
    <n v="9518507185"/>
    <n v="2"/>
    <s v="9518507185-2"/>
    <m/>
    <s v="No Priority"/>
    <s v="Failed orders"/>
    <x v="1"/>
    <x v="1"/>
    <n v="2000"/>
    <m/>
    <x v="1"/>
    <m/>
    <m/>
    <s v="Jharkhand"/>
    <m/>
    <m/>
    <m/>
    <n v="185794"/>
    <s v="Shree Bajrang Steel Udyog"/>
    <n v="3239536"/>
    <s v="CRCA SHEET TATCRC SR16 0.350X900X2500"/>
    <s v=""/>
    <s v=""/>
    <m/>
    <m/>
    <s v="Narrow"/>
    <s v="C06"/>
    <s v="TATCRC"/>
    <s v="SR16"/>
    <n v="0.35"/>
    <n v="900"/>
    <n v="2500"/>
    <n v="60"/>
    <e v="#N/A"/>
    <n v="60"/>
    <n v="60"/>
    <e v="#N/A"/>
    <e v="#N/A"/>
    <m/>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742"/>
    <d v="2025-02-10T00:00:00"/>
    <s v="ZBTO"/>
    <n v="9518507185"/>
    <n v="3"/>
    <s v="9518507185-3"/>
    <m/>
    <s v="No Priority"/>
    <s v="Failed orders"/>
    <x v="1"/>
    <x v="1"/>
    <n v="2000"/>
    <m/>
    <x v="1"/>
    <m/>
    <m/>
    <s v="Jharkhand"/>
    <m/>
    <m/>
    <m/>
    <n v="185794"/>
    <s v="Shree Bajrang Steel Udyog"/>
    <n v="3239542"/>
    <s v="CRCA SHEET TATCRC SR16 0.350X1000X2500"/>
    <s v=""/>
    <s v=""/>
    <m/>
    <m/>
    <s v="Narrow"/>
    <s v="C06"/>
    <s v="TATCRC"/>
    <s v="SR16"/>
    <n v="0.35"/>
    <n v="10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10T00:00:00"/>
    <s v="ZBTO"/>
    <n v="9518507185"/>
    <n v="4"/>
    <s v="9518507185-4"/>
    <m/>
    <s v="No Priority"/>
    <s v="Failed orders"/>
    <x v="1"/>
    <x v="1"/>
    <n v="2000"/>
    <m/>
    <x v="1"/>
    <m/>
    <m/>
    <s v="Jharkhand"/>
    <m/>
    <m/>
    <m/>
    <n v="185794"/>
    <s v="Shree Bajrang Steel Udyog"/>
    <n v="3239548"/>
    <s v="CRCA SHEET TATCRC SR16 0.400X900X2500"/>
    <s v=""/>
    <s v=""/>
    <m/>
    <m/>
    <s v="Narrow"/>
    <s v="C06"/>
    <s v="TATCRC"/>
    <s v="SR16"/>
    <n v="0.4"/>
    <n v="900"/>
    <n v="2500"/>
    <n v="30"/>
    <e v="#N/A"/>
    <n v="30"/>
    <n v="30"/>
    <e v="#N/A"/>
    <e v="#N/A"/>
    <m/>
    <n v="0"/>
    <n v="30"/>
    <n v="0"/>
    <n v="0"/>
    <n v="33.6"/>
    <n v="0"/>
    <n v="0"/>
    <n v="0"/>
    <n v="0"/>
    <n v="0"/>
    <n v="0"/>
    <n v="0"/>
    <n v="0"/>
    <n v="0"/>
    <n v="0"/>
    <n v="0"/>
    <n v="0"/>
    <n v="0"/>
    <n v="0"/>
    <n v="0"/>
    <n v="0"/>
    <n v="0"/>
    <n v="0"/>
    <n v="0"/>
    <n v="0"/>
    <n v="0"/>
    <n v="0"/>
    <n v="0"/>
    <n v="0"/>
    <n v="0"/>
    <n v="0"/>
    <n v="0"/>
    <n v="0"/>
    <n v="0"/>
    <n v="0"/>
    <n v="0"/>
    <n v="0"/>
    <n v="0"/>
    <n v="0"/>
    <n v="0"/>
    <n v="0"/>
    <n v="0"/>
    <m/>
    <m/>
    <m/>
    <m/>
    <m/>
    <m/>
    <m/>
    <m/>
    <m/>
    <m/>
    <m/>
    <m/>
    <m/>
    <m/>
    <m/>
    <m/>
    <m/>
    <m/>
    <m/>
    <m/>
    <m/>
    <m/>
    <m/>
    <m/>
    <m/>
    <m/>
    <m/>
    <m/>
    <m/>
    <m/>
    <m/>
    <m/>
    <m/>
    <m/>
  </r>
  <r>
    <n v="742"/>
    <d v="2025-02-10T00:00:00"/>
    <s v="ZBTO"/>
    <n v="9518507185"/>
    <n v="6"/>
    <s v="9518507185-6"/>
    <m/>
    <s v="Mar'25 additional"/>
    <s v="Released orders"/>
    <x v="1"/>
    <x v="1"/>
    <n v="2000"/>
    <m/>
    <x v="1"/>
    <m/>
    <s v="De-prioritized due to narrow HR unavailability"/>
    <s v="Jharkhand"/>
    <m/>
    <m/>
    <m/>
    <n v="185794"/>
    <s v="Shree Bajrang Steel Udyog"/>
    <n v="3239567"/>
    <s v="CRCA SHEET TATCRC SR16 0.450X1000X2500"/>
    <s v=""/>
    <s v=""/>
    <m/>
    <m/>
    <s v="Narrow"/>
    <s v="C06"/>
    <s v="TATCRC"/>
    <s v="SR16"/>
    <n v="0.45"/>
    <n v="1000"/>
    <n v="2500"/>
    <n v="39"/>
    <n v="0"/>
    <n v="39"/>
    <n v="39"/>
    <e v="#N/A"/>
    <e v="#N/A"/>
    <m/>
    <n v="0"/>
    <n v="39"/>
    <n v="39"/>
    <n v="0"/>
    <n v="43.680000000000007"/>
    <n v="0"/>
    <n v="0"/>
    <n v="0"/>
    <n v="0"/>
    <n v="0"/>
    <n v="0"/>
    <n v="0"/>
    <n v="0"/>
    <n v="0"/>
    <n v="0"/>
    <n v="0"/>
    <n v="0"/>
    <n v="0"/>
    <n v="0"/>
    <n v="0"/>
    <n v="0"/>
    <n v="0"/>
    <n v="0"/>
    <n v="0"/>
    <n v="0"/>
    <n v="0"/>
    <n v="0"/>
    <n v="0"/>
    <n v="0"/>
    <n v="0"/>
    <n v="0"/>
    <n v="0"/>
    <n v="0"/>
    <n v="0"/>
    <n v="0"/>
    <n v="0"/>
    <n v="0"/>
    <n v="0"/>
    <n v="0"/>
    <n v="0"/>
    <n v="0"/>
    <n v="0"/>
    <m/>
    <m/>
    <m/>
    <m/>
    <m/>
    <m/>
    <m/>
    <m/>
    <m/>
    <m/>
    <m/>
    <m/>
    <m/>
    <m/>
    <m/>
    <m/>
    <m/>
    <m/>
    <m/>
    <m/>
    <m/>
    <m/>
    <m/>
    <m/>
    <m/>
    <m/>
    <m/>
    <m/>
    <m/>
    <m/>
    <m/>
    <m/>
    <m/>
    <m/>
  </r>
  <r>
    <n v="742"/>
    <d v="2025-01-02T00:00:00"/>
    <s v="ZBTO"/>
    <n v="9518400185"/>
    <n v="5"/>
    <s v="9518400185-5"/>
    <m/>
    <s v="Mar'25"/>
    <s v="Released orders"/>
    <x v="1"/>
    <x v="15"/>
    <s v="2000-BPRS"/>
    <m/>
    <x v="0"/>
    <s v="Mar"/>
    <m/>
    <m/>
    <s v="East"/>
    <s v="JSR"/>
    <m/>
    <n v="155536"/>
    <s v="TATA STEEL DOWNSTREAM PRODUCTS LIMI"/>
    <n v="2420609"/>
    <s v="CRCA COIL TATXXD AH03 1.900X1250"/>
    <s v=" "/>
    <s v=""/>
    <n v="13"/>
    <n v="29"/>
    <s v="Wider"/>
    <s v="C01"/>
    <s v="TATXXD"/>
    <s v="AH03"/>
    <n v="1.9"/>
    <n v="1250"/>
    <n v="0"/>
    <n v="145"/>
    <n v="117.69"/>
    <n v="27.31"/>
    <n v="27.31"/>
    <n v="0"/>
    <n v="27.31"/>
    <m/>
    <m/>
    <n v="27.31"/>
    <n v="27.31"/>
    <n v="0"/>
    <n v="30.587200000000003"/>
    <n v="0"/>
    <n v="0"/>
    <n v="0"/>
    <n v="0"/>
    <n v="0"/>
    <n v="0"/>
    <n v="0"/>
    <n v="0"/>
    <n v="0"/>
    <n v="0"/>
    <n v="0"/>
    <n v="0"/>
    <n v="0"/>
    <n v="0"/>
    <n v="0"/>
    <n v="0"/>
    <n v="0"/>
    <n v="0"/>
    <n v="0"/>
    <n v="0"/>
    <n v="0"/>
    <n v="0"/>
    <n v="0"/>
    <n v="42.55"/>
    <n v="27.31"/>
    <n v="0"/>
    <n v="0"/>
    <n v="0"/>
    <n v="27.31"/>
    <n v="0"/>
    <n v="69.86"/>
    <n v="0"/>
    <n v="0"/>
    <n v="0"/>
    <n v="0"/>
    <n v="69.86"/>
    <n v="0"/>
    <n v="0"/>
    <n v="0"/>
    <n v="0"/>
    <n v="0"/>
    <n v="0"/>
    <n v="0"/>
    <m/>
    <m/>
    <m/>
    <m/>
    <m/>
    <m/>
    <m/>
    <m/>
    <m/>
    <s v="1"/>
    <s v="1"/>
    <s v="1"/>
    <s v="0"/>
    <s v="1"/>
    <m/>
    <m/>
    <m/>
    <m/>
    <m/>
    <m/>
    <m/>
    <m/>
    <m/>
    <m/>
    <m/>
    <m/>
    <m/>
    <m/>
  </r>
  <r>
    <n v="742"/>
    <d v="2025-02-03T00:00:00"/>
    <s v="ZBTO"/>
    <n v="9518490750"/>
    <n v="15"/>
    <s v="9518490750-15"/>
    <m/>
    <s v="No Priority"/>
    <s v="Failed orders"/>
    <x v="1"/>
    <x v="1"/>
    <n v="2000"/>
    <m/>
    <x v="1"/>
    <m/>
    <m/>
    <s v="Orissa"/>
    <m/>
    <m/>
    <m/>
    <n v="117061"/>
    <s v="BHARTIA  DISTRIBUTORS PVT. LTD"/>
    <n v="3240863"/>
    <s v="CRCA SHEET TSBCRC SR15 1.500X1250X2500"/>
    <s v=""/>
    <s v=""/>
    <m/>
    <m/>
    <s v="Wider"/>
    <s v="C06"/>
    <s v="TSBCRC"/>
    <s v="SR15"/>
    <n v="1.5"/>
    <n v="1250"/>
    <n v="0"/>
    <n v="90"/>
    <e v="#N/A"/>
    <n v="90"/>
    <n v="90"/>
    <e v="#N/A"/>
    <e v="#N/A"/>
    <m/>
    <n v="0"/>
    <n v="90"/>
    <n v="0"/>
    <n v="0"/>
    <n v="100.8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03T00:00:00"/>
    <s v="ZBTO"/>
    <n v="9518490997"/>
    <n v="3"/>
    <s v="9518490997-3"/>
    <m/>
    <s v="No Priority"/>
    <s v="Released orders"/>
    <x v="2"/>
    <x v="2"/>
    <n v="2000"/>
    <m/>
    <x v="1"/>
    <m/>
    <m/>
    <s v="Uttar Pradesh"/>
    <m/>
    <m/>
    <m/>
    <n v="938789"/>
    <s v="JAIN STEEL DISTRIBUTORS"/>
    <n v="1854424"/>
    <s v="GP COIL SOFT-TATXGP-GK09-0.6X900"/>
    <n v="80"/>
    <s v=""/>
    <m/>
    <m/>
    <s v="Narrow"/>
    <s v="C02"/>
    <s v="TATXGP"/>
    <s v="GK09"/>
    <n v="0.6"/>
    <n v="900"/>
    <n v="0"/>
    <n v="210"/>
    <n v="0"/>
    <n v="210"/>
    <n v="210"/>
    <e v="#N/A"/>
    <e v="#N/A"/>
    <m/>
    <m/>
    <n v="210"/>
    <n v="210"/>
    <n v="0"/>
    <n v="235.20000000000002"/>
    <n v="0"/>
    <n v="0"/>
    <n v="0"/>
    <n v="0"/>
    <n v="0"/>
    <n v="0"/>
    <n v="0"/>
    <n v="0"/>
    <n v="0"/>
    <n v="0"/>
    <n v="0"/>
    <n v="0"/>
    <n v="0"/>
    <n v="0"/>
    <n v="0"/>
    <n v="0"/>
    <n v="0"/>
    <n v="0"/>
    <n v="0"/>
    <n v="0"/>
    <n v="0"/>
    <n v="0"/>
    <n v="0"/>
    <n v="0"/>
    <n v="0"/>
    <n v="0"/>
    <n v="0"/>
    <n v="0"/>
    <n v="0"/>
    <n v="0"/>
    <n v="0"/>
    <n v="0"/>
    <n v="0"/>
    <n v="0"/>
    <n v="0"/>
    <n v="0"/>
    <n v="0"/>
    <m/>
    <m/>
    <m/>
    <m/>
    <m/>
    <m/>
    <m/>
    <m/>
    <m/>
    <m/>
    <m/>
    <m/>
    <m/>
    <m/>
    <m/>
    <m/>
    <m/>
    <m/>
    <m/>
    <m/>
    <m/>
    <m/>
    <m/>
    <m/>
    <m/>
    <m/>
    <m/>
    <m/>
    <m/>
    <m/>
    <m/>
    <m/>
    <m/>
    <m/>
  </r>
  <r>
    <n v="743"/>
    <d v="2025-02-13T00:00:00"/>
    <s v="ZBTO"/>
    <n v="9518516069"/>
    <n v="4"/>
    <s v="9518516069-4"/>
    <m/>
    <s v="No Priority"/>
    <s v="Released orders"/>
    <x v="2"/>
    <x v="2"/>
    <n v="2000"/>
    <m/>
    <x v="1"/>
    <m/>
    <m/>
    <s v="Uttar Pradesh"/>
    <m/>
    <m/>
    <m/>
    <n v="931235"/>
    <s v="K D J P STEELS PVT LTD"/>
    <n v="1854424"/>
    <s v="GP COIL SOFT-TATXGP-GK09-0.6X900"/>
    <n v="80"/>
    <s v=""/>
    <m/>
    <m/>
    <s v="Narrow"/>
    <s v="C02"/>
    <s v="TATXGP"/>
    <s v="GK09"/>
    <n v="0.6"/>
    <n v="900"/>
    <n v="0"/>
    <n v="126"/>
    <n v="0"/>
    <n v="126"/>
    <n v="126"/>
    <e v="#N/A"/>
    <e v="#N/A"/>
    <m/>
    <m/>
    <n v="126"/>
    <n v="126"/>
    <n v="0"/>
    <n v="141.12"/>
    <n v="0"/>
    <n v="0"/>
    <n v="0"/>
    <n v="0"/>
    <n v="0"/>
    <n v="0"/>
    <n v="0"/>
    <n v="0"/>
    <n v="0"/>
    <n v="0"/>
    <n v="0"/>
    <n v="0"/>
    <n v="0"/>
    <n v="0"/>
    <n v="0"/>
    <n v="0"/>
    <n v="0"/>
    <n v="0"/>
    <n v="0"/>
    <n v="0"/>
    <n v="0"/>
    <n v="0"/>
    <n v="0"/>
    <n v="0"/>
    <n v="0"/>
    <n v="0"/>
    <n v="0"/>
    <n v="0"/>
    <n v="0"/>
    <n v="0"/>
    <n v="0"/>
    <n v="0"/>
    <n v="0"/>
    <n v="0"/>
    <n v="0"/>
    <n v="0"/>
    <n v="0"/>
    <m/>
    <m/>
    <m/>
    <m/>
    <m/>
    <m/>
    <m/>
    <m/>
    <m/>
    <m/>
    <m/>
    <m/>
    <m/>
    <m/>
    <m/>
    <m/>
    <m/>
    <m/>
    <m/>
    <m/>
    <m/>
    <m/>
    <m/>
    <m/>
    <m/>
    <m/>
    <m/>
    <m/>
    <m/>
    <m/>
    <m/>
    <m/>
    <m/>
    <m/>
  </r>
  <r>
    <n v="743"/>
    <d v="2025-02-06T00:00:00"/>
    <s v="ZBTO"/>
    <n v="9518498761"/>
    <n v="8"/>
    <s v="9518498761-8"/>
    <m/>
    <s v="Mar'25"/>
    <s v="Released orders"/>
    <x v="2"/>
    <x v="2"/>
    <n v="2000"/>
    <m/>
    <x v="0"/>
    <m/>
    <m/>
    <s v="Jharkhand"/>
    <m/>
    <m/>
    <m/>
    <n v="121328"/>
    <s v="R. S. BOKARO METAL (P) LTD."/>
    <n v="1854424"/>
    <s v="GP COIL SOFT-TATXGP-GK09-0.6X900"/>
    <n v="80"/>
    <s v=""/>
    <m/>
    <m/>
    <s v="Narrow"/>
    <s v="C02"/>
    <s v="TATXGP"/>
    <s v="GK09"/>
    <n v="0.6"/>
    <n v="900"/>
    <n v="0"/>
    <n v="105"/>
    <n v="0"/>
    <n v="105"/>
    <n v="105"/>
    <e v="#N/A"/>
    <e v="#N/A"/>
    <m/>
    <m/>
    <n v="105"/>
    <n v="105"/>
    <n v="0"/>
    <n v="117.60000000000001"/>
    <n v="0"/>
    <n v="0"/>
    <n v="0"/>
    <n v="0"/>
    <n v="0"/>
    <n v="0"/>
    <n v="0"/>
    <n v="0"/>
    <n v="0"/>
    <n v="0"/>
    <n v="0"/>
    <n v="0"/>
    <n v="0"/>
    <n v="0"/>
    <n v="0"/>
    <n v="0"/>
    <n v="0"/>
    <n v="0"/>
    <n v="0"/>
    <n v="0"/>
    <n v="0"/>
    <n v="0"/>
    <n v="0"/>
    <n v="0"/>
    <n v="105"/>
    <n v="0"/>
    <n v="0"/>
    <n v="0"/>
    <n v="105"/>
    <n v="0"/>
    <n v="105"/>
    <n v="0"/>
    <n v="0"/>
    <n v="0"/>
    <n v="0"/>
    <n v="105"/>
    <n v="0"/>
    <m/>
    <m/>
    <m/>
    <m/>
    <m/>
    <m/>
    <m/>
    <m/>
    <m/>
    <m/>
    <m/>
    <m/>
    <m/>
    <m/>
    <m/>
    <m/>
    <m/>
    <m/>
    <m/>
    <m/>
    <m/>
    <m/>
    <m/>
    <m/>
    <m/>
    <m/>
    <m/>
    <m/>
    <m/>
    <m/>
    <m/>
    <m/>
    <m/>
    <m/>
  </r>
  <r>
    <n v="743"/>
    <d v="2025-02-06T00:00:00"/>
    <s v="ZBTO"/>
    <n v="9518498761"/>
    <n v="9"/>
    <s v="9518498761-9"/>
    <m/>
    <s v="Mar'25"/>
    <s v="Released orders"/>
    <x v="2"/>
    <x v="2"/>
    <n v="2000"/>
    <m/>
    <x v="0"/>
    <m/>
    <m/>
    <s v="Jharkhand"/>
    <m/>
    <m/>
    <m/>
    <n v="121328"/>
    <s v="R. S. BOKARO METAL (P) LTD."/>
    <n v="1854424"/>
    <s v="GP COIL SOFT-TATXGP-GK09-0.6X900"/>
    <n v="80"/>
    <s v=""/>
    <m/>
    <m/>
    <s v="Narrow"/>
    <s v="C02"/>
    <s v="TATXGP"/>
    <s v="GK09"/>
    <n v="0.6"/>
    <n v="900"/>
    <n v="0"/>
    <n v="105"/>
    <n v="0"/>
    <n v="105"/>
    <n v="105"/>
    <e v="#N/A"/>
    <e v="#N/A"/>
    <m/>
    <m/>
    <n v="105"/>
    <n v="105"/>
    <n v="0"/>
    <n v="117.60000000000001"/>
    <n v="0"/>
    <n v="0"/>
    <n v="0"/>
    <n v="0"/>
    <n v="0"/>
    <n v="0"/>
    <n v="0"/>
    <n v="0"/>
    <n v="0"/>
    <n v="0"/>
    <n v="0"/>
    <n v="0"/>
    <n v="0"/>
    <n v="0"/>
    <n v="0"/>
    <n v="0"/>
    <n v="0"/>
    <n v="0"/>
    <n v="0"/>
    <n v="0"/>
    <n v="0"/>
    <n v="0"/>
    <n v="0"/>
    <n v="0"/>
    <n v="105"/>
    <n v="0"/>
    <n v="0"/>
    <n v="0"/>
    <n v="105"/>
    <n v="0"/>
    <n v="105"/>
    <n v="0"/>
    <n v="0"/>
    <n v="0"/>
    <n v="0"/>
    <n v="105"/>
    <n v="0"/>
    <m/>
    <m/>
    <m/>
    <m/>
    <m/>
    <m/>
    <m/>
    <m/>
    <m/>
    <m/>
    <m/>
    <m/>
    <m/>
    <m/>
    <m/>
    <m/>
    <m/>
    <m/>
    <m/>
    <m/>
    <m/>
    <m/>
    <m/>
    <m/>
    <m/>
    <m/>
    <m/>
    <m/>
    <m/>
    <m/>
    <m/>
    <m/>
    <m/>
    <m/>
  </r>
  <r>
    <n v="743"/>
    <d v="2025-02-19T00:00:00"/>
    <s v="ZBTO"/>
    <n v="9518532816"/>
    <n v="6"/>
    <s v="9518532816-6"/>
    <m/>
    <s v="Mar'25"/>
    <s v="Released orders"/>
    <x v="2"/>
    <x v="2"/>
    <n v="2000"/>
    <m/>
    <x v="0"/>
    <m/>
    <m/>
    <s v="Jharkhand"/>
    <m/>
    <m/>
    <m/>
    <n v="121328"/>
    <s v="R. S. BOKARO METAL (P) LTD."/>
    <n v="1854424"/>
    <s v="GP COIL SOFT-TATXGP-GK09-0.6X900"/>
    <n v="80"/>
    <s v=""/>
    <m/>
    <m/>
    <s v="Narrow"/>
    <s v="C02"/>
    <s v="TATXGP"/>
    <s v="GK09"/>
    <n v="0.6"/>
    <n v="900"/>
    <n v="0"/>
    <n v="126"/>
    <n v="0"/>
    <n v="126"/>
    <n v="126"/>
    <e v="#N/A"/>
    <e v="#N/A"/>
    <m/>
    <m/>
    <n v="126"/>
    <n v="126"/>
    <n v="0"/>
    <n v="141.12"/>
    <n v="0"/>
    <n v="0"/>
    <n v="0"/>
    <n v="0"/>
    <n v="0"/>
    <n v="0"/>
    <n v="0"/>
    <n v="0"/>
    <n v="0"/>
    <n v="0"/>
    <n v="0"/>
    <n v="0"/>
    <n v="0"/>
    <n v="0"/>
    <n v="0"/>
    <n v="0"/>
    <n v="0"/>
    <n v="0"/>
    <n v="0"/>
    <n v="0"/>
    <n v="0"/>
    <n v="0"/>
    <n v="0"/>
    <n v="0"/>
    <n v="126"/>
    <n v="0"/>
    <n v="0"/>
    <n v="0"/>
    <n v="0"/>
    <n v="126"/>
    <n v="0"/>
    <n v="0"/>
    <n v="0"/>
    <n v="0"/>
    <n v="0"/>
    <n v="0"/>
    <n v="126"/>
    <m/>
    <m/>
    <m/>
    <m/>
    <m/>
    <m/>
    <m/>
    <m/>
    <m/>
    <m/>
    <m/>
    <m/>
    <m/>
    <m/>
    <m/>
    <m/>
    <m/>
    <m/>
    <m/>
    <m/>
    <m/>
    <m/>
    <m/>
    <m/>
    <m/>
    <m/>
    <m/>
    <m/>
    <m/>
    <m/>
    <m/>
    <m/>
    <m/>
    <m/>
  </r>
  <r>
    <n v="743"/>
    <d v="2025-02-10T00:00:00"/>
    <s v="ZBTO"/>
    <n v="9518508377"/>
    <n v="12"/>
    <s v="9518508377-12"/>
    <m/>
    <s v="Mar'25"/>
    <s v="Released orders"/>
    <x v="2"/>
    <x v="2"/>
    <n v="2000"/>
    <m/>
    <x v="0"/>
    <m/>
    <m/>
    <s v="Jharkhand"/>
    <m/>
    <m/>
    <m/>
    <n v="185794"/>
    <s v="Shree Bajrang Steel Udyog"/>
    <n v="1854424"/>
    <s v="GP COIL SOFT-TATXGP-GK09-0.6X900"/>
    <n v="80"/>
    <s v=""/>
    <m/>
    <m/>
    <s v="Narrow"/>
    <s v="C02"/>
    <s v="TATXGP"/>
    <s v="GK09"/>
    <n v="0.6"/>
    <n v="900"/>
    <n v="0"/>
    <n v="147"/>
    <n v="0"/>
    <n v="147"/>
    <n v="147"/>
    <e v="#N/A"/>
    <e v="#N/A"/>
    <m/>
    <m/>
    <n v="147"/>
    <n v="147"/>
    <n v="0"/>
    <n v="164.64000000000001"/>
    <n v="0"/>
    <n v="0"/>
    <n v="0"/>
    <n v="0"/>
    <n v="0"/>
    <n v="0"/>
    <n v="0"/>
    <n v="0"/>
    <n v="0"/>
    <n v="0"/>
    <n v="0"/>
    <n v="0"/>
    <n v="0"/>
    <n v="0"/>
    <n v="0"/>
    <n v="0"/>
    <n v="0"/>
    <n v="0"/>
    <n v="0"/>
    <n v="0"/>
    <n v="0"/>
    <n v="0"/>
    <n v="0"/>
    <n v="19.369999999999997"/>
    <n v="147"/>
    <n v="0"/>
    <n v="147"/>
    <n v="0"/>
    <n v="0"/>
    <n v="0"/>
    <n v="166.37"/>
    <n v="0"/>
    <n v="0"/>
    <n v="166.37"/>
    <n v="0"/>
    <n v="0"/>
    <n v="0"/>
    <m/>
    <m/>
    <m/>
    <m/>
    <m/>
    <m/>
    <m/>
    <m/>
    <m/>
    <m/>
    <m/>
    <m/>
    <m/>
    <m/>
    <m/>
    <m/>
    <m/>
    <m/>
    <m/>
    <m/>
    <m/>
    <m/>
    <m/>
    <m/>
    <m/>
    <m/>
    <m/>
    <m/>
    <m/>
    <m/>
    <m/>
    <m/>
    <m/>
    <m/>
  </r>
  <r>
    <n v="743"/>
    <d v="2025-02-10T00:00:00"/>
    <s v="ZBTO"/>
    <n v="9518508377"/>
    <n v="13"/>
    <s v="9518508377-13"/>
    <m/>
    <s v="No Priority"/>
    <s v="Released orders"/>
    <x v="2"/>
    <x v="2"/>
    <n v="2000"/>
    <m/>
    <x v="1"/>
    <m/>
    <m/>
    <s v="Jharkhand"/>
    <m/>
    <m/>
    <m/>
    <n v="185794"/>
    <s v="Shree Bajrang Steel Udyog"/>
    <n v="1854424"/>
    <s v="GP COIL SOFT-TATXGP-GK09-0.6X900"/>
    <n v="80"/>
    <s v=""/>
    <m/>
    <m/>
    <s v="Narrow"/>
    <s v="C02"/>
    <s v="TATXGP"/>
    <s v="GK09"/>
    <n v="0.6"/>
    <n v="900"/>
    <n v="0"/>
    <n v="168"/>
    <n v="0"/>
    <n v="168"/>
    <n v="168"/>
    <e v="#N/A"/>
    <e v="#N/A"/>
    <m/>
    <m/>
    <n v="168"/>
    <n v="168"/>
    <n v="0"/>
    <n v="188.16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1-13T00:00:00"/>
    <s v="ZBTO"/>
    <n v="9518425989"/>
    <n v="6"/>
    <s v="9518425989-6"/>
    <m/>
    <s v="No Priority"/>
    <s v="Failed orders"/>
    <x v="2"/>
    <x v="2"/>
    <n v="2000"/>
    <m/>
    <x v="1"/>
    <m/>
    <m/>
    <s v="Bihar"/>
    <m/>
    <m/>
    <m/>
    <n v="103227"/>
    <s v="BMW VENTURES LIMITED"/>
    <n v="3633498"/>
    <s v="GP SH SOFT TATXGP GK09 0.630X900X2370"/>
    <n v="80"/>
    <s v=""/>
    <m/>
    <m/>
    <s v="Narrow"/>
    <s v="B11"/>
    <s v="TATXGP"/>
    <s v="GK09"/>
    <n v="0.63"/>
    <n v="900"/>
    <n v="2370"/>
    <n v="105"/>
    <e v="#N/A"/>
    <n v="105"/>
    <n v="105"/>
    <e v="#N/A"/>
    <e v="#N/A"/>
    <m/>
    <m/>
    <n v="105"/>
    <n v="0"/>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4T00:00:00"/>
    <s v="ZBTO"/>
    <n v="9518519620"/>
    <n v="6"/>
    <s v="9518519620-6"/>
    <m/>
    <s v="No Priority"/>
    <s v="Released orders"/>
    <x v="2"/>
    <x v="2"/>
    <n v="2000"/>
    <m/>
    <x v="1"/>
    <m/>
    <m/>
    <s v="Bihar"/>
    <m/>
    <m/>
    <m/>
    <n v="103227"/>
    <s v="BMW VENTURES LIMITED"/>
    <n v="1854429"/>
    <s v="GP COIL SOFT-TATXGP-GK09-0.63X900"/>
    <n v="80"/>
    <s v=""/>
    <m/>
    <m/>
    <s v="Narrow"/>
    <s v="C02"/>
    <s v="TATXGP"/>
    <s v="GK09"/>
    <n v="0.63"/>
    <n v="900"/>
    <n v="0"/>
    <n v="84"/>
    <n v="0"/>
    <n v="84"/>
    <n v="84"/>
    <e v="#N/A"/>
    <e v="#N/A"/>
    <m/>
    <m/>
    <n v="84"/>
    <n v="84"/>
    <n v="0"/>
    <n v="94.080000000000013"/>
    <n v="0"/>
    <n v="0"/>
    <n v="0"/>
    <n v="0"/>
    <n v="0"/>
    <n v="0"/>
    <n v="0"/>
    <n v="0"/>
    <n v="0"/>
    <n v="0"/>
    <n v="0"/>
    <n v="0"/>
    <n v="0"/>
    <n v="0"/>
    <n v="0"/>
    <n v="0"/>
    <n v="0"/>
    <n v="0"/>
    <n v="0"/>
    <n v="0"/>
    <n v="0"/>
    <n v="0"/>
    <n v="0"/>
    <n v="0"/>
    <n v="0"/>
    <n v="0"/>
    <n v="0"/>
    <n v="0"/>
    <n v="0"/>
    <n v="0"/>
    <n v="0"/>
    <n v="0"/>
    <n v="0"/>
    <n v="0"/>
    <n v="0"/>
    <n v="0"/>
    <n v="0"/>
    <m/>
    <m/>
    <m/>
    <m/>
    <m/>
    <m/>
    <m/>
    <m/>
    <m/>
    <m/>
    <m/>
    <m/>
    <m/>
    <m/>
    <m/>
    <m/>
    <m/>
    <m/>
    <m/>
    <m/>
    <m/>
    <m/>
    <m/>
    <m/>
    <m/>
    <m/>
    <m/>
    <m/>
    <m/>
    <m/>
    <m/>
    <m/>
    <m/>
    <m/>
  </r>
  <r>
    <n v="743"/>
    <d v="2025-02-14T00:00:00"/>
    <s v="ZBTO"/>
    <n v="9518519633"/>
    <n v="6"/>
    <s v="9518519633-6"/>
    <m/>
    <s v="No Priority"/>
    <s v="Failed orders"/>
    <x v="2"/>
    <x v="2"/>
    <n v="2000"/>
    <m/>
    <x v="1"/>
    <m/>
    <m/>
    <s v="Bihar"/>
    <m/>
    <m/>
    <m/>
    <n v="103227"/>
    <s v="BMW VENTURES LIMITED"/>
    <n v="3633498"/>
    <s v="GP SH SOFT TATXGP GK09 0.630X900X2370"/>
    <n v="80"/>
    <s v=""/>
    <m/>
    <m/>
    <s v="Narrow"/>
    <s v="B11"/>
    <s v="TATXGP"/>
    <s v="GK09"/>
    <n v="0.63"/>
    <n v="900"/>
    <n v="2370"/>
    <n v="105"/>
    <e v="#N/A"/>
    <n v="105"/>
    <n v="105"/>
    <e v="#N/A"/>
    <e v="#N/A"/>
    <m/>
    <m/>
    <n v="105"/>
    <n v="0"/>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03T00:00:00"/>
    <s v="ZBTO"/>
    <n v="9518490997"/>
    <n v="4"/>
    <s v="9518490997-4"/>
    <m/>
    <s v="No Priority"/>
    <s v="Released orders"/>
    <x v="2"/>
    <x v="2"/>
    <n v="2000"/>
    <m/>
    <x v="1"/>
    <m/>
    <m/>
    <s v="Uttar Pradesh"/>
    <m/>
    <m/>
    <m/>
    <n v="938789"/>
    <s v="JAIN STEEL DISTRIBUTORS"/>
    <n v="1854429"/>
    <s v="GP COIL SOFT-TATXGP-GK09-0.63X900"/>
    <n v="80"/>
    <s v=""/>
    <m/>
    <m/>
    <s v="Narrow"/>
    <s v="C02"/>
    <s v="TATXGP"/>
    <s v="GK09"/>
    <n v="0.63"/>
    <n v="900"/>
    <n v="0"/>
    <n v="105"/>
    <n v="0"/>
    <n v="105"/>
    <n v="105"/>
    <e v="#N/A"/>
    <e v="#N/A"/>
    <m/>
    <m/>
    <n v="105"/>
    <n v="105"/>
    <n v="0"/>
    <n v="117.60000000000001"/>
    <n v="0"/>
    <n v="0"/>
    <n v="0"/>
    <n v="0"/>
    <n v="0"/>
    <n v="0"/>
    <n v="0"/>
    <n v="0"/>
    <n v="0"/>
    <n v="0"/>
    <n v="0"/>
    <n v="0"/>
    <n v="0"/>
    <n v="0"/>
    <n v="0"/>
    <n v="0"/>
    <n v="0"/>
    <n v="0"/>
    <n v="0"/>
    <n v="0"/>
    <n v="0"/>
    <n v="0"/>
    <n v="0"/>
    <n v="0"/>
    <n v="0"/>
    <n v="0"/>
    <n v="0"/>
    <n v="0"/>
    <n v="0"/>
    <n v="0"/>
    <n v="0"/>
    <n v="0"/>
    <n v="0"/>
    <n v="0"/>
    <n v="0"/>
    <n v="0"/>
    <n v="0"/>
    <m/>
    <m/>
    <m/>
    <m/>
    <m/>
    <m/>
    <m/>
    <m/>
    <m/>
    <m/>
    <m/>
    <m/>
    <m/>
    <m/>
    <m/>
    <m/>
    <m/>
    <m/>
    <m/>
    <m/>
    <m/>
    <m/>
    <m/>
    <m/>
    <m/>
    <m/>
    <m/>
    <m/>
    <m/>
    <m/>
    <m/>
    <m/>
    <m/>
    <m/>
  </r>
  <r>
    <n v="743"/>
    <d v="2025-02-13T00:00:00"/>
    <s v="ZBTO"/>
    <n v="9518516069"/>
    <n v="5"/>
    <s v="9518516069-5"/>
    <m/>
    <s v="No Priority"/>
    <s v="Released orders"/>
    <x v="2"/>
    <x v="2"/>
    <n v="2000"/>
    <m/>
    <x v="1"/>
    <m/>
    <m/>
    <s v="Uttar Pradesh"/>
    <m/>
    <m/>
    <m/>
    <n v="931235"/>
    <s v="K D J P STEELS PVT LTD"/>
    <n v="1854429"/>
    <s v="GP COIL SOFT-TATXGP-GK09-0.63X900"/>
    <n v="80"/>
    <s v=""/>
    <m/>
    <m/>
    <s v="Narrow"/>
    <s v="C02"/>
    <s v="TATXGP"/>
    <s v="GK09"/>
    <n v="0.63"/>
    <n v="900"/>
    <n v="0"/>
    <n v="126"/>
    <n v="0"/>
    <n v="126"/>
    <n v="126"/>
    <e v="#N/A"/>
    <e v="#N/A"/>
    <m/>
    <m/>
    <n v="126"/>
    <n v="126"/>
    <n v="0"/>
    <n v="141.12"/>
    <n v="0"/>
    <n v="0"/>
    <n v="0"/>
    <n v="0"/>
    <n v="0"/>
    <n v="0"/>
    <n v="0"/>
    <n v="0"/>
    <n v="0"/>
    <n v="0"/>
    <n v="0"/>
    <n v="0"/>
    <n v="0"/>
    <n v="0"/>
    <n v="0"/>
    <n v="0"/>
    <n v="0"/>
    <n v="0"/>
    <n v="0"/>
    <n v="0"/>
    <n v="0"/>
    <n v="0"/>
    <n v="0"/>
    <n v="0"/>
    <n v="0"/>
    <n v="0"/>
    <n v="0"/>
    <n v="0"/>
    <n v="0"/>
    <n v="0"/>
    <n v="0"/>
    <n v="0"/>
    <n v="0"/>
    <n v="0"/>
    <n v="0"/>
    <n v="0"/>
    <n v="0"/>
    <m/>
    <m/>
    <m/>
    <m/>
    <m/>
    <m/>
    <m/>
    <m/>
    <m/>
    <m/>
    <m/>
    <m/>
    <m/>
    <m/>
    <m/>
    <m/>
    <m/>
    <m/>
    <m/>
    <m/>
    <m/>
    <m/>
    <m/>
    <m/>
    <m/>
    <m/>
    <m/>
    <m/>
    <m/>
    <m/>
    <m/>
    <m/>
    <m/>
    <m/>
  </r>
  <r>
    <n v="743"/>
    <d v="2025-02-06T00:00:00"/>
    <s v="ZBTO"/>
    <n v="9518498761"/>
    <n v="10"/>
    <s v="9518498761-10"/>
    <m/>
    <s v="No Priority"/>
    <s v="Released orders"/>
    <x v="2"/>
    <x v="2"/>
    <n v="2000"/>
    <m/>
    <x v="1"/>
    <m/>
    <m/>
    <s v="Jharkhand"/>
    <m/>
    <m/>
    <m/>
    <n v="121328"/>
    <s v="R. S. BOKARO METAL (P) LTD."/>
    <n v="1854429"/>
    <s v="GP COIL SOFT-TATXGP-GK09-0.63X900"/>
    <n v="80"/>
    <s v=""/>
    <m/>
    <m/>
    <s v="Narrow"/>
    <s v="C02"/>
    <s v="TATXGP"/>
    <s v="GK09"/>
    <n v="0.63"/>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1"/>
    <s v="9518425909-1"/>
    <m/>
    <s v="No Priority"/>
    <s v="Failed orders"/>
    <x v="1"/>
    <x v="1"/>
    <n v="2000"/>
    <m/>
    <x v="1"/>
    <m/>
    <m/>
    <s v="Andhra Pradesh"/>
    <m/>
    <m/>
    <m/>
    <n v="946077"/>
    <s v="SITARAM IRON AND STEEL PVT LTD"/>
    <n v="3239535"/>
    <s v="CRCA SHEET TATCRC SR16 0.350X900X2440"/>
    <s v=""/>
    <s v=""/>
    <m/>
    <m/>
    <s v="Narrow"/>
    <s v="C06"/>
    <s v="TATCRC"/>
    <s v="SR16"/>
    <n v="0.35"/>
    <n v="900"/>
    <n v="244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2"/>
    <s v="9518425909-2"/>
    <m/>
    <s v="No Priority"/>
    <s v="Failed orders"/>
    <x v="1"/>
    <x v="1"/>
    <n v="2000"/>
    <m/>
    <x v="1"/>
    <m/>
    <m/>
    <s v="Andhra Pradesh"/>
    <m/>
    <m/>
    <m/>
    <n v="946077"/>
    <s v="SITARAM IRON AND STEEL PVT LTD"/>
    <n v="3239540"/>
    <s v="CRCA SHEET TATCRC SR16 0.350X1000X2440"/>
    <s v=""/>
    <s v=""/>
    <m/>
    <m/>
    <s v="Narrow"/>
    <s v="C06"/>
    <s v="TATCRC"/>
    <s v="SR16"/>
    <n v="0.35"/>
    <n v="1000"/>
    <n v="244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3"/>
    <s v="9518425909-3"/>
    <m/>
    <s v="No Priority"/>
    <s v="Failed orders"/>
    <x v="1"/>
    <x v="1"/>
    <n v="2000"/>
    <m/>
    <x v="1"/>
    <m/>
    <m/>
    <s v="Andhra Pradesh"/>
    <m/>
    <m/>
    <m/>
    <n v="946077"/>
    <s v="SITARAM IRON AND STEEL PVT LTD"/>
    <n v="3239549"/>
    <s v="CRCA SHEET TATCRC SR16 0.400X900X2440"/>
    <s v=""/>
    <s v=""/>
    <m/>
    <m/>
    <s v="Narrow"/>
    <s v="C06"/>
    <s v="TATCRC"/>
    <s v="SR16"/>
    <n v="0.4"/>
    <n v="900"/>
    <n v="244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4"/>
    <s v="9518425909-4"/>
    <m/>
    <s v="No Priority"/>
    <s v="Failed orders"/>
    <x v="1"/>
    <x v="1"/>
    <n v="2000"/>
    <m/>
    <x v="1"/>
    <m/>
    <m/>
    <s v="Andhra Pradesh"/>
    <m/>
    <m/>
    <m/>
    <n v="946077"/>
    <s v="SITARAM IRON AND STEEL PVT LTD"/>
    <n v="3239555"/>
    <s v="CRCA SHEET TATCRC SR16 0.400X1000X2440"/>
    <s v=""/>
    <s v=""/>
    <m/>
    <m/>
    <s v="Narrow"/>
    <s v="C06"/>
    <s v="TATCRC"/>
    <s v="SR16"/>
    <n v="0.4"/>
    <n v="1000"/>
    <n v="244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5"/>
    <s v="9518425909-5"/>
    <m/>
    <s v="No Priority"/>
    <s v="Failed orders"/>
    <x v="1"/>
    <x v="1"/>
    <n v="2000"/>
    <m/>
    <x v="1"/>
    <m/>
    <m/>
    <s v="Andhra Pradesh"/>
    <m/>
    <m/>
    <m/>
    <n v="946077"/>
    <s v="SITARAM IRON AND STEEL PVT LTD"/>
    <n v="3239559"/>
    <s v="CRCA SHEET TATCRC SR16 0.450X900X2440"/>
    <s v=""/>
    <s v=""/>
    <m/>
    <m/>
    <s v="Narrow"/>
    <s v="C06"/>
    <s v="TATCRC"/>
    <s v="SR16"/>
    <n v="0.45"/>
    <n v="900"/>
    <n v="244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6"/>
    <s v="9518425909-6"/>
    <m/>
    <s v="No Priority"/>
    <s v="Failed orders"/>
    <x v="1"/>
    <x v="1"/>
    <n v="2000"/>
    <m/>
    <x v="1"/>
    <m/>
    <m/>
    <s v="Andhra Pradesh"/>
    <m/>
    <m/>
    <m/>
    <n v="946077"/>
    <s v="SITARAM IRON AND STEEL PVT LTD"/>
    <n v="3239566"/>
    <s v="CRCA SHEET TATCRC SR16 0.450X1000X2440"/>
    <s v=""/>
    <s v=""/>
    <m/>
    <m/>
    <s v="Narrow"/>
    <s v="C06"/>
    <s v="TATCRC"/>
    <s v="SR16"/>
    <n v="0.45"/>
    <n v="1000"/>
    <n v="244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8"/>
    <s v="9518425909-8"/>
    <m/>
    <s v="No Priority"/>
    <s v="Failed orders"/>
    <x v="1"/>
    <x v="1"/>
    <n v="2000"/>
    <m/>
    <x v="1"/>
    <m/>
    <m/>
    <s v="Andhra Pradesh"/>
    <m/>
    <m/>
    <m/>
    <n v="946077"/>
    <s v="SITARAM IRON AND STEEL PVT LTD"/>
    <n v="3240759"/>
    <s v="CRCA SHEET TSBCRC SR15 0.500X1000X2440"/>
    <s v=""/>
    <s v=""/>
    <m/>
    <m/>
    <s v="Narrow"/>
    <s v="C06"/>
    <s v="TSBCRC"/>
    <s v="SR15"/>
    <n v="0.5"/>
    <n v="1000"/>
    <n v="2440"/>
    <n v="24"/>
    <e v="#N/A"/>
    <n v="24"/>
    <n v="24"/>
    <e v="#N/A"/>
    <e v="#N/A"/>
    <m/>
    <n v="0"/>
    <n v="24"/>
    <n v="0"/>
    <n v="0"/>
    <n v="26.88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07T00:00:00"/>
    <s v="ZBTO"/>
    <n v="9518410223"/>
    <n v="11"/>
    <s v="9518410223-11"/>
    <m/>
    <s v="No Priority"/>
    <s v="Failed orders"/>
    <x v="1"/>
    <x v="1"/>
    <n v="2000"/>
    <m/>
    <x v="1"/>
    <m/>
    <m/>
    <s v="Uttar Pradesh"/>
    <m/>
    <m/>
    <m/>
    <n v="931525"/>
    <s v="INDIA STEEL INDUSTRIES"/>
    <n v="3240863"/>
    <s v="CRCA SHEET TSBCRC SR15 1.500X1250X2500"/>
    <s v=""/>
    <s v=""/>
    <m/>
    <m/>
    <s v="Wider"/>
    <s v="C06"/>
    <s v="TSBCRC"/>
    <s v="SR15"/>
    <n v="1.5"/>
    <n v="1250"/>
    <n v="0"/>
    <n v="57"/>
    <e v="#N/A"/>
    <n v="57"/>
    <n v="57"/>
    <e v="#N/A"/>
    <e v="#N/A"/>
    <m/>
    <n v="0"/>
    <n v="57"/>
    <n v="0"/>
    <n v="0"/>
    <n v="63.84"/>
    <n v="0"/>
    <n v="0"/>
    <n v="0"/>
    <n v="0"/>
    <n v="0"/>
    <n v="0"/>
    <n v="0"/>
    <n v="0"/>
    <n v="0"/>
    <n v="0"/>
    <n v="0"/>
    <n v="0"/>
    <n v="0"/>
    <n v="0"/>
    <n v="0"/>
    <n v="0"/>
    <n v="0"/>
    <n v="0"/>
    <n v="0"/>
    <n v="0"/>
    <n v="0"/>
    <n v="0"/>
    <n v="0"/>
    <n v="0"/>
    <n v="0"/>
    <n v="0"/>
    <n v="0"/>
    <n v="0"/>
    <n v="0"/>
    <n v="0"/>
    <n v="0"/>
    <n v="0"/>
    <n v="0"/>
    <n v="0"/>
    <n v="0"/>
    <n v="0"/>
    <n v="0"/>
    <m/>
    <m/>
    <m/>
    <m/>
    <m/>
    <m/>
    <m/>
    <m/>
    <m/>
    <m/>
    <m/>
    <m/>
    <m/>
    <m/>
    <m/>
    <m/>
    <m/>
    <m/>
    <m/>
    <m/>
    <m/>
    <m/>
    <m/>
    <m/>
    <m/>
    <m/>
    <m/>
    <m/>
    <m/>
    <m/>
    <m/>
    <m/>
    <m/>
    <m/>
  </r>
  <r>
    <n v="742"/>
    <d v="2025-01-13T00:00:00"/>
    <s v="ZBTO"/>
    <n v="9518425909"/>
    <n v="16"/>
    <s v="9518425909-16"/>
    <m/>
    <s v="Stocks"/>
    <s v="Released orders"/>
    <x v="1"/>
    <x v="3"/>
    <n v="2000"/>
    <m/>
    <x v="0"/>
    <s v="Mar"/>
    <m/>
    <s v="Andhra Pradesh"/>
    <m/>
    <m/>
    <m/>
    <n v="946077"/>
    <s v="SITARAM IRON AND STEEL PVT LTD"/>
    <n v="2430219"/>
    <s v="CRCA COIL TATXXD AU03 0.800X900"/>
    <s v=""/>
    <s v=""/>
    <m/>
    <m/>
    <s v="Narrow"/>
    <s v="C01"/>
    <s v="TATXXD"/>
    <s v="AU03"/>
    <n v="0.8"/>
    <n v="900"/>
    <n v="0"/>
    <n v="21"/>
    <n v="16.614999999999998"/>
    <n v="21"/>
    <n v="21"/>
    <e v="#N/A"/>
    <e v="#N/A"/>
    <m/>
    <n v="0"/>
    <n v="21"/>
    <n v="4.3849999999999998"/>
    <n v="0"/>
    <n v="23.520000000000003"/>
    <n v="0"/>
    <n v="0"/>
    <n v="0"/>
    <n v="0"/>
    <n v="0"/>
    <n v="0"/>
    <n v="0"/>
    <n v="0"/>
    <n v="0"/>
    <n v="0"/>
    <n v="0"/>
    <n v="0"/>
    <n v="0"/>
    <n v="0"/>
    <n v="0"/>
    <n v="0"/>
    <n v="0"/>
    <n v="0"/>
    <n v="0"/>
    <n v="0"/>
    <n v="0"/>
    <n v="0"/>
    <n v="0"/>
    <n v="16.614999999999998"/>
    <n v="0"/>
    <n v="0"/>
    <n v="0"/>
    <n v="0"/>
    <n v="0"/>
    <n v="0"/>
    <n v="16.614999999999998"/>
    <n v="0"/>
    <n v="16.614999999999998"/>
    <n v="0"/>
    <n v="0"/>
    <n v="0"/>
    <n v="0"/>
    <m/>
    <m/>
    <m/>
    <m/>
    <m/>
    <m/>
    <m/>
    <m/>
    <m/>
    <m/>
    <m/>
    <m/>
    <m/>
    <m/>
    <m/>
    <m/>
    <m/>
    <m/>
    <m/>
    <m/>
    <m/>
    <m/>
    <m/>
    <m/>
    <m/>
    <m/>
    <m/>
    <m/>
    <m/>
    <m/>
    <m/>
    <m/>
    <m/>
    <m/>
  </r>
  <r>
    <n v="742"/>
    <d v="2025-02-14T00:00:00"/>
    <s v="ZBTO"/>
    <n v="9518518311"/>
    <n v="6"/>
    <s v="9518518311-6"/>
    <m/>
    <s v="Mar'25"/>
    <s v="Released orders"/>
    <x v="1"/>
    <x v="3"/>
    <n v="2000"/>
    <m/>
    <x v="0"/>
    <s v="Mar"/>
    <m/>
    <s v="Telangana"/>
    <m/>
    <m/>
    <m/>
    <n v="947126"/>
    <s v="RAVINDRA IRON WORKS"/>
    <n v="1801804"/>
    <s v="CRCA COIL-TATXXD-AU03-1X1250"/>
    <s v=""/>
    <s v=""/>
    <m/>
    <m/>
    <s v="Wider"/>
    <s v="C01"/>
    <s v="TATXXD"/>
    <s v="AU03"/>
    <n v="1"/>
    <n v="1250"/>
    <n v="0"/>
    <n v="116"/>
    <n v="0"/>
    <n v="116"/>
    <n v="116"/>
    <e v="#N/A"/>
    <e v="#N/A"/>
    <m/>
    <n v="0"/>
    <n v="116"/>
    <n v="116"/>
    <n v="0"/>
    <n v="129.92000000000002"/>
    <n v="0"/>
    <n v="0"/>
    <n v="0"/>
    <n v="0"/>
    <n v="0"/>
    <n v="0"/>
    <n v="0"/>
    <n v="0"/>
    <n v="0"/>
    <n v="0"/>
    <n v="0"/>
    <n v="0"/>
    <n v="0"/>
    <n v="0"/>
    <n v="0"/>
    <n v="0"/>
    <n v="0"/>
    <n v="0"/>
    <n v="0"/>
    <n v="0"/>
    <n v="0"/>
    <n v="0"/>
    <n v="0"/>
    <n v="0"/>
    <n v="116"/>
    <n v="0"/>
    <n v="0"/>
    <n v="0"/>
    <n v="0"/>
    <n v="116"/>
    <n v="0"/>
    <n v="0"/>
    <n v="0"/>
    <n v="0"/>
    <n v="0"/>
    <n v="0"/>
    <n v="116"/>
    <m/>
    <m/>
    <m/>
    <m/>
    <m/>
    <m/>
    <m/>
    <m/>
    <m/>
    <m/>
    <m/>
    <m/>
    <m/>
    <m/>
    <m/>
    <m/>
    <m/>
    <m/>
    <m/>
    <m/>
    <m/>
    <m/>
    <m/>
    <m/>
    <m/>
    <m/>
    <m/>
    <m/>
    <m/>
    <m/>
    <m/>
    <m/>
    <m/>
    <m/>
  </r>
  <r>
    <n v="742"/>
    <d v="2025-02-06T00:00:00"/>
    <s v="ZBTO"/>
    <n v="9518497626"/>
    <n v="20"/>
    <s v="9518497626-20"/>
    <m/>
    <s v="Mar'25"/>
    <s v="Released orders"/>
    <x v="1"/>
    <x v="3"/>
    <n v="2000"/>
    <m/>
    <x v="0"/>
    <m/>
    <m/>
    <s v="Andhra Pradesh"/>
    <m/>
    <m/>
    <m/>
    <n v="946077"/>
    <s v="SITARAM IRON AND STEEL PVT LTD"/>
    <n v="189865"/>
    <s v="CRSHEET TATXXD AU03 1.0X1250X2500"/>
    <s v=""/>
    <s v=""/>
    <m/>
    <m/>
    <s v="Wider"/>
    <s v="C06"/>
    <s v="TATXXD"/>
    <s v="AU03"/>
    <n v="1"/>
    <n v="1250"/>
    <n v="2500"/>
    <n v="27"/>
    <n v="0"/>
    <n v="27"/>
    <n v="27"/>
    <e v="#N/A"/>
    <e v="#N/A"/>
    <m/>
    <n v="0"/>
    <n v="27"/>
    <n v="27"/>
    <n v="0"/>
    <n v="30.240000000000002"/>
    <n v="0"/>
    <n v="0"/>
    <n v="0"/>
    <n v="0"/>
    <n v="0"/>
    <n v="0"/>
    <n v="0"/>
    <n v="0"/>
    <n v="0"/>
    <n v="0"/>
    <n v="0"/>
    <n v="0"/>
    <n v="0"/>
    <n v="0"/>
    <n v="0"/>
    <n v="0"/>
    <n v="0"/>
    <n v="0"/>
    <n v="0"/>
    <n v="0"/>
    <n v="0"/>
    <n v="0"/>
    <n v="0"/>
    <n v="0"/>
    <n v="27"/>
    <n v="0"/>
    <n v="0"/>
    <n v="0"/>
    <n v="0"/>
    <n v="27"/>
    <n v="0"/>
    <n v="0"/>
    <n v="0"/>
    <n v="0"/>
    <n v="0"/>
    <n v="0"/>
    <n v="27"/>
    <m/>
    <m/>
    <m/>
    <m/>
    <m/>
    <m/>
    <m/>
    <m/>
    <m/>
    <m/>
    <m/>
    <m/>
    <m/>
    <m/>
    <m/>
    <m/>
    <m/>
    <m/>
    <m/>
    <m/>
    <m/>
    <m/>
    <m/>
    <m/>
    <m/>
    <m/>
    <m/>
    <m/>
    <m/>
    <m/>
    <m/>
    <m/>
    <m/>
    <m/>
  </r>
  <r>
    <n v="742"/>
    <d v="2025-02-06T00:00:00"/>
    <s v="ZBTO"/>
    <n v="9518497626"/>
    <n v="1"/>
    <s v="9518497626-1"/>
    <m/>
    <s v="No Priority"/>
    <s v="Failed orders"/>
    <x v="1"/>
    <x v="1"/>
    <n v="2000"/>
    <m/>
    <x v="1"/>
    <m/>
    <m/>
    <s v="Andhra Pradesh"/>
    <m/>
    <m/>
    <m/>
    <n v="946077"/>
    <s v="SITARAM IRON AND STEEL PVT LTD"/>
    <n v="3239535"/>
    <s v="CRCA SHEET TATCRC SR16 0.350X900X2440"/>
    <s v=""/>
    <s v=""/>
    <m/>
    <m/>
    <s v="Narrow"/>
    <s v="C06"/>
    <s v="TATCRC"/>
    <s v="SR16"/>
    <n v="0.35"/>
    <n v="900"/>
    <n v="244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2"/>
    <s v="9518497626-2"/>
    <m/>
    <s v="No Priority"/>
    <s v="Failed orders"/>
    <x v="1"/>
    <x v="1"/>
    <n v="2000"/>
    <m/>
    <x v="1"/>
    <m/>
    <m/>
    <s v="Andhra Pradesh"/>
    <m/>
    <m/>
    <m/>
    <n v="946077"/>
    <s v="SITARAM IRON AND STEEL PVT LTD"/>
    <n v="3239540"/>
    <s v="CRCA SHEET TATCRC SR16 0.350X1000X2440"/>
    <s v=""/>
    <s v=""/>
    <m/>
    <m/>
    <s v="Narrow"/>
    <s v="C06"/>
    <s v="TATCRC"/>
    <s v="SR16"/>
    <n v="0.35"/>
    <n v="1000"/>
    <n v="244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3"/>
    <s v="9518497626-3"/>
    <m/>
    <s v="No Priority"/>
    <s v="Failed orders"/>
    <x v="1"/>
    <x v="1"/>
    <n v="2000"/>
    <m/>
    <x v="1"/>
    <m/>
    <m/>
    <s v="Andhra Pradesh"/>
    <m/>
    <m/>
    <m/>
    <n v="946077"/>
    <s v="SITARAM IRON AND STEEL PVT LTD"/>
    <n v="3239549"/>
    <s v="CRCA SHEET TATCRC SR16 0.400X900X2440"/>
    <s v=""/>
    <s v=""/>
    <m/>
    <m/>
    <s v="Narrow"/>
    <s v="C06"/>
    <s v="TATCRC"/>
    <s v="SR16"/>
    <n v="0.4"/>
    <n v="900"/>
    <n v="244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4"/>
    <s v="9518497626-4"/>
    <m/>
    <s v="No Priority"/>
    <s v="Failed orders"/>
    <x v="1"/>
    <x v="1"/>
    <n v="2000"/>
    <m/>
    <x v="1"/>
    <m/>
    <m/>
    <s v="Andhra Pradesh"/>
    <m/>
    <m/>
    <m/>
    <n v="946077"/>
    <s v="SITARAM IRON AND STEEL PVT LTD"/>
    <n v="3239555"/>
    <s v="CRCA SHEET TATCRC SR16 0.400X1000X2440"/>
    <s v=""/>
    <s v=""/>
    <m/>
    <m/>
    <s v="Narrow"/>
    <s v="C06"/>
    <s v="TATCRC"/>
    <s v="SR16"/>
    <n v="0.4"/>
    <n v="1000"/>
    <n v="244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5"/>
    <s v="9518497626-5"/>
    <m/>
    <s v="No Priority"/>
    <s v="Failed orders"/>
    <x v="1"/>
    <x v="1"/>
    <n v="2000"/>
    <m/>
    <x v="1"/>
    <m/>
    <m/>
    <s v="Andhra Pradesh"/>
    <m/>
    <m/>
    <m/>
    <n v="946077"/>
    <s v="SITARAM IRON AND STEEL PVT LTD"/>
    <n v="3239559"/>
    <s v="CRCA SHEET TATCRC SR16 0.450X900X2440"/>
    <s v=""/>
    <s v=""/>
    <m/>
    <m/>
    <s v="Narrow"/>
    <s v="C06"/>
    <s v="TATCRC"/>
    <s v="SR16"/>
    <n v="0.45"/>
    <n v="900"/>
    <n v="244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6"/>
    <s v="9518497626-6"/>
    <m/>
    <s v="No Priority"/>
    <s v="Failed orders"/>
    <x v="1"/>
    <x v="1"/>
    <n v="2000"/>
    <m/>
    <x v="1"/>
    <m/>
    <m/>
    <s v="Andhra Pradesh"/>
    <m/>
    <m/>
    <m/>
    <n v="946077"/>
    <s v="SITARAM IRON AND STEEL PVT LTD"/>
    <n v="3239566"/>
    <s v="CRCA SHEET TATCRC SR16 0.450X1000X2440"/>
    <s v=""/>
    <s v=""/>
    <m/>
    <m/>
    <s v="Narrow"/>
    <s v="C06"/>
    <s v="TATCRC"/>
    <s v="SR16"/>
    <n v="0.45"/>
    <n v="1000"/>
    <n v="2440"/>
    <n v="42"/>
    <e v="#N/A"/>
    <n v="42"/>
    <n v="42"/>
    <e v="#N/A"/>
    <e v="#N/A"/>
    <m/>
    <n v="0"/>
    <n v="42"/>
    <n v="0"/>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7"/>
    <s v="9518497626-7"/>
    <m/>
    <s v="No Priority"/>
    <s v="Failed orders"/>
    <x v="1"/>
    <x v="1"/>
    <n v="2000"/>
    <m/>
    <x v="1"/>
    <m/>
    <m/>
    <s v="Andhra Pradesh"/>
    <m/>
    <m/>
    <m/>
    <n v="946077"/>
    <s v="SITARAM IRON AND STEEL PVT LTD"/>
    <n v="3411571"/>
    <s v="CRCA SHEET TSBCRC SR15 0.500X900X2440"/>
    <s v=""/>
    <s v=""/>
    <m/>
    <m/>
    <s v="Narrow"/>
    <s v="C06"/>
    <s v="TSBCRC"/>
    <s v="SR15"/>
    <n v="0.5"/>
    <n v="900"/>
    <n v="244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8"/>
    <s v="9518497626-8"/>
    <m/>
    <s v="No Priority"/>
    <s v="Failed orders"/>
    <x v="1"/>
    <x v="1"/>
    <n v="2000"/>
    <m/>
    <x v="1"/>
    <m/>
    <m/>
    <s v="Andhra Pradesh"/>
    <m/>
    <m/>
    <m/>
    <n v="946077"/>
    <s v="SITARAM IRON AND STEEL PVT LTD"/>
    <n v="3240759"/>
    <s v="CRCA SHEET TSBCRC SR15 0.500X1000X2440"/>
    <s v=""/>
    <s v=""/>
    <m/>
    <m/>
    <s v="Narrow"/>
    <s v="C06"/>
    <s v="TSBCRC"/>
    <s v="SR15"/>
    <n v="0.5"/>
    <n v="1000"/>
    <n v="244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6T00:00:00"/>
    <s v="ZBTO"/>
    <n v="9518497626"/>
    <n v="11"/>
    <s v="9518497626-11"/>
    <m/>
    <s v="Mar'25 additional"/>
    <s v="Released orders"/>
    <x v="1"/>
    <x v="1"/>
    <n v="2000"/>
    <m/>
    <x v="1"/>
    <m/>
    <s v="De-prioritized due to narrow HR unavailability"/>
    <s v="Andhra Pradesh"/>
    <m/>
    <m/>
    <m/>
    <n v="946077"/>
    <s v="SITARAM IRON AND STEEL PVT LTD"/>
    <n v="3240776"/>
    <s v="CRCA SHEET TSBCRC SR15 0.600X1000X2440"/>
    <s v=""/>
    <s v=""/>
    <m/>
    <m/>
    <s v="Narrow"/>
    <s v="C06"/>
    <s v="TSBCRC"/>
    <s v="SR15"/>
    <n v="0.6"/>
    <n v="1000"/>
    <n v="2440"/>
    <n v="42"/>
    <n v="0"/>
    <n v="42"/>
    <n v="42"/>
    <e v="#N/A"/>
    <e v="#N/A"/>
    <m/>
    <n v="0"/>
    <n v="42"/>
    <n v="21"/>
    <n v="0"/>
    <n v="47.040000000000006"/>
    <n v="0"/>
    <n v="0"/>
    <n v="0"/>
    <n v="0"/>
    <n v="0"/>
    <n v="0"/>
    <n v="0"/>
    <n v="0"/>
    <n v="0"/>
    <n v="0"/>
    <n v="0"/>
    <n v="0"/>
    <n v="0"/>
    <n v="0"/>
    <n v="0"/>
    <n v="0"/>
    <n v="0"/>
    <n v="0"/>
    <n v="0"/>
    <n v="0"/>
    <n v="0"/>
    <n v="0"/>
    <n v="0"/>
    <n v="0"/>
    <n v="0"/>
    <n v="0"/>
    <n v="0"/>
    <n v="0"/>
    <n v="0"/>
    <n v="0"/>
    <n v="0"/>
    <n v="0"/>
    <n v="0"/>
    <n v="0"/>
    <n v="0"/>
    <n v="0"/>
    <n v="0"/>
    <m/>
    <m/>
    <m/>
    <m/>
    <m/>
    <m/>
    <m/>
    <m/>
    <m/>
    <m/>
    <m/>
    <m/>
    <m/>
    <m/>
    <m/>
    <m/>
    <m/>
    <m/>
    <m/>
    <m/>
    <m/>
    <m/>
    <m/>
    <m/>
    <m/>
    <m/>
    <m/>
    <m/>
    <m/>
    <m/>
    <m/>
    <m/>
    <m/>
    <m/>
  </r>
  <r>
    <n v="742"/>
    <d v="2025-02-05T00:00:00"/>
    <s v="ZBTO"/>
    <n v="9518495920"/>
    <n v="4"/>
    <s v="9518495920-4"/>
    <m/>
    <s v="No Priority"/>
    <s v="Failed orders"/>
    <x v="1"/>
    <x v="1"/>
    <n v="2000"/>
    <m/>
    <x v="1"/>
    <s v="Mar"/>
    <m/>
    <s v="Uttar Pradesh"/>
    <m/>
    <m/>
    <m/>
    <n v="931525"/>
    <s v="INDIA STEEL INDUSTRIES"/>
    <n v="3240863"/>
    <s v="CRCA SHEET TSBCRC SR15 1.500X1250X2500"/>
    <s v=""/>
    <s v=""/>
    <m/>
    <m/>
    <s v="Wider"/>
    <s v="C06"/>
    <s v="TSBCRC"/>
    <s v="SR15"/>
    <n v="1.5"/>
    <n v="1250"/>
    <n v="0"/>
    <n v="27"/>
    <e v="#N/A"/>
    <n v="27"/>
    <n v="27"/>
    <e v="#N/A"/>
    <e v="#N/A"/>
    <m/>
    <n v="0"/>
    <n v="27"/>
    <n v="0"/>
    <n v="0"/>
    <n v="30.24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1-06T00:00:00"/>
    <s v="ZBTO"/>
    <n v="9518407593"/>
    <n v="3"/>
    <s v="9518407593-3"/>
    <m/>
    <s v="Feb'25"/>
    <s v="Released orders"/>
    <x v="1"/>
    <x v="3"/>
    <s v="2000-BPRS"/>
    <m/>
    <x v="0"/>
    <m/>
    <m/>
    <m/>
    <s v="North"/>
    <s v="KANPUR"/>
    <m/>
    <n v="933952"/>
    <s v="AGARWAL STEEL TRADERS"/>
    <n v="1804854"/>
    <s v="CRCA COIL-TATXXD-AU03-1.2X1250"/>
    <s v=" "/>
    <s v=""/>
    <n v="7"/>
    <n v="28"/>
    <s v="Wider"/>
    <s v="C01"/>
    <s v="TATXXD"/>
    <s v="AU03"/>
    <n v="1.2"/>
    <n v="1250"/>
    <n v="0"/>
    <n v="58"/>
    <n v="38.67"/>
    <n v="19.329999999999998"/>
    <n v="19.329999999999998"/>
    <n v="0.7"/>
    <n v="18.63"/>
    <n v="18.63"/>
    <m/>
    <n v="19.329999999999998"/>
    <n v="19.329999999999998"/>
    <n v="0"/>
    <n v="0"/>
    <n v="0"/>
    <n v="0"/>
    <n v="0"/>
    <n v="0"/>
    <n v="0"/>
    <n v="0"/>
    <n v="0"/>
    <n v="0"/>
    <n v="0"/>
    <n v="0"/>
    <n v="0"/>
    <n v="0"/>
    <n v="27.52"/>
    <n v="0"/>
    <n v="0"/>
    <n v="0"/>
    <n v="0"/>
    <n v="0"/>
    <n v="27.52"/>
    <n v="27.52"/>
    <n v="0"/>
    <n v="27.52"/>
    <n v="0.7"/>
    <n v="0"/>
    <n v="19.329999999999998"/>
    <n v="0"/>
    <n v="0"/>
    <n v="0"/>
    <n v="19.329999999999998"/>
    <n v="0"/>
    <n v="19.329999999999998"/>
    <n v="0"/>
    <n v="0"/>
    <n v="0"/>
    <n v="0"/>
    <n v="19.329999999999998"/>
    <n v="0"/>
    <n v="0"/>
    <n v="0"/>
    <n v="0"/>
    <n v="0"/>
    <n v="0"/>
    <n v="0"/>
    <m/>
    <m/>
    <m/>
    <m/>
    <m/>
    <m/>
    <m/>
    <m/>
    <m/>
    <s v="1"/>
    <s v="1"/>
    <s v="1"/>
    <s v="0"/>
    <s v="1"/>
    <m/>
    <m/>
    <m/>
    <m/>
    <m/>
    <m/>
    <m/>
    <m/>
    <m/>
    <m/>
    <m/>
    <m/>
    <m/>
    <m/>
  </r>
  <r>
    <n v="742"/>
    <d v="2025-02-20T00:00:00"/>
    <s v="ZBTO"/>
    <n v="9518535833"/>
    <n v="17"/>
    <s v="9518535833-17"/>
    <m/>
    <s v="Mar'25"/>
    <s v="Released orders"/>
    <x v="1"/>
    <x v="3"/>
    <n v="2000"/>
    <m/>
    <x v="0"/>
    <m/>
    <m/>
    <s v="Tamil Nadu"/>
    <m/>
    <m/>
    <m/>
    <n v="938550"/>
    <s v="BASEER AND CO"/>
    <n v="1804854"/>
    <s v="CRCA COIL-TATXXD-AU03-1.2X1250"/>
    <s v=""/>
    <s v=""/>
    <m/>
    <m/>
    <s v="Wider"/>
    <s v="C01"/>
    <s v="TATXXD"/>
    <s v="AU03"/>
    <n v="1.2"/>
    <n v="1250"/>
    <n v="0"/>
    <n v="58"/>
    <n v="0"/>
    <n v="58"/>
    <n v="58"/>
    <e v="#N/A"/>
    <e v="#N/A"/>
    <n v="58"/>
    <n v="0"/>
    <n v="58"/>
    <n v="58"/>
    <n v="0"/>
    <n v="64.960000000000008"/>
    <n v="0"/>
    <n v="0"/>
    <n v="0"/>
    <n v="0"/>
    <n v="0"/>
    <n v="0"/>
    <n v="0"/>
    <n v="0"/>
    <n v="0"/>
    <n v="0"/>
    <n v="0"/>
    <n v="0"/>
    <n v="0"/>
    <n v="0"/>
    <n v="0"/>
    <n v="0"/>
    <n v="0"/>
    <n v="0"/>
    <n v="0"/>
    <n v="0"/>
    <n v="0"/>
    <n v="0"/>
    <n v="0"/>
    <n v="0"/>
    <n v="58"/>
    <n v="0"/>
    <n v="0"/>
    <n v="0"/>
    <n v="0"/>
    <n v="58"/>
    <n v="0"/>
    <n v="0"/>
    <n v="0"/>
    <n v="0"/>
    <n v="0"/>
    <n v="0"/>
    <n v="58"/>
    <m/>
    <m/>
    <m/>
    <m/>
    <m/>
    <m/>
    <m/>
    <m/>
    <m/>
    <m/>
    <m/>
    <m/>
    <m/>
    <m/>
    <m/>
    <m/>
    <m/>
    <m/>
    <m/>
    <m/>
    <m/>
    <m/>
    <m/>
    <m/>
    <m/>
    <m/>
    <m/>
    <m/>
    <m/>
    <m/>
    <m/>
    <m/>
    <m/>
    <m/>
  </r>
  <r>
    <n v="742"/>
    <d v="2025-02-06T00:00:00"/>
    <s v="ZBTO"/>
    <n v="9518497626"/>
    <n v="21"/>
    <s v="9518497626-21"/>
    <m/>
    <s v="Mar'25"/>
    <s v="Released orders"/>
    <x v="1"/>
    <x v="3"/>
    <n v="2000"/>
    <m/>
    <x v="0"/>
    <m/>
    <m/>
    <s v="Andhra Pradesh"/>
    <m/>
    <m/>
    <m/>
    <n v="946077"/>
    <s v="SITARAM IRON AND STEEL PVT LTD"/>
    <n v="189866"/>
    <s v="CRSHEET TATXXD AU03 1.20X1250X2500"/>
    <s v=""/>
    <s v=""/>
    <m/>
    <m/>
    <s v="Wider"/>
    <s v="C06"/>
    <s v="TATXXD"/>
    <s v="AU03"/>
    <n v="1.2"/>
    <n v="1250"/>
    <n v="0"/>
    <n v="54"/>
    <n v="0"/>
    <n v="54"/>
    <n v="54"/>
    <e v="#N/A"/>
    <e v="#N/A"/>
    <m/>
    <n v="0"/>
    <n v="54"/>
    <n v="54"/>
    <n v="0"/>
    <n v="60.480000000000004"/>
    <n v="0"/>
    <n v="0"/>
    <n v="0"/>
    <n v="0"/>
    <n v="0"/>
    <n v="0"/>
    <n v="0"/>
    <n v="0"/>
    <n v="0"/>
    <n v="0"/>
    <n v="0"/>
    <n v="0"/>
    <n v="0"/>
    <n v="0"/>
    <n v="0"/>
    <n v="0"/>
    <n v="0"/>
    <n v="0"/>
    <n v="0"/>
    <n v="0"/>
    <n v="0"/>
    <n v="0"/>
    <n v="0"/>
    <n v="0"/>
    <n v="54"/>
    <n v="0"/>
    <n v="54"/>
    <n v="0"/>
    <n v="0"/>
    <n v="0"/>
    <n v="54"/>
    <n v="0"/>
    <n v="0"/>
    <n v="54"/>
    <n v="0"/>
    <n v="0"/>
    <n v="0"/>
    <m/>
    <m/>
    <m/>
    <m/>
    <m/>
    <m/>
    <m/>
    <m/>
    <m/>
    <m/>
    <m/>
    <m/>
    <m/>
    <m/>
    <m/>
    <m/>
    <m/>
    <m/>
    <m/>
    <m/>
    <m/>
    <m/>
    <m/>
    <m/>
    <m/>
    <m/>
    <m/>
    <m/>
    <m/>
    <m/>
    <m/>
    <m/>
    <m/>
    <m/>
  </r>
  <r>
    <n v="742"/>
    <d v="2025-02-06T00:00:00"/>
    <s v="ZBTO"/>
    <n v="9518497626"/>
    <n v="22"/>
    <s v="9518497626-22"/>
    <m/>
    <s v="No Priority"/>
    <s v="Failed orders"/>
    <x v="1"/>
    <x v="3"/>
    <n v="2000"/>
    <m/>
    <x v="1"/>
    <m/>
    <m/>
    <s v="Andhra Pradesh"/>
    <m/>
    <m/>
    <m/>
    <n v="946077"/>
    <s v="SITARAM IRON AND STEEL PVT LTD"/>
    <n v="194544"/>
    <s v="CRSHEET TATXXD AU03 1.50X1250X2500"/>
    <s v=""/>
    <s v=""/>
    <m/>
    <m/>
    <s v="Wider"/>
    <s v="C06"/>
    <s v="TATXXD"/>
    <s v="AU03"/>
    <n v="1.5"/>
    <n v="1250"/>
    <n v="2500"/>
    <n v="27"/>
    <e v="#N/A"/>
    <n v="27"/>
    <n v="27"/>
    <e v="#N/A"/>
    <e v="#N/A"/>
    <m/>
    <n v="0"/>
    <n v="27"/>
    <n v="0"/>
    <n v="0"/>
    <n v="30.24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2-05T00:00:00"/>
    <s v="ZBTO"/>
    <n v="9518494668"/>
    <n v="4"/>
    <s v="9518494668-4"/>
    <m/>
    <s v="Mar'25"/>
    <s v="Released orders"/>
    <x v="1"/>
    <x v="3"/>
    <n v="2000"/>
    <m/>
    <x v="0"/>
    <s v="Mar"/>
    <m/>
    <s v="Maharashtra"/>
    <m/>
    <m/>
    <m/>
    <n v="120612"/>
    <s v="SKM STEELS LIMITED(CRCADIVISIO"/>
    <n v="2334995"/>
    <s v="CRCA COIL TATXXD AU03 1.500X1250"/>
    <s v=""/>
    <s v=""/>
    <m/>
    <m/>
    <s v="Wider"/>
    <s v="C01"/>
    <s v="TATXXD"/>
    <s v="AU03"/>
    <n v="1.5"/>
    <n v="1250"/>
    <n v="0"/>
    <n v="145"/>
    <n v="12.824999999999999"/>
    <n v="145"/>
    <n v="145"/>
    <e v="#N/A"/>
    <e v="#N/A"/>
    <n v="145"/>
    <n v="0"/>
    <n v="145"/>
    <n v="132.17500000000001"/>
    <n v="0"/>
    <n v="162.4"/>
    <n v="0"/>
    <n v="0"/>
    <n v="0"/>
    <n v="0"/>
    <n v="0"/>
    <n v="0"/>
    <n v="0"/>
    <n v="0"/>
    <n v="0"/>
    <n v="0"/>
    <n v="0"/>
    <n v="0"/>
    <n v="0"/>
    <n v="0"/>
    <n v="0"/>
    <n v="0"/>
    <n v="0"/>
    <n v="0"/>
    <n v="0"/>
    <n v="0"/>
    <n v="0"/>
    <n v="0"/>
    <n v="0"/>
    <n v="0"/>
    <n v="132.17500000000001"/>
    <n v="0"/>
    <n v="0"/>
    <n v="0"/>
    <n v="0"/>
    <n v="132.17500000000001"/>
    <n v="0"/>
    <n v="0"/>
    <n v="0"/>
    <n v="0"/>
    <n v="0"/>
    <n v="0"/>
    <n v="132.17500000000001"/>
    <m/>
    <m/>
    <m/>
    <m/>
    <m/>
    <m/>
    <m/>
    <m/>
    <m/>
    <m/>
    <m/>
    <m/>
    <m/>
    <m/>
    <m/>
    <m/>
    <m/>
    <m/>
    <m/>
    <m/>
    <m/>
    <m/>
    <m/>
    <m/>
    <m/>
    <m/>
    <m/>
    <m/>
    <m/>
    <m/>
    <m/>
    <m/>
    <m/>
    <m/>
  </r>
  <r>
    <n v="742"/>
    <d v="2025-02-20T00:00:00"/>
    <s v="ZBTO"/>
    <n v="9518535833"/>
    <n v="18"/>
    <s v="9518535833-18"/>
    <m/>
    <s v="Mar'25"/>
    <s v="Released orders"/>
    <x v="1"/>
    <x v="3"/>
    <n v="2000"/>
    <m/>
    <x v="0"/>
    <m/>
    <m/>
    <s v="Tamil Nadu"/>
    <m/>
    <m/>
    <m/>
    <n v="938550"/>
    <s v="BASEER AND CO"/>
    <n v="1804867"/>
    <s v="CRCA COIL-TATXXD-AU03-1.6X1250"/>
    <s v=""/>
    <s v=""/>
    <m/>
    <m/>
    <s v="Wider"/>
    <s v="C01"/>
    <s v="TATXXD"/>
    <s v="AU03"/>
    <n v="1.6"/>
    <n v="1250"/>
    <n v="0"/>
    <n v="29"/>
    <n v="0"/>
    <n v="29"/>
    <n v="29"/>
    <e v="#N/A"/>
    <e v="#N/A"/>
    <m/>
    <n v="0"/>
    <n v="29"/>
    <n v="29"/>
    <n v="0"/>
    <n v="32.480000000000004"/>
    <n v="0"/>
    <n v="0"/>
    <n v="0"/>
    <n v="0"/>
    <n v="0"/>
    <n v="0"/>
    <n v="0"/>
    <n v="0"/>
    <n v="0"/>
    <n v="0"/>
    <n v="0"/>
    <n v="0"/>
    <n v="0"/>
    <n v="0"/>
    <n v="0"/>
    <n v="0"/>
    <n v="0"/>
    <n v="0"/>
    <n v="0"/>
    <n v="0"/>
    <n v="0"/>
    <n v="0"/>
    <n v="0"/>
    <n v="0"/>
    <n v="29"/>
    <n v="0"/>
    <n v="0"/>
    <n v="29"/>
    <n v="0"/>
    <n v="0"/>
    <n v="29"/>
    <n v="0"/>
    <n v="0"/>
    <n v="0"/>
    <n v="29"/>
    <n v="0"/>
    <n v="0"/>
    <m/>
    <m/>
    <m/>
    <m/>
    <m/>
    <m/>
    <m/>
    <m/>
    <m/>
    <m/>
    <m/>
    <m/>
    <m/>
    <m/>
    <m/>
    <m/>
    <m/>
    <m/>
    <m/>
    <m/>
    <m/>
    <m/>
    <m/>
    <m/>
    <m/>
    <m/>
    <m/>
    <m/>
    <m/>
    <m/>
    <m/>
    <m/>
    <m/>
    <m/>
  </r>
  <r>
    <n v="742"/>
    <d v="2025-02-06T00:00:00"/>
    <s v="ZBTO"/>
    <n v="9518498155"/>
    <n v="2"/>
    <s v="9518498155-2"/>
    <m/>
    <s v="Stocks"/>
    <s v="Released orders"/>
    <x v="1"/>
    <x v="3"/>
    <n v="2000"/>
    <m/>
    <x v="0"/>
    <s v="Mar"/>
    <m/>
    <s v="Andhra Pradesh"/>
    <m/>
    <m/>
    <m/>
    <n v="946077"/>
    <s v="SITARAM IRON AND STEEL PVT LTD"/>
    <n v="2430219"/>
    <s v="CRCA COIL TATXXD AU03 0.800X900"/>
    <s v=""/>
    <s v=""/>
    <m/>
    <m/>
    <s v="Narrow"/>
    <s v="C01"/>
    <s v="TATXXD"/>
    <s v="AU03"/>
    <n v="0.8"/>
    <n v="900"/>
    <n v="0"/>
    <n v="21"/>
    <n v="17.605"/>
    <n v="21"/>
    <n v="21"/>
    <e v="#N/A"/>
    <e v="#N/A"/>
    <m/>
    <n v="0"/>
    <n v="21"/>
    <n v="3.395"/>
    <n v="0"/>
    <n v="23.520000000000003"/>
    <n v="0"/>
    <n v="0"/>
    <n v="0"/>
    <n v="0"/>
    <n v="0"/>
    <n v="0"/>
    <n v="0"/>
    <n v="0"/>
    <n v="0"/>
    <n v="0"/>
    <n v="0"/>
    <n v="0"/>
    <n v="0"/>
    <n v="0"/>
    <n v="0"/>
    <n v="0"/>
    <n v="0"/>
    <n v="0"/>
    <n v="0"/>
    <n v="0"/>
    <n v="0"/>
    <n v="0"/>
    <n v="0"/>
    <n v="17.605"/>
    <n v="0"/>
    <n v="0"/>
    <n v="0"/>
    <n v="0"/>
    <n v="0"/>
    <n v="0"/>
    <n v="17.605"/>
    <n v="0"/>
    <n v="17.605"/>
    <n v="0"/>
    <n v="0"/>
    <n v="0"/>
    <n v="0"/>
    <m/>
    <m/>
    <m/>
    <m/>
    <m/>
    <m/>
    <m/>
    <m/>
    <m/>
    <m/>
    <m/>
    <m/>
    <m/>
    <m/>
    <m/>
    <m/>
    <m/>
    <m/>
    <m/>
    <m/>
    <m/>
    <m/>
    <m/>
    <m/>
    <m/>
    <m/>
    <m/>
    <m/>
    <m/>
    <m/>
    <m/>
    <m/>
    <m/>
    <m/>
  </r>
  <r>
    <n v="742"/>
    <d v="2025-02-06T00:00:00"/>
    <s v="ZBTO"/>
    <n v="9518498155"/>
    <n v="3"/>
    <s v="9518498155-3"/>
    <m/>
    <s v="Mar'25"/>
    <s v="Released orders"/>
    <x v="1"/>
    <x v="3"/>
    <n v="2000"/>
    <m/>
    <x v="0"/>
    <s v="Mar"/>
    <m/>
    <s v="Andhra Pradesh"/>
    <m/>
    <m/>
    <m/>
    <n v="946077"/>
    <s v="SITARAM IRON AND STEEL PVT LTD"/>
    <n v="1801562"/>
    <s v="CRCA COIL-TATXXD-AU03-0.8X1000"/>
    <s v=""/>
    <s v=""/>
    <m/>
    <m/>
    <s v="Narrow"/>
    <s v="C01"/>
    <s v="TATXXD"/>
    <s v="AU03"/>
    <n v="0.8"/>
    <n v="1000"/>
    <n v="0"/>
    <n v="23"/>
    <n v="0"/>
    <n v="23"/>
    <n v="23"/>
    <e v="#N/A"/>
    <e v="#N/A"/>
    <m/>
    <n v="0"/>
    <n v="23"/>
    <n v="23"/>
    <n v="0"/>
    <n v="25.76"/>
    <n v="0"/>
    <n v="0"/>
    <n v="0"/>
    <n v="0"/>
    <n v="0"/>
    <n v="0"/>
    <n v="0"/>
    <n v="0"/>
    <n v="0"/>
    <n v="0"/>
    <n v="0"/>
    <n v="0"/>
    <n v="0"/>
    <n v="0"/>
    <n v="0"/>
    <n v="0"/>
    <n v="0"/>
    <n v="0"/>
    <n v="0"/>
    <n v="0"/>
    <n v="0"/>
    <n v="0"/>
    <n v="0"/>
    <n v="0"/>
    <n v="23"/>
    <n v="0"/>
    <n v="0"/>
    <n v="0"/>
    <n v="0"/>
    <n v="23"/>
    <n v="0"/>
    <n v="0"/>
    <n v="0"/>
    <n v="0"/>
    <n v="0"/>
    <n v="0"/>
    <n v="23"/>
    <m/>
    <m/>
    <m/>
    <m/>
    <m/>
    <m/>
    <m/>
    <m/>
    <m/>
    <m/>
    <m/>
    <m/>
    <m/>
    <m/>
    <m/>
    <m/>
    <m/>
    <m/>
    <m/>
    <m/>
    <m/>
    <m/>
    <m/>
    <m/>
    <m/>
    <m/>
    <m/>
    <m/>
    <m/>
    <m/>
    <m/>
    <m/>
    <m/>
    <m/>
  </r>
  <r>
    <n v="742"/>
    <d v="2025-02-06T00:00:00"/>
    <s v="ZBTO"/>
    <n v="9518497626"/>
    <n v="23"/>
    <s v="9518497626-23"/>
    <m/>
    <s v="Mar'25"/>
    <s v="Released orders"/>
    <x v="1"/>
    <x v="3"/>
    <n v="2000"/>
    <m/>
    <x v="0"/>
    <m/>
    <m/>
    <s v="Andhra Pradesh"/>
    <m/>
    <m/>
    <m/>
    <n v="946077"/>
    <s v="SITARAM IRON AND STEEL PVT LTD"/>
    <n v="281630"/>
    <s v="CRSHEET C06 TATXXD AU03 1.6X1250X2500"/>
    <s v=""/>
    <s v=""/>
    <m/>
    <m/>
    <s v="Wider"/>
    <s v="C06"/>
    <s v="TATXXD"/>
    <s v="AU03"/>
    <n v="1.6"/>
    <n v="1250"/>
    <n v="2500"/>
    <n v="27"/>
    <n v="0"/>
    <n v="27"/>
    <n v="27"/>
    <e v="#N/A"/>
    <e v="#N/A"/>
    <m/>
    <n v="0"/>
    <n v="27"/>
    <n v="27"/>
    <n v="0"/>
    <n v="30.240000000000002"/>
    <n v="0"/>
    <n v="0"/>
    <n v="0"/>
    <n v="0"/>
    <n v="0"/>
    <n v="0"/>
    <n v="0"/>
    <n v="0"/>
    <n v="0"/>
    <n v="0"/>
    <n v="0"/>
    <n v="0"/>
    <n v="0"/>
    <n v="0"/>
    <n v="0"/>
    <n v="0"/>
    <n v="0"/>
    <n v="0"/>
    <n v="0"/>
    <n v="0"/>
    <n v="0"/>
    <n v="0"/>
    <n v="0"/>
    <n v="0"/>
    <n v="27"/>
    <n v="0"/>
    <n v="27"/>
    <n v="0"/>
    <n v="0"/>
    <n v="0"/>
    <n v="27"/>
    <n v="0"/>
    <n v="0"/>
    <n v="27"/>
    <n v="0"/>
    <n v="0"/>
    <n v="0"/>
    <m/>
    <m/>
    <m/>
    <m/>
    <m/>
    <m/>
    <m/>
    <m/>
    <m/>
    <m/>
    <m/>
    <m/>
    <m/>
    <m/>
    <m/>
    <m/>
    <m/>
    <m/>
    <m/>
    <m/>
    <m/>
    <m/>
    <m/>
    <m/>
    <m/>
    <m/>
    <m/>
    <m/>
    <m/>
    <m/>
    <m/>
    <m/>
    <m/>
    <m/>
  </r>
  <r>
    <n v="742"/>
    <d v="2025-02-06T00:00:00"/>
    <s v="ZBTO"/>
    <n v="9518498155"/>
    <n v="6"/>
    <s v="9518498155-6"/>
    <m/>
    <s v="Mar'25"/>
    <s v="Released orders"/>
    <x v="1"/>
    <x v="3"/>
    <n v="2000"/>
    <m/>
    <x v="0"/>
    <s v="Mar"/>
    <m/>
    <s v="Andhra Pradesh"/>
    <m/>
    <m/>
    <m/>
    <n v="946077"/>
    <s v="SITARAM IRON AND STEEL PVT LTD"/>
    <n v="1804842"/>
    <s v="CRCA COIL-TATXXD-AU03-1X1000"/>
    <s v=""/>
    <s v=""/>
    <m/>
    <m/>
    <s v="Narrow"/>
    <s v="C01"/>
    <s v="TATXXD"/>
    <s v="AU03"/>
    <n v="1"/>
    <n v="1000"/>
    <n v="0"/>
    <n v="23"/>
    <n v="0"/>
    <n v="23"/>
    <n v="23"/>
    <e v="#N/A"/>
    <e v="#N/A"/>
    <m/>
    <n v="0"/>
    <n v="23"/>
    <n v="23"/>
    <n v="0"/>
    <n v="25.76"/>
    <n v="0"/>
    <n v="0"/>
    <n v="0"/>
    <n v="0"/>
    <n v="0"/>
    <n v="0"/>
    <n v="0"/>
    <n v="0"/>
    <n v="0"/>
    <n v="0"/>
    <n v="0"/>
    <n v="0"/>
    <n v="0"/>
    <n v="0"/>
    <n v="0"/>
    <n v="0"/>
    <n v="0"/>
    <n v="0"/>
    <n v="0"/>
    <n v="0"/>
    <n v="0"/>
    <n v="0"/>
    <n v="0"/>
    <n v="0"/>
    <n v="23"/>
    <n v="0"/>
    <n v="0"/>
    <n v="0"/>
    <n v="0"/>
    <n v="23"/>
    <n v="0"/>
    <n v="0"/>
    <n v="0"/>
    <n v="0"/>
    <n v="0"/>
    <n v="0"/>
    <n v="23"/>
    <m/>
    <m/>
    <m/>
    <m/>
    <m/>
    <m/>
    <m/>
    <m/>
    <m/>
    <m/>
    <m/>
    <m/>
    <m/>
    <m/>
    <m/>
    <m/>
    <m/>
    <m/>
    <m/>
    <m/>
    <m/>
    <m/>
    <m/>
    <m/>
    <m/>
    <m/>
    <m/>
    <m/>
    <m/>
    <m/>
    <m/>
    <m/>
    <m/>
    <m/>
  </r>
  <r>
    <n v="742"/>
    <d v="2025-02-06T00:00:00"/>
    <s v="ZBTO"/>
    <n v="9518498155"/>
    <n v="9"/>
    <s v="9518498155-9"/>
    <m/>
    <s v="Mar'25"/>
    <s v="Released orders"/>
    <x v="1"/>
    <x v="3"/>
    <n v="2000"/>
    <m/>
    <x v="0"/>
    <s v="Mar"/>
    <m/>
    <s v="Andhra Pradesh"/>
    <m/>
    <m/>
    <m/>
    <n v="946077"/>
    <s v="SITARAM IRON AND STEEL PVT LTD"/>
    <n v="1804867"/>
    <s v="CRCA COIL-TATXXD-AU03-1.6X1250"/>
    <s v=""/>
    <s v=""/>
    <m/>
    <m/>
    <s v="Wider"/>
    <s v="C01"/>
    <s v="TATXXD"/>
    <s v="AU03"/>
    <n v="1.6"/>
    <n v="1250"/>
    <n v="0"/>
    <n v="58"/>
    <n v="0"/>
    <n v="58"/>
    <n v="58"/>
    <e v="#N/A"/>
    <e v="#N/A"/>
    <n v="58"/>
    <n v="0"/>
    <n v="58"/>
    <n v="58"/>
    <n v="0"/>
    <n v="64.960000000000008"/>
    <n v="0"/>
    <n v="0"/>
    <n v="0"/>
    <n v="0"/>
    <n v="0"/>
    <n v="0"/>
    <n v="0"/>
    <n v="0"/>
    <n v="0"/>
    <n v="0"/>
    <n v="0"/>
    <n v="0"/>
    <n v="0"/>
    <n v="0"/>
    <n v="0"/>
    <n v="0"/>
    <n v="0"/>
    <n v="0"/>
    <n v="0"/>
    <n v="0"/>
    <n v="0"/>
    <n v="0"/>
    <n v="0"/>
    <n v="0"/>
    <n v="58"/>
    <n v="0"/>
    <n v="0"/>
    <n v="0"/>
    <n v="0"/>
    <n v="58"/>
    <n v="0"/>
    <n v="0"/>
    <n v="0"/>
    <n v="0"/>
    <n v="0"/>
    <n v="0"/>
    <n v="58"/>
    <m/>
    <m/>
    <m/>
    <m/>
    <m/>
    <m/>
    <m/>
    <m/>
    <m/>
    <m/>
    <m/>
    <m/>
    <m/>
    <m/>
    <m/>
    <m/>
    <m/>
    <m/>
    <m/>
    <m/>
    <m/>
    <m/>
    <m/>
    <m/>
    <m/>
    <m/>
    <m/>
    <m/>
    <m/>
    <m/>
    <m/>
    <m/>
    <m/>
    <m/>
  </r>
  <r>
    <n v="742"/>
    <d v="2025-02-19T00:00:00"/>
    <s v="ZBTO"/>
    <n v="9518533596"/>
    <n v="6"/>
    <s v="9518533596-6"/>
    <m/>
    <s v="Mar'25"/>
    <s v="Released orders"/>
    <x v="1"/>
    <x v="3"/>
    <n v="2000"/>
    <m/>
    <x v="0"/>
    <s v="Mar"/>
    <m/>
    <s v="West Bengal"/>
    <m/>
    <m/>
    <m/>
    <n v="155536"/>
    <s v="TATA STEEL DOWNSTREAM PRODUCTS"/>
    <n v="187538"/>
    <s v="CRSHEET-ICF TATXXD AU03 1.60X1250"/>
    <s v=""/>
    <s v=""/>
    <m/>
    <m/>
    <s v="Wider"/>
    <s v="C01"/>
    <s v="TATXXD"/>
    <s v="AU03"/>
    <n v="1.6"/>
    <n v="1250"/>
    <n v="0"/>
    <n v="116"/>
    <n v="0"/>
    <n v="116"/>
    <n v="116"/>
    <e v="#N/A"/>
    <e v="#N/A"/>
    <n v="116"/>
    <n v="0"/>
    <n v="116"/>
    <n v="116"/>
    <n v="0"/>
    <n v="129.92000000000002"/>
    <n v="0"/>
    <n v="0"/>
    <n v="0"/>
    <n v="0"/>
    <n v="0"/>
    <n v="0"/>
    <n v="0"/>
    <n v="0"/>
    <n v="0"/>
    <n v="0"/>
    <n v="0"/>
    <n v="0"/>
    <n v="0"/>
    <n v="0"/>
    <n v="0"/>
    <n v="0"/>
    <n v="0"/>
    <n v="0"/>
    <n v="0"/>
    <n v="0"/>
    <n v="0"/>
    <n v="0"/>
    <n v="0"/>
    <n v="0"/>
    <n v="116"/>
    <n v="0"/>
    <n v="0"/>
    <n v="0"/>
    <n v="116"/>
    <n v="0"/>
    <n v="116"/>
    <n v="0"/>
    <n v="0"/>
    <n v="0"/>
    <n v="0"/>
    <n v="116"/>
    <n v="0"/>
    <m/>
    <m/>
    <m/>
    <m/>
    <m/>
    <m/>
    <m/>
    <m/>
    <m/>
    <m/>
    <m/>
    <m/>
    <m/>
    <m/>
    <m/>
    <m/>
    <m/>
    <m/>
    <m/>
    <m/>
    <m/>
    <m/>
    <m/>
    <m/>
    <m/>
    <m/>
    <m/>
    <m/>
    <m/>
    <m/>
    <m/>
    <m/>
    <m/>
    <m/>
  </r>
  <r>
    <n v="742"/>
    <d v="2025-02-09T00:00:00"/>
    <s v="ZBTO"/>
    <n v="9518505599"/>
    <n v="9"/>
    <s v="9518505599-9"/>
    <m/>
    <s v="Mar'25"/>
    <s v="Released orders"/>
    <x v="1"/>
    <x v="3"/>
    <n v="2000"/>
    <m/>
    <x v="0"/>
    <s v="Mar"/>
    <m/>
    <s v="Telangana"/>
    <m/>
    <m/>
    <m/>
    <n v="939422"/>
    <s v="VIJAY VENKAT STEELS PRIVATE LI"/>
    <n v="3855287"/>
    <s v="CR COIL TATXXD AU03 1.620X1250"/>
    <s v=""/>
    <s v=""/>
    <m/>
    <m/>
    <s v="Wider"/>
    <s v="C01"/>
    <s v="TATXXD"/>
    <s v="AU03"/>
    <n v="1.62"/>
    <n v="1250"/>
    <n v="0"/>
    <n v="58"/>
    <n v="0"/>
    <n v="58"/>
    <n v="58"/>
    <e v="#N/A"/>
    <e v="#N/A"/>
    <m/>
    <n v="0"/>
    <n v="58"/>
    <n v="58"/>
    <n v="0"/>
    <n v="64.960000000000008"/>
    <n v="0"/>
    <n v="0"/>
    <n v="0"/>
    <n v="0"/>
    <n v="0"/>
    <n v="0"/>
    <n v="0"/>
    <n v="0"/>
    <n v="0"/>
    <n v="0"/>
    <n v="0"/>
    <n v="0"/>
    <n v="0"/>
    <n v="0"/>
    <n v="0"/>
    <n v="0"/>
    <n v="0"/>
    <n v="0"/>
    <n v="0"/>
    <n v="0"/>
    <n v="0"/>
    <n v="0"/>
    <n v="0"/>
    <n v="0"/>
    <n v="58"/>
    <n v="0"/>
    <n v="0"/>
    <n v="0"/>
    <n v="0"/>
    <n v="58"/>
    <n v="0"/>
    <n v="0"/>
    <n v="0"/>
    <n v="0"/>
    <n v="0"/>
    <n v="0"/>
    <n v="58"/>
    <m/>
    <m/>
    <m/>
    <m/>
    <m/>
    <m/>
    <m/>
    <m/>
    <m/>
    <m/>
    <m/>
    <m/>
    <m/>
    <m/>
    <m/>
    <m/>
    <m/>
    <m/>
    <m/>
    <m/>
    <m/>
    <m/>
    <m/>
    <m/>
    <m/>
    <m/>
    <m/>
    <m/>
    <m/>
    <m/>
    <m/>
    <m/>
    <m/>
    <m/>
  </r>
  <r>
    <n v="742"/>
    <d v="2025-01-06T00:00:00"/>
    <s v="ZBTO"/>
    <n v="9518407284"/>
    <n v="3"/>
    <s v="9518407284-3"/>
    <m/>
    <s v="No Priority"/>
    <s v="Failed orders"/>
    <x v="1"/>
    <x v="1"/>
    <n v="2000"/>
    <m/>
    <x v="1"/>
    <s v="Mar"/>
    <m/>
    <s v="Tamil Nadu"/>
    <m/>
    <m/>
    <m/>
    <n v="116465"/>
    <s v="SRI BALAJI STEEL TRADERS"/>
    <n v="3239539"/>
    <s v="CRCA SHEET TATCRC SR16 0.350X1000X1980"/>
    <s v=""/>
    <s v=""/>
    <m/>
    <m/>
    <s v="Narrow"/>
    <s v="C06"/>
    <s v="TATCRC"/>
    <s v="SR16"/>
    <n v="0.35"/>
    <n v="1000"/>
    <n v="1980"/>
    <n v="23"/>
    <e v="#N/A"/>
    <n v="23"/>
    <n v="23"/>
    <e v="#N/A"/>
    <e v="#N/A"/>
    <m/>
    <n v="0"/>
    <n v="23"/>
    <n v="0"/>
    <n v="0"/>
    <n v="25.76"/>
    <n v="0"/>
    <n v="0"/>
    <n v="0"/>
    <n v="0"/>
    <n v="0"/>
    <n v="0"/>
    <n v="0"/>
    <n v="0"/>
    <n v="0"/>
    <n v="0"/>
    <n v="0"/>
    <n v="0"/>
    <n v="0"/>
    <n v="0"/>
    <n v="0"/>
    <n v="0"/>
    <n v="0"/>
    <n v="0"/>
    <n v="0"/>
    <n v="0"/>
    <n v="0"/>
    <n v="0"/>
    <n v="0"/>
    <n v="0"/>
    <n v="0"/>
    <n v="0"/>
    <n v="0"/>
    <n v="0"/>
    <n v="0"/>
    <n v="0"/>
    <n v="0"/>
    <n v="0"/>
    <n v="0"/>
    <n v="0"/>
    <n v="0"/>
    <n v="0"/>
    <n v="0"/>
    <m/>
    <m/>
    <m/>
    <m/>
    <m/>
    <m/>
    <m/>
    <m/>
    <m/>
    <m/>
    <m/>
    <m/>
    <m/>
    <m/>
    <m/>
    <m/>
    <m/>
    <m/>
    <m/>
    <m/>
    <m/>
    <m/>
    <m/>
    <m/>
    <m/>
    <m/>
    <m/>
    <m/>
    <m/>
    <m/>
    <m/>
    <m/>
    <m/>
    <m/>
  </r>
  <r>
    <n v="742"/>
    <d v="2025-01-29T00:00:00"/>
    <s v="ZBTO"/>
    <n v="9518474200"/>
    <n v="8"/>
    <s v="9518474200-8"/>
    <m/>
    <s v="No Priority"/>
    <s v="Failed orders"/>
    <x v="1"/>
    <x v="15"/>
    <n v="2000"/>
    <m/>
    <x v="1"/>
    <m/>
    <m/>
    <s v="Maharashtra"/>
    <m/>
    <m/>
    <m/>
    <n v="115806"/>
    <s v="NARESH STEEL INDUSTRIES PVT LT"/>
    <n v="2420609"/>
    <s v="CRCA COIL TATXXD AH03 1.900X1250"/>
    <s v=""/>
    <s v=""/>
    <m/>
    <m/>
    <s v="Wider"/>
    <s v="C01"/>
    <s v="TATXXD"/>
    <s v="AH03"/>
    <n v="1.9"/>
    <n v="1250"/>
    <n v="0"/>
    <n v="29"/>
    <e v="#N/A"/>
    <n v="29"/>
    <n v="29"/>
    <e v="#N/A"/>
    <e v="#N/A"/>
    <m/>
    <n v="0"/>
    <n v="29"/>
    <n v="0"/>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1-06T00:00:00"/>
    <s v="ZBTO"/>
    <n v="9518407284"/>
    <n v="10"/>
    <s v="9518407284-10"/>
    <m/>
    <s v="No Priority"/>
    <s v="Failed orders"/>
    <x v="1"/>
    <x v="1"/>
    <n v="2000"/>
    <m/>
    <x v="1"/>
    <s v="Mar"/>
    <m/>
    <s v="Tamil Nadu"/>
    <m/>
    <m/>
    <m/>
    <n v="116465"/>
    <s v="SRI BALAJI STEEL TRADERS"/>
    <n v="3240756"/>
    <s v="CRCA SHEET TSBCRC SR15 0.500X1000X1980"/>
    <s v=""/>
    <s v=""/>
    <m/>
    <m/>
    <s v="Narrow"/>
    <s v="C06"/>
    <s v="TSBCRC"/>
    <s v="SR15"/>
    <n v="0.5"/>
    <n v="1000"/>
    <n v="1980"/>
    <n v="23"/>
    <e v="#N/A"/>
    <n v="23"/>
    <n v="23"/>
    <e v="#N/A"/>
    <e v="#N/A"/>
    <m/>
    <n v="0"/>
    <n v="23"/>
    <n v="0"/>
    <n v="0"/>
    <n v="25.76"/>
    <n v="0"/>
    <n v="0"/>
    <n v="0"/>
    <n v="0"/>
    <n v="0"/>
    <n v="0"/>
    <n v="0"/>
    <n v="0"/>
    <n v="0"/>
    <n v="0"/>
    <n v="0"/>
    <n v="0"/>
    <n v="0"/>
    <n v="0"/>
    <n v="0"/>
    <n v="0"/>
    <n v="0"/>
    <n v="0"/>
    <n v="0"/>
    <n v="0"/>
    <n v="0"/>
    <n v="0"/>
    <n v="0"/>
    <n v="0"/>
    <n v="0"/>
    <n v="0"/>
    <n v="0"/>
    <n v="0"/>
    <n v="0"/>
    <n v="0"/>
    <n v="0"/>
    <n v="0"/>
    <n v="0"/>
    <n v="0"/>
    <n v="0"/>
    <n v="0"/>
    <n v="0"/>
    <m/>
    <m/>
    <m/>
    <m/>
    <m/>
    <m/>
    <m/>
    <m/>
    <m/>
    <m/>
    <m/>
    <m/>
    <m/>
    <m/>
    <m/>
    <m/>
    <m/>
    <m/>
    <m/>
    <m/>
    <m/>
    <m/>
    <m/>
    <m/>
    <m/>
    <m/>
    <m/>
    <m/>
    <m/>
    <m/>
    <m/>
    <m/>
    <m/>
    <m/>
  </r>
  <r>
    <n v="742"/>
    <d v="2025-01-06T00:00:00"/>
    <s v="ZBTO"/>
    <n v="9518407392"/>
    <n v="4"/>
    <s v="9518407392-4"/>
    <m/>
    <s v="No Priority"/>
    <s v="Failed orders"/>
    <x v="1"/>
    <x v="1"/>
    <n v="2000"/>
    <m/>
    <x v="1"/>
    <m/>
    <m/>
    <s v="Tamil Nadu"/>
    <m/>
    <m/>
    <m/>
    <n v="116465"/>
    <s v="SRI BALAJI STEEL TRADERS"/>
    <n v="3239548"/>
    <s v="CRCA SHEET TATCRC SR16 0.400X900X2500"/>
    <s v=""/>
    <s v=""/>
    <m/>
    <m/>
    <s v="Narrow"/>
    <s v="C06"/>
    <s v="TATCRC"/>
    <s v="SR16"/>
    <n v="0.4"/>
    <n v="9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06T00:00:00"/>
    <s v="ZBTO"/>
    <n v="9518407392"/>
    <n v="5"/>
    <s v="9518407392-5"/>
    <m/>
    <s v="No Priority"/>
    <s v="Failed orders"/>
    <x v="1"/>
    <x v="1"/>
    <n v="2000"/>
    <m/>
    <x v="1"/>
    <s v="Mar"/>
    <m/>
    <s v="Tamil Nadu"/>
    <m/>
    <m/>
    <m/>
    <n v="116465"/>
    <s v="SRI BALAJI STEEL TRADERS"/>
    <n v="3239552"/>
    <s v="CRCA SHEET TATCRC SR16 0.400X1000X1980"/>
    <s v=""/>
    <s v=""/>
    <m/>
    <m/>
    <s v="Narrow"/>
    <s v="C06"/>
    <s v="TATCRC"/>
    <s v="SR16"/>
    <n v="0.4"/>
    <n v="1000"/>
    <n v="198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06T00:00:00"/>
    <s v="ZBTO"/>
    <n v="9518407392"/>
    <n v="7"/>
    <s v="9518407392-7"/>
    <m/>
    <s v="Mar'25"/>
    <s v="Released orders"/>
    <x v="1"/>
    <x v="1"/>
    <n v="2000"/>
    <m/>
    <x v="0"/>
    <s v="Mar"/>
    <m/>
    <s v="Tamil Nadu"/>
    <m/>
    <m/>
    <m/>
    <n v="116465"/>
    <s v="SRI BALAJI STEEL TRADERS"/>
    <n v="3240757"/>
    <s v="CRCA SHEET TSBCRC SR15 0.500X1000X2000"/>
    <s v=""/>
    <s v=""/>
    <m/>
    <m/>
    <s v="Narrow"/>
    <s v="C06"/>
    <s v="TSBCRC"/>
    <s v="SR15"/>
    <n v="0.5"/>
    <n v="1000"/>
    <n v="2000"/>
    <n v="20.99"/>
    <n v="0"/>
    <n v="20.99"/>
    <n v="20.99"/>
    <e v="#N/A"/>
    <e v="#N/A"/>
    <m/>
    <n v="0"/>
    <n v="20.99"/>
    <n v="21"/>
    <n v="0"/>
    <n v="23.508800000000001"/>
    <n v="0"/>
    <n v="0"/>
    <n v="0"/>
    <n v="0"/>
    <n v="0"/>
    <n v="0"/>
    <n v="0"/>
    <n v="0"/>
    <n v="0"/>
    <n v="0"/>
    <n v="0"/>
    <n v="0"/>
    <n v="0"/>
    <n v="0"/>
    <n v="0"/>
    <n v="0"/>
    <n v="0"/>
    <n v="0"/>
    <n v="0"/>
    <n v="0"/>
    <n v="0"/>
    <n v="0"/>
    <n v="0"/>
    <n v="0"/>
    <n v="21"/>
    <n v="0"/>
    <n v="0"/>
    <n v="0"/>
    <n v="0"/>
    <n v="21"/>
    <n v="0"/>
    <n v="0"/>
    <n v="0"/>
    <n v="0"/>
    <n v="0"/>
    <n v="0"/>
    <n v="21"/>
    <m/>
    <m/>
    <m/>
    <m/>
    <m/>
    <m/>
    <m/>
    <m/>
    <m/>
    <m/>
    <m/>
    <m/>
    <m/>
    <m/>
    <m/>
    <m/>
    <m/>
    <m/>
    <m/>
    <m/>
    <m/>
    <m/>
    <m/>
    <m/>
    <m/>
    <m/>
    <m/>
    <m/>
    <m/>
    <m/>
    <m/>
    <m/>
    <m/>
    <m/>
  </r>
  <r>
    <n v="742"/>
    <d v="2025-01-06T00:00:00"/>
    <s v="ZBTO"/>
    <n v="9518407842"/>
    <n v="1"/>
    <s v="9518407842-1"/>
    <m/>
    <s v="No Priority"/>
    <s v="Failed orders"/>
    <x v="1"/>
    <x v="1"/>
    <n v="2000"/>
    <m/>
    <x v="1"/>
    <s v="Mar"/>
    <m/>
    <s v="Tamil Nadu"/>
    <m/>
    <m/>
    <m/>
    <n v="116465"/>
    <s v="SRI BALAJI STEEL TRADERS"/>
    <n v="3239408"/>
    <s v="CRCA SHEET TATCRC SR16 0.300X900X2500"/>
    <s v=""/>
    <s v=""/>
    <m/>
    <m/>
    <s v="Narrow"/>
    <s v="C06"/>
    <s v="TATCRC"/>
    <s v="SR16"/>
    <n v="0.3"/>
    <n v="9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06T00:00:00"/>
    <s v="ZBTO"/>
    <n v="9518407842"/>
    <n v="2"/>
    <s v="9518407842-2"/>
    <m/>
    <s v="No Priority"/>
    <s v="Failed orders"/>
    <x v="1"/>
    <x v="1"/>
    <n v="2000"/>
    <m/>
    <x v="1"/>
    <m/>
    <m/>
    <s v="Tamil Nadu"/>
    <m/>
    <m/>
    <m/>
    <n v="116465"/>
    <s v="SRI BALAJI STEEL TRADERS"/>
    <n v="3239548"/>
    <s v="CRCA SHEET TATCRC SR16 0.400X900X2500"/>
    <s v=""/>
    <s v=""/>
    <m/>
    <m/>
    <s v="Narrow"/>
    <s v="C06"/>
    <s v="TATCRC"/>
    <s v="SR16"/>
    <n v="0.4"/>
    <n v="9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5T00:00:00"/>
    <s v="ZBTO"/>
    <n v="9518495161"/>
    <n v="1"/>
    <s v="9518495161-1"/>
    <m/>
    <s v="No Priority"/>
    <s v="Failed orders"/>
    <x v="1"/>
    <x v="1"/>
    <n v="2000"/>
    <m/>
    <x v="1"/>
    <m/>
    <m/>
    <s v="Jharkhand"/>
    <m/>
    <m/>
    <m/>
    <n v="165053"/>
    <s v="SUDISA ENTERPRISES (P) LTD."/>
    <n v="3239567"/>
    <s v="CRCA SHEET TATCRC SR16 0.450X1000X2500"/>
    <s v=""/>
    <s v=""/>
    <m/>
    <m/>
    <s v="Narrow"/>
    <s v="C06"/>
    <s v="TATCRC"/>
    <s v="SR16"/>
    <n v="0.45"/>
    <n v="1000"/>
    <n v="2500"/>
    <n v="21"/>
    <e v="#N/A"/>
    <n v="21"/>
    <n v="21"/>
    <e v="#N/A"/>
    <e v="#N/A"/>
    <m/>
    <n v="0"/>
    <n v="21"/>
    <n v="0"/>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1-24T00:00:00"/>
    <s v="ZBTO"/>
    <n v="9518456733"/>
    <n v="13"/>
    <s v="9518456733-13"/>
    <m/>
    <s v="Feb'25"/>
    <s v="Released orders"/>
    <x v="1"/>
    <x v="1"/>
    <n v="2000"/>
    <m/>
    <x v="0"/>
    <s v="Mar"/>
    <m/>
    <m/>
    <s v="East"/>
    <s v="URLA"/>
    <m/>
    <n v="139336"/>
    <s v="PASA ASSOCIATES PRIVATE LIMITED"/>
    <n v="3240855"/>
    <s v="CRCA SHEET TSBCRC SR15 1.600X1250X2500"/>
    <s v=" "/>
    <m/>
    <n v="0"/>
    <n v="0"/>
    <s v="Wider"/>
    <s v="C06"/>
    <s v="TSBCRC"/>
    <s v="SR15"/>
    <n v="1.6"/>
    <n v="1250"/>
    <n v="2500"/>
    <n v="30"/>
    <n v="0"/>
    <n v="30"/>
    <n v="30"/>
    <n v="0"/>
    <n v="30"/>
    <m/>
    <m/>
    <n v="7.1999999999999993"/>
    <n v="30"/>
    <n v="0"/>
    <n v="8.0640000000000001"/>
    <n v="0"/>
    <n v="0"/>
    <n v="0"/>
    <n v="0"/>
    <n v="0"/>
    <n v="0"/>
    <n v="0"/>
    <n v="0"/>
    <n v="0"/>
    <n v="0"/>
    <n v="0"/>
    <n v="0"/>
    <n v="0"/>
    <n v="0"/>
    <n v="0"/>
    <n v="22.8"/>
    <n v="0"/>
    <n v="0"/>
    <n v="22.8"/>
    <n v="22.8"/>
    <n v="0"/>
    <n v="22.8"/>
    <n v="0"/>
    <n v="0"/>
    <n v="30"/>
    <n v="0"/>
    <n v="0"/>
    <n v="0"/>
    <n v="0"/>
    <n v="30"/>
    <n v="0"/>
    <n v="0"/>
    <n v="0"/>
    <n v="0"/>
    <n v="0"/>
    <n v="0"/>
    <n v="30"/>
    <n v="0"/>
    <n v="0"/>
    <n v="0"/>
    <n v="0"/>
    <n v="0"/>
    <n v="0"/>
    <m/>
    <m/>
    <m/>
    <m/>
    <m/>
    <m/>
    <m/>
    <m/>
    <m/>
    <s v="1"/>
    <s v="1"/>
    <s v="1"/>
    <s v="1"/>
    <s v="0"/>
    <m/>
    <m/>
    <m/>
    <m/>
    <m/>
    <s v="Material diverted"/>
    <m/>
    <m/>
    <m/>
    <m/>
    <m/>
    <m/>
    <m/>
    <m/>
  </r>
  <r>
    <n v="742"/>
    <d v="2025-02-05T00:00:00"/>
    <s v="ZBTO"/>
    <n v="9518495161"/>
    <n v="3"/>
    <s v="9518495161-3"/>
    <m/>
    <s v="Mar'25"/>
    <s v="Released orders"/>
    <x v="1"/>
    <x v="1"/>
    <n v="2000"/>
    <m/>
    <x v="0"/>
    <s v="Mar"/>
    <m/>
    <s v="Jharkhand"/>
    <m/>
    <m/>
    <m/>
    <n v="165053"/>
    <s v="SUDISA ENTERPRISES (P) LTD."/>
    <n v="3410101"/>
    <s v="CRCA SHEET TSBCRC SR15 0.750X1000X2500"/>
    <s v=""/>
    <s v=""/>
    <m/>
    <m/>
    <s v="Narrow"/>
    <s v="C06"/>
    <s v="TSBCRC"/>
    <s v="SR15"/>
    <n v="0.75"/>
    <n v="1000"/>
    <n v="2500"/>
    <n v="21"/>
    <n v="0"/>
    <n v="21"/>
    <n v="21"/>
    <e v="#N/A"/>
    <e v="#N/A"/>
    <m/>
    <n v="0"/>
    <n v="21"/>
    <n v="21"/>
    <n v="0"/>
    <n v="23.520000000000003"/>
    <n v="0"/>
    <n v="0"/>
    <n v="0"/>
    <n v="0"/>
    <n v="0"/>
    <n v="0"/>
    <n v="0"/>
    <n v="0"/>
    <n v="0"/>
    <n v="0"/>
    <n v="0"/>
    <n v="0"/>
    <n v="0"/>
    <n v="0"/>
    <n v="0"/>
    <n v="0"/>
    <n v="0"/>
    <n v="0"/>
    <n v="0"/>
    <n v="0"/>
    <n v="0"/>
    <n v="0"/>
    <n v="0"/>
    <n v="0"/>
    <n v="21"/>
    <n v="0"/>
    <n v="0"/>
    <n v="0"/>
    <n v="0"/>
    <n v="21"/>
    <n v="0"/>
    <n v="0"/>
    <n v="0"/>
    <n v="0"/>
    <n v="0"/>
    <n v="0"/>
    <n v="21"/>
    <m/>
    <m/>
    <m/>
    <m/>
    <m/>
    <m/>
    <m/>
    <m/>
    <m/>
    <m/>
    <m/>
    <m/>
    <m/>
    <m/>
    <m/>
    <m/>
    <m/>
    <m/>
    <m/>
    <m/>
    <m/>
    <m/>
    <m/>
    <m/>
    <m/>
    <m/>
    <m/>
    <m/>
    <m/>
    <m/>
    <m/>
    <m/>
    <m/>
    <m/>
  </r>
  <r>
    <n v="743"/>
    <d v="2025-02-06T00:00:00"/>
    <s v="ZBTO"/>
    <n v="9518497512"/>
    <n v="2"/>
    <s v="9518497512-2"/>
    <m/>
    <s v="No Priority"/>
    <s v="Failed orders"/>
    <x v="2"/>
    <x v="0"/>
    <n v="2000"/>
    <m/>
    <x v="1"/>
    <m/>
    <m/>
    <s v="Jharkhand"/>
    <m/>
    <m/>
    <m/>
    <n v="165053"/>
    <s v="SUDISA ENTERPRISES (P) LTD."/>
    <n v="1851836"/>
    <s v="GP COIL SOFT-TSBXGP-N1GP-0.3X900"/>
    <s v=""/>
    <s v=""/>
    <m/>
    <m/>
    <s v="Narrow"/>
    <s v="C02"/>
    <s v="TSBXGP"/>
    <s v="N1GP"/>
    <n v="0.3"/>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2-06T00:00:00"/>
    <s v="ZBTO"/>
    <n v="9518497512"/>
    <n v="4"/>
    <s v="9518497512-4"/>
    <m/>
    <s v="No Priority"/>
    <s v="Failed orders"/>
    <x v="2"/>
    <x v="0"/>
    <n v="2000"/>
    <m/>
    <x v="1"/>
    <m/>
    <m/>
    <s v="Jharkhand"/>
    <m/>
    <m/>
    <m/>
    <n v="165053"/>
    <s v="SUDISA ENTERPRISES (P) LTD."/>
    <n v="1852246"/>
    <s v="GP COIL SOFT-TSBXGP-N1GP-0.5X900"/>
    <s v=""/>
    <s v=""/>
    <m/>
    <m/>
    <s v="Narrow"/>
    <s v="C02"/>
    <s v="TSBXGP"/>
    <s v="N1GP"/>
    <n v="0.5"/>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9T00:00:00"/>
    <s v="ZBTO"/>
    <n v="9518505599"/>
    <n v="10"/>
    <s v="9518505599-10"/>
    <m/>
    <s v="No Priority"/>
    <s v="Failed orders"/>
    <x v="1"/>
    <x v="3"/>
    <n v="2000"/>
    <m/>
    <x v="1"/>
    <m/>
    <m/>
    <s v="Telangana"/>
    <m/>
    <m/>
    <m/>
    <n v="939422"/>
    <s v="VIJAY VENKAT STEELS PRIVATE LI"/>
    <n v="2390540"/>
    <s v="CRCA COIL TATXXD AU03 1.800X1250"/>
    <s v=""/>
    <s v=""/>
    <m/>
    <m/>
    <s v="Wider"/>
    <s v="C01"/>
    <s v="TATXXD"/>
    <s v="AU03"/>
    <n v="1.8"/>
    <n v="1250"/>
    <n v="0"/>
    <n v="1E-3"/>
    <e v="#N/A"/>
    <n v="1E-3"/>
    <n v="1E-3"/>
    <e v="#N/A"/>
    <e v="#N/A"/>
    <m/>
    <n v="0"/>
    <n v="0"/>
    <n v="0"/>
    <n v="0"/>
    <n v="0"/>
    <n v="0"/>
    <n v="0"/>
    <n v="0"/>
    <n v="0"/>
    <n v="0"/>
    <n v="0"/>
    <n v="0"/>
    <n v="0"/>
    <n v="0"/>
    <n v="0"/>
    <n v="0"/>
    <n v="0"/>
    <n v="0"/>
    <n v="0"/>
    <n v="0"/>
    <n v="0"/>
    <n v="0"/>
    <n v="0"/>
    <n v="0"/>
    <n v="0"/>
    <n v="0"/>
    <n v="0"/>
    <n v="0"/>
    <n v="0"/>
    <n v="0"/>
    <n v="0"/>
    <n v="0"/>
    <n v="0"/>
    <n v="0"/>
    <n v="0"/>
    <n v="0"/>
    <n v="0"/>
    <n v="0"/>
    <n v="0"/>
    <n v="0"/>
    <n v="0"/>
    <n v="0"/>
    <m/>
    <m/>
    <m/>
    <m/>
    <m/>
    <m/>
    <m/>
    <m/>
    <m/>
    <m/>
    <m/>
    <m/>
    <m/>
    <m/>
    <m/>
    <m/>
    <m/>
    <m/>
    <m/>
    <m/>
    <m/>
    <m/>
    <m/>
    <m/>
    <m/>
    <m/>
    <m/>
    <m/>
    <m/>
    <m/>
    <m/>
    <m/>
    <m/>
    <m/>
  </r>
  <r>
    <n v="742"/>
    <d v="2025-02-20T00:00:00"/>
    <s v="ZBTO"/>
    <n v="9518535833"/>
    <n v="19"/>
    <s v="9518535833-19"/>
    <m/>
    <s v="Mar'25"/>
    <s v="Released orders"/>
    <x v="1"/>
    <x v="3"/>
    <n v="2000"/>
    <m/>
    <x v="0"/>
    <s v="Mar"/>
    <m/>
    <s v="Tamil Nadu"/>
    <m/>
    <m/>
    <m/>
    <n v="938550"/>
    <s v="BASEER AND CO"/>
    <n v="1884117"/>
    <s v="CRCA COIL-TATXXD-AU03-2X1250"/>
    <s v=""/>
    <s v=""/>
    <m/>
    <m/>
    <s v="Wider"/>
    <s v="C01"/>
    <s v="TATXXD"/>
    <s v="AU03"/>
    <n v="2"/>
    <n v="1250"/>
    <n v="0"/>
    <n v="29"/>
    <n v="0"/>
    <n v="29"/>
    <n v="29"/>
    <e v="#N/A"/>
    <e v="#N/A"/>
    <m/>
    <n v="0"/>
    <n v="29"/>
    <n v="29"/>
    <n v="0"/>
    <n v="32.480000000000004"/>
    <n v="0"/>
    <n v="0"/>
    <n v="0"/>
    <n v="0"/>
    <n v="0"/>
    <n v="0"/>
    <n v="0"/>
    <n v="0"/>
    <n v="0"/>
    <n v="0"/>
    <n v="0"/>
    <n v="0"/>
    <n v="0"/>
    <n v="0"/>
    <n v="0"/>
    <n v="0"/>
    <n v="0"/>
    <n v="0"/>
    <n v="0"/>
    <n v="0"/>
    <n v="0"/>
    <n v="0"/>
    <n v="0"/>
    <n v="0"/>
    <n v="29"/>
    <n v="0"/>
    <n v="29"/>
    <n v="0"/>
    <n v="0"/>
    <n v="0"/>
    <n v="29"/>
    <n v="0"/>
    <n v="0"/>
    <n v="29"/>
    <n v="0"/>
    <n v="0"/>
    <n v="0"/>
    <m/>
    <m/>
    <m/>
    <m/>
    <m/>
    <m/>
    <m/>
    <m/>
    <m/>
    <m/>
    <m/>
    <m/>
    <m/>
    <m/>
    <m/>
    <m/>
    <m/>
    <m/>
    <m/>
    <m/>
    <m/>
    <m/>
    <m/>
    <m/>
    <m/>
    <m/>
    <m/>
    <m/>
    <m/>
    <m/>
    <m/>
    <m/>
    <m/>
    <m/>
  </r>
  <r>
    <n v="743"/>
    <d v="2024-12-10T00:00:00"/>
    <s v="ZBTO"/>
    <n v="9518333172"/>
    <n v="1"/>
    <s v="9518333172-1"/>
    <m/>
    <s v="No Priority"/>
    <s v="Released orders"/>
    <x v="3"/>
    <x v="7"/>
    <n v="1000"/>
    <m/>
    <x v="1"/>
    <m/>
    <m/>
    <s v="Jharkhand"/>
    <m/>
    <m/>
    <m/>
    <n v="942284"/>
    <s v="TATA BLUESCOPE STEEL PRIVATE L"/>
    <n v="3909187"/>
    <s v="GL COIL HARD  Y550GL M306 0.350X1000"/>
    <n v="70"/>
    <s v=""/>
    <m/>
    <m/>
    <s v="Narrow"/>
    <s v="B04"/>
    <s v="Y550GL"/>
    <s v="M306"/>
    <n v="0.35"/>
    <n v="1000"/>
    <n v="0"/>
    <n v="161"/>
    <n v="0"/>
    <n v="161"/>
    <n v="161"/>
    <e v="#N/A"/>
    <e v="#N/A"/>
    <m/>
    <m/>
    <n v="161"/>
    <n v="161"/>
    <n v="0"/>
    <n v="180.32000000000002"/>
    <n v="0"/>
    <n v="0"/>
    <n v="0"/>
    <n v="0"/>
    <n v="0"/>
    <n v="0"/>
    <n v="0"/>
    <n v="0"/>
    <n v="0"/>
    <n v="0"/>
    <n v="0"/>
    <n v="0"/>
    <n v="0"/>
    <n v="0"/>
    <n v="0"/>
    <n v="0"/>
    <n v="0"/>
    <n v="0"/>
    <n v="0"/>
    <n v="0"/>
    <n v="0"/>
    <n v="0"/>
    <n v="0"/>
    <n v="0"/>
    <n v="0"/>
    <n v="0"/>
    <n v="0"/>
    <n v="0"/>
    <n v="0"/>
    <n v="0"/>
    <n v="0"/>
    <n v="0"/>
    <n v="0"/>
    <n v="0"/>
    <n v="0"/>
    <n v="0"/>
    <n v="0"/>
    <m/>
    <m/>
    <m/>
    <m/>
    <m/>
    <m/>
    <m/>
    <m/>
    <m/>
    <m/>
    <m/>
    <m/>
    <m/>
    <m/>
    <m/>
    <m/>
    <m/>
    <m/>
    <m/>
    <m/>
    <m/>
    <m/>
    <m/>
    <m/>
    <m/>
    <m/>
    <m/>
    <m/>
    <m/>
    <m/>
    <m/>
    <m/>
    <m/>
    <m/>
  </r>
  <r>
    <n v="743"/>
    <d v="2025-01-23T00:00:00"/>
    <s v="ZBTO"/>
    <n v="9518453367"/>
    <n v="1"/>
    <s v="9518453367-1"/>
    <m/>
    <s v="No Priority"/>
    <s v="Released orders"/>
    <x v="3"/>
    <x v="7"/>
    <n v="1000"/>
    <m/>
    <x v="1"/>
    <m/>
    <m/>
    <s v="Jharkhand"/>
    <m/>
    <m/>
    <m/>
    <n v="942284"/>
    <s v="TATA BLUESCOPE STEEL PRIVATE L"/>
    <n v="3909187"/>
    <s v="GL COIL HARD  Y550GL M306 0.350X1000"/>
    <n v="70"/>
    <s v=""/>
    <m/>
    <m/>
    <s v="Narrow"/>
    <s v="B04"/>
    <s v="Y550GL"/>
    <s v="M306"/>
    <n v="0.35"/>
    <n v="1000"/>
    <n v="0"/>
    <n v="23"/>
    <n v="0"/>
    <n v="23"/>
    <n v="23"/>
    <e v="#N/A"/>
    <e v="#N/A"/>
    <m/>
    <m/>
    <n v="23"/>
    <n v="23"/>
    <n v="0"/>
    <n v="25.76"/>
    <n v="0"/>
    <n v="0"/>
    <n v="0"/>
    <n v="0"/>
    <n v="0"/>
    <n v="0"/>
    <n v="0"/>
    <n v="0"/>
    <n v="0"/>
    <n v="0"/>
    <n v="0"/>
    <n v="0"/>
    <n v="0"/>
    <n v="0"/>
    <n v="0"/>
    <n v="0"/>
    <n v="0"/>
    <n v="0"/>
    <n v="0"/>
    <n v="0"/>
    <n v="0"/>
    <n v="0"/>
    <n v="0"/>
    <n v="0"/>
    <n v="23"/>
    <n v="0"/>
    <n v="0"/>
    <n v="0"/>
    <n v="0"/>
    <n v="23"/>
    <n v="0"/>
    <n v="0"/>
    <n v="0"/>
    <n v="0"/>
    <n v="0"/>
    <n v="0"/>
    <n v="23"/>
    <m/>
    <m/>
    <m/>
    <m/>
    <m/>
    <m/>
    <m/>
    <m/>
    <m/>
    <m/>
    <m/>
    <m/>
    <m/>
    <m/>
    <m/>
    <m/>
    <m/>
    <m/>
    <m/>
    <m/>
    <m/>
    <m/>
    <m/>
    <m/>
    <m/>
    <m/>
    <m/>
    <m/>
    <m/>
    <m/>
    <m/>
    <m/>
    <m/>
    <m/>
  </r>
  <r>
    <n v="744"/>
    <d v="2025-02-20T00:00:00"/>
    <s v="ZBTO"/>
    <n v="9518536078"/>
    <n v="1"/>
    <s v="9518536078-1"/>
    <m/>
    <s v="No Priority"/>
    <s v="Failed orders"/>
    <x v="4"/>
    <x v="7"/>
    <n v="1000"/>
    <m/>
    <x v="1"/>
    <m/>
    <m/>
    <s v="Jharkhand"/>
    <m/>
    <m/>
    <m/>
    <n v="941597"/>
    <s v="TATA BLUESCOPE STEEL PRIVATE L"/>
    <n v="1633727"/>
    <s v="PPGL C Y300PL SPL8 0.42BMT(0.50TPT)X1220"/>
    <n v="150"/>
    <s v="RAL 9002 TSL 142A"/>
    <m/>
    <m/>
    <s v="Wider"/>
    <s v="B17"/>
    <s v="Y300PL"/>
    <s v="SPL8"/>
    <n v="0.42"/>
    <n v="1220"/>
    <n v="0"/>
    <n v="28"/>
    <e v="#N/A"/>
    <n v="28"/>
    <n v="28"/>
    <n v="0"/>
    <n v="28"/>
    <m/>
    <n v="0"/>
    <n v="28"/>
    <n v="0"/>
    <n v="0"/>
    <n v="31.360000000000003"/>
    <n v="0"/>
    <n v="0"/>
    <n v="0"/>
    <n v="0"/>
    <n v="0"/>
    <n v="0"/>
    <n v="0"/>
    <n v="0"/>
    <n v="0"/>
    <n v="0"/>
    <n v="0"/>
    <n v="0"/>
    <n v="0"/>
    <n v="0"/>
    <n v="0"/>
    <n v="0"/>
    <n v="0"/>
    <n v="0"/>
    <n v="0"/>
    <n v="0"/>
    <n v="0"/>
    <n v="0"/>
    <n v="0"/>
    <n v="0"/>
    <n v="0"/>
    <n v="0"/>
    <n v="0"/>
    <n v="0"/>
    <n v="0"/>
    <n v="0"/>
    <n v="0"/>
    <n v="0"/>
    <n v="0"/>
    <n v="0"/>
    <n v="0"/>
    <n v="0"/>
    <n v="0"/>
    <m/>
    <m/>
    <m/>
    <m/>
    <m/>
    <m/>
    <m/>
    <m/>
    <m/>
    <m/>
    <m/>
    <m/>
    <m/>
    <m/>
    <m/>
    <m/>
    <m/>
    <m/>
    <m/>
    <m/>
    <m/>
    <m/>
    <m/>
    <m/>
    <m/>
    <m/>
    <m/>
    <m/>
    <m/>
    <m/>
    <m/>
    <m/>
    <m/>
    <m/>
  </r>
  <r>
    <n v="742"/>
    <d v="2025-02-07T00:00:00"/>
    <s v="ZBTO"/>
    <n v="9518500267"/>
    <n v="5"/>
    <s v="9518500267-5"/>
    <m/>
    <s v="Mar'25"/>
    <s v="Released orders"/>
    <x v="1"/>
    <x v="15"/>
    <s v="2000-BPRS"/>
    <m/>
    <x v="0"/>
    <s v="Mar"/>
    <m/>
    <m/>
    <m/>
    <s v="YESHWANTHPURA"/>
    <m/>
    <n v="939268"/>
    <s v="TATA STEEL DOWNSTREAM PRODUCTS LIMI"/>
    <n v="2420610"/>
    <s v="CRCA COIL TATXXD AH03 1.950X1250"/>
    <s v=" "/>
    <s v=""/>
    <n v="2"/>
    <n v="26"/>
    <s v="Wider"/>
    <s v="C01"/>
    <s v="TATXXD"/>
    <s v="AH03"/>
    <n v="1.95"/>
    <n v="1250"/>
    <n v="0"/>
    <n v="87"/>
    <n v="0"/>
    <n v="87"/>
    <n v="87"/>
    <n v="0"/>
    <n v="87"/>
    <m/>
    <m/>
    <n v="87"/>
    <n v="87"/>
    <n v="0"/>
    <n v="97.440000000000012"/>
    <n v="0"/>
    <n v="0"/>
    <n v="0"/>
    <n v="0"/>
    <n v="0"/>
    <n v="0"/>
    <n v="0"/>
    <n v="0"/>
    <n v="0"/>
    <n v="0"/>
    <n v="0"/>
    <n v="0"/>
    <n v="0"/>
    <n v="0"/>
    <n v="0"/>
    <n v="0"/>
    <n v="0"/>
    <n v="0"/>
    <n v="0"/>
    <n v="0"/>
    <n v="0"/>
    <n v="0"/>
    <n v="0"/>
    <n v="0"/>
    <n v="87"/>
    <n v="0"/>
    <n v="0"/>
    <n v="0"/>
    <n v="0"/>
    <n v="87"/>
    <n v="0"/>
    <n v="0"/>
    <n v="0"/>
    <n v="0"/>
    <n v="0"/>
    <n v="0"/>
    <n v="87"/>
    <m/>
    <m/>
    <m/>
    <m/>
    <m/>
    <m/>
    <m/>
    <m/>
    <m/>
    <m/>
    <m/>
    <m/>
    <m/>
    <m/>
    <m/>
    <m/>
    <m/>
    <m/>
    <m/>
    <m/>
    <m/>
    <m/>
    <m/>
    <m/>
    <m/>
    <m/>
    <m/>
    <m/>
    <m/>
    <m/>
    <m/>
    <m/>
    <m/>
    <m/>
  </r>
  <r>
    <n v="742"/>
    <d v="2025-01-22T00:00:00"/>
    <s v="ZBTO"/>
    <n v="9518451356"/>
    <n v="17"/>
    <s v="9518451356-17"/>
    <m/>
    <s v="No Priority"/>
    <s v="Released orders"/>
    <x v="1"/>
    <x v="15"/>
    <s v="2000-BPRS"/>
    <m/>
    <x v="1"/>
    <s v="Mar"/>
    <m/>
    <m/>
    <s v="South"/>
    <s v="YESHWANTHPURA"/>
    <m/>
    <n v="932244"/>
    <s v="DURGA TRADERS"/>
    <n v="2420525"/>
    <s v="CRCA COIL TATXXD AH03 2X1250"/>
    <s v=" "/>
    <s v=""/>
    <n v="2"/>
    <n v="26"/>
    <s v="Wider"/>
    <s v="C01"/>
    <s v="TATXXD"/>
    <s v="AH03"/>
    <n v="2"/>
    <n v="1250"/>
    <n v="0"/>
    <n v="58"/>
    <n v="50.38"/>
    <n v="33.81"/>
    <n v="7.61"/>
    <n v="0.4"/>
    <n v="0"/>
    <m/>
    <m/>
    <n v="6.3800000000000026"/>
    <n v="7.61"/>
    <n v="0"/>
    <n v="0"/>
    <n v="0"/>
    <n v="0"/>
    <n v="0"/>
    <n v="0"/>
    <n v="0"/>
    <n v="0"/>
    <n v="0"/>
    <n v="0"/>
    <n v="0"/>
    <n v="0"/>
    <n v="0"/>
    <n v="0"/>
    <n v="27.43"/>
    <n v="0"/>
    <n v="0"/>
    <n v="0"/>
    <n v="0"/>
    <n v="0"/>
    <n v="27.43"/>
    <n v="27.43"/>
    <n v="0"/>
    <n v="27.43"/>
    <n v="0.4"/>
    <n v="0"/>
    <n v="0"/>
    <n v="0"/>
    <n v="0"/>
    <n v="0"/>
    <n v="0"/>
    <n v="0"/>
    <n v="0"/>
    <n v="0"/>
    <n v="0"/>
    <n v="0"/>
    <n v="0"/>
    <n v="0"/>
    <n v="0"/>
    <n v="0"/>
    <n v="0"/>
    <n v="0"/>
    <n v="0"/>
    <n v="0"/>
    <n v="0"/>
    <m/>
    <m/>
    <m/>
    <m/>
    <m/>
    <m/>
    <m/>
    <m/>
    <m/>
    <s v="1"/>
    <s v="1"/>
    <s v="1"/>
    <s v="1"/>
    <s v="1"/>
    <m/>
    <m/>
    <m/>
    <m/>
    <m/>
    <m/>
    <m/>
    <m/>
    <m/>
    <m/>
    <m/>
    <m/>
    <m/>
    <m/>
  </r>
  <r>
    <n v="742"/>
    <d v="2025-02-19T00:00:00"/>
    <s v="ZBTO"/>
    <n v="9518533572"/>
    <n v="2"/>
    <s v="9518533572-2"/>
    <m/>
    <s v="Mar'25"/>
    <s v="Released orders"/>
    <x v="1"/>
    <x v="15"/>
    <s v="2000-BPRS"/>
    <m/>
    <x v="0"/>
    <s v="Mar"/>
    <m/>
    <m/>
    <m/>
    <s v="YESHWANTHPURA"/>
    <m/>
    <n v="939268"/>
    <s v="TATA STEEL DOWNSTREAM PRODUCTS LIMI"/>
    <n v="2420525"/>
    <s v="CRCA COIL TATXXD AH03 2X1250"/>
    <s v=" "/>
    <s v=""/>
    <n v="2"/>
    <n v="26"/>
    <s v="Wider"/>
    <s v="C01"/>
    <s v="TATXXD"/>
    <s v="AH03"/>
    <n v="2"/>
    <n v="1250"/>
    <n v="0"/>
    <n v="29"/>
    <n v="0"/>
    <n v="29"/>
    <n v="29"/>
    <n v="0"/>
    <n v="29"/>
    <n v="29"/>
    <m/>
    <n v="29"/>
    <n v="29"/>
    <n v="0"/>
    <n v="32.480000000000004"/>
    <n v="0"/>
    <n v="0"/>
    <n v="0"/>
    <n v="0"/>
    <n v="0"/>
    <n v="0"/>
    <n v="0"/>
    <n v="0"/>
    <n v="0"/>
    <n v="0"/>
    <n v="0"/>
    <n v="0"/>
    <n v="0"/>
    <n v="0"/>
    <n v="0"/>
    <n v="0"/>
    <n v="0"/>
    <n v="0"/>
    <n v="0"/>
    <n v="0"/>
    <n v="0"/>
    <n v="0"/>
    <n v="0"/>
    <n v="0"/>
    <n v="29"/>
    <n v="0"/>
    <n v="0"/>
    <n v="0"/>
    <n v="0"/>
    <n v="29"/>
    <n v="0"/>
    <n v="0"/>
    <n v="0"/>
    <n v="0"/>
    <n v="0"/>
    <n v="0"/>
    <n v="29"/>
    <m/>
    <m/>
    <m/>
    <m/>
    <m/>
    <m/>
    <m/>
    <m/>
    <m/>
    <m/>
    <m/>
    <m/>
    <m/>
    <m/>
    <m/>
    <m/>
    <m/>
    <m/>
    <m/>
    <m/>
    <m/>
    <m/>
    <m/>
    <m/>
    <m/>
    <m/>
    <m/>
    <m/>
    <m/>
    <m/>
    <m/>
    <m/>
    <m/>
    <m/>
  </r>
  <r>
    <n v="742"/>
    <d v="2025-02-07T00:00:00"/>
    <s v="ZBTO"/>
    <n v="9518500199"/>
    <n v="4"/>
    <s v="9518500199-4"/>
    <m/>
    <s v="No Priority"/>
    <s v="Released orders"/>
    <x v="1"/>
    <x v="15"/>
    <s v="2000-BPRS"/>
    <m/>
    <x v="1"/>
    <s v="Mar"/>
    <m/>
    <m/>
    <m/>
    <s v="YESHWANTHPURA"/>
    <m/>
    <n v="932244"/>
    <s v="DURGA TRADERS"/>
    <n v="2420525"/>
    <s v="CRCA COIL TATXXD AH03 2X1250"/>
    <s v=" "/>
    <s v=""/>
    <n v="2"/>
    <n v="26"/>
    <s v="Wider"/>
    <s v="C01"/>
    <s v="TATXXD"/>
    <s v="AH03"/>
    <n v="2"/>
    <n v="1250"/>
    <n v="0"/>
    <n v="145"/>
    <e v="#N/A"/>
    <n v="145"/>
    <n v="145"/>
    <n v="0"/>
    <n v="145"/>
    <m/>
    <m/>
    <n v="145"/>
    <n v="0"/>
    <n v="0"/>
    <n v="162.4"/>
    <n v="0"/>
    <n v="0"/>
    <n v="0"/>
    <n v="0"/>
    <n v="0"/>
    <n v="0"/>
    <n v="0"/>
    <n v="0"/>
    <n v="0"/>
    <n v="0"/>
    <n v="0"/>
    <n v="0"/>
    <n v="0"/>
    <n v="0"/>
    <n v="0"/>
    <n v="0"/>
    <n v="0"/>
    <n v="0"/>
    <n v="0"/>
    <n v="0"/>
    <n v="0"/>
    <n v="0"/>
    <n v="0"/>
    <n v="0"/>
    <n v="0"/>
    <n v="0"/>
    <n v="0"/>
    <n v="0"/>
    <n v="0"/>
    <n v="0"/>
    <n v="0"/>
    <n v="0"/>
    <n v="0"/>
    <n v="0"/>
    <n v="0"/>
    <n v="0"/>
    <n v="0"/>
    <m/>
    <m/>
    <m/>
    <m/>
    <m/>
    <m/>
    <m/>
    <m/>
    <m/>
    <m/>
    <m/>
    <m/>
    <m/>
    <m/>
    <m/>
    <m/>
    <m/>
    <m/>
    <m/>
    <m/>
    <m/>
    <m/>
    <m/>
    <m/>
    <m/>
    <m/>
    <m/>
    <m/>
    <m/>
    <m/>
    <m/>
    <m/>
    <m/>
    <m/>
  </r>
  <r>
    <n v="742"/>
    <d v="2025-02-07T00:00:00"/>
    <s v="ZBTO"/>
    <n v="9518500199"/>
    <n v="5"/>
    <s v="9518500199-5"/>
    <m/>
    <s v="No Priority"/>
    <s v="Released orders"/>
    <x v="1"/>
    <x v="15"/>
    <s v="2000-BPRS"/>
    <m/>
    <x v="1"/>
    <m/>
    <m/>
    <m/>
    <m/>
    <s v="YESHWANTHPURA"/>
    <m/>
    <n v="932244"/>
    <s v="DURGA TRADERS"/>
    <n v="2420615"/>
    <s v="CRCA COIL TATXXD AH03 2.300X1250"/>
    <s v=" "/>
    <s v=""/>
    <n v="2"/>
    <n v="26"/>
    <s v="Wider"/>
    <s v="C01"/>
    <s v="TATXXD"/>
    <s v="AH03"/>
    <n v="2.2999999999999998"/>
    <n v="1250"/>
    <n v="0"/>
    <n v="29"/>
    <n v="0"/>
    <n v="29"/>
    <n v="29"/>
    <n v="0"/>
    <n v="29"/>
    <m/>
    <m/>
    <n v="29"/>
    <n v="29"/>
    <n v="0"/>
    <n v="32.480000000000004"/>
    <n v="0"/>
    <n v="0"/>
    <n v="0"/>
    <n v="0"/>
    <n v="0"/>
    <n v="0"/>
    <n v="0"/>
    <n v="0"/>
    <n v="0"/>
    <n v="0"/>
    <n v="0"/>
    <n v="0"/>
    <n v="0"/>
    <n v="0"/>
    <n v="0"/>
    <n v="0"/>
    <n v="0"/>
    <n v="0"/>
    <n v="0"/>
    <n v="0"/>
    <n v="0"/>
    <n v="0"/>
    <n v="0"/>
    <n v="0"/>
    <n v="0"/>
    <n v="0"/>
    <n v="0"/>
    <n v="0"/>
    <n v="0"/>
    <n v="0"/>
    <n v="0"/>
    <n v="0"/>
    <n v="0"/>
    <n v="0"/>
    <n v="0"/>
    <n v="0"/>
    <n v="0"/>
    <m/>
    <m/>
    <m/>
    <m/>
    <m/>
    <m/>
    <m/>
    <m/>
    <m/>
    <m/>
    <m/>
    <m/>
    <m/>
    <m/>
    <m/>
    <m/>
    <m/>
    <m/>
    <m/>
    <m/>
    <m/>
    <m/>
    <m/>
    <m/>
    <m/>
    <m/>
    <m/>
    <m/>
    <m/>
    <m/>
    <m/>
    <m/>
    <m/>
    <m/>
  </r>
  <r>
    <n v="742"/>
    <d v="2025-02-07T00:00:00"/>
    <s v="ZBTO"/>
    <n v="9518500267"/>
    <n v="6"/>
    <s v="9518500267-6"/>
    <m/>
    <s v="Mar'25"/>
    <s v="Released orders"/>
    <x v="1"/>
    <x v="15"/>
    <s v="2000-BPRS"/>
    <m/>
    <x v="0"/>
    <s v="Mar"/>
    <m/>
    <m/>
    <m/>
    <s v="YESHWANTHPURA"/>
    <m/>
    <n v="939268"/>
    <s v="TATA STEEL DOWNSTREAM PRODUCTS LIMI"/>
    <n v="2420618"/>
    <s v="CRCA COIL TATXXD AH03 2.450X1250"/>
    <s v=" "/>
    <s v=""/>
    <n v="2"/>
    <n v="26"/>
    <s v="Wider"/>
    <s v="C01"/>
    <s v="TATXXD"/>
    <s v="AH03"/>
    <n v="2.4500000000000002"/>
    <n v="1250"/>
    <n v="0"/>
    <n v="29"/>
    <n v="0"/>
    <n v="29"/>
    <n v="29"/>
    <n v="0"/>
    <n v="29"/>
    <m/>
    <m/>
    <n v="29"/>
    <n v="29"/>
    <n v="0"/>
    <n v="32.480000000000004"/>
    <n v="0"/>
    <n v="0"/>
    <n v="0"/>
    <n v="0"/>
    <n v="0"/>
    <n v="0"/>
    <n v="0"/>
    <n v="0"/>
    <n v="0"/>
    <n v="0"/>
    <n v="0"/>
    <n v="0"/>
    <n v="0"/>
    <n v="0"/>
    <n v="0"/>
    <n v="0"/>
    <n v="0"/>
    <n v="0"/>
    <n v="0"/>
    <n v="0"/>
    <n v="0"/>
    <n v="0"/>
    <n v="0"/>
    <n v="0"/>
    <n v="29"/>
    <n v="0"/>
    <n v="0"/>
    <n v="0"/>
    <n v="0"/>
    <n v="29"/>
    <n v="0"/>
    <n v="0"/>
    <n v="0"/>
    <n v="0"/>
    <n v="0"/>
    <n v="0"/>
    <n v="29"/>
    <m/>
    <m/>
    <m/>
    <m/>
    <m/>
    <m/>
    <m/>
    <m/>
    <m/>
    <m/>
    <m/>
    <m/>
    <m/>
    <m/>
    <m/>
    <m/>
    <m/>
    <m/>
    <m/>
    <m/>
    <m/>
    <m/>
    <m/>
    <m/>
    <m/>
    <m/>
    <m/>
    <m/>
    <m/>
    <m/>
    <m/>
    <m/>
    <m/>
    <m/>
  </r>
  <r>
    <n v="742"/>
    <d v="2025-02-13T00:00:00"/>
    <s v="ZBTO"/>
    <n v="9518516064"/>
    <n v="1"/>
    <s v="9518516064-1"/>
    <m/>
    <s v="Mar'25"/>
    <s v="Released orders"/>
    <x v="1"/>
    <x v="3"/>
    <n v="2000"/>
    <m/>
    <x v="0"/>
    <s v="Mar"/>
    <m/>
    <s v="Madhya Pradesh"/>
    <m/>
    <m/>
    <m/>
    <n v="120961"/>
    <s v="S K M STEELS LIMITED"/>
    <n v="187541"/>
    <s v="CR COIL-ICF TATXXD AU03 2.00X1250"/>
    <s v=""/>
    <s v=""/>
    <m/>
    <m/>
    <s v="Wider"/>
    <s v="C01"/>
    <s v="TATXXD"/>
    <s v="AU03"/>
    <n v="2"/>
    <n v="1250"/>
    <n v="0"/>
    <n v="116"/>
    <n v="0"/>
    <n v="116"/>
    <n v="116"/>
    <e v="#N/A"/>
    <e v="#N/A"/>
    <m/>
    <n v="0"/>
    <n v="116"/>
    <n v="116"/>
    <n v="0"/>
    <n v="129.92000000000002"/>
    <n v="0"/>
    <n v="0"/>
    <n v="0"/>
    <n v="0"/>
    <n v="0"/>
    <n v="0"/>
    <n v="0"/>
    <n v="0"/>
    <n v="0"/>
    <n v="0"/>
    <n v="0"/>
    <n v="0"/>
    <n v="0"/>
    <n v="0"/>
    <n v="0"/>
    <n v="0"/>
    <n v="0"/>
    <n v="0"/>
    <n v="0"/>
    <n v="0"/>
    <n v="0"/>
    <n v="0"/>
    <n v="0"/>
    <n v="0"/>
    <n v="116"/>
    <n v="0"/>
    <n v="0"/>
    <n v="0"/>
    <n v="116"/>
    <n v="0"/>
    <n v="116"/>
    <n v="0"/>
    <n v="0"/>
    <n v="0"/>
    <n v="0"/>
    <n v="116"/>
    <n v="0"/>
    <m/>
    <m/>
    <m/>
    <m/>
    <m/>
    <m/>
    <m/>
    <m/>
    <m/>
    <m/>
    <m/>
    <m/>
    <m/>
    <m/>
    <m/>
    <m/>
    <m/>
    <m/>
    <m/>
    <m/>
    <m/>
    <m/>
    <m/>
    <m/>
    <m/>
    <m/>
    <m/>
    <m/>
    <m/>
    <m/>
    <m/>
    <m/>
    <m/>
    <m/>
  </r>
  <r>
    <n v="742"/>
    <d v="2025-02-06T00:00:00"/>
    <s v="ZBTO"/>
    <n v="9518497626"/>
    <n v="24"/>
    <s v="9518497626-24"/>
    <m/>
    <s v="No Priority"/>
    <s v="Failed orders"/>
    <x v="1"/>
    <x v="3"/>
    <n v="2000"/>
    <m/>
    <x v="1"/>
    <m/>
    <m/>
    <s v="Andhra Pradesh"/>
    <m/>
    <m/>
    <m/>
    <n v="946077"/>
    <s v="SITARAM IRON AND STEEL PVT LTD"/>
    <n v="274376"/>
    <s v="CRSHEET C06TATXXD AU03 2.0X1250X2500"/>
    <s v=""/>
    <s v=""/>
    <m/>
    <m/>
    <s v="Wider"/>
    <s v="C06"/>
    <s v="TATXXD"/>
    <s v="AU03"/>
    <n v="2"/>
    <n v="1250"/>
    <n v="2500"/>
    <n v="27"/>
    <e v="#N/A"/>
    <n v="27"/>
    <n v="27"/>
    <e v="#N/A"/>
    <e v="#N/A"/>
    <m/>
    <n v="0"/>
    <n v="27"/>
    <n v="0"/>
    <n v="0"/>
    <n v="30.240000000000002"/>
    <n v="0"/>
    <n v="0"/>
    <n v="0"/>
    <n v="0"/>
    <n v="0"/>
    <n v="0"/>
    <n v="0"/>
    <n v="0"/>
    <n v="0"/>
    <n v="0"/>
    <n v="0"/>
    <n v="0"/>
    <n v="0"/>
    <n v="0"/>
    <n v="0"/>
    <n v="0"/>
    <n v="0"/>
    <n v="0"/>
    <n v="0"/>
    <n v="0"/>
    <n v="0"/>
    <n v="0"/>
    <n v="0"/>
    <n v="0"/>
    <n v="0"/>
    <n v="0"/>
    <n v="0"/>
    <n v="0"/>
    <n v="0"/>
    <n v="0"/>
    <n v="0"/>
    <n v="0"/>
    <n v="0"/>
    <n v="0"/>
    <n v="0"/>
    <n v="0"/>
    <n v="0"/>
    <m/>
    <m/>
    <m/>
    <m/>
    <m/>
    <m/>
    <m/>
    <m/>
    <m/>
    <m/>
    <m/>
    <m/>
    <m/>
    <m/>
    <m/>
    <m/>
    <m/>
    <m/>
    <m/>
    <m/>
    <m/>
    <m/>
    <m/>
    <m/>
    <m/>
    <m/>
    <m/>
    <m/>
    <m/>
    <m/>
    <m/>
    <m/>
    <m/>
    <m/>
  </r>
  <r>
    <n v="742"/>
    <d v="2025-01-02T00:00:00"/>
    <s v="ZBTO"/>
    <n v="9518400185"/>
    <n v="7"/>
    <s v="9518400185-7"/>
    <m/>
    <s v="Mar'25"/>
    <s v="Released orders"/>
    <x v="1"/>
    <x v="15"/>
    <s v="2000-BPRS"/>
    <m/>
    <x v="0"/>
    <s v="Mar"/>
    <m/>
    <m/>
    <s v="East"/>
    <s v="JSR"/>
    <m/>
    <n v="155536"/>
    <s v="TATA STEEL DOWNSTREAM PRODUCTS LIMI"/>
    <n v="2420540"/>
    <s v="CRCA COIL TATXXD AH03 2.500X1250"/>
    <s v=" "/>
    <s v=""/>
    <n v="13"/>
    <n v="29"/>
    <s v="Wider"/>
    <s v="C01"/>
    <s v="TATXXD"/>
    <s v="AH03"/>
    <n v="2.5"/>
    <n v="1250"/>
    <n v="0"/>
    <n v="116"/>
    <n v="25.48"/>
    <n v="116"/>
    <n v="116"/>
    <n v="76.260000000000005"/>
    <n v="39.74"/>
    <m/>
    <n v="0"/>
    <n v="38.17"/>
    <n v="90.52"/>
    <n v="0"/>
    <n v="42.750400000000006"/>
    <n v="0"/>
    <n v="0"/>
    <n v="0"/>
    <n v="0"/>
    <n v="0"/>
    <n v="0"/>
    <n v="0"/>
    <n v="0"/>
    <n v="0"/>
    <n v="77.83"/>
    <n v="0"/>
    <n v="0"/>
    <n v="0"/>
    <n v="0"/>
    <n v="0"/>
    <n v="0"/>
    <n v="0"/>
    <n v="0"/>
    <n v="77.83"/>
    <n v="77.83"/>
    <n v="0"/>
    <n v="77.83"/>
    <n v="76.260000000000005"/>
    <n v="25.48"/>
    <n v="90.52"/>
    <n v="0"/>
    <n v="0"/>
    <n v="0"/>
    <n v="0"/>
    <n v="90.52"/>
    <n v="116"/>
    <n v="0"/>
    <n v="0"/>
    <n v="0"/>
    <n v="0"/>
    <n v="116"/>
    <n v="0"/>
    <n v="0"/>
    <n v="0"/>
    <n v="0"/>
    <n v="0"/>
    <n v="0"/>
    <n v="0"/>
    <m/>
    <m/>
    <m/>
    <m/>
    <m/>
    <m/>
    <m/>
    <m/>
    <m/>
    <s v="1"/>
    <s v="1"/>
    <s v="1"/>
    <s v="1"/>
    <s v="0"/>
    <m/>
    <m/>
    <m/>
    <m/>
    <m/>
    <m/>
    <m/>
    <m/>
    <m/>
    <m/>
    <m/>
    <m/>
    <m/>
    <m/>
  </r>
  <r>
    <n v="742"/>
    <d v="2025-02-19T00:00:00"/>
    <s v="ZBTO"/>
    <n v="9518533596"/>
    <n v="5"/>
    <s v="9518533596-5"/>
    <m/>
    <s v="No Priority"/>
    <s v="Failed orders"/>
    <x v="1"/>
    <x v="15"/>
    <n v="2000"/>
    <m/>
    <x v="1"/>
    <m/>
    <m/>
    <s v="West Bengal"/>
    <m/>
    <m/>
    <m/>
    <n v="155536"/>
    <s v="TATA STEEL DOWNSTREAM PRODUCTS"/>
    <n v="2420540"/>
    <s v="CRCA COIL TATXXD AH03 2.500X1250"/>
    <s v=""/>
    <s v=""/>
    <m/>
    <m/>
    <s v="Wider"/>
    <s v="C01"/>
    <s v="TATXXD"/>
    <s v="AH03"/>
    <n v="2.5"/>
    <n v="1250"/>
    <n v="0"/>
    <n v="145"/>
    <e v="#N/A"/>
    <n v="145"/>
    <n v="145"/>
    <e v="#N/A"/>
    <e v="#N/A"/>
    <m/>
    <n v="0"/>
    <n v="145"/>
    <n v="0"/>
    <n v="0"/>
    <n v="162.4"/>
    <n v="0"/>
    <n v="0"/>
    <n v="0"/>
    <n v="0"/>
    <n v="0"/>
    <n v="0"/>
    <n v="0"/>
    <n v="0"/>
    <n v="0"/>
    <n v="0"/>
    <n v="0"/>
    <n v="0"/>
    <n v="0"/>
    <n v="0"/>
    <n v="0"/>
    <n v="0"/>
    <n v="0"/>
    <n v="0"/>
    <n v="0"/>
    <n v="0"/>
    <n v="0"/>
    <n v="0"/>
    <n v="0"/>
    <n v="0"/>
    <n v="0"/>
    <n v="0"/>
    <n v="0"/>
    <n v="0"/>
    <n v="0"/>
    <n v="0"/>
    <n v="0"/>
    <n v="0"/>
    <n v="0"/>
    <n v="0"/>
    <n v="0"/>
    <n v="0"/>
    <n v="0"/>
    <m/>
    <m/>
    <m/>
    <m/>
    <m/>
    <m/>
    <m/>
    <m/>
    <m/>
    <m/>
    <m/>
    <m/>
    <m/>
    <m/>
    <m/>
    <m/>
    <m/>
    <m/>
    <m/>
    <m/>
    <m/>
    <m/>
    <m/>
    <m/>
    <m/>
    <m/>
    <m/>
    <m/>
    <m/>
    <m/>
    <m/>
    <m/>
    <m/>
    <m/>
  </r>
  <r>
    <n v="742"/>
    <d v="2025-01-23T00:00:00"/>
    <s v="ZBTO"/>
    <n v="9518454228"/>
    <n v="3"/>
    <s v="9518454228-3"/>
    <m/>
    <s v="No Priority"/>
    <s v="Failed orders"/>
    <x v="1"/>
    <x v="1"/>
    <n v="2000"/>
    <m/>
    <x v="1"/>
    <s v="Mar"/>
    <m/>
    <s v="Maharashtra"/>
    <m/>
    <m/>
    <m/>
    <n v="103092"/>
    <s v="TEJRAM RAMNIWAS AGARWAL"/>
    <n v="3240895"/>
    <s v="CRCA SHEET TATXXD SR17 0.500X1250X2500"/>
    <s v=""/>
    <s v=""/>
    <m/>
    <m/>
    <s v="Wider"/>
    <s v="C06"/>
    <s v="TATXXD"/>
    <s v="SR17"/>
    <n v="0.5"/>
    <n v="1250"/>
    <n v="2500"/>
    <n v="60"/>
    <e v="#N/A"/>
    <n v="60"/>
    <n v="60"/>
    <e v="#N/A"/>
    <e v="#N/A"/>
    <m/>
    <n v="0"/>
    <n v="60"/>
    <n v="0"/>
    <n v="0"/>
    <n v="67.2"/>
    <n v="0"/>
    <n v="0"/>
    <n v="0"/>
    <n v="0"/>
    <n v="0"/>
    <n v="0"/>
    <n v="0"/>
    <n v="0"/>
    <n v="0"/>
    <n v="0"/>
    <n v="0"/>
    <n v="0"/>
    <n v="0"/>
    <n v="0"/>
    <n v="0"/>
    <n v="0"/>
    <n v="0"/>
    <n v="0"/>
    <n v="0"/>
    <n v="0"/>
    <n v="0"/>
    <n v="0"/>
    <n v="0"/>
    <n v="0"/>
    <n v="0"/>
    <n v="0"/>
    <n v="0"/>
    <n v="0"/>
    <n v="0"/>
    <n v="0"/>
    <n v="0"/>
    <n v="0"/>
    <n v="0"/>
    <n v="0"/>
    <n v="0"/>
    <n v="0"/>
    <n v="0"/>
    <m/>
    <m/>
    <m/>
    <m/>
    <m/>
    <m/>
    <m/>
    <m/>
    <m/>
    <m/>
    <m/>
    <m/>
    <m/>
    <m/>
    <m/>
    <m/>
    <m/>
    <m/>
    <m/>
    <m/>
    <m/>
    <m/>
    <m/>
    <m/>
    <m/>
    <m/>
    <m/>
    <m/>
    <m/>
    <m/>
    <m/>
    <m/>
    <m/>
    <m/>
  </r>
  <r>
    <n v="742"/>
    <d v="2025-02-05T00:00:00"/>
    <s v="ZBTO"/>
    <n v="9518494668"/>
    <n v="5"/>
    <s v="9518494668-5"/>
    <m/>
    <s v="Mar'25"/>
    <s v="Released orders"/>
    <x v="1"/>
    <x v="3"/>
    <n v="2000"/>
    <m/>
    <x v="0"/>
    <s v="Mar"/>
    <m/>
    <s v="Maharashtra"/>
    <m/>
    <m/>
    <m/>
    <n v="120612"/>
    <s v="SKM STEELS LIMITED(CRCADIVISIO"/>
    <n v="1884117"/>
    <s v="CRCA COIL-TATXXD-AU03-2X1250"/>
    <s v=""/>
    <s v=""/>
    <m/>
    <m/>
    <s v="Wider"/>
    <s v="C01"/>
    <s v="TATXXD"/>
    <s v="AU03"/>
    <n v="2"/>
    <n v="1250"/>
    <n v="0"/>
    <n v="58"/>
    <n v="0"/>
    <n v="58"/>
    <n v="58"/>
    <e v="#N/A"/>
    <e v="#N/A"/>
    <m/>
    <n v="0"/>
    <n v="58"/>
    <n v="58"/>
    <n v="0"/>
    <n v="64.960000000000008"/>
    <n v="0"/>
    <n v="0"/>
    <n v="0"/>
    <n v="0"/>
    <n v="0"/>
    <n v="0"/>
    <n v="0"/>
    <n v="0"/>
    <n v="0"/>
    <n v="0"/>
    <n v="0"/>
    <n v="0"/>
    <n v="0"/>
    <n v="0"/>
    <n v="0"/>
    <n v="0"/>
    <n v="0"/>
    <n v="0"/>
    <n v="0"/>
    <n v="0"/>
    <n v="0"/>
    <n v="0"/>
    <n v="0"/>
    <n v="0"/>
    <n v="58"/>
    <n v="0"/>
    <n v="58"/>
    <n v="0"/>
    <n v="0"/>
    <n v="0"/>
    <n v="58"/>
    <n v="0"/>
    <n v="0"/>
    <n v="58"/>
    <n v="0"/>
    <n v="0"/>
    <n v="0"/>
    <m/>
    <m/>
    <m/>
    <m/>
    <m/>
    <m/>
    <m/>
    <m/>
    <m/>
    <m/>
    <m/>
    <m/>
    <m/>
    <m/>
    <m/>
    <m/>
    <m/>
    <m/>
    <m/>
    <m/>
    <m/>
    <m/>
    <m/>
    <m/>
    <m/>
    <m/>
    <m/>
    <m/>
    <m/>
    <m/>
    <m/>
    <m/>
    <m/>
    <m/>
  </r>
  <r>
    <n v="742"/>
    <d v="2025-02-13T00:00:00"/>
    <s v="ZBTO"/>
    <n v="9518516064"/>
    <n v="2"/>
    <s v="9518516064-2"/>
    <m/>
    <s v="Mar'25"/>
    <s v="Released orders"/>
    <x v="1"/>
    <x v="3"/>
    <n v="2000"/>
    <m/>
    <x v="0"/>
    <s v="Mar"/>
    <m/>
    <s v="Madhya Pradesh"/>
    <m/>
    <m/>
    <m/>
    <n v="120961"/>
    <s v="S K M STEELS LIMITED"/>
    <n v="187574"/>
    <s v="CRSHEET-ICF TATXXD AU03 2.50X1250"/>
    <s v=""/>
    <s v=""/>
    <m/>
    <m/>
    <s v="Wider"/>
    <s v="C01"/>
    <s v="TATXXD"/>
    <s v="AU03"/>
    <n v="2.5"/>
    <n v="1250"/>
    <n v="0"/>
    <n v="58"/>
    <n v="0"/>
    <n v="58"/>
    <n v="58"/>
    <e v="#N/A"/>
    <e v="#N/A"/>
    <m/>
    <n v="0"/>
    <n v="58"/>
    <n v="58"/>
    <n v="0"/>
    <n v="64.960000000000008"/>
    <n v="0"/>
    <n v="0"/>
    <n v="0"/>
    <n v="0"/>
    <n v="0"/>
    <n v="0"/>
    <n v="0"/>
    <n v="0"/>
    <n v="0"/>
    <n v="0"/>
    <n v="0"/>
    <n v="0"/>
    <n v="0"/>
    <n v="0"/>
    <n v="0"/>
    <n v="0"/>
    <n v="0"/>
    <n v="0"/>
    <n v="0"/>
    <n v="0"/>
    <n v="0"/>
    <n v="0"/>
    <n v="0"/>
    <n v="0"/>
    <n v="58"/>
    <n v="0"/>
    <n v="0"/>
    <n v="0"/>
    <n v="0"/>
    <n v="58"/>
    <n v="0"/>
    <n v="0"/>
    <n v="0"/>
    <n v="0"/>
    <n v="0"/>
    <n v="0"/>
    <n v="58"/>
    <m/>
    <m/>
    <m/>
    <m/>
    <m/>
    <m/>
    <m/>
    <m/>
    <m/>
    <m/>
    <m/>
    <m/>
    <m/>
    <m/>
    <m/>
    <m/>
    <m/>
    <m/>
    <m/>
    <m/>
    <m/>
    <m/>
    <m/>
    <m/>
    <m/>
    <m/>
    <m/>
    <m/>
    <m/>
    <m/>
    <m/>
    <m/>
    <m/>
    <m/>
  </r>
  <r>
    <n v="743"/>
    <d v="2025-02-13T00:00:00"/>
    <s v="ZBTO"/>
    <n v="9518515900"/>
    <n v="1"/>
    <s v="9518515900-1"/>
    <m/>
    <s v="No Priority"/>
    <s v="Released orders"/>
    <x v="3"/>
    <x v="13"/>
    <n v="1000"/>
    <m/>
    <x v="1"/>
    <m/>
    <m/>
    <s v="Tamil Nadu"/>
    <m/>
    <m/>
    <m/>
    <n v="947775"/>
    <s v="ZARON METAL SECTIONS"/>
    <n v="3824863"/>
    <s v="GL COIL HARD  Y550GL H6GL 0.900X1160"/>
    <n v="150"/>
    <s v=""/>
    <m/>
    <m/>
    <s v="Wider"/>
    <s v="B04"/>
    <s v="Y550GL"/>
    <s v="H6GL"/>
    <n v="0.9"/>
    <n v="1160"/>
    <n v="0"/>
    <n v="81"/>
    <e v="#N/A"/>
    <n v="81"/>
    <n v="81"/>
    <e v="#N/A"/>
    <e v="#N/A"/>
    <m/>
    <m/>
    <n v="81"/>
    <n v="0"/>
    <n v="0"/>
    <n v="90.720000000000013"/>
    <n v="0"/>
    <n v="0"/>
    <n v="0"/>
    <n v="0"/>
    <n v="0"/>
    <n v="0"/>
    <n v="0"/>
    <n v="0"/>
    <n v="0"/>
    <n v="0"/>
    <n v="0"/>
    <n v="0"/>
    <n v="0"/>
    <n v="0"/>
    <n v="0"/>
    <n v="0"/>
    <n v="0"/>
    <n v="0"/>
    <n v="0"/>
    <n v="0"/>
    <n v="0"/>
    <n v="0"/>
    <n v="0"/>
    <n v="0"/>
    <n v="0"/>
    <n v="0"/>
    <n v="0"/>
    <n v="0"/>
    <n v="0"/>
    <n v="0"/>
    <n v="0"/>
    <n v="0"/>
    <n v="0"/>
    <n v="0"/>
    <n v="0"/>
    <n v="0"/>
    <n v="0"/>
    <m/>
    <m/>
    <m/>
    <m/>
    <m/>
    <m/>
    <m/>
    <m/>
    <m/>
    <m/>
    <m/>
    <m/>
    <m/>
    <m/>
    <m/>
    <m/>
    <m/>
    <m/>
    <m/>
    <m/>
    <m/>
    <m/>
    <m/>
    <m/>
    <m/>
    <m/>
    <m/>
    <m/>
    <m/>
    <m/>
    <m/>
    <m/>
    <m/>
    <m/>
  </r>
  <r>
    <n v="743"/>
    <d v="2025-02-19T00:00:00"/>
    <s v="ZBTO"/>
    <n v="9518532816"/>
    <n v="7"/>
    <s v="9518532816-7"/>
    <m/>
    <s v="No Priority"/>
    <s v="Released orders"/>
    <x v="2"/>
    <x v="2"/>
    <n v="2000"/>
    <m/>
    <x v="1"/>
    <m/>
    <m/>
    <s v="Jharkhand"/>
    <m/>
    <m/>
    <m/>
    <n v="121328"/>
    <s v="R. S. BOKARO METAL (P) LTD."/>
    <n v="1854429"/>
    <s v="GP COIL SOFT-TATXGP-GK09-0.63X900"/>
    <n v="80"/>
    <s v=""/>
    <m/>
    <m/>
    <s v="Narrow"/>
    <s v="C02"/>
    <s v="TATXGP"/>
    <s v="GK09"/>
    <n v="0.63"/>
    <n v="900"/>
    <n v="0"/>
    <n v="21"/>
    <n v="0"/>
    <n v="21"/>
    <n v="21"/>
    <e v="#N/A"/>
    <e v="#N/A"/>
    <m/>
    <m/>
    <n v="21"/>
    <n v="21"/>
    <n v="0"/>
    <n v="23.520000000000003"/>
    <n v="0"/>
    <n v="0"/>
    <n v="0"/>
    <n v="0"/>
    <n v="0"/>
    <n v="0"/>
    <n v="0"/>
    <n v="0"/>
    <n v="0"/>
    <n v="0"/>
    <n v="0"/>
    <n v="0"/>
    <n v="0"/>
    <n v="0"/>
    <n v="0"/>
    <n v="0"/>
    <n v="0"/>
    <n v="0"/>
    <n v="0"/>
    <n v="0"/>
    <n v="0"/>
    <n v="0"/>
    <n v="0"/>
    <n v="0"/>
    <n v="0"/>
    <n v="0"/>
    <n v="0"/>
    <n v="0"/>
    <n v="0"/>
    <n v="0"/>
    <n v="0"/>
    <n v="0"/>
    <n v="0"/>
    <n v="0"/>
    <n v="0"/>
    <n v="0"/>
    <n v="0"/>
    <m/>
    <m/>
    <m/>
    <m/>
    <m/>
    <m/>
    <m/>
    <m/>
    <m/>
    <m/>
    <m/>
    <m/>
    <m/>
    <m/>
    <m/>
    <m/>
    <m/>
    <m/>
    <m/>
    <m/>
    <m/>
    <m/>
    <m/>
    <m/>
    <m/>
    <m/>
    <m/>
    <m/>
    <m/>
    <m/>
    <m/>
    <m/>
    <m/>
    <m/>
  </r>
  <r>
    <n v="743"/>
    <d v="2025-02-22T00:00:00"/>
    <s v="ZBTO"/>
    <n v="9518542770"/>
    <n v="1"/>
    <s v="9518542770-1"/>
    <m/>
    <s v="Mar'25"/>
    <s v="Released orders"/>
    <x v="3"/>
    <x v="7"/>
    <s v="1000-IPPE"/>
    <m/>
    <x v="0"/>
    <m/>
    <m/>
    <m/>
    <m/>
    <s v=" "/>
    <m/>
    <n v="942283"/>
    <s v="TATA BLUESCOPE STEEL PRIVATE LIMITE"/>
    <n v="3239573"/>
    <s v="GL C YS550 H6GL 0.42BMT(0.47TCT)X1220"/>
    <s v="AZ150"/>
    <s v=""/>
    <n v="3"/>
    <n v="5"/>
    <s v="Wider"/>
    <s v="B04"/>
    <s v="Y550GL"/>
    <s v="H6GL"/>
    <n v="0.42"/>
    <n v="1220"/>
    <n v="0"/>
    <n v="140"/>
    <n v="0"/>
    <n v="140"/>
    <n v="140"/>
    <n v="0"/>
    <n v="140"/>
    <m/>
    <m/>
    <n v="140"/>
    <n v="140"/>
    <m/>
    <n v="156.80000000000001"/>
    <n v="0"/>
    <n v="0"/>
    <n v="0"/>
    <n v="0"/>
    <n v="0"/>
    <n v="0"/>
    <n v="0"/>
    <n v="0"/>
    <n v="0"/>
    <n v="0"/>
    <n v="0"/>
    <n v="0"/>
    <n v="0"/>
    <n v="0"/>
    <n v="0"/>
    <n v="0"/>
    <n v="0"/>
    <n v="0"/>
    <n v="0"/>
    <n v="0"/>
    <n v="0"/>
    <n v="0"/>
    <n v="0"/>
    <n v="0"/>
    <n v="140"/>
    <n v="0"/>
    <n v="140"/>
    <n v="0"/>
    <n v="0"/>
    <n v="0"/>
    <n v="140"/>
    <n v="0"/>
    <n v="0"/>
    <n v="140"/>
    <n v="0"/>
    <n v="0"/>
    <n v="0"/>
    <m/>
    <m/>
    <m/>
    <m/>
    <m/>
    <m/>
    <m/>
    <m/>
    <m/>
    <m/>
    <m/>
    <m/>
    <m/>
    <m/>
    <m/>
    <m/>
    <m/>
    <m/>
    <m/>
    <m/>
    <m/>
    <m/>
    <m/>
    <m/>
    <m/>
    <m/>
    <m/>
    <m/>
    <m/>
    <m/>
    <m/>
    <m/>
    <m/>
    <m/>
  </r>
  <r>
    <n v="743"/>
    <d v="2025-02-22T00:00:00"/>
    <s v="ZBTO"/>
    <n v="9518542770"/>
    <n v="3"/>
    <s v="9518542770-3"/>
    <m/>
    <s v="Mar'25"/>
    <s v="Released orders"/>
    <x v="3"/>
    <x v="7"/>
    <s v="1000-IPPE"/>
    <m/>
    <x v="0"/>
    <m/>
    <m/>
    <m/>
    <m/>
    <s v=" "/>
    <m/>
    <n v="942283"/>
    <s v="TATA BLUESCOPE STEEL PRIVATE LIMITE"/>
    <n v="3239573"/>
    <s v="GL C YS550 H6GL 0.42BMT(0.47TCT)X1220"/>
    <s v="AZ150"/>
    <s v=""/>
    <n v="3"/>
    <n v="5"/>
    <s v="Wider"/>
    <s v="B04"/>
    <s v="Y550GL"/>
    <s v="H6GL"/>
    <n v="0.42"/>
    <n v="1220"/>
    <n v="0"/>
    <n v="84"/>
    <n v="0"/>
    <n v="84"/>
    <n v="84"/>
    <n v="0"/>
    <n v="84"/>
    <m/>
    <m/>
    <n v="84"/>
    <n v="84"/>
    <m/>
    <n v="94.080000000000013"/>
    <n v="0"/>
    <n v="0"/>
    <n v="0"/>
    <n v="0"/>
    <n v="0"/>
    <n v="0"/>
    <n v="0"/>
    <n v="0"/>
    <n v="0"/>
    <n v="0"/>
    <n v="0"/>
    <n v="0"/>
    <n v="0"/>
    <n v="0"/>
    <n v="0"/>
    <n v="0"/>
    <n v="0"/>
    <n v="0"/>
    <n v="0"/>
    <n v="0"/>
    <n v="0"/>
    <n v="0"/>
    <n v="0"/>
    <n v="0"/>
    <n v="84"/>
    <n v="0"/>
    <n v="84"/>
    <n v="0"/>
    <n v="0"/>
    <n v="0"/>
    <n v="84"/>
    <n v="0"/>
    <n v="0"/>
    <n v="84"/>
    <n v="0"/>
    <n v="0"/>
    <n v="0"/>
    <m/>
    <m/>
    <m/>
    <m/>
    <m/>
    <m/>
    <m/>
    <m/>
    <m/>
    <m/>
    <m/>
    <m/>
    <m/>
    <m/>
    <m/>
    <m/>
    <m/>
    <m/>
    <m/>
    <m/>
    <m/>
    <m/>
    <m/>
    <m/>
    <m/>
    <m/>
    <m/>
    <m/>
    <m/>
    <m/>
    <m/>
    <m/>
    <m/>
    <m/>
  </r>
  <r>
    <n v="744"/>
    <d v="2025-02-22T00:00:00"/>
    <s v="ZBTO"/>
    <n v="9518542873"/>
    <n v="1"/>
    <s v="9518542873-1"/>
    <m/>
    <s v="Mar'25"/>
    <s v="Released orders"/>
    <x v="4"/>
    <x v="7"/>
    <s v="1000-IPPE"/>
    <m/>
    <x v="0"/>
    <m/>
    <m/>
    <m/>
    <m/>
    <s v=" "/>
    <m/>
    <n v="941597"/>
    <s v="TATA BLUESCOPE STEEL PRIVATE LIMITE"/>
    <n v="1633706"/>
    <s v="PPGL C Y550 HPL3 0.42BMT(0.50TPT)X1220"/>
    <s v="AZ150"/>
    <s v="RAL 9002 TSL 142A"/>
    <n v="3"/>
    <n v="5"/>
    <s v="Wider"/>
    <s v="B18"/>
    <s v="Y550PL"/>
    <s v="HPL3"/>
    <n v="0.42"/>
    <n v="1220"/>
    <n v="0"/>
    <n v="112"/>
    <n v="77.204999999999998"/>
    <n v="112"/>
    <n v="112"/>
    <n v="0"/>
    <n v="112"/>
    <m/>
    <m/>
    <n v="112"/>
    <n v="34.784999999999997"/>
    <m/>
    <n v="125.44000000000001"/>
    <n v="0"/>
    <n v="0"/>
    <n v="0"/>
    <n v="0"/>
    <n v="0"/>
    <n v="0"/>
    <n v="0"/>
    <n v="0"/>
    <n v="0"/>
    <n v="0"/>
    <n v="0"/>
    <n v="0"/>
    <n v="0"/>
    <n v="0"/>
    <n v="0"/>
    <n v="0"/>
    <n v="0"/>
    <n v="0"/>
    <n v="0"/>
    <n v="0"/>
    <n v="0"/>
    <n v="0"/>
    <n v="0"/>
    <n v="62.695"/>
    <n v="34.784999999999997"/>
    <n v="0"/>
    <n v="0"/>
    <n v="34.784999999999997"/>
    <n v="0"/>
    <n v="0"/>
    <n v="97.47999999999999"/>
    <n v="0"/>
    <n v="0"/>
    <n v="0"/>
    <n v="97.47999999999999"/>
    <n v="0"/>
    <n v="0"/>
    <m/>
    <m/>
    <m/>
    <m/>
    <m/>
    <m/>
    <m/>
    <m/>
    <m/>
    <m/>
    <m/>
    <m/>
    <m/>
    <m/>
    <m/>
    <m/>
    <m/>
    <m/>
    <m/>
    <m/>
    <m/>
    <m/>
    <m/>
    <m/>
    <m/>
    <m/>
    <m/>
    <m/>
    <m/>
    <m/>
    <m/>
    <m/>
    <m/>
    <m/>
  </r>
  <r>
    <n v="744"/>
    <d v="2025-02-05T00:00:00"/>
    <s v="ZBTO"/>
    <n v="9518494781"/>
    <n v="1"/>
    <s v="9518494781-1"/>
    <m/>
    <s v="Feb'25"/>
    <s v="Released orders"/>
    <x v="4"/>
    <x v="7"/>
    <s v="1000-IPPE"/>
    <m/>
    <x v="0"/>
    <m/>
    <m/>
    <m/>
    <s v="Bluescope"/>
    <s v=" "/>
    <m/>
    <n v="941597"/>
    <s v="TATA BLUESCOPE STEEL PRIVATE LIMITE"/>
    <n v="3902332"/>
    <s v="PPGL C HARD Y550PL D0C9 0.50(TPT)X1220"/>
    <s v="AZ150"/>
    <s v="RAL 7015 TSL 1805"/>
    <m/>
    <m/>
    <s v="Wider"/>
    <s v="B18"/>
    <s v="Y550PL"/>
    <s v="D0C9"/>
    <n v="0.5"/>
    <n v="1220"/>
    <n v="0"/>
    <n v="56"/>
    <n v="0"/>
    <n v="56"/>
    <n v="56"/>
    <n v="0"/>
    <n v="56"/>
    <m/>
    <m/>
    <n v="56"/>
    <n v="56"/>
    <n v="0"/>
    <n v="62.720000000000006"/>
    <n v="0"/>
    <n v="0"/>
    <n v="0"/>
    <n v="0"/>
    <n v="0"/>
    <n v="0"/>
    <n v="0"/>
    <n v="0"/>
    <n v="0"/>
    <n v="0"/>
    <n v="0"/>
    <n v="0"/>
    <n v="0"/>
    <n v="0"/>
    <n v="0"/>
    <n v="0"/>
    <n v="0"/>
    <n v="0"/>
    <n v="0"/>
    <n v="0"/>
    <n v="0"/>
    <n v="0"/>
    <n v="0"/>
    <n v="0"/>
    <n v="56"/>
    <n v="0"/>
    <n v="0"/>
    <n v="0"/>
    <n v="56"/>
    <n v="0"/>
    <n v="56"/>
    <n v="0"/>
    <n v="0"/>
    <n v="0"/>
    <n v="0"/>
    <n v="56"/>
    <n v="0"/>
    <n v="0"/>
    <n v="0"/>
    <n v="0"/>
    <n v="0"/>
    <n v="0"/>
    <n v="0"/>
    <m/>
    <m/>
    <m/>
    <m/>
    <m/>
    <m/>
    <m/>
    <m/>
    <m/>
    <s v="1"/>
    <s v="1"/>
    <s v="1"/>
    <s v="0"/>
    <s v="1"/>
    <m/>
    <m/>
    <m/>
    <m/>
    <m/>
    <m/>
    <m/>
    <m/>
    <m/>
    <m/>
    <m/>
    <m/>
    <m/>
    <m/>
  </r>
  <r>
    <n v="744"/>
    <d v="2025-02-22T00:00:00"/>
    <s v="ZBTO"/>
    <n v="9518543125"/>
    <n v="5"/>
    <s v="9518543125-5"/>
    <m/>
    <s v="Mar'25"/>
    <s v="Released orders"/>
    <x v="4"/>
    <x v="7"/>
    <s v="1000-IPPE"/>
    <n v="5500"/>
    <x v="0"/>
    <m/>
    <m/>
    <m/>
    <m/>
    <s v="GAMHARIA"/>
    <m/>
    <n v="940016"/>
    <s v="TATA BLUESCOPE STEEL PVT LTD."/>
    <n v="3900141"/>
    <s v="PPGL C HARD Y550PL ISC6 0.430X1220"/>
    <s v="aZ70"/>
    <s v="PRO ROSY RED TSL 1920"/>
    <n v="3"/>
    <n v="5"/>
    <s v="Wider"/>
    <s v="B18"/>
    <s v="Y550PL"/>
    <s v="ISC6"/>
    <n v="0.43"/>
    <n v="1220"/>
    <n v="0"/>
    <n v="112"/>
    <n v="0"/>
    <n v="112"/>
    <n v="112"/>
    <n v="0"/>
    <n v="112"/>
    <n v="112"/>
    <m/>
    <n v="112"/>
    <n v="112"/>
    <m/>
    <n v="125.44000000000001"/>
    <n v="0"/>
    <n v="0"/>
    <n v="0"/>
    <n v="0"/>
    <n v="0"/>
    <n v="0"/>
    <n v="0"/>
    <n v="0"/>
    <n v="0"/>
    <n v="0"/>
    <n v="0"/>
    <n v="0"/>
    <n v="0"/>
    <n v="0"/>
    <n v="0"/>
    <n v="0"/>
    <n v="0"/>
    <n v="0"/>
    <n v="0"/>
    <n v="0"/>
    <n v="0"/>
    <n v="0"/>
    <n v="0"/>
    <n v="0"/>
    <n v="112"/>
    <n v="0"/>
    <n v="0"/>
    <n v="0"/>
    <n v="0"/>
    <n v="112"/>
    <n v="0"/>
    <n v="0"/>
    <n v="0"/>
    <n v="0"/>
    <n v="0"/>
    <n v="0"/>
    <n v="112"/>
    <m/>
    <m/>
    <m/>
    <m/>
    <m/>
    <m/>
    <m/>
    <m/>
    <m/>
    <m/>
    <m/>
    <m/>
    <m/>
    <m/>
    <m/>
    <m/>
    <m/>
    <m/>
    <m/>
    <m/>
    <m/>
    <m/>
    <m/>
    <m/>
    <m/>
    <m/>
    <m/>
    <m/>
    <m/>
    <m/>
    <m/>
    <m/>
    <m/>
    <m/>
  </r>
  <r>
    <n v="744"/>
    <d v="2025-02-22T00:00:00"/>
    <s v="ZBTO"/>
    <n v="9518543125"/>
    <n v="9"/>
    <s v="9518543125-9"/>
    <m/>
    <s v="Mar'25"/>
    <s v="Released orders"/>
    <x v="4"/>
    <x v="7"/>
    <s v="1000-IPPE"/>
    <m/>
    <x v="0"/>
    <m/>
    <m/>
    <m/>
    <m/>
    <s v="GAMHARIA"/>
    <m/>
    <n v="940016"/>
    <s v="TATA BLUESCOPE STEEL PVT LTD."/>
    <n v="3879501"/>
    <s v="PPGL C HARD Y550PL ISC6 0.450X1220"/>
    <s v="aZ70"/>
    <s v="PRO ROSY RED TSL 1920"/>
    <n v="3"/>
    <n v="5"/>
    <s v="Wider"/>
    <s v="B18"/>
    <s v="Y550PL"/>
    <s v="ISC6"/>
    <n v="0.45"/>
    <n v="1220"/>
    <n v="0"/>
    <n v="28"/>
    <n v="0"/>
    <n v="28"/>
    <n v="28"/>
    <n v="0"/>
    <n v="28"/>
    <m/>
    <m/>
    <n v="28"/>
    <n v="28"/>
    <m/>
    <n v="31.360000000000003"/>
    <n v="0"/>
    <n v="0"/>
    <n v="0"/>
    <n v="0"/>
    <n v="0"/>
    <n v="0"/>
    <n v="0"/>
    <n v="0"/>
    <n v="0"/>
    <n v="0"/>
    <n v="0"/>
    <n v="0"/>
    <n v="0"/>
    <n v="0"/>
    <n v="0"/>
    <n v="0"/>
    <n v="0"/>
    <n v="0"/>
    <n v="0"/>
    <n v="0"/>
    <n v="0"/>
    <n v="0"/>
    <n v="0"/>
    <n v="0"/>
    <n v="28"/>
    <n v="0"/>
    <n v="0"/>
    <n v="0"/>
    <n v="0"/>
    <n v="28"/>
    <n v="0"/>
    <n v="0"/>
    <n v="0"/>
    <n v="0"/>
    <n v="0"/>
    <n v="0"/>
    <n v="28"/>
    <m/>
    <m/>
    <m/>
    <m/>
    <m/>
    <m/>
    <m/>
    <m/>
    <m/>
    <m/>
    <m/>
    <m/>
    <m/>
    <m/>
    <m/>
    <m/>
    <m/>
    <m/>
    <m/>
    <m/>
    <m/>
    <m/>
    <m/>
    <m/>
    <m/>
    <m/>
    <m/>
    <m/>
    <m/>
    <m/>
    <m/>
    <m/>
    <m/>
    <m/>
  </r>
  <r>
    <n v="744"/>
    <d v="2025-02-22T00:00:00"/>
    <s v="ZBTO"/>
    <n v="9518543307"/>
    <n v="3"/>
    <s v="9518543307-3"/>
    <m/>
    <s v="Mar'25"/>
    <s v="Released orders"/>
    <x v="4"/>
    <x v="7"/>
    <s v="1000-IPPE"/>
    <m/>
    <x v="0"/>
    <m/>
    <m/>
    <m/>
    <m/>
    <s v="GAMHARIA"/>
    <m/>
    <n v="940016"/>
    <s v="TATA BLUESCOPE STEEL PVT LTD."/>
    <n v="3879501"/>
    <s v="PPGL C HARD Y550PL ISC6 0.450X1220"/>
    <s v="aZ70"/>
    <s v="PRO GREY TSL 1916"/>
    <n v="3"/>
    <n v="5"/>
    <s v="Wider"/>
    <s v="B18"/>
    <s v="Y550PL"/>
    <s v="ISC6"/>
    <n v="0.45"/>
    <n v="1220"/>
    <n v="0"/>
    <n v="28"/>
    <n v="0"/>
    <n v="28"/>
    <n v="28"/>
    <n v="0"/>
    <n v="28"/>
    <m/>
    <m/>
    <n v="28"/>
    <n v="28"/>
    <m/>
    <n v="31.360000000000003"/>
    <n v="0"/>
    <n v="0"/>
    <n v="0"/>
    <n v="0"/>
    <n v="0"/>
    <n v="0"/>
    <n v="0"/>
    <n v="0"/>
    <n v="0"/>
    <n v="0"/>
    <n v="0"/>
    <n v="0"/>
    <n v="0"/>
    <n v="0"/>
    <n v="0"/>
    <n v="0"/>
    <n v="0"/>
    <n v="0"/>
    <n v="0"/>
    <n v="0"/>
    <n v="0"/>
    <n v="0"/>
    <n v="0"/>
    <n v="0"/>
    <n v="28"/>
    <n v="0"/>
    <n v="0"/>
    <n v="0"/>
    <n v="0"/>
    <n v="28"/>
    <n v="0"/>
    <n v="0"/>
    <n v="0"/>
    <n v="0"/>
    <n v="0"/>
    <n v="0"/>
    <n v="28"/>
    <m/>
    <m/>
    <m/>
    <m/>
    <m/>
    <m/>
    <m/>
    <m/>
    <m/>
    <m/>
    <m/>
    <m/>
    <m/>
    <m/>
    <m/>
    <m/>
    <m/>
    <m/>
    <m/>
    <m/>
    <m/>
    <m/>
    <m/>
    <m/>
    <m/>
    <m/>
    <m/>
    <m/>
    <m/>
    <m/>
    <m/>
    <m/>
    <m/>
    <m/>
  </r>
  <r>
    <n v="744"/>
    <d v="2025-02-22T00:00:00"/>
    <s v="ZBTO"/>
    <n v="9518543214"/>
    <n v="3"/>
    <s v="9518543214-3"/>
    <m/>
    <s v="Mar'25"/>
    <s v="Released orders"/>
    <x v="4"/>
    <x v="7"/>
    <s v="1000-IPPE"/>
    <m/>
    <x v="0"/>
    <m/>
    <m/>
    <m/>
    <m/>
    <s v="GAMHARIA"/>
    <m/>
    <n v="940016"/>
    <s v="TATA BLUESCOPE STEEL PVT LTD."/>
    <n v="3879501"/>
    <s v="PPGL C HARD Y550PL ISC6 0.450X1220"/>
    <s v="aZ70"/>
    <s v="PRO GREY TSL 1916"/>
    <n v="3"/>
    <n v="5"/>
    <s v="Wider"/>
    <s v="B18"/>
    <s v="Y550PL"/>
    <s v="ISC6"/>
    <n v="0.45"/>
    <n v="1220"/>
    <n v="0"/>
    <n v="28"/>
    <n v="0"/>
    <n v="28"/>
    <n v="28"/>
    <n v="0"/>
    <n v="28"/>
    <m/>
    <m/>
    <n v="28"/>
    <n v="28"/>
    <m/>
    <n v="31.360000000000003"/>
    <n v="0"/>
    <n v="0"/>
    <n v="0"/>
    <n v="0"/>
    <n v="0"/>
    <n v="0"/>
    <n v="0"/>
    <n v="0"/>
    <n v="0"/>
    <n v="0"/>
    <n v="0"/>
    <n v="0"/>
    <n v="0"/>
    <n v="0"/>
    <n v="0"/>
    <n v="0"/>
    <n v="0"/>
    <n v="0"/>
    <n v="0"/>
    <n v="0"/>
    <n v="0"/>
    <n v="0"/>
    <n v="0"/>
    <n v="0"/>
    <n v="28"/>
    <n v="0"/>
    <n v="0"/>
    <n v="0"/>
    <n v="0"/>
    <n v="28"/>
    <n v="0"/>
    <n v="0"/>
    <n v="0"/>
    <n v="0"/>
    <n v="0"/>
    <n v="0"/>
    <n v="28"/>
    <m/>
    <m/>
    <m/>
    <m/>
    <m/>
    <m/>
    <m/>
    <m/>
    <m/>
    <m/>
    <m/>
    <m/>
    <m/>
    <m/>
    <m/>
    <m/>
    <m/>
    <m/>
    <m/>
    <m/>
    <m/>
    <m/>
    <m/>
    <m/>
    <m/>
    <m/>
    <m/>
    <m/>
    <m/>
    <m/>
    <m/>
    <m/>
    <m/>
    <m/>
  </r>
  <r>
    <n v="743"/>
    <d v="2025-02-22T00:00:00"/>
    <s v="ZBTO"/>
    <n v="9518542770"/>
    <n v="2"/>
    <s v="9518542770-2"/>
    <m/>
    <s v="Mar'25"/>
    <s v="Released orders"/>
    <x v="3"/>
    <x v="7"/>
    <s v="1000-IPPE"/>
    <m/>
    <x v="0"/>
    <m/>
    <m/>
    <m/>
    <m/>
    <s v=" "/>
    <m/>
    <n v="942283"/>
    <s v="TATA BLUESCOPE STEEL PRIVATE LIMITE"/>
    <n v="1881969"/>
    <s v="GL C YS550 H6GL 0.45BMT(0.50TCT)X1220"/>
    <s v="AZ150"/>
    <s v=""/>
    <n v="3"/>
    <n v="5"/>
    <s v="Wider"/>
    <s v="B04"/>
    <s v="Y550GL"/>
    <s v="H6GL"/>
    <n v="0.45"/>
    <n v="1220"/>
    <n v="0"/>
    <n v="196"/>
    <n v="22.585000000000001"/>
    <n v="196"/>
    <n v="196"/>
    <n v="0"/>
    <n v="196"/>
    <m/>
    <m/>
    <n v="196"/>
    <n v="173.41499999999999"/>
    <m/>
    <n v="219.52"/>
    <n v="0"/>
    <n v="0"/>
    <n v="0"/>
    <n v="0"/>
    <n v="0"/>
    <n v="0"/>
    <n v="0"/>
    <n v="0"/>
    <n v="0"/>
    <n v="0"/>
    <n v="0"/>
    <n v="0"/>
    <n v="0"/>
    <n v="0"/>
    <n v="0"/>
    <n v="0"/>
    <n v="0"/>
    <n v="0"/>
    <n v="0"/>
    <n v="0"/>
    <n v="0"/>
    <n v="0"/>
    <n v="0"/>
    <n v="22.585000000000001"/>
    <n v="173.41499999999999"/>
    <n v="0"/>
    <n v="173.41499999999999"/>
    <n v="0"/>
    <n v="0"/>
    <n v="0"/>
    <n v="196"/>
    <n v="0"/>
    <n v="0"/>
    <n v="196"/>
    <n v="0"/>
    <n v="0"/>
    <n v="0"/>
    <m/>
    <m/>
    <m/>
    <m/>
    <m/>
    <m/>
    <m/>
    <m/>
    <m/>
    <m/>
    <m/>
    <m/>
    <m/>
    <m/>
    <m/>
    <m/>
    <m/>
    <m/>
    <m/>
    <m/>
    <m/>
    <m/>
    <m/>
    <m/>
    <m/>
    <m/>
    <m/>
    <m/>
    <m/>
    <m/>
    <m/>
    <m/>
    <m/>
    <m/>
  </r>
  <r>
    <n v="744"/>
    <d v="2025-02-22T00:00:00"/>
    <s v="ZBTO"/>
    <n v="9518542521"/>
    <n v="1"/>
    <s v="9518542521-1"/>
    <m/>
    <s v="Mar'25"/>
    <s v="Released orders"/>
    <x v="4"/>
    <x v="7"/>
    <s v="1000-IPPE"/>
    <m/>
    <x v="0"/>
    <m/>
    <m/>
    <m/>
    <m/>
    <s v="RAJASTHAN"/>
    <m/>
    <n v="940008"/>
    <s v="TATA BLUESCOPE STEEL PVT LTD."/>
    <n v="3879501"/>
    <s v="PPGL C HARD Y550PL ISC6 0.450X1220"/>
    <s v="aZ70"/>
    <s v="PRO WHITE TSL 1919"/>
    <n v="3"/>
    <n v="5"/>
    <s v="Wider"/>
    <s v="B18"/>
    <s v="Y550PL"/>
    <s v="ISC6"/>
    <n v="0.45"/>
    <n v="1220"/>
    <n v="0"/>
    <n v="28"/>
    <n v="0"/>
    <n v="28"/>
    <n v="28"/>
    <n v="0"/>
    <n v="28"/>
    <m/>
    <m/>
    <n v="28"/>
    <n v="28"/>
    <m/>
    <n v="31.360000000000003"/>
    <n v="0"/>
    <n v="0"/>
    <n v="0"/>
    <n v="0"/>
    <n v="0"/>
    <n v="0"/>
    <n v="0"/>
    <n v="0"/>
    <n v="0"/>
    <n v="0"/>
    <n v="0"/>
    <n v="0"/>
    <n v="0"/>
    <n v="0"/>
    <n v="0"/>
    <n v="0"/>
    <n v="0"/>
    <n v="0"/>
    <n v="0"/>
    <n v="0"/>
    <n v="0"/>
    <n v="0"/>
    <n v="0"/>
    <n v="0"/>
    <n v="28"/>
    <n v="0"/>
    <n v="0"/>
    <n v="28"/>
    <n v="0"/>
    <n v="0"/>
    <n v="28"/>
    <n v="0"/>
    <n v="0"/>
    <n v="0"/>
    <n v="28"/>
    <n v="0"/>
    <n v="0"/>
    <m/>
    <m/>
    <m/>
    <m/>
    <m/>
    <m/>
    <m/>
    <m/>
    <m/>
    <m/>
    <m/>
    <m/>
    <m/>
    <m/>
    <m/>
    <m/>
    <m/>
    <m/>
    <m/>
    <m/>
    <m/>
    <m/>
    <m/>
    <m/>
    <m/>
    <m/>
    <m/>
    <m/>
    <m/>
    <m/>
    <m/>
    <m/>
    <m/>
    <m/>
  </r>
  <r>
    <n v="744"/>
    <d v="2025-02-22T00:00:00"/>
    <s v="ZBTO"/>
    <n v="9518542521"/>
    <n v="2"/>
    <s v="9518542521-2"/>
    <m/>
    <s v="Mar'25"/>
    <s v="Released orders"/>
    <x v="4"/>
    <x v="7"/>
    <s v="1000-IPPE"/>
    <m/>
    <x v="0"/>
    <m/>
    <m/>
    <m/>
    <m/>
    <s v="RAJASTHAN"/>
    <m/>
    <n v="940008"/>
    <s v="TATA BLUESCOPE STEEL PVT LTD."/>
    <n v="3879501"/>
    <s v="PPGL C HARD Y550PL ISC6 0.450X1220"/>
    <s v="aZ70"/>
    <s v="PRO GREY TSL 1916"/>
    <n v="3"/>
    <n v="5"/>
    <s v="Wider"/>
    <s v="B18"/>
    <s v="Y550PL"/>
    <s v="ISC6"/>
    <n v="0.45"/>
    <n v="1220"/>
    <n v="0"/>
    <n v="28"/>
    <n v="0"/>
    <n v="28"/>
    <n v="28"/>
    <n v="0"/>
    <n v="28"/>
    <m/>
    <m/>
    <n v="28"/>
    <n v="28"/>
    <m/>
    <n v="31.360000000000003"/>
    <n v="0"/>
    <n v="0"/>
    <n v="0"/>
    <n v="0"/>
    <n v="0"/>
    <n v="0"/>
    <n v="0"/>
    <n v="0"/>
    <n v="0"/>
    <n v="0"/>
    <n v="0"/>
    <n v="0"/>
    <n v="0"/>
    <n v="0"/>
    <n v="0"/>
    <n v="0"/>
    <n v="0"/>
    <n v="0"/>
    <n v="0"/>
    <n v="0"/>
    <n v="0"/>
    <n v="0"/>
    <n v="0"/>
    <n v="0"/>
    <n v="28"/>
    <n v="0"/>
    <n v="0"/>
    <n v="0"/>
    <n v="0"/>
    <n v="28"/>
    <n v="0"/>
    <n v="0"/>
    <n v="0"/>
    <n v="0"/>
    <n v="0"/>
    <n v="0"/>
    <n v="28"/>
    <m/>
    <m/>
    <m/>
    <m/>
    <m/>
    <m/>
    <m/>
    <m/>
    <m/>
    <m/>
    <m/>
    <m/>
    <m/>
    <m/>
    <m/>
    <m/>
    <m/>
    <m/>
    <m/>
    <m/>
    <m/>
    <m/>
    <m/>
    <m/>
    <m/>
    <m/>
    <m/>
    <m/>
    <m/>
    <m/>
    <m/>
    <m/>
    <m/>
    <m/>
  </r>
  <r>
    <n v="742"/>
    <d v="2025-02-19T00:00:00"/>
    <s v="ZBTO"/>
    <n v="9518534079"/>
    <n v="4"/>
    <s v="9518534079-4"/>
    <m/>
    <s v="Mar'25"/>
    <s v="Released orders"/>
    <x v="1"/>
    <x v="5"/>
    <s v="1000-IPPE"/>
    <m/>
    <x v="0"/>
    <m/>
    <m/>
    <m/>
    <m/>
    <s v="VISAJHAPATNAM"/>
    <m/>
    <n v="188238"/>
    <s v="Balmer Lawrie &amp; Co. Limited"/>
    <n v="2170030"/>
    <s v="CRCA COIL TATXXD BT01 1.200X1220"/>
    <s v=" "/>
    <s v=""/>
    <n v="8"/>
    <n v="12"/>
    <s v="Wider"/>
    <s v="C01"/>
    <s v="TATXXD"/>
    <s v="BT01"/>
    <n v="1.2"/>
    <n v="1220"/>
    <n v="0"/>
    <n v="28"/>
    <n v="0"/>
    <n v="28"/>
    <n v="28"/>
    <n v="0"/>
    <n v="28"/>
    <m/>
    <m/>
    <n v="28"/>
    <n v="28"/>
    <m/>
    <n v="31.360000000000003"/>
    <n v="0"/>
    <n v="0"/>
    <n v="0"/>
    <n v="0"/>
    <n v="0"/>
    <n v="0"/>
    <n v="0"/>
    <n v="0"/>
    <n v="0"/>
    <n v="0"/>
    <n v="0"/>
    <n v="0"/>
    <n v="0"/>
    <n v="0"/>
    <n v="0"/>
    <n v="0"/>
    <n v="0"/>
    <n v="0"/>
    <n v="0"/>
    <n v="0"/>
    <n v="0"/>
    <n v="0"/>
    <n v="0"/>
    <n v="0"/>
    <n v="28"/>
    <n v="0"/>
    <n v="0"/>
    <n v="0"/>
    <n v="28"/>
    <n v="0"/>
    <n v="28"/>
    <n v="0"/>
    <n v="0"/>
    <n v="0"/>
    <n v="0"/>
    <n v="28"/>
    <n v="0"/>
    <m/>
    <m/>
    <m/>
    <m/>
    <m/>
    <m/>
    <m/>
    <m/>
    <m/>
    <m/>
    <m/>
    <m/>
    <m/>
    <m/>
    <m/>
    <m/>
    <m/>
    <m/>
    <m/>
    <m/>
    <m/>
    <m/>
    <m/>
    <m/>
    <m/>
    <m/>
    <m/>
    <m/>
    <m/>
    <m/>
    <m/>
    <m/>
    <m/>
    <m/>
  </r>
  <r>
    <n v="742"/>
    <d v="2025-02-20T00:00:00"/>
    <s v="ZBTO"/>
    <n v="9518534103"/>
    <n v="1"/>
    <s v="9518534103-1"/>
    <m/>
    <s v="Mar'25"/>
    <s v="Released orders"/>
    <x v="1"/>
    <x v="5"/>
    <s v="1000-IPPE"/>
    <m/>
    <x v="0"/>
    <m/>
    <m/>
    <m/>
    <m/>
    <s v="CHENNAI"/>
    <m/>
    <n v="187214"/>
    <s v="BALMER LAWRIE &amp; CO. LIMITED.."/>
    <n v="2402200"/>
    <s v="CRCA COIL TATXXD BT01 0.900X1315"/>
    <s v=" "/>
    <s v=""/>
    <n v="8"/>
    <n v="12"/>
    <s v="Wider"/>
    <s v="C01"/>
    <s v="TATXXD"/>
    <s v="BT01"/>
    <n v="0.9"/>
    <n v="1315"/>
    <n v="0"/>
    <n v="30"/>
    <n v="0"/>
    <n v="30"/>
    <n v="30"/>
    <n v="0"/>
    <n v="30"/>
    <m/>
    <m/>
    <n v="30"/>
    <n v="30"/>
    <m/>
    <n v="33.6"/>
    <n v="0"/>
    <n v="0"/>
    <n v="0"/>
    <n v="0"/>
    <n v="0"/>
    <n v="0"/>
    <n v="0"/>
    <n v="0"/>
    <n v="0"/>
    <n v="0"/>
    <n v="0"/>
    <n v="0"/>
    <n v="0"/>
    <n v="0"/>
    <n v="0"/>
    <n v="0"/>
    <n v="0"/>
    <n v="0"/>
    <n v="0"/>
    <n v="0"/>
    <n v="0"/>
    <n v="0"/>
    <n v="0"/>
    <n v="0"/>
    <n v="30"/>
    <n v="0"/>
    <n v="0"/>
    <n v="0"/>
    <n v="0"/>
    <n v="30"/>
    <n v="0"/>
    <n v="0"/>
    <n v="0"/>
    <n v="0"/>
    <n v="0"/>
    <n v="0"/>
    <n v="30"/>
    <m/>
    <m/>
    <m/>
    <m/>
    <m/>
    <m/>
    <m/>
    <m/>
    <m/>
    <m/>
    <m/>
    <m/>
    <m/>
    <m/>
    <m/>
    <m/>
    <m/>
    <m/>
    <m/>
    <m/>
    <m/>
    <m/>
    <m/>
    <m/>
    <m/>
    <m/>
    <m/>
    <m/>
    <m/>
    <m/>
    <m/>
    <m/>
    <m/>
    <m/>
  </r>
  <r>
    <n v="743"/>
    <d v="2025-02-18T00:00:00"/>
    <s v="ZBTO"/>
    <n v="9518528325"/>
    <n v="8"/>
    <s v="9518528325-8"/>
    <m/>
    <s v="Mar'25"/>
    <s v="Released orders"/>
    <x v="2"/>
    <x v="6"/>
    <s v="2000-BPRS"/>
    <m/>
    <x v="0"/>
    <m/>
    <m/>
    <m/>
    <m/>
    <s v="KOLKATA"/>
    <m/>
    <n v="100922"/>
    <s v="BUBNA COMMERCIAL COMPANY"/>
    <n v="1300227"/>
    <s v="GP COIL SOFT-TATXGP-GLK1-0.6X1220"/>
    <s v="Z80"/>
    <s v=""/>
    <n v="5"/>
    <n v="15"/>
    <s v="Wider"/>
    <s v="C02"/>
    <s v="TATXGP"/>
    <s v="GLK1"/>
    <n v="0.6"/>
    <n v="1220"/>
    <n v="0"/>
    <n v="28"/>
    <n v="0"/>
    <n v="28"/>
    <n v="28"/>
    <n v="0"/>
    <n v="28"/>
    <m/>
    <m/>
    <n v="28"/>
    <n v="28"/>
    <n v="0"/>
    <n v="31.360000000000003"/>
    <n v="0"/>
    <n v="0"/>
    <n v="0"/>
    <n v="0"/>
    <n v="0"/>
    <n v="0"/>
    <n v="0"/>
    <n v="0"/>
    <n v="0"/>
    <n v="0"/>
    <n v="0"/>
    <n v="0"/>
    <n v="0"/>
    <n v="0"/>
    <n v="0"/>
    <n v="0"/>
    <n v="0"/>
    <n v="0"/>
    <n v="0"/>
    <n v="0"/>
    <n v="0"/>
    <n v="0"/>
    <n v="0"/>
    <n v="0"/>
    <n v="28"/>
    <n v="0"/>
    <n v="0"/>
    <n v="0"/>
    <n v="28"/>
    <n v="0"/>
    <n v="28"/>
    <n v="0"/>
    <n v="0"/>
    <n v="0"/>
    <n v="0"/>
    <n v="28"/>
    <n v="0"/>
    <m/>
    <m/>
    <m/>
    <m/>
    <m/>
    <m/>
    <m/>
    <m/>
    <m/>
    <m/>
    <m/>
    <m/>
    <m/>
    <m/>
    <m/>
    <m/>
    <m/>
    <m/>
    <m/>
    <m/>
    <m/>
    <m/>
    <m/>
    <m/>
    <m/>
    <m/>
    <m/>
    <m/>
    <m/>
    <m/>
    <m/>
    <m/>
    <m/>
    <m/>
  </r>
  <r>
    <n v="743"/>
    <d v="2025-02-12T00:00:00"/>
    <s v="ZBTO"/>
    <n v="9518511839"/>
    <n v="1"/>
    <s v="9518511839-1"/>
    <m/>
    <s v="Mar'25"/>
    <s v="Released orders"/>
    <x v="2"/>
    <x v="6"/>
    <n v="2000"/>
    <m/>
    <x v="0"/>
    <m/>
    <m/>
    <s v="Madhya Pradesh"/>
    <m/>
    <m/>
    <m/>
    <n v="944695"/>
    <s v="ANM ISPAT PRIVATE LIMITED"/>
    <n v="1851106"/>
    <s v="GP COIL SOFT-TATXGP-GK09-0.6X1250"/>
    <n v="80"/>
    <s v=""/>
    <m/>
    <m/>
    <s v="Wider"/>
    <s v="C02"/>
    <s v="TATXGP"/>
    <s v="GK09"/>
    <n v="0.6"/>
    <n v="1250"/>
    <n v="0"/>
    <n v="58"/>
    <n v="0"/>
    <n v="58"/>
    <n v="58"/>
    <n v="0"/>
    <n v="58"/>
    <m/>
    <m/>
    <n v="58"/>
    <n v="58"/>
    <n v="0"/>
    <n v="64.960000000000008"/>
    <n v="0"/>
    <n v="0"/>
    <n v="0"/>
    <n v="0"/>
    <n v="0"/>
    <n v="0"/>
    <n v="0"/>
    <n v="0"/>
    <n v="0"/>
    <n v="0"/>
    <n v="0"/>
    <n v="0"/>
    <n v="0"/>
    <n v="0"/>
    <n v="0"/>
    <n v="0"/>
    <n v="0"/>
    <n v="0"/>
    <n v="0"/>
    <n v="0"/>
    <n v="0"/>
    <n v="0"/>
    <n v="0"/>
    <n v="0"/>
    <n v="58"/>
    <n v="0"/>
    <n v="0"/>
    <n v="0"/>
    <n v="58"/>
    <n v="0"/>
    <n v="58"/>
    <n v="0"/>
    <n v="0"/>
    <n v="0"/>
    <n v="0"/>
    <n v="58"/>
    <n v="0"/>
    <m/>
    <m/>
    <m/>
    <m/>
    <m/>
    <m/>
    <m/>
    <m/>
    <m/>
    <m/>
    <m/>
    <m/>
    <m/>
    <m/>
    <m/>
    <m/>
    <m/>
    <m/>
    <m/>
    <m/>
    <m/>
    <m/>
    <m/>
    <m/>
    <m/>
    <m/>
    <m/>
    <m/>
    <m/>
    <m/>
    <m/>
    <m/>
    <m/>
    <m/>
  </r>
  <r>
    <n v="744"/>
    <d v="2025-02-22T00:00:00"/>
    <s v="ZBTO"/>
    <n v="9518543125"/>
    <n v="3"/>
    <s v="9518543125-3"/>
    <m/>
    <s v="Mar'25"/>
    <s v="Released orders"/>
    <x v="4"/>
    <x v="7"/>
    <s v="1000-IPPE"/>
    <m/>
    <x v="0"/>
    <m/>
    <m/>
    <m/>
    <m/>
    <s v="GAMHARIA"/>
    <m/>
    <n v="940016"/>
    <s v="TATA BLUESCOPE STEEL PVT LTD."/>
    <n v="3797658"/>
    <s v="PPGL C Y550 ISC6 0.40BMT(0.45TPT)X1220"/>
    <s v="aZ70"/>
    <s v="PRO BLUE TSL 1913"/>
    <n v="3"/>
    <n v="5"/>
    <s v="Wider"/>
    <s v="B18"/>
    <s v="Y550PL"/>
    <s v="ISC6"/>
    <n v="0.4"/>
    <n v="1220"/>
    <n v="0"/>
    <n v="196"/>
    <n v="0"/>
    <n v="196"/>
    <n v="196"/>
    <n v="0"/>
    <n v="196"/>
    <m/>
    <m/>
    <n v="196"/>
    <n v="196"/>
    <m/>
    <n v="219.52"/>
    <n v="0"/>
    <n v="0"/>
    <n v="0"/>
    <n v="0"/>
    <n v="0"/>
    <n v="0"/>
    <n v="0"/>
    <n v="0"/>
    <n v="0"/>
    <n v="0"/>
    <n v="0"/>
    <n v="0"/>
    <n v="0"/>
    <n v="0"/>
    <n v="0"/>
    <n v="0"/>
    <n v="0"/>
    <n v="0"/>
    <n v="0"/>
    <n v="0"/>
    <n v="0"/>
    <n v="0"/>
    <n v="0"/>
    <n v="0"/>
    <n v="196"/>
    <n v="0"/>
    <n v="0"/>
    <n v="0"/>
    <n v="196"/>
    <n v="0"/>
    <n v="196"/>
    <n v="0"/>
    <n v="0"/>
    <n v="0"/>
    <n v="0"/>
    <n v="196"/>
    <n v="0"/>
    <m/>
    <m/>
    <m/>
    <m/>
    <m/>
    <m/>
    <m/>
    <m/>
    <m/>
    <m/>
    <m/>
    <m/>
    <m/>
    <m/>
    <m/>
    <m/>
    <m/>
    <m/>
    <m/>
    <m/>
    <m/>
    <m/>
    <m/>
    <m/>
    <m/>
    <m/>
    <m/>
    <m/>
    <m/>
    <m/>
    <m/>
    <m/>
    <m/>
    <m/>
  </r>
  <r>
    <n v="744"/>
    <d v="2025-02-22T00:00:00"/>
    <s v="ZBTO"/>
    <n v="9518543125"/>
    <n v="4"/>
    <s v="9518543125-4"/>
    <m/>
    <s v="Mar'25"/>
    <s v="Released orders"/>
    <x v="4"/>
    <x v="7"/>
    <s v="1000-IPPE"/>
    <m/>
    <x v="0"/>
    <m/>
    <m/>
    <m/>
    <m/>
    <s v="GAMHARIA"/>
    <m/>
    <n v="940016"/>
    <s v="TATA BLUESCOPE STEEL PVT LTD."/>
    <n v="3797658"/>
    <s v="PPGL C Y550 ISC6 0.40BMT(0.45TPT)X1220"/>
    <s v="aZ70"/>
    <s v="PRO ROSY RED TSL 1920"/>
    <n v="3"/>
    <n v="5"/>
    <s v="Wider"/>
    <s v="B18"/>
    <s v="Y550PL"/>
    <s v="ISC6"/>
    <n v="0.4"/>
    <n v="1220"/>
    <n v="0"/>
    <n v="252"/>
    <n v="0"/>
    <n v="252"/>
    <n v="252"/>
    <n v="0"/>
    <n v="252"/>
    <n v="252"/>
    <m/>
    <n v="252"/>
    <n v="252"/>
    <m/>
    <n v="282.24"/>
    <n v="0"/>
    <n v="0"/>
    <n v="0"/>
    <n v="0"/>
    <n v="0"/>
    <n v="0"/>
    <n v="0"/>
    <n v="0"/>
    <n v="0"/>
    <n v="0"/>
    <n v="0"/>
    <n v="0"/>
    <n v="0"/>
    <n v="0"/>
    <n v="0"/>
    <n v="0"/>
    <n v="0"/>
    <n v="0"/>
    <n v="0"/>
    <n v="0"/>
    <n v="0"/>
    <n v="0"/>
    <n v="0"/>
    <n v="0"/>
    <n v="252"/>
    <n v="0"/>
    <n v="0"/>
    <n v="0"/>
    <n v="0"/>
    <n v="252"/>
    <n v="0"/>
    <n v="0"/>
    <n v="0"/>
    <n v="0"/>
    <n v="0"/>
    <n v="0"/>
    <n v="252"/>
    <m/>
    <m/>
    <m/>
    <m/>
    <m/>
    <m/>
    <m/>
    <m/>
    <m/>
    <m/>
    <m/>
    <m/>
    <m/>
    <m/>
    <m/>
    <m/>
    <m/>
    <m/>
    <m/>
    <m/>
    <m/>
    <m/>
    <m/>
    <m/>
    <m/>
    <m/>
    <m/>
    <m/>
    <m/>
    <m/>
    <m/>
    <m/>
    <m/>
    <m/>
  </r>
  <r>
    <n v="744"/>
    <d v="2025-02-22T00:00:00"/>
    <s v="ZBTO"/>
    <n v="9518543125"/>
    <n v="1"/>
    <s v="9518543125-1"/>
    <m/>
    <s v="Mar'25"/>
    <s v="Released orders"/>
    <x v="4"/>
    <x v="7"/>
    <s v="1000-IPPE"/>
    <m/>
    <x v="0"/>
    <m/>
    <m/>
    <m/>
    <m/>
    <s v="GAMHARIA"/>
    <m/>
    <n v="940016"/>
    <s v="TATA BLUESCOPE STEEL PVT LTD."/>
    <n v="3797658"/>
    <s v="PPGL C Y550 ISC6 0.40BMT(0.45TPT)X1220"/>
    <s v="aZ70"/>
    <s v="PRO BLUE TSL 1913"/>
    <n v="3"/>
    <n v="5"/>
    <s v="Wider"/>
    <s v="B18"/>
    <s v="Y550PL"/>
    <s v="ISC6"/>
    <n v="0.4"/>
    <n v="1220"/>
    <n v="0"/>
    <n v="280"/>
    <n v="0"/>
    <n v="280"/>
    <n v="280"/>
    <n v="0"/>
    <n v="280"/>
    <n v="280"/>
    <m/>
    <n v="280"/>
    <n v="280"/>
    <m/>
    <n v="313.60000000000002"/>
    <n v="0"/>
    <n v="0"/>
    <n v="0"/>
    <n v="0"/>
    <n v="0"/>
    <n v="0"/>
    <n v="0"/>
    <n v="0"/>
    <n v="0"/>
    <n v="0"/>
    <n v="0"/>
    <n v="0"/>
    <n v="0"/>
    <n v="0"/>
    <n v="0"/>
    <n v="0"/>
    <n v="0"/>
    <n v="0"/>
    <n v="0"/>
    <n v="0"/>
    <n v="0"/>
    <n v="0"/>
    <n v="0"/>
    <n v="0"/>
    <n v="280"/>
    <n v="0"/>
    <n v="0"/>
    <n v="280"/>
    <n v="0"/>
    <n v="0"/>
    <n v="280"/>
    <n v="0"/>
    <n v="0"/>
    <n v="0"/>
    <n v="280"/>
    <n v="0"/>
    <n v="0"/>
    <m/>
    <m/>
    <m/>
    <m/>
    <m/>
    <m/>
    <m/>
    <m/>
    <m/>
    <m/>
    <m/>
    <m/>
    <m/>
    <m/>
    <m/>
    <m/>
    <m/>
    <m/>
    <m/>
    <m/>
    <m/>
    <m/>
    <m/>
    <m/>
    <m/>
    <m/>
    <m/>
    <m/>
    <m/>
    <m/>
    <m/>
    <m/>
    <m/>
    <m/>
  </r>
  <r>
    <n v="742"/>
    <d v="2025-02-19T00:00:00"/>
    <s v="ZBTO"/>
    <n v="9518534079"/>
    <n v="3"/>
    <s v="9518534079-3"/>
    <m/>
    <s v="Mar'25"/>
    <s v="Released orders"/>
    <x v="1"/>
    <x v="5"/>
    <s v="1000-IPPE"/>
    <n v="2300"/>
    <x v="0"/>
    <m/>
    <m/>
    <m/>
    <m/>
    <s v="VISAJHAPATNAM"/>
    <m/>
    <n v="188238"/>
    <s v="Balmer Lawrie &amp; Co. Limited"/>
    <n v="2170008"/>
    <s v="CRCA COIL TATXXD BT01 0.970X1220"/>
    <s v=" "/>
    <s v=""/>
    <n v="8"/>
    <n v="12"/>
    <s v="Wider"/>
    <s v="C01"/>
    <s v="TATXXD"/>
    <s v="BT01"/>
    <n v="0.97"/>
    <n v="1220"/>
    <n v="0"/>
    <n v="168"/>
    <n v="0"/>
    <n v="168"/>
    <n v="168"/>
    <n v="0"/>
    <n v="168"/>
    <m/>
    <m/>
    <n v="168"/>
    <n v="168"/>
    <m/>
    <n v="188.16000000000003"/>
    <n v="0"/>
    <n v="0"/>
    <n v="0"/>
    <n v="0"/>
    <n v="0"/>
    <n v="0"/>
    <n v="0"/>
    <n v="0"/>
    <n v="0"/>
    <n v="0"/>
    <n v="0"/>
    <n v="0"/>
    <n v="0"/>
    <n v="0"/>
    <n v="0"/>
    <n v="0"/>
    <n v="0"/>
    <n v="0"/>
    <n v="0"/>
    <n v="0"/>
    <n v="0"/>
    <n v="0"/>
    <n v="0"/>
    <n v="0"/>
    <n v="168"/>
    <n v="0"/>
    <n v="0"/>
    <n v="0"/>
    <n v="168"/>
    <n v="0"/>
    <n v="168"/>
    <n v="0"/>
    <n v="0"/>
    <n v="0"/>
    <n v="0"/>
    <n v="168"/>
    <n v="0"/>
    <m/>
    <m/>
    <m/>
    <m/>
    <m/>
    <m/>
    <m/>
    <m/>
    <m/>
    <m/>
    <m/>
    <m/>
    <m/>
    <m/>
    <m/>
    <m/>
    <m/>
    <m/>
    <m/>
    <m/>
    <m/>
    <m/>
    <m/>
    <m/>
    <m/>
    <m/>
    <m/>
    <m/>
    <m/>
    <m/>
    <m/>
    <m/>
    <m/>
    <m/>
  </r>
  <r>
    <n v="742"/>
    <d v="2025-02-20T00:00:00"/>
    <s v="ZBTO"/>
    <n v="9518534103"/>
    <n v="5"/>
    <s v="9518534103-5"/>
    <m/>
    <s v="Mar'25"/>
    <s v="Released orders"/>
    <x v="1"/>
    <x v="5"/>
    <s v="1000-IPPE"/>
    <m/>
    <x v="0"/>
    <m/>
    <m/>
    <m/>
    <m/>
    <s v="CHENNAI"/>
    <m/>
    <n v="187214"/>
    <s v="BALMER LAWRIE &amp; CO. LIMITED.."/>
    <n v="2421724"/>
    <s v="CRCA COIL TATXXD BT01 0.970X1310"/>
    <s v=" "/>
    <s v=""/>
    <n v="6"/>
    <n v="12"/>
    <s v="Wider"/>
    <s v="C01"/>
    <s v="TATXXD"/>
    <s v="BT01"/>
    <n v="0.97"/>
    <n v="1310"/>
    <n v="0"/>
    <n v="90"/>
    <n v="54.24"/>
    <n v="35.76"/>
    <n v="35.76"/>
    <n v="0"/>
    <n v="35.76"/>
    <m/>
    <m/>
    <n v="35.76"/>
    <n v="35.76"/>
    <m/>
    <n v="40.051200000000001"/>
    <n v="0"/>
    <n v="0"/>
    <n v="0"/>
    <n v="0"/>
    <n v="0"/>
    <n v="0"/>
    <n v="0"/>
    <n v="0"/>
    <n v="0"/>
    <n v="0"/>
    <n v="0"/>
    <n v="0"/>
    <n v="0"/>
    <n v="0"/>
    <n v="0"/>
    <n v="0"/>
    <n v="0"/>
    <n v="0"/>
    <n v="0"/>
    <n v="0"/>
    <n v="0"/>
    <n v="0"/>
    <n v="0"/>
    <n v="0"/>
    <n v="35.76"/>
    <n v="0"/>
    <n v="0"/>
    <n v="0"/>
    <n v="0"/>
    <n v="35.76"/>
    <n v="0"/>
    <n v="0"/>
    <n v="0"/>
    <n v="0"/>
    <n v="0"/>
    <n v="0"/>
    <n v="35.76"/>
    <m/>
    <m/>
    <m/>
    <m/>
    <m/>
    <m/>
    <m/>
    <m/>
    <m/>
    <m/>
    <m/>
    <m/>
    <m/>
    <m/>
    <m/>
    <m/>
    <m/>
    <m/>
    <m/>
    <m/>
    <m/>
    <m/>
    <m/>
    <m/>
    <m/>
    <m/>
    <m/>
    <m/>
    <m/>
    <m/>
    <m/>
    <m/>
    <m/>
    <m/>
  </r>
  <r>
    <n v="742"/>
    <d v="2025-02-20T00:00:00"/>
    <s v="ZBTO"/>
    <n v="9518534103"/>
    <n v="6"/>
    <s v="9518534103-6"/>
    <m/>
    <s v="Mar'25"/>
    <s v="Released orders"/>
    <x v="1"/>
    <x v="5"/>
    <s v="1000-IPPE"/>
    <m/>
    <x v="0"/>
    <m/>
    <m/>
    <m/>
    <m/>
    <s v="CHENNAI"/>
    <m/>
    <n v="187214"/>
    <s v="BALMER LAWRIE &amp; CO. LIMITED.."/>
    <n v="3701960"/>
    <s v="CR COIL TATXXD BT01 1.200X1310"/>
    <s v=" "/>
    <s v=""/>
    <n v="8"/>
    <n v="12"/>
    <s v="Wider"/>
    <s v="C01"/>
    <s v="TATXXD"/>
    <s v="BT01"/>
    <n v="1.2"/>
    <n v="1310"/>
    <n v="0"/>
    <n v="30"/>
    <n v="0"/>
    <n v="30"/>
    <n v="30"/>
    <n v="0"/>
    <n v="30"/>
    <m/>
    <m/>
    <n v="30"/>
    <n v="30"/>
    <m/>
    <n v="33.6"/>
    <n v="0"/>
    <n v="0"/>
    <n v="0"/>
    <n v="0"/>
    <n v="0"/>
    <n v="0"/>
    <n v="0"/>
    <n v="0"/>
    <n v="0"/>
    <n v="0"/>
    <n v="0"/>
    <n v="0"/>
    <n v="0"/>
    <n v="0"/>
    <n v="0"/>
    <n v="0"/>
    <n v="0"/>
    <n v="0"/>
    <n v="0"/>
    <n v="0"/>
    <n v="0"/>
    <n v="0"/>
    <n v="0"/>
    <n v="0"/>
    <n v="30"/>
    <n v="0"/>
    <n v="0"/>
    <n v="0"/>
    <n v="0"/>
    <n v="30"/>
    <n v="0"/>
    <n v="0"/>
    <n v="0"/>
    <n v="0"/>
    <n v="0"/>
    <n v="0"/>
    <n v="30"/>
    <m/>
    <m/>
    <m/>
    <m/>
    <m/>
    <m/>
    <m/>
    <m/>
    <m/>
    <m/>
    <m/>
    <m/>
    <m/>
    <m/>
    <m/>
    <m/>
    <m/>
    <m/>
    <m/>
    <m/>
    <m/>
    <m/>
    <m/>
    <m/>
    <m/>
    <m/>
    <m/>
    <m/>
    <m/>
    <m/>
    <m/>
    <m/>
    <m/>
    <m/>
  </r>
  <r>
    <n v="742"/>
    <d v="2025-02-20T00:00:00"/>
    <s v="ZBTO"/>
    <n v="9518534128"/>
    <n v="2"/>
    <s v="9518534128-2"/>
    <m/>
    <s v="Mar'25"/>
    <s v="Released orders"/>
    <x v="1"/>
    <x v="5"/>
    <s v="1000-IPPE"/>
    <m/>
    <x v="0"/>
    <m/>
    <m/>
    <m/>
    <m/>
    <s v="FARIDABAD"/>
    <m/>
    <n v="189430"/>
    <s v="Balmer Lawrie &amp; Co. Ltd.,"/>
    <n v="2170008"/>
    <s v="CRCA COIL TATXXD BT01 0.970X1220"/>
    <s v=" "/>
    <s v=""/>
    <n v="8"/>
    <n v="12"/>
    <s v="Wider"/>
    <s v="C01"/>
    <s v="TATXXD"/>
    <s v="BT01"/>
    <n v="0.97"/>
    <n v="1220"/>
    <n v="0"/>
    <n v="84"/>
    <n v="0"/>
    <n v="84"/>
    <n v="84"/>
    <n v="0"/>
    <n v="84"/>
    <m/>
    <m/>
    <n v="84"/>
    <n v="84"/>
    <m/>
    <n v="94.080000000000013"/>
    <n v="0"/>
    <n v="0"/>
    <n v="0"/>
    <n v="0"/>
    <n v="0"/>
    <n v="0"/>
    <n v="0"/>
    <n v="0"/>
    <n v="0"/>
    <n v="0"/>
    <n v="0"/>
    <n v="0"/>
    <n v="0"/>
    <n v="0"/>
    <n v="0"/>
    <n v="0"/>
    <n v="0"/>
    <n v="0"/>
    <n v="0"/>
    <n v="0"/>
    <n v="0"/>
    <n v="0"/>
    <n v="0"/>
    <n v="0"/>
    <n v="84"/>
    <n v="0"/>
    <n v="0"/>
    <n v="0"/>
    <n v="84"/>
    <n v="0"/>
    <n v="84"/>
    <n v="0"/>
    <n v="0"/>
    <n v="0"/>
    <n v="0"/>
    <n v="84"/>
    <n v="0"/>
    <m/>
    <m/>
    <m/>
    <m/>
    <m/>
    <m/>
    <m/>
    <m/>
    <m/>
    <m/>
    <m/>
    <m/>
    <m/>
    <m/>
    <m/>
    <m/>
    <m/>
    <m/>
    <m/>
    <m/>
    <m/>
    <m/>
    <m/>
    <m/>
    <m/>
    <m/>
    <m/>
    <m/>
    <m/>
    <m/>
    <m/>
    <m/>
    <m/>
    <m/>
  </r>
  <r>
    <n v="742"/>
    <d v="2025-02-19T00:00:00"/>
    <s v="ZBTO"/>
    <n v="9518533995"/>
    <n v="1"/>
    <s v="9518533995-1"/>
    <m/>
    <s v="Stocks"/>
    <s v="Released orders"/>
    <x v="1"/>
    <x v="5"/>
    <s v="1000-IPPE"/>
    <m/>
    <x v="0"/>
    <m/>
    <m/>
    <m/>
    <m/>
    <s v="VADODARA"/>
    <m/>
    <n v="189022"/>
    <s v="Balmer Lawrie And Company Limited"/>
    <n v="2164807"/>
    <s v="CRCA COIL TATXXD BT01 1.200X1315"/>
    <s v=" "/>
    <s v=""/>
    <n v="8"/>
    <n v="12"/>
    <s v="Wider"/>
    <s v="C01"/>
    <s v="TATXXD"/>
    <s v="BT01"/>
    <n v="1.2"/>
    <n v="1315"/>
    <n v="0"/>
    <n v="60"/>
    <n v="55.094999999999999"/>
    <n v="32.395000000000003"/>
    <n v="32.395000000000003"/>
    <n v="0"/>
    <n v="32.395000000000003"/>
    <m/>
    <m/>
    <n v="32.395000000000003"/>
    <n v="4.9050000000000002"/>
    <m/>
    <n v="36.28240000000001"/>
    <n v="0"/>
    <n v="0"/>
    <n v="0"/>
    <n v="0"/>
    <n v="0"/>
    <n v="0"/>
    <n v="0"/>
    <n v="0"/>
    <n v="0"/>
    <n v="0"/>
    <n v="0"/>
    <n v="0"/>
    <n v="0"/>
    <n v="0"/>
    <n v="0"/>
    <n v="0"/>
    <n v="0"/>
    <n v="0"/>
    <n v="0"/>
    <n v="0"/>
    <n v="0"/>
    <n v="0"/>
    <n v="0"/>
    <n v="45.075000000000003"/>
    <n v="0"/>
    <n v="0"/>
    <n v="0"/>
    <n v="0"/>
    <n v="0"/>
    <n v="0"/>
    <n v="45.075000000000003"/>
    <n v="0"/>
    <n v="45.075000000000003"/>
    <n v="0"/>
    <n v="0"/>
    <n v="0"/>
    <n v="0"/>
    <m/>
    <m/>
    <m/>
    <m/>
    <m/>
    <m/>
    <m/>
    <m/>
    <m/>
    <m/>
    <m/>
    <m/>
    <m/>
    <m/>
    <m/>
    <m/>
    <m/>
    <m/>
    <m/>
    <m/>
    <m/>
    <m/>
    <m/>
    <m/>
    <m/>
    <m/>
    <m/>
    <m/>
    <m/>
    <m/>
    <m/>
    <m/>
    <m/>
    <m/>
  </r>
  <r>
    <n v="743"/>
    <d v="2025-02-22T00:00:00"/>
    <s v="ZBTO"/>
    <n v="9518542770"/>
    <n v="4"/>
    <s v="9518542770-4"/>
    <m/>
    <s v="Mar'25"/>
    <s v="Released orders"/>
    <x v="3"/>
    <x v="7"/>
    <s v="1000-IPPE"/>
    <m/>
    <x v="0"/>
    <m/>
    <m/>
    <m/>
    <m/>
    <s v=" "/>
    <m/>
    <n v="942283"/>
    <s v="TATA BLUESCOPE STEEL PRIVATE LIMITE"/>
    <n v="1881969"/>
    <s v="GL C YS550 H6GL 0.45BMT(0.50TCT)X1220"/>
    <s v="AZ150"/>
    <s v=""/>
    <n v="3"/>
    <n v="5"/>
    <s v="Wider"/>
    <s v="B04"/>
    <s v="Y550GL"/>
    <s v="H6GL"/>
    <n v="0.45"/>
    <n v="1220"/>
    <n v="0"/>
    <n v="224"/>
    <n v="22.44"/>
    <n v="224"/>
    <n v="224"/>
    <n v="0"/>
    <n v="224"/>
    <m/>
    <m/>
    <n v="224"/>
    <n v="201.56"/>
    <m/>
    <n v="250.88000000000002"/>
    <n v="0"/>
    <n v="0"/>
    <n v="0"/>
    <n v="0"/>
    <n v="0"/>
    <n v="0"/>
    <n v="0"/>
    <n v="0"/>
    <n v="0"/>
    <n v="0"/>
    <n v="0"/>
    <n v="0"/>
    <n v="0"/>
    <n v="0"/>
    <n v="0"/>
    <n v="0"/>
    <n v="0"/>
    <n v="0"/>
    <n v="0"/>
    <n v="0"/>
    <n v="0"/>
    <n v="0"/>
    <n v="0"/>
    <n v="11.33"/>
    <n v="201.56"/>
    <n v="0"/>
    <n v="201.56"/>
    <n v="0"/>
    <n v="0"/>
    <n v="0"/>
    <n v="212.89000000000001"/>
    <n v="0"/>
    <n v="0"/>
    <n v="212.89000000000001"/>
    <n v="0"/>
    <n v="0"/>
    <n v="0"/>
    <m/>
    <m/>
    <m/>
    <m/>
    <m/>
    <m/>
    <m/>
    <m/>
    <m/>
    <m/>
    <m/>
    <m/>
    <m/>
    <m/>
    <m/>
    <m/>
    <m/>
    <m/>
    <m/>
    <m/>
    <m/>
    <m/>
    <m/>
    <m/>
    <m/>
    <m/>
    <m/>
    <m/>
    <m/>
    <m/>
    <m/>
    <m/>
    <m/>
    <m/>
  </r>
  <r>
    <n v="744"/>
    <d v="2025-02-22T00:00:00"/>
    <s v="ZBTO"/>
    <n v="9518543125"/>
    <n v="2"/>
    <s v="9518543125-2"/>
    <m/>
    <s v="Mar'25"/>
    <s v="Released orders"/>
    <x v="4"/>
    <x v="7"/>
    <s v="1000-IPPE"/>
    <m/>
    <x v="0"/>
    <m/>
    <m/>
    <m/>
    <m/>
    <s v="GAMHARIA"/>
    <m/>
    <n v="940016"/>
    <s v="TATA BLUESCOPE STEEL PVT LTD."/>
    <n v="3797658"/>
    <s v="PPGL C Y550 ISC6 0.40BMT(0.45TPT)X1220"/>
    <s v="aZ70"/>
    <s v="PRO BLUE TSL 1913"/>
    <n v="3"/>
    <n v="5"/>
    <s v="Wider"/>
    <s v="B18"/>
    <s v="Y550PL"/>
    <s v="ISC6"/>
    <n v="0.4"/>
    <n v="1220"/>
    <n v="0"/>
    <n v="280"/>
    <n v="0"/>
    <n v="280"/>
    <n v="280"/>
    <n v="0"/>
    <n v="280"/>
    <n v="280"/>
    <m/>
    <n v="280"/>
    <n v="280"/>
    <m/>
    <n v="313.60000000000002"/>
    <n v="0"/>
    <n v="0"/>
    <n v="0"/>
    <n v="0"/>
    <n v="0"/>
    <n v="0"/>
    <n v="0"/>
    <n v="0"/>
    <n v="0"/>
    <n v="0"/>
    <n v="0"/>
    <n v="0"/>
    <n v="0"/>
    <n v="0"/>
    <n v="0"/>
    <n v="0"/>
    <n v="0"/>
    <n v="0"/>
    <n v="0"/>
    <n v="0"/>
    <n v="0"/>
    <n v="0"/>
    <n v="0"/>
    <n v="0"/>
    <n v="280"/>
    <n v="0"/>
    <n v="0"/>
    <n v="0"/>
    <n v="280"/>
    <n v="0"/>
    <n v="280"/>
    <n v="0"/>
    <n v="0"/>
    <n v="0"/>
    <n v="0"/>
    <n v="280"/>
    <n v="0"/>
    <m/>
    <m/>
    <m/>
    <m/>
    <m/>
    <m/>
    <m/>
    <m/>
    <m/>
    <m/>
    <m/>
    <m/>
    <m/>
    <m/>
    <m/>
    <m/>
    <m/>
    <m/>
    <m/>
    <m/>
    <m/>
    <m/>
    <m/>
    <m/>
    <m/>
    <m/>
    <m/>
    <m/>
    <m/>
    <m/>
    <m/>
    <m/>
    <m/>
    <m/>
  </r>
  <r>
    <n v="743"/>
    <d v="2025-02-22T00:00:00"/>
    <s v="ZBTO"/>
    <n v="9518542770"/>
    <n v="5"/>
    <s v="9518542770-5"/>
    <m/>
    <s v="Mar'25"/>
    <s v="Released orders"/>
    <x v="3"/>
    <x v="7"/>
    <s v="1000-IPPE"/>
    <m/>
    <x v="0"/>
    <m/>
    <m/>
    <m/>
    <m/>
    <s v=" "/>
    <m/>
    <n v="942283"/>
    <s v="TATA BLUESCOPE STEEL PRIVATE LIMITE"/>
    <n v="1881969"/>
    <s v="GL C YS550 H6GL 0.45BMT(0.50TCT)X1220"/>
    <s v="AZ150"/>
    <s v=""/>
    <n v="3"/>
    <n v="5"/>
    <s v="Wider"/>
    <s v="B04"/>
    <s v="Y550GL"/>
    <s v="H6GL"/>
    <n v="0.45"/>
    <n v="1220"/>
    <n v="0"/>
    <n v="224"/>
    <n v="0"/>
    <n v="224"/>
    <n v="224"/>
    <n v="0"/>
    <n v="224"/>
    <m/>
    <m/>
    <n v="224"/>
    <n v="224"/>
    <m/>
    <n v="250.88000000000002"/>
    <n v="0"/>
    <n v="0"/>
    <n v="0"/>
    <n v="0"/>
    <n v="0"/>
    <n v="0"/>
    <n v="0"/>
    <n v="0"/>
    <n v="0"/>
    <n v="0"/>
    <n v="0"/>
    <n v="0"/>
    <n v="0"/>
    <n v="0"/>
    <n v="0"/>
    <n v="0"/>
    <n v="0"/>
    <n v="0"/>
    <n v="0"/>
    <n v="0"/>
    <n v="0"/>
    <n v="0"/>
    <n v="0"/>
    <n v="0"/>
    <n v="224"/>
    <n v="0"/>
    <n v="0"/>
    <n v="224"/>
    <n v="0"/>
    <n v="0"/>
    <n v="224"/>
    <n v="0"/>
    <n v="0"/>
    <n v="0"/>
    <n v="224"/>
    <n v="0"/>
    <n v="0"/>
    <m/>
    <m/>
    <m/>
    <m/>
    <m/>
    <m/>
    <m/>
    <m/>
    <m/>
    <m/>
    <m/>
    <m/>
    <m/>
    <m/>
    <m/>
    <m/>
    <m/>
    <m/>
    <m/>
    <m/>
    <m/>
    <m/>
    <m/>
    <m/>
    <m/>
    <m/>
    <m/>
    <m/>
    <m/>
    <m/>
    <m/>
    <m/>
    <m/>
    <m/>
  </r>
  <r>
    <n v="743"/>
    <d v="2025-02-22T00:00:00"/>
    <s v="ZBTO"/>
    <n v="9518542770"/>
    <n v="6"/>
    <s v="9518542770-6"/>
    <m/>
    <s v="Mar'25"/>
    <s v="Released orders"/>
    <x v="3"/>
    <x v="7"/>
    <s v="1000-IPPE"/>
    <m/>
    <x v="0"/>
    <m/>
    <m/>
    <m/>
    <m/>
    <s v=" "/>
    <m/>
    <n v="942283"/>
    <s v="TATA BLUESCOPE STEEL PRIVATE LIMITE"/>
    <n v="1881969"/>
    <s v="GL C YS550 H6GL 0.45BMT(0.50TCT)X1220"/>
    <s v="AZ150"/>
    <s v=""/>
    <n v="3"/>
    <n v="5"/>
    <s v="Wider"/>
    <s v="B04"/>
    <s v="Y550GL"/>
    <s v="H6GL"/>
    <n v="0.45"/>
    <n v="1220"/>
    <n v="0"/>
    <n v="196"/>
    <n v="13.175000000000001"/>
    <n v="196"/>
    <n v="196"/>
    <n v="0"/>
    <n v="196"/>
    <m/>
    <m/>
    <n v="196"/>
    <n v="182.82499999999999"/>
    <m/>
    <n v="219.52"/>
    <n v="0"/>
    <n v="0"/>
    <n v="0"/>
    <n v="0"/>
    <n v="0"/>
    <n v="0"/>
    <n v="0"/>
    <n v="0"/>
    <n v="0"/>
    <n v="0"/>
    <n v="0"/>
    <n v="0"/>
    <n v="0"/>
    <n v="0"/>
    <n v="0"/>
    <n v="0"/>
    <n v="0"/>
    <n v="0"/>
    <n v="0"/>
    <n v="0"/>
    <n v="0"/>
    <n v="0"/>
    <n v="0"/>
    <n v="13.175000000000001"/>
    <n v="182.82499999999999"/>
    <n v="0"/>
    <n v="182.82499999999999"/>
    <n v="0"/>
    <n v="0"/>
    <n v="0"/>
    <n v="196"/>
    <n v="0"/>
    <n v="0"/>
    <n v="196"/>
    <n v="0"/>
    <n v="0"/>
    <n v="0"/>
    <m/>
    <m/>
    <m/>
    <m/>
    <m/>
    <m/>
    <m/>
    <m/>
    <m/>
    <m/>
    <m/>
    <m/>
    <m/>
    <m/>
    <m/>
    <m/>
    <m/>
    <m/>
    <m/>
    <m/>
    <m/>
    <m/>
    <m/>
    <m/>
    <m/>
    <m/>
    <m/>
    <m/>
    <m/>
    <m/>
    <m/>
    <m/>
    <m/>
    <m/>
  </r>
  <r>
    <n v="742"/>
    <d v="2025-01-10T00:00:00"/>
    <s v="ZBTO"/>
    <n v="9518419878"/>
    <n v="2"/>
    <s v="9518419878-2"/>
    <m/>
    <s v="No Priority"/>
    <s v="Released orders"/>
    <x v="1"/>
    <x v="1"/>
    <n v="2000"/>
    <m/>
    <x v="1"/>
    <s v="Mar"/>
    <m/>
    <m/>
    <m/>
    <s v="TATANAGAR"/>
    <m/>
    <n v="165053"/>
    <s v="SUDISA ENTERPRISES (P) LTD."/>
    <n v="2440959"/>
    <s v="CRCA SHEET TATCRC SR16 0.330X900X2500"/>
    <s v=" "/>
    <s v=""/>
    <n v="2"/>
    <n v="3.5"/>
    <s v="Narrow"/>
    <s v="C06"/>
    <s v="TATCRC"/>
    <s v="SR16"/>
    <n v="0.33"/>
    <n v="900"/>
    <n v="2500"/>
    <n v="20.99"/>
    <n v="18.72"/>
    <n v="20.99"/>
    <n v="2.27"/>
    <n v="0"/>
    <n v="0"/>
    <m/>
    <m/>
    <n v="20.99"/>
    <n v="2.27"/>
    <m/>
    <n v="23.508800000000001"/>
    <n v="0"/>
    <n v="0"/>
    <n v="0"/>
    <n v="0"/>
    <n v="0"/>
    <n v="0"/>
    <n v="0"/>
    <n v="0"/>
    <n v="0"/>
    <n v="0"/>
    <n v="0"/>
    <n v="0"/>
    <n v="0"/>
    <n v="0"/>
    <n v="0"/>
    <n v="0"/>
    <n v="0"/>
    <n v="0"/>
    <n v="0"/>
    <n v="0"/>
    <n v="0"/>
    <n v="0"/>
    <n v="0"/>
    <n v="0"/>
    <n v="0"/>
    <n v="0"/>
    <n v="0"/>
    <n v="0"/>
    <n v="0"/>
    <n v="0"/>
    <n v="0"/>
    <n v="0"/>
    <n v="0"/>
    <n v="0"/>
    <n v="0"/>
    <n v="0"/>
    <n v="0"/>
    <m/>
    <m/>
    <m/>
    <m/>
    <m/>
    <m/>
    <m/>
    <m/>
    <m/>
    <m/>
    <m/>
    <m/>
    <m/>
    <m/>
    <m/>
    <m/>
    <m/>
    <m/>
    <m/>
    <m/>
    <m/>
    <m/>
    <m/>
    <m/>
    <m/>
    <m/>
    <m/>
    <m/>
    <m/>
    <m/>
    <m/>
    <m/>
    <m/>
    <m/>
  </r>
  <r>
    <n v="744"/>
    <d v="2025-02-22T00:00:00"/>
    <s v="ZBTO"/>
    <n v="9518543214"/>
    <n v="1"/>
    <s v="9518543214-1"/>
    <m/>
    <s v="Mar'25"/>
    <s v="Released orders"/>
    <x v="4"/>
    <x v="7"/>
    <s v="1000-IPPE"/>
    <m/>
    <x v="0"/>
    <m/>
    <m/>
    <m/>
    <m/>
    <s v="GAMHARIA"/>
    <m/>
    <n v="940016"/>
    <s v="TATA BLUESCOPE STEEL PVT LTD."/>
    <n v="3879501"/>
    <s v="PPGL C HARD Y550PL ISC6 0.450X1220"/>
    <s v="aZ70"/>
    <s v="PRO BLUE TSL 1913"/>
    <n v="3"/>
    <n v="5"/>
    <s v="Wider"/>
    <s v="B18"/>
    <s v="Y550PL"/>
    <s v="ISC6"/>
    <n v="0.45"/>
    <n v="1220"/>
    <n v="0"/>
    <n v="84"/>
    <n v="57.375"/>
    <n v="84"/>
    <n v="84"/>
    <n v="0"/>
    <n v="84"/>
    <m/>
    <m/>
    <n v="84"/>
    <n v="26.625"/>
    <m/>
    <n v="94.080000000000013"/>
    <n v="0"/>
    <n v="0"/>
    <n v="0"/>
    <n v="0"/>
    <n v="0"/>
    <n v="0"/>
    <n v="0"/>
    <n v="0"/>
    <n v="0"/>
    <n v="0"/>
    <n v="0"/>
    <n v="0"/>
    <n v="0"/>
    <n v="0"/>
    <n v="0"/>
    <n v="0"/>
    <n v="0"/>
    <n v="0"/>
    <n v="0"/>
    <n v="0"/>
    <n v="0"/>
    <n v="0"/>
    <n v="0"/>
    <n v="21.72"/>
    <n v="26.625"/>
    <n v="0"/>
    <n v="0"/>
    <n v="26.625"/>
    <n v="0"/>
    <n v="0"/>
    <n v="48.344999999999999"/>
    <n v="0"/>
    <n v="0"/>
    <n v="0"/>
    <n v="48.344999999999999"/>
    <n v="0"/>
    <n v="0"/>
    <m/>
    <m/>
    <m/>
    <m/>
    <m/>
    <m/>
    <m/>
    <m/>
    <m/>
    <m/>
    <m/>
    <m/>
    <m/>
    <m/>
    <m/>
    <m/>
    <m/>
    <m/>
    <m/>
    <m/>
    <m/>
    <m/>
    <m/>
    <m/>
    <m/>
    <m/>
    <m/>
    <m/>
    <m/>
    <m/>
    <m/>
    <m/>
    <m/>
    <m/>
  </r>
  <r>
    <n v="744"/>
    <d v="2025-02-22T00:00:00"/>
    <s v="ZBTO"/>
    <n v="9518543214"/>
    <n v="2"/>
    <s v="9518543214-2"/>
    <m/>
    <s v="Mar'25"/>
    <s v="Released orders"/>
    <x v="4"/>
    <x v="7"/>
    <s v="1000-IPPE"/>
    <m/>
    <x v="0"/>
    <m/>
    <m/>
    <m/>
    <m/>
    <s v="GAMHARIA"/>
    <m/>
    <n v="940016"/>
    <s v="TATA BLUESCOPE STEEL PVT LTD."/>
    <n v="3879501"/>
    <s v="PPGL C HARD Y550PL ISC6 0.450X1220"/>
    <s v="aZ70"/>
    <s v="PRO WHITE TSL 1919"/>
    <n v="3"/>
    <n v="5"/>
    <s v="Wider"/>
    <s v="B18"/>
    <s v="Y550PL"/>
    <s v="ISC6"/>
    <n v="0.45"/>
    <n v="1220"/>
    <n v="0"/>
    <n v="28"/>
    <n v="0"/>
    <n v="28"/>
    <n v="28"/>
    <n v="0"/>
    <n v="28"/>
    <m/>
    <m/>
    <n v="28"/>
    <n v="28"/>
    <m/>
    <n v="31.360000000000003"/>
    <n v="0"/>
    <n v="0"/>
    <n v="0"/>
    <n v="0"/>
    <n v="0"/>
    <n v="0"/>
    <n v="0"/>
    <n v="0"/>
    <n v="0"/>
    <n v="0"/>
    <n v="0"/>
    <n v="0"/>
    <n v="0"/>
    <n v="0"/>
    <n v="0"/>
    <n v="0"/>
    <n v="0"/>
    <n v="0"/>
    <n v="0"/>
    <n v="0"/>
    <n v="0"/>
    <n v="0"/>
    <n v="0"/>
    <n v="0"/>
    <n v="28"/>
    <n v="0"/>
    <n v="0"/>
    <n v="28"/>
    <n v="0"/>
    <n v="0"/>
    <n v="28"/>
    <n v="0"/>
    <n v="0"/>
    <n v="0"/>
    <n v="28"/>
    <n v="0"/>
    <n v="0"/>
    <m/>
    <m/>
    <m/>
    <m/>
    <m/>
    <m/>
    <m/>
    <m/>
    <m/>
    <m/>
    <m/>
    <m/>
    <m/>
    <m/>
    <m/>
    <m/>
    <m/>
    <m/>
    <m/>
    <m/>
    <m/>
    <m/>
    <m/>
    <m/>
    <m/>
    <m/>
    <m/>
    <m/>
    <m/>
    <m/>
    <m/>
    <m/>
    <m/>
    <m/>
  </r>
  <r>
    <n v="742"/>
    <d v="2025-02-21T00:00:00"/>
    <s v="ZBTO"/>
    <n v="9518540578"/>
    <n v="1"/>
    <s v="9518540578-1"/>
    <m/>
    <s v="No Priority"/>
    <s v="Released orders"/>
    <x v="1"/>
    <x v="4"/>
    <n v="1000"/>
    <m/>
    <x v="1"/>
    <m/>
    <m/>
    <s v="West Bengal"/>
    <m/>
    <m/>
    <m/>
    <n v="948173"/>
    <s v="A.G.P.ENTERPRISE"/>
    <n v="3587949"/>
    <s v="CR COIL TSBSTA EL06 0.500X1250"/>
    <m/>
    <m/>
    <m/>
    <m/>
    <s v="Wider"/>
    <s v="C01"/>
    <s v="TSBSTA"/>
    <s v="EL06"/>
    <n v="0.5"/>
    <n v="1250"/>
    <n v="0"/>
    <n v="87"/>
    <e v="#N/A"/>
    <n v="87"/>
    <n v="87"/>
    <m/>
    <m/>
    <m/>
    <m/>
    <n v="87"/>
    <n v="0"/>
    <m/>
    <m/>
    <m/>
    <m/>
    <m/>
    <m/>
    <m/>
    <m/>
    <m/>
    <m/>
    <m/>
    <m/>
    <m/>
    <m/>
    <m/>
    <m/>
    <m/>
    <m/>
    <m/>
    <m/>
    <m/>
    <m/>
    <m/>
    <m/>
    <n v="0"/>
    <n v="0"/>
    <n v="0"/>
    <n v="0"/>
    <n v="0"/>
    <n v="0"/>
    <n v="0"/>
    <n v="0"/>
    <n v="0"/>
    <n v="0"/>
    <n v="0"/>
    <n v="0"/>
    <n v="0"/>
    <n v="0"/>
    <n v="0"/>
    <m/>
    <m/>
    <m/>
    <m/>
    <m/>
    <m/>
    <m/>
    <m/>
    <m/>
    <m/>
    <m/>
    <m/>
    <m/>
    <m/>
    <m/>
    <m/>
    <m/>
    <m/>
    <m/>
    <m/>
    <m/>
    <m/>
    <m/>
    <m/>
    <m/>
    <m/>
    <m/>
    <m/>
    <m/>
    <m/>
    <m/>
    <m/>
    <m/>
    <m/>
  </r>
  <r>
    <n v="742"/>
    <d v="2025-02-19T00:00:00"/>
    <s v="ZBTO"/>
    <n v="9518534079"/>
    <n v="1"/>
    <s v="9518534079-1"/>
    <m/>
    <s v="Mar'25"/>
    <s v="Released orders"/>
    <x v="1"/>
    <x v="5"/>
    <n v="1000"/>
    <m/>
    <x v="0"/>
    <m/>
    <m/>
    <s v="Andhra Pradesh"/>
    <m/>
    <m/>
    <m/>
    <n v="188238"/>
    <s v="Balmer Lawrie &amp; Co. Limited"/>
    <n v="2164800"/>
    <s v="CRCA COIL TATXXD BT02 0.970X913"/>
    <m/>
    <m/>
    <m/>
    <m/>
    <s v="Narrow"/>
    <s v="C01"/>
    <s v="TATXXD"/>
    <s v="BT02"/>
    <n v="0.97"/>
    <n v="913"/>
    <n v="0"/>
    <n v="84"/>
    <n v="0"/>
    <n v="84"/>
    <n v="84"/>
    <m/>
    <m/>
    <m/>
    <m/>
    <n v="84"/>
    <n v="84"/>
    <m/>
    <m/>
    <m/>
    <m/>
    <m/>
    <m/>
    <m/>
    <m/>
    <m/>
    <m/>
    <m/>
    <m/>
    <m/>
    <m/>
    <m/>
    <m/>
    <m/>
    <m/>
    <m/>
    <m/>
    <m/>
    <m/>
    <m/>
    <m/>
    <n v="0"/>
    <n v="0"/>
    <n v="84"/>
    <n v="0"/>
    <n v="0"/>
    <n v="0"/>
    <n v="84"/>
    <n v="0"/>
    <n v="84"/>
    <n v="0"/>
    <n v="0"/>
    <n v="0"/>
    <n v="0"/>
    <n v="84"/>
    <n v="0"/>
    <m/>
    <m/>
    <m/>
    <m/>
    <m/>
    <m/>
    <m/>
    <m/>
    <m/>
    <m/>
    <m/>
    <m/>
    <m/>
    <m/>
    <m/>
    <m/>
    <m/>
    <m/>
    <m/>
    <m/>
    <m/>
    <m/>
    <m/>
    <m/>
    <m/>
    <m/>
    <m/>
    <m/>
    <m/>
    <m/>
    <m/>
    <m/>
    <m/>
    <m/>
  </r>
  <r>
    <n v="742"/>
    <d v="2025-02-19T00:00:00"/>
    <s v="ZBTO"/>
    <n v="9518534079"/>
    <n v="2"/>
    <s v="9518534079-2"/>
    <m/>
    <s v="Mar'25"/>
    <s v="Released orders"/>
    <x v="1"/>
    <x v="5"/>
    <n v="1000"/>
    <m/>
    <x v="0"/>
    <m/>
    <m/>
    <s v="Andhra Pradesh"/>
    <m/>
    <m/>
    <m/>
    <n v="188238"/>
    <s v="Balmer Lawrie &amp; Co. Limited"/>
    <n v="2170009"/>
    <s v="CRCA COIL TATXXD BT02 1.200X914"/>
    <m/>
    <m/>
    <m/>
    <m/>
    <s v="Narrow"/>
    <s v="C01"/>
    <s v="TATXXD"/>
    <s v="BT02"/>
    <n v="1.2"/>
    <n v="914"/>
    <n v="0"/>
    <n v="21"/>
    <n v="0"/>
    <n v="21"/>
    <n v="21"/>
    <m/>
    <m/>
    <m/>
    <m/>
    <n v="21"/>
    <n v="21"/>
    <m/>
    <m/>
    <m/>
    <m/>
    <m/>
    <m/>
    <m/>
    <m/>
    <m/>
    <m/>
    <m/>
    <m/>
    <m/>
    <m/>
    <m/>
    <m/>
    <m/>
    <m/>
    <m/>
    <m/>
    <m/>
    <m/>
    <m/>
    <m/>
    <n v="0"/>
    <n v="0"/>
    <n v="21"/>
    <n v="0"/>
    <n v="0"/>
    <n v="0"/>
    <n v="21"/>
    <n v="0"/>
    <n v="21"/>
    <n v="0"/>
    <n v="0"/>
    <n v="0"/>
    <n v="0"/>
    <n v="21"/>
    <n v="0"/>
    <m/>
    <m/>
    <m/>
    <m/>
    <m/>
    <m/>
    <m/>
    <m/>
    <m/>
    <m/>
    <m/>
    <m/>
    <m/>
    <m/>
    <m/>
    <m/>
    <m/>
    <m/>
    <m/>
    <m/>
    <m/>
    <m/>
    <m/>
    <m/>
    <m/>
    <m/>
    <m/>
    <m/>
    <m/>
    <m/>
    <m/>
    <m/>
    <m/>
    <m/>
  </r>
  <r>
    <n v="742"/>
    <d v="2025-02-22T00:00:00"/>
    <s v="ZBTO"/>
    <n v="9518542152"/>
    <n v="1"/>
    <s v="9518542152-1"/>
    <m/>
    <s v="Mar'25"/>
    <s v="Released orders"/>
    <x v="1"/>
    <x v="5"/>
    <n v="1000"/>
    <m/>
    <x v="0"/>
    <m/>
    <m/>
    <s v="Dadra, Nagarhaveli"/>
    <m/>
    <m/>
    <m/>
    <n v="189405"/>
    <s v="Balmer Lawrie And Co. Ltd."/>
    <n v="2164800"/>
    <s v="CRCA COIL TATXXD BT02 0.970X913"/>
    <m/>
    <m/>
    <m/>
    <m/>
    <s v="Narrow"/>
    <s v="C01"/>
    <s v="TATXXD"/>
    <s v="BT02"/>
    <n v="0.97"/>
    <n v="913"/>
    <n v="0"/>
    <n v="210"/>
    <n v="0"/>
    <n v="210"/>
    <n v="210"/>
    <m/>
    <m/>
    <m/>
    <m/>
    <n v="210"/>
    <n v="210"/>
    <m/>
    <m/>
    <m/>
    <m/>
    <m/>
    <m/>
    <m/>
    <m/>
    <m/>
    <m/>
    <m/>
    <m/>
    <m/>
    <m/>
    <m/>
    <m/>
    <m/>
    <m/>
    <m/>
    <m/>
    <m/>
    <m/>
    <m/>
    <m/>
    <n v="0"/>
    <n v="0"/>
    <n v="210"/>
    <n v="0"/>
    <n v="0"/>
    <n v="0"/>
    <n v="210"/>
    <n v="0"/>
    <n v="210"/>
    <n v="0"/>
    <n v="0"/>
    <n v="0"/>
    <n v="0"/>
    <n v="210"/>
    <n v="0"/>
    <m/>
    <m/>
    <m/>
    <m/>
    <m/>
    <m/>
    <m/>
    <m/>
    <m/>
    <m/>
    <m/>
    <m/>
    <m/>
    <m/>
    <m/>
    <m/>
    <m/>
    <m/>
    <m/>
    <m/>
    <m/>
    <m/>
    <m/>
    <m/>
    <m/>
    <m/>
    <m/>
    <m/>
    <m/>
    <m/>
    <m/>
    <m/>
    <m/>
    <m/>
  </r>
  <r>
    <n v="742"/>
    <d v="2025-02-22T00:00:00"/>
    <s v="ZBTO"/>
    <n v="9518542152"/>
    <n v="2"/>
    <s v="9518542152-2"/>
    <m/>
    <s v="Mar'25"/>
    <s v="Released orders"/>
    <x v="1"/>
    <x v="5"/>
    <n v="1000"/>
    <m/>
    <x v="0"/>
    <m/>
    <m/>
    <s v="Dadra, Nagarhaveli"/>
    <m/>
    <m/>
    <m/>
    <n v="189405"/>
    <s v="Balmer Lawrie And Co. Ltd."/>
    <n v="2164800"/>
    <s v="CRCA COIL TATXXD BT02 0.970X913"/>
    <m/>
    <m/>
    <m/>
    <m/>
    <s v="Narrow"/>
    <s v="C01"/>
    <s v="TATXXD"/>
    <s v="BT02"/>
    <n v="0.97"/>
    <n v="913"/>
    <n v="0"/>
    <n v="294"/>
    <n v="0"/>
    <n v="294"/>
    <n v="294"/>
    <m/>
    <m/>
    <m/>
    <m/>
    <n v="294"/>
    <n v="294"/>
    <m/>
    <m/>
    <m/>
    <m/>
    <m/>
    <m/>
    <m/>
    <m/>
    <m/>
    <m/>
    <m/>
    <m/>
    <m/>
    <m/>
    <m/>
    <m/>
    <m/>
    <m/>
    <m/>
    <m/>
    <m/>
    <m/>
    <m/>
    <m/>
    <n v="0"/>
    <n v="0"/>
    <n v="294"/>
    <n v="0"/>
    <n v="0"/>
    <n v="0"/>
    <n v="294"/>
    <n v="0"/>
    <n v="294"/>
    <n v="0"/>
    <n v="0"/>
    <n v="0"/>
    <n v="0"/>
    <n v="294"/>
    <n v="0"/>
    <m/>
    <m/>
    <m/>
    <m/>
    <m/>
    <m/>
    <m/>
    <m/>
    <m/>
    <m/>
    <m/>
    <m/>
    <m/>
    <m/>
    <m/>
    <m/>
    <m/>
    <m/>
    <m/>
    <m/>
    <m/>
    <m/>
    <m/>
    <m/>
    <m/>
    <m/>
    <m/>
    <m/>
    <m/>
    <m/>
    <m/>
    <m/>
    <m/>
    <m/>
  </r>
  <r>
    <n v="742"/>
    <d v="2025-02-22T00:00:00"/>
    <s v="ZBTO"/>
    <n v="9518542152"/>
    <n v="3"/>
    <s v="9518542152-3"/>
    <m/>
    <s v="Mar'25"/>
    <s v="Released orders"/>
    <x v="1"/>
    <x v="5"/>
    <n v="1000"/>
    <m/>
    <x v="0"/>
    <m/>
    <m/>
    <s v="Dadra, Nagarhaveli"/>
    <m/>
    <m/>
    <m/>
    <n v="189405"/>
    <s v="Balmer Lawrie And Co. Ltd."/>
    <n v="2164803"/>
    <s v="CRCA COIL TATXXD BT02 1.200X910"/>
    <m/>
    <m/>
    <m/>
    <m/>
    <s v="Narrow"/>
    <s v="C01"/>
    <s v="TATXXD"/>
    <s v="BT02"/>
    <n v="1.2"/>
    <n v="910"/>
    <n v="0"/>
    <n v="294"/>
    <n v="0"/>
    <n v="294"/>
    <n v="294"/>
    <m/>
    <m/>
    <m/>
    <m/>
    <n v="294"/>
    <n v="294"/>
    <m/>
    <m/>
    <m/>
    <m/>
    <m/>
    <m/>
    <m/>
    <m/>
    <m/>
    <m/>
    <m/>
    <m/>
    <m/>
    <m/>
    <m/>
    <m/>
    <m/>
    <m/>
    <m/>
    <m/>
    <m/>
    <m/>
    <m/>
    <m/>
    <n v="0"/>
    <n v="0"/>
    <n v="294"/>
    <n v="0"/>
    <n v="0"/>
    <n v="0"/>
    <n v="294"/>
    <n v="0"/>
    <n v="294"/>
    <n v="0"/>
    <n v="0"/>
    <n v="0"/>
    <n v="0"/>
    <n v="294"/>
    <n v="0"/>
    <m/>
    <m/>
    <m/>
    <m/>
    <m/>
    <m/>
    <m/>
    <m/>
    <m/>
    <m/>
    <m/>
    <m/>
    <m/>
    <m/>
    <m/>
    <m/>
    <m/>
    <m/>
    <m/>
    <m/>
    <m/>
    <m/>
    <m/>
    <m/>
    <m/>
    <m/>
    <m/>
    <m/>
    <m/>
    <m/>
    <m/>
    <m/>
    <m/>
    <m/>
  </r>
  <r>
    <n v="742"/>
    <d v="2025-02-22T00:00:00"/>
    <s v="ZBTO"/>
    <n v="9518542152"/>
    <n v="4"/>
    <s v="9518542152-4"/>
    <m/>
    <s v="Mar'25"/>
    <s v="Released orders"/>
    <x v="1"/>
    <x v="5"/>
    <n v="1000"/>
    <m/>
    <x v="0"/>
    <m/>
    <m/>
    <s v="Dadra, Nagarhaveli"/>
    <m/>
    <m/>
    <m/>
    <n v="189405"/>
    <s v="Balmer Lawrie And Co. Ltd."/>
    <n v="2164803"/>
    <s v="CRCA COIL TATXXD BT02 1.200X910"/>
    <m/>
    <m/>
    <m/>
    <m/>
    <s v="Narrow"/>
    <s v="C01"/>
    <s v="TATXXD"/>
    <s v="BT02"/>
    <n v="1.2"/>
    <n v="910"/>
    <n v="0"/>
    <n v="105"/>
    <n v="0"/>
    <n v="105"/>
    <n v="105"/>
    <m/>
    <m/>
    <m/>
    <m/>
    <n v="105"/>
    <n v="105"/>
    <m/>
    <m/>
    <m/>
    <m/>
    <m/>
    <m/>
    <m/>
    <m/>
    <m/>
    <m/>
    <m/>
    <m/>
    <m/>
    <m/>
    <m/>
    <m/>
    <m/>
    <m/>
    <m/>
    <m/>
    <m/>
    <m/>
    <m/>
    <m/>
    <n v="0"/>
    <n v="0"/>
    <n v="105"/>
    <n v="0"/>
    <n v="0"/>
    <n v="0"/>
    <n v="105"/>
    <n v="0"/>
    <n v="105"/>
    <n v="0"/>
    <n v="0"/>
    <n v="0"/>
    <n v="0"/>
    <n v="105"/>
    <n v="0"/>
    <m/>
    <m/>
    <m/>
    <m/>
    <m/>
    <m/>
    <m/>
    <m/>
    <m/>
    <m/>
    <m/>
    <m/>
    <m/>
    <m/>
    <m/>
    <m/>
    <m/>
    <m/>
    <m/>
    <m/>
    <m/>
    <m/>
    <m/>
    <m/>
    <m/>
    <m/>
    <m/>
    <m/>
    <m/>
    <m/>
    <m/>
    <m/>
    <m/>
    <m/>
  </r>
  <r>
    <n v="742"/>
    <d v="2025-02-15T00:00:00"/>
    <s v="ZBTO"/>
    <n v="9518522495"/>
    <n v="1"/>
    <s v="9518522495-1"/>
    <m/>
    <s v="No Priority"/>
    <s v="Failed orders"/>
    <x v="1"/>
    <x v="5"/>
    <n v="1000"/>
    <m/>
    <x v="1"/>
    <m/>
    <s v="Order shortclosed"/>
    <s v="Gujarat"/>
    <m/>
    <m/>
    <m/>
    <n v="189022"/>
    <s v="Balmer Lawrie And Company Limi"/>
    <n v="3781084"/>
    <s v="CR COIL TATXXD BT02 0.970X1005"/>
    <m/>
    <m/>
    <m/>
    <m/>
    <s v="Narrow"/>
    <s v="C01"/>
    <s v="TATXXD"/>
    <s v="BT02"/>
    <n v="0.97"/>
    <n v="1005"/>
    <n v="0"/>
    <n v="23"/>
    <e v="#N/A"/>
    <n v="23"/>
    <n v="23"/>
    <m/>
    <m/>
    <m/>
    <m/>
    <n v="23"/>
    <n v="0"/>
    <m/>
    <m/>
    <m/>
    <m/>
    <m/>
    <m/>
    <m/>
    <m/>
    <m/>
    <m/>
    <m/>
    <m/>
    <m/>
    <m/>
    <m/>
    <m/>
    <m/>
    <m/>
    <m/>
    <m/>
    <m/>
    <m/>
    <m/>
    <m/>
    <n v="0"/>
    <n v="0"/>
    <n v="0"/>
    <n v="0"/>
    <n v="0"/>
    <n v="0"/>
    <n v="0"/>
    <n v="0"/>
    <n v="0"/>
    <n v="0"/>
    <n v="0"/>
    <n v="0"/>
    <n v="0"/>
    <n v="0"/>
    <n v="0"/>
    <m/>
    <m/>
    <m/>
    <m/>
    <m/>
    <m/>
    <m/>
    <m/>
    <m/>
    <m/>
    <m/>
    <m/>
    <m/>
    <m/>
    <m/>
    <m/>
    <m/>
    <m/>
    <m/>
    <m/>
    <m/>
    <m/>
    <m/>
    <m/>
    <m/>
    <m/>
    <m/>
    <m/>
    <m/>
    <m/>
    <m/>
    <m/>
    <m/>
    <m/>
  </r>
  <r>
    <n v="742"/>
    <d v="2025-02-19T00:00:00"/>
    <s v="ZBTO"/>
    <n v="9518533995"/>
    <n v="2"/>
    <s v="9518533995-2"/>
    <m/>
    <s v="Mar'25"/>
    <s v="Released orders"/>
    <x v="1"/>
    <x v="5"/>
    <n v="1000"/>
    <m/>
    <x v="0"/>
    <m/>
    <m/>
    <s v="Gujarat"/>
    <m/>
    <m/>
    <m/>
    <n v="189022"/>
    <s v="Balmer Lawrie And Company Limi"/>
    <n v="2164814"/>
    <s v="CRCA COIL TATXXD BT01 0.970X1315"/>
    <m/>
    <m/>
    <m/>
    <m/>
    <s v="Wider"/>
    <s v="C01"/>
    <s v="TATXXD"/>
    <s v="BT01"/>
    <n v="0.97"/>
    <n v="1315"/>
    <n v="0"/>
    <n v="30"/>
    <n v="0"/>
    <n v="30"/>
    <n v="30"/>
    <m/>
    <m/>
    <m/>
    <m/>
    <n v="30"/>
    <n v="30"/>
    <m/>
    <m/>
    <m/>
    <m/>
    <m/>
    <m/>
    <m/>
    <m/>
    <m/>
    <m/>
    <m/>
    <m/>
    <m/>
    <m/>
    <m/>
    <m/>
    <m/>
    <m/>
    <m/>
    <m/>
    <m/>
    <m/>
    <m/>
    <m/>
    <n v="0"/>
    <n v="0"/>
    <n v="30"/>
    <n v="0"/>
    <n v="0"/>
    <n v="0"/>
    <n v="0"/>
    <n v="30"/>
    <n v="0"/>
    <n v="0"/>
    <n v="0"/>
    <n v="0"/>
    <n v="0"/>
    <n v="0"/>
    <n v="30"/>
    <m/>
    <m/>
    <m/>
    <m/>
    <m/>
    <m/>
    <m/>
    <m/>
    <m/>
    <m/>
    <m/>
    <m/>
    <m/>
    <m/>
    <m/>
    <m/>
    <m/>
    <m/>
    <m/>
    <m/>
    <m/>
    <m/>
    <m/>
    <m/>
    <m/>
    <m/>
    <m/>
    <m/>
    <m/>
    <m/>
    <m/>
    <m/>
    <m/>
    <m/>
  </r>
  <r>
    <n v="742"/>
    <d v="2025-02-21T00:00:00"/>
    <s v="ZBTO"/>
    <n v="9518539501"/>
    <n v="1"/>
    <s v="9518539501-1"/>
    <m/>
    <s v="Stocks"/>
    <s v="Released orders"/>
    <x v="1"/>
    <x v="5"/>
    <n v="1000"/>
    <m/>
    <x v="0"/>
    <m/>
    <m/>
    <s v="Gujarat"/>
    <m/>
    <m/>
    <m/>
    <n v="189022"/>
    <s v="Balmer Lawrie And Company Limi"/>
    <n v="2164807"/>
    <s v="CRCA COIL TATXXD BT01 1.200X1315"/>
    <m/>
    <m/>
    <m/>
    <m/>
    <s v="Wider"/>
    <s v="C01"/>
    <s v="TATXXD"/>
    <s v="BT01"/>
    <n v="1.2"/>
    <n v="1315"/>
    <n v="0"/>
    <n v="30"/>
    <n v="26.535"/>
    <n v="30"/>
    <n v="30"/>
    <m/>
    <m/>
    <m/>
    <m/>
    <n v="30"/>
    <n v="3.4649999999999999"/>
    <m/>
    <m/>
    <m/>
    <m/>
    <m/>
    <m/>
    <m/>
    <m/>
    <m/>
    <m/>
    <m/>
    <m/>
    <m/>
    <m/>
    <m/>
    <m/>
    <m/>
    <m/>
    <m/>
    <m/>
    <m/>
    <m/>
    <m/>
    <m/>
    <n v="0"/>
    <n v="26.535000000000004"/>
    <n v="0"/>
    <n v="0"/>
    <n v="0"/>
    <n v="0"/>
    <n v="0"/>
    <n v="0"/>
    <n v="26.535000000000004"/>
    <n v="0"/>
    <n v="26.535000000000004"/>
    <n v="0"/>
    <n v="0"/>
    <n v="0"/>
    <n v="0"/>
    <m/>
    <m/>
    <m/>
    <m/>
    <m/>
    <m/>
    <m/>
    <m/>
    <m/>
    <m/>
    <m/>
    <m/>
    <m/>
    <m/>
    <m/>
    <m/>
    <m/>
    <m/>
    <m/>
    <m/>
    <m/>
    <m/>
    <m/>
    <m/>
    <m/>
    <m/>
    <m/>
    <m/>
    <m/>
    <m/>
    <m/>
    <m/>
    <m/>
    <m/>
  </r>
  <r>
    <n v="742"/>
    <d v="2025-02-21T00:00:00"/>
    <s v="ZBTO"/>
    <n v="9518539501"/>
    <n v="2"/>
    <s v="9518539501-2"/>
    <m/>
    <s v="Mar'25"/>
    <s v="Released orders"/>
    <x v="1"/>
    <x v="5"/>
    <n v="1000"/>
    <m/>
    <x v="0"/>
    <m/>
    <m/>
    <s v="Gujarat"/>
    <m/>
    <m/>
    <m/>
    <n v="189022"/>
    <s v="Balmer Lawrie And Company Limi"/>
    <n v="2164814"/>
    <s v="CRCA COIL TATXXD BT01 0.970X1315"/>
    <m/>
    <m/>
    <m/>
    <m/>
    <s v="Wider"/>
    <s v="C01"/>
    <s v="TATXXD"/>
    <s v="BT01"/>
    <n v="0.97"/>
    <n v="1315"/>
    <n v="0"/>
    <n v="30"/>
    <n v="0"/>
    <n v="30"/>
    <n v="30"/>
    <m/>
    <m/>
    <m/>
    <m/>
    <n v="30"/>
    <n v="30"/>
    <m/>
    <m/>
    <m/>
    <m/>
    <m/>
    <m/>
    <m/>
    <m/>
    <m/>
    <m/>
    <m/>
    <m/>
    <m/>
    <m/>
    <m/>
    <m/>
    <m/>
    <m/>
    <m/>
    <m/>
    <m/>
    <m/>
    <m/>
    <m/>
    <n v="0"/>
    <n v="0"/>
    <n v="30"/>
    <n v="0"/>
    <n v="0"/>
    <n v="0"/>
    <n v="0"/>
    <n v="30"/>
    <n v="0"/>
    <n v="0"/>
    <n v="0"/>
    <n v="0"/>
    <n v="0"/>
    <n v="0"/>
    <n v="30"/>
    <m/>
    <m/>
    <m/>
    <m/>
    <m/>
    <m/>
    <m/>
    <m/>
    <m/>
    <m/>
    <m/>
    <m/>
    <m/>
    <m/>
    <m/>
    <m/>
    <m/>
    <m/>
    <m/>
    <m/>
    <m/>
    <m/>
    <m/>
    <m/>
    <m/>
    <m/>
    <m/>
    <m/>
    <m/>
    <m/>
    <m/>
    <m/>
    <m/>
    <m/>
  </r>
  <r>
    <n v="743"/>
    <d v="2025-02-22T00:00:00"/>
    <s v="ZBTO"/>
    <n v="9518542035"/>
    <n v="1"/>
    <s v="9518542035-1"/>
    <m/>
    <s v="No Priority"/>
    <s v="Released orders"/>
    <x v="2"/>
    <x v="2"/>
    <n v="2000"/>
    <m/>
    <x v="1"/>
    <m/>
    <m/>
    <s v="Rajasthan"/>
    <m/>
    <m/>
    <m/>
    <n v="117583"/>
    <s v="BIHANI ENTERPRISES"/>
    <n v="1326486"/>
    <s v="GP COIL SOFT-TATXGP-GK09-0.3X1000"/>
    <m/>
    <m/>
    <m/>
    <m/>
    <s v="Narrow"/>
    <s v="C02"/>
    <s v="TATXGP"/>
    <s v="GK09"/>
    <n v="0.3"/>
    <n v="1000"/>
    <n v="0"/>
    <n v="69"/>
    <n v="0"/>
    <n v="69"/>
    <n v="69"/>
    <m/>
    <m/>
    <m/>
    <m/>
    <n v="69"/>
    <n v="69"/>
    <m/>
    <m/>
    <m/>
    <m/>
    <m/>
    <m/>
    <m/>
    <m/>
    <m/>
    <m/>
    <m/>
    <m/>
    <m/>
    <m/>
    <m/>
    <m/>
    <m/>
    <m/>
    <m/>
    <m/>
    <m/>
    <m/>
    <m/>
    <m/>
    <n v="0"/>
    <n v="0"/>
    <n v="0"/>
    <n v="0"/>
    <n v="0"/>
    <n v="0"/>
    <n v="0"/>
    <n v="0"/>
    <n v="0"/>
    <n v="0"/>
    <n v="0"/>
    <n v="0"/>
    <n v="0"/>
    <n v="0"/>
    <n v="0"/>
    <m/>
    <m/>
    <m/>
    <m/>
    <m/>
    <m/>
    <m/>
    <m/>
    <m/>
    <m/>
    <m/>
    <m/>
    <m/>
    <m/>
    <m/>
    <m/>
    <m/>
    <m/>
    <m/>
    <m/>
    <m/>
    <m/>
    <m/>
    <m/>
    <m/>
    <m/>
    <m/>
    <m/>
    <m/>
    <m/>
    <m/>
    <m/>
    <m/>
    <m/>
  </r>
  <r>
    <n v="743"/>
    <d v="2025-02-22T00:00:00"/>
    <s v="ZBTO"/>
    <n v="9518542035"/>
    <n v="3"/>
    <s v="9518542035-3"/>
    <m/>
    <s v="Mar'25"/>
    <s v="Released orders"/>
    <x v="2"/>
    <x v="2"/>
    <n v="2000"/>
    <m/>
    <x v="0"/>
    <m/>
    <m/>
    <s v="Rajasthan"/>
    <m/>
    <m/>
    <m/>
    <n v="117583"/>
    <s v="BIHANI ENTERPRISES"/>
    <n v="1178444"/>
    <s v="GP COIL SOFT-TATXGP-GK09-0.4X1000"/>
    <m/>
    <m/>
    <m/>
    <m/>
    <s v="Narrow"/>
    <s v="C02"/>
    <s v="TATXGP"/>
    <s v="GK09"/>
    <n v="0.4"/>
    <n v="1000"/>
    <n v="0"/>
    <n v="161"/>
    <n v="0"/>
    <n v="161"/>
    <n v="161"/>
    <m/>
    <m/>
    <m/>
    <m/>
    <n v="161"/>
    <n v="161"/>
    <m/>
    <m/>
    <m/>
    <m/>
    <m/>
    <m/>
    <m/>
    <m/>
    <m/>
    <m/>
    <m/>
    <m/>
    <m/>
    <m/>
    <m/>
    <m/>
    <m/>
    <m/>
    <m/>
    <m/>
    <m/>
    <m/>
    <m/>
    <m/>
    <n v="0"/>
    <n v="0"/>
    <n v="0"/>
    <n v="0"/>
    <n v="0"/>
    <n v="0"/>
    <n v="0"/>
    <n v="0"/>
    <n v="0"/>
    <n v="0"/>
    <n v="0"/>
    <n v="0"/>
    <n v="0"/>
    <n v="0"/>
    <n v="0"/>
    <m/>
    <m/>
    <m/>
    <m/>
    <m/>
    <m/>
    <m/>
    <m/>
    <m/>
    <m/>
    <m/>
    <m/>
    <m/>
    <m/>
    <m/>
    <m/>
    <m/>
    <m/>
    <m/>
    <m/>
    <m/>
    <m/>
    <m/>
    <m/>
    <m/>
    <m/>
    <m/>
    <m/>
    <m/>
    <m/>
    <m/>
    <m/>
    <m/>
    <m/>
  </r>
  <r>
    <n v="743"/>
    <d v="2025-02-17T00:00:00"/>
    <s v="ZBTO"/>
    <n v="9518525385"/>
    <n v="1"/>
    <s v="9518525385-1"/>
    <m/>
    <s v="No Priority"/>
    <s v="Released orders"/>
    <x v="2"/>
    <x v="2"/>
    <n v="2000"/>
    <m/>
    <x v="1"/>
    <m/>
    <m/>
    <s v="Uttar Pradesh"/>
    <m/>
    <m/>
    <m/>
    <n v="938789"/>
    <s v="JAIN STEEL DISTRIBUTORS"/>
    <n v="1851054"/>
    <s v="GP COIL SOFT-TATXGP-GK09-0.2X900"/>
    <m/>
    <m/>
    <m/>
    <m/>
    <s v="Narrow"/>
    <s v="C02"/>
    <s v="TATXGP"/>
    <s v="GK09"/>
    <n v="0.2"/>
    <n v="900"/>
    <n v="0"/>
    <n v="63"/>
    <n v="0"/>
    <n v="63"/>
    <n v="63"/>
    <m/>
    <m/>
    <m/>
    <m/>
    <n v="63"/>
    <n v="63"/>
    <m/>
    <m/>
    <m/>
    <m/>
    <m/>
    <m/>
    <m/>
    <m/>
    <m/>
    <m/>
    <m/>
    <m/>
    <m/>
    <m/>
    <m/>
    <m/>
    <m/>
    <m/>
    <m/>
    <m/>
    <m/>
    <m/>
    <m/>
    <m/>
    <n v="0"/>
    <n v="0"/>
    <n v="0"/>
    <n v="0"/>
    <n v="0"/>
    <n v="0"/>
    <n v="0"/>
    <n v="0"/>
    <n v="0"/>
    <n v="0"/>
    <n v="0"/>
    <n v="0"/>
    <n v="0"/>
    <n v="0"/>
    <n v="0"/>
    <m/>
    <m/>
    <m/>
    <m/>
    <m/>
    <m/>
    <m/>
    <m/>
    <m/>
    <m/>
    <m/>
    <m/>
    <m/>
    <m/>
    <m/>
    <m/>
    <m/>
    <m/>
    <m/>
    <m/>
    <m/>
    <m/>
    <m/>
    <m/>
    <m/>
    <m/>
    <m/>
    <m/>
    <m/>
    <m/>
    <m/>
    <m/>
    <m/>
    <m/>
  </r>
  <r>
    <n v="743"/>
    <d v="2025-02-19T00:00:00"/>
    <s v="ZBTO"/>
    <n v="9518532376"/>
    <n v="1"/>
    <s v="9518532376-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290"/>
    <n v="0"/>
    <n v="290"/>
    <n v="0"/>
    <n v="0"/>
    <n v="0"/>
    <n v="0"/>
    <n v="290"/>
    <n v="0"/>
    <m/>
    <m/>
    <m/>
    <m/>
    <m/>
    <m/>
    <m/>
    <m/>
    <m/>
    <m/>
    <m/>
    <m/>
    <m/>
    <m/>
    <m/>
    <m/>
    <m/>
    <m/>
    <m/>
    <m/>
    <m/>
    <m/>
    <m/>
    <m/>
    <m/>
    <m/>
    <m/>
    <m/>
    <m/>
    <m/>
    <m/>
    <m/>
    <m/>
    <m/>
  </r>
  <r>
    <n v="743"/>
    <d v="2025-02-19T00:00:00"/>
    <s v="ZBTO"/>
    <n v="9518532380"/>
    <n v="1"/>
    <s v="9518532380-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19T00:00:00"/>
    <s v="ZBTO"/>
    <n v="9518532383"/>
    <n v="1"/>
    <s v="9518532383-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19T00:00:00"/>
    <s v="ZBTO"/>
    <n v="9518532386"/>
    <n v="1"/>
    <s v="9518532386-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19T00:00:00"/>
    <s v="ZBTO"/>
    <n v="9518532389"/>
    <n v="1"/>
    <s v="9518532389-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19T00:00:00"/>
    <s v="ZBTO"/>
    <n v="9518532391"/>
    <n v="1"/>
    <s v="9518532391-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19T00:00:00"/>
    <s v="ZBTO"/>
    <n v="9518532394"/>
    <n v="1"/>
    <s v="9518532394-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21T00:00:00"/>
    <s v="ZBTO"/>
    <n v="9518541075"/>
    <n v="1"/>
    <s v="9518541075-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21T00:00:00"/>
    <s v="ZBTO"/>
    <n v="9518541076"/>
    <n v="1"/>
    <s v="9518541076-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21T00:00:00"/>
    <s v="ZBTO"/>
    <n v="9518541077"/>
    <n v="1"/>
    <s v="9518541077-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21T00:00:00"/>
    <s v="ZBTO"/>
    <n v="9518541079"/>
    <n v="1"/>
    <s v="9518541079-1"/>
    <m/>
    <s v="Mar'25 additional"/>
    <s v="Released orders"/>
    <x v="3"/>
    <x v="13"/>
    <n v="1000"/>
    <m/>
    <x v="0"/>
    <m/>
    <m/>
    <s v="Gujarat"/>
    <m/>
    <m/>
    <m/>
    <n v="944226"/>
    <s v="PURSHOTAM PROFILES PRIVATE LIM"/>
    <n v="3865176"/>
    <s v="GL COIL HARD  Y550GL HGL6 0.900X1250"/>
    <m/>
    <m/>
    <m/>
    <m/>
    <s v="Wider"/>
    <s v="B04"/>
    <s v="Y550GL"/>
    <s v="HGL6"/>
    <n v="0.9"/>
    <n v="1250"/>
    <n v="0"/>
    <n v="290"/>
    <e v="#N/A"/>
    <n v="290"/>
    <n v="290"/>
    <m/>
    <m/>
    <m/>
    <m/>
    <n v="290"/>
    <n v="290"/>
    <m/>
    <m/>
    <m/>
    <m/>
    <m/>
    <m/>
    <m/>
    <m/>
    <m/>
    <m/>
    <m/>
    <m/>
    <m/>
    <m/>
    <m/>
    <m/>
    <m/>
    <m/>
    <m/>
    <m/>
    <m/>
    <m/>
    <m/>
    <m/>
    <n v="0"/>
    <n v="0"/>
    <n v="290"/>
    <n v="0"/>
    <n v="0"/>
    <n v="0"/>
    <n v="0"/>
    <n v="290"/>
    <n v="0"/>
    <n v="0"/>
    <n v="0"/>
    <n v="0"/>
    <n v="0"/>
    <n v="0"/>
    <n v="290"/>
    <m/>
    <m/>
    <m/>
    <m/>
    <m/>
    <m/>
    <m/>
    <m/>
    <m/>
    <m/>
    <m/>
    <m/>
    <m/>
    <m/>
    <m/>
    <m/>
    <m/>
    <m/>
    <m/>
    <m/>
    <m/>
    <m/>
    <m/>
    <m/>
    <m/>
    <m/>
    <m/>
    <m/>
    <m/>
    <m/>
    <m/>
    <m/>
    <m/>
    <m/>
  </r>
  <r>
    <n v="743"/>
    <d v="2025-02-20T00:00:00"/>
    <s v="ZBTO"/>
    <n v="9518534963"/>
    <n v="1"/>
    <s v="9518534963-1"/>
    <m/>
    <s v="No Priority"/>
    <s v="Failed orders"/>
    <x v="2"/>
    <x v="2"/>
    <n v="2000"/>
    <m/>
    <x v="1"/>
    <m/>
    <m/>
    <s v="Delhi"/>
    <m/>
    <m/>
    <m/>
    <n v="183259"/>
    <s v="Rakesh Steel Inds.(P) Ltd."/>
    <n v="1319275"/>
    <s v="GP COIL SOFT-TATXGP-GLK1-0.2X900"/>
    <m/>
    <m/>
    <m/>
    <m/>
    <s v="Narrow"/>
    <s v="C02"/>
    <s v="TATXGP"/>
    <s v="GLK1"/>
    <n v="0.2"/>
    <n v="900"/>
    <n v="0"/>
    <n v="42"/>
    <e v="#N/A"/>
    <n v="42"/>
    <n v="42"/>
    <m/>
    <m/>
    <m/>
    <m/>
    <n v="42"/>
    <n v="0"/>
    <m/>
    <m/>
    <m/>
    <m/>
    <m/>
    <m/>
    <m/>
    <m/>
    <m/>
    <m/>
    <m/>
    <m/>
    <m/>
    <m/>
    <m/>
    <m/>
    <m/>
    <m/>
    <m/>
    <m/>
    <m/>
    <m/>
    <m/>
    <m/>
    <n v="0"/>
    <n v="0"/>
    <n v="0"/>
    <n v="0"/>
    <n v="0"/>
    <n v="0"/>
    <n v="0"/>
    <n v="0"/>
    <n v="0"/>
    <n v="0"/>
    <n v="0"/>
    <n v="0"/>
    <n v="0"/>
    <n v="0"/>
    <n v="0"/>
    <m/>
    <m/>
    <m/>
    <m/>
    <m/>
    <m/>
    <m/>
    <m/>
    <m/>
    <m/>
    <m/>
    <m/>
    <m/>
    <m/>
    <m/>
    <m/>
    <m/>
    <m/>
    <m/>
    <m/>
    <m/>
    <m/>
    <m/>
    <m/>
    <m/>
    <m/>
    <m/>
    <m/>
    <m/>
    <m/>
    <m/>
    <m/>
    <m/>
    <m/>
  </r>
  <r>
    <n v="743"/>
    <d v="2025-02-20T00:00:00"/>
    <s v="ZBTO"/>
    <n v="9518534963"/>
    <n v="2"/>
    <s v="9518534963-2"/>
    <m/>
    <s v="No Priority"/>
    <s v="Released orders"/>
    <x v="2"/>
    <x v="2"/>
    <n v="2000"/>
    <m/>
    <x v="1"/>
    <m/>
    <m/>
    <s v="Delhi"/>
    <m/>
    <m/>
    <m/>
    <n v="183259"/>
    <s v="Rakesh Steel Inds.(P) Ltd."/>
    <n v="1851054"/>
    <s v="GP COIL SOFT-TATXGP-GK09-0.2X900"/>
    <m/>
    <m/>
    <m/>
    <m/>
    <s v="Narrow"/>
    <s v="C02"/>
    <s v="TATXGP"/>
    <s v="GK09"/>
    <n v="0.2"/>
    <n v="900"/>
    <n v="0"/>
    <n v="21"/>
    <n v="0"/>
    <n v="21"/>
    <n v="21"/>
    <m/>
    <m/>
    <m/>
    <m/>
    <n v="21"/>
    <n v="21"/>
    <m/>
    <m/>
    <m/>
    <m/>
    <m/>
    <m/>
    <m/>
    <m/>
    <m/>
    <m/>
    <m/>
    <m/>
    <m/>
    <m/>
    <m/>
    <m/>
    <m/>
    <m/>
    <m/>
    <m/>
    <m/>
    <m/>
    <m/>
    <m/>
    <n v="0"/>
    <n v="0"/>
    <n v="0"/>
    <n v="0"/>
    <n v="0"/>
    <n v="0"/>
    <n v="0"/>
    <n v="0"/>
    <n v="0"/>
    <n v="0"/>
    <n v="0"/>
    <n v="0"/>
    <n v="0"/>
    <n v="0"/>
    <n v="0"/>
    <m/>
    <m/>
    <m/>
    <m/>
    <m/>
    <m/>
    <m/>
    <m/>
    <m/>
    <m/>
    <m/>
    <m/>
    <m/>
    <m/>
    <m/>
    <m/>
    <m/>
    <m/>
    <m/>
    <m/>
    <m/>
    <m/>
    <m/>
    <m/>
    <m/>
    <m/>
    <m/>
    <m/>
    <m/>
    <m/>
    <m/>
    <m/>
    <m/>
    <m/>
  </r>
  <r>
    <n v="743"/>
    <d v="2025-02-20T00:00:00"/>
    <s v="ZBTO"/>
    <n v="9518534963"/>
    <n v="4"/>
    <s v="9518534963-4"/>
    <m/>
    <s v="No Priority"/>
    <s v="Failed orders"/>
    <x v="2"/>
    <x v="2"/>
    <n v="2000"/>
    <m/>
    <x v="1"/>
    <m/>
    <m/>
    <s v="Delhi"/>
    <m/>
    <m/>
    <m/>
    <n v="183259"/>
    <s v="Rakesh Steel Inds.(P) Ltd."/>
    <n v="2270690"/>
    <s v="GP COIL SOFT TATXGP GLK1 0.25X1000"/>
    <m/>
    <m/>
    <m/>
    <m/>
    <s v="Narrow"/>
    <s v="C02"/>
    <s v="TATXGP"/>
    <s v="GLK1"/>
    <n v="0.25"/>
    <n v="1000"/>
    <n v="0"/>
    <n v="46"/>
    <e v="#N/A"/>
    <n v="46"/>
    <n v="46"/>
    <m/>
    <m/>
    <m/>
    <m/>
    <n v="46"/>
    <n v="0"/>
    <m/>
    <m/>
    <m/>
    <m/>
    <m/>
    <m/>
    <m/>
    <m/>
    <m/>
    <m/>
    <m/>
    <m/>
    <m/>
    <m/>
    <m/>
    <m/>
    <m/>
    <m/>
    <m/>
    <m/>
    <m/>
    <m/>
    <m/>
    <m/>
    <n v="0"/>
    <n v="0"/>
    <n v="0"/>
    <n v="0"/>
    <n v="0"/>
    <n v="0"/>
    <n v="0"/>
    <n v="0"/>
    <n v="0"/>
    <n v="0"/>
    <n v="0"/>
    <n v="0"/>
    <n v="0"/>
    <n v="0"/>
    <n v="0"/>
    <m/>
    <m/>
    <m/>
    <m/>
    <m/>
    <m/>
    <m/>
    <m/>
    <m/>
    <m/>
    <m/>
    <m/>
    <m/>
    <m/>
    <m/>
    <m/>
    <m/>
    <m/>
    <m/>
    <m/>
    <m/>
    <m/>
    <m/>
    <m/>
    <m/>
    <m/>
    <m/>
    <m/>
    <m/>
    <m/>
    <m/>
    <m/>
    <m/>
    <m/>
  </r>
  <r>
    <n v="743"/>
    <d v="2025-02-20T00:00:00"/>
    <s v="ZBTO"/>
    <n v="9518534963"/>
    <n v="5"/>
    <s v="9518534963-5"/>
    <m/>
    <s v="No Priority"/>
    <s v="Failed orders"/>
    <x v="2"/>
    <x v="2"/>
    <n v="2000"/>
    <m/>
    <x v="1"/>
    <m/>
    <m/>
    <s v="Delhi"/>
    <m/>
    <m/>
    <m/>
    <n v="183259"/>
    <s v="Rakesh Steel Inds.(P) Ltd."/>
    <n v="1851066"/>
    <s v="GP COIL SOFT-TATXGP-GLK1-0.25X900"/>
    <m/>
    <m/>
    <m/>
    <m/>
    <s v="Narrow"/>
    <s v="C02"/>
    <s v="TATXGP"/>
    <s v="GLK1"/>
    <n v="0.25"/>
    <n v="900"/>
    <n v="0"/>
    <n v="21"/>
    <e v="#N/A"/>
    <n v="21"/>
    <n v="21"/>
    <m/>
    <m/>
    <m/>
    <m/>
    <n v="21"/>
    <n v="0"/>
    <m/>
    <m/>
    <m/>
    <m/>
    <m/>
    <m/>
    <m/>
    <m/>
    <m/>
    <m/>
    <m/>
    <m/>
    <m/>
    <m/>
    <m/>
    <m/>
    <m/>
    <m/>
    <m/>
    <m/>
    <m/>
    <m/>
    <m/>
    <m/>
    <n v="0"/>
    <n v="0"/>
    <n v="0"/>
    <n v="0"/>
    <n v="0"/>
    <n v="0"/>
    <n v="0"/>
    <n v="0"/>
    <n v="0"/>
    <n v="0"/>
    <n v="0"/>
    <n v="0"/>
    <n v="0"/>
    <n v="0"/>
    <n v="0"/>
    <m/>
    <m/>
    <m/>
    <m/>
    <m/>
    <m/>
    <m/>
    <m/>
    <m/>
    <m/>
    <m/>
    <m/>
    <m/>
    <m/>
    <m/>
    <m/>
    <m/>
    <m/>
    <m/>
    <m/>
    <m/>
    <m/>
    <m/>
    <m/>
    <m/>
    <m/>
    <m/>
    <m/>
    <m/>
    <m/>
    <m/>
    <m/>
    <m/>
    <m/>
  </r>
  <r>
    <n v="743"/>
    <d v="2025-02-20T00:00:00"/>
    <s v="ZBTO"/>
    <n v="9518535035"/>
    <n v="1"/>
    <s v="9518535035-1"/>
    <m/>
    <s v="No Priority"/>
    <s v="Released orders"/>
    <x v="2"/>
    <x v="2"/>
    <n v="2000"/>
    <m/>
    <x v="1"/>
    <m/>
    <m/>
    <s v="Delhi"/>
    <m/>
    <m/>
    <m/>
    <n v="183259"/>
    <s v="Rakesh Steel Inds.(P) Ltd."/>
    <n v="1191955"/>
    <s v="GP COIL SOFT-TATXGP-GK09-0.3X900"/>
    <m/>
    <m/>
    <m/>
    <m/>
    <s v="Narrow"/>
    <s v="C02"/>
    <s v="TATXGP"/>
    <s v="GK09"/>
    <n v="0.3"/>
    <n v="900"/>
    <n v="0"/>
    <n v="42"/>
    <n v="0"/>
    <n v="42"/>
    <n v="42"/>
    <m/>
    <m/>
    <m/>
    <m/>
    <n v="42"/>
    <n v="42"/>
    <m/>
    <m/>
    <m/>
    <m/>
    <m/>
    <m/>
    <m/>
    <m/>
    <m/>
    <m/>
    <m/>
    <m/>
    <m/>
    <m/>
    <m/>
    <m/>
    <m/>
    <m/>
    <m/>
    <m/>
    <m/>
    <m/>
    <m/>
    <m/>
    <n v="0"/>
    <n v="0"/>
    <n v="0"/>
    <n v="0"/>
    <n v="0"/>
    <n v="0"/>
    <n v="0"/>
    <n v="0"/>
    <n v="0"/>
    <n v="0"/>
    <n v="0"/>
    <n v="0"/>
    <n v="0"/>
    <n v="0"/>
    <n v="0"/>
    <m/>
    <m/>
    <m/>
    <m/>
    <m/>
    <m/>
    <m/>
    <m/>
    <m/>
    <m/>
    <m/>
    <m/>
    <m/>
    <m/>
    <m/>
    <m/>
    <m/>
    <m/>
    <m/>
    <m/>
    <m/>
    <m/>
    <m/>
    <m/>
    <m/>
    <m/>
    <m/>
    <m/>
    <m/>
    <m/>
    <m/>
    <m/>
    <m/>
    <m/>
  </r>
  <r>
    <n v="744"/>
    <d v="2025-02-22T00:00:00"/>
    <s v="ZBTO"/>
    <n v="9518542873"/>
    <n v="2"/>
    <s v="9518542873-2"/>
    <m/>
    <s v="Mar'25"/>
    <s v="Released orders"/>
    <x v="4"/>
    <x v="7"/>
    <n v="1000"/>
    <m/>
    <x v="0"/>
    <m/>
    <m/>
    <s v="Jharkhand"/>
    <m/>
    <m/>
    <m/>
    <n v="941597"/>
    <s v="TATA BLUESCOPE STEEL PRIVATE L"/>
    <n v="3624035"/>
    <s v="PPGL C Y550 HPL3 0.39BMT(0.47TPT)X1220"/>
    <m/>
    <m/>
    <m/>
    <m/>
    <s v="Wider"/>
    <s v="B18"/>
    <s v="Y550PL"/>
    <s v="HPL3"/>
    <n v="0.39"/>
    <n v="1220"/>
    <n v="0"/>
    <n v="28"/>
    <n v="0"/>
    <n v="28"/>
    <n v="28"/>
    <m/>
    <m/>
    <m/>
    <m/>
    <n v="28"/>
    <n v="28"/>
    <m/>
    <m/>
    <m/>
    <m/>
    <m/>
    <m/>
    <m/>
    <m/>
    <m/>
    <m/>
    <m/>
    <m/>
    <m/>
    <m/>
    <m/>
    <m/>
    <m/>
    <m/>
    <m/>
    <m/>
    <m/>
    <m/>
    <m/>
    <m/>
    <n v="0"/>
    <n v="0"/>
    <n v="28"/>
    <n v="0"/>
    <n v="0"/>
    <n v="28"/>
    <n v="0"/>
    <n v="0"/>
    <n v="28"/>
    <n v="0"/>
    <n v="0"/>
    <n v="0"/>
    <n v="28"/>
    <n v="0"/>
    <n v="0"/>
    <m/>
    <m/>
    <m/>
    <m/>
    <m/>
    <m/>
    <m/>
    <m/>
    <m/>
    <m/>
    <m/>
    <m/>
    <m/>
    <m/>
    <m/>
    <m/>
    <m/>
    <m/>
    <m/>
    <m/>
    <m/>
    <m/>
    <m/>
    <m/>
    <m/>
    <m/>
    <m/>
    <m/>
    <m/>
    <m/>
    <m/>
    <m/>
    <m/>
    <m/>
  </r>
  <r>
    <n v="744"/>
    <d v="2025-02-22T00:00:00"/>
    <s v="ZBTO"/>
    <n v="9518542873"/>
    <n v="3"/>
    <s v="9518542873-3"/>
    <m/>
    <s v="Mar'25"/>
    <s v="Released orders"/>
    <x v="4"/>
    <x v="7"/>
    <n v="1000"/>
    <m/>
    <x v="0"/>
    <m/>
    <m/>
    <s v="Jharkhand"/>
    <m/>
    <m/>
    <m/>
    <n v="941597"/>
    <s v="TATA BLUESCOPE STEEL PRIVATE L"/>
    <n v="3624035"/>
    <s v="PPGL C Y550 HPL3 0.39BMT(0.47TPT)X1220"/>
    <m/>
    <m/>
    <m/>
    <m/>
    <s v="Wider"/>
    <s v="B18"/>
    <s v="Y550PL"/>
    <s v="HPL3"/>
    <n v="0.39"/>
    <n v="1220"/>
    <n v="0"/>
    <n v="28"/>
    <n v="0"/>
    <n v="28"/>
    <n v="28"/>
    <m/>
    <m/>
    <m/>
    <m/>
    <n v="28"/>
    <n v="28"/>
    <m/>
    <m/>
    <m/>
    <m/>
    <m/>
    <m/>
    <m/>
    <m/>
    <m/>
    <m/>
    <m/>
    <m/>
    <m/>
    <m/>
    <m/>
    <m/>
    <m/>
    <m/>
    <m/>
    <m/>
    <m/>
    <m/>
    <m/>
    <m/>
    <n v="0"/>
    <n v="0"/>
    <n v="28"/>
    <n v="0"/>
    <n v="0"/>
    <n v="28"/>
    <n v="0"/>
    <n v="0"/>
    <n v="28"/>
    <n v="0"/>
    <n v="0"/>
    <n v="0"/>
    <n v="28"/>
    <n v="0"/>
    <n v="0"/>
    <m/>
    <m/>
    <m/>
    <m/>
    <m/>
    <m/>
    <m/>
    <m/>
    <m/>
    <m/>
    <m/>
    <m/>
    <m/>
    <m/>
    <m/>
    <m/>
    <m/>
    <m/>
    <m/>
    <m/>
    <m/>
    <m/>
    <m/>
    <m/>
    <m/>
    <m/>
    <m/>
    <m/>
    <m/>
    <m/>
    <m/>
    <m/>
    <m/>
    <m/>
  </r>
  <r>
    <n v="744"/>
    <d v="2025-02-22T00:00:00"/>
    <s v="ZBTO"/>
    <n v="9518542873"/>
    <n v="4"/>
    <s v="9518542873-4"/>
    <m/>
    <s v="Mar'25"/>
    <s v="Released orders"/>
    <x v="4"/>
    <x v="7"/>
    <n v="1000"/>
    <m/>
    <x v="0"/>
    <m/>
    <m/>
    <s v="Jharkhand"/>
    <m/>
    <m/>
    <m/>
    <n v="941597"/>
    <s v="TATA BLUESCOPE STEEL PRIVATE L"/>
    <n v="3624035"/>
    <s v="PPGL C Y550 HPL3 0.39BMT(0.47TPT)X1220"/>
    <m/>
    <m/>
    <m/>
    <m/>
    <s v="Wider"/>
    <s v="B18"/>
    <s v="Y550PL"/>
    <s v="HPL3"/>
    <n v="0.39"/>
    <n v="1220"/>
    <n v="0"/>
    <n v="28"/>
    <n v="0"/>
    <n v="28"/>
    <n v="28"/>
    <m/>
    <m/>
    <m/>
    <m/>
    <n v="28"/>
    <n v="28"/>
    <m/>
    <m/>
    <m/>
    <m/>
    <m/>
    <m/>
    <m/>
    <m/>
    <m/>
    <m/>
    <m/>
    <m/>
    <m/>
    <m/>
    <m/>
    <m/>
    <m/>
    <m/>
    <m/>
    <m/>
    <m/>
    <m/>
    <m/>
    <m/>
    <n v="0"/>
    <n v="0"/>
    <n v="28"/>
    <n v="0"/>
    <n v="0"/>
    <n v="28"/>
    <n v="0"/>
    <n v="0"/>
    <n v="28"/>
    <n v="0"/>
    <n v="0"/>
    <n v="0"/>
    <n v="28"/>
    <n v="0"/>
    <n v="0"/>
    <m/>
    <m/>
    <m/>
    <m/>
    <m/>
    <m/>
    <m/>
    <m/>
    <m/>
    <m/>
    <m/>
    <m/>
    <m/>
    <m/>
    <m/>
    <m/>
    <m/>
    <m/>
    <m/>
    <m/>
    <m/>
    <m/>
    <m/>
    <m/>
    <m/>
    <m/>
    <m/>
    <m/>
    <m/>
    <m/>
    <m/>
    <m/>
    <m/>
    <m/>
  </r>
  <r>
    <n v="744"/>
    <d v="2025-02-22T00:00:00"/>
    <s v="ZBTO"/>
    <n v="9518542873"/>
    <n v="5"/>
    <s v="9518542873-5"/>
    <m/>
    <s v="Mar'25"/>
    <s v="Released orders"/>
    <x v="4"/>
    <x v="7"/>
    <n v="1000"/>
    <m/>
    <x v="0"/>
    <m/>
    <m/>
    <s v="Jharkhand"/>
    <m/>
    <m/>
    <m/>
    <n v="941597"/>
    <s v="TATA BLUESCOPE STEEL PRIVATE L"/>
    <n v="3624035"/>
    <s v="PPGL C Y550 HPL3 0.39BMT(0.47TPT)X1220"/>
    <m/>
    <m/>
    <m/>
    <m/>
    <s v="Wider"/>
    <s v="B18"/>
    <s v="Y550PL"/>
    <s v="HPL3"/>
    <n v="0.39"/>
    <n v="1220"/>
    <n v="0"/>
    <n v="56"/>
    <n v="0"/>
    <n v="56"/>
    <n v="56"/>
    <m/>
    <m/>
    <m/>
    <m/>
    <n v="56"/>
    <n v="56"/>
    <m/>
    <m/>
    <m/>
    <m/>
    <m/>
    <m/>
    <m/>
    <m/>
    <m/>
    <m/>
    <m/>
    <m/>
    <m/>
    <m/>
    <m/>
    <m/>
    <m/>
    <m/>
    <m/>
    <m/>
    <m/>
    <m/>
    <m/>
    <m/>
    <n v="0"/>
    <n v="0"/>
    <n v="56"/>
    <n v="0"/>
    <n v="0"/>
    <n v="56"/>
    <n v="0"/>
    <n v="0"/>
    <n v="56"/>
    <n v="0"/>
    <n v="0"/>
    <n v="0"/>
    <n v="56"/>
    <n v="0"/>
    <n v="0"/>
    <m/>
    <m/>
    <m/>
    <m/>
    <m/>
    <m/>
    <m/>
    <m/>
    <m/>
    <m/>
    <m/>
    <m/>
    <m/>
    <m/>
    <m/>
    <m/>
    <m/>
    <m/>
    <m/>
    <m/>
    <m/>
    <m/>
    <m/>
    <m/>
    <m/>
    <m/>
    <m/>
    <m/>
    <m/>
    <m/>
    <m/>
    <m/>
    <m/>
    <m/>
  </r>
  <r>
    <n v="744"/>
    <d v="2025-02-22T00:00:00"/>
    <s v="ZBTO"/>
    <n v="9518542873"/>
    <n v="6"/>
    <s v="9518542873-6"/>
    <m/>
    <s v="Mar'25"/>
    <s v="Released orders"/>
    <x v="4"/>
    <x v="7"/>
    <n v="1000"/>
    <m/>
    <x v="0"/>
    <m/>
    <m/>
    <s v="Jharkhand"/>
    <m/>
    <m/>
    <m/>
    <n v="941597"/>
    <s v="TATA BLUESCOPE STEEL PRIVATE L"/>
    <n v="3624035"/>
    <s v="PPGL C Y550 HPL3 0.39BMT(0.47TPT)X1220"/>
    <m/>
    <m/>
    <m/>
    <m/>
    <s v="Wider"/>
    <s v="B18"/>
    <s v="Y550PL"/>
    <s v="HPL3"/>
    <n v="0.39"/>
    <n v="1220"/>
    <n v="0"/>
    <n v="28"/>
    <n v="0"/>
    <n v="28"/>
    <n v="28"/>
    <m/>
    <m/>
    <m/>
    <m/>
    <n v="28"/>
    <n v="28"/>
    <m/>
    <m/>
    <m/>
    <m/>
    <m/>
    <m/>
    <m/>
    <m/>
    <m/>
    <m/>
    <m/>
    <m/>
    <m/>
    <m/>
    <m/>
    <m/>
    <m/>
    <m/>
    <m/>
    <m/>
    <m/>
    <m/>
    <m/>
    <m/>
    <n v="0"/>
    <n v="0"/>
    <n v="0"/>
    <n v="0"/>
    <n v="0"/>
    <n v="0"/>
    <n v="0"/>
    <n v="0"/>
    <n v="0"/>
    <n v="0"/>
    <n v="0"/>
    <n v="0"/>
    <n v="0"/>
    <n v="0"/>
    <n v="0"/>
    <m/>
    <m/>
    <m/>
    <m/>
    <m/>
    <m/>
    <m/>
    <m/>
    <m/>
    <m/>
    <m/>
    <m/>
    <m/>
    <m/>
    <m/>
    <m/>
    <m/>
    <m/>
    <m/>
    <m/>
    <m/>
    <m/>
    <m/>
    <m/>
    <m/>
    <m/>
    <m/>
    <m/>
    <m/>
    <m/>
    <m/>
    <m/>
    <m/>
    <m/>
  </r>
  <r>
    <n v="744"/>
    <d v="2025-02-22T00:00:00"/>
    <s v="ZBTO"/>
    <n v="9518542873"/>
    <n v="7"/>
    <s v="9518542873-7"/>
    <m/>
    <s v="Mar'25"/>
    <s v="Released orders"/>
    <x v="4"/>
    <x v="7"/>
    <n v="1000"/>
    <m/>
    <x v="0"/>
    <m/>
    <m/>
    <s v="Jharkhand"/>
    <m/>
    <m/>
    <m/>
    <n v="941597"/>
    <s v="TATA BLUESCOPE STEEL PRIVATE L"/>
    <n v="3624035"/>
    <s v="PPGL C Y550 HPL3 0.39BMT(0.47TPT)X1220"/>
    <m/>
    <m/>
    <m/>
    <m/>
    <s v="Wider"/>
    <s v="B18"/>
    <s v="Y550PL"/>
    <s v="HPL3"/>
    <n v="0.39"/>
    <n v="1220"/>
    <n v="0"/>
    <n v="28"/>
    <n v="0"/>
    <n v="28"/>
    <n v="28"/>
    <m/>
    <m/>
    <m/>
    <m/>
    <n v="28"/>
    <n v="28"/>
    <m/>
    <m/>
    <m/>
    <m/>
    <m/>
    <m/>
    <m/>
    <m/>
    <m/>
    <m/>
    <m/>
    <m/>
    <m/>
    <m/>
    <m/>
    <m/>
    <m/>
    <m/>
    <m/>
    <m/>
    <m/>
    <m/>
    <m/>
    <m/>
    <n v="0"/>
    <n v="0"/>
    <n v="28"/>
    <n v="0"/>
    <n v="0"/>
    <n v="28"/>
    <n v="0"/>
    <n v="0"/>
    <n v="28"/>
    <n v="0"/>
    <n v="0"/>
    <n v="0"/>
    <n v="28"/>
    <n v="0"/>
    <n v="0"/>
    <m/>
    <m/>
    <m/>
    <m/>
    <m/>
    <m/>
    <m/>
    <m/>
    <m/>
    <m/>
    <m/>
    <m/>
    <m/>
    <m/>
    <m/>
    <m/>
    <m/>
    <m/>
    <m/>
    <m/>
    <m/>
    <m/>
    <m/>
    <m/>
    <m/>
    <m/>
    <m/>
    <m/>
    <m/>
    <m/>
    <m/>
    <m/>
    <m/>
    <m/>
  </r>
  <r>
    <n v="744"/>
    <d v="2025-02-22T00:00:00"/>
    <s v="ZBTO"/>
    <n v="9518542994"/>
    <n v="1"/>
    <s v="9518542994-1"/>
    <m/>
    <s v="Mar'25"/>
    <s v="Released orders"/>
    <x v="4"/>
    <x v="7"/>
    <n v="1000"/>
    <m/>
    <x v="0"/>
    <m/>
    <m/>
    <s v="Jharkhand"/>
    <m/>
    <m/>
    <m/>
    <n v="941597"/>
    <s v="TATA BLUESCOPE STEEL PRIVATE L"/>
    <n v="3902332"/>
    <s v="PPGL C HARD Y550PL D0C9 0.50(TPT)X1220"/>
    <m/>
    <m/>
    <m/>
    <m/>
    <s v="Wider"/>
    <s v="B18"/>
    <s v="Y550PL"/>
    <s v="D0C9"/>
    <n v="0.5"/>
    <n v="1220"/>
    <n v="0"/>
    <n v="140"/>
    <n v="0"/>
    <n v="140"/>
    <n v="140"/>
    <m/>
    <m/>
    <m/>
    <m/>
    <n v="140"/>
    <n v="140"/>
    <m/>
    <m/>
    <m/>
    <m/>
    <m/>
    <m/>
    <m/>
    <m/>
    <m/>
    <m/>
    <m/>
    <m/>
    <m/>
    <m/>
    <m/>
    <m/>
    <m/>
    <m/>
    <m/>
    <m/>
    <m/>
    <m/>
    <m/>
    <m/>
    <n v="0"/>
    <n v="0"/>
    <n v="140"/>
    <n v="0"/>
    <n v="140"/>
    <n v="0"/>
    <n v="0"/>
    <n v="0"/>
    <n v="140"/>
    <n v="0"/>
    <n v="0"/>
    <n v="140"/>
    <n v="0"/>
    <n v="0"/>
    <n v="0"/>
    <m/>
    <m/>
    <m/>
    <m/>
    <m/>
    <m/>
    <m/>
    <m/>
    <m/>
    <m/>
    <m/>
    <m/>
    <m/>
    <m/>
    <m/>
    <m/>
    <m/>
    <m/>
    <m/>
    <m/>
    <m/>
    <m/>
    <m/>
    <m/>
    <m/>
    <m/>
    <m/>
    <m/>
    <m/>
    <m/>
    <m/>
    <m/>
    <m/>
    <m/>
  </r>
  <r>
    <n v="744"/>
    <d v="2025-02-22T00:00:00"/>
    <s v="ZBTO"/>
    <n v="9518542994"/>
    <n v="2"/>
    <s v="9518542994-2"/>
    <m/>
    <s v="Mar'25"/>
    <s v="Released orders"/>
    <x v="4"/>
    <x v="7"/>
    <n v="1000"/>
    <m/>
    <x v="0"/>
    <m/>
    <m/>
    <s v="Jharkhand"/>
    <m/>
    <m/>
    <m/>
    <n v="941597"/>
    <s v="TATA BLUESCOPE STEEL PRIVATE L"/>
    <n v="3902332"/>
    <s v="PPGL C HARD Y550PL D0C9 0.50(TPT)X1220"/>
    <m/>
    <m/>
    <m/>
    <m/>
    <s v="Wider"/>
    <s v="B18"/>
    <s v="Y550PL"/>
    <s v="D0C9"/>
    <n v="0.5"/>
    <n v="1220"/>
    <n v="0"/>
    <n v="112"/>
    <n v="0"/>
    <n v="112"/>
    <n v="112"/>
    <m/>
    <m/>
    <m/>
    <m/>
    <n v="112"/>
    <n v="112"/>
    <m/>
    <m/>
    <m/>
    <m/>
    <m/>
    <m/>
    <m/>
    <m/>
    <m/>
    <m/>
    <m/>
    <m/>
    <m/>
    <m/>
    <m/>
    <m/>
    <m/>
    <m/>
    <m/>
    <m/>
    <m/>
    <m/>
    <m/>
    <m/>
    <n v="0"/>
    <n v="0"/>
    <n v="112"/>
    <n v="0"/>
    <n v="112"/>
    <n v="0"/>
    <n v="0"/>
    <n v="0"/>
    <n v="112"/>
    <n v="0"/>
    <n v="0"/>
    <n v="112"/>
    <n v="0"/>
    <n v="0"/>
    <n v="0"/>
    <m/>
    <m/>
    <m/>
    <m/>
    <m/>
    <m/>
    <m/>
    <m/>
    <m/>
    <m/>
    <m/>
    <m/>
    <m/>
    <m/>
    <m/>
    <m/>
    <m/>
    <m/>
    <m/>
    <m/>
    <m/>
    <m/>
    <m/>
    <m/>
    <m/>
    <m/>
    <m/>
    <m/>
    <m/>
    <m/>
    <m/>
    <m/>
    <m/>
    <m/>
  </r>
  <r>
    <n v="744"/>
    <d v="2025-02-22T00:00:00"/>
    <s v="ZBTO"/>
    <n v="9518542994"/>
    <n v="3"/>
    <s v="9518542994-3"/>
    <m/>
    <s v="Mar'25"/>
    <s v="Released orders"/>
    <x v="4"/>
    <x v="7"/>
    <n v="1000"/>
    <m/>
    <x v="0"/>
    <m/>
    <m/>
    <s v="Jharkhand"/>
    <m/>
    <m/>
    <m/>
    <n v="941597"/>
    <s v="TATA BLUESCOPE STEEL PRIVATE L"/>
    <n v="3902332"/>
    <s v="PPGL C HARD Y550PL D0C9 0.50(TPT)X1220"/>
    <m/>
    <m/>
    <m/>
    <m/>
    <s v="Wider"/>
    <s v="B18"/>
    <s v="Y550PL"/>
    <s v="D0C9"/>
    <n v="0.5"/>
    <n v="1220"/>
    <n v="0"/>
    <n v="112"/>
    <n v="0"/>
    <n v="112"/>
    <n v="112"/>
    <m/>
    <m/>
    <m/>
    <m/>
    <n v="112"/>
    <n v="112"/>
    <m/>
    <m/>
    <m/>
    <m/>
    <m/>
    <m/>
    <m/>
    <m/>
    <m/>
    <m/>
    <m/>
    <m/>
    <m/>
    <m/>
    <m/>
    <m/>
    <m/>
    <m/>
    <m/>
    <m/>
    <m/>
    <m/>
    <m/>
    <m/>
    <n v="0"/>
    <n v="0"/>
    <n v="112"/>
    <n v="0"/>
    <n v="0"/>
    <n v="0"/>
    <n v="112"/>
    <n v="0"/>
    <n v="112"/>
    <n v="0"/>
    <n v="0"/>
    <n v="0"/>
    <n v="0"/>
    <n v="112"/>
    <n v="0"/>
    <m/>
    <m/>
    <m/>
    <m/>
    <m/>
    <m/>
    <m/>
    <m/>
    <m/>
    <m/>
    <m/>
    <m/>
    <m/>
    <m/>
    <m/>
    <m/>
    <m/>
    <m/>
    <m/>
    <m/>
    <m/>
    <m/>
    <m/>
    <m/>
    <m/>
    <m/>
    <m/>
    <m/>
    <m/>
    <m/>
    <m/>
    <m/>
    <m/>
    <m/>
  </r>
  <r>
    <n v="744"/>
    <d v="2025-02-22T00:00:00"/>
    <s v="ZBTO"/>
    <n v="9518542994"/>
    <n v="4"/>
    <s v="9518542994-4"/>
    <m/>
    <s v="Mar'25"/>
    <s v="Released orders"/>
    <x v="4"/>
    <x v="7"/>
    <n v="1000"/>
    <m/>
    <x v="0"/>
    <m/>
    <m/>
    <s v="Jharkhand"/>
    <m/>
    <m/>
    <m/>
    <n v="941597"/>
    <s v="TATA BLUESCOPE STEEL PRIVATE L"/>
    <n v="3902332"/>
    <s v="PPGL C HARD Y550PL D0C9 0.50(TPT)X1220"/>
    <m/>
    <m/>
    <m/>
    <m/>
    <s v="Wider"/>
    <s v="B18"/>
    <s v="Y550PL"/>
    <s v="D0C9"/>
    <n v="0.5"/>
    <n v="1220"/>
    <n v="0"/>
    <n v="84"/>
    <n v="0"/>
    <n v="84"/>
    <n v="84"/>
    <m/>
    <m/>
    <m/>
    <m/>
    <n v="84"/>
    <n v="84"/>
    <m/>
    <m/>
    <m/>
    <m/>
    <m/>
    <m/>
    <m/>
    <m/>
    <m/>
    <m/>
    <m/>
    <m/>
    <m/>
    <m/>
    <m/>
    <m/>
    <m/>
    <m/>
    <m/>
    <m/>
    <m/>
    <m/>
    <m/>
    <m/>
    <n v="0"/>
    <n v="0"/>
    <n v="84"/>
    <n v="0"/>
    <n v="0"/>
    <n v="0"/>
    <n v="84"/>
    <n v="0"/>
    <n v="84"/>
    <n v="0"/>
    <n v="0"/>
    <n v="0"/>
    <n v="0"/>
    <n v="84"/>
    <n v="0"/>
    <m/>
    <m/>
    <m/>
    <m/>
    <m/>
    <m/>
    <m/>
    <m/>
    <m/>
    <m/>
    <m/>
    <m/>
    <m/>
    <m/>
    <m/>
    <m/>
    <m/>
    <m/>
    <m/>
    <m/>
    <m/>
    <m/>
    <m/>
    <m/>
    <m/>
    <m/>
    <m/>
    <m/>
    <m/>
    <m/>
    <m/>
    <m/>
    <m/>
    <m/>
  </r>
  <r>
    <n v="744"/>
    <d v="2025-02-22T00:00:00"/>
    <s v="ZBTO"/>
    <n v="9518542994"/>
    <n v="7"/>
    <s v="9518542994-7"/>
    <m/>
    <s v="Mar'25"/>
    <s v="Released orders"/>
    <x v="4"/>
    <x v="7"/>
    <n v="1000"/>
    <m/>
    <x v="0"/>
    <m/>
    <m/>
    <s v="Jharkhand"/>
    <m/>
    <m/>
    <m/>
    <n v="941597"/>
    <s v="TATA BLUESCOPE STEEL PRIVATE L"/>
    <n v="3902332"/>
    <s v="PPGL C HARD Y550PL D0C9 0.50(TPT)X1220"/>
    <m/>
    <m/>
    <m/>
    <m/>
    <s v="Wider"/>
    <s v="B18"/>
    <s v="Y550PL"/>
    <s v="D0C9"/>
    <n v="0.5"/>
    <n v="1220"/>
    <n v="0"/>
    <n v="84"/>
    <n v="0"/>
    <n v="84"/>
    <n v="84"/>
    <m/>
    <m/>
    <m/>
    <m/>
    <n v="84"/>
    <n v="84"/>
    <m/>
    <m/>
    <m/>
    <m/>
    <m/>
    <m/>
    <m/>
    <m/>
    <m/>
    <m/>
    <m/>
    <m/>
    <m/>
    <m/>
    <m/>
    <m/>
    <m/>
    <m/>
    <m/>
    <m/>
    <m/>
    <m/>
    <m/>
    <m/>
    <n v="0"/>
    <n v="0"/>
    <n v="84"/>
    <n v="0"/>
    <n v="0"/>
    <n v="0"/>
    <n v="0"/>
    <n v="84"/>
    <n v="0"/>
    <n v="0"/>
    <n v="0"/>
    <n v="0"/>
    <n v="0"/>
    <n v="0"/>
    <n v="84"/>
    <m/>
    <m/>
    <m/>
    <m/>
    <m/>
    <m/>
    <m/>
    <m/>
    <m/>
    <m/>
    <m/>
    <m/>
    <m/>
    <m/>
    <m/>
    <m/>
    <m/>
    <m/>
    <m/>
    <m/>
    <m/>
    <m/>
    <m/>
    <m/>
    <m/>
    <m/>
    <m/>
    <m/>
    <m/>
    <m/>
    <m/>
    <m/>
    <m/>
    <m/>
  </r>
  <r>
    <n v="744"/>
    <d v="2025-02-22T00:00:00"/>
    <s v="ZBTO"/>
    <n v="9518542994"/>
    <n v="8"/>
    <s v="9518542994-8"/>
    <m/>
    <s v="Mar'25"/>
    <s v="Released orders"/>
    <x v="4"/>
    <x v="7"/>
    <n v="1000"/>
    <m/>
    <x v="0"/>
    <m/>
    <m/>
    <s v="Jharkhand"/>
    <m/>
    <m/>
    <m/>
    <n v="941597"/>
    <s v="TATA BLUESCOPE STEEL PRIVATE L"/>
    <n v="3902332"/>
    <s v="PPGL C HARD Y550PL D0C9 0.50(TPT)X1220"/>
    <m/>
    <m/>
    <m/>
    <m/>
    <s v="Wider"/>
    <s v="B18"/>
    <s v="Y550PL"/>
    <s v="D0C9"/>
    <n v="0.5"/>
    <n v="1220"/>
    <n v="0"/>
    <n v="28"/>
    <n v="0"/>
    <n v="28"/>
    <n v="28"/>
    <m/>
    <m/>
    <m/>
    <m/>
    <n v="28"/>
    <n v="28"/>
    <m/>
    <m/>
    <m/>
    <m/>
    <m/>
    <m/>
    <m/>
    <m/>
    <m/>
    <m/>
    <m/>
    <m/>
    <m/>
    <m/>
    <m/>
    <m/>
    <m/>
    <m/>
    <m/>
    <m/>
    <m/>
    <m/>
    <m/>
    <m/>
    <n v="0"/>
    <n v="0"/>
    <n v="28"/>
    <n v="0"/>
    <n v="28"/>
    <n v="0"/>
    <n v="0"/>
    <n v="0"/>
    <n v="28"/>
    <n v="0"/>
    <n v="0"/>
    <n v="28"/>
    <n v="0"/>
    <n v="0"/>
    <n v="0"/>
    <m/>
    <m/>
    <m/>
    <m/>
    <m/>
    <m/>
    <m/>
    <m/>
    <m/>
    <m/>
    <m/>
    <m/>
    <m/>
    <m/>
    <m/>
    <m/>
    <m/>
    <m/>
    <m/>
    <m/>
    <m/>
    <m/>
    <m/>
    <m/>
    <m/>
    <m/>
    <m/>
    <m/>
    <m/>
    <m/>
    <m/>
    <m/>
    <m/>
    <m/>
  </r>
  <r>
    <n v="744"/>
    <d v="2025-02-22T00:00:00"/>
    <s v="ZBTO"/>
    <n v="9518542994"/>
    <n v="9"/>
    <s v="9518542994-9"/>
    <m/>
    <s v="Mar'25"/>
    <s v="Released orders"/>
    <x v="4"/>
    <x v="7"/>
    <n v="1000"/>
    <m/>
    <x v="0"/>
    <m/>
    <m/>
    <s v="Jharkhand"/>
    <m/>
    <m/>
    <m/>
    <n v="941597"/>
    <s v="TATA BLUESCOPE STEEL PRIVATE L"/>
    <n v="3902332"/>
    <s v="PPGL C HARD Y550PL D0C9 0.50(TPT)X1220"/>
    <m/>
    <m/>
    <m/>
    <m/>
    <s v="Wider"/>
    <s v="B18"/>
    <s v="Y550PL"/>
    <s v="D0C9"/>
    <n v="0.5"/>
    <n v="1220"/>
    <n v="0"/>
    <n v="140"/>
    <n v="0"/>
    <n v="140"/>
    <n v="140"/>
    <m/>
    <m/>
    <m/>
    <m/>
    <n v="140"/>
    <n v="140"/>
    <m/>
    <m/>
    <m/>
    <m/>
    <m/>
    <m/>
    <m/>
    <m/>
    <m/>
    <m/>
    <m/>
    <m/>
    <m/>
    <m/>
    <m/>
    <m/>
    <m/>
    <m/>
    <m/>
    <m/>
    <m/>
    <m/>
    <m/>
    <m/>
    <n v="0"/>
    <n v="0"/>
    <n v="140"/>
    <n v="0"/>
    <n v="140"/>
    <n v="0"/>
    <n v="0"/>
    <n v="0"/>
    <n v="140"/>
    <n v="0"/>
    <n v="0"/>
    <n v="140"/>
    <n v="0"/>
    <n v="0"/>
    <n v="0"/>
    <m/>
    <m/>
    <m/>
    <m/>
    <m/>
    <m/>
    <m/>
    <m/>
    <m/>
    <m/>
    <m/>
    <m/>
    <m/>
    <m/>
    <m/>
    <m/>
    <m/>
    <m/>
    <m/>
    <m/>
    <m/>
    <m/>
    <m/>
    <m/>
    <m/>
    <m/>
    <m/>
    <m/>
    <m/>
    <m/>
    <m/>
    <m/>
    <m/>
    <m/>
  </r>
  <r>
    <n v="744"/>
    <d v="2025-02-22T00:00:00"/>
    <s v="ZBTO"/>
    <n v="9518542994"/>
    <n v="10"/>
    <s v="9518542994-10"/>
    <m/>
    <s v="Mar'25"/>
    <s v="Released orders"/>
    <x v="4"/>
    <x v="7"/>
    <n v="1000"/>
    <m/>
    <x v="0"/>
    <m/>
    <m/>
    <s v="Jharkhand"/>
    <m/>
    <m/>
    <m/>
    <n v="941597"/>
    <s v="TATA BLUESCOPE STEEL PRIVATE L"/>
    <n v="3902332"/>
    <s v="PPGL C HARD Y550PL D0C9 0.50(TPT)X1220"/>
    <m/>
    <m/>
    <m/>
    <m/>
    <s v="Wider"/>
    <s v="B18"/>
    <s v="Y550PL"/>
    <s v="D0C9"/>
    <n v="0.5"/>
    <n v="1220"/>
    <n v="0"/>
    <n v="140"/>
    <n v="0"/>
    <n v="140"/>
    <n v="140"/>
    <m/>
    <m/>
    <m/>
    <m/>
    <n v="140"/>
    <n v="140"/>
    <m/>
    <m/>
    <m/>
    <m/>
    <m/>
    <m/>
    <m/>
    <m/>
    <m/>
    <m/>
    <m/>
    <m/>
    <m/>
    <m/>
    <m/>
    <m/>
    <m/>
    <m/>
    <m/>
    <m/>
    <m/>
    <m/>
    <m/>
    <m/>
    <n v="0"/>
    <n v="0"/>
    <n v="140"/>
    <n v="0"/>
    <n v="140"/>
    <n v="0"/>
    <n v="0"/>
    <n v="0"/>
    <n v="140"/>
    <n v="0"/>
    <n v="0"/>
    <n v="140"/>
    <n v="0"/>
    <n v="0"/>
    <n v="0"/>
    <m/>
    <m/>
    <m/>
    <m/>
    <m/>
    <m/>
    <m/>
    <m/>
    <m/>
    <m/>
    <m/>
    <m/>
    <m/>
    <m/>
    <m/>
    <m/>
    <m/>
    <m/>
    <m/>
    <m/>
    <m/>
    <m/>
    <m/>
    <m/>
    <m/>
    <m/>
    <m/>
    <m/>
    <m/>
    <m/>
    <m/>
    <m/>
    <m/>
    <m/>
  </r>
  <r>
    <n v="744"/>
    <d v="2025-02-22T00:00:00"/>
    <s v="ZBTO"/>
    <n v="9518542994"/>
    <n v="11"/>
    <s v="9518542994-11"/>
    <m/>
    <s v="Mar'25"/>
    <s v="Released orders"/>
    <x v="4"/>
    <x v="7"/>
    <n v="1000"/>
    <m/>
    <x v="0"/>
    <m/>
    <m/>
    <s v="Jharkhand"/>
    <m/>
    <m/>
    <m/>
    <n v="941597"/>
    <s v="TATA BLUESCOPE STEEL PRIVATE L"/>
    <n v="3902332"/>
    <s v="PPGL C HARD Y550PL D0C9 0.50(TPT)X1220"/>
    <m/>
    <m/>
    <m/>
    <m/>
    <s v="Wider"/>
    <s v="B18"/>
    <s v="Y550PL"/>
    <s v="D0C9"/>
    <n v="0.5"/>
    <n v="1220"/>
    <n v="0"/>
    <n v="140"/>
    <n v="0"/>
    <n v="140"/>
    <n v="140"/>
    <m/>
    <m/>
    <m/>
    <m/>
    <n v="140"/>
    <n v="140"/>
    <m/>
    <m/>
    <m/>
    <m/>
    <m/>
    <m/>
    <m/>
    <m/>
    <m/>
    <m/>
    <m/>
    <m/>
    <m/>
    <m/>
    <m/>
    <m/>
    <m/>
    <m/>
    <m/>
    <m/>
    <m/>
    <m/>
    <m/>
    <m/>
    <n v="0"/>
    <n v="0"/>
    <n v="140"/>
    <n v="0"/>
    <n v="140"/>
    <n v="0"/>
    <n v="0"/>
    <n v="0"/>
    <n v="140"/>
    <n v="0"/>
    <n v="0"/>
    <n v="140"/>
    <n v="0"/>
    <n v="0"/>
    <n v="0"/>
    <m/>
    <m/>
    <m/>
    <m/>
    <m/>
    <m/>
    <m/>
    <m/>
    <m/>
    <m/>
    <m/>
    <m/>
    <m/>
    <m/>
    <m/>
    <m/>
    <m/>
    <m/>
    <m/>
    <m/>
    <m/>
    <m/>
    <m/>
    <m/>
    <m/>
    <m/>
    <m/>
    <m/>
    <m/>
    <m/>
    <m/>
    <m/>
    <m/>
    <m/>
  </r>
  <r>
    <n v="743"/>
    <d v="2025-02-22T00:00:00"/>
    <s v="ZBTO"/>
    <n v="9518543325"/>
    <n v="1"/>
    <s v="9518543325-1"/>
    <m/>
    <s v="No Priority"/>
    <s v="Failed orders"/>
    <x v="3"/>
    <x v="7"/>
    <n v="1000"/>
    <m/>
    <x v="1"/>
    <m/>
    <m/>
    <s v="Jharkhand"/>
    <m/>
    <m/>
    <m/>
    <n v="942284"/>
    <s v="TATA BLUESCOPE STEEL PRIVATE L"/>
    <n v="3931932"/>
    <s v="GL COIL HARD  Y550GL M306 0.350X900"/>
    <m/>
    <m/>
    <m/>
    <m/>
    <s v="Narrow"/>
    <s v="B04"/>
    <s v="Y550GL"/>
    <s v="M306"/>
    <n v="0.35"/>
    <n v="900"/>
    <n v="0"/>
    <n v="21"/>
    <e v="#N/A"/>
    <n v="21"/>
    <n v="21"/>
    <m/>
    <m/>
    <m/>
    <m/>
    <n v="21"/>
    <n v="0"/>
    <m/>
    <m/>
    <m/>
    <m/>
    <m/>
    <m/>
    <m/>
    <m/>
    <m/>
    <m/>
    <m/>
    <m/>
    <m/>
    <m/>
    <m/>
    <m/>
    <m/>
    <m/>
    <m/>
    <m/>
    <m/>
    <m/>
    <m/>
    <m/>
    <n v="0"/>
    <n v="0"/>
    <n v="0"/>
    <n v="0"/>
    <n v="0"/>
    <n v="0"/>
    <n v="0"/>
    <n v="0"/>
    <n v="0"/>
    <n v="0"/>
    <n v="0"/>
    <n v="0"/>
    <n v="0"/>
    <n v="0"/>
    <n v="0"/>
    <m/>
    <m/>
    <m/>
    <m/>
    <m/>
    <m/>
    <m/>
    <m/>
    <m/>
    <m/>
    <m/>
    <m/>
    <m/>
    <m/>
    <m/>
    <m/>
    <m/>
    <m/>
    <m/>
    <m/>
    <m/>
    <m/>
    <m/>
    <m/>
    <m/>
    <m/>
    <m/>
    <m/>
    <m/>
    <m/>
    <m/>
    <m/>
    <m/>
    <m/>
  </r>
  <r>
    <n v="744"/>
    <d v="2025-02-22T00:00:00"/>
    <s v="ZBTO"/>
    <n v="9518543125"/>
    <n v="7"/>
    <s v="9518543125-7"/>
    <m/>
    <s v="Mar'25"/>
    <s v="Released orders"/>
    <x v="4"/>
    <x v="7"/>
    <n v="1000"/>
    <m/>
    <x v="0"/>
    <m/>
    <m/>
    <s v="Jharkhand"/>
    <m/>
    <m/>
    <m/>
    <n v="940016"/>
    <s v="TATA BLUESCOPE STEEL PVT LTD."/>
    <n v="3930916"/>
    <s v="PPGL C HARD Y550PL ISC6 0.350X1220"/>
    <m/>
    <m/>
    <m/>
    <m/>
    <s v="Wider"/>
    <s v="B18"/>
    <s v="Y550PL"/>
    <s v="ISC6"/>
    <n v="0.35"/>
    <n v="1220"/>
    <n v="0"/>
    <n v="56"/>
    <n v="0"/>
    <n v="56"/>
    <n v="56"/>
    <m/>
    <m/>
    <m/>
    <m/>
    <n v="56"/>
    <n v="56"/>
    <m/>
    <m/>
    <m/>
    <m/>
    <m/>
    <m/>
    <m/>
    <m/>
    <m/>
    <m/>
    <m/>
    <m/>
    <m/>
    <m/>
    <m/>
    <m/>
    <m/>
    <m/>
    <m/>
    <m/>
    <m/>
    <m/>
    <m/>
    <m/>
    <n v="0"/>
    <n v="0"/>
    <n v="56"/>
    <n v="0"/>
    <n v="0"/>
    <n v="0"/>
    <n v="0"/>
    <n v="56"/>
    <n v="0"/>
    <n v="0"/>
    <n v="0"/>
    <n v="0"/>
    <n v="0"/>
    <n v="0"/>
    <n v="56"/>
    <m/>
    <m/>
    <m/>
    <m/>
    <m/>
    <m/>
    <m/>
    <m/>
    <m/>
    <m/>
    <m/>
    <m/>
    <m/>
    <m/>
    <m/>
    <m/>
    <m/>
    <m/>
    <m/>
    <m/>
    <m/>
    <m/>
    <m/>
    <m/>
    <m/>
    <m/>
    <m/>
    <m/>
    <m/>
    <m/>
    <m/>
    <m/>
    <m/>
    <m/>
  </r>
  <r>
    <n v="744"/>
    <d v="2025-02-22T00:00:00"/>
    <s v="ZBTO"/>
    <n v="9518543214"/>
    <n v="4"/>
    <s v="9518543214-4"/>
    <m/>
    <s v="Mar'25"/>
    <s v="Released orders"/>
    <x v="4"/>
    <x v="7"/>
    <n v="1000"/>
    <m/>
    <x v="0"/>
    <m/>
    <m/>
    <s v="Jharkhand"/>
    <m/>
    <m/>
    <m/>
    <n v="940016"/>
    <s v="TATA BLUESCOPE STEEL PVT LTD."/>
    <n v="3797658"/>
    <s v="PPGL C Y550 ISC6 0.40BMT(0.45TPT)X1220"/>
    <m/>
    <m/>
    <m/>
    <m/>
    <s v="Wider"/>
    <s v="B18"/>
    <s v="Y550PL"/>
    <s v="ISC6"/>
    <n v="0.4"/>
    <n v="1220"/>
    <n v="0"/>
    <n v="28"/>
    <n v="0"/>
    <n v="28"/>
    <n v="28"/>
    <m/>
    <m/>
    <m/>
    <m/>
    <n v="28"/>
    <n v="28"/>
    <m/>
    <m/>
    <m/>
    <m/>
    <m/>
    <m/>
    <m/>
    <m/>
    <m/>
    <m/>
    <m/>
    <m/>
    <m/>
    <m/>
    <m/>
    <m/>
    <m/>
    <m/>
    <m/>
    <m/>
    <m/>
    <m/>
    <m/>
    <m/>
    <n v="0"/>
    <n v="0"/>
    <n v="28"/>
    <n v="0"/>
    <n v="0"/>
    <n v="28"/>
    <n v="0"/>
    <n v="0"/>
    <n v="28"/>
    <n v="0"/>
    <n v="0"/>
    <n v="0"/>
    <n v="28"/>
    <n v="0"/>
    <n v="0"/>
    <m/>
    <m/>
    <m/>
    <m/>
    <m/>
    <m/>
    <m/>
    <m/>
    <m/>
    <m/>
    <m/>
    <m/>
    <m/>
    <m/>
    <m/>
    <m/>
    <m/>
    <m/>
    <m/>
    <m/>
    <m/>
    <m/>
    <m/>
    <m/>
    <m/>
    <m/>
    <m/>
    <m/>
    <m/>
    <m/>
    <m/>
    <m/>
    <m/>
    <m/>
  </r>
  <r>
    <n v="744"/>
    <d v="2025-02-22T00:00:00"/>
    <s v="ZBTO"/>
    <n v="9518543214"/>
    <n v="5"/>
    <s v="9518543214-5"/>
    <m/>
    <s v="Mar'25"/>
    <s v="Released orders"/>
    <x v="4"/>
    <x v="7"/>
    <n v="1000"/>
    <m/>
    <x v="0"/>
    <m/>
    <m/>
    <s v="Jharkhand"/>
    <m/>
    <m/>
    <m/>
    <n v="940016"/>
    <s v="TATA BLUESCOPE STEEL PVT LTD."/>
    <n v="3797658"/>
    <s v="PPGL C Y550 ISC6 0.40BMT(0.45TPT)X1220"/>
    <m/>
    <m/>
    <m/>
    <m/>
    <s v="Wider"/>
    <s v="B18"/>
    <s v="Y550PL"/>
    <s v="ISC6"/>
    <n v="0.4"/>
    <n v="1220"/>
    <n v="0"/>
    <n v="28"/>
    <n v="0"/>
    <n v="28"/>
    <n v="28"/>
    <m/>
    <m/>
    <m/>
    <m/>
    <n v="28"/>
    <n v="28"/>
    <m/>
    <m/>
    <m/>
    <m/>
    <m/>
    <m/>
    <m/>
    <m/>
    <m/>
    <m/>
    <m/>
    <m/>
    <m/>
    <m/>
    <m/>
    <m/>
    <m/>
    <m/>
    <m/>
    <m/>
    <m/>
    <m/>
    <m/>
    <m/>
    <n v="0"/>
    <n v="0"/>
    <n v="28"/>
    <n v="0"/>
    <n v="0"/>
    <n v="0"/>
    <n v="0"/>
    <n v="28"/>
    <n v="0"/>
    <n v="0"/>
    <n v="0"/>
    <n v="0"/>
    <n v="0"/>
    <n v="0"/>
    <n v="28"/>
    <m/>
    <m/>
    <m/>
    <m/>
    <m/>
    <m/>
    <m/>
    <m/>
    <m/>
    <m/>
    <m/>
    <m/>
    <m/>
    <m/>
    <m/>
    <m/>
    <m/>
    <m/>
    <m/>
    <m/>
    <m/>
    <m/>
    <m/>
    <m/>
    <m/>
    <m/>
    <m/>
    <m/>
    <m/>
    <m/>
    <m/>
    <m/>
    <m/>
    <m/>
  </r>
  <r>
    <n v="744"/>
    <d v="2025-02-22T00:00:00"/>
    <s v="ZBTO"/>
    <n v="9518543214"/>
    <n v="6"/>
    <s v="9518543214-6"/>
    <m/>
    <s v="Mar'25"/>
    <s v="Released orders"/>
    <x v="4"/>
    <x v="7"/>
    <n v="1000"/>
    <m/>
    <x v="0"/>
    <m/>
    <m/>
    <s v="Jharkhand"/>
    <m/>
    <m/>
    <m/>
    <n v="940016"/>
    <s v="TATA BLUESCOPE STEEL PVT LTD."/>
    <n v="3900141"/>
    <s v="PPGL C HARD Y550PL ISC6 0.430X1220"/>
    <m/>
    <m/>
    <m/>
    <m/>
    <s v="Wider"/>
    <s v="B18"/>
    <s v="Y550PL"/>
    <s v="ISC6"/>
    <n v="0.43"/>
    <n v="1220"/>
    <n v="0"/>
    <n v="28"/>
    <n v="0"/>
    <n v="28"/>
    <n v="28"/>
    <m/>
    <m/>
    <m/>
    <m/>
    <n v="28"/>
    <n v="28"/>
    <m/>
    <m/>
    <m/>
    <m/>
    <m/>
    <m/>
    <m/>
    <m/>
    <m/>
    <m/>
    <m/>
    <m/>
    <m/>
    <m/>
    <m/>
    <m/>
    <m/>
    <m/>
    <m/>
    <m/>
    <m/>
    <m/>
    <m/>
    <m/>
    <n v="0"/>
    <n v="0"/>
    <n v="28"/>
    <n v="0"/>
    <n v="0"/>
    <n v="0"/>
    <n v="28"/>
    <n v="0"/>
    <n v="28"/>
    <n v="0"/>
    <n v="0"/>
    <n v="0"/>
    <n v="0"/>
    <n v="28"/>
    <n v="0"/>
    <m/>
    <m/>
    <m/>
    <m/>
    <m/>
    <m/>
    <m/>
    <m/>
    <m/>
    <m/>
    <m/>
    <m/>
    <m/>
    <m/>
    <m/>
    <m/>
    <m/>
    <m/>
    <m/>
    <m/>
    <m/>
    <m/>
    <m/>
    <m/>
    <m/>
    <m/>
    <m/>
    <m/>
    <m/>
    <m/>
    <m/>
    <m/>
    <m/>
    <m/>
  </r>
  <r>
    <n v="744"/>
    <d v="2025-02-22T00:00:00"/>
    <s v="ZBTO"/>
    <n v="9518543214"/>
    <n v="7"/>
    <s v="9518543214-7"/>
    <m/>
    <s v="Mar'25"/>
    <s v="Released orders"/>
    <x v="4"/>
    <x v="7"/>
    <n v="1000"/>
    <m/>
    <x v="0"/>
    <m/>
    <m/>
    <s v="Jharkhand"/>
    <m/>
    <m/>
    <m/>
    <n v="940016"/>
    <s v="TATA BLUESCOPE STEEL PVT LTD."/>
    <n v="3900141"/>
    <s v="PPGL C HARD Y550PL ISC6 0.430X1220"/>
    <m/>
    <m/>
    <m/>
    <m/>
    <s v="Wider"/>
    <s v="B18"/>
    <s v="Y550PL"/>
    <s v="ISC6"/>
    <n v="0.43"/>
    <n v="1220"/>
    <n v="0"/>
    <n v="28"/>
    <n v="0"/>
    <n v="28"/>
    <n v="28"/>
    <m/>
    <m/>
    <m/>
    <m/>
    <n v="28"/>
    <n v="28"/>
    <m/>
    <m/>
    <m/>
    <m/>
    <m/>
    <m/>
    <m/>
    <m/>
    <m/>
    <m/>
    <m/>
    <m/>
    <m/>
    <m/>
    <m/>
    <m/>
    <m/>
    <m/>
    <m/>
    <m/>
    <m/>
    <m/>
    <m/>
    <m/>
    <n v="0"/>
    <n v="0"/>
    <n v="28"/>
    <n v="0"/>
    <n v="0"/>
    <n v="0"/>
    <n v="0"/>
    <n v="28"/>
    <n v="0"/>
    <n v="0"/>
    <n v="0"/>
    <n v="0"/>
    <n v="0"/>
    <n v="0"/>
    <n v="28"/>
    <m/>
    <m/>
    <m/>
    <m/>
    <m/>
    <m/>
    <m/>
    <m/>
    <m/>
    <m/>
    <m/>
    <m/>
    <m/>
    <m/>
    <m/>
    <m/>
    <m/>
    <m/>
    <m/>
    <m/>
    <m/>
    <m/>
    <m/>
    <m/>
    <m/>
    <m/>
    <m/>
    <m/>
    <m/>
    <m/>
    <m/>
    <m/>
    <m/>
    <m/>
  </r>
  <r>
    <n v="744"/>
    <d v="2025-02-22T00:00:00"/>
    <s v="ZBTO"/>
    <n v="9518543214"/>
    <n v="8"/>
    <s v="9518543214-8"/>
    <m/>
    <s v="Mar'25"/>
    <s v="Released orders"/>
    <x v="4"/>
    <x v="7"/>
    <n v="1000"/>
    <m/>
    <x v="0"/>
    <m/>
    <m/>
    <s v="Jharkhand"/>
    <m/>
    <m/>
    <m/>
    <n v="940016"/>
    <s v="TATA BLUESCOPE STEEL PVT LTD."/>
    <n v="3900141"/>
    <s v="PPGL C HARD Y550PL ISC6 0.430X1220"/>
    <m/>
    <m/>
    <m/>
    <m/>
    <s v="Wider"/>
    <s v="B18"/>
    <s v="Y550PL"/>
    <s v="ISC6"/>
    <n v="0.43"/>
    <n v="1220"/>
    <n v="0"/>
    <n v="28"/>
    <n v="0"/>
    <n v="28"/>
    <n v="28"/>
    <m/>
    <m/>
    <m/>
    <m/>
    <n v="28"/>
    <n v="28"/>
    <m/>
    <m/>
    <m/>
    <m/>
    <m/>
    <m/>
    <m/>
    <m/>
    <m/>
    <m/>
    <m/>
    <m/>
    <m/>
    <m/>
    <m/>
    <m/>
    <m/>
    <m/>
    <m/>
    <m/>
    <m/>
    <m/>
    <m/>
    <m/>
    <n v="0"/>
    <n v="0"/>
    <n v="28"/>
    <n v="0"/>
    <n v="0"/>
    <n v="0"/>
    <n v="28"/>
    <n v="0"/>
    <n v="28"/>
    <n v="0"/>
    <n v="0"/>
    <n v="0"/>
    <n v="0"/>
    <n v="28"/>
    <n v="0"/>
    <m/>
    <m/>
    <m/>
    <m/>
    <m/>
    <m/>
    <m/>
    <m/>
    <m/>
    <m/>
    <m/>
    <m/>
    <m/>
    <m/>
    <m/>
    <m/>
    <m/>
    <m/>
    <m/>
    <m/>
    <m/>
    <m/>
    <m/>
    <m/>
    <m/>
    <m/>
    <m/>
    <m/>
    <m/>
    <m/>
    <m/>
    <m/>
    <m/>
    <m/>
  </r>
  <r>
    <n v="744"/>
    <d v="2025-02-22T00:00:00"/>
    <s v="ZBTO"/>
    <n v="9518543214"/>
    <n v="9"/>
    <s v="9518543214-9"/>
    <m/>
    <s v="Mar'25"/>
    <s v="Released orders"/>
    <x v="4"/>
    <x v="7"/>
    <n v="1000"/>
    <m/>
    <x v="0"/>
    <m/>
    <m/>
    <s v="Jharkhand"/>
    <m/>
    <m/>
    <m/>
    <n v="940016"/>
    <s v="TATA BLUESCOPE STEEL PVT LTD."/>
    <n v="3900141"/>
    <s v="PPGL C HARD Y550PL ISC6 0.430X1220"/>
    <m/>
    <m/>
    <m/>
    <m/>
    <s v="Wider"/>
    <s v="B18"/>
    <s v="Y550PL"/>
    <s v="ISC6"/>
    <n v="0.43"/>
    <n v="1220"/>
    <n v="0"/>
    <n v="28"/>
    <n v="0"/>
    <n v="28"/>
    <n v="28"/>
    <m/>
    <m/>
    <m/>
    <m/>
    <n v="28"/>
    <n v="28"/>
    <m/>
    <m/>
    <m/>
    <m/>
    <m/>
    <m/>
    <m/>
    <m/>
    <m/>
    <m/>
    <m/>
    <m/>
    <m/>
    <m/>
    <m/>
    <m/>
    <m/>
    <m/>
    <m/>
    <m/>
    <m/>
    <m/>
    <m/>
    <m/>
    <n v="0"/>
    <n v="0"/>
    <n v="28"/>
    <n v="0"/>
    <n v="0"/>
    <n v="0"/>
    <n v="0"/>
    <n v="28"/>
    <n v="0"/>
    <n v="0"/>
    <n v="0"/>
    <n v="0"/>
    <n v="0"/>
    <n v="0"/>
    <n v="28"/>
    <m/>
    <m/>
    <m/>
    <m/>
    <m/>
    <m/>
    <m/>
    <m/>
    <m/>
    <m/>
    <m/>
    <m/>
    <m/>
    <m/>
    <m/>
    <m/>
    <m/>
    <m/>
    <m/>
    <m/>
    <m/>
    <m/>
    <m/>
    <m/>
    <m/>
    <m/>
    <m/>
    <m/>
    <m/>
    <m/>
    <m/>
    <m/>
    <m/>
    <m/>
  </r>
  <r>
    <n v="744"/>
    <d v="2025-02-22T00:00:00"/>
    <s v="ZBTO"/>
    <n v="9518543214"/>
    <n v="10"/>
    <s v="9518543214-10"/>
    <m/>
    <s v="Mar'25"/>
    <s v="Released orders"/>
    <x v="4"/>
    <x v="7"/>
    <n v="1000"/>
    <m/>
    <x v="0"/>
    <m/>
    <m/>
    <s v="Jharkhand"/>
    <m/>
    <m/>
    <m/>
    <n v="940016"/>
    <s v="TATA BLUESCOPE STEEL PVT LTD."/>
    <n v="3900141"/>
    <s v="PPGL C HARD Y550PL ISC6 0.430X1220"/>
    <m/>
    <m/>
    <m/>
    <m/>
    <s v="Wider"/>
    <s v="B18"/>
    <s v="Y550PL"/>
    <s v="ISC6"/>
    <n v="0.43"/>
    <n v="1220"/>
    <n v="0"/>
    <n v="28"/>
    <n v="0"/>
    <n v="28"/>
    <n v="28"/>
    <m/>
    <m/>
    <m/>
    <m/>
    <n v="28"/>
    <n v="28"/>
    <m/>
    <m/>
    <m/>
    <m/>
    <m/>
    <m/>
    <m/>
    <m/>
    <m/>
    <m/>
    <m/>
    <m/>
    <m/>
    <m/>
    <m/>
    <m/>
    <m/>
    <m/>
    <m/>
    <m/>
    <m/>
    <m/>
    <m/>
    <m/>
    <n v="0"/>
    <n v="0"/>
    <n v="28"/>
    <n v="0"/>
    <n v="28"/>
    <n v="0"/>
    <n v="0"/>
    <n v="0"/>
    <n v="28"/>
    <n v="0"/>
    <n v="0"/>
    <n v="28"/>
    <n v="0"/>
    <n v="0"/>
    <n v="0"/>
    <m/>
    <m/>
    <m/>
    <m/>
    <m/>
    <m/>
    <m/>
    <m/>
    <m/>
    <m/>
    <m/>
    <m/>
    <m/>
    <m/>
    <m/>
    <m/>
    <m/>
    <m/>
    <m/>
    <m/>
    <m/>
    <m/>
    <m/>
    <m/>
    <m/>
    <m/>
    <m/>
    <m/>
    <m/>
    <m/>
    <m/>
    <m/>
    <m/>
    <m/>
  </r>
  <r>
    <n v="744"/>
    <d v="2025-02-22T00:00:00"/>
    <s v="ZBTO"/>
    <n v="9518543292"/>
    <n v="1"/>
    <s v="9518543292-1"/>
    <m/>
    <s v="Mar'25"/>
    <s v="Released orders"/>
    <x v="4"/>
    <x v="7"/>
    <n v="1000"/>
    <m/>
    <x v="0"/>
    <m/>
    <m/>
    <s v="Jharkhand"/>
    <m/>
    <m/>
    <m/>
    <n v="940016"/>
    <s v="TATA BLUESCOPE STEEL PVT LTD."/>
    <n v="3879501"/>
    <s v="PPGL C HARD Y550PL ISC6 0.450X1220"/>
    <m/>
    <m/>
    <m/>
    <m/>
    <s v="Wider"/>
    <s v="B18"/>
    <s v="Y550PL"/>
    <s v="ISC6"/>
    <n v="0.45"/>
    <n v="1220"/>
    <n v="0"/>
    <n v="168"/>
    <n v="0"/>
    <n v="168"/>
    <n v="168"/>
    <m/>
    <m/>
    <m/>
    <m/>
    <n v="168"/>
    <n v="168"/>
    <m/>
    <m/>
    <m/>
    <m/>
    <m/>
    <m/>
    <m/>
    <m/>
    <m/>
    <m/>
    <m/>
    <m/>
    <m/>
    <m/>
    <m/>
    <m/>
    <m/>
    <m/>
    <m/>
    <m/>
    <m/>
    <m/>
    <m/>
    <m/>
    <n v="0"/>
    <n v="0"/>
    <n v="168"/>
    <n v="0"/>
    <n v="0"/>
    <n v="168"/>
    <n v="0"/>
    <n v="0"/>
    <n v="168"/>
    <n v="0"/>
    <n v="0"/>
    <n v="0"/>
    <n v="168"/>
    <n v="0"/>
    <n v="0"/>
    <m/>
    <m/>
    <m/>
    <m/>
    <m/>
    <m/>
    <m/>
    <m/>
    <m/>
    <m/>
    <m/>
    <m/>
    <m/>
    <m/>
    <m/>
    <m/>
    <m/>
    <m/>
    <m/>
    <m/>
    <m/>
    <m/>
    <m/>
    <m/>
    <m/>
    <m/>
    <m/>
    <m/>
    <m/>
    <m/>
    <m/>
    <m/>
    <m/>
    <m/>
  </r>
  <r>
    <n v="744"/>
    <d v="2025-02-22T00:00:00"/>
    <s v="ZBTO"/>
    <n v="9518543292"/>
    <n v="2"/>
    <s v="9518543292-2"/>
    <m/>
    <s v="Mar'25"/>
    <s v="Released orders"/>
    <x v="4"/>
    <x v="7"/>
    <n v="1000"/>
    <m/>
    <x v="0"/>
    <m/>
    <m/>
    <s v="Jharkhand"/>
    <m/>
    <m/>
    <m/>
    <n v="940016"/>
    <s v="TATA BLUESCOPE STEEL PVT LTD."/>
    <n v="3879501"/>
    <s v="PPGL C HARD Y550PL ISC6 0.450X1220"/>
    <m/>
    <m/>
    <m/>
    <m/>
    <s v="Wider"/>
    <s v="B18"/>
    <s v="Y550PL"/>
    <s v="ISC6"/>
    <n v="0.45"/>
    <n v="1220"/>
    <n v="0"/>
    <n v="56"/>
    <n v="0"/>
    <n v="56"/>
    <n v="56"/>
    <m/>
    <m/>
    <m/>
    <m/>
    <n v="56"/>
    <n v="56"/>
    <m/>
    <m/>
    <m/>
    <m/>
    <m/>
    <m/>
    <m/>
    <m/>
    <m/>
    <m/>
    <m/>
    <m/>
    <m/>
    <m/>
    <m/>
    <m/>
    <m/>
    <m/>
    <m/>
    <m/>
    <m/>
    <m/>
    <m/>
    <m/>
    <n v="0"/>
    <n v="0"/>
    <n v="0"/>
    <n v="0"/>
    <n v="0"/>
    <n v="0"/>
    <n v="0"/>
    <n v="0"/>
    <n v="0"/>
    <n v="0"/>
    <n v="0"/>
    <n v="0"/>
    <n v="0"/>
    <n v="0"/>
    <n v="0"/>
    <m/>
    <m/>
    <m/>
    <m/>
    <m/>
    <m/>
    <m/>
    <m/>
    <m/>
    <m/>
    <m/>
    <m/>
    <m/>
    <m/>
    <m/>
    <m/>
    <m/>
    <m/>
    <m/>
    <m/>
    <m/>
    <m/>
    <m/>
    <m/>
    <m/>
    <m/>
    <m/>
    <m/>
    <m/>
    <m/>
    <m/>
    <m/>
    <m/>
    <m/>
  </r>
  <r>
    <n v="744"/>
    <d v="2025-02-22T00:00:00"/>
    <s v="ZBTO"/>
    <n v="9518543307"/>
    <n v="1"/>
    <s v="9518543307-1"/>
    <m/>
    <s v="Mar'25"/>
    <s v="Released orders"/>
    <x v="4"/>
    <x v="7"/>
    <n v="1000"/>
    <m/>
    <x v="0"/>
    <m/>
    <m/>
    <s v="Jharkhand"/>
    <m/>
    <m/>
    <m/>
    <n v="940016"/>
    <s v="TATA BLUESCOPE STEEL PVT LTD."/>
    <n v="3879501"/>
    <s v="PPGL C HARD Y550PL ISC6 0.450X1220"/>
    <m/>
    <m/>
    <m/>
    <m/>
    <s v="Wider"/>
    <s v="B18"/>
    <s v="Y550PL"/>
    <s v="ISC6"/>
    <n v="0.45"/>
    <n v="1220"/>
    <n v="0"/>
    <n v="112"/>
    <n v="0"/>
    <n v="112"/>
    <n v="112"/>
    <m/>
    <m/>
    <m/>
    <m/>
    <n v="112"/>
    <n v="112"/>
    <m/>
    <m/>
    <m/>
    <m/>
    <m/>
    <m/>
    <m/>
    <m/>
    <m/>
    <m/>
    <m/>
    <m/>
    <m/>
    <m/>
    <m/>
    <m/>
    <m/>
    <m/>
    <m/>
    <m/>
    <m/>
    <m/>
    <m/>
    <m/>
    <n v="0"/>
    <n v="0"/>
    <n v="112"/>
    <n v="0"/>
    <n v="0"/>
    <n v="112"/>
    <n v="0"/>
    <n v="0"/>
    <n v="112"/>
    <n v="0"/>
    <n v="0"/>
    <n v="0"/>
    <n v="112"/>
    <n v="0"/>
    <n v="0"/>
    <m/>
    <m/>
    <m/>
    <m/>
    <m/>
    <m/>
    <m/>
    <m/>
    <m/>
    <m/>
    <m/>
    <m/>
    <m/>
    <m/>
    <m/>
    <m/>
    <m/>
    <m/>
    <m/>
    <m/>
    <m/>
    <m/>
    <m/>
    <m/>
    <m/>
    <m/>
    <m/>
    <m/>
    <m/>
    <m/>
    <m/>
    <m/>
    <m/>
    <m/>
  </r>
  <r>
    <n v="744"/>
    <d v="2025-02-22T00:00:00"/>
    <s v="ZBTO"/>
    <n v="9518543307"/>
    <n v="2"/>
    <s v="9518543307-2"/>
    <m/>
    <s v="Mar'25"/>
    <s v="Released orders"/>
    <x v="4"/>
    <x v="7"/>
    <n v="1000"/>
    <m/>
    <x v="0"/>
    <m/>
    <m/>
    <s v="Jharkhand"/>
    <m/>
    <m/>
    <m/>
    <n v="940016"/>
    <s v="TATA BLUESCOPE STEEL PVT LTD."/>
    <n v="3879501"/>
    <s v="PPGL C HARD Y550PL ISC6 0.450X1220"/>
    <m/>
    <m/>
    <m/>
    <m/>
    <s v="Wider"/>
    <s v="B18"/>
    <s v="Y550PL"/>
    <s v="ISC6"/>
    <n v="0.45"/>
    <n v="1220"/>
    <n v="0"/>
    <n v="56"/>
    <n v="0"/>
    <n v="56"/>
    <n v="56"/>
    <m/>
    <m/>
    <m/>
    <m/>
    <n v="56"/>
    <n v="56"/>
    <m/>
    <m/>
    <m/>
    <m/>
    <m/>
    <m/>
    <m/>
    <m/>
    <m/>
    <m/>
    <m/>
    <m/>
    <m/>
    <m/>
    <m/>
    <m/>
    <m/>
    <m/>
    <m/>
    <m/>
    <m/>
    <m/>
    <m/>
    <m/>
    <n v="0"/>
    <n v="0"/>
    <n v="0"/>
    <n v="0"/>
    <n v="0"/>
    <n v="0"/>
    <n v="0"/>
    <n v="0"/>
    <n v="0"/>
    <n v="0"/>
    <n v="0"/>
    <n v="0"/>
    <n v="0"/>
    <n v="0"/>
    <n v="0"/>
    <m/>
    <m/>
    <m/>
    <m/>
    <m/>
    <m/>
    <m/>
    <m/>
    <m/>
    <m/>
    <m/>
    <m/>
    <m/>
    <m/>
    <m/>
    <m/>
    <m/>
    <m/>
    <m/>
    <m/>
    <m/>
    <m/>
    <m/>
    <m/>
    <m/>
    <m/>
    <m/>
    <m/>
    <m/>
    <m/>
    <m/>
    <m/>
    <m/>
    <m/>
  </r>
  <r>
    <n v="742"/>
    <d v="2024-12-13T00:00:00"/>
    <s v="ZBTO"/>
    <n v="9518340643"/>
    <n v="1"/>
    <s v="9518340643-1"/>
    <m/>
    <s v="No Priority"/>
    <s v="Released orders"/>
    <x v="1"/>
    <x v="1"/>
    <n v="2000"/>
    <m/>
    <x v="1"/>
    <m/>
    <m/>
    <m/>
    <m/>
    <s v="JALPAIGURI"/>
    <m/>
    <n v="116649"/>
    <s v="SAGAR STEELS"/>
    <n v="3832848"/>
    <s v="CRCA SHEET TATCRC SR16 0.400X1120X2000"/>
    <s v=" "/>
    <m/>
    <n v="2"/>
    <n v="3"/>
    <s v="Narrow"/>
    <s v="C06"/>
    <s v="TATCRC"/>
    <s v="SR16"/>
    <n v="0.4"/>
    <n v="1120"/>
    <n v="2000"/>
    <n v="26"/>
    <n v="23.484999999999999"/>
    <m/>
    <m/>
    <m/>
    <m/>
    <m/>
    <m/>
    <n v="26"/>
    <n v="2.5150000000000001"/>
    <m/>
    <m/>
    <m/>
    <m/>
    <m/>
    <m/>
    <m/>
    <m/>
    <m/>
    <m/>
    <m/>
    <m/>
    <m/>
    <m/>
    <m/>
    <m/>
    <m/>
    <m/>
    <m/>
    <m/>
    <m/>
    <m/>
    <m/>
    <m/>
    <m/>
    <n v="0"/>
    <n v="0"/>
    <n v="0"/>
    <n v="0"/>
    <n v="0"/>
    <n v="0"/>
    <n v="0"/>
    <n v="0"/>
    <n v="0"/>
    <n v="0"/>
    <n v="0"/>
    <n v="0"/>
    <n v="0"/>
    <n v="0"/>
    <m/>
    <m/>
    <m/>
    <m/>
    <m/>
    <m/>
    <m/>
    <m/>
    <m/>
    <m/>
    <m/>
    <m/>
    <m/>
    <m/>
    <m/>
    <m/>
    <m/>
    <m/>
    <m/>
    <m/>
    <m/>
    <m/>
    <m/>
    <m/>
    <m/>
    <m/>
    <m/>
    <m/>
    <m/>
    <m/>
    <m/>
    <m/>
    <m/>
    <m/>
  </r>
  <r>
    <n v="742"/>
    <d v="2025-01-06T00:00:00"/>
    <s v="ZBTO"/>
    <n v="9518407284"/>
    <n v="11"/>
    <s v="9518407284-11"/>
    <m/>
    <s v="Mar'25"/>
    <s v="Released orders"/>
    <x v="1"/>
    <x v="3"/>
    <n v="2000"/>
    <m/>
    <x v="0"/>
    <m/>
    <m/>
    <m/>
    <m/>
    <s v="CHENNAI"/>
    <m/>
    <n v="116465"/>
    <s v="SRI BALAJI STEEL TRADERS"/>
    <n v="279229"/>
    <s v="CRSHEET TATXXD AU03 0.50X1250X2500"/>
    <s v=" "/>
    <m/>
    <n v="0"/>
    <n v="0"/>
    <s v="Wider"/>
    <s v="C06"/>
    <s v="TATXXD"/>
    <s v="AU03"/>
    <n v="0.5"/>
    <n v="1250"/>
    <n v="2500"/>
    <n v="29"/>
    <n v="0"/>
    <m/>
    <m/>
    <m/>
    <m/>
    <m/>
    <m/>
    <n v="29"/>
    <n v="29"/>
    <m/>
    <m/>
    <m/>
    <m/>
    <m/>
    <m/>
    <m/>
    <m/>
    <m/>
    <m/>
    <m/>
    <m/>
    <m/>
    <m/>
    <m/>
    <m/>
    <m/>
    <m/>
    <m/>
    <m/>
    <m/>
    <m/>
    <m/>
    <m/>
    <m/>
    <n v="0"/>
    <n v="29"/>
    <n v="0"/>
    <n v="29"/>
    <n v="0"/>
    <n v="0"/>
    <n v="0"/>
    <n v="29"/>
    <n v="0"/>
    <n v="0"/>
    <n v="29"/>
    <n v="0"/>
    <n v="0"/>
    <n v="0"/>
    <m/>
    <m/>
    <m/>
    <m/>
    <m/>
    <m/>
    <m/>
    <m/>
    <m/>
    <m/>
    <m/>
    <m/>
    <m/>
    <m/>
    <m/>
    <m/>
    <m/>
    <m/>
    <m/>
    <m/>
    <m/>
    <m/>
    <m/>
    <m/>
    <m/>
    <m/>
    <m/>
    <m/>
    <m/>
    <m/>
    <m/>
    <m/>
    <m/>
    <m/>
  </r>
  <r>
    <n v="742"/>
    <d v="2024-12-19T00:00:00"/>
    <s v="ZBTO"/>
    <n v="9518356689"/>
    <n v="24"/>
    <s v="9518356689-24"/>
    <m/>
    <s v="Mar'25"/>
    <s v="Released orders"/>
    <x v="1"/>
    <x v="3"/>
    <n v="2000"/>
    <m/>
    <x v="0"/>
    <m/>
    <m/>
    <m/>
    <m/>
    <s v="CHENNAI"/>
    <m/>
    <n v="938550"/>
    <s v="BASEER AND CO"/>
    <n v="281630"/>
    <s v="CRSHEET C06 TATXXD AU03 1.6X1250X2500"/>
    <s v=" "/>
    <m/>
    <n v="0"/>
    <n v="0"/>
    <s v="Wider"/>
    <s v="C06"/>
    <s v="TATXXD"/>
    <s v="AU03"/>
    <n v="1.6"/>
    <n v="1250"/>
    <n v="2500"/>
    <n v="27"/>
    <n v="0"/>
    <m/>
    <m/>
    <m/>
    <m/>
    <m/>
    <m/>
    <n v="27"/>
    <n v="27"/>
    <m/>
    <m/>
    <m/>
    <m/>
    <m/>
    <m/>
    <m/>
    <m/>
    <m/>
    <m/>
    <m/>
    <m/>
    <m/>
    <m/>
    <m/>
    <m/>
    <m/>
    <m/>
    <m/>
    <m/>
    <m/>
    <m/>
    <m/>
    <m/>
    <m/>
    <n v="0"/>
    <n v="27"/>
    <n v="0"/>
    <n v="27"/>
    <n v="0"/>
    <n v="0"/>
    <n v="0"/>
    <n v="27"/>
    <n v="0"/>
    <n v="0"/>
    <n v="27"/>
    <n v="0"/>
    <n v="0"/>
    <n v="0"/>
    <m/>
    <m/>
    <m/>
    <m/>
    <m/>
    <m/>
    <m/>
    <m/>
    <m/>
    <m/>
    <m/>
    <m/>
    <m/>
    <m/>
    <m/>
    <m/>
    <m/>
    <m/>
    <m/>
    <m/>
    <m/>
    <m/>
    <m/>
    <m/>
    <m/>
    <m/>
    <m/>
    <m/>
    <m/>
    <m/>
    <m/>
    <m/>
    <m/>
    <m/>
  </r>
  <r>
    <n v="742"/>
    <d v="2024-12-06T00:00:00"/>
    <s v="ZBTO"/>
    <n v="9518324058"/>
    <n v="8"/>
    <s v="9518324058-8"/>
    <m/>
    <s v="Mar'25"/>
    <s v="Released orders"/>
    <x v="1"/>
    <x v="1"/>
    <n v="2000"/>
    <m/>
    <x v="1"/>
    <m/>
    <s v="De-prioritized due to narrow HR unavailability"/>
    <m/>
    <m/>
    <s v="URLA"/>
    <m/>
    <n v="139336"/>
    <s v="PASA ASSOCIATES PRIVATE LIMITED"/>
    <n v="3240797"/>
    <s v="CRCA SHEET TSBCRC SR15 0.700X1000X2500"/>
    <s v=" "/>
    <m/>
    <n v="0"/>
    <n v="0"/>
    <s v="Narrow"/>
    <s v="C06"/>
    <s v="TSBCRC"/>
    <s v="SR15"/>
    <n v="0.7"/>
    <n v="1000"/>
    <n v="2500"/>
    <n v="33"/>
    <n v="0"/>
    <m/>
    <m/>
    <m/>
    <m/>
    <m/>
    <m/>
    <n v="33"/>
    <n v="33"/>
    <m/>
    <m/>
    <m/>
    <m/>
    <m/>
    <m/>
    <m/>
    <m/>
    <m/>
    <m/>
    <m/>
    <m/>
    <m/>
    <m/>
    <m/>
    <m/>
    <m/>
    <m/>
    <m/>
    <m/>
    <m/>
    <m/>
    <m/>
    <m/>
    <m/>
    <n v="0"/>
    <n v="0"/>
    <n v="0"/>
    <n v="0"/>
    <n v="0"/>
    <n v="0"/>
    <n v="0"/>
    <n v="0"/>
    <n v="0"/>
    <n v="0"/>
    <n v="0"/>
    <n v="0"/>
    <n v="0"/>
    <n v="0"/>
    <m/>
    <m/>
    <m/>
    <m/>
    <m/>
    <m/>
    <m/>
    <m/>
    <m/>
    <m/>
    <m/>
    <m/>
    <m/>
    <m/>
    <m/>
    <m/>
    <m/>
    <m/>
    <m/>
    <m/>
    <m/>
    <m/>
    <m/>
    <m/>
    <m/>
    <m/>
    <m/>
    <m/>
    <m/>
    <m/>
    <m/>
    <m/>
    <m/>
    <m/>
  </r>
  <r>
    <n v="743"/>
    <d v="2025-02-22T00:00:00"/>
    <s v="ZBTO"/>
    <n v="9518542035"/>
    <n v="2"/>
    <s v="9518542035-2"/>
    <m/>
    <s v="Mar'25"/>
    <s v="Released orders"/>
    <x v="2"/>
    <x v="2"/>
    <n v="2000"/>
    <m/>
    <x v="0"/>
    <m/>
    <m/>
    <m/>
    <m/>
    <s v="JAIPUR"/>
    <m/>
    <n v="117583"/>
    <s v="BIHANI ENTERPRISES"/>
    <n v="1326487"/>
    <s v="GP COIL SOFT-TATXGP-GK09-0.35X1000"/>
    <s v="Z80"/>
    <m/>
    <n v="5"/>
    <n v="7"/>
    <s v="Narrow"/>
    <s v="C02"/>
    <s v="TATXGP"/>
    <s v="GK09"/>
    <n v="0.35"/>
    <n v="1000"/>
    <n v="0"/>
    <n v="69"/>
    <n v="0"/>
    <m/>
    <m/>
    <m/>
    <m/>
    <m/>
    <m/>
    <n v="69"/>
    <n v="69"/>
    <m/>
    <m/>
    <m/>
    <m/>
    <m/>
    <m/>
    <m/>
    <m/>
    <m/>
    <m/>
    <m/>
    <m/>
    <m/>
    <m/>
    <m/>
    <m/>
    <m/>
    <m/>
    <m/>
    <m/>
    <m/>
    <m/>
    <m/>
    <m/>
    <m/>
    <n v="0"/>
    <n v="69"/>
    <n v="0"/>
    <n v="0"/>
    <n v="0"/>
    <n v="0"/>
    <n v="69"/>
    <n v="0"/>
    <n v="0"/>
    <n v="0"/>
    <n v="0"/>
    <n v="0"/>
    <n v="0"/>
    <n v="69"/>
    <m/>
    <m/>
    <m/>
    <m/>
    <m/>
    <m/>
    <m/>
    <m/>
    <m/>
    <m/>
    <m/>
    <m/>
    <m/>
    <m/>
    <m/>
    <m/>
    <m/>
    <m/>
    <m/>
    <m/>
    <m/>
    <m/>
    <m/>
    <m/>
    <m/>
    <m/>
    <m/>
    <m/>
    <m/>
    <m/>
    <m/>
    <m/>
    <m/>
    <m/>
  </r>
  <r>
    <n v="742"/>
    <d v="2025-02-24T00:00:00"/>
    <s v="ZBTF"/>
    <n v="9518546113"/>
    <n v="1"/>
    <s v="9518546113-1"/>
    <m/>
    <s v="Mar'25 additional"/>
    <s v="Released orders"/>
    <x v="1"/>
    <x v="4"/>
    <n v="1000"/>
    <m/>
    <x v="1"/>
    <m/>
    <s v="Deprioritized for TPI orders"/>
    <s v="UP"/>
    <s v="North"/>
    <m/>
    <m/>
    <m/>
    <s v="TATA CENTRE"/>
    <n v="2439203"/>
    <s v="CRCA COIL TSBSTA EL06 0.500X1160"/>
    <m/>
    <m/>
    <m/>
    <m/>
    <s v="Wider"/>
    <s v="C01"/>
    <s v="TSBSTA"/>
    <s v="EL06"/>
    <n v="0.5"/>
    <n v="1160"/>
    <n v="0"/>
    <n v="297"/>
    <e v="#N/A"/>
    <m/>
    <m/>
    <m/>
    <m/>
    <m/>
    <m/>
    <n v="297"/>
    <n v="297"/>
    <m/>
    <m/>
    <m/>
    <m/>
    <m/>
    <m/>
    <m/>
    <m/>
    <m/>
    <m/>
    <m/>
    <m/>
    <m/>
    <m/>
    <m/>
    <m/>
    <m/>
    <m/>
    <m/>
    <m/>
    <m/>
    <m/>
    <m/>
    <m/>
    <m/>
    <n v="0"/>
    <n v="297"/>
    <n v="0"/>
    <n v="0"/>
    <n v="0"/>
    <n v="0"/>
    <n v="297"/>
    <n v="0"/>
    <n v="0"/>
    <n v="0"/>
    <n v="0"/>
    <n v="0"/>
    <n v="0"/>
    <n v="297"/>
    <m/>
    <m/>
    <m/>
    <m/>
    <m/>
    <m/>
    <m/>
    <m/>
    <m/>
    <m/>
    <m/>
    <m/>
    <m/>
    <m/>
    <m/>
    <m/>
    <m/>
    <m/>
    <m/>
    <m/>
    <m/>
    <m/>
    <m/>
    <m/>
    <m/>
    <m/>
    <m/>
    <m/>
    <m/>
    <m/>
    <m/>
    <m/>
    <m/>
    <m/>
  </r>
  <r>
    <n v="742"/>
    <d v="2025-02-24T00:00:00"/>
    <s v="ZBTF"/>
    <n v="9518546113"/>
    <n v="2"/>
    <s v="9518546113-2"/>
    <m/>
    <s v="Mar'25 additional"/>
    <s v="Released orders"/>
    <x v="1"/>
    <x v="4"/>
    <n v="1000"/>
    <m/>
    <x v="1"/>
    <m/>
    <s v="Deprioritized for TPI orders"/>
    <s v="UP"/>
    <s v="North"/>
    <m/>
    <m/>
    <m/>
    <s v="TATA CENTRE"/>
    <n v="2439203"/>
    <s v="CRCA COIL TSBSTA EL06 0.500X1160"/>
    <m/>
    <m/>
    <m/>
    <m/>
    <s v="Wider"/>
    <s v="C01"/>
    <s v="TSBSTA"/>
    <s v="EL06"/>
    <n v="0.5"/>
    <n v="1160"/>
    <n v="0"/>
    <n v="297"/>
    <e v="#N/A"/>
    <m/>
    <m/>
    <m/>
    <m/>
    <m/>
    <m/>
    <n v="297"/>
    <n v="297"/>
    <m/>
    <m/>
    <m/>
    <m/>
    <m/>
    <m/>
    <m/>
    <m/>
    <m/>
    <m/>
    <m/>
    <m/>
    <m/>
    <m/>
    <m/>
    <m/>
    <m/>
    <m/>
    <m/>
    <m/>
    <m/>
    <m/>
    <m/>
    <m/>
    <m/>
    <n v="0"/>
    <n v="297"/>
    <n v="0"/>
    <n v="0"/>
    <n v="0"/>
    <n v="0"/>
    <n v="297"/>
    <n v="0"/>
    <n v="0"/>
    <n v="0"/>
    <n v="0"/>
    <n v="0"/>
    <n v="0"/>
    <n v="297"/>
    <m/>
    <m/>
    <m/>
    <m/>
    <m/>
    <m/>
    <m/>
    <m/>
    <m/>
    <m/>
    <m/>
    <m/>
    <m/>
    <m/>
    <m/>
    <m/>
    <m/>
    <m/>
    <m/>
    <m/>
    <m/>
    <m/>
    <m/>
    <m/>
    <m/>
    <m/>
    <m/>
    <m/>
    <m/>
    <m/>
    <m/>
    <m/>
    <m/>
    <m/>
  </r>
  <r>
    <n v="742"/>
    <d v="2025-02-24T00:00:00"/>
    <s v="ZBTF"/>
    <n v="9518546113"/>
    <n v="3"/>
    <s v="9518546113-3"/>
    <m/>
    <s v="No Priority"/>
    <s v="Failed orders"/>
    <x v="1"/>
    <x v="4"/>
    <n v="1000"/>
    <m/>
    <x v="1"/>
    <m/>
    <m/>
    <s v="UP"/>
    <s v="North"/>
    <m/>
    <m/>
    <m/>
    <s v="TATA CENTRE"/>
    <n v="2439203"/>
    <s v="CRCA COIL TSBSTA EL06 0.500X1160"/>
    <m/>
    <m/>
    <m/>
    <m/>
    <s v="Wider"/>
    <s v="C01"/>
    <s v="TSBSTA"/>
    <s v="EL06"/>
    <n v="0.5"/>
    <n v="1160"/>
    <n v="0"/>
    <n v="297"/>
    <e v="#N/A"/>
    <m/>
    <m/>
    <m/>
    <m/>
    <m/>
    <m/>
    <n v="297"/>
    <n v="297"/>
    <m/>
    <m/>
    <m/>
    <m/>
    <m/>
    <m/>
    <m/>
    <m/>
    <m/>
    <m/>
    <m/>
    <m/>
    <m/>
    <m/>
    <m/>
    <m/>
    <m/>
    <m/>
    <m/>
    <m/>
    <m/>
    <m/>
    <m/>
    <m/>
    <m/>
    <n v="0"/>
    <n v="0"/>
    <n v="0"/>
    <n v="0"/>
    <n v="0"/>
    <n v="0"/>
    <n v="0"/>
    <n v="0"/>
    <n v="0"/>
    <n v="0"/>
    <n v="0"/>
    <n v="0"/>
    <n v="0"/>
    <n v="0"/>
    <m/>
    <m/>
    <m/>
    <m/>
    <m/>
    <m/>
    <m/>
    <m/>
    <m/>
    <m/>
    <m/>
    <m/>
    <m/>
    <m/>
    <m/>
    <m/>
    <m/>
    <m/>
    <m/>
    <m/>
    <m/>
    <m/>
    <m/>
    <m/>
    <m/>
    <m/>
    <m/>
    <m/>
    <m/>
    <m/>
    <m/>
    <m/>
    <m/>
    <m/>
  </r>
  <r>
    <n v="742"/>
    <d v="2025-02-24T00:00:00"/>
    <s v="ZBTO"/>
    <n v="9518548053"/>
    <n v="1"/>
    <s v="9518548053-1"/>
    <m/>
    <s v="No Priority"/>
    <s v="Released orders"/>
    <x v="1"/>
    <x v="14"/>
    <n v="2000"/>
    <m/>
    <x v="1"/>
    <m/>
    <m/>
    <s v="AP"/>
    <s v="South"/>
    <s v="Sangareddy"/>
    <m/>
    <n v="947126"/>
    <s v="RAVINDRA IRON WORKS"/>
    <n v="3587949"/>
    <s v="CR COIL TSBSTA EL06 0.500X1250"/>
    <m/>
    <m/>
    <n v="5"/>
    <n v="30"/>
    <s v="Wider"/>
    <s v="C01"/>
    <s v="TSBSTA"/>
    <s v="EL06"/>
    <n v="0.5"/>
    <n v="1250"/>
    <n v="0"/>
    <n v="29"/>
    <e v="#N/A"/>
    <n v="29"/>
    <m/>
    <m/>
    <m/>
    <m/>
    <m/>
    <n v="29"/>
    <n v="0"/>
    <m/>
    <m/>
    <m/>
    <m/>
    <m/>
    <m/>
    <m/>
    <m/>
    <m/>
    <m/>
    <m/>
    <m/>
    <m/>
    <m/>
    <m/>
    <m/>
    <m/>
    <m/>
    <m/>
    <m/>
    <m/>
    <m/>
    <m/>
    <m/>
    <m/>
    <n v="0"/>
    <n v="0"/>
    <n v="0"/>
    <n v="0"/>
    <n v="0"/>
    <n v="0"/>
    <n v="0"/>
    <n v="0"/>
    <n v="0"/>
    <n v="0"/>
    <n v="0"/>
    <n v="0"/>
    <n v="0"/>
    <n v="0"/>
    <m/>
    <m/>
    <m/>
    <m/>
    <m/>
    <m/>
    <m/>
    <m/>
    <m/>
    <m/>
    <m/>
    <m/>
    <m/>
    <m/>
    <m/>
    <m/>
    <m/>
    <m/>
    <m/>
    <m/>
    <m/>
    <m/>
    <m/>
    <m/>
    <m/>
    <m/>
    <m/>
    <m/>
    <m/>
    <m/>
    <m/>
    <m/>
    <m/>
    <m/>
  </r>
  <r>
    <n v="743"/>
    <d v="2025-02-25T00:00:00"/>
    <s v="ZBTO"/>
    <n v="9518550672"/>
    <n v="1"/>
    <s v="9518550672-1"/>
    <m/>
    <s v="Mar'25"/>
    <s v="Released orders"/>
    <x v="3"/>
    <x v="5"/>
    <n v="1000"/>
    <m/>
    <x v="0"/>
    <m/>
    <m/>
    <s v="AP"/>
    <m/>
    <m/>
    <m/>
    <n v="188750"/>
    <s v="Colorshine Coated Pvt.Ltd."/>
    <n v="3433440"/>
    <s v="GL COIL HARD  Y550GL H7GL 0.420X1235"/>
    <n v="70"/>
    <m/>
    <m/>
    <m/>
    <s v="Wider"/>
    <s v="B04"/>
    <s v="Y550GL"/>
    <s v="H7GL"/>
    <n v="0.42"/>
    <n v="1235"/>
    <n v="0"/>
    <n v="300"/>
    <n v="0"/>
    <m/>
    <m/>
    <m/>
    <m/>
    <m/>
    <m/>
    <n v="300"/>
    <n v="280"/>
    <m/>
    <m/>
    <m/>
    <m/>
    <m/>
    <m/>
    <m/>
    <m/>
    <m/>
    <m/>
    <m/>
    <m/>
    <m/>
    <m/>
    <m/>
    <m/>
    <m/>
    <m/>
    <m/>
    <m/>
    <m/>
    <m/>
    <m/>
    <m/>
    <m/>
    <n v="0"/>
    <n v="280"/>
    <n v="0"/>
    <n v="0"/>
    <n v="280"/>
    <n v="0"/>
    <n v="0"/>
    <n v="280"/>
    <n v="0"/>
    <n v="0"/>
    <n v="0"/>
    <n v="280"/>
    <n v="0"/>
    <n v="0"/>
    <m/>
    <m/>
    <m/>
    <m/>
    <m/>
    <m/>
    <m/>
    <m/>
    <m/>
    <m/>
    <m/>
    <m/>
    <m/>
    <m/>
    <m/>
    <m/>
    <m/>
    <m/>
    <m/>
    <m/>
    <m/>
    <m/>
    <m/>
    <m/>
    <m/>
    <m/>
    <m/>
    <m/>
    <m/>
    <m/>
    <m/>
    <m/>
    <m/>
    <m/>
  </r>
  <r>
    <n v="743"/>
    <d v="2025-02-25T00:00:00"/>
    <s v="ZBTO"/>
    <n v="9518550672"/>
    <n v="2"/>
    <s v="9518550672-2"/>
    <m/>
    <s v="Mar'25"/>
    <s v="Released orders"/>
    <x v="3"/>
    <x v="5"/>
    <n v="1000"/>
    <m/>
    <x v="0"/>
    <m/>
    <m/>
    <s v="AP"/>
    <m/>
    <m/>
    <m/>
    <n v="188750"/>
    <s v="Colorshine Coated Pvt.Ltd."/>
    <n v="3433440"/>
    <s v="GL COIL HARD  Y550GL H7GL 0.420X1235"/>
    <n v="70"/>
    <m/>
    <m/>
    <m/>
    <s v="Wider"/>
    <s v="B04"/>
    <s v="Y550GL"/>
    <s v="H7GL"/>
    <n v="0.42"/>
    <n v="1235"/>
    <n v="0"/>
    <n v="300"/>
    <n v="0"/>
    <m/>
    <m/>
    <m/>
    <m/>
    <m/>
    <m/>
    <n v="300"/>
    <n v="280"/>
    <m/>
    <m/>
    <m/>
    <m/>
    <m/>
    <m/>
    <m/>
    <m/>
    <m/>
    <m/>
    <m/>
    <m/>
    <m/>
    <m/>
    <m/>
    <m/>
    <m/>
    <m/>
    <m/>
    <m/>
    <m/>
    <m/>
    <m/>
    <m/>
    <m/>
    <n v="0"/>
    <n v="280"/>
    <n v="0"/>
    <n v="0"/>
    <n v="280"/>
    <n v="0"/>
    <n v="0"/>
    <n v="280"/>
    <n v="0"/>
    <n v="0"/>
    <n v="0"/>
    <n v="280"/>
    <n v="0"/>
    <n v="0"/>
    <m/>
    <m/>
    <m/>
    <m/>
    <m/>
    <m/>
    <m/>
    <m/>
    <m/>
    <m/>
    <m/>
    <m/>
    <m/>
    <m/>
    <m/>
    <m/>
    <m/>
    <m/>
    <m/>
    <m/>
    <m/>
    <m/>
    <m/>
    <m/>
    <m/>
    <m/>
    <m/>
    <m/>
    <m/>
    <m/>
    <m/>
    <m/>
    <m/>
    <m/>
  </r>
  <r>
    <n v="743"/>
    <d v="2025-02-25T00:00:00"/>
    <s v="ZBTO"/>
    <n v="9518550672"/>
    <n v="3"/>
    <s v="9518550672-3"/>
    <m/>
    <s v="Mar'25"/>
    <s v="Released orders"/>
    <x v="3"/>
    <x v="5"/>
    <n v="1000"/>
    <m/>
    <x v="0"/>
    <m/>
    <m/>
    <s v="AP"/>
    <m/>
    <m/>
    <m/>
    <n v="188750"/>
    <s v="Colorshine Coated Pvt.Ltd."/>
    <n v="2425762"/>
    <s v="GL COIL HARD  Y550GL H7GL 0.400X1235"/>
    <n v="70"/>
    <m/>
    <m/>
    <m/>
    <s v="Wider"/>
    <s v="B04"/>
    <s v="Y550GL"/>
    <s v="H7GL"/>
    <n v="0.4"/>
    <n v="1235"/>
    <n v="0"/>
    <n v="210"/>
    <n v="0"/>
    <m/>
    <m/>
    <m/>
    <m/>
    <m/>
    <m/>
    <n v="210"/>
    <n v="196"/>
    <m/>
    <m/>
    <m/>
    <m/>
    <m/>
    <m/>
    <m/>
    <m/>
    <m/>
    <m/>
    <m/>
    <m/>
    <m/>
    <m/>
    <m/>
    <m/>
    <m/>
    <m/>
    <m/>
    <m/>
    <m/>
    <m/>
    <m/>
    <m/>
    <m/>
    <n v="0"/>
    <n v="196"/>
    <n v="0"/>
    <n v="0"/>
    <n v="196"/>
    <n v="0"/>
    <n v="0"/>
    <n v="196"/>
    <n v="0"/>
    <n v="0"/>
    <n v="0"/>
    <n v="196"/>
    <n v="0"/>
    <n v="0"/>
    <m/>
    <m/>
    <m/>
    <m/>
    <m/>
    <m/>
    <m/>
    <m/>
    <m/>
    <m/>
    <m/>
    <m/>
    <m/>
    <m/>
    <m/>
    <m/>
    <m/>
    <m/>
    <m/>
    <m/>
    <m/>
    <m/>
    <m/>
    <m/>
    <m/>
    <m/>
    <m/>
    <m/>
    <m/>
    <m/>
    <m/>
    <m/>
    <m/>
    <m/>
  </r>
  <r>
    <n v="743"/>
    <d v="2025-02-25T00:00:00"/>
    <s v="ZBTO"/>
    <n v="9518550672"/>
    <n v="4"/>
    <s v="9518550672-4"/>
    <m/>
    <s v="Mar'25"/>
    <s v="Released orders"/>
    <x v="3"/>
    <x v="5"/>
    <n v="1000"/>
    <m/>
    <x v="0"/>
    <m/>
    <m/>
    <s v="AP"/>
    <m/>
    <m/>
    <m/>
    <n v="188750"/>
    <s v="Colorshine Coated Pvt.Ltd."/>
    <n v="3200143"/>
    <s v="GL COIL HARD  Y550GL H7GL 0.370X1245"/>
    <n v="70"/>
    <m/>
    <m/>
    <m/>
    <s v="Wider"/>
    <s v="B04"/>
    <s v="Y550GL"/>
    <s v="H7GL"/>
    <n v="0.37"/>
    <n v="1245"/>
    <n v="0"/>
    <n v="210"/>
    <n v="0"/>
    <m/>
    <m/>
    <m/>
    <m/>
    <m/>
    <m/>
    <n v="210"/>
    <n v="203"/>
    <m/>
    <m/>
    <m/>
    <m/>
    <m/>
    <m/>
    <m/>
    <m/>
    <m/>
    <m/>
    <m/>
    <m/>
    <m/>
    <m/>
    <m/>
    <m/>
    <m/>
    <m/>
    <m/>
    <m/>
    <m/>
    <m/>
    <m/>
    <m/>
    <m/>
    <n v="0"/>
    <n v="203"/>
    <n v="0"/>
    <n v="0"/>
    <n v="203"/>
    <n v="0"/>
    <n v="0"/>
    <n v="203"/>
    <n v="0"/>
    <n v="0"/>
    <n v="0"/>
    <n v="203"/>
    <n v="0"/>
    <n v="0"/>
    <m/>
    <m/>
    <m/>
    <m/>
    <m/>
    <m/>
    <m/>
    <m/>
    <m/>
    <m/>
    <m/>
    <m/>
    <m/>
    <m/>
    <m/>
    <m/>
    <m/>
    <m/>
    <m/>
    <m/>
    <m/>
    <m/>
    <m/>
    <m/>
    <m/>
    <m/>
    <m/>
    <m/>
    <m/>
    <m/>
    <m/>
    <m/>
    <m/>
    <m/>
  </r>
  <r>
    <n v="743"/>
    <d v="2025-02-25T00:00:00"/>
    <s v="ZBTO"/>
    <n v="9518550672"/>
    <n v="5"/>
    <s v="9518550672-5"/>
    <m/>
    <s v="Mar'25"/>
    <s v="Released orders"/>
    <x v="3"/>
    <x v="5"/>
    <n v="1000"/>
    <m/>
    <x v="0"/>
    <m/>
    <m/>
    <s v="AP"/>
    <m/>
    <m/>
    <m/>
    <n v="188750"/>
    <s v="Colorshine Coated Pvt.Ltd."/>
    <n v="2427835"/>
    <s v="GL COIL HARD  Y550GL H7GL 0.350X1245"/>
    <n v="70"/>
    <m/>
    <m/>
    <m/>
    <s v="Wider"/>
    <s v="B04"/>
    <s v="Y550GL"/>
    <s v="H7GL"/>
    <n v="0.35"/>
    <n v="1245"/>
    <n v="0"/>
    <n v="210"/>
    <n v="0"/>
    <m/>
    <m/>
    <m/>
    <m/>
    <m/>
    <m/>
    <n v="210"/>
    <n v="203"/>
    <m/>
    <m/>
    <m/>
    <m/>
    <m/>
    <m/>
    <m/>
    <m/>
    <m/>
    <m/>
    <m/>
    <m/>
    <m/>
    <m/>
    <m/>
    <m/>
    <m/>
    <m/>
    <m/>
    <m/>
    <m/>
    <m/>
    <m/>
    <m/>
    <m/>
    <n v="0"/>
    <n v="203"/>
    <n v="0"/>
    <n v="0"/>
    <n v="203"/>
    <n v="0"/>
    <n v="0"/>
    <n v="203"/>
    <n v="0"/>
    <n v="0"/>
    <n v="0"/>
    <n v="203"/>
    <n v="0"/>
    <n v="0"/>
    <m/>
    <m/>
    <m/>
    <m/>
    <m/>
    <m/>
    <m/>
    <m/>
    <m/>
    <m/>
    <m/>
    <m/>
    <m/>
    <m/>
    <m/>
    <m/>
    <m/>
    <m/>
    <m/>
    <m/>
    <m/>
    <m/>
    <m/>
    <m/>
    <m/>
    <m/>
    <m/>
    <m/>
    <m/>
    <m/>
    <m/>
    <m/>
    <m/>
    <m/>
  </r>
  <r>
    <n v="743"/>
    <d v="2025-02-25T00:00:00"/>
    <s v="ZBTO"/>
    <n v="9518550672"/>
    <n v="6"/>
    <s v="9518550672-6"/>
    <m/>
    <s v="Mar'25"/>
    <s v="Released orders"/>
    <x v="3"/>
    <x v="5"/>
    <n v="1000"/>
    <m/>
    <x v="0"/>
    <m/>
    <m/>
    <s v="AP"/>
    <m/>
    <m/>
    <m/>
    <n v="188750"/>
    <s v="Colorshine Coated Pvt.Ltd."/>
    <n v="3433842"/>
    <s v="GL COIL HARD  Y550GL H7GL 0.470X1235"/>
    <n v="150"/>
    <m/>
    <m/>
    <m/>
    <s v="Wider"/>
    <s v="B04"/>
    <s v="Y550GL"/>
    <s v="H7GL"/>
    <n v="0.47"/>
    <n v="1235"/>
    <n v="0"/>
    <n v="90"/>
    <n v="0"/>
    <m/>
    <m/>
    <m/>
    <m/>
    <m/>
    <m/>
    <n v="90"/>
    <n v="112"/>
    <m/>
    <m/>
    <m/>
    <m/>
    <m/>
    <m/>
    <m/>
    <m/>
    <m/>
    <m/>
    <m/>
    <m/>
    <m/>
    <m/>
    <m/>
    <m/>
    <m/>
    <m/>
    <m/>
    <m/>
    <m/>
    <m/>
    <m/>
    <m/>
    <m/>
    <n v="0"/>
    <n v="112"/>
    <n v="0"/>
    <n v="0"/>
    <n v="112"/>
    <n v="0"/>
    <n v="0"/>
    <n v="112"/>
    <n v="0"/>
    <n v="0"/>
    <n v="0"/>
    <n v="112"/>
    <n v="0"/>
    <n v="0"/>
    <m/>
    <m/>
    <m/>
    <m/>
    <m/>
    <m/>
    <m/>
    <m/>
    <m/>
    <m/>
    <m/>
    <m/>
    <m/>
    <m/>
    <m/>
    <m/>
    <m/>
    <m/>
    <m/>
    <m/>
    <m/>
    <m/>
    <m/>
    <m/>
    <m/>
    <m/>
    <m/>
    <m/>
    <m/>
    <m/>
    <m/>
    <m/>
    <m/>
    <m/>
  </r>
  <r>
    <n v="742"/>
    <d v="2025-02-25T00:00:00"/>
    <s v="ZBTO"/>
    <n v="9518550033"/>
    <n v="1"/>
    <s v="9518550033-1"/>
    <m/>
    <s v="Mar'25"/>
    <s v="Released orders"/>
    <x v="1"/>
    <x v="14"/>
    <n v="2000"/>
    <m/>
    <x v="0"/>
    <m/>
    <m/>
    <s v="TG"/>
    <m/>
    <m/>
    <m/>
    <n v="947126"/>
    <s v="RAVINDRA IRON WORKS"/>
    <n v="2439203"/>
    <s v="CRCA COIL TSBSTA EL06 0.500X1160"/>
    <s v=""/>
    <m/>
    <m/>
    <m/>
    <s v="Wider"/>
    <s v="C01"/>
    <s v="TSBSTA"/>
    <s v="EL06"/>
    <n v="0.5"/>
    <n v="1160"/>
    <n v="0"/>
    <n v="216"/>
    <n v="0"/>
    <m/>
    <m/>
    <m/>
    <m/>
    <m/>
    <m/>
    <n v="216"/>
    <n v="216"/>
    <m/>
    <m/>
    <m/>
    <m/>
    <m/>
    <m/>
    <m/>
    <m/>
    <m/>
    <m/>
    <m/>
    <m/>
    <m/>
    <m/>
    <m/>
    <m/>
    <m/>
    <m/>
    <m/>
    <m/>
    <m/>
    <m/>
    <m/>
    <m/>
    <m/>
    <n v="0"/>
    <n v="216"/>
    <n v="0"/>
    <n v="0"/>
    <n v="0"/>
    <n v="0"/>
    <n v="216"/>
    <n v="0"/>
    <n v="0"/>
    <n v="0"/>
    <n v="0"/>
    <n v="0"/>
    <n v="0"/>
    <n v="216"/>
    <m/>
    <m/>
    <m/>
    <m/>
    <m/>
    <m/>
    <m/>
    <m/>
    <m/>
    <m/>
    <m/>
    <m/>
    <m/>
    <m/>
    <m/>
    <m/>
    <m/>
    <m/>
    <m/>
    <m/>
    <m/>
    <m/>
    <m/>
    <m/>
    <m/>
    <m/>
    <m/>
    <m/>
    <m/>
    <m/>
    <m/>
    <m/>
    <m/>
    <m/>
  </r>
  <r>
    <n v="743"/>
    <d v="2025-02-25T00:00:00"/>
    <s v="ZBTO"/>
    <n v="9518550430"/>
    <n v="1"/>
    <s v="9518550430-1"/>
    <m/>
    <s v="Mar'25"/>
    <s v="Released orders"/>
    <x v="3"/>
    <x v="5"/>
    <n v="1000"/>
    <m/>
    <x v="0"/>
    <m/>
    <m/>
    <s v="JH"/>
    <m/>
    <m/>
    <m/>
    <n v="942283"/>
    <s v="TATA BLUESCOPE STEEL PRIVATE L"/>
    <n v="1882004"/>
    <s v="GL C YS550 H6GL 0.55BMT(0.60TCT)X1220"/>
    <n v="150"/>
    <m/>
    <m/>
    <m/>
    <s v="Wider"/>
    <s v="B04"/>
    <s v="Y550GL"/>
    <s v="H6GL"/>
    <n v="0.55000000000000004"/>
    <n v="1220"/>
    <n v="0"/>
    <n v="28"/>
    <n v="0"/>
    <m/>
    <m/>
    <m/>
    <m/>
    <m/>
    <m/>
    <n v="28"/>
    <n v="28"/>
    <m/>
    <m/>
    <m/>
    <m/>
    <m/>
    <m/>
    <m/>
    <m/>
    <m/>
    <m/>
    <m/>
    <m/>
    <m/>
    <m/>
    <m/>
    <m/>
    <m/>
    <m/>
    <m/>
    <m/>
    <m/>
    <m/>
    <m/>
    <m/>
    <m/>
    <n v="0"/>
    <n v="28"/>
    <n v="0"/>
    <n v="0"/>
    <n v="0"/>
    <n v="0"/>
    <n v="28"/>
    <n v="0"/>
    <n v="0"/>
    <n v="0"/>
    <n v="0"/>
    <n v="0"/>
    <n v="0"/>
    <n v="28"/>
    <m/>
    <m/>
    <m/>
    <m/>
    <m/>
    <m/>
    <m/>
    <m/>
    <m/>
    <m/>
    <m/>
    <m/>
    <m/>
    <m/>
    <m/>
    <m/>
    <m/>
    <m/>
    <m/>
    <m/>
    <m/>
    <m/>
    <m/>
    <m/>
    <m/>
    <m/>
    <m/>
    <m/>
    <m/>
    <m/>
    <m/>
    <m/>
    <m/>
    <m/>
  </r>
  <r>
    <n v="742"/>
    <d v="2025-01-10T00:00:00"/>
    <s v="ZBTO"/>
    <n v="9518419100"/>
    <n v="5"/>
    <s v="9518419100-5"/>
    <m/>
    <s v="Mar'25"/>
    <s v="Released orders"/>
    <x v="0"/>
    <x v="0"/>
    <n v="2000"/>
    <m/>
    <x v="0"/>
    <m/>
    <m/>
    <s v="KAR"/>
    <m/>
    <m/>
    <m/>
    <n v="932179"/>
    <s v="DURGA STEEL INDUSTRIES"/>
    <n v="1294719"/>
    <s v="HR COILS-POIS 1079 HR2  2.90X1250"/>
    <m/>
    <m/>
    <m/>
    <m/>
    <s v="Wider"/>
    <n v="768"/>
    <s v="THR099"/>
    <s v="HR99"/>
    <n v="2.9"/>
    <n v="1250"/>
    <n v="0"/>
    <n v="50"/>
    <n v="24.574999999999999"/>
    <m/>
    <m/>
    <m/>
    <m/>
    <m/>
    <m/>
    <n v="50"/>
    <n v="25.425000000000001"/>
    <m/>
    <m/>
    <m/>
    <m/>
    <m/>
    <m/>
    <m/>
    <m/>
    <m/>
    <m/>
    <m/>
    <m/>
    <m/>
    <m/>
    <m/>
    <m/>
    <m/>
    <m/>
    <m/>
    <m/>
    <m/>
    <m/>
    <m/>
    <m/>
    <m/>
    <n v="0"/>
    <n v="25.425000000000001"/>
    <n v="0"/>
    <n v="0"/>
    <n v="0"/>
    <n v="25.425000000000001"/>
    <n v="0"/>
    <n v="25.425000000000001"/>
    <n v="0"/>
    <n v="0"/>
    <n v="0"/>
    <n v="0"/>
    <n v="25.425000000000001"/>
    <n v="0"/>
    <m/>
    <m/>
    <m/>
    <m/>
    <m/>
    <m/>
    <m/>
    <m/>
    <m/>
    <m/>
    <m/>
    <m/>
    <m/>
    <m/>
    <m/>
    <m/>
    <m/>
    <m/>
    <m/>
    <m/>
    <m/>
    <m/>
    <m/>
    <m/>
    <m/>
    <m/>
    <m/>
    <m/>
    <m/>
    <m/>
    <m/>
    <m/>
    <m/>
    <m/>
  </r>
  <r>
    <n v="742"/>
    <d v="2025-01-10T00:00:00"/>
    <s v="ZBTO"/>
    <n v="9518419100"/>
    <n v="6"/>
    <s v="9518419100-6"/>
    <m/>
    <s v="Mar'25"/>
    <s v="Released orders"/>
    <x v="0"/>
    <x v="0"/>
    <n v="2000"/>
    <m/>
    <x v="0"/>
    <m/>
    <m/>
    <s v="KAR"/>
    <m/>
    <m/>
    <m/>
    <n v="932179"/>
    <s v="DURGA STEEL INDUSTRIES"/>
    <n v="1252834"/>
    <s v="HR COILS-PO IS 1079 HR2 3.0X1250"/>
    <m/>
    <m/>
    <m/>
    <m/>
    <s v="Wider"/>
    <n v="768"/>
    <s v="THR099"/>
    <s v="HR99"/>
    <n v="3"/>
    <n v="1250"/>
    <n v="0"/>
    <n v="50"/>
    <n v="0"/>
    <m/>
    <m/>
    <m/>
    <m/>
    <m/>
    <m/>
    <n v="50"/>
    <n v="50"/>
    <m/>
    <m/>
    <m/>
    <m/>
    <m/>
    <m/>
    <m/>
    <m/>
    <m/>
    <m/>
    <m/>
    <m/>
    <m/>
    <m/>
    <m/>
    <m/>
    <m/>
    <m/>
    <m/>
    <m/>
    <m/>
    <m/>
    <m/>
    <m/>
    <m/>
    <n v="0"/>
    <n v="50"/>
    <n v="0"/>
    <n v="0"/>
    <n v="0"/>
    <n v="0"/>
    <n v="50"/>
    <n v="0"/>
    <n v="0"/>
    <n v="0"/>
    <n v="0"/>
    <n v="0"/>
    <n v="0"/>
    <n v="50"/>
    <m/>
    <m/>
    <m/>
    <m/>
    <m/>
    <m/>
    <m/>
    <m/>
    <m/>
    <m/>
    <m/>
    <m/>
    <m/>
    <m/>
    <m/>
    <m/>
    <m/>
    <m/>
    <m/>
    <m/>
    <m/>
    <m/>
    <m/>
    <m/>
    <m/>
    <m/>
    <m/>
    <m/>
    <m/>
    <m/>
    <m/>
    <m/>
    <m/>
    <m/>
  </r>
  <r>
    <n v="742"/>
    <d v="2025-01-10T00:00:00"/>
    <s v="ZBTO"/>
    <n v="9518419100"/>
    <n v="7"/>
    <s v="9518419100-7"/>
    <m/>
    <s v="Mar'25"/>
    <s v="Released orders"/>
    <x v="0"/>
    <x v="0"/>
    <n v="2000"/>
    <m/>
    <x v="0"/>
    <m/>
    <m/>
    <s v="KAR"/>
    <m/>
    <m/>
    <m/>
    <n v="932179"/>
    <s v="DURGA STEEL INDUSTRIES"/>
    <n v="1294722"/>
    <s v="HR COILS-PO IS 1079 HR2 3.15X1250"/>
    <m/>
    <m/>
    <m/>
    <m/>
    <s v="Wider"/>
    <n v="768"/>
    <s v="THR099"/>
    <s v="HR99"/>
    <n v="3.15"/>
    <n v="1250"/>
    <n v="0"/>
    <n v="50"/>
    <n v="0"/>
    <m/>
    <m/>
    <m/>
    <m/>
    <m/>
    <m/>
    <n v="50"/>
    <n v="50"/>
    <m/>
    <m/>
    <m/>
    <m/>
    <m/>
    <m/>
    <m/>
    <m/>
    <m/>
    <m/>
    <m/>
    <m/>
    <m/>
    <m/>
    <m/>
    <m/>
    <m/>
    <m/>
    <m/>
    <m/>
    <m/>
    <m/>
    <m/>
    <m/>
    <m/>
    <n v="0"/>
    <n v="50"/>
    <n v="0"/>
    <n v="0"/>
    <n v="0"/>
    <n v="0"/>
    <n v="50"/>
    <n v="0"/>
    <n v="0"/>
    <n v="0"/>
    <n v="0"/>
    <n v="0"/>
    <n v="0"/>
    <n v="50"/>
    <m/>
    <m/>
    <m/>
    <m/>
    <m/>
    <m/>
    <m/>
    <m/>
    <m/>
    <m/>
    <m/>
    <m/>
    <m/>
    <m/>
    <m/>
    <m/>
    <m/>
    <m/>
    <m/>
    <m/>
    <m/>
    <m/>
    <m/>
    <m/>
    <m/>
    <m/>
    <m/>
    <m/>
    <m/>
    <m/>
    <m/>
    <m/>
    <m/>
    <m/>
  </r>
  <r>
    <n v="742"/>
    <d v="2025-01-10T00:00:00"/>
    <s v="ZBTO"/>
    <n v="9518419100"/>
    <n v="8"/>
    <s v="9518419100-9"/>
    <m/>
    <s v="Mar'25"/>
    <s v="Released orders"/>
    <x v="0"/>
    <x v="0"/>
    <n v="2000"/>
    <m/>
    <x v="0"/>
    <m/>
    <m/>
    <s v="KAR"/>
    <m/>
    <m/>
    <m/>
    <n v="932179"/>
    <s v="DURGA STEEL INDUSTRIES"/>
    <n v="1252836"/>
    <s v="HR COILS-PO IS 1079 HR2 3.50X1250"/>
    <m/>
    <m/>
    <m/>
    <m/>
    <s v="Wider"/>
    <n v="768"/>
    <s v="THR099"/>
    <s v="HR99"/>
    <n v="3.5"/>
    <n v="1250"/>
    <n v="0"/>
    <n v="50"/>
    <n v="0"/>
    <m/>
    <m/>
    <m/>
    <m/>
    <m/>
    <m/>
    <n v="50"/>
    <n v="50"/>
    <m/>
    <m/>
    <m/>
    <m/>
    <m/>
    <m/>
    <m/>
    <m/>
    <m/>
    <m/>
    <m/>
    <m/>
    <m/>
    <m/>
    <m/>
    <m/>
    <m/>
    <m/>
    <m/>
    <m/>
    <m/>
    <m/>
    <m/>
    <m/>
    <m/>
    <n v="0"/>
    <n v="50"/>
    <n v="0"/>
    <n v="0"/>
    <n v="0"/>
    <n v="0"/>
    <n v="50"/>
    <n v="0"/>
    <n v="0"/>
    <n v="0"/>
    <n v="0"/>
    <n v="0"/>
    <n v="0"/>
    <n v="50"/>
    <m/>
    <m/>
    <m/>
    <m/>
    <m/>
    <m/>
    <m/>
    <m/>
    <m/>
    <m/>
    <m/>
    <m/>
    <m/>
    <m/>
    <m/>
    <m/>
    <m/>
    <m/>
    <m/>
    <m/>
    <m/>
    <m/>
    <m/>
    <m/>
    <m/>
    <m/>
    <m/>
    <m/>
    <m/>
    <m/>
    <m/>
    <m/>
    <m/>
    <m/>
  </r>
  <r>
    <n v="742"/>
    <d v="2025-01-10T00:00:00"/>
    <s v="ZBTO"/>
    <n v="9518419100"/>
    <n v="9"/>
    <s v="9518419100-8"/>
    <m/>
    <s v="Mar'25"/>
    <s v="Released orders"/>
    <x v="0"/>
    <x v="0"/>
    <n v="2000"/>
    <m/>
    <x v="0"/>
    <m/>
    <m/>
    <s v="KAR"/>
    <m/>
    <m/>
    <m/>
    <n v="932179"/>
    <s v="DURGA STEEL INDUSTRIES"/>
    <n v="1210086"/>
    <s v="HR COILS-PO IS 1079 HR2 4X1250"/>
    <m/>
    <m/>
    <m/>
    <m/>
    <s v="Wider"/>
    <n v="768"/>
    <s v="THR099"/>
    <s v="HR99"/>
    <n v="4"/>
    <n v="1250"/>
    <n v="0"/>
    <n v="50"/>
    <n v="0"/>
    <m/>
    <m/>
    <m/>
    <m/>
    <m/>
    <m/>
    <n v="50"/>
    <n v="50"/>
    <m/>
    <m/>
    <m/>
    <m/>
    <m/>
    <m/>
    <m/>
    <m/>
    <m/>
    <m/>
    <m/>
    <m/>
    <m/>
    <m/>
    <m/>
    <m/>
    <m/>
    <m/>
    <m/>
    <m/>
    <m/>
    <m/>
    <m/>
    <m/>
    <m/>
    <n v="0"/>
    <n v="50"/>
    <n v="0"/>
    <n v="0"/>
    <n v="50"/>
    <n v="0"/>
    <n v="0"/>
    <n v="50"/>
    <n v="0"/>
    <n v="0"/>
    <n v="0"/>
    <n v="50"/>
    <n v="0"/>
    <n v="0"/>
    <m/>
    <m/>
    <m/>
    <m/>
    <m/>
    <m/>
    <m/>
    <m/>
    <m/>
    <m/>
    <m/>
    <m/>
    <m/>
    <m/>
    <m/>
    <m/>
    <m/>
    <m/>
    <m/>
    <m/>
    <m/>
    <m/>
    <m/>
    <m/>
    <m/>
    <m/>
    <m/>
    <m/>
    <m/>
    <m/>
    <m/>
    <m/>
    <m/>
    <m/>
  </r>
  <r>
    <n v="742"/>
    <d v="2025-01-10T00:00:00"/>
    <s v="ZBTO"/>
    <n v="9518419100"/>
    <n v="10"/>
    <s v="9518419100-10"/>
    <m/>
    <s v="Mar'25"/>
    <s v="Released orders"/>
    <x v="0"/>
    <x v="0"/>
    <n v="2000"/>
    <m/>
    <x v="0"/>
    <m/>
    <m/>
    <s v="KAR"/>
    <m/>
    <m/>
    <m/>
    <n v="932179"/>
    <s v="DURGA STEEL INDUSTRIES"/>
    <n v="1210097"/>
    <s v="HR COILS-PO IS 1079 HR2 5X1250"/>
    <m/>
    <m/>
    <m/>
    <m/>
    <s v="Wider"/>
    <n v="768"/>
    <s v="THR099"/>
    <s v="HR99"/>
    <n v="5"/>
    <n v="1250"/>
    <n v="0"/>
    <n v="50"/>
    <n v="0"/>
    <m/>
    <m/>
    <m/>
    <m/>
    <m/>
    <m/>
    <n v="50"/>
    <n v="50"/>
    <m/>
    <m/>
    <m/>
    <m/>
    <m/>
    <m/>
    <m/>
    <m/>
    <m/>
    <m/>
    <m/>
    <m/>
    <m/>
    <m/>
    <m/>
    <m/>
    <m/>
    <m/>
    <m/>
    <m/>
    <m/>
    <m/>
    <m/>
    <m/>
    <m/>
    <n v="0"/>
    <n v="50"/>
    <n v="0"/>
    <n v="0"/>
    <n v="0"/>
    <n v="0"/>
    <n v="50"/>
    <n v="0"/>
    <n v="0"/>
    <n v="0"/>
    <n v="0"/>
    <n v="0"/>
    <n v="0"/>
    <n v="50"/>
    <m/>
    <m/>
    <m/>
    <m/>
    <m/>
    <m/>
    <m/>
    <m/>
    <m/>
    <m/>
    <m/>
    <m/>
    <m/>
    <m/>
    <m/>
    <m/>
    <m/>
    <m/>
    <m/>
    <m/>
    <m/>
    <m/>
    <m/>
    <m/>
    <m/>
    <m/>
    <m/>
    <m/>
    <m/>
    <m/>
    <m/>
    <m/>
    <m/>
    <m/>
  </r>
  <r>
    <n v="744"/>
    <d v="2025-02-22T00:00:00"/>
    <s v="ZBTO"/>
    <n v="9518543125"/>
    <n v="8"/>
    <s v="9518543125-8"/>
    <m/>
    <s v="Mar'25 additional"/>
    <s v="Released orders"/>
    <x v="4"/>
    <x v="7"/>
    <s v="1000-IPPE"/>
    <m/>
    <x v="0"/>
    <m/>
    <m/>
    <m/>
    <m/>
    <s v="GAMHARIA"/>
    <m/>
    <n v="940016"/>
    <s v="TATA BLUESCOPE STEEL PVT LTD."/>
    <n v="3797658"/>
    <s v="PPGL C Y550 ISC6 0.40BMT(0.45TPT)X1220"/>
    <s v="aZ70"/>
    <s v="PRO ROSY RED TSL 1920"/>
    <n v="3"/>
    <n v="5"/>
    <m/>
    <s v="B18"/>
    <s v="Y550PL"/>
    <s v="ISC6"/>
    <n v="0.4"/>
    <n v="1220"/>
    <n v="0"/>
    <n v="84"/>
    <n v="0"/>
    <m/>
    <m/>
    <m/>
    <m/>
    <m/>
    <m/>
    <n v="84"/>
    <n v="84"/>
    <m/>
    <m/>
    <m/>
    <m/>
    <m/>
    <m/>
    <m/>
    <m/>
    <m/>
    <m/>
    <m/>
    <m/>
    <m/>
    <m/>
    <m/>
    <m/>
    <m/>
    <m/>
    <m/>
    <m/>
    <m/>
    <m/>
    <m/>
    <m/>
    <m/>
    <n v="0"/>
    <n v="0"/>
    <n v="0"/>
    <n v="0"/>
    <n v="0"/>
    <n v="0"/>
    <n v="0"/>
    <n v="0"/>
    <n v="0"/>
    <n v="0"/>
    <n v="0"/>
    <n v="0"/>
    <n v="0"/>
    <n v="0"/>
    <m/>
    <m/>
    <m/>
    <m/>
    <m/>
    <m/>
    <m/>
    <m/>
    <m/>
    <m/>
    <m/>
    <m/>
    <m/>
    <m/>
    <m/>
    <m/>
    <m/>
    <m/>
    <m/>
    <m/>
    <m/>
    <m/>
    <m/>
    <m/>
    <m/>
    <m/>
    <m/>
    <m/>
    <m/>
    <m/>
    <m/>
    <m/>
    <m/>
    <m/>
  </r>
  <r>
    <n v="742"/>
    <d v="2025-02-25T00:00:00"/>
    <s v="ZBTF"/>
    <n v="9518552046"/>
    <n v="1"/>
    <s v="9518552046-1"/>
    <m/>
    <s v="Mar'25 additional"/>
    <s v="Released orders"/>
    <x v="1"/>
    <x v="4"/>
    <s v="1000-IPPE"/>
    <m/>
    <x v="0"/>
    <m/>
    <m/>
    <m/>
    <m/>
    <s v="PILKHUWA"/>
    <m/>
    <n v="600250"/>
    <s v="TATA CENTER"/>
    <n v="2439203"/>
    <s v="CRCA COIL TSBSTA EL06 0.500X1160"/>
    <s v=" "/>
    <m/>
    <n v="8"/>
    <n v="13"/>
    <m/>
    <s v="C01"/>
    <s v="TSBSTA"/>
    <s v="EL06"/>
    <n v="0.5"/>
    <n v="1160"/>
    <n v="0"/>
    <n v="297"/>
    <n v="0"/>
    <m/>
    <m/>
    <m/>
    <m/>
    <m/>
    <m/>
    <n v="297"/>
    <n v="297"/>
    <m/>
    <m/>
    <m/>
    <m/>
    <m/>
    <m/>
    <m/>
    <m/>
    <m/>
    <m/>
    <m/>
    <m/>
    <m/>
    <m/>
    <m/>
    <m/>
    <m/>
    <m/>
    <m/>
    <m/>
    <m/>
    <m/>
    <m/>
    <m/>
    <m/>
    <n v="0"/>
    <n v="297"/>
    <n v="0"/>
    <n v="0"/>
    <n v="297"/>
    <n v="0"/>
    <n v="0"/>
    <n v="297"/>
    <n v="0"/>
    <n v="0"/>
    <n v="0"/>
    <n v="297"/>
    <n v="0"/>
    <n v="0"/>
    <m/>
    <m/>
    <m/>
    <m/>
    <m/>
    <m/>
    <m/>
    <m/>
    <m/>
    <m/>
    <m/>
    <m/>
    <m/>
    <m/>
    <m/>
    <m/>
    <m/>
    <m/>
    <m/>
    <m/>
    <m/>
    <m/>
    <m/>
    <m/>
    <m/>
    <m/>
    <m/>
    <m/>
    <m/>
    <m/>
    <m/>
    <m/>
    <m/>
    <m/>
  </r>
  <r>
    <n v="742"/>
    <d v="2025-02-25T00:00:00"/>
    <s v="ZBTF"/>
    <n v="9518552046"/>
    <n v="2"/>
    <s v="9518552046-2"/>
    <m/>
    <s v="Mar'25 additional"/>
    <s v="Released orders"/>
    <x v="1"/>
    <x v="4"/>
    <s v="1000-IPPE"/>
    <m/>
    <x v="0"/>
    <m/>
    <m/>
    <m/>
    <m/>
    <s v="PILKHUWA"/>
    <m/>
    <n v="600250"/>
    <s v="TATA CENTER"/>
    <n v="2439203"/>
    <s v="CRCA COIL TSBSTA EL06 0.500X1160"/>
    <s v=" "/>
    <m/>
    <n v="8"/>
    <n v="13"/>
    <m/>
    <s v="C01"/>
    <s v="TSBSTA"/>
    <s v="EL06"/>
    <n v="0.5"/>
    <n v="1160"/>
    <n v="0"/>
    <n v="189"/>
    <n v="0"/>
    <m/>
    <m/>
    <m/>
    <m/>
    <m/>
    <m/>
    <n v="189"/>
    <n v="189"/>
    <m/>
    <m/>
    <m/>
    <m/>
    <m/>
    <m/>
    <m/>
    <m/>
    <m/>
    <m/>
    <m/>
    <m/>
    <m/>
    <m/>
    <m/>
    <m/>
    <m/>
    <m/>
    <m/>
    <m/>
    <m/>
    <m/>
    <m/>
    <m/>
    <m/>
    <n v="0"/>
    <n v="176.935"/>
    <n v="0"/>
    <n v="0"/>
    <n v="176.935"/>
    <n v="0"/>
    <n v="0"/>
    <n v="176.935"/>
    <n v="0"/>
    <n v="0"/>
    <n v="0"/>
    <n v="176.935"/>
    <n v="0"/>
    <n v="0"/>
    <m/>
    <m/>
    <m/>
    <m/>
    <m/>
    <m/>
    <m/>
    <m/>
    <m/>
    <m/>
    <m/>
    <m/>
    <m/>
    <m/>
    <m/>
    <m/>
    <m/>
    <m/>
    <m/>
    <m/>
    <m/>
    <m/>
    <m/>
    <m/>
    <m/>
    <m/>
    <m/>
    <m/>
    <m/>
    <m/>
    <m/>
    <m/>
    <m/>
    <m/>
  </r>
  <r>
    <n v="742"/>
    <d v="2025-02-26T00:00:00"/>
    <s v="ZBTO"/>
    <n v="9518554428"/>
    <n v="1"/>
    <s v="9518554428-1"/>
    <m/>
    <s v="Mar'25 additional"/>
    <s v="Released orders"/>
    <x v="1"/>
    <x v="5"/>
    <s v="1000-IPPE"/>
    <m/>
    <x v="0"/>
    <m/>
    <m/>
    <m/>
    <m/>
    <s v="PATANCHERU"/>
    <m/>
    <n v="186001"/>
    <s v="BABA CONTAINER MANUFACTURERS"/>
    <n v="2426388"/>
    <s v="CRCA COIL TATXXD BT01 0.900X1320"/>
    <s v=" "/>
    <m/>
    <n v="6"/>
    <n v="8"/>
    <m/>
    <s v="C01"/>
    <s v="TATXXD"/>
    <s v="BT01"/>
    <n v="0.9"/>
    <n v="1320"/>
    <n v="0"/>
    <n v="90"/>
    <n v="0"/>
    <m/>
    <m/>
    <m/>
    <m/>
    <m/>
    <m/>
    <n v="90"/>
    <n v="90"/>
    <m/>
    <m/>
    <m/>
    <m/>
    <m/>
    <m/>
    <m/>
    <m/>
    <m/>
    <m/>
    <m/>
    <m/>
    <m/>
    <m/>
    <m/>
    <m/>
    <m/>
    <m/>
    <m/>
    <m/>
    <m/>
    <m/>
    <m/>
    <m/>
    <m/>
    <n v="0"/>
    <n v="90"/>
    <n v="0"/>
    <n v="0"/>
    <n v="0"/>
    <n v="0"/>
    <n v="90"/>
    <n v="0"/>
    <n v="0"/>
    <n v="0"/>
    <n v="0"/>
    <n v="0"/>
    <n v="0"/>
    <n v="90"/>
    <m/>
    <m/>
    <m/>
    <m/>
    <m/>
    <m/>
    <m/>
    <m/>
    <m/>
    <m/>
    <m/>
    <m/>
    <m/>
    <m/>
    <m/>
    <m/>
    <m/>
    <m/>
    <m/>
    <m/>
    <m/>
    <m/>
    <m/>
    <m/>
    <m/>
    <m/>
    <m/>
    <m/>
    <m/>
    <m/>
    <m/>
    <m/>
    <m/>
    <m/>
  </r>
  <r>
    <n v="742"/>
    <d v="2025-02-14T00:00:00"/>
    <s v="ZBTO"/>
    <n v="9518518311"/>
    <n v="1"/>
    <s v="9518518311-1"/>
    <m/>
    <s v="Mar'25 additional"/>
    <s v="Released orders"/>
    <x v="1"/>
    <x v="14"/>
    <s v="2000-BPRS"/>
    <m/>
    <x v="0"/>
    <m/>
    <m/>
    <m/>
    <m/>
    <s v="SANGAREDDY"/>
    <m/>
    <n v="947126"/>
    <s v="RAVINDRA IRON WORKS"/>
    <n v="3587949"/>
    <s v="CR COIL TSBSTA EL06 0.500X1250"/>
    <s v=" "/>
    <m/>
    <n v="18"/>
    <n v="30"/>
    <m/>
    <s v="C01"/>
    <s v="TSBSTA"/>
    <s v="EL06"/>
    <n v="0.5"/>
    <n v="1250"/>
    <n v="0"/>
    <n v="116"/>
    <n v="0"/>
    <m/>
    <m/>
    <m/>
    <m/>
    <m/>
    <m/>
    <n v="116"/>
    <n v="116"/>
    <m/>
    <m/>
    <m/>
    <m/>
    <m/>
    <m/>
    <m/>
    <m/>
    <m/>
    <m/>
    <m/>
    <m/>
    <m/>
    <m/>
    <m/>
    <m/>
    <m/>
    <m/>
    <m/>
    <m/>
    <m/>
    <m/>
    <m/>
    <m/>
    <m/>
    <n v="0"/>
    <n v="116"/>
    <n v="0"/>
    <n v="0"/>
    <n v="0"/>
    <n v="116"/>
    <n v="0"/>
    <n v="116"/>
    <n v="0"/>
    <n v="0"/>
    <n v="0"/>
    <n v="0"/>
    <n v="116"/>
    <n v="0"/>
    <m/>
    <m/>
    <m/>
    <m/>
    <m/>
    <m/>
    <m/>
    <m/>
    <m/>
    <m/>
    <m/>
    <m/>
    <m/>
    <m/>
    <m/>
    <m/>
    <m/>
    <m/>
    <m/>
    <m/>
    <m/>
    <m/>
    <m/>
    <m/>
    <m/>
    <m/>
    <m/>
    <m/>
    <m/>
    <m/>
    <m/>
    <m/>
    <m/>
    <m/>
  </r>
  <r>
    <n v="742"/>
    <d v="2025-02-26T00:00:00"/>
    <s v="ZBTO"/>
    <n v="9518554428"/>
    <n v="2"/>
    <s v="9518554428-2"/>
    <m/>
    <s v="Mar'25 additional"/>
    <s v="Released orders"/>
    <x v="1"/>
    <x v="5"/>
    <s v="1000-IPPE"/>
    <m/>
    <x v="0"/>
    <m/>
    <m/>
    <m/>
    <m/>
    <s v="PATANCHERU"/>
    <m/>
    <n v="186001"/>
    <s v="BABA CONTAINER MANUFACTURERS"/>
    <n v="2426078"/>
    <s v="CRCA COIL TATXXD BT01 1X1320"/>
    <s v=" "/>
    <m/>
    <n v="6"/>
    <n v="8"/>
    <m/>
    <s v="C01"/>
    <s v="TATXXD"/>
    <s v="BT01"/>
    <n v="1"/>
    <n v="1320"/>
    <n v="0"/>
    <n v="90"/>
    <n v="0"/>
    <m/>
    <m/>
    <m/>
    <m/>
    <m/>
    <m/>
    <n v="90"/>
    <n v="90"/>
    <m/>
    <m/>
    <m/>
    <m/>
    <m/>
    <m/>
    <m/>
    <m/>
    <m/>
    <m/>
    <m/>
    <m/>
    <m/>
    <m/>
    <m/>
    <m/>
    <m/>
    <m/>
    <m/>
    <m/>
    <m/>
    <m/>
    <m/>
    <m/>
    <m/>
    <n v="0"/>
    <n v="90"/>
    <n v="0"/>
    <n v="0"/>
    <n v="0"/>
    <n v="0"/>
    <n v="90"/>
    <n v="0"/>
    <n v="0"/>
    <n v="0"/>
    <n v="0"/>
    <n v="0"/>
    <n v="0"/>
    <n v="90"/>
    <m/>
    <m/>
    <m/>
    <m/>
    <m/>
    <m/>
    <m/>
    <m/>
    <m/>
    <m/>
    <m/>
    <m/>
    <m/>
    <m/>
    <m/>
    <m/>
    <m/>
    <m/>
    <m/>
    <m/>
    <m/>
    <m/>
    <m/>
    <m/>
    <m/>
    <m/>
    <m/>
    <m/>
    <m/>
    <m/>
    <m/>
    <m/>
    <m/>
    <m/>
  </r>
  <r>
    <n v="742"/>
    <d v="2025-02-14T00:00:00"/>
    <s v="ZBTO"/>
    <n v="9518518311"/>
    <n v="2"/>
    <s v="9518518311-2"/>
    <m/>
    <s v="Mar'25 additional"/>
    <s v="Released orders"/>
    <x v="1"/>
    <x v="14"/>
    <s v="2000-BPRS"/>
    <n v="500"/>
    <x v="0"/>
    <m/>
    <m/>
    <m/>
    <m/>
    <s v="SANGAREDDY"/>
    <m/>
    <n v="947126"/>
    <s v="RAVINDRA IRON WORKS"/>
    <n v="2439203"/>
    <s v="CRCA COIL TSBSTA EL06 0.500X1160"/>
    <s v=" "/>
    <m/>
    <n v="18"/>
    <n v="30"/>
    <m/>
    <s v="C01"/>
    <s v="TSBSTA"/>
    <s v="EL06"/>
    <n v="0.5"/>
    <n v="1160"/>
    <n v="0"/>
    <n v="27"/>
    <n v="0"/>
    <m/>
    <m/>
    <m/>
    <m/>
    <m/>
    <m/>
    <n v="27"/>
    <n v="27"/>
    <m/>
    <m/>
    <m/>
    <m/>
    <m/>
    <m/>
    <m/>
    <m/>
    <m/>
    <m/>
    <m/>
    <m/>
    <m/>
    <m/>
    <m/>
    <m/>
    <m/>
    <m/>
    <m/>
    <m/>
    <m/>
    <m/>
    <m/>
    <m/>
    <m/>
    <n v="0"/>
    <n v="27"/>
    <n v="0"/>
    <n v="0"/>
    <n v="0"/>
    <n v="27"/>
    <n v="0"/>
    <n v="27"/>
    <n v="0"/>
    <n v="0"/>
    <n v="0"/>
    <n v="0"/>
    <n v="27"/>
    <n v="0"/>
    <m/>
    <m/>
    <m/>
    <m/>
    <m/>
    <m/>
    <m/>
    <m/>
    <m/>
    <m/>
    <m/>
    <m/>
    <m/>
    <m/>
    <m/>
    <m/>
    <m/>
    <m/>
    <m/>
    <m/>
    <m/>
    <m/>
    <m/>
    <m/>
    <m/>
    <m/>
    <m/>
    <m/>
    <m/>
    <m/>
    <m/>
    <m/>
    <m/>
    <m/>
  </r>
  <r>
    <n v="743"/>
    <d v="2025-02-03T00:00:00"/>
    <s v="ZBTO"/>
    <n v="9518490997"/>
    <n v="6"/>
    <s v="9518490997-6"/>
    <m/>
    <s v="Mar'25 additional"/>
    <s v="Released orders"/>
    <x v="2"/>
    <x v="6"/>
    <s v="2000-BPRS"/>
    <m/>
    <x v="0"/>
    <m/>
    <m/>
    <m/>
    <m/>
    <s v="KANPUR"/>
    <m/>
    <n v="938789"/>
    <s v="JAIN STEEL DISTRIBUTORS"/>
    <n v="1300229"/>
    <s v="GP COIL SOFT-TATXGP-GLK1-0.4X1220"/>
    <s v="Z80"/>
    <s v=""/>
    <n v="3.2"/>
    <n v="5"/>
    <m/>
    <s v="C02"/>
    <s v="TATXGP"/>
    <s v="GLK1"/>
    <n v="0.4"/>
    <n v="1220"/>
    <n v="0"/>
    <n v="56"/>
    <n v="0"/>
    <m/>
    <m/>
    <m/>
    <m/>
    <m/>
    <m/>
    <n v="56"/>
    <n v="56"/>
    <m/>
    <m/>
    <m/>
    <m/>
    <m/>
    <m/>
    <m/>
    <m/>
    <m/>
    <m/>
    <m/>
    <m/>
    <m/>
    <m/>
    <m/>
    <m/>
    <m/>
    <m/>
    <m/>
    <m/>
    <m/>
    <m/>
    <m/>
    <m/>
    <m/>
    <n v="0"/>
    <n v="56"/>
    <n v="0"/>
    <n v="0"/>
    <n v="56"/>
    <n v="0"/>
    <n v="0"/>
    <n v="56"/>
    <n v="0"/>
    <n v="0"/>
    <n v="0"/>
    <n v="56"/>
    <n v="0"/>
    <n v="0"/>
    <m/>
    <m/>
    <m/>
    <m/>
    <m/>
    <m/>
    <m/>
    <m/>
    <m/>
    <m/>
    <m/>
    <m/>
    <m/>
    <m/>
    <m/>
    <m/>
    <m/>
    <m/>
    <m/>
    <m/>
    <m/>
    <m/>
    <m/>
    <m/>
    <m/>
    <m/>
    <m/>
    <m/>
    <m/>
    <m/>
    <m/>
    <m/>
    <m/>
    <m/>
  </r>
  <r>
    <n v="743"/>
    <d v="2025-02-27T00:00:00"/>
    <s v="ZBTO"/>
    <n v="9518559075"/>
    <n v="1"/>
    <s v="9518559075-1"/>
    <m/>
    <s v="Mar'25 additional"/>
    <s v="Released orders"/>
    <x v="2"/>
    <x v="6"/>
    <s v="2000-BPRS"/>
    <m/>
    <x v="0"/>
    <m/>
    <m/>
    <m/>
    <m/>
    <s v="JABALPUR"/>
    <m/>
    <n v="929931"/>
    <s v="BMW VYAPAR PRIVATE LIMITED"/>
    <n v="1334725"/>
    <s v="GP COIL SOFT-TATXGP-GK09-0.6X1220"/>
    <s v="Z80"/>
    <s v=""/>
    <n v="3"/>
    <n v="5"/>
    <m/>
    <s v="C02"/>
    <s v="TATXGP"/>
    <s v="GK09"/>
    <n v="0.6"/>
    <n v="1220"/>
    <n v="0"/>
    <n v="28"/>
    <n v="0"/>
    <m/>
    <m/>
    <m/>
    <m/>
    <m/>
    <m/>
    <n v="28"/>
    <n v="28"/>
    <m/>
    <m/>
    <m/>
    <m/>
    <m/>
    <m/>
    <m/>
    <m/>
    <m/>
    <m/>
    <m/>
    <m/>
    <m/>
    <m/>
    <m/>
    <m/>
    <m/>
    <m/>
    <m/>
    <m/>
    <m/>
    <m/>
    <m/>
    <m/>
    <m/>
    <n v="0"/>
    <n v="28"/>
    <n v="0"/>
    <n v="0"/>
    <n v="28"/>
    <n v="0"/>
    <n v="0"/>
    <n v="28"/>
    <n v="0"/>
    <n v="0"/>
    <n v="0"/>
    <n v="28"/>
    <n v="0"/>
    <n v="0"/>
    <m/>
    <m/>
    <m/>
    <m/>
    <m/>
    <m/>
    <m/>
    <m/>
    <m/>
    <m/>
    <m/>
    <m/>
    <m/>
    <m/>
    <m/>
    <m/>
    <m/>
    <m/>
    <m/>
    <m/>
    <m/>
    <m/>
    <m/>
    <m/>
    <m/>
    <m/>
    <m/>
    <m/>
    <m/>
    <m/>
    <m/>
    <m/>
    <m/>
    <m/>
  </r>
  <r>
    <n v="743"/>
    <d v="2025-02-27T00:00:00"/>
    <s v="ZBTO"/>
    <n v="9518559075"/>
    <n v="2"/>
    <s v="9518559075-2"/>
    <m/>
    <s v="Mar'25 additional"/>
    <s v="Released orders"/>
    <x v="2"/>
    <x v="6"/>
    <s v="2000-BPRS"/>
    <m/>
    <x v="0"/>
    <m/>
    <m/>
    <m/>
    <m/>
    <s v="JABALPUR"/>
    <m/>
    <n v="929931"/>
    <s v="BMW VYAPAR PRIVATE LIMITED"/>
    <n v="1854410"/>
    <s v="GP COIL SOFT-TATXGP-GK09-0.4X1220"/>
    <s v="Z80"/>
    <s v=""/>
    <n v="3"/>
    <n v="5"/>
    <m/>
    <s v="C02"/>
    <s v="TATXGP"/>
    <s v="GK09"/>
    <n v="0.4"/>
    <n v="1220"/>
    <n v="0"/>
    <n v="28"/>
    <n v="0"/>
    <m/>
    <m/>
    <m/>
    <m/>
    <m/>
    <m/>
    <n v="28"/>
    <n v="28"/>
    <m/>
    <m/>
    <m/>
    <m/>
    <m/>
    <m/>
    <m/>
    <m/>
    <m/>
    <m/>
    <m/>
    <m/>
    <m/>
    <m/>
    <m/>
    <m/>
    <m/>
    <m/>
    <m/>
    <m/>
    <m/>
    <m/>
    <m/>
    <m/>
    <m/>
    <n v="0"/>
    <n v="28"/>
    <n v="0"/>
    <n v="0"/>
    <n v="28"/>
    <n v="0"/>
    <n v="0"/>
    <n v="28"/>
    <n v="0"/>
    <n v="0"/>
    <n v="0"/>
    <n v="28"/>
    <n v="0"/>
    <n v="0"/>
    <m/>
    <m/>
    <m/>
    <m/>
    <m/>
    <m/>
    <m/>
    <m/>
    <m/>
    <m/>
    <m/>
    <m/>
    <m/>
    <m/>
    <m/>
    <m/>
    <m/>
    <m/>
    <m/>
    <m/>
    <m/>
    <m/>
    <m/>
    <m/>
    <m/>
    <m/>
    <m/>
    <m/>
    <m/>
    <m/>
    <m/>
    <m/>
    <m/>
    <m/>
  </r>
  <r>
    <n v="743"/>
    <d v="2025-02-27T00:00:00"/>
    <s v="ZBTO"/>
    <n v="9518560399"/>
    <n v="1"/>
    <s v="9518560399-1"/>
    <m/>
    <s v="Mar'25 additional"/>
    <s v="Released orders"/>
    <x v="2"/>
    <x v="6"/>
    <s v="2000-BPRS"/>
    <m/>
    <x v="0"/>
    <m/>
    <m/>
    <m/>
    <m/>
    <s v="PATNA"/>
    <m/>
    <n v="103227"/>
    <s v="BMW VENTURES LIMITED"/>
    <n v="1854410"/>
    <s v="GP COIL SOFT-TATXGP-GK09-0.4X1220"/>
    <s v="Z80"/>
    <s v=""/>
    <n v="2"/>
    <n v="4"/>
    <m/>
    <s v="C02"/>
    <s v="TATXGP"/>
    <s v="GK09"/>
    <n v="0.4"/>
    <n v="1220"/>
    <n v="0"/>
    <n v="28"/>
    <n v="0"/>
    <m/>
    <m/>
    <m/>
    <m/>
    <m/>
    <m/>
    <n v="28"/>
    <n v="28"/>
    <m/>
    <m/>
    <m/>
    <m/>
    <m/>
    <m/>
    <m/>
    <m/>
    <m/>
    <m/>
    <m/>
    <m/>
    <m/>
    <m/>
    <m/>
    <m/>
    <m/>
    <m/>
    <m/>
    <m/>
    <m/>
    <m/>
    <m/>
    <m/>
    <m/>
    <n v="0"/>
    <n v="28"/>
    <n v="0"/>
    <n v="0"/>
    <n v="28"/>
    <n v="0"/>
    <n v="0"/>
    <n v="28"/>
    <n v="0"/>
    <n v="0"/>
    <n v="0"/>
    <n v="28"/>
    <n v="0"/>
    <n v="0"/>
    <m/>
    <m/>
    <m/>
    <m/>
    <m/>
    <m/>
    <m/>
    <m/>
    <m/>
    <m/>
    <m/>
    <m/>
    <m/>
    <m/>
    <m/>
    <m/>
    <m/>
    <m/>
    <m/>
    <m/>
    <m/>
    <m/>
    <m/>
    <m/>
    <m/>
    <m/>
    <m/>
    <m/>
    <m/>
    <m/>
    <m/>
    <m/>
    <m/>
    <m/>
  </r>
  <r>
    <n v="743"/>
    <d v="2025-02-27T00:00:00"/>
    <s v="ZBTO"/>
    <n v="9518560399"/>
    <n v="3"/>
    <s v="9518560399-3"/>
    <m/>
    <s v="Mar'25 additional"/>
    <s v="Released orders"/>
    <x v="2"/>
    <x v="6"/>
    <s v="2000-BPRS"/>
    <m/>
    <x v="0"/>
    <m/>
    <m/>
    <m/>
    <m/>
    <s v="PATNA"/>
    <m/>
    <n v="103227"/>
    <s v="BMW VENTURES LIMITED"/>
    <n v="1851101"/>
    <s v="GP COIL SOFT-TATXGP-GK09-0.5X1220"/>
    <s v="Z80"/>
    <s v=""/>
    <n v="2"/>
    <n v="4"/>
    <m/>
    <s v="C02"/>
    <s v="TATXGP"/>
    <s v="GK09"/>
    <n v="0.5"/>
    <n v="1220"/>
    <n v="0"/>
    <n v="28"/>
    <n v="0"/>
    <m/>
    <m/>
    <m/>
    <m/>
    <m/>
    <m/>
    <n v="28"/>
    <n v="28"/>
    <m/>
    <m/>
    <m/>
    <m/>
    <m/>
    <m/>
    <m/>
    <m/>
    <m/>
    <m/>
    <m/>
    <m/>
    <m/>
    <m/>
    <m/>
    <m/>
    <m/>
    <m/>
    <m/>
    <m/>
    <m/>
    <m/>
    <m/>
    <m/>
    <m/>
    <n v="0"/>
    <n v="28"/>
    <n v="0"/>
    <n v="0"/>
    <n v="28"/>
    <n v="0"/>
    <n v="0"/>
    <n v="28"/>
    <n v="0"/>
    <n v="0"/>
    <n v="0"/>
    <n v="28"/>
    <n v="0"/>
    <n v="0"/>
    <m/>
    <m/>
    <m/>
    <m/>
    <m/>
    <m/>
    <m/>
    <m/>
    <m/>
    <m/>
    <m/>
    <m/>
    <m/>
    <m/>
    <m/>
    <m/>
    <m/>
    <m/>
    <m/>
    <m/>
    <m/>
    <m/>
    <m/>
    <m/>
    <m/>
    <m/>
    <m/>
    <m/>
    <m/>
    <m/>
    <m/>
    <m/>
    <m/>
    <m/>
  </r>
  <r>
    <n v="743"/>
    <d v="2025-02-27T00:00:00"/>
    <s v="ZBTO"/>
    <n v="9518560399"/>
    <n v="4"/>
    <s v="9518560399-4"/>
    <m/>
    <s v="Mar'25 additional"/>
    <s v="Released orders"/>
    <x v="2"/>
    <x v="6"/>
    <s v="2000-BPRS"/>
    <m/>
    <x v="0"/>
    <m/>
    <m/>
    <m/>
    <m/>
    <s v="PATNA"/>
    <m/>
    <n v="103227"/>
    <s v="BMW VENTURES LIMITED"/>
    <n v="1334725"/>
    <s v="GP COIL SOFT-TATXGP-GK09-0.6X1220"/>
    <s v="Z80"/>
    <s v=""/>
    <n v="2"/>
    <n v="4"/>
    <m/>
    <s v="C02"/>
    <s v="TATXGP"/>
    <s v="GK09"/>
    <n v="0.6"/>
    <n v="1220"/>
    <n v="0"/>
    <n v="28"/>
    <n v="0"/>
    <m/>
    <m/>
    <m/>
    <m/>
    <m/>
    <m/>
    <n v="28"/>
    <n v="28"/>
    <m/>
    <m/>
    <m/>
    <m/>
    <m/>
    <m/>
    <m/>
    <m/>
    <m/>
    <m/>
    <m/>
    <m/>
    <m/>
    <m/>
    <m/>
    <m/>
    <m/>
    <m/>
    <m/>
    <m/>
    <m/>
    <m/>
    <m/>
    <m/>
    <m/>
    <n v="0"/>
    <n v="28"/>
    <n v="0"/>
    <n v="0"/>
    <n v="28"/>
    <n v="0"/>
    <n v="0"/>
    <n v="28"/>
    <n v="0"/>
    <n v="0"/>
    <n v="0"/>
    <n v="28"/>
    <n v="0"/>
    <n v="0"/>
    <m/>
    <m/>
    <m/>
    <m/>
    <m/>
    <m/>
    <m/>
    <m/>
    <m/>
    <m/>
    <m/>
    <m/>
    <m/>
    <m/>
    <m/>
    <m/>
    <m/>
    <m/>
    <m/>
    <m/>
    <m/>
    <m/>
    <m/>
    <m/>
    <m/>
    <m/>
    <m/>
    <m/>
    <m/>
    <m/>
    <m/>
    <m/>
    <m/>
    <m/>
  </r>
  <r>
    <n v="744"/>
    <d v="2025-02-26T00:00:00"/>
    <s v="ZBTO"/>
    <n v="9518556195"/>
    <n v="1"/>
    <s v="9518556195-1"/>
    <m/>
    <s v="Mar'25 additional"/>
    <s v="Released orders"/>
    <x v="4"/>
    <x v="7"/>
    <s v="1000-IPPE"/>
    <m/>
    <x v="0"/>
    <m/>
    <m/>
    <m/>
    <m/>
    <s v="GAMHARIA"/>
    <m/>
    <n v="940016"/>
    <s v="TATA BLUESCOPE STEEL PVT LTD."/>
    <n v="3797658"/>
    <s v="PPGL C Y550 ISC6 0.40BMT(0.45TPT)X1220"/>
    <s v="aZ70"/>
    <s v="PRO BLUE TSL 1913"/>
    <n v="3"/>
    <n v="5"/>
    <m/>
    <s v="B18"/>
    <s v="Y550PL"/>
    <s v="ISC6"/>
    <n v="0.4"/>
    <n v="1220"/>
    <n v="0"/>
    <n v="140"/>
    <n v="0"/>
    <m/>
    <m/>
    <m/>
    <m/>
    <m/>
    <m/>
    <n v="140"/>
    <n v="140"/>
    <m/>
    <m/>
    <m/>
    <m/>
    <m/>
    <m/>
    <m/>
    <m/>
    <m/>
    <m/>
    <m/>
    <m/>
    <m/>
    <m/>
    <m/>
    <m/>
    <m/>
    <m/>
    <m/>
    <m/>
    <m/>
    <m/>
    <m/>
    <m/>
    <m/>
    <n v="0"/>
    <n v="140"/>
    <n v="0"/>
    <n v="0"/>
    <n v="0"/>
    <n v="140"/>
    <n v="0"/>
    <n v="140"/>
    <n v="0"/>
    <n v="0"/>
    <n v="0"/>
    <n v="0"/>
    <n v="140"/>
    <n v="0"/>
    <m/>
    <m/>
    <m/>
    <m/>
    <m/>
    <m/>
    <m/>
    <m/>
    <m/>
    <m/>
    <m/>
    <m/>
    <m/>
    <m/>
    <m/>
    <m/>
    <m/>
    <m/>
    <m/>
    <m/>
    <m/>
    <m/>
    <m/>
    <m/>
    <m/>
    <m/>
    <m/>
    <m/>
    <m/>
    <m/>
    <m/>
    <m/>
    <m/>
    <m/>
  </r>
  <r>
    <n v="744"/>
    <d v="2025-02-26T00:00:00"/>
    <s v="ZBTO"/>
    <n v="9518556195"/>
    <n v="3"/>
    <s v="9518556195-3"/>
    <m/>
    <s v="Mar'25 additional"/>
    <s v="Released orders"/>
    <x v="4"/>
    <x v="7"/>
    <s v="1000-IPPE"/>
    <m/>
    <x v="0"/>
    <m/>
    <m/>
    <m/>
    <m/>
    <s v="GAMHARIA"/>
    <m/>
    <n v="940016"/>
    <s v="TATA BLUESCOPE STEEL PVT LTD."/>
    <n v="3797658"/>
    <s v="PPGL C Y550 ISC6 0.40BMT(0.45TPT)X1220"/>
    <s v="aZ70"/>
    <s v="PRO ROSY RED TSL 1920"/>
    <n v="3"/>
    <n v="5"/>
    <m/>
    <s v="B18"/>
    <s v="Y550PL"/>
    <s v="ISC6"/>
    <n v="0.4"/>
    <n v="1220"/>
    <n v="0"/>
    <n v="56"/>
    <n v="0"/>
    <m/>
    <m/>
    <m/>
    <m/>
    <m/>
    <m/>
    <n v="56"/>
    <n v="56"/>
    <m/>
    <m/>
    <m/>
    <m/>
    <m/>
    <m/>
    <m/>
    <m/>
    <m/>
    <m/>
    <m/>
    <m/>
    <m/>
    <m/>
    <m/>
    <m/>
    <m/>
    <m/>
    <m/>
    <m/>
    <m/>
    <m/>
    <m/>
    <m/>
    <m/>
    <n v="0"/>
    <n v="56"/>
    <n v="0"/>
    <n v="0"/>
    <n v="0"/>
    <n v="0"/>
    <n v="56"/>
    <n v="0"/>
    <n v="0"/>
    <n v="0"/>
    <n v="0"/>
    <n v="0"/>
    <n v="0"/>
    <n v="56"/>
    <m/>
    <m/>
    <m/>
    <m/>
    <m/>
    <m/>
    <m/>
    <m/>
    <m/>
    <m/>
    <m/>
    <m/>
    <m/>
    <m/>
    <m/>
    <m/>
    <m/>
    <m/>
    <m/>
    <m/>
    <m/>
    <m/>
    <m/>
    <m/>
    <m/>
    <m/>
    <m/>
    <m/>
    <m/>
    <m/>
    <m/>
    <m/>
    <m/>
    <m/>
  </r>
  <r>
    <n v="743"/>
    <d v="2025-02-25T00:00:00"/>
    <s v="ZBTO"/>
    <n v="9518550672"/>
    <n v="7"/>
    <s v="9518550672-7"/>
    <m/>
    <s v="Mar'25 additional"/>
    <s v="Released orders"/>
    <x v="3"/>
    <x v="5"/>
    <s v="1000-IPPE"/>
    <m/>
    <x v="0"/>
    <m/>
    <m/>
    <m/>
    <m/>
    <s v="VINJAMURU"/>
    <m/>
    <n v="188750"/>
    <s v="Colorshine Coated Pvt.Ltd."/>
    <n v="3433440"/>
    <s v="GL COIL HARD  Y550GL H7GL 0.420X1235"/>
    <s v="aZ70"/>
    <s v=""/>
    <n v="7"/>
    <n v="20"/>
    <m/>
    <s v="B04"/>
    <s v="Y550GL"/>
    <s v="H7GL"/>
    <n v="0.42"/>
    <n v="1235"/>
    <n v="0"/>
    <n v="56"/>
    <n v="0"/>
    <m/>
    <m/>
    <m/>
    <m/>
    <m/>
    <m/>
    <n v="56"/>
    <n v="56"/>
    <m/>
    <m/>
    <m/>
    <m/>
    <m/>
    <m/>
    <m/>
    <m/>
    <m/>
    <m/>
    <m/>
    <m/>
    <m/>
    <m/>
    <m/>
    <m/>
    <m/>
    <m/>
    <m/>
    <m/>
    <m/>
    <m/>
    <m/>
    <m/>
    <m/>
    <n v="0"/>
    <n v="56"/>
    <n v="0"/>
    <n v="0"/>
    <n v="0"/>
    <n v="56"/>
    <n v="0"/>
    <n v="56"/>
    <n v="0"/>
    <n v="0"/>
    <n v="0"/>
    <n v="0"/>
    <n v="56"/>
    <n v="0"/>
    <m/>
    <m/>
    <m/>
    <m/>
    <m/>
    <m/>
    <m/>
    <m/>
    <m/>
    <m/>
    <m/>
    <m/>
    <m/>
    <m/>
    <m/>
    <m/>
    <m/>
    <m/>
    <m/>
    <m/>
    <m/>
    <m/>
    <m/>
    <m/>
    <m/>
    <m/>
    <m/>
    <m/>
    <m/>
    <m/>
    <m/>
    <m/>
    <m/>
    <m/>
  </r>
  <r>
    <n v="744"/>
    <d v="2025-02-26T00:00:00"/>
    <s v="ZBTO"/>
    <n v="9518555979"/>
    <n v="1"/>
    <s v="9518555979-1"/>
    <m/>
    <s v="Mar'25 additional"/>
    <s v="Released orders"/>
    <x v="4"/>
    <x v="7"/>
    <s v="1000-IPPE"/>
    <m/>
    <x v="0"/>
    <m/>
    <m/>
    <m/>
    <m/>
    <s v="GAMHARIA"/>
    <m/>
    <n v="940016"/>
    <s v="TATA BLUESCOPE STEEL PVT LTD."/>
    <n v="1640840"/>
    <s v="PPGL C Y550 HPL3 0.45BMT(0.53TPT)X1220"/>
    <s v="AZ150"/>
    <s v="RAL 5012 TSL 245"/>
    <n v="3"/>
    <n v="5"/>
    <m/>
    <s v="B18"/>
    <s v="Y550PL"/>
    <s v="HPL3"/>
    <n v="0.45"/>
    <n v="1220"/>
    <n v="0"/>
    <n v="28"/>
    <n v="0"/>
    <m/>
    <m/>
    <m/>
    <m/>
    <m/>
    <m/>
    <n v="28"/>
    <n v="28"/>
    <m/>
    <m/>
    <m/>
    <m/>
    <m/>
    <m/>
    <m/>
    <m/>
    <m/>
    <m/>
    <m/>
    <m/>
    <m/>
    <m/>
    <m/>
    <m/>
    <m/>
    <m/>
    <m/>
    <m/>
    <m/>
    <m/>
    <m/>
    <m/>
    <m/>
    <n v="0"/>
    <n v="28"/>
    <n v="0"/>
    <n v="0"/>
    <n v="28"/>
    <n v="0"/>
    <n v="0"/>
    <n v="28"/>
    <n v="0"/>
    <n v="0"/>
    <n v="0"/>
    <n v="28"/>
    <n v="0"/>
    <n v="0"/>
    <m/>
    <m/>
    <m/>
    <m/>
    <m/>
    <m/>
    <m/>
    <m/>
    <m/>
    <m/>
    <m/>
    <m/>
    <m/>
    <m/>
    <m/>
    <m/>
    <m/>
    <m/>
    <m/>
    <m/>
    <m/>
    <m/>
    <m/>
    <m/>
    <m/>
    <m/>
    <m/>
    <m/>
    <m/>
    <m/>
    <m/>
    <m/>
    <m/>
    <m/>
  </r>
  <r>
    <n v="743"/>
    <d v="2025-02-27T00:00:00"/>
    <s v="ZBTO"/>
    <n v="9518560120"/>
    <n v="1"/>
    <s v="9518560120-1"/>
    <m/>
    <s v="Mar'25 additional"/>
    <s v="Released orders"/>
    <x v="3"/>
    <x v="7"/>
    <s v="1000-IPPE"/>
    <m/>
    <x v="0"/>
    <m/>
    <m/>
    <m/>
    <m/>
    <s v=" "/>
    <m/>
    <n v="942283"/>
    <s v="TATA BLUESCOPE STEEL PRIVATE LIMITE"/>
    <n v="1882004"/>
    <s v="GL C YS550 H6GL 0.55BMT(0.60TCT)X1220"/>
    <s v="AZ150"/>
    <s v=""/>
    <n v="3"/>
    <n v="5"/>
    <m/>
    <s v="B04"/>
    <s v="Y550GL"/>
    <s v="H6GL"/>
    <n v="0.55000000000000004"/>
    <n v="1220"/>
    <n v="0"/>
    <n v="56"/>
    <n v="0"/>
    <m/>
    <m/>
    <m/>
    <m/>
    <m/>
    <m/>
    <n v="56"/>
    <n v="56"/>
    <m/>
    <m/>
    <m/>
    <m/>
    <m/>
    <m/>
    <m/>
    <m/>
    <m/>
    <m/>
    <m/>
    <m/>
    <m/>
    <m/>
    <m/>
    <m/>
    <m/>
    <m/>
    <m/>
    <m/>
    <m/>
    <m/>
    <m/>
    <m/>
    <m/>
    <n v="0"/>
    <n v="56"/>
    <n v="0"/>
    <n v="0"/>
    <n v="0"/>
    <n v="56"/>
    <n v="0"/>
    <n v="56"/>
    <n v="0"/>
    <n v="0"/>
    <n v="0"/>
    <n v="0"/>
    <n v="56"/>
    <n v="0"/>
    <m/>
    <m/>
    <m/>
    <m/>
    <m/>
    <m/>
    <m/>
    <m/>
    <m/>
    <m/>
    <m/>
    <m/>
    <m/>
    <m/>
    <m/>
    <m/>
    <m/>
    <m/>
    <m/>
    <m/>
    <m/>
    <m/>
    <m/>
    <m/>
    <m/>
    <m/>
    <m/>
    <m/>
    <m/>
    <m/>
    <m/>
    <m/>
    <m/>
    <m/>
  </r>
  <r>
    <n v="742"/>
    <d v="2025-02-27T00:00:00"/>
    <s v="ZBTF"/>
    <n v="9518559566"/>
    <n v="2"/>
    <s v="9518559566-2"/>
    <m/>
    <s v="Mar'25 additional"/>
    <s v="Released orders"/>
    <x v="1"/>
    <x v="5"/>
    <s v="1000-IPPE"/>
    <m/>
    <x v="0"/>
    <m/>
    <m/>
    <m/>
    <m/>
    <s v="THIRUVALLUR"/>
    <m/>
    <n v="600250"/>
    <s v="TATA CENTER"/>
    <n v="3704262"/>
    <s v="CR COIL TSBSTA EL03 1X1250"/>
    <s v=" "/>
    <s v=""/>
    <n v="8"/>
    <n v="11"/>
    <m/>
    <s v="C01"/>
    <s v="TSBSTA"/>
    <s v="EL03"/>
    <n v="1"/>
    <n v="1250"/>
    <n v="0"/>
    <n v="29"/>
    <n v="0"/>
    <m/>
    <m/>
    <m/>
    <m/>
    <m/>
    <m/>
    <n v="29"/>
    <n v="29"/>
    <m/>
    <m/>
    <m/>
    <m/>
    <m/>
    <m/>
    <m/>
    <m/>
    <m/>
    <m/>
    <m/>
    <m/>
    <m/>
    <m/>
    <m/>
    <m/>
    <m/>
    <m/>
    <m/>
    <m/>
    <m/>
    <m/>
    <m/>
    <m/>
    <m/>
    <n v="0"/>
    <n v="0"/>
    <n v="0"/>
    <n v="0"/>
    <n v="0"/>
    <n v="0"/>
    <n v="0"/>
    <n v="0"/>
    <n v="0"/>
    <n v="0"/>
    <n v="0"/>
    <n v="0"/>
    <n v="0"/>
    <n v="0"/>
    <m/>
    <m/>
    <m/>
    <m/>
    <m/>
    <m/>
    <m/>
    <m/>
    <m/>
    <m/>
    <m/>
    <m/>
    <m/>
    <m/>
    <m/>
    <m/>
    <m/>
    <m/>
    <m/>
    <m/>
    <m/>
    <m/>
    <m/>
    <m/>
    <m/>
    <m/>
    <m/>
    <m/>
    <m/>
    <m/>
    <m/>
    <m/>
    <m/>
    <m/>
  </r>
  <r>
    <n v="744"/>
    <m/>
    <s v="ZBTO"/>
    <n v="9518560278"/>
    <n v="5"/>
    <s v="9518560278-5"/>
    <m/>
    <s v="Mar'25 additional"/>
    <s v="Released orders"/>
    <x v="4"/>
    <x v="7"/>
    <s v="1000-IPPE"/>
    <m/>
    <x v="0"/>
    <m/>
    <m/>
    <m/>
    <m/>
    <m/>
    <m/>
    <m/>
    <s v="TATA BLUESCOPE STEEL PVT LTD."/>
    <n v="1633706"/>
    <s v="PPGL C Y550 HPL3 0.42BMT(0.50TPT)X1220"/>
    <s v="AZ150"/>
    <m/>
    <m/>
    <m/>
    <m/>
    <s v="B18"/>
    <s v="Y550PL"/>
    <s v="HPL3"/>
    <n v="0.42"/>
    <n v="1220"/>
    <n v="0"/>
    <n v="28"/>
    <n v="0"/>
    <m/>
    <m/>
    <m/>
    <m/>
    <m/>
    <m/>
    <n v="28"/>
    <n v="28"/>
    <m/>
    <m/>
    <m/>
    <m/>
    <m/>
    <m/>
    <m/>
    <m/>
    <m/>
    <m/>
    <m/>
    <m/>
    <m/>
    <m/>
    <m/>
    <m/>
    <m/>
    <m/>
    <m/>
    <m/>
    <m/>
    <m/>
    <m/>
    <m/>
    <m/>
    <n v="0"/>
    <n v="0"/>
    <n v="0"/>
    <n v="0"/>
    <n v="0"/>
    <n v="0"/>
    <n v="0"/>
    <n v="0"/>
    <n v="0"/>
    <n v="0"/>
    <n v="0"/>
    <n v="0"/>
    <n v="0"/>
    <n v="0"/>
    <m/>
    <m/>
    <m/>
    <m/>
    <m/>
    <m/>
    <m/>
    <m/>
    <m/>
    <m/>
    <m/>
    <m/>
    <m/>
    <m/>
    <m/>
    <m/>
    <m/>
    <m/>
    <m/>
    <m/>
    <m/>
    <m/>
    <m/>
    <m/>
    <m/>
    <m/>
    <m/>
    <m/>
    <m/>
    <m/>
    <m/>
    <m/>
    <m/>
    <m/>
  </r>
  <r>
    <n v="744"/>
    <m/>
    <s v="ZBTO"/>
    <n v="9518560278"/>
    <n v="4"/>
    <s v="9518560278-4"/>
    <m/>
    <s v="Mar'25 additional"/>
    <s v="Released orders"/>
    <x v="4"/>
    <x v="7"/>
    <s v="1000-IPPE"/>
    <m/>
    <x v="0"/>
    <m/>
    <m/>
    <m/>
    <m/>
    <m/>
    <m/>
    <m/>
    <s v="TATA BLUESCOPE STEEL PVT LTD."/>
    <n v="1633706"/>
    <s v="PPGL C Y550 HPL3 0.42BMT(0.50TPT)X1220"/>
    <s v="AZ150"/>
    <m/>
    <m/>
    <m/>
    <m/>
    <s v="B18"/>
    <s v="Y550PL"/>
    <s v="HPL3"/>
    <n v="0.42"/>
    <n v="1220"/>
    <n v="0"/>
    <n v="28"/>
    <n v="0"/>
    <m/>
    <m/>
    <m/>
    <m/>
    <m/>
    <m/>
    <n v="28"/>
    <n v="28"/>
    <m/>
    <m/>
    <m/>
    <m/>
    <m/>
    <m/>
    <m/>
    <m/>
    <m/>
    <m/>
    <m/>
    <m/>
    <m/>
    <m/>
    <m/>
    <m/>
    <m/>
    <m/>
    <m/>
    <m/>
    <m/>
    <m/>
    <m/>
    <m/>
    <m/>
    <n v="0"/>
    <n v="0"/>
    <n v="0"/>
    <n v="0"/>
    <n v="0"/>
    <n v="0"/>
    <n v="0"/>
    <n v="0"/>
    <n v="0"/>
    <n v="0"/>
    <n v="0"/>
    <n v="0"/>
    <n v="0"/>
    <n v="0"/>
    <m/>
    <m/>
    <m/>
    <m/>
    <m/>
    <m/>
    <m/>
    <m/>
    <m/>
    <m/>
    <m/>
    <m/>
    <m/>
    <m/>
    <m/>
    <m/>
    <m/>
    <m/>
    <m/>
    <m/>
    <m/>
    <m/>
    <m/>
    <m/>
    <m/>
    <m/>
    <m/>
    <m/>
    <m/>
    <m/>
    <m/>
    <m/>
    <m/>
    <m/>
  </r>
  <r>
    <n v="744"/>
    <m/>
    <s v="ZBTO"/>
    <n v="9518560278"/>
    <n v="3"/>
    <s v="9518560278-3"/>
    <m/>
    <s v="Mar'25 additional"/>
    <s v="Released orders"/>
    <x v="4"/>
    <x v="7"/>
    <s v="1000-IPPE"/>
    <m/>
    <x v="0"/>
    <m/>
    <m/>
    <m/>
    <m/>
    <m/>
    <m/>
    <m/>
    <s v="TATA BLUESCOPE STEEL PVT LTD."/>
    <n v="1633706"/>
    <s v="PPGL C Y550 HPL3 0.42BMT(0.50TPT)X1220"/>
    <s v="AZ150"/>
    <m/>
    <m/>
    <m/>
    <m/>
    <s v="B18"/>
    <s v="Y550PL"/>
    <s v="HPL3"/>
    <n v="0.42"/>
    <n v="1220"/>
    <n v="0"/>
    <n v="28"/>
    <n v="0"/>
    <m/>
    <m/>
    <m/>
    <m/>
    <m/>
    <m/>
    <n v="28"/>
    <n v="28"/>
    <m/>
    <m/>
    <m/>
    <m/>
    <m/>
    <m/>
    <m/>
    <m/>
    <m/>
    <m/>
    <m/>
    <m/>
    <m/>
    <m/>
    <m/>
    <m/>
    <m/>
    <m/>
    <m/>
    <m/>
    <m/>
    <m/>
    <m/>
    <m/>
    <m/>
    <n v="0"/>
    <n v="0"/>
    <n v="0"/>
    <n v="0"/>
    <n v="0"/>
    <n v="0"/>
    <n v="0"/>
    <n v="0"/>
    <n v="0"/>
    <n v="0"/>
    <n v="0"/>
    <n v="0"/>
    <n v="0"/>
    <n v="0"/>
    <m/>
    <m/>
    <m/>
    <m/>
    <m/>
    <m/>
    <m/>
    <m/>
    <m/>
    <m/>
    <m/>
    <m/>
    <m/>
    <m/>
    <m/>
    <m/>
    <m/>
    <m/>
    <m/>
    <m/>
    <m/>
    <m/>
    <m/>
    <m/>
    <m/>
    <m/>
    <m/>
    <m/>
    <m/>
    <m/>
    <m/>
    <m/>
    <m/>
    <m/>
  </r>
  <r>
    <n v="744"/>
    <m/>
    <s v="ZBTO"/>
    <n v="9518560278"/>
    <n v="2"/>
    <s v="9518560278-2"/>
    <m/>
    <s v="Mar'25 additional"/>
    <s v="Released orders"/>
    <x v="4"/>
    <x v="7"/>
    <s v="1000-IPPE"/>
    <m/>
    <x v="0"/>
    <m/>
    <m/>
    <m/>
    <m/>
    <m/>
    <m/>
    <m/>
    <s v="TATA BLUESCOPE STEEL PVT LTD."/>
    <n v="1633706"/>
    <s v="PPGL C Y550 HPL3 0.42BMT(0.50TPT)X1220"/>
    <s v="AZ150"/>
    <m/>
    <m/>
    <m/>
    <m/>
    <s v="B18"/>
    <s v="Y550PL"/>
    <s v="HPL3"/>
    <n v="0.42"/>
    <n v="1220"/>
    <n v="0"/>
    <n v="28"/>
    <n v="0"/>
    <m/>
    <m/>
    <m/>
    <m/>
    <m/>
    <m/>
    <n v="28"/>
    <n v="28"/>
    <m/>
    <m/>
    <m/>
    <m/>
    <m/>
    <m/>
    <m/>
    <m/>
    <m/>
    <m/>
    <m/>
    <m/>
    <m/>
    <m/>
    <m/>
    <m/>
    <m/>
    <m/>
    <m/>
    <m/>
    <m/>
    <m/>
    <m/>
    <m/>
    <m/>
    <n v="0"/>
    <n v="28"/>
    <n v="0"/>
    <n v="0"/>
    <n v="0"/>
    <n v="0"/>
    <n v="28"/>
    <n v="0"/>
    <n v="0"/>
    <n v="0"/>
    <n v="0"/>
    <n v="0"/>
    <n v="0"/>
    <n v="28"/>
    <m/>
    <m/>
    <m/>
    <m/>
    <m/>
    <m/>
    <m/>
    <m/>
    <m/>
    <m/>
    <m/>
    <m/>
    <m/>
    <m/>
    <m/>
    <m/>
    <m/>
    <m/>
    <m/>
    <m/>
    <m/>
    <m/>
    <m/>
    <m/>
    <m/>
    <m/>
    <m/>
    <m/>
    <m/>
    <m/>
    <m/>
    <m/>
    <m/>
    <m/>
  </r>
  <r>
    <n v="744"/>
    <m/>
    <s v="ZBTO"/>
    <n v="9518560278"/>
    <n v="1"/>
    <s v="9518560278-1"/>
    <m/>
    <s v="Mar'25 additional"/>
    <s v="Released orders"/>
    <x v="4"/>
    <x v="7"/>
    <s v="1000-IPPE"/>
    <m/>
    <x v="0"/>
    <m/>
    <m/>
    <m/>
    <m/>
    <m/>
    <m/>
    <m/>
    <s v="TATA BLUESCOPE STEEL PVT LTD."/>
    <n v="1634425"/>
    <s v="PPGL C Y550 HPL3 0.47BMT(0.55TPT)X1220"/>
    <s v="AZ150"/>
    <m/>
    <m/>
    <m/>
    <m/>
    <s v="B18"/>
    <s v="Y550PL"/>
    <s v="HPL3"/>
    <n v="0.47"/>
    <n v="1220"/>
    <n v="0"/>
    <n v="56"/>
    <n v="0"/>
    <m/>
    <m/>
    <m/>
    <m/>
    <m/>
    <m/>
    <n v="56"/>
    <n v="56"/>
    <m/>
    <m/>
    <m/>
    <m/>
    <m/>
    <m/>
    <m/>
    <m/>
    <m/>
    <m/>
    <m/>
    <m/>
    <m/>
    <m/>
    <m/>
    <m/>
    <m/>
    <m/>
    <m/>
    <m/>
    <m/>
    <m/>
    <m/>
    <m/>
    <m/>
    <n v="0"/>
    <n v="56"/>
    <n v="0"/>
    <n v="56"/>
    <n v="0"/>
    <n v="0"/>
    <n v="0"/>
    <n v="56"/>
    <n v="0"/>
    <n v="0"/>
    <n v="56"/>
    <n v="0"/>
    <n v="0"/>
    <n v="0"/>
    <m/>
    <m/>
    <m/>
    <m/>
    <m/>
    <m/>
    <m/>
    <m/>
    <m/>
    <m/>
    <m/>
    <m/>
    <m/>
    <m/>
    <m/>
    <m/>
    <m/>
    <m/>
    <m/>
    <m/>
    <m/>
    <m/>
    <m/>
    <m/>
    <m/>
    <m/>
    <m/>
    <m/>
    <m/>
    <m/>
    <m/>
    <m/>
    <m/>
    <m/>
  </r>
  <r>
    <n v="743"/>
    <d v="2025-02-24T00:00:00"/>
    <s v="ZBTF"/>
    <n v="9518546063"/>
    <n v="1"/>
    <s v="9518546063-1"/>
    <m/>
    <s v="Mar'25 additional"/>
    <s v="Failed orders"/>
    <x v="2"/>
    <x v="2"/>
    <n v="2000"/>
    <m/>
    <x v="0"/>
    <m/>
    <s v="SPC orders"/>
    <s v="West Bengal"/>
    <s v="East"/>
    <m/>
    <m/>
    <n v="600250"/>
    <s v="TATA CENTRE"/>
    <n v="1191955"/>
    <s v="GP COIL SOFT-TATXGP-GK09-0.3X900"/>
    <n v="80"/>
    <m/>
    <m/>
    <m/>
    <m/>
    <s v="C02"/>
    <s v="TATXGP"/>
    <s v="GK09"/>
    <n v="0.3"/>
    <n v="900"/>
    <n v="0"/>
    <n v="105"/>
    <n v="0"/>
    <m/>
    <m/>
    <m/>
    <m/>
    <m/>
    <m/>
    <m/>
    <n v="105"/>
    <m/>
    <m/>
    <m/>
    <m/>
    <m/>
    <m/>
    <m/>
    <m/>
    <m/>
    <m/>
    <m/>
    <m/>
    <m/>
    <m/>
    <m/>
    <m/>
    <m/>
    <m/>
    <m/>
    <m/>
    <m/>
    <m/>
    <m/>
    <m/>
    <m/>
    <n v="0"/>
    <n v="105"/>
    <n v="0"/>
    <n v="0"/>
    <n v="0"/>
    <n v="105"/>
    <n v="0"/>
    <n v="105"/>
    <n v="0"/>
    <n v="0"/>
    <n v="0"/>
    <n v="0"/>
    <n v="105"/>
    <n v="0"/>
    <m/>
    <m/>
    <m/>
    <m/>
    <m/>
    <m/>
    <m/>
    <m/>
    <m/>
    <m/>
    <m/>
    <m/>
    <m/>
    <m/>
    <m/>
    <m/>
    <m/>
    <m/>
    <m/>
    <m/>
    <m/>
    <m/>
    <m/>
    <m/>
    <m/>
    <m/>
    <m/>
    <m/>
    <m/>
    <m/>
    <m/>
    <m/>
    <m/>
    <m/>
  </r>
  <r>
    <n v="743"/>
    <d v="2025-02-24T00:00:00"/>
    <s v="ZBTF"/>
    <n v="9518546063"/>
    <n v="2"/>
    <s v="9518546063-2"/>
    <m/>
    <s v="Mar'25 additional"/>
    <s v="Failed orders"/>
    <x v="2"/>
    <x v="2"/>
    <n v="2000"/>
    <m/>
    <x v="0"/>
    <m/>
    <s v="SPC orders"/>
    <s v="West Bengal"/>
    <s v="East"/>
    <m/>
    <m/>
    <n v="600250"/>
    <s v="TATA CENTRE"/>
    <n v="1191956"/>
    <s v="GP COIL SOFT-TATXGP-GK09-0.35X900"/>
    <n v="80"/>
    <m/>
    <m/>
    <m/>
    <m/>
    <s v="C02"/>
    <s v="TATXGP"/>
    <s v="GK09"/>
    <n v="0.35"/>
    <n v="900"/>
    <n v="0"/>
    <n v="105"/>
    <n v="0"/>
    <m/>
    <m/>
    <m/>
    <m/>
    <m/>
    <m/>
    <m/>
    <n v="105"/>
    <m/>
    <m/>
    <m/>
    <m/>
    <m/>
    <m/>
    <m/>
    <m/>
    <m/>
    <m/>
    <m/>
    <m/>
    <m/>
    <m/>
    <m/>
    <m/>
    <m/>
    <m/>
    <m/>
    <m/>
    <m/>
    <m/>
    <m/>
    <m/>
    <m/>
    <n v="0"/>
    <n v="105"/>
    <n v="0"/>
    <n v="0"/>
    <n v="0"/>
    <n v="105"/>
    <n v="0"/>
    <n v="105"/>
    <n v="0"/>
    <n v="0"/>
    <n v="0"/>
    <n v="0"/>
    <n v="105"/>
    <n v="0"/>
    <m/>
    <m/>
    <m/>
    <m/>
    <m/>
    <m/>
    <m/>
    <m/>
    <m/>
    <m/>
    <m/>
    <m/>
    <m/>
    <m/>
    <m/>
    <m/>
    <m/>
    <m/>
    <m/>
    <m/>
    <m/>
    <m/>
    <m/>
    <m/>
    <m/>
    <m/>
    <m/>
    <m/>
    <m/>
    <m/>
    <m/>
    <m/>
    <m/>
    <m/>
  </r>
  <r>
    <n v="743"/>
    <d v="2025-02-24T00:00:00"/>
    <s v="ZBTF"/>
    <n v="9518546063"/>
    <n v="3"/>
    <s v="9518546063-3"/>
    <m/>
    <s v="Mar'25 additional"/>
    <s v="Failed orders"/>
    <x v="2"/>
    <x v="2"/>
    <n v="2000"/>
    <m/>
    <x v="0"/>
    <m/>
    <s v="SPC orders"/>
    <s v="West Bengal"/>
    <s v="East"/>
    <m/>
    <m/>
    <n v="600250"/>
    <s v="TATA CENTRE"/>
    <n v="1178439"/>
    <s v="GP COIL SOFT-TATXGP-GK09-0.4X900"/>
    <n v="80"/>
    <m/>
    <m/>
    <m/>
    <m/>
    <s v="C02"/>
    <s v="TATXGP"/>
    <s v="GK09"/>
    <n v="0.4"/>
    <n v="900"/>
    <n v="0"/>
    <n v="210"/>
    <n v="0"/>
    <m/>
    <m/>
    <m/>
    <m/>
    <m/>
    <m/>
    <m/>
    <n v="210"/>
    <m/>
    <m/>
    <m/>
    <m/>
    <m/>
    <m/>
    <m/>
    <m/>
    <m/>
    <m/>
    <m/>
    <m/>
    <m/>
    <m/>
    <m/>
    <m/>
    <m/>
    <m/>
    <m/>
    <m/>
    <m/>
    <m/>
    <m/>
    <m/>
    <m/>
    <n v="0"/>
    <n v="210"/>
    <n v="0"/>
    <n v="0"/>
    <n v="0"/>
    <n v="210"/>
    <n v="0"/>
    <n v="210"/>
    <n v="0"/>
    <n v="0"/>
    <n v="0"/>
    <n v="0"/>
    <n v="210"/>
    <n v="0"/>
    <m/>
    <m/>
    <m/>
    <m/>
    <m/>
    <m/>
    <m/>
    <m/>
    <m/>
    <m/>
    <m/>
    <m/>
    <m/>
    <m/>
    <m/>
    <m/>
    <m/>
    <m/>
    <m/>
    <m/>
    <m/>
    <m/>
    <m/>
    <m/>
    <m/>
    <m/>
    <m/>
    <m/>
    <m/>
    <m/>
    <m/>
    <m/>
    <m/>
    <m/>
  </r>
  <r>
    <n v="743"/>
    <d v="2025-02-24T00:00:00"/>
    <s v="ZBTF"/>
    <n v="9518546063"/>
    <n v="4"/>
    <s v="9518546063-4"/>
    <m/>
    <s v="Mar'25 additional"/>
    <s v="Failed orders"/>
    <x v="2"/>
    <x v="2"/>
    <n v="2000"/>
    <m/>
    <x v="1"/>
    <m/>
    <s v="SPC orders"/>
    <s v="West Bengal"/>
    <s v="East"/>
    <m/>
    <m/>
    <n v="600250"/>
    <s v="TATA CENTRE"/>
    <n v="1854418"/>
    <s v="GP COIL SOFT-TATXGP-GK09-0.5X900"/>
    <n v="80"/>
    <m/>
    <m/>
    <m/>
    <m/>
    <s v="C02"/>
    <s v="TATXGP"/>
    <s v="GK09"/>
    <n v="0.5"/>
    <n v="900"/>
    <n v="0"/>
    <n v="147"/>
    <n v="0"/>
    <m/>
    <m/>
    <m/>
    <m/>
    <m/>
    <m/>
    <m/>
    <n v="147"/>
    <m/>
    <m/>
    <m/>
    <m/>
    <m/>
    <m/>
    <m/>
    <m/>
    <m/>
    <m/>
    <m/>
    <m/>
    <m/>
    <m/>
    <m/>
    <m/>
    <m/>
    <m/>
    <m/>
    <m/>
    <m/>
    <m/>
    <m/>
    <m/>
    <m/>
    <n v="0"/>
    <n v="0"/>
    <n v="0"/>
    <n v="0"/>
    <n v="0"/>
    <n v="0"/>
    <n v="0"/>
    <n v="0"/>
    <n v="0"/>
    <n v="0"/>
    <n v="0"/>
    <n v="0"/>
    <n v="0"/>
    <n v="0"/>
    <m/>
    <m/>
    <m/>
    <m/>
    <m/>
    <m/>
    <m/>
    <m/>
    <m/>
    <m/>
    <m/>
    <m/>
    <m/>
    <m/>
    <m/>
    <m/>
    <m/>
    <m/>
    <m/>
    <m/>
    <m/>
    <m/>
    <m/>
    <m/>
    <m/>
    <m/>
    <m/>
    <m/>
    <m/>
    <m/>
    <m/>
    <m/>
    <m/>
    <m/>
  </r>
  <r>
    <n v="743"/>
    <d v="2025-02-24T00:00:00"/>
    <s v="ZBTF"/>
    <n v="9518546063"/>
    <n v="5"/>
    <s v="9518546063-5"/>
    <m/>
    <s v="Mar'25 additional"/>
    <s v="Failed orders"/>
    <x v="2"/>
    <x v="2"/>
    <n v="2000"/>
    <m/>
    <x v="1"/>
    <m/>
    <s v="SPC orders"/>
    <s v="West Bengal"/>
    <s v="East"/>
    <m/>
    <m/>
    <n v="600250"/>
    <s v="TATA CENTRE"/>
    <n v="1854424"/>
    <s v="GP COIL SOFT-TATXGP-GK09-0.6X900"/>
    <n v="80"/>
    <m/>
    <m/>
    <m/>
    <m/>
    <s v="C02"/>
    <s v="TATXGP"/>
    <s v="GK09"/>
    <n v="0.6"/>
    <n v="900"/>
    <n v="0"/>
    <n v="147"/>
    <n v="0"/>
    <m/>
    <m/>
    <m/>
    <m/>
    <m/>
    <m/>
    <m/>
    <n v="147"/>
    <m/>
    <m/>
    <m/>
    <m/>
    <m/>
    <m/>
    <m/>
    <m/>
    <m/>
    <m/>
    <m/>
    <m/>
    <m/>
    <m/>
    <m/>
    <m/>
    <m/>
    <m/>
    <m/>
    <m/>
    <m/>
    <m/>
    <m/>
    <m/>
    <m/>
    <n v="0"/>
    <n v="0"/>
    <n v="0"/>
    <n v="0"/>
    <n v="0"/>
    <n v="0"/>
    <n v="0"/>
    <n v="0"/>
    <n v="0"/>
    <n v="0"/>
    <n v="0"/>
    <n v="0"/>
    <n v="0"/>
    <n v="0"/>
    <m/>
    <m/>
    <m/>
    <m/>
    <m/>
    <m/>
    <m/>
    <m/>
    <m/>
    <m/>
    <m/>
    <m/>
    <m/>
    <m/>
    <m/>
    <m/>
    <m/>
    <m/>
    <m/>
    <m/>
    <m/>
    <m/>
    <m/>
    <m/>
    <m/>
    <m/>
    <m/>
    <m/>
    <m/>
    <m/>
    <m/>
    <m/>
    <m/>
    <m/>
  </r>
  <r>
    <n v="742"/>
    <d v="2024-12-11T00:00:00"/>
    <s v="ZBTO"/>
    <n v="9518337009"/>
    <n v="6"/>
    <s v="9518337009-6"/>
    <m/>
    <s v="Mar'25 additional"/>
    <s v="Released orders"/>
    <x v="1"/>
    <x v="1"/>
    <s v="2000-BPRS"/>
    <m/>
    <x v="0"/>
    <m/>
    <m/>
    <m/>
    <m/>
    <m/>
    <m/>
    <m/>
    <s v="INDIA STEEL INDUSTRIES"/>
    <n v="3444592"/>
    <s v="CRCA SHEET TATCRC SR16 0.450X1250X2030"/>
    <m/>
    <m/>
    <m/>
    <m/>
    <m/>
    <s v="C06"/>
    <s v="TATCRC"/>
    <s v="SR16"/>
    <n v="0.45"/>
    <n v="1250"/>
    <n v="2030"/>
    <n v="116"/>
    <m/>
    <m/>
    <m/>
    <m/>
    <m/>
    <m/>
    <m/>
    <m/>
    <n v="13.125"/>
    <m/>
    <m/>
    <m/>
    <m/>
    <m/>
    <m/>
    <m/>
    <m/>
    <m/>
    <m/>
    <m/>
    <m/>
    <m/>
    <m/>
    <m/>
    <m/>
    <m/>
    <m/>
    <m/>
    <m/>
    <m/>
    <m/>
    <m/>
    <m/>
    <m/>
    <n v="0"/>
    <n v="13.125"/>
    <n v="0"/>
    <n v="13.125"/>
    <n v="0"/>
    <n v="0"/>
    <n v="0"/>
    <n v="13.125"/>
    <n v="0"/>
    <n v="0"/>
    <n v="13.125"/>
    <n v="0"/>
    <n v="0"/>
    <n v="0"/>
    <m/>
    <m/>
    <m/>
    <m/>
    <m/>
    <m/>
    <m/>
    <m/>
    <m/>
    <m/>
    <m/>
    <m/>
    <m/>
    <m/>
    <m/>
    <m/>
    <m/>
    <m/>
    <m/>
    <m/>
    <m/>
    <m/>
    <m/>
    <m/>
    <m/>
    <m/>
    <m/>
    <m/>
    <m/>
    <m/>
    <m/>
    <m/>
    <m/>
    <m/>
  </r>
  <r>
    <n v="742"/>
    <d v="2025-02-05T00:00:00"/>
    <s v="ZBTO"/>
    <n v="9518495920"/>
    <n v="3"/>
    <s v="9518495920-3"/>
    <m/>
    <s v="Mar'25 additional"/>
    <s v="Released orders"/>
    <x v="1"/>
    <x v="1"/>
    <s v="2000-BPRS"/>
    <m/>
    <x v="0"/>
    <m/>
    <m/>
    <m/>
    <m/>
    <m/>
    <m/>
    <m/>
    <s v="INDIA STEEL INDUSTRIES"/>
    <n v="3240765"/>
    <s v="CRCA SHEET TSBCRC SR15 0.500X1250X2500"/>
    <m/>
    <m/>
    <m/>
    <m/>
    <m/>
    <s v="C06"/>
    <s v="TSBCRC"/>
    <s v="SR15"/>
    <n v="0.5"/>
    <n v="1250"/>
    <n v="2500"/>
    <n v="27"/>
    <m/>
    <m/>
    <m/>
    <m/>
    <m/>
    <m/>
    <m/>
    <m/>
    <n v="27"/>
    <m/>
    <m/>
    <m/>
    <m/>
    <m/>
    <m/>
    <m/>
    <m/>
    <m/>
    <m/>
    <m/>
    <m/>
    <m/>
    <m/>
    <m/>
    <m/>
    <m/>
    <m/>
    <m/>
    <m/>
    <m/>
    <m/>
    <m/>
    <m/>
    <m/>
    <n v="0"/>
    <n v="27"/>
    <n v="0"/>
    <n v="0"/>
    <n v="0"/>
    <n v="27"/>
    <n v="0"/>
    <n v="27"/>
    <n v="0"/>
    <n v="0"/>
    <n v="0"/>
    <n v="0"/>
    <n v="27"/>
    <n v="0"/>
    <m/>
    <m/>
    <m/>
    <m/>
    <m/>
    <m/>
    <m/>
    <m/>
    <m/>
    <m/>
    <m/>
    <m/>
    <m/>
    <m/>
    <m/>
    <m/>
    <m/>
    <m/>
    <m/>
    <m/>
    <m/>
    <m/>
    <m/>
    <m/>
    <m/>
    <m/>
    <m/>
    <m/>
    <m/>
    <m/>
    <m/>
    <m/>
    <m/>
    <m/>
  </r>
  <r>
    <n v="743"/>
    <d v="2025-02-28T00:00:00"/>
    <s v="ZBTO"/>
    <n v="9518564262"/>
    <n v="2"/>
    <s v="9518564262-2"/>
    <m/>
    <s v="Mar'25 additional"/>
    <s v="Released orders"/>
    <x v="2"/>
    <x v="6"/>
    <s v="2000-BPRS"/>
    <m/>
    <x v="0"/>
    <m/>
    <m/>
    <m/>
    <m/>
    <m/>
    <m/>
    <m/>
    <s v="JAUSHNA STEELS (INDIA) PVT. LTD."/>
    <n v="1851101"/>
    <s v="GP COIL SOFT-TATXGP-GK09-0.5X1220"/>
    <m/>
    <m/>
    <m/>
    <m/>
    <m/>
    <s v="C02"/>
    <s v="TATXGP"/>
    <s v="GK09"/>
    <n v="0.5"/>
    <n v="1220"/>
    <n v="0"/>
    <n v="28"/>
    <m/>
    <m/>
    <m/>
    <m/>
    <m/>
    <m/>
    <m/>
    <m/>
    <n v="28"/>
    <m/>
    <m/>
    <m/>
    <m/>
    <m/>
    <m/>
    <m/>
    <m/>
    <m/>
    <m/>
    <m/>
    <m/>
    <m/>
    <m/>
    <m/>
    <m/>
    <m/>
    <m/>
    <m/>
    <m/>
    <m/>
    <m/>
    <m/>
    <m/>
    <m/>
    <n v="0"/>
    <n v="28"/>
    <n v="0"/>
    <n v="0"/>
    <n v="28"/>
    <n v="0"/>
    <n v="0"/>
    <n v="28"/>
    <n v="0"/>
    <n v="0"/>
    <n v="0"/>
    <n v="28"/>
    <n v="0"/>
    <n v="0"/>
    <m/>
    <m/>
    <m/>
    <m/>
    <m/>
    <m/>
    <m/>
    <m/>
    <m/>
    <m/>
    <m/>
    <m/>
    <m/>
    <m/>
    <m/>
    <m/>
    <m/>
    <m/>
    <m/>
    <m/>
    <m/>
    <m/>
    <m/>
    <m/>
    <m/>
    <m/>
    <m/>
    <m/>
    <m/>
    <m/>
    <m/>
    <m/>
    <m/>
    <m/>
  </r>
  <r>
    <n v="743"/>
    <d v="2025-03-01T00:00:00"/>
    <s v="ZBTO"/>
    <n v="9518567053"/>
    <n v="1"/>
    <s v="9518567053-1"/>
    <m/>
    <s v="Mar'25 additional"/>
    <s v="Released orders"/>
    <x v="3"/>
    <x v="7"/>
    <s v="1000-IPPE"/>
    <m/>
    <x v="0"/>
    <m/>
    <m/>
    <m/>
    <m/>
    <m/>
    <m/>
    <m/>
    <s v="TATA BLUESCOPE STEEL PRIVATE LIMITE"/>
    <n v="1882004"/>
    <s v="GL C YS550 H6GL 0.55BMT(0.60TCT)X1220"/>
    <m/>
    <m/>
    <m/>
    <m/>
    <m/>
    <s v="B04"/>
    <s v="Y550GL"/>
    <s v="H6GL"/>
    <n v="0.55000000000000004"/>
    <n v="1220"/>
    <n v="0"/>
    <n v="28"/>
    <m/>
    <m/>
    <m/>
    <m/>
    <m/>
    <m/>
    <m/>
    <m/>
    <n v="28"/>
    <m/>
    <m/>
    <m/>
    <m/>
    <m/>
    <m/>
    <m/>
    <m/>
    <m/>
    <m/>
    <m/>
    <m/>
    <m/>
    <m/>
    <m/>
    <m/>
    <m/>
    <m/>
    <m/>
    <m/>
    <m/>
    <m/>
    <m/>
    <m/>
    <m/>
    <n v="0"/>
    <n v="28"/>
    <n v="0"/>
    <n v="0"/>
    <n v="0"/>
    <n v="28"/>
    <n v="0"/>
    <n v="28"/>
    <n v="0"/>
    <n v="0"/>
    <n v="0"/>
    <n v="0"/>
    <n v="28"/>
    <n v="0"/>
    <m/>
    <m/>
    <m/>
    <m/>
    <m/>
    <m/>
    <m/>
    <m/>
    <m/>
    <m/>
    <m/>
    <m/>
    <m/>
    <m/>
    <m/>
    <m/>
    <m/>
    <m/>
    <m/>
    <m/>
    <m/>
    <m/>
    <m/>
    <m/>
    <m/>
    <m/>
    <m/>
    <m/>
    <m/>
    <m/>
    <m/>
    <m/>
    <m/>
    <m/>
  </r>
  <r>
    <n v="744"/>
    <d v="2025-03-01T00:00:00"/>
    <s v="ZBTO"/>
    <n v="9518567064"/>
    <n v="3"/>
    <s v="9518567064-3"/>
    <m/>
    <s v="Mar'25 additional"/>
    <s v="Released orders"/>
    <x v="4"/>
    <x v="7"/>
    <s v="1000-IPPE"/>
    <m/>
    <x v="0"/>
    <m/>
    <m/>
    <m/>
    <m/>
    <m/>
    <m/>
    <m/>
    <s v="TATA BLUESCOPE STEEL PRIVATE LIMITE"/>
    <n v="3902332"/>
    <s v="PPGL C HARD Y550PL D0C9 0.50(TPT)X1220"/>
    <m/>
    <m/>
    <m/>
    <m/>
    <m/>
    <s v="B18"/>
    <s v="Y550PL"/>
    <s v="D0C9"/>
    <n v="0.5"/>
    <n v="1220"/>
    <n v="0"/>
    <n v="28"/>
    <m/>
    <m/>
    <m/>
    <m/>
    <m/>
    <m/>
    <m/>
    <m/>
    <n v="28"/>
    <m/>
    <m/>
    <m/>
    <m/>
    <m/>
    <m/>
    <m/>
    <m/>
    <m/>
    <m/>
    <m/>
    <m/>
    <m/>
    <m/>
    <m/>
    <m/>
    <m/>
    <m/>
    <m/>
    <m/>
    <m/>
    <m/>
    <m/>
    <m/>
    <m/>
    <n v="0"/>
    <n v="56"/>
    <n v="0"/>
    <n v="56"/>
    <n v="0"/>
    <n v="0"/>
    <n v="0"/>
    <n v="56"/>
    <n v="0"/>
    <n v="0"/>
    <n v="56"/>
    <n v="0"/>
    <n v="0"/>
    <n v="0"/>
    <m/>
    <m/>
    <m/>
    <m/>
    <m/>
    <m/>
    <m/>
    <m/>
    <m/>
    <m/>
    <m/>
    <m/>
    <m/>
    <m/>
    <m/>
    <m/>
    <m/>
    <m/>
    <m/>
    <m/>
    <m/>
    <m/>
    <m/>
    <m/>
    <m/>
    <m/>
    <m/>
    <m/>
    <m/>
    <m/>
    <m/>
    <m/>
    <m/>
    <m/>
  </r>
  <r>
    <n v="744"/>
    <d v="2025-02-20T00:00:00"/>
    <s v="ZBTO"/>
    <n v="9518536050"/>
    <n v="1"/>
    <s v="9518536050-1"/>
    <m/>
    <s v="Mar'25 additional"/>
    <s v="Released orders"/>
    <x v="4"/>
    <x v="7"/>
    <s v="1000-IPPE"/>
    <m/>
    <x v="0"/>
    <m/>
    <m/>
    <m/>
    <m/>
    <m/>
    <m/>
    <m/>
    <s v="TATA BLUESCOPE STEEL PRIVATE LIMITE"/>
    <n v="3941967"/>
    <s v="PPGL C HARD Y550PL D0C9 0.600X1220"/>
    <m/>
    <m/>
    <m/>
    <m/>
    <m/>
    <s v="B18"/>
    <s v="Y550PL"/>
    <s v="D0C9"/>
    <n v="0.6"/>
    <n v="1220"/>
    <n v="0"/>
    <n v="28"/>
    <m/>
    <m/>
    <m/>
    <m/>
    <m/>
    <m/>
    <m/>
    <m/>
    <n v="28"/>
    <m/>
    <m/>
    <m/>
    <m/>
    <m/>
    <m/>
    <m/>
    <m/>
    <m/>
    <m/>
    <m/>
    <m/>
    <m/>
    <m/>
    <m/>
    <m/>
    <m/>
    <m/>
    <m/>
    <m/>
    <m/>
    <m/>
    <m/>
    <m/>
    <m/>
    <n v="0"/>
    <n v="28"/>
    <n v="0"/>
    <n v="0"/>
    <n v="28"/>
    <n v="0"/>
    <n v="0"/>
    <n v="28"/>
    <n v="0"/>
    <n v="0"/>
    <n v="0"/>
    <n v="28"/>
    <n v="0"/>
    <n v="0"/>
    <m/>
    <m/>
    <m/>
    <m/>
    <m/>
    <m/>
    <m/>
    <m/>
    <m/>
    <m/>
    <m/>
    <m/>
    <m/>
    <m/>
    <m/>
    <m/>
    <m/>
    <m/>
    <m/>
    <m/>
    <m/>
    <m/>
    <m/>
    <m/>
    <m/>
    <m/>
    <m/>
    <m/>
    <m/>
    <m/>
    <m/>
    <m/>
    <m/>
    <m/>
  </r>
  <r>
    <n v="742"/>
    <d v="2024-12-02T00:00:00"/>
    <s v="ZBTT"/>
    <n v="9518314286"/>
    <n v="4"/>
    <s v="9518314286-4"/>
    <m/>
    <s v="Mar'25 additional"/>
    <s v="Released orders"/>
    <x v="1"/>
    <x v="1"/>
    <s v="2000-BPRS"/>
    <m/>
    <x v="0"/>
    <m/>
    <m/>
    <m/>
    <m/>
    <m/>
    <m/>
    <m/>
    <s v="TATA CENTER"/>
    <n v="3884931"/>
    <s v="CRCA SHEET TATCRC SR18 1.200X1250X2500"/>
    <m/>
    <m/>
    <m/>
    <m/>
    <m/>
    <s v="C06"/>
    <s v="TATCRC"/>
    <s v="SR18"/>
    <n v="1.2"/>
    <n v="1250"/>
    <n v="2500"/>
    <n v="29"/>
    <m/>
    <m/>
    <m/>
    <m/>
    <m/>
    <m/>
    <m/>
    <m/>
    <n v="29"/>
    <m/>
    <m/>
    <m/>
    <m/>
    <m/>
    <m/>
    <m/>
    <m/>
    <m/>
    <m/>
    <m/>
    <m/>
    <m/>
    <m/>
    <m/>
    <m/>
    <m/>
    <m/>
    <m/>
    <m/>
    <m/>
    <m/>
    <m/>
    <m/>
    <m/>
    <n v="0"/>
    <n v="29"/>
    <n v="0"/>
    <n v="0"/>
    <n v="0"/>
    <n v="29"/>
    <n v="0"/>
    <n v="29"/>
    <n v="0"/>
    <n v="0"/>
    <n v="0"/>
    <n v="0"/>
    <n v="29"/>
    <n v="0"/>
    <m/>
    <m/>
    <m/>
    <m/>
    <m/>
    <m/>
    <m/>
    <m/>
    <m/>
    <m/>
    <m/>
    <m/>
    <m/>
    <m/>
    <m/>
    <m/>
    <m/>
    <m/>
    <m/>
    <m/>
    <m/>
    <m/>
    <m/>
    <m/>
    <m/>
    <m/>
    <m/>
    <m/>
    <m/>
    <m/>
    <m/>
    <m/>
    <m/>
    <m/>
  </r>
  <r>
    <n v="742"/>
    <d v="2024-12-02T00:00:00"/>
    <s v="ZBTT"/>
    <n v="9518314286"/>
    <n v="5"/>
    <s v="9518314286-5"/>
    <m/>
    <s v="Mar'25 additional"/>
    <s v="Released orders"/>
    <x v="1"/>
    <x v="1"/>
    <s v="2000-BPRS"/>
    <m/>
    <x v="0"/>
    <m/>
    <m/>
    <m/>
    <m/>
    <m/>
    <m/>
    <m/>
    <s v="TATA CENTER"/>
    <n v="3884915"/>
    <s v="CRCA SHEET TATCRC SR18 0.800X1250X2500"/>
    <m/>
    <m/>
    <m/>
    <m/>
    <m/>
    <s v="C06"/>
    <s v="TATCRC"/>
    <s v="SR18"/>
    <n v="0.8"/>
    <n v="1250"/>
    <n v="2500"/>
    <n v="29"/>
    <m/>
    <m/>
    <m/>
    <m/>
    <m/>
    <m/>
    <m/>
    <m/>
    <n v="29"/>
    <m/>
    <m/>
    <m/>
    <m/>
    <m/>
    <m/>
    <m/>
    <m/>
    <m/>
    <m/>
    <m/>
    <m/>
    <m/>
    <m/>
    <m/>
    <m/>
    <m/>
    <m/>
    <m/>
    <m/>
    <m/>
    <m/>
    <m/>
    <m/>
    <m/>
    <n v="0"/>
    <n v="29"/>
    <n v="0"/>
    <n v="0"/>
    <n v="0"/>
    <n v="29"/>
    <n v="0"/>
    <n v="29"/>
    <n v="0"/>
    <n v="0"/>
    <n v="0"/>
    <n v="0"/>
    <n v="29"/>
    <n v="0"/>
    <m/>
    <m/>
    <m/>
    <m/>
    <m/>
    <m/>
    <m/>
    <m/>
    <m/>
    <m/>
    <m/>
    <m/>
    <m/>
    <m/>
    <m/>
    <m/>
    <m/>
    <m/>
    <m/>
    <m/>
    <m/>
    <m/>
    <m/>
    <m/>
    <m/>
    <m/>
    <m/>
    <m/>
    <m/>
    <m/>
    <m/>
    <m/>
    <m/>
    <m/>
  </r>
  <r>
    <n v="742"/>
    <d v="2025-02-13T00:00:00"/>
    <s v="ZBTT"/>
    <n v="9518516881"/>
    <n v="1"/>
    <s v="9518516881-1"/>
    <m/>
    <s v="Mar'25 additional"/>
    <s v="Released orders"/>
    <x v="1"/>
    <x v="0"/>
    <s v="2000-BPRS"/>
    <m/>
    <x v="0"/>
    <m/>
    <m/>
    <m/>
    <m/>
    <m/>
    <m/>
    <m/>
    <s v="SUDISA ENTERPRISES (P) LTD."/>
    <n v="3946809"/>
    <s v="CR COIL TATXHS GB03 1.200X1250"/>
    <m/>
    <m/>
    <m/>
    <m/>
    <m/>
    <s v="C01"/>
    <s v="TATXHS"/>
    <s v="GB03"/>
    <n v="1.2"/>
    <n v="1250"/>
    <n v="0"/>
    <n v="29"/>
    <m/>
    <m/>
    <m/>
    <m/>
    <m/>
    <m/>
    <m/>
    <m/>
    <n v="29"/>
    <m/>
    <m/>
    <m/>
    <m/>
    <m/>
    <m/>
    <m/>
    <m/>
    <m/>
    <m/>
    <m/>
    <m/>
    <m/>
    <m/>
    <m/>
    <m/>
    <m/>
    <m/>
    <m/>
    <m/>
    <m/>
    <m/>
    <m/>
    <m/>
    <m/>
    <n v="0"/>
    <n v="29"/>
    <n v="0"/>
    <n v="29"/>
    <n v="0"/>
    <n v="0"/>
    <n v="0"/>
    <n v="29"/>
    <n v="0"/>
    <n v="0"/>
    <n v="29"/>
    <n v="0"/>
    <n v="0"/>
    <n v="0"/>
    <m/>
    <m/>
    <m/>
    <m/>
    <m/>
    <m/>
    <m/>
    <m/>
    <m/>
    <m/>
    <m/>
    <m/>
    <m/>
    <m/>
    <m/>
    <m/>
    <m/>
    <m/>
    <m/>
    <m/>
    <m/>
    <m/>
    <m/>
    <m/>
    <m/>
    <m/>
    <m/>
    <m/>
    <m/>
    <m/>
    <m/>
    <m/>
    <m/>
    <m/>
  </r>
  <r>
    <n v="742"/>
    <d v="2025-02-13T00:00:00"/>
    <s v="ZBTT"/>
    <n v="9518516584"/>
    <n v="1"/>
    <s v="9518516584-1"/>
    <m/>
    <s v="Mar'25 additional"/>
    <s v="Released orders"/>
    <x v="1"/>
    <x v="0"/>
    <s v="2000-BPRS"/>
    <m/>
    <x v="0"/>
    <m/>
    <m/>
    <m/>
    <m/>
    <m/>
    <m/>
    <m/>
    <s v="SUDISA ENTERPRISES (P) LTD."/>
    <n v="3755738"/>
    <s v="CR COIL TSBHSQ CH03 1.200X1250"/>
    <m/>
    <m/>
    <m/>
    <m/>
    <m/>
    <s v="C01"/>
    <s v="TSBHSQ"/>
    <s v="CH03"/>
    <n v="1.2"/>
    <n v="1250"/>
    <n v="0"/>
    <n v="29"/>
    <m/>
    <m/>
    <m/>
    <m/>
    <m/>
    <m/>
    <m/>
    <m/>
    <n v="29"/>
    <m/>
    <m/>
    <m/>
    <m/>
    <m/>
    <m/>
    <m/>
    <m/>
    <m/>
    <m/>
    <m/>
    <m/>
    <m/>
    <m/>
    <m/>
    <m/>
    <m/>
    <m/>
    <m/>
    <m/>
    <m/>
    <m/>
    <m/>
    <m/>
    <m/>
    <n v="0"/>
    <n v="29"/>
    <n v="0"/>
    <n v="0"/>
    <n v="29"/>
    <n v="0"/>
    <n v="0"/>
    <n v="29"/>
    <n v="0"/>
    <n v="0"/>
    <n v="0"/>
    <n v="29"/>
    <n v="0"/>
    <n v="0"/>
    <m/>
    <m/>
    <m/>
    <m/>
    <m/>
    <m/>
    <m/>
    <m/>
    <m/>
    <m/>
    <m/>
    <m/>
    <m/>
    <m/>
    <m/>
    <m/>
    <m/>
    <m/>
    <m/>
    <m/>
    <m/>
    <m/>
    <m/>
    <m/>
    <m/>
    <m/>
    <m/>
    <m/>
    <m/>
    <m/>
    <m/>
    <m/>
    <m/>
    <m/>
  </r>
  <r>
    <n v="742"/>
    <d v="2025-01-07T00:00:00"/>
    <s v="ZBTO"/>
    <n v="9518410223"/>
    <n v="7"/>
    <s v="9518410223-7"/>
    <m/>
    <s v="Mar'25 additional"/>
    <s v="Released orders"/>
    <x v="1"/>
    <x v="1"/>
    <s v="2000-BPRS"/>
    <m/>
    <x v="0"/>
    <m/>
    <m/>
    <m/>
    <m/>
    <m/>
    <m/>
    <m/>
    <s v="INDIA STEEL INDUSTRIES"/>
    <n v="3240781"/>
    <s v="CRCA SHEET TSBCRC SR15 0.600X1250X2030"/>
    <m/>
    <m/>
    <m/>
    <m/>
    <m/>
    <s v="C06"/>
    <s v="TSBCRC"/>
    <s v="SR15"/>
    <n v="0.6"/>
    <n v="1250"/>
    <n v="2030"/>
    <n v="30"/>
    <m/>
    <m/>
    <m/>
    <m/>
    <m/>
    <m/>
    <m/>
    <m/>
    <n v="30"/>
    <m/>
    <m/>
    <m/>
    <m/>
    <m/>
    <m/>
    <m/>
    <m/>
    <m/>
    <m/>
    <m/>
    <m/>
    <m/>
    <m/>
    <m/>
    <m/>
    <m/>
    <m/>
    <m/>
    <m/>
    <m/>
    <m/>
    <m/>
    <m/>
    <m/>
    <n v="0"/>
    <n v="30"/>
    <n v="0"/>
    <n v="0"/>
    <n v="0"/>
    <n v="30"/>
    <n v="0"/>
    <n v="30"/>
    <n v="0"/>
    <n v="0"/>
    <n v="0"/>
    <n v="0"/>
    <n v="30"/>
    <n v="0"/>
    <m/>
    <m/>
    <m/>
    <m/>
    <m/>
    <m/>
    <m/>
    <m/>
    <m/>
    <m/>
    <m/>
    <m/>
    <m/>
    <m/>
    <m/>
    <m/>
    <m/>
    <m/>
    <m/>
    <m/>
    <m/>
    <m/>
    <m/>
    <m/>
    <m/>
    <m/>
    <m/>
    <m/>
    <m/>
    <m/>
    <m/>
    <m/>
    <m/>
    <m/>
  </r>
  <r>
    <m/>
    <d v="2025-01-10T00:00:00"/>
    <s v="ZBTO"/>
    <n v="9518419100"/>
    <n v="3"/>
    <s v="9518419100-3"/>
    <m/>
    <s v="Mar'25 additional"/>
    <s v="Released orders"/>
    <x v="0"/>
    <x v="0"/>
    <s v="2000-BPRS"/>
    <m/>
    <x v="0"/>
    <m/>
    <m/>
    <m/>
    <m/>
    <m/>
    <m/>
    <m/>
    <s v="DURGA STEEL INDUSTRIES"/>
    <n v="1294716"/>
    <s v="HR COILS-PO IS 1079 HR2 2.25X1250"/>
    <m/>
    <m/>
    <m/>
    <m/>
    <m/>
    <n v="768"/>
    <s v="THR099"/>
    <s v="HR99"/>
    <n v="2.25"/>
    <n v="1250"/>
    <n v="0"/>
    <n v="50"/>
    <m/>
    <m/>
    <m/>
    <m/>
    <m/>
    <m/>
    <m/>
    <m/>
    <n v="50"/>
    <m/>
    <m/>
    <m/>
    <m/>
    <m/>
    <m/>
    <m/>
    <m/>
    <m/>
    <m/>
    <m/>
    <m/>
    <m/>
    <m/>
    <m/>
    <m/>
    <m/>
    <m/>
    <m/>
    <m/>
    <m/>
    <m/>
    <m/>
    <m/>
    <m/>
    <n v="0"/>
    <n v="50"/>
    <n v="0"/>
    <n v="0"/>
    <n v="0"/>
    <n v="0"/>
    <n v="50"/>
    <n v="0"/>
    <n v="0"/>
    <n v="0"/>
    <n v="0"/>
    <n v="0"/>
    <n v="0"/>
    <n v="50"/>
    <m/>
    <m/>
    <m/>
    <m/>
    <m/>
    <m/>
    <m/>
    <m/>
    <m/>
    <m/>
    <m/>
    <m/>
    <m/>
    <m/>
    <m/>
    <m/>
    <m/>
    <m/>
    <m/>
    <m/>
    <m/>
    <m/>
    <m/>
    <m/>
    <m/>
    <m/>
    <m/>
    <m/>
    <m/>
    <m/>
    <m/>
    <m/>
    <m/>
    <m/>
  </r>
  <r>
    <n v="742"/>
    <d v="2025-01-10T00:00:00"/>
    <s v="ZBTO"/>
    <n v="9518419100"/>
    <n v="4"/>
    <s v="9518419100-4"/>
    <m/>
    <s v="Mar'25 additional"/>
    <s v="Released orders"/>
    <x v="0"/>
    <x v="0"/>
    <s v="2000-BPRS"/>
    <m/>
    <x v="0"/>
    <m/>
    <m/>
    <m/>
    <m/>
    <m/>
    <m/>
    <m/>
    <s v="DURGA STEEL INDUSTRIES"/>
    <n v="1250221"/>
    <s v="HR COILS-PO IS 1079 HR2 2.50X1250"/>
    <m/>
    <m/>
    <m/>
    <m/>
    <m/>
    <n v="768"/>
    <s v="THR099"/>
    <s v="HR99"/>
    <n v="2.5"/>
    <n v="1250"/>
    <n v="0"/>
    <n v="50"/>
    <m/>
    <m/>
    <m/>
    <m/>
    <m/>
    <m/>
    <m/>
    <m/>
    <n v="50"/>
    <m/>
    <m/>
    <m/>
    <m/>
    <m/>
    <m/>
    <m/>
    <m/>
    <m/>
    <m/>
    <m/>
    <m/>
    <m/>
    <m/>
    <m/>
    <m/>
    <m/>
    <m/>
    <m/>
    <m/>
    <m/>
    <m/>
    <m/>
    <m/>
    <m/>
    <n v="0"/>
    <n v="50"/>
    <n v="0"/>
    <n v="0"/>
    <n v="0"/>
    <n v="0"/>
    <n v="50"/>
    <n v="0"/>
    <n v="0"/>
    <n v="0"/>
    <n v="0"/>
    <n v="0"/>
    <n v="0"/>
    <n v="50"/>
    <m/>
    <m/>
    <m/>
    <m/>
    <m/>
    <m/>
    <m/>
    <m/>
    <m/>
    <m/>
    <m/>
    <m/>
    <m/>
    <m/>
    <m/>
    <m/>
    <m/>
    <m/>
    <m/>
    <m/>
    <m/>
    <m/>
    <m/>
    <m/>
    <m/>
    <m/>
    <m/>
    <m/>
    <m/>
    <m/>
    <m/>
    <m/>
    <m/>
    <m/>
  </r>
  <r>
    <n v="742"/>
    <d v="2025-02-25T00:00:00"/>
    <s v="ZBTF"/>
    <n v="4000499688"/>
    <n v="1"/>
    <s v="4000499688-1"/>
    <m/>
    <s v="Mar'25 additional"/>
    <s v="Released orders"/>
    <x v="0"/>
    <x v="9"/>
    <s v="2000-BPRS"/>
    <m/>
    <x v="0"/>
    <m/>
    <m/>
    <m/>
    <m/>
    <m/>
    <m/>
    <m/>
    <s v="TATA STEEL LIMITED"/>
    <n v="1371338"/>
    <s v="HR COILS-PO IS 1079 HR2 2.30X1250"/>
    <m/>
    <m/>
    <m/>
    <m/>
    <m/>
    <n v="768"/>
    <s v="THR099"/>
    <s v="HR99"/>
    <n v="2.2999999999999998"/>
    <n v="1250"/>
    <n v="0"/>
    <n v="50"/>
    <m/>
    <m/>
    <m/>
    <m/>
    <m/>
    <m/>
    <m/>
    <m/>
    <n v="50"/>
    <m/>
    <m/>
    <m/>
    <m/>
    <m/>
    <m/>
    <m/>
    <m/>
    <m/>
    <m/>
    <m/>
    <m/>
    <m/>
    <m/>
    <m/>
    <m/>
    <m/>
    <m/>
    <m/>
    <m/>
    <m/>
    <m/>
    <m/>
    <m/>
    <m/>
    <n v="0"/>
    <n v="50"/>
    <n v="0"/>
    <n v="0"/>
    <n v="0"/>
    <n v="0"/>
    <n v="50"/>
    <n v="0"/>
    <n v="0"/>
    <n v="0"/>
    <n v="0"/>
    <n v="0"/>
    <n v="0"/>
    <n v="50"/>
    <m/>
    <m/>
    <m/>
    <m/>
    <m/>
    <m/>
    <m/>
    <m/>
    <m/>
    <m/>
    <m/>
    <m/>
    <m/>
    <m/>
    <m/>
    <m/>
    <m/>
    <m/>
    <m/>
    <m/>
    <m/>
    <m/>
    <m/>
    <m/>
    <m/>
    <m/>
    <m/>
    <m/>
    <m/>
    <m/>
    <m/>
    <m/>
    <m/>
    <m/>
  </r>
  <r>
    <n v="742"/>
    <d v="2025-02-25T00:00:00"/>
    <s v="ZBTF"/>
    <n v="4000499688"/>
    <n v="2"/>
    <s v="4000499688-2"/>
    <m/>
    <s v="Mar'25 additional"/>
    <s v="Released orders"/>
    <x v="0"/>
    <x v="9"/>
    <s v="2000-BPRS"/>
    <m/>
    <x v="0"/>
    <m/>
    <m/>
    <m/>
    <m/>
    <m/>
    <m/>
    <m/>
    <s v="TATA STEEL LIMITED"/>
    <n v="1294719"/>
    <s v="HR COILS-POIS 1079 HR2  2.90X1250"/>
    <m/>
    <m/>
    <m/>
    <m/>
    <m/>
    <n v="768"/>
    <s v="THR099"/>
    <s v="HR99"/>
    <n v="2.9"/>
    <n v="1250"/>
    <n v="0"/>
    <n v="50"/>
    <m/>
    <m/>
    <m/>
    <m/>
    <m/>
    <m/>
    <m/>
    <m/>
    <n v="50"/>
    <m/>
    <m/>
    <m/>
    <m/>
    <m/>
    <m/>
    <m/>
    <m/>
    <m/>
    <m/>
    <m/>
    <m/>
    <m/>
    <m/>
    <m/>
    <m/>
    <m/>
    <m/>
    <m/>
    <m/>
    <m/>
    <m/>
    <m/>
    <m/>
    <m/>
    <n v="0"/>
    <n v="50"/>
    <n v="0"/>
    <n v="0"/>
    <n v="0"/>
    <n v="0"/>
    <n v="50"/>
    <n v="0"/>
    <n v="0"/>
    <n v="0"/>
    <n v="0"/>
    <n v="0"/>
    <n v="0"/>
    <n v="50"/>
    <m/>
    <m/>
    <m/>
    <m/>
    <m/>
    <m/>
    <m/>
    <m/>
    <m/>
    <m/>
    <m/>
    <m/>
    <m/>
    <m/>
    <m/>
    <m/>
    <m/>
    <m/>
    <m/>
    <m/>
    <m/>
    <m/>
    <m/>
    <m/>
    <m/>
    <m/>
    <m/>
    <m/>
    <m/>
    <m/>
    <m/>
    <m/>
    <m/>
    <m/>
  </r>
  <r>
    <n v="742"/>
    <d v="2025-02-25T00:00:00"/>
    <s v="ZBTF"/>
    <n v="4000499688"/>
    <n v="3"/>
    <s v="4000499688-3"/>
    <m/>
    <s v="Mar'25 additional"/>
    <s v="Released orders"/>
    <x v="0"/>
    <x v="9"/>
    <s v="2000-BPRS"/>
    <m/>
    <x v="0"/>
    <m/>
    <m/>
    <m/>
    <m/>
    <m/>
    <m/>
    <m/>
    <s v="TATA STEEL LIMITED"/>
    <n v="1294722"/>
    <s v="HR COILS-PO IS 1079 HR2 3.15X1250"/>
    <m/>
    <m/>
    <m/>
    <m/>
    <m/>
    <n v="768"/>
    <s v="THR099"/>
    <s v="HR99"/>
    <n v="3.15"/>
    <n v="1250"/>
    <n v="0"/>
    <n v="50"/>
    <m/>
    <m/>
    <m/>
    <m/>
    <m/>
    <m/>
    <m/>
    <m/>
    <n v="50"/>
    <m/>
    <m/>
    <m/>
    <m/>
    <m/>
    <m/>
    <m/>
    <m/>
    <m/>
    <m/>
    <m/>
    <m/>
    <m/>
    <m/>
    <m/>
    <m/>
    <m/>
    <m/>
    <m/>
    <m/>
    <m/>
    <m/>
    <m/>
    <m/>
    <m/>
    <n v="0"/>
    <n v="50"/>
    <n v="0"/>
    <n v="0"/>
    <n v="0"/>
    <n v="0"/>
    <n v="50"/>
    <n v="0"/>
    <n v="0"/>
    <n v="0"/>
    <n v="0"/>
    <n v="0"/>
    <n v="0"/>
    <n v="50"/>
    <m/>
    <m/>
    <m/>
    <m/>
    <m/>
    <m/>
    <m/>
    <m/>
    <m/>
    <m/>
    <m/>
    <m/>
    <m/>
    <m/>
    <m/>
    <m/>
    <m/>
    <m/>
    <m/>
    <m/>
    <m/>
    <m/>
    <m/>
    <m/>
    <m/>
    <m/>
    <m/>
    <m/>
    <m/>
    <m/>
    <m/>
    <m/>
    <m/>
    <m/>
  </r>
  <r>
    <n v="742"/>
    <d v="2025-02-25T00:00:00"/>
    <s v="ZBTF"/>
    <n v="4000499688"/>
    <n v="4"/>
    <s v="4000499688-4"/>
    <m/>
    <s v="Mar'25 additional"/>
    <s v="Released orders"/>
    <x v="0"/>
    <x v="9"/>
    <s v="2000-BPRS"/>
    <m/>
    <x v="0"/>
    <m/>
    <m/>
    <m/>
    <m/>
    <m/>
    <m/>
    <m/>
    <s v="TATA STEEL LIMITED"/>
    <n v="3226988"/>
    <s v="HR COILS-PO THR099 HR99 3.40X1250"/>
    <m/>
    <m/>
    <m/>
    <m/>
    <m/>
    <n v="768"/>
    <s v="THR099"/>
    <s v="HR99"/>
    <n v="3.4"/>
    <n v="1250"/>
    <n v="0"/>
    <n v="50"/>
    <m/>
    <m/>
    <m/>
    <m/>
    <m/>
    <m/>
    <m/>
    <m/>
    <n v="50"/>
    <m/>
    <m/>
    <m/>
    <m/>
    <m/>
    <m/>
    <m/>
    <m/>
    <m/>
    <m/>
    <m/>
    <m/>
    <m/>
    <m/>
    <m/>
    <m/>
    <m/>
    <m/>
    <m/>
    <m/>
    <m/>
    <m/>
    <m/>
    <m/>
    <m/>
    <n v="0"/>
    <n v="50"/>
    <n v="0"/>
    <n v="0"/>
    <n v="0"/>
    <n v="0"/>
    <n v="50"/>
    <n v="0"/>
    <n v="0"/>
    <n v="0"/>
    <n v="0"/>
    <n v="0"/>
    <n v="0"/>
    <n v="50"/>
    <m/>
    <m/>
    <m/>
    <m/>
    <m/>
    <m/>
    <m/>
    <m/>
    <m/>
    <m/>
    <m/>
    <m/>
    <m/>
    <m/>
    <m/>
    <m/>
    <m/>
    <m/>
    <m/>
    <m/>
    <m/>
    <m/>
    <m/>
    <m/>
    <m/>
    <m/>
    <m/>
    <m/>
    <m/>
    <m/>
    <m/>
    <m/>
    <m/>
    <m/>
  </r>
  <r>
    <n v="742"/>
    <d v="2025-02-05T00:00:00"/>
    <s v="ZBTO"/>
    <n v="9518495920"/>
    <n v="2"/>
    <s v="9518495920-2"/>
    <m/>
    <s v="Mar'25 additional"/>
    <s v="Released orders"/>
    <x v="1"/>
    <x v="1"/>
    <s v="2000-BPRS"/>
    <m/>
    <x v="0"/>
    <m/>
    <m/>
    <m/>
    <m/>
    <m/>
    <m/>
    <m/>
    <s v="INDIA STEEL INDUSTRIES"/>
    <n v="3239568"/>
    <s v="CRCA SHEET TATCRC SR16 0.450X1250X2500"/>
    <m/>
    <m/>
    <m/>
    <m/>
    <m/>
    <s v="C06"/>
    <s v="TATCRC"/>
    <s v="SR16"/>
    <n v="0.45"/>
    <n v="1250"/>
    <n v="2500"/>
    <n v="54"/>
    <m/>
    <m/>
    <m/>
    <m/>
    <m/>
    <m/>
    <m/>
    <m/>
    <n v="54"/>
    <m/>
    <m/>
    <m/>
    <m/>
    <m/>
    <m/>
    <m/>
    <m/>
    <m/>
    <m/>
    <m/>
    <m/>
    <m/>
    <m/>
    <m/>
    <m/>
    <m/>
    <m/>
    <m/>
    <m/>
    <m/>
    <m/>
    <m/>
    <m/>
    <m/>
    <n v="0"/>
    <n v="54"/>
    <n v="0"/>
    <n v="54"/>
    <n v="0"/>
    <n v="0"/>
    <n v="0"/>
    <n v="54"/>
    <n v="0"/>
    <n v="0"/>
    <n v="54"/>
    <n v="0"/>
    <n v="0"/>
    <n v="0"/>
    <m/>
    <m/>
    <m/>
    <m/>
    <m/>
    <m/>
    <m/>
    <m/>
    <m/>
    <m/>
    <m/>
    <m/>
    <m/>
    <m/>
    <m/>
    <m/>
    <m/>
    <m/>
    <m/>
    <m/>
    <m/>
    <m/>
    <m/>
    <m/>
    <m/>
    <m/>
    <m/>
    <m/>
    <m/>
    <m/>
    <m/>
    <m/>
    <m/>
    <m/>
  </r>
  <r>
    <n v="744"/>
    <d v="2025-03-01T00:00:00"/>
    <s v="ZBTO"/>
    <n v="9518567371"/>
    <n v="2"/>
    <s v="9518567371-2"/>
    <m/>
    <s v="Mar'25 additional"/>
    <s v="Released orders"/>
    <x v="4"/>
    <x v="7"/>
    <s v="1000-IPPE"/>
    <m/>
    <x v="0"/>
    <m/>
    <m/>
    <m/>
    <m/>
    <m/>
    <m/>
    <m/>
    <s v="TATA BLUESCOPE STEEL PVT LTD."/>
    <n v="3797658"/>
    <s v="PPGL C Y550 ISC6 0.40BMT(0.45TPT)X1220"/>
    <m/>
    <m/>
    <m/>
    <m/>
    <m/>
    <s v="B18"/>
    <s v="Y550PL"/>
    <s v="ISC6"/>
    <n v="0.4"/>
    <n v="1220"/>
    <n v="0"/>
    <n v="56"/>
    <m/>
    <m/>
    <m/>
    <m/>
    <m/>
    <m/>
    <m/>
    <m/>
    <n v="56"/>
    <m/>
    <m/>
    <m/>
    <m/>
    <m/>
    <m/>
    <m/>
    <m/>
    <m/>
    <m/>
    <m/>
    <m/>
    <m/>
    <m/>
    <m/>
    <m/>
    <m/>
    <m/>
    <m/>
    <m/>
    <m/>
    <m/>
    <m/>
    <m/>
    <m/>
    <n v="0"/>
    <n v="56"/>
    <n v="0"/>
    <n v="0"/>
    <n v="56"/>
    <n v="0"/>
    <n v="0"/>
    <n v="56"/>
    <n v="0"/>
    <n v="0"/>
    <n v="0"/>
    <n v="56"/>
    <n v="0"/>
    <n v="0"/>
    <m/>
    <m/>
    <m/>
    <m/>
    <m/>
    <m/>
    <m/>
    <m/>
    <m/>
    <m/>
    <m/>
    <m/>
    <m/>
    <m/>
    <m/>
    <m/>
    <m/>
    <m/>
    <m/>
    <m/>
    <m/>
    <m/>
    <m/>
    <m/>
    <m/>
    <m/>
    <m/>
    <m/>
    <m/>
    <m/>
    <m/>
    <m/>
    <m/>
    <m/>
  </r>
  <r>
    <n v="743"/>
    <d v="2025-02-28T00:00:00"/>
    <s v="ZBTO"/>
    <n v="9518564262"/>
    <n v="4"/>
    <s v="9518564262-4"/>
    <m/>
    <s v="Mar'25 additional"/>
    <s v="Released orders"/>
    <x v="2"/>
    <x v="6"/>
    <s v="2000-BPRS"/>
    <m/>
    <x v="0"/>
    <m/>
    <m/>
    <m/>
    <m/>
    <m/>
    <m/>
    <m/>
    <s v="JAUSHNA STEELS (INDIA) PVT. LTD."/>
    <n v="1334725"/>
    <s v="GP COIL SOFT-TATXGP-GK09-0.6X1220"/>
    <m/>
    <m/>
    <m/>
    <m/>
    <m/>
    <s v="C02"/>
    <s v="TATXGP"/>
    <s v="GK09"/>
    <n v="0.6"/>
    <n v="1220"/>
    <n v="0"/>
    <n v="56"/>
    <m/>
    <m/>
    <m/>
    <m/>
    <m/>
    <m/>
    <m/>
    <m/>
    <n v="56"/>
    <m/>
    <m/>
    <m/>
    <m/>
    <m/>
    <m/>
    <m/>
    <m/>
    <m/>
    <m/>
    <m/>
    <m/>
    <m/>
    <m/>
    <m/>
    <m/>
    <m/>
    <m/>
    <m/>
    <m/>
    <m/>
    <m/>
    <m/>
    <m/>
    <m/>
    <n v="0"/>
    <n v="56"/>
    <n v="0"/>
    <n v="0"/>
    <n v="56"/>
    <n v="0"/>
    <n v="0"/>
    <n v="56"/>
    <n v="0"/>
    <n v="0"/>
    <n v="0"/>
    <n v="56"/>
    <n v="0"/>
    <n v="0"/>
    <m/>
    <m/>
    <m/>
    <m/>
    <m/>
    <m/>
    <m/>
    <m/>
    <m/>
    <m/>
    <m/>
    <m/>
    <m/>
    <m/>
    <m/>
    <m/>
    <m/>
    <m/>
    <m/>
    <m/>
    <m/>
    <m/>
    <m/>
    <m/>
    <m/>
    <m/>
    <m/>
    <m/>
    <m/>
    <m/>
    <m/>
    <m/>
    <m/>
    <m/>
  </r>
  <r>
    <n v="744"/>
    <d v="2025-02-26T00:00:00"/>
    <s v="ZBTO"/>
    <n v="9518556195"/>
    <n v="2"/>
    <s v="9518556195-2"/>
    <m/>
    <s v="Mar'25 additional"/>
    <s v="Released orders"/>
    <x v="4"/>
    <x v="7"/>
    <s v="1000-IPPE"/>
    <m/>
    <x v="0"/>
    <m/>
    <m/>
    <m/>
    <m/>
    <m/>
    <m/>
    <m/>
    <s v="TATA BLUESCOPE STEEL PVT LTD."/>
    <n v="3883538"/>
    <s v="PPGL C HARD Y550PL ISC6 0.300X1220"/>
    <m/>
    <m/>
    <m/>
    <m/>
    <m/>
    <s v="B18"/>
    <s v="Y550PL"/>
    <s v="ISC6"/>
    <n v="0.3"/>
    <n v="1220"/>
    <n v="0"/>
    <n v="56"/>
    <m/>
    <m/>
    <m/>
    <m/>
    <m/>
    <m/>
    <m/>
    <m/>
    <n v="56"/>
    <m/>
    <m/>
    <m/>
    <m/>
    <m/>
    <m/>
    <m/>
    <m/>
    <m/>
    <m/>
    <m/>
    <m/>
    <m/>
    <m/>
    <m/>
    <m/>
    <m/>
    <m/>
    <m/>
    <m/>
    <m/>
    <m/>
    <m/>
    <m/>
    <m/>
    <n v="0"/>
    <n v="56"/>
    <n v="0"/>
    <n v="0"/>
    <n v="56"/>
    <n v="0"/>
    <n v="0"/>
    <n v="56"/>
    <n v="0"/>
    <n v="0"/>
    <n v="0"/>
    <n v="56"/>
    <n v="0"/>
    <n v="0"/>
    <m/>
    <m/>
    <m/>
    <m/>
    <m/>
    <m/>
    <m/>
    <m/>
    <m/>
    <m/>
    <m/>
    <m/>
    <m/>
    <m/>
    <m/>
    <m/>
    <m/>
    <m/>
    <m/>
    <m/>
    <m/>
    <m/>
    <m/>
    <m/>
    <m/>
    <m/>
    <m/>
    <m/>
    <m/>
    <m/>
    <m/>
    <m/>
    <m/>
    <m/>
  </r>
  <r>
    <n v="743"/>
    <d v="2025-03-01T00:00:00"/>
    <s v="ZBTO"/>
    <n v="9518567053"/>
    <n v="2"/>
    <s v="9518567053-2"/>
    <m/>
    <s v="Mar'25 additional"/>
    <s v="Released orders"/>
    <x v="3"/>
    <x v="7"/>
    <s v="1000-IPPE"/>
    <m/>
    <x v="0"/>
    <m/>
    <m/>
    <m/>
    <m/>
    <m/>
    <m/>
    <m/>
    <s v="TATA BLUESCOPE STEEL PRIVATE LIMITE"/>
    <n v="1881969"/>
    <s v="GL C YS550 H6GL 0.45BMT(0.50TCT)X1220"/>
    <m/>
    <m/>
    <m/>
    <m/>
    <m/>
    <s v="B04"/>
    <s v="Y550GL"/>
    <s v="H6GL"/>
    <n v="0.45"/>
    <n v="1220"/>
    <n v="0"/>
    <n v="56"/>
    <m/>
    <m/>
    <m/>
    <m/>
    <m/>
    <m/>
    <m/>
    <m/>
    <n v="56"/>
    <m/>
    <m/>
    <m/>
    <m/>
    <m/>
    <m/>
    <m/>
    <m/>
    <m/>
    <m/>
    <m/>
    <m/>
    <m/>
    <m/>
    <m/>
    <m/>
    <m/>
    <m/>
    <m/>
    <m/>
    <m/>
    <m/>
    <m/>
    <m/>
    <m/>
    <n v="0"/>
    <n v="56"/>
    <n v="0"/>
    <n v="0"/>
    <n v="0"/>
    <n v="56"/>
    <n v="0"/>
    <n v="56"/>
    <n v="0"/>
    <n v="0"/>
    <n v="0"/>
    <n v="0"/>
    <n v="56"/>
    <n v="0"/>
    <m/>
    <m/>
    <m/>
    <m/>
    <m/>
    <m/>
    <m/>
    <m/>
    <m/>
    <m/>
    <m/>
    <m/>
    <m/>
    <m/>
    <m/>
    <m/>
    <m/>
    <m/>
    <m/>
    <m/>
    <m/>
    <m/>
    <m/>
    <m/>
    <m/>
    <m/>
    <m/>
    <m/>
    <m/>
    <m/>
    <m/>
    <m/>
    <m/>
    <m/>
  </r>
  <r>
    <n v="744"/>
    <d v="2025-03-01T00:00:00"/>
    <s v="ZBTO"/>
    <n v="9518567344"/>
    <n v="1"/>
    <s v="9518567344-1"/>
    <m/>
    <s v="Mar'25 additional"/>
    <s v="Released orders"/>
    <x v="4"/>
    <x v="7"/>
    <s v="1000-IPPE"/>
    <m/>
    <x v="0"/>
    <m/>
    <m/>
    <m/>
    <m/>
    <m/>
    <m/>
    <m/>
    <s v="TATA BLUESCOPE STEEL PVT LTD."/>
    <n v="1640840"/>
    <s v="PPGL C Y550 HPL3 0.45BMT(0.53TPT)X1220"/>
    <m/>
    <m/>
    <m/>
    <m/>
    <m/>
    <s v="B18"/>
    <s v="Y550PL"/>
    <s v="HPL3"/>
    <n v="0.45"/>
    <n v="1220"/>
    <n v="0"/>
    <n v="56"/>
    <m/>
    <m/>
    <m/>
    <m/>
    <m/>
    <m/>
    <m/>
    <m/>
    <n v="56"/>
    <m/>
    <m/>
    <m/>
    <m/>
    <m/>
    <m/>
    <m/>
    <m/>
    <m/>
    <m/>
    <m/>
    <m/>
    <m/>
    <m/>
    <m/>
    <m/>
    <m/>
    <m/>
    <m/>
    <m/>
    <m/>
    <m/>
    <m/>
    <m/>
    <m/>
    <n v="0"/>
    <n v="56"/>
    <n v="0"/>
    <n v="56"/>
    <n v="0"/>
    <n v="0"/>
    <n v="0"/>
    <n v="56"/>
    <n v="0"/>
    <n v="0"/>
    <n v="56"/>
    <n v="0"/>
    <n v="0"/>
    <n v="0"/>
    <m/>
    <m/>
    <m/>
    <m/>
    <m/>
    <m/>
    <m/>
    <m/>
    <m/>
    <m/>
    <m/>
    <m/>
    <m/>
    <m/>
    <m/>
    <m/>
    <m/>
    <m/>
    <m/>
    <m/>
    <m/>
    <m/>
    <m/>
    <m/>
    <m/>
    <m/>
    <m/>
    <m/>
    <m/>
    <m/>
    <m/>
    <m/>
    <m/>
    <m/>
  </r>
  <r>
    <n v="744"/>
    <d v="2025-02-22T00:00:00"/>
    <s v="ZBTO"/>
    <n v="9518542994"/>
    <n v="5"/>
    <s v="9518542994-5"/>
    <m/>
    <s v="Mar'25 additional"/>
    <s v="Released orders"/>
    <x v="4"/>
    <x v="7"/>
    <s v="1000-IPPE"/>
    <m/>
    <x v="0"/>
    <m/>
    <m/>
    <m/>
    <m/>
    <m/>
    <m/>
    <m/>
    <s v="TATA BLUESCOPE STEEL PRIVATE LIMITE"/>
    <n v="3941967"/>
    <s v="PPGL C HARD Y550PL D0C9 0.600X1220"/>
    <m/>
    <m/>
    <m/>
    <m/>
    <m/>
    <s v="B18"/>
    <s v="Y550PL"/>
    <s v="D0C9"/>
    <n v="0.6"/>
    <n v="1220"/>
    <n v="0"/>
    <n v="56"/>
    <m/>
    <m/>
    <m/>
    <m/>
    <m/>
    <m/>
    <m/>
    <m/>
    <n v="56"/>
    <m/>
    <m/>
    <m/>
    <m/>
    <m/>
    <m/>
    <m/>
    <m/>
    <m/>
    <m/>
    <m/>
    <m/>
    <m/>
    <m/>
    <m/>
    <m/>
    <m/>
    <m/>
    <m/>
    <m/>
    <m/>
    <m/>
    <m/>
    <m/>
    <m/>
    <n v="0"/>
    <n v="56"/>
    <n v="0"/>
    <n v="0"/>
    <n v="0"/>
    <n v="56"/>
    <n v="0"/>
    <n v="56"/>
    <n v="0"/>
    <n v="0"/>
    <n v="0"/>
    <n v="0"/>
    <n v="56"/>
    <n v="0"/>
    <m/>
    <m/>
    <m/>
    <m/>
    <m/>
    <m/>
    <m/>
    <m/>
    <m/>
    <m/>
    <m/>
    <m/>
    <m/>
    <m/>
    <m/>
    <m/>
    <m/>
    <m/>
    <m/>
    <m/>
    <m/>
    <m/>
    <m/>
    <m/>
    <m/>
    <m/>
    <m/>
    <m/>
    <m/>
    <m/>
    <m/>
    <m/>
    <m/>
    <m/>
  </r>
  <r>
    <n v="744"/>
    <d v="2025-02-22T00:00:00"/>
    <s v="ZBTO"/>
    <n v="9518542994"/>
    <n v="6"/>
    <s v="9518542994-6"/>
    <m/>
    <s v="Mar'25 additional"/>
    <s v="Released orders"/>
    <x v="4"/>
    <x v="7"/>
    <s v="1000-IPPE"/>
    <m/>
    <x v="0"/>
    <m/>
    <m/>
    <m/>
    <m/>
    <m/>
    <m/>
    <m/>
    <s v="TATA BLUESCOPE STEEL PRIVATE LIMITE"/>
    <n v="3941967"/>
    <s v="PPGL C HARD Y550PL D0C9 0.600X1220"/>
    <m/>
    <m/>
    <m/>
    <m/>
    <m/>
    <s v="B18"/>
    <s v="Y550PL"/>
    <s v="D0C9"/>
    <n v="0.6"/>
    <n v="1220"/>
    <n v="0"/>
    <n v="56"/>
    <m/>
    <m/>
    <m/>
    <m/>
    <m/>
    <m/>
    <m/>
    <m/>
    <n v="56"/>
    <m/>
    <m/>
    <m/>
    <m/>
    <m/>
    <m/>
    <m/>
    <m/>
    <m/>
    <m/>
    <m/>
    <m/>
    <m/>
    <m/>
    <m/>
    <m/>
    <m/>
    <m/>
    <m/>
    <m/>
    <m/>
    <m/>
    <m/>
    <m/>
    <m/>
    <n v="0"/>
    <n v="56"/>
    <n v="0"/>
    <n v="0"/>
    <n v="56"/>
    <n v="0"/>
    <n v="0"/>
    <n v="56"/>
    <n v="0"/>
    <n v="0"/>
    <n v="0"/>
    <n v="56"/>
    <n v="0"/>
    <n v="0"/>
    <m/>
    <m/>
    <m/>
    <m/>
    <m/>
    <m/>
    <m/>
    <m/>
    <m/>
    <m/>
    <m/>
    <m/>
    <m/>
    <m/>
    <m/>
    <m/>
    <m/>
    <m/>
    <m/>
    <m/>
    <m/>
    <m/>
    <m/>
    <m/>
    <m/>
    <m/>
    <m/>
    <m/>
    <m/>
    <m/>
    <m/>
    <m/>
    <m/>
    <m/>
  </r>
  <r>
    <n v="742"/>
    <d v="2025-02-25T00:00:00"/>
    <s v="ZBTF"/>
    <n v="9518553375"/>
    <n v="1"/>
    <s v="9518553375-1"/>
    <m/>
    <s v="Mar'25 additional"/>
    <s v="Released orders"/>
    <x v="5"/>
    <x v="9"/>
    <s v="2000-BPRS"/>
    <m/>
    <x v="0"/>
    <m/>
    <m/>
    <m/>
    <m/>
    <m/>
    <m/>
    <m/>
    <s v="Angul Cold Rolling Mill"/>
    <n v="2324172"/>
    <s v="CRFH COIL TATFHC RE03 1X1250"/>
    <m/>
    <m/>
    <m/>
    <m/>
    <m/>
    <s v="C09"/>
    <s v="TATFHC"/>
    <s v="RE03"/>
    <n v="1"/>
    <n v="1250"/>
    <n v="0"/>
    <n v="58"/>
    <m/>
    <m/>
    <m/>
    <m/>
    <m/>
    <m/>
    <m/>
    <m/>
    <n v="58"/>
    <m/>
    <m/>
    <m/>
    <m/>
    <m/>
    <m/>
    <m/>
    <m/>
    <m/>
    <m/>
    <m/>
    <m/>
    <m/>
    <m/>
    <m/>
    <m/>
    <m/>
    <m/>
    <m/>
    <m/>
    <m/>
    <m/>
    <m/>
    <m/>
    <m/>
    <n v="0"/>
    <n v="58"/>
    <n v="0"/>
    <n v="0"/>
    <n v="0"/>
    <n v="58"/>
    <n v="0"/>
    <n v="58"/>
    <n v="0"/>
    <n v="0"/>
    <n v="0"/>
    <n v="0"/>
    <n v="58"/>
    <n v="0"/>
    <m/>
    <m/>
    <m/>
    <m/>
    <m/>
    <m/>
    <m/>
    <m/>
    <m/>
    <m/>
    <m/>
    <m/>
    <m/>
    <m/>
    <m/>
    <m/>
    <m/>
    <m/>
    <m/>
    <m/>
    <m/>
    <m/>
    <m/>
    <m/>
    <m/>
    <m/>
    <m/>
    <m/>
    <m/>
    <m/>
    <m/>
    <m/>
    <m/>
    <m/>
  </r>
  <r>
    <n v="742"/>
    <d v="2025-01-04T00:00:00"/>
    <s v="ZBTT"/>
    <n v="9518404830"/>
    <n v="1"/>
    <s v="9518404830-1"/>
    <m/>
    <s v="Mar'25 additional"/>
    <s v="Released orders"/>
    <x v="1"/>
    <x v="1"/>
    <s v="2000-BPRS"/>
    <m/>
    <x v="0"/>
    <m/>
    <m/>
    <m/>
    <m/>
    <m/>
    <m/>
    <m/>
    <s v="SAGAR STEELS"/>
    <n v="3884931"/>
    <s v="CRCA SHEET TATCRC SR18 1.200X1250X2500"/>
    <m/>
    <m/>
    <m/>
    <m/>
    <m/>
    <s v="C06"/>
    <s v="TATCRC"/>
    <s v="SR18"/>
    <n v="1.2"/>
    <n v="1250"/>
    <n v="2500"/>
    <n v="58"/>
    <m/>
    <m/>
    <m/>
    <m/>
    <m/>
    <m/>
    <m/>
    <m/>
    <n v="58"/>
    <m/>
    <m/>
    <m/>
    <m/>
    <m/>
    <m/>
    <m/>
    <m/>
    <m/>
    <m/>
    <m/>
    <m/>
    <m/>
    <m/>
    <m/>
    <m/>
    <m/>
    <m/>
    <m/>
    <m/>
    <m/>
    <m/>
    <m/>
    <m/>
    <m/>
    <n v="0"/>
    <n v="58"/>
    <n v="0"/>
    <n v="0"/>
    <n v="0"/>
    <n v="58"/>
    <n v="0"/>
    <n v="58"/>
    <n v="0"/>
    <n v="0"/>
    <n v="0"/>
    <n v="0"/>
    <n v="58"/>
    <n v="0"/>
    <m/>
    <m/>
    <m/>
    <m/>
    <m/>
    <m/>
    <m/>
    <m/>
    <m/>
    <m/>
    <m/>
    <m/>
    <m/>
    <m/>
    <m/>
    <m/>
    <m/>
    <m/>
    <m/>
    <m/>
    <m/>
    <m/>
    <m/>
    <m/>
    <m/>
    <m/>
    <m/>
    <m/>
    <m/>
    <m/>
    <m/>
    <m/>
    <m/>
    <m/>
  </r>
  <r>
    <n v="743"/>
    <d v="2025-02-14T00:00:00"/>
    <s v="ZBTT"/>
    <n v="9518518430"/>
    <n v="1"/>
    <s v="9518518430-1"/>
    <m/>
    <s v="Mar'25 additional"/>
    <s v="Released orders"/>
    <x v="3"/>
    <x v="5"/>
    <s v="1000-IPPE"/>
    <m/>
    <x v="0"/>
    <m/>
    <m/>
    <m/>
    <m/>
    <m/>
    <m/>
    <m/>
    <s v="PRABHAT GLOBAL COLOURCOATED PRIVATE"/>
    <n v="3946140"/>
    <s v="GL COIL SKINPASS Y250GL SGL1 0.330X1250"/>
    <m/>
    <m/>
    <m/>
    <m/>
    <m/>
    <s v="B06"/>
    <s v="Y250GL"/>
    <s v="SGL1"/>
    <n v="0.33"/>
    <n v="1250"/>
    <n v="0"/>
    <n v="58"/>
    <m/>
    <m/>
    <m/>
    <m/>
    <m/>
    <m/>
    <m/>
    <m/>
    <n v="58"/>
    <m/>
    <m/>
    <m/>
    <m/>
    <m/>
    <m/>
    <m/>
    <m/>
    <m/>
    <m/>
    <m/>
    <m/>
    <m/>
    <m/>
    <m/>
    <m/>
    <m/>
    <m/>
    <m/>
    <m/>
    <m/>
    <m/>
    <m/>
    <m/>
    <m/>
    <n v="0"/>
    <n v="58"/>
    <n v="0"/>
    <n v="0"/>
    <n v="0"/>
    <n v="58"/>
    <n v="0"/>
    <n v="58"/>
    <n v="0"/>
    <n v="0"/>
    <n v="0"/>
    <n v="0"/>
    <n v="58"/>
    <n v="0"/>
    <m/>
    <m/>
    <m/>
    <m/>
    <m/>
    <m/>
    <m/>
    <m/>
    <m/>
    <m/>
    <m/>
    <m/>
    <m/>
    <m/>
    <m/>
    <m/>
    <m/>
    <m/>
    <m/>
    <m/>
    <m/>
    <m/>
    <m/>
    <m/>
    <m/>
    <m/>
    <m/>
    <m/>
    <m/>
    <m/>
    <m/>
    <m/>
    <m/>
    <m/>
  </r>
  <r>
    <n v="742"/>
    <d v="2025-02-12T00:00:00"/>
    <s v="ZBTO"/>
    <n v="9518513419"/>
    <n v="1"/>
    <s v="9518513419-1"/>
    <m/>
    <s v="Mar'25 additional"/>
    <s v="Released orders"/>
    <x v="0"/>
    <x v="0"/>
    <s v="2000-BPRS"/>
    <m/>
    <x v="0"/>
    <m/>
    <m/>
    <m/>
    <m/>
    <m/>
    <m/>
    <m/>
    <s v="DURGA STEEL INDUSTRIES"/>
    <n v="1250221"/>
    <s v="HR COILS-PO IS 1079 HR2 2.50X1250"/>
    <m/>
    <m/>
    <m/>
    <m/>
    <m/>
    <n v="768"/>
    <s v="THR099"/>
    <s v="HR99"/>
    <n v="2.5"/>
    <n v="1250"/>
    <n v="0"/>
    <n v="75"/>
    <m/>
    <m/>
    <m/>
    <m/>
    <m/>
    <m/>
    <m/>
    <m/>
    <n v="75"/>
    <m/>
    <m/>
    <m/>
    <m/>
    <m/>
    <m/>
    <m/>
    <m/>
    <m/>
    <m/>
    <m/>
    <m/>
    <m/>
    <m/>
    <m/>
    <m/>
    <m/>
    <m/>
    <m/>
    <m/>
    <m/>
    <m/>
    <m/>
    <m/>
    <m/>
    <n v="0"/>
    <n v="75"/>
    <n v="0"/>
    <n v="0"/>
    <n v="0"/>
    <n v="0"/>
    <n v="75"/>
    <n v="0"/>
    <n v="0"/>
    <n v="0"/>
    <n v="0"/>
    <n v="0"/>
    <n v="0"/>
    <n v="75"/>
    <m/>
    <m/>
    <m/>
    <m/>
    <m/>
    <m/>
    <m/>
    <m/>
    <m/>
    <m/>
    <m/>
    <m/>
    <m/>
    <m/>
    <m/>
    <m/>
    <m/>
    <m/>
    <m/>
    <m/>
    <m/>
    <m/>
    <m/>
    <m/>
    <m/>
    <m/>
    <m/>
    <m/>
    <m/>
    <m/>
    <m/>
    <m/>
    <m/>
    <m/>
  </r>
  <r>
    <n v="742"/>
    <d v="2025-01-10T00:00:00"/>
    <s v="ZBTO"/>
    <n v="9518419100"/>
    <n v="1"/>
    <s v="9518419100-1"/>
    <m/>
    <s v="Mar'25 additional"/>
    <s v="Released orders"/>
    <x v="0"/>
    <x v="0"/>
    <s v="2000-BPRS"/>
    <m/>
    <x v="0"/>
    <m/>
    <m/>
    <m/>
    <m/>
    <m/>
    <m/>
    <m/>
    <s v="DURGA STEEL INDUSTRIES"/>
    <n v="1210083"/>
    <s v="HR COILS-PO IS 1079 HR2 2X1250"/>
    <m/>
    <m/>
    <m/>
    <m/>
    <m/>
    <n v="768"/>
    <s v="THR099"/>
    <s v="HR99"/>
    <n v="2"/>
    <n v="1250"/>
    <n v="0"/>
    <n v="75"/>
    <m/>
    <m/>
    <m/>
    <m/>
    <m/>
    <m/>
    <m/>
    <m/>
    <n v="75"/>
    <m/>
    <m/>
    <m/>
    <m/>
    <m/>
    <m/>
    <m/>
    <m/>
    <m/>
    <m/>
    <m/>
    <m/>
    <m/>
    <m/>
    <m/>
    <m/>
    <m/>
    <m/>
    <m/>
    <m/>
    <m/>
    <m/>
    <m/>
    <m/>
    <m/>
    <n v="0"/>
    <n v="75"/>
    <n v="0"/>
    <n v="0"/>
    <n v="0"/>
    <n v="0"/>
    <n v="75"/>
    <n v="0"/>
    <n v="0"/>
    <n v="0"/>
    <n v="0"/>
    <n v="0"/>
    <n v="0"/>
    <n v="75"/>
    <m/>
    <m/>
    <m/>
    <m/>
    <m/>
    <m/>
    <m/>
    <m/>
    <m/>
    <m/>
    <m/>
    <m/>
    <m/>
    <m/>
    <m/>
    <m/>
    <m/>
    <m/>
    <m/>
    <m/>
    <m/>
    <m/>
    <m/>
    <m/>
    <m/>
    <m/>
    <m/>
    <m/>
    <m/>
    <m/>
    <m/>
    <m/>
    <m/>
    <m/>
  </r>
  <r>
    <n v="742"/>
    <d v="2025-02-27T00:00:00"/>
    <s v="ZBTO"/>
    <n v="9518559450"/>
    <n v="1"/>
    <s v="9518559450-1"/>
    <m/>
    <s v="Mar'25 additional"/>
    <s v="Released orders"/>
    <x v="1"/>
    <x v="4"/>
    <s v="1000-IPPE"/>
    <m/>
    <x v="0"/>
    <m/>
    <m/>
    <m/>
    <m/>
    <m/>
    <m/>
    <m/>
    <s v="A.G.P.ENTERPRISE"/>
    <n v="2439203"/>
    <s v="CRCA COIL TSBSTA EL06 0.500X1160"/>
    <m/>
    <m/>
    <m/>
    <m/>
    <m/>
    <s v="C01"/>
    <s v="TSBSTA"/>
    <s v="EL06"/>
    <n v="0.5"/>
    <n v="1160"/>
    <n v="0"/>
    <n v="81"/>
    <m/>
    <m/>
    <m/>
    <m/>
    <m/>
    <m/>
    <m/>
    <m/>
    <n v="81"/>
    <m/>
    <m/>
    <m/>
    <m/>
    <m/>
    <m/>
    <m/>
    <m/>
    <m/>
    <m/>
    <m/>
    <m/>
    <m/>
    <m/>
    <m/>
    <m/>
    <m/>
    <m/>
    <m/>
    <m/>
    <m/>
    <m/>
    <m/>
    <m/>
    <m/>
    <n v="0"/>
    <n v="81"/>
    <n v="0"/>
    <n v="0"/>
    <n v="0"/>
    <n v="81"/>
    <n v="0"/>
    <n v="81"/>
    <n v="0"/>
    <n v="0"/>
    <n v="0"/>
    <n v="0"/>
    <n v="81"/>
    <n v="0"/>
    <m/>
    <m/>
    <m/>
    <m/>
    <m/>
    <m/>
    <m/>
    <m/>
    <m/>
    <m/>
    <m/>
    <m/>
    <m/>
    <m/>
    <m/>
    <m/>
    <m/>
    <m/>
    <m/>
    <m/>
    <m/>
    <m/>
    <m/>
    <m/>
    <m/>
    <m/>
    <m/>
    <m/>
    <m/>
    <m/>
    <m/>
    <m/>
    <m/>
    <m/>
  </r>
  <r>
    <n v="744"/>
    <d v="2025-03-01T00:00:00"/>
    <s v="ZBTO"/>
    <n v="9518567371"/>
    <n v="1"/>
    <s v="9518567371-1"/>
    <m/>
    <s v="Mar'25 additional"/>
    <s v="Released orders"/>
    <x v="4"/>
    <x v="7"/>
    <s v="1000-IPPE"/>
    <m/>
    <x v="0"/>
    <m/>
    <m/>
    <m/>
    <m/>
    <m/>
    <m/>
    <m/>
    <s v="TATA BLUESCOPE STEEL PVT LTD."/>
    <n v="3797658"/>
    <s v="PPGL C Y550 ISC6 0.40BMT(0.45TPT)X1220"/>
    <m/>
    <m/>
    <m/>
    <m/>
    <m/>
    <s v="B18"/>
    <s v="Y550PL"/>
    <s v="ISC6"/>
    <n v="0.4"/>
    <n v="1220"/>
    <n v="0"/>
    <n v="84"/>
    <m/>
    <m/>
    <m/>
    <m/>
    <m/>
    <m/>
    <m/>
    <m/>
    <n v="84"/>
    <m/>
    <m/>
    <m/>
    <m/>
    <m/>
    <m/>
    <m/>
    <m/>
    <m/>
    <m/>
    <m/>
    <m/>
    <m/>
    <m/>
    <m/>
    <m/>
    <m/>
    <m/>
    <m/>
    <m/>
    <m/>
    <m/>
    <m/>
    <m/>
    <m/>
    <n v="0"/>
    <n v="84"/>
    <n v="0"/>
    <n v="0"/>
    <n v="0"/>
    <n v="84"/>
    <n v="0"/>
    <n v="84"/>
    <n v="0"/>
    <n v="0"/>
    <n v="0"/>
    <n v="0"/>
    <n v="84"/>
    <n v="0"/>
    <m/>
    <m/>
    <m/>
    <m/>
    <m/>
    <m/>
    <m/>
    <m/>
    <m/>
    <m/>
    <m/>
    <m/>
    <m/>
    <m/>
    <m/>
    <m/>
    <m/>
    <m/>
    <m/>
    <m/>
    <m/>
    <m/>
    <m/>
    <m/>
    <m/>
    <m/>
    <m/>
    <m/>
    <m/>
    <m/>
    <m/>
    <m/>
    <m/>
    <m/>
  </r>
  <r>
    <n v="742"/>
    <d v="2025-02-17T00:00:00"/>
    <s v="ZBTO"/>
    <n v="9518527188"/>
    <n v="1"/>
    <s v="9518527188-1"/>
    <m/>
    <s v="Mar'25 additional"/>
    <s v="Released orders"/>
    <x v="0"/>
    <x v="0"/>
    <s v="2000-BPRS"/>
    <m/>
    <x v="0"/>
    <m/>
    <m/>
    <m/>
    <m/>
    <m/>
    <m/>
    <m/>
    <s v="DURGA STEEL INDUSTRIES"/>
    <n v="1250221"/>
    <s v="HR COILS-PO IS 1079 HR2 2.50X1250"/>
    <m/>
    <m/>
    <m/>
    <m/>
    <m/>
    <n v="768"/>
    <s v="THR099"/>
    <s v="HR99"/>
    <n v="2.5"/>
    <n v="1250"/>
    <n v="0"/>
    <n v="100"/>
    <m/>
    <m/>
    <m/>
    <m/>
    <m/>
    <m/>
    <m/>
    <m/>
    <n v="100"/>
    <m/>
    <m/>
    <m/>
    <m/>
    <m/>
    <m/>
    <m/>
    <m/>
    <m/>
    <m/>
    <m/>
    <m/>
    <m/>
    <m/>
    <m/>
    <m/>
    <m/>
    <m/>
    <m/>
    <m/>
    <m/>
    <m/>
    <m/>
    <m/>
    <m/>
    <n v="0"/>
    <n v="100"/>
    <n v="0"/>
    <n v="0"/>
    <n v="0"/>
    <n v="0"/>
    <n v="100"/>
    <n v="0"/>
    <n v="0"/>
    <n v="0"/>
    <n v="0"/>
    <n v="0"/>
    <n v="0"/>
    <n v="100"/>
    <m/>
    <m/>
    <m/>
    <m/>
    <m/>
    <m/>
    <m/>
    <m/>
    <m/>
    <m/>
    <m/>
    <m/>
    <m/>
    <m/>
    <m/>
    <m/>
    <m/>
    <m/>
    <m/>
    <m/>
    <m/>
    <m/>
    <m/>
    <m/>
    <m/>
    <m/>
    <m/>
    <m/>
    <m/>
    <m/>
    <m/>
    <m/>
    <m/>
    <m/>
  </r>
  <r>
    <n v="743"/>
    <d v="2025-02-28T00:00:00"/>
    <s v="ZBTO"/>
    <n v="9518563816"/>
    <n v="2"/>
    <s v="9518563816-2"/>
    <m/>
    <s v="Mar'25 additional"/>
    <s v="Released orders"/>
    <x v="2"/>
    <x v="6"/>
    <s v="2000-BPRS"/>
    <m/>
    <x v="0"/>
    <m/>
    <m/>
    <m/>
    <m/>
    <m/>
    <m/>
    <m/>
    <s v="JAUSHNA STEELS (INDIA) PVT. LTD."/>
    <n v="1334725"/>
    <s v="GP COIL SOFT-TATXGP-GK09-0.6X1220"/>
    <m/>
    <m/>
    <m/>
    <m/>
    <m/>
    <s v="C02"/>
    <s v="TATXGP"/>
    <s v="GK09"/>
    <n v="0.6"/>
    <n v="1220"/>
    <n v="0"/>
    <n v="112"/>
    <m/>
    <m/>
    <m/>
    <m/>
    <m/>
    <m/>
    <m/>
    <m/>
    <n v="112"/>
    <m/>
    <m/>
    <m/>
    <m/>
    <m/>
    <m/>
    <m/>
    <m/>
    <m/>
    <m/>
    <m/>
    <m/>
    <m/>
    <m/>
    <m/>
    <m/>
    <m/>
    <m/>
    <m/>
    <m/>
    <m/>
    <m/>
    <m/>
    <m/>
    <m/>
    <n v="0"/>
    <n v="112"/>
    <n v="0"/>
    <n v="0"/>
    <n v="112"/>
    <n v="0"/>
    <n v="0"/>
    <n v="112"/>
    <n v="0"/>
    <n v="0"/>
    <n v="0"/>
    <n v="112"/>
    <n v="0"/>
    <n v="0"/>
    <m/>
    <m/>
    <m/>
    <m/>
    <m/>
    <m/>
    <m/>
    <m/>
    <m/>
    <m/>
    <m/>
    <m/>
    <m/>
    <m/>
    <m/>
    <m/>
    <m/>
    <m/>
    <m/>
    <m/>
    <m/>
    <m/>
    <m/>
    <m/>
    <m/>
    <m/>
    <m/>
    <m/>
    <m/>
    <m/>
    <m/>
    <m/>
    <m/>
    <m/>
  </r>
  <r>
    <n v="744"/>
    <d v="2025-03-01T00:00:00"/>
    <s v="ZBTO"/>
    <n v="9518567064"/>
    <n v="2"/>
    <s v="9518567064-2"/>
    <m/>
    <s v="Mar'25 additional"/>
    <s v="Released orders"/>
    <x v="4"/>
    <x v="7"/>
    <s v="1000-IPPE"/>
    <m/>
    <x v="0"/>
    <m/>
    <m/>
    <m/>
    <m/>
    <m/>
    <m/>
    <m/>
    <s v="TATA BLUESCOPE STEEL PRIVATE LIMITE"/>
    <n v="3902332"/>
    <s v="PPGL C HARD Y550PL D0C9 0.50(TPT)X1220"/>
    <m/>
    <m/>
    <m/>
    <m/>
    <m/>
    <s v="B18"/>
    <s v="Y550PL"/>
    <s v="D0C9"/>
    <n v="0.5"/>
    <n v="1220"/>
    <n v="0"/>
    <n v="112"/>
    <m/>
    <m/>
    <m/>
    <m/>
    <m/>
    <m/>
    <m/>
    <m/>
    <n v="112"/>
    <m/>
    <m/>
    <m/>
    <m/>
    <m/>
    <m/>
    <m/>
    <m/>
    <m/>
    <m/>
    <m/>
    <m/>
    <m/>
    <m/>
    <m/>
    <m/>
    <m/>
    <m/>
    <m/>
    <m/>
    <m/>
    <m/>
    <m/>
    <m/>
    <m/>
    <n v="0"/>
    <n v="112"/>
    <n v="0"/>
    <n v="0"/>
    <n v="0"/>
    <n v="112"/>
    <n v="0"/>
    <n v="112"/>
    <n v="0"/>
    <n v="0"/>
    <n v="0"/>
    <n v="0"/>
    <n v="112"/>
    <n v="0"/>
    <m/>
    <m/>
    <m/>
    <m/>
    <m/>
    <m/>
    <m/>
    <m/>
    <m/>
    <m/>
    <m/>
    <m/>
    <m/>
    <m/>
    <m/>
    <m/>
    <m/>
    <m/>
    <m/>
    <m/>
    <m/>
    <m/>
    <m/>
    <m/>
    <m/>
    <m/>
    <m/>
    <m/>
    <m/>
    <m/>
    <m/>
    <m/>
    <m/>
    <m/>
  </r>
  <r>
    <n v="744"/>
    <d v="2025-03-01T00:00:00"/>
    <s v="ZBTO"/>
    <n v="9518567064"/>
    <n v="1"/>
    <s v="9518567064-1"/>
    <m/>
    <s v="Mar'25 additional"/>
    <s v="Released orders"/>
    <x v="4"/>
    <x v="7"/>
    <s v="1000-IPPE"/>
    <m/>
    <x v="0"/>
    <m/>
    <m/>
    <m/>
    <m/>
    <m/>
    <m/>
    <m/>
    <s v="TATA BLUESCOPE STEEL PRIVATE LIMITE"/>
    <n v="3902332"/>
    <s v="PPGL C HARD Y550PL D0C9 0.50(TPT)X1220"/>
    <m/>
    <m/>
    <m/>
    <m/>
    <m/>
    <s v="B18"/>
    <s v="Y550PL"/>
    <s v="D0C9"/>
    <n v="0.5"/>
    <n v="1220"/>
    <n v="0"/>
    <n v="112"/>
    <m/>
    <m/>
    <m/>
    <m/>
    <m/>
    <m/>
    <m/>
    <m/>
    <n v="112"/>
    <m/>
    <m/>
    <m/>
    <m/>
    <m/>
    <m/>
    <m/>
    <m/>
    <m/>
    <m/>
    <m/>
    <m/>
    <m/>
    <m/>
    <m/>
    <m/>
    <m/>
    <m/>
    <m/>
    <m/>
    <m/>
    <m/>
    <m/>
    <m/>
    <m/>
    <n v="0"/>
    <n v="112"/>
    <n v="0"/>
    <n v="0"/>
    <n v="112"/>
    <n v="0"/>
    <n v="0"/>
    <n v="112"/>
    <n v="0"/>
    <n v="0"/>
    <n v="0"/>
    <n v="112"/>
    <n v="0"/>
    <n v="0"/>
    <m/>
    <m/>
    <m/>
    <m/>
    <m/>
    <m/>
    <m/>
    <m/>
    <m/>
    <m/>
    <m/>
    <m/>
    <m/>
    <m/>
    <m/>
    <m/>
    <m/>
    <m/>
    <m/>
    <m/>
    <m/>
    <m/>
    <m/>
    <m/>
    <m/>
    <m/>
    <m/>
    <m/>
    <m/>
    <m/>
    <m/>
    <m/>
    <m/>
    <m/>
  </r>
  <r>
    <n v="743"/>
    <d v="2025-02-28T00:00:00"/>
    <s v="ZBTO"/>
    <n v="9518563369"/>
    <n v="2"/>
    <s v="9518563369-2"/>
    <m/>
    <s v="Mar'25 additional"/>
    <s v="Released orders"/>
    <x v="3"/>
    <x v="13"/>
    <s v="1000-IPPE"/>
    <m/>
    <x v="0"/>
    <m/>
    <m/>
    <m/>
    <m/>
    <m/>
    <m/>
    <m/>
    <s v="Metalkraft Forming Industries Pvt L"/>
    <n v="3903395"/>
    <s v="GL COIL HARD  Y550GL GL6H 0.900X1220"/>
    <m/>
    <m/>
    <m/>
    <m/>
    <m/>
    <s v="B04"/>
    <s v="Y550GL"/>
    <s v="GL6H"/>
    <n v="0.9"/>
    <n v="1220"/>
    <n v="0"/>
    <n v="140"/>
    <m/>
    <m/>
    <m/>
    <m/>
    <m/>
    <m/>
    <m/>
    <m/>
    <n v="140"/>
    <m/>
    <m/>
    <m/>
    <m/>
    <m/>
    <m/>
    <m/>
    <m/>
    <m/>
    <m/>
    <m/>
    <m/>
    <m/>
    <m/>
    <m/>
    <m/>
    <m/>
    <m/>
    <m/>
    <m/>
    <m/>
    <m/>
    <m/>
    <m/>
    <m/>
    <n v="0"/>
    <n v="140"/>
    <n v="0"/>
    <n v="0"/>
    <n v="0"/>
    <n v="140"/>
    <n v="0"/>
    <n v="140"/>
    <n v="0"/>
    <n v="0"/>
    <n v="0"/>
    <n v="0"/>
    <n v="140"/>
    <n v="0"/>
    <m/>
    <m/>
    <m/>
    <m/>
    <m/>
    <m/>
    <m/>
    <m/>
    <m/>
    <m/>
    <m/>
    <m/>
    <m/>
    <m/>
    <m/>
    <m/>
    <m/>
    <m/>
    <m/>
    <m/>
    <m/>
    <m/>
    <m/>
    <m/>
    <m/>
    <m/>
    <m/>
    <m/>
    <m/>
    <m/>
    <m/>
    <m/>
    <m/>
    <m/>
  </r>
  <r>
    <n v="743"/>
    <d v="2025-03-01T00:00:00"/>
    <s v="ZBTO"/>
    <n v="9518567034"/>
    <n v="1"/>
    <s v="9518567034-1"/>
    <m/>
    <s v="Mar'25 additional"/>
    <s v="Released orders"/>
    <x v="3"/>
    <x v="7"/>
    <s v="1000-IPPE"/>
    <m/>
    <x v="0"/>
    <m/>
    <m/>
    <m/>
    <m/>
    <m/>
    <m/>
    <m/>
    <s v="TATA BLUESCOPE STEEL PRIVATE LIMITE"/>
    <n v="1881969"/>
    <s v="GL C YS550 H6GL 0.45BMT(0.50TCT)X1220"/>
    <m/>
    <m/>
    <m/>
    <m/>
    <m/>
    <s v="B04"/>
    <s v="Y550GL"/>
    <s v="H6GL"/>
    <n v="0.45"/>
    <n v="1220"/>
    <n v="0"/>
    <n v="140"/>
    <m/>
    <m/>
    <m/>
    <m/>
    <m/>
    <m/>
    <m/>
    <m/>
    <n v="140"/>
    <m/>
    <m/>
    <m/>
    <m/>
    <m/>
    <m/>
    <m/>
    <m/>
    <m/>
    <m/>
    <m/>
    <m/>
    <m/>
    <m/>
    <m/>
    <m/>
    <m/>
    <m/>
    <m/>
    <m/>
    <m/>
    <m/>
    <m/>
    <m/>
    <m/>
    <n v="0"/>
    <n v="140"/>
    <n v="0"/>
    <n v="0"/>
    <n v="0"/>
    <n v="140"/>
    <n v="0"/>
    <n v="140"/>
    <n v="0"/>
    <n v="0"/>
    <n v="0"/>
    <n v="0"/>
    <n v="140"/>
    <n v="0"/>
    <m/>
    <m/>
    <m/>
    <m/>
    <m/>
    <m/>
    <m/>
    <m/>
    <m/>
    <m/>
    <m/>
    <m/>
    <m/>
    <m/>
    <m/>
    <m/>
    <m/>
    <m/>
    <m/>
    <m/>
    <m/>
    <m/>
    <m/>
    <m/>
    <m/>
    <m/>
    <m/>
    <m/>
    <m/>
    <m/>
    <m/>
    <m/>
    <m/>
    <m/>
  </r>
  <r>
    <n v="742"/>
    <d v="2025-02-25T00:00:00"/>
    <s v="ZBTF"/>
    <n v="9518553375"/>
    <n v="2"/>
    <s v="9518553375-2"/>
    <m/>
    <s v="Mar'25 additional"/>
    <s v="Released orders"/>
    <x v="5"/>
    <x v="9"/>
    <s v="2000-BPRS"/>
    <m/>
    <x v="0"/>
    <m/>
    <m/>
    <m/>
    <m/>
    <m/>
    <m/>
    <m/>
    <s v="Angul Cold Rolling Mill"/>
    <n v="2324181"/>
    <s v="CRFH COIL TATFHC RE03 1.200X1250"/>
    <m/>
    <m/>
    <m/>
    <m/>
    <m/>
    <s v="C09"/>
    <s v="TATFHC"/>
    <s v="RE03"/>
    <n v="1.2"/>
    <n v="1250"/>
    <n v="0"/>
    <n v="145"/>
    <m/>
    <m/>
    <m/>
    <m/>
    <m/>
    <m/>
    <m/>
    <m/>
    <n v="145"/>
    <m/>
    <m/>
    <m/>
    <m/>
    <m/>
    <m/>
    <m/>
    <m/>
    <m/>
    <m/>
    <m/>
    <m/>
    <m/>
    <m/>
    <m/>
    <m/>
    <m/>
    <m/>
    <m/>
    <m/>
    <m/>
    <m/>
    <m/>
    <m/>
    <m/>
    <n v="0"/>
    <n v="145"/>
    <n v="0"/>
    <n v="0"/>
    <n v="0"/>
    <n v="0"/>
    <n v="145"/>
    <n v="0"/>
    <n v="0"/>
    <n v="0"/>
    <n v="0"/>
    <n v="0"/>
    <n v="0"/>
    <n v="145"/>
    <m/>
    <m/>
    <m/>
    <m/>
    <m/>
    <m/>
    <m/>
    <m/>
    <m/>
    <m/>
    <m/>
    <m/>
    <m/>
    <m/>
    <m/>
    <m/>
    <m/>
    <m/>
    <m/>
    <m/>
    <m/>
    <m/>
    <m/>
    <m/>
    <m/>
    <m/>
    <m/>
    <m/>
    <m/>
    <m/>
    <m/>
    <m/>
    <m/>
    <m/>
  </r>
  <r>
    <n v="743"/>
    <d v="2025-02-25T00:00:00"/>
    <s v="ZBTO"/>
    <n v="9518551400"/>
    <n v="1"/>
    <s v="9518551400-1"/>
    <m/>
    <s v="Mar'25 additional"/>
    <s v="Released orders"/>
    <x v="3"/>
    <x v="13"/>
    <s v="1000-IPPE"/>
    <m/>
    <x v="0"/>
    <m/>
    <m/>
    <m/>
    <m/>
    <m/>
    <m/>
    <m/>
    <s v="ZARON METAL SECTIONS"/>
    <n v="3886090"/>
    <s v="GL COIL HARD  Y550GL GL6H 0.900X1250"/>
    <m/>
    <m/>
    <m/>
    <m/>
    <m/>
    <s v="B04"/>
    <s v="Y550GL"/>
    <s v="GL6H"/>
    <n v="0.9"/>
    <n v="1250"/>
    <n v="0"/>
    <n v="145"/>
    <m/>
    <m/>
    <m/>
    <m/>
    <m/>
    <m/>
    <m/>
    <m/>
    <n v="145"/>
    <m/>
    <m/>
    <m/>
    <m/>
    <m/>
    <m/>
    <m/>
    <m/>
    <m/>
    <m/>
    <m/>
    <m/>
    <m/>
    <m/>
    <m/>
    <m/>
    <m/>
    <m/>
    <m/>
    <m/>
    <m/>
    <m/>
    <m/>
    <m/>
    <m/>
    <n v="0"/>
    <n v="145"/>
    <n v="0"/>
    <n v="0"/>
    <n v="0"/>
    <n v="145"/>
    <n v="0"/>
    <n v="145"/>
    <n v="0"/>
    <n v="0"/>
    <n v="0"/>
    <n v="0"/>
    <n v="145"/>
    <n v="0"/>
    <m/>
    <m/>
    <m/>
    <m/>
    <m/>
    <m/>
    <m/>
    <m/>
    <m/>
    <m/>
    <m/>
    <m/>
    <m/>
    <m/>
    <m/>
    <m/>
    <m/>
    <m/>
    <m/>
    <m/>
    <m/>
    <m/>
    <m/>
    <m/>
    <m/>
    <m/>
    <m/>
    <m/>
    <m/>
    <m/>
    <m/>
    <m/>
    <m/>
    <m/>
  </r>
  <r>
    <n v="742"/>
    <d v="2025-02-19T00:00:00"/>
    <s v="ZBTT"/>
    <n v="9518531893"/>
    <n v="1"/>
    <s v="9518531893-1"/>
    <m/>
    <s v="Mar'25 additional"/>
    <s v="Released orders"/>
    <x v="1"/>
    <x v="5"/>
    <s v="1000-IPPE"/>
    <m/>
    <x v="0"/>
    <m/>
    <m/>
    <m/>
    <m/>
    <m/>
    <m/>
    <m/>
    <s v="GODREJ AND BOYCE MANUFACTURING CO L"/>
    <n v="3774639"/>
    <s v="CR COIL TATXHS GB03 1.500X1260"/>
    <m/>
    <m/>
    <m/>
    <m/>
    <m/>
    <s v="C01"/>
    <s v="TATXHS"/>
    <s v="GB03"/>
    <n v="1.5"/>
    <n v="1260"/>
    <n v="0"/>
    <n v="168"/>
    <m/>
    <m/>
    <m/>
    <m/>
    <m/>
    <m/>
    <m/>
    <m/>
    <n v="168"/>
    <m/>
    <m/>
    <m/>
    <m/>
    <m/>
    <m/>
    <m/>
    <m/>
    <m/>
    <m/>
    <m/>
    <m/>
    <m/>
    <m/>
    <m/>
    <m/>
    <m/>
    <m/>
    <m/>
    <m/>
    <m/>
    <m/>
    <m/>
    <m/>
    <m/>
    <n v="0"/>
    <n v="168"/>
    <n v="0"/>
    <n v="0"/>
    <n v="0"/>
    <n v="168"/>
    <n v="0"/>
    <n v="168"/>
    <n v="0"/>
    <n v="0"/>
    <n v="0"/>
    <n v="0"/>
    <n v="168"/>
    <n v="0"/>
    <m/>
    <m/>
    <m/>
    <m/>
    <m/>
    <m/>
    <m/>
    <m/>
    <m/>
    <m/>
    <m/>
    <m/>
    <m/>
    <m/>
    <m/>
    <m/>
    <m/>
    <m/>
    <m/>
    <m/>
    <m/>
    <m/>
    <m/>
    <m/>
    <m/>
    <m/>
    <m/>
    <m/>
    <m/>
    <m/>
    <m/>
    <m/>
    <m/>
    <m/>
  </r>
  <r>
    <n v="743"/>
    <d v="2025-02-28T00:00:00"/>
    <s v="ZBTO"/>
    <n v="9518563369"/>
    <n v="1"/>
    <s v="9518563369-1"/>
    <m/>
    <s v="Mar'25 additional"/>
    <s v="Released orders"/>
    <x v="3"/>
    <x v="13"/>
    <s v="1000-IPPE"/>
    <m/>
    <x v="0"/>
    <m/>
    <m/>
    <m/>
    <m/>
    <m/>
    <m/>
    <m/>
    <s v="Metalkraft Forming Industries Pvt L"/>
    <n v="3903395"/>
    <s v="GL COIL HARD  Y550GL GL6H 0.900X1220"/>
    <m/>
    <m/>
    <m/>
    <m/>
    <m/>
    <s v="B04"/>
    <s v="Y550GL"/>
    <s v="GL6H"/>
    <n v="0.9"/>
    <n v="1220"/>
    <n v="0"/>
    <n v="168"/>
    <m/>
    <m/>
    <m/>
    <m/>
    <m/>
    <m/>
    <m/>
    <m/>
    <n v="168"/>
    <m/>
    <m/>
    <m/>
    <m/>
    <m/>
    <m/>
    <m/>
    <m/>
    <m/>
    <m/>
    <m/>
    <m/>
    <m/>
    <m/>
    <m/>
    <m/>
    <m/>
    <m/>
    <m/>
    <m/>
    <m/>
    <m/>
    <m/>
    <m/>
    <m/>
    <n v="0"/>
    <n v="168"/>
    <n v="0"/>
    <n v="0"/>
    <n v="0"/>
    <n v="168"/>
    <n v="0"/>
    <n v="168"/>
    <n v="0"/>
    <n v="0"/>
    <n v="0"/>
    <n v="0"/>
    <n v="168"/>
    <n v="0"/>
    <m/>
    <m/>
    <m/>
    <m/>
    <m/>
    <m/>
    <m/>
    <m/>
    <m/>
    <m/>
    <m/>
    <m/>
    <m/>
    <m/>
    <m/>
    <m/>
    <m/>
    <m/>
    <m/>
    <m/>
    <m/>
    <m/>
    <m/>
    <m/>
    <m/>
    <m/>
    <m/>
    <m/>
    <m/>
    <m/>
    <m/>
    <m/>
    <m/>
    <m/>
  </r>
  <r>
    <n v="744"/>
    <d v="2025-03-01T00:00:00"/>
    <s v="ZBTO"/>
    <n v="9518567119"/>
    <n v="1"/>
    <s v="9518567119-1"/>
    <m/>
    <s v="Mar'25 additional"/>
    <s v="Released orders"/>
    <x v="4"/>
    <x v="7"/>
    <s v="1000-IPPE"/>
    <m/>
    <x v="0"/>
    <m/>
    <m/>
    <m/>
    <m/>
    <m/>
    <m/>
    <m/>
    <s v="TATA BLUESCOPE STEEL PRIVATE LIMITE"/>
    <n v="1636510"/>
    <s v="PPGL COIL HARD-Y550PL-HPL3-0.55X1220"/>
    <m/>
    <m/>
    <m/>
    <m/>
    <m/>
    <s v="B18"/>
    <s v="Y550PL"/>
    <s v="HPL3"/>
    <n v="0.55000000000000004"/>
    <n v="1220"/>
    <n v="0"/>
    <n v="196"/>
    <m/>
    <m/>
    <m/>
    <m/>
    <m/>
    <m/>
    <m/>
    <m/>
    <n v="196"/>
    <m/>
    <m/>
    <m/>
    <m/>
    <m/>
    <m/>
    <m/>
    <m/>
    <m/>
    <m/>
    <m/>
    <m/>
    <m/>
    <m/>
    <m/>
    <m/>
    <m/>
    <m/>
    <m/>
    <m/>
    <m/>
    <m/>
    <m/>
    <m/>
    <m/>
    <n v="0"/>
    <n v="196"/>
    <n v="0"/>
    <n v="0"/>
    <n v="0"/>
    <n v="0"/>
    <n v="196"/>
    <n v="0"/>
    <n v="0"/>
    <n v="0"/>
    <n v="0"/>
    <n v="0"/>
    <n v="0"/>
    <n v="196"/>
    <m/>
    <m/>
    <m/>
    <m/>
    <m/>
    <m/>
    <m/>
    <m/>
    <m/>
    <m/>
    <m/>
    <m/>
    <m/>
    <m/>
    <m/>
    <m/>
    <m/>
    <m/>
    <m/>
    <m/>
    <m/>
    <m/>
    <m/>
    <m/>
    <m/>
    <m/>
    <m/>
    <m/>
    <m/>
    <m/>
    <m/>
    <m/>
    <m/>
    <m/>
  </r>
  <r>
    <n v="742"/>
    <d v="2025-01-15T00:00:00"/>
    <s v="ZBTO"/>
    <n v="9518430653"/>
    <n v="1"/>
    <s v="9518430653-1"/>
    <m/>
    <s v="Mar'25 additional"/>
    <s v="Released orders"/>
    <x v="1"/>
    <x v="4"/>
    <s v="1000-IPPE"/>
    <m/>
    <x v="0"/>
    <m/>
    <m/>
    <m/>
    <m/>
    <m/>
    <m/>
    <m/>
    <s v="Galaxy Stamping Pvt. Ltd."/>
    <n v="2439203"/>
    <s v="CRCA COIL TSBSTA EL06 0.500X1160"/>
    <m/>
    <m/>
    <m/>
    <m/>
    <m/>
    <s v="C01"/>
    <s v="TSBSTA"/>
    <s v="EL06"/>
    <n v="0.5"/>
    <n v="1160"/>
    <n v="0"/>
    <n v="216"/>
    <m/>
    <m/>
    <m/>
    <m/>
    <m/>
    <m/>
    <m/>
    <m/>
    <n v="216"/>
    <m/>
    <m/>
    <m/>
    <m/>
    <m/>
    <m/>
    <m/>
    <m/>
    <m/>
    <m/>
    <m/>
    <m/>
    <m/>
    <m/>
    <m/>
    <m/>
    <m/>
    <m/>
    <m/>
    <m/>
    <m/>
    <m/>
    <m/>
    <m/>
    <m/>
    <n v="0"/>
    <n v="216"/>
    <n v="0"/>
    <n v="0"/>
    <n v="0"/>
    <n v="216"/>
    <n v="0"/>
    <n v="216"/>
    <n v="0"/>
    <n v="0"/>
    <n v="0"/>
    <n v="0"/>
    <n v="216"/>
    <n v="0"/>
    <m/>
    <m/>
    <m/>
    <m/>
    <m/>
    <m/>
    <m/>
    <m/>
    <m/>
    <m/>
    <m/>
    <m/>
    <m/>
    <m/>
    <m/>
    <m/>
    <m/>
    <m/>
    <m/>
    <m/>
    <m/>
    <m/>
    <m/>
    <m/>
    <m/>
    <m/>
    <m/>
    <m/>
    <m/>
    <m/>
    <m/>
    <m/>
    <m/>
    <m/>
  </r>
  <r>
    <n v="742"/>
    <d v="2024-12-15T00:00:00"/>
    <s v="ZBTO"/>
    <n v="9518345592"/>
    <n v="3"/>
    <s v="9518345592-3"/>
    <m/>
    <s v="Mar'25 additional"/>
    <s v="Released orders"/>
    <x v="5"/>
    <x v="5"/>
    <s v="1000-IPPE"/>
    <m/>
    <x v="0"/>
    <m/>
    <m/>
    <m/>
    <m/>
    <m/>
    <m/>
    <m/>
    <s v="Manaksia Coated Metals &amp; Industries"/>
    <n v="2154931"/>
    <s v="CRFH COIL TATFHC TR10 0.360X1220"/>
    <m/>
    <m/>
    <m/>
    <m/>
    <m/>
    <s v="C09"/>
    <s v="TATFHC"/>
    <s v="TR10"/>
    <n v="0.36"/>
    <n v="1220"/>
    <n v="0"/>
    <n v="252"/>
    <m/>
    <m/>
    <m/>
    <m/>
    <m/>
    <m/>
    <m/>
    <m/>
    <n v="199"/>
    <m/>
    <m/>
    <m/>
    <m/>
    <m/>
    <m/>
    <m/>
    <m/>
    <m/>
    <m/>
    <m/>
    <m/>
    <m/>
    <m/>
    <m/>
    <m/>
    <m/>
    <m/>
    <m/>
    <m/>
    <m/>
    <m/>
    <m/>
    <m/>
    <m/>
    <n v="0"/>
    <n v="0"/>
    <n v="0"/>
    <n v="0"/>
    <n v="0"/>
    <n v="0"/>
    <n v="0"/>
    <n v="0"/>
    <n v="0"/>
    <n v="0"/>
    <n v="0"/>
    <n v="0"/>
    <n v="0"/>
    <n v="0"/>
    <m/>
    <m/>
    <m/>
    <m/>
    <m/>
    <m/>
    <m/>
    <m/>
    <m/>
    <m/>
    <m/>
    <m/>
    <m/>
    <m/>
    <m/>
    <m/>
    <m/>
    <m/>
    <m/>
    <m/>
    <m/>
    <m/>
    <m/>
    <m/>
    <m/>
    <m/>
    <m/>
    <m/>
    <m/>
    <m/>
    <m/>
    <m/>
    <m/>
    <m/>
  </r>
  <r>
    <n v="742"/>
    <d v="2025-02-07T00:00:00"/>
    <s v="ZBTO"/>
    <n v="9518500349"/>
    <n v="1"/>
    <s v="9518500349-1"/>
    <m/>
    <s v="No Priority"/>
    <s v="Released orders"/>
    <x v="5"/>
    <x v="5"/>
    <s v="1000-IPPE"/>
    <m/>
    <x v="0"/>
    <m/>
    <m/>
    <m/>
    <m/>
    <m/>
    <m/>
    <m/>
    <s v="Manaksia Coated Metals &amp; Industries"/>
    <n v="3577912"/>
    <s v="CR COIL TATFHC TR10 0.360X1320"/>
    <m/>
    <m/>
    <m/>
    <m/>
    <m/>
    <s v="C09"/>
    <s v="TATFHC"/>
    <s v="TR10"/>
    <n v="0.36"/>
    <n v="1320"/>
    <n v="0"/>
    <n v="300"/>
    <m/>
    <m/>
    <m/>
    <m/>
    <m/>
    <m/>
    <m/>
    <m/>
    <n v="300"/>
    <m/>
    <m/>
    <m/>
    <m/>
    <m/>
    <m/>
    <m/>
    <m/>
    <m/>
    <m/>
    <m/>
    <m/>
    <m/>
    <m/>
    <m/>
    <m/>
    <m/>
    <m/>
    <m/>
    <m/>
    <m/>
    <m/>
    <m/>
    <m/>
    <m/>
    <n v="0"/>
    <n v="300"/>
    <n v="0"/>
    <n v="0"/>
    <n v="300"/>
    <n v="0"/>
    <n v="0"/>
    <n v="300"/>
    <n v="0"/>
    <n v="0"/>
    <n v="0"/>
    <n v="300"/>
    <n v="0"/>
    <n v="0"/>
    <m/>
    <m/>
    <m/>
    <m/>
    <m/>
    <m/>
    <m/>
    <m/>
    <m/>
    <m/>
    <m/>
    <m/>
    <m/>
    <m/>
    <m/>
    <m/>
    <m/>
    <m/>
    <m/>
    <m/>
    <m/>
    <m/>
    <m/>
    <m/>
    <m/>
    <m/>
    <m/>
    <m/>
    <m/>
    <m/>
    <m/>
    <m/>
    <m/>
    <m/>
  </r>
  <r>
    <n v="742"/>
    <d v="2025-02-07T00:00:00"/>
    <s v="ZBTO"/>
    <n v="9518500349"/>
    <n v="2"/>
    <s v="9518500349-2"/>
    <m/>
    <s v="No Priority"/>
    <s v="Released orders"/>
    <x v="5"/>
    <x v="5"/>
    <s v="1000-IPPE"/>
    <m/>
    <x v="0"/>
    <m/>
    <m/>
    <m/>
    <m/>
    <m/>
    <m/>
    <m/>
    <s v="Manaksia Coated Metals &amp; Industries"/>
    <n v="3577912"/>
    <s v="CR COIL TATFHC TR10 0.360X1320"/>
    <m/>
    <m/>
    <m/>
    <m/>
    <m/>
    <s v="C09"/>
    <s v="TATFHC"/>
    <s v="TR10"/>
    <n v="0.36"/>
    <n v="1320"/>
    <n v="0"/>
    <n v="210"/>
    <m/>
    <m/>
    <m/>
    <m/>
    <m/>
    <m/>
    <m/>
    <m/>
    <n v="210"/>
    <m/>
    <m/>
    <m/>
    <m/>
    <m/>
    <m/>
    <m/>
    <m/>
    <m/>
    <m/>
    <m/>
    <m/>
    <m/>
    <m/>
    <m/>
    <m/>
    <m/>
    <m/>
    <m/>
    <m/>
    <m/>
    <m/>
    <m/>
    <m/>
    <m/>
    <n v="0"/>
    <n v="210"/>
    <n v="0"/>
    <n v="0"/>
    <n v="210"/>
    <n v="0"/>
    <n v="0"/>
    <n v="210"/>
    <n v="0"/>
    <n v="0"/>
    <n v="0"/>
    <n v="210"/>
    <n v="0"/>
    <n v="0"/>
    <m/>
    <m/>
    <m/>
    <m/>
    <m/>
    <m/>
    <m/>
    <m/>
    <m/>
    <m/>
    <m/>
    <m/>
    <m/>
    <m/>
    <m/>
    <m/>
    <m/>
    <m/>
    <m/>
    <m/>
    <m/>
    <m/>
    <m/>
    <m/>
    <m/>
    <m/>
    <m/>
    <m/>
    <m/>
    <m/>
    <m/>
    <m/>
    <m/>
    <m/>
  </r>
  <r>
    <n v="743"/>
    <d v="2025-02-24T00:00:00"/>
    <s v="ZBTO"/>
    <n v="9518546801"/>
    <n v="6"/>
    <s v="9518546801-6"/>
    <m/>
    <s v="No Priority"/>
    <s v="Released orders"/>
    <x v="2"/>
    <x v="10"/>
    <s v="2000-BPRS"/>
    <m/>
    <x v="1"/>
    <m/>
    <m/>
    <m/>
    <m/>
    <m/>
    <m/>
    <m/>
    <s v="S C SHETTAR and SONS PRIVATE LIMITED"/>
    <n v="3708868"/>
    <s v="GP COIL TATGPH GP02 0.500X1350"/>
    <m/>
    <m/>
    <m/>
    <m/>
    <m/>
    <s v="C05"/>
    <s v="TATGPH"/>
    <s v="GP02"/>
    <n v="0.5"/>
    <n v="1350"/>
    <n v="0"/>
    <n v="93"/>
    <m/>
    <m/>
    <m/>
    <m/>
    <m/>
    <m/>
    <m/>
    <m/>
    <n v="93"/>
    <m/>
    <m/>
    <m/>
    <m/>
    <m/>
    <m/>
    <m/>
    <m/>
    <m/>
    <m/>
    <m/>
    <m/>
    <m/>
    <m/>
    <m/>
    <m/>
    <m/>
    <m/>
    <m/>
    <m/>
    <m/>
    <m/>
    <m/>
    <m/>
    <m/>
    <n v="0"/>
    <n v="0"/>
    <n v="0"/>
    <n v="0"/>
    <n v="0"/>
    <n v="0"/>
    <n v="0"/>
    <n v="0"/>
    <n v="0"/>
    <n v="0"/>
    <n v="0"/>
    <n v="0"/>
    <n v="0"/>
    <n v="0"/>
    <m/>
    <m/>
    <m/>
    <m/>
    <m/>
    <m/>
    <m/>
    <m/>
    <m/>
    <m/>
    <m/>
    <m/>
    <m/>
    <m/>
    <m/>
    <m/>
    <m/>
    <m/>
    <m/>
    <m/>
    <m/>
    <m/>
    <m/>
    <m/>
    <m/>
    <m/>
    <m/>
    <m/>
    <m/>
    <m/>
    <m/>
    <m/>
    <m/>
    <m/>
  </r>
  <r>
    <n v="743"/>
    <d v="2025-02-27T00:00:00"/>
    <s v="ZBTO"/>
    <n v="9518561462"/>
    <n v="1"/>
    <s v="9518561462-1"/>
    <m/>
    <s v="Mar'25 additional"/>
    <s v="Released orders"/>
    <x v="2"/>
    <x v="10"/>
    <s v="2000-BPRS"/>
    <m/>
    <x v="0"/>
    <m/>
    <m/>
    <m/>
    <m/>
    <m/>
    <m/>
    <m/>
    <s v="WRINKLE DISTRIBUTORS PVT LTD."/>
    <n v="3708868"/>
    <s v="GP COIL TATGPH GP02 0.500X1350"/>
    <m/>
    <m/>
    <m/>
    <m/>
    <m/>
    <s v="C05"/>
    <s v="TATGPH"/>
    <s v="GP02"/>
    <n v="0.5"/>
    <n v="1350"/>
    <n v="0"/>
    <n v="217"/>
    <m/>
    <m/>
    <m/>
    <m/>
    <m/>
    <m/>
    <m/>
    <m/>
    <n v="217"/>
    <m/>
    <m/>
    <m/>
    <m/>
    <m/>
    <m/>
    <m/>
    <m/>
    <m/>
    <m/>
    <m/>
    <m/>
    <m/>
    <m/>
    <m/>
    <m/>
    <m/>
    <m/>
    <m/>
    <m/>
    <m/>
    <m/>
    <m/>
    <m/>
    <m/>
    <n v="0"/>
    <n v="217"/>
    <n v="0"/>
    <n v="0"/>
    <n v="217"/>
    <n v="0"/>
    <n v="0"/>
    <n v="217"/>
    <n v="0"/>
    <n v="0"/>
    <n v="0"/>
    <n v="217"/>
    <n v="0"/>
    <n v="0"/>
    <m/>
    <m/>
    <m/>
    <m/>
    <m/>
    <m/>
    <m/>
    <m/>
    <m/>
    <m/>
    <m/>
    <m/>
    <m/>
    <m/>
    <m/>
    <m/>
    <m/>
    <m/>
    <m/>
    <m/>
    <m/>
    <m/>
    <m/>
    <m/>
    <m/>
    <m/>
    <m/>
    <m/>
    <m/>
    <m/>
    <m/>
    <m/>
    <m/>
    <m/>
  </r>
  <r>
    <n v="743"/>
    <d v="2025-02-06T00:00:00"/>
    <s v="ZBTO"/>
    <n v="9518499344"/>
    <n v="2"/>
    <s v="9518499344-2"/>
    <m/>
    <s v="Mar'25 additional"/>
    <s v="Released orders"/>
    <x v="2"/>
    <x v="10"/>
    <s v="2000-BPRS"/>
    <m/>
    <x v="0"/>
    <m/>
    <m/>
    <m/>
    <m/>
    <m/>
    <m/>
    <m/>
    <s v="BAJRANG STEEL (SALES) CORPORATION"/>
    <n v="3708868"/>
    <s v="GP COIL TATGPH GP02 0.500X1350"/>
    <m/>
    <m/>
    <m/>
    <m/>
    <m/>
    <s v="C05"/>
    <s v="TATGPH"/>
    <s v="GP02"/>
    <n v="0.5"/>
    <n v="1350"/>
    <n v="0"/>
    <n v="31"/>
    <m/>
    <m/>
    <m/>
    <m/>
    <m/>
    <m/>
    <m/>
    <m/>
    <n v="31"/>
    <m/>
    <m/>
    <m/>
    <m/>
    <m/>
    <m/>
    <m/>
    <m/>
    <m/>
    <m/>
    <m/>
    <m/>
    <m/>
    <m/>
    <m/>
    <m/>
    <m/>
    <m/>
    <m/>
    <m/>
    <m/>
    <m/>
    <m/>
    <m/>
    <m/>
    <n v="0"/>
    <n v="31"/>
    <n v="0"/>
    <n v="0"/>
    <n v="31"/>
    <n v="0"/>
    <n v="0"/>
    <n v="31"/>
    <n v="0"/>
    <n v="0"/>
    <n v="0"/>
    <n v="31"/>
    <n v="0"/>
    <n v="0"/>
    <m/>
    <m/>
    <m/>
    <m/>
    <m/>
    <m/>
    <m/>
    <m/>
    <m/>
    <m/>
    <m/>
    <m/>
    <m/>
    <m/>
    <m/>
    <m/>
    <m/>
    <m/>
    <m/>
    <m/>
    <m/>
    <m/>
    <m/>
    <m/>
    <m/>
    <m/>
    <m/>
    <m/>
    <m/>
    <m/>
    <m/>
    <m/>
    <m/>
    <m/>
  </r>
  <r>
    <n v="743"/>
    <d v="2025-03-04T00:00:00"/>
    <s v="ZBTO"/>
    <n v="9518573555"/>
    <n v="1"/>
    <s v="9518573555-1"/>
    <m/>
    <s v="Mar'25 additional"/>
    <s v="Released orders"/>
    <x v="3"/>
    <x v="7"/>
    <n v="1000"/>
    <m/>
    <x v="0"/>
    <m/>
    <m/>
    <m/>
    <m/>
    <m/>
    <m/>
    <m/>
    <s v="TATA BLUESCOPE STEEL PRIVATE L"/>
    <n v="3672140"/>
    <s v="GL C YS550 H6GL 0.85BMT(0.90TCT)X1250"/>
    <m/>
    <m/>
    <m/>
    <m/>
    <m/>
    <s v="B04"/>
    <s v="Y550GL"/>
    <s v="H6GL"/>
    <n v="0.85"/>
    <n v="1250"/>
    <n v="0"/>
    <n v="290"/>
    <m/>
    <m/>
    <m/>
    <m/>
    <m/>
    <m/>
    <m/>
    <m/>
    <n v="290"/>
    <m/>
    <m/>
    <m/>
    <m/>
    <m/>
    <m/>
    <m/>
    <m/>
    <m/>
    <m/>
    <m/>
    <m/>
    <m/>
    <m/>
    <m/>
    <m/>
    <m/>
    <m/>
    <m/>
    <m/>
    <m/>
    <m/>
    <m/>
    <m/>
    <m/>
    <n v="0"/>
    <n v="290"/>
    <n v="0"/>
    <n v="0"/>
    <n v="0"/>
    <n v="290"/>
    <n v="0"/>
    <n v="290"/>
    <n v="0"/>
    <n v="0"/>
    <n v="0"/>
    <n v="290"/>
    <n v="0"/>
    <n v="0"/>
    <m/>
    <m/>
    <m/>
    <m/>
    <m/>
    <m/>
    <m/>
    <m/>
    <m/>
    <m/>
    <m/>
    <m/>
    <m/>
    <m/>
    <m/>
    <m/>
    <m/>
    <m/>
    <m/>
    <m/>
    <m/>
    <m/>
    <m/>
    <m/>
    <m/>
    <m/>
    <m/>
    <m/>
    <m/>
    <m/>
    <m/>
    <m/>
    <m/>
    <m/>
  </r>
  <r>
    <n v="743"/>
    <d v="2025-03-04T00:00:00"/>
    <s v="ZBTO"/>
    <n v="9518573555"/>
    <n v="2"/>
    <s v="9518573555-2"/>
    <m/>
    <s v="Mar'25 additional"/>
    <s v="Released orders"/>
    <x v="3"/>
    <x v="7"/>
    <n v="1000"/>
    <m/>
    <x v="0"/>
    <m/>
    <m/>
    <m/>
    <m/>
    <m/>
    <m/>
    <m/>
    <s v="TATA BLUESCOPE STEEL PRIVATE L"/>
    <n v="3672140"/>
    <s v="GL C YS550 H6GL 0.85BMT(0.90TCT)X1250"/>
    <m/>
    <m/>
    <m/>
    <m/>
    <m/>
    <s v="B04"/>
    <s v="Y550GL"/>
    <s v="H6GL"/>
    <n v="0.85"/>
    <n v="1250"/>
    <n v="0"/>
    <n v="203"/>
    <m/>
    <m/>
    <m/>
    <m/>
    <m/>
    <m/>
    <m/>
    <m/>
    <n v="203"/>
    <m/>
    <m/>
    <m/>
    <m/>
    <m/>
    <m/>
    <m/>
    <m/>
    <m/>
    <m/>
    <m/>
    <m/>
    <m/>
    <m/>
    <m/>
    <m/>
    <m/>
    <m/>
    <m/>
    <m/>
    <m/>
    <m/>
    <m/>
    <m/>
    <m/>
    <n v="0"/>
    <n v="203"/>
    <n v="0"/>
    <n v="0"/>
    <n v="0"/>
    <n v="203"/>
    <n v="0"/>
    <n v="203"/>
    <n v="0"/>
    <n v="0"/>
    <n v="0"/>
    <n v="203"/>
    <n v="0"/>
    <n v="0"/>
    <m/>
    <m/>
    <m/>
    <m/>
    <m/>
    <m/>
    <m/>
    <m/>
    <m/>
    <m/>
    <m/>
    <m/>
    <m/>
    <m/>
    <m/>
    <m/>
    <m/>
    <m/>
    <m/>
    <m/>
    <m/>
    <m/>
    <m/>
    <m/>
    <m/>
    <m/>
    <m/>
    <m/>
    <m/>
    <m/>
    <m/>
    <m/>
    <m/>
    <m/>
  </r>
  <r>
    <n v="743"/>
    <d v="2025-03-05T00:00:00"/>
    <s v="ZBTO"/>
    <n v="9518576808"/>
    <n v="1"/>
    <s v="9518576808-1"/>
    <m/>
    <s v="Mar'25 additional"/>
    <s v="Released orders"/>
    <x v="3"/>
    <x v="7"/>
    <n v="1000"/>
    <m/>
    <x v="0"/>
    <m/>
    <m/>
    <m/>
    <m/>
    <m/>
    <m/>
    <m/>
    <s v="TATA BLUESCOPE STEEL PRIVATE L"/>
    <n v="1882042"/>
    <s v="GL COIL HARD -Y550GL-H6GL-0.85X1200"/>
    <m/>
    <m/>
    <m/>
    <m/>
    <m/>
    <s v="B04"/>
    <s v="Y550GL"/>
    <s v="H6GL"/>
    <n v="0.85"/>
    <n v="1200"/>
    <n v="0"/>
    <n v="297"/>
    <m/>
    <m/>
    <m/>
    <m/>
    <m/>
    <m/>
    <m/>
    <m/>
    <n v="297"/>
    <m/>
    <m/>
    <m/>
    <m/>
    <m/>
    <m/>
    <m/>
    <m/>
    <m/>
    <m/>
    <m/>
    <m/>
    <m/>
    <m/>
    <m/>
    <m/>
    <m/>
    <m/>
    <m/>
    <m/>
    <m/>
    <m/>
    <m/>
    <m/>
    <m/>
    <n v="0"/>
    <n v="297"/>
    <n v="0"/>
    <n v="0"/>
    <n v="0"/>
    <n v="297"/>
    <n v="0"/>
    <n v="0"/>
    <n v="0"/>
    <n v="0"/>
    <n v="0"/>
    <n v="0"/>
    <n v="0"/>
    <n v="297"/>
    <m/>
    <m/>
    <m/>
    <m/>
    <m/>
    <m/>
    <m/>
    <m/>
    <m/>
    <m/>
    <m/>
    <m/>
    <m/>
    <m/>
    <m/>
    <m/>
    <m/>
    <m/>
    <m/>
    <m/>
    <m/>
    <m/>
    <m/>
    <m/>
    <m/>
    <m/>
    <m/>
    <m/>
    <m/>
    <m/>
    <m/>
    <m/>
    <m/>
    <m/>
  </r>
  <r>
    <n v="742"/>
    <d v="2025-02-27T00:00:00"/>
    <s v="ZBTF"/>
    <n v="9518560055"/>
    <n v="1"/>
    <s v="9518560055-1"/>
    <m/>
    <s v="Mar'25 additional"/>
    <s v="Released orders"/>
    <x v="5"/>
    <x v="11"/>
    <n v="2000"/>
    <m/>
    <x v="0"/>
    <m/>
    <m/>
    <m/>
    <m/>
    <m/>
    <m/>
    <m/>
    <s v="TATA STEEL LIMITED,"/>
    <n v="2306895"/>
    <s v="CRFH COIL TATFHC TR10 0.320X1245"/>
    <m/>
    <m/>
    <m/>
    <m/>
    <m/>
    <s v="C09"/>
    <s v="TATFHC"/>
    <s v="TR10"/>
    <n v="0.32"/>
    <n v="1245"/>
    <n v="0"/>
    <n v="290"/>
    <m/>
    <m/>
    <m/>
    <m/>
    <m/>
    <m/>
    <m/>
    <m/>
    <n v="290"/>
    <m/>
    <m/>
    <m/>
    <m/>
    <m/>
    <m/>
    <m/>
    <m/>
    <m/>
    <m/>
    <m/>
    <m/>
    <m/>
    <m/>
    <m/>
    <m/>
    <m/>
    <m/>
    <m/>
    <m/>
    <m/>
    <m/>
    <m/>
    <m/>
    <m/>
    <n v="0"/>
    <n v="0"/>
    <n v="0"/>
    <n v="0"/>
    <n v="0"/>
    <n v="0"/>
    <n v="0"/>
    <n v="0"/>
    <n v="0"/>
    <n v="0"/>
    <n v="0"/>
    <n v="0"/>
    <n v="0"/>
    <n v="0"/>
    <m/>
    <m/>
    <m/>
    <m/>
    <m/>
    <m/>
    <m/>
    <m/>
    <m/>
    <m/>
    <m/>
    <m/>
    <m/>
    <m/>
    <m/>
    <m/>
    <m/>
    <m/>
    <m/>
    <m/>
    <m/>
    <m/>
    <m/>
    <m/>
    <m/>
    <m/>
    <m/>
    <m/>
    <m/>
    <m/>
    <m/>
    <m/>
    <m/>
    <m/>
  </r>
  <r>
    <n v="742"/>
    <d v="2025-01-22T00:00:00"/>
    <s v="ZBTO"/>
    <n v="9518451356"/>
    <n v="16"/>
    <s v="9518451356-16"/>
    <m/>
    <s v="Mar'25 additional"/>
    <s v="Released orders"/>
    <x v="1"/>
    <x v="15"/>
    <n v="2000"/>
    <m/>
    <x v="0"/>
    <m/>
    <m/>
    <m/>
    <m/>
    <m/>
    <m/>
    <m/>
    <s v="DURGA TRADERS"/>
    <n v="2420609"/>
    <s v="CRCA COIL TATXXD AH03 1.900X1250"/>
    <m/>
    <m/>
    <m/>
    <m/>
    <m/>
    <s v="C01"/>
    <m/>
    <s v="AH03"/>
    <n v="1.9"/>
    <n v="1250"/>
    <n v="0"/>
    <n v="116"/>
    <m/>
    <m/>
    <m/>
    <m/>
    <m/>
    <m/>
    <m/>
    <m/>
    <n v="109.87"/>
    <m/>
    <m/>
    <m/>
    <m/>
    <m/>
    <m/>
    <m/>
    <m/>
    <m/>
    <m/>
    <m/>
    <m/>
    <m/>
    <m/>
    <m/>
    <m/>
    <m/>
    <m/>
    <m/>
    <m/>
    <m/>
    <m/>
    <m/>
    <m/>
    <m/>
    <m/>
    <n v="0"/>
    <n v="0"/>
    <n v="0"/>
    <n v="0"/>
    <n v="0"/>
    <n v="0"/>
    <n v="0"/>
    <n v="0"/>
    <n v="0"/>
    <n v="0"/>
    <n v="0"/>
    <n v="0"/>
    <n v="0"/>
    <m/>
    <m/>
    <m/>
    <m/>
    <m/>
    <m/>
    <m/>
    <m/>
    <m/>
    <m/>
    <m/>
    <m/>
    <m/>
    <m/>
    <m/>
    <m/>
    <m/>
    <m/>
    <m/>
    <m/>
    <m/>
    <m/>
    <m/>
    <m/>
    <m/>
    <m/>
    <m/>
    <m/>
    <m/>
    <m/>
    <m/>
    <m/>
    <m/>
    <m/>
  </r>
  <r>
    <n v="742"/>
    <d v="2025-01-24T00:00:00"/>
    <s v="ZBTO"/>
    <n v="9518456360"/>
    <n v="1"/>
    <s v="9518456360-1"/>
    <m/>
    <s v="Mar'25 additional"/>
    <s v="Released orders"/>
    <x v="1"/>
    <x v="3"/>
    <n v="2000"/>
    <m/>
    <x v="0"/>
    <m/>
    <m/>
    <m/>
    <m/>
    <m/>
    <m/>
    <m/>
    <s v="VIJAY VENKAT STEELS PRIVATE LI"/>
    <n v="1804854"/>
    <s v="CRCA COIL-TATXXD-AU03-1.2X1250"/>
    <m/>
    <m/>
    <m/>
    <m/>
    <m/>
    <s v="C01"/>
    <m/>
    <s v="AU03"/>
    <n v="1.2"/>
    <n v="1250"/>
    <n v="0"/>
    <n v="22.155000000000001"/>
    <m/>
    <m/>
    <m/>
    <m/>
    <m/>
    <m/>
    <m/>
    <m/>
    <n v="22.155000000000001"/>
    <m/>
    <m/>
    <m/>
    <m/>
    <m/>
    <m/>
    <m/>
    <m/>
    <m/>
    <m/>
    <m/>
    <m/>
    <m/>
    <m/>
    <m/>
    <m/>
    <m/>
    <m/>
    <m/>
    <m/>
    <m/>
    <m/>
    <m/>
    <m/>
    <m/>
    <m/>
    <n v="0"/>
    <n v="0"/>
    <n v="0"/>
    <n v="0"/>
    <n v="0"/>
    <n v="0"/>
    <n v="0"/>
    <n v="0"/>
    <n v="0"/>
    <n v="0"/>
    <n v="0"/>
    <n v="0"/>
    <n v="0"/>
    <m/>
    <m/>
    <m/>
    <m/>
    <m/>
    <m/>
    <m/>
    <m/>
    <m/>
    <m/>
    <m/>
    <m/>
    <m/>
    <m/>
    <m/>
    <m/>
    <m/>
    <m/>
    <m/>
    <m/>
    <m/>
    <m/>
    <m/>
    <m/>
    <m/>
    <m/>
    <m/>
    <m/>
    <m/>
    <m/>
    <m/>
    <m/>
    <m/>
    <m/>
  </r>
  <r>
    <n v="742"/>
    <d v="2025-01-24T00:00:00"/>
    <s v="ZBTO"/>
    <n v="9518456821"/>
    <n v="2"/>
    <s v="9518456821-2"/>
    <m/>
    <s v="Mar'25 additional"/>
    <s v="Released orders"/>
    <x v="1"/>
    <x v="15"/>
    <n v="2000"/>
    <m/>
    <x v="0"/>
    <m/>
    <m/>
    <m/>
    <m/>
    <m/>
    <m/>
    <m/>
    <s v="GOVINDARAJA MUDALIAR SONS PVT"/>
    <n v="2420510"/>
    <s v="CRCA COIL TATXXD AH03 0.600X1250"/>
    <m/>
    <m/>
    <m/>
    <m/>
    <m/>
    <s v="C01"/>
    <m/>
    <s v="AH03"/>
    <n v="0.6"/>
    <n v="1250"/>
    <n v="0"/>
    <n v="23.015000000000001"/>
    <m/>
    <m/>
    <m/>
    <m/>
    <m/>
    <m/>
    <m/>
    <m/>
    <n v="23.015000000000001"/>
    <m/>
    <m/>
    <m/>
    <m/>
    <m/>
    <m/>
    <m/>
    <m/>
    <m/>
    <m/>
    <m/>
    <m/>
    <m/>
    <m/>
    <m/>
    <m/>
    <m/>
    <m/>
    <m/>
    <m/>
    <m/>
    <m/>
    <m/>
    <m/>
    <m/>
    <m/>
    <n v="0"/>
    <n v="0"/>
    <n v="0"/>
    <n v="0"/>
    <n v="0"/>
    <n v="0"/>
    <n v="0"/>
    <n v="0"/>
    <n v="0"/>
    <n v="0"/>
    <n v="0"/>
    <n v="0"/>
    <n v="0"/>
    <m/>
    <m/>
    <m/>
    <m/>
    <m/>
    <m/>
    <m/>
    <m/>
    <m/>
    <m/>
    <m/>
    <m/>
    <m/>
    <m/>
    <m/>
    <m/>
    <m/>
    <m/>
    <m/>
    <m/>
    <m/>
    <m/>
    <m/>
    <m/>
    <m/>
    <m/>
    <m/>
    <m/>
    <m/>
    <m/>
    <m/>
    <m/>
    <m/>
    <m/>
  </r>
  <r>
    <n v="742"/>
    <d v="2025-01-24T00:00:00"/>
    <s v="ZBTO"/>
    <n v="9518458431"/>
    <n v="1"/>
    <s v="9518458431-1"/>
    <m/>
    <s v="Mar'25 additional"/>
    <s v="Released orders"/>
    <x v="1"/>
    <x v="15"/>
    <n v="2000"/>
    <m/>
    <x v="0"/>
    <m/>
    <m/>
    <m/>
    <m/>
    <m/>
    <m/>
    <m/>
    <s v="GIRIRAJ EXIM PRIVATE LIMITED"/>
    <n v="2420510"/>
    <s v="CRCA COIL TATXXD AH03 0.600X1250"/>
    <m/>
    <m/>
    <m/>
    <m/>
    <m/>
    <s v="C01"/>
    <m/>
    <s v="AH03"/>
    <n v="0.6"/>
    <n v="1250"/>
    <n v="0"/>
    <n v="150"/>
    <m/>
    <m/>
    <m/>
    <m/>
    <m/>
    <m/>
    <m/>
    <m/>
    <n v="150"/>
    <m/>
    <m/>
    <m/>
    <m/>
    <m/>
    <m/>
    <m/>
    <m/>
    <m/>
    <m/>
    <m/>
    <m/>
    <m/>
    <m/>
    <m/>
    <m/>
    <m/>
    <m/>
    <m/>
    <m/>
    <m/>
    <m/>
    <m/>
    <m/>
    <m/>
    <m/>
    <n v="0"/>
    <n v="0"/>
    <n v="0"/>
    <n v="0"/>
    <n v="0"/>
    <n v="0"/>
    <n v="0"/>
    <n v="0"/>
    <n v="0"/>
    <n v="0"/>
    <n v="0"/>
    <n v="0"/>
    <n v="0"/>
    <m/>
    <m/>
    <m/>
    <m/>
    <m/>
    <m/>
    <m/>
    <m/>
    <m/>
    <m/>
    <m/>
    <m/>
    <m/>
    <m/>
    <m/>
    <m/>
    <m/>
    <m/>
    <m/>
    <m/>
    <m/>
    <m/>
    <m/>
    <m/>
    <m/>
    <m/>
    <m/>
    <m/>
    <m/>
    <m/>
    <m/>
    <m/>
    <m/>
    <m/>
  </r>
  <r>
    <n v="742"/>
    <d v="2025-01-29T00:00:00"/>
    <s v="ZBTO"/>
    <n v="9518474303"/>
    <n v="1"/>
    <s v="9518474303-1"/>
    <m/>
    <s v="Mar'25 additional"/>
    <s v="Released orders"/>
    <x v="1"/>
    <x v="3"/>
    <n v="2000"/>
    <m/>
    <x v="0"/>
    <m/>
    <m/>
    <m/>
    <m/>
    <m/>
    <m/>
    <m/>
    <s v="TATA STEEL DOWNSTREAM PRODUCTS"/>
    <n v="1804854"/>
    <s v="CRCA COIL-TATXXD-AU03-1.2X1250"/>
    <m/>
    <m/>
    <m/>
    <m/>
    <m/>
    <s v="C01"/>
    <m/>
    <s v="AU03"/>
    <n v="1.2"/>
    <n v="1250"/>
    <n v="0"/>
    <n v="22.155000000000001"/>
    <m/>
    <m/>
    <m/>
    <m/>
    <m/>
    <m/>
    <m/>
    <m/>
    <n v="22.155000000000001"/>
    <m/>
    <m/>
    <m/>
    <m/>
    <m/>
    <m/>
    <m/>
    <m/>
    <m/>
    <m/>
    <m/>
    <m/>
    <m/>
    <m/>
    <m/>
    <m/>
    <m/>
    <m/>
    <m/>
    <m/>
    <m/>
    <m/>
    <m/>
    <m/>
    <m/>
    <m/>
    <n v="0"/>
    <n v="0"/>
    <n v="0"/>
    <n v="0"/>
    <n v="0"/>
    <n v="0"/>
    <n v="0"/>
    <n v="0"/>
    <n v="0"/>
    <n v="0"/>
    <n v="0"/>
    <n v="0"/>
    <n v="0"/>
    <m/>
    <m/>
    <m/>
    <m/>
    <m/>
    <m/>
    <m/>
    <m/>
    <m/>
    <m/>
    <m/>
    <m/>
    <m/>
    <m/>
    <m/>
    <m/>
    <m/>
    <m/>
    <m/>
    <m/>
    <m/>
    <m/>
    <m/>
    <m/>
    <m/>
    <m/>
    <m/>
    <m/>
    <m/>
    <m/>
    <m/>
    <m/>
    <m/>
    <m/>
  </r>
  <r>
    <n v="742"/>
    <d v="2025-02-04T00:00:00"/>
    <s v="ZBTO"/>
    <n v="9518493408"/>
    <n v="1"/>
    <s v="9518493408-1"/>
    <m/>
    <s v="Mar'25 additional"/>
    <s v="Released orders"/>
    <x v="1"/>
    <x v="3"/>
    <n v="2000"/>
    <m/>
    <x v="0"/>
    <m/>
    <m/>
    <m/>
    <m/>
    <m/>
    <m/>
    <m/>
    <s v="RAVINDRA IRON WORKS"/>
    <n v="1804854"/>
    <s v="CRCA COIL-TATXXD-AU03-1.2X1250"/>
    <m/>
    <m/>
    <m/>
    <m/>
    <m/>
    <s v="C01"/>
    <m/>
    <s v="AU03"/>
    <n v="1.2"/>
    <n v="1250"/>
    <n v="0"/>
    <n v="22.155000000000001"/>
    <m/>
    <m/>
    <m/>
    <m/>
    <m/>
    <m/>
    <m/>
    <m/>
    <n v="22.155000000000001"/>
    <m/>
    <m/>
    <m/>
    <m/>
    <m/>
    <m/>
    <m/>
    <m/>
    <m/>
    <m/>
    <m/>
    <m/>
    <m/>
    <m/>
    <m/>
    <m/>
    <m/>
    <m/>
    <m/>
    <m/>
    <m/>
    <m/>
    <m/>
    <m/>
    <m/>
    <m/>
    <n v="0"/>
    <n v="0"/>
    <n v="0"/>
    <n v="0"/>
    <n v="0"/>
    <n v="0"/>
    <n v="0"/>
    <n v="0"/>
    <n v="0"/>
    <n v="0"/>
    <n v="0"/>
    <n v="0"/>
    <n v="0"/>
    <m/>
    <m/>
    <m/>
    <m/>
    <m/>
    <m/>
    <m/>
    <m/>
    <m/>
    <m/>
    <m/>
    <m/>
    <m/>
    <m/>
    <m/>
    <m/>
    <m/>
    <m/>
    <m/>
    <m/>
    <m/>
    <m/>
    <m/>
    <m/>
    <m/>
    <m/>
    <m/>
    <m/>
    <m/>
    <m/>
    <m/>
    <m/>
    <m/>
    <m/>
  </r>
  <r>
    <n v="742"/>
    <d v="2025-02-05T00:00:00"/>
    <s v="ZBTO"/>
    <n v="9518494668"/>
    <n v="3"/>
    <s v="9518494668-3"/>
    <m/>
    <s v="Mar'25 additional"/>
    <s v="Released orders"/>
    <x v="1"/>
    <x v="3"/>
    <n v="2000"/>
    <m/>
    <x v="0"/>
    <m/>
    <m/>
    <m/>
    <m/>
    <m/>
    <m/>
    <m/>
    <s v="SKM STEELS LIMITED(CRCADIVISIO"/>
    <n v="1804854"/>
    <s v="CRCA COIL-TATXXD-AU03-1.2X1250"/>
    <m/>
    <m/>
    <m/>
    <m/>
    <m/>
    <s v="C01"/>
    <m/>
    <s v="AU03"/>
    <n v="1.2"/>
    <n v="1250"/>
    <n v="0"/>
    <n v="87"/>
    <m/>
    <m/>
    <m/>
    <m/>
    <m/>
    <m/>
    <m/>
    <m/>
    <n v="87"/>
    <m/>
    <m/>
    <m/>
    <m/>
    <m/>
    <m/>
    <m/>
    <m/>
    <m/>
    <m/>
    <m/>
    <m/>
    <m/>
    <m/>
    <m/>
    <m/>
    <m/>
    <m/>
    <m/>
    <m/>
    <m/>
    <m/>
    <m/>
    <m/>
    <m/>
    <m/>
    <n v="0"/>
    <n v="0"/>
    <n v="0"/>
    <n v="0"/>
    <n v="0"/>
    <n v="0"/>
    <n v="0"/>
    <n v="0"/>
    <n v="0"/>
    <n v="0"/>
    <n v="0"/>
    <n v="0"/>
    <n v="0"/>
    <m/>
    <m/>
    <m/>
    <m/>
    <m/>
    <m/>
    <m/>
    <m/>
    <m/>
    <m/>
    <m/>
    <m/>
    <m/>
    <m/>
    <m/>
    <m/>
    <m/>
    <m/>
    <m/>
    <m/>
    <m/>
    <m/>
    <m/>
    <m/>
    <m/>
    <m/>
    <m/>
    <m/>
    <m/>
    <m/>
    <m/>
    <m/>
    <m/>
    <m/>
  </r>
  <r>
    <n v="742"/>
    <d v="2025-02-07T00:00:00"/>
    <s v="ZBTO"/>
    <n v="9518500199"/>
    <n v="3"/>
    <s v="9518500199-3"/>
    <m/>
    <s v="Mar'25 additional"/>
    <s v="Released orders"/>
    <x v="1"/>
    <x v="15"/>
    <n v="2000"/>
    <m/>
    <x v="0"/>
    <m/>
    <m/>
    <m/>
    <m/>
    <m/>
    <m/>
    <m/>
    <s v="DURGA TRADERS"/>
    <n v="2420522"/>
    <s v="CRCA COIL TATXXD AH03 1.500X1250"/>
    <m/>
    <m/>
    <m/>
    <m/>
    <m/>
    <s v="C01"/>
    <m/>
    <s v="AH03"/>
    <n v="1.5"/>
    <n v="1250"/>
    <n v="0"/>
    <n v="144.97999999999999"/>
    <m/>
    <m/>
    <m/>
    <m/>
    <m/>
    <m/>
    <m/>
    <m/>
    <n v="66.805000000000007"/>
    <m/>
    <m/>
    <m/>
    <m/>
    <m/>
    <m/>
    <m/>
    <m/>
    <m/>
    <m/>
    <m/>
    <m/>
    <m/>
    <m/>
    <m/>
    <m/>
    <m/>
    <m/>
    <m/>
    <m/>
    <m/>
    <m/>
    <m/>
    <m/>
    <m/>
    <m/>
    <n v="0"/>
    <n v="0"/>
    <n v="0"/>
    <n v="0"/>
    <n v="0"/>
    <n v="0"/>
    <n v="0"/>
    <n v="0"/>
    <n v="0"/>
    <n v="0"/>
    <n v="0"/>
    <n v="0"/>
    <n v="0"/>
    <m/>
    <m/>
    <m/>
    <m/>
    <m/>
    <m/>
    <m/>
    <m/>
    <m/>
    <m/>
    <m/>
    <m/>
    <m/>
    <m/>
    <m/>
    <m/>
    <m/>
    <m/>
    <m/>
    <m/>
    <m/>
    <m/>
    <m/>
    <m/>
    <m/>
    <m/>
    <m/>
    <m/>
    <m/>
    <m/>
    <m/>
    <m/>
    <m/>
    <m/>
  </r>
  <r>
    <n v="742"/>
    <d v="2025-02-07T00:00:00"/>
    <s v="ZBTO"/>
    <n v="9518500387"/>
    <n v="1"/>
    <s v="9518500387-1"/>
    <m/>
    <s v="Mar'25 additional"/>
    <s v="Released orders"/>
    <x v="1"/>
    <x v="15"/>
    <n v="2000"/>
    <m/>
    <x v="0"/>
    <m/>
    <m/>
    <m/>
    <m/>
    <m/>
    <m/>
    <m/>
    <s v="SWASTIK STEEL PROCESSOR LLP"/>
    <n v="2420510"/>
    <s v="CRCA COIL TATXXD AH03 0.600X1250"/>
    <m/>
    <m/>
    <m/>
    <m/>
    <m/>
    <s v="C01"/>
    <m/>
    <s v="AH03"/>
    <n v="0.6"/>
    <n v="1250"/>
    <n v="0"/>
    <n v="52.34"/>
    <m/>
    <m/>
    <m/>
    <m/>
    <m/>
    <m/>
    <m/>
    <m/>
    <n v="52.34"/>
    <m/>
    <m/>
    <m/>
    <m/>
    <m/>
    <m/>
    <m/>
    <m/>
    <m/>
    <m/>
    <m/>
    <m/>
    <m/>
    <m/>
    <m/>
    <m/>
    <m/>
    <m/>
    <m/>
    <m/>
    <m/>
    <m/>
    <m/>
    <m/>
    <m/>
    <m/>
    <n v="0"/>
    <n v="0"/>
    <n v="0"/>
    <n v="0"/>
    <n v="0"/>
    <n v="0"/>
    <n v="0"/>
    <n v="0"/>
    <n v="0"/>
    <n v="0"/>
    <n v="0"/>
    <n v="0"/>
    <n v="0"/>
    <m/>
    <m/>
    <m/>
    <m/>
    <m/>
    <m/>
    <m/>
    <m/>
    <m/>
    <m/>
    <m/>
    <m/>
    <m/>
    <m/>
    <m/>
    <m/>
    <m/>
    <m/>
    <m/>
    <m/>
    <m/>
    <m/>
    <m/>
    <m/>
    <m/>
    <m/>
    <m/>
    <m/>
    <m/>
    <m/>
    <m/>
    <m/>
    <m/>
    <m/>
  </r>
  <r>
    <n v="742"/>
    <d v="2025-02-11T00:00:00"/>
    <s v="ZBTO"/>
    <n v="9518510093"/>
    <n v="10"/>
    <s v="9518510093-10"/>
    <m/>
    <s v="Mar'25 additional"/>
    <s v="Released orders"/>
    <x v="1"/>
    <x v="3"/>
    <n v="2000"/>
    <m/>
    <x v="0"/>
    <m/>
    <m/>
    <m/>
    <m/>
    <m/>
    <m/>
    <m/>
    <s v="G.R. GUPTA &amp; BROS."/>
    <n v="1804854"/>
    <s v="CRCA COIL-TATXXD-AU03-1.2X1250"/>
    <m/>
    <m/>
    <m/>
    <m/>
    <m/>
    <s v="C01"/>
    <m/>
    <s v="AU03"/>
    <n v="1.2"/>
    <n v="1250"/>
    <n v="0"/>
    <n v="29"/>
    <m/>
    <m/>
    <m/>
    <m/>
    <m/>
    <m/>
    <m/>
    <m/>
    <n v="29"/>
    <m/>
    <m/>
    <m/>
    <m/>
    <m/>
    <m/>
    <m/>
    <m/>
    <m/>
    <m/>
    <m/>
    <m/>
    <m/>
    <m/>
    <m/>
    <m/>
    <m/>
    <m/>
    <m/>
    <m/>
    <m/>
    <m/>
    <m/>
    <m/>
    <m/>
    <m/>
    <n v="0"/>
    <n v="0"/>
    <n v="0"/>
    <n v="0"/>
    <n v="0"/>
    <n v="0"/>
    <n v="0"/>
    <n v="0"/>
    <n v="0"/>
    <n v="0"/>
    <n v="0"/>
    <n v="0"/>
    <n v="0"/>
    <m/>
    <m/>
    <m/>
    <m/>
    <m/>
    <m/>
    <m/>
    <m/>
    <m/>
    <m/>
    <m/>
    <m/>
    <m/>
    <m/>
    <m/>
    <m/>
    <m/>
    <m/>
    <m/>
    <m/>
    <m/>
    <m/>
    <m/>
    <m/>
    <m/>
    <m/>
    <m/>
    <m/>
    <m/>
    <m/>
    <m/>
    <m/>
    <m/>
    <m/>
  </r>
  <r>
    <n v="742"/>
    <d v="2025-02-19T00:00:00"/>
    <s v="ZBTO"/>
    <n v="9518533596"/>
    <n v="1"/>
    <s v="9518533596-1"/>
    <m/>
    <s v="Mar'25 additional"/>
    <s v="Released orders"/>
    <x v="1"/>
    <x v="15"/>
    <n v="2000"/>
    <m/>
    <x v="0"/>
    <m/>
    <m/>
    <m/>
    <m/>
    <m/>
    <m/>
    <m/>
    <s v="TATA STEEL DOWNSTREAM PRODUCTS"/>
    <n v="2420521"/>
    <s v="CRCA COIL TATXXD AH03 1.200X1250"/>
    <m/>
    <m/>
    <m/>
    <m/>
    <m/>
    <s v="C01"/>
    <m/>
    <s v="AH03"/>
    <n v="1.2"/>
    <n v="1250"/>
    <n v="0"/>
    <n v="116"/>
    <m/>
    <m/>
    <m/>
    <m/>
    <m/>
    <m/>
    <m/>
    <m/>
    <n v="116"/>
    <m/>
    <m/>
    <m/>
    <m/>
    <m/>
    <m/>
    <m/>
    <m/>
    <m/>
    <m/>
    <m/>
    <m/>
    <m/>
    <m/>
    <m/>
    <m/>
    <m/>
    <m/>
    <m/>
    <m/>
    <m/>
    <m/>
    <m/>
    <m/>
    <m/>
    <m/>
    <n v="0"/>
    <n v="0"/>
    <n v="0"/>
    <n v="0"/>
    <n v="0"/>
    <n v="0"/>
    <n v="0"/>
    <n v="0"/>
    <n v="0"/>
    <n v="0"/>
    <n v="0"/>
    <n v="0"/>
    <n v="0"/>
    <m/>
    <m/>
    <m/>
    <m/>
    <m/>
    <m/>
    <m/>
    <m/>
    <m/>
    <m/>
    <m/>
    <m/>
    <m/>
    <m/>
    <m/>
    <m/>
    <m/>
    <m/>
    <m/>
    <m/>
    <m/>
    <m/>
    <m/>
    <m/>
    <m/>
    <m/>
    <m/>
    <m/>
    <m/>
    <m/>
    <m/>
    <m/>
    <m/>
    <m/>
  </r>
  <r>
    <n v="742"/>
    <d v="2025-02-19T00:00:00"/>
    <s v="ZBTO"/>
    <n v="9518533596"/>
    <n v="2"/>
    <s v="9518533596-2"/>
    <m/>
    <s v="Mar'25 additional"/>
    <s v="Released orders"/>
    <x v="1"/>
    <x v="15"/>
    <n v="2000"/>
    <m/>
    <x v="0"/>
    <m/>
    <m/>
    <m/>
    <m/>
    <m/>
    <m/>
    <m/>
    <s v="TATA STEEL DOWNSTREAM PRODUCTS"/>
    <n v="2420522"/>
    <s v="CRCA COIL TATXXD AH03 1.500X1250"/>
    <m/>
    <m/>
    <m/>
    <m/>
    <m/>
    <s v="C01"/>
    <m/>
    <s v="AH03"/>
    <n v="1.5"/>
    <n v="1250"/>
    <n v="0"/>
    <n v="203"/>
    <m/>
    <m/>
    <m/>
    <m/>
    <m/>
    <m/>
    <m/>
    <m/>
    <n v="203"/>
    <m/>
    <m/>
    <m/>
    <m/>
    <m/>
    <m/>
    <m/>
    <m/>
    <m/>
    <m/>
    <m/>
    <m/>
    <m/>
    <m/>
    <m/>
    <m/>
    <m/>
    <m/>
    <m/>
    <m/>
    <m/>
    <m/>
    <m/>
    <m/>
    <m/>
    <m/>
    <n v="0"/>
    <n v="0"/>
    <n v="0"/>
    <n v="0"/>
    <n v="0"/>
    <n v="0"/>
    <n v="0"/>
    <n v="0"/>
    <n v="0"/>
    <n v="0"/>
    <n v="0"/>
    <n v="0"/>
    <n v="0"/>
    <m/>
    <m/>
    <m/>
    <m/>
    <m/>
    <m/>
    <m/>
    <m/>
    <m/>
    <m/>
    <m/>
    <m/>
    <m/>
    <m/>
    <m/>
    <m/>
    <m/>
    <m/>
    <m/>
    <m/>
    <m/>
    <m/>
    <m/>
    <m/>
    <m/>
    <m/>
    <m/>
    <m/>
    <m/>
    <m/>
    <m/>
    <m/>
    <m/>
    <m/>
  </r>
  <r>
    <n v="742"/>
    <d v="2025-02-19T00:00:00"/>
    <s v="ZBTO"/>
    <n v="9518533596"/>
    <n v="4"/>
    <s v="9518533596-4"/>
    <m/>
    <s v="Mar'25 additional"/>
    <s v="Released orders"/>
    <x v="1"/>
    <x v="15"/>
    <n v="2000"/>
    <m/>
    <x v="0"/>
    <m/>
    <m/>
    <m/>
    <m/>
    <m/>
    <m/>
    <m/>
    <s v="TATA STEEL DOWNSTREAM PRODUCTS"/>
    <n v="2420525"/>
    <s v="CRCA COIL TATXXD AH03 2X1250"/>
    <m/>
    <m/>
    <m/>
    <m/>
    <m/>
    <s v="C01"/>
    <m/>
    <s v="AH03"/>
    <n v="2"/>
    <n v="1250"/>
    <n v="0"/>
    <n v="145"/>
    <m/>
    <m/>
    <m/>
    <m/>
    <m/>
    <m/>
    <m/>
    <m/>
    <n v="145"/>
    <m/>
    <m/>
    <m/>
    <m/>
    <m/>
    <m/>
    <m/>
    <m/>
    <m/>
    <m/>
    <m/>
    <m/>
    <m/>
    <m/>
    <m/>
    <m/>
    <m/>
    <m/>
    <m/>
    <m/>
    <m/>
    <m/>
    <m/>
    <m/>
    <m/>
    <m/>
    <n v="0"/>
    <n v="0"/>
    <n v="0"/>
    <n v="0"/>
    <n v="0"/>
    <n v="0"/>
    <n v="0"/>
    <n v="0"/>
    <n v="0"/>
    <n v="0"/>
    <n v="0"/>
    <n v="0"/>
    <n v="0"/>
    <m/>
    <m/>
    <m/>
    <m/>
    <m/>
    <m/>
    <m/>
    <m/>
    <m/>
    <m/>
    <m/>
    <m/>
    <m/>
    <m/>
    <m/>
    <m/>
    <m/>
    <m/>
    <m/>
    <m/>
    <m/>
    <m/>
    <m/>
    <m/>
    <m/>
    <m/>
    <m/>
    <m/>
    <m/>
    <m/>
    <m/>
    <m/>
    <m/>
    <m/>
  </r>
  <r>
    <n v="742"/>
    <d v="2025-02-25T00:00:00"/>
    <s v="ZBTO"/>
    <n v="9518550511"/>
    <n v="4"/>
    <s v="9518550511-4"/>
    <m/>
    <s v="Mar'25 additional"/>
    <s v="Released orders"/>
    <x v="1"/>
    <x v="15"/>
    <n v="2000"/>
    <m/>
    <x v="0"/>
    <m/>
    <m/>
    <m/>
    <m/>
    <m/>
    <m/>
    <m/>
    <s v="TATA STEEL DOWNSTREAM PRODUCTS"/>
    <n v="2420521"/>
    <s v="CRCA COIL TATXXD AH03 1.200X1250"/>
    <m/>
    <m/>
    <m/>
    <m/>
    <m/>
    <s v="C01"/>
    <m/>
    <s v="AH03"/>
    <n v="1.2"/>
    <n v="1250"/>
    <n v="0"/>
    <n v="116"/>
    <m/>
    <m/>
    <m/>
    <m/>
    <m/>
    <m/>
    <m/>
    <m/>
    <n v="116"/>
    <m/>
    <m/>
    <m/>
    <m/>
    <m/>
    <m/>
    <m/>
    <m/>
    <m/>
    <m/>
    <m/>
    <m/>
    <m/>
    <m/>
    <m/>
    <m/>
    <m/>
    <m/>
    <m/>
    <m/>
    <m/>
    <m/>
    <m/>
    <m/>
    <m/>
    <m/>
    <n v="0"/>
    <n v="0"/>
    <n v="0"/>
    <n v="0"/>
    <n v="0"/>
    <n v="0"/>
    <n v="0"/>
    <n v="0"/>
    <n v="0"/>
    <n v="0"/>
    <n v="0"/>
    <n v="0"/>
    <n v="0"/>
    <m/>
    <m/>
    <m/>
    <m/>
    <m/>
    <m/>
    <m/>
    <m/>
    <m/>
    <m/>
    <m/>
    <m/>
    <m/>
    <m/>
    <m/>
    <m/>
    <m/>
    <m/>
    <m/>
    <m/>
    <m/>
    <m/>
    <m/>
    <m/>
    <m/>
    <m/>
    <m/>
    <m/>
    <m/>
    <m/>
    <m/>
    <m/>
    <m/>
    <m/>
  </r>
  <r>
    <n v="742"/>
    <d v="2025-03-04T00:00:00"/>
    <s v="ZBTO"/>
    <n v="9518573630"/>
    <n v="3"/>
    <s v="9518573630-3"/>
    <m/>
    <s v="Mar'25 additional"/>
    <s v="Released orders"/>
    <x v="1"/>
    <x v="3"/>
    <n v="2000"/>
    <m/>
    <x v="0"/>
    <m/>
    <m/>
    <m/>
    <m/>
    <m/>
    <m/>
    <m/>
    <s v="AGARWAL STEEL TRADERS"/>
    <n v="1804854"/>
    <s v="CRCA COIL-TATXXD-AU03-1.2X1250"/>
    <m/>
    <m/>
    <m/>
    <m/>
    <m/>
    <s v="C01"/>
    <m/>
    <s v="AU03"/>
    <n v="1.2"/>
    <n v="1250"/>
    <n v="0"/>
    <n v="29"/>
    <m/>
    <m/>
    <m/>
    <m/>
    <m/>
    <m/>
    <m/>
    <m/>
    <n v="29"/>
    <m/>
    <m/>
    <m/>
    <m/>
    <m/>
    <m/>
    <m/>
    <m/>
    <m/>
    <m/>
    <m/>
    <m/>
    <m/>
    <m/>
    <m/>
    <m/>
    <m/>
    <m/>
    <m/>
    <m/>
    <m/>
    <m/>
    <m/>
    <m/>
    <m/>
    <m/>
    <n v="0"/>
    <n v="0"/>
    <n v="0"/>
    <n v="0"/>
    <n v="0"/>
    <n v="0"/>
    <n v="0"/>
    <n v="0"/>
    <n v="0"/>
    <n v="0"/>
    <n v="0"/>
    <n v="0"/>
    <n v="0"/>
    <m/>
    <m/>
    <m/>
    <m/>
    <m/>
    <m/>
    <m/>
    <m/>
    <m/>
    <m/>
    <m/>
    <m/>
    <m/>
    <m/>
    <m/>
    <m/>
    <m/>
    <m/>
    <m/>
    <m/>
    <m/>
    <m/>
    <m/>
    <m/>
    <m/>
    <m/>
    <m/>
    <m/>
    <m/>
    <m/>
    <m/>
    <m/>
    <m/>
    <m/>
  </r>
  <r>
    <n v="742"/>
    <d v="2025-03-06T00:00:00"/>
    <s v="ZBTO"/>
    <n v="9518578782"/>
    <n v="10"/>
    <s v="9518578782-10"/>
    <m/>
    <s v="Mar'25 additional"/>
    <s v="Released orders"/>
    <x v="1"/>
    <x v="3"/>
    <n v="2000"/>
    <m/>
    <x v="0"/>
    <m/>
    <m/>
    <m/>
    <m/>
    <m/>
    <m/>
    <m/>
    <s v="VIJAY VENKAT STEELS PRIVATE LI"/>
    <n v="1804854"/>
    <s v="CRCA COIL-TATXXD-AU03-1.2X1250"/>
    <m/>
    <m/>
    <m/>
    <m/>
    <m/>
    <s v="C01"/>
    <m/>
    <s v="AU03"/>
    <n v="1.2"/>
    <n v="1250"/>
    <n v="0"/>
    <n v="29"/>
    <m/>
    <m/>
    <m/>
    <m/>
    <m/>
    <m/>
    <m/>
    <m/>
    <n v="29"/>
    <m/>
    <m/>
    <m/>
    <m/>
    <m/>
    <m/>
    <m/>
    <m/>
    <m/>
    <m/>
    <m/>
    <m/>
    <m/>
    <m/>
    <m/>
    <m/>
    <m/>
    <m/>
    <m/>
    <m/>
    <m/>
    <m/>
    <m/>
    <m/>
    <m/>
    <m/>
    <n v="0"/>
    <n v="0"/>
    <n v="0"/>
    <n v="0"/>
    <n v="0"/>
    <n v="0"/>
    <n v="0"/>
    <n v="0"/>
    <n v="0"/>
    <n v="0"/>
    <n v="0"/>
    <n v="0"/>
    <n v="0"/>
    <m/>
    <m/>
    <m/>
    <m/>
    <m/>
    <m/>
    <m/>
    <m/>
    <m/>
    <m/>
    <m/>
    <m/>
    <m/>
    <m/>
    <m/>
    <m/>
    <m/>
    <m/>
    <m/>
    <m/>
    <m/>
    <m/>
    <m/>
    <m/>
    <m/>
    <m/>
    <m/>
    <m/>
    <m/>
    <m/>
    <m/>
    <m/>
    <m/>
    <m/>
  </r>
  <r>
    <n v="742"/>
    <d v="2025-03-06T00:00:00"/>
    <s v="ZBTF"/>
    <n v="9518578746"/>
    <n v="1"/>
    <s v="9518578746-1"/>
    <m/>
    <s v="Mar'25 additional"/>
    <s v="Released orders"/>
    <x v="1"/>
    <x v="5"/>
    <n v="1000"/>
    <m/>
    <x v="0"/>
    <m/>
    <m/>
    <m/>
    <m/>
    <m/>
    <m/>
    <m/>
    <s v="TUBE INVESTMENTS OF INDIA LIMITED"/>
    <n v="3741588"/>
    <s v="CR COIL SA1010 TU97 1.150X1250"/>
    <m/>
    <m/>
    <m/>
    <m/>
    <m/>
    <s v="C01"/>
    <s v="SA1010"/>
    <s v="TU97"/>
    <n v="1.5"/>
    <n v="1250"/>
    <m/>
    <n v="290"/>
    <m/>
    <m/>
    <m/>
    <m/>
    <m/>
    <m/>
    <m/>
    <m/>
    <n v="290"/>
    <m/>
    <m/>
    <m/>
    <m/>
    <m/>
    <m/>
    <m/>
    <m/>
    <m/>
    <m/>
    <m/>
    <m/>
    <m/>
    <m/>
    <m/>
    <m/>
    <m/>
    <m/>
    <m/>
    <m/>
    <m/>
    <m/>
    <m/>
    <m/>
    <m/>
    <m/>
    <n v="290"/>
    <n v="0"/>
    <n v="0"/>
    <n v="0"/>
    <n v="0"/>
    <n v="290"/>
    <n v="0"/>
    <n v="0"/>
    <n v="0"/>
    <n v="0"/>
    <n v="0"/>
    <n v="0"/>
    <n v="290"/>
    <m/>
    <m/>
    <m/>
    <m/>
    <m/>
    <m/>
    <m/>
    <m/>
    <m/>
    <m/>
    <m/>
    <m/>
    <m/>
    <m/>
    <m/>
    <m/>
    <m/>
    <m/>
    <m/>
    <m/>
    <m/>
    <m/>
    <m/>
    <m/>
    <m/>
    <m/>
    <m/>
    <m/>
    <m/>
    <m/>
    <m/>
    <m/>
    <m/>
    <m/>
  </r>
  <r>
    <n v="742"/>
    <d v="2025-03-06T00:00:00"/>
    <s v="ZBTF"/>
    <n v="9518578746"/>
    <n v="2"/>
    <s v="9518578746-2"/>
    <m/>
    <s v="Mar'25 additional"/>
    <s v="Released orders"/>
    <x v="1"/>
    <x v="5"/>
    <n v="1000"/>
    <m/>
    <x v="0"/>
    <m/>
    <m/>
    <m/>
    <m/>
    <m/>
    <m/>
    <m/>
    <s v="TUBE INVESTMENTS OF INDIA LIMITED"/>
    <n v="3741589"/>
    <s v="CR COIL SA1010 TU97 1.500X1250"/>
    <m/>
    <m/>
    <m/>
    <m/>
    <m/>
    <s v="C01"/>
    <s v="SA1010"/>
    <s v="TU97"/>
    <n v="1.1499999999999999"/>
    <n v="1250"/>
    <m/>
    <n v="290"/>
    <m/>
    <m/>
    <m/>
    <m/>
    <m/>
    <m/>
    <m/>
    <m/>
    <n v="290"/>
    <m/>
    <m/>
    <m/>
    <m/>
    <m/>
    <m/>
    <m/>
    <m/>
    <m/>
    <m/>
    <m/>
    <m/>
    <m/>
    <m/>
    <m/>
    <m/>
    <m/>
    <m/>
    <m/>
    <m/>
    <m/>
    <m/>
    <m/>
    <m/>
    <m/>
    <m/>
    <n v="290"/>
    <n v="0"/>
    <n v="0"/>
    <n v="0"/>
    <n v="0"/>
    <n v="290"/>
    <n v="0"/>
    <n v="0"/>
    <n v="0"/>
    <n v="0"/>
    <n v="0"/>
    <n v="0"/>
    <n v="290"/>
    <m/>
    <m/>
    <m/>
    <m/>
    <m/>
    <m/>
    <m/>
    <m/>
    <m/>
    <m/>
    <m/>
    <m/>
    <m/>
    <m/>
    <m/>
    <m/>
    <m/>
    <m/>
    <m/>
    <m/>
    <m/>
    <m/>
    <m/>
    <m/>
    <m/>
    <m/>
    <m/>
    <m/>
    <m/>
    <m/>
    <m/>
    <m/>
    <m/>
    <m/>
  </r>
  <r>
    <n v="742"/>
    <d v="2025-03-05T00:00:00"/>
    <s v="ZBTO"/>
    <n v="9518575331"/>
    <n v="5"/>
    <s v="9518575331-5"/>
    <m/>
    <s v="Mar'25 additional"/>
    <s v="Released orders"/>
    <x v="1"/>
    <x v="3"/>
    <n v="2200"/>
    <m/>
    <x v="0"/>
    <m/>
    <m/>
    <m/>
    <m/>
    <m/>
    <m/>
    <m/>
    <s v="SHIVA FERRIC PVT LTD"/>
    <n v="1884117"/>
    <s v="CRCA COIL-TATXXD-AU03-2X1250"/>
    <m/>
    <m/>
    <m/>
    <m/>
    <m/>
    <s v="C01"/>
    <s v="TATXXD"/>
    <s v="AU03"/>
    <n v="2"/>
    <n v="1250"/>
    <n v="0"/>
    <n v="87"/>
    <m/>
    <m/>
    <m/>
    <m/>
    <m/>
    <m/>
    <m/>
    <m/>
    <n v="87"/>
    <m/>
    <m/>
    <m/>
    <m/>
    <m/>
    <m/>
    <m/>
    <m/>
    <m/>
    <m/>
    <m/>
    <m/>
    <m/>
    <m/>
    <m/>
    <m/>
    <m/>
    <m/>
    <m/>
    <m/>
    <m/>
    <m/>
    <m/>
    <m/>
    <m/>
    <n v="0"/>
    <n v="0"/>
    <n v="0"/>
    <n v="0"/>
    <n v="0"/>
    <n v="0"/>
    <n v="0"/>
    <n v="0"/>
    <n v="0"/>
    <n v="0"/>
    <n v="0"/>
    <n v="0"/>
    <n v="0"/>
    <n v="0"/>
    <m/>
    <m/>
    <m/>
    <m/>
    <m/>
    <m/>
    <m/>
    <m/>
    <m/>
    <m/>
    <m/>
    <m/>
    <m/>
    <m/>
    <m/>
    <m/>
    <m/>
    <m/>
    <m/>
    <m/>
    <m/>
    <m/>
    <m/>
    <m/>
    <m/>
    <m/>
    <m/>
    <m/>
    <m/>
    <m/>
    <m/>
    <m/>
    <m/>
    <m/>
  </r>
  <r>
    <n v="742"/>
    <d v="2025-03-04T00:00:00"/>
    <s v="ZBTO"/>
    <n v="9518573941"/>
    <n v="1"/>
    <s v="9518573941-1"/>
    <m/>
    <s v="Mar'25 additional"/>
    <s v="Released orders"/>
    <x v="1"/>
    <x v="15"/>
    <n v="2000"/>
    <m/>
    <x v="0"/>
    <m/>
    <m/>
    <m/>
    <m/>
    <m/>
    <m/>
    <m/>
    <s v="FERRO STEEL SOLUTIONS"/>
    <n v="2420508"/>
    <s v="CRCA COIL TATXXD AH03 0.500X1250"/>
    <m/>
    <m/>
    <m/>
    <m/>
    <m/>
    <s v="C01"/>
    <s v="TATXXD"/>
    <s v="AH03"/>
    <n v="0.5"/>
    <n v="1250"/>
    <n v="0"/>
    <n v="58"/>
    <m/>
    <m/>
    <m/>
    <m/>
    <m/>
    <m/>
    <m/>
    <m/>
    <n v="58"/>
    <m/>
    <m/>
    <m/>
    <m/>
    <m/>
    <m/>
    <m/>
    <m/>
    <m/>
    <m/>
    <m/>
    <m/>
    <m/>
    <m/>
    <m/>
    <m/>
    <m/>
    <m/>
    <m/>
    <m/>
    <m/>
    <m/>
    <m/>
    <m/>
    <m/>
    <n v="0"/>
    <n v="58"/>
    <n v="0"/>
    <n v="0"/>
    <n v="0"/>
    <n v="0"/>
    <n v="58"/>
    <n v="58"/>
    <n v="0"/>
    <n v="0"/>
    <n v="0"/>
    <n v="0"/>
    <n v="58"/>
    <n v="0"/>
    <m/>
    <m/>
    <m/>
    <m/>
    <m/>
    <m/>
    <m/>
    <m/>
    <m/>
    <m/>
    <m/>
    <m/>
    <m/>
    <m/>
    <m/>
    <m/>
    <m/>
    <m/>
    <m/>
    <m/>
    <m/>
    <m/>
    <m/>
    <m/>
    <m/>
    <m/>
    <m/>
    <m/>
    <m/>
    <m/>
    <m/>
    <m/>
    <m/>
    <m/>
  </r>
  <r>
    <n v="742"/>
    <d v="2025-03-06T00:00:00"/>
    <s v="ZBTO"/>
    <n v="9518579878"/>
    <n v="2"/>
    <s v="9518579878-2"/>
    <m/>
    <s v="Mar'25 additional"/>
    <s v="Released orders"/>
    <x v="1"/>
    <x v="1"/>
    <n v="2000"/>
    <m/>
    <x v="0"/>
    <m/>
    <m/>
    <m/>
    <m/>
    <m/>
    <m/>
    <m/>
    <s v="INDIA STEEL INDUSTRIES"/>
    <n v="3239568"/>
    <s v="CRCA SHEET TATCRC SR16 0.450X1250X2500"/>
    <m/>
    <m/>
    <m/>
    <m/>
    <m/>
    <s v="C06"/>
    <s v="TATCRC"/>
    <s v="SR16"/>
    <n v="0.45"/>
    <n v="1250"/>
    <n v="2500"/>
    <n v="54"/>
    <m/>
    <m/>
    <m/>
    <m/>
    <m/>
    <m/>
    <m/>
    <m/>
    <n v="54"/>
    <m/>
    <m/>
    <m/>
    <m/>
    <m/>
    <m/>
    <m/>
    <m/>
    <m/>
    <m/>
    <m/>
    <m/>
    <m/>
    <m/>
    <m/>
    <m/>
    <m/>
    <m/>
    <m/>
    <m/>
    <m/>
    <m/>
    <m/>
    <m/>
    <m/>
    <n v="0"/>
    <n v="54"/>
    <n v="0"/>
    <n v="0"/>
    <n v="0"/>
    <n v="0"/>
    <n v="54"/>
    <n v="54"/>
    <n v="0"/>
    <n v="0"/>
    <n v="0"/>
    <n v="0"/>
    <n v="54"/>
    <n v="0"/>
    <m/>
    <m/>
    <m/>
    <m/>
    <m/>
    <m/>
    <m/>
    <m/>
    <m/>
    <m/>
    <m/>
    <m/>
    <m/>
    <m/>
    <m/>
    <m/>
    <m/>
    <m/>
    <m/>
    <m/>
    <m/>
    <m/>
    <m/>
    <m/>
    <m/>
    <m/>
    <m/>
    <m/>
    <m/>
    <m/>
    <m/>
    <m/>
    <m/>
    <m/>
  </r>
  <r>
    <n v="742"/>
    <d v="2025-03-05T00:00:00"/>
    <s v="ZBTO"/>
    <n v="9518575331"/>
    <n v="1"/>
    <s v="9518575331-1"/>
    <m/>
    <s v="Mar'25 additional"/>
    <s v="Released orders"/>
    <x v="1"/>
    <x v="3"/>
    <n v="2200"/>
    <m/>
    <x v="0"/>
    <m/>
    <m/>
    <m/>
    <m/>
    <m/>
    <m/>
    <m/>
    <s v="SHIVA FERRIC PVT LTD"/>
    <n v="1804814"/>
    <s v="CRCA COIL TATXXD AU03 0.8X1250"/>
    <m/>
    <m/>
    <m/>
    <m/>
    <m/>
    <s v="C01"/>
    <s v="TATXXD"/>
    <s v="AU03"/>
    <n v="0.8"/>
    <n v="1250"/>
    <n v="0"/>
    <n v="58"/>
    <m/>
    <m/>
    <m/>
    <m/>
    <m/>
    <m/>
    <m/>
    <m/>
    <n v="58"/>
    <m/>
    <m/>
    <m/>
    <m/>
    <m/>
    <m/>
    <m/>
    <m/>
    <m/>
    <m/>
    <m/>
    <m/>
    <m/>
    <m/>
    <m/>
    <m/>
    <m/>
    <m/>
    <m/>
    <m/>
    <m/>
    <m/>
    <m/>
    <m/>
    <m/>
    <n v="0"/>
    <n v="0"/>
    <n v="0"/>
    <n v="0"/>
    <n v="0"/>
    <n v="0"/>
    <n v="0"/>
    <n v="0"/>
    <n v="0"/>
    <n v="0"/>
    <n v="0"/>
    <n v="0"/>
    <n v="0"/>
    <n v="0"/>
    <m/>
    <m/>
    <m/>
    <m/>
    <m/>
    <m/>
    <m/>
    <m/>
    <m/>
    <m/>
    <m/>
    <m/>
    <m/>
    <m/>
    <m/>
    <m/>
    <m/>
    <m/>
    <m/>
    <m/>
    <m/>
    <m/>
    <m/>
    <m/>
    <m/>
    <m/>
    <m/>
    <m/>
    <m/>
    <m/>
    <m/>
    <m/>
    <m/>
    <m/>
  </r>
  <r>
    <n v="742"/>
    <d v="2025-01-07T00:00:00"/>
    <s v="ZBTO"/>
    <n v="9518410308"/>
    <n v="1"/>
    <s v="9518410308-1"/>
    <m/>
    <s v="Mar'25 additional"/>
    <s v="Released orders"/>
    <x v="1"/>
    <x v="3"/>
    <n v="2000"/>
    <m/>
    <x v="0"/>
    <m/>
    <m/>
    <s v="Delhi"/>
    <m/>
    <m/>
    <m/>
    <n v="184986"/>
    <s v="SWASTIK STEEL PROCESSOR LLP"/>
    <n v="1800875"/>
    <s v="CRCA COIL-TATXXD-AU03-0.3X1250"/>
    <m/>
    <m/>
    <m/>
    <m/>
    <m/>
    <s v="C01"/>
    <s v="TATXXD"/>
    <s v="AU03"/>
    <n v="0.3"/>
    <n v="1250"/>
    <n v="0"/>
    <n v="58"/>
    <m/>
    <m/>
    <m/>
    <m/>
    <m/>
    <m/>
    <m/>
    <m/>
    <n v="58"/>
    <m/>
    <m/>
    <m/>
    <m/>
    <m/>
    <m/>
    <m/>
    <m/>
    <m/>
    <m/>
    <m/>
    <m/>
    <m/>
    <m/>
    <m/>
    <m/>
    <m/>
    <m/>
    <m/>
    <m/>
    <m/>
    <m/>
    <m/>
    <m/>
    <m/>
    <n v="0"/>
    <n v="0"/>
    <n v="0"/>
    <n v="0"/>
    <n v="0"/>
    <n v="0"/>
    <n v="0"/>
    <n v="0"/>
    <n v="0"/>
    <n v="0"/>
    <n v="0"/>
    <n v="0"/>
    <n v="0"/>
    <n v="0"/>
    <m/>
    <m/>
    <m/>
    <m/>
    <m/>
    <m/>
    <m/>
    <m/>
    <m/>
    <m/>
    <m/>
    <m/>
    <m/>
    <m/>
    <m/>
    <m/>
    <m/>
    <m/>
    <m/>
    <m/>
    <m/>
    <m/>
    <m/>
    <m/>
    <m/>
    <m/>
    <m/>
    <m/>
    <m/>
    <m/>
    <m/>
    <m/>
    <m/>
    <m/>
  </r>
  <r>
    <n v="742"/>
    <d v="2025-03-04T00:00:00"/>
    <s v="ZBTO"/>
    <n v="9518574020"/>
    <n v="1"/>
    <s v="9518574020-1"/>
    <m/>
    <s v="Mar'25 additional"/>
    <s v="Released orders"/>
    <x v="1"/>
    <x v="3"/>
    <n v="2000"/>
    <m/>
    <x v="0"/>
    <m/>
    <m/>
    <m/>
    <m/>
    <m/>
    <m/>
    <m/>
    <s v="G.R. GUPTA &amp; BROS."/>
    <n v="1800890"/>
    <s v="CRCA COIL-TATXXD-AU03-0.35X1250"/>
    <m/>
    <m/>
    <m/>
    <m/>
    <m/>
    <s v="C01"/>
    <s v="TATXXD"/>
    <s v="AU03"/>
    <n v="0.35"/>
    <n v="1250"/>
    <n v="0"/>
    <n v="116"/>
    <m/>
    <m/>
    <m/>
    <m/>
    <m/>
    <m/>
    <m/>
    <m/>
    <n v="116"/>
    <m/>
    <m/>
    <m/>
    <m/>
    <m/>
    <m/>
    <m/>
    <m/>
    <m/>
    <m/>
    <m/>
    <m/>
    <m/>
    <m/>
    <m/>
    <m/>
    <m/>
    <m/>
    <m/>
    <m/>
    <m/>
    <m/>
    <m/>
    <m/>
    <m/>
    <n v="0"/>
    <n v="116"/>
    <n v="0"/>
    <n v="0"/>
    <n v="0"/>
    <n v="0"/>
    <n v="116"/>
    <n v="116"/>
    <n v="0"/>
    <n v="0"/>
    <n v="0"/>
    <n v="0"/>
    <n v="116"/>
    <n v="0"/>
    <m/>
    <m/>
    <m/>
    <m/>
    <m/>
    <m/>
    <m/>
    <m/>
    <m/>
    <m/>
    <m/>
    <m/>
    <m/>
    <m/>
    <m/>
    <m/>
    <m/>
    <m/>
    <m/>
    <m/>
    <m/>
    <m/>
    <m/>
    <m/>
    <m/>
    <m/>
    <m/>
    <m/>
    <m/>
    <m/>
    <m/>
    <m/>
    <m/>
    <m/>
  </r>
  <r>
    <n v="742"/>
    <d v="2025-03-06T00:00:00"/>
    <s v="ZBTO"/>
    <n v="9518578782"/>
    <n v="14"/>
    <s v="9518578782-14"/>
    <m/>
    <s v="Mar'25 additional"/>
    <s v="Released orders"/>
    <x v="1"/>
    <x v="3"/>
    <n v="2000"/>
    <m/>
    <x v="0"/>
    <m/>
    <m/>
    <m/>
    <m/>
    <m/>
    <m/>
    <m/>
    <s v="VIJAY VENKAT STEELS PRIVATE LIMITED"/>
    <n v="2390540"/>
    <s v="CRCA COIL TATXXD AU03 1.800X1250"/>
    <m/>
    <m/>
    <m/>
    <m/>
    <m/>
    <s v="C01"/>
    <s v="TATXXD"/>
    <s v="AU03"/>
    <n v="1.8"/>
    <n v="1250"/>
    <n v="0"/>
    <n v="58"/>
    <m/>
    <m/>
    <m/>
    <m/>
    <m/>
    <m/>
    <m/>
    <m/>
    <n v="58"/>
    <m/>
    <m/>
    <m/>
    <m/>
    <m/>
    <m/>
    <m/>
    <m/>
    <m/>
    <m/>
    <m/>
    <m/>
    <m/>
    <m/>
    <m/>
    <m/>
    <m/>
    <m/>
    <m/>
    <m/>
    <m/>
    <m/>
    <m/>
    <m/>
    <m/>
    <n v="0"/>
    <n v="58"/>
    <n v="0"/>
    <n v="0"/>
    <n v="0"/>
    <n v="58"/>
    <n v="0"/>
    <n v="58"/>
    <n v="0"/>
    <n v="0"/>
    <n v="0"/>
    <n v="58"/>
    <n v="0"/>
    <n v="0"/>
    <m/>
    <m/>
    <m/>
    <m/>
    <m/>
    <m/>
    <m/>
    <m/>
    <m/>
    <m/>
    <m/>
    <m/>
    <m/>
    <m/>
    <m/>
    <m/>
    <m/>
    <m/>
    <m/>
    <m/>
    <m/>
    <m/>
    <m/>
    <m/>
    <m/>
    <m/>
    <m/>
    <m/>
    <m/>
    <m/>
    <m/>
    <m/>
    <m/>
    <m/>
  </r>
  <r>
    <n v="742"/>
    <d v="2025-03-06T00:00:00"/>
    <s v="ZBTO"/>
    <n v="9518578859"/>
    <n v="4"/>
    <s v="9518578859-4"/>
    <m/>
    <s v="Mar'25 additional"/>
    <s v="Released orders"/>
    <x v="1"/>
    <x v="3"/>
    <n v="2000"/>
    <m/>
    <x v="0"/>
    <m/>
    <m/>
    <m/>
    <m/>
    <m/>
    <m/>
    <m/>
    <s v="AGARWAL STEEL TRADERS"/>
    <n v="1801804"/>
    <s v="CRCA COIL-TATXXD-AU03-1X1250"/>
    <m/>
    <m/>
    <m/>
    <m/>
    <m/>
    <s v="C01"/>
    <s v="TATXXD"/>
    <s v="AU03"/>
    <n v="1"/>
    <n v="1250"/>
    <n v="0"/>
    <n v="29"/>
    <m/>
    <m/>
    <m/>
    <m/>
    <m/>
    <m/>
    <m/>
    <m/>
    <n v="29"/>
    <m/>
    <m/>
    <m/>
    <m/>
    <m/>
    <m/>
    <m/>
    <m/>
    <m/>
    <m/>
    <m/>
    <m/>
    <m/>
    <m/>
    <m/>
    <m/>
    <m/>
    <m/>
    <m/>
    <m/>
    <m/>
    <m/>
    <m/>
    <m/>
    <m/>
    <n v="0"/>
    <n v="29"/>
    <n v="0"/>
    <n v="0"/>
    <n v="0"/>
    <n v="29"/>
    <n v="0"/>
    <n v="29"/>
    <n v="0"/>
    <n v="0"/>
    <n v="0"/>
    <n v="29"/>
    <n v="0"/>
    <n v="0"/>
    <m/>
    <m/>
    <m/>
    <m/>
    <m/>
    <m/>
    <m/>
    <m/>
    <m/>
    <m/>
    <m/>
    <m/>
    <m/>
    <m/>
    <m/>
    <m/>
    <m/>
    <m/>
    <m/>
    <m/>
    <m/>
    <m/>
    <m/>
    <m/>
    <m/>
    <m/>
    <m/>
    <m/>
    <m/>
    <m/>
    <m/>
    <m/>
    <m/>
    <m/>
  </r>
  <r>
    <n v="742"/>
    <d v="2025-03-04T00:00:00"/>
    <s v="ZBTO"/>
    <n v="9518574019"/>
    <n v="1"/>
    <s v="9518574019-1"/>
    <m/>
    <s v="Mar'25 additional"/>
    <s v="Released orders"/>
    <x v="1"/>
    <x v="3"/>
    <n v="2000"/>
    <m/>
    <x v="0"/>
    <m/>
    <m/>
    <m/>
    <m/>
    <m/>
    <m/>
    <m/>
    <s v="G R GUPTA &amp; BROS"/>
    <n v="1804772"/>
    <s v="CRCA COIL TATXXD AU03 0.4X1250"/>
    <m/>
    <m/>
    <m/>
    <m/>
    <m/>
    <s v="C01"/>
    <s v="TATXXD"/>
    <s v="AU03"/>
    <n v="0.4"/>
    <n v="1250"/>
    <n v="0"/>
    <n v="145"/>
    <m/>
    <m/>
    <m/>
    <m/>
    <m/>
    <m/>
    <m/>
    <m/>
    <n v="145"/>
    <m/>
    <m/>
    <m/>
    <m/>
    <m/>
    <m/>
    <m/>
    <m/>
    <m/>
    <m/>
    <m/>
    <m/>
    <m/>
    <m/>
    <m/>
    <m/>
    <m/>
    <m/>
    <m/>
    <m/>
    <m/>
    <m/>
    <m/>
    <m/>
    <m/>
    <n v="0"/>
    <n v="145"/>
    <n v="0"/>
    <n v="0"/>
    <n v="0"/>
    <n v="145"/>
    <n v="0"/>
    <n v="145"/>
    <n v="0"/>
    <n v="0"/>
    <n v="0"/>
    <n v="145"/>
    <n v="0"/>
    <n v="0"/>
    <m/>
    <m/>
    <m/>
    <m/>
    <m/>
    <m/>
    <m/>
    <m/>
    <m/>
    <m/>
    <m/>
    <m/>
    <m/>
    <m/>
    <m/>
    <m/>
    <m/>
    <m/>
    <m/>
    <m/>
    <m/>
    <m/>
    <m/>
    <m/>
    <m/>
    <m/>
    <m/>
    <m/>
    <m/>
    <m/>
    <m/>
    <m/>
    <m/>
    <m/>
  </r>
  <r>
    <n v="742"/>
    <d v="2025-03-07T00:00:00"/>
    <s v="ZBTO"/>
    <n v="9518583094"/>
    <n v="4"/>
    <s v="9518583094-4"/>
    <m/>
    <s v="Mar'25 additional"/>
    <s v="Released orders"/>
    <x v="1"/>
    <x v="1"/>
    <n v="2000"/>
    <m/>
    <x v="0"/>
    <m/>
    <m/>
    <m/>
    <m/>
    <m/>
    <m/>
    <m/>
    <s v="INDIA STEEL INDUSTRIES"/>
    <n v="3444592"/>
    <s v="CRCA SHEET TATCRC SR16 0.450X1250X2030"/>
    <m/>
    <m/>
    <m/>
    <m/>
    <m/>
    <s v="C06"/>
    <s v="TATCRC"/>
    <s v="SR16"/>
    <n v="0.45"/>
    <n v="1250"/>
    <n v="2030"/>
    <n v="81"/>
    <m/>
    <m/>
    <m/>
    <m/>
    <m/>
    <m/>
    <m/>
    <m/>
    <n v="81"/>
    <m/>
    <m/>
    <m/>
    <m/>
    <m/>
    <m/>
    <m/>
    <m/>
    <m/>
    <m/>
    <m/>
    <m/>
    <m/>
    <m/>
    <m/>
    <m/>
    <m/>
    <m/>
    <m/>
    <m/>
    <m/>
    <m/>
    <m/>
    <m/>
    <m/>
    <n v="0"/>
    <n v="81"/>
    <n v="0"/>
    <n v="0"/>
    <n v="0"/>
    <n v="81"/>
    <n v="0"/>
    <n v="81"/>
    <n v="0"/>
    <n v="0"/>
    <n v="0"/>
    <n v="81"/>
    <n v="0"/>
    <n v="0"/>
    <m/>
    <m/>
    <m/>
    <m/>
    <m/>
    <m/>
    <m/>
    <m/>
    <m/>
    <m/>
    <m/>
    <m/>
    <m/>
    <m/>
    <m/>
    <m/>
    <m/>
    <m/>
    <m/>
    <m/>
    <m/>
    <m/>
    <m/>
    <m/>
    <m/>
    <m/>
    <m/>
    <m/>
    <m/>
    <m/>
    <m/>
    <m/>
    <m/>
    <m/>
  </r>
  <r>
    <n v="742"/>
    <d v="2025-03-07T00:00:00"/>
    <s v="ZBTO"/>
    <n v="9518583094"/>
    <n v="3"/>
    <s v="9518583094-3"/>
    <m/>
    <s v="Mar'25 additional"/>
    <s v="Released orders"/>
    <x v="1"/>
    <x v="1"/>
    <n v="2000"/>
    <m/>
    <x v="0"/>
    <m/>
    <m/>
    <m/>
    <m/>
    <m/>
    <m/>
    <m/>
    <s v="INDIA STEEL INDUSTRIES"/>
    <n v="3437524"/>
    <s v="CRCA SHEET TATCRC SR16 0.400X1250X2030"/>
    <m/>
    <m/>
    <m/>
    <m/>
    <m/>
    <s v="C06"/>
    <s v="TATCRC"/>
    <s v="SR16"/>
    <n v="0.4"/>
    <n v="1250"/>
    <n v="2030"/>
    <n v="108"/>
    <m/>
    <m/>
    <m/>
    <m/>
    <m/>
    <m/>
    <m/>
    <m/>
    <n v="108"/>
    <m/>
    <m/>
    <m/>
    <m/>
    <m/>
    <m/>
    <m/>
    <m/>
    <m/>
    <m/>
    <m/>
    <m/>
    <m/>
    <m/>
    <m/>
    <m/>
    <m/>
    <m/>
    <m/>
    <m/>
    <m/>
    <m/>
    <m/>
    <m/>
    <m/>
    <n v="0"/>
    <n v="108"/>
    <n v="0"/>
    <n v="0"/>
    <n v="0"/>
    <n v="0"/>
    <n v="108"/>
    <n v="108"/>
    <n v="0"/>
    <n v="0"/>
    <n v="0"/>
    <n v="0"/>
    <n v="108"/>
    <n v="0"/>
    <m/>
    <m/>
    <m/>
    <m/>
    <m/>
    <m/>
    <m/>
    <m/>
    <m/>
    <m/>
    <m/>
    <m/>
    <m/>
    <m/>
    <m/>
    <m/>
    <m/>
    <m/>
    <m/>
    <m/>
    <m/>
    <m/>
    <m/>
    <m/>
    <m/>
    <m/>
    <m/>
    <m/>
    <m/>
    <m/>
    <m/>
    <m/>
    <m/>
    <m/>
  </r>
  <r>
    <n v="742"/>
    <d v="2025-02-27T00:00:00"/>
    <s v="ZBTO"/>
    <n v="9518557992"/>
    <n v="2"/>
    <s v="9518557992-2"/>
    <m/>
    <s v="Mar'25 additional"/>
    <s v="Released orders"/>
    <x v="1"/>
    <x v="3"/>
    <n v="2000"/>
    <m/>
    <x v="0"/>
    <m/>
    <m/>
    <m/>
    <m/>
    <m/>
    <m/>
    <m/>
    <s v="DURGA TRADERS"/>
    <n v="1884117"/>
    <s v="CRCA COIL-TATXXD-AU03-2X1250"/>
    <m/>
    <m/>
    <m/>
    <m/>
    <m/>
    <s v="C01"/>
    <s v="TATXXD"/>
    <s v="AU03"/>
    <n v="2"/>
    <n v="1250"/>
    <n v="0"/>
    <n v="58"/>
    <m/>
    <m/>
    <m/>
    <m/>
    <m/>
    <m/>
    <m/>
    <m/>
    <n v="58"/>
    <m/>
    <m/>
    <m/>
    <m/>
    <m/>
    <m/>
    <m/>
    <m/>
    <m/>
    <m/>
    <m/>
    <m/>
    <m/>
    <m/>
    <m/>
    <m/>
    <m/>
    <m/>
    <m/>
    <m/>
    <m/>
    <m/>
    <m/>
    <m/>
    <m/>
    <n v="0"/>
    <n v="58"/>
    <n v="0"/>
    <n v="0"/>
    <n v="0"/>
    <n v="58"/>
    <n v="0"/>
    <n v="58"/>
    <n v="0"/>
    <n v="0"/>
    <n v="0"/>
    <n v="0"/>
    <n v="58"/>
    <n v="0"/>
    <m/>
    <m/>
    <m/>
    <m/>
    <m/>
    <m/>
    <m/>
    <m/>
    <m/>
    <m/>
    <m/>
    <m/>
    <m/>
    <m/>
    <m/>
    <m/>
    <m/>
    <m/>
    <m/>
    <m/>
    <m/>
    <m/>
    <m/>
    <m/>
    <m/>
    <m/>
    <m/>
    <m/>
    <m/>
    <m/>
    <m/>
    <m/>
    <m/>
    <m/>
  </r>
  <r>
    <n v="742"/>
    <d v="2025-02-14T00:00:00"/>
    <s v="ZBTO"/>
    <n v="9518518906"/>
    <n v="2"/>
    <s v="9518518906-2"/>
    <m/>
    <s v="Mar'25 additional"/>
    <s v="Released orders"/>
    <x v="1"/>
    <x v="1"/>
    <n v="2000"/>
    <m/>
    <x v="0"/>
    <m/>
    <m/>
    <s v="Uttar Pradesh"/>
    <m/>
    <m/>
    <m/>
    <n v="931525"/>
    <s v="INDIA STEEL INDUSTRIES"/>
    <n v="3437524"/>
    <s v="CRCA SHEET TATCRC SR16 0.400X1250X2030"/>
    <m/>
    <m/>
    <m/>
    <m/>
    <m/>
    <s v="C06"/>
    <s v="TATCRC"/>
    <s v="SR16"/>
    <n v="0.4"/>
    <n v="1250"/>
    <n v="2030"/>
    <n v="99"/>
    <m/>
    <m/>
    <m/>
    <m/>
    <m/>
    <m/>
    <m/>
    <m/>
    <n v="99"/>
    <m/>
    <m/>
    <m/>
    <m/>
    <m/>
    <m/>
    <m/>
    <m/>
    <m/>
    <m/>
    <m/>
    <m/>
    <m/>
    <m/>
    <m/>
    <m/>
    <m/>
    <m/>
    <m/>
    <m/>
    <m/>
    <m/>
    <m/>
    <m/>
    <m/>
    <n v="0"/>
    <n v="99"/>
    <n v="0"/>
    <n v="0"/>
    <n v="0"/>
    <n v="0"/>
    <n v="99"/>
    <n v="99"/>
    <n v="0"/>
    <n v="0"/>
    <n v="0"/>
    <n v="0"/>
    <n v="99"/>
    <n v="0"/>
    <m/>
    <m/>
    <m/>
    <m/>
    <m/>
    <m/>
    <m/>
    <m/>
    <m/>
    <m/>
    <m/>
    <m/>
    <m/>
    <m/>
    <m/>
    <m/>
    <m/>
    <m/>
    <m/>
    <m/>
    <m/>
    <m/>
    <m/>
    <m/>
    <m/>
    <m/>
    <m/>
    <m/>
    <m/>
    <m/>
    <m/>
    <m/>
    <m/>
    <m/>
  </r>
  <r>
    <n v="742"/>
    <d v="2025-03-06T00:00:00"/>
    <s v="ZBTO"/>
    <n v="9518579878"/>
    <n v="5"/>
    <s v="9518579878-5"/>
    <m/>
    <s v="Mar'25 additional"/>
    <s v="Released orders"/>
    <x v="1"/>
    <x v="1"/>
    <n v="2000"/>
    <m/>
    <x v="0"/>
    <m/>
    <m/>
    <m/>
    <m/>
    <m/>
    <m/>
    <m/>
    <s v="INDIA STEEL INDUSTRIES"/>
    <n v="3444592"/>
    <s v="CRCA SHEET TATCRC SR16 0.450X1250X2030"/>
    <m/>
    <m/>
    <m/>
    <m/>
    <m/>
    <s v="C06"/>
    <s v="TATCRC"/>
    <s v="SR16"/>
    <n v="0.45"/>
    <n v="1250"/>
    <n v="2030"/>
    <n v="54"/>
    <m/>
    <m/>
    <m/>
    <m/>
    <m/>
    <m/>
    <m/>
    <m/>
    <n v="54"/>
    <m/>
    <m/>
    <m/>
    <m/>
    <m/>
    <m/>
    <m/>
    <m/>
    <m/>
    <m/>
    <m/>
    <m/>
    <m/>
    <m/>
    <m/>
    <m/>
    <m/>
    <m/>
    <m/>
    <m/>
    <m/>
    <m/>
    <m/>
    <m/>
    <m/>
    <n v="0"/>
    <n v="54"/>
    <n v="0"/>
    <n v="0"/>
    <n v="0"/>
    <n v="0"/>
    <n v="54"/>
    <n v="54"/>
    <n v="0"/>
    <n v="0"/>
    <n v="0"/>
    <n v="0"/>
    <n v="54"/>
    <n v="0"/>
    <m/>
    <m/>
    <m/>
    <m/>
    <m/>
    <m/>
    <m/>
    <m/>
    <m/>
    <m/>
    <m/>
    <m/>
    <m/>
    <m/>
    <m/>
    <m/>
    <m/>
    <m/>
    <m/>
    <m/>
    <m/>
    <m/>
    <m/>
    <m/>
    <m/>
    <m/>
    <m/>
    <m/>
    <m/>
    <m/>
    <m/>
    <m/>
    <m/>
    <m/>
  </r>
  <r>
    <n v="742"/>
    <d v="2025-03-10T00:00:00"/>
    <s v="ZBTO"/>
    <n v="9518587677"/>
    <n v="1"/>
    <s v="9518587677-1"/>
    <m/>
    <s v="Mar'25 additional"/>
    <s v="Released orders"/>
    <x v="1"/>
    <x v="3"/>
    <n v="2000"/>
    <m/>
    <x v="0"/>
    <m/>
    <m/>
    <m/>
    <m/>
    <m/>
    <m/>
    <m/>
    <s v="TATA STEEL DOWNSTREAM PRODUCTS LIMI"/>
    <n v="185675"/>
    <s v="CRCA COIL-TATXXD-AU03-0.5X1250"/>
    <m/>
    <m/>
    <m/>
    <m/>
    <m/>
    <s v="C01"/>
    <s v="TATXXD"/>
    <s v="AU03"/>
    <n v="0.5"/>
    <n v="1250"/>
    <n v="0"/>
    <n v="232"/>
    <m/>
    <m/>
    <m/>
    <m/>
    <m/>
    <m/>
    <m/>
    <m/>
    <n v="232"/>
    <m/>
    <m/>
    <m/>
    <m/>
    <m/>
    <m/>
    <m/>
    <m/>
    <m/>
    <m/>
    <m/>
    <m/>
    <m/>
    <m/>
    <m/>
    <m/>
    <m/>
    <m/>
    <m/>
    <m/>
    <m/>
    <m/>
    <m/>
    <m/>
    <m/>
    <n v="0"/>
    <n v="232"/>
    <n v="0"/>
    <n v="0"/>
    <n v="0"/>
    <n v="0"/>
    <n v="232"/>
    <n v="232"/>
    <n v="0"/>
    <n v="0"/>
    <n v="0"/>
    <n v="0"/>
    <n v="232"/>
    <n v="0"/>
    <m/>
    <m/>
    <m/>
    <m/>
    <m/>
    <m/>
    <m/>
    <m/>
    <m/>
    <m/>
    <m/>
    <m/>
    <m/>
    <m/>
    <m/>
    <m/>
    <m/>
    <m/>
    <m/>
    <m/>
    <m/>
    <m/>
    <m/>
    <m/>
    <m/>
    <m/>
    <m/>
    <m/>
    <m/>
    <m/>
    <m/>
    <m/>
    <m/>
    <m/>
  </r>
  <r>
    <n v="742"/>
    <d v="2025-03-07T00:00:00"/>
    <s v="ZBTO"/>
    <n v="9518583177"/>
    <n v="1"/>
    <s v="9518583177-1"/>
    <m/>
    <s v="Mar'25 additional"/>
    <s v="Released orders"/>
    <x v="1"/>
    <x v="3"/>
    <n v="2000"/>
    <m/>
    <x v="0"/>
    <m/>
    <m/>
    <m/>
    <m/>
    <m/>
    <m/>
    <m/>
    <s v="SWASTIK STEEL PROCESSOR LLP"/>
    <n v="185664"/>
    <s v="CRSHEET-ICF  DQ TATXXD AU03 0.40 X 1250"/>
    <m/>
    <m/>
    <m/>
    <m/>
    <m/>
    <s v="C01"/>
    <s v="TATXXD"/>
    <s v="AU03"/>
    <n v="0.4"/>
    <n v="1250"/>
    <n v="0"/>
    <n v="174"/>
    <m/>
    <m/>
    <m/>
    <m/>
    <m/>
    <m/>
    <m/>
    <m/>
    <n v="174"/>
    <m/>
    <m/>
    <m/>
    <m/>
    <m/>
    <m/>
    <m/>
    <m/>
    <m/>
    <m/>
    <m/>
    <m/>
    <m/>
    <m/>
    <m/>
    <m/>
    <m/>
    <m/>
    <m/>
    <m/>
    <m/>
    <m/>
    <m/>
    <m/>
    <m/>
    <n v="0"/>
    <n v="174"/>
    <n v="0"/>
    <n v="0"/>
    <n v="0"/>
    <n v="174"/>
    <n v="0"/>
    <n v="174"/>
    <n v="0"/>
    <n v="0"/>
    <n v="0"/>
    <n v="0"/>
    <n v="174"/>
    <n v="0"/>
    <m/>
    <m/>
    <m/>
    <m/>
    <m/>
    <m/>
    <m/>
    <m/>
    <m/>
    <m/>
    <m/>
    <m/>
    <m/>
    <m/>
    <m/>
    <m/>
    <m/>
    <m/>
    <m/>
    <m/>
    <m/>
    <m/>
    <m/>
    <m/>
    <m/>
    <m/>
    <m/>
    <m/>
    <m/>
    <m/>
    <m/>
    <m/>
    <m/>
    <m/>
  </r>
  <r>
    <n v="742"/>
    <d v="2025-03-04T00:00:00"/>
    <s v="ZBTO"/>
    <n v="9518574020"/>
    <n v="2"/>
    <s v="9518574020-2"/>
    <m/>
    <s v="Mar'25 additional"/>
    <s v="Released orders"/>
    <x v="1"/>
    <x v="3"/>
    <n v="2000"/>
    <m/>
    <x v="0"/>
    <m/>
    <m/>
    <m/>
    <m/>
    <m/>
    <m/>
    <m/>
    <s v="G.R. GUPTA &amp; BROS."/>
    <n v="1804772"/>
    <s v="CRCA COIL TATXXD AU03 0.4X1250"/>
    <m/>
    <m/>
    <m/>
    <m/>
    <m/>
    <s v="C01"/>
    <s v="TATXXD"/>
    <s v="AU03"/>
    <n v="0.4"/>
    <n v="1250"/>
    <n v="0"/>
    <n v="58"/>
    <m/>
    <m/>
    <m/>
    <m/>
    <m/>
    <m/>
    <m/>
    <m/>
    <n v="58"/>
    <m/>
    <m/>
    <m/>
    <m/>
    <m/>
    <m/>
    <m/>
    <m/>
    <m/>
    <m/>
    <m/>
    <m/>
    <m/>
    <m/>
    <m/>
    <m/>
    <m/>
    <m/>
    <m/>
    <m/>
    <m/>
    <m/>
    <m/>
    <m/>
    <m/>
    <n v="0"/>
    <n v="58"/>
    <n v="0"/>
    <n v="0"/>
    <n v="0"/>
    <n v="58"/>
    <n v="0"/>
    <n v="58"/>
    <n v="0"/>
    <n v="0"/>
    <n v="0"/>
    <n v="0"/>
    <n v="58"/>
    <n v="0"/>
    <m/>
    <m/>
    <m/>
    <m/>
    <m/>
    <m/>
    <m/>
    <m/>
    <m/>
    <m/>
    <m/>
    <m/>
    <m/>
    <m/>
    <m/>
    <m/>
    <m/>
    <m/>
    <m/>
    <m/>
    <m/>
    <m/>
    <m/>
    <m/>
    <m/>
    <m/>
    <m/>
    <m/>
    <m/>
    <m/>
    <m/>
    <m/>
    <m/>
    <m/>
  </r>
  <r>
    <n v="742"/>
    <d v="2025-03-04T00:00:00"/>
    <s v="ZBTO"/>
    <n v="9518573630"/>
    <n v="2"/>
    <s v="9518573630-2"/>
    <m/>
    <s v="Mar'25 additional"/>
    <s v="Released orders"/>
    <x v="1"/>
    <x v="3"/>
    <n v="2000"/>
    <m/>
    <x v="0"/>
    <m/>
    <m/>
    <m/>
    <m/>
    <m/>
    <m/>
    <m/>
    <s v="AGARWAL STEEL TRADERS"/>
    <n v="1804814"/>
    <s v="CRCA COIL TATXXD AU03 0.8X1250"/>
    <m/>
    <m/>
    <m/>
    <m/>
    <m/>
    <s v="C01"/>
    <s v="TATXXD"/>
    <s v="AU03"/>
    <n v="0.8"/>
    <n v="1250"/>
    <n v="0"/>
    <n v="58"/>
    <m/>
    <m/>
    <m/>
    <m/>
    <m/>
    <m/>
    <m/>
    <m/>
    <n v="58"/>
    <m/>
    <m/>
    <m/>
    <m/>
    <m/>
    <m/>
    <m/>
    <m/>
    <m/>
    <m/>
    <m/>
    <m/>
    <m/>
    <m/>
    <m/>
    <m/>
    <m/>
    <m/>
    <m/>
    <m/>
    <m/>
    <m/>
    <m/>
    <m/>
    <m/>
    <n v="0"/>
    <n v="58"/>
    <n v="0"/>
    <n v="0"/>
    <n v="0"/>
    <n v="58"/>
    <n v="0"/>
    <n v="58"/>
    <n v="0"/>
    <n v="0"/>
    <n v="0"/>
    <n v="0"/>
    <n v="58"/>
    <n v="0"/>
    <m/>
    <m/>
    <m/>
    <m/>
    <m/>
    <m/>
    <m/>
    <m/>
    <m/>
    <m/>
    <m/>
    <m/>
    <m/>
    <m/>
    <m/>
    <m/>
    <m/>
    <m/>
    <m/>
    <m/>
    <m/>
    <m/>
    <m/>
    <m/>
    <m/>
    <m/>
    <m/>
    <m/>
    <m/>
    <m/>
    <m/>
    <m/>
    <m/>
    <m/>
  </r>
  <r>
    <n v="742"/>
    <d v="2025-03-03T00:00:00"/>
    <s v="ZBTO"/>
    <n v="9518569788"/>
    <n v="8"/>
    <s v="9518569788-8"/>
    <m/>
    <s v="Mar'25 additional"/>
    <s v="Released orders"/>
    <x v="1"/>
    <x v="3"/>
    <n v="2000"/>
    <m/>
    <x v="0"/>
    <m/>
    <m/>
    <m/>
    <m/>
    <m/>
    <m/>
    <m/>
    <s v="SAGAR STEELS"/>
    <n v="1804814"/>
    <s v="CRCA COIL TATXXD AU03 0.8X1250"/>
    <m/>
    <m/>
    <m/>
    <m/>
    <m/>
    <s v="C01"/>
    <s v="TATXXD"/>
    <s v="AU03"/>
    <n v="0.8"/>
    <n v="1250"/>
    <n v="0"/>
    <n v="58"/>
    <m/>
    <m/>
    <m/>
    <m/>
    <m/>
    <m/>
    <m/>
    <m/>
    <n v="58"/>
    <m/>
    <m/>
    <m/>
    <m/>
    <m/>
    <m/>
    <m/>
    <m/>
    <m/>
    <m/>
    <m/>
    <m/>
    <m/>
    <m/>
    <m/>
    <m/>
    <m/>
    <m/>
    <m/>
    <m/>
    <m/>
    <m/>
    <m/>
    <m/>
    <m/>
    <n v="0"/>
    <n v="0"/>
    <n v="0"/>
    <n v="0"/>
    <n v="0"/>
    <n v="0"/>
    <n v="0"/>
    <n v="0"/>
    <n v="0"/>
    <n v="0"/>
    <n v="0"/>
    <n v="0"/>
    <n v="0"/>
    <n v="0"/>
    <m/>
    <m/>
    <m/>
    <m/>
    <m/>
    <m/>
    <m/>
    <m/>
    <m/>
    <m/>
    <m/>
    <m/>
    <m/>
    <m/>
    <m/>
    <m/>
    <m/>
    <m/>
    <m/>
    <m/>
    <m/>
    <m/>
    <m/>
    <m/>
    <m/>
    <m/>
    <m/>
    <m/>
    <m/>
    <m/>
    <m/>
    <m/>
    <m/>
    <m/>
  </r>
  <r>
    <n v="743"/>
    <d v="2025-03-10T00:00:00"/>
    <s v="ZBTO"/>
    <n v="9518588324"/>
    <n v="1"/>
    <s v="9518588324-1"/>
    <m/>
    <s v="Mar'25 additional"/>
    <s v="Released orders"/>
    <x v="3"/>
    <x v="5"/>
    <n v="1000"/>
    <m/>
    <x v="0"/>
    <m/>
    <m/>
    <m/>
    <m/>
    <m/>
    <m/>
    <m/>
    <s v="Colorshine Coated Pvt.Ltd."/>
    <n v="3245089"/>
    <s v="GL COIL HARD  Y550GL H7GL 0.320X1245"/>
    <m/>
    <m/>
    <m/>
    <m/>
    <m/>
    <s v="B04"/>
    <s v="Y550GL"/>
    <s v="H7GL"/>
    <n v="0.32"/>
    <n v="1245"/>
    <n v="0"/>
    <n v="290"/>
    <m/>
    <m/>
    <m/>
    <m/>
    <m/>
    <m/>
    <m/>
    <m/>
    <n v="290"/>
    <m/>
    <m/>
    <m/>
    <m/>
    <m/>
    <m/>
    <m/>
    <m/>
    <m/>
    <m/>
    <m/>
    <m/>
    <m/>
    <m/>
    <m/>
    <m/>
    <m/>
    <m/>
    <m/>
    <m/>
    <m/>
    <m/>
    <m/>
    <m/>
    <m/>
    <n v="0"/>
    <n v="290"/>
    <n v="0"/>
    <n v="0"/>
    <n v="290"/>
    <n v="0"/>
    <n v="0"/>
    <n v="290"/>
    <n v="0"/>
    <n v="0"/>
    <n v="0"/>
    <n v="290"/>
    <n v="0"/>
    <n v="0"/>
    <m/>
    <m/>
    <m/>
    <m/>
    <m/>
    <m/>
    <m/>
    <m/>
    <m/>
    <m/>
    <m/>
    <m/>
    <m/>
    <m/>
    <m/>
    <m/>
    <m/>
    <m/>
    <m/>
    <m/>
    <m/>
    <m/>
    <m/>
    <m/>
    <m/>
    <m/>
    <m/>
    <m/>
    <m/>
    <m/>
    <m/>
    <m/>
    <m/>
    <m/>
  </r>
  <r>
    <n v="743"/>
    <d v="2025-03-10T00:00:00"/>
    <s v="ZBTO"/>
    <n v="9518588324"/>
    <n v="2"/>
    <s v="9518588324-2"/>
    <m/>
    <s v="Mar'25 additional"/>
    <s v="Released orders"/>
    <x v="3"/>
    <x v="5"/>
    <n v="1000"/>
    <m/>
    <x v="0"/>
    <m/>
    <m/>
    <m/>
    <m/>
    <m/>
    <m/>
    <m/>
    <s v="Colorshine Coated Pvt.Ltd."/>
    <n v="3245089"/>
    <s v="GL COIL HARD  Y550GL H7GL 0.320X1245"/>
    <m/>
    <m/>
    <m/>
    <m/>
    <m/>
    <s v="B04"/>
    <s v="Y550GL"/>
    <s v="H7GL"/>
    <n v="0.32"/>
    <n v="1245"/>
    <n v="0"/>
    <n v="290"/>
    <m/>
    <m/>
    <m/>
    <m/>
    <m/>
    <m/>
    <m/>
    <m/>
    <n v="290"/>
    <m/>
    <m/>
    <m/>
    <m/>
    <m/>
    <m/>
    <m/>
    <m/>
    <m/>
    <m/>
    <m/>
    <m/>
    <m/>
    <m/>
    <m/>
    <m/>
    <m/>
    <m/>
    <m/>
    <m/>
    <m/>
    <m/>
    <m/>
    <m/>
    <m/>
    <n v="0"/>
    <n v="290"/>
    <n v="0"/>
    <n v="0"/>
    <n v="290"/>
    <n v="0"/>
    <n v="0"/>
    <n v="290"/>
    <n v="0"/>
    <n v="0"/>
    <n v="0"/>
    <n v="290"/>
    <n v="0"/>
    <n v="0"/>
    <m/>
    <m/>
    <m/>
    <m/>
    <m/>
    <m/>
    <m/>
    <m/>
    <m/>
    <m/>
    <m/>
    <m/>
    <m/>
    <m/>
    <m/>
    <m/>
    <m/>
    <m/>
    <m/>
    <m/>
    <m/>
    <m/>
    <m/>
    <m/>
    <m/>
    <m/>
    <m/>
    <m/>
    <m/>
    <m/>
    <m/>
    <m/>
    <m/>
    <m/>
  </r>
  <r>
    <n v="743"/>
    <d v="2025-03-10T00:00:00"/>
    <s v="ZBTO"/>
    <n v="9518588324"/>
    <n v="3"/>
    <s v="9518588324-3"/>
    <m/>
    <s v="Mar'25 additional"/>
    <s v="Released orders"/>
    <x v="3"/>
    <x v="5"/>
    <n v="1000"/>
    <m/>
    <x v="0"/>
    <m/>
    <m/>
    <m/>
    <m/>
    <m/>
    <m/>
    <m/>
    <s v="Colorshine Coated Pvt.Ltd."/>
    <n v="3245089"/>
    <s v="GL COIL HARD  Y550GL H7GL 0.320X1245"/>
    <m/>
    <m/>
    <m/>
    <m/>
    <m/>
    <s v="B04"/>
    <s v="Y550GL"/>
    <s v="H7GL"/>
    <n v="0.32"/>
    <n v="1245"/>
    <n v="0"/>
    <n v="290"/>
    <m/>
    <m/>
    <m/>
    <m/>
    <m/>
    <m/>
    <m/>
    <m/>
    <n v="290"/>
    <m/>
    <m/>
    <m/>
    <m/>
    <m/>
    <m/>
    <m/>
    <m/>
    <m/>
    <m/>
    <m/>
    <m/>
    <m/>
    <m/>
    <m/>
    <m/>
    <m/>
    <m/>
    <m/>
    <m/>
    <m/>
    <m/>
    <m/>
    <m/>
    <m/>
    <n v="0"/>
    <n v="290"/>
    <n v="0"/>
    <n v="0"/>
    <n v="290"/>
    <n v="0"/>
    <n v="0"/>
    <n v="290"/>
    <n v="0"/>
    <n v="0"/>
    <n v="0"/>
    <n v="290"/>
    <n v="0"/>
    <n v="0"/>
    <m/>
    <m/>
    <m/>
    <m/>
    <m/>
    <m/>
    <m/>
    <m/>
    <m/>
    <m/>
    <m/>
    <m/>
    <m/>
    <m/>
    <m/>
    <m/>
    <m/>
    <m/>
    <m/>
    <m/>
    <m/>
    <m/>
    <m/>
    <m/>
    <m/>
    <m/>
    <m/>
    <m/>
    <m/>
    <m/>
    <m/>
    <m/>
    <m/>
    <m/>
  </r>
  <r>
    <n v="743"/>
    <d v="2025-03-10T00:00:00"/>
    <s v="ZBTO"/>
    <n v="9518588324"/>
    <n v="4"/>
    <s v="9518588324-4"/>
    <m/>
    <s v="Mar'25 additional"/>
    <s v="Released orders"/>
    <x v="3"/>
    <x v="5"/>
    <n v="1000"/>
    <m/>
    <x v="0"/>
    <m/>
    <m/>
    <m/>
    <m/>
    <m/>
    <m/>
    <m/>
    <s v="Colorshine Coated Pvt.Ltd."/>
    <n v="3245089"/>
    <s v="GL COIL HARD  Y550GL H7GL 0.320X1245"/>
    <m/>
    <m/>
    <m/>
    <m/>
    <m/>
    <s v="B04"/>
    <s v="Y550GL"/>
    <s v="H7GL"/>
    <n v="0.32"/>
    <n v="1245"/>
    <n v="0"/>
    <n v="116"/>
    <m/>
    <m/>
    <m/>
    <m/>
    <m/>
    <m/>
    <m/>
    <m/>
    <n v="116"/>
    <m/>
    <m/>
    <m/>
    <m/>
    <m/>
    <m/>
    <m/>
    <m/>
    <m/>
    <m/>
    <m/>
    <m/>
    <m/>
    <m/>
    <m/>
    <m/>
    <m/>
    <m/>
    <m/>
    <m/>
    <m/>
    <m/>
    <m/>
    <m/>
    <m/>
    <n v="0"/>
    <n v="116"/>
    <n v="0"/>
    <n v="0"/>
    <n v="116"/>
    <n v="0"/>
    <n v="0"/>
    <n v="116"/>
    <n v="0"/>
    <n v="0"/>
    <n v="0"/>
    <n v="116"/>
    <n v="0"/>
    <n v="0"/>
    <m/>
    <m/>
    <m/>
    <m/>
    <m/>
    <m/>
    <m/>
    <m/>
    <m/>
    <m/>
    <m/>
    <m/>
    <m/>
    <m/>
    <m/>
    <m/>
    <m/>
    <m/>
    <m/>
    <m/>
    <m/>
    <m/>
    <m/>
    <m/>
    <m/>
    <m/>
    <m/>
    <m/>
    <m/>
    <m/>
    <m/>
    <m/>
    <m/>
    <m/>
  </r>
  <r>
    <n v="743"/>
    <d v="2025-01-28T00:00:00"/>
    <s v="ZBTO"/>
    <n v="9518469175"/>
    <n v="2"/>
    <s v="9518469175-2"/>
    <m/>
    <s v="Mar'25 additional"/>
    <s v="Released orders"/>
    <x v="3"/>
    <x v="7"/>
    <n v="1000"/>
    <m/>
    <x v="0"/>
    <m/>
    <m/>
    <m/>
    <m/>
    <s v=" "/>
    <m/>
    <n v="942283"/>
    <s v="TATA BLUESCOPE STEEL PRIVATE LIMITE"/>
    <n v="1881969"/>
    <s v="GL C YS550 H6GL 0.45BMT(0.50TCT)X1220"/>
    <s v="AZ150"/>
    <m/>
    <n v="3"/>
    <n v="5"/>
    <m/>
    <s v="B04"/>
    <s v="Y550GL"/>
    <s v="H6GL"/>
    <n v="0.45"/>
    <n v="1220"/>
    <n v="0"/>
    <n v="196"/>
    <n v="186.81"/>
    <m/>
    <m/>
    <m/>
    <m/>
    <m/>
    <m/>
    <m/>
    <n v="9.19"/>
    <m/>
    <m/>
    <m/>
    <m/>
    <m/>
    <m/>
    <m/>
    <m/>
    <m/>
    <m/>
    <m/>
    <m/>
    <m/>
    <m/>
    <m/>
    <m/>
    <m/>
    <m/>
    <m/>
    <m/>
    <m/>
    <m/>
    <m/>
    <m/>
    <m/>
    <m/>
    <n v="9.19"/>
    <n v="0"/>
    <n v="0"/>
    <n v="0"/>
    <n v="9.19"/>
    <n v="0"/>
    <n v="9.19"/>
    <n v="0"/>
    <n v="0"/>
    <n v="0"/>
    <n v="9.19"/>
    <n v="0"/>
    <n v="0"/>
    <m/>
    <m/>
    <m/>
    <m/>
    <m/>
    <m/>
    <m/>
    <m/>
    <m/>
    <m/>
    <m/>
    <m/>
    <m/>
    <m/>
    <m/>
    <m/>
    <m/>
    <m/>
    <m/>
    <m/>
    <m/>
    <m/>
    <m/>
    <m/>
    <m/>
    <m/>
    <m/>
    <m/>
    <m/>
    <m/>
    <m/>
    <m/>
    <m/>
    <m/>
  </r>
  <r>
    <n v="743"/>
    <d v="2025-03-01T00:00:00"/>
    <s v="ZBTO"/>
    <n v="9518567404"/>
    <n v="1"/>
    <s v="9518567404-1"/>
    <m/>
    <s v="Mar'25 additional"/>
    <s v="Released orders"/>
    <x v="3"/>
    <x v="7"/>
    <n v="1000"/>
    <m/>
    <x v="0"/>
    <m/>
    <m/>
    <m/>
    <m/>
    <s v="RAJASTHAN"/>
    <m/>
    <n v="942293"/>
    <s v="TATA BLUESCOPE STEEL PRIVATE LIMITE"/>
    <n v="3946362"/>
    <s v="GL COIL HARD Y550GL M308 0.47 (TCT)X1220"/>
    <s v="AZ150"/>
    <m/>
    <n v="3"/>
    <n v="5"/>
    <m/>
    <s v="B04"/>
    <s v="Y550GL"/>
    <s v="M308"/>
    <n v="0.47"/>
    <n v="1220"/>
    <n v="0"/>
    <n v="252"/>
    <n v="0"/>
    <m/>
    <m/>
    <m/>
    <m/>
    <m/>
    <m/>
    <m/>
    <n v="252"/>
    <m/>
    <m/>
    <m/>
    <m/>
    <m/>
    <m/>
    <m/>
    <m/>
    <m/>
    <m/>
    <m/>
    <m/>
    <m/>
    <m/>
    <m/>
    <m/>
    <m/>
    <m/>
    <m/>
    <m/>
    <m/>
    <m/>
    <m/>
    <m/>
    <m/>
    <m/>
    <n v="252"/>
    <n v="0"/>
    <n v="0"/>
    <n v="0"/>
    <n v="252"/>
    <n v="0"/>
    <n v="252"/>
    <n v="0"/>
    <n v="0"/>
    <n v="0"/>
    <n v="252"/>
    <n v="0"/>
    <n v="0"/>
    <m/>
    <m/>
    <m/>
    <m/>
    <m/>
    <m/>
    <m/>
    <m/>
    <m/>
    <m/>
    <m/>
    <m/>
    <m/>
    <m/>
    <m/>
    <m/>
    <m/>
    <m/>
    <m/>
    <m/>
    <m/>
    <m/>
    <m/>
    <m/>
    <m/>
    <m/>
    <m/>
    <m/>
    <m/>
    <m/>
    <m/>
    <m/>
    <m/>
    <m/>
  </r>
  <r>
    <n v="743"/>
    <d v="2025-02-22T00:00:00"/>
    <s v="ZBTO"/>
    <n v="9518543332"/>
    <n v="1"/>
    <s v="9518543332-1"/>
    <m/>
    <s v="Mar'25 additional"/>
    <s v="Released orders"/>
    <x v="3"/>
    <x v="7"/>
    <n v="1000"/>
    <m/>
    <x v="0"/>
    <m/>
    <m/>
    <m/>
    <m/>
    <s v="TATANAGAR"/>
    <m/>
    <n v="942284"/>
    <s v="TATA BLUESCOPE STEEL PRIVATE LIMITE"/>
    <n v="3946364"/>
    <s v="GL COIL HARD Y550GL M308 0.50 (TCT)X1220"/>
    <s v="AZ150"/>
    <m/>
    <n v="3"/>
    <n v="5"/>
    <m/>
    <s v="B04"/>
    <s v="Y550GL"/>
    <s v="M308"/>
    <n v="0.5"/>
    <n v="1220"/>
    <n v="0"/>
    <n v="140"/>
    <n v="0"/>
    <m/>
    <m/>
    <m/>
    <m/>
    <m/>
    <m/>
    <m/>
    <n v="140"/>
    <m/>
    <m/>
    <m/>
    <m/>
    <m/>
    <m/>
    <m/>
    <m/>
    <m/>
    <m/>
    <m/>
    <m/>
    <m/>
    <m/>
    <m/>
    <m/>
    <m/>
    <m/>
    <m/>
    <m/>
    <m/>
    <m/>
    <m/>
    <m/>
    <m/>
    <m/>
    <n v="140"/>
    <n v="0"/>
    <n v="0"/>
    <n v="0"/>
    <n v="140"/>
    <n v="0"/>
    <n v="140"/>
    <n v="0"/>
    <n v="0"/>
    <n v="0"/>
    <n v="140"/>
    <n v="0"/>
    <n v="0"/>
    <m/>
    <m/>
    <m/>
    <m/>
    <m/>
    <m/>
    <m/>
    <m/>
    <m/>
    <m/>
    <m/>
    <m/>
    <m/>
    <m/>
    <m/>
    <m/>
    <m/>
    <m/>
    <m/>
    <m/>
    <m/>
    <m/>
    <m/>
    <m/>
    <m/>
    <m/>
    <m/>
    <m/>
    <m/>
    <m/>
    <m/>
    <m/>
    <m/>
    <m/>
  </r>
  <r>
    <n v="743"/>
    <d v="2025-02-26T00:00:00"/>
    <s v="ZBTO"/>
    <n v="9518556111"/>
    <n v="1"/>
    <s v="9518556111-1"/>
    <m/>
    <s v="Mar'25 additional"/>
    <s v="Released orders"/>
    <x v="3"/>
    <x v="7"/>
    <n v="1000"/>
    <m/>
    <x v="0"/>
    <m/>
    <m/>
    <m/>
    <m/>
    <s v="TAMILNADU"/>
    <m/>
    <n v="942294"/>
    <s v="TATA BLUESCOPE STEEL PRIVATE LIMITE"/>
    <n v="3946362"/>
    <s v="GL COIL HARD Y550GL M308 0.47 (TCT)X1220"/>
    <s v="AZ150"/>
    <m/>
    <n v="3"/>
    <n v="5"/>
    <m/>
    <s v="B04"/>
    <s v="Y550GL"/>
    <s v="M308"/>
    <n v="0.47"/>
    <n v="1220"/>
    <n v="0"/>
    <n v="168"/>
    <n v="0"/>
    <m/>
    <m/>
    <m/>
    <m/>
    <m/>
    <m/>
    <m/>
    <n v="168"/>
    <m/>
    <m/>
    <m/>
    <m/>
    <m/>
    <m/>
    <m/>
    <m/>
    <m/>
    <m/>
    <m/>
    <m/>
    <m/>
    <m/>
    <m/>
    <m/>
    <m/>
    <m/>
    <m/>
    <m/>
    <m/>
    <m/>
    <m/>
    <m/>
    <m/>
    <m/>
    <n v="168"/>
    <n v="0"/>
    <n v="0"/>
    <n v="0"/>
    <n v="168"/>
    <n v="0"/>
    <n v="168"/>
    <n v="0"/>
    <n v="0"/>
    <n v="0"/>
    <n v="168"/>
    <n v="0"/>
    <n v="0"/>
    <m/>
    <m/>
    <m/>
    <m/>
    <m/>
    <m/>
    <m/>
    <m/>
    <m/>
    <m/>
    <m/>
    <m/>
    <m/>
    <m/>
    <m/>
    <m/>
    <m/>
    <m/>
    <m/>
    <m/>
    <m/>
    <m/>
    <m/>
    <m/>
    <m/>
    <m/>
    <m/>
    <m/>
    <m/>
    <m/>
    <m/>
    <m/>
    <m/>
    <m/>
  </r>
  <r>
    <n v="743"/>
    <d v="2025-02-26T00:00:00"/>
    <s v="ZBTO"/>
    <n v="9518556111"/>
    <n v="2"/>
    <s v="9518556111-2"/>
    <m/>
    <s v="Mar'25 additional"/>
    <s v="Released orders"/>
    <x v="3"/>
    <x v="7"/>
    <n v="1000"/>
    <m/>
    <x v="0"/>
    <m/>
    <m/>
    <m/>
    <m/>
    <s v="TAMILNADU"/>
    <m/>
    <n v="942294"/>
    <s v="TATA BLUESCOPE STEEL PRIVATE LIMITE"/>
    <n v="3946364"/>
    <s v="GL COIL HARD Y550GL M308 0.50 (TCT)X1220"/>
    <s v="AZ150"/>
    <m/>
    <n v="3"/>
    <n v="5"/>
    <m/>
    <s v="B04"/>
    <s v="Y550GL"/>
    <s v="M308"/>
    <n v="0.5"/>
    <n v="1220"/>
    <n v="0"/>
    <n v="28"/>
    <n v="0"/>
    <m/>
    <m/>
    <m/>
    <m/>
    <m/>
    <m/>
    <m/>
    <n v="28"/>
    <m/>
    <m/>
    <m/>
    <m/>
    <m/>
    <m/>
    <m/>
    <m/>
    <m/>
    <m/>
    <m/>
    <m/>
    <m/>
    <m/>
    <m/>
    <m/>
    <m/>
    <m/>
    <m/>
    <m/>
    <m/>
    <m/>
    <m/>
    <m/>
    <m/>
    <m/>
    <n v="28"/>
    <n v="0"/>
    <n v="0"/>
    <n v="0"/>
    <n v="28"/>
    <n v="0"/>
    <n v="28"/>
    <n v="0"/>
    <n v="0"/>
    <n v="0"/>
    <n v="28"/>
    <n v="0"/>
    <n v="0"/>
    <m/>
    <m/>
    <m/>
    <m/>
    <m/>
    <m/>
    <m/>
    <m/>
    <m/>
    <m/>
    <m/>
    <m/>
    <m/>
    <m/>
    <m/>
    <m/>
    <m/>
    <m/>
    <m/>
    <m/>
    <m/>
    <m/>
    <m/>
    <m/>
    <m/>
    <m/>
    <m/>
    <m/>
    <m/>
    <m/>
    <m/>
    <m/>
    <m/>
    <m/>
  </r>
  <r>
    <n v="743"/>
    <d v="2025-02-22T00:00:00"/>
    <s v="ZBTO"/>
    <n v="9518543342"/>
    <n v="1"/>
    <s v="9518543342-1"/>
    <m/>
    <s v="Mar'25 additional"/>
    <s v="Released orders"/>
    <x v="3"/>
    <x v="7"/>
    <n v="1000"/>
    <m/>
    <x v="0"/>
    <m/>
    <m/>
    <m/>
    <m/>
    <s v="TATANAGAR"/>
    <m/>
    <n v="942284"/>
    <s v="TATA BLUESCOPE STEEL PRIVATE LIMITE"/>
    <n v="3946364"/>
    <s v="GL COIL HARD Y550GL M308 0.50 (TCT)X1220"/>
    <s v="AZ150"/>
    <m/>
    <n v="3"/>
    <n v="5"/>
    <m/>
    <s v="B04"/>
    <s v="Y550GL"/>
    <s v="M308"/>
    <n v="0.5"/>
    <n v="1220"/>
    <n v="0"/>
    <n v="28"/>
    <n v="17.59"/>
    <m/>
    <m/>
    <m/>
    <m/>
    <m/>
    <m/>
    <m/>
    <n v="10.41"/>
    <m/>
    <m/>
    <m/>
    <m/>
    <m/>
    <m/>
    <m/>
    <m/>
    <m/>
    <m/>
    <m/>
    <m/>
    <m/>
    <m/>
    <m/>
    <m/>
    <m/>
    <m/>
    <m/>
    <m/>
    <m/>
    <m/>
    <m/>
    <m/>
    <m/>
    <m/>
    <n v="10.41"/>
    <n v="0"/>
    <n v="0"/>
    <n v="0"/>
    <n v="10.41"/>
    <n v="0"/>
    <n v="10.41"/>
    <n v="0"/>
    <n v="0"/>
    <n v="0"/>
    <n v="10.41"/>
    <n v="0"/>
    <n v="0"/>
    <m/>
    <m/>
    <m/>
    <m/>
    <m/>
    <m/>
    <m/>
    <m/>
    <m/>
    <m/>
    <m/>
    <m/>
    <m/>
    <m/>
    <m/>
    <m/>
    <m/>
    <m/>
    <m/>
    <m/>
    <m/>
    <m/>
    <m/>
    <m/>
    <m/>
    <m/>
    <m/>
    <m/>
    <m/>
    <m/>
    <m/>
    <m/>
    <m/>
    <m/>
  </r>
  <r>
    <n v="743"/>
    <d v="2025-03-01T00:00:00"/>
    <s v="ZBTO"/>
    <n v="9518567049"/>
    <n v="1"/>
    <s v="9518567049-1"/>
    <m/>
    <s v="Mar'25 additional"/>
    <s v="Released orders"/>
    <x v="3"/>
    <x v="7"/>
    <n v="1000"/>
    <m/>
    <x v="0"/>
    <m/>
    <m/>
    <m/>
    <m/>
    <s v="RAJASTHAN"/>
    <m/>
    <n v="942293"/>
    <s v="TATA BLUESCOPE STEEL PRIVATE LIMITE"/>
    <n v="3946364"/>
    <s v="GL COIL HARD Y550GL M308 0.50 (TCT)X1220"/>
    <s v="AZ150"/>
    <m/>
    <n v="3"/>
    <n v="5"/>
    <m/>
    <s v="B04"/>
    <s v="Y550GL"/>
    <s v="M308"/>
    <n v="0.5"/>
    <n v="1220"/>
    <n v="0"/>
    <n v="84"/>
    <n v="0"/>
    <m/>
    <m/>
    <m/>
    <m/>
    <m/>
    <m/>
    <m/>
    <n v="84"/>
    <m/>
    <m/>
    <m/>
    <m/>
    <m/>
    <m/>
    <m/>
    <m/>
    <m/>
    <m/>
    <m/>
    <m/>
    <m/>
    <m/>
    <m/>
    <m/>
    <m/>
    <m/>
    <m/>
    <m/>
    <m/>
    <m/>
    <m/>
    <m/>
    <m/>
    <m/>
    <n v="84"/>
    <n v="0"/>
    <n v="0"/>
    <n v="0"/>
    <n v="84"/>
    <n v="0"/>
    <n v="84"/>
    <n v="0"/>
    <n v="0"/>
    <n v="0"/>
    <n v="84"/>
    <n v="0"/>
    <n v="0"/>
    <m/>
    <m/>
    <m/>
    <m/>
    <m/>
    <m/>
    <m/>
    <m/>
    <m/>
    <m/>
    <m/>
    <m/>
    <m/>
    <m/>
    <m/>
    <m/>
    <m/>
    <m/>
    <m/>
    <m/>
    <m/>
    <m/>
    <m/>
    <m/>
    <m/>
    <m/>
    <m/>
    <m/>
    <m/>
    <m/>
    <m/>
    <m/>
    <m/>
    <m/>
  </r>
  <r>
    <m/>
    <m/>
    <s v="RE"/>
    <s v="621282475"/>
    <n v="1"/>
    <s v="621282475-1"/>
    <m/>
    <s v="Stocks"/>
    <m/>
    <x v="3"/>
    <x v="5"/>
    <m/>
    <m/>
    <x v="0"/>
    <m/>
    <m/>
    <m/>
    <m/>
    <m/>
    <m/>
    <m/>
    <s v="Manaksia Steels Limited"/>
    <n v="2427835"/>
    <s v="GL COIL HARD  Y550GL H7GL 0.350X1245"/>
    <m/>
    <m/>
    <m/>
    <m/>
    <m/>
    <s v="B04"/>
    <s v="Y550GL"/>
    <s v="H7GL"/>
    <n v="0.35"/>
    <n v="1245"/>
    <m/>
    <m/>
    <m/>
    <m/>
    <m/>
    <m/>
    <m/>
    <m/>
    <m/>
    <m/>
    <m/>
    <m/>
    <m/>
    <m/>
    <m/>
    <m/>
    <m/>
    <m/>
    <m/>
    <m/>
    <m/>
    <m/>
    <m/>
    <m/>
    <m/>
    <m/>
    <m/>
    <m/>
    <m/>
    <m/>
    <m/>
    <m/>
    <m/>
    <m/>
    <m/>
    <m/>
    <n v="9.51"/>
    <n v="0"/>
    <n v="0"/>
    <n v="0"/>
    <n v="0"/>
    <n v="0"/>
    <n v="0"/>
    <n v="9.51"/>
    <n v="0"/>
    <n v="9.51"/>
    <n v="0"/>
    <n v="0"/>
    <n v="0"/>
    <n v="0"/>
    <m/>
    <m/>
    <m/>
    <m/>
    <m/>
    <m/>
    <m/>
    <m/>
    <m/>
    <m/>
    <m/>
    <m/>
    <m/>
    <m/>
    <m/>
    <m/>
    <m/>
    <m/>
    <m/>
    <m/>
    <m/>
    <m/>
    <m/>
    <m/>
    <m/>
    <m/>
    <m/>
    <m/>
    <m/>
    <m/>
    <m/>
    <m/>
    <m/>
    <m/>
  </r>
  <r>
    <m/>
    <m/>
    <s v="ZBTC"/>
    <m/>
    <m/>
    <s v="9517079217-15"/>
    <m/>
    <s v="Stocks"/>
    <m/>
    <x v="4"/>
    <x v="7"/>
    <m/>
    <m/>
    <x v="0"/>
    <m/>
    <m/>
    <m/>
    <m/>
    <m/>
    <m/>
    <m/>
    <s v="TATA BLUESCOPE STEEL PVT LTD"/>
    <n v="3242536"/>
    <s v="PPGL PROF Y550PL PLH1 0.430X1010X6100"/>
    <m/>
    <m/>
    <m/>
    <m/>
    <m/>
    <s v="B20"/>
    <s v="Y550PL"/>
    <s v="PLH1"/>
    <n v="0.43"/>
    <n v="1010"/>
    <n v="6100"/>
    <m/>
    <m/>
    <m/>
    <m/>
    <m/>
    <m/>
    <m/>
    <m/>
    <m/>
    <m/>
    <m/>
    <m/>
    <m/>
    <m/>
    <m/>
    <m/>
    <m/>
    <m/>
    <m/>
    <m/>
    <m/>
    <m/>
    <m/>
    <m/>
    <m/>
    <m/>
    <m/>
    <m/>
    <m/>
    <m/>
    <m/>
    <m/>
    <m/>
    <m/>
    <m/>
    <n v="1.57"/>
    <n v="0"/>
    <n v="0"/>
    <n v="0"/>
    <n v="0"/>
    <n v="0"/>
    <n v="0"/>
    <n v="1.57"/>
    <n v="0"/>
    <n v="0"/>
    <n v="1.57"/>
    <n v="0"/>
    <n v="0"/>
    <n v="0"/>
    <m/>
    <m/>
    <m/>
    <m/>
    <m/>
    <m/>
    <m/>
    <m/>
    <m/>
    <m/>
    <m/>
    <m/>
    <m/>
    <m/>
    <m/>
    <m/>
    <m/>
    <m/>
    <m/>
    <m/>
    <m/>
    <m/>
    <m/>
    <m/>
    <m/>
    <m/>
    <m/>
    <m/>
    <m/>
    <m/>
    <m/>
    <m/>
    <m/>
    <m/>
  </r>
  <r>
    <m/>
    <m/>
    <s v="ZBTC"/>
    <m/>
    <m/>
    <s v="9517079217-16"/>
    <m/>
    <s v="Stocks"/>
    <m/>
    <x v="4"/>
    <x v="7"/>
    <m/>
    <m/>
    <x v="0"/>
    <m/>
    <m/>
    <m/>
    <m/>
    <m/>
    <m/>
    <m/>
    <s v="TATA BLUESCOPE STEEL PVT LTD"/>
    <n v="3440567"/>
    <s v="PPGL C Y300 SPL2 0.430BMT(0.48TPT)X1100"/>
    <m/>
    <m/>
    <m/>
    <m/>
    <m/>
    <s v="B17"/>
    <s v="Y300PL"/>
    <s v="SPL2"/>
    <n v="0.43"/>
    <n v="1100"/>
    <n v="379"/>
    <m/>
    <m/>
    <m/>
    <m/>
    <m/>
    <m/>
    <m/>
    <m/>
    <m/>
    <m/>
    <m/>
    <m/>
    <m/>
    <m/>
    <m/>
    <m/>
    <m/>
    <m/>
    <m/>
    <m/>
    <m/>
    <m/>
    <m/>
    <m/>
    <m/>
    <m/>
    <m/>
    <m/>
    <m/>
    <m/>
    <m/>
    <m/>
    <m/>
    <m/>
    <m/>
    <n v="1.5"/>
    <n v="0"/>
    <n v="0"/>
    <n v="0"/>
    <n v="0"/>
    <n v="0"/>
    <n v="0"/>
    <n v="1.5"/>
    <n v="0"/>
    <n v="0"/>
    <n v="1.5"/>
    <n v="0"/>
    <n v="0"/>
    <n v="0"/>
    <m/>
    <m/>
    <m/>
    <m/>
    <m/>
    <m/>
    <m/>
    <m/>
    <m/>
    <m/>
    <m/>
    <m/>
    <m/>
    <m/>
    <m/>
    <m/>
    <m/>
    <m/>
    <m/>
    <m/>
    <m/>
    <m/>
    <m/>
    <m/>
    <m/>
    <m/>
    <m/>
    <m/>
    <m/>
    <m/>
    <m/>
    <m/>
    <m/>
    <m/>
  </r>
  <r>
    <m/>
    <m/>
    <s v="ZBTC"/>
    <m/>
    <m/>
    <s v="9517427639-3"/>
    <m/>
    <s v="Stocks"/>
    <m/>
    <x v="2"/>
    <x v="2"/>
    <m/>
    <m/>
    <x v="0"/>
    <m/>
    <m/>
    <m/>
    <m/>
    <m/>
    <m/>
    <m/>
    <s v="Shree Bajrang Steel Udyog"/>
    <n v="1854424"/>
    <s v="GP COIL SOFT-TATXGP-GK09-0.6X900"/>
    <m/>
    <m/>
    <m/>
    <m/>
    <m/>
    <s v="C02"/>
    <s v="TATXGP"/>
    <s v="GK09"/>
    <n v="0.6"/>
    <n v="900"/>
    <m/>
    <m/>
    <m/>
    <m/>
    <m/>
    <m/>
    <m/>
    <m/>
    <m/>
    <m/>
    <m/>
    <m/>
    <m/>
    <m/>
    <m/>
    <m/>
    <m/>
    <m/>
    <m/>
    <m/>
    <m/>
    <m/>
    <m/>
    <m/>
    <m/>
    <m/>
    <m/>
    <m/>
    <m/>
    <m/>
    <m/>
    <m/>
    <m/>
    <m/>
    <m/>
    <m/>
    <n v="4.84"/>
    <n v="0"/>
    <n v="0"/>
    <n v="0"/>
    <n v="0"/>
    <n v="0"/>
    <n v="0"/>
    <n v="4.84"/>
    <n v="0"/>
    <n v="4.84"/>
    <n v="0"/>
    <n v="0"/>
    <n v="0"/>
    <n v="0"/>
    <m/>
    <m/>
    <m/>
    <m/>
    <m/>
    <m/>
    <m/>
    <m/>
    <m/>
    <m/>
    <m/>
    <m/>
    <m/>
    <m/>
    <m/>
    <m/>
    <m/>
    <m/>
    <m/>
    <m/>
    <m/>
    <m/>
    <m/>
    <m/>
    <m/>
    <m/>
    <m/>
    <m/>
    <m/>
    <m/>
    <m/>
    <m/>
    <m/>
    <m/>
  </r>
  <r>
    <m/>
    <m/>
    <s v="ZBTC"/>
    <m/>
    <m/>
    <s v="9517950299-1"/>
    <m/>
    <s v="Stocks"/>
    <m/>
    <x v="2"/>
    <x v="6"/>
    <m/>
    <m/>
    <x v="0"/>
    <m/>
    <m/>
    <m/>
    <m/>
    <m/>
    <m/>
    <m/>
    <s v="Hitkar Enterprises"/>
    <n v="1854399"/>
    <s v="GP COIL SOFT-TATXGP-GK09-0.35X1220"/>
    <m/>
    <m/>
    <m/>
    <m/>
    <m/>
    <s v="C02"/>
    <s v="TATXGP"/>
    <s v="GK09"/>
    <n v="0.35"/>
    <n v="1220"/>
    <m/>
    <m/>
    <m/>
    <m/>
    <m/>
    <m/>
    <m/>
    <m/>
    <m/>
    <m/>
    <m/>
    <m/>
    <m/>
    <m/>
    <m/>
    <m/>
    <m/>
    <m/>
    <m/>
    <m/>
    <m/>
    <m/>
    <m/>
    <m/>
    <m/>
    <m/>
    <m/>
    <m/>
    <m/>
    <m/>
    <m/>
    <m/>
    <m/>
    <m/>
    <m/>
    <m/>
    <n v="3.5350000000000001"/>
    <n v="0"/>
    <n v="0"/>
    <n v="0"/>
    <n v="0"/>
    <n v="0"/>
    <n v="0"/>
    <n v="3.5350000000000001"/>
    <n v="0"/>
    <n v="3.5350000000000001"/>
    <n v="0"/>
    <n v="0"/>
    <n v="0"/>
    <n v="0"/>
    <m/>
    <m/>
    <m/>
    <m/>
    <m/>
    <m/>
    <m/>
    <m/>
    <m/>
    <m/>
    <m/>
    <m/>
    <m/>
    <m/>
    <m/>
    <m/>
    <m/>
    <m/>
    <m/>
    <m/>
    <m/>
    <m/>
    <m/>
    <m/>
    <m/>
    <m/>
    <m/>
    <m/>
    <m/>
    <m/>
    <m/>
    <m/>
    <m/>
    <m/>
  </r>
  <r>
    <m/>
    <m/>
    <s v="ZBTC"/>
    <m/>
    <m/>
    <s v="9517976774-28"/>
    <m/>
    <s v="Stocks"/>
    <m/>
    <x v="4"/>
    <x v="7"/>
    <m/>
    <m/>
    <x v="0"/>
    <m/>
    <m/>
    <m/>
    <m/>
    <m/>
    <m/>
    <m/>
    <s v="TATA BLUESCOPE STEEL PRIVATE LIMITE"/>
    <n v="1637522"/>
    <s v="PPGL COIL HARD-Y550PL-HPL3-0.7X1220"/>
    <m/>
    <m/>
    <m/>
    <m/>
    <m/>
    <s v="B18"/>
    <s v="Y550PL"/>
    <s v="HPL3"/>
    <n v="0.7"/>
    <n v="1220"/>
    <n v="270"/>
    <m/>
    <m/>
    <m/>
    <m/>
    <m/>
    <m/>
    <m/>
    <m/>
    <m/>
    <m/>
    <m/>
    <m/>
    <m/>
    <m/>
    <m/>
    <m/>
    <m/>
    <m/>
    <m/>
    <m/>
    <m/>
    <m/>
    <m/>
    <m/>
    <m/>
    <m/>
    <m/>
    <m/>
    <m/>
    <m/>
    <m/>
    <m/>
    <m/>
    <m/>
    <m/>
    <n v="14"/>
    <n v="0"/>
    <n v="0"/>
    <n v="0"/>
    <n v="0"/>
    <n v="0"/>
    <n v="0"/>
    <n v="14"/>
    <n v="0"/>
    <n v="0"/>
    <n v="14"/>
    <n v="0"/>
    <n v="0"/>
    <n v="0"/>
    <m/>
    <m/>
    <m/>
    <m/>
    <m/>
    <m/>
    <m/>
    <m/>
    <m/>
    <m/>
    <m/>
    <m/>
    <m/>
    <m/>
    <m/>
    <m/>
    <m/>
    <m/>
    <m/>
    <m/>
    <m/>
    <m/>
    <m/>
    <m/>
    <m/>
    <m/>
    <m/>
    <m/>
    <m/>
    <m/>
    <m/>
    <m/>
    <m/>
    <m/>
  </r>
  <r>
    <m/>
    <m/>
    <s v="ZBTC"/>
    <m/>
    <m/>
    <s v="9517976774-42"/>
    <m/>
    <s v="Stocks"/>
    <m/>
    <x v="4"/>
    <x v="7"/>
    <m/>
    <m/>
    <x v="0"/>
    <m/>
    <m/>
    <m/>
    <m/>
    <m/>
    <m/>
    <m/>
    <s v="TATA BLUESCOPE STEEL PRIVATE LIMITE"/>
    <n v="1641099"/>
    <s v="PPGL C Y550 HPL3 0.60BMT(0.68TPT)X1220"/>
    <m/>
    <m/>
    <m/>
    <m/>
    <m/>
    <s v="B18"/>
    <s v="Y550PL"/>
    <s v="HPL3"/>
    <n v="0.6"/>
    <n v="1220"/>
    <n v="328"/>
    <m/>
    <m/>
    <m/>
    <m/>
    <m/>
    <m/>
    <m/>
    <m/>
    <m/>
    <m/>
    <m/>
    <m/>
    <m/>
    <m/>
    <m/>
    <m/>
    <m/>
    <m/>
    <m/>
    <m/>
    <m/>
    <m/>
    <m/>
    <m/>
    <m/>
    <m/>
    <m/>
    <m/>
    <m/>
    <m/>
    <m/>
    <m/>
    <m/>
    <m/>
    <m/>
    <n v="8"/>
    <n v="0"/>
    <n v="0"/>
    <n v="0"/>
    <n v="0"/>
    <n v="0"/>
    <n v="0"/>
    <n v="8"/>
    <n v="0"/>
    <n v="0"/>
    <n v="8"/>
    <n v="0"/>
    <n v="0"/>
    <n v="0"/>
    <m/>
    <m/>
    <m/>
    <m/>
    <m/>
    <m/>
    <m/>
    <m/>
    <m/>
    <m/>
    <m/>
    <m/>
    <m/>
    <m/>
    <m/>
    <m/>
    <m/>
    <m/>
    <m/>
    <m/>
    <m/>
    <m/>
    <m/>
    <m/>
    <m/>
    <m/>
    <m/>
    <m/>
    <m/>
    <m/>
    <m/>
    <m/>
    <m/>
    <m/>
  </r>
  <r>
    <m/>
    <m/>
    <s v="ZBTC"/>
    <m/>
    <m/>
    <s v="9518037772-13"/>
    <m/>
    <s v="Stocks"/>
    <m/>
    <x v="4"/>
    <x v="7"/>
    <m/>
    <m/>
    <x v="0"/>
    <m/>
    <m/>
    <m/>
    <m/>
    <m/>
    <m/>
    <m/>
    <s v="TATA BLUESCOPE STEEL PRIVATE LIMITE"/>
    <n v="1636510"/>
    <s v="PPGL COIL HARD-Y550PL-HPL3-0.55X1220"/>
    <m/>
    <m/>
    <m/>
    <m/>
    <m/>
    <s v="B18"/>
    <s v="Y550PL"/>
    <s v="HPL3"/>
    <n v="0.55000000000000004"/>
    <n v="1220"/>
    <n v="685"/>
    <m/>
    <m/>
    <m/>
    <m/>
    <m/>
    <m/>
    <m/>
    <m/>
    <m/>
    <m/>
    <m/>
    <m/>
    <m/>
    <m/>
    <m/>
    <m/>
    <m/>
    <m/>
    <m/>
    <m/>
    <m/>
    <m/>
    <m/>
    <m/>
    <m/>
    <m/>
    <m/>
    <m/>
    <m/>
    <m/>
    <m/>
    <m/>
    <m/>
    <m/>
    <m/>
    <n v="9"/>
    <n v="0"/>
    <n v="0"/>
    <n v="0"/>
    <n v="0"/>
    <n v="0"/>
    <n v="0"/>
    <n v="9"/>
    <n v="0"/>
    <n v="0"/>
    <n v="9"/>
    <n v="0"/>
    <n v="0"/>
    <n v="0"/>
    <m/>
    <m/>
    <m/>
    <m/>
    <m/>
    <m/>
    <m/>
    <m/>
    <m/>
    <m/>
    <m/>
    <m/>
    <m/>
    <m/>
    <m/>
    <m/>
    <m/>
    <m/>
    <m/>
    <m/>
    <m/>
    <m/>
    <m/>
    <m/>
    <m/>
    <m/>
    <m/>
    <m/>
    <m/>
    <m/>
    <m/>
    <m/>
    <m/>
    <m/>
  </r>
  <r>
    <m/>
    <m/>
    <s v="ZBTC"/>
    <m/>
    <m/>
    <s v="9518037772-18"/>
    <m/>
    <s v="Stocks"/>
    <m/>
    <x v="4"/>
    <x v="7"/>
    <m/>
    <m/>
    <x v="0"/>
    <m/>
    <m/>
    <m/>
    <m/>
    <m/>
    <m/>
    <m/>
    <s v="TATA BLUESCOPE STEEL PRIVATE LIMITE"/>
    <n v="1640840"/>
    <s v="PPGL C Y550 HPL3 0.45BMT(0.53TPT)X1220"/>
    <m/>
    <m/>
    <m/>
    <m/>
    <m/>
    <s v="B18"/>
    <s v="Y550PL"/>
    <s v="HPL3"/>
    <n v="0.45"/>
    <n v="1220"/>
    <n v="745"/>
    <m/>
    <m/>
    <m/>
    <m/>
    <m/>
    <m/>
    <m/>
    <m/>
    <m/>
    <m/>
    <m/>
    <m/>
    <m/>
    <m/>
    <m/>
    <m/>
    <m/>
    <m/>
    <m/>
    <m/>
    <m/>
    <m/>
    <m/>
    <m/>
    <m/>
    <m/>
    <m/>
    <m/>
    <m/>
    <m/>
    <m/>
    <m/>
    <m/>
    <m/>
    <m/>
    <n v="3.37"/>
    <n v="0"/>
    <n v="0"/>
    <n v="0"/>
    <n v="0"/>
    <n v="0"/>
    <n v="0"/>
    <n v="3.37"/>
    <n v="0"/>
    <n v="0"/>
    <n v="3.37"/>
    <n v="0"/>
    <n v="0"/>
    <n v="0"/>
    <m/>
    <m/>
    <m/>
    <m/>
    <m/>
    <m/>
    <m/>
    <m/>
    <m/>
    <m/>
    <m/>
    <m/>
    <m/>
    <m/>
    <m/>
    <m/>
    <m/>
    <m/>
    <m/>
    <m/>
    <m/>
    <m/>
    <m/>
    <m/>
    <m/>
    <m/>
    <m/>
    <m/>
    <m/>
    <m/>
    <m/>
    <m/>
    <m/>
    <m/>
  </r>
  <r>
    <m/>
    <m/>
    <s v="ZBTC"/>
    <m/>
    <m/>
    <s v="9518100202-1"/>
    <m/>
    <s v="Stocks"/>
    <m/>
    <x v="4"/>
    <x v="7"/>
    <m/>
    <m/>
    <x v="0"/>
    <m/>
    <m/>
    <m/>
    <m/>
    <m/>
    <m/>
    <m/>
    <s v="TATA BLUESCOPE STEEL PVT LTD."/>
    <n v="3522241"/>
    <s v="PPGL C Y550 D0C7 0.43BMT(0.47TPT)X1220"/>
    <m/>
    <m/>
    <m/>
    <m/>
    <m/>
    <s v="B18"/>
    <s v="Y550PL"/>
    <s v="D0C7"/>
    <n v="0.43"/>
    <n v="1220"/>
    <m/>
    <m/>
    <m/>
    <m/>
    <m/>
    <m/>
    <m/>
    <m/>
    <m/>
    <m/>
    <m/>
    <m/>
    <m/>
    <m/>
    <m/>
    <m/>
    <m/>
    <m/>
    <m/>
    <m/>
    <m/>
    <m/>
    <m/>
    <m/>
    <m/>
    <m/>
    <m/>
    <m/>
    <m/>
    <m/>
    <m/>
    <m/>
    <m/>
    <m/>
    <m/>
    <m/>
    <n v="12.370000000000001"/>
    <n v="0"/>
    <n v="0"/>
    <n v="0"/>
    <n v="0"/>
    <n v="0"/>
    <n v="0"/>
    <n v="12.370000000000001"/>
    <n v="0"/>
    <n v="0"/>
    <n v="12.370000000000001"/>
    <n v="0"/>
    <n v="0"/>
    <n v="0"/>
    <m/>
    <m/>
    <m/>
    <m/>
    <m/>
    <m/>
    <m/>
    <m/>
    <m/>
    <m/>
    <m/>
    <m/>
    <m/>
    <m/>
    <m/>
    <m/>
    <m/>
    <m/>
    <m/>
    <m/>
    <m/>
    <m/>
    <m/>
    <m/>
    <m/>
    <m/>
    <m/>
    <m/>
    <m/>
    <m/>
    <m/>
    <m/>
    <m/>
    <m/>
  </r>
  <r>
    <m/>
    <m/>
    <s v="ZBTC"/>
    <m/>
    <m/>
    <s v="9518153966-1"/>
    <m/>
    <s v="Stocks"/>
    <m/>
    <x v="4"/>
    <x v="7"/>
    <m/>
    <m/>
    <x v="0"/>
    <m/>
    <m/>
    <m/>
    <m/>
    <m/>
    <m/>
    <m/>
    <s v="TATA BLUESCOPE STEEL PVT LTD."/>
    <n v="3522241"/>
    <s v="PPGL C Y550 D0C7 0.43BMT(0.47TPT)X1220"/>
    <m/>
    <m/>
    <m/>
    <m/>
    <m/>
    <s v="B18"/>
    <s v="Y550PL"/>
    <s v="D0C7"/>
    <n v="0.43"/>
    <n v="1220"/>
    <m/>
    <m/>
    <m/>
    <m/>
    <m/>
    <m/>
    <m/>
    <m/>
    <m/>
    <m/>
    <m/>
    <m/>
    <m/>
    <m/>
    <m/>
    <m/>
    <m/>
    <m/>
    <m/>
    <m/>
    <m/>
    <m/>
    <m/>
    <m/>
    <m/>
    <m/>
    <m/>
    <m/>
    <m/>
    <m/>
    <m/>
    <m/>
    <m/>
    <m/>
    <m/>
    <m/>
    <n v="4.6399999999999997"/>
    <n v="0"/>
    <n v="0"/>
    <n v="0"/>
    <n v="0"/>
    <n v="0"/>
    <n v="0"/>
    <n v="4.6399999999999997"/>
    <n v="0"/>
    <n v="0"/>
    <n v="4.6399999999999997"/>
    <n v="0"/>
    <n v="0"/>
    <n v="0"/>
    <m/>
    <m/>
    <m/>
    <m/>
    <m/>
    <m/>
    <m/>
    <m/>
    <m/>
    <m/>
    <m/>
    <m/>
    <m/>
    <m/>
    <m/>
    <m/>
    <m/>
    <m/>
    <m/>
    <m/>
    <m/>
    <m/>
    <m/>
    <m/>
    <m/>
    <m/>
    <m/>
    <m/>
    <m/>
    <m/>
    <m/>
    <m/>
    <m/>
    <m/>
  </r>
  <r>
    <m/>
    <m/>
    <s v="ZBTC"/>
    <m/>
    <m/>
    <s v="9518155420-1"/>
    <m/>
    <s v="Stocks"/>
    <m/>
    <x v="4"/>
    <x v="7"/>
    <m/>
    <m/>
    <x v="0"/>
    <m/>
    <m/>
    <m/>
    <m/>
    <m/>
    <m/>
    <m/>
    <s v="TATA BLUESCOPE STEEL PRIVATE LIMITE"/>
    <n v="1633706"/>
    <s v="PPGL C Y550 HPL3 0.42BMT(0.50TPT)X1220"/>
    <m/>
    <m/>
    <m/>
    <m/>
    <m/>
    <s v="B18"/>
    <s v="Y550PL"/>
    <s v="HPL3"/>
    <n v="0.42"/>
    <n v="1220"/>
    <m/>
    <m/>
    <m/>
    <m/>
    <m/>
    <m/>
    <m/>
    <m/>
    <m/>
    <m/>
    <m/>
    <m/>
    <m/>
    <m/>
    <m/>
    <m/>
    <m/>
    <m/>
    <m/>
    <m/>
    <m/>
    <m/>
    <m/>
    <m/>
    <m/>
    <m/>
    <m/>
    <m/>
    <m/>
    <m/>
    <m/>
    <m/>
    <m/>
    <m/>
    <m/>
    <m/>
    <n v="2.855"/>
    <n v="0"/>
    <n v="0"/>
    <n v="0"/>
    <n v="0"/>
    <n v="0"/>
    <n v="0"/>
    <n v="2.855"/>
    <n v="0"/>
    <n v="0"/>
    <n v="2.855"/>
    <n v="0"/>
    <n v="0"/>
    <n v="0"/>
    <m/>
    <m/>
    <m/>
    <m/>
    <m/>
    <m/>
    <m/>
    <m/>
    <m/>
    <m/>
    <m/>
    <m/>
    <m/>
    <m/>
    <m/>
    <m/>
    <m/>
    <m/>
    <m/>
    <m/>
    <m/>
    <m/>
    <m/>
    <m/>
    <m/>
    <m/>
    <m/>
    <m/>
    <m/>
    <m/>
    <m/>
    <m/>
    <m/>
    <m/>
  </r>
  <r>
    <m/>
    <m/>
    <s v="ZBTC"/>
    <m/>
    <m/>
    <s v="9518167332-1"/>
    <m/>
    <s v="Stocks"/>
    <m/>
    <x v="4"/>
    <x v="7"/>
    <m/>
    <m/>
    <x v="0"/>
    <m/>
    <m/>
    <m/>
    <m/>
    <m/>
    <m/>
    <m/>
    <s v="TATA BLUESCOPE STEEL PVT LTD."/>
    <n v="1633706"/>
    <s v="PPGL C Y550 HPL3 0.42BMT(0.50TPT)X1220"/>
    <m/>
    <m/>
    <m/>
    <m/>
    <m/>
    <s v="B18"/>
    <s v="Y550PL"/>
    <s v="HPL3"/>
    <n v="0.42"/>
    <n v="1220"/>
    <n v="6427"/>
    <m/>
    <m/>
    <m/>
    <m/>
    <m/>
    <m/>
    <m/>
    <m/>
    <m/>
    <m/>
    <m/>
    <m/>
    <m/>
    <m/>
    <m/>
    <m/>
    <m/>
    <m/>
    <m/>
    <m/>
    <m/>
    <m/>
    <m/>
    <m/>
    <m/>
    <m/>
    <m/>
    <m/>
    <m/>
    <m/>
    <m/>
    <m/>
    <m/>
    <m/>
    <m/>
    <n v="25"/>
    <n v="0"/>
    <n v="0"/>
    <n v="0"/>
    <n v="0"/>
    <n v="0"/>
    <n v="0"/>
    <n v="25"/>
    <n v="0"/>
    <n v="0"/>
    <n v="25"/>
    <n v="0"/>
    <n v="0"/>
    <n v="0"/>
    <m/>
    <m/>
    <m/>
    <m/>
    <m/>
    <m/>
    <m/>
    <m/>
    <m/>
    <m/>
    <m/>
    <m/>
    <m/>
    <m/>
    <m/>
    <m/>
    <m/>
    <m/>
    <m/>
    <m/>
    <m/>
    <m/>
    <m/>
    <m/>
    <m/>
    <m/>
    <m/>
    <m/>
    <m/>
    <m/>
    <m/>
    <m/>
    <m/>
    <m/>
  </r>
  <r>
    <m/>
    <m/>
    <s v="ZBTC"/>
    <m/>
    <m/>
    <s v="9518167783-2"/>
    <m/>
    <s v="Stocks"/>
    <m/>
    <x v="3"/>
    <x v="7"/>
    <m/>
    <m/>
    <x v="0"/>
    <m/>
    <m/>
    <m/>
    <m/>
    <m/>
    <m/>
    <m/>
    <s v="TATA BLUESCOPE STEEL PRIVATE LIMITE"/>
    <n v="3239573"/>
    <s v="GL C YS550 H6GL 0.42BMT(0.47TCT)X1220"/>
    <m/>
    <m/>
    <m/>
    <m/>
    <m/>
    <s v="B04"/>
    <s v="Y550GL"/>
    <s v="H6GL"/>
    <n v="0.42"/>
    <n v="1220"/>
    <m/>
    <m/>
    <m/>
    <m/>
    <m/>
    <m/>
    <m/>
    <m/>
    <m/>
    <m/>
    <m/>
    <m/>
    <m/>
    <m/>
    <m/>
    <m/>
    <m/>
    <m/>
    <m/>
    <m/>
    <m/>
    <m/>
    <m/>
    <m/>
    <m/>
    <m/>
    <m/>
    <m/>
    <m/>
    <m/>
    <m/>
    <m/>
    <m/>
    <m/>
    <m/>
    <m/>
    <n v="5.0449999999999999"/>
    <n v="0"/>
    <n v="0"/>
    <n v="0"/>
    <n v="0"/>
    <n v="0"/>
    <n v="0"/>
    <n v="5.0449999999999999"/>
    <n v="0"/>
    <n v="0"/>
    <n v="5.0449999999999999"/>
    <n v="0"/>
    <n v="0"/>
    <n v="0"/>
    <m/>
    <m/>
    <m/>
    <m/>
    <m/>
    <m/>
    <m/>
    <m/>
    <m/>
    <m/>
    <m/>
    <m/>
    <m/>
    <m/>
    <m/>
    <m/>
    <m/>
    <m/>
    <m/>
    <m/>
    <m/>
    <m/>
    <m/>
    <m/>
    <m/>
    <m/>
    <m/>
    <m/>
    <m/>
    <m/>
    <m/>
    <m/>
    <m/>
    <m/>
  </r>
  <r>
    <m/>
    <m/>
    <s v="ZBTC"/>
    <m/>
    <m/>
    <s v="9518170682-4"/>
    <m/>
    <s v="Stocks"/>
    <m/>
    <x v="2"/>
    <x v="6"/>
    <m/>
    <m/>
    <x v="0"/>
    <m/>
    <m/>
    <m/>
    <m/>
    <m/>
    <m/>
    <m/>
    <s v="AGARWAL STEEL TRADERS"/>
    <n v="1854399"/>
    <s v="GP COIL SOFT-TATXGP-GK09-0.35X1220"/>
    <m/>
    <m/>
    <m/>
    <m/>
    <m/>
    <s v="C02"/>
    <s v="TATXGP"/>
    <s v="GK09"/>
    <n v="0.35"/>
    <n v="1220"/>
    <m/>
    <m/>
    <m/>
    <m/>
    <m/>
    <m/>
    <m/>
    <m/>
    <m/>
    <m/>
    <m/>
    <m/>
    <m/>
    <m/>
    <m/>
    <m/>
    <m/>
    <m/>
    <m/>
    <m/>
    <m/>
    <m/>
    <m/>
    <m/>
    <m/>
    <m/>
    <m/>
    <m/>
    <m/>
    <m/>
    <m/>
    <m/>
    <m/>
    <m/>
    <m/>
    <m/>
    <n v="6.41"/>
    <n v="0"/>
    <n v="0"/>
    <n v="0"/>
    <n v="0"/>
    <n v="0"/>
    <n v="0"/>
    <n v="6.41"/>
    <n v="0"/>
    <n v="6.41"/>
    <n v="0"/>
    <n v="0"/>
    <n v="0"/>
    <n v="0"/>
    <m/>
    <m/>
    <m/>
    <m/>
    <m/>
    <m/>
    <m/>
    <m/>
    <m/>
    <m/>
    <m/>
    <m/>
    <m/>
    <m/>
    <m/>
    <m/>
    <m/>
    <m/>
    <m/>
    <m/>
    <m/>
    <m/>
    <m/>
    <m/>
    <m/>
    <m/>
    <m/>
    <m/>
    <m/>
    <m/>
    <m/>
    <m/>
    <m/>
    <m/>
  </r>
  <r>
    <m/>
    <m/>
    <s v="ZBTC"/>
    <m/>
    <m/>
    <s v="9518179638-1"/>
    <m/>
    <s v="Stocks"/>
    <m/>
    <x v="4"/>
    <x v="7"/>
    <m/>
    <m/>
    <x v="0"/>
    <m/>
    <m/>
    <m/>
    <m/>
    <m/>
    <m/>
    <m/>
    <s v="TATA BLUESCOPE STEEL PRIVATE LIMITE"/>
    <n v="1633706"/>
    <s v="PPGL C Y550 HPL3 0.42BMT(0.50TPT)X1220"/>
    <m/>
    <m/>
    <m/>
    <m/>
    <m/>
    <s v="B18"/>
    <s v="Y550PL"/>
    <s v="HPL3"/>
    <n v="0.42"/>
    <n v="1220"/>
    <n v="6427"/>
    <m/>
    <m/>
    <m/>
    <m/>
    <m/>
    <m/>
    <m/>
    <m/>
    <m/>
    <m/>
    <m/>
    <m/>
    <m/>
    <m/>
    <m/>
    <m/>
    <m/>
    <m/>
    <m/>
    <m/>
    <m/>
    <m/>
    <m/>
    <m/>
    <m/>
    <m/>
    <m/>
    <m/>
    <m/>
    <m/>
    <m/>
    <m/>
    <m/>
    <m/>
    <m/>
    <n v="7"/>
    <n v="0"/>
    <n v="0"/>
    <n v="0"/>
    <n v="0"/>
    <n v="0"/>
    <n v="0"/>
    <n v="7"/>
    <n v="0"/>
    <n v="0"/>
    <n v="7"/>
    <n v="0"/>
    <n v="0"/>
    <n v="0"/>
    <m/>
    <m/>
    <m/>
    <m/>
    <m/>
    <m/>
    <m/>
    <m/>
    <m/>
    <m/>
    <m/>
    <m/>
    <m/>
    <m/>
    <m/>
    <m/>
    <m/>
    <m/>
    <m/>
    <m/>
    <m/>
    <m/>
    <m/>
    <m/>
    <m/>
    <m/>
    <m/>
    <m/>
    <m/>
    <m/>
    <m/>
    <m/>
    <m/>
    <m/>
  </r>
  <r>
    <m/>
    <m/>
    <s v="ZBTC"/>
    <m/>
    <m/>
    <s v="9518181061-1"/>
    <m/>
    <s v="Stocks"/>
    <m/>
    <x v="4"/>
    <x v="7"/>
    <m/>
    <m/>
    <x v="0"/>
    <m/>
    <m/>
    <m/>
    <m/>
    <m/>
    <m/>
    <m/>
    <s v="TATA BLUESCOPE STEEL PVT LTD."/>
    <n v="1633706"/>
    <s v="PPGL C Y550 HPL3 0.42BMT(0.50TPT)X1220"/>
    <m/>
    <m/>
    <m/>
    <m/>
    <m/>
    <s v="B18"/>
    <s v="Y550PL"/>
    <s v="HPL3"/>
    <n v="0.42"/>
    <n v="1220"/>
    <n v="6012"/>
    <m/>
    <m/>
    <m/>
    <m/>
    <m/>
    <m/>
    <m/>
    <m/>
    <m/>
    <m/>
    <m/>
    <m/>
    <m/>
    <m/>
    <m/>
    <m/>
    <m/>
    <m/>
    <m/>
    <m/>
    <m/>
    <m/>
    <m/>
    <m/>
    <m/>
    <m/>
    <m/>
    <m/>
    <m/>
    <m/>
    <m/>
    <m/>
    <m/>
    <m/>
    <m/>
    <n v="4.6150000000000002"/>
    <n v="0"/>
    <n v="0"/>
    <n v="0"/>
    <n v="0"/>
    <n v="0"/>
    <n v="0"/>
    <n v="4.6150000000000002"/>
    <n v="0"/>
    <n v="0"/>
    <n v="4.6150000000000002"/>
    <n v="0"/>
    <n v="0"/>
    <n v="0"/>
    <m/>
    <m/>
    <m/>
    <m/>
    <m/>
    <m/>
    <m/>
    <m/>
    <m/>
    <m/>
    <m/>
    <m/>
    <m/>
    <m/>
    <m/>
    <m/>
    <m/>
    <m/>
    <m/>
    <m/>
    <m/>
    <m/>
    <m/>
    <m/>
    <m/>
    <m/>
    <m/>
    <m/>
    <m/>
    <m/>
    <m/>
    <m/>
    <m/>
    <m/>
  </r>
  <r>
    <m/>
    <m/>
    <s v="ZBTC"/>
    <m/>
    <m/>
    <s v="9518184220-2"/>
    <m/>
    <s v="Stocks"/>
    <m/>
    <x v="4"/>
    <x v="7"/>
    <m/>
    <m/>
    <x v="0"/>
    <m/>
    <m/>
    <m/>
    <m/>
    <m/>
    <m/>
    <m/>
    <s v="TATA BLUESCOPE STEEL PVT LTD."/>
    <n v="1633706"/>
    <s v="PPGL C Y550 HPL3 0.42BMT(0.50TPT)X1220"/>
    <m/>
    <m/>
    <m/>
    <m/>
    <m/>
    <s v="B18"/>
    <s v="Y550PL"/>
    <s v="HPL3"/>
    <n v="0.42"/>
    <n v="1220"/>
    <m/>
    <m/>
    <m/>
    <m/>
    <m/>
    <m/>
    <m/>
    <m/>
    <m/>
    <m/>
    <m/>
    <m/>
    <m/>
    <m/>
    <m/>
    <m/>
    <m/>
    <m/>
    <m/>
    <m/>
    <m/>
    <m/>
    <m/>
    <m/>
    <m/>
    <m/>
    <m/>
    <m/>
    <m/>
    <m/>
    <m/>
    <m/>
    <m/>
    <m/>
    <m/>
    <m/>
    <n v="1.51"/>
    <n v="0"/>
    <n v="0"/>
    <n v="0"/>
    <n v="0"/>
    <n v="0"/>
    <n v="0"/>
    <n v="1.51"/>
    <n v="0"/>
    <n v="0"/>
    <n v="1.51"/>
    <n v="0"/>
    <n v="0"/>
    <n v="0"/>
    <m/>
    <m/>
    <m/>
    <m/>
    <m/>
    <m/>
    <m/>
    <m/>
    <m/>
    <m/>
    <m/>
    <m/>
    <m/>
    <m/>
    <m/>
    <m/>
    <m/>
    <m/>
    <m/>
    <m/>
    <m/>
    <m/>
    <m/>
    <m/>
    <m/>
    <m/>
    <m/>
    <m/>
    <m/>
    <m/>
    <m/>
    <m/>
    <m/>
    <m/>
  </r>
  <r>
    <m/>
    <m/>
    <s v="ZBTC"/>
    <m/>
    <m/>
    <s v="9518188688-8"/>
    <m/>
    <s v="Stocks"/>
    <m/>
    <x v="2"/>
    <x v="6"/>
    <m/>
    <m/>
    <x v="0"/>
    <m/>
    <m/>
    <m/>
    <m/>
    <m/>
    <m/>
    <m/>
    <s v="AASHRAY ENTERPRISES"/>
    <n v="1854410"/>
    <s v="GP COIL SOFT-TATXGP-GK09-0.4X1220"/>
    <m/>
    <m/>
    <m/>
    <m/>
    <m/>
    <s v="C02"/>
    <s v="TATXGP"/>
    <s v="GK09"/>
    <n v="0.4"/>
    <n v="1220"/>
    <m/>
    <m/>
    <m/>
    <m/>
    <m/>
    <m/>
    <m/>
    <m/>
    <m/>
    <m/>
    <m/>
    <m/>
    <m/>
    <m/>
    <m/>
    <m/>
    <m/>
    <m/>
    <m/>
    <m/>
    <m/>
    <m/>
    <m/>
    <m/>
    <m/>
    <m/>
    <m/>
    <m/>
    <m/>
    <m/>
    <m/>
    <m/>
    <m/>
    <m/>
    <m/>
    <m/>
    <n v="10.375"/>
    <n v="0"/>
    <n v="0"/>
    <n v="0"/>
    <n v="0"/>
    <n v="0"/>
    <n v="0"/>
    <n v="10.375"/>
    <n v="0"/>
    <n v="10.375"/>
    <n v="0"/>
    <n v="0"/>
    <n v="0"/>
    <n v="0"/>
    <m/>
    <m/>
    <m/>
    <m/>
    <m/>
    <m/>
    <m/>
    <m/>
    <m/>
    <m/>
    <m/>
    <m/>
    <m/>
    <m/>
    <m/>
    <m/>
    <m/>
    <m/>
    <m/>
    <m/>
    <m/>
    <m/>
    <m/>
    <m/>
    <m/>
    <m/>
    <m/>
    <m/>
    <m/>
    <m/>
    <m/>
    <m/>
    <m/>
    <m/>
  </r>
  <r>
    <m/>
    <m/>
    <s v="ZBTC"/>
    <m/>
    <m/>
    <s v="9518200340-1"/>
    <m/>
    <s v="Stocks"/>
    <m/>
    <x v="4"/>
    <x v="7"/>
    <m/>
    <m/>
    <x v="0"/>
    <m/>
    <m/>
    <m/>
    <m/>
    <m/>
    <m/>
    <m/>
    <s v="TATA BLUESCOPE STEEL PVT LTD."/>
    <n v="1640840"/>
    <s v="PPGL C Y550 HPL3 0.45BMT(0.53TPT)X1220"/>
    <m/>
    <m/>
    <m/>
    <m/>
    <m/>
    <s v="B18"/>
    <s v="Y550PL"/>
    <s v="HPL3"/>
    <n v="0.45"/>
    <n v="1220"/>
    <m/>
    <m/>
    <m/>
    <m/>
    <m/>
    <m/>
    <m/>
    <m/>
    <m/>
    <m/>
    <m/>
    <m/>
    <m/>
    <m/>
    <m/>
    <m/>
    <m/>
    <m/>
    <m/>
    <m/>
    <m/>
    <m/>
    <m/>
    <m/>
    <m/>
    <m/>
    <m/>
    <m/>
    <m/>
    <m/>
    <m/>
    <m/>
    <m/>
    <m/>
    <m/>
    <m/>
    <n v="4.7050000000000001"/>
    <n v="0"/>
    <n v="0"/>
    <n v="0"/>
    <n v="0"/>
    <n v="0"/>
    <n v="0"/>
    <n v="4.7050000000000001"/>
    <n v="0"/>
    <n v="0"/>
    <n v="4.7050000000000001"/>
    <n v="0"/>
    <n v="0"/>
    <n v="0"/>
    <m/>
    <m/>
    <m/>
    <m/>
    <m/>
    <m/>
    <m/>
    <m/>
    <m/>
    <m/>
    <m/>
    <m/>
    <m/>
    <m/>
    <m/>
    <m/>
    <m/>
    <m/>
    <m/>
    <m/>
    <m/>
    <m/>
    <m/>
    <m/>
    <m/>
    <m/>
    <m/>
    <m/>
    <m/>
    <m/>
    <m/>
    <m/>
    <m/>
    <m/>
  </r>
  <r>
    <m/>
    <m/>
    <s v="ZBTC"/>
    <m/>
    <m/>
    <s v="9518200340-3"/>
    <m/>
    <s v="Stocks"/>
    <m/>
    <x v="4"/>
    <x v="7"/>
    <m/>
    <m/>
    <x v="0"/>
    <m/>
    <m/>
    <m/>
    <m/>
    <m/>
    <m/>
    <m/>
    <s v="TATA BLUESCOPE STEEL PVT LTD."/>
    <n v="1633706"/>
    <s v="PPGL C Y550 HPL3 0.42BMT(0.50TPT)X1220"/>
    <m/>
    <m/>
    <m/>
    <m/>
    <m/>
    <s v="B18"/>
    <s v="Y550PL"/>
    <s v="HPL3"/>
    <n v="0.42"/>
    <n v="1220"/>
    <m/>
    <m/>
    <m/>
    <m/>
    <m/>
    <m/>
    <m/>
    <m/>
    <m/>
    <m/>
    <m/>
    <m/>
    <m/>
    <m/>
    <m/>
    <m/>
    <m/>
    <m/>
    <m/>
    <m/>
    <m/>
    <m/>
    <m/>
    <m/>
    <m/>
    <m/>
    <m/>
    <m/>
    <m/>
    <m/>
    <m/>
    <m/>
    <m/>
    <m/>
    <m/>
    <m/>
    <n v="4.9850000000000003"/>
    <n v="0"/>
    <n v="0"/>
    <n v="0"/>
    <n v="0"/>
    <n v="0"/>
    <n v="0"/>
    <n v="4.9850000000000003"/>
    <n v="0"/>
    <n v="0"/>
    <n v="4.9850000000000003"/>
    <n v="0"/>
    <n v="0"/>
    <n v="0"/>
    <m/>
    <m/>
    <m/>
    <m/>
    <m/>
    <m/>
    <m/>
    <m/>
    <m/>
    <m/>
    <m/>
    <m/>
    <m/>
    <m/>
    <m/>
    <m/>
    <m/>
    <m/>
    <m/>
    <m/>
    <m/>
    <m/>
    <m/>
    <m/>
    <m/>
    <m/>
    <m/>
    <m/>
    <m/>
    <m/>
    <m/>
    <m/>
    <m/>
    <m/>
  </r>
  <r>
    <m/>
    <m/>
    <s v="ZBTC"/>
    <m/>
    <m/>
    <s v="9518202440-2"/>
    <m/>
    <s v="Stocks"/>
    <m/>
    <x v="2"/>
    <x v="2"/>
    <m/>
    <m/>
    <x v="0"/>
    <m/>
    <m/>
    <m/>
    <m/>
    <m/>
    <m/>
    <m/>
    <s v="ANM ISPAT PRIVATE LIMITED"/>
    <n v="1851133"/>
    <s v="GP SHEET SOFT-TATXGP-GK09-0.35X900"/>
    <m/>
    <m/>
    <m/>
    <m/>
    <m/>
    <s v="B11"/>
    <s v="TATXGP"/>
    <s v="GK09"/>
    <n v="0.35"/>
    <n v="900"/>
    <n v="2370"/>
    <m/>
    <m/>
    <m/>
    <m/>
    <m/>
    <m/>
    <m/>
    <m/>
    <m/>
    <m/>
    <m/>
    <m/>
    <m/>
    <m/>
    <m/>
    <m/>
    <m/>
    <m/>
    <m/>
    <m/>
    <m/>
    <m/>
    <m/>
    <m/>
    <m/>
    <m/>
    <m/>
    <m/>
    <m/>
    <m/>
    <m/>
    <m/>
    <m/>
    <m/>
    <m/>
    <n v="10.719999999999999"/>
    <n v="0"/>
    <n v="0"/>
    <n v="0"/>
    <n v="0"/>
    <n v="0"/>
    <n v="0"/>
    <n v="10.719999999999999"/>
    <n v="0"/>
    <n v="10.719999999999999"/>
    <n v="0"/>
    <n v="0"/>
    <n v="0"/>
    <n v="0"/>
    <m/>
    <m/>
    <m/>
    <m/>
    <m/>
    <m/>
    <m/>
    <m/>
    <m/>
    <m/>
    <m/>
    <m/>
    <m/>
    <m/>
    <m/>
    <m/>
    <m/>
    <m/>
    <m/>
    <m/>
    <m/>
    <m/>
    <m/>
    <m/>
    <m/>
    <m/>
    <m/>
    <m/>
    <m/>
    <m/>
    <m/>
    <m/>
    <m/>
    <m/>
  </r>
  <r>
    <m/>
    <m/>
    <s v="ZBTC"/>
    <m/>
    <m/>
    <s v="9518204846-1"/>
    <m/>
    <s v="Stocks"/>
    <m/>
    <x v="4"/>
    <x v="7"/>
    <m/>
    <m/>
    <x v="0"/>
    <m/>
    <m/>
    <m/>
    <m/>
    <m/>
    <m/>
    <m/>
    <s v="TATA BLUESCOPE STEEL PRIVATE LIMITE"/>
    <n v="1633706"/>
    <s v="PPGL C Y550 HPL3 0.42BMT(0.50TPT)X1220"/>
    <m/>
    <m/>
    <m/>
    <m/>
    <m/>
    <s v="B18"/>
    <s v="Y550PL"/>
    <s v="HPL3"/>
    <n v="0.42"/>
    <n v="1220"/>
    <m/>
    <m/>
    <m/>
    <m/>
    <m/>
    <m/>
    <m/>
    <m/>
    <m/>
    <m/>
    <m/>
    <m/>
    <m/>
    <m/>
    <m/>
    <m/>
    <m/>
    <m/>
    <m/>
    <m/>
    <m/>
    <m/>
    <m/>
    <m/>
    <m/>
    <m/>
    <m/>
    <m/>
    <m/>
    <m/>
    <m/>
    <m/>
    <m/>
    <m/>
    <m/>
    <m/>
    <n v="4.7300000000000004"/>
    <n v="0"/>
    <n v="0"/>
    <n v="0"/>
    <n v="0"/>
    <n v="0"/>
    <n v="0"/>
    <n v="4.7300000000000004"/>
    <n v="0"/>
    <n v="0"/>
    <n v="4.7300000000000004"/>
    <n v="0"/>
    <n v="0"/>
    <n v="0"/>
    <m/>
    <m/>
    <m/>
    <m/>
    <m/>
    <m/>
    <m/>
    <m/>
    <m/>
    <m/>
    <m/>
    <m/>
    <m/>
    <m/>
    <m/>
    <m/>
    <m/>
    <m/>
    <m/>
    <m/>
    <m/>
    <m/>
    <m/>
    <m/>
    <m/>
    <m/>
    <m/>
    <m/>
    <m/>
    <m/>
    <m/>
    <m/>
    <m/>
    <m/>
  </r>
  <r>
    <m/>
    <m/>
    <s v="ZBTC"/>
    <m/>
    <m/>
    <s v="9518234012-2"/>
    <m/>
    <s v="Stocks"/>
    <m/>
    <x v="4"/>
    <x v="7"/>
    <m/>
    <m/>
    <x v="0"/>
    <m/>
    <m/>
    <m/>
    <m/>
    <m/>
    <m/>
    <m/>
    <s v="TATA BLUESCOPE STEEL PRIVATE LIMITE"/>
    <n v="1633706"/>
    <s v="PPGL C Y550 HPL3 0.42BMT(0.50TPT)X1220"/>
    <m/>
    <m/>
    <m/>
    <m/>
    <m/>
    <s v="B18"/>
    <s v="Y550PL"/>
    <s v="HPL3"/>
    <n v="0.42"/>
    <n v="1220"/>
    <m/>
    <m/>
    <m/>
    <m/>
    <m/>
    <m/>
    <m/>
    <m/>
    <m/>
    <m/>
    <m/>
    <m/>
    <m/>
    <m/>
    <m/>
    <m/>
    <m/>
    <m/>
    <m/>
    <m/>
    <m/>
    <m/>
    <m/>
    <m/>
    <m/>
    <m/>
    <m/>
    <m/>
    <m/>
    <m/>
    <m/>
    <m/>
    <m/>
    <m/>
    <m/>
    <m/>
    <n v="9.1000000000000014"/>
    <n v="0"/>
    <n v="0"/>
    <n v="0"/>
    <n v="0"/>
    <n v="0"/>
    <n v="0"/>
    <n v="9.1000000000000014"/>
    <n v="0"/>
    <n v="0"/>
    <n v="9.1000000000000014"/>
    <n v="0"/>
    <n v="0"/>
    <n v="0"/>
    <m/>
    <m/>
    <m/>
    <m/>
    <m/>
    <m/>
    <m/>
    <m/>
    <m/>
    <m/>
    <m/>
    <m/>
    <m/>
    <m/>
    <m/>
    <m/>
    <m/>
    <m/>
    <m/>
    <m/>
    <m/>
    <m/>
    <m/>
    <m/>
    <m/>
    <m/>
    <m/>
    <m/>
    <m/>
    <m/>
    <m/>
    <m/>
    <m/>
    <m/>
  </r>
  <r>
    <m/>
    <m/>
    <s v="ZBTC"/>
    <m/>
    <m/>
    <s v="9518241642-1"/>
    <m/>
    <s v="Stocks"/>
    <m/>
    <x v="3"/>
    <x v="7"/>
    <m/>
    <m/>
    <x v="0"/>
    <m/>
    <m/>
    <m/>
    <m/>
    <m/>
    <m/>
    <m/>
    <s v="TATA BLUESCOPE STEEL PRIVATE LIMITE"/>
    <n v="3239573"/>
    <s v="GL C YS550 H6GL 0.42BMT(0.47TCT)X1220"/>
    <m/>
    <m/>
    <m/>
    <m/>
    <m/>
    <s v="B04"/>
    <s v="Y550GL"/>
    <s v="H6GL"/>
    <n v="0.42"/>
    <n v="1220"/>
    <m/>
    <m/>
    <m/>
    <m/>
    <m/>
    <m/>
    <m/>
    <m/>
    <m/>
    <m/>
    <m/>
    <m/>
    <m/>
    <m/>
    <m/>
    <m/>
    <m/>
    <m/>
    <m/>
    <m/>
    <m/>
    <m/>
    <m/>
    <m/>
    <m/>
    <m/>
    <m/>
    <m/>
    <m/>
    <m/>
    <m/>
    <m/>
    <m/>
    <m/>
    <m/>
    <m/>
    <n v="4.46"/>
    <n v="0"/>
    <n v="0"/>
    <n v="0"/>
    <n v="0"/>
    <n v="0"/>
    <n v="0"/>
    <n v="4.46"/>
    <n v="0"/>
    <n v="0"/>
    <n v="4.46"/>
    <n v="0"/>
    <n v="0"/>
    <n v="0"/>
    <m/>
    <m/>
    <m/>
    <m/>
    <m/>
    <m/>
    <m/>
    <m/>
    <m/>
    <m/>
    <m/>
    <m/>
    <m/>
    <m/>
    <m/>
    <m/>
    <m/>
    <m/>
    <m/>
    <m/>
    <m/>
    <m/>
    <m/>
    <m/>
    <m/>
    <m/>
    <m/>
    <m/>
    <m/>
    <m/>
    <m/>
    <m/>
    <m/>
    <m/>
  </r>
  <r>
    <m/>
    <m/>
    <s v="ZBTC"/>
    <m/>
    <m/>
    <s v="9518242858-2"/>
    <m/>
    <s v="Stocks"/>
    <m/>
    <x v="4"/>
    <x v="7"/>
    <m/>
    <m/>
    <x v="0"/>
    <m/>
    <m/>
    <m/>
    <m/>
    <m/>
    <m/>
    <m/>
    <s v="TATA BLUESCOPE STEEL PVT LTD."/>
    <n v="1640840"/>
    <s v="PPGL C Y550 HPL3 0.45BMT(0.53TPT)X1220"/>
    <m/>
    <m/>
    <m/>
    <m/>
    <m/>
    <s v="B18"/>
    <s v="Y550PL"/>
    <s v="HPL3"/>
    <n v="0.45"/>
    <n v="1220"/>
    <n v="5892"/>
    <m/>
    <m/>
    <m/>
    <m/>
    <m/>
    <m/>
    <m/>
    <m/>
    <m/>
    <m/>
    <m/>
    <m/>
    <m/>
    <m/>
    <m/>
    <m/>
    <m/>
    <m/>
    <m/>
    <m/>
    <m/>
    <m/>
    <m/>
    <m/>
    <m/>
    <m/>
    <m/>
    <m/>
    <m/>
    <m/>
    <m/>
    <m/>
    <m/>
    <m/>
    <m/>
    <n v="9"/>
    <n v="0"/>
    <n v="0"/>
    <n v="0"/>
    <n v="0"/>
    <n v="0"/>
    <n v="0"/>
    <n v="9"/>
    <n v="0"/>
    <n v="0"/>
    <n v="9"/>
    <n v="0"/>
    <n v="0"/>
    <n v="0"/>
    <m/>
    <m/>
    <m/>
    <m/>
    <m/>
    <m/>
    <m/>
    <m/>
    <m/>
    <m/>
    <m/>
    <m/>
    <m/>
    <m/>
    <m/>
    <m/>
    <m/>
    <m/>
    <m/>
    <m/>
    <m/>
    <m/>
    <m/>
    <m/>
    <m/>
    <m/>
    <m/>
    <m/>
    <m/>
    <m/>
    <m/>
    <m/>
    <m/>
    <m/>
  </r>
  <r>
    <m/>
    <m/>
    <s v="ZBTC"/>
    <m/>
    <m/>
    <s v="9518242858-3"/>
    <m/>
    <s v="Stocks"/>
    <m/>
    <x v="4"/>
    <x v="7"/>
    <m/>
    <m/>
    <x v="0"/>
    <m/>
    <m/>
    <m/>
    <m/>
    <m/>
    <m/>
    <m/>
    <s v="TATA BLUESCOPE STEEL PVT LTD."/>
    <n v="1640840"/>
    <s v="PPGL C Y550 HPL3 0.45BMT(0.53TPT)X1220"/>
    <m/>
    <m/>
    <m/>
    <m/>
    <m/>
    <s v="B18"/>
    <s v="Y550PL"/>
    <s v="HPL3"/>
    <n v="0.45"/>
    <n v="1220"/>
    <m/>
    <m/>
    <m/>
    <m/>
    <m/>
    <m/>
    <m/>
    <m/>
    <m/>
    <m/>
    <m/>
    <m/>
    <m/>
    <m/>
    <m/>
    <m/>
    <m/>
    <m/>
    <m/>
    <m/>
    <m/>
    <m/>
    <m/>
    <m/>
    <m/>
    <m/>
    <m/>
    <m/>
    <m/>
    <m/>
    <m/>
    <m/>
    <m/>
    <m/>
    <m/>
    <m/>
    <n v="2.54"/>
    <n v="0"/>
    <n v="0"/>
    <n v="0"/>
    <n v="0"/>
    <n v="0"/>
    <n v="0"/>
    <n v="2.54"/>
    <n v="0"/>
    <n v="0"/>
    <n v="2.54"/>
    <n v="0"/>
    <n v="0"/>
    <n v="0"/>
    <m/>
    <m/>
    <m/>
    <m/>
    <m/>
    <m/>
    <m/>
    <m/>
    <m/>
    <m/>
    <m/>
    <m/>
    <m/>
    <m/>
    <m/>
    <m/>
    <m/>
    <m/>
    <m/>
    <m/>
    <m/>
    <m/>
    <m/>
    <m/>
    <m/>
    <m/>
    <m/>
    <m/>
    <m/>
    <m/>
    <m/>
    <m/>
    <m/>
    <m/>
  </r>
  <r>
    <m/>
    <m/>
    <s v="ZBTC"/>
    <m/>
    <m/>
    <s v="9518253010-1"/>
    <m/>
    <s v="Stocks"/>
    <m/>
    <x v="4"/>
    <x v="7"/>
    <m/>
    <m/>
    <x v="0"/>
    <m/>
    <m/>
    <m/>
    <m/>
    <m/>
    <m/>
    <m/>
    <s v="TATA BLUESCOPE STEEL PVT LTD."/>
    <n v="3724432"/>
    <s v="PPGL C HARD Y550PL PLH1 0.430X1020"/>
    <m/>
    <m/>
    <m/>
    <m/>
    <m/>
    <s v="B18"/>
    <s v="Y550PL"/>
    <s v="PLH1"/>
    <n v="0.43"/>
    <n v="1020"/>
    <n v="1403"/>
    <m/>
    <m/>
    <m/>
    <m/>
    <m/>
    <m/>
    <m/>
    <m/>
    <m/>
    <m/>
    <m/>
    <m/>
    <m/>
    <m/>
    <m/>
    <m/>
    <m/>
    <m/>
    <m/>
    <m/>
    <m/>
    <m/>
    <m/>
    <m/>
    <m/>
    <m/>
    <m/>
    <m/>
    <m/>
    <m/>
    <m/>
    <m/>
    <m/>
    <m/>
    <m/>
    <n v="5.0149999999999997"/>
    <n v="0"/>
    <n v="0"/>
    <n v="0"/>
    <n v="0"/>
    <n v="0"/>
    <n v="0"/>
    <n v="5.0149999999999997"/>
    <n v="0"/>
    <n v="0"/>
    <n v="5.0149999999999997"/>
    <n v="0"/>
    <n v="0"/>
    <n v="0"/>
    <m/>
    <m/>
    <m/>
    <m/>
    <m/>
    <m/>
    <m/>
    <m/>
    <m/>
    <m/>
    <m/>
    <m/>
    <m/>
    <m/>
    <m/>
    <m/>
    <m/>
    <m/>
    <m/>
    <m/>
    <m/>
    <m/>
    <m/>
    <m/>
    <m/>
    <m/>
    <m/>
    <m/>
    <m/>
    <m/>
    <m/>
    <m/>
    <m/>
    <m/>
  </r>
  <r>
    <m/>
    <m/>
    <s v="ZBTC"/>
    <m/>
    <m/>
    <s v="9518263031-3"/>
    <m/>
    <s v="Stocks"/>
    <m/>
    <x v="4"/>
    <x v="7"/>
    <m/>
    <m/>
    <x v="0"/>
    <m/>
    <m/>
    <m/>
    <m/>
    <m/>
    <m/>
    <m/>
    <s v="TATA BLUESCOPE STEEL PRIVATE LIMITE"/>
    <n v="1636098"/>
    <s v="PPGL COIL HARD Y550PL HPL3 0.52X1220"/>
    <m/>
    <m/>
    <m/>
    <m/>
    <m/>
    <s v="B18"/>
    <s v="Y550PL"/>
    <s v="HPL3"/>
    <n v="0.52"/>
    <n v="1220"/>
    <m/>
    <m/>
    <m/>
    <m/>
    <m/>
    <m/>
    <m/>
    <m/>
    <m/>
    <m/>
    <m/>
    <m/>
    <m/>
    <m/>
    <m/>
    <m/>
    <m/>
    <m/>
    <m/>
    <m/>
    <m/>
    <m/>
    <m/>
    <m/>
    <m/>
    <m/>
    <m/>
    <m/>
    <m/>
    <m/>
    <m/>
    <m/>
    <m/>
    <m/>
    <m/>
    <m/>
    <n v="4.665"/>
    <n v="0"/>
    <n v="0"/>
    <n v="0"/>
    <n v="0"/>
    <n v="0"/>
    <n v="0"/>
    <n v="4.665"/>
    <n v="0"/>
    <n v="0"/>
    <n v="4.665"/>
    <n v="0"/>
    <n v="0"/>
    <n v="0"/>
    <m/>
    <m/>
    <m/>
    <m/>
    <m/>
    <m/>
    <m/>
    <m/>
    <m/>
    <m/>
    <m/>
    <m/>
    <m/>
    <m/>
    <m/>
    <m/>
    <m/>
    <m/>
    <m/>
    <m/>
    <m/>
    <m/>
    <m/>
    <m/>
    <m/>
    <m/>
    <m/>
    <m/>
    <m/>
    <m/>
    <m/>
    <m/>
    <m/>
    <m/>
  </r>
  <r>
    <m/>
    <m/>
    <s v="ZBTC"/>
    <m/>
    <m/>
    <s v="9518276197-3"/>
    <m/>
    <s v="Stocks"/>
    <m/>
    <x v="4"/>
    <x v="7"/>
    <m/>
    <m/>
    <x v="0"/>
    <m/>
    <m/>
    <m/>
    <m/>
    <m/>
    <m/>
    <m/>
    <s v="TATA BLUESCOPE STEEL PVT LTD."/>
    <n v="1633706"/>
    <s v="PPGL C Y550 HPL3 0.42BMT(0.50TPT)X1220"/>
    <m/>
    <m/>
    <m/>
    <m/>
    <m/>
    <s v="B18"/>
    <s v="Y550PL"/>
    <s v="HPL3"/>
    <n v="0.42"/>
    <n v="1220"/>
    <m/>
    <m/>
    <m/>
    <m/>
    <m/>
    <m/>
    <m/>
    <m/>
    <m/>
    <m/>
    <m/>
    <m/>
    <m/>
    <m/>
    <m/>
    <m/>
    <m/>
    <m/>
    <m/>
    <m/>
    <m/>
    <m/>
    <m/>
    <m/>
    <m/>
    <m/>
    <m/>
    <m/>
    <m/>
    <m/>
    <m/>
    <m/>
    <m/>
    <m/>
    <m/>
    <m/>
    <n v="4.46"/>
    <n v="0"/>
    <n v="0"/>
    <n v="0"/>
    <n v="0"/>
    <n v="0"/>
    <n v="0"/>
    <n v="4.46"/>
    <n v="0"/>
    <n v="0"/>
    <n v="4.46"/>
    <n v="0"/>
    <n v="0"/>
    <n v="0"/>
    <m/>
    <m/>
    <m/>
    <m/>
    <m/>
    <m/>
    <m/>
    <m/>
    <m/>
    <m/>
    <m/>
    <m/>
    <m/>
    <m/>
    <m/>
    <m/>
    <m/>
    <m/>
    <m/>
    <m/>
    <m/>
    <m/>
    <m/>
    <m/>
    <m/>
    <m/>
    <m/>
    <m/>
    <m/>
    <m/>
    <m/>
    <m/>
    <m/>
    <m/>
  </r>
  <r>
    <m/>
    <m/>
    <s v="ZBTC"/>
    <m/>
    <m/>
    <s v="9518294311-1"/>
    <m/>
    <s v="Stocks"/>
    <m/>
    <x v="3"/>
    <x v="13"/>
    <m/>
    <m/>
    <x v="0"/>
    <m/>
    <m/>
    <m/>
    <m/>
    <m/>
    <m/>
    <m/>
    <s v="PURSHOTAM PROFILES PRIVATE LIMITED"/>
    <n v="3865176"/>
    <s v="GL COIL HARD  Y550GL HGL6 0.900X1250"/>
    <m/>
    <m/>
    <m/>
    <m/>
    <m/>
    <s v="B04"/>
    <s v="Y550GL"/>
    <s v="HGL6"/>
    <n v="0.9"/>
    <n v="1250"/>
    <m/>
    <m/>
    <m/>
    <m/>
    <m/>
    <m/>
    <m/>
    <m/>
    <m/>
    <m/>
    <m/>
    <m/>
    <m/>
    <m/>
    <m/>
    <m/>
    <m/>
    <m/>
    <m/>
    <m/>
    <m/>
    <m/>
    <m/>
    <m/>
    <m/>
    <m/>
    <m/>
    <m/>
    <m/>
    <m/>
    <m/>
    <m/>
    <m/>
    <m/>
    <m/>
    <m/>
    <n v="10.065"/>
    <n v="0"/>
    <n v="0"/>
    <n v="0"/>
    <n v="0"/>
    <n v="0"/>
    <n v="0"/>
    <n v="10.065"/>
    <n v="0"/>
    <n v="10.065"/>
    <n v="0"/>
    <n v="0"/>
    <n v="0"/>
    <n v="0"/>
    <m/>
    <m/>
    <m/>
    <m/>
    <m/>
    <m/>
    <m/>
    <m/>
    <m/>
    <m/>
    <m/>
    <m/>
    <m/>
    <m/>
    <m/>
    <m/>
    <m/>
    <m/>
    <m/>
    <m/>
    <m/>
    <m/>
    <m/>
    <m/>
    <m/>
    <m/>
    <m/>
    <m/>
    <m/>
    <m/>
    <m/>
    <m/>
    <m/>
    <m/>
  </r>
  <r>
    <m/>
    <m/>
    <s v="ZBTC"/>
    <m/>
    <m/>
    <s v="9518301206-1"/>
    <m/>
    <s v="Stocks"/>
    <m/>
    <x v="4"/>
    <x v="7"/>
    <m/>
    <m/>
    <x v="0"/>
    <m/>
    <m/>
    <m/>
    <m/>
    <m/>
    <m/>
    <m/>
    <s v="TATA BLUESCOPE STEEL PVT LTD."/>
    <n v="3797658"/>
    <s v="PPGL C Y550 ISC6 0.40BMT(0.45TPT)X1220"/>
    <m/>
    <m/>
    <m/>
    <m/>
    <m/>
    <s v="B18"/>
    <s v="Y550PL"/>
    <s v="ISC6"/>
    <n v="0.4"/>
    <n v="1220"/>
    <m/>
    <m/>
    <m/>
    <m/>
    <m/>
    <m/>
    <m/>
    <m/>
    <m/>
    <m/>
    <m/>
    <m/>
    <m/>
    <m/>
    <m/>
    <m/>
    <m/>
    <m/>
    <m/>
    <m/>
    <m/>
    <m/>
    <m/>
    <m/>
    <m/>
    <m/>
    <m/>
    <m/>
    <m/>
    <m/>
    <m/>
    <m/>
    <m/>
    <m/>
    <m/>
    <m/>
    <n v="7.2850000000000001"/>
    <n v="0"/>
    <n v="0"/>
    <n v="0"/>
    <n v="0"/>
    <n v="0"/>
    <n v="0"/>
    <n v="7.2850000000000001"/>
    <n v="0"/>
    <n v="0"/>
    <n v="7.2850000000000001"/>
    <n v="0"/>
    <n v="0"/>
    <n v="0"/>
    <m/>
    <m/>
    <m/>
    <m/>
    <m/>
    <m/>
    <m/>
    <m/>
    <m/>
    <m/>
    <m/>
    <m/>
    <m/>
    <m/>
    <m/>
    <m/>
    <m/>
    <m/>
    <m/>
    <m/>
    <m/>
    <m/>
    <m/>
    <m/>
    <m/>
    <m/>
    <m/>
    <m/>
    <m/>
    <m/>
    <m/>
    <m/>
    <m/>
    <m/>
  </r>
  <r>
    <m/>
    <m/>
    <s v="ZBTC"/>
    <m/>
    <m/>
    <s v="9518316956-2"/>
    <m/>
    <s v="Stocks"/>
    <m/>
    <x v="4"/>
    <x v="7"/>
    <m/>
    <m/>
    <x v="0"/>
    <m/>
    <m/>
    <m/>
    <m/>
    <m/>
    <m/>
    <m/>
    <s v="TATA BLUESCOPE STEEL PVT LTD."/>
    <n v="1633706"/>
    <s v="PPGL C Y550 HPL3 0.42BMT(0.50TPT)X1220"/>
    <m/>
    <m/>
    <m/>
    <m/>
    <m/>
    <s v="B18"/>
    <s v="Y550PL"/>
    <s v="HPL3"/>
    <n v="0.42"/>
    <n v="1220"/>
    <m/>
    <m/>
    <m/>
    <m/>
    <m/>
    <m/>
    <m/>
    <m/>
    <m/>
    <m/>
    <m/>
    <m/>
    <m/>
    <m/>
    <m/>
    <m/>
    <m/>
    <m/>
    <m/>
    <m/>
    <m/>
    <m/>
    <m/>
    <m/>
    <m/>
    <m/>
    <m/>
    <m/>
    <m/>
    <m/>
    <m/>
    <m/>
    <m/>
    <m/>
    <m/>
    <m/>
    <n v="2.855"/>
    <n v="0"/>
    <n v="0"/>
    <n v="0"/>
    <n v="0"/>
    <n v="0"/>
    <n v="0"/>
    <n v="2.855"/>
    <n v="0"/>
    <n v="0"/>
    <n v="2.855"/>
    <n v="0"/>
    <n v="0"/>
    <n v="0"/>
    <m/>
    <m/>
    <m/>
    <m/>
    <m/>
    <m/>
    <m/>
    <m/>
    <m/>
    <m/>
    <m/>
    <m/>
    <m/>
    <m/>
    <m/>
    <m/>
    <m/>
    <m/>
    <m/>
    <m/>
    <m/>
    <m/>
    <m/>
    <m/>
    <m/>
    <m/>
    <m/>
    <m/>
    <m/>
    <m/>
    <m/>
    <m/>
    <m/>
    <m/>
  </r>
  <r>
    <m/>
    <m/>
    <s v="ZBTC"/>
    <m/>
    <m/>
    <s v="9518330888-1"/>
    <m/>
    <s v="Stocks"/>
    <m/>
    <x v="3"/>
    <x v="7"/>
    <m/>
    <m/>
    <x v="0"/>
    <m/>
    <m/>
    <m/>
    <m/>
    <m/>
    <m/>
    <m/>
    <s v="TATA BLUESCOPE STEEL PRIVATE LIMITE"/>
    <n v="3239573"/>
    <s v="GL C YS550 H6GL 0.42BMT(0.47TCT)X1220"/>
    <m/>
    <m/>
    <m/>
    <m/>
    <m/>
    <s v="B04"/>
    <s v="Y550GL"/>
    <s v="H6GL"/>
    <n v="0.42"/>
    <n v="1220"/>
    <m/>
    <m/>
    <m/>
    <m/>
    <m/>
    <m/>
    <m/>
    <m/>
    <m/>
    <m/>
    <m/>
    <m/>
    <m/>
    <m/>
    <m/>
    <m/>
    <m/>
    <m/>
    <m/>
    <m/>
    <m/>
    <m/>
    <m/>
    <m/>
    <m/>
    <m/>
    <m/>
    <m/>
    <m/>
    <m/>
    <m/>
    <m/>
    <m/>
    <m/>
    <m/>
    <m/>
    <n v="3.93"/>
    <n v="0"/>
    <n v="0"/>
    <n v="0"/>
    <n v="0"/>
    <n v="0"/>
    <n v="0"/>
    <n v="3.93"/>
    <n v="0"/>
    <n v="0"/>
    <n v="3.93"/>
    <n v="0"/>
    <n v="0"/>
    <n v="0"/>
    <m/>
    <m/>
    <m/>
    <m/>
    <m/>
    <m/>
    <m/>
    <m/>
    <m/>
    <m/>
    <m/>
    <m/>
    <m/>
    <m/>
    <m/>
    <m/>
    <m/>
    <m/>
    <m/>
    <m/>
    <m/>
    <m/>
    <m/>
    <m/>
    <m/>
    <m/>
    <m/>
    <m/>
    <m/>
    <m/>
    <m/>
    <m/>
    <m/>
    <m/>
  </r>
  <r>
    <m/>
    <m/>
    <s v="ZBTC"/>
    <m/>
    <m/>
    <s v="9518343094-1"/>
    <m/>
    <s v="Stocks"/>
    <m/>
    <x v="4"/>
    <x v="7"/>
    <m/>
    <m/>
    <x v="0"/>
    <m/>
    <m/>
    <m/>
    <m/>
    <m/>
    <m/>
    <m/>
    <s v="TATA BLUESCOPE STEEL PRIVATE LIMITE"/>
    <n v="1633706"/>
    <s v="PPGL C Y550 HPL3 0.42BMT(0.50TPT)X1220"/>
    <m/>
    <m/>
    <m/>
    <m/>
    <m/>
    <s v="B18"/>
    <s v="Y550PL"/>
    <s v="HPL3"/>
    <n v="0.42"/>
    <n v="1220"/>
    <m/>
    <m/>
    <m/>
    <m/>
    <m/>
    <m/>
    <m/>
    <m/>
    <m/>
    <m/>
    <m/>
    <m/>
    <m/>
    <m/>
    <m/>
    <m/>
    <m/>
    <m/>
    <m/>
    <m/>
    <m/>
    <m/>
    <m/>
    <m/>
    <m/>
    <m/>
    <m/>
    <m/>
    <m/>
    <m/>
    <m/>
    <m/>
    <m/>
    <m/>
    <m/>
    <m/>
    <n v="3.335"/>
    <n v="0"/>
    <n v="0"/>
    <n v="0"/>
    <n v="0"/>
    <n v="0"/>
    <n v="0"/>
    <n v="3.335"/>
    <n v="0"/>
    <n v="0"/>
    <n v="3.335"/>
    <n v="0"/>
    <n v="0"/>
    <n v="0"/>
    <m/>
    <m/>
    <m/>
    <m/>
    <m/>
    <m/>
    <m/>
    <m/>
    <m/>
    <m/>
    <m/>
    <m/>
    <m/>
    <m/>
    <m/>
    <m/>
    <m/>
    <m/>
    <m/>
    <m/>
    <m/>
    <m/>
    <m/>
    <m/>
    <m/>
    <m/>
    <m/>
    <m/>
    <m/>
    <m/>
    <m/>
    <m/>
    <m/>
    <m/>
  </r>
  <r>
    <m/>
    <m/>
    <s v="ZBTC"/>
    <m/>
    <m/>
    <s v="9518362136-2"/>
    <m/>
    <s v="Stocks"/>
    <m/>
    <x v="4"/>
    <x v="7"/>
    <m/>
    <m/>
    <x v="0"/>
    <m/>
    <m/>
    <m/>
    <m/>
    <m/>
    <m/>
    <m/>
    <s v="TATA BLUESCOPE STEEL PRIVATE LIMITE"/>
    <n v="1633706"/>
    <s v="PPGL C Y550 HPL3 0.42BMT(0.50TPT)X1220"/>
    <m/>
    <m/>
    <m/>
    <m/>
    <m/>
    <s v="B18"/>
    <s v="Y550PL"/>
    <s v="HPL3"/>
    <n v="0.42"/>
    <n v="1220"/>
    <m/>
    <m/>
    <m/>
    <m/>
    <m/>
    <m/>
    <m/>
    <m/>
    <m/>
    <m/>
    <m/>
    <m/>
    <m/>
    <m/>
    <m/>
    <m/>
    <m/>
    <m/>
    <m/>
    <m/>
    <m/>
    <m/>
    <m/>
    <m/>
    <m/>
    <m/>
    <m/>
    <m/>
    <m/>
    <m/>
    <m/>
    <m/>
    <m/>
    <m/>
    <m/>
    <m/>
    <n v="4.4050000000000002"/>
    <n v="0"/>
    <n v="0"/>
    <n v="0"/>
    <n v="0"/>
    <n v="0"/>
    <n v="0"/>
    <n v="4.4050000000000002"/>
    <n v="0"/>
    <n v="0"/>
    <n v="4.4050000000000002"/>
    <n v="0"/>
    <n v="0"/>
    <n v="0"/>
    <m/>
    <m/>
    <m/>
    <m/>
    <m/>
    <m/>
    <m/>
    <m/>
    <m/>
    <m/>
    <m/>
    <m/>
    <m/>
    <m/>
    <m/>
    <m/>
    <m/>
    <m/>
    <m/>
    <m/>
    <m/>
    <m/>
    <m/>
    <m/>
    <m/>
    <m/>
    <m/>
    <m/>
    <m/>
    <m/>
    <m/>
    <m/>
    <m/>
    <m/>
  </r>
  <r>
    <m/>
    <m/>
    <s v="ZBTC"/>
    <m/>
    <m/>
    <s v="9518362866-1"/>
    <m/>
    <s v="Stocks"/>
    <m/>
    <x v="1"/>
    <x v="5"/>
    <m/>
    <m/>
    <x v="0"/>
    <m/>
    <m/>
    <m/>
    <m/>
    <m/>
    <m/>
    <m/>
    <s v="PRABHU PACKAGING INDUSTRIES"/>
    <n v="3867646"/>
    <s v="CR COIL TATXXD BT04 0.600X900"/>
    <m/>
    <m/>
    <m/>
    <m/>
    <m/>
    <s v="C01"/>
    <s v="TATXXD"/>
    <s v="BT04"/>
    <n v="0.6"/>
    <n v="900"/>
    <m/>
    <m/>
    <m/>
    <m/>
    <m/>
    <m/>
    <m/>
    <m/>
    <m/>
    <m/>
    <m/>
    <m/>
    <m/>
    <m/>
    <m/>
    <m/>
    <m/>
    <m/>
    <m/>
    <m/>
    <m/>
    <m/>
    <m/>
    <m/>
    <m/>
    <m/>
    <m/>
    <m/>
    <m/>
    <m/>
    <m/>
    <m/>
    <m/>
    <m/>
    <m/>
    <m/>
    <n v="6.5449999999999999"/>
    <n v="0"/>
    <n v="0"/>
    <n v="0"/>
    <n v="0"/>
    <n v="0"/>
    <n v="0"/>
    <n v="6.5449999999999999"/>
    <n v="0"/>
    <n v="6.5449999999999999"/>
    <n v="0"/>
    <n v="0"/>
    <n v="0"/>
    <n v="0"/>
    <m/>
    <m/>
    <m/>
    <m/>
    <m/>
    <m/>
    <m/>
    <m/>
    <m/>
    <m/>
    <m/>
    <m/>
    <m/>
    <m/>
    <m/>
    <m/>
    <m/>
    <m/>
    <m/>
    <m/>
    <m/>
    <m/>
    <m/>
    <m/>
    <m/>
    <m/>
    <m/>
    <m/>
    <m/>
    <m/>
    <m/>
    <m/>
    <m/>
    <m/>
  </r>
  <r>
    <m/>
    <m/>
    <s v="ZBTC"/>
    <m/>
    <m/>
    <s v="9518362866-3"/>
    <m/>
    <s v="Stocks"/>
    <m/>
    <x v="1"/>
    <x v="5"/>
    <m/>
    <m/>
    <x v="0"/>
    <m/>
    <m/>
    <m/>
    <m/>
    <m/>
    <m/>
    <m/>
    <s v="PRABHU PACKAGING INDUSTRIES"/>
    <n v="3867646"/>
    <s v="CR COIL TATXXD BT04 0.600X900"/>
    <m/>
    <m/>
    <m/>
    <m/>
    <m/>
    <s v="C01"/>
    <s v="TATXXD"/>
    <s v="BT04"/>
    <n v="0.6"/>
    <n v="900"/>
    <m/>
    <m/>
    <m/>
    <m/>
    <m/>
    <m/>
    <m/>
    <m/>
    <m/>
    <m/>
    <m/>
    <m/>
    <m/>
    <m/>
    <m/>
    <m/>
    <m/>
    <m/>
    <m/>
    <m/>
    <m/>
    <m/>
    <m/>
    <m/>
    <m/>
    <m/>
    <m/>
    <m/>
    <m/>
    <m/>
    <m/>
    <m/>
    <m/>
    <m/>
    <m/>
    <m/>
    <n v="6.25"/>
    <n v="0"/>
    <n v="0"/>
    <n v="0"/>
    <n v="0"/>
    <n v="0"/>
    <n v="0"/>
    <n v="6.25"/>
    <n v="0"/>
    <n v="6.25"/>
    <n v="0"/>
    <n v="0"/>
    <n v="0"/>
    <n v="0"/>
    <m/>
    <m/>
    <m/>
    <m/>
    <m/>
    <m/>
    <m/>
    <m/>
    <m/>
    <m/>
    <m/>
    <m/>
    <m/>
    <m/>
    <m/>
    <m/>
    <m/>
    <m/>
    <m/>
    <m/>
    <m/>
    <m/>
    <m/>
    <m/>
    <m/>
    <m/>
    <m/>
    <m/>
    <m/>
    <m/>
    <m/>
    <m/>
    <m/>
    <m/>
  </r>
  <r>
    <m/>
    <m/>
    <s v="ZBTC"/>
    <m/>
    <m/>
    <s v="9518397272-2"/>
    <m/>
    <s v="Stocks"/>
    <m/>
    <x v="1"/>
    <x v="5"/>
    <m/>
    <m/>
    <x v="0"/>
    <m/>
    <m/>
    <m/>
    <m/>
    <m/>
    <m/>
    <m/>
    <s v="Balmer Lawrie And Company Limited"/>
    <n v="2164803"/>
    <s v="CRCA COIL TATXXD BT02 1.200X910"/>
    <m/>
    <m/>
    <m/>
    <m/>
    <m/>
    <s v="C01"/>
    <s v="TATXXD"/>
    <s v="BT02"/>
    <n v="1.2"/>
    <n v="910"/>
    <m/>
    <m/>
    <m/>
    <m/>
    <m/>
    <m/>
    <m/>
    <m/>
    <m/>
    <m/>
    <m/>
    <m/>
    <m/>
    <m/>
    <m/>
    <m/>
    <m/>
    <m/>
    <m/>
    <m/>
    <m/>
    <m/>
    <m/>
    <m/>
    <m/>
    <m/>
    <m/>
    <m/>
    <m/>
    <m/>
    <m/>
    <m/>
    <m/>
    <m/>
    <m/>
    <m/>
    <n v="29.439999999999998"/>
    <n v="0"/>
    <n v="0"/>
    <n v="0"/>
    <n v="0"/>
    <n v="0"/>
    <n v="0"/>
    <n v="29.439999999999998"/>
    <n v="0"/>
    <n v="29.439999999999998"/>
    <n v="0"/>
    <n v="0"/>
    <n v="0"/>
    <n v="0"/>
    <m/>
    <m/>
    <m/>
    <m/>
    <m/>
    <m/>
    <m/>
    <m/>
    <m/>
    <m/>
    <m/>
    <m/>
    <m/>
    <m/>
    <m/>
    <m/>
    <m/>
    <m/>
    <m/>
    <m/>
    <m/>
    <m/>
    <m/>
    <m/>
    <m/>
    <m/>
    <m/>
    <m/>
    <m/>
    <m/>
    <m/>
    <m/>
    <m/>
    <m/>
  </r>
  <r>
    <m/>
    <m/>
    <s v="ZBTC"/>
    <m/>
    <m/>
    <s v="9518410414-1"/>
    <m/>
    <s v="Stocks"/>
    <m/>
    <x v="4"/>
    <x v="7"/>
    <m/>
    <m/>
    <x v="0"/>
    <m/>
    <m/>
    <m/>
    <m/>
    <m/>
    <m/>
    <m/>
    <s v="TATA BLUESCOPE STEEL PRIVATE LIMITE"/>
    <n v="1633706"/>
    <s v="PPGL C Y550 HPL3 0.42BMT(0.50TPT)X1220"/>
    <m/>
    <m/>
    <m/>
    <m/>
    <m/>
    <s v="B18"/>
    <s v="Y550PL"/>
    <s v="HPL3"/>
    <n v="0.42"/>
    <n v="1220"/>
    <m/>
    <m/>
    <m/>
    <m/>
    <m/>
    <m/>
    <m/>
    <m/>
    <m/>
    <m/>
    <m/>
    <m/>
    <m/>
    <m/>
    <m/>
    <m/>
    <m/>
    <m/>
    <m/>
    <m/>
    <m/>
    <m/>
    <m/>
    <m/>
    <m/>
    <m/>
    <m/>
    <m/>
    <m/>
    <m/>
    <m/>
    <m/>
    <m/>
    <m/>
    <m/>
    <m/>
    <n v="4.2850000000000001"/>
    <n v="0"/>
    <n v="0"/>
    <n v="0"/>
    <n v="0"/>
    <n v="0"/>
    <n v="0"/>
    <n v="4.2850000000000001"/>
    <n v="0"/>
    <n v="0"/>
    <n v="4.2850000000000001"/>
    <n v="0"/>
    <n v="0"/>
    <n v="0"/>
    <m/>
    <m/>
    <m/>
    <m/>
    <m/>
    <m/>
    <m/>
    <m/>
    <m/>
    <m/>
    <m/>
    <m/>
    <m/>
    <m/>
    <m/>
    <m/>
    <m/>
    <m/>
    <m/>
    <m/>
    <m/>
    <m/>
    <m/>
    <m/>
    <m/>
    <m/>
    <m/>
    <m/>
    <m/>
    <m/>
    <m/>
    <m/>
    <m/>
    <m/>
  </r>
  <r>
    <m/>
    <m/>
    <s v="ZBTC"/>
    <m/>
    <m/>
    <s v="9518414805-1"/>
    <m/>
    <s v="Stocks"/>
    <m/>
    <x v="4"/>
    <x v="7"/>
    <m/>
    <m/>
    <x v="0"/>
    <m/>
    <m/>
    <m/>
    <m/>
    <m/>
    <m/>
    <m/>
    <s v="TATA BLUESCOPE STEEL PRIVATE LIMITE"/>
    <n v="3837002"/>
    <s v="PPGL C YS550 HPL8 0.30BMT(0.35TPT)X1220"/>
    <m/>
    <m/>
    <m/>
    <m/>
    <m/>
    <s v="B18"/>
    <s v="Y550PL"/>
    <s v="HPL8"/>
    <n v="0.3"/>
    <n v="1220"/>
    <m/>
    <m/>
    <m/>
    <m/>
    <m/>
    <m/>
    <m/>
    <m/>
    <m/>
    <m/>
    <m/>
    <m/>
    <m/>
    <m/>
    <m/>
    <m/>
    <m/>
    <m/>
    <m/>
    <m/>
    <m/>
    <m/>
    <m/>
    <m/>
    <m/>
    <m/>
    <m/>
    <m/>
    <m/>
    <m/>
    <m/>
    <m/>
    <m/>
    <m/>
    <m/>
    <m/>
    <n v="4.585"/>
    <n v="0"/>
    <n v="0"/>
    <n v="0"/>
    <n v="0"/>
    <n v="0"/>
    <n v="0"/>
    <n v="4.585"/>
    <n v="0"/>
    <n v="0"/>
    <n v="4.585"/>
    <n v="0"/>
    <n v="0"/>
    <n v="0"/>
    <m/>
    <m/>
    <m/>
    <m/>
    <m/>
    <m/>
    <m/>
    <m/>
    <m/>
    <m/>
    <m/>
    <m/>
    <m/>
    <m/>
    <m/>
    <m/>
    <m/>
    <m/>
    <m/>
    <m/>
    <m/>
    <m/>
    <m/>
    <m/>
    <m/>
    <m/>
    <m/>
    <m/>
    <m/>
    <m/>
    <m/>
    <m/>
    <m/>
    <m/>
  </r>
  <r>
    <m/>
    <m/>
    <s v="ZBTC"/>
    <m/>
    <m/>
    <s v="9518416170-1"/>
    <m/>
    <s v="Stocks"/>
    <m/>
    <x v="4"/>
    <x v="7"/>
    <m/>
    <m/>
    <x v="0"/>
    <m/>
    <m/>
    <m/>
    <m/>
    <m/>
    <m/>
    <m/>
    <s v="TATA BLUESCOPE STEEL PRIVATE LIMITE"/>
    <n v="3797658"/>
    <s v="PPGL C Y550 ISC6 0.40BMT(0.45TPT)X1220"/>
    <m/>
    <m/>
    <m/>
    <m/>
    <m/>
    <s v="B18"/>
    <s v="Y550PL"/>
    <s v="ISC6"/>
    <n v="0.4"/>
    <n v="1220"/>
    <m/>
    <m/>
    <m/>
    <m/>
    <m/>
    <m/>
    <m/>
    <m/>
    <m/>
    <m/>
    <m/>
    <m/>
    <m/>
    <m/>
    <m/>
    <m/>
    <m/>
    <m/>
    <m/>
    <m/>
    <m/>
    <m/>
    <m/>
    <m/>
    <m/>
    <m/>
    <m/>
    <m/>
    <m/>
    <m/>
    <m/>
    <m/>
    <m/>
    <m/>
    <m/>
    <m/>
    <n v="12.065000000000001"/>
    <n v="0"/>
    <n v="0"/>
    <n v="0"/>
    <n v="0"/>
    <n v="0"/>
    <n v="0"/>
    <n v="12.065000000000001"/>
    <n v="0"/>
    <n v="0"/>
    <n v="12.065000000000001"/>
    <n v="0"/>
    <n v="0"/>
    <n v="0"/>
    <m/>
    <m/>
    <m/>
    <m/>
    <m/>
    <m/>
    <m/>
    <m/>
    <m/>
    <m/>
    <m/>
    <m/>
    <m/>
    <m/>
    <m/>
    <m/>
    <m/>
    <m/>
    <m/>
    <m/>
    <m/>
    <m/>
    <m/>
    <m/>
    <m/>
    <m/>
    <m/>
    <m/>
    <m/>
    <m/>
    <m/>
    <m/>
    <m/>
    <m/>
  </r>
  <r>
    <m/>
    <m/>
    <s v="ZBTC"/>
    <m/>
    <m/>
    <s v="9518434780-3"/>
    <m/>
    <s v="Stocks"/>
    <m/>
    <x v="4"/>
    <x v="7"/>
    <m/>
    <m/>
    <x v="0"/>
    <m/>
    <m/>
    <m/>
    <m/>
    <m/>
    <m/>
    <m/>
    <s v="TATA BLUESCOPE STEEL PRIVATE LIMITE"/>
    <n v="3837004"/>
    <s v="PPGL C YS550 HPL8 0.40BMT(0.45TPT)X1220"/>
    <m/>
    <m/>
    <m/>
    <m/>
    <m/>
    <s v="B18"/>
    <s v="Y550PL"/>
    <s v="HPL8"/>
    <n v="0.4"/>
    <n v="1220"/>
    <m/>
    <m/>
    <m/>
    <m/>
    <m/>
    <m/>
    <m/>
    <m/>
    <m/>
    <m/>
    <m/>
    <m/>
    <m/>
    <m/>
    <m/>
    <m/>
    <m/>
    <m/>
    <m/>
    <m/>
    <m/>
    <m/>
    <m/>
    <m/>
    <m/>
    <m/>
    <m/>
    <m/>
    <m/>
    <m/>
    <m/>
    <m/>
    <m/>
    <m/>
    <m/>
    <m/>
    <n v="4.7549999999999999"/>
    <n v="0"/>
    <n v="0"/>
    <n v="0"/>
    <n v="0"/>
    <n v="0"/>
    <n v="0"/>
    <n v="4.7549999999999999"/>
    <n v="0"/>
    <n v="0"/>
    <n v="4.7549999999999999"/>
    <n v="0"/>
    <n v="0"/>
    <n v="0"/>
    <m/>
    <m/>
    <m/>
    <m/>
    <m/>
    <m/>
    <m/>
    <m/>
    <m/>
    <m/>
    <m/>
    <m/>
    <m/>
    <m/>
    <m/>
    <m/>
    <m/>
    <m/>
    <m/>
    <m/>
    <m/>
    <m/>
    <m/>
    <m/>
    <m/>
    <m/>
    <m/>
    <m/>
    <m/>
    <m/>
    <m/>
    <m/>
    <m/>
    <m/>
  </r>
  <r>
    <m/>
    <m/>
    <s v="ZBTC"/>
    <m/>
    <m/>
    <s v="9518455896-3"/>
    <m/>
    <s v="Stocks"/>
    <m/>
    <x v="4"/>
    <x v="7"/>
    <m/>
    <m/>
    <x v="0"/>
    <m/>
    <m/>
    <m/>
    <m/>
    <m/>
    <m/>
    <m/>
    <s v="TATA BLUESCOPE STEEL PVT LTD."/>
    <n v="1640840"/>
    <s v="PPGL C Y550 HPL3 0.45BMT(0.53TPT)X1220"/>
    <m/>
    <m/>
    <m/>
    <m/>
    <m/>
    <s v="B18"/>
    <s v="Y550PL"/>
    <s v="HPL3"/>
    <n v="0.45"/>
    <n v="1220"/>
    <n v="4957"/>
    <m/>
    <m/>
    <m/>
    <m/>
    <m/>
    <m/>
    <m/>
    <m/>
    <m/>
    <m/>
    <m/>
    <m/>
    <m/>
    <m/>
    <m/>
    <m/>
    <m/>
    <m/>
    <m/>
    <m/>
    <m/>
    <m/>
    <m/>
    <m/>
    <m/>
    <m/>
    <m/>
    <m/>
    <m/>
    <m/>
    <m/>
    <m/>
    <m/>
    <m/>
    <m/>
    <n v="8.43"/>
    <n v="0"/>
    <n v="0"/>
    <n v="0"/>
    <n v="0"/>
    <n v="0"/>
    <n v="0"/>
    <n v="8.43"/>
    <n v="0"/>
    <n v="0"/>
    <n v="8.43"/>
    <n v="0"/>
    <n v="0"/>
    <n v="0"/>
    <m/>
    <m/>
    <m/>
    <m/>
    <m/>
    <m/>
    <m/>
    <m/>
    <m/>
    <m/>
    <m/>
    <m/>
    <m/>
    <m/>
    <m/>
    <m/>
    <m/>
    <m/>
    <m/>
    <m/>
    <m/>
    <m/>
    <m/>
    <m/>
    <m/>
    <m/>
    <m/>
    <m/>
    <m/>
    <m/>
    <m/>
    <m/>
    <m/>
    <m/>
  </r>
  <r>
    <m/>
    <m/>
    <s v="ZBTC"/>
    <m/>
    <m/>
    <s v="9518456008-2"/>
    <m/>
    <s v="Stocks"/>
    <m/>
    <x v="3"/>
    <x v="7"/>
    <m/>
    <m/>
    <x v="0"/>
    <m/>
    <m/>
    <m/>
    <m/>
    <m/>
    <m/>
    <m/>
    <s v="TATA BLUESCOPE STEEL PRIVATE LIMITE"/>
    <n v="1881969"/>
    <s v="GL C YS550 H6GL 0.45BMT(0.50TCT)X1220"/>
    <m/>
    <m/>
    <m/>
    <m/>
    <m/>
    <s v="B04"/>
    <s v="Y550GL"/>
    <s v="H6GL"/>
    <n v="0.45"/>
    <n v="1220"/>
    <m/>
    <m/>
    <m/>
    <m/>
    <m/>
    <m/>
    <m/>
    <m/>
    <m/>
    <m/>
    <m/>
    <m/>
    <m/>
    <m/>
    <m/>
    <m/>
    <m/>
    <m/>
    <m/>
    <m/>
    <m/>
    <m/>
    <m/>
    <m/>
    <m/>
    <m/>
    <m/>
    <m/>
    <m/>
    <m/>
    <m/>
    <m/>
    <m/>
    <m/>
    <m/>
    <m/>
    <n v="4.3250000000000002"/>
    <n v="0"/>
    <n v="0"/>
    <n v="0"/>
    <n v="0"/>
    <n v="0"/>
    <n v="0"/>
    <n v="4.3250000000000002"/>
    <n v="0"/>
    <n v="0"/>
    <n v="4.3250000000000002"/>
    <n v="0"/>
    <n v="0"/>
    <n v="0"/>
    <m/>
    <m/>
    <m/>
    <m/>
    <m/>
    <m/>
    <m/>
    <m/>
    <m/>
    <m/>
    <m/>
    <m/>
    <m/>
    <m/>
    <m/>
    <m/>
    <m/>
    <m/>
    <m/>
    <m/>
    <m/>
    <m/>
    <m/>
    <m/>
    <m/>
    <m/>
    <m/>
    <m/>
    <m/>
    <m/>
    <m/>
    <m/>
    <m/>
    <m/>
  </r>
  <r>
    <m/>
    <m/>
    <s v="ZBTC"/>
    <m/>
    <m/>
    <s v="9518470566-2"/>
    <m/>
    <s v="Stocks"/>
    <m/>
    <x v="4"/>
    <x v="7"/>
    <m/>
    <m/>
    <x v="0"/>
    <m/>
    <m/>
    <m/>
    <m/>
    <m/>
    <m/>
    <m/>
    <s v="TATA BLUESCOPE STEEL PVT LTD."/>
    <n v="1641099"/>
    <s v="PPGL C Y550 HPL3 0.60BMT(0.68TPT)X1220"/>
    <m/>
    <m/>
    <m/>
    <m/>
    <m/>
    <s v="B18"/>
    <s v="Y550PL"/>
    <s v="HPL3"/>
    <n v="0.6"/>
    <n v="1220"/>
    <n v="655"/>
    <m/>
    <m/>
    <m/>
    <m/>
    <m/>
    <m/>
    <m/>
    <m/>
    <m/>
    <m/>
    <m/>
    <m/>
    <m/>
    <m/>
    <m/>
    <m/>
    <m/>
    <m/>
    <m/>
    <m/>
    <m/>
    <m/>
    <m/>
    <m/>
    <m/>
    <m/>
    <m/>
    <m/>
    <m/>
    <m/>
    <m/>
    <m/>
    <m/>
    <m/>
    <m/>
    <n v="12"/>
    <n v="0"/>
    <n v="0"/>
    <n v="0"/>
    <n v="0"/>
    <n v="0"/>
    <n v="0"/>
    <n v="12"/>
    <n v="0"/>
    <n v="0"/>
    <n v="12"/>
    <n v="0"/>
    <n v="0"/>
    <n v="0"/>
    <m/>
    <m/>
    <m/>
    <m/>
    <m/>
    <m/>
    <m/>
    <m/>
    <m/>
    <m/>
    <m/>
    <m/>
    <m/>
    <m/>
    <m/>
    <m/>
    <m/>
    <m/>
    <m/>
    <m/>
    <m/>
    <m/>
    <m/>
    <m/>
    <m/>
    <m/>
    <m/>
    <m/>
    <m/>
    <m/>
    <m/>
    <m/>
    <m/>
    <m/>
  </r>
  <r>
    <m/>
    <m/>
    <s v="ZBTC"/>
    <m/>
    <m/>
    <s v="9518471806-1"/>
    <m/>
    <s v="Stocks"/>
    <m/>
    <x v="4"/>
    <x v="7"/>
    <m/>
    <m/>
    <x v="0"/>
    <m/>
    <m/>
    <m/>
    <m/>
    <m/>
    <m/>
    <m/>
    <s v="TATA BLUESCOPE STEEL PRIVATE LIMITE"/>
    <n v="3837003"/>
    <s v="PPGL C YS550 HPL8 0.35BMT(0.40TPT)X1220"/>
    <m/>
    <m/>
    <m/>
    <m/>
    <m/>
    <s v="B18"/>
    <s v="Y550PL"/>
    <s v="HPL8"/>
    <n v="0.35"/>
    <n v="1220"/>
    <n v="905"/>
    <m/>
    <m/>
    <m/>
    <m/>
    <m/>
    <m/>
    <m/>
    <m/>
    <m/>
    <m/>
    <m/>
    <m/>
    <m/>
    <m/>
    <m/>
    <m/>
    <m/>
    <m/>
    <m/>
    <m/>
    <m/>
    <m/>
    <m/>
    <m/>
    <m/>
    <m/>
    <m/>
    <m/>
    <m/>
    <m/>
    <m/>
    <m/>
    <m/>
    <m/>
    <m/>
    <n v="8"/>
    <n v="0"/>
    <n v="0"/>
    <n v="0"/>
    <n v="0"/>
    <n v="0"/>
    <n v="0"/>
    <n v="8"/>
    <n v="0"/>
    <n v="0"/>
    <n v="8"/>
    <n v="0"/>
    <n v="0"/>
    <n v="0"/>
    <m/>
    <m/>
    <m/>
    <m/>
    <m/>
    <m/>
    <m/>
    <m/>
    <m/>
    <m/>
    <m/>
    <m/>
    <m/>
    <m/>
    <m/>
    <m/>
    <m/>
    <m/>
    <m/>
    <m/>
    <m/>
    <m/>
    <m/>
    <m/>
    <m/>
    <m/>
    <m/>
    <m/>
    <m/>
    <m/>
    <m/>
    <m/>
    <m/>
    <m/>
  </r>
  <r>
    <m/>
    <m/>
    <s v="ZBTC"/>
    <m/>
    <m/>
    <s v="9518471845-1"/>
    <m/>
    <s v="Stocks"/>
    <m/>
    <x v="4"/>
    <x v="7"/>
    <m/>
    <m/>
    <x v="0"/>
    <m/>
    <m/>
    <m/>
    <m/>
    <m/>
    <m/>
    <m/>
    <s v="TATA BLUESCOPE STEEL PVT LTD."/>
    <n v="1640840"/>
    <s v="PPGL C Y550 HPL3 0.45BMT(0.53TPT)X1220"/>
    <m/>
    <m/>
    <m/>
    <m/>
    <m/>
    <s v="B18"/>
    <s v="Y550PL"/>
    <s v="HPL3"/>
    <n v="0.45"/>
    <n v="1220"/>
    <n v="926"/>
    <m/>
    <m/>
    <m/>
    <m/>
    <m/>
    <m/>
    <m/>
    <m/>
    <m/>
    <m/>
    <m/>
    <m/>
    <m/>
    <m/>
    <m/>
    <m/>
    <m/>
    <m/>
    <m/>
    <m/>
    <m/>
    <m/>
    <m/>
    <m/>
    <m/>
    <m/>
    <m/>
    <m/>
    <m/>
    <m/>
    <m/>
    <m/>
    <m/>
    <m/>
    <m/>
    <n v="4.17"/>
    <n v="0"/>
    <n v="0"/>
    <n v="0"/>
    <n v="0"/>
    <n v="0"/>
    <n v="0"/>
    <n v="4.17"/>
    <n v="0"/>
    <n v="0"/>
    <n v="4.17"/>
    <n v="0"/>
    <n v="0"/>
    <n v="0"/>
    <m/>
    <m/>
    <m/>
    <m/>
    <m/>
    <m/>
    <m/>
    <m/>
    <m/>
    <m/>
    <m/>
    <m/>
    <m/>
    <m/>
    <m/>
    <m/>
    <m/>
    <m/>
    <m/>
    <m/>
    <m/>
    <m/>
    <m/>
    <m/>
    <m/>
    <m/>
    <m/>
    <m/>
    <m/>
    <m/>
    <m/>
    <m/>
    <m/>
    <m/>
  </r>
  <r>
    <m/>
    <m/>
    <s v="ZBTC"/>
    <m/>
    <m/>
    <s v="9518477004-6"/>
    <m/>
    <s v="Stocks"/>
    <m/>
    <x v="4"/>
    <x v="7"/>
    <m/>
    <m/>
    <x v="0"/>
    <m/>
    <m/>
    <m/>
    <m/>
    <m/>
    <m/>
    <m/>
    <s v="TATA BLUESCOPE STEEL PVT LTD."/>
    <n v="3883538"/>
    <s v="PPGL C HARD Y550PL ISC6 0.300X1220"/>
    <m/>
    <m/>
    <m/>
    <m/>
    <m/>
    <s v="B18"/>
    <s v="Y550PL"/>
    <s v="ISC6"/>
    <n v="0.3"/>
    <n v="1220"/>
    <n v="697"/>
    <m/>
    <m/>
    <m/>
    <m/>
    <m/>
    <m/>
    <m/>
    <m/>
    <m/>
    <m/>
    <m/>
    <m/>
    <m/>
    <m/>
    <m/>
    <m/>
    <m/>
    <m/>
    <m/>
    <m/>
    <m/>
    <m/>
    <m/>
    <m/>
    <m/>
    <m/>
    <m/>
    <m/>
    <m/>
    <m/>
    <m/>
    <m/>
    <m/>
    <m/>
    <m/>
    <n v="1.885"/>
    <n v="0"/>
    <n v="0"/>
    <n v="0"/>
    <n v="0"/>
    <n v="0"/>
    <n v="0"/>
    <n v="1.885"/>
    <n v="0"/>
    <n v="0"/>
    <n v="1.885"/>
    <n v="0"/>
    <n v="0"/>
    <n v="0"/>
    <m/>
    <m/>
    <m/>
    <m/>
    <m/>
    <m/>
    <m/>
    <m/>
    <m/>
    <m/>
    <m/>
    <m/>
    <m/>
    <m/>
    <m/>
    <m/>
    <m/>
    <m/>
    <m/>
    <m/>
    <m/>
    <m/>
    <m/>
    <m/>
    <m/>
    <m/>
    <m/>
    <m/>
    <m/>
    <m/>
    <m/>
    <m/>
    <m/>
    <m/>
  </r>
  <r>
    <m/>
    <m/>
    <s v="ZBTC"/>
    <m/>
    <m/>
    <s v="9518510743-1"/>
    <m/>
    <s v="Stocks"/>
    <m/>
    <x v="4"/>
    <x v="7"/>
    <m/>
    <m/>
    <x v="0"/>
    <m/>
    <m/>
    <m/>
    <m/>
    <m/>
    <m/>
    <m/>
    <s v="TATA BLUESCOPE STEEL PRIVATE LIMITE"/>
    <n v="3712516"/>
    <s v="PPGL C HARD Y550PL HPL5 0.450X1220"/>
    <m/>
    <m/>
    <m/>
    <m/>
    <m/>
    <s v="B18"/>
    <s v="Y550PL"/>
    <s v="HPL5"/>
    <n v="0.45"/>
    <n v="1220"/>
    <n v="5601"/>
    <m/>
    <m/>
    <m/>
    <m/>
    <m/>
    <m/>
    <m/>
    <m/>
    <m/>
    <m/>
    <m/>
    <m/>
    <m/>
    <m/>
    <m/>
    <m/>
    <m/>
    <m/>
    <m/>
    <m/>
    <m/>
    <m/>
    <m/>
    <m/>
    <m/>
    <m/>
    <m/>
    <m/>
    <m/>
    <m/>
    <m/>
    <m/>
    <m/>
    <m/>
    <m/>
    <n v="9.91"/>
    <n v="0"/>
    <n v="0"/>
    <n v="0"/>
    <n v="0"/>
    <n v="0"/>
    <n v="0"/>
    <n v="9.91"/>
    <n v="0"/>
    <n v="0"/>
    <n v="9.91"/>
    <n v="0"/>
    <n v="0"/>
    <n v="0"/>
    <m/>
    <m/>
    <m/>
    <m/>
    <m/>
    <m/>
    <m/>
    <m/>
    <m/>
    <m/>
    <m/>
    <m/>
    <m/>
    <m/>
    <m/>
    <m/>
    <m/>
    <m/>
    <m/>
    <m/>
    <m/>
    <m/>
    <m/>
    <m/>
    <m/>
    <m/>
    <m/>
    <m/>
    <m/>
    <m/>
    <m/>
    <m/>
    <m/>
    <m/>
  </r>
  <r>
    <m/>
    <m/>
    <s v="ZBTC"/>
    <m/>
    <m/>
    <s v="9518510743-2"/>
    <m/>
    <s v="Stocks"/>
    <m/>
    <x v="4"/>
    <x v="7"/>
    <m/>
    <m/>
    <x v="0"/>
    <m/>
    <m/>
    <m/>
    <m/>
    <m/>
    <m/>
    <m/>
    <s v="TATA BLUESCOPE STEEL PRIVATE LIMITE"/>
    <n v="1636510"/>
    <s v="PPGL COIL HARD-Y550PL-HPL3-0.55X1220"/>
    <m/>
    <m/>
    <m/>
    <m/>
    <m/>
    <s v="B18"/>
    <s v="Y550PL"/>
    <s v="HPL3"/>
    <n v="0.55000000000000004"/>
    <n v="1220"/>
    <n v="780"/>
    <m/>
    <m/>
    <m/>
    <m/>
    <m/>
    <m/>
    <m/>
    <m/>
    <m/>
    <m/>
    <m/>
    <m/>
    <m/>
    <m/>
    <m/>
    <m/>
    <m/>
    <m/>
    <m/>
    <m/>
    <m/>
    <m/>
    <m/>
    <m/>
    <m/>
    <m/>
    <m/>
    <m/>
    <m/>
    <m/>
    <m/>
    <m/>
    <m/>
    <m/>
    <m/>
    <n v="13"/>
    <n v="0"/>
    <n v="0"/>
    <n v="0"/>
    <n v="0"/>
    <n v="0"/>
    <n v="0"/>
    <n v="13"/>
    <n v="0"/>
    <n v="0"/>
    <n v="13"/>
    <n v="0"/>
    <n v="0"/>
    <n v="0"/>
    <m/>
    <m/>
    <m/>
    <m/>
    <m/>
    <m/>
    <m/>
    <m/>
    <m/>
    <m/>
    <m/>
    <m/>
    <m/>
    <m/>
    <m/>
    <m/>
    <m/>
    <m/>
    <m/>
    <m/>
    <m/>
    <m/>
    <m/>
    <m/>
    <m/>
    <m/>
    <m/>
    <m/>
    <m/>
    <m/>
    <m/>
    <m/>
    <m/>
    <m/>
  </r>
  <r>
    <m/>
    <m/>
    <s v="ZBTC"/>
    <m/>
    <m/>
    <s v="9518510776-1"/>
    <m/>
    <s v="Stocks"/>
    <m/>
    <x v="3"/>
    <x v="7"/>
    <m/>
    <m/>
    <x v="0"/>
    <m/>
    <m/>
    <m/>
    <m/>
    <m/>
    <m/>
    <m/>
    <s v="TATA BLUESCOPE STEEL PRIVATE LIMITE"/>
    <n v="1881969"/>
    <s v="GL C YS550 H6GL 0.45BMT(0.50TCT)X1220"/>
    <m/>
    <m/>
    <m/>
    <m/>
    <m/>
    <s v="B04"/>
    <s v="Y550GL"/>
    <s v="H6GL"/>
    <n v="0.45"/>
    <n v="1220"/>
    <m/>
    <m/>
    <m/>
    <m/>
    <m/>
    <m/>
    <m/>
    <m/>
    <m/>
    <m/>
    <m/>
    <m/>
    <m/>
    <m/>
    <m/>
    <m/>
    <m/>
    <m/>
    <m/>
    <m/>
    <m/>
    <m/>
    <m/>
    <m/>
    <m/>
    <m/>
    <m/>
    <m/>
    <m/>
    <m/>
    <m/>
    <m/>
    <m/>
    <m/>
    <m/>
    <m/>
    <n v="19.365000000000002"/>
    <n v="0"/>
    <n v="0"/>
    <n v="0"/>
    <n v="0"/>
    <n v="0"/>
    <n v="0"/>
    <n v="19.365000000000002"/>
    <n v="0"/>
    <n v="0"/>
    <n v="19.365000000000002"/>
    <n v="0"/>
    <n v="0"/>
    <n v="0"/>
    <m/>
    <m/>
    <m/>
    <m/>
    <m/>
    <m/>
    <m/>
    <m/>
    <m/>
    <m/>
    <m/>
    <m/>
    <m/>
    <m/>
    <m/>
    <m/>
    <m/>
    <m/>
    <m/>
    <m/>
    <m/>
    <m/>
    <m/>
    <m/>
    <m/>
    <m/>
    <m/>
    <m/>
    <m/>
    <m/>
    <m/>
    <m/>
    <m/>
    <m/>
  </r>
  <r>
    <m/>
    <m/>
    <s v="ZBTC"/>
    <m/>
    <m/>
    <s v="9518510856-1"/>
    <m/>
    <s v="Stocks"/>
    <m/>
    <x v="4"/>
    <x v="7"/>
    <m/>
    <m/>
    <x v="0"/>
    <m/>
    <m/>
    <m/>
    <m/>
    <m/>
    <m/>
    <m/>
    <s v="TATA BLUESCOPE STEEL PVT LTD."/>
    <n v="1640840"/>
    <s v="PPGL C Y550 HPL3 0.45BMT(0.53TPT)X1220"/>
    <m/>
    <m/>
    <m/>
    <m/>
    <m/>
    <s v="B18"/>
    <s v="Y550PL"/>
    <s v="HPL3"/>
    <n v="0.45"/>
    <n v="1220"/>
    <n v="345"/>
    <m/>
    <m/>
    <m/>
    <m/>
    <m/>
    <m/>
    <m/>
    <m/>
    <m/>
    <m/>
    <m/>
    <m/>
    <m/>
    <m/>
    <m/>
    <m/>
    <m/>
    <m/>
    <m/>
    <m/>
    <m/>
    <m/>
    <m/>
    <m/>
    <m/>
    <m/>
    <m/>
    <m/>
    <m/>
    <m/>
    <m/>
    <m/>
    <m/>
    <m/>
    <m/>
    <n v="268"/>
    <n v="0"/>
    <n v="0"/>
    <n v="0"/>
    <n v="0"/>
    <n v="0"/>
    <n v="0"/>
    <n v="268"/>
    <n v="0"/>
    <n v="0"/>
    <n v="268"/>
    <n v="0"/>
    <n v="0"/>
    <n v="0"/>
    <m/>
    <m/>
    <m/>
    <m/>
    <m/>
    <m/>
    <m/>
    <m/>
    <m/>
    <m/>
    <m/>
    <m/>
    <m/>
    <m/>
    <m/>
    <m/>
    <m/>
    <m/>
    <m/>
    <m/>
    <m/>
    <m/>
    <m/>
    <m/>
    <m/>
    <m/>
    <m/>
    <m/>
    <m/>
    <m/>
    <m/>
    <m/>
    <m/>
    <m/>
  </r>
  <r>
    <m/>
    <m/>
    <s v="ZBTC"/>
    <m/>
    <m/>
    <s v="9518512717-1"/>
    <m/>
    <s v="Stocks"/>
    <m/>
    <x v="4"/>
    <x v="7"/>
    <m/>
    <m/>
    <x v="0"/>
    <m/>
    <m/>
    <m/>
    <m/>
    <m/>
    <m/>
    <m/>
    <s v="TATA BLUESCOPE STEEL PRIVATE LIMITE"/>
    <n v="1633706"/>
    <s v="PPGL C Y550 HPL3 0.42BMT(0.50TPT)X1220"/>
    <m/>
    <m/>
    <m/>
    <m/>
    <m/>
    <s v="B18"/>
    <s v="Y550PL"/>
    <s v="HPL3"/>
    <n v="0.42"/>
    <n v="1220"/>
    <m/>
    <m/>
    <m/>
    <m/>
    <m/>
    <m/>
    <m/>
    <m/>
    <m/>
    <m/>
    <m/>
    <m/>
    <m/>
    <m/>
    <m/>
    <m/>
    <m/>
    <m/>
    <m/>
    <m/>
    <m/>
    <m/>
    <m/>
    <m/>
    <m/>
    <m/>
    <m/>
    <m/>
    <m/>
    <m/>
    <m/>
    <m/>
    <m/>
    <m/>
    <m/>
    <m/>
    <n v="4.3099999999999996"/>
    <n v="0"/>
    <n v="0"/>
    <n v="0"/>
    <n v="0"/>
    <n v="0"/>
    <n v="0"/>
    <n v="4.3099999999999996"/>
    <n v="0"/>
    <n v="0"/>
    <n v="4.3099999999999996"/>
    <n v="0"/>
    <n v="0"/>
    <n v="0"/>
    <m/>
    <m/>
    <m/>
    <m/>
    <m/>
    <m/>
    <m/>
    <m/>
    <m/>
    <m/>
    <m/>
    <m/>
    <m/>
    <m/>
    <m/>
    <m/>
    <m/>
    <m/>
    <m/>
    <m/>
    <m/>
    <m/>
    <m/>
    <m/>
    <m/>
    <m/>
    <m/>
    <m/>
    <m/>
    <m/>
    <m/>
    <m/>
    <m/>
    <m/>
  </r>
  <r>
    <m/>
    <m/>
    <s v="ZBTC"/>
    <m/>
    <m/>
    <s v="9518514334-1"/>
    <m/>
    <s v="Stocks"/>
    <m/>
    <x v="4"/>
    <x v="7"/>
    <m/>
    <m/>
    <x v="0"/>
    <m/>
    <m/>
    <m/>
    <m/>
    <m/>
    <m/>
    <m/>
    <s v="TATA BLUESCOPE STEEL PRIVATE LIMITE"/>
    <n v="1633706"/>
    <s v="PPGL C Y550 HPL3 0.42BMT(0.50TPT)X1220"/>
    <m/>
    <m/>
    <m/>
    <m/>
    <m/>
    <s v="B18"/>
    <s v="Y550PL"/>
    <s v="HPL3"/>
    <n v="0.42"/>
    <n v="1220"/>
    <n v="5996"/>
    <m/>
    <m/>
    <m/>
    <m/>
    <m/>
    <m/>
    <m/>
    <m/>
    <m/>
    <m/>
    <m/>
    <m/>
    <m/>
    <m/>
    <m/>
    <m/>
    <m/>
    <m/>
    <m/>
    <m/>
    <m/>
    <m/>
    <m/>
    <m/>
    <m/>
    <m/>
    <m/>
    <m/>
    <m/>
    <m/>
    <m/>
    <m/>
    <m/>
    <m/>
    <m/>
    <n v="10"/>
    <n v="0"/>
    <n v="0"/>
    <n v="0"/>
    <n v="0"/>
    <n v="0"/>
    <n v="0"/>
    <n v="10"/>
    <n v="0"/>
    <n v="0"/>
    <n v="10"/>
    <n v="0"/>
    <n v="0"/>
    <n v="0"/>
    <m/>
    <m/>
    <m/>
    <m/>
    <m/>
    <m/>
    <m/>
    <m/>
    <m/>
    <m/>
    <m/>
    <m/>
    <m/>
    <m/>
    <m/>
    <m/>
    <m/>
    <m/>
    <m/>
    <m/>
    <m/>
    <m/>
    <m/>
    <m/>
    <m/>
    <m/>
    <m/>
    <m/>
    <m/>
    <m/>
    <m/>
    <m/>
    <m/>
    <m/>
  </r>
  <r>
    <m/>
    <m/>
    <s v="ZBTC"/>
    <m/>
    <m/>
    <s v="9518517269-1"/>
    <m/>
    <s v="Stocks"/>
    <m/>
    <x v="1"/>
    <x v="5"/>
    <m/>
    <m/>
    <x v="0"/>
    <m/>
    <m/>
    <m/>
    <m/>
    <m/>
    <m/>
    <m/>
    <s v="G K ISPAT PRIVATE LIMITED"/>
    <n v="2170030"/>
    <s v="CRCA COIL TATXXD BT01 1.200X1220"/>
    <m/>
    <m/>
    <m/>
    <m/>
    <m/>
    <s v="C01"/>
    <s v="TATXXD"/>
    <s v="BT01"/>
    <n v="1.2"/>
    <n v="1220"/>
    <m/>
    <m/>
    <m/>
    <m/>
    <m/>
    <m/>
    <m/>
    <m/>
    <m/>
    <m/>
    <m/>
    <m/>
    <m/>
    <m/>
    <m/>
    <m/>
    <m/>
    <m/>
    <m/>
    <m/>
    <m/>
    <m/>
    <m/>
    <m/>
    <m/>
    <m/>
    <m/>
    <m/>
    <m/>
    <m/>
    <m/>
    <m/>
    <m/>
    <m/>
    <m/>
    <m/>
    <n v="7.47"/>
    <n v="0"/>
    <n v="0"/>
    <n v="0"/>
    <n v="0"/>
    <n v="0"/>
    <n v="0"/>
    <n v="7.47"/>
    <n v="0"/>
    <n v="7.47"/>
    <n v="0"/>
    <n v="0"/>
    <n v="0"/>
    <n v="0"/>
    <m/>
    <m/>
    <m/>
    <m/>
    <m/>
    <m/>
    <m/>
    <m/>
    <m/>
    <m/>
    <m/>
    <m/>
    <m/>
    <m/>
    <m/>
    <m/>
    <m/>
    <m/>
    <m/>
    <m/>
    <m/>
    <m/>
    <m/>
    <m/>
    <m/>
    <m/>
    <m/>
    <m/>
    <m/>
    <m/>
    <m/>
    <m/>
    <m/>
    <m/>
  </r>
  <r>
    <m/>
    <m/>
    <s v="ZBTC"/>
    <m/>
    <m/>
    <s v="9518519364-1"/>
    <m/>
    <s v="Stocks"/>
    <m/>
    <x v="3"/>
    <x v="5"/>
    <m/>
    <m/>
    <x v="0"/>
    <m/>
    <m/>
    <m/>
    <m/>
    <m/>
    <m/>
    <m/>
    <s v="R.K .Metal Roofings Private Limited"/>
    <n v="3884496"/>
    <s v="GL COIL HARD  Y550GL HGL6 0.900X1220"/>
    <m/>
    <m/>
    <m/>
    <m/>
    <m/>
    <s v="B04"/>
    <s v="Y550GL"/>
    <s v="HGL6"/>
    <n v="0.9"/>
    <n v="1220"/>
    <m/>
    <m/>
    <m/>
    <m/>
    <m/>
    <m/>
    <m/>
    <m/>
    <m/>
    <m/>
    <m/>
    <m/>
    <m/>
    <m/>
    <m/>
    <m/>
    <m/>
    <m/>
    <m/>
    <m/>
    <m/>
    <m/>
    <m/>
    <m/>
    <m/>
    <m/>
    <m/>
    <m/>
    <m/>
    <m/>
    <m/>
    <m/>
    <m/>
    <m/>
    <m/>
    <m/>
    <n v="10.86"/>
    <n v="0"/>
    <n v="0"/>
    <n v="0"/>
    <n v="0"/>
    <n v="0"/>
    <n v="0"/>
    <n v="10.86"/>
    <n v="0"/>
    <n v="10.86"/>
    <n v="0"/>
    <n v="0"/>
    <n v="0"/>
    <n v="0"/>
    <m/>
    <m/>
    <m/>
    <m/>
    <m/>
    <m/>
    <m/>
    <m/>
    <m/>
    <m/>
    <m/>
    <m/>
    <m/>
    <m/>
    <m/>
    <m/>
    <m/>
    <m/>
    <m/>
    <m/>
    <m/>
    <m/>
    <m/>
    <m/>
    <m/>
    <m/>
    <m/>
    <m/>
    <m/>
    <m/>
    <m/>
    <m/>
    <m/>
    <m/>
  </r>
  <r>
    <m/>
    <m/>
    <s v="ZBTC"/>
    <m/>
    <m/>
    <s v="9518522901-1"/>
    <m/>
    <s v="Stocks"/>
    <m/>
    <x v="4"/>
    <x v="7"/>
    <m/>
    <m/>
    <x v="0"/>
    <m/>
    <m/>
    <m/>
    <m/>
    <m/>
    <m/>
    <m/>
    <s v="TATA BLUESCOPE STEEL PRIVATE LIMITE"/>
    <n v="1633706"/>
    <s v="PPGL C Y550 HPL3 0.42BMT(0.50TPT)X1220"/>
    <m/>
    <m/>
    <m/>
    <m/>
    <m/>
    <s v="B18"/>
    <s v="Y550PL"/>
    <s v="HPL3"/>
    <n v="0.42"/>
    <n v="1220"/>
    <m/>
    <m/>
    <m/>
    <m/>
    <m/>
    <m/>
    <m/>
    <m/>
    <m/>
    <m/>
    <m/>
    <m/>
    <m/>
    <m/>
    <m/>
    <m/>
    <m/>
    <m/>
    <m/>
    <m/>
    <m/>
    <m/>
    <m/>
    <m/>
    <m/>
    <m/>
    <m/>
    <m/>
    <m/>
    <m/>
    <m/>
    <m/>
    <m/>
    <m/>
    <m/>
    <m/>
    <n v="8.7100000000000009"/>
    <n v="0"/>
    <n v="0"/>
    <n v="0"/>
    <n v="0"/>
    <n v="0"/>
    <n v="0"/>
    <n v="8.7100000000000009"/>
    <n v="0"/>
    <n v="0"/>
    <n v="8.7100000000000009"/>
    <n v="0"/>
    <n v="0"/>
    <n v="0"/>
    <m/>
    <m/>
    <m/>
    <m/>
    <m/>
    <m/>
    <m/>
    <m/>
    <m/>
    <m/>
    <m/>
    <m/>
    <m/>
    <m/>
    <m/>
    <m/>
    <m/>
    <m/>
    <m/>
    <m/>
    <m/>
    <m/>
    <m/>
    <m/>
    <m/>
    <m/>
    <m/>
    <m/>
    <m/>
    <m/>
    <m/>
    <m/>
    <m/>
    <m/>
  </r>
  <r>
    <m/>
    <m/>
    <s v="ZBTC"/>
    <m/>
    <m/>
    <s v="9518533133-1"/>
    <m/>
    <s v="Stocks"/>
    <m/>
    <x v="2"/>
    <x v="2"/>
    <m/>
    <m/>
    <x v="0"/>
    <m/>
    <m/>
    <m/>
    <m/>
    <m/>
    <m/>
    <m/>
    <s v="JAIN STEEL DISTRIBUTORS"/>
    <n v="1142894"/>
    <s v="GP COIL TATXGP GLK1 0.400X900"/>
    <m/>
    <m/>
    <m/>
    <m/>
    <m/>
    <s v="C02"/>
    <s v="TATXGP"/>
    <s v="GLK1"/>
    <n v="0.4"/>
    <n v="900"/>
    <m/>
    <m/>
    <m/>
    <m/>
    <m/>
    <m/>
    <m/>
    <m/>
    <m/>
    <m/>
    <m/>
    <m/>
    <m/>
    <m/>
    <m/>
    <m/>
    <m/>
    <m/>
    <m/>
    <m/>
    <m/>
    <m/>
    <m/>
    <m/>
    <m/>
    <m/>
    <m/>
    <m/>
    <m/>
    <m/>
    <m/>
    <m/>
    <m/>
    <m/>
    <m/>
    <m/>
    <n v="3.0049999999999999"/>
    <n v="0"/>
    <n v="0"/>
    <n v="0"/>
    <n v="0"/>
    <n v="0"/>
    <n v="0"/>
    <n v="3.0049999999999999"/>
    <n v="0"/>
    <n v="3.0049999999999999"/>
    <n v="0"/>
    <n v="0"/>
    <n v="0"/>
    <n v="0"/>
    <m/>
    <m/>
    <m/>
    <m/>
    <m/>
    <m/>
    <m/>
    <m/>
    <m/>
    <m/>
    <m/>
    <m/>
    <m/>
    <m/>
    <m/>
    <m/>
    <m/>
    <m/>
    <m/>
    <m/>
    <m/>
    <m/>
    <m/>
    <m/>
    <m/>
    <m/>
    <m/>
    <m/>
    <m/>
    <m/>
    <m/>
    <m/>
    <m/>
    <m/>
  </r>
  <r>
    <m/>
    <m/>
    <s v="ZBTC"/>
    <m/>
    <m/>
    <s v="9518533133-12"/>
    <m/>
    <s v="Stocks"/>
    <m/>
    <x v="2"/>
    <x v="2"/>
    <m/>
    <m/>
    <x v="0"/>
    <m/>
    <m/>
    <m/>
    <m/>
    <m/>
    <m/>
    <m/>
    <s v="JAIN STEEL DISTRIBUTORS"/>
    <n v="3484329"/>
    <s v="GP SH SOFT TATXGP GK09 0.600X900X2500"/>
    <m/>
    <m/>
    <m/>
    <m/>
    <m/>
    <s v="B11"/>
    <s v="TATXGP"/>
    <s v="GK09"/>
    <n v="0.6"/>
    <n v="900"/>
    <n v="2500"/>
    <m/>
    <m/>
    <m/>
    <m/>
    <m/>
    <m/>
    <m/>
    <m/>
    <m/>
    <m/>
    <m/>
    <m/>
    <m/>
    <m/>
    <m/>
    <m/>
    <m/>
    <m/>
    <m/>
    <m/>
    <m/>
    <m/>
    <m/>
    <m/>
    <m/>
    <m/>
    <m/>
    <m/>
    <m/>
    <m/>
    <m/>
    <m/>
    <m/>
    <m/>
    <m/>
    <n v="5.2450000000000001"/>
    <n v="0"/>
    <n v="0"/>
    <n v="0"/>
    <n v="0"/>
    <n v="0"/>
    <n v="0"/>
    <n v="5.2450000000000001"/>
    <n v="0"/>
    <n v="5.2450000000000001"/>
    <n v="0"/>
    <n v="0"/>
    <n v="0"/>
    <n v="0"/>
    <m/>
    <m/>
    <m/>
    <m/>
    <m/>
    <m/>
    <m/>
    <m/>
    <m/>
    <m/>
    <m/>
    <m/>
    <m/>
    <m/>
    <m/>
    <m/>
    <m/>
    <m/>
    <m/>
    <m/>
    <m/>
    <m/>
    <m/>
    <m/>
    <m/>
    <m/>
    <m/>
    <m/>
    <m/>
    <m/>
    <m/>
    <m/>
    <m/>
    <m/>
  </r>
  <r>
    <m/>
    <m/>
    <s v="ZBTC"/>
    <m/>
    <m/>
    <s v="9518533133-2"/>
    <m/>
    <s v="Stocks"/>
    <m/>
    <x v="2"/>
    <x v="2"/>
    <m/>
    <m/>
    <x v="0"/>
    <m/>
    <m/>
    <m/>
    <m/>
    <m/>
    <m/>
    <m/>
    <s v="JAIN STEEL DISTRIBUTORS"/>
    <n v="1142895"/>
    <s v="GP COIL SOFT-TATXGP-GLK1-0.5X900"/>
    <m/>
    <m/>
    <m/>
    <m/>
    <m/>
    <s v="C02"/>
    <s v="TATXGP"/>
    <s v="GLK1"/>
    <n v="0.5"/>
    <n v="900"/>
    <m/>
    <m/>
    <m/>
    <m/>
    <m/>
    <m/>
    <m/>
    <m/>
    <m/>
    <m/>
    <m/>
    <m/>
    <m/>
    <m/>
    <m/>
    <m/>
    <m/>
    <m/>
    <m/>
    <m/>
    <m/>
    <m/>
    <m/>
    <m/>
    <m/>
    <m/>
    <m/>
    <m/>
    <m/>
    <m/>
    <m/>
    <m/>
    <m/>
    <m/>
    <m/>
    <m/>
    <n v="3.2"/>
    <n v="0"/>
    <n v="0"/>
    <n v="0"/>
    <n v="0"/>
    <n v="0"/>
    <n v="0"/>
    <n v="3.2"/>
    <n v="0"/>
    <n v="3.2"/>
    <n v="0"/>
    <n v="0"/>
    <n v="0"/>
    <n v="0"/>
    <m/>
    <m/>
    <m/>
    <m/>
    <m/>
    <m/>
    <m/>
    <m/>
    <m/>
    <m/>
    <m/>
    <m/>
    <m/>
    <m/>
    <m/>
    <m/>
    <m/>
    <m/>
    <m/>
    <m/>
    <m/>
    <m/>
    <m/>
    <m/>
    <m/>
    <m/>
    <m/>
    <m/>
    <m/>
    <m/>
    <m/>
    <m/>
    <m/>
    <m/>
  </r>
  <r>
    <m/>
    <m/>
    <s v="ZBTC"/>
    <m/>
    <m/>
    <s v="9518534881-1"/>
    <m/>
    <s v="Stocks"/>
    <m/>
    <x v="3"/>
    <x v="7"/>
    <m/>
    <m/>
    <x v="0"/>
    <m/>
    <m/>
    <m/>
    <m/>
    <m/>
    <m/>
    <m/>
    <s v="TATA BLUESCOPE STEEL PRIVATE LIMITE"/>
    <n v="3239573"/>
    <s v="GL C YS550 H6GL 0.42BMT(0.47TCT)X1220"/>
    <m/>
    <m/>
    <m/>
    <m/>
    <m/>
    <s v="B04"/>
    <s v="Y550GL"/>
    <s v="H6GL"/>
    <n v="0.42"/>
    <n v="1220"/>
    <m/>
    <m/>
    <m/>
    <m/>
    <m/>
    <m/>
    <m/>
    <m/>
    <m/>
    <m/>
    <m/>
    <m/>
    <m/>
    <m/>
    <m/>
    <m/>
    <m/>
    <m/>
    <m/>
    <m/>
    <m/>
    <m/>
    <m/>
    <m/>
    <m/>
    <m/>
    <m/>
    <m/>
    <m/>
    <m/>
    <m/>
    <m/>
    <m/>
    <m/>
    <m/>
    <m/>
    <n v="11.955"/>
    <n v="0"/>
    <n v="0"/>
    <n v="0"/>
    <n v="0"/>
    <n v="0"/>
    <n v="0"/>
    <n v="11.955"/>
    <n v="0"/>
    <n v="0"/>
    <n v="11.955"/>
    <n v="0"/>
    <n v="0"/>
    <n v="0"/>
    <m/>
    <m/>
    <m/>
    <m/>
    <m/>
    <m/>
    <m/>
    <m/>
    <m/>
    <m/>
    <m/>
    <m/>
    <m/>
    <m/>
    <m/>
    <m/>
    <m/>
    <m/>
    <m/>
    <m/>
    <m/>
    <m/>
    <m/>
    <m/>
    <m/>
    <m/>
    <m/>
    <m/>
    <m/>
    <m/>
    <m/>
    <m/>
    <m/>
    <m/>
  </r>
  <r>
    <m/>
    <m/>
    <s v="ZBTC"/>
    <m/>
    <m/>
    <s v="9518535497-1"/>
    <m/>
    <s v="Stocks"/>
    <m/>
    <x v="1"/>
    <x v="3"/>
    <m/>
    <m/>
    <x v="0"/>
    <m/>
    <m/>
    <m/>
    <m/>
    <m/>
    <m/>
    <m/>
    <s v="ANM ISPAT PRIVATE LIMITED"/>
    <n v="1804870"/>
    <s v="CRCA COIL-TATXXD-AU03-2X1000"/>
    <m/>
    <m/>
    <m/>
    <m/>
    <m/>
    <s v="C01"/>
    <s v="TATXXD"/>
    <s v="AU03"/>
    <n v="2"/>
    <n v="1000"/>
    <m/>
    <m/>
    <m/>
    <m/>
    <m/>
    <m/>
    <m/>
    <m/>
    <m/>
    <m/>
    <m/>
    <m/>
    <m/>
    <m/>
    <m/>
    <m/>
    <m/>
    <m/>
    <m/>
    <m/>
    <m/>
    <m/>
    <m/>
    <m/>
    <m/>
    <m/>
    <m/>
    <m/>
    <m/>
    <m/>
    <m/>
    <m/>
    <m/>
    <m/>
    <m/>
    <m/>
    <n v="5.98"/>
    <n v="0"/>
    <n v="0"/>
    <n v="0"/>
    <n v="0"/>
    <n v="0"/>
    <n v="0"/>
    <n v="5.98"/>
    <n v="0"/>
    <n v="5.98"/>
    <n v="0"/>
    <n v="0"/>
    <n v="0"/>
    <n v="0"/>
    <m/>
    <m/>
    <m/>
    <m/>
    <m/>
    <m/>
    <m/>
    <m/>
    <m/>
    <m/>
    <m/>
    <m/>
    <m/>
    <m/>
    <m/>
    <m/>
    <m/>
    <m/>
    <m/>
    <m/>
    <m/>
    <m/>
    <m/>
    <m/>
    <m/>
    <m/>
    <m/>
    <m/>
    <m/>
    <m/>
    <m/>
    <m/>
    <m/>
    <m/>
  </r>
  <r>
    <m/>
    <m/>
    <s v="ZBTC"/>
    <m/>
    <m/>
    <s v="9518537016-1"/>
    <m/>
    <s v="Stocks"/>
    <m/>
    <x v="4"/>
    <x v="7"/>
    <m/>
    <m/>
    <x v="0"/>
    <m/>
    <m/>
    <m/>
    <m/>
    <m/>
    <m/>
    <m/>
    <s v="TATA BLUESCOPE STEEL PRIVATE LIMITE"/>
    <n v="3902332"/>
    <s v="PPGL C HARD Y550PL D0C9 0.50(TPT)X1220"/>
    <m/>
    <m/>
    <m/>
    <m/>
    <m/>
    <s v="B18"/>
    <s v="Y550PL"/>
    <s v="D0C9"/>
    <n v="0.5"/>
    <n v="1220"/>
    <n v="5535"/>
    <m/>
    <m/>
    <m/>
    <m/>
    <m/>
    <m/>
    <m/>
    <m/>
    <m/>
    <m/>
    <m/>
    <m/>
    <m/>
    <m/>
    <m/>
    <m/>
    <m/>
    <m/>
    <m/>
    <m/>
    <m/>
    <m/>
    <m/>
    <m/>
    <m/>
    <m/>
    <m/>
    <m/>
    <m/>
    <m/>
    <m/>
    <m/>
    <m/>
    <m/>
    <m/>
    <n v="4.6950000000000003"/>
    <n v="0"/>
    <n v="0"/>
    <n v="0"/>
    <n v="0"/>
    <n v="0"/>
    <n v="0"/>
    <n v="4.6950000000000003"/>
    <n v="0"/>
    <n v="0"/>
    <n v="4.6950000000000003"/>
    <n v="0"/>
    <n v="0"/>
    <n v="0"/>
    <m/>
    <m/>
    <m/>
    <m/>
    <m/>
    <m/>
    <m/>
    <m/>
    <m/>
    <m/>
    <m/>
    <m/>
    <m/>
    <m/>
    <m/>
    <m/>
    <m/>
    <m/>
    <m/>
    <m/>
    <m/>
    <m/>
    <m/>
    <m/>
    <m/>
    <m/>
    <m/>
    <m/>
    <m/>
    <m/>
    <m/>
    <m/>
    <m/>
    <m/>
  </r>
  <r>
    <m/>
    <m/>
    <s v="ZBTC"/>
    <m/>
    <m/>
    <s v="9518537016-2"/>
    <m/>
    <s v="Stocks"/>
    <m/>
    <x v="4"/>
    <x v="7"/>
    <m/>
    <m/>
    <x v="0"/>
    <m/>
    <m/>
    <m/>
    <m/>
    <m/>
    <m/>
    <m/>
    <s v="TATA BLUESCOPE STEEL PRIVATE LIMITE"/>
    <n v="3902332"/>
    <s v="PPGL C HARD Y550PL D0C9 0.50(TPT)X1220"/>
    <m/>
    <m/>
    <m/>
    <m/>
    <m/>
    <s v="B18"/>
    <s v="Y550PL"/>
    <s v="D0C9"/>
    <n v="0.5"/>
    <n v="1220"/>
    <m/>
    <m/>
    <m/>
    <m/>
    <m/>
    <m/>
    <m/>
    <m/>
    <m/>
    <m/>
    <m/>
    <m/>
    <m/>
    <m/>
    <m/>
    <m/>
    <m/>
    <m/>
    <m/>
    <m/>
    <m/>
    <m/>
    <m/>
    <m/>
    <m/>
    <m/>
    <m/>
    <m/>
    <m/>
    <m/>
    <m/>
    <m/>
    <m/>
    <m/>
    <m/>
    <m/>
    <n v="50.860000000000007"/>
    <n v="0"/>
    <n v="0"/>
    <n v="0"/>
    <n v="0"/>
    <n v="0"/>
    <n v="0"/>
    <n v="50.860000000000007"/>
    <n v="0"/>
    <n v="0"/>
    <n v="50.860000000000007"/>
    <n v="0"/>
    <n v="0"/>
    <n v="0"/>
    <m/>
    <m/>
    <m/>
    <m/>
    <m/>
    <m/>
    <m/>
    <m/>
    <m/>
    <m/>
    <m/>
    <m/>
    <m/>
    <m/>
    <m/>
    <m/>
    <m/>
    <m/>
    <m/>
    <m/>
    <m/>
    <m/>
    <m/>
    <m/>
    <m/>
    <m/>
    <m/>
    <m/>
    <m/>
    <m/>
    <m/>
    <m/>
    <m/>
    <m/>
  </r>
  <r>
    <m/>
    <m/>
    <s v="ZBTC"/>
    <m/>
    <m/>
    <s v="9518540461-1"/>
    <m/>
    <s v="Stocks"/>
    <m/>
    <x v="0"/>
    <x v="0"/>
    <m/>
    <m/>
    <x v="0"/>
    <m/>
    <m/>
    <m/>
    <m/>
    <m/>
    <m/>
    <m/>
    <s v="RAMSAROOP &amp; SONS"/>
    <n v="1252835"/>
    <s v="HR COILS-PO IS 1079 HR2 3.20X1250"/>
    <m/>
    <m/>
    <m/>
    <m/>
    <m/>
    <n v="768"/>
    <s v="THR099"/>
    <s v="HR99"/>
    <n v="3.2"/>
    <n v="1250"/>
    <m/>
    <m/>
    <m/>
    <m/>
    <m/>
    <m/>
    <m/>
    <m/>
    <m/>
    <m/>
    <m/>
    <m/>
    <m/>
    <m/>
    <m/>
    <m/>
    <m/>
    <m/>
    <m/>
    <m/>
    <m/>
    <m/>
    <m/>
    <m/>
    <m/>
    <m/>
    <m/>
    <m/>
    <m/>
    <m/>
    <m/>
    <m/>
    <m/>
    <m/>
    <m/>
    <m/>
    <n v="24.68"/>
    <n v="0"/>
    <n v="0"/>
    <n v="0"/>
    <n v="0"/>
    <n v="0"/>
    <n v="0"/>
    <n v="24.68"/>
    <n v="0"/>
    <n v="24.68"/>
    <n v="0"/>
    <n v="0"/>
    <n v="0"/>
    <n v="0"/>
    <m/>
    <m/>
    <m/>
    <m/>
    <m/>
    <m/>
    <m/>
    <m/>
    <m/>
    <m/>
    <m/>
    <m/>
    <m/>
    <m/>
    <m/>
    <m/>
    <m/>
    <m/>
    <m/>
    <m/>
    <m/>
    <m/>
    <m/>
    <m/>
    <m/>
    <m/>
    <m/>
    <m/>
    <m/>
    <m/>
    <m/>
    <m/>
    <m/>
    <m/>
  </r>
  <r>
    <m/>
    <m/>
    <s v="ZBTC"/>
    <m/>
    <m/>
    <s v="9518540673-1"/>
    <m/>
    <s v="Stocks"/>
    <m/>
    <x v="4"/>
    <x v="7"/>
    <m/>
    <m/>
    <x v="0"/>
    <m/>
    <m/>
    <m/>
    <m/>
    <m/>
    <m/>
    <m/>
    <s v="TATA BLUESCOPE STEEL PVT LTD."/>
    <n v="3522241"/>
    <s v="PPGL C Y550 D0C7 0.43BMT(0.47TPT)X1220"/>
    <m/>
    <m/>
    <m/>
    <m/>
    <m/>
    <s v="B18"/>
    <s v="Y550PL"/>
    <s v="D0C7"/>
    <n v="0.43"/>
    <n v="1220"/>
    <n v="6063"/>
    <m/>
    <m/>
    <m/>
    <m/>
    <m/>
    <m/>
    <m/>
    <m/>
    <m/>
    <m/>
    <m/>
    <m/>
    <m/>
    <m/>
    <m/>
    <m/>
    <m/>
    <m/>
    <m/>
    <m/>
    <m/>
    <m/>
    <m/>
    <m/>
    <m/>
    <m/>
    <m/>
    <m/>
    <m/>
    <m/>
    <m/>
    <m/>
    <m/>
    <m/>
    <m/>
    <n v="4.01"/>
    <n v="0"/>
    <n v="0"/>
    <n v="0"/>
    <n v="0"/>
    <n v="0"/>
    <n v="0"/>
    <n v="4.01"/>
    <n v="0"/>
    <n v="0"/>
    <n v="4.01"/>
    <n v="0"/>
    <n v="0"/>
    <n v="0"/>
    <m/>
    <m/>
    <m/>
    <m/>
    <m/>
    <m/>
    <m/>
    <m/>
    <m/>
    <m/>
    <m/>
    <m/>
    <m/>
    <m/>
    <m/>
    <m/>
    <m/>
    <m/>
    <m/>
    <m/>
    <m/>
    <m/>
    <m/>
    <m/>
    <m/>
    <m/>
    <m/>
    <m/>
    <m/>
    <m/>
    <m/>
    <m/>
    <m/>
    <m/>
  </r>
  <r>
    <m/>
    <m/>
    <s v="ZBTC"/>
    <m/>
    <m/>
    <s v="9518540686-2"/>
    <m/>
    <s v="Stocks"/>
    <m/>
    <x v="4"/>
    <x v="7"/>
    <m/>
    <m/>
    <x v="0"/>
    <m/>
    <m/>
    <m/>
    <m/>
    <m/>
    <m/>
    <m/>
    <s v="TATA BLUESCOPE STEEL PVT LTD."/>
    <n v="3879501"/>
    <s v="PPGL C HARD Y550PL ISC6 0.450X1220"/>
    <m/>
    <m/>
    <m/>
    <m/>
    <m/>
    <s v="B18"/>
    <s v="Y550PL"/>
    <s v="ISC6"/>
    <n v="0.45"/>
    <n v="1220"/>
    <m/>
    <m/>
    <m/>
    <m/>
    <m/>
    <m/>
    <m/>
    <m/>
    <m/>
    <m/>
    <m/>
    <m/>
    <m/>
    <m/>
    <m/>
    <m/>
    <m/>
    <m/>
    <m/>
    <m/>
    <m/>
    <m/>
    <m/>
    <m/>
    <m/>
    <m/>
    <m/>
    <m/>
    <m/>
    <m/>
    <m/>
    <m/>
    <m/>
    <m/>
    <m/>
    <m/>
    <n v="35.014999999999993"/>
    <n v="0"/>
    <n v="0"/>
    <n v="0"/>
    <n v="0"/>
    <n v="0"/>
    <n v="0"/>
    <n v="35.014999999999993"/>
    <n v="0"/>
    <n v="0"/>
    <n v="35.014999999999993"/>
    <n v="0"/>
    <n v="0"/>
    <n v="0"/>
    <m/>
    <m/>
    <m/>
    <m/>
    <m/>
    <m/>
    <m/>
    <m/>
    <m/>
    <m/>
    <m/>
    <m/>
    <m/>
    <m/>
    <m/>
    <m/>
    <m/>
    <m/>
    <m/>
    <m/>
    <m/>
    <m/>
    <m/>
    <m/>
    <m/>
    <m/>
    <m/>
    <m/>
    <m/>
    <m/>
    <m/>
    <m/>
    <m/>
    <m/>
  </r>
  <r>
    <m/>
    <m/>
    <s v="ZBTC"/>
    <m/>
    <m/>
    <s v="9518540686-4"/>
    <m/>
    <s v="Stocks"/>
    <m/>
    <x v="4"/>
    <x v="7"/>
    <m/>
    <m/>
    <x v="0"/>
    <m/>
    <m/>
    <m/>
    <m/>
    <m/>
    <m/>
    <m/>
    <s v="TATA BLUESCOPE STEEL PVT LTD."/>
    <n v="3797658"/>
    <s v="PPGL C Y550 ISC6 0.40BMT(0.45TPT)X1220"/>
    <m/>
    <m/>
    <m/>
    <m/>
    <m/>
    <s v="B18"/>
    <s v="Y550PL"/>
    <s v="ISC6"/>
    <n v="0.4"/>
    <n v="1220"/>
    <m/>
    <m/>
    <m/>
    <m/>
    <m/>
    <m/>
    <m/>
    <m/>
    <m/>
    <m/>
    <m/>
    <m/>
    <m/>
    <m/>
    <m/>
    <m/>
    <m/>
    <m/>
    <m/>
    <m/>
    <m/>
    <m/>
    <m/>
    <m/>
    <m/>
    <m/>
    <m/>
    <m/>
    <m/>
    <m/>
    <m/>
    <m/>
    <m/>
    <m/>
    <m/>
    <m/>
    <n v="4.84"/>
    <n v="0"/>
    <n v="0"/>
    <n v="0"/>
    <n v="0"/>
    <n v="0"/>
    <n v="0"/>
    <n v="4.84"/>
    <n v="0"/>
    <n v="0"/>
    <n v="4.84"/>
    <n v="0"/>
    <n v="0"/>
    <n v="0"/>
    <m/>
    <m/>
    <m/>
    <m/>
    <m/>
    <m/>
    <m/>
    <m/>
    <m/>
    <m/>
    <m/>
    <m/>
    <m/>
    <m/>
    <m/>
    <m/>
    <m/>
    <m/>
    <m/>
    <m/>
    <m/>
    <m/>
    <m/>
    <m/>
    <m/>
    <m/>
    <m/>
    <m/>
    <m/>
    <m/>
    <m/>
    <m/>
    <m/>
    <m/>
  </r>
  <r>
    <m/>
    <m/>
    <s v="ZBTC"/>
    <m/>
    <m/>
    <s v="9518540686-5"/>
    <m/>
    <s v="Stocks"/>
    <m/>
    <x v="4"/>
    <x v="7"/>
    <m/>
    <m/>
    <x v="0"/>
    <m/>
    <m/>
    <m/>
    <m/>
    <m/>
    <m/>
    <m/>
    <s v="TATA BLUESCOPE STEEL PVT LTD."/>
    <n v="3797658"/>
    <s v="PPGL C Y550 ISC6 0.40BMT(0.45TPT)X1220"/>
    <m/>
    <m/>
    <m/>
    <m/>
    <m/>
    <s v="B18"/>
    <s v="Y550PL"/>
    <s v="ISC6"/>
    <n v="0.4"/>
    <n v="1220"/>
    <m/>
    <m/>
    <m/>
    <m/>
    <m/>
    <m/>
    <m/>
    <m/>
    <m/>
    <m/>
    <m/>
    <m/>
    <m/>
    <m/>
    <m/>
    <m/>
    <m/>
    <m/>
    <m/>
    <m/>
    <m/>
    <m/>
    <m/>
    <m/>
    <m/>
    <m/>
    <m/>
    <m/>
    <m/>
    <m/>
    <m/>
    <m/>
    <m/>
    <m/>
    <m/>
    <m/>
    <n v="71.950000000000017"/>
    <n v="0"/>
    <n v="0"/>
    <n v="0"/>
    <n v="0"/>
    <n v="0"/>
    <n v="0"/>
    <n v="71.950000000000017"/>
    <n v="0"/>
    <n v="0"/>
    <n v="0"/>
    <n v="71.950000000000017"/>
    <n v="0"/>
    <n v="0"/>
    <m/>
    <m/>
    <m/>
    <m/>
    <m/>
    <m/>
    <m/>
    <m/>
    <m/>
    <m/>
    <m/>
    <m/>
    <m/>
    <m/>
    <m/>
    <m/>
    <m/>
    <m/>
    <m/>
    <m/>
    <m/>
    <m/>
    <m/>
    <m/>
    <m/>
    <m/>
    <m/>
    <m/>
    <m/>
    <m/>
    <m/>
    <m/>
    <m/>
    <m/>
  </r>
  <r>
    <m/>
    <m/>
    <s v="ZBTC"/>
    <m/>
    <m/>
    <s v="9518542376-1"/>
    <m/>
    <s v="Stocks"/>
    <m/>
    <x v="2"/>
    <x v="10"/>
    <m/>
    <m/>
    <x v="0"/>
    <m/>
    <m/>
    <m/>
    <m/>
    <m/>
    <m/>
    <m/>
    <s v="BAJRANG STEEL (SALES) CORPORATION"/>
    <n v="3907468"/>
    <s v="GP COIL TATXGP GP02 0.350X1350"/>
    <m/>
    <m/>
    <m/>
    <m/>
    <m/>
    <s v="C05"/>
    <s v="TATXGP"/>
    <s v="GP02"/>
    <n v="0.35"/>
    <n v="1350"/>
    <m/>
    <m/>
    <m/>
    <m/>
    <m/>
    <m/>
    <m/>
    <m/>
    <m/>
    <m/>
    <m/>
    <m/>
    <m/>
    <m/>
    <m/>
    <m/>
    <m/>
    <m/>
    <m/>
    <m/>
    <m/>
    <m/>
    <m/>
    <m/>
    <m/>
    <m/>
    <m/>
    <m/>
    <m/>
    <m/>
    <m/>
    <m/>
    <m/>
    <m/>
    <m/>
    <m/>
    <n v="9.77"/>
    <n v="0"/>
    <n v="0"/>
    <n v="0"/>
    <n v="0"/>
    <n v="0"/>
    <n v="0"/>
    <n v="9.77"/>
    <n v="0"/>
    <n v="9.77"/>
    <n v="0"/>
    <n v="0"/>
    <n v="0"/>
    <n v="0"/>
    <m/>
    <m/>
    <m/>
    <m/>
    <m/>
    <m/>
    <m/>
    <m/>
    <m/>
    <m/>
    <m/>
    <m/>
    <m/>
    <m/>
    <m/>
    <m/>
    <m/>
    <m/>
    <m/>
    <m/>
    <m/>
    <m/>
    <m/>
    <m/>
    <m/>
    <m/>
    <m/>
    <m/>
    <m/>
    <m/>
    <m/>
    <m/>
    <m/>
    <m/>
  </r>
  <r>
    <m/>
    <m/>
    <s v="ZBTC"/>
    <m/>
    <m/>
    <s v="9518542376-2"/>
    <m/>
    <s v="Stocks"/>
    <m/>
    <x v="2"/>
    <x v="10"/>
    <m/>
    <m/>
    <x v="0"/>
    <m/>
    <m/>
    <m/>
    <m/>
    <m/>
    <m/>
    <m/>
    <s v="BAJRANG STEEL (SALES) CORPORATION"/>
    <n v="3708868"/>
    <s v="GP COIL TATGPH GP02 0.500X1350"/>
    <m/>
    <m/>
    <m/>
    <m/>
    <m/>
    <s v="C05"/>
    <s v="TATGPH"/>
    <s v="GP02"/>
    <n v="0.5"/>
    <n v="1350"/>
    <m/>
    <m/>
    <m/>
    <m/>
    <m/>
    <m/>
    <m/>
    <m/>
    <m/>
    <m/>
    <m/>
    <m/>
    <m/>
    <m/>
    <m/>
    <m/>
    <m/>
    <m/>
    <m/>
    <m/>
    <m/>
    <m/>
    <m/>
    <m/>
    <m/>
    <m/>
    <m/>
    <m/>
    <m/>
    <m/>
    <m/>
    <m/>
    <m/>
    <m/>
    <m/>
    <m/>
    <n v="1.86"/>
    <n v="0"/>
    <n v="0"/>
    <n v="0"/>
    <n v="0"/>
    <n v="0"/>
    <n v="0"/>
    <n v="1.86"/>
    <n v="0"/>
    <n v="1.86"/>
    <n v="0"/>
    <n v="0"/>
    <n v="0"/>
    <n v="0"/>
    <m/>
    <m/>
    <m/>
    <m/>
    <m/>
    <m/>
    <m/>
    <m/>
    <m/>
    <m/>
    <m/>
    <m/>
    <m/>
    <m/>
    <m/>
    <m/>
    <m/>
    <m/>
    <m/>
    <m/>
    <m/>
    <m/>
    <m/>
    <m/>
    <m/>
    <m/>
    <m/>
    <m/>
    <m/>
    <m/>
    <m/>
    <m/>
    <m/>
    <m/>
  </r>
  <r>
    <m/>
    <m/>
    <s v="ZBTC"/>
    <m/>
    <m/>
    <s v="9518550051-1"/>
    <m/>
    <s v="Stocks"/>
    <m/>
    <x v="3"/>
    <x v="5"/>
    <m/>
    <m/>
    <x v="0"/>
    <m/>
    <m/>
    <m/>
    <m/>
    <m/>
    <m/>
    <m/>
    <s v="Colorshine Coated Pvt.Ltd."/>
    <n v="2427834"/>
    <s v="GL COIL HARD  Y550GL H7GL 0.300X1245"/>
    <m/>
    <m/>
    <m/>
    <m/>
    <m/>
    <s v="B04"/>
    <s v="Y550GL"/>
    <s v="H7GL"/>
    <n v="0.3"/>
    <n v="1245"/>
    <m/>
    <m/>
    <m/>
    <m/>
    <m/>
    <m/>
    <m/>
    <m/>
    <m/>
    <m/>
    <m/>
    <m/>
    <m/>
    <m/>
    <m/>
    <m/>
    <m/>
    <m/>
    <m/>
    <m/>
    <m/>
    <m/>
    <m/>
    <m/>
    <m/>
    <m/>
    <m/>
    <m/>
    <m/>
    <m/>
    <m/>
    <m/>
    <m/>
    <m/>
    <m/>
    <m/>
    <n v="68.59"/>
    <n v="0"/>
    <n v="0"/>
    <n v="0"/>
    <n v="0"/>
    <n v="0"/>
    <n v="0"/>
    <n v="68.59"/>
    <n v="0"/>
    <n v="68.59"/>
    <n v="0"/>
    <n v="0"/>
    <n v="0"/>
    <n v="0"/>
    <m/>
    <m/>
    <m/>
    <m/>
    <m/>
    <m/>
    <m/>
    <m/>
    <m/>
    <m/>
    <m/>
    <m/>
    <m/>
    <m/>
    <m/>
    <m/>
    <m/>
    <m/>
    <m/>
    <m/>
    <m/>
    <m/>
    <m/>
    <m/>
    <m/>
    <m/>
    <m/>
    <m/>
    <m/>
    <m/>
    <m/>
    <m/>
    <m/>
    <m/>
  </r>
  <r>
    <m/>
    <m/>
    <s v="ZBTC"/>
    <m/>
    <m/>
    <s v="9518550051-3"/>
    <m/>
    <s v="Stocks"/>
    <m/>
    <x v="3"/>
    <x v="5"/>
    <m/>
    <m/>
    <x v="0"/>
    <m/>
    <m/>
    <m/>
    <m/>
    <m/>
    <m/>
    <m/>
    <s v="Colorshine Coated Pvt.Ltd."/>
    <n v="2427832"/>
    <s v="GL COIL HARD  Y550GL H7GL 0.400X1245"/>
    <m/>
    <m/>
    <m/>
    <m/>
    <m/>
    <s v="B04"/>
    <s v="Y550GL"/>
    <s v="H7GL"/>
    <n v="0.4"/>
    <n v="1245"/>
    <m/>
    <m/>
    <m/>
    <m/>
    <m/>
    <m/>
    <m/>
    <m/>
    <m/>
    <m/>
    <m/>
    <m/>
    <m/>
    <m/>
    <m/>
    <m/>
    <m/>
    <m/>
    <m/>
    <m/>
    <m/>
    <m/>
    <m/>
    <m/>
    <m/>
    <m/>
    <m/>
    <m/>
    <m/>
    <m/>
    <m/>
    <m/>
    <m/>
    <m/>
    <m/>
    <m/>
    <n v="5.81"/>
    <n v="0"/>
    <n v="0"/>
    <n v="0"/>
    <n v="0"/>
    <n v="0"/>
    <n v="0"/>
    <n v="5.81"/>
    <n v="0"/>
    <n v="5.81"/>
    <n v="0"/>
    <n v="0"/>
    <n v="0"/>
    <n v="0"/>
    <m/>
    <m/>
    <m/>
    <m/>
    <m/>
    <m/>
    <m/>
    <m/>
    <m/>
    <m/>
    <m/>
    <m/>
    <m/>
    <m/>
    <m/>
    <m/>
    <m/>
    <m/>
    <m/>
    <m/>
    <m/>
    <m/>
    <m/>
    <m/>
    <m/>
    <m/>
    <m/>
    <m/>
    <m/>
    <m/>
    <m/>
    <m/>
    <m/>
    <m/>
  </r>
  <r>
    <m/>
    <m/>
    <s v="ZBTC"/>
    <m/>
    <m/>
    <s v="9518550051-4"/>
    <m/>
    <s v="Stocks"/>
    <m/>
    <x v="3"/>
    <x v="5"/>
    <m/>
    <m/>
    <x v="0"/>
    <m/>
    <m/>
    <m/>
    <m/>
    <m/>
    <m/>
    <m/>
    <s v="Colorshine Coated Pvt.Ltd."/>
    <n v="2258434"/>
    <s v="GL COIL HARD  Y550GL H7GL 0.47X1220"/>
    <m/>
    <m/>
    <m/>
    <m/>
    <m/>
    <s v="B04"/>
    <s v="Y550GL"/>
    <s v="H7GL"/>
    <n v="0.47"/>
    <n v="1220"/>
    <m/>
    <m/>
    <m/>
    <m/>
    <m/>
    <m/>
    <m/>
    <m/>
    <m/>
    <m/>
    <m/>
    <m/>
    <m/>
    <m/>
    <m/>
    <m/>
    <m/>
    <m/>
    <m/>
    <m/>
    <m/>
    <m/>
    <m/>
    <m/>
    <m/>
    <m/>
    <m/>
    <m/>
    <m/>
    <m/>
    <m/>
    <m/>
    <m/>
    <m/>
    <m/>
    <m/>
    <n v="8.76"/>
    <n v="0"/>
    <n v="0"/>
    <n v="0"/>
    <n v="0"/>
    <n v="0"/>
    <n v="0"/>
    <n v="8.76"/>
    <n v="0"/>
    <n v="8.76"/>
    <n v="0"/>
    <n v="0"/>
    <n v="0"/>
    <n v="0"/>
    <m/>
    <m/>
    <m/>
    <m/>
    <m/>
    <m/>
    <m/>
    <m/>
    <m/>
    <m/>
    <m/>
    <m/>
    <m/>
    <m/>
    <m/>
    <m/>
    <m/>
    <m/>
    <m/>
    <m/>
    <m/>
    <m/>
    <m/>
    <m/>
    <m/>
    <m/>
    <m/>
    <m/>
    <m/>
    <m/>
    <m/>
    <m/>
    <m/>
    <m/>
  </r>
  <r>
    <m/>
    <m/>
    <s v="ZBTC"/>
    <m/>
    <m/>
    <s v="9518550397-1"/>
    <m/>
    <s v="Stocks"/>
    <m/>
    <x v="4"/>
    <x v="7"/>
    <m/>
    <m/>
    <x v="0"/>
    <m/>
    <m/>
    <m/>
    <m/>
    <m/>
    <m/>
    <m/>
    <s v="TATA BLUESCOPE STEEL PRIVATE LIMITE"/>
    <n v="3858001"/>
    <s v="PPGL C Y550 HPL9 0.45BMT(0.57TPT)X1220"/>
    <m/>
    <m/>
    <m/>
    <m/>
    <m/>
    <s v="B18"/>
    <s v="Y550PL"/>
    <s v="HPL9"/>
    <n v="0.45"/>
    <n v="1220"/>
    <m/>
    <m/>
    <m/>
    <m/>
    <m/>
    <m/>
    <m/>
    <m/>
    <m/>
    <m/>
    <m/>
    <m/>
    <m/>
    <m/>
    <m/>
    <m/>
    <m/>
    <m/>
    <m/>
    <m/>
    <m/>
    <m/>
    <m/>
    <m/>
    <m/>
    <m/>
    <m/>
    <m/>
    <m/>
    <m/>
    <m/>
    <m/>
    <m/>
    <m/>
    <m/>
    <m/>
    <n v="9.0650000000000013"/>
    <n v="0"/>
    <n v="0"/>
    <n v="0"/>
    <n v="0"/>
    <n v="0"/>
    <n v="0"/>
    <n v="9.0650000000000013"/>
    <n v="0"/>
    <n v="0"/>
    <n v="0"/>
    <n v="9.0650000000000013"/>
    <n v="0"/>
    <n v="0"/>
    <m/>
    <m/>
    <m/>
    <m/>
    <m/>
    <m/>
    <m/>
    <m/>
    <m/>
    <m/>
    <m/>
    <m/>
    <m/>
    <m/>
    <m/>
    <m/>
    <m/>
    <m/>
    <m/>
    <m/>
    <m/>
    <m/>
    <m/>
    <m/>
    <m/>
    <m/>
    <m/>
    <m/>
    <m/>
    <m/>
    <m/>
    <m/>
    <m/>
    <m/>
  </r>
  <r>
    <m/>
    <m/>
    <s v="ZBTC"/>
    <m/>
    <m/>
    <s v="9518550473-1"/>
    <m/>
    <s v="Stocks"/>
    <m/>
    <x v="3"/>
    <x v="7"/>
    <m/>
    <m/>
    <x v="0"/>
    <m/>
    <m/>
    <m/>
    <m/>
    <m/>
    <m/>
    <m/>
    <s v="TATA BLUESCOPE STEEL PRIVATE LIMITE"/>
    <n v="3946364"/>
    <s v="GL COIL HARD Y550GL M308 0.50 (TCT)X1220"/>
    <m/>
    <m/>
    <m/>
    <m/>
    <m/>
    <s v="B04"/>
    <s v="Y550GL"/>
    <s v="M308"/>
    <n v="0.5"/>
    <n v="1220"/>
    <m/>
    <m/>
    <m/>
    <m/>
    <m/>
    <m/>
    <m/>
    <m/>
    <m/>
    <m/>
    <m/>
    <m/>
    <m/>
    <m/>
    <m/>
    <m/>
    <m/>
    <m/>
    <m/>
    <m/>
    <m/>
    <m/>
    <m/>
    <m/>
    <m/>
    <m/>
    <m/>
    <m/>
    <m/>
    <m/>
    <m/>
    <m/>
    <m/>
    <m/>
    <m/>
    <m/>
    <n v="35.934999999999995"/>
    <n v="0"/>
    <n v="0"/>
    <n v="0"/>
    <n v="0"/>
    <n v="0"/>
    <n v="0"/>
    <n v="35.934999999999995"/>
    <n v="0"/>
    <n v="0"/>
    <n v="0"/>
    <n v="35.934999999999995"/>
    <n v="0"/>
    <n v="0"/>
    <m/>
    <m/>
    <m/>
    <m/>
    <m/>
    <m/>
    <m/>
    <m/>
    <m/>
    <m/>
    <m/>
    <m/>
    <m/>
    <m/>
    <m/>
    <m/>
    <m/>
    <m/>
    <m/>
    <m/>
    <m/>
    <m/>
    <m/>
    <m/>
    <m/>
    <m/>
    <m/>
    <m/>
    <m/>
    <m/>
    <m/>
    <m/>
    <m/>
    <m/>
  </r>
  <r>
    <m/>
    <m/>
    <s v="ZBTC"/>
    <m/>
    <m/>
    <s v="9518551779-1"/>
    <m/>
    <s v="Stocks"/>
    <m/>
    <x v="4"/>
    <x v="7"/>
    <m/>
    <m/>
    <x v="0"/>
    <m/>
    <m/>
    <m/>
    <m/>
    <m/>
    <m/>
    <m/>
    <s v="TATA BLUESCOPE STEEL PVT LTD."/>
    <n v="1641099"/>
    <s v="PPGL C Y550 HPL3 0.60BMT(0.68TPT)X1220"/>
    <m/>
    <m/>
    <m/>
    <m/>
    <m/>
    <s v="B18"/>
    <s v="Y550PL"/>
    <s v="HPL3"/>
    <n v="0.6"/>
    <n v="1220"/>
    <n v="308"/>
    <m/>
    <m/>
    <m/>
    <m/>
    <m/>
    <m/>
    <m/>
    <m/>
    <m/>
    <m/>
    <m/>
    <m/>
    <m/>
    <m/>
    <m/>
    <m/>
    <m/>
    <m/>
    <m/>
    <m/>
    <m/>
    <m/>
    <m/>
    <m/>
    <m/>
    <m/>
    <m/>
    <m/>
    <m/>
    <m/>
    <m/>
    <m/>
    <m/>
    <m/>
    <m/>
    <n v="10"/>
    <n v="0"/>
    <n v="0"/>
    <n v="0"/>
    <n v="0"/>
    <n v="0"/>
    <n v="0"/>
    <n v="10"/>
    <n v="0"/>
    <n v="0"/>
    <n v="0"/>
    <n v="10"/>
    <n v="0"/>
    <n v="0"/>
    <m/>
    <m/>
    <m/>
    <m/>
    <m/>
    <m/>
    <m/>
    <m/>
    <m/>
    <m/>
    <m/>
    <m/>
    <m/>
    <m/>
    <m/>
    <m/>
    <m/>
    <m/>
    <m/>
    <m/>
    <m/>
    <m/>
    <m/>
    <m/>
    <m/>
    <m/>
    <m/>
    <m/>
    <m/>
    <m/>
    <m/>
    <m/>
    <m/>
    <m/>
  </r>
  <r>
    <m/>
    <m/>
    <s v="ZBTC"/>
    <m/>
    <m/>
    <s v="9518554927-1"/>
    <m/>
    <s v="Stocks"/>
    <m/>
    <x v="1"/>
    <x v="3"/>
    <m/>
    <m/>
    <x v="0"/>
    <m/>
    <m/>
    <m/>
    <m/>
    <m/>
    <m/>
    <m/>
    <s v="SWASTIK STEEL PROCESSOR LLP"/>
    <n v="27569"/>
    <s v="CRSHEET-ICF  DQ TATXXD AU03 0.60 X 1250"/>
    <m/>
    <m/>
    <m/>
    <m/>
    <m/>
    <s v="C01"/>
    <s v="TATXXD"/>
    <s v="AU03"/>
    <n v="0.6"/>
    <n v="1250"/>
    <n v="4338"/>
    <m/>
    <m/>
    <m/>
    <m/>
    <m/>
    <m/>
    <m/>
    <m/>
    <m/>
    <m/>
    <m/>
    <m/>
    <m/>
    <m/>
    <m/>
    <m/>
    <m/>
    <m/>
    <m/>
    <m/>
    <m/>
    <m/>
    <m/>
    <m/>
    <m/>
    <m/>
    <m/>
    <m/>
    <m/>
    <m/>
    <m/>
    <m/>
    <m/>
    <m/>
    <m/>
    <n v="3.9950000000000001"/>
    <n v="0"/>
    <n v="0"/>
    <n v="0"/>
    <n v="0"/>
    <n v="0"/>
    <n v="0"/>
    <n v="3.9950000000000001"/>
    <n v="0"/>
    <n v="3.9950000000000001"/>
    <n v="0"/>
    <n v="0"/>
    <n v="0"/>
    <n v="0"/>
    <m/>
    <m/>
    <m/>
    <m/>
    <m/>
    <m/>
    <m/>
    <m/>
    <m/>
    <m/>
    <m/>
    <m/>
    <m/>
    <m/>
    <m/>
    <m/>
    <m/>
    <m/>
    <m/>
    <m/>
    <m/>
    <m/>
    <m/>
    <m/>
    <m/>
    <m/>
    <m/>
    <m/>
    <m/>
    <m/>
    <m/>
    <m/>
    <m/>
    <m/>
  </r>
  <r>
    <m/>
    <m/>
    <s v="ZBTC"/>
    <m/>
    <m/>
    <s v="9518555110-1"/>
    <m/>
    <s v="Stocks"/>
    <m/>
    <x v="2"/>
    <x v="2"/>
    <m/>
    <m/>
    <x v="0"/>
    <m/>
    <m/>
    <m/>
    <m/>
    <m/>
    <m/>
    <m/>
    <s v="K D J P STEELS PVT LTD"/>
    <n v="1178441"/>
    <s v="GP COIL TATXGP GK09 0.500X900"/>
    <m/>
    <m/>
    <m/>
    <m/>
    <m/>
    <s v="C02"/>
    <s v="TATXGP"/>
    <s v="GK09"/>
    <n v="0.5"/>
    <n v="900"/>
    <m/>
    <m/>
    <m/>
    <m/>
    <m/>
    <m/>
    <m/>
    <m/>
    <m/>
    <m/>
    <m/>
    <m/>
    <m/>
    <m/>
    <m/>
    <m/>
    <m/>
    <m/>
    <m/>
    <m/>
    <m/>
    <m/>
    <m/>
    <m/>
    <m/>
    <m/>
    <m/>
    <m/>
    <m/>
    <m/>
    <m/>
    <m/>
    <m/>
    <m/>
    <m/>
    <m/>
    <n v="2.375"/>
    <n v="0"/>
    <n v="0"/>
    <n v="0"/>
    <n v="0"/>
    <n v="0"/>
    <n v="0"/>
    <n v="2.375"/>
    <n v="0"/>
    <n v="2.375"/>
    <n v="0"/>
    <n v="0"/>
    <n v="0"/>
    <n v="0"/>
    <m/>
    <m/>
    <m/>
    <m/>
    <m/>
    <m/>
    <m/>
    <m/>
    <m/>
    <m/>
    <m/>
    <m/>
    <m/>
    <m/>
    <m/>
    <m/>
    <m/>
    <m/>
    <m/>
    <m/>
    <m/>
    <m/>
    <m/>
    <m/>
    <m/>
    <m/>
    <m/>
    <m/>
    <m/>
    <m/>
    <m/>
    <m/>
    <m/>
    <m/>
  </r>
  <r>
    <m/>
    <m/>
    <s v="ZBTC"/>
    <m/>
    <m/>
    <s v="9518555110-2"/>
    <m/>
    <s v="Stocks"/>
    <m/>
    <x v="2"/>
    <x v="2"/>
    <m/>
    <m/>
    <x v="0"/>
    <m/>
    <m/>
    <m/>
    <m/>
    <m/>
    <m/>
    <m/>
    <s v="K D J P STEELS PVT LTD"/>
    <n v="1191955"/>
    <s v="GP COIL SOFT-TATXGP-GK09-0.3X900"/>
    <m/>
    <m/>
    <m/>
    <m/>
    <m/>
    <s v="C02"/>
    <s v="TATXGP"/>
    <s v="GK09"/>
    <n v="0.3"/>
    <n v="900"/>
    <m/>
    <m/>
    <m/>
    <m/>
    <m/>
    <m/>
    <m/>
    <m/>
    <m/>
    <m/>
    <m/>
    <m/>
    <m/>
    <m/>
    <m/>
    <m/>
    <m/>
    <m/>
    <m/>
    <m/>
    <m/>
    <m/>
    <m/>
    <m/>
    <m/>
    <m/>
    <m/>
    <m/>
    <m/>
    <m/>
    <m/>
    <m/>
    <m/>
    <m/>
    <m/>
    <m/>
    <n v="4.8049999999999997"/>
    <n v="0"/>
    <n v="0"/>
    <n v="0"/>
    <n v="0"/>
    <n v="0"/>
    <n v="0"/>
    <n v="4.8049999999999997"/>
    <n v="0"/>
    <n v="4.8049999999999997"/>
    <n v="0"/>
    <n v="0"/>
    <n v="0"/>
    <n v="0"/>
    <m/>
    <m/>
    <m/>
    <m/>
    <m/>
    <m/>
    <m/>
    <m/>
    <m/>
    <m/>
    <m/>
    <m/>
    <m/>
    <m/>
    <m/>
    <m/>
    <m/>
    <m/>
    <m/>
    <m/>
    <m/>
    <m/>
    <m/>
    <m/>
    <m/>
    <m/>
    <m/>
    <m/>
    <m/>
    <m/>
    <m/>
    <m/>
    <m/>
    <m/>
  </r>
  <r>
    <m/>
    <m/>
    <s v="ZBTC"/>
    <m/>
    <m/>
    <s v="9518555110-4"/>
    <m/>
    <s v="Stocks"/>
    <m/>
    <x v="2"/>
    <x v="6"/>
    <m/>
    <m/>
    <x v="0"/>
    <m/>
    <m/>
    <m/>
    <m/>
    <m/>
    <m/>
    <m/>
    <s v="K D J P STEELS PVT LTD"/>
    <n v="1299044"/>
    <s v="GP COIL SOFT-TATXGP-GLK1-0.5X1250"/>
    <m/>
    <m/>
    <m/>
    <m/>
    <m/>
    <s v="C02"/>
    <s v="TATXGP"/>
    <s v="GLK1"/>
    <n v="0.5"/>
    <n v="1250"/>
    <m/>
    <m/>
    <m/>
    <m/>
    <m/>
    <m/>
    <m/>
    <m/>
    <m/>
    <m/>
    <m/>
    <m/>
    <m/>
    <m/>
    <m/>
    <m/>
    <m/>
    <m/>
    <m/>
    <m/>
    <m/>
    <m/>
    <m/>
    <m/>
    <m/>
    <m/>
    <m/>
    <m/>
    <m/>
    <m/>
    <m/>
    <m/>
    <m/>
    <m/>
    <m/>
    <m/>
    <n v="12.98"/>
    <n v="0"/>
    <n v="0"/>
    <n v="0"/>
    <n v="0"/>
    <n v="0"/>
    <n v="0"/>
    <n v="12.98"/>
    <n v="0"/>
    <n v="12.98"/>
    <n v="0"/>
    <n v="0"/>
    <n v="0"/>
    <n v="0"/>
    <m/>
    <m/>
    <m/>
    <m/>
    <m/>
    <m/>
    <m/>
    <m/>
    <m/>
    <m/>
    <m/>
    <m/>
    <m/>
    <m/>
    <m/>
    <m/>
    <m/>
    <m/>
    <m/>
    <m/>
    <m/>
    <m/>
    <m/>
    <m/>
    <m/>
    <m/>
    <m/>
    <m/>
    <m/>
    <m/>
    <m/>
    <m/>
    <m/>
    <m/>
  </r>
  <r>
    <m/>
    <m/>
    <s v="ZBTC"/>
    <m/>
    <m/>
    <s v="9518555110-5"/>
    <m/>
    <s v="Stocks"/>
    <m/>
    <x v="2"/>
    <x v="2"/>
    <m/>
    <m/>
    <x v="0"/>
    <m/>
    <m/>
    <m/>
    <m/>
    <m/>
    <m/>
    <m/>
    <s v="K D J P STEELS PVT LTD"/>
    <n v="1854424"/>
    <s v="GP COIL SOFT-TATXGP-GK09-0.6X900"/>
    <m/>
    <m/>
    <m/>
    <m/>
    <m/>
    <s v="C02"/>
    <s v="TATXGP"/>
    <s v="GK09"/>
    <n v="0.6"/>
    <n v="900"/>
    <m/>
    <m/>
    <m/>
    <m/>
    <m/>
    <m/>
    <m/>
    <m/>
    <m/>
    <m/>
    <m/>
    <m/>
    <m/>
    <m/>
    <m/>
    <m/>
    <m/>
    <m/>
    <m/>
    <m/>
    <m/>
    <m/>
    <m/>
    <m/>
    <m/>
    <m/>
    <m/>
    <m/>
    <m/>
    <m/>
    <m/>
    <m/>
    <m/>
    <m/>
    <m/>
    <m/>
    <n v="13.315000000000001"/>
    <n v="0"/>
    <n v="0"/>
    <n v="0"/>
    <n v="0"/>
    <n v="0"/>
    <n v="0"/>
    <n v="13.315000000000001"/>
    <n v="0"/>
    <n v="13.315000000000001"/>
    <n v="0"/>
    <n v="0"/>
    <n v="0"/>
    <n v="0"/>
    <m/>
    <m/>
    <m/>
    <m/>
    <m/>
    <m/>
    <m/>
    <m/>
    <m/>
    <m/>
    <m/>
    <m/>
    <m/>
    <m/>
    <m/>
    <m/>
    <m/>
    <m/>
    <m/>
    <m/>
    <m/>
    <m/>
    <m/>
    <m/>
    <m/>
    <m/>
    <m/>
    <m/>
    <m/>
    <m/>
    <m/>
    <m/>
    <m/>
    <m/>
  </r>
  <r>
    <m/>
    <m/>
    <s v="ZBTC"/>
    <m/>
    <m/>
    <s v="9518556503-1"/>
    <m/>
    <s v="Stocks"/>
    <m/>
    <x v="0"/>
    <x v="0"/>
    <m/>
    <m/>
    <x v="0"/>
    <m/>
    <m/>
    <m/>
    <m/>
    <m/>
    <m/>
    <m/>
    <s v="S K M STEELS LIMITED"/>
    <n v="1251304"/>
    <s v="HR COILS-PO IS 1079 HR2 4.50X1250"/>
    <m/>
    <m/>
    <m/>
    <m/>
    <m/>
    <n v="768"/>
    <s v="THR099"/>
    <s v="HR99"/>
    <n v="4.5"/>
    <n v="1250"/>
    <m/>
    <m/>
    <m/>
    <m/>
    <m/>
    <m/>
    <m/>
    <m/>
    <m/>
    <m/>
    <m/>
    <m/>
    <m/>
    <m/>
    <m/>
    <m/>
    <m/>
    <m/>
    <m/>
    <m/>
    <m/>
    <m/>
    <m/>
    <m/>
    <m/>
    <m/>
    <m/>
    <m/>
    <m/>
    <m/>
    <m/>
    <m/>
    <m/>
    <m/>
    <m/>
    <m/>
    <n v="24.69"/>
    <n v="0"/>
    <n v="0"/>
    <n v="0"/>
    <n v="0"/>
    <n v="0"/>
    <n v="0"/>
    <n v="24.69"/>
    <n v="0"/>
    <n v="24.69"/>
    <n v="0"/>
    <n v="0"/>
    <n v="0"/>
    <n v="0"/>
    <m/>
    <m/>
    <m/>
    <m/>
    <m/>
    <m/>
    <m/>
    <m/>
    <m/>
    <m/>
    <m/>
    <m/>
    <m/>
    <m/>
    <m/>
    <m/>
    <m/>
    <m/>
    <m/>
    <m/>
    <m/>
    <m/>
    <m/>
    <m/>
    <m/>
    <m/>
    <m/>
    <m/>
    <m/>
    <m/>
    <m/>
    <m/>
    <m/>
    <m/>
  </r>
  <r>
    <m/>
    <m/>
    <s v="ZBTC"/>
    <m/>
    <m/>
    <s v="9518556968-1"/>
    <m/>
    <s v="Stocks"/>
    <m/>
    <x v="1"/>
    <x v="3"/>
    <m/>
    <m/>
    <x v="0"/>
    <m/>
    <m/>
    <m/>
    <m/>
    <m/>
    <m/>
    <m/>
    <s v="DURGA TRADERS"/>
    <n v="187538"/>
    <s v="CRSHEET-ICF TATXXD AU03 1.60X1250"/>
    <m/>
    <m/>
    <m/>
    <m/>
    <m/>
    <s v="C01"/>
    <s v="TATXXD"/>
    <s v="AU03"/>
    <n v="1.6"/>
    <n v="1250"/>
    <n v="1484"/>
    <m/>
    <m/>
    <m/>
    <m/>
    <m/>
    <m/>
    <m/>
    <m/>
    <m/>
    <m/>
    <m/>
    <m/>
    <m/>
    <m/>
    <m/>
    <m/>
    <m/>
    <m/>
    <m/>
    <m/>
    <m/>
    <m/>
    <m/>
    <m/>
    <m/>
    <m/>
    <m/>
    <m/>
    <m/>
    <m/>
    <m/>
    <m/>
    <m/>
    <m/>
    <m/>
    <n v="22.105"/>
    <n v="0"/>
    <n v="0"/>
    <n v="0"/>
    <n v="0"/>
    <n v="0"/>
    <n v="0"/>
    <n v="22.105"/>
    <n v="0"/>
    <n v="22.105"/>
    <n v="0"/>
    <n v="0"/>
    <n v="0"/>
    <n v="0"/>
    <m/>
    <m/>
    <m/>
    <m/>
    <m/>
    <m/>
    <m/>
    <m/>
    <m/>
    <m/>
    <m/>
    <m/>
    <m/>
    <m/>
    <m/>
    <m/>
    <m/>
    <m/>
    <m/>
    <m/>
    <m/>
    <m/>
    <m/>
    <m/>
    <m/>
    <m/>
    <m/>
    <m/>
    <m/>
    <m/>
    <m/>
    <m/>
    <m/>
    <m/>
  </r>
  <r>
    <m/>
    <m/>
    <s v="ZBTC"/>
    <m/>
    <m/>
    <s v="9518556968-3"/>
    <m/>
    <s v="Stocks"/>
    <m/>
    <x v="1"/>
    <x v="3"/>
    <m/>
    <m/>
    <x v="0"/>
    <m/>
    <m/>
    <m/>
    <m/>
    <m/>
    <m/>
    <m/>
    <s v="DURGA TRADERS"/>
    <n v="187541"/>
    <s v="CR COIL-ICF TATXXD AU03 2.00X1250"/>
    <m/>
    <m/>
    <m/>
    <m/>
    <m/>
    <s v="C01"/>
    <s v="TATXXD"/>
    <s v="AU03"/>
    <n v="2"/>
    <n v="1250"/>
    <m/>
    <m/>
    <m/>
    <m/>
    <m/>
    <m/>
    <m/>
    <m/>
    <m/>
    <m/>
    <m/>
    <m/>
    <m/>
    <m/>
    <m/>
    <m/>
    <m/>
    <m/>
    <m/>
    <m/>
    <m/>
    <m/>
    <m/>
    <m/>
    <m/>
    <m/>
    <m/>
    <m/>
    <m/>
    <m/>
    <m/>
    <m/>
    <m/>
    <m/>
    <m/>
    <m/>
    <n v="26.08"/>
    <n v="0"/>
    <n v="0"/>
    <n v="0"/>
    <n v="0"/>
    <n v="0"/>
    <n v="0"/>
    <n v="26.08"/>
    <n v="0"/>
    <n v="26.08"/>
    <n v="0"/>
    <n v="0"/>
    <n v="0"/>
    <n v="0"/>
    <m/>
    <m/>
    <m/>
    <m/>
    <m/>
    <m/>
    <m/>
    <m/>
    <m/>
    <m/>
    <m/>
    <m/>
    <m/>
    <m/>
    <m/>
    <m/>
    <m/>
    <m/>
    <m/>
    <m/>
    <m/>
    <m/>
    <m/>
    <m/>
    <m/>
    <m/>
    <m/>
    <m/>
    <m/>
    <m/>
    <m/>
    <m/>
    <m/>
    <m/>
  </r>
  <r>
    <m/>
    <m/>
    <s v="ZBTC"/>
    <m/>
    <m/>
    <s v="9518560984-1"/>
    <m/>
    <s v="Stocks"/>
    <m/>
    <x v="2"/>
    <x v="10"/>
    <m/>
    <m/>
    <x v="0"/>
    <m/>
    <m/>
    <m/>
    <m/>
    <m/>
    <m/>
    <m/>
    <s v="BAJRANG STEEL (SALES) CORPORATION"/>
    <n v="3708868"/>
    <s v="GP COIL TATGPH GP02 0.500X1350"/>
    <m/>
    <m/>
    <m/>
    <m/>
    <m/>
    <s v="C05"/>
    <s v="TATGPH"/>
    <s v="GP02"/>
    <n v="0.5"/>
    <n v="1350"/>
    <m/>
    <m/>
    <m/>
    <m/>
    <m/>
    <m/>
    <m/>
    <m/>
    <m/>
    <m/>
    <m/>
    <m/>
    <m/>
    <m/>
    <m/>
    <m/>
    <m/>
    <m/>
    <m/>
    <m/>
    <m/>
    <m/>
    <m/>
    <m/>
    <m/>
    <m/>
    <m/>
    <m/>
    <m/>
    <m/>
    <m/>
    <m/>
    <m/>
    <m/>
    <m/>
    <m/>
    <n v="8.74"/>
    <n v="0"/>
    <n v="0"/>
    <n v="0"/>
    <n v="0"/>
    <n v="0"/>
    <n v="0"/>
    <n v="8.74"/>
    <n v="0"/>
    <n v="8.74"/>
    <n v="0"/>
    <n v="0"/>
    <n v="0"/>
    <n v="0"/>
    <m/>
    <m/>
    <m/>
    <m/>
    <m/>
    <m/>
    <m/>
    <m/>
    <m/>
    <m/>
    <m/>
    <m/>
    <m/>
    <m/>
    <m/>
    <m/>
    <m/>
    <m/>
    <m/>
    <m/>
    <m/>
    <m/>
    <m/>
    <m/>
    <m/>
    <m/>
    <m/>
    <m/>
    <m/>
    <m/>
    <m/>
    <m/>
    <m/>
    <m/>
  </r>
  <r>
    <m/>
    <m/>
    <s v="ZBTC"/>
    <m/>
    <m/>
    <s v="9518560984-2"/>
    <m/>
    <s v="Stocks"/>
    <m/>
    <x v="2"/>
    <x v="10"/>
    <m/>
    <m/>
    <x v="0"/>
    <m/>
    <m/>
    <m/>
    <m/>
    <m/>
    <m/>
    <m/>
    <s v="BAJRANG STEEL (SALES) CORPORATION"/>
    <n v="3767014"/>
    <s v="GP COIL TATGPH GP02 0.400X1350"/>
    <m/>
    <m/>
    <m/>
    <m/>
    <m/>
    <s v="C05"/>
    <s v="TATGPH"/>
    <s v="GP02"/>
    <n v="0.4"/>
    <n v="1350"/>
    <m/>
    <m/>
    <m/>
    <m/>
    <m/>
    <m/>
    <m/>
    <m/>
    <m/>
    <m/>
    <m/>
    <m/>
    <m/>
    <m/>
    <m/>
    <m/>
    <m/>
    <m/>
    <m/>
    <m/>
    <m/>
    <m/>
    <m/>
    <m/>
    <m/>
    <m/>
    <m/>
    <m/>
    <m/>
    <m/>
    <m/>
    <m/>
    <m/>
    <m/>
    <m/>
    <m/>
    <n v="33.444999999999993"/>
    <n v="0"/>
    <n v="0"/>
    <n v="0"/>
    <n v="0"/>
    <n v="0"/>
    <n v="0"/>
    <n v="33.444999999999993"/>
    <n v="0"/>
    <n v="33.444999999999993"/>
    <n v="0"/>
    <n v="0"/>
    <n v="0"/>
    <n v="0"/>
    <m/>
    <m/>
    <m/>
    <m/>
    <m/>
    <m/>
    <m/>
    <m/>
    <m/>
    <m/>
    <m/>
    <m/>
    <m/>
    <m/>
    <m/>
    <m/>
    <m/>
    <m/>
    <m/>
    <m/>
    <m/>
    <m/>
    <m/>
    <m/>
    <m/>
    <m/>
    <m/>
    <m/>
    <m/>
    <m/>
    <m/>
    <m/>
    <m/>
    <m/>
  </r>
  <r>
    <m/>
    <m/>
    <s v="ZBTC"/>
    <m/>
    <m/>
    <s v="9518560984-3"/>
    <m/>
    <s v="Stocks"/>
    <m/>
    <x v="2"/>
    <x v="10"/>
    <m/>
    <m/>
    <x v="0"/>
    <m/>
    <m/>
    <m/>
    <m/>
    <m/>
    <m/>
    <m/>
    <s v="BAJRANG STEEL (SALES) CORPORATION"/>
    <n v="3768542"/>
    <s v="GP COIL TATGPH GP02 0.350X900"/>
    <m/>
    <m/>
    <m/>
    <m/>
    <m/>
    <s v="C05"/>
    <s v="TATGPH"/>
    <s v="GP02"/>
    <n v="0.35"/>
    <n v="900"/>
    <m/>
    <m/>
    <m/>
    <m/>
    <m/>
    <m/>
    <m/>
    <m/>
    <m/>
    <m/>
    <m/>
    <m/>
    <m/>
    <m/>
    <m/>
    <m/>
    <m/>
    <m/>
    <m/>
    <m/>
    <m/>
    <m/>
    <m/>
    <m/>
    <m/>
    <m/>
    <m/>
    <m/>
    <m/>
    <m/>
    <m/>
    <m/>
    <m/>
    <m/>
    <m/>
    <m/>
    <n v="24.515000000000001"/>
    <n v="0"/>
    <n v="0"/>
    <n v="0"/>
    <n v="0"/>
    <n v="0"/>
    <n v="0"/>
    <n v="24.515000000000001"/>
    <n v="0"/>
    <n v="24.515000000000001"/>
    <n v="0"/>
    <n v="0"/>
    <n v="0"/>
    <n v="0"/>
    <m/>
    <m/>
    <m/>
    <m/>
    <m/>
    <m/>
    <m/>
    <m/>
    <m/>
    <m/>
    <m/>
    <m/>
    <m/>
    <m/>
    <m/>
    <m/>
    <m/>
    <m/>
    <m/>
    <m/>
    <m/>
    <m/>
    <m/>
    <m/>
    <m/>
    <m/>
    <m/>
    <m/>
    <m/>
    <m/>
    <m/>
    <m/>
    <m/>
    <m/>
  </r>
  <r>
    <m/>
    <m/>
    <s v="ZBTC"/>
    <m/>
    <m/>
    <s v="9518560984-4"/>
    <m/>
    <s v="Stocks"/>
    <m/>
    <x v="2"/>
    <x v="10"/>
    <m/>
    <m/>
    <x v="0"/>
    <m/>
    <m/>
    <m/>
    <m/>
    <m/>
    <m/>
    <m/>
    <s v="BAJRANG STEEL (SALES) CORPORATION"/>
    <n v="3777535"/>
    <s v="GP COIL TATGPH GP02 0.400X900"/>
    <m/>
    <m/>
    <m/>
    <m/>
    <m/>
    <s v="C05"/>
    <s v="TATGPH"/>
    <s v="GP02"/>
    <n v="0.4"/>
    <n v="900"/>
    <m/>
    <m/>
    <m/>
    <m/>
    <m/>
    <m/>
    <m/>
    <m/>
    <m/>
    <m/>
    <m/>
    <m/>
    <m/>
    <m/>
    <m/>
    <m/>
    <m/>
    <m/>
    <m/>
    <m/>
    <m/>
    <m/>
    <m/>
    <m/>
    <m/>
    <m/>
    <m/>
    <m/>
    <m/>
    <m/>
    <m/>
    <m/>
    <m/>
    <m/>
    <m/>
    <m/>
    <n v="12.177"/>
    <n v="0"/>
    <n v="0"/>
    <n v="0"/>
    <n v="0"/>
    <n v="0"/>
    <n v="0"/>
    <n v="12.177"/>
    <n v="0"/>
    <n v="12.177"/>
    <n v="0"/>
    <n v="0"/>
    <n v="0"/>
    <n v="0"/>
    <m/>
    <m/>
    <m/>
    <m/>
    <m/>
    <m/>
    <m/>
    <m/>
    <m/>
    <m/>
    <m/>
    <m/>
    <m/>
    <m/>
    <m/>
    <m/>
    <m/>
    <m/>
    <m/>
    <m/>
    <m/>
    <m/>
    <m/>
    <m/>
    <m/>
    <m/>
    <m/>
    <m/>
    <m/>
    <m/>
    <m/>
    <m/>
    <m/>
    <m/>
  </r>
  <r>
    <m/>
    <m/>
    <s v="ZBTC"/>
    <m/>
    <m/>
    <s v="9518564443-1"/>
    <m/>
    <s v="Stocks"/>
    <m/>
    <x v="4"/>
    <x v="7"/>
    <m/>
    <m/>
    <x v="0"/>
    <m/>
    <m/>
    <m/>
    <m/>
    <m/>
    <m/>
    <m/>
    <s v="TATA BLUESCOPE STEEL PRIVATE LIMITE"/>
    <n v="1633706"/>
    <s v="PPGL C Y550 HPL3 0.42BMT(0.50TPT)X1220"/>
    <m/>
    <m/>
    <m/>
    <m/>
    <m/>
    <s v="B18"/>
    <s v="Y550PL"/>
    <s v="HPL3"/>
    <n v="0.42"/>
    <n v="1220"/>
    <n v="6386"/>
    <m/>
    <m/>
    <m/>
    <m/>
    <m/>
    <m/>
    <m/>
    <m/>
    <m/>
    <m/>
    <m/>
    <m/>
    <m/>
    <m/>
    <m/>
    <m/>
    <m/>
    <m/>
    <m/>
    <m/>
    <m/>
    <m/>
    <m/>
    <m/>
    <m/>
    <m/>
    <m/>
    <m/>
    <m/>
    <m/>
    <m/>
    <m/>
    <m/>
    <m/>
    <m/>
    <n v="34"/>
    <n v="0"/>
    <n v="0"/>
    <n v="0"/>
    <n v="0"/>
    <n v="0"/>
    <n v="0"/>
    <n v="34"/>
    <n v="0"/>
    <n v="0"/>
    <n v="0"/>
    <n v="34"/>
    <n v="0"/>
    <n v="0"/>
    <m/>
    <m/>
    <m/>
    <m/>
    <m/>
    <m/>
    <m/>
    <m/>
    <m/>
    <m/>
    <m/>
    <m/>
    <m/>
    <m/>
    <m/>
    <m/>
    <m/>
    <m/>
    <m/>
    <m/>
    <m/>
    <m/>
    <m/>
    <m/>
    <m/>
    <m/>
    <m/>
    <m/>
    <m/>
    <m/>
    <m/>
    <m/>
    <m/>
    <m/>
  </r>
  <r>
    <m/>
    <m/>
    <s v="ZBTC"/>
    <m/>
    <m/>
    <s v="9518564443-3"/>
    <m/>
    <s v="Stocks"/>
    <m/>
    <x v="4"/>
    <x v="7"/>
    <m/>
    <m/>
    <x v="0"/>
    <m/>
    <m/>
    <m/>
    <m/>
    <m/>
    <m/>
    <m/>
    <s v="TATA BLUESCOPE STEEL PRIVATE LIMITE"/>
    <n v="3440211"/>
    <s v="PPGL C Y550 HPL3 0.32BMT(0.40TPT)X1220"/>
    <m/>
    <m/>
    <m/>
    <m/>
    <m/>
    <s v="B18"/>
    <s v="Y550PL"/>
    <s v="HPL3"/>
    <n v="0.32"/>
    <n v="1220"/>
    <m/>
    <m/>
    <m/>
    <m/>
    <m/>
    <m/>
    <m/>
    <m/>
    <m/>
    <m/>
    <m/>
    <m/>
    <m/>
    <m/>
    <m/>
    <m/>
    <m/>
    <m/>
    <m/>
    <m/>
    <m/>
    <m/>
    <m/>
    <m/>
    <m/>
    <m/>
    <m/>
    <m/>
    <m/>
    <m/>
    <m/>
    <m/>
    <m/>
    <m/>
    <m/>
    <m/>
    <n v="14.280000000000001"/>
    <n v="0"/>
    <n v="0"/>
    <n v="0"/>
    <n v="0"/>
    <n v="0"/>
    <n v="0"/>
    <n v="14.280000000000001"/>
    <n v="0"/>
    <n v="0"/>
    <n v="0"/>
    <n v="14.280000000000001"/>
    <n v="0"/>
    <n v="0"/>
    <m/>
    <m/>
    <m/>
    <m/>
    <m/>
    <m/>
    <m/>
    <m/>
    <m/>
    <m/>
    <m/>
    <m/>
    <m/>
    <m/>
    <m/>
    <m/>
    <m/>
    <m/>
    <m/>
    <m/>
    <m/>
    <m/>
    <m/>
    <m/>
    <m/>
    <m/>
    <m/>
    <m/>
    <m/>
    <m/>
    <m/>
    <m/>
    <m/>
    <m/>
  </r>
  <r>
    <m/>
    <m/>
    <s v="ZBTC"/>
    <m/>
    <m/>
    <s v="9518564443-4"/>
    <m/>
    <s v="Stocks"/>
    <m/>
    <x v="4"/>
    <x v="7"/>
    <m/>
    <m/>
    <x v="0"/>
    <m/>
    <m/>
    <m/>
    <m/>
    <m/>
    <m/>
    <m/>
    <s v="TATA BLUESCOPE STEEL PRIVATE LIMITE"/>
    <n v="3440211"/>
    <s v="PPGL C Y550 HPL3 0.32BMT(0.40TPT)X1220"/>
    <m/>
    <m/>
    <m/>
    <m/>
    <m/>
    <s v="B18"/>
    <s v="Y550PL"/>
    <s v="HPL3"/>
    <n v="0.32"/>
    <n v="1220"/>
    <m/>
    <m/>
    <m/>
    <m/>
    <m/>
    <m/>
    <m/>
    <m/>
    <m/>
    <m/>
    <m/>
    <m/>
    <m/>
    <m/>
    <m/>
    <m/>
    <m/>
    <m/>
    <m/>
    <m/>
    <m/>
    <m/>
    <m/>
    <m/>
    <m/>
    <m/>
    <m/>
    <m/>
    <m/>
    <m/>
    <m/>
    <m/>
    <m/>
    <m/>
    <m/>
    <m/>
    <n v="3.5550000000000002"/>
    <n v="0"/>
    <n v="0"/>
    <n v="0"/>
    <n v="0"/>
    <n v="0"/>
    <n v="0"/>
    <n v="3.5550000000000002"/>
    <n v="0"/>
    <n v="0"/>
    <n v="0"/>
    <n v="3.5550000000000002"/>
    <n v="0"/>
    <n v="0"/>
    <m/>
    <m/>
    <m/>
    <m/>
    <m/>
    <m/>
    <m/>
    <m/>
    <m/>
    <m/>
    <m/>
    <m/>
    <m/>
    <m/>
    <m/>
    <m/>
    <m/>
    <m/>
    <m/>
    <m/>
    <m/>
    <m/>
    <m/>
    <m/>
    <m/>
    <m/>
    <m/>
    <m/>
    <m/>
    <m/>
    <m/>
    <m/>
    <m/>
    <m/>
  </r>
  <r>
    <m/>
    <m/>
    <s v="ZBTC"/>
    <m/>
    <m/>
    <s v="9518564928-1"/>
    <m/>
    <s v="Stocks"/>
    <m/>
    <x v="4"/>
    <x v="7"/>
    <m/>
    <m/>
    <x v="0"/>
    <m/>
    <m/>
    <m/>
    <m/>
    <m/>
    <m/>
    <m/>
    <s v="TATA BLUESCOPE STEEL PRIVATE LIMITE"/>
    <n v="3902332"/>
    <s v="PPGL C HARD Y550PL D0C9 0.50(TPT)X1220"/>
    <m/>
    <m/>
    <m/>
    <m/>
    <m/>
    <s v="B18"/>
    <s v="Y550PL"/>
    <s v="D0C9"/>
    <n v="0.5"/>
    <n v="1220"/>
    <n v="5407"/>
    <m/>
    <m/>
    <m/>
    <m/>
    <m/>
    <m/>
    <m/>
    <m/>
    <m/>
    <m/>
    <m/>
    <m/>
    <m/>
    <m/>
    <m/>
    <m/>
    <m/>
    <m/>
    <m/>
    <m/>
    <m/>
    <m/>
    <m/>
    <m/>
    <m/>
    <m/>
    <m/>
    <m/>
    <m/>
    <m/>
    <m/>
    <m/>
    <m/>
    <m/>
    <m/>
    <n v="230"/>
    <n v="0"/>
    <n v="0"/>
    <n v="0"/>
    <n v="0"/>
    <n v="0"/>
    <n v="0"/>
    <n v="230"/>
    <n v="0"/>
    <n v="0"/>
    <n v="0"/>
    <n v="230"/>
    <n v="0"/>
    <n v="0"/>
    <m/>
    <m/>
    <m/>
    <m/>
    <m/>
    <m/>
    <m/>
    <m/>
    <m/>
    <m/>
    <m/>
    <m/>
    <m/>
    <m/>
    <m/>
    <m/>
    <m/>
    <m/>
    <m/>
    <m/>
    <m/>
    <m/>
    <m/>
    <m/>
    <m/>
    <m/>
    <m/>
    <m/>
    <m/>
    <m/>
    <m/>
    <m/>
    <m/>
    <m/>
  </r>
  <r>
    <m/>
    <m/>
    <s v="ZBTC"/>
    <m/>
    <m/>
    <s v="9518564928-2"/>
    <m/>
    <s v="Stocks"/>
    <m/>
    <x v="4"/>
    <x v="7"/>
    <m/>
    <m/>
    <x v="0"/>
    <m/>
    <m/>
    <m/>
    <m/>
    <m/>
    <m/>
    <m/>
    <s v="TATA BLUESCOPE STEEL PRIVATE LIMITE"/>
    <n v="3902332"/>
    <s v="PPGL C HARD Y550PL D0C9 0.50(TPT)X1220"/>
    <m/>
    <m/>
    <m/>
    <m/>
    <m/>
    <s v="B18"/>
    <s v="Y550PL"/>
    <s v="D0C9"/>
    <n v="0.5"/>
    <n v="1220"/>
    <m/>
    <m/>
    <m/>
    <m/>
    <m/>
    <m/>
    <m/>
    <m/>
    <m/>
    <m/>
    <m/>
    <m/>
    <m/>
    <m/>
    <m/>
    <m/>
    <m/>
    <m/>
    <m/>
    <m/>
    <m/>
    <m/>
    <m/>
    <m/>
    <m/>
    <m/>
    <m/>
    <m/>
    <m/>
    <m/>
    <m/>
    <m/>
    <m/>
    <m/>
    <m/>
    <m/>
    <n v="175.15999999999997"/>
    <n v="0"/>
    <n v="0"/>
    <n v="0"/>
    <n v="0"/>
    <n v="0"/>
    <n v="0"/>
    <n v="175.15999999999997"/>
    <n v="0"/>
    <n v="0"/>
    <n v="0"/>
    <n v="0"/>
    <n v="175.15999999999997"/>
    <n v="0"/>
    <m/>
    <m/>
    <m/>
    <m/>
    <m/>
    <m/>
    <m/>
    <m/>
    <m/>
    <m/>
    <m/>
    <m/>
    <m/>
    <m/>
    <m/>
    <m/>
    <m/>
    <m/>
    <m/>
    <m/>
    <m/>
    <m/>
    <m/>
    <m/>
    <m/>
    <m/>
    <m/>
    <m/>
    <m/>
    <m/>
    <m/>
    <m/>
    <m/>
    <m/>
  </r>
  <r>
    <m/>
    <m/>
    <s v="ZBTC"/>
    <m/>
    <m/>
    <s v="9518564928-3"/>
    <m/>
    <s v="Stocks"/>
    <m/>
    <x v="4"/>
    <x v="7"/>
    <m/>
    <m/>
    <x v="0"/>
    <m/>
    <m/>
    <m/>
    <m/>
    <m/>
    <m/>
    <m/>
    <s v="TATA BLUESCOPE STEEL PRIVATE LIMITE"/>
    <n v="3902332"/>
    <s v="PPGL C HARD Y550PL D0C9 0.50(TPT)X1220"/>
    <m/>
    <m/>
    <m/>
    <m/>
    <m/>
    <s v="B18"/>
    <s v="Y550PL"/>
    <s v="D0C9"/>
    <n v="0.5"/>
    <n v="1220"/>
    <n v="5385"/>
    <m/>
    <m/>
    <m/>
    <m/>
    <m/>
    <m/>
    <m/>
    <m/>
    <m/>
    <m/>
    <m/>
    <m/>
    <m/>
    <m/>
    <m/>
    <m/>
    <m/>
    <m/>
    <m/>
    <m/>
    <m/>
    <m/>
    <m/>
    <m/>
    <m/>
    <m/>
    <m/>
    <m/>
    <m/>
    <m/>
    <m/>
    <m/>
    <m/>
    <m/>
    <m/>
    <n v="96"/>
    <n v="0"/>
    <n v="0"/>
    <n v="0"/>
    <n v="0"/>
    <n v="0"/>
    <n v="0"/>
    <n v="96"/>
    <n v="0"/>
    <n v="0"/>
    <n v="0"/>
    <n v="0"/>
    <n v="96"/>
    <n v="0"/>
    <m/>
    <m/>
    <m/>
    <m/>
    <m/>
    <m/>
    <m/>
    <m/>
    <m/>
    <m/>
    <m/>
    <m/>
    <m/>
    <m/>
    <m/>
    <m/>
    <m/>
    <m/>
    <m/>
    <m/>
    <m/>
    <m/>
    <m/>
    <m/>
    <m/>
    <m/>
    <m/>
    <m/>
    <m/>
    <m/>
    <m/>
    <m/>
    <m/>
    <m/>
  </r>
  <r>
    <m/>
    <m/>
    <s v="ZBTF"/>
    <m/>
    <m/>
    <s v="9518020164-1"/>
    <m/>
    <s v="Stocks"/>
    <m/>
    <x v="5"/>
    <x v="9"/>
    <m/>
    <m/>
    <x v="0"/>
    <m/>
    <m/>
    <m/>
    <m/>
    <m/>
    <m/>
    <m/>
    <s v="Angul Cold Rolling Mill"/>
    <n v="2306895"/>
    <s v="CRFH COIL TATFHC TR10 0.320X1245"/>
    <m/>
    <m/>
    <m/>
    <m/>
    <m/>
    <s v="C09"/>
    <s v="TATFHC"/>
    <s v="TR10"/>
    <n v="0.32"/>
    <n v="1245"/>
    <m/>
    <m/>
    <m/>
    <m/>
    <m/>
    <m/>
    <m/>
    <m/>
    <m/>
    <m/>
    <m/>
    <m/>
    <m/>
    <m/>
    <m/>
    <m/>
    <m/>
    <m/>
    <m/>
    <m/>
    <m/>
    <m/>
    <m/>
    <m/>
    <m/>
    <m/>
    <m/>
    <m/>
    <m/>
    <m/>
    <m/>
    <m/>
    <m/>
    <m/>
    <m/>
    <m/>
    <n v="24.22"/>
    <n v="0"/>
    <n v="0"/>
    <n v="0"/>
    <n v="0"/>
    <n v="0"/>
    <n v="0"/>
    <n v="24.22"/>
    <n v="0"/>
    <n v="24.22"/>
    <n v="0"/>
    <n v="0"/>
    <n v="0"/>
    <n v="0"/>
    <m/>
    <m/>
    <m/>
    <m/>
    <m/>
    <m/>
    <m/>
    <m/>
    <m/>
    <m/>
    <m/>
    <m/>
    <m/>
    <m/>
    <m/>
    <m/>
    <m/>
    <m/>
    <m/>
    <m/>
    <m/>
    <m/>
    <m/>
    <m/>
    <m/>
    <m/>
    <m/>
    <m/>
    <m/>
    <m/>
    <m/>
    <m/>
    <m/>
    <m/>
  </r>
  <r>
    <m/>
    <m/>
    <s v="ZBTF"/>
    <m/>
    <m/>
    <s v="9518081751-10"/>
    <m/>
    <s v="Stocks"/>
    <m/>
    <x v="1"/>
    <x v="9"/>
    <m/>
    <m/>
    <x v="0"/>
    <m/>
    <m/>
    <m/>
    <m/>
    <m/>
    <m/>
    <m/>
    <s v="TATA STEEL LIMITED"/>
    <n v="2150940"/>
    <s v="CRCA COIL SA1008 TU98 1.200X1250"/>
    <m/>
    <m/>
    <m/>
    <m/>
    <m/>
    <s v="C01"/>
    <s v="SA1008"/>
    <s v="TU98"/>
    <n v="1.2"/>
    <n v="1250"/>
    <n v="1942"/>
    <m/>
    <m/>
    <m/>
    <m/>
    <m/>
    <m/>
    <m/>
    <m/>
    <m/>
    <m/>
    <m/>
    <m/>
    <m/>
    <m/>
    <m/>
    <m/>
    <m/>
    <m/>
    <m/>
    <m/>
    <m/>
    <m/>
    <m/>
    <m/>
    <m/>
    <m/>
    <m/>
    <m/>
    <m/>
    <m/>
    <m/>
    <m/>
    <m/>
    <m/>
    <m/>
    <n v="22.14"/>
    <n v="0"/>
    <n v="0"/>
    <n v="0"/>
    <n v="0"/>
    <n v="0"/>
    <n v="0"/>
    <n v="22.14"/>
    <n v="0"/>
    <n v="22.14"/>
    <n v="0"/>
    <n v="0"/>
    <n v="0"/>
    <n v="0"/>
    <m/>
    <m/>
    <m/>
    <m/>
    <m/>
    <m/>
    <m/>
    <m/>
    <m/>
    <m/>
    <m/>
    <m/>
    <m/>
    <m/>
    <m/>
    <m/>
    <m/>
    <m/>
    <m/>
    <m/>
    <m/>
    <m/>
    <m/>
    <m/>
    <m/>
    <m/>
    <m/>
    <m/>
    <m/>
    <m/>
    <m/>
    <m/>
    <m/>
    <m/>
  </r>
  <r>
    <m/>
    <m/>
    <s v="ZBTF"/>
    <m/>
    <m/>
    <s v="9518239026-1"/>
    <m/>
    <s v="Stocks"/>
    <m/>
    <x v="3"/>
    <x v="7"/>
    <m/>
    <m/>
    <x v="0"/>
    <m/>
    <m/>
    <m/>
    <m/>
    <m/>
    <m/>
    <m/>
    <s v="Angul Cold Rolling Mill"/>
    <n v="3887913"/>
    <s v="GL COIL HARD  Y550GL H6GL 0.700X1250"/>
    <m/>
    <m/>
    <m/>
    <m/>
    <m/>
    <s v="B04"/>
    <s v="Y550GL"/>
    <s v="H6GL"/>
    <n v="0.7"/>
    <n v="1250"/>
    <m/>
    <m/>
    <m/>
    <m/>
    <m/>
    <m/>
    <m/>
    <m/>
    <m/>
    <m/>
    <m/>
    <m/>
    <m/>
    <m/>
    <m/>
    <m/>
    <m/>
    <m/>
    <m/>
    <m/>
    <m/>
    <m/>
    <m/>
    <m/>
    <m/>
    <m/>
    <m/>
    <m/>
    <m/>
    <m/>
    <m/>
    <m/>
    <m/>
    <m/>
    <m/>
    <m/>
    <n v="79.185000000000002"/>
    <n v="0"/>
    <n v="0"/>
    <n v="0"/>
    <n v="0"/>
    <n v="0"/>
    <n v="0"/>
    <n v="79.185000000000002"/>
    <n v="0"/>
    <n v="0"/>
    <n v="0"/>
    <n v="0"/>
    <n v="79.185000000000002"/>
    <n v="0"/>
    <m/>
    <m/>
    <m/>
    <m/>
    <m/>
    <m/>
    <m/>
    <m/>
    <m/>
    <m/>
    <m/>
    <m/>
    <m/>
    <m/>
    <m/>
    <m/>
    <m/>
    <m/>
    <m/>
    <m/>
    <m/>
    <m/>
    <m/>
    <m/>
    <m/>
    <m/>
    <m/>
    <m/>
    <m/>
    <m/>
    <m/>
    <m/>
    <m/>
    <m/>
  </r>
  <r>
    <m/>
    <m/>
    <s v="ZBTF"/>
    <m/>
    <m/>
    <s v="9518294631-3"/>
    <m/>
    <s v="Stocks"/>
    <m/>
    <x v="1"/>
    <x v="4"/>
    <m/>
    <m/>
    <x v="0"/>
    <m/>
    <m/>
    <m/>
    <m/>
    <m/>
    <m/>
    <m/>
    <s v="TATA CENTRE"/>
    <n v="2439203"/>
    <s v="CRCA COIL TSBSTA EL06 0.500X1160"/>
    <m/>
    <m/>
    <m/>
    <m/>
    <m/>
    <s v="C01"/>
    <s v="TSBSTA"/>
    <s v="EL06"/>
    <n v="0.5"/>
    <n v="1160"/>
    <m/>
    <m/>
    <m/>
    <m/>
    <m/>
    <m/>
    <m/>
    <m/>
    <m/>
    <m/>
    <m/>
    <m/>
    <m/>
    <m/>
    <m/>
    <m/>
    <m/>
    <m/>
    <m/>
    <m/>
    <m/>
    <m/>
    <m/>
    <m/>
    <m/>
    <m/>
    <m/>
    <m/>
    <m/>
    <m/>
    <m/>
    <m/>
    <m/>
    <m/>
    <m/>
    <m/>
    <n v="10.875"/>
    <n v="0"/>
    <n v="0"/>
    <n v="0"/>
    <n v="0"/>
    <n v="0"/>
    <n v="0"/>
    <n v="10.875"/>
    <n v="0"/>
    <n v="10.875"/>
    <n v="0"/>
    <n v="0"/>
    <n v="0"/>
    <n v="0"/>
    <m/>
    <m/>
    <m/>
    <m/>
    <m/>
    <m/>
    <m/>
    <m/>
    <m/>
    <m/>
    <m/>
    <m/>
    <m/>
    <m/>
    <m/>
    <m/>
    <m/>
    <m/>
    <m/>
    <m/>
    <m/>
    <m/>
    <m/>
    <m/>
    <m/>
    <m/>
    <m/>
    <m/>
    <m/>
    <m/>
    <m/>
    <m/>
    <m/>
    <m/>
  </r>
  <r>
    <m/>
    <m/>
    <s v="ZBTF"/>
    <m/>
    <m/>
    <s v="9518341433-2"/>
    <m/>
    <s v="Stocks"/>
    <m/>
    <x v="2"/>
    <x v="2"/>
    <m/>
    <m/>
    <x v="0"/>
    <m/>
    <m/>
    <m/>
    <m/>
    <m/>
    <m/>
    <m/>
    <s v="TATA CENTRE"/>
    <n v="1854424"/>
    <s v="GP COIL SOFT-TATXGP-GK09-0.6X900"/>
    <m/>
    <m/>
    <m/>
    <m/>
    <m/>
    <s v="C02"/>
    <s v="TATXGP"/>
    <s v="GK09"/>
    <n v="0.6"/>
    <n v="900"/>
    <m/>
    <m/>
    <m/>
    <m/>
    <m/>
    <m/>
    <m/>
    <m/>
    <m/>
    <m/>
    <m/>
    <m/>
    <m/>
    <m/>
    <m/>
    <m/>
    <m/>
    <m/>
    <m/>
    <m/>
    <m/>
    <m/>
    <m/>
    <m/>
    <m/>
    <m/>
    <m/>
    <m/>
    <m/>
    <m/>
    <m/>
    <m/>
    <m/>
    <m/>
    <m/>
    <m/>
    <n v="56.34"/>
    <n v="0"/>
    <n v="0"/>
    <n v="0"/>
    <n v="0"/>
    <n v="0"/>
    <n v="0"/>
    <n v="56.34"/>
    <n v="0"/>
    <n v="56.34"/>
    <n v="0"/>
    <n v="0"/>
    <n v="0"/>
    <n v="0"/>
    <m/>
    <m/>
    <m/>
    <m/>
    <m/>
    <m/>
    <m/>
    <m/>
    <m/>
    <m/>
    <m/>
    <m/>
    <m/>
    <m/>
    <m/>
    <m/>
    <m/>
    <m/>
    <m/>
    <m/>
    <m/>
    <m/>
    <m/>
    <m/>
    <m/>
    <m/>
    <m/>
    <m/>
    <m/>
    <m/>
    <m/>
    <m/>
    <m/>
    <m/>
  </r>
  <r>
    <m/>
    <m/>
    <s v="ZBTF"/>
    <m/>
    <m/>
    <s v="9518341433-3"/>
    <m/>
    <s v="Stocks"/>
    <m/>
    <x v="2"/>
    <x v="2"/>
    <m/>
    <m/>
    <x v="0"/>
    <m/>
    <m/>
    <m/>
    <m/>
    <m/>
    <m/>
    <m/>
    <s v="TATA CENTRE"/>
    <n v="1854429"/>
    <s v="GP COIL SOFT-TATXGP-GK09-0.63X900"/>
    <m/>
    <m/>
    <m/>
    <m/>
    <m/>
    <s v="C02"/>
    <s v="TATXGP"/>
    <s v="GK09"/>
    <n v="0.63"/>
    <n v="900"/>
    <m/>
    <m/>
    <m/>
    <m/>
    <m/>
    <m/>
    <m/>
    <m/>
    <m/>
    <m/>
    <m/>
    <m/>
    <m/>
    <m/>
    <m/>
    <m/>
    <m/>
    <m/>
    <m/>
    <m/>
    <m/>
    <m/>
    <m/>
    <m/>
    <m/>
    <m/>
    <m/>
    <m/>
    <m/>
    <m/>
    <m/>
    <m/>
    <m/>
    <m/>
    <m/>
    <m/>
    <n v="9.5399999999999991"/>
    <n v="0"/>
    <n v="0"/>
    <n v="0"/>
    <n v="0"/>
    <n v="0"/>
    <n v="0"/>
    <n v="9.5399999999999991"/>
    <n v="0"/>
    <n v="9.5399999999999991"/>
    <n v="0"/>
    <n v="0"/>
    <n v="0"/>
    <n v="0"/>
    <m/>
    <m/>
    <m/>
    <m/>
    <m/>
    <m/>
    <m/>
    <m/>
    <m/>
    <m/>
    <m/>
    <m/>
    <m/>
    <m/>
    <m/>
    <m/>
    <m/>
    <m/>
    <m/>
    <m/>
    <m/>
    <m/>
    <m/>
    <m/>
    <m/>
    <m/>
    <m/>
    <m/>
    <m/>
    <m/>
    <m/>
    <m/>
    <m/>
    <m/>
  </r>
  <r>
    <m/>
    <m/>
    <s v="ZBTF"/>
    <m/>
    <m/>
    <s v="9518395074-2"/>
    <m/>
    <s v="Stocks"/>
    <m/>
    <x v="5"/>
    <x v="9"/>
    <m/>
    <m/>
    <x v="0"/>
    <m/>
    <m/>
    <m/>
    <m/>
    <m/>
    <m/>
    <m/>
    <s v="Tata Steel Limited,"/>
    <n v="2306895"/>
    <s v="CRFH COIL TATFHC TR10 0.320X1245"/>
    <m/>
    <m/>
    <m/>
    <m/>
    <m/>
    <s v="C09"/>
    <s v="TATFHC"/>
    <s v="TR10"/>
    <n v="0.32"/>
    <n v="1245"/>
    <m/>
    <m/>
    <m/>
    <m/>
    <m/>
    <m/>
    <m/>
    <m/>
    <m/>
    <m/>
    <m/>
    <m/>
    <m/>
    <m/>
    <m/>
    <m/>
    <m/>
    <m/>
    <m/>
    <m/>
    <m/>
    <m/>
    <m/>
    <m/>
    <m/>
    <m/>
    <m/>
    <m/>
    <m/>
    <m/>
    <m/>
    <m/>
    <m/>
    <m/>
    <m/>
    <m/>
    <n v="21.41"/>
    <n v="0"/>
    <n v="0"/>
    <n v="0"/>
    <n v="0"/>
    <n v="0"/>
    <n v="0"/>
    <n v="21.41"/>
    <n v="0"/>
    <n v="21.41"/>
    <n v="0"/>
    <n v="0"/>
    <n v="0"/>
    <n v="0"/>
    <m/>
    <m/>
    <m/>
    <m/>
    <m/>
    <m/>
    <m/>
    <m/>
    <m/>
    <m/>
    <m/>
    <m/>
    <m/>
    <m/>
    <m/>
    <m/>
    <m/>
    <m/>
    <m/>
    <m/>
    <m/>
    <m/>
    <m/>
    <m/>
    <m/>
    <m/>
    <m/>
    <m/>
    <m/>
    <m/>
    <m/>
    <m/>
    <m/>
    <m/>
  </r>
  <r>
    <m/>
    <m/>
    <s v="ZBTF"/>
    <m/>
    <m/>
    <s v="9518456240-3"/>
    <m/>
    <s v="Stocks"/>
    <m/>
    <x v="2"/>
    <x v="2"/>
    <m/>
    <m/>
    <x v="0"/>
    <m/>
    <m/>
    <m/>
    <m/>
    <m/>
    <m/>
    <m/>
    <s v="TATA CENTRE"/>
    <n v="1178439"/>
    <s v="GP COIL SOFT-TATXGP-GK09-0.4X900"/>
    <m/>
    <m/>
    <m/>
    <m/>
    <m/>
    <s v="C02"/>
    <s v="TATXGP"/>
    <s v="GK09"/>
    <n v="0.4"/>
    <n v="900"/>
    <m/>
    <m/>
    <m/>
    <m/>
    <m/>
    <m/>
    <m/>
    <m/>
    <m/>
    <m/>
    <m/>
    <m/>
    <m/>
    <m/>
    <m/>
    <m/>
    <m/>
    <m/>
    <m/>
    <m/>
    <m/>
    <m/>
    <m/>
    <m/>
    <m/>
    <m/>
    <m/>
    <m/>
    <m/>
    <m/>
    <m/>
    <m/>
    <m/>
    <m/>
    <m/>
    <m/>
    <n v="19.074999999999999"/>
    <n v="0"/>
    <n v="0"/>
    <n v="0"/>
    <n v="0"/>
    <n v="0"/>
    <n v="0"/>
    <n v="19.074999999999999"/>
    <n v="0"/>
    <n v="19.074999999999999"/>
    <n v="0"/>
    <n v="0"/>
    <n v="0"/>
    <n v="0"/>
    <m/>
    <m/>
    <m/>
    <m/>
    <m/>
    <m/>
    <m/>
    <m/>
    <m/>
    <m/>
    <m/>
    <m/>
    <m/>
    <m/>
    <m/>
    <m/>
    <m/>
    <m/>
    <m/>
    <m/>
    <m/>
    <m/>
    <m/>
    <m/>
    <m/>
    <m/>
    <m/>
    <m/>
    <m/>
    <m/>
    <m/>
    <m/>
    <m/>
    <m/>
  </r>
  <r>
    <m/>
    <m/>
    <s v="ZBTF"/>
    <m/>
    <m/>
    <s v="9518456240-4"/>
    <m/>
    <s v="Stocks"/>
    <m/>
    <x v="2"/>
    <x v="2"/>
    <m/>
    <m/>
    <x v="0"/>
    <m/>
    <m/>
    <m/>
    <m/>
    <m/>
    <m/>
    <m/>
    <s v="TATA CENTRE"/>
    <n v="1854418"/>
    <s v="GP COIL SOFT-TATXGP-GK09-0.5X900"/>
    <m/>
    <m/>
    <m/>
    <m/>
    <m/>
    <s v="C02"/>
    <s v="TATXGP"/>
    <s v="GK09"/>
    <n v="0.5"/>
    <n v="900"/>
    <m/>
    <m/>
    <m/>
    <m/>
    <m/>
    <m/>
    <m/>
    <m/>
    <m/>
    <m/>
    <m/>
    <m/>
    <m/>
    <m/>
    <m/>
    <m/>
    <m/>
    <m/>
    <m/>
    <m/>
    <m/>
    <m/>
    <m/>
    <m/>
    <m/>
    <m/>
    <m/>
    <m/>
    <m/>
    <m/>
    <m/>
    <m/>
    <m/>
    <m/>
    <m/>
    <m/>
    <n v="8.8249999999999993"/>
    <n v="0"/>
    <n v="0"/>
    <n v="0"/>
    <n v="0"/>
    <n v="0"/>
    <n v="0"/>
    <n v="8.8249999999999993"/>
    <n v="0"/>
    <n v="8.8249999999999993"/>
    <n v="0"/>
    <n v="0"/>
    <n v="0"/>
    <n v="0"/>
    <m/>
    <m/>
    <m/>
    <m/>
    <m/>
    <m/>
    <m/>
    <m/>
    <m/>
    <m/>
    <m/>
    <m/>
    <m/>
    <m/>
    <m/>
    <m/>
    <m/>
    <m/>
    <m/>
    <m/>
    <m/>
    <m/>
    <m/>
    <m/>
    <m/>
    <m/>
    <m/>
    <m/>
    <m/>
    <m/>
    <m/>
    <m/>
    <m/>
    <m/>
  </r>
  <r>
    <m/>
    <m/>
    <s v="ZBTO"/>
    <m/>
    <m/>
    <s v="9516915847-2"/>
    <m/>
    <s v="Stocks"/>
    <m/>
    <x v="2"/>
    <x v="6"/>
    <m/>
    <m/>
    <x v="0"/>
    <m/>
    <m/>
    <m/>
    <m/>
    <m/>
    <m/>
    <m/>
    <s v="BMW VENTURES LIMITED"/>
    <n v="1334725"/>
    <s v="GP COIL SOFT-TATXGP-GK09-0.6X1220"/>
    <m/>
    <m/>
    <m/>
    <m/>
    <m/>
    <s v="C02"/>
    <s v="TATXGP"/>
    <s v="GK09"/>
    <n v="0.6"/>
    <n v="1220"/>
    <m/>
    <m/>
    <m/>
    <m/>
    <m/>
    <m/>
    <m/>
    <m/>
    <m/>
    <m/>
    <m/>
    <m/>
    <m/>
    <m/>
    <m/>
    <m/>
    <m/>
    <m/>
    <m/>
    <m/>
    <m/>
    <m/>
    <m/>
    <m/>
    <m/>
    <m/>
    <m/>
    <m/>
    <m/>
    <m/>
    <m/>
    <m/>
    <m/>
    <m/>
    <m/>
    <m/>
    <n v="4.5049999999999999"/>
    <n v="0"/>
    <n v="0"/>
    <n v="0"/>
    <n v="0"/>
    <n v="0"/>
    <n v="0"/>
    <n v="4.5049999999999999"/>
    <n v="0"/>
    <n v="4.5049999999999999"/>
    <n v="0"/>
    <n v="0"/>
    <n v="0"/>
    <n v="0"/>
    <m/>
    <m/>
    <m/>
    <m/>
    <m/>
    <m/>
    <m/>
    <m/>
    <m/>
    <m/>
    <m/>
    <m/>
    <m/>
    <m/>
    <m/>
    <m/>
    <m/>
    <m/>
    <m/>
    <m/>
    <m/>
    <m/>
    <m/>
    <m/>
    <m/>
    <m/>
    <m/>
    <m/>
    <m/>
    <m/>
    <m/>
    <m/>
    <m/>
    <m/>
  </r>
  <r>
    <m/>
    <m/>
    <s v="ZBTO"/>
    <m/>
    <m/>
    <s v="9517551625-1"/>
    <m/>
    <s v="Stocks"/>
    <m/>
    <x v="1"/>
    <x v="5"/>
    <m/>
    <m/>
    <x v="0"/>
    <m/>
    <m/>
    <m/>
    <m/>
    <m/>
    <m/>
    <m/>
    <s v="Balmer Lawrie &amp; Co. Limited"/>
    <n v="3403890"/>
    <s v="CRCA SHEET TATXXD BT02 0.700X920X1798"/>
    <m/>
    <m/>
    <m/>
    <m/>
    <m/>
    <s v="C06"/>
    <s v="TATXXD"/>
    <s v="BT02"/>
    <n v="0.7"/>
    <n v="920"/>
    <n v="1798"/>
    <m/>
    <m/>
    <m/>
    <m/>
    <m/>
    <m/>
    <m/>
    <m/>
    <m/>
    <m/>
    <m/>
    <m/>
    <m/>
    <m/>
    <m/>
    <m/>
    <m/>
    <m/>
    <m/>
    <m/>
    <m/>
    <m/>
    <m/>
    <m/>
    <m/>
    <m/>
    <m/>
    <m/>
    <m/>
    <m/>
    <m/>
    <m/>
    <m/>
    <m/>
    <m/>
    <n v="10.399999999999999"/>
    <n v="0"/>
    <n v="0"/>
    <n v="0"/>
    <n v="0"/>
    <n v="0"/>
    <n v="0"/>
    <n v="10.399999999999999"/>
    <n v="0"/>
    <n v="10.399999999999999"/>
    <n v="0"/>
    <n v="0"/>
    <n v="0"/>
    <n v="0"/>
    <m/>
    <m/>
    <m/>
    <m/>
    <m/>
    <m/>
    <m/>
    <m/>
    <m/>
    <m/>
    <m/>
    <m/>
    <m/>
    <m/>
    <m/>
    <m/>
    <m/>
    <m/>
    <m/>
    <m/>
    <m/>
    <m/>
    <m/>
    <m/>
    <m/>
    <m/>
    <m/>
    <m/>
    <m/>
    <m/>
    <m/>
    <m/>
    <m/>
    <m/>
  </r>
  <r>
    <m/>
    <m/>
    <s v="ZBTO"/>
    <m/>
    <m/>
    <s v="9517608073-6"/>
    <m/>
    <s v="Stocks"/>
    <m/>
    <x v="4"/>
    <x v="7"/>
    <m/>
    <m/>
    <x v="0"/>
    <m/>
    <m/>
    <m/>
    <m/>
    <m/>
    <m/>
    <m/>
    <s v="TATA BLUESCOPE STEEL PRIVATE LIMITE"/>
    <n v="1640760"/>
    <s v="PPGL C YS550 PLH1 0.35BMT(0.40TPT)X1220"/>
    <m/>
    <m/>
    <m/>
    <m/>
    <m/>
    <s v="B18"/>
    <s v="Y550PL"/>
    <s v="PLH1"/>
    <n v="0.35"/>
    <n v="1220"/>
    <m/>
    <m/>
    <m/>
    <m/>
    <m/>
    <m/>
    <m/>
    <m/>
    <m/>
    <m/>
    <m/>
    <m/>
    <m/>
    <m/>
    <m/>
    <m/>
    <m/>
    <m/>
    <m/>
    <m/>
    <m/>
    <m/>
    <m/>
    <m/>
    <m/>
    <m/>
    <m/>
    <m/>
    <m/>
    <m/>
    <m/>
    <m/>
    <m/>
    <m/>
    <m/>
    <m/>
    <n v="4.375"/>
    <n v="0"/>
    <n v="0"/>
    <n v="0"/>
    <n v="0"/>
    <n v="0"/>
    <n v="0"/>
    <n v="4.375"/>
    <n v="0"/>
    <n v="0"/>
    <n v="0"/>
    <n v="0"/>
    <n v="4.375"/>
    <n v="0"/>
    <m/>
    <m/>
    <m/>
    <m/>
    <m/>
    <m/>
    <m/>
    <m/>
    <m/>
    <m/>
    <m/>
    <m/>
    <m/>
    <m/>
    <m/>
    <m/>
    <m/>
    <m/>
    <m/>
    <m/>
    <m/>
    <m/>
    <m/>
    <m/>
    <m/>
    <m/>
    <m/>
    <m/>
    <m/>
    <m/>
    <m/>
    <m/>
    <m/>
    <m/>
  </r>
  <r>
    <m/>
    <m/>
    <s v="ZBTO"/>
    <m/>
    <m/>
    <s v="9517736115-2"/>
    <m/>
    <s v="Stocks"/>
    <m/>
    <x v="1"/>
    <x v="5"/>
    <m/>
    <m/>
    <x v="0"/>
    <m/>
    <m/>
    <m/>
    <m/>
    <m/>
    <m/>
    <m/>
    <s v="Balmer Lawrie &amp; Co. Limited"/>
    <n v="3403911"/>
    <s v="CRCA SHEET TATXXD BT02 0.770X920X1798"/>
    <m/>
    <m/>
    <m/>
    <m/>
    <m/>
    <s v="C06"/>
    <s v="TATXXD"/>
    <s v="BT02"/>
    <n v="0.77"/>
    <n v="920"/>
    <n v="1798"/>
    <m/>
    <m/>
    <m/>
    <m/>
    <m/>
    <m/>
    <m/>
    <m/>
    <m/>
    <m/>
    <m/>
    <m/>
    <m/>
    <m/>
    <m/>
    <m/>
    <m/>
    <m/>
    <m/>
    <m/>
    <m/>
    <m/>
    <m/>
    <m/>
    <m/>
    <m/>
    <m/>
    <m/>
    <m/>
    <m/>
    <m/>
    <m/>
    <m/>
    <m/>
    <m/>
    <n v="1.885"/>
    <n v="0"/>
    <n v="0"/>
    <n v="0"/>
    <n v="0"/>
    <n v="0"/>
    <n v="0"/>
    <n v="1.885"/>
    <n v="0"/>
    <n v="1.885"/>
    <n v="0"/>
    <n v="0"/>
    <n v="0"/>
    <n v="0"/>
    <m/>
    <m/>
    <m/>
    <m/>
    <m/>
    <m/>
    <m/>
    <m/>
    <m/>
    <m/>
    <m/>
    <m/>
    <m/>
    <m/>
    <m/>
    <m/>
    <m/>
    <m/>
    <m/>
    <m/>
    <m/>
    <m/>
    <m/>
    <m/>
    <m/>
    <m/>
    <m/>
    <m/>
    <m/>
    <m/>
    <m/>
    <m/>
    <m/>
    <m/>
  </r>
  <r>
    <m/>
    <m/>
    <s v="ZBTO"/>
    <m/>
    <m/>
    <s v="9517736115-3"/>
    <m/>
    <s v="Stocks"/>
    <m/>
    <x v="1"/>
    <x v="5"/>
    <m/>
    <m/>
    <x v="0"/>
    <m/>
    <m/>
    <m/>
    <m/>
    <m/>
    <m/>
    <m/>
    <s v="Balmer Lawrie &amp; Co. Limited"/>
    <n v="3202438"/>
    <s v="CRCA SHEET TATXXD BT02 0.770X925X1798"/>
    <m/>
    <m/>
    <m/>
    <m/>
    <m/>
    <s v="C06"/>
    <s v="TATXXD"/>
    <s v="BT02"/>
    <n v="0.77"/>
    <n v="925"/>
    <n v="1798"/>
    <m/>
    <m/>
    <m/>
    <m/>
    <m/>
    <m/>
    <m/>
    <m/>
    <m/>
    <m/>
    <m/>
    <m/>
    <m/>
    <m/>
    <m/>
    <m/>
    <m/>
    <m/>
    <m/>
    <m/>
    <m/>
    <m/>
    <m/>
    <m/>
    <m/>
    <m/>
    <m/>
    <m/>
    <m/>
    <m/>
    <m/>
    <m/>
    <m/>
    <m/>
    <m/>
    <n v="2.0699999999999998"/>
    <n v="0"/>
    <n v="0"/>
    <n v="0"/>
    <n v="0"/>
    <n v="0"/>
    <n v="0"/>
    <n v="2.0699999999999998"/>
    <n v="0"/>
    <n v="2.0699999999999998"/>
    <n v="0"/>
    <n v="0"/>
    <n v="0"/>
    <n v="0"/>
    <m/>
    <m/>
    <m/>
    <m/>
    <m/>
    <m/>
    <m/>
    <m/>
    <m/>
    <m/>
    <m/>
    <m/>
    <m/>
    <m/>
    <m/>
    <m/>
    <m/>
    <m/>
    <m/>
    <m/>
    <m/>
    <m/>
    <m/>
    <m/>
    <m/>
    <m/>
    <m/>
    <m/>
    <m/>
    <m/>
    <m/>
    <m/>
    <m/>
    <m/>
  </r>
  <r>
    <m/>
    <m/>
    <s v="ZBTO"/>
    <m/>
    <m/>
    <s v="9517795009-1"/>
    <m/>
    <s v="Stocks"/>
    <m/>
    <x v="2"/>
    <x v="2"/>
    <m/>
    <m/>
    <x v="0"/>
    <m/>
    <m/>
    <m/>
    <m/>
    <m/>
    <m/>
    <m/>
    <s v="BMW VENTURES LIMITED"/>
    <n v="1851130"/>
    <s v="GP SHEET SOFT-TATXGP-GK09-0.3X900"/>
    <m/>
    <m/>
    <m/>
    <m/>
    <m/>
    <s v="B11"/>
    <s v="TATXGP"/>
    <s v="GK09"/>
    <n v="0.3"/>
    <n v="900"/>
    <n v="2370"/>
    <m/>
    <m/>
    <m/>
    <m/>
    <m/>
    <m/>
    <m/>
    <m/>
    <m/>
    <m/>
    <m/>
    <m/>
    <m/>
    <m/>
    <m/>
    <m/>
    <m/>
    <m/>
    <m/>
    <m/>
    <m/>
    <m/>
    <m/>
    <m/>
    <m/>
    <m/>
    <m/>
    <m/>
    <m/>
    <m/>
    <m/>
    <m/>
    <m/>
    <m/>
    <m/>
    <n v="0.16"/>
    <n v="0"/>
    <n v="0"/>
    <n v="0"/>
    <n v="0"/>
    <n v="0"/>
    <n v="0"/>
    <n v="0"/>
    <n v="0"/>
    <n v="0"/>
    <n v="0"/>
    <n v="0"/>
    <n v="0"/>
    <n v="0.16"/>
    <m/>
    <m/>
    <m/>
    <m/>
    <m/>
    <m/>
    <m/>
    <m/>
    <m/>
    <m/>
    <m/>
    <m/>
    <m/>
    <m/>
    <m/>
    <m/>
    <m/>
    <m/>
    <m/>
    <m/>
    <m/>
    <m/>
    <m/>
    <m/>
    <m/>
    <m/>
    <m/>
    <m/>
    <m/>
    <m/>
    <m/>
    <m/>
    <m/>
    <m/>
  </r>
  <r>
    <m/>
    <m/>
    <s v="ZBTO"/>
    <m/>
    <m/>
    <s v="9517863210-10"/>
    <m/>
    <s v="Stocks"/>
    <m/>
    <x v="4"/>
    <x v="7"/>
    <m/>
    <m/>
    <x v="0"/>
    <m/>
    <m/>
    <m/>
    <m/>
    <m/>
    <m/>
    <m/>
    <s v="TATA BLUESCOPE STEEL PRIVATE LIMITE"/>
    <n v="3471802"/>
    <s v="PPGL C Y300PL SPL8 0.52BMT(0.60TPT)X1220"/>
    <m/>
    <m/>
    <m/>
    <m/>
    <m/>
    <s v="B17"/>
    <s v="Y300PL"/>
    <s v="SPL8"/>
    <n v="0.52"/>
    <n v="1220"/>
    <n v="345"/>
    <m/>
    <m/>
    <m/>
    <m/>
    <m/>
    <m/>
    <m/>
    <m/>
    <m/>
    <m/>
    <m/>
    <m/>
    <m/>
    <m/>
    <m/>
    <m/>
    <m/>
    <m/>
    <m/>
    <m/>
    <m/>
    <m/>
    <m/>
    <m/>
    <m/>
    <m/>
    <m/>
    <m/>
    <m/>
    <m/>
    <m/>
    <m/>
    <m/>
    <m/>
    <m/>
    <n v="5"/>
    <n v="0"/>
    <n v="0"/>
    <n v="0"/>
    <n v="0"/>
    <n v="0"/>
    <n v="0"/>
    <n v="5"/>
    <n v="0"/>
    <n v="0"/>
    <n v="0"/>
    <n v="0"/>
    <n v="5"/>
    <n v="0"/>
    <m/>
    <m/>
    <m/>
    <m/>
    <m/>
    <m/>
    <m/>
    <m/>
    <m/>
    <m/>
    <m/>
    <m/>
    <m/>
    <m/>
    <m/>
    <m/>
    <m/>
    <m/>
    <m/>
    <m/>
    <m/>
    <m/>
    <m/>
    <m/>
    <m/>
    <m/>
    <m/>
    <m/>
    <m/>
    <m/>
    <m/>
    <m/>
    <m/>
    <m/>
  </r>
  <r>
    <m/>
    <m/>
    <s v="ZBTO"/>
    <m/>
    <m/>
    <s v="9517879659-3"/>
    <m/>
    <s v="Stocks"/>
    <m/>
    <x v="2"/>
    <x v="10"/>
    <m/>
    <m/>
    <x v="0"/>
    <m/>
    <m/>
    <m/>
    <m/>
    <m/>
    <m/>
    <m/>
    <s v="BMW VENTURES LIMITED"/>
    <n v="3777535"/>
    <s v="GP COIL TATGPH GP02 0.400X900"/>
    <m/>
    <m/>
    <m/>
    <m/>
    <m/>
    <s v="C05"/>
    <s v="TATGPH"/>
    <s v="GP02"/>
    <n v="0.4"/>
    <n v="900"/>
    <m/>
    <m/>
    <m/>
    <m/>
    <m/>
    <m/>
    <m/>
    <m/>
    <m/>
    <m/>
    <m/>
    <m/>
    <m/>
    <m/>
    <m/>
    <m/>
    <m/>
    <m/>
    <m/>
    <m/>
    <m/>
    <m/>
    <m/>
    <m/>
    <m/>
    <m/>
    <m/>
    <m/>
    <m/>
    <m/>
    <m/>
    <m/>
    <m/>
    <m/>
    <m/>
    <m/>
    <n v="2.4300000000000002"/>
    <n v="0"/>
    <n v="0"/>
    <n v="0"/>
    <n v="0"/>
    <n v="0"/>
    <n v="0"/>
    <n v="2.4300000000000002"/>
    <n v="0"/>
    <n v="2.4300000000000002"/>
    <n v="0"/>
    <n v="0"/>
    <n v="0"/>
    <n v="0"/>
    <m/>
    <m/>
    <m/>
    <m/>
    <m/>
    <m/>
    <m/>
    <m/>
    <m/>
    <m/>
    <m/>
    <m/>
    <m/>
    <m/>
    <m/>
    <m/>
    <m/>
    <m/>
    <m/>
    <m/>
    <m/>
    <m/>
    <m/>
    <m/>
    <m/>
    <m/>
    <m/>
    <m/>
    <m/>
    <m/>
    <m/>
    <m/>
    <m/>
    <m/>
  </r>
  <r>
    <m/>
    <m/>
    <s v="ZBTO"/>
    <m/>
    <m/>
    <s v="9517995509-5"/>
    <m/>
    <s v="Stocks"/>
    <m/>
    <x v="2"/>
    <x v="10"/>
    <m/>
    <m/>
    <x v="0"/>
    <m/>
    <m/>
    <m/>
    <m/>
    <m/>
    <m/>
    <m/>
    <s v="BAJRANG STEEL (SALES) CORPORATION"/>
    <n v="3708867"/>
    <s v="GP COIL TATGPH GP02 0.300X900"/>
    <m/>
    <m/>
    <m/>
    <m/>
    <m/>
    <s v="C05"/>
    <s v="TATGPH"/>
    <s v="GP02"/>
    <n v="0.3"/>
    <n v="900"/>
    <m/>
    <m/>
    <m/>
    <m/>
    <m/>
    <m/>
    <m/>
    <m/>
    <m/>
    <m/>
    <m/>
    <m/>
    <m/>
    <m/>
    <m/>
    <m/>
    <m/>
    <m/>
    <m/>
    <m/>
    <m/>
    <m/>
    <m/>
    <m/>
    <m/>
    <m/>
    <m/>
    <m/>
    <m/>
    <m/>
    <m/>
    <m/>
    <m/>
    <m/>
    <m/>
    <m/>
    <n v="4.1100000000000003"/>
    <n v="0"/>
    <n v="0"/>
    <n v="0"/>
    <n v="0"/>
    <n v="0"/>
    <n v="0"/>
    <n v="4.1100000000000003"/>
    <n v="0"/>
    <n v="4.1100000000000003"/>
    <n v="0"/>
    <n v="0"/>
    <n v="0"/>
    <n v="0"/>
    <m/>
    <m/>
    <m/>
    <m/>
    <m/>
    <m/>
    <m/>
    <m/>
    <m/>
    <m/>
    <m/>
    <m/>
    <m/>
    <m/>
    <m/>
    <m/>
    <m/>
    <m/>
    <m/>
    <m/>
    <m/>
    <m/>
    <m/>
    <m/>
    <m/>
    <m/>
    <m/>
    <m/>
    <m/>
    <m/>
    <m/>
    <m/>
    <m/>
    <m/>
  </r>
  <r>
    <m/>
    <m/>
    <s v="ZBTO"/>
    <m/>
    <m/>
    <s v="9518125554-3"/>
    <m/>
    <s v="Stocks"/>
    <m/>
    <x v="2"/>
    <x v="2"/>
    <m/>
    <m/>
    <x v="0"/>
    <m/>
    <m/>
    <m/>
    <m/>
    <m/>
    <m/>
    <m/>
    <s v="BMW VENTURES LIMITED"/>
    <n v="1851133"/>
    <s v="GP SHEET SOFT-TATXGP-GK09-0.35X900"/>
    <m/>
    <m/>
    <m/>
    <m/>
    <m/>
    <s v="B11"/>
    <s v="TATXGP"/>
    <s v="GK09"/>
    <n v="0.35"/>
    <n v="900"/>
    <n v="2370"/>
    <m/>
    <m/>
    <m/>
    <m/>
    <m/>
    <m/>
    <m/>
    <m/>
    <m/>
    <m/>
    <m/>
    <m/>
    <m/>
    <m/>
    <m/>
    <m/>
    <m/>
    <m/>
    <m/>
    <m/>
    <m/>
    <m/>
    <m/>
    <m/>
    <m/>
    <m/>
    <m/>
    <m/>
    <m/>
    <m/>
    <m/>
    <m/>
    <m/>
    <m/>
    <m/>
    <n v="12.14"/>
    <n v="0"/>
    <n v="0"/>
    <n v="0"/>
    <n v="0"/>
    <n v="0"/>
    <n v="0"/>
    <n v="12.14"/>
    <n v="0"/>
    <n v="12.14"/>
    <n v="0"/>
    <n v="0"/>
    <n v="0"/>
    <n v="0"/>
    <m/>
    <m/>
    <m/>
    <m/>
    <m/>
    <m/>
    <m/>
    <m/>
    <m/>
    <m/>
    <m/>
    <m/>
    <m/>
    <m/>
    <m/>
    <m/>
    <m/>
    <m/>
    <m/>
    <m/>
    <m/>
    <m/>
    <m/>
    <m/>
    <m/>
    <m/>
    <m/>
    <m/>
    <m/>
    <m/>
    <m/>
    <m/>
    <m/>
    <m/>
  </r>
  <r>
    <m/>
    <m/>
    <s v="ZBTO"/>
    <m/>
    <m/>
    <s v="9518135983-1"/>
    <m/>
    <s v="Stocks"/>
    <m/>
    <x v="4"/>
    <x v="7"/>
    <m/>
    <m/>
    <x v="0"/>
    <m/>
    <m/>
    <m/>
    <m/>
    <m/>
    <m/>
    <m/>
    <s v="TATA BLUESCOPE STEEL PRIVATE LIMITE"/>
    <n v="1633706"/>
    <s v="PPGL C Y550 HPL3 0.42BMT(0.50TPT)X1220"/>
    <m/>
    <m/>
    <m/>
    <m/>
    <m/>
    <s v="B18"/>
    <s v="Y550PL"/>
    <s v="HPL3"/>
    <n v="0.42"/>
    <n v="1220"/>
    <m/>
    <m/>
    <m/>
    <m/>
    <m/>
    <m/>
    <m/>
    <m/>
    <m/>
    <m/>
    <m/>
    <m/>
    <m/>
    <m/>
    <m/>
    <m/>
    <m/>
    <m/>
    <m/>
    <m/>
    <m/>
    <m/>
    <m/>
    <m/>
    <m/>
    <m/>
    <m/>
    <m/>
    <m/>
    <m/>
    <m/>
    <m/>
    <m/>
    <m/>
    <m/>
    <m/>
    <n v="4.92"/>
    <n v="0"/>
    <n v="0"/>
    <n v="0"/>
    <n v="0"/>
    <n v="0"/>
    <n v="0"/>
    <n v="4.92"/>
    <n v="0"/>
    <n v="0"/>
    <n v="0"/>
    <n v="0"/>
    <n v="4.92"/>
    <n v="0"/>
    <m/>
    <m/>
    <m/>
    <m/>
    <m/>
    <m/>
    <m/>
    <m/>
    <m/>
    <m/>
    <m/>
    <m/>
    <m/>
    <m/>
    <m/>
    <m/>
    <m/>
    <m/>
    <m/>
    <m/>
    <m/>
    <m/>
    <m/>
    <m/>
    <m/>
    <m/>
    <m/>
    <m/>
    <m/>
    <m/>
    <m/>
    <m/>
    <m/>
    <m/>
  </r>
  <r>
    <m/>
    <m/>
    <s v="ZBTO"/>
    <m/>
    <m/>
    <s v="9518136786-6"/>
    <m/>
    <s v="Stocks"/>
    <m/>
    <x v="3"/>
    <x v="7"/>
    <m/>
    <m/>
    <x v="0"/>
    <m/>
    <m/>
    <m/>
    <m/>
    <m/>
    <m/>
    <m/>
    <s v="TATA BLUESCOPE STEEL PRIVATE LIMITE"/>
    <n v="3856039"/>
    <s v="GL COIL HARD  Y550GL M306 0.380X1000"/>
    <m/>
    <m/>
    <m/>
    <m/>
    <m/>
    <s v="B04"/>
    <s v="Y550GL"/>
    <s v="M306"/>
    <n v="0.38"/>
    <n v="1000"/>
    <m/>
    <m/>
    <m/>
    <m/>
    <m/>
    <m/>
    <m/>
    <m/>
    <m/>
    <m/>
    <m/>
    <m/>
    <m/>
    <m/>
    <m/>
    <m/>
    <m/>
    <m/>
    <m/>
    <m/>
    <m/>
    <m/>
    <m/>
    <m/>
    <m/>
    <m/>
    <m/>
    <m/>
    <m/>
    <m/>
    <m/>
    <m/>
    <m/>
    <m/>
    <m/>
    <m/>
    <n v="5.9499999999999993"/>
    <n v="0"/>
    <n v="0"/>
    <n v="0"/>
    <n v="0"/>
    <n v="0"/>
    <n v="0"/>
    <n v="5.9499999999999993"/>
    <n v="0"/>
    <n v="0"/>
    <n v="0"/>
    <n v="0"/>
    <n v="5.9499999999999993"/>
    <n v="0"/>
    <m/>
    <m/>
    <m/>
    <m/>
    <m/>
    <m/>
    <m/>
    <m/>
    <m/>
    <m/>
    <m/>
    <m/>
    <m/>
    <m/>
    <m/>
    <m/>
    <m/>
    <m/>
    <m/>
    <m/>
    <m/>
    <m/>
    <m/>
    <m/>
    <m/>
    <m/>
    <m/>
    <m/>
    <m/>
    <m/>
    <m/>
    <m/>
    <m/>
    <m/>
  </r>
  <r>
    <m/>
    <m/>
    <s v="ZBTO"/>
    <m/>
    <m/>
    <s v="9518150929-2"/>
    <m/>
    <s v="Stocks"/>
    <m/>
    <x v="2"/>
    <x v="6"/>
    <m/>
    <m/>
    <x v="0"/>
    <m/>
    <m/>
    <m/>
    <m/>
    <m/>
    <m/>
    <m/>
    <s v="ANM ISPAT PRIVATE LIMITED"/>
    <n v="1851106"/>
    <s v="GP COIL SOFT-TATXGP-GK09-0.6X1250"/>
    <m/>
    <m/>
    <m/>
    <m/>
    <m/>
    <s v="C02"/>
    <s v="TATXGP"/>
    <s v="GK09"/>
    <n v="0.6"/>
    <n v="1250"/>
    <m/>
    <m/>
    <m/>
    <m/>
    <m/>
    <m/>
    <m/>
    <m/>
    <m/>
    <m/>
    <m/>
    <m/>
    <m/>
    <m/>
    <m/>
    <m/>
    <m/>
    <m/>
    <m/>
    <m/>
    <m/>
    <m/>
    <m/>
    <m/>
    <m/>
    <m/>
    <m/>
    <m/>
    <m/>
    <m/>
    <m/>
    <m/>
    <m/>
    <m/>
    <m/>
    <m/>
    <n v="3.89"/>
    <n v="0"/>
    <n v="0"/>
    <n v="0"/>
    <n v="0"/>
    <n v="0"/>
    <n v="0"/>
    <n v="3.89"/>
    <n v="0"/>
    <n v="3.89"/>
    <n v="0"/>
    <n v="0"/>
    <n v="0"/>
    <n v="0"/>
    <m/>
    <m/>
    <m/>
    <m/>
    <m/>
    <m/>
    <m/>
    <m/>
    <m/>
    <m/>
    <m/>
    <m/>
    <m/>
    <m/>
    <m/>
    <m/>
    <m/>
    <m/>
    <m/>
    <m/>
    <m/>
    <m/>
    <m/>
    <m/>
    <m/>
    <m/>
    <m/>
    <m/>
    <m/>
    <m/>
    <m/>
    <m/>
    <m/>
    <m/>
  </r>
  <r>
    <m/>
    <m/>
    <s v="ZBTO"/>
    <m/>
    <m/>
    <s v="9518151282-2"/>
    <m/>
    <s v="Stocks"/>
    <m/>
    <x v="1"/>
    <x v="5"/>
    <m/>
    <m/>
    <x v="0"/>
    <m/>
    <m/>
    <m/>
    <m/>
    <m/>
    <m/>
    <m/>
    <s v="E-CON PACKAGING PVT. LTD."/>
    <n v="3854918"/>
    <s v="CR COIL TATXXD BT01 1.500X1320"/>
    <m/>
    <m/>
    <m/>
    <m/>
    <m/>
    <s v="C01"/>
    <s v="TATXXD"/>
    <s v="BT01"/>
    <n v="1.5"/>
    <n v="1320"/>
    <m/>
    <m/>
    <m/>
    <m/>
    <m/>
    <m/>
    <m/>
    <m/>
    <m/>
    <m/>
    <m/>
    <m/>
    <m/>
    <m/>
    <m/>
    <m/>
    <m/>
    <m/>
    <m/>
    <m/>
    <m/>
    <m/>
    <m/>
    <m/>
    <m/>
    <m/>
    <m/>
    <m/>
    <m/>
    <m/>
    <m/>
    <m/>
    <m/>
    <m/>
    <m/>
    <m/>
    <n v="11.03"/>
    <n v="0"/>
    <n v="0"/>
    <n v="0"/>
    <n v="0"/>
    <n v="0"/>
    <n v="0"/>
    <n v="11.03"/>
    <n v="0"/>
    <n v="11.03"/>
    <n v="0"/>
    <n v="0"/>
    <n v="0"/>
    <n v="0"/>
    <m/>
    <m/>
    <m/>
    <m/>
    <m/>
    <m/>
    <m/>
    <m/>
    <m/>
    <m/>
    <m/>
    <m/>
    <m/>
    <m/>
    <m/>
    <m/>
    <m/>
    <m/>
    <m/>
    <m/>
    <m/>
    <m/>
    <m/>
    <m/>
    <m/>
    <m/>
    <m/>
    <m/>
    <m/>
    <m/>
    <m/>
    <m/>
    <m/>
    <m/>
  </r>
  <r>
    <m/>
    <m/>
    <s v="ZBTO"/>
    <m/>
    <m/>
    <s v="9518182582-2"/>
    <m/>
    <s v="Stocks"/>
    <m/>
    <x v="1"/>
    <x v="5"/>
    <m/>
    <m/>
    <x v="0"/>
    <m/>
    <m/>
    <m/>
    <m/>
    <m/>
    <m/>
    <m/>
    <s v="PRABHU PACKAGING INDUSTRIES"/>
    <n v="3867647"/>
    <s v="CR COIL TATXXD BT03 0.600X1120"/>
    <m/>
    <m/>
    <m/>
    <m/>
    <m/>
    <s v="C01"/>
    <s v="TATXXD"/>
    <s v="BT03"/>
    <n v="0.6"/>
    <n v="1120"/>
    <m/>
    <m/>
    <m/>
    <m/>
    <m/>
    <m/>
    <m/>
    <m/>
    <m/>
    <m/>
    <m/>
    <m/>
    <m/>
    <m/>
    <m/>
    <m/>
    <m/>
    <m/>
    <m/>
    <m/>
    <m/>
    <m/>
    <m/>
    <m/>
    <m/>
    <m/>
    <m/>
    <m/>
    <m/>
    <m/>
    <m/>
    <m/>
    <m/>
    <m/>
    <m/>
    <m/>
    <n v="5.375"/>
    <n v="0"/>
    <n v="0"/>
    <n v="0"/>
    <n v="0"/>
    <n v="0"/>
    <n v="0"/>
    <n v="5.375"/>
    <n v="0"/>
    <n v="5.375"/>
    <n v="0"/>
    <n v="0"/>
    <n v="0"/>
    <n v="0"/>
    <m/>
    <m/>
    <m/>
    <m/>
    <m/>
    <m/>
    <m/>
    <m/>
    <m/>
    <m/>
    <m/>
    <m/>
    <m/>
    <m/>
    <m/>
    <m/>
    <m/>
    <m/>
    <m/>
    <m/>
    <m/>
    <m/>
    <m/>
    <m/>
    <m/>
    <m/>
    <m/>
    <m/>
    <m/>
    <m/>
    <m/>
    <m/>
    <m/>
    <m/>
  </r>
  <r>
    <m/>
    <m/>
    <s v="ZBTO"/>
    <m/>
    <m/>
    <s v="9518196034-2"/>
    <m/>
    <s v="Stocks"/>
    <m/>
    <x v="1"/>
    <x v="5"/>
    <m/>
    <m/>
    <x v="0"/>
    <m/>
    <m/>
    <m/>
    <m/>
    <m/>
    <m/>
    <m/>
    <s v="PRABHU PACKAGING INDUSTRIES"/>
    <n v="3867647"/>
    <s v="CR COIL TATXXD BT03 0.600X1120"/>
    <m/>
    <m/>
    <m/>
    <m/>
    <m/>
    <s v="C01"/>
    <s v="TATXXD"/>
    <s v="BT03"/>
    <n v="0.6"/>
    <n v="1120"/>
    <m/>
    <m/>
    <m/>
    <m/>
    <m/>
    <m/>
    <m/>
    <m/>
    <m/>
    <m/>
    <m/>
    <m/>
    <m/>
    <m/>
    <m/>
    <m/>
    <m/>
    <m/>
    <m/>
    <m/>
    <m/>
    <m/>
    <m/>
    <m/>
    <m/>
    <m/>
    <m/>
    <m/>
    <m/>
    <m/>
    <m/>
    <m/>
    <m/>
    <m/>
    <m/>
    <m/>
    <n v="44.87"/>
    <n v="0"/>
    <n v="0"/>
    <n v="0"/>
    <n v="0"/>
    <n v="0"/>
    <n v="0"/>
    <n v="44.87"/>
    <n v="0"/>
    <n v="44.87"/>
    <n v="0"/>
    <n v="0"/>
    <n v="0"/>
    <n v="0"/>
    <m/>
    <m/>
    <m/>
    <m/>
    <m/>
    <m/>
    <m/>
    <m/>
    <m/>
    <m/>
    <m/>
    <m/>
    <m/>
    <m/>
    <m/>
    <m/>
    <m/>
    <m/>
    <m/>
    <m/>
    <m/>
    <m/>
    <m/>
    <m/>
    <m/>
    <m/>
    <m/>
    <m/>
    <m/>
    <m/>
    <m/>
    <m/>
    <m/>
    <m/>
  </r>
  <r>
    <m/>
    <m/>
    <s v="ZBTO"/>
    <m/>
    <m/>
    <s v="9518202442-13"/>
    <m/>
    <s v="Stocks"/>
    <m/>
    <x v="3"/>
    <x v="5"/>
    <m/>
    <m/>
    <x v="0"/>
    <m/>
    <m/>
    <m/>
    <m/>
    <m/>
    <m/>
    <m/>
    <s v="Manaksia Steels Limited"/>
    <n v="2427832"/>
    <s v="GL COIL HARD  Y550GL H7GL 0.400X1245"/>
    <m/>
    <m/>
    <m/>
    <m/>
    <m/>
    <s v="B04"/>
    <s v="Y550GL"/>
    <s v="H7GL"/>
    <n v="0.4"/>
    <n v="1245"/>
    <m/>
    <m/>
    <m/>
    <m/>
    <m/>
    <m/>
    <m/>
    <m/>
    <m/>
    <m/>
    <m/>
    <m/>
    <m/>
    <m/>
    <m/>
    <m/>
    <m/>
    <m/>
    <m/>
    <m/>
    <m/>
    <m/>
    <m/>
    <m/>
    <m/>
    <m/>
    <m/>
    <m/>
    <m/>
    <m/>
    <m/>
    <m/>
    <m/>
    <m/>
    <m/>
    <m/>
    <n v="14.19"/>
    <n v="0"/>
    <n v="0"/>
    <n v="0"/>
    <n v="0"/>
    <n v="0"/>
    <n v="0"/>
    <n v="14.19"/>
    <n v="0"/>
    <n v="14.19"/>
    <n v="0"/>
    <n v="0"/>
    <n v="0"/>
    <n v="0"/>
    <m/>
    <m/>
    <m/>
    <m/>
    <m/>
    <m/>
    <m/>
    <m/>
    <m/>
    <m/>
    <m/>
    <m/>
    <m/>
    <m/>
    <m/>
    <m/>
    <m/>
    <m/>
    <m/>
    <m/>
    <m/>
    <m/>
    <m/>
    <m/>
    <m/>
    <m/>
    <m/>
    <m/>
    <m/>
    <m/>
    <m/>
    <m/>
    <m/>
    <m/>
  </r>
  <r>
    <m/>
    <m/>
    <s v="ZBTO"/>
    <m/>
    <m/>
    <s v="9518202442-6"/>
    <m/>
    <s v="Stocks"/>
    <m/>
    <x v="3"/>
    <x v="5"/>
    <m/>
    <m/>
    <x v="0"/>
    <m/>
    <m/>
    <m/>
    <m/>
    <m/>
    <m/>
    <m/>
    <s v="Manaksia Steels Limited"/>
    <n v="2427835"/>
    <s v="GL COIL HARD  Y550GL H7GL 0.350X1245"/>
    <m/>
    <m/>
    <m/>
    <m/>
    <m/>
    <s v="B04"/>
    <s v="Y550GL"/>
    <s v="H7GL"/>
    <n v="0.35"/>
    <n v="1245"/>
    <m/>
    <m/>
    <m/>
    <m/>
    <m/>
    <m/>
    <m/>
    <m/>
    <m/>
    <m/>
    <m/>
    <m/>
    <m/>
    <m/>
    <m/>
    <m/>
    <m/>
    <m/>
    <m/>
    <m/>
    <m/>
    <m/>
    <m/>
    <m/>
    <m/>
    <m/>
    <m/>
    <m/>
    <m/>
    <m/>
    <m/>
    <m/>
    <m/>
    <m/>
    <m/>
    <m/>
    <n v="7.2249999999999996"/>
    <n v="0"/>
    <n v="0"/>
    <n v="0"/>
    <n v="0"/>
    <n v="0"/>
    <n v="0"/>
    <n v="7.2249999999999996"/>
    <n v="0"/>
    <n v="7.2249999999999996"/>
    <n v="0"/>
    <n v="0"/>
    <n v="0"/>
    <n v="0"/>
    <m/>
    <m/>
    <m/>
    <m/>
    <m/>
    <m/>
    <m/>
    <m/>
    <m/>
    <m/>
    <m/>
    <m/>
    <m/>
    <m/>
    <m/>
    <m/>
    <m/>
    <m/>
    <m/>
    <m/>
    <m/>
    <m/>
    <m/>
    <m/>
    <m/>
    <m/>
    <m/>
    <m/>
    <m/>
    <m/>
    <m/>
    <m/>
    <m/>
    <m/>
  </r>
  <r>
    <m/>
    <m/>
    <s v="ZBTO"/>
    <m/>
    <m/>
    <s v="9518202725-2"/>
    <m/>
    <s v="Stocks"/>
    <m/>
    <x v="3"/>
    <x v="13"/>
    <m/>
    <m/>
    <x v="0"/>
    <m/>
    <m/>
    <m/>
    <m/>
    <m/>
    <m/>
    <m/>
    <s v="MTE STRUCTURES LIMITED"/>
    <n v="3865176"/>
    <s v="GL COIL HARD  Y550GL HGL6 0.900X1250"/>
    <m/>
    <m/>
    <m/>
    <m/>
    <m/>
    <s v="B04"/>
    <s v="Y550GL"/>
    <s v="HGL6"/>
    <n v="0.9"/>
    <n v="1250"/>
    <m/>
    <m/>
    <m/>
    <m/>
    <m/>
    <m/>
    <m/>
    <m/>
    <m/>
    <m/>
    <m/>
    <m/>
    <m/>
    <m/>
    <m/>
    <m/>
    <m/>
    <m/>
    <m/>
    <m/>
    <m/>
    <m/>
    <m/>
    <m/>
    <m/>
    <m/>
    <m/>
    <m/>
    <m/>
    <m/>
    <m/>
    <m/>
    <m/>
    <m/>
    <m/>
    <m/>
    <n v="16.02"/>
    <n v="0"/>
    <n v="0"/>
    <n v="0"/>
    <n v="0"/>
    <n v="0"/>
    <n v="0"/>
    <n v="16.02"/>
    <n v="0"/>
    <n v="16.02"/>
    <n v="0"/>
    <n v="0"/>
    <n v="0"/>
    <n v="0"/>
    <m/>
    <m/>
    <m/>
    <m/>
    <m/>
    <m/>
    <m/>
    <m/>
    <m/>
    <m/>
    <m/>
    <m/>
    <m/>
    <m/>
    <m/>
    <m/>
    <m/>
    <m/>
    <m/>
    <m/>
    <m/>
    <m/>
    <m/>
    <m/>
    <m/>
    <m/>
    <m/>
    <m/>
    <m/>
    <m/>
    <m/>
    <m/>
    <m/>
    <m/>
  </r>
  <r>
    <m/>
    <m/>
    <s v="ZBTO"/>
    <m/>
    <m/>
    <s v="9518205758-4"/>
    <m/>
    <s v="Stocks"/>
    <m/>
    <x v="3"/>
    <x v="7"/>
    <m/>
    <m/>
    <x v="0"/>
    <m/>
    <m/>
    <m/>
    <m/>
    <m/>
    <m/>
    <m/>
    <s v="TATA BLUESCOPE STEEL PRIVATE LIMITE"/>
    <n v="1881969"/>
    <s v="GL C YS550 H6GL 0.45BMT(0.50TCT)X1220"/>
    <m/>
    <m/>
    <m/>
    <m/>
    <m/>
    <s v="B04"/>
    <s v="Y550GL"/>
    <s v="H6GL"/>
    <n v="0.45"/>
    <n v="1220"/>
    <m/>
    <m/>
    <m/>
    <m/>
    <m/>
    <m/>
    <m/>
    <m/>
    <m/>
    <m/>
    <m/>
    <m/>
    <m/>
    <m/>
    <m/>
    <m/>
    <m/>
    <m/>
    <m/>
    <m/>
    <m/>
    <m/>
    <m/>
    <m/>
    <m/>
    <m/>
    <m/>
    <m/>
    <m/>
    <m/>
    <m/>
    <m/>
    <m/>
    <m/>
    <m/>
    <m/>
    <n v="12.864999999999998"/>
    <n v="0"/>
    <n v="0"/>
    <n v="0"/>
    <n v="0"/>
    <n v="0"/>
    <n v="0"/>
    <n v="12.864999999999998"/>
    <n v="0"/>
    <n v="0"/>
    <n v="0"/>
    <n v="0"/>
    <n v="12.864999999999998"/>
    <n v="0"/>
    <m/>
    <m/>
    <m/>
    <m/>
    <m/>
    <m/>
    <m/>
    <m/>
    <m/>
    <m/>
    <m/>
    <m/>
    <m/>
    <m/>
    <m/>
    <m/>
    <m/>
    <m/>
    <m/>
    <m/>
    <m/>
    <m/>
    <m/>
    <m/>
    <m/>
    <m/>
    <m/>
    <m/>
    <m/>
    <m/>
    <m/>
    <m/>
    <m/>
    <m/>
  </r>
  <r>
    <m/>
    <m/>
    <s v="ZBTO"/>
    <m/>
    <m/>
    <s v="9518208026-3"/>
    <m/>
    <s v="Stocks"/>
    <m/>
    <x v="4"/>
    <x v="7"/>
    <m/>
    <m/>
    <x v="0"/>
    <m/>
    <m/>
    <m/>
    <m/>
    <m/>
    <m/>
    <m/>
    <s v="TATA BLUESCOPE STEEL PRIVATE LIMITE"/>
    <n v="1633706"/>
    <s v="PPGL C Y550 HPL3 0.42BMT(0.50TPT)X1220"/>
    <m/>
    <m/>
    <m/>
    <m/>
    <m/>
    <s v="B18"/>
    <s v="Y550PL"/>
    <s v="HPL3"/>
    <n v="0.42"/>
    <n v="1220"/>
    <n v="5939"/>
    <m/>
    <m/>
    <m/>
    <m/>
    <m/>
    <m/>
    <m/>
    <m/>
    <m/>
    <m/>
    <m/>
    <m/>
    <m/>
    <m/>
    <m/>
    <m/>
    <m/>
    <m/>
    <m/>
    <m/>
    <m/>
    <m/>
    <m/>
    <m/>
    <m/>
    <m/>
    <m/>
    <m/>
    <m/>
    <m/>
    <m/>
    <m/>
    <m/>
    <m/>
    <m/>
    <n v="3.7349999999999999"/>
    <n v="0"/>
    <n v="0"/>
    <n v="0"/>
    <n v="0"/>
    <n v="0"/>
    <n v="0"/>
    <n v="3.7349999999999999"/>
    <n v="0"/>
    <n v="0"/>
    <n v="0"/>
    <n v="0"/>
    <n v="3.7349999999999999"/>
    <n v="0"/>
    <m/>
    <m/>
    <m/>
    <m/>
    <m/>
    <m/>
    <m/>
    <m/>
    <m/>
    <m/>
    <m/>
    <m/>
    <m/>
    <m/>
    <m/>
    <m/>
    <m/>
    <m/>
    <m/>
    <m/>
    <m/>
    <m/>
    <m/>
    <m/>
    <m/>
    <m/>
    <m/>
    <m/>
    <m/>
    <m/>
    <m/>
    <m/>
    <m/>
    <m/>
  </r>
  <r>
    <m/>
    <m/>
    <s v="ZBTO"/>
    <m/>
    <m/>
    <s v="9518208026-6"/>
    <m/>
    <s v="Stocks"/>
    <m/>
    <x v="4"/>
    <x v="7"/>
    <m/>
    <m/>
    <x v="0"/>
    <m/>
    <m/>
    <m/>
    <m/>
    <m/>
    <m/>
    <m/>
    <s v="TATA BLUESCOPE STEEL PRIVATE LIMITE"/>
    <n v="1636098"/>
    <s v="PPGL COIL HARD Y550PL HPL3 0.52X1220"/>
    <m/>
    <m/>
    <m/>
    <m/>
    <m/>
    <s v="B18"/>
    <s v="Y550PL"/>
    <s v="HPL3"/>
    <n v="0.52"/>
    <n v="1220"/>
    <m/>
    <m/>
    <m/>
    <m/>
    <m/>
    <m/>
    <m/>
    <m/>
    <m/>
    <m/>
    <m/>
    <m/>
    <m/>
    <m/>
    <m/>
    <m/>
    <m/>
    <m/>
    <m/>
    <m/>
    <m/>
    <m/>
    <m/>
    <m/>
    <m/>
    <m/>
    <m/>
    <m/>
    <m/>
    <m/>
    <m/>
    <m/>
    <m/>
    <m/>
    <m/>
    <m/>
    <n v="3.665"/>
    <n v="0"/>
    <n v="0"/>
    <n v="0"/>
    <n v="0"/>
    <n v="0"/>
    <n v="0"/>
    <n v="3.665"/>
    <n v="0"/>
    <n v="0"/>
    <n v="0"/>
    <n v="0"/>
    <n v="3.665"/>
    <n v="0"/>
    <m/>
    <m/>
    <m/>
    <m/>
    <m/>
    <m/>
    <m/>
    <m/>
    <m/>
    <m/>
    <m/>
    <m/>
    <m/>
    <m/>
    <m/>
    <m/>
    <m/>
    <m/>
    <m/>
    <m/>
    <m/>
    <m/>
    <m/>
    <m/>
    <m/>
    <m/>
    <m/>
    <m/>
    <m/>
    <m/>
    <m/>
    <m/>
    <m/>
    <m/>
  </r>
  <r>
    <m/>
    <m/>
    <s v="ZBTO"/>
    <m/>
    <m/>
    <s v="9518232249-1"/>
    <m/>
    <s v="Stocks"/>
    <m/>
    <x v="1"/>
    <x v="3"/>
    <m/>
    <m/>
    <x v="0"/>
    <m/>
    <m/>
    <m/>
    <m/>
    <m/>
    <m/>
    <m/>
    <s v="RAVINDRA IRON WORKS"/>
    <n v="37862"/>
    <s v="CRCA COIL TATCRC TR15 0.4X1250"/>
    <m/>
    <m/>
    <m/>
    <m/>
    <m/>
    <s v="C01"/>
    <s v="TATCRC"/>
    <s v="TR15"/>
    <n v="0.4"/>
    <n v="1250"/>
    <m/>
    <m/>
    <m/>
    <m/>
    <m/>
    <m/>
    <m/>
    <m/>
    <m/>
    <m/>
    <m/>
    <m/>
    <m/>
    <m/>
    <m/>
    <m/>
    <m/>
    <m/>
    <m/>
    <m/>
    <m/>
    <m/>
    <m/>
    <m/>
    <m/>
    <m/>
    <m/>
    <m/>
    <m/>
    <m/>
    <m/>
    <m/>
    <m/>
    <m/>
    <m/>
    <m/>
    <n v="12.435"/>
    <n v="0"/>
    <n v="0"/>
    <n v="0"/>
    <n v="0"/>
    <n v="0"/>
    <n v="0"/>
    <n v="12.435"/>
    <n v="0"/>
    <n v="12.435"/>
    <n v="0"/>
    <n v="0"/>
    <n v="0"/>
    <n v="0"/>
    <m/>
    <m/>
    <m/>
    <m/>
    <m/>
    <m/>
    <m/>
    <m/>
    <m/>
    <m/>
    <m/>
    <m/>
    <m/>
    <m/>
    <m/>
    <m/>
    <m/>
    <m/>
    <m/>
    <m/>
    <m/>
    <m/>
    <m/>
    <m/>
    <m/>
    <m/>
    <m/>
    <m/>
    <m/>
    <m/>
    <m/>
    <m/>
    <m/>
    <m/>
  </r>
  <r>
    <m/>
    <m/>
    <s v="ZBTO"/>
    <m/>
    <m/>
    <s v="9518234941-4"/>
    <m/>
    <s v="Stocks"/>
    <m/>
    <x v="2"/>
    <x v="2"/>
    <m/>
    <m/>
    <x v="0"/>
    <m/>
    <m/>
    <m/>
    <m/>
    <m/>
    <m/>
    <m/>
    <s v="AGARWAL STEEL TRADERS"/>
    <n v="1191956"/>
    <s v="GP COIL SOFT-TATXGP-GK09-0.35X900"/>
    <m/>
    <m/>
    <m/>
    <m/>
    <m/>
    <s v="C02"/>
    <s v="TATXGP"/>
    <s v="GK09"/>
    <n v="0.35"/>
    <n v="900"/>
    <m/>
    <m/>
    <m/>
    <m/>
    <m/>
    <m/>
    <m/>
    <m/>
    <m/>
    <m/>
    <m/>
    <m/>
    <m/>
    <m/>
    <m/>
    <m/>
    <m/>
    <m/>
    <m/>
    <m/>
    <m/>
    <m/>
    <m/>
    <m/>
    <m/>
    <m/>
    <m/>
    <m/>
    <m/>
    <m/>
    <m/>
    <m/>
    <m/>
    <m/>
    <m/>
    <m/>
    <n v="4.17"/>
    <n v="0"/>
    <n v="0"/>
    <n v="0"/>
    <n v="0"/>
    <n v="0"/>
    <n v="0"/>
    <n v="4.17"/>
    <n v="0"/>
    <n v="4.17"/>
    <n v="0"/>
    <n v="0"/>
    <n v="0"/>
    <n v="0"/>
    <m/>
    <m/>
    <m/>
    <m/>
    <m/>
    <m/>
    <m/>
    <m/>
    <m/>
    <m/>
    <m/>
    <m/>
    <m/>
    <m/>
    <m/>
    <m/>
    <m/>
    <m/>
    <m/>
    <m/>
    <m/>
    <m/>
    <m/>
    <m/>
    <m/>
    <m/>
    <m/>
    <m/>
    <m/>
    <m/>
    <m/>
    <m/>
    <m/>
    <m/>
  </r>
  <r>
    <m/>
    <m/>
    <s v="ZBTO"/>
    <m/>
    <m/>
    <s v="9518239567-1"/>
    <m/>
    <s v="Stocks"/>
    <m/>
    <x v="2"/>
    <x v="10"/>
    <m/>
    <m/>
    <x v="0"/>
    <m/>
    <m/>
    <m/>
    <m/>
    <m/>
    <m/>
    <m/>
    <s v="BAJRANG STEEL (SALES) CORPORATION"/>
    <n v="3708867"/>
    <s v="GP COIL TATGPH GP02 0.300X900"/>
    <m/>
    <m/>
    <m/>
    <m/>
    <m/>
    <s v="C05"/>
    <s v="TATGPH"/>
    <s v="GP02"/>
    <n v="0.3"/>
    <n v="900"/>
    <m/>
    <m/>
    <m/>
    <m/>
    <m/>
    <m/>
    <m/>
    <m/>
    <m/>
    <m/>
    <m/>
    <m/>
    <m/>
    <m/>
    <m/>
    <m/>
    <m/>
    <m/>
    <m/>
    <m/>
    <m/>
    <m/>
    <m/>
    <m/>
    <m/>
    <m/>
    <m/>
    <m/>
    <m/>
    <m/>
    <m/>
    <m/>
    <m/>
    <m/>
    <m/>
    <m/>
    <n v="0.51800000000000002"/>
    <n v="0"/>
    <n v="0"/>
    <n v="0"/>
    <n v="0"/>
    <n v="0"/>
    <n v="0"/>
    <n v="0.51800000000000002"/>
    <n v="0"/>
    <n v="0.51800000000000002"/>
    <n v="0"/>
    <n v="0"/>
    <n v="0"/>
    <n v="0"/>
    <m/>
    <m/>
    <m/>
    <m/>
    <m/>
    <m/>
    <m/>
    <m/>
    <m/>
    <m/>
    <m/>
    <m/>
    <m/>
    <m/>
    <m/>
    <m/>
    <m/>
    <m/>
    <m/>
    <m/>
    <m/>
    <m/>
    <m/>
    <m/>
    <m/>
    <m/>
    <m/>
    <m/>
    <m/>
    <m/>
    <m/>
    <m/>
    <m/>
    <m/>
  </r>
  <r>
    <m/>
    <m/>
    <s v="ZBTO"/>
    <m/>
    <m/>
    <s v="9518242605-4"/>
    <m/>
    <s v="Stocks"/>
    <m/>
    <x v="3"/>
    <x v="13"/>
    <m/>
    <m/>
    <x v="0"/>
    <m/>
    <m/>
    <m/>
    <m/>
    <m/>
    <m/>
    <m/>
    <s v="PENNAR INDUSTRIES LIMITED"/>
    <n v="3886225"/>
    <s v="GL COIL HARD  Y550GL HGL6 0.900X1242"/>
    <m/>
    <m/>
    <m/>
    <m/>
    <m/>
    <s v="B04"/>
    <s v="Y550GL"/>
    <s v="HGL6"/>
    <n v="0.9"/>
    <n v="1242"/>
    <m/>
    <m/>
    <m/>
    <m/>
    <m/>
    <m/>
    <m/>
    <m/>
    <m/>
    <m/>
    <m/>
    <m/>
    <m/>
    <m/>
    <m/>
    <m/>
    <m/>
    <m/>
    <m/>
    <m/>
    <m/>
    <m/>
    <m/>
    <m/>
    <m/>
    <m/>
    <m/>
    <m/>
    <m/>
    <m/>
    <m/>
    <m/>
    <m/>
    <m/>
    <m/>
    <m/>
    <n v="11.115"/>
    <n v="0"/>
    <n v="0"/>
    <n v="0"/>
    <n v="0"/>
    <n v="0"/>
    <n v="0"/>
    <n v="11.115"/>
    <n v="0"/>
    <n v="11.115"/>
    <n v="0"/>
    <n v="0"/>
    <n v="0"/>
    <n v="0"/>
    <m/>
    <m/>
    <m/>
    <m/>
    <m/>
    <m/>
    <m/>
    <m/>
    <m/>
    <m/>
    <m/>
    <m/>
    <m/>
    <m/>
    <m/>
    <m/>
    <m/>
    <m/>
    <m/>
    <m/>
    <m/>
    <m/>
    <m/>
    <m/>
    <m/>
    <m/>
    <m/>
    <m/>
    <m/>
    <m/>
    <m/>
    <m/>
    <m/>
    <m/>
  </r>
  <r>
    <m/>
    <m/>
    <s v="ZBTO"/>
    <m/>
    <m/>
    <s v="9518260868-2"/>
    <m/>
    <s v="Stocks"/>
    <m/>
    <x v="4"/>
    <x v="7"/>
    <m/>
    <m/>
    <x v="0"/>
    <m/>
    <m/>
    <m/>
    <m/>
    <m/>
    <m/>
    <m/>
    <s v="TATA BLUESCOPE STEEL PVT LTD."/>
    <n v="3797658"/>
    <s v="PPGL C Y550 ISC6 0.40BMT(0.45TPT)X1220"/>
    <m/>
    <m/>
    <m/>
    <m/>
    <m/>
    <s v="B18"/>
    <s v="Y550PL"/>
    <s v="ISC6"/>
    <n v="0.4"/>
    <n v="1220"/>
    <n v="610"/>
    <m/>
    <m/>
    <m/>
    <m/>
    <m/>
    <m/>
    <m/>
    <m/>
    <m/>
    <m/>
    <m/>
    <m/>
    <m/>
    <m/>
    <m/>
    <m/>
    <m/>
    <m/>
    <m/>
    <m/>
    <m/>
    <m/>
    <m/>
    <m/>
    <m/>
    <m/>
    <m/>
    <m/>
    <m/>
    <m/>
    <m/>
    <m/>
    <m/>
    <m/>
    <m/>
    <n v="2.31"/>
    <n v="0"/>
    <n v="0"/>
    <n v="0"/>
    <n v="0"/>
    <n v="0"/>
    <n v="0"/>
    <n v="2.31"/>
    <n v="0"/>
    <n v="0"/>
    <n v="0"/>
    <n v="0"/>
    <n v="2.31"/>
    <n v="0"/>
    <m/>
    <m/>
    <m/>
    <m/>
    <m/>
    <m/>
    <m/>
    <m/>
    <m/>
    <m/>
    <m/>
    <m/>
    <m/>
    <m/>
    <m/>
    <m/>
    <m/>
    <m/>
    <m/>
    <m/>
    <m/>
    <m/>
    <m/>
    <m/>
    <m/>
    <m/>
    <m/>
    <m/>
    <m/>
    <m/>
    <m/>
    <m/>
    <m/>
    <m/>
  </r>
  <r>
    <m/>
    <m/>
    <s v="ZBTO"/>
    <m/>
    <m/>
    <s v="9518271741-1"/>
    <m/>
    <s v="Stocks"/>
    <m/>
    <x v="0"/>
    <x v="0"/>
    <m/>
    <m/>
    <x v="0"/>
    <m/>
    <m/>
    <m/>
    <m/>
    <m/>
    <m/>
    <m/>
    <s v="MKT STEELS PRIVATE LIMITED"/>
    <n v="1210097"/>
    <s v="HR COILS-PO IS 1079 HR2 5X1250"/>
    <m/>
    <m/>
    <m/>
    <m/>
    <m/>
    <n v="768"/>
    <s v="THR099"/>
    <s v="HR99"/>
    <n v="5"/>
    <n v="1250"/>
    <m/>
    <m/>
    <m/>
    <m/>
    <m/>
    <m/>
    <m/>
    <m/>
    <m/>
    <m/>
    <m/>
    <m/>
    <m/>
    <m/>
    <m/>
    <m/>
    <m/>
    <m/>
    <m/>
    <m/>
    <m/>
    <m/>
    <m/>
    <m/>
    <m/>
    <m/>
    <m/>
    <m/>
    <m/>
    <m/>
    <m/>
    <m/>
    <m/>
    <m/>
    <m/>
    <m/>
    <n v="23.81"/>
    <n v="0"/>
    <n v="0"/>
    <n v="0"/>
    <n v="0"/>
    <n v="0"/>
    <n v="0"/>
    <n v="23.81"/>
    <n v="0"/>
    <n v="23.81"/>
    <n v="0"/>
    <n v="0"/>
    <n v="0"/>
    <n v="0"/>
    <m/>
    <m/>
    <m/>
    <m/>
    <m/>
    <m/>
    <m/>
    <m/>
    <m/>
    <m/>
    <m/>
    <m/>
    <m/>
    <m/>
    <m/>
    <m/>
    <m/>
    <m/>
    <m/>
    <m/>
    <m/>
    <m/>
    <m/>
    <m/>
    <m/>
    <m/>
    <m/>
    <m/>
    <m/>
    <m/>
    <m/>
    <m/>
    <m/>
    <m/>
  </r>
  <r>
    <m/>
    <m/>
    <s v="ZBTO"/>
    <m/>
    <m/>
    <s v="9518275934-1"/>
    <m/>
    <s v="Stocks"/>
    <m/>
    <x v="1"/>
    <x v="5"/>
    <m/>
    <m/>
    <x v="0"/>
    <m/>
    <m/>
    <m/>
    <m/>
    <m/>
    <m/>
    <m/>
    <s v="Baba Container Manufacturers"/>
    <n v="3867646"/>
    <s v="CR COIL TATXXD BT04 0.600X900"/>
    <m/>
    <m/>
    <m/>
    <m/>
    <m/>
    <s v="C01"/>
    <s v="TATXXD"/>
    <s v="BT04"/>
    <n v="0.6"/>
    <n v="900"/>
    <m/>
    <m/>
    <m/>
    <m/>
    <m/>
    <m/>
    <m/>
    <m/>
    <m/>
    <m/>
    <m/>
    <m/>
    <m/>
    <m/>
    <m/>
    <m/>
    <m/>
    <m/>
    <m/>
    <m/>
    <m/>
    <m/>
    <m/>
    <m/>
    <m/>
    <m/>
    <m/>
    <m/>
    <m/>
    <m/>
    <m/>
    <m/>
    <m/>
    <m/>
    <m/>
    <m/>
    <n v="19.64"/>
    <n v="0"/>
    <n v="0"/>
    <n v="0"/>
    <n v="0"/>
    <n v="0"/>
    <n v="0"/>
    <n v="19.64"/>
    <n v="0"/>
    <n v="19.64"/>
    <n v="0"/>
    <n v="0"/>
    <n v="0"/>
    <n v="0"/>
    <m/>
    <m/>
    <m/>
    <m/>
    <m/>
    <m/>
    <m/>
    <m/>
    <m/>
    <m/>
    <m/>
    <m/>
    <m/>
    <m/>
    <m/>
    <m/>
    <m/>
    <m/>
    <m/>
    <m/>
    <m/>
    <m/>
    <m/>
    <m/>
    <m/>
    <m/>
    <m/>
    <m/>
    <m/>
    <m/>
    <m/>
    <m/>
    <m/>
    <m/>
  </r>
  <r>
    <m/>
    <m/>
    <s v="ZBTO"/>
    <m/>
    <m/>
    <s v="9518275952-2"/>
    <m/>
    <s v="Stocks"/>
    <m/>
    <x v="1"/>
    <x v="5"/>
    <m/>
    <m/>
    <x v="0"/>
    <m/>
    <m/>
    <m/>
    <m/>
    <m/>
    <m/>
    <m/>
    <s v="Baba Container Manufacturers"/>
    <n v="3867647"/>
    <s v="CR COIL TATXXD BT03 0.600X1120"/>
    <m/>
    <m/>
    <m/>
    <m/>
    <m/>
    <s v="C01"/>
    <s v="TATXXD"/>
    <s v="BT03"/>
    <n v="0.6"/>
    <n v="1120"/>
    <m/>
    <m/>
    <m/>
    <m/>
    <m/>
    <m/>
    <m/>
    <m/>
    <m/>
    <m/>
    <m/>
    <m/>
    <m/>
    <m/>
    <m/>
    <m/>
    <m/>
    <m/>
    <m/>
    <m/>
    <m/>
    <m/>
    <m/>
    <m/>
    <m/>
    <m/>
    <m/>
    <m/>
    <m/>
    <m/>
    <m/>
    <m/>
    <m/>
    <m/>
    <m/>
    <m/>
    <n v="72.525000000000006"/>
    <n v="0"/>
    <n v="0"/>
    <n v="0"/>
    <n v="0"/>
    <n v="0"/>
    <n v="0"/>
    <n v="72.525000000000006"/>
    <n v="0"/>
    <n v="72.525000000000006"/>
    <n v="0"/>
    <n v="0"/>
    <n v="0"/>
    <n v="0"/>
    <m/>
    <m/>
    <m/>
    <m/>
    <m/>
    <m/>
    <m/>
    <m/>
    <m/>
    <m/>
    <m/>
    <m/>
    <m/>
    <m/>
    <m/>
    <m/>
    <m/>
    <m/>
    <m/>
    <m/>
    <m/>
    <m/>
    <m/>
    <m/>
    <m/>
    <m/>
    <m/>
    <m/>
    <m/>
    <m/>
    <m/>
    <m/>
    <m/>
    <m/>
  </r>
  <r>
    <m/>
    <m/>
    <s v="ZBTO"/>
    <m/>
    <m/>
    <s v="9518277216-1"/>
    <m/>
    <s v="Stocks"/>
    <m/>
    <x v="4"/>
    <x v="7"/>
    <m/>
    <m/>
    <x v="0"/>
    <m/>
    <m/>
    <m/>
    <m/>
    <m/>
    <m/>
    <m/>
    <s v="TATA BLUESCOPE STEEL PVT LTD."/>
    <n v="3879501"/>
    <s v="PPGL C HARD Y550PL ISC6 0.450X1220"/>
    <m/>
    <m/>
    <m/>
    <m/>
    <m/>
    <s v="B18"/>
    <s v="Y550PL"/>
    <s v="ISC6"/>
    <n v="0.45"/>
    <n v="1220"/>
    <n v="353"/>
    <m/>
    <m/>
    <m/>
    <m/>
    <m/>
    <m/>
    <m/>
    <m/>
    <m/>
    <m/>
    <m/>
    <m/>
    <m/>
    <m/>
    <m/>
    <m/>
    <m/>
    <m/>
    <m/>
    <m/>
    <m/>
    <m/>
    <m/>
    <m/>
    <m/>
    <m/>
    <m/>
    <m/>
    <m/>
    <m/>
    <m/>
    <m/>
    <m/>
    <m/>
    <m/>
    <n v="1.51"/>
    <n v="0"/>
    <n v="0"/>
    <n v="0"/>
    <n v="0"/>
    <n v="0"/>
    <n v="0"/>
    <n v="1.51"/>
    <n v="0"/>
    <n v="0"/>
    <n v="0"/>
    <n v="0"/>
    <n v="1.51"/>
    <n v="0"/>
    <m/>
    <m/>
    <m/>
    <m/>
    <m/>
    <m/>
    <m/>
    <m/>
    <m/>
    <m/>
    <m/>
    <m/>
    <m/>
    <m/>
    <m/>
    <m/>
    <m/>
    <m/>
    <m/>
    <m/>
    <m/>
    <m/>
    <m/>
    <m/>
    <m/>
    <m/>
    <m/>
    <m/>
    <m/>
    <m/>
    <m/>
    <m/>
    <m/>
    <m/>
  </r>
  <r>
    <m/>
    <m/>
    <s v="ZBTO"/>
    <m/>
    <m/>
    <s v="9518281434-2"/>
    <m/>
    <s v="Stocks"/>
    <m/>
    <x v="4"/>
    <x v="7"/>
    <m/>
    <m/>
    <x v="0"/>
    <m/>
    <m/>
    <m/>
    <m/>
    <m/>
    <m/>
    <m/>
    <s v="TATA BLUESCOPE STEEL PVT LTD."/>
    <n v="3522241"/>
    <s v="PPGL C Y550 D0C7 0.43BMT(0.47TPT)X1220"/>
    <m/>
    <m/>
    <m/>
    <m/>
    <m/>
    <s v="B18"/>
    <s v="Y550PL"/>
    <s v="D0C7"/>
    <n v="0.43"/>
    <n v="1220"/>
    <m/>
    <m/>
    <m/>
    <m/>
    <m/>
    <m/>
    <m/>
    <m/>
    <m/>
    <m/>
    <m/>
    <m/>
    <m/>
    <m/>
    <m/>
    <m/>
    <m/>
    <m/>
    <m/>
    <m/>
    <m/>
    <m/>
    <m/>
    <m/>
    <m/>
    <m/>
    <m/>
    <m/>
    <m/>
    <m/>
    <m/>
    <m/>
    <m/>
    <m/>
    <m/>
    <m/>
    <n v="5.5149999999999997"/>
    <n v="0"/>
    <n v="0"/>
    <n v="0"/>
    <n v="0"/>
    <n v="0"/>
    <n v="0"/>
    <n v="5.5149999999999997"/>
    <n v="0"/>
    <n v="0"/>
    <n v="0"/>
    <n v="0"/>
    <n v="5.5149999999999997"/>
    <n v="0"/>
    <m/>
    <m/>
    <m/>
    <m/>
    <m/>
    <m/>
    <m/>
    <m/>
    <m/>
    <m/>
    <m/>
    <m/>
    <m/>
    <m/>
    <m/>
    <m/>
    <m/>
    <m/>
    <m/>
    <m/>
    <m/>
    <m/>
    <m/>
    <m/>
    <m/>
    <m/>
    <m/>
    <m/>
    <m/>
    <m/>
    <m/>
    <m/>
    <m/>
    <m/>
  </r>
  <r>
    <m/>
    <m/>
    <s v="ZBTO"/>
    <m/>
    <m/>
    <s v="9518284116-2"/>
    <m/>
    <s v="Stocks"/>
    <m/>
    <x v="3"/>
    <x v="7"/>
    <m/>
    <m/>
    <x v="0"/>
    <m/>
    <m/>
    <m/>
    <m/>
    <m/>
    <m/>
    <m/>
    <s v="TATA BLUESCOPE STEEL PRIVATE LIMITE"/>
    <n v="1881969"/>
    <s v="GL C YS550 H6GL 0.45BMT(0.50TCT)X1220"/>
    <m/>
    <m/>
    <m/>
    <m/>
    <m/>
    <s v="B04"/>
    <s v="Y550GL"/>
    <s v="H6GL"/>
    <n v="0.45"/>
    <n v="1220"/>
    <m/>
    <m/>
    <m/>
    <m/>
    <m/>
    <m/>
    <m/>
    <m/>
    <m/>
    <m/>
    <m/>
    <m/>
    <m/>
    <m/>
    <m/>
    <m/>
    <m/>
    <m/>
    <m/>
    <m/>
    <m/>
    <m/>
    <m/>
    <m/>
    <m/>
    <m/>
    <m/>
    <m/>
    <m/>
    <m/>
    <m/>
    <m/>
    <m/>
    <m/>
    <m/>
    <m/>
    <n v="3.6349999999999998"/>
    <n v="0"/>
    <n v="0"/>
    <n v="0"/>
    <n v="0"/>
    <n v="0"/>
    <n v="0"/>
    <n v="3.6349999999999998"/>
    <n v="0"/>
    <n v="0"/>
    <n v="0"/>
    <n v="0"/>
    <n v="3.6349999999999998"/>
    <n v="0"/>
    <m/>
    <m/>
    <m/>
    <m/>
    <m/>
    <m/>
    <m/>
    <m/>
    <m/>
    <m/>
    <m/>
    <m/>
    <m/>
    <m/>
    <m/>
    <m/>
    <m/>
    <m/>
    <m/>
    <m/>
    <m/>
    <m/>
    <m/>
    <m/>
    <m/>
    <m/>
    <m/>
    <m/>
    <m/>
    <m/>
    <m/>
    <m/>
    <m/>
    <m/>
  </r>
  <r>
    <m/>
    <m/>
    <s v="ZBTO"/>
    <m/>
    <m/>
    <s v="9518285777-2"/>
    <m/>
    <s v="Stocks"/>
    <m/>
    <x v="2"/>
    <x v="2"/>
    <m/>
    <m/>
    <x v="0"/>
    <m/>
    <m/>
    <m/>
    <m/>
    <m/>
    <m/>
    <m/>
    <s v="PASA ASSOCIATES PRIVATE LIMITED"/>
    <n v="1191956"/>
    <s v="GP COIL SOFT-TATXGP-GK09-0.35X900"/>
    <m/>
    <m/>
    <m/>
    <m/>
    <m/>
    <s v="C02"/>
    <s v="TATXGP"/>
    <s v="GK09"/>
    <n v="0.35"/>
    <n v="900"/>
    <m/>
    <m/>
    <m/>
    <m/>
    <m/>
    <m/>
    <m/>
    <m/>
    <m/>
    <m/>
    <m/>
    <m/>
    <m/>
    <m/>
    <m/>
    <m/>
    <m/>
    <m/>
    <m/>
    <m/>
    <m/>
    <m/>
    <m/>
    <m/>
    <m/>
    <m/>
    <m/>
    <m/>
    <m/>
    <m/>
    <m/>
    <m/>
    <m/>
    <m/>
    <m/>
    <m/>
    <n v="4.04"/>
    <n v="0"/>
    <n v="0"/>
    <n v="0"/>
    <n v="0"/>
    <n v="0"/>
    <n v="0"/>
    <n v="4.04"/>
    <n v="0"/>
    <n v="4.04"/>
    <n v="0"/>
    <n v="0"/>
    <n v="0"/>
    <n v="0"/>
    <m/>
    <m/>
    <m/>
    <m/>
    <m/>
    <m/>
    <m/>
    <m/>
    <m/>
    <m/>
    <m/>
    <m/>
    <m/>
    <m/>
    <m/>
    <m/>
    <m/>
    <m/>
    <m/>
    <m/>
    <m/>
    <m/>
    <m/>
    <m/>
    <m/>
    <m/>
    <m/>
    <m/>
    <m/>
    <m/>
    <m/>
    <m/>
    <m/>
    <m/>
  </r>
  <r>
    <m/>
    <m/>
    <s v="ZBTO"/>
    <m/>
    <m/>
    <s v="9518298694-7"/>
    <m/>
    <s v="Stocks"/>
    <m/>
    <x v="4"/>
    <x v="7"/>
    <m/>
    <m/>
    <x v="0"/>
    <m/>
    <m/>
    <m/>
    <m/>
    <m/>
    <m/>
    <m/>
    <s v="TATA BLUESCOPE STEEL PVT LTD."/>
    <n v="3837004"/>
    <s v="PPGL C YS550 HPL8 0.40BMT(0.45TPT)X1220"/>
    <m/>
    <m/>
    <m/>
    <m/>
    <m/>
    <s v="B18"/>
    <s v="Y550PL"/>
    <s v="HPL8"/>
    <n v="0.4"/>
    <n v="1220"/>
    <m/>
    <m/>
    <m/>
    <m/>
    <m/>
    <m/>
    <m/>
    <m/>
    <m/>
    <m/>
    <m/>
    <m/>
    <m/>
    <m/>
    <m/>
    <m/>
    <m/>
    <m/>
    <m/>
    <m/>
    <m/>
    <m/>
    <m/>
    <m/>
    <m/>
    <m/>
    <m/>
    <m/>
    <m/>
    <m/>
    <m/>
    <m/>
    <m/>
    <m/>
    <m/>
    <m/>
    <n v="4"/>
    <n v="0"/>
    <n v="0"/>
    <n v="0"/>
    <n v="0"/>
    <n v="0"/>
    <n v="0"/>
    <n v="4"/>
    <n v="0"/>
    <n v="0"/>
    <n v="0"/>
    <n v="0"/>
    <n v="4"/>
    <n v="0"/>
    <m/>
    <m/>
    <m/>
    <m/>
    <m/>
    <m/>
    <m/>
    <m/>
    <m/>
    <m/>
    <m/>
    <m/>
    <m/>
    <m/>
    <m/>
    <m/>
    <m/>
    <m/>
    <m/>
    <m/>
    <m/>
    <m/>
    <m/>
    <m/>
    <m/>
    <m/>
    <m/>
    <m/>
    <m/>
    <m/>
    <m/>
    <m/>
    <m/>
    <m/>
  </r>
  <r>
    <m/>
    <m/>
    <s v="ZBTO"/>
    <m/>
    <m/>
    <s v="9518304647-1"/>
    <m/>
    <s v="Stocks"/>
    <m/>
    <x v="4"/>
    <x v="7"/>
    <m/>
    <m/>
    <x v="0"/>
    <m/>
    <m/>
    <m/>
    <m/>
    <m/>
    <m/>
    <m/>
    <s v="TATA BLUESCOPE STEEL PRIVATE LIMITE"/>
    <n v="1633706"/>
    <s v="PPGL C Y550 HPL3 0.42BMT(0.50TPT)X1220"/>
    <m/>
    <m/>
    <m/>
    <m/>
    <m/>
    <s v="B18"/>
    <s v="Y550PL"/>
    <s v="HPL3"/>
    <n v="0.42"/>
    <n v="1220"/>
    <n v="6486"/>
    <m/>
    <m/>
    <m/>
    <m/>
    <m/>
    <m/>
    <m/>
    <m/>
    <m/>
    <m/>
    <m/>
    <m/>
    <m/>
    <m/>
    <m/>
    <m/>
    <m/>
    <m/>
    <m/>
    <m/>
    <m/>
    <m/>
    <m/>
    <m/>
    <m/>
    <m/>
    <m/>
    <m/>
    <m/>
    <m/>
    <m/>
    <m/>
    <m/>
    <m/>
    <m/>
    <n v="25.655000000000001"/>
    <n v="0"/>
    <n v="0"/>
    <n v="0"/>
    <n v="0"/>
    <n v="0"/>
    <n v="0"/>
    <n v="25.655000000000001"/>
    <n v="0"/>
    <n v="0"/>
    <n v="0"/>
    <n v="0"/>
    <n v="25.655000000000001"/>
    <n v="0"/>
    <m/>
    <m/>
    <m/>
    <m/>
    <m/>
    <m/>
    <m/>
    <m/>
    <m/>
    <m/>
    <m/>
    <m/>
    <m/>
    <m/>
    <m/>
    <m/>
    <m/>
    <m/>
    <m/>
    <m/>
    <m/>
    <m/>
    <m/>
    <m/>
    <m/>
    <m/>
    <m/>
    <m/>
    <m/>
    <m/>
    <m/>
    <m/>
    <m/>
    <m/>
  </r>
  <r>
    <m/>
    <m/>
    <s v="ZBTO"/>
    <m/>
    <m/>
    <s v="9518322191-4"/>
    <m/>
    <s v="Stocks"/>
    <m/>
    <x v="4"/>
    <x v="7"/>
    <m/>
    <m/>
    <x v="0"/>
    <m/>
    <m/>
    <m/>
    <m/>
    <m/>
    <m/>
    <m/>
    <s v="TATA BLUESCOPE STEEL PRIVATE LIMITE"/>
    <n v="3408372"/>
    <s v="PPGL C Y550 HPL3 0.72BMT(0.80TPT)X1220"/>
    <m/>
    <m/>
    <m/>
    <m/>
    <m/>
    <s v="B18"/>
    <s v="Y550PL"/>
    <s v="HPL3"/>
    <n v="0.72"/>
    <n v="1220"/>
    <m/>
    <m/>
    <m/>
    <m/>
    <m/>
    <m/>
    <m/>
    <m/>
    <m/>
    <m/>
    <m/>
    <m/>
    <m/>
    <m/>
    <m/>
    <m/>
    <m/>
    <m/>
    <m/>
    <m/>
    <m/>
    <m/>
    <m/>
    <m/>
    <m/>
    <m/>
    <m/>
    <m/>
    <m/>
    <m/>
    <m/>
    <m/>
    <m/>
    <m/>
    <m/>
    <m/>
    <n v="15.435"/>
    <n v="0"/>
    <n v="0"/>
    <n v="0"/>
    <n v="0"/>
    <n v="0"/>
    <n v="0"/>
    <n v="15.435"/>
    <n v="0"/>
    <n v="0"/>
    <n v="0"/>
    <n v="0"/>
    <n v="15.435"/>
    <n v="0"/>
    <m/>
    <m/>
    <m/>
    <m/>
    <m/>
    <m/>
    <m/>
    <m/>
    <m/>
    <m/>
    <m/>
    <m/>
    <m/>
    <m/>
    <m/>
    <m/>
    <m/>
    <m/>
    <m/>
    <m/>
    <m/>
    <m/>
    <m/>
    <m/>
    <m/>
    <m/>
    <m/>
    <m/>
    <m/>
    <m/>
    <m/>
    <m/>
    <m/>
    <m/>
  </r>
  <r>
    <m/>
    <m/>
    <s v="ZBTO"/>
    <m/>
    <m/>
    <s v="9518332329-3"/>
    <m/>
    <s v="Stocks"/>
    <m/>
    <x v="1"/>
    <x v="3"/>
    <m/>
    <m/>
    <x v="0"/>
    <m/>
    <m/>
    <m/>
    <m/>
    <m/>
    <m/>
    <m/>
    <s v="VIJAY VENKAT STEELS PRIVATE LIMITED"/>
    <n v="185675"/>
    <s v="CRCA COIL-TATXXD-AU03-0.5X1250"/>
    <m/>
    <m/>
    <m/>
    <m/>
    <m/>
    <s v="C01"/>
    <s v="TATXXD"/>
    <s v="AU03"/>
    <n v="0.5"/>
    <n v="1250"/>
    <m/>
    <m/>
    <m/>
    <m/>
    <m/>
    <m/>
    <m/>
    <m/>
    <m/>
    <m/>
    <m/>
    <m/>
    <m/>
    <m/>
    <m/>
    <m/>
    <m/>
    <m/>
    <m/>
    <m/>
    <m/>
    <m/>
    <m/>
    <m/>
    <m/>
    <m/>
    <m/>
    <m/>
    <m/>
    <m/>
    <m/>
    <m/>
    <m/>
    <m/>
    <m/>
    <m/>
    <n v="12.994999999999999"/>
    <n v="0"/>
    <n v="0"/>
    <n v="0"/>
    <n v="0"/>
    <n v="0"/>
    <n v="0"/>
    <n v="12.994999999999999"/>
    <n v="0"/>
    <n v="12.994999999999999"/>
    <n v="0"/>
    <n v="0"/>
    <n v="0"/>
    <n v="0"/>
    <m/>
    <m/>
    <m/>
    <m/>
    <m/>
    <m/>
    <m/>
    <m/>
    <m/>
    <m/>
    <m/>
    <m/>
    <m/>
    <m/>
    <m/>
    <m/>
    <m/>
    <m/>
    <m/>
    <m/>
    <m/>
    <m/>
    <m/>
    <m/>
    <m/>
    <m/>
    <m/>
    <m/>
    <m/>
    <m/>
    <m/>
    <m/>
    <m/>
    <m/>
  </r>
  <r>
    <m/>
    <m/>
    <s v="ZBTO"/>
    <m/>
    <m/>
    <s v="9518334424-18"/>
    <m/>
    <s v="Stocks"/>
    <m/>
    <x v="1"/>
    <x v="3"/>
    <m/>
    <m/>
    <x v="0"/>
    <m/>
    <m/>
    <m/>
    <m/>
    <m/>
    <m/>
    <m/>
    <s v="RAVINDRA IRON WORKS"/>
    <n v="187538"/>
    <s v="CRSHEET-ICF TATXXD AU03 1.60X1250"/>
    <m/>
    <m/>
    <m/>
    <m/>
    <m/>
    <s v="C01"/>
    <s v="TATXXD"/>
    <s v="AU03"/>
    <n v="1.6"/>
    <n v="1250"/>
    <n v="1474"/>
    <m/>
    <m/>
    <m/>
    <m/>
    <m/>
    <m/>
    <m/>
    <m/>
    <m/>
    <m/>
    <m/>
    <m/>
    <m/>
    <m/>
    <m/>
    <m/>
    <m/>
    <m/>
    <m/>
    <m/>
    <m/>
    <m/>
    <m/>
    <m/>
    <m/>
    <m/>
    <m/>
    <m/>
    <m/>
    <m/>
    <m/>
    <m/>
    <m/>
    <m/>
    <m/>
    <n v="22.045000000000002"/>
    <n v="0"/>
    <n v="0"/>
    <n v="0"/>
    <n v="0"/>
    <n v="0"/>
    <n v="0"/>
    <n v="22.045000000000002"/>
    <n v="0"/>
    <n v="22.045000000000002"/>
    <n v="0"/>
    <n v="0"/>
    <n v="0"/>
    <n v="0"/>
    <m/>
    <m/>
    <m/>
    <m/>
    <m/>
    <m/>
    <m/>
    <m/>
    <m/>
    <m/>
    <m/>
    <m/>
    <m/>
    <m/>
    <m/>
    <m/>
    <m/>
    <m/>
    <m/>
    <m/>
    <m/>
    <m/>
    <m/>
    <m/>
    <m/>
    <m/>
    <m/>
    <m/>
    <m/>
    <m/>
    <m/>
    <m/>
    <m/>
    <m/>
  </r>
  <r>
    <m/>
    <m/>
    <s v="ZBTO"/>
    <m/>
    <m/>
    <s v="9518345699-3"/>
    <m/>
    <s v="Stocks"/>
    <m/>
    <x v="2"/>
    <x v="2"/>
    <m/>
    <m/>
    <x v="0"/>
    <m/>
    <m/>
    <m/>
    <m/>
    <m/>
    <m/>
    <m/>
    <s v="BHARTIA  DISTRIBUTORS PVT. LTD."/>
    <n v="3484326"/>
    <s v="GP SH SOFT TATXGP GK09 0.400X900X2500"/>
    <m/>
    <m/>
    <m/>
    <m/>
    <m/>
    <s v="B11"/>
    <s v="TATXGP"/>
    <s v="GK09"/>
    <n v="0.4"/>
    <n v="900"/>
    <n v="2500"/>
    <m/>
    <m/>
    <m/>
    <m/>
    <m/>
    <m/>
    <m/>
    <m/>
    <m/>
    <m/>
    <m/>
    <m/>
    <m/>
    <m/>
    <m/>
    <m/>
    <m/>
    <m/>
    <m/>
    <m/>
    <m/>
    <m/>
    <m/>
    <m/>
    <m/>
    <m/>
    <m/>
    <m/>
    <m/>
    <m/>
    <m/>
    <m/>
    <m/>
    <m/>
    <m/>
    <n v="9.67"/>
    <n v="0"/>
    <n v="0"/>
    <n v="0"/>
    <n v="0"/>
    <n v="0"/>
    <n v="0"/>
    <n v="9.67"/>
    <n v="0"/>
    <n v="9.67"/>
    <n v="0"/>
    <n v="0"/>
    <n v="0"/>
    <n v="0"/>
    <m/>
    <m/>
    <m/>
    <m/>
    <m/>
    <m/>
    <m/>
    <m/>
    <m/>
    <m/>
    <m/>
    <m/>
    <m/>
    <m/>
    <m/>
    <m/>
    <m/>
    <m/>
    <m/>
    <m/>
    <m/>
    <m/>
    <m/>
    <m/>
    <m/>
    <m/>
    <m/>
    <m/>
    <m/>
    <m/>
    <m/>
    <m/>
    <m/>
    <m/>
  </r>
  <r>
    <m/>
    <m/>
    <s v="ZBTO"/>
    <m/>
    <m/>
    <s v="9518345699-4"/>
    <m/>
    <s v="Stocks"/>
    <m/>
    <x v="2"/>
    <x v="2"/>
    <m/>
    <m/>
    <x v="0"/>
    <m/>
    <m/>
    <m/>
    <m/>
    <m/>
    <m/>
    <m/>
    <s v="BHARTIA  DISTRIBUTORS PVT. LTD."/>
    <n v="3484328"/>
    <s v="GP SH SOFT TATXGP GK09 0.500X900X2500"/>
    <m/>
    <m/>
    <m/>
    <m/>
    <m/>
    <s v="B11"/>
    <s v="TATXGP"/>
    <s v="GK09"/>
    <n v="0.5"/>
    <n v="900"/>
    <n v="2500"/>
    <m/>
    <m/>
    <m/>
    <m/>
    <m/>
    <m/>
    <m/>
    <m/>
    <m/>
    <m/>
    <m/>
    <m/>
    <m/>
    <m/>
    <m/>
    <m/>
    <m/>
    <m/>
    <m/>
    <m/>
    <m/>
    <m/>
    <m/>
    <m/>
    <m/>
    <m/>
    <m/>
    <m/>
    <m/>
    <m/>
    <m/>
    <m/>
    <m/>
    <m/>
    <m/>
    <n v="5.57"/>
    <n v="0"/>
    <n v="0"/>
    <n v="0"/>
    <n v="0"/>
    <n v="0"/>
    <n v="0"/>
    <n v="5.57"/>
    <n v="0"/>
    <n v="5.57"/>
    <n v="0"/>
    <n v="0"/>
    <n v="0"/>
    <n v="0"/>
    <m/>
    <m/>
    <m/>
    <m/>
    <m/>
    <m/>
    <m/>
    <m/>
    <m/>
    <m/>
    <m/>
    <m/>
    <m/>
    <m/>
    <m/>
    <m/>
    <m/>
    <m/>
    <m/>
    <m/>
    <m/>
    <m/>
    <m/>
    <m/>
    <m/>
    <m/>
    <m/>
    <m/>
    <m/>
    <m/>
    <m/>
    <m/>
    <m/>
    <m/>
  </r>
  <r>
    <m/>
    <m/>
    <s v="ZBTO"/>
    <m/>
    <m/>
    <s v="9518351184-1"/>
    <m/>
    <s v="Stocks"/>
    <m/>
    <x v="1"/>
    <x v="5"/>
    <m/>
    <m/>
    <x v="0"/>
    <m/>
    <m/>
    <m/>
    <m/>
    <m/>
    <m/>
    <m/>
    <s v="Balmer Lawrie And Company Limited"/>
    <n v="2164814"/>
    <s v="CRCA COIL TATXXD BT01 0.970X1315"/>
    <m/>
    <m/>
    <m/>
    <m/>
    <m/>
    <s v="C01"/>
    <s v="TATXXD"/>
    <s v="BT01"/>
    <n v="0.97"/>
    <n v="1315"/>
    <m/>
    <m/>
    <m/>
    <m/>
    <m/>
    <m/>
    <m/>
    <m/>
    <m/>
    <m/>
    <m/>
    <m/>
    <m/>
    <m/>
    <m/>
    <m/>
    <m/>
    <m/>
    <m/>
    <m/>
    <m/>
    <m/>
    <m/>
    <m/>
    <m/>
    <m/>
    <m/>
    <m/>
    <m/>
    <m/>
    <m/>
    <m/>
    <m/>
    <m/>
    <m/>
    <m/>
    <n v="17.84"/>
    <n v="0"/>
    <n v="0"/>
    <n v="0"/>
    <n v="0"/>
    <n v="0"/>
    <n v="0"/>
    <n v="17.84"/>
    <n v="0"/>
    <n v="17.84"/>
    <n v="0"/>
    <n v="0"/>
    <n v="0"/>
    <n v="0"/>
    <m/>
    <m/>
    <m/>
    <m/>
    <m/>
    <m/>
    <m/>
    <m/>
    <m/>
    <m/>
    <m/>
    <m/>
    <m/>
    <m/>
    <m/>
    <m/>
    <m/>
    <m/>
    <m/>
    <m/>
    <m/>
    <m/>
    <m/>
    <m/>
    <m/>
    <m/>
    <m/>
    <m/>
    <m/>
    <m/>
    <m/>
    <m/>
    <m/>
    <m/>
  </r>
  <r>
    <m/>
    <m/>
    <s v="ZBTO"/>
    <m/>
    <m/>
    <s v="9518355862-3"/>
    <m/>
    <s v="Stocks"/>
    <m/>
    <x v="2"/>
    <x v="2"/>
    <m/>
    <m/>
    <x v="0"/>
    <m/>
    <m/>
    <m/>
    <m/>
    <m/>
    <m/>
    <m/>
    <s v="JAI LAXMI STEELS"/>
    <n v="1854429"/>
    <s v="GP COIL SOFT-TATXGP-GK09-0.63X900"/>
    <m/>
    <m/>
    <m/>
    <m/>
    <m/>
    <s v="C02"/>
    <s v="TATXGP"/>
    <s v="GK09"/>
    <n v="0.63"/>
    <n v="900"/>
    <m/>
    <m/>
    <m/>
    <m/>
    <m/>
    <m/>
    <m/>
    <m/>
    <m/>
    <m/>
    <m/>
    <m/>
    <m/>
    <m/>
    <m/>
    <m/>
    <m/>
    <m/>
    <m/>
    <m/>
    <m/>
    <m/>
    <m/>
    <m/>
    <m/>
    <m/>
    <m/>
    <m/>
    <m/>
    <m/>
    <m/>
    <m/>
    <m/>
    <m/>
    <m/>
    <m/>
    <n v="4.75"/>
    <n v="0"/>
    <n v="0"/>
    <n v="0"/>
    <n v="0"/>
    <n v="0"/>
    <n v="0"/>
    <n v="4.75"/>
    <n v="0"/>
    <n v="4.75"/>
    <n v="0"/>
    <n v="0"/>
    <n v="0"/>
    <n v="0"/>
    <m/>
    <m/>
    <m/>
    <m/>
    <m/>
    <m/>
    <m/>
    <m/>
    <m/>
    <m/>
    <m/>
    <m/>
    <m/>
    <m/>
    <m/>
    <m/>
    <m/>
    <m/>
    <m/>
    <m/>
    <m/>
    <m/>
    <m/>
    <m/>
    <m/>
    <m/>
    <m/>
    <m/>
    <m/>
    <m/>
    <m/>
    <m/>
    <m/>
    <m/>
  </r>
  <r>
    <m/>
    <m/>
    <s v="ZBTO"/>
    <m/>
    <m/>
    <s v="9518360112-2"/>
    <m/>
    <s v="Stocks"/>
    <m/>
    <x v="1"/>
    <x v="5"/>
    <m/>
    <m/>
    <x v="0"/>
    <m/>
    <m/>
    <m/>
    <m/>
    <m/>
    <m/>
    <m/>
    <s v="Balmer Lawrie And Company Limited"/>
    <n v="2164807"/>
    <s v="CRCA COIL TATXXD BT01 1.200X1315"/>
    <m/>
    <m/>
    <m/>
    <m/>
    <m/>
    <s v="C01"/>
    <s v="TATXXD"/>
    <s v="BT01"/>
    <n v="1.2"/>
    <n v="1315"/>
    <m/>
    <m/>
    <m/>
    <m/>
    <m/>
    <m/>
    <m/>
    <m/>
    <m/>
    <m/>
    <m/>
    <m/>
    <m/>
    <m/>
    <m/>
    <m/>
    <m/>
    <m/>
    <m/>
    <m/>
    <m/>
    <m/>
    <m/>
    <m/>
    <m/>
    <m/>
    <m/>
    <m/>
    <m/>
    <m/>
    <m/>
    <m/>
    <m/>
    <m/>
    <m/>
    <m/>
    <n v="17.689999999999998"/>
    <n v="0"/>
    <n v="0"/>
    <n v="0"/>
    <n v="0"/>
    <n v="0"/>
    <n v="0"/>
    <n v="17.689999999999998"/>
    <n v="0"/>
    <n v="17.689999999999998"/>
    <n v="0"/>
    <n v="0"/>
    <n v="0"/>
    <n v="0"/>
    <m/>
    <m/>
    <m/>
    <m/>
    <m/>
    <m/>
    <m/>
    <m/>
    <m/>
    <m/>
    <m/>
    <m/>
    <m/>
    <m/>
    <m/>
    <m/>
    <m/>
    <m/>
    <m/>
    <m/>
    <m/>
    <m/>
    <m/>
    <m/>
    <m/>
    <m/>
    <m/>
    <m/>
    <m/>
    <m/>
    <m/>
    <m/>
    <m/>
    <m/>
  </r>
  <r>
    <m/>
    <m/>
    <s v="ZBTO"/>
    <m/>
    <m/>
    <s v="9518362413-3"/>
    <m/>
    <s v="Stocks"/>
    <m/>
    <x v="4"/>
    <x v="7"/>
    <m/>
    <m/>
    <x v="0"/>
    <m/>
    <m/>
    <m/>
    <m/>
    <m/>
    <m/>
    <m/>
    <s v="TATA BLUESCOPE STEEL PVT LTD."/>
    <n v="1640840"/>
    <s v="PPGL C Y550 HPL3 0.45BMT(0.53TPT)X1220"/>
    <m/>
    <m/>
    <m/>
    <m/>
    <m/>
    <s v="B18"/>
    <s v="Y550PL"/>
    <s v="HPL3"/>
    <n v="0.45"/>
    <n v="1220"/>
    <n v="5185"/>
    <m/>
    <m/>
    <m/>
    <m/>
    <m/>
    <m/>
    <m/>
    <m/>
    <m/>
    <m/>
    <m/>
    <m/>
    <m/>
    <m/>
    <m/>
    <m/>
    <m/>
    <m/>
    <m/>
    <m/>
    <m/>
    <m/>
    <m/>
    <m/>
    <m/>
    <m/>
    <m/>
    <m/>
    <m/>
    <m/>
    <m/>
    <m/>
    <m/>
    <m/>
    <m/>
    <n v="4.6849999999999996"/>
    <n v="0"/>
    <n v="0"/>
    <n v="0"/>
    <n v="0"/>
    <n v="0"/>
    <n v="0"/>
    <n v="4.6849999999999996"/>
    <n v="0"/>
    <n v="0"/>
    <n v="0"/>
    <n v="0"/>
    <n v="4.6849999999999996"/>
    <n v="0"/>
    <m/>
    <m/>
    <m/>
    <m/>
    <m/>
    <m/>
    <m/>
    <m/>
    <m/>
    <m/>
    <m/>
    <m/>
    <m/>
    <m/>
    <m/>
    <m/>
    <m/>
    <m/>
    <m/>
    <m/>
    <m/>
    <m/>
    <m/>
    <m/>
    <m/>
    <m/>
    <m/>
    <m/>
    <m/>
    <m/>
    <m/>
    <m/>
    <m/>
    <m/>
  </r>
  <r>
    <m/>
    <m/>
    <s v="ZBTO"/>
    <m/>
    <m/>
    <s v="9518362413-4"/>
    <m/>
    <s v="Stocks"/>
    <m/>
    <x v="4"/>
    <x v="7"/>
    <m/>
    <m/>
    <x v="0"/>
    <m/>
    <m/>
    <m/>
    <m/>
    <m/>
    <m/>
    <m/>
    <s v="TATA BLUESCOPE STEEL PVT LTD."/>
    <n v="1640840"/>
    <s v="PPGL C Y550 HPL3 0.45BMT(0.53TPT)X1220"/>
    <m/>
    <m/>
    <m/>
    <m/>
    <m/>
    <s v="B18"/>
    <s v="Y550PL"/>
    <s v="HPL3"/>
    <n v="0.45"/>
    <n v="1220"/>
    <m/>
    <m/>
    <m/>
    <m/>
    <m/>
    <m/>
    <m/>
    <m/>
    <m/>
    <m/>
    <m/>
    <m/>
    <m/>
    <m/>
    <m/>
    <m/>
    <m/>
    <m/>
    <m/>
    <m/>
    <m/>
    <m/>
    <m/>
    <m/>
    <m/>
    <m/>
    <m/>
    <m/>
    <m/>
    <m/>
    <m/>
    <m/>
    <m/>
    <m/>
    <m/>
    <m/>
    <n v="3.49"/>
    <n v="0"/>
    <n v="0"/>
    <n v="0"/>
    <n v="0"/>
    <n v="0"/>
    <n v="0"/>
    <n v="3.49"/>
    <n v="0"/>
    <n v="0"/>
    <n v="0"/>
    <n v="0"/>
    <n v="3.49"/>
    <n v="0"/>
    <m/>
    <m/>
    <m/>
    <m/>
    <m/>
    <m/>
    <m/>
    <m/>
    <m/>
    <m/>
    <m/>
    <m/>
    <m/>
    <m/>
    <m/>
    <m/>
    <m/>
    <m/>
    <m/>
    <m/>
    <m/>
    <m/>
    <m/>
    <m/>
    <m/>
    <m/>
    <m/>
    <m/>
    <m/>
    <m/>
    <m/>
    <m/>
    <m/>
    <m/>
  </r>
  <r>
    <m/>
    <m/>
    <s v="ZBTO"/>
    <m/>
    <m/>
    <s v="9518362413-5"/>
    <m/>
    <s v="Stocks"/>
    <m/>
    <x v="4"/>
    <x v="7"/>
    <m/>
    <m/>
    <x v="0"/>
    <m/>
    <m/>
    <m/>
    <m/>
    <m/>
    <m/>
    <m/>
    <s v="TATA BLUESCOPE STEEL PVT LTD."/>
    <n v="1640840"/>
    <s v="PPGL C Y550 HPL3 0.45BMT(0.53TPT)X1220"/>
    <m/>
    <m/>
    <m/>
    <m/>
    <m/>
    <s v="B18"/>
    <s v="Y550PL"/>
    <s v="HPL3"/>
    <n v="0.45"/>
    <n v="1220"/>
    <n v="5185"/>
    <m/>
    <m/>
    <m/>
    <m/>
    <m/>
    <m/>
    <m/>
    <m/>
    <m/>
    <m/>
    <m/>
    <m/>
    <m/>
    <m/>
    <m/>
    <m/>
    <m/>
    <m/>
    <m/>
    <m/>
    <m/>
    <m/>
    <m/>
    <m/>
    <m/>
    <m/>
    <m/>
    <m/>
    <m/>
    <m/>
    <m/>
    <m/>
    <m/>
    <m/>
    <m/>
    <n v="7.8250000000000002"/>
    <n v="0"/>
    <n v="0"/>
    <n v="0"/>
    <n v="0"/>
    <n v="0"/>
    <n v="0"/>
    <n v="7.8250000000000002"/>
    <n v="0"/>
    <n v="0"/>
    <n v="0"/>
    <n v="0"/>
    <n v="7.8250000000000002"/>
    <n v="0"/>
    <m/>
    <m/>
    <m/>
    <m/>
    <m/>
    <m/>
    <m/>
    <m/>
    <m/>
    <m/>
    <m/>
    <m/>
    <m/>
    <m/>
    <m/>
    <m/>
    <m/>
    <m/>
    <m/>
    <m/>
    <m/>
    <m/>
    <m/>
    <m/>
    <m/>
    <m/>
    <m/>
    <m/>
    <m/>
    <m/>
    <m/>
    <m/>
    <m/>
    <m/>
  </r>
  <r>
    <m/>
    <m/>
    <s v="ZBTO"/>
    <m/>
    <m/>
    <s v="9518369410-2"/>
    <m/>
    <s v="Stocks"/>
    <m/>
    <x v="1"/>
    <x v="3"/>
    <m/>
    <m/>
    <x v="0"/>
    <m/>
    <m/>
    <m/>
    <m/>
    <m/>
    <m/>
    <m/>
    <s v="SKM STEELS LIMITED(CRCADIVISION)"/>
    <n v="1801804"/>
    <s v="CRCA COIL-TATXXD-AU03-1X1250"/>
    <m/>
    <m/>
    <m/>
    <m/>
    <m/>
    <s v="C01"/>
    <s v="TATXXD"/>
    <s v="AU03"/>
    <n v="1"/>
    <n v="1250"/>
    <n v="2431"/>
    <m/>
    <m/>
    <m/>
    <m/>
    <m/>
    <m/>
    <m/>
    <m/>
    <m/>
    <m/>
    <m/>
    <m/>
    <m/>
    <m/>
    <m/>
    <m/>
    <m/>
    <m/>
    <m/>
    <m/>
    <m/>
    <m/>
    <m/>
    <m/>
    <m/>
    <m/>
    <m/>
    <m/>
    <m/>
    <m/>
    <m/>
    <m/>
    <m/>
    <m/>
    <m/>
    <n v="10.5"/>
    <n v="0"/>
    <n v="0"/>
    <n v="0"/>
    <n v="0"/>
    <n v="0"/>
    <n v="0"/>
    <n v="10.5"/>
    <n v="0"/>
    <n v="10.5"/>
    <n v="0"/>
    <n v="0"/>
    <n v="0"/>
    <n v="0"/>
    <m/>
    <m/>
    <m/>
    <m/>
    <m/>
    <m/>
    <m/>
    <m/>
    <m/>
    <m/>
    <m/>
    <m/>
    <m/>
    <m/>
    <m/>
    <m/>
    <m/>
    <m/>
    <m/>
    <m/>
    <m/>
    <m/>
    <m/>
    <m/>
    <m/>
    <m/>
    <m/>
    <m/>
    <m/>
    <m/>
    <m/>
    <m/>
    <m/>
    <m/>
  </r>
  <r>
    <m/>
    <m/>
    <s v="ZBTO"/>
    <m/>
    <m/>
    <s v="9518370344-1"/>
    <m/>
    <s v="Stocks"/>
    <m/>
    <x v="4"/>
    <x v="7"/>
    <m/>
    <m/>
    <x v="0"/>
    <m/>
    <m/>
    <m/>
    <m/>
    <m/>
    <m/>
    <m/>
    <s v="TATA BLUESCOPE STEEL PVT LTD."/>
    <n v="3797658"/>
    <s v="PPGL C Y550 ISC6 0.40BMT(0.45TPT)X1220"/>
    <m/>
    <m/>
    <m/>
    <m/>
    <m/>
    <s v="B18"/>
    <s v="Y550PL"/>
    <s v="ISC6"/>
    <n v="0.4"/>
    <n v="1220"/>
    <m/>
    <m/>
    <m/>
    <m/>
    <m/>
    <m/>
    <m/>
    <m/>
    <m/>
    <m/>
    <m/>
    <m/>
    <m/>
    <m/>
    <m/>
    <m/>
    <m/>
    <m/>
    <m/>
    <m/>
    <m/>
    <m/>
    <m/>
    <m/>
    <m/>
    <m/>
    <m/>
    <m/>
    <m/>
    <m/>
    <m/>
    <m/>
    <m/>
    <m/>
    <m/>
    <m/>
    <n v="2.75"/>
    <n v="0"/>
    <n v="0"/>
    <n v="0"/>
    <n v="0"/>
    <n v="0"/>
    <n v="0"/>
    <n v="2.75"/>
    <n v="0"/>
    <n v="0"/>
    <n v="0"/>
    <n v="0"/>
    <n v="2.75"/>
    <n v="0"/>
    <m/>
    <m/>
    <m/>
    <m/>
    <m/>
    <m/>
    <m/>
    <m/>
    <m/>
    <m/>
    <m/>
    <m/>
    <m/>
    <m/>
    <m/>
    <m/>
    <m/>
    <m/>
    <m/>
    <m/>
    <m/>
    <m/>
    <m/>
    <m/>
    <m/>
    <m/>
    <m/>
    <m/>
    <m/>
    <m/>
    <m/>
    <m/>
    <m/>
    <m/>
  </r>
  <r>
    <m/>
    <m/>
    <s v="ZBTO"/>
    <m/>
    <m/>
    <s v="9518376811-2"/>
    <m/>
    <s v="Stocks"/>
    <m/>
    <x v="4"/>
    <x v="7"/>
    <m/>
    <m/>
    <x v="0"/>
    <m/>
    <m/>
    <m/>
    <m/>
    <m/>
    <m/>
    <m/>
    <s v="TATA BLUESCOPE STEEL PRIVATE LIMITE"/>
    <n v="1640840"/>
    <s v="PPGL C Y550 HPL3 0.45BMT(0.53TPT)X1220"/>
    <m/>
    <m/>
    <m/>
    <m/>
    <m/>
    <s v="B18"/>
    <s v="Y550PL"/>
    <s v="HPL3"/>
    <n v="0.45"/>
    <n v="1220"/>
    <n v="4957"/>
    <m/>
    <m/>
    <m/>
    <m/>
    <m/>
    <m/>
    <m/>
    <m/>
    <m/>
    <m/>
    <m/>
    <m/>
    <m/>
    <m/>
    <m/>
    <m/>
    <m/>
    <m/>
    <m/>
    <m/>
    <m/>
    <m/>
    <m/>
    <m/>
    <m/>
    <m/>
    <m/>
    <m/>
    <m/>
    <m/>
    <m/>
    <m/>
    <m/>
    <m/>
    <m/>
    <n v="8"/>
    <n v="0"/>
    <n v="0"/>
    <n v="0"/>
    <n v="0"/>
    <n v="0"/>
    <n v="0"/>
    <n v="8"/>
    <n v="0"/>
    <n v="0"/>
    <n v="0"/>
    <n v="0"/>
    <n v="8"/>
    <n v="0"/>
    <m/>
    <m/>
    <m/>
    <m/>
    <m/>
    <m/>
    <m/>
    <m/>
    <m/>
    <m/>
    <m/>
    <m/>
    <m/>
    <m/>
    <m/>
    <m/>
    <m/>
    <m/>
    <m/>
    <m/>
    <m/>
    <m/>
    <m/>
    <m/>
    <m/>
    <m/>
    <m/>
    <m/>
    <m/>
    <m/>
    <m/>
    <m/>
    <m/>
    <m/>
  </r>
  <r>
    <m/>
    <m/>
    <s v="ZBTO"/>
    <m/>
    <m/>
    <s v="9518377073-1"/>
    <m/>
    <s v="Stocks"/>
    <m/>
    <x v="4"/>
    <x v="7"/>
    <m/>
    <m/>
    <x v="0"/>
    <m/>
    <m/>
    <m/>
    <m/>
    <m/>
    <m/>
    <m/>
    <s v="TATA BLUESCOPE STEEL PVT LTD."/>
    <n v="3879501"/>
    <s v="PPGL C HARD Y550PL ISC6 0.450X1220"/>
    <m/>
    <m/>
    <m/>
    <m/>
    <m/>
    <s v="B18"/>
    <s v="Y550PL"/>
    <s v="ISC6"/>
    <n v="0.45"/>
    <n v="1220"/>
    <m/>
    <m/>
    <m/>
    <m/>
    <m/>
    <m/>
    <m/>
    <m/>
    <m/>
    <m/>
    <m/>
    <m/>
    <m/>
    <m/>
    <m/>
    <m/>
    <m/>
    <m/>
    <m/>
    <m/>
    <m/>
    <m/>
    <m/>
    <m/>
    <m/>
    <m/>
    <m/>
    <m/>
    <m/>
    <m/>
    <m/>
    <m/>
    <m/>
    <m/>
    <m/>
    <m/>
    <n v="8.7899999999999991"/>
    <n v="0"/>
    <n v="0"/>
    <n v="0"/>
    <n v="0"/>
    <n v="0"/>
    <n v="0"/>
    <n v="8.7899999999999991"/>
    <n v="0"/>
    <n v="0"/>
    <n v="0"/>
    <n v="0"/>
    <n v="8.7899999999999991"/>
    <n v="0"/>
    <m/>
    <m/>
    <m/>
    <m/>
    <m/>
    <m/>
    <m/>
    <m/>
    <m/>
    <m/>
    <m/>
    <m/>
    <m/>
    <m/>
    <m/>
    <m/>
    <m/>
    <m/>
    <m/>
    <m/>
    <m/>
    <m/>
    <m/>
    <m/>
    <m/>
    <m/>
    <m/>
    <m/>
    <m/>
    <m/>
    <m/>
    <m/>
    <m/>
    <m/>
  </r>
  <r>
    <m/>
    <m/>
    <s v="ZBTO"/>
    <m/>
    <m/>
    <s v="9518377484-1"/>
    <m/>
    <s v="Stocks"/>
    <m/>
    <x v="4"/>
    <x v="7"/>
    <m/>
    <m/>
    <x v="0"/>
    <m/>
    <m/>
    <m/>
    <m/>
    <m/>
    <m/>
    <m/>
    <s v="TATA BLUESCOPE STEEL PRIVATE LIMITE"/>
    <n v="1633706"/>
    <s v="PPGL C Y550 HPL3 0.42BMT(0.50TPT)X1220"/>
    <m/>
    <m/>
    <m/>
    <m/>
    <m/>
    <s v="B18"/>
    <s v="Y550PL"/>
    <s v="HPL3"/>
    <n v="0.42"/>
    <n v="1220"/>
    <m/>
    <m/>
    <m/>
    <m/>
    <m/>
    <m/>
    <m/>
    <m/>
    <m/>
    <m/>
    <m/>
    <m/>
    <m/>
    <m/>
    <m/>
    <m/>
    <m/>
    <m/>
    <m/>
    <m/>
    <m/>
    <m/>
    <m/>
    <m/>
    <m/>
    <m/>
    <m/>
    <m/>
    <m/>
    <m/>
    <m/>
    <m/>
    <m/>
    <m/>
    <m/>
    <m/>
    <n v="3.875"/>
    <n v="0"/>
    <n v="0"/>
    <n v="0"/>
    <n v="0"/>
    <n v="0"/>
    <n v="0"/>
    <n v="3.875"/>
    <n v="0"/>
    <n v="0"/>
    <n v="0"/>
    <n v="0"/>
    <n v="3.875"/>
    <n v="0"/>
    <m/>
    <m/>
    <m/>
    <m/>
    <m/>
    <m/>
    <m/>
    <m/>
    <m/>
    <m/>
    <m/>
    <m/>
    <m/>
    <m/>
    <m/>
    <m/>
    <m/>
    <m/>
    <m/>
    <m/>
    <m/>
    <m/>
    <m/>
    <m/>
    <m/>
    <m/>
    <m/>
    <m/>
    <m/>
    <m/>
    <m/>
    <m/>
    <m/>
    <m/>
  </r>
  <r>
    <m/>
    <m/>
    <s v="ZBTO"/>
    <m/>
    <m/>
    <s v="9518377916-1"/>
    <m/>
    <s v="Stocks"/>
    <m/>
    <x v="1"/>
    <x v="3"/>
    <m/>
    <m/>
    <x v="0"/>
    <m/>
    <m/>
    <m/>
    <m/>
    <m/>
    <m/>
    <m/>
    <s v="RAMSAROOP &amp; SONS"/>
    <n v="1804772"/>
    <s v="CRCA COIL TATXXD AU03 0.4X1250"/>
    <m/>
    <m/>
    <m/>
    <m/>
    <m/>
    <s v="C01"/>
    <s v="TATXXD"/>
    <s v="AU03"/>
    <n v="0.4"/>
    <n v="1250"/>
    <m/>
    <m/>
    <m/>
    <m/>
    <m/>
    <m/>
    <m/>
    <m/>
    <m/>
    <m/>
    <m/>
    <m/>
    <m/>
    <m/>
    <m/>
    <m/>
    <m/>
    <m/>
    <m/>
    <m/>
    <m/>
    <m/>
    <m/>
    <m/>
    <m/>
    <m/>
    <m/>
    <m/>
    <m/>
    <m/>
    <m/>
    <m/>
    <m/>
    <m/>
    <m/>
    <m/>
    <n v="11.775"/>
    <n v="0"/>
    <n v="0"/>
    <n v="0"/>
    <n v="0"/>
    <n v="0"/>
    <n v="0"/>
    <n v="11.775"/>
    <n v="0"/>
    <n v="11.775"/>
    <n v="0"/>
    <n v="0"/>
    <n v="0"/>
    <n v="0"/>
    <m/>
    <m/>
    <m/>
    <m/>
    <m/>
    <m/>
    <m/>
    <m/>
    <m/>
    <m/>
    <m/>
    <m/>
    <m/>
    <m/>
    <m/>
    <m/>
    <m/>
    <m/>
    <m/>
    <m/>
    <m/>
    <m/>
    <m/>
    <m/>
    <m/>
    <m/>
    <m/>
    <m/>
    <m/>
    <m/>
    <m/>
    <m/>
    <m/>
    <m/>
  </r>
  <r>
    <m/>
    <m/>
    <s v="ZBTO"/>
    <m/>
    <m/>
    <s v="9518377927-13"/>
    <m/>
    <s v="Stocks"/>
    <m/>
    <x v="3"/>
    <x v="7"/>
    <m/>
    <m/>
    <x v="0"/>
    <m/>
    <m/>
    <m/>
    <m/>
    <m/>
    <m/>
    <m/>
    <s v="TATA BLUESCOPE STEEL PRIVATE LIMITE"/>
    <n v="1881969"/>
    <s v="GL C YS550 H6GL 0.45BMT(0.50TCT)X1220"/>
    <m/>
    <m/>
    <m/>
    <m/>
    <m/>
    <s v="B04"/>
    <s v="Y550GL"/>
    <s v="H6GL"/>
    <n v="0.45"/>
    <n v="1220"/>
    <m/>
    <m/>
    <m/>
    <m/>
    <m/>
    <m/>
    <m/>
    <m/>
    <m/>
    <m/>
    <m/>
    <m/>
    <m/>
    <m/>
    <m/>
    <m/>
    <m/>
    <m/>
    <m/>
    <m/>
    <m/>
    <m/>
    <m/>
    <m/>
    <m/>
    <m/>
    <m/>
    <m/>
    <m/>
    <m/>
    <m/>
    <m/>
    <m/>
    <m/>
    <m/>
    <m/>
    <n v="9.3249999999999993"/>
    <n v="0"/>
    <n v="0"/>
    <n v="0"/>
    <n v="0"/>
    <n v="0"/>
    <n v="0"/>
    <n v="9.3249999999999993"/>
    <n v="0"/>
    <n v="0"/>
    <n v="0"/>
    <n v="0"/>
    <n v="9.3249999999999993"/>
    <n v="0"/>
    <m/>
    <m/>
    <m/>
    <m/>
    <m/>
    <m/>
    <m/>
    <m/>
    <m/>
    <m/>
    <m/>
    <m/>
    <m/>
    <m/>
    <m/>
    <m/>
    <m/>
    <m/>
    <m/>
    <m/>
    <m/>
    <m/>
    <m/>
    <m/>
    <m/>
    <m/>
    <m/>
    <m/>
    <m/>
    <m/>
    <m/>
    <m/>
    <m/>
    <m/>
  </r>
  <r>
    <m/>
    <m/>
    <s v="ZBTO"/>
    <m/>
    <m/>
    <s v="9518377949-2"/>
    <m/>
    <s v="Stocks"/>
    <m/>
    <x v="2"/>
    <x v="6"/>
    <m/>
    <m/>
    <x v="0"/>
    <m/>
    <m/>
    <m/>
    <m/>
    <m/>
    <m/>
    <m/>
    <s v="BIHANI ENTERPRISES"/>
    <n v="1854399"/>
    <s v="GP COIL SOFT-TATXGP-GK09-0.35X1220"/>
    <m/>
    <m/>
    <m/>
    <m/>
    <m/>
    <s v="C02"/>
    <s v="TATXGP"/>
    <s v="GK09"/>
    <n v="0.35"/>
    <n v="1220"/>
    <m/>
    <m/>
    <m/>
    <m/>
    <m/>
    <m/>
    <m/>
    <m/>
    <m/>
    <m/>
    <m/>
    <m/>
    <m/>
    <m/>
    <m/>
    <m/>
    <m/>
    <m/>
    <m/>
    <m/>
    <m/>
    <m/>
    <m/>
    <m/>
    <m/>
    <m/>
    <m/>
    <m/>
    <m/>
    <m/>
    <m/>
    <m/>
    <m/>
    <m/>
    <m/>
    <m/>
    <n v="6.6950000000000003"/>
    <n v="0"/>
    <n v="0"/>
    <n v="0"/>
    <n v="0"/>
    <n v="0"/>
    <n v="0"/>
    <n v="6.6950000000000003"/>
    <n v="0"/>
    <n v="6.6950000000000003"/>
    <n v="0"/>
    <n v="0"/>
    <n v="0"/>
    <n v="0"/>
    <m/>
    <m/>
    <m/>
    <m/>
    <m/>
    <m/>
    <m/>
    <m/>
    <m/>
    <m/>
    <m/>
    <m/>
    <m/>
    <m/>
    <m/>
    <m/>
    <m/>
    <m/>
    <m/>
    <m/>
    <m/>
    <m/>
    <m/>
    <m/>
    <m/>
    <m/>
    <m/>
    <m/>
    <m/>
    <m/>
    <m/>
    <m/>
    <m/>
    <m/>
  </r>
  <r>
    <m/>
    <m/>
    <s v="ZBTO"/>
    <m/>
    <m/>
    <s v="9518379900-2"/>
    <m/>
    <s v="Stocks"/>
    <m/>
    <x v="2"/>
    <x v="2"/>
    <m/>
    <m/>
    <x v="0"/>
    <m/>
    <m/>
    <m/>
    <m/>
    <m/>
    <m/>
    <m/>
    <s v="BMW VENTURES LIMITED"/>
    <n v="1854418"/>
    <s v="GP COIL SOFT-TATXGP-GK09-0.5X900"/>
    <m/>
    <m/>
    <m/>
    <m/>
    <m/>
    <s v="C02"/>
    <s v="TATXGP"/>
    <s v="GK09"/>
    <n v="0.5"/>
    <n v="900"/>
    <m/>
    <m/>
    <m/>
    <m/>
    <m/>
    <m/>
    <m/>
    <m/>
    <m/>
    <m/>
    <m/>
    <m/>
    <m/>
    <m/>
    <m/>
    <m/>
    <m/>
    <m/>
    <m/>
    <m/>
    <m/>
    <m/>
    <m/>
    <m/>
    <m/>
    <m/>
    <m/>
    <m/>
    <m/>
    <m/>
    <m/>
    <m/>
    <m/>
    <m/>
    <m/>
    <m/>
    <n v="13.46"/>
    <n v="0"/>
    <n v="0"/>
    <n v="0"/>
    <n v="0"/>
    <n v="0"/>
    <n v="0"/>
    <n v="13.46"/>
    <n v="0"/>
    <n v="13.46"/>
    <n v="0"/>
    <n v="0"/>
    <n v="0"/>
    <n v="0"/>
    <m/>
    <m/>
    <m/>
    <m/>
    <m/>
    <m/>
    <m/>
    <m/>
    <m/>
    <m/>
    <m/>
    <m/>
    <m/>
    <m/>
    <m/>
    <m/>
    <m/>
    <m/>
    <m/>
    <m/>
    <m/>
    <m/>
    <m/>
    <m/>
    <m/>
    <m/>
    <m/>
    <m/>
    <m/>
    <m/>
    <m/>
    <m/>
    <m/>
    <m/>
  </r>
  <r>
    <m/>
    <m/>
    <s v="ZBTO"/>
    <m/>
    <m/>
    <s v="9518383994-6"/>
    <m/>
    <s v="Stocks"/>
    <m/>
    <x v="4"/>
    <x v="7"/>
    <m/>
    <m/>
    <x v="0"/>
    <m/>
    <m/>
    <m/>
    <m/>
    <m/>
    <m/>
    <m/>
    <s v="TATA BLUESCOPE STEEL PVT LTD."/>
    <n v="3837005"/>
    <s v="PPGL C YS550 HPL8 0.43BMT(0.48TPT)X1220"/>
    <m/>
    <m/>
    <m/>
    <m/>
    <m/>
    <s v="B18"/>
    <s v="Y550PL"/>
    <s v="HPL8"/>
    <n v="0.43"/>
    <n v="1220"/>
    <n v="5858"/>
    <m/>
    <m/>
    <m/>
    <m/>
    <m/>
    <m/>
    <m/>
    <m/>
    <m/>
    <m/>
    <m/>
    <m/>
    <m/>
    <m/>
    <m/>
    <m/>
    <m/>
    <m/>
    <m/>
    <m/>
    <m/>
    <m/>
    <m/>
    <m/>
    <m/>
    <m/>
    <m/>
    <m/>
    <m/>
    <m/>
    <m/>
    <m/>
    <m/>
    <m/>
    <m/>
    <n v="9"/>
    <n v="0"/>
    <n v="0"/>
    <n v="0"/>
    <n v="0"/>
    <n v="0"/>
    <n v="0"/>
    <n v="9"/>
    <n v="0"/>
    <n v="0"/>
    <n v="0"/>
    <n v="0"/>
    <n v="9"/>
    <n v="0"/>
    <m/>
    <m/>
    <m/>
    <m/>
    <m/>
    <m/>
    <m/>
    <m/>
    <m/>
    <m/>
    <m/>
    <m/>
    <m/>
    <m/>
    <m/>
    <m/>
    <m/>
    <m/>
    <m/>
    <m/>
    <m/>
    <m/>
    <m/>
    <m/>
    <m/>
    <m/>
    <m/>
    <m/>
    <m/>
    <m/>
    <m/>
    <m/>
    <m/>
    <m/>
  </r>
  <r>
    <m/>
    <m/>
    <s v="ZBTO"/>
    <m/>
    <m/>
    <s v="9518384344-1"/>
    <m/>
    <s v="Stocks"/>
    <m/>
    <x v="4"/>
    <x v="7"/>
    <m/>
    <m/>
    <x v="0"/>
    <m/>
    <m/>
    <m/>
    <m/>
    <m/>
    <m/>
    <m/>
    <s v="TATA BLUESCOPE STEEL PRIVATE LIMITE"/>
    <n v="3902332"/>
    <s v="PPGL C HARD Y550PL D0C9 0.50(TPT)X1220"/>
    <m/>
    <m/>
    <m/>
    <m/>
    <m/>
    <s v="B18"/>
    <s v="Y550PL"/>
    <s v="D0C9"/>
    <n v="0.5"/>
    <n v="1220"/>
    <n v="6349"/>
    <m/>
    <m/>
    <m/>
    <m/>
    <m/>
    <m/>
    <m/>
    <m/>
    <m/>
    <m/>
    <m/>
    <m/>
    <m/>
    <m/>
    <m/>
    <m/>
    <m/>
    <m/>
    <m/>
    <m/>
    <m/>
    <m/>
    <m/>
    <m/>
    <m/>
    <m/>
    <m/>
    <m/>
    <m/>
    <m/>
    <m/>
    <m/>
    <m/>
    <m/>
    <m/>
    <n v="41"/>
    <n v="0"/>
    <n v="0"/>
    <n v="0"/>
    <n v="0"/>
    <n v="0"/>
    <n v="0"/>
    <n v="41"/>
    <n v="0"/>
    <n v="0"/>
    <n v="0"/>
    <n v="0"/>
    <n v="41"/>
    <n v="0"/>
    <m/>
    <m/>
    <m/>
    <m/>
    <m/>
    <m/>
    <m/>
    <m/>
    <m/>
    <m/>
    <m/>
    <m/>
    <m/>
    <m/>
    <m/>
    <m/>
    <m/>
    <m/>
    <m/>
    <m/>
    <m/>
    <m/>
    <m/>
    <m/>
    <m/>
    <m/>
    <m/>
    <m/>
    <m/>
    <m/>
    <m/>
    <m/>
    <m/>
    <m/>
  </r>
  <r>
    <m/>
    <m/>
    <s v="ZBTO"/>
    <m/>
    <m/>
    <s v="9518392475-1"/>
    <m/>
    <s v="Stocks"/>
    <m/>
    <x v="3"/>
    <x v="13"/>
    <m/>
    <m/>
    <x v="0"/>
    <m/>
    <m/>
    <m/>
    <m/>
    <m/>
    <m/>
    <m/>
    <s v="PURSHOTAM PROFILES PRIVATE LIMITED"/>
    <n v="3889776"/>
    <s v="GL COIL HARD  Y550GL H0GL 0.900X1249"/>
    <m/>
    <m/>
    <m/>
    <m/>
    <m/>
    <s v="B04"/>
    <s v="Y550GL"/>
    <s v="H0GL"/>
    <n v="0.9"/>
    <n v="1249"/>
    <m/>
    <m/>
    <m/>
    <m/>
    <m/>
    <m/>
    <m/>
    <m/>
    <m/>
    <m/>
    <m/>
    <m/>
    <m/>
    <m/>
    <m/>
    <m/>
    <m/>
    <m/>
    <m/>
    <m/>
    <m/>
    <m/>
    <m/>
    <m/>
    <m/>
    <m/>
    <m/>
    <m/>
    <m/>
    <m/>
    <m/>
    <m/>
    <m/>
    <m/>
    <m/>
    <m/>
    <n v="11.8"/>
    <n v="0"/>
    <n v="0"/>
    <n v="0"/>
    <n v="0"/>
    <n v="0"/>
    <n v="0"/>
    <n v="11.8"/>
    <n v="0"/>
    <n v="11.8"/>
    <n v="0"/>
    <n v="0"/>
    <n v="0"/>
    <n v="0"/>
    <m/>
    <m/>
    <m/>
    <m/>
    <m/>
    <m/>
    <m/>
    <m/>
    <m/>
    <m/>
    <m/>
    <m/>
    <m/>
    <m/>
    <m/>
    <m/>
    <m/>
    <m/>
    <m/>
    <m/>
    <m/>
    <m/>
    <m/>
    <m/>
    <m/>
    <m/>
    <m/>
    <m/>
    <m/>
    <m/>
    <m/>
    <m/>
    <m/>
    <m/>
  </r>
  <r>
    <m/>
    <m/>
    <s v="ZBTO"/>
    <m/>
    <m/>
    <s v="9518394211-1"/>
    <m/>
    <s v="Stocks"/>
    <m/>
    <x v="3"/>
    <x v="7"/>
    <m/>
    <m/>
    <x v="0"/>
    <m/>
    <m/>
    <m/>
    <m/>
    <m/>
    <m/>
    <m/>
    <s v="TATA BLUESCOPE STEEL PRIVATE LIMITE"/>
    <n v="3917004"/>
    <s v="GL C YS550 H6GL 0.33BMT(0.38TCT)X1220"/>
    <m/>
    <m/>
    <m/>
    <m/>
    <m/>
    <s v="B04"/>
    <s v="Y550GL"/>
    <s v="H6GL"/>
    <n v="0.33"/>
    <n v="1220"/>
    <m/>
    <m/>
    <m/>
    <m/>
    <m/>
    <m/>
    <m/>
    <m/>
    <m/>
    <m/>
    <m/>
    <m/>
    <m/>
    <m/>
    <m/>
    <m/>
    <m/>
    <m/>
    <m/>
    <m/>
    <m/>
    <m/>
    <m/>
    <m/>
    <m/>
    <m/>
    <m/>
    <m/>
    <m/>
    <m/>
    <m/>
    <m/>
    <m/>
    <m/>
    <m/>
    <m/>
    <n v="52.099999999999994"/>
    <n v="0"/>
    <n v="0"/>
    <n v="0"/>
    <n v="0"/>
    <n v="0"/>
    <n v="0"/>
    <n v="52.099999999999994"/>
    <n v="0"/>
    <n v="0"/>
    <n v="0"/>
    <n v="0"/>
    <n v="52.099999999999994"/>
    <n v="0"/>
    <m/>
    <m/>
    <m/>
    <m/>
    <m/>
    <m/>
    <m/>
    <m/>
    <m/>
    <m/>
    <m/>
    <m/>
    <m/>
    <m/>
    <m/>
    <m/>
    <m/>
    <m/>
    <m/>
    <m/>
    <m/>
    <m/>
    <m/>
    <m/>
    <m/>
    <m/>
    <m/>
    <m/>
    <m/>
    <m/>
    <m/>
    <m/>
    <m/>
    <m/>
  </r>
  <r>
    <m/>
    <m/>
    <s v="ZBTO"/>
    <m/>
    <m/>
    <s v="9518398122-1"/>
    <m/>
    <s v="Stocks"/>
    <m/>
    <x v="3"/>
    <x v="13"/>
    <m/>
    <m/>
    <x v="0"/>
    <m/>
    <m/>
    <m/>
    <m/>
    <m/>
    <m/>
    <m/>
    <s v="PURSHOTAM PROFILES PRIVATE LIMITED"/>
    <n v="3865176"/>
    <s v="GL COIL HARD  Y550GL HGL6 0.900X1250"/>
    <m/>
    <m/>
    <m/>
    <m/>
    <m/>
    <s v="B04"/>
    <s v="Y550GL"/>
    <s v="HGL6"/>
    <n v="0.9"/>
    <n v="1250"/>
    <m/>
    <m/>
    <m/>
    <m/>
    <m/>
    <m/>
    <m/>
    <m/>
    <m/>
    <m/>
    <m/>
    <m/>
    <m/>
    <m/>
    <m/>
    <m/>
    <m/>
    <m/>
    <m/>
    <m/>
    <m/>
    <m/>
    <m/>
    <m/>
    <m/>
    <m/>
    <m/>
    <m/>
    <m/>
    <m/>
    <m/>
    <m/>
    <m/>
    <m/>
    <m/>
    <m/>
    <n v="9.67"/>
    <n v="0"/>
    <n v="0"/>
    <n v="0"/>
    <n v="0"/>
    <n v="0"/>
    <n v="0"/>
    <n v="9.67"/>
    <n v="0"/>
    <n v="9.67"/>
    <n v="0"/>
    <n v="0"/>
    <n v="0"/>
    <n v="0"/>
    <m/>
    <m/>
    <m/>
    <m/>
    <m/>
    <m/>
    <m/>
    <m/>
    <m/>
    <m/>
    <m/>
    <m/>
    <m/>
    <m/>
    <m/>
    <m/>
    <m/>
    <m/>
    <m/>
    <m/>
    <m/>
    <m/>
    <m/>
    <m/>
    <m/>
    <m/>
    <m/>
    <m/>
    <m/>
    <m/>
    <m/>
    <m/>
    <m/>
    <m/>
  </r>
  <r>
    <m/>
    <m/>
    <s v="ZBTO"/>
    <m/>
    <m/>
    <s v="9518400185-6"/>
    <m/>
    <s v="Stocks"/>
    <m/>
    <x v="1"/>
    <x v="15"/>
    <m/>
    <m/>
    <x v="0"/>
    <m/>
    <m/>
    <m/>
    <m/>
    <m/>
    <m/>
    <m/>
    <s v="TATA STEEL DOWNSTREAM PRODUCTS LIMI"/>
    <n v="2420525"/>
    <s v="CRCA COIL TATXXD AH03 2X1250"/>
    <m/>
    <m/>
    <m/>
    <m/>
    <m/>
    <s v="C01"/>
    <s v="TATXXD"/>
    <s v="AH03"/>
    <n v="2"/>
    <n v="1250"/>
    <n v="1224"/>
    <m/>
    <m/>
    <m/>
    <m/>
    <m/>
    <m/>
    <m/>
    <m/>
    <m/>
    <m/>
    <m/>
    <m/>
    <m/>
    <m/>
    <m/>
    <m/>
    <m/>
    <m/>
    <m/>
    <m/>
    <m/>
    <m/>
    <m/>
    <m/>
    <m/>
    <m/>
    <m/>
    <m/>
    <m/>
    <m/>
    <m/>
    <m/>
    <m/>
    <m/>
    <m/>
    <n v="70"/>
    <n v="0"/>
    <n v="0"/>
    <n v="0"/>
    <n v="0"/>
    <n v="0"/>
    <n v="0"/>
    <n v="70"/>
    <n v="0"/>
    <n v="70"/>
    <n v="0"/>
    <n v="0"/>
    <n v="0"/>
    <n v="0"/>
    <m/>
    <m/>
    <m/>
    <m/>
    <m/>
    <m/>
    <m/>
    <m/>
    <m/>
    <m/>
    <m/>
    <m/>
    <m/>
    <m/>
    <m/>
    <m/>
    <m/>
    <m/>
    <m/>
    <m/>
    <m/>
    <m/>
    <m/>
    <m/>
    <m/>
    <m/>
    <m/>
    <m/>
    <m/>
    <m/>
    <m/>
    <m/>
    <m/>
    <m/>
  </r>
  <r>
    <m/>
    <m/>
    <s v="ZBTO"/>
    <m/>
    <m/>
    <s v="9518401142-1"/>
    <m/>
    <s v="Stocks"/>
    <m/>
    <x v="2"/>
    <x v="6"/>
    <m/>
    <m/>
    <x v="0"/>
    <m/>
    <m/>
    <m/>
    <m/>
    <m/>
    <m/>
    <m/>
    <s v="Hitkar Enterprises"/>
    <n v="1854410"/>
    <s v="GP COIL SOFT-TATXGP-GK09-0.4X1220"/>
    <m/>
    <m/>
    <m/>
    <m/>
    <m/>
    <s v="C02"/>
    <s v="TATXGP"/>
    <s v="GK09"/>
    <n v="0.4"/>
    <n v="1220"/>
    <m/>
    <m/>
    <m/>
    <m/>
    <m/>
    <m/>
    <m/>
    <m/>
    <m/>
    <m/>
    <m/>
    <m/>
    <m/>
    <m/>
    <m/>
    <m/>
    <m/>
    <m/>
    <m/>
    <m/>
    <m/>
    <m/>
    <m/>
    <m/>
    <m/>
    <m/>
    <m/>
    <m/>
    <m/>
    <m/>
    <m/>
    <m/>
    <m/>
    <m/>
    <m/>
    <m/>
    <n v="4.82"/>
    <n v="0"/>
    <n v="0"/>
    <n v="0"/>
    <n v="0"/>
    <n v="0"/>
    <n v="0"/>
    <n v="4.82"/>
    <n v="0"/>
    <n v="4.82"/>
    <n v="0"/>
    <n v="0"/>
    <n v="0"/>
    <n v="0"/>
    <m/>
    <m/>
    <m/>
    <m/>
    <m/>
    <m/>
    <m/>
    <m/>
    <m/>
    <m/>
    <m/>
    <m/>
    <m/>
    <m/>
    <m/>
    <m/>
    <m/>
    <m/>
    <m/>
    <m/>
    <m/>
    <m/>
    <m/>
    <m/>
    <m/>
    <m/>
    <m/>
    <m/>
    <m/>
    <m/>
    <m/>
    <m/>
    <m/>
    <m/>
  </r>
  <r>
    <m/>
    <m/>
    <s v="ZBTO"/>
    <m/>
    <m/>
    <s v="9518408051-3"/>
    <m/>
    <s v="Stocks"/>
    <m/>
    <x v="2"/>
    <x v="10"/>
    <m/>
    <m/>
    <x v="0"/>
    <m/>
    <m/>
    <m/>
    <m/>
    <m/>
    <m/>
    <m/>
    <s v="BMW VENTURES LIMITED"/>
    <n v="3774103"/>
    <s v="GP COIL TATXGP GP02 0.450X1350"/>
    <m/>
    <m/>
    <m/>
    <m/>
    <m/>
    <s v="C05"/>
    <s v="TATXGP"/>
    <s v="GP02"/>
    <n v="0.45"/>
    <n v="1350"/>
    <m/>
    <m/>
    <m/>
    <m/>
    <m/>
    <m/>
    <m/>
    <m/>
    <m/>
    <m/>
    <m/>
    <m/>
    <m/>
    <m/>
    <m/>
    <m/>
    <m/>
    <m/>
    <m/>
    <m/>
    <m/>
    <m/>
    <m/>
    <m/>
    <m/>
    <m/>
    <m/>
    <m/>
    <m/>
    <m/>
    <m/>
    <m/>
    <m/>
    <m/>
    <m/>
    <m/>
    <n v="4.4050000000000002"/>
    <n v="0"/>
    <n v="0"/>
    <n v="0"/>
    <n v="0"/>
    <n v="0"/>
    <n v="0"/>
    <n v="4.4050000000000002"/>
    <n v="0"/>
    <n v="4.4050000000000002"/>
    <n v="0"/>
    <n v="0"/>
    <n v="0"/>
    <n v="0"/>
    <m/>
    <m/>
    <m/>
    <m/>
    <m/>
    <m/>
    <m/>
    <m/>
    <m/>
    <m/>
    <m/>
    <m/>
    <m/>
    <m/>
    <m/>
    <m/>
    <m/>
    <m/>
    <m/>
    <m/>
    <m/>
    <m/>
    <m/>
    <m/>
    <m/>
    <m/>
    <m/>
    <m/>
    <m/>
    <m/>
    <m/>
    <m/>
    <m/>
    <m/>
  </r>
  <r>
    <m/>
    <m/>
    <s v="ZBTO"/>
    <m/>
    <m/>
    <s v="9518408051-7"/>
    <m/>
    <s v="Stocks"/>
    <m/>
    <x v="2"/>
    <x v="10"/>
    <m/>
    <m/>
    <x v="0"/>
    <m/>
    <m/>
    <m/>
    <m/>
    <m/>
    <m/>
    <m/>
    <s v="BMW VENTURES LIMITED"/>
    <n v="3777535"/>
    <s v="GP COIL TATGPH GP02 0.400X900"/>
    <m/>
    <m/>
    <m/>
    <m/>
    <m/>
    <s v="C05"/>
    <s v="TATGPH"/>
    <s v="GP02"/>
    <n v="0.4"/>
    <n v="900"/>
    <m/>
    <m/>
    <m/>
    <m/>
    <m/>
    <m/>
    <m/>
    <m/>
    <m/>
    <m/>
    <m/>
    <m/>
    <m/>
    <m/>
    <m/>
    <m/>
    <m/>
    <m/>
    <m/>
    <m/>
    <m/>
    <m/>
    <m/>
    <m/>
    <m/>
    <m/>
    <m/>
    <m/>
    <m/>
    <m/>
    <m/>
    <m/>
    <m/>
    <m/>
    <m/>
    <m/>
    <n v="19.940000000000001"/>
    <n v="0"/>
    <n v="0"/>
    <n v="0"/>
    <n v="0"/>
    <n v="0"/>
    <n v="0"/>
    <n v="19.940000000000001"/>
    <n v="0"/>
    <n v="19.940000000000001"/>
    <n v="0"/>
    <n v="0"/>
    <n v="0"/>
    <n v="0"/>
    <m/>
    <m/>
    <m/>
    <m/>
    <m/>
    <m/>
    <m/>
    <m/>
    <m/>
    <m/>
    <m/>
    <m/>
    <m/>
    <m/>
    <m/>
    <m/>
    <m/>
    <m/>
    <m/>
    <m/>
    <m/>
    <m/>
    <m/>
    <m/>
    <m/>
    <m/>
    <m/>
    <m/>
    <m/>
    <m/>
    <m/>
    <m/>
    <m/>
    <m/>
  </r>
  <r>
    <m/>
    <m/>
    <s v="ZBTO"/>
    <m/>
    <m/>
    <s v="9518410099-4"/>
    <m/>
    <s v="Stocks"/>
    <m/>
    <x v="2"/>
    <x v="6"/>
    <m/>
    <m/>
    <x v="0"/>
    <m/>
    <m/>
    <m/>
    <m/>
    <m/>
    <m/>
    <m/>
    <s v="BIHANI ENTERPRISES"/>
    <n v="1334725"/>
    <s v="GP COIL SOFT-TATXGP-GK09-0.6X1220"/>
    <m/>
    <m/>
    <m/>
    <m/>
    <m/>
    <s v="C02"/>
    <s v="TATXGP"/>
    <s v="GK09"/>
    <n v="0.6"/>
    <n v="1220"/>
    <m/>
    <m/>
    <m/>
    <m/>
    <m/>
    <m/>
    <m/>
    <m/>
    <m/>
    <m/>
    <m/>
    <m/>
    <m/>
    <m/>
    <m/>
    <m/>
    <m/>
    <m/>
    <m/>
    <m/>
    <m/>
    <m/>
    <m/>
    <m/>
    <m/>
    <m/>
    <m/>
    <m/>
    <m/>
    <m/>
    <m/>
    <m/>
    <m/>
    <m/>
    <m/>
    <m/>
    <n v="6.875"/>
    <n v="0"/>
    <n v="0"/>
    <n v="0"/>
    <n v="0"/>
    <n v="0"/>
    <n v="0"/>
    <n v="6.875"/>
    <n v="0"/>
    <n v="6.875"/>
    <n v="0"/>
    <n v="0"/>
    <n v="0"/>
    <n v="0"/>
    <m/>
    <m/>
    <m/>
    <m/>
    <m/>
    <m/>
    <m/>
    <m/>
    <m/>
    <m/>
    <m/>
    <m/>
    <m/>
    <m/>
    <m/>
    <m/>
    <m/>
    <m/>
    <m/>
    <m/>
    <m/>
    <m/>
    <m/>
    <m/>
    <m/>
    <m/>
    <m/>
    <m/>
    <m/>
    <m/>
    <m/>
    <m/>
    <m/>
    <m/>
  </r>
  <r>
    <m/>
    <m/>
    <s v="ZBTO"/>
    <m/>
    <m/>
    <s v="9518424861-2"/>
    <m/>
    <s v="Stocks"/>
    <m/>
    <x v="2"/>
    <x v="2"/>
    <m/>
    <m/>
    <x v="0"/>
    <m/>
    <m/>
    <m/>
    <m/>
    <m/>
    <m/>
    <m/>
    <s v="BUBNA COMMERCIAL COMPANY"/>
    <n v="1191956"/>
    <s v="GP COIL SOFT-TATXGP-GK09-0.35X900"/>
    <m/>
    <m/>
    <m/>
    <m/>
    <m/>
    <s v="C02"/>
    <s v="TATXGP"/>
    <s v="GK09"/>
    <n v="0.35"/>
    <n v="900"/>
    <m/>
    <m/>
    <m/>
    <m/>
    <m/>
    <m/>
    <m/>
    <m/>
    <m/>
    <m/>
    <m/>
    <m/>
    <m/>
    <m/>
    <m/>
    <m/>
    <m/>
    <m/>
    <m/>
    <m/>
    <m/>
    <m/>
    <m/>
    <m/>
    <m/>
    <m/>
    <m/>
    <m/>
    <m/>
    <m/>
    <m/>
    <m/>
    <m/>
    <m/>
    <m/>
    <m/>
    <n v="7.84"/>
    <n v="0"/>
    <n v="0"/>
    <n v="0"/>
    <n v="0"/>
    <n v="0"/>
    <n v="0"/>
    <n v="7.84"/>
    <n v="0"/>
    <n v="7.84"/>
    <n v="0"/>
    <n v="0"/>
    <n v="0"/>
    <n v="0"/>
    <m/>
    <m/>
    <m/>
    <m/>
    <m/>
    <m/>
    <m/>
    <m/>
    <m/>
    <m/>
    <m/>
    <m/>
    <m/>
    <m/>
    <m/>
    <m/>
    <m/>
    <m/>
    <m/>
    <m/>
    <m/>
    <m/>
    <m/>
    <m/>
    <m/>
    <m/>
    <m/>
    <m/>
    <m/>
    <m/>
    <m/>
    <m/>
    <m/>
    <m/>
  </r>
  <r>
    <m/>
    <m/>
    <s v="ZBTO"/>
    <m/>
    <m/>
    <s v="9518424861-3"/>
    <m/>
    <s v="Stocks"/>
    <m/>
    <x v="2"/>
    <x v="2"/>
    <m/>
    <m/>
    <x v="0"/>
    <m/>
    <m/>
    <m/>
    <m/>
    <m/>
    <m/>
    <m/>
    <s v="BUBNA COMMERCIAL COMPANY"/>
    <n v="1178439"/>
    <s v="GP COIL SOFT-TATXGP-GK09-0.4X900"/>
    <m/>
    <m/>
    <m/>
    <m/>
    <m/>
    <s v="C02"/>
    <s v="TATXGP"/>
    <s v="GK09"/>
    <n v="0.4"/>
    <n v="900"/>
    <m/>
    <m/>
    <m/>
    <m/>
    <m/>
    <m/>
    <m/>
    <m/>
    <m/>
    <m/>
    <m/>
    <m/>
    <m/>
    <m/>
    <m/>
    <m/>
    <m/>
    <m/>
    <m/>
    <m/>
    <m/>
    <m/>
    <m/>
    <m/>
    <m/>
    <m/>
    <m/>
    <m/>
    <m/>
    <m/>
    <m/>
    <m/>
    <m/>
    <m/>
    <m/>
    <m/>
    <n v="6.56"/>
    <n v="0"/>
    <n v="0"/>
    <n v="0"/>
    <n v="0"/>
    <n v="0"/>
    <n v="0"/>
    <n v="6.56"/>
    <n v="0"/>
    <n v="6.56"/>
    <n v="0"/>
    <n v="0"/>
    <n v="0"/>
    <n v="0"/>
    <m/>
    <m/>
    <m/>
    <m/>
    <m/>
    <m/>
    <m/>
    <m/>
    <m/>
    <m/>
    <m/>
    <m/>
    <m/>
    <m/>
    <m/>
    <m/>
    <m/>
    <m/>
    <m/>
    <m/>
    <m/>
    <m/>
    <m/>
    <m/>
    <m/>
    <m/>
    <m/>
    <m/>
    <m/>
    <m/>
    <m/>
    <m/>
    <m/>
    <m/>
  </r>
  <r>
    <m/>
    <m/>
    <s v="ZBTO"/>
    <m/>
    <m/>
    <s v="9518425585-1"/>
    <m/>
    <s v="Stocks"/>
    <m/>
    <x v="1"/>
    <x v="5"/>
    <m/>
    <m/>
    <x v="0"/>
    <m/>
    <m/>
    <m/>
    <m/>
    <m/>
    <m/>
    <m/>
    <s v="Balmer Lawrie &amp; Co. Limited"/>
    <n v="2164800"/>
    <s v="CRCA COIL TATXXD BT02 0.970X913"/>
    <m/>
    <m/>
    <m/>
    <m/>
    <m/>
    <s v="C01"/>
    <s v="TATXXD"/>
    <s v="BT02"/>
    <n v="0.97"/>
    <n v="913"/>
    <m/>
    <m/>
    <m/>
    <m/>
    <m/>
    <m/>
    <m/>
    <m/>
    <m/>
    <m/>
    <m/>
    <m/>
    <m/>
    <m/>
    <m/>
    <m/>
    <m/>
    <m/>
    <m/>
    <m/>
    <m/>
    <m/>
    <m/>
    <m/>
    <m/>
    <m/>
    <m/>
    <m/>
    <m/>
    <m/>
    <m/>
    <m/>
    <m/>
    <m/>
    <m/>
    <m/>
    <n v="8.51"/>
    <n v="0"/>
    <n v="0"/>
    <n v="0"/>
    <n v="0"/>
    <n v="0"/>
    <n v="0"/>
    <n v="8.51"/>
    <n v="0"/>
    <n v="8.51"/>
    <n v="0"/>
    <n v="0"/>
    <n v="0"/>
    <n v="0"/>
    <m/>
    <m/>
    <m/>
    <m/>
    <m/>
    <m/>
    <m/>
    <m/>
    <m/>
    <m/>
    <m/>
    <m/>
    <m/>
    <m/>
    <m/>
    <m/>
    <m/>
    <m/>
    <m/>
    <m/>
    <m/>
    <m/>
    <m/>
    <m/>
    <m/>
    <m/>
    <m/>
    <m/>
    <m/>
    <m/>
    <m/>
    <m/>
    <m/>
    <m/>
  </r>
  <r>
    <m/>
    <m/>
    <s v="ZBTO"/>
    <m/>
    <m/>
    <s v="9518425927-3"/>
    <m/>
    <s v="Stocks"/>
    <m/>
    <x v="2"/>
    <x v="2"/>
    <m/>
    <m/>
    <x v="0"/>
    <m/>
    <m/>
    <m/>
    <m/>
    <m/>
    <m/>
    <m/>
    <s v="BMW VENTURES LIMITED"/>
    <n v="1178439"/>
    <s v="GP COIL SOFT-TATXGP-GK09-0.4X900"/>
    <m/>
    <m/>
    <m/>
    <m/>
    <m/>
    <s v="C02"/>
    <s v="TATXGP"/>
    <s v="GK09"/>
    <n v="0.4"/>
    <n v="900"/>
    <m/>
    <m/>
    <m/>
    <m/>
    <m/>
    <m/>
    <m/>
    <m/>
    <m/>
    <m/>
    <m/>
    <m/>
    <m/>
    <m/>
    <m/>
    <m/>
    <m/>
    <m/>
    <m/>
    <m/>
    <m/>
    <m/>
    <m/>
    <m/>
    <m/>
    <m/>
    <m/>
    <m/>
    <m/>
    <m/>
    <m/>
    <m/>
    <m/>
    <m/>
    <m/>
    <m/>
    <n v="9.8149999999999995"/>
    <n v="0"/>
    <n v="0"/>
    <n v="0"/>
    <n v="0"/>
    <n v="0"/>
    <n v="0"/>
    <n v="9.8149999999999995"/>
    <n v="0"/>
    <n v="9.8149999999999995"/>
    <n v="0"/>
    <n v="0"/>
    <n v="0"/>
    <n v="0"/>
    <m/>
    <m/>
    <m/>
    <m/>
    <m/>
    <m/>
    <m/>
    <m/>
    <m/>
    <m/>
    <m/>
    <m/>
    <m/>
    <m/>
    <m/>
    <m/>
    <m/>
    <m/>
    <m/>
    <m/>
    <m/>
    <m/>
    <m/>
    <m/>
    <m/>
    <m/>
    <m/>
    <m/>
    <m/>
    <m/>
    <m/>
    <m/>
    <m/>
    <m/>
  </r>
  <r>
    <m/>
    <m/>
    <s v="ZBTO"/>
    <m/>
    <m/>
    <s v="9518425927-4"/>
    <m/>
    <s v="Stocks"/>
    <m/>
    <x v="2"/>
    <x v="2"/>
    <m/>
    <m/>
    <x v="0"/>
    <m/>
    <m/>
    <m/>
    <m/>
    <m/>
    <m/>
    <m/>
    <s v="BMW VENTURES LIMITED"/>
    <n v="1854418"/>
    <s v="GP COIL SOFT-TATXGP-GK09-0.5X900"/>
    <m/>
    <m/>
    <m/>
    <m/>
    <m/>
    <s v="C02"/>
    <s v="TATXGP"/>
    <s v="GK09"/>
    <n v="0.5"/>
    <n v="900"/>
    <m/>
    <m/>
    <m/>
    <m/>
    <m/>
    <m/>
    <m/>
    <m/>
    <m/>
    <m/>
    <m/>
    <m/>
    <m/>
    <m/>
    <m/>
    <m/>
    <m/>
    <m/>
    <m/>
    <m/>
    <m/>
    <m/>
    <m/>
    <m/>
    <m/>
    <m/>
    <m/>
    <m/>
    <m/>
    <m/>
    <m/>
    <m/>
    <m/>
    <m/>
    <m/>
    <m/>
    <n v="35.265000000000001"/>
    <n v="0"/>
    <n v="0"/>
    <n v="0"/>
    <n v="0"/>
    <n v="0"/>
    <n v="0"/>
    <n v="35.265000000000001"/>
    <n v="0"/>
    <n v="35.265000000000001"/>
    <n v="0"/>
    <n v="0"/>
    <n v="0"/>
    <n v="0"/>
    <m/>
    <m/>
    <m/>
    <m/>
    <m/>
    <m/>
    <m/>
    <m/>
    <m/>
    <m/>
    <m/>
    <m/>
    <m/>
    <m/>
    <m/>
    <m/>
    <m/>
    <m/>
    <m/>
    <m/>
    <m/>
    <m/>
    <m/>
    <m/>
    <m/>
    <m/>
    <m/>
    <m/>
    <m/>
    <m/>
    <m/>
    <m/>
    <m/>
    <m/>
  </r>
  <r>
    <m/>
    <m/>
    <s v="ZBTO"/>
    <m/>
    <m/>
    <s v="9518439464-2"/>
    <m/>
    <s v="Stocks"/>
    <m/>
    <x v="4"/>
    <x v="7"/>
    <m/>
    <m/>
    <x v="0"/>
    <m/>
    <m/>
    <m/>
    <m/>
    <m/>
    <m/>
    <m/>
    <s v="TATA BLUESCOPE STEEL PRIVATE LIMITE"/>
    <n v="1633706"/>
    <s v="PPGL C Y550 HPL3 0.42BMT(0.50TPT)X1220"/>
    <m/>
    <m/>
    <m/>
    <m/>
    <m/>
    <s v="B18"/>
    <s v="Y550PL"/>
    <s v="HPL3"/>
    <n v="0.42"/>
    <n v="1220"/>
    <n v="5953"/>
    <m/>
    <m/>
    <m/>
    <m/>
    <m/>
    <m/>
    <m/>
    <m/>
    <m/>
    <m/>
    <m/>
    <m/>
    <m/>
    <m/>
    <m/>
    <m/>
    <m/>
    <m/>
    <m/>
    <m/>
    <m/>
    <m/>
    <m/>
    <m/>
    <m/>
    <m/>
    <m/>
    <m/>
    <m/>
    <m/>
    <m/>
    <m/>
    <m/>
    <m/>
    <m/>
    <n v="1.655"/>
    <n v="0"/>
    <n v="0"/>
    <n v="0"/>
    <n v="0"/>
    <n v="0"/>
    <n v="0"/>
    <n v="1.655"/>
    <n v="0"/>
    <n v="0"/>
    <n v="0"/>
    <n v="0"/>
    <n v="1.655"/>
    <n v="0"/>
    <m/>
    <m/>
    <m/>
    <m/>
    <m/>
    <m/>
    <m/>
    <m/>
    <m/>
    <m/>
    <m/>
    <m/>
    <m/>
    <m/>
    <m/>
    <m/>
    <m/>
    <m/>
    <m/>
    <m/>
    <m/>
    <m/>
    <m/>
    <m/>
    <m/>
    <m/>
    <m/>
    <m/>
    <m/>
    <m/>
    <m/>
    <m/>
    <m/>
    <m/>
  </r>
  <r>
    <m/>
    <m/>
    <s v="ZBTO"/>
    <m/>
    <m/>
    <s v="9518439464-3"/>
    <m/>
    <s v="Stocks"/>
    <m/>
    <x v="4"/>
    <x v="7"/>
    <m/>
    <m/>
    <x v="0"/>
    <m/>
    <m/>
    <m/>
    <m/>
    <m/>
    <m/>
    <m/>
    <s v="TATA BLUESCOPE STEEL PRIVATE LIMITE"/>
    <n v="1633706"/>
    <s v="PPGL C Y550 HPL3 0.42BMT(0.50TPT)X1220"/>
    <m/>
    <m/>
    <m/>
    <m/>
    <m/>
    <s v="B18"/>
    <s v="Y550PL"/>
    <s v="HPL3"/>
    <n v="0.42"/>
    <n v="1220"/>
    <m/>
    <m/>
    <m/>
    <m/>
    <m/>
    <m/>
    <m/>
    <m/>
    <m/>
    <m/>
    <m/>
    <m/>
    <m/>
    <m/>
    <m/>
    <m/>
    <m/>
    <m/>
    <m/>
    <m/>
    <m/>
    <m/>
    <m/>
    <m/>
    <m/>
    <m/>
    <m/>
    <m/>
    <m/>
    <m/>
    <m/>
    <m/>
    <m/>
    <m/>
    <m/>
    <m/>
    <n v="4.7350000000000003"/>
    <n v="0"/>
    <n v="0"/>
    <n v="0"/>
    <n v="0"/>
    <n v="0"/>
    <n v="0"/>
    <n v="4.7350000000000003"/>
    <n v="0"/>
    <n v="0"/>
    <n v="0"/>
    <n v="0"/>
    <n v="4.7350000000000003"/>
    <n v="0"/>
    <m/>
    <m/>
    <m/>
    <m/>
    <m/>
    <m/>
    <m/>
    <m/>
    <m/>
    <m/>
    <m/>
    <m/>
    <m/>
    <m/>
    <m/>
    <m/>
    <m/>
    <m/>
    <m/>
    <m/>
    <m/>
    <m/>
    <m/>
    <m/>
    <m/>
    <m/>
    <m/>
    <m/>
    <m/>
    <m/>
    <m/>
    <m/>
    <m/>
    <m/>
  </r>
  <r>
    <m/>
    <m/>
    <s v="ZBTO"/>
    <m/>
    <m/>
    <s v="9518439511-1"/>
    <m/>
    <s v="Stocks"/>
    <m/>
    <x v="3"/>
    <x v="7"/>
    <m/>
    <m/>
    <x v="0"/>
    <m/>
    <m/>
    <m/>
    <m/>
    <m/>
    <m/>
    <m/>
    <s v="TATA BLUESCOPE STEEL PRIVATE LIMITE"/>
    <n v="1882004"/>
    <s v="GL C YS550 H6GL 0.55BMT(0.60TCT)X1220"/>
    <m/>
    <m/>
    <m/>
    <m/>
    <m/>
    <s v="B04"/>
    <s v="Y550GL"/>
    <s v="H6GL"/>
    <n v="0.55000000000000004"/>
    <n v="1220"/>
    <m/>
    <m/>
    <m/>
    <m/>
    <m/>
    <m/>
    <m/>
    <m/>
    <m/>
    <m/>
    <m/>
    <m/>
    <m/>
    <m/>
    <m/>
    <m/>
    <m/>
    <m/>
    <m/>
    <m/>
    <m/>
    <m/>
    <m/>
    <m/>
    <m/>
    <m/>
    <m/>
    <m/>
    <m/>
    <m/>
    <m/>
    <m/>
    <m/>
    <m/>
    <m/>
    <m/>
    <n v="3.86"/>
    <n v="0"/>
    <n v="0"/>
    <n v="0"/>
    <n v="0"/>
    <n v="0"/>
    <n v="0"/>
    <n v="3.86"/>
    <n v="0"/>
    <n v="0"/>
    <n v="0"/>
    <n v="0"/>
    <n v="3.86"/>
    <n v="0"/>
    <m/>
    <m/>
    <m/>
    <m/>
    <m/>
    <m/>
    <m/>
    <m/>
    <m/>
    <m/>
    <m/>
    <m/>
    <m/>
    <m/>
    <m/>
    <m/>
    <m/>
    <m/>
    <m/>
    <m/>
    <m/>
    <m/>
    <m/>
    <m/>
    <m/>
    <m/>
    <m/>
    <m/>
    <m/>
    <m/>
    <m/>
    <m/>
    <m/>
    <m/>
  </r>
  <r>
    <m/>
    <m/>
    <s v="ZBTO"/>
    <m/>
    <m/>
    <s v="9518439537-2"/>
    <m/>
    <s v="Stocks"/>
    <m/>
    <x v="1"/>
    <x v="5"/>
    <m/>
    <m/>
    <x v="0"/>
    <m/>
    <m/>
    <m/>
    <m/>
    <m/>
    <m/>
    <m/>
    <s v="Balmer Lawrie &amp; Co. Ltd.,"/>
    <n v="2170008"/>
    <s v="CRCA COIL TATXXD BT01 0.970X1220"/>
    <m/>
    <m/>
    <m/>
    <m/>
    <m/>
    <s v="C01"/>
    <s v="TATXXD"/>
    <s v="BT01"/>
    <n v="0.97"/>
    <n v="1220"/>
    <m/>
    <m/>
    <m/>
    <m/>
    <m/>
    <m/>
    <m/>
    <m/>
    <m/>
    <m/>
    <m/>
    <m/>
    <m/>
    <m/>
    <m/>
    <m/>
    <m/>
    <m/>
    <m/>
    <m/>
    <m/>
    <m/>
    <m/>
    <m/>
    <m/>
    <m/>
    <m/>
    <m/>
    <m/>
    <m/>
    <m/>
    <m/>
    <m/>
    <m/>
    <m/>
    <m/>
    <n v="8.6649999999999991"/>
    <n v="0"/>
    <n v="0"/>
    <n v="0"/>
    <n v="0"/>
    <n v="0"/>
    <n v="0"/>
    <n v="8.6649999999999991"/>
    <n v="0"/>
    <n v="8.6649999999999991"/>
    <n v="0"/>
    <n v="0"/>
    <n v="0"/>
    <n v="0"/>
    <m/>
    <m/>
    <m/>
    <m/>
    <m/>
    <m/>
    <m/>
    <m/>
    <m/>
    <m/>
    <m/>
    <m/>
    <m/>
    <m/>
    <m/>
    <m/>
    <m/>
    <m/>
    <m/>
    <m/>
    <m/>
    <m/>
    <m/>
    <m/>
    <m/>
    <m/>
    <m/>
    <m/>
    <m/>
    <m/>
    <m/>
    <m/>
    <m/>
    <m/>
  </r>
  <r>
    <m/>
    <m/>
    <s v="ZBTO"/>
    <m/>
    <m/>
    <s v="9518439537-3"/>
    <m/>
    <s v="Stocks"/>
    <m/>
    <x v="1"/>
    <x v="5"/>
    <m/>
    <m/>
    <x v="0"/>
    <m/>
    <m/>
    <m/>
    <m/>
    <m/>
    <m/>
    <m/>
    <s v="Balmer Lawrie &amp; Co. Ltd.,"/>
    <n v="2164800"/>
    <s v="CRCA COIL TATXXD BT02 0.970X913"/>
    <m/>
    <m/>
    <m/>
    <m/>
    <m/>
    <s v="C01"/>
    <s v="TATXXD"/>
    <s v="BT02"/>
    <n v="0.97"/>
    <n v="913"/>
    <m/>
    <m/>
    <m/>
    <m/>
    <m/>
    <m/>
    <m/>
    <m/>
    <m/>
    <m/>
    <m/>
    <m/>
    <m/>
    <m/>
    <m/>
    <m/>
    <m/>
    <m/>
    <m/>
    <m/>
    <m/>
    <m/>
    <m/>
    <m/>
    <m/>
    <m/>
    <m/>
    <m/>
    <m/>
    <m/>
    <m/>
    <m/>
    <m/>
    <m/>
    <m/>
    <m/>
    <n v="9.1"/>
    <n v="0"/>
    <n v="0"/>
    <n v="0"/>
    <n v="0"/>
    <n v="0"/>
    <n v="0"/>
    <n v="9.1"/>
    <n v="0"/>
    <n v="9.1"/>
    <n v="0"/>
    <n v="0"/>
    <n v="0"/>
    <n v="0"/>
    <m/>
    <m/>
    <m/>
    <m/>
    <m/>
    <m/>
    <m/>
    <m/>
    <m/>
    <m/>
    <m/>
    <m/>
    <m/>
    <m/>
    <m/>
    <m/>
    <m/>
    <m/>
    <m/>
    <m/>
    <m/>
    <m/>
    <m/>
    <m/>
    <m/>
    <m/>
    <m/>
    <m/>
    <m/>
    <m/>
    <m/>
    <m/>
    <m/>
    <m/>
  </r>
  <r>
    <m/>
    <m/>
    <s v="ZBTO"/>
    <m/>
    <m/>
    <s v="9518439731-1"/>
    <m/>
    <s v="Stocks"/>
    <m/>
    <x v="4"/>
    <x v="7"/>
    <m/>
    <m/>
    <x v="0"/>
    <m/>
    <m/>
    <m/>
    <m/>
    <m/>
    <m/>
    <m/>
    <s v="TATA BLUESCOPE STEEL PVT LTD."/>
    <n v="3797658"/>
    <s v="PPGL C Y550 ISC6 0.40BMT(0.45TPT)X1220"/>
    <m/>
    <m/>
    <m/>
    <m/>
    <m/>
    <s v="B18"/>
    <s v="Y550PL"/>
    <s v="ISC6"/>
    <n v="0.4"/>
    <n v="1220"/>
    <m/>
    <m/>
    <m/>
    <m/>
    <m/>
    <m/>
    <m/>
    <m/>
    <m/>
    <m/>
    <m/>
    <m/>
    <m/>
    <m/>
    <m/>
    <m/>
    <m/>
    <m/>
    <m/>
    <m/>
    <m/>
    <m/>
    <m/>
    <m/>
    <m/>
    <m/>
    <m/>
    <m/>
    <m/>
    <m/>
    <m/>
    <m/>
    <m/>
    <m/>
    <m/>
    <m/>
    <n v="55.280000000000008"/>
    <n v="0"/>
    <n v="0"/>
    <n v="0"/>
    <n v="0"/>
    <n v="0"/>
    <n v="0"/>
    <n v="55.280000000000008"/>
    <n v="0"/>
    <n v="0"/>
    <n v="0"/>
    <n v="0"/>
    <n v="55.280000000000008"/>
    <n v="0"/>
    <m/>
    <m/>
    <m/>
    <m/>
    <m/>
    <m/>
    <m/>
    <m/>
    <m/>
    <m/>
    <m/>
    <m/>
    <m/>
    <m/>
    <m/>
    <m/>
    <m/>
    <m/>
    <m/>
    <m/>
    <m/>
    <m/>
    <m/>
    <m/>
    <m/>
    <m/>
    <m/>
    <m/>
    <m/>
    <m/>
    <m/>
    <m/>
    <m/>
    <m/>
  </r>
  <r>
    <m/>
    <m/>
    <s v="ZBTO"/>
    <m/>
    <m/>
    <s v="9518444317-1"/>
    <m/>
    <s v="Stocks"/>
    <m/>
    <x v="1"/>
    <x v="3"/>
    <m/>
    <m/>
    <x v="0"/>
    <m/>
    <m/>
    <m/>
    <m/>
    <m/>
    <m/>
    <m/>
    <s v="VIJAY VENKAT STEELS PRIVATE LIMITED"/>
    <n v="185675"/>
    <s v="CRCA COIL-TATXXD-AU03-0.5X1250"/>
    <m/>
    <m/>
    <m/>
    <m/>
    <m/>
    <s v="C01"/>
    <s v="TATXXD"/>
    <s v="AU03"/>
    <n v="0.5"/>
    <n v="1250"/>
    <m/>
    <m/>
    <m/>
    <m/>
    <m/>
    <m/>
    <m/>
    <m/>
    <m/>
    <m/>
    <m/>
    <m/>
    <m/>
    <m/>
    <m/>
    <m/>
    <m/>
    <m/>
    <m/>
    <m/>
    <m/>
    <m/>
    <m/>
    <m/>
    <m/>
    <m/>
    <m/>
    <m/>
    <m/>
    <m/>
    <m/>
    <m/>
    <m/>
    <m/>
    <m/>
    <m/>
    <n v="13.06"/>
    <n v="0"/>
    <n v="0"/>
    <n v="0"/>
    <n v="0"/>
    <n v="0"/>
    <n v="0"/>
    <n v="13.06"/>
    <n v="0"/>
    <n v="13.06"/>
    <n v="0"/>
    <n v="0"/>
    <n v="0"/>
    <n v="0"/>
    <m/>
    <m/>
    <m/>
    <m/>
    <m/>
    <m/>
    <m/>
    <m/>
    <m/>
    <m/>
    <m/>
    <m/>
    <m/>
    <m/>
    <m/>
    <m/>
    <m/>
    <m/>
    <m/>
    <m/>
    <m/>
    <m/>
    <m/>
    <m/>
    <m/>
    <m/>
    <m/>
    <m/>
    <m/>
    <m/>
    <m/>
    <m/>
    <m/>
    <m/>
  </r>
  <r>
    <m/>
    <m/>
    <s v="ZBTO"/>
    <m/>
    <m/>
    <s v="9518450786-1"/>
    <m/>
    <s v="Stocks"/>
    <m/>
    <x v="2"/>
    <x v="10"/>
    <m/>
    <m/>
    <x v="0"/>
    <m/>
    <m/>
    <m/>
    <m/>
    <m/>
    <m/>
    <m/>
    <s v="BMW VENTURES LIMITED"/>
    <n v="3907468"/>
    <s v="GP COIL TATXGP GP02 0.350X1350"/>
    <m/>
    <m/>
    <m/>
    <m/>
    <m/>
    <s v="C05"/>
    <s v="TATXGP"/>
    <s v="GP02"/>
    <n v="0.35"/>
    <n v="1350"/>
    <m/>
    <m/>
    <m/>
    <m/>
    <m/>
    <m/>
    <m/>
    <m/>
    <m/>
    <m/>
    <m/>
    <m/>
    <m/>
    <m/>
    <m/>
    <m/>
    <m/>
    <m/>
    <m/>
    <m/>
    <m/>
    <m/>
    <m/>
    <m/>
    <m/>
    <m/>
    <m/>
    <m/>
    <m/>
    <m/>
    <m/>
    <m/>
    <m/>
    <m/>
    <m/>
    <m/>
    <n v="13.555"/>
    <n v="0"/>
    <n v="0"/>
    <n v="0"/>
    <n v="0"/>
    <n v="0"/>
    <n v="0"/>
    <n v="13.555"/>
    <n v="0"/>
    <n v="13.555"/>
    <n v="0"/>
    <n v="0"/>
    <n v="0"/>
    <n v="0"/>
    <m/>
    <m/>
    <m/>
    <m/>
    <m/>
    <m/>
    <m/>
    <m/>
    <m/>
    <m/>
    <m/>
    <m/>
    <m/>
    <m/>
    <m/>
    <m/>
    <m/>
    <m/>
    <m/>
    <m/>
    <m/>
    <m/>
    <m/>
    <m/>
    <m/>
    <m/>
    <m/>
    <m/>
    <m/>
    <m/>
    <m/>
    <m/>
    <m/>
    <m/>
  </r>
  <r>
    <m/>
    <m/>
    <s v="ZBTO"/>
    <m/>
    <m/>
    <s v="9518450786-3"/>
    <m/>
    <s v="Stocks"/>
    <m/>
    <x v="2"/>
    <x v="10"/>
    <m/>
    <m/>
    <x v="0"/>
    <m/>
    <m/>
    <m/>
    <m/>
    <m/>
    <m/>
    <m/>
    <s v="BMW VENTURES LIMITED"/>
    <n v="3774103"/>
    <s v="GP COIL TATXGP GP02 0.450X1350"/>
    <m/>
    <m/>
    <m/>
    <m/>
    <m/>
    <s v="C05"/>
    <s v="TATXGP"/>
    <s v="GP02"/>
    <n v="0.45"/>
    <n v="1350"/>
    <m/>
    <m/>
    <m/>
    <m/>
    <m/>
    <m/>
    <m/>
    <m/>
    <m/>
    <m/>
    <m/>
    <m/>
    <m/>
    <m/>
    <m/>
    <m/>
    <m/>
    <m/>
    <m/>
    <m/>
    <m/>
    <m/>
    <m/>
    <m/>
    <m/>
    <m/>
    <m/>
    <m/>
    <m/>
    <m/>
    <m/>
    <m/>
    <m/>
    <m/>
    <m/>
    <m/>
    <n v="14.170000000000002"/>
    <n v="0"/>
    <n v="0"/>
    <n v="0"/>
    <n v="0"/>
    <n v="0"/>
    <n v="0"/>
    <n v="14.170000000000002"/>
    <n v="0"/>
    <n v="14.170000000000002"/>
    <n v="0"/>
    <n v="0"/>
    <n v="0"/>
    <n v="0"/>
    <m/>
    <m/>
    <m/>
    <m/>
    <m/>
    <m/>
    <m/>
    <m/>
    <m/>
    <m/>
    <m/>
    <m/>
    <m/>
    <m/>
    <m/>
    <m/>
    <m/>
    <m/>
    <m/>
    <m/>
    <m/>
    <m/>
    <m/>
    <m/>
    <m/>
    <m/>
    <m/>
    <m/>
    <m/>
    <m/>
    <m/>
    <m/>
    <m/>
    <m/>
  </r>
  <r>
    <m/>
    <m/>
    <s v="ZBTO"/>
    <m/>
    <m/>
    <s v="9518453202-1"/>
    <m/>
    <s v="Stocks"/>
    <m/>
    <x v="4"/>
    <x v="7"/>
    <m/>
    <m/>
    <x v="0"/>
    <m/>
    <m/>
    <m/>
    <m/>
    <m/>
    <m/>
    <m/>
    <s v="TATA BLUESCOPE STEEL PVT LTD."/>
    <n v="3522241"/>
    <s v="PPGL C Y550 D0C7 0.43BMT(0.47TPT)X1220"/>
    <m/>
    <m/>
    <m/>
    <m/>
    <m/>
    <s v="B18"/>
    <s v="Y550PL"/>
    <s v="D0C7"/>
    <n v="0.43"/>
    <n v="1220"/>
    <n v="5527"/>
    <m/>
    <m/>
    <m/>
    <m/>
    <m/>
    <m/>
    <m/>
    <m/>
    <m/>
    <m/>
    <m/>
    <m/>
    <m/>
    <m/>
    <m/>
    <m/>
    <m/>
    <m/>
    <m/>
    <m/>
    <m/>
    <m/>
    <m/>
    <m/>
    <m/>
    <m/>
    <m/>
    <m/>
    <m/>
    <m/>
    <m/>
    <m/>
    <m/>
    <m/>
    <m/>
    <n v="276"/>
    <n v="0"/>
    <n v="0"/>
    <n v="0"/>
    <n v="0"/>
    <n v="0"/>
    <n v="0"/>
    <n v="276"/>
    <n v="0"/>
    <n v="0"/>
    <n v="0"/>
    <n v="0"/>
    <n v="276"/>
    <n v="0"/>
    <m/>
    <m/>
    <m/>
    <m/>
    <m/>
    <m/>
    <m/>
    <m/>
    <m/>
    <m/>
    <m/>
    <m/>
    <m/>
    <m/>
    <m/>
    <m/>
    <m/>
    <m/>
    <m/>
    <m/>
    <m/>
    <m/>
    <m/>
    <m/>
    <m/>
    <m/>
    <m/>
    <m/>
    <m/>
    <m/>
    <m/>
    <m/>
    <m/>
    <m/>
  </r>
  <r>
    <m/>
    <m/>
    <s v="ZBTO"/>
    <m/>
    <m/>
    <s v="9518453235-4"/>
    <m/>
    <s v="Stocks"/>
    <m/>
    <x v="4"/>
    <x v="7"/>
    <m/>
    <m/>
    <x v="0"/>
    <m/>
    <m/>
    <m/>
    <m/>
    <m/>
    <m/>
    <m/>
    <s v="TATA BLUESCOPE STEEL PVT LTD."/>
    <n v="3883538"/>
    <s v="PPGL C HARD Y550PL ISC6 0.300X1220"/>
    <m/>
    <m/>
    <m/>
    <m/>
    <m/>
    <s v="B18"/>
    <s v="Y550PL"/>
    <s v="ISC6"/>
    <n v="0.3"/>
    <n v="1220"/>
    <m/>
    <m/>
    <m/>
    <m/>
    <m/>
    <m/>
    <m/>
    <m/>
    <m/>
    <m/>
    <m/>
    <m/>
    <m/>
    <m/>
    <m/>
    <m/>
    <m/>
    <m/>
    <m/>
    <m/>
    <m/>
    <m/>
    <m/>
    <m/>
    <m/>
    <m/>
    <m/>
    <m/>
    <m/>
    <m/>
    <m/>
    <m/>
    <m/>
    <m/>
    <m/>
    <m/>
    <n v="10.904999999999999"/>
    <n v="0"/>
    <n v="0"/>
    <n v="0"/>
    <n v="0"/>
    <n v="0"/>
    <n v="0"/>
    <n v="10.904999999999999"/>
    <n v="0"/>
    <n v="0"/>
    <n v="0"/>
    <n v="0"/>
    <n v="10.904999999999999"/>
    <n v="0"/>
    <m/>
    <m/>
    <m/>
    <m/>
    <m/>
    <m/>
    <m/>
    <m/>
    <m/>
    <m/>
    <m/>
    <m/>
    <m/>
    <m/>
    <m/>
    <m/>
    <m/>
    <m/>
    <m/>
    <m/>
    <m/>
    <m/>
    <m/>
    <m/>
    <m/>
    <m/>
    <m/>
    <m/>
    <m/>
    <m/>
    <m/>
    <m/>
    <m/>
    <m/>
  </r>
  <r>
    <m/>
    <m/>
    <s v="ZBTO"/>
    <m/>
    <m/>
    <s v="9518453235-6"/>
    <m/>
    <s v="Stocks"/>
    <m/>
    <x v="4"/>
    <x v="7"/>
    <m/>
    <m/>
    <x v="0"/>
    <m/>
    <m/>
    <m/>
    <m/>
    <m/>
    <m/>
    <m/>
    <s v="TATA BLUESCOPE STEEL PVT LTD."/>
    <n v="3883538"/>
    <s v="PPGL C HARD Y550PL ISC6 0.300X1220"/>
    <m/>
    <m/>
    <m/>
    <m/>
    <m/>
    <s v="B18"/>
    <s v="Y550PL"/>
    <s v="ISC6"/>
    <n v="0.3"/>
    <n v="1220"/>
    <m/>
    <m/>
    <m/>
    <m/>
    <m/>
    <m/>
    <m/>
    <m/>
    <m/>
    <m/>
    <m/>
    <m/>
    <m/>
    <m/>
    <m/>
    <m/>
    <m/>
    <m/>
    <m/>
    <m/>
    <m/>
    <m/>
    <m/>
    <m/>
    <m/>
    <m/>
    <m/>
    <m/>
    <m/>
    <m/>
    <m/>
    <m/>
    <m/>
    <m/>
    <m/>
    <m/>
    <n v="3.09"/>
    <n v="0"/>
    <n v="0"/>
    <n v="0"/>
    <n v="0"/>
    <n v="0"/>
    <n v="0"/>
    <n v="3.09"/>
    <n v="0"/>
    <n v="0"/>
    <n v="0"/>
    <n v="0"/>
    <n v="3.09"/>
    <n v="0"/>
    <m/>
    <m/>
    <m/>
    <m/>
    <m/>
    <m/>
    <m/>
    <m/>
    <m/>
    <m/>
    <m/>
    <m/>
    <m/>
    <m/>
    <m/>
    <m/>
    <m/>
    <m/>
    <m/>
    <m/>
    <m/>
    <m/>
    <m/>
    <m/>
    <m/>
    <m/>
    <m/>
    <m/>
    <m/>
    <m/>
    <m/>
    <m/>
    <m/>
    <m/>
  </r>
  <r>
    <m/>
    <m/>
    <s v="ZBTO"/>
    <m/>
    <m/>
    <s v="9518453703-2"/>
    <m/>
    <s v="Stocks"/>
    <m/>
    <x v="4"/>
    <x v="7"/>
    <m/>
    <m/>
    <x v="0"/>
    <m/>
    <m/>
    <m/>
    <m/>
    <m/>
    <m/>
    <m/>
    <s v="TATA BLUESCOPE STEEL PVT LTD."/>
    <n v="3930916"/>
    <s v="PPGL C HARD Y550PL ISC6 0.350X1220"/>
    <m/>
    <m/>
    <m/>
    <m/>
    <m/>
    <s v="B18"/>
    <s v="Y550PL"/>
    <s v="ISC6"/>
    <n v="0.35"/>
    <n v="1220"/>
    <m/>
    <m/>
    <m/>
    <m/>
    <m/>
    <m/>
    <m/>
    <m/>
    <m/>
    <m/>
    <m/>
    <m/>
    <m/>
    <m/>
    <m/>
    <m/>
    <m/>
    <m/>
    <m/>
    <m/>
    <m/>
    <m/>
    <m/>
    <m/>
    <m/>
    <m/>
    <m/>
    <m/>
    <m/>
    <m/>
    <m/>
    <m/>
    <m/>
    <m/>
    <m/>
    <m/>
    <n v="10.98"/>
    <n v="0"/>
    <n v="0"/>
    <n v="0"/>
    <n v="0"/>
    <n v="0"/>
    <n v="0"/>
    <n v="10.98"/>
    <n v="0"/>
    <n v="0"/>
    <n v="0"/>
    <n v="0"/>
    <n v="10.98"/>
    <n v="0"/>
    <m/>
    <m/>
    <m/>
    <m/>
    <m/>
    <m/>
    <m/>
    <m/>
    <m/>
    <m/>
    <m/>
    <m/>
    <m/>
    <m/>
    <m/>
    <m/>
    <m/>
    <m/>
    <m/>
    <m/>
    <m/>
    <m/>
    <m/>
    <m/>
    <m/>
    <m/>
    <m/>
    <m/>
    <m/>
    <m/>
    <m/>
    <m/>
    <m/>
    <m/>
  </r>
  <r>
    <m/>
    <m/>
    <s v="ZBTO"/>
    <m/>
    <m/>
    <s v="9518461196-2"/>
    <m/>
    <s v="Stocks"/>
    <m/>
    <x v="4"/>
    <x v="7"/>
    <m/>
    <m/>
    <x v="0"/>
    <m/>
    <m/>
    <m/>
    <m/>
    <m/>
    <m/>
    <m/>
    <s v="TATA BLUESCOPE STEEL PVT LTD."/>
    <n v="3883538"/>
    <s v="PPGL C HARD Y550PL ISC6 0.300X1220"/>
    <m/>
    <m/>
    <m/>
    <m/>
    <m/>
    <s v="B18"/>
    <s v="Y550PL"/>
    <s v="ISC6"/>
    <n v="0.3"/>
    <n v="1220"/>
    <m/>
    <m/>
    <m/>
    <m/>
    <m/>
    <m/>
    <m/>
    <m/>
    <m/>
    <m/>
    <m/>
    <m/>
    <m/>
    <m/>
    <m/>
    <m/>
    <m/>
    <m/>
    <m/>
    <m/>
    <m/>
    <m/>
    <m/>
    <m/>
    <m/>
    <m/>
    <m/>
    <m/>
    <m/>
    <m/>
    <m/>
    <m/>
    <m/>
    <m/>
    <m/>
    <m/>
    <n v="18.195"/>
    <n v="0"/>
    <n v="0"/>
    <n v="0"/>
    <n v="0"/>
    <n v="0"/>
    <n v="0"/>
    <n v="18.195"/>
    <n v="0"/>
    <n v="0"/>
    <n v="0"/>
    <n v="0"/>
    <n v="18.195"/>
    <n v="0"/>
    <m/>
    <m/>
    <m/>
    <m/>
    <m/>
    <m/>
    <m/>
    <m/>
    <m/>
    <m/>
    <m/>
    <m/>
    <m/>
    <m/>
    <m/>
    <m/>
    <m/>
    <m/>
    <m/>
    <m/>
    <m/>
    <m/>
    <m/>
    <m/>
    <m/>
    <m/>
    <m/>
    <m/>
    <m/>
    <m/>
    <m/>
    <m/>
    <m/>
    <m/>
  </r>
  <r>
    <m/>
    <m/>
    <s v="ZBTO"/>
    <m/>
    <m/>
    <s v="9518469175-1"/>
    <m/>
    <s v="Stocks"/>
    <m/>
    <x v="3"/>
    <x v="7"/>
    <m/>
    <m/>
    <x v="0"/>
    <m/>
    <m/>
    <m/>
    <m/>
    <m/>
    <m/>
    <m/>
    <s v="TATA BLUESCOPE STEEL PRIVATE LIMITE"/>
    <n v="3239573"/>
    <s v="GL C YS550 H6GL 0.42BMT(0.47TCT)X1220"/>
    <m/>
    <m/>
    <m/>
    <m/>
    <m/>
    <s v="B04"/>
    <s v="Y550GL"/>
    <s v="H6GL"/>
    <n v="0.42"/>
    <n v="1220"/>
    <m/>
    <m/>
    <m/>
    <m/>
    <m/>
    <m/>
    <m/>
    <m/>
    <m/>
    <m/>
    <m/>
    <m/>
    <m/>
    <m/>
    <m/>
    <m/>
    <m/>
    <m/>
    <m/>
    <m/>
    <m/>
    <m/>
    <m/>
    <m/>
    <m/>
    <m/>
    <m/>
    <m/>
    <m/>
    <m/>
    <m/>
    <m/>
    <m/>
    <m/>
    <m/>
    <m/>
    <n v="4.5599999999999996"/>
    <n v="0"/>
    <n v="0"/>
    <n v="0"/>
    <n v="0"/>
    <n v="0"/>
    <n v="0"/>
    <n v="4.5599999999999996"/>
    <n v="0"/>
    <n v="0"/>
    <n v="0"/>
    <n v="0"/>
    <n v="4.5599999999999996"/>
    <n v="0"/>
    <m/>
    <m/>
    <m/>
    <m/>
    <m/>
    <m/>
    <m/>
    <m/>
    <m/>
    <m/>
    <m/>
    <m/>
    <m/>
    <m/>
    <m/>
    <m/>
    <m/>
    <m/>
    <m/>
    <m/>
    <m/>
    <m/>
    <m/>
    <m/>
    <m/>
    <m/>
    <m/>
    <m/>
    <m/>
    <m/>
    <m/>
    <m/>
    <m/>
    <m/>
  </r>
  <r>
    <m/>
    <m/>
    <s v="ZBTO"/>
    <m/>
    <m/>
    <s v="9518469175-5"/>
    <m/>
    <s v="Stocks"/>
    <m/>
    <x v="3"/>
    <x v="7"/>
    <m/>
    <m/>
    <x v="0"/>
    <m/>
    <m/>
    <m/>
    <m/>
    <m/>
    <m/>
    <m/>
    <s v="TATA BLUESCOPE STEEL PRIVATE LIMITE"/>
    <n v="1881969"/>
    <s v="GL C YS550 H6GL 0.45BMT(0.50TCT)X1220"/>
    <m/>
    <m/>
    <m/>
    <m/>
    <m/>
    <s v="B04"/>
    <s v="Y550GL"/>
    <s v="H6GL"/>
    <n v="0.45"/>
    <n v="1220"/>
    <m/>
    <m/>
    <m/>
    <m/>
    <m/>
    <m/>
    <m/>
    <m/>
    <m/>
    <m/>
    <m/>
    <m/>
    <m/>
    <m/>
    <m/>
    <m/>
    <m/>
    <m/>
    <m/>
    <m/>
    <m/>
    <m/>
    <m/>
    <m/>
    <m/>
    <m/>
    <m/>
    <m/>
    <m/>
    <m/>
    <m/>
    <m/>
    <m/>
    <m/>
    <m/>
    <m/>
    <n v="7.88"/>
    <n v="0"/>
    <n v="0"/>
    <n v="0"/>
    <n v="0"/>
    <n v="0"/>
    <n v="0"/>
    <n v="7.88"/>
    <n v="0"/>
    <n v="0"/>
    <n v="0"/>
    <n v="0"/>
    <n v="7.88"/>
    <n v="0"/>
    <m/>
    <m/>
    <m/>
    <m/>
    <m/>
    <m/>
    <m/>
    <m/>
    <m/>
    <m/>
    <m/>
    <m/>
    <m/>
    <m/>
    <m/>
    <m/>
    <m/>
    <m/>
    <m/>
    <m/>
    <m/>
    <m/>
    <m/>
    <m/>
    <m/>
    <m/>
    <m/>
    <m/>
    <m/>
    <m/>
    <m/>
    <m/>
    <m/>
    <m/>
  </r>
  <r>
    <m/>
    <m/>
    <s v="ZBTO"/>
    <m/>
    <m/>
    <s v="9518469175-6"/>
    <m/>
    <s v="Stocks"/>
    <m/>
    <x v="3"/>
    <x v="7"/>
    <m/>
    <m/>
    <x v="0"/>
    <m/>
    <m/>
    <m/>
    <m/>
    <m/>
    <m/>
    <m/>
    <s v="TATA BLUESCOPE STEEL PRIVATE LIMITE"/>
    <n v="1881969"/>
    <s v="GL C YS550 H6GL 0.45BMT(0.50TCT)X1220"/>
    <m/>
    <m/>
    <m/>
    <m/>
    <m/>
    <s v="B04"/>
    <s v="Y550GL"/>
    <s v="H6GL"/>
    <n v="0.45"/>
    <n v="1220"/>
    <m/>
    <m/>
    <m/>
    <m/>
    <m/>
    <m/>
    <m/>
    <m/>
    <m/>
    <m/>
    <m/>
    <m/>
    <m/>
    <m/>
    <m/>
    <m/>
    <m/>
    <m/>
    <m/>
    <m/>
    <m/>
    <m/>
    <m/>
    <m/>
    <m/>
    <m/>
    <m/>
    <m/>
    <m/>
    <m/>
    <m/>
    <m/>
    <m/>
    <m/>
    <m/>
    <m/>
    <n v="12.73"/>
    <n v="0"/>
    <n v="0"/>
    <n v="0"/>
    <n v="0"/>
    <n v="0"/>
    <n v="0"/>
    <n v="12.73"/>
    <n v="0"/>
    <n v="0"/>
    <n v="0"/>
    <n v="0"/>
    <n v="12.73"/>
    <n v="0"/>
    <m/>
    <m/>
    <m/>
    <m/>
    <m/>
    <m/>
    <m/>
    <m/>
    <m/>
    <m/>
    <m/>
    <m/>
    <m/>
    <m/>
    <m/>
    <m/>
    <m/>
    <m/>
    <m/>
    <m/>
    <m/>
    <m/>
    <m/>
    <m/>
    <m/>
    <m/>
    <m/>
    <m/>
    <m/>
    <m/>
    <m/>
    <m/>
    <m/>
    <m/>
  </r>
  <r>
    <m/>
    <m/>
    <s v="ZBTO"/>
    <m/>
    <m/>
    <s v="9518469175-7"/>
    <m/>
    <s v="Stocks"/>
    <m/>
    <x v="3"/>
    <x v="7"/>
    <m/>
    <m/>
    <x v="0"/>
    <m/>
    <m/>
    <m/>
    <m/>
    <m/>
    <m/>
    <m/>
    <s v="TATA BLUESCOPE STEEL PRIVATE LIMITE"/>
    <n v="1881969"/>
    <s v="GL C YS550 H6GL 0.45BMT(0.50TCT)X1220"/>
    <m/>
    <m/>
    <m/>
    <m/>
    <m/>
    <s v="B04"/>
    <s v="Y550GL"/>
    <s v="H6GL"/>
    <n v="0.45"/>
    <n v="1220"/>
    <m/>
    <m/>
    <m/>
    <m/>
    <m/>
    <m/>
    <m/>
    <m/>
    <m/>
    <m/>
    <m/>
    <m/>
    <m/>
    <m/>
    <m/>
    <m/>
    <m/>
    <m/>
    <m/>
    <m/>
    <m/>
    <m/>
    <m/>
    <m/>
    <m/>
    <m/>
    <m/>
    <m/>
    <m/>
    <m/>
    <m/>
    <m/>
    <m/>
    <m/>
    <m/>
    <m/>
    <n v="5.0750000000000002"/>
    <n v="0"/>
    <n v="0"/>
    <n v="0"/>
    <n v="0"/>
    <n v="0"/>
    <n v="0"/>
    <n v="5.0750000000000002"/>
    <n v="0"/>
    <n v="0"/>
    <n v="0"/>
    <n v="0"/>
    <n v="5.0750000000000002"/>
    <n v="0"/>
    <m/>
    <m/>
    <m/>
    <m/>
    <m/>
    <m/>
    <m/>
    <m/>
    <m/>
    <m/>
    <m/>
    <m/>
    <m/>
    <m/>
    <m/>
    <m/>
    <m/>
    <m/>
    <m/>
    <m/>
    <m/>
    <m/>
    <m/>
    <m/>
    <m/>
    <m/>
    <m/>
    <m/>
    <m/>
    <m/>
    <m/>
    <m/>
    <m/>
    <m/>
  </r>
  <r>
    <m/>
    <m/>
    <s v="ZBTO"/>
    <m/>
    <m/>
    <s v="9518469241-1"/>
    <m/>
    <s v="Stocks"/>
    <m/>
    <x v="4"/>
    <x v="7"/>
    <m/>
    <m/>
    <x v="0"/>
    <m/>
    <m/>
    <m/>
    <m/>
    <m/>
    <m/>
    <m/>
    <s v="TATA BLUESCOPE STEEL PRIVATE LIMITE"/>
    <n v="1633706"/>
    <s v="PPGL C Y550 HPL3 0.42BMT(0.50TPT)X1220"/>
    <m/>
    <m/>
    <m/>
    <m/>
    <m/>
    <s v="B18"/>
    <s v="Y550PL"/>
    <s v="HPL3"/>
    <n v="0.42"/>
    <n v="1220"/>
    <n v="5939"/>
    <m/>
    <m/>
    <m/>
    <m/>
    <m/>
    <m/>
    <m/>
    <m/>
    <m/>
    <m/>
    <m/>
    <m/>
    <m/>
    <m/>
    <m/>
    <m/>
    <m/>
    <m/>
    <m/>
    <m/>
    <m/>
    <m/>
    <m/>
    <m/>
    <m/>
    <m/>
    <m/>
    <m/>
    <m/>
    <m/>
    <m/>
    <m/>
    <m/>
    <m/>
    <m/>
    <n v="20.145000000000003"/>
    <n v="0"/>
    <n v="0"/>
    <n v="0"/>
    <n v="0"/>
    <n v="0"/>
    <n v="0"/>
    <n v="20.145000000000003"/>
    <n v="0"/>
    <n v="0"/>
    <n v="0"/>
    <n v="0"/>
    <n v="20.145000000000003"/>
    <n v="0"/>
    <m/>
    <m/>
    <m/>
    <m/>
    <m/>
    <m/>
    <m/>
    <m/>
    <m/>
    <m/>
    <m/>
    <m/>
    <m/>
    <m/>
    <m/>
    <m/>
    <m/>
    <m/>
    <m/>
    <m/>
    <m/>
    <m/>
    <m/>
    <m/>
    <m/>
    <m/>
    <m/>
    <m/>
    <m/>
    <m/>
    <m/>
    <m/>
    <m/>
    <m/>
  </r>
  <r>
    <m/>
    <m/>
    <s v="ZBTO"/>
    <m/>
    <m/>
    <s v="9518469304-4"/>
    <m/>
    <s v="Stocks"/>
    <m/>
    <x v="4"/>
    <x v="7"/>
    <m/>
    <m/>
    <x v="0"/>
    <m/>
    <m/>
    <m/>
    <m/>
    <m/>
    <m/>
    <m/>
    <s v="TATA BLUESCOPE STEEL PRIVATE LIMITE"/>
    <n v="3902332"/>
    <s v="PPGL C HARD Y550PL D0C9 0.50(TPT)X1220"/>
    <m/>
    <m/>
    <m/>
    <m/>
    <m/>
    <s v="B18"/>
    <s v="Y550PL"/>
    <s v="D0C9"/>
    <n v="0.5"/>
    <n v="1220"/>
    <n v="5936"/>
    <m/>
    <m/>
    <m/>
    <m/>
    <m/>
    <m/>
    <m/>
    <m/>
    <m/>
    <m/>
    <m/>
    <m/>
    <m/>
    <m/>
    <m/>
    <m/>
    <m/>
    <m/>
    <m/>
    <m/>
    <m/>
    <m/>
    <m/>
    <m/>
    <m/>
    <m/>
    <m/>
    <m/>
    <m/>
    <m/>
    <m/>
    <m/>
    <m/>
    <m/>
    <m/>
    <n v="17"/>
    <n v="0"/>
    <n v="0"/>
    <n v="0"/>
    <n v="0"/>
    <n v="0"/>
    <n v="0"/>
    <n v="17"/>
    <n v="0"/>
    <n v="0"/>
    <n v="0"/>
    <n v="0"/>
    <n v="17"/>
    <n v="0"/>
    <m/>
    <m/>
    <m/>
    <m/>
    <m/>
    <m/>
    <m/>
    <m/>
    <m/>
    <m/>
    <m/>
    <m/>
    <m/>
    <m/>
    <m/>
    <m/>
    <m/>
    <m/>
    <m/>
    <m/>
    <m/>
    <m/>
    <m/>
    <m/>
    <m/>
    <m/>
    <m/>
    <m/>
    <m/>
    <m/>
    <m/>
    <m/>
    <m/>
    <m/>
  </r>
  <r>
    <m/>
    <m/>
    <s v="ZBTO"/>
    <m/>
    <m/>
    <s v="9518469304-5"/>
    <m/>
    <s v="Stocks"/>
    <m/>
    <x v="4"/>
    <x v="7"/>
    <m/>
    <m/>
    <x v="0"/>
    <m/>
    <m/>
    <m/>
    <m/>
    <m/>
    <m/>
    <m/>
    <s v="TATA BLUESCOPE STEEL PRIVATE LIMITE"/>
    <n v="3902332"/>
    <s v="PPGL C HARD Y550PL D0C9 0.50(TPT)X1220"/>
    <m/>
    <m/>
    <m/>
    <m/>
    <m/>
    <s v="B18"/>
    <s v="Y550PL"/>
    <s v="D0C9"/>
    <n v="0.5"/>
    <n v="1220"/>
    <n v="5928"/>
    <m/>
    <m/>
    <m/>
    <m/>
    <m/>
    <m/>
    <m/>
    <m/>
    <m/>
    <m/>
    <m/>
    <m/>
    <m/>
    <m/>
    <m/>
    <m/>
    <m/>
    <m/>
    <m/>
    <m/>
    <m/>
    <m/>
    <m/>
    <m/>
    <m/>
    <m/>
    <m/>
    <m/>
    <m/>
    <m/>
    <m/>
    <m/>
    <m/>
    <m/>
    <m/>
    <n v="87"/>
    <n v="0"/>
    <n v="0"/>
    <n v="0"/>
    <n v="0"/>
    <n v="0"/>
    <n v="0"/>
    <n v="87"/>
    <n v="0"/>
    <n v="0"/>
    <n v="0"/>
    <n v="0"/>
    <n v="87"/>
    <n v="0"/>
    <m/>
    <m/>
    <m/>
    <m/>
    <m/>
    <m/>
    <m/>
    <m/>
    <m/>
    <m/>
    <m/>
    <m/>
    <m/>
    <m/>
    <m/>
    <m/>
    <m/>
    <m/>
    <m/>
    <m/>
    <m/>
    <m/>
    <m/>
    <m/>
    <m/>
    <m/>
    <m/>
    <m/>
    <m/>
    <m/>
    <m/>
    <m/>
    <m/>
    <m/>
  </r>
  <r>
    <m/>
    <m/>
    <s v="ZBTO"/>
    <m/>
    <m/>
    <s v="9518469563-1"/>
    <m/>
    <s v="Stocks"/>
    <m/>
    <x v="4"/>
    <x v="7"/>
    <m/>
    <m/>
    <x v="0"/>
    <m/>
    <m/>
    <m/>
    <m/>
    <m/>
    <m/>
    <m/>
    <s v="TATA BLUESCOPE STEEL PRIVATE LIMITE"/>
    <n v="3895039"/>
    <s v="PPGL C HARD Y550PL PLH5 0.420X1220"/>
    <m/>
    <m/>
    <m/>
    <m/>
    <m/>
    <s v="B18"/>
    <s v="Y550PL"/>
    <s v="PLH5"/>
    <n v="0.42"/>
    <n v="1220"/>
    <n v="5449"/>
    <m/>
    <m/>
    <m/>
    <m/>
    <m/>
    <m/>
    <m/>
    <m/>
    <m/>
    <m/>
    <m/>
    <m/>
    <m/>
    <m/>
    <m/>
    <m/>
    <m/>
    <m/>
    <m/>
    <m/>
    <m/>
    <m/>
    <m/>
    <m/>
    <m/>
    <m/>
    <m/>
    <m/>
    <m/>
    <m/>
    <m/>
    <m/>
    <m/>
    <m/>
    <m/>
    <n v="20.705000000000002"/>
    <n v="0"/>
    <n v="0"/>
    <n v="0"/>
    <n v="0"/>
    <n v="0"/>
    <n v="0"/>
    <n v="20.705000000000002"/>
    <n v="0"/>
    <n v="0"/>
    <n v="0"/>
    <n v="0"/>
    <n v="20.705000000000002"/>
    <n v="0"/>
    <m/>
    <m/>
    <m/>
    <m/>
    <m/>
    <m/>
    <m/>
    <m/>
    <m/>
    <m/>
    <m/>
    <m/>
    <m/>
    <m/>
    <m/>
    <m/>
    <m/>
    <m/>
    <m/>
    <m/>
    <m/>
    <m/>
    <m/>
    <m/>
    <m/>
    <m/>
    <m/>
    <m/>
    <m/>
    <m/>
    <m/>
    <m/>
    <m/>
    <m/>
  </r>
  <r>
    <m/>
    <m/>
    <s v="ZBTO"/>
    <m/>
    <m/>
    <s v="9518482357-3"/>
    <m/>
    <s v="Stocks"/>
    <m/>
    <x v="4"/>
    <x v="7"/>
    <m/>
    <m/>
    <x v="0"/>
    <m/>
    <m/>
    <m/>
    <m/>
    <m/>
    <m/>
    <m/>
    <s v="TATA BLUESCOPE STEEL PRIVATE LIMITE"/>
    <n v="3902332"/>
    <s v="PPGL C HARD Y550PL D0C9 0.50(TPT)X1220"/>
    <m/>
    <m/>
    <m/>
    <m/>
    <m/>
    <s v="B18"/>
    <s v="Y550PL"/>
    <s v="D0C9"/>
    <n v="0.5"/>
    <n v="1220"/>
    <m/>
    <m/>
    <m/>
    <m/>
    <m/>
    <m/>
    <m/>
    <m/>
    <m/>
    <m/>
    <m/>
    <m/>
    <m/>
    <m/>
    <m/>
    <m/>
    <m/>
    <m/>
    <m/>
    <m/>
    <m/>
    <m/>
    <m/>
    <m/>
    <m/>
    <m/>
    <m/>
    <m/>
    <m/>
    <m/>
    <m/>
    <m/>
    <m/>
    <m/>
    <m/>
    <m/>
    <n v="90.86"/>
    <n v="0"/>
    <n v="0"/>
    <n v="0"/>
    <n v="0"/>
    <n v="0"/>
    <n v="0"/>
    <n v="90.86"/>
    <n v="0"/>
    <n v="0"/>
    <n v="0"/>
    <n v="0"/>
    <n v="90.86"/>
    <n v="0"/>
    <m/>
    <m/>
    <m/>
    <m/>
    <m/>
    <m/>
    <m/>
    <m/>
    <m/>
    <m/>
    <m/>
    <m/>
    <m/>
    <m/>
    <m/>
    <m/>
    <m/>
    <m/>
    <m/>
    <m/>
    <m/>
    <m/>
    <m/>
    <m/>
    <m/>
    <m/>
    <m/>
    <m/>
    <m/>
    <m/>
    <m/>
    <m/>
    <m/>
    <m/>
  </r>
  <r>
    <m/>
    <m/>
    <s v="ZBTO"/>
    <m/>
    <m/>
    <s v="9518482357-4"/>
    <m/>
    <s v="Stocks"/>
    <m/>
    <x v="4"/>
    <x v="7"/>
    <m/>
    <m/>
    <x v="0"/>
    <m/>
    <m/>
    <m/>
    <m/>
    <m/>
    <m/>
    <m/>
    <s v="TATA BLUESCOPE STEEL PRIVATE LIMITE"/>
    <n v="3902332"/>
    <s v="PPGL C HARD Y550PL D0C9 0.50(TPT)X1220"/>
    <m/>
    <m/>
    <m/>
    <m/>
    <m/>
    <s v="B18"/>
    <s v="Y550PL"/>
    <s v="D0C9"/>
    <n v="0.5"/>
    <n v="1220"/>
    <m/>
    <m/>
    <m/>
    <m/>
    <m/>
    <m/>
    <m/>
    <m/>
    <m/>
    <m/>
    <m/>
    <m/>
    <m/>
    <m/>
    <m/>
    <m/>
    <m/>
    <m/>
    <m/>
    <m/>
    <m/>
    <m/>
    <m/>
    <m/>
    <m/>
    <m/>
    <m/>
    <m/>
    <m/>
    <m/>
    <m/>
    <m/>
    <m/>
    <m/>
    <m/>
    <m/>
    <n v="14.02"/>
    <n v="0"/>
    <n v="0"/>
    <n v="0"/>
    <n v="0"/>
    <n v="0"/>
    <n v="0"/>
    <n v="14.02"/>
    <n v="0"/>
    <n v="0"/>
    <n v="0"/>
    <n v="0"/>
    <n v="14.02"/>
    <n v="0"/>
    <m/>
    <m/>
    <m/>
    <m/>
    <m/>
    <m/>
    <m/>
    <m/>
    <m/>
    <m/>
    <m/>
    <m/>
    <m/>
    <m/>
    <m/>
    <m/>
    <m/>
    <m/>
    <m/>
    <m/>
    <m/>
    <m/>
    <m/>
    <m/>
    <m/>
    <m/>
    <m/>
    <m/>
    <m/>
    <m/>
    <m/>
    <m/>
    <m/>
    <m/>
  </r>
  <r>
    <m/>
    <m/>
    <s v="ZBTO"/>
    <m/>
    <m/>
    <s v="9518496388-1"/>
    <m/>
    <s v="Stocks"/>
    <m/>
    <x v="4"/>
    <x v="7"/>
    <m/>
    <m/>
    <x v="0"/>
    <m/>
    <m/>
    <m/>
    <m/>
    <m/>
    <m/>
    <m/>
    <s v="TATA BLUESCOPE STEEL PRIVATE LIMITE"/>
    <n v="1640840"/>
    <s v="PPGL C Y550 HPL3 0.45BMT(0.53TPT)X1220"/>
    <m/>
    <m/>
    <m/>
    <m/>
    <m/>
    <s v="B18"/>
    <s v="Y550PL"/>
    <s v="HPL3"/>
    <n v="0.45"/>
    <n v="1220"/>
    <n v="4956"/>
    <m/>
    <m/>
    <m/>
    <m/>
    <m/>
    <m/>
    <m/>
    <m/>
    <m/>
    <m/>
    <m/>
    <m/>
    <m/>
    <m/>
    <m/>
    <m/>
    <m/>
    <m/>
    <m/>
    <m/>
    <m/>
    <m/>
    <m/>
    <m/>
    <m/>
    <m/>
    <m/>
    <m/>
    <m/>
    <m/>
    <m/>
    <m/>
    <m/>
    <m/>
    <m/>
    <n v="44"/>
    <n v="0"/>
    <n v="0"/>
    <n v="0"/>
    <n v="0"/>
    <n v="0"/>
    <n v="0"/>
    <n v="44"/>
    <n v="0"/>
    <n v="0"/>
    <n v="0"/>
    <n v="0"/>
    <n v="44"/>
    <n v="0"/>
    <m/>
    <m/>
    <m/>
    <m/>
    <m/>
    <m/>
    <m/>
    <m/>
    <m/>
    <m/>
    <m/>
    <m/>
    <m/>
    <m/>
    <m/>
    <m/>
    <m/>
    <m/>
    <m/>
    <m/>
    <m/>
    <m/>
    <m/>
    <m/>
    <m/>
    <m/>
    <m/>
    <m/>
    <m/>
    <m/>
    <m/>
    <m/>
    <m/>
    <m/>
  </r>
  <r>
    <m/>
    <m/>
    <s v="ZBTO"/>
    <m/>
    <m/>
    <s v="9518498733-1"/>
    <m/>
    <s v="Stocks"/>
    <m/>
    <x v="3"/>
    <x v="13"/>
    <m/>
    <m/>
    <x v="0"/>
    <m/>
    <m/>
    <m/>
    <m/>
    <m/>
    <m/>
    <m/>
    <s v="GOODLUCK INDIA LIMITED"/>
    <n v="3865176"/>
    <s v="GL COIL HARD  Y550GL HGL6 0.900X1250"/>
    <m/>
    <m/>
    <m/>
    <m/>
    <m/>
    <s v="B04"/>
    <s v="Y550GL"/>
    <s v="HGL6"/>
    <n v="0.9"/>
    <n v="1250"/>
    <m/>
    <m/>
    <m/>
    <m/>
    <m/>
    <m/>
    <m/>
    <m/>
    <m/>
    <m/>
    <m/>
    <m/>
    <m/>
    <m/>
    <m/>
    <m/>
    <m/>
    <m/>
    <m/>
    <m/>
    <m/>
    <m/>
    <m/>
    <m/>
    <m/>
    <m/>
    <m/>
    <m/>
    <m/>
    <m/>
    <m/>
    <m/>
    <m/>
    <m/>
    <m/>
    <m/>
    <n v="25.765000000000001"/>
    <n v="0"/>
    <n v="0"/>
    <n v="0"/>
    <n v="0"/>
    <n v="0"/>
    <n v="0"/>
    <n v="25.765000000000001"/>
    <n v="0"/>
    <n v="25.765000000000001"/>
    <n v="0"/>
    <n v="0"/>
    <n v="0"/>
    <n v="0"/>
    <m/>
    <m/>
    <m/>
    <m/>
    <m/>
    <m/>
    <m/>
    <m/>
    <m/>
    <m/>
    <m/>
    <m/>
    <m/>
    <m/>
    <m/>
    <m/>
    <m/>
    <m/>
    <m/>
    <m/>
    <m/>
    <m/>
    <m/>
    <m/>
    <m/>
    <m/>
    <m/>
    <m/>
    <m/>
    <m/>
    <m/>
    <m/>
    <m/>
    <m/>
  </r>
  <r>
    <m/>
    <m/>
    <s v="ZBTO"/>
    <m/>
    <m/>
    <s v="9518503884-1"/>
    <m/>
    <s v="Stocks"/>
    <m/>
    <x v="4"/>
    <x v="7"/>
    <m/>
    <m/>
    <x v="0"/>
    <m/>
    <m/>
    <m/>
    <m/>
    <m/>
    <m/>
    <m/>
    <s v="TATA BLUESCOPE STEEL PRIVATE LIMITE"/>
    <n v="1633706"/>
    <s v="PPGL C Y550 HPL3 0.42BMT(0.50TPT)X1220"/>
    <m/>
    <m/>
    <m/>
    <m/>
    <m/>
    <s v="B18"/>
    <s v="Y550PL"/>
    <s v="HPL3"/>
    <n v="0.42"/>
    <n v="1220"/>
    <m/>
    <m/>
    <m/>
    <m/>
    <m/>
    <m/>
    <m/>
    <m/>
    <m/>
    <m/>
    <m/>
    <m/>
    <m/>
    <m/>
    <m/>
    <m/>
    <m/>
    <m/>
    <m/>
    <m/>
    <m/>
    <m/>
    <m/>
    <m/>
    <m/>
    <m/>
    <m/>
    <m/>
    <m/>
    <m/>
    <m/>
    <m/>
    <m/>
    <m/>
    <m/>
    <m/>
    <n v="3.2450000000000001"/>
    <n v="0"/>
    <n v="0"/>
    <n v="0"/>
    <n v="0"/>
    <n v="0"/>
    <n v="0"/>
    <n v="3.2450000000000001"/>
    <n v="0"/>
    <n v="0"/>
    <n v="0"/>
    <n v="0"/>
    <n v="3.2450000000000001"/>
    <n v="0"/>
    <m/>
    <m/>
    <m/>
    <m/>
    <m/>
    <m/>
    <m/>
    <m/>
    <m/>
    <m/>
    <m/>
    <m/>
    <m/>
    <m/>
    <m/>
    <m/>
    <m/>
    <m/>
    <m/>
    <m/>
    <m/>
    <m/>
    <m/>
    <m/>
    <m/>
    <m/>
    <m/>
    <m/>
    <m/>
    <m/>
    <m/>
    <m/>
    <m/>
    <m/>
  </r>
  <r>
    <m/>
    <m/>
    <s v="ZBTO"/>
    <m/>
    <m/>
    <s v="9518505599-5"/>
    <m/>
    <s v="Stocks"/>
    <m/>
    <x v="1"/>
    <x v="3"/>
    <m/>
    <m/>
    <x v="0"/>
    <m/>
    <m/>
    <m/>
    <m/>
    <m/>
    <m/>
    <m/>
    <s v="VIJAY VENKAT STEELS PRIVATE LIMITED"/>
    <n v="1801804"/>
    <s v="CRCA COIL-TATXXD-AU03-1X1250"/>
    <m/>
    <m/>
    <m/>
    <m/>
    <m/>
    <s v="C01"/>
    <s v="TATXXD"/>
    <s v="AU03"/>
    <n v="1"/>
    <n v="1250"/>
    <m/>
    <m/>
    <m/>
    <m/>
    <m/>
    <m/>
    <m/>
    <m/>
    <m/>
    <m/>
    <m/>
    <m/>
    <m/>
    <m/>
    <m/>
    <m/>
    <m/>
    <m/>
    <m/>
    <m/>
    <m/>
    <m/>
    <m/>
    <m/>
    <m/>
    <m/>
    <m/>
    <m/>
    <m/>
    <m/>
    <m/>
    <m/>
    <m/>
    <m/>
    <m/>
    <m/>
    <n v="25.53"/>
    <n v="0"/>
    <n v="0"/>
    <n v="0"/>
    <n v="0"/>
    <n v="0"/>
    <n v="0"/>
    <n v="25.53"/>
    <n v="0"/>
    <n v="25.53"/>
    <n v="0"/>
    <n v="0"/>
    <n v="0"/>
    <n v="0"/>
    <m/>
    <m/>
    <m/>
    <m/>
    <m/>
    <m/>
    <m/>
    <m/>
    <m/>
    <m/>
    <m/>
    <m/>
    <m/>
    <m/>
    <m/>
    <m/>
    <m/>
    <m/>
    <m/>
    <m/>
    <m/>
    <m/>
    <m/>
    <m/>
    <m/>
    <m/>
    <m/>
    <m/>
    <m/>
    <m/>
    <m/>
    <m/>
    <m/>
    <m/>
  </r>
  <r>
    <m/>
    <m/>
    <s v="ZBTO"/>
    <m/>
    <m/>
    <s v="9518533572-1"/>
    <m/>
    <s v="Stocks"/>
    <m/>
    <x v="1"/>
    <x v="3"/>
    <m/>
    <m/>
    <x v="0"/>
    <m/>
    <m/>
    <m/>
    <m/>
    <m/>
    <m/>
    <m/>
    <s v="TATA STEEL DOWNSTREAM PRODUCTS LIMI"/>
    <n v="187532"/>
    <s v="CRSHEET-ICF  DQ TATXXD AU03 1.50 X 1250"/>
    <m/>
    <m/>
    <m/>
    <m/>
    <m/>
    <s v="C01"/>
    <s v="TATXXD"/>
    <s v="AU03"/>
    <n v="1.5"/>
    <n v="1250"/>
    <m/>
    <m/>
    <m/>
    <m/>
    <m/>
    <m/>
    <m/>
    <m/>
    <m/>
    <m/>
    <m/>
    <m/>
    <m/>
    <m/>
    <m/>
    <m/>
    <m/>
    <m/>
    <m/>
    <m/>
    <m/>
    <m/>
    <m/>
    <m/>
    <m/>
    <m/>
    <m/>
    <m/>
    <m/>
    <m/>
    <m/>
    <m/>
    <m/>
    <m/>
    <m/>
    <m/>
    <n v="12.395"/>
    <n v="0"/>
    <n v="0"/>
    <n v="0"/>
    <n v="0"/>
    <n v="0"/>
    <n v="0"/>
    <n v="12.395"/>
    <n v="0"/>
    <n v="12.395"/>
    <n v="0"/>
    <n v="0"/>
    <n v="0"/>
    <n v="0"/>
    <m/>
    <m/>
    <m/>
    <m/>
    <m/>
    <m/>
    <m/>
    <m/>
    <m/>
    <m/>
    <m/>
    <m/>
    <m/>
    <m/>
    <m/>
    <m/>
    <m/>
    <m/>
    <m/>
    <m/>
    <m/>
    <m/>
    <m/>
    <m/>
    <m/>
    <m/>
    <m/>
    <m/>
    <m/>
    <m/>
    <m/>
    <m/>
    <m/>
    <m/>
  </r>
  <r>
    <m/>
    <m/>
    <s v="ZBTO"/>
    <m/>
    <m/>
    <s v="9518550377-4"/>
    <m/>
    <s v="Stocks"/>
    <m/>
    <x v="2"/>
    <x v="2"/>
    <m/>
    <m/>
    <x v="0"/>
    <m/>
    <m/>
    <m/>
    <m/>
    <m/>
    <m/>
    <m/>
    <s v="JAI LAXMI STEELS"/>
    <n v="1854418"/>
    <s v="GP COIL SOFT-TATXGP-GK09-0.5X900"/>
    <m/>
    <m/>
    <m/>
    <m/>
    <m/>
    <s v="C02"/>
    <s v="TATXGP"/>
    <s v="GK09"/>
    <n v="0.5"/>
    <n v="900"/>
    <m/>
    <m/>
    <m/>
    <m/>
    <m/>
    <m/>
    <m/>
    <m/>
    <m/>
    <m/>
    <m/>
    <m/>
    <m/>
    <m/>
    <m/>
    <m/>
    <m/>
    <m/>
    <m/>
    <m/>
    <m/>
    <m/>
    <m/>
    <m/>
    <m/>
    <m/>
    <m/>
    <m/>
    <m/>
    <m/>
    <m/>
    <m/>
    <m/>
    <m/>
    <m/>
    <m/>
    <n v="18.86"/>
    <n v="0"/>
    <n v="0"/>
    <n v="0"/>
    <n v="0"/>
    <n v="0"/>
    <n v="0"/>
    <n v="18.86"/>
    <n v="0"/>
    <n v="18.86"/>
    <n v="0"/>
    <n v="0"/>
    <n v="0"/>
    <n v="0"/>
    <m/>
    <m/>
    <m/>
    <m/>
    <m/>
    <m/>
    <m/>
    <m/>
    <m/>
    <m/>
    <m/>
    <m/>
    <m/>
    <m/>
    <m/>
    <m/>
    <m/>
    <m/>
    <m/>
    <m/>
    <m/>
    <m/>
    <m/>
    <m/>
    <m/>
    <m/>
    <m/>
    <m/>
    <m/>
    <m/>
    <m/>
    <m/>
    <m/>
    <m/>
  </r>
  <r>
    <m/>
    <m/>
    <s v="ZBTT"/>
    <m/>
    <m/>
    <s v="9518409222-1"/>
    <m/>
    <s v="Stocks"/>
    <m/>
    <x v="4"/>
    <x v="7"/>
    <m/>
    <m/>
    <x v="0"/>
    <m/>
    <m/>
    <m/>
    <m/>
    <m/>
    <m/>
    <m/>
    <s v="TATA BLUESCOPE STEEL PVT LTD."/>
    <n v="1632044"/>
    <s v="PPGL C YS550 PLH1 0.30BMT(0.35TPT)X1220"/>
    <m/>
    <m/>
    <m/>
    <m/>
    <m/>
    <s v="B18"/>
    <s v="Y550PL"/>
    <s v="PLH1"/>
    <n v="0.3"/>
    <n v="1220"/>
    <m/>
    <m/>
    <m/>
    <m/>
    <m/>
    <m/>
    <m/>
    <m/>
    <m/>
    <m/>
    <m/>
    <m/>
    <m/>
    <m/>
    <m/>
    <m/>
    <m/>
    <m/>
    <m/>
    <m/>
    <m/>
    <m/>
    <m/>
    <m/>
    <m/>
    <m/>
    <m/>
    <m/>
    <m/>
    <m/>
    <m/>
    <m/>
    <m/>
    <m/>
    <m/>
    <m/>
    <n v="11.495000000000001"/>
    <n v="0"/>
    <n v="0"/>
    <n v="0"/>
    <n v="0"/>
    <n v="0"/>
    <n v="0"/>
    <n v="11.495000000000001"/>
    <n v="0"/>
    <n v="0"/>
    <n v="0"/>
    <n v="0"/>
    <n v="11.495000000000001"/>
    <n v="0"/>
    <m/>
    <m/>
    <m/>
    <m/>
    <m/>
    <m/>
    <m/>
    <m/>
    <m/>
    <m/>
    <m/>
    <m/>
    <m/>
    <m/>
    <m/>
    <m/>
    <m/>
    <m/>
    <m/>
    <m/>
    <m/>
    <m/>
    <m/>
    <m/>
    <m/>
    <m/>
    <m/>
    <m/>
    <m/>
    <m/>
    <m/>
    <m/>
    <m/>
    <m/>
  </r>
  <r>
    <m/>
    <m/>
    <s v="ZBTT"/>
    <m/>
    <m/>
    <s v="9518409222-2"/>
    <m/>
    <s v="Stocks"/>
    <m/>
    <x v="4"/>
    <x v="7"/>
    <m/>
    <m/>
    <x v="0"/>
    <m/>
    <m/>
    <m/>
    <m/>
    <m/>
    <m/>
    <m/>
    <s v="TATA BLUESCOPE STEEL PVT LTD."/>
    <n v="1640795"/>
    <s v="PPGL C YS550 PLH1 0.40BMT(0.45TPT)X1220"/>
    <m/>
    <m/>
    <m/>
    <m/>
    <m/>
    <s v="B18"/>
    <s v="Y550PL"/>
    <s v="PLH1"/>
    <n v="0.4"/>
    <n v="1220"/>
    <m/>
    <m/>
    <m/>
    <m/>
    <m/>
    <m/>
    <m/>
    <m/>
    <m/>
    <m/>
    <m/>
    <m/>
    <m/>
    <m/>
    <m/>
    <m/>
    <m/>
    <m/>
    <m/>
    <m/>
    <m/>
    <m/>
    <m/>
    <m/>
    <m/>
    <m/>
    <m/>
    <m/>
    <m/>
    <m/>
    <m/>
    <m/>
    <m/>
    <m/>
    <m/>
    <m/>
    <n v="22.834999999999997"/>
    <n v="0"/>
    <n v="0"/>
    <n v="0"/>
    <n v="0"/>
    <n v="0"/>
    <n v="0"/>
    <n v="22.834999999999997"/>
    <n v="0"/>
    <n v="0"/>
    <n v="0"/>
    <n v="0"/>
    <n v="22.834999999999997"/>
    <n v="0"/>
    <m/>
    <m/>
    <m/>
    <m/>
    <m/>
    <m/>
    <m/>
    <m/>
    <m/>
    <m/>
    <m/>
    <m/>
    <m/>
    <m/>
    <m/>
    <m/>
    <m/>
    <m/>
    <m/>
    <m/>
    <m/>
    <m/>
    <m/>
    <m/>
    <m/>
    <m/>
    <m/>
    <m/>
    <m/>
    <m/>
    <m/>
    <m/>
    <m/>
    <m/>
  </r>
  <r>
    <m/>
    <m/>
    <s v="ZBTT"/>
    <m/>
    <m/>
    <s v="9518409222-3"/>
    <m/>
    <s v="Stocks"/>
    <m/>
    <x v="4"/>
    <x v="7"/>
    <m/>
    <m/>
    <x v="0"/>
    <m/>
    <m/>
    <m/>
    <m/>
    <m/>
    <m/>
    <m/>
    <s v="TATA BLUESCOPE STEEL PVT LTD."/>
    <n v="1633706"/>
    <s v="PPGL C Y550 HPL3 0.42BMT(0.50TPT)X1220"/>
    <m/>
    <m/>
    <m/>
    <m/>
    <m/>
    <s v="B18"/>
    <s v="Y550PL"/>
    <s v="HPL3"/>
    <n v="0.42"/>
    <n v="1220"/>
    <m/>
    <m/>
    <m/>
    <m/>
    <m/>
    <m/>
    <m/>
    <m/>
    <m/>
    <m/>
    <m/>
    <m/>
    <m/>
    <m/>
    <m/>
    <m/>
    <m/>
    <m/>
    <m/>
    <m/>
    <m/>
    <m/>
    <m/>
    <m/>
    <m/>
    <m/>
    <m/>
    <m/>
    <m/>
    <m/>
    <m/>
    <m/>
    <m/>
    <m/>
    <m/>
    <m/>
    <n v="25.774999999999999"/>
    <n v="0"/>
    <n v="0"/>
    <n v="0"/>
    <n v="0"/>
    <n v="0"/>
    <n v="0"/>
    <n v="25.774999999999999"/>
    <n v="0"/>
    <n v="0"/>
    <n v="0"/>
    <n v="0"/>
    <n v="25.774999999999999"/>
    <n v="0"/>
    <m/>
    <m/>
    <m/>
    <m/>
    <m/>
    <m/>
    <m/>
    <m/>
    <m/>
    <m/>
    <m/>
    <m/>
    <m/>
    <m/>
    <m/>
    <m/>
    <m/>
    <m/>
    <m/>
    <m/>
    <m/>
    <m/>
    <m/>
    <m/>
    <m/>
    <m/>
    <m/>
    <m/>
    <m/>
    <m/>
    <m/>
    <m/>
    <m/>
    <m/>
  </r>
  <r>
    <m/>
    <m/>
    <s v="ZBTT"/>
    <m/>
    <m/>
    <s v="9518409222-4"/>
    <m/>
    <s v="Stocks"/>
    <m/>
    <x v="4"/>
    <x v="7"/>
    <m/>
    <m/>
    <x v="0"/>
    <m/>
    <m/>
    <m/>
    <m/>
    <m/>
    <m/>
    <m/>
    <s v="TATA BLUESCOPE STEEL PVT LTD."/>
    <n v="1636098"/>
    <s v="PPGL COIL HARD Y550PL HPL3 0.52X1220"/>
    <m/>
    <m/>
    <m/>
    <m/>
    <m/>
    <s v="B18"/>
    <s v="Y550PL"/>
    <s v="HPL3"/>
    <n v="0.52"/>
    <n v="1220"/>
    <m/>
    <m/>
    <m/>
    <m/>
    <m/>
    <m/>
    <m/>
    <m/>
    <m/>
    <m/>
    <m/>
    <m/>
    <m/>
    <m/>
    <m/>
    <m/>
    <m/>
    <m/>
    <m/>
    <m/>
    <m/>
    <m/>
    <m/>
    <m/>
    <m/>
    <m/>
    <m/>
    <m/>
    <m/>
    <m/>
    <m/>
    <m/>
    <m/>
    <m/>
    <m/>
    <m/>
    <n v="13.325000000000001"/>
    <n v="0"/>
    <n v="0"/>
    <n v="0"/>
    <n v="0"/>
    <n v="0"/>
    <n v="0"/>
    <n v="13.325000000000001"/>
    <n v="0"/>
    <n v="0"/>
    <n v="0"/>
    <n v="0"/>
    <n v="13.325000000000001"/>
    <n v="0"/>
    <m/>
    <m/>
    <m/>
    <m/>
    <m/>
    <m/>
    <m/>
    <m/>
    <m/>
    <m/>
    <m/>
    <m/>
    <m/>
    <m/>
    <m/>
    <m/>
    <m/>
    <m/>
    <m/>
    <m/>
    <m/>
    <m/>
    <m/>
    <m/>
    <m/>
    <m/>
    <m/>
    <m/>
    <m/>
    <m/>
    <m/>
    <m/>
    <m/>
    <m/>
  </r>
  <r>
    <m/>
    <m/>
    <m/>
    <m/>
    <m/>
    <m/>
    <m/>
    <m/>
    <m/>
    <x v="6"/>
    <x v="16"/>
    <m/>
    <m/>
    <x v="2"/>
    <m/>
    <m/>
    <m/>
    <m/>
    <m/>
    <m/>
    <m/>
    <m/>
    <m/>
    <m/>
    <m/>
    <m/>
    <m/>
    <m/>
    <m/>
    <m/>
    <m/>
    <m/>
    <m/>
    <m/>
    <m/>
    <m/>
    <m/>
    <m/>
    <m/>
    <m/>
    <m/>
    <m/>
    <m/>
    <m/>
    <m/>
    <m/>
    <m/>
    <m/>
    <m/>
    <m/>
    <m/>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0">
  <r>
    <n v="742"/>
    <d v="2025-01-06T00:00:00"/>
    <s v="ZBTO"/>
    <n v="9518407181"/>
    <n v="3"/>
    <s v="9518407181-3"/>
    <s v="No Priority"/>
    <x v="0"/>
    <m/>
    <x v="0"/>
    <x v="0"/>
    <s v="2000-BPRS"/>
    <m/>
    <x v="0"/>
    <m/>
    <m/>
    <s v="Maharashtra"/>
    <s v="West"/>
    <s v="NAGPUR"/>
    <s v="Coil"/>
    <n v="154641"/>
    <x v="0"/>
    <n v="1252834"/>
    <s v="HR COILS-PO IS 1079 HR2 3.0X1250"/>
    <s v=" "/>
    <s v=""/>
    <n v="25"/>
    <n v="35"/>
    <s v="Wider"/>
    <n v="768"/>
    <s v="THR099"/>
    <s v="HR99"/>
    <n v="3"/>
    <n v="1250"/>
    <n v="0"/>
    <n v="260.99"/>
    <n v="219.78"/>
    <n v="41.21"/>
    <n v="-7.47"/>
    <n v="0"/>
    <n v="0"/>
    <n v="0"/>
    <n v="0"/>
    <n v="0"/>
    <n v="0"/>
    <n v="0"/>
    <n v="0"/>
    <n v="0"/>
    <n v="0"/>
    <n v="0"/>
    <n v="0"/>
    <n v="0"/>
    <n v="0"/>
    <n v="0"/>
    <n v="0"/>
    <n v="0"/>
    <n v="0"/>
    <n v="0"/>
    <n v="0"/>
    <n v="0"/>
    <n v="0"/>
    <n v="0"/>
    <n v="0"/>
    <n v="0"/>
    <n v="0"/>
    <n v="0"/>
    <n v="41.21"/>
    <n v="0"/>
    <n v="41.21"/>
    <n v="0"/>
    <n v="0"/>
    <n v="0"/>
    <n v="41.21"/>
    <n v="0"/>
    <n v="41.21"/>
    <n v="0"/>
    <n v="0"/>
    <n v="0"/>
    <n v="0"/>
    <n v="0"/>
    <n v="0"/>
    <n v="0"/>
    <n v="0"/>
    <n v="0"/>
    <n v="0"/>
    <n v="0"/>
    <m/>
    <m/>
    <m/>
    <m/>
    <m/>
    <m/>
    <m/>
    <m/>
    <s v="1"/>
    <s v="0"/>
    <s v="1"/>
    <s v="1"/>
    <s v="1"/>
    <m/>
    <m/>
    <m/>
    <m/>
    <m/>
    <m/>
    <m/>
    <m/>
    <m/>
    <m/>
    <m/>
    <m/>
    <m/>
    <m/>
  </r>
  <r>
    <n v="742"/>
    <d v="2025-01-08T00:00:00"/>
    <s v="ZBTO"/>
    <n v="9518413981"/>
    <n v="1"/>
    <s v="9518413981-1"/>
    <s v="No Priority"/>
    <x v="0"/>
    <m/>
    <x v="1"/>
    <x v="1"/>
    <s v="2000-BPRS"/>
    <m/>
    <x v="0"/>
    <m/>
    <m/>
    <s v="Punjab"/>
    <s v="North"/>
    <s v="DERABASSI"/>
    <s v="Coil"/>
    <n v="819097"/>
    <x v="1"/>
    <n v="1804908"/>
    <s v="CRCA COIL TATCRC TR15 0.5X1250"/>
    <s v=" "/>
    <s v=""/>
    <n v="7"/>
    <n v="14"/>
    <s v="Wider"/>
    <s v="C01"/>
    <s v="TATCRC"/>
    <s v="TR15"/>
    <n v="0.5"/>
    <n v="1250"/>
    <n v="0"/>
    <n v="290"/>
    <n v="240.48500000000001"/>
    <n v="49.515000000000001"/>
    <n v="-3.72"/>
    <n v="0"/>
    <n v="0"/>
    <n v="0"/>
    <n v="0"/>
    <n v="0"/>
    <n v="0"/>
    <n v="0"/>
    <n v="0"/>
    <n v="0"/>
    <n v="0"/>
    <n v="0"/>
    <n v="0"/>
    <n v="0"/>
    <n v="0"/>
    <n v="0"/>
    <n v="0"/>
    <n v="0"/>
    <n v="0"/>
    <n v="0"/>
    <n v="0"/>
    <n v="0"/>
    <n v="0"/>
    <n v="0"/>
    <n v="0"/>
    <n v="0"/>
    <n v="0"/>
    <n v="0"/>
    <n v="290"/>
    <n v="0"/>
    <n v="290"/>
    <n v="0"/>
    <n v="0"/>
    <n v="0"/>
    <n v="290"/>
    <n v="0"/>
    <n v="0"/>
    <n v="290"/>
    <n v="0"/>
    <n v="0"/>
    <n v="0"/>
    <n v="215.93999999999997"/>
    <n v="0"/>
    <n v="215.93999999999997"/>
    <n v="0"/>
    <n v="0"/>
    <n v="0"/>
    <n v="0"/>
    <m/>
    <m/>
    <m/>
    <m/>
    <m/>
    <m/>
    <m/>
    <m/>
    <s v="1"/>
    <s v="0"/>
    <s v="1"/>
    <s v="1"/>
    <s v="1"/>
    <m/>
    <m/>
    <m/>
    <m/>
    <m/>
    <m/>
    <m/>
    <m/>
    <m/>
    <m/>
    <m/>
    <m/>
    <m/>
    <m/>
  </r>
  <r>
    <n v="742"/>
    <d v="2025-01-07T00:00:00"/>
    <s v="ZBTO"/>
    <n v="9518410318"/>
    <n v="2"/>
    <s v="9518410318-2"/>
    <s v="No Priority"/>
    <x v="0"/>
    <m/>
    <x v="1"/>
    <x v="1"/>
    <s v="2000-BPRS"/>
    <m/>
    <x v="0"/>
    <m/>
    <s v="Exp BTF &lt;17MT"/>
    <s v="Uttar Pradesh"/>
    <s v="North"/>
    <s v="VARANASI"/>
    <s v="Coil"/>
    <n v="931525"/>
    <x v="2"/>
    <n v="1804908"/>
    <s v="CRCA COIL TATCRC TR15 0.5X1250"/>
    <s v=" "/>
    <s v=""/>
    <n v="7"/>
    <n v="14"/>
    <s v="Wider"/>
    <s v="C01"/>
    <s v="TATCRC"/>
    <s v="TR15"/>
    <n v="0.5"/>
    <n v="1250"/>
    <n v="0"/>
    <n v="58"/>
    <n v="25.524999999999999"/>
    <n v="32.475000000000001"/>
    <n v="6.3849999999999998"/>
    <n v="32.475000000000001"/>
    <n v="0"/>
    <n v="0"/>
    <n v="0"/>
    <n v="0"/>
    <n v="0"/>
    <n v="0"/>
    <n v="0"/>
    <n v="0"/>
    <n v="0"/>
    <n v="0"/>
    <n v="0"/>
    <n v="0"/>
    <n v="0"/>
    <n v="0"/>
    <n v="0"/>
    <n v="0"/>
    <n v="0"/>
    <n v="0"/>
    <n v="0"/>
    <n v="0"/>
    <n v="0"/>
    <n v="0"/>
    <n v="0"/>
    <n v="0"/>
    <n v="0"/>
    <n v="0"/>
    <n v="58"/>
    <n v="0"/>
    <n v="58"/>
    <n v="0"/>
    <n v="0"/>
    <n v="0"/>
    <n v="58"/>
    <n v="0"/>
    <n v="0"/>
    <n v="58"/>
    <n v="0"/>
    <n v="0"/>
    <n v="0"/>
    <n v="25.524999999999999"/>
    <n v="0"/>
    <n v="25.524999999999999"/>
    <n v="0"/>
    <n v="0"/>
    <n v="0"/>
    <n v="0"/>
    <m/>
    <m/>
    <m/>
    <m/>
    <m/>
    <m/>
    <m/>
    <m/>
    <s v="1"/>
    <s v="0"/>
    <s v="1"/>
    <s v="1"/>
    <s v="1"/>
    <m/>
    <m/>
    <m/>
    <m/>
    <m/>
    <m/>
    <m/>
    <m/>
    <m/>
    <m/>
    <m/>
    <m/>
    <m/>
    <m/>
  </r>
  <r>
    <n v="742"/>
    <d v="2025-01-03T00:00:00"/>
    <s v="ZBTO"/>
    <n v="9518401782"/>
    <n v="3"/>
    <s v="9518401782-3"/>
    <s v="No Priority"/>
    <x v="0"/>
    <m/>
    <x v="1"/>
    <x v="1"/>
    <s v="2000-BPRS"/>
    <m/>
    <x v="0"/>
    <m/>
    <s v="Exp BTF &lt;17MT"/>
    <s v="Uttar Pradesh"/>
    <s v="North"/>
    <s v="LONI"/>
    <s v="Coil"/>
    <n v="936528"/>
    <x v="3"/>
    <n v="185664"/>
    <s v="CRSHEET-ICF  DQ TATXXD AU03 0.40 X 1250"/>
    <s v=" "/>
    <s v=""/>
    <n v="10"/>
    <n v="30"/>
    <s v="Wider"/>
    <s v="C01"/>
    <s v="TATXXD"/>
    <s v="AU03"/>
    <n v="0.4"/>
    <n v="1250"/>
    <n v="0"/>
    <n v="115.99"/>
    <n v="87.424999999999997"/>
    <n v="28.565000000000001"/>
    <n v="11.28"/>
    <n v="28.565000000000001"/>
    <n v="0"/>
    <n v="0"/>
    <n v="0"/>
    <n v="0"/>
    <n v="0"/>
    <n v="0"/>
    <n v="0"/>
    <n v="0"/>
    <n v="0"/>
    <n v="0"/>
    <n v="0"/>
    <n v="0"/>
    <n v="0"/>
    <n v="0"/>
    <n v="0"/>
    <n v="0"/>
    <n v="0"/>
    <n v="0"/>
    <n v="0"/>
    <n v="0"/>
    <n v="0"/>
    <n v="0"/>
    <n v="0"/>
    <n v="0"/>
    <n v="0"/>
    <n v="0"/>
    <n v="28.565000000000001"/>
    <n v="0"/>
    <n v="0"/>
    <n v="0"/>
    <n v="28.565000000000001"/>
    <n v="0"/>
    <n v="28.565000000000001"/>
    <n v="0"/>
    <n v="0"/>
    <n v="0"/>
    <n v="28.565000000000001"/>
    <n v="0"/>
    <n v="0"/>
    <n v="0"/>
    <n v="0"/>
    <n v="0"/>
    <n v="0"/>
    <n v="0"/>
    <n v="0"/>
    <n v="0"/>
    <m/>
    <m/>
    <m/>
    <m/>
    <m/>
    <m/>
    <m/>
    <m/>
    <s v="1"/>
    <s v="1"/>
    <s v="1"/>
    <s v="0"/>
    <s v="1"/>
    <m/>
    <m/>
    <m/>
    <m/>
    <m/>
    <m/>
    <m/>
    <m/>
    <m/>
    <m/>
    <m/>
    <m/>
    <m/>
    <m/>
  </r>
  <r>
    <n v="742"/>
    <d v="2025-01-07T00:00:00"/>
    <s v="ZBTO"/>
    <n v="9518410223"/>
    <n v="3"/>
    <s v="9518410223-3"/>
    <s v="No Priority"/>
    <x v="0"/>
    <m/>
    <x v="1"/>
    <x v="2"/>
    <n v="2000"/>
    <m/>
    <x v="0"/>
    <m/>
    <m/>
    <s v="Uttar Pradesh"/>
    <s v="North"/>
    <s v="VARANASI"/>
    <s v="Sheet"/>
    <n v="931525"/>
    <x v="2"/>
    <n v="3437524"/>
    <s v="CRCA SHEET TATCRC SR16 0.400X1250X2030"/>
    <s v=""/>
    <s v=""/>
    <m/>
    <m/>
    <s v="Wider"/>
    <s v="C06"/>
    <s v="TATCRC"/>
    <s v="SR16"/>
    <n v="0.4"/>
    <n v="1250"/>
    <n v="2030"/>
    <n v="87"/>
    <n v="85.825000000000003"/>
    <n v="1.175"/>
    <n v="0.95499999999999996"/>
    <n v="0"/>
    <n v="0"/>
    <n v="0"/>
    <n v="0"/>
    <n v="0"/>
    <n v="0"/>
    <n v="0"/>
    <n v="0"/>
    <n v="0"/>
    <n v="0"/>
    <n v="0"/>
    <n v="0"/>
    <n v="0"/>
    <n v="0"/>
    <n v="0"/>
    <n v="0"/>
    <n v="0"/>
    <n v="0"/>
    <n v="0"/>
    <n v="0"/>
    <n v="0"/>
    <n v="0"/>
    <n v="0"/>
    <n v="0"/>
    <n v="0"/>
    <n v="0"/>
    <n v="14.195"/>
    <n v="23.815000000000001"/>
    <n v="0"/>
    <n v="23.815000000000001"/>
    <n v="0"/>
    <n v="0"/>
    <n v="0"/>
    <n v="38.010000000000005"/>
    <n v="0"/>
    <n v="0"/>
    <n v="38.010000000000005"/>
    <n v="0"/>
    <n v="0"/>
    <n v="0"/>
    <n v="22.64"/>
    <n v="0"/>
    <n v="22.64"/>
    <n v="0"/>
    <n v="0"/>
    <n v="0"/>
    <n v="0"/>
    <m/>
    <m/>
    <m/>
    <m/>
    <m/>
    <m/>
    <m/>
    <m/>
    <s v="1"/>
    <s v="1"/>
    <s v="1"/>
    <s v="1"/>
    <s v="1"/>
    <m/>
    <m/>
    <m/>
    <m/>
    <m/>
    <m/>
    <m/>
    <m/>
    <m/>
    <m/>
    <m/>
    <m/>
    <m/>
    <m/>
  </r>
  <r>
    <n v="742"/>
    <d v="2025-01-16T00:00:00"/>
    <s v="ZBTO"/>
    <n v="9518433421"/>
    <n v="5"/>
    <s v="9518433421-5"/>
    <s v="No Priority"/>
    <x v="0"/>
    <m/>
    <x v="1"/>
    <x v="1"/>
    <s v="2000-BPRS"/>
    <m/>
    <x v="0"/>
    <m/>
    <s v="Exp BTF &lt;17MT"/>
    <s v="Tamil Nadu"/>
    <s v="South"/>
    <s v="CHENNAI"/>
    <s v="Coil"/>
    <n v="938550"/>
    <x v="4"/>
    <n v="37862"/>
    <s v="CRCA COIL TATCRC TR15 0.4X1250"/>
    <s v=" "/>
    <s v=""/>
    <n v="6"/>
    <n v="18"/>
    <s v="Wider"/>
    <s v="C01"/>
    <s v="TATCRC"/>
    <s v="TR15"/>
    <n v="0.4"/>
    <n v="1250"/>
    <n v="0"/>
    <n v="58"/>
    <n v="25.175000000000001"/>
    <n v="32.825000000000003"/>
    <n v="5.0750000000000002"/>
    <n v="32.825000000000003"/>
    <n v="0"/>
    <n v="0"/>
    <n v="0"/>
    <n v="0"/>
    <n v="0"/>
    <n v="0"/>
    <n v="0"/>
    <n v="0"/>
    <n v="0"/>
    <n v="0"/>
    <n v="0"/>
    <n v="0"/>
    <n v="0"/>
    <n v="0"/>
    <n v="0"/>
    <n v="0"/>
    <n v="0"/>
    <n v="0"/>
    <n v="0"/>
    <n v="0"/>
    <n v="0"/>
    <n v="0"/>
    <n v="0"/>
    <n v="0"/>
    <n v="0"/>
    <n v="0"/>
    <n v="58"/>
    <n v="0"/>
    <n v="58"/>
    <n v="0"/>
    <n v="0"/>
    <n v="0"/>
    <n v="58"/>
    <n v="0"/>
    <n v="0"/>
    <n v="58"/>
    <n v="0"/>
    <n v="0"/>
    <n v="0"/>
    <n v="25.174999999999997"/>
    <n v="0"/>
    <n v="25.174999999999997"/>
    <n v="0"/>
    <n v="0"/>
    <n v="0"/>
    <n v="0"/>
    <m/>
    <m/>
    <m/>
    <m/>
    <m/>
    <m/>
    <m/>
    <m/>
    <s v="1"/>
    <s v="0"/>
    <s v="1"/>
    <s v="1"/>
    <s v="1"/>
    <m/>
    <m/>
    <m/>
    <m/>
    <m/>
    <m/>
    <m/>
    <m/>
    <m/>
    <m/>
    <m/>
    <m/>
    <m/>
    <m/>
  </r>
  <r>
    <n v="742"/>
    <d v="2025-01-13T00:00:00"/>
    <s v="ZBTO"/>
    <n v="9518425868"/>
    <n v="1"/>
    <s v="9518425868-1"/>
    <s v="No Priority"/>
    <x v="0"/>
    <m/>
    <x v="1"/>
    <x v="1"/>
    <s v="2000-BPRS"/>
    <m/>
    <x v="0"/>
    <m/>
    <m/>
    <s v="Jharkhand"/>
    <s v="East"/>
    <s v="TATANAGAR"/>
    <s v="Coil"/>
    <n v="165053"/>
    <x v="5"/>
    <n v="1804772"/>
    <s v="CRCA COIL TATXXD AU03 0.4X1250"/>
    <s v=" "/>
    <s v=""/>
    <n v="20"/>
    <n v="29"/>
    <s v="Wider"/>
    <s v="C01"/>
    <s v="TATXXD"/>
    <s v="AU03"/>
    <n v="0.4"/>
    <n v="1250"/>
    <n v="0"/>
    <n v="58"/>
    <n v="25.76"/>
    <n v="32.24"/>
    <n v="3.36"/>
    <n v="32.24"/>
    <n v="0"/>
    <n v="0"/>
    <n v="0"/>
    <n v="0"/>
    <n v="0"/>
    <n v="0"/>
    <n v="0"/>
    <n v="0"/>
    <n v="0"/>
    <n v="0"/>
    <n v="0"/>
    <n v="0"/>
    <n v="0"/>
    <n v="0"/>
    <n v="0"/>
    <n v="0"/>
    <n v="0"/>
    <n v="0"/>
    <n v="0"/>
    <n v="0"/>
    <n v="0"/>
    <n v="0"/>
    <n v="0"/>
    <n v="0"/>
    <n v="0"/>
    <n v="0"/>
    <n v="32.24"/>
    <n v="32.24"/>
    <n v="0"/>
    <n v="0"/>
    <n v="0"/>
    <n v="0"/>
    <n v="32.24"/>
    <n v="0"/>
    <n v="32.24"/>
    <n v="0"/>
    <n v="0"/>
    <n v="0"/>
    <n v="0"/>
    <n v="0"/>
    <n v="0"/>
    <n v="0"/>
    <n v="0"/>
    <n v="0"/>
    <n v="0"/>
    <n v="0"/>
    <m/>
    <m/>
    <m/>
    <m/>
    <m/>
    <m/>
    <m/>
    <m/>
    <s v="0"/>
    <s v="1"/>
    <s v="1"/>
    <s v="1"/>
    <s v="1"/>
    <m/>
    <m/>
    <m/>
    <m/>
    <m/>
    <m/>
    <m/>
    <m/>
    <m/>
    <m/>
    <m/>
    <m/>
    <m/>
    <m/>
  </r>
  <r>
    <n v="744"/>
    <d v="2025-01-23T00:00:00"/>
    <s v="ZBTO"/>
    <n v="9518454162"/>
    <n v="2"/>
    <s v="9518454162-2"/>
    <s v="No Priority"/>
    <x v="0"/>
    <m/>
    <x v="2"/>
    <x v="3"/>
    <s v="1000-IPPE"/>
    <m/>
    <x v="0"/>
    <m/>
    <m/>
    <s v="Jharkhand"/>
    <s v="TBSPL"/>
    <s v="TBL- BARA AGRICO"/>
    <s v="Coil"/>
    <n v="941597"/>
    <x v="6"/>
    <n v="1633706"/>
    <s v="PPGL C Y550 HPL3 0.42BMT(0.50TPT)X1220"/>
    <s v="AZ150"/>
    <s v="RAL 5017 TSL 411"/>
    <n v="3"/>
    <n v="5"/>
    <s v="Wider"/>
    <s v="B18"/>
    <s v="Y550PL"/>
    <s v="HPL3"/>
    <n v="0.42"/>
    <n v="1220"/>
    <n v="0"/>
    <n v="140"/>
    <n v="115.745"/>
    <n v="24.254999999999999"/>
    <n v="12.61"/>
    <n v="24.254999999999999"/>
    <n v="0"/>
    <n v="0"/>
    <n v="0"/>
    <n v="0"/>
    <n v="0"/>
    <n v="0"/>
    <n v="0"/>
    <n v="0"/>
    <n v="0"/>
    <n v="0"/>
    <n v="0"/>
    <n v="0"/>
    <n v="0"/>
    <n v="0"/>
    <n v="0"/>
    <n v="0"/>
    <n v="0"/>
    <n v="0"/>
    <n v="0"/>
    <n v="0"/>
    <n v="0"/>
    <n v="0"/>
    <n v="0"/>
    <n v="0"/>
    <n v="0"/>
    <n v="0"/>
    <n v="33.549999999999997"/>
    <n v="0"/>
    <n v="33.549999999999997"/>
    <n v="0"/>
    <n v="0"/>
    <n v="0"/>
    <n v="33.549999999999997"/>
    <n v="0"/>
    <n v="33.549999999999997"/>
    <n v="0"/>
    <n v="0"/>
    <n v="0"/>
    <n v="0"/>
    <n v="9.2949999999999999"/>
    <n v="0"/>
    <n v="9.2949999999999999"/>
    <n v="0"/>
    <n v="0"/>
    <n v="0"/>
    <n v="0"/>
    <m/>
    <m/>
    <m/>
    <m/>
    <m/>
    <m/>
    <m/>
    <m/>
    <s v="1"/>
    <s v="0"/>
    <s v="1"/>
    <s v="1"/>
    <s v="1"/>
    <m/>
    <m/>
    <m/>
    <m/>
    <m/>
    <m/>
    <m/>
    <m/>
    <m/>
    <m/>
    <m/>
    <m/>
    <m/>
    <m/>
  </r>
  <r>
    <n v="742"/>
    <d v="2025-02-11T00:00:00"/>
    <s v="ZBTO"/>
    <n v="9518510820"/>
    <n v="1"/>
    <s v="9518510820-1"/>
    <s v="No Priority"/>
    <x v="0"/>
    <m/>
    <x v="1"/>
    <x v="2"/>
    <n v="2000"/>
    <m/>
    <x v="0"/>
    <m/>
    <m/>
    <s v="Uttar Pradesh"/>
    <s v="North"/>
    <s v="VARANASI"/>
    <s v="Sheet"/>
    <n v="115841"/>
    <x v="7"/>
    <n v="3437524"/>
    <s v="CRCA SHEET TATCRC SR16 0.400X1250X2030"/>
    <s v=""/>
    <s v=""/>
    <m/>
    <m/>
    <s v="Wider"/>
    <s v="C06"/>
    <s v="TATCRC"/>
    <s v="SR16"/>
    <n v="0.4"/>
    <n v="1250"/>
    <n v="2030"/>
    <n v="69"/>
    <n v="67.72"/>
    <n v="1.28"/>
    <n v="1.28"/>
    <n v="0"/>
    <n v="1.28"/>
    <n v="0"/>
    <n v="0"/>
    <n v="0"/>
    <n v="0"/>
    <n v="0"/>
    <n v="0"/>
    <n v="0"/>
    <n v="0"/>
    <n v="0"/>
    <n v="0"/>
    <n v="0"/>
    <n v="0"/>
    <n v="0"/>
    <n v="0"/>
    <n v="0"/>
    <n v="0"/>
    <n v="0"/>
    <n v="0"/>
    <n v="0"/>
    <n v="0"/>
    <n v="0"/>
    <n v="0"/>
    <n v="0"/>
    <n v="0"/>
    <n v="2.2549999999999999"/>
    <n v="18.135000000000002"/>
    <n v="0"/>
    <n v="18.135000000000002"/>
    <n v="0"/>
    <n v="0"/>
    <n v="0"/>
    <n v="20.39"/>
    <n v="0"/>
    <n v="0"/>
    <n v="20.39"/>
    <n v="0"/>
    <n v="0"/>
    <n v="0"/>
    <n v="16.855"/>
    <n v="0"/>
    <n v="16.855"/>
    <n v="0"/>
    <n v="0"/>
    <n v="0"/>
    <n v="0"/>
    <m/>
    <m/>
    <m/>
    <m/>
    <m/>
    <m/>
    <m/>
    <m/>
    <s v="1"/>
    <s v="1"/>
    <s v="1"/>
    <s v="1"/>
    <s v="1"/>
    <m/>
    <m/>
    <m/>
    <m/>
    <m/>
    <m/>
    <m/>
    <m/>
    <m/>
    <m/>
    <m/>
    <m/>
    <m/>
    <m/>
  </r>
  <r>
    <n v="742"/>
    <d v="2025-01-22T00:00:00"/>
    <s v="ZBTO"/>
    <n v="9518451407"/>
    <n v="3"/>
    <s v="9518451407-3"/>
    <s v="No Priority"/>
    <x v="0"/>
    <m/>
    <x v="1"/>
    <x v="2"/>
    <n v="2000"/>
    <m/>
    <x v="0"/>
    <m/>
    <m/>
    <s v="Uttar Pradesh"/>
    <s v="North"/>
    <s v="VARANASI"/>
    <s v="Sheet"/>
    <n v="115841"/>
    <x v="7"/>
    <n v="3765561"/>
    <s v="CRCA SHEET TSBCRC SR15 0.700X1000X1930"/>
    <s v=" "/>
    <m/>
    <n v="0"/>
    <n v="0"/>
    <s v="Narrow"/>
    <s v="C06"/>
    <s v="TSBCRC"/>
    <s v="SR15"/>
    <n v="0.7"/>
    <n v="1000"/>
    <n v="1930"/>
    <n v="48"/>
    <n v="23.954999999999998"/>
    <n v="24.045000000000002"/>
    <n v="2.145"/>
    <n v="0"/>
    <n v="0"/>
    <n v="0"/>
    <n v="0"/>
    <n v="0"/>
    <n v="0"/>
    <n v="0"/>
    <n v="0"/>
    <n v="0"/>
    <n v="0"/>
    <n v="0"/>
    <n v="0"/>
    <n v="0"/>
    <n v="0"/>
    <n v="0"/>
    <n v="0"/>
    <n v="0"/>
    <n v="0"/>
    <n v="0"/>
    <n v="0"/>
    <n v="0"/>
    <n v="0"/>
    <n v="0"/>
    <n v="0"/>
    <n v="0"/>
    <n v="0"/>
    <n v="0"/>
    <n v="45.06"/>
    <n v="0"/>
    <n v="0"/>
    <n v="45.06"/>
    <n v="0"/>
    <n v="0"/>
    <n v="0"/>
    <n v="0"/>
    <n v="0"/>
    <n v="0"/>
    <n v="0"/>
    <n v="0"/>
    <n v="45.06"/>
    <n v="21.015000000000001"/>
    <n v="0"/>
    <n v="0"/>
    <n v="21.015000000000001"/>
    <n v="0"/>
    <n v="0"/>
    <n v="0"/>
    <m/>
    <m/>
    <m/>
    <m/>
    <m/>
    <m/>
    <m/>
    <m/>
    <s v="1"/>
    <s v="1"/>
    <s v="0"/>
    <s v="1"/>
    <s v="1"/>
    <m/>
    <m/>
    <m/>
    <m/>
    <m/>
    <m/>
    <m/>
    <m/>
    <m/>
    <m/>
    <m/>
    <m/>
    <m/>
    <m/>
  </r>
  <r>
    <n v="742"/>
    <d v="2025-01-13T00:00:00"/>
    <s v="ZBTO"/>
    <n v="9518425909"/>
    <n v="17"/>
    <s v="9518425909-17"/>
    <s v="No Priority"/>
    <x v="0"/>
    <m/>
    <x v="1"/>
    <x v="2"/>
    <n v="2000"/>
    <m/>
    <x v="0"/>
    <m/>
    <s v="Exp BTF &lt;17MT"/>
    <s v="Andhra Pradesh"/>
    <s v="South"/>
    <s v="VISHAKHAPATNAM"/>
    <s v="Sheet"/>
    <n v="946077"/>
    <x v="8"/>
    <n v="3240805"/>
    <s v="CRCA SHEET TSBCRC SR15 0.800X1000X2500"/>
    <s v=" "/>
    <m/>
    <n v="0"/>
    <n v="0"/>
    <s v="Narrow"/>
    <s v="C06"/>
    <s v="TSBCRC"/>
    <s v="SR15"/>
    <n v="0.8"/>
    <n v="1000"/>
    <n v="2500"/>
    <n v="24"/>
    <n v="20.414999999999999"/>
    <n v="3.585"/>
    <n v="3.585"/>
    <n v="3.585"/>
    <n v="0"/>
    <n v="0"/>
    <n v="0"/>
    <n v="0"/>
    <n v="0"/>
    <n v="0"/>
    <n v="0"/>
    <n v="0"/>
    <n v="0"/>
    <n v="0"/>
    <n v="0"/>
    <n v="0"/>
    <n v="0"/>
    <n v="0"/>
    <n v="0"/>
    <n v="0"/>
    <n v="0"/>
    <n v="0"/>
    <n v="0"/>
    <n v="0"/>
    <n v="0"/>
    <n v="0"/>
    <n v="0"/>
    <n v="0"/>
    <n v="0"/>
    <n v="0"/>
    <n v="24"/>
    <n v="24"/>
    <n v="0"/>
    <n v="0"/>
    <n v="0"/>
    <n v="0"/>
    <n v="24"/>
    <n v="0"/>
    <n v="24"/>
    <n v="0"/>
    <n v="0"/>
    <n v="0"/>
    <n v="0"/>
    <n v="20.414999999999999"/>
    <n v="20.414999999999999"/>
    <n v="0"/>
    <n v="0"/>
    <n v="0"/>
    <n v="0"/>
    <n v="0"/>
    <m/>
    <m/>
    <m/>
    <m/>
    <m/>
    <m/>
    <m/>
    <m/>
    <s v="0"/>
    <s v="1"/>
    <s v="1"/>
    <s v="1"/>
    <s v="1"/>
    <m/>
    <m/>
    <m/>
    <m/>
    <m/>
    <m/>
    <m/>
    <m/>
    <m/>
    <m/>
    <m/>
    <m/>
    <m/>
    <m/>
  </r>
  <r>
    <n v="742"/>
    <d v="2025-01-16T00:00:00"/>
    <s v="ZBTO"/>
    <n v="9518433421"/>
    <n v="18"/>
    <s v="9518433421-18"/>
    <s v="No Priority"/>
    <x v="0"/>
    <m/>
    <x v="1"/>
    <x v="2"/>
    <n v="2000"/>
    <m/>
    <x v="0"/>
    <m/>
    <m/>
    <s v="Tamil Nadu"/>
    <s v="South"/>
    <s v="CHENNAI"/>
    <s v="Sheet"/>
    <n v="938550"/>
    <x v="4"/>
    <n v="3239539"/>
    <s v="CRCA SHEET TATCRC SR16 0.350X1000X1980"/>
    <s v=""/>
    <m/>
    <m/>
    <m/>
    <s v="Narrow"/>
    <s v="C06"/>
    <s v="TATCRC"/>
    <s v="SR16"/>
    <n v="0.35"/>
    <n v="1000"/>
    <n v="1980"/>
    <n v="90"/>
    <n v="0"/>
    <n v="90"/>
    <n v="90"/>
    <n v="90"/>
    <n v="0"/>
    <n v="0"/>
    <n v="0"/>
    <n v="0"/>
    <n v="0"/>
    <n v="0"/>
    <n v="0"/>
    <n v="0"/>
    <n v="0"/>
    <n v="0"/>
    <n v="0"/>
    <n v="0"/>
    <n v="0"/>
    <n v="0"/>
    <n v="0"/>
    <n v="0"/>
    <n v="0"/>
    <n v="0"/>
    <n v="0"/>
    <n v="0"/>
    <n v="0"/>
    <n v="0"/>
    <n v="0"/>
    <n v="0"/>
    <n v="0"/>
    <n v="0"/>
    <n v="90"/>
    <n v="0"/>
    <n v="0"/>
    <n v="0"/>
    <n v="0"/>
    <n v="90"/>
    <n v="0"/>
    <n v="0"/>
    <n v="0"/>
    <n v="0"/>
    <n v="0"/>
    <n v="0"/>
    <n v="90"/>
    <n v="0"/>
    <n v="0"/>
    <n v="0"/>
    <n v="0"/>
    <n v="0"/>
    <n v="0"/>
    <n v="0"/>
    <m/>
    <m/>
    <m/>
    <m/>
    <m/>
    <m/>
    <m/>
    <m/>
    <s v="1"/>
    <s v="1"/>
    <s v="1"/>
    <s v="1"/>
    <s v="0"/>
    <m/>
    <m/>
    <m/>
    <m/>
    <m/>
    <m/>
    <m/>
    <m/>
    <m/>
    <m/>
    <m/>
    <m/>
    <m/>
    <m/>
  </r>
  <r>
    <n v="742"/>
    <d v="2025-01-16T00:00:00"/>
    <s v="ZBTO"/>
    <n v="9518433421"/>
    <n v="19"/>
    <s v="9518433421-19"/>
    <s v="No Priority"/>
    <x v="0"/>
    <m/>
    <x v="1"/>
    <x v="2"/>
    <n v="2000"/>
    <m/>
    <x v="0"/>
    <m/>
    <m/>
    <s v="Tamil Nadu"/>
    <s v="South"/>
    <s v="CHENNAI"/>
    <s v="Sheet"/>
    <n v="938550"/>
    <x v="4"/>
    <n v="3239552"/>
    <s v="CRCA SHEET TATCRC SR16 0.400X1000X1980"/>
    <s v=""/>
    <m/>
    <m/>
    <m/>
    <s v="Narrow"/>
    <s v="C06"/>
    <s v="TATCRC"/>
    <s v="SR16"/>
    <n v="0.4"/>
    <n v="1000"/>
    <n v="1980"/>
    <n v="69"/>
    <n v="0"/>
    <n v="69"/>
    <n v="69"/>
    <n v="69"/>
    <n v="0"/>
    <n v="0"/>
    <n v="0"/>
    <n v="0"/>
    <n v="0"/>
    <n v="0"/>
    <n v="0"/>
    <n v="0"/>
    <n v="0"/>
    <n v="0"/>
    <n v="0"/>
    <n v="0"/>
    <n v="0"/>
    <n v="0"/>
    <n v="0"/>
    <n v="0"/>
    <n v="0"/>
    <n v="0"/>
    <n v="0"/>
    <n v="0"/>
    <n v="0"/>
    <n v="0"/>
    <n v="0"/>
    <n v="0"/>
    <n v="0"/>
    <n v="0"/>
    <n v="69"/>
    <n v="0"/>
    <n v="0"/>
    <n v="0"/>
    <n v="0"/>
    <n v="69"/>
    <n v="0"/>
    <n v="0"/>
    <n v="0"/>
    <n v="0"/>
    <n v="0"/>
    <n v="0"/>
    <n v="69"/>
    <n v="0"/>
    <n v="0"/>
    <n v="0"/>
    <n v="0"/>
    <n v="0"/>
    <n v="0"/>
    <n v="0"/>
    <m/>
    <m/>
    <m/>
    <m/>
    <m/>
    <m/>
    <m/>
    <m/>
    <s v="1"/>
    <s v="1"/>
    <s v="1"/>
    <s v="1"/>
    <s v="0"/>
    <m/>
    <m/>
    <m/>
    <m/>
    <m/>
    <m/>
    <m/>
    <m/>
    <m/>
    <m/>
    <m/>
    <m/>
    <m/>
    <m/>
  </r>
  <r>
    <n v="742"/>
    <d v="2025-01-02T00:00:00"/>
    <s v="ZBTO"/>
    <n v="9518400614"/>
    <n v="9"/>
    <s v="9518400614-9"/>
    <s v="No Priority"/>
    <x v="0"/>
    <m/>
    <x v="1"/>
    <x v="2"/>
    <n v="2000"/>
    <m/>
    <x v="0"/>
    <m/>
    <m/>
    <s v="Kerala"/>
    <s v="South"/>
    <s v="COCHIN HARBOUR "/>
    <s v="Sheet"/>
    <n v="116650"/>
    <x v="9"/>
    <n v="3239538"/>
    <s v="CRCA SHEET TATCRC SR16 0.350X1000X1910"/>
    <s v=""/>
    <m/>
    <m/>
    <m/>
    <s v="Narrow"/>
    <s v="C06"/>
    <s v="TATCRC"/>
    <s v="SR16"/>
    <n v="0.35"/>
    <n v="1000"/>
    <n v="1910"/>
    <n v="21"/>
    <n v="0"/>
    <n v="21"/>
    <n v="-2.2200000000000002"/>
    <n v="0"/>
    <n v="0"/>
    <n v="0"/>
    <n v="0"/>
    <n v="0"/>
    <n v="0"/>
    <n v="0"/>
    <n v="0"/>
    <n v="0"/>
    <n v="0"/>
    <n v="0"/>
    <n v="0"/>
    <n v="0"/>
    <n v="0"/>
    <n v="0"/>
    <n v="0"/>
    <n v="0"/>
    <n v="0"/>
    <n v="0"/>
    <n v="0"/>
    <n v="0"/>
    <n v="0"/>
    <n v="0"/>
    <n v="0"/>
    <n v="0"/>
    <n v="0"/>
    <n v="0"/>
    <n v="21"/>
    <n v="0"/>
    <n v="0"/>
    <n v="21"/>
    <n v="0"/>
    <n v="0"/>
    <n v="0"/>
    <n v="0"/>
    <n v="0"/>
    <n v="0"/>
    <n v="0"/>
    <n v="0"/>
    <n v="21"/>
    <n v="0"/>
    <n v="0"/>
    <n v="0"/>
    <n v="0"/>
    <n v="0"/>
    <n v="0"/>
    <n v="0"/>
    <m/>
    <m/>
    <m/>
    <m/>
    <m/>
    <m/>
    <m/>
    <m/>
    <s v="1"/>
    <s v="1"/>
    <s v="0"/>
    <s v="1"/>
    <s v="1"/>
    <m/>
    <m/>
    <m/>
    <m/>
    <m/>
    <m/>
    <m/>
    <m/>
    <m/>
    <m/>
    <m/>
    <m/>
    <m/>
    <m/>
  </r>
  <r>
    <n v="742"/>
    <d v="2025-01-02T00:00:00"/>
    <s v="ZBTO"/>
    <n v="9518400614"/>
    <n v="10"/>
    <s v="9518400614-10"/>
    <s v="No Priority"/>
    <x v="0"/>
    <m/>
    <x v="1"/>
    <x v="2"/>
    <n v="2000"/>
    <m/>
    <x v="0"/>
    <m/>
    <m/>
    <s v="Kerala"/>
    <s v="South"/>
    <s v="COCHIN HARBOUR "/>
    <s v="Sheet"/>
    <n v="116650"/>
    <x v="9"/>
    <n v="3239551"/>
    <s v="CRCA SHEET TATCRC SR16 0.400X1000X1910"/>
    <s v=""/>
    <m/>
    <m/>
    <m/>
    <s v="Narrow"/>
    <s v="C06"/>
    <s v="TATCRC"/>
    <s v="SR16"/>
    <n v="0.4"/>
    <n v="1000"/>
    <n v="1910"/>
    <n v="21"/>
    <n v="0"/>
    <n v="21"/>
    <n v="-19.420000000000002"/>
    <n v="0"/>
    <n v="0"/>
    <n v="0"/>
    <n v="0"/>
    <n v="0"/>
    <n v="0"/>
    <n v="0"/>
    <n v="0"/>
    <n v="0"/>
    <n v="0"/>
    <n v="0"/>
    <n v="0"/>
    <n v="0"/>
    <n v="0"/>
    <n v="0"/>
    <n v="0"/>
    <n v="0"/>
    <n v="0"/>
    <n v="0"/>
    <n v="0"/>
    <n v="0"/>
    <n v="0"/>
    <n v="0"/>
    <n v="0"/>
    <n v="0"/>
    <n v="0"/>
    <n v="0"/>
    <n v="21"/>
    <n v="0"/>
    <n v="0"/>
    <n v="21"/>
    <n v="0"/>
    <n v="0"/>
    <n v="0"/>
    <n v="0"/>
    <n v="0"/>
    <n v="0"/>
    <n v="0"/>
    <n v="0"/>
    <n v="21"/>
    <n v="0"/>
    <n v="0"/>
    <n v="0"/>
    <n v="0"/>
    <n v="0"/>
    <n v="0"/>
    <n v="0"/>
    <m/>
    <m/>
    <m/>
    <m/>
    <m/>
    <m/>
    <m/>
    <m/>
    <s v="1"/>
    <s v="1"/>
    <s v="0"/>
    <s v="1"/>
    <s v="1"/>
    <m/>
    <m/>
    <m/>
    <m/>
    <m/>
    <m/>
    <m/>
    <m/>
    <m/>
    <m/>
    <m/>
    <m/>
    <m/>
    <m/>
  </r>
  <r>
    <n v="742"/>
    <d v="2025-01-03T00:00:00"/>
    <s v="ZBTO"/>
    <n v="9518403237"/>
    <n v="4"/>
    <s v="9518403237-4"/>
    <s v="No Priority"/>
    <x v="0"/>
    <m/>
    <x v="1"/>
    <x v="2"/>
    <n v="2000"/>
    <m/>
    <x v="0"/>
    <m/>
    <m/>
    <s v="Jharkhand"/>
    <s v="East"/>
    <s v="BOKARO STEEL CY"/>
    <s v="Sheet"/>
    <n v="121328"/>
    <x v="10"/>
    <n v="3152198"/>
    <s v="CRCA SHEET TATCRC SR16 0.380X1000X2500"/>
    <s v=""/>
    <m/>
    <m/>
    <m/>
    <s v="Narrow"/>
    <s v="C06"/>
    <s v="TATCRC"/>
    <s v="SR16"/>
    <n v="0.38"/>
    <n v="1000"/>
    <n v="2500"/>
    <n v="24"/>
    <n v="0"/>
    <n v="24"/>
    <n v="24"/>
    <n v="24"/>
    <n v="0"/>
    <n v="0"/>
    <n v="0"/>
    <n v="0"/>
    <n v="0"/>
    <n v="0"/>
    <n v="0"/>
    <n v="0"/>
    <n v="0"/>
    <n v="0"/>
    <n v="0"/>
    <n v="0"/>
    <n v="0"/>
    <n v="0"/>
    <n v="0"/>
    <n v="0"/>
    <n v="0"/>
    <n v="0"/>
    <n v="0"/>
    <n v="0"/>
    <n v="0"/>
    <n v="0"/>
    <n v="0"/>
    <n v="0"/>
    <n v="0"/>
    <n v="0"/>
    <n v="24"/>
    <n v="0"/>
    <n v="0"/>
    <n v="0"/>
    <n v="0"/>
    <n v="24"/>
    <n v="0"/>
    <n v="0"/>
    <n v="0"/>
    <n v="0"/>
    <n v="0"/>
    <n v="0"/>
    <n v="24"/>
    <n v="0"/>
    <n v="0"/>
    <n v="0"/>
    <n v="0"/>
    <n v="0"/>
    <n v="0"/>
    <n v="0"/>
    <m/>
    <m/>
    <m/>
    <m/>
    <m/>
    <m/>
    <m/>
    <m/>
    <s v="1"/>
    <s v="1"/>
    <s v="1"/>
    <s v="1"/>
    <s v="0"/>
    <m/>
    <m/>
    <m/>
    <m/>
    <m/>
    <m/>
    <m/>
    <m/>
    <m/>
    <m/>
    <m/>
    <m/>
    <m/>
    <m/>
  </r>
  <r>
    <n v="742"/>
    <d v="2025-01-03T00:00:00"/>
    <s v="ZBTO"/>
    <n v="9518403237"/>
    <n v="8"/>
    <s v="9518403237-8"/>
    <s v="No Priority"/>
    <x v="0"/>
    <m/>
    <x v="1"/>
    <x v="2"/>
    <n v="2000"/>
    <m/>
    <x v="0"/>
    <m/>
    <m/>
    <s v="Jharkhand"/>
    <s v="East"/>
    <s v="BOKARO STEEL CY"/>
    <s v="Sheet"/>
    <n v="121328"/>
    <x v="10"/>
    <n v="3239572"/>
    <s v="CRCA SHEET TATCRC SR16 0.480X1000X2500"/>
    <s v=""/>
    <m/>
    <m/>
    <m/>
    <s v="Narrow"/>
    <s v="C06"/>
    <s v="TATCRC"/>
    <s v="SR16"/>
    <n v="0.48"/>
    <n v="1000"/>
    <n v="2500"/>
    <n v="24"/>
    <n v="0"/>
    <n v="24"/>
    <n v="-8.18"/>
    <n v="0"/>
    <n v="0"/>
    <n v="0"/>
    <n v="0"/>
    <n v="0"/>
    <n v="0"/>
    <n v="0"/>
    <n v="0"/>
    <n v="0"/>
    <n v="0"/>
    <n v="0"/>
    <n v="0"/>
    <n v="0"/>
    <n v="0"/>
    <n v="0"/>
    <n v="0"/>
    <n v="0"/>
    <n v="0"/>
    <n v="0"/>
    <n v="0"/>
    <n v="0"/>
    <n v="0"/>
    <n v="0"/>
    <n v="0"/>
    <n v="0"/>
    <n v="0"/>
    <n v="0"/>
    <n v="24"/>
    <n v="0"/>
    <n v="0"/>
    <n v="0"/>
    <n v="0"/>
    <n v="24"/>
    <n v="0"/>
    <n v="0"/>
    <n v="0"/>
    <n v="0"/>
    <n v="0"/>
    <n v="0"/>
    <n v="24"/>
    <n v="0"/>
    <n v="0"/>
    <n v="0"/>
    <n v="0"/>
    <n v="0"/>
    <n v="0"/>
    <n v="0"/>
    <m/>
    <m/>
    <m/>
    <m/>
    <m/>
    <m/>
    <m/>
    <m/>
    <s v="1"/>
    <s v="1"/>
    <s v="1"/>
    <s v="1"/>
    <s v="0"/>
    <m/>
    <m/>
    <m/>
    <m/>
    <m/>
    <m/>
    <m/>
    <m/>
    <m/>
    <m/>
    <m/>
    <m/>
    <m/>
    <m/>
  </r>
  <r>
    <n v="742"/>
    <d v="2025-01-21T00:00:00"/>
    <s v="ZBTO"/>
    <n v="9518447967"/>
    <n v="1"/>
    <s v="9518447967-1"/>
    <s v="No Priority"/>
    <x v="0"/>
    <m/>
    <x v="1"/>
    <x v="2"/>
    <n v="2000"/>
    <m/>
    <x v="0"/>
    <m/>
    <s v="Exp BTF &lt;17MT"/>
    <s v="West Bengal"/>
    <s v="East"/>
    <s v="HOWRAH"/>
    <s v="Sheet"/>
    <n v="101278"/>
    <x v="11"/>
    <n v="3446127"/>
    <s v="CRCA SHEET TATCRC SR16 0.330X900X2500"/>
    <s v=""/>
    <m/>
    <m/>
    <m/>
    <s v="Narrow"/>
    <s v="C06"/>
    <s v="TATCRC"/>
    <s v="SR16"/>
    <n v="0.33"/>
    <n v="900"/>
    <n v="2500"/>
    <n v="27"/>
    <n v="19.305"/>
    <n v="7.6950000000000003"/>
    <n v="7.6950000000000003"/>
    <n v="7.6950000000000003"/>
    <n v="0"/>
    <n v="0"/>
    <n v="0"/>
    <n v="0"/>
    <n v="0"/>
    <n v="0"/>
    <n v="0"/>
    <n v="0"/>
    <n v="0"/>
    <n v="0"/>
    <n v="0"/>
    <n v="0"/>
    <n v="0"/>
    <n v="0"/>
    <n v="0"/>
    <n v="0"/>
    <n v="0"/>
    <n v="0"/>
    <n v="0"/>
    <n v="0"/>
    <n v="0"/>
    <n v="0"/>
    <n v="0"/>
    <n v="0"/>
    <n v="0"/>
    <n v="0"/>
    <n v="27"/>
    <n v="27"/>
    <n v="0"/>
    <n v="0"/>
    <n v="0"/>
    <n v="0"/>
    <n v="27"/>
    <n v="0"/>
    <n v="27"/>
    <n v="0"/>
    <n v="0"/>
    <n v="0"/>
    <n v="0"/>
    <n v="19.305"/>
    <n v="19.305"/>
    <n v="0"/>
    <n v="0"/>
    <n v="0"/>
    <n v="0"/>
    <n v="0"/>
    <m/>
    <m/>
    <m/>
    <m/>
    <m/>
    <m/>
    <m/>
    <m/>
    <s v="0"/>
    <s v="1"/>
    <s v="1"/>
    <s v="1"/>
    <s v="1"/>
    <m/>
    <m/>
    <m/>
    <m/>
    <m/>
    <m/>
    <m/>
    <m/>
    <m/>
    <m/>
    <m/>
    <m/>
    <m/>
    <m/>
  </r>
  <r>
    <n v="742"/>
    <d v="2025-01-21T00:00:00"/>
    <s v="ZBTO"/>
    <n v="9518447967"/>
    <n v="4"/>
    <s v="9518447967-4"/>
    <s v="No Priority"/>
    <x v="0"/>
    <m/>
    <x v="1"/>
    <x v="2"/>
    <n v="2000"/>
    <m/>
    <x v="0"/>
    <m/>
    <m/>
    <s v="West Bengal"/>
    <s v="East"/>
    <s v="HOWRAH"/>
    <s v="Sheet"/>
    <n v="101278"/>
    <x v="11"/>
    <n v="3239554"/>
    <s v="CRCA SHEET TATCRC SR16 0.400X1000X2500"/>
    <s v=""/>
    <m/>
    <m/>
    <m/>
    <s v="Narrow"/>
    <s v="C06"/>
    <s v="TATCRC"/>
    <s v="SR16"/>
    <n v="0.4"/>
    <n v="1000"/>
    <n v="2500"/>
    <n v="27"/>
    <n v="0"/>
    <n v="27"/>
    <n v="27"/>
    <n v="27"/>
    <n v="0"/>
    <n v="0"/>
    <n v="0"/>
    <n v="0"/>
    <n v="0"/>
    <n v="0"/>
    <n v="0"/>
    <n v="0"/>
    <n v="0"/>
    <n v="0"/>
    <n v="0"/>
    <n v="0"/>
    <n v="0"/>
    <n v="0"/>
    <n v="0"/>
    <n v="0"/>
    <n v="0"/>
    <n v="0"/>
    <n v="0"/>
    <n v="0"/>
    <n v="0"/>
    <n v="0"/>
    <n v="0"/>
    <n v="0"/>
    <n v="0"/>
    <n v="0"/>
    <n v="27"/>
    <n v="0"/>
    <n v="0"/>
    <n v="0"/>
    <n v="0"/>
    <n v="27"/>
    <n v="0"/>
    <n v="0"/>
    <n v="0"/>
    <n v="0"/>
    <n v="0"/>
    <n v="0"/>
    <n v="27"/>
    <n v="0"/>
    <n v="0"/>
    <n v="0"/>
    <n v="0"/>
    <n v="0"/>
    <n v="0"/>
    <n v="0"/>
    <m/>
    <m/>
    <m/>
    <m/>
    <m/>
    <m/>
    <m/>
    <m/>
    <s v="1"/>
    <s v="1"/>
    <s v="1"/>
    <s v="1"/>
    <s v="0"/>
    <m/>
    <m/>
    <m/>
    <m/>
    <m/>
    <m/>
    <m/>
    <m/>
    <m/>
    <m/>
    <m/>
    <m/>
    <m/>
    <m/>
  </r>
  <r>
    <n v="742"/>
    <d v="2025-01-11T00:00:00"/>
    <s v="ZBTO"/>
    <n v="9518421446"/>
    <n v="5"/>
    <s v="9518421446-5"/>
    <s v="No Priority"/>
    <x v="0"/>
    <m/>
    <x v="1"/>
    <x v="2"/>
    <n v="2000"/>
    <m/>
    <x v="0"/>
    <m/>
    <m/>
    <s v="Jharkhand"/>
    <s v="East"/>
    <s v="WEST BOKARO"/>
    <s v="Sheet"/>
    <n v="185794"/>
    <x v="12"/>
    <n v="3239567"/>
    <s v="CRCA SHEET TATCRC SR16 0.450X1000X2500"/>
    <s v=""/>
    <m/>
    <m/>
    <m/>
    <s v="Narrow"/>
    <s v="C06"/>
    <s v="TATCRC"/>
    <s v="SR16"/>
    <n v="0.45"/>
    <n v="1000"/>
    <n v="2500"/>
    <n v="51"/>
    <n v="0"/>
    <n v="51"/>
    <n v="28.7"/>
    <n v="51"/>
    <n v="0"/>
    <n v="0"/>
    <n v="0"/>
    <n v="0"/>
    <n v="0"/>
    <n v="0"/>
    <n v="0"/>
    <n v="0"/>
    <n v="0"/>
    <n v="0"/>
    <n v="0"/>
    <n v="0"/>
    <n v="0"/>
    <n v="0"/>
    <n v="0"/>
    <n v="0"/>
    <n v="0"/>
    <n v="0"/>
    <n v="0"/>
    <n v="0"/>
    <n v="0"/>
    <n v="0"/>
    <n v="0"/>
    <n v="0"/>
    <n v="0"/>
    <n v="0"/>
    <n v="51"/>
    <n v="0"/>
    <n v="0"/>
    <n v="0"/>
    <n v="0"/>
    <n v="51"/>
    <n v="0"/>
    <n v="0"/>
    <n v="0"/>
    <n v="0"/>
    <n v="0"/>
    <n v="0"/>
    <n v="51"/>
    <n v="0"/>
    <n v="0"/>
    <n v="0"/>
    <n v="0"/>
    <n v="0"/>
    <n v="0"/>
    <n v="0"/>
    <m/>
    <m/>
    <m/>
    <m/>
    <m/>
    <m/>
    <m/>
    <m/>
    <s v="1"/>
    <s v="1"/>
    <s v="1"/>
    <s v="1"/>
    <s v="0"/>
    <m/>
    <m/>
    <m/>
    <m/>
    <m/>
    <m/>
    <m/>
    <m/>
    <m/>
    <m/>
    <m/>
    <m/>
    <m/>
    <m/>
  </r>
  <r>
    <n v="742"/>
    <d v="2025-01-06T00:00:00"/>
    <s v="ZBTO"/>
    <n v="9518407284"/>
    <n v="6"/>
    <s v="9518407284-6"/>
    <s v="No Priority"/>
    <x v="0"/>
    <m/>
    <x v="1"/>
    <x v="2"/>
    <n v="2000"/>
    <m/>
    <x v="0"/>
    <m/>
    <m/>
    <s v="Tamil Nadu"/>
    <s v="South"/>
    <s v="CHENNAI"/>
    <s v="Sheet"/>
    <n v="116465"/>
    <x v="13"/>
    <n v="3239552"/>
    <s v="CRCA SHEET TATCRC SR16 0.400X1000X1980"/>
    <s v=""/>
    <m/>
    <m/>
    <m/>
    <s v="Narrow"/>
    <s v="C06"/>
    <s v="TATCRC"/>
    <s v="SR16"/>
    <n v="0.4"/>
    <n v="1000"/>
    <n v="1980"/>
    <n v="24"/>
    <n v="0"/>
    <n v="24"/>
    <n v="24"/>
    <n v="24"/>
    <n v="0"/>
    <n v="0"/>
    <n v="0"/>
    <n v="0"/>
    <n v="0"/>
    <n v="0"/>
    <n v="0"/>
    <n v="0"/>
    <n v="0"/>
    <n v="0"/>
    <n v="0"/>
    <n v="0"/>
    <n v="0"/>
    <n v="0"/>
    <n v="0"/>
    <n v="0"/>
    <n v="0"/>
    <n v="0"/>
    <n v="0"/>
    <n v="0"/>
    <n v="0"/>
    <n v="0"/>
    <n v="0"/>
    <n v="0"/>
    <n v="0"/>
    <n v="0"/>
    <n v="24"/>
    <n v="0"/>
    <n v="0"/>
    <n v="0"/>
    <n v="0"/>
    <n v="24"/>
    <n v="0"/>
    <n v="0"/>
    <n v="0"/>
    <n v="0"/>
    <n v="0"/>
    <n v="0"/>
    <n v="24"/>
    <n v="0"/>
    <n v="0"/>
    <n v="0"/>
    <n v="0"/>
    <n v="0"/>
    <n v="0"/>
    <n v="0"/>
    <m/>
    <m/>
    <m/>
    <m/>
    <m/>
    <m/>
    <m/>
    <m/>
    <s v="1"/>
    <s v="1"/>
    <s v="1"/>
    <s v="1"/>
    <s v="0"/>
    <m/>
    <m/>
    <m/>
    <m/>
    <m/>
    <m/>
    <m/>
    <m/>
    <m/>
    <m/>
    <m/>
    <m/>
    <m/>
    <m/>
  </r>
  <r>
    <n v="742"/>
    <d v="2025-01-06T00:00:00"/>
    <s v="ZBTO"/>
    <n v="9518407284"/>
    <n v="8"/>
    <s v="9518407284-8"/>
    <s v="No Priority"/>
    <x v="0"/>
    <m/>
    <x v="1"/>
    <x v="2"/>
    <n v="2000"/>
    <m/>
    <x v="0"/>
    <m/>
    <m/>
    <s v="Tamil Nadu"/>
    <s v="South"/>
    <s v="CHENNAI"/>
    <s v="Sheet"/>
    <n v="116465"/>
    <x v="13"/>
    <n v="3239564"/>
    <s v="CRCA SHEET TATCRC SR16 0.450X1000X1980"/>
    <s v=""/>
    <m/>
    <m/>
    <m/>
    <s v="Narrow"/>
    <s v="C06"/>
    <s v="TATCRC"/>
    <s v="SR16"/>
    <n v="0.45"/>
    <n v="1000"/>
    <n v="1980"/>
    <n v="24"/>
    <n v="0"/>
    <n v="24"/>
    <n v="24"/>
    <n v="24"/>
    <n v="0"/>
    <n v="0"/>
    <n v="0"/>
    <n v="0"/>
    <n v="0"/>
    <n v="0"/>
    <n v="0"/>
    <n v="0"/>
    <n v="0"/>
    <n v="0"/>
    <n v="0"/>
    <n v="0"/>
    <n v="0"/>
    <n v="0"/>
    <n v="0"/>
    <n v="0"/>
    <n v="0"/>
    <n v="0"/>
    <n v="0"/>
    <n v="0"/>
    <n v="0"/>
    <n v="0"/>
    <n v="0"/>
    <n v="0"/>
    <n v="0"/>
    <n v="0"/>
    <n v="24"/>
    <n v="0"/>
    <n v="0"/>
    <n v="0"/>
    <n v="0"/>
    <n v="24"/>
    <n v="0"/>
    <n v="0"/>
    <n v="0"/>
    <n v="0"/>
    <n v="0"/>
    <n v="0"/>
    <n v="24"/>
    <n v="0"/>
    <n v="0"/>
    <n v="0"/>
    <n v="0"/>
    <n v="0"/>
    <n v="0"/>
    <n v="0"/>
    <m/>
    <m/>
    <m/>
    <m/>
    <m/>
    <m/>
    <m/>
    <m/>
    <s v="1"/>
    <s v="1"/>
    <s v="1"/>
    <s v="1"/>
    <s v="0"/>
    <m/>
    <m/>
    <m/>
    <m/>
    <m/>
    <m/>
    <m/>
    <m/>
    <m/>
    <m/>
    <m/>
    <m/>
    <m/>
    <m/>
  </r>
  <r>
    <n v="742"/>
    <d v="2025-01-06T00:00:00"/>
    <s v="ZBTO"/>
    <n v="9518407392"/>
    <n v="1"/>
    <s v="9518407392-1"/>
    <s v="No Priority"/>
    <x v="0"/>
    <m/>
    <x v="1"/>
    <x v="2"/>
    <n v="2000"/>
    <m/>
    <x v="0"/>
    <m/>
    <m/>
    <s v="Tamil Nadu"/>
    <s v="South"/>
    <s v="SALEM"/>
    <s v="Sheet"/>
    <n v="116465"/>
    <x v="13"/>
    <n v="3239408"/>
    <s v="CRCA SHEET TATCRC SR16 0.300X900X2500"/>
    <s v=""/>
    <m/>
    <m/>
    <m/>
    <s v="Narrow"/>
    <s v="C06"/>
    <s v="TATCRC"/>
    <s v="SR16"/>
    <n v="0.3"/>
    <n v="900"/>
    <n v="2500"/>
    <n v="21"/>
    <n v="18.440000000000001"/>
    <n v="2.56"/>
    <n v="2.56"/>
    <n v="0"/>
    <n v="0"/>
    <n v="0"/>
    <n v="0"/>
    <n v="0"/>
    <n v="0"/>
    <n v="0"/>
    <n v="0"/>
    <n v="0"/>
    <n v="0"/>
    <n v="0"/>
    <n v="0"/>
    <n v="0"/>
    <n v="0"/>
    <n v="0"/>
    <n v="0"/>
    <n v="0"/>
    <n v="0"/>
    <n v="0"/>
    <n v="0"/>
    <n v="0"/>
    <n v="0"/>
    <n v="0"/>
    <n v="0"/>
    <n v="0"/>
    <n v="0"/>
    <n v="0"/>
    <n v="21"/>
    <n v="21"/>
    <n v="0"/>
    <n v="0"/>
    <n v="0"/>
    <n v="0"/>
    <n v="21"/>
    <n v="0"/>
    <n v="21"/>
    <n v="0"/>
    <n v="0"/>
    <n v="0"/>
    <n v="0"/>
    <n v="18.440000000000001"/>
    <n v="18.440000000000001"/>
    <n v="0"/>
    <n v="0"/>
    <n v="0"/>
    <n v="0"/>
    <n v="0"/>
    <m/>
    <m/>
    <m/>
    <m/>
    <m/>
    <m/>
    <m/>
    <m/>
    <s v="0"/>
    <s v="1"/>
    <s v="1"/>
    <s v="1"/>
    <s v="1"/>
    <m/>
    <m/>
    <m/>
    <m/>
    <m/>
    <m/>
    <m/>
    <m/>
    <m/>
    <m/>
    <m/>
    <m/>
    <m/>
    <m/>
  </r>
  <r>
    <n v="742"/>
    <d v="2025-01-06T00:00:00"/>
    <s v="ZBTO"/>
    <n v="9518407392"/>
    <n v="6"/>
    <s v="9518407392-6"/>
    <s v="No Priority"/>
    <x v="0"/>
    <m/>
    <x v="1"/>
    <x v="2"/>
    <n v="2000"/>
    <m/>
    <x v="0"/>
    <m/>
    <m/>
    <s v="Tamil Nadu"/>
    <s v="South"/>
    <s v="SALEM"/>
    <s v="Sheet"/>
    <n v="116465"/>
    <x v="13"/>
    <n v="3239564"/>
    <s v="CRCA SHEET TATCRC SR16 0.450X1000X1980"/>
    <s v=""/>
    <m/>
    <m/>
    <m/>
    <s v="Narrow"/>
    <s v="C06"/>
    <s v="TATCRC"/>
    <s v="SR16"/>
    <n v="0.45"/>
    <n v="1000"/>
    <n v="1980"/>
    <n v="21"/>
    <n v="0"/>
    <n v="21"/>
    <n v="-1.1200000000000001"/>
    <n v="0"/>
    <n v="0"/>
    <n v="0"/>
    <n v="0"/>
    <n v="0"/>
    <n v="0"/>
    <n v="0"/>
    <n v="0"/>
    <n v="0"/>
    <n v="0"/>
    <n v="0"/>
    <n v="0"/>
    <n v="0"/>
    <n v="0"/>
    <n v="0"/>
    <n v="0"/>
    <n v="0"/>
    <n v="0"/>
    <n v="0"/>
    <n v="0"/>
    <n v="0"/>
    <n v="0"/>
    <n v="0"/>
    <n v="0"/>
    <n v="0"/>
    <n v="0"/>
    <n v="0"/>
    <n v="21"/>
    <n v="0"/>
    <n v="0"/>
    <n v="21"/>
    <n v="0"/>
    <n v="0"/>
    <n v="0"/>
    <n v="0"/>
    <n v="0"/>
    <n v="0"/>
    <n v="0"/>
    <n v="0"/>
    <n v="21"/>
    <n v="0"/>
    <n v="0"/>
    <n v="0"/>
    <n v="0"/>
    <n v="0"/>
    <n v="0"/>
    <n v="0"/>
    <m/>
    <m/>
    <m/>
    <m/>
    <m/>
    <m/>
    <m/>
    <m/>
    <s v="1"/>
    <s v="1"/>
    <s v="0"/>
    <s v="1"/>
    <s v="1"/>
    <m/>
    <m/>
    <m/>
    <m/>
    <m/>
    <m/>
    <m/>
    <m/>
    <m/>
    <m/>
    <m/>
    <m/>
    <m/>
    <m/>
  </r>
  <r>
    <n v="742"/>
    <d v="2025-01-10T00:00:00"/>
    <s v="ZBTO"/>
    <n v="9518419878"/>
    <n v="1"/>
    <s v="9518419878-1"/>
    <s v="No Priority"/>
    <x v="0"/>
    <m/>
    <x v="1"/>
    <x v="2"/>
    <n v="2000"/>
    <m/>
    <x v="0"/>
    <m/>
    <m/>
    <s v="Jharkhand"/>
    <s v="East"/>
    <s v="TATANAGAR"/>
    <s v="Sheet"/>
    <n v="165053"/>
    <x v="5"/>
    <n v="3239408"/>
    <s v="CRCA SHEET TATCRC SR16 0.300X900X2500"/>
    <s v=""/>
    <m/>
    <m/>
    <m/>
    <s v="Narrow"/>
    <s v="C06"/>
    <s v="TATCRC"/>
    <s v="SR16"/>
    <n v="0.3"/>
    <n v="900"/>
    <n v="2500"/>
    <n v="20.99"/>
    <n v="18.465"/>
    <n v="2.5249999999999999"/>
    <n v="2.5249999999999999"/>
    <n v="0"/>
    <n v="0"/>
    <n v="0"/>
    <n v="0"/>
    <n v="0"/>
    <n v="0"/>
    <n v="0"/>
    <n v="0"/>
    <n v="0"/>
    <n v="0"/>
    <n v="0"/>
    <n v="0"/>
    <n v="0"/>
    <n v="0"/>
    <n v="0"/>
    <n v="0"/>
    <n v="0"/>
    <n v="0"/>
    <n v="0"/>
    <n v="0"/>
    <n v="0"/>
    <n v="0"/>
    <n v="0"/>
    <n v="0"/>
    <n v="0"/>
    <n v="0"/>
    <n v="0"/>
    <n v="21"/>
    <n v="21"/>
    <n v="0"/>
    <n v="0"/>
    <n v="0"/>
    <n v="0"/>
    <n v="21"/>
    <n v="0"/>
    <n v="21"/>
    <n v="0"/>
    <n v="0"/>
    <n v="0"/>
    <n v="0"/>
    <n v="18.465"/>
    <n v="18.465"/>
    <n v="0"/>
    <n v="0"/>
    <n v="0"/>
    <n v="0"/>
    <n v="0"/>
    <m/>
    <m/>
    <m/>
    <m/>
    <m/>
    <m/>
    <m/>
    <m/>
    <s v="0"/>
    <s v="1"/>
    <s v="1"/>
    <s v="1"/>
    <s v="1"/>
    <m/>
    <m/>
    <m/>
    <m/>
    <m/>
    <m/>
    <m/>
    <m/>
    <m/>
    <m/>
    <m/>
    <m/>
    <m/>
    <m/>
  </r>
  <r>
    <n v="742"/>
    <d v="2025-01-10T00:00:00"/>
    <s v="ZBTO"/>
    <n v="9518419878"/>
    <n v="3"/>
    <s v="9518419878-3"/>
    <s v="No Priority"/>
    <x v="0"/>
    <m/>
    <x v="1"/>
    <x v="2"/>
    <n v="2000"/>
    <m/>
    <x v="0"/>
    <m/>
    <m/>
    <s v="Jharkhand"/>
    <s v="East"/>
    <s v="TATANAGAR"/>
    <s v="Sheet"/>
    <n v="165053"/>
    <x v="5"/>
    <n v="3152197"/>
    <s v="CRCA SHEET TATCRC SR16 0.330X1000X2500"/>
    <s v=""/>
    <m/>
    <m/>
    <m/>
    <s v="Narrow"/>
    <s v="C06"/>
    <s v="TATCRC"/>
    <s v="SR16"/>
    <n v="0.33"/>
    <n v="1000"/>
    <n v="2500"/>
    <n v="42"/>
    <n v="0"/>
    <n v="42"/>
    <n v="42"/>
    <n v="42"/>
    <n v="0"/>
    <n v="0"/>
    <n v="0"/>
    <n v="0"/>
    <n v="0"/>
    <n v="0"/>
    <n v="0"/>
    <n v="0"/>
    <n v="0"/>
    <n v="0"/>
    <n v="0"/>
    <n v="0"/>
    <n v="0"/>
    <n v="0"/>
    <n v="0"/>
    <n v="0"/>
    <n v="0"/>
    <n v="0"/>
    <n v="0"/>
    <n v="0"/>
    <n v="0"/>
    <n v="0"/>
    <n v="0"/>
    <n v="0"/>
    <n v="0"/>
    <n v="0"/>
    <n v="42"/>
    <n v="0"/>
    <n v="0"/>
    <n v="0"/>
    <n v="0"/>
    <n v="42"/>
    <n v="0"/>
    <n v="0"/>
    <n v="0"/>
    <n v="0"/>
    <n v="0"/>
    <n v="0"/>
    <n v="42"/>
    <n v="0"/>
    <n v="0"/>
    <n v="0"/>
    <n v="0"/>
    <n v="0"/>
    <n v="0"/>
    <n v="0"/>
    <m/>
    <m/>
    <m/>
    <m/>
    <m/>
    <m/>
    <m/>
    <m/>
    <s v="1"/>
    <s v="1"/>
    <s v="1"/>
    <s v="1"/>
    <s v="0"/>
    <m/>
    <m/>
    <m/>
    <m/>
    <m/>
    <m/>
    <m/>
    <m/>
    <m/>
    <m/>
    <m/>
    <m/>
    <m/>
    <m/>
  </r>
  <r>
    <n v="743"/>
    <d v="2025-01-06T00:00:00"/>
    <s v="ZBTO"/>
    <n v="9518408527"/>
    <n v="1"/>
    <s v="9518408527-1"/>
    <s v="No Priority"/>
    <x v="0"/>
    <m/>
    <x v="3"/>
    <x v="4"/>
    <n v="2000"/>
    <m/>
    <x v="0"/>
    <m/>
    <m/>
    <s v="Karnataka"/>
    <s v="South"/>
    <s v="YESHWANTHPURA"/>
    <s v="Coil"/>
    <n v="942923"/>
    <x v="14"/>
    <n v="304874"/>
    <s v="GPCOIL TATXGP GP02 0.25X1015"/>
    <m/>
    <m/>
    <m/>
    <m/>
    <s v="Narrow"/>
    <s v="C05"/>
    <s v="TATXGP"/>
    <s v="GP02"/>
    <n v="0.25"/>
    <n v="1015"/>
    <n v="0"/>
    <n v="46"/>
    <n v="0"/>
    <n v="46"/>
    <n v="46"/>
    <n v="46"/>
    <n v="0"/>
    <n v="0"/>
    <n v="0"/>
    <n v="0"/>
    <n v="0"/>
    <n v="0"/>
    <n v="0"/>
    <n v="0"/>
    <n v="0"/>
    <n v="0"/>
    <n v="0"/>
    <n v="0"/>
    <n v="0"/>
    <n v="0"/>
    <n v="0"/>
    <n v="0"/>
    <n v="0"/>
    <n v="0"/>
    <n v="0"/>
    <n v="0"/>
    <n v="0"/>
    <n v="0"/>
    <n v="0"/>
    <n v="0"/>
    <n v="0"/>
    <n v="0"/>
    <n v="46"/>
    <n v="0"/>
    <n v="0"/>
    <n v="0"/>
    <n v="0"/>
    <n v="46"/>
    <n v="0"/>
    <n v="0"/>
    <n v="0"/>
    <n v="0"/>
    <n v="0"/>
    <n v="0"/>
    <n v="46"/>
    <n v="0"/>
    <n v="0"/>
    <n v="0"/>
    <n v="0"/>
    <n v="0"/>
    <n v="0"/>
    <n v="0"/>
    <m/>
    <m/>
    <m/>
    <m/>
    <m/>
    <m/>
    <m/>
    <m/>
    <s v="1"/>
    <s v="1"/>
    <s v="1"/>
    <s v="1"/>
    <s v="0"/>
    <m/>
    <m/>
    <m/>
    <m/>
    <m/>
    <m/>
    <m/>
    <m/>
    <m/>
    <m/>
    <m/>
    <m/>
    <m/>
    <m/>
  </r>
  <r>
    <n v="743"/>
    <d v="2025-01-06T00:00:00"/>
    <s v="ZBTO"/>
    <n v="9518408527"/>
    <n v="2"/>
    <s v="9518408527-2"/>
    <s v="No Priority"/>
    <x v="0"/>
    <m/>
    <x v="3"/>
    <x v="4"/>
    <n v="2000"/>
    <m/>
    <x v="0"/>
    <m/>
    <m/>
    <s v="Karnataka"/>
    <s v="South"/>
    <s v="YESHWANTHPURA"/>
    <s v="Coil"/>
    <n v="942923"/>
    <x v="14"/>
    <n v="3777531"/>
    <s v="GP COIL TATGPH GP02 0.300X1015"/>
    <m/>
    <m/>
    <m/>
    <m/>
    <s v="Narrow"/>
    <s v="C05"/>
    <s v="TATGPH"/>
    <s v="GP02"/>
    <n v="0.3"/>
    <n v="1015"/>
    <n v="0"/>
    <n v="92"/>
    <n v="0"/>
    <n v="92"/>
    <n v="92"/>
    <n v="92"/>
    <n v="0"/>
    <n v="0"/>
    <n v="0"/>
    <n v="0"/>
    <n v="0"/>
    <n v="0"/>
    <n v="0"/>
    <n v="0"/>
    <n v="0"/>
    <n v="0"/>
    <n v="0"/>
    <n v="0"/>
    <n v="0"/>
    <n v="0"/>
    <n v="0"/>
    <n v="0"/>
    <n v="0"/>
    <n v="0"/>
    <n v="0"/>
    <n v="0"/>
    <n v="0"/>
    <n v="0"/>
    <n v="0"/>
    <n v="0"/>
    <n v="0"/>
    <n v="0"/>
    <n v="92"/>
    <n v="0"/>
    <n v="0"/>
    <n v="0"/>
    <n v="0"/>
    <n v="92"/>
    <n v="0"/>
    <n v="0"/>
    <n v="0"/>
    <n v="0"/>
    <n v="0"/>
    <n v="0"/>
    <n v="92"/>
    <n v="0"/>
    <n v="0"/>
    <n v="0"/>
    <n v="0"/>
    <n v="0"/>
    <n v="0"/>
    <n v="0"/>
    <m/>
    <m/>
    <m/>
    <m/>
    <m/>
    <m/>
    <m/>
    <m/>
    <s v="1"/>
    <s v="1"/>
    <s v="1"/>
    <s v="1"/>
    <s v="0"/>
    <m/>
    <m/>
    <m/>
    <m/>
    <m/>
    <m/>
    <m/>
    <m/>
    <m/>
    <m/>
    <m/>
    <m/>
    <m/>
    <m/>
  </r>
  <r>
    <n v="744"/>
    <d v="2025-01-23T00:00:00"/>
    <s v="ZBTO"/>
    <n v="9518453235"/>
    <n v="7"/>
    <s v="9518453235-7"/>
    <s v="No Priority"/>
    <x v="0"/>
    <m/>
    <x v="2"/>
    <x v="3"/>
    <n v="1000"/>
    <m/>
    <x v="0"/>
    <m/>
    <m/>
    <s v="Jharkhand"/>
    <s v="East"/>
    <s v="GAMHARIA"/>
    <s v="Coil"/>
    <n v="940016"/>
    <x v="15"/>
    <n v="3883538"/>
    <s v="PPGL C HARD Y550PL ISC6 0.300X1220"/>
    <n v="70"/>
    <s v="PRO GREY TSL 1916"/>
    <m/>
    <m/>
    <s v="Wider"/>
    <s v="B18"/>
    <s v="Y550PL"/>
    <s v="ISC6"/>
    <n v="0.3"/>
    <n v="1220"/>
    <n v="0"/>
    <n v="28"/>
    <n v="0"/>
    <n v="28"/>
    <n v="-26.295000000000002"/>
    <n v="0"/>
    <n v="0"/>
    <n v="0"/>
    <n v="0"/>
    <n v="0"/>
    <n v="0"/>
    <n v="0"/>
    <n v="0"/>
    <n v="0"/>
    <n v="0"/>
    <n v="0"/>
    <n v="0"/>
    <n v="0"/>
    <n v="0"/>
    <n v="0"/>
    <n v="0"/>
    <n v="0"/>
    <n v="0"/>
    <n v="0"/>
    <n v="0"/>
    <n v="0"/>
    <n v="0"/>
    <n v="0"/>
    <n v="0"/>
    <n v="0"/>
    <n v="0"/>
    <n v="0"/>
    <n v="28"/>
    <n v="0"/>
    <n v="28"/>
    <n v="0"/>
    <n v="0"/>
    <n v="0"/>
    <n v="28"/>
    <n v="0"/>
    <n v="28"/>
    <n v="0"/>
    <n v="0"/>
    <n v="0"/>
    <n v="0"/>
    <n v="0"/>
    <n v="0"/>
    <n v="0"/>
    <n v="0"/>
    <n v="0"/>
    <n v="0"/>
    <n v="0"/>
    <m/>
    <m/>
    <m/>
    <m/>
    <m/>
    <m/>
    <m/>
    <m/>
    <s v="1"/>
    <s v="0"/>
    <s v="1"/>
    <s v="1"/>
    <s v="1"/>
    <m/>
    <m/>
    <m/>
    <m/>
    <m/>
    <m/>
    <m/>
    <m/>
    <m/>
    <m/>
    <m/>
    <m/>
    <m/>
    <m/>
  </r>
  <r>
    <n v="744"/>
    <d v="2025-02-22T00:00:00"/>
    <s v="ZBTO"/>
    <n v="9518543125"/>
    <n v="6"/>
    <s v="9518543125-6"/>
    <s v="No Priority"/>
    <x v="0"/>
    <m/>
    <x v="2"/>
    <x v="3"/>
    <s v="1000-IPPE"/>
    <m/>
    <x v="0"/>
    <m/>
    <m/>
    <s v="Jharkhand"/>
    <s v="East"/>
    <s v="GAMHARIA"/>
    <s v="Coil"/>
    <n v="940016"/>
    <x v="15"/>
    <n v="3883538"/>
    <s v="PPGL C HARD Y550PL ISC6 0.300X1220"/>
    <s v="aZ70"/>
    <s v="PRO ROSY RED TSL 1920"/>
    <n v="3"/>
    <n v="5"/>
    <s v="Wider"/>
    <s v="B18"/>
    <s v="Y550PL"/>
    <s v="ISC6"/>
    <n v="0.3"/>
    <n v="1220"/>
    <n v="0"/>
    <n v="28"/>
    <n v="0"/>
    <n v="28"/>
    <n v="1.23"/>
    <n v="0"/>
    <n v="28"/>
    <n v="0"/>
    <n v="0"/>
    <n v="0"/>
    <n v="0"/>
    <n v="0"/>
    <n v="26.77"/>
    <n v="0"/>
    <n v="0"/>
    <n v="0"/>
    <n v="0"/>
    <n v="0"/>
    <n v="0"/>
    <n v="0"/>
    <n v="0"/>
    <n v="0"/>
    <n v="0"/>
    <n v="0"/>
    <n v="0"/>
    <n v="0"/>
    <n v="26.77"/>
    <n v="26.77"/>
    <n v="0"/>
    <n v="26.77"/>
    <n v="0"/>
    <n v="0"/>
    <n v="28"/>
    <n v="28"/>
    <n v="0"/>
    <n v="0"/>
    <n v="0"/>
    <n v="0"/>
    <n v="28"/>
    <n v="0"/>
    <n v="28"/>
    <n v="0"/>
    <n v="0"/>
    <n v="0"/>
    <n v="0"/>
    <n v="0"/>
    <n v="0"/>
    <n v="0"/>
    <n v="0"/>
    <n v="0"/>
    <n v="0"/>
    <n v="0"/>
    <m/>
    <m/>
    <m/>
    <m/>
    <m/>
    <m/>
    <m/>
    <m/>
    <s v="0"/>
    <s v="1"/>
    <s v="1"/>
    <s v="1"/>
    <s v="1"/>
    <m/>
    <m/>
    <m/>
    <m/>
    <m/>
    <m/>
    <m/>
    <m/>
    <m/>
    <m/>
    <m/>
    <m/>
    <m/>
    <m/>
  </r>
  <r>
    <n v="743"/>
    <d v="2025-02-03T00:00:00"/>
    <s v="ZBTO"/>
    <n v="9518489859"/>
    <n v="3"/>
    <s v="9518489859-3"/>
    <s v="Feb'25"/>
    <x v="0"/>
    <m/>
    <x v="3"/>
    <x v="4"/>
    <s v="2000-BPRS"/>
    <m/>
    <x v="1"/>
    <m/>
    <m/>
    <s v="Karnataka"/>
    <s v="South"/>
    <s v="YESHWANTHPURA"/>
    <s v="Coil"/>
    <n v="942923"/>
    <x v="16"/>
    <n v="3777532"/>
    <s v="GP COIL TATGPH GP02 0.450X1015"/>
    <s v="Z120"/>
    <s v=""/>
    <m/>
    <m/>
    <s v="Narrow"/>
    <s v="C05"/>
    <s v="TATGPH"/>
    <s v="GP02"/>
    <n v="0.45"/>
    <n v="1015"/>
    <n v="0"/>
    <n v="23"/>
    <n v="0"/>
    <n v="23"/>
    <n v="23"/>
    <n v="23"/>
    <n v="23"/>
    <n v="0"/>
    <n v="0"/>
    <n v="0"/>
    <n v="0"/>
    <n v="0"/>
    <n v="0"/>
    <n v="0"/>
    <n v="0"/>
    <n v="0"/>
    <n v="0"/>
    <n v="0"/>
    <n v="0"/>
    <n v="0"/>
    <n v="0"/>
    <n v="0"/>
    <n v="0"/>
    <n v="0"/>
    <n v="0"/>
    <n v="0"/>
    <n v="0"/>
    <n v="0"/>
    <n v="0"/>
    <n v="0"/>
    <n v="0"/>
    <n v="0"/>
    <n v="23"/>
    <n v="0"/>
    <n v="0"/>
    <n v="0"/>
    <n v="0"/>
    <n v="23"/>
    <n v="0"/>
    <n v="0"/>
    <n v="0"/>
    <n v="0"/>
    <n v="0"/>
    <n v="0"/>
    <n v="23"/>
    <n v="0"/>
    <n v="0"/>
    <n v="0"/>
    <n v="0"/>
    <n v="0"/>
    <n v="0"/>
    <n v="0"/>
    <m/>
    <m/>
    <m/>
    <m/>
    <m/>
    <m/>
    <m/>
    <m/>
    <s v="1"/>
    <s v="1"/>
    <s v="1"/>
    <s v="1"/>
    <s v="0"/>
    <m/>
    <m/>
    <m/>
    <m/>
    <m/>
    <m/>
    <m/>
    <m/>
    <m/>
    <m/>
    <m/>
    <m/>
    <m/>
    <m/>
  </r>
  <r>
    <n v="743"/>
    <d v="2025-02-06T00:00:00"/>
    <s v="ZBTO"/>
    <n v="9518498429"/>
    <n v="1"/>
    <s v="9518498429-1"/>
    <s v="Feb'25"/>
    <x v="0"/>
    <m/>
    <x v="3"/>
    <x v="4"/>
    <s v="2000-BPRS"/>
    <m/>
    <x v="1"/>
    <m/>
    <m/>
    <s v="Assam"/>
    <s v="East"/>
    <s v="GAUHATI"/>
    <s v="Coil"/>
    <n v="103671"/>
    <x v="17"/>
    <n v="3776939"/>
    <s v="GP COIL TATGPH GP02 0.400X1015"/>
    <s v="Z120"/>
    <s v=""/>
    <m/>
    <m/>
    <s v="Narrow"/>
    <s v="C05"/>
    <s v="TATGPH"/>
    <s v="GP02"/>
    <n v="0.4"/>
    <n v="1015"/>
    <n v="0"/>
    <n v="23"/>
    <n v="0"/>
    <n v="23"/>
    <n v="23"/>
    <n v="23"/>
    <n v="23"/>
    <n v="0"/>
    <n v="0"/>
    <n v="0"/>
    <n v="0"/>
    <n v="0"/>
    <n v="0"/>
    <n v="0"/>
    <n v="0"/>
    <n v="0"/>
    <n v="0"/>
    <n v="0"/>
    <n v="0"/>
    <n v="0"/>
    <n v="0"/>
    <n v="0"/>
    <n v="0"/>
    <n v="0"/>
    <n v="0"/>
    <n v="0"/>
    <n v="0"/>
    <n v="0"/>
    <n v="0"/>
    <n v="0"/>
    <n v="0"/>
    <n v="0"/>
    <n v="23"/>
    <n v="0"/>
    <n v="0"/>
    <n v="0"/>
    <n v="0"/>
    <n v="23"/>
    <n v="23"/>
    <n v="0"/>
    <n v="0"/>
    <n v="0"/>
    <n v="0"/>
    <n v="23"/>
    <n v="0"/>
    <n v="0"/>
    <n v="0"/>
    <n v="0"/>
    <n v="0"/>
    <n v="0"/>
    <n v="0"/>
    <n v="0"/>
    <m/>
    <m/>
    <m/>
    <m/>
    <m/>
    <m/>
    <m/>
    <m/>
    <s v="1"/>
    <s v="1"/>
    <s v="1"/>
    <s v="1"/>
    <s v="0"/>
    <m/>
    <m/>
    <m/>
    <m/>
    <m/>
    <m/>
    <m/>
    <m/>
    <m/>
    <m/>
    <m/>
    <m/>
    <m/>
    <m/>
  </r>
  <r>
    <n v="743"/>
    <d v="2025-02-04T00:00:00"/>
    <s v="ZBTO"/>
    <n v="9518493932"/>
    <n v="1"/>
    <s v="9518493932-1"/>
    <s v="May'25"/>
    <x v="0"/>
    <m/>
    <x v="4"/>
    <x v="5"/>
    <s v="1000-IPPE"/>
    <m/>
    <x v="1"/>
    <m/>
    <m/>
    <s v="Gujarat"/>
    <s v="West"/>
    <s v="VADODARA"/>
    <s v="Coil"/>
    <n v="184591"/>
    <x v="18"/>
    <n v="3884496"/>
    <s v="GL COIL HARD  Y550GL HGL6 0.900X1220"/>
    <s v="AZ150"/>
    <m/>
    <n v="7"/>
    <n v="15"/>
    <s v="Wider"/>
    <s v="B04"/>
    <s v="Y550GL"/>
    <s v="HGL6"/>
    <n v="0.9"/>
    <n v="1220"/>
    <n v="0"/>
    <n v="252"/>
    <n v="219.09"/>
    <n v="32.909999999999997"/>
    <n v="-5.28"/>
    <n v="0"/>
    <n v="32.909999999999997"/>
    <n v="0"/>
    <n v="0"/>
    <n v="0"/>
    <n v="0"/>
    <n v="0"/>
    <n v="0"/>
    <n v="0"/>
    <n v="0"/>
    <n v="0"/>
    <n v="0"/>
    <n v="0"/>
    <n v="0"/>
    <n v="0"/>
    <n v="0"/>
    <n v="0"/>
    <n v="0"/>
    <n v="0"/>
    <n v="0"/>
    <n v="0"/>
    <n v="0"/>
    <n v="0"/>
    <n v="0"/>
    <n v="0"/>
    <n v="0"/>
    <n v="32.620000000000005"/>
    <n v="41.54"/>
    <n v="41.54"/>
    <n v="0"/>
    <n v="0"/>
    <n v="0"/>
    <n v="0"/>
    <n v="74.16"/>
    <n v="0"/>
    <n v="74.16"/>
    <n v="0"/>
    <n v="0"/>
    <n v="0"/>
    <n v="0"/>
    <n v="0"/>
    <n v="0"/>
    <n v="0"/>
    <n v="0"/>
    <n v="0"/>
    <n v="0"/>
    <n v="0"/>
    <m/>
    <m/>
    <m/>
    <m/>
    <m/>
    <m/>
    <m/>
    <m/>
    <s v="0"/>
    <s v="1"/>
    <s v="1"/>
    <s v="1"/>
    <s v="1"/>
    <m/>
    <m/>
    <m/>
    <m/>
    <m/>
    <m/>
    <m/>
    <m/>
    <m/>
    <m/>
    <m/>
    <m/>
    <m/>
    <m/>
  </r>
  <r>
    <n v="743"/>
    <d v="2025-02-12T00:00:00"/>
    <s v="ZBTO"/>
    <n v="9518514116"/>
    <n v="2"/>
    <s v="9518514116-2"/>
    <s v="No Priority"/>
    <x v="0"/>
    <m/>
    <x v="4"/>
    <x v="3"/>
    <s v="1000-IPPE"/>
    <m/>
    <x v="0"/>
    <m/>
    <m/>
    <s v="Maharashtra"/>
    <s v="West"/>
    <s v="RAJGURUNAGAR"/>
    <s v="Coil"/>
    <n v="942290"/>
    <x v="6"/>
    <n v="3946362"/>
    <s v="GL COIL HARD Y550GL M308 0.47 (TCT)X1220"/>
    <s v="AZ150"/>
    <m/>
    <n v="3"/>
    <n v="5"/>
    <s v="Wider"/>
    <s v="B04"/>
    <s v="Y550GL"/>
    <s v="M308"/>
    <n v="0.47"/>
    <n v="1220"/>
    <n v="0"/>
    <n v="224"/>
    <n v="153.11500000000001"/>
    <n v="70.885000000000005"/>
    <n v="-32.854999999999997"/>
    <n v="0"/>
    <n v="4.0549999999999997"/>
    <n v="0"/>
    <n v="0"/>
    <n v="0"/>
    <n v="0"/>
    <n v="0"/>
    <n v="0"/>
    <n v="0"/>
    <n v="0"/>
    <n v="0"/>
    <n v="0"/>
    <n v="0"/>
    <n v="0"/>
    <n v="0"/>
    <n v="0"/>
    <n v="0"/>
    <n v="0"/>
    <n v="0"/>
    <n v="0"/>
    <n v="0"/>
    <n v="0"/>
    <n v="0"/>
    <n v="0"/>
    <n v="0"/>
    <n v="0"/>
    <n v="4.1550000000000002"/>
    <n v="70.885000000000005"/>
    <n v="0"/>
    <n v="0"/>
    <n v="0"/>
    <n v="70.885000000000005"/>
    <n v="0"/>
    <n v="75.040000000000006"/>
    <n v="0"/>
    <n v="0"/>
    <n v="0"/>
    <n v="75.040000000000006"/>
    <n v="0"/>
    <n v="0"/>
    <n v="0"/>
    <n v="0"/>
    <n v="0"/>
    <n v="0"/>
    <n v="0"/>
    <n v="0"/>
    <n v="0"/>
    <m/>
    <m/>
    <m/>
    <m/>
    <m/>
    <m/>
    <m/>
    <m/>
    <s v="1"/>
    <s v="1"/>
    <s v="1"/>
    <s v="0"/>
    <s v="1"/>
    <m/>
    <m/>
    <m/>
    <m/>
    <m/>
    <m/>
    <m/>
    <m/>
    <m/>
    <m/>
    <m/>
    <m/>
    <m/>
    <m/>
  </r>
  <r>
    <n v="742"/>
    <d v="2025-02-03T00:00:00"/>
    <s v="ZBTO"/>
    <n v="9518490750"/>
    <n v="9"/>
    <s v="9518490750-9"/>
    <s v="No Priority"/>
    <x v="0"/>
    <m/>
    <x v="1"/>
    <x v="2"/>
    <n v="2000"/>
    <m/>
    <x v="0"/>
    <m/>
    <m/>
    <s v="Orissa"/>
    <s v="East"/>
    <s v="TANGI"/>
    <s v="Sheet"/>
    <n v="117061"/>
    <x v="19"/>
    <n v="3240765"/>
    <s v="CRCA SHEET TSBCRC SR15 0.500X1250X2500"/>
    <s v=""/>
    <s v=""/>
    <m/>
    <m/>
    <s v="Wider"/>
    <s v="C06"/>
    <s v="TSBCRC"/>
    <s v="SR15"/>
    <n v="0.5"/>
    <n v="1250"/>
    <n v="0"/>
    <n v="75"/>
    <n v="72.515000000000001"/>
    <n v="2.4849999999999999"/>
    <n v="2.1850000000000001"/>
    <n v="0"/>
    <n v="2.4849999999999999"/>
    <n v="0"/>
    <n v="0"/>
    <n v="0"/>
    <n v="0"/>
    <n v="0"/>
    <n v="0"/>
    <n v="0"/>
    <n v="0"/>
    <n v="0"/>
    <n v="0"/>
    <n v="0"/>
    <n v="0"/>
    <n v="0"/>
    <n v="0"/>
    <n v="0"/>
    <n v="0"/>
    <n v="0"/>
    <n v="0"/>
    <n v="0"/>
    <n v="0"/>
    <n v="0"/>
    <n v="0"/>
    <n v="0"/>
    <n v="0"/>
    <n v="0"/>
    <n v="22.88"/>
    <n v="0"/>
    <n v="0"/>
    <n v="0"/>
    <n v="22.88"/>
    <n v="0"/>
    <n v="22.88"/>
    <n v="0"/>
    <n v="0"/>
    <n v="0"/>
    <n v="0"/>
    <n v="22.88"/>
    <n v="0"/>
    <n v="0"/>
    <n v="0"/>
    <n v="0"/>
    <n v="0"/>
    <n v="0"/>
    <n v="0"/>
    <n v="0"/>
    <m/>
    <m/>
    <m/>
    <m/>
    <m/>
    <m/>
    <m/>
    <m/>
    <s v="1"/>
    <s v="1"/>
    <s v="1"/>
    <s v="0"/>
    <s v="1"/>
    <m/>
    <m/>
    <m/>
    <m/>
    <m/>
    <m/>
    <m/>
    <m/>
    <m/>
    <m/>
    <m/>
    <m/>
    <m/>
    <m/>
  </r>
  <r>
    <n v="744"/>
    <d v="2025-02-12T00:00:00"/>
    <s v="ZBTO"/>
    <n v="9518513319"/>
    <n v="4"/>
    <s v="9518513319-4"/>
    <s v="No Priority"/>
    <x v="0"/>
    <m/>
    <x v="2"/>
    <x v="3"/>
    <s v="1000-IPPE"/>
    <m/>
    <x v="0"/>
    <m/>
    <m/>
    <s v="Jharkhand"/>
    <s v="East"/>
    <s v="TBL- BARA AGRICO"/>
    <s v="Coil"/>
    <n v="941597"/>
    <x v="6"/>
    <n v="1633706"/>
    <s v="PPGL C Y550 HPL3 0.42BMT(0.50TPT)X1220"/>
    <s v="AZ150"/>
    <s v="RAL 9003 TSL 241"/>
    <n v="3"/>
    <n v="5"/>
    <s v="Wider"/>
    <s v="B18"/>
    <s v="Y550PL"/>
    <s v="HPL3"/>
    <n v="0.42"/>
    <n v="1220"/>
    <n v="0"/>
    <n v="28"/>
    <n v="23.27"/>
    <n v="4.7300000000000004"/>
    <n v="0.31"/>
    <n v="0"/>
    <n v="4.7300000000000004"/>
    <n v="0"/>
    <n v="0"/>
    <n v="0"/>
    <n v="0"/>
    <n v="0"/>
    <n v="0"/>
    <n v="0"/>
    <n v="0"/>
    <n v="0"/>
    <n v="0"/>
    <n v="0"/>
    <n v="0"/>
    <n v="0"/>
    <n v="0"/>
    <n v="0"/>
    <n v="0"/>
    <n v="0"/>
    <n v="0"/>
    <n v="0"/>
    <n v="0"/>
    <n v="0"/>
    <n v="0"/>
    <n v="0"/>
    <n v="0"/>
    <n v="0"/>
    <n v="28"/>
    <n v="0"/>
    <n v="0"/>
    <n v="28"/>
    <n v="0"/>
    <n v="0"/>
    <n v="28"/>
    <n v="0"/>
    <n v="0"/>
    <n v="28"/>
    <n v="0"/>
    <n v="0"/>
    <n v="0"/>
    <n v="0"/>
    <n v="0"/>
    <n v="0"/>
    <n v="0"/>
    <n v="0"/>
    <n v="0"/>
    <n v="0"/>
    <m/>
    <m/>
    <m/>
    <m/>
    <m/>
    <m/>
    <m/>
    <m/>
    <s v="1"/>
    <s v="1"/>
    <s v="0"/>
    <s v="1"/>
    <s v="1"/>
    <m/>
    <m/>
    <m/>
    <m/>
    <m/>
    <m/>
    <m/>
    <m/>
    <m/>
    <m/>
    <m/>
    <m/>
    <m/>
    <m/>
  </r>
  <r>
    <n v="742"/>
    <d v="2025-02-17T00:00:00"/>
    <s v="ZBTO"/>
    <n v="9518525571"/>
    <n v="1"/>
    <s v="9518525571-1"/>
    <s v="No Priority"/>
    <x v="0"/>
    <m/>
    <x v="1"/>
    <x v="2"/>
    <s v="2000-BPRS"/>
    <m/>
    <x v="0"/>
    <m/>
    <m/>
    <s v="West Bengal"/>
    <s v="East"/>
    <s v="HOWRAH"/>
    <s v="Sheet"/>
    <n v="925093"/>
    <x v="20"/>
    <n v="3239408"/>
    <s v="CRCA SHEET TATCRC SR16 0.300X900X2500"/>
    <s v=" "/>
    <s v=""/>
    <n v="2"/>
    <n v="3"/>
    <s v="Narrow"/>
    <s v="C06"/>
    <s v="TATCRC"/>
    <s v="SR16"/>
    <n v="0.3"/>
    <n v="900"/>
    <n v="2500"/>
    <n v="24"/>
    <n v="21.32"/>
    <n v="2.68"/>
    <n v="2.68"/>
    <n v="0"/>
    <n v="2.68"/>
    <n v="0"/>
    <n v="0"/>
    <n v="0"/>
    <n v="0"/>
    <n v="0"/>
    <n v="0"/>
    <n v="0"/>
    <n v="0"/>
    <n v="0"/>
    <n v="0"/>
    <n v="0"/>
    <n v="0"/>
    <n v="0"/>
    <n v="0"/>
    <n v="0"/>
    <n v="0"/>
    <n v="0"/>
    <n v="0"/>
    <n v="0"/>
    <n v="0"/>
    <n v="0"/>
    <n v="0"/>
    <n v="0"/>
    <n v="0"/>
    <n v="0"/>
    <n v="24"/>
    <n v="0"/>
    <n v="0"/>
    <n v="0"/>
    <n v="0"/>
    <n v="24"/>
    <n v="0"/>
    <n v="0"/>
    <n v="0"/>
    <n v="0"/>
    <n v="0"/>
    <n v="0"/>
    <n v="24"/>
    <n v="18.68"/>
    <n v="0"/>
    <n v="0"/>
    <n v="0"/>
    <n v="0"/>
    <n v="18.68"/>
    <n v="0"/>
    <m/>
    <m/>
    <m/>
    <m/>
    <m/>
    <m/>
    <m/>
    <m/>
    <s v="1"/>
    <s v="1"/>
    <s v="1"/>
    <s v="1"/>
    <s v="0"/>
    <m/>
    <m/>
    <m/>
    <m/>
    <m/>
    <m/>
    <m/>
    <m/>
    <m/>
    <m/>
    <m/>
    <m/>
    <m/>
    <m/>
  </r>
  <r>
    <n v="742"/>
    <d v="2025-02-06T00:00:00"/>
    <s v="ZBTO"/>
    <n v="9518497626"/>
    <n v="15"/>
    <s v="9518497626-15"/>
    <s v="No Priority"/>
    <x v="0"/>
    <m/>
    <x v="1"/>
    <x v="2"/>
    <s v="2000-BPRS"/>
    <m/>
    <x v="0"/>
    <m/>
    <m/>
    <s v="Andhra Pradesh"/>
    <s v="South"/>
    <s v="VISHAKHAPATNAM"/>
    <s v="Sheet"/>
    <n v="946077"/>
    <x v="8"/>
    <n v="3240805"/>
    <s v="CRCA SHEET TSBCRC SR15 0.800X1000X2500"/>
    <s v=" "/>
    <s v=""/>
    <n v="0"/>
    <n v="0"/>
    <s v="Narrow"/>
    <s v="C06"/>
    <s v="TSBCRC"/>
    <s v="SR15"/>
    <n v="0.8"/>
    <n v="1000"/>
    <n v="2500"/>
    <n v="21"/>
    <n v="20.454999999999998"/>
    <n v="0.54500000000000004"/>
    <n v="0.54500000000000004"/>
    <n v="0"/>
    <n v="0.54500000000000004"/>
    <n v="0"/>
    <n v="0"/>
    <n v="0"/>
    <n v="0"/>
    <n v="0"/>
    <n v="0"/>
    <n v="0"/>
    <n v="0"/>
    <n v="0"/>
    <n v="0"/>
    <n v="0"/>
    <n v="0"/>
    <n v="0"/>
    <n v="0"/>
    <n v="0"/>
    <n v="0"/>
    <n v="0"/>
    <n v="0"/>
    <n v="0"/>
    <n v="0"/>
    <n v="0"/>
    <n v="0"/>
    <n v="0"/>
    <n v="0"/>
    <n v="0"/>
    <n v="21"/>
    <n v="21"/>
    <n v="0"/>
    <n v="0"/>
    <n v="0"/>
    <n v="0"/>
    <n v="21"/>
    <n v="0"/>
    <n v="21"/>
    <n v="0"/>
    <n v="0"/>
    <n v="0"/>
    <n v="0"/>
    <n v="20.455000000000002"/>
    <n v="20.455000000000002"/>
    <n v="0"/>
    <n v="0"/>
    <n v="0"/>
    <n v="0"/>
    <n v="0"/>
    <m/>
    <m/>
    <m/>
    <m/>
    <m/>
    <m/>
    <m/>
    <m/>
    <s v="1"/>
    <s v="1"/>
    <s v="1"/>
    <s v="1"/>
    <s v="1"/>
    <m/>
    <m/>
    <m/>
    <m/>
    <m/>
    <m/>
    <m/>
    <m/>
    <m/>
    <m/>
    <m/>
    <m/>
    <m/>
    <m/>
  </r>
  <r>
    <n v="742"/>
    <d v="2025-01-03T00:00:00"/>
    <s v="ZBTF"/>
    <n v="9518403770"/>
    <n v="1"/>
    <s v="9518403770-1"/>
    <s v="No Priority"/>
    <x v="0"/>
    <m/>
    <x v="1"/>
    <x v="6"/>
    <s v="2000-BPRS"/>
    <m/>
    <x v="0"/>
    <m/>
    <m/>
    <s v="Karnataka"/>
    <s v="South"/>
    <s v="YESHWANTHPURA"/>
    <s v="Coil"/>
    <n v="600103"/>
    <x v="21"/>
    <n v="3820032"/>
    <s v="CR COIL TATXHS BR45 2X1300"/>
    <s v=" "/>
    <s v=""/>
    <n v="10"/>
    <n v="27"/>
    <s v="Wider"/>
    <s v="C01"/>
    <s v="TATXHS"/>
    <s v="BR45"/>
    <n v="2"/>
    <n v="1300"/>
    <n v="0"/>
    <n v="240"/>
    <n v="212.97499999999999"/>
    <n v="27.024999999999999"/>
    <n v="27.024999999999999"/>
    <n v="27.024999999999999"/>
    <n v="0"/>
    <n v="0"/>
    <n v="0"/>
    <n v="0"/>
    <n v="0"/>
    <n v="0"/>
    <n v="0"/>
    <n v="0"/>
    <n v="0"/>
    <n v="0"/>
    <n v="0"/>
    <n v="0"/>
    <n v="0"/>
    <n v="0"/>
    <n v="0"/>
    <n v="0"/>
    <n v="0"/>
    <n v="0"/>
    <n v="0"/>
    <n v="0"/>
    <n v="0"/>
    <n v="0"/>
    <n v="0"/>
    <n v="0"/>
    <n v="0"/>
    <n v="0"/>
    <n v="94.44"/>
    <n v="0"/>
    <n v="94.44"/>
    <n v="0"/>
    <n v="0"/>
    <n v="0"/>
    <n v="94.44"/>
    <n v="0"/>
    <n v="0"/>
    <n v="94.44"/>
    <n v="0"/>
    <n v="0"/>
    <n v="0"/>
    <n v="187.41500000000002"/>
    <n v="0"/>
    <n v="94.44"/>
    <n v="0"/>
    <n v="0"/>
    <n v="0"/>
    <n v="92.975000000000023"/>
    <m/>
    <m/>
    <m/>
    <m/>
    <m/>
    <m/>
    <m/>
    <m/>
    <s v="1"/>
    <s v="1"/>
    <s v="1"/>
    <s v="1"/>
    <s v="1"/>
    <m/>
    <m/>
    <m/>
    <m/>
    <m/>
    <m/>
    <m/>
    <m/>
    <m/>
    <m/>
    <m/>
    <m/>
    <m/>
    <m/>
  </r>
  <r>
    <n v="742"/>
    <d v="2025-02-05T00:00:00"/>
    <s v="ZBTO"/>
    <n v="9518495920"/>
    <n v="7"/>
    <s v="9518495920-7"/>
    <s v="No Priority"/>
    <x v="0"/>
    <m/>
    <x v="1"/>
    <x v="2"/>
    <n v="2000"/>
    <m/>
    <x v="0"/>
    <m/>
    <m/>
    <s v="Uttar Pradesh"/>
    <s v="North"/>
    <s v="VARANASI"/>
    <s v="Sheet"/>
    <n v="931525"/>
    <x v="2"/>
    <n v="3240761"/>
    <s v="CRCA SHEET TSBCRC SR15 0.500X1250X2030"/>
    <s v=""/>
    <s v=""/>
    <m/>
    <m/>
    <s v="Wider"/>
    <s v="C06"/>
    <s v="TSBCRC"/>
    <s v="SR15"/>
    <n v="0.5"/>
    <n v="1250"/>
    <n v="2030"/>
    <n v="27"/>
    <n v="10.005000000000001"/>
    <n v="16.995000000000001"/>
    <n v="0.71"/>
    <n v="0"/>
    <n v="1.6"/>
    <n v="0"/>
    <n v="0"/>
    <n v="0"/>
    <n v="0"/>
    <n v="0"/>
    <n v="0"/>
    <n v="0"/>
    <n v="0"/>
    <n v="0"/>
    <n v="0"/>
    <n v="0"/>
    <n v="0"/>
    <n v="0"/>
    <n v="0"/>
    <n v="0"/>
    <n v="0"/>
    <n v="0"/>
    <n v="0"/>
    <n v="0"/>
    <n v="0"/>
    <n v="0"/>
    <n v="0"/>
    <n v="0"/>
    <n v="0"/>
    <n v="0"/>
    <n v="27"/>
    <n v="0"/>
    <n v="0"/>
    <n v="0"/>
    <n v="27"/>
    <n v="0"/>
    <n v="27"/>
    <n v="0"/>
    <n v="0"/>
    <n v="0"/>
    <n v="0"/>
    <n v="27"/>
    <n v="0"/>
    <n v="0"/>
    <n v="0"/>
    <n v="0"/>
    <n v="0"/>
    <n v="0"/>
    <n v="0"/>
    <n v="0"/>
    <m/>
    <m/>
    <m/>
    <m/>
    <m/>
    <m/>
    <m/>
    <m/>
    <s v="1"/>
    <s v="1"/>
    <s v="1"/>
    <s v="0"/>
    <s v="1"/>
    <m/>
    <m/>
    <m/>
    <m/>
    <m/>
    <m/>
    <m/>
    <m/>
    <m/>
    <m/>
    <m/>
    <m/>
    <m/>
    <m/>
  </r>
  <r>
    <n v="742"/>
    <d v="2025-02-06T00:00:00"/>
    <s v="ZBTO"/>
    <n v="9518497626"/>
    <n v="17"/>
    <s v="9518497626-17"/>
    <s v="No Priority"/>
    <x v="0"/>
    <m/>
    <x v="1"/>
    <x v="2"/>
    <s v="2000-BPRS"/>
    <m/>
    <x v="0"/>
    <m/>
    <m/>
    <s v="Andhra Pradesh"/>
    <s v="South"/>
    <s v="VISHAKHAPATNAM"/>
    <s v="Sheet"/>
    <n v="946077"/>
    <x v="8"/>
    <n v="3410102"/>
    <s v="CRCA SHEET TSBCRC SR15 0.950X1000X2500"/>
    <s v=" "/>
    <s v=""/>
    <n v="0"/>
    <n v="0"/>
    <s v="Narrow"/>
    <s v="C06"/>
    <s v="TSBCRC"/>
    <s v="SR15"/>
    <n v="0.95"/>
    <n v="1000"/>
    <n v="2500"/>
    <n v="21"/>
    <n v="19.594999999999999"/>
    <n v="1.405"/>
    <n v="1.405"/>
    <n v="0"/>
    <n v="1.405"/>
    <n v="0"/>
    <n v="0"/>
    <n v="0"/>
    <n v="0"/>
    <n v="0"/>
    <n v="0"/>
    <n v="0"/>
    <n v="0"/>
    <n v="0"/>
    <n v="0"/>
    <n v="0"/>
    <n v="0"/>
    <n v="0"/>
    <n v="0"/>
    <n v="0"/>
    <n v="0"/>
    <n v="0"/>
    <n v="0"/>
    <n v="0"/>
    <n v="0"/>
    <n v="0"/>
    <n v="0"/>
    <n v="0"/>
    <n v="0"/>
    <n v="0"/>
    <n v="21"/>
    <n v="21"/>
    <n v="0"/>
    <n v="0"/>
    <n v="0"/>
    <n v="0"/>
    <n v="21"/>
    <n v="0"/>
    <n v="21"/>
    <n v="0"/>
    <n v="0"/>
    <n v="0"/>
    <n v="0"/>
    <n v="14.265000000000001"/>
    <n v="14.265000000000001"/>
    <n v="0"/>
    <n v="0"/>
    <n v="0"/>
    <n v="0"/>
    <n v="0"/>
    <m/>
    <m/>
    <m/>
    <m/>
    <m/>
    <m/>
    <m/>
    <m/>
    <s v="0"/>
    <s v="1"/>
    <s v="1"/>
    <s v="1"/>
    <s v="1"/>
    <m/>
    <m/>
    <m/>
    <m/>
    <m/>
    <m/>
    <m/>
    <m/>
    <m/>
    <m/>
    <m/>
    <m/>
    <m/>
    <m/>
  </r>
  <r>
    <n v="742"/>
    <d v="2025-02-06T00:00:00"/>
    <s v="ZBTO"/>
    <n v="9518497626"/>
    <n v="19"/>
    <s v="9518497626-19"/>
    <s v="No Priority"/>
    <x v="0"/>
    <m/>
    <x v="1"/>
    <x v="2"/>
    <s v="2000-BPRS"/>
    <m/>
    <x v="0"/>
    <m/>
    <m/>
    <s v="Andhra Pradesh"/>
    <s v="South"/>
    <s v="VISHAKHAPATNAM"/>
    <s v="Sheet"/>
    <n v="946077"/>
    <x v="8"/>
    <n v="3240836"/>
    <s v="CRCA SHEET TSBCRC SR15 1X1000X2500"/>
    <s v=" "/>
    <s v=""/>
    <n v="0"/>
    <n v="0"/>
    <s v="Narrow"/>
    <s v="C06"/>
    <s v="TSBCRC"/>
    <s v="SR15"/>
    <n v="1"/>
    <n v="1000"/>
    <n v="2500"/>
    <n v="20.99"/>
    <n v="20.495000000000001"/>
    <n v="0.495"/>
    <n v="0.495"/>
    <n v="0"/>
    <n v="0.495"/>
    <n v="0"/>
    <n v="0"/>
    <n v="0"/>
    <n v="0"/>
    <n v="0"/>
    <n v="0"/>
    <n v="0"/>
    <n v="0"/>
    <n v="0"/>
    <n v="0"/>
    <n v="0"/>
    <n v="0"/>
    <n v="0"/>
    <n v="0"/>
    <n v="0"/>
    <n v="0"/>
    <n v="0"/>
    <n v="0"/>
    <n v="0"/>
    <n v="0"/>
    <n v="0"/>
    <n v="0"/>
    <n v="0"/>
    <n v="0"/>
    <n v="0"/>
    <n v="21"/>
    <n v="21"/>
    <n v="0"/>
    <n v="0"/>
    <n v="0"/>
    <n v="0"/>
    <n v="21"/>
    <n v="0"/>
    <n v="21"/>
    <n v="0"/>
    <n v="0"/>
    <n v="0"/>
    <n v="0"/>
    <n v="20.495000000000001"/>
    <n v="20.495000000000001"/>
    <n v="0"/>
    <n v="0"/>
    <n v="0"/>
    <n v="0"/>
    <n v="0"/>
    <m/>
    <m/>
    <m/>
    <m/>
    <m/>
    <m/>
    <m/>
    <m/>
    <s v="1"/>
    <s v="1"/>
    <s v="1"/>
    <s v="1"/>
    <s v="1"/>
    <m/>
    <m/>
    <m/>
    <m/>
    <m/>
    <m/>
    <m/>
    <m/>
    <m/>
    <m/>
    <m/>
    <m/>
    <m/>
    <m/>
  </r>
  <r>
    <n v="743"/>
    <d v="2025-02-20T00:00:00"/>
    <s v="ZBTO"/>
    <n v="9518535988"/>
    <n v="2"/>
    <s v="9518535988-2"/>
    <s v="No Priority"/>
    <x v="0"/>
    <m/>
    <x v="4"/>
    <x v="3"/>
    <s v="1000-IPPE"/>
    <m/>
    <x v="0"/>
    <m/>
    <m/>
    <s v="Jharkhand"/>
    <s v="East"/>
    <s v="TBL- BARA AGRICO"/>
    <s v="Coil"/>
    <n v="942283"/>
    <x v="6"/>
    <n v="1881988"/>
    <s v="GL C YS550 H6GL 0.50BMT(0.55TCT)X1220"/>
    <s v="AZ150"/>
    <s v=""/>
    <n v="3"/>
    <n v="5"/>
    <s v="Wider"/>
    <s v="B04"/>
    <s v="Y550GL"/>
    <s v="H6GL"/>
    <n v="0.5"/>
    <n v="1220"/>
    <n v="0"/>
    <n v="28"/>
    <n v="0"/>
    <n v="28"/>
    <n v="0.04"/>
    <n v="0"/>
    <n v="0.53500000000000003"/>
    <n v="0"/>
    <n v="0"/>
    <n v="0"/>
    <n v="0"/>
    <n v="0"/>
    <n v="0"/>
    <n v="0"/>
    <n v="0"/>
    <n v="0"/>
    <n v="0"/>
    <n v="0"/>
    <n v="0"/>
    <n v="0"/>
    <n v="0"/>
    <n v="0"/>
    <n v="0"/>
    <n v="0"/>
    <n v="0"/>
    <n v="0"/>
    <n v="0"/>
    <n v="0"/>
    <n v="0"/>
    <n v="0"/>
    <n v="0"/>
    <n v="0"/>
    <n v="28"/>
    <n v="0"/>
    <n v="28"/>
    <n v="0"/>
    <n v="0"/>
    <n v="0"/>
    <n v="28"/>
    <n v="0"/>
    <n v="0"/>
    <n v="28"/>
    <n v="0"/>
    <n v="0"/>
    <n v="0"/>
    <n v="0"/>
    <n v="0"/>
    <n v="0"/>
    <n v="0"/>
    <n v="0"/>
    <n v="0"/>
    <n v="0"/>
    <m/>
    <m/>
    <m/>
    <m/>
    <m/>
    <m/>
    <m/>
    <m/>
    <s v="1"/>
    <s v="0"/>
    <s v="1"/>
    <s v="1"/>
    <s v="1"/>
    <m/>
    <m/>
    <m/>
    <m/>
    <m/>
    <m/>
    <m/>
    <m/>
    <m/>
    <m/>
    <m/>
    <m/>
    <m/>
    <m/>
  </r>
  <r>
    <n v="743"/>
    <d v="2025-02-20T00:00:00"/>
    <s v="ZBTO"/>
    <n v="9518535988"/>
    <n v="3"/>
    <s v="9518535988-3"/>
    <s v="No Priority"/>
    <x v="0"/>
    <m/>
    <x v="4"/>
    <x v="3"/>
    <s v="1000-IPPE"/>
    <m/>
    <x v="0"/>
    <m/>
    <m/>
    <s v="Jharkhand"/>
    <s v="East"/>
    <s v="TBL- BARA AGRICO"/>
    <s v="Coil"/>
    <n v="942283"/>
    <x v="6"/>
    <n v="1882004"/>
    <s v="GL C YS550 H6GL 0.55BMT(0.60TCT)X1220"/>
    <s v="AZ150"/>
    <s v=""/>
    <n v="3"/>
    <n v="5"/>
    <s v="Wider"/>
    <s v="B04"/>
    <s v="Y550GL"/>
    <s v="H6GL"/>
    <n v="0.55000000000000004"/>
    <n v="1220"/>
    <n v="0"/>
    <n v="28"/>
    <n v="9.3699999999999992"/>
    <n v="18.63"/>
    <n v="-9.4700000000000006"/>
    <n v="0"/>
    <n v="0.82"/>
    <n v="0"/>
    <n v="0"/>
    <n v="0"/>
    <n v="0"/>
    <n v="0"/>
    <n v="0"/>
    <n v="0"/>
    <n v="0"/>
    <n v="0"/>
    <n v="0"/>
    <n v="0"/>
    <n v="0"/>
    <n v="0"/>
    <n v="0"/>
    <n v="0"/>
    <n v="0"/>
    <n v="0"/>
    <n v="0"/>
    <n v="0"/>
    <n v="0"/>
    <n v="0"/>
    <n v="0"/>
    <n v="0"/>
    <n v="0"/>
    <n v="0"/>
    <n v="28"/>
    <n v="0"/>
    <n v="28"/>
    <n v="0"/>
    <n v="0"/>
    <n v="0"/>
    <n v="28"/>
    <n v="0"/>
    <n v="0"/>
    <n v="28"/>
    <n v="0"/>
    <n v="0"/>
    <n v="0"/>
    <n v="9.370000000000001"/>
    <n v="0"/>
    <n v="9.370000000000001"/>
    <n v="0"/>
    <n v="0"/>
    <n v="0"/>
    <n v="0"/>
    <m/>
    <m/>
    <m/>
    <m/>
    <m/>
    <m/>
    <m/>
    <m/>
    <s v="1"/>
    <s v="0"/>
    <s v="1"/>
    <s v="1"/>
    <s v="1"/>
    <m/>
    <m/>
    <m/>
    <m/>
    <m/>
    <m/>
    <m/>
    <m/>
    <m/>
    <m/>
    <m/>
    <m/>
    <m/>
    <m/>
  </r>
  <r>
    <n v="743"/>
    <d v="2025-02-20T00:00:00"/>
    <s v="ZBTO"/>
    <n v="9518535988"/>
    <n v="4"/>
    <s v="9518535988-4"/>
    <s v="Apr'25 "/>
    <x v="0"/>
    <m/>
    <x v="4"/>
    <x v="3"/>
    <s v="1000-IPPE"/>
    <n v="4000"/>
    <x v="1"/>
    <m/>
    <m/>
    <s v="Jharkhand"/>
    <s v="East"/>
    <s v="TBL- BARA AGRICO"/>
    <s v="Coil"/>
    <n v="942283"/>
    <x v="6"/>
    <n v="1881969"/>
    <s v="GL C YS550 H6GL 0.45BMT(0.50TCT)X1220"/>
    <s v="AZ150"/>
    <s v=""/>
    <n v="3"/>
    <n v="5"/>
    <s v="Wider"/>
    <s v="B04"/>
    <s v="Y550GL"/>
    <s v="H6GL"/>
    <n v="0.45"/>
    <n v="1220"/>
    <n v="0"/>
    <n v="252"/>
    <n v="231.405"/>
    <n v="20.594999999999999"/>
    <n v="20.594999999999999"/>
    <n v="20.594999999999999"/>
    <n v="20.594999999999999"/>
    <n v="0"/>
    <n v="0"/>
    <n v="0"/>
    <n v="0"/>
    <n v="0"/>
    <n v="0"/>
    <n v="0"/>
    <n v="0"/>
    <n v="0"/>
    <n v="0"/>
    <n v="0"/>
    <n v="0"/>
    <n v="0"/>
    <n v="0"/>
    <n v="0"/>
    <n v="0"/>
    <n v="0"/>
    <n v="0"/>
    <n v="0"/>
    <n v="0"/>
    <n v="0"/>
    <n v="0"/>
    <n v="0"/>
    <n v="0"/>
    <n v="0"/>
    <n v="20.594999999999999"/>
    <n v="0"/>
    <n v="0"/>
    <n v="0"/>
    <n v="0"/>
    <n v="20.594999999999999"/>
    <n v="0"/>
    <n v="0"/>
    <n v="0"/>
    <n v="0"/>
    <n v="0"/>
    <n v="0"/>
    <n v="20.594999999999999"/>
    <n v="0"/>
    <n v="0"/>
    <n v="0"/>
    <n v="0"/>
    <n v="0"/>
    <n v="0"/>
    <n v="0"/>
    <m/>
    <m/>
    <m/>
    <m/>
    <m/>
    <m/>
    <m/>
    <m/>
    <s v="1"/>
    <s v="1"/>
    <s v="1"/>
    <s v="1"/>
    <s v="0"/>
    <m/>
    <m/>
    <m/>
    <m/>
    <m/>
    <m/>
    <m/>
    <m/>
    <m/>
    <m/>
    <m/>
    <m/>
    <m/>
    <m/>
  </r>
  <r>
    <n v="742"/>
    <d v="2025-01-30T00:00:00"/>
    <s v="ZBTO"/>
    <n v="9518477709"/>
    <n v="1"/>
    <s v="9518477709-1"/>
    <s v="No Priority"/>
    <x v="0"/>
    <m/>
    <x v="1"/>
    <x v="1"/>
    <s v="2000-BPRS"/>
    <m/>
    <x v="0"/>
    <m/>
    <m/>
    <s v="Telangana"/>
    <s v="South"/>
    <s v="SANGAREDDY"/>
    <s v="Coil"/>
    <n v="947126"/>
    <x v="22"/>
    <n v="196234"/>
    <s v="CRSHEET-ICF  DQ TATXXD AU03 1.20 X 1270"/>
    <s v=" "/>
    <s v=""/>
    <n v="5"/>
    <n v="30"/>
    <s v="Wider"/>
    <s v="C01"/>
    <s v="TATXXD"/>
    <s v="AU03"/>
    <n v="1.2"/>
    <n v="1270"/>
    <n v="0"/>
    <n v="87"/>
    <n v="26.2"/>
    <n v="60.8"/>
    <n v="60.8"/>
    <n v="60.8"/>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3T00:00:00"/>
    <s v="ZBTF"/>
    <n v="9518517180"/>
    <n v="6"/>
    <s v="9518517180-6"/>
    <s v="No Priority"/>
    <x v="0"/>
    <m/>
    <x v="1"/>
    <x v="7"/>
    <s v="1000-IPPE"/>
    <m/>
    <x v="0"/>
    <m/>
    <s v="Exp BTF &lt;17MT"/>
    <s v="Uttar Pradesh"/>
    <s v="North"/>
    <s v="PILKHUWA"/>
    <s v="Coil"/>
    <n v="600250"/>
    <x v="23"/>
    <n v="3587949"/>
    <s v="CR COIL TSBSTA EL06 0.500X1250"/>
    <s v=" "/>
    <s v=""/>
    <n v="8"/>
    <n v="14"/>
    <s v="Wider"/>
    <s v="C01"/>
    <s v="TSBSTA"/>
    <s v="EL06"/>
    <n v="0.5"/>
    <n v="1250"/>
    <n v="0"/>
    <n v="290"/>
    <n v="255.79499999999999"/>
    <n v="34.204999999999998"/>
    <n v="6.4850000000000003"/>
    <n v="34.204999999999998"/>
    <n v="9.06"/>
    <n v="0"/>
    <n v="0"/>
    <n v="0"/>
    <n v="0"/>
    <n v="0"/>
    <n v="0"/>
    <n v="0"/>
    <n v="0"/>
    <n v="0"/>
    <n v="0"/>
    <n v="0"/>
    <n v="0"/>
    <n v="0"/>
    <n v="0"/>
    <n v="0"/>
    <n v="0"/>
    <n v="0"/>
    <n v="0"/>
    <n v="0"/>
    <n v="0"/>
    <n v="0"/>
    <n v="0"/>
    <n v="0"/>
    <n v="0"/>
    <n v="0"/>
    <n v="290"/>
    <n v="0"/>
    <n v="290"/>
    <n v="0"/>
    <n v="0"/>
    <n v="0"/>
    <n v="290"/>
    <n v="0"/>
    <n v="0"/>
    <n v="290"/>
    <n v="0"/>
    <n v="0"/>
    <n v="0"/>
    <n v="178.50000000000003"/>
    <n v="0"/>
    <n v="178.50000000000003"/>
    <n v="0"/>
    <n v="0"/>
    <n v="0"/>
    <n v="0"/>
    <m/>
    <m/>
    <m/>
    <m/>
    <m/>
    <m/>
    <m/>
    <m/>
    <s v="1"/>
    <s v="0"/>
    <s v="1"/>
    <s v="1"/>
    <s v="1"/>
    <m/>
    <m/>
    <m/>
    <m/>
    <m/>
    <m/>
    <m/>
    <m/>
    <m/>
    <m/>
    <m/>
    <m/>
    <m/>
    <m/>
  </r>
  <r>
    <n v="742"/>
    <d v="2025-02-13T00:00:00"/>
    <s v="ZBTF"/>
    <n v="9518517180"/>
    <n v="7"/>
    <s v="9518517180-7"/>
    <s v="No Priority"/>
    <x v="0"/>
    <m/>
    <x v="1"/>
    <x v="7"/>
    <s v="1000-IPPE"/>
    <m/>
    <x v="0"/>
    <m/>
    <s v="Exp BTF &lt;17MT"/>
    <s v="Uttar Pradesh"/>
    <s v="North"/>
    <s v="PILKHUWA"/>
    <s v="Coil"/>
    <n v="600250"/>
    <x v="23"/>
    <n v="3587949"/>
    <s v="CR COIL TSBSTA EL06 0.500X1250"/>
    <s v=" "/>
    <s v=""/>
    <n v="8"/>
    <n v="14"/>
    <s v="Wider"/>
    <s v="C01"/>
    <s v="TSBSTA"/>
    <s v="EL06"/>
    <n v="0.5"/>
    <n v="1250"/>
    <n v="0"/>
    <n v="290"/>
    <n v="242.87"/>
    <n v="47.13"/>
    <n v="8.1649999999999991"/>
    <n v="47.13"/>
    <n v="9.75"/>
    <n v="0"/>
    <n v="0"/>
    <n v="0"/>
    <n v="0"/>
    <n v="0"/>
    <n v="0"/>
    <n v="0"/>
    <n v="0"/>
    <n v="0"/>
    <n v="0"/>
    <n v="0"/>
    <n v="0"/>
    <n v="0"/>
    <n v="0"/>
    <n v="0"/>
    <n v="0"/>
    <n v="0"/>
    <n v="0"/>
    <n v="0"/>
    <n v="0"/>
    <n v="0"/>
    <n v="0"/>
    <n v="0"/>
    <n v="0"/>
    <n v="0"/>
    <n v="290"/>
    <n v="0"/>
    <n v="290"/>
    <n v="0"/>
    <n v="0"/>
    <n v="0"/>
    <n v="290"/>
    <n v="0"/>
    <n v="0"/>
    <n v="290"/>
    <n v="0"/>
    <n v="0"/>
    <n v="0"/>
    <n v="76.55"/>
    <n v="0"/>
    <n v="76.55"/>
    <n v="0"/>
    <n v="0"/>
    <n v="0"/>
    <n v="0"/>
    <m/>
    <m/>
    <m/>
    <m/>
    <m/>
    <m/>
    <m/>
    <m/>
    <s v="1"/>
    <s v="0"/>
    <s v="1"/>
    <s v="1"/>
    <s v="1"/>
    <m/>
    <m/>
    <m/>
    <m/>
    <m/>
    <m/>
    <m/>
    <m/>
    <m/>
    <m/>
    <m/>
    <m/>
    <m/>
    <m/>
  </r>
  <r>
    <n v="742"/>
    <d v="2025-02-10T00:00:00"/>
    <s v="ZBTO"/>
    <n v="9518507657"/>
    <n v="9"/>
    <s v="9518507657-9"/>
    <s v="No Priority"/>
    <x v="0"/>
    <m/>
    <x v="1"/>
    <x v="2"/>
    <s v="2000-BPRS"/>
    <m/>
    <x v="0"/>
    <m/>
    <m/>
    <s v="Assam"/>
    <s v="East"/>
    <s v="GUWAHATI"/>
    <s v="Sheet"/>
    <n v="116649"/>
    <x v="24"/>
    <n v="3240790"/>
    <s v="CRCA SHEET TSBCRC SR15 0.700X1000X2500"/>
    <s v=" "/>
    <s v=""/>
    <n v="2"/>
    <n v="3"/>
    <s v="Narrow"/>
    <s v="C06"/>
    <s v="TSBCRC"/>
    <s v="SR15"/>
    <n v="0.7"/>
    <n v="1000"/>
    <n v="2500"/>
    <n v="21"/>
    <n v="20.43"/>
    <n v="0.56999999999999995"/>
    <n v="0.56999999999999995"/>
    <n v="0"/>
    <n v="0.56999999999999995"/>
    <n v="0"/>
    <n v="0"/>
    <n v="0"/>
    <n v="0"/>
    <n v="0"/>
    <n v="0"/>
    <n v="0"/>
    <n v="0"/>
    <n v="0"/>
    <n v="0"/>
    <n v="0"/>
    <n v="0"/>
    <n v="0"/>
    <n v="0"/>
    <n v="0"/>
    <n v="0"/>
    <n v="0"/>
    <n v="0"/>
    <n v="0"/>
    <n v="0"/>
    <n v="0"/>
    <n v="0"/>
    <n v="0"/>
    <n v="0"/>
    <n v="0"/>
    <n v="21"/>
    <n v="21"/>
    <n v="0"/>
    <n v="0"/>
    <n v="0"/>
    <n v="0"/>
    <n v="21"/>
    <n v="0"/>
    <n v="21"/>
    <n v="0"/>
    <n v="0"/>
    <n v="0"/>
    <n v="0"/>
    <n v="20.43"/>
    <n v="20.43"/>
    <n v="0"/>
    <n v="0"/>
    <n v="0"/>
    <n v="0"/>
    <n v="0"/>
    <m/>
    <m/>
    <m/>
    <m/>
    <m/>
    <m/>
    <m/>
    <m/>
    <s v="1"/>
    <s v="1"/>
    <s v="1"/>
    <s v="1"/>
    <s v="1"/>
    <m/>
    <m/>
    <m/>
    <m/>
    <m/>
    <m/>
    <m/>
    <m/>
    <m/>
    <m/>
    <m/>
    <m/>
    <m/>
    <m/>
  </r>
  <r>
    <n v="742"/>
    <d v="2025-02-06T00:00:00"/>
    <s v="ZBTO"/>
    <n v="9518498155"/>
    <n v="5"/>
    <s v="9518498155-5"/>
    <s v="Mar'25"/>
    <x v="0"/>
    <m/>
    <x v="1"/>
    <x v="1"/>
    <s v="2000-BPRS"/>
    <m/>
    <x v="1"/>
    <m/>
    <m/>
    <s v="Andhra Pradesh"/>
    <s v="South"/>
    <s v="VISHAKHAPATNAM"/>
    <s v="Coil"/>
    <n v="946077"/>
    <x v="8"/>
    <n v="1801798"/>
    <s v="CRCA COIL-TATXXD-AU03-1X900"/>
    <s v=" "/>
    <s v=""/>
    <n v="8"/>
    <n v="29"/>
    <s v="Narrow"/>
    <s v="C01"/>
    <s v="TATXXD"/>
    <s v="AU03"/>
    <n v="1"/>
    <n v="900"/>
    <n v="0"/>
    <n v="21"/>
    <n v="0"/>
    <n v="21"/>
    <n v="21"/>
    <n v="21"/>
    <n v="2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2-20T00:00:00"/>
    <s v="ZBTO"/>
    <n v="9518536065"/>
    <n v="1"/>
    <s v="9518536065-1"/>
    <s v="Apr'25 "/>
    <x v="0"/>
    <m/>
    <x v="2"/>
    <x v="3"/>
    <s v="1000-IPPE"/>
    <m/>
    <x v="1"/>
    <m/>
    <m/>
    <s v="Jharkhand"/>
    <s v="East"/>
    <s v="TBL- BARA AGRICO"/>
    <s v="Coil"/>
    <n v="941597"/>
    <x v="6"/>
    <n v="1640840"/>
    <s v="PPGL C Y550 HPL3 0.45BMT(0.53TPT)X1220"/>
    <s v="AZ150"/>
    <s v="RAL 9006 TSL 203"/>
    <n v="3"/>
    <n v="5"/>
    <s v="Wider"/>
    <s v="B18"/>
    <s v="Y550PL"/>
    <s v="HPL3"/>
    <n v="0.45"/>
    <n v="1220"/>
    <n v="0"/>
    <n v="55.99"/>
    <n v="37.11"/>
    <n v="18.88"/>
    <n v="18.88"/>
    <n v="18.88"/>
    <n v="18.88"/>
    <n v="0"/>
    <n v="0"/>
    <n v="0"/>
    <n v="0"/>
    <n v="0"/>
    <n v="0"/>
    <n v="0"/>
    <n v="0"/>
    <n v="0"/>
    <n v="0"/>
    <n v="0"/>
    <n v="0"/>
    <n v="0"/>
    <n v="0"/>
    <n v="0"/>
    <n v="0"/>
    <n v="0"/>
    <n v="0"/>
    <n v="0"/>
    <n v="0"/>
    <n v="0"/>
    <n v="0"/>
    <n v="0"/>
    <n v="0"/>
    <n v="21.775000000000002"/>
    <n v="0"/>
    <n v="0"/>
    <n v="0"/>
    <n v="0"/>
    <n v="0"/>
    <n v="0"/>
    <n v="21.775000000000002"/>
    <n v="21.775000000000002"/>
    <n v="0"/>
    <n v="0"/>
    <n v="0"/>
    <n v="0"/>
    <n v="0"/>
    <n v="0"/>
    <n v="0"/>
    <n v="0"/>
    <n v="0"/>
    <n v="0"/>
    <n v="0"/>
    <n v="0"/>
    <m/>
    <m/>
    <m/>
    <m/>
    <m/>
    <m/>
    <m/>
    <m/>
    <s v="1"/>
    <s v="1"/>
    <s v="1"/>
    <s v="1"/>
    <s v="1"/>
    <m/>
    <m/>
    <m/>
    <m/>
    <m/>
    <m/>
    <m/>
    <m/>
    <m/>
    <m/>
    <m/>
    <m/>
    <m/>
    <m/>
  </r>
  <r>
    <n v="742"/>
    <d v="2025-02-03T00:00:00"/>
    <s v="ZBTO"/>
    <n v="9518490750"/>
    <n v="7"/>
    <s v="9518490750-7"/>
    <s v="No Priority"/>
    <x v="0"/>
    <m/>
    <x v="1"/>
    <x v="2"/>
    <s v="2000-BPRS"/>
    <m/>
    <x v="0"/>
    <m/>
    <m/>
    <s v="Orissa"/>
    <s v="East"/>
    <s v="TANGI"/>
    <s v="Sheet"/>
    <n v="117061"/>
    <x v="25"/>
    <n v="3240790"/>
    <s v="CRCA SHEET TSBCRC SR15 0.700X1000X2500"/>
    <s v=" "/>
    <s v=""/>
    <n v="0.1"/>
    <n v="5"/>
    <s v="Narrow"/>
    <s v="C06"/>
    <s v="TSBCRC"/>
    <s v="SR15"/>
    <n v="0.7"/>
    <n v="1000"/>
    <n v="2500"/>
    <n v="75"/>
    <n v="62.06"/>
    <n v="12.94"/>
    <n v="12.94"/>
    <n v="12.94"/>
    <n v="12.94"/>
    <n v="0"/>
    <n v="0"/>
    <n v="0"/>
    <n v="0"/>
    <n v="0"/>
    <n v="0"/>
    <n v="0"/>
    <n v="0"/>
    <n v="0"/>
    <n v="0"/>
    <n v="0"/>
    <n v="0"/>
    <n v="0"/>
    <n v="0"/>
    <n v="0"/>
    <n v="0"/>
    <n v="0"/>
    <n v="0"/>
    <n v="0"/>
    <n v="0"/>
    <n v="0"/>
    <n v="0"/>
    <n v="0"/>
    <n v="0"/>
    <n v="23.635000000000002"/>
    <n v="12.94"/>
    <n v="12.94"/>
    <n v="0"/>
    <n v="0"/>
    <n v="0"/>
    <n v="0"/>
    <n v="36.575000000000003"/>
    <n v="0"/>
    <n v="36.575000000000003"/>
    <n v="0"/>
    <n v="0"/>
    <n v="0"/>
    <n v="0"/>
    <n v="20.715"/>
    <n v="12.94"/>
    <n v="0"/>
    <n v="0"/>
    <n v="0"/>
    <n v="0"/>
    <n v="7.7750000000000004"/>
    <m/>
    <m/>
    <m/>
    <m/>
    <m/>
    <m/>
    <m/>
    <m/>
    <s v="1"/>
    <s v="1"/>
    <s v="1"/>
    <s v="1"/>
    <s v="1"/>
    <m/>
    <m/>
    <m/>
    <m/>
    <m/>
    <m/>
    <m/>
    <m/>
    <m/>
    <m/>
    <m/>
    <m/>
    <m/>
    <m/>
  </r>
  <r>
    <n v="742"/>
    <d v="2025-02-03T00:00:00"/>
    <s v="ZBTO"/>
    <n v="9518490750"/>
    <n v="10"/>
    <s v="9518490750-10"/>
    <s v="No Priority"/>
    <x v="0"/>
    <m/>
    <x v="1"/>
    <x v="2"/>
    <n v="2000"/>
    <m/>
    <x v="0"/>
    <m/>
    <m/>
    <s v="Orissa"/>
    <s v="East"/>
    <s v="TANGI"/>
    <s v="Sheet"/>
    <n v="117061"/>
    <x v="19"/>
    <n v="3240785"/>
    <s v="CRCA SHEET TSBCRC SR15 0.600X1250X2500"/>
    <s v=""/>
    <s v=""/>
    <m/>
    <m/>
    <s v="Wider"/>
    <s v="C06"/>
    <s v="TSBCRC"/>
    <s v="SR15"/>
    <n v="0.6"/>
    <n v="1250"/>
    <n v="0"/>
    <n v="75"/>
    <n v="72.92"/>
    <n v="2.08"/>
    <n v="2.08"/>
    <n v="0"/>
    <n v="2.08"/>
    <n v="0"/>
    <n v="0"/>
    <n v="0"/>
    <n v="0"/>
    <n v="0"/>
    <n v="0"/>
    <n v="0"/>
    <n v="0"/>
    <n v="0"/>
    <n v="0"/>
    <n v="0"/>
    <n v="0"/>
    <n v="0"/>
    <n v="0"/>
    <n v="0"/>
    <n v="0"/>
    <n v="0"/>
    <n v="0"/>
    <n v="0"/>
    <n v="0"/>
    <n v="0"/>
    <n v="0"/>
    <n v="0"/>
    <n v="0"/>
    <n v="0"/>
    <n v="22.664999999999999"/>
    <n v="0"/>
    <n v="0"/>
    <n v="0"/>
    <n v="22.664999999999999"/>
    <n v="0"/>
    <n v="22.664999999999999"/>
    <n v="0"/>
    <n v="0"/>
    <n v="0"/>
    <n v="0"/>
    <n v="22.664999999999999"/>
    <n v="0"/>
    <n v="0"/>
    <n v="0"/>
    <n v="0"/>
    <n v="0"/>
    <n v="0"/>
    <n v="0"/>
    <n v="0"/>
    <m/>
    <m/>
    <m/>
    <m/>
    <m/>
    <m/>
    <m/>
    <m/>
    <s v="1"/>
    <s v="1"/>
    <s v="1"/>
    <s v="0"/>
    <s v="1"/>
    <m/>
    <m/>
    <m/>
    <m/>
    <m/>
    <m/>
    <m/>
    <m/>
    <m/>
    <m/>
    <m/>
    <m/>
    <m/>
    <m/>
  </r>
  <r>
    <n v="742"/>
    <d v="2025-02-10T00:00:00"/>
    <s v="ZBTO"/>
    <n v="9518507185"/>
    <n v="12"/>
    <s v="9518507185-12"/>
    <s v="No Priority"/>
    <x v="0"/>
    <m/>
    <x v="1"/>
    <x v="2"/>
    <n v="2000"/>
    <m/>
    <x v="0"/>
    <m/>
    <m/>
    <s v="Jharkhand"/>
    <s v="East"/>
    <s v="WEST BOKARO"/>
    <s v="Sheet"/>
    <n v="185794"/>
    <x v="12"/>
    <n v="3240792"/>
    <s v="CRCA SHEET TSBCRC SR15 0.600X1250X2500"/>
    <s v=""/>
    <s v=""/>
    <m/>
    <m/>
    <s v="Wider"/>
    <s v="C06"/>
    <s v="TSBCRC"/>
    <s v="SR15"/>
    <n v="0.6"/>
    <n v="1250"/>
    <n v="2500"/>
    <n v="39"/>
    <n v="19.82"/>
    <n v="19.18"/>
    <n v="13.535"/>
    <n v="19.18"/>
    <n v="14.32"/>
    <n v="0"/>
    <n v="0"/>
    <n v="0"/>
    <n v="0"/>
    <n v="0"/>
    <n v="0"/>
    <n v="0"/>
    <n v="0"/>
    <n v="0"/>
    <n v="0"/>
    <n v="0"/>
    <n v="0"/>
    <n v="0"/>
    <n v="0"/>
    <n v="0"/>
    <n v="0"/>
    <n v="0"/>
    <n v="0"/>
    <n v="0"/>
    <n v="0"/>
    <n v="0"/>
    <n v="0"/>
    <n v="0"/>
    <n v="0"/>
    <n v="0"/>
    <n v="39"/>
    <n v="0"/>
    <n v="0"/>
    <n v="0"/>
    <n v="39"/>
    <n v="0"/>
    <n v="39"/>
    <n v="0"/>
    <n v="0"/>
    <n v="0"/>
    <n v="0"/>
    <n v="39"/>
    <n v="0"/>
    <n v="0"/>
    <n v="0"/>
    <n v="0"/>
    <n v="0"/>
    <n v="0"/>
    <n v="0"/>
    <n v="0"/>
    <m/>
    <m/>
    <m/>
    <m/>
    <m/>
    <m/>
    <m/>
    <m/>
    <s v="1"/>
    <s v="1"/>
    <s v="1"/>
    <s v="0"/>
    <s v="1"/>
    <m/>
    <m/>
    <m/>
    <m/>
    <m/>
    <m/>
    <m/>
    <m/>
    <m/>
    <m/>
    <m/>
    <m/>
    <m/>
    <m/>
  </r>
  <r>
    <n v="742"/>
    <d v="2025-01-13T00:00:00"/>
    <s v="ZBTO"/>
    <n v="9518425909"/>
    <n v="13"/>
    <s v="9518425909-13"/>
    <s v="No Priority"/>
    <x v="0"/>
    <m/>
    <x v="1"/>
    <x v="2"/>
    <n v="2000"/>
    <m/>
    <x v="0"/>
    <m/>
    <m/>
    <s v="Andhra Pradesh"/>
    <s v="South"/>
    <s v="VISHAKHAPATNAM"/>
    <s v="Sheet"/>
    <n v="946077"/>
    <x v="8"/>
    <n v="3240785"/>
    <s v="CRCA SHEET TSBCRC SR15 0.600X1250X2500"/>
    <s v=""/>
    <s v=""/>
    <m/>
    <m/>
    <s v="Wider"/>
    <s v="C06"/>
    <s v="TSBCRC"/>
    <s v="SR15"/>
    <n v="0.6"/>
    <n v="1250"/>
    <n v="0"/>
    <n v="27"/>
    <n v="0"/>
    <n v="27"/>
    <n v="-0.54"/>
    <n v="0"/>
    <n v="0"/>
    <n v="0"/>
    <n v="0"/>
    <n v="0"/>
    <n v="0"/>
    <n v="0"/>
    <n v="0"/>
    <n v="0"/>
    <n v="0"/>
    <n v="0"/>
    <n v="0"/>
    <n v="0"/>
    <n v="0"/>
    <n v="0"/>
    <n v="0"/>
    <n v="0"/>
    <n v="0"/>
    <n v="0"/>
    <n v="0"/>
    <n v="0"/>
    <n v="0"/>
    <n v="0"/>
    <n v="0"/>
    <n v="0"/>
    <n v="0"/>
    <n v="0"/>
    <n v="27"/>
    <n v="0"/>
    <n v="0"/>
    <n v="0"/>
    <n v="27"/>
    <n v="0"/>
    <n v="27"/>
    <n v="0"/>
    <n v="0"/>
    <n v="0"/>
    <n v="0"/>
    <n v="27"/>
    <n v="0"/>
    <n v="0"/>
    <n v="0"/>
    <n v="0"/>
    <n v="0"/>
    <n v="0"/>
    <n v="0"/>
    <n v="0"/>
    <m/>
    <m/>
    <m/>
    <m/>
    <m/>
    <m/>
    <m/>
    <m/>
    <s v="1"/>
    <s v="1"/>
    <s v="1"/>
    <s v="0"/>
    <s v="1"/>
    <m/>
    <m/>
    <m/>
    <m/>
    <m/>
    <m/>
    <m/>
    <m/>
    <m/>
    <m/>
    <m/>
    <m/>
    <m/>
    <m/>
  </r>
  <r>
    <n v="742"/>
    <d v="2025-02-06T00:00:00"/>
    <s v="ZBTO"/>
    <n v="9518497626"/>
    <n v="12"/>
    <s v="9518497626-12"/>
    <s v="No Priority"/>
    <x v="0"/>
    <m/>
    <x v="1"/>
    <x v="2"/>
    <n v="2000"/>
    <m/>
    <x v="0"/>
    <m/>
    <m/>
    <s v="Andhra Pradesh"/>
    <s v="South"/>
    <s v="VISHAKHAPATNAM"/>
    <s v="Sheet"/>
    <n v="946077"/>
    <x v="8"/>
    <n v="3240785"/>
    <s v="CRCA SHEET TSBCRC SR15 0.600X1250X2500"/>
    <s v=""/>
    <s v=""/>
    <m/>
    <m/>
    <s v="Wider"/>
    <s v="C06"/>
    <s v="TSBCRC"/>
    <s v="SR15"/>
    <n v="0.6"/>
    <n v="1250"/>
    <n v="0"/>
    <n v="27"/>
    <n v="25.934999999999999"/>
    <n v="1.0649999999999999"/>
    <n v="0.78500000000000003"/>
    <n v="0"/>
    <n v="1.0649999999999999"/>
    <n v="0"/>
    <n v="0"/>
    <n v="0"/>
    <n v="0"/>
    <n v="0"/>
    <n v="0"/>
    <n v="0"/>
    <n v="0"/>
    <n v="0"/>
    <n v="0"/>
    <n v="0"/>
    <n v="0"/>
    <n v="0"/>
    <n v="0"/>
    <n v="0"/>
    <n v="0"/>
    <n v="0"/>
    <n v="0"/>
    <n v="0"/>
    <n v="0"/>
    <n v="0"/>
    <n v="0"/>
    <n v="0"/>
    <n v="0"/>
    <n v="0"/>
    <n v="27"/>
    <n v="0"/>
    <n v="0"/>
    <n v="0"/>
    <n v="27"/>
    <n v="0"/>
    <n v="27"/>
    <n v="0"/>
    <n v="0"/>
    <n v="0"/>
    <n v="0"/>
    <n v="27"/>
    <n v="0"/>
    <n v="0"/>
    <n v="0"/>
    <n v="0"/>
    <n v="0"/>
    <n v="0"/>
    <n v="0"/>
    <n v="0"/>
    <m/>
    <m/>
    <m/>
    <m/>
    <m/>
    <m/>
    <m/>
    <m/>
    <s v="1"/>
    <s v="1"/>
    <s v="1"/>
    <s v="0"/>
    <s v="1"/>
    <m/>
    <m/>
    <m/>
    <m/>
    <m/>
    <m/>
    <m/>
    <m/>
    <m/>
    <m/>
    <m/>
    <m/>
    <m/>
    <m/>
  </r>
  <r>
    <n v="742"/>
    <d v="2025-01-19T00:00:00"/>
    <s v="ZBTF"/>
    <n v="9518440980"/>
    <n v="2"/>
    <s v="9518440980-2"/>
    <s v="No Priority"/>
    <x v="0"/>
    <m/>
    <x v="1"/>
    <x v="6"/>
    <s v="2000-BPRS"/>
    <m/>
    <x v="0"/>
    <m/>
    <m/>
    <s v="Orissa"/>
    <s v="East"/>
    <s v="YESHWANTHPURA"/>
    <s v="Coil"/>
    <n v="650742"/>
    <x v="26"/>
    <n v="3820032"/>
    <s v="CR COIL TATXHS BR45 2X1300"/>
    <s v=" "/>
    <s v=""/>
    <n v="10"/>
    <n v="27"/>
    <s v="Wider"/>
    <s v="C01"/>
    <s v="TATXHS"/>
    <s v="BR45"/>
    <n v="2"/>
    <n v="1300"/>
    <n v="0"/>
    <n v="240"/>
    <n v="186.345"/>
    <n v="53.655000000000001"/>
    <n v="53.655000000000001"/>
    <n v="53.655000000000001"/>
    <n v="0"/>
    <n v="0"/>
    <n v="0"/>
    <n v="0"/>
    <n v="0"/>
    <n v="0"/>
    <n v="0"/>
    <n v="0"/>
    <n v="0"/>
    <n v="0"/>
    <n v="0"/>
    <n v="0"/>
    <n v="0"/>
    <n v="0"/>
    <n v="0"/>
    <n v="0"/>
    <n v="0"/>
    <n v="0"/>
    <n v="0"/>
    <n v="0"/>
    <n v="0"/>
    <n v="0"/>
    <n v="0"/>
    <n v="0"/>
    <n v="0"/>
    <n v="0"/>
    <n v="120"/>
    <n v="0"/>
    <n v="120"/>
    <n v="0"/>
    <n v="0"/>
    <n v="0"/>
    <n v="120"/>
    <n v="0"/>
    <n v="0"/>
    <n v="120"/>
    <n v="0"/>
    <n v="0"/>
    <n v="0"/>
    <n v="172.89500000000001"/>
    <n v="0"/>
    <n v="120"/>
    <n v="0"/>
    <n v="0"/>
    <n v="0"/>
    <n v="52.89500000000001"/>
    <m/>
    <m/>
    <m/>
    <m/>
    <m/>
    <m/>
    <m/>
    <m/>
    <s v="1"/>
    <s v="1"/>
    <s v="1"/>
    <s v="1"/>
    <s v="1"/>
    <m/>
    <m/>
    <m/>
    <m/>
    <m/>
    <m/>
    <m/>
    <m/>
    <m/>
    <m/>
    <m/>
    <m/>
    <m/>
    <m/>
  </r>
  <r>
    <n v="742"/>
    <d v="2025-01-11T00:00:00"/>
    <s v="ZBTO"/>
    <n v="9518421446"/>
    <n v="2"/>
    <s v="9518421446-2"/>
    <s v="No Priority"/>
    <x v="0"/>
    <m/>
    <x v="1"/>
    <x v="2"/>
    <s v="2000-BPRS"/>
    <m/>
    <x v="0"/>
    <m/>
    <m/>
    <s v="Jharkhand"/>
    <s v="East"/>
    <s v="WEST BOKARO"/>
    <s v="Sheet"/>
    <n v="185794"/>
    <x v="12"/>
    <n v="3239542"/>
    <s v="CRCA SHEET TATCRC SR16 0.350X1000X2500"/>
    <s v=" "/>
    <s v=""/>
    <n v="2.8"/>
    <n v="3.2"/>
    <s v="Narrow"/>
    <s v="C06"/>
    <s v="TATCRC"/>
    <s v="SR16"/>
    <n v="0.35"/>
    <n v="1000"/>
    <n v="2500"/>
    <n v="24"/>
    <n v="0"/>
    <n v="24"/>
    <n v="24"/>
    <n v="24"/>
    <n v="0"/>
    <n v="0"/>
    <n v="0"/>
    <n v="0"/>
    <n v="0"/>
    <n v="0"/>
    <n v="0"/>
    <n v="0"/>
    <n v="0"/>
    <n v="0"/>
    <n v="0"/>
    <n v="0"/>
    <n v="0"/>
    <n v="0"/>
    <n v="0"/>
    <n v="0"/>
    <n v="0"/>
    <n v="0"/>
    <n v="0"/>
    <n v="0"/>
    <n v="0"/>
    <n v="0"/>
    <n v="0"/>
    <n v="0"/>
    <n v="0"/>
    <n v="0"/>
    <n v="24"/>
    <n v="0"/>
    <n v="0"/>
    <n v="0"/>
    <n v="0"/>
    <n v="24"/>
    <n v="0"/>
    <n v="0"/>
    <n v="0"/>
    <n v="0"/>
    <n v="0"/>
    <n v="0"/>
    <n v="24"/>
    <n v="0"/>
    <n v="0"/>
    <n v="0"/>
    <n v="0"/>
    <n v="0"/>
    <n v="0"/>
    <n v="0"/>
    <m/>
    <m/>
    <m/>
    <m/>
    <m/>
    <m/>
    <m/>
    <m/>
    <s v="1"/>
    <s v="1"/>
    <s v="1"/>
    <s v="1"/>
    <s v="0"/>
    <m/>
    <m/>
    <m/>
    <m/>
    <m/>
    <m/>
    <m/>
    <m/>
    <m/>
    <m/>
    <m/>
    <m/>
    <m/>
    <m/>
  </r>
  <r>
    <n v="742"/>
    <d v="2025-01-24T00:00:00"/>
    <s v="ZBTF"/>
    <n v="4000495825"/>
    <n v="1"/>
    <s v="4000495825-1"/>
    <s v="No Priority"/>
    <x v="0"/>
    <m/>
    <x v="0"/>
    <x v="6"/>
    <s v="2000-BPRS"/>
    <m/>
    <x v="0"/>
    <m/>
    <m/>
    <s v="Karnataka"/>
    <s v="South"/>
    <s v="YESHWANTHPURA"/>
    <s v="Coil"/>
    <n v="600103"/>
    <x v="21"/>
    <n v="3173079"/>
    <s v="HR COILS-PO THR099 4.10X1250"/>
    <s v=" "/>
    <s v=""/>
    <n v="17"/>
    <n v="27.5"/>
    <s v="Wider"/>
    <n v="768"/>
    <s v="THR099"/>
    <s v="HR99"/>
    <n v="4.0999999999999996"/>
    <n v="1250"/>
    <n v="0"/>
    <n v="75"/>
    <n v="24.76"/>
    <n v="50.24"/>
    <n v="0.7"/>
    <n v="0"/>
    <n v="0"/>
    <n v="0"/>
    <n v="0"/>
    <n v="0"/>
    <n v="0"/>
    <n v="0"/>
    <n v="0"/>
    <n v="0"/>
    <n v="0"/>
    <n v="0"/>
    <n v="0"/>
    <n v="0"/>
    <n v="0"/>
    <n v="0"/>
    <n v="0"/>
    <n v="0"/>
    <n v="0"/>
    <n v="0"/>
    <n v="0"/>
    <n v="0"/>
    <n v="0"/>
    <n v="0"/>
    <n v="0"/>
    <n v="0"/>
    <n v="0"/>
    <n v="0"/>
    <n v="75"/>
    <n v="0"/>
    <n v="75"/>
    <n v="0"/>
    <n v="0"/>
    <n v="0"/>
    <n v="75"/>
    <n v="0"/>
    <n v="75"/>
    <n v="0"/>
    <n v="0"/>
    <n v="0"/>
    <n v="0"/>
    <n v="0"/>
    <n v="0"/>
    <n v="0"/>
    <n v="0"/>
    <n v="0"/>
    <n v="0"/>
    <n v="0"/>
    <m/>
    <m/>
    <m/>
    <m/>
    <m/>
    <m/>
    <m/>
    <m/>
    <s v="1"/>
    <s v="0"/>
    <s v="1"/>
    <s v="1"/>
    <s v="1"/>
    <m/>
    <m/>
    <m/>
    <m/>
    <m/>
    <m/>
    <m/>
    <m/>
    <m/>
    <m/>
    <m/>
    <m/>
    <m/>
    <m/>
  </r>
  <r>
    <n v="742"/>
    <d v="2025-02-17T00:00:00"/>
    <s v="ZBTF"/>
    <n v="9518527449"/>
    <n v="9"/>
    <s v="9518527449-9"/>
    <s v="Apr'25 "/>
    <x v="0"/>
    <m/>
    <x v="1"/>
    <x v="6"/>
    <s v="2000-BPRS"/>
    <m/>
    <x v="1"/>
    <m/>
    <m/>
    <s v="Orissa"/>
    <s v="East"/>
    <s v="YESHWANTHPURA"/>
    <s v="Coil"/>
    <n v="650742"/>
    <x v="26"/>
    <n v="2279503"/>
    <s v="CRCA COIL TSBHSQ TU99 1.600X1270"/>
    <s v=" "/>
    <s v=""/>
    <n v="10"/>
    <n v="27"/>
    <s v="Wider"/>
    <s v="C01"/>
    <s v="TSBHSQ"/>
    <s v="TU99"/>
    <n v="1.6"/>
    <n v="1270"/>
    <n v="0"/>
    <n v="200"/>
    <n v="179.79499999999999"/>
    <n v="20.204999999999998"/>
    <n v="20.204999999999998"/>
    <n v="-0.50500000000000256"/>
    <n v="20.204999999999998"/>
    <n v="0"/>
    <n v="0"/>
    <n v="0"/>
    <n v="0"/>
    <n v="0"/>
    <n v="0"/>
    <n v="0"/>
    <n v="0"/>
    <n v="0"/>
    <n v="0"/>
    <n v="0"/>
    <n v="0"/>
    <n v="20.71"/>
    <n v="0"/>
    <n v="0"/>
    <n v="0"/>
    <n v="0"/>
    <n v="0"/>
    <n v="0"/>
    <n v="20.71"/>
    <n v="20.71"/>
    <n v="0"/>
    <n v="20.71"/>
    <n v="0"/>
    <n v="0"/>
    <n v="86.23"/>
    <n v="0"/>
    <n v="0"/>
    <n v="86.23"/>
    <n v="0"/>
    <n v="0"/>
    <n v="0"/>
    <n v="0"/>
    <n v="0"/>
    <n v="0"/>
    <n v="0"/>
    <n v="0"/>
    <n v="86.23"/>
    <n v="66.025000000000006"/>
    <n v="0"/>
    <n v="0"/>
    <n v="66.025000000000006"/>
    <n v="0"/>
    <n v="0"/>
    <n v="0"/>
    <m/>
    <m/>
    <m/>
    <m/>
    <m/>
    <m/>
    <m/>
    <m/>
    <s v="1"/>
    <s v="1"/>
    <s v="0"/>
    <s v="1"/>
    <s v="1"/>
    <m/>
    <m/>
    <m/>
    <m/>
    <m/>
    <m/>
    <m/>
    <m/>
    <m/>
    <m/>
    <m/>
    <m/>
    <m/>
    <m/>
  </r>
  <r>
    <n v="742"/>
    <d v="2025-01-13T00:00:00"/>
    <s v="ZBTO"/>
    <n v="9518425909"/>
    <n v="11"/>
    <s v="9518425909-11"/>
    <s v="No Priority"/>
    <x v="0"/>
    <m/>
    <x v="1"/>
    <x v="2"/>
    <s v="2000-BPRS"/>
    <m/>
    <x v="0"/>
    <m/>
    <s v="Exp BTF &lt;17MT"/>
    <s v="Andhra Pradesh"/>
    <s v="South"/>
    <s v="VISHAKHAPATNAM"/>
    <s v="Sheet"/>
    <n v="946077"/>
    <x v="8"/>
    <n v="3240776"/>
    <s v="CRCA SHEET TSBCRC SR15 0.600X1000X2440"/>
    <s v=" "/>
    <s v=""/>
    <n v="0"/>
    <n v="0"/>
    <s v="Narrow"/>
    <s v="C06"/>
    <s v="TSBCRC"/>
    <s v="SR15"/>
    <n v="0.6"/>
    <n v="1000"/>
    <n v="2440"/>
    <n v="68.989999999999995"/>
    <n v="62.08"/>
    <n v="6.91"/>
    <n v="6.91"/>
    <n v="6.91"/>
    <n v="0"/>
    <n v="0"/>
    <n v="0"/>
    <n v="0"/>
    <n v="0"/>
    <n v="0"/>
    <n v="0"/>
    <n v="0"/>
    <n v="0"/>
    <n v="0"/>
    <n v="0"/>
    <n v="0"/>
    <n v="0"/>
    <n v="0"/>
    <n v="0"/>
    <n v="0"/>
    <n v="0"/>
    <n v="0"/>
    <n v="0"/>
    <n v="0"/>
    <n v="0"/>
    <n v="0"/>
    <n v="0"/>
    <n v="0"/>
    <n v="0"/>
    <n v="0"/>
    <n v="27.47"/>
    <n v="27.47"/>
    <n v="0"/>
    <n v="0"/>
    <n v="0"/>
    <n v="0"/>
    <n v="27.47"/>
    <n v="0"/>
    <n v="27.47"/>
    <n v="0"/>
    <n v="0"/>
    <n v="0"/>
    <n v="0"/>
    <n v="20.56"/>
    <n v="20.56"/>
    <n v="0"/>
    <n v="0"/>
    <n v="0"/>
    <n v="0"/>
    <n v="0"/>
    <m/>
    <m/>
    <m/>
    <m/>
    <m/>
    <m/>
    <m/>
    <m/>
    <s v="0"/>
    <s v="1"/>
    <s v="1"/>
    <s v="1"/>
    <s v="1"/>
    <m/>
    <m/>
    <m/>
    <m/>
    <m/>
    <m/>
    <m/>
    <m/>
    <m/>
    <m/>
    <m/>
    <m/>
    <m/>
    <m/>
  </r>
  <r>
    <n v="742"/>
    <d v="2025-02-14T00:00:00"/>
    <s v="ZBTO"/>
    <n v="9518519534"/>
    <n v="1"/>
    <s v="9518519534-1"/>
    <s v="No Priority"/>
    <x v="0"/>
    <m/>
    <x v="0"/>
    <x v="0"/>
    <s v="2000-BPRS"/>
    <m/>
    <x v="0"/>
    <m/>
    <m/>
    <s v="Maharashtra"/>
    <s v="West"/>
    <s v="BOMBAY"/>
    <s v="Coil"/>
    <n v="932086"/>
    <x v="27"/>
    <n v="1210083"/>
    <s v="HR COILS-PO IS 1079 HR2 2X1250"/>
    <s v=" "/>
    <s v=""/>
    <n v="16"/>
    <n v="32"/>
    <s v="Wider"/>
    <n v="768"/>
    <s v="THR099"/>
    <s v="HR99"/>
    <n v="2"/>
    <n v="1250"/>
    <n v="0"/>
    <n v="50"/>
    <n v="23.55"/>
    <n v="26.45"/>
    <n v="26.45"/>
    <n v="26.45"/>
    <n v="0"/>
    <n v="0"/>
    <n v="0"/>
    <n v="0"/>
    <n v="0"/>
    <n v="0"/>
    <n v="0"/>
    <n v="0"/>
    <n v="0"/>
    <n v="0"/>
    <n v="0"/>
    <n v="0"/>
    <n v="0"/>
    <n v="0"/>
    <n v="0"/>
    <n v="0"/>
    <n v="0"/>
    <n v="0"/>
    <n v="0"/>
    <n v="0"/>
    <n v="0"/>
    <n v="0"/>
    <n v="0"/>
    <n v="0"/>
    <n v="0"/>
    <n v="0"/>
    <n v="26.45"/>
    <n v="0"/>
    <n v="26.45"/>
    <n v="0"/>
    <n v="0"/>
    <n v="0"/>
    <n v="26.45"/>
    <n v="0"/>
    <n v="0"/>
    <n v="26.45"/>
    <n v="0"/>
    <n v="0"/>
    <n v="0"/>
    <n v="0"/>
    <n v="0"/>
    <n v="0"/>
    <n v="0"/>
    <n v="0"/>
    <n v="0"/>
    <n v="0"/>
    <m/>
    <m/>
    <m/>
    <m/>
    <m/>
    <m/>
    <m/>
    <m/>
    <s v="1"/>
    <s v="0"/>
    <s v="1"/>
    <s v="1"/>
    <s v="1"/>
    <m/>
    <m/>
    <m/>
    <m/>
    <m/>
    <m/>
    <m/>
    <m/>
    <m/>
    <m/>
    <m/>
    <m/>
    <m/>
    <m/>
  </r>
  <r>
    <n v="742"/>
    <d v="2025-02-14T00:00:00"/>
    <s v="ZBTO"/>
    <n v="9518519621"/>
    <n v="1"/>
    <s v="9518519621-1"/>
    <s v="No Priority"/>
    <x v="0"/>
    <m/>
    <x v="0"/>
    <x v="0"/>
    <s v="2000-BPRS"/>
    <m/>
    <x v="0"/>
    <m/>
    <m/>
    <s v="Maharashtra"/>
    <s v="West"/>
    <s v="BOMBAY"/>
    <s v="Coil"/>
    <n v="163486"/>
    <x v="28"/>
    <n v="1179966"/>
    <s v="HR COILS-PO IS 10748 GR 1 2X1250"/>
    <s v=" "/>
    <s v=""/>
    <n v="16"/>
    <n v="32"/>
    <s v="Wider"/>
    <n v="768"/>
    <s v="I09497"/>
    <s v="HG01"/>
    <n v="2"/>
    <n v="1250"/>
    <n v="0"/>
    <n v="75"/>
    <n v="56.854999999999997"/>
    <n v="18.145"/>
    <n v="18.145"/>
    <n v="-3.9349999999999987"/>
    <n v="0"/>
    <n v="0"/>
    <n v="0"/>
    <n v="22.08"/>
    <n v="0"/>
    <n v="0"/>
    <n v="0"/>
    <n v="0"/>
    <n v="0"/>
    <n v="0"/>
    <n v="0"/>
    <n v="0"/>
    <n v="0"/>
    <n v="0"/>
    <n v="0"/>
    <n v="0"/>
    <n v="0"/>
    <n v="0"/>
    <n v="0"/>
    <n v="0"/>
    <n v="22.08"/>
    <n v="22.08"/>
    <n v="0"/>
    <n v="22.08"/>
    <n v="0"/>
    <n v="0"/>
    <n v="18.145"/>
    <n v="0"/>
    <n v="0"/>
    <n v="18.145"/>
    <n v="0"/>
    <n v="0"/>
    <n v="18.145"/>
    <n v="0"/>
    <n v="0"/>
    <n v="18.145"/>
    <n v="0"/>
    <n v="0"/>
    <n v="0"/>
    <n v="0"/>
    <n v="0"/>
    <n v="0"/>
    <n v="0"/>
    <n v="0"/>
    <n v="0"/>
    <n v="0"/>
    <m/>
    <m/>
    <m/>
    <m/>
    <m/>
    <m/>
    <m/>
    <m/>
    <s v="1"/>
    <s v="1"/>
    <s v="0"/>
    <s v="1"/>
    <s v="1"/>
    <m/>
    <m/>
    <m/>
    <m/>
    <m/>
    <m/>
    <m/>
    <m/>
    <m/>
    <m/>
    <m/>
    <m/>
    <m/>
    <m/>
  </r>
  <r>
    <n v="742"/>
    <d v="2025-02-17T00:00:00"/>
    <s v="ZBTF"/>
    <n v="9518526154"/>
    <n v="3"/>
    <s v="9518526154-3"/>
    <s v="Apr'25 "/>
    <x v="0"/>
    <m/>
    <x v="5"/>
    <x v="8"/>
    <s v="2000-BPRS"/>
    <m/>
    <x v="1"/>
    <m/>
    <m/>
    <s v="Punjab"/>
    <s v="North"/>
    <s v="KHOPOLI"/>
    <s v="Coil"/>
    <n v="650250"/>
    <x v="29"/>
    <n v="3825819"/>
    <s v="CRFH COIL TATFHC TR10 0.570X1235"/>
    <s v=" "/>
    <s v=""/>
    <n v="22"/>
    <n v="25"/>
    <s v="Wider"/>
    <s v="C09"/>
    <s v="TATFHC"/>
    <s v="TR10"/>
    <n v="0.56999999999999995"/>
    <n v="1235"/>
    <n v="0"/>
    <n v="280"/>
    <n v="260.31"/>
    <n v="19.690000000000001"/>
    <n v="19.690000000000001"/>
    <n v="19.690000000000001"/>
    <n v="19.66"/>
    <n v="0"/>
    <n v="0"/>
    <n v="0"/>
    <n v="0"/>
    <n v="0"/>
    <n v="0"/>
    <n v="0"/>
    <n v="0"/>
    <n v="0"/>
    <n v="0"/>
    <n v="0"/>
    <n v="0"/>
    <n v="0"/>
    <n v="0"/>
    <n v="0"/>
    <n v="0"/>
    <n v="0"/>
    <n v="0"/>
    <n v="0"/>
    <n v="0"/>
    <n v="0"/>
    <n v="0"/>
    <n v="0"/>
    <n v="0"/>
    <n v="0"/>
    <n v="19.690000000000001"/>
    <n v="0"/>
    <n v="0"/>
    <n v="19.690000000000001"/>
    <n v="0"/>
    <n v="0"/>
    <n v="19.690000000000001"/>
    <n v="0"/>
    <n v="0"/>
    <n v="19.690000000000001"/>
    <n v="0"/>
    <n v="0"/>
    <n v="0"/>
    <n v="0"/>
    <n v="0"/>
    <n v="0"/>
    <n v="0"/>
    <n v="0"/>
    <n v="0"/>
    <n v="0"/>
    <m/>
    <m/>
    <m/>
    <m/>
    <m/>
    <m/>
    <m/>
    <m/>
    <s v="1"/>
    <s v="1"/>
    <s v="0"/>
    <s v="1"/>
    <s v="1"/>
    <m/>
    <m/>
    <m/>
    <m/>
    <m/>
    <m/>
    <m/>
    <m/>
    <m/>
    <m/>
    <m/>
    <m/>
    <m/>
    <m/>
  </r>
  <r>
    <n v="742"/>
    <d v="2025-02-17T00:00:00"/>
    <s v="ZBTF"/>
    <n v="9518526154"/>
    <n v="4"/>
    <s v="9518526154-4"/>
    <s v="No Priority"/>
    <x v="0"/>
    <m/>
    <x v="5"/>
    <x v="8"/>
    <s v="2000-BPRS"/>
    <m/>
    <x v="0"/>
    <m/>
    <m/>
    <s v="Punjab"/>
    <s v="North"/>
    <s v="KHOPOLI"/>
    <s v="Coil"/>
    <n v="650250"/>
    <x v="29"/>
    <n v="3825819"/>
    <s v="CRFH COIL TATFHC TR10 0.570X1235"/>
    <s v=" "/>
    <s v=""/>
    <n v="22"/>
    <n v="25"/>
    <s v="Wider"/>
    <s v="C09"/>
    <s v="TATFHC"/>
    <s v="TR10"/>
    <n v="0.56999999999999995"/>
    <n v="1235"/>
    <n v="0"/>
    <n v="168"/>
    <n v="152.58500000000001"/>
    <n v="15.414999999999999"/>
    <n v="-3.55"/>
    <n v="0"/>
    <n v="15.305"/>
    <n v="0"/>
    <n v="0"/>
    <n v="0"/>
    <n v="0"/>
    <n v="0"/>
    <n v="0"/>
    <n v="0"/>
    <n v="0"/>
    <n v="0"/>
    <n v="0"/>
    <n v="0"/>
    <n v="0"/>
    <n v="0"/>
    <n v="0"/>
    <n v="0"/>
    <n v="0"/>
    <n v="0"/>
    <n v="0"/>
    <n v="0"/>
    <n v="0"/>
    <n v="0"/>
    <n v="0"/>
    <n v="0"/>
    <n v="0"/>
    <n v="23.6"/>
    <n v="79.95"/>
    <n v="0"/>
    <n v="0"/>
    <n v="79.95"/>
    <n v="0"/>
    <n v="0"/>
    <n v="103.55000000000001"/>
    <n v="0"/>
    <n v="0"/>
    <n v="103.55000000000001"/>
    <n v="0"/>
    <n v="0"/>
    <n v="0"/>
    <n v="0"/>
    <n v="0"/>
    <n v="0"/>
    <n v="0"/>
    <n v="0"/>
    <n v="0"/>
    <n v="0"/>
    <m/>
    <m/>
    <m/>
    <m/>
    <m/>
    <m/>
    <m/>
    <m/>
    <s v="1"/>
    <s v="1"/>
    <s v="0"/>
    <s v="1"/>
    <s v="1"/>
    <m/>
    <m/>
    <m/>
    <m/>
    <m/>
    <m/>
    <m/>
    <m/>
    <m/>
    <m/>
    <m/>
    <m/>
    <m/>
    <m/>
  </r>
  <r>
    <n v="742"/>
    <d v="2025-02-17T00:00:00"/>
    <s v="ZBTF"/>
    <n v="9518526154"/>
    <n v="5"/>
    <s v="9518526154-5"/>
    <s v="No Priority"/>
    <x v="0"/>
    <m/>
    <x v="5"/>
    <x v="8"/>
    <s v="2000-BPRS"/>
    <m/>
    <x v="0"/>
    <m/>
    <m/>
    <s v="Punjab"/>
    <s v="North"/>
    <s v="KHOPOLI"/>
    <s v="Coil"/>
    <n v="650250"/>
    <x v="29"/>
    <n v="2175550"/>
    <s v="CRFH COIL TATFHC TR10 0.470X1235"/>
    <s v=" "/>
    <s v=""/>
    <n v="22"/>
    <n v="25"/>
    <s v="Wider"/>
    <s v="C09"/>
    <s v="TATFHC"/>
    <s v="TR10"/>
    <n v="0.47"/>
    <n v="1235"/>
    <n v="0"/>
    <n v="28"/>
    <n v="0"/>
    <n v="28"/>
    <n v="3.8650000000000002"/>
    <n v="28"/>
    <n v="4.7699999999999996"/>
    <n v="0"/>
    <n v="0"/>
    <n v="0"/>
    <n v="0"/>
    <n v="0"/>
    <n v="0"/>
    <n v="0"/>
    <n v="0"/>
    <n v="0"/>
    <n v="0"/>
    <n v="0"/>
    <n v="0"/>
    <n v="0"/>
    <n v="0"/>
    <n v="0"/>
    <n v="0"/>
    <n v="0"/>
    <n v="0"/>
    <n v="0"/>
    <n v="0"/>
    <n v="0"/>
    <n v="0"/>
    <n v="0"/>
    <n v="0"/>
    <n v="0"/>
    <n v="28"/>
    <n v="0"/>
    <n v="0"/>
    <n v="28"/>
    <n v="0"/>
    <n v="0"/>
    <n v="28"/>
    <n v="0"/>
    <n v="0"/>
    <n v="28"/>
    <n v="0"/>
    <n v="0"/>
    <n v="0"/>
    <n v="0"/>
    <n v="0"/>
    <n v="0"/>
    <n v="0"/>
    <n v="0"/>
    <n v="0"/>
    <n v="0"/>
    <m/>
    <m/>
    <m/>
    <m/>
    <m/>
    <m/>
    <m/>
    <m/>
    <s v="1"/>
    <s v="1"/>
    <s v="0"/>
    <s v="1"/>
    <s v="1"/>
    <m/>
    <m/>
    <m/>
    <m/>
    <m/>
    <m/>
    <m/>
    <m/>
    <m/>
    <m/>
    <m/>
    <m/>
    <m/>
    <m/>
  </r>
  <r>
    <n v="743"/>
    <d v="2025-02-06T00:00:00"/>
    <s v="ZBTO"/>
    <n v="9518498761"/>
    <n v="2"/>
    <s v="9518498761-2"/>
    <s v="No Priority"/>
    <x v="0"/>
    <m/>
    <x v="3"/>
    <x v="9"/>
    <n v="2000"/>
    <m/>
    <x v="0"/>
    <m/>
    <s v="Exp BTF &lt;17MT"/>
    <s v="Jharkhand"/>
    <s v="East"/>
    <s v="BOKARO STEEL CY"/>
    <s v="Coil"/>
    <n v="121328"/>
    <x v="10"/>
    <n v="1191955"/>
    <s v="GP COIL SOFT-TATXGP-GK09-0.3X900"/>
    <n v="80"/>
    <s v=""/>
    <m/>
    <m/>
    <s v="Narrow"/>
    <s v="C02"/>
    <s v="TATXGP"/>
    <s v="GK09"/>
    <n v="0.3"/>
    <n v="900"/>
    <n v="0"/>
    <n v="105"/>
    <n v="38.814999999999998"/>
    <n v="66.185000000000002"/>
    <n v="7.0350000000000001"/>
    <n v="64.515000000000001"/>
    <n v="7.4249999999999998"/>
    <n v="0"/>
    <n v="0"/>
    <n v="0"/>
    <n v="0"/>
    <n v="0"/>
    <n v="0"/>
    <n v="1.67"/>
    <n v="0"/>
    <n v="0"/>
    <n v="0"/>
    <n v="0"/>
    <n v="0"/>
    <n v="0"/>
    <n v="0"/>
    <n v="0"/>
    <n v="0"/>
    <n v="0"/>
    <n v="0"/>
    <n v="0"/>
    <n v="1.67"/>
    <n v="1.67"/>
    <n v="0"/>
    <n v="1.67"/>
    <n v="0"/>
    <n v="0"/>
    <n v="105"/>
    <n v="0"/>
    <n v="0"/>
    <n v="0"/>
    <n v="105"/>
    <n v="0"/>
    <n v="0"/>
    <n v="0"/>
    <n v="0"/>
    <n v="0"/>
    <n v="0"/>
    <n v="0"/>
    <n v="105"/>
    <n v="0"/>
    <n v="0"/>
    <n v="0"/>
    <n v="0"/>
    <n v="0"/>
    <n v="0"/>
    <n v="0"/>
    <m/>
    <m/>
    <m/>
    <m/>
    <m/>
    <m/>
    <m/>
    <m/>
    <s v="1"/>
    <s v="1"/>
    <s v="1"/>
    <s v="0"/>
    <s v="1"/>
    <m/>
    <m/>
    <m/>
    <m/>
    <m/>
    <m/>
    <m/>
    <m/>
    <m/>
    <m/>
    <m/>
    <m/>
    <m/>
    <m/>
  </r>
  <r>
    <n v="742"/>
    <d v="2025-02-20T00:00:00"/>
    <s v="ZBTO"/>
    <n v="9518534103"/>
    <n v="3"/>
    <s v="9518534103-3"/>
    <s v="No Priority"/>
    <x v="0"/>
    <m/>
    <x v="1"/>
    <x v="10"/>
    <n v="1000"/>
    <m/>
    <x v="0"/>
    <m/>
    <m/>
    <s v="Tamil Nadu"/>
    <s v="South"/>
    <s v="CHENNAI"/>
    <s v="Coil"/>
    <n v="187214"/>
    <x v="30"/>
    <n v="2164800"/>
    <s v="CRCA COIL TATXXD BT02 0.970X913"/>
    <s v=""/>
    <s v=""/>
    <m/>
    <m/>
    <s v="Narrow"/>
    <s v="C01"/>
    <s v="TATXXD"/>
    <s v="BT02"/>
    <n v="0.97"/>
    <n v="913"/>
    <n v="0"/>
    <n v="147"/>
    <n v="79.959999999999994"/>
    <n v="67.040000000000006"/>
    <n v="67.040000000000006"/>
    <n v="67.040000000000006"/>
    <n v="31.35"/>
    <n v="0"/>
    <n v="0"/>
    <n v="0"/>
    <n v="0"/>
    <n v="0"/>
    <n v="0"/>
    <n v="0"/>
    <n v="0"/>
    <n v="0"/>
    <n v="0"/>
    <n v="0"/>
    <n v="0"/>
    <n v="0"/>
    <n v="0"/>
    <n v="0"/>
    <n v="0"/>
    <n v="0"/>
    <n v="0"/>
    <n v="0"/>
    <n v="0"/>
    <n v="0"/>
    <n v="0"/>
    <n v="0"/>
    <n v="0"/>
    <n v="0"/>
    <n v="84.875"/>
    <n v="84.875"/>
    <n v="0"/>
    <n v="0"/>
    <n v="0"/>
    <n v="0"/>
    <n v="84.875"/>
    <n v="0"/>
    <n v="84.875"/>
    <n v="0"/>
    <n v="0"/>
    <n v="0"/>
    <n v="0"/>
    <n v="8.64"/>
    <n v="8.64"/>
    <n v="0"/>
    <n v="0"/>
    <n v="0"/>
    <n v="0"/>
    <n v="0"/>
    <m/>
    <m/>
    <m/>
    <m/>
    <m/>
    <m/>
    <m/>
    <m/>
    <s v="0"/>
    <s v="1"/>
    <s v="1"/>
    <s v="1"/>
    <s v="1"/>
    <m/>
    <m/>
    <m/>
    <m/>
    <m/>
    <m/>
    <m/>
    <m/>
    <m/>
    <m/>
    <m/>
    <m/>
    <m/>
    <m/>
  </r>
  <r>
    <n v="742"/>
    <d v="2025-01-14T00:00:00"/>
    <s v="ZBTO"/>
    <n v="9518429066"/>
    <n v="16"/>
    <s v="9518429066-16"/>
    <s v="No Priority"/>
    <x v="0"/>
    <m/>
    <x v="1"/>
    <x v="2"/>
    <n v="2000"/>
    <m/>
    <x v="0"/>
    <m/>
    <m/>
    <s v="Orissa"/>
    <s v="East"/>
    <s v="TANGI"/>
    <s v="Sheet"/>
    <n v="117061"/>
    <x v="19"/>
    <n v="3240836"/>
    <s v="CRCA SHEET TSBCRC SR15 1X1000X2500"/>
    <s v=""/>
    <s v=""/>
    <m/>
    <m/>
    <s v="Narrow"/>
    <s v="C06"/>
    <s v="TSBCRC"/>
    <s v="SR15"/>
    <n v="1"/>
    <n v="1000"/>
    <n v="2500"/>
    <n v="23.785"/>
    <n v="23.785"/>
    <n v="0"/>
    <n v="0"/>
    <n v="0"/>
    <n v="0"/>
    <n v="0"/>
    <n v="0"/>
    <n v="0"/>
    <n v="0"/>
    <n v="0"/>
    <n v="0"/>
    <n v="0"/>
    <n v="0"/>
    <n v="0"/>
    <n v="0"/>
    <n v="0"/>
    <n v="0"/>
    <n v="0"/>
    <n v="0"/>
    <n v="0"/>
    <n v="0"/>
    <n v="0"/>
    <n v="0"/>
    <n v="0"/>
    <n v="0"/>
    <n v="0"/>
    <n v="0"/>
    <n v="0"/>
    <n v="0"/>
    <n v="21.125"/>
    <n v="24"/>
    <n v="24"/>
    <n v="0"/>
    <n v="0"/>
    <n v="0"/>
    <n v="0"/>
    <n v="45.125"/>
    <n v="0"/>
    <n v="45.125"/>
    <n v="0"/>
    <n v="0"/>
    <n v="0"/>
    <n v="0"/>
    <n v="23.785"/>
    <n v="23.785"/>
    <n v="0"/>
    <n v="0"/>
    <n v="0"/>
    <n v="0"/>
    <n v="0"/>
    <m/>
    <m/>
    <m/>
    <m/>
    <m/>
    <m/>
    <m/>
    <m/>
    <s v="1"/>
    <s v="1"/>
    <s v="1"/>
    <s v="1"/>
    <s v="1"/>
    <m/>
    <m/>
    <m/>
    <m/>
    <m/>
    <m/>
    <m/>
    <m/>
    <m/>
    <m/>
    <m/>
    <m/>
    <m/>
    <m/>
  </r>
  <r>
    <n v="742"/>
    <d v="2025-02-03T00:00:00"/>
    <s v="ZBTO"/>
    <n v="9518490750"/>
    <n v="5"/>
    <s v="9518490750-5"/>
    <s v="May'25"/>
    <x v="0"/>
    <m/>
    <x v="1"/>
    <x v="2"/>
    <n v="2000"/>
    <m/>
    <x v="1"/>
    <m/>
    <s v="Exp BTF &lt;17MT"/>
    <s v="Orissa"/>
    <s v="East"/>
    <s v="TANGI"/>
    <s v="Sheet"/>
    <n v="117061"/>
    <x v="19"/>
    <n v="3239567"/>
    <s v="CRCA SHEET TATCRC SR16 0.450X1000X2500"/>
    <s v=""/>
    <s v=""/>
    <m/>
    <m/>
    <s v="Narrow"/>
    <s v="C06"/>
    <s v="TATCRC"/>
    <s v="SR16"/>
    <n v="0.45"/>
    <n v="1000"/>
    <n v="2500"/>
    <n v="75"/>
    <n v="0"/>
    <n v="75"/>
    <n v="8.61"/>
    <n v="53.370000000000005"/>
    <n v="33.155000000000001"/>
    <n v="0"/>
    <n v="0"/>
    <n v="0"/>
    <n v="0"/>
    <n v="0"/>
    <n v="0"/>
    <n v="0"/>
    <n v="0"/>
    <n v="21.63"/>
    <n v="0"/>
    <n v="0"/>
    <n v="0"/>
    <n v="0"/>
    <n v="0"/>
    <n v="0"/>
    <n v="0"/>
    <n v="0"/>
    <n v="0"/>
    <n v="0"/>
    <n v="21.63"/>
    <n v="21.63"/>
    <n v="0"/>
    <n v="21.63"/>
    <n v="0"/>
    <n v="0"/>
    <n v="75"/>
    <n v="0"/>
    <n v="0"/>
    <n v="75"/>
    <n v="0"/>
    <n v="0"/>
    <n v="0"/>
    <n v="0"/>
    <n v="0"/>
    <n v="0"/>
    <n v="0"/>
    <n v="0"/>
    <n v="75"/>
    <n v="0"/>
    <n v="0"/>
    <n v="0"/>
    <n v="0"/>
    <n v="0"/>
    <n v="0"/>
    <n v="0"/>
    <m/>
    <m/>
    <m/>
    <m/>
    <m/>
    <m/>
    <m/>
    <m/>
    <s v="1"/>
    <s v="1"/>
    <s v="0"/>
    <s v="1"/>
    <s v="1"/>
    <m/>
    <m/>
    <m/>
    <m/>
    <m/>
    <m/>
    <m/>
    <m/>
    <m/>
    <m/>
    <m/>
    <m/>
    <m/>
    <m/>
  </r>
  <r>
    <n v="742"/>
    <d v="2025-02-14T00:00:00"/>
    <s v="ZBTO"/>
    <n v="9518518906"/>
    <n v="6"/>
    <s v="9518518906-6"/>
    <s v="Mar'25"/>
    <x v="0"/>
    <m/>
    <x v="1"/>
    <x v="2"/>
    <s v="2000-BPRS"/>
    <m/>
    <x v="1"/>
    <m/>
    <m/>
    <s v="Uttar Pradesh"/>
    <s v="North"/>
    <s v="VARANASI"/>
    <s v="Sheet"/>
    <n v="931525"/>
    <x v="2"/>
    <n v="3912458"/>
    <s v="CRCA SHEET TSBCRC SR15 0.700X1250X1925"/>
    <s v=" "/>
    <s v=""/>
    <n v="0"/>
    <n v="0"/>
    <s v="Wider"/>
    <s v="C06"/>
    <s v="TSBCRC"/>
    <s v="SR15"/>
    <n v="0.7"/>
    <n v="1250"/>
    <n v="1925"/>
    <n v="33"/>
    <n v="0"/>
    <n v="33"/>
    <n v="33"/>
    <n v="33"/>
    <n v="33"/>
    <n v="0"/>
    <n v="0"/>
    <n v="0"/>
    <n v="0"/>
    <n v="0"/>
    <n v="0"/>
    <n v="0"/>
    <n v="0"/>
    <n v="0"/>
    <n v="0"/>
    <n v="0"/>
    <n v="0"/>
    <n v="0"/>
    <n v="0"/>
    <n v="0"/>
    <n v="0"/>
    <n v="0"/>
    <n v="0"/>
    <n v="0"/>
    <n v="0"/>
    <n v="0"/>
    <n v="0"/>
    <n v="0"/>
    <n v="0"/>
    <n v="0"/>
    <n v="33"/>
    <n v="0"/>
    <n v="0"/>
    <n v="33"/>
    <n v="0"/>
    <n v="0"/>
    <n v="33"/>
    <n v="0"/>
    <n v="0"/>
    <n v="0"/>
    <n v="33"/>
    <n v="0"/>
    <n v="0"/>
    <n v="0"/>
    <n v="0"/>
    <n v="0"/>
    <n v="0"/>
    <n v="0"/>
    <n v="0"/>
    <n v="0"/>
    <m/>
    <m/>
    <m/>
    <m/>
    <m/>
    <m/>
    <m/>
    <m/>
    <s v="1"/>
    <s v="1"/>
    <s v="0"/>
    <s v="1"/>
    <s v="1"/>
    <m/>
    <m/>
    <m/>
    <m/>
    <m/>
    <m/>
    <m/>
    <m/>
    <m/>
    <m/>
    <m/>
    <m/>
    <m/>
    <m/>
  </r>
  <r>
    <n v="742"/>
    <d v="2025-02-03T00:00:00"/>
    <s v="ZBTO"/>
    <n v="9518490750"/>
    <n v="16"/>
    <s v="9518490750-16"/>
    <s v="May'25"/>
    <x v="0"/>
    <m/>
    <x v="1"/>
    <x v="2"/>
    <n v="2000"/>
    <m/>
    <x v="1"/>
    <m/>
    <m/>
    <s v="Orissa"/>
    <s v="East"/>
    <s v="TANGI"/>
    <s v="Sheet"/>
    <n v="117061"/>
    <x v="19"/>
    <n v="3240836"/>
    <s v="CRCA SHEET TSBCRC SR15 1X1000X2500"/>
    <s v=""/>
    <s v=""/>
    <m/>
    <m/>
    <s v="Narrow"/>
    <s v="C06"/>
    <s v="TSBCRC"/>
    <s v="SR15"/>
    <n v="1"/>
    <n v="1000"/>
    <n v="2500"/>
    <n v="75"/>
    <n v="20.545000000000002"/>
    <n v="54.454999999999998"/>
    <n v="-13.055"/>
    <n v="0"/>
    <n v="33.21"/>
    <n v="0"/>
    <n v="0"/>
    <n v="0"/>
    <n v="0"/>
    <n v="0"/>
    <n v="0"/>
    <n v="0"/>
    <n v="0"/>
    <n v="0"/>
    <n v="0"/>
    <n v="0"/>
    <n v="0"/>
    <n v="0"/>
    <n v="44.89"/>
    <n v="0"/>
    <n v="0"/>
    <n v="0"/>
    <n v="0"/>
    <n v="0"/>
    <n v="44.89"/>
    <n v="44.89"/>
    <n v="0"/>
    <n v="44.89"/>
    <n v="0"/>
    <n v="0"/>
    <n v="75"/>
    <n v="0"/>
    <n v="0"/>
    <n v="75"/>
    <n v="0"/>
    <n v="0"/>
    <n v="75"/>
    <n v="0"/>
    <n v="0"/>
    <n v="0"/>
    <n v="75"/>
    <n v="0"/>
    <n v="0"/>
    <n v="0"/>
    <n v="0"/>
    <n v="0"/>
    <n v="0"/>
    <n v="0"/>
    <n v="0"/>
    <n v="0"/>
    <m/>
    <m/>
    <m/>
    <m/>
    <m/>
    <m/>
    <m/>
    <m/>
    <s v="1"/>
    <s v="1"/>
    <s v="0"/>
    <s v="1"/>
    <s v="1"/>
    <m/>
    <m/>
    <m/>
    <m/>
    <m/>
    <m/>
    <m/>
    <m/>
    <m/>
    <m/>
    <m/>
    <m/>
    <m/>
    <m/>
  </r>
  <r>
    <n v="742"/>
    <d v="2025-02-14T00:00:00"/>
    <s v="ZBTO"/>
    <n v="9518519644"/>
    <n v="7"/>
    <s v="9518519644-7"/>
    <s v="Mar'25"/>
    <x v="0"/>
    <m/>
    <x v="1"/>
    <x v="2"/>
    <n v="2000"/>
    <m/>
    <x v="1"/>
    <m/>
    <m/>
    <s v="Bihar"/>
    <s v="East"/>
    <s v="PATNA"/>
    <s v="Sheet"/>
    <n v="103227"/>
    <x v="31"/>
    <n v="3239567"/>
    <s v="CRCA SHEET TATCRC SR16 0.450X1000X2500"/>
    <s v=""/>
    <s v=""/>
    <m/>
    <m/>
    <s v="Narrow"/>
    <s v="C06"/>
    <s v="TATCRC"/>
    <s v="SR16"/>
    <n v="0.45"/>
    <n v="1000"/>
    <n v="2500"/>
    <n v="51"/>
    <n v="0"/>
    <n v="51"/>
    <n v="28.655000000000001"/>
    <n v="28.66"/>
    <n v="30.13"/>
    <n v="0"/>
    <n v="0"/>
    <n v="0"/>
    <n v="0"/>
    <n v="0"/>
    <n v="0"/>
    <n v="0"/>
    <n v="0"/>
    <n v="0.21"/>
    <n v="0"/>
    <n v="0"/>
    <n v="0"/>
    <n v="0"/>
    <n v="22.13"/>
    <n v="0"/>
    <n v="0"/>
    <n v="0"/>
    <n v="0"/>
    <n v="0"/>
    <n v="22.34"/>
    <n v="22.34"/>
    <n v="0"/>
    <n v="22.34"/>
    <n v="0"/>
    <n v="0"/>
    <n v="51"/>
    <n v="0"/>
    <n v="0"/>
    <n v="0"/>
    <n v="0"/>
    <n v="51"/>
    <n v="0"/>
    <n v="0"/>
    <n v="0"/>
    <n v="0"/>
    <n v="0"/>
    <n v="0"/>
    <n v="51"/>
    <n v="0"/>
    <n v="0"/>
    <n v="0"/>
    <n v="0"/>
    <n v="0"/>
    <n v="0"/>
    <n v="0"/>
    <m/>
    <m/>
    <m/>
    <m/>
    <m/>
    <m/>
    <m/>
    <m/>
    <s v="1"/>
    <s v="1"/>
    <s v="1"/>
    <s v="1"/>
    <s v="0"/>
    <m/>
    <m/>
    <m/>
    <m/>
    <m/>
    <m/>
    <m/>
    <m/>
    <m/>
    <m/>
    <m/>
    <m/>
    <m/>
    <m/>
  </r>
  <r>
    <n v="742"/>
    <d v="2025-02-14T00:00:00"/>
    <s v="ZBTO"/>
    <n v="9518519644"/>
    <n v="9"/>
    <s v="9518519644-9"/>
    <s v="No Priority"/>
    <x v="0"/>
    <m/>
    <x v="1"/>
    <x v="2"/>
    <n v="2000"/>
    <m/>
    <x v="0"/>
    <m/>
    <m/>
    <s v="Bihar"/>
    <s v="East"/>
    <s v="PATNA"/>
    <s v="Sheet"/>
    <n v="103227"/>
    <x v="31"/>
    <n v="3239572"/>
    <s v="CRCA SHEET TATCRC SR16 0.480X1000X2500"/>
    <s v=""/>
    <s v=""/>
    <m/>
    <m/>
    <s v="Narrow"/>
    <s v="C06"/>
    <s v="TATCRC"/>
    <s v="SR16"/>
    <n v="0.48"/>
    <n v="1000"/>
    <n v="2500"/>
    <n v="24"/>
    <n v="0"/>
    <n v="24"/>
    <n v="-9.2100000000000009"/>
    <n v="0"/>
    <n v="3.74"/>
    <n v="0"/>
    <n v="0"/>
    <n v="0"/>
    <n v="0"/>
    <n v="0"/>
    <n v="0"/>
    <n v="0"/>
    <n v="0"/>
    <n v="0.22"/>
    <n v="0"/>
    <n v="0"/>
    <n v="0"/>
    <n v="0"/>
    <n v="0"/>
    <n v="0"/>
    <n v="0"/>
    <n v="0"/>
    <n v="0"/>
    <n v="0"/>
    <n v="0.22"/>
    <n v="0.22"/>
    <n v="0"/>
    <n v="0.22"/>
    <n v="0"/>
    <n v="0"/>
    <n v="24"/>
    <n v="0"/>
    <n v="0"/>
    <n v="0"/>
    <n v="0"/>
    <n v="24"/>
    <n v="0"/>
    <n v="0"/>
    <n v="0"/>
    <n v="0"/>
    <n v="0"/>
    <n v="0"/>
    <n v="24"/>
    <n v="0"/>
    <n v="0"/>
    <n v="0"/>
    <n v="0"/>
    <n v="0"/>
    <n v="0"/>
    <n v="0"/>
    <m/>
    <m/>
    <m/>
    <m/>
    <m/>
    <m/>
    <m/>
    <m/>
    <s v="1"/>
    <s v="1"/>
    <s v="1"/>
    <s v="1"/>
    <s v="0"/>
    <m/>
    <m/>
    <m/>
    <m/>
    <m/>
    <m/>
    <m/>
    <m/>
    <m/>
    <m/>
    <m/>
    <m/>
    <m/>
    <m/>
  </r>
  <r>
    <n v="742"/>
    <d v="2025-02-14T00:00:00"/>
    <s v="ZBTO"/>
    <n v="9518519644"/>
    <n v="11"/>
    <s v="9518519644-11"/>
    <s v="No Priority"/>
    <x v="0"/>
    <m/>
    <x v="1"/>
    <x v="2"/>
    <n v="2000"/>
    <m/>
    <x v="0"/>
    <m/>
    <s v="Exp BTF &lt;17MT"/>
    <s v="Bihar"/>
    <s v="East"/>
    <s v="PATNA"/>
    <s v="Sheet"/>
    <n v="103227"/>
    <x v="31"/>
    <n v="3240760"/>
    <s v="CRCA SHEET TSBCRC SR15 0.500X1000X2500"/>
    <s v=""/>
    <s v=""/>
    <m/>
    <m/>
    <s v="Narrow"/>
    <s v="C06"/>
    <s v="TSBCRC"/>
    <s v="SR15"/>
    <n v="0.5"/>
    <n v="1000"/>
    <n v="2500"/>
    <n v="24"/>
    <n v="20.175000000000001"/>
    <n v="3.8250000000000002"/>
    <n v="3.8250000000000002"/>
    <n v="3.8250000000000002"/>
    <n v="3.8250000000000002"/>
    <n v="0"/>
    <n v="0"/>
    <n v="0"/>
    <n v="0"/>
    <n v="0"/>
    <n v="0"/>
    <n v="0"/>
    <n v="0"/>
    <n v="0"/>
    <n v="0"/>
    <n v="0"/>
    <n v="0"/>
    <n v="0"/>
    <n v="0"/>
    <n v="0"/>
    <n v="0"/>
    <n v="0"/>
    <n v="0"/>
    <n v="0"/>
    <n v="0"/>
    <n v="0"/>
    <n v="0"/>
    <n v="0"/>
    <n v="0"/>
    <n v="0"/>
    <n v="24"/>
    <n v="0"/>
    <n v="24"/>
    <n v="0"/>
    <n v="0"/>
    <n v="0"/>
    <n v="24"/>
    <n v="0"/>
    <n v="0"/>
    <n v="24"/>
    <n v="0"/>
    <n v="0"/>
    <n v="0"/>
    <n v="20.175000000000001"/>
    <n v="0"/>
    <n v="20.175000000000001"/>
    <n v="0"/>
    <n v="0"/>
    <n v="0"/>
    <n v="0"/>
    <m/>
    <m/>
    <m/>
    <m/>
    <m/>
    <m/>
    <m/>
    <m/>
    <s v="1"/>
    <s v="0"/>
    <s v="1"/>
    <s v="1"/>
    <s v="1"/>
    <m/>
    <m/>
    <m/>
    <m/>
    <m/>
    <m/>
    <m/>
    <m/>
    <m/>
    <m/>
    <m/>
    <m/>
    <m/>
    <m/>
  </r>
  <r>
    <n v="742"/>
    <d v="2025-02-14T00:00:00"/>
    <s v="ZBTO"/>
    <n v="9518520213"/>
    <n v="7"/>
    <s v="9518520213-7"/>
    <s v="No Priority"/>
    <x v="0"/>
    <m/>
    <x v="1"/>
    <x v="2"/>
    <n v="2000"/>
    <m/>
    <x v="0"/>
    <m/>
    <s v="Exp BTF &lt;17MT"/>
    <s v="Bihar"/>
    <s v="East"/>
    <s v="PURNIA"/>
    <s v="Sheet"/>
    <n v="103227"/>
    <x v="31"/>
    <n v="3239567"/>
    <s v="CRCA SHEET TATCRC SR16 0.450X1000X2500"/>
    <s v=""/>
    <s v=""/>
    <m/>
    <m/>
    <s v="Narrow"/>
    <s v="C06"/>
    <s v="TATCRC"/>
    <s v="SR16"/>
    <n v="0.45"/>
    <n v="1000"/>
    <n v="2500"/>
    <n v="51"/>
    <n v="0"/>
    <n v="51"/>
    <n v="6.63"/>
    <n v="50.76"/>
    <n v="8.92"/>
    <n v="0"/>
    <n v="0"/>
    <n v="0"/>
    <n v="0"/>
    <n v="0"/>
    <n v="0"/>
    <n v="0"/>
    <n v="0"/>
    <n v="0"/>
    <n v="0"/>
    <n v="0"/>
    <n v="0"/>
    <n v="0"/>
    <n v="0"/>
    <n v="0"/>
    <n v="0.24"/>
    <n v="0"/>
    <n v="0"/>
    <n v="0"/>
    <n v="0.24"/>
    <n v="0.24"/>
    <n v="0"/>
    <n v="0.24"/>
    <n v="0"/>
    <n v="0"/>
    <n v="51"/>
    <n v="0"/>
    <n v="0"/>
    <n v="0"/>
    <n v="0"/>
    <n v="51"/>
    <n v="0"/>
    <n v="0"/>
    <n v="0"/>
    <n v="0"/>
    <n v="0"/>
    <n v="0"/>
    <n v="51"/>
    <n v="0"/>
    <n v="0"/>
    <n v="0"/>
    <n v="0"/>
    <n v="0"/>
    <n v="0"/>
    <n v="0"/>
    <m/>
    <m/>
    <m/>
    <m/>
    <m/>
    <m/>
    <m/>
    <m/>
    <s v="1"/>
    <s v="1"/>
    <s v="1"/>
    <s v="1"/>
    <s v="0"/>
    <m/>
    <m/>
    <m/>
    <m/>
    <m/>
    <m/>
    <m/>
    <m/>
    <m/>
    <m/>
    <m/>
    <m/>
    <m/>
    <m/>
  </r>
  <r>
    <n v="742"/>
    <d v="2025-02-14T00:00:00"/>
    <s v="ZBTO"/>
    <n v="9518520213"/>
    <n v="9"/>
    <s v="9518520213-9"/>
    <s v="May'25"/>
    <x v="0"/>
    <m/>
    <x v="1"/>
    <x v="2"/>
    <n v="2000"/>
    <m/>
    <x v="1"/>
    <m/>
    <m/>
    <s v="Bihar"/>
    <s v="East"/>
    <s v="PURNIA"/>
    <s v="Sheet"/>
    <n v="103227"/>
    <x v="31"/>
    <n v="3239572"/>
    <s v="CRCA SHEET TATCRC SR16 0.480X1000X2500"/>
    <s v=""/>
    <s v=""/>
    <m/>
    <m/>
    <s v="Narrow"/>
    <s v="C06"/>
    <s v="TATCRC"/>
    <s v="SR16"/>
    <n v="0.48"/>
    <n v="1000"/>
    <n v="2500"/>
    <n v="24"/>
    <n v="0"/>
    <n v="24"/>
    <n v="-8.4"/>
    <n v="0"/>
    <n v="24"/>
    <n v="0"/>
    <n v="0"/>
    <n v="0"/>
    <n v="0"/>
    <n v="0"/>
    <n v="0"/>
    <n v="0"/>
    <n v="0"/>
    <n v="0"/>
    <n v="0"/>
    <n v="0"/>
    <n v="0"/>
    <n v="0"/>
    <n v="0"/>
    <n v="0"/>
    <n v="0.22"/>
    <n v="0"/>
    <n v="20.595000000000002"/>
    <n v="0"/>
    <n v="20.815000000000001"/>
    <n v="20.815000000000001"/>
    <n v="0"/>
    <n v="20.815000000000001"/>
    <n v="0"/>
    <n v="0"/>
    <n v="24"/>
    <n v="0"/>
    <n v="0"/>
    <n v="0"/>
    <n v="0"/>
    <n v="24"/>
    <n v="0"/>
    <n v="0"/>
    <n v="0"/>
    <n v="0"/>
    <n v="0"/>
    <n v="0"/>
    <n v="24"/>
    <n v="0"/>
    <n v="0"/>
    <n v="0"/>
    <n v="0"/>
    <n v="0"/>
    <n v="0"/>
    <n v="0"/>
    <m/>
    <m/>
    <m/>
    <m/>
    <m/>
    <m/>
    <m/>
    <m/>
    <s v="1"/>
    <s v="1"/>
    <s v="1"/>
    <s v="1"/>
    <s v="0"/>
    <m/>
    <m/>
    <m/>
    <m/>
    <m/>
    <m/>
    <m/>
    <m/>
    <m/>
    <m/>
    <m/>
    <m/>
    <m/>
    <m/>
  </r>
  <r>
    <n v="743"/>
    <d v="2025-02-06T00:00:00"/>
    <s v="ZBTO"/>
    <n v="9518498761"/>
    <n v="3"/>
    <s v="9518498761-3"/>
    <s v="No Priority"/>
    <x v="0"/>
    <m/>
    <x v="3"/>
    <x v="9"/>
    <n v="2000"/>
    <m/>
    <x v="0"/>
    <m/>
    <s v="Exp BTF &lt;17MT"/>
    <s v="Jharkhand"/>
    <s v="East"/>
    <s v="BOKARO STEEL CY"/>
    <s v="Coil"/>
    <n v="121328"/>
    <x v="10"/>
    <n v="1191956"/>
    <s v="GP COIL SOFT-TATXGP-GK09-0.35X900"/>
    <n v="80"/>
    <s v=""/>
    <m/>
    <m/>
    <s v="Narrow"/>
    <s v="C02"/>
    <s v="TATXGP"/>
    <s v="GK09"/>
    <n v="0.35"/>
    <n v="900"/>
    <n v="0"/>
    <n v="105"/>
    <n v="0"/>
    <n v="105"/>
    <n v="4.4800000000000004"/>
    <n v="103.235"/>
    <n v="7.1150000000000002"/>
    <n v="0"/>
    <n v="0"/>
    <n v="0"/>
    <n v="0"/>
    <n v="0"/>
    <n v="0"/>
    <n v="1.7650000000000001"/>
    <n v="0"/>
    <n v="0"/>
    <n v="0"/>
    <n v="0"/>
    <n v="0"/>
    <n v="0"/>
    <n v="0"/>
    <n v="0"/>
    <n v="0"/>
    <n v="0"/>
    <n v="0"/>
    <n v="0"/>
    <n v="1.7650000000000001"/>
    <n v="1.7650000000000001"/>
    <n v="0"/>
    <n v="1.7650000000000001"/>
    <n v="0"/>
    <n v="0"/>
    <n v="105"/>
    <n v="0"/>
    <n v="0"/>
    <n v="0"/>
    <n v="105"/>
    <n v="0"/>
    <n v="0"/>
    <n v="0"/>
    <n v="0"/>
    <n v="0"/>
    <n v="0"/>
    <n v="0"/>
    <n v="105"/>
    <n v="0"/>
    <n v="0"/>
    <n v="0"/>
    <n v="0"/>
    <n v="0"/>
    <n v="0"/>
    <n v="0"/>
    <m/>
    <m/>
    <m/>
    <m/>
    <m/>
    <m/>
    <m/>
    <m/>
    <s v="1"/>
    <s v="1"/>
    <s v="1"/>
    <s v="0"/>
    <s v="1"/>
    <m/>
    <m/>
    <m/>
    <m/>
    <m/>
    <m/>
    <m/>
    <m/>
    <m/>
    <m/>
    <m/>
    <m/>
    <m/>
    <m/>
  </r>
  <r>
    <n v="743"/>
    <d v="2025-02-13T00:00:00"/>
    <s v="ZBTO"/>
    <n v="9518516069"/>
    <n v="1"/>
    <s v="9518516069-1"/>
    <s v="No Priority"/>
    <x v="0"/>
    <m/>
    <x v="3"/>
    <x v="9"/>
    <n v="2000"/>
    <m/>
    <x v="0"/>
    <m/>
    <s v="Exp BTF &lt;17MT"/>
    <s v="Uttar Pradesh"/>
    <s v="North"/>
    <s v="LONI"/>
    <s v="Coil"/>
    <n v="931235"/>
    <x v="32"/>
    <n v="1191956"/>
    <s v="GP COIL SOFT-TATXGP-GK09-0.35X900"/>
    <n v="80"/>
    <s v=""/>
    <m/>
    <m/>
    <s v="Narrow"/>
    <s v="C02"/>
    <s v="TATXGP"/>
    <s v="GK09"/>
    <n v="0.35"/>
    <n v="900"/>
    <n v="0"/>
    <n v="105"/>
    <n v="91.49"/>
    <n v="13.51"/>
    <n v="8.92"/>
    <n v="13.51"/>
    <n v="8.92"/>
    <n v="0"/>
    <n v="0"/>
    <n v="0"/>
    <n v="0"/>
    <n v="0"/>
    <n v="0"/>
    <n v="0"/>
    <n v="0"/>
    <n v="0"/>
    <n v="0"/>
    <n v="0"/>
    <n v="0"/>
    <n v="0"/>
    <n v="0"/>
    <n v="0"/>
    <n v="0"/>
    <n v="0"/>
    <n v="0"/>
    <n v="0"/>
    <n v="0"/>
    <n v="0"/>
    <n v="0"/>
    <n v="0"/>
    <n v="0"/>
    <n v="52.365000000000002"/>
    <n v="77.150000000000006"/>
    <n v="77.150000000000006"/>
    <n v="0"/>
    <n v="0"/>
    <n v="0"/>
    <n v="0"/>
    <n v="129.51500000000001"/>
    <n v="0"/>
    <n v="129.51500000000001"/>
    <n v="0"/>
    <n v="0"/>
    <n v="0"/>
    <n v="0"/>
    <n v="91.49"/>
    <n v="77.150000000000006"/>
    <n v="0"/>
    <n v="0"/>
    <n v="0"/>
    <n v="0"/>
    <n v="14.339999999999989"/>
    <m/>
    <m/>
    <m/>
    <m/>
    <m/>
    <m/>
    <m/>
    <m/>
    <s v="1"/>
    <s v="1"/>
    <s v="1"/>
    <s v="1"/>
    <s v="1"/>
    <m/>
    <m/>
    <m/>
    <m/>
    <m/>
    <m/>
    <m/>
    <m/>
    <m/>
    <m/>
    <m/>
    <m/>
    <m/>
    <m/>
  </r>
  <r>
    <n v="743"/>
    <d v="2025-02-10T00:00:00"/>
    <s v="ZBTO"/>
    <n v="9518508377"/>
    <n v="8"/>
    <s v="9518508377-8"/>
    <s v="No Priority"/>
    <x v="0"/>
    <m/>
    <x v="3"/>
    <x v="9"/>
    <n v="2000"/>
    <m/>
    <x v="0"/>
    <m/>
    <s v="Exp BTF &lt;17MT"/>
    <s v="Jharkhand"/>
    <s v="East"/>
    <s v="WEST BOKARO"/>
    <s v="Coil"/>
    <n v="185794"/>
    <x v="12"/>
    <n v="1178439"/>
    <s v="GP COIL SOFT-TATXGP-GK09-0.4X900"/>
    <n v="80"/>
    <s v=""/>
    <m/>
    <m/>
    <s v="Narrow"/>
    <s v="C02"/>
    <s v="TATXGP"/>
    <s v="GK09"/>
    <n v="0.4"/>
    <n v="900"/>
    <n v="0"/>
    <n v="105"/>
    <n v="56.5"/>
    <n v="48.5"/>
    <n v="5.7"/>
    <n v="39.24"/>
    <n v="14.145"/>
    <n v="0"/>
    <n v="0"/>
    <n v="0"/>
    <n v="0"/>
    <n v="0"/>
    <n v="0"/>
    <n v="0"/>
    <n v="0"/>
    <n v="0"/>
    <n v="0"/>
    <n v="0"/>
    <n v="0"/>
    <n v="0"/>
    <n v="0"/>
    <n v="0"/>
    <n v="0"/>
    <n v="0"/>
    <n v="0"/>
    <n v="9.26"/>
    <n v="9.26"/>
    <n v="9.26"/>
    <n v="0"/>
    <n v="9.26"/>
    <n v="0"/>
    <n v="0"/>
    <n v="105"/>
    <n v="0"/>
    <n v="0"/>
    <n v="0"/>
    <n v="105"/>
    <n v="0"/>
    <n v="105"/>
    <n v="0"/>
    <n v="0"/>
    <n v="0"/>
    <n v="105"/>
    <n v="0"/>
    <n v="0"/>
    <n v="0"/>
    <n v="0"/>
    <n v="0"/>
    <n v="0"/>
    <n v="0"/>
    <n v="0"/>
    <n v="0"/>
    <m/>
    <m/>
    <m/>
    <m/>
    <m/>
    <m/>
    <m/>
    <m/>
    <s v="1"/>
    <s v="1"/>
    <s v="1"/>
    <s v="0"/>
    <s v="1"/>
    <m/>
    <m/>
    <m/>
    <m/>
    <m/>
    <m/>
    <m/>
    <m/>
    <m/>
    <m/>
    <m/>
    <m/>
    <m/>
    <m/>
  </r>
  <r>
    <n v="742"/>
    <d v="2025-02-10T00:00:00"/>
    <s v="ZBTO"/>
    <n v="9518506961"/>
    <n v="1"/>
    <s v="9518506961-1"/>
    <s v="No Priority"/>
    <x v="0"/>
    <m/>
    <x v="1"/>
    <x v="1"/>
    <n v="2000"/>
    <m/>
    <x v="0"/>
    <m/>
    <m/>
    <s v="Haryana"/>
    <s v="North"/>
    <s v="FARIDABAD"/>
    <s v="Coil"/>
    <n v="831432"/>
    <x v="33"/>
    <n v="1804908"/>
    <s v="CRCA COIL TATCRC TR15 0.5X1250"/>
    <s v=""/>
    <s v=""/>
    <m/>
    <m/>
    <s v="Wider"/>
    <s v="C01"/>
    <s v="TATCRC"/>
    <s v="TR15"/>
    <n v="0.5"/>
    <n v="1250"/>
    <n v="0"/>
    <n v="261"/>
    <n v="238.05500000000001"/>
    <n v="22.945"/>
    <n v="-3.7"/>
    <n v="0"/>
    <n v="1.56"/>
    <n v="0"/>
    <n v="0"/>
    <n v="0"/>
    <n v="0"/>
    <n v="0"/>
    <n v="0"/>
    <n v="0"/>
    <n v="0"/>
    <n v="0"/>
    <n v="0"/>
    <n v="0"/>
    <n v="0"/>
    <n v="0"/>
    <n v="0"/>
    <n v="0"/>
    <n v="0"/>
    <n v="0"/>
    <n v="0"/>
    <n v="0"/>
    <n v="0"/>
    <n v="0"/>
    <n v="0"/>
    <n v="0"/>
    <n v="0"/>
    <n v="0"/>
    <n v="261"/>
    <n v="0"/>
    <n v="261"/>
    <n v="0"/>
    <n v="0"/>
    <n v="0"/>
    <n v="261"/>
    <n v="0"/>
    <n v="0"/>
    <n v="261"/>
    <n v="0"/>
    <n v="0"/>
    <n v="0"/>
    <n v="212.10999999999999"/>
    <n v="0"/>
    <n v="212.10999999999999"/>
    <n v="0"/>
    <n v="0"/>
    <n v="0"/>
    <n v="0"/>
    <m/>
    <m/>
    <m/>
    <m/>
    <m/>
    <m/>
    <m/>
    <m/>
    <s v="1"/>
    <s v="0"/>
    <s v="1"/>
    <s v="1"/>
    <s v="1"/>
    <m/>
    <m/>
    <m/>
    <m/>
    <m/>
    <m/>
    <m/>
    <m/>
    <m/>
    <m/>
    <m/>
    <m/>
    <m/>
    <m/>
  </r>
  <r>
    <n v="742"/>
    <d v="2025-02-10T00:00:00"/>
    <s v="ZBTO"/>
    <n v="9518506961"/>
    <n v="3"/>
    <s v="9518506961-3"/>
    <s v="No Priority"/>
    <x v="0"/>
    <m/>
    <x v="1"/>
    <x v="1"/>
    <n v="2000"/>
    <m/>
    <x v="0"/>
    <m/>
    <m/>
    <s v="Haryana"/>
    <s v="North"/>
    <s v="FARIDABAD"/>
    <s v="Coil"/>
    <n v="831432"/>
    <x v="33"/>
    <n v="1804908"/>
    <s v="CRCA COIL TATCRC TR15 0.5X1250"/>
    <s v=""/>
    <s v=""/>
    <m/>
    <m/>
    <s v="Wider"/>
    <s v="C01"/>
    <s v="TATCRC"/>
    <s v="TR15"/>
    <n v="0.5"/>
    <n v="1250"/>
    <n v="0"/>
    <n v="261"/>
    <n v="232.95500000000001"/>
    <n v="28.045000000000002"/>
    <n v="0.53500000000000003"/>
    <n v="0"/>
    <n v="2.5150000000000001"/>
    <n v="0"/>
    <n v="0"/>
    <n v="0"/>
    <n v="0"/>
    <n v="0"/>
    <n v="0"/>
    <n v="0"/>
    <n v="0"/>
    <n v="0"/>
    <n v="0"/>
    <n v="0"/>
    <n v="0"/>
    <n v="0"/>
    <n v="0"/>
    <n v="0"/>
    <n v="0"/>
    <n v="0"/>
    <n v="0"/>
    <n v="0"/>
    <n v="0"/>
    <n v="0"/>
    <n v="0"/>
    <n v="0"/>
    <n v="0"/>
    <n v="0"/>
    <n v="261"/>
    <n v="0"/>
    <n v="0"/>
    <n v="261"/>
    <n v="0"/>
    <n v="0"/>
    <n v="261"/>
    <n v="0"/>
    <n v="0"/>
    <n v="0"/>
    <n v="261"/>
    <n v="0"/>
    <n v="0"/>
    <n v="0"/>
    <n v="0"/>
    <n v="0"/>
    <n v="0"/>
    <n v="0"/>
    <n v="0"/>
    <n v="0"/>
    <m/>
    <m/>
    <m/>
    <m/>
    <m/>
    <m/>
    <m/>
    <m/>
    <s v="1"/>
    <s v="1"/>
    <s v="0"/>
    <s v="1"/>
    <s v="1"/>
    <m/>
    <m/>
    <m/>
    <m/>
    <m/>
    <m/>
    <m/>
    <m/>
    <m/>
    <m/>
    <m/>
    <m/>
    <m/>
    <m/>
  </r>
  <r>
    <n v="742"/>
    <d v="2025-02-10T00:00:00"/>
    <s v="ZBTO"/>
    <n v="9518506961"/>
    <n v="4"/>
    <s v="9518506961-4"/>
    <s v="No Priority"/>
    <x v="0"/>
    <m/>
    <x v="1"/>
    <x v="1"/>
    <n v="2000"/>
    <m/>
    <x v="0"/>
    <m/>
    <m/>
    <s v="Haryana"/>
    <s v="North"/>
    <s v="FARIDABAD"/>
    <s v="Coil"/>
    <n v="831432"/>
    <x v="33"/>
    <n v="1804908"/>
    <s v="CRCA COIL TATCRC TR15 0.5X1250"/>
    <s v=""/>
    <s v=""/>
    <m/>
    <m/>
    <s v="Wider"/>
    <s v="C01"/>
    <s v="TATCRC"/>
    <s v="TR15"/>
    <n v="0.5"/>
    <n v="1250"/>
    <n v="0"/>
    <n v="261"/>
    <n v="231.86500000000001"/>
    <n v="29.135000000000002"/>
    <n v="1.7649999999999999"/>
    <n v="0"/>
    <n v="3.19"/>
    <n v="0"/>
    <n v="0"/>
    <n v="0"/>
    <n v="0"/>
    <n v="0"/>
    <n v="0"/>
    <n v="0"/>
    <n v="0"/>
    <n v="0"/>
    <n v="0"/>
    <n v="0"/>
    <n v="0"/>
    <n v="0"/>
    <n v="0"/>
    <n v="0"/>
    <n v="0"/>
    <n v="0"/>
    <n v="0"/>
    <n v="0"/>
    <n v="0"/>
    <n v="0"/>
    <n v="0"/>
    <n v="0"/>
    <n v="0"/>
    <n v="0"/>
    <n v="261"/>
    <n v="0"/>
    <n v="0"/>
    <n v="0"/>
    <n v="261"/>
    <n v="0"/>
    <n v="261"/>
    <n v="0"/>
    <n v="0"/>
    <n v="0"/>
    <n v="0"/>
    <n v="261"/>
    <n v="0"/>
    <n v="0"/>
    <n v="0"/>
    <n v="0"/>
    <n v="0"/>
    <n v="0"/>
    <n v="0"/>
    <n v="0"/>
    <m/>
    <m/>
    <m/>
    <m/>
    <m/>
    <m/>
    <m/>
    <m/>
    <s v="1"/>
    <s v="1"/>
    <s v="1"/>
    <s v="0"/>
    <s v="1"/>
    <m/>
    <m/>
    <m/>
    <m/>
    <m/>
    <m/>
    <m/>
    <m/>
    <m/>
    <m/>
    <m/>
    <m/>
    <m/>
    <m/>
  </r>
  <r>
    <n v="742"/>
    <d v="2025-02-05T00:00:00"/>
    <s v="ZBTO"/>
    <n v="9518495920"/>
    <n v="9"/>
    <s v="9518495920-9"/>
    <s v="No Priority"/>
    <x v="0"/>
    <m/>
    <x v="1"/>
    <x v="2"/>
    <n v="2000"/>
    <m/>
    <x v="0"/>
    <m/>
    <s v="Exp BTF &lt;17MT"/>
    <s v="Uttar Pradesh"/>
    <s v="North"/>
    <s v="VARANASI"/>
    <s v="Sheet"/>
    <n v="931525"/>
    <x v="2"/>
    <n v="3409561"/>
    <s v="CRCA SHEET TSBCRC SR15 0.600X1000X1930"/>
    <s v=""/>
    <s v=""/>
    <m/>
    <m/>
    <s v="Narrow"/>
    <s v="C06"/>
    <s v="TSBCRC"/>
    <s v="SR15"/>
    <n v="0.6"/>
    <n v="1000"/>
    <n v="1930"/>
    <n v="27"/>
    <n v="20.22"/>
    <n v="6.78"/>
    <n v="6.78"/>
    <n v="6.78"/>
    <n v="6.78"/>
    <n v="0"/>
    <n v="0"/>
    <n v="0"/>
    <n v="0"/>
    <n v="0"/>
    <n v="0"/>
    <n v="0"/>
    <n v="0"/>
    <n v="0"/>
    <n v="0"/>
    <n v="0"/>
    <n v="0"/>
    <n v="0"/>
    <n v="0"/>
    <n v="0"/>
    <n v="0"/>
    <n v="0"/>
    <n v="0"/>
    <n v="0"/>
    <n v="0"/>
    <n v="0"/>
    <n v="0"/>
    <n v="0"/>
    <n v="0"/>
    <n v="0"/>
    <n v="27"/>
    <n v="0"/>
    <n v="27"/>
    <n v="0"/>
    <n v="0"/>
    <n v="0"/>
    <n v="27"/>
    <n v="0"/>
    <n v="0"/>
    <n v="27"/>
    <n v="0"/>
    <n v="0"/>
    <n v="0"/>
    <n v="20.22"/>
    <n v="0"/>
    <n v="20.22"/>
    <n v="0"/>
    <n v="0"/>
    <n v="0"/>
    <n v="0"/>
    <m/>
    <m/>
    <m/>
    <m/>
    <m/>
    <m/>
    <m/>
    <m/>
    <s v="1"/>
    <s v="0"/>
    <s v="1"/>
    <s v="1"/>
    <s v="1"/>
    <m/>
    <m/>
    <m/>
    <m/>
    <m/>
    <m/>
    <m/>
    <m/>
    <m/>
    <m/>
    <m/>
    <m/>
    <m/>
    <m/>
  </r>
  <r>
    <n v="742"/>
    <d v="2025-01-22T00:00:00"/>
    <s v="ZBTO"/>
    <n v="9518451356"/>
    <n v="11"/>
    <s v="9518451356-11"/>
    <s v="No Priority"/>
    <x v="0"/>
    <m/>
    <x v="1"/>
    <x v="11"/>
    <s v="2000-BPRS"/>
    <m/>
    <x v="0"/>
    <m/>
    <m/>
    <s v="Karnataka"/>
    <s v="South"/>
    <s v="YESHWANTHPURA"/>
    <s v="Coil"/>
    <n v="932244"/>
    <x v="34"/>
    <n v="2420521"/>
    <s v="CRCA COIL TATXXD AH03 1.200X1250"/>
    <s v=" "/>
    <s v=""/>
    <n v="2"/>
    <n v="26"/>
    <s v="Wider"/>
    <s v="C01"/>
    <s v="TATXXD"/>
    <s v="AH03"/>
    <n v="1.2"/>
    <n v="1250"/>
    <n v="0"/>
    <n v="145"/>
    <n v="119.47499999999999"/>
    <n v="25.524999999999999"/>
    <n v="25.524999999999999"/>
    <n v="25.524999999999999"/>
    <n v="0"/>
    <n v="0"/>
    <n v="0"/>
    <n v="0"/>
    <n v="0"/>
    <n v="0"/>
    <n v="0"/>
    <n v="0"/>
    <n v="0"/>
    <n v="0"/>
    <n v="0"/>
    <n v="0"/>
    <n v="0"/>
    <n v="0"/>
    <n v="0"/>
    <n v="0"/>
    <n v="0"/>
    <n v="0"/>
    <n v="0"/>
    <n v="0"/>
    <n v="0"/>
    <n v="0"/>
    <n v="0"/>
    <n v="0"/>
    <n v="0"/>
    <n v="0"/>
    <n v="25.524999999999999"/>
    <n v="0"/>
    <n v="0"/>
    <n v="0"/>
    <n v="0"/>
    <n v="25.524999999999999"/>
    <n v="0"/>
    <n v="0"/>
    <n v="0"/>
    <n v="0"/>
    <n v="0"/>
    <n v="0"/>
    <n v="25.524999999999999"/>
    <n v="0"/>
    <n v="0"/>
    <n v="0"/>
    <n v="0"/>
    <n v="0"/>
    <n v="0"/>
    <n v="0"/>
    <m/>
    <m/>
    <m/>
    <m/>
    <m/>
    <m/>
    <m/>
    <m/>
    <s v="1"/>
    <s v="1"/>
    <s v="1"/>
    <s v="1"/>
    <s v="0"/>
    <m/>
    <m/>
    <m/>
    <m/>
    <m/>
    <m/>
    <m/>
    <m/>
    <m/>
    <m/>
    <m/>
    <m/>
    <m/>
    <m/>
  </r>
  <r>
    <n v="742"/>
    <d v="2025-02-11T00:00:00"/>
    <s v="ZBTO"/>
    <n v="9518510371"/>
    <n v="5"/>
    <s v="9518510371-5"/>
    <s v="No Priority"/>
    <x v="0"/>
    <m/>
    <x v="1"/>
    <x v="1"/>
    <n v="2000"/>
    <m/>
    <x v="0"/>
    <m/>
    <m/>
    <s v="Uttar Pradesh"/>
    <s v="North"/>
    <s v="GORAKHPUR"/>
    <s v="Sheet"/>
    <n v="115841"/>
    <x v="7"/>
    <n v="322575"/>
    <s v="CRCA SHEET TATCRC TR15 .7X1250X2500"/>
    <s v=""/>
    <s v=""/>
    <m/>
    <m/>
    <s v="Wider"/>
    <s v="C06"/>
    <s v="TATCRC"/>
    <s v="TR15"/>
    <n v="0.7"/>
    <n v="1250"/>
    <n v="2500"/>
    <n v="39"/>
    <n v="26.484999999999999"/>
    <n v="12.515000000000001"/>
    <n v="12.515000000000001"/>
    <n v="12.515000000000001"/>
    <n v="12.515000000000001"/>
    <n v="0"/>
    <n v="0"/>
    <n v="0"/>
    <n v="0"/>
    <n v="0"/>
    <n v="0"/>
    <n v="0"/>
    <n v="0"/>
    <n v="0"/>
    <n v="0"/>
    <n v="0"/>
    <n v="0"/>
    <n v="0"/>
    <n v="0"/>
    <n v="0"/>
    <n v="0"/>
    <n v="0"/>
    <n v="0"/>
    <n v="0"/>
    <n v="0"/>
    <n v="0"/>
    <n v="0"/>
    <n v="0"/>
    <n v="0"/>
    <n v="0"/>
    <n v="39"/>
    <n v="0"/>
    <n v="39"/>
    <n v="0"/>
    <n v="0"/>
    <n v="0"/>
    <n v="39"/>
    <n v="0"/>
    <n v="0"/>
    <n v="39"/>
    <n v="0"/>
    <n v="0"/>
    <n v="0"/>
    <n v="26.485000000000003"/>
    <n v="0"/>
    <n v="26.485000000000003"/>
    <n v="0"/>
    <n v="0"/>
    <n v="0"/>
    <n v="0"/>
    <m/>
    <m/>
    <m/>
    <m/>
    <m/>
    <m/>
    <m/>
    <m/>
    <s v="1"/>
    <s v="0"/>
    <s v="1"/>
    <s v="1"/>
    <s v="1"/>
    <m/>
    <m/>
    <m/>
    <m/>
    <m/>
    <m/>
    <m/>
    <m/>
    <m/>
    <m/>
    <m/>
    <m/>
    <m/>
    <m/>
  </r>
  <r>
    <n v="742"/>
    <d v="2025-02-09T00:00:00"/>
    <s v="ZBTO"/>
    <n v="9518505599"/>
    <n v="4"/>
    <s v="9518505599-4"/>
    <s v="No Priority"/>
    <x v="0"/>
    <m/>
    <x v="1"/>
    <x v="1"/>
    <s v="2000-BPRS"/>
    <m/>
    <x v="0"/>
    <m/>
    <s v="De-prioritized due to narrow HR unavailability"/>
    <s v="Telangana"/>
    <s v="South"/>
    <s v="PATTANCHERY"/>
    <s v="Coil"/>
    <n v="939422"/>
    <x v="35"/>
    <n v="215066"/>
    <s v="CRSHEET-ICF  DQ TATXXD AU03 0.90 X 1220"/>
    <s v=" "/>
    <s v=""/>
    <n v="18"/>
    <n v="30"/>
    <s v="Wider"/>
    <s v="C01"/>
    <s v="TATXXD"/>
    <s v="AU03"/>
    <n v="0.9"/>
    <n v="1220"/>
    <n v="0"/>
    <n v="56"/>
    <n v="20.79"/>
    <n v="35.21"/>
    <n v="35.21"/>
    <n v="35.21"/>
    <n v="35.21"/>
    <n v="0"/>
    <n v="0"/>
    <n v="0"/>
    <n v="0"/>
    <n v="0"/>
    <n v="0"/>
    <n v="0"/>
    <n v="0"/>
    <n v="0"/>
    <n v="0"/>
    <n v="0"/>
    <n v="0"/>
    <n v="0"/>
    <n v="0"/>
    <n v="0"/>
    <n v="0"/>
    <n v="0"/>
    <n v="0"/>
    <n v="0"/>
    <n v="0"/>
    <n v="0"/>
    <n v="0"/>
    <n v="0"/>
    <n v="0"/>
    <n v="0"/>
    <n v="35.21"/>
    <n v="0"/>
    <n v="0"/>
    <n v="0"/>
    <n v="0"/>
    <n v="35.21"/>
    <n v="0"/>
    <n v="0"/>
    <n v="0"/>
    <n v="0"/>
    <n v="0"/>
    <n v="0"/>
    <n v="35.21"/>
    <n v="0"/>
    <n v="0"/>
    <n v="0"/>
    <n v="0"/>
    <n v="0"/>
    <n v="0"/>
    <n v="0"/>
    <m/>
    <m/>
    <m/>
    <m/>
    <m/>
    <m/>
    <m/>
    <m/>
    <s v="1"/>
    <s v="1"/>
    <s v="1"/>
    <s v="1"/>
    <s v="0"/>
    <m/>
    <m/>
    <m/>
    <m/>
    <m/>
    <m/>
    <m/>
    <m/>
    <m/>
    <m/>
    <m/>
    <m/>
    <m/>
    <m/>
  </r>
  <r>
    <n v="742"/>
    <d v="2025-01-03T00:00:00"/>
    <s v="ZBTO"/>
    <n v="9518403237"/>
    <n v="6"/>
    <s v="9518403237-6"/>
    <s v="No Priority"/>
    <x v="0"/>
    <m/>
    <x v="1"/>
    <x v="2"/>
    <n v="2000"/>
    <m/>
    <x v="0"/>
    <m/>
    <m/>
    <s v="Jharkhand"/>
    <s v="East"/>
    <s v="BOKARO STEEL CY"/>
    <s v="Sheet"/>
    <n v="121328"/>
    <x v="10"/>
    <n v="3152199"/>
    <s v="CRCA SHEET TATCRC SR16 0.430X1000X2500"/>
    <s v=""/>
    <s v=""/>
    <m/>
    <m/>
    <s v="Narrow"/>
    <s v="C06"/>
    <s v="TATCRC"/>
    <s v="SR16"/>
    <n v="0.43"/>
    <n v="1000"/>
    <n v="2500"/>
    <n v="23"/>
    <n v="0"/>
    <n v="23"/>
    <n v="0.25"/>
    <n v="0"/>
    <n v="0"/>
    <n v="0"/>
    <n v="0"/>
    <n v="0"/>
    <n v="0"/>
    <n v="0"/>
    <n v="0"/>
    <n v="0"/>
    <n v="0"/>
    <n v="0"/>
    <n v="0"/>
    <n v="0"/>
    <n v="0"/>
    <n v="0"/>
    <n v="0"/>
    <n v="0"/>
    <n v="0"/>
    <n v="0"/>
    <n v="0"/>
    <n v="0"/>
    <n v="0"/>
    <n v="0"/>
    <n v="0"/>
    <n v="0"/>
    <n v="0"/>
    <n v="0"/>
    <n v="23"/>
    <n v="0"/>
    <n v="0"/>
    <n v="23"/>
    <n v="0"/>
    <n v="0"/>
    <n v="23"/>
    <n v="0"/>
    <n v="0"/>
    <n v="0"/>
    <n v="23"/>
    <n v="0"/>
    <n v="0"/>
    <n v="0"/>
    <n v="0"/>
    <n v="0"/>
    <n v="0"/>
    <n v="0"/>
    <n v="0"/>
    <n v="0"/>
    <m/>
    <m/>
    <m/>
    <m/>
    <m/>
    <m/>
    <m/>
    <m/>
    <s v="1"/>
    <s v="1"/>
    <s v="0"/>
    <s v="1"/>
    <s v="1"/>
    <m/>
    <m/>
    <m/>
    <m/>
    <m/>
    <m/>
    <m/>
    <m/>
    <m/>
    <m/>
    <m/>
    <m/>
    <m/>
    <m/>
  </r>
  <r>
    <n v="742"/>
    <d v="2025-02-06T00:00:00"/>
    <s v="ZBTO"/>
    <n v="9518499138"/>
    <n v="7"/>
    <s v="9518499138-7"/>
    <s v="May'25"/>
    <x v="0"/>
    <m/>
    <x v="1"/>
    <x v="2"/>
    <n v="2000"/>
    <m/>
    <x v="1"/>
    <m/>
    <m/>
    <s v="Jharkhand"/>
    <s v="East"/>
    <s v="BOKARO STEEL CY"/>
    <s v="Sheet"/>
    <n v="121328"/>
    <x v="10"/>
    <n v="3152199"/>
    <s v="CRCA SHEET TATCRC SR16 0.430X1000X2500"/>
    <s v=""/>
    <s v=""/>
    <m/>
    <m/>
    <s v="Narrow"/>
    <s v="C06"/>
    <s v="TATCRC"/>
    <s v="SR16"/>
    <n v="0.43"/>
    <n v="1000"/>
    <n v="2500"/>
    <n v="60"/>
    <n v="0"/>
    <n v="60"/>
    <n v="-6.94"/>
    <n v="0"/>
    <n v="39.590000000000003"/>
    <n v="0"/>
    <n v="0"/>
    <n v="0"/>
    <n v="0"/>
    <n v="0"/>
    <n v="0"/>
    <n v="0"/>
    <n v="0"/>
    <n v="0"/>
    <n v="0"/>
    <n v="0"/>
    <n v="0"/>
    <n v="0"/>
    <n v="0"/>
    <n v="43.88"/>
    <n v="0"/>
    <n v="0"/>
    <n v="0"/>
    <n v="0"/>
    <n v="43.88"/>
    <n v="43.88"/>
    <n v="0"/>
    <n v="43.88"/>
    <n v="0"/>
    <n v="0"/>
    <n v="60"/>
    <n v="0"/>
    <n v="0"/>
    <n v="60"/>
    <n v="0"/>
    <n v="0"/>
    <n v="60"/>
    <n v="0"/>
    <n v="0"/>
    <n v="0"/>
    <n v="60"/>
    <n v="0"/>
    <n v="0"/>
    <n v="0"/>
    <n v="0"/>
    <n v="0"/>
    <n v="0"/>
    <n v="0"/>
    <n v="0"/>
    <n v="0"/>
    <m/>
    <m/>
    <m/>
    <m/>
    <m/>
    <m/>
    <m/>
    <m/>
    <s v="1"/>
    <s v="1"/>
    <s v="0"/>
    <s v="1"/>
    <s v="1"/>
    <m/>
    <m/>
    <m/>
    <m/>
    <m/>
    <m/>
    <m/>
    <m/>
    <m/>
    <m/>
    <m/>
    <m/>
    <m/>
    <m/>
  </r>
  <r>
    <n v="743"/>
    <d v="2025-02-14T00:00:00"/>
    <s v="ZBTO"/>
    <n v="9518519620"/>
    <n v="5"/>
    <s v="9518519620-5"/>
    <s v="No Priority"/>
    <x v="0"/>
    <m/>
    <x v="3"/>
    <x v="9"/>
    <n v="2000"/>
    <m/>
    <x v="0"/>
    <m/>
    <m/>
    <s v="Bihar"/>
    <s v="East"/>
    <s v="PATNA"/>
    <s v="Coil"/>
    <n v="103227"/>
    <x v="31"/>
    <n v="1854424"/>
    <s v="GP COIL SOFT-TATXGP-GK09-0.6X900"/>
    <n v="80"/>
    <s v=""/>
    <m/>
    <m/>
    <s v="Narrow"/>
    <s v="C02"/>
    <s v="TATXGP"/>
    <s v="GK09"/>
    <n v="0.6"/>
    <n v="900"/>
    <n v="0"/>
    <n v="210"/>
    <n v="0"/>
    <n v="210"/>
    <n v="210"/>
    <n v="0"/>
    <n v="16.295000000000002"/>
    <n v="0"/>
    <n v="0"/>
    <n v="0"/>
    <n v="0"/>
    <n v="0"/>
    <n v="0"/>
    <n v="0.99"/>
    <n v="0"/>
    <n v="0"/>
    <n v="0"/>
    <n v="0"/>
    <n v="0"/>
    <n v="0"/>
    <n v="0"/>
    <n v="0"/>
    <n v="0"/>
    <n v="0"/>
    <n v="0"/>
    <n v="0"/>
    <n v="0.99"/>
    <n v="0.99"/>
    <n v="210"/>
    <n v="210.99"/>
    <n v="0"/>
    <n v="0"/>
    <n v="210"/>
    <n v="0"/>
    <n v="0"/>
    <n v="0"/>
    <n v="0"/>
    <n v="210"/>
    <n v="0"/>
    <n v="0"/>
    <n v="0"/>
    <n v="0"/>
    <n v="0"/>
    <n v="0"/>
    <n v="210"/>
    <n v="0"/>
    <n v="0"/>
    <n v="0"/>
    <n v="0"/>
    <n v="0"/>
    <n v="0"/>
    <n v="0"/>
    <m/>
    <m/>
    <m/>
    <m/>
    <m/>
    <m/>
    <m/>
    <m/>
    <s v="1"/>
    <s v="1"/>
    <s v="1"/>
    <s v="1"/>
    <s v="0"/>
    <m/>
    <m/>
    <m/>
    <m/>
    <m/>
    <m/>
    <m/>
    <m/>
    <m/>
    <m/>
    <m/>
    <m/>
    <m/>
    <m/>
  </r>
  <r>
    <n v="743"/>
    <d v="2025-01-13T00:00:00"/>
    <s v="ZBTO"/>
    <n v="9518424820"/>
    <n v="7"/>
    <s v="9518424820-7"/>
    <s v="No Priority"/>
    <x v="0"/>
    <m/>
    <x v="3"/>
    <x v="9"/>
    <n v="2000"/>
    <m/>
    <x v="0"/>
    <m/>
    <m/>
    <s v="West Bengal"/>
    <s v="East"/>
    <s v="KOLKATA"/>
    <s v="Coil"/>
    <n v="100922"/>
    <x v="36"/>
    <n v="3215894"/>
    <s v="GP COIL SOFT-TATXGP-GLK1-0.6X900"/>
    <s v=""/>
    <s v=""/>
    <m/>
    <m/>
    <s v="Narrow"/>
    <s v="C02"/>
    <s v="TATXGP"/>
    <s v="GLK1"/>
    <n v="0.6"/>
    <n v="900"/>
    <n v="0"/>
    <n v="105"/>
    <n v="15.17"/>
    <n v="89.83"/>
    <n v="2.9249999999999998"/>
    <n v="89.83"/>
    <n v="0"/>
    <n v="0"/>
    <n v="0"/>
    <n v="0"/>
    <n v="0"/>
    <n v="0"/>
    <n v="0"/>
    <n v="0"/>
    <n v="0"/>
    <n v="0"/>
    <n v="0"/>
    <n v="0"/>
    <n v="0"/>
    <n v="0"/>
    <n v="0"/>
    <n v="0"/>
    <n v="0"/>
    <n v="0"/>
    <n v="0"/>
    <n v="0"/>
    <n v="0"/>
    <n v="0"/>
    <n v="0"/>
    <n v="0"/>
    <n v="0"/>
    <n v="0"/>
    <n v="105"/>
    <n v="0"/>
    <n v="0"/>
    <n v="0"/>
    <n v="105"/>
    <n v="0"/>
    <n v="105"/>
    <n v="0"/>
    <n v="0"/>
    <n v="0"/>
    <n v="105"/>
    <n v="0"/>
    <n v="0"/>
    <n v="0"/>
    <n v="0"/>
    <n v="0"/>
    <n v="0"/>
    <n v="0"/>
    <n v="0"/>
    <n v="0"/>
    <m/>
    <m/>
    <m/>
    <m/>
    <m/>
    <m/>
    <m/>
    <m/>
    <s v="1"/>
    <s v="1"/>
    <s v="1"/>
    <s v="0"/>
    <s v="1"/>
    <m/>
    <m/>
    <m/>
    <m/>
    <m/>
    <m/>
    <m/>
    <m/>
    <m/>
    <m/>
    <m/>
    <m/>
    <m/>
    <m/>
  </r>
  <r>
    <n v="742"/>
    <d v="2025-02-14T00:00:00"/>
    <s v="ZBTO"/>
    <n v="9518518311"/>
    <n v="3"/>
    <s v="9518518311-3"/>
    <s v="May'25"/>
    <x v="0"/>
    <m/>
    <x v="1"/>
    <x v="1"/>
    <n v="2000"/>
    <m/>
    <x v="1"/>
    <m/>
    <s v="Exp BTF &lt;17MT"/>
    <s v="Telangana"/>
    <s v="South"/>
    <s v="SANGAREDDY"/>
    <s v="Coil"/>
    <n v="947126"/>
    <x v="22"/>
    <n v="1804908"/>
    <s v="CRCA COIL TATCRC TR15 0.5X1250"/>
    <s v=""/>
    <s v=""/>
    <m/>
    <m/>
    <s v="Wider"/>
    <s v="C01"/>
    <s v="TATCRC"/>
    <s v="TR15"/>
    <n v="0.5"/>
    <n v="1250"/>
    <n v="0"/>
    <n v="87"/>
    <n v="0"/>
    <n v="87"/>
    <n v="4.82"/>
    <n v="32.129999999999995"/>
    <n v="61.61"/>
    <n v="0"/>
    <n v="0"/>
    <n v="0"/>
    <n v="0"/>
    <n v="0"/>
    <n v="0"/>
    <n v="0"/>
    <n v="0"/>
    <n v="0"/>
    <n v="0"/>
    <n v="0"/>
    <n v="0"/>
    <n v="54.870000000000005"/>
    <n v="0"/>
    <n v="0"/>
    <n v="0"/>
    <n v="0"/>
    <n v="0"/>
    <n v="0"/>
    <n v="54.870000000000005"/>
    <n v="54.870000000000005"/>
    <n v="0"/>
    <n v="54.870000000000005"/>
    <n v="0"/>
    <n v="0"/>
    <n v="87"/>
    <n v="0"/>
    <n v="87"/>
    <n v="0"/>
    <n v="0"/>
    <n v="0"/>
    <n v="87"/>
    <n v="0"/>
    <n v="0"/>
    <n v="87"/>
    <n v="0"/>
    <n v="0"/>
    <n v="0"/>
    <n v="0"/>
    <n v="0"/>
    <n v="0"/>
    <n v="0"/>
    <n v="0"/>
    <n v="0"/>
    <n v="0"/>
    <m/>
    <m/>
    <m/>
    <m/>
    <m/>
    <m/>
    <m/>
    <m/>
    <s v="1"/>
    <s v="0"/>
    <s v="1"/>
    <s v="1"/>
    <s v="1"/>
    <m/>
    <m/>
    <m/>
    <m/>
    <m/>
    <m/>
    <m/>
    <m/>
    <m/>
    <m/>
    <m/>
    <m/>
    <m/>
    <m/>
  </r>
  <r>
    <n v="742"/>
    <d v="2025-02-14T00:00:00"/>
    <s v="ZBTO"/>
    <n v="9518518311"/>
    <n v="7"/>
    <s v="9518518311-7"/>
    <s v="Mar'25"/>
    <x v="0"/>
    <m/>
    <x v="1"/>
    <x v="1"/>
    <n v="2000"/>
    <m/>
    <x v="1"/>
    <m/>
    <m/>
    <s v="Telangana"/>
    <s v="South"/>
    <s v="SANGAREDDY"/>
    <s v="Coil"/>
    <n v="947126"/>
    <x v="22"/>
    <n v="2398457"/>
    <s v="CRCA COIL TATXXD AU03 1X1320"/>
    <s v=""/>
    <s v=""/>
    <m/>
    <m/>
    <s v="Wider"/>
    <s v="C01"/>
    <s v="TATXXD"/>
    <s v="AU03"/>
    <n v="1"/>
    <n v="1320"/>
    <n v="0"/>
    <n v="210"/>
    <n v="184.95"/>
    <n v="25.05"/>
    <n v="25.05"/>
    <n v="-3.7800000000000011"/>
    <n v="25.05"/>
    <n v="0"/>
    <n v="0"/>
    <n v="0"/>
    <n v="0"/>
    <n v="0"/>
    <n v="0"/>
    <n v="0"/>
    <n v="0"/>
    <n v="0"/>
    <n v="0"/>
    <n v="0"/>
    <n v="0"/>
    <n v="28.830000000000002"/>
    <n v="0"/>
    <n v="0"/>
    <n v="0"/>
    <n v="0"/>
    <n v="0"/>
    <n v="0"/>
    <n v="28.830000000000002"/>
    <n v="28.830000000000002"/>
    <n v="0"/>
    <n v="28.830000000000002"/>
    <n v="0"/>
    <n v="0"/>
    <n v="25.05"/>
    <n v="0"/>
    <n v="0"/>
    <n v="0"/>
    <n v="0"/>
    <n v="25.05"/>
    <n v="0"/>
    <n v="0"/>
    <n v="0"/>
    <n v="0"/>
    <n v="0"/>
    <n v="0"/>
    <n v="25.05"/>
    <n v="0"/>
    <n v="0"/>
    <n v="0"/>
    <n v="0"/>
    <n v="0"/>
    <n v="0"/>
    <n v="0"/>
    <m/>
    <m/>
    <m/>
    <m/>
    <m/>
    <m/>
    <m/>
    <m/>
    <s v="1"/>
    <s v="1"/>
    <s v="1"/>
    <s v="1"/>
    <s v="0"/>
    <m/>
    <m/>
    <m/>
    <m/>
    <m/>
    <m/>
    <m/>
    <m/>
    <m/>
    <m/>
    <m/>
    <m/>
    <m/>
    <m/>
  </r>
  <r>
    <n v="742"/>
    <d v="2025-02-10T00:00:00"/>
    <s v="ZBTO"/>
    <n v="9518507185"/>
    <n v="6"/>
    <s v="9518507185-6"/>
    <s v="Mar'25"/>
    <x v="0"/>
    <m/>
    <x v="1"/>
    <x v="2"/>
    <n v="2000"/>
    <m/>
    <x v="1"/>
    <m/>
    <m/>
    <s v="Jharkhand"/>
    <s v="East"/>
    <s v="WEST BOKARO"/>
    <s v="Sheet"/>
    <n v="185794"/>
    <x v="12"/>
    <n v="3239567"/>
    <s v="CRCA SHEET TATCRC SR16 0.450X1000X2500"/>
    <s v=""/>
    <s v=""/>
    <m/>
    <m/>
    <s v="Narrow"/>
    <s v="C06"/>
    <s v="TATCRC"/>
    <s v="SR16"/>
    <n v="0.45"/>
    <n v="1000"/>
    <n v="2500"/>
    <n v="39"/>
    <n v="0"/>
    <n v="39"/>
    <n v="16.739999999999998"/>
    <n v="16.599999999999998"/>
    <n v="18.18"/>
    <n v="0"/>
    <n v="0"/>
    <n v="0"/>
    <n v="0"/>
    <n v="0"/>
    <n v="0"/>
    <n v="0"/>
    <n v="0"/>
    <n v="0"/>
    <n v="0"/>
    <n v="0"/>
    <n v="0"/>
    <n v="0"/>
    <n v="22.400000000000002"/>
    <n v="0"/>
    <n v="0"/>
    <n v="0"/>
    <n v="0"/>
    <n v="0"/>
    <n v="22.400000000000002"/>
    <n v="22.400000000000002"/>
    <n v="0"/>
    <n v="22.400000000000002"/>
    <n v="0"/>
    <n v="0"/>
    <n v="39"/>
    <n v="0"/>
    <n v="0"/>
    <n v="0"/>
    <n v="0"/>
    <n v="39"/>
    <n v="0"/>
    <n v="0"/>
    <n v="0"/>
    <n v="0"/>
    <n v="0"/>
    <n v="0"/>
    <n v="39"/>
    <n v="0"/>
    <n v="0"/>
    <n v="0"/>
    <n v="0"/>
    <n v="0"/>
    <n v="0"/>
    <n v="0"/>
    <m/>
    <m/>
    <m/>
    <m/>
    <m/>
    <m/>
    <m/>
    <m/>
    <s v="1"/>
    <s v="1"/>
    <s v="1"/>
    <s v="1"/>
    <s v="0"/>
    <m/>
    <m/>
    <m/>
    <m/>
    <m/>
    <m/>
    <m/>
    <m/>
    <m/>
    <m/>
    <m/>
    <m/>
    <m/>
    <m/>
  </r>
  <r>
    <n v="743"/>
    <d v="2025-02-10T00:00:00"/>
    <s v="ZBTO"/>
    <n v="9518508377"/>
    <n v="13"/>
    <s v="9518508377-13"/>
    <s v="No Priority"/>
    <x v="0"/>
    <m/>
    <x v="3"/>
    <x v="9"/>
    <n v="2000"/>
    <m/>
    <x v="0"/>
    <m/>
    <m/>
    <s v="Jharkhand"/>
    <s v="East"/>
    <s v="WEST BOKARO"/>
    <s v="Coil"/>
    <n v="185794"/>
    <x v="12"/>
    <n v="1854424"/>
    <s v="GP COIL SOFT-TATXGP-GK09-0.6X900"/>
    <n v="80"/>
    <s v=""/>
    <m/>
    <m/>
    <s v="Narrow"/>
    <s v="C02"/>
    <s v="TATXGP"/>
    <s v="GK09"/>
    <n v="0.6"/>
    <n v="900"/>
    <n v="0"/>
    <n v="168"/>
    <n v="14.46"/>
    <n v="153.54"/>
    <n v="91.94"/>
    <n v="0"/>
    <n v="2.5249999999999999"/>
    <n v="0"/>
    <n v="0"/>
    <n v="0"/>
    <n v="0"/>
    <n v="0"/>
    <n v="0"/>
    <n v="0"/>
    <n v="0"/>
    <n v="0"/>
    <n v="0"/>
    <n v="0"/>
    <n v="0"/>
    <n v="0"/>
    <n v="0"/>
    <n v="0"/>
    <n v="0"/>
    <n v="0"/>
    <n v="0"/>
    <n v="0"/>
    <n v="0"/>
    <n v="0"/>
    <n v="92"/>
    <n v="92"/>
    <n v="0"/>
    <n v="0"/>
    <n v="168"/>
    <n v="0"/>
    <n v="0"/>
    <n v="0"/>
    <n v="168"/>
    <n v="0"/>
    <n v="168"/>
    <n v="0"/>
    <n v="0"/>
    <n v="0"/>
    <n v="168"/>
    <n v="0"/>
    <n v="0"/>
    <n v="0"/>
    <n v="0"/>
    <n v="0"/>
    <n v="0"/>
    <n v="0"/>
    <n v="0"/>
    <n v="0"/>
    <m/>
    <m/>
    <m/>
    <m/>
    <m/>
    <m/>
    <m/>
    <m/>
    <s v="1"/>
    <s v="1"/>
    <s v="1"/>
    <s v="0"/>
    <s v="1"/>
    <m/>
    <m/>
    <m/>
    <m/>
    <m/>
    <m/>
    <m/>
    <m/>
    <m/>
    <m/>
    <m/>
    <m/>
    <m/>
    <m/>
  </r>
  <r>
    <n v="743"/>
    <d v="2025-02-14T00:00:00"/>
    <s v="ZBTO"/>
    <n v="9518519620"/>
    <n v="6"/>
    <s v="9518519620-6"/>
    <s v="No Priority"/>
    <x v="0"/>
    <m/>
    <x v="3"/>
    <x v="9"/>
    <n v="2000"/>
    <m/>
    <x v="0"/>
    <m/>
    <m/>
    <s v="Bihar"/>
    <s v="East"/>
    <s v="PATNA"/>
    <s v="Coil"/>
    <n v="103227"/>
    <x v="31"/>
    <n v="1854429"/>
    <s v="GP COIL SOFT-TATXGP-GK09-0.63X900"/>
    <n v="80"/>
    <s v=""/>
    <m/>
    <m/>
    <s v="Narrow"/>
    <s v="C02"/>
    <s v="TATXGP"/>
    <s v="GK09"/>
    <n v="0.63"/>
    <n v="900"/>
    <n v="0"/>
    <n v="84"/>
    <n v="0"/>
    <n v="84"/>
    <n v="84"/>
    <n v="0"/>
    <n v="6.25"/>
    <n v="0"/>
    <n v="0"/>
    <n v="0"/>
    <n v="0"/>
    <n v="0"/>
    <n v="0"/>
    <n v="0"/>
    <n v="0"/>
    <n v="0"/>
    <n v="0"/>
    <n v="0"/>
    <n v="0"/>
    <n v="0"/>
    <n v="0"/>
    <n v="0"/>
    <n v="0"/>
    <n v="0"/>
    <n v="0"/>
    <n v="0"/>
    <n v="0"/>
    <n v="0"/>
    <n v="84"/>
    <n v="84"/>
    <n v="0"/>
    <n v="0"/>
    <n v="84"/>
    <n v="0"/>
    <n v="0"/>
    <n v="0"/>
    <n v="0"/>
    <n v="84"/>
    <n v="0"/>
    <n v="0"/>
    <n v="0"/>
    <n v="0"/>
    <n v="0"/>
    <n v="0"/>
    <n v="84"/>
    <n v="0"/>
    <n v="0"/>
    <n v="0"/>
    <n v="0"/>
    <n v="0"/>
    <n v="0"/>
    <n v="0"/>
    <m/>
    <m/>
    <m/>
    <m/>
    <m/>
    <m/>
    <m/>
    <m/>
    <s v="1"/>
    <s v="1"/>
    <s v="1"/>
    <s v="1"/>
    <s v="0"/>
    <m/>
    <m/>
    <m/>
    <m/>
    <m/>
    <m/>
    <m/>
    <m/>
    <m/>
    <m/>
    <m/>
    <m/>
    <m/>
    <m/>
  </r>
  <r>
    <n v="742"/>
    <d v="2025-01-13T00:00:00"/>
    <s v="ZBTO"/>
    <n v="9518425909"/>
    <n v="5"/>
    <s v="9518425909-5"/>
    <s v="No Priority"/>
    <x v="0"/>
    <m/>
    <x v="1"/>
    <x v="2"/>
    <n v="2000"/>
    <m/>
    <x v="0"/>
    <m/>
    <m/>
    <s v="Andhra Pradesh"/>
    <s v="South"/>
    <s v="VISHAKHAPATNAM"/>
    <s v="Sheet"/>
    <n v="946077"/>
    <x v="8"/>
    <n v="3239559"/>
    <s v="CRCA SHEET TATCRC SR16 0.450X900X2440"/>
    <s v=""/>
    <s v=""/>
    <m/>
    <m/>
    <s v="Narrow"/>
    <s v="C06"/>
    <s v="TATCRC"/>
    <s v="SR16"/>
    <n v="0.45"/>
    <n v="900"/>
    <n v="2440"/>
    <n v="21"/>
    <n v="18.434999999999999"/>
    <n v="2.5649999999999999"/>
    <n v="2.5649999999999999"/>
    <n v="0"/>
    <n v="0"/>
    <n v="0"/>
    <n v="0"/>
    <n v="0"/>
    <n v="0"/>
    <n v="0"/>
    <n v="0"/>
    <n v="0"/>
    <n v="0"/>
    <n v="0"/>
    <n v="0"/>
    <n v="0"/>
    <n v="0"/>
    <n v="0"/>
    <n v="0"/>
    <n v="0"/>
    <n v="0"/>
    <n v="0"/>
    <n v="0"/>
    <n v="0"/>
    <n v="0"/>
    <n v="0"/>
    <n v="0"/>
    <n v="0"/>
    <n v="0"/>
    <n v="0"/>
    <n v="21"/>
    <n v="0"/>
    <n v="21"/>
    <n v="0"/>
    <n v="0"/>
    <n v="0"/>
    <n v="21"/>
    <n v="0"/>
    <n v="0"/>
    <n v="21"/>
    <n v="0"/>
    <n v="0"/>
    <n v="0"/>
    <n v="18.435000000000002"/>
    <n v="0"/>
    <n v="18.435000000000002"/>
    <n v="0"/>
    <n v="0"/>
    <n v="0"/>
    <n v="0"/>
    <m/>
    <m/>
    <m/>
    <m/>
    <m/>
    <m/>
    <m/>
    <m/>
    <s v="1"/>
    <s v="0"/>
    <s v="1"/>
    <s v="1"/>
    <s v="1"/>
    <m/>
    <m/>
    <m/>
    <m/>
    <m/>
    <m/>
    <m/>
    <m/>
    <m/>
    <m/>
    <m/>
    <m/>
    <m/>
    <m/>
  </r>
  <r>
    <n v="742"/>
    <d v="2025-02-06T00:00:00"/>
    <s v="ZBTO"/>
    <n v="9518497626"/>
    <n v="5"/>
    <s v="9518497626-5"/>
    <s v="No Priority"/>
    <x v="0"/>
    <m/>
    <x v="1"/>
    <x v="2"/>
    <n v="2000"/>
    <m/>
    <x v="0"/>
    <m/>
    <s v="Exp BTF &lt;17MT"/>
    <s v="Andhra Pradesh"/>
    <s v="South"/>
    <s v="VISHAKHAPATNAM"/>
    <s v="Sheet"/>
    <n v="946077"/>
    <x v="8"/>
    <n v="3239559"/>
    <s v="CRCA SHEET TATCRC SR16 0.450X900X2440"/>
    <s v=""/>
    <s v=""/>
    <m/>
    <m/>
    <s v="Narrow"/>
    <s v="C06"/>
    <s v="TATCRC"/>
    <s v="SR16"/>
    <n v="0.45"/>
    <n v="900"/>
    <n v="2440"/>
    <n v="42"/>
    <n v="37.575000000000003"/>
    <n v="4.4249999999999998"/>
    <n v="4.4249999999999998"/>
    <n v="4.4249999999999998"/>
    <n v="4.4249999999999998"/>
    <n v="0"/>
    <n v="0"/>
    <n v="0"/>
    <n v="0"/>
    <n v="0"/>
    <n v="0"/>
    <n v="0"/>
    <n v="0"/>
    <n v="0"/>
    <n v="0"/>
    <n v="0"/>
    <n v="0"/>
    <n v="0"/>
    <n v="0"/>
    <n v="0"/>
    <n v="0"/>
    <n v="0"/>
    <n v="0"/>
    <n v="0"/>
    <n v="0"/>
    <n v="0"/>
    <n v="0"/>
    <n v="0"/>
    <n v="0"/>
    <n v="0"/>
    <n v="42"/>
    <n v="42"/>
    <n v="0"/>
    <n v="0"/>
    <n v="0"/>
    <n v="0"/>
    <n v="42"/>
    <n v="0"/>
    <n v="42"/>
    <n v="0"/>
    <n v="0"/>
    <n v="0"/>
    <n v="0"/>
    <n v="37.574999999999996"/>
    <n v="37.574999999999996"/>
    <n v="0"/>
    <n v="0"/>
    <n v="0"/>
    <n v="0"/>
    <n v="0"/>
    <m/>
    <m/>
    <m/>
    <m/>
    <m/>
    <m/>
    <m/>
    <m/>
    <s v="0"/>
    <s v="1"/>
    <s v="1"/>
    <s v="1"/>
    <s v="1"/>
    <m/>
    <m/>
    <m/>
    <m/>
    <m/>
    <m/>
    <m/>
    <m/>
    <m/>
    <m/>
    <m/>
    <m/>
    <m/>
    <m/>
  </r>
  <r>
    <n v="742"/>
    <d v="2025-02-06T00:00:00"/>
    <s v="ZBTO"/>
    <n v="9518497626"/>
    <n v="7"/>
    <s v="9518497626-7"/>
    <s v="No Priority"/>
    <x v="0"/>
    <m/>
    <x v="1"/>
    <x v="2"/>
    <n v="2000"/>
    <m/>
    <x v="0"/>
    <m/>
    <m/>
    <s v="Andhra Pradesh"/>
    <s v="South"/>
    <s v="VISHAKHAPATNAM"/>
    <s v="Sheet"/>
    <n v="946077"/>
    <x v="8"/>
    <n v="3411571"/>
    <s v="CRCA SHEET TSBCRC SR15 0.500X900X2440"/>
    <s v=""/>
    <s v=""/>
    <m/>
    <m/>
    <s v="Narrow"/>
    <s v="C06"/>
    <s v="TSBCRC"/>
    <s v="SR15"/>
    <n v="0.5"/>
    <n v="900"/>
    <n v="2440"/>
    <n v="21"/>
    <n v="17.79"/>
    <n v="3.21"/>
    <n v="3.21"/>
    <n v="3.21"/>
    <n v="3.21"/>
    <n v="0"/>
    <n v="0"/>
    <n v="0"/>
    <n v="0"/>
    <n v="0"/>
    <n v="0"/>
    <n v="0"/>
    <n v="0"/>
    <n v="0"/>
    <n v="0"/>
    <n v="0"/>
    <n v="0"/>
    <n v="0"/>
    <n v="0"/>
    <n v="0"/>
    <n v="0"/>
    <n v="0"/>
    <n v="0"/>
    <n v="0"/>
    <n v="0"/>
    <n v="0"/>
    <n v="0"/>
    <n v="0"/>
    <n v="0"/>
    <n v="0"/>
    <n v="21"/>
    <n v="21"/>
    <n v="0"/>
    <n v="0"/>
    <n v="0"/>
    <n v="0"/>
    <n v="21"/>
    <n v="0"/>
    <n v="21"/>
    <n v="0"/>
    <n v="0"/>
    <n v="0"/>
    <n v="0"/>
    <n v="17.790000000000003"/>
    <n v="17.790000000000003"/>
    <n v="0"/>
    <n v="0"/>
    <n v="0"/>
    <n v="0"/>
    <n v="0"/>
    <m/>
    <m/>
    <m/>
    <m/>
    <m/>
    <m/>
    <m/>
    <m/>
    <s v="0"/>
    <s v="1"/>
    <s v="1"/>
    <s v="1"/>
    <s v="1"/>
    <m/>
    <m/>
    <m/>
    <m/>
    <m/>
    <m/>
    <m/>
    <m/>
    <m/>
    <m/>
    <m/>
    <m/>
    <m/>
    <m/>
  </r>
  <r>
    <n v="742"/>
    <d v="2025-02-06T00:00:00"/>
    <s v="ZBTO"/>
    <n v="9518497626"/>
    <n v="8"/>
    <s v="9518497626-8"/>
    <s v="No Priority"/>
    <x v="0"/>
    <m/>
    <x v="1"/>
    <x v="2"/>
    <n v="2000"/>
    <m/>
    <x v="0"/>
    <m/>
    <m/>
    <s v="Andhra Pradesh"/>
    <s v="South"/>
    <s v="VISHAKHAPATNAM"/>
    <s v="Sheet"/>
    <n v="946077"/>
    <x v="8"/>
    <n v="3240759"/>
    <s v="CRCA SHEET TSBCRC SR15 0.500X1000X2440"/>
    <s v=""/>
    <s v=""/>
    <m/>
    <m/>
    <s v="Narrow"/>
    <s v="C06"/>
    <s v="TSBCRC"/>
    <s v="SR15"/>
    <n v="0.5"/>
    <n v="1000"/>
    <n v="2440"/>
    <n v="21"/>
    <n v="20.215"/>
    <n v="0.78500000000000003"/>
    <n v="0.78500000000000003"/>
    <n v="0"/>
    <n v="0.78500000000000003"/>
    <n v="0"/>
    <n v="0"/>
    <n v="0"/>
    <n v="0"/>
    <n v="0"/>
    <n v="0"/>
    <n v="0"/>
    <n v="0"/>
    <n v="0"/>
    <n v="0"/>
    <n v="0"/>
    <n v="0"/>
    <n v="0"/>
    <n v="0"/>
    <n v="0"/>
    <n v="0"/>
    <n v="0"/>
    <n v="0"/>
    <n v="0"/>
    <n v="0"/>
    <n v="0"/>
    <n v="0"/>
    <n v="0"/>
    <n v="0"/>
    <n v="0"/>
    <n v="21"/>
    <n v="0"/>
    <n v="21"/>
    <n v="0"/>
    <n v="0"/>
    <n v="0"/>
    <n v="21"/>
    <n v="0"/>
    <n v="0"/>
    <n v="21"/>
    <n v="0"/>
    <n v="0"/>
    <n v="0"/>
    <n v="20.215"/>
    <n v="0"/>
    <n v="20.215"/>
    <n v="0"/>
    <n v="0"/>
    <n v="0"/>
    <n v="0"/>
    <m/>
    <m/>
    <m/>
    <m/>
    <m/>
    <m/>
    <m/>
    <m/>
    <s v="1"/>
    <s v="1"/>
    <s v="1"/>
    <s v="1"/>
    <s v="1"/>
    <m/>
    <m/>
    <m/>
    <m/>
    <m/>
    <m/>
    <m/>
    <m/>
    <m/>
    <m/>
    <m/>
    <m/>
    <m/>
    <m/>
  </r>
  <r>
    <n v="742"/>
    <d v="2025-02-06T00:00:00"/>
    <s v="ZBTO"/>
    <n v="9518497626"/>
    <n v="11"/>
    <s v="9518497626-11"/>
    <s v="No Priority"/>
    <x v="0"/>
    <m/>
    <x v="1"/>
    <x v="2"/>
    <n v="2000"/>
    <m/>
    <x v="0"/>
    <m/>
    <s v="De-prioritized due to narrow HR unavailability"/>
    <s v="Andhra Pradesh"/>
    <s v="South"/>
    <s v="VISHAKHAPATNAM"/>
    <s v="Sheet"/>
    <n v="946077"/>
    <x v="8"/>
    <n v="3240776"/>
    <s v="CRCA SHEET TSBCRC SR15 0.600X1000X2440"/>
    <s v=""/>
    <s v=""/>
    <m/>
    <m/>
    <s v="Narrow"/>
    <s v="C06"/>
    <s v="TSBCRC"/>
    <s v="SR15"/>
    <n v="0.6"/>
    <n v="1000"/>
    <n v="2440"/>
    <n v="21"/>
    <n v="20.32"/>
    <n v="0.68"/>
    <n v="0.68"/>
    <n v="0"/>
    <n v="0.68"/>
    <n v="0"/>
    <n v="0"/>
    <n v="0"/>
    <n v="0"/>
    <n v="0"/>
    <n v="0"/>
    <n v="0"/>
    <n v="0"/>
    <n v="0"/>
    <n v="0"/>
    <n v="0"/>
    <n v="0"/>
    <n v="0"/>
    <n v="0"/>
    <n v="0"/>
    <n v="0"/>
    <n v="0"/>
    <n v="0"/>
    <n v="0"/>
    <n v="0"/>
    <n v="0"/>
    <n v="0"/>
    <n v="0"/>
    <n v="0"/>
    <n v="0"/>
    <n v="21"/>
    <n v="0"/>
    <n v="21"/>
    <n v="0"/>
    <n v="0"/>
    <n v="0"/>
    <n v="21"/>
    <n v="0"/>
    <n v="0"/>
    <n v="21"/>
    <n v="0"/>
    <n v="0"/>
    <n v="0"/>
    <n v="20.32"/>
    <n v="0"/>
    <n v="20.32"/>
    <n v="0"/>
    <n v="0"/>
    <n v="0"/>
    <n v="0"/>
    <m/>
    <m/>
    <m/>
    <m/>
    <m/>
    <m/>
    <m/>
    <m/>
    <s v="1"/>
    <s v="1"/>
    <s v="1"/>
    <s v="1"/>
    <s v="1"/>
    <m/>
    <m/>
    <m/>
    <m/>
    <m/>
    <m/>
    <m/>
    <m/>
    <m/>
    <m/>
    <m/>
    <m/>
    <m/>
    <m/>
  </r>
  <r>
    <n v="742"/>
    <d v="2025-02-05T00:00:00"/>
    <s v="ZBTO"/>
    <n v="9518494668"/>
    <n v="4"/>
    <s v="9518494668-4"/>
    <s v="No Priority"/>
    <x v="0"/>
    <m/>
    <x v="1"/>
    <x v="1"/>
    <n v="2000"/>
    <m/>
    <x v="0"/>
    <m/>
    <m/>
    <s v="Maharashtra"/>
    <s v="West"/>
    <s v="BOMBAY"/>
    <s v="Coil"/>
    <n v="120612"/>
    <x v="37"/>
    <n v="2334995"/>
    <s v="CRCA COIL TATXXD AU03 1.500X1250"/>
    <s v=""/>
    <s v=""/>
    <m/>
    <m/>
    <s v="Wider"/>
    <s v="C01"/>
    <s v="TATXXD"/>
    <s v="AU03"/>
    <n v="1.5"/>
    <n v="1250"/>
    <n v="0"/>
    <n v="145"/>
    <n v="117.52"/>
    <n v="27.48"/>
    <n v="-19.87"/>
    <n v="0"/>
    <n v="27.48"/>
    <n v="0"/>
    <n v="0"/>
    <n v="0"/>
    <n v="0"/>
    <n v="0"/>
    <n v="0"/>
    <n v="0"/>
    <n v="0"/>
    <n v="0"/>
    <n v="0"/>
    <n v="0"/>
    <n v="0"/>
    <n v="0"/>
    <n v="0"/>
    <n v="0"/>
    <n v="0"/>
    <n v="0"/>
    <n v="0"/>
    <n v="0"/>
    <n v="0"/>
    <n v="0"/>
    <n v="0"/>
    <n v="0"/>
    <n v="0"/>
    <n v="0"/>
    <n v="132.17500000000001"/>
    <n v="0"/>
    <n v="0"/>
    <n v="0"/>
    <n v="0"/>
    <n v="132.17500000000001"/>
    <n v="0"/>
    <n v="0"/>
    <n v="0"/>
    <n v="0"/>
    <n v="0"/>
    <n v="0"/>
    <n v="132.17500000000001"/>
    <n v="0"/>
    <n v="0"/>
    <n v="0"/>
    <n v="0"/>
    <n v="0"/>
    <n v="0"/>
    <n v="0"/>
    <m/>
    <m/>
    <m/>
    <m/>
    <m/>
    <m/>
    <m/>
    <m/>
    <s v="1"/>
    <s v="1"/>
    <s v="1"/>
    <s v="1"/>
    <s v="0"/>
    <m/>
    <m/>
    <m/>
    <m/>
    <m/>
    <m/>
    <m/>
    <m/>
    <m/>
    <m/>
    <m/>
    <m/>
    <m/>
    <m/>
  </r>
  <r>
    <n v="742"/>
    <d v="2025-02-19T00:00:00"/>
    <s v="ZBTO"/>
    <n v="9518533596"/>
    <n v="6"/>
    <s v="9518533596-6"/>
    <s v="No Priority"/>
    <x v="0"/>
    <m/>
    <x v="1"/>
    <x v="1"/>
    <n v="2000"/>
    <m/>
    <x v="0"/>
    <m/>
    <m/>
    <s v="West Bengal"/>
    <s v="East"/>
    <s v="JSR"/>
    <s v="Coil"/>
    <n v="155536"/>
    <x v="38"/>
    <n v="187538"/>
    <s v="CRSHEET-ICF TATXXD AU03 1.60X1250"/>
    <s v=""/>
    <s v=""/>
    <m/>
    <m/>
    <s v="Wider"/>
    <s v="C01"/>
    <s v="TATXXD"/>
    <s v="AU03"/>
    <n v="1.6"/>
    <n v="1250"/>
    <n v="0"/>
    <n v="116"/>
    <n v="72.56"/>
    <n v="43.44"/>
    <n v="-12.17"/>
    <n v="0"/>
    <n v="17.234999999999999"/>
    <n v="0"/>
    <n v="0"/>
    <n v="0"/>
    <n v="0"/>
    <n v="0"/>
    <n v="0"/>
    <n v="0"/>
    <n v="0"/>
    <n v="0"/>
    <n v="0"/>
    <n v="0"/>
    <n v="0"/>
    <n v="0"/>
    <n v="0"/>
    <n v="0"/>
    <n v="0"/>
    <n v="0"/>
    <n v="0"/>
    <n v="0"/>
    <n v="0"/>
    <n v="0"/>
    <n v="0"/>
    <n v="0"/>
    <n v="0"/>
    <n v="0"/>
    <n v="68.290000000000006"/>
    <n v="0"/>
    <n v="0"/>
    <n v="0"/>
    <n v="68.290000000000006"/>
    <n v="0"/>
    <n v="68.290000000000006"/>
    <n v="0"/>
    <n v="0"/>
    <n v="0"/>
    <n v="68.290000000000006"/>
    <n v="0"/>
    <n v="0"/>
    <n v="24.85"/>
    <n v="0"/>
    <n v="0"/>
    <n v="0"/>
    <n v="24.85"/>
    <n v="0"/>
    <n v="0"/>
    <m/>
    <m/>
    <m/>
    <m/>
    <m/>
    <m/>
    <m/>
    <m/>
    <s v="1"/>
    <s v="1"/>
    <s v="1"/>
    <s v="0"/>
    <s v="1"/>
    <m/>
    <m/>
    <m/>
    <m/>
    <m/>
    <m/>
    <m/>
    <m/>
    <m/>
    <m/>
    <m/>
    <m/>
    <m/>
    <m/>
  </r>
  <r>
    <n v="742"/>
    <d v="2025-02-05T00:00:00"/>
    <s v="ZBTO"/>
    <n v="9518495161"/>
    <n v="1"/>
    <s v="9518495161-1"/>
    <s v="No Priority"/>
    <x v="0"/>
    <m/>
    <x v="1"/>
    <x v="2"/>
    <n v="2000"/>
    <m/>
    <x v="0"/>
    <m/>
    <m/>
    <s v="Jharkhand"/>
    <s v="East"/>
    <s v="TATANAGAR"/>
    <s v="Sheet"/>
    <n v="165053"/>
    <x v="5"/>
    <n v="3239567"/>
    <s v="CRCA SHEET TATCRC SR16 0.450X1000X2500"/>
    <s v=""/>
    <s v=""/>
    <m/>
    <m/>
    <s v="Narrow"/>
    <s v="C06"/>
    <s v="TATCRC"/>
    <s v="SR16"/>
    <n v="0.45"/>
    <n v="1000"/>
    <n v="2500"/>
    <n v="21"/>
    <n v="0"/>
    <n v="21"/>
    <n v="-1.1100000000000001"/>
    <n v="0"/>
    <n v="0.14499999999999999"/>
    <n v="0"/>
    <n v="0"/>
    <n v="0"/>
    <n v="0"/>
    <n v="0"/>
    <n v="0"/>
    <n v="0"/>
    <n v="0"/>
    <n v="0"/>
    <n v="0"/>
    <n v="0"/>
    <n v="0"/>
    <n v="0"/>
    <n v="0"/>
    <n v="0"/>
    <n v="0"/>
    <n v="0"/>
    <n v="0"/>
    <n v="0"/>
    <n v="0"/>
    <n v="0"/>
    <n v="0"/>
    <n v="0"/>
    <n v="0"/>
    <n v="0"/>
    <n v="21"/>
    <n v="0"/>
    <n v="0"/>
    <n v="21"/>
    <n v="0"/>
    <n v="0"/>
    <n v="21"/>
    <n v="0"/>
    <n v="0"/>
    <n v="0"/>
    <n v="21"/>
    <n v="0"/>
    <n v="0"/>
    <n v="0"/>
    <n v="0"/>
    <n v="0"/>
    <n v="0"/>
    <n v="0"/>
    <n v="0"/>
    <n v="0"/>
    <m/>
    <m/>
    <m/>
    <m/>
    <m/>
    <m/>
    <m/>
    <m/>
    <s v="1"/>
    <s v="1"/>
    <s v="0"/>
    <s v="1"/>
    <s v="1"/>
    <m/>
    <m/>
    <m/>
    <m/>
    <m/>
    <m/>
    <m/>
    <m/>
    <m/>
    <m/>
    <m/>
    <m/>
    <m/>
    <m/>
  </r>
  <r>
    <n v="742"/>
    <d v="2025-02-05T00:00:00"/>
    <s v="ZBTO"/>
    <n v="9518495161"/>
    <n v="3"/>
    <s v="9518495161-3"/>
    <s v="No Priority"/>
    <x v="0"/>
    <m/>
    <x v="1"/>
    <x v="2"/>
    <n v="2000"/>
    <m/>
    <x v="0"/>
    <m/>
    <m/>
    <s v="Jharkhand"/>
    <s v="East"/>
    <s v="TATANAGAR"/>
    <s v="Sheet"/>
    <n v="165053"/>
    <x v="5"/>
    <n v="3410101"/>
    <s v="CRCA SHEET TSBCRC SR15 0.750X1000X2500"/>
    <s v=""/>
    <s v=""/>
    <m/>
    <m/>
    <s v="Narrow"/>
    <s v="C06"/>
    <s v="TSBCRC"/>
    <s v="SR15"/>
    <n v="0.75"/>
    <n v="1000"/>
    <n v="2500"/>
    <n v="21"/>
    <n v="20.555"/>
    <n v="0.44500000000000001"/>
    <n v="0.44500000000000001"/>
    <n v="0"/>
    <n v="0.44500000000000001"/>
    <n v="0"/>
    <n v="0"/>
    <n v="0"/>
    <n v="0"/>
    <n v="0"/>
    <n v="0"/>
    <n v="0"/>
    <n v="0"/>
    <n v="0"/>
    <n v="0"/>
    <n v="0"/>
    <n v="0"/>
    <n v="0"/>
    <n v="0"/>
    <n v="0"/>
    <n v="0"/>
    <n v="0"/>
    <n v="0"/>
    <n v="0"/>
    <n v="0"/>
    <n v="0"/>
    <n v="0"/>
    <n v="0"/>
    <n v="0"/>
    <n v="0"/>
    <n v="21"/>
    <n v="0"/>
    <n v="21"/>
    <n v="0"/>
    <n v="0"/>
    <n v="0"/>
    <n v="21"/>
    <n v="0"/>
    <n v="0"/>
    <n v="21"/>
    <n v="0"/>
    <n v="0"/>
    <n v="0"/>
    <n v="20.555000000000003"/>
    <n v="0"/>
    <n v="20.555000000000003"/>
    <n v="0"/>
    <n v="0"/>
    <n v="0"/>
    <n v="0"/>
    <m/>
    <m/>
    <m/>
    <m/>
    <m/>
    <m/>
    <m/>
    <m/>
    <s v="1"/>
    <s v="1"/>
    <s v="1"/>
    <s v="1"/>
    <s v="1"/>
    <m/>
    <m/>
    <m/>
    <m/>
    <m/>
    <m/>
    <m/>
    <m/>
    <m/>
    <m/>
    <m/>
    <m/>
    <m/>
    <m/>
  </r>
  <r>
    <n v="743"/>
    <d v="2025-02-06T00:00:00"/>
    <s v="ZBTO"/>
    <n v="9518497512"/>
    <n v="2"/>
    <s v="9518497512-2"/>
    <s v="No Priority"/>
    <x v="0"/>
    <m/>
    <x v="3"/>
    <x v="0"/>
    <n v="2000"/>
    <m/>
    <x v="0"/>
    <m/>
    <m/>
    <s v="Jharkhand"/>
    <s v="East"/>
    <s v="TATANAGAR"/>
    <s v="Coil"/>
    <n v="165053"/>
    <x v="5"/>
    <n v="1851836"/>
    <s v="GP COIL SOFT-TSBXGP-N1GP-0.3X900"/>
    <s v=""/>
    <s v=""/>
    <m/>
    <m/>
    <s v="Narrow"/>
    <s v="C02"/>
    <s v="TSBXGP"/>
    <s v="N1GP"/>
    <n v="0.3"/>
    <n v="900"/>
    <n v="0"/>
    <n v="21"/>
    <n v="0"/>
    <n v="21"/>
    <n v="0.56999999999999995"/>
    <n v="0"/>
    <n v="9.99"/>
    <n v="0"/>
    <n v="0"/>
    <n v="0"/>
    <n v="0"/>
    <n v="0"/>
    <n v="0"/>
    <n v="0"/>
    <n v="0"/>
    <n v="0"/>
    <n v="0"/>
    <n v="0"/>
    <n v="0"/>
    <n v="0"/>
    <n v="0"/>
    <n v="0"/>
    <n v="0"/>
    <n v="0"/>
    <n v="0"/>
    <n v="0"/>
    <n v="0"/>
    <n v="0"/>
    <n v="0"/>
    <n v="0"/>
    <n v="0"/>
    <n v="0"/>
    <n v="21"/>
    <n v="0"/>
    <n v="0"/>
    <n v="0"/>
    <n v="21"/>
    <n v="0"/>
    <n v="21"/>
    <n v="0"/>
    <n v="0"/>
    <n v="0"/>
    <n v="0"/>
    <n v="21"/>
    <n v="0"/>
    <n v="0"/>
    <n v="0"/>
    <n v="0"/>
    <n v="0"/>
    <n v="0"/>
    <n v="0"/>
    <n v="0"/>
    <m/>
    <m/>
    <m/>
    <m/>
    <m/>
    <m/>
    <m/>
    <m/>
    <s v="1"/>
    <s v="1"/>
    <s v="1"/>
    <s v="0"/>
    <s v="1"/>
    <m/>
    <m/>
    <m/>
    <m/>
    <m/>
    <m/>
    <m/>
    <m/>
    <m/>
    <m/>
    <m/>
    <m/>
    <m/>
    <m/>
  </r>
  <r>
    <n v="743"/>
    <d v="2025-02-06T00:00:00"/>
    <s v="ZBTO"/>
    <n v="9518497512"/>
    <n v="4"/>
    <s v="9518497512-4"/>
    <s v="No Priority"/>
    <x v="0"/>
    <m/>
    <x v="3"/>
    <x v="0"/>
    <n v="2000"/>
    <m/>
    <x v="0"/>
    <m/>
    <m/>
    <s v="Jharkhand"/>
    <s v="East"/>
    <s v="TATANAGAR"/>
    <s v="Coil"/>
    <n v="165053"/>
    <x v="5"/>
    <n v="1852246"/>
    <s v="GP COIL SOFT-TSBXGP-N1GP-0.5X900"/>
    <s v=""/>
    <s v=""/>
    <m/>
    <m/>
    <s v="Narrow"/>
    <s v="C02"/>
    <s v="TSBXGP"/>
    <s v="N1GP"/>
    <n v="0.5"/>
    <n v="900"/>
    <n v="0"/>
    <n v="21"/>
    <n v="0"/>
    <n v="21"/>
    <n v="0.24"/>
    <n v="0"/>
    <n v="1.4450000000000001"/>
    <n v="0"/>
    <n v="0"/>
    <n v="0"/>
    <n v="0"/>
    <n v="0"/>
    <n v="0"/>
    <n v="0"/>
    <n v="0"/>
    <n v="0"/>
    <n v="0"/>
    <n v="0"/>
    <n v="0"/>
    <n v="0"/>
    <n v="0"/>
    <n v="0"/>
    <n v="0"/>
    <n v="0"/>
    <n v="0"/>
    <n v="0"/>
    <n v="0"/>
    <n v="0"/>
    <n v="0"/>
    <n v="0"/>
    <n v="0"/>
    <n v="0"/>
    <n v="21"/>
    <n v="0"/>
    <n v="0"/>
    <n v="0"/>
    <n v="21"/>
    <n v="0"/>
    <n v="21"/>
    <n v="0"/>
    <n v="0"/>
    <n v="0"/>
    <n v="0"/>
    <n v="21"/>
    <n v="0"/>
    <n v="0"/>
    <n v="0"/>
    <n v="0"/>
    <n v="0"/>
    <n v="0"/>
    <n v="0"/>
    <n v="0"/>
    <m/>
    <m/>
    <m/>
    <m/>
    <m/>
    <m/>
    <m/>
    <m/>
    <s v="1"/>
    <s v="1"/>
    <s v="1"/>
    <s v="0"/>
    <s v="1"/>
    <m/>
    <m/>
    <m/>
    <m/>
    <m/>
    <m/>
    <m/>
    <m/>
    <m/>
    <m/>
    <m/>
    <m/>
    <m/>
    <m/>
  </r>
  <r>
    <n v="743"/>
    <d v="2025-01-23T00:00:00"/>
    <s v="ZBTO"/>
    <n v="9518453367"/>
    <n v="1"/>
    <s v="9518453367-1"/>
    <s v="No Priority"/>
    <x v="0"/>
    <m/>
    <x v="4"/>
    <x v="3"/>
    <n v="1000"/>
    <m/>
    <x v="0"/>
    <m/>
    <m/>
    <s v="Jharkhand"/>
    <s v="East"/>
    <s v="TATANAGAR"/>
    <s v="Coil"/>
    <n v="942284"/>
    <x v="39"/>
    <n v="3909187"/>
    <s v="GL COIL HARD  Y550GL M306 0.350X1000"/>
    <n v="70"/>
    <s v=""/>
    <m/>
    <m/>
    <s v="Narrow"/>
    <s v="B04"/>
    <s v="Y550GL"/>
    <s v="M306"/>
    <n v="0.35"/>
    <n v="1000"/>
    <n v="0"/>
    <n v="23"/>
    <n v="0"/>
    <n v="23"/>
    <n v="23"/>
    <n v="23"/>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7T00:00:00"/>
    <s v="ZBTO"/>
    <n v="9518500267"/>
    <n v="6"/>
    <s v="9518500267-6"/>
    <s v="No Priority"/>
    <x v="0"/>
    <m/>
    <x v="1"/>
    <x v="11"/>
    <s v="2000-BPRS"/>
    <m/>
    <x v="0"/>
    <m/>
    <m/>
    <s v="Karnataka"/>
    <s v="South"/>
    <s v="YESHWANTHPURA"/>
    <s v="Coil"/>
    <n v="939268"/>
    <x v="0"/>
    <n v="2420618"/>
    <s v="CRCA COIL TATXXD AH03 2.450X1250"/>
    <s v=" "/>
    <s v=""/>
    <n v="2"/>
    <n v="26"/>
    <s v="Wider"/>
    <s v="C01"/>
    <s v="TATXXD"/>
    <s v="AH03"/>
    <n v="2.4500000000000002"/>
    <n v="1250"/>
    <n v="0"/>
    <n v="29"/>
    <n v="0"/>
    <n v="29"/>
    <n v="1.97"/>
    <n v="0"/>
    <n v="5.625"/>
    <n v="0"/>
    <n v="0"/>
    <n v="0"/>
    <n v="0"/>
    <n v="0"/>
    <n v="0"/>
    <n v="0"/>
    <n v="0"/>
    <n v="0"/>
    <n v="0"/>
    <n v="0"/>
    <n v="0"/>
    <n v="0"/>
    <n v="0"/>
    <n v="0"/>
    <n v="0"/>
    <n v="0"/>
    <n v="0"/>
    <n v="0"/>
    <n v="0"/>
    <n v="0"/>
    <n v="0"/>
    <n v="0"/>
    <n v="0"/>
    <n v="0"/>
    <n v="29"/>
    <n v="0"/>
    <n v="29"/>
    <n v="0"/>
    <n v="0"/>
    <n v="0"/>
    <n v="29"/>
    <n v="0"/>
    <n v="0"/>
    <n v="29"/>
    <n v="0"/>
    <n v="0"/>
    <n v="0"/>
    <n v="0"/>
    <n v="0"/>
    <n v="0"/>
    <n v="0"/>
    <n v="0"/>
    <n v="0"/>
    <n v="0"/>
    <m/>
    <m/>
    <m/>
    <m/>
    <m/>
    <m/>
    <m/>
    <m/>
    <s v="1"/>
    <s v="0"/>
    <s v="1"/>
    <s v="1"/>
    <s v="1"/>
    <m/>
    <m/>
    <m/>
    <m/>
    <m/>
    <m/>
    <m/>
    <m/>
    <m/>
    <m/>
    <m/>
    <m/>
    <m/>
    <m/>
  </r>
  <r>
    <n v="743"/>
    <d v="2025-02-19T00:00:00"/>
    <s v="ZBTO"/>
    <n v="9518532816"/>
    <n v="7"/>
    <s v="9518532816-7"/>
    <s v="No Priority"/>
    <x v="0"/>
    <m/>
    <x v="3"/>
    <x v="9"/>
    <n v="2000"/>
    <m/>
    <x v="0"/>
    <m/>
    <m/>
    <s v="Jharkhand"/>
    <s v="East"/>
    <s v="BOKARO STEEL CY"/>
    <s v="Coil"/>
    <n v="121328"/>
    <x v="10"/>
    <n v="1854429"/>
    <s v="GP COIL SOFT-TATXGP-GK09-0.63X900"/>
    <n v="80"/>
    <s v=""/>
    <m/>
    <m/>
    <s v="Narrow"/>
    <s v="C02"/>
    <s v="TATXGP"/>
    <s v="GK09"/>
    <n v="0.63"/>
    <n v="900"/>
    <n v="0"/>
    <n v="21"/>
    <n v="0"/>
    <n v="21"/>
    <n v="21"/>
    <n v="0"/>
    <n v="21"/>
    <n v="0"/>
    <n v="0"/>
    <n v="0"/>
    <n v="0"/>
    <n v="0"/>
    <n v="0"/>
    <n v="0"/>
    <n v="0"/>
    <n v="0"/>
    <n v="0"/>
    <n v="0"/>
    <n v="0"/>
    <n v="0"/>
    <n v="0"/>
    <n v="0"/>
    <n v="0"/>
    <n v="0"/>
    <n v="0"/>
    <n v="0"/>
    <n v="0"/>
    <n v="0"/>
    <n v="21"/>
    <n v="21"/>
    <n v="0"/>
    <n v="0"/>
    <n v="21"/>
    <n v="0"/>
    <n v="0"/>
    <n v="0"/>
    <n v="21"/>
    <n v="0"/>
    <n v="21"/>
    <n v="0"/>
    <n v="0"/>
    <n v="0"/>
    <n v="21"/>
    <n v="0"/>
    <n v="0"/>
    <n v="0"/>
    <n v="0"/>
    <n v="0"/>
    <n v="0"/>
    <n v="0"/>
    <n v="0"/>
    <n v="0"/>
    <m/>
    <m/>
    <m/>
    <m/>
    <m/>
    <m/>
    <m/>
    <m/>
    <s v="1"/>
    <s v="1"/>
    <s v="1"/>
    <s v="0"/>
    <s v="1"/>
    <m/>
    <m/>
    <m/>
    <m/>
    <m/>
    <m/>
    <m/>
    <m/>
    <m/>
    <m/>
    <m/>
    <m/>
    <m/>
    <m/>
  </r>
  <r>
    <n v="744"/>
    <d v="2025-02-22T00:00:00"/>
    <s v="ZBTO"/>
    <n v="9518543125"/>
    <n v="5"/>
    <s v="9518543125-5"/>
    <s v="Apr'25 "/>
    <x v="0"/>
    <m/>
    <x v="2"/>
    <x v="3"/>
    <s v="1000-IPPE"/>
    <m/>
    <x v="1"/>
    <m/>
    <m/>
    <s v="Jharkhand"/>
    <s v="East"/>
    <s v="GAMHARIA"/>
    <s v="Coil"/>
    <n v="940016"/>
    <x v="15"/>
    <n v="3900141"/>
    <s v="PPGL C HARD Y550PL ISC6 0.430X1220"/>
    <s v="aZ70"/>
    <s v="PRO ROSY RED TSL 1920"/>
    <n v="3"/>
    <n v="5"/>
    <s v="Wider"/>
    <s v="B18"/>
    <s v="Y550PL"/>
    <s v="ISC6"/>
    <n v="0.43"/>
    <n v="1220"/>
    <n v="0"/>
    <n v="112"/>
    <n v="0"/>
    <n v="112"/>
    <n v="91.11"/>
    <n v="78.11"/>
    <n v="47.685000000000002"/>
    <n v="0"/>
    <n v="0"/>
    <n v="0"/>
    <n v="0"/>
    <n v="0"/>
    <n v="0"/>
    <n v="0"/>
    <n v="8.75"/>
    <n v="0"/>
    <n v="14.34"/>
    <n v="0"/>
    <n v="0"/>
    <n v="0"/>
    <n v="0"/>
    <n v="0"/>
    <n v="0"/>
    <n v="0"/>
    <n v="10.8"/>
    <n v="0"/>
    <n v="33.89"/>
    <n v="33.89"/>
    <n v="0"/>
    <n v="33.89"/>
    <n v="0"/>
    <n v="0"/>
    <n v="112"/>
    <n v="0"/>
    <n v="0"/>
    <n v="0"/>
    <n v="112"/>
    <n v="0"/>
    <n v="112"/>
    <n v="0"/>
    <n v="0"/>
    <n v="0"/>
    <n v="0"/>
    <n v="112"/>
    <n v="0"/>
    <n v="0"/>
    <n v="0"/>
    <n v="0"/>
    <n v="0"/>
    <n v="0"/>
    <n v="0"/>
    <n v="0"/>
    <m/>
    <m/>
    <m/>
    <m/>
    <m/>
    <m/>
    <m/>
    <m/>
    <s v="1"/>
    <s v="1"/>
    <s v="1"/>
    <s v="0"/>
    <s v="1"/>
    <m/>
    <m/>
    <m/>
    <m/>
    <m/>
    <m/>
    <m/>
    <m/>
    <m/>
    <m/>
    <m/>
    <m/>
    <m/>
    <m/>
  </r>
  <r>
    <n v="742"/>
    <d v="2025-02-20T00:00:00"/>
    <s v="ZBTO"/>
    <n v="9518534103"/>
    <n v="1"/>
    <s v="9518534103-1"/>
    <s v="No Priority"/>
    <x v="0"/>
    <m/>
    <x v="1"/>
    <x v="10"/>
    <s v="1000-IPPE"/>
    <m/>
    <x v="0"/>
    <m/>
    <m/>
    <s v="Tamil Nadu"/>
    <s v="South"/>
    <s v="CHENNAI"/>
    <s v="Coil"/>
    <n v="187214"/>
    <x v="30"/>
    <n v="2402200"/>
    <s v="CRCA COIL TATXXD BT01 0.900X1315"/>
    <s v=" "/>
    <s v=""/>
    <n v="8"/>
    <n v="12"/>
    <s v="Wider"/>
    <s v="C01"/>
    <s v="TATXXD"/>
    <s v="BT01"/>
    <n v="0.9"/>
    <n v="1315"/>
    <n v="0"/>
    <n v="59.97"/>
    <n v="27.68"/>
    <n v="32.29"/>
    <n v="3.6"/>
    <n v="32.29"/>
    <n v="5.8049999999999997"/>
    <n v="0"/>
    <n v="0"/>
    <n v="0"/>
    <n v="0"/>
    <n v="0"/>
    <n v="0"/>
    <n v="0"/>
    <n v="0"/>
    <n v="0"/>
    <n v="0"/>
    <n v="0"/>
    <n v="0"/>
    <n v="0"/>
    <n v="0"/>
    <n v="0"/>
    <n v="0"/>
    <n v="0"/>
    <n v="0"/>
    <n v="0"/>
    <n v="0"/>
    <n v="0"/>
    <n v="0"/>
    <n v="0"/>
    <n v="0"/>
    <n v="0"/>
    <n v="32.32"/>
    <n v="0"/>
    <n v="0"/>
    <n v="0"/>
    <n v="32.32"/>
    <n v="0"/>
    <n v="32.32"/>
    <n v="0"/>
    <n v="0"/>
    <n v="0"/>
    <n v="0"/>
    <n v="32.32"/>
    <n v="0"/>
    <n v="0"/>
    <n v="0"/>
    <n v="0"/>
    <n v="0"/>
    <n v="0"/>
    <n v="0"/>
    <n v="0"/>
    <m/>
    <m/>
    <m/>
    <m/>
    <m/>
    <m/>
    <m/>
    <m/>
    <s v="1"/>
    <s v="1"/>
    <s v="1"/>
    <s v="0"/>
    <s v="1"/>
    <m/>
    <m/>
    <m/>
    <m/>
    <m/>
    <m/>
    <m/>
    <m/>
    <m/>
    <m/>
    <m/>
    <m/>
    <m/>
    <m/>
  </r>
  <r>
    <n v="744"/>
    <d v="2025-02-22T00:00:00"/>
    <s v="ZBTO"/>
    <n v="9518543125"/>
    <n v="3"/>
    <s v="9518543125-3"/>
    <s v="No Priority"/>
    <x v="0"/>
    <m/>
    <x v="2"/>
    <x v="3"/>
    <s v="1000-IPPE"/>
    <m/>
    <x v="0"/>
    <m/>
    <m/>
    <s v="Jharkhand"/>
    <s v="East"/>
    <s v="GAMHARIA"/>
    <s v="Coil"/>
    <n v="940016"/>
    <x v="15"/>
    <n v="3797658"/>
    <s v="PPGL C Y550 ISC6 0.40BMT(0.45TPT)X1220"/>
    <s v="aZ70"/>
    <s v="PRO BLUE TSL 1913"/>
    <n v="3"/>
    <n v="5"/>
    <s v="Wider"/>
    <s v="B18"/>
    <s v="Y550PL"/>
    <s v="ISC6"/>
    <n v="0.4"/>
    <n v="1220"/>
    <n v="0"/>
    <n v="195.99"/>
    <n v="165.41499999999999"/>
    <n v="30.574999999999999"/>
    <n v="1.2949999999999999"/>
    <n v="0"/>
    <n v="28.98"/>
    <n v="0"/>
    <n v="0"/>
    <n v="0"/>
    <n v="0"/>
    <n v="0"/>
    <n v="0"/>
    <n v="0"/>
    <n v="20.865000000000002"/>
    <n v="0"/>
    <n v="0"/>
    <n v="0"/>
    <n v="0"/>
    <n v="0"/>
    <n v="0"/>
    <n v="0"/>
    <n v="0"/>
    <n v="0"/>
    <n v="0"/>
    <n v="0"/>
    <n v="20.865000000000002"/>
    <n v="20.865000000000002"/>
    <n v="0"/>
    <n v="20.865000000000002"/>
    <n v="0"/>
    <n v="0"/>
    <n v="97.87"/>
    <n v="0"/>
    <n v="97.87"/>
    <n v="0"/>
    <n v="0"/>
    <n v="0"/>
    <n v="97.87"/>
    <n v="0"/>
    <n v="97.87"/>
    <n v="0"/>
    <n v="0"/>
    <n v="0"/>
    <n v="0"/>
    <n v="33.224999999999994"/>
    <n v="0"/>
    <n v="33.224999999999994"/>
    <n v="0"/>
    <n v="0"/>
    <n v="0"/>
    <n v="0"/>
    <m/>
    <m/>
    <m/>
    <m/>
    <m/>
    <m/>
    <m/>
    <m/>
    <s v="1"/>
    <s v="0"/>
    <s v="1"/>
    <s v="1"/>
    <s v="1"/>
    <m/>
    <m/>
    <m/>
    <m/>
    <m/>
    <m/>
    <m/>
    <m/>
    <m/>
    <m/>
    <m/>
    <m/>
    <m/>
    <m/>
  </r>
  <r>
    <n v="744"/>
    <d v="2025-02-22T00:00:00"/>
    <s v="ZBTO"/>
    <n v="9518543125"/>
    <n v="4"/>
    <s v="9518543125-4"/>
    <s v="No Priority"/>
    <x v="0"/>
    <m/>
    <x v="2"/>
    <x v="3"/>
    <s v="1000-IPPE"/>
    <m/>
    <x v="0"/>
    <m/>
    <m/>
    <s v="Jharkhand"/>
    <s v="East"/>
    <s v="GAMHARIA"/>
    <s v="Coil"/>
    <n v="940016"/>
    <x v="15"/>
    <n v="3797658"/>
    <s v="PPGL C Y550 ISC6 0.40BMT(0.45TPT)X1220"/>
    <s v="aZ70"/>
    <s v="PRO ROSY RED TSL 1920"/>
    <n v="3"/>
    <n v="5"/>
    <s v="Wider"/>
    <s v="B18"/>
    <s v="Y550PL"/>
    <s v="ISC6"/>
    <n v="0.4"/>
    <n v="1220"/>
    <n v="0"/>
    <n v="252"/>
    <n v="121.72"/>
    <n v="130.28"/>
    <n v="-8.0280000000000005"/>
    <n v="0"/>
    <n v="15.49"/>
    <n v="0"/>
    <n v="0"/>
    <n v="0"/>
    <n v="0"/>
    <n v="0"/>
    <n v="0"/>
    <n v="0"/>
    <n v="0"/>
    <n v="0"/>
    <n v="4.415"/>
    <n v="0"/>
    <n v="0"/>
    <n v="0"/>
    <n v="0"/>
    <n v="0"/>
    <n v="0"/>
    <n v="0"/>
    <n v="0"/>
    <n v="0"/>
    <n v="4.415"/>
    <n v="4.415"/>
    <n v="0"/>
    <n v="4.415"/>
    <n v="0"/>
    <n v="8.84"/>
    <n v="186.86"/>
    <n v="0"/>
    <n v="0"/>
    <n v="0"/>
    <n v="186.86"/>
    <n v="0"/>
    <n v="195.70000000000002"/>
    <n v="0"/>
    <n v="0"/>
    <n v="0"/>
    <n v="195.70000000000002"/>
    <n v="0"/>
    <n v="0"/>
    <n v="4.41"/>
    <n v="0"/>
    <n v="0"/>
    <n v="0"/>
    <n v="4.41"/>
    <n v="0"/>
    <n v="0"/>
    <m/>
    <m/>
    <m/>
    <m/>
    <m/>
    <m/>
    <m/>
    <m/>
    <s v="1"/>
    <s v="1"/>
    <s v="1"/>
    <s v="0"/>
    <s v="1"/>
    <m/>
    <m/>
    <m/>
    <m/>
    <m/>
    <m/>
    <m/>
    <m/>
    <m/>
    <m/>
    <m/>
    <m/>
    <m/>
    <m/>
  </r>
  <r>
    <n v="742"/>
    <d v="2025-02-19T00:00:00"/>
    <s v="ZBTO"/>
    <n v="9518534079"/>
    <n v="3"/>
    <s v="9518534079-3"/>
    <s v="No Priority"/>
    <x v="0"/>
    <m/>
    <x v="1"/>
    <x v="10"/>
    <s v="1000-IPPE"/>
    <m/>
    <x v="0"/>
    <m/>
    <m/>
    <s v="Andhra Pradesh"/>
    <s v="South"/>
    <s v="VISAJHAPATNAM"/>
    <s v="Coil"/>
    <n v="188238"/>
    <x v="40"/>
    <n v="2170008"/>
    <s v="CRCA COIL TATXXD BT01 0.970X1220"/>
    <s v=" "/>
    <s v=""/>
    <n v="8"/>
    <n v="12"/>
    <s v="Wider"/>
    <s v="C01"/>
    <s v="TATXXD"/>
    <s v="BT01"/>
    <n v="0.97"/>
    <n v="1220"/>
    <n v="0"/>
    <n v="168"/>
    <n v="46.034999999999997"/>
    <n v="121.965"/>
    <n v="10.455"/>
    <n v="121.965"/>
    <n v="18.16"/>
    <n v="0"/>
    <n v="0"/>
    <n v="0"/>
    <n v="0"/>
    <n v="0"/>
    <n v="0"/>
    <n v="0"/>
    <n v="0"/>
    <n v="0"/>
    <n v="0"/>
    <n v="0"/>
    <n v="0"/>
    <n v="0"/>
    <n v="0"/>
    <n v="0"/>
    <n v="0"/>
    <n v="0"/>
    <n v="0"/>
    <n v="0"/>
    <n v="0"/>
    <n v="0"/>
    <n v="0"/>
    <n v="0"/>
    <n v="0"/>
    <n v="0"/>
    <n v="121.965"/>
    <n v="0"/>
    <n v="0"/>
    <n v="121.965"/>
    <n v="0"/>
    <n v="0"/>
    <n v="121.965"/>
    <n v="0"/>
    <n v="0"/>
    <n v="0"/>
    <n v="121.965"/>
    <n v="0"/>
    <n v="0"/>
    <n v="0"/>
    <n v="0"/>
    <n v="0"/>
    <n v="0"/>
    <n v="0"/>
    <n v="0"/>
    <n v="0"/>
    <m/>
    <m/>
    <m/>
    <m/>
    <m/>
    <m/>
    <m/>
    <m/>
    <s v="1"/>
    <s v="1"/>
    <s v="0"/>
    <s v="1"/>
    <s v="1"/>
    <m/>
    <m/>
    <m/>
    <m/>
    <m/>
    <m/>
    <m/>
    <m/>
    <m/>
    <m/>
    <m/>
    <m/>
    <m/>
    <m/>
  </r>
  <r>
    <n v="742"/>
    <d v="2025-02-20T00:00:00"/>
    <s v="ZBTO"/>
    <n v="9518534103"/>
    <n v="5"/>
    <s v="9518534103-5"/>
    <s v="No Priority"/>
    <x v="0"/>
    <m/>
    <x v="1"/>
    <x v="10"/>
    <s v="1000-IPPE"/>
    <m/>
    <x v="0"/>
    <m/>
    <m/>
    <s v="Tamil Nadu"/>
    <s v="South"/>
    <s v="CHENNAI"/>
    <s v="Coil"/>
    <n v="187214"/>
    <x v="30"/>
    <n v="2421724"/>
    <s v="CRCA COIL TATXXD BT01 0.970X1310"/>
    <s v=" "/>
    <s v=""/>
    <n v="6"/>
    <n v="12"/>
    <s v="Wider"/>
    <s v="C01"/>
    <s v="TATXXD"/>
    <s v="BT01"/>
    <n v="0.97"/>
    <n v="1310"/>
    <n v="0"/>
    <n v="89.97"/>
    <n v="54.24"/>
    <n v="35.729999999999997"/>
    <n v="6.88"/>
    <n v="35.729999999999997"/>
    <n v="8.82"/>
    <n v="0"/>
    <n v="0"/>
    <n v="0"/>
    <n v="0"/>
    <n v="0"/>
    <n v="0"/>
    <n v="0"/>
    <n v="0"/>
    <n v="0"/>
    <n v="0"/>
    <n v="0"/>
    <n v="0"/>
    <n v="0"/>
    <n v="0"/>
    <n v="0"/>
    <n v="0"/>
    <n v="0"/>
    <n v="0"/>
    <n v="0"/>
    <n v="0"/>
    <n v="0"/>
    <n v="0"/>
    <n v="0"/>
    <n v="0"/>
    <n v="0"/>
    <n v="35.76"/>
    <n v="0"/>
    <n v="0"/>
    <n v="0"/>
    <n v="35.76"/>
    <n v="0"/>
    <n v="35.76"/>
    <n v="0"/>
    <n v="0"/>
    <n v="0"/>
    <n v="0"/>
    <n v="35.76"/>
    <n v="0"/>
    <n v="0"/>
    <n v="0"/>
    <n v="0"/>
    <n v="0"/>
    <n v="0"/>
    <n v="0"/>
    <n v="0"/>
    <m/>
    <m/>
    <m/>
    <m/>
    <m/>
    <m/>
    <m/>
    <m/>
    <s v="1"/>
    <s v="1"/>
    <s v="1"/>
    <s v="0"/>
    <s v="1"/>
    <m/>
    <m/>
    <m/>
    <m/>
    <m/>
    <m/>
    <m/>
    <m/>
    <m/>
    <m/>
    <m/>
    <m/>
    <m/>
    <m/>
  </r>
  <r>
    <n v="742"/>
    <d v="2025-02-20T00:00:00"/>
    <s v="ZBTO"/>
    <n v="9518534128"/>
    <n v="2"/>
    <s v="9518534128-2"/>
    <s v="No Priority"/>
    <x v="0"/>
    <m/>
    <x v="1"/>
    <x v="10"/>
    <s v="1000-IPPE"/>
    <m/>
    <x v="0"/>
    <m/>
    <m/>
    <s v="Haryana"/>
    <s v="North"/>
    <s v="FARIDABAD"/>
    <s v="Coil"/>
    <n v="189430"/>
    <x v="41"/>
    <n v="2170008"/>
    <s v="CRCA COIL TATXXD BT01 0.970X1220"/>
    <s v=" "/>
    <s v=""/>
    <n v="8"/>
    <n v="12"/>
    <s v="Wider"/>
    <s v="C01"/>
    <s v="TATXXD"/>
    <s v="BT01"/>
    <n v="0.97"/>
    <n v="1220"/>
    <n v="0"/>
    <n v="83.98"/>
    <n v="75.459999999999994"/>
    <n v="8.52"/>
    <n v="-74.14"/>
    <n v="0"/>
    <n v="0.67"/>
    <n v="0"/>
    <n v="0"/>
    <n v="0"/>
    <n v="0"/>
    <n v="0"/>
    <n v="0"/>
    <n v="0"/>
    <n v="0"/>
    <n v="0"/>
    <n v="0"/>
    <n v="0"/>
    <n v="0"/>
    <n v="0"/>
    <n v="0"/>
    <n v="0"/>
    <n v="0"/>
    <n v="0"/>
    <n v="0"/>
    <n v="0"/>
    <n v="0"/>
    <n v="0"/>
    <n v="0"/>
    <n v="0"/>
    <n v="0"/>
    <n v="0"/>
    <n v="84"/>
    <n v="0"/>
    <n v="0"/>
    <n v="0"/>
    <n v="84"/>
    <n v="0"/>
    <n v="0"/>
    <n v="0"/>
    <n v="0"/>
    <n v="0"/>
    <n v="0"/>
    <n v="0"/>
    <n v="84"/>
    <n v="0"/>
    <n v="0"/>
    <n v="0"/>
    <n v="0"/>
    <n v="0"/>
    <n v="0"/>
    <n v="0"/>
    <m/>
    <m/>
    <m/>
    <m/>
    <m/>
    <m/>
    <m/>
    <m/>
    <s v="1"/>
    <s v="1"/>
    <s v="1"/>
    <s v="0"/>
    <s v="1"/>
    <m/>
    <m/>
    <m/>
    <m/>
    <m/>
    <m/>
    <m/>
    <m/>
    <m/>
    <m/>
    <m/>
    <m/>
    <m/>
    <m/>
  </r>
  <r>
    <n v="742"/>
    <d v="2025-02-22T00:00:00"/>
    <s v="ZBTO"/>
    <n v="9518542152"/>
    <n v="1"/>
    <s v="9518542152-1"/>
    <s v="No Priority"/>
    <x v="0"/>
    <m/>
    <x v="1"/>
    <x v="10"/>
    <n v="1000"/>
    <m/>
    <x v="0"/>
    <m/>
    <m/>
    <s v="Dadra, Nagarhaveli"/>
    <s v="West"/>
    <s v="VILLAGE DADRA"/>
    <s v="Coil"/>
    <n v="189405"/>
    <x v="42"/>
    <n v="2164800"/>
    <s v="CRCA COIL TATXXD BT02 0.970X913"/>
    <m/>
    <m/>
    <m/>
    <m/>
    <s v="Narrow"/>
    <s v="C01"/>
    <s v="TATXXD"/>
    <s v="BT02"/>
    <n v="0.97"/>
    <n v="913"/>
    <n v="0"/>
    <n v="209.999"/>
    <n v="172.685"/>
    <n v="37.314"/>
    <n v="-2.2160000000000002"/>
    <n v="0"/>
    <n v="3.2839999999999998"/>
    <n v="0"/>
    <n v="0"/>
    <n v="0"/>
    <n v="0"/>
    <n v="0"/>
    <n v="0"/>
    <n v="0"/>
    <n v="0"/>
    <n v="0"/>
    <n v="0"/>
    <n v="0"/>
    <n v="0"/>
    <n v="0"/>
    <n v="0"/>
    <n v="0"/>
    <n v="0"/>
    <n v="0"/>
    <n v="0"/>
    <n v="0"/>
    <n v="0"/>
    <n v="0"/>
    <n v="0"/>
    <n v="0"/>
    <n v="0"/>
    <n v="0"/>
    <n v="37.314"/>
    <n v="37.314"/>
    <n v="0"/>
    <n v="0"/>
    <n v="0"/>
    <n v="0"/>
    <n v="37.314"/>
    <n v="0"/>
    <n v="37.314"/>
    <n v="0"/>
    <n v="0"/>
    <n v="0"/>
    <n v="0"/>
    <n v="0"/>
    <n v="0"/>
    <n v="0"/>
    <n v="0"/>
    <n v="0"/>
    <n v="0"/>
    <n v="0"/>
    <m/>
    <m/>
    <m/>
    <m/>
    <m/>
    <m/>
    <m/>
    <m/>
    <s v="0"/>
    <s v="1"/>
    <s v="1"/>
    <s v="1"/>
    <s v="1"/>
    <m/>
    <m/>
    <m/>
    <m/>
    <m/>
    <m/>
    <m/>
    <m/>
    <m/>
    <m/>
    <m/>
    <m/>
    <m/>
    <m/>
  </r>
  <r>
    <n v="742"/>
    <d v="2025-02-22T00:00:00"/>
    <s v="ZBTO"/>
    <n v="9518542152"/>
    <n v="3"/>
    <s v="9518542152-3"/>
    <s v="May'25"/>
    <x v="0"/>
    <m/>
    <x v="1"/>
    <x v="10"/>
    <n v="1000"/>
    <m/>
    <x v="1"/>
    <m/>
    <m/>
    <s v="Dadra, Nagarhaveli"/>
    <s v="West"/>
    <s v="VILLAGE DADRA"/>
    <s v="Coil"/>
    <n v="189405"/>
    <x v="42"/>
    <n v="2164803"/>
    <s v="CRCA COIL TATXXD BT02 1.200X910"/>
    <m/>
    <m/>
    <m/>
    <m/>
    <s v="Narrow"/>
    <s v="C01"/>
    <s v="TATXXD"/>
    <s v="BT02"/>
    <n v="1.2"/>
    <n v="910"/>
    <n v="0"/>
    <n v="294"/>
    <n v="245.136"/>
    <n v="48.863999999999997"/>
    <n v="28.864000000000001"/>
    <n v="29.993999999999996"/>
    <n v="31.724"/>
    <n v="0"/>
    <n v="0"/>
    <n v="18.87"/>
    <n v="0"/>
    <n v="0"/>
    <n v="0"/>
    <n v="0"/>
    <n v="0"/>
    <n v="0"/>
    <n v="0"/>
    <n v="0"/>
    <n v="0"/>
    <n v="0"/>
    <n v="0"/>
    <n v="0"/>
    <n v="0"/>
    <n v="0"/>
    <n v="0"/>
    <n v="0"/>
    <n v="18.87"/>
    <n v="18.87"/>
    <n v="0"/>
    <n v="18.87"/>
    <n v="0"/>
    <n v="18.810000000000002"/>
    <n v="48.863999999999997"/>
    <n v="0"/>
    <n v="0"/>
    <n v="0"/>
    <n v="48.863999999999997"/>
    <n v="0"/>
    <n v="67.674000000000007"/>
    <n v="0"/>
    <n v="0"/>
    <n v="0"/>
    <n v="67.674000000000007"/>
    <n v="0"/>
    <n v="0"/>
    <n v="0"/>
    <n v="0"/>
    <n v="0"/>
    <n v="0"/>
    <n v="0"/>
    <n v="0"/>
    <n v="0"/>
    <m/>
    <m/>
    <m/>
    <m/>
    <m/>
    <m/>
    <m/>
    <m/>
    <s v="1"/>
    <s v="1"/>
    <s v="1"/>
    <s v="0"/>
    <s v="1"/>
    <m/>
    <m/>
    <m/>
    <m/>
    <m/>
    <m/>
    <m/>
    <m/>
    <m/>
    <m/>
    <m/>
    <m/>
    <m/>
    <m/>
  </r>
  <r>
    <n v="742"/>
    <d v="2025-02-22T00:00:00"/>
    <s v="ZBTO"/>
    <n v="9518542152"/>
    <n v="4"/>
    <s v="9518542152-4"/>
    <s v="No Priority"/>
    <x v="0"/>
    <m/>
    <x v="1"/>
    <x v="10"/>
    <n v="1000"/>
    <m/>
    <x v="0"/>
    <m/>
    <m/>
    <s v="Dadra, Nagarhaveli"/>
    <s v="West"/>
    <s v="VILLAGE DADRA"/>
    <s v="Coil"/>
    <n v="189405"/>
    <x v="42"/>
    <n v="2164803"/>
    <s v="CRCA COIL TATXXD BT02 1.200X910"/>
    <m/>
    <m/>
    <m/>
    <m/>
    <s v="Narrow"/>
    <s v="C01"/>
    <s v="TATXXD"/>
    <s v="BT02"/>
    <n v="1.2"/>
    <n v="910"/>
    <n v="0"/>
    <n v="105"/>
    <n v="0"/>
    <n v="105"/>
    <n v="105"/>
    <n v="6.4300000000000068"/>
    <n v="105"/>
    <n v="0"/>
    <n v="0"/>
    <n v="98.57"/>
    <n v="0"/>
    <n v="0"/>
    <n v="0"/>
    <n v="0"/>
    <n v="0"/>
    <n v="0"/>
    <n v="0"/>
    <n v="0"/>
    <n v="0"/>
    <n v="0"/>
    <n v="0"/>
    <n v="0"/>
    <n v="0"/>
    <n v="0"/>
    <n v="0"/>
    <n v="0"/>
    <n v="98.57"/>
    <n v="98.57"/>
    <n v="0"/>
    <n v="98.57"/>
    <n v="0"/>
    <n v="0"/>
    <n v="105"/>
    <n v="105"/>
    <n v="0"/>
    <n v="0"/>
    <n v="0"/>
    <n v="0"/>
    <n v="105"/>
    <n v="0"/>
    <n v="105"/>
    <n v="0"/>
    <n v="0"/>
    <n v="0"/>
    <n v="0"/>
    <n v="0"/>
    <n v="0"/>
    <n v="0"/>
    <n v="0"/>
    <n v="0"/>
    <n v="0"/>
    <n v="0"/>
    <m/>
    <m/>
    <m/>
    <m/>
    <m/>
    <m/>
    <m/>
    <m/>
    <s v="0"/>
    <s v="1"/>
    <s v="1"/>
    <s v="1"/>
    <s v="1"/>
    <m/>
    <m/>
    <m/>
    <m/>
    <m/>
    <m/>
    <m/>
    <m/>
    <m/>
    <m/>
    <m/>
    <m/>
    <m/>
    <m/>
  </r>
  <r>
    <n v="742"/>
    <d v="2025-02-21T00:00:00"/>
    <s v="ZBTO"/>
    <n v="9518539501"/>
    <n v="2"/>
    <s v="9518539501-2"/>
    <s v="No Priority"/>
    <x v="0"/>
    <m/>
    <x v="1"/>
    <x v="10"/>
    <n v="1000"/>
    <m/>
    <x v="0"/>
    <m/>
    <m/>
    <s v="Gujarat"/>
    <s v="West"/>
    <s v="VADODARA"/>
    <s v="Coil"/>
    <n v="189022"/>
    <x v="43"/>
    <n v="2164814"/>
    <s v="CRCA COIL TATXXD BT01 0.970X1315"/>
    <m/>
    <m/>
    <m/>
    <m/>
    <s v="Wider"/>
    <s v="C01"/>
    <s v="TATXXD"/>
    <s v="BT01"/>
    <n v="0.97"/>
    <n v="1315"/>
    <n v="0"/>
    <n v="29.97"/>
    <n v="5.43"/>
    <n v="24.54"/>
    <n v="16.045000000000002"/>
    <n v="24.54"/>
    <n v="24.54"/>
    <n v="0"/>
    <n v="0"/>
    <n v="0"/>
    <n v="0"/>
    <n v="0"/>
    <n v="0"/>
    <n v="0"/>
    <n v="0"/>
    <n v="0"/>
    <n v="0"/>
    <n v="0"/>
    <n v="0"/>
    <n v="0"/>
    <n v="0"/>
    <n v="0"/>
    <n v="0"/>
    <n v="0"/>
    <n v="0"/>
    <n v="0"/>
    <n v="0"/>
    <n v="0"/>
    <n v="0"/>
    <n v="0"/>
    <n v="0"/>
    <n v="0"/>
    <n v="24.57"/>
    <n v="0"/>
    <n v="0"/>
    <n v="0"/>
    <n v="0"/>
    <n v="24.57"/>
    <n v="0"/>
    <n v="0"/>
    <n v="0"/>
    <n v="0"/>
    <n v="0"/>
    <n v="0"/>
    <n v="24.57"/>
    <n v="0"/>
    <n v="0"/>
    <n v="0"/>
    <n v="0"/>
    <n v="0"/>
    <n v="0"/>
    <n v="0"/>
    <m/>
    <m/>
    <m/>
    <m/>
    <m/>
    <m/>
    <m/>
    <m/>
    <s v="1"/>
    <s v="1"/>
    <s v="1"/>
    <s v="1"/>
    <s v="0"/>
    <m/>
    <m/>
    <m/>
    <m/>
    <m/>
    <m/>
    <m/>
    <m/>
    <m/>
    <m/>
    <m/>
    <m/>
    <m/>
    <m/>
  </r>
  <r>
    <n v="743"/>
    <d v="2025-02-19T00:00:00"/>
    <s v="ZBTO"/>
    <n v="9518532380"/>
    <n v="1"/>
    <s v="9518532380-1"/>
    <s v="Apr'25 additional"/>
    <x v="0"/>
    <m/>
    <x v="4"/>
    <x v="5"/>
    <n v="1000"/>
    <m/>
    <x v="1"/>
    <m/>
    <m/>
    <s v="Gujarat"/>
    <s v="West"/>
    <s v="SANAND"/>
    <s v="Coil"/>
    <n v="944226"/>
    <x v="44"/>
    <n v="3865176"/>
    <s v="GL COIL HARD  Y550GL HGL6 0.900X1250"/>
    <m/>
    <m/>
    <m/>
    <m/>
    <s v="Wider"/>
    <s v="B04"/>
    <s v="Y550GL"/>
    <s v="HGL6"/>
    <n v="0.9"/>
    <n v="1250"/>
    <n v="0"/>
    <n v="289.99"/>
    <n v="248.51"/>
    <n v="41.48"/>
    <n v="18.835000000000001"/>
    <n v="18.259999999999998"/>
    <n v="41.48"/>
    <n v="0"/>
    <n v="0"/>
    <n v="0"/>
    <n v="0"/>
    <n v="0"/>
    <n v="0"/>
    <n v="0"/>
    <n v="9.3450000000000006"/>
    <n v="0"/>
    <n v="0"/>
    <n v="0"/>
    <n v="0"/>
    <n v="0"/>
    <n v="0"/>
    <n v="0"/>
    <n v="0"/>
    <n v="0"/>
    <n v="13.875"/>
    <n v="0"/>
    <n v="23.22"/>
    <n v="23.22"/>
    <n v="0"/>
    <n v="23.22"/>
    <n v="0"/>
    <n v="22.285"/>
    <n v="133.52500000000001"/>
    <n v="0"/>
    <n v="0"/>
    <n v="133.52500000000001"/>
    <n v="0"/>
    <n v="0"/>
    <n v="155.81"/>
    <n v="0"/>
    <n v="0"/>
    <n v="155.81"/>
    <n v="0"/>
    <n v="0"/>
    <n v="0"/>
    <n v="11.53"/>
    <n v="0"/>
    <n v="0"/>
    <n v="11.53"/>
    <n v="0"/>
    <n v="0"/>
    <n v="0"/>
    <m/>
    <m/>
    <m/>
    <m/>
    <m/>
    <m/>
    <m/>
    <m/>
    <s v="1"/>
    <s v="1"/>
    <s v="0"/>
    <s v="1"/>
    <s v="1"/>
    <m/>
    <m/>
    <m/>
    <m/>
    <m/>
    <m/>
    <m/>
    <m/>
    <m/>
    <m/>
    <m/>
    <m/>
    <m/>
    <m/>
  </r>
  <r>
    <n v="743"/>
    <d v="2025-02-19T00:00:00"/>
    <s v="ZBTO"/>
    <n v="9518532383"/>
    <n v="1"/>
    <s v="9518532383-1"/>
    <s v="Apr'25 additional"/>
    <x v="0"/>
    <m/>
    <x v="4"/>
    <x v="5"/>
    <n v="1000"/>
    <n v="4800"/>
    <x v="1"/>
    <m/>
    <m/>
    <s v="Gujarat"/>
    <s v="West"/>
    <s v="SANAND"/>
    <s v="Coil"/>
    <n v="944226"/>
    <x v="44"/>
    <n v="3865176"/>
    <s v="GL COIL HARD  Y550GL HGL6 0.900X1250"/>
    <m/>
    <m/>
    <m/>
    <m/>
    <s v="Wider"/>
    <s v="B04"/>
    <s v="Y550GL"/>
    <s v="HGL6"/>
    <n v="0.9"/>
    <n v="1250"/>
    <n v="0"/>
    <n v="290"/>
    <n v="0"/>
    <n v="290"/>
    <n v="290"/>
    <n v="207.292"/>
    <n v="290"/>
    <n v="0"/>
    <n v="0"/>
    <n v="0"/>
    <n v="0"/>
    <n v="0"/>
    <n v="29.378"/>
    <n v="0"/>
    <n v="0"/>
    <n v="0"/>
    <n v="0"/>
    <n v="0"/>
    <n v="0"/>
    <n v="0"/>
    <n v="0"/>
    <n v="0"/>
    <n v="0"/>
    <n v="0"/>
    <n v="26.925000000000001"/>
    <n v="26.405000000000001"/>
    <n v="82.707999999999998"/>
    <n v="82.707999999999998"/>
    <n v="0"/>
    <n v="82.707999999999998"/>
    <n v="0"/>
    <n v="0"/>
    <n v="290"/>
    <n v="0"/>
    <n v="0"/>
    <n v="290"/>
    <n v="0"/>
    <n v="0"/>
    <n v="290"/>
    <n v="0"/>
    <n v="0"/>
    <n v="290"/>
    <n v="0"/>
    <n v="0"/>
    <n v="0"/>
    <n v="0"/>
    <n v="0"/>
    <n v="0"/>
    <n v="0"/>
    <n v="0"/>
    <n v="0"/>
    <n v="0"/>
    <m/>
    <m/>
    <m/>
    <m/>
    <m/>
    <m/>
    <m/>
    <m/>
    <s v="1"/>
    <s v="1"/>
    <s v="0"/>
    <s v="1"/>
    <s v="1"/>
    <m/>
    <m/>
    <m/>
    <m/>
    <m/>
    <m/>
    <m/>
    <m/>
    <m/>
    <m/>
    <m/>
    <m/>
    <m/>
    <m/>
  </r>
  <r>
    <n v="743"/>
    <d v="2025-02-19T00:00:00"/>
    <s v="ZBTO"/>
    <n v="9518532386"/>
    <n v="1"/>
    <s v="9518532386-1"/>
    <s v="Apr'25 additional"/>
    <x v="0"/>
    <m/>
    <x v="4"/>
    <x v="5"/>
    <n v="1000"/>
    <m/>
    <x v="1"/>
    <m/>
    <m/>
    <s v="Gujarat"/>
    <s v="West"/>
    <s v="SANAND"/>
    <s v="Coil"/>
    <n v="944226"/>
    <x v="44"/>
    <n v="3865176"/>
    <s v="GL COIL HARD  Y550GL HGL6 0.900X1250"/>
    <m/>
    <m/>
    <m/>
    <m/>
    <s v="Wider"/>
    <s v="B04"/>
    <s v="Y550GL"/>
    <s v="HGL6"/>
    <n v="0.9"/>
    <n v="1250"/>
    <n v="0"/>
    <n v="290"/>
    <n v="0"/>
    <n v="290"/>
    <n v="290"/>
    <n v="180.25900000000001"/>
    <n v="290"/>
    <n v="0"/>
    <n v="0"/>
    <n v="0"/>
    <n v="0"/>
    <n v="0"/>
    <n v="15.006"/>
    <n v="0"/>
    <n v="0"/>
    <n v="0"/>
    <n v="0"/>
    <n v="0"/>
    <n v="0"/>
    <n v="0"/>
    <n v="0"/>
    <n v="0"/>
    <n v="0"/>
    <n v="0"/>
    <n v="26.965"/>
    <n v="67.77"/>
    <n v="109.741"/>
    <n v="109.741"/>
    <n v="0"/>
    <n v="109.741"/>
    <n v="0"/>
    <n v="0"/>
    <n v="290"/>
    <n v="0"/>
    <n v="0"/>
    <n v="290"/>
    <n v="0"/>
    <n v="0"/>
    <n v="290"/>
    <n v="0"/>
    <n v="0"/>
    <n v="290"/>
    <n v="0"/>
    <n v="0"/>
    <n v="0"/>
    <n v="0"/>
    <n v="0"/>
    <n v="0"/>
    <n v="0"/>
    <n v="0"/>
    <n v="0"/>
    <n v="0"/>
    <m/>
    <m/>
    <m/>
    <m/>
    <m/>
    <m/>
    <m/>
    <m/>
    <s v="1"/>
    <s v="1"/>
    <s v="0"/>
    <s v="1"/>
    <s v="1"/>
    <m/>
    <m/>
    <m/>
    <m/>
    <m/>
    <m/>
    <m/>
    <m/>
    <m/>
    <m/>
    <m/>
    <m/>
    <m/>
    <m/>
  </r>
  <r>
    <n v="744"/>
    <d v="2025-02-22T00:00:00"/>
    <s v="ZBTO"/>
    <n v="9518542994"/>
    <n v="7"/>
    <s v="9518542994-7"/>
    <s v="Mar'25"/>
    <x v="0"/>
    <m/>
    <x v="2"/>
    <x v="3"/>
    <n v="1000"/>
    <m/>
    <x v="1"/>
    <m/>
    <m/>
    <s v="Jharkhand"/>
    <s v="East"/>
    <s v="TBL- BARA AGRICO"/>
    <s v="Coil"/>
    <n v="941597"/>
    <x v="39"/>
    <n v="3902332"/>
    <s v="PPGL C HARD Y550PL D0C9 0.50(TPT)X1220"/>
    <m/>
    <m/>
    <m/>
    <m/>
    <s v="Wider"/>
    <s v="B18"/>
    <s v="Y550PL"/>
    <s v="D0C9"/>
    <n v="0.5"/>
    <n v="1220"/>
    <n v="0"/>
    <n v="83.99"/>
    <n v="0"/>
    <n v="83.99"/>
    <n v="83.99"/>
    <n v="83.99"/>
    <n v="83.99"/>
    <n v="0"/>
    <n v="0"/>
    <n v="0"/>
    <n v="0"/>
    <n v="0"/>
    <n v="0"/>
    <n v="0"/>
    <n v="0"/>
    <n v="0"/>
    <n v="0"/>
    <n v="0"/>
    <n v="0"/>
    <n v="0"/>
    <n v="0"/>
    <n v="0"/>
    <n v="0"/>
    <n v="0"/>
    <n v="0"/>
    <n v="0"/>
    <n v="0"/>
    <n v="0"/>
    <n v="0"/>
    <n v="0"/>
    <n v="0"/>
    <n v="0"/>
    <n v="83.99"/>
    <n v="0"/>
    <n v="0"/>
    <n v="0"/>
    <n v="0"/>
    <n v="83.99"/>
    <n v="0"/>
    <n v="0"/>
    <n v="0"/>
    <n v="0"/>
    <n v="0"/>
    <n v="0"/>
    <n v="83.99"/>
    <n v="0"/>
    <n v="0"/>
    <n v="0"/>
    <n v="0"/>
    <n v="0"/>
    <n v="0"/>
    <n v="0"/>
    <m/>
    <m/>
    <m/>
    <m/>
    <m/>
    <m/>
    <m/>
    <m/>
    <s v="1"/>
    <s v="1"/>
    <s v="1"/>
    <s v="1"/>
    <s v="0"/>
    <m/>
    <m/>
    <m/>
    <m/>
    <m/>
    <m/>
    <m/>
    <m/>
    <m/>
    <m/>
    <m/>
    <m/>
    <m/>
    <m/>
  </r>
  <r>
    <n v="744"/>
    <d v="2025-02-22T00:00:00"/>
    <s v="ZBTO"/>
    <n v="9518543125"/>
    <n v="7"/>
    <s v="9518543125-7"/>
    <s v="No Priority"/>
    <x v="0"/>
    <m/>
    <x v="2"/>
    <x v="3"/>
    <n v="1000"/>
    <m/>
    <x v="0"/>
    <m/>
    <m/>
    <s v="Jharkhand"/>
    <s v="East"/>
    <s v="GAMHARIA"/>
    <s v="Coil"/>
    <n v="940016"/>
    <x v="15"/>
    <n v="3930916"/>
    <s v="PPGL C HARD Y550PL ISC6 0.350X1220"/>
    <m/>
    <m/>
    <m/>
    <m/>
    <s v="Wider"/>
    <s v="B18"/>
    <s v="Y550PL"/>
    <s v="ISC6"/>
    <n v="0.35"/>
    <n v="1220"/>
    <n v="0"/>
    <n v="56"/>
    <n v="37.26"/>
    <n v="18.739999999999998"/>
    <n v="7.42"/>
    <n v="18.739999999999998"/>
    <n v="18.739999999999998"/>
    <n v="0"/>
    <n v="0"/>
    <n v="0"/>
    <n v="0"/>
    <n v="0"/>
    <n v="0"/>
    <n v="0"/>
    <n v="0"/>
    <n v="0"/>
    <n v="0"/>
    <n v="0"/>
    <n v="0"/>
    <n v="0"/>
    <n v="0"/>
    <n v="0"/>
    <n v="0"/>
    <n v="0"/>
    <n v="0"/>
    <n v="0"/>
    <n v="0"/>
    <n v="0"/>
    <n v="0"/>
    <n v="0"/>
    <n v="0"/>
    <n v="26.340000000000003"/>
    <n v="29.66"/>
    <n v="29.66"/>
    <n v="0"/>
    <n v="0"/>
    <n v="0"/>
    <n v="0"/>
    <n v="56"/>
    <n v="0"/>
    <n v="56"/>
    <n v="0"/>
    <n v="0"/>
    <n v="0"/>
    <n v="0"/>
    <n v="0"/>
    <n v="0"/>
    <n v="0"/>
    <n v="0"/>
    <n v="0"/>
    <n v="0"/>
    <n v="0"/>
    <m/>
    <m/>
    <m/>
    <m/>
    <m/>
    <m/>
    <m/>
    <m/>
    <s v="0"/>
    <s v="1"/>
    <s v="1"/>
    <s v="1"/>
    <s v="1"/>
    <m/>
    <m/>
    <m/>
    <m/>
    <m/>
    <m/>
    <m/>
    <m/>
    <m/>
    <m/>
    <m/>
    <m/>
    <m/>
    <m/>
  </r>
  <r>
    <n v="744"/>
    <d v="2025-02-22T00:00:00"/>
    <s v="ZBTO"/>
    <n v="9518543214"/>
    <n v="6"/>
    <s v="9518543214-6"/>
    <s v="Apr'25 "/>
    <x v="0"/>
    <m/>
    <x v="2"/>
    <x v="3"/>
    <n v="1000"/>
    <m/>
    <x v="1"/>
    <m/>
    <m/>
    <s v="Jharkhand"/>
    <s v="East"/>
    <s v="GAMHARIA"/>
    <s v="Coil"/>
    <n v="940016"/>
    <x v="15"/>
    <n v="3900141"/>
    <s v="PPGL C HARD Y550PL ISC6 0.430X1220"/>
    <m/>
    <m/>
    <m/>
    <m/>
    <s v="Wider"/>
    <s v="B18"/>
    <s v="Y550PL"/>
    <s v="ISC6"/>
    <n v="0.43"/>
    <n v="1220"/>
    <n v="0"/>
    <n v="28"/>
    <n v="0"/>
    <n v="28"/>
    <n v="28"/>
    <n v="28"/>
    <n v="28"/>
    <n v="0"/>
    <n v="0"/>
    <n v="0"/>
    <n v="0"/>
    <n v="0"/>
    <n v="0"/>
    <n v="0"/>
    <n v="0"/>
    <n v="0"/>
    <n v="0"/>
    <n v="0"/>
    <n v="0"/>
    <n v="0"/>
    <n v="0"/>
    <n v="0"/>
    <n v="0"/>
    <n v="0"/>
    <n v="0"/>
    <n v="0"/>
    <n v="0"/>
    <n v="0"/>
    <n v="0"/>
    <n v="0"/>
    <n v="0"/>
    <n v="0"/>
    <n v="28"/>
    <n v="0"/>
    <n v="0"/>
    <n v="0"/>
    <n v="0"/>
    <n v="28"/>
    <n v="0"/>
    <n v="0"/>
    <n v="0"/>
    <n v="0"/>
    <n v="0"/>
    <n v="0"/>
    <n v="28"/>
    <n v="0"/>
    <n v="0"/>
    <n v="0"/>
    <n v="0"/>
    <n v="0"/>
    <n v="0"/>
    <n v="0"/>
    <m/>
    <m/>
    <m/>
    <m/>
    <m/>
    <m/>
    <m/>
    <m/>
    <s v="1"/>
    <s v="1"/>
    <s v="1"/>
    <s v="1"/>
    <s v="0"/>
    <m/>
    <m/>
    <m/>
    <m/>
    <m/>
    <m/>
    <m/>
    <m/>
    <m/>
    <m/>
    <m/>
    <m/>
    <m/>
    <m/>
  </r>
  <r>
    <n v="744"/>
    <d v="2025-02-22T00:00:00"/>
    <s v="ZBTO"/>
    <n v="9518543214"/>
    <n v="7"/>
    <s v="9518543214-7"/>
    <s v="No Priority"/>
    <x v="0"/>
    <m/>
    <x v="2"/>
    <x v="3"/>
    <n v="1000"/>
    <m/>
    <x v="0"/>
    <m/>
    <m/>
    <s v="Jharkhand"/>
    <s v="East"/>
    <s v="GAMHARIA"/>
    <s v="Coil"/>
    <n v="940016"/>
    <x v="15"/>
    <n v="3900141"/>
    <s v="PPGL C HARD Y550PL ISC6 0.430X1220"/>
    <m/>
    <m/>
    <m/>
    <m/>
    <s v="Wider"/>
    <s v="B18"/>
    <s v="Y550PL"/>
    <s v="ISC6"/>
    <n v="0.43"/>
    <n v="1220"/>
    <n v="0"/>
    <n v="28"/>
    <n v="17.59"/>
    <n v="10.41"/>
    <n v="3.63"/>
    <n v="5.7750000000000004"/>
    <n v="8.2550000000000008"/>
    <n v="0"/>
    <n v="0"/>
    <n v="0"/>
    <n v="0"/>
    <n v="0"/>
    <n v="0"/>
    <n v="0"/>
    <n v="0"/>
    <n v="0"/>
    <n v="4.6349999999999998"/>
    <n v="0"/>
    <n v="0"/>
    <n v="0"/>
    <n v="0"/>
    <n v="0"/>
    <n v="0"/>
    <n v="0"/>
    <n v="0"/>
    <n v="0"/>
    <n v="4.6349999999999998"/>
    <n v="4.6349999999999998"/>
    <n v="0"/>
    <n v="4.6349999999999998"/>
    <n v="0"/>
    <n v="0"/>
    <n v="28"/>
    <n v="0"/>
    <n v="0"/>
    <n v="0"/>
    <n v="28"/>
    <n v="0"/>
    <n v="28"/>
    <n v="0"/>
    <n v="0"/>
    <n v="0"/>
    <n v="0"/>
    <n v="28"/>
    <n v="0"/>
    <n v="0"/>
    <n v="0"/>
    <n v="0"/>
    <n v="0"/>
    <n v="0"/>
    <n v="0"/>
    <n v="0"/>
    <m/>
    <m/>
    <m/>
    <m/>
    <m/>
    <m/>
    <m/>
    <m/>
    <s v="1"/>
    <s v="1"/>
    <s v="1"/>
    <s v="0"/>
    <s v="1"/>
    <m/>
    <m/>
    <m/>
    <m/>
    <m/>
    <m/>
    <m/>
    <m/>
    <m/>
    <m/>
    <m/>
    <m/>
    <m/>
    <m/>
  </r>
  <r>
    <n v="744"/>
    <d v="2025-02-22T00:00:00"/>
    <s v="ZBTO"/>
    <n v="9518543307"/>
    <n v="1"/>
    <s v="9518543307-1"/>
    <s v="No Priority"/>
    <x v="0"/>
    <m/>
    <x v="2"/>
    <x v="3"/>
    <n v="1000"/>
    <m/>
    <x v="0"/>
    <m/>
    <m/>
    <s v="Jharkhand"/>
    <s v="East"/>
    <s v="GAMHARIA"/>
    <s v="Coil"/>
    <n v="940016"/>
    <x v="15"/>
    <n v="3879501"/>
    <s v="PPGL C HARD Y550PL ISC6 0.450X1220"/>
    <m/>
    <m/>
    <m/>
    <m/>
    <s v="Wider"/>
    <s v="B18"/>
    <s v="Y550PL"/>
    <s v="ISC6"/>
    <n v="0.45"/>
    <n v="1220"/>
    <n v="0"/>
    <n v="112"/>
    <n v="106.21"/>
    <n v="5.79"/>
    <n v="-3.5459999999999998"/>
    <n v="0"/>
    <n v="5.79"/>
    <n v="0"/>
    <n v="0"/>
    <n v="0"/>
    <n v="0"/>
    <n v="0"/>
    <n v="0"/>
    <n v="0"/>
    <n v="5.15"/>
    <n v="0"/>
    <n v="0"/>
    <n v="0"/>
    <n v="0"/>
    <n v="0"/>
    <n v="0"/>
    <n v="0"/>
    <n v="0"/>
    <n v="0"/>
    <n v="0"/>
    <n v="0"/>
    <n v="5.15"/>
    <n v="5.15"/>
    <n v="0"/>
    <n v="5.15"/>
    <n v="0"/>
    <n v="23.995000000000001"/>
    <n v="23.91"/>
    <n v="0"/>
    <n v="0"/>
    <n v="23.91"/>
    <n v="0"/>
    <n v="0"/>
    <n v="47.905000000000001"/>
    <n v="0"/>
    <n v="0"/>
    <n v="47.905000000000001"/>
    <n v="0"/>
    <n v="0"/>
    <n v="0"/>
    <n v="4.51"/>
    <n v="0"/>
    <n v="0"/>
    <n v="4.51"/>
    <n v="0"/>
    <n v="0"/>
    <n v="0"/>
    <m/>
    <m/>
    <m/>
    <m/>
    <m/>
    <m/>
    <m/>
    <m/>
    <s v="1"/>
    <s v="1"/>
    <s v="0"/>
    <s v="1"/>
    <s v="1"/>
    <m/>
    <m/>
    <m/>
    <m/>
    <m/>
    <m/>
    <m/>
    <m/>
    <m/>
    <m/>
    <m/>
    <m/>
    <m/>
    <m/>
  </r>
  <r>
    <n v="742"/>
    <d v="2025-01-10T00:00:00"/>
    <s v="ZBTO"/>
    <n v="9518419100"/>
    <n v="7"/>
    <s v="9518419100-7"/>
    <s v="No Priority"/>
    <x v="0"/>
    <m/>
    <x v="0"/>
    <x v="0"/>
    <n v="2000"/>
    <m/>
    <x v="0"/>
    <m/>
    <m/>
    <s v="Karnataka"/>
    <s v="South"/>
    <s v="YESHWANTHPURA"/>
    <s v="Coil"/>
    <n v="932179"/>
    <x v="45"/>
    <n v="1294722"/>
    <s v="HR COILS-PO IS 1079 HR2 3.15X1250"/>
    <m/>
    <m/>
    <m/>
    <m/>
    <s v="Wider"/>
    <n v="768"/>
    <s v="THR099"/>
    <s v="HR99"/>
    <n v="3.15"/>
    <n v="1250"/>
    <n v="0"/>
    <n v="50"/>
    <n v="24.75"/>
    <n v="25.25"/>
    <n v="0.59"/>
    <n v="0"/>
    <n v="0"/>
    <n v="0"/>
    <n v="0"/>
    <n v="0"/>
    <n v="0"/>
    <n v="0"/>
    <n v="0"/>
    <n v="0"/>
    <n v="0"/>
    <n v="0"/>
    <n v="0"/>
    <n v="0"/>
    <n v="0"/>
    <n v="0"/>
    <n v="0"/>
    <n v="0"/>
    <n v="0"/>
    <n v="0"/>
    <n v="0"/>
    <n v="0"/>
    <n v="0"/>
    <n v="0"/>
    <n v="0"/>
    <n v="0"/>
    <n v="0"/>
    <n v="0"/>
    <n v="25.25"/>
    <n v="0"/>
    <n v="25.25"/>
    <n v="0"/>
    <n v="0"/>
    <n v="0"/>
    <n v="25.25"/>
    <n v="0"/>
    <n v="0"/>
    <n v="25.25"/>
    <n v="0"/>
    <n v="0"/>
    <n v="0"/>
    <n v="0"/>
    <n v="0"/>
    <n v="0"/>
    <n v="0"/>
    <n v="0"/>
    <n v="0"/>
    <n v="0"/>
    <m/>
    <m/>
    <m/>
    <m/>
    <m/>
    <m/>
    <m/>
    <m/>
    <s v="1"/>
    <s v="0"/>
    <s v="1"/>
    <s v="1"/>
    <s v="1"/>
    <m/>
    <m/>
    <m/>
    <m/>
    <m/>
    <m/>
    <m/>
    <m/>
    <m/>
    <m/>
    <m/>
    <m/>
    <m/>
    <m/>
  </r>
  <r>
    <n v="742"/>
    <d v="2025-01-10T00:00:00"/>
    <s v="ZBTO"/>
    <n v="9518419100"/>
    <n v="9"/>
    <s v="9518419100-8"/>
    <s v="No Priority"/>
    <x v="0"/>
    <m/>
    <x v="0"/>
    <x v="0"/>
    <n v="2000"/>
    <m/>
    <x v="0"/>
    <m/>
    <m/>
    <s v="Karnataka"/>
    <s v="South"/>
    <s v="YESHWANTHPURA"/>
    <s v="Coil"/>
    <n v="932179"/>
    <x v="45"/>
    <n v="1210086"/>
    <s v="HR COILS-PO IS 1079 HR2 4X1250"/>
    <m/>
    <m/>
    <m/>
    <m/>
    <s v="Wider"/>
    <n v="768"/>
    <s v="THR099"/>
    <s v="HR99"/>
    <n v="4"/>
    <n v="1250"/>
    <n v="0"/>
    <n v="50"/>
    <n v="0"/>
    <n v="50"/>
    <n v="50"/>
    <n v="0"/>
    <n v="0"/>
    <n v="0"/>
    <n v="0"/>
    <n v="0"/>
    <n v="0"/>
    <n v="0"/>
    <n v="0"/>
    <n v="0"/>
    <n v="0"/>
    <n v="0"/>
    <n v="0"/>
    <n v="0"/>
    <n v="0"/>
    <n v="0"/>
    <n v="0"/>
    <n v="0"/>
    <n v="0"/>
    <n v="0"/>
    <n v="0"/>
    <n v="0"/>
    <n v="0"/>
    <n v="0"/>
    <n v="50"/>
    <n v="50"/>
    <n v="0"/>
    <n v="0"/>
    <n v="50"/>
    <n v="0"/>
    <n v="0"/>
    <n v="0"/>
    <n v="50"/>
    <n v="0"/>
    <n v="50"/>
    <n v="0"/>
    <n v="0"/>
    <n v="0"/>
    <n v="50"/>
    <n v="0"/>
    <n v="0"/>
    <n v="0"/>
    <n v="0"/>
    <n v="0"/>
    <n v="0"/>
    <n v="0"/>
    <n v="0"/>
    <n v="0"/>
    <m/>
    <m/>
    <m/>
    <m/>
    <m/>
    <m/>
    <m/>
    <m/>
    <s v="1"/>
    <s v="1"/>
    <s v="1"/>
    <s v="0"/>
    <s v="1"/>
    <m/>
    <m/>
    <m/>
    <m/>
    <m/>
    <m/>
    <m/>
    <m/>
    <m/>
    <m/>
    <m/>
    <m/>
    <m/>
    <m/>
  </r>
  <r>
    <n v="742"/>
    <d v="2025-02-26T00:00:00"/>
    <s v="ZBTO"/>
    <n v="9518554428"/>
    <n v="2"/>
    <s v="9518554428-2"/>
    <s v="No Priority"/>
    <x v="0"/>
    <m/>
    <x v="1"/>
    <x v="10"/>
    <s v="1000-IPPE"/>
    <m/>
    <x v="0"/>
    <m/>
    <m/>
    <s v="Andhra Pradesh"/>
    <s v="South"/>
    <s v="PATANCHERU"/>
    <s v="Coil"/>
    <n v="186001"/>
    <x v="46"/>
    <n v="2426078"/>
    <s v="CRCA COIL TATXXD BT01 1X1320"/>
    <s v=" "/>
    <m/>
    <n v="6"/>
    <n v="8"/>
    <s v="Wider"/>
    <s v="C01"/>
    <s v="TATXXD"/>
    <s v="BT01"/>
    <n v="1"/>
    <n v="1320"/>
    <n v="0"/>
    <n v="89.99"/>
    <n v="57.5"/>
    <n v="32.49"/>
    <n v="3.92"/>
    <n v="32.49"/>
    <n v="0"/>
    <n v="0"/>
    <n v="0"/>
    <n v="0"/>
    <n v="0"/>
    <n v="0"/>
    <n v="0"/>
    <n v="0"/>
    <n v="0"/>
    <n v="0"/>
    <n v="0"/>
    <n v="0"/>
    <n v="0"/>
    <n v="0"/>
    <n v="0"/>
    <n v="0"/>
    <n v="0"/>
    <n v="0"/>
    <n v="0"/>
    <n v="0"/>
    <n v="0"/>
    <n v="0"/>
    <n v="0"/>
    <n v="0"/>
    <n v="0"/>
    <n v="18.28"/>
    <n v="71.709999999999994"/>
    <n v="0"/>
    <n v="71.709999999999994"/>
    <n v="0"/>
    <n v="0"/>
    <n v="0"/>
    <n v="89.99"/>
    <n v="0"/>
    <n v="0"/>
    <n v="89.99"/>
    <n v="0"/>
    <n v="0"/>
    <n v="0"/>
    <n v="39.22"/>
    <n v="0"/>
    <n v="39.22"/>
    <n v="0"/>
    <n v="0"/>
    <n v="0"/>
    <n v="0"/>
    <m/>
    <m/>
    <m/>
    <m/>
    <m/>
    <m/>
    <m/>
    <m/>
    <s v="1"/>
    <s v="0"/>
    <s v="1"/>
    <s v="1"/>
    <s v="1"/>
    <m/>
    <m/>
    <m/>
    <m/>
    <m/>
    <m/>
    <m/>
    <m/>
    <m/>
    <m/>
    <m/>
    <m/>
    <m/>
    <m/>
  </r>
  <r>
    <n v="742"/>
    <d v="2025-02-27T00:00:00"/>
    <s v="ZBTF"/>
    <n v="9518559566"/>
    <n v="2"/>
    <s v="9518559566-2"/>
    <s v="No Priority"/>
    <x v="0"/>
    <m/>
    <x v="1"/>
    <x v="10"/>
    <s v="1000-IPPE"/>
    <m/>
    <x v="0"/>
    <m/>
    <m/>
    <s v="West Bengal"/>
    <s v="East"/>
    <s v="THIRUVALLUR"/>
    <s v="Coil"/>
    <n v="600250"/>
    <x v="23"/>
    <n v="3704262"/>
    <s v="CR COIL TSBSTA EL03 1X1250"/>
    <s v=" "/>
    <s v=""/>
    <n v="8"/>
    <n v="11"/>
    <s v="Wider"/>
    <s v="C01"/>
    <s v="TSBSTA"/>
    <s v="EL03"/>
    <n v="1"/>
    <n v="1250"/>
    <n v="0"/>
    <n v="29"/>
    <n v="0"/>
    <n v="29"/>
    <n v="1.33"/>
    <n v="0"/>
    <n v="3.2149999999999999"/>
    <n v="0"/>
    <n v="0"/>
    <n v="0"/>
    <n v="0"/>
    <n v="0"/>
    <n v="0"/>
    <n v="0"/>
    <n v="0"/>
    <n v="0"/>
    <n v="0"/>
    <n v="0"/>
    <n v="0"/>
    <n v="0"/>
    <n v="0"/>
    <n v="0"/>
    <n v="0"/>
    <n v="0"/>
    <n v="0"/>
    <n v="0"/>
    <n v="0"/>
    <n v="0"/>
    <n v="0"/>
    <n v="0"/>
    <n v="0"/>
    <n v="0"/>
    <n v="29"/>
    <n v="0"/>
    <n v="0"/>
    <n v="0"/>
    <n v="29"/>
    <n v="0"/>
    <n v="0"/>
    <n v="0"/>
    <n v="0"/>
    <n v="0"/>
    <n v="0"/>
    <n v="0"/>
    <n v="29"/>
    <n v="0"/>
    <n v="0"/>
    <n v="0"/>
    <n v="0"/>
    <n v="0"/>
    <n v="0"/>
    <n v="0"/>
    <m/>
    <m/>
    <m/>
    <m/>
    <m/>
    <m/>
    <m/>
    <m/>
    <s v="1"/>
    <s v="1"/>
    <s v="1"/>
    <s v="0"/>
    <s v="1"/>
    <m/>
    <m/>
    <m/>
    <m/>
    <m/>
    <m/>
    <m/>
    <m/>
    <m/>
    <m/>
    <m/>
    <m/>
    <m/>
    <m/>
  </r>
  <r>
    <n v="744"/>
    <d v="2025-02-27T00:00:00"/>
    <s v="ZBTO"/>
    <n v="9518560278"/>
    <n v="5"/>
    <s v="9518560278-5"/>
    <s v="No Priority"/>
    <x v="0"/>
    <m/>
    <x v="2"/>
    <x v="3"/>
    <s v="1000-IPPE"/>
    <m/>
    <x v="0"/>
    <m/>
    <m/>
    <s v="Jharkhand"/>
    <s v="East"/>
    <s v="TBL- BARA AGRICO"/>
    <s v="Coil"/>
    <n v="941597"/>
    <x v="15"/>
    <n v="1633706"/>
    <s v="PPGL C Y550 HPL3 0.42BMT(0.50TPT)X1220"/>
    <s v="AZ150"/>
    <m/>
    <m/>
    <m/>
    <s v="Wider"/>
    <s v="B18"/>
    <s v="Y550PL"/>
    <s v="HPL3"/>
    <n v="0.42"/>
    <n v="1220"/>
    <n v="0"/>
    <n v="28"/>
    <n v="0"/>
    <n v="28"/>
    <n v="0.34499999999999997"/>
    <n v="0"/>
    <n v="28"/>
    <n v="0"/>
    <n v="28.63"/>
    <n v="0"/>
    <n v="0"/>
    <n v="0"/>
    <n v="0"/>
    <n v="0"/>
    <n v="0"/>
    <n v="0"/>
    <n v="0"/>
    <n v="0"/>
    <n v="0"/>
    <n v="0"/>
    <n v="0"/>
    <n v="0"/>
    <n v="0"/>
    <n v="0"/>
    <n v="0"/>
    <n v="0"/>
    <n v="28.63"/>
    <n v="28.63"/>
    <n v="0"/>
    <n v="28.63"/>
    <n v="0"/>
    <n v="0"/>
    <n v="28"/>
    <n v="0"/>
    <n v="0"/>
    <n v="28"/>
    <n v="0"/>
    <n v="0"/>
    <n v="28"/>
    <n v="0"/>
    <n v="0"/>
    <n v="28"/>
    <n v="0"/>
    <n v="0"/>
    <n v="0"/>
    <n v="0"/>
    <n v="0"/>
    <n v="0"/>
    <n v="0"/>
    <n v="0"/>
    <n v="0"/>
    <n v="0"/>
    <m/>
    <m/>
    <m/>
    <m/>
    <m/>
    <m/>
    <m/>
    <m/>
    <s v="1"/>
    <s v="1"/>
    <s v="0"/>
    <s v="1"/>
    <s v="1"/>
    <m/>
    <m/>
    <m/>
    <m/>
    <m/>
    <m/>
    <m/>
    <m/>
    <m/>
    <m/>
    <m/>
    <m/>
    <m/>
    <m/>
  </r>
  <r>
    <n v="744"/>
    <d v="2025-02-27T00:00:00"/>
    <s v="ZBTO"/>
    <n v="9518560278"/>
    <n v="3"/>
    <s v="9518560278-3"/>
    <s v="No Priority"/>
    <x v="0"/>
    <m/>
    <x v="2"/>
    <x v="3"/>
    <s v="1000-IPPE"/>
    <m/>
    <x v="0"/>
    <m/>
    <m/>
    <s v="Jharkhand"/>
    <s v="East"/>
    <s v="TBL- BARA AGRICO"/>
    <s v="Coil"/>
    <n v="941597"/>
    <x v="15"/>
    <n v="1633706"/>
    <s v="PPGL C Y550 HPL3 0.42BMT(0.50TPT)X1220"/>
    <s v="AZ150"/>
    <m/>
    <m/>
    <m/>
    <s v="Wider"/>
    <s v="B18"/>
    <s v="Y550PL"/>
    <s v="HPL3"/>
    <n v="0.42"/>
    <n v="1220"/>
    <n v="0"/>
    <n v="28"/>
    <n v="0"/>
    <n v="28"/>
    <n v="0.68"/>
    <n v="0"/>
    <n v="28"/>
    <n v="0"/>
    <n v="0"/>
    <n v="0"/>
    <n v="0"/>
    <n v="0"/>
    <n v="0"/>
    <n v="0"/>
    <n v="0"/>
    <n v="0"/>
    <n v="27.29"/>
    <n v="0"/>
    <n v="0"/>
    <n v="0"/>
    <n v="0"/>
    <n v="0"/>
    <n v="0"/>
    <n v="0"/>
    <n v="0"/>
    <n v="0"/>
    <n v="27.29"/>
    <n v="27.29"/>
    <n v="0"/>
    <n v="27.29"/>
    <n v="0"/>
    <n v="0"/>
    <n v="28"/>
    <n v="0"/>
    <n v="0"/>
    <n v="0"/>
    <n v="28"/>
    <n v="0"/>
    <n v="28"/>
    <n v="0"/>
    <n v="0"/>
    <n v="0"/>
    <n v="0"/>
    <n v="28"/>
    <n v="0"/>
    <n v="0"/>
    <n v="0"/>
    <n v="0"/>
    <n v="0"/>
    <n v="0"/>
    <n v="0"/>
    <n v="0"/>
    <m/>
    <m/>
    <m/>
    <m/>
    <m/>
    <m/>
    <m/>
    <m/>
    <s v="1"/>
    <s v="1"/>
    <s v="1"/>
    <s v="0"/>
    <s v="1"/>
    <m/>
    <m/>
    <m/>
    <m/>
    <m/>
    <m/>
    <m/>
    <m/>
    <m/>
    <m/>
    <m/>
    <m/>
    <m/>
    <m/>
  </r>
  <r>
    <n v="743"/>
    <d v="2025-03-01T00:00:00"/>
    <s v="ZBTO"/>
    <n v="9518567053"/>
    <n v="1"/>
    <s v="9518567053-1"/>
    <s v="No Priority"/>
    <x v="0"/>
    <m/>
    <x v="4"/>
    <x v="3"/>
    <s v="1000-IPPE"/>
    <m/>
    <x v="0"/>
    <m/>
    <m/>
    <s v="Jharkhand"/>
    <s v="East"/>
    <s v="TBL- BARA AGRICO"/>
    <s v="Coil"/>
    <n v="942283"/>
    <x v="6"/>
    <n v="1882004"/>
    <s v="GL C YS550 H6GL 0.55BMT(0.60TCT)X1220"/>
    <m/>
    <m/>
    <m/>
    <m/>
    <s v="Wider"/>
    <s v="B04"/>
    <s v="Y550GL"/>
    <s v="H6GL"/>
    <n v="0.55000000000000004"/>
    <n v="1220"/>
    <n v="0"/>
    <n v="28"/>
    <n v="9.0649999999999995"/>
    <n v="18.934999999999999"/>
    <n v="1.125"/>
    <n v="0"/>
    <n v="1.29"/>
    <n v="0"/>
    <n v="0"/>
    <n v="0"/>
    <n v="0"/>
    <n v="0"/>
    <n v="0"/>
    <n v="0"/>
    <n v="0"/>
    <n v="0"/>
    <n v="0"/>
    <n v="0"/>
    <n v="0"/>
    <n v="0"/>
    <n v="0"/>
    <n v="0"/>
    <n v="0"/>
    <n v="0"/>
    <n v="0"/>
    <n v="0"/>
    <n v="0"/>
    <n v="0"/>
    <n v="0"/>
    <n v="0"/>
    <n v="0"/>
    <n v="0"/>
    <n v="28"/>
    <n v="0"/>
    <n v="28"/>
    <n v="0"/>
    <n v="0"/>
    <n v="0"/>
    <n v="28"/>
    <n v="0"/>
    <n v="0"/>
    <n v="28"/>
    <n v="0"/>
    <n v="0"/>
    <n v="0"/>
    <n v="0"/>
    <n v="0"/>
    <n v="0"/>
    <n v="0"/>
    <n v="0"/>
    <n v="0"/>
    <n v="0"/>
    <m/>
    <m/>
    <m/>
    <m/>
    <m/>
    <m/>
    <m/>
    <m/>
    <s v="1"/>
    <s v="0"/>
    <s v="1"/>
    <s v="1"/>
    <s v="1"/>
    <m/>
    <m/>
    <m/>
    <m/>
    <m/>
    <m/>
    <m/>
    <m/>
    <m/>
    <m/>
    <m/>
    <m/>
    <m/>
    <m/>
  </r>
  <r>
    <n v="742"/>
    <d v="2025-02-25T00:00:00"/>
    <s v="ZBTF"/>
    <n v="4000499688"/>
    <n v="4"/>
    <s v="4000499688-4"/>
    <s v="No Priority"/>
    <x v="0"/>
    <m/>
    <x v="0"/>
    <x v="6"/>
    <s v="2000-BPRS"/>
    <m/>
    <x v="0"/>
    <m/>
    <m/>
    <s v="Karnataka"/>
    <s v="South"/>
    <s v="YESHWANTHPURA"/>
    <s v="Coil"/>
    <n v="600103"/>
    <x v="21"/>
    <n v="3226988"/>
    <s v="HR COILS-PO THR099 HR99 3.40X1250"/>
    <m/>
    <m/>
    <m/>
    <m/>
    <s v="Wider"/>
    <n v="768"/>
    <s v="THR099"/>
    <s v="HR99"/>
    <n v="3.4"/>
    <n v="1250"/>
    <n v="0"/>
    <n v="50"/>
    <n v="24.53"/>
    <n v="25.47"/>
    <n v="25.47"/>
    <n v="0"/>
    <n v="0.93"/>
    <n v="0"/>
    <n v="0"/>
    <n v="0"/>
    <n v="0"/>
    <n v="0"/>
    <n v="0"/>
    <n v="0"/>
    <n v="0"/>
    <n v="0"/>
    <n v="0"/>
    <n v="0"/>
    <n v="0"/>
    <n v="0"/>
    <n v="0"/>
    <n v="0"/>
    <n v="0"/>
    <n v="0"/>
    <n v="0"/>
    <n v="0"/>
    <n v="0"/>
    <n v="0"/>
    <n v="25"/>
    <n v="25"/>
    <n v="0"/>
    <n v="0"/>
    <n v="50"/>
    <n v="0"/>
    <n v="50"/>
    <n v="0"/>
    <n v="0"/>
    <n v="0"/>
    <n v="50"/>
    <n v="0"/>
    <n v="0"/>
    <n v="50"/>
    <n v="0"/>
    <n v="0"/>
    <n v="0"/>
    <n v="0"/>
    <n v="0"/>
    <n v="0"/>
    <n v="0"/>
    <n v="0"/>
    <n v="0"/>
    <n v="0"/>
    <m/>
    <m/>
    <m/>
    <m/>
    <m/>
    <m/>
    <m/>
    <m/>
    <s v="1"/>
    <s v="0"/>
    <s v="1"/>
    <s v="1"/>
    <s v="1"/>
    <m/>
    <m/>
    <m/>
    <m/>
    <m/>
    <m/>
    <m/>
    <m/>
    <m/>
    <m/>
    <m/>
    <m/>
    <m/>
    <m/>
  </r>
  <r>
    <n v="744"/>
    <d v="2025-03-01T00:00:00"/>
    <s v="ZBTO"/>
    <n v="9518567119"/>
    <n v="1"/>
    <s v="9518567119-1"/>
    <s v="No Priority"/>
    <x v="0"/>
    <m/>
    <x v="2"/>
    <x v="3"/>
    <s v="1000-IPPE"/>
    <m/>
    <x v="0"/>
    <m/>
    <m/>
    <s v="Jharkhand"/>
    <s v="East"/>
    <s v="TBL- BARA AGRICO"/>
    <s v="Coil"/>
    <n v="941597"/>
    <x v="6"/>
    <n v="1636510"/>
    <s v="PPGL COIL HARD-Y550PL-HPL3-0.55X1220"/>
    <m/>
    <m/>
    <m/>
    <m/>
    <s v="Wider"/>
    <s v="B18"/>
    <s v="Y550PL"/>
    <s v="HPL3"/>
    <n v="0.55000000000000004"/>
    <n v="1220"/>
    <n v="0"/>
    <n v="196"/>
    <n v="174.685"/>
    <n v="21.315000000000001"/>
    <n v="-8.32"/>
    <n v="0"/>
    <n v="21.315000000000001"/>
    <n v="0"/>
    <n v="28.59"/>
    <n v="0"/>
    <n v="0"/>
    <n v="0"/>
    <n v="0"/>
    <n v="0"/>
    <n v="0"/>
    <n v="0"/>
    <n v="0"/>
    <n v="0"/>
    <n v="0"/>
    <n v="0"/>
    <n v="0"/>
    <n v="0"/>
    <n v="2.0499999999999998"/>
    <n v="0"/>
    <n v="0"/>
    <n v="0"/>
    <n v="30.64"/>
    <n v="30.64"/>
    <n v="0"/>
    <n v="30.64"/>
    <n v="0"/>
    <n v="0"/>
    <n v="196"/>
    <n v="196"/>
    <n v="0"/>
    <n v="0"/>
    <n v="0"/>
    <n v="0"/>
    <n v="196"/>
    <n v="0"/>
    <n v="196"/>
    <n v="0"/>
    <n v="0"/>
    <n v="0"/>
    <n v="0"/>
    <n v="132.33000000000001"/>
    <n v="132.33000000000001"/>
    <n v="0"/>
    <n v="0"/>
    <n v="0"/>
    <n v="0"/>
    <n v="0"/>
    <m/>
    <m/>
    <m/>
    <m/>
    <m/>
    <m/>
    <m/>
    <m/>
    <s v="0"/>
    <s v="1"/>
    <s v="1"/>
    <s v="1"/>
    <s v="1"/>
    <m/>
    <m/>
    <m/>
    <m/>
    <m/>
    <m/>
    <m/>
    <m/>
    <m/>
    <m/>
    <m/>
    <m/>
    <m/>
    <m/>
  </r>
  <r>
    <n v="742"/>
    <d v="2025-01-15T00:00:00"/>
    <s v="ZBTO"/>
    <n v="9518430653"/>
    <n v="1"/>
    <s v="9518430653-1"/>
    <s v="No Priority"/>
    <x v="0"/>
    <m/>
    <x v="1"/>
    <x v="7"/>
    <s v="1000-IPPE"/>
    <m/>
    <x v="0"/>
    <m/>
    <m/>
    <s v="Gujarat"/>
    <s v="West"/>
    <s v="RAJKOT"/>
    <s v="Coil"/>
    <n v="188891"/>
    <x v="47"/>
    <n v="2439203"/>
    <s v="CRCA COIL TSBSTA EL06 0.500X1160"/>
    <m/>
    <m/>
    <m/>
    <m/>
    <s v="Narrow"/>
    <s v="C01"/>
    <s v="TSBSTA"/>
    <s v="EL06"/>
    <n v="0.5"/>
    <n v="1160"/>
    <n v="0"/>
    <n v="215.99"/>
    <n v="174.04499999999999"/>
    <n v="41.945"/>
    <n v="-10.205"/>
    <n v="0"/>
    <n v="0"/>
    <n v="0"/>
    <n v="0"/>
    <n v="0"/>
    <n v="0"/>
    <n v="0"/>
    <n v="0"/>
    <n v="0"/>
    <n v="0"/>
    <n v="0"/>
    <n v="0"/>
    <n v="0"/>
    <n v="0"/>
    <n v="0"/>
    <n v="0"/>
    <n v="0"/>
    <n v="0"/>
    <n v="0"/>
    <n v="0"/>
    <n v="0"/>
    <n v="0"/>
    <n v="0"/>
    <n v="0"/>
    <n v="0"/>
    <n v="0"/>
    <n v="118.60999999999997"/>
    <n v="109.875"/>
    <n v="0"/>
    <n v="109.875"/>
    <n v="0"/>
    <n v="0"/>
    <n v="0"/>
    <n v="228.48499999999996"/>
    <n v="0"/>
    <n v="0"/>
    <n v="228.48499999999996"/>
    <n v="0"/>
    <n v="0"/>
    <n v="0"/>
    <n v="62.004999999999995"/>
    <n v="0"/>
    <n v="62.004999999999995"/>
    <n v="0"/>
    <n v="0"/>
    <n v="0"/>
    <n v="0"/>
    <m/>
    <m/>
    <m/>
    <m/>
    <m/>
    <m/>
    <m/>
    <m/>
    <s v="1"/>
    <s v="0"/>
    <s v="1"/>
    <s v="1"/>
    <s v="1"/>
    <m/>
    <m/>
    <m/>
    <m/>
    <m/>
    <m/>
    <m/>
    <m/>
    <m/>
    <m/>
    <m/>
    <m/>
    <m/>
    <m/>
  </r>
  <r>
    <n v="742"/>
    <d v="2025-02-27T00:00:00"/>
    <s v="ZBTF"/>
    <n v="9518560055"/>
    <n v="1"/>
    <s v="9518560055-1"/>
    <s v="May'25"/>
    <x v="0"/>
    <m/>
    <x v="5"/>
    <x v="8"/>
    <n v="2000"/>
    <m/>
    <x v="1"/>
    <m/>
    <m/>
    <s v="Punjab"/>
    <s v="North"/>
    <s v="KHOPOLI"/>
    <s v="Coil"/>
    <n v="650250"/>
    <x v="29"/>
    <n v="2306895"/>
    <s v="CRFH COIL TATFHC TR10 0.320X1245"/>
    <m/>
    <m/>
    <m/>
    <m/>
    <s v="Wider"/>
    <s v="C09"/>
    <s v="TATFHC"/>
    <s v="TR10"/>
    <n v="0.32"/>
    <n v="1245"/>
    <n v="0"/>
    <n v="290"/>
    <n v="0"/>
    <n v="290"/>
    <n v="290"/>
    <n v="0"/>
    <n v="262.31"/>
    <n v="0"/>
    <n v="0"/>
    <n v="28.76"/>
    <n v="0"/>
    <n v="0"/>
    <n v="0"/>
    <n v="0"/>
    <n v="0"/>
    <n v="0"/>
    <n v="0"/>
    <n v="0"/>
    <n v="0"/>
    <n v="0"/>
    <n v="0"/>
    <n v="0"/>
    <n v="39.315000000000005"/>
    <n v="0"/>
    <n v="13.05"/>
    <n v="52.705000000000005"/>
    <n v="133.83000000000001"/>
    <n v="133.83000000000001"/>
    <n v="290"/>
    <n v="423.83000000000004"/>
    <n v="0"/>
    <n v="0"/>
    <n v="290"/>
    <n v="0"/>
    <n v="0"/>
    <n v="290"/>
    <n v="0"/>
    <n v="0"/>
    <n v="290"/>
    <n v="0"/>
    <n v="0"/>
    <n v="0"/>
    <n v="290"/>
    <n v="0"/>
    <n v="0"/>
    <n v="0"/>
    <n v="0"/>
    <n v="0"/>
    <n v="0"/>
    <n v="0"/>
    <n v="0"/>
    <n v="0"/>
    <m/>
    <m/>
    <m/>
    <m/>
    <m/>
    <m/>
    <m/>
    <m/>
    <s v="1"/>
    <s v="1"/>
    <s v="0"/>
    <s v="1"/>
    <s v="1"/>
    <m/>
    <m/>
    <m/>
    <m/>
    <m/>
    <m/>
    <m/>
    <m/>
    <m/>
    <m/>
    <m/>
    <m/>
    <m/>
    <m/>
  </r>
  <r>
    <n v="742"/>
    <d v="2025-02-05T00:00:00"/>
    <s v="ZBTO"/>
    <n v="9518494668"/>
    <n v="3"/>
    <s v="9518494668-3"/>
    <s v="No Priority"/>
    <x v="0"/>
    <m/>
    <x v="1"/>
    <x v="1"/>
    <n v="2000"/>
    <m/>
    <x v="0"/>
    <m/>
    <s v="Exp BTF &lt;17MT"/>
    <s v="Maharashtra"/>
    <s v="West"/>
    <s v="BOMBAY"/>
    <s v="Coil"/>
    <n v="120612"/>
    <x v="37"/>
    <n v="1804854"/>
    <s v="CRCA COIL-TATXXD-AU03-1.2X1250"/>
    <m/>
    <m/>
    <m/>
    <m/>
    <s v="Wider"/>
    <s v="C01"/>
    <m/>
    <s v="AU03"/>
    <n v="1.2"/>
    <n v="1250"/>
    <n v="0"/>
    <n v="87"/>
    <n v="25.78"/>
    <n v="61.22"/>
    <n v="6.32"/>
    <n v="61.22"/>
    <n v="0"/>
    <n v="0"/>
    <n v="0"/>
    <n v="0"/>
    <n v="0"/>
    <n v="0"/>
    <n v="0"/>
    <n v="0"/>
    <n v="0"/>
    <n v="0"/>
    <n v="0"/>
    <n v="0"/>
    <n v="0"/>
    <n v="0"/>
    <n v="0"/>
    <n v="0"/>
    <n v="0"/>
    <n v="0"/>
    <n v="0"/>
    <n v="0"/>
    <n v="0"/>
    <n v="0"/>
    <n v="0"/>
    <n v="0"/>
    <n v="0"/>
    <n v="0"/>
    <n v="61.22"/>
    <n v="0"/>
    <n v="0"/>
    <n v="61.22"/>
    <n v="0"/>
    <n v="0"/>
    <n v="61.22"/>
    <n v="0"/>
    <n v="0"/>
    <n v="0"/>
    <n v="61.22"/>
    <n v="0"/>
    <n v="0"/>
    <n v="0"/>
    <n v="0"/>
    <n v="0"/>
    <n v="0"/>
    <n v="0"/>
    <n v="0"/>
    <n v="0"/>
    <m/>
    <m/>
    <m/>
    <m/>
    <m/>
    <m/>
    <m/>
    <m/>
    <s v="1"/>
    <s v="1"/>
    <s v="0"/>
    <s v="1"/>
    <s v="1"/>
    <m/>
    <m/>
    <m/>
    <m/>
    <m/>
    <m/>
    <m/>
    <m/>
    <m/>
    <m/>
    <m/>
    <m/>
    <m/>
    <m/>
  </r>
  <r>
    <n v="742"/>
    <d v="2025-03-04T00:00:00"/>
    <s v="ZBTO"/>
    <n v="9518574020"/>
    <n v="1"/>
    <s v="9518574020-1"/>
    <s v="No Priority"/>
    <x v="0"/>
    <m/>
    <x v="1"/>
    <x v="1"/>
    <n v="2000"/>
    <m/>
    <x v="0"/>
    <m/>
    <s v="Exp BTF &lt;17MT"/>
    <s v="Delhi"/>
    <s v="North"/>
    <s v="ZOSOLA"/>
    <s v="Coil"/>
    <n v="101499"/>
    <x v="48"/>
    <n v="1800890"/>
    <s v="CRCA COIL-TATXXD-AU03-0.35X1250"/>
    <m/>
    <m/>
    <m/>
    <m/>
    <s v="Wider"/>
    <s v="C01"/>
    <s v="TATXXD"/>
    <s v="AU03"/>
    <n v="0.35"/>
    <n v="1250"/>
    <n v="0"/>
    <n v="116"/>
    <n v="64.150000000000006"/>
    <n v="51.85"/>
    <n v="14.64"/>
    <n v="51.85"/>
    <n v="51.85"/>
    <n v="0"/>
    <n v="0"/>
    <n v="0"/>
    <n v="0"/>
    <n v="0"/>
    <n v="0"/>
    <n v="0"/>
    <n v="0"/>
    <n v="0"/>
    <n v="0"/>
    <n v="0"/>
    <n v="0"/>
    <n v="0"/>
    <n v="0"/>
    <n v="0"/>
    <n v="0"/>
    <n v="0"/>
    <n v="0"/>
    <n v="0"/>
    <n v="0"/>
    <n v="0"/>
    <n v="0"/>
    <n v="0"/>
    <n v="0"/>
    <n v="0"/>
    <n v="116"/>
    <n v="116"/>
    <n v="0"/>
    <n v="0"/>
    <n v="0"/>
    <n v="0"/>
    <n v="116"/>
    <n v="0"/>
    <n v="116"/>
    <n v="0"/>
    <n v="0"/>
    <n v="0"/>
    <n v="0"/>
    <n v="64.150000000000006"/>
    <n v="64.150000000000006"/>
    <n v="0"/>
    <n v="0"/>
    <n v="0"/>
    <n v="0"/>
    <n v="0"/>
    <m/>
    <m/>
    <m/>
    <m/>
    <m/>
    <m/>
    <m/>
    <m/>
    <s v="0"/>
    <s v="1"/>
    <s v="1"/>
    <s v="1"/>
    <s v="1"/>
    <m/>
    <m/>
    <m/>
    <m/>
    <m/>
    <m/>
    <m/>
    <m/>
    <m/>
    <m/>
    <m/>
    <m/>
    <m/>
    <m/>
  </r>
  <r>
    <n v="742"/>
    <d v="2025-03-07T00:00:00"/>
    <s v="ZBTO"/>
    <n v="9518583094"/>
    <n v="3"/>
    <s v="9518583094-3"/>
    <s v="No Priority"/>
    <x v="0"/>
    <m/>
    <x v="1"/>
    <x v="2"/>
    <n v="2000"/>
    <m/>
    <x v="0"/>
    <m/>
    <s v="Exp BTF &lt;17MT"/>
    <s v="Uttar Pradesh"/>
    <s v="North"/>
    <s v="VARANASI"/>
    <s v="Sheet"/>
    <n v="931525"/>
    <x v="2"/>
    <n v="3437524"/>
    <s v="CRCA SHEET TATCRC SR16 0.400X1250X2030"/>
    <m/>
    <m/>
    <m/>
    <m/>
    <s v="Wider"/>
    <s v="C06"/>
    <s v="TATCRC"/>
    <s v="SR16"/>
    <n v="0.4"/>
    <n v="1250"/>
    <n v="2030"/>
    <n v="108"/>
    <n v="71.95"/>
    <n v="36.049999999999997"/>
    <n v="9.1199999999999992"/>
    <n v="36.049999999999997"/>
    <n v="10.47"/>
    <n v="0"/>
    <n v="0"/>
    <n v="0"/>
    <n v="0"/>
    <n v="0"/>
    <n v="0"/>
    <n v="0"/>
    <n v="0"/>
    <n v="0"/>
    <n v="0"/>
    <n v="0"/>
    <n v="0"/>
    <n v="0"/>
    <n v="0"/>
    <n v="0"/>
    <n v="0"/>
    <n v="0"/>
    <n v="0"/>
    <n v="0"/>
    <n v="0"/>
    <n v="0"/>
    <n v="0"/>
    <n v="0"/>
    <n v="0"/>
    <n v="56.135000000000005"/>
    <n v="44.475000000000001"/>
    <n v="0"/>
    <n v="0"/>
    <n v="0"/>
    <n v="44.475000000000001"/>
    <n v="0"/>
    <n v="100.61000000000001"/>
    <n v="0"/>
    <n v="0"/>
    <n v="0"/>
    <n v="100.61000000000001"/>
    <n v="0"/>
    <n v="0"/>
    <n v="33.9"/>
    <n v="0"/>
    <n v="0"/>
    <n v="0"/>
    <n v="33.9"/>
    <n v="0"/>
    <n v="0"/>
    <m/>
    <m/>
    <m/>
    <m/>
    <m/>
    <m/>
    <m/>
    <m/>
    <s v="1"/>
    <s v="1"/>
    <s v="1"/>
    <s v="0"/>
    <s v="1"/>
    <m/>
    <m/>
    <m/>
    <m/>
    <m/>
    <m/>
    <m/>
    <m/>
    <m/>
    <m/>
    <m/>
    <m/>
    <m/>
    <m/>
  </r>
  <r>
    <n v="742"/>
    <d v="2025-02-14T00:00:00"/>
    <s v="ZBTO"/>
    <n v="9518518906"/>
    <n v="2"/>
    <s v="9518518906-2"/>
    <s v="No Priority"/>
    <x v="0"/>
    <m/>
    <x v="1"/>
    <x v="2"/>
    <n v="2000"/>
    <m/>
    <x v="0"/>
    <m/>
    <s v="Exp BTF &lt;17MT"/>
    <s v="Uttar Pradesh"/>
    <s v="North"/>
    <s v="VARANASI"/>
    <s v="Sheet"/>
    <n v="931525"/>
    <x v="2"/>
    <n v="3437524"/>
    <s v="CRCA SHEET TATCRC SR16 0.400X1250X2030"/>
    <m/>
    <m/>
    <m/>
    <m/>
    <s v="Wider"/>
    <s v="C06"/>
    <s v="TATCRC"/>
    <s v="SR16"/>
    <n v="0.4"/>
    <n v="1250"/>
    <n v="2030"/>
    <n v="99"/>
    <n v="92.825000000000003"/>
    <n v="6.1749999999999998"/>
    <n v="6.1749999999999998"/>
    <n v="6.1749999999999998"/>
    <n v="6.1749999999999998"/>
    <n v="0"/>
    <n v="0"/>
    <n v="0"/>
    <n v="0"/>
    <n v="0"/>
    <n v="0"/>
    <n v="0"/>
    <n v="0"/>
    <n v="0"/>
    <n v="0"/>
    <n v="0"/>
    <n v="0"/>
    <n v="0"/>
    <n v="0"/>
    <n v="0"/>
    <n v="0"/>
    <n v="0"/>
    <n v="0"/>
    <n v="0"/>
    <n v="0"/>
    <n v="0"/>
    <n v="0"/>
    <n v="0"/>
    <n v="0"/>
    <n v="36.954999999999998"/>
    <n v="37.375"/>
    <n v="37.375"/>
    <n v="0"/>
    <n v="0"/>
    <n v="0"/>
    <n v="0"/>
    <n v="74.33"/>
    <n v="0"/>
    <n v="74.33"/>
    <n v="0"/>
    <n v="0"/>
    <n v="0"/>
    <n v="0"/>
    <n v="31.200000000000003"/>
    <n v="31.200000000000003"/>
    <n v="0"/>
    <n v="0"/>
    <n v="0"/>
    <n v="0"/>
    <n v="0"/>
    <m/>
    <m/>
    <m/>
    <m/>
    <m/>
    <m/>
    <m/>
    <m/>
    <s v="0"/>
    <s v="1"/>
    <s v="1"/>
    <s v="1"/>
    <s v="1"/>
    <m/>
    <m/>
    <m/>
    <m/>
    <m/>
    <m/>
    <m/>
    <m/>
    <m/>
    <m/>
    <m/>
    <m/>
    <m/>
    <m/>
  </r>
  <r>
    <n v="742"/>
    <d v="2025-03-07T00:00:00"/>
    <s v="ZBTO"/>
    <n v="9518583177"/>
    <n v="1"/>
    <s v="9518583177-1"/>
    <s v="No Priority"/>
    <x v="0"/>
    <m/>
    <x v="1"/>
    <x v="1"/>
    <n v="2000"/>
    <m/>
    <x v="0"/>
    <m/>
    <s v="Exp BTF &lt;17MT"/>
    <s v="Delhi"/>
    <s v="North"/>
    <s v="ZOSOLA"/>
    <s v="Coil"/>
    <n v="184986"/>
    <x v="49"/>
    <n v="185664"/>
    <s v="CRSHEET-ICF  DQ TATXXD AU03 0.40 X 1250"/>
    <m/>
    <m/>
    <m/>
    <m/>
    <s v="Wider"/>
    <s v="C01"/>
    <s v="TATXXD"/>
    <s v="AU03"/>
    <n v="0.4"/>
    <n v="1250"/>
    <n v="0"/>
    <n v="174"/>
    <n v="110.875"/>
    <n v="63.125"/>
    <n v="13.04"/>
    <n v="63.125"/>
    <n v="63.125"/>
    <n v="0"/>
    <n v="0"/>
    <n v="0"/>
    <n v="0"/>
    <n v="0"/>
    <n v="0"/>
    <n v="0"/>
    <n v="0"/>
    <n v="0"/>
    <n v="0"/>
    <n v="0"/>
    <n v="0"/>
    <n v="0"/>
    <n v="0"/>
    <n v="0"/>
    <n v="0"/>
    <n v="0"/>
    <n v="0"/>
    <n v="0"/>
    <n v="0"/>
    <n v="0"/>
    <n v="0"/>
    <n v="0"/>
    <n v="0"/>
    <n v="24.3"/>
    <n v="149.69999999999999"/>
    <n v="0"/>
    <n v="0"/>
    <n v="0"/>
    <n v="149.69999999999999"/>
    <n v="0"/>
    <n v="174"/>
    <n v="0"/>
    <n v="0"/>
    <n v="0"/>
    <n v="174"/>
    <n v="0"/>
    <n v="0"/>
    <n v="86.575000000000017"/>
    <n v="0"/>
    <n v="0"/>
    <n v="0"/>
    <n v="86.575000000000017"/>
    <n v="0"/>
    <n v="0"/>
    <m/>
    <m/>
    <m/>
    <m/>
    <m/>
    <m/>
    <m/>
    <m/>
    <s v="1"/>
    <s v="1"/>
    <s v="1"/>
    <s v="0"/>
    <s v="1"/>
    <m/>
    <m/>
    <m/>
    <m/>
    <m/>
    <m/>
    <m/>
    <m/>
    <m/>
    <m/>
    <m/>
    <m/>
    <m/>
    <m/>
  </r>
  <r>
    <n v="743"/>
    <d v="2025-03-01T00:00:00"/>
    <s v="ZBTO"/>
    <n v="9518567404"/>
    <n v="1"/>
    <s v="9518567404-1"/>
    <s v="No Priority"/>
    <x v="0"/>
    <m/>
    <x v="4"/>
    <x v="3"/>
    <n v="1000"/>
    <m/>
    <x v="0"/>
    <m/>
    <m/>
    <s v="Rajasthan"/>
    <s v="TBSPL"/>
    <s v="RAJASTHAN"/>
    <s v="Coil"/>
    <n v="942293"/>
    <x v="6"/>
    <n v="3946362"/>
    <s v="GL COIL HARD Y550GL M308 0.47 (TCT)X1220"/>
    <s v="AZ150"/>
    <m/>
    <n v="3"/>
    <n v="5"/>
    <s v="Wider"/>
    <s v="B04"/>
    <s v="Y550GL"/>
    <s v="M308"/>
    <n v="0.47"/>
    <n v="1220"/>
    <n v="0"/>
    <n v="252"/>
    <n v="223.86500000000001"/>
    <n v="28.135000000000002"/>
    <n v="0.41"/>
    <n v="0"/>
    <n v="0.54500000000000004"/>
    <n v="0"/>
    <n v="0"/>
    <n v="0"/>
    <n v="0"/>
    <n v="0"/>
    <n v="0"/>
    <n v="0"/>
    <n v="0"/>
    <n v="0"/>
    <n v="0"/>
    <n v="0"/>
    <n v="0"/>
    <n v="0"/>
    <n v="0"/>
    <n v="0"/>
    <n v="0"/>
    <n v="0"/>
    <n v="0"/>
    <n v="0"/>
    <n v="0"/>
    <n v="0"/>
    <n v="0"/>
    <n v="0"/>
    <n v="0"/>
    <n v="82.914999999999992"/>
    <n v="146.4"/>
    <n v="0"/>
    <n v="146.4"/>
    <n v="0"/>
    <n v="0"/>
    <n v="0"/>
    <n v="229.315"/>
    <n v="0"/>
    <n v="0"/>
    <n v="229.315"/>
    <n v="0"/>
    <n v="0"/>
    <n v="0"/>
    <n v="113.64999999999999"/>
    <n v="0"/>
    <n v="113.64999999999999"/>
    <n v="0"/>
    <n v="0"/>
    <n v="0"/>
    <n v="0"/>
    <m/>
    <m/>
    <m/>
    <m/>
    <m/>
    <m/>
    <m/>
    <m/>
    <s v="1"/>
    <s v="0"/>
    <s v="1"/>
    <s v="1"/>
    <s v="1"/>
    <m/>
    <m/>
    <m/>
    <m/>
    <m/>
    <m/>
    <m/>
    <m/>
    <m/>
    <m/>
    <m/>
    <m/>
    <m/>
    <m/>
  </r>
  <r>
    <n v="744"/>
    <d v="2025-03-06T00:00:00"/>
    <s v="ZBTO"/>
    <n v="9518578543"/>
    <n v="1"/>
    <s v="9518578543-1"/>
    <s v="No Priority"/>
    <x v="0"/>
    <m/>
    <x v="2"/>
    <x v="3"/>
    <s v="1000-IPPE"/>
    <m/>
    <x v="0"/>
    <m/>
    <m/>
    <s v="Tamil Nadu"/>
    <s v="South"/>
    <s v="TAMILNADU"/>
    <s v="Coil"/>
    <n v="940074"/>
    <x v="6"/>
    <n v="3960056"/>
    <s v="PPGL C HARD Y550PL DX01 0.53(TPT)X1220"/>
    <s v="AZ150"/>
    <s v="RAL 5012 TSL 2002"/>
    <n v="3"/>
    <n v="5"/>
    <s v="Wider"/>
    <s v="B18"/>
    <s v="Y550PL"/>
    <s v="DX01"/>
    <n v="0.53"/>
    <n v="1220"/>
    <n v="0"/>
    <n v="56"/>
    <n v="0"/>
    <n v="56"/>
    <n v="20.885000000000002"/>
    <n v="56"/>
    <n v="3.1349999999999998"/>
    <n v="0"/>
    <n v="0"/>
    <n v="0"/>
    <n v="0"/>
    <n v="0"/>
    <n v="0"/>
    <n v="0"/>
    <n v="0"/>
    <n v="0"/>
    <n v="0"/>
    <n v="0"/>
    <n v="0"/>
    <n v="0"/>
    <n v="0"/>
    <n v="0"/>
    <n v="0"/>
    <n v="0"/>
    <n v="0"/>
    <n v="0"/>
    <n v="0"/>
    <n v="0"/>
    <n v="0"/>
    <n v="0"/>
    <n v="0"/>
    <n v="0"/>
    <n v="56"/>
    <n v="0"/>
    <n v="0"/>
    <n v="0"/>
    <n v="56"/>
    <n v="0"/>
    <n v="56"/>
    <n v="0"/>
    <n v="0"/>
    <n v="0"/>
    <n v="0"/>
    <n v="56"/>
    <n v="0"/>
    <n v="0"/>
    <n v="0"/>
    <n v="0"/>
    <n v="0"/>
    <n v="0"/>
    <n v="0"/>
    <n v="0"/>
    <m/>
    <m/>
    <m/>
    <m/>
    <m/>
    <m/>
    <m/>
    <m/>
    <s v="1"/>
    <s v="1"/>
    <s v="1"/>
    <s v="0"/>
    <s v="1"/>
    <m/>
    <m/>
    <m/>
    <m/>
    <m/>
    <m/>
    <m/>
    <m/>
    <m/>
    <m/>
    <m/>
    <m/>
    <m/>
    <m/>
  </r>
  <r>
    <n v="744"/>
    <d v="2025-03-08T00:00:00"/>
    <s v="ZBTO"/>
    <n v="9518585087"/>
    <n v="2"/>
    <s v="9518585087-2"/>
    <s v="No Priority"/>
    <x v="0"/>
    <m/>
    <x v="2"/>
    <x v="3"/>
    <s v="1000-IPPE"/>
    <m/>
    <x v="0"/>
    <m/>
    <m/>
    <s v="Tamil Nadu"/>
    <s v="South"/>
    <s v="TAMILNADU"/>
    <s v="Coil"/>
    <n v="940074"/>
    <x v="6"/>
    <n v="3960056"/>
    <s v="PPGL C HARD Y550PL DX01 0.53(TPT)X1220"/>
    <s v="AZ150"/>
    <s v="RAL 9010 TSL 2007"/>
    <n v="3"/>
    <n v="5"/>
    <s v="Wider"/>
    <s v="B18"/>
    <s v="Y550PL"/>
    <s v="DX01"/>
    <n v="0.53"/>
    <n v="1220"/>
    <n v="0"/>
    <n v="223.98"/>
    <n v="208.31"/>
    <n v="15.67"/>
    <n v="0.47"/>
    <n v="0"/>
    <n v="15.67"/>
    <n v="0"/>
    <n v="0"/>
    <n v="0"/>
    <n v="0"/>
    <n v="0"/>
    <n v="0"/>
    <n v="0"/>
    <n v="0"/>
    <n v="0"/>
    <n v="0"/>
    <n v="0"/>
    <n v="0"/>
    <n v="0"/>
    <n v="0"/>
    <n v="0"/>
    <n v="32.774999999999999"/>
    <n v="0"/>
    <n v="0"/>
    <n v="0"/>
    <n v="32.774999999999999"/>
    <n v="32.774999999999999"/>
    <n v="0"/>
    <n v="32.774999999999999"/>
    <n v="0"/>
    <n v="201.99999999999997"/>
    <n v="22"/>
    <n v="22"/>
    <n v="0"/>
    <n v="0"/>
    <n v="0"/>
    <n v="0"/>
    <n v="223.99999999999997"/>
    <n v="0"/>
    <n v="223.99999999999997"/>
    <n v="0"/>
    <n v="0"/>
    <n v="0"/>
    <n v="0"/>
    <n v="2.8849999999999998"/>
    <n v="2.8849999999999998"/>
    <n v="0"/>
    <n v="0"/>
    <n v="0"/>
    <n v="0"/>
    <n v="0"/>
    <m/>
    <m/>
    <m/>
    <m/>
    <m/>
    <m/>
    <m/>
    <m/>
    <s v="0"/>
    <s v="1"/>
    <s v="1"/>
    <s v="1"/>
    <s v="1"/>
    <m/>
    <m/>
    <m/>
    <m/>
    <m/>
    <m/>
    <m/>
    <m/>
    <m/>
    <m/>
    <m/>
    <m/>
    <m/>
    <m/>
  </r>
  <r>
    <n v="742"/>
    <d v="2025-02-26T00:00:00"/>
    <s v="ZBTO"/>
    <n v="9518554461"/>
    <n v="1"/>
    <s v="9518554461-1"/>
    <s v="No Priority"/>
    <x v="0"/>
    <m/>
    <x v="1"/>
    <x v="10"/>
    <s v="1000-IPPE"/>
    <m/>
    <x v="0"/>
    <m/>
    <m/>
    <s v="Andhra Pradesh"/>
    <s v="South"/>
    <s v="VISAJHAPATNAM"/>
    <s v="Sheet"/>
    <n v="186001"/>
    <x v="46"/>
    <n v="3945230"/>
    <s v="CRCA SHEET TATXXD BT02 0.800X920X1805"/>
    <s v=" "/>
    <s v=""/>
    <n v="1"/>
    <n v="3"/>
    <s v="Narrow"/>
    <s v="C06"/>
    <s v="TATXXD"/>
    <s v="BT02"/>
    <n v="0.8"/>
    <n v="920"/>
    <n v="1805"/>
    <n v="270"/>
    <n v="252.81"/>
    <n v="17.190000000000001"/>
    <n v="17.190000000000001"/>
    <n v="17.190000000000001"/>
    <n v="0"/>
    <n v="0"/>
    <n v="0"/>
    <n v="0"/>
    <n v="0"/>
    <n v="0"/>
    <n v="0"/>
    <n v="0"/>
    <n v="0"/>
    <n v="0"/>
    <n v="0"/>
    <n v="0"/>
    <n v="0"/>
    <n v="0"/>
    <n v="0"/>
    <n v="0"/>
    <n v="0"/>
    <n v="0"/>
    <n v="0"/>
    <n v="0"/>
    <n v="0"/>
    <n v="0"/>
    <n v="0"/>
    <n v="0"/>
    <n v="0"/>
    <n v="207.47499999999997"/>
    <n v="109.68"/>
    <n v="109.68"/>
    <n v="0"/>
    <n v="0"/>
    <n v="0"/>
    <n v="0"/>
    <n v="317.15499999999997"/>
    <n v="0"/>
    <n v="317.15499999999997"/>
    <n v="0"/>
    <n v="0"/>
    <n v="0"/>
    <n v="0"/>
    <n v="95.02"/>
    <n v="95.02"/>
    <n v="0"/>
    <n v="0"/>
    <n v="0"/>
    <n v="0"/>
    <n v="0"/>
    <m/>
    <m/>
    <m/>
    <m/>
    <m/>
    <m/>
    <m/>
    <m/>
    <s v="0"/>
    <s v="1"/>
    <s v="1"/>
    <s v="1"/>
    <s v="1"/>
    <m/>
    <m/>
    <m/>
    <m/>
    <m/>
    <m/>
    <m/>
    <m/>
    <m/>
    <m/>
    <m/>
    <m/>
    <m/>
    <m/>
  </r>
  <r>
    <n v="744"/>
    <d v="2025-03-11T00:00:00"/>
    <s v="ZBTO"/>
    <n v="9518593369"/>
    <n v="1"/>
    <s v="9518593369-1"/>
    <s v="No Priority"/>
    <x v="0"/>
    <m/>
    <x v="2"/>
    <x v="3"/>
    <s v="1000-IPPE"/>
    <m/>
    <x v="0"/>
    <m/>
    <m/>
    <s v="Jharkhand"/>
    <s v="East"/>
    <s v="GAMHARIA"/>
    <s v="Coil"/>
    <n v="940016"/>
    <x v="15"/>
    <n v="3964963"/>
    <s v="PPGL C HARD Y550PL DX01 0.68(TPT)X1220"/>
    <s v="AZ150"/>
    <s v="RAL 5012 TSL 2002"/>
    <n v="3"/>
    <n v="5"/>
    <s v="Wider"/>
    <s v="B18"/>
    <s v="Y550PL"/>
    <s v="DX01"/>
    <n v="0.68"/>
    <n v="1220"/>
    <n v="0"/>
    <n v="28"/>
    <n v="0"/>
    <n v="28"/>
    <n v="9.0449999999999999"/>
    <n v="0.71499999999999986"/>
    <n v="9.2799999999999994"/>
    <n v="0"/>
    <n v="0"/>
    <n v="0"/>
    <n v="0"/>
    <n v="0"/>
    <n v="0"/>
    <n v="0"/>
    <n v="0"/>
    <n v="0"/>
    <n v="27.285"/>
    <n v="0"/>
    <n v="0"/>
    <n v="0"/>
    <n v="0"/>
    <n v="0"/>
    <n v="0"/>
    <n v="0"/>
    <n v="0"/>
    <n v="0"/>
    <n v="27.285"/>
    <n v="27.285"/>
    <n v="0"/>
    <n v="27.285"/>
    <n v="0"/>
    <n v="0"/>
    <n v="28"/>
    <n v="0"/>
    <n v="0"/>
    <n v="28"/>
    <n v="0"/>
    <n v="0"/>
    <n v="28"/>
    <n v="0"/>
    <n v="0"/>
    <n v="28"/>
    <n v="0"/>
    <n v="0"/>
    <n v="0"/>
    <n v="0"/>
    <n v="0"/>
    <n v="0"/>
    <n v="0"/>
    <n v="0"/>
    <n v="0"/>
    <n v="0"/>
    <m/>
    <m/>
    <m/>
    <m/>
    <m/>
    <m/>
    <m/>
    <m/>
    <s v="1"/>
    <s v="1"/>
    <s v="0"/>
    <s v="1"/>
    <s v="1"/>
    <m/>
    <m/>
    <m/>
    <m/>
    <m/>
    <m/>
    <m/>
    <m/>
    <m/>
    <m/>
    <m/>
    <m/>
    <m/>
    <m/>
  </r>
  <r>
    <n v="743"/>
    <d v="2025-03-11T00:00:00"/>
    <s v="ZBTO"/>
    <n v="9518593433"/>
    <n v="6"/>
    <s v="9518593433-6"/>
    <s v="No Priority"/>
    <x v="0"/>
    <m/>
    <x v="3"/>
    <x v="9"/>
    <s v="2000-BPRS"/>
    <m/>
    <x v="0"/>
    <m/>
    <m/>
    <s v="Jharkhand"/>
    <s v="East"/>
    <s v="BOKARO STEEL CY"/>
    <s v="Coil"/>
    <n v="121328"/>
    <x v="10"/>
    <n v="1854424"/>
    <s v="GP COIL SOFT-TATXGP-GK09-0.6X900"/>
    <s v="Z80"/>
    <s v=""/>
    <n v="4"/>
    <n v="12"/>
    <s v="Narrow"/>
    <s v="C02"/>
    <s v="TATXGP"/>
    <s v="GK09"/>
    <n v="0.6"/>
    <n v="900"/>
    <n v="0"/>
    <n v="84"/>
    <n v="77.599999999999994"/>
    <n v="6.4"/>
    <n v="-1.835"/>
    <n v="0"/>
    <n v="6.4"/>
    <n v="0"/>
    <n v="0"/>
    <n v="0"/>
    <n v="0"/>
    <n v="0"/>
    <n v="0"/>
    <n v="0"/>
    <n v="8.2350000000000012"/>
    <n v="0"/>
    <n v="0"/>
    <n v="0"/>
    <n v="0"/>
    <n v="0"/>
    <n v="0"/>
    <n v="0"/>
    <n v="0"/>
    <n v="0"/>
    <n v="0"/>
    <n v="0"/>
    <n v="8.2350000000000012"/>
    <n v="8.2350000000000012"/>
    <n v="0"/>
    <n v="8.2350000000000012"/>
    <n v="0"/>
    <n v="0"/>
    <n v="84"/>
    <n v="0"/>
    <n v="84"/>
    <n v="0"/>
    <n v="0"/>
    <n v="0"/>
    <n v="84"/>
    <n v="0"/>
    <n v="84"/>
    <n v="0"/>
    <n v="0"/>
    <n v="0"/>
    <n v="0"/>
    <n v="57.86"/>
    <n v="0"/>
    <n v="57.86"/>
    <n v="0"/>
    <n v="0"/>
    <n v="0"/>
    <n v="0"/>
    <m/>
    <m/>
    <m/>
    <m/>
    <m/>
    <m/>
    <m/>
    <m/>
    <s v="1"/>
    <s v="0"/>
    <s v="1"/>
    <s v="1"/>
    <s v="1"/>
    <m/>
    <m/>
    <m/>
    <m/>
    <m/>
    <m/>
    <m/>
    <m/>
    <m/>
    <m/>
    <m/>
    <m/>
    <m/>
    <m/>
  </r>
  <r>
    <n v="742"/>
    <d v="2025-03-17T00:00:00"/>
    <s v="ZBTF"/>
    <n v="9518607093"/>
    <n v="6"/>
    <s v="9518607093-6"/>
    <s v="Apr'25 "/>
    <x v="0"/>
    <m/>
    <x v="1"/>
    <x v="7"/>
    <s v="1000-IPPE"/>
    <m/>
    <x v="1"/>
    <m/>
    <m/>
    <s v="Uttar Pradesh"/>
    <s v="North"/>
    <s v="PILKHUWA"/>
    <s v="Coil"/>
    <n v="600250"/>
    <x v="23"/>
    <n v="2439203"/>
    <s v="CRCA COIL TSBSTA EL06 0.500X1160"/>
    <s v=" "/>
    <s v=""/>
    <n v="8"/>
    <n v="13"/>
    <s v="Narrow"/>
    <s v="C01"/>
    <s v="TSBSTA"/>
    <s v="EL06"/>
    <n v="0.5"/>
    <n v="1160"/>
    <n v="0"/>
    <n v="297"/>
    <n v="230.85"/>
    <n v="66.150000000000006"/>
    <n v="18.555"/>
    <n v="66.150000000000006"/>
    <n v="31.06"/>
    <n v="0"/>
    <n v="0"/>
    <n v="0"/>
    <n v="0"/>
    <n v="0"/>
    <n v="0"/>
    <n v="0"/>
    <n v="0"/>
    <n v="0"/>
    <n v="0"/>
    <n v="0"/>
    <n v="0"/>
    <n v="0"/>
    <n v="0"/>
    <n v="0"/>
    <n v="0"/>
    <n v="0"/>
    <n v="0"/>
    <n v="0"/>
    <n v="0"/>
    <n v="0"/>
    <n v="0"/>
    <n v="0"/>
    <n v="0"/>
    <n v="41.82"/>
    <n v="237.58"/>
    <n v="237.58"/>
    <n v="0"/>
    <n v="0"/>
    <n v="0"/>
    <n v="0"/>
    <n v="279.40000000000003"/>
    <n v="0"/>
    <n v="279.40000000000003"/>
    <n v="0"/>
    <n v="0"/>
    <n v="0"/>
    <n v="0"/>
    <n v="148.435"/>
    <n v="148.435"/>
    <n v="0"/>
    <n v="0"/>
    <n v="0"/>
    <n v="0"/>
    <n v="0"/>
    <m/>
    <m/>
    <m/>
    <m/>
    <m/>
    <m/>
    <m/>
    <m/>
    <s v="0"/>
    <s v="1"/>
    <s v="1"/>
    <s v="1"/>
    <s v="1"/>
    <m/>
    <m/>
    <m/>
    <m/>
    <m/>
    <m/>
    <m/>
    <m/>
    <m/>
    <m/>
    <m/>
    <m/>
    <m/>
    <m/>
  </r>
  <r>
    <n v="742"/>
    <d v="2025-03-06T00:00:00"/>
    <s v="ZBTO"/>
    <n v="9518578859"/>
    <n v="1"/>
    <s v="9518578859-1"/>
    <s v="No Priority"/>
    <x v="0"/>
    <m/>
    <x v="1"/>
    <x v="2"/>
    <s v="2000-BPRS"/>
    <m/>
    <x v="0"/>
    <m/>
    <m/>
    <s v="Uttar Pradesh"/>
    <s v="North"/>
    <s v="KANPUR"/>
    <s v="Sheet"/>
    <n v="933952"/>
    <x v="50"/>
    <n v="3240761"/>
    <s v="CRCA SHEET TSBCRC SR15 0.500X1250X2030"/>
    <s v=" "/>
    <s v=""/>
    <n v="0"/>
    <n v="0"/>
    <s v="Wider"/>
    <s v="C06"/>
    <s v="TSBCRC"/>
    <s v="SR15"/>
    <n v="0.5"/>
    <n v="1250"/>
    <n v="2030"/>
    <n v="108"/>
    <n v="38.72"/>
    <n v="69.28"/>
    <n v="1.105"/>
    <n v="0"/>
    <n v="7.5149999999999997"/>
    <n v="0"/>
    <n v="0"/>
    <n v="0"/>
    <n v="0"/>
    <n v="0"/>
    <n v="0"/>
    <n v="0"/>
    <n v="0"/>
    <n v="0"/>
    <n v="0"/>
    <n v="0"/>
    <n v="0"/>
    <n v="0"/>
    <n v="0"/>
    <n v="0"/>
    <n v="0"/>
    <n v="0"/>
    <n v="0"/>
    <n v="0"/>
    <n v="0"/>
    <n v="0"/>
    <n v="0"/>
    <n v="0"/>
    <n v="0"/>
    <n v="0"/>
    <n v="108"/>
    <n v="0"/>
    <n v="0"/>
    <n v="0"/>
    <n v="108"/>
    <n v="0"/>
    <n v="108"/>
    <n v="0"/>
    <n v="0"/>
    <n v="0"/>
    <n v="0"/>
    <n v="108"/>
    <n v="0"/>
    <n v="0"/>
    <n v="0"/>
    <n v="0"/>
    <n v="0"/>
    <n v="0"/>
    <n v="0"/>
    <n v="0"/>
    <m/>
    <m/>
    <m/>
    <m/>
    <m/>
    <m/>
    <m/>
    <m/>
    <s v="1"/>
    <s v="1"/>
    <s v="1"/>
    <s v="0"/>
    <s v="1"/>
    <m/>
    <m/>
    <m/>
    <m/>
    <m/>
    <m/>
    <m/>
    <m/>
    <m/>
    <m/>
    <m/>
    <m/>
    <m/>
    <m/>
  </r>
  <r>
    <n v="742"/>
    <d v="2025-03-06T00:00:00"/>
    <s v="ZBTO"/>
    <n v="9518578859"/>
    <n v="3"/>
    <s v="9518578859-3"/>
    <s v="No Priority"/>
    <x v="0"/>
    <m/>
    <x v="1"/>
    <x v="2"/>
    <s v="2000-BPRS"/>
    <m/>
    <x v="0"/>
    <m/>
    <m/>
    <s v="Uttar Pradesh"/>
    <s v="North"/>
    <s v="KANPUR"/>
    <s v="Sheet"/>
    <n v="933952"/>
    <x v="50"/>
    <n v="3240787"/>
    <s v="CRCA SHEET TSBCRC SR15 0.700X1250X1930"/>
    <s v=" "/>
    <s v=""/>
    <n v="0"/>
    <n v="0"/>
    <s v="Wider"/>
    <s v="C06"/>
    <s v="TSBCRC"/>
    <s v="SR15"/>
    <n v="0.7"/>
    <n v="1250"/>
    <n v="1930"/>
    <n v="27"/>
    <n v="0"/>
    <n v="27"/>
    <n v="1.2050000000000001"/>
    <n v="0"/>
    <n v="1.63"/>
    <n v="0"/>
    <n v="0"/>
    <n v="0"/>
    <n v="0"/>
    <n v="0"/>
    <n v="0"/>
    <n v="0"/>
    <n v="0"/>
    <n v="0"/>
    <n v="0"/>
    <n v="0"/>
    <n v="0"/>
    <n v="0"/>
    <n v="0"/>
    <n v="0"/>
    <n v="0"/>
    <n v="0"/>
    <n v="0"/>
    <n v="0"/>
    <n v="0"/>
    <n v="0"/>
    <n v="0"/>
    <n v="0"/>
    <n v="0"/>
    <n v="0"/>
    <n v="27"/>
    <n v="0"/>
    <n v="0"/>
    <n v="27"/>
    <n v="0"/>
    <n v="0"/>
    <n v="27"/>
    <n v="0"/>
    <n v="0"/>
    <n v="0"/>
    <n v="27"/>
    <n v="0"/>
    <n v="0"/>
    <n v="0"/>
    <n v="0"/>
    <n v="0"/>
    <n v="0"/>
    <n v="0"/>
    <n v="0"/>
    <n v="0"/>
    <m/>
    <m/>
    <m/>
    <m/>
    <m/>
    <m/>
    <m/>
    <m/>
    <s v="1"/>
    <s v="1"/>
    <s v="0"/>
    <s v="1"/>
    <s v="1"/>
    <m/>
    <m/>
    <m/>
    <m/>
    <m/>
    <m/>
    <m/>
    <m/>
    <m/>
    <m/>
    <m/>
    <m/>
    <m/>
    <m/>
  </r>
  <r>
    <n v="742"/>
    <d v="2025-03-06T00:00:00"/>
    <s v="ZBTO"/>
    <n v="9518579878"/>
    <n v="6"/>
    <s v="9518579878-6"/>
    <s v="No Priority"/>
    <x v="0"/>
    <m/>
    <x v="1"/>
    <x v="2"/>
    <s v="2000-BPRS"/>
    <m/>
    <x v="0"/>
    <m/>
    <s v="Exp BTF &lt;17MT"/>
    <s v="Uttar Pradesh"/>
    <s v="North"/>
    <s v="VARANASI"/>
    <s v="Sheet"/>
    <n v="931525"/>
    <x v="2"/>
    <n v="3240761"/>
    <s v="CRCA SHEET TSBCRC SR15 0.500X1250X2030"/>
    <s v=" "/>
    <s v=""/>
    <n v="0"/>
    <n v="0"/>
    <s v="Wider"/>
    <s v="C06"/>
    <s v="TSBCRC"/>
    <s v="SR15"/>
    <n v="0.5"/>
    <n v="1250"/>
    <n v="2030"/>
    <n v="108"/>
    <n v="102.61499999999999"/>
    <n v="5.3849999999999998"/>
    <n v="3.6549999999999998"/>
    <n v="5.3849999999999998"/>
    <n v="5.3849999999999998"/>
    <n v="0"/>
    <n v="0"/>
    <n v="0"/>
    <n v="0"/>
    <n v="0"/>
    <n v="0"/>
    <n v="0"/>
    <n v="0"/>
    <n v="0"/>
    <n v="0"/>
    <n v="0"/>
    <n v="0"/>
    <n v="0"/>
    <n v="0"/>
    <n v="0"/>
    <n v="0"/>
    <n v="0"/>
    <n v="0"/>
    <n v="0"/>
    <n v="0"/>
    <n v="0"/>
    <n v="0"/>
    <n v="0"/>
    <n v="0"/>
    <n v="0"/>
    <n v="108"/>
    <n v="0"/>
    <n v="0"/>
    <n v="108"/>
    <n v="0"/>
    <n v="0"/>
    <n v="108"/>
    <n v="0"/>
    <n v="0"/>
    <n v="0"/>
    <n v="108"/>
    <n v="0"/>
    <n v="0"/>
    <n v="0"/>
    <n v="0"/>
    <n v="0"/>
    <n v="0"/>
    <n v="0"/>
    <n v="0"/>
    <n v="0"/>
    <m/>
    <m/>
    <m/>
    <m/>
    <m/>
    <m/>
    <m/>
    <m/>
    <s v="1"/>
    <s v="1"/>
    <s v="0"/>
    <s v="1"/>
    <s v="1"/>
    <m/>
    <m/>
    <m/>
    <m/>
    <m/>
    <m/>
    <m/>
    <m/>
    <m/>
    <m/>
    <m/>
    <m/>
    <m/>
    <m/>
  </r>
  <r>
    <n v="742"/>
    <d v="2025-03-04T00:00:00"/>
    <s v="ZBTO"/>
    <n v="9518572111"/>
    <n v="3"/>
    <s v="9518572111-3"/>
    <s v="No Priority"/>
    <x v="0"/>
    <m/>
    <x v="1"/>
    <x v="2"/>
    <s v="2000-BPRS"/>
    <m/>
    <x v="0"/>
    <m/>
    <m/>
    <s v="Jharkhand"/>
    <s v="East"/>
    <s v="TATANAGAR"/>
    <s v="Sheet"/>
    <n v="165053"/>
    <x v="5"/>
    <n v="3410101"/>
    <s v="CRCA SHEET TSBCRC SR15 0.750X1000X2500"/>
    <s v=" "/>
    <s v=""/>
    <n v="2.8"/>
    <n v="3.2"/>
    <s v="Narrow"/>
    <s v="C06"/>
    <s v="TSBCRC"/>
    <s v="SR15"/>
    <n v="0.75"/>
    <n v="1000"/>
    <n v="2500"/>
    <n v="20.99"/>
    <n v="19.940000000000001"/>
    <n v="1.05"/>
    <n v="1.05"/>
    <n v="0"/>
    <n v="1.05"/>
    <n v="0"/>
    <n v="0"/>
    <n v="0"/>
    <n v="0"/>
    <n v="0"/>
    <n v="0"/>
    <n v="0"/>
    <n v="0"/>
    <n v="0"/>
    <n v="0"/>
    <n v="0"/>
    <n v="0"/>
    <n v="0"/>
    <n v="0"/>
    <n v="0"/>
    <n v="0"/>
    <n v="0"/>
    <n v="0"/>
    <n v="0"/>
    <n v="0"/>
    <n v="0"/>
    <n v="0"/>
    <n v="0"/>
    <n v="0"/>
    <n v="0"/>
    <n v="21"/>
    <n v="0"/>
    <n v="21"/>
    <n v="0"/>
    <n v="0"/>
    <n v="0"/>
    <n v="21"/>
    <n v="0"/>
    <n v="0"/>
    <n v="21"/>
    <n v="0"/>
    <n v="0"/>
    <n v="0"/>
    <n v="17.57"/>
    <n v="0"/>
    <n v="17.57"/>
    <n v="0"/>
    <n v="0"/>
    <n v="0"/>
    <n v="0"/>
    <m/>
    <m/>
    <m/>
    <m/>
    <m/>
    <m/>
    <m/>
    <m/>
    <s v="1"/>
    <s v="0"/>
    <s v="1"/>
    <s v="1"/>
    <s v="1"/>
    <m/>
    <m/>
    <m/>
    <m/>
    <m/>
    <m/>
    <m/>
    <m/>
    <m/>
    <m/>
    <m/>
    <m/>
    <m/>
    <m/>
  </r>
  <r>
    <n v="742"/>
    <d v="2025-03-07T00:00:00"/>
    <s v="ZBTO"/>
    <n v="9518583094"/>
    <n v="5"/>
    <s v="9518583094-5"/>
    <s v="No Priority"/>
    <x v="0"/>
    <m/>
    <x v="1"/>
    <x v="2"/>
    <s v="2000-BPRS"/>
    <m/>
    <x v="0"/>
    <m/>
    <m/>
    <s v="Uttar Pradesh"/>
    <s v="North"/>
    <s v="VARANASI"/>
    <s v="Sheet"/>
    <n v="931525"/>
    <x v="2"/>
    <n v="3240761"/>
    <s v="CRCA SHEET TSBCRC SR15 0.500X1250X2030"/>
    <s v=" "/>
    <s v=""/>
    <n v="0"/>
    <n v="0"/>
    <s v="Wider"/>
    <s v="C06"/>
    <s v="TSBCRC"/>
    <s v="SR15"/>
    <n v="0.5"/>
    <n v="1250"/>
    <n v="2030"/>
    <n v="54"/>
    <n v="25.745000000000001"/>
    <n v="28.254999999999999"/>
    <n v="1.135"/>
    <n v="0"/>
    <n v="2"/>
    <n v="0"/>
    <n v="0"/>
    <n v="0"/>
    <n v="0"/>
    <n v="0"/>
    <n v="0"/>
    <n v="0"/>
    <n v="0"/>
    <n v="0"/>
    <n v="0"/>
    <n v="0"/>
    <n v="0"/>
    <n v="0"/>
    <n v="0"/>
    <n v="0"/>
    <n v="0"/>
    <n v="0"/>
    <n v="0"/>
    <n v="0"/>
    <n v="0"/>
    <n v="0"/>
    <n v="0"/>
    <n v="0"/>
    <n v="0"/>
    <n v="0"/>
    <n v="54"/>
    <n v="0"/>
    <n v="0"/>
    <n v="54"/>
    <n v="0"/>
    <n v="0"/>
    <n v="54"/>
    <n v="0"/>
    <n v="0"/>
    <n v="0"/>
    <n v="54"/>
    <n v="0"/>
    <n v="0"/>
    <n v="0"/>
    <n v="0"/>
    <n v="0"/>
    <n v="0"/>
    <n v="0"/>
    <n v="0"/>
    <n v="0"/>
    <m/>
    <m/>
    <m/>
    <m/>
    <m/>
    <m/>
    <m/>
    <m/>
    <s v="1"/>
    <s v="1"/>
    <s v="0"/>
    <s v="1"/>
    <s v="1"/>
    <m/>
    <m/>
    <m/>
    <m/>
    <m/>
    <m/>
    <m/>
    <m/>
    <m/>
    <m/>
    <m/>
    <m/>
    <m/>
    <m/>
  </r>
  <r>
    <n v="742"/>
    <d v="2025-03-07T00:00:00"/>
    <s v="ZBTO"/>
    <n v="9518583094"/>
    <n v="6"/>
    <s v="9518583094-6"/>
    <s v="No Priority"/>
    <x v="0"/>
    <m/>
    <x v="1"/>
    <x v="2"/>
    <s v="2000-BPRS"/>
    <m/>
    <x v="0"/>
    <m/>
    <m/>
    <s v="Uttar Pradesh"/>
    <s v="North"/>
    <s v="VARANASI"/>
    <s v="Sheet"/>
    <n v="931525"/>
    <x v="2"/>
    <n v="3247971"/>
    <s v="CRCA SHEET TSBCRC SR15 0.500X1250X2020"/>
    <s v=" "/>
    <s v=""/>
    <n v="0"/>
    <n v="0"/>
    <s v="Wider"/>
    <s v="C06"/>
    <s v="TSBCRC"/>
    <s v="SR15"/>
    <n v="0.5"/>
    <n v="1250"/>
    <n v="2020"/>
    <n v="54"/>
    <n v="25.954999999999998"/>
    <n v="28.045000000000002"/>
    <n v="-5.0000000000000001E-3"/>
    <n v="0"/>
    <n v="1.65"/>
    <n v="0"/>
    <n v="0"/>
    <n v="0"/>
    <n v="0"/>
    <n v="0"/>
    <n v="0"/>
    <n v="0"/>
    <n v="0"/>
    <n v="0"/>
    <n v="0"/>
    <n v="0"/>
    <n v="0"/>
    <n v="0"/>
    <n v="0"/>
    <n v="0"/>
    <n v="0"/>
    <n v="0"/>
    <n v="0"/>
    <n v="0"/>
    <n v="0"/>
    <n v="0"/>
    <n v="0"/>
    <n v="0"/>
    <n v="0"/>
    <n v="0"/>
    <n v="54"/>
    <n v="0"/>
    <n v="0"/>
    <n v="54"/>
    <n v="0"/>
    <n v="0"/>
    <n v="54"/>
    <n v="0"/>
    <n v="0"/>
    <n v="0"/>
    <n v="54"/>
    <n v="0"/>
    <n v="0"/>
    <n v="0"/>
    <n v="0"/>
    <n v="0"/>
    <n v="0"/>
    <n v="0"/>
    <n v="0"/>
    <n v="0"/>
    <m/>
    <m/>
    <m/>
    <m/>
    <m/>
    <m/>
    <m/>
    <m/>
    <s v="1"/>
    <s v="1"/>
    <s v="0"/>
    <s v="1"/>
    <s v="1"/>
    <m/>
    <m/>
    <m/>
    <m/>
    <m/>
    <m/>
    <m/>
    <m/>
    <m/>
    <m/>
    <m/>
    <m/>
    <m/>
    <m/>
  </r>
  <r>
    <n v="742"/>
    <d v="2025-03-13T00:00:00"/>
    <s v="ZBTO"/>
    <n v="9518598795"/>
    <n v="5"/>
    <s v="9518598795-5"/>
    <s v="Apr'25 "/>
    <x v="0"/>
    <m/>
    <x v="1"/>
    <x v="1"/>
    <s v="2000-BPRS"/>
    <m/>
    <x v="1"/>
    <m/>
    <m/>
    <s v="Tamil Nadu"/>
    <s v="South"/>
    <s v="GUMMIDIPOONDI"/>
    <s v="Coil"/>
    <n v="822271"/>
    <x v="0"/>
    <n v="1804867"/>
    <s v="CRCA COIL-TATXXD-AU03-1.6X1250"/>
    <s v=" "/>
    <s v=""/>
    <n v="5"/>
    <n v="29"/>
    <s v="Wider"/>
    <s v="C01"/>
    <s v="TATXXD"/>
    <s v="AU03"/>
    <n v="1.6"/>
    <n v="1250"/>
    <n v="0"/>
    <n v="87"/>
    <n v="69.715000000000003"/>
    <n v="17.285"/>
    <n v="17.285"/>
    <n v="-3.3949999999999996"/>
    <n v="17.285"/>
    <n v="0"/>
    <n v="0"/>
    <n v="0"/>
    <n v="0"/>
    <n v="0"/>
    <n v="0"/>
    <n v="0"/>
    <n v="0"/>
    <n v="0"/>
    <n v="0"/>
    <n v="0"/>
    <n v="0"/>
    <n v="0"/>
    <n v="20.68"/>
    <n v="0"/>
    <n v="0"/>
    <n v="0"/>
    <n v="0"/>
    <n v="0"/>
    <n v="20.68"/>
    <n v="20.68"/>
    <n v="0"/>
    <n v="20.68"/>
    <n v="0"/>
    <n v="0"/>
    <n v="87"/>
    <n v="0"/>
    <n v="0"/>
    <n v="0"/>
    <n v="87"/>
    <n v="0"/>
    <n v="87"/>
    <n v="0"/>
    <n v="0"/>
    <n v="0"/>
    <n v="87"/>
    <n v="0"/>
    <n v="0"/>
    <n v="18.989999999999998"/>
    <n v="0"/>
    <n v="0"/>
    <n v="0"/>
    <n v="18.989999999999998"/>
    <n v="0"/>
    <n v="0"/>
    <m/>
    <m/>
    <m/>
    <m/>
    <m/>
    <m/>
    <m/>
    <m/>
    <s v="1"/>
    <s v="1"/>
    <s v="1"/>
    <s v="0"/>
    <s v="1"/>
    <m/>
    <m/>
    <m/>
    <m/>
    <m/>
    <m/>
    <m/>
    <m/>
    <m/>
    <m/>
    <m/>
    <m/>
    <m/>
    <m/>
  </r>
  <r>
    <n v="742"/>
    <d v="2025-03-06T00:00:00"/>
    <s v="ZBTO"/>
    <n v="9518579878"/>
    <n v="3"/>
    <s v="9518579878-3"/>
    <s v="No Priority"/>
    <x v="0"/>
    <m/>
    <x v="1"/>
    <x v="2"/>
    <s v="2000-BPRS"/>
    <m/>
    <x v="0"/>
    <m/>
    <m/>
    <s v="Uttar Pradesh"/>
    <s v="North"/>
    <s v="VARANASI"/>
    <s v="Sheet"/>
    <n v="931525"/>
    <x v="2"/>
    <n v="3240765"/>
    <s v="CRCA SHEET TSBCRC SR15 0.500X1250X2500"/>
    <s v=" "/>
    <s v=""/>
    <n v="0"/>
    <n v="0"/>
    <s v="Wider"/>
    <s v="C06"/>
    <s v="TSBCRC"/>
    <s v="SR15"/>
    <n v="0.5"/>
    <n v="1250"/>
    <n v="2500"/>
    <n v="27"/>
    <n v="0"/>
    <n v="27"/>
    <n v="0.495"/>
    <n v="0"/>
    <n v="1.9750000000000001"/>
    <n v="0"/>
    <n v="0"/>
    <n v="0"/>
    <n v="0"/>
    <n v="0"/>
    <n v="0"/>
    <n v="0"/>
    <n v="0"/>
    <n v="0"/>
    <n v="0"/>
    <n v="0"/>
    <n v="0"/>
    <n v="0"/>
    <n v="0"/>
    <n v="0"/>
    <n v="0"/>
    <n v="0"/>
    <n v="0"/>
    <n v="0"/>
    <n v="0"/>
    <n v="0"/>
    <n v="0"/>
    <n v="0"/>
    <n v="0"/>
    <n v="0"/>
    <n v="27"/>
    <n v="0"/>
    <n v="0"/>
    <n v="27"/>
    <n v="0"/>
    <n v="0"/>
    <n v="27"/>
    <n v="0"/>
    <n v="0"/>
    <n v="0"/>
    <n v="27"/>
    <n v="0"/>
    <n v="0"/>
    <n v="0"/>
    <n v="0"/>
    <n v="0"/>
    <n v="0"/>
    <n v="0"/>
    <n v="0"/>
    <n v="0"/>
    <m/>
    <m/>
    <m/>
    <m/>
    <m/>
    <m/>
    <m/>
    <m/>
    <s v="1"/>
    <s v="1"/>
    <s v="0"/>
    <s v="1"/>
    <s v="1"/>
    <m/>
    <m/>
    <m/>
    <m/>
    <m/>
    <m/>
    <m/>
    <m/>
    <m/>
    <m/>
    <m/>
    <m/>
    <m/>
    <m/>
  </r>
  <r>
    <n v="742"/>
    <d v="2025-03-06T00:00:00"/>
    <s v="ZBTO"/>
    <n v="9518579878"/>
    <n v="8"/>
    <s v="9518579878-8"/>
    <s v="No Priority"/>
    <x v="0"/>
    <m/>
    <x v="1"/>
    <x v="2"/>
    <s v="2000-BPRS"/>
    <m/>
    <x v="0"/>
    <m/>
    <s v="Exp BTF &lt;17MT"/>
    <s v="Uttar Pradesh"/>
    <s v="North"/>
    <s v="VARANASI"/>
    <s v="Sheet"/>
    <n v="931525"/>
    <x v="2"/>
    <n v="3765561"/>
    <s v="CRCA SHEET TSBCRC SR15 0.700X1000X1930"/>
    <s v=" "/>
    <s v=""/>
    <n v="0"/>
    <n v="0"/>
    <s v="Narrow"/>
    <s v="C06"/>
    <s v="TSBCRC"/>
    <s v="SR15"/>
    <n v="0.7"/>
    <n v="1000"/>
    <n v="1930"/>
    <n v="27"/>
    <n v="20.190000000000001"/>
    <n v="6.81"/>
    <n v="6.81"/>
    <n v="6.81"/>
    <n v="6.81"/>
    <n v="0"/>
    <n v="0"/>
    <n v="0"/>
    <n v="0"/>
    <n v="0"/>
    <n v="0"/>
    <n v="0"/>
    <n v="0"/>
    <n v="0"/>
    <n v="0"/>
    <n v="0"/>
    <n v="0"/>
    <n v="0"/>
    <n v="0"/>
    <n v="0"/>
    <n v="0"/>
    <n v="0"/>
    <n v="0"/>
    <n v="0"/>
    <n v="0"/>
    <n v="0"/>
    <n v="0"/>
    <n v="0"/>
    <n v="0"/>
    <n v="0"/>
    <n v="27"/>
    <n v="0"/>
    <n v="27"/>
    <n v="0"/>
    <n v="0"/>
    <n v="0"/>
    <n v="27"/>
    <n v="0"/>
    <n v="0"/>
    <n v="27"/>
    <n v="0"/>
    <n v="0"/>
    <n v="0"/>
    <n v="20.189999999999998"/>
    <n v="0"/>
    <n v="20.189999999999998"/>
    <n v="0"/>
    <n v="0"/>
    <n v="0"/>
    <n v="0"/>
    <m/>
    <m/>
    <m/>
    <m/>
    <m/>
    <m/>
    <m/>
    <m/>
    <s v="1"/>
    <s v="0"/>
    <s v="1"/>
    <s v="1"/>
    <s v="1"/>
    <m/>
    <m/>
    <m/>
    <m/>
    <m/>
    <m/>
    <m/>
    <m/>
    <m/>
    <m/>
    <m/>
    <m/>
    <m/>
    <m/>
  </r>
  <r>
    <n v="742"/>
    <d v="2025-03-06T00:00:00"/>
    <s v="ZBTO"/>
    <n v="9518579878"/>
    <n v="9"/>
    <s v="9518579878-9"/>
    <s v="No Priority"/>
    <x v="0"/>
    <m/>
    <x v="1"/>
    <x v="2"/>
    <s v="2000-BPRS"/>
    <m/>
    <x v="0"/>
    <m/>
    <s v="Exp BTF &lt;17MT"/>
    <s v="Uttar Pradesh"/>
    <s v="North"/>
    <s v="VARANASI"/>
    <s v="Sheet"/>
    <n v="931525"/>
    <x v="2"/>
    <n v="3409561"/>
    <s v="CRCA SHEET TSBCRC SR15 0.600X1000X1930"/>
    <s v=" "/>
    <s v=""/>
    <n v="0"/>
    <n v="0"/>
    <s v="Narrow"/>
    <s v="C06"/>
    <s v="TSBCRC"/>
    <s v="SR15"/>
    <n v="0.6"/>
    <n v="1000"/>
    <n v="1930"/>
    <n v="27"/>
    <n v="20.329999999999998"/>
    <n v="6.67"/>
    <n v="6.67"/>
    <n v="6.67"/>
    <n v="6.67"/>
    <n v="0"/>
    <n v="0"/>
    <n v="0"/>
    <n v="0"/>
    <n v="0"/>
    <n v="0"/>
    <n v="0"/>
    <n v="0"/>
    <n v="0"/>
    <n v="0"/>
    <n v="0"/>
    <n v="0"/>
    <n v="0"/>
    <n v="0"/>
    <n v="0"/>
    <n v="0"/>
    <n v="0"/>
    <n v="0"/>
    <n v="0"/>
    <n v="0"/>
    <n v="0"/>
    <n v="0"/>
    <n v="0"/>
    <n v="0"/>
    <n v="0"/>
    <n v="27"/>
    <n v="0"/>
    <n v="27"/>
    <n v="0"/>
    <n v="0"/>
    <n v="0"/>
    <n v="27"/>
    <n v="0"/>
    <n v="0"/>
    <n v="27"/>
    <n v="0"/>
    <n v="0"/>
    <n v="0"/>
    <n v="20.330000000000002"/>
    <n v="0"/>
    <n v="20.330000000000002"/>
    <n v="0"/>
    <n v="0"/>
    <n v="0"/>
    <n v="0"/>
    <m/>
    <m/>
    <m/>
    <m/>
    <m/>
    <m/>
    <m/>
    <m/>
    <s v="1"/>
    <s v="0"/>
    <s v="1"/>
    <s v="1"/>
    <s v="1"/>
    <m/>
    <m/>
    <m/>
    <m/>
    <m/>
    <m/>
    <m/>
    <m/>
    <m/>
    <m/>
    <m/>
    <m/>
    <m/>
    <m/>
  </r>
  <r>
    <n v="742"/>
    <d v="2025-03-07T00:00:00"/>
    <s v="ZBTO"/>
    <n v="9518583094"/>
    <n v="7"/>
    <s v="9518583094-7"/>
    <s v="No Priority"/>
    <x v="0"/>
    <m/>
    <x v="1"/>
    <x v="2"/>
    <s v="2000-BPRS"/>
    <m/>
    <x v="0"/>
    <m/>
    <m/>
    <s v="Uttar Pradesh"/>
    <s v="North"/>
    <s v="VARANASI"/>
    <s v="Sheet"/>
    <n v="931525"/>
    <x v="2"/>
    <n v="3247972"/>
    <s v="CRCA SHEET TSBCRC SR15 0.600X1250X2020"/>
    <s v=" "/>
    <s v=""/>
    <n v="0"/>
    <n v="0"/>
    <s v="Wider"/>
    <s v="C06"/>
    <s v="TSBCRC"/>
    <s v="SR15"/>
    <n v="0.6"/>
    <n v="1250"/>
    <n v="2020"/>
    <n v="54"/>
    <n v="2.875"/>
    <n v="51.125"/>
    <n v="0.36499999999999999"/>
    <n v="0"/>
    <n v="3.26"/>
    <n v="0"/>
    <n v="0"/>
    <n v="0"/>
    <n v="0"/>
    <n v="0"/>
    <n v="0"/>
    <n v="0"/>
    <n v="0"/>
    <n v="0"/>
    <n v="0"/>
    <n v="0"/>
    <n v="0"/>
    <n v="0"/>
    <n v="0"/>
    <n v="0"/>
    <n v="0"/>
    <n v="0"/>
    <n v="0"/>
    <n v="0"/>
    <n v="0"/>
    <n v="0"/>
    <n v="0"/>
    <n v="0"/>
    <n v="0"/>
    <n v="0"/>
    <n v="54"/>
    <n v="0"/>
    <n v="0"/>
    <n v="54"/>
    <n v="0"/>
    <n v="0"/>
    <n v="54"/>
    <n v="0"/>
    <n v="0"/>
    <n v="0"/>
    <n v="54"/>
    <n v="0"/>
    <n v="0"/>
    <n v="0"/>
    <n v="0"/>
    <n v="0"/>
    <n v="0"/>
    <n v="0"/>
    <n v="0"/>
    <n v="0"/>
    <m/>
    <m/>
    <m/>
    <m/>
    <m/>
    <m/>
    <m/>
    <m/>
    <s v="1"/>
    <s v="1"/>
    <s v="0"/>
    <s v="1"/>
    <s v="1"/>
    <m/>
    <m/>
    <m/>
    <m/>
    <m/>
    <m/>
    <m/>
    <m/>
    <m/>
    <m/>
    <m/>
    <m/>
    <m/>
    <m/>
  </r>
  <r>
    <n v="742"/>
    <d v="2025-03-07T00:00:00"/>
    <s v="ZBTO"/>
    <n v="9518583094"/>
    <n v="8"/>
    <s v="9518583094-8"/>
    <s v="No Priority"/>
    <x v="0"/>
    <m/>
    <x v="1"/>
    <x v="2"/>
    <s v="2000-BPRS"/>
    <m/>
    <x v="0"/>
    <m/>
    <s v="Exp BTF &lt;17MT"/>
    <s v="Uttar Pradesh"/>
    <s v="North"/>
    <s v="VARANASI"/>
    <s v="Sheet"/>
    <n v="931525"/>
    <x v="2"/>
    <n v="3765561"/>
    <s v="CRCA SHEET TSBCRC SR15 0.700X1000X1930"/>
    <s v=" "/>
    <s v=""/>
    <n v="0"/>
    <n v="0"/>
    <s v="Narrow"/>
    <s v="C06"/>
    <s v="TSBCRC"/>
    <s v="SR15"/>
    <n v="0.7"/>
    <n v="1000"/>
    <n v="1930"/>
    <n v="27"/>
    <n v="19.79"/>
    <n v="7.21"/>
    <n v="7.21"/>
    <n v="7.21"/>
    <n v="7.21"/>
    <n v="0"/>
    <n v="0"/>
    <n v="0"/>
    <n v="0"/>
    <n v="0"/>
    <n v="0"/>
    <n v="0"/>
    <n v="0"/>
    <n v="0"/>
    <n v="0"/>
    <n v="0"/>
    <n v="0"/>
    <n v="0"/>
    <n v="0"/>
    <n v="0"/>
    <n v="0"/>
    <n v="0"/>
    <n v="0"/>
    <n v="0"/>
    <n v="0"/>
    <n v="0"/>
    <n v="0"/>
    <n v="0"/>
    <n v="0"/>
    <n v="0"/>
    <n v="27"/>
    <n v="0"/>
    <n v="27"/>
    <n v="0"/>
    <n v="0"/>
    <n v="0"/>
    <n v="27"/>
    <n v="0"/>
    <n v="0"/>
    <n v="27"/>
    <n v="0"/>
    <n v="0"/>
    <n v="0"/>
    <n v="19.79"/>
    <n v="0"/>
    <n v="19.79"/>
    <n v="0"/>
    <n v="0"/>
    <n v="0"/>
    <n v="0"/>
    <m/>
    <m/>
    <m/>
    <m/>
    <m/>
    <m/>
    <m/>
    <m/>
    <s v="1"/>
    <s v="0"/>
    <s v="1"/>
    <s v="1"/>
    <s v="1"/>
    <m/>
    <m/>
    <m/>
    <m/>
    <m/>
    <m/>
    <m/>
    <m/>
    <m/>
    <m/>
    <m/>
    <m/>
    <m/>
    <m/>
  </r>
  <r>
    <n v="742"/>
    <d v="2025-02-14T00:00:00"/>
    <s v="ZBTO"/>
    <n v="9518519930"/>
    <n v="2"/>
    <s v="9518519930-2"/>
    <s v="Apr'25 "/>
    <x v="0"/>
    <m/>
    <x v="1"/>
    <x v="1"/>
    <s v="2000-BPRS"/>
    <m/>
    <x v="1"/>
    <m/>
    <m/>
    <s v="Punjab"/>
    <s v="North"/>
    <s v="SANHEWAL"/>
    <s v="Coil"/>
    <n v="936997"/>
    <x v="51"/>
    <n v="1801798"/>
    <s v="CRCA COIL-TATXXD-AU03-1X900"/>
    <s v=" "/>
    <s v=""/>
    <n v="10"/>
    <n v="28"/>
    <s v="Narrow"/>
    <s v="C01"/>
    <s v="TATXXD"/>
    <s v="AU03"/>
    <n v="1"/>
    <n v="900"/>
    <n v="0"/>
    <n v="42"/>
    <n v="0"/>
    <n v="42"/>
    <n v="42"/>
    <n v="42"/>
    <n v="4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20T00:00:00"/>
    <s v="ZBTO"/>
    <n v="9518535833"/>
    <n v="25"/>
    <s v="9518535833-25"/>
    <s v="No Priority"/>
    <x v="0"/>
    <m/>
    <x v="1"/>
    <x v="2"/>
    <s v="2000-BPRS"/>
    <m/>
    <x v="0"/>
    <m/>
    <s v="Exp BTF &lt;17MT"/>
    <s v="Tamil Nadu"/>
    <s v="South"/>
    <s v="CHENNAI"/>
    <s v="Sheet"/>
    <n v="938550"/>
    <x v="4"/>
    <n v="3240775"/>
    <s v="CRCA SHEET TSBCRC SR15 0.600X1000X1980"/>
    <s v=" "/>
    <s v=""/>
    <n v="0"/>
    <n v="0"/>
    <s v="Narrow"/>
    <s v="C06"/>
    <s v="TSBCRC"/>
    <s v="SR15"/>
    <n v="0.6"/>
    <n v="1000"/>
    <n v="1980"/>
    <n v="45"/>
    <n v="37.9"/>
    <n v="7.1"/>
    <n v="7.1"/>
    <n v="7.1"/>
    <n v="7.1"/>
    <n v="0"/>
    <n v="0"/>
    <n v="0"/>
    <n v="0"/>
    <n v="0"/>
    <n v="0"/>
    <n v="0"/>
    <n v="0"/>
    <n v="0"/>
    <n v="0"/>
    <n v="0"/>
    <n v="0"/>
    <n v="0"/>
    <n v="0"/>
    <n v="0"/>
    <n v="0"/>
    <n v="0"/>
    <n v="0"/>
    <n v="0"/>
    <n v="0"/>
    <n v="0"/>
    <n v="0"/>
    <n v="0"/>
    <n v="0"/>
    <n v="0"/>
    <n v="45"/>
    <n v="0"/>
    <n v="45"/>
    <n v="0"/>
    <n v="0"/>
    <n v="0"/>
    <n v="45"/>
    <n v="0"/>
    <n v="0"/>
    <n v="45"/>
    <n v="0"/>
    <n v="0"/>
    <n v="0"/>
    <n v="37.899999999999991"/>
    <n v="0"/>
    <n v="37.899999999999991"/>
    <n v="0"/>
    <n v="0"/>
    <n v="0"/>
    <n v="0"/>
    <m/>
    <m/>
    <m/>
    <m/>
    <m/>
    <m/>
    <m/>
    <m/>
    <s v="1"/>
    <s v="0"/>
    <s v="1"/>
    <s v="1"/>
    <s v="1"/>
    <m/>
    <m/>
    <m/>
    <m/>
    <m/>
    <m/>
    <m/>
    <m/>
    <m/>
    <m/>
    <m/>
    <m/>
    <m/>
    <m/>
  </r>
  <r>
    <n v="742"/>
    <d v="2025-02-27T00:00:00"/>
    <s v="ZBTF"/>
    <n v="9518560055"/>
    <n v="2"/>
    <s v="9518560055-2"/>
    <s v="May'25"/>
    <x v="0"/>
    <m/>
    <x v="5"/>
    <x v="8"/>
    <s v="2000-BPRS"/>
    <m/>
    <x v="1"/>
    <m/>
    <m/>
    <s v="Maharashtra"/>
    <s v="West"/>
    <s v="KHOPOLI"/>
    <s v="Coil"/>
    <n v="650250"/>
    <x v="29"/>
    <n v="2306895"/>
    <s v="CRFH COIL TATFHC TR10 0.320X1245"/>
    <s v=" "/>
    <s v=""/>
    <n v="20"/>
    <n v="25"/>
    <s v="Wider"/>
    <s v="C09"/>
    <s v="TATFHC"/>
    <s v="TR10"/>
    <n v="0.32"/>
    <n v="1245"/>
    <n v="0"/>
    <n v="232"/>
    <n v="24.22"/>
    <n v="207.78"/>
    <n v="207.78"/>
    <n v="-71.984999999999985"/>
    <n v="153.505"/>
    <n v="0"/>
    <n v="0"/>
    <n v="0"/>
    <n v="0"/>
    <n v="0"/>
    <n v="0"/>
    <n v="0"/>
    <n v="0"/>
    <n v="0"/>
    <n v="0"/>
    <n v="0"/>
    <n v="0"/>
    <n v="0"/>
    <n v="0"/>
    <n v="0"/>
    <n v="0"/>
    <n v="0"/>
    <n v="26.580000000000002"/>
    <n v="53.185000000000002"/>
    <n v="79.765000000000001"/>
    <n v="79.765000000000001"/>
    <n v="200"/>
    <n v="279.76499999999999"/>
    <n v="0"/>
    <n v="0"/>
    <n v="232"/>
    <n v="0"/>
    <n v="232"/>
    <n v="0"/>
    <n v="0"/>
    <n v="0"/>
    <n v="232"/>
    <n v="0"/>
    <n v="0"/>
    <n v="232"/>
    <n v="0"/>
    <n v="0"/>
    <n v="0"/>
    <n v="0"/>
    <n v="0"/>
    <n v="0"/>
    <n v="0"/>
    <n v="0"/>
    <n v="0"/>
    <n v="0"/>
    <m/>
    <m/>
    <m/>
    <m/>
    <m/>
    <m/>
    <m/>
    <m/>
    <s v="1"/>
    <s v="0"/>
    <s v="1"/>
    <s v="1"/>
    <s v="1"/>
    <m/>
    <m/>
    <m/>
    <m/>
    <m/>
    <m/>
    <m/>
    <m/>
    <m/>
    <m/>
    <m/>
    <m/>
    <m/>
    <m/>
  </r>
  <r>
    <n v="743"/>
    <d v="2025-03-04T00:00:00"/>
    <s v="ZBTO"/>
    <n v="9518572041"/>
    <n v="3"/>
    <s v="9518572041-3"/>
    <s v="No Priority"/>
    <x v="0"/>
    <m/>
    <x v="3"/>
    <x v="0"/>
    <s v="2000-BPRS"/>
    <m/>
    <x v="0"/>
    <m/>
    <m/>
    <s v="Jharkhand"/>
    <s v="East"/>
    <s v="TATANAGAR"/>
    <s v="Coil"/>
    <n v="165053"/>
    <x v="5"/>
    <n v="1852012"/>
    <s v="GP COIL SOFT-TSBXGP-N1GP-0.4X900"/>
    <s v="Z80"/>
    <s v=""/>
    <n v="4"/>
    <n v="12"/>
    <s v="Narrow"/>
    <s v="C02"/>
    <s v="TSBXGP"/>
    <s v="N1GP"/>
    <n v="0.4"/>
    <n v="900"/>
    <n v="0"/>
    <n v="21"/>
    <n v="0"/>
    <n v="21"/>
    <n v="1.75"/>
    <n v="0"/>
    <n v="1.33"/>
    <n v="0"/>
    <n v="0"/>
    <n v="0"/>
    <n v="0"/>
    <n v="0"/>
    <n v="0"/>
    <n v="0"/>
    <n v="0"/>
    <n v="0"/>
    <n v="0"/>
    <n v="0"/>
    <n v="0"/>
    <n v="0"/>
    <n v="0"/>
    <n v="0"/>
    <n v="0"/>
    <n v="0"/>
    <n v="0"/>
    <n v="0"/>
    <n v="0"/>
    <n v="0"/>
    <n v="0"/>
    <n v="0"/>
    <n v="0"/>
    <n v="0"/>
    <n v="21"/>
    <n v="0"/>
    <n v="0"/>
    <n v="0"/>
    <n v="21"/>
    <n v="0"/>
    <n v="21"/>
    <n v="0"/>
    <n v="0"/>
    <n v="0"/>
    <n v="0"/>
    <n v="21"/>
    <n v="0"/>
    <n v="0"/>
    <n v="0"/>
    <n v="0"/>
    <n v="0"/>
    <n v="0"/>
    <n v="0"/>
    <n v="0"/>
    <m/>
    <m/>
    <m/>
    <m/>
    <m/>
    <m/>
    <m/>
    <m/>
    <s v="1"/>
    <s v="1"/>
    <s v="1"/>
    <s v="0"/>
    <s v="1"/>
    <m/>
    <m/>
    <m/>
    <m/>
    <m/>
    <m/>
    <m/>
    <m/>
    <m/>
    <m/>
    <m/>
    <m/>
    <m/>
    <m/>
  </r>
  <r>
    <n v="742"/>
    <d v="2025-03-17T00:00:00"/>
    <s v="ZBTF"/>
    <n v="9518607093"/>
    <n v="2"/>
    <s v="9518607093-2"/>
    <s v="Apr'25 "/>
    <x v="0"/>
    <m/>
    <x v="1"/>
    <x v="7"/>
    <s v="1000-IPPE"/>
    <m/>
    <x v="1"/>
    <m/>
    <m/>
    <s v="Uttar Pradesh"/>
    <s v="North"/>
    <s v="PILKHUWA"/>
    <s v="Coil"/>
    <n v="600250"/>
    <x v="23"/>
    <n v="2439203"/>
    <s v="CRCA COIL TSBSTA EL06 0.500X1160"/>
    <s v=" "/>
    <s v=""/>
    <n v="8"/>
    <n v="13"/>
    <s v="Narrow"/>
    <s v="C01"/>
    <s v="TSBSTA"/>
    <s v="EL06"/>
    <n v="0.5"/>
    <n v="1160"/>
    <n v="0"/>
    <n v="297"/>
    <n v="263.22500000000002"/>
    <n v="33.774999999999999"/>
    <n v="21.46"/>
    <n v="33.774999999999999"/>
    <n v="22.15"/>
    <n v="0"/>
    <n v="0"/>
    <n v="0"/>
    <n v="0"/>
    <n v="0"/>
    <n v="0"/>
    <n v="0"/>
    <n v="0"/>
    <n v="0"/>
    <n v="0"/>
    <n v="0"/>
    <n v="0"/>
    <n v="0"/>
    <n v="0"/>
    <n v="0"/>
    <n v="0"/>
    <n v="0"/>
    <n v="0"/>
    <n v="0"/>
    <n v="0"/>
    <n v="0"/>
    <n v="0"/>
    <n v="0"/>
    <n v="0"/>
    <n v="24.96"/>
    <n v="297"/>
    <n v="0"/>
    <n v="297"/>
    <n v="0"/>
    <n v="0"/>
    <n v="0"/>
    <n v="321.95999999999998"/>
    <n v="0"/>
    <n v="0"/>
    <n v="321.95999999999998"/>
    <n v="0"/>
    <n v="0"/>
    <n v="0"/>
    <n v="182.69"/>
    <n v="0"/>
    <n v="182.69"/>
    <n v="0"/>
    <n v="0"/>
    <n v="0"/>
    <n v="0"/>
    <m/>
    <m/>
    <m/>
    <m/>
    <m/>
    <m/>
    <m/>
    <m/>
    <s v="1"/>
    <s v="0"/>
    <s v="1"/>
    <s v="1"/>
    <s v="1"/>
    <m/>
    <m/>
    <m/>
    <m/>
    <m/>
    <m/>
    <m/>
    <m/>
    <m/>
    <m/>
    <m/>
    <m/>
    <m/>
    <m/>
  </r>
  <r>
    <n v="742"/>
    <d v="2025-03-17T00:00:00"/>
    <s v="ZBTF"/>
    <n v="9518607093"/>
    <n v="7"/>
    <s v="9518607093-7"/>
    <s v="Apr'25 "/>
    <x v="0"/>
    <m/>
    <x v="1"/>
    <x v="7"/>
    <s v="1000-IPPE"/>
    <m/>
    <x v="1"/>
    <m/>
    <m/>
    <s v="Uttar Pradesh"/>
    <s v="North"/>
    <s v="PILKHUWA"/>
    <s v="Coil"/>
    <n v="600250"/>
    <x v="23"/>
    <n v="2439203"/>
    <s v="CRCA COIL TSBSTA EL06 0.500X1160"/>
    <s v=" "/>
    <s v=""/>
    <n v="8"/>
    <n v="13"/>
    <s v="Narrow"/>
    <s v="C01"/>
    <s v="TSBSTA"/>
    <s v="EL06"/>
    <n v="0.5"/>
    <n v="1160"/>
    <n v="0"/>
    <n v="297"/>
    <n v="98.6"/>
    <n v="198.4"/>
    <n v="21.09"/>
    <n v="145.24"/>
    <n v="51.02"/>
    <n v="0"/>
    <n v="0"/>
    <n v="0"/>
    <n v="0"/>
    <n v="0"/>
    <n v="0"/>
    <n v="0"/>
    <n v="0"/>
    <n v="0"/>
    <n v="0"/>
    <n v="0"/>
    <n v="0"/>
    <n v="53.160000000000004"/>
    <n v="0"/>
    <n v="0"/>
    <n v="0"/>
    <n v="0"/>
    <n v="0"/>
    <n v="0"/>
    <n v="53.160000000000004"/>
    <n v="53.160000000000004"/>
    <n v="0"/>
    <n v="53.160000000000004"/>
    <n v="0"/>
    <n v="0"/>
    <n v="297"/>
    <n v="0"/>
    <n v="0"/>
    <n v="297"/>
    <n v="0"/>
    <n v="0"/>
    <n v="297"/>
    <n v="0"/>
    <n v="0"/>
    <n v="0"/>
    <n v="297"/>
    <n v="0"/>
    <n v="0"/>
    <n v="0"/>
    <n v="0"/>
    <n v="0"/>
    <n v="0"/>
    <n v="0"/>
    <n v="0"/>
    <n v="0"/>
    <m/>
    <m/>
    <m/>
    <m/>
    <m/>
    <m/>
    <m/>
    <m/>
    <s v="1"/>
    <s v="1"/>
    <s v="0"/>
    <s v="1"/>
    <s v="1"/>
    <m/>
    <m/>
    <m/>
    <m/>
    <m/>
    <m/>
    <m/>
    <m/>
    <m/>
    <m/>
    <m/>
    <m/>
    <m/>
    <m/>
  </r>
  <r>
    <n v="742"/>
    <d v="2025-03-17T00:00:00"/>
    <s v="ZBTF"/>
    <n v="9518607093"/>
    <n v="8"/>
    <s v="9518607093-8"/>
    <s v="May'25"/>
    <x v="0"/>
    <m/>
    <x v="1"/>
    <x v="7"/>
    <s v="1000-IPPE"/>
    <m/>
    <x v="1"/>
    <m/>
    <s v="Exp BTF &lt;17MT"/>
    <s v="Uttar Pradesh"/>
    <s v="North"/>
    <s v="PILKHUWA"/>
    <s v="Coil"/>
    <n v="600250"/>
    <x v="23"/>
    <n v="2439203"/>
    <s v="CRCA COIL TSBSTA EL06 0.500X1160"/>
    <s v=" "/>
    <s v=""/>
    <n v="8"/>
    <n v="13"/>
    <s v="Narrow"/>
    <s v="C01"/>
    <s v="TSBSTA"/>
    <s v="EL06"/>
    <n v="0.5"/>
    <n v="1160"/>
    <n v="0"/>
    <n v="297"/>
    <n v="270.15499999999997"/>
    <n v="26.844999999999999"/>
    <n v="-0.435"/>
    <n v="0"/>
    <n v="26.844999999999999"/>
    <n v="0"/>
    <n v="0"/>
    <n v="0"/>
    <n v="0"/>
    <n v="0"/>
    <n v="0"/>
    <n v="0"/>
    <n v="0"/>
    <n v="0"/>
    <n v="0"/>
    <n v="0"/>
    <n v="0"/>
    <n v="26.5"/>
    <n v="0"/>
    <n v="0"/>
    <n v="0"/>
    <n v="0"/>
    <n v="0"/>
    <n v="0"/>
    <n v="26.5"/>
    <n v="26.5"/>
    <n v="0"/>
    <n v="26.5"/>
    <n v="0"/>
    <n v="0"/>
    <n v="297"/>
    <n v="0"/>
    <n v="0"/>
    <n v="297"/>
    <n v="0"/>
    <n v="0"/>
    <n v="297"/>
    <n v="0"/>
    <n v="0"/>
    <n v="0"/>
    <n v="297"/>
    <n v="0"/>
    <n v="0"/>
    <n v="0"/>
    <n v="0"/>
    <n v="0"/>
    <n v="0"/>
    <n v="0"/>
    <n v="0"/>
    <n v="0"/>
    <m/>
    <m/>
    <m/>
    <m/>
    <m/>
    <m/>
    <m/>
    <m/>
    <s v="1"/>
    <s v="1"/>
    <s v="0"/>
    <s v="1"/>
    <s v="1"/>
    <m/>
    <m/>
    <m/>
    <m/>
    <m/>
    <m/>
    <m/>
    <m/>
    <m/>
    <m/>
    <m/>
    <m/>
    <m/>
    <m/>
  </r>
  <r>
    <n v="742"/>
    <d v="2025-03-17T00:00:00"/>
    <s v="ZBTF"/>
    <n v="9518607093"/>
    <n v="9"/>
    <s v="9518607093-9"/>
    <s v="May'25"/>
    <x v="0"/>
    <m/>
    <x v="1"/>
    <x v="7"/>
    <s v="1000-IPPE"/>
    <m/>
    <x v="1"/>
    <m/>
    <s v="Exp BTF &lt;17MT"/>
    <s v="Uttar Pradesh"/>
    <s v="North"/>
    <s v="PILKHUWA"/>
    <s v="Coil"/>
    <n v="600250"/>
    <x v="23"/>
    <n v="2439203"/>
    <s v="CRCA COIL TSBSTA EL06 0.500X1160"/>
    <s v=" "/>
    <s v=""/>
    <n v="8"/>
    <n v="13"/>
    <s v="Narrow"/>
    <s v="C01"/>
    <s v="TSBSTA"/>
    <s v="EL06"/>
    <n v="0.5"/>
    <n v="1160"/>
    <n v="0"/>
    <n v="297"/>
    <n v="231.64"/>
    <n v="65.36"/>
    <n v="12.22"/>
    <n v="38.76"/>
    <n v="40.630000000000003"/>
    <n v="0"/>
    <n v="0"/>
    <n v="0"/>
    <n v="0"/>
    <n v="0"/>
    <n v="0"/>
    <n v="0"/>
    <n v="0"/>
    <n v="0"/>
    <n v="0"/>
    <n v="0"/>
    <n v="0"/>
    <n v="26.6"/>
    <n v="0"/>
    <n v="0"/>
    <n v="0"/>
    <n v="0"/>
    <n v="0"/>
    <n v="0"/>
    <n v="26.6"/>
    <n v="26.6"/>
    <n v="0"/>
    <n v="26.6"/>
    <n v="0"/>
    <n v="0"/>
    <n v="297"/>
    <n v="0"/>
    <n v="0"/>
    <n v="297"/>
    <n v="0"/>
    <n v="0"/>
    <n v="297"/>
    <n v="0"/>
    <n v="0"/>
    <n v="0"/>
    <n v="297"/>
    <n v="0"/>
    <n v="0"/>
    <n v="0"/>
    <n v="0"/>
    <n v="0"/>
    <n v="0"/>
    <n v="0"/>
    <n v="0"/>
    <n v="0"/>
    <m/>
    <m/>
    <m/>
    <m/>
    <m/>
    <m/>
    <m/>
    <m/>
    <s v="1"/>
    <s v="1"/>
    <s v="0"/>
    <s v="1"/>
    <s v="1"/>
    <m/>
    <m/>
    <m/>
    <m/>
    <m/>
    <m/>
    <m/>
    <m/>
    <m/>
    <m/>
    <m/>
    <m/>
    <m/>
    <m/>
  </r>
  <r>
    <n v="742"/>
    <d v="2025-03-17T00:00:00"/>
    <s v="ZBTF"/>
    <n v="9518607093"/>
    <n v="10"/>
    <s v="9518607093-10"/>
    <s v="May'25"/>
    <x v="0"/>
    <m/>
    <x v="1"/>
    <x v="7"/>
    <s v="1000-IPPE"/>
    <m/>
    <x v="1"/>
    <m/>
    <s v="Exp BTF &lt;17MT"/>
    <s v="Uttar Pradesh"/>
    <s v="North"/>
    <s v="PILKHUWA"/>
    <s v="Coil"/>
    <n v="600250"/>
    <x v="23"/>
    <n v="2439203"/>
    <s v="CRCA COIL TSBSTA EL06 0.500X1160"/>
    <s v=" "/>
    <s v=""/>
    <n v="8"/>
    <n v="13"/>
    <s v="Narrow"/>
    <s v="C01"/>
    <s v="TSBSTA"/>
    <s v="EL06"/>
    <n v="0.5"/>
    <n v="1160"/>
    <n v="0"/>
    <n v="297"/>
    <n v="209.22499999999999"/>
    <n v="87.775000000000006"/>
    <n v="9.6449999999999996"/>
    <n v="8.1150000000000091"/>
    <n v="75.405000000000001"/>
    <n v="0"/>
    <n v="0"/>
    <n v="0"/>
    <n v="0"/>
    <n v="0"/>
    <n v="0"/>
    <n v="0"/>
    <n v="0"/>
    <n v="0"/>
    <n v="0"/>
    <n v="0"/>
    <n v="0"/>
    <n v="79.66"/>
    <n v="0"/>
    <n v="0"/>
    <n v="0"/>
    <n v="0"/>
    <n v="0"/>
    <n v="0"/>
    <n v="79.66"/>
    <n v="79.66"/>
    <n v="0"/>
    <n v="79.66"/>
    <n v="0"/>
    <n v="0"/>
    <n v="297"/>
    <n v="0"/>
    <n v="0"/>
    <n v="297"/>
    <n v="0"/>
    <n v="0"/>
    <n v="297"/>
    <n v="0"/>
    <n v="0"/>
    <n v="0"/>
    <n v="297"/>
    <n v="0"/>
    <n v="0"/>
    <n v="0"/>
    <n v="0"/>
    <n v="0"/>
    <n v="0"/>
    <n v="0"/>
    <n v="0"/>
    <n v="0"/>
    <m/>
    <m/>
    <m/>
    <m/>
    <m/>
    <m/>
    <m/>
    <m/>
    <s v="1"/>
    <s v="1"/>
    <s v="0"/>
    <s v="1"/>
    <s v="1"/>
    <m/>
    <m/>
    <m/>
    <m/>
    <m/>
    <m/>
    <m/>
    <m/>
    <m/>
    <m/>
    <m/>
    <m/>
    <m/>
    <m/>
  </r>
  <r>
    <n v="742"/>
    <d v="2025-03-04T00:00:00"/>
    <s v="ZBTF"/>
    <n v="4000500393"/>
    <n v="1"/>
    <s v="4000500393-1"/>
    <s v="No Priority"/>
    <x v="0"/>
    <m/>
    <x v="0"/>
    <x v="6"/>
    <s v="2000-BPRS"/>
    <m/>
    <x v="0"/>
    <m/>
    <m/>
    <s v="Karnataka"/>
    <s v="South"/>
    <s v="YESHWANTHPURA"/>
    <s v="Coil"/>
    <n v="600103"/>
    <x v="21"/>
    <n v="1424552"/>
    <s v="HR COILS-PO IS 1079 HR2 2.01X1250"/>
    <s v=" "/>
    <s v=""/>
    <n v="17"/>
    <n v="25"/>
    <s v="Wider"/>
    <n v="768"/>
    <s v="THR099"/>
    <s v="HR99"/>
    <n v="2.0099999999999998"/>
    <n v="1250"/>
    <n v="0"/>
    <n v="75"/>
    <n v="22.79"/>
    <n v="52.21"/>
    <n v="52.21"/>
    <n v="0"/>
    <n v="8.39"/>
    <n v="0"/>
    <n v="0"/>
    <n v="21.99"/>
    <n v="0"/>
    <n v="0"/>
    <n v="0"/>
    <n v="0"/>
    <n v="0"/>
    <n v="0"/>
    <n v="0"/>
    <n v="0"/>
    <n v="0"/>
    <n v="0"/>
    <n v="0"/>
    <n v="0"/>
    <n v="0"/>
    <n v="0"/>
    <n v="0"/>
    <n v="0"/>
    <n v="21.99"/>
    <n v="21.99"/>
    <n v="52"/>
    <n v="73.989999999999995"/>
    <n v="0"/>
    <n v="0"/>
    <n v="52.21"/>
    <n v="0"/>
    <n v="0"/>
    <n v="0"/>
    <n v="52.21"/>
    <n v="0"/>
    <n v="52.21"/>
    <n v="0"/>
    <n v="0"/>
    <n v="0"/>
    <n v="52.21"/>
    <n v="0"/>
    <n v="0"/>
    <n v="0"/>
    <n v="0"/>
    <n v="0"/>
    <n v="0"/>
    <n v="0"/>
    <n v="0"/>
    <n v="0"/>
    <m/>
    <m/>
    <m/>
    <m/>
    <m/>
    <m/>
    <m/>
    <m/>
    <s v="1"/>
    <s v="1"/>
    <s v="1"/>
    <s v="0"/>
    <s v="1"/>
    <m/>
    <m/>
    <m/>
    <m/>
    <m/>
    <m/>
    <m/>
    <m/>
    <m/>
    <m/>
    <m/>
    <m/>
    <m/>
    <m/>
  </r>
  <r>
    <n v="742"/>
    <d v="2025-02-10T00:00:00"/>
    <s v="ZBTO"/>
    <n v="9518507185"/>
    <n v="9"/>
    <s v="9518507185-9"/>
    <s v="No Priority"/>
    <x v="0"/>
    <m/>
    <x v="1"/>
    <x v="2"/>
    <s v="2000-BPRS"/>
    <m/>
    <x v="0"/>
    <m/>
    <m/>
    <s v="Jharkhand"/>
    <s v="East"/>
    <s v="WEST BOKARO"/>
    <s v="Sheet"/>
    <n v="185794"/>
    <x v="12"/>
    <n v="3240761"/>
    <s v="CRCA SHEET TSBCRC SR15 0.500X1250X2030"/>
    <s v=" "/>
    <s v=""/>
    <n v="2.8"/>
    <n v="3.2"/>
    <s v="Wider"/>
    <s v="C06"/>
    <s v="TSBCRC"/>
    <s v="SR15"/>
    <n v="0.5"/>
    <n v="1250"/>
    <n v="2030"/>
    <n v="30"/>
    <n v="0"/>
    <n v="30"/>
    <n v="2.62"/>
    <n v="0"/>
    <n v="6.8250000000000002"/>
    <n v="0"/>
    <n v="0"/>
    <n v="0"/>
    <n v="0"/>
    <n v="0"/>
    <n v="0"/>
    <n v="0"/>
    <n v="0"/>
    <n v="0.24"/>
    <n v="0"/>
    <n v="0"/>
    <n v="0"/>
    <n v="0"/>
    <n v="0"/>
    <n v="0"/>
    <n v="0"/>
    <n v="0"/>
    <n v="0"/>
    <n v="0"/>
    <n v="0.24"/>
    <n v="0.24"/>
    <n v="0"/>
    <n v="0.24"/>
    <n v="0"/>
    <n v="0"/>
    <n v="30"/>
    <n v="0"/>
    <n v="0"/>
    <n v="0"/>
    <n v="30"/>
    <n v="0"/>
    <n v="30"/>
    <n v="0"/>
    <n v="0"/>
    <n v="0"/>
    <n v="0"/>
    <n v="30"/>
    <n v="0"/>
    <n v="0"/>
    <n v="0"/>
    <n v="0"/>
    <n v="0"/>
    <n v="0"/>
    <n v="0"/>
    <n v="0"/>
    <m/>
    <m/>
    <m/>
    <m/>
    <m/>
    <m/>
    <m/>
    <m/>
    <s v="1"/>
    <s v="1"/>
    <s v="1"/>
    <s v="0"/>
    <s v="1"/>
    <m/>
    <m/>
    <m/>
    <m/>
    <m/>
    <m/>
    <m/>
    <m/>
    <m/>
    <m/>
    <m/>
    <m/>
    <m/>
    <m/>
  </r>
  <r>
    <n v="742"/>
    <d v="2025-03-11T00:00:00"/>
    <s v="ZBTO"/>
    <n v="9518591774"/>
    <n v="16"/>
    <s v="9518591774-16"/>
    <s v="May'25"/>
    <x v="0"/>
    <m/>
    <x v="1"/>
    <x v="1"/>
    <s v="2000-BPRS"/>
    <m/>
    <x v="1"/>
    <m/>
    <s v="Exp BTF &lt;17MT"/>
    <s v="Delhi"/>
    <s v="North"/>
    <s v="ZOSOLA"/>
    <s v="Coil"/>
    <n v="936527"/>
    <x v="52"/>
    <n v="2193599"/>
    <s v="CRCA COIL TATXXD AU03 1.400X1250"/>
    <s v=" "/>
    <s v=""/>
    <n v="10"/>
    <n v="30"/>
    <s v="Wider"/>
    <s v="C01"/>
    <s v="TATXXD"/>
    <s v="AU03"/>
    <n v="1.4"/>
    <n v="1250"/>
    <n v="0"/>
    <n v="29"/>
    <n v="0"/>
    <n v="29"/>
    <n v="7.08"/>
    <n v="8.11"/>
    <n v="29"/>
    <n v="0"/>
    <n v="0"/>
    <n v="0"/>
    <n v="0"/>
    <n v="0"/>
    <n v="0"/>
    <n v="0"/>
    <n v="0"/>
    <n v="0"/>
    <n v="0"/>
    <n v="0"/>
    <n v="0"/>
    <n v="0"/>
    <n v="20.89"/>
    <n v="0"/>
    <n v="0"/>
    <n v="0"/>
    <n v="0"/>
    <n v="0"/>
    <n v="20.89"/>
    <n v="20.89"/>
    <n v="0"/>
    <n v="20.89"/>
    <n v="0"/>
    <n v="0"/>
    <n v="29"/>
    <n v="0"/>
    <n v="0"/>
    <n v="0"/>
    <n v="0"/>
    <n v="29"/>
    <n v="0"/>
    <n v="0"/>
    <n v="0"/>
    <n v="0"/>
    <n v="0"/>
    <n v="0"/>
    <n v="29"/>
    <n v="0"/>
    <n v="0"/>
    <n v="0"/>
    <n v="0"/>
    <n v="0"/>
    <n v="0"/>
    <n v="0"/>
    <m/>
    <m/>
    <m/>
    <m/>
    <m/>
    <m/>
    <m/>
    <m/>
    <s v="1"/>
    <s v="1"/>
    <s v="1"/>
    <s v="1"/>
    <s v="0"/>
    <m/>
    <m/>
    <m/>
    <m/>
    <m/>
    <m/>
    <m/>
    <m/>
    <m/>
    <m/>
    <m/>
    <m/>
    <m/>
    <m/>
  </r>
  <r>
    <n v="743"/>
    <d v="2025-03-17T00:00:00"/>
    <s v="ZBTO"/>
    <n v="9518607025"/>
    <n v="2"/>
    <s v="9518607025-2"/>
    <s v="No Priority"/>
    <x v="0"/>
    <m/>
    <x v="3"/>
    <x v="9"/>
    <s v="2000-BPRS"/>
    <m/>
    <x v="0"/>
    <m/>
    <s v="Exp BTF &lt;17MT"/>
    <s v="Jharkhand"/>
    <s v="East"/>
    <s v="BOKARO STEEL CY"/>
    <s v="Coil"/>
    <n v="121328"/>
    <x v="10"/>
    <n v="1191956"/>
    <s v="GP COIL SOFT-TATXGP-GK09-0.35X900"/>
    <s v="Z80"/>
    <s v=""/>
    <n v="4"/>
    <n v="12"/>
    <s v="Narrow"/>
    <s v="C02"/>
    <s v="TATXGP"/>
    <s v="GK09"/>
    <n v="0.35"/>
    <n v="900"/>
    <n v="0"/>
    <n v="105"/>
    <n v="92.64"/>
    <n v="12.36"/>
    <n v="3.58"/>
    <n v="3.58"/>
    <n v="12.36"/>
    <n v="0"/>
    <n v="0"/>
    <n v="0"/>
    <n v="0"/>
    <n v="0"/>
    <n v="0"/>
    <n v="0"/>
    <n v="8.7799999999999994"/>
    <n v="0"/>
    <n v="0"/>
    <n v="0"/>
    <n v="0"/>
    <n v="0"/>
    <n v="0"/>
    <n v="0"/>
    <n v="0"/>
    <n v="0"/>
    <n v="0"/>
    <n v="0"/>
    <n v="8.7799999999999994"/>
    <n v="8.7799999999999994"/>
    <n v="0"/>
    <n v="8.7799999999999994"/>
    <n v="0"/>
    <n v="0"/>
    <n v="105"/>
    <n v="0"/>
    <n v="105"/>
    <n v="0"/>
    <n v="0"/>
    <n v="0"/>
    <n v="105"/>
    <n v="0"/>
    <n v="0"/>
    <n v="105"/>
    <n v="0"/>
    <n v="0"/>
    <n v="0"/>
    <n v="92.64"/>
    <n v="0"/>
    <n v="92.64"/>
    <n v="0"/>
    <n v="0"/>
    <n v="0"/>
    <n v="0"/>
    <m/>
    <m/>
    <m/>
    <m/>
    <m/>
    <m/>
    <m/>
    <m/>
    <s v="1"/>
    <s v="0"/>
    <s v="1"/>
    <s v="1"/>
    <s v="1"/>
    <m/>
    <m/>
    <m/>
    <m/>
    <m/>
    <m/>
    <m/>
    <m/>
    <m/>
    <m/>
    <m/>
    <m/>
    <m/>
    <m/>
  </r>
  <r>
    <n v="742"/>
    <d v="2025-03-17T00:00:00"/>
    <s v="ZBTO"/>
    <n v="9518605539"/>
    <n v="4"/>
    <s v="9518605539-4"/>
    <s v="No Priority"/>
    <x v="0"/>
    <m/>
    <x v="1"/>
    <x v="2"/>
    <s v="2000-BPRS"/>
    <m/>
    <x v="0"/>
    <m/>
    <s v="Exp BTF &lt;17MT"/>
    <s v="West Bengal"/>
    <s v="East"/>
    <s v="HOWRAH"/>
    <s v="Sheet"/>
    <n v="925093"/>
    <x v="20"/>
    <n v="3240757"/>
    <s v="CRCA SHEET TSBCRC SR15 0.500X1000X2000"/>
    <s v=" "/>
    <s v=""/>
    <n v="2"/>
    <n v="3"/>
    <s v="Narrow"/>
    <s v="C06"/>
    <s v="TSBCRC"/>
    <s v="SR15"/>
    <n v="0.5"/>
    <n v="1000"/>
    <n v="2000"/>
    <n v="24"/>
    <n v="20.440000000000001"/>
    <n v="3.56"/>
    <n v="3.56"/>
    <n v="3.56"/>
    <n v="3.56"/>
    <n v="0"/>
    <n v="0"/>
    <n v="0"/>
    <n v="0"/>
    <n v="0"/>
    <n v="0"/>
    <n v="0"/>
    <n v="0"/>
    <n v="0"/>
    <n v="0"/>
    <n v="0"/>
    <n v="0"/>
    <n v="0"/>
    <n v="0"/>
    <n v="0"/>
    <n v="0"/>
    <n v="0"/>
    <n v="0"/>
    <n v="0"/>
    <n v="0"/>
    <n v="0"/>
    <n v="0"/>
    <n v="0"/>
    <n v="0"/>
    <n v="0"/>
    <n v="24"/>
    <n v="0"/>
    <n v="24"/>
    <n v="0"/>
    <n v="0"/>
    <n v="0"/>
    <n v="24"/>
    <n v="0"/>
    <n v="0"/>
    <n v="24"/>
    <n v="0"/>
    <n v="0"/>
    <n v="0"/>
    <n v="20.440000000000001"/>
    <n v="0"/>
    <n v="20.440000000000001"/>
    <n v="0"/>
    <n v="0"/>
    <n v="0"/>
    <n v="0"/>
    <m/>
    <m/>
    <m/>
    <m/>
    <m/>
    <m/>
    <m/>
    <m/>
    <s v="1"/>
    <s v="0"/>
    <s v="1"/>
    <s v="1"/>
    <s v="1"/>
    <m/>
    <m/>
    <m/>
    <m/>
    <m/>
    <m/>
    <m/>
    <m/>
    <m/>
    <m/>
    <m/>
    <m/>
    <m/>
    <m/>
  </r>
  <r>
    <n v="742"/>
    <d v="2025-03-17T00:00:00"/>
    <s v="ZBTO"/>
    <n v="9518605539"/>
    <n v="5"/>
    <s v="9518605539-5"/>
    <s v="No Priority"/>
    <x v="0"/>
    <m/>
    <x v="1"/>
    <x v="2"/>
    <s v="2000-BPRS"/>
    <m/>
    <x v="0"/>
    <m/>
    <m/>
    <s v="West Bengal"/>
    <s v="East"/>
    <s v="HOWRAH"/>
    <s v="Sheet"/>
    <n v="925093"/>
    <x v="20"/>
    <n v="3240760"/>
    <s v="CRCA SHEET TSBCRC SR15 0.500X1000X2500"/>
    <s v=" "/>
    <s v=""/>
    <n v="2"/>
    <n v="3"/>
    <s v="Narrow"/>
    <s v="C06"/>
    <s v="TSBCRC"/>
    <s v="SR15"/>
    <n v="0.5"/>
    <n v="1000"/>
    <n v="2500"/>
    <n v="36"/>
    <n v="20.100000000000001"/>
    <n v="15.9"/>
    <n v="-7.23"/>
    <n v="0"/>
    <n v="15.9"/>
    <n v="0"/>
    <n v="0"/>
    <n v="0"/>
    <n v="0"/>
    <n v="0"/>
    <n v="0"/>
    <n v="0"/>
    <n v="0"/>
    <n v="0"/>
    <n v="0"/>
    <n v="0"/>
    <n v="0"/>
    <n v="0"/>
    <n v="22.21"/>
    <n v="0"/>
    <n v="0"/>
    <n v="0"/>
    <n v="0"/>
    <n v="0"/>
    <n v="22.21"/>
    <n v="22.21"/>
    <n v="0"/>
    <n v="22.21"/>
    <n v="0"/>
    <n v="0"/>
    <n v="36"/>
    <n v="0"/>
    <n v="0"/>
    <n v="36"/>
    <n v="0"/>
    <n v="0"/>
    <n v="36"/>
    <n v="0"/>
    <n v="0"/>
    <n v="0"/>
    <n v="36"/>
    <n v="0"/>
    <n v="0"/>
    <n v="20.100000000000001"/>
    <n v="0"/>
    <n v="0"/>
    <n v="20.100000000000001"/>
    <n v="0"/>
    <n v="0"/>
    <n v="0"/>
    <m/>
    <m/>
    <m/>
    <m/>
    <m/>
    <m/>
    <m/>
    <m/>
    <s v="1"/>
    <s v="1"/>
    <s v="0"/>
    <s v="1"/>
    <s v="1"/>
    <m/>
    <m/>
    <m/>
    <m/>
    <m/>
    <m/>
    <m/>
    <m/>
    <m/>
    <m/>
    <m/>
    <m/>
    <m/>
    <m/>
  </r>
  <r>
    <n v="742"/>
    <d v="2025-03-17T00:00:00"/>
    <s v="ZBTO"/>
    <n v="9518605539"/>
    <n v="6"/>
    <s v="9518605539-6"/>
    <s v="No Priority"/>
    <x v="0"/>
    <m/>
    <x v="1"/>
    <x v="2"/>
    <s v="2000-BPRS"/>
    <m/>
    <x v="0"/>
    <m/>
    <s v="Exp BTF &lt;17MT"/>
    <s v="West Bengal"/>
    <s v="East"/>
    <s v="HOWRAH"/>
    <s v="Sheet"/>
    <n v="925093"/>
    <x v="20"/>
    <n v="3402254"/>
    <s v="CRCA SHEET TSBCRC SR15 0.600X1000X2000"/>
    <s v=" "/>
    <s v=""/>
    <n v="2"/>
    <n v="3"/>
    <s v="Narrow"/>
    <s v="C06"/>
    <s v="TSBCRC"/>
    <s v="SR15"/>
    <n v="0.6"/>
    <n v="1000"/>
    <n v="2000"/>
    <n v="24"/>
    <n v="20.29"/>
    <n v="3.71"/>
    <n v="3.71"/>
    <n v="3.71"/>
    <n v="3.71"/>
    <n v="0"/>
    <n v="0"/>
    <n v="0"/>
    <n v="0"/>
    <n v="0"/>
    <n v="0"/>
    <n v="0"/>
    <n v="0"/>
    <n v="0"/>
    <n v="0"/>
    <n v="0"/>
    <n v="0"/>
    <n v="0"/>
    <n v="0"/>
    <n v="0"/>
    <n v="0"/>
    <n v="0"/>
    <n v="0"/>
    <n v="0"/>
    <n v="0"/>
    <n v="0"/>
    <n v="0"/>
    <n v="0"/>
    <n v="0"/>
    <n v="0"/>
    <n v="24"/>
    <n v="0"/>
    <n v="24"/>
    <n v="0"/>
    <n v="0"/>
    <n v="0"/>
    <n v="24"/>
    <n v="0"/>
    <n v="0"/>
    <n v="24"/>
    <n v="0"/>
    <n v="0"/>
    <n v="0"/>
    <n v="20.29"/>
    <n v="0"/>
    <n v="20.29"/>
    <n v="0"/>
    <n v="0"/>
    <n v="0"/>
    <n v="0"/>
    <m/>
    <m/>
    <m/>
    <m/>
    <m/>
    <m/>
    <m/>
    <m/>
    <s v="1"/>
    <s v="0"/>
    <s v="1"/>
    <s v="1"/>
    <s v="1"/>
    <m/>
    <m/>
    <m/>
    <m/>
    <m/>
    <m/>
    <m/>
    <m/>
    <m/>
    <m/>
    <m/>
    <m/>
    <m/>
    <m/>
  </r>
  <r>
    <n v="742"/>
    <d v="2025-03-16T00:00:00"/>
    <s v="ZBTO"/>
    <n v="9518604323"/>
    <n v="6"/>
    <s v="9518604323-6"/>
    <s v="May'25"/>
    <x v="0"/>
    <m/>
    <x v="1"/>
    <x v="2"/>
    <n v="2000"/>
    <m/>
    <x v="1"/>
    <m/>
    <s v="Exp BTF &lt;17MT"/>
    <s v="Orissa"/>
    <s v="East"/>
    <s v="TANGI"/>
    <s v="Sheet"/>
    <n v="117061"/>
    <x v="25"/>
    <n v="3240760"/>
    <s v="CRCA SHEET TSBCRC SR15 0.500X1000X2500"/>
    <s v=" "/>
    <s v=""/>
    <n v="0.1"/>
    <n v="5"/>
    <s v="Narrow"/>
    <s v="C06"/>
    <s v="TSBCRC"/>
    <s v="SR15"/>
    <n v="0.5"/>
    <n v="1000"/>
    <n v="2500"/>
    <n v="30"/>
    <n v="0"/>
    <n v="30"/>
    <n v="6.87"/>
    <n v="7.9699999999999989"/>
    <n v="30"/>
    <n v="0"/>
    <n v="0"/>
    <n v="0"/>
    <n v="0"/>
    <n v="0"/>
    <n v="0"/>
    <n v="0"/>
    <n v="0"/>
    <n v="0"/>
    <n v="0"/>
    <n v="0"/>
    <n v="0"/>
    <n v="0"/>
    <n v="22.03"/>
    <n v="0"/>
    <n v="0"/>
    <n v="0"/>
    <n v="0"/>
    <n v="0"/>
    <n v="22.03"/>
    <n v="22.03"/>
    <n v="0"/>
    <n v="22.03"/>
    <n v="0"/>
    <n v="0"/>
    <n v="30"/>
    <n v="0"/>
    <n v="0"/>
    <n v="0"/>
    <n v="30"/>
    <n v="0"/>
    <n v="30"/>
    <n v="0"/>
    <n v="0"/>
    <n v="0"/>
    <n v="0"/>
    <n v="30"/>
    <n v="0"/>
    <n v="0"/>
    <n v="0"/>
    <n v="0"/>
    <n v="0"/>
    <n v="0"/>
    <n v="0"/>
    <n v="0"/>
    <m/>
    <m/>
    <m/>
    <m/>
    <m/>
    <m/>
    <m/>
    <m/>
    <s v="1"/>
    <s v="1"/>
    <s v="1"/>
    <s v="0"/>
    <s v="1"/>
    <m/>
    <m/>
    <m/>
    <m/>
    <m/>
    <m/>
    <m/>
    <m/>
    <m/>
    <m/>
    <m/>
    <m/>
    <m/>
    <m/>
  </r>
  <r>
    <n v="742"/>
    <d v="2025-03-16T00:00:00"/>
    <s v="ZBTO"/>
    <n v="9518604323"/>
    <n v="8"/>
    <s v="9518604323-8"/>
    <s v="No Priority"/>
    <x v="0"/>
    <m/>
    <x v="1"/>
    <x v="2"/>
    <n v="2000"/>
    <m/>
    <x v="0"/>
    <m/>
    <m/>
    <s v="Orissa"/>
    <s v="East"/>
    <s v="TANGI"/>
    <s v="Sheet"/>
    <n v="117061"/>
    <x v="25"/>
    <n v="3240778"/>
    <s v="CRCA SHEET TSBCRC SR15 0.600X1000X2500"/>
    <s v=" "/>
    <s v=""/>
    <n v="0.1"/>
    <n v="5"/>
    <s v="Narrow"/>
    <s v="C06"/>
    <s v="TSBCRC"/>
    <s v="SR15"/>
    <n v="0.6"/>
    <n v="1000"/>
    <n v="2500"/>
    <n v="30"/>
    <n v="20.414999999999999"/>
    <n v="9.5850000000000009"/>
    <n v="9.5850000000000009"/>
    <n v="9.5850000000000009"/>
    <n v="9.5850000000000009"/>
    <n v="0"/>
    <n v="0"/>
    <n v="0"/>
    <n v="0"/>
    <n v="0"/>
    <n v="0"/>
    <n v="0"/>
    <n v="0"/>
    <n v="0"/>
    <n v="0"/>
    <n v="0"/>
    <n v="0"/>
    <n v="0"/>
    <n v="0"/>
    <n v="0"/>
    <n v="0"/>
    <n v="0"/>
    <n v="0"/>
    <n v="0"/>
    <n v="0"/>
    <n v="0"/>
    <n v="0"/>
    <n v="0"/>
    <n v="0"/>
    <n v="0"/>
    <n v="30"/>
    <n v="0"/>
    <n v="30"/>
    <n v="0"/>
    <n v="0"/>
    <n v="0"/>
    <n v="30"/>
    <n v="0"/>
    <n v="0"/>
    <n v="30"/>
    <n v="0"/>
    <n v="0"/>
    <n v="0"/>
    <n v="20.414999999999999"/>
    <n v="0"/>
    <n v="20.414999999999999"/>
    <n v="0"/>
    <n v="0"/>
    <n v="0"/>
    <n v="0"/>
    <m/>
    <m/>
    <m/>
    <m/>
    <m/>
    <m/>
    <m/>
    <m/>
    <s v="1"/>
    <s v="0"/>
    <s v="1"/>
    <s v="1"/>
    <s v="1"/>
    <m/>
    <m/>
    <m/>
    <m/>
    <m/>
    <m/>
    <m/>
    <m/>
    <m/>
    <m/>
    <m/>
    <m/>
    <m/>
    <m/>
  </r>
  <r>
    <n v="742"/>
    <d v="2025-03-16T00:00:00"/>
    <s v="ZBTO"/>
    <n v="9518604323"/>
    <n v="10"/>
    <s v="9518604323-10"/>
    <s v="No Priority"/>
    <x v="0"/>
    <m/>
    <x v="1"/>
    <x v="2"/>
    <n v="2000"/>
    <m/>
    <x v="0"/>
    <m/>
    <s v="Exp BTF &lt;17MT"/>
    <s v="Orissa"/>
    <s v="East"/>
    <s v="TANGI"/>
    <s v="Sheet"/>
    <n v="117061"/>
    <x v="25"/>
    <n v="3240790"/>
    <s v="CRCA SHEET TSBCRC SR15 0.700X1000X2500"/>
    <s v=" "/>
    <s v=""/>
    <n v="0.1"/>
    <n v="5"/>
    <s v="Narrow"/>
    <s v="C06"/>
    <s v="TSBCRC"/>
    <s v="SR15"/>
    <n v="0.7"/>
    <n v="1000"/>
    <n v="2500"/>
    <n v="30"/>
    <n v="20.934999999999999"/>
    <n v="9.0649999999999995"/>
    <n v="9.0649999999999995"/>
    <n v="9.0649999999999995"/>
    <n v="9.0649999999999995"/>
    <n v="0"/>
    <n v="0"/>
    <n v="0"/>
    <n v="0"/>
    <n v="0"/>
    <n v="0"/>
    <n v="0"/>
    <n v="0"/>
    <n v="0"/>
    <n v="0"/>
    <n v="0"/>
    <n v="0"/>
    <n v="0"/>
    <n v="0"/>
    <n v="0"/>
    <n v="0"/>
    <n v="0"/>
    <n v="0"/>
    <n v="0"/>
    <n v="0"/>
    <n v="0"/>
    <n v="0"/>
    <n v="0"/>
    <n v="0"/>
    <n v="0"/>
    <n v="30"/>
    <n v="0"/>
    <n v="30"/>
    <n v="0"/>
    <n v="0"/>
    <n v="0"/>
    <n v="30"/>
    <n v="0"/>
    <n v="0"/>
    <n v="30"/>
    <n v="0"/>
    <n v="0"/>
    <n v="0"/>
    <n v="20.934999999999999"/>
    <n v="0"/>
    <n v="20.934999999999999"/>
    <n v="0"/>
    <n v="0"/>
    <n v="0"/>
    <n v="0"/>
    <m/>
    <m/>
    <m/>
    <m/>
    <m/>
    <m/>
    <m/>
    <m/>
    <s v="1"/>
    <s v="0"/>
    <s v="1"/>
    <s v="1"/>
    <s v="1"/>
    <m/>
    <m/>
    <m/>
    <m/>
    <m/>
    <m/>
    <m/>
    <m/>
    <m/>
    <m/>
    <m/>
    <m/>
    <m/>
    <m/>
  </r>
  <r>
    <n v="742"/>
    <d v="2025-03-16T00:00:00"/>
    <s v="ZBTO"/>
    <n v="9518604323"/>
    <n v="13"/>
    <s v="9518604323-13"/>
    <s v="No Priority"/>
    <x v="0"/>
    <m/>
    <x v="1"/>
    <x v="2"/>
    <n v="2000"/>
    <m/>
    <x v="0"/>
    <m/>
    <m/>
    <s v="Orissa"/>
    <s v="East"/>
    <s v="TANGI"/>
    <s v="Sheet"/>
    <n v="117061"/>
    <x v="25"/>
    <n v="3240808"/>
    <s v="CRCA SHEET TSBCRC SR15 0.800X1250X2500"/>
    <s v=" "/>
    <s v=""/>
    <n v="0.1"/>
    <n v="5"/>
    <s v="Wider"/>
    <s v="C06"/>
    <s v="TSBCRC"/>
    <s v="SR15"/>
    <n v="0.8"/>
    <n v="1250"/>
    <n v="2500"/>
    <n v="24"/>
    <n v="0"/>
    <n v="24"/>
    <n v="-2.77"/>
    <n v="0"/>
    <n v="1.8149999999999999"/>
    <n v="0"/>
    <n v="0"/>
    <n v="0"/>
    <n v="0"/>
    <n v="0"/>
    <n v="0"/>
    <n v="0"/>
    <n v="0"/>
    <n v="0"/>
    <n v="0"/>
    <n v="0"/>
    <n v="0"/>
    <n v="0"/>
    <n v="0"/>
    <n v="0"/>
    <n v="0"/>
    <n v="0"/>
    <n v="0"/>
    <n v="0"/>
    <n v="0"/>
    <n v="0"/>
    <n v="0"/>
    <n v="0"/>
    <n v="0"/>
    <n v="0"/>
    <n v="24"/>
    <n v="0"/>
    <n v="0"/>
    <n v="0"/>
    <n v="24"/>
    <n v="0"/>
    <n v="24"/>
    <n v="0"/>
    <n v="0"/>
    <n v="0"/>
    <n v="0"/>
    <n v="24"/>
    <n v="0"/>
    <n v="0"/>
    <n v="0"/>
    <n v="0"/>
    <n v="0"/>
    <n v="0"/>
    <n v="0"/>
    <n v="0"/>
    <m/>
    <m/>
    <m/>
    <m/>
    <m/>
    <m/>
    <m/>
    <m/>
    <s v="1"/>
    <s v="1"/>
    <s v="1"/>
    <s v="0"/>
    <s v="1"/>
    <m/>
    <m/>
    <m/>
    <m/>
    <m/>
    <m/>
    <m/>
    <m/>
    <m/>
    <m/>
    <m/>
    <m/>
    <m/>
    <m/>
  </r>
  <r>
    <n v="742"/>
    <d v="2025-03-16T00:00:00"/>
    <s v="ZBTO"/>
    <n v="9518604323"/>
    <n v="14"/>
    <s v="9518604323-14"/>
    <s v="No Priority"/>
    <x v="0"/>
    <m/>
    <x v="1"/>
    <x v="2"/>
    <n v="2000"/>
    <m/>
    <x v="0"/>
    <m/>
    <s v="Exp BTF &lt;17MT"/>
    <s v="Orissa"/>
    <s v="East"/>
    <s v="TANGI"/>
    <s v="Sheet"/>
    <n v="117061"/>
    <x v="25"/>
    <n v="3240818"/>
    <s v="CRCA SHEET TSBCRC SR15 0.900X1000X2500"/>
    <s v=" "/>
    <s v=""/>
    <n v="0.1"/>
    <n v="5"/>
    <s v="Narrow"/>
    <s v="C06"/>
    <s v="TSBCRC"/>
    <s v="SR15"/>
    <n v="0.9"/>
    <n v="1000"/>
    <n v="2500"/>
    <n v="24"/>
    <n v="20.335000000000001"/>
    <n v="3.665"/>
    <n v="3.665"/>
    <n v="3.665"/>
    <n v="-1.9350000000000001"/>
    <n v="0"/>
    <n v="0"/>
    <n v="0"/>
    <n v="0"/>
    <n v="0"/>
    <n v="0"/>
    <n v="0"/>
    <n v="0"/>
    <n v="0"/>
    <n v="0"/>
    <n v="0"/>
    <n v="0"/>
    <n v="0"/>
    <n v="0"/>
    <n v="0"/>
    <n v="0"/>
    <n v="0"/>
    <n v="0"/>
    <n v="0"/>
    <n v="0"/>
    <n v="0"/>
    <n v="0"/>
    <n v="0"/>
    <n v="0"/>
    <n v="0"/>
    <n v="24"/>
    <n v="0"/>
    <n v="24"/>
    <n v="0"/>
    <n v="0"/>
    <n v="0"/>
    <n v="24"/>
    <n v="0"/>
    <n v="0"/>
    <n v="24"/>
    <n v="0"/>
    <n v="0"/>
    <n v="0"/>
    <n v="20.335000000000001"/>
    <n v="0"/>
    <n v="20.335000000000001"/>
    <n v="0"/>
    <n v="0"/>
    <n v="0"/>
    <n v="0"/>
    <m/>
    <m/>
    <m/>
    <m/>
    <m/>
    <m/>
    <m/>
    <m/>
    <s v="1"/>
    <s v="0"/>
    <s v="1"/>
    <s v="1"/>
    <s v="1"/>
    <m/>
    <m/>
    <m/>
    <m/>
    <m/>
    <m/>
    <m/>
    <m/>
    <m/>
    <m/>
    <m/>
    <m/>
    <m/>
    <m/>
  </r>
  <r>
    <n v="742"/>
    <d v="2025-03-16T00:00:00"/>
    <s v="ZBTO"/>
    <n v="9518604323"/>
    <n v="15"/>
    <s v="9518604323-15"/>
    <s v="No Priority"/>
    <x v="0"/>
    <m/>
    <x v="1"/>
    <x v="2"/>
    <n v="2000"/>
    <m/>
    <x v="0"/>
    <m/>
    <m/>
    <s v="Orissa"/>
    <s v="East"/>
    <s v="TANGI"/>
    <s v="Sheet"/>
    <n v="117061"/>
    <x v="25"/>
    <n v="3240836"/>
    <s v="CRCA SHEET TSBCRC SR15 1X1000X2500"/>
    <s v=" "/>
    <s v=""/>
    <n v="0.1"/>
    <n v="5"/>
    <s v="Narrow"/>
    <s v="C06"/>
    <s v="TSBCRC"/>
    <s v="SR15"/>
    <n v="1"/>
    <n v="1000"/>
    <n v="2500"/>
    <n v="24"/>
    <n v="20.53"/>
    <n v="3.47"/>
    <n v="3.47"/>
    <n v="3.47"/>
    <n v="3.47"/>
    <n v="0"/>
    <n v="0"/>
    <n v="0"/>
    <n v="0"/>
    <n v="0"/>
    <n v="0"/>
    <n v="0"/>
    <n v="0"/>
    <n v="0"/>
    <n v="0"/>
    <n v="0"/>
    <n v="0"/>
    <n v="0"/>
    <n v="0"/>
    <n v="0"/>
    <n v="0"/>
    <n v="0"/>
    <n v="0"/>
    <n v="0"/>
    <n v="0"/>
    <n v="0"/>
    <n v="0"/>
    <n v="0"/>
    <n v="0"/>
    <n v="20.53"/>
    <n v="24"/>
    <n v="24"/>
    <n v="0"/>
    <n v="0"/>
    <n v="0"/>
    <n v="0"/>
    <n v="44.53"/>
    <n v="0"/>
    <n v="44.53"/>
    <n v="0"/>
    <n v="0"/>
    <n v="0"/>
    <n v="0"/>
    <n v="20.53"/>
    <n v="20.53"/>
    <n v="0"/>
    <n v="0"/>
    <n v="0"/>
    <n v="0"/>
    <n v="0"/>
    <m/>
    <m/>
    <m/>
    <m/>
    <m/>
    <m/>
    <m/>
    <m/>
    <s v="0"/>
    <s v="1"/>
    <s v="1"/>
    <s v="1"/>
    <s v="1"/>
    <m/>
    <m/>
    <m/>
    <m/>
    <m/>
    <m/>
    <m/>
    <m/>
    <m/>
    <m/>
    <m/>
    <m/>
    <m/>
    <m/>
  </r>
  <r>
    <n v="742"/>
    <d v="2025-03-11T00:00:00"/>
    <s v="ZBTO"/>
    <n v="9518591774"/>
    <n v="6"/>
    <s v="9518591774-6"/>
    <s v="May'25"/>
    <x v="0"/>
    <m/>
    <x v="1"/>
    <x v="1"/>
    <s v="2000-BPRS"/>
    <m/>
    <x v="1"/>
    <m/>
    <m/>
    <s v="Delhi"/>
    <s v="North"/>
    <s v="ZOSOLA"/>
    <s v="Coil"/>
    <n v="936527"/>
    <x v="52"/>
    <n v="1801290"/>
    <s v="CRCA COIL-TATXXD-AU03-0.6X1250"/>
    <s v=" "/>
    <s v=""/>
    <n v="10"/>
    <n v="30"/>
    <s v="Wider"/>
    <s v="C01"/>
    <s v="TATXXD"/>
    <s v="AU03"/>
    <n v="0.6"/>
    <n v="1250"/>
    <n v="0"/>
    <n v="58"/>
    <n v="38.869999999999997"/>
    <n v="19.13"/>
    <n v="-5.37"/>
    <n v="0"/>
    <n v="19.13"/>
    <n v="0"/>
    <n v="0"/>
    <n v="0"/>
    <n v="0"/>
    <n v="0"/>
    <n v="0"/>
    <n v="0"/>
    <n v="0"/>
    <n v="0"/>
    <n v="0"/>
    <n v="0"/>
    <n v="0"/>
    <n v="0"/>
    <n v="23.35"/>
    <n v="0"/>
    <n v="0"/>
    <n v="0"/>
    <n v="0"/>
    <n v="0"/>
    <n v="23.35"/>
    <n v="23.35"/>
    <n v="0"/>
    <n v="23.35"/>
    <n v="0"/>
    <n v="0"/>
    <n v="45.13"/>
    <n v="45.13"/>
    <n v="0"/>
    <n v="0"/>
    <n v="0"/>
    <n v="0"/>
    <n v="45.13"/>
    <n v="0"/>
    <n v="45.13"/>
    <n v="0"/>
    <n v="0"/>
    <n v="0"/>
    <n v="0"/>
    <n v="26"/>
    <n v="26"/>
    <n v="0"/>
    <n v="0"/>
    <n v="0"/>
    <n v="0"/>
    <n v="0"/>
    <m/>
    <m/>
    <m/>
    <m/>
    <m/>
    <m/>
    <m/>
    <m/>
    <s v="0"/>
    <s v="1"/>
    <s v="1"/>
    <s v="1"/>
    <s v="1"/>
    <m/>
    <m/>
    <m/>
    <m/>
    <m/>
    <m/>
    <m/>
    <m/>
    <m/>
    <m/>
    <m/>
    <m/>
    <m/>
    <m/>
  </r>
  <r>
    <n v="742"/>
    <d v="2025-03-11T00:00:00"/>
    <s v="ZBTO"/>
    <n v="9518591774"/>
    <n v="12"/>
    <s v="9518591774-12"/>
    <s v="No Priority"/>
    <x v="0"/>
    <m/>
    <x v="1"/>
    <x v="1"/>
    <s v="2000-BPRS"/>
    <m/>
    <x v="0"/>
    <m/>
    <m/>
    <s v="Delhi"/>
    <s v="North"/>
    <s v="ZOSOLA"/>
    <s v="Coil"/>
    <n v="936527"/>
    <x v="52"/>
    <n v="1804826"/>
    <s v="CRCA COIL-TATXXD-AU03-0.9X1250"/>
    <s v=" "/>
    <s v=""/>
    <n v="10"/>
    <n v="30"/>
    <s v="Wider"/>
    <s v="C01"/>
    <s v="TATXXD"/>
    <s v="AU03"/>
    <n v="0.9"/>
    <n v="1250"/>
    <n v="0"/>
    <n v="29"/>
    <n v="0"/>
    <n v="29"/>
    <n v="1.6"/>
    <n v="0"/>
    <n v="3.34"/>
    <n v="0"/>
    <n v="0"/>
    <n v="0"/>
    <n v="0"/>
    <n v="0"/>
    <n v="0"/>
    <n v="0"/>
    <n v="0"/>
    <n v="0"/>
    <n v="0"/>
    <n v="0"/>
    <n v="0"/>
    <n v="0"/>
    <n v="0"/>
    <n v="0"/>
    <n v="0"/>
    <n v="0"/>
    <n v="0"/>
    <n v="0"/>
    <n v="0"/>
    <n v="0"/>
    <n v="0"/>
    <n v="0"/>
    <n v="0"/>
    <n v="0"/>
    <n v="29"/>
    <n v="0"/>
    <n v="0"/>
    <n v="29"/>
    <n v="0"/>
    <n v="0"/>
    <n v="29"/>
    <n v="0"/>
    <n v="0"/>
    <n v="0"/>
    <n v="29"/>
    <n v="0"/>
    <n v="0"/>
    <n v="0"/>
    <n v="0"/>
    <n v="0"/>
    <n v="0"/>
    <n v="0"/>
    <n v="0"/>
    <n v="0"/>
    <m/>
    <m/>
    <m/>
    <m/>
    <m/>
    <m/>
    <m/>
    <m/>
    <s v="1"/>
    <s v="1"/>
    <s v="0"/>
    <s v="1"/>
    <s v="1"/>
    <m/>
    <m/>
    <m/>
    <m/>
    <m/>
    <m/>
    <m/>
    <m/>
    <m/>
    <m/>
    <m/>
    <m/>
    <m/>
    <m/>
  </r>
  <r>
    <n v="742"/>
    <d v="2025-03-04T00:00:00"/>
    <s v="ZBTO"/>
    <n v="9518572111"/>
    <n v="2"/>
    <s v="9518572111-2"/>
    <s v="No Priority"/>
    <x v="0"/>
    <m/>
    <x v="1"/>
    <x v="2"/>
    <s v="2000-BPRS"/>
    <m/>
    <x v="0"/>
    <m/>
    <s v="Exp BTF &lt;17MT"/>
    <s v="Jharkhand"/>
    <s v="East"/>
    <s v="TATANAGAR"/>
    <s v="Sheet"/>
    <n v="165053"/>
    <x v="5"/>
    <n v="3240765"/>
    <s v="CRCA SHEET TSBCRC SR15 0.500X1250X2500"/>
    <s v=" "/>
    <s v=""/>
    <n v="2.8"/>
    <n v="3.2"/>
    <s v="Wider"/>
    <s v="C06"/>
    <s v="TSBCRC"/>
    <s v="SR15"/>
    <n v="0.5"/>
    <n v="1250"/>
    <n v="2500"/>
    <n v="30"/>
    <n v="26.41"/>
    <n v="3.59"/>
    <n v="3.59"/>
    <n v="3.59"/>
    <n v="3.59"/>
    <n v="0"/>
    <n v="0"/>
    <n v="0"/>
    <n v="0"/>
    <n v="0"/>
    <n v="0"/>
    <n v="0"/>
    <n v="0"/>
    <n v="0"/>
    <n v="0"/>
    <n v="0"/>
    <n v="0"/>
    <n v="0"/>
    <n v="0"/>
    <n v="0"/>
    <n v="0"/>
    <n v="0"/>
    <n v="0"/>
    <n v="0"/>
    <n v="0"/>
    <n v="0"/>
    <n v="0"/>
    <n v="0"/>
    <n v="0"/>
    <n v="0"/>
    <n v="30"/>
    <n v="0"/>
    <n v="0"/>
    <n v="0"/>
    <n v="30"/>
    <n v="0"/>
    <n v="30"/>
    <n v="0"/>
    <n v="0"/>
    <n v="0"/>
    <n v="0"/>
    <n v="30"/>
    <n v="0"/>
    <n v="0"/>
    <n v="0"/>
    <n v="0"/>
    <n v="0"/>
    <n v="0"/>
    <n v="0"/>
    <n v="0"/>
    <m/>
    <m/>
    <m/>
    <m/>
    <m/>
    <m/>
    <m/>
    <m/>
    <s v="1"/>
    <s v="1"/>
    <s v="1"/>
    <s v="0"/>
    <s v="1"/>
    <m/>
    <m/>
    <m/>
    <m/>
    <m/>
    <m/>
    <m/>
    <m/>
    <m/>
    <m/>
    <m/>
    <m/>
    <m/>
    <m/>
  </r>
  <r>
    <n v="742"/>
    <d v="2025-03-13T00:00:00"/>
    <s v="ZBTO"/>
    <n v="9518598795"/>
    <n v="9"/>
    <s v="9518598795-9"/>
    <s v="No Priority"/>
    <x v="0"/>
    <m/>
    <x v="1"/>
    <x v="1"/>
    <s v="2000-BPRS"/>
    <m/>
    <x v="0"/>
    <m/>
    <s v="Exp BTF &lt;17MT"/>
    <s v="Tamil Nadu"/>
    <s v="South"/>
    <s v="GUMMIDIPOONDI"/>
    <s v="Coil"/>
    <n v="822271"/>
    <x v="0"/>
    <n v="2193599"/>
    <s v="CRCA COIL TATXXD AU03 1.400X1250"/>
    <s v=" "/>
    <s v=""/>
    <n v="5"/>
    <n v="29"/>
    <s v="Wider"/>
    <s v="C01"/>
    <s v="TATXXD"/>
    <s v="AU03"/>
    <n v="1.4"/>
    <n v="1250"/>
    <n v="0"/>
    <n v="29"/>
    <n v="0"/>
    <n v="29"/>
    <n v="7.4"/>
    <n v="29"/>
    <n v="10.414999999999999"/>
    <n v="0"/>
    <n v="0"/>
    <n v="0"/>
    <n v="0"/>
    <n v="0"/>
    <n v="0"/>
    <n v="0"/>
    <n v="0"/>
    <n v="0"/>
    <n v="0"/>
    <n v="0"/>
    <n v="0"/>
    <n v="0"/>
    <n v="0"/>
    <n v="0"/>
    <n v="0"/>
    <n v="0"/>
    <n v="0"/>
    <n v="0"/>
    <n v="0"/>
    <n v="0"/>
    <n v="0"/>
    <n v="0"/>
    <n v="0"/>
    <n v="0"/>
    <n v="29"/>
    <n v="0"/>
    <n v="0"/>
    <n v="0"/>
    <n v="0"/>
    <n v="29"/>
    <n v="0"/>
    <n v="0"/>
    <n v="0"/>
    <n v="0"/>
    <n v="0"/>
    <n v="0"/>
    <n v="29"/>
    <n v="0"/>
    <n v="0"/>
    <n v="0"/>
    <n v="0"/>
    <n v="0"/>
    <n v="0"/>
    <n v="0"/>
    <m/>
    <m/>
    <m/>
    <m/>
    <m/>
    <m/>
    <m/>
    <m/>
    <s v="1"/>
    <s v="1"/>
    <s v="1"/>
    <s v="1"/>
    <s v="0"/>
    <m/>
    <m/>
    <m/>
    <m/>
    <m/>
    <m/>
    <m/>
    <m/>
    <m/>
    <m/>
    <m/>
    <m/>
    <m/>
    <m/>
  </r>
  <r>
    <n v="742"/>
    <d v="2025-03-13T00:00:00"/>
    <s v="ZBTO"/>
    <n v="9518598795"/>
    <n v="3"/>
    <s v="9518598795-3"/>
    <s v="Apr'25 "/>
    <x v="0"/>
    <m/>
    <x v="1"/>
    <x v="1"/>
    <s v="2000-BPRS"/>
    <m/>
    <x v="1"/>
    <m/>
    <m/>
    <s v="Tamil Nadu"/>
    <s v="South"/>
    <s v="GUMMIDIPOONDI"/>
    <s v="Coil"/>
    <n v="822271"/>
    <x v="0"/>
    <n v="2155233"/>
    <s v="CRCA COIL TATXXD AU03 2.5X1250"/>
    <s v=" "/>
    <s v=""/>
    <n v="5"/>
    <n v="29"/>
    <s v="Wider"/>
    <s v="C01"/>
    <s v="TATXXD"/>
    <s v="AU03"/>
    <n v="2.5"/>
    <n v="1250"/>
    <n v="0"/>
    <n v="58"/>
    <n v="27.545000000000002"/>
    <n v="30.454999999999998"/>
    <n v="30.454999999999998"/>
    <n v="7.504999999999999"/>
    <n v="30.454999999999998"/>
    <n v="0"/>
    <n v="0"/>
    <n v="0"/>
    <n v="0"/>
    <n v="0"/>
    <n v="0"/>
    <n v="0"/>
    <n v="0"/>
    <n v="0"/>
    <n v="0"/>
    <n v="0"/>
    <n v="0"/>
    <n v="0"/>
    <n v="22.95"/>
    <n v="0"/>
    <n v="0"/>
    <n v="0"/>
    <n v="0"/>
    <n v="0"/>
    <n v="22.95"/>
    <n v="22.95"/>
    <n v="0"/>
    <n v="22.95"/>
    <n v="0"/>
    <n v="0"/>
    <n v="58"/>
    <n v="0"/>
    <n v="0"/>
    <n v="58"/>
    <n v="0"/>
    <n v="0"/>
    <n v="58"/>
    <n v="0"/>
    <n v="0"/>
    <n v="0"/>
    <n v="58"/>
    <n v="0"/>
    <n v="0"/>
    <n v="27.545000000000002"/>
    <n v="0"/>
    <n v="0"/>
    <n v="27.545000000000002"/>
    <n v="0"/>
    <n v="0"/>
    <n v="0"/>
    <m/>
    <m/>
    <m/>
    <m/>
    <m/>
    <m/>
    <m/>
    <m/>
    <s v="1"/>
    <s v="1"/>
    <s v="0"/>
    <s v="1"/>
    <s v="1"/>
    <m/>
    <m/>
    <m/>
    <m/>
    <m/>
    <m/>
    <m/>
    <m/>
    <m/>
    <m/>
    <m/>
    <m/>
    <m/>
    <m/>
  </r>
  <r>
    <n v="742"/>
    <d v="2025-03-13T00:00:00"/>
    <s v="ZBTO"/>
    <n v="9518598795"/>
    <n v="6"/>
    <s v="9518598795-6"/>
    <s v="No Priority"/>
    <x v="0"/>
    <m/>
    <x v="1"/>
    <x v="1"/>
    <s v="2000-BPRS"/>
    <m/>
    <x v="0"/>
    <m/>
    <m/>
    <s v="Tamil Nadu"/>
    <s v="South"/>
    <s v="GUMMIDIPOONDI"/>
    <s v="Coil"/>
    <n v="822271"/>
    <x v="0"/>
    <n v="1884117"/>
    <s v="CRCA COIL-TATXXD-AU03-2X1250"/>
    <s v=" "/>
    <s v=""/>
    <n v="5"/>
    <n v="29"/>
    <s v="Wider"/>
    <s v="C01"/>
    <s v="TATXXD"/>
    <s v="AU03"/>
    <n v="2"/>
    <n v="1250"/>
    <n v="0"/>
    <n v="29"/>
    <n v="0"/>
    <n v="29"/>
    <n v="0.88"/>
    <n v="0"/>
    <n v="3.89"/>
    <n v="0"/>
    <n v="0"/>
    <n v="0"/>
    <n v="0"/>
    <n v="0"/>
    <n v="0"/>
    <n v="0"/>
    <n v="0"/>
    <n v="0"/>
    <n v="0"/>
    <n v="0"/>
    <n v="0"/>
    <n v="0"/>
    <n v="0"/>
    <n v="0"/>
    <n v="0"/>
    <n v="0"/>
    <n v="0"/>
    <n v="0"/>
    <n v="0"/>
    <n v="0"/>
    <n v="0"/>
    <n v="0"/>
    <n v="0"/>
    <n v="0"/>
    <n v="29"/>
    <n v="0"/>
    <n v="0"/>
    <n v="0"/>
    <n v="0"/>
    <n v="29"/>
    <n v="0"/>
    <n v="0"/>
    <n v="0"/>
    <n v="0"/>
    <n v="0"/>
    <n v="0"/>
    <n v="29"/>
    <n v="0"/>
    <n v="0"/>
    <n v="0"/>
    <n v="0"/>
    <n v="0"/>
    <n v="0"/>
    <n v="0"/>
    <m/>
    <m/>
    <m/>
    <m/>
    <m/>
    <m/>
    <m/>
    <m/>
    <s v="1"/>
    <s v="1"/>
    <s v="1"/>
    <s v="1"/>
    <s v="0"/>
    <m/>
    <m/>
    <m/>
    <m/>
    <m/>
    <m/>
    <m/>
    <m/>
    <m/>
    <m/>
    <m/>
    <m/>
    <m/>
    <m/>
  </r>
  <r>
    <n v="742"/>
    <d v="2025-03-13T00:00:00"/>
    <s v="ZBTO"/>
    <n v="9518598795"/>
    <n v="7"/>
    <s v="9518598795-7"/>
    <s v="Apr'25 "/>
    <x v="0"/>
    <m/>
    <x v="1"/>
    <x v="1"/>
    <s v="2000-BPRS"/>
    <n v="3200"/>
    <x v="1"/>
    <m/>
    <m/>
    <s v="Tamil Nadu"/>
    <s v="South"/>
    <s v="GUMMIDIPOONDI"/>
    <s v="Coil"/>
    <n v="822271"/>
    <x v="0"/>
    <n v="1802550"/>
    <s v="CRCA COIL-TATXXD-AU03-2.3X1250"/>
    <s v=" "/>
    <s v=""/>
    <n v="5"/>
    <n v="29"/>
    <s v="Wider"/>
    <s v="C01"/>
    <s v="TATXXD"/>
    <s v="AU03"/>
    <n v="2.2999999999999998"/>
    <n v="1250"/>
    <n v="0"/>
    <n v="29"/>
    <n v="0"/>
    <n v="29"/>
    <n v="29"/>
    <n v="8.36"/>
    <n v="29"/>
    <n v="0"/>
    <n v="0"/>
    <n v="0"/>
    <n v="0"/>
    <n v="0"/>
    <n v="0"/>
    <n v="0"/>
    <n v="0"/>
    <n v="0"/>
    <n v="0"/>
    <n v="0"/>
    <n v="0"/>
    <n v="0"/>
    <n v="20.64"/>
    <n v="0"/>
    <n v="0"/>
    <n v="0"/>
    <n v="0"/>
    <n v="0"/>
    <n v="20.64"/>
    <n v="20.64"/>
    <n v="0"/>
    <n v="20.64"/>
    <n v="0"/>
    <n v="0"/>
    <n v="29"/>
    <n v="0"/>
    <n v="0"/>
    <n v="0"/>
    <n v="0"/>
    <n v="29"/>
    <n v="0"/>
    <n v="0"/>
    <n v="0"/>
    <n v="0"/>
    <n v="0"/>
    <n v="0"/>
    <n v="29"/>
    <n v="0"/>
    <n v="0"/>
    <n v="0"/>
    <n v="0"/>
    <n v="0"/>
    <n v="0"/>
    <n v="0"/>
    <m/>
    <m/>
    <m/>
    <m/>
    <m/>
    <m/>
    <m/>
    <m/>
    <s v="1"/>
    <s v="1"/>
    <s v="1"/>
    <s v="1"/>
    <s v="0"/>
    <m/>
    <m/>
    <m/>
    <m/>
    <m/>
    <m/>
    <m/>
    <m/>
    <m/>
    <m/>
    <m/>
    <m/>
    <m/>
    <m/>
  </r>
  <r>
    <n v="742"/>
    <d v="2025-03-11T00:00:00"/>
    <s v="ZBTO"/>
    <n v="9518591869"/>
    <n v="15"/>
    <s v="9518591869-15"/>
    <s v="No Priority"/>
    <x v="0"/>
    <m/>
    <x v="1"/>
    <x v="1"/>
    <s v="2000-BPRS"/>
    <m/>
    <x v="0"/>
    <m/>
    <s v="Exp BTF &lt;17MT"/>
    <s v="Haryana"/>
    <s v="North"/>
    <s v="FARIDABAD"/>
    <s v="Coil"/>
    <n v="936527"/>
    <x v="52"/>
    <n v="187541"/>
    <s v="CR COIL-ICF TATXXD AU03 2.00X1250"/>
    <s v=" "/>
    <s v=""/>
    <n v="10"/>
    <n v="30"/>
    <s v="Wider"/>
    <s v="C01"/>
    <s v="TATXXD"/>
    <s v="AU03"/>
    <n v="2"/>
    <n v="1250"/>
    <n v="0"/>
    <n v="29"/>
    <n v="0"/>
    <n v="29"/>
    <n v="5.95"/>
    <n v="29"/>
    <n v="7.45"/>
    <n v="0"/>
    <n v="0"/>
    <n v="0"/>
    <n v="0"/>
    <n v="0"/>
    <n v="0"/>
    <n v="0"/>
    <n v="0"/>
    <n v="0"/>
    <n v="0"/>
    <n v="0"/>
    <n v="0"/>
    <n v="0"/>
    <n v="0"/>
    <n v="0"/>
    <n v="0"/>
    <n v="0"/>
    <n v="0"/>
    <n v="0"/>
    <n v="0"/>
    <n v="0"/>
    <n v="0"/>
    <n v="0"/>
    <n v="0"/>
    <n v="0"/>
    <n v="29"/>
    <n v="0"/>
    <n v="0"/>
    <n v="0"/>
    <n v="0"/>
    <n v="29"/>
    <n v="0"/>
    <n v="0"/>
    <n v="0"/>
    <n v="0"/>
    <n v="0"/>
    <n v="0"/>
    <n v="29"/>
    <n v="0"/>
    <n v="0"/>
    <n v="0"/>
    <n v="0"/>
    <n v="0"/>
    <n v="0"/>
    <n v="0"/>
    <m/>
    <m/>
    <m/>
    <m/>
    <m/>
    <m/>
    <m/>
    <m/>
    <s v="1"/>
    <s v="1"/>
    <s v="1"/>
    <s v="1"/>
    <s v="0"/>
    <m/>
    <m/>
    <m/>
    <m/>
    <m/>
    <m/>
    <m/>
    <m/>
    <m/>
    <m/>
    <m/>
    <m/>
    <m/>
    <m/>
  </r>
  <r>
    <n v="743"/>
    <d v="2025-03-13T00:00:00"/>
    <s v="ZBTO"/>
    <n v="9518598100"/>
    <n v="3"/>
    <s v="9518598100-3"/>
    <s v="No Priority"/>
    <x v="0"/>
    <m/>
    <x v="3"/>
    <x v="9"/>
    <s v="2000-BPRS"/>
    <m/>
    <x v="0"/>
    <m/>
    <m/>
    <s v="Bihar"/>
    <s v="East"/>
    <s v="PATNA"/>
    <s v="Coil"/>
    <n v="103227"/>
    <x v="31"/>
    <n v="1178439"/>
    <s v="GP COIL SOFT-TATXGP-GK09-0.4X900"/>
    <s v="Z80"/>
    <s v=""/>
    <n v="2"/>
    <n v="6"/>
    <s v="Narrow"/>
    <s v="C02"/>
    <s v="TATXGP"/>
    <s v="GK09"/>
    <n v="0.4"/>
    <n v="900"/>
    <n v="0"/>
    <n v="294"/>
    <n v="285.80500000000001"/>
    <n v="8.1950000000000003"/>
    <n v="-0.95"/>
    <n v="0"/>
    <n v="8.1950000000000003"/>
    <n v="0"/>
    <n v="0"/>
    <n v="0"/>
    <n v="0"/>
    <n v="0"/>
    <n v="0"/>
    <n v="0.76"/>
    <n v="3.6950000000000003"/>
    <n v="0"/>
    <n v="0"/>
    <n v="0"/>
    <n v="0"/>
    <n v="0"/>
    <n v="0"/>
    <n v="0"/>
    <n v="0"/>
    <n v="0"/>
    <n v="0"/>
    <n v="0"/>
    <n v="4.4550000000000001"/>
    <n v="4.4550000000000001"/>
    <n v="0"/>
    <n v="4.4550000000000001"/>
    <n v="0"/>
    <n v="0"/>
    <n v="294"/>
    <n v="0"/>
    <n v="0"/>
    <n v="294"/>
    <n v="0"/>
    <n v="0"/>
    <n v="294"/>
    <n v="0"/>
    <n v="0"/>
    <n v="294"/>
    <n v="0"/>
    <n v="0"/>
    <n v="0"/>
    <n v="0"/>
    <n v="0"/>
    <n v="0"/>
    <n v="0"/>
    <n v="0"/>
    <n v="0"/>
    <n v="0"/>
    <m/>
    <m/>
    <m/>
    <m/>
    <m/>
    <m/>
    <m/>
    <m/>
    <s v="1"/>
    <s v="1"/>
    <s v="0"/>
    <s v="1"/>
    <s v="1"/>
    <m/>
    <m/>
    <m/>
    <m/>
    <m/>
    <m/>
    <m/>
    <m/>
    <m/>
    <m/>
    <m/>
    <m/>
    <m/>
    <m/>
  </r>
  <r>
    <n v="744"/>
    <d v="2025-03-06T00:00:00"/>
    <s v="ZBTO"/>
    <n v="9518579911"/>
    <n v="6"/>
    <s v="9518579911-6"/>
    <s v="No Priority"/>
    <x v="0"/>
    <m/>
    <x v="2"/>
    <x v="3"/>
    <s v="1000-IPPE"/>
    <m/>
    <x v="0"/>
    <m/>
    <m/>
    <s v="TBSPL"/>
    <s v="TBSPL"/>
    <s v="TBSPL"/>
    <s v="Coil"/>
    <n v="941597"/>
    <x v="6"/>
    <n v="3960726"/>
    <s v="PPGL C HARD Y550PL D0C9 0.450X1220"/>
    <s v="AZ150"/>
    <s v="SECO RED TSL 1814"/>
    <n v="3"/>
    <n v="5"/>
    <s v="Wider"/>
    <s v="B18"/>
    <s v="Y550PL"/>
    <s v="D0C9"/>
    <n v="0.45"/>
    <n v="1220"/>
    <n v="0"/>
    <n v="28"/>
    <n v="0"/>
    <n v="28"/>
    <n v="4.16"/>
    <n v="4.16"/>
    <n v="28"/>
    <n v="0"/>
    <n v="0"/>
    <n v="0"/>
    <n v="0"/>
    <n v="0"/>
    <n v="0"/>
    <n v="0"/>
    <n v="4.1100000000000003"/>
    <n v="0"/>
    <n v="19.73"/>
    <n v="0"/>
    <n v="0"/>
    <n v="0"/>
    <n v="0"/>
    <n v="0"/>
    <n v="0"/>
    <n v="0"/>
    <n v="0"/>
    <n v="0"/>
    <n v="23.84"/>
    <n v="23.84"/>
    <n v="0"/>
    <n v="23.84"/>
    <n v="0"/>
    <n v="0"/>
    <n v="28"/>
    <n v="0"/>
    <n v="0"/>
    <n v="0"/>
    <n v="28"/>
    <n v="0"/>
    <n v="28"/>
    <n v="0"/>
    <n v="0"/>
    <n v="0"/>
    <n v="0"/>
    <n v="28"/>
    <n v="0"/>
    <n v="0"/>
    <n v="0"/>
    <n v="0"/>
    <n v="0"/>
    <n v="0"/>
    <n v="0"/>
    <n v="0"/>
    <m/>
    <m/>
    <m/>
    <m/>
    <m/>
    <m/>
    <m/>
    <m/>
    <s v="1"/>
    <s v="1"/>
    <s v="1"/>
    <s v="0"/>
    <s v="1"/>
    <m/>
    <m/>
    <m/>
    <m/>
    <m/>
    <m/>
    <m/>
    <m/>
    <m/>
    <m/>
    <m/>
    <m/>
    <m/>
    <m/>
  </r>
  <r>
    <n v="742"/>
    <d v="2025-02-20T00:00:00"/>
    <s v="ZBTO"/>
    <n v="9518535833"/>
    <n v="24"/>
    <s v="9518535833-24"/>
    <s v="May'25"/>
    <x v="0"/>
    <m/>
    <x v="1"/>
    <x v="2"/>
    <s v="2000-BPRS"/>
    <m/>
    <x v="1"/>
    <m/>
    <m/>
    <s v="Tamil Nadu"/>
    <s v="South"/>
    <s v="CHENNAI"/>
    <s v="Sheet"/>
    <n v="938550"/>
    <x v="4"/>
    <n v="3239564"/>
    <s v="CRCA SHEET TATCRC SR16 0.450X1000X1980"/>
    <s v=" "/>
    <s v=""/>
    <n v="0"/>
    <n v="0"/>
    <s v="Narrow"/>
    <s v="C06"/>
    <s v="TATCRC"/>
    <s v="SR16"/>
    <n v="0.45"/>
    <n v="1000"/>
    <n v="1980"/>
    <n v="45"/>
    <n v="0"/>
    <n v="45"/>
    <n v="1.64"/>
    <n v="0"/>
    <n v="45"/>
    <n v="0"/>
    <n v="0"/>
    <n v="0"/>
    <n v="0"/>
    <n v="0"/>
    <n v="0"/>
    <n v="0"/>
    <n v="0"/>
    <n v="0"/>
    <n v="0"/>
    <n v="0"/>
    <n v="0"/>
    <n v="0"/>
    <n v="0"/>
    <n v="42.730000000000004"/>
    <n v="0"/>
    <n v="0"/>
    <n v="0"/>
    <n v="0"/>
    <n v="42.730000000000004"/>
    <n v="42.730000000000004"/>
    <n v="0"/>
    <n v="42.730000000000004"/>
    <n v="0"/>
    <n v="0"/>
    <n v="45"/>
    <n v="0"/>
    <n v="0"/>
    <n v="0"/>
    <n v="45"/>
    <n v="0"/>
    <n v="45"/>
    <n v="0"/>
    <n v="0"/>
    <n v="0"/>
    <n v="0"/>
    <n v="45"/>
    <n v="0"/>
    <n v="0"/>
    <n v="0"/>
    <n v="0"/>
    <n v="0"/>
    <n v="0"/>
    <n v="0"/>
    <n v="0"/>
    <m/>
    <m/>
    <m/>
    <m/>
    <m/>
    <m/>
    <m/>
    <m/>
    <s v="1"/>
    <s v="1"/>
    <s v="1"/>
    <s v="0"/>
    <s v="1"/>
    <m/>
    <m/>
    <m/>
    <m/>
    <m/>
    <m/>
    <m/>
    <m/>
    <m/>
    <m/>
    <m/>
    <m/>
    <m/>
    <m/>
  </r>
  <r>
    <n v="742"/>
    <d v="2025-03-13T00:00:00"/>
    <s v="ZBTO"/>
    <n v="9518598795"/>
    <n v="8"/>
    <s v="9518598795-8"/>
    <s v="No Priority"/>
    <x v="0"/>
    <m/>
    <x v="1"/>
    <x v="1"/>
    <s v="2000-BPRS"/>
    <m/>
    <x v="0"/>
    <m/>
    <m/>
    <s v="Tamil Nadu"/>
    <s v="South"/>
    <s v="GUMMIDIPOONDI"/>
    <s v="Coil"/>
    <n v="822271"/>
    <x v="0"/>
    <n v="1804854"/>
    <s v="CRCA COIL-TATXXD-AU03-1.2X1250"/>
    <s v=" "/>
    <s v=""/>
    <n v="5"/>
    <n v="29"/>
    <s v="Wider"/>
    <s v="C01"/>
    <s v="TATXXD"/>
    <s v="AU03"/>
    <n v="1.2"/>
    <n v="1250"/>
    <n v="0"/>
    <n v="203"/>
    <n v="0"/>
    <n v="203"/>
    <n v="1.4"/>
    <n v="0"/>
    <n v="33.07"/>
    <n v="0"/>
    <n v="0"/>
    <n v="0"/>
    <n v="0"/>
    <n v="0"/>
    <n v="0"/>
    <n v="0"/>
    <n v="0"/>
    <n v="0"/>
    <n v="0"/>
    <n v="0"/>
    <n v="0"/>
    <n v="0"/>
    <n v="0"/>
    <n v="0"/>
    <n v="0"/>
    <n v="0"/>
    <n v="0"/>
    <n v="0"/>
    <n v="0"/>
    <n v="0"/>
    <n v="0"/>
    <n v="0"/>
    <n v="0"/>
    <n v="0"/>
    <n v="203"/>
    <n v="0"/>
    <n v="0"/>
    <n v="0"/>
    <n v="203"/>
    <n v="0"/>
    <n v="203"/>
    <n v="0"/>
    <n v="0"/>
    <n v="0"/>
    <n v="203"/>
    <n v="0"/>
    <n v="0"/>
    <n v="0"/>
    <n v="0"/>
    <n v="0"/>
    <n v="0"/>
    <n v="0"/>
    <n v="0"/>
    <n v="0"/>
    <m/>
    <m/>
    <m/>
    <m/>
    <m/>
    <m/>
    <m/>
    <m/>
    <s v="1"/>
    <s v="1"/>
    <s v="1"/>
    <s v="0"/>
    <s v="1"/>
    <m/>
    <m/>
    <m/>
    <m/>
    <m/>
    <m/>
    <m/>
    <m/>
    <m/>
    <m/>
    <m/>
    <m/>
    <m/>
    <m/>
  </r>
  <r>
    <n v="742"/>
    <d v="2025-03-03T00:00:00"/>
    <s v="ZBTO"/>
    <n v="9518569788"/>
    <n v="7"/>
    <s v="9518569788-7"/>
    <s v="May'25"/>
    <x v="0"/>
    <m/>
    <x v="1"/>
    <x v="2"/>
    <s v="2000-BPRS"/>
    <m/>
    <x v="1"/>
    <m/>
    <m/>
    <s v="Assam"/>
    <s v="East"/>
    <s v="GUWAHATI"/>
    <s v="Coil"/>
    <n v="116649"/>
    <x v="24"/>
    <n v="3516022"/>
    <s v="CR COIL TSBCRC SR25 0.800X1250"/>
    <s v=" "/>
    <s v=""/>
    <n v="13"/>
    <n v="29"/>
    <s v="Wider"/>
    <s v="C01"/>
    <s v="TSBCRC"/>
    <s v="SR25"/>
    <n v="0.8"/>
    <n v="1250"/>
    <n v="0"/>
    <n v="58"/>
    <n v="0"/>
    <n v="58"/>
    <n v="2.73"/>
    <n v="0"/>
    <n v="32.72"/>
    <n v="0"/>
    <n v="0"/>
    <n v="0"/>
    <n v="0"/>
    <n v="0"/>
    <n v="0"/>
    <n v="0"/>
    <n v="0"/>
    <n v="0"/>
    <n v="0"/>
    <n v="0"/>
    <n v="0"/>
    <n v="0"/>
    <n v="28.47"/>
    <n v="0"/>
    <n v="0"/>
    <n v="0"/>
    <n v="0"/>
    <n v="0"/>
    <n v="28.47"/>
    <n v="28.47"/>
    <n v="0"/>
    <n v="28.47"/>
    <n v="0"/>
    <n v="0"/>
    <n v="58"/>
    <n v="0"/>
    <n v="0"/>
    <n v="0"/>
    <n v="58"/>
    <n v="0"/>
    <n v="58"/>
    <n v="0"/>
    <n v="0"/>
    <n v="0"/>
    <n v="0"/>
    <n v="58"/>
    <n v="0"/>
    <n v="0"/>
    <n v="0"/>
    <n v="0"/>
    <n v="0"/>
    <n v="0"/>
    <n v="0"/>
    <n v="0"/>
    <m/>
    <m/>
    <m/>
    <m/>
    <m/>
    <m/>
    <m/>
    <m/>
    <s v="1"/>
    <s v="1"/>
    <s v="1"/>
    <s v="0"/>
    <s v="1"/>
    <m/>
    <m/>
    <m/>
    <m/>
    <m/>
    <m/>
    <m/>
    <m/>
    <m/>
    <m/>
    <m/>
    <m/>
    <m/>
    <m/>
  </r>
  <r>
    <n v="743"/>
    <d v="2025-03-15T00:00:00"/>
    <s v="ZBTO"/>
    <n v="9518602675"/>
    <n v="9"/>
    <s v="9518602675-9"/>
    <s v="No Priority"/>
    <x v="0"/>
    <m/>
    <x v="3"/>
    <x v="9"/>
    <s v="2000-BPRS"/>
    <m/>
    <x v="0"/>
    <m/>
    <m/>
    <s v="Jharkhand"/>
    <s v="East"/>
    <s v="WEST BOKARO"/>
    <s v="Coil"/>
    <n v="185794"/>
    <x v="12"/>
    <n v="1854418"/>
    <s v="GP COIL SOFT-TATXGP-GK09-0.5X900"/>
    <s v="Z80"/>
    <s v=""/>
    <n v="5"/>
    <n v="15"/>
    <s v="Narrow"/>
    <s v="C02"/>
    <s v="TATXGP"/>
    <s v="GK09"/>
    <n v="0.5"/>
    <n v="900"/>
    <n v="0"/>
    <n v="147"/>
    <n v="130.5"/>
    <n v="16.5"/>
    <n v="-4.43"/>
    <n v="0"/>
    <n v="6.81"/>
    <n v="0"/>
    <n v="0"/>
    <n v="0"/>
    <n v="0"/>
    <n v="0"/>
    <n v="0"/>
    <n v="0"/>
    <n v="0"/>
    <n v="0"/>
    <n v="0"/>
    <n v="0"/>
    <n v="0"/>
    <n v="0"/>
    <n v="0"/>
    <n v="0"/>
    <n v="0"/>
    <n v="0"/>
    <n v="0"/>
    <n v="0"/>
    <n v="0"/>
    <n v="0"/>
    <n v="0"/>
    <n v="0"/>
    <n v="0"/>
    <n v="0"/>
    <n v="147"/>
    <n v="0"/>
    <n v="0"/>
    <n v="147"/>
    <n v="0"/>
    <n v="0"/>
    <n v="147"/>
    <n v="0"/>
    <n v="0"/>
    <n v="147"/>
    <n v="0"/>
    <n v="0"/>
    <n v="0"/>
    <n v="15.27"/>
    <n v="0"/>
    <n v="0"/>
    <n v="15.27"/>
    <n v="0"/>
    <n v="0"/>
    <n v="0"/>
    <m/>
    <m/>
    <m/>
    <m/>
    <m/>
    <m/>
    <m/>
    <m/>
    <s v="1"/>
    <s v="1"/>
    <s v="0"/>
    <s v="1"/>
    <s v="1"/>
    <m/>
    <m/>
    <m/>
    <m/>
    <m/>
    <m/>
    <m/>
    <m/>
    <m/>
    <m/>
    <m/>
    <m/>
    <m/>
    <m/>
  </r>
  <r>
    <n v="744"/>
    <d v="2025-03-18T00:00:00"/>
    <s v="ZBTO"/>
    <n v="9518609830"/>
    <n v="5"/>
    <s v="9518609830-5"/>
    <s v="No Priority"/>
    <x v="0"/>
    <m/>
    <x v="2"/>
    <x v="3"/>
    <s v="1000-IPPE"/>
    <m/>
    <x v="0"/>
    <m/>
    <m/>
    <s v="Jharkhand"/>
    <s v="East"/>
    <s v="GAMHARIA"/>
    <s v="Coil"/>
    <n v="940016"/>
    <x v="15"/>
    <n v="3879501"/>
    <s v="PPGL C Y550 ISC6 0.45BMT(0.50TPT)X1220"/>
    <s v="aZ70"/>
    <s v="PRO GREEN TSL 1911"/>
    <n v="3"/>
    <n v="5"/>
    <s v="Wider"/>
    <s v="B18"/>
    <s v="Y550PL"/>
    <s v="ISC6"/>
    <n v="0.45"/>
    <n v="1220"/>
    <n v="0"/>
    <n v="28"/>
    <n v="0"/>
    <n v="28"/>
    <n v="1.976"/>
    <n v="0"/>
    <n v="28"/>
    <n v="0"/>
    <n v="0"/>
    <n v="0"/>
    <n v="0"/>
    <n v="0"/>
    <n v="0"/>
    <n v="0"/>
    <n v="0"/>
    <n v="0"/>
    <n v="12.33"/>
    <n v="0"/>
    <n v="0"/>
    <n v="0"/>
    <n v="0"/>
    <n v="0"/>
    <n v="0"/>
    <n v="0"/>
    <n v="0"/>
    <n v="0"/>
    <n v="12.33"/>
    <n v="12.33"/>
    <n v="0"/>
    <n v="12.33"/>
    <n v="0"/>
    <n v="0"/>
    <n v="28"/>
    <n v="0"/>
    <n v="0"/>
    <n v="0"/>
    <n v="28"/>
    <n v="0"/>
    <n v="28"/>
    <n v="0"/>
    <n v="0"/>
    <n v="0"/>
    <n v="0"/>
    <n v="28"/>
    <n v="0"/>
    <n v="0"/>
    <n v="0"/>
    <n v="0"/>
    <n v="0"/>
    <n v="0"/>
    <n v="0"/>
    <n v="0"/>
    <m/>
    <m/>
    <m/>
    <m/>
    <m/>
    <m/>
    <m/>
    <m/>
    <s v="1"/>
    <s v="1"/>
    <s v="1"/>
    <s v="0"/>
    <s v="1"/>
    <m/>
    <m/>
    <m/>
    <m/>
    <m/>
    <m/>
    <m/>
    <m/>
    <m/>
    <m/>
    <m/>
    <m/>
    <m/>
    <m/>
  </r>
  <r>
    <n v="742"/>
    <d v="2025-03-16T00:00:00"/>
    <s v="ZBTO"/>
    <n v="9518604323"/>
    <n v="4"/>
    <s v="9518604323-4"/>
    <s v="No Priority"/>
    <x v="0"/>
    <m/>
    <x v="1"/>
    <x v="2"/>
    <n v="2000"/>
    <m/>
    <x v="0"/>
    <m/>
    <m/>
    <s v="Orissa"/>
    <s v="East"/>
    <s v="TANGI"/>
    <s v="Sheet"/>
    <n v="117061"/>
    <x v="25"/>
    <n v="3239567"/>
    <s v="CRCA SHEET TATCRC SR16 0.450X1000X2500"/>
    <s v=" "/>
    <s v=""/>
    <n v="0.1"/>
    <n v="5"/>
    <s v="Narrow"/>
    <s v="C06"/>
    <s v="TATCRC"/>
    <s v="SR16"/>
    <n v="0.45"/>
    <n v="1000"/>
    <n v="2500"/>
    <n v="21"/>
    <n v="0"/>
    <n v="21"/>
    <n v="-1.08"/>
    <n v="0"/>
    <n v="0.30499999999999999"/>
    <n v="0"/>
    <n v="0"/>
    <n v="0"/>
    <n v="0"/>
    <n v="0"/>
    <n v="0"/>
    <n v="0"/>
    <n v="0"/>
    <n v="0"/>
    <n v="0"/>
    <n v="0"/>
    <n v="0"/>
    <n v="0"/>
    <n v="0"/>
    <n v="0"/>
    <n v="0.28999999999999998"/>
    <n v="0"/>
    <n v="0"/>
    <n v="0"/>
    <n v="0.28999999999999998"/>
    <n v="0.28999999999999998"/>
    <n v="0"/>
    <n v="0.28999999999999998"/>
    <n v="0"/>
    <n v="0"/>
    <n v="21"/>
    <n v="0"/>
    <n v="0"/>
    <n v="21"/>
    <n v="0"/>
    <n v="0"/>
    <n v="21"/>
    <n v="0"/>
    <n v="0"/>
    <n v="0"/>
    <n v="21"/>
    <n v="0"/>
    <n v="0"/>
    <n v="0"/>
    <n v="0"/>
    <n v="0"/>
    <n v="0"/>
    <n v="0"/>
    <n v="0"/>
    <n v="0"/>
    <m/>
    <m/>
    <m/>
    <m/>
    <m/>
    <m/>
    <m/>
    <m/>
    <s v="1"/>
    <s v="1"/>
    <s v="0"/>
    <s v="1"/>
    <s v="1"/>
    <m/>
    <m/>
    <m/>
    <m/>
    <m/>
    <m/>
    <m/>
    <m/>
    <m/>
    <m/>
    <m/>
    <m/>
    <m/>
    <m/>
  </r>
  <r>
    <n v="744"/>
    <d v="2025-03-12T00:00:00"/>
    <s v="ZBTO"/>
    <n v="9518596024"/>
    <n v="1"/>
    <s v="9518596024-1"/>
    <s v="Apr'25 "/>
    <x v="0"/>
    <m/>
    <x v="2"/>
    <x v="3"/>
    <s v="1000-IPPE"/>
    <m/>
    <x v="1"/>
    <m/>
    <m/>
    <s v="TBSPL"/>
    <s v="TBSPL"/>
    <s v="TBSPL"/>
    <s v="Coil"/>
    <n v="941597"/>
    <x v="6"/>
    <n v="3858001"/>
    <s v="PPGL C Y550 HPL9 0.45BMT(0.57TPT)X1220"/>
    <s v="AZ200"/>
    <s v="ELITE STONE BLUE TSL 1688"/>
    <n v="3"/>
    <n v="5"/>
    <s v="Wider"/>
    <s v="B18"/>
    <s v="Y550PL"/>
    <s v="HPL9"/>
    <n v="0.45"/>
    <n v="1220"/>
    <n v="0"/>
    <n v="56"/>
    <n v="0"/>
    <n v="56"/>
    <n v="56"/>
    <n v="-1.3400000000000034"/>
    <n v="56"/>
    <n v="0"/>
    <n v="57.34"/>
    <n v="0"/>
    <n v="0"/>
    <n v="0"/>
    <n v="0"/>
    <n v="0"/>
    <n v="0"/>
    <n v="0"/>
    <n v="0"/>
    <n v="0"/>
    <n v="0"/>
    <n v="0"/>
    <n v="0"/>
    <n v="0"/>
    <n v="0"/>
    <n v="0"/>
    <n v="0"/>
    <n v="0"/>
    <n v="57.34"/>
    <n v="57.34"/>
    <n v="0"/>
    <n v="57.34"/>
    <n v="0"/>
    <n v="0"/>
    <n v="56"/>
    <n v="0"/>
    <n v="0"/>
    <n v="0"/>
    <n v="0"/>
    <n v="56"/>
    <n v="0"/>
    <n v="0"/>
    <n v="0"/>
    <n v="0"/>
    <n v="0"/>
    <n v="0"/>
    <n v="56"/>
    <n v="0"/>
    <n v="0"/>
    <n v="0"/>
    <n v="0"/>
    <n v="0"/>
    <n v="0"/>
    <n v="0"/>
    <m/>
    <m/>
    <m/>
    <m/>
    <m/>
    <m/>
    <m/>
    <m/>
    <s v="1"/>
    <s v="1"/>
    <s v="1"/>
    <s v="1"/>
    <s v="0"/>
    <m/>
    <m/>
    <m/>
    <m/>
    <m/>
    <m/>
    <m/>
    <m/>
    <m/>
    <m/>
    <m/>
    <m/>
    <m/>
    <m/>
  </r>
  <r>
    <n v="742"/>
    <d v="2025-03-11T00:00:00"/>
    <s v="ZBTO"/>
    <n v="9518591774"/>
    <n v="17"/>
    <s v="9518591774-17"/>
    <s v="No Priority"/>
    <x v="0"/>
    <m/>
    <x v="1"/>
    <x v="1"/>
    <s v="2000-BPRS"/>
    <m/>
    <x v="0"/>
    <m/>
    <s v="Exp BTF &lt;17MT"/>
    <s v="Delhi"/>
    <s v="North"/>
    <s v="ZOSOLA"/>
    <s v="Coil"/>
    <n v="936527"/>
    <x v="52"/>
    <n v="2334995"/>
    <s v="CRCA COIL TATXXD AU03 1.500X1250"/>
    <s v=" "/>
    <s v=""/>
    <n v="10"/>
    <n v="30"/>
    <s v="Wider"/>
    <s v="C01"/>
    <s v="TATXXD"/>
    <s v="AU03"/>
    <n v="1.5"/>
    <n v="1250"/>
    <n v="0"/>
    <n v="29"/>
    <n v="0"/>
    <n v="29"/>
    <n v="3.8"/>
    <n v="29"/>
    <n v="3.8"/>
    <n v="0"/>
    <n v="0"/>
    <n v="0"/>
    <n v="0"/>
    <n v="0"/>
    <n v="0"/>
    <n v="0"/>
    <n v="0"/>
    <n v="0"/>
    <n v="0"/>
    <n v="0"/>
    <n v="0"/>
    <n v="0"/>
    <n v="0"/>
    <n v="0"/>
    <n v="0"/>
    <n v="0"/>
    <n v="0"/>
    <n v="0"/>
    <n v="0"/>
    <n v="0"/>
    <n v="0"/>
    <n v="0"/>
    <n v="0"/>
    <n v="0"/>
    <n v="29"/>
    <n v="0"/>
    <n v="0"/>
    <n v="0"/>
    <n v="29"/>
    <n v="0"/>
    <n v="29"/>
    <n v="0"/>
    <n v="0"/>
    <n v="0"/>
    <n v="29"/>
    <n v="0"/>
    <n v="0"/>
    <n v="0"/>
    <n v="0"/>
    <n v="0"/>
    <n v="0"/>
    <n v="0"/>
    <n v="0"/>
    <n v="0"/>
    <m/>
    <m/>
    <m/>
    <m/>
    <m/>
    <m/>
    <m/>
    <m/>
    <s v="1"/>
    <s v="1"/>
    <s v="1"/>
    <s v="0"/>
    <s v="1"/>
    <m/>
    <m/>
    <m/>
    <m/>
    <m/>
    <m/>
    <m/>
    <m/>
    <m/>
    <m/>
    <m/>
    <m/>
    <m/>
    <m/>
  </r>
  <r>
    <n v="742"/>
    <d v="2025-02-25T00:00:00"/>
    <s v="ZBTO"/>
    <n v="9518551511"/>
    <n v="1"/>
    <s v="9518551511-1"/>
    <s v="No Priority"/>
    <x v="0"/>
    <m/>
    <x v="1"/>
    <x v="1"/>
    <s v="2000-BPRS"/>
    <m/>
    <x v="0"/>
    <m/>
    <m/>
    <s v="Tamil Nadu"/>
    <s v="South"/>
    <s v="PATTANCHERY"/>
    <s v="Coil"/>
    <n v="939422"/>
    <x v="35"/>
    <n v="3855287"/>
    <s v="CR COIL TATXXD AU03 1.620X1250"/>
    <s v=" "/>
    <s v=""/>
    <n v="17"/>
    <n v="30"/>
    <s v="Wider"/>
    <s v="C01"/>
    <s v="TATXXD"/>
    <s v="AU03"/>
    <n v="1.62"/>
    <n v="1250"/>
    <n v="0"/>
    <n v="29"/>
    <n v="0"/>
    <n v="29"/>
    <n v="1.1599999999999999"/>
    <n v="0"/>
    <n v="4.6900000000000004"/>
    <n v="0"/>
    <n v="0"/>
    <n v="0"/>
    <n v="0"/>
    <n v="0"/>
    <n v="0"/>
    <n v="0"/>
    <n v="0"/>
    <n v="0"/>
    <n v="0"/>
    <n v="0"/>
    <n v="0"/>
    <n v="0"/>
    <n v="0"/>
    <n v="0"/>
    <n v="0"/>
    <n v="0"/>
    <n v="0"/>
    <n v="0"/>
    <n v="0"/>
    <n v="0"/>
    <n v="0"/>
    <n v="0"/>
    <n v="0"/>
    <n v="0"/>
    <n v="29"/>
    <n v="0"/>
    <n v="0"/>
    <n v="0"/>
    <n v="29"/>
    <n v="0"/>
    <n v="29"/>
    <n v="0"/>
    <n v="0"/>
    <n v="0"/>
    <n v="29"/>
    <n v="0"/>
    <n v="0"/>
    <n v="0"/>
    <n v="0"/>
    <n v="0"/>
    <n v="0"/>
    <n v="0"/>
    <n v="0"/>
    <n v="0"/>
    <m/>
    <m/>
    <m/>
    <m/>
    <m/>
    <m/>
    <m/>
    <m/>
    <s v="1"/>
    <s v="1"/>
    <s v="1"/>
    <s v="0"/>
    <s v="1"/>
    <m/>
    <m/>
    <m/>
    <m/>
    <m/>
    <m/>
    <m/>
    <m/>
    <m/>
    <m/>
    <m/>
    <m/>
    <m/>
    <m/>
  </r>
  <r>
    <n v="744"/>
    <d v="2025-03-18T00:00:00"/>
    <s v="ZBTO"/>
    <n v="9518609830"/>
    <n v="6"/>
    <s v="9518609830-6"/>
    <s v="No Priority"/>
    <x v="0"/>
    <m/>
    <x v="2"/>
    <x v="3"/>
    <s v="1000-IPPE"/>
    <m/>
    <x v="0"/>
    <m/>
    <m/>
    <s v="Jharkhand"/>
    <s v="East"/>
    <s v="GAMHARIA"/>
    <s v="Coil"/>
    <n v="940016"/>
    <x v="15"/>
    <n v="3879501"/>
    <s v="PPGL C Y550 ISC6 0.45BMT(0.50TPT)X1220"/>
    <s v="aZ70"/>
    <s v="PRO RED TSL 1912"/>
    <n v="3"/>
    <n v="5"/>
    <s v="Wider"/>
    <s v="B18"/>
    <s v="Y550PL"/>
    <s v="ISC6"/>
    <n v="0.45"/>
    <n v="1220"/>
    <n v="0"/>
    <n v="28"/>
    <n v="15.62"/>
    <n v="12.38"/>
    <n v="4.1909999999999998"/>
    <n v="12.38"/>
    <n v="8.91"/>
    <n v="0"/>
    <n v="0"/>
    <n v="0"/>
    <n v="0"/>
    <n v="0"/>
    <n v="0"/>
    <n v="0"/>
    <n v="0"/>
    <n v="0"/>
    <n v="0"/>
    <n v="0"/>
    <n v="0"/>
    <n v="0"/>
    <n v="0"/>
    <n v="0"/>
    <n v="0"/>
    <n v="0"/>
    <n v="0"/>
    <n v="0"/>
    <n v="0"/>
    <n v="0"/>
    <n v="0"/>
    <n v="0"/>
    <n v="0"/>
    <n v="0"/>
    <n v="28"/>
    <n v="0"/>
    <n v="0"/>
    <n v="0"/>
    <n v="28"/>
    <n v="0"/>
    <n v="28"/>
    <n v="0"/>
    <n v="0"/>
    <n v="0"/>
    <n v="0"/>
    <n v="28"/>
    <n v="0"/>
    <n v="0"/>
    <n v="0"/>
    <n v="0"/>
    <n v="0"/>
    <n v="0"/>
    <n v="0"/>
    <n v="0"/>
    <m/>
    <m/>
    <m/>
    <m/>
    <m/>
    <m/>
    <m/>
    <m/>
    <s v="1"/>
    <s v="1"/>
    <s v="1"/>
    <s v="0"/>
    <s v="1"/>
    <m/>
    <m/>
    <m/>
    <m/>
    <m/>
    <m/>
    <m/>
    <m/>
    <m/>
    <m/>
    <m/>
    <m/>
    <m/>
    <m/>
  </r>
  <r>
    <n v="744"/>
    <d v="2025-03-19T00:00:00"/>
    <s v="ZBTO"/>
    <n v="9518612364"/>
    <n v="2"/>
    <s v="9518612364-2"/>
    <s v="Apr'25 "/>
    <x v="0"/>
    <m/>
    <x v="2"/>
    <x v="3"/>
    <s v="1000-IPPE"/>
    <m/>
    <x v="1"/>
    <m/>
    <m/>
    <s v="Jharkhand"/>
    <s v="East"/>
    <s v="GAMHARIA"/>
    <s v="Coil"/>
    <n v="940016"/>
    <x v="15"/>
    <n v="3883538"/>
    <s v="PPGL C Y550 ISC6 0.30BMT(0.35TPT)X1220"/>
    <s v="aZ70"/>
    <s v="PRO BLUE TSL 1913"/>
    <n v="3.5"/>
    <n v="5"/>
    <s v="Wider"/>
    <s v="B18"/>
    <s v="Y550PL"/>
    <s v="ISC6"/>
    <n v="0.3"/>
    <n v="1220"/>
    <n v="0"/>
    <n v="56"/>
    <n v="0"/>
    <n v="56"/>
    <n v="51.465000000000003"/>
    <n v="-5.9849999999999994"/>
    <n v="56"/>
    <n v="0"/>
    <n v="57.45"/>
    <n v="0"/>
    <n v="0"/>
    <n v="0"/>
    <n v="0"/>
    <n v="0"/>
    <n v="4.5350000000000001"/>
    <n v="0"/>
    <n v="0"/>
    <n v="0"/>
    <n v="0"/>
    <n v="0"/>
    <n v="0"/>
    <n v="0"/>
    <n v="0"/>
    <n v="0"/>
    <n v="0"/>
    <n v="0"/>
    <n v="61.984999999999999"/>
    <n v="61.984999999999999"/>
    <n v="0"/>
    <n v="61.984999999999999"/>
    <n v="0"/>
    <n v="0"/>
    <n v="56"/>
    <n v="0"/>
    <n v="56"/>
    <n v="0"/>
    <n v="0"/>
    <n v="0"/>
    <n v="56"/>
    <n v="0"/>
    <n v="0"/>
    <n v="56"/>
    <n v="0"/>
    <n v="0"/>
    <n v="0"/>
    <n v="0"/>
    <n v="0"/>
    <n v="0"/>
    <n v="0"/>
    <n v="0"/>
    <n v="0"/>
    <n v="0"/>
    <m/>
    <m/>
    <m/>
    <m/>
    <m/>
    <m/>
    <m/>
    <m/>
    <s v="1"/>
    <s v="0"/>
    <s v="1"/>
    <s v="1"/>
    <s v="1"/>
    <m/>
    <m/>
    <m/>
    <m/>
    <m/>
    <m/>
    <m/>
    <m/>
    <m/>
    <m/>
    <m/>
    <m/>
    <m/>
    <m/>
  </r>
  <r>
    <n v="742"/>
    <d v="2025-03-16T00:00:00"/>
    <s v="ZBTO"/>
    <n v="9518604323"/>
    <n v="12"/>
    <s v="9518604323-12"/>
    <s v="No Priority"/>
    <x v="0"/>
    <m/>
    <x v="1"/>
    <x v="2"/>
    <n v="2000"/>
    <m/>
    <x v="0"/>
    <m/>
    <m/>
    <s v="Orissa"/>
    <s v="East"/>
    <s v="TANGI"/>
    <s v="Sheet"/>
    <n v="117061"/>
    <x v="25"/>
    <n v="3240799"/>
    <s v="CRCA SHEET TSBCRC SR15 0.750X1250X2500"/>
    <s v=" "/>
    <s v=""/>
    <n v="0.1"/>
    <n v="5"/>
    <s v="Wider"/>
    <s v="C06"/>
    <s v="TSBCRC"/>
    <s v="SR15"/>
    <n v="0.75"/>
    <n v="1250"/>
    <n v="2500"/>
    <n v="24"/>
    <n v="22.99"/>
    <n v="1.01"/>
    <n v="0.61"/>
    <n v="0"/>
    <n v="1.01"/>
    <n v="0"/>
    <n v="0"/>
    <n v="0"/>
    <n v="0"/>
    <n v="0"/>
    <n v="0"/>
    <n v="0"/>
    <n v="0"/>
    <n v="0"/>
    <n v="0"/>
    <n v="0"/>
    <n v="0"/>
    <n v="0"/>
    <n v="0"/>
    <n v="0"/>
    <n v="0"/>
    <n v="0"/>
    <n v="0"/>
    <n v="0"/>
    <n v="0"/>
    <n v="0"/>
    <n v="0"/>
    <n v="0"/>
    <n v="0"/>
    <n v="0"/>
    <n v="24"/>
    <n v="0"/>
    <n v="0"/>
    <n v="0"/>
    <n v="24"/>
    <n v="0"/>
    <n v="24"/>
    <n v="0"/>
    <n v="0"/>
    <n v="0"/>
    <n v="0"/>
    <n v="24"/>
    <n v="0"/>
    <n v="0"/>
    <n v="0"/>
    <n v="0"/>
    <n v="0"/>
    <n v="0"/>
    <n v="0"/>
    <n v="0"/>
    <m/>
    <m/>
    <m/>
    <m/>
    <m/>
    <m/>
    <m/>
    <m/>
    <s v="1"/>
    <s v="1"/>
    <s v="1"/>
    <s v="0"/>
    <s v="1"/>
    <m/>
    <m/>
    <m/>
    <m/>
    <m/>
    <m/>
    <m/>
    <m/>
    <m/>
    <m/>
    <m/>
    <m/>
    <m/>
    <m/>
  </r>
  <r>
    <n v="743"/>
    <d v="2025-03-13T00:00:00"/>
    <s v="ZBTO"/>
    <n v="9518598100"/>
    <n v="1"/>
    <s v="9518598100-1"/>
    <s v="No Priority"/>
    <x v="0"/>
    <m/>
    <x v="3"/>
    <x v="9"/>
    <s v="2000-BPRS"/>
    <m/>
    <x v="0"/>
    <m/>
    <m/>
    <s v="Bihar"/>
    <s v="East"/>
    <s v="PATNA"/>
    <s v="Coil"/>
    <n v="103227"/>
    <x v="31"/>
    <n v="1191955"/>
    <s v="GP COIL SOFT-TATXGP-GK09-0.3X900"/>
    <s v="Z80"/>
    <s v=""/>
    <n v="1.75"/>
    <n v="6"/>
    <s v="Narrow"/>
    <s v="C02"/>
    <s v="TATXGP"/>
    <s v="GK09"/>
    <n v="0.3"/>
    <n v="900"/>
    <n v="0"/>
    <n v="210"/>
    <n v="117.02500000000001"/>
    <n v="92.974999999999994"/>
    <n v="-3.54"/>
    <n v="0"/>
    <n v="0.53"/>
    <n v="0"/>
    <n v="0"/>
    <n v="0"/>
    <n v="0"/>
    <n v="0"/>
    <n v="0"/>
    <n v="0"/>
    <n v="0"/>
    <n v="0"/>
    <n v="0"/>
    <n v="0"/>
    <n v="0"/>
    <n v="0"/>
    <n v="0"/>
    <n v="0"/>
    <n v="0"/>
    <n v="0"/>
    <n v="0"/>
    <n v="0"/>
    <n v="0"/>
    <n v="0"/>
    <n v="0"/>
    <n v="0"/>
    <n v="0"/>
    <n v="0"/>
    <n v="210"/>
    <n v="0"/>
    <n v="0"/>
    <n v="0"/>
    <n v="210"/>
    <n v="0"/>
    <n v="210"/>
    <n v="0"/>
    <n v="0"/>
    <n v="0"/>
    <n v="210"/>
    <n v="0"/>
    <n v="0"/>
    <n v="0"/>
    <n v="0"/>
    <n v="0"/>
    <n v="0"/>
    <n v="0"/>
    <n v="0"/>
    <n v="0"/>
    <m/>
    <m/>
    <m/>
    <m/>
    <m/>
    <m/>
    <m/>
    <m/>
    <s v="1"/>
    <s v="1"/>
    <s v="1"/>
    <s v="0"/>
    <s v="1"/>
    <m/>
    <m/>
    <m/>
    <m/>
    <m/>
    <m/>
    <m/>
    <m/>
    <m/>
    <m/>
    <m/>
    <m/>
    <m/>
    <m/>
  </r>
  <r>
    <n v="743"/>
    <d v="2025-03-13T00:00:00"/>
    <s v="ZBTO"/>
    <n v="9518598100"/>
    <n v="5"/>
    <s v="9518598100-5"/>
    <s v="No Priority"/>
    <x v="0"/>
    <m/>
    <x v="3"/>
    <x v="9"/>
    <s v="2000-BPRS"/>
    <m/>
    <x v="0"/>
    <m/>
    <s v="Exp BTF &lt;17MT"/>
    <s v="Bihar"/>
    <s v="East"/>
    <s v="PATNA"/>
    <s v="Coil"/>
    <n v="103227"/>
    <x v="31"/>
    <n v="1854424"/>
    <s v="GP COIL SOFT-TATXGP-GK09-0.6X900"/>
    <s v="Z80"/>
    <s v=""/>
    <n v="2"/>
    <n v="6"/>
    <s v="Narrow"/>
    <s v="C02"/>
    <s v="TATXGP"/>
    <s v="GK09"/>
    <n v="0.6"/>
    <n v="900"/>
    <n v="0"/>
    <n v="210"/>
    <n v="14.654999999999999"/>
    <n v="195.345"/>
    <n v="3.7349999999999999"/>
    <n v="194.035"/>
    <n v="11.34"/>
    <n v="0"/>
    <n v="0"/>
    <n v="0"/>
    <n v="0"/>
    <n v="0"/>
    <n v="0"/>
    <n v="1.31"/>
    <n v="0"/>
    <n v="0"/>
    <n v="0"/>
    <n v="0"/>
    <n v="0"/>
    <n v="0"/>
    <n v="0"/>
    <n v="0"/>
    <n v="0"/>
    <n v="0"/>
    <n v="0"/>
    <n v="0"/>
    <n v="1.31"/>
    <n v="1.31"/>
    <n v="0"/>
    <n v="1.31"/>
    <n v="0"/>
    <n v="0"/>
    <n v="210"/>
    <n v="0"/>
    <n v="0"/>
    <n v="0"/>
    <n v="210"/>
    <n v="0"/>
    <n v="210"/>
    <n v="0"/>
    <n v="0"/>
    <n v="0"/>
    <n v="0"/>
    <n v="210"/>
    <n v="0"/>
    <n v="0"/>
    <n v="0"/>
    <n v="0"/>
    <n v="0"/>
    <n v="0"/>
    <n v="0"/>
    <n v="0"/>
    <m/>
    <m/>
    <m/>
    <m/>
    <m/>
    <m/>
    <m/>
    <m/>
    <s v="1"/>
    <s v="1"/>
    <s v="1"/>
    <s v="0"/>
    <s v="1"/>
    <m/>
    <m/>
    <m/>
    <m/>
    <m/>
    <m/>
    <m/>
    <m/>
    <m/>
    <m/>
    <m/>
    <m/>
    <m/>
    <m/>
  </r>
  <r>
    <n v="742"/>
    <d v="2025-03-11T00:00:00"/>
    <s v="ZBTO"/>
    <n v="9518592206"/>
    <n v="1"/>
    <s v="9518592206-1"/>
    <s v="No Priority"/>
    <x v="0"/>
    <m/>
    <x v="1"/>
    <x v="1"/>
    <s v="2000-BPRS"/>
    <m/>
    <x v="0"/>
    <m/>
    <m/>
    <s v="Tamil Nadu"/>
    <s v="South"/>
    <s v="PATTANCHERY"/>
    <s v="Coil"/>
    <n v="939422"/>
    <x v="35"/>
    <n v="1804908"/>
    <s v="CRCA COIL TATCRC TR15 0.5X1250"/>
    <s v=" "/>
    <s v=""/>
    <n v="10"/>
    <n v="30"/>
    <s v="Wider"/>
    <s v="C01"/>
    <s v="TATCRC"/>
    <s v="TR15"/>
    <n v="0.5"/>
    <n v="1250"/>
    <n v="0"/>
    <n v="58"/>
    <n v="0"/>
    <n v="58"/>
    <n v="-20.77"/>
    <n v="0"/>
    <n v="10.505000000000001"/>
    <n v="0"/>
    <n v="0"/>
    <n v="0"/>
    <n v="0"/>
    <n v="0"/>
    <n v="0"/>
    <n v="0"/>
    <n v="0"/>
    <n v="0"/>
    <n v="0"/>
    <n v="0"/>
    <n v="0"/>
    <n v="0"/>
    <n v="0"/>
    <n v="0"/>
    <n v="0"/>
    <n v="0"/>
    <n v="0"/>
    <n v="0"/>
    <n v="0"/>
    <n v="0"/>
    <n v="0"/>
    <n v="0"/>
    <n v="0"/>
    <n v="0"/>
    <n v="58"/>
    <n v="0"/>
    <n v="0"/>
    <n v="0"/>
    <n v="58"/>
    <n v="0"/>
    <n v="58"/>
    <n v="0"/>
    <n v="0"/>
    <n v="0"/>
    <n v="0"/>
    <n v="58"/>
    <n v="0"/>
    <n v="0"/>
    <n v="0"/>
    <n v="0"/>
    <n v="0"/>
    <n v="0"/>
    <n v="0"/>
    <n v="0"/>
    <m/>
    <m/>
    <m/>
    <m/>
    <m/>
    <m/>
    <m/>
    <m/>
    <s v="1"/>
    <s v="1"/>
    <s v="1"/>
    <s v="0"/>
    <s v="1"/>
    <m/>
    <m/>
    <m/>
    <m/>
    <m/>
    <m/>
    <m/>
    <m/>
    <m/>
    <m/>
    <m/>
    <m/>
    <m/>
    <m/>
  </r>
  <r>
    <n v="742"/>
    <d v="2025-03-11T00:00:00"/>
    <s v="ZBTO"/>
    <n v="9518592206"/>
    <n v="4"/>
    <s v="9518592206-4"/>
    <s v="No Priority"/>
    <x v="0"/>
    <m/>
    <x v="1"/>
    <x v="1"/>
    <s v="2000-BPRS"/>
    <m/>
    <x v="0"/>
    <m/>
    <s v="Exp BTF &lt;17MT"/>
    <s v="Tamil Nadu"/>
    <s v="South"/>
    <s v="PATTANCHERY"/>
    <s v="Coil"/>
    <n v="939422"/>
    <x v="35"/>
    <n v="2390540"/>
    <s v="CRCA COIL TATXXD AU03 1.800X1250"/>
    <s v=" "/>
    <s v=""/>
    <n v="10"/>
    <n v="30"/>
    <s v="Wider"/>
    <s v="C01"/>
    <s v="TATXXD"/>
    <s v="AU03"/>
    <n v="1.8"/>
    <n v="1250"/>
    <n v="0"/>
    <n v="58"/>
    <n v="21.48"/>
    <n v="36.520000000000003"/>
    <n v="14.82"/>
    <n v="36.520000000000003"/>
    <n v="17.489999999999998"/>
    <n v="0"/>
    <n v="0"/>
    <n v="0"/>
    <n v="0"/>
    <n v="0"/>
    <n v="0"/>
    <n v="0"/>
    <n v="0"/>
    <n v="0"/>
    <n v="0"/>
    <n v="0"/>
    <n v="0"/>
    <n v="0"/>
    <n v="0"/>
    <n v="0"/>
    <n v="0"/>
    <n v="0"/>
    <n v="0"/>
    <n v="0"/>
    <n v="0"/>
    <n v="0"/>
    <n v="0"/>
    <n v="0"/>
    <n v="0"/>
    <n v="0"/>
    <n v="58"/>
    <n v="0"/>
    <n v="0"/>
    <n v="0"/>
    <n v="58"/>
    <n v="0"/>
    <n v="58"/>
    <n v="0"/>
    <n v="0"/>
    <n v="0"/>
    <n v="0"/>
    <n v="58"/>
    <n v="0"/>
    <n v="0"/>
    <n v="0"/>
    <n v="0"/>
    <n v="0"/>
    <n v="0"/>
    <n v="0"/>
    <n v="0"/>
    <m/>
    <m/>
    <m/>
    <m/>
    <m/>
    <m/>
    <m/>
    <m/>
    <s v="1"/>
    <s v="1"/>
    <s v="1"/>
    <s v="0"/>
    <s v="1"/>
    <m/>
    <m/>
    <m/>
    <m/>
    <m/>
    <m/>
    <m/>
    <m/>
    <m/>
    <m/>
    <m/>
    <m/>
    <m/>
    <m/>
  </r>
  <r>
    <n v="742"/>
    <d v="2025-03-06T00:00:00"/>
    <s v="ZBTO"/>
    <n v="9518578782"/>
    <n v="5"/>
    <s v="9518578782-5"/>
    <s v="No Priority"/>
    <x v="0"/>
    <m/>
    <x v="1"/>
    <x v="11"/>
    <s v="2000-BPRS"/>
    <m/>
    <x v="0"/>
    <m/>
    <m/>
    <s v="Tamil Nadu"/>
    <s v="South"/>
    <s v="PATTANCHERY"/>
    <s v="Coil"/>
    <n v="939422"/>
    <x v="35"/>
    <n v="2420514"/>
    <s v="CRCA COIL TATXXD AH03 0.800X1250"/>
    <s v=" "/>
    <s v=""/>
    <n v="17"/>
    <n v="30"/>
    <s v="Wider"/>
    <s v="C01"/>
    <s v="TATXXD"/>
    <s v="AH03"/>
    <n v="0.8"/>
    <n v="1250"/>
    <n v="0"/>
    <n v="29"/>
    <n v="0"/>
    <n v="29"/>
    <n v="0.24"/>
    <n v="0"/>
    <n v="2.4550000000000001"/>
    <n v="0"/>
    <n v="0"/>
    <n v="0"/>
    <n v="0"/>
    <n v="0"/>
    <n v="0"/>
    <n v="0"/>
    <n v="0"/>
    <n v="0"/>
    <n v="0"/>
    <n v="0"/>
    <n v="0"/>
    <n v="0"/>
    <n v="1"/>
    <n v="0"/>
    <n v="0"/>
    <n v="0"/>
    <n v="0"/>
    <n v="0"/>
    <n v="1"/>
    <n v="1"/>
    <n v="0"/>
    <n v="1"/>
    <n v="0"/>
    <n v="0"/>
    <n v="29"/>
    <n v="0"/>
    <n v="0"/>
    <n v="0"/>
    <n v="0"/>
    <n v="29"/>
    <n v="0"/>
    <n v="0"/>
    <n v="0"/>
    <n v="0"/>
    <n v="0"/>
    <n v="0"/>
    <n v="29"/>
    <n v="0"/>
    <n v="0"/>
    <n v="0"/>
    <n v="0"/>
    <n v="0"/>
    <n v="0"/>
    <n v="0"/>
    <m/>
    <m/>
    <m/>
    <m/>
    <m/>
    <m/>
    <m/>
    <m/>
    <s v="1"/>
    <s v="1"/>
    <s v="1"/>
    <s v="1"/>
    <s v="0"/>
    <m/>
    <m/>
    <m/>
    <m/>
    <m/>
    <m/>
    <m/>
    <m/>
    <m/>
    <m/>
    <m/>
    <m/>
    <m/>
    <m/>
  </r>
  <r>
    <n v="742"/>
    <d v="2025-03-06T00:00:00"/>
    <s v="ZBTO"/>
    <n v="9518578782"/>
    <n v="7"/>
    <s v="9518578782-7"/>
    <s v="May'25"/>
    <x v="0"/>
    <m/>
    <x v="1"/>
    <x v="1"/>
    <s v="2000-BPRS"/>
    <m/>
    <x v="1"/>
    <m/>
    <s v="Exp BTF &lt;17MT"/>
    <s v="Tamil Nadu"/>
    <s v="South"/>
    <s v="PATTANCHERY"/>
    <s v="Coil"/>
    <n v="939422"/>
    <x v="35"/>
    <n v="1804826"/>
    <s v="CRCA COIL-TATXXD-AU03-0.9X1250"/>
    <s v=" "/>
    <s v=""/>
    <n v="17"/>
    <n v="30"/>
    <s v="Wider"/>
    <s v="C01"/>
    <s v="TATXXD"/>
    <s v="AU03"/>
    <n v="0.9"/>
    <n v="1250"/>
    <n v="0"/>
    <n v="29"/>
    <n v="0"/>
    <n v="29"/>
    <n v="11.685"/>
    <n v="1.8399999999999999"/>
    <n v="29"/>
    <n v="0"/>
    <n v="0"/>
    <n v="0"/>
    <n v="0"/>
    <n v="0"/>
    <n v="0"/>
    <n v="0"/>
    <n v="0"/>
    <n v="0"/>
    <n v="0"/>
    <n v="0"/>
    <n v="0"/>
    <n v="0"/>
    <n v="27.16"/>
    <n v="0"/>
    <n v="0"/>
    <n v="0"/>
    <n v="0"/>
    <n v="0"/>
    <n v="27.16"/>
    <n v="27.16"/>
    <n v="0"/>
    <n v="27.16"/>
    <n v="0"/>
    <n v="0"/>
    <n v="29"/>
    <n v="0"/>
    <n v="0"/>
    <n v="29"/>
    <n v="0"/>
    <n v="0"/>
    <n v="29"/>
    <n v="0"/>
    <n v="0"/>
    <n v="0"/>
    <n v="29"/>
    <n v="0"/>
    <n v="0"/>
    <n v="0"/>
    <n v="0"/>
    <n v="0"/>
    <n v="0"/>
    <n v="0"/>
    <n v="0"/>
    <n v="0"/>
    <m/>
    <m/>
    <m/>
    <m/>
    <m/>
    <m/>
    <m/>
    <m/>
    <s v="1"/>
    <s v="1"/>
    <s v="0"/>
    <s v="1"/>
    <s v="1"/>
    <m/>
    <m/>
    <m/>
    <m/>
    <m/>
    <m/>
    <m/>
    <m/>
    <m/>
    <m/>
    <m/>
    <m/>
    <m/>
    <m/>
  </r>
  <r>
    <n v="742"/>
    <d v="2025-03-06T00:00:00"/>
    <s v="ZBTO"/>
    <n v="9518578782"/>
    <n v="12"/>
    <s v="9518578782-12"/>
    <s v="No Priority"/>
    <x v="0"/>
    <m/>
    <x v="1"/>
    <x v="1"/>
    <s v="2000-BPRS"/>
    <m/>
    <x v="0"/>
    <m/>
    <s v="Exp BTF &lt;17MT"/>
    <s v="Tamil Nadu"/>
    <s v="South"/>
    <s v="PATTANCHERY"/>
    <s v="Coil"/>
    <n v="939422"/>
    <x v="35"/>
    <n v="1804867"/>
    <s v="CRCA COIL-TATXXD-AU03-1.6X1250"/>
    <s v=" "/>
    <s v=""/>
    <n v="17"/>
    <n v="30"/>
    <s v="Wider"/>
    <s v="C01"/>
    <s v="TATXXD"/>
    <s v="AU03"/>
    <n v="1.6"/>
    <n v="1250"/>
    <n v="0"/>
    <n v="58"/>
    <n v="0"/>
    <n v="58"/>
    <n v="11.7"/>
    <n v="58"/>
    <n v="16"/>
    <n v="0"/>
    <n v="0"/>
    <n v="0"/>
    <n v="0"/>
    <n v="0"/>
    <n v="0"/>
    <n v="0"/>
    <n v="0"/>
    <n v="0"/>
    <n v="0"/>
    <n v="0"/>
    <n v="0"/>
    <n v="0"/>
    <n v="0"/>
    <n v="0"/>
    <n v="0"/>
    <n v="0"/>
    <n v="0"/>
    <n v="0"/>
    <n v="0"/>
    <n v="0"/>
    <n v="0"/>
    <n v="0"/>
    <n v="0"/>
    <n v="0"/>
    <n v="58"/>
    <n v="0"/>
    <n v="0"/>
    <n v="0"/>
    <n v="0"/>
    <n v="58"/>
    <n v="0"/>
    <n v="0"/>
    <n v="0"/>
    <n v="0"/>
    <n v="0"/>
    <n v="0"/>
    <n v="58"/>
    <n v="0"/>
    <n v="0"/>
    <n v="0"/>
    <n v="0"/>
    <n v="0"/>
    <n v="0"/>
    <n v="0"/>
    <m/>
    <m/>
    <m/>
    <m/>
    <m/>
    <m/>
    <m/>
    <m/>
    <s v="1"/>
    <s v="1"/>
    <s v="1"/>
    <s v="1"/>
    <s v="0"/>
    <m/>
    <m/>
    <m/>
    <m/>
    <m/>
    <m/>
    <m/>
    <m/>
    <m/>
    <m/>
    <m/>
    <m/>
    <m/>
    <m/>
  </r>
  <r>
    <n v="742"/>
    <d v="2025-03-11T00:00:00"/>
    <s v="ZBTO"/>
    <n v="9518592206"/>
    <n v="5"/>
    <s v="9518592206-5"/>
    <s v="No Priority"/>
    <x v="0"/>
    <m/>
    <x v="1"/>
    <x v="1"/>
    <s v="2000-BPRS"/>
    <m/>
    <x v="0"/>
    <m/>
    <m/>
    <s v="Tamil Nadu"/>
    <s v="South"/>
    <s v="PATTANCHERY"/>
    <s v="Coil"/>
    <n v="939422"/>
    <x v="35"/>
    <n v="1884117"/>
    <s v="CRCA COIL-TATXXD-AU03-2X1250"/>
    <s v=" "/>
    <s v=""/>
    <n v="10"/>
    <n v="30"/>
    <s v="Wider"/>
    <s v="C01"/>
    <s v="TATXXD"/>
    <s v="AU03"/>
    <n v="2"/>
    <n v="1250"/>
    <n v="0"/>
    <n v="29"/>
    <n v="0"/>
    <n v="29"/>
    <n v="1.48"/>
    <n v="0"/>
    <n v="4.6150000000000002"/>
    <n v="0"/>
    <n v="0"/>
    <n v="0"/>
    <n v="0"/>
    <n v="0"/>
    <n v="0"/>
    <n v="0"/>
    <n v="0"/>
    <n v="0"/>
    <n v="0"/>
    <n v="0"/>
    <n v="0"/>
    <n v="0"/>
    <n v="0"/>
    <n v="0"/>
    <n v="0"/>
    <n v="0"/>
    <n v="0"/>
    <n v="0"/>
    <n v="0"/>
    <n v="0"/>
    <n v="0"/>
    <n v="0"/>
    <n v="0"/>
    <n v="0"/>
    <n v="29"/>
    <n v="0"/>
    <n v="0"/>
    <n v="0"/>
    <n v="29"/>
    <n v="0"/>
    <n v="29"/>
    <n v="0"/>
    <n v="0"/>
    <n v="0"/>
    <n v="0"/>
    <n v="29"/>
    <n v="0"/>
    <n v="0"/>
    <n v="0"/>
    <n v="0"/>
    <n v="0"/>
    <n v="0"/>
    <n v="0"/>
    <n v="0"/>
    <m/>
    <m/>
    <m/>
    <m/>
    <m/>
    <m/>
    <m/>
    <m/>
    <s v="1"/>
    <s v="1"/>
    <s v="1"/>
    <s v="0"/>
    <s v="1"/>
    <m/>
    <m/>
    <m/>
    <m/>
    <m/>
    <m/>
    <m/>
    <m/>
    <m/>
    <m/>
    <m/>
    <m/>
    <m/>
    <m/>
  </r>
  <r>
    <n v="742"/>
    <d v="2025-03-11T00:00:00"/>
    <s v="ZBTO"/>
    <n v="9518592206"/>
    <n v="6"/>
    <s v="9518592206-6"/>
    <s v="No Priority"/>
    <x v="0"/>
    <m/>
    <x v="1"/>
    <x v="1"/>
    <s v="2000-BPRS"/>
    <m/>
    <x v="0"/>
    <m/>
    <m/>
    <s v="Tamil Nadu"/>
    <s v="South"/>
    <s v="PATTANCHERY"/>
    <s v="Coil"/>
    <n v="939422"/>
    <x v="35"/>
    <n v="292577"/>
    <s v="CRSHEET-ICF  DQ TATXXD AU03 2.02X1250"/>
    <s v=" "/>
    <s v=""/>
    <n v="10"/>
    <n v="30"/>
    <s v="Wider"/>
    <s v="C01"/>
    <s v="TATXXD"/>
    <s v="AU03"/>
    <n v="2.02"/>
    <n v="1250"/>
    <n v="0"/>
    <n v="29"/>
    <n v="0"/>
    <n v="29"/>
    <n v="0.76"/>
    <n v="0"/>
    <n v="4.1100000000000003"/>
    <n v="0"/>
    <n v="0"/>
    <n v="0"/>
    <n v="0"/>
    <n v="0"/>
    <n v="0"/>
    <n v="0"/>
    <n v="0"/>
    <n v="0"/>
    <n v="0"/>
    <n v="0"/>
    <n v="0"/>
    <n v="0"/>
    <n v="0"/>
    <n v="0"/>
    <n v="0"/>
    <n v="0"/>
    <n v="0"/>
    <n v="0"/>
    <n v="0"/>
    <n v="0"/>
    <n v="0"/>
    <n v="0"/>
    <n v="0"/>
    <n v="0"/>
    <n v="29"/>
    <n v="0"/>
    <n v="0"/>
    <n v="0"/>
    <n v="29"/>
    <n v="0"/>
    <n v="29"/>
    <n v="0"/>
    <n v="0"/>
    <n v="0"/>
    <n v="29"/>
    <n v="0"/>
    <n v="0"/>
    <n v="0"/>
    <n v="0"/>
    <n v="0"/>
    <n v="0"/>
    <n v="0"/>
    <n v="0"/>
    <n v="0"/>
    <m/>
    <m/>
    <m/>
    <m/>
    <m/>
    <m/>
    <m/>
    <m/>
    <s v="1"/>
    <s v="1"/>
    <s v="1"/>
    <s v="0"/>
    <s v="1"/>
    <m/>
    <m/>
    <m/>
    <m/>
    <m/>
    <m/>
    <m/>
    <m/>
    <m/>
    <m/>
    <m/>
    <m/>
    <m/>
    <m/>
  </r>
  <r>
    <n v="742"/>
    <d v="2025-03-06T00:00:00"/>
    <s v="ZBTO"/>
    <n v="9518578782"/>
    <n v="16"/>
    <s v="9518578782-16"/>
    <s v="No Priority"/>
    <x v="0"/>
    <m/>
    <x v="1"/>
    <x v="1"/>
    <s v="2000-BPRS"/>
    <m/>
    <x v="0"/>
    <m/>
    <m/>
    <s v="Tamil Nadu"/>
    <s v="South"/>
    <s v="PATTANCHERY"/>
    <s v="Coil"/>
    <n v="939422"/>
    <x v="35"/>
    <n v="292577"/>
    <s v="CRSHEET-ICF  DQ TATXXD AU03 2.02X1250"/>
    <s v=" "/>
    <s v=""/>
    <n v="17"/>
    <n v="30"/>
    <s v="Wider"/>
    <s v="C01"/>
    <s v="TATXXD"/>
    <s v="AU03"/>
    <n v="2.02"/>
    <n v="1250"/>
    <n v="0"/>
    <n v="29"/>
    <n v="0"/>
    <n v="29"/>
    <n v="0.97"/>
    <n v="0"/>
    <n v="4.1050000000000004"/>
    <n v="0"/>
    <n v="0"/>
    <n v="0"/>
    <n v="0"/>
    <n v="0"/>
    <n v="0"/>
    <n v="0"/>
    <n v="0"/>
    <n v="0"/>
    <n v="0"/>
    <n v="0"/>
    <n v="0"/>
    <n v="0"/>
    <n v="0"/>
    <n v="0"/>
    <n v="0"/>
    <n v="0"/>
    <n v="0"/>
    <n v="0"/>
    <n v="0"/>
    <n v="0"/>
    <n v="0"/>
    <n v="0"/>
    <n v="0"/>
    <n v="0"/>
    <n v="29"/>
    <n v="0"/>
    <n v="0"/>
    <n v="0"/>
    <n v="29"/>
    <n v="0"/>
    <n v="29"/>
    <n v="0"/>
    <n v="0"/>
    <n v="0"/>
    <n v="29"/>
    <n v="0"/>
    <n v="0"/>
    <n v="0"/>
    <n v="0"/>
    <n v="0"/>
    <n v="0"/>
    <n v="0"/>
    <n v="0"/>
    <n v="0"/>
    <m/>
    <m/>
    <m/>
    <m/>
    <m/>
    <m/>
    <m/>
    <m/>
    <s v="1"/>
    <s v="1"/>
    <s v="1"/>
    <s v="0"/>
    <s v="1"/>
    <m/>
    <m/>
    <m/>
    <m/>
    <m/>
    <m/>
    <m/>
    <m/>
    <m/>
    <m/>
    <m/>
    <m/>
    <m/>
    <m/>
  </r>
  <r>
    <n v="742"/>
    <d v="2025-03-13T00:00:00"/>
    <s v="ZBTO"/>
    <n v="9518599347"/>
    <n v="1"/>
    <s v="9518599347-1"/>
    <s v="Apr'25 "/>
    <x v="0"/>
    <m/>
    <x v="1"/>
    <x v="1"/>
    <s v="2000-BPRS"/>
    <m/>
    <x v="1"/>
    <m/>
    <m/>
    <s v="Tamil Nadu"/>
    <s v="South"/>
    <s v="PATTANCHERY"/>
    <s v="Coil"/>
    <n v="939422"/>
    <x v="35"/>
    <n v="2386037"/>
    <s v="CRCA COIL TATXXD AU03 1.100X1320"/>
    <s v=" "/>
    <s v=""/>
    <n v="10"/>
    <n v="30"/>
    <s v="Wider"/>
    <s v="C01"/>
    <s v="TATXXD"/>
    <s v="AU03"/>
    <n v="1.1000000000000001"/>
    <n v="1320"/>
    <n v="0"/>
    <n v="60"/>
    <n v="0"/>
    <n v="60"/>
    <n v="60"/>
    <n v="2.519999999999996"/>
    <n v="60"/>
    <n v="0"/>
    <n v="0"/>
    <n v="0"/>
    <n v="0"/>
    <n v="0"/>
    <n v="0"/>
    <n v="0"/>
    <n v="0"/>
    <n v="0"/>
    <n v="0"/>
    <n v="0"/>
    <n v="0"/>
    <n v="0"/>
    <n v="57.480000000000004"/>
    <n v="0"/>
    <n v="0"/>
    <n v="0"/>
    <n v="0"/>
    <n v="0"/>
    <n v="57.480000000000004"/>
    <n v="57.480000000000004"/>
    <n v="0"/>
    <n v="57.480000000000004"/>
    <n v="0"/>
    <n v="0"/>
    <n v="60"/>
    <n v="0"/>
    <n v="0"/>
    <n v="0"/>
    <n v="60"/>
    <n v="0"/>
    <n v="60"/>
    <n v="0"/>
    <n v="0"/>
    <n v="0"/>
    <n v="60"/>
    <n v="0"/>
    <n v="0"/>
    <n v="0"/>
    <n v="0"/>
    <n v="0"/>
    <n v="0"/>
    <n v="0"/>
    <n v="0"/>
    <n v="0"/>
    <m/>
    <m/>
    <m/>
    <m/>
    <m/>
    <m/>
    <m/>
    <m/>
    <s v="1"/>
    <s v="1"/>
    <s v="1"/>
    <s v="0"/>
    <s v="1"/>
    <m/>
    <m/>
    <m/>
    <m/>
    <m/>
    <m/>
    <m/>
    <m/>
    <m/>
    <m/>
    <m/>
    <m/>
    <m/>
    <m/>
  </r>
  <r>
    <n v="742"/>
    <d v="2025-03-17T00:00:00"/>
    <s v="ZBTO"/>
    <n v="9518606284"/>
    <n v="9"/>
    <s v="9518606284-9"/>
    <s v="No Priority"/>
    <x v="0"/>
    <m/>
    <x v="1"/>
    <x v="2"/>
    <n v="2000"/>
    <m/>
    <x v="0"/>
    <m/>
    <s v="Exp BTF &lt;17MT"/>
    <s v="Andhra Pradesh"/>
    <s v="South"/>
    <s v="VISHAKHAPATNAM"/>
    <s v="Sheet"/>
    <n v="946077"/>
    <x v="8"/>
    <n v="3240771"/>
    <s v="CRCA SHEET TSBCRC SR15 0.600X900X2440"/>
    <s v=" "/>
    <s v=""/>
    <n v="0"/>
    <n v="0"/>
    <s v="Narrow"/>
    <s v="C06"/>
    <s v="TSBCRC"/>
    <s v="SR15"/>
    <n v="0.6"/>
    <n v="900"/>
    <n v="2440"/>
    <n v="42"/>
    <n v="17.664999999999999"/>
    <n v="24.335000000000001"/>
    <n v="5.18"/>
    <n v="24.335000000000001"/>
    <n v="5.64"/>
    <n v="0"/>
    <n v="0"/>
    <n v="0"/>
    <n v="0"/>
    <n v="0"/>
    <n v="0"/>
    <n v="0"/>
    <n v="0"/>
    <n v="0"/>
    <n v="0"/>
    <n v="0"/>
    <n v="0"/>
    <n v="0"/>
    <n v="0"/>
    <n v="0"/>
    <n v="0"/>
    <n v="0"/>
    <n v="0"/>
    <n v="0"/>
    <n v="0"/>
    <n v="0"/>
    <n v="0"/>
    <n v="0"/>
    <n v="0"/>
    <n v="17.664999999999999"/>
    <n v="42"/>
    <n v="0"/>
    <n v="0"/>
    <n v="42"/>
    <n v="0"/>
    <n v="0"/>
    <n v="59.664999999999999"/>
    <n v="0"/>
    <n v="0"/>
    <n v="59.664999999999999"/>
    <n v="0"/>
    <n v="0"/>
    <n v="0"/>
    <n v="17.664999999999999"/>
    <n v="0"/>
    <n v="0"/>
    <n v="17.664999999999999"/>
    <n v="0"/>
    <n v="0"/>
    <n v="0"/>
    <m/>
    <m/>
    <m/>
    <m/>
    <m/>
    <m/>
    <m/>
    <m/>
    <s v="1"/>
    <s v="1"/>
    <s v="0"/>
    <s v="1"/>
    <s v="1"/>
    <m/>
    <m/>
    <m/>
    <m/>
    <m/>
    <m/>
    <m/>
    <m/>
    <m/>
    <m/>
    <m/>
    <m/>
    <m/>
    <m/>
  </r>
  <r>
    <n v="742"/>
    <d v="2025-03-17T00:00:00"/>
    <s v="ZBTO"/>
    <n v="9518606284"/>
    <n v="10"/>
    <s v="9518606284-10"/>
    <s v="No Priority"/>
    <x v="0"/>
    <m/>
    <x v="1"/>
    <x v="2"/>
    <n v="2000"/>
    <m/>
    <x v="0"/>
    <m/>
    <s v="Exp BTF &lt;17MT"/>
    <s v="Andhra Pradesh"/>
    <s v="South"/>
    <s v="VISHAKHAPATNAM"/>
    <s v="Sheet"/>
    <n v="946077"/>
    <x v="8"/>
    <n v="3240776"/>
    <s v="CRCA SHEET TSBCRC SR15 0.600X1000X2440"/>
    <s v=" "/>
    <s v=""/>
    <n v="0"/>
    <n v="0"/>
    <s v="Narrow"/>
    <s v="C06"/>
    <s v="TSBCRC"/>
    <s v="SR15"/>
    <n v="0.6"/>
    <n v="1000"/>
    <n v="2440"/>
    <n v="27"/>
    <n v="20.335000000000001"/>
    <n v="6.665"/>
    <n v="6.665"/>
    <n v="6.665"/>
    <n v="6.665"/>
    <n v="0"/>
    <n v="0"/>
    <n v="0"/>
    <n v="0"/>
    <n v="0"/>
    <n v="0"/>
    <n v="0"/>
    <n v="0"/>
    <n v="0"/>
    <n v="0"/>
    <n v="0"/>
    <n v="0"/>
    <n v="0"/>
    <n v="0"/>
    <n v="0"/>
    <n v="0"/>
    <n v="0"/>
    <n v="0"/>
    <n v="0"/>
    <n v="0"/>
    <n v="0"/>
    <n v="0"/>
    <n v="0"/>
    <n v="0"/>
    <n v="0"/>
    <n v="27"/>
    <n v="0"/>
    <n v="27"/>
    <n v="0"/>
    <n v="0"/>
    <n v="0"/>
    <n v="27"/>
    <n v="0"/>
    <n v="0"/>
    <n v="27"/>
    <n v="0"/>
    <n v="0"/>
    <n v="0"/>
    <n v="20.334999999999997"/>
    <n v="0"/>
    <n v="20.334999999999997"/>
    <n v="0"/>
    <n v="0"/>
    <n v="0"/>
    <n v="0"/>
    <m/>
    <m/>
    <m/>
    <m/>
    <m/>
    <m/>
    <m/>
    <m/>
    <s v="1"/>
    <s v="0"/>
    <s v="1"/>
    <s v="1"/>
    <s v="1"/>
    <m/>
    <m/>
    <m/>
    <m/>
    <m/>
    <m/>
    <m/>
    <m/>
    <m/>
    <m/>
    <m/>
    <m/>
    <m/>
    <m/>
  </r>
  <r>
    <n v="742"/>
    <d v="2025-03-17T00:00:00"/>
    <s v="ZBTO"/>
    <n v="9518606284"/>
    <n v="12"/>
    <s v="9518606284-12"/>
    <s v="Apr'25 "/>
    <x v="0"/>
    <m/>
    <x v="1"/>
    <x v="2"/>
    <n v="2000"/>
    <m/>
    <x v="1"/>
    <m/>
    <m/>
    <s v="Andhra Pradesh"/>
    <s v="South"/>
    <s v="VISHAKHAPATNAM"/>
    <s v="Sheet"/>
    <n v="946077"/>
    <x v="8"/>
    <n v="3410101"/>
    <s v="CRCA SHEET TSBCRC SR15 0.750X1000X2500"/>
    <s v=" "/>
    <s v=""/>
    <n v="0"/>
    <n v="0"/>
    <s v="Narrow"/>
    <s v="C06"/>
    <s v="TSBCRC"/>
    <s v="SR15"/>
    <n v="0.75"/>
    <n v="1000"/>
    <n v="2500"/>
    <n v="21"/>
    <n v="0"/>
    <n v="21"/>
    <n v="21"/>
    <n v="-1.4499999999999993"/>
    <n v="21"/>
    <n v="0"/>
    <n v="0"/>
    <n v="0"/>
    <n v="0"/>
    <n v="0"/>
    <n v="0"/>
    <n v="0"/>
    <n v="0"/>
    <n v="0"/>
    <n v="0"/>
    <n v="0"/>
    <n v="0"/>
    <n v="0"/>
    <n v="22.45"/>
    <n v="0"/>
    <n v="0"/>
    <n v="0"/>
    <n v="0"/>
    <n v="0"/>
    <n v="22.45"/>
    <n v="22.45"/>
    <n v="0"/>
    <n v="22.45"/>
    <n v="0"/>
    <n v="0"/>
    <n v="21"/>
    <n v="0"/>
    <n v="0"/>
    <n v="0"/>
    <n v="0"/>
    <n v="21"/>
    <n v="0"/>
    <n v="0"/>
    <n v="0"/>
    <n v="0"/>
    <n v="0"/>
    <n v="0"/>
    <n v="21"/>
    <n v="0"/>
    <n v="0"/>
    <n v="0"/>
    <n v="0"/>
    <n v="0"/>
    <n v="0"/>
    <n v="0"/>
    <m/>
    <m/>
    <m/>
    <m/>
    <m/>
    <m/>
    <m/>
    <m/>
    <s v="1"/>
    <s v="1"/>
    <s v="1"/>
    <s v="1"/>
    <s v="0"/>
    <m/>
    <m/>
    <m/>
    <m/>
    <m/>
    <m/>
    <m/>
    <m/>
    <m/>
    <m/>
    <m/>
    <m/>
    <m/>
    <m/>
  </r>
  <r>
    <n v="742"/>
    <d v="2025-03-17T00:00:00"/>
    <s v="ZBTO"/>
    <n v="9518606284"/>
    <n v="15"/>
    <s v="9518606284-15"/>
    <s v="Apr'25 "/>
    <x v="0"/>
    <m/>
    <x v="1"/>
    <x v="2"/>
    <n v="2000"/>
    <m/>
    <x v="1"/>
    <m/>
    <m/>
    <s v="Andhra Pradesh"/>
    <s v="South"/>
    <s v="VISHAKHAPATNAM"/>
    <s v="Sheet"/>
    <n v="946077"/>
    <x v="8"/>
    <n v="3240812"/>
    <s v="CRCA SHEET TSBCRC SR15 0.800X1000X2500"/>
    <s v=" "/>
    <s v=""/>
    <n v="0"/>
    <n v="0"/>
    <s v="Narrow"/>
    <s v="C06"/>
    <s v="TSBCRC"/>
    <s v="SR15"/>
    <n v="0.8"/>
    <n v="1000"/>
    <n v="2500"/>
    <n v="21"/>
    <n v="0"/>
    <n v="21"/>
    <n v="21"/>
    <n v="-1.3300000000000018"/>
    <n v="21"/>
    <n v="0"/>
    <n v="0"/>
    <n v="0"/>
    <n v="0"/>
    <n v="0"/>
    <n v="0"/>
    <n v="0"/>
    <n v="0"/>
    <n v="0"/>
    <n v="0"/>
    <n v="0"/>
    <n v="0"/>
    <n v="0"/>
    <n v="22.330000000000002"/>
    <n v="0"/>
    <n v="0"/>
    <n v="0"/>
    <n v="0"/>
    <n v="0"/>
    <n v="22.330000000000002"/>
    <n v="22.330000000000002"/>
    <n v="0"/>
    <n v="22.330000000000002"/>
    <n v="0"/>
    <n v="0"/>
    <n v="21"/>
    <n v="0"/>
    <n v="0"/>
    <n v="0"/>
    <n v="0"/>
    <n v="21"/>
    <n v="0"/>
    <n v="0"/>
    <n v="0"/>
    <n v="0"/>
    <n v="0"/>
    <n v="0"/>
    <n v="21"/>
    <n v="0"/>
    <n v="0"/>
    <n v="0"/>
    <n v="0"/>
    <n v="0"/>
    <n v="0"/>
    <n v="0"/>
    <m/>
    <m/>
    <m/>
    <m/>
    <m/>
    <m/>
    <m/>
    <m/>
    <s v="1"/>
    <s v="1"/>
    <s v="1"/>
    <s v="1"/>
    <s v="0"/>
    <m/>
    <m/>
    <m/>
    <m/>
    <m/>
    <m/>
    <m/>
    <m/>
    <m/>
    <m/>
    <m/>
    <m/>
    <m/>
    <m/>
  </r>
  <r>
    <n v="742"/>
    <d v="2025-03-17T00:00:00"/>
    <s v="ZBTO"/>
    <n v="9518606598"/>
    <n v="4"/>
    <s v="9518606598-4"/>
    <s v="No Priority"/>
    <x v="0"/>
    <m/>
    <x v="1"/>
    <x v="1"/>
    <s v="2000-BPRS"/>
    <m/>
    <x v="0"/>
    <m/>
    <m/>
    <s v="Andhra Pradesh"/>
    <s v="South"/>
    <s v="VISHAKHAPATNAM"/>
    <s v="Coil"/>
    <n v="946077"/>
    <x v="8"/>
    <n v="1804854"/>
    <s v="CRCA COIL-TATXXD-AU03-1.2X1250"/>
    <s v=" "/>
    <s v=""/>
    <n v="8"/>
    <n v="29"/>
    <s v="Wider"/>
    <s v="C01"/>
    <s v="TATXXD"/>
    <s v="AU03"/>
    <n v="1.2"/>
    <n v="1250"/>
    <n v="0"/>
    <n v="29"/>
    <n v="0"/>
    <n v="29"/>
    <n v="1.49"/>
    <n v="0"/>
    <n v="3.2650000000000001"/>
    <n v="0"/>
    <n v="0"/>
    <n v="0"/>
    <n v="0"/>
    <n v="0"/>
    <n v="0"/>
    <n v="0"/>
    <n v="0"/>
    <n v="0"/>
    <n v="0"/>
    <n v="0"/>
    <n v="0"/>
    <n v="0"/>
    <n v="0"/>
    <n v="0"/>
    <n v="0"/>
    <n v="0"/>
    <n v="0"/>
    <n v="0"/>
    <n v="0"/>
    <n v="0"/>
    <n v="0"/>
    <n v="0"/>
    <n v="0"/>
    <n v="0"/>
    <n v="29"/>
    <n v="0"/>
    <n v="0"/>
    <n v="29"/>
    <n v="0"/>
    <n v="0"/>
    <n v="29"/>
    <n v="0"/>
    <n v="0"/>
    <n v="0"/>
    <n v="29"/>
    <n v="0"/>
    <n v="0"/>
    <n v="0"/>
    <n v="0"/>
    <n v="0"/>
    <n v="0"/>
    <n v="0"/>
    <n v="0"/>
    <n v="0"/>
    <m/>
    <m/>
    <m/>
    <m/>
    <m/>
    <m/>
    <m/>
    <m/>
    <s v="1"/>
    <s v="1"/>
    <s v="0"/>
    <s v="1"/>
    <s v="1"/>
    <m/>
    <m/>
    <m/>
    <m/>
    <m/>
    <m/>
    <m/>
    <m/>
    <m/>
    <m/>
    <m/>
    <m/>
    <m/>
    <m/>
  </r>
  <r>
    <n v="742"/>
    <d v="2025-03-17T00:00:00"/>
    <s v="ZBTO"/>
    <n v="9518606598"/>
    <n v="5"/>
    <s v="9518606598-5"/>
    <s v="No Priority"/>
    <x v="0"/>
    <m/>
    <x v="1"/>
    <x v="1"/>
    <s v="2000-BPRS"/>
    <m/>
    <x v="0"/>
    <m/>
    <s v="Exp BTF &lt;17MT"/>
    <s v="Andhra Pradesh"/>
    <s v="South"/>
    <s v="VISHAKHAPATNAM"/>
    <s v="Coil"/>
    <n v="946077"/>
    <x v="8"/>
    <n v="2334995"/>
    <s v="CRCA COIL TATXXD AU03 1.500X1250"/>
    <s v=" "/>
    <s v=""/>
    <n v="8"/>
    <n v="29"/>
    <s v="Wider"/>
    <s v="C01"/>
    <s v="TATXXD"/>
    <s v="AU03"/>
    <n v="1.5"/>
    <n v="1250"/>
    <n v="0"/>
    <n v="29"/>
    <n v="0"/>
    <n v="29"/>
    <n v="4.72"/>
    <n v="29"/>
    <n v="7.38"/>
    <n v="0"/>
    <n v="0"/>
    <n v="0"/>
    <n v="0"/>
    <n v="0"/>
    <n v="0"/>
    <n v="0"/>
    <n v="0"/>
    <n v="0"/>
    <n v="0"/>
    <n v="0"/>
    <n v="0"/>
    <n v="0"/>
    <n v="0"/>
    <n v="0"/>
    <n v="0"/>
    <n v="0"/>
    <n v="0"/>
    <n v="0"/>
    <n v="0"/>
    <n v="0"/>
    <n v="0"/>
    <n v="0"/>
    <n v="0"/>
    <n v="0"/>
    <n v="29"/>
    <n v="0"/>
    <n v="0"/>
    <n v="0"/>
    <n v="0"/>
    <n v="29"/>
    <n v="0"/>
    <n v="0"/>
    <n v="0"/>
    <n v="0"/>
    <n v="0"/>
    <n v="0"/>
    <n v="29"/>
    <n v="0"/>
    <n v="0"/>
    <n v="0"/>
    <n v="0"/>
    <n v="0"/>
    <n v="0"/>
    <n v="0"/>
    <m/>
    <m/>
    <m/>
    <m/>
    <m/>
    <m/>
    <m/>
    <m/>
    <s v="1"/>
    <s v="1"/>
    <s v="1"/>
    <s v="1"/>
    <s v="0"/>
    <m/>
    <m/>
    <m/>
    <m/>
    <m/>
    <m/>
    <m/>
    <m/>
    <m/>
    <m/>
    <m/>
    <m/>
    <m/>
    <m/>
  </r>
  <r>
    <n v="743"/>
    <d v="2025-03-04T00:00:00"/>
    <s v="ZBTO"/>
    <n v="9518572384"/>
    <n v="1"/>
    <s v="9518572384-1"/>
    <s v="No Priority"/>
    <x v="0"/>
    <m/>
    <x v="3"/>
    <x v="9"/>
    <s v="2000-BPRS"/>
    <m/>
    <x v="0"/>
    <m/>
    <m/>
    <s v="Jharkhand"/>
    <s v="East"/>
    <s v="BOKARO STEEL CY"/>
    <s v="Coil"/>
    <n v="121328"/>
    <x v="10"/>
    <n v="1178439"/>
    <s v="GP COIL SOFT-TATXGP-GK09-0.4X900"/>
    <s v="Z80"/>
    <s v=""/>
    <n v="4"/>
    <n v="12"/>
    <s v="Narrow"/>
    <s v="C02"/>
    <s v="TATXGP"/>
    <s v="GK09"/>
    <n v="0.4"/>
    <n v="900"/>
    <n v="0"/>
    <n v="84"/>
    <n v="0"/>
    <n v="84"/>
    <n v="3.0449999999999999"/>
    <n v="83.5"/>
    <n v="8.4"/>
    <n v="0"/>
    <n v="0"/>
    <n v="0"/>
    <n v="0"/>
    <n v="0"/>
    <n v="0"/>
    <n v="0.5"/>
    <n v="0"/>
    <n v="0"/>
    <n v="0"/>
    <n v="0"/>
    <n v="0"/>
    <n v="0"/>
    <n v="0"/>
    <n v="0"/>
    <n v="0"/>
    <n v="0"/>
    <n v="0"/>
    <n v="0"/>
    <n v="0.5"/>
    <n v="0.5"/>
    <n v="0"/>
    <n v="0.5"/>
    <n v="0"/>
    <n v="0"/>
    <n v="84"/>
    <n v="0"/>
    <n v="0"/>
    <n v="0"/>
    <n v="84"/>
    <n v="0"/>
    <n v="84"/>
    <n v="0"/>
    <n v="0"/>
    <n v="0"/>
    <n v="84"/>
    <n v="0"/>
    <n v="0"/>
    <n v="0"/>
    <n v="0"/>
    <n v="0"/>
    <n v="0"/>
    <n v="0"/>
    <n v="0"/>
    <n v="0"/>
    <m/>
    <m/>
    <m/>
    <m/>
    <m/>
    <m/>
    <m/>
    <m/>
    <s v="1"/>
    <s v="1"/>
    <s v="1"/>
    <s v="0"/>
    <s v="1"/>
    <m/>
    <m/>
    <m/>
    <m/>
    <m/>
    <m/>
    <m/>
    <m/>
    <m/>
    <m/>
    <m/>
    <m/>
    <m/>
    <m/>
  </r>
  <r>
    <n v="742"/>
    <d v="2025-03-06T00:00:00"/>
    <s v="ZBTO"/>
    <n v="9518578782"/>
    <n v="6"/>
    <s v="9518578782-6"/>
    <s v="Apr'25 "/>
    <x v="0"/>
    <m/>
    <x v="1"/>
    <x v="1"/>
    <s v="2000-BPRS"/>
    <m/>
    <x v="1"/>
    <m/>
    <m/>
    <s v="Tamil Nadu"/>
    <s v="South"/>
    <s v="PATTANCHERY"/>
    <s v="Coil"/>
    <n v="939422"/>
    <x v="35"/>
    <n v="215066"/>
    <s v="CRSHEET-ICF  DQ TATXXD AU03 0.90 X 1220"/>
    <s v=" "/>
    <s v=""/>
    <n v="10"/>
    <n v="30"/>
    <s v="Wider"/>
    <s v="C01"/>
    <s v="TATXXD"/>
    <s v="AU03"/>
    <n v="0.9"/>
    <n v="1220"/>
    <n v="0"/>
    <n v="28"/>
    <n v="0"/>
    <n v="28"/>
    <n v="28"/>
    <n v="28"/>
    <n v="2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6T00:00:00"/>
    <s v="ZBTO"/>
    <n v="9518578782"/>
    <n v="8"/>
    <s v="9518578782-8"/>
    <s v="Apr'25 "/>
    <x v="0"/>
    <m/>
    <x v="1"/>
    <x v="1"/>
    <s v="2000-BPRS"/>
    <m/>
    <x v="1"/>
    <m/>
    <m/>
    <s v="Tamil Nadu"/>
    <s v="South"/>
    <s v="PATTANCHERY"/>
    <s v="Coil"/>
    <n v="939422"/>
    <x v="35"/>
    <n v="223287"/>
    <s v="CRSHEET-ICF  DQ TATXXD AU03 1.00 X 1220"/>
    <s v=" "/>
    <s v=""/>
    <n v="10"/>
    <n v="30"/>
    <s v="Wider"/>
    <s v="C01"/>
    <s v="TATXXD"/>
    <s v="AU03"/>
    <n v="1"/>
    <n v="1220"/>
    <n v="0"/>
    <n v="56"/>
    <n v="0"/>
    <n v="56"/>
    <n v="56"/>
    <n v="56"/>
    <n v="56"/>
    <n v="0"/>
    <n v="0"/>
    <n v="0"/>
    <n v="0"/>
    <n v="0"/>
    <n v="0"/>
    <n v="0"/>
    <n v="0"/>
    <n v="0"/>
    <n v="0"/>
    <n v="0"/>
    <n v="0"/>
    <n v="0"/>
    <n v="0"/>
    <n v="0"/>
    <n v="0"/>
    <n v="0"/>
    <n v="0"/>
    <n v="0"/>
    <n v="0"/>
    <n v="0"/>
    <n v="0"/>
    <n v="0"/>
    <n v="0"/>
    <n v="0"/>
    <n v="56"/>
    <n v="0"/>
    <n v="0"/>
    <n v="0"/>
    <n v="56"/>
    <n v="0"/>
    <n v="56"/>
    <n v="0"/>
    <n v="0"/>
    <n v="0"/>
    <n v="56"/>
    <n v="0"/>
    <n v="0"/>
    <n v="0"/>
    <n v="0"/>
    <n v="0"/>
    <n v="0"/>
    <n v="0"/>
    <n v="0"/>
    <n v="0"/>
    <m/>
    <m/>
    <m/>
    <m/>
    <m/>
    <m/>
    <m/>
    <m/>
    <s v="1"/>
    <s v="1"/>
    <s v="1"/>
    <s v="0"/>
    <s v="1"/>
    <m/>
    <m/>
    <m/>
    <m/>
    <m/>
    <m/>
    <m/>
    <m/>
    <m/>
    <m/>
    <m/>
    <m/>
    <m/>
    <m/>
  </r>
  <r>
    <n v="744"/>
    <d v="2025-03-06T00:00:00"/>
    <s v="ZBTO"/>
    <n v="9518579956"/>
    <n v="1"/>
    <s v="9518579956-1"/>
    <s v="Apr'25 "/>
    <x v="0"/>
    <m/>
    <x v="2"/>
    <x v="3"/>
    <s v="1000-IPPE"/>
    <m/>
    <x v="1"/>
    <m/>
    <m/>
    <s v="TBSPL"/>
    <s v="TBSPL"/>
    <s v="TBSPL"/>
    <s v="Coil"/>
    <n v="941597"/>
    <x v="6"/>
    <n v="3858001"/>
    <s v="PPGL C Y550 HPL9 0.45BMT(0.57TPT)X1220"/>
    <s v="AZ200"/>
    <s v="ELITE STONE BLUE TSL 1688"/>
    <n v="3"/>
    <n v="5"/>
    <s v="Wider"/>
    <s v="B18"/>
    <s v="Y550PL"/>
    <s v="HPL9"/>
    <n v="0.45"/>
    <n v="1220"/>
    <n v="0"/>
    <n v="56"/>
    <n v="0"/>
    <n v="56"/>
    <n v="56"/>
    <n v="-1.3299999999999983"/>
    <n v="56"/>
    <n v="0"/>
    <n v="57.33"/>
    <n v="0"/>
    <n v="0"/>
    <n v="0"/>
    <n v="0"/>
    <n v="0"/>
    <n v="0"/>
    <n v="0"/>
    <n v="0"/>
    <n v="0"/>
    <n v="0"/>
    <n v="0"/>
    <n v="0"/>
    <n v="0"/>
    <n v="0"/>
    <n v="0"/>
    <n v="0"/>
    <n v="0"/>
    <n v="57.33"/>
    <n v="57.33"/>
    <n v="0"/>
    <n v="57.33"/>
    <n v="0"/>
    <n v="0"/>
    <n v="56"/>
    <n v="0"/>
    <n v="0"/>
    <n v="0"/>
    <n v="0"/>
    <n v="56"/>
    <n v="0"/>
    <n v="0"/>
    <n v="0"/>
    <n v="0"/>
    <n v="0"/>
    <n v="0"/>
    <n v="56"/>
    <n v="0"/>
    <n v="0"/>
    <n v="0"/>
    <n v="0"/>
    <n v="0"/>
    <n v="0"/>
    <n v="0"/>
    <m/>
    <m/>
    <m/>
    <m/>
    <m/>
    <m/>
    <m/>
    <m/>
    <s v="1"/>
    <s v="1"/>
    <s v="1"/>
    <s v="1"/>
    <s v="0"/>
    <m/>
    <m/>
    <m/>
    <m/>
    <m/>
    <m/>
    <m/>
    <m/>
    <m/>
    <m/>
    <m/>
    <m/>
    <m/>
    <m/>
  </r>
  <r>
    <n v="742"/>
    <d v="2025-02-14T00:00:00"/>
    <s v="ZBTO"/>
    <n v="9518519930"/>
    <n v="6"/>
    <s v="9518519930-6"/>
    <s v="Apr'25 "/>
    <x v="0"/>
    <m/>
    <x v="1"/>
    <x v="1"/>
    <s v="2000-BPRS"/>
    <m/>
    <x v="1"/>
    <m/>
    <m/>
    <s v="Punjab"/>
    <s v="North"/>
    <s v="SANHEWAL"/>
    <s v="Coil"/>
    <n v="936997"/>
    <x v="51"/>
    <n v="2356622"/>
    <s v="CRCA COIL TATXXD AU03 1.200X900"/>
    <s v=" "/>
    <s v=""/>
    <n v="10"/>
    <n v="28"/>
    <s v="Narrow"/>
    <s v="C01"/>
    <s v="TATXXD"/>
    <s v="AU03"/>
    <n v="1.2"/>
    <n v="900"/>
    <n v="0"/>
    <n v="21"/>
    <n v="0"/>
    <n v="21"/>
    <n v="21"/>
    <n v="21"/>
    <n v="2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4T00:00:00"/>
    <s v="ZBTO"/>
    <n v="9518519688"/>
    <n v="1"/>
    <s v="9518519688-1"/>
    <s v="No Priority"/>
    <x v="0"/>
    <m/>
    <x v="0"/>
    <x v="0"/>
    <s v="2000-BPRS"/>
    <m/>
    <x v="0"/>
    <m/>
    <m/>
    <s v="Karnataka"/>
    <s v="South"/>
    <s v="YESHWANTHPURA"/>
    <s v="Coil"/>
    <n v="932179"/>
    <x v="45"/>
    <n v="1424552"/>
    <s v="HR COILS-PO IS 1079 HR2 2.01X1250"/>
    <s v=" "/>
    <s v=""/>
    <n v="17"/>
    <n v="27.5"/>
    <s v="Wider"/>
    <n v="768"/>
    <s v="THR099"/>
    <s v="HR99"/>
    <n v="2.0099999999999998"/>
    <n v="1250"/>
    <n v="0"/>
    <n v="75"/>
    <n v="0"/>
    <n v="75"/>
    <n v="75"/>
    <n v="0"/>
    <n v="9.44"/>
    <n v="0"/>
    <n v="0"/>
    <n v="0"/>
    <n v="0"/>
    <n v="0"/>
    <n v="0"/>
    <n v="0"/>
    <n v="0"/>
    <n v="0"/>
    <n v="0"/>
    <n v="0"/>
    <n v="0"/>
    <n v="0"/>
    <n v="0"/>
    <n v="0"/>
    <n v="0"/>
    <n v="0"/>
    <n v="0"/>
    <n v="0"/>
    <n v="0"/>
    <n v="0"/>
    <n v="75"/>
    <n v="75"/>
    <n v="0"/>
    <n v="0"/>
    <n v="75"/>
    <n v="0"/>
    <n v="0"/>
    <n v="0"/>
    <n v="75"/>
    <n v="0"/>
    <n v="75"/>
    <n v="0"/>
    <n v="0"/>
    <n v="0"/>
    <n v="75"/>
    <n v="0"/>
    <n v="0"/>
    <n v="0"/>
    <n v="0"/>
    <n v="0"/>
    <n v="0"/>
    <n v="0"/>
    <n v="0"/>
    <n v="0"/>
    <m/>
    <m/>
    <m/>
    <m/>
    <m/>
    <m/>
    <m/>
    <m/>
    <s v="1"/>
    <s v="1"/>
    <s v="1"/>
    <s v="0"/>
    <s v="1"/>
    <m/>
    <m/>
    <m/>
    <m/>
    <m/>
    <m/>
    <m/>
    <m/>
    <m/>
    <m/>
    <m/>
    <m/>
    <m/>
    <m/>
  </r>
  <r>
    <n v="742"/>
    <d v="2025-01-27T00:00:00"/>
    <s v="ZBTO"/>
    <n v="9518467189"/>
    <n v="2"/>
    <s v="9518467189-2"/>
    <s v="No Priority"/>
    <x v="0"/>
    <m/>
    <x v="0"/>
    <x v="0"/>
    <s v="2000-BPRS"/>
    <m/>
    <x v="0"/>
    <m/>
    <m/>
    <s v="Karnataka"/>
    <s v="South"/>
    <s v="YESHWANTHPURA"/>
    <s v="Coil"/>
    <n v="932179"/>
    <x v="45"/>
    <n v="1296288"/>
    <s v="HR COILS-PO IS 1079 HR2 3X1500"/>
    <s v=" "/>
    <s v=""/>
    <n v="15"/>
    <n v="35"/>
    <s v="Wider"/>
    <n v="768"/>
    <s v="THR099"/>
    <s v="HR99"/>
    <n v="3"/>
    <n v="1500"/>
    <n v="0"/>
    <n v="60"/>
    <n v="0"/>
    <n v="60"/>
    <n v="60"/>
    <n v="60"/>
    <n v="0"/>
    <n v="0"/>
    <n v="0"/>
    <n v="0"/>
    <n v="0"/>
    <n v="0"/>
    <n v="0"/>
    <n v="0"/>
    <n v="0"/>
    <n v="0"/>
    <n v="0"/>
    <n v="0"/>
    <n v="0"/>
    <n v="0"/>
    <n v="0"/>
    <n v="0"/>
    <n v="0"/>
    <n v="0"/>
    <n v="0"/>
    <n v="0"/>
    <n v="0"/>
    <n v="0"/>
    <n v="0"/>
    <n v="0"/>
    <n v="0"/>
    <n v="0"/>
    <n v="60"/>
    <n v="0"/>
    <n v="0"/>
    <n v="60"/>
    <n v="0"/>
    <n v="0"/>
    <n v="60"/>
    <n v="0"/>
    <n v="0"/>
    <n v="60"/>
    <n v="0"/>
    <n v="0"/>
    <n v="0"/>
    <n v="0"/>
    <n v="0"/>
    <n v="0"/>
    <n v="0"/>
    <n v="0"/>
    <n v="0"/>
    <n v="0"/>
    <m/>
    <m/>
    <m/>
    <m/>
    <m/>
    <m/>
    <m/>
    <m/>
    <s v="1"/>
    <s v="1"/>
    <s v="0"/>
    <s v="1"/>
    <s v="1"/>
    <m/>
    <m/>
    <m/>
    <m/>
    <m/>
    <m/>
    <m/>
    <m/>
    <m/>
    <m/>
    <m/>
    <m/>
    <m/>
    <m/>
  </r>
  <r>
    <n v="742"/>
    <d v="2025-01-27T00:00:00"/>
    <s v="ZBTO"/>
    <n v="9518467189"/>
    <n v="3"/>
    <s v="9518467189-3"/>
    <s v="No Priority"/>
    <x v="0"/>
    <m/>
    <x v="0"/>
    <x v="0"/>
    <s v="2000-BPRS"/>
    <m/>
    <x v="0"/>
    <m/>
    <m/>
    <s v="Karnataka"/>
    <s v="South"/>
    <s v="YESHWANTHPURA"/>
    <s v="Coil"/>
    <n v="932179"/>
    <x v="45"/>
    <n v="1294723"/>
    <s v="HR COILS-PO IS 1079 HR2 3.15X1500"/>
    <s v=" "/>
    <s v=""/>
    <n v="15"/>
    <n v="35"/>
    <s v="Wider"/>
    <n v="768"/>
    <s v="THR099"/>
    <s v="HR99"/>
    <n v="3.15"/>
    <n v="1500"/>
    <n v="0"/>
    <n v="60"/>
    <n v="0"/>
    <n v="60"/>
    <n v="60"/>
    <n v="10"/>
    <n v="0"/>
    <n v="0"/>
    <n v="0"/>
    <n v="0"/>
    <n v="0"/>
    <n v="0"/>
    <n v="0"/>
    <n v="0"/>
    <n v="0"/>
    <n v="0"/>
    <n v="0"/>
    <n v="0"/>
    <n v="0"/>
    <n v="0"/>
    <n v="0"/>
    <n v="0"/>
    <n v="0"/>
    <n v="0"/>
    <n v="0"/>
    <n v="0"/>
    <n v="0"/>
    <n v="50"/>
    <n v="0"/>
    <n v="50"/>
    <n v="-50"/>
    <n v="0"/>
    <n v="60"/>
    <n v="0"/>
    <n v="0"/>
    <n v="60"/>
    <n v="0"/>
    <n v="0"/>
    <n v="60"/>
    <n v="0"/>
    <n v="0"/>
    <n v="60"/>
    <n v="0"/>
    <n v="0"/>
    <n v="0"/>
    <n v="0"/>
    <n v="0"/>
    <n v="0"/>
    <n v="0"/>
    <n v="0"/>
    <n v="0"/>
    <n v="0"/>
    <m/>
    <m/>
    <m/>
    <m/>
    <m/>
    <m/>
    <m/>
    <m/>
    <s v="1"/>
    <s v="1"/>
    <s v="0"/>
    <s v="1"/>
    <s v="1"/>
    <m/>
    <m/>
    <m/>
    <m/>
    <m/>
    <m/>
    <m/>
    <m/>
    <m/>
    <m/>
    <m/>
    <m/>
    <m/>
    <m/>
  </r>
  <r>
    <n v="742"/>
    <d v="2025-03-11T00:00:00"/>
    <s v="ZBTO"/>
    <n v="9518591869"/>
    <n v="11"/>
    <s v="9518591869-11"/>
    <s v="No Priority"/>
    <x v="0"/>
    <m/>
    <x v="1"/>
    <x v="1"/>
    <s v="2000-BPRS"/>
    <m/>
    <x v="0"/>
    <m/>
    <s v="Exp BTF &lt;17MT"/>
    <s v="Delhi"/>
    <s v="North"/>
    <s v="FARIDABAD"/>
    <s v="Coil"/>
    <n v="936527"/>
    <x v="52"/>
    <n v="2193599"/>
    <s v="CRCA COIL TATXXD AU03 1.400X1250"/>
    <s v=" "/>
    <s v=""/>
    <n v="10"/>
    <n v="30"/>
    <s v="Wider"/>
    <s v="C01"/>
    <s v="TATXXD"/>
    <s v="AU03"/>
    <n v="1.4"/>
    <n v="1250"/>
    <n v="0"/>
    <n v="58"/>
    <n v="0"/>
    <n v="58"/>
    <n v="8.4700000000000006"/>
    <n v="58"/>
    <n v="0"/>
    <n v="0"/>
    <n v="0"/>
    <n v="0"/>
    <n v="0"/>
    <n v="0"/>
    <n v="0"/>
    <n v="0"/>
    <n v="0"/>
    <n v="0"/>
    <n v="0"/>
    <n v="0"/>
    <n v="0"/>
    <n v="0"/>
    <n v="0"/>
    <n v="0"/>
    <n v="0"/>
    <n v="0"/>
    <n v="0"/>
    <n v="0"/>
    <n v="0"/>
    <n v="0"/>
    <n v="0"/>
    <n v="0"/>
    <n v="0"/>
    <n v="0"/>
    <n v="58"/>
    <n v="0"/>
    <n v="0"/>
    <n v="0"/>
    <n v="0"/>
    <n v="58"/>
    <n v="0"/>
    <n v="0"/>
    <n v="0"/>
    <n v="0"/>
    <n v="0"/>
    <n v="0"/>
    <n v="58"/>
    <n v="0"/>
    <n v="0"/>
    <n v="0"/>
    <n v="0"/>
    <n v="0"/>
    <n v="0"/>
    <n v="0"/>
    <m/>
    <m/>
    <m/>
    <m/>
    <m/>
    <m/>
    <m/>
    <m/>
    <s v="1"/>
    <s v="1"/>
    <s v="1"/>
    <s v="1"/>
    <s v="0"/>
    <m/>
    <m/>
    <m/>
    <m/>
    <m/>
    <m/>
    <m/>
    <m/>
    <m/>
    <m/>
    <m/>
    <m/>
    <m/>
    <m/>
  </r>
  <r>
    <n v="742"/>
    <d v="2025-01-10T00:00:00"/>
    <s v="ZBTO"/>
    <n v="9518420076"/>
    <n v="1"/>
    <s v="9518420076-1"/>
    <s v="No Priority"/>
    <x v="0"/>
    <m/>
    <x v="0"/>
    <x v="0"/>
    <s v="2000-BPRS"/>
    <m/>
    <x v="0"/>
    <m/>
    <m/>
    <s v="Telangana"/>
    <s v="South"/>
    <s v="PATTANCHERY"/>
    <s v="Coil"/>
    <n v="946441"/>
    <x v="53"/>
    <n v="1252834"/>
    <s v="HR COILS-PO IS 1079 HR2 3.0X1250"/>
    <s v=" "/>
    <s v=""/>
    <n v="17"/>
    <n v="27.5"/>
    <s v="Wider"/>
    <n v="768"/>
    <s v="THR099"/>
    <s v="HR99"/>
    <n v="3"/>
    <n v="1250"/>
    <n v="0"/>
    <n v="25"/>
    <n v="0"/>
    <n v="25"/>
    <n v="0.19"/>
    <n v="0"/>
    <n v="0"/>
    <n v="0"/>
    <n v="0"/>
    <n v="0"/>
    <n v="0"/>
    <n v="0"/>
    <n v="0"/>
    <n v="0"/>
    <n v="0"/>
    <n v="0"/>
    <n v="0"/>
    <n v="0"/>
    <n v="0"/>
    <n v="0"/>
    <n v="0"/>
    <n v="0"/>
    <n v="0"/>
    <n v="0"/>
    <n v="0"/>
    <n v="0"/>
    <n v="0"/>
    <n v="0"/>
    <n v="0"/>
    <n v="0"/>
    <n v="0"/>
    <n v="0"/>
    <n v="25"/>
    <n v="0"/>
    <n v="25"/>
    <n v="0"/>
    <n v="0"/>
    <n v="0"/>
    <n v="25"/>
    <n v="0"/>
    <n v="0"/>
    <n v="25"/>
    <n v="0"/>
    <n v="0"/>
    <n v="0"/>
    <n v="0"/>
    <n v="0"/>
    <n v="0"/>
    <n v="0"/>
    <n v="0"/>
    <n v="0"/>
    <n v="0"/>
    <m/>
    <m/>
    <m/>
    <m/>
    <m/>
    <m/>
    <m/>
    <m/>
    <s v="1"/>
    <s v="0"/>
    <s v="1"/>
    <s v="1"/>
    <s v="1"/>
    <m/>
    <m/>
    <m/>
    <m/>
    <m/>
    <m/>
    <m/>
    <m/>
    <m/>
    <m/>
    <m/>
    <m/>
    <m/>
    <m/>
  </r>
  <r>
    <n v="742"/>
    <d v="2025-01-06T00:00:00"/>
    <s v="ZBTO"/>
    <n v="9518407284"/>
    <n v="10"/>
    <s v="9518407284-10"/>
    <s v="No Priority"/>
    <x v="0"/>
    <m/>
    <x v="1"/>
    <x v="2"/>
    <s v="2000-BPRS"/>
    <m/>
    <x v="0"/>
    <m/>
    <m/>
    <s v="Tamil Nadu"/>
    <s v="South"/>
    <s v="CHENNAI"/>
    <s v="Sheet"/>
    <n v="116465"/>
    <x v="13"/>
    <n v="3240756"/>
    <s v="CRCA SHEET TSBCRC SR15 0.500X1000X1980"/>
    <s v=" "/>
    <s v=""/>
    <n v="0"/>
    <n v="0"/>
    <s v="Narrow"/>
    <s v="C06"/>
    <s v="TSBCRC"/>
    <s v="SR15"/>
    <n v="0.5"/>
    <n v="1000"/>
    <n v="1980"/>
    <n v="24"/>
    <n v="0"/>
    <n v="24"/>
    <n v="0.85"/>
    <n v="0"/>
    <n v="0"/>
    <n v="0"/>
    <n v="0"/>
    <n v="0"/>
    <n v="0"/>
    <n v="0"/>
    <n v="0"/>
    <n v="0"/>
    <n v="0"/>
    <n v="0"/>
    <n v="0"/>
    <n v="0"/>
    <n v="0"/>
    <n v="0"/>
    <n v="0"/>
    <n v="0"/>
    <n v="0"/>
    <n v="0"/>
    <n v="0"/>
    <n v="0"/>
    <n v="0"/>
    <n v="0"/>
    <n v="0"/>
    <n v="0"/>
    <n v="0"/>
    <n v="0"/>
    <n v="24"/>
    <n v="0"/>
    <n v="0"/>
    <n v="0"/>
    <n v="24"/>
    <n v="0"/>
    <n v="24"/>
    <n v="0"/>
    <n v="0"/>
    <n v="0"/>
    <n v="0"/>
    <n v="24"/>
    <n v="0"/>
    <n v="0"/>
    <n v="0"/>
    <n v="0"/>
    <n v="0"/>
    <n v="0"/>
    <n v="0"/>
    <n v="0"/>
    <m/>
    <m/>
    <m/>
    <m/>
    <m/>
    <m/>
    <m/>
    <m/>
    <s v="1"/>
    <s v="1"/>
    <s v="1"/>
    <s v="0"/>
    <s v="1"/>
    <m/>
    <m/>
    <m/>
    <m/>
    <m/>
    <m/>
    <m/>
    <m/>
    <m/>
    <m/>
    <m/>
    <m/>
    <m/>
    <m/>
  </r>
  <r>
    <n v="742"/>
    <d v="2025-01-21T00:00:00"/>
    <s v="ZBTO"/>
    <n v="9518446197"/>
    <n v="1"/>
    <s v="9518446197-1"/>
    <s v="No Priority"/>
    <x v="0"/>
    <m/>
    <x v="1"/>
    <x v="12"/>
    <s v="2000-BPRS"/>
    <m/>
    <x v="0"/>
    <m/>
    <m/>
    <s v="Telangana"/>
    <s v="South"/>
    <s v="SANGAREDDY"/>
    <s v="Coil"/>
    <n v="947126"/>
    <x v="22"/>
    <n v="3587949"/>
    <s v="CR COIL TSBSTA EL06 0.500X1250"/>
    <s v=" "/>
    <s v=""/>
    <n v="18"/>
    <n v="30"/>
    <s v="Wider"/>
    <s v="C01"/>
    <s v="TSBSTA"/>
    <s v="EL06"/>
    <n v="0.5"/>
    <n v="1250"/>
    <n v="0"/>
    <n v="87"/>
    <n v="25.734999999999999"/>
    <n v="61.265000000000001"/>
    <n v="8.5850000000000009"/>
    <n v="61.265000000000001"/>
    <n v="0"/>
    <n v="0"/>
    <n v="0"/>
    <n v="0"/>
    <n v="0"/>
    <n v="0"/>
    <n v="0"/>
    <n v="0"/>
    <n v="0"/>
    <n v="0"/>
    <n v="0"/>
    <n v="0"/>
    <n v="0"/>
    <n v="0"/>
    <n v="0"/>
    <n v="0"/>
    <n v="0"/>
    <n v="0"/>
    <n v="0"/>
    <n v="0"/>
    <n v="0"/>
    <n v="0"/>
    <n v="0"/>
    <n v="0"/>
    <n v="0"/>
    <n v="0"/>
    <n v="87"/>
    <n v="0"/>
    <n v="0"/>
    <n v="87"/>
    <n v="0"/>
    <n v="0"/>
    <n v="87"/>
    <n v="0"/>
    <n v="0"/>
    <n v="0"/>
    <n v="87"/>
    <n v="0"/>
    <n v="0"/>
    <n v="0"/>
    <n v="0"/>
    <n v="0"/>
    <n v="0"/>
    <n v="0"/>
    <n v="0"/>
    <n v="0"/>
    <m/>
    <m/>
    <m/>
    <m/>
    <m/>
    <m/>
    <m/>
    <m/>
    <s v="1"/>
    <s v="1"/>
    <s v="0"/>
    <s v="1"/>
    <s v="1"/>
    <m/>
    <m/>
    <m/>
    <m/>
    <m/>
    <m/>
    <m/>
    <m/>
    <m/>
    <m/>
    <m/>
    <m/>
    <m/>
    <m/>
  </r>
  <r>
    <n v="742"/>
    <d v="2025-03-18T00:00:00"/>
    <s v="ZBTO"/>
    <n v="9518610746"/>
    <n v="2"/>
    <s v="9518610746-2"/>
    <s v="No Priority"/>
    <x v="0"/>
    <m/>
    <x v="1"/>
    <x v="1"/>
    <s v="2000-BPRS"/>
    <m/>
    <x v="0"/>
    <m/>
    <s v="Exp BTF &lt;17MT"/>
    <s v="Punjab"/>
    <s v="North"/>
    <s v="SANHEWAL"/>
    <s v="Coil"/>
    <n v="936997"/>
    <x v="51"/>
    <n v="1804826"/>
    <s v="CRCA COIL-TATXXD-AU03-0.9X1250"/>
    <s v=" "/>
    <s v=""/>
    <n v="15"/>
    <n v="30"/>
    <s v="Wider"/>
    <s v="C01"/>
    <s v="TATXXD"/>
    <s v="AU03"/>
    <n v="0.9"/>
    <n v="1250"/>
    <n v="0"/>
    <n v="58"/>
    <n v="25.9"/>
    <n v="32.1"/>
    <n v="4.5199999999999996"/>
    <n v="32.1"/>
    <n v="6"/>
    <n v="0"/>
    <n v="0"/>
    <n v="0"/>
    <n v="0"/>
    <n v="0"/>
    <n v="0"/>
    <n v="0"/>
    <n v="0"/>
    <n v="0"/>
    <n v="0"/>
    <n v="0"/>
    <n v="0"/>
    <n v="0"/>
    <n v="0"/>
    <n v="0"/>
    <n v="0"/>
    <n v="0"/>
    <n v="0"/>
    <n v="0"/>
    <n v="0"/>
    <n v="0"/>
    <n v="0"/>
    <n v="0"/>
    <n v="0"/>
    <n v="0"/>
    <n v="58"/>
    <n v="0"/>
    <n v="0"/>
    <n v="0"/>
    <n v="0"/>
    <n v="58"/>
    <n v="0"/>
    <n v="0"/>
    <n v="0"/>
    <n v="0"/>
    <n v="0"/>
    <n v="0"/>
    <n v="58"/>
    <n v="0"/>
    <n v="0"/>
    <n v="0"/>
    <n v="0"/>
    <n v="0"/>
    <n v="0"/>
    <n v="0"/>
    <m/>
    <m/>
    <m/>
    <m/>
    <m/>
    <m/>
    <m/>
    <m/>
    <s v="1"/>
    <s v="1"/>
    <s v="1"/>
    <s v="1"/>
    <s v="0"/>
    <m/>
    <m/>
    <m/>
    <m/>
    <m/>
    <m/>
    <m/>
    <m/>
    <m/>
    <m/>
    <m/>
    <m/>
    <m/>
    <m/>
  </r>
  <r>
    <n v="742"/>
    <d v="2025-01-16T00:00:00"/>
    <s v="ZBTO"/>
    <n v="9518433421"/>
    <n v="20"/>
    <s v="9518433421-20"/>
    <s v="No Priority"/>
    <x v="0"/>
    <m/>
    <x v="1"/>
    <x v="2"/>
    <s v="2000-BPRS"/>
    <m/>
    <x v="0"/>
    <m/>
    <m/>
    <s v="Tamil Nadu"/>
    <s v="South"/>
    <s v="CHENNAI"/>
    <s v="Sheet"/>
    <n v="938550"/>
    <x v="4"/>
    <n v="3239564"/>
    <s v="CRCA SHEET TATCRC SR16 0.450X1000X1980"/>
    <s v=" "/>
    <s v=""/>
    <n v="0"/>
    <n v="0"/>
    <s v="Narrow"/>
    <s v="C06"/>
    <s v="TATCRC"/>
    <s v="SR16"/>
    <n v="0.45"/>
    <n v="1000"/>
    <n v="1980"/>
    <n v="90"/>
    <n v="0"/>
    <n v="90"/>
    <n v="-33.32"/>
    <n v="0"/>
    <n v="0"/>
    <n v="0"/>
    <n v="0"/>
    <n v="0"/>
    <n v="0"/>
    <n v="0"/>
    <n v="0"/>
    <n v="0"/>
    <n v="0"/>
    <n v="0"/>
    <n v="0"/>
    <n v="0"/>
    <n v="0"/>
    <n v="0"/>
    <n v="0"/>
    <n v="0"/>
    <n v="0"/>
    <n v="0"/>
    <n v="0"/>
    <n v="0"/>
    <n v="0"/>
    <n v="0"/>
    <n v="0"/>
    <n v="0"/>
    <n v="0"/>
    <n v="0"/>
    <n v="90"/>
    <n v="0"/>
    <n v="0"/>
    <n v="90"/>
    <n v="0"/>
    <n v="0"/>
    <n v="90"/>
    <n v="0"/>
    <n v="0"/>
    <n v="0"/>
    <n v="90"/>
    <n v="0"/>
    <n v="0"/>
    <n v="0"/>
    <n v="0"/>
    <n v="0"/>
    <n v="0"/>
    <n v="0"/>
    <n v="0"/>
    <n v="0"/>
    <m/>
    <m/>
    <m/>
    <m/>
    <m/>
    <m/>
    <m/>
    <m/>
    <s v="1"/>
    <s v="1"/>
    <s v="0"/>
    <s v="1"/>
    <s v="1"/>
    <m/>
    <m/>
    <m/>
    <m/>
    <m/>
    <m/>
    <m/>
    <m/>
    <m/>
    <m/>
    <m/>
    <m/>
    <m/>
    <m/>
  </r>
  <r>
    <n v="742"/>
    <d v="2025-02-06T00:00:00"/>
    <s v="ZBTO"/>
    <n v="9518499138"/>
    <n v="9"/>
    <s v="9518499138-9"/>
    <s v="May'25"/>
    <x v="0"/>
    <m/>
    <x v="1"/>
    <x v="2"/>
    <s v="2000-BPRS"/>
    <m/>
    <x v="1"/>
    <m/>
    <m/>
    <s v="Jharkhand"/>
    <s v="East"/>
    <s v="BOKARO STEEL CY"/>
    <s v="Sheet"/>
    <n v="121328"/>
    <x v="10"/>
    <n v="3239572"/>
    <s v="CRCA SHEET TATCRC SR16 0.480X1000X2500"/>
    <s v=" "/>
    <s v=""/>
    <n v="2.8"/>
    <n v="3.2"/>
    <s v="Narrow"/>
    <s v="C06"/>
    <s v="TATCRC"/>
    <s v="SR16"/>
    <n v="0.48"/>
    <n v="1000"/>
    <n v="2500"/>
    <n v="24"/>
    <n v="0"/>
    <n v="24"/>
    <n v="1.71"/>
    <n v="0"/>
    <n v="24"/>
    <n v="0"/>
    <n v="0"/>
    <n v="0"/>
    <n v="0"/>
    <n v="0"/>
    <n v="0"/>
    <n v="0"/>
    <n v="0"/>
    <n v="0"/>
    <n v="0"/>
    <n v="0"/>
    <n v="0"/>
    <n v="0"/>
    <n v="0"/>
    <n v="22.27"/>
    <n v="0"/>
    <n v="0"/>
    <n v="0"/>
    <n v="0"/>
    <n v="22.27"/>
    <n v="22.27"/>
    <n v="0"/>
    <n v="22.27"/>
    <n v="0"/>
    <n v="0"/>
    <n v="24"/>
    <n v="0"/>
    <n v="0"/>
    <n v="24"/>
    <n v="0"/>
    <n v="0"/>
    <n v="24"/>
    <n v="0"/>
    <n v="0"/>
    <n v="0"/>
    <n v="24"/>
    <n v="0"/>
    <n v="0"/>
    <n v="0"/>
    <n v="0"/>
    <n v="0"/>
    <n v="0"/>
    <n v="0"/>
    <n v="0"/>
    <n v="0"/>
    <m/>
    <m/>
    <m/>
    <m/>
    <m/>
    <m/>
    <m/>
    <m/>
    <s v="1"/>
    <s v="1"/>
    <s v="0"/>
    <s v="1"/>
    <s v="1"/>
    <m/>
    <m/>
    <m/>
    <m/>
    <m/>
    <m/>
    <m/>
    <m/>
    <m/>
    <m/>
    <m/>
    <m/>
    <m/>
    <m/>
  </r>
  <r>
    <n v="742"/>
    <d v="2025-03-16T00:00:00"/>
    <s v="ZBTO"/>
    <n v="9518604323"/>
    <n v="5"/>
    <s v="9518604323-5"/>
    <s v="No Priority"/>
    <x v="0"/>
    <m/>
    <x v="1"/>
    <x v="2"/>
    <s v="2000-BPRS"/>
    <m/>
    <x v="0"/>
    <m/>
    <m/>
    <s v="Orissa"/>
    <s v="East"/>
    <s v="TANGI"/>
    <s v="Sheet"/>
    <n v="117061"/>
    <x v="25"/>
    <n v="3239568"/>
    <s v="CRCA SHEET TATCRC SR16 0.450X1250X2500"/>
    <s v=" "/>
    <s v=""/>
    <n v="0.1"/>
    <n v="5"/>
    <s v="Wider"/>
    <s v="C06"/>
    <s v="TATCRC"/>
    <s v="SR16"/>
    <n v="0.45"/>
    <n v="1250"/>
    <n v="2500"/>
    <n v="24"/>
    <n v="23.015000000000001"/>
    <n v="0.98499999999999999"/>
    <n v="0.98499999999999999"/>
    <n v="0"/>
    <n v="0.98499999999999999"/>
    <n v="0"/>
    <n v="0"/>
    <n v="0"/>
    <n v="0"/>
    <n v="0"/>
    <n v="0"/>
    <n v="0"/>
    <n v="0"/>
    <n v="0"/>
    <n v="0"/>
    <n v="0"/>
    <n v="0"/>
    <n v="0"/>
    <n v="0"/>
    <n v="0"/>
    <n v="0"/>
    <n v="0"/>
    <n v="0"/>
    <n v="0"/>
    <n v="0"/>
    <n v="0"/>
    <n v="0"/>
    <n v="0"/>
    <n v="0"/>
    <n v="0"/>
    <n v="24"/>
    <n v="0"/>
    <n v="24"/>
    <n v="0"/>
    <n v="0"/>
    <n v="0"/>
    <n v="24"/>
    <n v="0"/>
    <n v="0"/>
    <n v="24"/>
    <n v="0"/>
    <n v="0"/>
    <n v="0"/>
    <n v="23.014999999999993"/>
    <n v="0"/>
    <n v="23.014999999999993"/>
    <n v="0"/>
    <n v="0"/>
    <n v="0"/>
    <n v="0"/>
    <m/>
    <m/>
    <m/>
    <m/>
    <m/>
    <m/>
    <m/>
    <m/>
    <s v="1"/>
    <s v="1"/>
    <s v="1"/>
    <s v="1"/>
    <s v="1"/>
    <m/>
    <m/>
    <m/>
    <m/>
    <m/>
    <m/>
    <m/>
    <m/>
    <m/>
    <m/>
    <m/>
    <m/>
    <m/>
    <m/>
  </r>
  <r>
    <n v="742"/>
    <d v="2025-02-18T00:00:00"/>
    <s v="ZBTO"/>
    <n v="9518529595"/>
    <n v="4"/>
    <s v="9518529595-4"/>
    <s v="No Priority"/>
    <x v="0"/>
    <m/>
    <x v="1"/>
    <x v="11"/>
    <s v="2000-BPRS"/>
    <m/>
    <x v="0"/>
    <m/>
    <m/>
    <s v="Tamil Nadu"/>
    <s v="South"/>
    <s v="GUMMIDIPOONDI"/>
    <s v="Coil"/>
    <n v="161312"/>
    <x v="54"/>
    <n v="2420514"/>
    <s v="CRCA COIL TATXXD AH03 0.800X1250"/>
    <s v=" "/>
    <s v=""/>
    <n v="5"/>
    <n v="29"/>
    <s v="Wider"/>
    <s v="C01"/>
    <s v="TATXXD"/>
    <s v="AH03"/>
    <n v="0.8"/>
    <n v="1250"/>
    <n v="0"/>
    <n v="29"/>
    <n v="0"/>
    <n v="29"/>
    <n v="1.35"/>
    <n v="0"/>
    <n v="2.0649999999999999"/>
    <n v="0"/>
    <n v="0"/>
    <n v="0"/>
    <n v="0"/>
    <n v="0"/>
    <n v="0"/>
    <n v="0"/>
    <n v="0"/>
    <n v="0"/>
    <n v="0"/>
    <n v="0"/>
    <n v="0"/>
    <n v="0"/>
    <n v="0"/>
    <n v="0"/>
    <n v="0"/>
    <n v="0"/>
    <n v="0"/>
    <n v="0"/>
    <n v="0"/>
    <n v="0"/>
    <n v="0"/>
    <n v="0"/>
    <n v="0"/>
    <n v="0"/>
    <n v="29"/>
    <n v="0"/>
    <n v="0"/>
    <n v="0"/>
    <n v="29"/>
    <n v="0"/>
    <n v="29"/>
    <n v="0"/>
    <n v="0"/>
    <n v="0"/>
    <n v="29"/>
    <n v="0"/>
    <n v="0"/>
    <n v="0"/>
    <n v="0"/>
    <n v="0"/>
    <n v="0"/>
    <n v="0"/>
    <n v="0"/>
    <n v="0"/>
    <m/>
    <m/>
    <m/>
    <m/>
    <m/>
    <m/>
    <m/>
    <m/>
    <s v="1"/>
    <s v="1"/>
    <s v="1"/>
    <s v="0"/>
    <s v="1"/>
    <m/>
    <m/>
    <m/>
    <m/>
    <m/>
    <m/>
    <m/>
    <m/>
    <m/>
    <m/>
    <m/>
    <m/>
    <m/>
    <m/>
  </r>
  <r>
    <n v="742"/>
    <d v="2025-02-18T00:00:00"/>
    <s v="ZBTO"/>
    <n v="9518529595"/>
    <n v="6"/>
    <s v="9518529595-6"/>
    <s v="May'25"/>
    <x v="0"/>
    <m/>
    <x v="1"/>
    <x v="1"/>
    <s v="2000-BPRS"/>
    <m/>
    <x v="1"/>
    <m/>
    <m/>
    <s v="Tamil Nadu"/>
    <s v="South"/>
    <s v="GUMMIDIPOONDI"/>
    <s v="Coil"/>
    <n v="161312"/>
    <x v="54"/>
    <n v="2390540"/>
    <s v="CRCA COIL TATXXD AU03 1.800X1250"/>
    <s v=" "/>
    <s v=""/>
    <n v="5"/>
    <n v="29"/>
    <s v="Wider"/>
    <s v="C01"/>
    <s v="TATXXD"/>
    <s v="AU03"/>
    <n v="1.8"/>
    <n v="1250"/>
    <n v="0"/>
    <n v="29"/>
    <n v="0"/>
    <n v="29"/>
    <n v="0.9"/>
    <n v="0"/>
    <n v="29"/>
    <n v="0"/>
    <n v="0"/>
    <n v="0"/>
    <n v="0"/>
    <n v="0"/>
    <n v="0"/>
    <n v="0"/>
    <n v="0"/>
    <n v="0"/>
    <n v="0"/>
    <n v="0"/>
    <n v="0"/>
    <n v="0"/>
    <n v="26.89"/>
    <n v="0"/>
    <n v="0"/>
    <n v="0"/>
    <n v="0"/>
    <n v="0"/>
    <n v="26.89"/>
    <n v="26.89"/>
    <n v="0"/>
    <n v="26.89"/>
    <n v="0"/>
    <n v="0"/>
    <n v="29"/>
    <n v="0"/>
    <n v="0"/>
    <n v="0"/>
    <n v="0"/>
    <n v="29"/>
    <n v="0"/>
    <n v="0"/>
    <n v="0"/>
    <n v="0"/>
    <n v="0"/>
    <n v="0"/>
    <n v="29"/>
    <n v="0"/>
    <n v="0"/>
    <n v="0"/>
    <n v="0"/>
    <n v="0"/>
    <n v="0"/>
    <n v="0"/>
    <m/>
    <m/>
    <m/>
    <m/>
    <m/>
    <m/>
    <m/>
    <m/>
    <s v="1"/>
    <s v="1"/>
    <s v="1"/>
    <s v="1"/>
    <s v="0"/>
    <m/>
    <m/>
    <m/>
    <m/>
    <m/>
    <m/>
    <m/>
    <m/>
    <m/>
    <m/>
    <m/>
    <m/>
    <m/>
    <m/>
  </r>
  <r>
    <n v="744"/>
    <d v="2025-03-18T00:00:00"/>
    <s v="ZBTO"/>
    <n v="9518610301"/>
    <n v="6"/>
    <s v="9518610301-6"/>
    <s v="No Priority"/>
    <x v="0"/>
    <m/>
    <x v="2"/>
    <x v="3"/>
    <s v="1000-IPPE"/>
    <m/>
    <x v="0"/>
    <m/>
    <m/>
    <s v="Jharkhand"/>
    <s v="TBSPL"/>
    <s v="TBL- BARA AGRICO"/>
    <s v="Coil"/>
    <n v="941597"/>
    <x v="6"/>
    <n v="3940122"/>
    <s v="PPGL C HARD Y550PL D0C9 0.470(TPT)X1220"/>
    <s v="AZ150"/>
    <s v="BRICK RED TSL 1803"/>
    <n v="3"/>
    <n v="5"/>
    <s v="Wider"/>
    <s v="B18"/>
    <s v="Y550PL"/>
    <s v="D0C9"/>
    <n v="0.47"/>
    <n v="1220"/>
    <n v="0"/>
    <n v="28"/>
    <n v="0"/>
    <n v="28"/>
    <n v="28"/>
    <n v="20.22"/>
    <n v="28"/>
    <n v="0"/>
    <n v="0"/>
    <n v="0"/>
    <n v="0"/>
    <n v="0"/>
    <n v="0"/>
    <n v="0"/>
    <n v="7.78"/>
    <n v="0"/>
    <n v="0"/>
    <n v="0"/>
    <n v="0"/>
    <n v="0"/>
    <n v="0"/>
    <n v="0"/>
    <n v="0"/>
    <n v="0"/>
    <n v="0"/>
    <n v="0"/>
    <n v="7.78"/>
    <n v="7.78"/>
    <n v="0"/>
    <n v="7.78"/>
    <n v="0"/>
    <n v="0"/>
    <n v="28"/>
    <n v="0"/>
    <n v="28"/>
    <n v="0"/>
    <n v="0"/>
    <n v="0"/>
    <n v="28"/>
    <n v="0"/>
    <n v="0"/>
    <n v="28"/>
    <n v="0"/>
    <n v="0"/>
    <n v="0"/>
    <n v="0"/>
    <n v="0"/>
    <n v="0"/>
    <n v="0"/>
    <n v="0"/>
    <n v="0"/>
    <n v="0"/>
    <m/>
    <m/>
    <m/>
    <m/>
    <m/>
    <m/>
    <m/>
    <m/>
    <s v="1"/>
    <s v="0"/>
    <s v="1"/>
    <s v="1"/>
    <s v="1"/>
    <m/>
    <m/>
    <m/>
    <m/>
    <m/>
    <m/>
    <m/>
    <m/>
    <m/>
    <m/>
    <m/>
    <m/>
    <m/>
    <m/>
  </r>
  <r>
    <n v="742"/>
    <d v="2025-03-17T00:00:00"/>
    <s v="ZBTO"/>
    <n v="9518606284"/>
    <n v="5"/>
    <s v="9518606284-5"/>
    <s v="No Priority"/>
    <x v="0"/>
    <m/>
    <x v="1"/>
    <x v="2"/>
    <s v="2000-BPRS"/>
    <m/>
    <x v="0"/>
    <m/>
    <s v="Exp BTF &lt;17MT"/>
    <s v="Andhra Pradesh"/>
    <s v="South"/>
    <s v="VISHAKHAPATNAM"/>
    <s v="Sheet"/>
    <n v="946077"/>
    <x v="8"/>
    <n v="3239559"/>
    <s v="CRCA SHEET TATCRC SR16 0.450X900X2440"/>
    <s v=" "/>
    <s v=""/>
    <n v="0"/>
    <n v="0"/>
    <s v="Narrow"/>
    <s v="C06"/>
    <s v="TATCRC"/>
    <s v="SR16"/>
    <n v="0.45"/>
    <n v="900"/>
    <n v="2440"/>
    <n v="42"/>
    <n v="37.44"/>
    <n v="4.5599999999999996"/>
    <n v="4.5599999999999996"/>
    <n v="4.5599999999999996"/>
    <n v="4.5599999999999996"/>
    <n v="0"/>
    <n v="0"/>
    <n v="0"/>
    <n v="0"/>
    <n v="0"/>
    <n v="0"/>
    <n v="0"/>
    <n v="0"/>
    <n v="0"/>
    <n v="0"/>
    <n v="0"/>
    <n v="0"/>
    <n v="0"/>
    <n v="0"/>
    <n v="0"/>
    <n v="0"/>
    <n v="0"/>
    <n v="0"/>
    <n v="0"/>
    <n v="0"/>
    <n v="0"/>
    <n v="0"/>
    <n v="0"/>
    <n v="0"/>
    <n v="16.035"/>
    <n v="42"/>
    <n v="42"/>
    <n v="0"/>
    <n v="0"/>
    <n v="0"/>
    <n v="0"/>
    <n v="58.034999999999997"/>
    <n v="0"/>
    <n v="58.034999999999997"/>
    <n v="0"/>
    <n v="0"/>
    <n v="0"/>
    <n v="0"/>
    <n v="37.44"/>
    <n v="37.44"/>
    <n v="0"/>
    <n v="0"/>
    <n v="0"/>
    <n v="0"/>
    <n v="0"/>
    <m/>
    <m/>
    <m/>
    <m/>
    <m/>
    <m/>
    <m/>
    <m/>
    <s v="0"/>
    <s v="1"/>
    <s v="1"/>
    <s v="1"/>
    <s v="1"/>
    <m/>
    <m/>
    <m/>
    <m/>
    <m/>
    <m/>
    <m/>
    <m/>
    <m/>
    <m/>
    <m/>
    <m/>
    <m/>
    <m/>
  </r>
  <r>
    <n v="742"/>
    <d v="2025-01-16T00:00:00"/>
    <s v="ZBTO"/>
    <n v="9518433421"/>
    <n v="21"/>
    <s v="9518433421-21"/>
    <s v="No Priority"/>
    <x v="0"/>
    <m/>
    <x v="1"/>
    <x v="2"/>
    <s v="2000-BPRS"/>
    <m/>
    <x v="0"/>
    <m/>
    <m/>
    <s v="Tamil Nadu"/>
    <s v="South"/>
    <s v="CHENNAI"/>
    <s v="Sheet"/>
    <n v="938550"/>
    <x v="4"/>
    <n v="3240756"/>
    <s v="CRCA SHEET TSBCRC SR15 0.500X1000X1980"/>
    <s v=" "/>
    <s v=""/>
    <n v="0"/>
    <n v="0"/>
    <s v="Narrow"/>
    <s v="C06"/>
    <s v="TSBCRC"/>
    <s v="SR15"/>
    <n v="0.5"/>
    <n v="1000"/>
    <n v="1980"/>
    <n v="69"/>
    <n v="0"/>
    <n v="69"/>
    <n v="0.115"/>
    <n v="0"/>
    <n v="0"/>
    <n v="0"/>
    <n v="0"/>
    <n v="0"/>
    <n v="0"/>
    <n v="0"/>
    <n v="0"/>
    <n v="0"/>
    <n v="0"/>
    <n v="0"/>
    <n v="0"/>
    <n v="0"/>
    <n v="0"/>
    <n v="0"/>
    <n v="0"/>
    <n v="0"/>
    <n v="0"/>
    <n v="0"/>
    <n v="0"/>
    <n v="0"/>
    <n v="0"/>
    <n v="0"/>
    <n v="0"/>
    <n v="0"/>
    <n v="0"/>
    <n v="0"/>
    <n v="69"/>
    <n v="0"/>
    <n v="0"/>
    <n v="0"/>
    <n v="0"/>
    <n v="69"/>
    <n v="0"/>
    <n v="0"/>
    <n v="0"/>
    <n v="0"/>
    <n v="0"/>
    <n v="0"/>
    <n v="69"/>
    <n v="0"/>
    <n v="0"/>
    <n v="0"/>
    <n v="0"/>
    <n v="0"/>
    <n v="0"/>
    <n v="0"/>
    <m/>
    <m/>
    <m/>
    <m/>
    <m/>
    <m/>
    <m/>
    <m/>
    <s v="1"/>
    <s v="1"/>
    <s v="1"/>
    <s v="1"/>
    <s v="0"/>
    <m/>
    <m/>
    <m/>
    <m/>
    <m/>
    <m/>
    <m/>
    <m/>
    <m/>
    <m/>
    <m/>
    <m/>
    <m/>
    <m/>
  </r>
  <r>
    <n v="742"/>
    <d v="2025-01-21T00:00:00"/>
    <s v="ZBTO"/>
    <n v="9518447967"/>
    <n v="7"/>
    <s v="9518447967-7"/>
    <s v="No Priority"/>
    <x v="0"/>
    <m/>
    <x v="1"/>
    <x v="2"/>
    <s v="2000-BPRS"/>
    <m/>
    <x v="0"/>
    <m/>
    <s v="Exp BTF &lt;17MT"/>
    <s v="West Bengal"/>
    <s v="East"/>
    <s v="HOWRAH"/>
    <s v="Sheet"/>
    <n v="101278"/>
    <x v="11"/>
    <n v="3240757"/>
    <s v="CRCA SHEET TSBCRC SR15 0.500X1000X2000"/>
    <s v=" "/>
    <s v=""/>
    <n v="2"/>
    <n v="3"/>
    <s v="Narrow"/>
    <s v="C06"/>
    <s v="TSBCRC"/>
    <s v="SR15"/>
    <n v="0.5"/>
    <n v="1000"/>
    <n v="2000"/>
    <n v="27"/>
    <n v="20.195"/>
    <n v="6.8049999999999997"/>
    <n v="6.8049999999999997"/>
    <n v="6.8049999999999997"/>
    <n v="0"/>
    <n v="0"/>
    <n v="0"/>
    <n v="0"/>
    <n v="0"/>
    <n v="0"/>
    <n v="0"/>
    <n v="0"/>
    <n v="0"/>
    <n v="0"/>
    <n v="0"/>
    <n v="0"/>
    <n v="0"/>
    <n v="0"/>
    <n v="0"/>
    <n v="0"/>
    <n v="0"/>
    <n v="0"/>
    <n v="0"/>
    <n v="0"/>
    <n v="0"/>
    <n v="0"/>
    <n v="0"/>
    <n v="0"/>
    <n v="0"/>
    <n v="0"/>
    <n v="27"/>
    <n v="0"/>
    <n v="27"/>
    <n v="0"/>
    <n v="0"/>
    <n v="0"/>
    <n v="27"/>
    <n v="0"/>
    <n v="0"/>
    <n v="27"/>
    <n v="0"/>
    <n v="0"/>
    <n v="0"/>
    <n v="20.195"/>
    <n v="0"/>
    <n v="20.195"/>
    <n v="0"/>
    <n v="0"/>
    <n v="0"/>
    <n v="0"/>
    <m/>
    <m/>
    <m/>
    <m/>
    <m/>
    <m/>
    <m/>
    <m/>
    <s v="1"/>
    <s v="0"/>
    <s v="1"/>
    <s v="1"/>
    <s v="1"/>
    <m/>
    <m/>
    <m/>
    <m/>
    <m/>
    <m/>
    <m/>
    <m/>
    <m/>
    <m/>
    <m/>
    <m/>
    <m/>
    <m/>
  </r>
  <r>
    <n v="742"/>
    <d v="2025-01-02T00:00:00"/>
    <s v="ZBTO"/>
    <n v="9518400614"/>
    <n v="11"/>
    <s v="9518400614-11"/>
    <s v="No Priority"/>
    <x v="0"/>
    <m/>
    <x v="1"/>
    <x v="2"/>
    <s v="2000-BPRS"/>
    <m/>
    <x v="0"/>
    <m/>
    <m/>
    <s v="Kerala"/>
    <s v="South"/>
    <s v="COCHIN HARBOUR "/>
    <s v="Sheet"/>
    <n v="116650"/>
    <x v="55"/>
    <n v="3239563"/>
    <s v="CRCA SHEET TATCRC SR16 0.450X1000X1910"/>
    <s v=" "/>
    <s v=""/>
    <n v="0"/>
    <n v="0"/>
    <s v="Narrow"/>
    <s v="C06"/>
    <s v="TATCRC"/>
    <s v="SR16"/>
    <n v="0.45"/>
    <n v="1000"/>
    <n v="1910"/>
    <n v="24"/>
    <n v="0"/>
    <n v="24"/>
    <n v="1.75"/>
    <n v="0"/>
    <n v="0"/>
    <n v="0"/>
    <n v="0"/>
    <n v="0"/>
    <n v="0"/>
    <n v="0"/>
    <n v="0"/>
    <n v="0"/>
    <n v="0"/>
    <n v="0"/>
    <n v="0"/>
    <n v="0"/>
    <n v="0"/>
    <n v="0"/>
    <n v="0"/>
    <n v="0"/>
    <n v="0"/>
    <n v="0"/>
    <n v="0"/>
    <n v="0"/>
    <n v="0"/>
    <n v="0"/>
    <n v="0"/>
    <n v="0"/>
    <n v="0"/>
    <n v="0"/>
    <n v="24"/>
    <n v="0"/>
    <n v="0"/>
    <n v="0"/>
    <n v="0"/>
    <n v="24"/>
    <n v="0"/>
    <n v="0"/>
    <n v="0"/>
    <n v="0"/>
    <n v="0"/>
    <n v="0"/>
    <n v="24"/>
    <n v="0"/>
    <n v="0"/>
    <n v="0"/>
    <n v="0"/>
    <n v="0"/>
    <n v="0"/>
    <n v="0"/>
    <m/>
    <m/>
    <m/>
    <m/>
    <m/>
    <m/>
    <m/>
    <m/>
    <s v="1"/>
    <s v="1"/>
    <s v="1"/>
    <s v="1"/>
    <s v="0"/>
    <m/>
    <m/>
    <m/>
    <m/>
    <m/>
    <m/>
    <m/>
    <m/>
    <m/>
    <m/>
    <m/>
    <m/>
    <m/>
    <m/>
  </r>
  <r>
    <n v="742"/>
    <d v="2025-01-16T00:00:00"/>
    <s v="ZBTO"/>
    <n v="9518433421"/>
    <n v="22"/>
    <s v="9518433421-22"/>
    <s v="No Priority"/>
    <x v="0"/>
    <m/>
    <x v="1"/>
    <x v="2"/>
    <s v="2000-BPRS"/>
    <m/>
    <x v="0"/>
    <m/>
    <s v="Exp BTF &lt;17MT"/>
    <s v="Tamil Nadu"/>
    <s v="South"/>
    <s v="CHENNAI"/>
    <s v="Sheet"/>
    <n v="938550"/>
    <x v="4"/>
    <n v="3240775"/>
    <s v="CRCA SHEET TSBCRC SR15 0.600X1000X1980"/>
    <s v=" "/>
    <s v=""/>
    <n v="0"/>
    <n v="0"/>
    <s v="Narrow"/>
    <s v="C06"/>
    <s v="TSBCRC"/>
    <s v="SR15"/>
    <n v="0.6"/>
    <n v="1000"/>
    <n v="1980"/>
    <n v="90"/>
    <n v="81.09"/>
    <n v="8.91"/>
    <n v="8.91"/>
    <n v="8.91"/>
    <n v="0"/>
    <n v="0"/>
    <n v="0"/>
    <n v="0"/>
    <n v="0"/>
    <n v="0"/>
    <n v="0"/>
    <n v="0"/>
    <n v="0"/>
    <n v="0"/>
    <n v="0"/>
    <n v="0"/>
    <n v="0"/>
    <n v="0"/>
    <n v="0"/>
    <n v="0"/>
    <n v="0"/>
    <n v="0"/>
    <n v="0"/>
    <n v="0"/>
    <n v="0"/>
    <n v="0"/>
    <n v="0"/>
    <n v="0"/>
    <n v="0"/>
    <n v="0"/>
    <n v="29.06"/>
    <n v="0"/>
    <n v="29.06"/>
    <n v="0"/>
    <n v="0"/>
    <n v="0"/>
    <n v="29.06"/>
    <n v="0"/>
    <n v="0"/>
    <n v="29.06"/>
    <n v="0"/>
    <n v="0"/>
    <n v="0"/>
    <n v="20.149999999999999"/>
    <n v="0"/>
    <n v="20.149999999999999"/>
    <n v="0"/>
    <n v="0"/>
    <n v="0"/>
    <n v="0"/>
    <m/>
    <m/>
    <m/>
    <m/>
    <m/>
    <m/>
    <m/>
    <m/>
    <s v="1"/>
    <s v="0"/>
    <s v="1"/>
    <s v="1"/>
    <s v="1"/>
    <m/>
    <m/>
    <m/>
    <m/>
    <m/>
    <m/>
    <m/>
    <m/>
    <m/>
    <m/>
    <m/>
    <m/>
    <m/>
    <m/>
  </r>
  <r>
    <n v="744"/>
    <d v="2025-03-20T00:00:00"/>
    <s v="ZBTO"/>
    <n v="9518615345"/>
    <n v="1"/>
    <s v="9518615345-1"/>
    <s v="No Priority"/>
    <x v="0"/>
    <m/>
    <x v="2"/>
    <x v="3"/>
    <s v="1000-IPPE"/>
    <m/>
    <x v="0"/>
    <m/>
    <m/>
    <s v="Jharkhand"/>
    <s v="TBSPL"/>
    <s v="TBL- BARA AGRICO"/>
    <s v="Coil"/>
    <n v="941597"/>
    <x v="6"/>
    <n v="3974226"/>
    <s v="PPGL C HARD Y550PL D0C9 0.800X1220"/>
    <s v="AZ150"/>
    <s v="LIGHT BLUE TSL 1802"/>
    <n v="3"/>
    <n v="5"/>
    <s v="Wider"/>
    <s v="B18"/>
    <s v="Y550PL"/>
    <s v="D0C9"/>
    <n v="0.8"/>
    <n v="1220"/>
    <n v="0"/>
    <n v="139.989"/>
    <n v="121.325"/>
    <n v="18.664000000000001"/>
    <n v="4.4740000000000002"/>
    <n v="18.664000000000001"/>
    <n v="4.7939999999999996"/>
    <n v="0"/>
    <n v="0"/>
    <n v="0"/>
    <n v="0"/>
    <n v="0"/>
    <n v="0"/>
    <n v="0"/>
    <n v="0"/>
    <n v="0"/>
    <n v="0"/>
    <n v="0"/>
    <n v="0"/>
    <n v="0"/>
    <n v="0"/>
    <n v="0"/>
    <n v="0"/>
    <n v="0"/>
    <n v="0"/>
    <n v="0"/>
    <n v="0"/>
    <n v="0"/>
    <n v="0"/>
    <n v="0"/>
    <n v="0"/>
    <n v="86.930000000000021"/>
    <n v="18.664999999999999"/>
    <n v="0"/>
    <n v="0"/>
    <n v="0"/>
    <n v="18.664999999999999"/>
    <n v="0"/>
    <n v="105.59500000000003"/>
    <n v="0"/>
    <n v="0"/>
    <n v="0"/>
    <n v="105.59500000000003"/>
    <n v="0"/>
    <n v="0"/>
    <n v="0"/>
    <n v="0"/>
    <n v="0"/>
    <n v="0"/>
    <n v="0"/>
    <n v="0"/>
    <n v="0"/>
    <m/>
    <m/>
    <m/>
    <m/>
    <m/>
    <m/>
    <m/>
    <m/>
    <s v="1"/>
    <s v="1"/>
    <s v="1"/>
    <s v="0"/>
    <s v="1"/>
    <m/>
    <m/>
    <m/>
    <m/>
    <m/>
    <m/>
    <m/>
    <m/>
    <m/>
    <m/>
    <m/>
    <m/>
    <m/>
    <m/>
  </r>
  <r>
    <n v="742"/>
    <d v="2025-03-19T00:00:00"/>
    <s v="ZBTO"/>
    <n v="9518613877"/>
    <n v="4"/>
    <s v="9518613877-4"/>
    <s v="No Priority"/>
    <x v="0"/>
    <m/>
    <x v="0"/>
    <x v="0"/>
    <s v="2000-BPRS"/>
    <m/>
    <x v="0"/>
    <m/>
    <m/>
    <s v="Karnataka"/>
    <s v="South"/>
    <s v="YESHWANTHPURA"/>
    <s v="Coil"/>
    <n v="801611"/>
    <x v="56"/>
    <n v="1179966"/>
    <s v="HR COILS-PO IS 10748 GR 1 2X1250"/>
    <s v=" "/>
    <s v=""/>
    <n v="15"/>
    <n v="25"/>
    <s v="Wider"/>
    <n v="768"/>
    <s v="I09497"/>
    <s v="HG01"/>
    <n v="2"/>
    <n v="1250"/>
    <n v="0"/>
    <n v="30"/>
    <n v="0"/>
    <n v="30"/>
    <n v="30"/>
    <n v="0"/>
    <n v="3.95"/>
    <n v="0"/>
    <n v="0"/>
    <n v="0"/>
    <n v="0"/>
    <n v="0"/>
    <n v="0"/>
    <n v="0"/>
    <n v="0"/>
    <n v="0"/>
    <n v="0"/>
    <n v="0"/>
    <n v="0"/>
    <n v="0"/>
    <n v="0"/>
    <n v="0"/>
    <n v="0"/>
    <n v="0"/>
    <n v="0"/>
    <n v="0"/>
    <n v="0"/>
    <n v="0"/>
    <n v="0"/>
    <n v="0"/>
    <n v="0"/>
    <n v="0"/>
    <n v="30"/>
    <n v="0"/>
    <n v="30"/>
    <n v="0"/>
    <n v="0"/>
    <n v="0"/>
    <n v="30"/>
    <n v="0"/>
    <n v="0"/>
    <n v="30"/>
    <n v="0"/>
    <n v="0"/>
    <n v="0"/>
    <n v="0"/>
    <n v="0"/>
    <n v="0"/>
    <n v="0"/>
    <n v="0"/>
    <n v="0"/>
    <n v="0"/>
    <m/>
    <m/>
    <m/>
    <m/>
    <m/>
    <m/>
    <m/>
    <m/>
    <s v="1"/>
    <s v="0"/>
    <s v="1"/>
    <s v="1"/>
    <s v="1"/>
    <m/>
    <m/>
    <m/>
    <m/>
    <m/>
    <m/>
    <m/>
    <m/>
    <m/>
    <m/>
    <m/>
    <m/>
    <m/>
    <m/>
  </r>
  <r>
    <n v="742"/>
    <d v="2025-03-19T00:00:00"/>
    <s v="ZBTO"/>
    <n v="9518613873"/>
    <n v="1"/>
    <s v="9518613873-1"/>
    <s v="No Priority"/>
    <x v="0"/>
    <m/>
    <x v="0"/>
    <x v="0"/>
    <s v="2000-BPRS"/>
    <m/>
    <x v="0"/>
    <m/>
    <m/>
    <s v="Karnataka"/>
    <s v="South"/>
    <s v="YESHWANTHPURA"/>
    <s v="Coil"/>
    <n v="165992"/>
    <x v="57"/>
    <n v="1371338"/>
    <s v="HR COILS-PO IS 1079 HR2 2.30X1250"/>
    <s v=" "/>
    <s v=""/>
    <n v="15"/>
    <n v="25"/>
    <s v="Wider"/>
    <n v="768"/>
    <s v="THR099"/>
    <s v="HR99"/>
    <n v="2.2999999999999998"/>
    <n v="1250"/>
    <n v="0"/>
    <n v="50"/>
    <n v="22.08"/>
    <n v="27.92"/>
    <n v="3.96"/>
    <n v="27.92"/>
    <n v="4.12"/>
    <n v="0"/>
    <n v="0"/>
    <n v="0"/>
    <n v="0"/>
    <n v="0"/>
    <n v="0"/>
    <n v="0"/>
    <n v="0"/>
    <n v="0"/>
    <n v="0"/>
    <n v="0"/>
    <n v="0"/>
    <n v="0"/>
    <n v="0"/>
    <n v="0"/>
    <n v="0"/>
    <n v="0"/>
    <n v="0"/>
    <n v="0"/>
    <n v="0"/>
    <n v="0"/>
    <n v="0"/>
    <n v="0"/>
    <n v="0"/>
    <n v="0"/>
    <n v="27.92"/>
    <n v="0"/>
    <n v="0"/>
    <n v="27.92"/>
    <n v="0"/>
    <n v="0"/>
    <n v="27.92"/>
    <n v="0"/>
    <n v="0"/>
    <n v="0"/>
    <n v="27.92"/>
    <n v="0"/>
    <n v="0"/>
    <n v="0"/>
    <n v="0"/>
    <n v="0"/>
    <n v="0"/>
    <n v="0"/>
    <n v="0"/>
    <n v="0"/>
    <m/>
    <m/>
    <m/>
    <m/>
    <m/>
    <m/>
    <m/>
    <m/>
    <s v="1"/>
    <s v="1"/>
    <s v="0"/>
    <s v="1"/>
    <s v="1"/>
    <m/>
    <m/>
    <m/>
    <m/>
    <m/>
    <m/>
    <m/>
    <m/>
    <m/>
    <m/>
    <m/>
    <m/>
    <m/>
    <m/>
  </r>
  <r>
    <n v="742"/>
    <d v="2025-03-19T00:00:00"/>
    <s v="ZBTO"/>
    <n v="9518613858"/>
    <n v="1"/>
    <s v="9518613858-1"/>
    <s v="Apr'25 "/>
    <x v="0"/>
    <m/>
    <x v="0"/>
    <x v="0"/>
    <s v="2000-BPRS"/>
    <m/>
    <x v="1"/>
    <m/>
    <m/>
    <s v="Karnataka"/>
    <s v="South"/>
    <s v="YESHWANTHPURA"/>
    <s v="Coil"/>
    <n v="932179"/>
    <x v="45"/>
    <n v="1371338"/>
    <s v="HR COILS-PO IS 1079 HR2 2.30X1250"/>
    <s v=" "/>
    <s v=""/>
    <n v="15"/>
    <n v="25"/>
    <s v="Wider"/>
    <n v="768"/>
    <s v="THR099"/>
    <s v="HR99"/>
    <n v="2.2999999999999998"/>
    <n v="1250"/>
    <n v="0"/>
    <n v="50"/>
    <n v="24.41"/>
    <n v="25.59"/>
    <n v="25.59"/>
    <n v="25.59"/>
    <n v="25.59"/>
    <n v="0"/>
    <n v="0"/>
    <n v="0"/>
    <n v="0"/>
    <n v="0"/>
    <n v="0"/>
    <n v="0"/>
    <n v="0"/>
    <n v="0"/>
    <n v="0"/>
    <n v="0"/>
    <n v="0"/>
    <n v="0"/>
    <n v="0"/>
    <n v="0"/>
    <n v="0"/>
    <n v="0"/>
    <n v="0"/>
    <n v="0"/>
    <n v="0"/>
    <n v="0"/>
    <n v="0"/>
    <n v="0"/>
    <n v="0"/>
    <n v="0"/>
    <n v="25.59"/>
    <n v="0"/>
    <n v="0"/>
    <n v="0"/>
    <n v="0"/>
    <n v="25.59"/>
    <n v="0"/>
    <n v="0"/>
    <n v="0"/>
    <n v="0"/>
    <n v="0"/>
    <n v="0"/>
    <n v="25.59"/>
    <n v="0"/>
    <n v="0"/>
    <n v="0"/>
    <n v="0"/>
    <n v="0"/>
    <n v="0"/>
    <n v="0"/>
    <m/>
    <m/>
    <m/>
    <m/>
    <m/>
    <m/>
    <m/>
    <m/>
    <s v="1"/>
    <s v="1"/>
    <s v="1"/>
    <s v="1"/>
    <s v="0"/>
    <m/>
    <m/>
    <m/>
    <m/>
    <m/>
    <m/>
    <m/>
    <m/>
    <m/>
    <m/>
    <m/>
    <m/>
    <m/>
    <m/>
  </r>
  <r>
    <n v="742"/>
    <d v="2025-03-19T00:00:00"/>
    <s v="ZBTO"/>
    <n v="9518613858"/>
    <n v="3"/>
    <s v="9518613858-3"/>
    <s v="No Priority"/>
    <x v="0"/>
    <m/>
    <x v="0"/>
    <x v="0"/>
    <s v="2000-BPRS"/>
    <m/>
    <x v="0"/>
    <m/>
    <m/>
    <s v="Karnataka"/>
    <s v="South"/>
    <s v="YESHWANTHPURA"/>
    <s v="Coil"/>
    <n v="932179"/>
    <x v="45"/>
    <n v="1210086"/>
    <s v="HR COILS-PO IS 1079 HR2 4X1250"/>
    <s v=" "/>
    <s v=""/>
    <n v="15"/>
    <n v="25"/>
    <s v="Wider"/>
    <n v="768"/>
    <s v="THR099"/>
    <s v="HR99"/>
    <n v="4"/>
    <n v="1250"/>
    <n v="0"/>
    <n v="125"/>
    <n v="98.144999999999996"/>
    <n v="26.855"/>
    <n v="26.855"/>
    <n v="0"/>
    <n v="2.605"/>
    <n v="0"/>
    <n v="0"/>
    <n v="0"/>
    <n v="0"/>
    <n v="0"/>
    <n v="0"/>
    <n v="0"/>
    <n v="0"/>
    <n v="0"/>
    <n v="0"/>
    <n v="0"/>
    <n v="0"/>
    <n v="0"/>
    <n v="0"/>
    <n v="0"/>
    <n v="0"/>
    <n v="0"/>
    <n v="0"/>
    <n v="0"/>
    <n v="0"/>
    <n v="0"/>
    <n v="25"/>
    <n v="25"/>
    <n v="0"/>
    <n v="49.215000000000003"/>
    <n v="26.855"/>
    <n v="0"/>
    <n v="0"/>
    <n v="26.855"/>
    <n v="0"/>
    <n v="0"/>
    <n v="76.070000000000007"/>
    <n v="0"/>
    <n v="0"/>
    <n v="76.070000000000007"/>
    <n v="0"/>
    <n v="0"/>
    <n v="0"/>
    <n v="0"/>
    <n v="0"/>
    <n v="0"/>
    <n v="0"/>
    <n v="0"/>
    <n v="0"/>
    <n v="0"/>
    <m/>
    <m/>
    <m/>
    <m/>
    <m/>
    <m/>
    <m/>
    <m/>
    <s v="1"/>
    <s v="1"/>
    <s v="0"/>
    <s v="1"/>
    <s v="1"/>
    <m/>
    <m/>
    <m/>
    <m/>
    <m/>
    <m/>
    <m/>
    <m/>
    <m/>
    <m/>
    <m/>
    <m/>
    <m/>
    <m/>
  </r>
  <r>
    <n v="742"/>
    <d v="2025-03-19T00:00:00"/>
    <s v="ZBTO"/>
    <n v="9518613858"/>
    <n v="4"/>
    <s v="9518613858-4"/>
    <s v="Apr'25 "/>
    <x v="0"/>
    <m/>
    <x v="0"/>
    <x v="0"/>
    <s v="2000-BPRS"/>
    <m/>
    <x v="1"/>
    <m/>
    <m/>
    <s v="Karnataka"/>
    <s v="South"/>
    <s v="YESHWANTHPURA"/>
    <s v="Coil"/>
    <n v="932179"/>
    <x v="45"/>
    <n v="1179966"/>
    <s v="HR COILS-PO IS 10748 GR 1 2X1250"/>
    <s v=" "/>
    <s v=""/>
    <n v="15"/>
    <n v="25"/>
    <s v="Wider"/>
    <n v="768"/>
    <s v="I09497"/>
    <s v="HG01"/>
    <n v="2"/>
    <n v="1250"/>
    <n v="0"/>
    <n v="25"/>
    <n v="0"/>
    <n v="25"/>
    <n v="25"/>
    <n v="-1.0899999999999999"/>
    <n v="25"/>
    <n v="0"/>
    <n v="0"/>
    <n v="0"/>
    <n v="0"/>
    <n v="0"/>
    <n v="0"/>
    <n v="0"/>
    <n v="0"/>
    <n v="0"/>
    <n v="0"/>
    <n v="0"/>
    <n v="0"/>
    <n v="0"/>
    <n v="0"/>
    <n v="0"/>
    <n v="0"/>
    <n v="0"/>
    <n v="0"/>
    <n v="26.09"/>
    <n v="26.09"/>
    <n v="26.09"/>
    <n v="0"/>
    <n v="26.09"/>
    <n v="0"/>
    <n v="0"/>
    <n v="25"/>
    <n v="0"/>
    <n v="0"/>
    <n v="25"/>
    <n v="0"/>
    <n v="0"/>
    <n v="25"/>
    <n v="0"/>
    <n v="0"/>
    <n v="0"/>
    <n v="25"/>
    <n v="0"/>
    <n v="0"/>
    <n v="0"/>
    <n v="0"/>
    <n v="0"/>
    <n v="0"/>
    <n v="0"/>
    <n v="0"/>
    <n v="0"/>
    <m/>
    <m/>
    <m/>
    <m/>
    <m/>
    <m/>
    <m/>
    <m/>
    <s v="1"/>
    <s v="1"/>
    <s v="0"/>
    <s v="1"/>
    <s v="1"/>
    <m/>
    <m/>
    <m/>
    <m/>
    <m/>
    <m/>
    <m/>
    <m/>
    <m/>
    <m/>
    <m/>
    <m/>
    <m/>
    <m/>
  </r>
  <r>
    <n v="742"/>
    <d v="2025-03-19T00:00:00"/>
    <s v="ZBTO"/>
    <n v="9518613349"/>
    <n v="1"/>
    <s v="9518613349-1"/>
    <s v="No Priority"/>
    <x v="0"/>
    <m/>
    <x v="1"/>
    <x v="2"/>
    <s v="2000-BPRS"/>
    <m/>
    <x v="0"/>
    <m/>
    <m/>
    <s v="Orissa"/>
    <s v="East"/>
    <s v="TANGI"/>
    <s v="Sheet"/>
    <n v="117061"/>
    <x v="25"/>
    <n v="3240785"/>
    <s v="CRCA SHEET TSBCRC SR15 0.600X1250X2500"/>
    <s v=" "/>
    <s v=""/>
    <n v="0.1"/>
    <n v="5"/>
    <s v="Wider"/>
    <s v="C06"/>
    <s v="TSBCRC"/>
    <s v="SR15"/>
    <n v="0.6"/>
    <n v="1250"/>
    <n v="2500"/>
    <n v="50"/>
    <n v="5.7"/>
    <n v="44.3"/>
    <n v="-9.1850000000000005"/>
    <n v="0"/>
    <n v="0.97499999999999998"/>
    <n v="0"/>
    <n v="0"/>
    <n v="0"/>
    <n v="0"/>
    <n v="0"/>
    <n v="0"/>
    <n v="0"/>
    <n v="0"/>
    <n v="0"/>
    <n v="0"/>
    <n v="0"/>
    <n v="0"/>
    <n v="0"/>
    <n v="0"/>
    <n v="0"/>
    <n v="0"/>
    <n v="0"/>
    <n v="0"/>
    <n v="0"/>
    <n v="0"/>
    <n v="0"/>
    <n v="0"/>
    <n v="0"/>
    <n v="0"/>
    <n v="0"/>
    <n v="50"/>
    <n v="0"/>
    <n v="0"/>
    <n v="0"/>
    <n v="50"/>
    <n v="0"/>
    <n v="50"/>
    <n v="0"/>
    <n v="0"/>
    <n v="0"/>
    <n v="0"/>
    <n v="50"/>
    <n v="0"/>
    <n v="0"/>
    <n v="0"/>
    <n v="0"/>
    <n v="0"/>
    <n v="0"/>
    <n v="0"/>
    <n v="0"/>
    <m/>
    <m/>
    <m/>
    <m/>
    <m/>
    <m/>
    <m/>
    <m/>
    <s v="1"/>
    <s v="1"/>
    <s v="1"/>
    <s v="0"/>
    <s v="1"/>
    <m/>
    <m/>
    <m/>
    <m/>
    <m/>
    <m/>
    <m/>
    <m/>
    <m/>
    <m/>
    <m/>
    <m/>
    <m/>
    <m/>
  </r>
  <r>
    <n v="743"/>
    <d v="2025-03-26T00:00:00"/>
    <s v="ZBTO"/>
    <n v="9518636677"/>
    <n v="1"/>
    <s v="9518636677-1"/>
    <s v="No Priority"/>
    <x v="0"/>
    <m/>
    <x v="4"/>
    <x v="13"/>
    <n v="1000"/>
    <m/>
    <x v="0"/>
    <m/>
    <m/>
    <s v="West Bengal"/>
    <s v="East"/>
    <s v="PANCHALA"/>
    <s v="Coil"/>
    <n v="101122"/>
    <x v="58"/>
    <n v="3988091"/>
    <s v="GL COIL HARD  Y550GL H7GL 0.440X1240"/>
    <n v="70"/>
    <m/>
    <n v="7.0010000000000003"/>
    <n v="15"/>
    <s v="Wider"/>
    <s v="B04"/>
    <s v="Y550GL"/>
    <s v="H7GL"/>
    <n v="0.44"/>
    <n v="1240"/>
    <n v="0"/>
    <n v="560"/>
    <n v="476.56"/>
    <n v="83.44"/>
    <n v="-0.08"/>
    <n v="0"/>
    <n v="1.2050000000000001"/>
    <n v="0"/>
    <n v="0"/>
    <n v="0"/>
    <n v="0"/>
    <n v="0"/>
    <n v="0"/>
    <n v="0"/>
    <n v="0"/>
    <n v="0"/>
    <n v="0"/>
    <n v="0"/>
    <n v="0"/>
    <n v="0"/>
    <n v="0"/>
    <n v="0"/>
    <n v="0"/>
    <n v="0"/>
    <n v="0"/>
    <n v="0"/>
    <n v="0"/>
    <n v="0"/>
    <n v="0"/>
    <n v="0"/>
    <m/>
    <n v="0"/>
    <n v="560"/>
    <n v="0"/>
    <n v="560"/>
    <n v="0"/>
    <n v="0"/>
    <n v="0"/>
    <n v="560"/>
    <n v="0"/>
    <n v="560"/>
    <n v="0"/>
    <n v="0"/>
    <n v="0"/>
    <n v="0"/>
    <n v="174.14"/>
    <n v="0"/>
    <n v="174.14"/>
    <n v="0"/>
    <n v="0"/>
    <n v="0"/>
    <n v="0"/>
    <m/>
    <m/>
    <m/>
    <m/>
    <m/>
    <m/>
    <m/>
    <m/>
    <s v="1"/>
    <s v="0"/>
    <s v="1"/>
    <s v="1"/>
    <s v="1"/>
    <m/>
    <m/>
    <m/>
    <m/>
    <m/>
    <m/>
    <m/>
    <m/>
    <m/>
    <m/>
    <m/>
    <m/>
    <m/>
    <m/>
  </r>
  <r>
    <n v="743"/>
    <d v="2025-03-26T00:00:00"/>
    <s v="ZBTO"/>
    <n v="9518636677"/>
    <n v="2"/>
    <s v="9518636677-2"/>
    <s v="No Priority"/>
    <x v="0"/>
    <m/>
    <x v="4"/>
    <x v="13"/>
    <n v="1000"/>
    <m/>
    <x v="0"/>
    <m/>
    <m/>
    <s v="West Bengal"/>
    <s v="East"/>
    <s v="PANCHALA"/>
    <s v="Coil"/>
    <n v="101122"/>
    <x v="58"/>
    <n v="3988091"/>
    <s v="GL COIL HARD  Y550GL H7GL 0.440X1240"/>
    <n v="70"/>
    <m/>
    <n v="7.0010000000000003"/>
    <n v="15"/>
    <s v="Wider"/>
    <s v="B04"/>
    <s v="Y550GL"/>
    <s v="H7GL"/>
    <n v="0.44"/>
    <n v="1240"/>
    <n v="0"/>
    <n v="560"/>
    <n v="490.19499999999999"/>
    <n v="69.805000000000007"/>
    <n v="14.629"/>
    <n v="69.805000000000007"/>
    <n v="17.844999999999999"/>
    <n v="0"/>
    <n v="0"/>
    <n v="0"/>
    <n v="0"/>
    <n v="0"/>
    <n v="0"/>
    <n v="0"/>
    <n v="0"/>
    <n v="0"/>
    <n v="0"/>
    <n v="0"/>
    <n v="0"/>
    <n v="0"/>
    <n v="0"/>
    <n v="0"/>
    <n v="0"/>
    <n v="0"/>
    <n v="0"/>
    <n v="0"/>
    <n v="0"/>
    <n v="0"/>
    <n v="0"/>
    <n v="0"/>
    <m/>
    <n v="0"/>
    <n v="560"/>
    <n v="0"/>
    <n v="0"/>
    <n v="560"/>
    <n v="0"/>
    <n v="0"/>
    <n v="560"/>
    <n v="0"/>
    <n v="0"/>
    <n v="0"/>
    <n v="560"/>
    <n v="0"/>
    <n v="0"/>
    <n v="0"/>
    <n v="0"/>
    <n v="0"/>
    <n v="0"/>
    <n v="0"/>
    <n v="0"/>
    <n v="0"/>
    <m/>
    <m/>
    <m/>
    <m/>
    <m/>
    <m/>
    <m/>
    <m/>
    <s v="1"/>
    <s v="1"/>
    <s v="0"/>
    <s v="1"/>
    <s v="1"/>
    <m/>
    <m/>
    <m/>
    <m/>
    <m/>
    <m/>
    <m/>
    <m/>
    <m/>
    <m/>
    <m/>
    <m/>
    <m/>
    <m/>
  </r>
  <r>
    <n v="743"/>
    <d v="2025-03-26T00:00:00"/>
    <s v="ZBTO"/>
    <n v="9518636677"/>
    <n v="3"/>
    <s v="9518636677-3"/>
    <s v="No Priority"/>
    <x v="0"/>
    <m/>
    <x v="4"/>
    <x v="13"/>
    <n v="1000"/>
    <m/>
    <x v="0"/>
    <m/>
    <m/>
    <s v="West Bengal"/>
    <s v="East"/>
    <s v="PANCHALA"/>
    <s v="Coil"/>
    <n v="101122"/>
    <x v="58"/>
    <n v="3988091"/>
    <s v="GL COIL HARD  Y550GL H7GL 0.440X1240"/>
    <n v="70"/>
    <m/>
    <n v="7.0010000000000003"/>
    <n v="15"/>
    <s v="Wider"/>
    <s v="B04"/>
    <s v="Y550GL"/>
    <s v="H7GL"/>
    <n v="0.44"/>
    <n v="1240"/>
    <n v="0"/>
    <n v="560"/>
    <n v="436.78500000000003"/>
    <n v="123.215"/>
    <n v="3.0739999999999998"/>
    <n v="113.9"/>
    <n v="7.42"/>
    <n v="0"/>
    <n v="0"/>
    <n v="0"/>
    <n v="0"/>
    <n v="0"/>
    <n v="0"/>
    <n v="0"/>
    <n v="1.5250000000000001"/>
    <n v="0"/>
    <n v="0"/>
    <n v="0"/>
    <n v="0"/>
    <n v="0"/>
    <n v="0"/>
    <n v="0"/>
    <n v="0"/>
    <n v="0"/>
    <n v="0"/>
    <n v="7.79"/>
    <n v="9.3149999999999995"/>
    <n v="9.3149999999999995"/>
    <n v="0"/>
    <n v="9.3149999999999995"/>
    <m/>
    <n v="0"/>
    <n v="560"/>
    <n v="0"/>
    <n v="0"/>
    <n v="0"/>
    <n v="560"/>
    <n v="0"/>
    <n v="560"/>
    <n v="0"/>
    <n v="0"/>
    <n v="0"/>
    <n v="560"/>
    <n v="0"/>
    <n v="0"/>
    <n v="0"/>
    <n v="0"/>
    <n v="0"/>
    <n v="0"/>
    <n v="0"/>
    <n v="0"/>
    <n v="0"/>
    <m/>
    <m/>
    <m/>
    <m/>
    <m/>
    <m/>
    <m/>
    <m/>
    <s v="1"/>
    <s v="1"/>
    <s v="1"/>
    <s v="0"/>
    <s v="1"/>
    <m/>
    <m/>
    <m/>
    <m/>
    <m/>
    <m/>
    <m/>
    <m/>
    <m/>
    <m/>
    <m/>
    <m/>
    <m/>
    <m/>
  </r>
  <r>
    <n v="743"/>
    <d v="2025-03-26T00:00:00"/>
    <s v="ZBTO"/>
    <n v="9518636677"/>
    <n v="4"/>
    <s v="9518636677-4"/>
    <s v="May'25"/>
    <x v="0"/>
    <m/>
    <x v="4"/>
    <x v="13"/>
    <n v="1000"/>
    <m/>
    <x v="1"/>
    <m/>
    <m/>
    <s v="West Bengal"/>
    <s v="East"/>
    <s v="PANCHALA"/>
    <s v="Coil"/>
    <n v="101122"/>
    <x v="58"/>
    <n v="3988091"/>
    <s v="GL COIL HARD  Y550GL H7GL 0.440X1240"/>
    <n v="70"/>
    <m/>
    <n v="7.0010000000000003"/>
    <n v="15"/>
    <s v="Wider"/>
    <s v="B04"/>
    <s v="Y550GL"/>
    <s v="H7GL"/>
    <n v="0.44"/>
    <n v="1240"/>
    <n v="0"/>
    <n v="560"/>
    <n v="97.635000000000005"/>
    <n v="462.36500000000001"/>
    <n v="-22.663"/>
    <n v="0"/>
    <n v="42.74"/>
    <n v="0"/>
    <n v="0"/>
    <n v="0"/>
    <n v="0"/>
    <n v="0"/>
    <n v="0"/>
    <n v="0"/>
    <n v="13.540000000000001"/>
    <n v="0"/>
    <n v="0"/>
    <n v="0"/>
    <n v="0"/>
    <n v="0"/>
    <n v="0"/>
    <n v="0"/>
    <n v="0"/>
    <n v="0"/>
    <n v="0"/>
    <n v="0"/>
    <n v="13.540000000000001"/>
    <n v="13.540000000000001"/>
    <n v="0"/>
    <n v="13.540000000000001"/>
    <m/>
    <n v="0"/>
    <n v="560"/>
    <n v="0"/>
    <n v="0"/>
    <n v="0"/>
    <n v="560"/>
    <n v="0"/>
    <n v="560"/>
    <n v="0"/>
    <n v="0"/>
    <n v="0"/>
    <n v="0"/>
    <n v="560"/>
    <n v="0"/>
    <n v="0"/>
    <n v="0"/>
    <n v="0"/>
    <n v="0"/>
    <n v="0"/>
    <n v="0"/>
    <n v="0"/>
    <m/>
    <m/>
    <m/>
    <m/>
    <m/>
    <m/>
    <m/>
    <m/>
    <s v="1"/>
    <s v="1"/>
    <s v="1"/>
    <s v="0"/>
    <s v="1"/>
    <m/>
    <m/>
    <m/>
    <m/>
    <m/>
    <m/>
    <m/>
    <m/>
    <m/>
    <m/>
    <m/>
    <m/>
    <m/>
    <m/>
  </r>
  <r>
    <n v="743"/>
    <d v="2025-03-26T00:00:00"/>
    <s v="ZBTO"/>
    <n v="9518636677"/>
    <n v="5"/>
    <s v="9518636677-5"/>
    <s v="May'25"/>
    <x v="0"/>
    <m/>
    <x v="4"/>
    <x v="13"/>
    <n v="1000"/>
    <m/>
    <x v="1"/>
    <m/>
    <m/>
    <s v="West Bengal"/>
    <s v="East"/>
    <s v="PANCHALA"/>
    <s v="Coil"/>
    <n v="101122"/>
    <x v="58"/>
    <n v="3988091"/>
    <s v="GL COIL HARD  Y550GL H7GL 0.440X1240"/>
    <n v="70"/>
    <m/>
    <n v="7.0010000000000003"/>
    <n v="15"/>
    <s v="Wider"/>
    <s v="B04"/>
    <s v="Y550GL"/>
    <s v="H7GL"/>
    <n v="0.44"/>
    <n v="1240"/>
    <n v="0"/>
    <n v="560"/>
    <n v="0"/>
    <n v="560"/>
    <n v="333.31"/>
    <n v="0"/>
    <n v="49.354999999999997"/>
    <n v="0"/>
    <n v="0"/>
    <n v="0"/>
    <n v="0"/>
    <n v="0"/>
    <n v="24.6"/>
    <n v="0"/>
    <n v="0"/>
    <n v="0"/>
    <n v="0"/>
    <n v="0"/>
    <n v="0"/>
    <n v="0"/>
    <n v="0"/>
    <n v="0"/>
    <n v="0"/>
    <n v="0"/>
    <n v="0"/>
    <n v="13.84"/>
    <n v="38.44"/>
    <n v="38.44"/>
    <n v="333"/>
    <n v="371.44"/>
    <m/>
    <n v="0"/>
    <n v="560"/>
    <n v="0"/>
    <n v="0"/>
    <n v="0"/>
    <n v="0"/>
    <n v="560"/>
    <n v="0"/>
    <n v="0"/>
    <n v="0"/>
    <n v="0"/>
    <n v="0"/>
    <n v="0"/>
    <n v="560"/>
    <n v="0"/>
    <n v="0"/>
    <n v="0"/>
    <n v="0"/>
    <n v="0"/>
    <n v="0"/>
    <n v="0"/>
    <m/>
    <m/>
    <m/>
    <m/>
    <m/>
    <m/>
    <m/>
    <m/>
    <s v="1"/>
    <s v="1"/>
    <s v="1"/>
    <s v="1"/>
    <s v="0"/>
    <m/>
    <m/>
    <m/>
    <m/>
    <m/>
    <m/>
    <m/>
    <m/>
    <m/>
    <m/>
    <m/>
    <m/>
    <m/>
    <m/>
  </r>
  <r>
    <n v="743"/>
    <d v="2025-03-26T00:00:00"/>
    <s v="ZBTO"/>
    <n v="9518636677"/>
    <n v="6"/>
    <s v="9518636677-6"/>
    <s v="May'25"/>
    <x v="0"/>
    <m/>
    <x v="4"/>
    <x v="13"/>
    <n v="1000"/>
    <m/>
    <x v="1"/>
    <m/>
    <m/>
    <s v="West Bengal"/>
    <s v="East"/>
    <s v="PANCHALA"/>
    <s v="Coil"/>
    <n v="101122"/>
    <x v="58"/>
    <n v="3988091"/>
    <s v="GL COIL HARD  Y550GL H7GL 0.440X1240"/>
    <n v="70"/>
    <m/>
    <n v="7.0010000000000003"/>
    <n v="15"/>
    <s v="Wider"/>
    <s v="B04"/>
    <s v="Y550GL"/>
    <s v="H7GL"/>
    <n v="0.44"/>
    <n v="1240"/>
    <n v="0"/>
    <n v="224"/>
    <n v="0"/>
    <n v="224"/>
    <n v="224"/>
    <n v="0"/>
    <n v="36.884999999999998"/>
    <n v="0"/>
    <n v="0"/>
    <n v="0"/>
    <n v="0"/>
    <n v="0"/>
    <n v="28.3"/>
    <n v="0"/>
    <n v="6.2350000000000003"/>
    <n v="0"/>
    <n v="0"/>
    <n v="0"/>
    <n v="0"/>
    <n v="0"/>
    <n v="0"/>
    <n v="0"/>
    <n v="0"/>
    <n v="0"/>
    <n v="0"/>
    <n v="0"/>
    <n v="34.535000000000004"/>
    <n v="34.535000000000004"/>
    <n v="224"/>
    <n v="258.53500000000003"/>
    <m/>
    <n v="0"/>
    <n v="224"/>
    <n v="0"/>
    <n v="0"/>
    <n v="0"/>
    <n v="0"/>
    <n v="224"/>
    <n v="0"/>
    <n v="0"/>
    <n v="0"/>
    <n v="0"/>
    <n v="0"/>
    <n v="0"/>
    <n v="224"/>
    <n v="0"/>
    <n v="0"/>
    <n v="0"/>
    <n v="0"/>
    <n v="0"/>
    <n v="0"/>
    <n v="0"/>
    <m/>
    <m/>
    <m/>
    <m/>
    <m/>
    <m/>
    <m/>
    <m/>
    <s v="1"/>
    <s v="1"/>
    <s v="1"/>
    <s v="1"/>
    <s v="0"/>
    <m/>
    <m/>
    <m/>
    <m/>
    <m/>
    <m/>
    <m/>
    <m/>
    <m/>
    <m/>
    <m/>
    <m/>
    <m/>
    <m/>
  </r>
  <r>
    <n v="742"/>
    <d v="2025-01-03T00:00:00"/>
    <s v="ZBTO"/>
    <n v="9518403237"/>
    <n v="1"/>
    <s v="9518403237-1"/>
    <s v="No Priority"/>
    <x v="0"/>
    <m/>
    <x v="1"/>
    <x v="2"/>
    <n v="2000"/>
    <m/>
    <x v="0"/>
    <m/>
    <m/>
    <s v="Jharkhand"/>
    <s v="East"/>
    <s v="BOKARO STEEL CY"/>
    <s v="Sheet"/>
    <n v="121328"/>
    <x v="10"/>
    <n v="2440959"/>
    <s v="CRCA SHEET TATCRC SR16 0.330X900X2500"/>
    <m/>
    <m/>
    <m/>
    <m/>
    <s v="Narrow"/>
    <s v="C06"/>
    <s v="TATCRC"/>
    <s v="SR16"/>
    <n v="0.33"/>
    <n v="900"/>
    <n v="2500"/>
    <n v="42"/>
    <n v="0"/>
    <n v="42"/>
    <n v="42"/>
    <n v="0"/>
    <n v="0"/>
    <n v="0"/>
    <n v="0"/>
    <n v="0"/>
    <n v="0"/>
    <n v="0"/>
    <n v="0"/>
    <n v="0"/>
    <n v="0"/>
    <n v="0"/>
    <n v="0"/>
    <n v="0"/>
    <n v="0"/>
    <n v="0"/>
    <n v="0"/>
    <n v="0"/>
    <n v="0"/>
    <n v="0"/>
    <n v="0"/>
    <n v="0"/>
    <n v="0"/>
    <n v="0"/>
    <n v="0"/>
    <n v="0"/>
    <m/>
    <n v="0"/>
    <n v="42"/>
    <n v="0"/>
    <n v="0"/>
    <n v="0"/>
    <n v="42"/>
    <n v="0"/>
    <n v="42"/>
    <n v="0"/>
    <n v="0"/>
    <n v="0"/>
    <n v="0"/>
    <n v="42"/>
    <n v="0"/>
    <n v="0"/>
    <n v="0"/>
    <n v="0"/>
    <n v="0"/>
    <n v="0"/>
    <n v="0"/>
    <n v="0"/>
    <m/>
    <m/>
    <m/>
    <m/>
    <m/>
    <m/>
    <m/>
    <m/>
    <s v="1"/>
    <s v="1"/>
    <s v="1"/>
    <s v="0"/>
    <s v="1"/>
    <m/>
    <m/>
    <m/>
    <m/>
    <m/>
    <m/>
    <m/>
    <m/>
    <m/>
    <m/>
    <m/>
    <m/>
    <m/>
    <m/>
  </r>
  <r>
    <n v="742"/>
    <d v="2025-01-03T00:00:00"/>
    <s v="ZBTO"/>
    <n v="9518403237"/>
    <n v="2"/>
    <s v="9518403237-2"/>
    <s v="No Priority"/>
    <x v="0"/>
    <m/>
    <x v="1"/>
    <x v="2"/>
    <n v="2000"/>
    <m/>
    <x v="0"/>
    <m/>
    <m/>
    <s v="Jharkhand"/>
    <s v="East"/>
    <s v="BOKARO STEEL CY"/>
    <s v="Sheet"/>
    <n v="121328"/>
    <x v="10"/>
    <n v="3152197"/>
    <s v="CRCA SHEET TATCRC SR16 0.330X1000X2500"/>
    <m/>
    <m/>
    <m/>
    <m/>
    <s v="Narrow"/>
    <s v="C06"/>
    <s v="TATCRC"/>
    <s v="SR16"/>
    <n v="0.33"/>
    <n v="1000"/>
    <n v="2500"/>
    <n v="45"/>
    <n v="0"/>
    <n v="45"/>
    <n v="-1"/>
    <n v="0"/>
    <n v="0"/>
    <n v="0"/>
    <n v="0"/>
    <n v="0"/>
    <n v="0"/>
    <n v="0"/>
    <n v="0"/>
    <n v="0"/>
    <n v="0"/>
    <n v="0"/>
    <n v="0"/>
    <n v="0"/>
    <n v="0"/>
    <n v="0"/>
    <n v="0"/>
    <n v="0"/>
    <n v="0"/>
    <n v="0"/>
    <n v="0"/>
    <n v="0"/>
    <n v="0"/>
    <n v="0"/>
    <n v="0"/>
    <n v="0"/>
    <m/>
    <n v="0"/>
    <n v="45"/>
    <n v="0"/>
    <n v="0"/>
    <n v="45"/>
    <n v="0"/>
    <n v="0"/>
    <n v="45"/>
    <n v="0"/>
    <n v="0"/>
    <n v="0"/>
    <n v="45"/>
    <n v="0"/>
    <n v="0"/>
    <n v="0"/>
    <n v="0"/>
    <n v="0"/>
    <n v="0"/>
    <n v="0"/>
    <n v="0"/>
    <n v="0"/>
    <m/>
    <m/>
    <m/>
    <m/>
    <m/>
    <m/>
    <m/>
    <m/>
    <s v="1"/>
    <s v="1"/>
    <s v="0"/>
    <s v="1"/>
    <s v="1"/>
    <m/>
    <m/>
    <m/>
    <m/>
    <m/>
    <m/>
    <m/>
    <m/>
    <m/>
    <m/>
    <m/>
    <m/>
    <m/>
    <m/>
  </r>
  <r>
    <n v="742"/>
    <d v="2025-01-03T00:00:00"/>
    <s v="ZBTO"/>
    <n v="9518403237"/>
    <n v="3"/>
    <s v="9518403237-3"/>
    <s v="No Priority"/>
    <x v="0"/>
    <m/>
    <x v="1"/>
    <x v="2"/>
    <n v="2000"/>
    <m/>
    <x v="0"/>
    <m/>
    <m/>
    <s v="Jharkhand"/>
    <s v="East"/>
    <s v="BOKARO STEEL CY"/>
    <s v="Sheet"/>
    <n v="121328"/>
    <x v="10"/>
    <n v="2441001"/>
    <s v="CRCA SHEET TATCRC SR16 0.380X900X2500"/>
    <m/>
    <m/>
    <m/>
    <m/>
    <s v="Narrow"/>
    <s v="C06"/>
    <s v="TATCRC"/>
    <s v="SR16"/>
    <n v="0.38"/>
    <n v="900"/>
    <n v="2500"/>
    <n v="42"/>
    <n v="0"/>
    <n v="42"/>
    <n v="-0.32"/>
    <n v="0"/>
    <n v="0"/>
    <n v="0"/>
    <n v="0"/>
    <n v="0"/>
    <n v="0"/>
    <n v="0"/>
    <n v="0"/>
    <n v="0"/>
    <n v="0"/>
    <n v="0"/>
    <n v="0"/>
    <n v="0"/>
    <n v="0"/>
    <n v="0"/>
    <n v="0"/>
    <n v="0"/>
    <n v="0"/>
    <n v="0"/>
    <n v="0"/>
    <n v="0"/>
    <n v="0"/>
    <n v="0"/>
    <n v="0"/>
    <n v="0"/>
    <m/>
    <n v="0"/>
    <n v="42"/>
    <n v="0"/>
    <n v="0"/>
    <n v="0"/>
    <n v="42"/>
    <n v="0"/>
    <n v="42"/>
    <n v="0"/>
    <n v="0"/>
    <n v="0"/>
    <n v="0"/>
    <n v="42"/>
    <n v="0"/>
    <n v="0"/>
    <n v="0"/>
    <n v="0"/>
    <n v="0"/>
    <n v="0"/>
    <n v="0"/>
    <n v="0"/>
    <m/>
    <m/>
    <m/>
    <m/>
    <m/>
    <m/>
    <m/>
    <m/>
    <s v="1"/>
    <s v="1"/>
    <s v="1"/>
    <s v="0"/>
    <s v="1"/>
    <m/>
    <m/>
    <m/>
    <m/>
    <m/>
    <m/>
    <m/>
    <m/>
    <m/>
    <m/>
    <m/>
    <m/>
    <m/>
    <m/>
  </r>
  <r>
    <n v="742"/>
    <d v="2025-01-06T00:00:00"/>
    <s v="ZBTO"/>
    <n v="9518407284"/>
    <n v="3"/>
    <s v="9518407284-3"/>
    <s v="No Priority"/>
    <x v="0"/>
    <m/>
    <x v="1"/>
    <x v="2"/>
    <n v="2000"/>
    <m/>
    <x v="0"/>
    <m/>
    <m/>
    <s v="Tamil Nadu"/>
    <s v="South"/>
    <s v="CHENNAI"/>
    <s v="Sheet"/>
    <n v="116465"/>
    <x v="13"/>
    <n v="3239539"/>
    <s v="CRCA SHEET TATCRC SR16 0.350X1000X1980"/>
    <m/>
    <m/>
    <m/>
    <m/>
    <s v="Narrow"/>
    <s v="C06"/>
    <s v="TATCRC"/>
    <s v="SR16"/>
    <n v="0.35"/>
    <n v="1000"/>
    <n v="1980"/>
    <n v="24"/>
    <n v="0"/>
    <n v="24"/>
    <n v="0.71"/>
    <n v="0"/>
    <n v="0"/>
    <n v="0"/>
    <n v="0"/>
    <n v="0"/>
    <n v="0"/>
    <n v="0"/>
    <n v="0"/>
    <n v="0"/>
    <n v="0"/>
    <n v="0"/>
    <n v="0"/>
    <n v="0"/>
    <n v="0"/>
    <n v="0"/>
    <n v="0"/>
    <n v="0"/>
    <n v="0"/>
    <n v="0"/>
    <n v="0"/>
    <n v="0"/>
    <n v="0"/>
    <n v="0"/>
    <n v="0"/>
    <n v="0"/>
    <m/>
    <n v="0"/>
    <n v="24"/>
    <n v="0"/>
    <n v="0"/>
    <n v="0"/>
    <n v="24"/>
    <n v="0"/>
    <n v="24"/>
    <n v="0"/>
    <n v="0"/>
    <n v="0"/>
    <n v="0"/>
    <n v="24"/>
    <n v="0"/>
    <n v="0"/>
    <n v="0"/>
    <n v="0"/>
    <n v="0"/>
    <n v="0"/>
    <n v="0"/>
    <n v="0"/>
    <m/>
    <m/>
    <m/>
    <m/>
    <m/>
    <m/>
    <m/>
    <m/>
    <s v="1"/>
    <s v="1"/>
    <s v="1"/>
    <s v="0"/>
    <s v="1"/>
    <m/>
    <m/>
    <m/>
    <m/>
    <m/>
    <m/>
    <m/>
    <m/>
    <m/>
    <m/>
    <m/>
    <m/>
    <m/>
    <m/>
  </r>
  <r>
    <n v="742"/>
    <d v="2025-01-06T00:00:00"/>
    <s v="ZBTO"/>
    <n v="9518407392"/>
    <n v="4"/>
    <s v="9518407392-4"/>
    <s v="No Priority"/>
    <x v="0"/>
    <m/>
    <x v="1"/>
    <x v="2"/>
    <n v="2000"/>
    <m/>
    <x v="0"/>
    <m/>
    <m/>
    <s v="Tamil Nadu"/>
    <s v="South"/>
    <s v="SALEM JN"/>
    <s v="Sheet"/>
    <n v="116465"/>
    <x v="13"/>
    <n v="3239548"/>
    <s v="CRCA SHEET TATCRC SR16 0.400X900X2500"/>
    <m/>
    <m/>
    <m/>
    <m/>
    <s v="Narrow"/>
    <s v="C06"/>
    <s v="TATCRC"/>
    <s v="SR16"/>
    <n v="0.4"/>
    <n v="900"/>
    <n v="2500"/>
    <n v="21"/>
    <n v="0"/>
    <n v="21"/>
    <n v="-0.2"/>
    <n v="0"/>
    <n v="0"/>
    <n v="0"/>
    <n v="0"/>
    <n v="0"/>
    <n v="0"/>
    <n v="0"/>
    <n v="0"/>
    <n v="0"/>
    <n v="0"/>
    <n v="0"/>
    <n v="0"/>
    <n v="0"/>
    <n v="0"/>
    <n v="0"/>
    <n v="0"/>
    <n v="0"/>
    <n v="0"/>
    <n v="0"/>
    <n v="0"/>
    <n v="0"/>
    <n v="0"/>
    <n v="0"/>
    <n v="0"/>
    <n v="0"/>
    <m/>
    <n v="0"/>
    <n v="21"/>
    <n v="0"/>
    <n v="0"/>
    <n v="0"/>
    <n v="21"/>
    <n v="0"/>
    <n v="21"/>
    <n v="0"/>
    <n v="0"/>
    <n v="0"/>
    <n v="0"/>
    <n v="21"/>
    <n v="0"/>
    <n v="0"/>
    <n v="0"/>
    <n v="0"/>
    <n v="0"/>
    <n v="0"/>
    <n v="0"/>
    <n v="0"/>
    <m/>
    <m/>
    <m/>
    <m/>
    <m/>
    <m/>
    <m/>
    <m/>
    <s v="1"/>
    <s v="1"/>
    <s v="1"/>
    <s v="0"/>
    <s v="1"/>
    <m/>
    <m/>
    <m/>
    <m/>
    <m/>
    <m/>
    <m/>
    <m/>
    <m/>
    <m/>
    <m/>
    <m/>
    <m/>
    <m/>
  </r>
  <r>
    <n v="742"/>
    <d v="2025-01-06T00:00:00"/>
    <s v="ZBTO"/>
    <n v="9518407392"/>
    <n v="5"/>
    <s v="9518407392-5"/>
    <s v="No Priority"/>
    <x v="0"/>
    <m/>
    <x v="1"/>
    <x v="2"/>
    <n v="2000"/>
    <m/>
    <x v="0"/>
    <m/>
    <m/>
    <s v="Tamil Nadu"/>
    <s v="South"/>
    <s v="SALEM JN"/>
    <s v="Sheet"/>
    <n v="116465"/>
    <x v="13"/>
    <n v="3239552"/>
    <s v="CRCA SHEET TATCRC SR16 0.400X1000X1980"/>
    <m/>
    <m/>
    <m/>
    <m/>
    <s v="Narrow"/>
    <s v="C06"/>
    <s v="TATCRC"/>
    <s v="SR16"/>
    <n v="0.4"/>
    <n v="1000"/>
    <n v="1980"/>
    <n v="21"/>
    <n v="0"/>
    <n v="21"/>
    <n v="-2.11"/>
    <n v="0"/>
    <n v="0"/>
    <n v="0"/>
    <n v="0"/>
    <n v="0"/>
    <n v="0"/>
    <n v="0"/>
    <n v="0"/>
    <n v="0"/>
    <n v="0"/>
    <n v="0"/>
    <n v="0"/>
    <n v="0"/>
    <n v="0"/>
    <n v="0"/>
    <n v="0"/>
    <n v="0"/>
    <n v="0"/>
    <n v="0"/>
    <n v="0"/>
    <n v="0"/>
    <n v="0"/>
    <n v="0"/>
    <n v="0"/>
    <n v="0"/>
    <m/>
    <n v="0"/>
    <n v="21"/>
    <n v="0"/>
    <n v="0"/>
    <n v="21"/>
    <n v="0"/>
    <n v="0"/>
    <n v="21"/>
    <n v="0"/>
    <n v="0"/>
    <n v="0"/>
    <n v="21"/>
    <n v="0"/>
    <n v="0"/>
    <n v="0"/>
    <n v="0"/>
    <n v="0"/>
    <n v="0"/>
    <n v="0"/>
    <n v="0"/>
    <n v="0"/>
    <m/>
    <m/>
    <m/>
    <m/>
    <m/>
    <m/>
    <m/>
    <m/>
    <s v="1"/>
    <s v="1"/>
    <s v="0"/>
    <s v="1"/>
    <s v="1"/>
    <m/>
    <m/>
    <m/>
    <m/>
    <m/>
    <m/>
    <m/>
    <m/>
    <m/>
    <m/>
    <m/>
    <m/>
    <m/>
    <m/>
  </r>
  <r>
    <n v="742"/>
    <d v="2025-01-11T00:00:00"/>
    <s v="ZBTO"/>
    <n v="9518421413"/>
    <n v="1"/>
    <s v="9518421413-1"/>
    <s v="No Priority"/>
    <x v="0"/>
    <m/>
    <x v="1"/>
    <x v="2"/>
    <n v="2000"/>
    <m/>
    <x v="0"/>
    <m/>
    <m/>
    <s v="Jharkhand"/>
    <s v="East"/>
    <s v="BOKARO"/>
    <s v="Sheet"/>
    <n v="185794"/>
    <x v="12"/>
    <n v="3239408"/>
    <s v="CRCA SHEET TATCRC SR16 0.300X900X2500"/>
    <m/>
    <m/>
    <m/>
    <m/>
    <s v="Narrow"/>
    <s v="C06"/>
    <s v="TATCRC"/>
    <s v="SR16"/>
    <n v="0.3"/>
    <n v="900"/>
    <n v="2500"/>
    <n v="74.98"/>
    <n v="37.049999999999997"/>
    <n v="37.93"/>
    <n v="-1.25"/>
    <n v="0"/>
    <n v="0"/>
    <n v="0"/>
    <n v="0"/>
    <n v="0"/>
    <n v="0"/>
    <n v="0"/>
    <n v="0"/>
    <n v="0"/>
    <n v="0"/>
    <n v="0"/>
    <n v="0"/>
    <n v="0"/>
    <n v="0"/>
    <n v="0"/>
    <n v="0"/>
    <n v="0"/>
    <n v="0"/>
    <n v="0"/>
    <n v="0"/>
    <n v="0"/>
    <n v="0"/>
    <n v="0"/>
    <n v="0"/>
    <n v="0"/>
    <m/>
    <n v="0"/>
    <n v="75"/>
    <n v="0"/>
    <n v="0"/>
    <n v="75"/>
    <n v="0"/>
    <n v="0"/>
    <n v="75"/>
    <n v="0"/>
    <n v="0"/>
    <n v="0"/>
    <n v="75"/>
    <n v="0"/>
    <n v="0"/>
    <n v="30.230000000000004"/>
    <n v="0"/>
    <n v="0"/>
    <n v="30.230000000000004"/>
    <n v="0"/>
    <n v="0"/>
    <n v="0"/>
    <m/>
    <m/>
    <m/>
    <m/>
    <m/>
    <m/>
    <m/>
    <m/>
    <s v="1"/>
    <s v="1"/>
    <s v="0"/>
    <s v="1"/>
    <s v="1"/>
    <m/>
    <m/>
    <m/>
    <m/>
    <m/>
    <m/>
    <m/>
    <m/>
    <m/>
    <m/>
    <m/>
    <m/>
    <m/>
    <m/>
  </r>
  <r>
    <n v="742"/>
    <d v="2025-01-21T00:00:00"/>
    <s v="ZBTO"/>
    <n v="9518447967"/>
    <n v="3"/>
    <s v="9518447967-3"/>
    <s v="No Priority"/>
    <x v="0"/>
    <m/>
    <x v="1"/>
    <x v="2"/>
    <n v="2000"/>
    <m/>
    <x v="0"/>
    <m/>
    <m/>
    <s v="West Bengal"/>
    <s v="East"/>
    <s v="HOWRAH"/>
    <s v="Sheet"/>
    <n v="101278"/>
    <x v="11"/>
    <n v="3239548"/>
    <s v="CRCA SHEET TATCRC SR16 0.400X900X2500"/>
    <m/>
    <m/>
    <m/>
    <m/>
    <s v="Narrow"/>
    <s v="C06"/>
    <s v="TATCRC"/>
    <s v="SR16"/>
    <n v="0.4"/>
    <n v="900"/>
    <n v="2500"/>
    <n v="51"/>
    <n v="0"/>
    <n v="51"/>
    <n v="-13.07"/>
    <n v="0"/>
    <n v="0"/>
    <n v="0"/>
    <n v="0"/>
    <n v="0"/>
    <n v="0"/>
    <n v="0"/>
    <n v="0"/>
    <n v="0"/>
    <n v="0"/>
    <n v="0"/>
    <n v="0"/>
    <n v="0"/>
    <n v="0"/>
    <n v="0"/>
    <n v="0"/>
    <n v="0"/>
    <n v="0"/>
    <n v="0"/>
    <n v="0"/>
    <n v="0"/>
    <n v="0"/>
    <n v="0"/>
    <n v="0"/>
    <n v="0"/>
    <m/>
    <n v="0"/>
    <n v="51"/>
    <n v="0"/>
    <n v="0"/>
    <n v="0"/>
    <n v="51"/>
    <n v="0"/>
    <n v="51"/>
    <n v="0"/>
    <n v="0"/>
    <n v="0"/>
    <n v="0"/>
    <n v="51"/>
    <n v="0"/>
    <n v="0"/>
    <n v="0"/>
    <n v="0"/>
    <n v="0"/>
    <n v="0"/>
    <n v="0"/>
    <n v="0"/>
    <m/>
    <m/>
    <m/>
    <m/>
    <m/>
    <m/>
    <m/>
    <m/>
    <s v="1"/>
    <s v="1"/>
    <s v="1"/>
    <s v="0"/>
    <s v="1"/>
    <m/>
    <m/>
    <m/>
    <m/>
    <m/>
    <m/>
    <m/>
    <m/>
    <m/>
    <m/>
    <m/>
    <m/>
    <m/>
    <m/>
  </r>
  <r>
    <n v="742"/>
    <d v="2025-01-23T00:00:00"/>
    <s v="ZBTO"/>
    <n v="9518454228"/>
    <n v="1"/>
    <s v="9518454228-1"/>
    <s v="No Priority"/>
    <x v="0"/>
    <m/>
    <x v="1"/>
    <x v="2"/>
    <n v="2000"/>
    <m/>
    <x v="0"/>
    <m/>
    <s v="Exp BTF &lt;17MT"/>
    <s v="Maharashtra"/>
    <s v="North"/>
    <s v="NAGPUR"/>
    <s v="Sheet"/>
    <n v="103092"/>
    <x v="59"/>
    <n v="3239557"/>
    <s v="CRCA SHEET TATCRC SR16 0.400X1250X2500"/>
    <m/>
    <m/>
    <m/>
    <m/>
    <s v="Wider"/>
    <s v="C06"/>
    <s v="TATCRC"/>
    <s v="SR16"/>
    <n v="0.4"/>
    <n v="1250"/>
    <n v="0"/>
    <n v="60"/>
    <n v="0"/>
    <n v="60"/>
    <n v="5.59"/>
    <n v="60"/>
    <n v="0"/>
    <n v="0"/>
    <n v="0"/>
    <n v="0"/>
    <n v="0"/>
    <n v="0"/>
    <n v="0"/>
    <n v="0"/>
    <n v="0"/>
    <n v="0"/>
    <n v="0"/>
    <n v="0"/>
    <n v="0"/>
    <n v="0"/>
    <n v="0"/>
    <n v="0"/>
    <n v="0"/>
    <n v="0"/>
    <n v="0"/>
    <n v="0"/>
    <n v="0"/>
    <n v="0"/>
    <n v="0"/>
    <n v="0"/>
    <m/>
    <n v="0"/>
    <n v="60"/>
    <n v="0"/>
    <n v="0"/>
    <n v="0"/>
    <n v="60"/>
    <n v="0"/>
    <n v="60"/>
    <n v="0"/>
    <n v="0"/>
    <n v="0"/>
    <n v="0"/>
    <n v="60"/>
    <n v="0"/>
    <n v="0"/>
    <n v="0"/>
    <n v="0"/>
    <n v="0"/>
    <n v="0"/>
    <n v="0"/>
    <n v="0"/>
    <m/>
    <m/>
    <m/>
    <m/>
    <m/>
    <m/>
    <m/>
    <m/>
    <s v="1"/>
    <s v="1"/>
    <s v="1"/>
    <s v="0"/>
    <s v="1"/>
    <m/>
    <m/>
    <m/>
    <m/>
    <m/>
    <m/>
    <m/>
    <m/>
    <m/>
    <m/>
    <m/>
    <m/>
    <m/>
    <m/>
  </r>
  <r>
    <n v="743"/>
    <d v="2025-01-25T00:00:00"/>
    <s v="ZBTO"/>
    <n v="9518461407"/>
    <n v="1"/>
    <s v="9518461407-1"/>
    <s v="No Priority"/>
    <x v="0"/>
    <m/>
    <x v="4"/>
    <x v="3"/>
    <n v="1000"/>
    <m/>
    <x v="0"/>
    <m/>
    <m/>
    <s v="Jharkhand"/>
    <s v="TBSPL"/>
    <s v="ADITYAPUR"/>
    <s v="Coil"/>
    <n v="942284"/>
    <x v="39"/>
    <n v="3931932"/>
    <s v="GL COIL HARD  Y550GL M306 0.350X900"/>
    <m/>
    <m/>
    <m/>
    <m/>
    <s v="Narrow"/>
    <s v="B04"/>
    <s v="Y550GL"/>
    <s v="M306"/>
    <n v="0.35"/>
    <n v="900"/>
    <n v="0"/>
    <n v="21"/>
    <n v="0"/>
    <n v="21"/>
    <n v="21"/>
    <n v="21"/>
    <n v="0"/>
    <n v="0"/>
    <n v="0"/>
    <n v="0"/>
    <n v="0"/>
    <n v="0"/>
    <n v="0"/>
    <n v="0"/>
    <n v="0"/>
    <n v="0"/>
    <n v="0"/>
    <n v="0"/>
    <n v="0"/>
    <n v="0"/>
    <n v="0"/>
    <n v="0"/>
    <n v="0"/>
    <n v="0"/>
    <n v="0"/>
    <n v="0"/>
    <n v="0"/>
    <n v="0"/>
    <n v="0"/>
    <n v="0"/>
    <m/>
    <n v="0"/>
    <n v="21"/>
    <n v="0"/>
    <n v="0"/>
    <n v="0"/>
    <n v="0"/>
    <n v="21"/>
    <n v="0"/>
    <n v="0"/>
    <n v="0"/>
    <n v="0"/>
    <n v="0"/>
    <n v="0"/>
    <n v="21"/>
    <n v="0"/>
    <n v="0"/>
    <n v="0"/>
    <n v="0"/>
    <n v="0"/>
    <n v="0"/>
    <n v="0"/>
    <m/>
    <m/>
    <m/>
    <m/>
    <m/>
    <m/>
    <m/>
    <m/>
    <s v="1"/>
    <s v="1"/>
    <s v="1"/>
    <s v="1"/>
    <s v="0"/>
    <m/>
    <m/>
    <m/>
    <m/>
    <m/>
    <m/>
    <m/>
    <m/>
    <m/>
    <m/>
    <m/>
    <m/>
    <m/>
    <m/>
  </r>
  <r>
    <n v="743"/>
    <d v="2025-02-10T00:00:00"/>
    <s v="ZBTO"/>
    <n v="9518507116"/>
    <n v="2"/>
    <s v="9518507116-2"/>
    <s v="No Priority"/>
    <x v="0"/>
    <m/>
    <x v="3"/>
    <x v="9"/>
    <n v="2000"/>
    <m/>
    <x v="0"/>
    <m/>
    <m/>
    <s v="Assam"/>
    <s v="East"/>
    <s v="ABHOYAPUR"/>
    <s v="Coil"/>
    <n v="116649"/>
    <x v="24"/>
    <n v="1854380"/>
    <s v="GP COIL SOFT-TATXGP-GLK1-0.26X900"/>
    <m/>
    <m/>
    <m/>
    <m/>
    <s v="Narrow"/>
    <s v="C02"/>
    <s v="TATXGP"/>
    <s v="GLK1"/>
    <n v="0.26"/>
    <n v="900"/>
    <n v="0"/>
    <n v="63"/>
    <n v="49.94"/>
    <n v="13.06"/>
    <n v="-6.3550000000000004"/>
    <n v="0"/>
    <n v="3.05"/>
    <n v="0"/>
    <n v="0"/>
    <n v="0"/>
    <n v="0"/>
    <n v="0"/>
    <n v="0"/>
    <n v="0"/>
    <n v="0"/>
    <n v="0"/>
    <n v="0"/>
    <n v="0"/>
    <n v="0"/>
    <n v="0"/>
    <n v="0"/>
    <n v="0"/>
    <n v="0"/>
    <n v="0"/>
    <n v="0"/>
    <n v="0"/>
    <n v="0"/>
    <n v="0"/>
    <n v="0"/>
    <n v="0"/>
    <m/>
    <n v="13.11"/>
    <n v="49.89"/>
    <n v="0"/>
    <n v="0"/>
    <n v="49.89"/>
    <n v="0"/>
    <n v="0"/>
    <n v="63"/>
    <n v="0"/>
    <n v="0"/>
    <n v="63"/>
    <n v="0"/>
    <n v="0"/>
    <n v="0"/>
    <n v="49.94"/>
    <n v="0"/>
    <n v="0"/>
    <n v="49.89"/>
    <n v="0"/>
    <n v="0"/>
    <n v="4.9999999999997158E-2"/>
    <m/>
    <m/>
    <m/>
    <m/>
    <m/>
    <m/>
    <m/>
    <m/>
    <s v="1"/>
    <s v="1"/>
    <s v="1"/>
    <s v="1"/>
    <s v="1"/>
    <m/>
    <m/>
    <m/>
    <m/>
    <m/>
    <m/>
    <m/>
    <m/>
    <m/>
    <m/>
    <m/>
    <m/>
    <m/>
    <m/>
  </r>
  <r>
    <n v="743"/>
    <d v="2025-02-10T00:00:00"/>
    <s v="ZBTO"/>
    <n v="9518507131"/>
    <n v="4"/>
    <s v="9518507131-4"/>
    <s v="No Priority"/>
    <x v="0"/>
    <m/>
    <x v="3"/>
    <x v="9"/>
    <n v="2000"/>
    <m/>
    <x v="0"/>
    <m/>
    <m/>
    <s v="Assam"/>
    <s v="East"/>
    <s v="ABHOYAPUR"/>
    <s v="Coil"/>
    <n v="936511"/>
    <x v="60"/>
    <n v="1142896"/>
    <s v="GP COIL SOFT-TATXGP-GLK1-0.55X900"/>
    <m/>
    <m/>
    <m/>
    <m/>
    <s v="Narrow"/>
    <s v="C02"/>
    <s v="TATXGP"/>
    <s v="GLK1"/>
    <n v="0.55000000000000004"/>
    <n v="900"/>
    <n v="0"/>
    <n v="21"/>
    <n v="0"/>
    <n v="21"/>
    <n v="21"/>
    <n v="0"/>
    <n v="1.57"/>
    <n v="0"/>
    <n v="0"/>
    <n v="0"/>
    <n v="0"/>
    <n v="0"/>
    <n v="0"/>
    <n v="0"/>
    <n v="0"/>
    <n v="0"/>
    <n v="0"/>
    <n v="0"/>
    <n v="0"/>
    <n v="0"/>
    <n v="0"/>
    <n v="0"/>
    <n v="0"/>
    <n v="0"/>
    <n v="0"/>
    <n v="0"/>
    <n v="0"/>
    <n v="0"/>
    <n v="21"/>
    <n v="21"/>
    <m/>
    <n v="0"/>
    <n v="21"/>
    <n v="0"/>
    <n v="0"/>
    <n v="0"/>
    <n v="0"/>
    <n v="21"/>
    <n v="0"/>
    <n v="0"/>
    <n v="0"/>
    <n v="0"/>
    <n v="0"/>
    <n v="0"/>
    <n v="21"/>
    <n v="0"/>
    <n v="0"/>
    <n v="0"/>
    <n v="0"/>
    <n v="0"/>
    <n v="0"/>
    <n v="0"/>
    <m/>
    <m/>
    <m/>
    <m/>
    <m/>
    <m/>
    <m/>
    <m/>
    <s v="1"/>
    <s v="1"/>
    <s v="1"/>
    <s v="1"/>
    <s v="0"/>
    <m/>
    <m/>
    <m/>
    <m/>
    <m/>
    <m/>
    <m/>
    <m/>
    <m/>
    <m/>
    <m/>
    <m/>
    <m/>
    <m/>
  </r>
  <r>
    <n v="742"/>
    <d v="2025-02-10T00:00:00"/>
    <s v="ZBTO"/>
    <n v="9518507185"/>
    <n v="1"/>
    <s v="9518507185-1"/>
    <s v="May'25"/>
    <x v="0"/>
    <m/>
    <x v="1"/>
    <x v="2"/>
    <n v="2000"/>
    <m/>
    <x v="1"/>
    <m/>
    <m/>
    <s v="Jharkhand"/>
    <s v="East"/>
    <s v="BOKARO"/>
    <s v="Sheet"/>
    <n v="185794"/>
    <x v="12"/>
    <n v="3239408"/>
    <s v="CRCA SHEET TATCRC SR16 0.300X900X2500"/>
    <m/>
    <m/>
    <m/>
    <m/>
    <s v="Narrow"/>
    <s v="C06"/>
    <s v="TATCRC"/>
    <s v="SR16"/>
    <n v="0.3"/>
    <n v="900"/>
    <n v="2500"/>
    <n v="60"/>
    <n v="0"/>
    <n v="60"/>
    <n v="0.94"/>
    <n v="0"/>
    <n v="43.854999999999997"/>
    <n v="0"/>
    <n v="0"/>
    <n v="0"/>
    <n v="0"/>
    <n v="0"/>
    <n v="0"/>
    <n v="0"/>
    <n v="0"/>
    <n v="0.19"/>
    <n v="0"/>
    <n v="0"/>
    <n v="0"/>
    <n v="0"/>
    <n v="0"/>
    <n v="19.62"/>
    <n v="0"/>
    <n v="0"/>
    <n v="0"/>
    <n v="0"/>
    <n v="19.810000000000002"/>
    <n v="19.810000000000002"/>
    <n v="0"/>
    <n v="19.810000000000002"/>
    <m/>
    <n v="0"/>
    <n v="60"/>
    <n v="0"/>
    <n v="0"/>
    <n v="60"/>
    <n v="0"/>
    <n v="0"/>
    <n v="60"/>
    <n v="0"/>
    <n v="0"/>
    <n v="0"/>
    <n v="60"/>
    <n v="0"/>
    <n v="0"/>
    <n v="0"/>
    <n v="0"/>
    <n v="0"/>
    <n v="0"/>
    <n v="0"/>
    <n v="0"/>
    <n v="0"/>
    <m/>
    <m/>
    <m/>
    <m/>
    <m/>
    <m/>
    <m/>
    <m/>
    <s v="1"/>
    <s v="1"/>
    <s v="0"/>
    <s v="1"/>
    <s v="1"/>
    <m/>
    <m/>
    <m/>
    <m/>
    <m/>
    <m/>
    <m/>
    <m/>
    <m/>
    <m/>
    <m/>
    <m/>
    <m/>
    <m/>
  </r>
  <r>
    <n v="742"/>
    <d v="2025-02-10T00:00:00"/>
    <s v="ZBTO"/>
    <n v="9518507185"/>
    <n v="2"/>
    <s v="9518507185-2"/>
    <s v="No Priority"/>
    <x v="0"/>
    <m/>
    <x v="1"/>
    <x v="2"/>
    <n v="2000"/>
    <m/>
    <x v="0"/>
    <m/>
    <s v="Exp BTF &lt;17MT"/>
    <s v="Jharkhand"/>
    <s v="East"/>
    <s v="BOKARO"/>
    <s v="Sheet"/>
    <n v="185794"/>
    <x v="12"/>
    <n v="3239536"/>
    <s v="CRCA SHEET TATCRC SR16 0.350X900X2500"/>
    <m/>
    <m/>
    <m/>
    <m/>
    <s v="Narrow"/>
    <s v="C06"/>
    <s v="TATCRC"/>
    <s v="SR16"/>
    <n v="0.35"/>
    <n v="900"/>
    <n v="2500"/>
    <n v="59.99"/>
    <n v="56.064999999999998"/>
    <n v="3.9249999999999998"/>
    <n v="3.9249999999999998"/>
    <n v="3.9249999999999998"/>
    <n v="3.9249999999999998"/>
    <n v="0"/>
    <n v="0"/>
    <n v="0"/>
    <n v="0"/>
    <n v="0"/>
    <n v="0"/>
    <n v="0"/>
    <n v="0"/>
    <n v="0"/>
    <n v="0"/>
    <n v="0"/>
    <n v="0"/>
    <n v="0"/>
    <n v="0"/>
    <n v="0"/>
    <n v="0"/>
    <n v="0"/>
    <n v="0"/>
    <n v="0"/>
    <n v="0"/>
    <n v="0"/>
    <n v="0"/>
    <n v="0"/>
    <m/>
    <n v="0"/>
    <n v="60"/>
    <n v="60"/>
    <n v="0"/>
    <n v="0"/>
    <n v="0"/>
    <n v="0"/>
    <n v="60"/>
    <n v="0"/>
    <n v="60"/>
    <n v="0"/>
    <n v="0"/>
    <n v="0"/>
    <n v="0"/>
    <n v="56.065000000000005"/>
    <n v="56.065000000000005"/>
    <n v="0"/>
    <n v="0"/>
    <n v="0"/>
    <n v="0"/>
    <n v="0"/>
    <m/>
    <m/>
    <m/>
    <m/>
    <m/>
    <m/>
    <m/>
    <m/>
    <s v="1"/>
    <s v="1"/>
    <s v="1"/>
    <s v="1"/>
    <s v="1"/>
    <m/>
    <m/>
    <m/>
    <m/>
    <m/>
    <m/>
    <m/>
    <m/>
    <m/>
    <m/>
    <m/>
    <m/>
    <m/>
    <m/>
  </r>
  <r>
    <n v="742"/>
    <d v="2025-02-10T00:00:00"/>
    <s v="ZBTO"/>
    <n v="9518507185"/>
    <n v="3"/>
    <s v="9518507185-3"/>
    <s v="May'25"/>
    <x v="0"/>
    <m/>
    <x v="1"/>
    <x v="2"/>
    <n v="2000"/>
    <m/>
    <x v="1"/>
    <m/>
    <m/>
    <s v="Jharkhand"/>
    <s v="East"/>
    <s v="BOKARO"/>
    <s v="Sheet"/>
    <n v="185794"/>
    <x v="12"/>
    <n v="3239542"/>
    <s v="CRCA SHEET TATCRC SR16 0.350X1000X2500"/>
    <m/>
    <m/>
    <m/>
    <m/>
    <s v="Narrow"/>
    <s v="C06"/>
    <s v="TATCRC"/>
    <s v="SR16"/>
    <n v="0.35"/>
    <n v="1000"/>
    <n v="2500"/>
    <n v="21"/>
    <n v="0"/>
    <n v="21"/>
    <n v="-2.16"/>
    <n v="0"/>
    <n v="21"/>
    <n v="0"/>
    <n v="0"/>
    <n v="0"/>
    <n v="0"/>
    <n v="0"/>
    <n v="0"/>
    <n v="0"/>
    <n v="0"/>
    <n v="0"/>
    <n v="0"/>
    <n v="0"/>
    <n v="0"/>
    <n v="0"/>
    <n v="22.34"/>
    <n v="0"/>
    <n v="0"/>
    <n v="0"/>
    <n v="0"/>
    <n v="0"/>
    <n v="22.34"/>
    <n v="22.34"/>
    <n v="0"/>
    <n v="22.34"/>
    <m/>
    <n v="0"/>
    <n v="21"/>
    <n v="0"/>
    <n v="0"/>
    <n v="0"/>
    <n v="21"/>
    <n v="0"/>
    <n v="21"/>
    <n v="0"/>
    <n v="0"/>
    <n v="0"/>
    <n v="0"/>
    <n v="21"/>
    <n v="0"/>
    <n v="0"/>
    <n v="0"/>
    <n v="0"/>
    <n v="0"/>
    <n v="0"/>
    <n v="0"/>
    <n v="0"/>
    <m/>
    <m/>
    <m/>
    <m/>
    <m/>
    <m/>
    <m/>
    <m/>
    <s v="1"/>
    <s v="1"/>
    <s v="1"/>
    <s v="0"/>
    <s v="1"/>
    <m/>
    <m/>
    <m/>
    <m/>
    <m/>
    <m/>
    <m/>
    <m/>
    <m/>
    <m/>
    <m/>
    <m/>
    <m/>
    <m/>
  </r>
  <r>
    <n v="742"/>
    <d v="2025-02-10T00:00:00"/>
    <s v="ZBTO"/>
    <n v="9518507185"/>
    <n v="4"/>
    <s v="9518507185-4"/>
    <s v="May'25"/>
    <x v="0"/>
    <m/>
    <x v="1"/>
    <x v="2"/>
    <n v="2000"/>
    <m/>
    <x v="1"/>
    <m/>
    <m/>
    <s v="Jharkhand"/>
    <s v="East"/>
    <s v="BOKARO"/>
    <s v="Sheet"/>
    <n v="185794"/>
    <x v="12"/>
    <n v="3239548"/>
    <s v="CRCA SHEET TATCRC SR16 0.400X900X2500"/>
    <m/>
    <m/>
    <m/>
    <m/>
    <s v="Narrow"/>
    <s v="C06"/>
    <s v="TATCRC"/>
    <s v="SR16"/>
    <n v="0.4"/>
    <n v="900"/>
    <n v="2500"/>
    <n v="30"/>
    <n v="0"/>
    <n v="30"/>
    <n v="-13.25"/>
    <n v="0"/>
    <n v="30"/>
    <n v="0"/>
    <n v="0"/>
    <n v="0"/>
    <n v="0"/>
    <n v="0"/>
    <n v="0"/>
    <n v="0"/>
    <n v="0"/>
    <n v="20.355"/>
    <n v="0"/>
    <n v="0"/>
    <n v="0"/>
    <n v="0"/>
    <n v="21.26"/>
    <n v="0"/>
    <n v="0"/>
    <n v="0"/>
    <n v="0"/>
    <n v="0"/>
    <n v="41.615000000000002"/>
    <n v="41.615000000000002"/>
    <n v="0"/>
    <n v="41.615000000000002"/>
    <m/>
    <n v="0"/>
    <n v="30"/>
    <n v="0"/>
    <n v="0"/>
    <n v="0"/>
    <n v="30"/>
    <n v="0"/>
    <n v="30"/>
    <n v="0"/>
    <n v="0"/>
    <n v="0"/>
    <n v="0"/>
    <n v="30"/>
    <n v="0"/>
    <n v="0"/>
    <n v="0"/>
    <n v="0"/>
    <n v="0"/>
    <n v="0"/>
    <n v="0"/>
    <n v="0"/>
    <m/>
    <m/>
    <m/>
    <m/>
    <m/>
    <m/>
    <m/>
    <m/>
    <s v="1"/>
    <s v="1"/>
    <s v="1"/>
    <s v="0"/>
    <s v="1"/>
    <m/>
    <m/>
    <m/>
    <m/>
    <m/>
    <m/>
    <m/>
    <m/>
    <m/>
    <m/>
    <m/>
    <m/>
    <m/>
    <m/>
  </r>
  <r>
    <n v="742"/>
    <d v="2025-02-10T00:00:00"/>
    <s v="ZBTO"/>
    <n v="9518507185"/>
    <n v="5"/>
    <s v="9518507185-5"/>
    <s v="No Priority"/>
    <x v="0"/>
    <m/>
    <x v="1"/>
    <x v="2"/>
    <n v="2000"/>
    <m/>
    <x v="0"/>
    <m/>
    <m/>
    <s v="Jharkhand"/>
    <s v="East"/>
    <s v="BOKARO"/>
    <s v="Sheet"/>
    <n v="185794"/>
    <x v="12"/>
    <n v="3239557"/>
    <s v="CRCA SHEET TATCRC SR16 0.400X1250X2500"/>
    <m/>
    <m/>
    <m/>
    <m/>
    <s v="Wider"/>
    <s v="C06"/>
    <s v="TATCRC"/>
    <s v="SR16"/>
    <n v="0.4"/>
    <n v="1250"/>
    <n v="0"/>
    <n v="30"/>
    <n v="0"/>
    <n v="30"/>
    <n v="2.79"/>
    <n v="0"/>
    <n v="4.25"/>
    <n v="0"/>
    <n v="0"/>
    <n v="0"/>
    <n v="0"/>
    <n v="0"/>
    <n v="0"/>
    <n v="0"/>
    <n v="0"/>
    <n v="0"/>
    <n v="0"/>
    <n v="0"/>
    <n v="0"/>
    <n v="0"/>
    <n v="0"/>
    <n v="0"/>
    <n v="0"/>
    <n v="0"/>
    <n v="0"/>
    <n v="0"/>
    <n v="0"/>
    <n v="0"/>
    <n v="0"/>
    <n v="0"/>
    <m/>
    <n v="0"/>
    <n v="30"/>
    <n v="0"/>
    <n v="0"/>
    <n v="0"/>
    <n v="30"/>
    <n v="0"/>
    <n v="30"/>
    <n v="0"/>
    <n v="0"/>
    <n v="0"/>
    <n v="0"/>
    <n v="30"/>
    <n v="0"/>
    <n v="0"/>
    <n v="0"/>
    <n v="0"/>
    <n v="0"/>
    <n v="0"/>
    <n v="0"/>
    <n v="0"/>
    <m/>
    <m/>
    <m/>
    <m/>
    <m/>
    <m/>
    <m/>
    <m/>
    <s v="1"/>
    <s v="1"/>
    <s v="1"/>
    <s v="0"/>
    <s v="1"/>
    <m/>
    <m/>
    <m/>
    <m/>
    <m/>
    <m/>
    <m/>
    <m/>
    <m/>
    <m/>
    <m/>
    <m/>
    <m/>
    <m/>
  </r>
  <r>
    <n v="742"/>
    <d v="2025-02-10T00:00:00"/>
    <s v="ZBTO"/>
    <n v="9518507657"/>
    <n v="4"/>
    <s v="9518507657-4"/>
    <s v="Apr'25 "/>
    <x v="0"/>
    <m/>
    <x v="1"/>
    <x v="2"/>
    <n v="2000"/>
    <m/>
    <x v="1"/>
    <m/>
    <m/>
    <s v="Assam"/>
    <s v="East"/>
    <s v="ABHOYAPUR"/>
    <s v="Coil"/>
    <n v="116649"/>
    <x v="24"/>
    <n v="3516003"/>
    <s v="CR COIL TSBCRC SR25 0.600X1000"/>
    <m/>
    <m/>
    <m/>
    <m/>
    <s v="Narrow"/>
    <s v="C01"/>
    <s v="TSBCRC"/>
    <s v="SR25"/>
    <n v="0.6"/>
    <n v="1000"/>
    <n v="0"/>
    <n v="46"/>
    <n v="0"/>
    <n v="46"/>
    <n v="46"/>
    <n v="23.77"/>
    <n v="25.055"/>
    <n v="0"/>
    <n v="0"/>
    <n v="0"/>
    <n v="0"/>
    <n v="0"/>
    <n v="0"/>
    <n v="0"/>
    <n v="0"/>
    <n v="0"/>
    <n v="0"/>
    <n v="0"/>
    <n v="0"/>
    <n v="0"/>
    <n v="22.23"/>
    <n v="0"/>
    <n v="0"/>
    <n v="0"/>
    <n v="0"/>
    <n v="0"/>
    <n v="22.23"/>
    <n v="22.23"/>
    <n v="0"/>
    <n v="22.23"/>
    <m/>
    <n v="0"/>
    <n v="46"/>
    <n v="0"/>
    <n v="0"/>
    <n v="0"/>
    <n v="46"/>
    <n v="0"/>
    <n v="46"/>
    <n v="0"/>
    <n v="0"/>
    <n v="0"/>
    <n v="0"/>
    <n v="46"/>
    <n v="0"/>
    <n v="0"/>
    <n v="0"/>
    <n v="0"/>
    <n v="0"/>
    <n v="0"/>
    <n v="0"/>
    <n v="0"/>
    <m/>
    <m/>
    <m/>
    <m/>
    <m/>
    <m/>
    <m/>
    <m/>
    <s v="1"/>
    <s v="1"/>
    <s v="1"/>
    <s v="0"/>
    <s v="1"/>
    <m/>
    <m/>
    <m/>
    <m/>
    <m/>
    <m/>
    <m/>
    <m/>
    <m/>
    <m/>
    <m/>
    <m/>
    <m/>
    <m/>
  </r>
  <r>
    <n v="742"/>
    <d v="2025-02-10T00:00:00"/>
    <s v="ZBTO"/>
    <n v="9518507657"/>
    <n v="5"/>
    <s v="9518507657-5"/>
    <s v="Apr'25 "/>
    <x v="0"/>
    <m/>
    <x v="1"/>
    <x v="2"/>
    <n v="2000"/>
    <m/>
    <x v="1"/>
    <m/>
    <m/>
    <s v="Assam"/>
    <s v="East"/>
    <s v="ABHOYAPUR"/>
    <s v="Coil"/>
    <n v="116649"/>
    <x v="24"/>
    <n v="3241808"/>
    <s v="CR COIL TATCRC SR26 0.400X1250"/>
    <m/>
    <m/>
    <m/>
    <m/>
    <s v="Wider"/>
    <s v="C01"/>
    <s v="TATCRC"/>
    <s v="SR26"/>
    <n v="0.4"/>
    <n v="1250"/>
    <n v="0"/>
    <n v="58"/>
    <n v="0"/>
    <n v="58"/>
    <n v="58"/>
    <n v="58"/>
    <n v="58"/>
    <n v="0"/>
    <n v="0"/>
    <n v="0"/>
    <n v="0"/>
    <n v="0"/>
    <n v="0"/>
    <n v="0"/>
    <n v="0"/>
    <n v="0"/>
    <n v="0"/>
    <n v="0"/>
    <n v="0"/>
    <n v="0"/>
    <n v="0"/>
    <n v="0"/>
    <n v="0"/>
    <n v="0"/>
    <n v="0"/>
    <n v="0"/>
    <n v="0"/>
    <n v="0"/>
    <n v="0"/>
    <n v="0"/>
    <m/>
    <n v="0"/>
    <n v="58"/>
    <n v="0"/>
    <n v="0"/>
    <n v="0"/>
    <n v="58"/>
    <n v="0"/>
    <n v="58"/>
    <n v="0"/>
    <n v="0"/>
    <n v="0"/>
    <n v="0"/>
    <n v="58"/>
    <n v="0"/>
    <n v="0"/>
    <n v="0"/>
    <n v="0"/>
    <n v="0"/>
    <n v="0"/>
    <n v="0"/>
    <n v="0"/>
    <m/>
    <m/>
    <m/>
    <m/>
    <m/>
    <m/>
    <m/>
    <m/>
    <s v="1"/>
    <s v="1"/>
    <s v="1"/>
    <s v="0"/>
    <s v="1"/>
    <m/>
    <m/>
    <m/>
    <m/>
    <m/>
    <m/>
    <m/>
    <m/>
    <m/>
    <m/>
    <m/>
    <m/>
    <m/>
    <m/>
  </r>
  <r>
    <n v="742"/>
    <d v="2025-02-10T00:00:00"/>
    <s v="ZBTO"/>
    <n v="9518507657"/>
    <n v="6"/>
    <s v="9518507657-6"/>
    <s v="Apr'25 "/>
    <x v="0"/>
    <m/>
    <x v="1"/>
    <x v="2"/>
    <n v="2000"/>
    <m/>
    <x v="1"/>
    <m/>
    <m/>
    <s v="Assam"/>
    <s v="East"/>
    <s v="ABHOYAPUR"/>
    <s v="Coil"/>
    <n v="116649"/>
    <x v="24"/>
    <n v="3241804"/>
    <s v="CR COIL TATCRC SR26 0.350X1000"/>
    <m/>
    <m/>
    <m/>
    <m/>
    <s v="Narrow"/>
    <s v="C01"/>
    <s v="TATCRC"/>
    <s v="SR26"/>
    <n v="0.35"/>
    <n v="1000"/>
    <n v="0"/>
    <n v="23"/>
    <n v="0"/>
    <n v="23"/>
    <n v="23"/>
    <n v="23"/>
    <n v="23"/>
    <n v="0"/>
    <n v="0"/>
    <n v="0"/>
    <n v="0"/>
    <n v="0"/>
    <n v="0"/>
    <n v="0"/>
    <n v="0"/>
    <n v="0"/>
    <n v="0"/>
    <n v="0"/>
    <n v="0"/>
    <n v="0"/>
    <n v="0"/>
    <n v="0"/>
    <n v="0"/>
    <n v="0"/>
    <n v="0"/>
    <n v="0"/>
    <n v="0"/>
    <n v="0"/>
    <n v="0"/>
    <n v="0"/>
    <m/>
    <n v="0"/>
    <n v="23"/>
    <n v="0"/>
    <n v="0"/>
    <n v="23"/>
    <n v="0"/>
    <n v="0"/>
    <n v="23"/>
    <n v="0"/>
    <n v="0"/>
    <n v="0"/>
    <n v="23"/>
    <n v="0"/>
    <n v="0"/>
    <n v="0"/>
    <n v="0"/>
    <n v="0"/>
    <n v="0"/>
    <n v="0"/>
    <n v="0"/>
    <n v="0"/>
    <m/>
    <m/>
    <m/>
    <m/>
    <m/>
    <m/>
    <m/>
    <m/>
    <s v="1"/>
    <s v="1"/>
    <s v="0"/>
    <s v="1"/>
    <s v="1"/>
    <m/>
    <m/>
    <m/>
    <m/>
    <m/>
    <m/>
    <m/>
    <m/>
    <m/>
    <m/>
    <m/>
    <m/>
    <m/>
    <m/>
  </r>
  <r>
    <n v="742"/>
    <d v="2025-02-10T00:00:00"/>
    <s v="ZBTO"/>
    <n v="9518507657"/>
    <n v="7"/>
    <s v="9518507657-7"/>
    <s v="May'25"/>
    <x v="0"/>
    <m/>
    <x v="1"/>
    <x v="2"/>
    <n v="2000"/>
    <m/>
    <x v="1"/>
    <m/>
    <m/>
    <s v="Assam"/>
    <s v="East"/>
    <s v="ABHOYAPUR"/>
    <s v="Sheet"/>
    <n v="116649"/>
    <x v="24"/>
    <n v="3239557"/>
    <s v="CRCA SHEET TATCRC SR16 0.400X1250X2500"/>
    <m/>
    <m/>
    <m/>
    <m/>
    <s v="Wider"/>
    <s v="C06"/>
    <s v="TATCRC"/>
    <s v="SR16"/>
    <n v="0.4"/>
    <n v="1250"/>
    <n v="0"/>
    <n v="54"/>
    <n v="0"/>
    <n v="54"/>
    <n v="-0.95"/>
    <n v="0"/>
    <n v="19.850000000000001"/>
    <n v="0"/>
    <n v="0"/>
    <n v="0"/>
    <n v="0"/>
    <n v="0"/>
    <n v="0"/>
    <n v="0"/>
    <n v="0"/>
    <n v="0"/>
    <n v="0"/>
    <n v="0"/>
    <n v="0"/>
    <n v="0"/>
    <n v="24.035"/>
    <n v="0"/>
    <n v="0"/>
    <n v="0"/>
    <n v="0"/>
    <n v="0"/>
    <n v="24.035"/>
    <n v="24.035"/>
    <n v="0"/>
    <n v="24.035"/>
    <m/>
    <n v="0"/>
    <n v="54"/>
    <n v="0"/>
    <n v="0"/>
    <n v="0"/>
    <n v="54"/>
    <n v="0"/>
    <n v="54"/>
    <n v="0"/>
    <n v="0"/>
    <n v="0"/>
    <n v="0"/>
    <n v="54"/>
    <n v="0"/>
    <n v="0"/>
    <n v="0"/>
    <n v="0"/>
    <n v="0"/>
    <n v="0"/>
    <n v="0"/>
    <n v="0"/>
    <m/>
    <m/>
    <m/>
    <m/>
    <m/>
    <m/>
    <m/>
    <m/>
    <s v="1"/>
    <s v="1"/>
    <s v="1"/>
    <s v="0"/>
    <s v="1"/>
    <m/>
    <m/>
    <m/>
    <m/>
    <m/>
    <m/>
    <m/>
    <m/>
    <m/>
    <m/>
    <m/>
    <m/>
    <m/>
    <m/>
  </r>
  <r>
    <n v="742"/>
    <d v="2025-02-14T00:00:00"/>
    <s v="ZBTO"/>
    <n v="9518519567"/>
    <n v="1"/>
    <s v="9518519567-1"/>
    <s v="Apr'25 "/>
    <x v="0"/>
    <m/>
    <x v="1"/>
    <x v="2"/>
    <n v="2000"/>
    <m/>
    <x v="1"/>
    <m/>
    <m/>
    <s v="West Bengal"/>
    <s v="East"/>
    <s v="HOWRAH"/>
    <s v="Sheet"/>
    <n v="925093"/>
    <x v="61"/>
    <n v="3239408"/>
    <s v="CRCA SHEET TATCRC SR16 0.300X900X2500"/>
    <m/>
    <m/>
    <m/>
    <m/>
    <s v="Narrow"/>
    <s v="C06"/>
    <s v="TATCRC"/>
    <s v="SR16"/>
    <n v="0.3"/>
    <n v="900"/>
    <n v="2500"/>
    <n v="48"/>
    <n v="0"/>
    <n v="48"/>
    <n v="48"/>
    <n v="25.86"/>
    <n v="48"/>
    <n v="0"/>
    <n v="0"/>
    <n v="0"/>
    <n v="0"/>
    <n v="0"/>
    <n v="0"/>
    <n v="0"/>
    <n v="0"/>
    <n v="0"/>
    <n v="0"/>
    <n v="0"/>
    <n v="0"/>
    <n v="0"/>
    <n v="0"/>
    <n v="0"/>
    <n v="0"/>
    <n v="22.14"/>
    <n v="0"/>
    <n v="0"/>
    <n v="22.14"/>
    <n v="22.14"/>
    <n v="0"/>
    <n v="22.14"/>
    <m/>
    <n v="0"/>
    <n v="48"/>
    <n v="0"/>
    <n v="0"/>
    <n v="0"/>
    <n v="48"/>
    <n v="0"/>
    <n v="48"/>
    <n v="0"/>
    <n v="0"/>
    <n v="0"/>
    <n v="0"/>
    <n v="48"/>
    <n v="0"/>
    <n v="0"/>
    <n v="0"/>
    <n v="0"/>
    <n v="0"/>
    <n v="0"/>
    <n v="0"/>
    <n v="0"/>
    <m/>
    <m/>
    <m/>
    <m/>
    <m/>
    <m/>
    <m/>
    <m/>
    <s v="1"/>
    <s v="1"/>
    <s v="1"/>
    <s v="0"/>
    <s v="1"/>
    <m/>
    <m/>
    <m/>
    <m/>
    <m/>
    <m/>
    <m/>
    <m/>
    <m/>
    <m/>
    <m/>
    <m/>
    <m/>
    <m/>
  </r>
  <r>
    <n v="742"/>
    <d v="2025-02-14T00:00:00"/>
    <s v="ZBTO"/>
    <n v="9518519644"/>
    <n v="1"/>
    <s v="9518519644-1"/>
    <s v="No Priority"/>
    <x v="0"/>
    <m/>
    <x v="1"/>
    <x v="2"/>
    <n v="2000"/>
    <m/>
    <x v="0"/>
    <m/>
    <m/>
    <s v="Bihar"/>
    <s v="East"/>
    <s v="PATNA CITY"/>
    <s v="Sheet"/>
    <n v="103227"/>
    <x v="31"/>
    <n v="3239408"/>
    <s v="CRCA SHEET TATCRC SR16 0.300X900X2500"/>
    <m/>
    <m/>
    <m/>
    <m/>
    <s v="Narrow"/>
    <s v="C06"/>
    <s v="TATCRC"/>
    <s v="SR16"/>
    <n v="0.3"/>
    <n v="900"/>
    <n v="2500"/>
    <n v="51"/>
    <n v="50.58"/>
    <n v="0.42"/>
    <n v="-1.08"/>
    <n v="0"/>
    <n v="0.42"/>
    <n v="0"/>
    <n v="0"/>
    <n v="0"/>
    <n v="0"/>
    <n v="0"/>
    <n v="0"/>
    <n v="0"/>
    <n v="0"/>
    <n v="0"/>
    <n v="0"/>
    <n v="0"/>
    <n v="0"/>
    <n v="0"/>
    <n v="0"/>
    <n v="0"/>
    <n v="0"/>
    <n v="0"/>
    <n v="0"/>
    <n v="0"/>
    <n v="0"/>
    <n v="0"/>
    <n v="0"/>
    <n v="0"/>
    <m/>
    <n v="0"/>
    <n v="51"/>
    <n v="0"/>
    <n v="51"/>
    <n v="0"/>
    <n v="0"/>
    <n v="0"/>
    <n v="51"/>
    <n v="0"/>
    <n v="0"/>
    <n v="51"/>
    <n v="0"/>
    <n v="0"/>
    <n v="0"/>
    <n v="35.915000000000006"/>
    <n v="0"/>
    <n v="35.915000000000006"/>
    <n v="0"/>
    <n v="0"/>
    <n v="0"/>
    <n v="0"/>
    <m/>
    <m/>
    <m/>
    <m/>
    <m/>
    <m/>
    <m/>
    <m/>
    <s v="1"/>
    <s v="0"/>
    <s v="1"/>
    <s v="1"/>
    <s v="1"/>
    <m/>
    <m/>
    <m/>
    <m/>
    <m/>
    <m/>
    <m/>
    <m/>
    <m/>
    <m/>
    <m/>
    <m/>
    <m/>
    <m/>
  </r>
  <r>
    <n v="742"/>
    <d v="2025-02-14T00:00:00"/>
    <s v="ZBTO"/>
    <n v="9518519644"/>
    <n v="5"/>
    <s v="9518519644-5"/>
    <s v="May'25"/>
    <x v="0"/>
    <m/>
    <x v="1"/>
    <x v="2"/>
    <n v="2000"/>
    <m/>
    <x v="1"/>
    <m/>
    <s v="Exp BTF &lt;17MT"/>
    <s v="Bihar"/>
    <s v="East"/>
    <s v="PATNA CITY"/>
    <s v="Sheet"/>
    <n v="103227"/>
    <x v="31"/>
    <n v="3239542"/>
    <s v="CRCA SHEET TATCRC SR16 0.350X1000X2500"/>
    <m/>
    <m/>
    <m/>
    <m/>
    <s v="Narrow"/>
    <s v="C06"/>
    <s v="TATCRC"/>
    <s v="SR16"/>
    <n v="0.35"/>
    <n v="1000"/>
    <n v="2500"/>
    <n v="51"/>
    <n v="0"/>
    <n v="51"/>
    <n v="5.01"/>
    <n v="6.5"/>
    <n v="51"/>
    <n v="0"/>
    <n v="0"/>
    <n v="0"/>
    <n v="0"/>
    <n v="0"/>
    <n v="0"/>
    <n v="0"/>
    <n v="0"/>
    <n v="0"/>
    <n v="0"/>
    <n v="0"/>
    <n v="0"/>
    <n v="0"/>
    <n v="22.28"/>
    <n v="22.22"/>
    <n v="0"/>
    <n v="0"/>
    <n v="0"/>
    <n v="0"/>
    <n v="44.5"/>
    <n v="44.5"/>
    <n v="0"/>
    <n v="44.5"/>
    <m/>
    <n v="0"/>
    <n v="51"/>
    <n v="0"/>
    <n v="0"/>
    <n v="0"/>
    <n v="51"/>
    <n v="0"/>
    <n v="51"/>
    <n v="0"/>
    <n v="0"/>
    <n v="0"/>
    <n v="0"/>
    <n v="51"/>
    <n v="0"/>
    <n v="0"/>
    <n v="0"/>
    <n v="0"/>
    <n v="0"/>
    <n v="0"/>
    <n v="0"/>
    <n v="0"/>
    <m/>
    <m/>
    <m/>
    <m/>
    <m/>
    <m/>
    <m/>
    <m/>
    <s v="1"/>
    <s v="1"/>
    <s v="1"/>
    <s v="0"/>
    <s v="1"/>
    <m/>
    <m/>
    <m/>
    <m/>
    <m/>
    <m/>
    <m/>
    <m/>
    <m/>
    <m/>
    <m/>
    <m/>
    <m/>
    <m/>
  </r>
  <r>
    <n v="742"/>
    <d v="2025-02-14T00:00:00"/>
    <s v="ZBTO"/>
    <n v="9518519644"/>
    <n v="6"/>
    <s v="9518519644-6"/>
    <s v="Apr'25 "/>
    <x v="0"/>
    <m/>
    <x v="1"/>
    <x v="2"/>
    <n v="2000"/>
    <m/>
    <x v="1"/>
    <m/>
    <m/>
    <s v="Bihar"/>
    <s v="East"/>
    <s v="PATNA CITY"/>
    <s v="Sheet"/>
    <n v="103227"/>
    <x v="31"/>
    <n v="3239554"/>
    <s v="CRCA SHEET TATCRC SR16 0.400X1000X2500"/>
    <m/>
    <m/>
    <m/>
    <m/>
    <s v="Narrow"/>
    <s v="C06"/>
    <s v="TATCRC"/>
    <s v="SR16"/>
    <n v="0.4"/>
    <n v="1000"/>
    <n v="2500"/>
    <n v="36"/>
    <n v="0"/>
    <n v="36"/>
    <n v="12.83"/>
    <n v="13.7"/>
    <n v="36"/>
    <n v="0"/>
    <n v="0"/>
    <n v="0"/>
    <n v="0"/>
    <n v="0"/>
    <n v="0"/>
    <n v="0"/>
    <n v="0"/>
    <n v="0"/>
    <n v="0"/>
    <n v="0"/>
    <n v="0"/>
    <n v="0"/>
    <n v="0"/>
    <n v="22.3"/>
    <n v="0"/>
    <n v="0"/>
    <n v="0"/>
    <n v="0"/>
    <n v="22.3"/>
    <n v="22.3"/>
    <n v="0"/>
    <n v="22.3"/>
    <m/>
    <n v="0"/>
    <n v="36"/>
    <n v="0"/>
    <n v="0"/>
    <n v="0"/>
    <n v="36"/>
    <n v="0"/>
    <n v="36"/>
    <n v="0"/>
    <n v="0"/>
    <n v="0"/>
    <n v="0"/>
    <n v="36"/>
    <n v="0"/>
    <n v="0"/>
    <n v="0"/>
    <n v="0"/>
    <n v="0"/>
    <n v="0"/>
    <n v="0"/>
    <n v="0"/>
    <m/>
    <m/>
    <m/>
    <m/>
    <m/>
    <m/>
    <m/>
    <m/>
    <s v="1"/>
    <s v="1"/>
    <s v="1"/>
    <s v="0"/>
    <s v="1"/>
    <m/>
    <m/>
    <m/>
    <m/>
    <m/>
    <m/>
    <m/>
    <m/>
    <m/>
    <m/>
    <m/>
    <m/>
    <m/>
    <m/>
  </r>
  <r>
    <n v="742"/>
    <d v="2025-02-14T00:00:00"/>
    <s v="ZBTO"/>
    <n v="9518520213"/>
    <n v="2"/>
    <s v="9518520213-2"/>
    <s v="No Priority"/>
    <x v="0"/>
    <m/>
    <x v="1"/>
    <x v="2"/>
    <n v="2000"/>
    <m/>
    <x v="0"/>
    <m/>
    <m/>
    <s v="Bihar"/>
    <s v="East"/>
    <s v="PURNEA JN."/>
    <s v="Sheet"/>
    <n v="103227"/>
    <x v="31"/>
    <n v="2440959"/>
    <s v="CRCA SHEET TATCRC SR16 0.330X900X2500"/>
    <m/>
    <m/>
    <m/>
    <m/>
    <s v="Narrow"/>
    <s v="C06"/>
    <s v="TATCRC"/>
    <s v="SR16"/>
    <n v="0.33"/>
    <n v="900"/>
    <n v="2500"/>
    <n v="51"/>
    <n v="0"/>
    <n v="51"/>
    <n v="51"/>
    <n v="0"/>
    <n v="51"/>
    <n v="0"/>
    <n v="0"/>
    <n v="0"/>
    <n v="0"/>
    <n v="0"/>
    <n v="0"/>
    <n v="0"/>
    <n v="0"/>
    <n v="0"/>
    <n v="0"/>
    <n v="0"/>
    <n v="0"/>
    <n v="0"/>
    <n v="0"/>
    <n v="0"/>
    <n v="0"/>
    <n v="66.27"/>
    <n v="0"/>
    <n v="0"/>
    <n v="66.27"/>
    <n v="66.27"/>
    <n v="0"/>
    <n v="66.27"/>
    <m/>
    <n v="0"/>
    <n v="51"/>
    <n v="0"/>
    <n v="0"/>
    <n v="0"/>
    <n v="51"/>
    <n v="0"/>
    <n v="51"/>
    <n v="0"/>
    <n v="0"/>
    <n v="0"/>
    <n v="0"/>
    <n v="51"/>
    <n v="0"/>
    <n v="0"/>
    <n v="0"/>
    <n v="0"/>
    <n v="0"/>
    <n v="0"/>
    <n v="0"/>
    <n v="0"/>
    <m/>
    <m/>
    <m/>
    <m/>
    <m/>
    <m/>
    <m/>
    <m/>
    <s v="1"/>
    <s v="1"/>
    <s v="1"/>
    <s v="0"/>
    <s v="1"/>
    <m/>
    <m/>
    <m/>
    <m/>
    <m/>
    <m/>
    <m/>
    <m/>
    <m/>
    <m/>
    <m/>
    <m/>
    <m/>
    <m/>
  </r>
  <r>
    <n v="742"/>
    <d v="2025-02-14T00:00:00"/>
    <s v="ZBTO"/>
    <n v="9518520213"/>
    <n v="4"/>
    <s v="9518520213-4"/>
    <s v="May'25"/>
    <x v="0"/>
    <m/>
    <x v="1"/>
    <x v="2"/>
    <n v="2000"/>
    <m/>
    <x v="1"/>
    <m/>
    <m/>
    <s v="Bihar"/>
    <s v="East"/>
    <s v="PURNEA JN."/>
    <s v="Sheet"/>
    <n v="103227"/>
    <x v="31"/>
    <n v="3239536"/>
    <s v="CRCA SHEET TATCRC SR16 0.350X900X2500"/>
    <m/>
    <m/>
    <m/>
    <m/>
    <s v="Narrow"/>
    <s v="C06"/>
    <s v="TATCRC"/>
    <s v="SR16"/>
    <n v="0.35"/>
    <n v="900"/>
    <n v="2500"/>
    <n v="51"/>
    <n v="0"/>
    <n v="51"/>
    <n v="-13.7"/>
    <n v="0"/>
    <n v="51"/>
    <n v="0"/>
    <n v="0"/>
    <n v="0"/>
    <n v="0"/>
    <n v="0"/>
    <n v="0"/>
    <n v="0"/>
    <n v="0"/>
    <n v="0"/>
    <n v="0"/>
    <n v="0"/>
    <n v="0"/>
    <n v="0"/>
    <n v="21.29"/>
    <n v="42.69"/>
    <n v="0"/>
    <n v="0"/>
    <n v="0"/>
    <n v="0"/>
    <n v="63.98"/>
    <n v="63.98"/>
    <n v="0"/>
    <n v="63.98"/>
    <m/>
    <n v="0"/>
    <n v="51"/>
    <n v="0"/>
    <n v="0"/>
    <n v="0"/>
    <n v="51"/>
    <n v="0"/>
    <n v="51"/>
    <n v="0"/>
    <n v="0"/>
    <n v="0"/>
    <n v="0"/>
    <n v="51"/>
    <n v="0"/>
    <n v="0"/>
    <n v="0"/>
    <n v="0"/>
    <n v="0"/>
    <n v="0"/>
    <n v="0"/>
    <n v="0"/>
    <m/>
    <m/>
    <m/>
    <m/>
    <m/>
    <m/>
    <m/>
    <m/>
    <s v="1"/>
    <s v="1"/>
    <s v="1"/>
    <s v="0"/>
    <s v="1"/>
    <m/>
    <m/>
    <m/>
    <m/>
    <m/>
    <m/>
    <m/>
    <m/>
    <m/>
    <m/>
    <m/>
    <m/>
    <m/>
    <m/>
  </r>
  <r>
    <n v="742"/>
    <d v="2025-02-14T00:00:00"/>
    <s v="ZBTO"/>
    <n v="9518520213"/>
    <n v="5"/>
    <s v="9518520213-5"/>
    <s v="May'25"/>
    <x v="0"/>
    <m/>
    <x v="1"/>
    <x v="2"/>
    <n v="2000"/>
    <m/>
    <x v="1"/>
    <m/>
    <s v="Exp BTF &lt;17MT"/>
    <s v="Bihar"/>
    <s v="East"/>
    <s v="PURNEA JN."/>
    <s v="Sheet"/>
    <n v="103227"/>
    <x v="31"/>
    <n v="3239542"/>
    <s v="CRCA SHEET TATCRC SR16 0.350X1000X2500"/>
    <m/>
    <m/>
    <m/>
    <m/>
    <s v="Narrow"/>
    <s v="C06"/>
    <s v="TATCRC"/>
    <s v="SR16"/>
    <n v="0.35"/>
    <n v="1000"/>
    <n v="2500"/>
    <n v="51"/>
    <n v="0"/>
    <n v="51"/>
    <n v="4.84"/>
    <n v="6.4600000000000009"/>
    <n v="51"/>
    <n v="0"/>
    <n v="0"/>
    <n v="0"/>
    <n v="0"/>
    <n v="0"/>
    <n v="0"/>
    <n v="0"/>
    <n v="0"/>
    <n v="0"/>
    <n v="0"/>
    <n v="0"/>
    <n v="0"/>
    <n v="0"/>
    <n v="22.36"/>
    <n v="22.18"/>
    <n v="0"/>
    <n v="0"/>
    <n v="0"/>
    <n v="0"/>
    <n v="44.54"/>
    <n v="44.54"/>
    <n v="0"/>
    <n v="44.54"/>
    <m/>
    <n v="0"/>
    <n v="51"/>
    <n v="0"/>
    <n v="0"/>
    <n v="0"/>
    <n v="51"/>
    <n v="0"/>
    <n v="51"/>
    <n v="0"/>
    <n v="0"/>
    <n v="0"/>
    <n v="0"/>
    <n v="51"/>
    <n v="0"/>
    <n v="0"/>
    <n v="0"/>
    <n v="0"/>
    <n v="0"/>
    <n v="0"/>
    <n v="0"/>
    <n v="0"/>
    <m/>
    <m/>
    <m/>
    <m/>
    <m/>
    <m/>
    <m/>
    <m/>
    <s v="1"/>
    <s v="1"/>
    <s v="1"/>
    <s v="0"/>
    <s v="1"/>
    <m/>
    <m/>
    <m/>
    <m/>
    <m/>
    <m/>
    <m/>
    <m/>
    <m/>
    <m/>
    <m/>
    <m/>
    <m/>
    <m/>
  </r>
  <r>
    <n v="742"/>
    <d v="2025-02-14T00:00:00"/>
    <s v="ZBTO"/>
    <n v="9518520213"/>
    <n v="6"/>
    <s v="9518520213-6"/>
    <s v="Apr'25 "/>
    <x v="0"/>
    <m/>
    <x v="1"/>
    <x v="2"/>
    <n v="2000"/>
    <m/>
    <x v="1"/>
    <m/>
    <m/>
    <s v="Bihar"/>
    <s v="East"/>
    <s v="PURNEA JN."/>
    <s v="Sheet"/>
    <n v="103227"/>
    <x v="31"/>
    <n v="3239554"/>
    <s v="CRCA SHEET TATCRC SR16 0.400X1000X2500"/>
    <m/>
    <m/>
    <m/>
    <m/>
    <s v="Narrow"/>
    <s v="C06"/>
    <s v="TATCRC"/>
    <s v="SR16"/>
    <n v="0.4"/>
    <n v="1000"/>
    <n v="2500"/>
    <n v="36"/>
    <n v="0"/>
    <n v="36"/>
    <n v="36"/>
    <n v="36"/>
    <n v="36"/>
    <n v="0"/>
    <n v="0"/>
    <n v="0"/>
    <n v="0"/>
    <n v="0"/>
    <n v="0"/>
    <n v="0"/>
    <n v="0"/>
    <n v="0"/>
    <n v="0"/>
    <n v="0"/>
    <n v="0"/>
    <n v="0"/>
    <n v="0"/>
    <n v="0"/>
    <n v="0"/>
    <n v="0"/>
    <n v="0"/>
    <n v="0"/>
    <n v="0"/>
    <n v="0"/>
    <n v="0"/>
    <n v="0"/>
    <m/>
    <n v="0"/>
    <n v="36"/>
    <n v="0"/>
    <n v="0"/>
    <n v="0"/>
    <n v="0"/>
    <n v="36"/>
    <n v="0"/>
    <n v="0"/>
    <n v="0"/>
    <n v="0"/>
    <n v="0"/>
    <n v="0"/>
    <n v="36"/>
    <n v="0"/>
    <n v="0"/>
    <n v="0"/>
    <n v="0"/>
    <n v="0"/>
    <n v="0"/>
    <n v="0"/>
    <m/>
    <m/>
    <m/>
    <m/>
    <m/>
    <m/>
    <m/>
    <m/>
    <s v="1"/>
    <s v="1"/>
    <s v="1"/>
    <s v="1"/>
    <s v="0"/>
    <m/>
    <m/>
    <m/>
    <m/>
    <m/>
    <m/>
    <m/>
    <m/>
    <m/>
    <m/>
    <m/>
    <m/>
    <m/>
    <m/>
  </r>
  <r>
    <n v="744"/>
    <d v="2025-02-15T00:00:00"/>
    <s v="ZBTO"/>
    <n v="9518522888"/>
    <n v="1"/>
    <s v="9518522888-1"/>
    <s v="Apr'25 "/>
    <x v="0"/>
    <m/>
    <x v="2"/>
    <x v="3"/>
    <n v="1000"/>
    <m/>
    <x v="1"/>
    <m/>
    <m/>
    <s v="Jharkhand"/>
    <s v="TBSPL"/>
    <s v="TBL- BARA AGRICO"/>
    <s v="Coil"/>
    <n v="941597"/>
    <x v="39"/>
    <n v="3902332"/>
    <s v="PPGL C HARD Y550PL D0C9 0.50(TPT)X1220"/>
    <m/>
    <m/>
    <m/>
    <m/>
    <s v="Wider"/>
    <s v="B18"/>
    <s v="Y550PL"/>
    <s v="D0C9"/>
    <n v="0.5"/>
    <n v="1220"/>
    <n v="0"/>
    <n v="28"/>
    <n v="0"/>
    <n v="28"/>
    <n v="28"/>
    <n v="28"/>
    <n v="28"/>
    <n v="0"/>
    <n v="0"/>
    <n v="0"/>
    <n v="0"/>
    <n v="0"/>
    <n v="0"/>
    <n v="0"/>
    <n v="0"/>
    <n v="0"/>
    <n v="0"/>
    <n v="0"/>
    <n v="0"/>
    <n v="0"/>
    <n v="0"/>
    <n v="0"/>
    <n v="0"/>
    <n v="0"/>
    <n v="0"/>
    <n v="0"/>
    <n v="0"/>
    <n v="0"/>
    <n v="0"/>
    <n v="0"/>
    <m/>
    <n v="0"/>
    <n v="28"/>
    <n v="0"/>
    <n v="0"/>
    <n v="0"/>
    <n v="0"/>
    <n v="28"/>
    <n v="0"/>
    <n v="0"/>
    <n v="0"/>
    <n v="0"/>
    <n v="0"/>
    <n v="0"/>
    <n v="28"/>
    <n v="0"/>
    <n v="0"/>
    <n v="0"/>
    <n v="0"/>
    <n v="0"/>
    <n v="0"/>
    <n v="0"/>
    <m/>
    <m/>
    <m/>
    <m/>
    <m/>
    <m/>
    <m/>
    <m/>
    <s v="1"/>
    <s v="1"/>
    <s v="1"/>
    <s v="1"/>
    <s v="0"/>
    <m/>
    <m/>
    <m/>
    <m/>
    <m/>
    <m/>
    <m/>
    <m/>
    <m/>
    <m/>
    <m/>
    <m/>
    <m/>
    <m/>
  </r>
  <r>
    <n v="743"/>
    <d v="2025-02-18T00:00:00"/>
    <s v="ZBTO"/>
    <n v="9518528325"/>
    <n v="6"/>
    <s v="9518528325-6"/>
    <s v="No Priority"/>
    <x v="0"/>
    <m/>
    <x v="3"/>
    <x v="9"/>
    <n v="2000"/>
    <m/>
    <x v="0"/>
    <m/>
    <s v="Exp BTF &lt;17MT"/>
    <s v="West Bengal"/>
    <s v="East"/>
    <s v="SINGUR"/>
    <s v="Coil"/>
    <n v="100922"/>
    <x v="36"/>
    <n v="1142897"/>
    <s v="GP COIL SOFT-TATXGP-GLK1-0.6X900"/>
    <m/>
    <m/>
    <m/>
    <m/>
    <s v="Narrow"/>
    <s v="C02"/>
    <s v="TATXGP"/>
    <s v="GLK1"/>
    <n v="0.6"/>
    <n v="900"/>
    <n v="0"/>
    <n v="105"/>
    <n v="92.66"/>
    <n v="12.34"/>
    <n v="7.7249999999999996"/>
    <n v="12.34"/>
    <n v="7.87"/>
    <n v="0"/>
    <n v="0"/>
    <n v="0"/>
    <n v="0"/>
    <n v="0"/>
    <n v="0"/>
    <n v="0"/>
    <n v="0"/>
    <n v="0"/>
    <n v="0"/>
    <n v="0"/>
    <n v="0"/>
    <n v="0"/>
    <n v="0"/>
    <n v="0"/>
    <n v="0"/>
    <n v="0"/>
    <n v="0"/>
    <n v="0"/>
    <n v="0"/>
    <n v="0"/>
    <n v="0"/>
    <n v="0"/>
    <m/>
    <n v="0"/>
    <n v="105"/>
    <n v="0"/>
    <n v="0"/>
    <n v="105"/>
    <n v="0"/>
    <n v="0"/>
    <n v="105"/>
    <n v="0"/>
    <n v="0"/>
    <n v="0"/>
    <n v="105"/>
    <n v="0"/>
    <n v="0"/>
    <n v="0"/>
    <n v="0"/>
    <n v="0"/>
    <n v="0"/>
    <n v="0"/>
    <n v="0"/>
    <n v="0"/>
    <m/>
    <m/>
    <m/>
    <m/>
    <m/>
    <m/>
    <m/>
    <m/>
    <s v="1"/>
    <s v="1"/>
    <s v="0"/>
    <s v="1"/>
    <s v="1"/>
    <m/>
    <m/>
    <m/>
    <m/>
    <m/>
    <m/>
    <m/>
    <m/>
    <m/>
    <m/>
    <m/>
    <m/>
    <m/>
    <m/>
  </r>
  <r>
    <n v="742"/>
    <d v="2025-02-18T00:00:00"/>
    <s v="ZBTO"/>
    <n v="9518529569"/>
    <n v="1"/>
    <s v="9518529569-1"/>
    <s v="No Priority"/>
    <x v="0"/>
    <m/>
    <x v="1"/>
    <x v="2"/>
    <n v="2000"/>
    <m/>
    <x v="0"/>
    <m/>
    <m/>
    <s v="Rajasthan"/>
    <s v="North"/>
    <s v="JAIPUR"/>
    <s v="Sheet"/>
    <n v="116137"/>
    <x v="62"/>
    <n v="3239557"/>
    <s v="CRCA SHEET TATCRC SR16 0.400X1250X2500"/>
    <m/>
    <m/>
    <m/>
    <m/>
    <s v="Wider"/>
    <s v="C06"/>
    <s v="TATCRC"/>
    <s v="SR16"/>
    <n v="0.4"/>
    <n v="1250"/>
    <n v="0"/>
    <n v="48"/>
    <n v="0"/>
    <n v="48"/>
    <n v="-6.18"/>
    <n v="0"/>
    <n v="2.1800000000000002"/>
    <n v="0"/>
    <n v="0"/>
    <n v="0"/>
    <n v="0"/>
    <n v="0"/>
    <n v="0"/>
    <n v="0"/>
    <n v="0"/>
    <n v="0"/>
    <n v="0"/>
    <n v="0"/>
    <n v="0"/>
    <n v="0"/>
    <n v="0"/>
    <n v="0"/>
    <n v="0"/>
    <n v="0"/>
    <n v="0"/>
    <n v="0"/>
    <n v="0"/>
    <n v="0"/>
    <n v="0"/>
    <n v="0"/>
    <m/>
    <n v="0"/>
    <n v="48"/>
    <n v="0"/>
    <n v="0"/>
    <n v="48"/>
    <n v="0"/>
    <n v="0"/>
    <n v="48"/>
    <n v="0"/>
    <n v="0"/>
    <n v="0"/>
    <n v="48"/>
    <n v="0"/>
    <n v="0"/>
    <n v="0"/>
    <n v="0"/>
    <n v="0"/>
    <n v="0"/>
    <n v="0"/>
    <n v="0"/>
    <n v="0"/>
    <m/>
    <m/>
    <m/>
    <m/>
    <m/>
    <m/>
    <m/>
    <m/>
    <s v="1"/>
    <s v="1"/>
    <s v="0"/>
    <s v="1"/>
    <s v="1"/>
    <m/>
    <m/>
    <m/>
    <m/>
    <m/>
    <m/>
    <m/>
    <m/>
    <m/>
    <m/>
    <m/>
    <m/>
    <m/>
    <m/>
  </r>
  <r>
    <n v="742"/>
    <d v="2025-02-18T00:00:00"/>
    <s v="ZBTO"/>
    <n v="9518529688"/>
    <n v="1"/>
    <s v="9518529688-1"/>
    <s v="May'25"/>
    <x v="0"/>
    <m/>
    <x v="1"/>
    <x v="2"/>
    <n v="2000"/>
    <m/>
    <x v="1"/>
    <m/>
    <m/>
    <s v="Rajasthan"/>
    <s v="North"/>
    <s v="JAIPUR"/>
    <s v="Sheet"/>
    <n v="116137"/>
    <x v="62"/>
    <n v="3239543"/>
    <s v="CRCA SHEET TATCRC SR16 0.350X1250X2500"/>
    <m/>
    <m/>
    <m/>
    <m/>
    <s v="Wider"/>
    <s v="C06"/>
    <s v="TATCRC"/>
    <s v="SR16"/>
    <n v="0.35"/>
    <n v="1250"/>
    <n v="0"/>
    <n v="24"/>
    <n v="0"/>
    <n v="24"/>
    <n v="-3.24"/>
    <n v="0"/>
    <n v="24"/>
    <n v="0"/>
    <n v="0"/>
    <n v="0"/>
    <n v="0"/>
    <n v="0"/>
    <n v="0"/>
    <n v="0"/>
    <n v="0"/>
    <n v="0"/>
    <n v="0"/>
    <n v="0"/>
    <n v="0"/>
    <n v="0"/>
    <n v="0"/>
    <n v="26.73"/>
    <n v="0"/>
    <n v="0"/>
    <n v="0"/>
    <n v="0"/>
    <n v="26.73"/>
    <n v="26.73"/>
    <n v="0"/>
    <n v="26.73"/>
    <m/>
    <n v="0"/>
    <n v="24"/>
    <n v="0"/>
    <n v="0"/>
    <n v="0"/>
    <n v="24"/>
    <n v="0"/>
    <n v="24"/>
    <n v="0"/>
    <n v="0"/>
    <n v="0"/>
    <n v="0"/>
    <n v="24"/>
    <n v="0"/>
    <n v="0"/>
    <n v="0"/>
    <n v="0"/>
    <n v="0"/>
    <n v="0"/>
    <n v="0"/>
    <n v="0"/>
    <m/>
    <m/>
    <m/>
    <m/>
    <m/>
    <m/>
    <m/>
    <m/>
    <s v="1"/>
    <s v="1"/>
    <s v="1"/>
    <s v="0"/>
    <s v="1"/>
    <m/>
    <m/>
    <m/>
    <m/>
    <m/>
    <m/>
    <m/>
    <m/>
    <m/>
    <m/>
    <m/>
    <m/>
    <m/>
    <m/>
  </r>
  <r>
    <n v="742"/>
    <d v="2025-02-19T00:00:00"/>
    <s v="ZBTO"/>
    <n v="9518533557"/>
    <n v="1"/>
    <s v="9518533557-1"/>
    <s v="No Priority"/>
    <x v="0"/>
    <m/>
    <x v="1"/>
    <x v="2"/>
    <n v="2000"/>
    <m/>
    <x v="0"/>
    <m/>
    <m/>
    <s v="West Bengal"/>
    <s v="East"/>
    <s v="HOWRAH"/>
    <s v="Sheet"/>
    <n v="101278"/>
    <x v="11"/>
    <n v="3239408"/>
    <s v="CRCA SHEET TATCRC SR16 0.300X900X2500"/>
    <m/>
    <m/>
    <m/>
    <m/>
    <s v="Narrow"/>
    <s v="C06"/>
    <s v="TATCRC"/>
    <s v="SR16"/>
    <n v="0.3"/>
    <n v="900"/>
    <n v="2500"/>
    <n v="30"/>
    <n v="0"/>
    <n v="30"/>
    <n v="10.25"/>
    <n v="10.25"/>
    <n v="11.744999999999999"/>
    <n v="0"/>
    <n v="0"/>
    <n v="0"/>
    <n v="0"/>
    <n v="0"/>
    <n v="0"/>
    <n v="0"/>
    <n v="0"/>
    <n v="0"/>
    <n v="0"/>
    <n v="0"/>
    <n v="0"/>
    <n v="0"/>
    <n v="0"/>
    <n v="19.75"/>
    <n v="0"/>
    <n v="0"/>
    <n v="0"/>
    <n v="0"/>
    <n v="19.75"/>
    <n v="19.75"/>
    <n v="0"/>
    <n v="19.75"/>
    <m/>
    <n v="0"/>
    <n v="30"/>
    <n v="0"/>
    <n v="0"/>
    <n v="30"/>
    <n v="0"/>
    <n v="0"/>
    <n v="30"/>
    <n v="0"/>
    <n v="0"/>
    <n v="0"/>
    <n v="30"/>
    <n v="0"/>
    <n v="0"/>
    <n v="0"/>
    <n v="0"/>
    <n v="0"/>
    <n v="0"/>
    <n v="0"/>
    <n v="0"/>
    <n v="0"/>
    <m/>
    <m/>
    <m/>
    <m/>
    <m/>
    <m/>
    <m/>
    <m/>
    <s v="1"/>
    <s v="1"/>
    <s v="0"/>
    <s v="1"/>
    <s v="1"/>
    <m/>
    <m/>
    <m/>
    <m/>
    <m/>
    <m/>
    <m/>
    <m/>
    <m/>
    <m/>
    <m/>
    <m/>
    <m/>
    <m/>
  </r>
  <r>
    <n v="742"/>
    <d v="2025-02-19T00:00:00"/>
    <s v="ZBTO"/>
    <n v="9518533557"/>
    <n v="2"/>
    <s v="9518533557-2"/>
    <s v="May'25"/>
    <x v="0"/>
    <m/>
    <x v="1"/>
    <x v="2"/>
    <n v="2000"/>
    <m/>
    <x v="1"/>
    <m/>
    <m/>
    <s v="West Bengal"/>
    <s v="East"/>
    <s v="HOWRAH"/>
    <s v="Sheet"/>
    <n v="101278"/>
    <x v="11"/>
    <n v="3711646"/>
    <s v="CRCA SHEET TATCRC SR16 0.330X1250X2500"/>
    <m/>
    <m/>
    <m/>
    <m/>
    <s v="Wider"/>
    <s v="C06"/>
    <s v="TATCRC"/>
    <s v="SR16"/>
    <n v="0.33"/>
    <n v="1250"/>
    <n v="2500"/>
    <n v="30"/>
    <n v="0"/>
    <n v="30"/>
    <n v="2.35"/>
    <n v="0"/>
    <n v="30"/>
    <n v="0"/>
    <n v="0"/>
    <n v="0"/>
    <n v="0"/>
    <n v="0"/>
    <n v="0"/>
    <n v="0"/>
    <n v="0"/>
    <n v="25.1"/>
    <n v="0"/>
    <n v="0"/>
    <n v="0"/>
    <n v="0"/>
    <n v="0"/>
    <n v="0"/>
    <n v="1.9750000000000001"/>
    <n v="0"/>
    <n v="0"/>
    <n v="0"/>
    <n v="27.075000000000003"/>
    <n v="27.075000000000003"/>
    <n v="0"/>
    <n v="27.075000000000003"/>
    <m/>
    <n v="0"/>
    <n v="30"/>
    <n v="0"/>
    <n v="0"/>
    <n v="0"/>
    <n v="30"/>
    <n v="0"/>
    <n v="30"/>
    <n v="0"/>
    <n v="0"/>
    <n v="0"/>
    <n v="0"/>
    <n v="30"/>
    <n v="0"/>
    <n v="0"/>
    <n v="0"/>
    <n v="0"/>
    <n v="0"/>
    <n v="0"/>
    <n v="0"/>
    <n v="0"/>
    <m/>
    <m/>
    <m/>
    <m/>
    <m/>
    <m/>
    <m/>
    <m/>
    <s v="1"/>
    <s v="1"/>
    <s v="1"/>
    <s v="0"/>
    <s v="1"/>
    <m/>
    <m/>
    <m/>
    <m/>
    <m/>
    <m/>
    <m/>
    <m/>
    <m/>
    <m/>
    <m/>
    <m/>
    <m/>
    <m/>
  </r>
  <r>
    <n v="742"/>
    <d v="2025-02-19T00:00:00"/>
    <s v="ZBTO"/>
    <n v="9518533557"/>
    <n v="3"/>
    <s v="9518533557-3"/>
    <s v="May'25"/>
    <x v="0"/>
    <m/>
    <x v="1"/>
    <x v="2"/>
    <n v="2000"/>
    <m/>
    <x v="1"/>
    <m/>
    <s v="Exp BTF &lt;17MT"/>
    <s v="West Bengal"/>
    <s v="East"/>
    <s v="HOWRAH"/>
    <s v="Sheet"/>
    <n v="101278"/>
    <x v="11"/>
    <n v="3239536"/>
    <s v="CRCA SHEET TATCRC SR16 0.350X900X2500"/>
    <m/>
    <m/>
    <m/>
    <m/>
    <s v="Narrow"/>
    <s v="C06"/>
    <s v="TATCRC"/>
    <s v="SR16"/>
    <n v="0.35"/>
    <n v="900"/>
    <n v="2500"/>
    <n v="60"/>
    <n v="36.69"/>
    <n v="23.31"/>
    <n v="3.57"/>
    <n v="3.5699999999999967"/>
    <n v="23.31"/>
    <n v="0"/>
    <n v="0"/>
    <n v="0"/>
    <n v="0"/>
    <n v="0"/>
    <n v="0"/>
    <n v="0"/>
    <n v="0"/>
    <n v="0"/>
    <n v="0"/>
    <n v="0"/>
    <n v="0"/>
    <n v="0"/>
    <n v="0"/>
    <n v="19.740000000000002"/>
    <n v="0"/>
    <n v="0"/>
    <n v="0"/>
    <n v="0"/>
    <n v="19.740000000000002"/>
    <n v="19.740000000000002"/>
    <n v="0"/>
    <n v="19.740000000000002"/>
    <m/>
    <n v="0"/>
    <n v="60"/>
    <n v="0"/>
    <n v="0"/>
    <n v="60"/>
    <n v="0"/>
    <n v="0"/>
    <n v="60"/>
    <n v="0"/>
    <n v="0"/>
    <n v="0"/>
    <n v="60"/>
    <n v="0"/>
    <n v="0"/>
    <n v="36.69"/>
    <n v="0"/>
    <n v="0"/>
    <n v="36.69"/>
    <n v="0"/>
    <n v="0"/>
    <n v="0"/>
    <m/>
    <m/>
    <m/>
    <m/>
    <m/>
    <m/>
    <m/>
    <m/>
    <s v="1"/>
    <s v="1"/>
    <s v="0"/>
    <s v="1"/>
    <s v="1"/>
    <m/>
    <m/>
    <m/>
    <m/>
    <m/>
    <m/>
    <m/>
    <m/>
    <m/>
    <m/>
    <m/>
    <m/>
    <m/>
    <m/>
  </r>
  <r>
    <n v="742"/>
    <d v="2025-02-19T00:00:00"/>
    <s v="ZBTO"/>
    <n v="9518533557"/>
    <n v="4"/>
    <s v="9518533557-4"/>
    <s v="No Priority"/>
    <x v="0"/>
    <m/>
    <x v="1"/>
    <x v="2"/>
    <n v="2000"/>
    <m/>
    <x v="0"/>
    <m/>
    <s v="Exp BTF &lt;17MT"/>
    <s v="West Bengal"/>
    <s v="East"/>
    <s v="HOWRAH"/>
    <s v="Sheet"/>
    <n v="101278"/>
    <x v="11"/>
    <n v="3239548"/>
    <s v="CRCA SHEET TATCRC SR16 0.400X900X2500"/>
    <m/>
    <m/>
    <m/>
    <m/>
    <s v="Narrow"/>
    <s v="C06"/>
    <s v="TATCRC"/>
    <s v="SR16"/>
    <n v="0.4"/>
    <n v="900"/>
    <n v="2500"/>
    <n v="30"/>
    <n v="0"/>
    <n v="30"/>
    <n v="8.7899999999999991"/>
    <n v="30"/>
    <n v="10.74"/>
    <n v="0"/>
    <n v="0"/>
    <n v="0"/>
    <n v="0"/>
    <n v="0"/>
    <n v="0"/>
    <n v="0"/>
    <n v="0"/>
    <n v="0"/>
    <n v="0"/>
    <n v="0"/>
    <n v="0"/>
    <n v="0"/>
    <n v="0"/>
    <n v="0"/>
    <n v="0"/>
    <n v="0"/>
    <n v="0"/>
    <n v="0"/>
    <n v="0"/>
    <n v="0"/>
    <n v="0"/>
    <n v="0"/>
    <m/>
    <n v="0"/>
    <n v="30"/>
    <n v="0"/>
    <n v="0"/>
    <n v="0"/>
    <n v="30"/>
    <n v="0"/>
    <n v="30"/>
    <n v="0"/>
    <n v="0"/>
    <n v="0"/>
    <n v="0"/>
    <n v="30"/>
    <n v="0"/>
    <n v="0"/>
    <n v="0"/>
    <n v="0"/>
    <n v="0"/>
    <n v="0"/>
    <n v="0"/>
    <n v="0"/>
    <m/>
    <m/>
    <m/>
    <m/>
    <m/>
    <m/>
    <m/>
    <m/>
    <s v="1"/>
    <s v="1"/>
    <s v="1"/>
    <s v="0"/>
    <s v="1"/>
    <m/>
    <m/>
    <m/>
    <m/>
    <m/>
    <m/>
    <m/>
    <m/>
    <m/>
    <m/>
    <m/>
    <m/>
    <m/>
    <m/>
  </r>
  <r>
    <n v="742"/>
    <d v="2025-02-19T00:00:00"/>
    <s v="ZBTO"/>
    <n v="9518533557"/>
    <n v="5"/>
    <s v="9518533557-5"/>
    <s v="Apr'25 "/>
    <x v="0"/>
    <m/>
    <x v="1"/>
    <x v="2"/>
    <n v="2000"/>
    <m/>
    <x v="1"/>
    <m/>
    <m/>
    <s v="West Bengal"/>
    <s v="East"/>
    <s v="HOWRAH"/>
    <s v="Sheet"/>
    <n v="101278"/>
    <x v="11"/>
    <n v="3239557"/>
    <s v="CRCA SHEET TATCRC SR16 0.400X1250X2500"/>
    <m/>
    <m/>
    <m/>
    <m/>
    <s v="Wider"/>
    <s v="C06"/>
    <s v="TATCRC"/>
    <s v="SR16"/>
    <n v="0.4"/>
    <n v="1250"/>
    <n v="0"/>
    <n v="30"/>
    <n v="0"/>
    <n v="30"/>
    <n v="30"/>
    <n v="30"/>
    <n v="30"/>
    <n v="0"/>
    <n v="0"/>
    <n v="0"/>
    <n v="0"/>
    <n v="0"/>
    <n v="0"/>
    <n v="0"/>
    <n v="0"/>
    <n v="0"/>
    <n v="0"/>
    <n v="0"/>
    <n v="0"/>
    <n v="0"/>
    <n v="0"/>
    <n v="0"/>
    <n v="0"/>
    <n v="0"/>
    <n v="0"/>
    <n v="0"/>
    <n v="0"/>
    <n v="0"/>
    <n v="0"/>
    <n v="0"/>
    <m/>
    <n v="0"/>
    <n v="30"/>
    <n v="0"/>
    <n v="0"/>
    <n v="0"/>
    <n v="30"/>
    <n v="0"/>
    <n v="30"/>
    <n v="0"/>
    <n v="0"/>
    <n v="0"/>
    <n v="0"/>
    <n v="30"/>
    <n v="0"/>
    <n v="0"/>
    <n v="0"/>
    <n v="0"/>
    <n v="0"/>
    <n v="0"/>
    <n v="0"/>
    <n v="0"/>
    <m/>
    <m/>
    <m/>
    <m/>
    <m/>
    <m/>
    <m/>
    <m/>
    <s v="1"/>
    <s v="1"/>
    <s v="1"/>
    <s v="0"/>
    <s v="1"/>
    <m/>
    <m/>
    <m/>
    <m/>
    <m/>
    <m/>
    <m/>
    <m/>
    <m/>
    <m/>
    <m/>
    <m/>
    <m/>
    <m/>
  </r>
  <r>
    <n v="743"/>
    <d v="2025-02-22T00:00:00"/>
    <s v="ZBTO"/>
    <n v="9518542770"/>
    <n v="7"/>
    <s v="9518542770-7"/>
    <s v="Apr'25 "/>
    <x v="0"/>
    <m/>
    <x v="4"/>
    <x v="3"/>
    <n v="1000"/>
    <m/>
    <x v="1"/>
    <m/>
    <m/>
    <s v="Jharkhand"/>
    <s v="TBSPL"/>
    <s v="TBL- BARA AGRICO"/>
    <s v="Coil"/>
    <n v="942283"/>
    <x v="39"/>
    <n v="3239573"/>
    <s v="GL C YS550 H6GL 0.42BMT(0.47TCT)X1220"/>
    <m/>
    <m/>
    <m/>
    <m/>
    <s v="Wider"/>
    <s v="B04"/>
    <s v="Y550GL"/>
    <s v="H6GL"/>
    <n v="0.42"/>
    <n v="1220"/>
    <n v="0"/>
    <n v="56"/>
    <n v="0"/>
    <n v="56"/>
    <n v="56"/>
    <n v="0.57499999999999574"/>
    <n v="56"/>
    <n v="0"/>
    <n v="0"/>
    <n v="0"/>
    <n v="0"/>
    <n v="0"/>
    <n v="0"/>
    <n v="0"/>
    <n v="55.425000000000004"/>
    <n v="0"/>
    <n v="0"/>
    <n v="0"/>
    <n v="0"/>
    <n v="0"/>
    <n v="0"/>
    <n v="0"/>
    <n v="0"/>
    <n v="0"/>
    <n v="0"/>
    <n v="0"/>
    <n v="55.425000000000004"/>
    <n v="55.425000000000004"/>
    <n v="0"/>
    <n v="55.425000000000004"/>
    <m/>
    <n v="0"/>
    <n v="56"/>
    <n v="0"/>
    <n v="0"/>
    <n v="0"/>
    <n v="56"/>
    <n v="0"/>
    <n v="56"/>
    <n v="0"/>
    <n v="0"/>
    <n v="0"/>
    <n v="0"/>
    <n v="56"/>
    <n v="0"/>
    <n v="0"/>
    <n v="0"/>
    <n v="0"/>
    <n v="0"/>
    <n v="0"/>
    <n v="0"/>
    <n v="0"/>
    <m/>
    <m/>
    <m/>
    <m/>
    <m/>
    <m/>
    <m/>
    <m/>
    <s v="1"/>
    <s v="1"/>
    <s v="1"/>
    <s v="0"/>
    <s v="1"/>
    <m/>
    <m/>
    <m/>
    <m/>
    <m/>
    <m/>
    <m/>
    <m/>
    <m/>
    <m/>
    <m/>
    <m/>
    <m/>
    <m/>
  </r>
  <r>
    <n v="743"/>
    <d v="2025-02-22T00:00:00"/>
    <s v="ZBTO"/>
    <n v="9518543325"/>
    <n v="1"/>
    <s v="9518543325-1"/>
    <s v="Apr'25 "/>
    <x v="0"/>
    <m/>
    <x v="4"/>
    <x v="3"/>
    <n v="1000"/>
    <m/>
    <x v="1"/>
    <m/>
    <m/>
    <s v="Jharkhand"/>
    <s v="TBSPL"/>
    <s v="ADITYAPUR"/>
    <s v="Coil"/>
    <n v="942284"/>
    <x v="39"/>
    <n v="3931932"/>
    <s v="GL COIL HARD  Y550GL M306 0.350X900"/>
    <m/>
    <m/>
    <m/>
    <m/>
    <s v="Narrow"/>
    <s v="B04"/>
    <s v="Y550GL"/>
    <s v="M306"/>
    <n v="0.35"/>
    <n v="900"/>
    <n v="0"/>
    <n v="21"/>
    <n v="0"/>
    <n v="21"/>
    <n v="21"/>
    <n v="21"/>
    <n v="21"/>
    <n v="0"/>
    <n v="0"/>
    <n v="0"/>
    <n v="0"/>
    <n v="0"/>
    <n v="0"/>
    <n v="0"/>
    <n v="0"/>
    <n v="0"/>
    <n v="0"/>
    <n v="0"/>
    <n v="0"/>
    <n v="0"/>
    <n v="0"/>
    <n v="0"/>
    <n v="0"/>
    <n v="0"/>
    <n v="0"/>
    <n v="0"/>
    <n v="0"/>
    <n v="0"/>
    <n v="0"/>
    <n v="0"/>
    <m/>
    <n v="0"/>
    <n v="21"/>
    <n v="0"/>
    <n v="0"/>
    <n v="0"/>
    <n v="0"/>
    <n v="21"/>
    <n v="0"/>
    <n v="0"/>
    <n v="0"/>
    <n v="0"/>
    <n v="0"/>
    <n v="0"/>
    <n v="21"/>
    <n v="0"/>
    <n v="0"/>
    <n v="0"/>
    <n v="0"/>
    <n v="0"/>
    <n v="0"/>
    <n v="0"/>
    <m/>
    <m/>
    <m/>
    <m/>
    <m/>
    <m/>
    <m/>
    <m/>
    <s v="1"/>
    <s v="1"/>
    <s v="1"/>
    <s v="1"/>
    <s v="0"/>
    <m/>
    <m/>
    <m/>
    <m/>
    <m/>
    <m/>
    <m/>
    <m/>
    <m/>
    <m/>
    <m/>
    <m/>
    <m/>
    <m/>
  </r>
  <r>
    <n v="743"/>
    <d v="2025-02-24T00:00:00"/>
    <s v="ZBTO"/>
    <n v="9518546801"/>
    <n v="2"/>
    <s v="9518546801-2"/>
    <s v="Apr'25 "/>
    <x v="0"/>
    <m/>
    <x v="3"/>
    <x v="4"/>
    <n v="2000"/>
    <n v="3500"/>
    <x v="1"/>
    <m/>
    <m/>
    <s v="Karnataka"/>
    <s v="South"/>
    <s v="HUBLI"/>
    <s v="Coil"/>
    <n v="942923"/>
    <x v="14"/>
    <n v="222922"/>
    <s v="GPCOIL TATXGP GP02 0.30X1015"/>
    <m/>
    <m/>
    <m/>
    <m/>
    <s v="Narrow"/>
    <s v="C05"/>
    <s v="TATXGP"/>
    <s v="GP02"/>
    <n v="0.3"/>
    <n v="1015"/>
    <n v="0"/>
    <n v="207"/>
    <n v="0"/>
    <n v="207"/>
    <n v="207"/>
    <n v="207"/>
    <n v="207"/>
    <n v="0"/>
    <n v="0"/>
    <n v="0"/>
    <n v="0"/>
    <n v="0"/>
    <n v="0"/>
    <n v="0"/>
    <n v="0"/>
    <n v="0"/>
    <n v="0"/>
    <n v="0"/>
    <n v="0"/>
    <n v="0"/>
    <n v="0"/>
    <n v="0"/>
    <n v="0"/>
    <n v="0"/>
    <n v="0"/>
    <n v="0"/>
    <n v="0"/>
    <n v="0"/>
    <n v="0"/>
    <n v="0"/>
    <m/>
    <n v="0"/>
    <n v="207"/>
    <n v="0"/>
    <n v="0"/>
    <n v="0"/>
    <n v="0"/>
    <n v="207"/>
    <n v="207"/>
    <n v="0"/>
    <n v="0"/>
    <n v="0"/>
    <n v="0"/>
    <n v="207"/>
    <n v="0"/>
    <n v="0"/>
    <n v="0"/>
    <n v="0"/>
    <n v="0"/>
    <n v="0"/>
    <n v="0"/>
    <n v="0"/>
    <m/>
    <m/>
    <m/>
    <m/>
    <m/>
    <m/>
    <m/>
    <m/>
    <s v="1"/>
    <s v="1"/>
    <s v="1"/>
    <s v="1"/>
    <s v="0"/>
    <m/>
    <m/>
    <m/>
    <m/>
    <m/>
    <m/>
    <m/>
    <m/>
    <m/>
    <m/>
    <m/>
    <m/>
    <m/>
    <m/>
  </r>
  <r>
    <n v="742"/>
    <d v="2025-02-25T00:00:00"/>
    <s v="ZBTO"/>
    <n v="9518550511"/>
    <n v="8"/>
    <s v="9518550511-8"/>
    <s v="Apr'25 "/>
    <x v="0"/>
    <m/>
    <x v="1"/>
    <x v="11"/>
    <n v="2000"/>
    <m/>
    <x v="1"/>
    <m/>
    <m/>
    <s v="Karnataka"/>
    <s v="South"/>
    <s v="BIDADI"/>
    <s v="Coil"/>
    <n v="939268"/>
    <x v="38"/>
    <n v="2420540"/>
    <s v="CRCA COIL TATXXD AH03 2.500X1250"/>
    <m/>
    <m/>
    <m/>
    <m/>
    <s v="Wider"/>
    <s v="C01"/>
    <s v="TATXXD"/>
    <s v="AH03"/>
    <n v="2.5"/>
    <n v="1250"/>
    <n v="0"/>
    <n v="116"/>
    <n v="90.424999999999997"/>
    <n v="25.574999999999999"/>
    <n v="25.574999999999999"/>
    <n v="25.574999999999999"/>
    <n v="25.574999999999999"/>
    <n v="0"/>
    <n v="0"/>
    <n v="0"/>
    <n v="0"/>
    <n v="0"/>
    <n v="0"/>
    <n v="0"/>
    <n v="0"/>
    <n v="0"/>
    <n v="0"/>
    <n v="0"/>
    <n v="0"/>
    <n v="0"/>
    <n v="0"/>
    <n v="0"/>
    <n v="0"/>
    <n v="0"/>
    <n v="0"/>
    <n v="0"/>
    <n v="0"/>
    <n v="0"/>
    <n v="0"/>
    <n v="0"/>
    <m/>
    <n v="0"/>
    <n v="116"/>
    <n v="0"/>
    <n v="116"/>
    <n v="0"/>
    <n v="0"/>
    <n v="0"/>
    <n v="116"/>
    <n v="0"/>
    <n v="0"/>
    <n v="116"/>
    <n v="0"/>
    <n v="0"/>
    <n v="0"/>
    <n v="64.319999999999993"/>
    <n v="0"/>
    <n v="64.319999999999993"/>
    <n v="0"/>
    <n v="0"/>
    <n v="0"/>
    <n v="0"/>
    <m/>
    <m/>
    <m/>
    <m/>
    <m/>
    <m/>
    <m/>
    <m/>
    <s v="1"/>
    <s v="0"/>
    <s v="1"/>
    <s v="1"/>
    <s v="1"/>
    <m/>
    <m/>
    <m/>
    <m/>
    <m/>
    <m/>
    <m/>
    <m/>
    <m/>
    <m/>
    <m/>
    <m/>
    <m/>
    <m/>
  </r>
  <r>
    <n v="4310"/>
    <d v="2025-02-27T00:00:00"/>
    <s v="ZBTF"/>
    <n v="9518559566"/>
    <n v="1"/>
    <s v="9518559566-1"/>
    <s v="No Priority"/>
    <x v="0"/>
    <m/>
    <x v="1"/>
    <x v="7"/>
    <n v="1000"/>
    <m/>
    <x v="0"/>
    <m/>
    <s v="Exp BTF &lt;17MT"/>
    <s v="West Bengal"/>
    <s v="East"/>
    <s v="TIRUNINRAVUR"/>
    <s v="Coil"/>
    <n v="600250"/>
    <x v="63"/>
    <n v="3659268"/>
    <s v="CR COIL TSBSTA EL03 0.500X1217"/>
    <m/>
    <m/>
    <m/>
    <m/>
    <s v="Wider"/>
    <s v="C01"/>
    <s v="TSBSTA"/>
    <s v="EL03"/>
    <n v="0.5"/>
    <n v="1217"/>
    <n v="0"/>
    <n v="140"/>
    <n v="0"/>
    <n v="140"/>
    <n v="2.64"/>
    <n v="0"/>
    <n v="15.63"/>
    <n v="0"/>
    <n v="0"/>
    <n v="0"/>
    <n v="0"/>
    <n v="0"/>
    <n v="0"/>
    <n v="0"/>
    <n v="0"/>
    <n v="0"/>
    <n v="0"/>
    <n v="0"/>
    <n v="0"/>
    <n v="0"/>
    <n v="0"/>
    <n v="0"/>
    <n v="0"/>
    <n v="0"/>
    <n v="0"/>
    <n v="0"/>
    <n v="0"/>
    <n v="0"/>
    <n v="0"/>
    <n v="0"/>
    <m/>
    <n v="0"/>
    <n v="140"/>
    <n v="0"/>
    <n v="0"/>
    <n v="0"/>
    <n v="140"/>
    <n v="0"/>
    <n v="140"/>
    <n v="0"/>
    <n v="0"/>
    <n v="0"/>
    <n v="0"/>
    <n v="140"/>
    <n v="0"/>
    <n v="0"/>
    <n v="0"/>
    <n v="0"/>
    <n v="0"/>
    <n v="0"/>
    <n v="0"/>
    <n v="0"/>
    <m/>
    <m/>
    <m/>
    <m/>
    <m/>
    <m/>
    <m/>
    <m/>
    <s v="1"/>
    <s v="1"/>
    <s v="1"/>
    <s v="0"/>
    <s v="1"/>
    <m/>
    <m/>
    <m/>
    <m/>
    <m/>
    <m/>
    <m/>
    <m/>
    <m/>
    <m/>
    <m/>
    <m/>
    <m/>
    <m/>
  </r>
  <r>
    <n v="743"/>
    <d v="2025-03-01T00:00:00"/>
    <s v="ZBTO"/>
    <n v="9518567465"/>
    <n v="2"/>
    <s v="9518567465-2"/>
    <s v="No Priority"/>
    <x v="0"/>
    <m/>
    <x v="3"/>
    <x v="9"/>
    <n v="2000"/>
    <m/>
    <x v="0"/>
    <m/>
    <m/>
    <s v="Assam"/>
    <s v="East"/>
    <s v="ABHOYAPUR"/>
    <s v="Coil"/>
    <n v="116649"/>
    <x v="24"/>
    <n v="3215894"/>
    <s v="GP COIL SOFT-TATXGP-GLK1-0.6X900"/>
    <m/>
    <m/>
    <m/>
    <m/>
    <s v="Narrow"/>
    <s v="C02"/>
    <s v="TATXGP"/>
    <s v="GLK1"/>
    <n v="0.6"/>
    <n v="900"/>
    <n v="0"/>
    <n v="21"/>
    <n v="0"/>
    <n v="21"/>
    <n v="21"/>
    <n v="0"/>
    <n v="1.385"/>
    <n v="0"/>
    <n v="0"/>
    <n v="0"/>
    <n v="0"/>
    <n v="0"/>
    <n v="0"/>
    <n v="0"/>
    <n v="0"/>
    <n v="0"/>
    <n v="0"/>
    <n v="0"/>
    <n v="0"/>
    <n v="0"/>
    <n v="0"/>
    <n v="0"/>
    <n v="0"/>
    <n v="0"/>
    <n v="0"/>
    <n v="0"/>
    <n v="0"/>
    <n v="0"/>
    <n v="21"/>
    <n v="21"/>
    <m/>
    <n v="0"/>
    <n v="21"/>
    <n v="0"/>
    <n v="0"/>
    <n v="0"/>
    <n v="21"/>
    <n v="0"/>
    <n v="21"/>
    <n v="0"/>
    <n v="0"/>
    <n v="0"/>
    <n v="0"/>
    <n v="21"/>
    <n v="0"/>
    <n v="0"/>
    <n v="0"/>
    <n v="0"/>
    <n v="0"/>
    <n v="0"/>
    <n v="0"/>
    <n v="0"/>
    <m/>
    <m/>
    <m/>
    <m/>
    <m/>
    <m/>
    <m/>
    <m/>
    <s v="1"/>
    <s v="1"/>
    <s v="1"/>
    <s v="0"/>
    <s v="1"/>
    <m/>
    <m/>
    <m/>
    <m/>
    <m/>
    <m/>
    <m/>
    <m/>
    <m/>
    <m/>
    <m/>
    <m/>
    <m/>
    <m/>
  </r>
  <r>
    <n v="742"/>
    <d v="2025-03-03T00:00:00"/>
    <s v="ZBTO"/>
    <n v="9518569788"/>
    <n v="1"/>
    <s v="9518569788-1"/>
    <s v="Apr'25 "/>
    <x v="0"/>
    <m/>
    <x v="1"/>
    <x v="2"/>
    <n v="2000"/>
    <m/>
    <x v="1"/>
    <m/>
    <m/>
    <s v="Assam"/>
    <s v="East"/>
    <s v="ABHOYAPUR"/>
    <s v="Sheet"/>
    <n v="116649"/>
    <x v="24"/>
    <n v="3239542"/>
    <s v="CRCA SHEET TATCRC SR16 0.350X1000X2500"/>
    <m/>
    <m/>
    <m/>
    <m/>
    <s v="Narrow"/>
    <s v="C06"/>
    <s v="TATCRC"/>
    <s v="SR16"/>
    <n v="0.35"/>
    <n v="1000"/>
    <n v="2500"/>
    <n v="24"/>
    <n v="0"/>
    <n v="24"/>
    <n v="24"/>
    <n v="24"/>
    <n v="24"/>
    <n v="0"/>
    <n v="0"/>
    <n v="0"/>
    <n v="0"/>
    <n v="0"/>
    <n v="0"/>
    <n v="0"/>
    <n v="0"/>
    <n v="0"/>
    <n v="0"/>
    <n v="0"/>
    <n v="0"/>
    <n v="0"/>
    <n v="0"/>
    <n v="0"/>
    <n v="0"/>
    <n v="0"/>
    <n v="0"/>
    <n v="0"/>
    <n v="0"/>
    <n v="0"/>
    <n v="0"/>
    <n v="0"/>
    <m/>
    <n v="0"/>
    <n v="24"/>
    <n v="0"/>
    <n v="0"/>
    <n v="24"/>
    <n v="0"/>
    <n v="0"/>
    <n v="24"/>
    <n v="0"/>
    <n v="0"/>
    <n v="0"/>
    <n v="24"/>
    <n v="0"/>
    <n v="0"/>
    <n v="0"/>
    <n v="0"/>
    <n v="0"/>
    <n v="0"/>
    <n v="0"/>
    <n v="0"/>
    <n v="0"/>
    <m/>
    <m/>
    <m/>
    <m/>
    <m/>
    <m/>
    <m/>
    <m/>
    <s v="1"/>
    <s v="1"/>
    <s v="0"/>
    <s v="1"/>
    <s v="1"/>
    <m/>
    <m/>
    <m/>
    <m/>
    <m/>
    <m/>
    <m/>
    <m/>
    <m/>
    <m/>
    <m/>
    <m/>
    <m/>
    <m/>
  </r>
  <r>
    <n v="743"/>
    <d v="2025-03-08T00:00:00"/>
    <s v="ZBTO"/>
    <n v="9518584468"/>
    <n v="1"/>
    <s v="9518584468-1"/>
    <s v="No Priority"/>
    <x v="0"/>
    <m/>
    <x v="4"/>
    <x v="3"/>
    <n v="1000"/>
    <m/>
    <x v="0"/>
    <m/>
    <m/>
    <s v="Tamil Nadu"/>
    <s v="TBSPL"/>
    <s v="SRIPERUMBUDUR"/>
    <s v="Coil"/>
    <n v="942294"/>
    <x v="39"/>
    <n v="3946362"/>
    <s v="GL COIL HARD Y550GL M308 0.47 (TCT)X1220"/>
    <m/>
    <m/>
    <m/>
    <m/>
    <s v="Wider"/>
    <s v="B04"/>
    <s v="Y550GL"/>
    <s v="M308"/>
    <n v="0.47"/>
    <n v="1220"/>
    <n v="0"/>
    <n v="168"/>
    <n v="114.02"/>
    <n v="53.98"/>
    <n v="11.805"/>
    <n v="53.98"/>
    <n v="0.17499999999999999"/>
    <n v="0"/>
    <n v="0"/>
    <n v="0"/>
    <n v="0"/>
    <n v="0"/>
    <n v="0"/>
    <n v="0"/>
    <n v="0"/>
    <n v="0"/>
    <n v="0"/>
    <n v="0"/>
    <n v="0"/>
    <n v="0"/>
    <n v="0"/>
    <n v="0"/>
    <n v="0"/>
    <n v="0"/>
    <n v="0"/>
    <n v="0"/>
    <n v="0"/>
    <n v="0"/>
    <n v="0"/>
    <n v="0"/>
    <m/>
    <n v="0"/>
    <n v="168"/>
    <n v="0"/>
    <n v="168"/>
    <n v="0"/>
    <n v="0"/>
    <n v="0"/>
    <n v="168"/>
    <n v="0"/>
    <n v="168"/>
    <n v="0"/>
    <n v="0"/>
    <n v="0"/>
    <n v="0"/>
    <n v="27.695"/>
    <n v="0"/>
    <n v="27.695"/>
    <n v="0"/>
    <n v="0"/>
    <n v="0"/>
    <n v="0"/>
    <m/>
    <m/>
    <m/>
    <m/>
    <m/>
    <m/>
    <m/>
    <m/>
    <s v="1"/>
    <s v="0"/>
    <s v="1"/>
    <s v="1"/>
    <s v="1"/>
    <m/>
    <m/>
    <m/>
    <m/>
    <m/>
    <m/>
    <m/>
    <m/>
    <m/>
    <m/>
    <m/>
    <m/>
    <m/>
    <m/>
  </r>
  <r>
    <n v="742"/>
    <d v="2025-03-08T00:00:00"/>
    <s v="ZBTO"/>
    <n v="9518585068"/>
    <n v="1"/>
    <s v="9518585068-1"/>
    <s v="May'25"/>
    <x v="0"/>
    <m/>
    <x v="1"/>
    <x v="2"/>
    <n v="2000"/>
    <m/>
    <x v="1"/>
    <m/>
    <s v="Exp BTF &lt;17MT"/>
    <s v="Assam"/>
    <s v="East"/>
    <s v="ABHOYAPUR"/>
    <s v="Coil"/>
    <n v="116649"/>
    <x v="24"/>
    <n v="3516009"/>
    <s v="CR COIL TSBCRC SR25 0.700X1250"/>
    <m/>
    <m/>
    <m/>
    <m/>
    <s v="Wider"/>
    <s v="C01"/>
    <s v="TSBCRC"/>
    <s v="SR25"/>
    <n v="0.7"/>
    <n v="1250"/>
    <n v="0"/>
    <n v="87"/>
    <n v="0"/>
    <n v="87"/>
    <n v="3.88"/>
    <n v="32.9"/>
    <n v="60.71"/>
    <n v="0"/>
    <n v="0"/>
    <n v="0"/>
    <n v="0"/>
    <n v="0"/>
    <n v="0"/>
    <n v="0"/>
    <n v="0"/>
    <n v="0"/>
    <n v="0"/>
    <n v="0"/>
    <n v="0"/>
    <n v="26.830000000000002"/>
    <n v="27.27"/>
    <n v="0"/>
    <n v="0"/>
    <n v="0"/>
    <n v="0"/>
    <n v="0"/>
    <n v="54.1"/>
    <n v="54.1"/>
    <n v="0"/>
    <n v="54.1"/>
    <m/>
    <n v="0"/>
    <n v="87"/>
    <n v="0"/>
    <n v="0"/>
    <n v="87"/>
    <n v="0"/>
    <n v="0"/>
    <n v="87"/>
    <n v="0"/>
    <n v="0"/>
    <n v="0"/>
    <n v="87"/>
    <n v="0"/>
    <n v="0"/>
    <n v="0"/>
    <n v="0"/>
    <n v="0"/>
    <n v="0"/>
    <n v="0"/>
    <n v="0"/>
    <n v="0"/>
    <m/>
    <m/>
    <m/>
    <m/>
    <m/>
    <m/>
    <m/>
    <m/>
    <s v="1"/>
    <s v="1"/>
    <s v="0"/>
    <s v="1"/>
    <s v="1"/>
    <m/>
    <m/>
    <m/>
    <m/>
    <m/>
    <m/>
    <m/>
    <m/>
    <m/>
    <m/>
    <m/>
    <m/>
    <m/>
    <m/>
  </r>
  <r>
    <n v="742"/>
    <d v="2025-03-11T00:00:00"/>
    <s v="ZBTO"/>
    <n v="9518592268"/>
    <n v="1"/>
    <s v="9518592268-1"/>
    <s v="Apr'25 "/>
    <x v="0"/>
    <m/>
    <x v="1"/>
    <x v="2"/>
    <n v="2000"/>
    <m/>
    <x v="1"/>
    <m/>
    <m/>
    <s v="West Bengal"/>
    <s v="East"/>
    <s v="SILIGURI TOWN"/>
    <s v="Sheet"/>
    <n v="948783"/>
    <x v="24"/>
    <n v="3239557"/>
    <s v="CRCA SHEET TATCRC SR16 0.400X1250X2500"/>
    <m/>
    <m/>
    <m/>
    <m/>
    <s v="Wider"/>
    <s v="C06"/>
    <s v="TATCRC"/>
    <s v="SR16"/>
    <n v="0.4"/>
    <n v="1250"/>
    <n v="0"/>
    <n v="27"/>
    <n v="0"/>
    <n v="27"/>
    <n v="27"/>
    <n v="27"/>
    <n v="27"/>
    <n v="0"/>
    <n v="0"/>
    <n v="0"/>
    <n v="0"/>
    <n v="0"/>
    <n v="0"/>
    <n v="0"/>
    <n v="0"/>
    <n v="0"/>
    <n v="0"/>
    <n v="0"/>
    <n v="0"/>
    <n v="0"/>
    <n v="0"/>
    <n v="0"/>
    <n v="0"/>
    <n v="0"/>
    <n v="0"/>
    <n v="0"/>
    <n v="0"/>
    <n v="0"/>
    <n v="0"/>
    <n v="0"/>
    <m/>
    <n v="0"/>
    <n v="27"/>
    <n v="0"/>
    <n v="0"/>
    <n v="0"/>
    <n v="27"/>
    <n v="0"/>
    <n v="27"/>
    <n v="0"/>
    <n v="0"/>
    <n v="0"/>
    <n v="0"/>
    <n v="27"/>
    <n v="0"/>
    <n v="0"/>
    <n v="0"/>
    <n v="0"/>
    <n v="0"/>
    <n v="0"/>
    <n v="0"/>
    <n v="0"/>
    <m/>
    <m/>
    <m/>
    <m/>
    <m/>
    <m/>
    <m/>
    <m/>
    <s v="1"/>
    <s v="1"/>
    <s v="1"/>
    <s v="0"/>
    <s v="1"/>
    <m/>
    <m/>
    <m/>
    <m/>
    <m/>
    <m/>
    <m/>
    <m/>
    <m/>
    <m/>
    <m/>
    <m/>
    <m/>
    <m/>
  </r>
  <r>
    <n v="744"/>
    <d v="2025-03-13T00:00:00"/>
    <s v="ZBTO"/>
    <n v="9518599122"/>
    <n v="3"/>
    <s v="9518599122-3"/>
    <s v="Apr'25 "/>
    <x v="0"/>
    <m/>
    <x v="2"/>
    <x v="3"/>
    <n v="1000"/>
    <m/>
    <x v="1"/>
    <m/>
    <m/>
    <s v="Jharkhand"/>
    <s v="TBSPL"/>
    <s v="TBL- BARA AGRICO"/>
    <s v="Coil"/>
    <n v="941597"/>
    <x v="39"/>
    <n v="3902332"/>
    <s v="PPGL C HARD Y550PL D0C9 0.50(TPT)X1220"/>
    <m/>
    <m/>
    <m/>
    <m/>
    <s v="Wider"/>
    <s v="B18"/>
    <s v="Y550PL"/>
    <s v="D0C9"/>
    <n v="0.5"/>
    <n v="1220"/>
    <n v="0"/>
    <n v="28"/>
    <n v="0"/>
    <n v="28"/>
    <n v="28"/>
    <n v="28"/>
    <n v="28"/>
    <n v="0"/>
    <n v="0"/>
    <n v="0"/>
    <n v="0"/>
    <n v="0"/>
    <n v="0"/>
    <n v="0"/>
    <n v="0"/>
    <n v="0"/>
    <n v="0"/>
    <n v="0"/>
    <n v="0"/>
    <n v="0"/>
    <n v="0"/>
    <n v="0"/>
    <n v="0"/>
    <n v="0"/>
    <n v="0"/>
    <n v="0"/>
    <n v="0"/>
    <n v="0"/>
    <n v="0"/>
    <n v="0"/>
    <m/>
    <n v="0"/>
    <n v="28"/>
    <n v="0"/>
    <n v="0"/>
    <n v="0"/>
    <n v="28"/>
    <n v="0"/>
    <n v="28"/>
    <n v="0"/>
    <n v="0"/>
    <n v="0"/>
    <n v="0"/>
    <n v="28"/>
    <n v="0"/>
    <n v="0"/>
    <n v="0"/>
    <n v="0"/>
    <n v="0"/>
    <n v="0"/>
    <n v="0"/>
    <n v="0"/>
    <m/>
    <m/>
    <m/>
    <m/>
    <m/>
    <m/>
    <m/>
    <m/>
    <s v="1"/>
    <s v="1"/>
    <s v="1"/>
    <s v="0"/>
    <s v="1"/>
    <m/>
    <m/>
    <m/>
    <m/>
    <m/>
    <m/>
    <m/>
    <m/>
    <m/>
    <m/>
    <m/>
    <m/>
    <m/>
    <m/>
  </r>
  <r>
    <n v="743"/>
    <d v="2025-03-13T00:00:00"/>
    <s v="ZBTO"/>
    <n v="9518599613"/>
    <n v="1"/>
    <s v="9518599613-1"/>
    <s v="No Priority"/>
    <x v="0"/>
    <m/>
    <x v="4"/>
    <x v="3"/>
    <n v="1000"/>
    <m/>
    <x v="0"/>
    <m/>
    <m/>
    <s v="Jharkhand"/>
    <s v="TBSPL"/>
    <s v="TBL- BARA AGRICO"/>
    <s v="Coil"/>
    <n v="942283"/>
    <x v="39"/>
    <n v="3928137"/>
    <s v="GL C YS550 H6GL 0.85BMT(0.90TCT)X1220"/>
    <m/>
    <m/>
    <m/>
    <m/>
    <s v="Wider"/>
    <s v="B04"/>
    <s v="Y550GL"/>
    <s v="H6GL"/>
    <n v="0.85"/>
    <n v="1220"/>
    <n v="0"/>
    <n v="56"/>
    <n v="47.704999999999998"/>
    <n v="8.2949999999999999"/>
    <n v="3.6549999999999998"/>
    <n v="3.6550000000000002"/>
    <n v="8.2949999999999999"/>
    <n v="0"/>
    <n v="0"/>
    <n v="0"/>
    <n v="0"/>
    <n v="0"/>
    <n v="0"/>
    <n v="0"/>
    <n v="4.6399999999999997"/>
    <n v="0"/>
    <n v="0"/>
    <n v="0"/>
    <n v="0"/>
    <n v="0"/>
    <n v="0"/>
    <n v="0"/>
    <n v="0"/>
    <n v="0"/>
    <n v="0"/>
    <n v="0"/>
    <n v="4.6399999999999997"/>
    <n v="4.6399999999999997"/>
    <n v="0"/>
    <n v="4.6399999999999997"/>
    <m/>
    <n v="0"/>
    <n v="56"/>
    <n v="0"/>
    <n v="0"/>
    <n v="56"/>
    <n v="0"/>
    <n v="0"/>
    <n v="56"/>
    <n v="0"/>
    <n v="0"/>
    <n v="0"/>
    <n v="56"/>
    <n v="0"/>
    <n v="0"/>
    <n v="47.704999999999998"/>
    <n v="0"/>
    <n v="0"/>
    <n v="47.704999999999998"/>
    <n v="0"/>
    <n v="0"/>
    <n v="0"/>
    <m/>
    <m/>
    <m/>
    <m/>
    <m/>
    <m/>
    <m/>
    <m/>
    <s v="1"/>
    <s v="1"/>
    <s v="0"/>
    <s v="1"/>
    <s v="1"/>
    <m/>
    <m/>
    <m/>
    <m/>
    <m/>
    <m/>
    <m/>
    <m/>
    <m/>
    <m/>
    <m/>
    <m/>
    <m/>
    <m/>
  </r>
  <r>
    <n v="742"/>
    <d v="2025-03-16T00:00:00"/>
    <s v="ZBTO"/>
    <n v="9518604267"/>
    <n v="1"/>
    <s v="9518604267-1"/>
    <s v="Apr'25 "/>
    <x v="0"/>
    <m/>
    <x v="5"/>
    <x v="10"/>
    <n v="1000"/>
    <m/>
    <x v="1"/>
    <m/>
    <m/>
    <s v="Gujarat"/>
    <s v="West"/>
    <s v="KUTCH"/>
    <s v="Coil"/>
    <n v="189108"/>
    <x v="64"/>
    <n v="3577912"/>
    <s v="CR COIL TATFHC TR10 0.360X1320"/>
    <m/>
    <m/>
    <m/>
    <m/>
    <s v="Wider"/>
    <s v="C09"/>
    <s v="TATFHC"/>
    <s v="TR10"/>
    <n v="0.36"/>
    <n v="1320"/>
    <n v="0"/>
    <n v="300"/>
    <n v="0"/>
    <n v="300"/>
    <n v="270.04000000000002"/>
    <n v="257.34500000000003"/>
    <n v="65.415000000000006"/>
    <n v="0"/>
    <n v="0"/>
    <n v="0"/>
    <n v="0"/>
    <n v="29.335000000000001"/>
    <n v="0"/>
    <n v="0"/>
    <n v="0"/>
    <n v="0"/>
    <n v="0"/>
    <n v="0"/>
    <n v="0"/>
    <n v="0"/>
    <n v="0"/>
    <n v="0"/>
    <n v="13.32"/>
    <n v="0"/>
    <n v="0"/>
    <n v="0"/>
    <n v="42.655000000000001"/>
    <n v="42.655000000000001"/>
    <n v="0"/>
    <n v="42.655000000000001"/>
    <m/>
    <n v="0"/>
    <n v="300"/>
    <n v="0"/>
    <n v="0"/>
    <n v="0"/>
    <n v="300"/>
    <n v="0"/>
    <n v="300"/>
    <n v="0"/>
    <n v="0"/>
    <n v="0"/>
    <n v="300"/>
    <n v="0"/>
    <n v="0"/>
    <n v="0"/>
    <n v="0"/>
    <n v="0"/>
    <n v="0"/>
    <n v="0"/>
    <n v="0"/>
    <n v="0"/>
    <m/>
    <m/>
    <m/>
    <m/>
    <m/>
    <m/>
    <m/>
    <m/>
    <s v="1"/>
    <s v="1"/>
    <s v="1"/>
    <s v="0"/>
    <s v="1"/>
    <m/>
    <m/>
    <m/>
    <m/>
    <m/>
    <m/>
    <m/>
    <m/>
    <m/>
    <m/>
    <m/>
    <m/>
    <m/>
    <m/>
  </r>
  <r>
    <n v="742"/>
    <d v="2025-03-16T00:00:00"/>
    <s v="ZBTO"/>
    <n v="9518604267"/>
    <n v="3"/>
    <s v="9518604267-3"/>
    <s v="Apr'25 "/>
    <x v="0"/>
    <m/>
    <x v="5"/>
    <x v="10"/>
    <n v="1000"/>
    <m/>
    <x v="1"/>
    <m/>
    <m/>
    <s v="Gujarat"/>
    <s v="West"/>
    <s v="KUTCH"/>
    <s v="Coil"/>
    <n v="189108"/>
    <x v="64"/>
    <n v="3577912"/>
    <s v="CR COIL TATFHC TR10 0.360X1320"/>
    <m/>
    <m/>
    <m/>
    <m/>
    <s v="Wider"/>
    <s v="C09"/>
    <s v="TATFHC"/>
    <s v="TR10"/>
    <n v="0.36"/>
    <n v="1320"/>
    <n v="0"/>
    <n v="270"/>
    <n v="0"/>
    <n v="270"/>
    <n v="270"/>
    <n v="228.18"/>
    <n v="63.314999999999998"/>
    <n v="0"/>
    <n v="0"/>
    <n v="0"/>
    <n v="0"/>
    <n v="32.020000000000003"/>
    <n v="0"/>
    <n v="0"/>
    <n v="0"/>
    <n v="0"/>
    <n v="0"/>
    <n v="0"/>
    <n v="0"/>
    <n v="0"/>
    <n v="0"/>
    <n v="0"/>
    <n v="0"/>
    <n v="0"/>
    <n v="0"/>
    <n v="9.8000000000000007"/>
    <n v="41.820000000000007"/>
    <n v="41.820000000000007"/>
    <n v="0"/>
    <n v="41.820000000000007"/>
    <m/>
    <n v="0"/>
    <n v="270"/>
    <n v="0"/>
    <n v="0"/>
    <n v="0"/>
    <n v="270"/>
    <n v="0"/>
    <n v="270"/>
    <n v="0"/>
    <n v="0"/>
    <n v="0"/>
    <n v="0"/>
    <n v="270"/>
    <n v="0"/>
    <n v="0"/>
    <n v="0"/>
    <n v="0"/>
    <n v="0"/>
    <n v="0"/>
    <n v="0"/>
    <n v="0"/>
    <m/>
    <m/>
    <m/>
    <m/>
    <m/>
    <m/>
    <m/>
    <m/>
    <s v="1"/>
    <s v="1"/>
    <s v="1"/>
    <s v="0"/>
    <s v="1"/>
    <m/>
    <m/>
    <m/>
    <m/>
    <m/>
    <m/>
    <m/>
    <m/>
    <m/>
    <m/>
    <m/>
    <m/>
    <m/>
    <m/>
  </r>
  <r>
    <n v="742"/>
    <d v="2025-03-17T00:00:00"/>
    <s v="ZBTO"/>
    <n v="9518605539"/>
    <n v="1"/>
    <s v="9518605539-1"/>
    <s v="No Priority"/>
    <x v="0"/>
    <m/>
    <x v="1"/>
    <x v="2"/>
    <n v="2000"/>
    <m/>
    <x v="0"/>
    <m/>
    <m/>
    <s v="West Bengal"/>
    <s v="East"/>
    <s v="HOWRAH"/>
    <s v="Sheet"/>
    <n v="925093"/>
    <x v="61"/>
    <n v="2440959"/>
    <s v="CRCA SHEET TATCRC SR16 0.330X900X2500"/>
    <m/>
    <m/>
    <m/>
    <m/>
    <s v="Narrow"/>
    <s v="C06"/>
    <s v="TATCRC"/>
    <s v="SR16"/>
    <n v="0.33"/>
    <n v="900"/>
    <n v="2500"/>
    <n v="24"/>
    <n v="0"/>
    <n v="24"/>
    <n v="24"/>
    <n v="0"/>
    <n v="24"/>
    <n v="0"/>
    <n v="0"/>
    <n v="0"/>
    <n v="0"/>
    <n v="0"/>
    <n v="0"/>
    <n v="0"/>
    <n v="0"/>
    <n v="0"/>
    <n v="0"/>
    <n v="0"/>
    <n v="0"/>
    <n v="0"/>
    <n v="0"/>
    <n v="0"/>
    <n v="0"/>
    <n v="22.09"/>
    <n v="0"/>
    <n v="0"/>
    <n v="22.09"/>
    <n v="22.09"/>
    <n v="0"/>
    <n v="22.09"/>
    <m/>
    <n v="0"/>
    <n v="24"/>
    <n v="0"/>
    <n v="0"/>
    <n v="0"/>
    <n v="24"/>
    <n v="0"/>
    <n v="24"/>
    <n v="0"/>
    <n v="0"/>
    <n v="0"/>
    <n v="0"/>
    <n v="24"/>
    <n v="0"/>
    <n v="0"/>
    <n v="0"/>
    <n v="0"/>
    <n v="0"/>
    <n v="0"/>
    <n v="0"/>
    <n v="0"/>
    <m/>
    <m/>
    <m/>
    <m/>
    <m/>
    <m/>
    <m/>
    <m/>
    <s v="1"/>
    <s v="1"/>
    <s v="1"/>
    <s v="0"/>
    <s v="1"/>
    <m/>
    <m/>
    <m/>
    <m/>
    <m/>
    <m/>
    <m/>
    <m/>
    <m/>
    <m/>
    <m/>
    <m/>
    <m/>
    <m/>
  </r>
  <r>
    <n v="742"/>
    <d v="2025-03-17T00:00:00"/>
    <s v="ZBTO"/>
    <n v="9518605539"/>
    <n v="2"/>
    <s v="9518605539-2"/>
    <s v="No Priority"/>
    <x v="0"/>
    <m/>
    <x v="1"/>
    <x v="2"/>
    <n v="2000"/>
    <m/>
    <x v="0"/>
    <m/>
    <s v="Exp BTF &lt;17MT"/>
    <s v="West Bengal"/>
    <s v="East"/>
    <s v="HOWRAH"/>
    <s v="Sheet"/>
    <n v="925093"/>
    <x v="61"/>
    <n v="3239536"/>
    <s v="CRCA SHEET TATCRC SR16 0.350X900X2500"/>
    <m/>
    <m/>
    <m/>
    <m/>
    <s v="Narrow"/>
    <s v="C06"/>
    <s v="TATCRC"/>
    <s v="SR16"/>
    <n v="0.35"/>
    <n v="900"/>
    <n v="2500"/>
    <n v="24"/>
    <n v="18.22"/>
    <n v="5.78"/>
    <n v="5.78"/>
    <n v="5.78"/>
    <n v="5.78"/>
    <n v="0"/>
    <n v="0"/>
    <n v="0"/>
    <n v="0"/>
    <n v="0"/>
    <n v="0"/>
    <n v="0"/>
    <n v="0"/>
    <n v="0"/>
    <n v="0"/>
    <n v="0"/>
    <n v="0"/>
    <n v="0"/>
    <n v="0"/>
    <n v="0"/>
    <n v="0"/>
    <n v="0"/>
    <n v="0"/>
    <n v="0"/>
    <n v="0"/>
    <n v="0"/>
    <n v="0"/>
    <n v="0"/>
    <m/>
    <n v="0"/>
    <n v="24"/>
    <n v="24"/>
    <n v="0"/>
    <n v="0"/>
    <n v="0"/>
    <n v="0"/>
    <n v="24"/>
    <n v="0"/>
    <n v="24"/>
    <n v="0"/>
    <n v="0"/>
    <n v="0"/>
    <n v="0"/>
    <n v="18.22"/>
    <n v="18.22"/>
    <n v="0"/>
    <n v="0"/>
    <n v="0"/>
    <n v="0"/>
    <n v="0"/>
    <m/>
    <m/>
    <m/>
    <m/>
    <m/>
    <m/>
    <m/>
    <m/>
    <s v="0"/>
    <s v="1"/>
    <s v="1"/>
    <s v="1"/>
    <s v="1"/>
    <m/>
    <m/>
    <m/>
    <m/>
    <m/>
    <m/>
    <m/>
    <m/>
    <m/>
    <m/>
    <m/>
    <m/>
    <m/>
    <m/>
  </r>
  <r>
    <n v="742"/>
    <d v="2025-03-17T00:00:00"/>
    <s v="ZBTO"/>
    <n v="9518605539"/>
    <n v="3"/>
    <s v="9518605539-3"/>
    <s v="No Priority"/>
    <x v="0"/>
    <m/>
    <x v="1"/>
    <x v="2"/>
    <n v="2000"/>
    <m/>
    <x v="0"/>
    <m/>
    <m/>
    <s v="West Bengal"/>
    <s v="East"/>
    <s v="HOWRAH"/>
    <s v="Sheet"/>
    <n v="925093"/>
    <x v="61"/>
    <n v="3239548"/>
    <s v="CRCA SHEET TATCRC SR16 0.400X900X2500"/>
    <m/>
    <m/>
    <m/>
    <m/>
    <s v="Narrow"/>
    <s v="C06"/>
    <s v="TATCRC"/>
    <s v="SR16"/>
    <n v="0.4"/>
    <n v="900"/>
    <n v="2500"/>
    <n v="24"/>
    <n v="0"/>
    <n v="24"/>
    <n v="2.72"/>
    <n v="0"/>
    <n v="4.3449999999999998"/>
    <n v="0"/>
    <n v="0"/>
    <n v="0"/>
    <n v="0"/>
    <n v="0"/>
    <n v="0"/>
    <n v="0"/>
    <n v="0"/>
    <n v="0"/>
    <n v="0"/>
    <n v="0"/>
    <n v="0"/>
    <n v="0"/>
    <n v="0"/>
    <n v="0"/>
    <n v="0"/>
    <n v="0"/>
    <n v="0"/>
    <n v="0"/>
    <n v="0"/>
    <n v="0"/>
    <n v="0"/>
    <n v="0"/>
    <m/>
    <n v="0"/>
    <n v="24"/>
    <n v="0"/>
    <n v="0"/>
    <n v="0"/>
    <n v="24"/>
    <n v="0"/>
    <n v="24"/>
    <n v="0"/>
    <n v="0"/>
    <n v="0"/>
    <n v="0"/>
    <n v="24"/>
    <n v="0"/>
    <n v="0"/>
    <n v="0"/>
    <n v="0"/>
    <n v="0"/>
    <n v="0"/>
    <n v="0"/>
    <n v="0"/>
    <m/>
    <m/>
    <m/>
    <m/>
    <m/>
    <m/>
    <m/>
    <m/>
    <s v="1"/>
    <s v="1"/>
    <s v="1"/>
    <s v="0"/>
    <s v="1"/>
    <m/>
    <m/>
    <m/>
    <m/>
    <m/>
    <m/>
    <m/>
    <m/>
    <m/>
    <m/>
    <m/>
    <m/>
    <m/>
    <m/>
  </r>
  <r>
    <n v="743"/>
    <d v="2025-03-18T00:00:00"/>
    <s v="ZBTO"/>
    <n v="9518609826"/>
    <n v="2"/>
    <s v="9518609826-2"/>
    <s v="No Priority"/>
    <x v="0"/>
    <m/>
    <x v="4"/>
    <x v="3"/>
    <n v="1000"/>
    <m/>
    <x v="0"/>
    <m/>
    <m/>
    <s v="Jharkhand"/>
    <s v="TBSPL"/>
    <s v="ADITYAPUR"/>
    <s v="Coil"/>
    <n v="942284"/>
    <x v="39"/>
    <n v="3946364"/>
    <s v="GL COIL HARD Y550GL M308 0.50 (TCT)X1220"/>
    <m/>
    <m/>
    <m/>
    <m/>
    <s v="Wider"/>
    <s v="B04"/>
    <s v="Y550GL"/>
    <s v="M308"/>
    <n v="0.5"/>
    <n v="1220"/>
    <n v="0"/>
    <n v="112"/>
    <n v="26.84"/>
    <n v="85.16"/>
    <n v="5.3029999999999999"/>
    <n v="85.16"/>
    <n v="1.9750000000000001"/>
    <n v="0"/>
    <n v="0"/>
    <n v="0"/>
    <n v="0"/>
    <n v="0"/>
    <n v="0"/>
    <n v="0"/>
    <n v="0"/>
    <n v="0"/>
    <n v="0"/>
    <n v="0"/>
    <n v="0"/>
    <n v="0"/>
    <n v="0"/>
    <n v="0"/>
    <n v="0"/>
    <n v="0"/>
    <n v="0"/>
    <n v="0"/>
    <n v="0"/>
    <n v="0"/>
    <n v="0"/>
    <n v="0"/>
    <m/>
    <n v="0"/>
    <n v="112"/>
    <n v="0"/>
    <n v="0"/>
    <n v="112"/>
    <n v="0"/>
    <n v="0"/>
    <n v="0"/>
    <n v="0"/>
    <n v="0"/>
    <n v="0"/>
    <n v="0"/>
    <n v="0"/>
    <n v="112"/>
    <n v="0"/>
    <n v="0"/>
    <n v="0"/>
    <n v="0"/>
    <n v="0"/>
    <n v="0"/>
    <n v="0"/>
    <m/>
    <m/>
    <m/>
    <m/>
    <m/>
    <m/>
    <m/>
    <m/>
    <s v="1"/>
    <s v="1"/>
    <s v="0"/>
    <s v="1"/>
    <s v="1"/>
    <m/>
    <m/>
    <m/>
    <m/>
    <m/>
    <m/>
    <m/>
    <m/>
    <m/>
    <m/>
    <m/>
    <m/>
    <m/>
    <m/>
  </r>
  <r>
    <n v="743"/>
    <d v="2025-03-19T00:00:00"/>
    <s v="ZBTO"/>
    <n v="9518613003"/>
    <n v="1"/>
    <s v="9518613003-1"/>
    <s v="Apr'25 "/>
    <x v="0"/>
    <m/>
    <x v="4"/>
    <x v="5"/>
    <n v="1000"/>
    <m/>
    <x v="1"/>
    <m/>
    <m/>
    <s v="Telangana"/>
    <s v="South"/>
    <s v="VIKARABAD"/>
    <s v="Coil"/>
    <n v="947959"/>
    <x v="65"/>
    <n v="3886225"/>
    <s v="GL COIL HARD  Y550GL HGL6 0.900X1242"/>
    <m/>
    <m/>
    <m/>
    <m/>
    <s v="Wider"/>
    <s v="B04"/>
    <s v="Y550GL"/>
    <s v="HGL6"/>
    <n v="0.9"/>
    <n v="1242"/>
    <n v="0"/>
    <n v="224"/>
    <n v="80.319999999999993"/>
    <n v="143.68"/>
    <n v="143.68"/>
    <n v="143.68"/>
    <n v="143.68"/>
    <n v="0"/>
    <n v="0"/>
    <n v="0"/>
    <n v="0"/>
    <n v="0"/>
    <n v="0"/>
    <n v="0"/>
    <n v="0"/>
    <n v="0"/>
    <n v="0"/>
    <n v="0"/>
    <n v="0"/>
    <n v="0"/>
    <n v="0"/>
    <n v="0"/>
    <n v="0"/>
    <n v="0"/>
    <n v="0"/>
    <n v="0"/>
    <n v="0"/>
    <n v="0"/>
    <n v="0"/>
    <n v="0"/>
    <m/>
    <n v="0"/>
    <n v="224"/>
    <n v="0"/>
    <n v="0"/>
    <n v="224"/>
    <n v="0"/>
    <n v="0"/>
    <n v="224"/>
    <n v="0"/>
    <n v="0"/>
    <n v="0"/>
    <n v="224"/>
    <n v="0"/>
    <n v="0"/>
    <n v="0"/>
    <n v="0"/>
    <n v="0"/>
    <n v="0"/>
    <n v="0"/>
    <n v="0"/>
    <n v="0"/>
    <m/>
    <m/>
    <m/>
    <m/>
    <m/>
    <m/>
    <m/>
    <m/>
    <s v="1"/>
    <s v="1"/>
    <s v="0"/>
    <s v="1"/>
    <s v="1"/>
    <m/>
    <m/>
    <m/>
    <m/>
    <m/>
    <m/>
    <m/>
    <m/>
    <m/>
    <m/>
    <m/>
    <m/>
    <m/>
    <m/>
  </r>
  <r>
    <n v="743"/>
    <d v="2025-03-19T00:00:00"/>
    <s v="ZBTO"/>
    <n v="9518613003"/>
    <n v="2"/>
    <s v="9518613003-2"/>
    <s v="Apr'25 "/>
    <x v="0"/>
    <m/>
    <x v="4"/>
    <x v="5"/>
    <n v="1000"/>
    <m/>
    <x v="1"/>
    <m/>
    <m/>
    <s v="Telangana"/>
    <s v="South"/>
    <s v="VIKARABAD"/>
    <s v="Coil"/>
    <n v="947959"/>
    <x v="65"/>
    <n v="3886225"/>
    <s v="GL COIL HARD  Y550GL HGL6 0.900X1242"/>
    <m/>
    <m/>
    <m/>
    <m/>
    <s v="Wider"/>
    <s v="B04"/>
    <s v="Y550GL"/>
    <s v="HGL6"/>
    <n v="0.9"/>
    <n v="1242"/>
    <n v="0"/>
    <n v="112"/>
    <n v="10.210000000000001"/>
    <n v="101.79"/>
    <n v="101.79"/>
    <n v="101.79"/>
    <n v="101.79"/>
    <n v="0"/>
    <n v="0"/>
    <n v="0"/>
    <n v="0"/>
    <n v="0"/>
    <n v="0"/>
    <n v="0"/>
    <n v="0"/>
    <n v="0"/>
    <n v="0"/>
    <n v="0"/>
    <n v="0"/>
    <n v="0"/>
    <n v="0"/>
    <n v="0"/>
    <n v="0"/>
    <n v="0"/>
    <n v="0"/>
    <n v="0"/>
    <n v="0"/>
    <n v="0"/>
    <n v="0"/>
    <n v="0"/>
    <m/>
    <n v="0"/>
    <n v="112"/>
    <n v="0"/>
    <n v="0"/>
    <n v="112"/>
    <n v="0"/>
    <n v="0"/>
    <n v="112"/>
    <n v="0"/>
    <n v="0"/>
    <n v="0"/>
    <n v="112"/>
    <n v="0"/>
    <n v="0"/>
    <n v="0"/>
    <n v="0"/>
    <n v="0"/>
    <n v="0"/>
    <n v="0"/>
    <n v="0"/>
    <n v="0"/>
    <m/>
    <m/>
    <m/>
    <m/>
    <m/>
    <m/>
    <m/>
    <m/>
    <s v="1"/>
    <s v="1"/>
    <s v="0"/>
    <s v="1"/>
    <s v="1"/>
    <m/>
    <m/>
    <m/>
    <m/>
    <m/>
    <m/>
    <m/>
    <m/>
    <m/>
    <m/>
    <m/>
    <m/>
    <m/>
    <m/>
  </r>
  <r>
    <n v="743"/>
    <d v="2025-03-19T00:00:00"/>
    <s v="ZBTO"/>
    <n v="9518613067"/>
    <n v="1"/>
    <s v="9518613067-1"/>
    <s v="Apr'25 "/>
    <x v="0"/>
    <m/>
    <x v="4"/>
    <x v="5"/>
    <n v="1000"/>
    <m/>
    <x v="1"/>
    <m/>
    <m/>
    <s v="Telangana"/>
    <s v="South"/>
    <s v="VIKARABAD"/>
    <s v="Coil"/>
    <n v="947959"/>
    <x v="65"/>
    <n v="3886225"/>
    <s v="GL COIL HARD  Y550GL HGL6 0.900X1242"/>
    <m/>
    <m/>
    <m/>
    <m/>
    <s v="Wider"/>
    <s v="B04"/>
    <s v="Y550GL"/>
    <s v="HGL6"/>
    <n v="0.9"/>
    <n v="1242"/>
    <n v="0"/>
    <n v="168"/>
    <n v="19.829999999999998"/>
    <n v="148.16999999999999"/>
    <n v="148.16999999999999"/>
    <n v="27.064999999999984"/>
    <n v="134.41499999999999"/>
    <n v="0"/>
    <n v="0"/>
    <n v="0"/>
    <n v="0"/>
    <n v="0"/>
    <n v="0.62"/>
    <n v="0"/>
    <n v="12.98"/>
    <n v="0"/>
    <n v="0"/>
    <n v="0"/>
    <n v="0"/>
    <n v="0"/>
    <n v="0"/>
    <n v="0"/>
    <n v="0"/>
    <n v="0"/>
    <n v="0"/>
    <n v="107.50500000000001"/>
    <n v="121.105"/>
    <n v="121.105"/>
    <n v="0"/>
    <n v="121.105"/>
    <m/>
    <n v="12.545"/>
    <n v="148.16999999999999"/>
    <n v="0"/>
    <n v="0"/>
    <n v="148.16999999999999"/>
    <n v="0"/>
    <n v="0"/>
    <n v="160.71499999999997"/>
    <n v="0"/>
    <n v="0"/>
    <n v="160.71499999999997"/>
    <n v="0"/>
    <n v="0"/>
    <n v="0"/>
    <n v="0"/>
    <n v="0"/>
    <n v="0"/>
    <n v="0"/>
    <n v="0"/>
    <n v="0"/>
    <n v="0"/>
    <m/>
    <m/>
    <m/>
    <m/>
    <m/>
    <m/>
    <m/>
    <m/>
    <s v="1"/>
    <s v="1"/>
    <s v="0"/>
    <s v="1"/>
    <s v="1"/>
    <m/>
    <m/>
    <m/>
    <m/>
    <m/>
    <m/>
    <m/>
    <m/>
    <m/>
    <m/>
    <m/>
    <m/>
    <m/>
    <m/>
  </r>
  <r>
    <n v="743"/>
    <d v="2025-03-19T00:00:00"/>
    <s v="ZBTO"/>
    <n v="9518613067"/>
    <n v="2"/>
    <s v="9518613067-2"/>
    <s v="Apr'25 "/>
    <x v="0"/>
    <m/>
    <x v="4"/>
    <x v="5"/>
    <n v="1000"/>
    <m/>
    <x v="1"/>
    <m/>
    <m/>
    <s v="Telangana"/>
    <s v="South"/>
    <s v="VIKARABAD"/>
    <s v="Coil"/>
    <n v="947959"/>
    <x v="65"/>
    <n v="3886225"/>
    <s v="GL COIL HARD  Y550GL HGL6 0.900X1242"/>
    <m/>
    <m/>
    <m/>
    <m/>
    <s v="Wider"/>
    <s v="B04"/>
    <s v="Y550GL"/>
    <s v="HGL6"/>
    <n v="0.9"/>
    <n v="1242"/>
    <n v="0"/>
    <n v="140"/>
    <n v="0"/>
    <n v="140"/>
    <n v="140"/>
    <n v="29.97"/>
    <n v="140"/>
    <n v="0"/>
    <n v="0"/>
    <n v="0"/>
    <n v="0"/>
    <n v="0"/>
    <n v="110.03"/>
    <n v="0"/>
    <n v="0"/>
    <n v="0"/>
    <n v="0"/>
    <n v="0"/>
    <n v="0"/>
    <n v="0"/>
    <n v="0"/>
    <n v="0"/>
    <n v="0"/>
    <n v="0"/>
    <n v="0"/>
    <n v="0"/>
    <n v="110.03"/>
    <n v="110.03"/>
    <n v="0"/>
    <n v="110.03"/>
    <m/>
    <n v="0"/>
    <n v="140"/>
    <n v="0"/>
    <n v="0"/>
    <n v="140"/>
    <n v="0"/>
    <n v="0"/>
    <n v="140"/>
    <n v="0"/>
    <n v="0"/>
    <n v="0"/>
    <n v="140"/>
    <n v="0"/>
    <n v="0"/>
    <n v="0"/>
    <n v="0"/>
    <n v="0"/>
    <n v="0"/>
    <n v="0"/>
    <n v="0"/>
    <n v="0"/>
    <m/>
    <m/>
    <m/>
    <m/>
    <m/>
    <m/>
    <m/>
    <m/>
    <s v="1"/>
    <s v="1"/>
    <s v="0"/>
    <s v="1"/>
    <s v="1"/>
    <m/>
    <m/>
    <m/>
    <m/>
    <m/>
    <m/>
    <m/>
    <m/>
    <m/>
    <m/>
    <m/>
    <m/>
    <m/>
    <m/>
  </r>
  <r>
    <n v="742"/>
    <d v="2025-03-19T00:00:00"/>
    <s v="ZBTO"/>
    <n v="9518613413"/>
    <n v="1"/>
    <s v="9518613413-1"/>
    <s v="No Priority"/>
    <x v="0"/>
    <m/>
    <x v="1"/>
    <x v="10"/>
    <n v="1000"/>
    <m/>
    <x v="0"/>
    <m/>
    <m/>
    <s v="Andhra Pradesh"/>
    <s v="South"/>
    <s v="CHITTOOR"/>
    <s v="Coil"/>
    <n v="188238"/>
    <x v="40"/>
    <n v="2164800"/>
    <s v="CRCA COIL TATXXD BT02 0.970X913"/>
    <m/>
    <m/>
    <m/>
    <m/>
    <s v="Narrow"/>
    <s v="C01"/>
    <s v="TATXXD"/>
    <s v="BT02"/>
    <n v="0.97"/>
    <n v="913"/>
    <n v="0"/>
    <n v="84"/>
    <n v="0"/>
    <n v="84"/>
    <n v="84"/>
    <n v="84"/>
    <n v="84"/>
    <n v="0"/>
    <n v="0"/>
    <n v="0"/>
    <n v="0"/>
    <n v="0"/>
    <n v="0"/>
    <n v="0"/>
    <n v="0"/>
    <n v="0"/>
    <n v="0"/>
    <n v="0"/>
    <n v="0"/>
    <n v="0"/>
    <n v="0"/>
    <n v="0"/>
    <n v="0"/>
    <n v="0"/>
    <n v="0"/>
    <n v="0"/>
    <n v="0"/>
    <n v="0"/>
    <n v="0"/>
    <n v="0"/>
    <m/>
    <n v="0"/>
    <n v="84"/>
    <n v="0"/>
    <n v="0"/>
    <n v="0"/>
    <n v="84"/>
    <n v="0"/>
    <n v="0"/>
    <n v="0"/>
    <n v="0"/>
    <n v="0"/>
    <n v="0"/>
    <n v="0"/>
    <n v="84"/>
    <n v="0"/>
    <n v="0"/>
    <n v="0"/>
    <n v="0"/>
    <n v="0"/>
    <n v="0"/>
    <n v="0"/>
    <m/>
    <m/>
    <m/>
    <m/>
    <m/>
    <m/>
    <m/>
    <m/>
    <s v="1"/>
    <s v="1"/>
    <s v="1"/>
    <s v="0"/>
    <s v="1"/>
    <m/>
    <m/>
    <m/>
    <m/>
    <m/>
    <m/>
    <m/>
    <m/>
    <m/>
    <m/>
    <m/>
    <m/>
    <m/>
    <m/>
  </r>
  <r>
    <n v="742"/>
    <d v="2025-03-19T00:00:00"/>
    <s v="ZBTO"/>
    <n v="9518613530"/>
    <n v="1"/>
    <s v="9518613530-1"/>
    <s v="May'25"/>
    <x v="0"/>
    <m/>
    <x v="1"/>
    <x v="10"/>
    <n v="1000"/>
    <m/>
    <x v="1"/>
    <m/>
    <m/>
    <s v="Andhra Pradesh"/>
    <s v="South"/>
    <s v="CHITTOOR"/>
    <s v="Coil"/>
    <n v="188238"/>
    <x v="40"/>
    <n v="2421723"/>
    <s v="CRCA COIL TATXXD BT02 0.770X920"/>
    <m/>
    <m/>
    <m/>
    <m/>
    <s v="Narrow"/>
    <s v="C01"/>
    <s v="TATXXD"/>
    <s v="BT02"/>
    <n v="0.77"/>
    <n v="920"/>
    <n v="0"/>
    <n v="273"/>
    <n v="0"/>
    <n v="273"/>
    <n v="83.99"/>
    <n v="169.47"/>
    <n v="99.71"/>
    <n v="0"/>
    <n v="0"/>
    <n v="41.87"/>
    <n v="61.660000000000004"/>
    <n v="0"/>
    <n v="0"/>
    <n v="0"/>
    <n v="0"/>
    <n v="0"/>
    <n v="0"/>
    <n v="0"/>
    <n v="0"/>
    <n v="0"/>
    <n v="0"/>
    <n v="0"/>
    <n v="0"/>
    <n v="0"/>
    <n v="0"/>
    <n v="0"/>
    <n v="103.53"/>
    <n v="103.53"/>
    <n v="0"/>
    <n v="103.53"/>
    <m/>
    <n v="0"/>
    <n v="273"/>
    <n v="0"/>
    <n v="0"/>
    <n v="273"/>
    <n v="0"/>
    <n v="0"/>
    <n v="273"/>
    <n v="0"/>
    <n v="0"/>
    <n v="0"/>
    <n v="273"/>
    <n v="0"/>
    <n v="0"/>
    <n v="0"/>
    <n v="0"/>
    <n v="0"/>
    <n v="0"/>
    <n v="0"/>
    <n v="0"/>
    <n v="0"/>
    <m/>
    <m/>
    <m/>
    <m/>
    <m/>
    <m/>
    <m/>
    <m/>
    <s v="1"/>
    <s v="1"/>
    <s v="0"/>
    <s v="1"/>
    <s v="1"/>
    <m/>
    <m/>
    <m/>
    <m/>
    <m/>
    <m/>
    <m/>
    <m/>
    <m/>
    <m/>
    <m/>
    <m/>
    <m/>
    <m/>
  </r>
  <r>
    <n v="742"/>
    <d v="2025-03-19T00:00:00"/>
    <s v="ZBTO"/>
    <n v="9518613638"/>
    <n v="1"/>
    <s v="9518613638-1"/>
    <s v="No Priority"/>
    <x v="0"/>
    <m/>
    <x v="1"/>
    <x v="10"/>
    <n v="1000"/>
    <m/>
    <x v="0"/>
    <m/>
    <m/>
    <s v="Tamil Nadu"/>
    <s v="South"/>
    <s v="CHENNAI"/>
    <s v="Coil"/>
    <n v="187214"/>
    <x v="30"/>
    <n v="2164800"/>
    <s v="CRCA COIL TATXXD BT02 0.970X913"/>
    <m/>
    <m/>
    <m/>
    <m/>
    <s v="Narrow"/>
    <s v="C01"/>
    <s v="TATXXD"/>
    <s v="BT02"/>
    <n v="0.97"/>
    <n v="913"/>
    <n v="0"/>
    <n v="105"/>
    <n v="0"/>
    <n v="105"/>
    <n v="105"/>
    <n v="105"/>
    <n v="105"/>
    <n v="0"/>
    <n v="0"/>
    <n v="0"/>
    <n v="0"/>
    <n v="0"/>
    <n v="0"/>
    <n v="0"/>
    <n v="0"/>
    <n v="0"/>
    <n v="0"/>
    <n v="0"/>
    <n v="0"/>
    <n v="0"/>
    <n v="0"/>
    <n v="0"/>
    <n v="0"/>
    <n v="0"/>
    <n v="0"/>
    <n v="0"/>
    <n v="0"/>
    <n v="0"/>
    <n v="0"/>
    <n v="0"/>
    <m/>
    <n v="0"/>
    <n v="105"/>
    <n v="0"/>
    <n v="0"/>
    <n v="0"/>
    <n v="105"/>
    <n v="0"/>
    <n v="0"/>
    <n v="0"/>
    <n v="0"/>
    <n v="0"/>
    <n v="0"/>
    <n v="0"/>
    <n v="105"/>
    <n v="0"/>
    <n v="0"/>
    <n v="0"/>
    <n v="0"/>
    <n v="0"/>
    <n v="0"/>
    <n v="0"/>
    <m/>
    <m/>
    <m/>
    <m/>
    <m/>
    <m/>
    <m/>
    <m/>
    <s v="1"/>
    <s v="1"/>
    <s v="1"/>
    <s v="0"/>
    <s v="1"/>
    <m/>
    <m/>
    <m/>
    <m/>
    <m/>
    <m/>
    <m/>
    <m/>
    <m/>
    <m/>
    <m/>
    <m/>
    <m/>
    <m/>
  </r>
  <r>
    <n v="742"/>
    <d v="2025-03-19T00:00:00"/>
    <s v="ZBTO"/>
    <n v="9518613638"/>
    <n v="2"/>
    <s v="9518613638-2"/>
    <s v="No Priority"/>
    <x v="0"/>
    <m/>
    <x v="1"/>
    <x v="10"/>
    <n v="1000"/>
    <m/>
    <x v="0"/>
    <m/>
    <m/>
    <s v="Tamil Nadu"/>
    <s v="South"/>
    <s v="CHENNAI"/>
    <s v="Coil"/>
    <n v="187214"/>
    <x v="30"/>
    <n v="2421724"/>
    <s v="CRCA COIL TATXXD BT01 0.970X1310"/>
    <m/>
    <m/>
    <m/>
    <m/>
    <s v="Wider"/>
    <s v="C01"/>
    <s v="TATXXD"/>
    <s v="BT01"/>
    <n v="0.97"/>
    <n v="1310"/>
    <n v="0"/>
    <n v="30"/>
    <n v="0"/>
    <n v="30"/>
    <n v="2.1"/>
    <n v="0"/>
    <n v="5.2850000000000001"/>
    <n v="0"/>
    <n v="0"/>
    <n v="0"/>
    <n v="0"/>
    <n v="0"/>
    <n v="0"/>
    <n v="0"/>
    <n v="0"/>
    <n v="0"/>
    <n v="0"/>
    <n v="0"/>
    <n v="0"/>
    <n v="0"/>
    <n v="0"/>
    <n v="0"/>
    <n v="0"/>
    <n v="0"/>
    <n v="0"/>
    <n v="0"/>
    <n v="0"/>
    <n v="0"/>
    <n v="0"/>
    <n v="0"/>
    <m/>
    <n v="0"/>
    <n v="30"/>
    <n v="0"/>
    <n v="0"/>
    <n v="0"/>
    <n v="30"/>
    <n v="0"/>
    <n v="30"/>
    <n v="0"/>
    <n v="0"/>
    <n v="0"/>
    <n v="0"/>
    <n v="30"/>
    <n v="0"/>
    <n v="0"/>
    <n v="0"/>
    <n v="0"/>
    <n v="0"/>
    <n v="0"/>
    <n v="0"/>
    <n v="0"/>
    <m/>
    <m/>
    <m/>
    <m/>
    <m/>
    <m/>
    <m/>
    <m/>
    <s v="1"/>
    <s v="1"/>
    <s v="1"/>
    <s v="0"/>
    <s v="1"/>
    <m/>
    <m/>
    <m/>
    <m/>
    <m/>
    <m/>
    <m/>
    <m/>
    <m/>
    <m/>
    <m/>
    <m/>
    <m/>
    <m/>
  </r>
  <r>
    <n v="742"/>
    <d v="2025-03-19T00:00:00"/>
    <s v="ZBTO"/>
    <n v="9518613638"/>
    <n v="3"/>
    <s v="9518613638-3"/>
    <s v="May'25"/>
    <x v="0"/>
    <m/>
    <x v="1"/>
    <x v="10"/>
    <n v="1000"/>
    <n v="4500"/>
    <x v="1"/>
    <m/>
    <m/>
    <s v="Tamil Nadu"/>
    <s v="South"/>
    <s v="CHENNAI"/>
    <s v="Coil"/>
    <n v="187214"/>
    <x v="30"/>
    <n v="2164803"/>
    <s v="CRCA COIL TATXXD BT02 1.200X910"/>
    <m/>
    <m/>
    <m/>
    <m/>
    <s v="Narrow"/>
    <s v="C01"/>
    <s v="TATXXD"/>
    <s v="BT02"/>
    <n v="1.2"/>
    <n v="910"/>
    <n v="0"/>
    <n v="42"/>
    <n v="0"/>
    <n v="42"/>
    <n v="1.97"/>
    <n v="0"/>
    <n v="24.36"/>
    <n v="0"/>
    <n v="0"/>
    <n v="0"/>
    <n v="0"/>
    <n v="0"/>
    <n v="0"/>
    <n v="0"/>
    <n v="0"/>
    <n v="0"/>
    <n v="0"/>
    <n v="0"/>
    <n v="0"/>
    <n v="0"/>
    <n v="18.09"/>
    <n v="0"/>
    <n v="0"/>
    <n v="0"/>
    <n v="0"/>
    <n v="0"/>
    <n v="18.09"/>
    <n v="18.09"/>
    <n v="0"/>
    <n v="18.09"/>
    <m/>
    <n v="0"/>
    <n v="42"/>
    <n v="0"/>
    <n v="42"/>
    <n v="0"/>
    <n v="0"/>
    <n v="0"/>
    <n v="42"/>
    <n v="0"/>
    <n v="0"/>
    <n v="42"/>
    <n v="0"/>
    <n v="0"/>
    <n v="0"/>
    <n v="0"/>
    <n v="0"/>
    <n v="0"/>
    <n v="0"/>
    <n v="0"/>
    <n v="0"/>
    <n v="0"/>
    <m/>
    <m/>
    <m/>
    <m/>
    <m/>
    <m/>
    <m/>
    <m/>
    <s v="1"/>
    <s v="0"/>
    <s v="1"/>
    <s v="1"/>
    <s v="1"/>
    <m/>
    <m/>
    <m/>
    <m/>
    <m/>
    <m/>
    <m/>
    <m/>
    <m/>
    <m/>
    <m/>
    <m/>
    <m/>
    <m/>
  </r>
  <r>
    <n v="742"/>
    <d v="2025-03-19T00:00:00"/>
    <s v="ZBTO"/>
    <n v="9518613638"/>
    <n v="4"/>
    <s v="9518613638-4"/>
    <s v="No Priority"/>
    <x v="0"/>
    <m/>
    <x v="1"/>
    <x v="10"/>
    <n v="1000"/>
    <m/>
    <x v="0"/>
    <m/>
    <m/>
    <s v="Tamil Nadu"/>
    <s v="South"/>
    <s v="CHENNAI"/>
    <s v="Coil"/>
    <n v="187214"/>
    <x v="30"/>
    <n v="3701960"/>
    <s v="CR COIL TATXXD BT01 1.200X1310"/>
    <m/>
    <m/>
    <m/>
    <m/>
    <s v="Wider"/>
    <s v="C01"/>
    <s v="TATXXD"/>
    <s v="BT01"/>
    <n v="1.2"/>
    <n v="1310"/>
    <n v="0"/>
    <n v="29.99"/>
    <n v="0"/>
    <n v="29.99"/>
    <n v="1.26"/>
    <n v="0"/>
    <n v="4.1950000000000003"/>
    <n v="0"/>
    <n v="0"/>
    <n v="0"/>
    <n v="0"/>
    <n v="0"/>
    <n v="0"/>
    <n v="0"/>
    <n v="0"/>
    <n v="0"/>
    <n v="0"/>
    <n v="0"/>
    <n v="0"/>
    <n v="0"/>
    <n v="0"/>
    <n v="0"/>
    <n v="0"/>
    <n v="0"/>
    <n v="0"/>
    <n v="0"/>
    <n v="0"/>
    <n v="0"/>
    <n v="0"/>
    <n v="0"/>
    <m/>
    <n v="0"/>
    <n v="30"/>
    <n v="0"/>
    <n v="0"/>
    <n v="0"/>
    <n v="30"/>
    <n v="0"/>
    <n v="30"/>
    <n v="0"/>
    <n v="0"/>
    <n v="0"/>
    <n v="0"/>
    <n v="30"/>
    <n v="0"/>
    <n v="0"/>
    <n v="0"/>
    <n v="0"/>
    <n v="0"/>
    <n v="0"/>
    <n v="0"/>
    <n v="0"/>
    <m/>
    <m/>
    <m/>
    <m/>
    <m/>
    <m/>
    <m/>
    <m/>
    <s v="1"/>
    <s v="1"/>
    <s v="1"/>
    <s v="0"/>
    <s v="1"/>
    <m/>
    <m/>
    <m/>
    <m/>
    <m/>
    <m/>
    <m/>
    <m/>
    <m/>
    <m/>
    <m/>
    <m/>
    <m/>
    <m/>
  </r>
  <r>
    <n v="742"/>
    <d v="2025-03-19T00:00:00"/>
    <s v="ZBTO"/>
    <n v="9518613644"/>
    <n v="2"/>
    <s v="9518613644-2"/>
    <s v="No Priority"/>
    <x v="0"/>
    <m/>
    <x v="1"/>
    <x v="10"/>
    <n v="1000"/>
    <m/>
    <x v="0"/>
    <m/>
    <m/>
    <s v="Gujarat"/>
    <s v="West"/>
    <s v="VADODARA"/>
    <s v="Coil"/>
    <n v="189022"/>
    <x v="43"/>
    <n v="2164814"/>
    <s v="CRCA COIL TATXXD BT01 0.970X1315"/>
    <m/>
    <m/>
    <m/>
    <m/>
    <s v="Wider"/>
    <s v="C01"/>
    <s v="TATXXD"/>
    <s v="BT01"/>
    <n v="0.97"/>
    <n v="1315"/>
    <n v="0"/>
    <n v="30"/>
    <n v="0"/>
    <n v="30"/>
    <n v="30"/>
    <n v="30"/>
    <n v="30"/>
    <n v="0"/>
    <n v="0"/>
    <n v="0"/>
    <n v="0"/>
    <n v="0"/>
    <n v="0"/>
    <n v="0"/>
    <n v="0"/>
    <n v="0"/>
    <n v="0"/>
    <n v="0"/>
    <n v="0"/>
    <n v="0"/>
    <n v="0"/>
    <n v="0"/>
    <n v="0"/>
    <n v="0"/>
    <n v="0"/>
    <n v="0"/>
    <n v="0"/>
    <n v="0"/>
    <n v="0"/>
    <n v="0"/>
    <m/>
    <n v="0"/>
    <n v="30"/>
    <n v="0"/>
    <n v="0"/>
    <n v="0"/>
    <n v="0"/>
    <n v="30"/>
    <n v="0"/>
    <n v="0"/>
    <n v="0"/>
    <n v="0"/>
    <n v="0"/>
    <n v="0"/>
    <n v="30"/>
    <n v="0"/>
    <n v="0"/>
    <n v="0"/>
    <n v="0"/>
    <n v="0"/>
    <n v="0"/>
    <n v="0"/>
    <m/>
    <m/>
    <m/>
    <m/>
    <m/>
    <m/>
    <m/>
    <m/>
    <s v="1"/>
    <s v="1"/>
    <s v="1"/>
    <s v="1"/>
    <s v="0"/>
    <m/>
    <m/>
    <m/>
    <m/>
    <m/>
    <m/>
    <m/>
    <m/>
    <m/>
    <m/>
    <m/>
    <m/>
    <m/>
    <m/>
  </r>
  <r>
    <n v="2341"/>
    <d v="2025-03-20T00:00:00"/>
    <s v="ZBTF"/>
    <n v="9518615307"/>
    <n v="1"/>
    <s v="9518615307-1"/>
    <s v="No Priority"/>
    <x v="0"/>
    <m/>
    <x v="1"/>
    <x v="10"/>
    <n v="1000"/>
    <m/>
    <x v="0"/>
    <m/>
    <m/>
    <s v="Punjab"/>
    <s v="North"/>
    <s v="LUDHIANA"/>
    <s v="Coil"/>
    <n v="925428"/>
    <x v="66"/>
    <n v="3741588"/>
    <s v="CR COIL SA1010 TU97 1.150X1250"/>
    <m/>
    <m/>
    <m/>
    <m/>
    <s v="Wider"/>
    <s v="C01"/>
    <s v="SA1010"/>
    <s v="TU97"/>
    <n v="1.1499999999999999"/>
    <n v="1250"/>
    <n v="0"/>
    <n v="290"/>
    <n v="0"/>
    <n v="290"/>
    <n v="13.24"/>
    <n v="290"/>
    <n v="32.520000000000003"/>
    <n v="0"/>
    <n v="0"/>
    <n v="0"/>
    <n v="0"/>
    <n v="0"/>
    <n v="0"/>
    <n v="0"/>
    <n v="0"/>
    <n v="0"/>
    <n v="0"/>
    <n v="0"/>
    <n v="0"/>
    <n v="0"/>
    <n v="0"/>
    <n v="0"/>
    <n v="0"/>
    <n v="0"/>
    <n v="0"/>
    <n v="0"/>
    <n v="0"/>
    <n v="0"/>
    <n v="0"/>
    <n v="0"/>
    <m/>
    <n v="0"/>
    <n v="290"/>
    <n v="0"/>
    <n v="0"/>
    <n v="0"/>
    <n v="290"/>
    <n v="0"/>
    <n v="290"/>
    <n v="0"/>
    <n v="0"/>
    <n v="0"/>
    <n v="0"/>
    <n v="290"/>
    <n v="0"/>
    <n v="0"/>
    <n v="0"/>
    <n v="0"/>
    <n v="0"/>
    <n v="0"/>
    <n v="0"/>
    <n v="0"/>
    <m/>
    <m/>
    <m/>
    <m/>
    <m/>
    <m/>
    <m/>
    <m/>
    <s v="1"/>
    <s v="1"/>
    <s v="1"/>
    <s v="0"/>
    <s v="1"/>
    <m/>
    <m/>
    <m/>
    <m/>
    <m/>
    <m/>
    <m/>
    <m/>
    <m/>
    <m/>
    <m/>
    <m/>
    <m/>
    <m/>
  </r>
  <r>
    <n v="2341"/>
    <d v="2025-03-20T00:00:00"/>
    <s v="ZBTF"/>
    <n v="9518615307"/>
    <n v="2"/>
    <s v="9518615307-2"/>
    <s v="No Priority"/>
    <x v="0"/>
    <m/>
    <x v="1"/>
    <x v="10"/>
    <n v="1000"/>
    <m/>
    <x v="0"/>
    <m/>
    <m/>
    <s v="Punjab"/>
    <s v="North"/>
    <s v="LUDHIANA"/>
    <s v="Coil"/>
    <n v="925428"/>
    <x v="66"/>
    <n v="3741589"/>
    <s v="CR COIL SA1010 TU97 1.500X1250"/>
    <m/>
    <m/>
    <m/>
    <m/>
    <s v="Wider"/>
    <s v="C01"/>
    <s v="SA1010"/>
    <s v="TU97"/>
    <n v="1.5"/>
    <n v="1250"/>
    <n v="0"/>
    <n v="290"/>
    <n v="24.85"/>
    <n v="265.14999999999998"/>
    <n v="-9.69"/>
    <n v="0"/>
    <n v="12.94"/>
    <n v="0"/>
    <n v="0"/>
    <n v="0"/>
    <n v="0"/>
    <n v="0"/>
    <n v="0"/>
    <n v="0"/>
    <n v="0"/>
    <n v="0"/>
    <n v="0"/>
    <n v="0"/>
    <n v="0"/>
    <n v="0"/>
    <n v="0"/>
    <n v="0"/>
    <n v="0"/>
    <n v="0"/>
    <n v="0"/>
    <n v="0"/>
    <n v="0"/>
    <n v="0"/>
    <n v="0"/>
    <n v="0"/>
    <m/>
    <n v="0"/>
    <n v="290"/>
    <n v="0"/>
    <n v="0"/>
    <n v="0"/>
    <n v="290"/>
    <n v="0"/>
    <n v="290"/>
    <n v="0"/>
    <n v="0"/>
    <n v="0"/>
    <n v="0"/>
    <n v="290"/>
    <n v="0"/>
    <n v="24.85"/>
    <n v="0"/>
    <n v="0"/>
    <n v="0"/>
    <n v="24.85"/>
    <n v="0"/>
    <n v="0"/>
    <m/>
    <m/>
    <m/>
    <m/>
    <m/>
    <m/>
    <m/>
    <m/>
    <s v="1"/>
    <s v="1"/>
    <s v="1"/>
    <s v="0"/>
    <s v="1"/>
    <m/>
    <m/>
    <m/>
    <m/>
    <m/>
    <m/>
    <m/>
    <m/>
    <m/>
    <m/>
    <m/>
    <m/>
    <m/>
    <m/>
  </r>
  <r>
    <n v="743"/>
    <d v="2025-02-24T00:00:00"/>
    <s v="ZBTF"/>
    <n v="9518546063"/>
    <n v="5"/>
    <s v="9518546063-5"/>
    <s v="No Priority"/>
    <x v="0"/>
    <m/>
    <x v="3"/>
    <x v="9"/>
    <n v="2000"/>
    <m/>
    <x v="1"/>
    <m/>
    <m/>
    <s v="West Bengal"/>
    <s v="East"/>
    <s v="JSR WORKS PLANTTRY"/>
    <s v="Coil"/>
    <n v="600250"/>
    <x v="63"/>
    <n v="1854424"/>
    <s v="GP COIL SOFT-TATXGP-GK09-0.6X900"/>
    <n v="80"/>
    <m/>
    <m/>
    <m/>
    <s v="Narrow"/>
    <s v="C02"/>
    <s v="TATXGP"/>
    <s v="GK09"/>
    <n v="0.6"/>
    <n v="900"/>
    <n v="0"/>
    <n v="294"/>
    <n v="187.24"/>
    <n v="106.76"/>
    <n v="27.53"/>
    <n v="0"/>
    <n v="65.06"/>
    <n v="0"/>
    <n v="0"/>
    <n v="0"/>
    <n v="0"/>
    <n v="0"/>
    <n v="0"/>
    <n v="0.23500000000000001"/>
    <n v="0"/>
    <n v="0"/>
    <n v="0"/>
    <n v="0"/>
    <n v="0"/>
    <n v="0"/>
    <n v="0"/>
    <n v="0"/>
    <n v="0"/>
    <n v="0"/>
    <n v="0"/>
    <n v="0"/>
    <n v="0.23500000000000001"/>
    <n v="0.23500000000000001"/>
    <n v="28"/>
    <n v="28.234999999999999"/>
    <m/>
    <n v="0"/>
    <n v="294"/>
    <n v="0"/>
    <n v="0"/>
    <n v="294"/>
    <n v="0"/>
    <n v="0"/>
    <n v="294"/>
    <n v="0"/>
    <n v="0"/>
    <n v="0"/>
    <n v="294"/>
    <n v="0"/>
    <n v="0"/>
    <n v="0"/>
    <n v="0"/>
    <n v="0"/>
    <n v="0"/>
    <n v="0"/>
    <n v="0"/>
    <n v="0"/>
    <m/>
    <m/>
    <m/>
    <m/>
    <m/>
    <m/>
    <m/>
    <m/>
    <s v="1"/>
    <s v="1"/>
    <s v="0"/>
    <s v="1"/>
    <s v="1"/>
    <m/>
    <m/>
    <m/>
    <m/>
    <m/>
    <m/>
    <m/>
    <m/>
    <m/>
    <m/>
    <m/>
    <m/>
    <m/>
    <m/>
  </r>
  <r>
    <n v="742"/>
    <d v="2025-03-21T00:00:00"/>
    <s v="ZBTO"/>
    <n v="9518619441"/>
    <n v="1"/>
    <s v="9518619441-1"/>
    <s v="Apr'25 "/>
    <x v="0"/>
    <m/>
    <x v="0"/>
    <x v="0"/>
    <s v="2000-BPRS"/>
    <m/>
    <x v="1"/>
    <m/>
    <m/>
    <s v="Haryana"/>
    <s v="North"/>
    <s v="FARIDABAD"/>
    <s v="Coil"/>
    <n v="116735"/>
    <x v="67"/>
    <n v="3187346"/>
    <s v="HR COILS-PO I09497 2.01X1250"/>
    <s v=" "/>
    <s v=""/>
    <n v="17"/>
    <n v="28"/>
    <s v="Wider"/>
    <n v="768"/>
    <s v="I09497"/>
    <s v="HG01"/>
    <n v="2.0099999999999998"/>
    <n v="1250"/>
    <n v="0"/>
    <n v="100"/>
    <n v="0"/>
    <n v="100"/>
    <n v="100"/>
    <n v="100"/>
    <n v="99.99"/>
    <n v="0"/>
    <n v="0"/>
    <n v="0"/>
    <n v="0"/>
    <n v="0"/>
    <n v="0"/>
    <n v="0"/>
    <n v="0"/>
    <n v="0"/>
    <n v="0"/>
    <n v="0"/>
    <n v="0"/>
    <n v="0"/>
    <n v="0"/>
    <n v="0"/>
    <n v="0"/>
    <n v="0"/>
    <n v="0"/>
    <n v="0"/>
    <n v="0"/>
    <n v="0"/>
    <n v="0"/>
    <n v="0"/>
    <m/>
    <n v="0"/>
    <n v="100"/>
    <n v="0"/>
    <n v="0"/>
    <n v="100"/>
    <n v="0"/>
    <n v="0"/>
    <n v="100"/>
    <n v="0"/>
    <n v="0"/>
    <n v="0"/>
    <n v="100"/>
    <n v="0"/>
    <n v="0"/>
    <n v="0"/>
    <n v="0"/>
    <n v="0"/>
    <n v="0"/>
    <n v="0"/>
    <n v="0"/>
    <n v="0"/>
    <m/>
    <m/>
    <m/>
    <m/>
    <m/>
    <m/>
    <m/>
    <m/>
    <s v="1"/>
    <s v="1"/>
    <s v="0"/>
    <s v="1"/>
    <s v="1"/>
    <m/>
    <m/>
    <m/>
    <m/>
    <m/>
    <m/>
    <m/>
    <m/>
    <m/>
    <m/>
    <m/>
    <m/>
    <m/>
    <m/>
  </r>
  <r>
    <n v="742"/>
    <d v="2025-03-21T00:00:00"/>
    <s v="ZBTO"/>
    <n v="9518619441"/>
    <n v="2"/>
    <s v="9518619441-2"/>
    <s v="Apr'25 "/>
    <x v="0"/>
    <m/>
    <x v="0"/>
    <x v="0"/>
    <s v="2000-BPRS"/>
    <m/>
    <x v="1"/>
    <m/>
    <m/>
    <s v="Haryana"/>
    <s v="North"/>
    <s v="FARIDABAD"/>
    <s v="Coil"/>
    <n v="116735"/>
    <x v="67"/>
    <n v="3187346"/>
    <s v="HR COILS-PO I09497 2.01X1250"/>
    <s v=" "/>
    <s v=""/>
    <n v="17"/>
    <n v="28"/>
    <s v="Wider"/>
    <n v="768"/>
    <s v="I09497"/>
    <s v="HG01"/>
    <n v="2.0099999999999998"/>
    <n v="1250"/>
    <n v="0"/>
    <n v="25"/>
    <n v="0"/>
    <n v="25"/>
    <n v="25"/>
    <n v="25"/>
    <n v="24.99"/>
    <n v="0"/>
    <n v="0"/>
    <n v="0"/>
    <n v="0"/>
    <n v="0"/>
    <n v="0"/>
    <n v="0"/>
    <n v="0"/>
    <n v="0"/>
    <n v="0"/>
    <n v="0"/>
    <n v="0"/>
    <n v="0"/>
    <n v="0"/>
    <n v="0"/>
    <n v="0"/>
    <n v="0"/>
    <n v="0"/>
    <n v="0"/>
    <n v="0"/>
    <n v="0"/>
    <n v="0"/>
    <n v="0"/>
    <m/>
    <n v="0"/>
    <n v="25"/>
    <n v="0"/>
    <n v="0"/>
    <n v="25"/>
    <n v="0"/>
    <n v="0"/>
    <n v="25"/>
    <n v="0"/>
    <n v="0"/>
    <n v="0"/>
    <n v="25"/>
    <n v="0"/>
    <n v="0"/>
    <n v="0"/>
    <n v="0"/>
    <n v="0"/>
    <n v="0"/>
    <n v="0"/>
    <n v="0"/>
    <n v="0"/>
    <m/>
    <m/>
    <m/>
    <m/>
    <m/>
    <m/>
    <m/>
    <m/>
    <s v="1"/>
    <s v="1"/>
    <s v="0"/>
    <s v="1"/>
    <s v="1"/>
    <m/>
    <m/>
    <m/>
    <m/>
    <m/>
    <m/>
    <m/>
    <m/>
    <m/>
    <m/>
    <m/>
    <m/>
    <m/>
    <m/>
  </r>
  <r>
    <n v="744"/>
    <d v="2025-03-13T00:00:00"/>
    <s v="ZBTO"/>
    <n v="9518598728"/>
    <n v="1"/>
    <s v="9518598728-1"/>
    <s v="No Priority"/>
    <x v="0"/>
    <m/>
    <x v="2"/>
    <x v="3"/>
    <s v="1000-IPPE"/>
    <m/>
    <x v="0"/>
    <m/>
    <m/>
    <s v="Rajasthan"/>
    <s v="TBSPL"/>
    <s v="RAJASTHAN"/>
    <s v="Coil"/>
    <n v="940008"/>
    <x v="15"/>
    <n v="3960057"/>
    <s v="PPGL C HARD Y550PL DX01 0.63(TPT)X1220"/>
    <s v="AZ150"/>
    <s v="RAL9002 TSL 2001"/>
    <n v="3"/>
    <n v="5"/>
    <s v="Wider"/>
    <s v="B18"/>
    <s v="Y550PL"/>
    <s v="DX01"/>
    <n v="0.63"/>
    <n v="1220"/>
    <n v="0"/>
    <n v="83.99"/>
    <n v="31.885000000000002"/>
    <n v="52.104999999999997"/>
    <n v="8.0050000000000008"/>
    <n v="38.164999999999992"/>
    <n v="12.775"/>
    <n v="0"/>
    <n v="0"/>
    <n v="0"/>
    <n v="0"/>
    <n v="0"/>
    <n v="0"/>
    <n v="0"/>
    <n v="6.13"/>
    <n v="0"/>
    <n v="7.8100000000000005"/>
    <n v="0"/>
    <n v="0"/>
    <n v="0"/>
    <n v="0"/>
    <n v="0"/>
    <n v="0"/>
    <n v="0"/>
    <n v="0"/>
    <n v="0"/>
    <n v="13.940000000000001"/>
    <n v="13.940000000000001"/>
    <n v="0"/>
    <n v="13.940000000000001"/>
    <m/>
    <n v="4.9949999999999992"/>
    <n v="66.88"/>
    <n v="0"/>
    <n v="66.88"/>
    <n v="0"/>
    <n v="0"/>
    <n v="0"/>
    <n v="71.875"/>
    <n v="0"/>
    <n v="0"/>
    <n v="71.875"/>
    <n v="0"/>
    <n v="0"/>
    <n v="0"/>
    <n v="0"/>
    <n v="0"/>
    <n v="0"/>
    <n v="0"/>
    <n v="0"/>
    <n v="0"/>
    <n v="0"/>
    <m/>
    <m/>
    <m/>
    <m/>
    <m/>
    <m/>
    <m/>
    <m/>
    <s v="1"/>
    <s v="0"/>
    <s v="1"/>
    <s v="1"/>
    <s v="1"/>
    <m/>
    <m/>
    <m/>
    <m/>
    <m/>
    <m/>
    <m/>
    <m/>
    <m/>
    <m/>
    <m/>
    <m/>
    <m/>
    <m/>
  </r>
  <r>
    <n v="744"/>
    <d v="2025-03-13T00:00:00"/>
    <s v="ZBTO"/>
    <n v="9518598806"/>
    <n v="1"/>
    <s v="9518598806-1"/>
    <s v="Apr'25 "/>
    <x v="0"/>
    <m/>
    <x v="2"/>
    <x v="3"/>
    <s v="1000-IPPE"/>
    <m/>
    <x v="1"/>
    <m/>
    <m/>
    <s v="Jharkhand"/>
    <s v="TBSPL"/>
    <s v="TBL- BARA AGRICO"/>
    <s v="Coil"/>
    <n v="941597"/>
    <x v="6"/>
    <n v="3961812"/>
    <s v="PPGL C HARD Y550PL D0C9 0.70(TPT)X1220"/>
    <s v="AZ150"/>
    <s v="RAL 5012 TSL 1802"/>
    <n v="3"/>
    <n v="5"/>
    <s v="Wider"/>
    <s v="B18"/>
    <s v="Y550PL"/>
    <s v="D0C9"/>
    <n v="0.7"/>
    <n v="1220"/>
    <n v="0"/>
    <n v="56"/>
    <n v="38.204999999999998"/>
    <n v="17.795000000000002"/>
    <n v="13.984999999999999"/>
    <n v="14.040000000000001"/>
    <n v="17.795000000000002"/>
    <n v="0"/>
    <n v="0"/>
    <n v="0"/>
    <n v="0"/>
    <n v="0"/>
    <n v="0"/>
    <n v="0"/>
    <n v="0"/>
    <n v="0"/>
    <n v="3.7550000000000003"/>
    <n v="0"/>
    <n v="0"/>
    <n v="0"/>
    <n v="0"/>
    <n v="0"/>
    <n v="0"/>
    <n v="0"/>
    <n v="0"/>
    <n v="0"/>
    <n v="3.7550000000000003"/>
    <n v="3.7550000000000003"/>
    <n v="0"/>
    <n v="3.7550000000000003"/>
    <m/>
    <n v="26.090000000000003"/>
    <n v="29.91"/>
    <n v="0"/>
    <n v="29.91"/>
    <n v="0"/>
    <n v="0"/>
    <n v="0"/>
    <n v="56"/>
    <n v="0"/>
    <n v="0"/>
    <n v="56"/>
    <n v="0"/>
    <n v="0"/>
    <n v="0"/>
    <n v="9.0250000000000004"/>
    <n v="0"/>
    <n v="9.0250000000000004"/>
    <n v="0"/>
    <n v="0"/>
    <n v="0"/>
    <n v="0"/>
    <m/>
    <m/>
    <m/>
    <m/>
    <m/>
    <m/>
    <m/>
    <m/>
    <s v="1"/>
    <s v="0"/>
    <s v="1"/>
    <s v="1"/>
    <s v="1"/>
    <m/>
    <m/>
    <m/>
    <m/>
    <m/>
    <m/>
    <m/>
    <m/>
    <m/>
    <m/>
    <m/>
    <m/>
    <m/>
    <m/>
  </r>
  <r>
    <n v="744"/>
    <d v="2025-03-13T00:00:00"/>
    <s v="ZBTO"/>
    <n v="9518598889"/>
    <n v="1"/>
    <s v="9518598889-1"/>
    <s v="Apr'25 "/>
    <x v="0"/>
    <m/>
    <x v="2"/>
    <x v="3"/>
    <s v="1000-IPPE"/>
    <m/>
    <x v="1"/>
    <m/>
    <m/>
    <s v="Jharkhand"/>
    <s v="TBSPL"/>
    <s v="TBL- BARA AGRICO"/>
    <s v="Coil"/>
    <n v="941597"/>
    <x v="6"/>
    <n v="3902332"/>
    <s v="PPGL C HARD Y550PL D0C9 0.50(TPT)X1220"/>
    <s v="AZ150"/>
    <s v="RAL 9002 TSL 1801"/>
    <n v="2"/>
    <n v="5.0999999999999996"/>
    <s v="Wider"/>
    <s v="B18"/>
    <s v="Y550PL"/>
    <s v="D0C9"/>
    <n v="0.5"/>
    <n v="1220"/>
    <n v="0"/>
    <n v="140"/>
    <n v="122.02500000000001"/>
    <n v="17.975000000000001"/>
    <n v="15.28"/>
    <n v="17.975000000000001"/>
    <n v="17.975000000000001"/>
    <n v="0"/>
    <n v="0"/>
    <n v="0"/>
    <n v="0"/>
    <n v="0"/>
    <n v="0"/>
    <n v="0"/>
    <n v="0"/>
    <n v="0"/>
    <n v="0"/>
    <n v="0"/>
    <n v="0"/>
    <n v="0"/>
    <n v="0"/>
    <n v="0"/>
    <n v="0"/>
    <n v="0"/>
    <n v="0"/>
    <n v="0"/>
    <n v="0"/>
    <n v="0"/>
    <n v="0"/>
    <n v="0"/>
    <m/>
    <n v="12.67"/>
    <n v="76.39"/>
    <n v="0"/>
    <n v="76.39"/>
    <n v="0"/>
    <n v="0"/>
    <n v="0"/>
    <n v="89.06"/>
    <n v="0"/>
    <n v="0"/>
    <n v="89.06"/>
    <n v="0"/>
    <n v="0"/>
    <n v="0"/>
    <n v="35.864999999999995"/>
    <n v="0"/>
    <n v="35.864999999999995"/>
    <n v="0"/>
    <n v="0"/>
    <n v="0"/>
    <n v="0"/>
    <m/>
    <m/>
    <m/>
    <m/>
    <m/>
    <m/>
    <m/>
    <m/>
    <s v="1"/>
    <s v="0"/>
    <s v="1"/>
    <s v="1"/>
    <s v="1"/>
    <m/>
    <m/>
    <m/>
    <m/>
    <m/>
    <m/>
    <m/>
    <m/>
    <m/>
    <m/>
    <m/>
    <m/>
    <m/>
    <m/>
  </r>
  <r>
    <n v="742"/>
    <d v="2025-03-20T00:00:00"/>
    <s v="ZBTT"/>
    <n v="9518615777"/>
    <n v="1"/>
    <s v="9518615777-1"/>
    <s v="No Priority"/>
    <x v="0"/>
    <m/>
    <x v="1"/>
    <x v="10"/>
    <s v="1000-IPPE"/>
    <m/>
    <x v="0"/>
    <m/>
    <m/>
    <s v="Punjab"/>
    <s v="North"/>
    <s v="SANHEWAL"/>
    <s v="Coil"/>
    <n v="925428"/>
    <x v="68"/>
    <n v="1308785"/>
    <s v="CR COIL TATXXD AU14 0.980X1250"/>
    <s v=" "/>
    <s v=""/>
    <n v="12"/>
    <n v="27"/>
    <s v="Wider"/>
    <s v="C01"/>
    <s v="TATXXD"/>
    <s v="AU14"/>
    <n v="0.98"/>
    <n v="1250"/>
    <n v="0"/>
    <n v="100"/>
    <n v="77.394999999999996"/>
    <n v="22.605"/>
    <n v="22.605"/>
    <n v="22.605"/>
    <n v="0"/>
    <n v="0"/>
    <n v="0"/>
    <n v="0"/>
    <n v="0"/>
    <n v="0"/>
    <n v="0"/>
    <n v="0"/>
    <n v="0"/>
    <n v="0"/>
    <n v="0"/>
    <n v="0"/>
    <n v="0"/>
    <n v="0"/>
    <n v="0"/>
    <n v="0"/>
    <n v="0"/>
    <n v="0"/>
    <n v="0"/>
    <n v="0"/>
    <n v="0"/>
    <n v="0"/>
    <n v="0"/>
    <n v="0"/>
    <m/>
    <n v="0"/>
    <n v="100"/>
    <n v="0"/>
    <n v="0"/>
    <n v="0"/>
    <n v="100"/>
    <n v="0"/>
    <n v="100"/>
    <n v="0"/>
    <n v="0"/>
    <n v="0"/>
    <n v="0"/>
    <n v="100"/>
    <n v="0"/>
    <n v="0"/>
    <n v="0"/>
    <n v="0"/>
    <n v="0"/>
    <n v="0"/>
    <n v="0"/>
    <n v="0"/>
    <m/>
    <m/>
    <m/>
    <m/>
    <m/>
    <m/>
    <m/>
    <m/>
    <s v="1"/>
    <s v="1"/>
    <s v="1"/>
    <s v="0"/>
    <s v="1"/>
    <m/>
    <m/>
    <m/>
    <m/>
    <m/>
    <m/>
    <m/>
    <m/>
    <m/>
    <m/>
    <m/>
    <m/>
    <m/>
    <m/>
  </r>
  <r>
    <n v="742"/>
    <d v="2025-03-20T00:00:00"/>
    <s v="ZBTT"/>
    <n v="9518615777"/>
    <n v="2"/>
    <s v="9518615777-2"/>
    <s v="No Priority"/>
    <x v="0"/>
    <m/>
    <x v="1"/>
    <x v="10"/>
    <s v="1000-IPPE"/>
    <m/>
    <x v="0"/>
    <m/>
    <m/>
    <s v="Punjab"/>
    <s v="North"/>
    <s v="SANHEWAL"/>
    <s v="Coil"/>
    <n v="925428"/>
    <x v="68"/>
    <n v="28512"/>
    <s v="CRCOIL C01 DQ TATXXD AU14 1.15 X 1250"/>
    <s v=" "/>
    <s v=""/>
    <n v="12"/>
    <n v="27"/>
    <s v="Wider"/>
    <s v="C01"/>
    <s v="TATXXD"/>
    <s v="AU14"/>
    <n v="1.1499999999999999"/>
    <n v="1250"/>
    <n v="0"/>
    <n v="100"/>
    <n v="25.64"/>
    <n v="74.36"/>
    <n v="74.36"/>
    <n v="74.36"/>
    <n v="0"/>
    <n v="0"/>
    <n v="0"/>
    <n v="0"/>
    <n v="0"/>
    <n v="0"/>
    <n v="0"/>
    <n v="0"/>
    <n v="0"/>
    <n v="0"/>
    <n v="0"/>
    <n v="0"/>
    <n v="0"/>
    <n v="0"/>
    <n v="0"/>
    <n v="0"/>
    <n v="0"/>
    <n v="0"/>
    <n v="0"/>
    <n v="0"/>
    <n v="0"/>
    <n v="0"/>
    <n v="0"/>
    <n v="0"/>
    <m/>
    <n v="0"/>
    <n v="100"/>
    <n v="0"/>
    <n v="0"/>
    <n v="0"/>
    <n v="100"/>
    <n v="0"/>
    <n v="0"/>
    <n v="0"/>
    <n v="0"/>
    <n v="0"/>
    <n v="0"/>
    <n v="0"/>
    <n v="100"/>
    <n v="0"/>
    <n v="0"/>
    <n v="0"/>
    <n v="0"/>
    <n v="0"/>
    <n v="0"/>
    <n v="0"/>
    <m/>
    <m/>
    <m/>
    <m/>
    <m/>
    <m/>
    <m/>
    <m/>
    <s v="1"/>
    <s v="1"/>
    <s v="1"/>
    <s v="0"/>
    <s v="1"/>
    <m/>
    <m/>
    <m/>
    <m/>
    <m/>
    <m/>
    <m/>
    <m/>
    <m/>
    <m/>
    <m/>
    <m/>
    <m/>
    <m/>
  </r>
  <r>
    <n v="742"/>
    <d v="2025-03-21T00:00:00"/>
    <s v="ZBTO"/>
    <n v="9518620006"/>
    <n v="2"/>
    <s v="9518620006-2"/>
    <s v="No Priority"/>
    <x v="0"/>
    <m/>
    <x v="1"/>
    <x v="2"/>
    <s v="2000-BPRS"/>
    <m/>
    <x v="0"/>
    <m/>
    <s v="Exp BTF &lt;17MT"/>
    <s v="Chhattisgarh"/>
    <s v="East"/>
    <s v="URLA"/>
    <s v="Sheet"/>
    <n v="931662"/>
    <x v="69"/>
    <n v="3240778"/>
    <s v="CRCA SHEET TSBCRC SR15 0.600X1000X2500"/>
    <s v=" "/>
    <s v=""/>
    <n v="0"/>
    <n v="0"/>
    <s v="Narrow"/>
    <s v="C06"/>
    <s v="TSBCRC"/>
    <s v="SR15"/>
    <n v="0.6"/>
    <n v="1000"/>
    <n v="2500"/>
    <n v="48"/>
    <n v="40.549999999999997"/>
    <n v="7.45"/>
    <n v="7.45"/>
    <n v="7.45"/>
    <n v="7.45"/>
    <n v="0"/>
    <n v="0"/>
    <n v="0"/>
    <n v="0"/>
    <n v="0"/>
    <n v="0"/>
    <n v="0"/>
    <n v="0"/>
    <n v="0"/>
    <n v="0"/>
    <n v="0"/>
    <n v="0"/>
    <n v="0"/>
    <n v="0"/>
    <n v="0"/>
    <n v="0"/>
    <n v="0"/>
    <n v="0"/>
    <n v="0"/>
    <n v="0"/>
    <n v="0"/>
    <n v="0"/>
    <n v="0"/>
    <m/>
    <n v="0"/>
    <n v="48"/>
    <n v="0"/>
    <n v="48"/>
    <n v="0"/>
    <n v="0"/>
    <n v="0"/>
    <n v="48"/>
    <n v="0"/>
    <n v="0"/>
    <n v="48"/>
    <n v="0"/>
    <n v="0"/>
    <n v="0"/>
    <n v="40.549999999999997"/>
    <n v="0"/>
    <n v="40.549999999999997"/>
    <n v="0"/>
    <n v="0"/>
    <n v="0"/>
    <n v="0"/>
    <m/>
    <m/>
    <m/>
    <m/>
    <m/>
    <m/>
    <m/>
    <m/>
    <s v="1"/>
    <s v="0"/>
    <s v="1"/>
    <s v="1"/>
    <s v="1"/>
    <m/>
    <m/>
    <m/>
    <m/>
    <m/>
    <m/>
    <m/>
    <m/>
    <m/>
    <m/>
    <m/>
    <m/>
    <m/>
    <m/>
  </r>
  <r>
    <n v="742"/>
    <d v="2025-03-22T00:00:00"/>
    <s v="ZBTO"/>
    <n v="9518624222"/>
    <n v="6"/>
    <s v="9518624222-6"/>
    <s v="No Priority"/>
    <x v="0"/>
    <m/>
    <x v="1"/>
    <x v="1"/>
    <s v="2000-BPRS"/>
    <m/>
    <x v="0"/>
    <m/>
    <m/>
    <s v="Delhi"/>
    <s v="North"/>
    <s v="ZOSOLA"/>
    <s v="Coil"/>
    <n v="184986"/>
    <x v="49"/>
    <n v="1884117"/>
    <s v="CRCA COIL-TATXXD-AU03-2X1250"/>
    <s v=" "/>
    <s v=""/>
    <n v="15"/>
    <n v="29"/>
    <s v="Wider"/>
    <s v="C01"/>
    <s v="TATXXD"/>
    <s v="AU03"/>
    <n v="2"/>
    <n v="1250"/>
    <n v="0"/>
    <n v="29"/>
    <n v="0"/>
    <n v="29"/>
    <n v="1.77"/>
    <n v="0"/>
    <n v="3.36"/>
    <n v="0"/>
    <n v="0"/>
    <n v="0"/>
    <n v="0"/>
    <n v="0"/>
    <n v="0"/>
    <n v="0"/>
    <n v="0"/>
    <n v="0"/>
    <n v="0"/>
    <n v="0"/>
    <n v="0"/>
    <n v="0"/>
    <n v="0"/>
    <n v="0"/>
    <n v="0"/>
    <n v="0"/>
    <n v="0"/>
    <n v="0"/>
    <n v="0"/>
    <n v="0"/>
    <n v="0"/>
    <n v="0"/>
    <m/>
    <n v="0"/>
    <n v="29"/>
    <n v="0"/>
    <n v="29"/>
    <n v="0"/>
    <n v="0"/>
    <n v="0"/>
    <n v="29"/>
    <n v="0"/>
    <n v="0"/>
    <n v="29"/>
    <n v="0"/>
    <n v="0"/>
    <n v="0"/>
    <n v="0"/>
    <n v="0"/>
    <n v="0"/>
    <n v="0"/>
    <n v="0"/>
    <n v="0"/>
    <n v="0"/>
    <m/>
    <m/>
    <m/>
    <m/>
    <m/>
    <m/>
    <m/>
    <m/>
    <s v="1"/>
    <s v="0"/>
    <s v="1"/>
    <s v="1"/>
    <s v="1"/>
    <m/>
    <m/>
    <m/>
    <m/>
    <m/>
    <m/>
    <m/>
    <m/>
    <m/>
    <m/>
    <m/>
    <m/>
    <m/>
    <m/>
  </r>
  <r>
    <n v="742"/>
    <d v="2025-03-22T00:00:00"/>
    <s v="ZBTO"/>
    <n v="9518624222"/>
    <n v="2"/>
    <s v="9518624222-2"/>
    <s v="No Priority"/>
    <x v="0"/>
    <m/>
    <x v="1"/>
    <x v="11"/>
    <s v="2000-BPRS"/>
    <m/>
    <x v="0"/>
    <m/>
    <m/>
    <s v="Delhi"/>
    <s v="North"/>
    <s v="ZOSOLA"/>
    <s v="Coil"/>
    <n v="184986"/>
    <x v="49"/>
    <n v="2420508"/>
    <s v="CRCA COIL TATXXD AH03 0.500X1250"/>
    <s v=" "/>
    <s v=""/>
    <n v="15"/>
    <n v="29"/>
    <s v="Wider"/>
    <s v="C01"/>
    <s v="TATXXD"/>
    <s v="AH03"/>
    <n v="0.5"/>
    <n v="1250"/>
    <n v="0"/>
    <n v="116"/>
    <n v="75.22"/>
    <n v="40.78"/>
    <n v="9.25"/>
    <n v="40.78"/>
    <n v="14.44"/>
    <n v="0"/>
    <n v="0"/>
    <n v="0"/>
    <n v="0"/>
    <n v="0"/>
    <n v="0"/>
    <n v="0"/>
    <n v="0"/>
    <n v="0"/>
    <n v="0"/>
    <n v="0"/>
    <n v="0"/>
    <n v="0"/>
    <n v="0"/>
    <n v="0"/>
    <n v="0"/>
    <n v="0"/>
    <n v="0"/>
    <n v="0"/>
    <n v="0"/>
    <n v="0"/>
    <n v="0"/>
    <n v="0"/>
    <m/>
    <n v="0"/>
    <n v="116"/>
    <n v="0"/>
    <n v="0"/>
    <n v="116"/>
    <n v="0"/>
    <n v="0"/>
    <n v="116"/>
    <n v="0"/>
    <n v="0"/>
    <n v="116"/>
    <n v="0"/>
    <n v="0"/>
    <n v="0"/>
    <n v="26.97"/>
    <n v="0"/>
    <n v="0"/>
    <n v="26.97"/>
    <n v="0"/>
    <n v="0"/>
    <n v="0"/>
    <m/>
    <m/>
    <m/>
    <m/>
    <m/>
    <m/>
    <m/>
    <m/>
    <s v="1"/>
    <s v="1"/>
    <s v="0"/>
    <s v="1"/>
    <s v="1"/>
    <m/>
    <m/>
    <m/>
    <m/>
    <m/>
    <m/>
    <m/>
    <m/>
    <m/>
    <m/>
    <m/>
    <m/>
    <m/>
    <m/>
  </r>
  <r>
    <n v="742"/>
    <d v="2025-03-22T00:00:00"/>
    <s v="ZBTO"/>
    <n v="9518624222"/>
    <n v="3"/>
    <s v="9518624222-3"/>
    <s v="No Priority"/>
    <x v="0"/>
    <m/>
    <x v="1"/>
    <x v="1"/>
    <s v="2000-BPRS"/>
    <m/>
    <x v="0"/>
    <m/>
    <m/>
    <s v="Delhi"/>
    <s v="North"/>
    <s v="ZOSOLA"/>
    <s v="Coil"/>
    <n v="184986"/>
    <x v="49"/>
    <n v="1804917"/>
    <s v="CRCA COIL TATCRC TR15 0.6X1250"/>
    <s v=" "/>
    <s v=""/>
    <n v="15"/>
    <n v="29"/>
    <s v="Wider"/>
    <s v="C01"/>
    <s v="TATCRC"/>
    <s v="TR15"/>
    <n v="0.6"/>
    <n v="1250"/>
    <n v="0"/>
    <n v="29"/>
    <n v="0"/>
    <n v="29"/>
    <n v="2.9649999999999999"/>
    <n v="29"/>
    <n v="4.6050000000000004"/>
    <n v="0"/>
    <n v="0"/>
    <n v="0"/>
    <n v="0"/>
    <n v="0"/>
    <n v="0"/>
    <n v="0"/>
    <n v="0"/>
    <n v="0"/>
    <n v="0"/>
    <n v="0"/>
    <n v="0"/>
    <n v="0"/>
    <n v="0"/>
    <n v="0"/>
    <n v="0"/>
    <n v="0"/>
    <n v="0"/>
    <n v="0"/>
    <n v="0"/>
    <n v="0"/>
    <n v="0"/>
    <n v="0"/>
    <m/>
    <n v="0"/>
    <n v="29"/>
    <n v="0"/>
    <n v="0"/>
    <n v="0"/>
    <n v="29"/>
    <n v="0"/>
    <n v="29"/>
    <n v="0"/>
    <n v="0"/>
    <n v="0"/>
    <n v="0"/>
    <n v="29"/>
    <n v="0"/>
    <n v="0"/>
    <n v="0"/>
    <n v="0"/>
    <n v="0"/>
    <n v="0"/>
    <n v="0"/>
    <n v="0"/>
    <m/>
    <m/>
    <m/>
    <m/>
    <m/>
    <m/>
    <m/>
    <m/>
    <s v="1"/>
    <s v="1"/>
    <s v="1"/>
    <s v="0"/>
    <s v="1"/>
    <m/>
    <m/>
    <m/>
    <m/>
    <m/>
    <m/>
    <m/>
    <m/>
    <m/>
    <m/>
    <m/>
    <m/>
    <m/>
    <m/>
  </r>
  <r>
    <n v="742"/>
    <d v="2025-03-20T00:00:00"/>
    <s v="ZBTO"/>
    <n v="9518617137"/>
    <n v="5"/>
    <s v="9518617137-5"/>
    <s v="No Priority"/>
    <x v="0"/>
    <m/>
    <x v="1"/>
    <x v="2"/>
    <s v="2000-BPRS"/>
    <m/>
    <x v="0"/>
    <m/>
    <m/>
    <s v="Bihar"/>
    <s v="East"/>
    <s v="PURNIA"/>
    <s v="Sheet"/>
    <n v="103227"/>
    <x v="31"/>
    <n v="3239568"/>
    <s v="CRCA SHEET TATCRC SR16 0.450X1250X2500"/>
    <s v=" "/>
    <s v=""/>
    <n v="0"/>
    <n v="0"/>
    <s v="Wider"/>
    <s v="C06"/>
    <s v="TATCRC"/>
    <s v="SR16"/>
    <n v="0.45"/>
    <n v="1250"/>
    <n v="2500"/>
    <n v="21"/>
    <n v="20.43"/>
    <n v="0.56999999999999995"/>
    <n v="0.3"/>
    <n v="0"/>
    <n v="0.56999999999999995"/>
    <n v="0"/>
    <n v="0"/>
    <n v="0"/>
    <n v="0"/>
    <n v="0"/>
    <n v="0"/>
    <n v="0"/>
    <n v="0"/>
    <n v="0"/>
    <n v="0"/>
    <n v="0"/>
    <n v="0"/>
    <n v="0"/>
    <n v="0"/>
    <n v="0"/>
    <n v="0"/>
    <n v="0"/>
    <n v="0"/>
    <n v="0"/>
    <n v="0"/>
    <n v="0"/>
    <n v="0"/>
    <n v="0"/>
    <m/>
    <n v="0"/>
    <n v="21"/>
    <n v="0"/>
    <n v="21"/>
    <n v="0"/>
    <n v="0"/>
    <n v="0"/>
    <n v="21"/>
    <n v="0"/>
    <n v="0"/>
    <n v="21"/>
    <n v="0"/>
    <n v="0"/>
    <n v="0"/>
    <n v="20.43"/>
    <n v="0"/>
    <n v="20.43"/>
    <n v="0"/>
    <n v="0"/>
    <n v="0"/>
    <n v="0"/>
    <m/>
    <m/>
    <m/>
    <m/>
    <m/>
    <m/>
    <m/>
    <m/>
    <s v="1"/>
    <s v="1"/>
    <s v="1"/>
    <s v="1"/>
    <s v="1"/>
    <m/>
    <m/>
    <m/>
    <m/>
    <m/>
    <m/>
    <m/>
    <m/>
    <m/>
    <m/>
    <m/>
    <m/>
    <m/>
    <m/>
  </r>
  <r>
    <n v="742"/>
    <d v="2025-03-21T00:00:00"/>
    <s v="ZBTO"/>
    <n v="9518619991"/>
    <n v="3"/>
    <s v="9518619991-3"/>
    <s v="No Priority"/>
    <x v="0"/>
    <m/>
    <x v="1"/>
    <x v="2"/>
    <s v="2000-BPRS"/>
    <m/>
    <x v="0"/>
    <m/>
    <s v="Exp BTF &lt;17MT"/>
    <s v="Chhattisgarh"/>
    <s v="East"/>
    <s v="URLA"/>
    <s v="Sheet"/>
    <n v="931662"/>
    <x v="69"/>
    <n v="3239560"/>
    <s v="CRCA SHEET TATCRC SR16 0.450X900X2500"/>
    <s v=" "/>
    <s v=""/>
    <n v="0"/>
    <n v="0"/>
    <s v="Narrow"/>
    <s v="C06"/>
    <s v="TATCRC"/>
    <s v="SR16"/>
    <n v="0.45"/>
    <n v="900"/>
    <n v="2500"/>
    <n v="42"/>
    <n v="36.71"/>
    <n v="5.29"/>
    <n v="5.29"/>
    <n v="5.29"/>
    <n v="5.29"/>
    <n v="0"/>
    <n v="0"/>
    <n v="0"/>
    <n v="0"/>
    <n v="0"/>
    <n v="0"/>
    <n v="0"/>
    <n v="0"/>
    <n v="0"/>
    <n v="0"/>
    <n v="0"/>
    <n v="0"/>
    <n v="0"/>
    <n v="0"/>
    <n v="0"/>
    <n v="0"/>
    <n v="0"/>
    <n v="0"/>
    <n v="0"/>
    <n v="0"/>
    <n v="0"/>
    <n v="0"/>
    <n v="0"/>
    <m/>
    <n v="0"/>
    <n v="42"/>
    <n v="0"/>
    <n v="42"/>
    <n v="0"/>
    <n v="0"/>
    <n v="0"/>
    <n v="42"/>
    <n v="0"/>
    <n v="0"/>
    <n v="42"/>
    <n v="0"/>
    <n v="0"/>
    <n v="0"/>
    <n v="36.709999999999994"/>
    <n v="0"/>
    <n v="36.709999999999994"/>
    <n v="0"/>
    <n v="0"/>
    <n v="0"/>
    <n v="0"/>
    <m/>
    <m/>
    <m/>
    <m/>
    <m/>
    <m/>
    <m/>
    <m/>
    <s v="1"/>
    <s v="0"/>
    <s v="1"/>
    <s v="1"/>
    <s v="1"/>
    <m/>
    <m/>
    <m/>
    <m/>
    <m/>
    <m/>
    <m/>
    <m/>
    <m/>
    <m/>
    <m/>
    <m/>
    <m/>
    <m/>
  </r>
  <r>
    <n v="744"/>
    <d v="2025-03-22T00:00:00"/>
    <s v="ZBTO"/>
    <n v="9518623514"/>
    <n v="1"/>
    <s v="9518623514-1"/>
    <s v="Apr'25 "/>
    <x v="0"/>
    <m/>
    <x v="2"/>
    <x v="3"/>
    <s v="1000-IPPE"/>
    <m/>
    <x v="1"/>
    <m/>
    <m/>
    <s v="Jharkhand"/>
    <s v="TBSPL"/>
    <s v="TBL- BARA AGRICO"/>
    <s v="Coil"/>
    <n v="941597"/>
    <x v="6"/>
    <n v="3712516"/>
    <s v="PPGL C HARD Y550PL HPL5 0.450X1220"/>
    <s v="AZ150"/>
    <s v="ELITE LIGHT BLUE TSL 1687"/>
    <n v="3"/>
    <n v="5"/>
    <s v="Wider"/>
    <s v="B18"/>
    <s v="Y550PL"/>
    <s v="HPL5"/>
    <n v="0.45"/>
    <n v="1220"/>
    <n v="0"/>
    <n v="140"/>
    <n v="0"/>
    <n v="140"/>
    <n v="140"/>
    <n v="140"/>
    <n v="140"/>
    <n v="0"/>
    <n v="0"/>
    <n v="0"/>
    <n v="0"/>
    <n v="0"/>
    <n v="0"/>
    <n v="0"/>
    <n v="0"/>
    <n v="0"/>
    <n v="0"/>
    <n v="0"/>
    <n v="0"/>
    <n v="0"/>
    <n v="0"/>
    <n v="0"/>
    <n v="0"/>
    <n v="0"/>
    <n v="0"/>
    <n v="0"/>
    <n v="0"/>
    <n v="0"/>
    <n v="0"/>
    <n v="0"/>
    <m/>
    <n v="0"/>
    <n v="140"/>
    <n v="0"/>
    <n v="0"/>
    <n v="0"/>
    <n v="0"/>
    <n v="140"/>
    <n v="0"/>
    <n v="0"/>
    <n v="0"/>
    <n v="0"/>
    <n v="0"/>
    <n v="0"/>
    <n v="140"/>
    <n v="0"/>
    <n v="0"/>
    <n v="0"/>
    <n v="0"/>
    <n v="0"/>
    <n v="0"/>
    <n v="0"/>
    <m/>
    <m/>
    <m/>
    <m/>
    <m/>
    <m/>
    <m/>
    <m/>
    <s v="1"/>
    <s v="1"/>
    <s v="1"/>
    <s v="1"/>
    <s v="0"/>
    <m/>
    <m/>
    <m/>
    <m/>
    <m/>
    <m/>
    <m/>
    <m/>
    <m/>
    <m/>
    <m/>
    <m/>
    <m/>
    <m/>
  </r>
  <r>
    <n v="742"/>
    <d v="2025-03-19T00:00:00"/>
    <s v="ZBTO"/>
    <n v="9518613413"/>
    <n v="2"/>
    <s v="9518613413-2"/>
    <s v="No Priority"/>
    <x v="0"/>
    <m/>
    <x v="1"/>
    <x v="10"/>
    <n v="1000"/>
    <m/>
    <x v="0"/>
    <m/>
    <m/>
    <s v="Andhra Pradesh"/>
    <s v="South"/>
    <s v="CHITTOOR"/>
    <s v="Coil"/>
    <n v="188238"/>
    <x v="40"/>
    <n v="2170008"/>
    <s v="CRCA COIL TATXXD BT01 0.970X1220"/>
    <s v=""/>
    <s v=""/>
    <m/>
    <m/>
    <s v="Wider"/>
    <s v="C01"/>
    <s v="TATXXD"/>
    <s v="BT01"/>
    <n v="0.97"/>
    <n v="1220"/>
    <n v="0"/>
    <n v="280"/>
    <n v="0"/>
    <n v="280"/>
    <n v="-25.48"/>
    <n v="0"/>
    <n v="23.38"/>
    <n v="0"/>
    <n v="0"/>
    <n v="0"/>
    <n v="0"/>
    <n v="0"/>
    <n v="0"/>
    <n v="0"/>
    <n v="0"/>
    <n v="0"/>
    <n v="0"/>
    <n v="0"/>
    <n v="0"/>
    <n v="0"/>
    <n v="0"/>
    <n v="0"/>
    <n v="0"/>
    <n v="0"/>
    <n v="0"/>
    <n v="0"/>
    <n v="0"/>
    <n v="0"/>
    <n v="0"/>
    <n v="0"/>
    <m/>
    <n v="0"/>
    <n v="280"/>
    <n v="0"/>
    <n v="0"/>
    <n v="280"/>
    <n v="0"/>
    <n v="0"/>
    <n v="280"/>
    <n v="0"/>
    <n v="0"/>
    <n v="0"/>
    <n v="280"/>
    <n v="0"/>
    <n v="0"/>
    <n v="0"/>
    <n v="0"/>
    <n v="0"/>
    <n v="0"/>
    <n v="0"/>
    <n v="0"/>
    <n v="0"/>
    <m/>
    <m/>
    <m/>
    <m/>
    <m/>
    <m/>
    <m/>
    <m/>
    <s v="1"/>
    <s v="1"/>
    <s v="0"/>
    <s v="1"/>
    <s v="1"/>
    <m/>
    <m/>
    <m/>
    <m/>
    <m/>
    <m/>
    <m/>
    <m/>
    <m/>
    <m/>
    <m/>
    <m/>
    <m/>
    <m/>
  </r>
  <r>
    <n v="742"/>
    <d v="2025-03-20T00:00:00"/>
    <s v="ZBTO"/>
    <n v="9518617308"/>
    <n v="3"/>
    <s v="9518617308-3"/>
    <s v="No Priority"/>
    <x v="0"/>
    <m/>
    <x v="1"/>
    <x v="1"/>
    <n v="2000"/>
    <m/>
    <x v="0"/>
    <m/>
    <m/>
    <s v="Haryana"/>
    <s v="North"/>
    <s v="FARIDABAD"/>
    <s v="Coil"/>
    <n v="144917"/>
    <x v="70"/>
    <n v="1804854"/>
    <s v="CRCA COIL-TATXXD-AU03-1.2X1250"/>
    <s v=""/>
    <s v=""/>
    <m/>
    <m/>
    <s v="Wider"/>
    <s v="C01"/>
    <s v="TATXXD"/>
    <s v="AU03"/>
    <n v="1.2"/>
    <n v="1250"/>
    <n v="0"/>
    <n v="29"/>
    <n v="0"/>
    <n v="29"/>
    <n v="1.25"/>
    <n v="0"/>
    <n v="2.87"/>
    <n v="0"/>
    <n v="0"/>
    <n v="0"/>
    <n v="0"/>
    <n v="0"/>
    <n v="0"/>
    <n v="0"/>
    <n v="0"/>
    <n v="0"/>
    <n v="0"/>
    <n v="0"/>
    <n v="0"/>
    <n v="0"/>
    <n v="0"/>
    <n v="0"/>
    <n v="0"/>
    <n v="0"/>
    <n v="0"/>
    <n v="0"/>
    <n v="0"/>
    <n v="0"/>
    <n v="0"/>
    <n v="0"/>
    <m/>
    <n v="0"/>
    <n v="29"/>
    <n v="0"/>
    <n v="0"/>
    <n v="29"/>
    <n v="0"/>
    <n v="0"/>
    <n v="29"/>
    <n v="0"/>
    <n v="0"/>
    <n v="0"/>
    <n v="29"/>
    <n v="0"/>
    <n v="0"/>
    <n v="0"/>
    <n v="0"/>
    <n v="0"/>
    <n v="0"/>
    <n v="0"/>
    <n v="0"/>
    <n v="0"/>
    <m/>
    <m/>
    <m/>
    <m/>
    <m/>
    <m/>
    <m/>
    <m/>
    <s v="1"/>
    <s v="1"/>
    <s v="0"/>
    <s v="1"/>
    <s v="1"/>
    <m/>
    <m/>
    <m/>
    <m/>
    <m/>
    <m/>
    <m/>
    <m/>
    <m/>
    <m/>
    <m/>
    <m/>
    <m/>
    <m/>
  </r>
  <r>
    <n v="742"/>
    <d v="2025-03-20T00:00:00"/>
    <s v="ZBTO"/>
    <n v="9518617308"/>
    <n v="6"/>
    <s v="9518617308-6"/>
    <s v="No Priority"/>
    <x v="0"/>
    <m/>
    <x v="1"/>
    <x v="1"/>
    <n v="2000"/>
    <m/>
    <x v="0"/>
    <m/>
    <m/>
    <s v="Haryana"/>
    <s v="North"/>
    <s v="FARIDABAD"/>
    <s v="Coil"/>
    <n v="144917"/>
    <x v="70"/>
    <n v="1884117"/>
    <s v="CRCA COIL-TATXXD-AU03-2X1250"/>
    <s v=""/>
    <s v=""/>
    <m/>
    <m/>
    <s v="Wider"/>
    <s v="C01"/>
    <s v="TATXXD"/>
    <s v="AU03"/>
    <n v="2"/>
    <n v="1250"/>
    <n v="0"/>
    <n v="29"/>
    <n v="0"/>
    <n v="29"/>
    <n v="0.36"/>
    <n v="0"/>
    <n v="2.99"/>
    <n v="0"/>
    <n v="0"/>
    <n v="0"/>
    <n v="0"/>
    <n v="0"/>
    <n v="0"/>
    <n v="0"/>
    <n v="0"/>
    <n v="0"/>
    <n v="0"/>
    <n v="0"/>
    <n v="0"/>
    <n v="0"/>
    <n v="0"/>
    <n v="0"/>
    <n v="0"/>
    <n v="0"/>
    <n v="0"/>
    <n v="0"/>
    <n v="0"/>
    <n v="0"/>
    <n v="0"/>
    <n v="0"/>
    <m/>
    <n v="0"/>
    <n v="29"/>
    <n v="0"/>
    <n v="0"/>
    <n v="0"/>
    <n v="0"/>
    <n v="29"/>
    <n v="0"/>
    <n v="0"/>
    <n v="0"/>
    <n v="0"/>
    <n v="0"/>
    <n v="0"/>
    <n v="29"/>
    <n v="0"/>
    <n v="0"/>
    <n v="0"/>
    <n v="0"/>
    <n v="0"/>
    <n v="0"/>
    <n v="0"/>
    <m/>
    <m/>
    <m/>
    <m/>
    <m/>
    <m/>
    <m/>
    <m/>
    <s v="1"/>
    <s v="1"/>
    <s v="1"/>
    <s v="1"/>
    <s v="0"/>
    <m/>
    <m/>
    <m/>
    <m/>
    <m/>
    <m/>
    <m/>
    <m/>
    <m/>
    <m/>
    <m/>
    <m/>
    <m/>
    <m/>
  </r>
  <r>
    <n v="743"/>
    <d v="2025-03-20T00:00:00"/>
    <s v="ZBTO"/>
    <n v="9518616273"/>
    <n v="1"/>
    <s v="9518616273-1"/>
    <s v="No Priority"/>
    <x v="0"/>
    <m/>
    <x v="3"/>
    <x v="4"/>
    <n v="2000"/>
    <m/>
    <x v="0"/>
    <m/>
    <m/>
    <s v="Bihar"/>
    <s v="East"/>
    <s v="PURNEA JN."/>
    <s v="Coil"/>
    <n v="931671"/>
    <x v="31"/>
    <n v="3768542"/>
    <s v="GP COIL TATGPH GP02 0.350X900"/>
    <s v=""/>
    <s v=""/>
    <m/>
    <m/>
    <s v="Narrow"/>
    <s v="C05"/>
    <s v="TATGPH"/>
    <s v="GP02"/>
    <n v="0.35"/>
    <n v="900"/>
    <n v="0"/>
    <n v="21"/>
    <n v="0"/>
    <n v="21"/>
    <n v="-0.5"/>
    <n v="0"/>
    <n v="21"/>
    <n v="0"/>
    <n v="0"/>
    <n v="0"/>
    <n v="0"/>
    <n v="0"/>
    <n v="0"/>
    <n v="0"/>
    <n v="0"/>
    <n v="0"/>
    <n v="0"/>
    <n v="0"/>
    <n v="0"/>
    <n v="0"/>
    <n v="0"/>
    <n v="0"/>
    <n v="0"/>
    <n v="21.5"/>
    <n v="0"/>
    <n v="0"/>
    <n v="21.5"/>
    <n v="21.5"/>
    <n v="0"/>
    <n v="21.5"/>
    <m/>
    <n v="0"/>
    <n v="21"/>
    <n v="0"/>
    <n v="0"/>
    <n v="0"/>
    <n v="0"/>
    <n v="21"/>
    <n v="21"/>
    <n v="0"/>
    <n v="0"/>
    <n v="0"/>
    <n v="0"/>
    <n v="21"/>
    <n v="0"/>
    <n v="0"/>
    <n v="0"/>
    <n v="0"/>
    <n v="0"/>
    <n v="0"/>
    <n v="0"/>
    <n v="0"/>
    <m/>
    <m/>
    <m/>
    <m/>
    <m/>
    <m/>
    <m/>
    <m/>
    <s v="1"/>
    <s v="1"/>
    <s v="1"/>
    <s v="1"/>
    <s v="0"/>
    <m/>
    <m/>
    <m/>
    <m/>
    <m/>
    <m/>
    <m/>
    <m/>
    <m/>
    <m/>
    <m/>
    <m/>
    <m/>
    <m/>
  </r>
  <r>
    <n v="743"/>
    <d v="2025-03-20T00:00:00"/>
    <s v="ZBTO"/>
    <n v="9518616273"/>
    <n v="2"/>
    <s v="9518616273-2"/>
    <s v="No Priority"/>
    <x v="0"/>
    <m/>
    <x v="3"/>
    <x v="4"/>
    <n v="2000"/>
    <m/>
    <x v="0"/>
    <m/>
    <m/>
    <s v="Bihar"/>
    <s v="East"/>
    <s v="PURNEA JN."/>
    <s v="Coil"/>
    <n v="931671"/>
    <x v="31"/>
    <n v="3777535"/>
    <s v="GP COIL TATGPH GP02 0.400X900"/>
    <s v=""/>
    <s v=""/>
    <m/>
    <m/>
    <s v="Narrow"/>
    <s v="C05"/>
    <s v="TATGPH"/>
    <s v="GP02"/>
    <n v="0.4"/>
    <n v="900"/>
    <n v="0"/>
    <n v="126"/>
    <n v="0"/>
    <n v="126"/>
    <n v="26.16"/>
    <n v="0"/>
    <n v="61.82"/>
    <n v="0"/>
    <n v="0"/>
    <n v="0"/>
    <n v="0"/>
    <n v="0"/>
    <n v="0"/>
    <n v="2.4"/>
    <n v="0"/>
    <n v="0"/>
    <n v="0"/>
    <n v="0"/>
    <n v="0"/>
    <n v="0"/>
    <n v="0"/>
    <n v="0"/>
    <n v="0"/>
    <n v="0"/>
    <n v="0"/>
    <n v="3.43"/>
    <n v="5.83"/>
    <n v="5.83"/>
    <n v="26"/>
    <n v="31.83"/>
    <m/>
    <n v="0"/>
    <n v="126"/>
    <n v="0"/>
    <n v="0"/>
    <n v="0"/>
    <n v="0"/>
    <n v="126"/>
    <n v="0"/>
    <n v="0"/>
    <n v="0"/>
    <n v="0"/>
    <n v="0"/>
    <n v="0"/>
    <n v="126"/>
    <n v="0"/>
    <n v="0"/>
    <n v="0"/>
    <n v="0"/>
    <n v="0"/>
    <n v="0"/>
    <n v="0"/>
    <m/>
    <m/>
    <m/>
    <m/>
    <m/>
    <m/>
    <m/>
    <m/>
    <s v="1"/>
    <s v="1"/>
    <s v="1"/>
    <s v="1"/>
    <s v="0"/>
    <m/>
    <m/>
    <m/>
    <m/>
    <m/>
    <m/>
    <m/>
    <m/>
    <m/>
    <m/>
    <m/>
    <m/>
    <m/>
    <m/>
  </r>
  <r>
    <n v="743"/>
    <d v="2025-03-20T00:00:00"/>
    <s v="ZBTO"/>
    <n v="9518616273"/>
    <n v="3"/>
    <s v="9518616273-3"/>
    <s v="No Priority"/>
    <x v="0"/>
    <m/>
    <x v="3"/>
    <x v="4"/>
    <n v="2000"/>
    <m/>
    <x v="0"/>
    <m/>
    <m/>
    <s v="Bihar"/>
    <s v="East"/>
    <s v="PURNEA JN."/>
    <s v="Coil"/>
    <n v="931671"/>
    <x v="31"/>
    <n v="3767014"/>
    <s v="GP COIL TATGPH GP02 0.400X1350"/>
    <s v=""/>
    <s v=""/>
    <m/>
    <m/>
    <s v="Wider"/>
    <s v="C05"/>
    <s v="TATGPH"/>
    <s v="GP02"/>
    <n v="0.4"/>
    <n v="1350"/>
    <n v="0"/>
    <n v="124"/>
    <n v="0"/>
    <n v="124"/>
    <n v="35.1"/>
    <n v="0"/>
    <n v="9.7149999999999999"/>
    <n v="0"/>
    <n v="0"/>
    <n v="0"/>
    <n v="0"/>
    <n v="0"/>
    <n v="0"/>
    <n v="5.5170000000000003"/>
    <n v="0"/>
    <n v="0"/>
    <n v="0"/>
    <n v="0"/>
    <n v="0"/>
    <n v="0"/>
    <n v="0"/>
    <n v="0"/>
    <n v="0"/>
    <n v="0"/>
    <n v="0"/>
    <n v="0"/>
    <n v="5.5170000000000003"/>
    <n v="5.5170000000000003"/>
    <n v="35"/>
    <n v="40.517000000000003"/>
    <m/>
    <n v="0"/>
    <n v="124"/>
    <n v="0"/>
    <n v="124"/>
    <n v="0"/>
    <n v="0"/>
    <n v="0"/>
    <n v="124"/>
    <n v="0"/>
    <n v="0"/>
    <n v="124"/>
    <n v="0"/>
    <n v="0"/>
    <n v="0"/>
    <n v="0"/>
    <n v="0"/>
    <n v="0"/>
    <n v="0"/>
    <n v="0"/>
    <n v="0"/>
    <n v="0"/>
    <m/>
    <m/>
    <m/>
    <m/>
    <m/>
    <m/>
    <m/>
    <m/>
    <s v="1"/>
    <s v="0"/>
    <s v="1"/>
    <s v="1"/>
    <s v="1"/>
    <m/>
    <m/>
    <m/>
    <m/>
    <m/>
    <m/>
    <m/>
    <m/>
    <m/>
    <m/>
    <m/>
    <m/>
    <m/>
    <m/>
  </r>
  <r>
    <n v="743"/>
    <d v="2025-03-20T00:00:00"/>
    <s v="ZBTO"/>
    <n v="9518616273"/>
    <n v="4"/>
    <s v="9518616273-4"/>
    <s v="No Priority"/>
    <x v="0"/>
    <m/>
    <x v="3"/>
    <x v="4"/>
    <n v="2000"/>
    <m/>
    <x v="0"/>
    <m/>
    <m/>
    <s v="Bihar"/>
    <s v="East"/>
    <s v="PURNEA JN."/>
    <s v="Coil"/>
    <n v="931671"/>
    <x v="31"/>
    <n v="3774103"/>
    <s v="GP COIL TATXGP GP02 0.450X1350"/>
    <s v=""/>
    <s v=""/>
    <m/>
    <m/>
    <s v="Wider"/>
    <s v="C05"/>
    <s v="TATXGP"/>
    <s v="GP02"/>
    <n v="0.45"/>
    <n v="1350"/>
    <n v="0"/>
    <n v="124"/>
    <n v="0"/>
    <n v="124"/>
    <n v="94.43"/>
    <n v="0"/>
    <n v="11.89"/>
    <n v="0"/>
    <n v="0"/>
    <n v="0"/>
    <n v="0"/>
    <n v="0"/>
    <n v="0"/>
    <n v="7.4119999999999999"/>
    <n v="0"/>
    <n v="0"/>
    <n v="0"/>
    <n v="0"/>
    <n v="0"/>
    <n v="0"/>
    <n v="0"/>
    <n v="0"/>
    <n v="0"/>
    <n v="0"/>
    <n v="0"/>
    <n v="0"/>
    <n v="7.4119999999999999"/>
    <n v="7.4119999999999999"/>
    <n v="94"/>
    <n v="101.41200000000001"/>
    <m/>
    <n v="0"/>
    <n v="124"/>
    <n v="0"/>
    <n v="124"/>
    <n v="0"/>
    <n v="0"/>
    <n v="0"/>
    <n v="124"/>
    <n v="0"/>
    <n v="0"/>
    <n v="124"/>
    <n v="0"/>
    <n v="0"/>
    <n v="0"/>
    <n v="0"/>
    <n v="0"/>
    <n v="0"/>
    <n v="0"/>
    <n v="0"/>
    <n v="0"/>
    <n v="0"/>
    <m/>
    <m/>
    <m/>
    <m/>
    <m/>
    <m/>
    <m/>
    <m/>
    <s v="1"/>
    <s v="0"/>
    <s v="1"/>
    <s v="1"/>
    <s v="1"/>
    <m/>
    <m/>
    <m/>
    <m/>
    <m/>
    <m/>
    <m/>
    <m/>
    <m/>
    <m/>
    <m/>
    <m/>
    <m/>
    <m/>
  </r>
  <r>
    <n v="742"/>
    <d v="2025-03-20T00:00:00"/>
    <s v="ZBTO"/>
    <n v="9518617132"/>
    <n v="2"/>
    <s v="9518617132-2"/>
    <s v="Apr'25 "/>
    <x v="0"/>
    <m/>
    <x v="1"/>
    <x v="2"/>
    <n v="2000"/>
    <m/>
    <x v="1"/>
    <m/>
    <m/>
    <s v="Bihar"/>
    <s v="East"/>
    <s v="PATNA CITY"/>
    <s v="Sheet"/>
    <n v="103227"/>
    <x v="31"/>
    <n v="3239557"/>
    <s v="CRCA SHEET TATCRC SR16 0.400X1250X2500"/>
    <s v=""/>
    <s v=""/>
    <m/>
    <m/>
    <s v="Wider"/>
    <s v="C06"/>
    <s v="TATCRC"/>
    <s v="SR16"/>
    <n v="0.4"/>
    <n v="1250"/>
    <n v="0"/>
    <n v="24"/>
    <n v="0"/>
    <n v="24"/>
    <n v="24"/>
    <n v="24"/>
    <n v="24"/>
    <n v="0"/>
    <n v="0"/>
    <n v="0"/>
    <n v="0"/>
    <n v="0"/>
    <n v="0"/>
    <n v="0"/>
    <n v="0"/>
    <n v="0"/>
    <n v="0"/>
    <n v="0"/>
    <n v="0"/>
    <n v="0"/>
    <n v="0"/>
    <n v="0"/>
    <n v="0"/>
    <n v="0"/>
    <n v="0"/>
    <n v="0"/>
    <n v="0"/>
    <n v="0"/>
    <n v="0"/>
    <n v="0"/>
    <m/>
    <n v="0"/>
    <n v="24"/>
    <n v="0"/>
    <n v="0"/>
    <n v="0"/>
    <n v="24"/>
    <n v="0"/>
    <n v="24"/>
    <n v="0"/>
    <n v="0"/>
    <n v="0"/>
    <n v="0"/>
    <n v="24"/>
    <n v="0"/>
    <n v="0"/>
    <n v="0"/>
    <n v="0"/>
    <n v="0"/>
    <n v="0"/>
    <n v="0"/>
    <n v="0"/>
    <m/>
    <m/>
    <m/>
    <m/>
    <m/>
    <m/>
    <m/>
    <m/>
    <s v="1"/>
    <s v="1"/>
    <s v="1"/>
    <s v="0"/>
    <s v="1"/>
    <m/>
    <m/>
    <m/>
    <m/>
    <m/>
    <m/>
    <m/>
    <m/>
    <m/>
    <m/>
    <m/>
    <m/>
    <m/>
    <m/>
  </r>
  <r>
    <n v="742"/>
    <d v="2025-03-20T00:00:00"/>
    <s v="ZBTO"/>
    <n v="9518617137"/>
    <n v="2"/>
    <s v="9518617137-2"/>
    <s v="No Priority"/>
    <x v="0"/>
    <m/>
    <x v="1"/>
    <x v="2"/>
    <n v="2000"/>
    <m/>
    <x v="0"/>
    <m/>
    <m/>
    <s v="Bihar"/>
    <s v="East"/>
    <s v="PURNEA JN."/>
    <s v="Sheet"/>
    <n v="103227"/>
    <x v="31"/>
    <n v="3239557"/>
    <s v="CRCA SHEET TATCRC SR16 0.400X1250X2500"/>
    <s v=""/>
    <s v=""/>
    <m/>
    <m/>
    <s v="Wider"/>
    <s v="C06"/>
    <s v="TATCRC"/>
    <s v="SR16"/>
    <n v="0.4"/>
    <n v="1250"/>
    <n v="0"/>
    <n v="24"/>
    <n v="0"/>
    <n v="24"/>
    <n v="-3.22"/>
    <n v="0"/>
    <n v="0.96"/>
    <n v="0"/>
    <n v="0"/>
    <n v="0"/>
    <n v="0"/>
    <n v="0"/>
    <n v="0"/>
    <n v="0"/>
    <n v="0"/>
    <n v="0.15"/>
    <n v="0"/>
    <n v="0"/>
    <n v="0"/>
    <n v="0"/>
    <n v="0"/>
    <n v="0"/>
    <n v="0"/>
    <n v="0"/>
    <n v="0"/>
    <n v="0"/>
    <n v="0.15"/>
    <n v="0.15"/>
    <n v="0"/>
    <n v="0.15"/>
    <m/>
    <n v="0"/>
    <n v="24"/>
    <n v="0"/>
    <n v="0"/>
    <n v="24"/>
    <n v="0"/>
    <n v="0"/>
    <n v="24"/>
    <n v="0"/>
    <n v="0"/>
    <n v="0"/>
    <n v="24"/>
    <n v="0"/>
    <n v="0"/>
    <n v="0"/>
    <n v="0"/>
    <n v="0"/>
    <n v="0"/>
    <n v="0"/>
    <n v="0"/>
    <n v="0"/>
    <m/>
    <m/>
    <m/>
    <m/>
    <m/>
    <m/>
    <m/>
    <m/>
    <s v="1"/>
    <s v="1"/>
    <s v="0"/>
    <s v="1"/>
    <s v="1"/>
    <m/>
    <m/>
    <m/>
    <m/>
    <m/>
    <m/>
    <m/>
    <m/>
    <m/>
    <m/>
    <m/>
    <m/>
    <m/>
    <m/>
  </r>
  <r>
    <n v="742"/>
    <d v="2025-03-20T00:00:00"/>
    <s v="ZBTO"/>
    <n v="9518617137"/>
    <n v="3"/>
    <s v="9518617137-3"/>
    <s v="No Priority"/>
    <x v="0"/>
    <m/>
    <x v="1"/>
    <x v="2"/>
    <n v="2000"/>
    <m/>
    <x v="0"/>
    <m/>
    <m/>
    <s v="Bihar"/>
    <s v="East"/>
    <s v="PURNEA JN."/>
    <s v="Sheet"/>
    <n v="103227"/>
    <x v="31"/>
    <n v="3240778"/>
    <s v="CRCA SHEET TSBCRC SR15 0.600X1000X2500"/>
    <s v=""/>
    <s v=""/>
    <m/>
    <m/>
    <s v="Narrow"/>
    <s v="C06"/>
    <s v="TSBCRC"/>
    <s v="SR15"/>
    <n v="0.6"/>
    <n v="1000"/>
    <n v="2500"/>
    <n v="24"/>
    <n v="23.465"/>
    <n v="0.53500000000000003"/>
    <n v="0.53500000000000003"/>
    <n v="0"/>
    <n v="0.53500000000000003"/>
    <n v="0"/>
    <n v="0"/>
    <n v="0"/>
    <n v="0"/>
    <n v="0"/>
    <n v="0"/>
    <n v="0"/>
    <n v="0"/>
    <n v="0"/>
    <n v="0"/>
    <n v="0"/>
    <n v="0"/>
    <n v="0"/>
    <n v="0"/>
    <n v="0"/>
    <n v="0"/>
    <n v="0"/>
    <n v="0"/>
    <n v="0"/>
    <n v="0"/>
    <n v="0"/>
    <n v="0"/>
    <n v="0"/>
    <m/>
    <n v="0"/>
    <n v="24"/>
    <n v="0"/>
    <n v="24"/>
    <n v="0"/>
    <n v="0"/>
    <n v="0"/>
    <n v="24"/>
    <n v="0"/>
    <n v="0"/>
    <n v="24"/>
    <n v="0"/>
    <n v="0"/>
    <n v="0"/>
    <n v="23.465"/>
    <n v="0"/>
    <n v="23.465"/>
    <n v="0"/>
    <n v="0"/>
    <n v="0"/>
    <n v="0"/>
    <m/>
    <m/>
    <m/>
    <m/>
    <m/>
    <m/>
    <m/>
    <m/>
    <s v="1"/>
    <s v="1"/>
    <s v="1"/>
    <s v="1"/>
    <s v="1"/>
    <m/>
    <m/>
    <m/>
    <m/>
    <m/>
    <m/>
    <m/>
    <m/>
    <m/>
    <m/>
    <m/>
    <m/>
    <m/>
    <m/>
  </r>
  <r>
    <n v="742"/>
    <d v="2025-03-20T00:00:00"/>
    <s v="ZBTO"/>
    <n v="9518617137"/>
    <n v="4"/>
    <s v="9518617137-4"/>
    <s v="No Priority"/>
    <x v="0"/>
    <m/>
    <x v="1"/>
    <x v="2"/>
    <n v="2000"/>
    <m/>
    <x v="0"/>
    <m/>
    <m/>
    <s v="Bihar"/>
    <s v="East"/>
    <s v="PURNEA JN."/>
    <s v="Sheet"/>
    <n v="103227"/>
    <x v="31"/>
    <n v="3240849"/>
    <s v="CRCA SHEET TSBCRC SR15 1.200X1250X2500"/>
    <s v=""/>
    <s v=""/>
    <m/>
    <m/>
    <s v="Wider"/>
    <s v="C06"/>
    <s v="TSBCRC"/>
    <s v="SR15"/>
    <n v="1.2"/>
    <n v="1250"/>
    <n v="0"/>
    <n v="24"/>
    <n v="0"/>
    <n v="24"/>
    <n v="-2.9750000000000001"/>
    <n v="0"/>
    <n v="0.435"/>
    <n v="0"/>
    <n v="0"/>
    <n v="0"/>
    <n v="0"/>
    <n v="0"/>
    <n v="0"/>
    <n v="0"/>
    <n v="0"/>
    <n v="0"/>
    <n v="0"/>
    <n v="0"/>
    <n v="0"/>
    <n v="0"/>
    <n v="0"/>
    <n v="0"/>
    <n v="0"/>
    <n v="0"/>
    <n v="0"/>
    <n v="0"/>
    <n v="0"/>
    <n v="0"/>
    <n v="0"/>
    <n v="0"/>
    <m/>
    <n v="0"/>
    <n v="24"/>
    <n v="0"/>
    <n v="0"/>
    <n v="0"/>
    <n v="24"/>
    <n v="0"/>
    <n v="24"/>
    <n v="0"/>
    <n v="0"/>
    <n v="0"/>
    <n v="0"/>
    <n v="24"/>
    <n v="0"/>
    <n v="0"/>
    <n v="0"/>
    <n v="0"/>
    <n v="0"/>
    <n v="0"/>
    <n v="0"/>
    <n v="0"/>
    <m/>
    <m/>
    <m/>
    <m/>
    <m/>
    <m/>
    <m/>
    <m/>
    <s v="1"/>
    <s v="1"/>
    <s v="1"/>
    <s v="0"/>
    <s v="1"/>
    <m/>
    <m/>
    <m/>
    <m/>
    <m/>
    <m/>
    <m/>
    <m/>
    <m/>
    <m/>
    <m/>
    <m/>
    <m/>
    <m/>
  </r>
  <r>
    <n v="742"/>
    <d v="2025-03-23T00:00:00"/>
    <s v="ZBTO"/>
    <n v="9518625201"/>
    <n v="1"/>
    <s v="9518625201-1"/>
    <s v="Apr'25 "/>
    <x v="0"/>
    <m/>
    <x v="1"/>
    <x v="7"/>
    <n v="1000"/>
    <m/>
    <x v="1"/>
    <m/>
    <m/>
    <s v="Gujarat"/>
    <s v="West"/>
    <s v="RAJKOT"/>
    <s v="Coil"/>
    <n v="188891"/>
    <x v="47"/>
    <n v="2439203"/>
    <s v="CRCA COIL TSBSTA EL06 0.500X1160"/>
    <s v=""/>
    <s v=""/>
    <m/>
    <m/>
    <s v="Narrow"/>
    <s v="C01"/>
    <s v="TSBSTA"/>
    <s v="EL06"/>
    <n v="0.5"/>
    <n v="1160"/>
    <n v="0"/>
    <n v="296.99"/>
    <n v="147.345"/>
    <n v="149.64500000000001"/>
    <n v="123.645"/>
    <n v="123.00500000000001"/>
    <n v="33.344999999999999"/>
    <n v="0"/>
    <n v="0"/>
    <n v="0"/>
    <n v="0"/>
    <n v="0"/>
    <n v="0"/>
    <n v="0"/>
    <n v="0"/>
    <n v="0"/>
    <n v="0"/>
    <n v="0"/>
    <n v="0"/>
    <n v="26.64"/>
    <n v="0"/>
    <n v="0"/>
    <n v="0"/>
    <n v="0"/>
    <n v="0"/>
    <n v="0"/>
    <n v="26.64"/>
    <n v="26.64"/>
    <n v="0"/>
    <n v="26.64"/>
    <m/>
    <n v="0"/>
    <n v="297"/>
    <n v="0"/>
    <n v="0"/>
    <n v="0"/>
    <n v="297"/>
    <n v="0"/>
    <n v="297"/>
    <n v="0"/>
    <n v="0"/>
    <n v="0"/>
    <n v="0"/>
    <n v="297"/>
    <n v="0"/>
    <n v="18.02"/>
    <n v="0"/>
    <n v="0"/>
    <n v="0"/>
    <n v="18.02"/>
    <n v="0"/>
    <n v="0"/>
    <m/>
    <m/>
    <m/>
    <m/>
    <m/>
    <m/>
    <m/>
    <m/>
    <s v="1"/>
    <s v="1"/>
    <s v="1"/>
    <s v="0"/>
    <s v="1"/>
    <m/>
    <m/>
    <m/>
    <m/>
    <m/>
    <m/>
    <m/>
    <m/>
    <m/>
    <m/>
    <m/>
    <m/>
    <m/>
    <m/>
  </r>
  <r>
    <n v="742"/>
    <d v="2025-03-21T00:00:00"/>
    <s v="ZBTO"/>
    <n v="9518619991"/>
    <n v="1"/>
    <s v="9518619991-1"/>
    <s v="No Priority"/>
    <x v="0"/>
    <m/>
    <x v="1"/>
    <x v="2"/>
    <n v="2000"/>
    <m/>
    <x v="0"/>
    <m/>
    <s v="Exp BTF &lt;17MT"/>
    <s v="Chhattisgarh"/>
    <s v="East"/>
    <s v="RAIPUR"/>
    <s v="Sheet"/>
    <n v="931662"/>
    <x v="71"/>
    <n v="3239536"/>
    <s v="CRCA SHEET TATCRC SR16 0.350X900X2500"/>
    <s v=""/>
    <s v=""/>
    <m/>
    <m/>
    <s v="Narrow"/>
    <s v="C06"/>
    <s v="TATCRC"/>
    <s v="SR16"/>
    <n v="0.35"/>
    <n v="900"/>
    <n v="2500"/>
    <n v="42"/>
    <n v="37.71"/>
    <n v="4.29"/>
    <n v="4.29"/>
    <n v="4.29"/>
    <n v="4.29"/>
    <n v="0"/>
    <n v="0"/>
    <n v="0"/>
    <n v="0"/>
    <n v="0"/>
    <n v="0"/>
    <n v="0"/>
    <n v="0"/>
    <n v="0"/>
    <n v="0"/>
    <n v="0"/>
    <n v="0"/>
    <n v="0"/>
    <n v="0"/>
    <n v="0"/>
    <n v="0"/>
    <n v="0"/>
    <n v="0"/>
    <n v="0"/>
    <n v="0"/>
    <n v="0"/>
    <n v="0"/>
    <n v="0"/>
    <m/>
    <n v="0"/>
    <n v="42"/>
    <n v="42"/>
    <n v="0"/>
    <n v="0"/>
    <n v="0"/>
    <n v="0"/>
    <n v="42"/>
    <n v="0"/>
    <n v="42"/>
    <n v="0"/>
    <n v="0"/>
    <n v="0"/>
    <n v="0"/>
    <n v="37.709999999999994"/>
    <n v="37.709999999999994"/>
    <n v="0"/>
    <n v="0"/>
    <n v="0"/>
    <n v="0"/>
    <n v="0"/>
    <m/>
    <m/>
    <m/>
    <m/>
    <m/>
    <m/>
    <m/>
    <m/>
    <s v="0"/>
    <s v="1"/>
    <s v="1"/>
    <s v="1"/>
    <s v="1"/>
    <m/>
    <m/>
    <m/>
    <m/>
    <m/>
    <m/>
    <m/>
    <m/>
    <m/>
    <m/>
    <m/>
    <m/>
    <m/>
    <m/>
  </r>
  <r>
    <n v="742"/>
    <d v="2025-03-21T00:00:00"/>
    <s v="ZBTO"/>
    <n v="9518619991"/>
    <n v="2"/>
    <s v="9518619991-2"/>
    <s v="No Priority"/>
    <x v="0"/>
    <m/>
    <x v="1"/>
    <x v="2"/>
    <n v="2000"/>
    <m/>
    <x v="0"/>
    <m/>
    <m/>
    <s v="Chhattisgarh"/>
    <s v="East"/>
    <s v="RAIPUR"/>
    <s v="Sheet"/>
    <n v="931662"/>
    <x v="71"/>
    <n v="3239548"/>
    <s v="CRCA SHEET TATCRC SR16 0.400X900X2500"/>
    <s v=""/>
    <s v=""/>
    <m/>
    <m/>
    <s v="Narrow"/>
    <s v="C06"/>
    <s v="TATCRC"/>
    <s v="SR16"/>
    <n v="0.4"/>
    <n v="900"/>
    <n v="2500"/>
    <n v="21"/>
    <n v="0"/>
    <n v="21"/>
    <n v="-0.38"/>
    <n v="0"/>
    <n v="1.21"/>
    <n v="0"/>
    <n v="0"/>
    <n v="0"/>
    <n v="0"/>
    <n v="0"/>
    <n v="0"/>
    <n v="0"/>
    <n v="0"/>
    <n v="0"/>
    <n v="0"/>
    <n v="0"/>
    <n v="0"/>
    <n v="0"/>
    <n v="0"/>
    <n v="0"/>
    <n v="0"/>
    <n v="0"/>
    <n v="0"/>
    <n v="0"/>
    <n v="0"/>
    <n v="0"/>
    <n v="0"/>
    <n v="0"/>
    <m/>
    <n v="0"/>
    <n v="21"/>
    <n v="0"/>
    <n v="0"/>
    <n v="0"/>
    <n v="21"/>
    <n v="0"/>
    <n v="21"/>
    <n v="0"/>
    <n v="0"/>
    <n v="0"/>
    <n v="0"/>
    <n v="21"/>
    <n v="0"/>
    <n v="0"/>
    <n v="0"/>
    <n v="0"/>
    <n v="0"/>
    <n v="0"/>
    <n v="0"/>
    <n v="0"/>
    <m/>
    <m/>
    <m/>
    <m/>
    <m/>
    <m/>
    <m/>
    <m/>
    <s v="1"/>
    <s v="1"/>
    <s v="1"/>
    <s v="0"/>
    <s v="1"/>
    <m/>
    <m/>
    <m/>
    <m/>
    <m/>
    <m/>
    <m/>
    <m/>
    <m/>
    <m/>
    <m/>
    <m/>
    <m/>
    <m/>
  </r>
  <r>
    <n v="743"/>
    <d v="2025-03-18T00:00:00"/>
    <s v="ZBTO"/>
    <n v="9518610691"/>
    <n v="2"/>
    <s v="9518610691-2"/>
    <s v="No Priority"/>
    <x v="0"/>
    <m/>
    <x v="3"/>
    <x v="0"/>
    <n v="2000"/>
    <m/>
    <x v="0"/>
    <m/>
    <m/>
    <s v="Jammu &amp; Kashmir"/>
    <s v="North"/>
    <s v="SRINAGAR O.A."/>
    <s v="Coil"/>
    <n v="115190"/>
    <x v="72"/>
    <n v="3897428"/>
    <s v="GP COIL XXXGPH GPH3 0.300X900"/>
    <s v=""/>
    <s v=""/>
    <m/>
    <m/>
    <s v="Narrow"/>
    <s v="C05"/>
    <s v="XXXGPH"/>
    <s v="GPH3"/>
    <n v="0.3"/>
    <n v="900"/>
    <n v="0"/>
    <n v="84"/>
    <n v="17.77"/>
    <n v="66.23"/>
    <n v="66.23"/>
    <n v="0"/>
    <n v="8.6349999999999998"/>
    <n v="0"/>
    <n v="0"/>
    <n v="0"/>
    <n v="0"/>
    <n v="0"/>
    <n v="0"/>
    <n v="0"/>
    <n v="0"/>
    <n v="0"/>
    <n v="0"/>
    <n v="0"/>
    <n v="0"/>
    <n v="0"/>
    <n v="0"/>
    <n v="0"/>
    <n v="0"/>
    <n v="0"/>
    <n v="0"/>
    <n v="0"/>
    <n v="0"/>
    <n v="0"/>
    <n v="66"/>
    <n v="66"/>
    <m/>
    <n v="4.7"/>
    <n v="61.53"/>
    <n v="0"/>
    <n v="0"/>
    <n v="0"/>
    <n v="61.53"/>
    <n v="0"/>
    <n v="66.23"/>
    <n v="0"/>
    <n v="0"/>
    <n v="0"/>
    <n v="66.23"/>
    <n v="0"/>
    <n v="0"/>
    <n v="0"/>
    <n v="0"/>
    <n v="0"/>
    <n v="0"/>
    <n v="0"/>
    <n v="0"/>
    <n v="0"/>
    <m/>
    <m/>
    <m/>
    <m/>
    <m/>
    <m/>
    <m/>
    <m/>
    <s v="1"/>
    <s v="1"/>
    <s v="1"/>
    <s v="0"/>
    <s v="1"/>
    <m/>
    <m/>
    <m/>
    <m/>
    <m/>
    <m/>
    <m/>
    <m/>
    <m/>
    <m/>
    <m/>
    <m/>
    <m/>
    <m/>
  </r>
  <r>
    <n v="743"/>
    <d v="2025-03-18T00:00:00"/>
    <s v="ZBTO"/>
    <n v="9518610691"/>
    <n v="3"/>
    <s v="9518610691-3"/>
    <s v="No Priority"/>
    <x v="0"/>
    <m/>
    <x v="3"/>
    <x v="0"/>
    <n v="2000"/>
    <m/>
    <x v="0"/>
    <m/>
    <m/>
    <s v="Jammu &amp; Kashmir"/>
    <s v="North"/>
    <s v="SRINAGAR O.A."/>
    <s v="Coil"/>
    <n v="115190"/>
    <x v="72"/>
    <n v="3897429"/>
    <s v="GP COIL XXXGPH GPH3 0.350X900"/>
    <s v=""/>
    <s v=""/>
    <m/>
    <m/>
    <s v="Narrow"/>
    <s v="C05"/>
    <s v="XXXGPH"/>
    <s v="GPH3"/>
    <n v="0.35"/>
    <n v="900"/>
    <n v="0"/>
    <n v="126"/>
    <n v="0"/>
    <n v="126"/>
    <n v="126"/>
    <n v="0"/>
    <n v="9.5350000000000001"/>
    <n v="0"/>
    <n v="0"/>
    <n v="0"/>
    <n v="0"/>
    <n v="0"/>
    <n v="0"/>
    <n v="0"/>
    <n v="0"/>
    <n v="0"/>
    <n v="0"/>
    <n v="0"/>
    <n v="0"/>
    <n v="0"/>
    <n v="0"/>
    <n v="0"/>
    <n v="0"/>
    <n v="0"/>
    <n v="0"/>
    <n v="2.5649999999999999"/>
    <n v="2.5649999999999999"/>
    <n v="2.5649999999999999"/>
    <n v="126"/>
    <n v="128.565"/>
    <m/>
    <n v="0"/>
    <n v="126"/>
    <n v="0"/>
    <n v="0"/>
    <n v="0"/>
    <n v="126"/>
    <n v="0"/>
    <n v="126"/>
    <n v="0"/>
    <n v="0"/>
    <n v="0"/>
    <n v="0"/>
    <n v="126"/>
    <n v="0"/>
    <n v="0"/>
    <n v="0"/>
    <n v="0"/>
    <n v="0"/>
    <n v="0"/>
    <n v="0"/>
    <n v="0"/>
    <m/>
    <m/>
    <m/>
    <m/>
    <m/>
    <m/>
    <m/>
    <m/>
    <s v="1"/>
    <s v="1"/>
    <s v="1"/>
    <s v="0"/>
    <s v="1"/>
    <m/>
    <m/>
    <m/>
    <m/>
    <m/>
    <m/>
    <m/>
    <m/>
    <m/>
    <m/>
    <m/>
    <m/>
    <m/>
    <m/>
  </r>
  <r>
    <n v="743"/>
    <d v="2025-03-18T00:00:00"/>
    <s v="ZBTO"/>
    <n v="9518610691"/>
    <n v="4"/>
    <s v="9518610691-4"/>
    <s v="No Priority"/>
    <x v="0"/>
    <m/>
    <x v="3"/>
    <x v="0"/>
    <n v="2000"/>
    <m/>
    <x v="0"/>
    <m/>
    <m/>
    <s v="Jammu &amp; Kashmir"/>
    <s v="North"/>
    <s v="SRINAGAR O.A."/>
    <s v="Coil"/>
    <n v="115190"/>
    <x v="72"/>
    <n v="3897430"/>
    <s v="GP COIL XXXGPH GPH3 0.400X900"/>
    <s v=""/>
    <s v=""/>
    <m/>
    <m/>
    <s v="Narrow"/>
    <s v="C05"/>
    <s v="XXXGPH"/>
    <s v="GPH3"/>
    <n v="0.4"/>
    <n v="900"/>
    <n v="0"/>
    <n v="126"/>
    <n v="0"/>
    <n v="126"/>
    <n v="126"/>
    <n v="0"/>
    <n v="6.0549999999999997"/>
    <n v="0"/>
    <n v="0"/>
    <n v="0"/>
    <n v="0"/>
    <n v="0"/>
    <n v="0"/>
    <n v="0"/>
    <n v="0"/>
    <n v="0"/>
    <n v="0"/>
    <n v="0"/>
    <n v="0"/>
    <n v="0"/>
    <n v="0"/>
    <n v="0"/>
    <n v="0"/>
    <n v="0"/>
    <n v="0"/>
    <n v="0"/>
    <n v="0"/>
    <n v="0"/>
    <n v="126"/>
    <n v="126"/>
    <m/>
    <n v="0"/>
    <n v="126"/>
    <n v="0"/>
    <n v="0"/>
    <n v="0"/>
    <n v="126"/>
    <n v="0"/>
    <n v="126"/>
    <n v="0"/>
    <n v="0"/>
    <n v="0"/>
    <n v="0"/>
    <n v="126"/>
    <n v="0"/>
    <n v="0"/>
    <n v="0"/>
    <n v="0"/>
    <n v="0"/>
    <n v="0"/>
    <n v="0"/>
    <n v="0"/>
    <m/>
    <m/>
    <m/>
    <m/>
    <m/>
    <m/>
    <m/>
    <m/>
    <s v="1"/>
    <s v="1"/>
    <s v="1"/>
    <s v="0"/>
    <s v="1"/>
    <m/>
    <m/>
    <m/>
    <m/>
    <m/>
    <m/>
    <m/>
    <m/>
    <m/>
    <m/>
    <m/>
    <m/>
    <m/>
    <m/>
  </r>
  <r>
    <n v="743"/>
    <d v="2025-03-18T00:00:00"/>
    <s v="ZBTO"/>
    <n v="9518610691"/>
    <n v="5"/>
    <s v="9518610691-5"/>
    <s v="May'25"/>
    <x v="0"/>
    <m/>
    <x v="3"/>
    <x v="0"/>
    <n v="2000"/>
    <m/>
    <x v="1"/>
    <m/>
    <m/>
    <s v="Jammu &amp; Kashmir"/>
    <s v="North"/>
    <s v="SRINAGAR O.A."/>
    <s v="Coil"/>
    <n v="115190"/>
    <x v="72"/>
    <n v="3897501"/>
    <s v="GP COIL XXXGPH GPH3 0.500X900"/>
    <s v=""/>
    <s v=""/>
    <m/>
    <m/>
    <s v="Narrow"/>
    <s v="C05"/>
    <s v="XXXGPH"/>
    <s v="GPH3"/>
    <n v="0.5"/>
    <n v="900"/>
    <n v="0"/>
    <n v="126"/>
    <n v="0"/>
    <n v="126"/>
    <n v="126"/>
    <n v="0"/>
    <n v="28.67"/>
    <n v="0"/>
    <n v="0"/>
    <n v="0"/>
    <n v="0"/>
    <n v="0"/>
    <n v="0"/>
    <n v="20.03"/>
    <n v="0"/>
    <n v="0"/>
    <n v="0"/>
    <n v="0"/>
    <n v="0"/>
    <n v="0"/>
    <n v="0"/>
    <n v="0"/>
    <n v="0"/>
    <n v="0"/>
    <n v="0"/>
    <n v="0"/>
    <n v="20.03"/>
    <n v="20.03"/>
    <n v="126"/>
    <n v="146.03"/>
    <m/>
    <n v="0"/>
    <n v="126"/>
    <n v="0"/>
    <n v="0"/>
    <n v="0"/>
    <n v="126"/>
    <n v="0"/>
    <n v="0"/>
    <n v="0"/>
    <n v="0"/>
    <n v="0"/>
    <n v="0"/>
    <n v="0"/>
    <n v="126"/>
    <n v="0"/>
    <n v="0"/>
    <n v="0"/>
    <n v="0"/>
    <n v="0"/>
    <n v="0"/>
    <n v="0"/>
    <m/>
    <m/>
    <m/>
    <m/>
    <m/>
    <m/>
    <m/>
    <m/>
    <s v="1"/>
    <s v="1"/>
    <s v="1"/>
    <s v="0"/>
    <s v="1"/>
    <m/>
    <m/>
    <m/>
    <m/>
    <m/>
    <m/>
    <m/>
    <m/>
    <m/>
    <m/>
    <m/>
    <m/>
    <m/>
    <m/>
  </r>
  <r>
    <n v="742"/>
    <d v="2025-03-22T00:00:00"/>
    <s v="ZBTO"/>
    <n v="9518624222"/>
    <n v="4"/>
    <s v="9518624222-4"/>
    <s v="Apr'25 "/>
    <x v="0"/>
    <m/>
    <x v="1"/>
    <x v="1"/>
    <n v="2000"/>
    <m/>
    <x v="1"/>
    <m/>
    <m/>
    <s v="Delhi"/>
    <s v="North"/>
    <s v="NEWDELHI"/>
    <s v="Coil"/>
    <n v="184986"/>
    <x v="49"/>
    <n v="1804772"/>
    <s v="CRCA COIL TATXXD AU03 0.4X1250"/>
    <s v=""/>
    <s v=""/>
    <m/>
    <m/>
    <s v="Wider"/>
    <s v="C01"/>
    <s v="TATXXD"/>
    <s v="AU03"/>
    <n v="0.4"/>
    <n v="1250"/>
    <n v="0"/>
    <n v="87"/>
    <n v="0"/>
    <n v="87"/>
    <n v="73.819999999999993"/>
    <n v="87"/>
    <n v="87"/>
    <n v="0"/>
    <n v="0"/>
    <n v="0"/>
    <n v="0"/>
    <n v="0"/>
    <n v="0"/>
    <n v="0"/>
    <n v="0"/>
    <n v="0"/>
    <n v="0"/>
    <n v="0"/>
    <n v="0"/>
    <n v="0"/>
    <n v="0"/>
    <n v="0"/>
    <n v="0"/>
    <n v="0"/>
    <n v="0"/>
    <n v="0"/>
    <n v="0"/>
    <n v="0"/>
    <n v="0"/>
    <n v="0"/>
    <m/>
    <n v="0"/>
    <n v="87"/>
    <n v="87"/>
    <n v="0"/>
    <n v="0"/>
    <n v="0"/>
    <n v="0"/>
    <n v="87"/>
    <n v="0"/>
    <n v="87"/>
    <n v="0"/>
    <n v="0"/>
    <n v="0"/>
    <n v="0"/>
    <n v="0"/>
    <n v="0"/>
    <n v="0"/>
    <n v="0"/>
    <n v="0"/>
    <n v="0"/>
    <n v="0"/>
    <m/>
    <m/>
    <m/>
    <m/>
    <m/>
    <m/>
    <m/>
    <m/>
    <s v="0"/>
    <s v="1"/>
    <s v="1"/>
    <s v="1"/>
    <s v="1"/>
    <m/>
    <m/>
    <m/>
    <m/>
    <m/>
    <m/>
    <m/>
    <m/>
    <m/>
    <m/>
    <m/>
    <m/>
    <m/>
    <m/>
  </r>
  <r>
    <n v="744"/>
    <d v="2025-03-13T00:00:00"/>
    <s v="ZBTO"/>
    <n v="9518598889"/>
    <n v="2"/>
    <s v="9518598889-2"/>
    <s v="Apr'25 "/>
    <x v="0"/>
    <m/>
    <x v="2"/>
    <x v="3"/>
    <n v="1000"/>
    <m/>
    <x v="1"/>
    <m/>
    <m/>
    <s v="Jharkhand"/>
    <s v="TBSPL"/>
    <s v="TBL- BARA AGRICO"/>
    <s v="Coil"/>
    <n v="941597"/>
    <x v="39"/>
    <n v="3902332"/>
    <s v="PPGL C HARD Y550PL D0C9 0.50(TPT)X1220"/>
    <n v="150"/>
    <s v="RAL 7015 TSL 1805"/>
    <m/>
    <m/>
    <s v="Wider"/>
    <s v="B18"/>
    <s v="Y550PL"/>
    <s v="D0C9"/>
    <n v="0.5"/>
    <n v="1220"/>
    <n v="0"/>
    <n v="84"/>
    <n v="0"/>
    <n v="84"/>
    <n v="84"/>
    <n v="84"/>
    <n v="84"/>
    <n v="0"/>
    <n v="0"/>
    <n v="0"/>
    <n v="0"/>
    <n v="0"/>
    <n v="0"/>
    <n v="0"/>
    <n v="0"/>
    <n v="0"/>
    <n v="0"/>
    <n v="0"/>
    <n v="0"/>
    <n v="0"/>
    <n v="0"/>
    <n v="0"/>
    <n v="0"/>
    <n v="0"/>
    <n v="0"/>
    <n v="0"/>
    <n v="0"/>
    <n v="0"/>
    <n v="0"/>
    <n v="0"/>
    <m/>
    <n v="0"/>
    <n v="84"/>
    <n v="0"/>
    <n v="0"/>
    <n v="0"/>
    <n v="0"/>
    <n v="84"/>
    <n v="0"/>
    <n v="0"/>
    <n v="0"/>
    <n v="0"/>
    <n v="0"/>
    <n v="0"/>
    <n v="84"/>
    <n v="0"/>
    <n v="0"/>
    <n v="0"/>
    <n v="0"/>
    <n v="0"/>
    <n v="0"/>
    <n v="0"/>
    <m/>
    <m/>
    <m/>
    <m/>
    <m/>
    <m/>
    <m/>
    <m/>
    <s v="1"/>
    <s v="1"/>
    <s v="1"/>
    <s v="1"/>
    <s v="0"/>
    <m/>
    <m/>
    <m/>
    <m/>
    <m/>
    <m/>
    <m/>
    <m/>
    <m/>
    <m/>
    <m/>
    <m/>
    <m/>
    <m/>
  </r>
  <r>
    <n v="744"/>
    <d v="2025-03-20T00:00:00"/>
    <s v="ZBTO"/>
    <n v="9518617046"/>
    <n v="1"/>
    <s v="9518617046-1"/>
    <s v="No Priority"/>
    <x v="0"/>
    <m/>
    <x v="2"/>
    <x v="3"/>
    <n v="1000"/>
    <m/>
    <x v="0"/>
    <m/>
    <m/>
    <s v="Jharkhand"/>
    <s v="TBSPL"/>
    <s v="TBL- BARA AGRICO"/>
    <s v="Coil"/>
    <n v="941597"/>
    <x v="39"/>
    <n v="3902332"/>
    <s v="PPGL C HARD Y550PL D0C9 0.50(TPT)X1220"/>
    <n v="150"/>
    <s v="RAL 7024 TSL 1806"/>
    <m/>
    <m/>
    <s v="Wider"/>
    <s v="B18"/>
    <s v="Y550PL"/>
    <s v="D0C9"/>
    <n v="0.5"/>
    <n v="1220"/>
    <n v="0"/>
    <n v="56"/>
    <n v="0"/>
    <n v="56"/>
    <n v="56"/>
    <n v="0"/>
    <n v="13.135"/>
    <n v="0"/>
    <n v="0"/>
    <n v="0"/>
    <n v="0"/>
    <n v="0"/>
    <n v="0"/>
    <n v="0"/>
    <n v="6.3050000000000006"/>
    <n v="0"/>
    <n v="0"/>
    <n v="0"/>
    <n v="0"/>
    <n v="0"/>
    <n v="0"/>
    <n v="0"/>
    <n v="0"/>
    <n v="0"/>
    <n v="0"/>
    <n v="0"/>
    <n v="6.3050000000000006"/>
    <n v="6.3050000000000006"/>
    <n v="0"/>
    <n v="6.3050000000000006"/>
    <m/>
    <n v="0"/>
    <n v="56"/>
    <n v="0"/>
    <n v="0"/>
    <n v="56"/>
    <n v="0"/>
    <n v="0"/>
    <n v="56"/>
    <n v="0"/>
    <n v="0"/>
    <n v="56"/>
    <n v="0"/>
    <n v="0"/>
    <n v="0"/>
    <n v="0"/>
    <n v="0"/>
    <n v="0"/>
    <n v="0"/>
    <n v="0"/>
    <n v="0"/>
    <n v="0"/>
    <m/>
    <m/>
    <m/>
    <m/>
    <m/>
    <m/>
    <m/>
    <m/>
    <s v="1"/>
    <s v="1"/>
    <s v="0"/>
    <s v="1"/>
    <s v="1"/>
    <m/>
    <m/>
    <m/>
    <m/>
    <m/>
    <m/>
    <m/>
    <m/>
    <m/>
    <m/>
    <m/>
    <m/>
    <m/>
    <m/>
  </r>
  <r>
    <n v="744"/>
    <d v="2025-03-20T00:00:00"/>
    <s v="ZBTO"/>
    <n v="9518617046"/>
    <n v="2"/>
    <s v="9518617046-2"/>
    <s v="Apr'25 "/>
    <x v="0"/>
    <m/>
    <x v="2"/>
    <x v="3"/>
    <n v="1000"/>
    <m/>
    <x v="1"/>
    <m/>
    <m/>
    <s v="Jharkhand"/>
    <s v="TBSPL"/>
    <s v="TBL- BARA AGRICO"/>
    <s v="Coil"/>
    <n v="941597"/>
    <x v="39"/>
    <n v="3902332"/>
    <s v="PPGL C HARD Y550PL D0C9 0.50(TPT)X1220"/>
    <n v="150"/>
    <s v="RAL 6011 TSL 1810"/>
    <m/>
    <m/>
    <s v="Wider"/>
    <s v="B18"/>
    <s v="Y550PL"/>
    <s v="D0C9"/>
    <n v="0.5"/>
    <n v="1220"/>
    <n v="0"/>
    <n v="28"/>
    <n v="0"/>
    <n v="28"/>
    <n v="28"/>
    <n v="28"/>
    <n v="28"/>
    <n v="0"/>
    <n v="0"/>
    <n v="0"/>
    <n v="0"/>
    <n v="0"/>
    <n v="0"/>
    <n v="0"/>
    <n v="0"/>
    <n v="0"/>
    <n v="0"/>
    <n v="0"/>
    <n v="0"/>
    <n v="0"/>
    <n v="0"/>
    <n v="0"/>
    <n v="0"/>
    <n v="0"/>
    <n v="0"/>
    <n v="0"/>
    <n v="0"/>
    <n v="0"/>
    <n v="0"/>
    <n v="0"/>
    <m/>
    <n v="0"/>
    <n v="28"/>
    <n v="0"/>
    <n v="0"/>
    <n v="0"/>
    <n v="28"/>
    <n v="0"/>
    <n v="28"/>
    <n v="0"/>
    <n v="0"/>
    <n v="0"/>
    <n v="0"/>
    <n v="28"/>
    <n v="0"/>
    <n v="0"/>
    <n v="0"/>
    <n v="0"/>
    <n v="0"/>
    <n v="0"/>
    <n v="0"/>
    <n v="0"/>
    <m/>
    <m/>
    <m/>
    <m/>
    <m/>
    <m/>
    <m/>
    <m/>
    <s v="1"/>
    <s v="1"/>
    <s v="1"/>
    <s v="0"/>
    <s v="1"/>
    <m/>
    <m/>
    <m/>
    <m/>
    <m/>
    <m/>
    <m/>
    <m/>
    <m/>
    <m/>
    <m/>
    <m/>
    <m/>
    <m/>
  </r>
  <r>
    <n v="744"/>
    <d v="2025-03-20T00:00:00"/>
    <s v="ZBTO"/>
    <n v="9518617046"/>
    <n v="3"/>
    <s v="9518617046-3"/>
    <s v="No Priority"/>
    <x v="0"/>
    <m/>
    <x v="2"/>
    <x v="3"/>
    <n v="1000"/>
    <m/>
    <x v="0"/>
    <m/>
    <m/>
    <s v="Jharkhand"/>
    <s v="TBSPL"/>
    <s v="TBL- BARA AGRICO"/>
    <s v="Coil"/>
    <n v="941597"/>
    <x v="39"/>
    <n v="3902332"/>
    <s v="PPGL C HARD Y550PL D0C9 0.50(TPT)X1220"/>
    <n v="150"/>
    <s v="RAL 9002 TSL 1801"/>
    <m/>
    <m/>
    <s v="Wider"/>
    <s v="B18"/>
    <s v="Y550PL"/>
    <s v="D0C9"/>
    <n v="0.5"/>
    <n v="1220"/>
    <n v="0"/>
    <n v="168"/>
    <n v="155.405"/>
    <n v="12.595000000000001"/>
    <n v="-0.88600000000000001"/>
    <n v="0"/>
    <n v="12.595000000000001"/>
    <n v="0"/>
    <n v="0"/>
    <n v="0"/>
    <n v="0"/>
    <n v="0"/>
    <n v="0"/>
    <n v="0"/>
    <n v="0"/>
    <n v="0"/>
    <n v="0"/>
    <n v="0"/>
    <n v="0"/>
    <n v="0"/>
    <n v="0"/>
    <n v="0"/>
    <n v="0"/>
    <n v="0"/>
    <n v="0"/>
    <n v="0"/>
    <n v="0"/>
    <n v="0"/>
    <n v="0"/>
    <n v="0"/>
    <m/>
    <n v="0"/>
    <n v="168"/>
    <n v="0"/>
    <n v="0"/>
    <n v="168"/>
    <n v="0"/>
    <n v="0"/>
    <n v="168"/>
    <n v="0"/>
    <n v="0"/>
    <n v="168"/>
    <n v="0"/>
    <n v="0"/>
    <n v="0"/>
    <n v="108.00500000000001"/>
    <n v="0"/>
    <n v="0"/>
    <n v="108.00500000000001"/>
    <n v="0"/>
    <n v="0"/>
    <n v="0"/>
    <m/>
    <m/>
    <m/>
    <m/>
    <m/>
    <m/>
    <m/>
    <m/>
    <s v="1"/>
    <s v="1"/>
    <s v="0"/>
    <s v="1"/>
    <s v="1"/>
    <m/>
    <m/>
    <m/>
    <m/>
    <m/>
    <m/>
    <m/>
    <m/>
    <m/>
    <m/>
    <m/>
    <m/>
    <m/>
    <m/>
  </r>
  <r>
    <n v="744"/>
    <d v="2025-03-20T00:00:00"/>
    <s v="ZBTO"/>
    <n v="9518617046"/>
    <n v="4"/>
    <s v="9518617046-4"/>
    <s v="No Priority"/>
    <x v="0"/>
    <m/>
    <x v="2"/>
    <x v="3"/>
    <n v="1000"/>
    <m/>
    <x v="0"/>
    <m/>
    <m/>
    <s v="Jharkhand"/>
    <s v="TBSPL"/>
    <s v="TBL- BARA AGRICO"/>
    <s v="Coil"/>
    <n v="941597"/>
    <x v="39"/>
    <n v="3902332"/>
    <s v="PPGL C HARD Y550PL D0C9 0.50(TPT)X1220"/>
    <n v="150"/>
    <s v="RAL 7024 TSL 1806"/>
    <m/>
    <m/>
    <s v="Wider"/>
    <s v="B18"/>
    <s v="Y550PL"/>
    <s v="D0C9"/>
    <n v="0.5"/>
    <n v="1220"/>
    <n v="0"/>
    <n v="56"/>
    <n v="8.89"/>
    <n v="47.11"/>
    <n v="45.71"/>
    <n v="47.11"/>
    <n v="2.87"/>
    <n v="0"/>
    <n v="0"/>
    <n v="0"/>
    <n v="0"/>
    <n v="0"/>
    <n v="0"/>
    <n v="0"/>
    <n v="0"/>
    <n v="0"/>
    <n v="0"/>
    <n v="0"/>
    <n v="0"/>
    <n v="0"/>
    <n v="0"/>
    <n v="0"/>
    <n v="0"/>
    <n v="0"/>
    <n v="0"/>
    <n v="0"/>
    <n v="0"/>
    <n v="0"/>
    <n v="0"/>
    <n v="0"/>
    <m/>
    <n v="0"/>
    <n v="56"/>
    <n v="0"/>
    <n v="0"/>
    <n v="56"/>
    <n v="0"/>
    <n v="0"/>
    <n v="56"/>
    <n v="0"/>
    <n v="0"/>
    <n v="56"/>
    <n v="0"/>
    <n v="0"/>
    <n v="0"/>
    <n v="0"/>
    <n v="0"/>
    <n v="0"/>
    <n v="0"/>
    <n v="0"/>
    <n v="0"/>
    <n v="0"/>
    <m/>
    <m/>
    <m/>
    <m/>
    <m/>
    <m/>
    <m/>
    <m/>
    <s v="1"/>
    <s v="1"/>
    <s v="0"/>
    <s v="1"/>
    <s v="1"/>
    <m/>
    <m/>
    <m/>
    <m/>
    <m/>
    <m/>
    <m/>
    <m/>
    <m/>
    <m/>
    <m/>
    <m/>
    <m/>
    <m/>
  </r>
  <r>
    <n v="743"/>
    <d v="2025-03-22T00:00:00"/>
    <s v="ZBTO"/>
    <n v="9518624203"/>
    <n v="1"/>
    <s v="9518624203-1"/>
    <s v="No Priority"/>
    <x v="0"/>
    <m/>
    <x v="4"/>
    <x v="3"/>
    <n v="1000"/>
    <m/>
    <x v="0"/>
    <m/>
    <m/>
    <s v="Jharkhand"/>
    <s v="TBSPL"/>
    <s v="TBL- BARA AGRICO"/>
    <s v="Coil"/>
    <n v="942283"/>
    <x v="39"/>
    <n v="3239573"/>
    <s v="GL C YS550 H6GL 0.42BMT(0.47TCT)X1220"/>
    <n v="150"/>
    <s v=""/>
    <m/>
    <m/>
    <s v="Wider"/>
    <s v="B04"/>
    <s v="Y550GL"/>
    <s v="H6GL"/>
    <n v="0.42"/>
    <n v="1220"/>
    <n v="0"/>
    <n v="84"/>
    <n v="50.41"/>
    <n v="33.590000000000003"/>
    <n v="5.9649999999999999"/>
    <n v="33.590000000000003"/>
    <n v="6.1"/>
    <n v="0"/>
    <n v="0"/>
    <n v="0"/>
    <n v="0"/>
    <n v="0"/>
    <n v="0"/>
    <n v="0"/>
    <n v="0"/>
    <n v="0"/>
    <n v="0"/>
    <n v="0"/>
    <n v="0"/>
    <n v="0"/>
    <n v="0"/>
    <n v="0"/>
    <n v="0"/>
    <n v="0"/>
    <n v="0"/>
    <n v="0"/>
    <n v="0"/>
    <n v="0"/>
    <n v="0"/>
    <n v="0"/>
    <m/>
    <n v="0"/>
    <n v="84"/>
    <n v="0"/>
    <n v="84"/>
    <n v="0"/>
    <n v="0"/>
    <n v="0"/>
    <n v="84"/>
    <n v="0"/>
    <n v="84"/>
    <n v="0"/>
    <n v="0"/>
    <n v="0"/>
    <n v="0"/>
    <n v="27.29"/>
    <n v="0"/>
    <n v="27.29"/>
    <n v="0"/>
    <n v="0"/>
    <n v="0"/>
    <n v="0"/>
    <m/>
    <m/>
    <m/>
    <m/>
    <m/>
    <m/>
    <m/>
    <m/>
    <s v="1"/>
    <s v="0"/>
    <s v="1"/>
    <s v="1"/>
    <s v="1"/>
    <m/>
    <m/>
    <m/>
    <m/>
    <m/>
    <m/>
    <m/>
    <m/>
    <m/>
    <m/>
    <m/>
    <m/>
    <m/>
    <m/>
  </r>
  <r>
    <n v="743"/>
    <d v="2025-03-22T00:00:00"/>
    <s v="ZBTO"/>
    <n v="9518624203"/>
    <n v="3"/>
    <s v="9518624203-3"/>
    <s v="May'25"/>
    <x v="0"/>
    <m/>
    <x v="4"/>
    <x v="3"/>
    <n v="1000"/>
    <m/>
    <x v="1"/>
    <m/>
    <m/>
    <s v="Jharkhand"/>
    <s v="TBSPL"/>
    <s v="TBL- BARA AGRICO"/>
    <s v="Coil"/>
    <n v="942283"/>
    <x v="39"/>
    <n v="3239573"/>
    <s v="GL C YS550 H6GL 0.42BMT(0.47TCT)X1220"/>
    <n v="150"/>
    <s v=""/>
    <m/>
    <m/>
    <s v="Wider"/>
    <s v="B04"/>
    <s v="Y550GL"/>
    <s v="H6GL"/>
    <n v="0.42"/>
    <n v="1220"/>
    <n v="0"/>
    <n v="224"/>
    <n v="163.405"/>
    <n v="60.594999999999999"/>
    <n v="3.1749999999999998"/>
    <n v="32.534999999999997"/>
    <n v="29.75"/>
    <n v="0"/>
    <n v="0"/>
    <n v="0"/>
    <n v="0"/>
    <n v="0"/>
    <n v="0"/>
    <n v="0"/>
    <n v="28.060000000000002"/>
    <n v="0"/>
    <n v="0"/>
    <n v="0"/>
    <n v="0"/>
    <n v="0"/>
    <n v="0"/>
    <n v="0"/>
    <n v="0"/>
    <n v="0"/>
    <n v="0"/>
    <n v="0"/>
    <n v="28.060000000000002"/>
    <n v="28.060000000000002"/>
    <n v="0"/>
    <n v="28.060000000000002"/>
    <m/>
    <n v="0"/>
    <n v="224"/>
    <n v="0"/>
    <n v="224"/>
    <n v="0"/>
    <n v="0"/>
    <n v="0"/>
    <n v="224"/>
    <n v="0"/>
    <n v="224"/>
    <n v="0"/>
    <n v="0"/>
    <n v="0"/>
    <n v="0"/>
    <n v="64.415000000000006"/>
    <n v="0"/>
    <n v="64.415000000000006"/>
    <n v="0"/>
    <n v="0"/>
    <n v="0"/>
    <n v="0"/>
    <m/>
    <m/>
    <m/>
    <m/>
    <m/>
    <m/>
    <m/>
    <m/>
    <s v="1"/>
    <s v="0"/>
    <s v="1"/>
    <s v="1"/>
    <s v="1"/>
    <m/>
    <m/>
    <m/>
    <m/>
    <m/>
    <m/>
    <m/>
    <m/>
    <m/>
    <m/>
    <m/>
    <m/>
    <m/>
    <m/>
  </r>
  <r>
    <n v="743"/>
    <d v="2025-03-22T00:00:00"/>
    <s v="ZBTO"/>
    <n v="9518624203"/>
    <n v="4"/>
    <s v="9518624203-4"/>
    <s v="Apr'25 "/>
    <x v="0"/>
    <m/>
    <x v="4"/>
    <x v="3"/>
    <n v="1000"/>
    <m/>
    <x v="1"/>
    <m/>
    <m/>
    <s v="Jharkhand"/>
    <s v="TBSPL"/>
    <s v="TBL- BARA AGRICO"/>
    <s v="Coil"/>
    <n v="942283"/>
    <x v="39"/>
    <n v="1881969"/>
    <s v="GL C YS550 H6GL 0.45BMT(0.50TCT)X1220"/>
    <n v="150"/>
    <s v=""/>
    <m/>
    <m/>
    <s v="Wider"/>
    <s v="B04"/>
    <s v="Y550GL"/>
    <s v="H6GL"/>
    <n v="0.45"/>
    <n v="1220"/>
    <n v="0"/>
    <n v="224"/>
    <n v="21.66"/>
    <n v="202.34"/>
    <n v="174.33"/>
    <n v="152.66500000000002"/>
    <n v="60.524999999999999"/>
    <n v="0"/>
    <n v="0"/>
    <n v="0"/>
    <n v="0"/>
    <n v="0"/>
    <n v="0"/>
    <n v="0"/>
    <n v="18.05"/>
    <n v="0"/>
    <n v="0"/>
    <n v="0"/>
    <n v="0"/>
    <n v="0"/>
    <n v="0"/>
    <n v="0"/>
    <n v="0"/>
    <n v="0"/>
    <n v="0"/>
    <n v="31.625"/>
    <n v="49.674999999999997"/>
    <n v="49.674999999999997"/>
    <n v="0"/>
    <n v="49.674999999999997"/>
    <m/>
    <n v="0"/>
    <n v="224"/>
    <n v="0"/>
    <n v="0"/>
    <n v="0"/>
    <n v="224"/>
    <n v="0"/>
    <n v="224"/>
    <n v="0"/>
    <n v="0"/>
    <n v="0"/>
    <n v="224"/>
    <n v="0"/>
    <n v="0"/>
    <n v="21.66"/>
    <n v="0"/>
    <n v="0"/>
    <n v="0"/>
    <n v="21.66"/>
    <n v="0"/>
    <n v="0"/>
    <m/>
    <m/>
    <m/>
    <m/>
    <m/>
    <m/>
    <m/>
    <m/>
    <s v="1"/>
    <s v="1"/>
    <s v="1"/>
    <s v="0"/>
    <s v="1"/>
    <m/>
    <m/>
    <m/>
    <m/>
    <m/>
    <m/>
    <m/>
    <m/>
    <m/>
    <m/>
    <m/>
    <m/>
    <m/>
    <m/>
  </r>
  <r>
    <n v="743"/>
    <d v="2025-03-22T00:00:00"/>
    <s v="ZBTO"/>
    <n v="9518624203"/>
    <n v="5"/>
    <s v="9518624203-5"/>
    <s v="Apr'25 "/>
    <x v="0"/>
    <m/>
    <x v="4"/>
    <x v="3"/>
    <n v="1000"/>
    <m/>
    <x v="1"/>
    <m/>
    <m/>
    <s v="Jharkhand"/>
    <s v="TBSPL"/>
    <s v="TBL- BARA AGRICO"/>
    <s v="Coil"/>
    <n v="942283"/>
    <x v="39"/>
    <n v="1881969"/>
    <s v="GL C YS550 H6GL 0.45BMT(0.50TCT)X1220"/>
    <n v="150"/>
    <s v=""/>
    <m/>
    <m/>
    <s v="Wider"/>
    <s v="B04"/>
    <s v="Y550GL"/>
    <s v="H6GL"/>
    <n v="0.45"/>
    <n v="1220"/>
    <n v="0"/>
    <n v="224"/>
    <n v="0"/>
    <n v="224"/>
    <n v="224"/>
    <n v="197"/>
    <n v="224"/>
    <n v="0"/>
    <n v="0"/>
    <n v="0"/>
    <n v="0"/>
    <n v="0"/>
    <n v="0"/>
    <n v="0"/>
    <n v="11.84"/>
    <n v="0"/>
    <n v="0"/>
    <n v="0"/>
    <n v="0"/>
    <n v="0"/>
    <n v="0"/>
    <n v="0"/>
    <n v="0"/>
    <n v="0"/>
    <n v="0"/>
    <n v="15.16"/>
    <n v="27"/>
    <n v="27"/>
    <n v="0"/>
    <n v="27"/>
    <m/>
    <n v="0"/>
    <n v="224"/>
    <n v="0"/>
    <n v="224"/>
    <n v="0"/>
    <n v="0"/>
    <n v="0"/>
    <n v="224"/>
    <n v="0"/>
    <n v="0"/>
    <n v="224"/>
    <n v="0"/>
    <n v="0"/>
    <n v="0"/>
    <n v="0"/>
    <n v="0"/>
    <n v="0"/>
    <n v="0"/>
    <n v="0"/>
    <n v="0"/>
    <n v="0"/>
    <m/>
    <m/>
    <m/>
    <m/>
    <m/>
    <m/>
    <m/>
    <m/>
    <s v="1"/>
    <s v="0"/>
    <s v="1"/>
    <s v="1"/>
    <s v="1"/>
    <m/>
    <m/>
    <m/>
    <m/>
    <m/>
    <m/>
    <m/>
    <m/>
    <m/>
    <m/>
    <m/>
    <m/>
    <m/>
    <m/>
  </r>
  <r>
    <n v="743"/>
    <d v="2025-03-22T00:00:00"/>
    <s v="ZBTO"/>
    <n v="9518624203"/>
    <n v="6"/>
    <s v="9518624203-6"/>
    <s v="Apr'25 "/>
    <x v="0"/>
    <m/>
    <x v="4"/>
    <x v="3"/>
    <n v="1000"/>
    <m/>
    <x v="1"/>
    <m/>
    <m/>
    <s v="Jharkhand"/>
    <s v="TBSPL"/>
    <s v="TBL- BARA AGRICO"/>
    <s v="Coil"/>
    <n v="942283"/>
    <x v="39"/>
    <n v="3239573"/>
    <s v="GL C YS550 H6GL 0.42BMT(0.47TCT)X1220"/>
    <n v="150"/>
    <s v=""/>
    <m/>
    <m/>
    <s v="Wider"/>
    <s v="B04"/>
    <s v="Y550GL"/>
    <s v="H6GL"/>
    <n v="0.42"/>
    <n v="1220"/>
    <n v="0"/>
    <n v="196"/>
    <n v="0"/>
    <n v="196"/>
    <n v="196"/>
    <n v="196"/>
    <n v="196"/>
    <n v="0"/>
    <n v="0"/>
    <n v="0"/>
    <n v="0"/>
    <n v="0"/>
    <n v="0"/>
    <n v="0"/>
    <n v="0"/>
    <n v="0"/>
    <n v="0"/>
    <n v="0"/>
    <n v="0"/>
    <n v="0"/>
    <n v="0"/>
    <n v="0"/>
    <n v="0"/>
    <n v="0"/>
    <n v="0"/>
    <n v="0"/>
    <n v="0"/>
    <n v="0"/>
    <n v="0"/>
    <n v="0"/>
    <m/>
    <n v="0"/>
    <n v="196"/>
    <n v="0"/>
    <n v="0"/>
    <n v="196"/>
    <n v="0"/>
    <n v="0"/>
    <n v="196"/>
    <n v="0"/>
    <n v="0"/>
    <n v="0"/>
    <n v="196"/>
    <n v="0"/>
    <n v="0"/>
    <n v="0"/>
    <n v="0"/>
    <n v="0"/>
    <n v="0"/>
    <n v="0"/>
    <n v="0"/>
    <n v="0"/>
    <m/>
    <m/>
    <m/>
    <m/>
    <m/>
    <m/>
    <m/>
    <m/>
    <s v="1"/>
    <s v="1"/>
    <s v="0"/>
    <s v="1"/>
    <s v="1"/>
    <m/>
    <m/>
    <m/>
    <m/>
    <m/>
    <m/>
    <m/>
    <m/>
    <m/>
    <m/>
    <m/>
    <m/>
    <m/>
    <m/>
  </r>
  <r>
    <n v="743"/>
    <d v="2025-03-22T00:00:00"/>
    <s v="ZBTO"/>
    <n v="9518624203"/>
    <n v="7"/>
    <s v="9518624203-7"/>
    <s v="Apr'25 "/>
    <x v="0"/>
    <m/>
    <x v="4"/>
    <x v="3"/>
    <n v="1000"/>
    <m/>
    <x v="1"/>
    <m/>
    <m/>
    <s v="Jharkhand"/>
    <s v="TBSPL"/>
    <s v="TBL- BARA AGRICO"/>
    <s v="Coil"/>
    <n v="942283"/>
    <x v="39"/>
    <n v="1881969"/>
    <s v="GL C YS550 H6GL 0.45BMT(0.50TCT)X1220"/>
    <n v="150"/>
    <s v=""/>
    <m/>
    <m/>
    <s v="Wider"/>
    <s v="B04"/>
    <s v="Y550GL"/>
    <s v="H6GL"/>
    <n v="0.45"/>
    <n v="1220"/>
    <n v="0"/>
    <n v="224"/>
    <n v="0"/>
    <n v="224"/>
    <n v="224"/>
    <n v="224"/>
    <n v="224"/>
    <n v="0"/>
    <n v="0"/>
    <n v="0"/>
    <n v="0"/>
    <n v="0"/>
    <n v="0"/>
    <n v="0"/>
    <n v="0"/>
    <n v="0"/>
    <n v="0"/>
    <n v="0"/>
    <n v="0"/>
    <n v="0"/>
    <n v="0"/>
    <n v="0"/>
    <n v="0"/>
    <n v="0"/>
    <n v="0"/>
    <n v="0"/>
    <n v="0"/>
    <n v="0"/>
    <n v="0"/>
    <n v="0"/>
    <m/>
    <n v="0"/>
    <n v="224"/>
    <n v="0"/>
    <n v="0"/>
    <n v="0"/>
    <n v="224"/>
    <n v="0"/>
    <n v="224"/>
    <n v="0"/>
    <n v="0"/>
    <n v="0"/>
    <n v="224"/>
    <n v="0"/>
    <n v="0"/>
    <n v="0"/>
    <n v="0"/>
    <n v="0"/>
    <n v="0"/>
    <n v="0"/>
    <n v="0"/>
    <n v="0"/>
    <m/>
    <m/>
    <m/>
    <m/>
    <m/>
    <m/>
    <m/>
    <m/>
    <s v="1"/>
    <s v="1"/>
    <s v="1"/>
    <s v="0"/>
    <s v="1"/>
    <m/>
    <m/>
    <m/>
    <m/>
    <m/>
    <m/>
    <m/>
    <m/>
    <m/>
    <m/>
    <m/>
    <m/>
    <m/>
    <m/>
  </r>
  <r>
    <n v="743"/>
    <d v="2025-03-22T00:00:00"/>
    <s v="ZBTO"/>
    <n v="9518624203"/>
    <n v="8"/>
    <s v="9518624203-8"/>
    <s v="Apr'25 "/>
    <x v="0"/>
    <m/>
    <x v="4"/>
    <x v="3"/>
    <n v="1000"/>
    <m/>
    <x v="1"/>
    <m/>
    <m/>
    <s v="Jharkhand"/>
    <s v="TBSPL"/>
    <s v="TBL- BARA AGRICO"/>
    <s v="Coil"/>
    <n v="942283"/>
    <x v="39"/>
    <n v="1881969"/>
    <s v="GL C YS550 H6GL 0.45BMT(0.50TCT)X1220"/>
    <n v="150"/>
    <s v=""/>
    <m/>
    <m/>
    <s v="Wider"/>
    <s v="B04"/>
    <s v="Y550GL"/>
    <s v="H6GL"/>
    <n v="0.45"/>
    <n v="1220"/>
    <n v="0"/>
    <n v="224"/>
    <n v="0"/>
    <n v="224"/>
    <n v="224"/>
    <n v="224"/>
    <n v="224"/>
    <n v="0"/>
    <n v="0"/>
    <n v="0"/>
    <n v="0"/>
    <n v="0"/>
    <n v="0"/>
    <n v="0"/>
    <n v="0"/>
    <n v="0"/>
    <n v="0"/>
    <n v="0"/>
    <n v="0"/>
    <n v="0"/>
    <n v="0"/>
    <n v="0"/>
    <n v="0"/>
    <n v="0"/>
    <n v="0"/>
    <n v="0"/>
    <n v="0"/>
    <n v="0"/>
    <n v="0"/>
    <n v="0"/>
    <m/>
    <n v="0"/>
    <n v="224"/>
    <n v="0"/>
    <n v="0"/>
    <n v="0"/>
    <n v="0"/>
    <n v="224"/>
    <n v="0"/>
    <n v="0"/>
    <n v="0"/>
    <n v="0"/>
    <n v="0"/>
    <n v="0"/>
    <n v="224"/>
    <n v="0"/>
    <n v="0"/>
    <n v="0"/>
    <n v="0"/>
    <n v="0"/>
    <n v="0"/>
    <n v="0"/>
    <m/>
    <m/>
    <m/>
    <m/>
    <m/>
    <m/>
    <m/>
    <m/>
    <s v="1"/>
    <s v="1"/>
    <s v="1"/>
    <s v="1"/>
    <s v="0"/>
    <m/>
    <m/>
    <m/>
    <m/>
    <m/>
    <m/>
    <m/>
    <m/>
    <m/>
    <m/>
    <m/>
    <m/>
    <m/>
    <m/>
  </r>
  <r>
    <n v="743"/>
    <d v="2025-03-22T00:00:00"/>
    <s v="ZBTO"/>
    <n v="9518624203"/>
    <n v="9"/>
    <s v="9518624203-9"/>
    <s v="No Priority"/>
    <x v="0"/>
    <m/>
    <x v="4"/>
    <x v="3"/>
    <n v="1000"/>
    <m/>
    <x v="0"/>
    <m/>
    <m/>
    <s v="Jharkhand"/>
    <s v="TBSPL"/>
    <s v="TBL- BARA AGRICO"/>
    <s v="Coil"/>
    <n v="942283"/>
    <x v="39"/>
    <n v="1881969"/>
    <s v="GL C YS550 H6GL 0.45BMT(0.50TCT)X1220"/>
    <n v="150"/>
    <s v=""/>
    <m/>
    <m/>
    <s v="Wider"/>
    <s v="B04"/>
    <s v="Y550GL"/>
    <s v="H6GL"/>
    <n v="0.45"/>
    <n v="1220"/>
    <n v="0"/>
    <n v="224"/>
    <n v="153.74"/>
    <n v="70.260000000000005"/>
    <n v="14.71"/>
    <n v="70.260000000000005"/>
    <n v="16.02"/>
    <n v="0"/>
    <n v="0"/>
    <n v="0"/>
    <n v="0"/>
    <n v="0"/>
    <n v="0"/>
    <n v="0"/>
    <n v="0"/>
    <n v="0"/>
    <n v="0"/>
    <n v="0"/>
    <n v="0"/>
    <n v="0"/>
    <n v="0"/>
    <n v="0"/>
    <n v="0"/>
    <n v="0"/>
    <n v="0"/>
    <n v="0"/>
    <n v="0"/>
    <n v="0"/>
    <n v="0"/>
    <n v="0"/>
    <m/>
    <n v="42.39"/>
    <n v="181.61"/>
    <n v="0"/>
    <n v="181.61"/>
    <n v="0"/>
    <n v="0"/>
    <n v="0"/>
    <n v="224"/>
    <n v="0"/>
    <n v="0"/>
    <n v="224"/>
    <n v="0"/>
    <n v="0"/>
    <n v="0"/>
    <n v="0"/>
    <n v="0"/>
    <n v="0"/>
    <n v="0"/>
    <n v="0"/>
    <n v="0"/>
    <n v="0"/>
    <m/>
    <m/>
    <m/>
    <m/>
    <m/>
    <m/>
    <m/>
    <m/>
    <s v="1"/>
    <s v="0"/>
    <s v="1"/>
    <s v="1"/>
    <s v="1"/>
    <m/>
    <m/>
    <m/>
    <m/>
    <m/>
    <m/>
    <m/>
    <m/>
    <m/>
    <m/>
    <m/>
    <m/>
    <m/>
    <m/>
  </r>
  <r>
    <n v="743"/>
    <d v="2025-03-22T00:00:00"/>
    <s v="ZBTO"/>
    <n v="9518624203"/>
    <n v="10"/>
    <s v="9518624203-10"/>
    <s v="Apr'25 "/>
    <x v="0"/>
    <m/>
    <x v="4"/>
    <x v="3"/>
    <n v="1000"/>
    <m/>
    <x v="1"/>
    <m/>
    <m/>
    <s v="Jharkhand"/>
    <s v="TBSPL"/>
    <s v="TBL- BARA AGRICO"/>
    <s v="Coil"/>
    <n v="942283"/>
    <x v="39"/>
    <n v="3239573"/>
    <s v="GL C YS550 H6GL 0.42BMT(0.47TCT)X1220"/>
    <n v="150"/>
    <s v=""/>
    <m/>
    <m/>
    <s v="Wider"/>
    <s v="B04"/>
    <s v="Y550GL"/>
    <s v="H6GL"/>
    <n v="0.42"/>
    <n v="1220"/>
    <n v="0"/>
    <n v="140"/>
    <n v="0"/>
    <n v="140"/>
    <n v="140"/>
    <n v="140"/>
    <n v="140"/>
    <n v="0"/>
    <n v="0"/>
    <n v="0"/>
    <n v="0"/>
    <n v="0"/>
    <n v="0"/>
    <n v="0"/>
    <n v="0"/>
    <n v="0"/>
    <n v="0"/>
    <n v="0"/>
    <n v="0"/>
    <n v="0"/>
    <n v="0"/>
    <n v="0"/>
    <n v="0"/>
    <n v="0"/>
    <n v="0"/>
    <n v="0"/>
    <n v="0"/>
    <n v="0"/>
    <n v="0"/>
    <n v="0"/>
    <m/>
    <n v="0"/>
    <n v="140"/>
    <n v="0"/>
    <n v="0"/>
    <n v="0"/>
    <n v="140"/>
    <n v="0"/>
    <n v="140"/>
    <n v="0"/>
    <n v="0"/>
    <n v="0"/>
    <n v="0"/>
    <n v="140"/>
    <n v="0"/>
    <n v="0"/>
    <n v="0"/>
    <n v="0"/>
    <n v="0"/>
    <n v="0"/>
    <n v="0"/>
    <n v="0"/>
    <m/>
    <m/>
    <m/>
    <m/>
    <m/>
    <m/>
    <m/>
    <m/>
    <s v="1"/>
    <s v="1"/>
    <s v="1"/>
    <s v="0"/>
    <s v="1"/>
    <m/>
    <m/>
    <m/>
    <m/>
    <m/>
    <m/>
    <m/>
    <m/>
    <m/>
    <m/>
    <m/>
    <m/>
    <m/>
    <m/>
  </r>
  <r>
    <n v="743"/>
    <d v="2025-03-22T00:00:00"/>
    <s v="ZBTO"/>
    <n v="9518624203"/>
    <n v="12"/>
    <s v="9518624203-12"/>
    <s v="May'25"/>
    <x v="0"/>
    <m/>
    <x v="4"/>
    <x v="3"/>
    <n v="1000"/>
    <m/>
    <x v="1"/>
    <m/>
    <m/>
    <s v="Jharkhand"/>
    <s v="TBSPL"/>
    <s v="TBL- BARA AGRICO"/>
    <s v="Coil"/>
    <n v="942283"/>
    <x v="39"/>
    <n v="1882004"/>
    <s v="GL C YS550 H6GL 0.55BMT(0.60TCT)X1220"/>
    <n v="150"/>
    <s v=""/>
    <m/>
    <m/>
    <s v="Wider"/>
    <s v="B04"/>
    <s v="Y550GL"/>
    <s v="H6GL"/>
    <n v="0.55000000000000004"/>
    <n v="1220"/>
    <n v="0"/>
    <n v="28"/>
    <n v="0"/>
    <n v="28"/>
    <n v="28"/>
    <n v="0"/>
    <n v="28"/>
    <n v="0"/>
    <n v="0"/>
    <n v="0"/>
    <n v="0"/>
    <n v="0"/>
    <n v="13.370000000000001"/>
    <n v="0"/>
    <n v="14.09"/>
    <n v="0"/>
    <n v="0"/>
    <n v="0"/>
    <n v="0"/>
    <n v="0"/>
    <n v="0"/>
    <n v="0"/>
    <n v="0"/>
    <n v="0"/>
    <n v="0"/>
    <n v="0"/>
    <n v="27.46"/>
    <n v="27.46"/>
    <n v="28"/>
    <n v="55.46"/>
    <m/>
    <n v="0"/>
    <n v="28"/>
    <n v="0"/>
    <n v="0"/>
    <n v="0"/>
    <n v="28"/>
    <n v="0"/>
    <n v="28"/>
    <n v="0"/>
    <n v="0"/>
    <n v="0"/>
    <n v="0"/>
    <n v="28"/>
    <n v="0"/>
    <n v="0"/>
    <n v="0"/>
    <n v="0"/>
    <n v="0"/>
    <n v="0"/>
    <n v="0"/>
    <n v="0"/>
    <m/>
    <m/>
    <m/>
    <m/>
    <m/>
    <m/>
    <m/>
    <m/>
    <s v="1"/>
    <s v="1"/>
    <s v="1"/>
    <s v="0"/>
    <s v="1"/>
    <m/>
    <m/>
    <m/>
    <m/>
    <m/>
    <m/>
    <m/>
    <m/>
    <m/>
    <m/>
    <m/>
    <m/>
    <m/>
    <m/>
  </r>
  <r>
    <n v="743"/>
    <d v="2025-03-22T00:00:00"/>
    <s v="ZBTO"/>
    <n v="9518624203"/>
    <n v="13"/>
    <s v="9518624203-13"/>
    <s v="May'25"/>
    <x v="0"/>
    <m/>
    <x v="4"/>
    <x v="3"/>
    <n v="1000"/>
    <m/>
    <x v="1"/>
    <m/>
    <m/>
    <s v="Jharkhand"/>
    <s v="TBSPL"/>
    <s v="TBL- BARA AGRICO"/>
    <s v="Coil"/>
    <n v="942283"/>
    <x v="39"/>
    <n v="1881969"/>
    <s v="GL C YS550 H6GL 0.45BMT(0.50TCT)X1220"/>
    <n v="150"/>
    <s v=""/>
    <m/>
    <m/>
    <s v="Wider"/>
    <s v="B04"/>
    <s v="Y550GL"/>
    <s v="H6GL"/>
    <n v="0.45"/>
    <n v="1220"/>
    <n v="0"/>
    <n v="196"/>
    <n v="0"/>
    <n v="196"/>
    <n v="196"/>
    <n v="0"/>
    <n v="82"/>
    <n v="0"/>
    <n v="0"/>
    <n v="0"/>
    <n v="0"/>
    <n v="0"/>
    <n v="0"/>
    <n v="0"/>
    <n v="19.305"/>
    <n v="0"/>
    <n v="0"/>
    <n v="0"/>
    <n v="0"/>
    <n v="0"/>
    <n v="0"/>
    <n v="0"/>
    <n v="0"/>
    <n v="0"/>
    <n v="0"/>
    <n v="18.43"/>
    <n v="37.734999999999999"/>
    <n v="37.734999999999999"/>
    <n v="168"/>
    <n v="205.73500000000001"/>
    <m/>
    <n v="0"/>
    <n v="196"/>
    <n v="0"/>
    <n v="0"/>
    <n v="0"/>
    <n v="196"/>
    <n v="0"/>
    <n v="196"/>
    <n v="0"/>
    <n v="0"/>
    <n v="0"/>
    <n v="0"/>
    <n v="196"/>
    <n v="0"/>
    <n v="0"/>
    <n v="0"/>
    <n v="0"/>
    <n v="0"/>
    <n v="0"/>
    <n v="0"/>
    <n v="0"/>
    <m/>
    <m/>
    <m/>
    <m/>
    <m/>
    <m/>
    <m/>
    <m/>
    <s v="1"/>
    <s v="1"/>
    <s v="1"/>
    <s v="0"/>
    <s v="1"/>
    <m/>
    <m/>
    <m/>
    <m/>
    <m/>
    <m/>
    <m/>
    <m/>
    <m/>
    <m/>
    <m/>
    <m/>
    <m/>
    <m/>
  </r>
  <r>
    <n v="742"/>
    <d v="2025-03-25T00:00:00"/>
    <s v="ZBTO"/>
    <n v="9518632737"/>
    <n v="1"/>
    <s v="9518632737-1"/>
    <s v="May'25"/>
    <x v="0"/>
    <m/>
    <x v="1"/>
    <x v="10"/>
    <n v="1000"/>
    <m/>
    <x v="1"/>
    <m/>
    <m/>
    <s v="Haryana"/>
    <s v="North"/>
    <s v="FARIDABAD"/>
    <s v="Coil"/>
    <n v="189430"/>
    <x v="41"/>
    <n v="2164792"/>
    <s v="CRCA COIL TATXXD BT02 0.900X913"/>
    <m/>
    <m/>
    <m/>
    <m/>
    <s v="Narrow"/>
    <s v="C01"/>
    <s v="TATXXD"/>
    <s v="BT02"/>
    <n v="0.9"/>
    <n v="913"/>
    <n v="0"/>
    <n v="63"/>
    <n v="0"/>
    <n v="63"/>
    <n v="63"/>
    <n v="42.69"/>
    <n v="63"/>
    <n v="0"/>
    <n v="0"/>
    <n v="0"/>
    <n v="20.309999999999999"/>
    <n v="0"/>
    <n v="0"/>
    <n v="0"/>
    <n v="0"/>
    <n v="0"/>
    <n v="0"/>
    <n v="0"/>
    <n v="0"/>
    <n v="0"/>
    <n v="0"/>
    <n v="0"/>
    <n v="0"/>
    <n v="0"/>
    <n v="0"/>
    <n v="0"/>
    <n v="20.309999999999999"/>
    <n v="20.309999999999999"/>
    <n v="0"/>
    <n v="20.309999999999999"/>
    <m/>
    <n v="0"/>
    <n v="63"/>
    <n v="0"/>
    <n v="0"/>
    <n v="0"/>
    <n v="63"/>
    <n v="0"/>
    <n v="63"/>
    <n v="0"/>
    <n v="0"/>
    <n v="0"/>
    <n v="0"/>
    <n v="63"/>
    <n v="0"/>
    <n v="0"/>
    <n v="0"/>
    <n v="0"/>
    <n v="0"/>
    <n v="0"/>
    <n v="0"/>
    <n v="0"/>
    <m/>
    <m/>
    <m/>
    <m/>
    <m/>
    <m/>
    <m/>
    <m/>
    <s v="1"/>
    <s v="1"/>
    <s v="1"/>
    <s v="0"/>
    <s v="1"/>
    <m/>
    <m/>
    <m/>
    <m/>
    <m/>
    <m/>
    <m/>
    <m/>
    <m/>
    <m/>
    <m/>
    <m/>
    <m/>
    <m/>
  </r>
  <r>
    <n v="742"/>
    <d v="2025-03-25T00:00:00"/>
    <s v="ZBTO"/>
    <n v="9518632737"/>
    <n v="2"/>
    <s v="9518632737-2"/>
    <s v="May'25"/>
    <x v="0"/>
    <m/>
    <x v="1"/>
    <x v="10"/>
    <n v="1000"/>
    <m/>
    <x v="1"/>
    <m/>
    <m/>
    <s v="Haryana"/>
    <s v="North"/>
    <s v="FARIDABAD"/>
    <s v="Coil"/>
    <n v="189430"/>
    <x v="41"/>
    <n v="2164800"/>
    <s v="CRCA COIL TATXXD BT02 0.970X913"/>
    <m/>
    <m/>
    <m/>
    <m/>
    <s v="Narrow"/>
    <s v="C01"/>
    <s v="TATXXD"/>
    <s v="BT02"/>
    <n v="0.97"/>
    <n v="913"/>
    <n v="0"/>
    <n v="63"/>
    <n v="0"/>
    <n v="63"/>
    <n v="63"/>
    <n v="21.450000000000003"/>
    <n v="63"/>
    <n v="0"/>
    <n v="0"/>
    <n v="20.78"/>
    <n v="20.77"/>
    <n v="0"/>
    <n v="0"/>
    <n v="0"/>
    <n v="0"/>
    <n v="0"/>
    <n v="0"/>
    <n v="0"/>
    <n v="0"/>
    <n v="0"/>
    <n v="0"/>
    <n v="0"/>
    <n v="0"/>
    <n v="0"/>
    <n v="0"/>
    <n v="0"/>
    <n v="41.55"/>
    <n v="41.55"/>
    <n v="0"/>
    <n v="41.55"/>
    <m/>
    <n v="0"/>
    <n v="63"/>
    <n v="0"/>
    <n v="0"/>
    <n v="0"/>
    <n v="63"/>
    <n v="0"/>
    <n v="63"/>
    <n v="0"/>
    <n v="0"/>
    <n v="0"/>
    <n v="0"/>
    <n v="63"/>
    <n v="0"/>
    <n v="0"/>
    <n v="0"/>
    <n v="0"/>
    <n v="0"/>
    <n v="0"/>
    <n v="0"/>
    <n v="0"/>
    <m/>
    <m/>
    <m/>
    <m/>
    <m/>
    <m/>
    <m/>
    <m/>
    <s v="1"/>
    <s v="1"/>
    <s v="1"/>
    <s v="0"/>
    <s v="1"/>
    <m/>
    <m/>
    <m/>
    <m/>
    <m/>
    <m/>
    <m/>
    <m/>
    <m/>
    <m/>
    <m/>
    <m/>
    <m/>
    <m/>
  </r>
  <r>
    <n v="743"/>
    <d v="2025-03-22T00:00:00"/>
    <s v="ZBTO"/>
    <n v="9518623643"/>
    <n v="8"/>
    <s v="9518623643-8"/>
    <s v="No Priority"/>
    <x v="0"/>
    <m/>
    <x v="3"/>
    <x v="14"/>
    <s v="2000-BPRS"/>
    <m/>
    <x v="0"/>
    <m/>
    <m/>
    <s v="Assam"/>
    <s v="East"/>
    <s v="GUWAHATI"/>
    <s v="Coil"/>
    <n v="116649"/>
    <x v="24"/>
    <n v="1320787"/>
    <s v="GP COIL SOFT-TATXGP-GLK1-0.55X1220"/>
    <s v="Z80"/>
    <s v=""/>
    <n v="8"/>
    <n v="24"/>
    <s v="Wider"/>
    <s v="C02"/>
    <s v="TATXGP"/>
    <s v="GLK1"/>
    <n v="0.55000000000000004"/>
    <n v="1220"/>
    <n v="0"/>
    <n v="28"/>
    <n v="20.84"/>
    <n v="7.16"/>
    <n v="2.17"/>
    <n v="0"/>
    <n v="7.16"/>
    <n v="0"/>
    <n v="0"/>
    <n v="0"/>
    <n v="0"/>
    <n v="0"/>
    <n v="0"/>
    <n v="0"/>
    <n v="0"/>
    <n v="0"/>
    <n v="0"/>
    <n v="0"/>
    <n v="0"/>
    <n v="0"/>
    <n v="0"/>
    <n v="0"/>
    <n v="0"/>
    <n v="0"/>
    <n v="0"/>
    <n v="0"/>
    <n v="0"/>
    <n v="0"/>
    <n v="0"/>
    <n v="0"/>
    <m/>
    <n v="0"/>
    <n v="28"/>
    <n v="0"/>
    <n v="28"/>
    <n v="0"/>
    <n v="0"/>
    <n v="0"/>
    <n v="28"/>
    <n v="0"/>
    <n v="0"/>
    <n v="28"/>
    <n v="0"/>
    <n v="0"/>
    <n v="0"/>
    <n v="20.840000000000003"/>
    <n v="0"/>
    <n v="20.840000000000003"/>
    <n v="0"/>
    <n v="0"/>
    <n v="0"/>
    <n v="0"/>
    <m/>
    <m/>
    <m/>
    <m/>
    <m/>
    <m/>
    <m/>
    <m/>
    <s v="1"/>
    <s v="0"/>
    <s v="1"/>
    <s v="1"/>
    <s v="1"/>
    <m/>
    <m/>
    <m/>
    <m/>
    <m/>
    <m/>
    <m/>
    <m/>
    <m/>
    <m/>
    <m/>
    <m/>
    <m/>
    <m/>
  </r>
  <r>
    <n v="742"/>
    <d v="2025-03-21T00:00:00"/>
    <s v="ZBTO"/>
    <n v="9518620375"/>
    <n v="1"/>
    <s v="9518620375-1"/>
    <s v="No Priority"/>
    <x v="0"/>
    <m/>
    <x v="1"/>
    <x v="15"/>
    <n v="3000"/>
    <m/>
    <x v="0"/>
    <m/>
    <m/>
    <s v="Karnataka"/>
    <s v="South"/>
    <s v="BIDADI"/>
    <s v="Coil"/>
    <n v="157491"/>
    <x v="38"/>
    <n v="2420514"/>
    <s v="CRCA COIL TATXXD AH03 0.800X1250"/>
    <m/>
    <m/>
    <m/>
    <m/>
    <s v="Wider"/>
    <s v="C01"/>
    <s v="TATXXD"/>
    <s v="AH03"/>
    <n v="0.8"/>
    <n v="1250"/>
    <n v="0"/>
    <n v="261"/>
    <n v="211.12"/>
    <n v="49.88"/>
    <n v="-8.1999999999999993"/>
    <n v="0"/>
    <n v="1.38"/>
    <n v="0"/>
    <n v="0"/>
    <n v="0"/>
    <n v="0"/>
    <n v="0"/>
    <n v="0"/>
    <n v="0"/>
    <n v="0"/>
    <n v="0"/>
    <n v="0"/>
    <n v="0"/>
    <n v="0"/>
    <n v="0"/>
    <n v="0"/>
    <n v="0"/>
    <n v="0"/>
    <n v="0"/>
    <n v="0"/>
    <n v="0"/>
    <n v="0"/>
    <n v="0"/>
    <n v="0"/>
    <n v="0"/>
    <m/>
    <n v="0"/>
    <n v="261"/>
    <n v="0"/>
    <n v="0"/>
    <n v="261"/>
    <n v="0"/>
    <n v="0"/>
    <n v="261"/>
    <n v="0"/>
    <n v="0"/>
    <n v="261"/>
    <n v="0"/>
    <n v="0"/>
    <n v="0"/>
    <n v="158.91999999999996"/>
    <n v="0"/>
    <n v="0"/>
    <n v="158.91999999999996"/>
    <n v="0"/>
    <n v="0"/>
    <n v="0"/>
    <m/>
    <m/>
    <m/>
    <m/>
    <m/>
    <m/>
    <m/>
    <m/>
    <s v="1"/>
    <s v="1"/>
    <s v="0"/>
    <s v="1"/>
    <s v="1"/>
    <m/>
    <m/>
    <m/>
    <m/>
    <m/>
    <m/>
    <m/>
    <m/>
    <m/>
    <m/>
    <m/>
    <m/>
    <m/>
    <m/>
  </r>
  <r>
    <n v="742"/>
    <d v="2025-03-21T00:00:00"/>
    <s v="ZBTO"/>
    <n v="9518620375"/>
    <n v="2"/>
    <s v="9518620375-2"/>
    <s v="Apr'25 "/>
    <x v="0"/>
    <m/>
    <x v="1"/>
    <x v="15"/>
    <n v="3000"/>
    <n v="1000"/>
    <x v="1"/>
    <m/>
    <m/>
    <s v="Karnataka"/>
    <s v="South"/>
    <s v="BIDADI"/>
    <s v="Coil"/>
    <n v="157491"/>
    <x v="38"/>
    <n v="2420518"/>
    <s v="CRCA COIL TATXXD AH03 1X1250"/>
    <m/>
    <m/>
    <m/>
    <m/>
    <s v="Wider"/>
    <s v="C01"/>
    <s v="TATXXD"/>
    <s v="AH03"/>
    <n v="1"/>
    <n v="1250"/>
    <n v="0"/>
    <n v="261"/>
    <n v="20.76"/>
    <n v="240.24"/>
    <n v="240.24"/>
    <n v="240.24"/>
    <n v="240.24"/>
    <n v="0"/>
    <n v="0"/>
    <n v="0"/>
    <n v="0"/>
    <n v="0"/>
    <n v="0"/>
    <n v="0"/>
    <n v="0"/>
    <n v="0"/>
    <n v="0"/>
    <n v="0"/>
    <n v="0"/>
    <n v="0"/>
    <n v="0"/>
    <n v="0"/>
    <n v="0"/>
    <n v="0"/>
    <n v="0"/>
    <n v="0"/>
    <n v="0"/>
    <n v="0"/>
    <n v="0"/>
    <n v="0"/>
    <m/>
    <n v="0"/>
    <n v="261"/>
    <n v="0"/>
    <n v="0"/>
    <n v="0"/>
    <n v="261"/>
    <n v="0"/>
    <n v="261"/>
    <n v="0"/>
    <n v="0"/>
    <n v="0"/>
    <n v="261"/>
    <n v="0"/>
    <n v="0"/>
    <n v="20.76"/>
    <n v="0"/>
    <n v="0"/>
    <n v="0"/>
    <n v="20.76"/>
    <n v="0"/>
    <n v="0"/>
    <m/>
    <m/>
    <m/>
    <m/>
    <m/>
    <m/>
    <m/>
    <m/>
    <s v="1"/>
    <s v="1"/>
    <s v="1"/>
    <s v="0"/>
    <s v="1"/>
    <m/>
    <m/>
    <m/>
    <m/>
    <m/>
    <m/>
    <m/>
    <m/>
    <m/>
    <m/>
    <m/>
    <m/>
    <m/>
    <m/>
  </r>
  <r>
    <n v="742"/>
    <d v="2025-03-21T00:00:00"/>
    <s v="ZBTO"/>
    <n v="9518620375"/>
    <n v="4"/>
    <s v="9518620375-4"/>
    <s v="No Priority"/>
    <x v="0"/>
    <m/>
    <x v="1"/>
    <x v="15"/>
    <n v="3000"/>
    <m/>
    <x v="0"/>
    <m/>
    <m/>
    <s v="Karnataka"/>
    <s v="South"/>
    <s v="BIDADI"/>
    <s v="Coil"/>
    <n v="157491"/>
    <x v="38"/>
    <n v="2420522"/>
    <s v="CRCA COIL TATXXD AH03 1.500X1250"/>
    <m/>
    <m/>
    <m/>
    <m/>
    <s v="Wider"/>
    <s v="C01"/>
    <s v="TATXXD"/>
    <s v="AH03"/>
    <n v="1.5"/>
    <n v="1250"/>
    <n v="0"/>
    <n v="145"/>
    <n v="42.034999999999997"/>
    <n v="102.965"/>
    <n v="-7.1550000000000002"/>
    <n v="0"/>
    <n v="23.585000000000001"/>
    <n v="0"/>
    <n v="0"/>
    <n v="0"/>
    <n v="0"/>
    <n v="0"/>
    <n v="0"/>
    <n v="0"/>
    <n v="0"/>
    <n v="0"/>
    <n v="0"/>
    <n v="0"/>
    <n v="0"/>
    <n v="0"/>
    <n v="0"/>
    <n v="0"/>
    <n v="0"/>
    <n v="0"/>
    <n v="0"/>
    <n v="0"/>
    <n v="0"/>
    <n v="0"/>
    <n v="0"/>
    <n v="0"/>
    <m/>
    <n v="0"/>
    <n v="145"/>
    <n v="0"/>
    <n v="0"/>
    <n v="0"/>
    <n v="0"/>
    <n v="145"/>
    <n v="0"/>
    <n v="0"/>
    <n v="0"/>
    <n v="0"/>
    <n v="0"/>
    <n v="0"/>
    <n v="145"/>
    <n v="15.465"/>
    <n v="0"/>
    <n v="0"/>
    <n v="0"/>
    <n v="0"/>
    <n v="15.465"/>
    <n v="0"/>
    <m/>
    <m/>
    <m/>
    <m/>
    <m/>
    <m/>
    <m/>
    <m/>
    <s v="1"/>
    <s v="1"/>
    <s v="1"/>
    <s v="1"/>
    <s v="0"/>
    <m/>
    <m/>
    <m/>
    <m/>
    <m/>
    <m/>
    <m/>
    <m/>
    <m/>
    <m/>
    <m/>
    <m/>
    <m/>
    <m/>
  </r>
  <r>
    <n v="742"/>
    <d v="2025-01-07T00:00:00"/>
    <s v="ZBTO"/>
    <n v="9518410921"/>
    <n v="1"/>
    <s v="9518410921-1"/>
    <s v="No Priority"/>
    <x v="0"/>
    <m/>
    <x v="1"/>
    <x v="2"/>
    <n v="2000"/>
    <m/>
    <x v="0"/>
    <m/>
    <m/>
    <s v="West Bengal"/>
    <s v="East"/>
    <s v="SILIGURI TOWN"/>
    <s v="Sheet"/>
    <n v="948783"/>
    <x v="24"/>
    <n v="3239568"/>
    <s v="CRCA SHEET TATCRC SR16 0.450X1250X2500"/>
    <m/>
    <m/>
    <m/>
    <m/>
    <s v="Wider"/>
    <s v="C06"/>
    <s v="TATCRC"/>
    <s v="SR16"/>
    <n v="0.45"/>
    <n v="1250"/>
    <n v="2500"/>
    <n v="36"/>
    <n v="35.770000000000003"/>
    <n v="0.23"/>
    <n v="-5.1449999999999996"/>
    <n v="0"/>
    <n v="0"/>
    <n v="0"/>
    <n v="0"/>
    <n v="0"/>
    <n v="0"/>
    <n v="0"/>
    <n v="0"/>
    <n v="0"/>
    <n v="0"/>
    <n v="0"/>
    <n v="0"/>
    <n v="0"/>
    <n v="0"/>
    <n v="0"/>
    <n v="0"/>
    <n v="0"/>
    <n v="0"/>
    <n v="0"/>
    <n v="0"/>
    <n v="0"/>
    <n v="0"/>
    <n v="0"/>
    <n v="0"/>
    <n v="0"/>
    <m/>
    <n v="0"/>
    <n v="36"/>
    <n v="0"/>
    <n v="36"/>
    <n v="0"/>
    <n v="0"/>
    <n v="0"/>
    <n v="36"/>
    <n v="0"/>
    <n v="0"/>
    <n v="36"/>
    <n v="0"/>
    <n v="0"/>
    <n v="0"/>
    <n v="35.770000000000003"/>
    <n v="0"/>
    <n v="35.770000000000003"/>
    <n v="0"/>
    <n v="0"/>
    <n v="0"/>
    <n v="0"/>
    <m/>
    <m/>
    <m/>
    <m/>
    <m/>
    <m/>
    <m/>
    <m/>
    <s v="1"/>
    <s v="1"/>
    <s v="1"/>
    <s v="1"/>
    <s v="1"/>
    <m/>
    <m/>
    <m/>
    <m/>
    <m/>
    <m/>
    <m/>
    <m/>
    <m/>
    <m/>
    <m/>
    <m/>
    <m/>
    <m/>
  </r>
  <r>
    <n v="742"/>
    <d v="2025-03-03T00:00:00"/>
    <s v="ZBTO"/>
    <n v="9518569795"/>
    <n v="19"/>
    <s v="9518569795-19"/>
    <s v="Apr'25 "/>
    <x v="0"/>
    <m/>
    <x v="1"/>
    <x v="2"/>
    <n v="2000"/>
    <m/>
    <x v="1"/>
    <m/>
    <m/>
    <s v="West Bengal"/>
    <s v="East"/>
    <s v="SILIGURI TOWN"/>
    <s v="Sheet"/>
    <n v="948783"/>
    <x v="24"/>
    <n v="3832848"/>
    <s v="CRCA SHEET TATCRC SR16 0.400X1120X2000"/>
    <m/>
    <m/>
    <m/>
    <m/>
    <s v="Narrow"/>
    <s v="C06"/>
    <s v="TATCRC"/>
    <s v="SR16"/>
    <n v="0.4"/>
    <n v="1120"/>
    <n v="2000"/>
    <n v="24"/>
    <n v="0"/>
    <n v="24"/>
    <n v="24"/>
    <n v="24"/>
    <n v="24"/>
    <n v="0"/>
    <n v="0"/>
    <n v="0"/>
    <n v="0"/>
    <n v="0"/>
    <n v="0"/>
    <n v="0"/>
    <n v="0"/>
    <n v="0"/>
    <n v="0"/>
    <n v="0"/>
    <n v="0"/>
    <n v="0"/>
    <n v="0"/>
    <n v="0"/>
    <n v="0"/>
    <n v="0"/>
    <n v="0"/>
    <n v="0"/>
    <n v="0"/>
    <n v="0"/>
    <n v="0"/>
    <n v="0"/>
    <m/>
    <n v="0"/>
    <n v="24"/>
    <n v="0"/>
    <n v="0"/>
    <n v="0"/>
    <n v="24"/>
    <n v="0"/>
    <n v="24"/>
    <n v="0"/>
    <n v="0"/>
    <n v="0"/>
    <n v="0"/>
    <n v="24"/>
    <n v="0"/>
    <n v="0"/>
    <n v="0"/>
    <n v="0"/>
    <n v="0"/>
    <n v="0"/>
    <n v="0"/>
    <n v="0"/>
    <m/>
    <m/>
    <m/>
    <m/>
    <m/>
    <m/>
    <m/>
    <m/>
    <s v="1"/>
    <s v="1"/>
    <s v="1"/>
    <s v="0"/>
    <s v="1"/>
    <m/>
    <m/>
    <m/>
    <m/>
    <m/>
    <m/>
    <m/>
    <m/>
    <m/>
    <m/>
    <m/>
    <m/>
    <m/>
    <m/>
  </r>
  <r>
    <n v="742"/>
    <d v="2025-03-03T00:00:00"/>
    <s v="ZBTO"/>
    <n v="9518569795"/>
    <n v="20"/>
    <s v="9518569795-20"/>
    <s v="Apr'25 "/>
    <x v="0"/>
    <m/>
    <x v="1"/>
    <x v="2"/>
    <n v="2000"/>
    <m/>
    <x v="1"/>
    <m/>
    <m/>
    <s v="West Bengal"/>
    <s v="East"/>
    <s v="SILIGURI TOWN"/>
    <s v="Sheet"/>
    <n v="948783"/>
    <x v="24"/>
    <n v="3239554"/>
    <s v="CRCA SHEET TATCRC SR16 0.400X1000X2500"/>
    <m/>
    <m/>
    <m/>
    <m/>
    <s v="Narrow"/>
    <s v="C06"/>
    <s v="TATCRC"/>
    <s v="SR16"/>
    <n v="0.4"/>
    <n v="1000"/>
    <n v="2500"/>
    <n v="24"/>
    <n v="0"/>
    <n v="24"/>
    <n v="24"/>
    <n v="24"/>
    <n v="24"/>
    <n v="0"/>
    <n v="0"/>
    <n v="0"/>
    <n v="0"/>
    <n v="0"/>
    <n v="0"/>
    <n v="0"/>
    <n v="0"/>
    <n v="0"/>
    <n v="0"/>
    <n v="0"/>
    <n v="0"/>
    <n v="0"/>
    <n v="0"/>
    <n v="0"/>
    <n v="0"/>
    <n v="0"/>
    <n v="0"/>
    <n v="0"/>
    <n v="0"/>
    <n v="0"/>
    <n v="0"/>
    <n v="0"/>
    <m/>
    <n v="0"/>
    <n v="24"/>
    <n v="0"/>
    <n v="0"/>
    <n v="0"/>
    <n v="0"/>
    <n v="24"/>
    <n v="0"/>
    <n v="0"/>
    <n v="0"/>
    <n v="0"/>
    <n v="0"/>
    <n v="0"/>
    <n v="24"/>
    <n v="0"/>
    <n v="0"/>
    <n v="0"/>
    <n v="0"/>
    <n v="0"/>
    <n v="0"/>
    <n v="0"/>
    <m/>
    <m/>
    <m/>
    <m/>
    <m/>
    <m/>
    <m/>
    <m/>
    <s v="1"/>
    <s v="1"/>
    <s v="1"/>
    <s v="1"/>
    <s v="0"/>
    <m/>
    <m/>
    <m/>
    <m/>
    <m/>
    <m/>
    <m/>
    <m/>
    <m/>
    <m/>
    <m/>
    <m/>
    <m/>
    <m/>
  </r>
  <r>
    <n v="744"/>
    <d v="2025-03-26T00:00:00"/>
    <s v="ZBTO"/>
    <n v="9518636039"/>
    <n v="1"/>
    <s v="9518636039-1"/>
    <s v="No Priority"/>
    <x v="0"/>
    <m/>
    <x v="2"/>
    <x v="3"/>
    <s v="1000-IPPE"/>
    <m/>
    <x v="0"/>
    <m/>
    <m/>
    <s v="Jharkhand"/>
    <s v="TBSPL"/>
    <s v="GAMHARIA"/>
    <s v="Coil"/>
    <n v="940016"/>
    <x v="15"/>
    <n v="3797658"/>
    <s v="PPGL C Y550 ISC6 0.40BMT(0.45TPT)X1220"/>
    <m/>
    <m/>
    <m/>
    <m/>
    <s v="Wider"/>
    <s v="B18"/>
    <s v="Y550PL"/>
    <s v="ISC6"/>
    <n v="0.4"/>
    <n v="1220"/>
    <n v="0"/>
    <n v="134"/>
    <n v="71.564999999999998"/>
    <n v="62.435000000000002"/>
    <n v="-5.5549999999999997"/>
    <n v="0"/>
    <n v="62.435000000000002"/>
    <n v="0"/>
    <n v="0"/>
    <n v="0"/>
    <n v="0"/>
    <n v="0"/>
    <n v="0"/>
    <n v="0"/>
    <n v="0"/>
    <n v="0"/>
    <n v="0"/>
    <n v="0"/>
    <n v="0"/>
    <n v="0"/>
    <n v="0"/>
    <n v="0"/>
    <n v="0"/>
    <n v="0"/>
    <n v="0"/>
    <n v="0"/>
    <n v="0"/>
    <n v="0"/>
    <n v="0"/>
    <n v="0"/>
    <m/>
    <n v="0"/>
    <n v="75.150000000000006"/>
    <n v="0"/>
    <n v="0"/>
    <n v="0"/>
    <n v="75.150000000000006"/>
    <n v="0"/>
    <n v="75.150000000000006"/>
    <n v="0"/>
    <n v="0"/>
    <n v="0"/>
    <n v="0"/>
    <n v="75.150000000000006"/>
    <n v="0"/>
    <n v="0"/>
    <n v="0"/>
    <n v="0"/>
    <n v="0"/>
    <n v="0"/>
    <n v="0"/>
    <n v="0"/>
    <m/>
    <m/>
    <m/>
    <m/>
    <m/>
    <m/>
    <m/>
    <m/>
    <s v="1"/>
    <s v="1"/>
    <s v="1"/>
    <s v="0"/>
    <s v="1"/>
    <m/>
    <m/>
    <m/>
    <m/>
    <m/>
    <m/>
    <m/>
    <m/>
    <m/>
    <m/>
    <m/>
    <m/>
    <m/>
    <m/>
  </r>
  <r>
    <n v="744"/>
    <d v="2025-03-26T00:00:00"/>
    <s v="ZBTO"/>
    <n v="9518636039"/>
    <n v="2"/>
    <s v="9518636039-2"/>
    <s v="No Priority"/>
    <x v="0"/>
    <m/>
    <x v="2"/>
    <x v="3"/>
    <s v="1000-IPPE"/>
    <m/>
    <x v="0"/>
    <m/>
    <m/>
    <s v="Jharkhand"/>
    <s v="TBSPL"/>
    <s v="GAMHARIA"/>
    <s v="Coil"/>
    <n v="940016"/>
    <x v="15"/>
    <n v="3797658"/>
    <s v="PPGL C Y550 ISC6 0.40BMT(0.45TPT)X1220"/>
    <m/>
    <m/>
    <m/>
    <m/>
    <s v="Wider"/>
    <s v="B18"/>
    <s v="Y550PL"/>
    <s v="ISC6"/>
    <n v="0.4"/>
    <n v="1220"/>
    <n v="0"/>
    <n v="168"/>
    <n v="109.99"/>
    <n v="58.01"/>
    <n v="-3.92"/>
    <n v="0"/>
    <n v="12.895"/>
    <n v="0"/>
    <n v="0"/>
    <n v="0"/>
    <n v="0"/>
    <n v="0"/>
    <n v="0"/>
    <n v="0"/>
    <n v="3.395"/>
    <n v="0"/>
    <n v="0"/>
    <n v="0"/>
    <n v="0"/>
    <n v="0"/>
    <n v="0"/>
    <n v="0"/>
    <n v="0"/>
    <n v="0"/>
    <n v="0"/>
    <n v="4.0049999999999999"/>
    <n v="7.4"/>
    <n v="7.4"/>
    <n v="0"/>
    <n v="7.4"/>
    <m/>
    <n v="0"/>
    <n v="168"/>
    <n v="0"/>
    <n v="168"/>
    <n v="0"/>
    <n v="0"/>
    <n v="0"/>
    <n v="168"/>
    <n v="0"/>
    <n v="0"/>
    <n v="168"/>
    <n v="0"/>
    <n v="0"/>
    <n v="0"/>
    <n v="97.18"/>
    <n v="0"/>
    <n v="97.18"/>
    <n v="0"/>
    <n v="0"/>
    <n v="0"/>
    <n v="0"/>
    <m/>
    <m/>
    <m/>
    <m/>
    <m/>
    <m/>
    <m/>
    <m/>
    <s v="1"/>
    <s v="0"/>
    <s v="1"/>
    <s v="1"/>
    <s v="1"/>
    <m/>
    <m/>
    <m/>
    <m/>
    <m/>
    <m/>
    <m/>
    <m/>
    <m/>
    <m/>
    <m/>
    <m/>
    <m/>
    <m/>
  </r>
  <r>
    <n v="744"/>
    <d v="2025-03-26T00:00:00"/>
    <s v="ZBTO"/>
    <n v="9518636039"/>
    <n v="3"/>
    <s v="9518636039-3"/>
    <s v="Apr'25 additional"/>
    <x v="0"/>
    <m/>
    <x v="2"/>
    <x v="3"/>
    <s v="1000-IPPE"/>
    <m/>
    <x v="1"/>
    <m/>
    <m/>
    <s v="Jharkhand"/>
    <s v="TBSPL"/>
    <s v="GAMHARIA"/>
    <s v="Coil"/>
    <n v="940016"/>
    <x v="15"/>
    <n v="3883538"/>
    <s v="PPGL C Y550 ISC6 0.30BMT(0.35TPT)X1220"/>
    <m/>
    <m/>
    <m/>
    <m/>
    <s v="Wider"/>
    <s v="B18"/>
    <s v="Y550PL"/>
    <s v="ISC6"/>
    <n v="0.3"/>
    <n v="1220"/>
    <n v="0"/>
    <n v="56"/>
    <n v="4.5949999999999998"/>
    <n v="51.405000000000001"/>
    <n v="31.375"/>
    <n v="31.375"/>
    <n v="51.405000000000001"/>
    <n v="0"/>
    <n v="0"/>
    <n v="0"/>
    <n v="0"/>
    <n v="0"/>
    <n v="8.2200000000000006"/>
    <n v="0"/>
    <n v="11.81"/>
    <n v="0"/>
    <n v="0"/>
    <n v="0"/>
    <n v="0"/>
    <n v="0"/>
    <n v="0"/>
    <n v="0"/>
    <n v="0"/>
    <n v="0"/>
    <n v="0"/>
    <n v="0"/>
    <n v="20.03"/>
    <n v="20.03"/>
    <n v="0"/>
    <n v="20.03"/>
    <m/>
    <n v="0"/>
    <n v="56"/>
    <n v="0"/>
    <n v="0"/>
    <n v="56"/>
    <n v="0"/>
    <n v="0"/>
    <n v="56"/>
    <n v="0"/>
    <n v="0"/>
    <n v="56"/>
    <n v="0"/>
    <n v="0"/>
    <n v="0"/>
    <n v="0"/>
    <n v="0"/>
    <n v="0"/>
    <n v="0"/>
    <n v="0"/>
    <n v="0"/>
    <n v="0"/>
    <m/>
    <m/>
    <m/>
    <m/>
    <m/>
    <m/>
    <m/>
    <m/>
    <s v="1"/>
    <s v="1"/>
    <s v="0"/>
    <s v="1"/>
    <s v="1"/>
    <m/>
    <m/>
    <m/>
    <m/>
    <m/>
    <m/>
    <m/>
    <m/>
    <m/>
    <m/>
    <m/>
    <m/>
    <m/>
    <m/>
  </r>
  <r>
    <n v="744"/>
    <d v="2025-03-26T00:00:00"/>
    <s v="ZBTO"/>
    <n v="9518635916"/>
    <n v="1"/>
    <s v="9518635916-1"/>
    <s v="No Priority"/>
    <x v="0"/>
    <m/>
    <x v="2"/>
    <x v="3"/>
    <s v="1000-IPPE"/>
    <m/>
    <x v="0"/>
    <m/>
    <m/>
    <s v="Jharkhand"/>
    <s v="TBSPL"/>
    <s v="GAMHARIA"/>
    <s v="Coil"/>
    <n v="940016"/>
    <x v="15"/>
    <n v="3522241"/>
    <s v="PPGL C Y550 D0C7 0.43BMT(0.47TPT)X1220"/>
    <m/>
    <m/>
    <m/>
    <m/>
    <s v="Wider"/>
    <s v="B18"/>
    <s v="Y550PL"/>
    <s v="D0C7"/>
    <n v="0.43"/>
    <n v="1220"/>
    <n v="0"/>
    <n v="280"/>
    <n v="228.78"/>
    <n v="51.22"/>
    <n v="39.145000000000003"/>
    <n v="51.22"/>
    <n v="0.755"/>
    <n v="0"/>
    <n v="0"/>
    <n v="0"/>
    <n v="0"/>
    <n v="0"/>
    <n v="0"/>
    <n v="0"/>
    <n v="0"/>
    <n v="0"/>
    <n v="0"/>
    <n v="0"/>
    <n v="0"/>
    <n v="0"/>
    <n v="0"/>
    <n v="0"/>
    <n v="0"/>
    <n v="0"/>
    <n v="0"/>
    <n v="0"/>
    <n v="0"/>
    <n v="0"/>
    <n v="0"/>
    <n v="0"/>
    <m/>
    <n v="0"/>
    <n v="280"/>
    <n v="0"/>
    <n v="0"/>
    <n v="280"/>
    <n v="0"/>
    <n v="0"/>
    <n v="280"/>
    <n v="0"/>
    <n v="0"/>
    <n v="0"/>
    <n v="280"/>
    <n v="0"/>
    <n v="0"/>
    <n v="0"/>
    <n v="0"/>
    <n v="0"/>
    <n v="0"/>
    <n v="0"/>
    <n v="0"/>
    <n v="0"/>
    <m/>
    <m/>
    <m/>
    <m/>
    <m/>
    <m/>
    <m/>
    <m/>
    <s v="1"/>
    <s v="1"/>
    <s v="0"/>
    <s v="1"/>
    <s v="1"/>
    <m/>
    <m/>
    <m/>
    <m/>
    <m/>
    <m/>
    <m/>
    <m/>
    <m/>
    <m/>
    <m/>
    <m/>
    <m/>
    <m/>
  </r>
  <r>
    <n v="742"/>
    <d v="2025-03-20T00:00:00"/>
    <s v="ZBTO"/>
    <n v="9518617583"/>
    <n v="1"/>
    <s v="9518617583-1"/>
    <s v="Apr'25 additional"/>
    <x v="0"/>
    <m/>
    <x v="1"/>
    <x v="7"/>
    <s v="1000-IPPE"/>
    <m/>
    <x v="1"/>
    <m/>
    <m/>
    <s v="Gujarat"/>
    <s v="West"/>
    <s v="RAJKOT"/>
    <s v="Coil"/>
    <n v="188891"/>
    <x v="47"/>
    <n v="2439203"/>
    <s v="CRCA COIL TSBSTA EL06 0.500X1160"/>
    <m/>
    <m/>
    <m/>
    <m/>
    <s v="Narrow"/>
    <s v="C01"/>
    <s v="TSBSTA"/>
    <s v="EL06"/>
    <n v="0.5"/>
    <n v="1160"/>
    <n v="0"/>
    <n v="297"/>
    <n v="0"/>
    <n v="297"/>
    <n v="297"/>
    <n v="4.6100000000000136"/>
    <n v="297"/>
    <n v="0"/>
    <n v="0"/>
    <n v="0"/>
    <n v="27.14"/>
    <n v="0"/>
    <n v="0"/>
    <n v="0"/>
    <n v="0"/>
    <n v="0"/>
    <n v="0"/>
    <n v="0"/>
    <n v="26.51"/>
    <n v="238.74"/>
    <n v="0"/>
    <n v="0"/>
    <n v="0"/>
    <n v="0"/>
    <n v="0"/>
    <n v="0"/>
    <n v="292.39"/>
    <n v="292.39"/>
    <n v="0"/>
    <n v="292.39"/>
    <m/>
    <n v="0"/>
    <n v="297"/>
    <n v="0"/>
    <n v="0"/>
    <n v="0"/>
    <n v="0"/>
    <n v="297"/>
    <n v="0"/>
    <n v="0"/>
    <n v="0"/>
    <n v="0"/>
    <n v="0"/>
    <n v="0"/>
    <n v="297"/>
    <n v="0"/>
    <n v="0"/>
    <n v="0"/>
    <n v="0"/>
    <n v="0"/>
    <n v="0"/>
    <n v="0"/>
    <m/>
    <m/>
    <m/>
    <m/>
    <m/>
    <m/>
    <m/>
    <m/>
    <s v="1"/>
    <s v="1"/>
    <s v="1"/>
    <s v="1"/>
    <s v="0"/>
    <m/>
    <m/>
    <m/>
    <m/>
    <m/>
    <m/>
    <m/>
    <m/>
    <m/>
    <m/>
    <m/>
    <m/>
    <m/>
    <m/>
  </r>
  <r>
    <n v="743"/>
    <d v="2025-03-24T00:00:00"/>
    <s v="ZBTO"/>
    <n v="9518634000"/>
    <n v="3"/>
    <s v="9518634000-3"/>
    <s v="No Priority"/>
    <x v="0"/>
    <m/>
    <x v="4"/>
    <x v="5"/>
    <s v="1000-IPPE"/>
    <m/>
    <x v="0"/>
    <m/>
    <m/>
    <s v="Gujarat"/>
    <s v="West"/>
    <s v="VADODARA"/>
    <s v="Coil"/>
    <n v="947011"/>
    <x v="73"/>
    <n v="3875613"/>
    <s v="GL COIL HARD  Y550GL HGL6 0.800X1250"/>
    <m/>
    <m/>
    <m/>
    <m/>
    <s v="Wider"/>
    <s v="B04"/>
    <s v="Y550GL"/>
    <s v="HGL6"/>
    <n v="0.8"/>
    <n v="1250"/>
    <n v="0"/>
    <n v="203"/>
    <n v="201.57499999999999"/>
    <n v="1.425"/>
    <n v="-9.64"/>
    <n v="0"/>
    <n v="1.425"/>
    <n v="0"/>
    <n v="0"/>
    <n v="0"/>
    <n v="0"/>
    <n v="0"/>
    <n v="0"/>
    <n v="0"/>
    <n v="11.065000000000001"/>
    <n v="0"/>
    <n v="0"/>
    <n v="0"/>
    <n v="0"/>
    <n v="0"/>
    <n v="0"/>
    <n v="0"/>
    <n v="0"/>
    <n v="0"/>
    <n v="0"/>
    <n v="0"/>
    <n v="11.065000000000001"/>
    <n v="11.065000000000001"/>
    <n v="0"/>
    <n v="11.065000000000001"/>
    <m/>
    <n v="0"/>
    <n v="203"/>
    <n v="0"/>
    <n v="0"/>
    <n v="203"/>
    <n v="0"/>
    <n v="0"/>
    <n v="203"/>
    <n v="0"/>
    <n v="0"/>
    <n v="0"/>
    <n v="203"/>
    <n v="0"/>
    <n v="0"/>
    <n v="0"/>
    <n v="0"/>
    <n v="0"/>
    <n v="0"/>
    <n v="0"/>
    <n v="0"/>
    <n v="0"/>
    <m/>
    <m/>
    <m/>
    <m/>
    <m/>
    <m/>
    <m/>
    <m/>
    <s v="1"/>
    <s v="1"/>
    <s v="0"/>
    <s v="1"/>
    <s v="1"/>
    <m/>
    <m/>
    <m/>
    <m/>
    <m/>
    <m/>
    <m/>
    <m/>
    <m/>
    <m/>
    <m/>
    <m/>
    <m/>
    <m/>
  </r>
  <r>
    <n v="743"/>
    <d v="2025-03-24T00:00:00"/>
    <s v="ZBTO"/>
    <n v="9518634000"/>
    <n v="2"/>
    <s v="9518634000-2"/>
    <s v="Apr'25 "/>
    <x v="0"/>
    <m/>
    <x v="4"/>
    <x v="5"/>
    <s v="1000-IPPE"/>
    <m/>
    <x v="1"/>
    <m/>
    <m/>
    <s v="Gujarat"/>
    <s v="West"/>
    <s v="VADODARA"/>
    <s v="Coil"/>
    <n v="947011"/>
    <x v="73"/>
    <n v="3875613"/>
    <s v="GL COIL HARD  Y550GL HGL6 0.800X1250"/>
    <m/>
    <m/>
    <m/>
    <m/>
    <s v="Wider"/>
    <s v="B04"/>
    <s v="Y550GL"/>
    <s v="HGL6"/>
    <n v="0.8"/>
    <n v="1250"/>
    <n v="0"/>
    <n v="261"/>
    <n v="126.7"/>
    <n v="134.30000000000001"/>
    <n v="106.09"/>
    <n v="92.660000000000011"/>
    <n v="134.30000000000001"/>
    <n v="0"/>
    <n v="0"/>
    <n v="0"/>
    <n v="0"/>
    <n v="0"/>
    <n v="0"/>
    <n v="0"/>
    <n v="28.21"/>
    <n v="0"/>
    <n v="0"/>
    <n v="0"/>
    <n v="0"/>
    <n v="0"/>
    <n v="0"/>
    <n v="0"/>
    <n v="0"/>
    <n v="0"/>
    <n v="0"/>
    <n v="13.43"/>
    <n v="41.64"/>
    <n v="41.64"/>
    <n v="0"/>
    <n v="41.64"/>
    <m/>
    <n v="0"/>
    <n v="261"/>
    <n v="0"/>
    <n v="0"/>
    <n v="261"/>
    <n v="0"/>
    <n v="0"/>
    <n v="261"/>
    <n v="0"/>
    <n v="0"/>
    <n v="0"/>
    <n v="261"/>
    <n v="0"/>
    <n v="0"/>
    <n v="0"/>
    <n v="0"/>
    <n v="0"/>
    <n v="0"/>
    <n v="0"/>
    <n v="0"/>
    <n v="0"/>
    <m/>
    <m/>
    <m/>
    <m/>
    <m/>
    <m/>
    <m/>
    <m/>
    <s v="1"/>
    <s v="1"/>
    <s v="0"/>
    <s v="1"/>
    <s v="1"/>
    <m/>
    <m/>
    <m/>
    <m/>
    <m/>
    <m/>
    <m/>
    <m/>
    <m/>
    <m/>
    <m/>
    <m/>
    <m/>
    <m/>
  </r>
  <r>
    <n v="743"/>
    <d v="2025-03-24T00:00:00"/>
    <s v="ZBTO"/>
    <n v="9518634000"/>
    <n v="1"/>
    <s v="9518634000-1"/>
    <s v="Apr'25 "/>
    <x v="0"/>
    <m/>
    <x v="4"/>
    <x v="5"/>
    <s v="1000-IPPE"/>
    <m/>
    <x v="1"/>
    <m/>
    <m/>
    <s v="Gujarat"/>
    <s v="West"/>
    <s v="VADODARA"/>
    <s v="Coil"/>
    <n v="947011"/>
    <x v="73"/>
    <n v="3875613"/>
    <s v="GL COIL HARD  Y550GL HGL6 0.800X1250"/>
    <m/>
    <m/>
    <m/>
    <m/>
    <s v="Wider"/>
    <s v="B04"/>
    <s v="Y550GL"/>
    <s v="HGL6"/>
    <n v="0.8"/>
    <n v="1250"/>
    <n v="0"/>
    <n v="261"/>
    <n v="88.71"/>
    <n v="172.29"/>
    <n v="168.69"/>
    <n v="172.29"/>
    <n v="172.29"/>
    <n v="0"/>
    <n v="0"/>
    <n v="0"/>
    <n v="0"/>
    <n v="0"/>
    <n v="0"/>
    <n v="0"/>
    <n v="0"/>
    <n v="0"/>
    <n v="0"/>
    <n v="0"/>
    <n v="0"/>
    <n v="0"/>
    <n v="0"/>
    <n v="0"/>
    <n v="0"/>
    <n v="0"/>
    <n v="0"/>
    <n v="0"/>
    <n v="0"/>
    <n v="0"/>
    <n v="0"/>
    <n v="0"/>
    <m/>
    <n v="0"/>
    <n v="261"/>
    <n v="0"/>
    <n v="0"/>
    <n v="261"/>
    <n v="0"/>
    <n v="0"/>
    <n v="0"/>
    <n v="0"/>
    <n v="0"/>
    <n v="0"/>
    <n v="0"/>
    <n v="0"/>
    <n v="261"/>
    <n v="0"/>
    <n v="0"/>
    <n v="0"/>
    <n v="0"/>
    <n v="0"/>
    <n v="0"/>
    <n v="0"/>
    <m/>
    <m/>
    <m/>
    <m/>
    <m/>
    <m/>
    <m/>
    <m/>
    <s v="1"/>
    <s v="1"/>
    <s v="0"/>
    <s v="1"/>
    <s v="1"/>
    <m/>
    <m/>
    <m/>
    <m/>
    <m/>
    <m/>
    <m/>
    <m/>
    <m/>
    <m/>
    <m/>
    <m/>
    <m/>
    <m/>
  </r>
  <r>
    <n v="743"/>
    <m/>
    <s v="ZBTO"/>
    <n v="9518497466"/>
    <n v="1"/>
    <s v="9518497466-1"/>
    <s v="No Priority"/>
    <x v="0"/>
    <m/>
    <x v="3"/>
    <x v="4"/>
    <n v="2000"/>
    <m/>
    <x v="0"/>
    <m/>
    <m/>
    <s v="Karnataka"/>
    <s v="South"/>
    <s v="HUBLI"/>
    <s v="Coil"/>
    <n v="942923"/>
    <x v="74"/>
    <n v="3708868"/>
    <m/>
    <m/>
    <m/>
    <m/>
    <m/>
    <s v="Wider"/>
    <s v="C05"/>
    <m/>
    <s v="GP02"/>
    <n v="0.5"/>
    <n v="1350"/>
    <n v="0"/>
    <n v="93"/>
    <n v="0"/>
    <n v="93"/>
    <n v="93"/>
    <n v="92.38"/>
    <n v="4.4800000000000004"/>
    <n v="0"/>
    <n v="0"/>
    <n v="0"/>
    <n v="0"/>
    <n v="0"/>
    <n v="0"/>
    <n v="0.62"/>
    <n v="0"/>
    <n v="0"/>
    <n v="0"/>
    <n v="0"/>
    <n v="0"/>
    <n v="0"/>
    <n v="0"/>
    <n v="0"/>
    <n v="0"/>
    <n v="0"/>
    <n v="0"/>
    <n v="0"/>
    <n v="0.62"/>
    <n v="0.62"/>
    <n v="0"/>
    <n v="0.62"/>
    <m/>
    <n v="0"/>
    <n v="93"/>
    <n v="0"/>
    <n v="0"/>
    <n v="0"/>
    <n v="0"/>
    <n v="93"/>
    <n v="0"/>
    <n v="0"/>
    <n v="0"/>
    <n v="0"/>
    <n v="0"/>
    <n v="0"/>
    <n v="93"/>
    <n v="0"/>
    <n v="0"/>
    <n v="0"/>
    <n v="0"/>
    <n v="0"/>
    <n v="0"/>
    <n v="0"/>
    <m/>
    <m/>
    <m/>
    <m/>
    <m/>
    <m/>
    <m/>
    <m/>
    <s v="1"/>
    <s v="1"/>
    <s v="1"/>
    <s v="1"/>
    <s v="0"/>
    <m/>
    <m/>
    <m/>
    <m/>
    <m/>
    <m/>
    <m/>
    <m/>
    <m/>
    <m/>
    <m/>
    <m/>
    <m/>
    <m/>
  </r>
  <r>
    <n v="742"/>
    <d v="2025-03-25T00:00:00"/>
    <s v="ZBTO"/>
    <n v="9518631417"/>
    <n v="1"/>
    <s v="9518631417-1"/>
    <s v="Apr'25 additional"/>
    <x v="0"/>
    <m/>
    <x v="0"/>
    <x v="0"/>
    <n v="2000"/>
    <m/>
    <x v="1"/>
    <m/>
    <m/>
    <s v="Karnataka"/>
    <s v="South"/>
    <s v="BANGALORE CITY"/>
    <s v="Coil"/>
    <n v="932179"/>
    <x v="45"/>
    <n v="1210083"/>
    <s v="HR COILS-PO IS 1079 HR2 2X1250"/>
    <m/>
    <m/>
    <m/>
    <m/>
    <s v="Wider"/>
    <n v="768"/>
    <s v="THR099"/>
    <s v="HR99"/>
    <n v="2"/>
    <n v="1250"/>
    <n v="0"/>
    <n v="75"/>
    <n v="0"/>
    <n v="75"/>
    <n v="75"/>
    <n v="75"/>
    <n v="75"/>
    <n v="0"/>
    <n v="0"/>
    <n v="0"/>
    <n v="0"/>
    <n v="0"/>
    <n v="0"/>
    <n v="0"/>
    <n v="0"/>
    <n v="0"/>
    <n v="0"/>
    <n v="0"/>
    <n v="0"/>
    <n v="0"/>
    <n v="0"/>
    <n v="0"/>
    <n v="0"/>
    <n v="0"/>
    <n v="0"/>
    <n v="0"/>
    <n v="0"/>
    <n v="0"/>
    <n v="0"/>
    <n v="0"/>
    <m/>
    <n v="0"/>
    <n v="75"/>
    <n v="0"/>
    <n v="75"/>
    <n v="0"/>
    <n v="0"/>
    <n v="0"/>
    <n v="75"/>
    <n v="0"/>
    <n v="0"/>
    <n v="75"/>
    <n v="0"/>
    <n v="0"/>
    <n v="0"/>
    <n v="0"/>
    <n v="0"/>
    <n v="0"/>
    <n v="0"/>
    <n v="0"/>
    <n v="0"/>
    <n v="0"/>
    <m/>
    <m/>
    <m/>
    <m/>
    <m/>
    <m/>
    <m/>
    <m/>
    <s v="1"/>
    <s v="0"/>
    <s v="1"/>
    <s v="1"/>
    <s v="1"/>
    <m/>
    <m/>
    <m/>
    <m/>
    <m/>
    <m/>
    <m/>
    <m/>
    <m/>
    <m/>
    <m/>
    <m/>
    <m/>
    <m/>
  </r>
  <r>
    <n v="742"/>
    <d v="2025-03-25T00:00:00"/>
    <s v="ZBTO"/>
    <n v="9518631459"/>
    <n v="2"/>
    <s v="9518631459-2"/>
    <s v="No Priority"/>
    <x v="0"/>
    <m/>
    <x v="0"/>
    <x v="0"/>
    <n v="2000"/>
    <m/>
    <x v="0"/>
    <m/>
    <m/>
    <s v="Karnataka"/>
    <s v="South"/>
    <s v="BIDADI"/>
    <s v="Coil"/>
    <n v="939268"/>
    <x v="38"/>
    <n v="1210083"/>
    <s v="HR COILS-PO IS 1079 HR2 2X1250"/>
    <m/>
    <m/>
    <m/>
    <m/>
    <s v="Wider"/>
    <n v="768"/>
    <s v="THR099"/>
    <s v="HR99"/>
    <n v="2"/>
    <n v="1250"/>
    <n v="0"/>
    <n v="75"/>
    <n v="0"/>
    <n v="75"/>
    <n v="75"/>
    <n v="71.319999999999993"/>
    <n v="9.4849999999999994"/>
    <n v="0"/>
    <n v="0"/>
    <n v="3.68"/>
    <n v="0"/>
    <n v="0"/>
    <n v="0"/>
    <n v="0"/>
    <n v="0"/>
    <n v="0"/>
    <n v="0"/>
    <n v="0"/>
    <n v="0"/>
    <n v="0"/>
    <n v="0"/>
    <n v="0"/>
    <n v="0"/>
    <n v="0"/>
    <n v="0"/>
    <n v="0"/>
    <n v="3.68"/>
    <n v="3.68"/>
    <n v="0"/>
    <n v="3.68"/>
    <m/>
    <n v="0"/>
    <n v="75"/>
    <n v="0"/>
    <n v="75"/>
    <n v="0"/>
    <n v="0"/>
    <n v="0"/>
    <n v="75"/>
    <n v="0"/>
    <n v="0"/>
    <n v="75"/>
    <n v="0"/>
    <n v="0"/>
    <n v="0"/>
    <n v="0"/>
    <n v="0"/>
    <n v="0"/>
    <n v="0"/>
    <n v="0"/>
    <n v="0"/>
    <n v="0"/>
    <m/>
    <m/>
    <m/>
    <m/>
    <m/>
    <m/>
    <m/>
    <m/>
    <s v="1"/>
    <s v="0"/>
    <s v="1"/>
    <s v="1"/>
    <s v="1"/>
    <m/>
    <m/>
    <m/>
    <m/>
    <m/>
    <m/>
    <m/>
    <m/>
    <m/>
    <m/>
    <m/>
    <m/>
    <m/>
    <m/>
  </r>
  <r>
    <n v="744"/>
    <d v="2025-03-19T00:00:00"/>
    <s v="ZBTO"/>
    <n v="9518613727"/>
    <n v="1"/>
    <s v="9518613727-1"/>
    <s v="No Priority"/>
    <x v="0"/>
    <m/>
    <x v="2"/>
    <x v="3"/>
    <n v="1000"/>
    <m/>
    <x v="0"/>
    <m/>
    <m/>
    <s v="Jharkhand"/>
    <s v="TBSPL"/>
    <s v="TBL- BARA AGRICO"/>
    <s v="Coil"/>
    <n v="941597"/>
    <x v="6"/>
    <n v="3941967"/>
    <s v="PPGL C HARD Y550PL D0C9 0.60(TPT)X1220"/>
    <m/>
    <m/>
    <m/>
    <m/>
    <s v="Wider"/>
    <s v="B18"/>
    <m/>
    <s v="D0C9"/>
    <n v="0.6"/>
    <n v="1220"/>
    <n v="0"/>
    <n v="112"/>
    <n v="92.275000000000006"/>
    <n v="19.725000000000001"/>
    <n v="10.65"/>
    <n v="13.675000000000001"/>
    <n v="8.2349999999999994"/>
    <n v="0"/>
    <n v="0"/>
    <n v="0"/>
    <n v="0"/>
    <n v="0"/>
    <n v="0"/>
    <n v="0"/>
    <n v="0"/>
    <n v="0"/>
    <n v="0"/>
    <n v="0"/>
    <n v="0"/>
    <n v="0"/>
    <n v="0"/>
    <n v="0"/>
    <n v="6.05"/>
    <n v="0"/>
    <n v="0"/>
    <n v="0"/>
    <n v="6.05"/>
    <n v="6.05"/>
    <n v="0"/>
    <n v="6.05"/>
    <m/>
    <n v="0"/>
    <n v="112"/>
    <n v="0"/>
    <n v="112"/>
    <n v="0"/>
    <n v="0"/>
    <n v="0"/>
    <n v="112"/>
    <n v="0"/>
    <n v="0"/>
    <n v="112"/>
    <n v="0"/>
    <n v="0"/>
    <n v="0"/>
    <n v="39.635000000000005"/>
    <n v="0"/>
    <n v="39.635000000000005"/>
    <n v="0"/>
    <n v="0"/>
    <n v="0"/>
    <n v="0"/>
    <m/>
    <m/>
    <m/>
    <m/>
    <m/>
    <m/>
    <m/>
    <m/>
    <s v="1"/>
    <s v="0"/>
    <s v="1"/>
    <s v="1"/>
    <s v="1"/>
    <m/>
    <m/>
    <m/>
    <m/>
    <m/>
    <m/>
    <m/>
    <m/>
    <m/>
    <m/>
    <m/>
    <m/>
    <m/>
    <m/>
  </r>
  <r>
    <n v="744"/>
    <d v="2025-03-20T00:00:00"/>
    <s v="ZBTO"/>
    <n v="9518617046"/>
    <n v="9"/>
    <s v="9518617046-9"/>
    <s v="No Priority"/>
    <x v="0"/>
    <m/>
    <x v="2"/>
    <x v="3"/>
    <n v="1000"/>
    <m/>
    <x v="0"/>
    <m/>
    <m/>
    <s v="Jharkhand"/>
    <s v="TBSPL"/>
    <s v="TBL- BARA AGRICO"/>
    <s v="Coil"/>
    <n v="941597"/>
    <x v="6"/>
    <n v="3941967"/>
    <s v="PPGL C HARD Y550PL D0C9 0.60(TPT)X1220"/>
    <m/>
    <m/>
    <m/>
    <m/>
    <s v="Wider"/>
    <s v="B18"/>
    <m/>
    <s v="D0C9"/>
    <n v="0.6"/>
    <n v="1220"/>
    <n v="0"/>
    <n v="56"/>
    <n v="0"/>
    <n v="56"/>
    <n v="0.75"/>
    <n v="0"/>
    <n v="36.229999999999997"/>
    <n v="0"/>
    <n v="28.53"/>
    <n v="0"/>
    <n v="0"/>
    <n v="0"/>
    <n v="0"/>
    <n v="0"/>
    <n v="0"/>
    <n v="0"/>
    <n v="6.53"/>
    <n v="0"/>
    <n v="0"/>
    <n v="0"/>
    <n v="0"/>
    <n v="0"/>
    <n v="0.79"/>
    <n v="0"/>
    <n v="0"/>
    <n v="0"/>
    <n v="35.85"/>
    <n v="35.85"/>
    <n v="0"/>
    <n v="35.85"/>
    <m/>
    <n v="0"/>
    <n v="56"/>
    <n v="0"/>
    <n v="0"/>
    <n v="56"/>
    <n v="0"/>
    <n v="0"/>
    <n v="56"/>
    <n v="0"/>
    <n v="0"/>
    <n v="0"/>
    <n v="56"/>
    <n v="0"/>
    <n v="0"/>
    <n v="0"/>
    <n v="0"/>
    <n v="0"/>
    <n v="0"/>
    <n v="0"/>
    <n v="0"/>
    <n v="0"/>
    <m/>
    <m/>
    <m/>
    <m/>
    <m/>
    <m/>
    <m/>
    <m/>
    <s v="1"/>
    <s v="1"/>
    <s v="0"/>
    <s v="1"/>
    <s v="1"/>
    <m/>
    <m/>
    <m/>
    <m/>
    <m/>
    <m/>
    <m/>
    <m/>
    <m/>
    <m/>
    <m/>
    <m/>
    <m/>
    <m/>
  </r>
  <r>
    <n v="744"/>
    <d v="2025-03-26T00:00:00"/>
    <s v="ZBTO"/>
    <n v="9518637595"/>
    <n v="2"/>
    <s v="9518637595-2"/>
    <s v="No Priority"/>
    <x v="0"/>
    <m/>
    <x v="2"/>
    <x v="3"/>
    <n v="1000"/>
    <m/>
    <x v="0"/>
    <m/>
    <m/>
    <s v="Jharkhand"/>
    <s v="TBSPL"/>
    <s v="TBL- BARA AGRICO"/>
    <s v="Coil"/>
    <n v="941597"/>
    <x v="6"/>
    <n v="3902332"/>
    <s v="PPGL C HARD Y550PL D0C9 0.50(TPT)X1220"/>
    <m/>
    <m/>
    <m/>
    <m/>
    <s v="Wider"/>
    <s v="B18"/>
    <m/>
    <s v="D0C9"/>
    <n v="0.5"/>
    <n v="1220"/>
    <n v="0"/>
    <n v="56"/>
    <n v="44.075000000000003"/>
    <n v="11.925000000000001"/>
    <n v="0.92500000000000004"/>
    <n v="0"/>
    <n v="11.925000000000001"/>
    <n v="0"/>
    <n v="0"/>
    <n v="0"/>
    <n v="0"/>
    <n v="0"/>
    <n v="0"/>
    <n v="0"/>
    <n v="0"/>
    <n v="0"/>
    <n v="0"/>
    <n v="0"/>
    <n v="0"/>
    <n v="0"/>
    <n v="0"/>
    <n v="0"/>
    <n v="0"/>
    <n v="0"/>
    <n v="0"/>
    <n v="0"/>
    <n v="0"/>
    <n v="0"/>
    <n v="0"/>
    <n v="0"/>
    <m/>
    <n v="0"/>
    <n v="56"/>
    <n v="0"/>
    <n v="0"/>
    <n v="56"/>
    <n v="0"/>
    <n v="0"/>
    <n v="56"/>
    <n v="0"/>
    <n v="0"/>
    <n v="0"/>
    <n v="56"/>
    <n v="0"/>
    <n v="0"/>
    <n v="27.594999999999999"/>
    <n v="0"/>
    <n v="0"/>
    <n v="27.594999999999999"/>
    <n v="0"/>
    <n v="0"/>
    <n v="0"/>
    <m/>
    <m/>
    <m/>
    <m/>
    <m/>
    <m/>
    <m/>
    <m/>
    <s v="1"/>
    <s v="1"/>
    <s v="0"/>
    <s v="1"/>
    <s v="1"/>
    <m/>
    <m/>
    <m/>
    <m/>
    <m/>
    <m/>
    <m/>
    <m/>
    <m/>
    <m/>
    <m/>
    <m/>
    <m/>
    <m/>
  </r>
  <r>
    <n v="744"/>
    <d v="2025-03-27T00:00:00"/>
    <s v="ZBTO"/>
    <n v="9518644023"/>
    <n v="1"/>
    <s v="9518644023-1"/>
    <s v="Apr'25 additional"/>
    <x v="0"/>
    <m/>
    <x v="2"/>
    <x v="3"/>
    <n v="1000"/>
    <m/>
    <x v="1"/>
    <m/>
    <m/>
    <s v="Jharkhand"/>
    <s v="TBSPL"/>
    <s v="TBL- BARA AGRICO"/>
    <s v="Coil"/>
    <n v="941597"/>
    <x v="6"/>
    <n v="3902332"/>
    <s v="PPGL C HARD Y550PL D0C9 0.50(TPT)X1220"/>
    <m/>
    <m/>
    <m/>
    <m/>
    <s v="Wider"/>
    <s v="B18"/>
    <m/>
    <s v="D0C9"/>
    <n v="0.5"/>
    <n v="1220"/>
    <n v="0"/>
    <n v="28"/>
    <n v="0"/>
    <n v="28"/>
    <n v="28"/>
    <n v="28"/>
    <n v="28"/>
    <n v="0"/>
    <n v="0"/>
    <n v="0"/>
    <n v="0"/>
    <n v="0"/>
    <n v="0"/>
    <n v="0"/>
    <n v="0"/>
    <n v="0"/>
    <n v="0"/>
    <n v="0"/>
    <n v="0"/>
    <n v="0"/>
    <n v="0"/>
    <n v="0"/>
    <n v="0"/>
    <n v="0"/>
    <n v="0"/>
    <n v="0"/>
    <n v="0"/>
    <n v="0"/>
    <n v="0"/>
    <n v="0"/>
    <m/>
    <n v="0"/>
    <n v="28"/>
    <n v="0"/>
    <n v="0"/>
    <n v="0"/>
    <n v="28"/>
    <n v="0"/>
    <n v="28"/>
    <n v="0"/>
    <n v="0"/>
    <n v="0"/>
    <n v="0"/>
    <n v="28"/>
    <n v="0"/>
    <n v="0"/>
    <n v="0"/>
    <n v="0"/>
    <n v="0"/>
    <n v="0"/>
    <n v="0"/>
    <n v="0"/>
    <m/>
    <m/>
    <m/>
    <m/>
    <m/>
    <m/>
    <m/>
    <m/>
    <s v="1"/>
    <s v="1"/>
    <s v="1"/>
    <s v="0"/>
    <s v="1"/>
    <m/>
    <m/>
    <m/>
    <m/>
    <m/>
    <m/>
    <m/>
    <m/>
    <m/>
    <m/>
    <m/>
    <m/>
    <m/>
    <m/>
  </r>
  <r>
    <n v="744"/>
    <d v="2025-03-22T00:00:00"/>
    <s v="ZBTO"/>
    <n v="9518624252"/>
    <n v="21"/>
    <s v="9518624252-21"/>
    <s v="Apr'25 additional"/>
    <x v="0"/>
    <m/>
    <x v="2"/>
    <x v="3"/>
    <n v="1000"/>
    <m/>
    <x v="1"/>
    <m/>
    <m/>
    <s v="Jharkhand"/>
    <s v="TBSPL"/>
    <s v="TBL- BARA AGRICO"/>
    <s v="Coil"/>
    <n v="941597"/>
    <x v="6"/>
    <n v="3902332"/>
    <s v="PPGL C HARD Y550PL D0C9 0.50(TPT)X1220"/>
    <m/>
    <m/>
    <m/>
    <m/>
    <s v="Wider"/>
    <s v="B18"/>
    <m/>
    <s v="D0C9"/>
    <n v="0.5"/>
    <n v="1220"/>
    <n v="0"/>
    <n v="56"/>
    <n v="0"/>
    <n v="56"/>
    <n v="56"/>
    <n v="56"/>
    <n v="56"/>
    <n v="0"/>
    <n v="0"/>
    <n v="0"/>
    <n v="0"/>
    <n v="0"/>
    <n v="0"/>
    <n v="0"/>
    <n v="0"/>
    <n v="0"/>
    <n v="0"/>
    <n v="0"/>
    <n v="0"/>
    <n v="0"/>
    <n v="0"/>
    <n v="0"/>
    <n v="0"/>
    <n v="0"/>
    <n v="0"/>
    <n v="0"/>
    <n v="0"/>
    <n v="0"/>
    <n v="0"/>
    <n v="0"/>
    <m/>
    <n v="0"/>
    <n v="56"/>
    <n v="0"/>
    <n v="0"/>
    <n v="0"/>
    <n v="56"/>
    <n v="0"/>
    <n v="56"/>
    <n v="0"/>
    <n v="0"/>
    <n v="0"/>
    <n v="0"/>
    <n v="56"/>
    <n v="0"/>
    <n v="0"/>
    <n v="0"/>
    <n v="0"/>
    <n v="0"/>
    <n v="0"/>
    <n v="0"/>
    <n v="0"/>
    <m/>
    <m/>
    <m/>
    <m/>
    <m/>
    <m/>
    <m/>
    <m/>
    <s v="1"/>
    <s v="1"/>
    <s v="1"/>
    <s v="0"/>
    <s v="1"/>
    <m/>
    <m/>
    <m/>
    <m/>
    <m/>
    <m/>
    <m/>
    <m/>
    <m/>
    <m/>
    <m/>
    <m/>
    <m/>
    <m/>
  </r>
  <r>
    <n v="744"/>
    <d v="2025-03-22T00:00:00"/>
    <s v="ZBTO"/>
    <n v="9518624252"/>
    <n v="19"/>
    <s v="9518624252-19"/>
    <s v="Apr'25 additional"/>
    <x v="0"/>
    <m/>
    <x v="2"/>
    <x v="3"/>
    <n v="1000"/>
    <m/>
    <x v="1"/>
    <m/>
    <m/>
    <s v="Jharkhand"/>
    <s v="TBSPL"/>
    <s v="TBL- BARA AGRICO"/>
    <s v="Coil"/>
    <n v="941597"/>
    <x v="6"/>
    <n v="3902332"/>
    <s v="PPGL C HARD Y550PL D0C9 0.50(TPT)X1220"/>
    <m/>
    <m/>
    <m/>
    <m/>
    <s v="Wider"/>
    <s v="B18"/>
    <m/>
    <s v="D0C9"/>
    <n v="0.5"/>
    <n v="1220"/>
    <n v="0"/>
    <n v="168"/>
    <n v="0"/>
    <n v="168"/>
    <n v="168"/>
    <n v="168"/>
    <n v="168"/>
    <n v="0"/>
    <n v="0"/>
    <n v="0"/>
    <n v="0"/>
    <n v="0"/>
    <n v="0"/>
    <n v="0"/>
    <n v="0"/>
    <n v="0"/>
    <n v="0"/>
    <n v="0"/>
    <n v="0"/>
    <n v="0"/>
    <n v="0"/>
    <n v="0"/>
    <n v="0"/>
    <n v="0"/>
    <n v="0"/>
    <n v="0"/>
    <n v="0"/>
    <n v="0"/>
    <n v="0"/>
    <n v="0"/>
    <m/>
    <n v="0"/>
    <n v="168"/>
    <n v="0"/>
    <n v="0"/>
    <n v="0"/>
    <n v="0"/>
    <n v="168"/>
    <n v="0"/>
    <n v="0"/>
    <n v="0"/>
    <n v="0"/>
    <n v="0"/>
    <n v="0"/>
    <n v="168"/>
    <n v="0"/>
    <n v="0"/>
    <n v="0"/>
    <n v="0"/>
    <n v="0"/>
    <n v="0"/>
    <n v="0"/>
    <m/>
    <m/>
    <m/>
    <m/>
    <m/>
    <m/>
    <m/>
    <m/>
    <s v="1"/>
    <s v="1"/>
    <s v="1"/>
    <s v="1"/>
    <s v="0"/>
    <m/>
    <m/>
    <m/>
    <m/>
    <m/>
    <m/>
    <m/>
    <m/>
    <m/>
    <m/>
    <m/>
    <m/>
    <m/>
    <m/>
  </r>
  <r>
    <n v="744"/>
    <d v="2025-03-22T00:00:00"/>
    <s v="ZBTO"/>
    <n v="9518624252"/>
    <n v="15"/>
    <s v="9518624252-15"/>
    <s v="Apr'25 additional"/>
    <x v="0"/>
    <m/>
    <x v="2"/>
    <x v="3"/>
    <n v="1000"/>
    <m/>
    <x v="1"/>
    <m/>
    <m/>
    <s v="Jharkhand"/>
    <s v="TBSPL"/>
    <s v="TBL- BARA AGRICO"/>
    <s v="Coil"/>
    <n v="941597"/>
    <x v="6"/>
    <n v="3902332"/>
    <s v="PPGL C HARD Y550PL D0C9 0.50(TPT)X1220"/>
    <m/>
    <m/>
    <m/>
    <m/>
    <s v="Wider"/>
    <s v="B18"/>
    <m/>
    <s v="D0C9"/>
    <n v="0.5"/>
    <n v="1220"/>
    <n v="0"/>
    <n v="168"/>
    <n v="0"/>
    <n v="168"/>
    <n v="168"/>
    <n v="-3.5400000000000205"/>
    <n v="168"/>
    <n v="0"/>
    <n v="143.46"/>
    <n v="28.08"/>
    <n v="0"/>
    <n v="0"/>
    <n v="0"/>
    <n v="0"/>
    <n v="0"/>
    <n v="0"/>
    <n v="0"/>
    <n v="0"/>
    <n v="0"/>
    <n v="0"/>
    <n v="0"/>
    <n v="0"/>
    <n v="0"/>
    <n v="0"/>
    <n v="0"/>
    <n v="0"/>
    <n v="171.54000000000002"/>
    <n v="171.54000000000002"/>
    <n v="0"/>
    <n v="171.54000000000002"/>
    <m/>
    <n v="0"/>
    <n v="168"/>
    <n v="0"/>
    <n v="0"/>
    <n v="0"/>
    <n v="0"/>
    <n v="168"/>
    <n v="0"/>
    <n v="0"/>
    <n v="0"/>
    <n v="0"/>
    <n v="0"/>
    <n v="0"/>
    <n v="168"/>
    <n v="0"/>
    <n v="0"/>
    <n v="0"/>
    <n v="0"/>
    <n v="0"/>
    <n v="0"/>
    <n v="0"/>
    <m/>
    <m/>
    <m/>
    <m/>
    <m/>
    <m/>
    <m/>
    <m/>
    <s v="1"/>
    <s v="1"/>
    <s v="1"/>
    <s v="1"/>
    <s v="0"/>
    <m/>
    <m/>
    <m/>
    <m/>
    <m/>
    <m/>
    <m/>
    <m/>
    <m/>
    <m/>
    <m/>
    <m/>
    <m/>
    <m/>
  </r>
  <r>
    <n v="744"/>
    <d v="2025-03-22T00:00:00"/>
    <s v="ZBTO"/>
    <n v="9518624252"/>
    <n v="14"/>
    <s v="9518624252-14"/>
    <s v="No Priority"/>
    <x v="0"/>
    <m/>
    <x v="2"/>
    <x v="3"/>
    <n v="1000"/>
    <m/>
    <x v="0"/>
    <m/>
    <m/>
    <s v="Jharkhand"/>
    <s v="TBSPL"/>
    <s v="TBL- BARA AGRICO"/>
    <s v="Coil"/>
    <n v="941597"/>
    <x v="6"/>
    <n v="3902332"/>
    <s v="PPGL C HARD Y550PL D0C9 0.50(TPT)X1220"/>
    <m/>
    <m/>
    <m/>
    <m/>
    <s v="Wider"/>
    <s v="B18"/>
    <m/>
    <s v="D0C9"/>
    <n v="0.5"/>
    <n v="1220"/>
    <n v="0"/>
    <n v="195.99"/>
    <n v="162.22499999999999"/>
    <n v="33.765000000000001"/>
    <n v="-2.5270000000000001"/>
    <n v="0"/>
    <n v="12.664999999999999"/>
    <n v="0"/>
    <n v="0"/>
    <n v="0"/>
    <n v="0"/>
    <n v="0"/>
    <n v="0"/>
    <n v="0"/>
    <n v="0"/>
    <n v="0"/>
    <n v="1.94"/>
    <n v="0"/>
    <n v="0"/>
    <n v="0"/>
    <n v="0"/>
    <n v="0"/>
    <n v="0"/>
    <n v="0"/>
    <n v="0"/>
    <n v="8.89"/>
    <n v="10.83"/>
    <n v="10.83"/>
    <n v="0"/>
    <n v="10.83"/>
    <m/>
    <n v="0"/>
    <n v="196"/>
    <n v="0"/>
    <n v="0"/>
    <n v="0"/>
    <n v="196"/>
    <n v="0"/>
    <n v="196"/>
    <n v="0"/>
    <n v="0"/>
    <n v="0"/>
    <n v="196"/>
    <n v="0"/>
    <n v="0"/>
    <n v="0"/>
    <n v="0"/>
    <n v="0"/>
    <n v="0"/>
    <n v="0"/>
    <n v="0"/>
    <n v="0"/>
    <m/>
    <m/>
    <m/>
    <m/>
    <m/>
    <m/>
    <m/>
    <m/>
    <s v="1"/>
    <s v="1"/>
    <s v="1"/>
    <s v="0"/>
    <s v="1"/>
    <m/>
    <m/>
    <m/>
    <m/>
    <m/>
    <m/>
    <m/>
    <m/>
    <m/>
    <m/>
    <m/>
    <m/>
    <m/>
    <m/>
  </r>
  <r>
    <n v="744"/>
    <d v="2025-03-22T00:00:00"/>
    <s v="ZBTO"/>
    <n v="9518624252"/>
    <n v="8"/>
    <s v="9518624252-8"/>
    <s v="Apr'25 additional"/>
    <x v="0"/>
    <m/>
    <x v="2"/>
    <x v="3"/>
    <n v="1000"/>
    <m/>
    <x v="1"/>
    <m/>
    <m/>
    <s v="Jharkhand"/>
    <s v="TBSPL"/>
    <s v="TBL- BARA AGRICO"/>
    <s v="Coil"/>
    <n v="941597"/>
    <x v="6"/>
    <n v="3902332"/>
    <s v="PPGL C HARD Y550PL D0C9 0.50(TPT)X1220"/>
    <m/>
    <m/>
    <m/>
    <m/>
    <s v="Wider"/>
    <s v="B18"/>
    <m/>
    <s v="D0C9"/>
    <n v="0.5"/>
    <n v="1220"/>
    <n v="0"/>
    <n v="28"/>
    <n v="0"/>
    <n v="28"/>
    <n v="28"/>
    <n v="28"/>
    <n v="28"/>
    <n v="0"/>
    <n v="0"/>
    <n v="0"/>
    <n v="0"/>
    <n v="0"/>
    <n v="0"/>
    <n v="0"/>
    <n v="0"/>
    <n v="0"/>
    <n v="0"/>
    <n v="0"/>
    <n v="0"/>
    <n v="0"/>
    <n v="0"/>
    <n v="0"/>
    <n v="0"/>
    <n v="0"/>
    <n v="0"/>
    <n v="0"/>
    <n v="0"/>
    <n v="0"/>
    <n v="0"/>
    <n v="0"/>
    <m/>
    <n v="0"/>
    <n v="28"/>
    <n v="0"/>
    <n v="0"/>
    <n v="0"/>
    <n v="28"/>
    <n v="0"/>
    <n v="28"/>
    <n v="0"/>
    <n v="0"/>
    <n v="0"/>
    <n v="0"/>
    <n v="28"/>
    <n v="0"/>
    <n v="0"/>
    <n v="0"/>
    <n v="0"/>
    <n v="0"/>
    <n v="0"/>
    <n v="0"/>
    <n v="0"/>
    <m/>
    <m/>
    <m/>
    <m/>
    <m/>
    <m/>
    <m/>
    <m/>
    <s v="1"/>
    <s v="1"/>
    <s v="1"/>
    <s v="0"/>
    <s v="1"/>
    <m/>
    <m/>
    <m/>
    <m/>
    <m/>
    <m/>
    <m/>
    <m/>
    <m/>
    <m/>
    <m/>
    <m/>
    <m/>
    <m/>
  </r>
  <r>
    <n v="744"/>
    <d v="2025-03-22T00:00:00"/>
    <s v="ZBTO"/>
    <n v="9518624252"/>
    <n v="7"/>
    <s v="9518624252-7"/>
    <s v="Apr'25 additional"/>
    <x v="0"/>
    <m/>
    <x v="2"/>
    <x v="3"/>
    <n v="1000"/>
    <m/>
    <x v="1"/>
    <m/>
    <m/>
    <s v="Jharkhand"/>
    <s v="TBSPL"/>
    <s v="TBL- BARA AGRICO"/>
    <s v="Coil"/>
    <n v="941597"/>
    <x v="6"/>
    <n v="3902332"/>
    <s v="PPGL C HARD Y550PL D0C9 0.50(TPT)X1220"/>
    <m/>
    <m/>
    <m/>
    <m/>
    <s v="Wider"/>
    <s v="B18"/>
    <m/>
    <s v="D0C9"/>
    <n v="0.5"/>
    <n v="1220"/>
    <n v="0"/>
    <n v="28"/>
    <n v="0"/>
    <n v="28"/>
    <n v="28"/>
    <n v="28"/>
    <n v="28"/>
    <n v="0"/>
    <n v="0"/>
    <n v="0"/>
    <n v="0"/>
    <n v="0"/>
    <n v="0"/>
    <n v="0"/>
    <n v="0"/>
    <n v="0"/>
    <n v="0"/>
    <n v="0"/>
    <n v="0"/>
    <n v="0"/>
    <n v="0"/>
    <n v="0"/>
    <n v="0"/>
    <n v="0"/>
    <n v="0"/>
    <n v="0"/>
    <n v="0"/>
    <n v="0"/>
    <n v="0"/>
    <n v="0"/>
    <m/>
    <n v="0"/>
    <n v="28"/>
    <n v="0"/>
    <n v="0"/>
    <n v="0"/>
    <n v="0"/>
    <n v="28"/>
    <n v="0"/>
    <n v="0"/>
    <n v="0"/>
    <n v="0"/>
    <n v="0"/>
    <n v="0"/>
    <n v="28"/>
    <n v="0"/>
    <n v="0"/>
    <n v="0"/>
    <n v="0"/>
    <n v="0"/>
    <n v="0"/>
    <n v="0"/>
    <m/>
    <m/>
    <m/>
    <m/>
    <m/>
    <m/>
    <m/>
    <m/>
    <s v="1"/>
    <s v="1"/>
    <s v="1"/>
    <s v="1"/>
    <s v="0"/>
    <m/>
    <m/>
    <m/>
    <m/>
    <m/>
    <m/>
    <m/>
    <m/>
    <m/>
    <m/>
    <m/>
    <m/>
    <m/>
    <m/>
  </r>
  <r>
    <n v="744"/>
    <d v="2025-03-22T00:00:00"/>
    <s v="ZBTO"/>
    <n v="9518624252"/>
    <n v="4"/>
    <s v="9518624252-4"/>
    <s v="Apr'25 additional"/>
    <x v="0"/>
    <m/>
    <x v="2"/>
    <x v="3"/>
    <n v="1000"/>
    <m/>
    <x v="1"/>
    <m/>
    <m/>
    <s v="Jharkhand"/>
    <s v="TBSPL"/>
    <s v="TBL- BARA AGRICO"/>
    <s v="Coil"/>
    <n v="941597"/>
    <x v="6"/>
    <n v="3902332"/>
    <s v="PPGL C HARD Y550PL D0C9 0.50(TPT)X1220"/>
    <m/>
    <m/>
    <m/>
    <m/>
    <s v="Wider"/>
    <s v="B18"/>
    <m/>
    <s v="D0C9"/>
    <n v="0.5"/>
    <n v="1220"/>
    <n v="0"/>
    <n v="56"/>
    <n v="26.85"/>
    <n v="29.15"/>
    <n v="29.15"/>
    <n v="29.15"/>
    <n v="29.15"/>
    <n v="0"/>
    <n v="0"/>
    <n v="0"/>
    <n v="0"/>
    <n v="0"/>
    <n v="0"/>
    <n v="0"/>
    <n v="0"/>
    <n v="0"/>
    <n v="0"/>
    <n v="0"/>
    <n v="0"/>
    <n v="0"/>
    <n v="0"/>
    <n v="0"/>
    <n v="0"/>
    <n v="0"/>
    <n v="0"/>
    <n v="0"/>
    <n v="0"/>
    <n v="0"/>
    <n v="0"/>
    <n v="0"/>
    <m/>
    <n v="0"/>
    <n v="56"/>
    <n v="0"/>
    <n v="0"/>
    <n v="0"/>
    <n v="56"/>
    <n v="0"/>
    <n v="56"/>
    <n v="0"/>
    <n v="0"/>
    <n v="0"/>
    <n v="0"/>
    <n v="56"/>
    <n v="0"/>
    <n v="0"/>
    <n v="0"/>
    <n v="0"/>
    <n v="0"/>
    <n v="0"/>
    <n v="0"/>
    <n v="0"/>
    <m/>
    <m/>
    <m/>
    <m/>
    <m/>
    <m/>
    <m/>
    <m/>
    <s v="1"/>
    <s v="1"/>
    <s v="1"/>
    <s v="0"/>
    <s v="1"/>
    <m/>
    <m/>
    <m/>
    <m/>
    <m/>
    <m/>
    <m/>
    <m/>
    <m/>
    <m/>
    <m/>
    <m/>
    <m/>
    <m/>
  </r>
  <r>
    <n v="744"/>
    <d v="2025-03-22T00:00:00"/>
    <s v="ZBTO"/>
    <n v="9518624252"/>
    <n v="2"/>
    <s v="9518624252-2"/>
    <s v="Apr'25 additional"/>
    <x v="0"/>
    <m/>
    <x v="2"/>
    <x v="3"/>
    <n v="1000"/>
    <m/>
    <x v="1"/>
    <m/>
    <m/>
    <s v="Jharkhand"/>
    <s v="TBSPL"/>
    <s v="TBL- BARA AGRICO"/>
    <s v="Coil"/>
    <n v="941597"/>
    <x v="6"/>
    <n v="3902332"/>
    <s v="PPGL C HARD Y550PL D0C9 0.50(TPT)X1220"/>
    <m/>
    <m/>
    <m/>
    <m/>
    <s v="Wider"/>
    <s v="B18"/>
    <m/>
    <s v="D0C9"/>
    <n v="0.5"/>
    <n v="1220"/>
    <n v="0"/>
    <n v="112"/>
    <n v="0"/>
    <n v="112"/>
    <n v="112"/>
    <n v="112"/>
    <n v="112"/>
    <n v="0"/>
    <n v="0"/>
    <n v="0"/>
    <n v="0"/>
    <n v="0"/>
    <n v="0"/>
    <n v="0"/>
    <n v="0"/>
    <n v="0"/>
    <n v="0"/>
    <n v="0"/>
    <n v="0"/>
    <n v="0"/>
    <n v="0"/>
    <n v="0"/>
    <n v="0"/>
    <n v="0"/>
    <n v="0"/>
    <n v="0"/>
    <n v="0"/>
    <n v="0"/>
    <n v="0"/>
    <n v="0"/>
    <m/>
    <n v="0"/>
    <n v="112"/>
    <n v="0"/>
    <n v="0"/>
    <n v="0"/>
    <n v="112"/>
    <n v="0"/>
    <n v="0"/>
    <n v="0"/>
    <n v="0"/>
    <n v="0"/>
    <n v="0"/>
    <n v="0"/>
    <n v="112"/>
    <n v="0"/>
    <n v="0"/>
    <n v="0"/>
    <n v="0"/>
    <n v="0"/>
    <n v="0"/>
    <n v="0"/>
    <m/>
    <m/>
    <m/>
    <m/>
    <m/>
    <m/>
    <m/>
    <m/>
    <s v="1"/>
    <s v="1"/>
    <s v="1"/>
    <s v="0"/>
    <s v="1"/>
    <m/>
    <m/>
    <m/>
    <m/>
    <m/>
    <m/>
    <m/>
    <m/>
    <m/>
    <m/>
    <m/>
    <m/>
    <m/>
    <m/>
  </r>
  <r>
    <n v="744"/>
    <d v="2025-03-22T00:00:00"/>
    <s v="ZBTO"/>
    <n v="9518624252"/>
    <n v="1"/>
    <s v="9518624252-1"/>
    <s v="Apr'25 additional"/>
    <x v="0"/>
    <m/>
    <x v="2"/>
    <x v="3"/>
    <n v="1000"/>
    <m/>
    <x v="1"/>
    <m/>
    <m/>
    <s v="Jharkhand"/>
    <s v="TBSPL"/>
    <s v="TBL- BARA AGRICO"/>
    <s v="Coil"/>
    <n v="941597"/>
    <x v="6"/>
    <n v="3902332"/>
    <s v="PPGL C HARD Y550PL D0C9 0.50(TPT)X1220"/>
    <m/>
    <m/>
    <m/>
    <m/>
    <s v="Wider"/>
    <s v="B18"/>
    <m/>
    <s v="D0C9"/>
    <n v="0.5"/>
    <n v="1220"/>
    <n v="0"/>
    <n v="196"/>
    <n v="0"/>
    <n v="196"/>
    <n v="196"/>
    <n v="-2.1800000000000068"/>
    <n v="196"/>
    <n v="0"/>
    <n v="86.16"/>
    <n v="28.21"/>
    <n v="83.81"/>
    <n v="0"/>
    <n v="0"/>
    <n v="0"/>
    <n v="0"/>
    <n v="0"/>
    <n v="0"/>
    <n v="0"/>
    <n v="0"/>
    <n v="0"/>
    <n v="0"/>
    <n v="0"/>
    <n v="0"/>
    <n v="0"/>
    <n v="0"/>
    <n v="0"/>
    <n v="198.18"/>
    <n v="198.18"/>
    <n v="0"/>
    <n v="198.18"/>
    <m/>
    <n v="0"/>
    <n v="196"/>
    <n v="0"/>
    <n v="0"/>
    <n v="0"/>
    <n v="196"/>
    <n v="0"/>
    <n v="0"/>
    <n v="0"/>
    <n v="0"/>
    <n v="0"/>
    <n v="0"/>
    <n v="0"/>
    <n v="196"/>
    <n v="0"/>
    <n v="0"/>
    <n v="0"/>
    <n v="0"/>
    <n v="0"/>
    <n v="0"/>
    <n v="0"/>
    <m/>
    <m/>
    <m/>
    <m/>
    <m/>
    <m/>
    <m/>
    <m/>
    <s v="1"/>
    <s v="1"/>
    <s v="1"/>
    <s v="0"/>
    <s v="1"/>
    <m/>
    <m/>
    <m/>
    <m/>
    <m/>
    <m/>
    <m/>
    <m/>
    <m/>
    <m/>
    <m/>
    <m/>
    <m/>
    <m/>
  </r>
  <r>
    <n v="743"/>
    <d v="2025-03-25T00:00:00"/>
    <s v="ZBTT"/>
    <n v="9518634002"/>
    <n v="2"/>
    <s v="9518634002-2"/>
    <s v="No Priority"/>
    <x v="0"/>
    <m/>
    <x v="3"/>
    <x v="4"/>
    <n v="2000"/>
    <m/>
    <x v="0"/>
    <m/>
    <m/>
    <s v="Assam"/>
    <s v="East"/>
    <s v="GAUHATI"/>
    <s v="Coil"/>
    <n v="103671"/>
    <x v="17"/>
    <n v="3767487"/>
    <s v="GP COIL TATGPH GP02 0.630X1350"/>
    <m/>
    <m/>
    <m/>
    <m/>
    <s v="Wider"/>
    <s v="C05"/>
    <s v="TATGPH"/>
    <s v="GP02"/>
    <n v="0.63"/>
    <n v="1350"/>
    <n v="0"/>
    <n v="31"/>
    <n v="0"/>
    <n v="31"/>
    <n v="31"/>
    <n v="31"/>
    <n v="0"/>
    <n v="0"/>
    <n v="0"/>
    <n v="0"/>
    <n v="0"/>
    <n v="0"/>
    <n v="0"/>
    <n v="0"/>
    <n v="0"/>
    <n v="0"/>
    <n v="0"/>
    <n v="0"/>
    <n v="0"/>
    <n v="0"/>
    <n v="0"/>
    <n v="0"/>
    <n v="0"/>
    <n v="0"/>
    <n v="0"/>
    <n v="0"/>
    <n v="0"/>
    <n v="0"/>
    <n v="0"/>
    <n v="0"/>
    <m/>
    <n v="0"/>
    <n v="31"/>
    <n v="0"/>
    <n v="0"/>
    <n v="0"/>
    <n v="0"/>
    <n v="31"/>
    <n v="0"/>
    <n v="0"/>
    <n v="0"/>
    <n v="0"/>
    <n v="0"/>
    <n v="0"/>
    <n v="31"/>
    <n v="0"/>
    <n v="0"/>
    <n v="0"/>
    <n v="0"/>
    <n v="0"/>
    <n v="0"/>
    <n v="0"/>
    <m/>
    <m/>
    <m/>
    <m/>
    <m/>
    <m/>
    <m/>
    <m/>
    <s v="1"/>
    <s v="1"/>
    <s v="1"/>
    <s v="1"/>
    <s v="0"/>
    <m/>
    <m/>
    <m/>
    <m/>
    <m/>
    <m/>
    <m/>
    <m/>
    <m/>
    <m/>
    <m/>
    <m/>
    <m/>
    <m/>
  </r>
  <r>
    <n v="743"/>
    <d v="2025-03-26T00:00:00"/>
    <s v="ZBTO"/>
    <n v="9518635704"/>
    <n v="1"/>
    <s v="9518635704-1"/>
    <s v="Apr'25 additional"/>
    <x v="0"/>
    <m/>
    <x v="4"/>
    <x v="3"/>
    <n v="1000"/>
    <m/>
    <x v="1"/>
    <m/>
    <m/>
    <s v="Tamil Nadu"/>
    <s v="TBSPL"/>
    <s v="SRIPERUMBUDUR"/>
    <s v="Coil"/>
    <n v="942294"/>
    <x v="6"/>
    <n v="3239573"/>
    <s v="GL C YS550 H6GL 0.42BMT(0.47TCT)X1220"/>
    <m/>
    <m/>
    <m/>
    <m/>
    <s v="Wider"/>
    <s v="B04"/>
    <s v="Y550GL"/>
    <s v="H6GL"/>
    <n v="0.42"/>
    <n v="1220"/>
    <n v="0"/>
    <n v="28"/>
    <n v="0"/>
    <n v="28"/>
    <n v="28"/>
    <n v="9.8500000000000014"/>
    <n v="18.555"/>
    <n v="0"/>
    <n v="0"/>
    <n v="0"/>
    <n v="0"/>
    <n v="0"/>
    <n v="0"/>
    <n v="0"/>
    <n v="13.465"/>
    <n v="0"/>
    <n v="0"/>
    <n v="0"/>
    <n v="0"/>
    <n v="0"/>
    <n v="0"/>
    <n v="0"/>
    <n v="0"/>
    <n v="0"/>
    <n v="0"/>
    <n v="4.6850000000000005"/>
    <n v="18.149999999999999"/>
    <n v="18.149999999999999"/>
    <n v="0"/>
    <n v="18.149999999999999"/>
    <m/>
    <n v="0"/>
    <n v="28"/>
    <n v="0"/>
    <n v="0"/>
    <n v="0"/>
    <n v="0"/>
    <n v="28"/>
    <n v="0"/>
    <n v="0"/>
    <n v="0"/>
    <n v="0"/>
    <n v="0"/>
    <n v="0"/>
    <n v="28"/>
    <n v="0"/>
    <n v="0"/>
    <n v="0"/>
    <n v="0"/>
    <n v="0"/>
    <n v="0"/>
    <n v="0"/>
    <m/>
    <m/>
    <m/>
    <m/>
    <m/>
    <m/>
    <m/>
    <m/>
    <s v="1"/>
    <s v="1"/>
    <s v="1"/>
    <s v="1"/>
    <s v="0"/>
    <m/>
    <m/>
    <m/>
    <m/>
    <m/>
    <m/>
    <m/>
    <m/>
    <m/>
    <m/>
    <m/>
    <m/>
    <m/>
    <m/>
  </r>
  <r>
    <n v="743"/>
    <d v="2025-03-19T00:00:00"/>
    <s v="ZBTO"/>
    <n v="9518613800"/>
    <n v="1"/>
    <s v="9518613800-1"/>
    <s v="No Priority"/>
    <x v="0"/>
    <m/>
    <x v="4"/>
    <x v="3"/>
    <n v="1000"/>
    <m/>
    <x v="0"/>
    <m/>
    <m/>
    <s v="Jharkhand"/>
    <s v="TBSPL"/>
    <s v="TBL- BARA AGRICO"/>
    <s v="Coil"/>
    <n v="942283"/>
    <x v="6"/>
    <n v="1882004"/>
    <s v="GL C YS550 H6GL 0.55BMT(0.60TCT)X1220"/>
    <m/>
    <m/>
    <m/>
    <m/>
    <s v="Wider"/>
    <s v="B04"/>
    <s v="Y550GL"/>
    <s v="H6GL"/>
    <n v="0.55000000000000004"/>
    <n v="1220"/>
    <n v="0"/>
    <n v="28"/>
    <n v="0"/>
    <n v="28"/>
    <n v="-0.95"/>
    <n v="0"/>
    <n v="0.62"/>
    <n v="0"/>
    <n v="0"/>
    <n v="0"/>
    <n v="0"/>
    <n v="0"/>
    <n v="0"/>
    <n v="0"/>
    <n v="0"/>
    <n v="0"/>
    <n v="0"/>
    <n v="0"/>
    <n v="0"/>
    <n v="0"/>
    <n v="0"/>
    <n v="0"/>
    <n v="0"/>
    <n v="0"/>
    <n v="0"/>
    <n v="0"/>
    <n v="0"/>
    <n v="0"/>
    <n v="0"/>
    <n v="0"/>
    <m/>
    <n v="0"/>
    <n v="28"/>
    <n v="0"/>
    <n v="0"/>
    <n v="28"/>
    <n v="0"/>
    <n v="0"/>
    <n v="28"/>
    <n v="0"/>
    <n v="0"/>
    <n v="0"/>
    <n v="28"/>
    <n v="0"/>
    <n v="0"/>
    <n v="0"/>
    <n v="0"/>
    <n v="0"/>
    <n v="0"/>
    <n v="0"/>
    <n v="0"/>
    <n v="0"/>
    <m/>
    <m/>
    <m/>
    <m/>
    <m/>
    <m/>
    <m/>
    <m/>
    <s v="1"/>
    <s v="1"/>
    <s v="0"/>
    <s v="1"/>
    <s v="1"/>
    <m/>
    <m/>
    <m/>
    <m/>
    <m/>
    <m/>
    <m/>
    <m/>
    <m/>
    <m/>
    <m/>
    <m/>
    <m/>
    <m/>
  </r>
  <r>
    <n v="743"/>
    <d v="2025-03-20T00:00:00"/>
    <s v="ZBTO"/>
    <n v="9518617039"/>
    <n v="2"/>
    <s v="9518617039-2"/>
    <s v="No Priority"/>
    <x v="0"/>
    <m/>
    <x v="4"/>
    <x v="3"/>
    <n v="1000"/>
    <m/>
    <x v="0"/>
    <m/>
    <m/>
    <s v="Jharkhand"/>
    <s v="TBSPL"/>
    <s v="TBL- BARA AGRICO"/>
    <s v="Coil"/>
    <n v="942283"/>
    <x v="6"/>
    <n v="1881969"/>
    <s v="GL C YS550 H6GL 0.45BMT(0.50TCT)X1220"/>
    <m/>
    <m/>
    <m/>
    <m/>
    <s v="Wider"/>
    <s v="B04"/>
    <s v="Y550GL"/>
    <s v="H6GL"/>
    <n v="0.45"/>
    <n v="1220"/>
    <n v="0"/>
    <n v="56"/>
    <n v="0"/>
    <n v="56"/>
    <n v="0.33"/>
    <n v="0"/>
    <n v="0.98"/>
    <n v="0"/>
    <n v="0"/>
    <n v="0"/>
    <n v="0"/>
    <n v="0"/>
    <n v="0"/>
    <n v="0"/>
    <n v="0"/>
    <n v="0"/>
    <n v="0"/>
    <n v="0"/>
    <n v="0"/>
    <n v="0"/>
    <n v="0"/>
    <n v="0"/>
    <n v="0"/>
    <n v="0"/>
    <n v="0"/>
    <n v="0"/>
    <n v="0"/>
    <n v="0"/>
    <n v="0"/>
    <n v="0"/>
    <m/>
    <n v="0"/>
    <n v="56"/>
    <n v="0"/>
    <n v="0"/>
    <n v="56"/>
    <n v="0"/>
    <n v="0"/>
    <n v="56"/>
    <n v="0"/>
    <n v="0"/>
    <n v="0"/>
    <n v="56"/>
    <n v="0"/>
    <n v="0"/>
    <n v="0"/>
    <n v="0"/>
    <n v="0"/>
    <n v="0"/>
    <n v="0"/>
    <n v="0"/>
    <n v="0"/>
    <m/>
    <m/>
    <m/>
    <m/>
    <m/>
    <m/>
    <m/>
    <m/>
    <s v="1"/>
    <s v="1"/>
    <s v="0"/>
    <s v="1"/>
    <s v="1"/>
    <m/>
    <m/>
    <m/>
    <m/>
    <m/>
    <m/>
    <m/>
    <m/>
    <m/>
    <m/>
    <m/>
    <m/>
    <m/>
    <m/>
  </r>
  <r>
    <n v="743"/>
    <d v="2025-03-26T00:00:00"/>
    <s v="ZBTO"/>
    <n v="9518635704"/>
    <n v="2"/>
    <s v="9518635704-2"/>
    <s v="No Priority"/>
    <x v="0"/>
    <m/>
    <x v="4"/>
    <x v="3"/>
    <n v="1000"/>
    <m/>
    <x v="0"/>
    <m/>
    <m/>
    <s v="Tamil Nadu"/>
    <s v="TBSPL"/>
    <s v="SRIPERUMBUDUR"/>
    <s v="Coil"/>
    <n v="942294"/>
    <x v="6"/>
    <n v="1881969"/>
    <s v="GL C YS550 H6GL 0.45BMT(0.50TCT)X1220"/>
    <m/>
    <m/>
    <m/>
    <m/>
    <s v="Wider"/>
    <s v="B04"/>
    <s v="Y550GL"/>
    <s v="H6GL"/>
    <n v="0.45"/>
    <n v="1220"/>
    <n v="0"/>
    <n v="56"/>
    <n v="0"/>
    <n v="56"/>
    <n v="56"/>
    <n v="0"/>
    <n v="2.4"/>
    <n v="0"/>
    <n v="0"/>
    <n v="0"/>
    <n v="0"/>
    <n v="0"/>
    <n v="0"/>
    <n v="0"/>
    <n v="0"/>
    <n v="0"/>
    <n v="0"/>
    <n v="0"/>
    <n v="0"/>
    <n v="0"/>
    <n v="0"/>
    <n v="0"/>
    <n v="0"/>
    <n v="0"/>
    <n v="0"/>
    <n v="0"/>
    <n v="0"/>
    <n v="0"/>
    <n v="56"/>
    <n v="56"/>
    <m/>
    <n v="0"/>
    <n v="56"/>
    <n v="0"/>
    <n v="0"/>
    <n v="0"/>
    <n v="0"/>
    <n v="56"/>
    <n v="0"/>
    <n v="0"/>
    <n v="0"/>
    <n v="0"/>
    <n v="0"/>
    <n v="0"/>
    <n v="56"/>
    <n v="0"/>
    <n v="0"/>
    <n v="0"/>
    <n v="0"/>
    <n v="0"/>
    <n v="0"/>
    <n v="0"/>
    <m/>
    <m/>
    <m/>
    <m/>
    <m/>
    <m/>
    <m/>
    <m/>
    <s v="1"/>
    <s v="1"/>
    <s v="1"/>
    <s v="1"/>
    <s v="0"/>
    <m/>
    <m/>
    <m/>
    <m/>
    <m/>
    <m/>
    <m/>
    <m/>
    <m/>
    <m/>
    <m/>
    <m/>
    <m/>
    <m/>
  </r>
  <r>
    <n v="743"/>
    <d v="2025-03-20T00:00:00"/>
    <s v="ZBTO"/>
    <n v="9518617039"/>
    <n v="1"/>
    <s v="9518617039-1"/>
    <s v="No Priority"/>
    <x v="0"/>
    <m/>
    <x v="4"/>
    <x v="3"/>
    <n v="1000"/>
    <m/>
    <x v="0"/>
    <m/>
    <m/>
    <s v="Jharkhand"/>
    <s v="TBSPL"/>
    <s v="TBL- BARA AGRICO"/>
    <s v="Coil"/>
    <n v="942283"/>
    <x v="6"/>
    <n v="1881969"/>
    <s v="GL C YS550 H6GL 0.45BMT(0.50TCT)X1220"/>
    <m/>
    <m/>
    <m/>
    <m/>
    <s v="Wider"/>
    <s v="B04"/>
    <s v="Y550GL"/>
    <s v="H6GL"/>
    <n v="0.45"/>
    <n v="1220"/>
    <n v="0"/>
    <n v="252"/>
    <n v="0"/>
    <n v="252"/>
    <n v="252"/>
    <n v="0"/>
    <n v="252"/>
    <n v="0"/>
    <n v="0"/>
    <n v="0"/>
    <n v="0"/>
    <n v="0"/>
    <n v="0"/>
    <n v="0"/>
    <n v="0"/>
    <n v="0"/>
    <n v="0"/>
    <n v="0"/>
    <n v="0"/>
    <n v="0"/>
    <n v="0"/>
    <n v="0"/>
    <n v="0"/>
    <n v="0"/>
    <n v="0"/>
    <n v="0"/>
    <n v="0"/>
    <n v="0"/>
    <n v="252"/>
    <n v="252"/>
    <m/>
    <n v="0"/>
    <n v="252"/>
    <n v="0"/>
    <n v="252"/>
    <n v="0"/>
    <n v="0"/>
    <n v="0"/>
    <n v="252"/>
    <n v="0"/>
    <n v="0"/>
    <n v="252"/>
    <n v="0"/>
    <n v="0"/>
    <n v="0"/>
    <n v="0"/>
    <n v="0"/>
    <n v="0"/>
    <n v="0"/>
    <n v="0"/>
    <n v="0"/>
    <n v="0"/>
    <m/>
    <m/>
    <m/>
    <m/>
    <m/>
    <m/>
    <m/>
    <m/>
    <s v="1"/>
    <s v="0"/>
    <s v="1"/>
    <s v="1"/>
    <s v="1"/>
    <m/>
    <m/>
    <m/>
    <m/>
    <m/>
    <m/>
    <m/>
    <m/>
    <m/>
    <m/>
    <m/>
    <m/>
    <m/>
    <m/>
  </r>
  <r>
    <n v="743"/>
    <d v="2025-03-20T00:00:00"/>
    <s v="ZBTO"/>
    <n v="9518617039"/>
    <n v="4"/>
    <s v="9518617039-4"/>
    <s v="No Priority"/>
    <x v="0"/>
    <m/>
    <x v="4"/>
    <x v="3"/>
    <n v="1000"/>
    <m/>
    <x v="0"/>
    <m/>
    <m/>
    <s v="Jharkhand"/>
    <s v="TBSPL"/>
    <s v="TBL- BARA AGRICO"/>
    <s v="Coil"/>
    <n v="942283"/>
    <x v="6"/>
    <n v="1882004"/>
    <s v="GL C YS550 H6GL 0.55BMT(0.60TCT)X1220"/>
    <m/>
    <m/>
    <m/>
    <m/>
    <s v="Wider"/>
    <s v="B04"/>
    <s v="Y550GL"/>
    <s v="H6GL"/>
    <n v="0.55000000000000004"/>
    <n v="1220"/>
    <n v="0"/>
    <n v="112"/>
    <n v="0"/>
    <n v="112"/>
    <n v="-1.53"/>
    <n v="0"/>
    <n v="3.36"/>
    <n v="0"/>
    <n v="0"/>
    <n v="0"/>
    <n v="0"/>
    <n v="0"/>
    <n v="0"/>
    <n v="0"/>
    <n v="0"/>
    <n v="0"/>
    <n v="0"/>
    <n v="0"/>
    <n v="0"/>
    <n v="0"/>
    <n v="0"/>
    <n v="0"/>
    <n v="0"/>
    <n v="0"/>
    <n v="0"/>
    <n v="0"/>
    <n v="0"/>
    <n v="0"/>
    <n v="0"/>
    <n v="0"/>
    <m/>
    <n v="0"/>
    <n v="112"/>
    <n v="0"/>
    <n v="0"/>
    <n v="112"/>
    <n v="0"/>
    <n v="0"/>
    <n v="112"/>
    <n v="0"/>
    <n v="0"/>
    <n v="0"/>
    <n v="112"/>
    <n v="0"/>
    <n v="0"/>
    <n v="0"/>
    <n v="0"/>
    <n v="0"/>
    <n v="0"/>
    <n v="0"/>
    <n v="0"/>
    <n v="0"/>
    <m/>
    <m/>
    <m/>
    <m/>
    <m/>
    <m/>
    <m/>
    <m/>
    <s v="1"/>
    <s v="1"/>
    <s v="0"/>
    <s v="1"/>
    <s v="1"/>
    <m/>
    <m/>
    <m/>
    <m/>
    <m/>
    <m/>
    <m/>
    <m/>
    <m/>
    <m/>
    <m/>
    <m/>
    <m/>
    <m/>
  </r>
  <r>
    <n v="742"/>
    <d v="2025-03-14T00:00:00"/>
    <s v="ZBTF"/>
    <n v="4000500995"/>
    <n v="4"/>
    <s v="4000500995-4"/>
    <s v="No Priority"/>
    <x v="0"/>
    <m/>
    <x v="0"/>
    <x v="6"/>
    <n v="2000"/>
    <m/>
    <x v="0"/>
    <m/>
    <m/>
    <e v="#N/A"/>
    <s v="South"/>
    <s v="YESHWANTHPURA"/>
    <s v="Coil"/>
    <n v="600103"/>
    <x v="21"/>
    <n v="1250221"/>
    <s v="HR COILS-PO IS 1079 HR2 2.50X1250"/>
    <m/>
    <m/>
    <m/>
    <m/>
    <s v="Wider"/>
    <n v="768"/>
    <s v="THR099"/>
    <s v="HR99"/>
    <n v="2.5"/>
    <n v="1250"/>
    <n v="0"/>
    <n v="200"/>
    <n v="123.21"/>
    <n v="76.790000000000006"/>
    <n v="76.790000000000006"/>
    <n v="6.7900000000000063"/>
    <n v="3.5649999999999999"/>
    <n v="0"/>
    <n v="0"/>
    <n v="0"/>
    <n v="0"/>
    <n v="0"/>
    <n v="0"/>
    <n v="0"/>
    <n v="0"/>
    <n v="0"/>
    <n v="0"/>
    <n v="0"/>
    <n v="0"/>
    <n v="0"/>
    <n v="0"/>
    <n v="0"/>
    <n v="0"/>
    <n v="0"/>
    <n v="0"/>
    <n v="0"/>
    <n v="0"/>
    <n v="0"/>
    <n v="70"/>
    <n v="70"/>
    <m/>
    <n v="0"/>
    <n v="200"/>
    <n v="0"/>
    <n v="0"/>
    <n v="0"/>
    <n v="200"/>
    <n v="0"/>
    <n v="200"/>
    <n v="0"/>
    <n v="0"/>
    <n v="0"/>
    <n v="0"/>
    <n v="200"/>
    <n v="0"/>
    <n v="0"/>
    <n v="0"/>
    <n v="0"/>
    <n v="0"/>
    <n v="0"/>
    <n v="0"/>
    <n v="0"/>
    <m/>
    <m/>
    <m/>
    <m/>
    <m/>
    <m/>
    <m/>
    <m/>
    <s v="1"/>
    <s v="1"/>
    <s v="1"/>
    <s v="0"/>
    <s v="1"/>
    <m/>
    <m/>
    <m/>
    <m/>
    <m/>
    <m/>
    <m/>
    <m/>
    <m/>
    <m/>
    <m/>
    <m/>
    <m/>
    <m/>
  </r>
  <r>
    <n v="742"/>
    <d v="2025-03-25T00:00:00"/>
    <s v="ZBTO"/>
    <n v="9518631417"/>
    <n v="4"/>
    <s v="9518631417-4"/>
    <s v="Apr'25 additional"/>
    <x v="0"/>
    <m/>
    <x v="0"/>
    <x v="0"/>
    <n v="2000"/>
    <m/>
    <x v="1"/>
    <m/>
    <m/>
    <s v="Karnataka"/>
    <s v="South"/>
    <s v="BANGALORE CITY"/>
    <s v="Coil"/>
    <n v="932179"/>
    <x v="45"/>
    <n v="1210086"/>
    <s v="HR COILS-PO IS 1079 HR2 4X1250"/>
    <m/>
    <m/>
    <m/>
    <m/>
    <s v="Wider"/>
    <n v="768"/>
    <s v="THR099"/>
    <s v="HR99"/>
    <n v="4"/>
    <n v="1250"/>
    <n v="0"/>
    <n v="50"/>
    <n v="0"/>
    <n v="50"/>
    <n v="50"/>
    <n v="1.0300000000000011"/>
    <n v="50"/>
    <n v="0"/>
    <n v="0"/>
    <n v="48.97"/>
    <n v="0"/>
    <n v="0"/>
    <n v="0"/>
    <n v="0"/>
    <n v="0"/>
    <n v="0"/>
    <n v="0"/>
    <n v="0"/>
    <n v="0"/>
    <n v="0"/>
    <n v="0"/>
    <n v="0"/>
    <n v="0"/>
    <n v="0"/>
    <n v="0"/>
    <n v="0"/>
    <n v="48.97"/>
    <n v="48.97"/>
    <n v="0"/>
    <n v="48.97"/>
    <m/>
    <n v="0"/>
    <n v="50"/>
    <n v="0"/>
    <n v="0"/>
    <n v="0"/>
    <n v="50"/>
    <n v="0"/>
    <n v="50"/>
    <n v="0"/>
    <n v="0"/>
    <n v="0"/>
    <n v="0"/>
    <n v="50"/>
    <n v="0"/>
    <n v="0"/>
    <n v="0"/>
    <n v="0"/>
    <n v="0"/>
    <n v="0"/>
    <n v="0"/>
    <n v="0"/>
    <m/>
    <m/>
    <m/>
    <m/>
    <m/>
    <m/>
    <m/>
    <m/>
    <s v="1"/>
    <s v="1"/>
    <s v="1"/>
    <s v="0"/>
    <s v="1"/>
    <m/>
    <m/>
    <m/>
    <m/>
    <m/>
    <m/>
    <m/>
    <m/>
    <m/>
    <m/>
    <m/>
    <m/>
    <m/>
    <m/>
  </r>
  <r>
    <n v="744"/>
    <d v="2025-03-29T00:00:00"/>
    <s v="ZBTO"/>
    <n v="9518651680"/>
    <n v="3"/>
    <s v="9518651680-3"/>
    <s v="No Priority"/>
    <x v="0"/>
    <m/>
    <x v="2"/>
    <x v="3"/>
    <n v="1000"/>
    <m/>
    <x v="0"/>
    <m/>
    <m/>
    <s v="Jharkhand"/>
    <s v="TBSPL"/>
    <s v="GAMHARIA"/>
    <s v="Coil"/>
    <n v="940016"/>
    <x v="15"/>
    <n v="3900141"/>
    <s v="PPGL C Y550 ISC6 0.43BMT(0.48TPT)X1220"/>
    <s v="aZ70"/>
    <m/>
    <m/>
    <m/>
    <s v="Wider"/>
    <s v="B18"/>
    <s v="Y550PL"/>
    <s v="ISC6"/>
    <n v="0.43"/>
    <n v="1220"/>
    <n v="0"/>
    <n v="28"/>
    <n v="0"/>
    <n v="28"/>
    <n v="28"/>
    <n v="22.625"/>
    <n v="10.42"/>
    <n v="0"/>
    <n v="0"/>
    <n v="0"/>
    <n v="0"/>
    <n v="0"/>
    <n v="0"/>
    <n v="0"/>
    <n v="5.375"/>
    <n v="0"/>
    <n v="0"/>
    <n v="0"/>
    <n v="0"/>
    <n v="0"/>
    <n v="0"/>
    <n v="0"/>
    <n v="0"/>
    <n v="0"/>
    <n v="0"/>
    <n v="0"/>
    <n v="5.375"/>
    <n v="5.375"/>
    <n v="0"/>
    <n v="5.375"/>
    <m/>
    <n v="0"/>
    <n v="28"/>
    <n v="0"/>
    <n v="0"/>
    <n v="0"/>
    <n v="28"/>
    <n v="0"/>
    <n v="0"/>
    <n v="0"/>
    <n v="0"/>
    <n v="0"/>
    <n v="0"/>
    <n v="0"/>
    <n v="28"/>
    <n v="0"/>
    <n v="0"/>
    <n v="0"/>
    <n v="0"/>
    <n v="0"/>
    <n v="0"/>
    <n v="0"/>
    <m/>
    <m/>
    <m/>
    <m/>
    <m/>
    <m/>
    <m/>
    <m/>
    <s v="1"/>
    <s v="1"/>
    <s v="1"/>
    <s v="0"/>
    <s v="1"/>
    <m/>
    <m/>
    <m/>
    <m/>
    <m/>
    <m/>
    <m/>
    <m/>
    <m/>
    <m/>
    <m/>
    <m/>
    <m/>
    <m/>
  </r>
  <r>
    <n v="744"/>
    <d v="2025-03-13T00:00:00"/>
    <s v="ZBTO"/>
    <n v="9518598830"/>
    <n v="1"/>
    <s v="9518598830-1"/>
    <s v="No Priority"/>
    <x v="0"/>
    <m/>
    <x v="2"/>
    <x v="3"/>
    <n v="1000"/>
    <m/>
    <x v="0"/>
    <m/>
    <m/>
    <s v="Jharkhand"/>
    <s v="TBSPL"/>
    <s v="GAMHARIA"/>
    <s v="Coil"/>
    <n v="940016"/>
    <x v="15"/>
    <n v="3797658"/>
    <s v="PPGL C Y550 ISC6 0.40BMT(0.45TPT)X1220"/>
    <s v="aZ70"/>
    <m/>
    <m/>
    <m/>
    <s v="Wider"/>
    <s v="B18"/>
    <s v="Y550PL"/>
    <s v="ISC6"/>
    <n v="0.4"/>
    <n v="1220"/>
    <n v="0"/>
    <n v="112"/>
    <n v="71.814999999999998"/>
    <n v="40.185000000000002"/>
    <n v="12.455"/>
    <n v="-2.1599999999999966"/>
    <n v="33.984999999999999"/>
    <n v="0"/>
    <n v="28.81"/>
    <n v="0"/>
    <n v="0"/>
    <n v="0"/>
    <n v="0"/>
    <n v="0"/>
    <n v="13.535"/>
    <n v="0"/>
    <n v="0"/>
    <n v="0"/>
    <n v="0"/>
    <n v="0"/>
    <n v="0"/>
    <n v="0"/>
    <n v="0"/>
    <n v="0"/>
    <n v="0"/>
    <n v="0"/>
    <n v="42.344999999999999"/>
    <n v="42.344999999999999"/>
    <n v="0"/>
    <n v="42.344999999999999"/>
    <m/>
    <n v="0"/>
    <n v="112"/>
    <n v="0"/>
    <n v="112"/>
    <n v="0"/>
    <n v="0"/>
    <n v="0"/>
    <n v="112"/>
    <n v="0"/>
    <n v="0"/>
    <n v="112"/>
    <n v="0"/>
    <n v="0"/>
    <n v="0"/>
    <n v="59.5"/>
    <n v="0"/>
    <n v="59.5"/>
    <n v="0"/>
    <n v="0"/>
    <n v="0"/>
    <n v="0"/>
    <m/>
    <m/>
    <m/>
    <m/>
    <m/>
    <m/>
    <m/>
    <m/>
    <s v="1"/>
    <s v="0"/>
    <s v="1"/>
    <s v="1"/>
    <s v="1"/>
    <m/>
    <m/>
    <m/>
    <m/>
    <m/>
    <m/>
    <m/>
    <m/>
    <m/>
    <m/>
    <m/>
    <m/>
    <m/>
    <m/>
  </r>
  <r>
    <n v="744"/>
    <d v="2025-03-29T00:00:00"/>
    <s v="ZBTO"/>
    <n v="9518652226"/>
    <n v="1"/>
    <s v="9518652226-1"/>
    <s v="No Priority"/>
    <x v="0"/>
    <m/>
    <x v="2"/>
    <x v="3"/>
    <n v="1000"/>
    <m/>
    <x v="0"/>
    <m/>
    <m/>
    <s v="Jharkhand"/>
    <s v="TBSPL"/>
    <s v="GAMHARIA"/>
    <s v="Coil"/>
    <n v="940016"/>
    <x v="15"/>
    <n v="3522241"/>
    <s v="PPGL C Y550 D0C7 0.43BMT(0.47TPT)X1220"/>
    <s v="aZ70"/>
    <m/>
    <m/>
    <m/>
    <s v="Wider"/>
    <s v="B18"/>
    <s v="Y550PL"/>
    <s v="D0C7"/>
    <n v="0.43"/>
    <n v="1220"/>
    <n v="0"/>
    <n v="55.99"/>
    <n v="54.505000000000003"/>
    <n v="1.4850000000000001"/>
    <n v="-2.82"/>
    <n v="0"/>
    <n v="-3.55"/>
    <n v="0"/>
    <n v="0"/>
    <n v="0"/>
    <n v="0"/>
    <n v="0"/>
    <n v="0"/>
    <n v="0"/>
    <n v="0"/>
    <n v="0"/>
    <n v="0"/>
    <n v="0"/>
    <n v="0"/>
    <n v="0"/>
    <n v="0"/>
    <n v="0"/>
    <n v="0"/>
    <n v="0"/>
    <n v="0"/>
    <n v="0"/>
    <n v="0"/>
    <n v="0"/>
    <n v="0"/>
    <n v="0"/>
    <m/>
    <n v="0"/>
    <n v="56"/>
    <n v="0"/>
    <n v="0"/>
    <n v="56"/>
    <n v="0"/>
    <n v="0"/>
    <n v="56"/>
    <n v="0"/>
    <n v="0"/>
    <n v="0"/>
    <n v="56"/>
    <n v="0"/>
    <n v="0"/>
    <n v="49.394999999999996"/>
    <n v="0"/>
    <n v="0"/>
    <n v="49.394999999999996"/>
    <n v="0"/>
    <n v="0"/>
    <n v="0"/>
    <m/>
    <m/>
    <m/>
    <m/>
    <m/>
    <m/>
    <m/>
    <m/>
    <s v="1"/>
    <s v="1"/>
    <s v="0"/>
    <s v="1"/>
    <s v="1"/>
    <m/>
    <m/>
    <m/>
    <m/>
    <m/>
    <m/>
    <m/>
    <m/>
    <m/>
    <m/>
    <m/>
    <m/>
    <m/>
    <m/>
  </r>
  <r>
    <n v="744"/>
    <d v="2025-03-26T00:00:00"/>
    <s v="ZBTO"/>
    <n v="9518635916"/>
    <n v="2"/>
    <s v="9518635916-2"/>
    <s v="No Priority"/>
    <x v="0"/>
    <m/>
    <x v="2"/>
    <x v="3"/>
    <n v="1000"/>
    <m/>
    <x v="0"/>
    <m/>
    <m/>
    <s v="Jharkhand"/>
    <s v="TBSPL"/>
    <s v="GAMHARIA"/>
    <s v="Coil"/>
    <n v="940016"/>
    <x v="15"/>
    <n v="3522241"/>
    <s v="PPGL C Y550 D0C7 0.43BMT(0.47TPT)X1220"/>
    <s v="aZ70"/>
    <m/>
    <m/>
    <m/>
    <s v="Wider"/>
    <s v="B18"/>
    <s v="Y550PL"/>
    <s v="D0C7"/>
    <n v="0.43"/>
    <n v="1220"/>
    <n v="0"/>
    <n v="280"/>
    <n v="204.54499999999999"/>
    <n v="75.454999999999998"/>
    <n v="-1.786"/>
    <n v="0"/>
    <n v="60.405000000000001"/>
    <n v="0"/>
    <n v="0"/>
    <n v="0"/>
    <n v="0"/>
    <n v="0"/>
    <n v="0"/>
    <n v="0"/>
    <n v="0"/>
    <n v="0"/>
    <n v="0"/>
    <n v="0"/>
    <n v="0"/>
    <n v="0"/>
    <n v="0"/>
    <n v="0"/>
    <n v="26.04"/>
    <n v="0"/>
    <n v="0"/>
    <n v="0"/>
    <n v="26.04"/>
    <n v="26.04"/>
    <n v="0"/>
    <n v="26.04"/>
    <m/>
    <n v="0"/>
    <n v="280"/>
    <n v="0"/>
    <n v="0"/>
    <n v="280"/>
    <n v="0"/>
    <n v="0"/>
    <n v="280"/>
    <n v="0"/>
    <n v="0"/>
    <n v="0"/>
    <n v="280"/>
    <n v="0"/>
    <n v="0"/>
    <n v="0"/>
    <n v="0"/>
    <n v="0"/>
    <n v="0"/>
    <n v="0"/>
    <n v="0"/>
    <n v="0"/>
    <m/>
    <m/>
    <m/>
    <m/>
    <m/>
    <m/>
    <m/>
    <m/>
    <s v="1"/>
    <s v="1"/>
    <s v="0"/>
    <s v="1"/>
    <s v="1"/>
    <m/>
    <m/>
    <m/>
    <m/>
    <m/>
    <m/>
    <m/>
    <m/>
    <m/>
    <m/>
    <m/>
    <m/>
    <m/>
    <m/>
  </r>
  <r>
    <n v="744"/>
    <d v="2025-03-29T00:00:00"/>
    <s v="ZBTO"/>
    <n v="9518651680"/>
    <n v="4"/>
    <s v="9518651680-4"/>
    <s v="No Priority"/>
    <x v="0"/>
    <m/>
    <x v="2"/>
    <x v="3"/>
    <n v="1000"/>
    <m/>
    <x v="0"/>
    <m/>
    <m/>
    <s v="Jharkhand"/>
    <s v="TBSPL"/>
    <s v="GAMHARIA"/>
    <s v="Coil"/>
    <n v="940016"/>
    <x v="15"/>
    <n v="3797658"/>
    <s v="PPGL C Y550 ISC6 0.40BMT(0.45TPT)X1220"/>
    <s v="aZ70"/>
    <m/>
    <m/>
    <m/>
    <s v="Wider"/>
    <s v="B18"/>
    <s v="Y550PL"/>
    <s v="ISC6"/>
    <n v="0.4"/>
    <n v="1220"/>
    <n v="0"/>
    <n v="28"/>
    <n v="0"/>
    <n v="28"/>
    <n v="-0.1"/>
    <n v="0"/>
    <n v="28"/>
    <n v="0"/>
    <n v="0"/>
    <n v="0"/>
    <n v="0"/>
    <n v="0"/>
    <n v="0"/>
    <n v="0"/>
    <n v="0"/>
    <n v="0"/>
    <n v="0"/>
    <n v="0"/>
    <n v="0"/>
    <n v="0"/>
    <n v="0"/>
    <n v="0"/>
    <n v="0"/>
    <n v="0"/>
    <n v="0"/>
    <n v="0"/>
    <n v="0"/>
    <n v="0"/>
    <n v="0"/>
    <n v="0"/>
    <m/>
    <n v="0"/>
    <n v="28"/>
    <n v="0"/>
    <n v="0"/>
    <n v="0"/>
    <n v="28"/>
    <n v="0"/>
    <n v="0"/>
    <n v="0"/>
    <n v="0"/>
    <n v="0"/>
    <n v="0"/>
    <n v="0"/>
    <n v="28"/>
    <n v="0"/>
    <n v="0"/>
    <n v="0"/>
    <n v="0"/>
    <n v="0"/>
    <n v="0"/>
    <n v="0"/>
    <m/>
    <m/>
    <m/>
    <m/>
    <m/>
    <m/>
    <m/>
    <m/>
    <s v="1"/>
    <s v="1"/>
    <s v="1"/>
    <s v="0"/>
    <s v="1"/>
    <m/>
    <m/>
    <m/>
    <m/>
    <m/>
    <m/>
    <m/>
    <m/>
    <m/>
    <m/>
    <m/>
    <m/>
    <m/>
    <m/>
  </r>
  <r>
    <n v="744"/>
    <d v="2025-03-29T00:00:00"/>
    <s v="ZBTO"/>
    <n v="9518651680"/>
    <n v="5"/>
    <s v="9518651680-5"/>
    <s v="No Priority"/>
    <x v="0"/>
    <m/>
    <x v="2"/>
    <x v="3"/>
    <n v="1000"/>
    <m/>
    <x v="0"/>
    <m/>
    <m/>
    <s v="Jharkhand"/>
    <s v="TBSPL"/>
    <s v="GAMHARIA"/>
    <s v="Coil"/>
    <n v="940016"/>
    <x v="15"/>
    <n v="3879501"/>
    <s v="PPGL C Y550 ISC6 0.45BMT(0.50TPT)X1220"/>
    <s v="aZ70"/>
    <m/>
    <m/>
    <m/>
    <s v="Wider"/>
    <s v="B18"/>
    <s v="Y550PL"/>
    <s v="ISC6"/>
    <n v="0.45"/>
    <n v="1220"/>
    <n v="0"/>
    <n v="84"/>
    <n v="0"/>
    <n v="84"/>
    <n v="-2.1800000000000002"/>
    <n v="0"/>
    <n v="0.32500000000000001"/>
    <n v="0"/>
    <n v="0"/>
    <n v="0"/>
    <n v="0"/>
    <n v="0"/>
    <n v="0"/>
    <n v="0"/>
    <n v="0"/>
    <n v="0"/>
    <n v="0"/>
    <n v="0"/>
    <n v="0"/>
    <n v="0"/>
    <n v="0"/>
    <n v="0"/>
    <n v="0"/>
    <n v="0"/>
    <n v="0"/>
    <n v="0"/>
    <n v="0"/>
    <n v="0"/>
    <n v="0"/>
    <n v="0"/>
    <m/>
    <n v="0"/>
    <n v="84"/>
    <n v="0"/>
    <n v="0"/>
    <n v="0"/>
    <n v="84"/>
    <n v="0"/>
    <n v="0"/>
    <n v="0"/>
    <n v="0"/>
    <n v="0"/>
    <n v="0"/>
    <n v="0"/>
    <n v="84"/>
    <n v="0"/>
    <n v="0"/>
    <n v="0"/>
    <n v="0"/>
    <n v="0"/>
    <n v="0"/>
    <n v="0"/>
    <m/>
    <m/>
    <m/>
    <m/>
    <m/>
    <m/>
    <m/>
    <m/>
    <s v="1"/>
    <s v="1"/>
    <s v="1"/>
    <s v="0"/>
    <s v="1"/>
    <m/>
    <m/>
    <m/>
    <m/>
    <m/>
    <m/>
    <m/>
    <m/>
    <m/>
    <m/>
    <m/>
    <m/>
    <m/>
    <m/>
  </r>
  <r>
    <n v="744"/>
    <d v="2025-03-26T00:00:00"/>
    <s v="ZBTO"/>
    <n v="9518635916"/>
    <n v="4"/>
    <s v="9518635916-4"/>
    <s v="No Priority"/>
    <x v="0"/>
    <m/>
    <x v="2"/>
    <x v="3"/>
    <n v="1000"/>
    <m/>
    <x v="0"/>
    <m/>
    <m/>
    <s v="Jharkhand"/>
    <s v="TBSPL"/>
    <s v="GAMHARIA"/>
    <s v="Coil"/>
    <n v="940016"/>
    <x v="15"/>
    <n v="3522241"/>
    <s v="PPGL C Y550 D0C7 0.43BMT(0.47TPT)X1220"/>
    <s v="aZ70"/>
    <m/>
    <m/>
    <m/>
    <s v="Wider"/>
    <s v="B18"/>
    <s v="Y550PL"/>
    <s v="D0C7"/>
    <n v="0.43"/>
    <n v="1220"/>
    <n v="0"/>
    <n v="56"/>
    <n v="27.02"/>
    <n v="28.98"/>
    <n v="28.98"/>
    <n v="24.490000000000002"/>
    <n v="10.28"/>
    <n v="0"/>
    <n v="0"/>
    <n v="0"/>
    <n v="0"/>
    <n v="0"/>
    <n v="0"/>
    <n v="0"/>
    <n v="0"/>
    <n v="0"/>
    <n v="0"/>
    <n v="0"/>
    <n v="0"/>
    <n v="0"/>
    <n v="0"/>
    <n v="0"/>
    <n v="0"/>
    <n v="0"/>
    <n v="0"/>
    <n v="4.49"/>
    <n v="4.49"/>
    <n v="4.49"/>
    <n v="0"/>
    <n v="4.49"/>
    <m/>
    <n v="0"/>
    <n v="56"/>
    <n v="56"/>
    <n v="0"/>
    <n v="0"/>
    <n v="0"/>
    <n v="0"/>
    <n v="56"/>
    <n v="0"/>
    <n v="56"/>
    <n v="0"/>
    <n v="0"/>
    <n v="0"/>
    <n v="0"/>
    <n v="0"/>
    <n v="0"/>
    <n v="0"/>
    <n v="0"/>
    <n v="0"/>
    <n v="0"/>
    <n v="0"/>
    <m/>
    <m/>
    <m/>
    <m/>
    <m/>
    <m/>
    <m/>
    <m/>
    <s v="0"/>
    <s v="1"/>
    <s v="1"/>
    <s v="1"/>
    <s v="1"/>
    <m/>
    <m/>
    <m/>
    <m/>
    <m/>
    <m/>
    <m/>
    <m/>
    <m/>
    <m/>
    <m/>
    <m/>
    <m/>
    <m/>
  </r>
  <r>
    <n v="744"/>
    <d v="2025-03-22T00:00:00"/>
    <s v="ZBTO"/>
    <n v="9518624252"/>
    <n v="11"/>
    <s v="9518624252-11"/>
    <s v="No Priority"/>
    <x v="0"/>
    <m/>
    <x v="2"/>
    <x v="3"/>
    <n v="1000"/>
    <m/>
    <x v="0"/>
    <m/>
    <m/>
    <s v="Jharkhand"/>
    <s v="TBSPL"/>
    <s v="TBL- BARA AGRICO"/>
    <s v="Coil"/>
    <n v="941597"/>
    <x v="6"/>
    <n v="3940122"/>
    <s v="PPGL C HARD Y550PL D0C9 0.470(TPT)X1220"/>
    <s v="AZ150"/>
    <m/>
    <m/>
    <m/>
    <s v="Wider"/>
    <s v="B18"/>
    <s v="Y550PL"/>
    <s v="D0C9"/>
    <n v="0.47"/>
    <n v="1220"/>
    <n v="0"/>
    <n v="28"/>
    <n v="0"/>
    <n v="28"/>
    <n v="0.46500000000000002"/>
    <n v="0"/>
    <n v="2.27"/>
    <n v="0"/>
    <n v="0"/>
    <n v="0"/>
    <n v="0"/>
    <n v="0"/>
    <n v="0"/>
    <n v="0"/>
    <n v="0"/>
    <n v="0"/>
    <n v="0"/>
    <n v="0"/>
    <n v="0"/>
    <n v="0"/>
    <n v="0"/>
    <n v="0"/>
    <n v="0"/>
    <n v="0"/>
    <n v="0"/>
    <n v="0"/>
    <n v="0"/>
    <n v="0"/>
    <n v="0"/>
    <n v="0"/>
    <m/>
    <n v="0"/>
    <n v="28"/>
    <n v="0"/>
    <n v="0"/>
    <n v="28"/>
    <n v="0"/>
    <n v="0"/>
    <n v="28"/>
    <n v="0"/>
    <n v="0"/>
    <n v="0"/>
    <n v="28"/>
    <n v="0"/>
    <n v="0"/>
    <n v="0"/>
    <n v="0"/>
    <n v="0"/>
    <n v="0"/>
    <n v="0"/>
    <n v="0"/>
    <n v="0"/>
    <m/>
    <m/>
    <m/>
    <m/>
    <m/>
    <m/>
    <m/>
    <m/>
    <s v="1"/>
    <s v="1"/>
    <s v="0"/>
    <s v="1"/>
    <s v="1"/>
    <m/>
    <m/>
    <m/>
    <m/>
    <m/>
    <m/>
    <m/>
    <m/>
    <m/>
    <m/>
    <m/>
    <m/>
    <m/>
    <m/>
  </r>
  <r>
    <n v="744"/>
    <d v="2025-03-26T00:00:00"/>
    <s v="ZBTO"/>
    <n v="9518635916"/>
    <n v="5"/>
    <s v="9518635916-5"/>
    <s v="No Priority"/>
    <x v="0"/>
    <m/>
    <x v="2"/>
    <x v="3"/>
    <n v="1000"/>
    <m/>
    <x v="0"/>
    <m/>
    <m/>
    <s v="Jharkhand"/>
    <s v="TBSPL"/>
    <s v="GAMHARIA"/>
    <s v="Coil"/>
    <n v="940016"/>
    <x v="15"/>
    <n v="3522241"/>
    <s v="PPGL C Y550 D0C7 0.43BMT(0.47TPT)X1220"/>
    <s v="aZ70"/>
    <m/>
    <m/>
    <m/>
    <s v="Wider"/>
    <s v="B18"/>
    <s v="Y550PL"/>
    <s v="D0C7"/>
    <n v="0.43"/>
    <n v="1220"/>
    <n v="0"/>
    <n v="28"/>
    <n v="0"/>
    <n v="28"/>
    <n v="0.45"/>
    <n v="0"/>
    <n v="25.945"/>
    <n v="0"/>
    <n v="0"/>
    <n v="0"/>
    <n v="0"/>
    <n v="0"/>
    <n v="0"/>
    <n v="0"/>
    <n v="0"/>
    <n v="0"/>
    <n v="0"/>
    <n v="0"/>
    <n v="0"/>
    <n v="0"/>
    <n v="0"/>
    <n v="0"/>
    <n v="0"/>
    <n v="0"/>
    <n v="0"/>
    <n v="0"/>
    <n v="0"/>
    <n v="0"/>
    <n v="0"/>
    <n v="0"/>
    <m/>
    <n v="0"/>
    <n v="28"/>
    <n v="28"/>
    <n v="0"/>
    <n v="0"/>
    <n v="0"/>
    <n v="0"/>
    <n v="28"/>
    <n v="0"/>
    <n v="28"/>
    <n v="0"/>
    <n v="0"/>
    <n v="0"/>
    <n v="0"/>
    <n v="0"/>
    <n v="0"/>
    <n v="0"/>
    <n v="0"/>
    <n v="0"/>
    <n v="0"/>
    <n v="0"/>
    <m/>
    <m/>
    <m/>
    <m/>
    <m/>
    <m/>
    <m/>
    <m/>
    <s v="0"/>
    <s v="1"/>
    <s v="1"/>
    <s v="1"/>
    <s v="1"/>
    <m/>
    <m/>
    <m/>
    <m/>
    <m/>
    <m/>
    <m/>
    <m/>
    <m/>
    <m/>
    <m/>
    <m/>
    <m/>
    <m/>
  </r>
  <r>
    <n v="744"/>
    <d v="2025-03-13T00:00:00"/>
    <s v="ZBTO"/>
    <n v="9518598962"/>
    <n v="2"/>
    <s v="9518598962-2"/>
    <s v="Apr'25 additional"/>
    <x v="0"/>
    <m/>
    <x v="2"/>
    <x v="3"/>
    <n v="1000"/>
    <m/>
    <x v="1"/>
    <m/>
    <m/>
    <s v="Jharkhand"/>
    <s v="TBSPL"/>
    <s v="TBL- BARA AGRICO"/>
    <s v="Coil"/>
    <n v="941597"/>
    <x v="6"/>
    <n v="3902332"/>
    <s v="PPGL C HARD Y550PL D0C9 0.50(TPT)X1220"/>
    <s v="AZ150"/>
    <m/>
    <m/>
    <m/>
    <s v="Wider"/>
    <s v="B18"/>
    <s v="Y550PL"/>
    <s v="D0C9"/>
    <n v="0.5"/>
    <n v="1220"/>
    <n v="0"/>
    <n v="84"/>
    <n v="0"/>
    <n v="84"/>
    <n v="84"/>
    <n v="84"/>
    <n v="84"/>
    <n v="0"/>
    <n v="0"/>
    <n v="0"/>
    <n v="0"/>
    <n v="0"/>
    <n v="0"/>
    <n v="0"/>
    <n v="0"/>
    <n v="0"/>
    <n v="0"/>
    <n v="0"/>
    <n v="0"/>
    <n v="0"/>
    <n v="0"/>
    <n v="0"/>
    <n v="0"/>
    <n v="0"/>
    <n v="0"/>
    <n v="0"/>
    <n v="0"/>
    <n v="0"/>
    <n v="0"/>
    <n v="0"/>
    <m/>
    <n v="0"/>
    <n v="84"/>
    <n v="0"/>
    <n v="0"/>
    <n v="0"/>
    <n v="84"/>
    <n v="0"/>
    <n v="0"/>
    <n v="0"/>
    <n v="0"/>
    <n v="0"/>
    <n v="0"/>
    <n v="0"/>
    <n v="84"/>
    <n v="0"/>
    <n v="0"/>
    <n v="0"/>
    <n v="0"/>
    <n v="0"/>
    <n v="0"/>
    <n v="0"/>
    <m/>
    <m/>
    <m/>
    <m/>
    <m/>
    <m/>
    <m/>
    <m/>
    <s v="1"/>
    <s v="1"/>
    <s v="1"/>
    <s v="0"/>
    <s v="1"/>
    <m/>
    <m/>
    <m/>
    <m/>
    <m/>
    <m/>
    <m/>
    <m/>
    <m/>
    <m/>
    <m/>
    <m/>
    <m/>
    <m/>
  </r>
  <r>
    <n v="744"/>
    <d v="2025-03-29T00:00:00"/>
    <s v="ZBTO"/>
    <n v="9518651680"/>
    <n v="7"/>
    <s v="9518651680-7"/>
    <s v="Apr'25 additional"/>
    <x v="0"/>
    <m/>
    <x v="2"/>
    <x v="3"/>
    <n v="1000"/>
    <m/>
    <x v="1"/>
    <m/>
    <m/>
    <s v="Jharkhand"/>
    <s v="TBSPL"/>
    <s v="GAMHARIA"/>
    <s v="Coil"/>
    <n v="940016"/>
    <x v="15"/>
    <n v="3879501"/>
    <s v="PPGL C Y550 ISC6 0.45BMT(0.50TPT)X1220"/>
    <s v="aZ70"/>
    <m/>
    <m/>
    <m/>
    <s v="Wider"/>
    <s v="B18"/>
    <s v="Y550PL"/>
    <s v="ISC6"/>
    <n v="0.45"/>
    <n v="1220"/>
    <n v="0"/>
    <n v="28"/>
    <n v="0"/>
    <n v="28"/>
    <n v="28"/>
    <n v="28"/>
    <n v="28"/>
    <n v="0"/>
    <n v="0"/>
    <n v="0"/>
    <n v="0"/>
    <n v="0"/>
    <n v="0"/>
    <n v="0"/>
    <n v="0"/>
    <n v="0"/>
    <n v="0"/>
    <n v="0"/>
    <n v="0"/>
    <n v="0"/>
    <n v="0"/>
    <n v="0"/>
    <n v="0"/>
    <n v="0"/>
    <n v="0"/>
    <n v="0"/>
    <n v="0"/>
    <n v="0"/>
    <n v="0"/>
    <n v="0"/>
    <m/>
    <n v="0"/>
    <n v="28"/>
    <n v="0"/>
    <n v="0"/>
    <n v="0"/>
    <n v="0"/>
    <n v="28"/>
    <n v="0"/>
    <n v="0"/>
    <n v="0"/>
    <n v="0"/>
    <n v="0"/>
    <n v="0"/>
    <n v="28"/>
    <n v="0"/>
    <n v="0"/>
    <n v="0"/>
    <n v="0"/>
    <n v="0"/>
    <n v="0"/>
    <n v="0"/>
    <m/>
    <m/>
    <m/>
    <m/>
    <m/>
    <m/>
    <m/>
    <m/>
    <s v="1"/>
    <s v="1"/>
    <s v="1"/>
    <s v="1"/>
    <s v="0"/>
    <m/>
    <m/>
    <m/>
    <m/>
    <m/>
    <m/>
    <m/>
    <m/>
    <m/>
    <m/>
    <m/>
    <m/>
    <m/>
    <m/>
  </r>
  <r>
    <n v="744"/>
    <d v="2025-03-22T00:00:00"/>
    <s v="ZBTO"/>
    <n v="9518624252"/>
    <n v="13"/>
    <s v="9518624252-13"/>
    <s v="Apr'25 additional"/>
    <x v="0"/>
    <m/>
    <x v="2"/>
    <x v="3"/>
    <n v="1000"/>
    <m/>
    <x v="1"/>
    <m/>
    <m/>
    <s v="Jharkhand"/>
    <s v="TBSPL"/>
    <s v="TBL- BARA AGRICO"/>
    <s v="Coil"/>
    <n v="941597"/>
    <x v="6"/>
    <n v="3940122"/>
    <s v="PPGL C HARD Y550PL D0C9 0.470(TPT)X1220"/>
    <s v="AZ150"/>
    <m/>
    <m/>
    <m/>
    <s v="Wider"/>
    <s v="B18"/>
    <s v="Y550PL"/>
    <s v="D0C9"/>
    <n v="0.47"/>
    <n v="1220"/>
    <n v="0"/>
    <n v="28"/>
    <n v="0"/>
    <n v="28"/>
    <n v="28"/>
    <n v="28"/>
    <n v="28"/>
    <n v="0"/>
    <n v="0"/>
    <n v="0"/>
    <n v="0"/>
    <n v="0"/>
    <n v="0"/>
    <n v="0"/>
    <n v="0"/>
    <n v="0"/>
    <n v="0"/>
    <n v="0"/>
    <n v="0"/>
    <n v="0"/>
    <n v="0"/>
    <n v="0"/>
    <n v="0"/>
    <n v="0"/>
    <n v="0"/>
    <n v="0"/>
    <n v="0"/>
    <n v="0"/>
    <n v="0"/>
    <n v="0"/>
    <m/>
    <n v="0"/>
    <n v="28"/>
    <n v="0"/>
    <n v="0"/>
    <n v="0"/>
    <n v="28"/>
    <n v="0"/>
    <n v="0"/>
    <n v="0"/>
    <n v="0"/>
    <n v="0"/>
    <n v="0"/>
    <n v="0"/>
    <n v="28"/>
    <n v="0"/>
    <n v="0"/>
    <n v="0"/>
    <n v="0"/>
    <n v="0"/>
    <n v="0"/>
    <n v="0"/>
    <m/>
    <m/>
    <m/>
    <m/>
    <m/>
    <m/>
    <m/>
    <m/>
    <s v="1"/>
    <s v="1"/>
    <s v="1"/>
    <s v="0"/>
    <s v="1"/>
    <m/>
    <m/>
    <m/>
    <m/>
    <m/>
    <m/>
    <m/>
    <m/>
    <m/>
    <m/>
    <m/>
    <m/>
    <m/>
    <m/>
  </r>
  <r>
    <n v="744"/>
    <d v="2025-03-08T00:00:00"/>
    <s v="ZBTO"/>
    <s v="9518585087"/>
    <s v="1"/>
    <s v="9518585087-1"/>
    <s v="Apr'25 additional"/>
    <x v="0"/>
    <m/>
    <x v="2"/>
    <x v="3"/>
    <n v="1000"/>
    <m/>
    <x v="1"/>
    <m/>
    <m/>
    <s v="Tamil Nadu"/>
    <s v="TBSPL"/>
    <s v="SRIPERUMBADUR"/>
    <s v="Coil"/>
    <n v="940074"/>
    <x v="15"/>
    <n v="3960056"/>
    <s v="PPGL C HARD Y550PL DX01 0.530X1220"/>
    <m/>
    <m/>
    <m/>
    <m/>
    <s v="Wider"/>
    <s v="B18"/>
    <m/>
    <s v="DX01"/>
    <n v="0.53"/>
    <n v="1220"/>
    <n v="0"/>
    <n v="224"/>
    <n v="0"/>
    <n v="224"/>
    <n v="224"/>
    <n v="142.55500000000001"/>
    <n v="87.52"/>
    <n v="0"/>
    <n v="28.72"/>
    <n v="0"/>
    <n v="0"/>
    <n v="0"/>
    <n v="0"/>
    <n v="0"/>
    <n v="0"/>
    <n v="0"/>
    <n v="0"/>
    <n v="0"/>
    <n v="0"/>
    <n v="0"/>
    <n v="0"/>
    <n v="0"/>
    <n v="48.125"/>
    <n v="0"/>
    <n v="0"/>
    <n v="4.6000000000000005"/>
    <n v="81.444999999999993"/>
    <n v="81.444999999999993"/>
    <n v="0"/>
    <n v="81.444999999999993"/>
    <m/>
    <n v="0"/>
    <n v="224"/>
    <n v="0"/>
    <n v="0"/>
    <n v="0"/>
    <n v="224"/>
    <n v="0"/>
    <n v="0"/>
    <n v="0"/>
    <n v="0"/>
    <n v="0"/>
    <n v="0"/>
    <n v="0"/>
    <n v="224"/>
    <n v="0"/>
    <n v="0"/>
    <n v="0"/>
    <n v="0"/>
    <n v="0"/>
    <n v="0"/>
    <n v="0"/>
    <m/>
    <m/>
    <m/>
    <m/>
    <m/>
    <m/>
    <m/>
    <m/>
    <s v="1"/>
    <s v="1"/>
    <s v="1"/>
    <s v="0"/>
    <s v="1"/>
    <m/>
    <m/>
    <m/>
    <m/>
    <m/>
    <m/>
    <m/>
    <m/>
    <m/>
    <m/>
    <m/>
    <m/>
    <m/>
    <m/>
  </r>
  <r>
    <n v="744"/>
    <d v="2025-03-08T00:00:00"/>
    <s v="ZBTO"/>
    <s v="9518585087"/>
    <s v="3"/>
    <s v="9518585087-3"/>
    <s v="Apr'25 additional"/>
    <x v="0"/>
    <m/>
    <x v="2"/>
    <x v="3"/>
    <n v="1000"/>
    <m/>
    <x v="1"/>
    <m/>
    <m/>
    <s v="Tamil Nadu"/>
    <s v="TBSPL"/>
    <s v="SRIPERUMBADUR"/>
    <s v="Coil"/>
    <n v="940074"/>
    <x v="15"/>
    <n v="3960056"/>
    <s v="PPGL C HARD Y550PL DX01 0.530X1220"/>
    <m/>
    <m/>
    <m/>
    <m/>
    <s v="Wider"/>
    <s v="B18"/>
    <m/>
    <s v="DX01"/>
    <n v="0.53"/>
    <n v="1220"/>
    <n v="0"/>
    <n v="84"/>
    <n v="0"/>
    <n v="84"/>
    <n v="19.690000000000001"/>
    <n v="26.104999999999997"/>
    <n v="49.41"/>
    <n v="0"/>
    <n v="0"/>
    <n v="0"/>
    <n v="0"/>
    <n v="0"/>
    <n v="0"/>
    <n v="0"/>
    <n v="0"/>
    <n v="0"/>
    <n v="4.1500000000000004"/>
    <n v="0"/>
    <n v="0"/>
    <n v="0"/>
    <n v="0"/>
    <n v="0"/>
    <n v="37.090000000000003"/>
    <n v="0"/>
    <n v="16.655000000000001"/>
    <n v="0"/>
    <n v="57.895000000000003"/>
    <n v="57.895000000000003"/>
    <n v="0"/>
    <n v="57.895000000000003"/>
    <m/>
    <n v="0"/>
    <n v="84"/>
    <n v="0"/>
    <n v="0"/>
    <n v="84"/>
    <n v="0"/>
    <n v="0"/>
    <n v="84"/>
    <n v="0"/>
    <n v="0"/>
    <n v="0"/>
    <n v="84"/>
    <n v="0"/>
    <n v="0"/>
    <n v="0"/>
    <n v="0"/>
    <n v="0"/>
    <n v="0"/>
    <n v="0"/>
    <n v="0"/>
    <n v="0"/>
    <m/>
    <m/>
    <m/>
    <m/>
    <m/>
    <m/>
    <m/>
    <m/>
    <s v="1"/>
    <s v="1"/>
    <s v="0"/>
    <s v="1"/>
    <s v="1"/>
    <m/>
    <m/>
    <m/>
    <m/>
    <m/>
    <m/>
    <m/>
    <m/>
    <m/>
    <m/>
    <m/>
    <m/>
    <m/>
    <m/>
  </r>
  <r>
    <n v="744"/>
    <d v="2025-03-21T00:00:00"/>
    <s v="ZBTO"/>
    <s v="9518621067"/>
    <s v="1"/>
    <s v="9518621067-1"/>
    <s v="No Priority"/>
    <x v="0"/>
    <m/>
    <x v="2"/>
    <x v="3"/>
    <n v="1000"/>
    <m/>
    <x v="0"/>
    <m/>
    <m/>
    <s v="Jharkhand"/>
    <s v="TBSPL"/>
    <s v="GAMHARIA"/>
    <s v="Coil"/>
    <n v="940016"/>
    <x v="15"/>
    <n v="3960056"/>
    <s v="PPGL C HARD Y550PL DX01 0.53(TPT)X1220"/>
    <m/>
    <m/>
    <m/>
    <m/>
    <s v="Wider"/>
    <s v="B18"/>
    <m/>
    <s v="DX01"/>
    <n v="0.53"/>
    <n v="1220"/>
    <n v="0"/>
    <n v="56"/>
    <n v="0"/>
    <n v="56"/>
    <n v="-1.67"/>
    <n v="0"/>
    <n v="27.024999999999999"/>
    <n v="0"/>
    <n v="28.87"/>
    <n v="0"/>
    <n v="0"/>
    <n v="0"/>
    <n v="0"/>
    <n v="0"/>
    <n v="0"/>
    <n v="0"/>
    <n v="0"/>
    <n v="0"/>
    <n v="0"/>
    <n v="0"/>
    <n v="0"/>
    <n v="0"/>
    <n v="0"/>
    <n v="0"/>
    <n v="0"/>
    <n v="0"/>
    <n v="28.87"/>
    <n v="28.87"/>
    <n v="0"/>
    <n v="28.87"/>
    <m/>
    <n v="0"/>
    <n v="56"/>
    <n v="0"/>
    <n v="0"/>
    <n v="0"/>
    <n v="56"/>
    <n v="0"/>
    <n v="0"/>
    <n v="0"/>
    <n v="0"/>
    <n v="0"/>
    <n v="0"/>
    <n v="0"/>
    <n v="56"/>
    <n v="0"/>
    <n v="0"/>
    <n v="0"/>
    <n v="0"/>
    <n v="0"/>
    <n v="0"/>
    <n v="0"/>
    <m/>
    <m/>
    <m/>
    <m/>
    <m/>
    <m/>
    <m/>
    <m/>
    <s v="1"/>
    <s v="1"/>
    <s v="1"/>
    <s v="0"/>
    <s v="1"/>
    <m/>
    <m/>
    <m/>
    <m/>
    <m/>
    <m/>
    <m/>
    <m/>
    <m/>
    <m/>
    <m/>
    <m/>
    <m/>
    <m/>
  </r>
  <r>
    <n v="744"/>
    <d v="2025-03-29T00:00:00"/>
    <s v="ZBTO"/>
    <s v="9518653307"/>
    <s v="2"/>
    <s v="9518653307-2"/>
    <s v="No Priority"/>
    <x v="0"/>
    <m/>
    <x v="2"/>
    <x v="3"/>
    <n v="1000"/>
    <m/>
    <x v="0"/>
    <m/>
    <m/>
    <s v="Rajasthan"/>
    <s v="TBSPL"/>
    <s v="BHIWADI"/>
    <s v="Coil"/>
    <n v="940008"/>
    <x v="15"/>
    <n v="3522241"/>
    <s v="PPGL C Y550 D0C7 0.43BMT(0.47TPT)X1220"/>
    <m/>
    <m/>
    <m/>
    <m/>
    <s v="Wider"/>
    <s v="B18"/>
    <m/>
    <s v="D0C7"/>
    <n v="0.43"/>
    <n v="1220"/>
    <n v="0"/>
    <n v="28"/>
    <n v="0"/>
    <n v="28"/>
    <n v="0.67"/>
    <n v="0"/>
    <n v="28"/>
    <n v="0"/>
    <n v="0"/>
    <n v="0"/>
    <n v="0"/>
    <n v="0"/>
    <n v="0"/>
    <n v="0"/>
    <n v="0"/>
    <n v="0"/>
    <n v="27.330000000000002"/>
    <n v="0"/>
    <n v="0"/>
    <n v="0"/>
    <n v="0"/>
    <n v="0"/>
    <n v="0"/>
    <n v="0"/>
    <n v="0"/>
    <n v="0"/>
    <n v="27.330000000000002"/>
    <n v="27.330000000000002"/>
    <n v="0"/>
    <n v="27.330000000000002"/>
    <m/>
    <n v="0"/>
    <n v="28"/>
    <n v="0"/>
    <n v="0"/>
    <n v="28"/>
    <n v="0"/>
    <n v="0"/>
    <n v="28"/>
    <n v="0"/>
    <n v="0"/>
    <n v="0"/>
    <n v="28"/>
    <n v="0"/>
    <n v="0"/>
    <n v="0"/>
    <n v="0"/>
    <n v="0"/>
    <n v="0"/>
    <n v="0"/>
    <n v="0"/>
    <n v="0"/>
    <m/>
    <m/>
    <m/>
    <m/>
    <m/>
    <m/>
    <m/>
    <m/>
    <s v="1"/>
    <s v="1"/>
    <s v="0"/>
    <s v="1"/>
    <s v="1"/>
    <m/>
    <m/>
    <m/>
    <m/>
    <m/>
    <m/>
    <m/>
    <m/>
    <m/>
    <m/>
    <m/>
    <m/>
    <m/>
    <m/>
  </r>
  <r>
    <n v="744"/>
    <d v="2025-03-29T00:00:00"/>
    <s v="ZBTO"/>
    <s v="9518653307"/>
    <s v="5"/>
    <s v="9518653307-5"/>
    <s v="No Priority"/>
    <x v="0"/>
    <m/>
    <x v="2"/>
    <x v="3"/>
    <n v="1000"/>
    <m/>
    <x v="0"/>
    <m/>
    <m/>
    <s v="Rajasthan"/>
    <s v="TBSPL"/>
    <s v="BHIWADI"/>
    <s v="Coil"/>
    <n v="940008"/>
    <x v="15"/>
    <n v="3553033"/>
    <s v="PPGL C Y550 D0C7 0.48BMT(0.52TPT)X1220"/>
    <m/>
    <m/>
    <m/>
    <m/>
    <s v="Wider"/>
    <s v="B18"/>
    <m/>
    <s v="D0C7"/>
    <n v="0.48"/>
    <n v="1220"/>
    <n v="0"/>
    <n v="28"/>
    <n v="0"/>
    <n v="28"/>
    <n v="0.28000000000000003"/>
    <n v="0"/>
    <n v="2.42"/>
    <n v="0"/>
    <n v="0"/>
    <n v="0"/>
    <n v="0"/>
    <n v="0"/>
    <n v="0"/>
    <n v="0"/>
    <n v="0"/>
    <n v="0"/>
    <n v="0"/>
    <n v="0"/>
    <n v="0"/>
    <n v="0"/>
    <n v="0"/>
    <n v="0"/>
    <n v="0"/>
    <n v="0"/>
    <n v="0"/>
    <n v="0"/>
    <n v="0"/>
    <n v="0"/>
    <n v="0"/>
    <n v="0"/>
    <m/>
    <n v="0"/>
    <n v="28"/>
    <n v="0"/>
    <n v="0"/>
    <n v="0"/>
    <n v="28"/>
    <n v="0"/>
    <n v="0"/>
    <n v="0"/>
    <n v="0"/>
    <n v="0"/>
    <n v="0"/>
    <n v="0"/>
    <n v="28"/>
    <n v="0"/>
    <n v="0"/>
    <n v="0"/>
    <n v="0"/>
    <n v="0"/>
    <n v="0"/>
    <n v="0"/>
    <m/>
    <m/>
    <m/>
    <m/>
    <m/>
    <m/>
    <m/>
    <m/>
    <s v="1"/>
    <s v="1"/>
    <s v="1"/>
    <s v="0"/>
    <s v="1"/>
    <m/>
    <m/>
    <m/>
    <m/>
    <m/>
    <m/>
    <m/>
    <m/>
    <m/>
    <m/>
    <m/>
    <m/>
    <m/>
    <m/>
  </r>
  <r>
    <n v="744"/>
    <d v="2025-03-19T00:00:00"/>
    <s v="ZBTO"/>
    <s v="9518614038"/>
    <s v="1"/>
    <s v="9518614038-1"/>
    <s v="No Priority"/>
    <x v="0"/>
    <m/>
    <x v="2"/>
    <x v="3"/>
    <n v="1000"/>
    <m/>
    <x v="0"/>
    <m/>
    <m/>
    <s v="Jharkhand"/>
    <s v="TBSPL"/>
    <s v="TBL- BARA AGRICO"/>
    <s v="Coil"/>
    <n v="941597"/>
    <x v="15"/>
    <n v="3974073"/>
    <s v="PPGL C HARD Y550PL SXO1 0.500X1220"/>
    <m/>
    <m/>
    <m/>
    <m/>
    <s v="Wider"/>
    <s v="B18"/>
    <m/>
    <s v="SXO1"/>
    <n v="0.5"/>
    <n v="1220"/>
    <n v="0"/>
    <n v="56"/>
    <n v="55.685000000000002"/>
    <n v="0.315"/>
    <n v="-13.75"/>
    <n v="0"/>
    <n v="0.315"/>
    <n v="0"/>
    <n v="0"/>
    <n v="0"/>
    <n v="0"/>
    <n v="0"/>
    <n v="0"/>
    <n v="0"/>
    <n v="0"/>
    <n v="0"/>
    <n v="0"/>
    <n v="0"/>
    <n v="0"/>
    <n v="0"/>
    <n v="0"/>
    <n v="0"/>
    <n v="0"/>
    <n v="0"/>
    <n v="0"/>
    <n v="0"/>
    <n v="0"/>
    <n v="0"/>
    <n v="0"/>
    <n v="0"/>
    <m/>
    <n v="0"/>
    <n v="56"/>
    <n v="0"/>
    <n v="0"/>
    <n v="56"/>
    <n v="0"/>
    <n v="0"/>
    <n v="56"/>
    <n v="0"/>
    <n v="0"/>
    <n v="0"/>
    <n v="56"/>
    <n v="0"/>
    <n v="0"/>
    <n v="0"/>
    <n v="0"/>
    <n v="0"/>
    <n v="0"/>
    <n v="0"/>
    <n v="0"/>
    <n v="0"/>
    <m/>
    <m/>
    <m/>
    <m/>
    <m/>
    <m/>
    <m/>
    <m/>
    <s v="1"/>
    <s v="1"/>
    <s v="0"/>
    <s v="1"/>
    <s v="1"/>
    <m/>
    <m/>
    <m/>
    <m/>
    <m/>
    <m/>
    <m/>
    <m/>
    <m/>
    <m/>
    <m/>
    <m/>
    <m/>
    <m/>
  </r>
  <r>
    <n v="742"/>
    <d v="2025-03-27T00:00:00"/>
    <s v="ZBTO"/>
    <n v="9518644656"/>
    <n v="2"/>
    <s v="9518644656-2"/>
    <s v="No Priority"/>
    <x v="0"/>
    <m/>
    <x v="1"/>
    <x v="2"/>
    <n v="2000"/>
    <m/>
    <x v="0"/>
    <m/>
    <m/>
    <s v="West Bengal"/>
    <s v="East"/>
    <s v="SILIGURI TOWN"/>
    <s v="Sheet"/>
    <n v="948783"/>
    <x v="24"/>
    <n v="3240797"/>
    <s v="CRCA SHEET TSBCRC SR15 0.700X1000X2500"/>
    <m/>
    <m/>
    <m/>
    <m/>
    <s v="Narrow"/>
    <s v="C06"/>
    <s v="TSBCRC"/>
    <s v="SR15"/>
    <n v="0.7"/>
    <n v="1000"/>
    <n v="2500"/>
    <n v="24"/>
    <n v="20.824999999999999"/>
    <n v="3.1749999999999998"/>
    <n v="2.835"/>
    <n v="0"/>
    <n v="3.1749999999999998"/>
    <n v="0"/>
    <n v="0"/>
    <n v="0"/>
    <n v="0"/>
    <n v="0"/>
    <n v="0"/>
    <n v="0"/>
    <n v="0"/>
    <n v="0"/>
    <n v="0"/>
    <n v="0"/>
    <n v="0"/>
    <n v="0"/>
    <n v="0"/>
    <n v="0"/>
    <n v="0"/>
    <n v="0"/>
    <n v="0"/>
    <n v="0"/>
    <n v="0"/>
    <n v="0"/>
    <n v="0"/>
    <n v="0"/>
    <m/>
    <n v="0"/>
    <n v="24"/>
    <n v="0"/>
    <n v="0"/>
    <n v="24"/>
    <n v="0"/>
    <n v="0"/>
    <n v="24"/>
    <n v="0"/>
    <n v="0"/>
    <n v="0"/>
    <n v="24"/>
    <n v="0"/>
    <n v="0"/>
    <n v="0"/>
    <n v="0"/>
    <n v="0"/>
    <n v="0"/>
    <n v="0"/>
    <n v="0"/>
    <n v="0"/>
    <m/>
    <m/>
    <m/>
    <m/>
    <m/>
    <m/>
    <m/>
    <m/>
    <s v="1"/>
    <s v="1"/>
    <s v="0"/>
    <s v="1"/>
    <s v="1"/>
    <m/>
    <m/>
    <m/>
    <m/>
    <m/>
    <m/>
    <m/>
    <m/>
    <m/>
    <m/>
    <m/>
    <m/>
    <m/>
    <m/>
  </r>
  <r>
    <n v="742"/>
    <d v="2025-03-27T00:00:00"/>
    <s v="ZBTO"/>
    <n v="9518644656"/>
    <n v="3"/>
    <s v="9518644656-3"/>
    <s v="Apr'25 additional"/>
    <x v="0"/>
    <m/>
    <x v="1"/>
    <x v="2"/>
    <n v="2000"/>
    <m/>
    <x v="1"/>
    <m/>
    <m/>
    <s v="West Bengal"/>
    <s v="East"/>
    <s v="SILIGURI TOWN"/>
    <s v="Sheet"/>
    <n v="948783"/>
    <x v="24"/>
    <n v="3542989"/>
    <s v="CRCA SHEET TSBCRC SR15 0.700X1000X2000"/>
    <m/>
    <m/>
    <m/>
    <m/>
    <s v="Narrow"/>
    <s v="C06"/>
    <s v="TSBCRC"/>
    <s v="SR15"/>
    <n v="0.7"/>
    <n v="1000"/>
    <n v="2000"/>
    <n v="24"/>
    <n v="0"/>
    <n v="24"/>
    <n v="24"/>
    <n v="1.5500000000000007"/>
    <n v="24"/>
    <n v="0"/>
    <n v="0"/>
    <n v="0"/>
    <n v="0"/>
    <n v="0"/>
    <n v="0"/>
    <n v="0"/>
    <n v="0"/>
    <n v="0"/>
    <n v="0"/>
    <n v="0"/>
    <n v="0"/>
    <n v="0"/>
    <n v="22.45"/>
    <n v="0"/>
    <n v="0"/>
    <n v="0"/>
    <n v="0"/>
    <n v="0"/>
    <n v="22.45"/>
    <n v="22.45"/>
    <n v="0"/>
    <n v="22.45"/>
    <m/>
    <n v="0"/>
    <n v="24"/>
    <n v="0"/>
    <n v="0"/>
    <n v="24"/>
    <n v="0"/>
    <n v="0"/>
    <n v="24"/>
    <n v="0"/>
    <n v="0"/>
    <n v="0"/>
    <n v="24"/>
    <n v="0"/>
    <n v="0"/>
    <n v="0"/>
    <n v="0"/>
    <n v="0"/>
    <n v="0"/>
    <n v="0"/>
    <n v="0"/>
    <n v="0"/>
    <m/>
    <m/>
    <m/>
    <m/>
    <m/>
    <m/>
    <m/>
    <m/>
    <s v="1"/>
    <s v="1"/>
    <s v="0"/>
    <s v="1"/>
    <s v="1"/>
    <m/>
    <m/>
    <m/>
    <m/>
    <m/>
    <m/>
    <m/>
    <m/>
    <m/>
    <m/>
    <m/>
    <m/>
    <m/>
    <m/>
  </r>
  <r>
    <n v="742"/>
    <d v="2025-03-27T00:00:00"/>
    <s v="ZBTO"/>
    <n v="9518644656"/>
    <n v="8"/>
    <s v="9518644656-8"/>
    <s v="Apr'25 additional"/>
    <x v="0"/>
    <m/>
    <x v="1"/>
    <x v="2"/>
    <n v="2000"/>
    <m/>
    <x v="1"/>
    <m/>
    <m/>
    <s v="West Bengal"/>
    <s v="East"/>
    <s v="SILIGURI TOWN"/>
    <s v="Sheet"/>
    <n v="948783"/>
    <x v="24"/>
    <n v="3533337"/>
    <s v="CRCA SHEET TSBCRC SR15 0.700X1120X2000"/>
    <m/>
    <m/>
    <m/>
    <m/>
    <s v="Narrow"/>
    <s v="C06"/>
    <s v="TSBCRC"/>
    <s v="SR15"/>
    <n v="0.7"/>
    <n v="1120"/>
    <n v="200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s v="ZBTO"/>
    <n v="9518644656"/>
    <n v="4"/>
    <s v="9518644656-4"/>
    <s v="May'25"/>
    <x v="0"/>
    <m/>
    <x v="1"/>
    <x v="2"/>
    <n v="2000"/>
    <m/>
    <x v="1"/>
    <m/>
    <m/>
    <s v="West Bengal"/>
    <s v="East"/>
    <s v="SILIGURI TOWN"/>
    <s v="Sheet"/>
    <n v="948783"/>
    <x v="24"/>
    <n v="3240778"/>
    <s v="CRCA SHEET TSBCRC SR15 0.600X1000X2500"/>
    <m/>
    <m/>
    <m/>
    <m/>
    <s v="Narrow"/>
    <s v="C06"/>
    <s v="TSBCRC"/>
    <s v="SR15"/>
    <n v="0.6"/>
    <n v="1000"/>
    <n v="2500"/>
    <n v="24"/>
    <n v="0"/>
    <n v="24"/>
    <n v="0.84"/>
    <n v="0"/>
    <n v="24"/>
    <n v="0"/>
    <n v="0"/>
    <n v="0"/>
    <n v="0"/>
    <n v="0"/>
    <n v="0"/>
    <n v="0"/>
    <n v="0"/>
    <n v="0"/>
    <n v="0"/>
    <n v="0"/>
    <n v="0"/>
    <n v="0"/>
    <n v="22.16"/>
    <n v="0"/>
    <n v="0"/>
    <n v="0"/>
    <n v="0"/>
    <n v="0"/>
    <n v="22.16"/>
    <n v="22.16"/>
    <n v="0"/>
    <n v="22.16"/>
    <m/>
    <n v="0"/>
    <n v="24"/>
    <n v="0"/>
    <n v="0"/>
    <n v="24"/>
    <n v="0"/>
    <n v="0"/>
    <n v="24"/>
    <n v="0"/>
    <n v="0"/>
    <n v="0"/>
    <n v="24"/>
    <n v="0"/>
    <n v="0"/>
    <n v="0"/>
    <n v="0"/>
    <n v="0"/>
    <n v="0"/>
    <n v="0"/>
    <n v="0"/>
    <n v="0"/>
    <m/>
    <m/>
    <m/>
    <m/>
    <m/>
    <m/>
    <m/>
    <m/>
    <s v="1"/>
    <s v="1"/>
    <s v="0"/>
    <s v="1"/>
    <s v="1"/>
    <m/>
    <m/>
    <m/>
    <m/>
    <m/>
    <m/>
    <m/>
    <m/>
    <m/>
    <m/>
    <m/>
    <m/>
    <m/>
    <m/>
  </r>
  <r>
    <n v="742"/>
    <d v="2025-03-27T00:00:00"/>
    <s v="ZBTO"/>
    <n v="9518644656"/>
    <n v="5"/>
    <s v="9518644656-5"/>
    <s v="No Priority"/>
    <x v="0"/>
    <m/>
    <x v="1"/>
    <x v="2"/>
    <n v="2000"/>
    <m/>
    <x v="0"/>
    <m/>
    <m/>
    <s v="West Bengal"/>
    <s v="East"/>
    <s v="SILIGURI TOWN"/>
    <s v="Sheet"/>
    <n v="948783"/>
    <x v="24"/>
    <n v="3402254"/>
    <s v="CRCA SHEET TSBCRC SR15 0.600X1000X2000"/>
    <m/>
    <m/>
    <m/>
    <m/>
    <s v="Narrow"/>
    <s v="C06"/>
    <s v="TSBCRC"/>
    <s v="SR15"/>
    <n v="0.6"/>
    <n v="1000"/>
    <n v="2000"/>
    <n v="24"/>
    <n v="0"/>
    <n v="24"/>
    <n v="0.74"/>
    <n v="0"/>
    <n v="2.7650000000000001"/>
    <n v="0"/>
    <n v="0"/>
    <n v="0"/>
    <n v="0"/>
    <n v="0"/>
    <n v="0"/>
    <n v="0"/>
    <n v="0"/>
    <n v="0.185"/>
    <n v="0"/>
    <n v="0"/>
    <n v="0"/>
    <n v="0"/>
    <n v="0"/>
    <n v="0"/>
    <n v="0"/>
    <n v="0"/>
    <n v="0"/>
    <n v="0"/>
    <n v="0.185"/>
    <n v="0.185"/>
    <n v="0"/>
    <n v="0.185"/>
    <m/>
    <n v="0"/>
    <n v="24"/>
    <n v="0"/>
    <n v="0"/>
    <n v="24"/>
    <n v="0"/>
    <n v="0"/>
    <n v="24"/>
    <n v="0"/>
    <n v="0"/>
    <n v="0"/>
    <n v="24"/>
    <n v="0"/>
    <n v="0"/>
    <n v="0"/>
    <n v="0"/>
    <n v="0"/>
    <n v="0"/>
    <n v="0"/>
    <n v="0"/>
    <n v="0"/>
    <m/>
    <m/>
    <m/>
    <m/>
    <m/>
    <m/>
    <m/>
    <m/>
    <s v="1"/>
    <s v="1"/>
    <s v="0"/>
    <s v="1"/>
    <s v="1"/>
    <m/>
    <m/>
    <m/>
    <m/>
    <m/>
    <m/>
    <m/>
    <m/>
    <m/>
    <m/>
    <m/>
    <m/>
    <m/>
    <m/>
  </r>
  <r>
    <n v="742"/>
    <d v="2025-03-27T00:00:00"/>
    <s v="ZBTO"/>
    <n v="9518644656"/>
    <n v="6"/>
    <s v="9518644656-6"/>
    <s v="No Priority"/>
    <x v="0"/>
    <m/>
    <x v="1"/>
    <x v="2"/>
    <n v="2000"/>
    <m/>
    <x v="0"/>
    <m/>
    <m/>
    <s v="West Bengal"/>
    <s v="East"/>
    <s v="SILIGURI TOWN"/>
    <s v="Sheet"/>
    <n v="948783"/>
    <x v="24"/>
    <n v="3240760"/>
    <s v="CRCA SHEET TSBCRC SR15 0.500X1000X2500"/>
    <m/>
    <m/>
    <m/>
    <m/>
    <s v="Narrow"/>
    <s v="C06"/>
    <s v="TSBCRC"/>
    <s v="SR15"/>
    <n v="0.5"/>
    <n v="1000"/>
    <n v="2500"/>
    <n v="24"/>
    <n v="0"/>
    <n v="24"/>
    <n v="1.2649999999999999"/>
    <n v="0"/>
    <n v="3.3849999999999998"/>
    <n v="0"/>
    <n v="0"/>
    <n v="0"/>
    <n v="0"/>
    <n v="0"/>
    <n v="0"/>
    <n v="0"/>
    <n v="0"/>
    <n v="0"/>
    <n v="0"/>
    <n v="0"/>
    <n v="0"/>
    <n v="0"/>
    <n v="0"/>
    <n v="0"/>
    <n v="0.5"/>
    <n v="0"/>
    <n v="0"/>
    <n v="0"/>
    <n v="0.5"/>
    <n v="0.5"/>
    <n v="0"/>
    <n v="0.5"/>
    <m/>
    <n v="0"/>
    <n v="24"/>
    <n v="0"/>
    <n v="0"/>
    <n v="24"/>
    <n v="0"/>
    <n v="0"/>
    <n v="24"/>
    <n v="0"/>
    <n v="0"/>
    <n v="0"/>
    <n v="24"/>
    <n v="0"/>
    <n v="0"/>
    <n v="0"/>
    <n v="0"/>
    <n v="0"/>
    <n v="0"/>
    <n v="0"/>
    <n v="0"/>
    <n v="0"/>
    <m/>
    <m/>
    <m/>
    <m/>
    <m/>
    <m/>
    <m/>
    <m/>
    <s v="1"/>
    <s v="1"/>
    <s v="0"/>
    <s v="1"/>
    <s v="1"/>
    <m/>
    <m/>
    <m/>
    <m/>
    <m/>
    <m/>
    <m/>
    <m/>
    <m/>
    <m/>
    <m/>
    <m/>
    <m/>
    <m/>
  </r>
  <r>
    <n v="742"/>
    <d v="2025-03-27T00:00:00"/>
    <s v="ZBTO"/>
    <n v="9518644656"/>
    <n v="12"/>
    <s v="9518644656-12"/>
    <s v="Apr'25 additional"/>
    <x v="0"/>
    <m/>
    <x v="1"/>
    <x v="2"/>
    <n v="2000"/>
    <m/>
    <x v="1"/>
    <m/>
    <m/>
    <s v="West Bengal"/>
    <s v="East"/>
    <s v="SILIGURI TOWN"/>
    <s v="Sheet"/>
    <n v="948783"/>
    <x v="24"/>
    <n v="2427628"/>
    <s v="CRCA SHEET TSBCRC SR15 0.600X1120X2000"/>
    <m/>
    <m/>
    <m/>
    <m/>
    <s v="Narrow"/>
    <s v="C06"/>
    <s v="TSBCRC"/>
    <s v="SR15"/>
    <n v="0.6"/>
    <n v="1120"/>
    <n v="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s v="ZBTO"/>
    <n v="9518644656"/>
    <n v="7"/>
    <s v="9518644656-7"/>
    <s v="No Priority"/>
    <x v="0"/>
    <m/>
    <x v="1"/>
    <x v="2"/>
    <n v="2000"/>
    <m/>
    <x v="0"/>
    <m/>
    <m/>
    <s v="West Bengal"/>
    <s v="East"/>
    <s v="SILIGURI TOWN"/>
    <s v="Sheet"/>
    <n v="948783"/>
    <x v="24"/>
    <n v="3240757"/>
    <s v="CRCA SHEET TSBCRC SR15 0.500X1000X2000"/>
    <m/>
    <m/>
    <m/>
    <m/>
    <s v="Narrow"/>
    <s v="C06"/>
    <s v="TSBCRC"/>
    <s v="SR15"/>
    <n v="0.5"/>
    <n v="1000"/>
    <n v="2000"/>
    <n v="24"/>
    <n v="0"/>
    <n v="24"/>
    <n v="0.96"/>
    <n v="0"/>
    <n v="5.6050000000000004"/>
    <n v="0"/>
    <n v="0"/>
    <n v="0"/>
    <n v="0"/>
    <n v="0"/>
    <n v="0"/>
    <n v="0"/>
    <n v="0"/>
    <n v="0"/>
    <n v="0"/>
    <n v="0"/>
    <n v="0"/>
    <n v="0"/>
    <n v="0"/>
    <n v="0"/>
    <n v="0.23"/>
    <n v="0"/>
    <n v="0"/>
    <n v="0"/>
    <n v="0.23"/>
    <n v="0.23"/>
    <n v="0"/>
    <n v="0.23"/>
    <m/>
    <n v="0"/>
    <n v="24"/>
    <n v="0"/>
    <n v="0"/>
    <n v="24"/>
    <n v="0"/>
    <n v="0"/>
    <n v="24"/>
    <n v="0"/>
    <n v="0"/>
    <n v="0"/>
    <n v="24"/>
    <n v="0"/>
    <n v="0"/>
    <n v="0"/>
    <n v="0"/>
    <n v="0"/>
    <n v="0"/>
    <n v="0"/>
    <n v="0"/>
    <n v="0"/>
    <m/>
    <m/>
    <m/>
    <m/>
    <m/>
    <m/>
    <m/>
    <m/>
    <s v="1"/>
    <s v="1"/>
    <s v="0"/>
    <s v="1"/>
    <s v="1"/>
    <m/>
    <m/>
    <m/>
    <m/>
    <m/>
    <m/>
    <m/>
    <m/>
    <m/>
    <m/>
    <m/>
    <m/>
    <m/>
    <m/>
  </r>
  <r>
    <n v="742"/>
    <d v="2025-03-27T00:00:00"/>
    <s v="ZBTO"/>
    <n v="9518644656"/>
    <n v="9"/>
    <s v="9518644656-9"/>
    <s v="Apr'25 additional"/>
    <x v="0"/>
    <m/>
    <x v="1"/>
    <x v="2"/>
    <n v="2000"/>
    <m/>
    <x v="1"/>
    <m/>
    <m/>
    <s v="West Bengal"/>
    <s v="East"/>
    <s v="SILIGURI TOWN"/>
    <s v="Sheet"/>
    <n v="948783"/>
    <x v="24"/>
    <n v="3409912"/>
    <s v="CRCA SHEET TSBCRC SR15 0.500X1120X2000"/>
    <m/>
    <m/>
    <m/>
    <m/>
    <s v="Narrow"/>
    <s v="C06"/>
    <s v="TSBCRC"/>
    <s v="SR15"/>
    <n v="0.5"/>
    <n v="1120"/>
    <n v="200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1-03T00:00:00"/>
    <s v="ZBTO"/>
    <s v="9518403227"/>
    <s v="1"/>
    <s v="9518403227-1"/>
    <s v="No Priority"/>
    <x v="0"/>
    <m/>
    <x v="4"/>
    <x v="10"/>
    <n v="1000"/>
    <m/>
    <x v="0"/>
    <m/>
    <s v="No allocation for IPP"/>
    <s v="West Bengal"/>
    <s v="East"/>
    <s v="HALDIA"/>
    <s v="Coil"/>
    <n v="189406"/>
    <x v="75"/>
    <n v="2427834"/>
    <s v="GL COIL HARD  Y550GL H7GL 0.300X1245"/>
    <m/>
    <m/>
    <m/>
    <m/>
    <m/>
    <s v="B04"/>
    <s v="Y550GL"/>
    <s v="H7GL"/>
    <n v="0.3"/>
    <n v="1245"/>
    <m/>
    <n v="261"/>
    <n v="209.19"/>
    <n v="51.81"/>
    <n v="46.344999999999999"/>
    <n v="51.81"/>
    <n v="0"/>
    <n v="0"/>
    <n v="0"/>
    <n v="0"/>
    <n v="0"/>
    <n v="0"/>
    <n v="0"/>
    <n v="0"/>
    <n v="0"/>
    <n v="0"/>
    <n v="0"/>
    <n v="0"/>
    <n v="0"/>
    <n v="0"/>
    <n v="0"/>
    <n v="0"/>
    <n v="0"/>
    <n v="0"/>
    <n v="0"/>
    <n v="0"/>
    <n v="0"/>
    <n v="0"/>
    <n v="0"/>
    <n v="0"/>
    <m/>
    <n v="23.545000000000002"/>
    <n v="0"/>
    <n v="0"/>
    <n v="0"/>
    <n v="0"/>
    <n v="0"/>
    <n v="0"/>
    <n v="23.545000000000002"/>
    <n v="23.545000000000002"/>
    <n v="0"/>
    <n v="0"/>
    <n v="0"/>
    <n v="0"/>
    <n v="0"/>
    <n v="0"/>
    <n v="0"/>
    <n v="0"/>
    <n v="0"/>
    <n v="0"/>
    <n v="0"/>
    <n v="0"/>
    <m/>
    <m/>
    <m/>
    <m/>
    <m/>
    <m/>
    <m/>
    <m/>
    <s v="1"/>
    <s v="1"/>
    <s v="1"/>
    <s v="1"/>
    <s v="1"/>
    <m/>
    <m/>
    <m/>
    <m/>
    <m/>
    <m/>
    <m/>
    <m/>
    <m/>
    <m/>
    <m/>
    <m/>
    <m/>
    <m/>
  </r>
  <r>
    <n v="742"/>
    <d v="2025-01-06T00:00:00"/>
    <s v="ZBTO"/>
    <s v="9518407392"/>
    <s v="7"/>
    <s v="9518407392-7"/>
    <s v="No Priority"/>
    <x v="0"/>
    <m/>
    <x v="1"/>
    <x v="2"/>
    <n v="2000"/>
    <m/>
    <x v="0"/>
    <m/>
    <m/>
    <s v="Tamil Nadu"/>
    <s v="South"/>
    <s v="SALEM JN"/>
    <s v="Sheet"/>
    <n v="116465"/>
    <x v="13"/>
    <n v="3240757"/>
    <s v="CRCA SHEET TSBCRC SR15 0.500X1000X2000"/>
    <m/>
    <m/>
    <m/>
    <m/>
    <m/>
    <s v="C06"/>
    <s v="TSBCRC"/>
    <s v="SR15"/>
    <n v="0.5"/>
    <n v="1000"/>
    <m/>
    <n v="21"/>
    <n v="20.295000000000002"/>
    <n v="0.70499999999999996"/>
    <n v="0.70499999999999996"/>
    <n v="0"/>
    <n v="0"/>
    <n v="0"/>
    <n v="0"/>
    <n v="0"/>
    <n v="0"/>
    <n v="0"/>
    <n v="0"/>
    <n v="0"/>
    <n v="0"/>
    <n v="0"/>
    <n v="0"/>
    <n v="0"/>
    <n v="0"/>
    <n v="0"/>
    <n v="0"/>
    <n v="0"/>
    <n v="0"/>
    <n v="0"/>
    <n v="0"/>
    <n v="0"/>
    <n v="0"/>
    <n v="0"/>
    <n v="0"/>
    <n v="0"/>
    <m/>
    <n v="20.294999999999998"/>
    <n v="0"/>
    <n v="0"/>
    <n v="0"/>
    <n v="0"/>
    <n v="0"/>
    <n v="0"/>
    <n v="20.294999999999998"/>
    <n v="20.294999999999998"/>
    <n v="0"/>
    <n v="0"/>
    <n v="0"/>
    <n v="0"/>
    <n v="0"/>
    <n v="0"/>
    <n v="0"/>
    <n v="0"/>
    <n v="0"/>
    <n v="0"/>
    <n v="0"/>
    <n v="0"/>
    <m/>
    <m/>
    <m/>
    <m/>
    <m/>
    <m/>
    <m/>
    <m/>
    <s v="1"/>
    <s v="1"/>
    <s v="1"/>
    <s v="1"/>
    <s v="1"/>
    <m/>
    <m/>
    <m/>
    <m/>
    <m/>
    <m/>
    <m/>
    <m/>
    <m/>
    <m/>
    <m/>
    <m/>
    <m/>
    <m/>
  </r>
  <r>
    <n v="744"/>
    <d v="2025-01-06T00:00:00"/>
    <s v="ZBTT"/>
    <s v="9518409222"/>
    <s v="1"/>
    <s v="9518409222-1"/>
    <s v="No Priority"/>
    <x v="0"/>
    <m/>
    <x v="2"/>
    <x v="3"/>
    <n v="1000"/>
    <m/>
    <x v="0"/>
    <m/>
    <m/>
    <s v="Jharkhand"/>
    <s v="TBSPL"/>
    <s v="GAMHARIA"/>
    <s v="Coil"/>
    <n v="940016"/>
    <x v="39"/>
    <n v="1632044"/>
    <s v="PPGL C YS550 PLH1 0.30BMT(0.35TPT)X1220"/>
    <m/>
    <m/>
    <m/>
    <m/>
    <m/>
    <s v="B18"/>
    <s v="Y550PL"/>
    <s v="PLH1"/>
    <n v="0.3"/>
    <n v="1220"/>
    <m/>
    <n v="28"/>
    <n v="0"/>
    <n v="28"/>
    <n v="28"/>
    <n v="28"/>
    <n v="0"/>
    <n v="0"/>
    <n v="0"/>
    <n v="0"/>
    <n v="0"/>
    <n v="0"/>
    <n v="0"/>
    <n v="0"/>
    <n v="0"/>
    <n v="0"/>
    <n v="0"/>
    <n v="0"/>
    <n v="0"/>
    <n v="0"/>
    <n v="0"/>
    <n v="0"/>
    <n v="0"/>
    <n v="0"/>
    <n v="0"/>
    <n v="0"/>
    <n v="0"/>
    <n v="0"/>
    <n v="0"/>
    <n v="0"/>
    <m/>
    <n v="7.3"/>
    <n v="0"/>
    <n v="0"/>
    <n v="0"/>
    <n v="0"/>
    <n v="0"/>
    <n v="0"/>
    <n v="7.3"/>
    <n v="7.3"/>
    <n v="0"/>
    <n v="0"/>
    <n v="0"/>
    <n v="0"/>
    <n v="0"/>
    <n v="0"/>
    <n v="0"/>
    <n v="0"/>
    <n v="0"/>
    <n v="0"/>
    <n v="0"/>
    <n v="0"/>
    <m/>
    <m/>
    <m/>
    <m/>
    <m/>
    <m/>
    <m/>
    <m/>
    <s v="1"/>
    <s v="1"/>
    <s v="1"/>
    <s v="1"/>
    <s v="1"/>
    <m/>
    <m/>
    <m/>
    <m/>
    <m/>
    <m/>
    <m/>
    <m/>
    <m/>
    <m/>
    <m/>
    <m/>
    <m/>
    <m/>
  </r>
  <r>
    <n v="744"/>
    <d v="2025-01-06T00:00:00"/>
    <s v="ZBTT"/>
    <s v="9518409222"/>
    <s v="2"/>
    <s v="9518409222-2"/>
    <s v="No Priority"/>
    <x v="0"/>
    <m/>
    <x v="2"/>
    <x v="3"/>
    <n v="1000"/>
    <m/>
    <x v="0"/>
    <m/>
    <m/>
    <s v="Jharkhand"/>
    <s v="TBSPL"/>
    <s v="GAMHARIA"/>
    <s v="Coil"/>
    <n v="940016"/>
    <x v="39"/>
    <n v="1640795"/>
    <s v="PPGL C YS550 PLH1 0.40BMT(0.45TPT)X1220"/>
    <m/>
    <m/>
    <m/>
    <m/>
    <m/>
    <s v="B18"/>
    <s v="Y550PL"/>
    <s v="PLH1"/>
    <n v="0.4"/>
    <n v="1220"/>
    <m/>
    <n v="27.88"/>
    <n v="0"/>
    <n v="27.88"/>
    <n v="27.88"/>
    <n v="27.88"/>
    <n v="0"/>
    <n v="0"/>
    <n v="0"/>
    <n v="0"/>
    <n v="0"/>
    <n v="0"/>
    <n v="0"/>
    <n v="0"/>
    <n v="0"/>
    <n v="0"/>
    <n v="0"/>
    <n v="0"/>
    <n v="0"/>
    <n v="0"/>
    <n v="0"/>
    <n v="0"/>
    <n v="0"/>
    <n v="0"/>
    <n v="0"/>
    <n v="0"/>
    <n v="0"/>
    <n v="0"/>
    <n v="0"/>
    <n v="0"/>
    <m/>
    <n v="18.579999999999998"/>
    <n v="0"/>
    <n v="0"/>
    <n v="0"/>
    <n v="0"/>
    <n v="0"/>
    <n v="0"/>
    <n v="18.579999999999998"/>
    <n v="18.579999999999998"/>
    <n v="0"/>
    <n v="0"/>
    <n v="0"/>
    <n v="0"/>
    <n v="0"/>
    <n v="0"/>
    <n v="0"/>
    <n v="0"/>
    <n v="0"/>
    <n v="0"/>
    <n v="0"/>
    <n v="0"/>
    <m/>
    <m/>
    <m/>
    <m/>
    <m/>
    <m/>
    <m/>
    <m/>
    <s v="1"/>
    <s v="1"/>
    <s v="1"/>
    <s v="1"/>
    <s v="1"/>
    <m/>
    <m/>
    <m/>
    <m/>
    <m/>
    <m/>
    <m/>
    <m/>
    <m/>
    <m/>
    <m/>
    <m/>
    <m/>
    <m/>
  </r>
  <r>
    <n v="744"/>
    <d v="2025-01-06T00:00:00"/>
    <s v="ZBTT"/>
    <s v="9518409222"/>
    <s v="3"/>
    <s v="9518409222-3"/>
    <s v="No Priority"/>
    <x v="0"/>
    <s v="Yes"/>
    <x v="2"/>
    <x v="3"/>
    <n v="1000"/>
    <m/>
    <x v="0"/>
    <m/>
    <m/>
    <s v="Jharkhand"/>
    <s v="TBSPL"/>
    <s v="GAMHARIA"/>
    <s v="Coil"/>
    <n v="940016"/>
    <x v="39"/>
    <n v="1633706"/>
    <s v="PPGL C Y550 HPL3 0.42BMT(0.50TPT)X1220"/>
    <m/>
    <m/>
    <m/>
    <m/>
    <m/>
    <s v="B18"/>
    <s v="Y550PL"/>
    <s v="HPL3"/>
    <n v="0.42"/>
    <n v="1220"/>
    <m/>
    <n v="28"/>
    <n v="0"/>
    <n v="28"/>
    <n v="28"/>
    <n v="28"/>
    <n v="0"/>
    <n v="0"/>
    <n v="0"/>
    <n v="0"/>
    <n v="0"/>
    <n v="0"/>
    <n v="0"/>
    <n v="0"/>
    <n v="0"/>
    <n v="0"/>
    <n v="0"/>
    <n v="0"/>
    <n v="0"/>
    <n v="0"/>
    <n v="0"/>
    <n v="0"/>
    <n v="0"/>
    <n v="0"/>
    <n v="0"/>
    <n v="0"/>
    <n v="0"/>
    <n v="0"/>
    <n v="0"/>
    <n v="0"/>
    <m/>
    <n v="25.775000000000006"/>
    <n v="0"/>
    <n v="0"/>
    <n v="0"/>
    <n v="0"/>
    <n v="0"/>
    <n v="0"/>
    <n v="25.775000000000006"/>
    <n v="25.775000000000006"/>
    <n v="0"/>
    <n v="0"/>
    <n v="0"/>
    <n v="0"/>
    <n v="0"/>
    <n v="0"/>
    <n v="0"/>
    <n v="0"/>
    <n v="0"/>
    <n v="0"/>
    <n v="0"/>
    <n v="0"/>
    <m/>
    <m/>
    <m/>
    <m/>
    <m/>
    <m/>
    <m/>
    <m/>
    <s v="1"/>
    <s v="1"/>
    <s v="1"/>
    <s v="1"/>
    <s v="1"/>
    <m/>
    <m/>
    <m/>
    <m/>
    <m/>
    <m/>
    <m/>
    <m/>
    <m/>
    <m/>
    <m/>
    <m/>
    <m/>
    <m/>
  </r>
  <r>
    <n v="744"/>
    <d v="2025-01-06T00:00:00"/>
    <s v="ZBTT"/>
    <s v="9518409222"/>
    <s v="4"/>
    <s v="9518409222-4"/>
    <s v="No Priority"/>
    <x v="0"/>
    <m/>
    <x v="2"/>
    <x v="3"/>
    <n v="1000"/>
    <m/>
    <x v="0"/>
    <m/>
    <m/>
    <s v="Jharkhand"/>
    <s v="TBSPL"/>
    <s v="GAMHARIA"/>
    <s v="Coil"/>
    <n v="940016"/>
    <x v="39"/>
    <n v="1636098"/>
    <s v="PPGL COIL HARD Y550PL HPL3 0.52X1220"/>
    <m/>
    <m/>
    <m/>
    <m/>
    <m/>
    <s v="B18"/>
    <s v="Y550PL"/>
    <s v="HPL3"/>
    <n v="0.52"/>
    <n v="1220"/>
    <m/>
    <n v="28"/>
    <n v="0"/>
    <n v="28"/>
    <n v="28"/>
    <n v="28"/>
    <n v="0"/>
    <n v="0"/>
    <n v="0"/>
    <n v="0"/>
    <n v="0"/>
    <n v="0"/>
    <n v="0"/>
    <n v="0"/>
    <n v="0"/>
    <n v="0"/>
    <n v="0"/>
    <n v="0"/>
    <n v="0"/>
    <n v="0"/>
    <n v="0"/>
    <n v="0"/>
    <n v="0"/>
    <n v="0"/>
    <n v="0"/>
    <n v="0"/>
    <n v="0"/>
    <n v="0"/>
    <n v="0"/>
    <n v="0"/>
    <m/>
    <n v="8.7800000000000011"/>
    <n v="0"/>
    <n v="0"/>
    <n v="0"/>
    <n v="0"/>
    <n v="0"/>
    <n v="0"/>
    <n v="8.7800000000000011"/>
    <n v="8.7800000000000011"/>
    <n v="0"/>
    <n v="0"/>
    <n v="0"/>
    <n v="0"/>
    <n v="0"/>
    <n v="0"/>
    <n v="0"/>
    <n v="0"/>
    <n v="0"/>
    <n v="0"/>
    <n v="0"/>
    <n v="0"/>
    <m/>
    <m/>
    <m/>
    <m/>
    <m/>
    <m/>
    <m/>
    <m/>
    <s v="1"/>
    <s v="1"/>
    <s v="1"/>
    <s v="1"/>
    <s v="1"/>
    <m/>
    <m/>
    <m/>
    <m/>
    <m/>
    <m/>
    <m/>
    <m/>
    <m/>
    <m/>
    <m/>
    <m/>
    <m/>
    <m/>
  </r>
  <r>
    <n v="742"/>
    <d v="2025-01-07T00:00:00"/>
    <s v="ZBTO"/>
    <s v="9518410223"/>
    <s v="10"/>
    <s v="9518410223-10"/>
    <s v="No Priority"/>
    <x v="0"/>
    <m/>
    <x v="1"/>
    <x v="2"/>
    <n v="2000"/>
    <m/>
    <x v="0"/>
    <m/>
    <m/>
    <s v="Uttar Pradesh"/>
    <s v="North"/>
    <s v="VARANASI"/>
    <s v="Sheet"/>
    <n v="931525"/>
    <x v="2"/>
    <n v="3240851"/>
    <s v="CRCA SHEET TSBCRC SR15 1.200X1250X2500"/>
    <m/>
    <m/>
    <m/>
    <m/>
    <m/>
    <s v="C06"/>
    <s v="TSBCRC"/>
    <s v="SR15"/>
    <n v="1.2"/>
    <n v="1250"/>
    <m/>
    <n v="57"/>
    <n v="52.29"/>
    <n v="4.71"/>
    <n v="4.71"/>
    <n v="4.71"/>
    <n v="0"/>
    <n v="0"/>
    <n v="0"/>
    <n v="0"/>
    <n v="0"/>
    <n v="0"/>
    <n v="0"/>
    <n v="0"/>
    <n v="0"/>
    <n v="0"/>
    <n v="0"/>
    <n v="0"/>
    <n v="0"/>
    <n v="0"/>
    <n v="0"/>
    <n v="0"/>
    <n v="0"/>
    <n v="0"/>
    <n v="0"/>
    <n v="0"/>
    <n v="0"/>
    <n v="0"/>
    <n v="0"/>
    <n v="0"/>
    <m/>
    <n v="28.864999999999995"/>
    <n v="0"/>
    <n v="0"/>
    <n v="0"/>
    <n v="0"/>
    <n v="0"/>
    <n v="0"/>
    <n v="28.864999999999995"/>
    <n v="28.864999999999995"/>
    <n v="0"/>
    <n v="0"/>
    <n v="0"/>
    <n v="0"/>
    <n v="0"/>
    <n v="0"/>
    <n v="0"/>
    <n v="0"/>
    <n v="0"/>
    <n v="0"/>
    <n v="0"/>
    <n v="0"/>
    <m/>
    <m/>
    <m/>
    <m/>
    <m/>
    <m/>
    <m/>
    <m/>
    <s v="1"/>
    <s v="1"/>
    <s v="1"/>
    <s v="1"/>
    <s v="1"/>
    <m/>
    <m/>
    <m/>
    <m/>
    <m/>
    <m/>
    <m/>
    <m/>
    <m/>
    <m/>
    <m/>
    <m/>
    <m/>
    <m/>
  </r>
  <r>
    <n v="742"/>
    <d v="2025-01-07T00:00:00"/>
    <s v="ZBTO"/>
    <s v="9518410223"/>
    <s v="7"/>
    <s v="9518410223-7"/>
    <s v="No Priority"/>
    <x v="0"/>
    <m/>
    <x v="1"/>
    <x v="2"/>
    <n v="2000"/>
    <m/>
    <x v="0"/>
    <m/>
    <m/>
    <s v="Uttar Pradesh"/>
    <s v="North"/>
    <s v="VARANASI"/>
    <s v="Sheet"/>
    <n v="931525"/>
    <x v="2"/>
    <n v="3240781"/>
    <s v="CRCA SHEET TSBCRC SR15 0.600X1250X2030"/>
    <m/>
    <m/>
    <m/>
    <m/>
    <m/>
    <s v="C06"/>
    <s v="TSBCRC"/>
    <s v="SR15"/>
    <n v="0.6"/>
    <n v="1250"/>
    <m/>
    <n v="30"/>
    <n v="26.454999999999998"/>
    <n v="3.5449999999999999"/>
    <n v="3.5449999999999999"/>
    <n v="3.5449999999999999"/>
    <n v="0"/>
    <n v="0"/>
    <n v="0"/>
    <n v="0"/>
    <n v="0"/>
    <n v="0"/>
    <n v="0"/>
    <n v="0"/>
    <n v="0"/>
    <n v="0"/>
    <n v="0"/>
    <n v="0"/>
    <n v="0"/>
    <n v="0"/>
    <n v="0"/>
    <n v="0"/>
    <n v="0"/>
    <n v="0"/>
    <n v="0"/>
    <n v="0"/>
    <n v="0"/>
    <n v="0"/>
    <n v="0"/>
    <n v="0"/>
    <m/>
    <n v="14.709999999999999"/>
    <n v="0"/>
    <n v="0"/>
    <n v="0"/>
    <n v="0"/>
    <n v="0"/>
    <n v="0"/>
    <n v="14.709999999999999"/>
    <n v="14.709999999999999"/>
    <n v="0"/>
    <n v="0"/>
    <n v="0"/>
    <n v="0"/>
    <n v="0"/>
    <n v="0"/>
    <n v="0"/>
    <n v="0"/>
    <n v="0"/>
    <n v="0"/>
    <n v="0"/>
    <n v="0"/>
    <m/>
    <m/>
    <m/>
    <m/>
    <m/>
    <m/>
    <m/>
    <m/>
    <s v="1"/>
    <s v="1"/>
    <s v="1"/>
    <s v="1"/>
    <s v="1"/>
    <m/>
    <m/>
    <m/>
    <m/>
    <m/>
    <m/>
    <m/>
    <m/>
    <m/>
    <m/>
    <m/>
    <m/>
    <m/>
    <m/>
  </r>
  <r>
    <n v="742"/>
    <d v="2025-01-07T00:00:00"/>
    <s v="ZBTO"/>
    <s v="9518410223"/>
    <s v="9"/>
    <s v="9518410223-9"/>
    <s v="No Priority"/>
    <x v="0"/>
    <m/>
    <x v="1"/>
    <x v="2"/>
    <n v="2000"/>
    <m/>
    <x v="0"/>
    <m/>
    <m/>
    <s v="Uttar Pradesh"/>
    <s v="North"/>
    <s v="VARANASI"/>
    <s v="Sheet"/>
    <n v="931525"/>
    <x v="2"/>
    <n v="3240787"/>
    <s v="CRCA SHEET TSBCRC SR15 0.700X1250X1930"/>
    <m/>
    <m/>
    <m/>
    <m/>
    <m/>
    <s v="C06"/>
    <s v="TSBCRC"/>
    <s v="SR15"/>
    <n v="0.7"/>
    <n v="1250"/>
    <m/>
    <n v="57"/>
    <n v="51.87"/>
    <n v="5.13"/>
    <n v="5.13"/>
    <n v="5.13"/>
    <n v="0"/>
    <n v="0"/>
    <n v="0"/>
    <n v="0"/>
    <n v="0"/>
    <n v="0"/>
    <n v="0"/>
    <n v="0"/>
    <n v="0"/>
    <n v="0"/>
    <n v="0"/>
    <n v="0"/>
    <n v="0"/>
    <n v="0"/>
    <n v="0"/>
    <n v="0"/>
    <n v="0"/>
    <n v="0"/>
    <n v="0"/>
    <n v="0"/>
    <n v="0"/>
    <n v="0"/>
    <n v="0"/>
    <n v="0"/>
    <m/>
    <n v="20.450000000000003"/>
    <n v="0"/>
    <n v="0"/>
    <n v="0"/>
    <n v="0"/>
    <n v="0"/>
    <n v="0"/>
    <n v="20.450000000000003"/>
    <n v="20.450000000000003"/>
    <n v="0"/>
    <n v="0"/>
    <n v="0"/>
    <n v="0"/>
    <n v="0"/>
    <n v="0"/>
    <n v="0"/>
    <n v="0"/>
    <n v="0"/>
    <n v="0"/>
    <n v="0"/>
    <n v="0"/>
    <m/>
    <m/>
    <m/>
    <m/>
    <m/>
    <m/>
    <m/>
    <m/>
    <s v="1"/>
    <s v="1"/>
    <s v="1"/>
    <s v="1"/>
    <s v="1"/>
    <m/>
    <m/>
    <m/>
    <m/>
    <m/>
    <m/>
    <m/>
    <m/>
    <m/>
    <m/>
    <m/>
    <m/>
    <m/>
    <m/>
  </r>
  <r>
    <n v="742"/>
    <d v="2025-01-07T00:00:00"/>
    <s v="ZBTO"/>
    <s v="9518411862"/>
    <s v="1"/>
    <s v="9518411862-1"/>
    <s v="No Priority"/>
    <x v="0"/>
    <m/>
    <x v="1"/>
    <x v="12"/>
    <n v="2000"/>
    <m/>
    <x v="0"/>
    <m/>
    <m/>
    <s v="Delhi"/>
    <s v="North"/>
    <s v="NEWDELHI"/>
    <s v="Coil"/>
    <n v="184986"/>
    <x v="49"/>
    <n v="2439201"/>
    <s v="CRCA COIL TSBSTA EL06 0.500X1170"/>
    <m/>
    <m/>
    <m/>
    <m/>
    <m/>
    <s v="C01"/>
    <s v="TSBSTA"/>
    <s v="EL06"/>
    <n v="0.5"/>
    <n v="1170"/>
    <m/>
    <n v="296.95999999999998"/>
    <n v="241.11"/>
    <n v="55.85"/>
    <n v="7.66"/>
    <n v="55.85"/>
    <n v="0"/>
    <n v="0"/>
    <n v="0"/>
    <n v="0"/>
    <n v="0"/>
    <n v="0"/>
    <n v="0"/>
    <n v="0"/>
    <n v="0"/>
    <n v="0"/>
    <n v="0"/>
    <n v="0"/>
    <n v="0"/>
    <n v="0"/>
    <n v="0"/>
    <n v="0"/>
    <n v="0"/>
    <n v="0"/>
    <n v="0"/>
    <n v="0"/>
    <n v="0"/>
    <n v="0"/>
    <n v="0"/>
    <n v="0"/>
    <m/>
    <n v="135.59000000000003"/>
    <n v="0"/>
    <n v="0"/>
    <n v="0"/>
    <n v="0"/>
    <n v="0"/>
    <n v="0"/>
    <n v="135.59000000000003"/>
    <n v="135.59000000000003"/>
    <n v="0"/>
    <n v="0"/>
    <n v="0"/>
    <n v="0"/>
    <n v="0"/>
    <n v="118.23000000000002"/>
    <n v="0"/>
    <n v="0"/>
    <n v="0"/>
    <n v="0"/>
    <n v="0"/>
    <n v="118.23000000000002"/>
    <m/>
    <m/>
    <m/>
    <m/>
    <m/>
    <m/>
    <m/>
    <m/>
    <s v="1"/>
    <s v="1"/>
    <s v="1"/>
    <s v="1"/>
    <s v="1"/>
    <m/>
    <m/>
    <m/>
    <m/>
    <m/>
    <m/>
    <m/>
    <m/>
    <m/>
    <m/>
    <m/>
    <m/>
    <m/>
    <m/>
  </r>
  <r>
    <n v="742"/>
    <d v="2025-01-07T00:00:00"/>
    <s v="ZBTO"/>
    <s v="9518411918"/>
    <s v="1"/>
    <s v="9518411918-1"/>
    <s v="No Priority"/>
    <x v="0"/>
    <m/>
    <x v="1"/>
    <x v="12"/>
    <n v="2000"/>
    <m/>
    <x v="0"/>
    <m/>
    <m/>
    <s v="Delhi"/>
    <s v="North"/>
    <s v="NEWDELHI"/>
    <s v="Coil"/>
    <n v="184986"/>
    <x v="49"/>
    <n v="2439201"/>
    <s v="CRCA COIL TSBSTA EL06 0.500X1170"/>
    <m/>
    <m/>
    <m/>
    <m/>
    <m/>
    <s v="C01"/>
    <s v="TSBSTA"/>
    <s v="EL06"/>
    <n v="0.5"/>
    <n v="1170"/>
    <m/>
    <n v="296.99"/>
    <n v="201.4"/>
    <n v="95.59"/>
    <n v="-6.1449999999999996"/>
    <n v="0"/>
    <n v="0"/>
    <n v="0"/>
    <n v="0"/>
    <n v="0"/>
    <n v="0"/>
    <n v="0"/>
    <n v="0"/>
    <n v="0"/>
    <n v="0"/>
    <n v="0"/>
    <n v="0"/>
    <n v="0"/>
    <n v="0"/>
    <n v="0"/>
    <n v="0"/>
    <n v="0"/>
    <n v="0"/>
    <n v="0"/>
    <n v="0"/>
    <n v="0"/>
    <n v="0"/>
    <n v="0"/>
    <n v="0"/>
    <n v="0"/>
    <m/>
    <n v="98.494999999999976"/>
    <n v="0"/>
    <n v="0"/>
    <n v="0"/>
    <n v="0"/>
    <n v="0"/>
    <n v="0"/>
    <n v="98.494999999999976"/>
    <n v="98.494999999999976"/>
    <n v="0"/>
    <n v="0"/>
    <n v="0"/>
    <n v="0"/>
    <n v="0"/>
    <n v="104.065"/>
    <n v="0"/>
    <n v="0"/>
    <n v="0"/>
    <n v="0"/>
    <n v="0"/>
    <n v="104.065"/>
    <m/>
    <m/>
    <m/>
    <m/>
    <m/>
    <m/>
    <m/>
    <m/>
    <s v="1"/>
    <s v="1"/>
    <s v="1"/>
    <s v="1"/>
    <s v="1"/>
    <m/>
    <m/>
    <m/>
    <m/>
    <m/>
    <m/>
    <m/>
    <m/>
    <m/>
    <m/>
    <m/>
    <m/>
    <m/>
    <m/>
  </r>
  <r>
    <n v="742"/>
    <d v="2025-01-11T00:00:00"/>
    <s v="ZBTO"/>
    <s v="9518421446"/>
    <s v="12"/>
    <s v="9518421446-12"/>
    <s v="No Priority"/>
    <x v="0"/>
    <m/>
    <x v="1"/>
    <x v="2"/>
    <n v="2000"/>
    <m/>
    <x v="0"/>
    <m/>
    <m/>
    <s v="Jharkhand"/>
    <s v="East"/>
    <s v="BOKARO"/>
    <s v="Sheet"/>
    <n v="185794"/>
    <x v="12"/>
    <n v="3239548"/>
    <s v="CRCA SHEET TATCRC SR16 0.400X900X2500"/>
    <m/>
    <m/>
    <m/>
    <m/>
    <m/>
    <s v="C06"/>
    <s v="TATCRC"/>
    <s v="SR16"/>
    <n v="0.4"/>
    <n v="900"/>
    <m/>
    <n v="38.99"/>
    <n v="38.945"/>
    <n v="4.4999999999999998E-2"/>
    <n v="4.4999999999999998E-2"/>
    <n v="0"/>
    <n v="0"/>
    <n v="0"/>
    <n v="0"/>
    <n v="0"/>
    <n v="0"/>
    <n v="0"/>
    <n v="0"/>
    <n v="0"/>
    <n v="0"/>
    <n v="0"/>
    <n v="0"/>
    <n v="0"/>
    <n v="0"/>
    <n v="0"/>
    <n v="0"/>
    <n v="0"/>
    <n v="0"/>
    <n v="0"/>
    <n v="0"/>
    <n v="0"/>
    <n v="0"/>
    <n v="0"/>
    <n v="0"/>
    <n v="0"/>
    <m/>
    <n v="8.4450000000000003"/>
    <n v="0"/>
    <n v="0"/>
    <n v="0"/>
    <n v="0"/>
    <n v="0"/>
    <n v="0"/>
    <n v="8.4450000000000003"/>
    <n v="8.4450000000000003"/>
    <n v="0"/>
    <n v="0"/>
    <n v="0"/>
    <n v="0"/>
    <n v="0"/>
    <n v="0"/>
    <n v="0"/>
    <n v="0"/>
    <n v="0"/>
    <n v="0"/>
    <n v="0"/>
    <n v="0"/>
    <m/>
    <m/>
    <m/>
    <m/>
    <m/>
    <m/>
    <m/>
    <m/>
    <s v="1"/>
    <s v="1"/>
    <s v="1"/>
    <s v="1"/>
    <s v="1"/>
    <m/>
    <m/>
    <m/>
    <m/>
    <m/>
    <m/>
    <m/>
    <m/>
    <m/>
    <m/>
    <m/>
    <m/>
    <m/>
    <m/>
  </r>
  <r>
    <n v="743"/>
    <d v="2025-01-13T00:00:00"/>
    <s v="ZBTO"/>
    <s v="9518424820"/>
    <s v="4"/>
    <s v="9518424820-4"/>
    <s v="No Priority"/>
    <x v="0"/>
    <m/>
    <x v="3"/>
    <x v="9"/>
    <n v="2000"/>
    <m/>
    <x v="0"/>
    <m/>
    <m/>
    <s v="West Bengal"/>
    <s v="East"/>
    <s v="SINGUR"/>
    <s v="Coil"/>
    <n v="100922"/>
    <x v="36"/>
    <n v="1142893"/>
    <s v="GP COIL SOFT-TATXGP-GLK1-0.35X900"/>
    <m/>
    <m/>
    <m/>
    <m/>
    <m/>
    <s v="C02"/>
    <s v="TATXGP"/>
    <s v="GLK1"/>
    <n v="0.35"/>
    <n v="900"/>
    <m/>
    <n v="105"/>
    <n v="45.76"/>
    <n v="59.24"/>
    <n v="59.24"/>
    <n v="59.24"/>
    <n v="0"/>
    <n v="0"/>
    <n v="0"/>
    <n v="0"/>
    <n v="0"/>
    <n v="0"/>
    <n v="0"/>
    <n v="0"/>
    <n v="0"/>
    <n v="0"/>
    <n v="0"/>
    <n v="0"/>
    <n v="0"/>
    <n v="0"/>
    <n v="0"/>
    <n v="0"/>
    <n v="0"/>
    <n v="0"/>
    <n v="0"/>
    <n v="0"/>
    <n v="0"/>
    <n v="0"/>
    <n v="0"/>
    <n v="0"/>
    <m/>
    <n v="15.9"/>
    <n v="0"/>
    <n v="0"/>
    <n v="0"/>
    <n v="0"/>
    <n v="0"/>
    <n v="0"/>
    <n v="15.9"/>
    <n v="15.9"/>
    <n v="0"/>
    <n v="0"/>
    <n v="0"/>
    <n v="0"/>
    <n v="0"/>
    <n v="0"/>
    <n v="0"/>
    <n v="0"/>
    <n v="0"/>
    <n v="0"/>
    <n v="0"/>
    <n v="0"/>
    <m/>
    <m/>
    <m/>
    <m/>
    <m/>
    <m/>
    <m/>
    <m/>
    <s v="1"/>
    <s v="1"/>
    <s v="1"/>
    <s v="1"/>
    <s v="1"/>
    <m/>
    <m/>
    <m/>
    <m/>
    <m/>
    <m/>
    <m/>
    <m/>
    <m/>
    <m/>
    <m/>
    <m/>
    <m/>
    <m/>
  </r>
  <r>
    <n v="742"/>
    <d v="2025-01-22T00:00:00"/>
    <s v="ZBTO"/>
    <s v="9518451407"/>
    <s v="2"/>
    <s v="9518451407-2"/>
    <s v="No Priority"/>
    <x v="0"/>
    <m/>
    <x v="1"/>
    <x v="2"/>
    <n v="2000"/>
    <m/>
    <x v="0"/>
    <m/>
    <m/>
    <s v="Uttar Pradesh"/>
    <s v="North"/>
    <s v="CHANDAULI MAJH"/>
    <s v="Sheet"/>
    <n v="115841"/>
    <x v="7"/>
    <n v="3444592"/>
    <s v="CRCA SHEET TATCRC SR16 0.450X1250X2030"/>
    <m/>
    <m/>
    <m/>
    <m/>
    <m/>
    <s v="C06"/>
    <s v="TATCRC"/>
    <s v="SR16"/>
    <n v="0.45"/>
    <n v="1250"/>
    <m/>
    <n v="30"/>
    <n v="28.42"/>
    <n v="1.58"/>
    <n v="1.58"/>
    <n v="0"/>
    <n v="0"/>
    <n v="0"/>
    <n v="0"/>
    <n v="0"/>
    <n v="0"/>
    <n v="0"/>
    <n v="0"/>
    <n v="0"/>
    <n v="0"/>
    <n v="0"/>
    <n v="0"/>
    <n v="0"/>
    <n v="0"/>
    <n v="0"/>
    <n v="0"/>
    <n v="0"/>
    <n v="0"/>
    <n v="0"/>
    <n v="0"/>
    <n v="0"/>
    <n v="0"/>
    <n v="0"/>
    <n v="0"/>
    <n v="0"/>
    <m/>
    <n v="2.81"/>
    <n v="0"/>
    <n v="0"/>
    <n v="0"/>
    <n v="0"/>
    <n v="0"/>
    <n v="0"/>
    <n v="2.81"/>
    <n v="2.81"/>
    <n v="0"/>
    <n v="0"/>
    <n v="0"/>
    <n v="0"/>
    <n v="0"/>
    <n v="0"/>
    <n v="0"/>
    <n v="0"/>
    <n v="0"/>
    <n v="0"/>
    <n v="0"/>
    <n v="0"/>
    <m/>
    <m/>
    <m/>
    <m/>
    <m/>
    <m/>
    <m/>
    <m/>
    <s v="1"/>
    <s v="1"/>
    <s v="1"/>
    <s v="1"/>
    <s v="1"/>
    <m/>
    <m/>
    <m/>
    <m/>
    <m/>
    <m/>
    <m/>
    <m/>
    <m/>
    <m/>
    <m/>
    <m/>
    <m/>
    <m/>
  </r>
  <r>
    <n v="742"/>
    <d v="2025-01-23T00:00:00"/>
    <s v="ZBTO"/>
    <s v="9518454228"/>
    <s v="3"/>
    <s v="9518454228-3"/>
    <s v="No Priority"/>
    <x v="0"/>
    <m/>
    <x v="1"/>
    <x v="2"/>
    <n v="2000"/>
    <m/>
    <x v="0"/>
    <m/>
    <m/>
    <s v="Maharashtra"/>
    <s v="West"/>
    <s v="NAGPUR"/>
    <s v="Sheet"/>
    <n v="103092"/>
    <x v="59"/>
    <n v="3240895"/>
    <s v="CRCA SHEET TATXXD SR17 0.500X1250X2500"/>
    <m/>
    <m/>
    <m/>
    <m/>
    <m/>
    <s v="C06"/>
    <s v="TATXXD"/>
    <s v="SR17"/>
    <n v="0.5"/>
    <n v="1250"/>
    <m/>
    <n v="57.555"/>
    <n v="57.555"/>
    <n v="0"/>
    <n v="0"/>
    <n v="0"/>
    <n v="0"/>
    <n v="0"/>
    <n v="0"/>
    <n v="0"/>
    <n v="0"/>
    <n v="0"/>
    <n v="0"/>
    <n v="0"/>
    <n v="0"/>
    <n v="0"/>
    <n v="0"/>
    <n v="0"/>
    <n v="0"/>
    <n v="0"/>
    <n v="0"/>
    <n v="0"/>
    <n v="0"/>
    <n v="0"/>
    <n v="0"/>
    <n v="0"/>
    <n v="0"/>
    <n v="0"/>
    <n v="0"/>
    <n v="0"/>
    <m/>
    <n v="5.8949999999999996"/>
    <n v="0"/>
    <n v="0"/>
    <n v="0"/>
    <n v="0"/>
    <n v="0"/>
    <n v="0"/>
    <n v="5.8949999999999996"/>
    <n v="5.8949999999999996"/>
    <n v="0"/>
    <n v="0"/>
    <n v="0"/>
    <n v="0"/>
    <n v="0"/>
    <n v="5.8949999999999996"/>
    <n v="0"/>
    <n v="0"/>
    <n v="0"/>
    <n v="0"/>
    <n v="0"/>
    <n v="5.8949999999999996"/>
    <m/>
    <m/>
    <m/>
    <m/>
    <m/>
    <m/>
    <m/>
    <m/>
    <s v="1"/>
    <s v="1"/>
    <s v="1"/>
    <s v="1"/>
    <s v="1"/>
    <m/>
    <m/>
    <m/>
    <m/>
    <m/>
    <m/>
    <m/>
    <m/>
    <m/>
    <m/>
    <m/>
    <m/>
    <m/>
    <m/>
  </r>
  <r>
    <n v="743"/>
    <d v="2025-01-25T00:00:00"/>
    <s v="ZBTO"/>
    <s v="9518459604"/>
    <s v="2"/>
    <s v="9518459604-2"/>
    <s v="No Priority"/>
    <x v="0"/>
    <m/>
    <x v="4"/>
    <x v="10"/>
    <n v="1000"/>
    <m/>
    <x v="0"/>
    <m/>
    <s v="No allocation for IPP"/>
    <s v="Andhra Pradesh"/>
    <s v="South"/>
    <s v="NELLORE"/>
    <s v="Coil"/>
    <n v="188750"/>
    <x v="76"/>
    <n v="3713960"/>
    <s v="GL COIL HARD  Y550GL H9GL 0.440X1235"/>
    <m/>
    <m/>
    <m/>
    <m/>
    <m/>
    <s v="B04"/>
    <s v="Y550GL"/>
    <s v="H9GL"/>
    <n v="0.44"/>
    <n v="1235"/>
    <m/>
    <n v="145"/>
    <n v="112.07"/>
    <n v="32.93"/>
    <n v="32.93"/>
    <n v="32.93"/>
    <n v="0"/>
    <n v="0"/>
    <n v="0"/>
    <n v="0"/>
    <n v="0"/>
    <n v="0"/>
    <n v="0"/>
    <n v="0"/>
    <n v="0"/>
    <n v="0"/>
    <n v="0"/>
    <n v="0"/>
    <n v="0"/>
    <n v="0"/>
    <n v="0"/>
    <n v="0"/>
    <n v="0"/>
    <n v="0"/>
    <n v="0"/>
    <n v="0"/>
    <n v="0"/>
    <n v="0"/>
    <n v="0"/>
    <n v="0"/>
    <m/>
    <n v="26.625"/>
    <n v="0"/>
    <n v="0"/>
    <n v="0"/>
    <n v="0"/>
    <n v="0"/>
    <n v="0"/>
    <n v="26.625"/>
    <n v="26.625"/>
    <n v="0"/>
    <n v="0"/>
    <n v="0"/>
    <n v="0"/>
    <n v="0"/>
    <n v="0"/>
    <n v="0"/>
    <n v="0"/>
    <n v="0"/>
    <n v="0"/>
    <n v="0"/>
    <n v="0"/>
    <m/>
    <m/>
    <m/>
    <m/>
    <m/>
    <m/>
    <m/>
    <m/>
    <s v="1"/>
    <s v="1"/>
    <s v="1"/>
    <s v="1"/>
    <s v="1"/>
    <m/>
    <m/>
    <m/>
    <m/>
    <m/>
    <m/>
    <m/>
    <m/>
    <m/>
    <m/>
    <m/>
    <m/>
    <m/>
    <m/>
  </r>
  <r>
    <n v="742"/>
    <d v="2025-01-31T00:00:00"/>
    <s v="ZBTO"/>
    <s v="9518480825"/>
    <s v="1"/>
    <s v="9518480825-1"/>
    <s v="No Priority"/>
    <x v="0"/>
    <m/>
    <x v="1"/>
    <x v="10"/>
    <n v="1000"/>
    <m/>
    <x v="0"/>
    <m/>
    <m/>
    <s v="Andhra Pradesh"/>
    <s v="South"/>
    <s v="VISHAKAPATNAM"/>
    <s v="Coil"/>
    <n v="186001"/>
    <x v="46"/>
    <n v="3867646"/>
    <s v="CR COIL TATXXD BT04 0.600X900"/>
    <m/>
    <m/>
    <m/>
    <m/>
    <m/>
    <s v="C01"/>
    <s v="TATXXD"/>
    <s v="BT04"/>
    <n v="0.6"/>
    <n v="900"/>
    <m/>
    <n v="125.99"/>
    <n v="109.155"/>
    <n v="16.835000000000001"/>
    <n v="-4.4749999999999996"/>
    <n v="0"/>
    <n v="0"/>
    <n v="0"/>
    <n v="0"/>
    <n v="0"/>
    <n v="0"/>
    <n v="0"/>
    <n v="0"/>
    <n v="0"/>
    <n v="0"/>
    <n v="0"/>
    <n v="0"/>
    <n v="0"/>
    <n v="0"/>
    <n v="0"/>
    <n v="0"/>
    <n v="0"/>
    <n v="0"/>
    <n v="0"/>
    <n v="0"/>
    <n v="0"/>
    <n v="0"/>
    <n v="0"/>
    <n v="0"/>
    <n v="0"/>
    <m/>
    <n v="97.85"/>
    <n v="0"/>
    <n v="0"/>
    <n v="0"/>
    <n v="0"/>
    <n v="0"/>
    <n v="0"/>
    <n v="97.85"/>
    <n v="97.85"/>
    <n v="0"/>
    <n v="0"/>
    <n v="0"/>
    <n v="0"/>
    <n v="0"/>
    <n v="0"/>
    <n v="0"/>
    <n v="0"/>
    <n v="0"/>
    <n v="0"/>
    <n v="0"/>
    <n v="0"/>
    <m/>
    <m/>
    <m/>
    <m/>
    <m/>
    <m/>
    <m/>
    <m/>
    <s v="1"/>
    <s v="1"/>
    <s v="1"/>
    <s v="1"/>
    <s v="1"/>
    <m/>
    <m/>
    <m/>
    <m/>
    <m/>
    <m/>
    <m/>
    <m/>
    <m/>
    <m/>
    <m/>
    <m/>
    <m/>
    <m/>
  </r>
  <r>
    <n v="743"/>
    <d v="2025-02-03T00:00:00"/>
    <s v="ZBTF"/>
    <s v="9518490503"/>
    <s v="1"/>
    <s v="9518490503-1"/>
    <s v="No Priority"/>
    <x v="0"/>
    <m/>
    <x v="3"/>
    <x v="0"/>
    <n v="2000"/>
    <m/>
    <x v="0"/>
    <m/>
    <m/>
    <s v="West Bengal"/>
    <s v="East"/>
    <s v="TCIL-JAMSHEDPUR"/>
    <s v="Coil"/>
    <n v="600250"/>
    <x v="63"/>
    <n v="3230681"/>
    <s v="GP COIL TATXGP GLR1 0.420X1220"/>
    <m/>
    <m/>
    <m/>
    <m/>
    <m/>
    <s v="C02"/>
    <s v="TATXGP"/>
    <s v="GLR1"/>
    <n v="0.42"/>
    <n v="1220"/>
    <m/>
    <n v="251.99"/>
    <n v="234.965"/>
    <n v="17.024999999999999"/>
    <n v="17.024999999999999"/>
    <n v="17.024999999999999"/>
    <n v="17.024999999999999"/>
    <n v="0"/>
    <n v="0"/>
    <n v="0"/>
    <n v="0"/>
    <n v="0"/>
    <n v="0"/>
    <n v="0"/>
    <n v="0"/>
    <n v="0"/>
    <n v="0"/>
    <n v="0"/>
    <n v="0"/>
    <n v="0"/>
    <n v="0"/>
    <n v="0"/>
    <n v="0"/>
    <n v="0"/>
    <n v="0"/>
    <n v="0"/>
    <n v="0"/>
    <n v="0"/>
    <n v="0"/>
    <n v="0"/>
    <m/>
    <n v="5.8"/>
    <n v="0"/>
    <n v="0"/>
    <n v="0"/>
    <n v="0"/>
    <n v="0"/>
    <n v="0"/>
    <n v="5.8"/>
    <n v="5.8"/>
    <n v="0"/>
    <n v="0"/>
    <n v="0"/>
    <n v="0"/>
    <n v="0"/>
    <n v="5.8"/>
    <n v="0"/>
    <n v="0"/>
    <n v="0"/>
    <n v="0"/>
    <n v="0"/>
    <n v="5.8"/>
    <m/>
    <m/>
    <m/>
    <m/>
    <m/>
    <m/>
    <m/>
    <m/>
    <s v="1"/>
    <s v="1"/>
    <s v="1"/>
    <s v="1"/>
    <s v="1"/>
    <m/>
    <m/>
    <m/>
    <m/>
    <m/>
    <m/>
    <m/>
    <m/>
    <m/>
    <m/>
    <m/>
    <m/>
    <m/>
    <m/>
  </r>
  <r>
    <n v="742"/>
    <d v="2025-02-05T00:00:00"/>
    <s v="ZBTO"/>
    <s v="9518495920"/>
    <s v="10"/>
    <s v="9518495920-10"/>
    <s v="No Priority"/>
    <x v="0"/>
    <m/>
    <x v="1"/>
    <x v="2"/>
    <n v="2000"/>
    <m/>
    <x v="0"/>
    <m/>
    <m/>
    <s v="Uttar Pradesh"/>
    <s v="North"/>
    <s v="VARANASI"/>
    <s v="Sheet"/>
    <n v="931525"/>
    <x v="2"/>
    <n v="3240851"/>
    <s v="CRCA SHEET TSBCRC SR15 1.200X1250X2500"/>
    <m/>
    <m/>
    <m/>
    <m/>
    <m/>
    <s v="C06"/>
    <s v="TSBCRC"/>
    <s v="SR15"/>
    <n v="1.2"/>
    <n v="1250"/>
    <m/>
    <n v="27"/>
    <n v="26.13"/>
    <n v="0.87"/>
    <n v="0.87"/>
    <n v="0"/>
    <n v="0.87"/>
    <n v="0"/>
    <n v="0"/>
    <n v="0"/>
    <n v="0"/>
    <n v="0"/>
    <n v="0"/>
    <n v="0"/>
    <n v="0"/>
    <n v="0"/>
    <n v="0"/>
    <n v="0"/>
    <n v="0"/>
    <n v="0"/>
    <n v="0"/>
    <n v="0"/>
    <n v="0"/>
    <n v="0"/>
    <n v="0"/>
    <n v="0"/>
    <n v="0"/>
    <n v="0"/>
    <n v="0"/>
    <n v="0"/>
    <m/>
    <n v="14.619999999999997"/>
    <n v="0"/>
    <n v="0"/>
    <n v="0"/>
    <n v="0"/>
    <n v="0"/>
    <n v="0"/>
    <n v="14.619999999999997"/>
    <n v="14.619999999999997"/>
    <n v="0"/>
    <n v="0"/>
    <n v="0"/>
    <n v="0"/>
    <n v="0"/>
    <n v="0"/>
    <n v="0"/>
    <n v="0"/>
    <n v="0"/>
    <n v="0"/>
    <n v="0"/>
    <n v="0"/>
    <m/>
    <m/>
    <m/>
    <m/>
    <m/>
    <m/>
    <m/>
    <m/>
    <s v="1"/>
    <s v="1"/>
    <s v="1"/>
    <s v="1"/>
    <s v="1"/>
    <m/>
    <m/>
    <m/>
    <m/>
    <m/>
    <m/>
    <m/>
    <m/>
    <m/>
    <m/>
    <m/>
    <m/>
    <m/>
    <m/>
  </r>
  <r>
    <n v="742"/>
    <d v="2025-02-05T00:00:00"/>
    <s v="ZBTO"/>
    <s v="9518495920"/>
    <s v="8"/>
    <s v="9518495920-8"/>
    <s v="No Priority"/>
    <x v="0"/>
    <m/>
    <x v="1"/>
    <x v="2"/>
    <n v="2000"/>
    <m/>
    <x v="0"/>
    <m/>
    <m/>
    <s v="Uttar Pradesh"/>
    <s v="North"/>
    <s v="VARANASI"/>
    <s v="Sheet"/>
    <n v="931525"/>
    <x v="2"/>
    <n v="3765561"/>
    <s v="CRCA SHEET TSBCRC SR15 0.700X1000X1930"/>
    <m/>
    <m/>
    <m/>
    <m/>
    <m/>
    <s v="C06"/>
    <s v="TSBCRC"/>
    <s v="SR15"/>
    <n v="0.7"/>
    <n v="1000"/>
    <m/>
    <n v="27"/>
    <n v="20.315000000000001"/>
    <n v="6.6849999999999996"/>
    <n v="6.6849999999999996"/>
    <n v="6.6849999999999996"/>
    <n v="6.6849999999999996"/>
    <n v="0"/>
    <n v="0"/>
    <n v="0"/>
    <n v="0"/>
    <n v="0"/>
    <n v="0"/>
    <n v="0"/>
    <n v="0"/>
    <n v="0"/>
    <n v="0"/>
    <n v="0"/>
    <n v="0"/>
    <n v="0"/>
    <n v="0"/>
    <n v="0"/>
    <n v="0"/>
    <n v="0"/>
    <n v="0"/>
    <n v="0"/>
    <n v="0"/>
    <n v="0"/>
    <n v="0"/>
    <n v="0"/>
    <m/>
    <n v="7.7549999999999999"/>
    <n v="0"/>
    <n v="0"/>
    <n v="0"/>
    <n v="0"/>
    <n v="0"/>
    <n v="0"/>
    <n v="7.7549999999999999"/>
    <n v="7.7549999999999999"/>
    <n v="0"/>
    <n v="0"/>
    <n v="0"/>
    <n v="0"/>
    <n v="0"/>
    <n v="0"/>
    <n v="0"/>
    <n v="0"/>
    <n v="0"/>
    <n v="0"/>
    <n v="0"/>
    <n v="0"/>
    <m/>
    <m/>
    <m/>
    <m/>
    <m/>
    <m/>
    <m/>
    <m/>
    <s v="1"/>
    <s v="1"/>
    <s v="1"/>
    <s v="1"/>
    <s v="1"/>
    <m/>
    <m/>
    <m/>
    <m/>
    <m/>
    <m/>
    <m/>
    <m/>
    <m/>
    <m/>
    <m/>
    <m/>
    <m/>
    <m/>
  </r>
  <r>
    <n v="742"/>
    <d v="2025-02-07T00:00:00"/>
    <s v="ZBTO"/>
    <s v="9518500318"/>
    <s v="1"/>
    <s v="9518500318-1"/>
    <s v="May'25"/>
    <x v="0"/>
    <s v="Yes"/>
    <x v="5"/>
    <x v="10"/>
    <n v="1000"/>
    <n v="500"/>
    <x v="1"/>
    <m/>
    <m/>
    <s v="Gujarat"/>
    <s v="West"/>
    <s v="KUTCH"/>
    <s v="Coil"/>
    <n v="189108"/>
    <x v="64"/>
    <n v="2320878"/>
    <s v="CRFH COIL TATFHC TR10 0.360X1250"/>
    <m/>
    <m/>
    <m/>
    <m/>
    <m/>
    <s v="C09"/>
    <s v="TATFHC"/>
    <s v="TR10"/>
    <n v="0.36"/>
    <n v="1250"/>
    <m/>
    <n v="261"/>
    <n v="117.85"/>
    <n v="143.15"/>
    <n v="143.15"/>
    <n v="143.15"/>
    <n v="143.15"/>
    <n v="0"/>
    <n v="0"/>
    <n v="0"/>
    <n v="0"/>
    <n v="0"/>
    <n v="0"/>
    <n v="0"/>
    <n v="0"/>
    <n v="0"/>
    <n v="0"/>
    <n v="0"/>
    <n v="0"/>
    <n v="0"/>
    <n v="0"/>
    <n v="0"/>
    <n v="0"/>
    <n v="0"/>
    <n v="0"/>
    <n v="0"/>
    <n v="0"/>
    <n v="0"/>
    <n v="0"/>
    <n v="0"/>
    <m/>
    <n v="44.864999999999995"/>
    <n v="0"/>
    <n v="0"/>
    <n v="0"/>
    <n v="0"/>
    <n v="0"/>
    <n v="0"/>
    <n v="44.864999999999995"/>
    <n v="44.864999999999995"/>
    <n v="0"/>
    <n v="0"/>
    <n v="0"/>
    <n v="0"/>
    <n v="0"/>
    <n v="21.05"/>
    <n v="0"/>
    <n v="0"/>
    <n v="0"/>
    <n v="0"/>
    <n v="0"/>
    <n v="21.05"/>
    <m/>
    <m/>
    <m/>
    <m/>
    <m/>
    <m/>
    <m/>
    <m/>
    <s v="1"/>
    <s v="1"/>
    <s v="1"/>
    <s v="1"/>
    <s v="1"/>
    <m/>
    <m/>
    <m/>
    <m/>
    <m/>
    <m/>
    <m/>
    <m/>
    <m/>
    <m/>
    <m/>
    <m/>
    <m/>
    <m/>
  </r>
  <r>
    <n v="742"/>
    <d v="2025-02-11T00:00:00"/>
    <s v="ZBTO"/>
    <s v="9518510681"/>
    <s v="1"/>
    <s v="9518510681-1"/>
    <s v="No Priority"/>
    <x v="0"/>
    <m/>
    <x v="1"/>
    <x v="2"/>
    <n v="2000"/>
    <m/>
    <x v="0"/>
    <m/>
    <m/>
    <s v="Uttar Pradesh"/>
    <s v="North"/>
    <s v="KANPUR"/>
    <s v="Sheet"/>
    <n v="115841"/>
    <x v="7"/>
    <n v="3444592"/>
    <s v="CRCA SHEET TATCRC SR16 0.450X1250X2030"/>
    <m/>
    <m/>
    <m/>
    <m/>
    <m/>
    <s v="C06"/>
    <s v="TATCRC"/>
    <s v="SR16"/>
    <n v="0.45"/>
    <n v="1250"/>
    <m/>
    <n v="33"/>
    <n v="31.454999999999998"/>
    <n v="1.5449999999999999"/>
    <n v="1.5449999999999999"/>
    <n v="0"/>
    <n v="1.5449999999999999"/>
    <n v="0"/>
    <n v="0"/>
    <n v="0"/>
    <n v="0"/>
    <n v="0"/>
    <n v="0"/>
    <n v="0"/>
    <n v="0"/>
    <n v="0"/>
    <n v="0"/>
    <n v="0"/>
    <n v="0"/>
    <n v="0"/>
    <n v="0"/>
    <n v="0"/>
    <n v="0"/>
    <n v="0"/>
    <n v="0"/>
    <n v="0"/>
    <n v="0"/>
    <n v="0"/>
    <n v="0"/>
    <n v="0"/>
    <m/>
    <n v="8.66"/>
    <n v="0"/>
    <n v="0"/>
    <n v="0"/>
    <n v="0"/>
    <n v="0"/>
    <n v="0"/>
    <n v="8.66"/>
    <n v="8.66"/>
    <n v="0"/>
    <n v="0"/>
    <n v="0"/>
    <n v="0"/>
    <n v="0"/>
    <n v="0"/>
    <n v="0"/>
    <n v="0"/>
    <n v="0"/>
    <n v="0"/>
    <n v="0"/>
    <n v="0"/>
    <m/>
    <m/>
    <m/>
    <m/>
    <m/>
    <m/>
    <m/>
    <m/>
    <s v="1"/>
    <s v="1"/>
    <s v="1"/>
    <s v="1"/>
    <s v="1"/>
    <m/>
    <m/>
    <m/>
    <m/>
    <m/>
    <m/>
    <m/>
    <m/>
    <m/>
    <m/>
    <m/>
    <m/>
    <m/>
    <m/>
  </r>
  <r>
    <n v="742"/>
    <d v="2025-02-13T00:00:00"/>
    <s v="ZBTO"/>
    <s v="9518516573"/>
    <s v="1"/>
    <s v="9518516573-1"/>
    <s v="No Priority"/>
    <x v="0"/>
    <m/>
    <x v="1"/>
    <x v="2"/>
    <n v="2000"/>
    <m/>
    <x v="0"/>
    <m/>
    <m/>
    <s v="West Bengal"/>
    <s v="East"/>
    <s v="HOWRAH"/>
    <s v="Sheet"/>
    <n v="925093"/>
    <x v="61"/>
    <n v="3240765"/>
    <s v="CRCA SHEET TSBCRC SR15 0.500X1250X2500"/>
    <m/>
    <m/>
    <m/>
    <m/>
    <m/>
    <s v="C06"/>
    <s v="TSBCRC"/>
    <s v="SR15"/>
    <n v="0.5"/>
    <n v="1250"/>
    <m/>
    <n v="66"/>
    <n v="65.765000000000001"/>
    <n v="0.23499999999999999"/>
    <n v="0.23499999999999999"/>
    <n v="0"/>
    <n v="0.23499999999999999"/>
    <n v="0"/>
    <n v="0"/>
    <n v="0"/>
    <n v="0"/>
    <n v="0"/>
    <n v="0"/>
    <n v="0"/>
    <n v="0"/>
    <n v="0"/>
    <n v="0"/>
    <n v="0"/>
    <n v="0"/>
    <n v="0"/>
    <n v="0"/>
    <n v="0"/>
    <n v="0"/>
    <n v="0"/>
    <n v="0"/>
    <n v="0"/>
    <n v="0"/>
    <n v="0"/>
    <n v="0"/>
    <n v="0"/>
    <m/>
    <n v="2.4449999999999998"/>
    <n v="0"/>
    <n v="0"/>
    <n v="0"/>
    <n v="0"/>
    <n v="0"/>
    <n v="0"/>
    <n v="2.4449999999999998"/>
    <n v="2.4449999999999998"/>
    <n v="0"/>
    <n v="0"/>
    <n v="0"/>
    <n v="0"/>
    <n v="0"/>
    <n v="0"/>
    <n v="0"/>
    <n v="0"/>
    <n v="0"/>
    <n v="0"/>
    <n v="0"/>
    <n v="0"/>
    <m/>
    <m/>
    <m/>
    <m/>
    <m/>
    <m/>
    <m/>
    <m/>
    <s v="1"/>
    <s v="1"/>
    <s v="1"/>
    <s v="1"/>
    <s v="1"/>
    <m/>
    <m/>
    <m/>
    <m/>
    <m/>
    <m/>
    <m/>
    <m/>
    <m/>
    <m/>
    <m/>
    <m/>
    <m/>
    <m/>
  </r>
  <r>
    <n v="742"/>
    <d v="2025-02-14T00:00:00"/>
    <s v="ZBTO"/>
    <s v="9518518906"/>
    <s v="5"/>
    <s v="9518518906-5"/>
    <s v="No Priority"/>
    <x v="0"/>
    <m/>
    <x v="1"/>
    <x v="2"/>
    <n v="2000"/>
    <m/>
    <x v="0"/>
    <m/>
    <m/>
    <s v="Uttar Pradesh"/>
    <s v="North"/>
    <s v="VARANASI"/>
    <s v="Sheet"/>
    <n v="931525"/>
    <x v="2"/>
    <n v="3409561"/>
    <s v="CRCA SHEET TSBCRC SR15 0.600X1000X1930"/>
    <m/>
    <m/>
    <m/>
    <m/>
    <m/>
    <s v="C06"/>
    <s v="TSBCRC"/>
    <s v="SR15"/>
    <n v="0.6"/>
    <n v="1000"/>
    <m/>
    <n v="33"/>
    <n v="20.38"/>
    <n v="12.62"/>
    <n v="12.62"/>
    <n v="12.62"/>
    <n v="12.62"/>
    <n v="0"/>
    <n v="0"/>
    <n v="0"/>
    <n v="0"/>
    <n v="0"/>
    <n v="0"/>
    <n v="0"/>
    <n v="0"/>
    <n v="0"/>
    <n v="0"/>
    <n v="0"/>
    <n v="0"/>
    <n v="0"/>
    <n v="0"/>
    <n v="0"/>
    <n v="0"/>
    <n v="0"/>
    <n v="0"/>
    <n v="0"/>
    <n v="0"/>
    <n v="0"/>
    <n v="0"/>
    <n v="0"/>
    <m/>
    <n v="11.754999999999999"/>
    <n v="0"/>
    <n v="0"/>
    <n v="0"/>
    <n v="0"/>
    <n v="0"/>
    <n v="0"/>
    <n v="11.754999999999999"/>
    <n v="11.754999999999999"/>
    <n v="0"/>
    <n v="0"/>
    <n v="0"/>
    <n v="0"/>
    <n v="0"/>
    <n v="0"/>
    <n v="0"/>
    <n v="0"/>
    <n v="0"/>
    <n v="0"/>
    <n v="0"/>
    <n v="0"/>
    <m/>
    <m/>
    <m/>
    <m/>
    <m/>
    <m/>
    <m/>
    <m/>
    <s v="1"/>
    <s v="1"/>
    <s v="1"/>
    <s v="1"/>
    <s v="1"/>
    <m/>
    <m/>
    <m/>
    <m/>
    <m/>
    <m/>
    <m/>
    <m/>
    <m/>
    <m/>
    <m/>
    <m/>
    <m/>
    <m/>
  </r>
  <r>
    <n v="743"/>
    <d v="2025-02-14T00:00:00"/>
    <s v="ZBTO"/>
    <s v="9518519620"/>
    <s v="3"/>
    <s v="9518519620-3"/>
    <s v="No Priority"/>
    <x v="0"/>
    <s v="Yes"/>
    <x v="3"/>
    <x v="9"/>
    <n v="2000"/>
    <m/>
    <x v="0"/>
    <m/>
    <m/>
    <s v="Bihar"/>
    <s v="East"/>
    <s v="PATNA CITY"/>
    <s v="Coil"/>
    <n v="103227"/>
    <x v="31"/>
    <n v="1178439"/>
    <s v="GP COIL SOFT-TATXGP-GK09-0.4X900"/>
    <m/>
    <m/>
    <m/>
    <m/>
    <m/>
    <s v="C02"/>
    <s v="TATXGP"/>
    <s v="GK09"/>
    <n v="0.4"/>
    <n v="900"/>
    <m/>
    <n v="294"/>
    <n v="241.1"/>
    <n v="52.9"/>
    <n v="52.9"/>
    <n v="0"/>
    <n v="52.9"/>
    <n v="0"/>
    <n v="0"/>
    <n v="0"/>
    <n v="0"/>
    <n v="0"/>
    <n v="0"/>
    <n v="0"/>
    <n v="0"/>
    <n v="0"/>
    <n v="0"/>
    <n v="0"/>
    <n v="0"/>
    <n v="0"/>
    <n v="0"/>
    <n v="0"/>
    <n v="0"/>
    <n v="0"/>
    <n v="0"/>
    <n v="0"/>
    <n v="0"/>
    <n v="0"/>
    <n v="53"/>
    <n v="53"/>
    <m/>
    <n v="33.750000000000007"/>
    <n v="0"/>
    <n v="0"/>
    <n v="0"/>
    <n v="0"/>
    <n v="0"/>
    <n v="0"/>
    <n v="33.750000000000007"/>
    <n v="33.750000000000007"/>
    <n v="0"/>
    <n v="0"/>
    <n v="0"/>
    <n v="0"/>
    <n v="0"/>
    <n v="0"/>
    <n v="0"/>
    <n v="0"/>
    <n v="0"/>
    <n v="0"/>
    <n v="0"/>
    <n v="0"/>
    <m/>
    <m/>
    <m/>
    <m/>
    <m/>
    <m/>
    <m/>
    <m/>
    <s v="1"/>
    <s v="1"/>
    <s v="1"/>
    <s v="1"/>
    <s v="1"/>
    <m/>
    <m/>
    <m/>
    <m/>
    <m/>
    <m/>
    <m/>
    <m/>
    <m/>
    <m/>
    <m/>
    <m/>
    <m/>
    <m/>
  </r>
  <r>
    <n v="742"/>
    <d v="2025-02-14T00:00:00"/>
    <s v="ZBTO"/>
    <s v="9518519644"/>
    <s v="3"/>
    <s v="9518519644-3"/>
    <s v="No Priority"/>
    <x v="0"/>
    <m/>
    <x v="1"/>
    <x v="2"/>
    <n v="2000"/>
    <m/>
    <x v="0"/>
    <m/>
    <m/>
    <s v="Bihar"/>
    <s v="East"/>
    <s v="PATNA CITY"/>
    <s v="Sheet"/>
    <n v="103227"/>
    <x v="31"/>
    <n v="2441002"/>
    <s v="CRCA SHEET TATCRC SR16 0.380X1250X2500"/>
    <m/>
    <m/>
    <m/>
    <m/>
    <m/>
    <s v="C06"/>
    <s v="TATCRC"/>
    <s v="SR16"/>
    <n v="0.38"/>
    <n v="1250"/>
    <m/>
    <n v="51"/>
    <n v="48.645000000000003"/>
    <n v="2.355"/>
    <n v="2.355"/>
    <n v="0"/>
    <n v="2.355"/>
    <n v="0"/>
    <n v="0"/>
    <n v="0"/>
    <n v="0"/>
    <n v="0"/>
    <n v="0"/>
    <n v="0"/>
    <n v="0"/>
    <n v="0"/>
    <n v="0"/>
    <n v="0"/>
    <n v="0"/>
    <n v="0"/>
    <n v="0"/>
    <n v="0"/>
    <n v="0"/>
    <n v="0"/>
    <n v="0"/>
    <n v="0"/>
    <n v="0"/>
    <n v="0"/>
    <n v="0"/>
    <n v="0"/>
    <m/>
    <n v="5.7050000000000001"/>
    <n v="0"/>
    <n v="0"/>
    <n v="0"/>
    <n v="0"/>
    <n v="0"/>
    <n v="0"/>
    <n v="5.7050000000000001"/>
    <n v="5.7050000000000001"/>
    <n v="0"/>
    <n v="0"/>
    <n v="0"/>
    <n v="0"/>
    <n v="0"/>
    <n v="0"/>
    <n v="0"/>
    <n v="0"/>
    <n v="0"/>
    <n v="0"/>
    <n v="0"/>
    <n v="0"/>
    <m/>
    <m/>
    <m/>
    <m/>
    <m/>
    <m/>
    <m/>
    <m/>
    <s v="1"/>
    <s v="1"/>
    <s v="1"/>
    <s v="1"/>
    <s v="1"/>
    <m/>
    <m/>
    <m/>
    <m/>
    <m/>
    <m/>
    <m/>
    <m/>
    <m/>
    <m/>
    <m/>
    <m/>
    <m/>
    <m/>
  </r>
  <r>
    <n v="742"/>
    <d v="2025-02-14T00:00:00"/>
    <s v="ZBTO"/>
    <s v="9518520213"/>
    <s v="10"/>
    <s v="9518520213-10"/>
    <s v="No Priority"/>
    <x v="0"/>
    <m/>
    <x v="1"/>
    <x v="2"/>
    <n v="2000"/>
    <m/>
    <x v="0"/>
    <m/>
    <m/>
    <s v="Bihar"/>
    <s v="East"/>
    <s v="PURNEA JN."/>
    <s v="Sheet"/>
    <n v="103227"/>
    <x v="31"/>
    <n v="3446129"/>
    <s v="CRCA SHEET TATCRC SR16 0.480X1250X2500"/>
    <m/>
    <m/>
    <m/>
    <m/>
    <m/>
    <s v="C06"/>
    <s v="TATCRC"/>
    <s v="SR16"/>
    <n v="0.48"/>
    <n v="1250"/>
    <m/>
    <n v="51"/>
    <n v="49.195"/>
    <n v="1.8049999999999999"/>
    <n v="1.8049999999999999"/>
    <n v="0"/>
    <n v="1.8049999999999999"/>
    <n v="0"/>
    <n v="0"/>
    <n v="0"/>
    <n v="0"/>
    <n v="0"/>
    <n v="0"/>
    <n v="0"/>
    <n v="0"/>
    <n v="0"/>
    <n v="0"/>
    <n v="0"/>
    <n v="0"/>
    <n v="0"/>
    <n v="0"/>
    <n v="0"/>
    <n v="0"/>
    <n v="0"/>
    <n v="0"/>
    <n v="0"/>
    <n v="0"/>
    <n v="0"/>
    <n v="0"/>
    <n v="0"/>
    <m/>
    <n v="2.855"/>
    <n v="0"/>
    <n v="0"/>
    <n v="0"/>
    <n v="0"/>
    <n v="0"/>
    <n v="0"/>
    <n v="2.855"/>
    <n v="2.855"/>
    <n v="0"/>
    <n v="0"/>
    <n v="0"/>
    <n v="0"/>
    <n v="0"/>
    <n v="0"/>
    <n v="0"/>
    <n v="0"/>
    <n v="0"/>
    <n v="0"/>
    <n v="0"/>
    <n v="0"/>
    <m/>
    <m/>
    <m/>
    <m/>
    <m/>
    <m/>
    <m/>
    <m/>
    <s v="1"/>
    <s v="1"/>
    <s v="1"/>
    <s v="1"/>
    <s v="1"/>
    <m/>
    <m/>
    <m/>
    <m/>
    <m/>
    <m/>
    <m/>
    <m/>
    <m/>
    <m/>
    <m/>
    <m/>
    <m/>
    <m/>
  </r>
  <r>
    <n v="742"/>
    <d v="2025-02-18T00:00:00"/>
    <s v="ZBTO"/>
    <s v="9518529569"/>
    <s v="2"/>
    <s v="9518529569-2"/>
    <s v="No Priority"/>
    <x v="0"/>
    <m/>
    <x v="1"/>
    <x v="2"/>
    <n v="2000"/>
    <m/>
    <x v="0"/>
    <m/>
    <m/>
    <s v="Rajasthan"/>
    <s v="North"/>
    <s v="JAIPUR"/>
    <s v="Sheet"/>
    <n v="116137"/>
    <x v="62"/>
    <n v="3240765"/>
    <s v="CRCA SHEET TSBCRC SR15 0.500X1250X2500"/>
    <m/>
    <m/>
    <m/>
    <m/>
    <m/>
    <s v="C06"/>
    <s v="TSBCRC"/>
    <s v="SR15"/>
    <n v="0.5"/>
    <n v="1250"/>
    <m/>
    <n v="98.97"/>
    <n v="97.25"/>
    <n v="1.72"/>
    <n v="1.72"/>
    <n v="0"/>
    <n v="1.72"/>
    <n v="0"/>
    <n v="0"/>
    <n v="0"/>
    <n v="0"/>
    <n v="0"/>
    <n v="0"/>
    <n v="0"/>
    <n v="0"/>
    <n v="0"/>
    <n v="0"/>
    <n v="0"/>
    <n v="0"/>
    <n v="0"/>
    <n v="0"/>
    <n v="0"/>
    <n v="0"/>
    <n v="0"/>
    <n v="0"/>
    <n v="0"/>
    <n v="0"/>
    <n v="0"/>
    <n v="0"/>
    <n v="0"/>
    <m/>
    <n v="2.94"/>
    <n v="0"/>
    <n v="0"/>
    <n v="0"/>
    <n v="0"/>
    <n v="0"/>
    <n v="0"/>
    <n v="2.94"/>
    <n v="2.94"/>
    <n v="0"/>
    <n v="0"/>
    <n v="0"/>
    <n v="0"/>
    <n v="0"/>
    <n v="0"/>
    <n v="0"/>
    <n v="0"/>
    <n v="0"/>
    <n v="0"/>
    <n v="0"/>
    <n v="0"/>
    <m/>
    <m/>
    <m/>
    <m/>
    <m/>
    <m/>
    <m/>
    <m/>
    <s v="1"/>
    <s v="1"/>
    <s v="1"/>
    <s v="1"/>
    <s v="1"/>
    <m/>
    <m/>
    <m/>
    <m/>
    <m/>
    <m/>
    <m/>
    <m/>
    <m/>
    <m/>
    <m/>
    <m/>
    <m/>
    <m/>
  </r>
  <r>
    <n v="742"/>
    <d v="2025-02-19T00:00:00"/>
    <s v="ZBTT"/>
    <s v="9518531893"/>
    <s v="1"/>
    <s v="9518531893-1"/>
    <s v="No Priority"/>
    <x v="0"/>
    <m/>
    <x v="1"/>
    <x v="0"/>
    <n v="2000"/>
    <m/>
    <x v="0"/>
    <m/>
    <m/>
    <s v="Tamil Nadu"/>
    <s v="South"/>
    <s v="CHENNAI"/>
    <s v="Coil"/>
    <n v="122082"/>
    <x v="77"/>
    <n v="3774639"/>
    <s v="CR COIL TATXHS GB03 1.500X1260"/>
    <m/>
    <m/>
    <m/>
    <m/>
    <m/>
    <s v="C01"/>
    <s v="TATXHS"/>
    <s v="GB03"/>
    <n v="1.5"/>
    <n v="1260"/>
    <m/>
    <n v="168"/>
    <n v="0"/>
    <n v="168"/>
    <n v="168"/>
    <n v="168"/>
    <n v="0"/>
    <n v="0"/>
    <n v="0"/>
    <n v="0"/>
    <n v="0"/>
    <n v="0"/>
    <n v="0"/>
    <n v="0"/>
    <n v="0"/>
    <n v="0"/>
    <n v="0"/>
    <n v="0"/>
    <n v="0"/>
    <n v="0"/>
    <n v="0"/>
    <n v="0"/>
    <n v="0"/>
    <n v="0"/>
    <n v="0"/>
    <n v="0"/>
    <n v="0"/>
    <n v="0"/>
    <n v="0"/>
    <n v="0"/>
    <m/>
    <n v="12.695"/>
    <n v="0"/>
    <n v="0"/>
    <n v="0"/>
    <n v="0"/>
    <n v="0"/>
    <n v="0"/>
    <n v="12.695"/>
    <n v="12.695"/>
    <n v="0"/>
    <n v="0"/>
    <n v="0"/>
    <n v="0"/>
    <n v="0"/>
    <n v="0"/>
    <n v="0"/>
    <n v="0"/>
    <n v="0"/>
    <n v="0"/>
    <n v="0"/>
    <n v="0"/>
    <m/>
    <m/>
    <m/>
    <m/>
    <m/>
    <m/>
    <m/>
    <m/>
    <s v="1"/>
    <s v="1"/>
    <s v="1"/>
    <s v="1"/>
    <s v="1"/>
    <m/>
    <m/>
    <m/>
    <m/>
    <m/>
    <m/>
    <m/>
    <m/>
    <m/>
    <m/>
    <m/>
    <m/>
    <m/>
    <m/>
  </r>
  <r>
    <n v="742"/>
    <d v="2025-02-20T00:00:00"/>
    <s v="ZBTO"/>
    <s v="9518535833"/>
    <s v="27"/>
    <s v="9518535833-27"/>
    <s v="No Priority"/>
    <x v="0"/>
    <m/>
    <x v="1"/>
    <x v="2"/>
    <n v="2000"/>
    <m/>
    <x v="0"/>
    <m/>
    <m/>
    <s v="Tamil Nadu"/>
    <s v="South"/>
    <s v="CHENNAI"/>
    <s v="Sheet"/>
    <n v="938550"/>
    <x v="4"/>
    <n v="3240837"/>
    <s v="CRCA SHEET TSBCRC SR15 1X1250X2500"/>
    <m/>
    <m/>
    <m/>
    <m/>
    <m/>
    <s v="C06"/>
    <s v="TSBCRC"/>
    <s v="SR15"/>
    <n v="1"/>
    <n v="1250"/>
    <m/>
    <n v="30"/>
    <n v="29.204999999999998"/>
    <n v="0.79500000000000004"/>
    <n v="0.79500000000000004"/>
    <n v="0"/>
    <n v="0.79500000000000004"/>
    <n v="0"/>
    <n v="0"/>
    <n v="0"/>
    <n v="0"/>
    <n v="0"/>
    <n v="0"/>
    <n v="0"/>
    <n v="0"/>
    <n v="0"/>
    <n v="0"/>
    <n v="0"/>
    <n v="0"/>
    <n v="0"/>
    <n v="0"/>
    <n v="0"/>
    <n v="0"/>
    <n v="0"/>
    <n v="0"/>
    <n v="0"/>
    <n v="0"/>
    <n v="0"/>
    <n v="0"/>
    <n v="0"/>
    <m/>
    <n v="2.92"/>
    <n v="0"/>
    <n v="0"/>
    <n v="0"/>
    <n v="0"/>
    <n v="0"/>
    <n v="0"/>
    <n v="2.92"/>
    <n v="2.92"/>
    <n v="0"/>
    <n v="0"/>
    <n v="0"/>
    <n v="0"/>
    <n v="0"/>
    <n v="0"/>
    <n v="0"/>
    <n v="0"/>
    <n v="0"/>
    <n v="0"/>
    <n v="0"/>
    <n v="0"/>
    <m/>
    <m/>
    <m/>
    <m/>
    <m/>
    <m/>
    <m/>
    <m/>
    <s v="1"/>
    <s v="1"/>
    <s v="1"/>
    <s v="1"/>
    <s v="1"/>
    <m/>
    <m/>
    <m/>
    <m/>
    <m/>
    <m/>
    <m/>
    <m/>
    <m/>
    <m/>
    <m/>
    <m/>
    <m/>
    <m/>
  </r>
  <r>
    <n v="744"/>
    <d v="2025-02-20T00:00:00"/>
    <s v="ZBTO"/>
    <s v="9518536050"/>
    <s v="1"/>
    <s v="9518536050-1"/>
    <s v="No Priority"/>
    <x v="0"/>
    <m/>
    <x v="2"/>
    <x v="3"/>
    <n v="1000"/>
    <m/>
    <x v="0"/>
    <m/>
    <s v="Exp BTF &lt;17MT"/>
    <s v="Jharkhand"/>
    <s v="TBSPL"/>
    <s v="TBL- BARA AGRICO"/>
    <s v="Coil"/>
    <n v="941597"/>
    <x v="39"/>
    <n v="3941967"/>
    <s v="PPGL C HARD Y550PL D0C9 0.60(TPT)X1220"/>
    <m/>
    <m/>
    <m/>
    <m/>
    <m/>
    <s v="B18"/>
    <s v="Y550PL"/>
    <s v="D0C9"/>
    <n v="0.6"/>
    <n v="1220"/>
    <m/>
    <n v="28"/>
    <n v="10.37"/>
    <n v="17.63"/>
    <n v="8.4700000000000006"/>
    <n v="17.63"/>
    <n v="17.63"/>
    <n v="0"/>
    <n v="0"/>
    <n v="0"/>
    <n v="0"/>
    <n v="0"/>
    <n v="0"/>
    <n v="0"/>
    <n v="0"/>
    <n v="0"/>
    <n v="0"/>
    <n v="0"/>
    <n v="0"/>
    <n v="0"/>
    <n v="0"/>
    <n v="0"/>
    <n v="0"/>
    <n v="0"/>
    <n v="0"/>
    <n v="0"/>
    <n v="0"/>
    <n v="0"/>
    <n v="0"/>
    <n v="0"/>
    <m/>
    <n v="10.370000000000001"/>
    <n v="0"/>
    <n v="0"/>
    <n v="0"/>
    <n v="0"/>
    <n v="0"/>
    <n v="0"/>
    <n v="10.370000000000001"/>
    <n v="10.370000000000001"/>
    <n v="0"/>
    <n v="0"/>
    <n v="0"/>
    <n v="0"/>
    <n v="0"/>
    <n v="0"/>
    <n v="0"/>
    <n v="0"/>
    <n v="0"/>
    <n v="0"/>
    <n v="0"/>
    <n v="0"/>
    <m/>
    <m/>
    <m/>
    <m/>
    <m/>
    <m/>
    <m/>
    <m/>
    <s v="1"/>
    <s v="1"/>
    <s v="1"/>
    <s v="1"/>
    <s v="1"/>
    <m/>
    <m/>
    <m/>
    <m/>
    <m/>
    <m/>
    <m/>
    <m/>
    <m/>
    <m/>
    <m/>
    <m/>
    <m/>
    <m/>
  </r>
  <r>
    <n v="743"/>
    <d v="2025-02-22T00:00:00"/>
    <s v="ZBTO"/>
    <s v="9518542770"/>
    <s v="1"/>
    <s v="9518542770-1"/>
    <s v="May'25"/>
    <x v="0"/>
    <m/>
    <x v="4"/>
    <x v="3"/>
    <n v="1000"/>
    <m/>
    <x v="1"/>
    <m/>
    <m/>
    <s v="Jharkhand"/>
    <s v="TBSPL"/>
    <s v="TBL- BARA AGRICO"/>
    <s v="Coil"/>
    <n v="942283"/>
    <x v="39"/>
    <n v="3239573"/>
    <s v="GL C YS550 H6GL 0.42BMT(0.47TCT)X1220"/>
    <m/>
    <m/>
    <m/>
    <m/>
    <m/>
    <s v="B04"/>
    <s v="Y550GL"/>
    <s v="H6GL"/>
    <n v="0.42"/>
    <n v="1220"/>
    <m/>
    <n v="140"/>
    <n v="115.1"/>
    <n v="24.9"/>
    <n v="24.9"/>
    <n v="24.9"/>
    <n v="24.9"/>
    <n v="0"/>
    <n v="0"/>
    <n v="0"/>
    <n v="0"/>
    <n v="0"/>
    <n v="0"/>
    <n v="0"/>
    <n v="0"/>
    <n v="0"/>
    <n v="0"/>
    <n v="0"/>
    <n v="0"/>
    <n v="0"/>
    <n v="0"/>
    <n v="0"/>
    <n v="0"/>
    <n v="0"/>
    <n v="0"/>
    <n v="0"/>
    <n v="0"/>
    <n v="0"/>
    <n v="0"/>
    <n v="0"/>
    <m/>
    <n v="31.195"/>
    <n v="0"/>
    <n v="0"/>
    <n v="0"/>
    <n v="0"/>
    <n v="0"/>
    <n v="0"/>
    <n v="31.195"/>
    <n v="31.195"/>
    <n v="0"/>
    <n v="0"/>
    <n v="0"/>
    <n v="0"/>
    <n v="0"/>
    <n v="0"/>
    <n v="0"/>
    <n v="0"/>
    <n v="0"/>
    <n v="0"/>
    <n v="0"/>
    <n v="0"/>
    <m/>
    <m/>
    <m/>
    <m/>
    <m/>
    <m/>
    <m/>
    <m/>
    <s v="1"/>
    <s v="1"/>
    <s v="1"/>
    <s v="1"/>
    <s v="1"/>
    <m/>
    <m/>
    <m/>
    <m/>
    <m/>
    <m/>
    <m/>
    <m/>
    <m/>
    <m/>
    <m/>
    <m/>
    <m/>
    <m/>
  </r>
  <r>
    <n v="744"/>
    <d v="2025-02-22T00:00:00"/>
    <s v="ZBTO"/>
    <s v="9518543125"/>
    <s v="2"/>
    <s v="9518543125-2"/>
    <s v="May'25"/>
    <x v="0"/>
    <m/>
    <x v="2"/>
    <x v="3"/>
    <n v="1000"/>
    <m/>
    <x v="1"/>
    <m/>
    <m/>
    <s v="Jharkhand"/>
    <s v="TBSPL"/>
    <s v="GAMHARIA"/>
    <s v="Coil"/>
    <n v="940016"/>
    <x v="15"/>
    <n v="3797658"/>
    <s v="PPGL C Y550 ISC6 0.40BMT(0.45TPT)X1220"/>
    <m/>
    <m/>
    <m/>
    <m/>
    <m/>
    <s v="B18"/>
    <s v="Y550PL"/>
    <s v="ISC6"/>
    <n v="0.4"/>
    <n v="1220"/>
    <m/>
    <n v="279.99"/>
    <n v="257.065"/>
    <n v="22.925000000000001"/>
    <n v="22.925000000000001"/>
    <n v="22.925000000000001"/>
    <n v="22.925000000000001"/>
    <n v="0"/>
    <n v="0"/>
    <n v="0"/>
    <n v="0"/>
    <n v="0"/>
    <n v="0"/>
    <n v="0"/>
    <n v="0"/>
    <n v="0"/>
    <n v="0"/>
    <n v="0"/>
    <n v="0"/>
    <n v="0"/>
    <n v="0"/>
    <n v="0"/>
    <n v="0"/>
    <n v="0"/>
    <n v="0"/>
    <n v="0"/>
    <n v="0"/>
    <n v="0"/>
    <n v="0"/>
    <n v="0"/>
    <m/>
    <n v="9.0500000000000007"/>
    <n v="0"/>
    <n v="0"/>
    <n v="0"/>
    <n v="0"/>
    <n v="0"/>
    <n v="0"/>
    <n v="9.0500000000000007"/>
    <n v="9.0500000000000007"/>
    <n v="0"/>
    <n v="0"/>
    <n v="0"/>
    <n v="0"/>
    <n v="0"/>
    <n v="12.594999999999999"/>
    <n v="0"/>
    <n v="0"/>
    <n v="0"/>
    <n v="0"/>
    <n v="0"/>
    <n v="12.594999999999999"/>
    <m/>
    <m/>
    <m/>
    <m/>
    <m/>
    <m/>
    <m/>
    <m/>
    <s v="1"/>
    <s v="1"/>
    <s v="1"/>
    <s v="1"/>
    <s v="1"/>
    <m/>
    <m/>
    <m/>
    <m/>
    <m/>
    <m/>
    <m/>
    <m/>
    <m/>
    <m/>
    <m/>
    <m/>
    <m/>
    <m/>
  </r>
  <r>
    <n v="743"/>
    <d v="2025-02-25T00:00:00"/>
    <s v="ZBTO"/>
    <s v="9518550672"/>
    <s v="1"/>
    <s v="9518550672-1"/>
    <s v="No Priority"/>
    <x v="0"/>
    <m/>
    <x v="4"/>
    <x v="10"/>
    <n v="1000"/>
    <m/>
    <x v="0"/>
    <m/>
    <s v="No allocation for IPP"/>
    <s v="Andhra Pradesh"/>
    <s v="South"/>
    <s v="NELLORE"/>
    <s v="Coil"/>
    <n v="188750"/>
    <x v="76"/>
    <n v="3433440"/>
    <s v="GL COIL HARD  Y550GL H7GL 0.420X1235"/>
    <m/>
    <m/>
    <m/>
    <m/>
    <m/>
    <s v="B04"/>
    <s v="Y550GL"/>
    <s v="H7GL"/>
    <n v="0.42"/>
    <n v="1235"/>
    <m/>
    <n v="280"/>
    <n v="193.19499999999999"/>
    <n v="86.805000000000007"/>
    <n v="86.805000000000007"/>
    <n v="86.805000000000007"/>
    <n v="86.805000000000007"/>
    <n v="0"/>
    <n v="0"/>
    <n v="0"/>
    <n v="0"/>
    <n v="0"/>
    <n v="0"/>
    <n v="0"/>
    <n v="0"/>
    <n v="0"/>
    <n v="0"/>
    <n v="0"/>
    <n v="0"/>
    <n v="0"/>
    <n v="0"/>
    <n v="0"/>
    <n v="0"/>
    <n v="0"/>
    <n v="0"/>
    <n v="0"/>
    <n v="0"/>
    <n v="0"/>
    <n v="0"/>
    <n v="0"/>
    <m/>
    <n v="59.129999999999995"/>
    <n v="0"/>
    <n v="0"/>
    <n v="0"/>
    <n v="0"/>
    <n v="0"/>
    <n v="0"/>
    <n v="59.129999999999995"/>
    <n v="59.129999999999995"/>
    <n v="0"/>
    <n v="0"/>
    <n v="0"/>
    <n v="0"/>
    <n v="0"/>
    <n v="31.574999999999999"/>
    <n v="0"/>
    <n v="0"/>
    <n v="0"/>
    <n v="0"/>
    <n v="0"/>
    <n v="31.574999999999999"/>
    <m/>
    <m/>
    <m/>
    <m/>
    <m/>
    <m/>
    <m/>
    <m/>
    <s v="1"/>
    <s v="1"/>
    <s v="1"/>
    <s v="1"/>
    <s v="1"/>
    <m/>
    <m/>
    <m/>
    <m/>
    <m/>
    <m/>
    <m/>
    <m/>
    <m/>
    <m/>
    <m/>
    <m/>
    <m/>
    <m/>
  </r>
  <r>
    <n v="743"/>
    <d v="2025-02-27T00:00:00"/>
    <s v="ZBTO"/>
    <s v="9518561462"/>
    <s v="1"/>
    <s v="9518561462-1"/>
    <s v="May'25"/>
    <x v="0"/>
    <s v="Yes"/>
    <x v="3"/>
    <x v="4"/>
    <n v="2000"/>
    <m/>
    <x v="1"/>
    <m/>
    <m/>
    <s v="Gujarat"/>
    <s v="West"/>
    <s v="CHANGODAR"/>
    <s v="Coil"/>
    <n v="158122"/>
    <x v="78"/>
    <n v="3708868"/>
    <s v="GP COIL TATGPH GP02 0.500X1350"/>
    <m/>
    <m/>
    <m/>
    <m/>
    <m/>
    <s v="C05"/>
    <s v="TATGPH"/>
    <s v="GP02"/>
    <n v="0.5"/>
    <n v="1350"/>
    <m/>
    <n v="217"/>
    <n v="198.41"/>
    <n v="18.59"/>
    <n v="18.59"/>
    <n v="18.59"/>
    <n v="18.59"/>
    <n v="0"/>
    <n v="0"/>
    <n v="0"/>
    <n v="0"/>
    <n v="0"/>
    <n v="0"/>
    <n v="0"/>
    <n v="0"/>
    <n v="0"/>
    <n v="0"/>
    <n v="0"/>
    <n v="0"/>
    <n v="0"/>
    <n v="0"/>
    <n v="0"/>
    <n v="0"/>
    <n v="0"/>
    <n v="0"/>
    <n v="0"/>
    <n v="0"/>
    <n v="0"/>
    <n v="0"/>
    <n v="0"/>
    <m/>
    <n v="96.844999999999999"/>
    <n v="0"/>
    <n v="0"/>
    <n v="0"/>
    <n v="0"/>
    <n v="0"/>
    <n v="0"/>
    <n v="96.844999999999999"/>
    <n v="96.844999999999999"/>
    <n v="0"/>
    <n v="0"/>
    <n v="0"/>
    <n v="0"/>
    <n v="0"/>
    <n v="0"/>
    <n v="0"/>
    <n v="0"/>
    <n v="0"/>
    <n v="0"/>
    <n v="0"/>
    <n v="0"/>
    <m/>
    <m/>
    <m/>
    <m/>
    <m/>
    <m/>
    <m/>
    <m/>
    <s v="1"/>
    <s v="1"/>
    <s v="1"/>
    <s v="1"/>
    <s v="1"/>
    <m/>
    <m/>
    <m/>
    <m/>
    <m/>
    <m/>
    <m/>
    <m/>
    <m/>
    <m/>
    <m/>
    <m/>
    <m/>
    <m/>
  </r>
  <r>
    <n v="742"/>
    <d v="2025-03-03T00:00:00"/>
    <s v="ZBTO"/>
    <s v="9518569795"/>
    <s v="17"/>
    <s v="9518569795-17"/>
    <s v="No Priority"/>
    <x v="0"/>
    <m/>
    <x v="1"/>
    <x v="2"/>
    <n v="2000"/>
    <m/>
    <x v="0"/>
    <m/>
    <m/>
    <s v="West Bengal"/>
    <s v="East"/>
    <s v="SILIGURI TOWN"/>
    <s v="Sheet"/>
    <n v="948783"/>
    <x v="24"/>
    <n v="3905150"/>
    <s v="CRCA SHEET TSBCRC SR15 0.700X900X2500"/>
    <m/>
    <m/>
    <m/>
    <m/>
    <m/>
    <s v="C06"/>
    <s v="TSBCRC"/>
    <s v="SR15"/>
    <n v="0.7"/>
    <n v="900"/>
    <m/>
    <n v="24"/>
    <n v="18.27"/>
    <n v="5.73"/>
    <n v="5.73"/>
    <n v="5.73"/>
    <n v="5.73"/>
    <n v="0"/>
    <n v="0"/>
    <n v="0"/>
    <n v="0"/>
    <n v="0"/>
    <n v="0"/>
    <n v="0"/>
    <n v="0"/>
    <n v="0"/>
    <n v="0"/>
    <n v="0"/>
    <n v="0"/>
    <n v="0"/>
    <n v="0"/>
    <n v="0"/>
    <n v="0"/>
    <n v="0"/>
    <n v="0"/>
    <n v="0"/>
    <n v="0"/>
    <n v="0"/>
    <n v="0"/>
    <n v="0"/>
    <m/>
    <n v="18.27"/>
    <n v="0"/>
    <n v="0"/>
    <n v="0"/>
    <n v="0"/>
    <n v="0"/>
    <n v="0"/>
    <n v="18.27"/>
    <n v="18.27"/>
    <n v="0"/>
    <n v="0"/>
    <n v="0"/>
    <n v="0"/>
    <n v="0"/>
    <n v="0"/>
    <n v="0"/>
    <n v="0"/>
    <n v="0"/>
    <n v="0"/>
    <n v="0"/>
    <n v="0"/>
    <m/>
    <m/>
    <m/>
    <m/>
    <m/>
    <m/>
    <m/>
    <m/>
    <s v="1"/>
    <s v="1"/>
    <s v="1"/>
    <s v="1"/>
    <s v="1"/>
    <m/>
    <m/>
    <m/>
    <m/>
    <m/>
    <m/>
    <m/>
    <m/>
    <m/>
    <m/>
    <m/>
    <m/>
    <m/>
    <m/>
  </r>
  <r>
    <n v="743"/>
    <d v="2025-03-04T00:00:00"/>
    <s v="ZBTO"/>
    <s v="9518573555"/>
    <s v="2"/>
    <s v="9518573555-2"/>
    <s v="May'25"/>
    <x v="0"/>
    <m/>
    <x v="4"/>
    <x v="3"/>
    <n v="1000"/>
    <m/>
    <x v="1"/>
    <m/>
    <m/>
    <s v="Jharkhand"/>
    <s v="TBSPL"/>
    <s v="TBL- BARA AGRICO"/>
    <s v="Coil"/>
    <n v="942283"/>
    <x v="39"/>
    <n v="3672140"/>
    <s v="GL C YS550 H6GL 0.85BMT(0.90TCT)X1250"/>
    <m/>
    <m/>
    <m/>
    <m/>
    <m/>
    <s v="B04"/>
    <s v="Y550GL"/>
    <s v="H6GL"/>
    <n v="0.85"/>
    <n v="1250"/>
    <m/>
    <n v="203"/>
    <n v="167.74"/>
    <n v="35.26"/>
    <n v="35.26"/>
    <n v="35.26"/>
    <n v="35.26"/>
    <n v="0"/>
    <n v="0"/>
    <n v="0"/>
    <n v="0"/>
    <n v="0"/>
    <n v="0"/>
    <n v="0"/>
    <n v="0"/>
    <n v="0"/>
    <n v="0"/>
    <n v="0"/>
    <n v="0"/>
    <n v="0"/>
    <n v="0"/>
    <n v="0"/>
    <n v="0"/>
    <n v="0"/>
    <n v="0"/>
    <n v="0"/>
    <n v="0"/>
    <n v="0"/>
    <n v="0"/>
    <n v="0"/>
    <m/>
    <n v="8.67"/>
    <n v="0"/>
    <n v="0"/>
    <n v="0"/>
    <n v="0"/>
    <n v="0"/>
    <n v="0"/>
    <n v="8.67"/>
    <n v="8.67"/>
    <n v="0"/>
    <n v="0"/>
    <n v="0"/>
    <n v="0"/>
    <n v="0"/>
    <n v="19.365000000000002"/>
    <n v="0"/>
    <n v="0"/>
    <n v="0"/>
    <n v="0"/>
    <n v="0"/>
    <n v="19.365000000000002"/>
    <m/>
    <m/>
    <m/>
    <m/>
    <m/>
    <m/>
    <m/>
    <m/>
    <s v="1"/>
    <s v="1"/>
    <s v="1"/>
    <s v="1"/>
    <s v="1"/>
    <m/>
    <m/>
    <m/>
    <m/>
    <m/>
    <m/>
    <m/>
    <m/>
    <m/>
    <m/>
    <m/>
    <m/>
    <m/>
    <m/>
  </r>
  <r>
    <n v="742"/>
    <d v="2025-03-04T00:00:00"/>
    <s v="ZBTO"/>
    <s v="9518573630"/>
    <s v="3"/>
    <s v="9518573630-3"/>
    <s v="No Priority"/>
    <x v="0"/>
    <m/>
    <x v="1"/>
    <x v="1"/>
    <n v="2000"/>
    <m/>
    <x v="0"/>
    <m/>
    <m/>
    <s v="Uttar Pradesh"/>
    <s v="North"/>
    <s v="KANPUR"/>
    <s v="Coil"/>
    <n v="933952"/>
    <x v="50"/>
    <n v="1804854"/>
    <s v="CRCA COIL-TATXXD-AU03-1.2X1250"/>
    <m/>
    <m/>
    <m/>
    <m/>
    <m/>
    <s v="C01"/>
    <s v="TATXXD"/>
    <s v="AU03"/>
    <n v="1.2"/>
    <n v="1250"/>
    <m/>
    <n v="29"/>
    <n v="9.0250000000000004"/>
    <n v="19.975000000000001"/>
    <n v="19.975000000000001"/>
    <n v="19.975000000000001"/>
    <n v="19.975000000000001"/>
    <n v="0"/>
    <n v="0"/>
    <n v="0"/>
    <n v="0"/>
    <n v="0"/>
    <n v="0"/>
    <n v="0"/>
    <n v="0"/>
    <n v="0"/>
    <n v="0"/>
    <n v="0"/>
    <n v="0"/>
    <n v="0"/>
    <n v="0"/>
    <n v="0"/>
    <n v="0"/>
    <n v="0"/>
    <n v="0"/>
    <n v="0"/>
    <n v="0"/>
    <n v="0"/>
    <n v="0"/>
    <n v="0"/>
    <m/>
    <n v="9.0250000000000004"/>
    <n v="0"/>
    <n v="0"/>
    <n v="0"/>
    <n v="0"/>
    <n v="0"/>
    <n v="0"/>
    <n v="9.0250000000000004"/>
    <n v="9.0250000000000004"/>
    <n v="0"/>
    <n v="0"/>
    <n v="0"/>
    <n v="0"/>
    <n v="0"/>
    <n v="0"/>
    <n v="0"/>
    <n v="0"/>
    <n v="0"/>
    <n v="0"/>
    <n v="0"/>
    <n v="0"/>
    <m/>
    <m/>
    <m/>
    <m/>
    <m/>
    <m/>
    <m/>
    <m/>
    <s v="1"/>
    <s v="1"/>
    <s v="1"/>
    <s v="1"/>
    <s v="1"/>
    <m/>
    <m/>
    <m/>
    <m/>
    <m/>
    <m/>
    <m/>
    <m/>
    <m/>
    <m/>
    <m/>
    <m/>
    <m/>
    <m/>
  </r>
  <r>
    <n v="742"/>
    <d v="2025-03-05T00:00:00"/>
    <s v="ZBTO"/>
    <s v="9518576862"/>
    <s v="1"/>
    <s v="9518576862-1"/>
    <s v="No Priority"/>
    <x v="0"/>
    <m/>
    <x v="1"/>
    <x v="2"/>
    <n v="2000"/>
    <m/>
    <x v="0"/>
    <m/>
    <m/>
    <s v="Maharashtra"/>
    <s v="West"/>
    <s v="NAGPUR"/>
    <s v="Sheet"/>
    <n v="103092"/>
    <x v="59"/>
    <n v="3240895"/>
    <s v="CRCA SHEET TATXXD SR17 0.500X1250X2500"/>
    <m/>
    <m/>
    <m/>
    <m/>
    <m/>
    <s v="C06"/>
    <s v="TATXXD"/>
    <s v="SR17"/>
    <n v="0.5"/>
    <n v="1250"/>
    <m/>
    <n v="43.37"/>
    <n v="43.37"/>
    <n v="0"/>
    <n v="0"/>
    <n v="0"/>
    <n v="0"/>
    <n v="0"/>
    <n v="0"/>
    <n v="0"/>
    <n v="0"/>
    <n v="0"/>
    <n v="0"/>
    <n v="0"/>
    <n v="0"/>
    <n v="0"/>
    <n v="0"/>
    <n v="0"/>
    <n v="0"/>
    <n v="0"/>
    <n v="0"/>
    <n v="0"/>
    <n v="0"/>
    <n v="0"/>
    <n v="0"/>
    <n v="0"/>
    <n v="0"/>
    <n v="0"/>
    <n v="0"/>
    <n v="0"/>
    <m/>
    <n v="17.684999999999999"/>
    <n v="0"/>
    <n v="0"/>
    <n v="0"/>
    <n v="0"/>
    <n v="0"/>
    <n v="0"/>
    <n v="17.684999999999999"/>
    <n v="17.684999999999999"/>
    <n v="0"/>
    <n v="0"/>
    <n v="0"/>
    <n v="0"/>
    <n v="0"/>
    <n v="0"/>
    <n v="0"/>
    <n v="0"/>
    <n v="0"/>
    <n v="0"/>
    <n v="0"/>
    <n v="0"/>
    <m/>
    <m/>
    <m/>
    <m/>
    <m/>
    <m/>
    <m/>
    <m/>
    <s v="1"/>
    <s v="1"/>
    <s v="1"/>
    <s v="1"/>
    <s v="1"/>
    <m/>
    <m/>
    <m/>
    <m/>
    <m/>
    <m/>
    <m/>
    <m/>
    <m/>
    <m/>
    <m/>
    <m/>
    <m/>
    <m/>
  </r>
  <r>
    <n v="742"/>
    <d v="2025-03-06T00:00:00"/>
    <s v="ZBTO"/>
    <s v="9518578381"/>
    <s v="1"/>
    <s v="9518578381-1"/>
    <s v="May'25"/>
    <x v="0"/>
    <m/>
    <x v="0"/>
    <x v="0"/>
    <n v="2000"/>
    <m/>
    <x v="1"/>
    <m/>
    <m/>
    <s v="Telangana"/>
    <s v="South"/>
    <s v="HYDERABAD"/>
    <s v="Coil"/>
    <n v="847544"/>
    <x v="79"/>
    <n v="1250221"/>
    <s v="HR COILS-PO IS 1079 HR2 2.50X1250"/>
    <m/>
    <m/>
    <m/>
    <m/>
    <m/>
    <n v="768"/>
    <s v="THR099"/>
    <s v="HR99"/>
    <n v="2.5"/>
    <n v="1250"/>
    <m/>
    <n v="99.995000000000005"/>
    <n v="24.34"/>
    <n v="75.655000000000001"/>
    <n v="75.655000000000001"/>
    <n v="50.655000000000001"/>
    <n v="53.71"/>
    <n v="0"/>
    <n v="0"/>
    <n v="0"/>
    <n v="0"/>
    <n v="0"/>
    <n v="0"/>
    <n v="0"/>
    <n v="0"/>
    <n v="0"/>
    <n v="0"/>
    <n v="0"/>
    <n v="0"/>
    <n v="0"/>
    <n v="0"/>
    <n v="0"/>
    <n v="0"/>
    <n v="0"/>
    <n v="0"/>
    <n v="0"/>
    <n v="0"/>
    <n v="0"/>
    <n v="25"/>
    <n v="25"/>
    <m/>
    <n v="24.34"/>
    <n v="0"/>
    <n v="0"/>
    <n v="0"/>
    <n v="0"/>
    <n v="0"/>
    <n v="0"/>
    <n v="24.34"/>
    <n v="24.34"/>
    <n v="0"/>
    <n v="0"/>
    <n v="0"/>
    <n v="0"/>
    <n v="0"/>
    <n v="0"/>
    <n v="0"/>
    <n v="0"/>
    <n v="0"/>
    <n v="0"/>
    <n v="0"/>
    <n v="0"/>
    <m/>
    <m/>
    <m/>
    <m/>
    <m/>
    <m/>
    <m/>
    <m/>
    <s v="1"/>
    <s v="1"/>
    <s v="1"/>
    <s v="1"/>
    <s v="1"/>
    <m/>
    <m/>
    <m/>
    <m/>
    <m/>
    <m/>
    <m/>
    <m/>
    <m/>
    <m/>
    <m/>
    <m/>
    <m/>
    <m/>
  </r>
  <r>
    <n v="742"/>
    <d v="2025-03-06T00:00:00"/>
    <s v="ZBTO"/>
    <s v="9518579878"/>
    <s v="2"/>
    <s v="9518579878-2"/>
    <s v="No Priority"/>
    <x v="0"/>
    <m/>
    <x v="1"/>
    <x v="2"/>
    <n v="2000"/>
    <m/>
    <x v="0"/>
    <m/>
    <m/>
    <s v="Uttar Pradesh"/>
    <s v="North"/>
    <s v="VARANASI"/>
    <s v="Sheet"/>
    <n v="931525"/>
    <x v="2"/>
    <n v="3239568"/>
    <s v="CRCA SHEET TATCRC SR16 0.450X1250X2500"/>
    <m/>
    <m/>
    <m/>
    <m/>
    <m/>
    <s v="C06"/>
    <s v="TATCRC"/>
    <s v="SR16"/>
    <n v="0.45"/>
    <n v="1250"/>
    <m/>
    <n v="54"/>
    <n v="50.51"/>
    <n v="3.49"/>
    <n v="3.49"/>
    <n v="3.49"/>
    <n v="0.77"/>
    <n v="0"/>
    <n v="0"/>
    <n v="0"/>
    <n v="0"/>
    <n v="0"/>
    <n v="0"/>
    <n v="0"/>
    <n v="0"/>
    <n v="0"/>
    <n v="0"/>
    <n v="0"/>
    <n v="0"/>
    <n v="0"/>
    <n v="0"/>
    <n v="0"/>
    <n v="0"/>
    <n v="0"/>
    <n v="0"/>
    <n v="0"/>
    <n v="0"/>
    <n v="0"/>
    <n v="0"/>
    <n v="0"/>
    <m/>
    <n v="19.68"/>
    <n v="0"/>
    <n v="0"/>
    <n v="0"/>
    <n v="0"/>
    <n v="0"/>
    <n v="0"/>
    <n v="19.68"/>
    <n v="19.68"/>
    <n v="0"/>
    <n v="0"/>
    <n v="0"/>
    <n v="0"/>
    <n v="0"/>
    <n v="0"/>
    <n v="0"/>
    <n v="0"/>
    <n v="0"/>
    <n v="0"/>
    <n v="0"/>
    <n v="0"/>
    <m/>
    <m/>
    <m/>
    <m/>
    <m/>
    <m/>
    <m/>
    <m/>
    <s v="1"/>
    <s v="1"/>
    <s v="1"/>
    <s v="1"/>
    <s v="1"/>
    <m/>
    <m/>
    <m/>
    <m/>
    <m/>
    <m/>
    <m/>
    <m/>
    <m/>
    <m/>
    <m/>
    <m/>
    <m/>
    <m/>
  </r>
  <r>
    <n v="742"/>
    <d v="2025-03-06T00:00:00"/>
    <s v="ZBTO"/>
    <s v="9518579878"/>
    <s v="5"/>
    <s v="9518579878-5"/>
    <s v="No Priority"/>
    <x v="0"/>
    <m/>
    <x v="1"/>
    <x v="2"/>
    <n v="2000"/>
    <m/>
    <x v="0"/>
    <m/>
    <m/>
    <s v="Uttar Pradesh"/>
    <s v="North"/>
    <s v="VARANASI"/>
    <s v="Sheet"/>
    <n v="931525"/>
    <x v="2"/>
    <n v="3444592"/>
    <s v="CRCA SHEET TATCRC SR16 0.450X1250X2030"/>
    <m/>
    <m/>
    <m/>
    <m/>
    <m/>
    <s v="C06"/>
    <s v="TATCRC"/>
    <s v="SR16"/>
    <n v="0.45"/>
    <n v="1250"/>
    <m/>
    <n v="54"/>
    <n v="51.04"/>
    <n v="2.96"/>
    <n v="2.96"/>
    <n v="2.96"/>
    <n v="2.96"/>
    <n v="0"/>
    <n v="0"/>
    <n v="0"/>
    <n v="0"/>
    <n v="0"/>
    <n v="0"/>
    <n v="0"/>
    <n v="0"/>
    <n v="0"/>
    <n v="0"/>
    <n v="0"/>
    <n v="0"/>
    <n v="0"/>
    <n v="0"/>
    <n v="0"/>
    <n v="0"/>
    <n v="0"/>
    <n v="0"/>
    <n v="0"/>
    <n v="0"/>
    <n v="0"/>
    <n v="0"/>
    <n v="0"/>
    <m/>
    <n v="22.675000000000001"/>
    <n v="0"/>
    <n v="0"/>
    <n v="0"/>
    <n v="0"/>
    <n v="0"/>
    <n v="0"/>
    <n v="22.675000000000001"/>
    <n v="22.675000000000001"/>
    <n v="0"/>
    <n v="0"/>
    <n v="0"/>
    <n v="0"/>
    <n v="0"/>
    <n v="0"/>
    <n v="0"/>
    <n v="0"/>
    <n v="0"/>
    <n v="0"/>
    <n v="0"/>
    <n v="0"/>
    <m/>
    <m/>
    <m/>
    <m/>
    <m/>
    <m/>
    <m/>
    <m/>
    <s v="1"/>
    <s v="1"/>
    <s v="1"/>
    <s v="1"/>
    <s v="1"/>
    <m/>
    <m/>
    <m/>
    <m/>
    <m/>
    <m/>
    <m/>
    <m/>
    <m/>
    <m/>
    <m/>
    <m/>
    <m/>
    <m/>
  </r>
  <r>
    <n v="742"/>
    <d v="2025-03-07T00:00:00"/>
    <s v="ZBTO"/>
    <s v="9518582494"/>
    <s v="5"/>
    <s v="9518582494-5"/>
    <s v="No Priority"/>
    <x v="0"/>
    <m/>
    <x v="1"/>
    <x v="2"/>
    <n v="2000"/>
    <m/>
    <x v="0"/>
    <m/>
    <m/>
    <s v="Bihar"/>
    <s v="East"/>
    <s v="PATNA CITY"/>
    <s v="Sheet"/>
    <n v="103227"/>
    <x v="31"/>
    <n v="2441004"/>
    <s v="CRCA SHEET TATCRC SR16 0.430X1250X2500"/>
    <m/>
    <m/>
    <m/>
    <m/>
    <m/>
    <s v="C06"/>
    <s v="TATCRC"/>
    <s v="SR16"/>
    <n v="0.43"/>
    <n v="1250"/>
    <m/>
    <n v="27"/>
    <n v="26.145"/>
    <n v="0.85499999999999998"/>
    <n v="0.85499999999999998"/>
    <n v="0"/>
    <n v="0.85499999999999998"/>
    <n v="0"/>
    <n v="0"/>
    <n v="0"/>
    <n v="0"/>
    <n v="0"/>
    <n v="0"/>
    <n v="0"/>
    <n v="0"/>
    <n v="0"/>
    <n v="0"/>
    <n v="0"/>
    <n v="0"/>
    <n v="0"/>
    <n v="0"/>
    <n v="0"/>
    <n v="0"/>
    <n v="0"/>
    <n v="0"/>
    <n v="0"/>
    <n v="0"/>
    <n v="0"/>
    <n v="0"/>
    <n v="0"/>
    <m/>
    <n v="5.67"/>
    <n v="0"/>
    <n v="0"/>
    <n v="0"/>
    <n v="0"/>
    <n v="0"/>
    <n v="0"/>
    <n v="5.67"/>
    <n v="5.67"/>
    <n v="0"/>
    <n v="0"/>
    <n v="0"/>
    <n v="0"/>
    <n v="0"/>
    <n v="0"/>
    <n v="0"/>
    <n v="0"/>
    <n v="0"/>
    <n v="0"/>
    <n v="0"/>
    <n v="0"/>
    <m/>
    <m/>
    <m/>
    <m/>
    <m/>
    <m/>
    <m/>
    <m/>
    <s v="1"/>
    <s v="1"/>
    <s v="1"/>
    <s v="1"/>
    <s v="1"/>
    <m/>
    <m/>
    <m/>
    <m/>
    <m/>
    <m/>
    <m/>
    <m/>
    <m/>
    <m/>
    <m/>
    <m/>
    <m/>
    <m/>
  </r>
  <r>
    <n v="742"/>
    <d v="2025-03-07T00:00:00"/>
    <s v="ZBTO"/>
    <s v="9518583094"/>
    <s v="4"/>
    <s v="9518583094-4"/>
    <s v="No Priority"/>
    <x v="0"/>
    <m/>
    <x v="1"/>
    <x v="2"/>
    <n v="2000"/>
    <m/>
    <x v="0"/>
    <m/>
    <m/>
    <s v="Uttar Pradesh"/>
    <s v="North"/>
    <s v="VARANASI"/>
    <s v="Sheet"/>
    <n v="931525"/>
    <x v="2"/>
    <n v="3444592"/>
    <s v="CRCA SHEET TATCRC SR16 0.450X1250X2030"/>
    <m/>
    <m/>
    <m/>
    <m/>
    <m/>
    <s v="C06"/>
    <s v="TATCRC"/>
    <s v="SR16"/>
    <n v="0.45"/>
    <n v="1250"/>
    <m/>
    <n v="81"/>
    <n v="80.13"/>
    <n v="0.87"/>
    <n v="0.87"/>
    <n v="0"/>
    <n v="0.87"/>
    <n v="0"/>
    <n v="0"/>
    <n v="0"/>
    <n v="0"/>
    <n v="0"/>
    <n v="0"/>
    <n v="0"/>
    <n v="0"/>
    <n v="0"/>
    <n v="0"/>
    <n v="0"/>
    <n v="0"/>
    <n v="0"/>
    <n v="0"/>
    <n v="0"/>
    <n v="0"/>
    <n v="0"/>
    <n v="0"/>
    <n v="0"/>
    <n v="0"/>
    <n v="0"/>
    <n v="0"/>
    <n v="0"/>
    <m/>
    <n v="5.32"/>
    <n v="0"/>
    <n v="0"/>
    <n v="0"/>
    <n v="0"/>
    <n v="0"/>
    <n v="0"/>
    <n v="5.32"/>
    <n v="5.32"/>
    <n v="0"/>
    <n v="0"/>
    <n v="0"/>
    <n v="0"/>
    <n v="0"/>
    <n v="0"/>
    <n v="0"/>
    <n v="0"/>
    <n v="0"/>
    <n v="0"/>
    <n v="0"/>
    <n v="0"/>
    <m/>
    <m/>
    <m/>
    <m/>
    <m/>
    <m/>
    <m/>
    <m/>
    <s v="1"/>
    <s v="1"/>
    <s v="1"/>
    <s v="1"/>
    <s v="1"/>
    <m/>
    <m/>
    <m/>
    <m/>
    <m/>
    <m/>
    <m/>
    <m/>
    <m/>
    <m/>
    <m/>
    <m/>
    <m/>
    <m/>
  </r>
  <r>
    <n v="743"/>
    <d v="2025-03-10T00:00:00"/>
    <s v="ZBTO"/>
    <s v="9518588324"/>
    <s v="1"/>
    <s v="9518588324-1"/>
    <s v="No Priority"/>
    <x v="0"/>
    <m/>
    <x v="4"/>
    <x v="10"/>
    <n v="1000"/>
    <m/>
    <x v="0"/>
    <m/>
    <s v="No allocation for IPP"/>
    <s v="Andhra Pradesh"/>
    <s v="South"/>
    <s v="NELLORE"/>
    <s v="Coil"/>
    <n v="188750"/>
    <x v="76"/>
    <n v="3245089"/>
    <s v="GL COIL HARD  Y550GL H7GL 0.320X1245"/>
    <m/>
    <m/>
    <m/>
    <m/>
    <m/>
    <s v="B04"/>
    <s v="Y550GL"/>
    <s v="H7GL"/>
    <n v="0.32"/>
    <n v="1245"/>
    <m/>
    <n v="290"/>
    <n v="197.17500000000001"/>
    <n v="92.825000000000003"/>
    <n v="66.084999999999994"/>
    <n v="92.825000000000003"/>
    <n v="92.825000000000003"/>
    <n v="0"/>
    <n v="0"/>
    <n v="0"/>
    <n v="0"/>
    <n v="0"/>
    <n v="0"/>
    <n v="0"/>
    <n v="0"/>
    <n v="0"/>
    <n v="0"/>
    <n v="0"/>
    <n v="0"/>
    <n v="0"/>
    <n v="0"/>
    <n v="0"/>
    <n v="0"/>
    <n v="0"/>
    <n v="0"/>
    <n v="0"/>
    <n v="0"/>
    <n v="0"/>
    <n v="0"/>
    <n v="0"/>
    <m/>
    <n v="13.26"/>
    <n v="0"/>
    <n v="0"/>
    <n v="0"/>
    <n v="0"/>
    <n v="0"/>
    <n v="0"/>
    <n v="13.26"/>
    <n v="13.26"/>
    <n v="0"/>
    <n v="0"/>
    <n v="0"/>
    <n v="0"/>
    <n v="0"/>
    <n v="0"/>
    <n v="0"/>
    <n v="0"/>
    <n v="0"/>
    <n v="0"/>
    <n v="0"/>
    <n v="0"/>
    <m/>
    <m/>
    <m/>
    <m/>
    <m/>
    <m/>
    <m/>
    <m/>
    <s v="1"/>
    <s v="1"/>
    <s v="1"/>
    <s v="1"/>
    <s v="1"/>
    <m/>
    <m/>
    <m/>
    <m/>
    <m/>
    <m/>
    <m/>
    <m/>
    <m/>
    <m/>
    <m/>
    <m/>
    <m/>
    <m/>
  </r>
  <r>
    <n v="742"/>
    <d v="2025-03-13T00:00:00"/>
    <s v="ZBTO"/>
    <s v="9518598795"/>
    <s v="4"/>
    <s v="9518598795-4"/>
    <s v="May'25"/>
    <x v="0"/>
    <s v="Yes"/>
    <x v="1"/>
    <x v="1"/>
    <n v="2000"/>
    <m/>
    <x v="1"/>
    <m/>
    <m/>
    <s v="Tamil Nadu"/>
    <s v="South"/>
    <s v="GUMMIDIPUNDI"/>
    <s v="Coil"/>
    <n v="822271"/>
    <x v="38"/>
    <n v="1801804"/>
    <s v="CRCA COIL-TATXXD-AU03-1X1250"/>
    <m/>
    <m/>
    <m/>
    <m/>
    <m/>
    <s v="C01"/>
    <s v="TATXXD"/>
    <s v="AU03"/>
    <n v="1"/>
    <n v="1250"/>
    <m/>
    <n v="87"/>
    <n v="48.87"/>
    <n v="38.130000000000003"/>
    <n v="38.130000000000003"/>
    <n v="10.760000000000002"/>
    <n v="38.130000000000003"/>
    <n v="0"/>
    <n v="0"/>
    <n v="0"/>
    <n v="0"/>
    <n v="0"/>
    <n v="0"/>
    <n v="0"/>
    <n v="0"/>
    <n v="0"/>
    <n v="0"/>
    <n v="0"/>
    <n v="0"/>
    <n v="0"/>
    <n v="27.37"/>
    <n v="0"/>
    <n v="0"/>
    <n v="0"/>
    <n v="0"/>
    <n v="0"/>
    <n v="27.37"/>
    <n v="27.37"/>
    <n v="0"/>
    <n v="27.37"/>
    <m/>
    <n v="48.870000000000005"/>
    <n v="0"/>
    <n v="0"/>
    <n v="0"/>
    <n v="0"/>
    <n v="0"/>
    <n v="0"/>
    <n v="48.870000000000005"/>
    <n v="48.870000000000005"/>
    <n v="0"/>
    <n v="0"/>
    <n v="0"/>
    <n v="0"/>
    <n v="0"/>
    <n v="0"/>
    <n v="0"/>
    <n v="0"/>
    <n v="0"/>
    <n v="0"/>
    <n v="0"/>
    <n v="0"/>
    <m/>
    <m/>
    <m/>
    <m/>
    <m/>
    <m/>
    <m/>
    <m/>
    <s v="1"/>
    <s v="1"/>
    <s v="1"/>
    <s v="1"/>
    <s v="1"/>
    <m/>
    <m/>
    <m/>
    <m/>
    <m/>
    <m/>
    <m/>
    <m/>
    <m/>
    <m/>
    <m/>
    <m/>
    <m/>
    <m/>
  </r>
  <r>
    <n v="743"/>
    <d v="2025-03-15T00:00:00"/>
    <s v="ZBTO"/>
    <s v="9518601754"/>
    <s v="1"/>
    <s v="9518601754-1"/>
    <s v="No Priority"/>
    <x v="0"/>
    <m/>
    <x v="4"/>
    <x v="10"/>
    <n v="1000"/>
    <m/>
    <x v="0"/>
    <m/>
    <s v="No allocation for IPP"/>
    <s v="Andhra Pradesh"/>
    <s v="South"/>
    <s v="NELLORE"/>
    <s v="Coil"/>
    <n v="188750"/>
    <x v="76"/>
    <n v="3965990"/>
    <s v="GL COIL HARD  Y550GL H7GL 0.320X1240"/>
    <m/>
    <m/>
    <m/>
    <m/>
    <m/>
    <s v="B04"/>
    <s v="Y550GL"/>
    <s v="H7GL"/>
    <n v="0.32"/>
    <n v="1240"/>
    <m/>
    <n v="280"/>
    <n v="253.26499999999999"/>
    <n v="26.734999999999999"/>
    <n v="26.734999999999999"/>
    <n v="26.734999999999999"/>
    <n v="26.734999999999999"/>
    <n v="0"/>
    <n v="0"/>
    <n v="0"/>
    <n v="0"/>
    <n v="0"/>
    <n v="0"/>
    <n v="0"/>
    <n v="0"/>
    <n v="0"/>
    <n v="0"/>
    <n v="0"/>
    <n v="0"/>
    <n v="0"/>
    <n v="0"/>
    <n v="0"/>
    <n v="0"/>
    <n v="0"/>
    <n v="0"/>
    <n v="0"/>
    <n v="0"/>
    <n v="0"/>
    <n v="0"/>
    <n v="0"/>
    <m/>
    <n v="57.08"/>
    <n v="0"/>
    <n v="0"/>
    <n v="0"/>
    <n v="0"/>
    <n v="0"/>
    <n v="0"/>
    <n v="57.08"/>
    <n v="57.08"/>
    <n v="0"/>
    <n v="0"/>
    <n v="0"/>
    <n v="0"/>
    <n v="0"/>
    <n v="22.509999999999998"/>
    <n v="0"/>
    <n v="0"/>
    <n v="0"/>
    <n v="0"/>
    <n v="0"/>
    <n v="22.509999999999998"/>
    <m/>
    <m/>
    <m/>
    <m/>
    <m/>
    <m/>
    <m/>
    <m/>
    <s v="1"/>
    <s v="1"/>
    <s v="1"/>
    <s v="1"/>
    <s v="1"/>
    <m/>
    <m/>
    <m/>
    <m/>
    <m/>
    <m/>
    <m/>
    <m/>
    <m/>
    <m/>
    <m/>
    <m/>
    <m/>
    <m/>
  </r>
  <r>
    <n v="742"/>
    <d v="2025-03-16T00:00:00"/>
    <s v="ZBTO"/>
    <s v="9518604323"/>
    <s v="16"/>
    <s v="9518604323-16"/>
    <s v="No Priority"/>
    <x v="0"/>
    <m/>
    <x v="1"/>
    <x v="2"/>
    <n v="2000"/>
    <m/>
    <x v="0"/>
    <m/>
    <m/>
    <s v="Orissa"/>
    <s v="East"/>
    <s v="CUTTACK"/>
    <s v="Sheet"/>
    <n v="117061"/>
    <x v="19"/>
    <n v="3240842"/>
    <s v="CRCA SHEET TSBCRC SR15 1X1250X2500"/>
    <m/>
    <m/>
    <m/>
    <m/>
    <m/>
    <s v="C06"/>
    <s v="TSBCRC"/>
    <s v="SR15"/>
    <n v="1"/>
    <n v="1250"/>
    <m/>
    <n v="3"/>
    <n v="2.9"/>
    <n v="0.1"/>
    <n v="0.1"/>
    <n v="0"/>
    <n v="0.1"/>
    <n v="0"/>
    <n v="0"/>
    <n v="0"/>
    <n v="0"/>
    <n v="0"/>
    <n v="0"/>
    <n v="0"/>
    <n v="0"/>
    <n v="0"/>
    <n v="0"/>
    <n v="0"/>
    <n v="0"/>
    <n v="0"/>
    <n v="0"/>
    <n v="0"/>
    <n v="0"/>
    <n v="0"/>
    <n v="0"/>
    <n v="0"/>
    <n v="0"/>
    <n v="0"/>
    <n v="0"/>
    <n v="0"/>
    <m/>
    <n v="2.9"/>
    <n v="0"/>
    <n v="0"/>
    <n v="0"/>
    <n v="0"/>
    <n v="0"/>
    <n v="0"/>
    <n v="2.9"/>
    <n v="2.9"/>
    <n v="0"/>
    <n v="0"/>
    <n v="0"/>
    <n v="0"/>
    <n v="0"/>
    <n v="0"/>
    <n v="0"/>
    <n v="0"/>
    <n v="0"/>
    <n v="0"/>
    <n v="0"/>
    <n v="0"/>
    <m/>
    <m/>
    <m/>
    <m/>
    <m/>
    <m/>
    <m/>
    <m/>
    <s v="1"/>
    <s v="1"/>
    <s v="1"/>
    <s v="1"/>
    <s v="1"/>
    <m/>
    <m/>
    <m/>
    <m/>
    <m/>
    <m/>
    <m/>
    <m/>
    <m/>
    <m/>
    <m/>
    <m/>
    <m/>
    <m/>
  </r>
  <r>
    <n v="743"/>
    <d v="2025-03-17T00:00:00"/>
    <s v="ZBTO"/>
    <s v="9518607412"/>
    <s v="6"/>
    <s v="9518607412-6"/>
    <s v="May'25"/>
    <x v="0"/>
    <m/>
    <x v="3"/>
    <x v="14"/>
    <n v="2000"/>
    <m/>
    <x v="1"/>
    <m/>
    <m/>
    <s v="Rajasthan"/>
    <s v="North"/>
    <s v="JAIPUR"/>
    <s v="Coil"/>
    <n v="117583"/>
    <x v="80"/>
    <n v="1854410"/>
    <s v="GP COIL SOFT-TATXGP-GK09-0.4X1220"/>
    <m/>
    <m/>
    <m/>
    <m/>
    <m/>
    <s v="C02"/>
    <s v="TATXGP"/>
    <s v="GK09"/>
    <n v="0.4"/>
    <n v="1220"/>
    <m/>
    <n v="112"/>
    <n v="94.284999999999997"/>
    <n v="17.715"/>
    <n v="13.885999999999999"/>
    <n v="13.885999999999999"/>
    <n v="17.715"/>
    <n v="0"/>
    <n v="0"/>
    <n v="0"/>
    <n v="0"/>
    <n v="0"/>
    <n v="0"/>
    <n v="3.8290000000000002"/>
    <n v="0"/>
    <n v="0"/>
    <n v="0"/>
    <n v="0"/>
    <n v="0"/>
    <n v="0"/>
    <n v="0"/>
    <n v="0"/>
    <n v="0"/>
    <n v="0"/>
    <n v="0"/>
    <n v="0"/>
    <n v="3.8290000000000002"/>
    <n v="3.8290000000000002"/>
    <n v="0"/>
    <n v="3.8290000000000002"/>
    <m/>
    <n v="33.055"/>
    <n v="0"/>
    <n v="0"/>
    <n v="0"/>
    <n v="0"/>
    <n v="0"/>
    <n v="0"/>
    <n v="33.055"/>
    <n v="33.055"/>
    <n v="0"/>
    <n v="0"/>
    <n v="0"/>
    <n v="0"/>
    <n v="0"/>
    <n v="0"/>
    <n v="0"/>
    <n v="0"/>
    <n v="0"/>
    <n v="0"/>
    <n v="0"/>
    <n v="0"/>
    <m/>
    <m/>
    <m/>
    <m/>
    <m/>
    <m/>
    <m/>
    <m/>
    <s v="1"/>
    <s v="1"/>
    <s v="1"/>
    <s v="1"/>
    <s v="1"/>
    <m/>
    <m/>
    <m/>
    <m/>
    <m/>
    <m/>
    <m/>
    <m/>
    <m/>
    <m/>
    <m/>
    <m/>
    <m/>
    <m/>
  </r>
  <r>
    <n v="743"/>
    <d v="2025-03-18T00:00:00"/>
    <s v="ZBTO"/>
    <s v="9518610550"/>
    <s v="6"/>
    <s v="9518610550-6"/>
    <s v="No Priority"/>
    <x v="0"/>
    <m/>
    <x v="3"/>
    <x v="9"/>
    <n v="2000"/>
    <m/>
    <x v="0"/>
    <m/>
    <m/>
    <s v="Punjab"/>
    <s v="North"/>
    <s v="LUDHIANA"/>
    <s v="Coil"/>
    <n v="185845"/>
    <x v="81"/>
    <n v="1178444"/>
    <s v="GP COIL SOFT-TATXGP-GK09-0.4X1000"/>
    <m/>
    <m/>
    <m/>
    <m/>
    <m/>
    <s v="C02"/>
    <s v="TATXGP"/>
    <s v="GK09"/>
    <n v="0.4"/>
    <n v="1000"/>
    <m/>
    <n v="23"/>
    <n v="4.75"/>
    <n v="18.25"/>
    <n v="18.25"/>
    <n v="18.25"/>
    <n v="18.25"/>
    <n v="0"/>
    <n v="0"/>
    <n v="0"/>
    <n v="0"/>
    <n v="0"/>
    <n v="0"/>
    <n v="0"/>
    <n v="0"/>
    <n v="0"/>
    <n v="0"/>
    <n v="0"/>
    <n v="0"/>
    <n v="0"/>
    <n v="0"/>
    <n v="0"/>
    <n v="0"/>
    <n v="0"/>
    <n v="0"/>
    <n v="0"/>
    <n v="0"/>
    <n v="0"/>
    <n v="0"/>
    <n v="0"/>
    <m/>
    <n v="4.75"/>
    <n v="0"/>
    <n v="0"/>
    <n v="0"/>
    <n v="0"/>
    <n v="0"/>
    <n v="0"/>
    <n v="4.75"/>
    <n v="4.75"/>
    <n v="0"/>
    <n v="0"/>
    <n v="0"/>
    <n v="0"/>
    <n v="0"/>
    <n v="0"/>
    <n v="0"/>
    <n v="0"/>
    <n v="0"/>
    <n v="0"/>
    <n v="0"/>
    <n v="0"/>
    <m/>
    <m/>
    <m/>
    <m/>
    <m/>
    <m/>
    <m/>
    <m/>
    <s v="1"/>
    <s v="1"/>
    <s v="1"/>
    <s v="1"/>
    <s v="1"/>
    <m/>
    <m/>
    <m/>
    <m/>
    <m/>
    <m/>
    <m/>
    <m/>
    <m/>
    <m/>
    <m/>
    <m/>
    <m/>
    <m/>
  </r>
  <r>
    <n v="742"/>
    <d v="2025-03-24T00:00:00"/>
    <s v="ZBTO"/>
    <s v="9518628470"/>
    <s v="3"/>
    <s v="9518628470-3"/>
    <s v="No Priority"/>
    <x v="0"/>
    <s v="Yes"/>
    <x v="1"/>
    <x v="2"/>
    <n v="2000"/>
    <m/>
    <x v="0"/>
    <m/>
    <m/>
    <s v="Assam"/>
    <s v="East"/>
    <s v="ABHOYAPUR"/>
    <s v="Sheet"/>
    <n v="116649"/>
    <x v="24"/>
    <n v="3240790"/>
    <s v="CRCA SHEET TSBCRC SR15 0.700X1000X2500"/>
    <m/>
    <m/>
    <m/>
    <m/>
    <m/>
    <s v="C06"/>
    <s v="TSBCRC"/>
    <s v="SR15"/>
    <n v="0.7"/>
    <n v="1000"/>
    <m/>
    <n v="42"/>
    <n v="20.484999999999999"/>
    <n v="21.515000000000001"/>
    <n v="21.515000000000001"/>
    <n v="21.245000000000001"/>
    <n v="0.63"/>
    <n v="0"/>
    <n v="0"/>
    <n v="0"/>
    <n v="0"/>
    <n v="0"/>
    <n v="0"/>
    <n v="0"/>
    <n v="0"/>
    <n v="0"/>
    <n v="0"/>
    <n v="0"/>
    <n v="0"/>
    <n v="0"/>
    <n v="0"/>
    <n v="0"/>
    <n v="0.27"/>
    <n v="0"/>
    <n v="0"/>
    <n v="0"/>
    <n v="0.27"/>
    <n v="0.27"/>
    <n v="0"/>
    <n v="0.27"/>
    <m/>
    <n v="20.484999999999999"/>
    <n v="0"/>
    <n v="0"/>
    <n v="0"/>
    <n v="0"/>
    <n v="0"/>
    <n v="0"/>
    <n v="20.484999999999999"/>
    <n v="20.484999999999999"/>
    <n v="0"/>
    <n v="0"/>
    <n v="0"/>
    <n v="0"/>
    <n v="0"/>
    <n v="20.484999999999999"/>
    <n v="0"/>
    <n v="0"/>
    <n v="0"/>
    <n v="0"/>
    <n v="0"/>
    <n v="20.484999999999999"/>
    <m/>
    <m/>
    <m/>
    <m/>
    <m/>
    <m/>
    <m/>
    <m/>
    <s v="1"/>
    <s v="1"/>
    <s v="1"/>
    <s v="1"/>
    <s v="1"/>
    <m/>
    <m/>
    <m/>
    <m/>
    <m/>
    <m/>
    <m/>
    <m/>
    <m/>
    <m/>
    <m/>
    <m/>
    <m/>
    <m/>
  </r>
  <r>
    <n v="742"/>
    <d v="2025-03-24T00:00:00"/>
    <s v="ZBTO"/>
    <s v="9518628976"/>
    <s v="3"/>
    <s v="9518628976-3"/>
    <s v="No Priority"/>
    <x v="0"/>
    <s v="Yes"/>
    <x v="1"/>
    <x v="1"/>
    <n v="2000"/>
    <m/>
    <x v="0"/>
    <m/>
    <s v="Deprioritized as per SPA's instruction"/>
    <s v="Tamil Nadu"/>
    <s v="South"/>
    <s v="COIMBATORE"/>
    <s v="Sheet"/>
    <n v="116465"/>
    <x v="13"/>
    <n v="353956"/>
    <s v="CRCA SHEET TATXXD AU03 0.70X1250X2500"/>
    <m/>
    <m/>
    <m/>
    <m/>
    <m/>
    <s v="C06"/>
    <s v="TATXXD"/>
    <s v="AU03"/>
    <n v="0.7"/>
    <n v="1250"/>
    <m/>
    <n v="60"/>
    <n v="8.6950000000000003"/>
    <n v="51.305"/>
    <n v="51.305"/>
    <n v="51.305"/>
    <n v="51.305"/>
    <n v="0"/>
    <n v="0"/>
    <n v="0"/>
    <n v="0"/>
    <n v="0"/>
    <n v="0"/>
    <n v="0"/>
    <n v="0"/>
    <n v="0"/>
    <n v="0"/>
    <n v="0"/>
    <n v="0"/>
    <n v="0"/>
    <n v="0"/>
    <n v="0"/>
    <n v="0"/>
    <n v="0"/>
    <n v="0"/>
    <n v="0"/>
    <n v="0"/>
    <n v="0"/>
    <n v="0"/>
    <n v="0"/>
    <m/>
    <n v="8.6950000000000003"/>
    <n v="0"/>
    <n v="0"/>
    <n v="0"/>
    <n v="0"/>
    <n v="0"/>
    <n v="0"/>
    <n v="8.6950000000000003"/>
    <n v="8.6950000000000003"/>
    <n v="0"/>
    <n v="0"/>
    <n v="0"/>
    <n v="0"/>
    <n v="0"/>
    <n v="8.6950000000000003"/>
    <n v="0"/>
    <n v="0"/>
    <n v="0"/>
    <n v="0"/>
    <n v="0"/>
    <n v="8.6950000000000003"/>
    <m/>
    <m/>
    <m/>
    <m/>
    <m/>
    <m/>
    <m/>
    <m/>
    <s v="1"/>
    <s v="1"/>
    <s v="1"/>
    <s v="1"/>
    <s v="1"/>
    <m/>
    <m/>
    <m/>
    <m/>
    <m/>
    <m/>
    <m/>
    <m/>
    <m/>
    <m/>
    <m/>
    <m/>
    <m/>
    <m/>
  </r>
  <r>
    <n v="744"/>
    <d v="2025-03-26T00:00:00"/>
    <s v="ZBTO"/>
    <s v="9518635916"/>
    <s v="3"/>
    <s v="9518635916-3"/>
    <s v="No Priority"/>
    <x v="0"/>
    <m/>
    <x v="2"/>
    <x v="3"/>
    <n v="1000"/>
    <m/>
    <x v="0"/>
    <m/>
    <s v="Exp BTF &lt;17MT"/>
    <s v="Jharkhand"/>
    <s v="TBSPL"/>
    <s v="GAMHARIA"/>
    <s v="Coil"/>
    <n v="940016"/>
    <x v="15"/>
    <n v="3522241"/>
    <s v="PPGL C Y550 D0C7 0.43BMT(0.47TPT)X1220"/>
    <m/>
    <m/>
    <m/>
    <m/>
    <m/>
    <s v="B18"/>
    <s v="Y550PL"/>
    <s v="D0C7"/>
    <n v="0.43"/>
    <n v="1220"/>
    <m/>
    <n v="168"/>
    <n v="96.16"/>
    <n v="71.84"/>
    <n v="7.2149999999999999"/>
    <n v="71.84"/>
    <n v="0.19"/>
    <n v="0"/>
    <n v="0"/>
    <n v="0"/>
    <n v="0"/>
    <n v="0"/>
    <n v="0"/>
    <n v="0"/>
    <n v="0"/>
    <n v="0"/>
    <n v="0"/>
    <n v="0"/>
    <n v="0"/>
    <n v="0"/>
    <n v="0"/>
    <n v="0"/>
    <n v="0"/>
    <n v="0"/>
    <n v="0"/>
    <n v="0"/>
    <n v="0"/>
    <n v="0"/>
    <n v="0"/>
    <n v="0"/>
    <m/>
    <n v="12.700000000000001"/>
    <n v="0"/>
    <n v="0"/>
    <n v="0"/>
    <n v="0"/>
    <n v="0"/>
    <n v="0"/>
    <n v="12.700000000000001"/>
    <n v="0"/>
    <n v="12.700000000000001"/>
    <n v="0"/>
    <n v="0"/>
    <n v="0"/>
    <n v="0"/>
    <n v="0"/>
    <n v="0"/>
    <n v="0"/>
    <n v="0"/>
    <n v="0"/>
    <n v="0"/>
    <n v="0"/>
    <m/>
    <m/>
    <m/>
    <m/>
    <m/>
    <m/>
    <m/>
    <m/>
    <s v="1"/>
    <s v="1"/>
    <s v="1"/>
    <s v="1"/>
    <s v="1"/>
    <m/>
    <m/>
    <m/>
    <m/>
    <m/>
    <m/>
    <m/>
    <m/>
    <m/>
    <m/>
    <m/>
    <m/>
    <m/>
    <m/>
  </r>
  <r>
    <n v="742"/>
    <d v="2025-04-03T00:00:00"/>
    <s v="ZBTF"/>
    <n v="9518665983"/>
    <n v="1"/>
    <s v="9518665983-1"/>
    <s v="Apr'25 additional"/>
    <x v="0"/>
    <m/>
    <x v="5"/>
    <x v="8"/>
    <n v="2000"/>
    <m/>
    <x v="1"/>
    <m/>
    <m/>
    <s v="Maharashtra"/>
    <s v="West"/>
    <s v="Khopoli"/>
    <s v="Coil"/>
    <n v="650783"/>
    <x v="82"/>
    <n v="3996848"/>
    <s v="CR COIL TATFHC TR10 0.345X1220"/>
    <m/>
    <m/>
    <m/>
    <m/>
    <m/>
    <s v="C09"/>
    <s v="TATFHC"/>
    <s v="TR10"/>
    <n v="0.34499999999999997"/>
    <n v="1220"/>
    <m/>
    <n v="56"/>
    <n v="0"/>
    <n v="56"/>
    <n v="56"/>
    <n v="56"/>
    <n v="56"/>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4-03T00:00:00"/>
    <s v="ZBTF"/>
    <n v="9518665983"/>
    <n v="2"/>
    <s v="9518665983-2"/>
    <s v="Apr'25 additional"/>
    <x v="0"/>
    <m/>
    <x v="5"/>
    <x v="8"/>
    <n v="2000"/>
    <m/>
    <x v="1"/>
    <m/>
    <m/>
    <s v="Maharashtra"/>
    <s v="West"/>
    <s v="Khopoli"/>
    <s v="Coil"/>
    <n v="650783"/>
    <x v="82"/>
    <n v="3996849"/>
    <s v="CR COIL TATFHC TR10 0.374X1220"/>
    <m/>
    <m/>
    <m/>
    <m/>
    <m/>
    <s v="C09"/>
    <s v="TATFHC"/>
    <s v="TR10"/>
    <n v="0.374"/>
    <n v="1220"/>
    <m/>
    <n v="196"/>
    <n v="0"/>
    <n v="196"/>
    <n v="196"/>
    <n v="196"/>
    <n v="196"/>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4-03T00:00:00"/>
    <s v="ZBTF"/>
    <n v="9518665983"/>
    <n v="3"/>
    <s v="9518665983-3"/>
    <s v="Apr'25 additional"/>
    <x v="0"/>
    <m/>
    <x v="5"/>
    <x v="8"/>
    <n v="2000"/>
    <n v="1000"/>
    <x v="1"/>
    <m/>
    <m/>
    <s v="Maharashtra"/>
    <s v="West"/>
    <s v="Khopoli"/>
    <s v="Coil"/>
    <n v="650783"/>
    <x v="82"/>
    <n v="3996850"/>
    <s v="CR COIL TATFHC TR10 0.445X1220"/>
    <m/>
    <m/>
    <m/>
    <m/>
    <m/>
    <s v="C09"/>
    <s v="TATFHC"/>
    <s v="TR10"/>
    <n v="0.44500000000000001"/>
    <n v="1220"/>
    <m/>
    <n v="168"/>
    <n v="0"/>
    <n v="168"/>
    <n v="168"/>
    <n v="168"/>
    <n v="16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06T00:00:00"/>
    <s v="ZBTO"/>
    <n v="9518497626"/>
    <n v="21"/>
    <s v="9518497626-21"/>
    <s v="No Priority"/>
    <x v="0"/>
    <m/>
    <x v="1"/>
    <x v="1"/>
    <s v="2000-BPRS"/>
    <m/>
    <x v="0"/>
    <m/>
    <m/>
    <m/>
    <s v="South"/>
    <s v="VISHAKHAPATNAM"/>
    <m/>
    <n v="946077"/>
    <x v="8"/>
    <n v="189866"/>
    <s v="CRSHEET TATXXD AU03 1.20X1250X2500"/>
    <s v=" "/>
    <s v=""/>
    <n v="0"/>
    <n v="0"/>
    <m/>
    <s v="C06"/>
    <s v="TATXXD"/>
    <s v="AU03"/>
    <n v="1.2"/>
    <n v="1250"/>
    <n v="2500"/>
    <n v="54"/>
    <n v="35.47"/>
    <n v="18.53"/>
    <n v="18.53"/>
    <n v="18.53"/>
    <n v="18.53"/>
    <n v="0"/>
    <n v="0"/>
    <n v="0"/>
    <n v="0"/>
    <n v="0"/>
    <n v="0"/>
    <n v="0"/>
    <n v="0"/>
    <n v="0"/>
    <n v="0"/>
    <n v="0"/>
    <n v="0"/>
    <n v="0"/>
    <n v="0"/>
    <n v="0"/>
    <n v="0"/>
    <n v="0"/>
    <n v="0"/>
    <n v="0"/>
    <n v="0"/>
    <n v="0"/>
    <n v="0"/>
    <n v="0"/>
    <m/>
    <m/>
    <m/>
    <m/>
    <m/>
    <m/>
    <m/>
    <m/>
    <m/>
    <m/>
    <m/>
    <m/>
    <m/>
    <m/>
    <m/>
    <m/>
    <m/>
    <m/>
    <m/>
    <m/>
    <m/>
    <m/>
    <m/>
    <m/>
    <m/>
    <m/>
    <m/>
    <m/>
    <m/>
    <m/>
    <m/>
    <m/>
    <m/>
    <m/>
    <m/>
    <m/>
    <m/>
    <m/>
    <m/>
    <m/>
    <m/>
    <m/>
    <m/>
    <m/>
    <m/>
    <m/>
    <m/>
    <m/>
    <m/>
  </r>
  <r>
    <n v="742"/>
    <d v="2025-02-06T00:00:00"/>
    <s v="ZBTO"/>
    <n v="9518497626"/>
    <n v="23"/>
    <s v="9518497626-23"/>
    <s v="No Priority"/>
    <x v="0"/>
    <m/>
    <x v="1"/>
    <x v="1"/>
    <s v="2000-BPRS"/>
    <m/>
    <x v="0"/>
    <m/>
    <m/>
    <m/>
    <s v="South"/>
    <s v="VISHAKHAPATNAM"/>
    <m/>
    <n v="946077"/>
    <x v="8"/>
    <n v="281630"/>
    <s v="CRSHEET C06 TATXXD AU03 1.6X1250X2500"/>
    <s v=" "/>
    <s v=""/>
    <n v="0"/>
    <n v="3.3069999999999999"/>
    <m/>
    <s v="C06"/>
    <s v="TATXXD"/>
    <s v="AU03"/>
    <n v="1.6"/>
    <n v="1250"/>
    <n v="2500"/>
    <n v="27"/>
    <n v="21.01"/>
    <n v="5.99"/>
    <n v="5.99"/>
    <n v="5.99"/>
    <n v="5.99"/>
    <n v="0"/>
    <n v="0"/>
    <n v="0"/>
    <n v="0"/>
    <n v="0"/>
    <n v="0"/>
    <n v="0"/>
    <n v="0"/>
    <n v="0"/>
    <n v="0"/>
    <n v="0"/>
    <n v="0"/>
    <n v="0"/>
    <n v="0"/>
    <n v="0"/>
    <n v="0"/>
    <n v="0"/>
    <n v="0"/>
    <n v="0"/>
    <n v="0"/>
    <n v="0"/>
    <n v="0"/>
    <n v="0"/>
    <m/>
    <m/>
    <m/>
    <m/>
    <m/>
    <m/>
    <m/>
    <m/>
    <m/>
    <m/>
    <m/>
    <m/>
    <m/>
    <m/>
    <m/>
    <m/>
    <m/>
    <m/>
    <m/>
    <m/>
    <m/>
    <m/>
    <m/>
    <m/>
    <m/>
    <m/>
    <m/>
    <m/>
    <m/>
    <m/>
    <m/>
    <m/>
    <m/>
    <m/>
    <m/>
    <m/>
    <m/>
    <m/>
    <m/>
    <m/>
    <m/>
    <m/>
    <m/>
    <m/>
    <m/>
    <m/>
    <m/>
    <m/>
    <m/>
  </r>
  <r>
    <n v="742"/>
    <d v="2025-04-03T00:00:00"/>
    <s v="ZBTO"/>
    <n v="9518666887"/>
    <n v="5"/>
    <s v="9518666887-5"/>
    <s v="May'25"/>
    <x v="0"/>
    <s v="Yes"/>
    <x v="1"/>
    <x v="2"/>
    <s v="2000-BPRS"/>
    <m/>
    <x v="1"/>
    <m/>
    <m/>
    <m/>
    <s v="North"/>
    <s v="VARANASI"/>
    <m/>
    <n v="931525"/>
    <x v="2"/>
    <n v="3444592"/>
    <s v="CRCA SHEET TATCRC SR16 0.450X1250X2030"/>
    <s v=" "/>
    <s v=""/>
    <n v="0"/>
    <n v="0"/>
    <m/>
    <s v="C06"/>
    <s v="TATCRC"/>
    <s v="SR16"/>
    <n v="0.45"/>
    <n v="1250"/>
    <n v="2030"/>
    <n v="27"/>
    <n v="0"/>
    <n v="27"/>
    <n v="27"/>
    <n v="-1.5199999999999996"/>
    <n v="27"/>
    <n v="0"/>
    <n v="0"/>
    <n v="0"/>
    <n v="28.52"/>
    <n v="0"/>
    <n v="0"/>
    <n v="0"/>
    <n v="0"/>
    <n v="0"/>
    <n v="0"/>
    <n v="0"/>
    <n v="0"/>
    <n v="0"/>
    <n v="0"/>
    <n v="0"/>
    <n v="0"/>
    <n v="0"/>
    <n v="0"/>
    <n v="0"/>
    <n v="28.52"/>
    <n v="28.52"/>
    <n v="0"/>
    <n v="28.52"/>
    <m/>
    <m/>
    <m/>
    <m/>
    <m/>
    <m/>
    <m/>
    <m/>
    <m/>
    <m/>
    <m/>
    <m/>
    <m/>
    <m/>
    <m/>
    <m/>
    <m/>
    <m/>
    <m/>
    <m/>
    <m/>
    <m/>
    <m/>
    <m/>
    <m/>
    <m/>
    <m/>
    <m/>
    <m/>
    <m/>
    <m/>
    <m/>
    <m/>
    <m/>
    <m/>
    <m/>
    <m/>
    <m/>
    <m/>
    <m/>
    <m/>
    <m/>
    <m/>
    <m/>
    <m/>
    <m/>
    <m/>
    <m/>
    <m/>
  </r>
  <r>
    <n v="742"/>
    <d v="2025-02-06T00:00:00"/>
    <s v="ZBTO"/>
    <n v="9518497626"/>
    <n v="16"/>
    <s v="9518497626-16"/>
    <s v="No Priority"/>
    <x v="0"/>
    <s v="Yes"/>
    <x v="1"/>
    <x v="1"/>
    <s v="2000-BPRS"/>
    <m/>
    <x v="0"/>
    <m/>
    <m/>
    <m/>
    <s v="South"/>
    <s v="VISHAKHAPATNAM"/>
    <m/>
    <n v="946077"/>
    <x v="8"/>
    <n v="353957"/>
    <s v="CRCA SHEET TATXXD AU03 0.80X1250X2500"/>
    <s v=" "/>
    <s v=""/>
    <n v="0"/>
    <n v="0"/>
    <m/>
    <s v="C06"/>
    <s v="TATXXD"/>
    <s v="AU03"/>
    <n v="0.8"/>
    <n v="1250"/>
    <n v="2500"/>
    <n v="27"/>
    <n v="0"/>
    <n v="27"/>
    <n v="3.54"/>
    <n v="26.704999999999998"/>
    <n v="4.62"/>
    <n v="0"/>
    <n v="0"/>
    <n v="0"/>
    <n v="0"/>
    <n v="0"/>
    <n v="0"/>
    <n v="0"/>
    <n v="0"/>
    <n v="0.29499999999999998"/>
    <n v="0"/>
    <n v="0"/>
    <n v="0"/>
    <n v="0"/>
    <n v="0"/>
    <n v="0"/>
    <n v="0"/>
    <n v="0"/>
    <n v="0"/>
    <n v="0"/>
    <n v="0.29499999999999998"/>
    <n v="0.29499999999999998"/>
    <n v="0"/>
    <n v="0.29499999999999998"/>
    <m/>
    <m/>
    <m/>
    <m/>
    <m/>
    <m/>
    <m/>
    <m/>
    <m/>
    <m/>
    <m/>
    <m/>
    <m/>
    <m/>
    <m/>
    <m/>
    <m/>
    <m/>
    <m/>
    <m/>
    <m/>
    <m/>
    <m/>
    <m/>
    <m/>
    <m/>
    <m/>
    <m/>
    <m/>
    <m/>
    <m/>
    <m/>
    <m/>
    <m/>
    <m/>
    <m/>
    <m/>
    <m/>
    <m/>
    <m/>
    <m/>
    <m/>
    <m/>
    <m/>
    <m/>
    <m/>
    <m/>
    <m/>
    <m/>
  </r>
  <r>
    <n v="743"/>
    <d v="2025-03-21T00:00:00"/>
    <s v="ZBTO"/>
    <n v="9518620960"/>
    <n v="4"/>
    <s v="9518620960-4"/>
    <s v="No Priority"/>
    <x v="0"/>
    <m/>
    <x v="3"/>
    <x v="0"/>
    <s v="2000-BPRS"/>
    <m/>
    <x v="0"/>
    <m/>
    <m/>
    <m/>
    <s v="East"/>
    <s v="TATANAGAR"/>
    <m/>
    <n v="165053"/>
    <x v="5"/>
    <n v="2439968"/>
    <s v="GP COIL SOFT TATXGP GLR1 0.500X1220"/>
    <s v="Z80"/>
    <s v=""/>
    <n v="4"/>
    <n v="12"/>
    <m/>
    <s v="C02"/>
    <s v="TATXGP"/>
    <s v="GLR1"/>
    <n v="0.5"/>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4-03T00:00:00"/>
    <s v="ZBTO"/>
    <n v="9518667214"/>
    <n v="5"/>
    <s v="9518667214-5"/>
    <s v="No Priority"/>
    <x v="0"/>
    <m/>
    <x v="1"/>
    <x v="1"/>
    <s v="2000-BPRS"/>
    <m/>
    <x v="0"/>
    <m/>
    <m/>
    <m/>
    <s v="South"/>
    <s v="YESHWANTHPURA"/>
    <m/>
    <n v="801611"/>
    <x v="56"/>
    <n v="1804854"/>
    <s v="CRCA COIL-TATXXD-AU03-1.2X1250"/>
    <s v=" "/>
    <s v=""/>
    <n v="15"/>
    <n v="28"/>
    <m/>
    <s v="C01"/>
    <s v="TATXXD"/>
    <s v="AU03"/>
    <n v="1.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03T00:00:00"/>
    <s v="ZBTO"/>
    <n v="9518667214"/>
    <n v="7"/>
    <s v="9518667214-7"/>
    <s v="No Priority"/>
    <x v="0"/>
    <m/>
    <x v="1"/>
    <x v="1"/>
    <s v="2000-BPRS"/>
    <m/>
    <x v="0"/>
    <m/>
    <m/>
    <m/>
    <s v="South"/>
    <s v="YESHWANTHPURA"/>
    <m/>
    <n v="801611"/>
    <x v="56"/>
    <n v="1884117"/>
    <s v="CRCA COIL-TATXXD-AU03-2X1250"/>
    <s v=" "/>
    <s v=""/>
    <n v="15"/>
    <n v="28"/>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4"/>
    <d v="2025-04-19T00:00:00"/>
    <s v="ZBTO"/>
    <n v="9518704836"/>
    <n v="1"/>
    <s v="9518704836-1"/>
    <s v="No Priority"/>
    <x v="0"/>
    <s v="Yes"/>
    <x v="2"/>
    <x v="3"/>
    <s v="1000-IPPE"/>
    <m/>
    <x v="0"/>
    <m/>
    <m/>
    <m/>
    <s v="TBSPL"/>
    <s v=" "/>
    <m/>
    <n v="941597"/>
    <x v="6"/>
    <n v="1633706"/>
    <s v="PPGL C Y550 HPL3 0.42BMT(0.50TPT)X1220"/>
    <s v="AZ150"/>
    <s v="RAL 2003 TSL 853"/>
    <n v="3"/>
    <n v="5"/>
    <m/>
    <s v="B18"/>
    <s v="Y550PL"/>
    <s v="HPL3"/>
    <n v="0.42"/>
    <n v="1220"/>
    <n v="0"/>
    <n v="28"/>
    <n v="0"/>
    <n v="28"/>
    <n v="28"/>
    <n v="26.114999999999998"/>
    <n v="3.4849999999999999"/>
    <n v="0"/>
    <n v="0"/>
    <n v="0"/>
    <n v="0"/>
    <n v="0"/>
    <n v="0"/>
    <n v="0"/>
    <n v="0"/>
    <n v="0"/>
    <n v="0"/>
    <n v="0"/>
    <n v="0"/>
    <n v="0"/>
    <n v="0"/>
    <n v="0"/>
    <n v="1.885"/>
    <n v="0"/>
    <n v="0"/>
    <n v="0"/>
    <n v="1.885"/>
    <n v="1.885"/>
    <n v="0"/>
    <n v="1.885"/>
    <m/>
    <m/>
    <m/>
    <m/>
    <m/>
    <m/>
    <m/>
    <m/>
    <m/>
    <m/>
    <m/>
    <m/>
    <m/>
    <m/>
    <m/>
    <m/>
    <m/>
    <m/>
    <m/>
    <m/>
    <m/>
    <m/>
    <m/>
    <m/>
    <m/>
    <m/>
    <m/>
    <m/>
    <m/>
    <m/>
    <m/>
    <m/>
    <m/>
    <m/>
    <m/>
    <m/>
    <m/>
    <m/>
    <m/>
    <m/>
    <m/>
    <m/>
    <m/>
    <m/>
    <m/>
    <m/>
    <m/>
    <m/>
    <m/>
  </r>
  <r>
    <n v="743"/>
    <d v="2025-04-17T00:00:00"/>
    <s v="ZBTT"/>
    <n v="9518699932"/>
    <n v="1"/>
    <s v="9518699932-1"/>
    <s v="No Priority"/>
    <x v="0"/>
    <m/>
    <x v="4"/>
    <x v="10"/>
    <s v="1000-IPPE"/>
    <m/>
    <x v="0"/>
    <m/>
    <s v="No allocation for IPP"/>
    <m/>
    <s v="West"/>
    <s v="TAMBATI"/>
    <m/>
    <n v="942186"/>
    <x v="83"/>
    <n v="3946140"/>
    <s v="GL COIL SKINPASS Y250GL SGL1 0.330X1250"/>
    <s v="aZ70"/>
    <s v=""/>
    <n v="8"/>
    <n v="12"/>
    <m/>
    <s v="B06"/>
    <s v="Y250GL"/>
    <s v="SGL1"/>
    <n v="0.33"/>
    <n v="1250"/>
    <n v="0"/>
    <n v="116"/>
    <n v="0"/>
    <n v="116"/>
    <n v="116"/>
    <n v="116"/>
    <n v="0"/>
    <n v="0"/>
    <n v="0"/>
    <n v="0"/>
    <n v="0"/>
    <n v="0"/>
    <n v="0"/>
    <n v="0"/>
    <n v="0"/>
    <n v="0"/>
    <n v="0"/>
    <n v="0"/>
    <n v="0"/>
    <n v="0"/>
    <n v="0"/>
    <n v="0"/>
    <n v="0"/>
    <n v="0"/>
    <n v="0"/>
    <n v="0"/>
    <n v="0"/>
    <n v="0"/>
    <n v="0"/>
    <n v="0"/>
    <m/>
    <m/>
    <m/>
    <m/>
    <m/>
    <m/>
    <m/>
    <m/>
    <m/>
    <m/>
    <m/>
    <m/>
    <m/>
    <m/>
    <m/>
    <m/>
    <m/>
    <m/>
    <m/>
    <m/>
    <m/>
    <m/>
    <m/>
    <m/>
    <m/>
    <m/>
    <m/>
    <m/>
    <m/>
    <m/>
    <m/>
    <m/>
    <m/>
    <m/>
    <m/>
    <m/>
    <m/>
    <m/>
    <m/>
    <m/>
    <m/>
    <m/>
    <m/>
    <m/>
    <m/>
    <m/>
    <m/>
    <m/>
    <m/>
  </r>
  <r>
    <n v="742"/>
    <d v="2025-03-14T00:00:00"/>
    <s v="ZBTF"/>
    <n v="4000500995"/>
    <n v="1"/>
    <s v="4000500995-1"/>
    <s v="May'25"/>
    <x v="0"/>
    <m/>
    <x v="0"/>
    <x v="0"/>
    <s v="2000-BPRS"/>
    <m/>
    <x v="1"/>
    <m/>
    <m/>
    <m/>
    <s v="South"/>
    <s v="YESHWANTHPURA"/>
    <m/>
    <n v="600103"/>
    <x v="21"/>
    <n v="3226987"/>
    <s v="HR COILS-PO THR099 HR99 1.90X1250"/>
    <s v=" "/>
    <s v=""/>
    <n v="10"/>
    <n v="27"/>
    <m/>
    <n v="768"/>
    <s v="THR099"/>
    <s v="HR99"/>
    <n v="1.9"/>
    <n v="1250"/>
    <n v="0"/>
    <n v="250"/>
    <n v="0"/>
    <n v="250"/>
    <n v="250"/>
    <n v="150"/>
    <n v="230.27"/>
    <n v="0"/>
    <n v="0"/>
    <n v="0"/>
    <n v="0"/>
    <n v="0"/>
    <n v="0"/>
    <n v="0"/>
    <n v="0"/>
    <n v="0"/>
    <n v="0"/>
    <n v="0"/>
    <n v="0"/>
    <n v="0"/>
    <n v="0"/>
    <n v="0"/>
    <n v="0"/>
    <n v="0"/>
    <n v="0"/>
    <n v="0"/>
    <n v="0"/>
    <n v="0"/>
    <n v="100"/>
    <n v="100"/>
    <m/>
    <m/>
    <m/>
    <m/>
    <m/>
    <m/>
    <m/>
    <m/>
    <m/>
    <m/>
    <m/>
    <m/>
    <m/>
    <m/>
    <m/>
    <m/>
    <m/>
    <m/>
    <m/>
    <m/>
    <m/>
    <m/>
    <m/>
    <m/>
    <m/>
    <m/>
    <m/>
    <m/>
    <m/>
    <m/>
    <m/>
    <m/>
    <m/>
    <m/>
    <m/>
    <m/>
    <m/>
    <m/>
    <m/>
    <m/>
    <m/>
    <m/>
    <m/>
    <m/>
    <m/>
    <m/>
    <m/>
    <m/>
    <m/>
  </r>
  <r>
    <n v="742"/>
    <d v="2025-03-14T00:00:00"/>
    <s v="ZBTF"/>
    <n v="4000500995"/>
    <n v="2"/>
    <s v="4000500995-2"/>
    <s v="May'25"/>
    <x v="0"/>
    <m/>
    <x v="0"/>
    <x v="0"/>
    <s v="2000-BPRS"/>
    <m/>
    <x v="1"/>
    <m/>
    <m/>
    <m/>
    <s v="South"/>
    <s v="YESHWANTHPURA"/>
    <m/>
    <n v="600103"/>
    <x v="21"/>
    <n v="1210083"/>
    <s v="HR COILS-PO IS 1079 HR2 2X1250"/>
    <s v=" "/>
    <s v=""/>
    <n v="10"/>
    <n v="27"/>
    <m/>
    <n v="768"/>
    <s v="THR099"/>
    <s v="HR99"/>
    <n v="2"/>
    <n v="1250"/>
    <n v="0"/>
    <n v="200"/>
    <n v="0"/>
    <n v="200"/>
    <n v="200"/>
    <n v="200"/>
    <n v="200"/>
    <n v="0"/>
    <n v="0"/>
    <n v="0"/>
    <n v="0"/>
    <n v="0"/>
    <n v="0"/>
    <n v="0"/>
    <n v="0"/>
    <n v="0"/>
    <n v="0"/>
    <n v="0"/>
    <n v="0"/>
    <n v="0"/>
    <n v="0"/>
    <n v="0"/>
    <n v="0"/>
    <n v="0"/>
    <n v="0"/>
    <n v="0"/>
    <n v="0"/>
    <n v="0"/>
    <n v="0"/>
    <n v="0"/>
    <m/>
    <m/>
    <m/>
    <m/>
    <m/>
    <m/>
    <m/>
    <m/>
    <m/>
    <m/>
    <m/>
    <m/>
    <m/>
    <m/>
    <m/>
    <m/>
    <m/>
    <m/>
    <m/>
    <m/>
    <m/>
    <m/>
    <m/>
    <m/>
    <m/>
    <m/>
    <m/>
    <m/>
    <m/>
    <m/>
    <m/>
    <m/>
    <m/>
    <m/>
    <m/>
    <m/>
    <m/>
    <m/>
    <m/>
    <m/>
    <m/>
    <m/>
    <m/>
    <m/>
    <m/>
    <m/>
    <m/>
    <m/>
    <m/>
  </r>
  <r>
    <n v="742"/>
    <d v="2025-03-14T00:00:00"/>
    <s v="ZBTF"/>
    <n v="9518600669"/>
    <n v="1"/>
    <s v="9518600669-1"/>
    <s v="May'25"/>
    <x v="0"/>
    <s v="Yes"/>
    <x v="1"/>
    <x v="6"/>
    <s v="2000-BPRS"/>
    <m/>
    <x v="1"/>
    <m/>
    <m/>
    <m/>
    <s v="South"/>
    <s v="YESHWANTHPURA"/>
    <m/>
    <n v="650742"/>
    <x v="26"/>
    <n v="3820031"/>
    <s v="CR COIL TATXHS BR45 1.600X1300"/>
    <s v=" "/>
    <s v=""/>
    <n v="10"/>
    <n v="27"/>
    <m/>
    <s v="C01"/>
    <s v="TATXHS"/>
    <s v="BR45"/>
    <n v="1.6"/>
    <n v="1300"/>
    <n v="0"/>
    <n v="180"/>
    <n v="41.24"/>
    <n v="138.76"/>
    <n v="138.76"/>
    <n v="138.76"/>
    <n v="138.76"/>
    <n v="0"/>
    <n v="0"/>
    <n v="0"/>
    <n v="0"/>
    <n v="0"/>
    <n v="0"/>
    <n v="0"/>
    <n v="0"/>
    <n v="0"/>
    <n v="0"/>
    <n v="0"/>
    <n v="0"/>
    <n v="0"/>
    <n v="0"/>
    <n v="0"/>
    <n v="0"/>
    <n v="0"/>
    <n v="0"/>
    <n v="0"/>
    <n v="0"/>
    <n v="0"/>
    <n v="0"/>
    <n v="0"/>
    <m/>
    <m/>
    <m/>
    <m/>
    <m/>
    <m/>
    <m/>
    <m/>
    <m/>
    <m/>
    <m/>
    <m/>
    <m/>
    <m/>
    <m/>
    <m/>
    <m/>
    <m/>
    <m/>
    <m/>
    <m/>
    <m/>
    <m/>
    <m/>
    <m/>
    <m/>
    <m/>
    <m/>
    <m/>
    <m/>
    <m/>
    <m/>
    <m/>
    <m/>
    <m/>
    <m/>
    <m/>
    <m/>
    <m/>
    <m/>
    <m/>
    <m/>
    <m/>
    <m/>
    <m/>
    <m/>
    <m/>
    <m/>
    <m/>
  </r>
  <r>
    <n v="742"/>
    <d v="2025-03-14T00:00:00"/>
    <s v="ZBTF"/>
    <n v="9518600669"/>
    <n v="2"/>
    <s v="9518600669-2"/>
    <s v="May'25"/>
    <x v="0"/>
    <s v="Yes"/>
    <x v="1"/>
    <x v="6"/>
    <s v="2000-BPRS"/>
    <m/>
    <x v="1"/>
    <m/>
    <m/>
    <m/>
    <s v="South"/>
    <s v="YESHWANTHPURA"/>
    <m/>
    <n v="650742"/>
    <x v="26"/>
    <n v="3820032"/>
    <s v="CR COIL TATXHS BR45 2X1300"/>
    <s v=" "/>
    <s v=""/>
    <n v="10"/>
    <n v="27"/>
    <m/>
    <s v="C01"/>
    <s v="TATXHS"/>
    <s v="BR45"/>
    <n v="2"/>
    <n v="1300"/>
    <n v="0"/>
    <n v="300"/>
    <n v="0"/>
    <n v="300"/>
    <n v="300"/>
    <n v="300"/>
    <n v="300"/>
    <n v="0"/>
    <n v="0"/>
    <n v="0"/>
    <n v="0"/>
    <n v="0"/>
    <n v="0"/>
    <n v="0"/>
    <n v="0"/>
    <n v="0"/>
    <n v="0"/>
    <n v="0"/>
    <n v="0"/>
    <n v="0"/>
    <n v="0"/>
    <n v="0"/>
    <n v="0"/>
    <n v="0"/>
    <n v="0"/>
    <n v="0"/>
    <n v="0"/>
    <n v="0"/>
    <n v="0"/>
    <n v="0"/>
    <m/>
    <m/>
    <m/>
    <m/>
    <m/>
    <m/>
    <m/>
    <m/>
    <m/>
    <m/>
    <m/>
    <m/>
    <m/>
    <m/>
    <m/>
    <m/>
    <m/>
    <m/>
    <m/>
    <m/>
    <m/>
    <m/>
    <m/>
    <m/>
    <m/>
    <m/>
    <m/>
    <m/>
    <m/>
    <m/>
    <m/>
    <m/>
    <m/>
    <m/>
    <m/>
    <m/>
    <m/>
    <m/>
    <m/>
    <m/>
    <m/>
    <m/>
    <m/>
    <m/>
    <m/>
    <m/>
    <m/>
    <m/>
    <m/>
  </r>
  <r>
    <n v="742"/>
    <d v="2025-03-14T00:00:00"/>
    <s v="ZBTF"/>
    <n v="9518600669"/>
    <n v="5"/>
    <s v="9518600669-5"/>
    <s v="May'25"/>
    <x v="0"/>
    <s v="Yes"/>
    <x v="1"/>
    <x v="6"/>
    <s v="2000-BPRS"/>
    <m/>
    <x v="1"/>
    <m/>
    <m/>
    <m/>
    <s v="South"/>
    <s v="YESHWANTHPURA"/>
    <m/>
    <n v="650742"/>
    <x v="26"/>
    <n v="2150938"/>
    <s v="CRCA COIL SA1008 TU98 1X1250"/>
    <s v=" "/>
    <s v=""/>
    <n v="10"/>
    <n v="27"/>
    <m/>
    <s v="C01"/>
    <s v="SA1008"/>
    <s v="TU98"/>
    <n v="1"/>
    <n v="1250"/>
    <n v="0"/>
    <n v="116"/>
    <n v="0"/>
    <n v="116"/>
    <n v="72.540000000000006"/>
    <n v="60.415000000000006"/>
    <n v="47.774999999999999"/>
    <n v="0"/>
    <n v="0"/>
    <n v="0"/>
    <n v="0"/>
    <n v="0"/>
    <n v="0"/>
    <n v="0"/>
    <n v="0"/>
    <n v="0"/>
    <n v="0"/>
    <n v="0"/>
    <n v="0"/>
    <n v="27.61"/>
    <n v="26.8"/>
    <n v="0"/>
    <n v="1.175"/>
    <n v="0"/>
    <n v="0"/>
    <n v="0"/>
    <n v="55.584999999999994"/>
    <n v="55.584999999999994"/>
    <n v="0"/>
    <n v="55.584999999999994"/>
    <m/>
    <m/>
    <m/>
    <m/>
    <m/>
    <m/>
    <m/>
    <m/>
    <m/>
    <m/>
    <m/>
    <m/>
    <m/>
    <m/>
    <m/>
    <m/>
    <m/>
    <m/>
    <m/>
    <m/>
    <m/>
    <m/>
    <m/>
    <m/>
    <m/>
    <m/>
    <m/>
    <m/>
    <m/>
    <m/>
    <m/>
    <m/>
    <m/>
    <m/>
    <m/>
    <m/>
    <m/>
    <m/>
    <m/>
    <m/>
    <m/>
    <m/>
    <m/>
    <m/>
    <m/>
    <m/>
    <m/>
    <m/>
    <m/>
  </r>
  <r>
    <n v="742"/>
    <d v="2025-03-14T00:00:00"/>
    <s v="ZBTF"/>
    <n v="9518600669"/>
    <n v="6"/>
    <s v="9518600669-6"/>
    <s v="May'25"/>
    <x v="0"/>
    <s v="Yes"/>
    <x v="1"/>
    <x v="6"/>
    <s v="2000-BPRS"/>
    <m/>
    <x v="1"/>
    <m/>
    <m/>
    <m/>
    <s v="South"/>
    <s v="YESHWANTHPURA"/>
    <m/>
    <n v="650742"/>
    <x v="26"/>
    <n v="2150940"/>
    <s v="CRCA COIL SA1008 TU98 1.200X1250"/>
    <s v=" "/>
    <s v=""/>
    <n v="10"/>
    <n v="27"/>
    <m/>
    <s v="C01"/>
    <s v="SA1008"/>
    <s v="TU98"/>
    <n v="1.2"/>
    <n v="1250"/>
    <n v="0"/>
    <n v="116"/>
    <n v="0"/>
    <n v="116"/>
    <n v="116"/>
    <n v="34.42"/>
    <n v="89.15"/>
    <n v="0"/>
    <n v="0"/>
    <n v="0"/>
    <n v="0"/>
    <n v="0"/>
    <n v="0"/>
    <n v="0"/>
    <n v="0"/>
    <n v="0"/>
    <n v="0"/>
    <n v="0"/>
    <n v="0"/>
    <n v="0"/>
    <n v="81.58"/>
    <n v="0"/>
    <n v="0"/>
    <n v="0"/>
    <n v="0"/>
    <n v="0"/>
    <n v="81.58"/>
    <n v="81.58"/>
    <n v="0"/>
    <n v="81.58"/>
    <m/>
    <m/>
    <m/>
    <m/>
    <m/>
    <m/>
    <m/>
    <m/>
    <m/>
    <m/>
    <m/>
    <m/>
    <m/>
    <m/>
    <m/>
    <m/>
    <m/>
    <m/>
    <m/>
    <m/>
    <m/>
    <m/>
    <m/>
    <m/>
    <m/>
    <m/>
    <m/>
    <m/>
    <m/>
    <m/>
    <m/>
    <m/>
    <m/>
    <m/>
    <m/>
    <m/>
    <m/>
    <m/>
    <m/>
    <m/>
    <m/>
    <m/>
    <m/>
    <m/>
    <m/>
    <m/>
    <m/>
    <m/>
    <m/>
  </r>
  <r>
    <n v="742"/>
    <d v="2025-03-14T00:00:00"/>
    <s v="ZBTF"/>
    <n v="9518600669"/>
    <n v="7"/>
    <s v="9518600669-7"/>
    <s v="May'25"/>
    <x v="0"/>
    <s v="Yes"/>
    <x v="1"/>
    <x v="6"/>
    <s v="2000-BPRS"/>
    <m/>
    <x v="1"/>
    <m/>
    <m/>
    <m/>
    <s v="South"/>
    <s v="YESHWANTHPURA"/>
    <m/>
    <n v="650742"/>
    <x v="26"/>
    <n v="2397430"/>
    <s v="CRCA COIL SA1008 TU98 1.400X1250"/>
    <s v=" "/>
    <s v=""/>
    <n v="10"/>
    <n v="27"/>
    <m/>
    <s v="C01"/>
    <s v="SA1008"/>
    <s v="TU98"/>
    <n v="1.4"/>
    <n v="1250"/>
    <n v="0"/>
    <n v="29"/>
    <n v="0"/>
    <n v="29"/>
    <n v="29"/>
    <n v="1.4800000000000004"/>
    <n v="29"/>
    <n v="0"/>
    <n v="0"/>
    <n v="0"/>
    <n v="0"/>
    <n v="0"/>
    <n v="0"/>
    <n v="0"/>
    <n v="0"/>
    <n v="0"/>
    <n v="0"/>
    <n v="0"/>
    <n v="0"/>
    <n v="0"/>
    <n v="27.52"/>
    <n v="0"/>
    <n v="0"/>
    <n v="0"/>
    <n v="0"/>
    <n v="0"/>
    <n v="27.52"/>
    <n v="27.52"/>
    <n v="0"/>
    <n v="27.52"/>
    <m/>
    <m/>
    <m/>
    <m/>
    <m/>
    <m/>
    <m/>
    <m/>
    <m/>
    <m/>
    <m/>
    <m/>
    <m/>
    <m/>
    <m/>
    <m/>
    <m/>
    <m/>
    <m/>
    <m/>
    <m/>
    <m/>
    <m/>
    <m/>
    <m/>
    <m/>
    <m/>
    <m/>
    <m/>
    <m/>
    <m/>
    <m/>
    <m/>
    <m/>
    <m/>
    <m/>
    <m/>
    <m/>
    <m/>
    <m/>
    <m/>
    <m/>
    <m/>
    <m/>
    <m/>
    <m/>
    <m/>
    <m/>
    <m/>
  </r>
  <r>
    <n v="742"/>
    <d v="2025-03-14T00:00:00"/>
    <s v="ZBTF"/>
    <n v="9518600669"/>
    <n v="8"/>
    <s v="9518600669-8"/>
    <s v="May'25"/>
    <x v="0"/>
    <s v="Yes"/>
    <x v="1"/>
    <x v="6"/>
    <s v="2000-BPRS"/>
    <m/>
    <x v="1"/>
    <m/>
    <m/>
    <m/>
    <s v="South"/>
    <s v="YESHWANTHPURA"/>
    <m/>
    <n v="650742"/>
    <x v="26"/>
    <n v="2150942"/>
    <s v="CRCA COIL SA1008 TU98 1.600X1250"/>
    <s v=" "/>
    <s v=""/>
    <n v="10"/>
    <n v="27"/>
    <m/>
    <s v="C01"/>
    <s v="SA1008"/>
    <s v="TU98"/>
    <n v="1.6"/>
    <n v="1250"/>
    <n v="0"/>
    <n v="290"/>
    <n v="106.24"/>
    <n v="183.76"/>
    <n v="154.12"/>
    <n v="45.31"/>
    <n v="130.58000000000001"/>
    <n v="0"/>
    <n v="0"/>
    <n v="0"/>
    <n v="0"/>
    <n v="0"/>
    <n v="0"/>
    <n v="0"/>
    <n v="0"/>
    <n v="0"/>
    <n v="0"/>
    <n v="0"/>
    <n v="0"/>
    <n v="0"/>
    <n v="137.6"/>
    <n v="0"/>
    <n v="0.85"/>
    <n v="0"/>
    <n v="0"/>
    <n v="0"/>
    <n v="138.44999999999999"/>
    <n v="138.44999999999999"/>
    <n v="0"/>
    <n v="138.44999999999999"/>
    <m/>
    <m/>
    <m/>
    <m/>
    <m/>
    <m/>
    <m/>
    <m/>
    <m/>
    <m/>
    <m/>
    <m/>
    <m/>
    <m/>
    <m/>
    <m/>
    <m/>
    <m/>
    <m/>
    <m/>
    <m/>
    <m/>
    <m/>
    <m/>
    <m/>
    <m/>
    <m/>
    <m/>
    <m/>
    <m/>
    <m/>
    <m/>
    <m/>
    <m/>
    <m/>
    <m/>
    <m/>
    <m/>
    <m/>
    <m/>
    <m/>
    <m/>
    <m/>
    <m/>
    <m/>
    <m/>
    <m/>
    <m/>
    <m/>
  </r>
  <r>
    <n v="742"/>
    <d v="2025-03-14T00:00:00"/>
    <s v="ZBTF"/>
    <n v="9518600669"/>
    <n v="9"/>
    <s v="9518600669-9"/>
    <s v="May'25"/>
    <x v="0"/>
    <s v="Yes"/>
    <x v="1"/>
    <x v="6"/>
    <s v="2000-BPRS"/>
    <m/>
    <x v="1"/>
    <m/>
    <m/>
    <m/>
    <s v="South"/>
    <s v="YESHWANTHPURA"/>
    <m/>
    <n v="650742"/>
    <x v="26"/>
    <n v="2150943"/>
    <s v="CRCA COIL SA1008 TU98 1.900X1250"/>
    <s v=" "/>
    <s v=""/>
    <n v="10"/>
    <n v="27"/>
    <m/>
    <s v="C01"/>
    <s v="SA1008"/>
    <s v="TU98"/>
    <n v="1.9"/>
    <n v="1250"/>
    <n v="0"/>
    <n v="174"/>
    <n v="26.28"/>
    <n v="147.72"/>
    <n v="92.314999999999998"/>
    <n v="118.47"/>
    <n v="121.29"/>
    <n v="0"/>
    <n v="0"/>
    <n v="0"/>
    <n v="0"/>
    <n v="0"/>
    <n v="0"/>
    <n v="0"/>
    <n v="0"/>
    <n v="0"/>
    <n v="0"/>
    <n v="0"/>
    <n v="0"/>
    <n v="0"/>
    <n v="29.25"/>
    <n v="0"/>
    <n v="0"/>
    <n v="0"/>
    <n v="0"/>
    <n v="0"/>
    <n v="29.25"/>
    <n v="29.25"/>
    <n v="0"/>
    <n v="29.25"/>
    <m/>
    <m/>
    <m/>
    <m/>
    <m/>
    <m/>
    <m/>
    <m/>
    <m/>
    <m/>
    <m/>
    <m/>
    <m/>
    <m/>
    <m/>
    <m/>
    <m/>
    <m/>
    <m/>
    <m/>
    <m/>
    <m/>
    <m/>
    <m/>
    <m/>
    <m/>
    <m/>
    <m/>
    <m/>
    <m/>
    <m/>
    <m/>
    <m/>
    <m/>
    <m/>
    <m/>
    <m/>
    <m/>
    <m/>
    <m/>
    <m/>
    <m/>
    <m/>
    <m/>
    <m/>
    <m/>
    <m/>
    <m/>
    <m/>
  </r>
  <r>
    <n v="742"/>
    <d v="2025-03-14T00:00:00"/>
    <s v="ZBTF"/>
    <n v="9518600669"/>
    <n v="10"/>
    <s v="9518600669-10"/>
    <s v="May'25"/>
    <x v="0"/>
    <s v="Yes"/>
    <x v="1"/>
    <x v="6"/>
    <s v="2000-BPRS"/>
    <m/>
    <x v="1"/>
    <m/>
    <m/>
    <m/>
    <s v="South"/>
    <s v="YESHWANTHPURA"/>
    <m/>
    <n v="650742"/>
    <x v="26"/>
    <n v="2279476"/>
    <s v="CRCA COIL TSBHSQ TU99 1.400X1270"/>
    <s v=" "/>
    <s v=""/>
    <n v="10"/>
    <n v="27"/>
    <m/>
    <s v="C01"/>
    <s v="TSBHSQ"/>
    <s v="TU99"/>
    <n v="1.4"/>
    <n v="1270"/>
    <n v="0"/>
    <n v="58"/>
    <n v="0"/>
    <n v="58"/>
    <n v="58"/>
    <n v="3.2299999999999969"/>
    <n v="58"/>
    <n v="0"/>
    <n v="0"/>
    <n v="0"/>
    <n v="0"/>
    <n v="0"/>
    <n v="0"/>
    <n v="0"/>
    <n v="0"/>
    <n v="0"/>
    <n v="0"/>
    <n v="0"/>
    <n v="0"/>
    <n v="0"/>
    <n v="41.32"/>
    <n v="0"/>
    <n v="0"/>
    <n v="0"/>
    <n v="0"/>
    <n v="13.450000000000001"/>
    <n v="54.77"/>
    <n v="54.77"/>
    <n v="0"/>
    <n v="54.77"/>
    <m/>
    <m/>
    <m/>
    <m/>
    <m/>
    <m/>
    <m/>
    <m/>
    <m/>
    <m/>
    <m/>
    <m/>
    <m/>
    <m/>
    <m/>
    <m/>
    <m/>
    <m/>
    <m/>
    <m/>
    <m/>
    <m/>
    <m/>
    <m/>
    <m/>
    <m/>
    <m/>
    <m/>
    <m/>
    <m/>
    <m/>
    <m/>
    <m/>
    <m/>
    <m/>
    <m/>
    <m/>
    <m/>
    <m/>
    <m/>
    <m/>
    <m/>
    <m/>
    <m/>
    <m/>
    <m/>
    <m/>
    <m/>
    <m/>
  </r>
  <r>
    <n v="742"/>
    <d v="2025-03-14T00:00:00"/>
    <s v="ZBTF"/>
    <n v="9518600669"/>
    <n v="11"/>
    <s v="9518600669-11"/>
    <s v="May'25"/>
    <x v="0"/>
    <s v="Yes"/>
    <x v="1"/>
    <x v="6"/>
    <s v="2000-BPRS"/>
    <m/>
    <x v="1"/>
    <m/>
    <m/>
    <m/>
    <s v="South"/>
    <s v="YESHWANTHPURA"/>
    <m/>
    <n v="650742"/>
    <x v="26"/>
    <n v="2279503"/>
    <s v="CRCA COIL TSBHSQ TU99 1.600X1270"/>
    <s v=" "/>
    <s v=""/>
    <n v="10"/>
    <n v="27"/>
    <m/>
    <s v="C01"/>
    <s v="TSBHSQ"/>
    <s v="TU99"/>
    <n v="1.6"/>
    <n v="1270"/>
    <n v="0"/>
    <n v="58"/>
    <n v="0"/>
    <n v="58"/>
    <n v="58"/>
    <n v="42.54"/>
    <n v="19.53"/>
    <n v="0"/>
    <n v="0"/>
    <n v="0"/>
    <n v="0"/>
    <n v="0"/>
    <n v="0"/>
    <n v="0"/>
    <n v="0"/>
    <n v="0"/>
    <n v="0"/>
    <n v="0"/>
    <n v="0"/>
    <n v="0"/>
    <n v="0"/>
    <n v="0"/>
    <n v="1.95"/>
    <n v="0"/>
    <n v="0"/>
    <n v="13.51"/>
    <n v="15.459999999999999"/>
    <n v="15.459999999999999"/>
    <n v="0"/>
    <n v="15.459999999999999"/>
    <m/>
    <m/>
    <m/>
    <m/>
    <m/>
    <m/>
    <m/>
    <m/>
    <m/>
    <m/>
    <m/>
    <m/>
    <m/>
    <m/>
    <m/>
    <m/>
    <m/>
    <m/>
    <m/>
    <m/>
    <m/>
    <m/>
    <m/>
    <m/>
    <m/>
    <m/>
    <m/>
    <m/>
    <m/>
    <m/>
    <m/>
    <m/>
    <m/>
    <m/>
    <m/>
    <m/>
    <m/>
    <m/>
    <m/>
    <m/>
    <m/>
    <m/>
    <m/>
    <m/>
    <m/>
    <m/>
    <m/>
    <m/>
    <m/>
  </r>
  <r>
    <n v="742"/>
    <d v="2025-03-14T00:00:00"/>
    <s v="ZBTF"/>
    <n v="9518600669"/>
    <n v="12"/>
    <s v="9518600669-12"/>
    <s v="May'25"/>
    <x v="0"/>
    <s v="Yes"/>
    <x v="1"/>
    <x v="6"/>
    <s v="2000-BPRS"/>
    <m/>
    <x v="1"/>
    <m/>
    <m/>
    <m/>
    <s v="South"/>
    <s v="YESHWANTHPURA"/>
    <m/>
    <n v="650742"/>
    <x v="26"/>
    <n v="2279483"/>
    <s v="CRCA COIL TSBHSQ TU99 2X1270"/>
    <s v=" "/>
    <s v=""/>
    <n v="10"/>
    <n v="27"/>
    <m/>
    <s v="C01"/>
    <s v="TSBHSQ"/>
    <s v="TU99"/>
    <n v="2"/>
    <n v="1270"/>
    <n v="0"/>
    <n v="174"/>
    <n v="0"/>
    <n v="174"/>
    <n v="174"/>
    <n v="89.28"/>
    <n v="95.075000000000003"/>
    <n v="0"/>
    <n v="0"/>
    <n v="0"/>
    <n v="0"/>
    <n v="0"/>
    <n v="0"/>
    <n v="0"/>
    <n v="0"/>
    <n v="0"/>
    <n v="0"/>
    <n v="0"/>
    <n v="0"/>
    <n v="0"/>
    <n v="54.28"/>
    <n v="0"/>
    <n v="4.67"/>
    <n v="0"/>
    <n v="0"/>
    <n v="25.77"/>
    <n v="84.72"/>
    <n v="84.72"/>
    <n v="0"/>
    <n v="84.72"/>
    <m/>
    <m/>
    <m/>
    <m/>
    <m/>
    <m/>
    <m/>
    <m/>
    <m/>
    <m/>
    <m/>
    <m/>
    <m/>
    <m/>
    <m/>
    <m/>
    <m/>
    <m/>
    <m/>
    <m/>
    <m/>
    <m/>
    <m/>
    <m/>
    <m/>
    <m/>
    <m/>
    <m/>
    <m/>
    <m/>
    <m/>
    <m/>
    <m/>
    <m/>
    <m/>
    <m/>
    <m/>
    <m/>
    <m/>
    <m/>
    <m/>
    <m/>
    <m/>
    <m/>
    <m/>
    <m/>
    <m/>
    <m/>
    <m/>
  </r>
  <r>
    <n v="742"/>
    <d v="2025-03-14T00:00:00"/>
    <s v="ZBTF"/>
    <n v="9518600669"/>
    <n v="13"/>
    <s v="9518600669-13"/>
    <s v="May'25"/>
    <x v="0"/>
    <s v="Yes"/>
    <x v="1"/>
    <x v="6"/>
    <s v="2000-BPRS"/>
    <n v="1300"/>
    <x v="1"/>
    <m/>
    <m/>
    <m/>
    <s v="South"/>
    <s v="YESHWANTHPURA"/>
    <m/>
    <n v="650742"/>
    <x v="26"/>
    <n v="2150942"/>
    <s v="CRCA COIL SA1008 TU98 1.600X1250"/>
    <s v=" "/>
    <s v=""/>
    <n v="10"/>
    <n v="27"/>
    <m/>
    <s v="C01"/>
    <s v="SA1008"/>
    <s v="TU98"/>
    <n v="1.6"/>
    <n v="1250"/>
    <n v="0"/>
    <n v="290"/>
    <n v="0"/>
    <n v="290"/>
    <n v="290"/>
    <n v="262.44"/>
    <n v="290"/>
    <n v="0"/>
    <n v="0"/>
    <n v="0"/>
    <n v="0"/>
    <n v="0"/>
    <n v="0"/>
    <n v="0"/>
    <n v="0"/>
    <n v="0"/>
    <n v="0"/>
    <n v="0"/>
    <n v="0"/>
    <n v="0"/>
    <n v="27.560000000000002"/>
    <n v="0"/>
    <n v="0"/>
    <n v="0"/>
    <n v="0"/>
    <n v="0"/>
    <n v="27.560000000000002"/>
    <n v="27.560000000000002"/>
    <n v="0"/>
    <n v="27.560000000000002"/>
    <m/>
    <m/>
    <m/>
    <m/>
    <m/>
    <m/>
    <m/>
    <m/>
    <m/>
    <m/>
    <m/>
    <m/>
    <m/>
    <m/>
    <m/>
    <m/>
    <m/>
    <m/>
    <m/>
    <m/>
    <m/>
    <m/>
    <m/>
    <m/>
    <m/>
    <m/>
    <m/>
    <m/>
    <m/>
    <m/>
    <m/>
    <m/>
    <m/>
    <m/>
    <m/>
    <m/>
    <m/>
    <m/>
    <m/>
    <m/>
    <m/>
    <m/>
    <m/>
    <m/>
    <m/>
    <m/>
    <m/>
    <m/>
    <m/>
  </r>
  <r>
    <n v="743"/>
    <d v="2025-04-05T00:00:00"/>
    <s v="ZBTO"/>
    <n v="9518671430"/>
    <n v="1"/>
    <s v="9518671430-1"/>
    <s v="No Priority"/>
    <x v="0"/>
    <m/>
    <x v="4"/>
    <x v="3"/>
    <s v="1000-IPPE"/>
    <m/>
    <x v="0"/>
    <m/>
    <m/>
    <m/>
    <s v="TBSPL"/>
    <s v="RAJASTHAN"/>
    <m/>
    <n v="942293"/>
    <x v="6"/>
    <n v="3946364"/>
    <s v="GL COIL HARD Y550GL M308 0.50 (TCT)X1220"/>
    <s v="AZ150"/>
    <s v=""/>
    <n v="3"/>
    <n v="5"/>
    <m/>
    <s v="B04"/>
    <s v="Y550GL"/>
    <s v="M308"/>
    <n v="0.5"/>
    <n v="1220"/>
    <n v="0"/>
    <n v="28"/>
    <n v="0"/>
    <n v="28"/>
    <n v="28"/>
    <n v="28"/>
    <n v="0.71"/>
    <n v="0"/>
    <n v="0"/>
    <n v="0"/>
    <n v="0"/>
    <n v="0"/>
    <n v="0"/>
    <n v="0"/>
    <n v="0"/>
    <n v="0"/>
    <n v="0"/>
    <n v="0"/>
    <n v="0"/>
    <n v="0"/>
    <n v="0"/>
    <n v="0"/>
    <n v="0"/>
    <n v="0"/>
    <n v="0"/>
    <n v="0"/>
    <n v="0"/>
    <n v="0"/>
    <n v="0"/>
    <n v="0"/>
    <m/>
    <m/>
    <m/>
    <m/>
    <m/>
    <m/>
    <m/>
    <m/>
    <m/>
    <m/>
    <m/>
    <m/>
    <m/>
    <m/>
    <m/>
    <m/>
    <m/>
    <m/>
    <m/>
    <m/>
    <m/>
    <m/>
    <m/>
    <m/>
    <m/>
    <m/>
    <m/>
    <m/>
    <m/>
    <m/>
    <m/>
    <m/>
    <m/>
    <m/>
    <m/>
    <m/>
    <m/>
    <m/>
    <m/>
    <m/>
    <m/>
    <m/>
    <m/>
    <m/>
    <m/>
    <m/>
    <m/>
    <m/>
    <m/>
  </r>
  <r>
    <n v="743"/>
    <d v="2025-03-29T00:00:00"/>
    <s v="ZBTO"/>
    <n v="9518653333"/>
    <n v="1"/>
    <s v="9518653333-1"/>
    <s v="May'25"/>
    <x v="0"/>
    <m/>
    <x v="4"/>
    <x v="3"/>
    <s v="1000-IPPE"/>
    <m/>
    <x v="1"/>
    <m/>
    <m/>
    <m/>
    <s v="TBSPL"/>
    <s v="RAJASTHAN"/>
    <m/>
    <n v="942293"/>
    <x v="6"/>
    <n v="3946362"/>
    <s v="GL COIL HARD Y550GL M308 0.47 (TCT)X1220"/>
    <s v="AZ150"/>
    <s v=""/>
    <n v="3"/>
    <n v="5"/>
    <m/>
    <s v="B04"/>
    <s v="Y550GL"/>
    <s v="M308"/>
    <n v="0.47"/>
    <n v="1220"/>
    <n v="0"/>
    <n v="280"/>
    <n v="23.13"/>
    <n v="256.87"/>
    <n v="224.87"/>
    <n v="214"/>
    <n v="46.395000000000003"/>
    <n v="0"/>
    <n v="0"/>
    <n v="0"/>
    <n v="0"/>
    <n v="0"/>
    <n v="0"/>
    <n v="0"/>
    <n v="29.14"/>
    <n v="0"/>
    <n v="0"/>
    <n v="0"/>
    <n v="0"/>
    <n v="0"/>
    <n v="0"/>
    <n v="0"/>
    <n v="0"/>
    <n v="0"/>
    <n v="0"/>
    <n v="13.73"/>
    <n v="42.870000000000005"/>
    <n v="42.870000000000005"/>
    <n v="0"/>
    <n v="42.870000000000005"/>
    <m/>
    <m/>
    <m/>
    <m/>
    <m/>
    <m/>
    <m/>
    <m/>
    <m/>
    <m/>
    <m/>
    <m/>
    <m/>
    <m/>
    <m/>
    <m/>
    <m/>
    <m/>
    <m/>
    <m/>
    <m/>
    <m/>
    <m/>
    <m/>
    <m/>
    <m/>
    <m/>
    <m/>
    <m/>
    <m/>
    <m/>
    <m/>
    <m/>
    <m/>
    <m/>
    <m/>
    <m/>
    <m/>
    <m/>
    <m/>
    <m/>
    <m/>
    <m/>
    <m/>
    <m/>
    <m/>
    <m/>
    <m/>
    <m/>
  </r>
  <r>
    <n v="743"/>
    <d v="2025-03-29T00:00:00"/>
    <s v="ZBTO"/>
    <n v="9518653333"/>
    <n v="2"/>
    <s v="9518653333-2"/>
    <s v="No Priority"/>
    <x v="0"/>
    <m/>
    <x v="4"/>
    <x v="3"/>
    <s v="1000-IPPE"/>
    <m/>
    <x v="0"/>
    <m/>
    <m/>
    <m/>
    <s v="TBSPL"/>
    <s v="RAJASTHAN"/>
    <m/>
    <n v="942293"/>
    <x v="6"/>
    <n v="3946362"/>
    <s v="GL COIL HARD Y550GL M308 0.47 (TCT)X1220"/>
    <s v="AZ150"/>
    <s v=""/>
    <n v="3"/>
    <n v="5"/>
    <m/>
    <s v="B04"/>
    <s v="Y550GL"/>
    <s v="M308"/>
    <n v="0.47"/>
    <n v="1220"/>
    <n v="0"/>
    <n v="140"/>
    <n v="21.53"/>
    <n v="118.47"/>
    <n v="6.4980000000000002"/>
    <n v="118.47"/>
    <n v="4.3"/>
    <n v="0"/>
    <n v="0"/>
    <n v="0"/>
    <n v="0"/>
    <n v="0"/>
    <n v="0"/>
    <n v="0"/>
    <n v="0"/>
    <n v="0"/>
    <n v="0"/>
    <n v="0"/>
    <n v="0"/>
    <n v="0"/>
    <n v="0"/>
    <n v="0"/>
    <n v="0"/>
    <n v="0"/>
    <n v="0"/>
    <n v="0"/>
    <n v="0"/>
    <n v="0"/>
    <n v="0"/>
    <n v="0"/>
    <m/>
    <m/>
    <m/>
    <m/>
    <m/>
    <m/>
    <m/>
    <m/>
    <m/>
    <m/>
    <m/>
    <m/>
    <m/>
    <m/>
    <m/>
    <m/>
    <m/>
    <m/>
    <m/>
    <m/>
    <m/>
    <m/>
    <m/>
    <m/>
    <m/>
    <m/>
    <m/>
    <m/>
    <m/>
    <m/>
    <m/>
    <m/>
    <m/>
    <m/>
    <m/>
    <m/>
    <m/>
    <m/>
    <m/>
    <m/>
    <m/>
    <m/>
    <m/>
    <m/>
    <m/>
    <m/>
    <m/>
    <m/>
    <m/>
  </r>
  <r>
    <n v="743"/>
    <d v="2025-03-29T00:00:00"/>
    <s v="ZBTO"/>
    <n v="9518653333"/>
    <n v="3"/>
    <s v="9518653333-3"/>
    <s v="May'25"/>
    <x v="0"/>
    <m/>
    <x v="4"/>
    <x v="3"/>
    <s v="1000-IPPE"/>
    <m/>
    <x v="1"/>
    <m/>
    <m/>
    <m/>
    <s v="TBSPL"/>
    <s v="RAJASTHAN"/>
    <m/>
    <n v="942293"/>
    <x v="6"/>
    <n v="3946363"/>
    <s v="GL COIL HARD Y550GL M308 0.60 (TCT)X1220"/>
    <s v="AZ150"/>
    <s v=""/>
    <n v="3"/>
    <n v="5"/>
    <m/>
    <s v="B04"/>
    <s v="Y550GL"/>
    <s v="M308"/>
    <n v="0.6"/>
    <n v="1220"/>
    <n v="0"/>
    <n v="28"/>
    <n v="9.0150000000000006"/>
    <n v="18.984999999999999"/>
    <n v="18.984999999999999"/>
    <n v="18.984999999999999"/>
    <n v="18.984999999999999"/>
    <n v="0"/>
    <n v="0"/>
    <n v="0"/>
    <n v="0"/>
    <n v="0"/>
    <n v="0"/>
    <n v="0"/>
    <n v="0"/>
    <n v="0"/>
    <n v="0"/>
    <n v="0"/>
    <n v="0"/>
    <n v="0"/>
    <n v="0"/>
    <n v="0"/>
    <n v="0"/>
    <n v="0"/>
    <n v="0"/>
    <n v="0"/>
    <n v="0"/>
    <n v="0"/>
    <n v="0"/>
    <n v="0"/>
    <m/>
    <m/>
    <m/>
    <m/>
    <m/>
    <m/>
    <m/>
    <m/>
    <m/>
    <m/>
    <m/>
    <m/>
    <m/>
    <m/>
    <m/>
    <m/>
    <m/>
    <m/>
    <m/>
    <m/>
    <m/>
    <m/>
    <m/>
    <m/>
    <m/>
    <m/>
    <m/>
    <m/>
    <m/>
    <m/>
    <m/>
    <m/>
    <m/>
    <m/>
    <m/>
    <m/>
    <m/>
    <m/>
    <m/>
    <m/>
    <m/>
    <m/>
    <m/>
    <m/>
    <m/>
    <m/>
    <m/>
    <m/>
    <m/>
  </r>
  <r>
    <n v="743"/>
    <d v="2025-02-06T00:00:00"/>
    <s v="ZBTO"/>
    <n v="9518497649"/>
    <n v="2"/>
    <s v="9518497649-2"/>
    <s v="No Priority"/>
    <x v="0"/>
    <m/>
    <x v="3"/>
    <x v="0"/>
    <s v="2000-BPRS"/>
    <m/>
    <x v="0"/>
    <m/>
    <m/>
    <m/>
    <s v="East"/>
    <s v="TATANAGAR"/>
    <m/>
    <n v="165053"/>
    <x v="5"/>
    <n v="1852440"/>
    <s v="GP COIL SOFT-TSBXGP-T1GP-0.6X1220"/>
    <s v="Z80"/>
    <s v=""/>
    <n v="4"/>
    <n v="12"/>
    <m/>
    <s v="C02"/>
    <s v="TSBXGP"/>
    <s v="T1GP"/>
    <n v="0.6"/>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3-27T00:00:00"/>
    <s v="ZBTO"/>
    <n v="9518643800"/>
    <n v="1"/>
    <s v="9518643800-1"/>
    <s v="May'25"/>
    <x v="0"/>
    <m/>
    <x v="4"/>
    <x v="5"/>
    <s v="1000-IPPE"/>
    <m/>
    <x v="1"/>
    <m/>
    <m/>
    <m/>
    <s v="West"/>
    <s v="SANAND"/>
    <m/>
    <n v="944226"/>
    <x v="84"/>
    <n v="3889776"/>
    <s v="GL COIL HARD  Y550GL H0GL 0.900X1249"/>
    <s v="AZ150"/>
    <s v=""/>
    <n v="10"/>
    <n v="18"/>
    <m/>
    <s v="B04"/>
    <s v="Y550GL"/>
    <s v="H0GL"/>
    <n v="0.9"/>
    <n v="1249"/>
    <n v="0"/>
    <n v="232"/>
    <n v="171.435"/>
    <n v="60.564999999999998"/>
    <n v="46.62"/>
    <n v="3.0300000000000011"/>
    <n v="60.564999999999998"/>
    <n v="0"/>
    <n v="0"/>
    <n v="0"/>
    <n v="0"/>
    <n v="0"/>
    <n v="0"/>
    <n v="0"/>
    <n v="21.025000000000002"/>
    <n v="0"/>
    <n v="0"/>
    <n v="0"/>
    <n v="0"/>
    <n v="0"/>
    <n v="0"/>
    <n v="0"/>
    <n v="0"/>
    <n v="0"/>
    <n v="0"/>
    <n v="36.51"/>
    <n v="57.534999999999997"/>
    <n v="57.534999999999997"/>
    <n v="0"/>
    <n v="57.534999999999997"/>
    <m/>
    <m/>
    <m/>
    <m/>
    <m/>
    <m/>
    <m/>
    <m/>
    <m/>
    <m/>
    <m/>
    <m/>
    <m/>
    <m/>
    <m/>
    <m/>
    <m/>
    <m/>
    <m/>
    <m/>
    <m/>
    <m/>
    <m/>
    <m/>
    <m/>
    <m/>
    <m/>
    <m/>
    <m/>
    <m/>
    <m/>
    <m/>
    <m/>
    <m/>
    <m/>
    <m/>
    <m/>
    <m/>
    <m/>
    <m/>
    <m/>
    <m/>
    <m/>
    <m/>
    <m/>
    <m/>
    <m/>
    <m/>
    <m/>
  </r>
  <r>
    <n v="743"/>
    <d v="2025-03-29T00:00:00"/>
    <s v="ZBTO"/>
    <n v="9518652258"/>
    <n v="1"/>
    <s v="9518652258-1"/>
    <s v="No Priority"/>
    <x v="0"/>
    <m/>
    <x v="4"/>
    <x v="3"/>
    <s v="1000-IPPE"/>
    <m/>
    <x v="0"/>
    <m/>
    <m/>
    <m/>
    <s v="TBSPL"/>
    <s v="TATANAGAR"/>
    <m/>
    <n v="942284"/>
    <x v="6"/>
    <n v="3946364"/>
    <s v="GL COIL HARD Y550GL M308 0.50 (TCT)X1220"/>
    <s v="AZ150"/>
    <s v=""/>
    <n v="3"/>
    <n v="5"/>
    <m/>
    <s v="B04"/>
    <s v="Y550GL"/>
    <s v="M308"/>
    <n v="0.5"/>
    <n v="1220"/>
    <n v="0"/>
    <n v="224"/>
    <n v="0"/>
    <n v="224"/>
    <n v="-24.456"/>
    <n v="0"/>
    <n v="3.395"/>
    <n v="0"/>
    <n v="0"/>
    <n v="0"/>
    <n v="0"/>
    <n v="0"/>
    <n v="0"/>
    <n v="0"/>
    <n v="0"/>
    <n v="0"/>
    <n v="0"/>
    <n v="0"/>
    <n v="0"/>
    <n v="0"/>
    <n v="0"/>
    <n v="0"/>
    <n v="0"/>
    <n v="0"/>
    <n v="0"/>
    <n v="0"/>
    <n v="0"/>
    <n v="0"/>
    <n v="0"/>
    <n v="0"/>
    <m/>
    <m/>
    <m/>
    <m/>
    <m/>
    <m/>
    <m/>
    <m/>
    <m/>
    <m/>
    <m/>
    <m/>
    <m/>
    <m/>
    <m/>
    <m/>
    <m/>
    <m/>
    <m/>
    <m/>
    <m/>
    <m/>
    <m/>
    <m/>
    <m/>
    <m/>
    <m/>
    <m/>
    <m/>
    <m/>
    <m/>
    <m/>
    <m/>
    <m/>
    <m/>
    <m/>
    <m/>
    <m/>
    <m/>
    <m/>
    <m/>
    <m/>
    <m/>
    <m/>
    <m/>
    <m/>
    <m/>
    <m/>
    <m/>
  </r>
  <r>
    <n v="743"/>
    <d v="2025-03-29T00:00:00"/>
    <s v="ZBTO"/>
    <n v="9518652258"/>
    <n v="2"/>
    <s v="9518652258-2"/>
    <s v="No Priority"/>
    <x v="0"/>
    <m/>
    <x v="4"/>
    <x v="3"/>
    <s v="1000-IPPE"/>
    <m/>
    <x v="0"/>
    <m/>
    <m/>
    <m/>
    <s v="TBSPL"/>
    <s v="TATANAGAR"/>
    <m/>
    <n v="942284"/>
    <x v="6"/>
    <n v="3946363"/>
    <s v="GL COIL HARD Y550GL M308 0.60 (TCT)X1220"/>
    <s v="AZ150"/>
    <s v=""/>
    <n v="3"/>
    <n v="5"/>
    <m/>
    <s v="B04"/>
    <s v="Y550GL"/>
    <s v="M308"/>
    <n v="0.6"/>
    <n v="1220"/>
    <n v="0"/>
    <n v="56"/>
    <n v="0"/>
    <n v="56"/>
    <n v="1.33"/>
    <n v="0"/>
    <n v="11.4"/>
    <n v="0"/>
    <n v="0"/>
    <n v="0"/>
    <n v="0"/>
    <n v="0"/>
    <n v="0"/>
    <n v="0"/>
    <n v="0"/>
    <n v="0"/>
    <n v="0"/>
    <n v="0"/>
    <n v="0"/>
    <n v="0"/>
    <n v="0"/>
    <n v="0"/>
    <n v="0"/>
    <n v="0"/>
    <n v="0"/>
    <n v="9.15"/>
    <n v="9.15"/>
    <n v="9.15"/>
    <n v="0"/>
    <n v="9.15"/>
    <m/>
    <m/>
    <m/>
    <m/>
    <m/>
    <m/>
    <m/>
    <m/>
    <m/>
    <m/>
    <m/>
    <m/>
    <m/>
    <m/>
    <m/>
    <m/>
    <m/>
    <m/>
    <m/>
    <m/>
    <m/>
    <m/>
    <m/>
    <m/>
    <m/>
    <m/>
    <m/>
    <m/>
    <m/>
    <m/>
    <m/>
    <m/>
    <m/>
    <m/>
    <m/>
    <m/>
    <m/>
    <m/>
    <m/>
    <m/>
    <m/>
    <m/>
    <m/>
    <m/>
    <m/>
    <m/>
    <m/>
    <m/>
    <m/>
  </r>
  <r>
    <n v="742"/>
    <d v="2025-04-03T00:00:00"/>
    <s v="ZBTO"/>
    <n v="9518667422"/>
    <n v="1"/>
    <s v="9518667422-1"/>
    <s v="No Priority"/>
    <x v="0"/>
    <s v="Yes"/>
    <x v="1"/>
    <x v="1"/>
    <s v="2000-BPRS"/>
    <m/>
    <x v="0"/>
    <m/>
    <s v="De-prioritized due to Apr CF orders"/>
    <m/>
    <s v="South"/>
    <s v="YESHWANTHPURA"/>
    <m/>
    <n v="165992"/>
    <x v="57"/>
    <n v="1800890"/>
    <s v="CRCA COIL-TATXXD-AU03-0.35X1250"/>
    <s v=" "/>
    <s v=""/>
    <n v="2"/>
    <n v="30"/>
    <m/>
    <s v="C01"/>
    <s v="TATXXD"/>
    <s v="AU03"/>
    <n v="0.35"/>
    <n v="1250"/>
    <n v="0"/>
    <n v="145"/>
    <n v="0"/>
    <n v="145"/>
    <n v="145"/>
    <n v="145"/>
    <n v="145"/>
    <n v="0"/>
    <n v="0"/>
    <n v="0"/>
    <n v="0"/>
    <n v="0"/>
    <n v="0"/>
    <n v="0"/>
    <n v="0"/>
    <n v="0"/>
    <n v="0"/>
    <n v="0"/>
    <n v="0"/>
    <n v="0"/>
    <n v="0"/>
    <n v="0"/>
    <n v="0"/>
    <n v="0"/>
    <n v="0"/>
    <n v="0"/>
    <n v="0"/>
    <n v="0"/>
    <n v="0"/>
    <n v="0"/>
    <m/>
    <m/>
    <m/>
    <m/>
    <m/>
    <m/>
    <m/>
    <m/>
    <m/>
    <m/>
    <m/>
    <m/>
    <m/>
    <m/>
    <m/>
    <m/>
    <m/>
    <m/>
    <m/>
    <m/>
    <m/>
    <m/>
    <m/>
    <m/>
    <m/>
    <m/>
    <m/>
    <m/>
    <m/>
    <m/>
    <m/>
    <m/>
    <m/>
    <m/>
    <m/>
    <m/>
    <m/>
    <m/>
    <m/>
    <m/>
    <m/>
    <m/>
    <m/>
    <m/>
    <m/>
    <m/>
    <m/>
    <m/>
    <m/>
  </r>
  <r>
    <n v="742"/>
    <d v="2025-04-03T00:00:00"/>
    <s v="ZBTO"/>
    <n v="9518667422"/>
    <n v="2"/>
    <s v="9518667422-2"/>
    <s v="No Priority"/>
    <x v="0"/>
    <s v="Yes"/>
    <x v="1"/>
    <x v="1"/>
    <s v="2000-BPRS"/>
    <m/>
    <x v="0"/>
    <m/>
    <m/>
    <m/>
    <s v="South"/>
    <s v="YESHWANTHPURA"/>
    <m/>
    <n v="165992"/>
    <x v="57"/>
    <n v="1804772"/>
    <s v="CRCA COIL TATXXD AU03 0.4X1250"/>
    <s v=" "/>
    <s v=""/>
    <n v="2"/>
    <n v="30"/>
    <m/>
    <s v="C01"/>
    <s v="TATXXD"/>
    <s v="AU03"/>
    <n v="0.4"/>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03T00:00:00"/>
    <s v="ZBTO"/>
    <n v="9518667422"/>
    <n v="3"/>
    <s v="9518667422-3"/>
    <s v="May'25"/>
    <x v="0"/>
    <s v="Yes"/>
    <x v="1"/>
    <x v="1"/>
    <s v="2000-BPRS"/>
    <m/>
    <x v="1"/>
    <m/>
    <m/>
    <m/>
    <s v="South"/>
    <s v="YESHWANTHPURA"/>
    <m/>
    <n v="165992"/>
    <x v="57"/>
    <n v="185675"/>
    <s v="CRCA COIL-TATXXD-AU03-0.5X1250"/>
    <s v=" "/>
    <s v=""/>
    <n v="2"/>
    <n v="30"/>
    <m/>
    <s v="C01"/>
    <s v="TATXXD"/>
    <s v="AU03"/>
    <n v="0.5"/>
    <n v="1250"/>
    <n v="0"/>
    <n v="58"/>
    <n v="0"/>
    <n v="58"/>
    <n v="58"/>
    <n v="34.730000000000004"/>
    <n v="33.094999999999999"/>
    <n v="0"/>
    <n v="0"/>
    <n v="0"/>
    <n v="0"/>
    <n v="0"/>
    <n v="0"/>
    <n v="0"/>
    <n v="0"/>
    <n v="0"/>
    <n v="0"/>
    <n v="0"/>
    <n v="0"/>
    <n v="0"/>
    <n v="23.27"/>
    <n v="0"/>
    <n v="0"/>
    <n v="0"/>
    <n v="0"/>
    <n v="0"/>
    <n v="23.27"/>
    <n v="23.27"/>
    <n v="0"/>
    <n v="23.27"/>
    <m/>
    <m/>
    <m/>
    <m/>
    <m/>
    <m/>
    <m/>
    <m/>
    <m/>
    <m/>
    <m/>
    <m/>
    <m/>
    <m/>
    <m/>
    <m/>
    <m/>
    <m/>
    <m/>
    <m/>
    <m/>
    <m/>
    <m/>
    <m/>
    <m/>
    <m/>
    <m/>
    <m/>
    <m/>
    <m/>
    <m/>
    <m/>
    <m/>
    <m/>
    <m/>
    <m/>
    <m/>
    <m/>
    <m/>
    <m/>
    <m/>
    <m/>
    <m/>
    <m/>
    <m/>
    <m/>
    <m/>
    <m/>
    <m/>
  </r>
  <r>
    <n v="742"/>
    <d v="2025-03-31T00:00:00"/>
    <s v="ZBTO"/>
    <n v="9518660656"/>
    <n v="2"/>
    <s v="9518660656-2"/>
    <s v="May'25"/>
    <x v="0"/>
    <s v="Yes"/>
    <x v="1"/>
    <x v="2"/>
    <s v="2000-BPRS"/>
    <m/>
    <x v="1"/>
    <m/>
    <s v="Exp BTF &lt;17MT"/>
    <m/>
    <s v="East"/>
    <s v="HOWRAH"/>
    <m/>
    <n v="101278"/>
    <x v="11"/>
    <n v="3239548"/>
    <s v="CRCA SHEET TATCRC SR16 0.400X900X2500"/>
    <s v=" "/>
    <s v=""/>
    <n v="0"/>
    <n v="0"/>
    <m/>
    <s v="C06"/>
    <s v="TATCRC"/>
    <s v="SR16"/>
    <n v="0.4"/>
    <n v="900"/>
    <n v="2500"/>
    <n v="51"/>
    <n v="0"/>
    <n v="51"/>
    <n v="7.2"/>
    <n v="8.4699999999999989"/>
    <n v="51"/>
    <n v="0"/>
    <n v="0"/>
    <n v="0"/>
    <n v="0"/>
    <n v="0"/>
    <n v="0"/>
    <n v="0"/>
    <n v="0"/>
    <n v="0"/>
    <n v="0"/>
    <n v="0"/>
    <n v="0"/>
    <n v="0"/>
    <n v="42.53"/>
    <n v="0"/>
    <n v="0"/>
    <n v="0"/>
    <n v="0"/>
    <n v="0"/>
    <n v="42.53"/>
    <n v="42.53"/>
    <n v="0"/>
    <n v="42.53"/>
    <m/>
    <m/>
    <m/>
    <m/>
    <m/>
    <m/>
    <m/>
    <m/>
    <m/>
    <m/>
    <m/>
    <m/>
    <m/>
    <m/>
    <m/>
    <m/>
    <m/>
    <m/>
    <m/>
    <m/>
    <m/>
    <m/>
    <m/>
    <m/>
    <m/>
    <m/>
    <m/>
    <m/>
    <m/>
    <m/>
    <m/>
    <m/>
    <m/>
    <m/>
    <m/>
    <m/>
    <m/>
    <m/>
    <m/>
    <m/>
    <m/>
    <m/>
    <m/>
    <m/>
    <m/>
    <m/>
    <m/>
    <m/>
    <m/>
  </r>
  <r>
    <n v="744"/>
    <d v="2025-04-05T00:00:00"/>
    <s v="ZBTO"/>
    <n v="9518671083"/>
    <n v="1"/>
    <s v="9518671083-1"/>
    <s v="May'25"/>
    <x v="0"/>
    <s v="Yes"/>
    <x v="2"/>
    <x v="3"/>
    <s v="1000-IPPE"/>
    <m/>
    <x v="1"/>
    <m/>
    <m/>
    <m/>
    <s v="TBSPL"/>
    <s v="RAJASTHAN"/>
    <m/>
    <n v="940008"/>
    <x v="15"/>
    <n v="3522241"/>
    <s v="PPGL C Y550 D0C7 0.43BMT(0.47TPT)X1220"/>
    <s v="aZ70"/>
    <s v="NG BRIGHT GREEN TSL 2211"/>
    <n v="3"/>
    <n v="5"/>
    <m/>
    <s v="B18"/>
    <s v="Y550PL"/>
    <s v="D0C7"/>
    <n v="0.43"/>
    <n v="1220"/>
    <n v="0"/>
    <n v="83.998999999999995"/>
    <n v="0"/>
    <n v="83.998999999999995"/>
    <n v="83.998999999999995"/>
    <n v="83.998999999999995"/>
    <n v="83.998999999999995"/>
    <n v="0"/>
    <n v="0"/>
    <n v="0"/>
    <n v="0"/>
    <n v="0"/>
    <n v="0"/>
    <n v="0"/>
    <n v="0"/>
    <n v="0"/>
    <n v="0"/>
    <n v="0"/>
    <n v="0"/>
    <n v="0"/>
    <n v="0"/>
    <n v="0"/>
    <n v="0"/>
    <n v="0"/>
    <n v="0"/>
    <n v="0"/>
    <n v="0"/>
    <n v="0"/>
    <n v="0"/>
    <n v="0"/>
    <m/>
    <m/>
    <m/>
    <m/>
    <m/>
    <m/>
    <m/>
    <m/>
    <m/>
    <m/>
    <m/>
    <m/>
    <m/>
    <m/>
    <m/>
    <m/>
    <m/>
    <m/>
    <m/>
    <m/>
    <m/>
    <m/>
    <m/>
    <m/>
    <m/>
    <m/>
    <m/>
    <m/>
    <m/>
    <m/>
    <m/>
    <m/>
    <m/>
    <m/>
    <m/>
    <m/>
    <m/>
    <m/>
    <m/>
    <m/>
    <m/>
    <m/>
    <m/>
    <m/>
    <m/>
    <m/>
    <m/>
    <m/>
    <m/>
  </r>
  <r>
    <n v="744"/>
    <d v="2025-04-05T00:00:00"/>
    <s v="ZBTO"/>
    <n v="9518671083"/>
    <n v="2"/>
    <s v="9518671083-2"/>
    <s v="May'25"/>
    <x v="0"/>
    <s v="Yes"/>
    <x v="2"/>
    <x v="3"/>
    <s v="1000-IPPE"/>
    <m/>
    <x v="1"/>
    <m/>
    <m/>
    <m/>
    <s v="TBSPL"/>
    <s v="RAJASTHAN"/>
    <m/>
    <n v="940008"/>
    <x v="15"/>
    <n v="3522241"/>
    <s v="PPGL C Y550 D0C7 0.43BMT(0.47TPT)X1220"/>
    <s v="aZ70"/>
    <s v="NGP COFFEE TSL 1912"/>
    <n v="3"/>
    <n v="5"/>
    <m/>
    <s v="B18"/>
    <s v="Y550PL"/>
    <s v="D0C7"/>
    <n v="0.43"/>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05T00:00:00"/>
    <s v="ZBTO"/>
    <n v="9518671083"/>
    <n v="3"/>
    <s v="9518671083-3"/>
    <s v="May'25"/>
    <x v="0"/>
    <s v="Yes"/>
    <x v="2"/>
    <x v="3"/>
    <s v="1000-IPPE"/>
    <m/>
    <x v="1"/>
    <m/>
    <m/>
    <m/>
    <s v="TBSPL"/>
    <s v="RAJASTHAN"/>
    <m/>
    <n v="940008"/>
    <x v="15"/>
    <n v="3522241"/>
    <s v="PPGL C Y550 D0C7 0.43BMT(0.47TPT)X1220"/>
    <s v="aZ70"/>
    <s v="NV BLUE TSL 1909"/>
    <n v="3"/>
    <n v="5"/>
    <m/>
    <s v="B18"/>
    <s v="Y550PL"/>
    <s v="D0C7"/>
    <n v="0.43"/>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05T00:00:00"/>
    <s v="ZBTO"/>
    <n v="9518671366"/>
    <n v="1"/>
    <s v="9518671366-1"/>
    <s v="No Priority"/>
    <x v="0"/>
    <s v="Yes"/>
    <x v="2"/>
    <x v="3"/>
    <s v="1000-IPPE"/>
    <m/>
    <x v="0"/>
    <m/>
    <m/>
    <m/>
    <s v="TBSPL"/>
    <s v="GAMHARIA"/>
    <m/>
    <n v="940016"/>
    <x v="15"/>
    <n v="1640840"/>
    <s v="PPGL C Y550 HPL3 0.45BMT(0.53TPT)X1220"/>
    <s v="AZ150"/>
    <s v="ENVIRONMENTAL GREEN TSL 199"/>
    <n v="3"/>
    <n v="5"/>
    <m/>
    <s v="B18"/>
    <s v="Y550PL"/>
    <s v="HPL3"/>
    <n v="0.45"/>
    <n v="1220"/>
    <n v="0"/>
    <n v="28"/>
    <n v="0"/>
    <n v="28"/>
    <n v="28"/>
    <n v="28"/>
    <n v="0"/>
    <n v="0"/>
    <n v="0"/>
    <n v="0"/>
    <n v="0"/>
    <n v="0"/>
    <n v="0"/>
    <n v="0"/>
    <n v="0"/>
    <n v="0"/>
    <n v="0"/>
    <n v="0"/>
    <n v="0"/>
    <n v="0"/>
    <n v="0"/>
    <n v="0"/>
    <n v="0"/>
    <n v="0"/>
    <n v="0"/>
    <n v="0"/>
    <n v="0"/>
    <n v="0"/>
    <n v="0"/>
    <n v="0"/>
    <m/>
    <m/>
    <m/>
    <m/>
    <m/>
    <m/>
    <m/>
    <m/>
    <m/>
    <m/>
    <m/>
    <m/>
    <m/>
    <m/>
    <m/>
    <m/>
    <m/>
    <m/>
    <m/>
    <m/>
    <m/>
    <m/>
    <m/>
    <m/>
    <m/>
    <m/>
    <m/>
    <m/>
    <m/>
    <m/>
    <m/>
    <m/>
    <m/>
    <m/>
    <m/>
    <m/>
    <m/>
    <m/>
    <m/>
    <m/>
    <m/>
    <m/>
    <m/>
    <m/>
    <m/>
    <m/>
    <m/>
    <m/>
    <m/>
  </r>
  <r>
    <n v="744"/>
    <d v="2025-04-05T00:00:00"/>
    <s v="ZBTO"/>
    <n v="9518671366"/>
    <n v="2"/>
    <s v="9518671366-2"/>
    <s v="No Priority"/>
    <x v="0"/>
    <s v="Yes"/>
    <x v="2"/>
    <x v="3"/>
    <s v="1000-IPPE"/>
    <m/>
    <x v="0"/>
    <m/>
    <m/>
    <m/>
    <s v="TBSPL"/>
    <s v="GAMHARIA"/>
    <m/>
    <n v="940016"/>
    <x v="15"/>
    <n v="1640840"/>
    <s v="PPGL C Y550 HPL3 0.45BMT(0.53TPT)X1220"/>
    <s v="AZ150"/>
    <s v="RAL 9002 TSL 142A"/>
    <n v="3"/>
    <n v="5"/>
    <m/>
    <s v="B18"/>
    <s v="Y550PL"/>
    <s v="HPL3"/>
    <n v="0.45"/>
    <n v="1220"/>
    <n v="0"/>
    <n v="56"/>
    <n v="0"/>
    <n v="56"/>
    <n v="56"/>
    <n v="56"/>
    <n v="0"/>
    <n v="0"/>
    <n v="0"/>
    <n v="0"/>
    <n v="0"/>
    <n v="0"/>
    <n v="0"/>
    <n v="0"/>
    <n v="0"/>
    <n v="0"/>
    <n v="0"/>
    <n v="0"/>
    <n v="0"/>
    <n v="0"/>
    <n v="0"/>
    <n v="0"/>
    <n v="0"/>
    <n v="0"/>
    <n v="0"/>
    <n v="0"/>
    <n v="0"/>
    <n v="0"/>
    <n v="0"/>
    <n v="0"/>
    <m/>
    <m/>
    <m/>
    <m/>
    <m/>
    <m/>
    <m/>
    <m/>
    <m/>
    <m/>
    <m/>
    <m/>
    <m/>
    <m/>
    <m/>
    <m/>
    <m/>
    <m/>
    <m/>
    <m/>
    <m/>
    <m/>
    <m/>
    <m/>
    <m/>
    <m/>
    <m/>
    <m/>
    <m/>
    <m/>
    <m/>
    <m/>
    <m/>
    <m/>
    <m/>
    <m/>
    <m/>
    <m/>
    <m/>
    <m/>
    <m/>
    <m/>
    <m/>
    <m/>
    <m/>
    <m/>
    <m/>
    <m/>
    <m/>
  </r>
  <r>
    <n v="744"/>
    <d v="2025-04-05T00:00:00"/>
    <s v="ZBTO"/>
    <n v="9518671225"/>
    <n v="1"/>
    <s v="9518671225-1"/>
    <s v="May'25"/>
    <x v="0"/>
    <m/>
    <x v="2"/>
    <x v="3"/>
    <s v="1000-IPPE"/>
    <m/>
    <x v="1"/>
    <m/>
    <m/>
    <m/>
    <s v="TBSPL"/>
    <s v="GAMHARIA"/>
    <m/>
    <n v="940016"/>
    <x v="15"/>
    <n v="3996225"/>
    <s v="PPGL C HARD Y550PL HPL6 0.400X1220"/>
    <s v="AZ150"/>
    <s v="NUVO BLUE TSL 1903"/>
    <n v="3"/>
    <n v="5"/>
    <m/>
    <s v="B18"/>
    <s v="Y550PL"/>
    <s v="HPL6"/>
    <n v="0.4"/>
    <n v="1220"/>
    <n v="0"/>
    <n v="56"/>
    <n v="0"/>
    <n v="56"/>
    <n v="56"/>
    <n v="32.034999999999997"/>
    <n v="24.76"/>
    <n v="0"/>
    <n v="0"/>
    <n v="0"/>
    <n v="0"/>
    <n v="0"/>
    <n v="0"/>
    <n v="0"/>
    <n v="19.3"/>
    <n v="0"/>
    <n v="0"/>
    <n v="0"/>
    <n v="0"/>
    <n v="0"/>
    <n v="0"/>
    <n v="0"/>
    <n v="0"/>
    <n v="0"/>
    <n v="0"/>
    <n v="4.665"/>
    <n v="23.965"/>
    <n v="23.965"/>
    <n v="0"/>
    <n v="23.965"/>
    <m/>
    <m/>
    <m/>
    <m/>
    <m/>
    <m/>
    <m/>
    <m/>
    <m/>
    <m/>
    <m/>
    <m/>
    <m/>
    <m/>
    <m/>
    <m/>
    <m/>
    <m/>
    <m/>
    <m/>
    <m/>
    <m/>
    <m/>
    <m/>
    <m/>
    <m/>
    <m/>
    <m/>
    <m/>
    <m/>
    <m/>
    <m/>
    <m/>
    <m/>
    <m/>
    <m/>
    <m/>
    <m/>
    <m/>
    <m/>
    <m/>
    <m/>
    <m/>
    <m/>
    <m/>
    <m/>
    <m/>
    <m/>
    <m/>
  </r>
  <r>
    <n v="744"/>
    <d v="2025-04-05T00:00:00"/>
    <s v="ZBTO"/>
    <n v="9518671225"/>
    <n v="2"/>
    <s v="9518671225-2"/>
    <s v="May'25"/>
    <x v="0"/>
    <m/>
    <x v="2"/>
    <x v="3"/>
    <s v="1000-IPPE"/>
    <m/>
    <x v="1"/>
    <m/>
    <m/>
    <m/>
    <s v="TBSPL"/>
    <s v="GAMHARIA"/>
    <m/>
    <n v="940016"/>
    <x v="15"/>
    <n v="3996225"/>
    <s v="PPGL C HARD Y550PL HPL6 0.400X1220"/>
    <s v="AZ150"/>
    <s v="NG BRIGHT GREEN TSL 2211"/>
    <n v="3"/>
    <n v="5"/>
    <m/>
    <s v="B18"/>
    <s v="Y550PL"/>
    <s v="HPL6"/>
    <n v="0.4"/>
    <n v="1220"/>
    <n v="0"/>
    <n v="55.999000000000002"/>
    <n v="0"/>
    <n v="55.999000000000002"/>
    <n v="55.999000000000002"/>
    <n v="55.999000000000002"/>
    <n v="55.999000000000002"/>
    <n v="0"/>
    <n v="0"/>
    <n v="0"/>
    <n v="0"/>
    <n v="0"/>
    <n v="0"/>
    <n v="0"/>
    <n v="0"/>
    <n v="0"/>
    <n v="0"/>
    <n v="0"/>
    <n v="0"/>
    <n v="0"/>
    <n v="0"/>
    <n v="0"/>
    <n v="0"/>
    <n v="0"/>
    <n v="0"/>
    <n v="0"/>
    <n v="0"/>
    <n v="0"/>
    <n v="0"/>
    <n v="0"/>
    <m/>
    <m/>
    <m/>
    <m/>
    <m/>
    <m/>
    <m/>
    <m/>
    <m/>
    <m/>
    <m/>
    <m/>
    <m/>
    <m/>
    <m/>
    <m/>
    <m/>
    <m/>
    <m/>
    <m/>
    <m/>
    <m/>
    <m/>
    <m/>
    <m/>
    <m/>
    <m/>
    <m/>
    <m/>
    <m/>
    <m/>
    <m/>
    <m/>
    <m/>
    <m/>
    <m/>
    <m/>
    <m/>
    <m/>
    <m/>
    <m/>
    <m/>
    <m/>
    <m/>
    <m/>
    <m/>
    <m/>
    <m/>
    <m/>
  </r>
  <r>
    <n v="742"/>
    <d v="2025-02-19T00:00:00"/>
    <s v="ZBTO"/>
    <n v="9518533557"/>
    <n v="7"/>
    <s v="9518533557-7"/>
    <s v="May'25"/>
    <x v="0"/>
    <s v="Yes"/>
    <x v="1"/>
    <x v="2"/>
    <s v="2000-BPRS"/>
    <m/>
    <x v="1"/>
    <m/>
    <m/>
    <m/>
    <s v="East"/>
    <s v="HOWRAH"/>
    <m/>
    <n v="101278"/>
    <x v="11"/>
    <n v="3409913"/>
    <s v="CRCA SHEET TSBCRC SR15 0.600X1120X2000"/>
    <s v=" "/>
    <s v=""/>
    <n v="2"/>
    <n v="3"/>
    <m/>
    <s v="C06"/>
    <s v="TSBCRC"/>
    <s v="SR15"/>
    <n v="0.6"/>
    <n v="1120"/>
    <n v="2000"/>
    <n v="30"/>
    <n v="0"/>
    <n v="30"/>
    <n v="30"/>
    <n v="30"/>
    <n v="30"/>
    <n v="0"/>
    <n v="0"/>
    <n v="0"/>
    <n v="0"/>
    <n v="0"/>
    <n v="0"/>
    <n v="0"/>
    <n v="0"/>
    <n v="0"/>
    <n v="0"/>
    <n v="0"/>
    <n v="0"/>
    <n v="0"/>
    <n v="0"/>
    <n v="0"/>
    <n v="0"/>
    <n v="0"/>
    <n v="0"/>
    <n v="0"/>
    <n v="0"/>
    <n v="0"/>
    <n v="0"/>
    <n v="0"/>
    <m/>
    <m/>
    <m/>
    <m/>
    <m/>
    <m/>
    <m/>
    <m/>
    <m/>
    <m/>
    <m/>
    <m/>
    <m/>
    <m/>
    <m/>
    <m/>
    <m/>
    <m/>
    <m/>
    <m/>
    <m/>
    <m/>
    <m/>
    <m/>
    <m/>
    <m/>
    <m/>
    <m/>
    <m/>
    <m/>
    <m/>
    <m/>
    <m/>
    <m/>
    <m/>
    <m/>
    <m/>
    <m/>
    <m/>
    <m/>
    <m/>
    <m/>
    <m/>
    <m/>
    <m/>
    <m/>
    <m/>
    <m/>
    <m/>
  </r>
  <r>
    <n v="742"/>
    <d v="2025-03-21T00:00:00"/>
    <s v="ZBTO"/>
    <n v="9518620006"/>
    <n v="1"/>
    <s v="9518620006-1"/>
    <s v="May'25"/>
    <x v="0"/>
    <s v="Yes"/>
    <x v="1"/>
    <x v="2"/>
    <s v="2000-BPRS"/>
    <m/>
    <x v="1"/>
    <m/>
    <m/>
    <m/>
    <s v="East"/>
    <s v="URLA"/>
    <m/>
    <n v="931662"/>
    <x v="69"/>
    <n v="3239567"/>
    <s v="CRCA SHEET TATCRC SR16 0.450X1000X2500"/>
    <s v=" "/>
    <s v=""/>
    <n v="0"/>
    <n v="0"/>
    <m/>
    <s v="C06"/>
    <s v="TATCRC"/>
    <s v="SR16"/>
    <n v="0.45"/>
    <n v="1000"/>
    <n v="2500"/>
    <n v="24"/>
    <n v="0"/>
    <n v="24"/>
    <n v="24"/>
    <n v="1.5999999999999979"/>
    <n v="24"/>
    <n v="0"/>
    <n v="0"/>
    <n v="0"/>
    <n v="0"/>
    <n v="0"/>
    <n v="0"/>
    <n v="0"/>
    <n v="0"/>
    <n v="0"/>
    <n v="0"/>
    <n v="0"/>
    <n v="0"/>
    <n v="0"/>
    <n v="22.400000000000002"/>
    <n v="0"/>
    <n v="0"/>
    <n v="0"/>
    <n v="0"/>
    <n v="0"/>
    <n v="22.400000000000002"/>
    <n v="22.400000000000002"/>
    <n v="0"/>
    <n v="22.400000000000002"/>
    <m/>
    <m/>
    <m/>
    <m/>
    <m/>
    <m/>
    <m/>
    <m/>
    <m/>
    <m/>
    <m/>
    <m/>
    <m/>
    <m/>
    <m/>
    <m/>
    <m/>
    <m/>
    <m/>
    <m/>
    <m/>
    <m/>
    <m/>
    <m/>
    <m/>
    <m/>
    <m/>
    <m/>
    <m/>
    <m/>
    <m/>
    <m/>
    <m/>
    <m/>
    <m/>
    <m/>
    <m/>
    <m/>
    <m/>
    <m/>
    <m/>
    <m/>
    <m/>
    <m/>
    <m/>
    <m/>
    <m/>
    <m/>
    <m/>
  </r>
  <r>
    <n v="742"/>
    <d v="2025-03-21T00:00:00"/>
    <s v="ZBTO"/>
    <n v="9518620159"/>
    <n v="5"/>
    <s v="9518620159-5"/>
    <s v="May'25"/>
    <x v="0"/>
    <s v="Yes"/>
    <x v="1"/>
    <x v="2"/>
    <s v="2000-BPRS"/>
    <m/>
    <x v="1"/>
    <m/>
    <m/>
    <m/>
    <s v="East"/>
    <s v="URLA"/>
    <m/>
    <n v="931662"/>
    <x v="69"/>
    <n v="3240765"/>
    <s v="CRCA SHEET TSBCRC SR15 0.500X1250X2500"/>
    <s v=" "/>
    <s v=""/>
    <n v="0"/>
    <n v="0"/>
    <m/>
    <s v="C06"/>
    <s v="TSBCRC"/>
    <s v="SR15"/>
    <n v="0.5"/>
    <n v="1250"/>
    <n v="2500"/>
    <n v="30"/>
    <n v="0"/>
    <n v="30"/>
    <n v="2.46"/>
    <n v="0"/>
    <n v="30"/>
    <n v="0"/>
    <n v="0"/>
    <n v="0"/>
    <n v="0"/>
    <n v="0"/>
    <n v="0"/>
    <n v="0"/>
    <n v="0"/>
    <n v="27.04"/>
    <n v="0"/>
    <n v="0"/>
    <n v="0"/>
    <n v="0"/>
    <n v="0"/>
    <n v="0"/>
    <n v="0"/>
    <n v="0"/>
    <n v="0"/>
    <n v="0"/>
    <n v="27.04"/>
    <n v="27.04"/>
    <n v="0"/>
    <n v="27.04"/>
    <m/>
    <m/>
    <m/>
    <m/>
    <m/>
    <m/>
    <m/>
    <m/>
    <m/>
    <m/>
    <m/>
    <m/>
    <m/>
    <m/>
    <m/>
    <m/>
    <m/>
    <m/>
    <m/>
    <m/>
    <m/>
    <m/>
    <m/>
    <m/>
    <m/>
    <m/>
    <m/>
    <m/>
    <m/>
    <m/>
    <m/>
    <m/>
    <m/>
    <m/>
    <m/>
    <m/>
    <m/>
    <m/>
    <m/>
    <m/>
    <m/>
    <m/>
    <m/>
    <m/>
    <m/>
    <m/>
    <m/>
    <m/>
    <m/>
  </r>
  <r>
    <n v="743"/>
    <d v="2025-04-03T00:00:00"/>
    <s v="ZBTO"/>
    <n v="9518666258"/>
    <n v="1"/>
    <s v="9518666258-1"/>
    <s v="May'25"/>
    <x v="0"/>
    <s v="Yes"/>
    <x v="4"/>
    <x v="3"/>
    <s v="1000-IPPE"/>
    <m/>
    <x v="1"/>
    <m/>
    <m/>
    <m/>
    <s v="TBSPL"/>
    <s v="TATANAGAR"/>
    <m/>
    <n v="942284"/>
    <x v="6"/>
    <n v="1881969"/>
    <s v="GL C YS550 H6GL 0.45BMT(0.50TCT)X1220"/>
    <s v="AZ150"/>
    <s v=""/>
    <n v="3"/>
    <n v="5"/>
    <m/>
    <s v="B04"/>
    <s v="Y550GL"/>
    <s v="H6GL"/>
    <n v="0.45"/>
    <n v="1220"/>
    <n v="0"/>
    <n v="280"/>
    <n v="0"/>
    <n v="280"/>
    <n v="280"/>
    <n v="251.89"/>
    <n v="24.385000000000002"/>
    <n v="0"/>
    <n v="0"/>
    <n v="0"/>
    <n v="0"/>
    <n v="0"/>
    <n v="0"/>
    <n v="0"/>
    <n v="9.7000000000000011"/>
    <n v="0"/>
    <n v="0"/>
    <n v="0"/>
    <n v="0"/>
    <n v="0"/>
    <n v="0"/>
    <n v="0"/>
    <n v="0"/>
    <n v="0"/>
    <n v="0"/>
    <n v="18.41"/>
    <n v="28.11"/>
    <n v="28.11"/>
    <n v="0"/>
    <n v="28.11"/>
    <m/>
    <m/>
    <m/>
    <m/>
    <m/>
    <m/>
    <m/>
    <m/>
    <m/>
    <m/>
    <m/>
    <m/>
    <m/>
    <m/>
    <m/>
    <m/>
    <m/>
    <m/>
    <m/>
    <m/>
    <m/>
    <m/>
    <m/>
    <m/>
    <m/>
    <m/>
    <m/>
    <m/>
    <m/>
    <m/>
    <m/>
    <m/>
    <m/>
    <m/>
    <m/>
    <m/>
    <m/>
    <m/>
    <m/>
    <m/>
    <m/>
    <m/>
    <m/>
    <m/>
    <m/>
    <m/>
    <m/>
    <m/>
    <m/>
  </r>
  <r>
    <n v="743"/>
    <d v="2025-04-03T00:00:00"/>
    <s v="ZBTO"/>
    <n v="9518666258"/>
    <n v="2"/>
    <s v="9518666258-2"/>
    <s v="No Priority"/>
    <x v="0"/>
    <m/>
    <x v="4"/>
    <x v="3"/>
    <s v="1000-IPPE"/>
    <m/>
    <x v="0"/>
    <m/>
    <m/>
    <m/>
    <s v="TBSPL"/>
    <s v="TATANAGAR"/>
    <m/>
    <n v="942284"/>
    <x v="6"/>
    <n v="1881969"/>
    <s v="GL C YS550 H6GL 0.45BMT(0.50TCT)X1220"/>
    <s v="AZ150"/>
    <s v=""/>
    <n v="3"/>
    <n v="5"/>
    <m/>
    <s v="B04"/>
    <s v="Y550GL"/>
    <s v="H6GL"/>
    <n v="0.45"/>
    <n v="1220"/>
    <n v="0"/>
    <n v="84"/>
    <n v="0"/>
    <n v="84"/>
    <n v="0.57999999999999996"/>
    <n v="0"/>
    <n v="6.3250000000000002"/>
    <n v="0"/>
    <n v="0"/>
    <n v="0"/>
    <n v="0"/>
    <n v="0"/>
    <n v="0"/>
    <n v="0"/>
    <n v="0"/>
    <n v="0"/>
    <n v="0"/>
    <n v="0"/>
    <n v="0"/>
    <n v="0"/>
    <n v="0"/>
    <n v="0"/>
    <n v="0"/>
    <n v="0"/>
    <n v="0"/>
    <n v="4.42"/>
    <n v="4.42"/>
    <n v="4.42"/>
    <n v="0"/>
    <n v="4.42"/>
    <m/>
    <m/>
    <m/>
    <m/>
    <m/>
    <m/>
    <m/>
    <m/>
    <m/>
    <m/>
    <m/>
    <m/>
    <m/>
    <m/>
    <m/>
    <m/>
    <m/>
    <m/>
    <m/>
    <m/>
    <m/>
    <m/>
    <m/>
    <m/>
    <m/>
    <m/>
    <m/>
    <m/>
    <m/>
    <m/>
    <m/>
    <m/>
    <m/>
    <m/>
    <m/>
    <m/>
    <m/>
    <m/>
    <m/>
    <m/>
    <m/>
    <m/>
    <m/>
    <m/>
    <m/>
    <m/>
    <m/>
    <m/>
    <m/>
  </r>
  <r>
    <n v="743"/>
    <d v="2025-02-06T00:00:00"/>
    <s v="ZBTO"/>
    <n v="9518497649"/>
    <n v="3"/>
    <s v="9518497649-3"/>
    <s v="No Priority"/>
    <x v="0"/>
    <m/>
    <x v="3"/>
    <x v="0"/>
    <s v="2000-BPRS"/>
    <m/>
    <x v="0"/>
    <m/>
    <m/>
    <m/>
    <s v="East"/>
    <s v="TATANAGAR"/>
    <m/>
    <n v="165053"/>
    <x v="5"/>
    <n v="1852445"/>
    <s v="GP COIL SOFT-TSBXGP-T1GP-0.6X1250"/>
    <s v="Z80"/>
    <s v=""/>
    <n v="4"/>
    <n v="12"/>
    <m/>
    <s v="C02"/>
    <s v="TSBXGP"/>
    <s v="T1GP"/>
    <n v="0.6"/>
    <n v="1250"/>
    <n v="0"/>
    <n v="29"/>
    <n v="0"/>
    <n v="29"/>
    <n v="29"/>
    <n v="0"/>
    <n v="29"/>
    <n v="0"/>
    <n v="0"/>
    <n v="0"/>
    <n v="0"/>
    <n v="0"/>
    <n v="0"/>
    <n v="0"/>
    <n v="0"/>
    <n v="0"/>
    <n v="0"/>
    <n v="0"/>
    <n v="0"/>
    <n v="0"/>
    <n v="0"/>
    <n v="0"/>
    <n v="0"/>
    <n v="0"/>
    <n v="0"/>
    <n v="0"/>
    <n v="0"/>
    <n v="0"/>
    <n v="29"/>
    <n v="29"/>
    <m/>
    <m/>
    <m/>
    <m/>
    <m/>
    <m/>
    <m/>
    <m/>
    <m/>
    <m/>
    <m/>
    <m/>
    <m/>
    <m/>
    <m/>
    <m/>
    <m/>
    <m/>
    <m/>
    <m/>
    <m/>
    <m/>
    <m/>
    <m/>
    <m/>
    <m/>
    <m/>
    <m/>
    <m/>
    <m/>
    <m/>
    <m/>
    <m/>
    <m/>
    <m/>
    <m/>
    <m/>
    <m/>
    <m/>
    <m/>
    <m/>
    <m/>
    <m/>
    <m/>
    <m/>
    <m/>
    <m/>
    <m/>
    <m/>
  </r>
  <r>
    <n v="744"/>
    <d v="2025-04-05T00:00:00"/>
    <s v="ZBTO"/>
    <n v="9518671154"/>
    <n v="1"/>
    <s v="9518671154-1"/>
    <s v="No Priority"/>
    <x v="0"/>
    <m/>
    <x v="2"/>
    <x v="3"/>
    <s v="1000-IPPE"/>
    <m/>
    <x v="0"/>
    <m/>
    <m/>
    <m/>
    <s v="TBSPL"/>
    <s v="RAJASTHAN"/>
    <m/>
    <n v="940008"/>
    <x v="15"/>
    <n v="3996225"/>
    <s v="PPGL C HARD Y550PL HPL6 0.400X1220"/>
    <s v="AZ150"/>
    <s v="NUVO BLUE TSL 1903"/>
    <n v="3"/>
    <n v="5"/>
    <m/>
    <s v="B18"/>
    <s v="Y550PL"/>
    <s v="HPL6"/>
    <n v="0.4"/>
    <n v="1220"/>
    <n v="0"/>
    <n v="28"/>
    <n v="0"/>
    <n v="28"/>
    <n v="-0.89"/>
    <n v="0"/>
    <n v="28"/>
    <n v="0"/>
    <n v="0"/>
    <n v="0"/>
    <n v="0"/>
    <n v="0"/>
    <n v="0"/>
    <n v="0"/>
    <n v="28.19"/>
    <n v="0"/>
    <n v="0"/>
    <n v="0"/>
    <n v="0"/>
    <n v="0"/>
    <n v="0"/>
    <n v="0"/>
    <n v="0"/>
    <n v="0"/>
    <n v="0"/>
    <n v="0"/>
    <n v="28.19"/>
    <n v="28.19"/>
    <n v="0"/>
    <n v="28.19"/>
    <m/>
    <m/>
    <m/>
    <m/>
    <m/>
    <m/>
    <m/>
    <m/>
    <m/>
    <m/>
    <m/>
    <m/>
    <m/>
    <m/>
    <m/>
    <m/>
    <m/>
    <m/>
    <m/>
    <m/>
    <m/>
    <m/>
    <m/>
    <m/>
    <m/>
    <m/>
    <m/>
    <m/>
    <m/>
    <m/>
    <m/>
    <m/>
    <m/>
    <m/>
    <m/>
    <m/>
    <m/>
    <m/>
    <m/>
    <m/>
    <m/>
    <m/>
    <m/>
    <m/>
    <m/>
    <m/>
    <m/>
    <m/>
    <m/>
  </r>
  <r>
    <n v="744"/>
    <d v="2025-04-05T00:00:00"/>
    <s v="ZBTO"/>
    <n v="9518671154"/>
    <n v="2"/>
    <s v="9518671154-2"/>
    <s v="No Priority"/>
    <x v="0"/>
    <m/>
    <x v="2"/>
    <x v="3"/>
    <s v="1000-IPPE"/>
    <m/>
    <x v="0"/>
    <m/>
    <m/>
    <m/>
    <s v="TBSPL"/>
    <s v="RAJASTHAN"/>
    <m/>
    <n v="940008"/>
    <x v="15"/>
    <n v="3996225"/>
    <s v="PPGL C HARD Y550PL HPL6 0.400X1220"/>
    <s v="AZ150"/>
    <s v="ASIAN WHITE TSL 1901"/>
    <n v="3"/>
    <n v="5"/>
    <m/>
    <s v="B18"/>
    <s v="Y550PL"/>
    <s v="HPL6"/>
    <n v="0.4"/>
    <n v="1220"/>
    <n v="0"/>
    <n v="28"/>
    <n v="0"/>
    <n v="28"/>
    <n v="0.24"/>
    <n v="0"/>
    <n v="28"/>
    <n v="0"/>
    <n v="0"/>
    <n v="0"/>
    <n v="0"/>
    <n v="0"/>
    <n v="0"/>
    <n v="0"/>
    <n v="0"/>
    <n v="0"/>
    <n v="0"/>
    <n v="0"/>
    <n v="0"/>
    <n v="0"/>
    <n v="0"/>
    <n v="0"/>
    <n v="0"/>
    <n v="0"/>
    <n v="0"/>
    <n v="0"/>
    <n v="0"/>
    <n v="0"/>
    <n v="0"/>
    <n v="0"/>
    <m/>
    <m/>
    <m/>
    <m/>
    <m/>
    <m/>
    <m/>
    <m/>
    <m/>
    <m/>
    <m/>
    <m/>
    <m/>
    <m/>
    <m/>
    <m/>
    <m/>
    <m/>
    <m/>
    <m/>
    <m/>
    <m/>
    <m/>
    <m/>
    <m/>
    <m/>
    <m/>
    <m/>
    <m/>
    <m/>
    <m/>
    <m/>
    <m/>
    <m/>
    <m/>
    <m/>
    <m/>
    <m/>
    <m/>
    <m/>
    <m/>
    <m/>
    <m/>
    <m/>
    <m/>
    <m/>
    <m/>
    <m/>
    <m/>
  </r>
  <r>
    <n v="744"/>
    <d v="2025-03-29T00:00:00"/>
    <s v="ZBTO"/>
    <n v="9518653378"/>
    <n v="1"/>
    <s v="9518653378-1"/>
    <s v="No Priority"/>
    <x v="0"/>
    <m/>
    <x v="2"/>
    <x v="3"/>
    <s v="1000-IPPE"/>
    <m/>
    <x v="0"/>
    <m/>
    <m/>
    <m/>
    <s v="TBSPL"/>
    <s v="RAJASTHAN"/>
    <m/>
    <n v="940008"/>
    <x v="15"/>
    <n v="3727860"/>
    <s v="PPGL C HARD Y550PL HPL6 0.430X1220"/>
    <s v="AZ150"/>
    <s v="ASIAN WHITE TSL 1901"/>
    <n v="3"/>
    <n v="5"/>
    <m/>
    <s v="B18"/>
    <s v="Y550PL"/>
    <s v="HPL6"/>
    <n v="0.43"/>
    <n v="1220"/>
    <n v="0"/>
    <n v="56"/>
    <n v="0"/>
    <n v="56"/>
    <n v="2"/>
    <n v="0"/>
    <n v="53.99"/>
    <n v="0"/>
    <n v="0"/>
    <n v="0"/>
    <n v="0"/>
    <n v="0"/>
    <n v="0"/>
    <n v="0"/>
    <n v="0"/>
    <n v="0"/>
    <n v="18.27"/>
    <n v="0"/>
    <n v="0"/>
    <n v="0"/>
    <n v="0"/>
    <n v="0"/>
    <n v="0"/>
    <n v="0"/>
    <n v="9.51"/>
    <n v="0"/>
    <n v="27.78"/>
    <n v="27.78"/>
    <n v="0"/>
    <n v="27.78"/>
    <m/>
    <m/>
    <m/>
    <m/>
    <m/>
    <m/>
    <m/>
    <m/>
    <m/>
    <m/>
    <m/>
    <m/>
    <m/>
    <m/>
    <m/>
    <m/>
    <m/>
    <m/>
    <m/>
    <m/>
    <m/>
    <m/>
    <m/>
    <m/>
    <m/>
    <m/>
    <m/>
    <m/>
    <m/>
    <m/>
    <m/>
    <m/>
    <m/>
    <m/>
    <m/>
    <m/>
    <m/>
    <m/>
    <m/>
    <m/>
    <m/>
    <m/>
    <m/>
    <m/>
    <m/>
    <m/>
    <m/>
    <m/>
    <m/>
  </r>
  <r>
    <n v="744"/>
    <d v="2025-03-29T00:00:00"/>
    <s v="ZBTO"/>
    <n v="9518653378"/>
    <n v="2"/>
    <s v="9518653378-2"/>
    <s v="No Priority"/>
    <x v="0"/>
    <m/>
    <x v="2"/>
    <x v="3"/>
    <s v="1000-IPPE"/>
    <m/>
    <x v="0"/>
    <m/>
    <m/>
    <m/>
    <s v="TBSPL"/>
    <s v="RAJASTHAN"/>
    <m/>
    <n v="940008"/>
    <x v="15"/>
    <n v="3727860"/>
    <s v="PPGL C HARD Y550PL HPL6 0.430X1220"/>
    <s v="AZ150"/>
    <s v="NG SMART GREY TSL 1905"/>
    <n v="3"/>
    <n v="5"/>
    <m/>
    <s v="B18"/>
    <s v="Y550PL"/>
    <s v="HPL6"/>
    <n v="0.43"/>
    <n v="1220"/>
    <n v="0"/>
    <n v="28"/>
    <n v="0"/>
    <n v="28"/>
    <n v="28"/>
    <n v="20.79"/>
    <n v="0.94"/>
    <n v="0"/>
    <n v="0"/>
    <n v="0"/>
    <n v="0"/>
    <n v="0"/>
    <n v="0"/>
    <n v="0"/>
    <n v="0"/>
    <n v="0"/>
    <n v="7.21"/>
    <n v="0"/>
    <n v="0"/>
    <n v="0"/>
    <n v="0"/>
    <n v="0"/>
    <n v="0"/>
    <n v="0"/>
    <n v="0"/>
    <n v="0"/>
    <n v="7.21"/>
    <n v="7.21"/>
    <n v="0"/>
    <n v="7.21"/>
    <m/>
    <m/>
    <m/>
    <m/>
    <m/>
    <m/>
    <m/>
    <m/>
    <m/>
    <m/>
    <m/>
    <m/>
    <m/>
    <m/>
    <m/>
    <m/>
    <m/>
    <m/>
    <m/>
    <m/>
    <m/>
    <m/>
    <m/>
    <m/>
    <m/>
    <m/>
    <m/>
    <m/>
    <m/>
    <m/>
    <m/>
    <m/>
    <m/>
    <m/>
    <m/>
    <m/>
    <m/>
    <m/>
    <m/>
    <m/>
    <m/>
    <m/>
    <m/>
    <m/>
    <m/>
    <m/>
    <m/>
    <m/>
    <m/>
  </r>
  <r>
    <n v="744"/>
    <d v="2025-03-31T00:00:00"/>
    <s v="ZBTO"/>
    <n v="9518660506"/>
    <n v="1"/>
    <s v="9518660506-1"/>
    <s v="No Priority"/>
    <x v="0"/>
    <m/>
    <x v="2"/>
    <x v="3"/>
    <s v="1000-IPPE"/>
    <m/>
    <x v="0"/>
    <m/>
    <m/>
    <m/>
    <s v="TBSPL"/>
    <s v="RAJASTHAN"/>
    <m/>
    <n v="940008"/>
    <x v="15"/>
    <n v="3727860"/>
    <s v="PPGL C HARD Y550PL HPL6 0.430X1220"/>
    <s v="AZ150"/>
    <s v="NUVO BLUE TSL 1903"/>
    <n v="3"/>
    <n v="5"/>
    <m/>
    <s v="B18"/>
    <s v="Y550PL"/>
    <s v="HPL6"/>
    <n v="0.43"/>
    <n v="1220"/>
    <n v="0"/>
    <n v="56"/>
    <n v="22.98"/>
    <n v="33.020000000000003"/>
    <n v="1.68"/>
    <n v="0"/>
    <n v="1.4550000000000001"/>
    <n v="0"/>
    <n v="0"/>
    <n v="0"/>
    <n v="0"/>
    <n v="0"/>
    <n v="0"/>
    <n v="0"/>
    <n v="0"/>
    <n v="0"/>
    <n v="4.5350000000000001"/>
    <n v="0"/>
    <n v="0"/>
    <n v="0"/>
    <n v="0"/>
    <n v="0"/>
    <n v="0"/>
    <n v="0"/>
    <n v="5.98"/>
    <n v="0"/>
    <n v="10.515000000000001"/>
    <n v="10.515000000000001"/>
    <n v="0"/>
    <n v="10.515000000000001"/>
    <m/>
    <m/>
    <m/>
    <m/>
    <m/>
    <m/>
    <m/>
    <m/>
    <m/>
    <m/>
    <m/>
    <m/>
    <m/>
    <m/>
    <m/>
    <m/>
    <m/>
    <m/>
    <m/>
    <m/>
    <m/>
    <m/>
    <m/>
    <m/>
    <m/>
    <m/>
    <m/>
    <m/>
    <m/>
    <m/>
    <m/>
    <m/>
    <m/>
    <m/>
    <m/>
    <m/>
    <m/>
    <m/>
    <m/>
    <m/>
    <m/>
    <m/>
    <m/>
    <m/>
    <m/>
    <m/>
    <m/>
    <m/>
    <m/>
  </r>
  <r>
    <n v="744"/>
    <d v="2025-03-29T00:00:00"/>
    <s v="ZBTO"/>
    <n v="9518653307"/>
    <n v="1"/>
    <s v="9518653307-1"/>
    <s v="No Priority"/>
    <x v="0"/>
    <m/>
    <x v="2"/>
    <x v="3"/>
    <s v="1000-IPPE"/>
    <m/>
    <x v="0"/>
    <m/>
    <m/>
    <m/>
    <s v="TBSPL"/>
    <s v="RAJASTHAN"/>
    <m/>
    <n v="940008"/>
    <x v="15"/>
    <n v="3522241"/>
    <s v="PPGL C Y550 D0C7 0.43BMT(0.47TPT)X1220"/>
    <s v="aZ70"/>
    <s v="NUVO BLUE TSL 1903"/>
    <n v="3"/>
    <n v="5"/>
    <m/>
    <s v="B18"/>
    <s v="Y550PL"/>
    <s v="D0C7"/>
    <n v="0.43"/>
    <n v="1220"/>
    <n v="0"/>
    <n v="56"/>
    <n v="0"/>
    <n v="56"/>
    <n v="0.5"/>
    <n v="0"/>
    <n v="2.9449999999999998"/>
    <n v="0"/>
    <n v="0"/>
    <n v="0"/>
    <n v="0"/>
    <n v="0"/>
    <n v="0"/>
    <n v="0"/>
    <n v="0"/>
    <n v="0"/>
    <n v="0"/>
    <n v="0"/>
    <n v="0"/>
    <n v="0"/>
    <n v="0"/>
    <n v="0"/>
    <n v="0"/>
    <n v="0"/>
    <n v="0"/>
    <n v="0"/>
    <n v="0"/>
    <n v="0"/>
    <n v="0"/>
    <n v="0"/>
    <m/>
    <m/>
    <m/>
    <m/>
    <m/>
    <m/>
    <m/>
    <m/>
    <m/>
    <m/>
    <m/>
    <m/>
    <m/>
    <m/>
    <m/>
    <m/>
    <m/>
    <m/>
    <m/>
    <m/>
    <m/>
    <m/>
    <m/>
    <m/>
    <m/>
    <m/>
    <m/>
    <m/>
    <m/>
    <m/>
    <m/>
    <m/>
    <m/>
    <m/>
    <m/>
    <m/>
    <m/>
    <m/>
    <m/>
    <m/>
    <m/>
    <m/>
    <m/>
    <m/>
    <m/>
    <m/>
    <m/>
    <m/>
    <m/>
  </r>
  <r>
    <n v="742"/>
    <d v="2025-03-31T00:00:00"/>
    <s v="ZBTO"/>
    <n v="9518661095"/>
    <n v="1"/>
    <s v="9518661095-1"/>
    <s v="No Priority"/>
    <x v="0"/>
    <m/>
    <x v="1"/>
    <x v="11"/>
    <s v="2000-BPRS"/>
    <m/>
    <x v="0"/>
    <m/>
    <m/>
    <s v="Maharashtra"/>
    <s v="West"/>
    <s v="BOMBAY"/>
    <m/>
    <n v="154641"/>
    <x v="0"/>
    <n v="2438381"/>
    <s v="CRCA COIL TATXXD AH03 0.900X1320"/>
    <s v=" "/>
    <s v=""/>
    <n v="10"/>
    <n v="15"/>
    <m/>
    <s v="C01"/>
    <s v="TATXXD"/>
    <s v="AH03"/>
    <n v="0.9"/>
    <n v="1320"/>
    <n v="0"/>
    <n v="30"/>
    <n v="0"/>
    <n v="30"/>
    <n v="30"/>
    <n v="30"/>
    <n v="30"/>
    <n v="0"/>
    <n v="0"/>
    <n v="0"/>
    <n v="0"/>
    <n v="0"/>
    <n v="0"/>
    <n v="0"/>
    <n v="0"/>
    <n v="0"/>
    <n v="0"/>
    <n v="0"/>
    <n v="0"/>
    <n v="0"/>
    <n v="0"/>
    <n v="0"/>
    <n v="0"/>
    <n v="0"/>
    <n v="0"/>
    <n v="0"/>
    <n v="0"/>
    <n v="0"/>
    <n v="0"/>
    <n v="0"/>
    <m/>
    <m/>
    <m/>
    <m/>
    <m/>
    <m/>
    <m/>
    <m/>
    <m/>
    <m/>
    <m/>
    <m/>
    <m/>
    <m/>
    <m/>
    <m/>
    <m/>
    <m/>
    <m/>
    <m/>
    <m/>
    <m/>
    <m/>
    <m/>
    <m/>
    <m/>
    <m/>
    <m/>
    <m/>
    <m/>
    <m/>
    <m/>
    <m/>
    <m/>
    <m/>
    <m/>
    <m/>
    <m/>
    <m/>
    <m/>
    <m/>
    <m/>
    <m/>
    <m/>
    <m/>
    <m/>
    <m/>
    <m/>
    <m/>
  </r>
  <r>
    <n v="743"/>
    <d v="2025-03-21T00:00:00"/>
    <s v="ZBTO"/>
    <n v="9518620626"/>
    <n v="1"/>
    <s v="9518620626-1"/>
    <s v="No Priority"/>
    <x v="0"/>
    <m/>
    <x v="3"/>
    <x v="0"/>
    <s v="2000-BPRS"/>
    <m/>
    <x v="0"/>
    <m/>
    <m/>
    <m/>
    <s v="East"/>
    <s v="TATANAGAR"/>
    <m/>
    <n v="165053"/>
    <x v="5"/>
    <n v="1852414"/>
    <s v="GP COIL SOFT-TSBXGP-N1GP-0.6X900"/>
    <s v="Z80"/>
    <s v=""/>
    <n v="4"/>
    <n v="12"/>
    <m/>
    <s v="C02"/>
    <s v="TSBXGP"/>
    <s v="N1GP"/>
    <n v="0.6"/>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06T00:00:00"/>
    <s v="ZBTO"/>
    <n v="9518497649"/>
    <n v="1"/>
    <s v="9518497649-1"/>
    <s v="No Priority"/>
    <x v="0"/>
    <m/>
    <x v="3"/>
    <x v="0"/>
    <s v="2000-BPRS"/>
    <m/>
    <x v="0"/>
    <m/>
    <m/>
    <m/>
    <s v="East"/>
    <s v="TATANAGAR"/>
    <m/>
    <n v="165053"/>
    <x v="5"/>
    <n v="1852414"/>
    <s v="GP COIL SOFT-TSBXGP-N1GP-0.6X900"/>
    <s v="Z80"/>
    <s v=""/>
    <n v="4"/>
    <n v="12"/>
    <m/>
    <s v="C02"/>
    <s v="TSBXGP"/>
    <s v="N1GP"/>
    <n v="0.6"/>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25T00:00:00"/>
    <s v="ZBTO"/>
    <n v="9518632689"/>
    <n v="1"/>
    <s v="9518632689-1"/>
    <s v="May'25"/>
    <x v="0"/>
    <m/>
    <x v="4"/>
    <x v="5"/>
    <s v="1000-IPPE"/>
    <m/>
    <x v="1"/>
    <m/>
    <m/>
    <m/>
    <s v="West"/>
    <s v="SANAND"/>
    <m/>
    <n v="944226"/>
    <x v="84"/>
    <n v="3889776"/>
    <s v="GL COIL HARD  Y550GL H0GL 0.900X1249"/>
    <s v="AZ150"/>
    <s v=""/>
    <n v="10"/>
    <n v="18"/>
    <m/>
    <s v="B04"/>
    <s v="Y550GL"/>
    <s v="H0GL"/>
    <n v="0.9"/>
    <n v="1249"/>
    <n v="0"/>
    <n v="290"/>
    <n v="266.60000000000002"/>
    <n v="23.4"/>
    <n v="-37.652000000000001"/>
    <n v="0"/>
    <n v="23.4"/>
    <n v="0"/>
    <n v="0"/>
    <n v="0"/>
    <n v="0"/>
    <n v="0"/>
    <n v="0"/>
    <n v="0"/>
    <n v="0.94000000000000006"/>
    <n v="0"/>
    <n v="0"/>
    <n v="0"/>
    <n v="0"/>
    <n v="0"/>
    <n v="0"/>
    <n v="0"/>
    <n v="0"/>
    <n v="0"/>
    <n v="0"/>
    <n v="0"/>
    <n v="0.94000000000000006"/>
    <n v="0.94000000000000006"/>
    <n v="0"/>
    <n v="0.94000000000000006"/>
    <m/>
    <m/>
    <m/>
    <m/>
    <m/>
    <m/>
    <m/>
    <m/>
    <m/>
    <m/>
    <m/>
    <m/>
    <m/>
    <m/>
    <m/>
    <m/>
    <m/>
    <m/>
    <m/>
    <m/>
    <m/>
    <m/>
    <m/>
    <m/>
    <m/>
    <m/>
    <m/>
    <m/>
    <m/>
    <m/>
    <m/>
    <m/>
    <m/>
    <m/>
    <m/>
    <m/>
    <m/>
    <m/>
    <m/>
    <m/>
    <m/>
    <m/>
    <m/>
    <m/>
    <m/>
    <m/>
    <m/>
    <m/>
    <m/>
  </r>
  <r>
    <n v="742"/>
    <d v="2025-04-02T00:00:00"/>
    <s v="ZBTO"/>
    <n v="9518665413"/>
    <n v="2"/>
    <s v="9518665413-2"/>
    <s v="May'25"/>
    <x v="0"/>
    <s v="Yes"/>
    <x v="1"/>
    <x v="2"/>
    <s v="2000-BPRS"/>
    <m/>
    <x v="1"/>
    <m/>
    <m/>
    <m/>
    <s v="East"/>
    <s v="GUWAHATI"/>
    <m/>
    <n v="116649"/>
    <x v="24"/>
    <n v="3240849"/>
    <s v="CRCA SHEET TSBCRC SR15 1.200X1250X2500"/>
    <s v=" "/>
    <s v=""/>
    <n v="2"/>
    <n v="3"/>
    <m/>
    <s v="C06"/>
    <s v="TSBCRC"/>
    <s v="SR15"/>
    <n v="1.2"/>
    <n v="1250"/>
    <n v="2500"/>
    <n v="24"/>
    <n v="0"/>
    <n v="24"/>
    <n v="24"/>
    <n v="24"/>
    <n v="21.445"/>
    <n v="0"/>
    <n v="0"/>
    <n v="0"/>
    <n v="0"/>
    <n v="0"/>
    <n v="0"/>
    <n v="0"/>
    <n v="0"/>
    <n v="0"/>
    <n v="0"/>
    <n v="0"/>
    <n v="0"/>
    <n v="0"/>
    <n v="0"/>
    <n v="0"/>
    <n v="0"/>
    <n v="0"/>
    <n v="0"/>
    <n v="0"/>
    <n v="0"/>
    <n v="0"/>
    <n v="0"/>
    <n v="0"/>
    <m/>
    <m/>
    <m/>
    <m/>
    <m/>
    <m/>
    <m/>
    <m/>
    <m/>
    <m/>
    <m/>
    <m/>
    <m/>
    <m/>
    <m/>
    <m/>
    <m/>
    <m/>
    <m/>
    <m/>
    <m/>
    <m/>
    <m/>
    <m/>
    <m/>
    <m/>
    <m/>
    <m/>
    <m/>
    <m/>
    <m/>
    <m/>
    <m/>
    <m/>
    <m/>
    <m/>
    <m/>
    <m/>
    <m/>
    <m/>
    <m/>
    <m/>
    <m/>
    <m/>
    <m/>
    <m/>
    <m/>
    <m/>
    <m/>
  </r>
  <r>
    <n v="744"/>
    <d v="2025-04-15T00:00:00"/>
    <s v="ZBTO"/>
    <n v="9518695426"/>
    <n v="1"/>
    <s v="9518695426-1"/>
    <s v="May'25"/>
    <x v="0"/>
    <s v="Yes"/>
    <x v="2"/>
    <x v="3"/>
    <s v="1000-IPPE"/>
    <m/>
    <x v="1"/>
    <m/>
    <m/>
    <m/>
    <s v="TBSPL"/>
    <s v="RAJASTHAN"/>
    <m/>
    <n v="940008"/>
    <x v="15"/>
    <n v="3522241"/>
    <s v="PPGL C Y550 D0C7 0.43BMT(0.47TPT)X1220"/>
    <s v="aZ70"/>
    <s v="NGP PEARL GREEN TSL 2213"/>
    <n v="3"/>
    <n v="5"/>
    <m/>
    <s v="B18"/>
    <s v="Y550PL"/>
    <s v="D0C7"/>
    <n v="0.43"/>
    <n v="1220"/>
    <n v="0"/>
    <n v="140"/>
    <n v="0"/>
    <n v="140"/>
    <n v="140"/>
    <n v="140"/>
    <n v="140"/>
    <n v="0"/>
    <n v="0"/>
    <n v="0"/>
    <n v="0"/>
    <n v="0"/>
    <n v="0"/>
    <n v="0"/>
    <n v="0"/>
    <n v="0"/>
    <n v="0"/>
    <n v="0"/>
    <n v="0"/>
    <n v="0"/>
    <n v="0"/>
    <n v="0"/>
    <n v="0"/>
    <n v="0"/>
    <n v="0"/>
    <n v="0"/>
    <n v="0"/>
    <n v="0"/>
    <n v="0"/>
    <n v="0"/>
    <m/>
    <m/>
    <m/>
    <m/>
    <m/>
    <m/>
    <m/>
    <m/>
    <m/>
    <m/>
    <m/>
    <m/>
    <m/>
    <m/>
    <m/>
    <m/>
    <m/>
    <m/>
    <m/>
    <m/>
    <m/>
    <m/>
    <m/>
    <m/>
    <m/>
    <m/>
    <m/>
    <m/>
    <m/>
    <m/>
    <m/>
    <m/>
    <m/>
    <m/>
    <m/>
    <m/>
    <m/>
    <m/>
    <m/>
    <m/>
    <m/>
    <m/>
    <m/>
    <m/>
    <m/>
    <m/>
    <m/>
    <m/>
    <m/>
  </r>
  <r>
    <n v="742"/>
    <d v="2025-04-02T00:00:00"/>
    <s v="ZBTO"/>
    <n v="9518665177"/>
    <n v="16"/>
    <s v="9518665177-16"/>
    <s v="No Priority"/>
    <x v="0"/>
    <m/>
    <x v="1"/>
    <x v="2"/>
    <s v="2000-BPRS"/>
    <m/>
    <x v="0"/>
    <m/>
    <m/>
    <m/>
    <s v="South"/>
    <s v="COCHIN HARBOUR "/>
    <m/>
    <n v="116650"/>
    <x v="55"/>
    <n v="3239563"/>
    <s v="CRCA SHEET TATCRC SR16 0.450X1000X1910"/>
    <s v=" "/>
    <s v=""/>
    <n v="0"/>
    <n v="0"/>
    <m/>
    <s v="C06"/>
    <s v="TATCRC"/>
    <s v="SR16"/>
    <n v="0.45"/>
    <n v="1000"/>
    <n v="1910"/>
    <n v="15"/>
    <n v="0"/>
    <n v="15"/>
    <n v="15"/>
    <n v="15"/>
    <n v="15"/>
    <n v="0"/>
    <n v="0"/>
    <n v="0"/>
    <n v="0"/>
    <n v="0"/>
    <n v="0"/>
    <n v="0"/>
    <n v="0"/>
    <n v="0"/>
    <n v="0"/>
    <n v="0"/>
    <n v="0"/>
    <n v="0"/>
    <n v="0"/>
    <n v="0"/>
    <n v="0"/>
    <n v="0"/>
    <n v="0"/>
    <n v="0"/>
    <n v="0"/>
    <n v="0"/>
    <n v="0"/>
    <n v="0"/>
    <m/>
    <m/>
    <m/>
    <m/>
    <m/>
    <m/>
    <m/>
    <m/>
    <m/>
    <m/>
    <m/>
    <m/>
    <m/>
    <m/>
    <m/>
    <m/>
    <m/>
    <m/>
    <m/>
    <m/>
    <m/>
    <m/>
    <m/>
    <m/>
    <m/>
    <m/>
    <m/>
    <m/>
    <m/>
    <m/>
    <m/>
    <m/>
    <m/>
    <m/>
    <m/>
    <m/>
    <m/>
    <m/>
    <m/>
    <m/>
    <m/>
    <m/>
    <m/>
    <m/>
    <m/>
    <m/>
    <m/>
    <m/>
    <m/>
  </r>
  <r>
    <n v="744"/>
    <d v="2025-04-09T00:00:00"/>
    <s v="ZBTO"/>
    <n v="9518678816"/>
    <n v="1"/>
    <s v="9518678816-1"/>
    <s v="May'25"/>
    <x v="0"/>
    <s v="Yes"/>
    <x v="2"/>
    <x v="3"/>
    <s v="1000-IPPE"/>
    <m/>
    <x v="1"/>
    <m/>
    <m/>
    <m/>
    <s v="TBSPL"/>
    <s v=" "/>
    <m/>
    <n v="941597"/>
    <x v="6"/>
    <n v="1633706"/>
    <s v="PPGL C Y550 HPL3 0.42BMT(0.50TPT)X1220"/>
    <s v="AZ150"/>
    <s v="RAL 7037 TSL 460"/>
    <n v="3"/>
    <n v="5"/>
    <m/>
    <s v="B18"/>
    <s v="Y550PL"/>
    <s v="HPL3"/>
    <n v="0.42"/>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15T00:00:00"/>
    <s v="ZBTO"/>
    <n v="9518695426"/>
    <n v="3"/>
    <s v="9518695426-3"/>
    <s v="May'25"/>
    <x v="0"/>
    <s v="Yes"/>
    <x v="2"/>
    <x v="3"/>
    <s v="1000-IPPE"/>
    <m/>
    <x v="1"/>
    <m/>
    <m/>
    <m/>
    <s v="TBSPL"/>
    <s v="RAJASTHAN"/>
    <m/>
    <n v="940008"/>
    <x v="15"/>
    <n v="3522241"/>
    <s v="PPGL C Y550 D0C7 0.43BMT(0.47TPT)X1220"/>
    <s v="aZ70"/>
    <s v="NGP CHERRY RED TSL 2215"/>
    <n v="3"/>
    <n v="5"/>
    <m/>
    <s v="B18"/>
    <s v="Y550PL"/>
    <s v="D0C7"/>
    <n v="0.43"/>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4-10T00:00:00"/>
    <s v="ZBTO"/>
    <n v="9518682933"/>
    <n v="1"/>
    <s v="9518682933-1"/>
    <s v="No Priority"/>
    <x v="0"/>
    <m/>
    <x v="0"/>
    <x v="0"/>
    <s v="2000-BPRS"/>
    <m/>
    <x v="0"/>
    <m/>
    <m/>
    <m/>
    <s v="East"/>
    <s v="HOWRAH"/>
    <m/>
    <n v="154464"/>
    <x v="0"/>
    <n v="1252834"/>
    <s v="HR COILS-PO IS 1079 HR2 3.0X1250"/>
    <s v=" "/>
    <s v=""/>
    <n v="13"/>
    <n v="30"/>
    <m/>
    <n v="768"/>
    <s v="THR099"/>
    <s v="HR99"/>
    <n v="3"/>
    <n v="1250"/>
    <n v="0"/>
    <n v="150"/>
    <n v="45.21"/>
    <n v="104.79"/>
    <n v="81.03"/>
    <n v="104.79"/>
    <n v="10.414999999999999"/>
    <n v="0"/>
    <n v="0"/>
    <n v="0"/>
    <n v="0"/>
    <n v="0"/>
    <n v="0"/>
    <n v="0"/>
    <n v="0"/>
    <n v="0"/>
    <n v="0"/>
    <n v="0"/>
    <n v="0"/>
    <n v="0"/>
    <n v="0"/>
    <n v="0"/>
    <n v="0"/>
    <n v="0"/>
    <n v="0"/>
    <n v="0"/>
    <n v="0"/>
    <n v="0"/>
    <n v="0"/>
    <n v="0"/>
    <m/>
    <m/>
    <m/>
    <m/>
    <m/>
    <m/>
    <m/>
    <m/>
    <m/>
    <m/>
    <m/>
    <m/>
    <m/>
    <m/>
    <m/>
    <m/>
    <m/>
    <m/>
    <m/>
    <m/>
    <m/>
    <m/>
    <m/>
    <m/>
    <m/>
    <m/>
    <m/>
    <m/>
    <m/>
    <m/>
    <m/>
    <m/>
    <m/>
    <m/>
    <m/>
    <m/>
    <m/>
    <m/>
    <m/>
    <m/>
    <m/>
    <m/>
    <m/>
    <m/>
    <m/>
    <m/>
    <m/>
    <m/>
    <m/>
  </r>
  <r>
    <n v="742"/>
    <d v="2025-04-10T00:00:00"/>
    <s v="ZBTO"/>
    <n v="9518682933"/>
    <n v="2"/>
    <s v="9518682933-2"/>
    <s v="May'25"/>
    <x v="0"/>
    <m/>
    <x v="0"/>
    <x v="0"/>
    <s v="2000-BPRS"/>
    <m/>
    <x v="1"/>
    <m/>
    <m/>
    <m/>
    <s v="East"/>
    <s v="HOWRAH"/>
    <m/>
    <n v="154464"/>
    <x v="0"/>
    <n v="1250221"/>
    <s v="HR COILS-PO IS 1079 HR2 2.50X1250"/>
    <s v=" "/>
    <s v=""/>
    <n v="13"/>
    <n v="30"/>
    <m/>
    <n v="768"/>
    <s v="THR099"/>
    <s v="HR99"/>
    <n v="2.5"/>
    <n v="1250"/>
    <n v="0"/>
    <n v="75"/>
    <n v="0"/>
    <n v="75"/>
    <n v="75"/>
    <n v="75"/>
    <n v="75"/>
    <n v="0"/>
    <n v="0"/>
    <n v="0"/>
    <n v="0"/>
    <n v="0"/>
    <n v="0"/>
    <n v="0"/>
    <n v="0"/>
    <n v="0"/>
    <n v="0"/>
    <n v="0"/>
    <n v="0"/>
    <n v="0"/>
    <n v="0"/>
    <n v="0"/>
    <n v="0"/>
    <n v="0"/>
    <n v="0"/>
    <n v="0"/>
    <n v="0"/>
    <n v="0"/>
    <n v="0"/>
    <n v="0"/>
    <m/>
    <m/>
    <m/>
    <m/>
    <m/>
    <m/>
    <m/>
    <m/>
    <m/>
    <m/>
    <m/>
    <m/>
    <m/>
    <m/>
    <m/>
    <m/>
    <m/>
    <m/>
    <m/>
    <m/>
    <m/>
    <m/>
    <m/>
    <m/>
    <m/>
    <m/>
    <m/>
    <m/>
    <m/>
    <m/>
    <m/>
    <m/>
    <m/>
    <m/>
    <m/>
    <m/>
    <m/>
    <m/>
    <m/>
    <m/>
    <m/>
    <m/>
    <m/>
    <m/>
    <m/>
    <m/>
    <m/>
    <m/>
    <m/>
  </r>
  <r>
    <n v="742"/>
    <d v="2025-04-10T00:00:00"/>
    <s v="ZBTO"/>
    <n v="9518682933"/>
    <n v="3"/>
    <s v="9518682933-3"/>
    <s v="No Priority"/>
    <x v="0"/>
    <m/>
    <x v="0"/>
    <x v="0"/>
    <s v="2000-BPRS"/>
    <m/>
    <x v="0"/>
    <m/>
    <m/>
    <m/>
    <s v="East"/>
    <s v="HOWRAH"/>
    <m/>
    <n v="154464"/>
    <x v="0"/>
    <n v="1210083"/>
    <s v="HR COILS-PO IS 1079 HR2 2X1250"/>
    <s v=" "/>
    <s v=""/>
    <n v="13"/>
    <n v="30"/>
    <m/>
    <n v="768"/>
    <s v="THR099"/>
    <s v="HR99"/>
    <n v="2"/>
    <n v="1250"/>
    <n v="0"/>
    <n v="75"/>
    <n v="0"/>
    <n v="75"/>
    <n v="58.61"/>
    <n v="30.85"/>
    <n v="9.4849999999999994"/>
    <n v="0"/>
    <n v="0"/>
    <n v="44.15"/>
    <n v="0"/>
    <n v="0"/>
    <n v="0"/>
    <n v="0"/>
    <n v="0"/>
    <n v="0"/>
    <n v="0"/>
    <n v="0"/>
    <n v="0"/>
    <n v="0"/>
    <n v="0"/>
    <n v="0"/>
    <n v="0"/>
    <n v="0"/>
    <n v="0"/>
    <n v="0"/>
    <n v="44.15"/>
    <n v="44.15"/>
    <n v="0"/>
    <n v="44.15"/>
    <m/>
    <m/>
    <m/>
    <m/>
    <m/>
    <m/>
    <m/>
    <m/>
    <m/>
    <m/>
    <m/>
    <m/>
    <m/>
    <m/>
    <m/>
    <m/>
    <m/>
    <m/>
    <m/>
    <m/>
    <m/>
    <m/>
    <m/>
    <m/>
    <m/>
    <m/>
    <m/>
    <m/>
    <m/>
    <m/>
    <m/>
    <m/>
    <m/>
    <m/>
    <m/>
    <m/>
    <m/>
    <m/>
    <m/>
    <m/>
    <m/>
    <m/>
    <m/>
    <m/>
    <m/>
    <m/>
    <m/>
    <m/>
    <m/>
  </r>
  <r>
    <n v="743"/>
    <d v="2025-03-15T00:00:00"/>
    <s v="ZBTO"/>
    <n v="9518602675"/>
    <n v="1"/>
    <s v="9518602675-1"/>
    <s v="No Priority"/>
    <x v="0"/>
    <s v="Yes"/>
    <x v="3"/>
    <x v="9"/>
    <s v="2000-BPRS"/>
    <m/>
    <x v="0"/>
    <m/>
    <m/>
    <m/>
    <s v="East"/>
    <s v="WEST BOKARO"/>
    <m/>
    <n v="185794"/>
    <x v="12"/>
    <n v="1191955"/>
    <s v="GP COIL SOFT-TATXGP-GK09-0.3X900"/>
    <s v="Z80"/>
    <s v=""/>
    <n v="5"/>
    <n v="15"/>
    <m/>
    <s v="C02"/>
    <s v="TATXGP"/>
    <s v="GK09"/>
    <n v="0.3"/>
    <n v="900"/>
    <n v="0"/>
    <n v="105"/>
    <n v="0"/>
    <n v="105"/>
    <n v="105"/>
    <n v="0"/>
    <n v="105"/>
    <n v="0"/>
    <n v="0"/>
    <n v="0"/>
    <n v="0"/>
    <n v="0"/>
    <n v="0"/>
    <n v="0"/>
    <n v="0"/>
    <n v="0"/>
    <n v="0"/>
    <n v="0"/>
    <n v="0"/>
    <n v="0"/>
    <n v="0"/>
    <n v="0"/>
    <n v="0"/>
    <n v="0"/>
    <n v="0"/>
    <n v="0"/>
    <n v="0"/>
    <n v="0"/>
    <n v="105"/>
    <n v="105"/>
    <m/>
    <m/>
    <m/>
    <m/>
    <m/>
    <m/>
    <m/>
    <m/>
    <m/>
    <m/>
    <m/>
    <m/>
    <m/>
    <m/>
    <m/>
    <m/>
    <m/>
    <m/>
    <m/>
    <m/>
    <m/>
    <m/>
    <m/>
    <m/>
    <m/>
    <m/>
    <m/>
    <m/>
    <m/>
    <m/>
    <m/>
    <m/>
    <m/>
    <m/>
    <m/>
    <m/>
    <m/>
    <m/>
    <m/>
    <m/>
    <m/>
    <m/>
    <m/>
    <m/>
    <m/>
    <m/>
    <m/>
    <m/>
    <m/>
  </r>
  <r>
    <n v="743"/>
    <d v="2025-03-18T00:00:00"/>
    <s v="ZBTO"/>
    <n v="9518610550"/>
    <n v="2"/>
    <s v="9518610550-2"/>
    <s v="No Priority"/>
    <x v="0"/>
    <m/>
    <x v="3"/>
    <x v="9"/>
    <s v="2000-BPRS"/>
    <m/>
    <x v="0"/>
    <m/>
    <m/>
    <m/>
    <s v="North"/>
    <s v="SANHEWAL"/>
    <m/>
    <n v="185845"/>
    <x v="81"/>
    <n v="1851065"/>
    <s v="GP COIL SOFT-TATXGP-GK09-0.25X900"/>
    <s v="Z80"/>
    <s v=""/>
    <n v="4"/>
    <n v="6"/>
    <m/>
    <s v="C02"/>
    <s v="TATXGP"/>
    <s v="GK09"/>
    <n v="0.2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8T00:00:00"/>
    <s v="ZBTO"/>
    <n v="9518610550"/>
    <n v="3"/>
    <s v="9518610550-3"/>
    <s v="No Priority"/>
    <x v="0"/>
    <m/>
    <x v="3"/>
    <x v="9"/>
    <s v="2000-BPRS"/>
    <m/>
    <x v="0"/>
    <m/>
    <m/>
    <m/>
    <s v="North"/>
    <s v="SANHEWAL"/>
    <m/>
    <n v="185845"/>
    <x v="81"/>
    <n v="1191955"/>
    <s v="GP COIL SOFT-TATXGP-GK09-0.3X900"/>
    <s v="Z80"/>
    <s v=""/>
    <n v="4"/>
    <n v="6"/>
    <m/>
    <s v="C02"/>
    <s v="TATXGP"/>
    <s v="GK09"/>
    <n v="0.3"/>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8T00:00:00"/>
    <s v="ZBTO"/>
    <n v="9518610550"/>
    <n v="14"/>
    <s v="9518610550-14"/>
    <s v="No Priority"/>
    <x v="0"/>
    <m/>
    <x v="3"/>
    <x v="9"/>
    <s v="2000-BPRS"/>
    <m/>
    <x v="0"/>
    <m/>
    <m/>
    <m/>
    <s v="North"/>
    <s v="SANHEWAL"/>
    <m/>
    <n v="185845"/>
    <x v="81"/>
    <n v="1854425"/>
    <s v="GP COIL SOFT-TATXGP-GK09-0.6X1000"/>
    <s v="Z80"/>
    <s v=""/>
    <n v="4"/>
    <n v="6"/>
    <m/>
    <s v="C02"/>
    <s v="TATXGP"/>
    <s v="GK09"/>
    <n v="0.6"/>
    <n v="1000"/>
    <n v="0"/>
    <n v="46"/>
    <n v="21.785"/>
    <n v="24.215"/>
    <n v="24.215"/>
    <n v="24.215"/>
    <n v="24.215"/>
    <n v="0"/>
    <n v="0"/>
    <n v="0"/>
    <n v="0"/>
    <n v="0"/>
    <n v="0"/>
    <n v="0"/>
    <n v="0"/>
    <n v="0"/>
    <n v="0"/>
    <n v="0"/>
    <n v="0"/>
    <n v="0"/>
    <n v="0"/>
    <n v="0"/>
    <n v="0"/>
    <n v="0"/>
    <n v="0"/>
    <n v="0"/>
    <n v="0"/>
    <n v="0"/>
    <n v="0"/>
    <n v="0"/>
    <m/>
    <m/>
    <m/>
    <m/>
    <m/>
    <m/>
    <m/>
    <m/>
    <m/>
    <m/>
    <m/>
    <m/>
    <m/>
    <m/>
    <m/>
    <m/>
    <m/>
    <m/>
    <m/>
    <m/>
    <m/>
    <m/>
    <m/>
    <m/>
    <m/>
    <m/>
    <m/>
    <m/>
    <m/>
    <m/>
    <m/>
    <m/>
    <m/>
    <m/>
    <m/>
    <m/>
    <m/>
    <m/>
    <m/>
    <m/>
    <m/>
    <m/>
    <m/>
    <m/>
    <m/>
    <m/>
    <m/>
    <m/>
    <m/>
  </r>
  <r>
    <n v="743"/>
    <d v="2025-03-11T00:00:00"/>
    <s v="ZBTO"/>
    <n v="9518593433"/>
    <n v="5"/>
    <s v="9518593433-5"/>
    <s v="No Priority"/>
    <x v="0"/>
    <s v="Yes"/>
    <x v="3"/>
    <x v="9"/>
    <s v="2000-BPRS"/>
    <m/>
    <x v="0"/>
    <m/>
    <m/>
    <m/>
    <s v="East"/>
    <s v=" "/>
    <m/>
    <n v="121328"/>
    <x v="10"/>
    <n v="1854418"/>
    <s v="GP COIL SOFT-TATXGP-GK09-0.5X900"/>
    <s v="Z80"/>
    <s v=""/>
    <n v="4"/>
    <n v="12"/>
    <m/>
    <s v="C02"/>
    <s v="TATXGP"/>
    <s v="GK09"/>
    <n v="0.5"/>
    <n v="900"/>
    <n v="0"/>
    <n v="84"/>
    <n v="0"/>
    <n v="84"/>
    <n v="84"/>
    <n v="0"/>
    <n v="5.0750000000000002"/>
    <n v="0"/>
    <n v="0"/>
    <n v="0"/>
    <n v="0"/>
    <n v="0"/>
    <n v="0"/>
    <n v="0"/>
    <n v="0"/>
    <n v="0"/>
    <n v="0"/>
    <n v="0"/>
    <n v="0"/>
    <n v="0"/>
    <n v="0"/>
    <n v="0"/>
    <n v="0"/>
    <n v="0"/>
    <n v="0"/>
    <n v="0"/>
    <n v="0"/>
    <n v="0"/>
    <n v="84"/>
    <n v="84"/>
    <m/>
    <m/>
    <m/>
    <m/>
    <m/>
    <m/>
    <m/>
    <m/>
    <m/>
    <m/>
    <m/>
    <m/>
    <m/>
    <m/>
    <m/>
    <m/>
    <m/>
    <m/>
    <m/>
    <m/>
    <m/>
    <m/>
    <m/>
    <m/>
    <m/>
    <m/>
    <m/>
    <m/>
    <m/>
    <m/>
    <m/>
    <m/>
    <m/>
    <m/>
    <m/>
    <m/>
    <m/>
    <m/>
    <m/>
    <m/>
    <m/>
    <m/>
    <m/>
    <m/>
    <m/>
    <m/>
    <m/>
    <m/>
    <m/>
  </r>
  <r>
    <n v="743"/>
    <d v="2025-03-17T00:00:00"/>
    <s v="ZBTO"/>
    <n v="9518605811"/>
    <n v="1"/>
    <s v="9518605811-1"/>
    <s v="No Priority"/>
    <x v="0"/>
    <m/>
    <x v="3"/>
    <x v="9"/>
    <s v="2000-BPRS"/>
    <m/>
    <x v="0"/>
    <m/>
    <m/>
    <m/>
    <s v="North"/>
    <s v="UTTARKASHI"/>
    <m/>
    <n v="150962"/>
    <x v="85"/>
    <n v="1191955"/>
    <s v="GP COIL SOFT-TATXGP-GK09-0.3X900"/>
    <s v="Z80"/>
    <s v=""/>
    <n v="5"/>
    <n v="7"/>
    <m/>
    <s v="C02"/>
    <s v="TATXGP"/>
    <s v="GK09"/>
    <n v="0.3"/>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7T00:00:00"/>
    <s v="ZBTO"/>
    <n v="9518607412"/>
    <n v="1"/>
    <s v="9518607412-1"/>
    <s v="No Priority"/>
    <x v="0"/>
    <m/>
    <x v="3"/>
    <x v="9"/>
    <s v="2000-BPRS"/>
    <m/>
    <x v="0"/>
    <m/>
    <m/>
    <m/>
    <s v="North"/>
    <s v="JAIPUR"/>
    <m/>
    <n v="117583"/>
    <x v="80"/>
    <n v="1326486"/>
    <s v="GP COIL SOFT-TATXGP-GK09-0.3X1000"/>
    <s v="Z80"/>
    <s v=""/>
    <n v="5"/>
    <n v="7"/>
    <m/>
    <s v="C02"/>
    <s v="TATXGP"/>
    <s v="GK09"/>
    <n v="0.3"/>
    <n v="1000"/>
    <n v="0"/>
    <n v="46"/>
    <n v="0"/>
    <n v="46"/>
    <n v="46"/>
    <n v="46"/>
    <n v="46"/>
    <n v="0"/>
    <n v="0"/>
    <n v="0"/>
    <n v="0"/>
    <n v="0"/>
    <n v="0"/>
    <n v="0"/>
    <n v="0"/>
    <n v="0"/>
    <n v="0"/>
    <n v="0"/>
    <n v="0"/>
    <n v="0"/>
    <n v="0"/>
    <n v="0"/>
    <n v="0"/>
    <n v="0"/>
    <n v="0"/>
    <n v="0"/>
    <n v="0"/>
    <n v="0"/>
    <n v="0"/>
    <n v="0"/>
    <m/>
    <m/>
    <m/>
    <m/>
    <m/>
    <m/>
    <m/>
    <m/>
    <m/>
    <m/>
    <m/>
    <m/>
    <m/>
    <m/>
    <m/>
    <m/>
    <m/>
    <m/>
    <m/>
    <m/>
    <m/>
    <m/>
    <m/>
    <m/>
    <m/>
    <m/>
    <m/>
    <m/>
    <m/>
    <m/>
    <m/>
    <m/>
    <m/>
    <m/>
    <m/>
    <m/>
    <m/>
    <m/>
    <m/>
    <m/>
    <m/>
    <m/>
    <m/>
    <m/>
    <m/>
    <m/>
    <m/>
    <m/>
    <m/>
  </r>
  <r>
    <n v="743"/>
    <d v="2025-03-17T00:00:00"/>
    <s v="ZBTO"/>
    <n v="9518607412"/>
    <n v="2"/>
    <s v="9518607412-2"/>
    <s v="No Priority"/>
    <x v="0"/>
    <m/>
    <x v="3"/>
    <x v="9"/>
    <s v="2000-BPRS"/>
    <m/>
    <x v="0"/>
    <m/>
    <m/>
    <m/>
    <s v="North"/>
    <s v="JAIPUR"/>
    <m/>
    <n v="117583"/>
    <x v="80"/>
    <n v="1326487"/>
    <s v="GP COIL SOFT-TATXGP-GK09-0.35X1000"/>
    <s v="Z80"/>
    <s v=""/>
    <n v="5"/>
    <n v="7"/>
    <m/>
    <s v="C02"/>
    <s v="TATXGP"/>
    <s v="GK09"/>
    <n v="0.35"/>
    <n v="1000"/>
    <n v="0"/>
    <n v="92"/>
    <n v="0"/>
    <n v="92"/>
    <n v="92"/>
    <n v="92"/>
    <n v="92"/>
    <n v="0"/>
    <n v="0"/>
    <n v="0"/>
    <n v="0"/>
    <n v="0"/>
    <n v="0"/>
    <n v="0"/>
    <n v="0"/>
    <n v="0"/>
    <n v="0"/>
    <n v="0"/>
    <n v="0"/>
    <n v="0"/>
    <n v="0"/>
    <n v="0"/>
    <n v="0"/>
    <n v="0"/>
    <n v="0"/>
    <n v="0"/>
    <n v="0"/>
    <n v="0"/>
    <n v="0"/>
    <n v="0"/>
    <m/>
    <m/>
    <m/>
    <m/>
    <m/>
    <m/>
    <m/>
    <m/>
    <m/>
    <m/>
    <m/>
    <m/>
    <m/>
    <m/>
    <m/>
    <m/>
    <m/>
    <m/>
    <m/>
    <m/>
    <m/>
    <m/>
    <m/>
    <m/>
    <m/>
    <m/>
    <m/>
    <m/>
    <m/>
    <m/>
    <m/>
    <m/>
    <m/>
    <m/>
    <m/>
    <m/>
    <m/>
    <m/>
    <m/>
    <m/>
    <m/>
    <m/>
    <m/>
    <m/>
    <m/>
    <m/>
    <m/>
    <m/>
    <m/>
  </r>
  <r>
    <n v="743"/>
    <d v="2025-03-17T00:00:00"/>
    <s v="ZBTO"/>
    <n v="9518607412"/>
    <n v="3"/>
    <s v="9518607412-3"/>
    <s v="No Priority"/>
    <x v="0"/>
    <m/>
    <x v="3"/>
    <x v="9"/>
    <s v="2000-BPRS"/>
    <m/>
    <x v="0"/>
    <m/>
    <m/>
    <m/>
    <s v="North"/>
    <s v="JAIPUR"/>
    <m/>
    <n v="117583"/>
    <x v="80"/>
    <n v="1178444"/>
    <s v="GP COIL SOFT-TATXGP-GK09-0.4X1000"/>
    <s v="Z80"/>
    <s v=""/>
    <n v="5"/>
    <n v="7"/>
    <m/>
    <s v="C02"/>
    <s v="TATXGP"/>
    <s v="GK09"/>
    <n v="0.4"/>
    <n v="1000"/>
    <n v="0"/>
    <n v="138"/>
    <n v="0"/>
    <n v="138"/>
    <n v="138"/>
    <n v="138"/>
    <n v="138"/>
    <n v="0"/>
    <n v="0"/>
    <n v="0"/>
    <n v="0"/>
    <n v="0"/>
    <n v="0"/>
    <n v="0"/>
    <n v="0"/>
    <n v="0"/>
    <n v="0"/>
    <n v="0"/>
    <n v="0"/>
    <n v="0"/>
    <n v="0"/>
    <n v="0"/>
    <n v="0"/>
    <n v="0"/>
    <n v="0"/>
    <n v="0"/>
    <n v="0"/>
    <n v="0"/>
    <n v="0"/>
    <n v="0"/>
    <m/>
    <m/>
    <m/>
    <m/>
    <m/>
    <m/>
    <m/>
    <m/>
    <m/>
    <m/>
    <m/>
    <m/>
    <m/>
    <m/>
    <m/>
    <m/>
    <m/>
    <m/>
    <m/>
    <m/>
    <m/>
    <m/>
    <m/>
    <m/>
    <m/>
    <m/>
    <m/>
    <m/>
    <m/>
    <m/>
    <m/>
    <m/>
    <m/>
    <m/>
    <m/>
    <m/>
    <m/>
    <m/>
    <m/>
    <m/>
    <m/>
    <m/>
    <m/>
    <m/>
    <m/>
    <m/>
    <m/>
    <m/>
    <m/>
  </r>
  <r>
    <n v="742"/>
    <d v="2025-04-04T00:00:00"/>
    <s v="ZBTO"/>
    <n v="9518669316"/>
    <n v="1"/>
    <s v="9518669316-1"/>
    <s v="No Priority"/>
    <x v="0"/>
    <m/>
    <x v="1"/>
    <x v="12"/>
    <s v="2000-BPRS"/>
    <m/>
    <x v="0"/>
    <m/>
    <m/>
    <m/>
    <s v="South"/>
    <s v="YESHWANTHPURA"/>
    <m/>
    <n v="939268"/>
    <x v="0"/>
    <n v="2439201"/>
    <s v="CRCA COIL TSBSTA EL06 0.500X1170"/>
    <s v=" "/>
    <s v=""/>
    <n v="2"/>
    <n v="30"/>
    <m/>
    <s v="C01"/>
    <s v="TSBSTA"/>
    <s v="EL06"/>
    <n v="0.5"/>
    <n v="1170"/>
    <n v="0"/>
    <n v="216"/>
    <n v="0"/>
    <n v="216"/>
    <n v="216"/>
    <n v="216"/>
    <n v="204.77"/>
    <n v="0"/>
    <n v="0"/>
    <n v="0"/>
    <n v="0"/>
    <n v="0"/>
    <n v="0"/>
    <n v="0"/>
    <n v="0"/>
    <n v="0"/>
    <n v="0"/>
    <n v="0"/>
    <n v="0"/>
    <n v="0"/>
    <n v="0"/>
    <n v="0"/>
    <n v="0"/>
    <n v="0"/>
    <n v="0"/>
    <n v="0"/>
    <n v="0"/>
    <n v="0"/>
    <n v="0"/>
    <n v="0"/>
    <m/>
    <m/>
    <m/>
    <m/>
    <m/>
    <m/>
    <m/>
    <m/>
    <m/>
    <m/>
    <m/>
    <m/>
    <m/>
    <m/>
    <m/>
    <m/>
    <m/>
    <m/>
    <m/>
    <m/>
    <m/>
    <m/>
    <m/>
    <m/>
    <m/>
    <m/>
    <m/>
    <m/>
    <m/>
    <m/>
    <m/>
    <m/>
    <m/>
    <m/>
    <m/>
    <m/>
    <m/>
    <m/>
    <m/>
    <m/>
    <m/>
    <m/>
    <m/>
    <m/>
    <m/>
    <m/>
    <m/>
    <m/>
    <m/>
  </r>
  <r>
    <n v="744"/>
    <d v="2025-04-15T00:00:00"/>
    <s v="ZBTO"/>
    <n v="9518695456"/>
    <n v="1"/>
    <s v="9518695456-1"/>
    <s v="May'25"/>
    <x v="0"/>
    <s v="Yes"/>
    <x v="2"/>
    <x v="3"/>
    <s v="1000-IPPE"/>
    <m/>
    <x v="1"/>
    <m/>
    <m/>
    <m/>
    <s v="TBSPL"/>
    <s v="GAMHARIA"/>
    <m/>
    <n v="940016"/>
    <x v="15"/>
    <n v="3522241"/>
    <s v="PPGL C Y550 D0C7 0.43BMT(0.47TPT)X1220"/>
    <s v="aZ70"/>
    <s v="PASSION RED (NG) TSL 2214"/>
    <n v="3"/>
    <n v="5"/>
    <m/>
    <s v="B18"/>
    <s v="Y550PL"/>
    <s v="D0C7"/>
    <n v="0.43"/>
    <n v="1220"/>
    <n v="0"/>
    <n v="140"/>
    <n v="0"/>
    <n v="140"/>
    <n v="140"/>
    <n v="140"/>
    <n v="140"/>
    <n v="0"/>
    <n v="0"/>
    <n v="0"/>
    <n v="0"/>
    <n v="0"/>
    <n v="0"/>
    <n v="0"/>
    <n v="0"/>
    <n v="0"/>
    <n v="0"/>
    <n v="0"/>
    <n v="0"/>
    <n v="0"/>
    <n v="0"/>
    <n v="0"/>
    <n v="0"/>
    <n v="0"/>
    <n v="0"/>
    <n v="0"/>
    <n v="0"/>
    <n v="0"/>
    <n v="0"/>
    <n v="0"/>
    <m/>
    <m/>
    <m/>
    <m/>
    <m/>
    <m/>
    <m/>
    <m/>
    <m/>
    <m/>
    <m/>
    <m/>
    <m/>
    <m/>
    <m/>
    <m/>
    <m/>
    <m/>
    <m/>
    <m/>
    <m/>
    <m/>
    <m/>
    <m/>
    <m/>
    <m/>
    <m/>
    <m/>
    <m/>
    <m/>
    <m/>
    <m/>
    <m/>
    <m/>
    <m/>
    <m/>
    <m/>
    <m/>
    <m/>
    <m/>
    <m/>
    <m/>
    <m/>
    <m/>
    <m/>
    <m/>
    <m/>
    <m/>
    <m/>
  </r>
  <r>
    <n v="743"/>
    <d v="2025-04-11T00:00:00"/>
    <s v="ZBTO"/>
    <n v="9518683949"/>
    <n v="3"/>
    <s v="9518683949-3"/>
    <s v="May'25"/>
    <x v="0"/>
    <m/>
    <x v="3"/>
    <x v="9"/>
    <s v="2000-BPRS"/>
    <m/>
    <x v="1"/>
    <m/>
    <m/>
    <m/>
    <s v="East"/>
    <s v="WEST BENGAL"/>
    <m/>
    <n v="100922"/>
    <x v="36"/>
    <n v="1191956"/>
    <s v="GP COIL SOFT-TATXGP-GK09-0.35X900"/>
    <s v="Z80"/>
    <s v=""/>
    <n v="5"/>
    <n v="15"/>
    <m/>
    <s v="C02"/>
    <s v="TATXGP"/>
    <s v="GK09"/>
    <n v="0.35"/>
    <n v="900"/>
    <n v="0"/>
    <n v="63"/>
    <n v="0"/>
    <n v="63"/>
    <n v="63"/>
    <n v="9.654999999999994"/>
    <n v="43.26"/>
    <n v="0"/>
    <n v="0"/>
    <n v="0"/>
    <n v="0"/>
    <n v="0"/>
    <n v="0"/>
    <n v="53.345000000000006"/>
    <n v="0"/>
    <n v="0"/>
    <n v="0"/>
    <n v="0"/>
    <n v="0"/>
    <n v="0"/>
    <n v="0"/>
    <n v="0"/>
    <n v="0"/>
    <n v="0"/>
    <n v="0"/>
    <n v="0"/>
    <n v="53.345000000000006"/>
    <n v="53.345000000000006"/>
    <n v="0"/>
    <n v="53.345000000000006"/>
    <m/>
    <m/>
    <m/>
    <m/>
    <m/>
    <m/>
    <m/>
    <m/>
    <m/>
    <m/>
    <m/>
    <m/>
    <m/>
    <m/>
    <m/>
    <m/>
    <m/>
    <m/>
    <m/>
    <m/>
    <m/>
    <m/>
    <m/>
    <m/>
    <m/>
    <m/>
    <m/>
    <m/>
    <m/>
    <m/>
    <m/>
    <m/>
    <m/>
    <m/>
    <m/>
    <m/>
    <m/>
    <m/>
    <m/>
    <m/>
    <m/>
    <m/>
    <m/>
    <m/>
    <m/>
    <m/>
    <m/>
    <m/>
    <m/>
  </r>
  <r>
    <n v="744"/>
    <d v="2025-04-15T00:00:00"/>
    <s v="ZBTO"/>
    <n v="9518693957"/>
    <n v="1"/>
    <s v="9518693957-1"/>
    <s v="May'25"/>
    <x v="0"/>
    <s v="Yes"/>
    <x v="2"/>
    <x v="3"/>
    <s v="1000-IPPE"/>
    <m/>
    <x v="1"/>
    <m/>
    <m/>
    <m/>
    <s v="TBSPL"/>
    <s v=" "/>
    <m/>
    <n v="941597"/>
    <x v="6"/>
    <n v="1633706"/>
    <s v="PPGL C Y550 HPL3 0.42BMT(0.50TPT)X1220"/>
    <s v="AZ150"/>
    <s v="ENVIRONMENTAL GREEN TSL 199"/>
    <n v="3"/>
    <n v="5"/>
    <m/>
    <s v="B18"/>
    <s v="Y550PL"/>
    <s v="HPL3"/>
    <n v="0.42"/>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4-19T00:00:00"/>
    <s v="ZBTO"/>
    <n v="9518704886"/>
    <n v="2"/>
    <s v="9518704886-2"/>
    <s v="No Priority"/>
    <x v="0"/>
    <m/>
    <x v="1"/>
    <x v="1"/>
    <s v="2000-BPRS"/>
    <m/>
    <x v="0"/>
    <m/>
    <m/>
    <m/>
    <s v="South"/>
    <s v="YESHWANTHPURA"/>
    <m/>
    <n v="100237"/>
    <x v="86"/>
    <n v="1804854"/>
    <s v="CRCA COIL-TATXXD-AU03-1.2X1250"/>
    <s v=" "/>
    <s v=""/>
    <n v="10"/>
    <n v="24"/>
    <m/>
    <s v="C01"/>
    <s v="TATXXD"/>
    <s v="AU03"/>
    <n v="1.2"/>
    <n v="1250"/>
    <n v="0"/>
    <n v="58"/>
    <n v="0"/>
    <n v="58"/>
    <n v="58"/>
    <n v="58"/>
    <n v="58"/>
    <n v="0"/>
    <n v="0"/>
    <n v="0"/>
    <n v="0"/>
    <n v="0"/>
    <n v="0"/>
    <n v="0"/>
    <n v="0"/>
    <n v="0"/>
    <n v="0"/>
    <n v="0"/>
    <n v="0"/>
    <n v="0"/>
    <n v="0"/>
    <n v="0"/>
    <n v="0"/>
    <n v="0"/>
    <n v="0"/>
    <n v="0"/>
    <n v="0"/>
    <n v="0"/>
    <n v="0"/>
    <n v="0"/>
    <m/>
    <m/>
    <m/>
    <m/>
    <m/>
    <m/>
    <m/>
    <m/>
    <m/>
    <m/>
    <m/>
    <m/>
    <m/>
    <m/>
    <m/>
    <m/>
    <m/>
    <m/>
    <m/>
    <m/>
    <m/>
    <m/>
    <m/>
    <m/>
    <m/>
    <m/>
    <m/>
    <m/>
    <m/>
    <m/>
    <m/>
    <m/>
    <m/>
    <m/>
    <m/>
    <m/>
    <m/>
    <m/>
    <m/>
    <m/>
    <m/>
    <m/>
    <m/>
    <m/>
    <m/>
    <m/>
    <m/>
    <m/>
    <m/>
  </r>
  <r>
    <n v="743"/>
    <d v="2025-04-14T00:00:00"/>
    <s v="ZBTO"/>
    <n v="9518692103"/>
    <n v="3"/>
    <s v="9518692103-3"/>
    <s v="No Priority"/>
    <x v="0"/>
    <m/>
    <x v="3"/>
    <x v="9"/>
    <s v="2000-BPRS"/>
    <m/>
    <x v="0"/>
    <m/>
    <m/>
    <m/>
    <s v="East"/>
    <s v="WEST BOKARO"/>
    <m/>
    <n v="185794"/>
    <x v="12"/>
    <n v="1191956"/>
    <s v="GP COIL SOFT-TATXGP-GK09-0.35X900"/>
    <s v="Z80"/>
    <s v=""/>
    <n v="4"/>
    <n v="12"/>
    <m/>
    <s v="C02"/>
    <s v="TATXGP"/>
    <s v="GK09"/>
    <n v="0.35"/>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4-14T00:00:00"/>
    <s v="ZBTO"/>
    <n v="9518692220"/>
    <n v="12"/>
    <s v="9518692220-12"/>
    <s v="May'25"/>
    <x v="0"/>
    <m/>
    <x v="3"/>
    <x v="14"/>
    <s v="2000-BPRS"/>
    <m/>
    <x v="1"/>
    <m/>
    <m/>
    <m/>
    <s v="East"/>
    <s v=" "/>
    <m/>
    <n v="121328"/>
    <x v="10"/>
    <n v="1854416"/>
    <s v="GP COIL SOFT-TATXGP-GLK1-0.45X1220"/>
    <s v="Z80"/>
    <s v=""/>
    <n v="4"/>
    <n v="12"/>
    <m/>
    <s v="C02"/>
    <s v="TATXGP"/>
    <s v="GLK1"/>
    <n v="0.45"/>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4-14T00:00:00"/>
    <s v="ZBTO"/>
    <n v="9518692220"/>
    <n v="14"/>
    <s v="9518692220-14"/>
    <s v="May'25"/>
    <x v="0"/>
    <m/>
    <x v="3"/>
    <x v="14"/>
    <s v="2000-BPRS"/>
    <n v="1500"/>
    <x v="1"/>
    <m/>
    <m/>
    <m/>
    <s v="East"/>
    <s v=" "/>
    <m/>
    <n v="121328"/>
    <x v="10"/>
    <n v="1300227"/>
    <s v="GP COIL SOFT-TATXGP-GLK1-0.6X1220"/>
    <s v="Z80"/>
    <s v=""/>
    <n v="4"/>
    <n v="12"/>
    <m/>
    <s v="C02"/>
    <s v="TATXGP"/>
    <s v="GLK1"/>
    <n v="0.6"/>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08T00:00:00"/>
    <s v="ZBTO"/>
    <n v="9518676905"/>
    <n v="7"/>
    <s v="9518676905-7"/>
    <s v="May'25"/>
    <x v="0"/>
    <m/>
    <x v="2"/>
    <x v="3"/>
    <s v="1000-IPPE"/>
    <m/>
    <x v="1"/>
    <m/>
    <m/>
    <m/>
    <s v="TBSPL"/>
    <s v=" "/>
    <m/>
    <n v="941597"/>
    <x v="6"/>
    <n v="3941967"/>
    <s v="PPGL C HARD Y550PL D0C9 0.60(TPT)X1220"/>
    <s v="AZ150"/>
    <s v="RAL 9002 TSL 1801"/>
    <n v="3"/>
    <n v="5"/>
    <m/>
    <s v="B18"/>
    <s v="Y550PL"/>
    <s v="D0C9"/>
    <n v="0.6"/>
    <n v="1220"/>
    <n v="0"/>
    <n v="112"/>
    <n v="0"/>
    <n v="112"/>
    <n v="106.985"/>
    <n v="-11.715000000000003"/>
    <n v="106.97499999999999"/>
    <n v="0"/>
    <n v="115.05"/>
    <n v="0"/>
    <n v="0"/>
    <n v="0"/>
    <n v="0"/>
    <n v="0"/>
    <n v="0"/>
    <n v="0"/>
    <n v="8.6650000000000009"/>
    <n v="0"/>
    <n v="0"/>
    <n v="0"/>
    <n v="0"/>
    <n v="0"/>
    <n v="0"/>
    <n v="0"/>
    <n v="0"/>
    <n v="0"/>
    <n v="123.715"/>
    <n v="123.715"/>
    <n v="0"/>
    <n v="123.715"/>
    <m/>
    <m/>
    <m/>
    <m/>
    <m/>
    <m/>
    <m/>
    <m/>
    <m/>
    <m/>
    <m/>
    <m/>
    <m/>
    <m/>
    <m/>
    <m/>
    <m/>
    <m/>
    <m/>
    <m/>
    <m/>
    <m/>
    <m/>
    <m/>
    <m/>
    <m/>
    <m/>
    <m/>
    <m/>
    <m/>
    <m/>
    <m/>
    <m/>
    <m/>
    <m/>
    <m/>
    <m/>
    <m/>
    <m/>
    <m/>
    <m/>
    <m/>
    <m/>
    <m/>
    <m/>
    <m/>
    <m/>
    <m/>
    <m/>
  </r>
  <r>
    <n v="744"/>
    <d v="2025-04-09T00:00:00"/>
    <s v="ZBTO"/>
    <n v="9518679911"/>
    <n v="1"/>
    <s v="9518679911-1"/>
    <s v="No Priority"/>
    <x v="0"/>
    <m/>
    <x v="2"/>
    <x v="3"/>
    <s v="1000-IPPE"/>
    <m/>
    <x v="0"/>
    <m/>
    <m/>
    <m/>
    <s v="TBSPL"/>
    <s v=" "/>
    <m/>
    <n v="941597"/>
    <x v="6"/>
    <n v="4001001"/>
    <s v="PPGL C HARD Y550PL D0C9 0.630X1220"/>
    <s v="AZ150"/>
    <s v="RAL 9002 TSL 1801"/>
    <n v="3"/>
    <n v="5"/>
    <m/>
    <s v="B18"/>
    <s v="Y550PL"/>
    <s v="D0C9"/>
    <n v="0.63"/>
    <n v="1220"/>
    <n v="0"/>
    <n v="84"/>
    <n v="0"/>
    <n v="84"/>
    <n v="84"/>
    <n v="80.13"/>
    <n v="8.33"/>
    <n v="0"/>
    <n v="0"/>
    <n v="0"/>
    <n v="0"/>
    <n v="0"/>
    <n v="0"/>
    <n v="0"/>
    <n v="0"/>
    <n v="0"/>
    <n v="3.87"/>
    <n v="0"/>
    <n v="0"/>
    <n v="0"/>
    <n v="0"/>
    <n v="0"/>
    <n v="0"/>
    <n v="0"/>
    <n v="0"/>
    <n v="0"/>
    <n v="3.87"/>
    <n v="3.87"/>
    <n v="0"/>
    <n v="3.87"/>
    <m/>
    <m/>
    <m/>
    <m/>
    <m/>
    <m/>
    <m/>
    <m/>
    <m/>
    <m/>
    <m/>
    <m/>
    <m/>
    <m/>
    <m/>
    <m/>
    <m/>
    <m/>
    <m/>
    <m/>
    <m/>
    <m/>
    <m/>
    <m/>
    <m/>
    <m/>
    <m/>
    <m/>
    <m/>
    <m/>
    <m/>
    <m/>
    <m/>
    <m/>
    <m/>
    <m/>
    <m/>
    <m/>
    <m/>
    <m/>
    <m/>
    <m/>
    <m/>
    <m/>
    <m/>
    <m/>
    <m/>
    <m/>
    <m/>
  </r>
  <r>
    <n v="743"/>
    <d v="2025-04-14T00:00:00"/>
    <s v="ZBTO"/>
    <n v="9518692103"/>
    <n v="1"/>
    <s v="9518692103-1"/>
    <s v="No Priority"/>
    <x v="0"/>
    <m/>
    <x v="3"/>
    <x v="9"/>
    <s v="2000-BPRS"/>
    <m/>
    <x v="0"/>
    <m/>
    <m/>
    <m/>
    <s v="East"/>
    <s v="WEST BOKARO"/>
    <m/>
    <n v="185794"/>
    <x v="12"/>
    <n v="1191955"/>
    <s v="GP COIL SOFT-TATXGP-GK09-0.3X900"/>
    <s v="Z80"/>
    <s v=""/>
    <n v="4"/>
    <n v="12"/>
    <m/>
    <s v="C02"/>
    <s v="TATXGP"/>
    <s v="GK09"/>
    <n v="0.3"/>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4-14T00:00:00"/>
    <s v="ZBTO"/>
    <n v="9518692103"/>
    <n v="2"/>
    <s v="9518692103-2"/>
    <s v="No Priority"/>
    <x v="0"/>
    <m/>
    <x v="3"/>
    <x v="9"/>
    <s v="2000-BPRS"/>
    <m/>
    <x v="0"/>
    <m/>
    <m/>
    <m/>
    <s v="East"/>
    <s v="WEST BOKARO"/>
    <m/>
    <n v="185794"/>
    <x v="12"/>
    <n v="1191955"/>
    <s v="GP COIL SOFT-TATXGP-GK09-0.3X900"/>
    <s v="Z80"/>
    <s v=""/>
    <n v="4"/>
    <n v="12"/>
    <m/>
    <s v="C02"/>
    <s v="TATXGP"/>
    <s v="GK09"/>
    <n v="0.3"/>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4-14T00:00:00"/>
    <s v="ZBTO"/>
    <n v="9518692220"/>
    <n v="1"/>
    <s v="9518692220-1"/>
    <s v="No Priority"/>
    <x v="0"/>
    <m/>
    <x v="3"/>
    <x v="9"/>
    <s v="2000-BPRS"/>
    <m/>
    <x v="0"/>
    <m/>
    <m/>
    <m/>
    <s v="East"/>
    <s v=" "/>
    <m/>
    <n v="121328"/>
    <x v="10"/>
    <n v="1851065"/>
    <s v="GP COIL SOFT-TATXGP-GK09-0.25X900"/>
    <s v="Z80"/>
    <s v=""/>
    <n v="4"/>
    <n v="12"/>
    <m/>
    <s v="C02"/>
    <s v="TATXGP"/>
    <s v="GK09"/>
    <n v="0.25"/>
    <n v="900"/>
    <n v="0"/>
    <n v="21"/>
    <n v="0"/>
    <n v="21"/>
    <n v="21"/>
    <n v="0.59999999999999787"/>
    <n v="21"/>
    <n v="0"/>
    <n v="0"/>
    <n v="0"/>
    <n v="0"/>
    <n v="0"/>
    <n v="0"/>
    <n v="0"/>
    <n v="0"/>
    <n v="0"/>
    <n v="0"/>
    <n v="0"/>
    <n v="0"/>
    <n v="0"/>
    <n v="0"/>
    <n v="0"/>
    <n v="0"/>
    <n v="20.400000000000002"/>
    <n v="0"/>
    <n v="0"/>
    <n v="20.400000000000002"/>
    <n v="20.400000000000002"/>
    <n v="0"/>
    <n v="20.400000000000002"/>
    <m/>
    <m/>
    <m/>
    <m/>
    <m/>
    <m/>
    <m/>
    <m/>
    <m/>
    <m/>
    <m/>
    <m/>
    <m/>
    <m/>
    <m/>
    <m/>
    <m/>
    <m/>
    <m/>
    <m/>
    <m/>
    <m/>
    <m/>
    <m/>
    <m/>
    <m/>
    <m/>
    <m/>
    <m/>
    <m/>
    <m/>
    <m/>
    <m/>
    <m/>
    <m/>
    <m/>
    <m/>
    <m/>
    <m/>
    <m/>
    <m/>
    <m/>
    <m/>
    <m/>
    <m/>
    <m/>
    <m/>
    <m/>
    <m/>
  </r>
  <r>
    <n v="743"/>
    <d v="2025-04-14T00:00:00"/>
    <s v="ZBTO"/>
    <n v="9518692220"/>
    <n v="2"/>
    <s v="9518692220-2"/>
    <s v="No Priority"/>
    <x v="0"/>
    <m/>
    <x v="3"/>
    <x v="9"/>
    <s v="2000-BPRS"/>
    <m/>
    <x v="0"/>
    <m/>
    <m/>
    <m/>
    <s v="East"/>
    <s v=" "/>
    <m/>
    <n v="121328"/>
    <x v="10"/>
    <n v="1191955"/>
    <s v="GP COIL SOFT-TATXGP-GK09-0.3X900"/>
    <s v="Z80"/>
    <s v=""/>
    <n v="4"/>
    <n v="12"/>
    <m/>
    <s v="C02"/>
    <s v="TATXGP"/>
    <s v="GK09"/>
    <n v="0.3"/>
    <n v="900"/>
    <n v="0"/>
    <n v="126"/>
    <n v="0"/>
    <n v="126"/>
    <n v="126"/>
    <n v="126"/>
    <n v="126"/>
    <n v="0"/>
    <n v="0"/>
    <n v="0"/>
    <n v="0"/>
    <n v="0"/>
    <n v="0"/>
    <n v="0"/>
    <n v="0"/>
    <n v="0"/>
    <n v="0"/>
    <n v="0"/>
    <n v="0"/>
    <n v="0"/>
    <n v="0"/>
    <n v="0"/>
    <n v="0"/>
    <n v="0"/>
    <n v="0"/>
    <n v="0"/>
    <n v="0"/>
    <n v="0"/>
    <n v="0"/>
    <n v="0"/>
    <m/>
    <m/>
    <m/>
    <m/>
    <m/>
    <m/>
    <m/>
    <m/>
    <m/>
    <m/>
    <m/>
    <m/>
    <m/>
    <m/>
    <m/>
    <m/>
    <m/>
    <m/>
    <m/>
    <m/>
    <m/>
    <m/>
    <m/>
    <m/>
    <m/>
    <m/>
    <m/>
    <m/>
    <m/>
    <m/>
    <m/>
    <m/>
    <m/>
    <m/>
    <m/>
    <m/>
    <m/>
    <m/>
    <m/>
    <m/>
    <m/>
    <m/>
    <m/>
    <m/>
    <m/>
    <m/>
    <m/>
    <m/>
    <m/>
  </r>
  <r>
    <n v="742"/>
    <d v="2025-04-02T00:00:00"/>
    <s v="ZBTO"/>
    <n v="9518664146"/>
    <n v="1"/>
    <s v="9518664146-1"/>
    <s v="May'25"/>
    <x v="0"/>
    <s v="Yes"/>
    <x v="1"/>
    <x v="2"/>
    <s v="2000-BPRS"/>
    <m/>
    <x v="1"/>
    <m/>
    <m/>
    <m/>
    <s v="East"/>
    <s v="HOWRAH"/>
    <m/>
    <n v="925093"/>
    <x v="20"/>
    <n v="3627096"/>
    <s v="CRCA SHEET TSBCRC SR15 0.800X1120X2000"/>
    <s v=" "/>
    <s v=""/>
    <n v="2"/>
    <n v="3.5"/>
    <m/>
    <s v="C06"/>
    <s v="TSBCRC"/>
    <s v="SR15"/>
    <n v="0.8"/>
    <n v="1120"/>
    <n v="2000"/>
    <n v="24"/>
    <n v="0"/>
    <n v="24"/>
    <n v="24"/>
    <n v="24"/>
    <n v="24"/>
    <n v="0"/>
    <n v="0"/>
    <n v="0"/>
    <n v="0"/>
    <n v="0"/>
    <n v="0"/>
    <n v="0"/>
    <n v="0"/>
    <n v="0"/>
    <n v="0"/>
    <n v="0"/>
    <n v="0"/>
    <n v="0"/>
    <n v="0"/>
    <n v="0"/>
    <n v="0"/>
    <n v="0"/>
    <n v="0"/>
    <n v="0"/>
    <n v="0"/>
    <n v="0"/>
    <n v="0"/>
    <n v="0"/>
    <m/>
    <m/>
    <m/>
    <m/>
    <m/>
    <m/>
    <m/>
    <m/>
    <m/>
    <m/>
    <m/>
    <m/>
    <m/>
    <m/>
    <m/>
    <m/>
    <m/>
    <m/>
    <m/>
    <m/>
    <m/>
    <m/>
    <m/>
    <m/>
    <m/>
    <m/>
    <m/>
    <m/>
    <m/>
    <m/>
    <m/>
    <m/>
    <m/>
    <m/>
    <m/>
    <m/>
    <m/>
    <m/>
    <m/>
    <m/>
    <m/>
    <m/>
    <m/>
    <m/>
    <m/>
    <m/>
    <m/>
    <m/>
    <m/>
  </r>
  <r>
    <n v="742"/>
    <d v="2025-03-28T00:00:00"/>
    <s v="ZBTO"/>
    <n v="9518648553"/>
    <n v="2"/>
    <s v="9518648553-2"/>
    <s v="No Priority"/>
    <x v="0"/>
    <m/>
    <x v="1"/>
    <x v="1"/>
    <s v="2000-BPRS"/>
    <m/>
    <x v="0"/>
    <m/>
    <m/>
    <m/>
    <s v="North"/>
    <s v="ZOSOLA"/>
    <m/>
    <n v="101446"/>
    <x v="87"/>
    <n v="27478"/>
    <s v="CRSHEET-ICF  DQ TATXXD AU03 1.00 X 1000"/>
    <s v=" "/>
    <s v=""/>
    <n v="10"/>
    <n v="30"/>
    <m/>
    <s v="C01"/>
    <s v="TATXXD"/>
    <s v="AU03"/>
    <n v="1"/>
    <n v="1000"/>
    <n v="0"/>
    <n v="23"/>
    <n v="0"/>
    <n v="23"/>
    <n v="23"/>
    <n v="23"/>
    <n v="23"/>
    <n v="0"/>
    <n v="0"/>
    <n v="0"/>
    <n v="0"/>
    <n v="0"/>
    <n v="0"/>
    <n v="0"/>
    <n v="0"/>
    <n v="0"/>
    <n v="0"/>
    <n v="0"/>
    <n v="0"/>
    <n v="0"/>
    <n v="0"/>
    <n v="0"/>
    <n v="0"/>
    <n v="0"/>
    <n v="0"/>
    <n v="0"/>
    <n v="0"/>
    <n v="0"/>
    <n v="0"/>
    <n v="0"/>
    <m/>
    <m/>
    <m/>
    <m/>
    <m/>
    <m/>
    <m/>
    <m/>
    <m/>
    <m/>
    <m/>
    <m/>
    <m/>
    <m/>
    <m/>
    <m/>
    <m/>
    <m/>
    <m/>
    <m/>
    <m/>
    <m/>
    <m/>
    <m/>
    <m/>
    <m/>
    <m/>
    <m/>
    <m/>
    <m/>
    <m/>
    <m/>
    <m/>
    <m/>
    <m/>
    <m/>
    <m/>
    <m/>
    <m/>
    <m/>
    <m/>
    <m/>
    <m/>
    <m/>
    <m/>
    <m/>
    <m/>
    <m/>
    <m/>
  </r>
  <r>
    <n v="742"/>
    <d v="2025-03-27T00:00:00"/>
    <s v="ZBTO"/>
    <n v="9518644656"/>
    <n v="1"/>
    <s v="9518644656-1"/>
    <s v="May'25"/>
    <x v="0"/>
    <s v="Yes"/>
    <x v="1"/>
    <x v="2"/>
    <s v="2000-BPRS"/>
    <m/>
    <x v="1"/>
    <m/>
    <m/>
    <m/>
    <s v="East"/>
    <s v="SILIGURI TOWN"/>
    <m/>
    <n v="948783"/>
    <x v="24"/>
    <n v="3410101"/>
    <s v="CRCA SHEET TSBCRC SR15 0.750X1000X2500"/>
    <s v=" "/>
    <s v=""/>
    <n v="2"/>
    <n v="3"/>
    <m/>
    <s v="C06"/>
    <s v="TSBCRC"/>
    <s v="SR15"/>
    <n v="0.75"/>
    <n v="1000"/>
    <n v="2500"/>
    <n v="24"/>
    <n v="0"/>
    <n v="24"/>
    <n v="24"/>
    <n v="1.4800000000000004"/>
    <n v="24"/>
    <n v="0"/>
    <n v="0"/>
    <n v="0"/>
    <n v="0"/>
    <n v="0"/>
    <n v="0"/>
    <n v="0"/>
    <n v="0"/>
    <n v="0"/>
    <n v="0"/>
    <n v="0"/>
    <n v="0"/>
    <n v="0"/>
    <n v="22.52"/>
    <n v="0"/>
    <n v="0"/>
    <n v="0"/>
    <n v="0"/>
    <n v="0"/>
    <n v="22.52"/>
    <n v="22.52"/>
    <n v="0"/>
    <n v="22.52"/>
    <m/>
    <m/>
    <m/>
    <m/>
    <m/>
    <m/>
    <m/>
    <m/>
    <m/>
    <m/>
    <m/>
    <m/>
    <m/>
    <m/>
    <m/>
    <m/>
    <m/>
    <m/>
    <m/>
    <m/>
    <m/>
    <m/>
    <m/>
    <m/>
    <m/>
    <m/>
    <m/>
    <m/>
    <m/>
    <m/>
    <m/>
    <m/>
    <m/>
    <m/>
    <m/>
    <m/>
    <m/>
    <m/>
    <m/>
    <m/>
    <m/>
    <m/>
    <m/>
    <m/>
    <m/>
    <m/>
    <m/>
    <m/>
    <m/>
  </r>
  <r>
    <n v="743"/>
    <d v="2025-03-18T00:00:00"/>
    <s v="ZBTO"/>
    <n v="9518609974"/>
    <n v="4"/>
    <s v="9518609974-4"/>
    <s v="No Priority"/>
    <x v="0"/>
    <m/>
    <x v="3"/>
    <x v="9"/>
    <s v="2000-BPRS"/>
    <m/>
    <x v="0"/>
    <m/>
    <m/>
    <m/>
    <s v="North"/>
    <s v="LONI"/>
    <m/>
    <n v="183259"/>
    <x v="88"/>
    <n v="1191955"/>
    <s v="GP COIL SOFT-TATXGP-GK09-0.3X900"/>
    <s v="Z80"/>
    <s v=""/>
    <n v="4"/>
    <n v="6"/>
    <m/>
    <s v="C02"/>
    <s v="TATXGP"/>
    <s v="GK09"/>
    <n v="0.3"/>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17T00:00:00"/>
    <s v="ZBTO"/>
    <n v="9518607025"/>
    <n v="5"/>
    <s v="9518607025-5"/>
    <s v="No Priority"/>
    <x v="0"/>
    <s v="Yes"/>
    <x v="3"/>
    <x v="9"/>
    <s v="2000-BPRS"/>
    <m/>
    <x v="0"/>
    <m/>
    <m/>
    <m/>
    <s v="East"/>
    <s v=" "/>
    <m/>
    <n v="121328"/>
    <x v="10"/>
    <n v="1854424"/>
    <s v="GP COIL SOFT-TATXGP-GK09-0.6X900"/>
    <s v="Z80"/>
    <s v=""/>
    <n v="4"/>
    <n v="12"/>
    <m/>
    <s v="C02"/>
    <s v="TATXGP"/>
    <s v="GK09"/>
    <n v="0.6"/>
    <n v="900"/>
    <n v="0"/>
    <n v="21"/>
    <n v="0"/>
    <n v="21"/>
    <n v="21"/>
    <n v="21"/>
    <n v="1.32"/>
    <n v="0"/>
    <n v="0"/>
    <n v="0"/>
    <n v="0"/>
    <n v="0"/>
    <n v="0"/>
    <n v="0"/>
    <n v="0"/>
    <n v="0"/>
    <n v="0"/>
    <n v="0"/>
    <n v="0"/>
    <n v="0"/>
    <n v="0"/>
    <n v="0"/>
    <n v="0"/>
    <n v="0"/>
    <n v="0"/>
    <n v="0"/>
    <n v="0"/>
    <n v="0"/>
    <n v="0"/>
    <n v="0"/>
    <m/>
    <m/>
    <m/>
    <m/>
    <m/>
    <m/>
    <m/>
    <m/>
    <m/>
    <m/>
    <m/>
    <m/>
    <m/>
    <m/>
    <m/>
    <m/>
    <m/>
    <m/>
    <m/>
    <m/>
    <m/>
    <m/>
    <m/>
    <m/>
    <m/>
    <m/>
    <m/>
    <m/>
    <m/>
    <m/>
    <m/>
    <m/>
    <m/>
    <m/>
    <m/>
    <m/>
    <m/>
    <m/>
    <m/>
    <m/>
    <m/>
    <m/>
    <m/>
    <m/>
    <m/>
    <m/>
    <m/>
    <m/>
    <m/>
  </r>
  <r>
    <n v="743"/>
    <d v="2025-03-10T00:00:00"/>
    <s v="ZBTO"/>
    <n v="9518589716"/>
    <n v="2"/>
    <s v="9518589716-2"/>
    <s v="No Priority"/>
    <x v="0"/>
    <m/>
    <x v="3"/>
    <x v="9"/>
    <s v="2000-BPRS"/>
    <m/>
    <x v="0"/>
    <m/>
    <m/>
    <m/>
    <s v="North"/>
    <s v="KANPUR"/>
    <m/>
    <n v="933952"/>
    <x v="50"/>
    <n v="1191955"/>
    <s v="GP COIL SOFT-TATXGP-GK09-0.3X900"/>
    <s v="Z80"/>
    <s v=""/>
    <n v="3.2"/>
    <n v="5"/>
    <m/>
    <s v="C02"/>
    <s v="TATXGP"/>
    <s v="GK09"/>
    <n v="0.3"/>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1T00:00:00"/>
    <s v="ZBTO"/>
    <n v="9518593433"/>
    <n v="1"/>
    <s v="9518593433-1"/>
    <s v="May'25"/>
    <x v="0"/>
    <s v="Yes"/>
    <x v="3"/>
    <x v="9"/>
    <s v="2000-BPRS"/>
    <m/>
    <x v="1"/>
    <m/>
    <m/>
    <m/>
    <s v="East"/>
    <s v=" "/>
    <m/>
    <n v="121328"/>
    <x v="10"/>
    <n v="1191955"/>
    <s v="GP COIL SOFT-TATXGP-GK09-0.3X900"/>
    <s v="Z80"/>
    <s v=""/>
    <n v="4"/>
    <n v="12"/>
    <m/>
    <s v="C02"/>
    <s v="TATXGP"/>
    <s v="GK09"/>
    <n v="0.3"/>
    <n v="900"/>
    <n v="0"/>
    <n v="21"/>
    <n v="0"/>
    <n v="21"/>
    <n v="21"/>
    <n v="2.120000000000001"/>
    <n v="21"/>
    <n v="0"/>
    <n v="0"/>
    <n v="0"/>
    <n v="0"/>
    <n v="0"/>
    <n v="0"/>
    <n v="18.88"/>
    <n v="0"/>
    <n v="0"/>
    <n v="0"/>
    <n v="0"/>
    <n v="0"/>
    <n v="0"/>
    <n v="0"/>
    <n v="0"/>
    <n v="0"/>
    <n v="0"/>
    <n v="0"/>
    <n v="0"/>
    <n v="18.88"/>
    <n v="18.88"/>
    <n v="0"/>
    <n v="18.88"/>
    <m/>
    <m/>
    <m/>
    <m/>
    <m/>
    <m/>
    <m/>
    <m/>
    <m/>
    <m/>
    <m/>
    <m/>
    <m/>
    <m/>
    <m/>
    <m/>
    <m/>
    <m/>
    <m/>
    <m/>
    <m/>
    <m/>
    <m/>
    <m/>
    <m/>
    <m/>
    <m/>
    <m/>
    <m/>
    <m/>
    <m/>
    <m/>
    <m/>
    <m/>
    <m/>
    <m/>
    <m/>
    <m/>
    <m/>
    <m/>
    <m/>
    <m/>
    <m/>
    <m/>
    <m/>
    <m/>
    <m/>
    <m/>
    <m/>
  </r>
  <r>
    <n v="742"/>
    <d v="2025-03-11T00:00:00"/>
    <s v="ZBTO"/>
    <n v="9518591774"/>
    <n v="18"/>
    <s v="9518591774-18"/>
    <s v="No Priority"/>
    <x v="0"/>
    <m/>
    <x v="1"/>
    <x v="1"/>
    <s v="2000-BPRS"/>
    <m/>
    <x v="0"/>
    <m/>
    <m/>
    <m/>
    <s v="North"/>
    <s v="ZOSOLA"/>
    <m/>
    <n v="936527"/>
    <x v="52"/>
    <n v="1804867"/>
    <s v="CRCA COIL-TATXXD-AU03-1.6X1250"/>
    <s v=" "/>
    <s v=""/>
    <n v="10"/>
    <n v="30"/>
    <m/>
    <s v="C01"/>
    <s v="TATXXD"/>
    <s v="AU03"/>
    <n v="1.6"/>
    <n v="1250"/>
    <n v="0"/>
    <n v="29"/>
    <n v="0"/>
    <n v="29"/>
    <n v="29"/>
    <n v="8.32"/>
    <n v="29"/>
    <n v="0"/>
    <n v="0"/>
    <n v="0"/>
    <n v="0"/>
    <n v="0"/>
    <n v="0"/>
    <n v="0"/>
    <n v="0"/>
    <n v="0"/>
    <n v="0"/>
    <n v="0"/>
    <n v="0"/>
    <n v="20.68"/>
    <n v="0"/>
    <n v="0"/>
    <n v="0"/>
    <n v="0"/>
    <n v="0"/>
    <n v="0"/>
    <n v="20.68"/>
    <n v="20.68"/>
    <n v="0"/>
    <n v="20.68"/>
    <m/>
    <m/>
    <m/>
    <m/>
    <m/>
    <m/>
    <m/>
    <m/>
    <m/>
    <m/>
    <m/>
    <m/>
    <m/>
    <m/>
    <m/>
    <m/>
    <m/>
    <m/>
    <m/>
    <m/>
    <m/>
    <m/>
    <m/>
    <m/>
    <m/>
    <m/>
    <m/>
    <m/>
    <m/>
    <m/>
    <m/>
    <m/>
    <m/>
    <m/>
    <m/>
    <m/>
    <m/>
    <m/>
    <m/>
    <m/>
    <m/>
    <m/>
    <m/>
    <m/>
    <m/>
    <m/>
    <m/>
    <m/>
    <m/>
  </r>
  <r>
    <n v="742"/>
    <d v="2025-02-24T00:00:00"/>
    <s v="ZBTO"/>
    <n v="9518548149"/>
    <n v="8"/>
    <s v="9518548149-8"/>
    <s v="No Priority"/>
    <x v="0"/>
    <m/>
    <x v="1"/>
    <x v="11"/>
    <s v="2000-BPRS"/>
    <m/>
    <x v="0"/>
    <m/>
    <m/>
    <m/>
    <s v="South"/>
    <s v="YESHWANTHPURA"/>
    <m/>
    <n v="932244"/>
    <x v="34"/>
    <n v="2420514"/>
    <s v="CRCA COIL TATXXD AH03 0.800X1250"/>
    <s v=" "/>
    <s v=""/>
    <n v="2"/>
    <n v="26"/>
    <m/>
    <s v="C01"/>
    <s v="TATXXD"/>
    <s v="AH03"/>
    <n v="0.8"/>
    <n v="1250"/>
    <n v="0"/>
    <n v="145"/>
    <n v="0"/>
    <n v="145"/>
    <n v="6.32"/>
    <n v="145"/>
    <n v="13.03"/>
    <n v="0"/>
    <n v="0"/>
    <n v="0"/>
    <n v="0"/>
    <n v="0"/>
    <n v="0"/>
    <n v="0"/>
    <n v="0"/>
    <n v="0"/>
    <n v="0"/>
    <n v="0"/>
    <n v="0"/>
    <n v="0"/>
    <n v="0"/>
    <n v="0"/>
    <n v="0"/>
    <n v="0"/>
    <n v="0"/>
    <n v="0"/>
    <n v="0"/>
    <n v="0"/>
    <n v="0"/>
    <n v="0"/>
    <m/>
    <m/>
    <m/>
    <m/>
    <m/>
    <m/>
    <m/>
    <m/>
    <m/>
    <m/>
    <m/>
    <m/>
    <m/>
    <m/>
    <m/>
    <m/>
    <m/>
    <m/>
    <m/>
    <m/>
    <m/>
    <m/>
    <m/>
    <m/>
    <m/>
    <m/>
    <m/>
    <m/>
    <m/>
    <m/>
    <m/>
    <m/>
    <m/>
    <m/>
    <m/>
    <m/>
    <m/>
    <m/>
    <m/>
    <m/>
    <m/>
    <m/>
    <m/>
    <m/>
    <m/>
    <m/>
    <m/>
    <m/>
    <m/>
  </r>
  <r>
    <n v="742"/>
    <d v="2025-03-24T00:00:00"/>
    <s v="ZBTO"/>
    <n v="9518628470"/>
    <n v="1"/>
    <s v="9518628470-1"/>
    <s v="No Priority"/>
    <x v="0"/>
    <m/>
    <x v="1"/>
    <x v="2"/>
    <s v="2000-BPRS"/>
    <m/>
    <x v="0"/>
    <m/>
    <m/>
    <m/>
    <s v="East"/>
    <s v="GUWAHATI"/>
    <m/>
    <n v="116649"/>
    <x v="24"/>
    <n v="3893162"/>
    <s v="CRCA SHEET TSBCRC SR15 0.700X1120X2500"/>
    <s v=" "/>
    <s v=""/>
    <n v="2"/>
    <n v="3"/>
    <m/>
    <s v="C06"/>
    <s v="TSBCRC"/>
    <s v="SR15"/>
    <n v="0.7"/>
    <n v="1120"/>
    <n v="2500"/>
    <n v="20.99"/>
    <n v="17.600000000000001"/>
    <n v="3.39"/>
    <n v="3.39"/>
    <n v="3.39"/>
    <n v="3.39"/>
    <n v="0"/>
    <n v="0"/>
    <n v="0"/>
    <n v="0"/>
    <n v="0"/>
    <n v="0"/>
    <n v="0"/>
    <n v="0"/>
    <n v="0"/>
    <n v="0"/>
    <n v="0"/>
    <n v="0"/>
    <n v="0"/>
    <n v="0"/>
    <n v="0"/>
    <n v="0"/>
    <n v="0"/>
    <n v="0"/>
    <n v="0"/>
    <n v="0"/>
    <n v="0"/>
    <n v="0"/>
    <n v="0"/>
    <m/>
    <m/>
    <m/>
    <m/>
    <m/>
    <m/>
    <m/>
    <m/>
    <m/>
    <m/>
    <m/>
    <m/>
    <m/>
    <m/>
    <m/>
    <m/>
    <m/>
    <m/>
    <m/>
    <m/>
    <m/>
    <m/>
    <m/>
    <m/>
    <m/>
    <m/>
    <m/>
    <m/>
    <m/>
    <m/>
    <m/>
    <m/>
    <m/>
    <m/>
    <m/>
    <m/>
    <m/>
    <m/>
    <m/>
    <m/>
    <m/>
    <m/>
    <m/>
    <m/>
    <m/>
    <m/>
    <m/>
    <m/>
    <m/>
  </r>
  <r>
    <n v="742"/>
    <d v="2025-03-24T00:00:00"/>
    <s v="ZBTO"/>
    <n v="9518628470"/>
    <n v="2"/>
    <s v="9518628470-2"/>
    <s v="May'25"/>
    <x v="0"/>
    <s v="Yes"/>
    <x v="1"/>
    <x v="2"/>
    <s v="2000-BPRS"/>
    <m/>
    <x v="1"/>
    <m/>
    <m/>
    <m/>
    <s v="East"/>
    <s v="GUWAHATI"/>
    <m/>
    <n v="116649"/>
    <x v="24"/>
    <n v="3533337"/>
    <s v="CRCA SHEET TSBCRC SR15 0.700X1120X2000"/>
    <s v=" "/>
    <s v=""/>
    <n v="2"/>
    <n v="3"/>
    <m/>
    <s v="C06"/>
    <s v="TSBCRC"/>
    <s v="SR15"/>
    <n v="0.7"/>
    <n v="1120"/>
    <n v="2000"/>
    <n v="21"/>
    <n v="0"/>
    <n v="21"/>
    <n v="21"/>
    <n v="21"/>
    <n v="21"/>
    <n v="0"/>
    <n v="0"/>
    <n v="0"/>
    <n v="0"/>
    <n v="0"/>
    <n v="0"/>
    <n v="0"/>
    <n v="0"/>
    <n v="0"/>
    <n v="0"/>
    <n v="0"/>
    <n v="0"/>
    <n v="0"/>
    <n v="0"/>
    <n v="0"/>
    <n v="0"/>
    <n v="0"/>
    <n v="0"/>
    <n v="0"/>
    <n v="0"/>
    <n v="0"/>
    <n v="0"/>
    <n v="0"/>
    <m/>
    <m/>
    <m/>
    <m/>
    <m/>
    <m/>
    <m/>
    <m/>
    <m/>
    <m/>
    <m/>
    <m/>
    <m/>
    <m/>
    <m/>
    <m/>
    <m/>
    <m/>
    <m/>
    <m/>
    <m/>
    <m/>
    <m/>
    <m/>
    <m/>
    <m/>
    <m/>
    <m/>
    <m/>
    <m/>
    <m/>
    <m/>
    <m/>
    <m/>
    <m/>
    <m/>
    <m/>
    <m/>
    <m/>
    <m/>
    <m/>
    <m/>
    <m/>
    <m/>
    <m/>
    <m/>
    <m/>
    <m/>
    <m/>
  </r>
  <r>
    <n v="742"/>
    <d v="2025-03-24T00:00:00"/>
    <s v="ZBTO"/>
    <n v="9518629852"/>
    <n v="1"/>
    <s v="9518629852-1"/>
    <s v="May'25"/>
    <x v="0"/>
    <s v="Yes"/>
    <x v="1"/>
    <x v="2"/>
    <s v="2000-BPRS"/>
    <m/>
    <x v="1"/>
    <m/>
    <m/>
    <s v="Maharashtra"/>
    <s v="West"/>
    <s v="NAGPUR"/>
    <m/>
    <n v="932086"/>
    <x v="27"/>
    <n v="3240765"/>
    <s v="CRCA SHEET TSBCRC SR15 0.500X1250X2500"/>
    <s v=" "/>
    <s v=""/>
    <n v="2.5"/>
    <n v="3.5"/>
    <m/>
    <s v="C06"/>
    <s v="TSBCRC"/>
    <s v="SR15"/>
    <n v="0.5"/>
    <n v="1250"/>
    <n v="2500"/>
    <n v="24"/>
    <n v="2.91"/>
    <n v="21.09"/>
    <n v="-7.52"/>
    <n v="0"/>
    <n v="21.09"/>
    <n v="0"/>
    <n v="0"/>
    <n v="0"/>
    <n v="0"/>
    <n v="0"/>
    <n v="0"/>
    <n v="0"/>
    <n v="0"/>
    <n v="27.305"/>
    <n v="0"/>
    <n v="0"/>
    <n v="0"/>
    <n v="0"/>
    <n v="0"/>
    <n v="0"/>
    <n v="0"/>
    <n v="0"/>
    <n v="0"/>
    <n v="0"/>
    <n v="27.305"/>
    <n v="27.305"/>
    <n v="0"/>
    <n v="27.305"/>
    <m/>
    <m/>
    <m/>
    <m/>
    <m/>
    <m/>
    <m/>
    <m/>
    <m/>
    <m/>
    <m/>
    <m/>
    <m/>
    <m/>
    <m/>
    <m/>
    <m/>
    <m/>
    <m/>
    <m/>
    <m/>
    <m/>
    <m/>
    <m/>
    <m/>
    <m/>
    <m/>
    <m/>
    <m/>
    <m/>
    <m/>
    <m/>
    <m/>
    <m/>
    <m/>
    <m/>
    <m/>
    <m/>
    <m/>
    <m/>
    <m/>
    <m/>
    <m/>
    <m/>
    <m/>
    <m/>
    <m/>
    <m/>
    <m/>
  </r>
  <r>
    <n v="742"/>
    <d v="2025-03-24T00:00:00"/>
    <s v="ZBTO"/>
    <n v="9518629852"/>
    <n v="2"/>
    <s v="9518629852-2"/>
    <s v="May'25"/>
    <x v="0"/>
    <s v="Yes"/>
    <x v="1"/>
    <x v="2"/>
    <s v="2000-BPRS"/>
    <m/>
    <x v="1"/>
    <m/>
    <m/>
    <s v="Maharashtra"/>
    <s v="West"/>
    <s v="NAGPUR"/>
    <m/>
    <n v="932086"/>
    <x v="27"/>
    <n v="3240785"/>
    <s v="CRCA SHEET TSBCRC SR15 0.600X1250X2500"/>
    <s v=" "/>
    <s v=""/>
    <n v="2.5"/>
    <n v="3.5"/>
    <m/>
    <s v="C06"/>
    <s v="TSBCRC"/>
    <s v="SR15"/>
    <n v="0.6"/>
    <n v="1250"/>
    <n v="2500"/>
    <n v="24"/>
    <n v="0"/>
    <n v="24"/>
    <n v="24"/>
    <n v="0.82000000000000028"/>
    <n v="24"/>
    <n v="0"/>
    <n v="0"/>
    <n v="23.18"/>
    <n v="0"/>
    <n v="0"/>
    <n v="0"/>
    <n v="0"/>
    <n v="0"/>
    <n v="0"/>
    <n v="0"/>
    <n v="0"/>
    <n v="0"/>
    <n v="0"/>
    <n v="0"/>
    <n v="0"/>
    <n v="0"/>
    <n v="0"/>
    <n v="0"/>
    <n v="0"/>
    <n v="23.18"/>
    <n v="23.18"/>
    <n v="0"/>
    <n v="23.18"/>
    <m/>
    <m/>
    <m/>
    <m/>
    <m/>
    <m/>
    <m/>
    <m/>
    <m/>
    <m/>
    <m/>
    <m/>
    <m/>
    <m/>
    <m/>
    <m/>
    <m/>
    <m/>
    <m/>
    <m/>
    <m/>
    <m/>
    <m/>
    <m/>
    <m/>
    <m/>
    <m/>
    <m/>
    <m/>
    <m/>
    <m/>
    <m/>
    <m/>
    <m/>
    <m/>
    <m/>
    <m/>
    <m/>
    <m/>
    <m/>
    <m/>
    <m/>
    <m/>
    <m/>
    <m/>
    <m/>
    <m/>
    <m/>
    <m/>
  </r>
  <r>
    <n v="742"/>
    <d v="2025-03-24T00:00:00"/>
    <s v="ZBTO"/>
    <n v="9518629852"/>
    <n v="3"/>
    <s v="9518629852-3"/>
    <s v="May'25"/>
    <x v="0"/>
    <s v="Yes"/>
    <x v="1"/>
    <x v="2"/>
    <s v="2000-BPRS"/>
    <m/>
    <x v="1"/>
    <m/>
    <m/>
    <s v="Maharashtra"/>
    <s v="West"/>
    <s v="NAGPUR"/>
    <m/>
    <n v="932086"/>
    <x v="27"/>
    <n v="3240786"/>
    <s v="CRCA SHEET TSBCRC SR15 0.700X1250X2500"/>
    <s v=" "/>
    <s v=""/>
    <n v="2.5"/>
    <n v="3.5"/>
    <m/>
    <s v="C06"/>
    <s v="TSBCRC"/>
    <s v="SR15"/>
    <n v="0.7"/>
    <n v="1250"/>
    <n v="2500"/>
    <n v="24"/>
    <n v="0"/>
    <n v="24"/>
    <n v="24"/>
    <n v="1.3550000000000004"/>
    <n v="24"/>
    <n v="0"/>
    <n v="0"/>
    <n v="0"/>
    <n v="0"/>
    <n v="0"/>
    <n v="0"/>
    <n v="0"/>
    <n v="0"/>
    <n v="0"/>
    <n v="0"/>
    <n v="22.645"/>
    <n v="0"/>
    <n v="0"/>
    <n v="0"/>
    <n v="0"/>
    <n v="0"/>
    <n v="0"/>
    <n v="0"/>
    <n v="0"/>
    <n v="22.645"/>
    <n v="22.645"/>
    <n v="0"/>
    <n v="22.645"/>
    <m/>
    <m/>
    <m/>
    <m/>
    <m/>
    <m/>
    <m/>
    <m/>
    <m/>
    <m/>
    <m/>
    <m/>
    <m/>
    <m/>
    <m/>
    <m/>
    <m/>
    <m/>
    <m/>
    <m/>
    <m/>
    <m/>
    <m/>
    <m/>
    <m/>
    <m/>
    <m/>
    <m/>
    <m/>
    <m/>
    <m/>
    <m/>
    <m/>
    <m/>
    <m/>
    <m/>
    <m/>
    <m/>
    <m/>
    <m/>
    <m/>
    <m/>
    <m/>
    <m/>
    <m/>
    <m/>
    <m/>
    <m/>
    <m/>
  </r>
  <r>
    <n v="742"/>
    <d v="2025-03-26T00:00:00"/>
    <s v="ZBTO"/>
    <n v="9518637097"/>
    <n v="2"/>
    <s v="9518637097-2"/>
    <s v="May'25"/>
    <x v="0"/>
    <s v="Yes"/>
    <x v="1"/>
    <x v="2"/>
    <s v="2000-BPRS"/>
    <m/>
    <x v="1"/>
    <m/>
    <m/>
    <m/>
    <s v="East"/>
    <s v="URLA"/>
    <m/>
    <n v="139336"/>
    <x v="89"/>
    <n v="3240778"/>
    <s v="CRCA SHEET TSBCRC SR15 0.600X1000X2500"/>
    <s v=" "/>
    <s v=""/>
    <n v="1"/>
    <n v="3"/>
    <m/>
    <s v="C06"/>
    <s v="TSBCRC"/>
    <s v="SR15"/>
    <n v="0.6"/>
    <n v="1000"/>
    <n v="2500"/>
    <n v="60"/>
    <n v="18.875"/>
    <n v="41.125"/>
    <n v="41.125"/>
    <n v="-3.384999999999998"/>
    <n v="41.125"/>
    <n v="0"/>
    <n v="0"/>
    <n v="0"/>
    <n v="0"/>
    <n v="0"/>
    <n v="0"/>
    <n v="0"/>
    <n v="0"/>
    <n v="0"/>
    <n v="0"/>
    <n v="0"/>
    <n v="0"/>
    <n v="0"/>
    <n v="44.51"/>
    <n v="0"/>
    <n v="0"/>
    <n v="0"/>
    <n v="0"/>
    <n v="0"/>
    <n v="44.51"/>
    <n v="44.51"/>
    <n v="0"/>
    <n v="44.51"/>
    <m/>
    <m/>
    <m/>
    <m/>
    <m/>
    <m/>
    <m/>
    <m/>
    <m/>
    <m/>
    <m/>
    <m/>
    <m/>
    <m/>
    <m/>
    <m/>
    <m/>
    <m/>
    <m/>
    <m/>
    <m/>
    <m/>
    <m/>
    <m/>
    <m/>
    <m/>
    <m/>
    <m/>
    <m/>
    <m/>
    <m/>
    <m/>
    <m/>
    <m/>
    <m/>
    <m/>
    <m/>
    <m/>
    <m/>
    <m/>
    <m/>
    <m/>
    <m/>
    <m/>
    <m/>
    <m/>
    <m/>
    <m/>
    <m/>
  </r>
  <r>
    <n v="742"/>
    <d v="2025-03-24T00:00:00"/>
    <s v="ZBTO"/>
    <n v="9518629852"/>
    <n v="4"/>
    <s v="9518629852-4"/>
    <s v="May'25"/>
    <x v="0"/>
    <s v="Yes"/>
    <x v="1"/>
    <x v="2"/>
    <s v="2000-BPRS"/>
    <m/>
    <x v="1"/>
    <m/>
    <m/>
    <s v="Maharashtra"/>
    <s v="West"/>
    <s v="NAGPUR"/>
    <m/>
    <n v="932086"/>
    <x v="27"/>
    <n v="3240808"/>
    <s v="CRCA SHEET TSBCRC SR15 0.800X1250X2500"/>
    <s v=" "/>
    <s v=""/>
    <n v="2.5"/>
    <n v="3.5"/>
    <m/>
    <s v="C06"/>
    <s v="TSBCRC"/>
    <s v="SR15"/>
    <n v="0.8"/>
    <n v="1250"/>
    <n v="2500"/>
    <n v="48"/>
    <n v="0"/>
    <n v="48"/>
    <n v="48"/>
    <n v="48"/>
    <n v="21.92"/>
    <n v="0"/>
    <n v="0"/>
    <n v="0"/>
    <n v="0"/>
    <n v="0"/>
    <n v="0"/>
    <n v="0"/>
    <n v="0"/>
    <n v="0"/>
    <n v="0"/>
    <n v="0"/>
    <n v="0"/>
    <n v="0"/>
    <n v="0"/>
    <n v="0"/>
    <n v="0"/>
    <n v="0"/>
    <n v="0"/>
    <n v="0"/>
    <n v="0"/>
    <n v="0"/>
    <n v="0"/>
    <n v="0"/>
    <m/>
    <m/>
    <m/>
    <m/>
    <m/>
    <m/>
    <m/>
    <m/>
    <m/>
    <m/>
    <m/>
    <m/>
    <m/>
    <m/>
    <m/>
    <m/>
    <m/>
    <m/>
    <m/>
    <m/>
    <m/>
    <m/>
    <m/>
    <m/>
    <m/>
    <m/>
    <m/>
    <m/>
    <m/>
    <m/>
    <m/>
    <m/>
    <m/>
    <m/>
    <m/>
    <m/>
    <m/>
    <m/>
    <m/>
    <m/>
    <m/>
    <m/>
    <m/>
    <m/>
    <m/>
    <m/>
    <m/>
    <m/>
    <m/>
  </r>
  <r>
    <n v="742"/>
    <d v="2025-03-24T00:00:00"/>
    <s v="ZBTO"/>
    <n v="9518629852"/>
    <n v="5"/>
    <s v="9518629852-5"/>
    <s v="May'25"/>
    <x v="0"/>
    <s v="Yes"/>
    <x v="1"/>
    <x v="2"/>
    <s v="2000-BPRS"/>
    <m/>
    <x v="1"/>
    <m/>
    <m/>
    <s v="Maharashtra"/>
    <s v="West"/>
    <s v="NAGPUR"/>
    <m/>
    <n v="932086"/>
    <x v="27"/>
    <n v="3240837"/>
    <s v="CRCA SHEET TSBCRC SR15 1X1250X2500"/>
    <s v=" "/>
    <s v=""/>
    <n v="2.5"/>
    <n v="3.5"/>
    <m/>
    <s v="C06"/>
    <s v="TSBCRC"/>
    <s v="SR15"/>
    <n v="1"/>
    <n v="1250"/>
    <n v="2500"/>
    <n v="99"/>
    <n v="0"/>
    <n v="99"/>
    <n v="99"/>
    <n v="70.134999999999991"/>
    <n v="99"/>
    <n v="0"/>
    <n v="0"/>
    <n v="0"/>
    <n v="0"/>
    <n v="0"/>
    <n v="0"/>
    <n v="0"/>
    <n v="0"/>
    <n v="0"/>
    <n v="0"/>
    <n v="28.865000000000002"/>
    <n v="0"/>
    <n v="0"/>
    <n v="0"/>
    <n v="0"/>
    <n v="0"/>
    <n v="0"/>
    <n v="0"/>
    <n v="0"/>
    <n v="28.865000000000002"/>
    <n v="28.865000000000002"/>
    <n v="0"/>
    <n v="28.865000000000002"/>
    <m/>
    <m/>
    <m/>
    <m/>
    <m/>
    <m/>
    <m/>
    <m/>
    <m/>
    <m/>
    <m/>
    <m/>
    <m/>
    <m/>
    <m/>
    <m/>
    <m/>
    <m/>
    <m/>
    <m/>
    <m/>
    <m/>
    <m/>
    <m/>
    <m/>
    <m/>
    <m/>
    <m/>
    <m/>
    <m/>
    <m/>
    <m/>
    <m/>
    <m/>
    <m/>
    <m/>
    <m/>
    <m/>
    <m/>
    <m/>
    <m/>
    <m/>
    <m/>
    <m/>
    <m/>
    <m/>
    <m/>
    <m/>
    <m/>
  </r>
  <r>
    <n v="742"/>
    <d v="2025-03-24T00:00:00"/>
    <s v="ZBTO"/>
    <n v="9518629852"/>
    <n v="6"/>
    <s v="9518629852-6"/>
    <s v="May'25"/>
    <x v="0"/>
    <s v="Yes"/>
    <x v="1"/>
    <x v="2"/>
    <s v="2000-BPRS"/>
    <m/>
    <x v="1"/>
    <m/>
    <m/>
    <s v="Maharashtra"/>
    <s v="West"/>
    <s v="NAGPUR"/>
    <m/>
    <n v="932086"/>
    <x v="27"/>
    <n v="3240851"/>
    <s v="CRCA SHEET TSBCRC SR15 1.200X1250X2500"/>
    <s v=" "/>
    <s v=""/>
    <n v="2.5"/>
    <n v="3.5"/>
    <m/>
    <s v="C06"/>
    <s v="TSBCRC"/>
    <s v="SR15"/>
    <n v="1.2"/>
    <n v="1250"/>
    <n v="2500"/>
    <n v="99"/>
    <n v="0"/>
    <n v="99"/>
    <n v="99"/>
    <n v="70.305000000000007"/>
    <n v="99"/>
    <n v="0"/>
    <n v="0"/>
    <n v="0"/>
    <n v="0"/>
    <n v="0"/>
    <n v="0"/>
    <n v="0"/>
    <n v="0"/>
    <n v="0"/>
    <n v="0"/>
    <n v="28.695"/>
    <n v="0"/>
    <n v="0"/>
    <n v="0"/>
    <n v="0"/>
    <n v="0"/>
    <n v="0"/>
    <n v="0"/>
    <n v="0"/>
    <n v="28.695"/>
    <n v="28.695"/>
    <n v="0"/>
    <n v="28.695"/>
    <m/>
    <m/>
    <m/>
    <m/>
    <m/>
    <m/>
    <m/>
    <m/>
    <m/>
    <m/>
    <m/>
    <m/>
    <m/>
    <m/>
    <m/>
    <m/>
    <m/>
    <m/>
    <m/>
    <m/>
    <m/>
    <m/>
    <m/>
    <m/>
    <m/>
    <m/>
    <m/>
    <m/>
    <m/>
    <m/>
    <m/>
    <m/>
    <m/>
    <m/>
    <m/>
    <m/>
    <m/>
    <m/>
    <m/>
    <m/>
    <m/>
    <m/>
    <m/>
    <m/>
    <m/>
    <m/>
    <m/>
    <m/>
    <m/>
  </r>
  <r>
    <n v="742"/>
    <d v="2025-03-24T00:00:00"/>
    <s v="ZBTO"/>
    <n v="9518629852"/>
    <n v="7"/>
    <s v="9518629852-7"/>
    <s v="May'25"/>
    <x v="0"/>
    <m/>
    <x v="1"/>
    <x v="2"/>
    <s v="2000-BPRS"/>
    <m/>
    <x v="1"/>
    <m/>
    <m/>
    <s v="Maharashtra"/>
    <s v="West"/>
    <s v="NAGPUR"/>
    <m/>
    <n v="932086"/>
    <x v="27"/>
    <n v="3240863"/>
    <s v="CRCA SHEET TSBCRC SR15 1.500X1250X2500"/>
    <s v=" "/>
    <s v=""/>
    <n v="2.5"/>
    <n v="3.5"/>
    <m/>
    <s v="C06"/>
    <s v="TSBCRC"/>
    <s v="SR15"/>
    <n v="1.5"/>
    <n v="1250"/>
    <n v="2500"/>
    <n v="99"/>
    <n v="0"/>
    <n v="99"/>
    <n v="43.93"/>
    <n v="70.210000000000008"/>
    <n v="47.695"/>
    <n v="0"/>
    <n v="0"/>
    <n v="0"/>
    <n v="0"/>
    <n v="0"/>
    <n v="0"/>
    <n v="0"/>
    <n v="0"/>
    <n v="0"/>
    <n v="0"/>
    <n v="28.79"/>
    <n v="0"/>
    <n v="0"/>
    <n v="0"/>
    <n v="0"/>
    <n v="0"/>
    <n v="0"/>
    <n v="0"/>
    <n v="0"/>
    <n v="28.79"/>
    <n v="28.79"/>
    <n v="0"/>
    <n v="28.79"/>
    <m/>
    <m/>
    <m/>
    <m/>
    <m/>
    <m/>
    <m/>
    <m/>
    <m/>
    <m/>
    <m/>
    <m/>
    <m/>
    <m/>
    <m/>
    <m/>
    <m/>
    <m/>
    <m/>
    <m/>
    <m/>
    <m/>
    <m/>
    <m/>
    <m/>
    <m/>
    <m/>
    <m/>
    <m/>
    <m/>
    <m/>
    <m/>
    <m/>
    <m/>
    <m/>
    <m/>
    <m/>
    <m/>
    <m/>
    <m/>
    <m/>
    <m/>
    <m/>
    <m/>
    <m/>
    <m/>
    <m/>
    <m/>
    <m/>
  </r>
  <r>
    <n v="742"/>
    <d v="2025-03-24T00:00:00"/>
    <s v="ZBTO"/>
    <n v="9518629852"/>
    <n v="9"/>
    <s v="9518629852-9"/>
    <s v="May'25"/>
    <x v="0"/>
    <s v="Yes"/>
    <x v="1"/>
    <x v="2"/>
    <s v="2000-BPRS"/>
    <m/>
    <x v="1"/>
    <m/>
    <m/>
    <s v="Maharashtra"/>
    <s v="West"/>
    <s v="NAGPUR"/>
    <m/>
    <n v="932086"/>
    <x v="27"/>
    <n v="3240869"/>
    <s v="CRCA SHEET TSBCRC SR15 2X1250X2500"/>
    <s v=" "/>
    <s v=""/>
    <n v="2.5"/>
    <n v="3.5"/>
    <m/>
    <s v="C06"/>
    <s v="TSBCRC"/>
    <s v="SR15"/>
    <n v="2"/>
    <n v="1250"/>
    <n v="2500"/>
    <n v="75"/>
    <n v="0"/>
    <n v="75"/>
    <n v="75"/>
    <n v="75"/>
    <n v="75"/>
    <n v="0"/>
    <n v="0"/>
    <n v="0"/>
    <n v="0"/>
    <n v="0"/>
    <n v="0"/>
    <n v="0"/>
    <n v="0"/>
    <n v="0"/>
    <n v="0"/>
    <n v="0"/>
    <n v="0"/>
    <n v="0"/>
    <n v="0"/>
    <n v="0"/>
    <n v="0"/>
    <n v="0"/>
    <n v="0"/>
    <n v="0"/>
    <n v="0"/>
    <n v="0"/>
    <n v="0"/>
    <n v="0"/>
    <m/>
    <m/>
    <m/>
    <m/>
    <m/>
    <m/>
    <m/>
    <m/>
    <m/>
    <m/>
    <m/>
    <m/>
    <m/>
    <m/>
    <m/>
    <m/>
    <m/>
    <m/>
    <m/>
    <m/>
    <m/>
    <m/>
    <m/>
    <m/>
    <m/>
    <m/>
    <m/>
    <m/>
    <m/>
    <m/>
    <m/>
    <m/>
    <m/>
    <m/>
    <m/>
    <m/>
    <m/>
    <m/>
    <m/>
    <m/>
    <m/>
    <m/>
    <m/>
    <m/>
    <m/>
    <m/>
    <m/>
    <m/>
    <m/>
  </r>
  <r>
    <n v="742"/>
    <d v="2025-03-21T00:00:00"/>
    <s v="ZBTO"/>
    <n v="9518620548"/>
    <n v="1"/>
    <s v="9518620548-1"/>
    <s v="No Priority"/>
    <x v="0"/>
    <m/>
    <x v="1"/>
    <x v="1"/>
    <s v="2000-BPRS"/>
    <m/>
    <x v="0"/>
    <m/>
    <m/>
    <m/>
    <s v="North"/>
    <s v="DERABASSI"/>
    <m/>
    <n v="819097"/>
    <x v="1"/>
    <n v="2355305"/>
    <s v="CRCA COIL TATXXD AU03 1.500X1320"/>
    <s v=" "/>
    <s v=""/>
    <n v="10"/>
    <n v="30"/>
    <m/>
    <s v="C01"/>
    <s v="TATXXD"/>
    <s v="AU03"/>
    <n v="1.5"/>
    <n v="1320"/>
    <n v="0"/>
    <n v="60"/>
    <n v="0"/>
    <n v="60"/>
    <n v="60"/>
    <n v="60"/>
    <n v="60"/>
    <n v="0"/>
    <n v="0"/>
    <n v="0"/>
    <n v="0"/>
    <n v="0"/>
    <n v="0"/>
    <n v="0"/>
    <n v="0"/>
    <n v="0"/>
    <n v="0"/>
    <n v="0"/>
    <n v="0"/>
    <n v="0"/>
    <n v="0"/>
    <n v="0"/>
    <n v="0"/>
    <n v="0"/>
    <n v="0"/>
    <n v="0"/>
    <n v="0"/>
    <n v="0"/>
    <n v="0"/>
    <n v="0"/>
    <m/>
    <m/>
    <m/>
    <m/>
    <m/>
    <m/>
    <m/>
    <m/>
    <m/>
    <m/>
    <m/>
    <m/>
    <m/>
    <m/>
    <m/>
    <m/>
    <m/>
    <m/>
    <m/>
    <m/>
    <m/>
    <m/>
    <m/>
    <m/>
    <m/>
    <m/>
    <m/>
    <m/>
    <m/>
    <m/>
    <m/>
    <m/>
    <m/>
    <m/>
    <m/>
    <m/>
    <m/>
    <m/>
    <m/>
    <m/>
    <m/>
    <m/>
    <m/>
    <m/>
    <m/>
    <m/>
    <m/>
    <m/>
    <m/>
  </r>
  <r>
    <n v="743"/>
    <d v="2025-02-24T00:00:00"/>
    <s v="ZBTF"/>
    <n v="9518546063"/>
    <n v="3"/>
    <s v="9518546063-3"/>
    <s v="No Priority"/>
    <x v="0"/>
    <s v="Yes"/>
    <x v="3"/>
    <x v="9"/>
    <s v="2000-BPRS"/>
    <m/>
    <x v="1"/>
    <m/>
    <m/>
    <m/>
    <s v="East"/>
    <s v="JAMSHEDPUR"/>
    <m/>
    <n v="600250"/>
    <x v="23"/>
    <n v="1178439"/>
    <s v="GP COIL SOFT-TATXGP-GK09-0.4X900"/>
    <s v="Z80"/>
    <s v=""/>
    <n v="8"/>
    <n v="15"/>
    <m/>
    <s v="C02"/>
    <s v="TATXGP"/>
    <s v="GK09"/>
    <n v="0.4"/>
    <n v="900"/>
    <n v="0"/>
    <n v="420"/>
    <n v="0"/>
    <n v="420"/>
    <n v="420"/>
    <n v="0"/>
    <n v="252"/>
    <n v="0"/>
    <n v="0"/>
    <n v="0"/>
    <n v="0"/>
    <n v="0"/>
    <n v="0"/>
    <n v="0"/>
    <n v="0"/>
    <n v="0"/>
    <n v="0"/>
    <n v="0"/>
    <n v="0"/>
    <n v="0"/>
    <n v="0"/>
    <n v="0"/>
    <n v="0"/>
    <n v="0"/>
    <n v="0"/>
    <n v="0"/>
    <n v="0"/>
    <n v="0"/>
    <n v="420"/>
    <n v="420"/>
    <m/>
    <m/>
    <m/>
    <m/>
    <m/>
    <m/>
    <m/>
    <m/>
    <m/>
    <m/>
    <m/>
    <m/>
    <m/>
    <m/>
    <m/>
    <m/>
    <m/>
    <m/>
    <m/>
    <m/>
    <m/>
    <m/>
    <m/>
    <m/>
    <m/>
    <m/>
    <m/>
    <m/>
    <m/>
    <m/>
    <m/>
    <m/>
    <m/>
    <m/>
    <m/>
    <m/>
    <m/>
    <m/>
    <m/>
    <m/>
    <m/>
    <m/>
    <m/>
    <m/>
    <m/>
    <m/>
    <m/>
    <m/>
    <m/>
  </r>
  <r>
    <n v="743"/>
    <d v="2025-02-24T00:00:00"/>
    <s v="ZBTF"/>
    <n v="9518546063"/>
    <n v="4"/>
    <s v="9518546063-4"/>
    <s v="May'25"/>
    <x v="0"/>
    <s v="Yes"/>
    <x v="3"/>
    <x v="9"/>
    <s v="2000-BPRS"/>
    <m/>
    <x v="1"/>
    <m/>
    <m/>
    <m/>
    <s v="East"/>
    <s v="JAMSHEDPUR"/>
    <m/>
    <n v="600250"/>
    <x v="23"/>
    <n v="1854418"/>
    <s v="GP COIL SOFT-TATXGP-GK09-0.5X900"/>
    <s v="Z80"/>
    <s v=""/>
    <n v="8"/>
    <n v="15"/>
    <m/>
    <s v="C02"/>
    <s v="TATXGP"/>
    <s v="GK09"/>
    <n v="0.5"/>
    <n v="900"/>
    <n v="0"/>
    <n v="357"/>
    <n v="0"/>
    <n v="357"/>
    <n v="357"/>
    <n v="249.92000000000002"/>
    <n v="222.51"/>
    <n v="0"/>
    <n v="0"/>
    <n v="0"/>
    <n v="0"/>
    <n v="0.78500000000000003"/>
    <n v="0"/>
    <n v="57.645000000000003"/>
    <n v="0"/>
    <n v="0"/>
    <n v="0"/>
    <n v="0"/>
    <n v="0"/>
    <n v="0"/>
    <n v="0"/>
    <n v="0"/>
    <n v="0"/>
    <n v="0"/>
    <n v="0"/>
    <n v="48.65"/>
    <n v="107.08"/>
    <n v="107.08"/>
    <n v="0"/>
    <n v="107.08"/>
    <m/>
    <m/>
    <m/>
    <m/>
    <m/>
    <m/>
    <m/>
    <m/>
    <m/>
    <m/>
    <m/>
    <m/>
    <m/>
    <m/>
    <m/>
    <m/>
    <m/>
    <m/>
    <m/>
    <m/>
    <m/>
    <m/>
    <m/>
    <m/>
    <m/>
    <m/>
    <m/>
    <m/>
    <m/>
    <m/>
    <m/>
    <m/>
    <m/>
    <m/>
    <m/>
    <m/>
    <m/>
    <m/>
    <m/>
    <m/>
    <m/>
    <m/>
    <m/>
    <m/>
    <m/>
    <m/>
    <m/>
    <m/>
    <m/>
  </r>
  <r>
    <n v="743"/>
    <d v="2025-03-21T00:00:00"/>
    <s v="ZBTO"/>
    <n v="9518620565"/>
    <n v="6"/>
    <s v="9518620565-6"/>
    <s v="No Priority"/>
    <x v="0"/>
    <m/>
    <x v="3"/>
    <x v="0"/>
    <s v="2000-BPRS"/>
    <m/>
    <x v="0"/>
    <m/>
    <m/>
    <m/>
    <s v="East"/>
    <s v="TATANAGAR"/>
    <m/>
    <n v="165053"/>
    <x v="5"/>
    <n v="1852256"/>
    <s v="GP COIL SOFT-TSBXGP-N1GP-0.5X1000"/>
    <s v="Z80"/>
    <s v=""/>
    <n v="4"/>
    <n v="12"/>
    <m/>
    <s v="C02"/>
    <s v="TSBXGP"/>
    <s v="N1GP"/>
    <n v="0.5"/>
    <n v="1000"/>
    <n v="0"/>
    <n v="23"/>
    <n v="0"/>
    <n v="23"/>
    <n v="23"/>
    <n v="23"/>
    <n v="23"/>
    <n v="0"/>
    <n v="0"/>
    <n v="0"/>
    <n v="0"/>
    <n v="0"/>
    <n v="0"/>
    <n v="0"/>
    <n v="0"/>
    <n v="0"/>
    <n v="0"/>
    <n v="0"/>
    <n v="0"/>
    <n v="0"/>
    <n v="0"/>
    <n v="0"/>
    <n v="0"/>
    <n v="0"/>
    <n v="0"/>
    <n v="0"/>
    <n v="0"/>
    <n v="0"/>
    <n v="0"/>
    <n v="0"/>
    <m/>
    <m/>
    <m/>
    <m/>
    <m/>
    <m/>
    <m/>
    <m/>
    <m/>
    <m/>
    <m/>
    <m/>
    <m/>
    <m/>
    <m/>
    <m/>
    <m/>
    <m/>
    <m/>
    <m/>
    <m/>
    <m/>
    <m/>
    <m/>
    <m/>
    <m/>
    <m/>
    <m/>
    <m/>
    <m/>
    <m/>
    <m/>
    <m/>
    <m/>
    <m/>
    <m/>
    <m/>
    <m/>
    <m/>
    <m/>
    <m/>
    <m/>
    <m/>
    <m/>
    <m/>
    <m/>
    <m/>
    <m/>
    <m/>
  </r>
  <r>
    <n v="742"/>
    <d v="2025-03-21T00:00:00"/>
    <s v="ZBTO"/>
    <n v="9518620674"/>
    <n v="18"/>
    <s v="9518620674-18"/>
    <s v="No Priority"/>
    <x v="0"/>
    <s v="Yes"/>
    <x v="1"/>
    <x v="1"/>
    <s v="2000-BPRS"/>
    <m/>
    <x v="0"/>
    <m/>
    <s v="Depriritized as per SPA's instruction"/>
    <m/>
    <s v="South"/>
    <s v="CHENNAI"/>
    <m/>
    <n v="938550"/>
    <x v="4"/>
    <n v="1804854"/>
    <s v="CRCA COIL-TATXXD-AU03-1.2X1250"/>
    <s v=" "/>
    <s v=""/>
    <n v="6"/>
    <n v="18"/>
    <m/>
    <s v="C01"/>
    <s v="TATXXD"/>
    <s v="AU03"/>
    <n v="1.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3-21T00:00:00"/>
    <s v="ZBTO"/>
    <n v="9518620674"/>
    <n v="26"/>
    <s v="9518620674-26"/>
    <s v="May'25"/>
    <x v="0"/>
    <s v="Yes"/>
    <x v="1"/>
    <x v="2"/>
    <s v="2000-BPRS"/>
    <m/>
    <x v="1"/>
    <m/>
    <m/>
    <m/>
    <s v="South"/>
    <s v="CHENNAI"/>
    <m/>
    <n v="938550"/>
    <x v="4"/>
    <n v="3240775"/>
    <s v="CRCA SHEET TSBCRC SR15 0.600X1000X1980"/>
    <s v=" "/>
    <s v=""/>
    <n v="0"/>
    <n v="0"/>
    <m/>
    <s v="C06"/>
    <s v="TSBCRC"/>
    <s v="SR15"/>
    <n v="0.6"/>
    <n v="1000"/>
    <n v="1980"/>
    <n v="45"/>
    <n v="0"/>
    <n v="45"/>
    <n v="45"/>
    <n v="0.51999999999999602"/>
    <n v="45"/>
    <n v="0"/>
    <n v="0"/>
    <n v="0"/>
    <n v="0"/>
    <n v="0"/>
    <n v="0"/>
    <n v="0"/>
    <n v="0"/>
    <n v="0"/>
    <n v="0"/>
    <n v="0"/>
    <n v="0"/>
    <n v="0"/>
    <n v="44.480000000000004"/>
    <n v="0"/>
    <n v="0"/>
    <n v="0"/>
    <n v="0"/>
    <n v="0"/>
    <n v="44.480000000000004"/>
    <n v="44.480000000000004"/>
    <n v="0"/>
    <n v="44.480000000000004"/>
    <m/>
    <m/>
    <m/>
    <m/>
    <m/>
    <m/>
    <m/>
    <m/>
    <m/>
    <m/>
    <m/>
    <m/>
    <m/>
    <m/>
    <m/>
    <m/>
    <m/>
    <m/>
    <m/>
    <m/>
    <m/>
    <m/>
    <m/>
    <m/>
    <m/>
    <m/>
    <m/>
    <m/>
    <m/>
    <m/>
    <m/>
    <m/>
    <m/>
    <m/>
    <m/>
    <m/>
    <m/>
    <m/>
    <m/>
    <m/>
    <m/>
    <m/>
    <m/>
    <m/>
    <m/>
    <m/>
    <m/>
    <m/>
    <m/>
  </r>
  <r>
    <n v="742"/>
    <d v="2025-03-18T00:00:00"/>
    <s v="ZBTO"/>
    <n v="9518610768"/>
    <n v="2"/>
    <s v="9518610768-2"/>
    <s v="No Priority"/>
    <x v="0"/>
    <s v="Yes"/>
    <x v="1"/>
    <x v="2"/>
    <s v="2000-BPRS"/>
    <m/>
    <x v="0"/>
    <m/>
    <m/>
    <m/>
    <s v="North"/>
    <s v="VARANASI"/>
    <m/>
    <n v="931525"/>
    <x v="2"/>
    <n v="3240765"/>
    <s v="CRCA SHEET TSBCRC SR15 0.500X1250X2500"/>
    <s v=" "/>
    <s v=""/>
    <n v="0"/>
    <n v="0"/>
    <m/>
    <s v="C06"/>
    <s v="TSBCRC"/>
    <s v="SR15"/>
    <n v="0.5"/>
    <n v="1250"/>
    <n v="2500"/>
    <n v="54"/>
    <n v="0"/>
    <n v="54"/>
    <n v="-2.08"/>
    <n v="0"/>
    <n v="54"/>
    <n v="0"/>
    <n v="0"/>
    <n v="0"/>
    <n v="0"/>
    <n v="0"/>
    <n v="0"/>
    <n v="0"/>
    <n v="0"/>
    <n v="0"/>
    <n v="0"/>
    <n v="0"/>
    <n v="0"/>
    <n v="0"/>
    <n v="55.13"/>
    <n v="0"/>
    <n v="0"/>
    <n v="0"/>
    <n v="0"/>
    <n v="0"/>
    <n v="55.13"/>
    <n v="55.13"/>
    <n v="0"/>
    <n v="55.13"/>
    <m/>
    <m/>
    <m/>
    <m/>
    <m/>
    <m/>
    <m/>
    <m/>
    <m/>
    <m/>
    <m/>
    <m/>
    <m/>
    <m/>
    <m/>
    <m/>
    <m/>
    <m/>
    <m/>
    <m/>
    <m/>
    <m/>
    <m/>
    <m/>
    <m/>
    <m/>
    <m/>
    <m/>
    <m/>
    <m/>
    <m/>
    <m/>
    <m/>
    <m/>
    <m/>
    <m/>
    <m/>
    <m/>
    <m/>
    <m/>
    <m/>
    <m/>
    <m/>
    <m/>
    <m/>
    <m/>
    <m/>
    <m/>
    <m/>
  </r>
  <r>
    <n v="742"/>
    <d v="2025-03-18T00:00:00"/>
    <s v="ZBTO"/>
    <n v="9518610768"/>
    <n v="3"/>
    <s v="9518610768-3"/>
    <s v="No Priority"/>
    <x v="0"/>
    <s v="Yes"/>
    <x v="1"/>
    <x v="2"/>
    <s v="2000-BPRS"/>
    <m/>
    <x v="0"/>
    <m/>
    <m/>
    <m/>
    <s v="North"/>
    <s v="VARANASI"/>
    <m/>
    <n v="931525"/>
    <x v="2"/>
    <n v="3240761"/>
    <s v="CRCA SHEET TSBCRC SR15 0.500X1250X2030"/>
    <s v=" "/>
    <s v=""/>
    <n v="0"/>
    <n v="0"/>
    <m/>
    <s v="C06"/>
    <s v="TSBCRC"/>
    <s v="SR15"/>
    <n v="0.5"/>
    <n v="1250"/>
    <n v="2030"/>
    <n v="54"/>
    <n v="0"/>
    <n v="54"/>
    <n v="-2.23"/>
    <n v="0"/>
    <n v="54"/>
    <n v="0"/>
    <n v="0"/>
    <n v="0"/>
    <n v="0"/>
    <n v="0"/>
    <n v="0"/>
    <n v="0"/>
    <n v="0"/>
    <n v="0"/>
    <n v="0"/>
    <n v="0"/>
    <n v="0"/>
    <n v="0"/>
    <n v="55.27"/>
    <n v="0"/>
    <n v="0"/>
    <n v="0"/>
    <n v="0"/>
    <n v="0"/>
    <n v="55.27"/>
    <n v="55.27"/>
    <n v="0"/>
    <n v="55.27"/>
    <m/>
    <m/>
    <m/>
    <m/>
    <m/>
    <m/>
    <m/>
    <m/>
    <m/>
    <m/>
    <m/>
    <m/>
    <m/>
    <m/>
    <m/>
    <m/>
    <m/>
    <m/>
    <m/>
    <m/>
    <m/>
    <m/>
    <m/>
    <m/>
    <m/>
    <m/>
    <m/>
    <m/>
    <m/>
    <m/>
    <m/>
    <m/>
    <m/>
    <m/>
    <m/>
    <m/>
    <m/>
    <m/>
    <m/>
    <m/>
    <m/>
    <m/>
    <m/>
    <m/>
    <m/>
    <m/>
    <m/>
    <m/>
    <m/>
  </r>
  <r>
    <n v="742"/>
    <d v="2025-03-22T00:00:00"/>
    <s v="ZBTO"/>
    <n v="9518624222"/>
    <n v="5"/>
    <s v="9518624222-5"/>
    <s v="No Priority"/>
    <x v="0"/>
    <m/>
    <x v="1"/>
    <x v="1"/>
    <s v="2000-BPRS"/>
    <m/>
    <x v="0"/>
    <m/>
    <m/>
    <m/>
    <s v="North"/>
    <s v="ZOSOLA"/>
    <m/>
    <n v="184986"/>
    <x v="49"/>
    <n v="2390540"/>
    <s v="CRCA COIL TATXXD AU03 1.800X1250"/>
    <s v=" "/>
    <s v=""/>
    <n v="15"/>
    <n v="29"/>
    <m/>
    <s v="C01"/>
    <s v="TATXXD"/>
    <s v="AU03"/>
    <n v="1.8"/>
    <n v="1250"/>
    <n v="0"/>
    <n v="58"/>
    <n v="0"/>
    <n v="58"/>
    <n v="58"/>
    <n v="35.019999999999996"/>
    <n v="58"/>
    <n v="0"/>
    <n v="0"/>
    <n v="0"/>
    <n v="0"/>
    <n v="0"/>
    <n v="0"/>
    <n v="0"/>
    <n v="0"/>
    <n v="0"/>
    <n v="0"/>
    <n v="0"/>
    <n v="0"/>
    <n v="0"/>
    <n v="22.98"/>
    <n v="0"/>
    <n v="0"/>
    <n v="0"/>
    <n v="0"/>
    <n v="0"/>
    <n v="22.98"/>
    <n v="22.98"/>
    <n v="0"/>
    <n v="22.98"/>
    <m/>
    <m/>
    <m/>
    <m/>
    <m/>
    <m/>
    <m/>
    <m/>
    <m/>
    <m/>
    <m/>
    <m/>
    <m/>
    <m/>
    <m/>
    <m/>
    <m/>
    <m/>
    <m/>
    <m/>
    <m/>
    <m/>
    <m/>
    <m/>
    <m/>
    <m/>
    <m/>
    <m/>
    <m/>
    <m/>
    <m/>
    <m/>
    <m/>
    <m/>
    <m/>
    <m/>
    <m/>
    <m/>
    <m/>
    <m/>
    <m/>
    <m/>
    <m/>
    <m/>
    <m/>
    <m/>
    <m/>
    <m/>
    <m/>
  </r>
  <r>
    <n v="742"/>
    <d v="2025-03-28T00:00:00"/>
    <s v="ZBTO"/>
    <n v="9518649334"/>
    <n v="1"/>
    <s v="9518649334-1"/>
    <s v="No Priority"/>
    <x v="0"/>
    <m/>
    <x v="0"/>
    <x v="0"/>
    <s v="2000-BPRS"/>
    <m/>
    <x v="0"/>
    <m/>
    <m/>
    <m/>
    <s v="North"/>
    <s v="FARIDABAD"/>
    <m/>
    <n v="936528"/>
    <x v="3"/>
    <n v="1179966"/>
    <s v="HR COILS-PO IS 10748 GR 1 2X1250"/>
    <s v=" "/>
    <s v=""/>
    <n v="17"/>
    <n v="28.4"/>
    <m/>
    <n v="768"/>
    <s v="I09497"/>
    <s v="HG01"/>
    <n v="2"/>
    <n v="1250"/>
    <n v="0"/>
    <n v="149.99"/>
    <n v="0"/>
    <n v="149.99"/>
    <n v="121.66"/>
    <n v="121.28"/>
    <n v="-0.01"/>
    <n v="0"/>
    <n v="0"/>
    <n v="28.71"/>
    <n v="0"/>
    <n v="0"/>
    <n v="0"/>
    <n v="0"/>
    <n v="0"/>
    <n v="0"/>
    <n v="0"/>
    <n v="0"/>
    <n v="0"/>
    <n v="0"/>
    <n v="0"/>
    <n v="0"/>
    <n v="0"/>
    <n v="0"/>
    <n v="0"/>
    <n v="0"/>
    <n v="28.71"/>
    <n v="28.71"/>
    <n v="0"/>
    <n v="28.71"/>
    <m/>
    <m/>
    <m/>
    <m/>
    <m/>
    <m/>
    <m/>
    <m/>
    <m/>
    <m/>
    <m/>
    <m/>
    <m/>
    <m/>
    <m/>
    <m/>
    <m/>
    <m/>
    <m/>
    <m/>
    <m/>
    <m/>
    <m/>
    <m/>
    <m/>
    <m/>
    <m/>
    <m/>
    <m/>
    <m/>
    <m/>
    <m/>
    <m/>
    <m/>
    <m/>
    <m/>
    <m/>
    <m/>
    <m/>
    <m/>
    <m/>
    <m/>
    <m/>
    <m/>
    <m/>
    <m/>
    <m/>
    <m/>
    <m/>
  </r>
  <r>
    <n v="742"/>
    <d v="2025-03-28T00:00:00"/>
    <s v="ZBTO"/>
    <n v="9518649334"/>
    <n v="2"/>
    <s v="9518649334-2"/>
    <s v="No Priority"/>
    <x v="0"/>
    <m/>
    <x v="0"/>
    <x v="0"/>
    <s v="2000-BPRS"/>
    <m/>
    <x v="0"/>
    <m/>
    <m/>
    <m/>
    <s v="North"/>
    <s v="FARIDABAD"/>
    <m/>
    <n v="936528"/>
    <x v="3"/>
    <n v="1247912"/>
    <s v="HR COILS-PO IS 10748 GR 1 2.20X1250"/>
    <s v=" "/>
    <s v=""/>
    <n v="17"/>
    <n v="26"/>
    <m/>
    <n v="768"/>
    <s v="I09497"/>
    <s v="HG01"/>
    <n v="2.2000000000000002"/>
    <n v="1250"/>
    <n v="0"/>
    <n v="50"/>
    <n v="0"/>
    <n v="50"/>
    <n v="50"/>
    <n v="50"/>
    <n v="0"/>
    <n v="0"/>
    <n v="0"/>
    <n v="0"/>
    <n v="0"/>
    <n v="0"/>
    <n v="0"/>
    <n v="0"/>
    <n v="0"/>
    <n v="0"/>
    <n v="0"/>
    <n v="0"/>
    <n v="0"/>
    <n v="0"/>
    <n v="0"/>
    <n v="0"/>
    <n v="0"/>
    <n v="0"/>
    <n v="0"/>
    <n v="0"/>
    <n v="0"/>
    <n v="0"/>
    <n v="0"/>
    <n v="0"/>
    <m/>
    <m/>
    <m/>
    <m/>
    <m/>
    <m/>
    <m/>
    <m/>
    <m/>
    <m/>
    <m/>
    <m/>
    <m/>
    <m/>
    <m/>
    <m/>
    <m/>
    <m/>
    <m/>
    <m/>
    <m/>
    <m/>
    <m/>
    <m/>
    <m/>
    <m/>
    <m/>
    <m/>
    <m/>
    <m/>
    <m/>
    <m/>
    <m/>
    <m/>
    <m/>
    <m/>
    <m/>
    <m/>
    <m/>
    <m/>
    <m/>
    <m/>
    <m/>
    <m/>
    <m/>
    <m/>
    <m/>
    <m/>
    <m/>
  </r>
  <r>
    <n v="744"/>
    <d v="2025-03-29T00:00:00"/>
    <s v="ZBTO"/>
    <n v="9518651680"/>
    <n v="1"/>
    <s v="9518651680-1"/>
    <s v="May'25"/>
    <x v="0"/>
    <m/>
    <x v="2"/>
    <x v="3"/>
    <s v="1000-IPPE"/>
    <m/>
    <x v="1"/>
    <m/>
    <m/>
    <m/>
    <s v="TBSPL"/>
    <s v="GAMHARIA"/>
    <m/>
    <n v="940016"/>
    <x v="15"/>
    <n v="3879501"/>
    <s v="PPGL C Y550 ISC6 0.45BMT(0.50TPT)X1220"/>
    <s v="aZ70"/>
    <s v="PRO BLUE TSL 1913"/>
    <n v="3"/>
    <n v="5"/>
    <m/>
    <s v="B18"/>
    <s v="Y550PL"/>
    <s v="ISC6"/>
    <n v="0.45"/>
    <n v="1220"/>
    <n v="0"/>
    <n v="56"/>
    <n v="3.7749999999999999"/>
    <n v="52.225000000000001"/>
    <n v="52.225000000000001"/>
    <n v="52.225000000000001"/>
    <n v="52.225000000000001"/>
    <n v="0"/>
    <n v="0"/>
    <n v="0"/>
    <n v="0"/>
    <n v="0"/>
    <n v="0"/>
    <n v="0"/>
    <n v="0"/>
    <n v="0"/>
    <n v="0"/>
    <n v="0"/>
    <n v="0"/>
    <n v="0"/>
    <n v="0"/>
    <n v="0"/>
    <n v="0"/>
    <n v="0"/>
    <n v="0"/>
    <n v="0"/>
    <n v="0"/>
    <n v="0"/>
    <n v="0"/>
    <n v="0"/>
    <m/>
    <m/>
    <m/>
    <m/>
    <m/>
    <m/>
    <m/>
    <m/>
    <m/>
    <m/>
    <m/>
    <m/>
    <m/>
    <m/>
    <m/>
    <m/>
    <m/>
    <m/>
    <m/>
    <m/>
    <m/>
    <m/>
    <m/>
    <m/>
    <m/>
    <m/>
    <m/>
    <m/>
    <m/>
    <m/>
    <m/>
    <m/>
    <m/>
    <m/>
    <m/>
    <m/>
    <m/>
    <m/>
    <m/>
    <m/>
    <m/>
    <m/>
    <m/>
    <m/>
    <m/>
    <m/>
    <m/>
    <m/>
    <m/>
  </r>
  <r>
    <n v="744"/>
    <d v="2025-03-29T00:00:00"/>
    <s v="ZBTO"/>
    <n v="9518651680"/>
    <n v="2"/>
    <s v="9518651680-2"/>
    <s v="May'25"/>
    <x v="0"/>
    <m/>
    <x v="2"/>
    <x v="3"/>
    <s v="1000-IPPE"/>
    <m/>
    <x v="1"/>
    <m/>
    <m/>
    <m/>
    <s v="TBSPL"/>
    <s v="GAMHARIA"/>
    <m/>
    <n v="940016"/>
    <x v="15"/>
    <n v="3797658"/>
    <s v="PPGL C Y550 ISC6 0.40BMT(0.45TPT)X1220"/>
    <s v="aZ70"/>
    <s v="PRO BLUE TSL 1913"/>
    <n v="3"/>
    <n v="5"/>
    <m/>
    <s v="B18"/>
    <s v="Y550PL"/>
    <s v="ISC6"/>
    <n v="0.4"/>
    <n v="1220"/>
    <n v="0"/>
    <n v="224"/>
    <n v="0"/>
    <n v="224"/>
    <n v="224"/>
    <n v="155.94"/>
    <n v="21.07"/>
    <n v="0"/>
    <n v="0"/>
    <n v="0"/>
    <n v="0"/>
    <n v="0"/>
    <n v="0"/>
    <n v="0"/>
    <n v="2.2150000000000003"/>
    <n v="0"/>
    <n v="17.990000000000002"/>
    <n v="0"/>
    <n v="0"/>
    <n v="0"/>
    <n v="0"/>
    <n v="0"/>
    <n v="43.185000000000002"/>
    <n v="0"/>
    <n v="0"/>
    <n v="4.67"/>
    <n v="68.06"/>
    <n v="68.06"/>
    <n v="0"/>
    <n v="68.06"/>
    <m/>
    <m/>
    <m/>
    <m/>
    <m/>
    <m/>
    <m/>
    <m/>
    <m/>
    <m/>
    <m/>
    <m/>
    <m/>
    <m/>
    <m/>
    <m/>
    <m/>
    <m/>
    <m/>
    <m/>
    <m/>
    <m/>
    <m/>
    <m/>
    <m/>
    <m/>
    <m/>
    <m/>
    <m/>
    <m/>
    <m/>
    <m/>
    <m/>
    <m/>
    <m/>
    <m/>
    <m/>
    <m/>
    <m/>
    <m/>
    <m/>
    <m/>
    <m/>
    <m/>
    <m/>
    <m/>
    <m/>
    <m/>
    <m/>
  </r>
  <r>
    <n v="744"/>
    <d v="2025-04-08T00:00:00"/>
    <s v="ZBTO"/>
    <n v="9518677543"/>
    <n v="1"/>
    <s v="9518677543-1"/>
    <s v="May'25"/>
    <x v="0"/>
    <m/>
    <x v="2"/>
    <x v="3"/>
    <s v="1000-IPPE"/>
    <m/>
    <x v="1"/>
    <m/>
    <m/>
    <m/>
    <s v="TBSPL"/>
    <s v=" "/>
    <m/>
    <n v="941597"/>
    <x v="6"/>
    <n v="3974072"/>
    <s v="PPGL C HARD Y550PL SXO1 0.53(TPT)X1220"/>
    <s v="AZ150"/>
    <s v="RAL 9002 TSL 2101"/>
    <n v="2"/>
    <n v="5"/>
    <m/>
    <s v="B18"/>
    <s v="Y550PL"/>
    <s v="SXO1"/>
    <n v="0.53"/>
    <n v="1220"/>
    <n v="0"/>
    <n v="279.99"/>
    <n v="58.45"/>
    <n v="221.54"/>
    <n v="202.72499999999999"/>
    <n v="221.54"/>
    <n v="213.255"/>
    <n v="0"/>
    <n v="0"/>
    <n v="0"/>
    <n v="0"/>
    <n v="0"/>
    <n v="0"/>
    <n v="0"/>
    <n v="0"/>
    <n v="0"/>
    <n v="0"/>
    <n v="0"/>
    <n v="0"/>
    <n v="0"/>
    <n v="0"/>
    <n v="0"/>
    <n v="0"/>
    <n v="0"/>
    <n v="0"/>
    <n v="0"/>
    <n v="0"/>
    <n v="0"/>
    <n v="0"/>
    <n v="0"/>
    <m/>
    <m/>
    <m/>
    <m/>
    <m/>
    <m/>
    <m/>
    <m/>
    <m/>
    <m/>
    <m/>
    <m/>
    <m/>
    <m/>
    <m/>
    <m/>
    <m/>
    <m/>
    <m/>
    <m/>
    <m/>
    <m/>
    <m/>
    <m/>
    <m/>
    <m/>
    <m/>
    <m/>
    <m/>
    <m/>
    <m/>
    <m/>
    <m/>
    <m/>
    <m/>
    <m/>
    <m/>
    <m/>
    <m/>
    <m/>
    <m/>
    <m/>
    <m/>
    <m/>
    <m/>
    <m/>
    <m/>
    <m/>
    <m/>
  </r>
  <r>
    <n v="743"/>
    <d v="2025-04-14T00:00:00"/>
    <s v="ZBTO"/>
    <n v="9518692220"/>
    <n v="13"/>
    <s v="9518692220-13"/>
    <s v="No Priority"/>
    <x v="0"/>
    <m/>
    <x v="3"/>
    <x v="14"/>
    <s v="2000-BPRS"/>
    <m/>
    <x v="0"/>
    <m/>
    <m/>
    <m/>
    <s v="East"/>
    <s v=" "/>
    <m/>
    <n v="121328"/>
    <x v="10"/>
    <n v="1300228"/>
    <s v="GP COIL SOFT-TATXGP-GLK1-0.5X1220"/>
    <s v="Z80"/>
    <s v=""/>
    <n v="4"/>
    <n v="12"/>
    <m/>
    <s v="C02"/>
    <s v="TATXGP"/>
    <s v="GLK1"/>
    <n v="0.5"/>
    <n v="1220"/>
    <n v="0"/>
    <n v="84"/>
    <n v="0"/>
    <n v="84"/>
    <n v="84"/>
    <n v="0"/>
    <n v="84"/>
    <n v="0"/>
    <n v="0"/>
    <n v="0"/>
    <n v="0"/>
    <n v="0"/>
    <n v="0"/>
    <n v="0"/>
    <n v="0"/>
    <n v="0"/>
    <n v="0"/>
    <n v="0"/>
    <n v="0"/>
    <n v="0"/>
    <n v="0"/>
    <n v="0"/>
    <n v="0"/>
    <n v="0"/>
    <n v="0"/>
    <n v="0"/>
    <n v="0"/>
    <n v="0"/>
    <n v="84"/>
    <n v="84"/>
    <m/>
    <m/>
    <m/>
    <m/>
    <m/>
    <m/>
    <m/>
    <m/>
    <m/>
    <m/>
    <m/>
    <m/>
    <m/>
    <m/>
    <m/>
    <m/>
    <m/>
    <m/>
    <m/>
    <m/>
    <m/>
    <m/>
    <m/>
    <m/>
    <m/>
    <m/>
    <m/>
    <m/>
    <m/>
    <m/>
    <m/>
    <m/>
    <m/>
    <m/>
    <m/>
    <m/>
    <m/>
    <m/>
    <m/>
    <m/>
    <m/>
    <m/>
    <m/>
    <m/>
    <m/>
    <m/>
    <m/>
    <m/>
    <m/>
  </r>
  <r>
    <n v="743"/>
    <d v="2025-04-14T00:00:00"/>
    <s v="ZBTO"/>
    <n v="9518692220"/>
    <n v="6"/>
    <s v="9518692220-6"/>
    <s v="No Priority"/>
    <x v="0"/>
    <m/>
    <x v="3"/>
    <x v="9"/>
    <s v="2000-BPRS"/>
    <m/>
    <x v="0"/>
    <m/>
    <m/>
    <m/>
    <s v="East"/>
    <s v=" "/>
    <m/>
    <n v="121328"/>
    <x v="10"/>
    <n v="1178439"/>
    <s v="GP COIL SOFT-TATXGP-GK09-0.4X900"/>
    <s v="Z80"/>
    <s v=""/>
    <n v="4"/>
    <n v="12"/>
    <m/>
    <s v="C02"/>
    <s v="TATXGP"/>
    <s v="GK09"/>
    <n v="0.4"/>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4-15T00:00:00"/>
    <s v="ZBTO"/>
    <n v="9518694054"/>
    <n v="3"/>
    <s v="9518694054-3"/>
    <s v="No Priority"/>
    <x v="0"/>
    <m/>
    <x v="3"/>
    <x v="9"/>
    <s v="2000-BPRS"/>
    <m/>
    <x v="0"/>
    <m/>
    <m/>
    <m/>
    <s v="East"/>
    <s v="PATNA"/>
    <m/>
    <n v="103227"/>
    <x v="31"/>
    <n v="1178439"/>
    <s v="GP COIL SOFT-TATXGP-GK09-0.4X900"/>
    <s v="Z80"/>
    <s v=""/>
    <n v="2"/>
    <n v="6"/>
    <m/>
    <s v="C02"/>
    <s v="TATXGP"/>
    <s v="GK09"/>
    <n v="0.4"/>
    <n v="900"/>
    <n v="0"/>
    <n v="294"/>
    <n v="0"/>
    <n v="294"/>
    <n v="294"/>
    <n v="294"/>
    <n v="294"/>
    <n v="0"/>
    <n v="0"/>
    <n v="0"/>
    <n v="0"/>
    <n v="0"/>
    <n v="0"/>
    <n v="0"/>
    <n v="0"/>
    <n v="0"/>
    <n v="0"/>
    <n v="0"/>
    <n v="0"/>
    <n v="0"/>
    <n v="0"/>
    <n v="0"/>
    <n v="0"/>
    <n v="0"/>
    <n v="0"/>
    <n v="0"/>
    <n v="0"/>
    <n v="0"/>
    <n v="0"/>
    <n v="0"/>
    <m/>
    <m/>
    <m/>
    <m/>
    <m/>
    <m/>
    <m/>
    <m/>
    <m/>
    <m/>
    <m/>
    <m/>
    <m/>
    <m/>
    <m/>
    <m/>
    <m/>
    <m/>
    <m/>
    <m/>
    <m/>
    <m/>
    <m/>
    <m/>
    <m/>
    <m/>
    <m/>
    <m/>
    <m/>
    <m/>
    <m/>
    <m/>
    <m/>
    <m/>
    <m/>
    <m/>
    <m/>
    <m/>
    <m/>
    <m/>
    <m/>
    <m/>
    <m/>
    <m/>
    <m/>
    <m/>
    <m/>
    <m/>
    <m/>
  </r>
  <r>
    <n v="743"/>
    <d v="2025-04-15T00:00:00"/>
    <s v="ZBTO"/>
    <n v="9518694174"/>
    <n v="1"/>
    <s v="9518694174-1"/>
    <s v="May'25"/>
    <x v="0"/>
    <m/>
    <x v="3"/>
    <x v="14"/>
    <s v="2000-BPRS"/>
    <m/>
    <x v="1"/>
    <m/>
    <m/>
    <m/>
    <s v="East"/>
    <s v="PATNA"/>
    <m/>
    <n v="103227"/>
    <x v="31"/>
    <n v="1854410"/>
    <s v="GP COIL SOFT-TATXGP-GK09-0.4X1220"/>
    <s v="Z80"/>
    <s v=""/>
    <n v="2"/>
    <n v="6"/>
    <m/>
    <s v="C02"/>
    <s v="TATXGP"/>
    <s v="GK09"/>
    <n v="0.4"/>
    <n v="1220"/>
    <n v="0"/>
    <n v="84"/>
    <n v="0"/>
    <n v="84"/>
    <n v="84"/>
    <n v="84"/>
    <n v="84"/>
    <n v="0"/>
    <n v="0"/>
    <n v="0"/>
    <n v="0"/>
    <n v="0"/>
    <n v="0"/>
    <n v="0"/>
    <n v="0"/>
    <n v="0"/>
    <n v="0"/>
    <n v="0"/>
    <n v="0"/>
    <n v="0"/>
    <n v="0"/>
    <n v="0"/>
    <n v="0"/>
    <n v="0"/>
    <n v="0"/>
    <n v="0"/>
    <n v="0"/>
    <n v="0"/>
    <n v="0"/>
    <n v="0"/>
    <m/>
    <m/>
    <m/>
    <m/>
    <m/>
    <m/>
    <m/>
    <m/>
    <m/>
    <m/>
    <m/>
    <m/>
    <m/>
    <m/>
    <m/>
    <m/>
    <m/>
    <m/>
    <m/>
    <m/>
    <m/>
    <m/>
    <m/>
    <m/>
    <m/>
    <m/>
    <m/>
    <m/>
    <m/>
    <m/>
    <m/>
    <m/>
    <m/>
    <m/>
    <m/>
    <m/>
    <m/>
    <m/>
    <m/>
    <m/>
    <m/>
    <m/>
    <m/>
    <m/>
    <m/>
    <m/>
    <m/>
    <m/>
    <m/>
  </r>
  <r>
    <n v="743"/>
    <d v="2025-04-15T00:00:00"/>
    <s v="ZBTO"/>
    <n v="9518694174"/>
    <n v="2"/>
    <s v="9518694174-2"/>
    <s v="May'25"/>
    <x v="0"/>
    <m/>
    <x v="3"/>
    <x v="14"/>
    <s v="2000-BPRS"/>
    <m/>
    <x v="1"/>
    <m/>
    <m/>
    <m/>
    <s v="East"/>
    <s v="PATNA"/>
    <m/>
    <n v="103227"/>
    <x v="31"/>
    <n v="1851101"/>
    <s v="GP COIL SOFT-TATXGP-GK09-0.5X1220"/>
    <s v="Z80"/>
    <s v=""/>
    <n v="2"/>
    <n v="4"/>
    <m/>
    <s v="C02"/>
    <s v="TATXGP"/>
    <s v="GK09"/>
    <n v="0.5"/>
    <n v="1220"/>
    <n v="0"/>
    <n v="112"/>
    <n v="0"/>
    <n v="112"/>
    <n v="112"/>
    <n v="112"/>
    <n v="112"/>
    <n v="0"/>
    <n v="0"/>
    <n v="0"/>
    <n v="0"/>
    <n v="0"/>
    <n v="0"/>
    <n v="0"/>
    <n v="0"/>
    <n v="0"/>
    <n v="0"/>
    <n v="0"/>
    <n v="0"/>
    <n v="0"/>
    <n v="0"/>
    <n v="0"/>
    <n v="0"/>
    <n v="0"/>
    <n v="0"/>
    <n v="0"/>
    <n v="0"/>
    <n v="0"/>
    <n v="0"/>
    <n v="0"/>
    <m/>
    <m/>
    <m/>
    <m/>
    <m/>
    <m/>
    <m/>
    <m/>
    <m/>
    <m/>
    <m/>
    <m/>
    <m/>
    <m/>
    <m/>
    <m/>
    <m/>
    <m/>
    <m/>
    <m/>
    <m/>
    <m/>
    <m/>
    <m/>
    <m/>
    <m/>
    <m/>
    <m/>
    <m/>
    <m/>
    <m/>
    <m/>
    <m/>
    <m/>
    <m/>
    <m/>
    <m/>
    <m/>
    <m/>
    <m/>
    <m/>
    <m/>
    <m/>
    <m/>
    <m/>
    <m/>
    <m/>
    <m/>
    <m/>
  </r>
  <r>
    <n v="743"/>
    <d v="2025-04-15T00:00:00"/>
    <s v="ZBTO"/>
    <n v="9518694174"/>
    <n v="3"/>
    <s v="9518694174-3"/>
    <s v="May'25"/>
    <x v="0"/>
    <m/>
    <x v="3"/>
    <x v="14"/>
    <s v="2000-BPRS"/>
    <m/>
    <x v="1"/>
    <m/>
    <m/>
    <m/>
    <s v="East"/>
    <s v="PATNA"/>
    <m/>
    <n v="103227"/>
    <x v="31"/>
    <n v="1334725"/>
    <s v="GP COIL SOFT-TATXGP-GK09-0.6X1220"/>
    <s v="Z80"/>
    <s v=""/>
    <n v="2"/>
    <n v="4"/>
    <m/>
    <s v="C02"/>
    <s v="TATXGP"/>
    <s v="GK09"/>
    <n v="0.6"/>
    <n v="1220"/>
    <n v="0"/>
    <n v="112"/>
    <n v="0"/>
    <n v="112"/>
    <n v="112"/>
    <n v="-1.9000000000000057"/>
    <n v="112"/>
    <n v="0"/>
    <n v="0"/>
    <n v="113.9"/>
    <n v="0"/>
    <n v="0"/>
    <n v="0"/>
    <n v="0"/>
    <n v="0"/>
    <n v="0"/>
    <n v="0"/>
    <n v="0"/>
    <n v="0"/>
    <n v="0"/>
    <n v="0"/>
    <n v="0"/>
    <n v="0"/>
    <n v="0"/>
    <n v="0"/>
    <n v="0"/>
    <n v="113.9"/>
    <n v="113.9"/>
    <n v="0"/>
    <n v="113.9"/>
    <m/>
    <m/>
    <m/>
    <m/>
    <m/>
    <m/>
    <m/>
    <m/>
    <m/>
    <m/>
    <m/>
    <m/>
    <m/>
    <m/>
    <m/>
    <m/>
    <m/>
    <m/>
    <m/>
    <m/>
    <m/>
    <m/>
    <m/>
    <m/>
    <m/>
    <m/>
    <m/>
    <m/>
    <m/>
    <m/>
    <m/>
    <m/>
    <m/>
    <m/>
    <m/>
    <m/>
    <m/>
    <m/>
    <m/>
    <m/>
    <m/>
    <m/>
    <m/>
    <m/>
    <m/>
    <m/>
    <m/>
    <m/>
    <m/>
  </r>
  <r>
    <n v="744"/>
    <d v="2025-03-31T00:00:00"/>
    <s v="ZBTO"/>
    <n v="9518660695"/>
    <n v="1"/>
    <s v="9518660695-1"/>
    <s v="No Priority"/>
    <x v="0"/>
    <m/>
    <x v="2"/>
    <x v="3"/>
    <s v="1000-IPPE"/>
    <m/>
    <x v="0"/>
    <m/>
    <m/>
    <m/>
    <s v="TBSPL"/>
    <s v="GAMHARIA"/>
    <m/>
    <n v="940016"/>
    <x v="15"/>
    <n v="3553033"/>
    <s v="PPGL C Y550 D0C7 0.48BMT(0.52TPT)X1220"/>
    <s v="aZ70"/>
    <s v="NUVO BLUE TSL 1903"/>
    <n v="3"/>
    <n v="5"/>
    <m/>
    <s v="B18"/>
    <s v="Y550PL"/>
    <s v="D0C7"/>
    <n v="0.48"/>
    <n v="1220"/>
    <n v="0"/>
    <n v="28"/>
    <n v="0"/>
    <n v="28"/>
    <n v="0.46"/>
    <n v="0"/>
    <n v="7.46"/>
    <n v="0"/>
    <n v="0"/>
    <n v="0"/>
    <n v="0"/>
    <n v="0"/>
    <n v="0"/>
    <n v="0"/>
    <n v="0"/>
    <n v="0"/>
    <n v="0"/>
    <n v="0"/>
    <n v="0"/>
    <n v="0"/>
    <n v="0"/>
    <n v="0"/>
    <n v="0"/>
    <n v="0"/>
    <n v="0"/>
    <n v="2.3149999999999999"/>
    <n v="2.3149999999999999"/>
    <n v="2.3149999999999999"/>
    <n v="0"/>
    <n v="2.3149999999999999"/>
    <m/>
    <m/>
    <m/>
    <m/>
    <m/>
    <m/>
    <m/>
    <m/>
    <m/>
    <m/>
    <m/>
    <m/>
    <m/>
    <m/>
    <m/>
    <m/>
    <m/>
    <m/>
    <m/>
    <m/>
    <m/>
    <m/>
    <m/>
    <m/>
    <m/>
    <m/>
    <m/>
    <m/>
    <m/>
    <m/>
    <m/>
    <m/>
    <m/>
    <m/>
    <m/>
    <m/>
    <m/>
    <m/>
    <m/>
    <m/>
    <m/>
    <m/>
    <m/>
    <m/>
    <m/>
    <m/>
    <m/>
    <m/>
    <m/>
  </r>
  <r>
    <n v="742"/>
    <d v="2025-04-15T00:00:00"/>
    <s v="ZBTF"/>
    <n v="9518695452"/>
    <n v="1"/>
    <s v="9518695452-1"/>
    <s v="May'25"/>
    <x v="0"/>
    <m/>
    <x v="1"/>
    <x v="7"/>
    <s v="1000-IPPE"/>
    <m/>
    <x v="1"/>
    <m/>
    <m/>
    <m/>
    <s v="East"/>
    <s v="PILKHUWA"/>
    <m/>
    <n v="600250"/>
    <x v="23"/>
    <n v="3587949"/>
    <s v="CR COIL TSBSTA EL06 0.500X1250"/>
    <s v=" "/>
    <s v=""/>
    <n v="8"/>
    <n v="14"/>
    <m/>
    <s v="C01"/>
    <s v="TSBSTA"/>
    <s v="EL06"/>
    <n v="0.5"/>
    <n v="1250"/>
    <n v="0"/>
    <n v="290"/>
    <n v="0"/>
    <n v="290"/>
    <n v="290"/>
    <n v="31.090000000000032"/>
    <n v="290"/>
    <n v="0"/>
    <n v="0"/>
    <n v="201.38"/>
    <n v="57.53"/>
    <n v="0"/>
    <n v="0"/>
    <n v="0"/>
    <n v="0"/>
    <n v="0"/>
    <n v="0"/>
    <n v="0"/>
    <n v="0"/>
    <n v="0"/>
    <n v="0"/>
    <n v="0"/>
    <n v="0"/>
    <n v="0"/>
    <n v="0"/>
    <n v="0"/>
    <n v="258.90999999999997"/>
    <n v="258.90999999999997"/>
    <n v="0"/>
    <n v="258.90999999999997"/>
    <m/>
    <m/>
    <m/>
    <m/>
    <m/>
    <m/>
    <m/>
    <m/>
    <m/>
    <m/>
    <m/>
    <m/>
    <m/>
    <m/>
    <m/>
    <m/>
    <m/>
    <m/>
    <m/>
    <m/>
    <m/>
    <m/>
    <m/>
    <m/>
    <m/>
    <m/>
    <m/>
    <m/>
    <m/>
    <m/>
    <m/>
    <m/>
    <m/>
    <m/>
    <m/>
    <m/>
    <m/>
    <m/>
    <m/>
    <m/>
    <m/>
    <m/>
    <m/>
    <m/>
    <m/>
    <m/>
    <m/>
    <m/>
    <m/>
  </r>
  <r>
    <n v="743"/>
    <d v="2025-04-14T00:00:00"/>
    <s v="ZBTO"/>
    <n v="9518692103"/>
    <n v="7"/>
    <s v="9518692103-7"/>
    <s v="No Priority"/>
    <x v="0"/>
    <m/>
    <x v="3"/>
    <x v="9"/>
    <s v="2000-BPRS"/>
    <m/>
    <x v="0"/>
    <m/>
    <m/>
    <m/>
    <s v="East"/>
    <s v="WEST BOKARO"/>
    <m/>
    <n v="185794"/>
    <x v="12"/>
    <n v="1854413"/>
    <s v="GP COIL SOFT-TATXGP-GK09-0.45X900"/>
    <s v="Z80"/>
    <s v=""/>
    <n v="4"/>
    <n v="12"/>
    <m/>
    <s v="C02"/>
    <s v="TATXGP"/>
    <s v="GK09"/>
    <n v="0.4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4-14T00:00:00"/>
    <s v="ZBTO"/>
    <n v="9518692103"/>
    <n v="13"/>
    <s v="9518692103-13"/>
    <s v="May'25"/>
    <x v="0"/>
    <m/>
    <x v="3"/>
    <x v="14"/>
    <s v="2000-BPRS"/>
    <m/>
    <x v="1"/>
    <m/>
    <m/>
    <m/>
    <s v="East"/>
    <s v="WEST BOKARO"/>
    <m/>
    <n v="185794"/>
    <x v="12"/>
    <n v="1300229"/>
    <s v="GP COIL SOFT-TATXGP-GLK1-0.4X1220"/>
    <s v="Z80"/>
    <s v=""/>
    <n v="4"/>
    <n v="12"/>
    <m/>
    <s v="C02"/>
    <s v="TATXGP"/>
    <s v="GLK1"/>
    <n v="0.4"/>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4-14T00:00:00"/>
    <s v="ZBTO"/>
    <n v="9518692103"/>
    <n v="14"/>
    <s v="9518692103-14"/>
    <s v="May'25"/>
    <x v="0"/>
    <m/>
    <x v="3"/>
    <x v="14"/>
    <s v="2000-BPRS"/>
    <m/>
    <x v="1"/>
    <m/>
    <m/>
    <m/>
    <s v="East"/>
    <s v="WEST BOKARO"/>
    <m/>
    <n v="185794"/>
    <x v="12"/>
    <n v="1300228"/>
    <s v="GP COIL SOFT-TATXGP-GLK1-0.5X1220"/>
    <s v="Z80"/>
    <s v=""/>
    <n v="4"/>
    <n v="12"/>
    <m/>
    <s v="C02"/>
    <s v="TATXGP"/>
    <s v="GLK1"/>
    <n v="0.5"/>
    <n v="1220"/>
    <n v="0"/>
    <n v="56"/>
    <n v="0"/>
    <n v="56"/>
    <n v="56"/>
    <n v="56"/>
    <n v="56"/>
    <n v="0"/>
    <n v="0"/>
    <n v="0"/>
    <n v="0"/>
    <n v="0"/>
    <n v="0"/>
    <n v="0"/>
    <n v="0"/>
    <n v="0"/>
    <n v="0"/>
    <n v="0"/>
    <n v="0"/>
    <n v="0"/>
    <n v="0"/>
    <n v="0"/>
    <n v="0"/>
    <n v="0"/>
    <n v="0"/>
    <n v="0"/>
    <n v="0"/>
    <n v="0"/>
    <n v="0"/>
    <n v="0"/>
    <m/>
    <m/>
    <m/>
    <m/>
    <m/>
    <m/>
    <m/>
    <m/>
    <m/>
    <m/>
    <m/>
    <m/>
    <m/>
    <m/>
    <m/>
    <m/>
    <m/>
    <m/>
    <m/>
    <m/>
    <m/>
    <m/>
    <m/>
    <m/>
    <m/>
    <m/>
    <m/>
    <m/>
    <m/>
    <m/>
    <m/>
    <m/>
    <m/>
    <m/>
    <m/>
    <m/>
    <m/>
    <m/>
    <m/>
    <m/>
    <m/>
    <m/>
    <m/>
    <m/>
    <m/>
    <m/>
    <m/>
    <m/>
    <m/>
  </r>
  <r>
    <n v="743"/>
    <d v="2025-04-14T00:00:00"/>
    <s v="ZBTO"/>
    <n v="9518692103"/>
    <n v="15"/>
    <s v="9518692103-15"/>
    <s v="May'25"/>
    <x v="0"/>
    <m/>
    <x v="3"/>
    <x v="14"/>
    <s v="2000-BPRS"/>
    <m/>
    <x v="1"/>
    <m/>
    <m/>
    <m/>
    <s v="East"/>
    <s v="WEST BOKARO"/>
    <m/>
    <n v="185794"/>
    <x v="12"/>
    <n v="1300227"/>
    <s v="GP COIL SOFT-TATXGP-GLK1-0.6X1220"/>
    <s v="Z80"/>
    <s v=""/>
    <n v="4"/>
    <n v="12"/>
    <m/>
    <s v="C02"/>
    <s v="TATXGP"/>
    <s v="GLK1"/>
    <n v="0.6"/>
    <n v="1220"/>
    <n v="0"/>
    <n v="56"/>
    <n v="0"/>
    <n v="56"/>
    <n v="56"/>
    <n v="56"/>
    <n v="56"/>
    <n v="0"/>
    <n v="0"/>
    <n v="0"/>
    <n v="0"/>
    <n v="0"/>
    <n v="0"/>
    <n v="0"/>
    <n v="0"/>
    <n v="0"/>
    <n v="0"/>
    <n v="0"/>
    <n v="0"/>
    <n v="0"/>
    <n v="0"/>
    <n v="0"/>
    <n v="0"/>
    <n v="0"/>
    <n v="0"/>
    <n v="0"/>
    <n v="0"/>
    <n v="0"/>
    <n v="0"/>
    <n v="0"/>
    <m/>
    <m/>
    <m/>
    <m/>
    <m/>
    <m/>
    <m/>
    <m/>
    <m/>
    <m/>
    <m/>
    <m/>
    <m/>
    <m/>
    <m/>
    <m/>
    <m/>
    <m/>
    <m/>
    <m/>
    <m/>
    <m/>
    <m/>
    <m/>
    <m/>
    <m/>
    <m/>
    <m/>
    <m/>
    <m/>
    <m/>
    <m/>
    <m/>
    <m/>
    <m/>
    <m/>
    <m/>
    <m/>
    <m/>
    <m/>
    <m/>
    <m/>
    <m/>
    <m/>
    <m/>
    <m/>
    <m/>
    <m/>
    <m/>
  </r>
  <r>
    <n v="743"/>
    <d v="2025-04-15T00:00:00"/>
    <s v="ZBTO"/>
    <n v="9518694054"/>
    <n v="2"/>
    <s v="9518694054-2"/>
    <s v="No Priority"/>
    <x v="0"/>
    <m/>
    <x v="3"/>
    <x v="9"/>
    <s v="2000-BPRS"/>
    <m/>
    <x v="0"/>
    <m/>
    <m/>
    <m/>
    <s v="East"/>
    <s v="PATNA"/>
    <m/>
    <n v="103227"/>
    <x v="31"/>
    <n v="1191956"/>
    <s v="GP COIL SOFT-TATXGP-GK09-0.35X900"/>
    <s v="Z80"/>
    <s v=""/>
    <n v="2"/>
    <n v="6"/>
    <m/>
    <s v="C02"/>
    <s v="TATXGP"/>
    <s v="GK09"/>
    <n v="0.35"/>
    <n v="900"/>
    <n v="0"/>
    <n v="252"/>
    <n v="0"/>
    <n v="252"/>
    <n v="252"/>
    <n v="252"/>
    <n v="252"/>
    <n v="0"/>
    <n v="0"/>
    <n v="0"/>
    <n v="0"/>
    <n v="0"/>
    <n v="0"/>
    <n v="0"/>
    <n v="0"/>
    <n v="0"/>
    <n v="0"/>
    <n v="0"/>
    <n v="0"/>
    <n v="0"/>
    <n v="0"/>
    <n v="0"/>
    <n v="0"/>
    <n v="0"/>
    <n v="0"/>
    <n v="0"/>
    <n v="0"/>
    <n v="0"/>
    <n v="0"/>
    <n v="0"/>
    <m/>
    <m/>
    <m/>
    <m/>
    <m/>
    <m/>
    <m/>
    <m/>
    <m/>
    <m/>
    <m/>
    <m/>
    <m/>
    <m/>
    <m/>
    <m/>
    <m/>
    <m/>
    <m/>
    <m/>
    <m/>
    <m/>
    <m/>
    <m/>
    <m/>
    <m/>
    <m/>
    <m/>
    <m/>
    <m/>
    <m/>
    <m/>
    <m/>
    <m/>
    <m/>
    <m/>
    <m/>
    <m/>
    <m/>
    <m/>
    <m/>
    <m/>
    <m/>
    <m/>
    <m/>
    <m/>
    <m/>
    <m/>
    <m/>
  </r>
  <r>
    <n v="743"/>
    <d v="2025-04-15T00:00:00"/>
    <s v="ZBTO"/>
    <n v="9518694054"/>
    <n v="4"/>
    <s v="9518694054-4"/>
    <s v="No Priority"/>
    <x v="0"/>
    <m/>
    <x v="3"/>
    <x v="9"/>
    <s v="2000-BPRS"/>
    <m/>
    <x v="0"/>
    <m/>
    <m/>
    <m/>
    <s v="East"/>
    <s v="PATNA"/>
    <m/>
    <n v="103227"/>
    <x v="31"/>
    <n v="1854418"/>
    <s v="GP COIL SOFT-TATXGP-GK09-0.5X900"/>
    <s v="Z80"/>
    <s v=""/>
    <n v="2"/>
    <n v="6"/>
    <m/>
    <s v="C02"/>
    <s v="TATXGP"/>
    <s v="GK09"/>
    <n v="0.5"/>
    <n v="900"/>
    <n v="0"/>
    <n v="294"/>
    <n v="0"/>
    <n v="294"/>
    <n v="294"/>
    <n v="294"/>
    <n v="294"/>
    <n v="0"/>
    <n v="0"/>
    <n v="0"/>
    <n v="0"/>
    <n v="0"/>
    <n v="0"/>
    <n v="0"/>
    <n v="0"/>
    <n v="0"/>
    <n v="0"/>
    <n v="0"/>
    <n v="0"/>
    <n v="0"/>
    <n v="0"/>
    <n v="0"/>
    <n v="0"/>
    <n v="0"/>
    <n v="0"/>
    <n v="0"/>
    <n v="0"/>
    <n v="0"/>
    <n v="0"/>
    <n v="0"/>
    <m/>
    <m/>
    <m/>
    <m/>
    <m/>
    <m/>
    <m/>
    <m/>
    <m/>
    <m/>
    <m/>
    <m/>
    <m/>
    <m/>
    <m/>
    <m/>
    <m/>
    <m/>
    <m/>
    <m/>
    <m/>
    <m/>
    <m/>
    <m/>
    <m/>
    <m/>
    <m/>
    <m/>
    <m/>
    <m/>
    <m/>
    <m/>
    <m/>
    <m/>
    <m/>
    <m/>
    <m/>
    <m/>
    <m/>
    <m/>
    <m/>
    <m/>
    <m/>
    <m/>
    <m/>
    <m/>
    <m/>
    <m/>
    <m/>
  </r>
  <r>
    <n v="743"/>
    <d v="2025-04-11T00:00:00"/>
    <s v="ZBTO"/>
    <n v="9518683949"/>
    <n v="1"/>
    <s v="9518683949-1"/>
    <s v="May'25"/>
    <x v="0"/>
    <s v="Yes"/>
    <x v="3"/>
    <x v="9"/>
    <s v="2000-BPRS"/>
    <m/>
    <x v="1"/>
    <m/>
    <m/>
    <m/>
    <s v="East"/>
    <s v="WEST BENGAL"/>
    <m/>
    <n v="100922"/>
    <x v="36"/>
    <n v="1851065"/>
    <s v="GP COIL SOFT-TATXGP-GK09-0.25X900"/>
    <s v="Z80"/>
    <s v=""/>
    <n v="5"/>
    <n v="15"/>
    <m/>
    <s v="C02"/>
    <s v="TATXGP"/>
    <s v="GK09"/>
    <n v="0.2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4-11T00:00:00"/>
    <s v="ZBTO"/>
    <n v="9518683949"/>
    <n v="2"/>
    <s v="9518683949-2"/>
    <s v="May'25"/>
    <x v="0"/>
    <s v="Yes"/>
    <x v="3"/>
    <x v="9"/>
    <s v="2000-BPRS"/>
    <n v="3700"/>
    <x v="1"/>
    <m/>
    <m/>
    <m/>
    <s v="East"/>
    <s v="WEST BENGAL"/>
    <m/>
    <n v="100922"/>
    <x v="36"/>
    <n v="1191955"/>
    <s v="GP COIL SOFT-TATXGP-GK09-0.3X900"/>
    <s v="Z80"/>
    <s v=""/>
    <n v="5"/>
    <n v="15"/>
    <m/>
    <s v="C02"/>
    <s v="TATXGP"/>
    <s v="GK09"/>
    <n v="0.3"/>
    <n v="900"/>
    <n v="0"/>
    <n v="105"/>
    <n v="0"/>
    <n v="105"/>
    <n v="105"/>
    <n v="105"/>
    <n v="105"/>
    <n v="0"/>
    <n v="0"/>
    <n v="0"/>
    <n v="0"/>
    <n v="0"/>
    <n v="0"/>
    <n v="0"/>
    <n v="0"/>
    <n v="0"/>
    <n v="0"/>
    <n v="0"/>
    <n v="0"/>
    <n v="0"/>
    <n v="0"/>
    <n v="0"/>
    <n v="0"/>
    <n v="0"/>
    <n v="0"/>
    <n v="0"/>
    <n v="0"/>
    <n v="0"/>
    <n v="0"/>
    <n v="0"/>
    <m/>
    <m/>
    <m/>
    <m/>
    <m/>
    <m/>
    <m/>
    <m/>
    <m/>
    <m/>
    <m/>
    <m/>
    <m/>
    <m/>
    <m/>
    <m/>
    <m/>
    <m/>
    <m/>
    <m/>
    <m/>
    <m/>
    <m/>
    <m/>
    <m/>
    <m/>
    <m/>
    <m/>
    <m/>
    <m/>
    <m/>
    <m/>
    <m/>
    <m/>
    <m/>
    <m/>
    <m/>
    <m/>
    <m/>
    <m/>
    <m/>
    <m/>
    <m/>
    <m/>
    <m/>
    <m/>
    <m/>
    <m/>
    <m/>
  </r>
  <r>
    <n v="742"/>
    <d v="2025-04-19T00:00:00"/>
    <s v="ZBTO"/>
    <n v="9518704886"/>
    <n v="1"/>
    <s v="9518704886-1"/>
    <s v="No Priority"/>
    <x v="0"/>
    <m/>
    <x v="1"/>
    <x v="1"/>
    <s v="2000-BPRS"/>
    <m/>
    <x v="0"/>
    <m/>
    <m/>
    <m/>
    <s v="South"/>
    <s v="YESHWANTHPURA"/>
    <m/>
    <n v="100237"/>
    <x v="86"/>
    <n v="1801804"/>
    <s v="CRCA COIL-TATXXD-AU03-1X1250"/>
    <s v=" "/>
    <s v=""/>
    <n v="10"/>
    <n v="24"/>
    <m/>
    <s v="C01"/>
    <s v="TATXXD"/>
    <s v="AU03"/>
    <n v="1"/>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4-18T00:00:00"/>
    <s v="ZBTO"/>
    <n v="9518703480"/>
    <n v="5"/>
    <s v="9518703480-5"/>
    <s v="No Priority"/>
    <x v="0"/>
    <m/>
    <x v="1"/>
    <x v="10"/>
    <s v="1000-IPPE"/>
    <m/>
    <x v="0"/>
    <m/>
    <m/>
    <m/>
    <s v="South"/>
    <s v="VISAJHAPATNAM"/>
    <m/>
    <n v="188238"/>
    <x v="40"/>
    <n v="2170030"/>
    <s v="CRCA COIL TATXXD BT01 1.200X1220"/>
    <s v=" "/>
    <s v=""/>
    <n v="8"/>
    <n v="12"/>
    <m/>
    <s v="C01"/>
    <s v="TATXXD"/>
    <s v="BT01"/>
    <n v="1.2"/>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4-18T00:00:00"/>
    <s v="ZBTO"/>
    <n v="9518703480"/>
    <n v="7"/>
    <s v="9518703480-7"/>
    <s v="May'25"/>
    <x v="0"/>
    <m/>
    <x v="1"/>
    <x v="10"/>
    <s v="1000-IPPE"/>
    <m/>
    <x v="1"/>
    <m/>
    <s v="P1-Priority for Balmer"/>
    <m/>
    <s v="South"/>
    <s v="VISAJHAPATNAM"/>
    <m/>
    <n v="188238"/>
    <x v="40"/>
    <n v="2279492"/>
    <s v="CRCA COIL TATXXD BT01 0.900X1220"/>
    <s v=" "/>
    <s v=""/>
    <n v="8"/>
    <n v="12"/>
    <m/>
    <s v="C01"/>
    <s v="TATXXD"/>
    <s v="BT01"/>
    <n v="0.9"/>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4-07T00:00:00"/>
    <s v="ZBTO"/>
    <n v="9518674992"/>
    <n v="2"/>
    <s v="9518674992-2"/>
    <s v="No Priority"/>
    <x v="0"/>
    <s v="Yes"/>
    <x v="1"/>
    <x v="1"/>
    <s v="2000-BPRS"/>
    <m/>
    <x v="0"/>
    <m/>
    <s v="De-prioritized due to Apr CF orders"/>
    <m/>
    <s v="South"/>
    <s v="YESHWANTHPURA"/>
    <m/>
    <n v="939268"/>
    <x v="0"/>
    <n v="1804772"/>
    <s v="CRCA COIL TATXXD AU03 0.4X1250"/>
    <s v=" "/>
    <s v=""/>
    <n v="2"/>
    <n v="18"/>
    <m/>
    <s v="C01"/>
    <s v="TATXXD"/>
    <s v="AU03"/>
    <n v="0.4"/>
    <n v="1250"/>
    <n v="0"/>
    <n v="145"/>
    <n v="0"/>
    <n v="145"/>
    <n v="145"/>
    <n v="145"/>
    <n v="145"/>
    <n v="0"/>
    <n v="0"/>
    <n v="0"/>
    <n v="0"/>
    <n v="0"/>
    <n v="0"/>
    <n v="0"/>
    <n v="0"/>
    <n v="0"/>
    <n v="0"/>
    <n v="0"/>
    <n v="0"/>
    <n v="0"/>
    <n v="0"/>
    <n v="0"/>
    <n v="0"/>
    <n v="0"/>
    <n v="0"/>
    <n v="0"/>
    <n v="0"/>
    <n v="0"/>
    <n v="0"/>
    <n v="0"/>
    <m/>
    <m/>
    <m/>
    <m/>
    <m/>
    <m/>
    <m/>
    <m/>
    <m/>
    <m/>
    <m/>
    <m/>
    <m/>
    <m/>
    <m/>
    <m/>
    <m/>
    <m/>
    <m/>
    <m/>
    <m/>
    <m/>
    <m/>
    <m/>
    <m/>
    <m/>
    <m/>
    <m/>
    <m/>
    <m/>
    <m/>
    <m/>
    <m/>
    <m/>
    <m/>
    <m/>
    <m/>
    <m/>
    <m/>
    <m/>
    <m/>
    <m/>
    <m/>
    <m/>
    <m/>
    <m/>
    <m/>
    <m/>
    <m/>
  </r>
  <r>
    <n v="742"/>
    <d v="2025-04-03T00:00:00"/>
    <s v="ZBTO"/>
    <n v="9518667214"/>
    <n v="6"/>
    <s v="9518667214-6"/>
    <s v="No Priority"/>
    <x v="0"/>
    <s v="Yes"/>
    <x v="1"/>
    <x v="1"/>
    <s v="2000-BPRS"/>
    <m/>
    <x v="0"/>
    <m/>
    <m/>
    <m/>
    <s v="South"/>
    <s v="YESHWANTHPURA"/>
    <m/>
    <n v="801611"/>
    <x v="56"/>
    <n v="2334995"/>
    <s v="CRCA COIL TATXXD AU03 1.500X1250"/>
    <s v=" "/>
    <s v=""/>
    <n v="15"/>
    <n v="28"/>
    <m/>
    <s v="C01"/>
    <s v="TATXXD"/>
    <s v="AU03"/>
    <n v="1.5"/>
    <n v="1250"/>
    <n v="0"/>
    <n v="29"/>
    <n v="0"/>
    <n v="29"/>
    <n v="0.74"/>
    <n v="0"/>
    <n v="3.3849999999999998"/>
    <n v="0"/>
    <n v="0"/>
    <n v="0"/>
    <n v="0"/>
    <n v="0"/>
    <n v="0"/>
    <n v="0"/>
    <n v="0"/>
    <n v="0"/>
    <n v="0"/>
    <n v="0"/>
    <n v="0"/>
    <n v="0"/>
    <n v="0"/>
    <n v="0"/>
    <n v="0"/>
    <n v="0"/>
    <n v="0"/>
    <n v="0"/>
    <n v="0"/>
    <n v="0"/>
    <n v="0"/>
    <n v="0"/>
    <m/>
    <m/>
    <m/>
    <m/>
    <m/>
    <m/>
    <m/>
    <m/>
    <m/>
    <m/>
    <m/>
    <m/>
    <m/>
    <m/>
    <m/>
    <m/>
    <m/>
    <m/>
    <m/>
    <m/>
    <m/>
    <m/>
    <m/>
    <m/>
    <m/>
    <m/>
    <m/>
    <m/>
    <m/>
    <m/>
    <m/>
    <m/>
    <m/>
    <m/>
    <m/>
    <m/>
    <m/>
    <m/>
    <m/>
    <m/>
    <m/>
    <m/>
    <m/>
    <m/>
    <m/>
    <m/>
    <m/>
    <m/>
    <m/>
  </r>
  <r>
    <n v="742"/>
    <d v="2025-03-24T00:00:00"/>
    <s v="ZBTO"/>
    <n v="9518628976"/>
    <n v="7"/>
    <s v="9518628976-7"/>
    <s v="May'25"/>
    <x v="0"/>
    <s v="Yes"/>
    <x v="1"/>
    <x v="1"/>
    <s v="2000-BPRS"/>
    <m/>
    <x v="1"/>
    <m/>
    <m/>
    <m/>
    <s v="South"/>
    <s v="VALPARAI"/>
    <m/>
    <n v="116465"/>
    <x v="13"/>
    <n v="189866"/>
    <s v="CRSHEET TATXXD AU03 1.20X1250X2500"/>
    <s v=" "/>
    <s v=""/>
    <n v="0"/>
    <n v="0"/>
    <m/>
    <s v="C06"/>
    <s v="TATXXD"/>
    <s v="AU03"/>
    <n v="1.2"/>
    <n v="1250"/>
    <n v="2500"/>
    <n v="60"/>
    <n v="0"/>
    <n v="60"/>
    <n v="60"/>
    <n v="60"/>
    <n v="60"/>
    <n v="0"/>
    <n v="0"/>
    <n v="0"/>
    <n v="0"/>
    <n v="0"/>
    <n v="0"/>
    <n v="0"/>
    <n v="0"/>
    <n v="0"/>
    <n v="0"/>
    <n v="0"/>
    <n v="0"/>
    <n v="0"/>
    <n v="0"/>
    <n v="0"/>
    <n v="0"/>
    <n v="0"/>
    <n v="0"/>
    <n v="0"/>
    <n v="0"/>
    <n v="0"/>
    <n v="0"/>
    <n v="0"/>
    <m/>
    <m/>
    <m/>
    <m/>
    <m/>
    <m/>
    <m/>
    <m/>
    <m/>
    <m/>
    <m/>
    <m/>
    <m/>
    <m/>
    <m/>
    <m/>
    <m/>
    <m/>
    <m/>
    <m/>
    <m/>
    <m/>
    <m/>
    <m/>
    <m/>
    <m/>
    <m/>
    <m/>
    <m/>
    <m/>
    <m/>
    <m/>
    <m/>
    <m/>
    <m/>
    <m/>
    <m/>
    <m/>
    <m/>
    <m/>
    <m/>
    <m/>
    <m/>
    <m/>
    <m/>
    <m/>
    <m/>
    <m/>
    <m/>
  </r>
  <r>
    <n v="742"/>
    <d v="2025-03-24T00:00:00"/>
    <s v="ZBTO"/>
    <n v="9518628976"/>
    <n v="8"/>
    <s v="9518628976-8"/>
    <s v="No Priority"/>
    <x v="0"/>
    <m/>
    <x v="1"/>
    <x v="1"/>
    <s v="2000-BPRS"/>
    <m/>
    <x v="0"/>
    <m/>
    <m/>
    <m/>
    <s v="South"/>
    <s v="VALPARAI"/>
    <m/>
    <n v="116465"/>
    <x v="13"/>
    <n v="194544"/>
    <s v="CRSHEET TATXXD AU03 1.50X1250X2500"/>
    <s v=" "/>
    <s v=""/>
    <n v="0"/>
    <n v="0"/>
    <m/>
    <s v="C06"/>
    <s v="TATXXD"/>
    <s v="AU03"/>
    <n v="1.5"/>
    <n v="1250"/>
    <n v="2500"/>
    <n v="60"/>
    <n v="0"/>
    <n v="60"/>
    <n v="60"/>
    <n v="60"/>
    <n v="60"/>
    <n v="0"/>
    <n v="0"/>
    <n v="0"/>
    <n v="0"/>
    <n v="0"/>
    <n v="0"/>
    <n v="0"/>
    <n v="0"/>
    <n v="0"/>
    <n v="0"/>
    <n v="0"/>
    <n v="0"/>
    <n v="0"/>
    <n v="0"/>
    <n v="0"/>
    <n v="0"/>
    <n v="0"/>
    <n v="0"/>
    <n v="0"/>
    <n v="0"/>
    <n v="0"/>
    <n v="0"/>
    <n v="0"/>
    <m/>
    <m/>
    <m/>
    <m/>
    <m/>
    <m/>
    <m/>
    <m/>
    <m/>
    <m/>
    <m/>
    <m/>
    <m/>
    <m/>
    <m/>
    <m/>
    <m/>
    <m/>
    <m/>
    <m/>
    <m/>
    <m/>
    <m/>
    <m/>
    <m/>
    <m/>
    <m/>
    <m/>
    <m/>
    <m/>
    <m/>
    <m/>
    <m/>
    <m/>
    <m/>
    <m/>
    <m/>
    <m/>
    <m/>
    <m/>
    <m/>
    <m/>
    <m/>
    <m/>
    <m/>
    <m/>
    <m/>
    <m/>
    <m/>
  </r>
  <r>
    <n v="742"/>
    <d v="2025-03-24T00:00:00"/>
    <s v="ZBTO"/>
    <n v="9518628976"/>
    <n v="9"/>
    <s v="9518628976-9"/>
    <s v="No Priority"/>
    <x v="0"/>
    <m/>
    <x v="1"/>
    <x v="1"/>
    <s v="2000-BPRS"/>
    <m/>
    <x v="0"/>
    <m/>
    <m/>
    <m/>
    <s v="South"/>
    <s v="VALPARAI"/>
    <m/>
    <n v="116465"/>
    <x v="13"/>
    <n v="3533096"/>
    <s v="CRSHEET C06 TATXXD AU03 1.6X1250X2500"/>
    <s v=" "/>
    <s v=""/>
    <n v="0"/>
    <n v="0"/>
    <m/>
    <s v="C06"/>
    <s v="TATXXD"/>
    <s v="AU03"/>
    <n v="1.6"/>
    <n v="1250"/>
    <n v="2500"/>
    <n v="60"/>
    <n v="0"/>
    <n v="60"/>
    <n v="60"/>
    <n v="60"/>
    <n v="60"/>
    <n v="0"/>
    <n v="0"/>
    <n v="0"/>
    <n v="0"/>
    <n v="0"/>
    <n v="0"/>
    <n v="0"/>
    <n v="0"/>
    <n v="0"/>
    <n v="0"/>
    <n v="0"/>
    <n v="0"/>
    <n v="0"/>
    <n v="0"/>
    <n v="0"/>
    <n v="0"/>
    <n v="0"/>
    <n v="0"/>
    <n v="0"/>
    <n v="0"/>
    <n v="0"/>
    <n v="0"/>
    <n v="0"/>
    <m/>
    <m/>
    <m/>
    <m/>
    <m/>
    <m/>
    <m/>
    <m/>
    <m/>
    <m/>
    <m/>
    <m/>
    <m/>
    <m/>
    <m/>
    <m/>
    <m/>
    <m/>
    <m/>
    <m/>
    <m/>
    <m/>
    <m/>
    <m/>
    <m/>
    <m/>
    <m/>
    <m/>
    <m/>
    <m/>
    <m/>
    <m/>
    <m/>
    <m/>
    <m/>
    <m/>
    <m/>
    <m/>
    <m/>
    <m/>
    <m/>
    <m/>
    <m/>
    <m/>
    <m/>
    <m/>
    <m/>
    <m/>
    <m/>
  </r>
  <r>
    <n v="742"/>
    <d v="2025-03-24T00:00:00"/>
    <s v="ZBTO"/>
    <n v="9518628976"/>
    <n v="10"/>
    <s v="9518628976-10"/>
    <s v="No Priority"/>
    <x v="0"/>
    <m/>
    <x v="1"/>
    <x v="1"/>
    <s v="2000-BPRS"/>
    <m/>
    <x v="0"/>
    <m/>
    <m/>
    <m/>
    <s v="South"/>
    <s v="VALPARAI"/>
    <m/>
    <n v="116465"/>
    <x v="13"/>
    <n v="274376"/>
    <s v="CRSHEET C06TATXXD AU03 2.0X1250X2500"/>
    <s v=" "/>
    <s v=""/>
    <n v="0"/>
    <n v="0"/>
    <m/>
    <s v="C06"/>
    <s v="TATXXD"/>
    <s v="AU03"/>
    <n v="2"/>
    <n v="1250"/>
    <n v="2500"/>
    <n v="60"/>
    <n v="0"/>
    <n v="60"/>
    <n v="60"/>
    <n v="60"/>
    <n v="60"/>
    <n v="0"/>
    <n v="0"/>
    <n v="0"/>
    <n v="0"/>
    <n v="0"/>
    <n v="0"/>
    <n v="0"/>
    <n v="0"/>
    <n v="0"/>
    <n v="0"/>
    <n v="0"/>
    <n v="0"/>
    <n v="0"/>
    <n v="0"/>
    <n v="0"/>
    <n v="0"/>
    <n v="0"/>
    <n v="0"/>
    <n v="0"/>
    <n v="0"/>
    <n v="0"/>
    <n v="0"/>
    <n v="0"/>
    <m/>
    <m/>
    <m/>
    <m/>
    <m/>
    <m/>
    <m/>
    <m/>
    <m/>
    <m/>
    <m/>
    <m/>
    <m/>
    <m/>
    <m/>
    <m/>
    <m/>
    <m/>
    <m/>
    <m/>
    <m/>
    <m/>
    <m/>
    <m/>
    <m/>
    <m/>
    <m/>
    <m/>
    <m/>
    <m/>
    <m/>
    <m/>
    <m/>
    <m/>
    <m/>
    <m/>
    <m/>
    <m/>
    <m/>
    <m/>
    <m/>
    <m/>
    <m/>
    <m/>
    <m/>
    <m/>
    <m/>
    <m/>
    <m/>
  </r>
  <r>
    <n v="744"/>
    <d v="2025-04-15T00:00:00"/>
    <s v="ZBTO"/>
    <n v="9518694646"/>
    <n v="1"/>
    <s v="9518694646-1"/>
    <s v="No Priority"/>
    <x v="0"/>
    <m/>
    <x v="2"/>
    <x v="3"/>
    <s v="1000-IPPE"/>
    <m/>
    <x v="0"/>
    <m/>
    <m/>
    <m/>
    <s v="TBSPL"/>
    <s v="GAMHARIA"/>
    <m/>
    <n v="940016"/>
    <x v="15"/>
    <n v="3926984"/>
    <s v="PPGL C HARD Y550PL D0C9 0.53(TPT)X1220"/>
    <s v="AZ150"/>
    <s v="RAL 5012 TSL 1802"/>
    <n v="3"/>
    <n v="5"/>
    <m/>
    <s v="B18"/>
    <s v="Y550PL"/>
    <s v="D0C9"/>
    <n v="0.53"/>
    <n v="1220"/>
    <n v="0"/>
    <n v="56"/>
    <n v="0"/>
    <n v="56"/>
    <n v="56"/>
    <n v="48.74"/>
    <n v="14.98"/>
    <n v="0"/>
    <n v="0"/>
    <n v="0"/>
    <n v="0"/>
    <n v="0"/>
    <n v="0"/>
    <n v="0"/>
    <n v="7.26"/>
    <n v="0"/>
    <n v="0"/>
    <n v="0"/>
    <n v="0"/>
    <n v="0"/>
    <n v="0"/>
    <n v="0"/>
    <n v="0"/>
    <n v="0"/>
    <n v="0"/>
    <n v="0"/>
    <n v="7.26"/>
    <n v="7.26"/>
    <n v="0"/>
    <n v="7.26"/>
    <m/>
    <m/>
    <m/>
    <m/>
    <m/>
    <m/>
    <m/>
    <m/>
    <m/>
    <m/>
    <m/>
    <m/>
    <m/>
    <m/>
    <m/>
    <m/>
    <m/>
    <m/>
    <m/>
    <m/>
    <m/>
    <m/>
    <m/>
    <m/>
    <m/>
    <m/>
    <m/>
    <m/>
    <m/>
    <m/>
    <m/>
    <m/>
    <m/>
    <m/>
    <m/>
    <m/>
    <m/>
    <m/>
    <m/>
    <m/>
    <m/>
    <m/>
    <m/>
    <m/>
    <m/>
    <m/>
    <m/>
    <m/>
    <m/>
  </r>
  <r>
    <n v="742"/>
    <d v="2025-04-15T00:00:00"/>
    <s v="ZBTO"/>
    <n v="9518694586"/>
    <n v="1"/>
    <s v="9518694586-1"/>
    <s v="May'25"/>
    <x v="0"/>
    <m/>
    <x v="1"/>
    <x v="10"/>
    <s v="1000-IPPE"/>
    <m/>
    <x v="1"/>
    <m/>
    <m/>
    <m/>
    <s v="South"/>
    <s v="PATANCHERU"/>
    <m/>
    <n v="948926"/>
    <x v="90"/>
    <n v="2426388"/>
    <s v="CRCA COIL TATXXD BT01 0.900X1320"/>
    <s v=" "/>
    <s v=""/>
    <n v="6"/>
    <n v="8"/>
    <m/>
    <s v="C01"/>
    <s v="TATXXD"/>
    <s v="BT01"/>
    <n v="0.9"/>
    <n v="1320"/>
    <n v="0"/>
    <n v="90"/>
    <n v="0"/>
    <n v="90"/>
    <n v="90"/>
    <n v="90"/>
    <n v="90"/>
    <n v="0"/>
    <n v="0"/>
    <n v="0"/>
    <n v="0"/>
    <n v="0"/>
    <n v="0"/>
    <n v="0"/>
    <n v="0"/>
    <n v="0"/>
    <n v="0"/>
    <n v="0"/>
    <n v="0"/>
    <n v="0"/>
    <n v="0"/>
    <n v="0"/>
    <n v="0"/>
    <n v="0"/>
    <n v="0"/>
    <n v="0"/>
    <n v="0"/>
    <n v="0"/>
    <n v="0"/>
    <n v="0"/>
    <m/>
    <m/>
    <m/>
    <m/>
    <m/>
    <m/>
    <m/>
    <m/>
    <m/>
    <m/>
    <m/>
    <m/>
    <m/>
    <m/>
    <m/>
    <m/>
    <m/>
    <m/>
    <m/>
    <m/>
    <m/>
    <m/>
    <m/>
    <m/>
    <m/>
    <m/>
    <m/>
    <m/>
    <m/>
    <m/>
    <m/>
    <m/>
    <m/>
    <m/>
    <m/>
    <m/>
    <m/>
    <m/>
    <m/>
    <m/>
    <m/>
    <m/>
    <m/>
    <m/>
    <m/>
    <m/>
    <m/>
    <m/>
    <m/>
  </r>
  <r>
    <n v="744"/>
    <d v="2025-04-15T00:00:00"/>
    <s v="ZBTO"/>
    <n v="9518694961"/>
    <n v="1"/>
    <s v="9518694961-1"/>
    <s v="May'25"/>
    <x v="0"/>
    <m/>
    <x v="2"/>
    <x v="3"/>
    <s v="1000-IPPE"/>
    <m/>
    <x v="1"/>
    <m/>
    <m/>
    <m/>
    <s v="TBSPL"/>
    <s v="GAMHARIA"/>
    <m/>
    <n v="940016"/>
    <x v="15"/>
    <n v="3879501"/>
    <s v="PPGL C Y550 ISC6 0.45BMT(0.50TPT)X1220"/>
    <s v="aZ70"/>
    <s v="PRO BLUE TSL 1913"/>
    <n v="3"/>
    <n v="5"/>
    <m/>
    <s v="B18"/>
    <s v="Y550PL"/>
    <s v="ISC6"/>
    <n v="0.45"/>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15T00:00:00"/>
    <s v="ZBTO"/>
    <n v="9518602390"/>
    <n v="2"/>
    <s v="9518602390-2"/>
    <s v="No Priority"/>
    <x v="0"/>
    <m/>
    <x v="1"/>
    <x v="1"/>
    <s v="2000-BPRS"/>
    <m/>
    <x v="0"/>
    <m/>
    <m/>
    <m/>
    <s v="North"/>
    <s v="JAIPUR"/>
    <m/>
    <n v="116137"/>
    <x v="91"/>
    <n v="1801022"/>
    <s v="CRCA COIL-TATXXD-AU03-0.45X1250"/>
    <s v=" "/>
    <s v=""/>
    <n v="10"/>
    <n v="25"/>
    <m/>
    <s v="C01"/>
    <s v="TATXXD"/>
    <s v="AU03"/>
    <n v="0.4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2-06T00:00:00"/>
    <s v="ZBTO"/>
    <n v="9518497626"/>
    <n v="6"/>
    <s v="9518497626-6"/>
    <s v="May'25"/>
    <x v="0"/>
    <s v="Yes"/>
    <x v="1"/>
    <x v="2"/>
    <s v="2000-BPRS"/>
    <m/>
    <x v="1"/>
    <m/>
    <m/>
    <m/>
    <s v="South"/>
    <s v="VISHAKHAPATNAM"/>
    <m/>
    <n v="946077"/>
    <x v="8"/>
    <n v="3239566"/>
    <s v="CRCA SHEET TATCRC SR16 0.450X1000X2440"/>
    <s v=" "/>
    <s v=""/>
    <n v="0"/>
    <n v="0"/>
    <m/>
    <s v="C06"/>
    <s v="TATCRC"/>
    <s v="SR16"/>
    <n v="0.45"/>
    <n v="1000"/>
    <n v="2440"/>
    <n v="42"/>
    <n v="0"/>
    <n v="42"/>
    <n v="42"/>
    <n v="-2.4200000000000017"/>
    <n v="42"/>
    <n v="0"/>
    <n v="0"/>
    <n v="0"/>
    <n v="0"/>
    <n v="0"/>
    <n v="0"/>
    <n v="0"/>
    <n v="0"/>
    <n v="0"/>
    <n v="0"/>
    <n v="0"/>
    <n v="0"/>
    <n v="0"/>
    <n v="44.42"/>
    <n v="0"/>
    <n v="0"/>
    <n v="0"/>
    <n v="0"/>
    <n v="0"/>
    <n v="44.42"/>
    <n v="44.42"/>
    <n v="0"/>
    <n v="44.42"/>
    <m/>
    <m/>
    <m/>
    <m/>
    <m/>
    <m/>
    <m/>
    <m/>
    <m/>
    <m/>
    <m/>
    <m/>
    <m/>
    <m/>
    <m/>
    <m/>
    <m/>
    <m/>
    <m/>
    <m/>
    <m/>
    <m/>
    <m/>
    <m/>
    <m/>
    <m/>
    <m/>
    <m/>
    <m/>
    <m/>
    <m/>
    <m/>
    <m/>
    <m/>
    <m/>
    <m/>
    <m/>
    <m/>
    <m/>
    <m/>
    <m/>
    <m/>
    <m/>
    <m/>
    <m/>
    <m/>
    <m/>
    <m/>
    <m/>
  </r>
  <r>
    <n v="743"/>
    <d v="2025-03-15T00:00:00"/>
    <s v="ZBTO"/>
    <n v="9518602675"/>
    <n v="4"/>
    <s v="9518602675-4"/>
    <s v="May'25"/>
    <x v="0"/>
    <s v="Yes"/>
    <x v="3"/>
    <x v="9"/>
    <s v="2000-BPRS"/>
    <m/>
    <x v="1"/>
    <m/>
    <m/>
    <m/>
    <s v="East"/>
    <s v="WEST BOKARO"/>
    <m/>
    <n v="185794"/>
    <x v="12"/>
    <n v="1854418"/>
    <s v="GP COIL SOFT-TATXGP-GK09-0.5X900"/>
    <s v="Z80"/>
    <s v=""/>
    <n v="5"/>
    <n v="15"/>
    <m/>
    <s v="C02"/>
    <s v="TATXGP"/>
    <s v="GK09"/>
    <n v="0.5"/>
    <n v="900"/>
    <n v="0"/>
    <n v="210"/>
    <n v="0"/>
    <n v="210"/>
    <n v="210"/>
    <n v="190.161"/>
    <n v="111.84"/>
    <n v="0"/>
    <n v="0"/>
    <n v="0"/>
    <n v="0"/>
    <n v="0"/>
    <n v="0"/>
    <n v="0.40400000000000003"/>
    <n v="0"/>
    <n v="0"/>
    <n v="0"/>
    <n v="0"/>
    <n v="0"/>
    <n v="0"/>
    <n v="0"/>
    <n v="0"/>
    <n v="0"/>
    <n v="0"/>
    <n v="0"/>
    <n v="19.435000000000002"/>
    <n v="19.839000000000002"/>
    <n v="19.839000000000002"/>
    <n v="0"/>
    <n v="19.839000000000002"/>
    <m/>
    <m/>
    <m/>
    <m/>
    <m/>
    <m/>
    <m/>
    <m/>
    <m/>
    <m/>
    <m/>
    <m/>
    <m/>
    <m/>
    <m/>
    <m/>
    <m/>
    <m/>
    <m/>
    <m/>
    <m/>
    <m/>
    <m/>
    <m/>
    <m/>
    <m/>
    <m/>
    <m/>
    <m/>
    <m/>
    <m/>
    <m/>
    <m/>
    <m/>
    <m/>
    <m/>
    <m/>
    <m/>
    <m/>
    <m/>
    <m/>
    <m/>
    <m/>
    <m/>
    <m/>
    <m/>
    <m/>
    <m/>
    <m/>
  </r>
  <r>
    <n v="743"/>
    <d v="2025-03-15T00:00:00"/>
    <s v="ZBTO"/>
    <n v="9518602675"/>
    <n v="5"/>
    <s v="9518602675-5"/>
    <s v="May'25"/>
    <x v="0"/>
    <s v="Yes"/>
    <x v="3"/>
    <x v="9"/>
    <s v="2000-BPRS"/>
    <m/>
    <x v="1"/>
    <m/>
    <m/>
    <m/>
    <s v="East"/>
    <s v="WEST BOKARO"/>
    <m/>
    <n v="185794"/>
    <x v="12"/>
    <n v="1854424"/>
    <s v="GP COIL SOFT-TATXGP-GK09-0.6X900"/>
    <s v="Z80"/>
    <s v=""/>
    <n v="5"/>
    <n v="15"/>
    <m/>
    <s v="C02"/>
    <s v="TATXGP"/>
    <s v="GK09"/>
    <n v="0.6"/>
    <n v="900"/>
    <n v="0"/>
    <n v="210"/>
    <n v="0"/>
    <n v="210"/>
    <n v="210"/>
    <n v="146.11500000000001"/>
    <n v="210"/>
    <n v="0"/>
    <n v="0"/>
    <n v="0"/>
    <n v="0"/>
    <n v="20.490000000000002"/>
    <n v="0"/>
    <n v="0"/>
    <n v="0"/>
    <n v="0"/>
    <n v="0"/>
    <n v="0"/>
    <n v="0"/>
    <n v="0"/>
    <n v="0"/>
    <n v="0"/>
    <n v="2.63"/>
    <n v="0"/>
    <n v="0"/>
    <n v="40.765000000000001"/>
    <n v="63.885000000000005"/>
    <n v="63.885000000000005"/>
    <n v="0"/>
    <n v="63.885000000000005"/>
    <m/>
    <m/>
    <m/>
    <m/>
    <m/>
    <m/>
    <m/>
    <m/>
    <m/>
    <m/>
    <m/>
    <m/>
    <m/>
    <m/>
    <m/>
    <m/>
    <m/>
    <m/>
    <m/>
    <m/>
    <m/>
    <m/>
    <m/>
    <m/>
    <m/>
    <m/>
    <m/>
    <m/>
    <m/>
    <m/>
    <m/>
    <m/>
    <m/>
    <m/>
    <m/>
    <m/>
    <m/>
    <m/>
    <m/>
    <m/>
    <m/>
    <m/>
    <m/>
    <m/>
    <m/>
    <m/>
    <m/>
    <m/>
    <m/>
  </r>
  <r>
    <n v="742"/>
    <d v="2025-03-04T00:00:00"/>
    <s v="ZBTO"/>
    <n v="9518572111"/>
    <n v="1"/>
    <s v="9518572111-1"/>
    <s v="May'25"/>
    <x v="0"/>
    <s v="Yes"/>
    <x v="1"/>
    <x v="2"/>
    <s v="2000-BPRS"/>
    <m/>
    <x v="1"/>
    <m/>
    <m/>
    <m/>
    <s v="East"/>
    <s v="TATANAGAR"/>
    <m/>
    <n v="165053"/>
    <x v="5"/>
    <n v="3239567"/>
    <s v="CRCA SHEET TATCRC SR16 0.450X1000X2500"/>
    <s v=" "/>
    <s v=""/>
    <n v="2.8"/>
    <n v="3.2"/>
    <m/>
    <s v="C06"/>
    <s v="TATCRC"/>
    <s v="SR16"/>
    <n v="0.45"/>
    <n v="1000"/>
    <n v="2500"/>
    <n v="21"/>
    <n v="0"/>
    <n v="21"/>
    <n v="21"/>
    <n v="-1.1000000000000014"/>
    <n v="21"/>
    <n v="0"/>
    <n v="0"/>
    <n v="0"/>
    <n v="0"/>
    <n v="0"/>
    <n v="0"/>
    <n v="0"/>
    <n v="0"/>
    <n v="0"/>
    <n v="0"/>
    <n v="0"/>
    <n v="0"/>
    <n v="0"/>
    <n v="22.1"/>
    <n v="0"/>
    <n v="0"/>
    <n v="0"/>
    <n v="0"/>
    <n v="0"/>
    <n v="22.1"/>
    <n v="22.1"/>
    <n v="0"/>
    <n v="22.1"/>
    <m/>
    <m/>
    <m/>
    <m/>
    <m/>
    <m/>
    <m/>
    <m/>
    <m/>
    <m/>
    <m/>
    <m/>
    <m/>
    <m/>
    <m/>
    <m/>
    <m/>
    <m/>
    <m/>
    <m/>
    <m/>
    <m/>
    <m/>
    <m/>
    <m/>
    <m/>
    <m/>
    <m/>
    <m/>
    <m/>
    <m/>
    <m/>
    <m/>
    <m/>
    <m/>
    <m/>
    <m/>
    <m/>
    <m/>
    <m/>
    <m/>
    <m/>
    <m/>
    <m/>
    <m/>
    <m/>
    <m/>
    <m/>
    <m/>
  </r>
  <r>
    <n v="742"/>
    <d v="2025-03-11T00:00:00"/>
    <s v="ZBTO"/>
    <n v="9518591869"/>
    <n v="6"/>
    <s v="9518591869-6"/>
    <s v="No Priority"/>
    <x v="0"/>
    <m/>
    <x v="1"/>
    <x v="1"/>
    <s v="2000-BPRS"/>
    <m/>
    <x v="0"/>
    <m/>
    <m/>
    <m/>
    <s v="North"/>
    <s v="FARIDABAD"/>
    <m/>
    <n v="936527"/>
    <x v="52"/>
    <n v="1804814"/>
    <s v="CRCA COIL TATXXD AU03 0.8X1250"/>
    <s v=" "/>
    <s v=""/>
    <n v="10"/>
    <n v="30"/>
    <m/>
    <s v="C01"/>
    <s v="TATXXD"/>
    <s v="AU03"/>
    <n v="0.8"/>
    <n v="1250"/>
    <n v="0"/>
    <n v="58"/>
    <n v="0"/>
    <n v="58"/>
    <n v="58"/>
    <n v="58"/>
    <n v="0"/>
    <n v="0"/>
    <n v="0"/>
    <n v="0"/>
    <n v="0"/>
    <n v="0"/>
    <n v="0"/>
    <n v="0"/>
    <n v="0"/>
    <n v="0"/>
    <n v="0"/>
    <n v="0"/>
    <n v="0"/>
    <n v="0"/>
    <n v="0"/>
    <n v="0"/>
    <n v="0"/>
    <n v="0"/>
    <n v="0"/>
    <n v="0"/>
    <n v="0"/>
    <n v="0"/>
    <n v="0"/>
    <n v="0"/>
    <m/>
    <m/>
    <m/>
    <m/>
    <m/>
    <m/>
    <m/>
    <m/>
    <m/>
    <m/>
    <m/>
    <m/>
    <m/>
    <m/>
    <m/>
    <m/>
    <m/>
    <m/>
    <m/>
    <m/>
    <m/>
    <m/>
    <m/>
    <m/>
    <m/>
    <m/>
    <m/>
    <m/>
    <m/>
    <m/>
    <m/>
    <m/>
    <m/>
    <m/>
    <m/>
    <m/>
    <m/>
    <m/>
    <m/>
    <m/>
    <m/>
    <m/>
    <m/>
    <m/>
    <m/>
    <m/>
    <m/>
    <m/>
    <m/>
  </r>
  <r>
    <n v="742"/>
    <d v="2025-03-11T00:00:00"/>
    <s v="ZBTO"/>
    <n v="9518591869"/>
    <n v="7"/>
    <s v="9518591869-7"/>
    <s v="No Priority"/>
    <x v="0"/>
    <m/>
    <x v="1"/>
    <x v="1"/>
    <s v="2000-BPRS"/>
    <m/>
    <x v="0"/>
    <m/>
    <m/>
    <m/>
    <s v="North"/>
    <s v="FARIDABAD"/>
    <m/>
    <n v="936527"/>
    <x v="52"/>
    <n v="1804826"/>
    <s v="CRCA COIL-TATXXD-AU03-0.9X1250"/>
    <s v=" "/>
    <s v=""/>
    <n v="10"/>
    <n v="30"/>
    <m/>
    <s v="C01"/>
    <s v="TATXXD"/>
    <s v="AU03"/>
    <n v="0.9"/>
    <n v="1250"/>
    <n v="0"/>
    <n v="29"/>
    <n v="0"/>
    <n v="29"/>
    <n v="29"/>
    <n v="29"/>
    <n v="0"/>
    <n v="0"/>
    <n v="0"/>
    <n v="0"/>
    <n v="0"/>
    <n v="0"/>
    <n v="0"/>
    <n v="0"/>
    <n v="0"/>
    <n v="0"/>
    <n v="0"/>
    <n v="0"/>
    <n v="0"/>
    <n v="0"/>
    <n v="0"/>
    <n v="0"/>
    <n v="0"/>
    <n v="0"/>
    <n v="0"/>
    <n v="0"/>
    <n v="0"/>
    <n v="0"/>
    <n v="0"/>
    <n v="0"/>
    <m/>
    <m/>
    <m/>
    <m/>
    <m/>
    <m/>
    <m/>
    <m/>
    <m/>
    <m/>
    <m/>
    <m/>
    <m/>
    <m/>
    <m/>
    <m/>
    <m/>
    <m/>
    <m/>
    <m/>
    <m/>
    <m/>
    <m/>
    <m/>
    <m/>
    <m/>
    <m/>
    <m/>
    <m/>
    <m/>
    <m/>
    <m/>
    <m/>
    <m/>
    <m/>
    <m/>
    <m/>
    <m/>
    <m/>
    <m/>
    <m/>
    <m/>
    <m/>
    <m/>
    <m/>
    <m/>
    <m/>
    <m/>
    <m/>
  </r>
  <r>
    <n v="742"/>
    <d v="2025-03-11T00:00:00"/>
    <s v="ZBTO"/>
    <n v="9518591774"/>
    <n v="11"/>
    <s v="9518591774-11"/>
    <s v="No Priority"/>
    <x v="0"/>
    <m/>
    <x v="1"/>
    <x v="1"/>
    <s v="2000-BPRS"/>
    <m/>
    <x v="0"/>
    <m/>
    <m/>
    <m/>
    <s v="North"/>
    <s v="ZOSOLA"/>
    <m/>
    <n v="936527"/>
    <x v="52"/>
    <n v="1804814"/>
    <s v="CRCA COIL TATXXD AU03 0.8X1250"/>
    <s v=" "/>
    <s v=""/>
    <n v="10"/>
    <n v="30"/>
    <m/>
    <s v="C01"/>
    <s v="TATXXD"/>
    <s v="AU03"/>
    <n v="0.8"/>
    <n v="1250"/>
    <n v="0"/>
    <n v="58"/>
    <n v="0"/>
    <n v="58"/>
    <n v="58"/>
    <n v="58"/>
    <n v="58"/>
    <n v="0"/>
    <n v="0"/>
    <n v="0"/>
    <n v="0"/>
    <n v="0"/>
    <n v="0"/>
    <n v="0"/>
    <n v="0"/>
    <n v="0"/>
    <n v="0"/>
    <n v="0"/>
    <n v="0"/>
    <n v="0"/>
    <n v="0"/>
    <n v="0"/>
    <n v="0"/>
    <n v="0"/>
    <n v="0"/>
    <n v="0"/>
    <n v="0"/>
    <n v="0"/>
    <n v="0"/>
    <n v="0"/>
    <m/>
    <m/>
    <m/>
    <m/>
    <m/>
    <m/>
    <m/>
    <m/>
    <m/>
    <m/>
    <m/>
    <m/>
    <m/>
    <m/>
    <m/>
    <m/>
    <m/>
    <m/>
    <m/>
    <m/>
    <m/>
    <m/>
    <m/>
    <m/>
    <m/>
    <m/>
    <m/>
    <m/>
    <m/>
    <m/>
    <m/>
    <m/>
    <m/>
    <m/>
    <m/>
    <m/>
    <m/>
    <m/>
    <m/>
    <m/>
    <m/>
    <m/>
    <m/>
    <m/>
    <m/>
    <m/>
    <m/>
    <m/>
    <m/>
  </r>
  <r>
    <n v="743"/>
    <d v="2025-03-19T00:00:00"/>
    <s v="ZBTO"/>
    <n v="9518612659"/>
    <n v="1"/>
    <s v="9518612659-1"/>
    <s v="No Priority"/>
    <x v="0"/>
    <m/>
    <x v="3"/>
    <x v="9"/>
    <s v="2000-BPRS"/>
    <m/>
    <x v="0"/>
    <m/>
    <m/>
    <m/>
    <s v="North"/>
    <s v="VARANASI"/>
    <m/>
    <n v="931525"/>
    <x v="2"/>
    <n v="1191955"/>
    <s v="GP COIL SOFT-TATXGP-GK09-0.3X900"/>
    <s v="Z80"/>
    <s v=""/>
    <n v="3.2"/>
    <n v="5"/>
    <m/>
    <s v="C02"/>
    <s v="TATXGP"/>
    <s v="GK09"/>
    <n v="0.3"/>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3-19T00:00:00"/>
    <s v="ZBTO"/>
    <n v="9518612659"/>
    <n v="2"/>
    <s v="9518612659-2"/>
    <s v="No Priority"/>
    <x v="0"/>
    <m/>
    <x v="3"/>
    <x v="9"/>
    <s v="2000-BPRS"/>
    <m/>
    <x v="0"/>
    <m/>
    <m/>
    <m/>
    <s v="North"/>
    <s v="VARANASI"/>
    <m/>
    <n v="931525"/>
    <x v="2"/>
    <n v="1191956"/>
    <s v="GP COIL SOFT-TATXGP-GK09-0.35X900"/>
    <s v="Z80"/>
    <s v=""/>
    <n v="3.2"/>
    <n v="5"/>
    <m/>
    <s v="C02"/>
    <s v="TATXGP"/>
    <s v="GK09"/>
    <n v="0.35"/>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3-19T00:00:00"/>
    <s v="ZBTO"/>
    <n v="9518612659"/>
    <n v="3"/>
    <s v="9518612659-3"/>
    <s v="No Priority"/>
    <x v="0"/>
    <m/>
    <x v="3"/>
    <x v="9"/>
    <s v="2000-BPRS"/>
    <m/>
    <x v="0"/>
    <m/>
    <m/>
    <m/>
    <s v="North"/>
    <s v="VARANASI"/>
    <m/>
    <n v="931525"/>
    <x v="2"/>
    <n v="1178439"/>
    <s v="GP COIL SOFT-TATXGP-GK09-0.4X900"/>
    <s v="Z80"/>
    <s v=""/>
    <n v="3.2"/>
    <n v="5"/>
    <m/>
    <s v="C02"/>
    <s v="TATXGP"/>
    <s v="GK09"/>
    <n v="0.4"/>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3-19T00:00:00"/>
    <s v="ZBTO"/>
    <n v="9518612659"/>
    <n v="4"/>
    <s v="9518612659-4"/>
    <s v="No Priority"/>
    <x v="0"/>
    <m/>
    <x v="3"/>
    <x v="9"/>
    <s v="2000-BPRS"/>
    <m/>
    <x v="0"/>
    <m/>
    <m/>
    <m/>
    <s v="North"/>
    <s v="VARANASI"/>
    <m/>
    <n v="931525"/>
    <x v="2"/>
    <n v="1854413"/>
    <s v="GP COIL SOFT-TATXGP-GK09-0.45X900"/>
    <s v="Z80"/>
    <s v=""/>
    <n v="3.2"/>
    <n v="5"/>
    <m/>
    <s v="C02"/>
    <s v="TATXGP"/>
    <s v="GK09"/>
    <n v="0.4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9T00:00:00"/>
    <s v="ZBTO"/>
    <n v="9518612659"/>
    <n v="6"/>
    <s v="9518612659-6"/>
    <s v="No Priority"/>
    <x v="0"/>
    <m/>
    <x v="3"/>
    <x v="9"/>
    <s v="2000-BPRS"/>
    <m/>
    <x v="0"/>
    <m/>
    <m/>
    <m/>
    <s v="North"/>
    <s v="VARANASI"/>
    <m/>
    <n v="931525"/>
    <x v="2"/>
    <n v="1854424"/>
    <s v="GP COIL SOFT-TATXGP-GK09-0.6X900"/>
    <s v="Z80"/>
    <s v=""/>
    <n v="3.2"/>
    <n v="5"/>
    <m/>
    <s v="C02"/>
    <s v="TATXGP"/>
    <s v="GK09"/>
    <n v="0.6"/>
    <n v="900"/>
    <n v="0"/>
    <n v="63"/>
    <n v="0"/>
    <n v="63"/>
    <n v="63"/>
    <n v="63"/>
    <n v="63"/>
    <n v="0"/>
    <n v="0"/>
    <n v="0"/>
    <n v="0"/>
    <n v="0"/>
    <n v="0"/>
    <n v="0"/>
    <n v="0"/>
    <n v="0"/>
    <n v="0"/>
    <n v="0"/>
    <n v="0"/>
    <n v="0"/>
    <n v="0"/>
    <n v="0"/>
    <n v="0"/>
    <n v="0"/>
    <n v="0"/>
    <n v="0"/>
    <n v="0"/>
    <n v="0"/>
    <n v="0"/>
    <n v="0"/>
    <m/>
    <m/>
    <m/>
    <m/>
    <m/>
    <m/>
    <m/>
    <m/>
    <m/>
    <m/>
    <m/>
    <m/>
    <m/>
    <m/>
    <m/>
    <m/>
    <m/>
    <m/>
    <m/>
    <m/>
    <m/>
    <m/>
    <m/>
    <m/>
    <m/>
    <m/>
    <m/>
    <m/>
    <m/>
    <m/>
    <m/>
    <m/>
    <m/>
    <m/>
    <m/>
    <m/>
    <m/>
    <m/>
    <m/>
    <m/>
    <m/>
    <m/>
    <m/>
    <m/>
    <m/>
    <m/>
    <m/>
    <m/>
    <m/>
  </r>
  <r>
    <n v="742"/>
    <d v="2025-03-13T00:00:00"/>
    <s v="ZBTO"/>
    <n v="9518598795"/>
    <n v="2"/>
    <s v="9518598795-2"/>
    <s v="No Priority"/>
    <x v="0"/>
    <s v="Yes"/>
    <x v="1"/>
    <x v="1"/>
    <s v="2000-BPRS"/>
    <m/>
    <x v="0"/>
    <m/>
    <s v="Deproritized as per SPA's instruction"/>
    <m/>
    <s v="South"/>
    <s v="GUMMIDIPOONDI"/>
    <m/>
    <n v="822271"/>
    <x v="0"/>
    <n v="1801456"/>
    <s v="CRCA COIL-TATXXD-AU03-0.7X1250"/>
    <s v=" "/>
    <s v=""/>
    <n v="5"/>
    <n v="29"/>
    <m/>
    <s v="C01"/>
    <s v="TATXXD"/>
    <s v="AU03"/>
    <n v="0.7"/>
    <n v="1250"/>
    <n v="0"/>
    <n v="145"/>
    <n v="8.2850000000000001"/>
    <n v="136.715"/>
    <n v="52.534999999999997"/>
    <n v="136.715"/>
    <n v="59.8"/>
    <n v="0"/>
    <n v="0"/>
    <n v="0"/>
    <n v="0"/>
    <n v="0"/>
    <n v="0"/>
    <n v="0"/>
    <n v="0"/>
    <n v="0"/>
    <n v="0"/>
    <n v="0"/>
    <n v="0"/>
    <n v="0"/>
    <n v="0"/>
    <n v="0"/>
    <n v="0"/>
    <n v="0"/>
    <n v="0"/>
    <n v="0"/>
    <n v="0"/>
    <n v="0"/>
    <n v="0"/>
    <n v="0"/>
    <m/>
    <m/>
    <m/>
    <m/>
    <m/>
    <m/>
    <m/>
    <m/>
    <m/>
    <m/>
    <m/>
    <m/>
    <m/>
    <m/>
    <m/>
    <m/>
    <m/>
    <m/>
    <m/>
    <m/>
    <m/>
    <m/>
    <m/>
    <m/>
    <m/>
    <m/>
    <m/>
    <m/>
    <m/>
    <m/>
    <m/>
    <m/>
    <m/>
    <m/>
    <m/>
    <m/>
    <m/>
    <m/>
    <m/>
    <m/>
    <m/>
    <m/>
    <m/>
    <m/>
    <m/>
    <m/>
    <m/>
    <m/>
    <m/>
  </r>
  <r>
    <n v="743"/>
    <d v="2025-03-19T00:00:00"/>
    <s v="ZBTO"/>
    <n v="9518614076"/>
    <n v="2"/>
    <s v="9518614076-2"/>
    <s v="No Priority"/>
    <x v="0"/>
    <m/>
    <x v="3"/>
    <x v="9"/>
    <s v="2000-BPRS"/>
    <m/>
    <x v="0"/>
    <m/>
    <m/>
    <m/>
    <s v="North"/>
    <s v="LONI"/>
    <m/>
    <n v="931235"/>
    <x v="32"/>
    <n v="1191955"/>
    <s v="GP COIL SOFT-TATXGP-GK09-0.3X900"/>
    <s v="Z80"/>
    <s v=""/>
    <n v="4"/>
    <n v="6"/>
    <m/>
    <s v="C02"/>
    <s v="TATXGP"/>
    <s v="GK09"/>
    <n v="0.3"/>
    <n v="900"/>
    <n v="0"/>
    <n v="210"/>
    <n v="0"/>
    <n v="210"/>
    <n v="210"/>
    <n v="210"/>
    <n v="210"/>
    <n v="0"/>
    <n v="0"/>
    <n v="0"/>
    <n v="0"/>
    <n v="0"/>
    <n v="0"/>
    <n v="0"/>
    <n v="0"/>
    <n v="0"/>
    <n v="0"/>
    <n v="0"/>
    <n v="0"/>
    <n v="0"/>
    <n v="0"/>
    <n v="0"/>
    <n v="0"/>
    <n v="0"/>
    <n v="0"/>
    <n v="0"/>
    <n v="0"/>
    <n v="0"/>
    <n v="0"/>
    <n v="0"/>
    <m/>
    <m/>
    <m/>
    <m/>
    <m/>
    <m/>
    <m/>
    <m/>
    <m/>
    <m/>
    <m/>
    <m/>
    <m/>
    <m/>
    <m/>
    <m/>
    <m/>
    <m/>
    <m/>
    <m/>
    <m/>
    <m/>
    <m/>
    <m/>
    <m/>
    <m/>
    <m/>
    <m/>
    <m/>
    <m/>
    <m/>
    <m/>
    <m/>
    <m/>
    <m/>
    <m/>
    <m/>
    <m/>
    <m/>
    <m/>
    <m/>
    <m/>
    <m/>
    <m/>
    <m/>
    <m/>
    <m/>
    <m/>
    <m/>
  </r>
  <r>
    <n v="742"/>
    <d v="2025-02-06T00:00:00"/>
    <s v="ZBTO"/>
    <n v="9518498999"/>
    <n v="1"/>
    <s v="9518498999-1"/>
    <s v="No Priority"/>
    <x v="0"/>
    <m/>
    <x v="1"/>
    <x v="1"/>
    <s v="2000-BPRS"/>
    <m/>
    <x v="0"/>
    <m/>
    <m/>
    <m/>
    <s v="East"/>
    <s v=" "/>
    <m/>
    <n v="121328"/>
    <x v="10"/>
    <n v="1804889"/>
    <s v="CRCA COIL-TATCRC-TR15-0.4X1000"/>
    <s v=" "/>
    <s v=""/>
    <n v="4"/>
    <n v="12"/>
    <m/>
    <s v="C01"/>
    <s v="TATCRC"/>
    <s v="TR15"/>
    <n v="0.4"/>
    <n v="1000"/>
    <n v="0"/>
    <n v="69"/>
    <n v="0"/>
    <n v="69"/>
    <n v="69"/>
    <n v="69"/>
    <n v="69"/>
    <n v="0"/>
    <n v="0"/>
    <n v="0"/>
    <n v="0"/>
    <n v="0"/>
    <n v="0"/>
    <n v="0"/>
    <n v="0"/>
    <n v="0"/>
    <n v="0"/>
    <n v="0"/>
    <n v="0"/>
    <n v="0"/>
    <n v="0"/>
    <n v="0"/>
    <n v="0"/>
    <n v="0"/>
    <n v="0"/>
    <n v="0"/>
    <n v="0"/>
    <n v="0"/>
    <n v="0"/>
    <n v="0"/>
    <m/>
    <m/>
    <m/>
    <m/>
    <m/>
    <m/>
    <m/>
    <m/>
    <m/>
    <m/>
    <m/>
    <m/>
    <m/>
    <m/>
    <m/>
    <m/>
    <m/>
    <m/>
    <m/>
    <m/>
    <m/>
    <m/>
    <m/>
    <m/>
    <m/>
    <m/>
    <m/>
    <m/>
    <m/>
    <m/>
    <m/>
    <m/>
    <m/>
    <m/>
    <m/>
    <m/>
    <m/>
    <m/>
    <m/>
    <m/>
    <m/>
    <m/>
    <m/>
    <m/>
    <m/>
    <m/>
    <m/>
    <m/>
    <m/>
  </r>
  <r>
    <n v="742"/>
    <d v="2025-03-26T00:00:00"/>
    <s v="ZBTO"/>
    <n v="9518637097"/>
    <n v="4"/>
    <s v="9518637097-4"/>
    <s v="May'25"/>
    <x v="0"/>
    <s v="Yes"/>
    <x v="1"/>
    <x v="2"/>
    <s v="2000-BPRS"/>
    <m/>
    <x v="1"/>
    <m/>
    <m/>
    <m/>
    <s v="East"/>
    <s v="URLA"/>
    <m/>
    <n v="139336"/>
    <x v="89"/>
    <n v="3239568"/>
    <s v="CRCA SHEET TATCRC SR16 0.450X1250X2500"/>
    <s v=" "/>
    <s v=""/>
    <n v="1"/>
    <n v="3"/>
    <m/>
    <s v="C06"/>
    <s v="TATCRC"/>
    <s v="SR16"/>
    <n v="0.45"/>
    <n v="1250"/>
    <n v="2500"/>
    <n v="60"/>
    <n v="2.6150000000000002"/>
    <n v="57.384999999999998"/>
    <n v="2.875"/>
    <n v="0"/>
    <n v="31.57"/>
    <n v="0"/>
    <n v="0"/>
    <n v="0"/>
    <n v="0"/>
    <n v="0"/>
    <n v="0"/>
    <n v="0"/>
    <n v="0"/>
    <n v="0"/>
    <n v="0"/>
    <n v="0"/>
    <n v="0"/>
    <n v="0"/>
    <n v="0"/>
    <n v="26.77"/>
    <n v="0"/>
    <n v="0"/>
    <n v="0"/>
    <n v="0"/>
    <n v="26.77"/>
    <n v="26.77"/>
    <n v="0"/>
    <n v="26.77"/>
    <m/>
    <m/>
    <m/>
    <m/>
    <m/>
    <m/>
    <m/>
    <m/>
    <m/>
    <m/>
    <m/>
    <m/>
    <m/>
    <m/>
    <m/>
    <m/>
    <m/>
    <m/>
    <m/>
    <m/>
    <m/>
    <m/>
    <m/>
    <m/>
    <m/>
    <m/>
    <m/>
    <m/>
    <m/>
    <m/>
    <m/>
    <m/>
    <m/>
    <m/>
    <m/>
    <m/>
    <m/>
    <m/>
    <m/>
    <m/>
    <m/>
    <m/>
    <m/>
    <m/>
    <m/>
    <m/>
    <m/>
    <m/>
    <m/>
  </r>
  <r>
    <n v="743"/>
    <d v="2025-03-19T00:00:00"/>
    <s v="ZBTO"/>
    <n v="9518614076"/>
    <n v="1"/>
    <s v="9518614076-1"/>
    <s v="No Priority"/>
    <x v="0"/>
    <m/>
    <x v="3"/>
    <x v="9"/>
    <s v="2000-BPRS"/>
    <m/>
    <x v="0"/>
    <m/>
    <m/>
    <m/>
    <s v="North"/>
    <s v="LONI"/>
    <m/>
    <n v="931235"/>
    <x v="32"/>
    <n v="1851065"/>
    <s v="GP COIL SOFT-TATXGP-GK09-0.25X900"/>
    <s v="Z80"/>
    <s v=""/>
    <n v="4"/>
    <n v="6"/>
    <m/>
    <s v="C02"/>
    <s v="TATXGP"/>
    <s v="GK09"/>
    <n v="0.25"/>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2-18T00:00:00"/>
    <s v="ZBTO"/>
    <n v="9518529595"/>
    <n v="5"/>
    <s v="9518529595-5"/>
    <s v="No Priority"/>
    <x v="0"/>
    <m/>
    <x v="1"/>
    <x v="11"/>
    <s v="2000-BPRS"/>
    <m/>
    <x v="0"/>
    <m/>
    <m/>
    <m/>
    <s v="South"/>
    <s v="GUMMIDIPOONDI"/>
    <m/>
    <n v="161312"/>
    <x v="54"/>
    <n v="2420512"/>
    <s v="CRCA COIL TATXXD AH03 0.700X1250"/>
    <s v=" "/>
    <s v=""/>
    <n v="5"/>
    <n v="29"/>
    <m/>
    <s v="C01"/>
    <s v="TATXXD"/>
    <s v="AH03"/>
    <n v="0.7"/>
    <n v="1250"/>
    <n v="0"/>
    <n v="29"/>
    <n v="0"/>
    <n v="29"/>
    <n v="1.45"/>
    <n v="0"/>
    <n v="2.16"/>
    <n v="0"/>
    <n v="0"/>
    <n v="0"/>
    <n v="0"/>
    <n v="0"/>
    <n v="0"/>
    <n v="0"/>
    <n v="0"/>
    <n v="0"/>
    <n v="0"/>
    <n v="0"/>
    <n v="0"/>
    <n v="0"/>
    <n v="0"/>
    <n v="0"/>
    <n v="0"/>
    <n v="0"/>
    <n v="0"/>
    <n v="0"/>
    <n v="0"/>
    <n v="0"/>
    <n v="0"/>
    <n v="0"/>
    <m/>
    <m/>
    <m/>
    <m/>
    <m/>
    <m/>
    <m/>
    <m/>
    <m/>
    <m/>
    <m/>
    <m/>
    <m/>
    <m/>
    <m/>
    <m/>
    <m/>
    <m/>
    <m/>
    <m/>
    <m/>
    <m/>
    <m/>
    <m/>
    <m/>
    <m/>
    <m/>
    <m/>
    <m/>
    <m/>
    <m/>
    <m/>
    <m/>
    <m/>
    <m/>
    <m/>
    <m/>
    <m/>
    <m/>
    <m/>
    <m/>
    <m/>
    <m/>
    <m/>
    <m/>
    <m/>
    <m/>
    <m/>
    <m/>
  </r>
  <r>
    <n v="744"/>
    <d v="2025-03-18T00:00:00"/>
    <s v="ZBTO"/>
    <n v="9518610301"/>
    <n v="7"/>
    <s v="9518610301-7"/>
    <s v="No Priority"/>
    <x v="0"/>
    <m/>
    <x v="2"/>
    <x v="3"/>
    <s v="1000-IPPE"/>
    <m/>
    <x v="0"/>
    <m/>
    <m/>
    <m/>
    <s v="TBSPL"/>
    <s v=" "/>
    <m/>
    <n v="941597"/>
    <x v="6"/>
    <n v="3940122"/>
    <s v="PPGL C HARD Y550PL D0C9 0.470(TPT)X1220"/>
    <s v="AZ150"/>
    <s v="ROYAL BLUE TSL 1815"/>
    <n v="3"/>
    <n v="5"/>
    <m/>
    <s v="B18"/>
    <s v="Y550PL"/>
    <s v="D0C9"/>
    <n v="0.47"/>
    <n v="1220"/>
    <n v="0"/>
    <n v="28"/>
    <n v="0"/>
    <n v="28"/>
    <n v="-21.765000000000001"/>
    <n v="0"/>
    <n v="0.26500000000000001"/>
    <n v="0"/>
    <n v="0"/>
    <n v="0"/>
    <n v="0"/>
    <n v="0"/>
    <n v="0"/>
    <n v="0"/>
    <n v="0"/>
    <n v="0"/>
    <n v="0"/>
    <n v="0"/>
    <n v="0"/>
    <n v="0"/>
    <n v="0"/>
    <n v="0"/>
    <n v="0"/>
    <n v="0"/>
    <n v="0"/>
    <n v="0"/>
    <n v="0"/>
    <n v="0"/>
    <n v="0"/>
    <n v="0"/>
    <m/>
    <m/>
    <m/>
    <m/>
    <m/>
    <m/>
    <m/>
    <m/>
    <m/>
    <m/>
    <m/>
    <m/>
    <m/>
    <m/>
    <m/>
    <m/>
    <m/>
    <m/>
    <m/>
    <m/>
    <m/>
    <m/>
    <m/>
    <m/>
    <m/>
    <m/>
    <m/>
    <m/>
    <m/>
    <m/>
    <m/>
    <m/>
    <m/>
    <m/>
    <m/>
    <m/>
    <m/>
    <m/>
    <m/>
    <m/>
    <m/>
    <m/>
    <m/>
    <m/>
    <m/>
    <m/>
    <m/>
    <m/>
    <m/>
  </r>
  <r>
    <n v="743"/>
    <d v="2025-03-17T00:00:00"/>
    <s v="ZBTO"/>
    <n v="9518607443"/>
    <n v="3"/>
    <s v="9518607443-3"/>
    <s v="No Priority"/>
    <x v="0"/>
    <s v="Yes"/>
    <x v="3"/>
    <x v="9"/>
    <s v="2000-BPRS"/>
    <m/>
    <x v="0"/>
    <m/>
    <m/>
    <m/>
    <s v="East"/>
    <s v=" "/>
    <m/>
    <n v="121328"/>
    <x v="10"/>
    <n v="1854424"/>
    <s v="GP COIL SOFT-TATXGP-GK09-0.6X900"/>
    <s v="Z80"/>
    <s v=""/>
    <n v="4"/>
    <n v="12"/>
    <m/>
    <s v="C02"/>
    <s v="TATXGP"/>
    <s v="GK09"/>
    <n v="0.6"/>
    <n v="900"/>
    <n v="0"/>
    <n v="84"/>
    <n v="0"/>
    <n v="84"/>
    <n v="84"/>
    <n v="74.08"/>
    <n v="15.935"/>
    <n v="0"/>
    <n v="0"/>
    <n v="0"/>
    <n v="0"/>
    <n v="0"/>
    <n v="0"/>
    <n v="0.23500000000000001"/>
    <n v="0"/>
    <n v="0"/>
    <n v="0"/>
    <n v="0"/>
    <n v="0"/>
    <n v="0"/>
    <n v="0"/>
    <n v="0"/>
    <n v="0"/>
    <n v="0"/>
    <n v="0"/>
    <n v="9.6850000000000005"/>
    <n v="9.92"/>
    <n v="9.92"/>
    <n v="0"/>
    <n v="9.92"/>
    <m/>
    <m/>
    <m/>
    <m/>
    <m/>
    <m/>
    <m/>
    <m/>
    <m/>
    <m/>
    <m/>
    <m/>
    <m/>
    <m/>
    <m/>
    <m/>
    <m/>
    <m/>
    <m/>
    <m/>
    <m/>
    <m/>
    <m/>
    <m/>
    <m/>
    <m/>
    <m/>
    <m/>
    <m/>
    <m/>
    <m/>
    <m/>
    <m/>
    <m/>
    <m/>
    <m/>
    <m/>
    <m/>
    <m/>
    <m/>
    <m/>
    <m/>
    <m/>
    <m/>
    <m/>
    <m/>
    <m/>
    <m/>
    <m/>
  </r>
  <r>
    <n v="743"/>
    <d v="2025-03-19T00:00:00"/>
    <s v="ZBTO"/>
    <n v="9518612772"/>
    <n v="2"/>
    <s v="9518612772-2"/>
    <s v="No Priority"/>
    <x v="0"/>
    <m/>
    <x v="3"/>
    <x v="9"/>
    <s v="2000-BPRS"/>
    <m/>
    <x v="0"/>
    <m/>
    <m/>
    <m/>
    <s v="North"/>
    <s v="KANPUR"/>
    <m/>
    <n v="938789"/>
    <x v="92"/>
    <n v="1854429"/>
    <s v="GP COIL SOFT-TATXGP-GK09-0.63X900"/>
    <s v="Z80"/>
    <s v=""/>
    <n v="3.2"/>
    <n v="5"/>
    <m/>
    <s v="C02"/>
    <s v="TATXGP"/>
    <s v="GK09"/>
    <n v="0.63"/>
    <n v="900"/>
    <n v="0"/>
    <n v="252"/>
    <n v="0"/>
    <n v="252"/>
    <n v="252"/>
    <n v="252"/>
    <n v="252"/>
    <n v="0"/>
    <n v="0"/>
    <n v="0"/>
    <n v="0"/>
    <n v="0"/>
    <n v="0"/>
    <n v="0"/>
    <n v="0"/>
    <n v="0"/>
    <n v="0"/>
    <n v="0"/>
    <n v="0"/>
    <n v="0"/>
    <n v="0"/>
    <n v="0"/>
    <n v="0"/>
    <n v="0"/>
    <n v="0"/>
    <n v="0"/>
    <n v="0"/>
    <n v="0"/>
    <n v="0"/>
    <n v="0"/>
    <m/>
    <m/>
    <m/>
    <m/>
    <m/>
    <m/>
    <m/>
    <m/>
    <m/>
    <m/>
    <m/>
    <m/>
    <m/>
    <m/>
    <m/>
    <m/>
    <m/>
    <m/>
    <m/>
    <m/>
    <m/>
    <m/>
    <m/>
    <m/>
    <m/>
    <m/>
    <m/>
    <m/>
    <m/>
    <m/>
    <m/>
    <m/>
    <m/>
    <m/>
    <m/>
    <m/>
    <m/>
    <m/>
    <m/>
    <m/>
    <m/>
    <m/>
    <m/>
    <m/>
    <m/>
    <m/>
    <m/>
    <m/>
    <m/>
  </r>
  <r>
    <n v="742"/>
    <d v="2025-03-24T00:00:00"/>
    <s v="ZBTO"/>
    <n v="9518628976"/>
    <n v="2"/>
    <s v="9518628976-2"/>
    <s v="May'25"/>
    <x v="0"/>
    <s v="Yes"/>
    <x v="1"/>
    <x v="1"/>
    <s v="2000-BPRS"/>
    <m/>
    <x v="1"/>
    <m/>
    <m/>
    <m/>
    <s v="South"/>
    <s v="VALPARAI"/>
    <m/>
    <n v="116465"/>
    <x v="13"/>
    <n v="279230"/>
    <s v="CRSHEET TATXXD AU03 0.60X1250X2500"/>
    <s v=" "/>
    <s v=""/>
    <n v="0"/>
    <n v="0"/>
    <m/>
    <s v="C06"/>
    <s v="TATXXD"/>
    <s v="AU03"/>
    <n v="0.6"/>
    <n v="1250"/>
    <n v="2500"/>
    <n v="60"/>
    <n v="0"/>
    <n v="60"/>
    <n v="60"/>
    <n v="60"/>
    <n v="60"/>
    <n v="0"/>
    <n v="0"/>
    <n v="0"/>
    <n v="0"/>
    <n v="0"/>
    <n v="0"/>
    <n v="0"/>
    <n v="0"/>
    <n v="0"/>
    <n v="0"/>
    <n v="0"/>
    <n v="0"/>
    <n v="0"/>
    <n v="0"/>
    <n v="0"/>
    <n v="0"/>
    <n v="0"/>
    <n v="0"/>
    <n v="0"/>
    <n v="0"/>
    <n v="0"/>
    <n v="0"/>
    <n v="0"/>
    <m/>
    <m/>
    <m/>
    <m/>
    <m/>
    <m/>
    <m/>
    <m/>
    <m/>
    <m/>
    <m/>
    <m/>
    <m/>
    <m/>
    <m/>
    <m/>
    <m/>
    <m/>
    <m/>
    <m/>
    <m/>
    <m/>
    <m/>
    <m/>
    <m/>
    <m/>
    <m/>
    <m/>
    <m/>
    <m/>
    <m/>
    <m/>
    <m/>
    <m/>
    <m/>
    <m/>
    <m/>
    <m/>
    <m/>
    <m/>
    <m/>
    <m/>
    <m/>
    <m/>
    <m/>
    <m/>
    <m/>
    <m/>
    <m/>
  </r>
  <r>
    <n v="742"/>
    <d v="2025-03-26T00:00:00"/>
    <s v="ZBTO"/>
    <n v="9518637426"/>
    <n v="2"/>
    <s v="9518637426-2"/>
    <s v="May'25"/>
    <x v="0"/>
    <s v="Yes"/>
    <x v="1"/>
    <x v="1"/>
    <s v="2000-BPRS"/>
    <m/>
    <x v="1"/>
    <m/>
    <m/>
    <m/>
    <s v="East"/>
    <s v="URLA"/>
    <m/>
    <n v="139336"/>
    <x v="89"/>
    <n v="291034"/>
    <s v="CRSHEET C06 TATCRC TR15 2X1250X2500"/>
    <s v=" "/>
    <s v=""/>
    <n v="2"/>
    <n v="3"/>
    <m/>
    <s v="C06"/>
    <s v="TATCRC"/>
    <s v="TR15"/>
    <n v="2"/>
    <n v="1250"/>
    <n v="2500"/>
    <n v="30"/>
    <n v="0"/>
    <n v="30"/>
    <n v="30"/>
    <n v="30"/>
    <n v="30"/>
    <n v="0"/>
    <n v="0"/>
    <n v="0"/>
    <n v="0"/>
    <n v="0"/>
    <n v="0"/>
    <n v="0"/>
    <n v="0"/>
    <n v="0"/>
    <n v="0"/>
    <n v="0"/>
    <n v="0"/>
    <n v="0"/>
    <n v="0"/>
    <n v="0"/>
    <n v="0"/>
    <n v="0"/>
    <n v="0"/>
    <n v="0"/>
    <n v="0"/>
    <n v="0"/>
    <n v="0"/>
    <n v="0"/>
    <m/>
    <m/>
    <m/>
    <m/>
    <m/>
    <m/>
    <m/>
    <m/>
    <m/>
    <m/>
    <m/>
    <m/>
    <m/>
    <m/>
    <m/>
    <m/>
    <m/>
    <m/>
    <m/>
    <m/>
    <m/>
    <m/>
    <m/>
    <m/>
    <m/>
    <m/>
    <m/>
    <m/>
    <m/>
    <m/>
    <m/>
    <m/>
    <m/>
    <m/>
    <m/>
    <m/>
    <m/>
    <m/>
    <m/>
    <m/>
    <m/>
    <m/>
    <m/>
    <m/>
    <m/>
    <m/>
    <m/>
    <m/>
    <m/>
  </r>
  <r>
    <n v="743"/>
    <d v="2025-03-20T00:00:00"/>
    <s v="ZBTO"/>
    <n v="9518617039"/>
    <n v="3"/>
    <s v="9518617039-3"/>
    <s v="May'25"/>
    <x v="0"/>
    <s v="Yes"/>
    <x v="4"/>
    <x v="3"/>
    <s v="1000-IPPE"/>
    <m/>
    <x v="1"/>
    <m/>
    <m/>
    <m/>
    <s v="TBSPL"/>
    <s v=" "/>
    <m/>
    <n v="942283"/>
    <x v="6"/>
    <n v="1881969"/>
    <s v="GL C YS550 H6GL 0.45BMT(0.50TCT)X1220"/>
    <s v="AZ150"/>
    <s v=""/>
    <n v="3"/>
    <n v="5"/>
    <m/>
    <s v="B04"/>
    <s v="Y550GL"/>
    <s v="H6GL"/>
    <n v="0.45"/>
    <n v="1220"/>
    <n v="0"/>
    <n v="140"/>
    <n v="0"/>
    <n v="140"/>
    <n v="140"/>
    <n v="140"/>
    <n v="140"/>
    <n v="0"/>
    <n v="0"/>
    <n v="0"/>
    <n v="0"/>
    <n v="0"/>
    <n v="0"/>
    <n v="0"/>
    <n v="0"/>
    <n v="0"/>
    <n v="0"/>
    <n v="0"/>
    <n v="0"/>
    <n v="0"/>
    <n v="0"/>
    <n v="0"/>
    <n v="0"/>
    <n v="0"/>
    <n v="0"/>
    <n v="0"/>
    <n v="0"/>
    <n v="0"/>
    <n v="0"/>
    <n v="0"/>
    <m/>
    <m/>
    <m/>
    <m/>
    <m/>
    <m/>
    <m/>
    <m/>
    <m/>
    <m/>
    <m/>
    <m/>
    <m/>
    <m/>
    <m/>
    <m/>
    <m/>
    <m/>
    <m/>
    <m/>
    <m/>
    <m/>
    <m/>
    <m/>
    <m/>
    <m/>
    <m/>
    <m/>
    <m/>
    <m/>
    <m/>
    <m/>
    <m/>
    <m/>
    <m/>
    <m/>
    <m/>
    <m/>
    <m/>
    <m/>
    <m/>
    <m/>
    <m/>
    <m/>
    <m/>
    <m/>
    <m/>
    <m/>
    <m/>
  </r>
  <r>
    <n v="744"/>
    <d v="2025-03-29T00:00:00"/>
    <s v="ZBTO"/>
    <n v="9518652442"/>
    <n v="1"/>
    <s v="9518652442-1"/>
    <s v="May'25"/>
    <x v="0"/>
    <m/>
    <x v="2"/>
    <x v="3"/>
    <s v="1000-IPPE"/>
    <m/>
    <x v="1"/>
    <m/>
    <m/>
    <m/>
    <s v="TBSPL"/>
    <s v=" "/>
    <m/>
    <n v="941597"/>
    <x v="6"/>
    <n v="3940122"/>
    <s v="PPGL C HARD Y550PL D0C9 0.470(TPT)X1220"/>
    <s v="AZ150"/>
    <s v="RAL 7015 TSL 1805"/>
    <n v="3"/>
    <n v="5"/>
    <m/>
    <s v="B18"/>
    <s v="Y550PL"/>
    <s v="D0C9"/>
    <n v="0.47"/>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27T00:00:00"/>
    <s v="ZBTO"/>
    <n v="9518644656"/>
    <n v="11"/>
    <s v="9518644656-11"/>
    <s v="May'25"/>
    <x v="0"/>
    <s v="Yes"/>
    <x v="1"/>
    <x v="2"/>
    <s v="2000-BPRS"/>
    <m/>
    <x v="1"/>
    <m/>
    <m/>
    <m/>
    <s v="East"/>
    <s v="SILIGURI TOWN"/>
    <m/>
    <n v="948783"/>
    <x v="24"/>
    <n v="3240765"/>
    <s v="CRCA SHEET TSBCRC SR15 0.500X1250X2500"/>
    <s v=" "/>
    <s v=""/>
    <n v="0"/>
    <n v="0"/>
    <m/>
    <s v="C06"/>
    <s v="TSBCRC"/>
    <s v="SR15"/>
    <n v="0.5"/>
    <n v="1250"/>
    <n v="2500"/>
    <n v="24"/>
    <n v="0"/>
    <n v="24"/>
    <n v="-3.63"/>
    <n v="0"/>
    <n v="24"/>
    <n v="0"/>
    <n v="0"/>
    <n v="0"/>
    <n v="0"/>
    <n v="0"/>
    <n v="0"/>
    <n v="0"/>
    <n v="0"/>
    <n v="26.875"/>
    <n v="0"/>
    <n v="0"/>
    <n v="0"/>
    <n v="0"/>
    <n v="0"/>
    <n v="0"/>
    <n v="0"/>
    <n v="0"/>
    <n v="0"/>
    <n v="0"/>
    <n v="26.875"/>
    <n v="26.875"/>
    <n v="0"/>
    <n v="26.875"/>
    <m/>
    <m/>
    <m/>
    <m/>
    <m/>
    <m/>
    <m/>
    <m/>
    <m/>
    <m/>
    <m/>
    <m/>
    <m/>
    <m/>
    <m/>
    <m/>
    <m/>
    <m/>
    <m/>
    <m/>
    <m/>
    <m/>
    <m/>
    <m/>
    <m/>
    <m/>
    <m/>
    <m/>
    <m/>
    <m/>
    <m/>
    <m/>
    <m/>
    <m/>
    <m/>
    <m/>
    <m/>
    <m/>
    <m/>
    <m/>
    <m/>
    <m/>
    <m/>
    <m/>
    <m/>
    <m/>
    <m/>
    <m/>
    <m/>
  </r>
  <r>
    <n v="742"/>
    <d v="2025-02-20T00:00:00"/>
    <s v="ZBTO"/>
    <n v="9518535833"/>
    <n v="3"/>
    <s v="9518535833-3"/>
    <s v="No Priority"/>
    <x v="0"/>
    <m/>
    <x v="1"/>
    <x v="1"/>
    <s v="2000-BPRS"/>
    <m/>
    <x v="0"/>
    <m/>
    <m/>
    <m/>
    <s v="South"/>
    <s v="CHENNAI"/>
    <m/>
    <n v="938550"/>
    <x v="4"/>
    <n v="2165170"/>
    <s v="CRCA COIL TATCRC TR15 0.400X900"/>
    <s v=" "/>
    <s v=""/>
    <n v="6"/>
    <n v="18"/>
    <m/>
    <s v="C01"/>
    <s v="TATCRC"/>
    <s v="TR15"/>
    <n v="0.4"/>
    <n v="900"/>
    <n v="0"/>
    <n v="63"/>
    <n v="0"/>
    <n v="63"/>
    <n v="63"/>
    <n v="63"/>
    <n v="63"/>
    <n v="0"/>
    <n v="0"/>
    <n v="0"/>
    <n v="0"/>
    <n v="0"/>
    <n v="0"/>
    <n v="0"/>
    <n v="0"/>
    <n v="0"/>
    <n v="0"/>
    <n v="0"/>
    <n v="0"/>
    <n v="0"/>
    <n v="0"/>
    <n v="0"/>
    <n v="0"/>
    <n v="0"/>
    <n v="0"/>
    <n v="0"/>
    <n v="0"/>
    <n v="0"/>
    <n v="0"/>
    <n v="0"/>
    <m/>
    <m/>
    <m/>
    <m/>
    <m/>
    <m/>
    <m/>
    <m/>
    <m/>
    <m/>
    <m/>
    <m/>
    <m/>
    <m/>
    <m/>
    <m/>
    <m/>
    <m/>
    <m/>
    <m/>
    <m/>
    <m/>
    <m/>
    <m/>
    <m/>
    <m/>
    <m/>
    <m/>
    <m/>
    <m/>
    <m/>
    <m/>
    <m/>
    <m/>
    <m/>
    <m/>
    <m/>
    <m/>
    <m/>
    <m/>
    <m/>
    <m/>
    <m/>
    <m/>
    <m/>
    <m/>
    <m/>
    <m/>
    <m/>
  </r>
  <r>
    <n v="742"/>
    <d v="2025-03-21T00:00:00"/>
    <s v="ZBTO"/>
    <n v="9518620674"/>
    <n v="19"/>
    <s v="9518620674-19"/>
    <s v="May'25"/>
    <x v="0"/>
    <s v="Yes"/>
    <x v="1"/>
    <x v="1"/>
    <s v="2000-BPRS"/>
    <m/>
    <x v="1"/>
    <m/>
    <m/>
    <m/>
    <s v="South"/>
    <s v="CHENNAI"/>
    <m/>
    <n v="938550"/>
    <x v="4"/>
    <n v="1804867"/>
    <s v="CRCA COIL-TATXXD-AU03-1.6X1250"/>
    <s v=" "/>
    <s v=""/>
    <n v="6"/>
    <n v="18"/>
    <m/>
    <s v="C01"/>
    <s v="TATXXD"/>
    <s v="AU03"/>
    <n v="1.6"/>
    <n v="1250"/>
    <n v="0"/>
    <n v="29"/>
    <n v="0"/>
    <n v="29"/>
    <n v="29"/>
    <n v="8.5300000000000011"/>
    <n v="29"/>
    <n v="0"/>
    <n v="0"/>
    <n v="0"/>
    <n v="0"/>
    <n v="0"/>
    <n v="0"/>
    <n v="0"/>
    <n v="0"/>
    <n v="0"/>
    <n v="0"/>
    <n v="0"/>
    <n v="0"/>
    <n v="0"/>
    <n v="20.47"/>
    <n v="0"/>
    <n v="0"/>
    <n v="0"/>
    <n v="0"/>
    <n v="0"/>
    <n v="20.47"/>
    <n v="20.47"/>
    <n v="0"/>
    <n v="20.47"/>
    <m/>
    <m/>
    <m/>
    <m/>
    <m/>
    <m/>
    <m/>
    <m/>
    <m/>
    <m/>
    <m/>
    <m/>
    <m/>
    <m/>
    <m/>
    <m/>
    <m/>
    <m/>
    <m/>
    <m/>
    <m/>
    <m/>
    <m/>
    <m/>
    <m/>
    <m/>
    <m/>
    <m/>
    <m/>
    <m/>
    <m/>
    <m/>
    <m/>
    <m/>
    <m/>
    <m/>
    <m/>
    <m/>
    <m/>
    <m/>
    <m/>
    <m/>
    <m/>
    <m/>
    <m/>
    <m/>
    <m/>
    <m/>
    <m/>
  </r>
  <r>
    <n v="742"/>
    <d v="2025-03-28T00:00:00"/>
    <s v="ZBTO"/>
    <n v="9518649334"/>
    <n v="4"/>
    <s v="9518649334-4"/>
    <s v="No Priority"/>
    <x v="0"/>
    <m/>
    <x v="0"/>
    <x v="0"/>
    <s v="2000-BPRS"/>
    <m/>
    <x v="0"/>
    <m/>
    <m/>
    <m/>
    <s v="North"/>
    <s v="FARIDABAD"/>
    <m/>
    <n v="936528"/>
    <x v="3"/>
    <n v="3461597"/>
    <s v="HR COILS-PO I09497 2.40X1250"/>
    <s v=" "/>
    <s v=""/>
    <n v="17"/>
    <n v="26"/>
    <m/>
    <n v="768"/>
    <s v="I09497"/>
    <s v="HG01"/>
    <n v="2.4"/>
    <n v="1250"/>
    <n v="0"/>
    <n v="50"/>
    <n v="0"/>
    <n v="50"/>
    <n v="50"/>
    <n v="50"/>
    <n v="0"/>
    <n v="0"/>
    <n v="0"/>
    <n v="0"/>
    <n v="0"/>
    <n v="0"/>
    <n v="0"/>
    <n v="0"/>
    <n v="0"/>
    <n v="0"/>
    <n v="0"/>
    <n v="0"/>
    <n v="0"/>
    <n v="0"/>
    <n v="0"/>
    <n v="0"/>
    <n v="0"/>
    <n v="0"/>
    <n v="0"/>
    <n v="0"/>
    <n v="0"/>
    <n v="0"/>
    <n v="0"/>
    <n v="0"/>
    <m/>
    <m/>
    <m/>
    <m/>
    <m/>
    <m/>
    <m/>
    <m/>
    <m/>
    <m/>
    <m/>
    <m/>
    <m/>
    <m/>
    <m/>
    <m/>
    <m/>
    <m/>
    <m/>
    <m/>
    <m/>
    <m/>
    <m/>
    <m/>
    <m/>
    <m/>
    <m/>
    <m/>
    <m/>
    <m/>
    <m/>
    <m/>
    <m/>
    <m/>
    <m/>
    <m/>
    <m/>
    <m/>
    <m/>
    <m/>
    <m/>
    <m/>
    <m/>
    <m/>
    <m/>
    <m/>
    <m/>
    <m/>
    <m/>
  </r>
  <r>
    <n v="742"/>
    <d v="2025-03-21T00:00:00"/>
    <s v="ZBTO"/>
    <n v="9518620159"/>
    <n v="1"/>
    <s v="9518620159-1"/>
    <s v="No Priority"/>
    <x v="0"/>
    <s v="Yes"/>
    <x v="1"/>
    <x v="1"/>
    <s v="2000-BPRS"/>
    <m/>
    <x v="0"/>
    <m/>
    <m/>
    <m/>
    <s v="East"/>
    <s v="URLA"/>
    <m/>
    <n v="931662"/>
    <x v="69"/>
    <n v="322579"/>
    <s v="CRCA SHEET TATCRC TR15 .8X1250X2500"/>
    <s v=" "/>
    <s v=""/>
    <n v="0"/>
    <n v="0"/>
    <m/>
    <s v="C06"/>
    <s v="TATCRC"/>
    <s v="TR15"/>
    <n v="0.8"/>
    <n v="1250"/>
    <n v="2500"/>
    <n v="30"/>
    <n v="0"/>
    <n v="30"/>
    <n v="2.42"/>
    <n v="0"/>
    <n v="4.03"/>
    <n v="0"/>
    <n v="0"/>
    <n v="0"/>
    <n v="0"/>
    <n v="0"/>
    <n v="0"/>
    <n v="0"/>
    <n v="0"/>
    <n v="0"/>
    <n v="0"/>
    <n v="0"/>
    <n v="0"/>
    <n v="0"/>
    <n v="0"/>
    <n v="0"/>
    <n v="0.35000000000000003"/>
    <n v="0"/>
    <n v="0"/>
    <n v="0"/>
    <n v="0.35000000000000003"/>
    <n v="0.35000000000000003"/>
    <n v="0"/>
    <n v="0.35000000000000003"/>
    <m/>
    <m/>
    <m/>
    <m/>
    <m/>
    <m/>
    <m/>
    <m/>
    <m/>
    <m/>
    <m/>
    <m/>
    <m/>
    <m/>
    <m/>
    <m/>
    <m/>
    <m/>
    <m/>
    <m/>
    <m/>
    <m/>
    <m/>
    <m/>
    <m/>
    <m/>
    <m/>
    <m/>
    <m/>
    <m/>
    <m/>
    <m/>
    <m/>
    <m/>
    <m/>
    <m/>
    <m/>
    <m/>
    <m/>
    <m/>
    <m/>
    <m/>
    <m/>
    <m/>
    <m/>
    <m/>
    <m/>
    <m/>
    <m/>
  </r>
  <r>
    <n v="742"/>
    <d v="2025-04-03T00:00:00"/>
    <s v="ZBTO"/>
    <n v="9518667687"/>
    <n v="1"/>
    <s v="9518667687-1"/>
    <s v="May'25"/>
    <x v="0"/>
    <s v="Yes"/>
    <x v="1"/>
    <x v="1"/>
    <s v="2000-BPRS"/>
    <m/>
    <x v="1"/>
    <m/>
    <m/>
    <m/>
    <s v="South"/>
    <s v="YESHWANTHPURA"/>
    <m/>
    <n v="932244"/>
    <x v="34"/>
    <n v="1804814"/>
    <s v="CRCA COIL TATXXD AU03 0.8X1250"/>
    <s v=" "/>
    <s v=""/>
    <n v="10"/>
    <n v="28"/>
    <m/>
    <s v="C01"/>
    <s v="TATXXD"/>
    <s v="AU03"/>
    <n v="0.8"/>
    <n v="1250"/>
    <n v="0"/>
    <n v="145"/>
    <n v="0"/>
    <n v="145"/>
    <n v="123.85"/>
    <n v="123.53"/>
    <n v="145"/>
    <n v="0"/>
    <n v="0"/>
    <n v="0"/>
    <n v="21.47"/>
    <n v="0"/>
    <n v="0"/>
    <n v="0"/>
    <n v="0"/>
    <n v="0"/>
    <n v="0"/>
    <n v="0"/>
    <n v="0"/>
    <n v="0"/>
    <n v="0"/>
    <n v="0"/>
    <n v="0"/>
    <n v="0"/>
    <n v="0"/>
    <n v="0"/>
    <n v="21.47"/>
    <n v="21.47"/>
    <n v="0"/>
    <n v="21.47"/>
    <m/>
    <m/>
    <m/>
    <m/>
    <m/>
    <m/>
    <m/>
    <m/>
    <m/>
    <m/>
    <m/>
    <m/>
    <m/>
    <m/>
    <m/>
    <m/>
    <m/>
    <m/>
    <m/>
    <m/>
    <m/>
    <m/>
    <m/>
    <m/>
    <m/>
    <m/>
    <m/>
    <m/>
    <m/>
    <m/>
    <m/>
    <m/>
    <m/>
    <m/>
    <m/>
    <m/>
    <m/>
    <m/>
    <m/>
    <m/>
    <m/>
    <m/>
    <m/>
    <m/>
    <m/>
    <m/>
    <m/>
    <m/>
    <m/>
  </r>
  <r>
    <n v="742"/>
    <d v="2025-04-03T00:00:00"/>
    <s v="ZBTO"/>
    <n v="9518667687"/>
    <n v="3"/>
    <s v="9518667687-3"/>
    <s v="No Priority"/>
    <x v="0"/>
    <m/>
    <x v="1"/>
    <x v="1"/>
    <s v="2000-BPRS"/>
    <m/>
    <x v="0"/>
    <m/>
    <m/>
    <m/>
    <s v="South"/>
    <s v="YESHWANTHPURA"/>
    <m/>
    <n v="932244"/>
    <x v="34"/>
    <n v="2193599"/>
    <s v="CRCA COIL TATXXD AU03 1.400X1250"/>
    <s v=" "/>
    <s v=""/>
    <n v="15"/>
    <n v="28"/>
    <m/>
    <s v="C01"/>
    <s v="TATXXD"/>
    <s v="AU03"/>
    <n v="1.4"/>
    <n v="1250"/>
    <n v="0"/>
    <n v="87"/>
    <n v="0"/>
    <n v="87"/>
    <n v="87"/>
    <n v="87"/>
    <n v="87"/>
    <n v="0"/>
    <n v="0"/>
    <n v="0"/>
    <n v="0"/>
    <n v="0"/>
    <n v="0"/>
    <n v="0"/>
    <n v="0"/>
    <n v="0"/>
    <n v="0"/>
    <n v="0"/>
    <n v="0"/>
    <n v="0"/>
    <n v="0"/>
    <n v="0"/>
    <n v="0"/>
    <n v="0"/>
    <n v="0"/>
    <n v="0"/>
    <n v="0"/>
    <n v="0"/>
    <n v="0"/>
    <n v="0"/>
    <m/>
    <m/>
    <m/>
    <m/>
    <m/>
    <m/>
    <m/>
    <m/>
    <m/>
    <m/>
    <m/>
    <m/>
    <m/>
    <m/>
    <m/>
    <m/>
    <m/>
    <m/>
    <m/>
    <m/>
    <m/>
    <m/>
    <m/>
    <m/>
    <m/>
    <m/>
    <m/>
    <m/>
    <m/>
    <m/>
    <m/>
    <m/>
    <m/>
    <m/>
    <m/>
    <m/>
    <m/>
    <m/>
    <m/>
    <m/>
    <m/>
    <m/>
    <m/>
    <m/>
    <m/>
    <m/>
    <m/>
    <m/>
    <m/>
  </r>
  <r>
    <n v="743"/>
    <d v="2025-04-14T00:00:00"/>
    <s v="ZBTO"/>
    <n v="9518692220"/>
    <n v="7"/>
    <s v="9518692220-7"/>
    <s v="No Priority"/>
    <x v="0"/>
    <m/>
    <x v="3"/>
    <x v="9"/>
    <s v="2000-BPRS"/>
    <m/>
    <x v="0"/>
    <m/>
    <m/>
    <m/>
    <s v="East"/>
    <s v=" "/>
    <m/>
    <n v="121328"/>
    <x v="10"/>
    <n v="1178439"/>
    <s v="GP COIL SOFT-TATXGP-GK09-0.4X900"/>
    <s v="Z80"/>
    <s v=""/>
    <n v="4"/>
    <n v="12"/>
    <m/>
    <s v="C02"/>
    <s v="TATXGP"/>
    <s v="GK09"/>
    <n v="0.4"/>
    <n v="900"/>
    <n v="0"/>
    <n v="147"/>
    <n v="0"/>
    <n v="147"/>
    <n v="147"/>
    <n v="147"/>
    <n v="147"/>
    <n v="0"/>
    <n v="0"/>
    <n v="0"/>
    <n v="0"/>
    <n v="0"/>
    <n v="0"/>
    <n v="0"/>
    <n v="0"/>
    <n v="0"/>
    <n v="0"/>
    <n v="0"/>
    <n v="0"/>
    <n v="0"/>
    <n v="0"/>
    <n v="0"/>
    <n v="0"/>
    <n v="0"/>
    <n v="0"/>
    <n v="0"/>
    <n v="0"/>
    <n v="0"/>
    <n v="0"/>
    <n v="0"/>
    <m/>
    <m/>
    <m/>
    <m/>
    <m/>
    <m/>
    <m/>
    <m/>
    <m/>
    <m/>
    <m/>
    <m/>
    <m/>
    <m/>
    <m/>
    <m/>
    <m/>
    <m/>
    <m/>
    <m/>
    <m/>
    <m/>
    <m/>
    <m/>
    <m/>
    <m/>
    <m/>
    <m/>
    <m/>
    <m/>
    <m/>
    <m/>
    <m/>
    <m/>
    <m/>
    <m/>
    <m/>
    <m/>
    <m/>
    <m/>
    <m/>
    <m/>
    <m/>
    <m/>
    <m/>
    <m/>
    <m/>
    <m/>
    <m/>
  </r>
  <r>
    <n v="742"/>
    <d v="2025-04-04T00:00:00"/>
    <s v="ZBTF"/>
    <n v="4000503317"/>
    <n v="2"/>
    <s v="4000503317-2"/>
    <s v="No Priority"/>
    <x v="0"/>
    <m/>
    <x v="0"/>
    <x v="0"/>
    <s v=""/>
    <m/>
    <x v="0"/>
    <m/>
    <m/>
    <m/>
    <s v="South"/>
    <s v="YESHWANTHPURA"/>
    <m/>
    <n v="600103"/>
    <x v="21"/>
    <n v="3678577"/>
    <s v="HR COILS-PO THR099 4.60X1250"/>
    <s v=" "/>
    <s v=""/>
    <n v="17"/>
    <n v="27.5"/>
    <m/>
    <n v="768"/>
    <s v="THR099"/>
    <s v="HR99"/>
    <n v="4.5999999999999996"/>
    <n v="1250"/>
    <n v="0"/>
    <n v="25"/>
    <n v="0"/>
    <n v="25"/>
    <n v="-23.77"/>
    <n v="0"/>
    <n v="0.55000000000000004"/>
    <n v="0"/>
    <n v="0"/>
    <n v="0"/>
    <n v="0"/>
    <n v="0"/>
    <n v="0"/>
    <n v="0"/>
    <n v="0"/>
    <n v="0"/>
    <n v="0"/>
    <n v="0"/>
    <n v="0"/>
    <n v="0"/>
    <n v="0"/>
    <n v="0"/>
    <n v="0"/>
    <n v="0"/>
    <n v="0"/>
    <n v="0"/>
    <n v="0"/>
    <n v="0"/>
    <n v="0"/>
    <n v="0"/>
    <m/>
    <m/>
    <m/>
    <m/>
    <m/>
    <m/>
    <m/>
    <m/>
    <m/>
    <m/>
    <m/>
    <m/>
    <m/>
    <m/>
    <m/>
    <m/>
    <m/>
    <m/>
    <m/>
    <m/>
    <m/>
    <m/>
    <m/>
    <m/>
    <m/>
    <m/>
    <m/>
    <m/>
    <m/>
    <m/>
    <m/>
    <m/>
    <m/>
    <m/>
    <m/>
    <m/>
    <m/>
    <m/>
    <m/>
    <m/>
    <m/>
    <m/>
    <m/>
    <m/>
    <m/>
    <m/>
    <m/>
    <m/>
    <m/>
  </r>
  <r>
    <n v="742"/>
    <d v="2025-04-03T00:00:00"/>
    <s v="ZBTO"/>
    <n v="9518667687"/>
    <n v="4"/>
    <s v="9518667687-4"/>
    <s v="No Priority"/>
    <x v="0"/>
    <s v="Yes"/>
    <x v="1"/>
    <x v="1"/>
    <s v="2000-BPRS"/>
    <m/>
    <x v="0"/>
    <m/>
    <s v="De-prioritized due to Apr CF orders"/>
    <m/>
    <s v="South"/>
    <s v="YESHWANTHPURA"/>
    <m/>
    <n v="932244"/>
    <x v="34"/>
    <n v="1884117"/>
    <s v="CRCA COIL-TATXXD-AU03-2X1250"/>
    <s v=" "/>
    <s v=""/>
    <n v="15"/>
    <n v="28"/>
    <m/>
    <s v="C01"/>
    <s v="TATXXD"/>
    <s v="AU03"/>
    <n v="2"/>
    <n v="1250"/>
    <n v="0"/>
    <n v="145"/>
    <n v="0"/>
    <n v="145"/>
    <n v="145"/>
    <n v="145"/>
    <n v="145"/>
    <n v="0"/>
    <n v="0"/>
    <n v="0"/>
    <n v="0"/>
    <n v="0"/>
    <n v="0"/>
    <n v="0"/>
    <n v="0"/>
    <n v="0"/>
    <n v="0"/>
    <n v="0"/>
    <n v="0"/>
    <n v="0"/>
    <n v="0"/>
    <n v="0"/>
    <n v="0"/>
    <n v="0"/>
    <n v="0"/>
    <n v="0"/>
    <n v="0"/>
    <n v="0"/>
    <n v="0"/>
    <n v="0"/>
    <m/>
    <m/>
    <m/>
    <m/>
    <m/>
    <m/>
    <m/>
    <m/>
    <m/>
    <m/>
    <m/>
    <m/>
    <m/>
    <m/>
    <m/>
    <m/>
    <m/>
    <m/>
    <m/>
    <m/>
    <m/>
    <m/>
    <m/>
    <m/>
    <m/>
    <m/>
    <m/>
    <m/>
    <m/>
    <m/>
    <m/>
    <m/>
    <m/>
    <m/>
    <m/>
    <m/>
    <m/>
    <m/>
    <m/>
    <m/>
    <m/>
    <m/>
    <m/>
    <m/>
    <m/>
    <m/>
    <m/>
    <m/>
    <m/>
  </r>
  <r>
    <n v="744"/>
    <d v="2025-04-08T00:00:00"/>
    <s v="ZBTO"/>
    <n v="9518677543"/>
    <n v="2"/>
    <s v="9518677543-2"/>
    <s v="May'25"/>
    <x v="0"/>
    <m/>
    <x v="2"/>
    <x v="3"/>
    <s v="1000-IPPE"/>
    <m/>
    <x v="1"/>
    <m/>
    <m/>
    <m/>
    <s v="TBSPL"/>
    <s v=" "/>
    <m/>
    <n v="941597"/>
    <x v="6"/>
    <n v="3974072"/>
    <s v="PPGL C HARD Y550PL SXO1 0.53(TPT)X1220"/>
    <s v="AZ150"/>
    <s v="RAL 9002 TSL 2101"/>
    <n v="3"/>
    <n v="5"/>
    <m/>
    <s v="B18"/>
    <s v="Y550PL"/>
    <s v="SXO1"/>
    <n v="0.53"/>
    <n v="1220"/>
    <n v="0"/>
    <n v="28"/>
    <n v="3.0750000000000002"/>
    <n v="24.925000000000001"/>
    <n v="24.925000000000001"/>
    <n v="24.925000000000001"/>
    <n v="24.925000000000001"/>
    <n v="0"/>
    <n v="0"/>
    <n v="0"/>
    <n v="0"/>
    <n v="0"/>
    <n v="0"/>
    <n v="0"/>
    <n v="0"/>
    <n v="0"/>
    <n v="0"/>
    <n v="0"/>
    <n v="0"/>
    <n v="0"/>
    <n v="0"/>
    <n v="0"/>
    <n v="0"/>
    <n v="0"/>
    <n v="0"/>
    <n v="0"/>
    <n v="0"/>
    <n v="0"/>
    <n v="0"/>
    <n v="0"/>
    <m/>
    <m/>
    <m/>
    <m/>
    <m/>
    <m/>
    <m/>
    <m/>
    <m/>
    <m/>
    <m/>
    <m/>
    <m/>
    <m/>
    <m/>
    <m/>
    <m/>
    <m/>
    <m/>
    <m/>
    <m/>
    <m/>
    <m/>
    <m/>
    <m/>
    <m/>
    <m/>
    <m/>
    <m/>
    <m/>
    <m/>
    <m/>
    <m/>
    <m/>
    <m/>
    <m/>
    <m/>
    <m/>
    <m/>
    <m/>
    <m/>
    <m/>
    <m/>
    <m/>
    <m/>
    <m/>
    <m/>
    <m/>
    <m/>
  </r>
  <r>
    <n v="744"/>
    <d v="2025-04-17T00:00:00"/>
    <s v="ZBTO"/>
    <n v="9518700594"/>
    <n v="1"/>
    <s v="9518700594-1"/>
    <s v="May'25"/>
    <x v="0"/>
    <m/>
    <x v="2"/>
    <x v="3"/>
    <s v="1000-IPPE"/>
    <m/>
    <x v="1"/>
    <m/>
    <m/>
    <m/>
    <s v="TBSPL"/>
    <s v="GAMHARIA"/>
    <m/>
    <n v="940016"/>
    <x v="15"/>
    <n v="3941967"/>
    <s v="PPGL C HARD Y550PL D0C9 0.60(TPT)X1220"/>
    <s v="AZ150"/>
    <s v="RAL 5012 TSL 1802"/>
    <n v="3"/>
    <n v="5"/>
    <m/>
    <s v="B18"/>
    <s v="Y550PL"/>
    <s v="D0C9"/>
    <n v="0.6"/>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17T00:00:00"/>
    <s v="ZBTO"/>
    <n v="9518700504"/>
    <n v="1"/>
    <s v="9518700504-1"/>
    <s v="No Priority"/>
    <x v="0"/>
    <m/>
    <x v="2"/>
    <x v="3"/>
    <s v="1000-IPPE"/>
    <m/>
    <x v="0"/>
    <m/>
    <m/>
    <m/>
    <s v="TBSPL"/>
    <s v="GAMHARIA"/>
    <m/>
    <n v="940016"/>
    <x v="15"/>
    <n v="3964963"/>
    <s v="PPGL C HARD Y550PL DX01 0.68(TPT)X1220"/>
    <s v="AZ150"/>
    <s v="RAL 5012 TSL 2002"/>
    <n v="3"/>
    <n v="5"/>
    <m/>
    <s v="B18"/>
    <s v="Y550PL"/>
    <s v="DX01"/>
    <n v="0.68"/>
    <n v="1220"/>
    <n v="0"/>
    <n v="27.998999999999999"/>
    <n v="0"/>
    <n v="27.998999999999999"/>
    <n v="27.998999999999999"/>
    <n v="27.998999999999999"/>
    <n v="2.1339999999999999"/>
    <n v="0"/>
    <n v="0"/>
    <n v="0"/>
    <n v="0"/>
    <n v="0"/>
    <n v="0"/>
    <n v="0"/>
    <n v="0"/>
    <n v="0"/>
    <n v="0"/>
    <n v="0"/>
    <n v="0"/>
    <n v="0"/>
    <n v="0"/>
    <n v="0"/>
    <n v="0"/>
    <n v="0"/>
    <n v="0"/>
    <n v="0"/>
    <n v="0"/>
    <n v="0"/>
    <n v="0"/>
    <n v="0"/>
    <m/>
    <m/>
    <m/>
    <m/>
    <m/>
    <m/>
    <m/>
    <m/>
    <m/>
    <m/>
    <m/>
    <m/>
    <m/>
    <m/>
    <m/>
    <m/>
    <m/>
    <m/>
    <m/>
    <m/>
    <m/>
    <m/>
    <m/>
    <m/>
    <m/>
    <m/>
    <m/>
    <m/>
    <m/>
    <m/>
    <m/>
    <m/>
    <m/>
    <m/>
    <m/>
    <m/>
    <m/>
    <m/>
    <m/>
    <m/>
    <m/>
    <m/>
    <m/>
    <m/>
    <m/>
    <m/>
    <m/>
    <m/>
    <m/>
  </r>
  <r>
    <n v="742"/>
    <d v="2025-04-15T00:00:00"/>
    <s v="ZBTF"/>
    <n v="9518695452"/>
    <n v="2"/>
    <s v="9518695452-2"/>
    <s v="May'25"/>
    <x v="0"/>
    <m/>
    <x v="1"/>
    <x v="7"/>
    <s v="1000-IPPE"/>
    <m/>
    <x v="1"/>
    <m/>
    <m/>
    <m/>
    <s v="East"/>
    <s v="PILKHUWA"/>
    <m/>
    <n v="600250"/>
    <x v="23"/>
    <n v="3587949"/>
    <s v="CR COIL TSBSTA EL06 0.500X1250"/>
    <s v=" "/>
    <s v=""/>
    <n v="8"/>
    <n v="14"/>
    <m/>
    <s v="C01"/>
    <s v="TSBSTA"/>
    <s v="EL06"/>
    <n v="0.5"/>
    <n v="1250"/>
    <n v="0"/>
    <n v="87"/>
    <n v="0"/>
    <n v="87"/>
    <n v="87"/>
    <n v="20.069999999999993"/>
    <n v="63.05"/>
    <n v="0"/>
    <n v="0"/>
    <n v="0"/>
    <n v="0"/>
    <n v="0"/>
    <n v="0"/>
    <n v="0"/>
    <n v="66.930000000000007"/>
    <n v="0"/>
    <n v="0"/>
    <n v="0"/>
    <n v="0"/>
    <n v="0"/>
    <n v="0"/>
    <n v="0"/>
    <n v="0"/>
    <n v="0"/>
    <n v="0"/>
    <n v="0"/>
    <n v="66.930000000000007"/>
    <n v="66.930000000000007"/>
    <n v="0"/>
    <n v="66.930000000000007"/>
    <m/>
    <m/>
    <m/>
    <m/>
    <m/>
    <m/>
    <m/>
    <m/>
    <m/>
    <m/>
    <m/>
    <m/>
    <m/>
    <m/>
    <m/>
    <m/>
    <m/>
    <m/>
    <m/>
    <m/>
    <m/>
    <m/>
    <m/>
    <m/>
    <m/>
    <m/>
    <m/>
    <m/>
    <m/>
    <m/>
    <m/>
    <m/>
    <m/>
    <m/>
    <m/>
    <m/>
    <m/>
    <m/>
    <m/>
    <m/>
    <m/>
    <m/>
    <m/>
    <m/>
    <m/>
    <m/>
    <m/>
    <m/>
    <m/>
  </r>
  <r>
    <n v="742"/>
    <d v="2025-04-15T00:00:00"/>
    <s v="ZBTF"/>
    <n v="9518695452"/>
    <n v="3"/>
    <s v="9518695452-3"/>
    <s v="May'25"/>
    <x v="0"/>
    <m/>
    <x v="1"/>
    <x v="7"/>
    <s v="1000-IPPE"/>
    <m/>
    <x v="1"/>
    <m/>
    <m/>
    <m/>
    <s v="East"/>
    <s v="PILKHUWA"/>
    <m/>
    <n v="600250"/>
    <x v="23"/>
    <n v="3587949"/>
    <s v="CR COIL TSBSTA EL06 0.500X1250"/>
    <s v=" "/>
    <s v=""/>
    <n v="8"/>
    <n v="14"/>
    <m/>
    <s v="C01"/>
    <s v="TSBSTA"/>
    <s v="EL06"/>
    <n v="0.5"/>
    <n v="1250"/>
    <n v="0"/>
    <n v="290"/>
    <n v="0"/>
    <n v="290"/>
    <n v="290"/>
    <n v="290"/>
    <n v="290"/>
    <n v="0"/>
    <n v="0"/>
    <n v="0"/>
    <n v="0"/>
    <n v="0"/>
    <n v="0"/>
    <n v="0"/>
    <n v="0"/>
    <n v="0"/>
    <n v="0"/>
    <n v="0"/>
    <n v="0"/>
    <n v="0"/>
    <n v="0"/>
    <n v="0"/>
    <n v="0"/>
    <n v="0"/>
    <n v="0"/>
    <n v="0"/>
    <n v="0"/>
    <n v="0"/>
    <n v="0"/>
    <n v="0"/>
    <m/>
    <m/>
    <m/>
    <m/>
    <m/>
    <m/>
    <m/>
    <m/>
    <m/>
    <m/>
    <m/>
    <m/>
    <m/>
    <m/>
    <m/>
    <m/>
    <m/>
    <m/>
    <m/>
    <m/>
    <m/>
    <m/>
    <m/>
    <m/>
    <m/>
    <m/>
    <m/>
    <m/>
    <m/>
    <m/>
    <m/>
    <m/>
    <m/>
    <m/>
    <m/>
    <m/>
    <m/>
    <m/>
    <m/>
    <m/>
    <m/>
    <m/>
    <m/>
    <m/>
    <m/>
    <m/>
    <m/>
    <m/>
    <m/>
  </r>
  <r>
    <n v="742"/>
    <d v="2025-04-15T00:00:00"/>
    <s v="ZBTF"/>
    <n v="9518695452"/>
    <n v="4"/>
    <s v="9518695452-4"/>
    <s v="May'25"/>
    <x v="0"/>
    <m/>
    <x v="1"/>
    <x v="7"/>
    <s v="1000-IPPE"/>
    <m/>
    <x v="1"/>
    <m/>
    <m/>
    <m/>
    <s v="East"/>
    <s v="PILKHUWA"/>
    <m/>
    <n v="600250"/>
    <x v="23"/>
    <n v="2439203"/>
    <s v="CRCA COIL TSBSTA EL06 0.500X1160"/>
    <s v=" "/>
    <s v=""/>
    <n v="8"/>
    <n v="13"/>
    <m/>
    <s v="C01"/>
    <s v="TSBSTA"/>
    <s v="EL06"/>
    <n v="0.5"/>
    <n v="1160"/>
    <n v="0"/>
    <n v="297"/>
    <n v="0"/>
    <n v="297"/>
    <n v="297"/>
    <n v="26.990000000000009"/>
    <n v="297"/>
    <n v="0"/>
    <n v="0"/>
    <n v="0"/>
    <n v="137.06"/>
    <n v="0"/>
    <n v="0"/>
    <n v="0"/>
    <n v="0"/>
    <n v="0"/>
    <n v="0"/>
    <n v="27.17"/>
    <n v="52.97"/>
    <n v="52.81"/>
    <n v="0"/>
    <n v="0"/>
    <n v="0"/>
    <n v="0"/>
    <n v="0"/>
    <n v="0"/>
    <n v="270.01"/>
    <n v="270.01"/>
    <n v="0"/>
    <n v="270.01"/>
    <m/>
    <m/>
    <m/>
    <m/>
    <m/>
    <m/>
    <m/>
    <m/>
    <m/>
    <m/>
    <m/>
    <m/>
    <m/>
    <m/>
    <m/>
    <m/>
    <m/>
    <m/>
    <m/>
    <m/>
    <m/>
    <m/>
    <m/>
    <m/>
    <m/>
    <m/>
    <m/>
    <m/>
    <m/>
    <m/>
    <m/>
    <m/>
    <m/>
    <m/>
    <m/>
    <m/>
    <m/>
    <m/>
    <m/>
    <m/>
    <m/>
    <m/>
    <m/>
    <m/>
    <m/>
    <m/>
    <m/>
    <m/>
    <m/>
  </r>
  <r>
    <n v="742"/>
    <d v="2025-04-15T00:00:00"/>
    <s v="ZBTF"/>
    <n v="9518695452"/>
    <n v="5"/>
    <s v="9518695452-5"/>
    <s v="May'25"/>
    <x v="0"/>
    <m/>
    <x v="1"/>
    <x v="7"/>
    <s v="1000-IPPE"/>
    <m/>
    <x v="1"/>
    <m/>
    <m/>
    <m/>
    <s v="East"/>
    <s v="PILKHUWA"/>
    <m/>
    <n v="600250"/>
    <x v="23"/>
    <n v="2439203"/>
    <s v="CRCA COIL TSBSTA EL06 0.500X1160"/>
    <s v=" "/>
    <s v=""/>
    <n v="8"/>
    <n v="13"/>
    <m/>
    <s v="C01"/>
    <s v="TSBSTA"/>
    <s v="EL06"/>
    <n v="0.5"/>
    <n v="1160"/>
    <n v="0"/>
    <n v="297"/>
    <n v="0"/>
    <n v="297"/>
    <n v="297"/>
    <n v="297"/>
    <n v="297"/>
    <n v="0"/>
    <n v="0"/>
    <n v="0"/>
    <n v="0"/>
    <n v="0"/>
    <n v="0"/>
    <n v="0"/>
    <n v="0"/>
    <n v="0"/>
    <n v="0"/>
    <n v="0"/>
    <n v="0"/>
    <n v="0"/>
    <n v="0"/>
    <n v="0"/>
    <n v="0"/>
    <n v="0"/>
    <n v="0"/>
    <n v="0"/>
    <n v="0"/>
    <n v="0"/>
    <n v="0"/>
    <n v="0"/>
    <m/>
    <m/>
    <m/>
    <m/>
    <m/>
    <m/>
    <m/>
    <m/>
    <m/>
    <m/>
    <m/>
    <m/>
    <m/>
    <m/>
    <m/>
    <m/>
    <m/>
    <m/>
    <m/>
    <m/>
    <m/>
    <m/>
    <m/>
    <m/>
    <m/>
    <m/>
    <m/>
    <m/>
    <m/>
    <m/>
    <m/>
    <m/>
    <m/>
    <m/>
    <m/>
    <m/>
    <m/>
    <m/>
    <m/>
    <m/>
    <m/>
    <m/>
    <m/>
    <m/>
    <m/>
    <m/>
    <m/>
    <m/>
    <m/>
  </r>
  <r>
    <n v="742"/>
    <d v="2025-04-18T00:00:00"/>
    <s v="ZBTO"/>
    <n v="9518703251"/>
    <n v="1"/>
    <s v="9518703251-1"/>
    <s v="May'25"/>
    <x v="0"/>
    <m/>
    <x v="1"/>
    <x v="10"/>
    <s v="1000-IPPE"/>
    <m/>
    <x v="1"/>
    <m/>
    <s v="P1-Priority for Balmer"/>
    <m/>
    <s v="West"/>
    <s v="VADODARA"/>
    <m/>
    <n v="189022"/>
    <x v="93"/>
    <n v="2402200"/>
    <s v="CRCA COIL TATXXD BT01 0.900X1315"/>
    <s v=" "/>
    <s v=""/>
    <n v="8"/>
    <n v="12"/>
    <m/>
    <s v="C01"/>
    <s v="TATXXD"/>
    <s v="BT01"/>
    <n v="0.9"/>
    <n v="1315"/>
    <n v="0"/>
    <n v="30"/>
    <n v="0"/>
    <n v="30"/>
    <n v="30"/>
    <n v="30"/>
    <n v="30"/>
    <n v="0"/>
    <n v="0"/>
    <n v="0"/>
    <n v="0"/>
    <n v="0"/>
    <n v="0"/>
    <n v="0"/>
    <n v="0"/>
    <n v="0"/>
    <n v="0"/>
    <n v="0"/>
    <n v="0"/>
    <n v="0"/>
    <n v="0"/>
    <n v="0"/>
    <n v="0"/>
    <n v="0"/>
    <n v="0"/>
    <n v="0"/>
    <n v="0"/>
    <n v="0"/>
    <n v="0"/>
    <n v="0"/>
    <m/>
    <m/>
    <m/>
    <m/>
    <m/>
    <m/>
    <m/>
    <m/>
    <m/>
    <m/>
    <m/>
    <m/>
    <m/>
    <m/>
    <m/>
    <m/>
    <m/>
    <m/>
    <m/>
    <m/>
    <m/>
    <m/>
    <m/>
    <m/>
    <m/>
    <m/>
    <m/>
    <m/>
    <m/>
    <m/>
    <m/>
    <m/>
    <m/>
    <m/>
    <m/>
    <m/>
    <m/>
    <m/>
    <m/>
    <m/>
    <m/>
    <m/>
    <m/>
    <m/>
    <m/>
    <m/>
    <m/>
    <m/>
    <m/>
  </r>
  <r>
    <n v="742"/>
    <d v="2025-04-18T00:00:00"/>
    <s v="ZBTO"/>
    <n v="9518703251"/>
    <n v="3"/>
    <s v="9518703251-3"/>
    <s v="May'25"/>
    <x v="0"/>
    <m/>
    <x v="1"/>
    <x v="10"/>
    <s v="1000-IPPE"/>
    <m/>
    <x v="1"/>
    <m/>
    <s v="P1-Priority for Balmer"/>
    <m/>
    <s v="West"/>
    <s v="VADODARA"/>
    <m/>
    <n v="189022"/>
    <x v="93"/>
    <n v="2164814"/>
    <s v="CRCA COIL TATXXD BT01 0.970X1315"/>
    <s v=" "/>
    <s v=""/>
    <n v="7"/>
    <n v="10"/>
    <m/>
    <s v="C01"/>
    <s v="TATXXD"/>
    <s v="BT01"/>
    <n v="0.97"/>
    <n v="1315"/>
    <n v="0"/>
    <n v="60"/>
    <n v="0"/>
    <n v="60"/>
    <n v="60"/>
    <n v="60"/>
    <n v="60"/>
    <n v="0"/>
    <n v="0"/>
    <n v="0"/>
    <n v="0"/>
    <n v="0"/>
    <n v="0"/>
    <n v="0"/>
    <n v="0"/>
    <n v="0"/>
    <n v="0"/>
    <n v="0"/>
    <n v="0"/>
    <n v="0"/>
    <n v="0"/>
    <n v="0"/>
    <n v="0"/>
    <n v="0"/>
    <n v="0"/>
    <n v="0"/>
    <n v="0"/>
    <n v="0"/>
    <n v="0"/>
    <n v="0"/>
    <m/>
    <m/>
    <m/>
    <m/>
    <m/>
    <m/>
    <m/>
    <m/>
    <m/>
    <m/>
    <m/>
    <m/>
    <m/>
    <m/>
    <m/>
    <m/>
    <m/>
    <m/>
    <m/>
    <m/>
    <m/>
    <m/>
    <m/>
    <m/>
    <m/>
    <m/>
    <m/>
    <m/>
    <m/>
    <m/>
    <m/>
    <m/>
    <m/>
    <m/>
    <m/>
    <m/>
    <m/>
    <m/>
    <m/>
    <m/>
    <m/>
    <m/>
    <m/>
    <m/>
    <m/>
    <m/>
    <m/>
    <m/>
    <m/>
  </r>
  <r>
    <n v="744"/>
    <d v="2025-04-10T00:00:00"/>
    <s v="ZBTO"/>
    <n v="9518682295"/>
    <n v="1"/>
    <s v="9518682295-1"/>
    <s v="May'25"/>
    <x v="0"/>
    <m/>
    <x v="2"/>
    <x v="3"/>
    <s v="1000-IPPE"/>
    <m/>
    <x v="1"/>
    <m/>
    <m/>
    <m/>
    <s v="TBSPL"/>
    <s v="GAMHARIA"/>
    <m/>
    <n v="940016"/>
    <x v="15"/>
    <n v="3960056"/>
    <s v="PPGL C HARD Y550PL DX01 0.53(TPT)X1220"/>
    <s v="AZ150"/>
    <s v="RAL 5012 TSL 2002"/>
    <n v="3"/>
    <n v="5"/>
    <m/>
    <s v="B18"/>
    <s v="Y550PL"/>
    <s v="DX01"/>
    <n v="0.53"/>
    <n v="1220"/>
    <n v="0"/>
    <n v="28"/>
    <n v="0"/>
    <n v="28"/>
    <n v="28"/>
    <n v="9.3249999999999993"/>
    <n v="19.75"/>
    <n v="0"/>
    <n v="0"/>
    <n v="0"/>
    <n v="0"/>
    <n v="0"/>
    <n v="0"/>
    <n v="0"/>
    <n v="0"/>
    <n v="0"/>
    <n v="14.8"/>
    <n v="0"/>
    <n v="0"/>
    <n v="0"/>
    <n v="0"/>
    <n v="0"/>
    <n v="3.875"/>
    <n v="0"/>
    <n v="0"/>
    <n v="0"/>
    <n v="18.675000000000001"/>
    <n v="18.675000000000001"/>
    <n v="0"/>
    <n v="18.675000000000001"/>
    <m/>
    <m/>
    <m/>
    <m/>
    <m/>
    <m/>
    <m/>
    <m/>
    <m/>
    <m/>
    <m/>
    <m/>
    <m/>
    <m/>
    <m/>
    <m/>
    <m/>
    <m/>
    <m/>
    <m/>
    <m/>
    <m/>
    <m/>
    <m/>
    <m/>
    <m/>
    <m/>
    <m/>
    <m/>
    <m/>
    <m/>
    <m/>
    <m/>
    <m/>
    <m/>
    <m/>
    <m/>
    <m/>
    <m/>
    <m/>
    <m/>
    <m/>
    <m/>
    <m/>
    <m/>
    <m/>
    <m/>
    <m/>
    <m/>
  </r>
  <r>
    <n v="742"/>
    <d v="2025-04-11T00:00:00"/>
    <s v="ZBTO"/>
    <n v="9518684484"/>
    <n v="10"/>
    <s v="9518684484-10"/>
    <s v="May'25"/>
    <x v="0"/>
    <m/>
    <x v="1"/>
    <x v="2"/>
    <s v="2000-BPRS"/>
    <m/>
    <x v="1"/>
    <m/>
    <s v="Exp BTF &lt;17MT"/>
    <m/>
    <s v="South"/>
    <s v="CHENNAI"/>
    <m/>
    <n v="938550"/>
    <x v="4"/>
    <n v="3239548"/>
    <s v="CRCA SHEET TATCRC SR16 0.400X900X2500"/>
    <s v=" "/>
    <s v=""/>
    <n v="0"/>
    <n v="0"/>
    <m/>
    <s v="C06"/>
    <s v="TATCRC"/>
    <s v="SR16"/>
    <n v="0.4"/>
    <n v="900"/>
    <n v="2500"/>
    <n v="51"/>
    <n v="0"/>
    <n v="51"/>
    <n v="6.83"/>
    <n v="8.4399999999999977"/>
    <n v="51"/>
    <n v="0"/>
    <n v="0"/>
    <n v="0"/>
    <n v="0"/>
    <n v="0"/>
    <n v="0"/>
    <n v="0"/>
    <n v="0"/>
    <n v="0"/>
    <n v="0"/>
    <n v="0"/>
    <n v="0"/>
    <n v="21.25"/>
    <n v="21.31"/>
    <n v="0"/>
    <n v="0"/>
    <n v="0"/>
    <n v="0"/>
    <n v="0"/>
    <n v="42.56"/>
    <n v="42.56"/>
    <n v="0"/>
    <n v="42.56"/>
    <m/>
    <m/>
    <m/>
    <m/>
    <m/>
    <m/>
    <m/>
    <m/>
    <m/>
    <m/>
    <m/>
    <m/>
    <m/>
    <m/>
    <m/>
    <m/>
    <m/>
    <m/>
    <m/>
    <m/>
    <m/>
    <m/>
    <m/>
    <m/>
    <m/>
    <m/>
    <m/>
    <m/>
    <m/>
    <m/>
    <m/>
    <m/>
    <m/>
    <m/>
    <m/>
    <m/>
    <m/>
    <m/>
    <m/>
    <m/>
    <m/>
    <m/>
    <m/>
    <m/>
    <m/>
    <m/>
    <m/>
    <m/>
    <m/>
  </r>
  <r>
    <n v="742"/>
    <d v="2025-04-15T00:00:00"/>
    <s v="ZBTO"/>
    <n v="9518694613"/>
    <n v="3"/>
    <s v="9518694613-3"/>
    <s v="No Priority"/>
    <x v="0"/>
    <m/>
    <x v="1"/>
    <x v="2"/>
    <s v="2000-BPRS"/>
    <m/>
    <x v="0"/>
    <m/>
    <m/>
    <m/>
    <s v="East"/>
    <s v=" "/>
    <m/>
    <n v="121328"/>
    <x v="10"/>
    <n v="3239548"/>
    <s v="CRCA SHEET TATCRC SR16 0.400X900X2500"/>
    <s v=" "/>
    <s v=""/>
    <n v="2.5"/>
    <n v="3.2"/>
    <m/>
    <s v="C06"/>
    <s v="TATCRC"/>
    <s v="SR16"/>
    <n v="0.4"/>
    <n v="900"/>
    <n v="2500"/>
    <n v="60"/>
    <n v="0"/>
    <n v="60"/>
    <n v="-4.5599999999999996"/>
    <n v="0"/>
    <n v="60"/>
    <n v="0"/>
    <n v="0"/>
    <n v="0"/>
    <n v="0"/>
    <n v="0"/>
    <n v="0"/>
    <n v="0"/>
    <n v="0"/>
    <n v="0"/>
    <n v="0"/>
    <n v="0"/>
    <n v="0"/>
    <n v="21.23"/>
    <n v="42.49"/>
    <n v="0"/>
    <n v="0"/>
    <n v="0"/>
    <n v="0"/>
    <n v="0"/>
    <n v="63.72"/>
    <n v="63.72"/>
    <n v="0"/>
    <n v="63.72"/>
    <m/>
    <m/>
    <m/>
    <m/>
    <m/>
    <m/>
    <m/>
    <m/>
    <m/>
    <m/>
    <m/>
    <m/>
    <m/>
    <m/>
    <m/>
    <m/>
    <m/>
    <m/>
    <m/>
    <m/>
    <m/>
    <m/>
    <m/>
    <m/>
    <m/>
    <m/>
    <m/>
    <m/>
    <m/>
    <m/>
    <m/>
    <m/>
    <m/>
    <m/>
    <m/>
    <m/>
    <m/>
    <m/>
    <m/>
    <m/>
    <m/>
    <m/>
    <m/>
    <m/>
    <m/>
    <m/>
    <m/>
    <m/>
    <m/>
  </r>
  <r>
    <n v="742"/>
    <d v="2025-04-16T00:00:00"/>
    <s v="ZBTO"/>
    <n v="9518696653"/>
    <n v="1"/>
    <s v="9518696653-1"/>
    <s v="No Priority"/>
    <x v="0"/>
    <m/>
    <x v="1"/>
    <x v="1"/>
    <s v="2000-BPRS"/>
    <m/>
    <x v="0"/>
    <m/>
    <m/>
    <m/>
    <s v="South"/>
    <s v="YESHWANTHPURA"/>
    <m/>
    <n v="100237"/>
    <x v="86"/>
    <n v="2334995"/>
    <s v="CRCA COIL TATXXD AU03 1.500X1250"/>
    <s v=" "/>
    <s v=""/>
    <n v="15"/>
    <n v="26"/>
    <m/>
    <s v="C01"/>
    <s v="TATXXD"/>
    <s v="AU03"/>
    <n v="1.5"/>
    <n v="1250"/>
    <n v="0"/>
    <n v="145"/>
    <n v="0"/>
    <n v="145"/>
    <n v="145"/>
    <n v="145"/>
    <n v="145"/>
    <n v="0"/>
    <n v="0"/>
    <n v="0"/>
    <n v="0"/>
    <n v="0"/>
    <n v="0"/>
    <n v="0"/>
    <n v="0"/>
    <n v="0"/>
    <n v="0"/>
    <n v="0"/>
    <n v="0"/>
    <n v="0"/>
    <n v="0"/>
    <n v="0"/>
    <n v="0"/>
    <n v="0"/>
    <n v="0"/>
    <n v="0"/>
    <n v="0"/>
    <n v="0"/>
    <n v="0"/>
    <n v="0"/>
    <m/>
    <m/>
    <m/>
    <m/>
    <m/>
    <m/>
    <m/>
    <m/>
    <m/>
    <m/>
    <m/>
    <m/>
    <m/>
    <m/>
    <m/>
    <m/>
    <m/>
    <m/>
    <m/>
    <m/>
    <m/>
    <m/>
    <m/>
    <m/>
    <m/>
    <m/>
    <m/>
    <m/>
    <m/>
    <m/>
    <m/>
    <m/>
    <m/>
    <m/>
    <m/>
    <m/>
    <m/>
    <m/>
    <m/>
    <m/>
    <m/>
    <m/>
    <m/>
    <m/>
    <m/>
    <m/>
    <m/>
    <m/>
    <m/>
  </r>
  <r>
    <n v="744"/>
    <d v="2025-04-15T00:00:00"/>
    <s v="ZBTO"/>
    <n v="9518693944"/>
    <n v="1"/>
    <s v="9518693944-1"/>
    <s v="May'25"/>
    <x v="0"/>
    <m/>
    <x v="2"/>
    <x v="3"/>
    <s v="1000-IPPE"/>
    <m/>
    <x v="1"/>
    <m/>
    <m/>
    <m/>
    <s v="TBSPL"/>
    <s v=" "/>
    <m/>
    <n v="941597"/>
    <x v="6"/>
    <n v="3941967"/>
    <s v="PPGL C HARD Y550PL D0C9 0.60(TPT)X1220"/>
    <s v="AZ150"/>
    <s v="ROYAL BLUE TSL 1815"/>
    <n v="3"/>
    <n v="5"/>
    <m/>
    <s v="B18"/>
    <s v="Y550PL"/>
    <s v="D0C9"/>
    <n v="0.6"/>
    <n v="1220"/>
    <n v="0"/>
    <n v="28"/>
    <n v="0"/>
    <n v="28"/>
    <n v="28"/>
    <n v="28"/>
    <n v="24.63"/>
    <n v="0"/>
    <n v="0"/>
    <n v="0"/>
    <n v="0"/>
    <n v="0"/>
    <n v="0"/>
    <n v="0"/>
    <n v="0"/>
    <n v="0"/>
    <n v="0"/>
    <n v="0"/>
    <n v="0"/>
    <n v="0"/>
    <n v="0"/>
    <n v="0"/>
    <n v="0"/>
    <n v="0"/>
    <n v="0"/>
    <n v="0"/>
    <n v="0"/>
    <n v="0"/>
    <n v="0"/>
    <n v="0"/>
    <m/>
    <m/>
    <m/>
    <m/>
    <m/>
    <m/>
    <m/>
    <m/>
    <m/>
    <m/>
    <m/>
    <m/>
    <m/>
    <m/>
    <m/>
    <m/>
    <m/>
    <m/>
    <m/>
    <m/>
    <m/>
    <m/>
    <m/>
    <m/>
    <m/>
    <m/>
    <m/>
    <m/>
    <m/>
    <m/>
    <m/>
    <m/>
    <m/>
    <m/>
    <m/>
    <m/>
    <m/>
    <m/>
    <m/>
    <m/>
    <m/>
    <m/>
    <m/>
    <m/>
    <m/>
    <m/>
    <m/>
    <m/>
    <m/>
  </r>
  <r>
    <n v="743"/>
    <d v="2025-04-14T00:00:00"/>
    <s v="ZBTO"/>
    <n v="9518692220"/>
    <n v="3"/>
    <s v="9518692220-3"/>
    <s v="No Priority"/>
    <x v="0"/>
    <m/>
    <x v="3"/>
    <x v="9"/>
    <s v="2000-BPRS"/>
    <m/>
    <x v="0"/>
    <m/>
    <m/>
    <m/>
    <s v="East"/>
    <s v=" "/>
    <m/>
    <n v="121328"/>
    <x v="10"/>
    <n v="1191955"/>
    <s v="GP COIL SOFT-TATXGP-GK09-0.3X900"/>
    <s v="Z80"/>
    <s v=""/>
    <n v="4"/>
    <n v="12"/>
    <m/>
    <s v="C02"/>
    <s v="TATXGP"/>
    <s v="GK09"/>
    <n v="0.3"/>
    <n v="900"/>
    <n v="0"/>
    <n v="126"/>
    <n v="0"/>
    <n v="126"/>
    <n v="126"/>
    <n v="126"/>
    <n v="126"/>
    <n v="0"/>
    <n v="0"/>
    <n v="0"/>
    <n v="0"/>
    <n v="0"/>
    <n v="0"/>
    <n v="0"/>
    <n v="0"/>
    <n v="0"/>
    <n v="0"/>
    <n v="0"/>
    <n v="0"/>
    <n v="0"/>
    <n v="0"/>
    <n v="0"/>
    <n v="0"/>
    <n v="0"/>
    <n v="0"/>
    <n v="0"/>
    <n v="0"/>
    <n v="0"/>
    <n v="0"/>
    <n v="0"/>
    <m/>
    <m/>
    <m/>
    <m/>
    <m/>
    <m/>
    <m/>
    <m/>
    <m/>
    <m/>
    <m/>
    <m/>
    <m/>
    <m/>
    <m/>
    <m/>
    <m/>
    <m/>
    <m/>
    <m/>
    <m/>
    <m/>
    <m/>
    <m/>
    <m/>
    <m/>
    <m/>
    <m/>
    <m/>
    <m/>
    <m/>
    <m/>
    <m/>
    <m/>
    <m/>
    <m/>
    <m/>
    <m/>
    <m/>
    <m/>
    <m/>
    <m/>
    <m/>
    <m/>
    <m/>
    <m/>
    <m/>
    <m/>
    <m/>
  </r>
  <r>
    <n v="743"/>
    <d v="2025-04-15T00:00:00"/>
    <s v="ZBTO"/>
    <n v="9518694054"/>
    <n v="1"/>
    <s v="9518694054-1"/>
    <s v="No Priority"/>
    <x v="0"/>
    <m/>
    <x v="3"/>
    <x v="9"/>
    <s v="2000-BPRS"/>
    <m/>
    <x v="0"/>
    <m/>
    <m/>
    <m/>
    <s v="East"/>
    <s v="PATNA"/>
    <m/>
    <n v="103227"/>
    <x v="31"/>
    <n v="1191955"/>
    <s v="GP COIL SOFT-TATXGP-GK09-0.3X900"/>
    <s v="Z80"/>
    <s v=""/>
    <n v="1.75"/>
    <n v="6"/>
    <m/>
    <s v="C02"/>
    <s v="TATXGP"/>
    <s v="GK09"/>
    <n v="0.3"/>
    <n v="900"/>
    <n v="0"/>
    <n v="252"/>
    <n v="0"/>
    <n v="252"/>
    <n v="252"/>
    <n v="252"/>
    <n v="252"/>
    <n v="0"/>
    <n v="0"/>
    <n v="0"/>
    <n v="0"/>
    <n v="0"/>
    <n v="0"/>
    <n v="0"/>
    <n v="0"/>
    <n v="0"/>
    <n v="0"/>
    <n v="0"/>
    <n v="0"/>
    <n v="0"/>
    <n v="0"/>
    <n v="0"/>
    <n v="0"/>
    <n v="0"/>
    <n v="0"/>
    <n v="0"/>
    <n v="0"/>
    <n v="0"/>
    <n v="0"/>
    <n v="0"/>
    <m/>
    <m/>
    <m/>
    <m/>
    <m/>
    <m/>
    <m/>
    <m/>
    <m/>
    <m/>
    <m/>
    <m/>
    <m/>
    <m/>
    <m/>
    <m/>
    <m/>
    <m/>
    <m/>
    <m/>
    <m/>
    <m/>
    <m/>
    <m/>
    <m/>
    <m/>
    <m/>
    <m/>
    <m/>
    <m/>
    <m/>
    <m/>
    <m/>
    <m/>
    <m/>
    <m/>
    <m/>
    <m/>
    <m/>
    <m/>
    <m/>
    <m/>
    <m/>
    <m/>
    <m/>
    <m/>
    <m/>
    <m/>
    <m/>
  </r>
  <r>
    <n v="743"/>
    <d v="2025-03-15T00:00:00"/>
    <s v="ZBTO"/>
    <n v="9518602675"/>
    <n v="3"/>
    <s v="9518602675-3"/>
    <s v="May'25"/>
    <x v="0"/>
    <s v="Yes"/>
    <x v="3"/>
    <x v="9"/>
    <s v="2000-BPRS"/>
    <m/>
    <x v="1"/>
    <m/>
    <m/>
    <m/>
    <s v="East"/>
    <s v="WEST BOKARO"/>
    <m/>
    <n v="185794"/>
    <x v="12"/>
    <n v="1178439"/>
    <s v="GP COIL SOFT-TATXGP-GK09-0.4X900"/>
    <s v="Z80"/>
    <s v=""/>
    <n v="5"/>
    <n v="15"/>
    <m/>
    <s v="C02"/>
    <s v="TATXGP"/>
    <s v="GK09"/>
    <n v="0.4"/>
    <n v="900"/>
    <n v="0"/>
    <n v="210"/>
    <n v="0"/>
    <n v="210"/>
    <n v="210"/>
    <n v="210"/>
    <n v="210"/>
    <n v="0"/>
    <n v="0"/>
    <n v="0"/>
    <n v="0"/>
    <n v="0"/>
    <n v="0"/>
    <n v="0"/>
    <n v="0"/>
    <n v="0"/>
    <n v="0"/>
    <n v="0"/>
    <n v="0"/>
    <n v="0"/>
    <n v="0"/>
    <n v="0"/>
    <n v="0"/>
    <n v="0"/>
    <n v="0"/>
    <n v="0"/>
    <n v="0"/>
    <n v="0"/>
    <n v="0"/>
    <n v="0"/>
    <m/>
    <m/>
    <m/>
    <m/>
    <m/>
    <m/>
    <m/>
    <m/>
    <m/>
    <m/>
    <m/>
    <m/>
    <m/>
    <m/>
    <m/>
    <m/>
    <m/>
    <m/>
    <m/>
    <m/>
    <m/>
    <m/>
    <m/>
    <m/>
    <m/>
    <m/>
    <m/>
    <m/>
    <m/>
    <m/>
    <m/>
    <m/>
    <m/>
    <m/>
    <m/>
    <m/>
    <m/>
    <m/>
    <m/>
    <m/>
    <m/>
    <m/>
    <m/>
    <m/>
    <m/>
    <m/>
    <m/>
    <m/>
    <m/>
  </r>
  <r>
    <n v="744"/>
    <d v="2025-03-18T00:00:00"/>
    <s v="ZBTO"/>
    <n v="9518610301"/>
    <n v="2"/>
    <s v="9518610301-2"/>
    <s v="No Priority"/>
    <x v="0"/>
    <m/>
    <x v="2"/>
    <x v="3"/>
    <s v="1000-IPPE"/>
    <m/>
    <x v="0"/>
    <m/>
    <m/>
    <m/>
    <s v="TBSPL"/>
    <s v=" "/>
    <m/>
    <n v="941597"/>
    <x v="6"/>
    <n v="3940122"/>
    <s v="PPGL C HARD Y550PL D0C9 0.470(TPT)X1220"/>
    <s v="AZ150"/>
    <s v="ROYAL BLUE TSL 1815"/>
    <n v="3"/>
    <n v="5"/>
    <m/>
    <s v="B18"/>
    <s v="Y550PL"/>
    <s v="D0C9"/>
    <n v="0.47"/>
    <n v="1220"/>
    <n v="0"/>
    <n v="28"/>
    <n v="0"/>
    <n v="28"/>
    <n v="-1"/>
    <n v="0"/>
    <n v="0.34"/>
    <n v="0"/>
    <n v="0"/>
    <n v="0"/>
    <n v="0"/>
    <n v="0"/>
    <n v="0"/>
    <n v="0"/>
    <n v="0"/>
    <n v="0"/>
    <n v="0"/>
    <n v="0"/>
    <n v="0"/>
    <n v="0"/>
    <n v="0"/>
    <n v="0"/>
    <n v="0"/>
    <n v="0"/>
    <n v="0"/>
    <n v="0"/>
    <n v="0"/>
    <n v="0"/>
    <n v="0"/>
    <n v="0"/>
    <m/>
    <m/>
    <m/>
    <m/>
    <m/>
    <m/>
    <m/>
    <m/>
    <m/>
    <m/>
    <m/>
    <m/>
    <m/>
    <m/>
    <m/>
    <m/>
    <m/>
    <m/>
    <m/>
    <m/>
    <m/>
    <m/>
    <m/>
    <m/>
    <m/>
    <m/>
    <m/>
    <m/>
    <m/>
    <m/>
    <m/>
    <m/>
    <m/>
    <m/>
    <m/>
    <m/>
    <m/>
    <m/>
    <m/>
    <m/>
    <m/>
    <m/>
    <m/>
    <m/>
    <m/>
    <m/>
    <m/>
    <m/>
    <m/>
  </r>
  <r>
    <n v="743"/>
    <d v="2025-03-19T00:00:00"/>
    <s v="ZBTO"/>
    <n v="9518612659"/>
    <n v="5"/>
    <s v="9518612659-5"/>
    <s v="No Priority"/>
    <x v="0"/>
    <m/>
    <x v="3"/>
    <x v="9"/>
    <s v="2000-BPRS"/>
    <m/>
    <x v="0"/>
    <m/>
    <m/>
    <m/>
    <s v="North"/>
    <s v="VARANASI"/>
    <m/>
    <n v="931525"/>
    <x v="2"/>
    <n v="1854418"/>
    <s v="GP COIL SOFT-TATXGP-GK09-0.5X900"/>
    <s v="Z80"/>
    <s v=""/>
    <n v="3.2"/>
    <n v="5"/>
    <m/>
    <s v="C02"/>
    <s v="TATXGP"/>
    <s v="GK09"/>
    <n v="0.5"/>
    <n v="900"/>
    <n v="0"/>
    <n v="84"/>
    <n v="0"/>
    <n v="84"/>
    <n v="84"/>
    <n v="84"/>
    <n v="84"/>
    <n v="0"/>
    <n v="0"/>
    <n v="0"/>
    <n v="0"/>
    <n v="0"/>
    <n v="0"/>
    <n v="0"/>
    <n v="0"/>
    <n v="0"/>
    <n v="0"/>
    <n v="0"/>
    <n v="0"/>
    <n v="0"/>
    <n v="0"/>
    <n v="0"/>
    <n v="0"/>
    <n v="0"/>
    <n v="0"/>
    <n v="0"/>
    <n v="0"/>
    <n v="0"/>
    <n v="0"/>
    <n v="0"/>
    <m/>
    <m/>
    <m/>
    <m/>
    <m/>
    <m/>
    <m/>
    <m/>
    <m/>
    <m/>
    <m/>
    <m/>
    <m/>
    <m/>
    <m/>
    <m/>
    <m/>
    <m/>
    <m/>
    <m/>
    <m/>
    <m/>
    <m/>
    <m/>
    <m/>
    <m/>
    <m/>
    <m/>
    <m/>
    <m/>
    <m/>
    <m/>
    <m/>
    <m/>
    <m/>
    <m/>
    <m/>
    <m/>
    <m/>
    <m/>
    <m/>
    <m/>
    <m/>
    <m/>
    <m/>
    <m/>
    <m/>
    <m/>
    <m/>
  </r>
  <r>
    <n v="743"/>
    <d v="2025-03-19T00:00:00"/>
    <s v="ZBTO"/>
    <n v="9518612659"/>
    <n v="7"/>
    <s v="9518612659-7"/>
    <s v="No Priority"/>
    <x v="0"/>
    <m/>
    <x v="3"/>
    <x v="9"/>
    <s v="2000-BPRS"/>
    <m/>
    <x v="0"/>
    <m/>
    <m/>
    <m/>
    <s v="North"/>
    <s v="VARANASI"/>
    <m/>
    <n v="931525"/>
    <x v="2"/>
    <n v="1854429"/>
    <s v="GP COIL SOFT-TATXGP-GK09-0.63X900"/>
    <s v="Z80"/>
    <s v=""/>
    <n v="3.2"/>
    <n v="5"/>
    <m/>
    <s v="C02"/>
    <s v="TATXGP"/>
    <s v="GK09"/>
    <n v="0.63"/>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3-24T00:00:00"/>
    <s v="ZBTO"/>
    <n v="9518628391"/>
    <n v="2"/>
    <s v="9518628391-2"/>
    <s v="No Priority"/>
    <x v="0"/>
    <m/>
    <x v="1"/>
    <x v="2"/>
    <s v="2000-BPRS"/>
    <m/>
    <x v="0"/>
    <m/>
    <m/>
    <m/>
    <s v="North"/>
    <s v="KANPUR"/>
    <m/>
    <n v="115841"/>
    <x v="7"/>
    <n v="3240781"/>
    <s v="CRCA SHEET TSBCRC SR15 0.600X1250X2030"/>
    <s v=" "/>
    <s v=""/>
    <n v="0"/>
    <n v="0"/>
    <m/>
    <s v="C06"/>
    <s v="TSBCRC"/>
    <s v="SR15"/>
    <n v="0.6"/>
    <n v="1250"/>
    <n v="2030"/>
    <n v="27"/>
    <n v="0"/>
    <n v="27"/>
    <n v="0.185"/>
    <n v="0"/>
    <n v="0.86499999999999999"/>
    <n v="0"/>
    <n v="0"/>
    <n v="0"/>
    <n v="0"/>
    <n v="0"/>
    <n v="0"/>
    <n v="0"/>
    <n v="0"/>
    <n v="0"/>
    <n v="0"/>
    <n v="0"/>
    <n v="0"/>
    <n v="0"/>
    <n v="0"/>
    <n v="0"/>
    <n v="0"/>
    <n v="0"/>
    <n v="0"/>
    <n v="0"/>
    <n v="0"/>
    <n v="0"/>
    <n v="0"/>
    <n v="0"/>
    <m/>
    <m/>
    <m/>
    <m/>
    <m/>
    <m/>
    <m/>
    <m/>
    <m/>
    <m/>
    <m/>
    <m/>
    <m/>
    <m/>
    <m/>
    <m/>
    <m/>
    <m/>
    <m/>
    <m/>
    <m/>
    <m/>
    <m/>
    <m/>
    <m/>
    <m/>
    <m/>
    <m/>
    <m/>
    <m/>
    <m/>
    <m/>
    <m/>
    <m/>
    <m/>
    <m/>
    <m/>
    <m/>
    <m/>
    <m/>
    <m/>
    <m/>
    <m/>
    <m/>
    <m/>
    <m/>
    <m/>
    <m/>
    <m/>
  </r>
  <r>
    <n v="742"/>
    <d v="2025-03-24T00:00:00"/>
    <s v="ZBTO"/>
    <n v="9518628391"/>
    <n v="3"/>
    <s v="9518628391-3"/>
    <s v="No Priority"/>
    <x v="0"/>
    <s v="Yes"/>
    <x v="1"/>
    <x v="2"/>
    <s v="2000-BPRS"/>
    <m/>
    <x v="0"/>
    <m/>
    <m/>
    <m/>
    <s v="North"/>
    <s v="KANPUR"/>
    <m/>
    <n v="115841"/>
    <x v="7"/>
    <n v="3240787"/>
    <s v="CRCA SHEET TSBCRC SR15 0.700X1250X1930"/>
    <s v=" "/>
    <s v=""/>
    <n v="0"/>
    <n v="0"/>
    <m/>
    <s v="C06"/>
    <s v="TSBCRC"/>
    <s v="SR15"/>
    <n v="0.7"/>
    <n v="1250"/>
    <n v="1930"/>
    <n v="27"/>
    <n v="0"/>
    <n v="27"/>
    <n v="-1.37"/>
    <n v="0"/>
    <n v="27"/>
    <n v="0"/>
    <n v="0"/>
    <n v="0"/>
    <n v="0"/>
    <n v="0"/>
    <n v="0"/>
    <n v="0"/>
    <n v="0"/>
    <n v="0"/>
    <n v="0"/>
    <n v="0"/>
    <n v="0"/>
    <n v="0"/>
    <n v="27.7"/>
    <n v="0"/>
    <n v="0"/>
    <n v="0"/>
    <n v="0"/>
    <n v="0"/>
    <n v="27.7"/>
    <n v="27.7"/>
    <n v="0"/>
    <n v="27.7"/>
    <m/>
    <m/>
    <m/>
    <m/>
    <m/>
    <m/>
    <m/>
    <m/>
    <m/>
    <m/>
    <m/>
    <m/>
    <m/>
    <m/>
    <m/>
    <m/>
    <m/>
    <m/>
    <m/>
    <m/>
    <m/>
    <m/>
    <m/>
    <m/>
    <m/>
    <m/>
    <m/>
    <m/>
    <m/>
    <m/>
    <m/>
    <m/>
    <m/>
    <m/>
    <m/>
    <m/>
    <m/>
    <m/>
    <m/>
    <m/>
    <m/>
    <m/>
    <m/>
    <m/>
    <m/>
    <m/>
    <m/>
    <m/>
    <m/>
  </r>
  <r>
    <n v="742"/>
    <d v="2025-03-24T00:00:00"/>
    <s v="ZBTO"/>
    <n v="9518628321"/>
    <n v="2"/>
    <s v="9518628321-2"/>
    <s v="May'25"/>
    <x v="0"/>
    <m/>
    <x v="1"/>
    <x v="2"/>
    <s v="2000-BPRS"/>
    <m/>
    <x v="1"/>
    <m/>
    <m/>
    <m/>
    <s v="North"/>
    <s v="VARANASI"/>
    <m/>
    <n v="115841"/>
    <x v="7"/>
    <n v="3240761"/>
    <s v="CRCA SHEET TSBCRC SR15 0.500X1250X2030"/>
    <s v=" "/>
    <s v=""/>
    <n v="0"/>
    <n v="0"/>
    <m/>
    <s v="C06"/>
    <s v="TSBCRC"/>
    <s v="SR15"/>
    <n v="0.5"/>
    <n v="1250"/>
    <n v="2030"/>
    <n v="150"/>
    <n v="0"/>
    <n v="150"/>
    <n v="17.97"/>
    <n v="101.58500000000001"/>
    <n v="46.45"/>
    <n v="0"/>
    <n v="0"/>
    <n v="0"/>
    <n v="0"/>
    <n v="0"/>
    <n v="0"/>
    <n v="0"/>
    <n v="0"/>
    <n v="0"/>
    <n v="0"/>
    <n v="0"/>
    <n v="0"/>
    <n v="0"/>
    <n v="0"/>
    <n v="48.125"/>
    <n v="0.28999999999999998"/>
    <n v="0"/>
    <n v="0"/>
    <n v="0"/>
    <n v="48.414999999999999"/>
    <n v="48.414999999999999"/>
    <n v="0"/>
    <n v="48.414999999999999"/>
    <m/>
    <m/>
    <m/>
    <m/>
    <m/>
    <m/>
    <m/>
    <m/>
    <m/>
    <m/>
    <m/>
    <m/>
    <m/>
    <m/>
    <m/>
    <m/>
    <m/>
    <m/>
    <m/>
    <m/>
    <m/>
    <m/>
    <m/>
    <m/>
    <m/>
    <m/>
    <m/>
    <m/>
    <m/>
    <m/>
    <m/>
    <m/>
    <m/>
    <m/>
    <m/>
    <m/>
    <m/>
    <m/>
    <m/>
    <m/>
    <m/>
    <m/>
    <m/>
    <m/>
    <m/>
    <m/>
    <m/>
    <m/>
    <m/>
  </r>
  <r>
    <n v="742"/>
    <d v="2025-03-24T00:00:00"/>
    <s v="ZBTO"/>
    <n v="9518628321"/>
    <n v="4"/>
    <s v="9518628321-4"/>
    <s v="May'25"/>
    <x v="0"/>
    <s v="Yes"/>
    <x v="1"/>
    <x v="2"/>
    <s v="2000-BPRS"/>
    <m/>
    <x v="1"/>
    <m/>
    <m/>
    <m/>
    <s v="North"/>
    <s v="VARANASI"/>
    <m/>
    <n v="115841"/>
    <x v="7"/>
    <n v="3240781"/>
    <s v="CRCA SHEET TSBCRC SR15 0.600X1250X2030"/>
    <s v=" "/>
    <s v=""/>
    <n v="0"/>
    <n v="0"/>
    <m/>
    <s v="C06"/>
    <s v="TSBCRC"/>
    <s v="SR15"/>
    <n v="0.6"/>
    <n v="1250"/>
    <n v="2030"/>
    <n v="27"/>
    <n v="0"/>
    <n v="27"/>
    <n v="27"/>
    <n v="27"/>
    <n v="27"/>
    <n v="0"/>
    <n v="0"/>
    <n v="0"/>
    <n v="0"/>
    <n v="0"/>
    <n v="0"/>
    <n v="0"/>
    <n v="0"/>
    <n v="0"/>
    <n v="0"/>
    <n v="0"/>
    <n v="0"/>
    <n v="0"/>
    <n v="0"/>
    <n v="0"/>
    <n v="0"/>
    <n v="0"/>
    <n v="0"/>
    <n v="0"/>
    <n v="0"/>
    <n v="0"/>
    <n v="0"/>
    <n v="0"/>
    <m/>
    <m/>
    <m/>
    <m/>
    <m/>
    <m/>
    <m/>
    <m/>
    <m/>
    <m/>
    <m/>
    <m/>
    <m/>
    <m/>
    <m/>
    <m/>
    <m/>
    <m/>
    <m/>
    <m/>
    <m/>
    <m/>
    <m/>
    <m/>
    <m/>
    <m/>
    <m/>
    <m/>
    <m/>
    <m/>
    <m/>
    <m/>
    <m/>
    <m/>
    <m/>
    <m/>
    <m/>
    <m/>
    <m/>
    <m/>
    <m/>
    <m/>
    <m/>
    <m/>
    <m/>
    <m/>
    <m/>
    <m/>
    <m/>
  </r>
  <r>
    <n v="742"/>
    <d v="2025-03-24T00:00:00"/>
    <s v="ZBTO"/>
    <n v="9518628321"/>
    <n v="5"/>
    <s v="9518628321-5"/>
    <s v="No Priority"/>
    <x v="0"/>
    <s v="Yes"/>
    <x v="1"/>
    <x v="2"/>
    <s v="2000-BPRS"/>
    <m/>
    <x v="0"/>
    <m/>
    <m/>
    <m/>
    <s v="North"/>
    <s v="VARANASI"/>
    <m/>
    <n v="115841"/>
    <x v="7"/>
    <n v="3240787"/>
    <s v="CRCA SHEET TSBCRC SR15 0.700X1250X1930"/>
    <s v=" "/>
    <s v=""/>
    <n v="0"/>
    <n v="0"/>
    <m/>
    <s v="C06"/>
    <s v="TSBCRC"/>
    <s v="SR15"/>
    <n v="0.7"/>
    <n v="1250"/>
    <n v="1930"/>
    <n v="27"/>
    <n v="0"/>
    <n v="27"/>
    <n v="27"/>
    <n v="26.1"/>
    <n v="0.66500000000000004"/>
    <n v="0"/>
    <n v="0"/>
    <n v="0"/>
    <n v="0"/>
    <n v="0"/>
    <n v="0"/>
    <n v="0"/>
    <n v="0"/>
    <n v="0"/>
    <n v="0"/>
    <n v="0"/>
    <n v="0"/>
    <n v="0"/>
    <n v="0"/>
    <n v="0"/>
    <n v="0"/>
    <n v="0"/>
    <n v="0"/>
    <n v="0.9"/>
    <n v="0.9"/>
    <n v="0.9"/>
    <n v="0"/>
    <n v="0.9"/>
    <m/>
    <m/>
    <m/>
    <m/>
    <m/>
    <m/>
    <m/>
    <m/>
    <m/>
    <m/>
    <m/>
    <m/>
    <m/>
    <m/>
    <m/>
    <m/>
    <m/>
    <m/>
    <m/>
    <m/>
    <m/>
    <m/>
    <m/>
    <m/>
    <m/>
    <m/>
    <m/>
    <m/>
    <m/>
    <m/>
    <m/>
    <m/>
    <m/>
    <m/>
    <m/>
    <m/>
    <m/>
    <m/>
    <m/>
    <m/>
    <m/>
    <m/>
    <m/>
    <m/>
    <m/>
    <m/>
    <m/>
    <m/>
    <m/>
  </r>
  <r>
    <n v="743"/>
    <d v="2025-03-25T00:00:00"/>
    <s v="ZBTO"/>
    <n v="9518631278"/>
    <n v="2"/>
    <s v="9518631278-2"/>
    <s v="May'25"/>
    <x v="0"/>
    <s v="Yes"/>
    <x v="3"/>
    <x v="9"/>
    <s v="2000-BPRS"/>
    <m/>
    <x v="1"/>
    <m/>
    <m/>
    <m/>
    <s v="East"/>
    <s v="KOLKATA"/>
    <m/>
    <n v="100922"/>
    <x v="36"/>
    <n v="1191956"/>
    <s v="GP COIL SOFT-TATXGP-GK09-0.35X900"/>
    <s v="Z80"/>
    <s v=""/>
    <n v="5"/>
    <n v="15"/>
    <m/>
    <s v="C02"/>
    <s v="TATXGP"/>
    <s v="GK09"/>
    <n v="0.35"/>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3-25T00:00:00"/>
    <s v="ZBTO"/>
    <n v="9518631278"/>
    <n v="1"/>
    <s v="9518631278-1"/>
    <s v="May'25"/>
    <x v="0"/>
    <s v="Yes"/>
    <x v="3"/>
    <x v="9"/>
    <s v="2000-BPRS"/>
    <m/>
    <x v="1"/>
    <m/>
    <m/>
    <m/>
    <s v="East"/>
    <s v="KOLKATA"/>
    <m/>
    <n v="100922"/>
    <x v="36"/>
    <n v="1191955"/>
    <s v="GP COIL SOFT-TATXGP-GK09-0.3X900"/>
    <s v="Z80"/>
    <s v=""/>
    <n v="5"/>
    <n v="15"/>
    <m/>
    <s v="C02"/>
    <s v="TATXGP"/>
    <s v="GK09"/>
    <n v="0.3"/>
    <n v="900"/>
    <n v="0"/>
    <n v="105"/>
    <n v="0"/>
    <n v="105"/>
    <n v="105"/>
    <n v="105"/>
    <n v="105"/>
    <n v="0"/>
    <n v="0"/>
    <n v="0"/>
    <n v="0"/>
    <n v="0"/>
    <n v="0"/>
    <n v="0"/>
    <n v="0"/>
    <n v="0"/>
    <n v="0"/>
    <n v="0"/>
    <n v="0"/>
    <n v="0"/>
    <n v="0"/>
    <n v="0"/>
    <n v="0"/>
    <n v="0"/>
    <n v="0"/>
    <n v="0"/>
    <n v="0"/>
    <n v="0"/>
    <n v="0"/>
    <n v="0"/>
    <m/>
    <m/>
    <m/>
    <m/>
    <m/>
    <m/>
    <m/>
    <m/>
    <m/>
    <m/>
    <m/>
    <m/>
    <m/>
    <m/>
    <m/>
    <m/>
    <m/>
    <m/>
    <m/>
    <m/>
    <m/>
    <m/>
    <m/>
    <m/>
    <m/>
    <m/>
    <m/>
    <m/>
    <m/>
    <m/>
    <m/>
    <m/>
    <m/>
    <m/>
    <m/>
    <m/>
    <m/>
    <m/>
    <m/>
    <m/>
    <m/>
    <m/>
    <m/>
    <m/>
    <m/>
    <m/>
    <m/>
    <m/>
    <m/>
  </r>
  <r>
    <n v="744"/>
    <d v="2025-03-26T00:00:00"/>
    <s v="ZBTO"/>
    <n v="9518637595"/>
    <n v="4"/>
    <s v="9518637595-4"/>
    <s v="May'25"/>
    <x v="0"/>
    <s v="Yes"/>
    <x v="2"/>
    <x v="3"/>
    <s v="1000-IPPE"/>
    <m/>
    <x v="1"/>
    <m/>
    <m/>
    <m/>
    <s v="TBSPL"/>
    <s v=" "/>
    <m/>
    <n v="941597"/>
    <x v="6"/>
    <n v="3902332"/>
    <s v="PPGL C HARD Y550PL D0C9 0.50(TPT)X1220"/>
    <s v="AZ150"/>
    <s v="ROYAL BLUE TSL 1815"/>
    <n v="3"/>
    <n v="5"/>
    <m/>
    <s v="B18"/>
    <s v="Y550PL"/>
    <s v="D0C9"/>
    <n v="0.5"/>
    <n v="1220"/>
    <n v="0"/>
    <n v="280"/>
    <n v="4.72"/>
    <n v="275.27999999999997"/>
    <n v="240.26499999999999"/>
    <n v="257.60999999999996"/>
    <n v="71.694999999999993"/>
    <n v="0"/>
    <n v="0"/>
    <n v="0"/>
    <n v="0"/>
    <n v="0"/>
    <n v="0"/>
    <n v="0"/>
    <n v="0"/>
    <n v="0"/>
    <n v="0"/>
    <n v="0"/>
    <n v="0"/>
    <n v="0"/>
    <n v="0"/>
    <n v="0"/>
    <n v="17.670000000000002"/>
    <n v="0"/>
    <n v="0"/>
    <n v="0"/>
    <n v="17.670000000000002"/>
    <n v="17.670000000000002"/>
    <n v="0"/>
    <n v="17.670000000000002"/>
    <m/>
    <m/>
    <m/>
    <m/>
    <m/>
    <m/>
    <m/>
    <m/>
    <m/>
    <m/>
    <m/>
    <m/>
    <m/>
    <m/>
    <m/>
    <m/>
    <m/>
    <m/>
    <m/>
    <m/>
    <m/>
    <m/>
    <m/>
    <m/>
    <m/>
    <m/>
    <m/>
    <m/>
    <m/>
    <m/>
    <m/>
    <m/>
    <m/>
    <m/>
    <m/>
    <m/>
    <m/>
    <m/>
    <m/>
    <m/>
    <m/>
    <m/>
    <m/>
    <m/>
    <m/>
    <m/>
    <m/>
    <m/>
    <m/>
  </r>
  <r>
    <n v="744"/>
    <d v="2025-03-26T00:00:00"/>
    <s v="ZBTO"/>
    <n v="9518637595"/>
    <n v="5"/>
    <s v="9518637595-5"/>
    <s v="May'25"/>
    <x v="0"/>
    <m/>
    <x v="2"/>
    <x v="3"/>
    <s v="1000-IPPE"/>
    <m/>
    <x v="1"/>
    <m/>
    <m/>
    <m/>
    <s v="TBSPL"/>
    <s v=" "/>
    <m/>
    <n v="941597"/>
    <x v="6"/>
    <n v="3902332"/>
    <s v="PPGL C HARD Y550PL D0C9 0.50(TPT)X1220"/>
    <s v="AZ150"/>
    <s v="ROYAL BLUE TSL 1815"/>
    <n v="3"/>
    <n v="5"/>
    <m/>
    <s v="B18"/>
    <s v="Y550PL"/>
    <s v="D0C9"/>
    <n v="0.5"/>
    <n v="1220"/>
    <n v="0"/>
    <n v="140"/>
    <n v="0"/>
    <n v="140"/>
    <n v="140"/>
    <n v="140"/>
    <n v="136.215"/>
    <n v="0"/>
    <n v="0"/>
    <n v="0"/>
    <n v="0"/>
    <n v="0"/>
    <n v="0"/>
    <n v="0"/>
    <n v="0"/>
    <n v="0"/>
    <n v="0"/>
    <n v="0"/>
    <n v="0"/>
    <n v="0"/>
    <n v="0"/>
    <n v="0"/>
    <n v="0"/>
    <n v="0"/>
    <n v="0"/>
    <n v="0"/>
    <n v="0"/>
    <n v="0"/>
    <n v="0"/>
    <n v="0"/>
    <m/>
    <m/>
    <m/>
    <m/>
    <m/>
    <m/>
    <m/>
    <m/>
    <m/>
    <m/>
    <m/>
    <m/>
    <m/>
    <m/>
    <m/>
    <m/>
    <m/>
    <m/>
    <m/>
    <m/>
    <m/>
    <m/>
    <m/>
    <m/>
    <m/>
    <m/>
    <m/>
    <m/>
    <m/>
    <m/>
    <m/>
    <m/>
    <m/>
    <m/>
    <m/>
    <m/>
    <m/>
    <m/>
    <m/>
    <m/>
    <m/>
    <m/>
    <m/>
    <m/>
    <m/>
    <m/>
    <m/>
    <m/>
    <m/>
  </r>
  <r>
    <n v="742"/>
    <d v="2025-03-28T00:00:00"/>
    <s v="ZBTO"/>
    <n v="9518648560"/>
    <n v="1"/>
    <s v="9518648560-1"/>
    <s v="No Priority"/>
    <x v="0"/>
    <m/>
    <x v="1"/>
    <x v="7"/>
    <s v="1000-IPPE"/>
    <m/>
    <x v="0"/>
    <m/>
    <m/>
    <m/>
    <s v="East"/>
    <s v="HOWRAH"/>
    <m/>
    <n v="948173"/>
    <x v="94"/>
    <n v="2439203"/>
    <s v="CRCA COIL TSBSTA EL06 0.500X1160"/>
    <s v=" "/>
    <s v=""/>
    <n v="12.5"/>
    <n v="13"/>
    <m/>
    <s v="C01"/>
    <s v="TSBSTA"/>
    <s v="EL06"/>
    <n v="0.5"/>
    <n v="1160"/>
    <n v="0"/>
    <n v="81"/>
    <n v="0"/>
    <n v="81"/>
    <n v="81"/>
    <n v="81"/>
    <n v="0"/>
    <n v="0"/>
    <n v="0"/>
    <n v="0"/>
    <n v="0"/>
    <n v="0"/>
    <n v="0"/>
    <n v="0"/>
    <n v="0"/>
    <n v="0"/>
    <n v="0"/>
    <n v="0"/>
    <n v="0"/>
    <n v="0"/>
    <n v="0"/>
    <n v="0"/>
    <n v="0"/>
    <n v="0"/>
    <n v="0"/>
    <n v="0"/>
    <n v="0"/>
    <n v="0"/>
    <n v="0"/>
    <n v="0"/>
    <m/>
    <m/>
    <m/>
    <m/>
    <m/>
    <m/>
    <m/>
    <m/>
    <m/>
    <m/>
    <m/>
    <m/>
    <m/>
    <m/>
    <m/>
    <m/>
    <m/>
    <m/>
    <m/>
    <m/>
    <m/>
    <m/>
    <m/>
    <m/>
    <m/>
    <m/>
    <m/>
    <m/>
    <m/>
    <m/>
    <m/>
    <m/>
    <m/>
    <m/>
    <m/>
    <m/>
    <m/>
    <m/>
    <m/>
    <m/>
    <m/>
    <m/>
    <m/>
    <m/>
    <m/>
    <m/>
    <m/>
    <m/>
    <m/>
  </r>
  <r>
    <n v="742"/>
    <d v="2025-03-24T00:00:00"/>
    <s v="ZBTO"/>
    <n v="9518628391"/>
    <n v="1"/>
    <s v="9518628391-1"/>
    <s v="May'25"/>
    <x v="0"/>
    <s v="Yes"/>
    <x v="1"/>
    <x v="2"/>
    <s v="2000-BPRS"/>
    <m/>
    <x v="1"/>
    <m/>
    <m/>
    <m/>
    <s v="North"/>
    <s v="KANPUR"/>
    <m/>
    <n v="115841"/>
    <x v="7"/>
    <n v="3444592"/>
    <s v="CRCA SHEET TATCRC SR16 0.450X1250X2030"/>
    <s v=" "/>
    <s v=""/>
    <n v="0"/>
    <n v="0"/>
    <m/>
    <s v="C06"/>
    <s v="TATCRC"/>
    <s v="SR16"/>
    <n v="0.45"/>
    <n v="1250"/>
    <n v="2030"/>
    <n v="24"/>
    <n v="0"/>
    <n v="24"/>
    <n v="24"/>
    <n v="24"/>
    <n v="24"/>
    <n v="0"/>
    <n v="0"/>
    <n v="0"/>
    <n v="0"/>
    <n v="0"/>
    <n v="0"/>
    <n v="0"/>
    <n v="0"/>
    <n v="0"/>
    <n v="0"/>
    <n v="0"/>
    <n v="0"/>
    <n v="0"/>
    <n v="0"/>
    <n v="0"/>
    <n v="0"/>
    <n v="0"/>
    <n v="0"/>
    <n v="0"/>
    <n v="0"/>
    <n v="0"/>
    <n v="0"/>
    <n v="0"/>
    <m/>
    <m/>
    <m/>
    <m/>
    <m/>
    <m/>
    <m/>
    <m/>
    <m/>
    <m/>
    <m/>
    <m/>
    <m/>
    <m/>
    <m/>
    <m/>
    <m/>
    <m/>
    <m/>
    <m/>
    <m/>
    <m/>
    <m/>
    <m/>
    <m/>
    <m/>
    <m/>
    <m/>
    <m/>
    <m/>
    <m/>
    <m/>
    <m/>
    <m/>
    <m/>
    <m/>
    <m/>
    <m/>
    <m/>
    <m/>
    <m/>
    <m/>
    <m/>
    <m/>
    <m/>
    <m/>
    <m/>
    <m/>
    <m/>
  </r>
  <r>
    <n v="742"/>
    <d v="2025-03-24T00:00:00"/>
    <s v="ZBTO"/>
    <n v="9518628321"/>
    <n v="3"/>
    <s v="9518628321-3"/>
    <s v="May'25"/>
    <x v="0"/>
    <s v="Yes"/>
    <x v="1"/>
    <x v="2"/>
    <s v="2000-BPRS"/>
    <m/>
    <x v="1"/>
    <m/>
    <m/>
    <m/>
    <s v="North"/>
    <s v="VARANASI"/>
    <m/>
    <n v="115841"/>
    <x v="7"/>
    <n v="3444592"/>
    <s v="CRCA SHEET TATCRC SR16 0.450X1250X2030"/>
    <s v=" "/>
    <s v=""/>
    <n v="0"/>
    <n v="0"/>
    <m/>
    <s v="C06"/>
    <s v="TATCRC"/>
    <s v="SR16"/>
    <n v="0.45"/>
    <n v="1250"/>
    <n v="2030"/>
    <n v="27"/>
    <n v="0"/>
    <n v="27"/>
    <n v="27"/>
    <n v="27"/>
    <n v="27"/>
    <n v="0"/>
    <n v="0"/>
    <n v="0"/>
    <n v="0"/>
    <n v="0"/>
    <n v="0"/>
    <n v="0"/>
    <n v="0"/>
    <n v="0"/>
    <n v="0"/>
    <n v="0"/>
    <n v="0"/>
    <n v="0"/>
    <n v="0"/>
    <n v="0"/>
    <n v="0"/>
    <n v="0"/>
    <n v="0"/>
    <n v="0"/>
    <n v="0"/>
    <n v="0"/>
    <n v="0"/>
    <n v="0"/>
    <m/>
    <m/>
    <m/>
    <m/>
    <m/>
    <m/>
    <m/>
    <m/>
    <m/>
    <m/>
    <m/>
    <m/>
    <m/>
    <m/>
    <m/>
    <m/>
    <m/>
    <m/>
    <m/>
    <m/>
    <m/>
    <m/>
    <m/>
    <m/>
    <m/>
    <m/>
    <m/>
    <m/>
    <m/>
    <m/>
    <m/>
    <m/>
    <m/>
    <m/>
    <m/>
    <m/>
    <m/>
    <m/>
    <m/>
    <m/>
    <m/>
    <m/>
    <m/>
    <m/>
    <m/>
    <m/>
    <m/>
    <m/>
    <m/>
  </r>
  <r>
    <n v="743"/>
    <d v="2025-03-13T00:00:00"/>
    <s v="ZBTO"/>
    <n v="9518598100"/>
    <n v="6"/>
    <s v="9518598100-6"/>
    <s v="May'25"/>
    <x v="0"/>
    <s v="Yes"/>
    <x v="3"/>
    <x v="9"/>
    <s v="2000-BPRS"/>
    <m/>
    <x v="1"/>
    <m/>
    <m/>
    <m/>
    <s v="East"/>
    <s v="PATNA"/>
    <m/>
    <n v="103227"/>
    <x v="31"/>
    <n v="1854429"/>
    <s v="GP COIL SOFT-TATXGP-GK09-0.63X900"/>
    <s v="Z80"/>
    <s v=""/>
    <n v="2"/>
    <n v="6"/>
    <m/>
    <s v="C02"/>
    <s v="TATXGP"/>
    <s v="GK09"/>
    <n v="0.63"/>
    <n v="900"/>
    <n v="0"/>
    <n v="84"/>
    <n v="0"/>
    <n v="84"/>
    <n v="84"/>
    <n v="64.085000000000008"/>
    <n v="25.145"/>
    <n v="0"/>
    <n v="0"/>
    <n v="0"/>
    <n v="0"/>
    <n v="0"/>
    <n v="0"/>
    <n v="0.47000000000000003"/>
    <n v="0"/>
    <n v="0"/>
    <n v="0"/>
    <n v="0"/>
    <n v="0"/>
    <n v="0"/>
    <n v="0"/>
    <n v="0"/>
    <n v="4.7700000000000005"/>
    <n v="0"/>
    <n v="0"/>
    <n v="14.675000000000001"/>
    <n v="19.914999999999999"/>
    <n v="19.914999999999999"/>
    <n v="0"/>
    <n v="19.914999999999999"/>
    <m/>
    <m/>
    <m/>
    <m/>
    <m/>
    <m/>
    <m/>
    <m/>
    <m/>
    <m/>
    <m/>
    <m/>
    <m/>
    <m/>
    <m/>
    <m/>
    <m/>
    <m/>
    <m/>
    <m/>
    <m/>
    <m/>
    <m/>
    <m/>
    <m/>
    <m/>
    <m/>
    <m/>
    <m/>
    <m/>
    <m/>
    <m/>
    <m/>
    <m/>
    <m/>
    <m/>
    <m/>
    <m/>
    <m/>
    <m/>
    <m/>
    <m/>
    <m/>
    <m/>
    <m/>
    <m/>
    <m/>
    <m/>
    <m/>
  </r>
  <r>
    <n v="742"/>
    <d v="2025-03-26T00:00:00"/>
    <s v="ZBTO"/>
    <n v="9518637426"/>
    <n v="1"/>
    <s v="9518637426-1"/>
    <s v="May'25"/>
    <x v="0"/>
    <s v="Yes"/>
    <x v="1"/>
    <x v="1"/>
    <s v="2000-BPRS"/>
    <m/>
    <x v="1"/>
    <m/>
    <m/>
    <m/>
    <s v="East"/>
    <s v="URLA"/>
    <m/>
    <n v="139336"/>
    <x v="89"/>
    <n v="322577"/>
    <s v="CRCA SHEET TATCRC TR15 1.6X1250X2500"/>
    <s v=" "/>
    <s v=""/>
    <n v="2"/>
    <n v="3"/>
    <m/>
    <s v="C06"/>
    <s v="TATCRC"/>
    <s v="TR15"/>
    <n v="1.6"/>
    <n v="1250"/>
    <n v="2500"/>
    <n v="60"/>
    <n v="0"/>
    <n v="60"/>
    <n v="60"/>
    <n v="60"/>
    <n v="60"/>
    <n v="0"/>
    <n v="0"/>
    <n v="0"/>
    <n v="0"/>
    <n v="0"/>
    <n v="0"/>
    <n v="0"/>
    <n v="0"/>
    <n v="0"/>
    <n v="0"/>
    <n v="0"/>
    <n v="0"/>
    <n v="0"/>
    <n v="0"/>
    <n v="0"/>
    <n v="0"/>
    <n v="0"/>
    <n v="0"/>
    <n v="0"/>
    <n v="0"/>
    <n v="0"/>
    <n v="0"/>
    <n v="0"/>
    <m/>
    <m/>
    <m/>
    <m/>
    <m/>
    <m/>
    <m/>
    <m/>
    <m/>
    <m/>
    <m/>
    <m/>
    <m/>
    <m/>
    <m/>
    <m/>
    <m/>
    <m/>
    <m/>
    <m/>
    <m/>
    <m/>
    <m/>
    <m/>
    <m/>
    <m/>
    <m/>
    <m/>
    <m/>
    <m/>
    <m/>
    <m/>
    <m/>
    <m/>
    <m/>
    <m/>
    <m/>
    <m/>
    <m/>
    <m/>
    <m/>
    <m/>
    <m/>
    <m/>
    <m/>
    <m/>
    <m/>
    <m/>
    <m/>
  </r>
  <r>
    <n v="743"/>
    <d v="2025-03-28T00:00:00"/>
    <s v="ZBTO"/>
    <n v="9518649687"/>
    <n v="1"/>
    <s v="9518649687-1"/>
    <s v="No Priority"/>
    <x v="0"/>
    <m/>
    <x v="3"/>
    <x v="9"/>
    <s v="2000-BPRS"/>
    <m/>
    <x v="0"/>
    <m/>
    <m/>
    <m/>
    <s v="North"/>
    <s v="VARANASI"/>
    <m/>
    <n v="931525"/>
    <x v="2"/>
    <n v="1191956"/>
    <s v="GP COIL SOFT-TATXGP-GK09-0.35X900"/>
    <s v="Z80"/>
    <s v=""/>
    <n v="3.2"/>
    <n v="5"/>
    <m/>
    <s v="C02"/>
    <s v="TATXGP"/>
    <s v="GK09"/>
    <n v="0.3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28T00:00:00"/>
    <s v="ZBTO"/>
    <n v="9518649687"/>
    <n v="2"/>
    <s v="9518649687-2"/>
    <s v="No Priority"/>
    <x v="0"/>
    <m/>
    <x v="3"/>
    <x v="9"/>
    <s v="2000-BPRS"/>
    <m/>
    <x v="0"/>
    <m/>
    <m/>
    <m/>
    <s v="North"/>
    <s v="VARANASI"/>
    <m/>
    <n v="931525"/>
    <x v="2"/>
    <n v="1854424"/>
    <s v="GP COIL SOFT-TATXGP-GK09-0.6X900"/>
    <s v="Z80"/>
    <s v=""/>
    <n v="3.2"/>
    <n v="5"/>
    <m/>
    <s v="C02"/>
    <s v="TATXGP"/>
    <s v="GK09"/>
    <n v="0.6"/>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3-21T00:00:00"/>
    <s v="ZBTO"/>
    <n v="9518620006"/>
    <n v="5"/>
    <s v="9518620006-5"/>
    <s v="No Priority"/>
    <x v="0"/>
    <m/>
    <x v="1"/>
    <x v="1"/>
    <s v="2000-BPRS"/>
    <m/>
    <x v="0"/>
    <m/>
    <m/>
    <m/>
    <s v="East"/>
    <s v="URLA"/>
    <m/>
    <n v="931662"/>
    <x v="69"/>
    <n v="400982"/>
    <s v="CRCA SHEET TATCRC TR15 .75X1000X2500"/>
    <s v=" "/>
    <s v=""/>
    <n v="0"/>
    <n v="0"/>
    <m/>
    <s v="C06"/>
    <s v="TATCRC"/>
    <s v="TR15"/>
    <n v="0.75"/>
    <n v="1000"/>
    <n v="2500"/>
    <n v="24"/>
    <n v="0"/>
    <n v="24"/>
    <n v="24"/>
    <n v="24"/>
    <n v="24"/>
    <n v="0"/>
    <n v="0"/>
    <n v="0"/>
    <n v="0"/>
    <n v="0"/>
    <n v="0"/>
    <n v="0"/>
    <n v="0"/>
    <n v="0"/>
    <n v="0"/>
    <n v="0"/>
    <n v="0"/>
    <n v="0"/>
    <n v="0"/>
    <n v="0"/>
    <n v="0"/>
    <n v="0"/>
    <n v="0"/>
    <n v="0"/>
    <n v="0"/>
    <n v="0"/>
    <n v="0"/>
    <n v="0"/>
    <m/>
    <m/>
    <m/>
    <m/>
    <m/>
    <m/>
    <m/>
    <m/>
    <m/>
    <m/>
    <m/>
    <m/>
    <m/>
    <m/>
    <m/>
    <m/>
    <m/>
    <m/>
    <m/>
    <m/>
    <m/>
    <m/>
    <m/>
    <m/>
    <m/>
    <m/>
    <m/>
    <m/>
    <m/>
    <m/>
    <m/>
    <m/>
    <m/>
    <m/>
    <m/>
    <m/>
    <m/>
    <m/>
    <m/>
    <m/>
    <m/>
    <m/>
    <m/>
    <m/>
    <m/>
    <m/>
    <m/>
    <m/>
    <m/>
  </r>
  <r>
    <n v="744"/>
    <d v="2025-03-26T00:00:00"/>
    <s v="ZBTO"/>
    <n v="9518637595"/>
    <n v="3"/>
    <s v="9518637595-3"/>
    <s v="May'25"/>
    <x v="0"/>
    <s v="Yes"/>
    <x v="2"/>
    <x v="3"/>
    <s v="1000-IPPE"/>
    <m/>
    <x v="1"/>
    <m/>
    <m/>
    <m/>
    <s v="TBSPL"/>
    <s v=" "/>
    <m/>
    <n v="941597"/>
    <x v="6"/>
    <n v="3902332"/>
    <s v="PPGL C HARD Y550PL D0C9 0.50(TPT)X1220"/>
    <s v="AZ150"/>
    <s v="RAL 7015 TSL 1805"/>
    <n v="3"/>
    <n v="5"/>
    <m/>
    <s v="B18"/>
    <s v="Y550PL"/>
    <s v="D0C9"/>
    <n v="0.5"/>
    <n v="1220"/>
    <n v="0"/>
    <n v="112"/>
    <n v="0"/>
    <n v="112"/>
    <n v="112"/>
    <n v="112"/>
    <n v="112"/>
    <n v="0"/>
    <n v="0"/>
    <n v="0"/>
    <n v="0"/>
    <n v="0"/>
    <n v="0"/>
    <n v="0"/>
    <n v="0"/>
    <n v="0"/>
    <n v="0"/>
    <n v="0"/>
    <n v="0"/>
    <n v="0"/>
    <n v="0"/>
    <n v="0"/>
    <n v="0"/>
    <n v="0"/>
    <n v="0"/>
    <n v="0"/>
    <n v="0"/>
    <n v="0"/>
    <n v="0"/>
    <n v="0"/>
    <m/>
    <m/>
    <m/>
    <m/>
    <m/>
    <m/>
    <m/>
    <m/>
    <m/>
    <m/>
    <m/>
    <m/>
    <m/>
    <m/>
    <m/>
    <m/>
    <m/>
    <m/>
    <m/>
    <m/>
    <m/>
    <m/>
    <m/>
    <m/>
    <m/>
    <m/>
    <m/>
    <m/>
    <m/>
    <m/>
    <m/>
    <m/>
    <m/>
    <m/>
    <m/>
    <m/>
    <m/>
    <m/>
    <m/>
    <m/>
    <m/>
    <m/>
    <m/>
    <m/>
    <m/>
    <m/>
    <m/>
    <m/>
    <m/>
  </r>
  <r>
    <n v="743"/>
    <d v="2025-04-14T00:00:00"/>
    <s v="ZBTO"/>
    <n v="9518692103"/>
    <n v="8"/>
    <s v="9518692103-8"/>
    <s v="No Priority"/>
    <x v="0"/>
    <m/>
    <x v="3"/>
    <x v="9"/>
    <s v="2000-BPRS"/>
    <m/>
    <x v="0"/>
    <m/>
    <m/>
    <m/>
    <s v="East"/>
    <s v="WEST BOKARO"/>
    <m/>
    <n v="185794"/>
    <x v="12"/>
    <n v="1854418"/>
    <s v="GP COIL SOFT-TATXGP-GK09-0.5X900"/>
    <s v="Z80"/>
    <s v=""/>
    <n v="4"/>
    <n v="12"/>
    <m/>
    <s v="C02"/>
    <s v="TATXGP"/>
    <s v="GK09"/>
    <n v="0.5"/>
    <n v="900"/>
    <n v="0"/>
    <n v="189"/>
    <n v="0"/>
    <n v="189"/>
    <n v="189"/>
    <n v="189"/>
    <n v="189"/>
    <n v="0"/>
    <n v="0"/>
    <n v="0"/>
    <n v="0"/>
    <n v="0"/>
    <n v="0"/>
    <n v="0"/>
    <n v="0"/>
    <n v="0"/>
    <n v="0"/>
    <n v="0"/>
    <n v="0"/>
    <n v="0"/>
    <n v="0"/>
    <n v="0"/>
    <n v="0"/>
    <n v="0"/>
    <n v="0"/>
    <n v="0"/>
    <n v="0"/>
    <n v="0"/>
    <n v="0"/>
    <n v="0"/>
    <m/>
    <m/>
    <m/>
    <m/>
    <m/>
    <m/>
    <m/>
    <m/>
    <m/>
    <m/>
    <m/>
    <m/>
    <m/>
    <m/>
    <m/>
    <m/>
    <m/>
    <m/>
    <m/>
    <m/>
    <m/>
    <m/>
    <m/>
    <m/>
    <m/>
    <m/>
    <m/>
    <m/>
    <m/>
    <m/>
    <m/>
    <m/>
    <m/>
    <m/>
    <m/>
    <m/>
    <m/>
    <m/>
    <m/>
    <m/>
    <m/>
    <m/>
    <m/>
    <m/>
    <m/>
    <m/>
    <m/>
    <m/>
    <m/>
  </r>
  <r>
    <n v="743"/>
    <d v="2025-04-14T00:00:00"/>
    <s v="ZBTO"/>
    <n v="9518692103"/>
    <n v="9"/>
    <s v="9518692103-9"/>
    <s v="No Priority"/>
    <x v="0"/>
    <m/>
    <x v="3"/>
    <x v="9"/>
    <s v="2000-BPRS"/>
    <m/>
    <x v="0"/>
    <m/>
    <m/>
    <m/>
    <s v="East"/>
    <s v="WEST BOKARO"/>
    <m/>
    <n v="185794"/>
    <x v="12"/>
    <n v="1854418"/>
    <s v="GP COIL SOFT-TATXGP-GK09-0.5X900"/>
    <s v="Z80"/>
    <s v=""/>
    <n v="4"/>
    <n v="12"/>
    <m/>
    <s v="C02"/>
    <s v="TATXGP"/>
    <s v="GK09"/>
    <n v="0.5"/>
    <n v="900"/>
    <n v="0"/>
    <n v="168"/>
    <n v="0"/>
    <n v="168"/>
    <n v="168"/>
    <n v="168"/>
    <n v="168"/>
    <n v="0"/>
    <n v="0"/>
    <n v="0"/>
    <n v="0"/>
    <n v="0"/>
    <n v="0"/>
    <n v="0"/>
    <n v="0"/>
    <n v="0"/>
    <n v="0"/>
    <n v="0"/>
    <n v="0"/>
    <n v="0"/>
    <n v="0"/>
    <n v="0"/>
    <n v="0"/>
    <n v="0"/>
    <n v="0"/>
    <n v="0"/>
    <n v="0"/>
    <n v="0"/>
    <n v="0"/>
    <n v="0"/>
    <m/>
    <m/>
    <m/>
    <m/>
    <m/>
    <m/>
    <m/>
    <m/>
    <m/>
    <m/>
    <m/>
    <m/>
    <m/>
    <m/>
    <m/>
    <m/>
    <m/>
    <m/>
    <m/>
    <m/>
    <m/>
    <m/>
    <m/>
    <m/>
    <m/>
    <m/>
    <m/>
    <m/>
    <m/>
    <m/>
    <m/>
    <m/>
    <m/>
    <m/>
    <m/>
    <m/>
    <m/>
    <m/>
    <m/>
    <m/>
    <m/>
    <m/>
    <m/>
    <m/>
    <m/>
    <m/>
    <m/>
    <m/>
    <m/>
  </r>
  <r>
    <n v="743"/>
    <d v="2025-04-14T00:00:00"/>
    <s v="ZBTO"/>
    <n v="9518692220"/>
    <n v="8"/>
    <s v="9518692220-8"/>
    <s v="May'25"/>
    <x v="0"/>
    <m/>
    <x v="3"/>
    <x v="9"/>
    <s v="2000-BPRS"/>
    <m/>
    <x v="1"/>
    <m/>
    <m/>
    <m/>
    <s v="East"/>
    <s v=" "/>
    <m/>
    <n v="121328"/>
    <x v="10"/>
    <n v="1854418"/>
    <s v="GP COIL SOFT-TATXGP-GK09-0.5X900"/>
    <s v="Z80"/>
    <s v=""/>
    <n v="4"/>
    <n v="12"/>
    <m/>
    <s v="C02"/>
    <s v="TATXGP"/>
    <s v="GK09"/>
    <n v="0.5"/>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4-14T00:00:00"/>
    <s v="ZBTO"/>
    <n v="9518692220"/>
    <n v="9"/>
    <s v="9518692220-9"/>
    <s v="No Priority"/>
    <x v="0"/>
    <m/>
    <x v="3"/>
    <x v="9"/>
    <s v="2000-BPRS"/>
    <m/>
    <x v="0"/>
    <m/>
    <m/>
    <m/>
    <s v="East"/>
    <s v=" "/>
    <m/>
    <n v="121328"/>
    <x v="10"/>
    <n v="1854418"/>
    <s v="GP COIL SOFT-TATXGP-GK09-0.5X900"/>
    <s v="Z80"/>
    <s v=""/>
    <n v="4"/>
    <n v="12"/>
    <m/>
    <s v="C02"/>
    <s v="TATXGP"/>
    <s v="GK09"/>
    <n v="0.5"/>
    <n v="900"/>
    <n v="0"/>
    <n v="147"/>
    <n v="0"/>
    <n v="147"/>
    <n v="147"/>
    <n v="147"/>
    <n v="147"/>
    <n v="0"/>
    <n v="0"/>
    <n v="0"/>
    <n v="0"/>
    <n v="0"/>
    <n v="0"/>
    <n v="0"/>
    <n v="0"/>
    <n v="0"/>
    <n v="0"/>
    <n v="0"/>
    <n v="0"/>
    <n v="0"/>
    <n v="0"/>
    <n v="0"/>
    <n v="0"/>
    <n v="0"/>
    <n v="0"/>
    <n v="0"/>
    <n v="0"/>
    <n v="0"/>
    <n v="0"/>
    <n v="0"/>
    <m/>
    <m/>
    <m/>
    <m/>
    <m/>
    <m/>
    <m/>
    <m/>
    <m/>
    <m/>
    <m/>
    <m/>
    <m/>
    <m/>
    <m/>
    <m/>
    <m/>
    <m/>
    <m/>
    <m/>
    <m/>
    <m/>
    <m/>
    <m/>
    <m/>
    <m/>
    <m/>
    <m/>
    <m/>
    <m/>
    <m/>
    <m/>
    <m/>
    <m/>
    <m/>
    <m/>
    <m/>
    <m/>
    <m/>
    <m/>
    <m/>
    <m/>
    <m/>
    <m/>
    <m/>
    <m/>
    <m/>
    <m/>
    <m/>
  </r>
  <r>
    <n v="742"/>
    <d v="2025-04-18T00:00:00"/>
    <s v="ZBTO"/>
    <n v="9518702444"/>
    <n v="1"/>
    <s v="9518702444-1"/>
    <s v="No Priority"/>
    <x v="0"/>
    <m/>
    <x v="1"/>
    <x v="1"/>
    <s v="2000-BPRS"/>
    <m/>
    <x v="0"/>
    <m/>
    <m/>
    <m/>
    <s v="East"/>
    <s v="GUWAHATI"/>
    <m/>
    <n v="116649"/>
    <x v="24"/>
    <n v="2414175"/>
    <s v="CRCA COIL TATXXD AU03 1.100X1250"/>
    <s v=" "/>
    <s v=""/>
    <n v="4"/>
    <n v="28"/>
    <m/>
    <s v="C01"/>
    <s v="TATXXD"/>
    <s v="AU03"/>
    <n v="1.1000000000000001"/>
    <n v="1250"/>
    <n v="0"/>
    <n v="87"/>
    <n v="0"/>
    <n v="87"/>
    <n v="87"/>
    <n v="87"/>
    <n v="87"/>
    <n v="0"/>
    <n v="0"/>
    <n v="0"/>
    <n v="0"/>
    <n v="0"/>
    <n v="0"/>
    <n v="0"/>
    <n v="0"/>
    <n v="0"/>
    <n v="0"/>
    <n v="0"/>
    <n v="0"/>
    <n v="0"/>
    <n v="0"/>
    <n v="0"/>
    <n v="0"/>
    <n v="0"/>
    <n v="0"/>
    <n v="0"/>
    <n v="0"/>
    <n v="0"/>
    <n v="0"/>
    <n v="0"/>
    <m/>
    <m/>
    <m/>
    <m/>
    <m/>
    <m/>
    <m/>
    <m/>
    <m/>
    <m/>
    <m/>
    <m/>
    <m/>
    <m/>
    <m/>
    <m/>
    <m/>
    <m/>
    <m/>
    <m/>
    <m/>
    <m/>
    <m/>
    <m/>
    <m/>
    <m/>
    <m/>
    <m/>
    <m/>
    <m/>
    <m/>
    <m/>
    <m/>
    <m/>
    <m/>
    <m/>
    <m/>
    <m/>
    <m/>
    <m/>
    <m/>
    <m/>
    <m/>
    <m/>
    <m/>
    <m/>
    <m/>
    <m/>
    <m/>
  </r>
  <r>
    <n v="744"/>
    <d v="2025-03-29T00:00:00"/>
    <s v="ZBTO"/>
    <n v="9518653307"/>
    <n v="4"/>
    <s v="9518653307-4"/>
    <s v="May'25"/>
    <x v="0"/>
    <s v="Yes"/>
    <x v="2"/>
    <x v="3"/>
    <s v="1000-IPPE"/>
    <m/>
    <x v="1"/>
    <m/>
    <m/>
    <m/>
    <s v="TBSPL"/>
    <s v="RAJASTHAN"/>
    <m/>
    <n v="940008"/>
    <x v="15"/>
    <n v="3522241"/>
    <s v="PPGL C Y550 D0C7 0.43BMT(0.47TPT)X1220"/>
    <s v="aZ70"/>
    <s v="NG SMART GREY TSL 1905"/>
    <n v="3"/>
    <n v="5"/>
    <m/>
    <s v="B18"/>
    <s v="Y550PL"/>
    <s v="D0C7"/>
    <n v="0.43"/>
    <n v="1220"/>
    <n v="0"/>
    <n v="280"/>
    <n v="0"/>
    <n v="280"/>
    <n v="80.760000000000005"/>
    <n v="245.02500000000001"/>
    <n v="50.17"/>
    <n v="0"/>
    <n v="0"/>
    <n v="0"/>
    <n v="0"/>
    <n v="0"/>
    <n v="23.14"/>
    <n v="0"/>
    <n v="4.415"/>
    <n v="0"/>
    <n v="0"/>
    <n v="0"/>
    <n v="0"/>
    <n v="0"/>
    <n v="0"/>
    <n v="0"/>
    <n v="2.86"/>
    <n v="0"/>
    <n v="0"/>
    <n v="4.5600000000000005"/>
    <n v="34.975000000000001"/>
    <n v="34.975000000000001"/>
    <n v="0"/>
    <n v="34.975000000000001"/>
    <m/>
    <m/>
    <m/>
    <m/>
    <m/>
    <m/>
    <m/>
    <m/>
    <m/>
    <m/>
    <m/>
    <m/>
    <m/>
    <m/>
    <m/>
    <m/>
    <m/>
    <m/>
    <m/>
    <m/>
    <m/>
    <m/>
    <m/>
    <m/>
    <m/>
    <m/>
    <m/>
    <m/>
    <m/>
    <m/>
    <m/>
    <m/>
    <m/>
    <m/>
    <m/>
    <m/>
    <m/>
    <m/>
    <m/>
    <m/>
    <m/>
    <m/>
    <m/>
    <m/>
    <m/>
    <m/>
    <m/>
    <m/>
    <m/>
  </r>
  <r>
    <n v="744"/>
    <d v="2025-04-03T00:00:00"/>
    <s v="ZBTO"/>
    <n v="9518666670"/>
    <n v="1"/>
    <s v="9518666670-1"/>
    <s v="May'25"/>
    <x v="0"/>
    <m/>
    <x v="2"/>
    <x v="3"/>
    <s v="1000-IPPE"/>
    <m/>
    <x v="1"/>
    <m/>
    <m/>
    <m/>
    <s v="TBSPL"/>
    <s v=" "/>
    <m/>
    <n v="941597"/>
    <x v="6"/>
    <n v="3940122"/>
    <s v="PPGL C HARD Y550PL D0C9 0.470(TPT)X1220"/>
    <s v="AZ150"/>
    <s v="RAL 7015 TSL 1805"/>
    <n v="3"/>
    <n v="5"/>
    <m/>
    <s v="B18"/>
    <s v="Y550PL"/>
    <s v="D0C9"/>
    <n v="0.47"/>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4-10T00:00:00"/>
    <s v="ZBTO"/>
    <n v="9518683200"/>
    <n v="9"/>
    <s v="9518683200-9"/>
    <s v="No Priority"/>
    <x v="0"/>
    <m/>
    <x v="1"/>
    <x v="2"/>
    <s v="2000-BPRS"/>
    <m/>
    <x v="0"/>
    <m/>
    <m/>
    <m/>
    <s v="South"/>
    <s v="VISHAKHAPATNAM"/>
    <m/>
    <n v="946077"/>
    <x v="8"/>
    <n v="3240771"/>
    <s v="CRCA SHEET TSBCRC SR15 0.600X900X2440"/>
    <s v=" "/>
    <s v=""/>
    <n v="0"/>
    <n v="0"/>
    <m/>
    <s v="C06"/>
    <s v="TSBCRC"/>
    <s v="SR15"/>
    <n v="0.6"/>
    <n v="900"/>
    <n v="2440"/>
    <n v="21"/>
    <n v="0"/>
    <n v="21"/>
    <n v="1.2549999999999999"/>
    <n v="0"/>
    <n v="2.1150000000000002"/>
    <n v="0"/>
    <n v="0"/>
    <n v="0"/>
    <n v="0"/>
    <n v="0"/>
    <n v="0"/>
    <n v="0"/>
    <n v="0"/>
    <n v="0"/>
    <n v="0"/>
    <n v="0"/>
    <n v="0"/>
    <n v="0"/>
    <n v="0"/>
    <n v="0"/>
    <n v="0"/>
    <n v="0"/>
    <n v="0"/>
    <n v="0"/>
    <n v="0"/>
    <n v="0"/>
    <n v="0"/>
    <n v="0"/>
    <m/>
    <m/>
    <m/>
    <m/>
    <m/>
    <m/>
    <m/>
    <m/>
    <m/>
    <m/>
    <m/>
    <m/>
    <m/>
    <m/>
    <m/>
    <m/>
    <m/>
    <m/>
    <m/>
    <m/>
    <m/>
    <m/>
    <m/>
    <m/>
    <m/>
    <m/>
    <m/>
    <m/>
    <m/>
    <m/>
    <m/>
    <m/>
    <m/>
    <m/>
    <m/>
    <m/>
    <m/>
    <m/>
    <m/>
    <m/>
    <m/>
    <m/>
    <m/>
    <m/>
    <m/>
    <m/>
    <m/>
    <m/>
    <m/>
  </r>
  <r>
    <n v="742"/>
    <d v="2025-04-10T00:00:00"/>
    <s v="ZBTO"/>
    <n v="9518683200"/>
    <n v="10"/>
    <s v="9518683200-10"/>
    <s v="May'25"/>
    <x v="0"/>
    <s v="Yes"/>
    <x v="1"/>
    <x v="2"/>
    <s v="2000-BPRS"/>
    <m/>
    <x v="1"/>
    <m/>
    <m/>
    <m/>
    <s v="South"/>
    <s v="VISHAKHAPATNAM"/>
    <m/>
    <n v="946077"/>
    <x v="8"/>
    <n v="3240776"/>
    <s v="CRCA SHEET TSBCRC SR15 0.600X1000X2440"/>
    <s v=" "/>
    <s v=""/>
    <n v="0"/>
    <n v="0"/>
    <m/>
    <s v="C06"/>
    <s v="TSBCRC"/>
    <s v="SR15"/>
    <n v="0.6"/>
    <n v="1000"/>
    <n v="2440"/>
    <n v="69"/>
    <n v="0"/>
    <n v="69"/>
    <n v="69"/>
    <n v="2.539999999999992"/>
    <n v="69"/>
    <n v="0"/>
    <n v="0"/>
    <n v="0"/>
    <n v="0"/>
    <n v="0"/>
    <n v="0"/>
    <n v="0"/>
    <n v="0"/>
    <n v="0"/>
    <n v="0"/>
    <n v="0"/>
    <n v="0"/>
    <n v="0"/>
    <n v="66.460000000000008"/>
    <n v="0"/>
    <n v="0"/>
    <n v="0"/>
    <n v="0"/>
    <n v="0"/>
    <n v="66.460000000000008"/>
    <n v="66.460000000000008"/>
    <n v="0"/>
    <n v="66.460000000000008"/>
    <m/>
    <m/>
    <m/>
    <m/>
    <m/>
    <m/>
    <m/>
    <m/>
    <m/>
    <m/>
    <m/>
    <m/>
    <m/>
    <m/>
    <m/>
    <m/>
    <m/>
    <m/>
    <m/>
    <m/>
    <m/>
    <m/>
    <m/>
    <m/>
    <m/>
    <m/>
    <m/>
    <m/>
    <m/>
    <m/>
    <m/>
    <m/>
    <m/>
    <m/>
    <m/>
    <m/>
    <m/>
    <m/>
    <m/>
    <m/>
    <m/>
    <m/>
    <m/>
    <m/>
    <m/>
    <m/>
    <m/>
    <m/>
    <m/>
  </r>
  <r>
    <n v="742"/>
    <d v="2025-04-10T00:00:00"/>
    <s v="ZBTO"/>
    <n v="9518683200"/>
    <n v="11"/>
    <s v="9518683200-11"/>
    <s v="No Priority"/>
    <x v="0"/>
    <m/>
    <x v="1"/>
    <x v="2"/>
    <s v="2000-BPRS"/>
    <m/>
    <x v="0"/>
    <m/>
    <m/>
    <m/>
    <s v="South"/>
    <s v="VISHAKHAPATNAM"/>
    <m/>
    <n v="946077"/>
    <x v="8"/>
    <n v="3240785"/>
    <s v="CRCA SHEET TSBCRC SR15 0.600X1250X2500"/>
    <s v=" "/>
    <s v=""/>
    <n v="0"/>
    <n v="0"/>
    <m/>
    <s v="C06"/>
    <s v="TSBCRC"/>
    <s v="SR15"/>
    <n v="0.6"/>
    <n v="1250"/>
    <n v="2500"/>
    <n v="18"/>
    <n v="2.7"/>
    <n v="15.3"/>
    <n v="15.3"/>
    <n v="15.3"/>
    <n v="15.3"/>
    <n v="0"/>
    <n v="0"/>
    <n v="0"/>
    <n v="0"/>
    <n v="0"/>
    <n v="0"/>
    <n v="0"/>
    <n v="0"/>
    <n v="0"/>
    <n v="0"/>
    <n v="0"/>
    <n v="0"/>
    <n v="0"/>
    <n v="0"/>
    <n v="0"/>
    <n v="0"/>
    <n v="0"/>
    <n v="0"/>
    <n v="0"/>
    <n v="0"/>
    <n v="0"/>
    <n v="0"/>
    <n v="0"/>
    <m/>
    <m/>
    <m/>
    <m/>
    <m/>
    <m/>
    <m/>
    <m/>
    <m/>
    <m/>
    <m/>
    <m/>
    <m/>
    <m/>
    <m/>
    <m/>
    <m/>
    <m/>
    <m/>
    <m/>
    <m/>
    <m/>
    <m/>
    <m/>
    <m/>
    <m/>
    <m/>
    <m/>
    <m/>
    <m/>
    <m/>
    <m/>
    <m/>
    <m/>
    <m/>
    <m/>
    <m/>
    <m/>
    <m/>
    <m/>
    <m/>
    <m/>
    <m/>
    <m/>
    <m/>
    <m/>
    <m/>
    <m/>
    <m/>
  </r>
  <r>
    <n v="742"/>
    <d v="2025-04-10T00:00:00"/>
    <s v="ZBTO"/>
    <n v="9518683200"/>
    <n v="13"/>
    <s v="9518683200-13"/>
    <s v="May'25"/>
    <x v="0"/>
    <s v="Yes"/>
    <x v="1"/>
    <x v="2"/>
    <s v="2000-BPRS"/>
    <m/>
    <x v="1"/>
    <m/>
    <m/>
    <m/>
    <s v="South"/>
    <s v="VISHAKHAPATNAM"/>
    <m/>
    <n v="946077"/>
    <x v="8"/>
    <n v="3240812"/>
    <s v="CRCA SHEET TSBCRC SR15 0.800X1000X2500"/>
    <s v=" "/>
    <s v=""/>
    <n v="0"/>
    <n v="0"/>
    <m/>
    <s v="C06"/>
    <s v="TSBCRC"/>
    <s v="SR15"/>
    <n v="0.8"/>
    <n v="1000"/>
    <n v="2500"/>
    <n v="24"/>
    <n v="0"/>
    <n v="24"/>
    <n v="24"/>
    <n v="1.4699999999999989"/>
    <n v="24"/>
    <n v="0"/>
    <n v="0"/>
    <n v="0"/>
    <n v="0"/>
    <n v="0"/>
    <n v="0"/>
    <n v="0"/>
    <n v="0"/>
    <n v="0"/>
    <n v="0"/>
    <n v="0"/>
    <n v="0"/>
    <n v="0"/>
    <n v="22.53"/>
    <n v="0"/>
    <n v="0"/>
    <n v="0"/>
    <n v="0"/>
    <n v="0"/>
    <n v="22.53"/>
    <n v="22.53"/>
    <n v="0"/>
    <n v="22.53"/>
    <m/>
    <m/>
    <m/>
    <m/>
    <m/>
    <m/>
    <m/>
    <m/>
    <m/>
    <m/>
    <m/>
    <m/>
    <m/>
    <m/>
    <m/>
    <m/>
    <m/>
    <m/>
    <m/>
    <m/>
    <m/>
    <m/>
    <m/>
    <m/>
    <m/>
    <m/>
    <m/>
    <m/>
    <m/>
    <m/>
    <m/>
    <m/>
    <m/>
    <m/>
    <m/>
    <m/>
    <m/>
    <m/>
    <m/>
    <m/>
    <m/>
    <m/>
    <m/>
    <m/>
    <m/>
    <m/>
    <m/>
    <m/>
    <m/>
  </r>
  <r>
    <n v="742"/>
    <d v="2025-04-10T00:00:00"/>
    <s v="ZBTO"/>
    <n v="9518683200"/>
    <n v="17"/>
    <s v="9518683200-17"/>
    <s v="No Priority"/>
    <x v="0"/>
    <s v="Yes"/>
    <x v="1"/>
    <x v="1"/>
    <s v="2000-BPRS"/>
    <m/>
    <x v="0"/>
    <m/>
    <s v="De-prioritized due to Apr CF orders"/>
    <m/>
    <s v="South"/>
    <s v="VISHAKHAPATNAM"/>
    <m/>
    <n v="946077"/>
    <x v="8"/>
    <n v="189866"/>
    <s v="CRSHEET TATXXD AU03 1.20X1250X2500"/>
    <s v=" "/>
    <s v=""/>
    <n v="0"/>
    <n v="0"/>
    <m/>
    <s v="C06"/>
    <s v="TATXXD"/>
    <s v="AU03"/>
    <n v="1.2"/>
    <n v="1250"/>
    <n v="2500"/>
    <n v="60"/>
    <n v="0"/>
    <n v="60"/>
    <n v="60"/>
    <n v="60"/>
    <n v="60"/>
    <n v="0"/>
    <n v="0"/>
    <n v="0"/>
    <n v="0"/>
    <n v="0"/>
    <n v="0"/>
    <n v="0"/>
    <n v="0"/>
    <n v="0"/>
    <n v="0"/>
    <n v="0"/>
    <n v="0"/>
    <n v="0"/>
    <n v="0"/>
    <n v="0"/>
    <n v="0"/>
    <n v="0"/>
    <n v="0"/>
    <n v="0"/>
    <n v="0"/>
    <n v="0"/>
    <n v="0"/>
    <n v="0"/>
    <m/>
    <m/>
    <m/>
    <m/>
    <m/>
    <m/>
    <m/>
    <m/>
    <m/>
    <m/>
    <m/>
    <m/>
    <m/>
    <m/>
    <m/>
    <m/>
    <m/>
    <m/>
    <m/>
    <m/>
    <m/>
    <m/>
    <m/>
    <m/>
    <m/>
    <m/>
    <m/>
    <m/>
    <m/>
    <m/>
    <m/>
    <m/>
    <m/>
    <m/>
    <m/>
    <m/>
    <m/>
    <m/>
    <m/>
    <m/>
    <m/>
    <m/>
    <m/>
    <m/>
    <m/>
    <m/>
    <m/>
    <m/>
    <m/>
  </r>
  <r>
    <n v="744"/>
    <d v="2025-04-08T00:00:00"/>
    <s v="ZBTO"/>
    <n v="9518677599"/>
    <n v="1"/>
    <s v="9518677599-1"/>
    <s v="May'25"/>
    <x v="0"/>
    <m/>
    <x v="2"/>
    <x v="3"/>
    <s v="1000-IPPE"/>
    <m/>
    <x v="1"/>
    <m/>
    <m/>
    <m/>
    <s v="TBSPL"/>
    <s v=" "/>
    <m/>
    <n v="941597"/>
    <x v="6"/>
    <n v="3933289"/>
    <s v="PPGL C YS550 PLH5 0.50BMT(0.60TPT)X1220"/>
    <s v="AZ200"/>
    <s v="RAL 5012 TSL 245"/>
    <n v="3"/>
    <n v="5"/>
    <m/>
    <s v="B18"/>
    <s v="Y550PL"/>
    <s v="PLH5"/>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04T00:00:00"/>
    <s v="ZBTO"/>
    <n v="9518670143"/>
    <n v="1"/>
    <s v="9518670143-1"/>
    <s v="No Priority"/>
    <x v="0"/>
    <m/>
    <x v="2"/>
    <x v="3"/>
    <s v="1000-IPPE"/>
    <m/>
    <x v="0"/>
    <m/>
    <m/>
    <m/>
    <s v="TBSPL"/>
    <s v="RAJASTHAN"/>
    <m/>
    <n v="940008"/>
    <x v="15"/>
    <n v="3998148"/>
    <s v="PPGL C HARD Y550PL DX01 0.600X1220"/>
    <s v="AZ150"/>
    <s v="RAL 5012 TSL 2002"/>
    <n v="3"/>
    <n v="5"/>
    <m/>
    <s v="B18"/>
    <s v="Y550PL"/>
    <s v="DX01"/>
    <n v="0.6"/>
    <n v="1220"/>
    <n v="0"/>
    <n v="28"/>
    <n v="0"/>
    <n v="28"/>
    <n v="28"/>
    <n v="28"/>
    <n v="1.9450000000000001"/>
    <n v="0"/>
    <n v="0"/>
    <n v="0"/>
    <n v="0"/>
    <n v="0"/>
    <n v="0"/>
    <n v="0"/>
    <n v="0"/>
    <n v="0"/>
    <n v="0"/>
    <n v="0"/>
    <n v="0"/>
    <n v="0"/>
    <n v="0"/>
    <n v="0"/>
    <n v="0"/>
    <n v="0"/>
    <n v="0"/>
    <n v="0"/>
    <n v="0"/>
    <n v="0"/>
    <n v="0"/>
    <n v="0"/>
    <m/>
    <m/>
    <m/>
    <m/>
    <m/>
    <m/>
    <m/>
    <m/>
    <m/>
    <m/>
    <m/>
    <m/>
    <m/>
    <m/>
    <m/>
    <m/>
    <m/>
    <m/>
    <m/>
    <m/>
    <m/>
    <m/>
    <m/>
    <m/>
    <m/>
    <m/>
    <m/>
    <m/>
    <m/>
    <m/>
    <m/>
    <m/>
    <m/>
    <m/>
    <m/>
    <m/>
    <m/>
    <m/>
    <m/>
    <m/>
    <m/>
    <m/>
    <m/>
    <m/>
    <m/>
    <m/>
    <m/>
    <m/>
    <m/>
  </r>
  <r>
    <n v="743"/>
    <d v="2025-04-15T00:00:00"/>
    <s v="ZBTO"/>
    <n v="9518694054"/>
    <n v="6"/>
    <s v="9518694054-6"/>
    <s v="No Priority"/>
    <x v="0"/>
    <m/>
    <x v="3"/>
    <x v="9"/>
    <s v="2000-BPRS"/>
    <m/>
    <x v="0"/>
    <m/>
    <m/>
    <m/>
    <s v="East"/>
    <s v="PATNA"/>
    <m/>
    <n v="103227"/>
    <x v="31"/>
    <n v="1854429"/>
    <s v="GP COIL SOFT-TATXGP-GK09-0.63X900"/>
    <s v="Z80"/>
    <s v=""/>
    <n v="2"/>
    <n v="6"/>
    <m/>
    <s v="C02"/>
    <s v="TATXGP"/>
    <s v="GK09"/>
    <n v="0.63"/>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4-11T00:00:00"/>
    <s v="ZBTO"/>
    <n v="9518683949"/>
    <n v="7"/>
    <s v="9518683949-7"/>
    <s v="May'25"/>
    <x v="0"/>
    <s v="Yes"/>
    <x v="3"/>
    <x v="9"/>
    <s v="2000-BPRS"/>
    <m/>
    <x v="1"/>
    <m/>
    <m/>
    <m/>
    <s v="East"/>
    <s v="WEST BENGAL"/>
    <m/>
    <n v="100922"/>
    <x v="36"/>
    <n v="1854424"/>
    <s v="GP COIL SOFT-TATXGP-GK09-0.6X900"/>
    <s v="Z80"/>
    <s v=""/>
    <n v="5"/>
    <n v="15"/>
    <m/>
    <s v="C02"/>
    <s v="TATXGP"/>
    <s v="GK09"/>
    <n v="0.6"/>
    <n v="900"/>
    <n v="0"/>
    <n v="105"/>
    <n v="0"/>
    <n v="105"/>
    <n v="105"/>
    <n v="85.692000000000007"/>
    <n v="26.645"/>
    <n v="0"/>
    <n v="0"/>
    <n v="0"/>
    <n v="0"/>
    <n v="0"/>
    <n v="0"/>
    <n v="19.308"/>
    <n v="0"/>
    <n v="0"/>
    <n v="0"/>
    <n v="0"/>
    <n v="0"/>
    <n v="0"/>
    <n v="0"/>
    <n v="0"/>
    <n v="0"/>
    <n v="0"/>
    <n v="0"/>
    <n v="0"/>
    <n v="19.308"/>
    <n v="19.308"/>
    <n v="0"/>
    <n v="19.308"/>
    <m/>
    <m/>
    <m/>
    <m/>
    <m/>
    <m/>
    <m/>
    <m/>
    <m/>
    <m/>
    <m/>
    <m/>
    <m/>
    <m/>
    <m/>
    <m/>
    <m/>
    <m/>
    <m/>
    <m/>
    <m/>
    <m/>
    <m/>
    <m/>
    <m/>
    <m/>
    <m/>
    <m/>
    <m/>
    <m/>
    <m/>
    <m/>
    <m/>
    <m/>
    <m/>
    <m/>
    <m/>
    <m/>
    <m/>
    <m/>
    <m/>
    <m/>
    <m/>
    <m/>
    <m/>
    <m/>
    <m/>
    <m/>
    <m/>
  </r>
  <r>
    <n v="742"/>
    <d v="2025-04-15T00:00:00"/>
    <s v="ZBTF"/>
    <n v="9518695452"/>
    <n v="6"/>
    <s v="9518695452-6"/>
    <s v="May'25"/>
    <x v="0"/>
    <m/>
    <x v="1"/>
    <x v="7"/>
    <s v="1000-IPPE"/>
    <n v="3500"/>
    <x v="1"/>
    <m/>
    <m/>
    <m/>
    <s v="East"/>
    <s v="PILKHUWA"/>
    <m/>
    <n v="600250"/>
    <x v="23"/>
    <n v="2439203"/>
    <s v="CRCA COIL TSBSTA EL06 0.500X1160"/>
    <s v=" "/>
    <s v=""/>
    <n v="8"/>
    <n v="13"/>
    <m/>
    <s v="C01"/>
    <s v="TSBSTA"/>
    <s v="EL06"/>
    <n v="0.5"/>
    <n v="1160"/>
    <n v="0"/>
    <n v="297"/>
    <n v="0"/>
    <n v="297"/>
    <n v="297"/>
    <n v="297"/>
    <n v="297"/>
    <n v="0"/>
    <n v="0"/>
    <n v="0"/>
    <n v="0"/>
    <n v="0"/>
    <n v="0"/>
    <n v="0"/>
    <n v="0"/>
    <n v="0"/>
    <n v="0"/>
    <n v="0"/>
    <n v="0"/>
    <n v="0"/>
    <n v="0"/>
    <n v="0"/>
    <n v="0"/>
    <n v="0"/>
    <n v="0"/>
    <n v="0"/>
    <n v="0"/>
    <n v="0"/>
    <n v="0"/>
    <n v="0"/>
    <m/>
    <m/>
    <m/>
    <m/>
    <m/>
    <m/>
    <m/>
    <m/>
    <m/>
    <m/>
    <m/>
    <m/>
    <m/>
    <m/>
    <m/>
    <m/>
    <m/>
    <m/>
    <m/>
    <m/>
    <m/>
    <m/>
    <m/>
    <m/>
    <m/>
    <m/>
    <m/>
    <m/>
    <m/>
    <m/>
    <m/>
    <m/>
    <m/>
    <m/>
    <m/>
    <m/>
    <m/>
    <m/>
    <m/>
    <m/>
    <m/>
    <m/>
    <m/>
    <m/>
    <m/>
    <m/>
    <m/>
    <m/>
    <m/>
  </r>
  <r>
    <n v="742"/>
    <d v="2025-04-15T00:00:00"/>
    <s v="ZBTF"/>
    <n v="9518695452"/>
    <n v="7"/>
    <s v="9518695452-7"/>
    <s v="May'25"/>
    <x v="0"/>
    <m/>
    <x v="1"/>
    <x v="7"/>
    <s v="1000-IPPE"/>
    <m/>
    <x v="1"/>
    <m/>
    <m/>
    <m/>
    <s v="East"/>
    <s v="PILKHUWA"/>
    <m/>
    <n v="600250"/>
    <x v="23"/>
    <n v="2439203"/>
    <s v="CRCA COIL TSBSTA EL06 0.500X1160"/>
    <s v=" "/>
    <s v=""/>
    <n v="8"/>
    <n v="13"/>
    <m/>
    <s v="C01"/>
    <s v="TSBSTA"/>
    <s v="EL06"/>
    <n v="0.5"/>
    <n v="1160"/>
    <n v="0"/>
    <n v="297"/>
    <n v="0"/>
    <n v="297"/>
    <n v="297"/>
    <n v="297"/>
    <n v="297"/>
    <n v="0"/>
    <n v="0"/>
    <n v="0"/>
    <n v="0"/>
    <n v="0"/>
    <n v="0"/>
    <n v="0"/>
    <n v="0"/>
    <n v="0"/>
    <n v="0"/>
    <n v="0"/>
    <n v="0"/>
    <n v="0"/>
    <n v="0"/>
    <n v="0"/>
    <n v="0"/>
    <n v="0"/>
    <n v="0"/>
    <n v="0"/>
    <n v="0"/>
    <n v="0"/>
    <n v="0"/>
    <n v="0"/>
    <m/>
    <m/>
    <m/>
    <m/>
    <m/>
    <m/>
    <m/>
    <m/>
    <m/>
    <m/>
    <m/>
    <m/>
    <m/>
    <m/>
    <m/>
    <m/>
    <m/>
    <m/>
    <m/>
    <m/>
    <m/>
    <m/>
    <m/>
    <m/>
    <m/>
    <m/>
    <m/>
    <m/>
    <m/>
    <m/>
    <m/>
    <m/>
    <m/>
    <m/>
    <m/>
    <m/>
    <m/>
    <m/>
    <m/>
    <m/>
    <m/>
    <m/>
    <m/>
    <m/>
    <m/>
    <m/>
    <m/>
    <m/>
    <m/>
  </r>
  <r>
    <n v="742"/>
    <d v="2025-03-27T00:00:00"/>
    <s v="ZBTO"/>
    <n v="9518644656"/>
    <n v="13"/>
    <s v="9518644656-13"/>
    <s v="May'25"/>
    <x v="0"/>
    <s v="Yes"/>
    <x v="1"/>
    <x v="2"/>
    <s v="2000-BPRS"/>
    <m/>
    <x v="1"/>
    <m/>
    <m/>
    <m/>
    <s v="East"/>
    <s v="SILIGURI TOWN"/>
    <m/>
    <n v="948783"/>
    <x v="24"/>
    <n v="3914106"/>
    <s v="CRCA SHEET TSBCRC SR15 0.550X1250X2500"/>
    <s v=" "/>
    <s v=""/>
    <n v="2"/>
    <n v="3"/>
    <m/>
    <s v="C06"/>
    <s v="TSBCRC"/>
    <s v="SR15"/>
    <n v="0.55000000000000004"/>
    <n v="1250"/>
    <n v="2500"/>
    <n v="24"/>
    <n v="0"/>
    <n v="24"/>
    <n v="24"/>
    <n v="0.82000000000000028"/>
    <n v="24"/>
    <n v="0"/>
    <n v="0"/>
    <n v="23.18"/>
    <n v="0"/>
    <n v="0"/>
    <n v="0"/>
    <n v="0"/>
    <n v="0"/>
    <n v="0"/>
    <n v="0"/>
    <n v="0"/>
    <n v="0"/>
    <n v="0"/>
    <n v="0"/>
    <n v="0"/>
    <n v="0"/>
    <n v="0"/>
    <n v="0"/>
    <n v="0"/>
    <n v="23.18"/>
    <n v="23.18"/>
    <n v="0"/>
    <n v="23.18"/>
    <m/>
    <m/>
    <m/>
    <m/>
    <m/>
    <m/>
    <m/>
    <m/>
    <m/>
    <m/>
    <m/>
    <m/>
    <m/>
    <m/>
    <m/>
    <m/>
    <m/>
    <m/>
    <m/>
    <m/>
    <m/>
    <m/>
    <m/>
    <m/>
    <m/>
    <m/>
    <m/>
    <m/>
    <m/>
    <m/>
    <m/>
    <m/>
    <m/>
    <m/>
    <m/>
    <m/>
    <m/>
    <m/>
    <m/>
    <m/>
    <m/>
    <m/>
    <m/>
    <m/>
    <m/>
    <m/>
    <m/>
    <m/>
    <m/>
  </r>
  <r>
    <n v="743"/>
    <d v="2025-04-14T00:00:00"/>
    <s v="ZBTO"/>
    <n v="9518692103"/>
    <n v="4"/>
    <s v="9518692103-4"/>
    <s v="No Priority"/>
    <x v="0"/>
    <m/>
    <x v="3"/>
    <x v="9"/>
    <s v="2000-BPRS"/>
    <m/>
    <x v="0"/>
    <m/>
    <m/>
    <m/>
    <s v="East"/>
    <s v="WEST BOKARO"/>
    <m/>
    <n v="185794"/>
    <x v="12"/>
    <n v="1191956"/>
    <s v="GP COIL SOFT-TATXGP-GK09-0.35X900"/>
    <s v="Z80"/>
    <s v=""/>
    <n v="4"/>
    <n v="12"/>
    <m/>
    <s v="C02"/>
    <s v="TATXGP"/>
    <s v="GK09"/>
    <n v="0.35"/>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4-14T00:00:00"/>
    <s v="ZBTO"/>
    <n v="9518692220"/>
    <n v="4"/>
    <s v="9518692220-4"/>
    <s v="No Priority"/>
    <x v="0"/>
    <m/>
    <x v="3"/>
    <x v="9"/>
    <s v="2000-BPRS"/>
    <m/>
    <x v="0"/>
    <m/>
    <m/>
    <m/>
    <s v="East"/>
    <s v=" "/>
    <m/>
    <n v="121328"/>
    <x v="10"/>
    <n v="1191956"/>
    <s v="GP COIL SOFT-TATXGP-GK09-0.35X900"/>
    <s v="Z80"/>
    <s v=""/>
    <n v="4"/>
    <n v="12"/>
    <m/>
    <s v="C02"/>
    <s v="TATXGP"/>
    <s v="GK09"/>
    <n v="0.35"/>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4-14T00:00:00"/>
    <s v="ZBTO"/>
    <n v="9518692595"/>
    <n v="1"/>
    <s v="9518692595-1"/>
    <s v="No Priority"/>
    <x v="0"/>
    <m/>
    <x v="3"/>
    <x v="0"/>
    <s v="2000-BPRS"/>
    <m/>
    <x v="0"/>
    <m/>
    <m/>
    <m/>
    <s v="East"/>
    <s v="TATANAGAR"/>
    <m/>
    <n v="165053"/>
    <x v="5"/>
    <n v="1851815"/>
    <s v="GP COIL SOFT-TSBXGP-N1GP-0.28X900"/>
    <s v="Z80"/>
    <s v=""/>
    <n v="4"/>
    <n v="12"/>
    <m/>
    <s v="C02"/>
    <s v="TSBXGP"/>
    <s v="N1GP"/>
    <n v="0.28000000000000003"/>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4-14T00:00:00"/>
    <s v="ZBTO"/>
    <n v="9518692595"/>
    <n v="2"/>
    <s v="9518692595-2"/>
    <s v="No Priority"/>
    <x v="0"/>
    <m/>
    <x v="3"/>
    <x v="0"/>
    <s v="2000-BPRS"/>
    <m/>
    <x v="0"/>
    <m/>
    <m/>
    <m/>
    <s v="East"/>
    <s v="TATANAGAR"/>
    <m/>
    <n v="165053"/>
    <x v="5"/>
    <n v="1851836"/>
    <s v="GP COIL SOFT-TSBXGP-N1GP-0.3X900"/>
    <s v="Z80"/>
    <s v=""/>
    <n v="4"/>
    <n v="12"/>
    <m/>
    <s v="C02"/>
    <s v="TSBXGP"/>
    <s v="N1GP"/>
    <n v="0.3"/>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4-14T00:00:00"/>
    <s v="ZBTO"/>
    <n v="9518692103"/>
    <n v="10"/>
    <s v="9518692103-10"/>
    <s v="No Priority"/>
    <x v="0"/>
    <m/>
    <x v="3"/>
    <x v="9"/>
    <s v="2000-BPRS"/>
    <m/>
    <x v="0"/>
    <m/>
    <m/>
    <m/>
    <s v="East"/>
    <s v="WEST BOKARO"/>
    <m/>
    <n v="185794"/>
    <x v="12"/>
    <n v="1854424"/>
    <s v="GP COIL SOFT-TATXGP-GK09-0.6X900"/>
    <s v="Z80"/>
    <s v=""/>
    <n v="4"/>
    <n v="12"/>
    <m/>
    <s v="C02"/>
    <s v="TATXGP"/>
    <s v="GK09"/>
    <n v="0.6"/>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4-14T00:00:00"/>
    <s v="ZBTO"/>
    <n v="9518692103"/>
    <n v="11"/>
    <s v="9518692103-11"/>
    <s v="No Priority"/>
    <x v="0"/>
    <m/>
    <x v="3"/>
    <x v="9"/>
    <s v="2000-BPRS"/>
    <m/>
    <x v="0"/>
    <m/>
    <m/>
    <m/>
    <s v="East"/>
    <s v="WEST BOKARO"/>
    <m/>
    <n v="185794"/>
    <x v="12"/>
    <n v="1854424"/>
    <s v="GP COIL SOFT-TATXGP-GK09-0.6X900"/>
    <s v="Z80"/>
    <s v=""/>
    <n v="4"/>
    <n v="12"/>
    <m/>
    <s v="C02"/>
    <s v="TATXGP"/>
    <s v="GK09"/>
    <n v="0.6"/>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4-14T00:00:00"/>
    <s v="ZBTO"/>
    <n v="9518692103"/>
    <n v="12"/>
    <s v="9518692103-12"/>
    <s v="No Priority"/>
    <x v="0"/>
    <m/>
    <x v="3"/>
    <x v="9"/>
    <s v="2000-BPRS"/>
    <m/>
    <x v="0"/>
    <m/>
    <m/>
    <m/>
    <s v="East"/>
    <s v="WEST BOKARO"/>
    <m/>
    <n v="185794"/>
    <x v="12"/>
    <n v="1854429"/>
    <s v="GP COIL SOFT-TATXGP-GK09-0.63X900"/>
    <s v="Z80"/>
    <s v=""/>
    <n v="4"/>
    <n v="12"/>
    <m/>
    <s v="C02"/>
    <s v="TATXGP"/>
    <s v="GK09"/>
    <n v="0.63"/>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4-14T00:00:00"/>
    <s v="ZBTO"/>
    <n v="9518692220"/>
    <n v="10"/>
    <s v="9518692220-10"/>
    <s v="No Priority"/>
    <x v="0"/>
    <m/>
    <x v="3"/>
    <x v="9"/>
    <s v="2000-BPRS"/>
    <m/>
    <x v="0"/>
    <m/>
    <m/>
    <m/>
    <s v="East"/>
    <s v=" "/>
    <m/>
    <n v="121328"/>
    <x v="10"/>
    <n v="1854424"/>
    <s v="GP COIL SOFT-TATXGP-GK09-0.6X900"/>
    <s v="Z80"/>
    <s v=""/>
    <n v="4"/>
    <n v="12"/>
    <m/>
    <s v="C02"/>
    <s v="TATXGP"/>
    <s v="GK09"/>
    <n v="0.6"/>
    <n v="900"/>
    <n v="0"/>
    <n v="126"/>
    <n v="0"/>
    <n v="126"/>
    <n v="126"/>
    <n v="126"/>
    <n v="126"/>
    <n v="0"/>
    <n v="0"/>
    <n v="0"/>
    <n v="0"/>
    <n v="0"/>
    <n v="0"/>
    <n v="0"/>
    <n v="0"/>
    <n v="0"/>
    <n v="0"/>
    <n v="0"/>
    <n v="0"/>
    <n v="0"/>
    <n v="0"/>
    <n v="0"/>
    <n v="0"/>
    <n v="0"/>
    <n v="0"/>
    <n v="0"/>
    <n v="0"/>
    <n v="0"/>
    <n v="0"/>
    <n v="0"/>
    <m/>
    <m/>
    <m/>
    <m/>
    <m/>
    <m/>
    <m/>
    <m/>
    <m/>
    <m/>
    <m/>
    <m/>
    <m/>
    <m/>
    <m/>
    <m/>
    <m/>
    <m/>
    <m/>
    <m/>
    <m/>
    <m/>
    <m/>
    <m/>
    <m/>
    <m/>
    <m/>
    <m/>
    <m/>
    <m/>
    <m/>
    <m/>
    <m/>
    <m/>
    <m/>
    <m/>
    <m/>
    <m/>
    <m/>
    <m/>
    <m/>
    <m/>
    <m/>
    <m/>
    <m/>
    <m/>
    <m/>
    <m/>
    <m/>
  </r>
  <r>
    <n v="743"/>
    <d v="2025-04-14T00:00:00"/>
    <s v="ZBTO"/>
    <n v="9518692220"/>
    <n v="11"/>
    <s v="9518692220-11"/>
    <s v="No Priority"/>
    <x v="0"/>
    <m/>
    <x v="3"/>
    <x v="9"/>
    <s v="2000-BPRS"/>
    <m/>
    <x v="0"/>
    <m/>
    <m/>
    <m/>
    <s v="East"/>
    <s v=" "/>
    <m/>
    <n v="121328"/>
    <x v="10"/>
    <n v="1854424"/>
    <s v="GP COIL SOFT-TATXGP-GK09-0.6X900"/>
    <s v="Z80"/>
    <s v=""/>
    <n v="4"/>
    <n v="12"/>
    <m/>
    <s v="C02"/>
    <s v="TATXGP"/>
    <s v="GK09"/>
    <n v="0.6"/>
    <n v="900"/>
    <n v="0"/>
    <n v="126"/>
    <n v="0"/>
    <n v="126"/>
    <n v="126"/>
    <n v="126"/>
    <n v="126"/>
    <n v="0"/>
    <n v="0"/>
    <n v="0"/>
    <n v="0"/>
    <n v="0"/>
    <n v="0"/>
    <n v="0"/>
    <n v="0"/>
    <n v="0"/>
    <n v="0"/>
    <n v="0"/>
    <n v="0"/>
    <n v="0"/>
    <n v="0"/>
    <n v="0"/>
    <n v="0"/>
    <n v="0"/>
    <n v="0"/>
    <n v="0"/>
    <n v="0"/>
    <n v="0"/>
    <n v="0"/>
    <n v="0"/>
    <m/>
    <m/>
    <m/>
    <m/>
    <m/>
    <m/>
    <m/>
    <m/>
    <m/>
    <m/>
    <m/>
    <m/>
    <m/>
    <m/>
    <m/>
    <m/>
    <m/>
    <m/>
    <m/>
    <m/>
    <m/>
    <m/>
    <m/>
    <m/>
    <m/>
    <m/>
    <m/>
    <m/>
    <m/>
    <m/>
    <m/>
    <m/>
    <m/>
    <m/>
    <m/>
    <m/>
    <m/>
    <m/>
    <m/>
    <m/>
    <m/>
    <m/>
    <m/>
    <m/>
    <m/>
    <m/>
    <m/>
    <m/>
    <m/>
  </r>
  <r>
    <n v="743"/>
    <d v="2025-04-15T00:00:00"/>
    <s v="ZBTO"/>
    <n v="9518694054"/>
    <n v="5"/>
    <s v="9518694054-5"/>
    <s v="No Priority"/>
    <x v="0"/>
    <m/>
    <x v="3"/>
    <x v="9"/>
    <s v="2000-BPRS"/>
    <m/>
    <x v="0"/>
    <m/>
    <m/>
    <m/>
    <s v="East"/>
    <s v="PATNA"/>
    <m/>
    <n v="103227"/>
    <x v="31"/>
    <n v="1854424"/>
    <s v="GP COIL SOFT-TATXGP-GK09-0.6X900"/>
    <s v="Z80"/>
    <s v=""/>
    <n v="2"/>
    <n v="6"/>
    <m/>
    <s v="C02"/>
    <s v="TATXGP"/>
    <s v="GK09"/>
    <n v="0.6"/>
    <n v="900"/>
    <n v="0"/>
    <n v="294"/>
    <n v="0"/>
    <n v="294"/>
    <n v="294"/>
    <n v="293.3"/>
    <n v="294"/>
    <n v="0"/>
    <n v="0"/>
    <n v="0"/>
    <n v="0"/>
    <n v="0.70000000000000007"/>
    <n v="0"/>
    <n v="0"/>
    <n v="0"/>
    <n v="0"/>
    <n v="0"/>
    <n v="0"/>
    <n v="0"/>
    <n v="0"/>
    <n v="0"/>
    <n v="0"/>
    <n v="0"/>
    <n v="0"/>
    <n v="0"/>
    <n v="0"/>
    <n v="0.70000000000000007"/>
    <n v="0.70000000000000007"/>
    <n v="0"/>
    <n v="0.70000000000000007"/>
    <m/>
    <m/>
    <m/>
    <m/>
    <m/>
    <m/>
    <m/>
    <m/>
    <m/>
    <m/>
    <m/>
    <m/>
    <m/>
    <m/>
    <m/>
    <m/>
    <m/>
    <m/>
    <m/>
    <m/>
    <m/>
    <m/>
    <m/>
    <m/>
    <m/>
    <m/>
    <m/>
    <m/>
    <m/>
    <m/>
    <m/>
    <m/>
    <m/>
    <m/>
    <m/>
    <m/>
    <m/>
    <m/>
    <m/>
    <m/>
    <m/>
    <m/>
    <m/>
    <m/>
    <m/>
    <m/>
    <m/>
    <m/>
    <m/>
  </r>
  <r>
    <n v="744"/>
    <d v="2025-04-15T00:00:00"/>
    <s v="ZBTO"/>
    <n v="9518693944"/>
    <n v="2"/>
    <s v="9518693944-2"/>
    <s v="May'25"/>
    <x v="0"/>
    <m/>
    <x v="2"/>
    <x v="3"/>
    <s v="1000-IPPE"/>
    <m/>
    <x v="1"/>
    <m/>
    <m/>
    <m/>
    <s v="TBSPL"/>
    <s v=" "/>
    <m/>
    <n v="941597"/>
    <x v="6"/>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08T00:00:00"/>
    <s v="ZBTO"/>
    <n v="9518676905"/>
    <n v="2"/>
    <s v="9518676905-2"/>
    <s v="May'25"/>
    <x v="0"/>
    <m/>
    <x v="2"/>
    <x v="3"/>
    <s v="1000-IPPE"/>
    <m/>
    <x v="1"/>
    <m/>
    <m/>
    <m/>
    <s v="TBSPL"/>
    <s v=" "/>
    <m/>
    <n v="941597"/>
    <x v="6"/>
    <n v="3902332"/>
    <s v="PPGL C HARD Y550PL D0C9 0.50(TPT)X1220"/>
    <s v="AZ150"/>
    <s v="RAL 6011 TSL 1810"/>
    <n v="3"/>
    <n v="5"/>
    <m/>
    <s v="B18"/>
    <s v="Y550PL"/>
    <s v="D0C9"/>
    <n v="0.5"/>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08T00:00:00"/>
    <s v="ZBTO"/>
    <n v="9518676905"/>
    <n v="3"/>
    <s v="9518676905-3"/>
    <s v="May'25"/>
    <x v="0"/>
    <m/>
    <x v="2"/>
    <x v="3"/>
    <s v="1000-IPPE"/>
    <m/>
    <x v="1"/>
    <m/>
    <m/>
    <m/>
    <s v="TBSPL"/>
    <s v=" "/>
    <m/>
    <n v="941597"/>
    <x v="6"/>
    <n v="3902332"/>
    <s v="PPGL C HARD Y550PL D0C9 0.50(TPT)X1220"/>
    <s v="AZ150"/>
    <s v="RAL 5018 TSL 1809"/>
    <n v="3"/>
    <n v="5"/>
    <m/>
    <s v="B18"/>
    <s v="Y550PL"/>
    <s v="D0C9"/>
    <n v="0.5"/>
    <n v="1220"/>
    <n v="0"/>
    <n v="84"/>
    <n v="0"/>
    <n v="84"/>
    <n v="84"/>
    <n v="84"/>
    <n v="84"/>
    <n v="0"/>
    <n v="0"/>
    <n v="0"/>
    <n v="0"/>
    <n v="0"/>
    <n v="0"/>
    <n v="0"/>
    <n v="0"/>
    <n v="0"/>
    <n v="0"/>
    <n v="0"/>
    <n v="0"/>
    <n v="0"/>
    <n v="0"/>
    <n v="0"/>
    <n v="0"/>
    <n v="0"/>
    <n v="0"/>
    <n v="0"/>
    <n v="0"/>
    <n v="0"/>
    <n v="0"/>
    <n v="0"/>
    <m/>
    <m/>
    <m/>
    <m/>
    <m/>
    <m/>
    <m/>
    <m/>
    <m/>
    <m/>
    <m/>
    <m/>
    <m/>
    <m/>
    <m/>
    <m/>
    <m/>
    <m/>
    <m/>
    <m/>
    <m/>
    <m/>
    <m/>
    <m/>
    <m/>
    <m/>
    <m/>
    <m/>
    <m/>
    <m/>
    <m/>
    <m/>
    <m/>
    <m/>
    <m/>
    <m/>
    <m/>
    <m/>
    <m/>
    <m/>
    <m/>
    <m/>
    <m/>
    <m/>
    <m/>
    <m/>
    <m/>
    <m/>
    <m/>
  </r>
  <r>
    <n v="744"/>
    <d v="2025-04-10T00:00:00"/>
    <s v="ZBTO"/>
    <n v="9518682471"/>
    <n v="1"/>
    <s v="9518682471-1"/>
    <s v="May'25"/>
    <x v="0"/>
    <m/>
    <x v="2"/>
    <x v="3"/>
    <s v="1000-IPPE"/>
    <m/>
    <x v="1"/>
    <m/>
    <m/>
    <m/>
    <s v="TBSPL"/>
    <s v=" "/>
    <m/>
    <n v="941597"/>
    <x v="6"/>
    <n v="3902332"/>
    <s v="PPGL C HARD Y550PL D0C9 0.50(TPT)X1220"/>
    <s v="AZ150"/>
    <s v="RAL 9002 TSL 1801"/>
    <n v="3"/>
    <n v="5"/>
    <m/>
    <s v="B18"/>
    <s v="Y550PL"/>
    <s v="D0C9"/>
    <n v="0.5"/>
    <n v="1220"/>
    <n v="0"/>
    <n v="28"/>
    <n v="0"/>
    <n v="28"/>
    <n v="28"/>
    <n v="-0.57000000000000028"/>
    <n v="28"/>
    <n v="0"/>
    <n v="28.57"/>
    <n v="0"/>
    <n v="0"/>
    <n v="0"/>
    <n v="0"/>
    <n v="0"/>
    <n v="0"/>
    <n v="0"/>
    <n v="0"/>
    <n v="0"/>
    <n v="0"/>
    <n v="0"/>
    <n v="0"/>
    <n v="0"/>
    <n v="0"/>
    <n v="0"/>
    <n v="0"/>
    <n v="0"/>
    <n v="28.57"/>
    <n v="28.57"/>
    <n v="0"/>
    <n v="28.57"/>
    <m/>
    <m/>
    <m/>
    <m/>
    <m/>
    <m/>
    <m/>
    <m/>
    <m/>
    <m/>
    <m/>
    <m/>
    <m/>
    <m/>
    <m/>
    <m/>
    <m/>
    <m/>
    <m/>
    <m/>
    <m/>
    <m/>
    <m/>
    <m/>
    <m/>
    <m/>
    <m/>
    <m/>
    <m/>
    <m/>
    <m/>
    <m/>
    <m/>
    <m/>
    <m/>
    <m/>
    <m/>
    <m/>
    <m/>
    <m/>
    <m/>
    <m/>
    <m/>
    <m/>
    <m/>
    <m/>
    <m/>
    <m/>
    <m/>
  </r>
  <r>
    <n v="742"/>
    <d v="2025-04-02T00:00:00"/>
    <s v="ZBTO"/>
    <n v="9518665413"/>
    <n v="1"/>
    <s v="9518665413-1"/>
    <s v="May'25"/>
    <x v="0"/>
    <s v="Yes"/>
    <x v="1"/>
    <x v="1"/>
    <s v="2000-BPRS"/>
    <m/>
    <x v="1"/>
    <m/>
    <m/>
    <m/>
    <s v="East"/>
    <s v="GUWAHATI"/>
    <m/>
    <n v="116649"/>
    <x v="24"/>
    <n v="189866"/>
    <s v="CRSHEET TATXXD AU03 1.20X1250X2500"/>
    <s v=" "/>
    <s v=""/>
    <n v="2"/>
    <n v="3"/>
    <m/>
    <s v="C06"/>
    <s v="TATXXD"/>
    <s v="AU03"/>
    <n v="1.2"/>
    <n v="1250"/>
    <n v="2500"/>
    <n v="24"/>
    <n v="0"/>
    <n v="24"/>
    <n v="24"/>
    <n v="24"/>
    <n v="24"/>
    <n v="0"/>
    <n v="0"/>
    <n v="0"/>
    <n v="0"/>
    <n v="0"/>
    <n v="0"/>
    <n v="0"/>
    <n v="0"/>
    <n v="0"/>
    <n v="0"/>
    <n v="0"/>
    <n v="0"/>
    <n v="0"/>
    <n v="0"/>
    <n v="0"/>
    <n v="0"/>
    <n v="0"/>
    <n v="0"/>
    <n v="0"/>
    <n v="0"/>
    <n v="0"/>
    <n v="0"/>
    <n v="0"/>
    <m/>
    <m/>
    <m/>
    <m/>
    <m/>
    <m/>
    <m/>
    <m/>
    <m/>
    <m/>
    <m/>
    <m/>
    <m/>
    <m/>
    <m/>
    <m/>
    <m/>
    <m/>
    <m/>
    <m/>
    <m/>
    <m/>
    <m/>
    <m/>
    <m/>
    <m/>
    <m/>
    <m/>
    <m/>
    <m/>
    <m/>
    <m/>
    <m/>
    <m/>
    <m/>
    <m/>
    <m/>
    <m/>
    <m/>
    <m/>
    <m/>
    <m/>
    <m/>
    <m/>
    <m/>
    <m/>
    <m/>
    <m/>
    <m/>
  </r>
  <r>
    <n v="744"/>
    <d v="2025-04-05T00:00:00"/>
    <s v="ZBTO"/>
    <n v="9518671384"/>
    <n v="2"/>
    <s v="9518671384-2"/>
    <s v="May'25"/>
    <x v="0"/>
    <m/>
    <x v="2"/>
    <x v="3"/>
    <s v="1000-IPPE"/>
    <m/>
    <x v="1"/>
    <m/>
    <m/>
    <m/>
    <s v="TBSPL"/>
    <s v="GAMHARIA"/>
    <m/>
    <n v="940016"/>
    <x v="15"/>
    <n v="3941967"/>
    <s v="PPGL C HARD Y550PL D0C9 0.60(TPT)X1220"/>
    <s v="AZ150"/>
    <s v="RAL 5012 TSL 1802"/>
    <n v="3"/>
    <n v="5"/>
    <m/>
    <s v="B18"/>
    <s v="Y550PL"/>
    <s v="D0C9"/>
    <n v="0.6"/>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05T00:00:00"/>
    <s v="ZBTO"/>
    <n v="9518671242"/>
    <n v="1"/>
    <s v="9518671242-1"/>
    <s v="May'25"/>
    <x v="0"/>
    <s v="Yes"/>
    <x v="2"/>
    <x v="3"/>
    <s v="1000-IPPE"/>
    <m/>
    <x v="1"/>
    <m/>
    <m/>
    <m/>
    <s v="TBSPL"/>
    <s v="GAMHARIA"/>
    <m/>
    <n v="940016"/>
    <x v="15"/>
    <n v="3522241"/>
    <s v="PPGL C Y550 D0C7 0.43BMT(0.47TPT)X1220"/>
    <s v="aZ70"/>
    <s v="NG BRIGHT GREEN TSL 2211"/>
    <n v="3"/>
    <n v="5"/>
    <m/>
    <s v="B18"/>
    <s v="Y550PL"/>
    <s v="D0C7"/>
    <n v="0.43"/>
    <n v="1220"/>
    <n v="0"/>
    <n v="27.998999999999999"/>
    <n v="0"/>
    <n v="27.998999999999999"/>
    <n v="27.998999999999999"/>
    <n v="27.998999999999999"/>
    <n v="27.998999999999999"/>
    <n v="0"/>
    <n v="0"/>
    <n v="0"/>
    <n v="0"/>
    <n v="0"/>
    <n v="0"/>
    <n v="0"/>
    <n v="0"/>
    <n v="0"/>
    <n v="0"/>
    <n v="0"/>
    <n v="0"/>
    <n v="0"/>
    <n v="0"/>
    <n v="0"/>
    <n v="0"/>
    <n v="0"/>
    <n v="0"/>
    <n v="0"/>
    <n v="0"/>
    <n v="0"/>
    <n v="0"/>
    <n v="0"/>
    <m/>
    <m/>
    <m/>
    <m/>
    <m/>
    <m/>
    <m/>
    <m/>
    <m/>
    <m/>
    <m/>
    <m/>
    <m/>
    <m/>
    <m/>
    <m/>
    <m/>
    <m/>
    <m/>
    <m/>
    <m/>
    <m/>
    <m/>
    <m/>
    <m/>
    <m/>
    <m/>
    <m/>
    <m/>
    <m/>
    <m/>
    <m/>
    <m/>
    <m/>
    <m/>
    <m/>
    <m/>
    <m/>
    <m/>
    <m/>
    <m/>
    <m/>
    <m/>
    <m/>
    <m/>
    <m/>
    <m/>
    <m/>
    <m/>
  </r>
  <r>
    <n v="744"/>
    <d v="2025-04-05T00:00:00"/>
    <s v="ZBTO"/>
    <n v="9518671209"/>
    <n v="1"/>
    <s v="9518671209-1"/>
    <s v="May'25"/>
    <x v="0"/>
    <s v="Yes"/>
    <x v="2"/>
    <x v="3"/>
    <s v="1000-IPPE"/>
    <m/>
    <x v="1"/>
    <m/>
    <m/>
    <m/>
    <s v="TBSPL"/>
    <s v="GAMHARIA"/>
    <m/>
    <n v="940016"/>
    <x v="15"/>
    <n v="3522241"/>
    <s v="PPGL C Y550 D0C7 0.43BMT(0.47TPT)X1220"/>
    <s v="aZ70"/>
    <s v="NG BRIGHT GREEN TSL 2211"/>
    <n v="3"/>
    <n v="5"/>
    <m/>
    <s v="B18"/>
    <s v="Y550PL"/>
    <s v="D0C7"/>
    <n v="0.43"/>
    <n v="1220"/>
    <n v="0"/>
    <n v="55.999000000000002"/>
    <n v="0"/>
    <n v="55.999000000000002"/>
    <n v="55.999000000000002"/>
    <n v="55.999000000000002"/>
    <n v="55.999000000000002"/>
    <n v="0"/>
    <n v="0"/>
    <n v="0"/>
    <n v="0"/>
    <n v="0"/>
    <n v="0"/>
    <n v="0"/>
    <n v="0"/>
    <n v="0"/>
    <n v="0"/>
    <n v="0"/>
    <n v="0"/>
    <n v="0"/>
    <n v="0"/>
    <n v="0"/>
    <n v="0"/>
    <n v="0"/>
    <n v="0"/>
    <n v="0"/>
    <n v="0"/>
    <n v="0"/>
    <n v="0"/>
    <n v="0"/>
    <m/>
    <m/>
    <m/>
    <m/>
    <m/>
    <m/>
    <m/>
    <m/>
    <m/>
    <m/>
    <m/>
    <m/>
    <m/>
    <m/>
    <m/>
    <m/>
    <m/>
    <m/>
    <m/>
    <m/>
    <m/>
    <m/>
    <m/>
    <m/>
    <m/>
    <m/>
    <m/>
    <m/>
    <m/>
    <m/>
    <m/>
    <m/>
    <m/>
    <m/>
    <m/>
    <m/>
    <m/>
    <m/>
    <m/>
    <m/>
    <m/>
    <m/>
    <m/>
    <m/>
    <m/>
    <m/>
    <m/>
    <m/>
    <m/>
  </r>
  <r>
    <n v="743"/>
    <d v="2025-04-02T00:00:00"/>
    <s v="ZBTO"/>
    <n v="9518664230"/>
    <n v="1"/>
    <s v="9518664230-1"/>
    <s v="No Priority"/>
    <x v="0"/>
    <m/>
    <x v="3"/>
    <x v="9"/>
    <s v="2000-BPRS"/>
    <m/>
    <x v="0"/>
    <m/>
    <m/>
    <m/>
    <s v="East"/>
    <s v="URLA"/>
    <m/>
    <n v="139336"/>
    <x v="89"/>
    <n v="1191955"/>
    <s v="GP COIL SOFT-TATXGP-GK09-0.3X900"/>
    <s v="Z80"/>
    <s v=""/>
    <n v="3"/>
    <n v="5"/>
    <m/>
    <s v="C02"/>
    <s v="TATXGP"/>
    <s v="GK09"/>
    <n v="0.3"/>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4-10T00:00:00"/>
    <s v="ZBTO"/>
    <n v="9518683208"/>
    <n v="3"/>
    <s v="9518683208-3"/>
    <s v="No Priority"/>
    <x v="0"/>
    <m/>
    <x v="1"/>
    <x v="1"/>
    <s v="2000-BPRS"/>
    <m/>
    <x v="0"/>
    <m/>
    <m/>
    <m/>
    <s v="South"/>
    <s v="VISHAKHAPATNAM"/>
    <m/>
    <n v="946077"/>
    <x v="8"/>
    <n v="1801804"/>
    <s v="CRCA COIL-TATXXD-AU03-1X1250"/>
    <s v=" "/>
    <s v=""/>
    <n v="8"/>
    <n v="29"/>
    <m/>
    <s v="C01"/>
    <s v="TATXXD"/>
    <s v="AU03"/>
    <n v="1"/>
    <n v="1250"/>
    <n v="0"/>
    <n v="29"/>
    <n v="0"/>
    <n v="29"/>
    <n v="4.59"/>
    <n v="29"/>
    <n v="29"/>
    <n v="0"/>
    <n v="0"/>
    <n v="0"/>
    <n v="0"/>
    <n v="0"/>
    <n v="0"/>
    <n v="0"/>
    <n v="0"/>
    <n v="0"/>
    <n v="0"/>
    <n v="0"/>
    <n v="0"/>
    <n v="0"/>
    <n v="0"/>
    <n v="0"/>
    <n v="0"/>
    <n v="0"/>
    <n v="0"/>
    <n v="0"/>
    <n v="0"/>
    <n v="0"/>
    <n v="0"/>
    <n v="0"/>
    <m/>
    <m/>
    <m/>
    <m/>
    <m/>
    <m/>
    <m/>
    <m/>
    <m/>
    <m/>
    <m/>
    <m/>
    <m/>
    <m/>
    <m/>
    <m/>
    <m/>
    <m/>
    <m/>
    <m/>
    <m/>
    <m/>
    <m/>
    <m/>
    <m/>
    <m/>
    <m/>
    <m/>
    <m/>
    <m/>
    <m/>
    <m/>
    <m/>
    <m/>
    <m/>
    <m/>
    <m/>
    <m/>
    <m/>
    <m/>
    <m/>
    <m/>
    <m/>
    <m/>
    <m/>
    <m/>
    <m/>
    <m/>
    <m/>
  </r>
  <r>
    <n v="742"/>
    <d v="2025-04-10T00:00:00"/>
    <s v="ZBTO"/>
    <n v="9518683208"/>
    <n v="4"/>
    <s v="9518683208-4"/>
    <s v="No Priority"/>
    <x v="0"/>
    <m/>
    <x v="1"/>
    <x v="1"/>
    <s v="2000-BPRS"/>
    <m/>
    <x v="0"/>
    <m/>
    <m/>
    <m/>
    <s v="South"/>
    <s v="VISHAKHAPATNAM"/>
    <m/>
    <n v="946077"/>
    <x v="8"/>
    <n v="1804854"/>
    <s v="CRCA COIL-TATXXD-AU03-1.2X1250"/>
    <s v=" "/>
    <s v=""/>
    <n v="8"/>
    <n v="29"/>
    <m/>
    <s v="C01"/>
    <s v="TATXXD"/>
    <s v="AU03"/>
    <n v="1.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0T00:00:00"/>
    <s v="ZBTO"/>
    <n v="9518683208"/>
    <n v="5"/>
    <s v="9518683208-5"/>
    <s v="No Priority"/>
    <x v="0"/>
    <m/>
    <x v="1"/>
    <x v="1"/>
    <s v="2000-BPRS"/>
    <m/>
    <x v="0"/>
    <m/>
    <m/>
    <m/>
    <s v="South"/>
    <s v="VISHAKHAPATNAM"/>
    <m/>
    <n v="946077"/>
    <x v="8"/>
    <n v="2334995"/>
    <s v="CRCA COIL TATXXD AU03 1.500X1250"/>
    <s v=" "/>
    <s v=""/>
    <n v="8"/>
    <n v="29"/>
    <m/>
    <s v="C01"/>
    <s v="TATXXD"/>
    <s v="AU03"/>
    <n v="1.5"/>
    <n v="1250"/>
    <n v="0"/>
    <n v="29"/>
    <n v="0"/>
    <n v="29"/>
    <n v="0.84"/>
    <n v="0"/>
    <n v="3.6949999999999998"/>
    <n v="0"/>
    <n v="0"/>
    <n v="0"/>
    <n v="0"/>
    <n v="0"/>
    <n v="0"/>
    <n v="0"/>
    <n v="0"/>
    <n v="0"/>
    <n v="0"/>
    <n v="0"/>
    <n v="0"/>
    <n v="0"/>
    <n v="0"/>
    <n v="0"/>
    <n v="0"/>
    <n v="0"/>
    <n v="0"/>
    <n v="0"/>
    <n v="0"/>
    <n v="0"/>
    <n v="0"/>
    <n v="0"/>
    <m/>
    <m/>
    <m/>
    <m/>
    <m/>
    <m/>
    <m/>
    <m/>
    <m/>
    <m/>
    <m/>
    <m/>
    <m/>
    <m/>
    <m/>
    <m/>
    <m/>
    <m/>
    <m/>
    <m/>
    <m/>
    <m/>
    <m/>
    <m/>
    <m/>
    <m/>
    <m/>
    <m/>
    <m/>
    <m/>
    <m/>
    <m/>
    <m/>
    <m/>
    <m/>
    <m/>
    <m/>
    <m/>
    <m/>
    <m/>
    <m/>
    <m/>
    <m/>
    <m/>
    <m/>
    <m/>
    <m/>
    <m/>
    <m/>
  </r>
  <r>
    <n v="742"/>
    <d v="2025-04-10T00:00:00"/>
    <s v="ZBTO"/>
    <n v="9518683208"/>
    <n v="7"/>
    <s v="9518683208-7"/>
    <s v="No Priority"/>
    <x v="0"/>
    <m/>
    <x v="1"/>
    <x v="1"/>
    <s v="2000-BPRS"/>
    <m/>
    <x v="0"/>
    <m/>
    <m/>
    <m/>
    <s v="South"/>
    <s v="VISHAKHAPATNAM"/>
    <m/>
    <n v="946077"/>
    <x v="8"/>
    <n v="1884117"/>
    <s v="CRCA COIL-TATXXD-AU03-2X1250"/>
    <s v=" "/>
    <s v=""/>
    <n v="8"/>
    <n v="29"/>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0T00:00:00"/>
    <s v="ZBTO"/>
    <n v="9518683208"/>
    <n v="8"/>
    <s v="9518683208-8"/>
    <s v="No Priority"/>
    <x v="0"/>
    <m/>
    <x v="1"/>
    <x v="1"/>
    <s v="2000-BPRS"/>
    <m/>
    <x v="0"/>
    <m/>
    <m/>
    <m/>
    <s v="South"/>
    <s v="VISHAKHAPATNAM"/>
    <m/>
    <n v="946077"/>
    <x v="8"/>
    <n v="2155233"/>
    <s v="CRCA COIL TATXXD AU03 2.5X1250"/>
    <s v=" "/>
    <s v=""/>
    <n v="8"/>
    <n v="29"/>
    <m/>
    <s v="C01"/>
    <s v="TATXXD"/>
    <s v="AU03"/>
    <n v="2.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21T00:00:00"/>
    <s v="ZBTO"/>
    <n v="9518620674"/>
    <n v="4"/>
    <s v="9518620674-4"/>
    <s v="No Priority"/>
    <x v="0"/>
    <m/>
    <x v="1"/>
    <x v="1"/>
    <s v="2000-BPRS"/>
    <m/>
    <x v="0"/>
    <m/>
    <m/>
    <m/>
    <s v="South"/>
    <s v="CHENNAI"/>
    <m/>
    <n v="938550"/>
    <x v="4"/>
    <n v="2165170"/>
    <s v="CRCA COIL TATCRC TR15 0.400X900"/>
    <s v=" "/>
    <s v=""/>
    <n v="6"/>
    <n v="18"/>
    <m/>
    <s v="C01"/>
    <s v="TATCRC"/>
    <s v="TR15"/>
    <n v="0.4"/>
    <n v="900"/>
    <n v="0"/>
    <n v="63"/>
    <n v="0"/>
    <n v="63"/>
    <n v="63"/>
    <n v="63"/>
    <n v="63"/>
    <n v="0"/>
    <n v="0"/>
    <n v="0"/>
    <n v="0"/>
    <n v="0"/>
    <n v="0"/>
    <n v="0"/>
    <n v="0"/>
    <n v="0"/>
    <n v="0"/>
    <n v="0"/>
    <n v="0"/>
    <n v="0"/>
    <n v="0"/>
    <n v="0"/>
    <n v="0"/>
    <n v="0"/>
    <n v="0"/>
    <n v="0"/>
    <n v="0"/>
    <n v="0"/>
    <n v="0"/>
    <n v="0"/>
    <m/>
    <m/>
    <m/>
    <m/>
    <m/>
    <m/>
    <m/>
    <m/>
    <m/>
    <m/>
    <m/>
    <m/>
    <m/>
    <m/>
    <m/>
    <m/>
    <m/>
    <m/>
    <m/>
    <m/>
    <m/>
    <m/>
    <m/>
    <m/>
    <m/>
    <m/>
    <m/>
    <m/>
    <m/>
    <m/>
    <m/>
    <m/>
    <m/>
    <m/>
    <m/>
    <m/>
    <m/>
    <m/>
    <m/>
    <m/>
    <m/>
    <m/>
    <m/>
    <m/>
    <m/>
    <m/>
    <m/>
    <m/>
    <m/>
  </r>
  <r>
    <n v="742"/>
    <d v="2025-03-21T00:00:00"/>
    <s v="ZBTO"/>
    <n v="9518620674"/>
    <n v="5"/>
    <s v="9518620674-5"/>
    <s v="No Priority"/>
    <x v="0"/>
    <m/>
    <x v="1"/>
    <x v="1"/>
    <s v="2000-BPRS"/>
    <m/>
    <x v="0"/>
    <m/>
    <m/>
    <m/>
    <s v="South"/>
    <s v="CHENNAI"/>
    <m/>
    <n v="938550"/>
    <x v="4"/>
    <n v="1804889"/>
    <s v="CRCA COIL-TATCRC-TR15-0.4X1000"/>
    <s v=" "/>
    <s v=""/>
    <n v="6"/>
    <n v="18"/>
    <m/>
    <s v="C01"/>
    <s v="TATCRC"/>
    <s v="TR15"/>
    <n v="0.4"/>
    <n v="1000"/>
    <n v="0"/>
    <n v="69"/>
    <n v="0"/>
    <n v="69"/>
    <n v="69"/>
    <n v="69"/>
    <n v="69"/>
    <n v="0"/>
    <n v="0"/>
    <n v="0"/>
    <n v="0"/>
    <n v="0"/>
    <n v="0"/>
    <n v="0"/>
    <n v="0"/>
    <n v="0"/>
    <n v="0"/>
    <n v="0"/>
    <n v="0"/>
    <n v="0"/>
    <n v="0"/>
    <n v="0"/>
    <n v="0"/>
    <n v="0"/>
    <n v="0"/>
    <n v="0"/>
    <n v="0"/>
    <n v="0"/>
    <n v="0"/>
    <n v="0"/>
    <m/>
    <m/>
    <m/>
    <m/>
    <m/>
    <m/>
    <m/>
    <m/>
    <m/>
    <m/>
    <m/>
    <m/>
    <m/>
    <m/>
    <m/>
    <m/>
    <m/>
    <m/>
    <m/>
    <m/>
    <m/>
    <m/>
    <m/>
    <m/>
    <m/>
    <m/>
    <m/>
    <m/>
    <m/>
    <m/>
    <m/>
    <m/>
    <m/>
    <m/>
    <m/>
    <m/>
    <m/>
    <m/>
    <m/>
    <m/>
    <m/>
    <m/>
    <m/>
    <m/>
    <m/>
    <m/>
    <m/>
    <m/>
    <m/>
  </r>
  <r>
    <n v="743"/>
    <d v="2025-04-14T00:00:00"/>
    <s v="ZBTO"/>
    <n v="9518692595"/>
    <n v="3"/>
    <s v="9518692595-3"/>
    <s v="No Priority"/>
    <x v="0"/>
    <m/>
    <x v="3"/>
    <x v="0"/>
    <s v="2000-BPRS"/>
    <m/>
    <x v="0"/>
    <m/>
    <m/>
    <m/>
    <s v="East"/>
    <s v="TATANAGAR"/>
    <m/>
    <n v="165053"/>
    <x v="5"/>
    <n v="1852012"/>
    <s v="GP COIL SOFT-TSBXGP-N1GP-0.4X900"/>
    <s v="Z80"/>
    <s v=""/>
    <n v="4"/>
    <n v="12"/>
    <m/>
    <s v="C02"/>
    <s v="TSBXGP"/>
    <s v="N1GP"/>
    <n v="0.4"/>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4-14T00:00:00"/>
    <s v="ZBTO"/>
    <n v="9518692595"/>
    <n v="4"/>
    <s v="9518692595-4"/>
    <s v="No Priority"/>
    <x v="0"/>
    <m/>
    <x v="3"/>
    <x v="0"/>
    <s v="2000-BPRS"/>
    <m/>
    <x v="0"/>
    <m/>
    <m/>
    <m/>
    <s v="East"/>
    <s v="TATANAGAR"/>
    <m/>
    <n v="165053"/>
    <x v="5"/>
    <n v="1852246"/>
    <s v="GP COIL SOFT-TSBXGP-N1GP-0.5X900"/>
    <s v="Z80"/>
    <s v=""/>
    <n v="4"/>
    <n v="12"/>
    <m/>
    <s v="C02"/>
    <s v="TSBXGP"/>
    <s v="N1GP"/>
    <n v="0.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4-14T00:00:00"/>
    <s v="ZBTO"/>
    <n v="9518692595"/>
    <n v="5"/>
    <s v="9518692595-5"/>
    <s v="No Priority"/>
    <x v="0"/>
    <m/>
    <x v="3"/>
    <x v="0"/>
    <s v="2000-BPRS"/>
    <m/>
    <x v="0"/>
    <m/>
    <m/>
    <m/>
    <s v="East"/>
    <s v="TATANAGAR"/>
    <m/>
    <n v="165053"/>
    <x v="5"/>
    <n v="1852414"/>
    <s v="GP COIL SOFT-TSBXGP-N1GP-0.6X900"/>
    <s v="Z80"/>
    <s v=""/>
    <n v="4"/>
    <n v="12"/>
    <m/>
    <s v="C02"/>
    <s v="TSBXGP"/>
    <s v="N1GP"/>
    <n v="0.6"/>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4-14T00:00:00"/>
    <s v="ZBTO"/>
    <n v="9518692595"/>
    <n v="6"/>
    <s v="9518692595-6"/>
    <s v="No Priority"/>
    <x v="0"/>
    <m/>
    <x v="3"/>
    <x v="0"/>
    <s v="2000-BPRS"/>
    <m/>
    <x v="0"/>
    <m/>
    <m/>
    <m/>
    <s v="East"/>
    <s v="TATANAGAR"/>
    <m/>
    <n v="165053"/>
    <x v="5"/>
    <n v="1852445"/>
    <s v="GP COIL SOFT-TSBXGP-T1GP-0.6X1250"/>
    <s v="Z80"/>
    <s v=""/>
    <n v="4"/>
    <n v="12"/>
    <m/>
    <s v="C02"/>
    <s v="TSBXGP"/>
    <s v="T1GP"/>
    <n v="0.6"/>
    <n v="1250"/>
    <n v="0"/>
    <n v="29"/>
    <n v="0"/>
    <n v="29"/>
    <n v="29"/>
    <n v="0"/>
    <n v="29"/>
    <n v="0"/>
    <n v="0"/>
    <n v="0"/>
    <n v="0"/>
    <n v="0"/>
    <n v="0"/>
    <n v="0"/>
    <n v="0"/>
    <n v="0"/>
    <n v="0"/>
    <n v="0"/>
    <n v="0"/>
    <n v="0"/>
    <n v="0"/>
    <n v="0"/>
    <n v="0"/>
    <n v="0"/>
    <n v="0"/>
    <n v="0"/>
    <n v="0"/>
    <n v="0"/>
    <n v="29"/>
    <n v="29"/>
    <m/>
    <m/>
    <m/>
    <m/>
    <m/>
    <m/>
    <m/>
    <m/>
    <m/>
    <m/>
    <m/>
    <m/>
    <m/>
    <m/>
    <m/>
    <m/>
    <m/>
    <m/>
    <m/>
    <m/>
    <m/>
    <m/>
    <m/>
    <m/>
    <m/>
    <m/>
    <m/>
    <m/>
    <m/>
    <m/>
    <m/>
    <m/>
    <m/>
    <m/>
    <m/>
    <m/>
    <m/>
    <m/>
    <m/>
    <m/>
    <m/>
    <m/>
    <m/>
    <m/>
    <m/>
    <m/>
    <m/>
    <m/>
    <m/>
  </r>
  <r>
    <n v="744"/>
    <d v="2025-03-13T00:00:00"/>
    <s v="ZBTO"/>
    <n v="9518599122"/>
    <n v="1"/>
    <s v="9518599122-1"/>
    <s v="May'25"/>
    <x v="0"/>
    <m/>
    <x v="2"/>
    <x v="3"/>
    <s v="1000-IPPE"/>
    <m/>
    <x v="1"/>
    <m/>
    <m/>
    <m/>
    <s v="TBSPL"/>
    <s v=" "/>
    <m/>
    <n v="941597"/>
    <x v="6"/>
    <n v="3902332"/>
    <s v="PPGL C HARD Y550PL D0C9 0.50(TPT)X1220"/>
    <s v="AZ150"/>
    <s v="RAL 7015 TSL 1805"/>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11T00:00:00"/>
    <s v="ZBTO"/>
    <n v="9518591774"/>
    <n v="2"/>
    <s v="9518591774-2"/>
    <s v="No Priority"/>
    <x v="0"/>
    <m/>
    <x v="1"/>
    <x v="1"/>
    <s v="2000-BPRS"/>
    <m/>
    <x v="0"/>
    <m/>
    <m/>
    <m/>
    <s v="North"/>
    <s v="ZOSOLA"/>
    <m/>
    <n v="936527"/>
    <x v="52"/>
    <n v="185664"/>
    <s v="CRSHEET-ICF  DQ TATXXD AU03 0.40 X 1250"/>
    <s v=" "/>
    <s v=""/>
    <n v="10"/>
    <n v="30"/>
    <m/>
    <s v="C01"/>
    <s v="TATXXD"/>
    <s v="AU03"/>
    <n v="0.4"/>
    <n v="1250"/>
    <n v="0"/>
    <n v="87"/>
    <n v="0"/>
    <n v="87"/>
    <n v="87"/>
    <n v="87"/>
    <n v="87"/>
    <n v="0"/>
    <n v="0"/>
    <n v="0"/>
    <n v="0"/>
    <n v="0"/>
    <n v="0"/>
    <n v="0"/>
    <n v="0"/>
    <n v="0"/>
    <n v="0"/>
    <n v="0"/>
    <n v="0"/>
    <n v="0"/>
    <n v="0"/>
    <n v="0"/>
    <n v="0"/>
    <n v="0"/>
    <n v="0"/>
    <n v="0"/>
    <n v="0"/>
    <n v="0"/>
    <n v="0"/>
    <n v="0"/>
    <m/>
    <m/>
    <m/>
    <m/>
    <m/>
    <m/>
    <m/>
    <m/>
    <m/>
    <m/>
    <m/>
    <m/>
    <m/>
    <m/>
    <m/>
    <m/>
    <m/>
    <m/>
    <m/>
    <m/>
    <m/>
    <m/>
    <m/>
    <m/>
    <m/>
    <m/>
    <m/>
    <m/>
    <m/>
    <m/>
    <m/>
    <m/>
    <m/>
    <m/>
    <m/>
    <m/>
    <m/>
    <m/>
    <m/>
    <m/>
    <m/>
    <m/>
    <m/>
    <m/>
    <m/>
    <m/>
    <m/>
    <m/>
    <m/>
  </r>
  <r>
    <n v="742"/>
    <d v="2025-03-11T00:00:00"/>
    <s v="ZBTO"/>
    <n v="9518591774"/>
    <n v="13"/>
    <s v="9518591774-13"/>
    <s v="No Priority"/>
    <x v="0"/>
    <m/>
    <x v="1"/>
    <x v="1"/>
    <s v="2000-BPRS"/>
    <m/>
    <x v="0"/>
    <m/>
    <m/>
    <m/>
    <s v="North"/>
    <s v="ZOSOLA"/>
    <m/>
    <n v="936527"/>
    <x v="52"/>
    <n v="1801804"/>
    <s v="CRCA COIL-TATXXD-AU03-1X1250"/>
    <s v=" "/>
    <s v=""/>
    <n v="10"/>
    <n v="30"/>
    <m/>
    <s v="C01"/>
    <s v="TATXXD"/>
    <s v="AU03"/>
    <n v="1"/>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3-11T00:00:00"/>
    <s v="ZBTO"/>
    <n v="9518591774"/>
    <n v="19"/>
    <s v="9518591774-19"/>
    <s v="May'25"/>
    <x v="0"/>
    <m/>
    <x v="1"/>
    <x v="1"/>
    <s v="2000-BPRS"/>
    <m/>
    <x v="1"/>
    <m/>
    <m/>
    <m/>
    <s v="North"/>
    <s v="ZOSOLA"/>
    <m/>
    <n v="936527"/>
    <x v="52"/>
    <n v="2390540"/>
    <s v="CRCA COIL TATXXD AU03 1.800X1250"/>
    <s v=" "/>
    <s v=""/>
    <n v="10"/>
    <n v="30"/>
    <m/>
    <s v="C01"/>
    <s v="TATXXD"/>
    <s v="AU03"/>
    <n v="1.8"/>
    <n v="1250"/>
    <n v="0"/>
    <n v="29"/>
    <n v="0"/>
    <n v="29"/>
    <n v="29"/>
    <n v="8.36"/>
    <n v="29"/>
    <n v="0"/>
    <n v="0"/>
    <n v="0"/>
    <n v="0"/>
    <n v="0"/>
    <n v="0"/>
    <n v="0"/>
    <n v="0"/>
    <n v="0"/>
    <n v="0"/>
    <n v="0"/>
    <n v="0"/>
    <n v="0"/>
    <n v="20.64"/>
    <n v="0"/>
    <n v="0"/>
    <n v="0"/>
    <n v="0"/>
    <n v="0"/>
    <n v="20.64"/>
    <n v="20.64"/>
    <n v="0"/>
    <n v="20.64"/>
    <m/>
    <m/>
    <m/>
    <m/>
    <m/>
    <m/>
    <m/>
    <m/>
    <m/>
    <m/>
    <m/>
    <m/>
    <m/>
    <m/>
    <m/>
    <m/>
    <m/>
    <m/>
    <m/>
    <m/>
    <m/>
    <m/>
    <m/>
    <m/>
    <m/>
    <m/>
    <m/>
    <m/>
    <m/>
    <m/>
    <m/>
    <m/>
    <m/>
    <m/>
    <m/>
    <m/>
    <m/>
    <m/>
    <m/>
    <m/>
    <m/>
    <m/>
    <m/>
    <m/>
    <m/>
    <m/>
    <m/>
    <m/>
    <m/>
  </r>
  <r>
    <n v="742"/>
    <d v="2025-03-25T00:00:00"/>
    <s v="ZBTO"/>
    <n v="9518633792"/>
    <n v="1"/>
    <s v="9518633792-1"/>
    <s v="May'25"/>
    <x v="0"/>
    <s v="Yes"/>
    <x v="1"/>
    <x v="1"/>
    <s v="2000-BPRS"/>
    <m/>
    <x v="1"/>
    <m/>
    <m/>
    <m/>
    <s v="South"/>
    <s v="YESHWANTHPURA"/>
    <m/>
    <n v="939268"/>
    <x v="0"/>
    <n v="185675"/>
    <s v="CRCA COIL-TATXXD-AU03-0.5X1250"/>
    <s v=" "/>
    <s v=""/>
    <n v="2"/>
    <n v="30"/>
    <m/>
    <s v="C01"/>
    <s v="TATXXD"/>
    <s v="AU03"/>
    <n v="0.5"/>
    <n v="1250"/>
    <n v="0"/>
    <n v="203"/>
    <n v="0"/>
    <n v="203"/>
    <n v="203"/>
    <n v="35.050000000000011"/>
    <n v="166.21"/>
    <n v="0"/>
    <n v="0"/>
    <n v="0"/>
    <n v="0"/>
    <n v="0"/>
    <n v="0"/>
    <n v="0"/>
    <n v="0"/>
    <n v="0"/>
    <n v="0"/>
    <n v="0"/>
    <n v="0"/>
    <n v="20.88"/>
    <n v="135.09"/>
    <n v="0"/>
    <n v="11.98"/>
    <n v="0"/>
    <n v="0"/>
    <n v="0"/>
    <n v="167.95"/>
    <n v="167.95"/>
    <n v="0"/>
    <n v="167.95"/>
    <m/>
    <m/>
    <m/>
    <m/>
    <m/>
    <m/>
    <m/>
    <m/>
    <m/>
    <m/>
    <m/>
    <m/>
    <m/>
    <m/>
    <m/>
    <m/>
    <m/>
    <m/>
    <m/>
    <m/>
    <m/>
    <m/>
    <m/>
    <m/>
    <m/>
    <m/>
    <m/>
    <m/>
    <m/>
    <m/>
    <m/>
    <m/>
    <m/>
    <m/>
    <m/>
    <m/>
    <m/>
    <m/>
    <m/>
    <m/>
    <m/>
    <m/>
    <m/>
    <m/>
    <m/>
    <m/>
    <m/>
    <m/>
    <m/>
  </r>
  <r>
    <n v="742"/>
    <d v="2025-03-11T00:00:00"/>
    <s v="ZBTO"/>
    <n v="9518591869"/>
    <n v="14"/>
    <s v="9518591869-14"/>
    <s v="No Priority"/>
    <x v="0"/>
    <m/>
    <x v="1"/>
    <x v="1"/>
    <s v="2000-BPRS"/>
    <m/>
    <x v="0"/>
    <m/>
    <m/>
    <m/>
    <s v="North"/>
    <s v="FARIDABAD"/>
    <m/>
    <n v="936527"/>
    <x v="52"/>
    <n v="2193598"/>
    <s v="CRCA COIL TATXXD AU03 1.900X1250"/>
    <s v=" "/>
    <s v=""/>
    <n v="10"/>
    <n v="30"/>
    <m/>
    <s v="C01"/>
    <s v="TATXXD"/>
    <s v="AU03"/>
    <n v="1.9"/>
    <n v="1250"/>
    <n v="0"/>
    <n v="29"/>
    <n v="0"/>
    <n v="29"/>
    <n v="29"/>
    <n v="29"/>
    <n v="0"/>
    <n v="0"/>
    <n v="0"/>
    <n v="0"/>
    <n v="0"/>
    <n v="0"/>
    <n v="0"/>
    <n v="0"/>
    <n v="0"/>
    <n v="0"/>
    <n v="0"/>
    <n v="0"/>
    <n v="0"/>
    <n v="0"/>
    <n v="0"/>
    <n v="0"/>
    <n v="0"/>
    <n v="0"/>
    <n v="0"/>
    <n v="0"/>
    <n v="0"/>
    <n v="0"/>
    <n v="0"/>
    <n v="0"/>
    <m/>
    <m/>
    <m/>
    <m/>
    <m/>
    <m/>
    <m/>
    <m/>
    <m/>
    <m/>
    <m/>
    <m/>
    <m/>
    <m/>
    <m/>
    <m/>
    <m/>
    <m/>
    <m/>
    <m/>
    <m/>
    <m/>
    <m/>
    <m/>
    <m/>
    <m/>
    <m/>
    <m/>
    <m/>
    <m/>
    <m/>
    <m/>
    <m/>
    <m/>
    <m/>
    <m/>
    <m/>
    <m/>
    <m/>
    <m/>
    <m/>
    <m/>
    <m/>
    <m/>
    <m/>
    <m/>
    <m/>
    <m/>
    <m/>
  </r>
  <r>
    <n v="742"/>
    <d v="2025-03-20T00:00:00"/>
    <s v="ZBTO"/>
    <n v="9518617286"/>
    <n v="2"/>
    <s v="9518617286-2"/>
    <s v="No Priority"/>
    <x v="0"/>
    <m/>
    <x v="1"/>
    <x v="1"/>
    <s v="2000-BPRS"/>
    <m/>
    <x v="0"/>
    <m/>
    <m/>
    <m/>
    <s v="North"/>
    <s v="ZOSOLA"/>
    <m/>
    <n v="101446"/>
    <x v="87"/>
    <n v="1804826"/>
    <s v="CRCA COIL-TATXXD-AU03-0.9X1250"/>
    <s v=" "/>
    <s v=""/>
    <n v="10"/>
    <n v="30"/>
    <m/>
    <s v="C01"/>
    <s v="TATXXD"/>
    <s v="AU03"/>
    <n v="0.9"/>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20T00:00:00"/>
    <s v="ZBTO"/>
    <n v="9518617286"/>
    <n v="3"/>
    <s v="9518617286-3"/>
    <s v="No Priority"/>
    <x v="0"/>
    <m/>
    <x v="1"/>
    <x v="1"/>
    <s v="2000-BPRS"/>
    <m/>
    <x v="0"/>
    <m/>
    <m/>
    <m/>
    <s v="North"/>
    <s v="ZOSOLA"/>
    <m/>
    <n v="101446"/>
    <x v="87"/>
    <n v="2403370"/>
    <s v="CRCA COIL TATXXD AU03 0.950X1250"/>
    <s v=" "/>
    <s v=""/>
    <n v="10"/>
    <n v="30"/>
    <m/>
    <s v="C01"/>
    <s v="TATXXD"/>
    <s v="AU03"/>
    <n v="0.95"/>
    <n v="1250"/>
    <n v="0"/>
    <n v="58"/>
    <n v="0"/>
    <n v="58"/>
    <n v="58"/>
    <n v="58"/>
    <n v="58"/>
    <n v="0"/>
    <n v="0"/>
    <n v="0"/>
    <n v="0"/>
    <n v="0"/>
    <n v="0"/>
    <n v="0"/>
    <n v="0"/>
    <n v="0"/>
    <n v="0"/>
    <n v="0"/>
    <n v="0"/>
    <n v="0"/>
    <n v="0"/>
    <n v="0"/>
    <n v="0"/>
    <n v="0"/>
    <n v="0"/>
    <n v="0"/>
    <n v="0"/>
    <n v="0"/>
    <n v="0"/>
    <n v="0"/>
    <m/>
    <m/>
    <m/>
    <m/>
    <m/>
    <m/>
    <m/>
    <m/>
    <m/>
    <m/>
    <m/>
    <m/>
    <m/>
    <m/>
    <m/>
    <m/>
    <m/>
    <m/>
    <m/>
    <m/>
    <m/>
    <m/>
    <m/>
    <m/>
    <m/>
    <m/>
    <m/>
    <m/>
    <m/>
    <m/>
    <m/>
    <m/>
    <m/>
    <m/>
    <m/>
    <m/>
    <m/>
    <m/>
    <m/>
    <m/>
    <m/>
    <m/>
    <m/>
    <m/>
    <m/>
    <m/>
    <m/>
    <m/>
    <m/>
  </r>
  <r>
    <n v="743"/>
    <d v="2025-04-14T00:00:00"/>
    <s v="ZBTO"/>
    <n v="9518692103"/>
    <n v="5"/>
    <s v="9518692103-5"/>
    <s v="No Priority"/>
    <x v="0"/>
    <m/>
    <x v="3"/>
    <x v="9"/>
    <s v="2000-BPRS"/>
    <m/>
    <x v="0"/>
    <m/>
    <m/>
    <m/>
    <s v="East"/>
    <s v="WEST BOKARO"/>
    <m/>
    <n v="185794"/>
    <x v="12"/>
    <n v="1178439"/>
    <s v="GP COIL SOFT-TATXGP-GK09-0.4X900"/>
    <s v="Z80"/>
    <s v=""/>
    <n v="4"/>
    <n v="12"/>
    <m/>
    <s v="C02"/>
    <s v="TATXGP"/>
    <s v="GK09"/>
    <n v="0.4"/>
    <n v="900"/>
    <n v="0"/>
    <n v="189"/>
    <n v="0"/>
    <n v="189"/>
    <n v="189"/>
    <n v="189"/>
    <n v="189"/>
    <n v="0"/>
    <n v="0"/>
    <n v="0"/>
    <n v="0"/>
    <n v="0"/>
    <n v="0"/>
    <n v="0"/>
    <n v="0"/>
    <n v="0"/>
    <n v="0"/>
    <n v="0"/>
    <n v="0"/>
    <n v="0"/>
    <n v="0"/>
    <n v="0"/>
    <n v="0"/>
    <n v="0"/>
    <n v="0"/>
    <n v="0"/>
    <n v="0"/>
    <n v="0"/>
    <n v="0"/>
    <n v="0"/>
    <m/>
    <m/>
    <m/>
    <m/>
    <m/>
    <m/>
    <m/>
    <m/>
    <m/>
    <m/>
    <m/>
    <m/>
    <m/>
    <m/>
    <m/>
    <m/>
    <m/>
    <m/>
    <m/>
    <m/>
    <m/>
    <m/>
    <m/>
    <m/>
    <m/>
    <m/>
    <m/>
    <m/>
    <m/>
    <m/>
    <m/>
    <m/>
    <m/>
    <m/>
    <m/>
    <m/>
    <m/>
    <m/>
    <m/>
    <m/>
    <m/>
    <m/>
    <m/>
    <m/>
    <m/>
    <m/>
    <m/>
    <m/>
    <m/>
  </r>
  <r>
    <n v="743"/>
    <d v="2025-04-14T00:00:00"/>
    <s v="ZBTO"/>
    <n v="9518692103"/>
    <n v="6"/>
    <s v="9518692103-6"/>
    <s v="No Priority"/>
    <x v="0"/>
    <m/>
    <x v="3"/>
    <x v="9"/>
    <s v="2000-BPRS"/>
    <m/>
    <x v="0"/>
    <m/>
    <m/>
    <m/>
    <s v="East"/>
    <s v="WEST BOKARO"/>
    <m/>
    <n v="185794"/>
    <x v="12"/>
    <n v="1178439"/>
    <s v="GP COIL SOFT-TATXGP-GK09-0.4X900"/>
    <s v="Z80"/>
    <s v=""/>
    <n v="4"/>
    <n v="12"/>
    <m/>
    <s v="C02"/>
    <s v="TATXGP"/>
    <s v="GK09"/>
    <n v="0.4"/>
    <n v="900"/>
    <n v="0"/>
    <n v="168"/>
    <n v="0"/>
    <n v="168"/>
    <n v="168"/>
    <n v="168"/>
    <n v="168"/>
    <n v="0"/>
    <n v="0"/>
    <n v="0"/>
    <n v="0"/>
    <n v="0"/>
    <n v="0"/>
    <n v="0"/>
    <n v="0"/>
    <n v="0"/>
    <n v="0"/>
    <n v="0"/>
    <n v="0"/>
    <n v="0"/>
    <n v="0"/>
    <n v="0"/>
    <n v="0"/>
    <n v="0"/>
    <n v="0"/>
    <n v="0"/>
    <n v="0"/>
    <n v="0"/>
    <n v="0"/>
    <n v="0"/>
    <m/>
    <m/>
    <m/>
    <m/>
    <m/>
    <m/>
    <m/>
    <m/>
    <m/>
    <m/>
    <m/>
    <m/>
    <m/>
    <m/>
    <m/>
    <m/>
    <m/>
    <m/>
    <m/>
    <m/>
    <m/>
    <m/>
    <m/>
    <m/>
    <m/>
    <m/>
    <m/>
    <m/>
    <m/>
    <m/>
    <m/>
    <m/>
    <m/>
    <m/>
    <m/>
    <m/>
    <m/>
    <m/>
    <m/>
    <m/>
    <m/>
    <m/>
    <m/>
    <m/>
    <m/>
    <m/>
    <m/>
    <m/>
    <m/>
  </r>
  <r>
    <n v="743"/>
    <d v="2025-04-11T00:00:00"/>
    <s v="ZBTO"/>
    <n v="9518683949"/>
    <n v="4"/>
    <s v="9518683949-4"/>
    <s v="May'25"/>
    <x v="0"/>
    <s v="Yes"/>
    <x v="3"/>
    <x v="9"/>
    <s v="2000-BPRS"/>
    <m/>
    <x v="1"/>
    <m/>
    <m/>
    <m/>
    <s v="East"/>
    <s v="WEST BENGAL"/>
    <m/>
    <n v="100922"/>
    <x v="36"/>
    <n v="1178439"/>
    <s v="GP COIL SOFT-TATXGP-GK09-0.4X900"/>
    <s v="Z80"/>
    <s v=""/>
    <n v="5"/>
    <n v="15"/>
    <m/>
    <s v="C02"/>
    <s v="TATXGP"/>
    <s v="GK09"/>
    <n v="0.4"/>
    <n v="900"/>
    <n v="0"/>
    <n v="147"/>
    <n v="0"/>
    <n v="147"/>
    <n v="147"/>
    <n v="12.680000000000007"/>
    <n v="147"/>
    <n v="0"/>
    <n v="0"/>
    <n v="0"/>
    <n v="0"/>
    <n v="0"/>
    <n v="0"/>
    <n v="134.32"/>
    <n v="0"/>
    <n v="0"/>
    <n v="0"/>
    <n v="0"/>
    <n v="0"/>
    <n v="0"/>
    <n v="0"/>
    <n v="0"/>
    <n v="0"/>
    <n v="0"/>
    <n v="0"/>
    <n v="0"/>
    <n v="134.32"/>
    <n v="134.32"/>
    <n v="0"/>
    <n v="134.32"/>
    <m/>
    <m/>
    <m/>
    <m/>
    <m/>
    <m/>
    <m/>
    <m/>
    <m/>
    <m/>
    <m/>
    <m/>
    <m/>
    <m/>
    <m/>
    <m/>
    <m/>
    <m/>
    <m/>
    <m/>
    <m/>
    <m/>
    <m/>
    <m/>
    <m/>
    <m/>
    <m/>
    <m/>
    <m/>
    <m/>
    <m/>
    <m/>
    <m/>
    <m/>
    <m/>
    <m/>
    <m/>
    <m/>
    <m/>
    <m/>
    <m/>
    <m/>
    <m/>
    <m/>
    <m/>
    <m/>
    <m/>
    <m/>
    <m/>
  </r>
  <r>
    <n v="744"/>
    <d v="2025-04-03T00:00:00"/>
    <s v="ZBTO"/>
    <n v="9518666670"/>
    <n v="2"/>
    <s v="9518666670-2"/>
    <s v="May'25"/>
    <x v="0"/>
    <m/>
    <x v="2"/>
    <x v="3"/>
    <s v="1000-IPPE"/>
    <m/>
    <x v="1"/>
    <m/>
    <m/>
    <m/>
    <s v="TBSPL"/>
    <s v=" "/>
    <m/>
    <n v="941597"/>
    <x v="6"/>
    <n v="3940122"/>
    <s v="PPGL C HARD Y550PL D0C9 0.470(TPT)X1220"/>
    <s v="AZ150"/>
    <s v="RAL 7015 TSL 1805"/>
    <n v="3"/>
    <n v="5"/>
    <m/>
    <s v="B18"/>
    <s v="Y550PL"/>
    <s v="D0C9"/>
    <n v="0.47"/>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4-10T00:00:00"/>
    <s v="ZBTO"/>
    <n v="9518683200"/>
    <n v="19"/>
    <s v="9518683200-19"/>
    <s v="No Priority"/>
    <x v="0"/>
    <s v="Yes"/>
    <x v="1"/>
    <x v="1"/>
    <s v="2000-BPRS"/>
    <m/>
    <x v="0"/>
    <m/>
    <m/>
    <m/>
    <s v="South"/>
    <s v="VISHAKHAPATNAM"/>
    <m/>
    <n v="946077"/>
    <x v="8"/>
    <n v="281630"/>
    <s v="CRSHEET C06 TATXXD AU03 1.6X1250X2500"/>
    <s v=" "/>
    <s v=""/>
    <n v="0"/>
    <n v="0"/>
    <m/>
    <s v="C06"/>
    <s v="TATXXD"/>
    <s v="AU03"/>
    <n v="1.6"/>
    <n v="1250"/>
    <n v="2500"/>
    <n v="30"/>
    <n v="0"/>
    <n v="30"/>
    <n v="30"/>
    <n v="30"/>
    <n v="8.15"/>
    <n v="0"/>
    <n v="0"/>
    <n v="0"/>
    <n v="0"/>
    <n v="0"/>
    <n v="0"/>
    <n v="0"/>
    <n v="0"/>
    <n v="0"/>
    <n v="0"/>
    <n v="0"/>
    <n v="0"/>
    <n v="0"/>
    <n v="0"/>
    <n v="0"/>
    <n v="0"/>
    <n v="0"/>
    <n v="0"/>
    <n v="0"/>
    <n v="0"/>
    <n v="0"/>
    <n v="0"/>
    <n v="0"/>
    <m/>
    <m/>
    <m/>
    <m/>
    <m/>
    <m/>
    <m/>
    <m/>
    <m/>
    <m/>
    <m/>
    <m/>
    <m/>
    <m/>
    <m/>
    <m/>
    <m/>
    <m/>
    <m/>
    <m/>
    <m/>
    <m/>
    <m/>
    <m/>
    <m/>
    <m/>
    <m/>
    <m/>
    <m/>
    <m/>
    <m/>
    <m/>
    <m/>
    <m/>
    <m/>
    <m/>
    <m/>
    <m/>
    <m/>
    <m/>
    <m/>
    <m/>
    <m/>
    <m/>
    <m/>
    <m/>
    <m/>
    <m/>
    <m/>
  </r>
  <r>
    <n v="742"/>
    <d v="2025-04-08T00:00:00"/>
    <s v="ZBTO"/>
    <n v="9518677464"/>
    <n v="1"/>
    <s v="9518677464-1"/>
    <s v="May'25"/>
    <x v="0"/>
    <s v="Yes"/>
    <x v="1"/>
    <x v="1"/>
    <s v="2000-BPRS"/>
    <m/>
    <x v="1"/>
    <m/>
    <m/>
    <m/>
    <s v="East"/>
    <s v="GUWAHATI"/>
    <m/>
    <n v="116649"/>
    <x v="24"/>
    <n v="350229"/>
    <s v="CR COIL TATXXD AU03 .55X1250"/>
    <s v=" "/>
    <s v=""/>
    <n v="6"/>
    <n v="24"/>
    <m/>
    <s v="C01"/>
    <s v="TATXXD"/>
    <s v="AU03"/>
    <n v="0.55000000000000004"/>
    <n v="1250"/>
    <n v="0"/>
    <n v="86.99"/>
    <n v="0"/>
    <n v="86.99"/>
    <n v="86.99"/>
    <n v="5.4699999999999847"/>
    <n v="86.99"/>
    <n v="0"/>
    <n v="0"/>
    <n v="0"/>
    <n v="0"/>
    <n v="0"/>
    <n v="0"/>
    <n v="0"/>
    <n v="0"/>
    <n v="0"/>
    <n v="0"/>
    <n v="0"/>
    <n v="0"/>
    <n v="27.18"/>
    <n v="54.34"/>
    <n v="0"/>
    <n v="0"/>
    <n v="0"/>
    <n v="0"/>
    <n v="0"/>
    <n v="81.52000000000001"/>
    <n v="81.52000000000001"/>
    <n v="0"/>
    <n v="81.52000000000001"/>
    <m/>
    <m/>
    <m/>
    <m/>
    <m/>
    <m/>
    <m/>
    <m/>
    <m/>
    <m/>
    <m/>
    <m/>
    <m/>
    <m/>
    <m/>
    <m/>
    <m/>
    <m/>
    <m/>
    <m/>
    <m/>
    <m/>
    <m/>
    <m/>
    <m/>
    <m/>
    <m/>
    <m/>
    <m/>
    <m/>
    <m/>
    <m/>
    <m/>
    <m/>
    <m/>
    <m/>
    <m/>
    <m/>
    <m/>
    <m/>
    <m/>
    <m/>
    <m/>
    <m/>
    <m/>
    <m/>
    <m/>
    <m/>
    <m/>
  </r>
  <r>
    <n v="742"/>
    <d v="2025-04-08T00:00:00"/>
    <s v="ZBTO"/>
    <n v="9518677964"/>
    <n v="1"/>
    <s v="9518677964-1"/>
    <s v="No Priority"/>
    <x v="0"/>
    <m/>
    <x v="1"/>
    <x v="12"/>
    <s v="2000-BPRS"/>
    <m/>
    <x v="0"/>
    <m/>
    <m/>
    <m/>
    <s v="South"/>
    <s v="PATTANCHERY"/>
    <m/>
    <n v="847544"/>
    <x v="79"/>
    <n v="2439203"/>
    <s v="CRCA COIL TSBSTA EL06 0.500X1160"/>
    <s v=" "/>
    <s v=""/>
    <n v="10"/>
    <n v="30"/>
    <m/>
    <s v="C01"/>
    <s v="TSBSTA"/>
    <s v="EL06"/>
    <n v="0.5"/>
    <n v="1160"/>
    <n v="0"/>
    <n v="108"/>
    <n v="0"/>
    <n v="108"/>
    <n v="108"/>
    <n v="108"/>
    <n v="107.9"/>
    <n v="0"/>
    <n v="0"/>
    <n v="0"/>
    <n v="0"/>
    <n v="0"/>
    <n v="0"/>
    <n v="0"/>
    <n v="0"/>
    <n v="0"/>
    <n v="0"/>
    <n v="0"/>
    <n v="0"/>
    <n v="0"/>
    <n v="0"/>
    <n v="0"/>
    <n v="0"/>
    <n v="0"/>
    <n v="0"/>
    <n v="0"/>
    <n v="0"/>
    <n v="0"/>
    <n v="0"/>
    <n v="0"/>
    <m/>
    <m/>
    <m/>
    <m/>
    <m/>
    <m/>
    <m/>
    <m/>
    <m/>
    <m/>
    <m/>
    <m/>
    <m/>
    <m/>
    <m/>
    <m/>
    <m/>
    <m/>
    <m/>
    <m/>
    <m/>
    <m/>
    <m/>
    <m/>
    <m/>
    <m/>
    <m/>
    <m/>
    <m/>
    <m/>
    <m/>
    <m/>
    <m/>
    <m/>
    <m/>
    <m/>
    <m/>
    <m/>
    <m/>
    <m/>
    <m/>
    <m/>
    <m/>
    <m/>
    <m/>
    <m/>
    <m/>
    <m/>
    <m/>
  </r>
  <r>
    <n v="743"/>
    <d v="2025-04-11T00:00:00"/>
    <s v="ZBTO"/>
    <n v="9518683949"/>
    <n v="5"/>
    <s v="9518683949-5"/>
    <s v="May'25"/>
    <x v="0"/>
    <m/>
    <x v="3"/>
    <x v="9"/>
    <s v="2000-BPRS"/>
    <m/>
    <x v="1"/>
    <m/>
    <m/>
    <m/>
    <s v="East"/>
    <s v="WEST BENGAL"/>
    <m/>
    <n v="100922"/>
    <x v="36"/>
    <n v="1854413"/>
    <s v="GP COIL SOFT-TATXGP-GK09-0.45X900"/>
    <s v="Z80"/>
    <s v=""/>
    <n v="5"/>
    <n v="15"/>
    <m/>
    <s v="C02"/>
    <s v="TATXGP"/>
    <s v="GK09"/>
    <n v="0.45"/>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4-15T00:00:00"/>
    <s v="ZBTF"/>
    <n v="9518695452"/>
    <n v="8"/>
    <s v="9518695452-8"/>
    <s v="May'25"/>
    <x v="0"/>
    <m/>
    <x v="1"/>
    <x v="7"/>
    <s v="1000-IPPE"/>
    <m/>
    <x v="1"/>
    <m/>
    <m/>
    <m/>
    <s v="East"/>
    <s v="PILKHUWA"/>
    <m/>
    <n v="600250"/>
    <x v="23"/>
    <n v="2439203"/>
    <s v="CRCA COIL TSBSTA EL06 0.500X1160"/>
    <s v=" "/>
    <s v=""/>
    <n v="8"/>
    <n v="13"/>
    <m/>
    <s v="C01"/>
    <s v="TSBSTA"/>
    <s v="EL06"/>
    <n v="0.5"/>
    <n v="1160"/>
    <n v="0"/>
    <n v="297"/>
    <n v="0"/>
    <n v="297"/>
    <n v="297"/>
    <n v="269.33"/>
    <n v="297"/>
    <n v="0"/>
    <n v="0"/>
    <n v="27.67"/>
    <n v="0"/>
    <n v="0"/>
    <n v="0"/>
    <n v="0"/>
    <n v="0"/>
    <n v="0"/>
    <n v="0"/>
    <n v="0"/>
    <n v="0"/>
    <n v="0"/>
    <n v="0"/>
    <n v="0"/>
    <n v="0"/>
    <n v="0"/>
    <n v="0"/>
    <n v="0"/>
    <n v="27.67"/>
    <n v="27.67"/>
    <n v="0"/>
    <n v="27.67"/>
    <m/>
    <m/>
    <m/>
    <m/>
    <m/>
    <m/>
    <m/>
    <m/>
    <m/>
    <m/>
    <m/>
    <m/>
    <m/>
    <m/>
    <m/>
    <m/>
    <m/>
    <m/>
    <m/>
    <m/>
    <m/>
    <m/>
    <m/>
    <m/>
    <m/>
    <m/>
    <m/>
    <m/>
    <m/>
    <m/>
    <m/>
    <m/>
    <m/>
    <m/>
    <m/>
    <m/>
    <m/>
    <m/>
    <m/>
    <m/>
    <m/>
    <m/>
    <m/>
    <m/>
    <m/>
    <m/>
    <m/>
    <m/>
    <m/>
  </r>
  <r>
    <n v="742"/>
    <d v="2025-04-03T00:00:00"/>
    <s v="ZBTO"/>
    <n v="9518666887"/>
    <n v="2"/>
    <s v="9518666887-2"/>
    <s v="No Priority"/>
    <x v="0"/>
    <s v="Yes"/>
    <x v="1"/>
    <x v="2"/>
    <s v="2000-BPRS"/>
    <m/>
    <x v="0"/>
    <m/>
    <s v="Exp BTF &lt;17MT"/>
    <m/>
    <s v="North"/>
    <s v="VARANASI"/>
    <m/>
    <n v="931525"/>
    <x v="2"/>
    <n v="3239568"/>
    <s v="CRCA SHEET TATCRC SR16 0.450X1250X2500"/>
    <s v=" "/>
    <s v=""/>
    <n v="0"/>
    <n v="0"/>
    <m/>
    <s v="C06"/>
    <s v="TATCRC"/>
    <s v="SR16"/>
    <n v="0.45"/>
    <n v="1250"/>
    <n v="2500"/>
    <n v="60"/>
    <n v="0"/>
    <n v="60"/>
    <n v="5.14"/>
    <n v="59.69"/>
    <n v="8.3949999999999996"/>
    <n v="0"/>
    <n v="0"/>
    <n v="0"/>
    <n v="0"/>
    <n v="0"/>
    <n v="0"/>
    <n v="0"/>
    <n v="0"/>
    <n v="0.31"/>
    <n v="0"/>
    <n v="0"/>
    <n v="0"/>
    <n v="0"/>
    <n v="0"/>
    <n v="0"/>
    <n v="0"/>
    <n v="0"/>
    <n v="0"/>
    <n v="0"/>
    <n v="0.31"/>
    <n v="0.31"/>
    <n v="0"/>
    <n v="0.31"/>
    <m/>
    <m/>
    <m/>
    <m/>
    <m/>
    <m/>
    <m/>
    <m/>
    <m/>
    <m/>
    <m/>
    <m/>
    <m/>
    <m/>
    <m/>
    <m/>
    <m/>
    <m/>
    <m/>
    <m/>
    <m/>
    <m/>
    <m/>
    <m/>
    <m/>
    <m/>
    <m/>
    <m/>
    <m/>
    <m/>
    <m/>
    <m/>
    <m/>
    <m/>
    <m/>
    <m/>
    <m/>
    <m/>
    <m/>
    <m/>
    <m/>
    <m/>
    <m/>
    <m/>
    <m/>
    <m/>
    <m/>
    <m/>
    <m/>
  </r>
  <r>
    <n v="742"/>
    <d v="2025-04-03T00:00:00"/>
    <s v="ZBTO"/>
    <n v="9518666887"/>
    <n v="3"/>
    <s v="9518666887-3"/>
    <s v="No Priority"/>
    <x v="0"/>
    <m/>
    <x v="1"/>
    <x v="2"/>
    <s v="2000-BPRS"/>
    <m/>
    <x v="0"/>
    <m/>
    <m/>
    <m/>
    <s v="North"/>
    <s v="VARANASI"/>
    <m/>
    <n v="931525"/>
    <x v="2"/>
    <n v="3240765"/>
    <s v="CRCA SHEET TSBCRC SR15 0.500X1250X2500"/>
    <s v=" "/>
    <s v=""/>
    <n v="0"/>
    <n v="0"/>
    <m/>
    <s v="C06"/>
    <s v="TSBCRC"/>
    <s v="SR15"/>
    <n v="0.5"/>
    <n v="1250"/>
    <n v="2500"/>
    <n v="9"/>
    <n v="0"/>
    <n v="9"/>
    <n v="9"/>
    <n v="9"/>
    <n v="9"/>
    <n v="0"/>
    <n v="0"/>
    <n v="0"/>
    <n v="0"/>
    <n v="0"/>
    <n v="0"/>
    <n v="0"/>
    <n v="0"/>
    <n v="0"/>
    <n v="0"/>
    <n v="0"/>
    <n v="0"/>
    <n v="0"/>
    <n v="0"/>
    <n v="0"/>
    <n v="0"/>
    <n v="0"/>
    <n v="0"/>
    <n v="0"/>
    <n v="0"/>
    <n v="0"/>
    <n v="0"/>
    <n v="0"/>
    <m/>
    <m/>
    <m/>
    <m/>
    <m/>
    <m/>
    <m/>
    <m/>
    <m/>
    <m/>
    <m/>
    <m/>
    <m/>
    <m/>
    <m/>
    <m/>
    <m/>
    <m/>
    <m/>
    <m/>
    <m/>
    <m/>
    <m/>
    <m/>
    <m/>
    <m/>
    <m/>
    <m/>
    <m/>
    <m/>
    <m/>
    <m/>
    <m/>
    <m/>
    <m/>
    <m/>
    <m/>
    <m/>
    <m/>
    <m/>
    <m/>
    <m/>
    <m/>
    <m/>
    <m/>
    <m/>
    <m/>
    <m/>
    <m/>
  </r>
  <r>
    <n v="744"/>
    <d v="2025-04-08T00:00:00"/>
    <s v="ZBTO"/>
    <n v="9518676905"/>
    <n v="1"/>
    <s v="9518676905-1"/>
    <s v="May'25"/>
    <x v="0"/>
    <m/>
    <x v="2"/>
    <x v="3"/>
    <s v="1000-IPPE"/>
    <m/>
    <x v="1"/>
    <m/>
    <m/>
    <m/>
    <s v="TBSPL"/>
    <s v=" "/>
    <m/>
    <n v="941597"/>
    <x v="6"/>
    <n v="3902332"/>
    <s v="PPGL C HARD Y550PL D0C9 0.50(TPT)X1220"/>
    <s v="AZ150"/>
    <s v="RAL 9002 TSL 1801"/>
    <n v="3"/>
    <n v="5"/>
    <m/>
    <s v="B18"/>
    <s v="Y550PL"/>
    <s v="D0C9"/>
    <n v="0.5"/>
    <n v="1220"/>
    <n v="0"/>
    <n v="196"/>
    <n v="0"/>
    <n v="196"/>
    <n v="196"/>
    <n v="42.724999999999994"/>
    <n v="158.22"/>
    <n v="0"/>
    <n v="86.11"/>
    <n v="28.09"/>
    <n v="0"/>
    <n v="0"/>
    <n v="0"/>
    <n v="0"/>
    <n v="13.065000000000001"/>
    <n v="0"/>
    <n v="14.485000000000001"/>
    <n v="0"/>
    <n v="0"/>
    <n v="0"/>
    <n v="0"/>
    <n v="0"/>
    <n v="9.4600000000000009"/>
    <n v="0"/>
    <n v="0"/>
    <n v="2.0649999999999999"/>
    <n v="153.27500000000001"/>
    <n v="153.27500000000001"/>
    <n v="0"/>
    <n v="153.27500000000001"/>
    <m/>
    <m/>
    <m/>
    <m/>
    <m/>
    <m/>
    <m/>
    <m/>
    <m/>
    <m/>
    <m/>
    <m/>
    <m/>
    <m/>
    <m/>
    <m/>
    <m/>
    <m/>
    <m/>
    <m/>
    <m/>
    <m/>
    <m/>
    <m/>
    <m/>
    <m/>
    <m/>
    <m/>
    <m/>
    <m/>
    <m/>
    <m/>
    <m/>
    <m/>
    <m/>
    <m/>
    <m/>
    <m/>
    <m/>
    <m/>
    <m/>
    <m/>
    <m/>
    <m/>
    <m/>
    <m/>
    <m/>
    <m/>
    <m/>
  </r>
  <r>
    <n v="744"/>
    <d v="2025-04-08T00:00:00"/>
    <s v="ZBTO"/>
    <n v="9518676905"/>
    <n v="4"/>
    <s v="9518676905-4"/>
    <s v="May'25"/>
    <x v="0"/>
    <m/>
    <x v="2"/>
    <x v="3"/>
    <s v="1000-IPPE"/>
    <m/>
    <x v="1"/>
    <m/>
    <m/>
    <m/>
    <s v="TBSPL"/>
    <s v=" "/>
    <m/>
    <n v="941597"/>
    <x v="6"/>
    <n v="3902332"/>
    <s v="PPGL C HARD Y550PL D0C9 0.50(TPT)X1220"/>
    <s v="AZ150"/>
    <s v="RAL 7015 TSL 1805"/>
    <n v="3"/>
    <n v="5"/>
    <m/>
    <s v="B18"/>
    <s v="Y550PL"/>
    <s v="D0C9"/>
    <n v="0.5"/>
    <n v="1220"/>
    <n v="0"/>
    <n v="112"/>
    <n v="0"/>
    <n v="112"/>
    <n v="112"/>
    <n v="112"/>
    <n v="112"/>
    <n v="0"/>
    <n v="0"/>
    <n v="0"/>
    <n v="0"/>
    <n v="0"/>
    <n v="0"/>
    <n v="0"/>
    <n v="0"/>
    <n v="0"/>
    <n v="0"/>
    <n v="0"/>
    <n v="0"/>
    <n v="0"/>
    <n v="0"/>
    <n v="0"/>
    <n v="0"/>
    <n v="0"/>
    <n v="0"/>
    <n v="0"/>
    <n v="0"/>
    <n v="0"/>
    <n v="0"/>
    <n v="0"/>
    <m/>
    <m/>
    <m/>
    <m/>
    <m/>
    <m/>
    <m/>
    <m/>
    <m/>
    <m/>
    <m/>
    <m/>
    <m/>
    <m/>
    <m/>
    <m/>
    <m/>
    <m/>
    <m/>
    <m/>
    <m/>
    <m/>
    <m/>
    <m/>
    <m/>
    <m/>
    <m/>
    <m/>
    <m/>
    <m/>
    <m/>
    <m/>
    <m/>
    <m/>
    <m/>
    <m/>
    <m/>
    <m/>
    <m/>
    <m/>
    <m/>
    <m/>
    <m/>
    <m/>
    <m/>
    <m/>
    <m/>
    <m/>
    <m/>
  </r>
  <r>
    <n v="744"/>
    <d v="2025-04-08T00:00:00"/>
    <s v="ZBTO"/>
    <n v="9518676905"/>
    <n v="10"/>
    <s v="9518676905-10"/>
    <s v="No Priority"/>
    <x v="0"/>
    <m/>
    <x v="2"/>
    <x v="3"/>
    <s v="1000-IPPE"/>
    <m/>
    <x v="0"/>
    <m/>
    <m/>
    <m/>
    <s v="TBSPL"/>
    <s v=" "/>
    <m/>
    <n v="941597"/>
    <x v="6"/>
    <n v="3926984"/>
    <s v="PPGL C HARD Y550PL D0C9 0.53(TPT)X1220"/>
    <s v="AZ150"/>
    <s v="RAL 9002 TSL 1801"/>
    <n v="3"/>
    <n v="5"/>
    <m/>
    <s v="B18"/>
    <s v="Y550PL"/>
    <s v="D0C9"/>
    <n v="0.53"/>
    <n v="1220"/>
    <n v="0"/>
    <n v="84"/>
    <n v="0"/>
    <n v="84"/>
    <n v="84"/>
    <n v="84"/>
    <n v="6.2450000000000001"/>
    <n v="0"/>
    <n v="0"/>
    <n v="0"/>
    <n v="0"/>
    <n v="0"/>
    <n v="0"/>
    <n v="0"/>
    <n v="0"/>
    <n v="0"/>
    <n v="0"/>
    <n v="0"/>
    <n v="0"/>
    <n v="0"/>
    <n v="0"/>
    <n v="0"/>
    <n v="0"/>
    <n v="0"/>
    <n v="0"/>
    <n v="0"/>
    <n v="0"/>
    <n v="0"/>
    <n v="0"/>
    <n v="0"/>
    <m/>
    <m/>
    <m/>
    <m/>
    <m/>
    <m/>
    <m/>
    <m/>
    <m/>
    <m/>
    <m/>
    <m/>
    <m/>
    <m/>
    <m/>
    <m/>
    <m/>
    <m/>
    <m/>
    <m/>
    <m/>
    <m/>
    <m/>
    <m/>
    <m/>
    <m/>
    <m/>
    <m/>
    <m/>
    <m/>
    <m/>
    <m/>
    <m/>
    <m/>
    <m/>
    <m/>
    <m/>
    <m/>
    <m/>
    <m/>
    <m/>
    <m/>
    <m/>
    <m/>
    <m/>
    <m/>
    <m/>
    <m/>
    <m/>
  </r>
  <r>
    <n v="744"/>
    <d v="2025-04-15T00:00:00"/>
    <s v="ZBTO"/>
    <n v="9518695502"/>
    <n v="1"/>
    <s v="9518695502-1"/>
    <s v="May'25"/>
    <x v="0"/>
    <m/>
    <x v="2"/>
    <x v="3"/>
    <s v="1000-IPPE"/>
    <m/>
    <x v="1"/>
    <m/>
    <m/>
    <m/>
    <s v="TBSPL"/>
    <s v="TAMILNADU"/>
    <m/>
    <n v="940074"/>
    <x v="6"/>
    <n v="3965294"/>
    <s v="PPGL C HARD Y550PL DX01 0.58(TPT)X1220"/>
    <s v="AZ150"/>
    <s v="RAL 5012 TSL 2002"/>
    <n v="3"/>
    <n v="5"/>
    <m/>
    <s v="B18"/>
    <s v="Y550PL"/>
    <s v="DX01"/>
    <n v="0.57999999999999996"/>
    <n v="1220"/>
    <n v="0"/>
    <n v="83.998999999999995"/>
    <n v="0"/>
    <n v="83.998999999999995"/>
    <n v="83.998999999999995"/>
    <n v="83.998999999999995"/>
    <n v="83.998999999999995"/>
    <n v="0"/>
    <n v="0"/>
    <n v="0"/>
    <n v="0"/>
    <n v="0"/>
    <n v="0"/>
    <n v="0"/>
    <n v="0"/>
    <n v="0"/>
    <n v="0"/>
    <n v="0"/>
    <n v="0"/>
    <n v="0"/>
    <n v="0"/>
    <n v="0"/>
    <n v="0"/>
    <n v="0"/>
    <n v="0"/>
    <n v="0"/>
    <n v="0"/>
    <n v="0"/>
    <n v="0"/>
    <n v="0"/>
    <m/>
    <m/>
    <m/>
    <m/>
    <m/>
    <m/>
    <m/>
    <m/>
    <m/>
    <m/>
    <m/>
    <m/>
    <m/>
    <m/>
    <m/>
    <m/>
    <m/>
    <m/>
    <m/>
    <m/>
    <m/>
    <m/>
    <m/>
    <m/>
    <m/>
    <m/>
    <m/>
    <m/>
    <m/>
    <m/>
    <m/>
    <m/>
    <m/>
    <m/>
    <m/>
    <m/>
    <m/>
    <m/>
    <m/>
    <m/>
    <m/>
    <m/>
    <m/>
    <m/>
    <m/>
    <m/>
    <m/>
    <m/>
    <m/>
  </r>
  <r>
    <n v="744"/>
    <d v="2025-04-10T00:00:00"/>
    <s v="ZBTO"/>
    <n v="9518682471"/>
    <n v="2"/>
    <s v="9518682471-2"/>
    <s v="May'25"/>
    <x v="0"/>
    <m/>
    <x v="2"/>
    <x v="3"/>
    <s v="1000-IPPE"/>
    <m/>
    <x v="1"/>
    <m/>
    <m/>
    <m/>
    <s v="TBSPL"/>
    <s v=" "/>
    <m/>
    <n v="941597"/>
    <x v="6"/>
    <n v="3902332"/>
    <s v="PPGL C HARD Y550PL D0C9 0.50(TPT)X1220"/>
    <s v="AZ150"/>
    <s v="RAL 9002 TSL 1801"/>
    <n v="3"/>
    <n v="5"/>
    <m/>
    <s v="B18"/>
    <s v="Y550PL"/>
    <s v="D0C9"/>
    <n v="0.5"/>
    <n v="1220"/>
    <n v="0"/>
    <n v="28"/>
    <n v="0"/>
    <n v="28"/>
    <n v="28"/>
    <n v="-0.48000000000000043"/>
    <n v="28"/>
    <n v="0"/>
    <n v="28.48"/>
    <n v="0"/>
    <n v="0"/>
    <n v="0"/>
    <n v="0"/>
    <n v="0"/>
    <n v="0"/>
    <n v="0"/>
    <n v="0"/>
    <n v="0"/>
    <n v="0"/>
    <n v="0"/>
    <n v="0"/>
    <n v="0"/>
    <n v="0"/>
    <n v="0"/>
    <n v="0"/>
    <n v="0"/>
    <n v="28.48"/>
    <n v="28.48"/>
    <n v="0"/>
    <n v="28.48"/>
    <m/>
    <m/>
    <m/>
    <m/>
    <m/>
    <m/>
    <m/>
    <m/>
    <m/>
    <m/>
    <m/>
    <m/>
    <m/>
    <m/>
    <m/>
    <m/>
    <m/>
    <m/>
    <m/>
    <m/>
    <m/>
    <m/>
    <m/>
    <m/>
    <m/>
    <m/>
    <m/>
    <m/>
    <m/>
    <m/>
    <m/>
    <m/>
    <m/>
    <m/>
    <m/>
    <m/>
    <m/>
    <m/>
    <m/>
    <m/>
    <m/>
    <m/>
    <m/>
    <m/>
    <m/>
    <m/>
    <m/>
    <m/>
    <m/>
  </r>
  <r>
    <n v="744"/>
    <d v="2025-04-10T00:00:00"/>
    <s v="ZBTO"/>
    <n v="9518682471"/>
    <n v="3"/>
    <s v="9518682471-3"/>
    <s v="May'25"/>
    <x v="0"/>
    <m/>
    <x v="2"/>
    <x v="3"/>
    <s v="1000-IPPE"/>
    <m/>
    <x v="1"/>
    <m/>
    <m/>
    <m/>
    <s v="TBSPL"/>
    <s v=" "/>
    <m/>
    <n v="941597"/>
    <x v="6"/>
    <n v="3902332"/>
    <s v="PPGL C HARD Y550PL D0C9 0.50(TPT)X1220"/>
    <s v="AZ150"/>
    <s v="RAL 5012 TSL 1802"/>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10T00:00:00"/>
    <s v="ZBTO"/>
    <n v="9518682471"/>
    <n v="4"/>
    <s v="9518682471-4"/>
    <s v="May'25"/>
    <x v="0"/>
    <m/>
    <x v="2"/>
    <x v="3"/>
    <s v="1000-IPPE"/>
    <m/>
    <x v="1"/>
    <m/>
    <m/>
    <m/>
    <s v="TBSPL"/>
    <s v=" "/>
    <m/>
    <n v="941597"/>
    <x v="6"/>
    <n v="3902332"/>
    <s v="PPGL C HARD Y550PL D0C9 0.50(TPT)X1220"/>
    <s v="AZ150"/>
    <s v="RAL 5012 TSL 1802"/>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10T00:00:00"/>
    <s v="ZBTO"/>
    <n v="9518682471"/>
    <n v="5"/>
    <s v="9518682471-5"/>
    <s v="May'25"/>
    <x v="0"/>
    <m/>
    <x v="2"/>
    <x v="3"/>
    <s v="1000-IPPE"/>
    <m/>
    <x v="1"/>
    <m/>
    <m/>
    <m/>
    <s v="TBSPL"/>
    <s v=" "/>
    <m/>
    <n v="941597"/>
    <x v="6"/>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10T00:00:00"/>
    <s v="ZBTO"/>
    <n v="9518682471"/>
    <n v="6"/>
    <s v="9518682471-6"/>
    <s v="May'25"/>
    <x v="0"/>
    <m/>
    <x v="2"/>
    <x v="3"/>
    <s v="1000-IPPE"/>
    <m/>
    <x v="1"/>
    <m/>
    <m/>
    <m/>
    <s v="TBSPL"/>
    <s v=" "/>
    <m/>
    <n v="941597"/>
    <x v="6"/>
    <n v="3902332"/>
    <s v="PPGL C HARD Y550PL D0C9 0.50(TPT)X1220"/>
    <s v="AZ150"/>
    <s v="RAL 7024 TSL 1806"/>
    <n v="3"/>
    <n v="5"/>
    <m/>
    <s v="B18"/>
    <s v="Y550PL"/>
    <s v="D0C9"/>
    <n v="0.5"/>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10T00:00:00"/>
    <s v="ZBTO"/>
    <n v="9518682471"/>
    <n v="7"/>
    <s v="9518682471-7"/>
    <s v="May'25"/>
    <x v="0"/>
    <m/>
    <x v="2"/>
    <x v="3"/>
    <s v="1000-IPPE"/>
    <m/>
    <x v="1"/>
    <m/>
    <m/>
    <m/>
    <s v="TBSPL"/>
    <s v=" "/>
    <m/>
    <n v="941597"/>
    <x v="6"/>
    <n v="3902332"/>
    <s v="PPGL C HARD Y550PL D0C9 0.50(TPT)X1220"/>
    <s v="AZ150"/>
    <s v="SECO RED TSL 1814"/>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4-04T00:00:00"/>
    <s v="ZBTO"/>
    <n v="9518669105"/>
    <n v="1"/>
    <s v="9518669105-1"/>
    <s v="No Priority"/>
    <x v="0"/>
    <m/>
    <x v="3"/>
    <x v="9"/>
    <s v="2000-BPRS"/>
    <m/>
    <x v="0"/>
    <m/>
    <m/>
    <m/>
    <s v="North"/>
    <s v="VARANASI"/>
    <m/>
    <n v="931525"/>
    <x v="2"/>
    <n v="1191955"/>
    <s v="GP COIL SOFT-TATXGP-GK09-0.3X900"/>
    <s v="Z80"/>
    <s v=""/>
    <n v="3.2"/>
    <n v="5"/>
    <m/>
    <s v="C02"/>
    <s v="TATXGP"/>
    <s v="GK09"/>
    <n v="0.3"/>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4-04T00:00:00"/>
    <s v="ZBTO"/>
    <n v="9518669105"/>
    <n v="2"/>
    <s v="9518669105-2"/>
    <s v="No Priority"/>
    <x v="0"/>
    <m/>
    <x v="3"/>
    <x v="9"/>
    <s v="2000-BPRS"/>
    <m/>
    <x v="0"/>
    <m/>
    <m/>
    <m/>
    <s v="North"/>
    <s v="VARANASI"/>
    <m/>
    <n v="931525"/>
    <x v="2"/>
    <n v="1191956"/>
    <s v="GP COIL SOFT-TATXGP-GK09-0.35X900"/>
    <s v="Z80"/>
    <s v=""/>
    <n v="3.2"/>
    <n v="5"/>
    <m/>
    <s v="C02"/>
    <s v="TATXGP"/>
    <s v="GK09"/>
    <n v="0.3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4-04T00:00:00"/>
    <s v="ZBTO"/>
    <n v="9518669105"/>
    <n v="3"/>
    <s v="9518669105-3"/>
    <s v="No Priority"/>
    <x v="0"/>
    <m/>
    <x v="3"/>
    <x v="9"/>
    <s v="2000-BPRS"/>
    <m/>
    <x v="0"/>
    <m/>
    <m/>
    <m/>
    <s v="North"/>
    <s v="VARANASI"/>
    <m/>
    <n v="931525"/>
    <x v="2"/>
    <n v="1854418"/>
    <s v="GP COIL SOFT-TATXGP-GK09-0.5X900"/>
    <s v="Z80"/>
    <s v=""/>
    <n v="3.2"/>
    <n v="5"/>
    <m/>
    <s v="C02"/>
    <s v="TATXGP"/>
    <s v="GK09"/>
    <n v="0.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4-04T00:00:00"/>
    <s v="ZBTO"/>
    <n v="9518669105"/>
    <n v="4"/>
    <s v="9518669105-4"/>
    <s v="No Priority"/>
    <x v="0"/>
    <m/>
    <x v="3"/>
    <x v="9"/>
    <s v="2000-BPRS"/>
    <m/>
    <x v="0"/>
    <m/>
    <m/>
    <m/>
    <s v="North"/>
    <s v="VARANASI"/>
    <m/>
    <n v="931525"/>
    <x v="2"/>
    <n v="1854424"/>
    <s v="GP COIL SOFT-TATXGP-GK09-0.6X900"/>
    <s v="Z80"/>
    <s v=""/>
    <n v="3.2"/>
    <n v="5"/>
    <m/>
    <s v="C02"/>
    <s v="TATXGP"/>
    <s v="GK09"/>
    <n v="0.6"/>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4-02T00:00:00"/>
    <s v="ZBTO"/>
    <n v="9518664276"/>
    <n v="1"/>
    <s v="9518664276-1"/>
    <s v="No Priority"/>
    <x v="0"/>
    <s v="Yes"/>
    <x v="1"/>
    <x v="1"/>
    <s v="2000-BPRS"/>
    <m/>
    <x v="0"/>
    <m/>
    <s v="Exp BTF &lt;17MT"/>
    <m/>
    <s v="South"/>
    <s v="CHENNAI"/>
    <m/>
    <n v="102888"/>
    <x v="95"/>
    <n v="1801804"/>
    <s v="CRCA COIL-TATXXD-AU03-1X1250"/>
    <s v=" "/>
    <s v=""/>
    <n v="6"/>
    <n v="18"/>
    <m/>
    <s v="C01"/>
    <s v="TATXXD"/>
    <s v="AU03"/>
    <n v="1"/>
    <n v="1250"/>
    <n v="0"/>
    <n v="29"/>
    <n v="0"/>
    <n v="29"/>
    <n v="4.6100000000000003"/>
    <n v="5.4899999999999984"/>
    <n v="29"/>
    <n v="0"/>
    <n v="0"/>
    <n v="0"/>
    <n v="0"/>
    <n v="0"/>
    <n v="0"/>
    <n v="0"/>
    <n v="0"/>
    <n v="0"/>
    <n v="0"/>
    <n v="0"/>
    <n v="0"/>
    <n v="0"/>
    <n v="23.51"/>
    <n v="0"/>
    <n v="0"/>
    <n v="0"/>
    <n v="0"/>
    <n v="0"/>
    <n v="23.51"/>
    <n v="23.51"/>
    <n v="0"/>
    <n v="23.51"/>
    <m/>
    <m/>
    <m/>
    <m/>
    <m/>
    <m/>
    <m/>
    <m/>
    <m/>
    <m/>
    <m/>
    <m/>
    <m/>
    <m/>
    <m/>
    <m/>
    <m/>
    <m/>
    <m/>
    <m/>
    <m/>
    <m/>
    <m/>
    <m/>
    <m/>
    <m/>
    <m/>
    <m/>
    <m/>
    <m/>
    <m/>
    <m/>
    <m/>
    <m/>
    <m/>
    <m/>
    <m/>
    <m/>
    <m/>
    <m/>
    <m/>
    <m/>
    <m/>
    <m/>
    <m/>
    <m/>
    <m/>
    <m/>
    <m/>
  </r>
  <r>
    <n v="742"/>
    <d v="2025-04-04T00:00:00"/>
    <s v="ZBTO"/>
    <n v="9518670066"/>
    <n v="5"/>
    <s v="9518670066-5"/>
    <s v="May'25"/>
    <x v="0"/>
    <s v="Yes"/>
    <x v="1"/>
    <x v="2"/>
    <s v="2000-BPRS"/>
    <m/>
    <x v="1"/>
    <m/>
    <m/>
    <m/>
    <s v="North"/>
    <s v="VARANASI"/>
    <m/>
    <n v="931525"/>
    <x v="2"/>
    <n v="3444592"/>
    <s v="CRCA SHEET TATCRC SR16 0.450X1250X2030"/>
    <s v=" "/>
    <s v=""/>
    <n v="0"/>
    <n v="0"/>
    <m/>
    <s v="C06"/>
    <s v="TATCRC"/>
    <s v="SR16"/>
    <n v="0.45"/>
    <n v="1250"/>
    <n v="2030"/>
    <n v="81"/>
    <n v="0"/>
    <n v="81"/>
    <n v="81"/>
    <n v="-3.8100000000000023"/>
    <n v="81"/>
    <n v="0"/>
    <n v="0"/>
    <n v="0"/>
    <n v="84.81"/>
    <n v="0"/>
    <n v="0"/>
    <n v="0"/>
    <n v="0"/>
    <n v="0"/>
    <n v="0"/>
    <n v="0"/>
    <n v="0"/>
    <n v="0"/>
    <n v="0"/>
    <n v="0"/>
    <n v="0"/>
    <n v="0"/>
    <n v="0"/>
    <n v="0"/>
    <n v="84.81"/>
    <n v="84.81"/>
    <n v="0"/>
    <n v="84.81"/>
    <m/>
    <m/>
    <m/>
    <m/>
    <m/>
    <m/>
    <m/>
    <m/>
    <m/>
    <m/>
    <m/>
    <m/>
    <m/>
    <m/>
    <m/>
    <m/>
    <m/>
    <m/>
    <m/>
    <m/>
    <m/>
    <m/>
    <m/>
    <m/>
    <m/>
    <m/>
    <m/>
    <m/>
    <m/>
    <m/>
    <m/>
    <m/>
    <m/>
    <m/>
    <m/>
    <m/>
    <m/>
    <m/>
    <m/>
    <m/>
    <m/>
    <m/>
    <m/>
    <m/>
    <m/>
    <m/>
    <m/>
    <m/>
    <m/>
  </r>
  <r>
    <n v="742"/>
    <d v="2025-04-04T00:00:00"/>
    <s v="ZBTO"/>
    <n v="9518670119"/>
    <n v="7"/>
    <s v="9518670119-7"/>
    <s v="May'25"/>
    <x v="0"/>
    <s v="Yes"/>
    <x v="1"/>
    <x v="1"/>
    <s v="2000-BPRS"/>
    <m/>
    <x v="1"/>
    <m/>
    <m/>
    <m/>
    <s v="South"/>
    <s v="PATTANCHERY"/>
    <m/>
    <n v="939422"/>
    <x v="35"/>
    <n v="1801804"/>
    <s v="CRCA COIL-TATXXD-AU03-1X1250"/>
    <s v=" "/>
    <s v=""/>
    <n v="10"/>
    <n v="30"/>
    <m/>
    <s v="C01"/>
    <s v="TATXXD"/>
    <s v="AU03"/>
    <n v="1"/>
    <n v="1250"/>
    <n v="0"/>
    <n v="29"/>
    <n v="0"/>
    <n v="29"/>
    <n v="29"/>
    <n v="1.6400000000000006"/>
    <n v="29"/>
    <n v="0"/>
    <n v="0"/>
    <n v="0"/>
    <n v="0"/>
    <n v="0"/>
    <n v="0"/>
    <n v="0"/>
    <n v="0"/>
    <n v="0"/>
    <n v="0"/>
    <n v="0"/>
    <n v="0"/>
    <n v="27.36"/>
    <n v="0"/>
    <n v="0"/>
    <n v="0"/>
    <n v="0"/>
    <n v="0"/>
    <n v="0"/>
    <n v="27.36"/>
    <n v="27.36"/>
    <n v="0"/>
    <n v="27.36"/>
    <m/>
    <m/>
    <m/>
    <m/>
    <m/>
    <m/>
    <m/>
    <m/>
    <m/>
    <m/>
    <m/>
    <m/>
    <m/>
    <m/>
    <m/>
    <m/>
    <m/>
    <m/>
    <m/>
    <m/>
    <m/>
    <m/>
    <m/>
    <m/>
    <m/>
    <m/>
    <m/>
    <m/>
    <m/>
    <m/>
    <m/>
    <m/>
    <m/>
    <m/>
    <m/>
    <m/>
    <m/>
    <m/>
    <m/>
    <m/>
    <m/>
    <m/>
    <m/>
    <m/>
    <m/>
    <m/>
    <m/>
    <m/>
    <m/>
  </r>
  <r>
    <n v="742"/>
    <d v="2025-04-04T00:00:00"/>
    <s v="ZBTO"/>
    <n v="9518670119"/>
    <n v="12"/>
    <s v="9518670119-12"/>
    <s v="No Priority"/>
    <x v="0"/>
    <s v="Yes"/>
    <x v="1"/>
    <x v="1"/>
    <s v="2000-BPRS"/>
    <m/>
    <x v="0"/>
    <m/>
    <m/>
    <m/>
    <s v="South"/>
    <s v="PATTANCHERY"/>
    <m/>
    <n v="939422"/>
    <x v="35"/>
    <n v="2334995"/>
    <s v="CRCA COIL TATXXD AU03 1.500X1250"/>
    <s v=" "/>
    <s v=""/>
    <n v="10"/>
    <n v="30"/>
    <m/>
    <s v="C01"/>
    <s v="TATXXD"/>
    <s v="AU03"/>
    <n v="1.5"/>
    <n v="1250"/>
    <n v="0"/>
    <n v="58"/>
    <n v="0"/>
    <n v="58"/>
    <n v="58"/>
    <n v="58"/>
    <n v="6.6050000000000004"/>
    <n v="0"/>
    <n v="0"/>
    <n v="0"/>
    <n v="0"/>
    <n v="0"/>
    <n v="0"/>
    <n v="0"/>
    <n v="0"/>
    <n v="0"/>
    <n v="0"/>
    <n v="0"/>
    <n v="0"/>
    <n v="0"/>
    <n v="0"/>
    <n v="0"/>
    <n v="0"/>
    <n v="0"/>
    <n v="0"/>
    <n v="0"/>
    <n v="0"/>
    <n v="0"/>
    <n v="0"/>
    <n v="0"/>
    <m/>
    <m/>
    <m/>
    <m/>
    <m/>
    <m/>
    <m/>
    <m/>
    <m/>
    <m/>
    <m/>
    <m/>
    <m/>
    <m/>
    <m/>
    <m/>
    <m/>
    <m/>
    <m/>
    <m/>
    <m/>
    <m/>
    <m/>
    <m/>
    <m/>
    <m/>
    <m/>
    <m/>
    <m/>
    <m/>
    <m/>
    <m/>
    <m/>
    <m/>
    <m/>
    <m/>
    <m/>
    <m/>
    <m/>
    <m/>
    <m/>
    <m/>
    <m/>
    <m/>
    <m/>
    <m/>
    <m/>
    <m/>
    <m/>
  </r>
  <r>
    <n v="742"/>
    <d v="2025-04-11T00:00:00"/>
    <s v="ZBTO"/>
    <n v="9518685638"/>
    <n v="5"/>
    <s v="9518685638-5"/>
    <s v="No Priority"/>
    <x v="0"/>
    <m/>
    <x v="1"/>
    <x v="1"/>
    <s v="2000-BPRS"/>
    <m/>
    <x v="0"/>
    <m/>
    <m/>
    <m/>
    <s v="North"/>
    <s v="KANPUR"/>
    <m/>
    <n v="933952"/>
    <x v="50"/>
    <n v="1804854"/>
    <s v="CRCA COIL-TATXXD-AU03-1.2X1250"/>
    <s v=" "/>
    <s v=""/>
    <n v="7"/>
    <n v="28"/>
    <m/>
    <s v="C01"/>
    <s v="TATXXD"/>
    <s v="AU03"/>
    <n v="1.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3-24T00:00:00"/>
    <s v="ZBTO"/>
    <n v="9518628976"/>
    <n v="16"/>
    <s v="9518628976-16"/>
    <s v="May'25"/>
    <x v="0"/>
    <s v="Yes"/>
    <x v="1"/>
    <x v="1"/>
    <s v="2000-BPRS"/>
    <m/>
    <x v="1"/>
    <m/>
    <m/>
    <m/>
    <s v="South"/>
    <s v="VALPARAI"/>
    <m/>
    <n v="116465"/>
    <x v="13"/>
    <n v="2155233"/>
    <s v="CRCA COIL TATXXD AU03 2.5X1250"/>
    <s v=" "/>
    <s v=""/>
    <n v="6"/>
    <n v="18"/>
    <m/>
    <s v="C01"/>
    <s v="TATXXD"/>
    <s v="AU03"/>
    <n v="2.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4T00:00:00"/>
    <s v="ZBTO"/>
    <n v="9518670119"/>
    <n v="11"/>
    <s v="9518670119-11"/>
    <s v="No Priority"/>
    <x v="0"/>
    <m/>
    <x v="1"/>
    <x v="1"/>
    <s v="2000-BPRS"/>
    <m/>
    <x v="0"/>
    <m/>
    <m/>
    <m/>
    <s v="South"/>
    <s v="PATTANCHERY"/>
    <m/>
    <n v="939422"/>
    <x v="35"/>
    <n v="1804854"/>
    <s v="CRCA COIL-TATXXD-AU03-1.2X1250"/>
    <s v=" "/>
    <s v=""/>
    <n v="10"/>
    <n v="30"/>
    <m/>
    <s v="C01"/>
    <s v="TATXXD"/>
    <s v="AU03"/>
    <n v="1.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3-11T00:00:00"/>
    <s v="ZBTO"/>
    <n v="9518592206"/>
    <n v="2"/>
    <s v="9518592206-2"/>
    <s v="No Priority"/>
    <x v="0"/>
    <m/>
    <x v="1"/>
    <x v="1"/>
    <s v="2000-BPRS"/>
    <m/>
    <x v="0"/>
    <m/>
    <m/>
    <m/>
    <s v="South"/>
    <s v="PATTANCHERY"/>
    <m/>
    <n v="939422"/>
    <x v="35"/>
    <n v="223287"/>
    <s v="CRSHEET-ICF  DQ TATXXD AU03 1.00 X 1220"/>
    <s v=" "/>
    <s v=""/>
    <n v="10"/>
    <n v="30"/>
    <m/>
    <s v="C01"/>
    <s v="TATXXD"/>
    <s v="AU03"/>
    <n v="1"/>
    <n v="1220"/>
    <n v="0"/>
    <n v="56"/>
    <n v="0"/>
    <n v="56"/>
    <n v="56"/>
    <n v="56"/>
    <n v="56"/>
    <n v="0"/>
    <n v="0"/>
    <n v="0"/>
    <n v="0"/>
    <n v="0"/>
    <n v="0"/>
    <n v="0"/>
    <n v="0"/>
    <n v="0"/>
    <n v="0"/>
    <n v="0"/>
    <n v="0"/>
    <n v="0"/>
    <n v="0"/>
    <n v="0"/>
    <n v="0"/>
    <n v="0"/>
    <n v="0"/>
    <n v="0"/>
    <n v="0"/>
    <n v="0"/>
    <n v="0"/>
    <n v="0"/>
    <m/>
    <m/>
    <m/>
    <m/>
    <m/>
    <m/>
    <m/>
    <m/>
    <m/>
    <m/>
    <m/>
    <m/>
    <m/>
    <m/>
    <m/>
    <m/>
    <m/>
    <m/>
    <m/>
    <m/>
    <m/>
    <m/>
    <m/>
    <m/>
    <m/>
    <m/>
    <m/>
    <m/>
    <m/>
    <m/>
    <m/>
    <m/>
    <m/>
    <m/>
    <m/>
    <m/>
    <m/>
    <m/>
    <m/>
    <m/>
    <m/>
    <m/>
    <m/>
    <m/>
    <m/>
    <m/>
    <m/>
    <m/>
    <m/>
  </r>
  <r>
    <n v="742"/>
    <d v="2025-03-11T00:00:00"/>
    <s v="ZBTO"/>
    <n v="9518592206"/>
    <n v="3"/>
    <s v="9518592206-3"/>
    <s v="No Priority"/>
    <x v="0"/>
    <s v="Yes"/>
    <x v="1"/>
    <x v="1"/>
    <s v="2000-BPRS"/>
    <m/>
    <x v="0"/>
    <m/>
    <m/>
    <m/>
    <s v="South"/>
    <s v="PATTANCHERY"/>
    <m/>
    <n v="939422"/>
    <x v="35"/>
    <n v="2334995"/>
    <s v="CRCA COIL TATXXD AU03 1.500X1250"/>
    <s v=" "/>
    <s v=""/>
    <n v="10"/>
    <n v="30"/>
    <m/>
    <s v="C01"/>
    <s v="TATXXD"/>
    <s v="AU03"/>
    <n v="1.5"/>
    <n v="1250"/>
    <n v="0"/>
    <n v="29"/>
    <n v="0"/>
    <n v="29"/>
    <n v="0.87"/>
    <n v="0"/>
    <n v="29"/>
    <n v="0"/>
    <n v="0"/>
    <n v="0"/>
    <n v="0"/>
    <n v="0"/>
    <n v="0"/>
    <n v="0"/>
    <n v="0"/>
    <n v="0"/>
    <n v="0"/>
    <n v="0"/>
    <n v="0"/>
    <n v="0"/>
    <n v="26.96"/>
    <n v="0"/>
    <n v="0"/>
    <n v="0"/>
    <n v="0"/>
    <n v="0"/>
    <n v="26.96"/>
    <n v="26.96"/>
    <n v="0"/>
    <n v="26.96"/>
    <m/>
    <m/>
    <m/>
    <m/>
    <m/>
    <m/>
    <m/>
    <m/>
    <m/>
    <m/>
    <m/>
    <m/>
    <m/>
    <m/>
    <m/>
    <m/>
    <m/>
    <m/>
    <m/>
    <m/>
    <m/>
    <m/>
    <m/>
    <m/>
    <m/>
    <m/>
    <m/>
    <m/>
    <m/>
    <m/>
    <m/>
    <m/>
    <m/>
    <m/>
    <m/>
    <m/>
    <m/>
    <m/>
    <m/>
    <m/>
    <m/>
    <m/>
    <m/>
    <m/>
    <m/>
    <m/>
    <m/>
    <m/>
    <m/>
  </r>
  <r>
    <n v="742"/>
    <d v="2025-03-06T00:00:00"/>
    <s v="ZBTO"/>
    <n v="9518578782"/>
    <n v="13"/>
    <s v="9518578782-13"/>
    <s v="May'25"/>
    <x v="0"/>
    <s v="Yes"/>
    <x v="1"/>
    <x v="1"/>
    <s v="2000-BPRS"/>
    <m/>
    <x v="1"/>
    <m/>
    <m/>
    <m/>
    <s v="South"/>
    <s v="PATTANCHERY"/>
    <m/>
    <n v="939422"/>
    <x v="35"/>
    <n v="3855287"/>
    <s v="CR COIL TATXXD AU03 1.620X1250"/>
    <s v=" "/>
    <s v=""/>
    <n v="10"/>
    <n v="30"/>
    <m/>
    <s v="C01"/>
    <s v="TATXXD"/>
    <s v="AU03"/>
    <n v="1.62"/>
    <n v="1250"/>
    <n v="0"/>
    <n v="87"/>
    <n v="0"/>
    <n v="87"/>
    <n v="87"/>
    <n v="23.060000000000002"/>
    <n v="87"/>
    <n v="0"/>
    <n v="0"/>
    <n v="0"/>
    <n v="21.73"/>
    <n v="0"/>
    <n v="0"/>
    <n v="0"/>
    <n v="0"/>
    <n v="0"/>
    <n v="0"/>
    <n v="21.51"/>
    <n v="0"/>
    <n v="20.7"/>
    <n v="0"/>
    <n v="0"/>
    <n v="0"/>
    <n v="0"/>
    <n v="0"/>
    <n v="0"/>
    <n v="63.94"/>
    <n v="63.94"/>
    <n v="0"/>
    <n v="63.94"/>
    <m/>
    <m/>
    <m/>
    <m/>
    <m/>
    <m/>
    <m/>
    <m/>
    <m/>
    <m/>
    <m/>
    <m/>
    <m/>
    <m/>
    <m/>
    <m/>
    <m/>
    <m/>
    <m/>
    <m/>
    <m/>
    <m/>
    <m/>
    <m/>
    <m/>
    <m/>
    <m/>
    <m/>
    <m/>
    <m/>
    <m/>
    <m/>
    <m/>
    <m/>
    <m/>
    <m/>
    <m/>
    <m/>
    <m/>
    <m/>
    <m/>
    <m/>
    <m/>
    <m/>
    <m/>
    <m/>
    <m/>
    <m/>
    <m/>
  </r>
  <r>
    <n v="742"/>
    <d v="2025-03-06T00:00:00"/>
    <s v="ZBTO"/>
    <n v="9518578782"/>
    <n v="15"/>
    <s v="9518578782-15"/>
    <s v="May'25"/>
    <x v="0"/>
    <s v="Yes"/>
    <x v="1"/>
    <x v="1"/>
    <s v="2000-BPRS"/>
    <m/>
    <x v="1"/>
    <m/>
    <m/>
    <m/>
    <s v="South"/>
    <s v="PATTANCHERY"/>
    <m/>
    <n v="939422"/>
    <x v="35"/>
    <n v="1884117"/>
    <s v="CRCA COIL-TATXXD-AU03-2X1250"/>
    <s v=" "/>
    <s v=""/>
    <n v="10"/>
    <n v="30"/>
    <m/>
    <s v="C01"/>
    <s v="TATXXD"/>
    <s v="AU03"/>
    <n v="2"/>
    <n v="1250"/>
    <n v="0"/>
    <n v="58"/>
    <n v="12.47"/>
    <n v="45.53"/>
    <n v="45.53"/>
    <n v="45.53"/>
    <n v="45.53"/>
    <n v="0"/>
    <n v="0"/>
    <n v="0"/>
    <n v="0"/>
    <n v="0"/>
    <n v="0"/>
    <n v="0"/>
    <n v="0"/>
    <n v="0"/>
    <n v="0"/>
    <n v="0"/>
    <n v="0"/>
    <n v="0"/>
    <n v="0"/>
    <n v="0"/>
    <n v="0"/>
    <n v="0"/>
    <n v="0"/>
    <n v="0"/>
    <n v="0"/>
    <n v="0"/>
    <n v="0"/>
    <n v="0"/>
    <m/>
    <m/>
    <m/>
    <m/>
    <m/>
    <m/>
    <m/>
    <m/>
    <m/>
    <m/>
    <m/>
    <m/>
    <m/>
    <m/>
    <m/>
    <m/>
    <m/>
    <m/>
    <m/>
    <m/>
    <m/>
    <m/>
    <m/>
    <m/>
    <m/>
    <m/>
    <m/>
    <m/>
    <m/>
    <m/>
    <m/>
    <m/>
    <m/>
    <m/>
    <m/>
    <m/>
    <m/>
    <m/>
    <m/>
    <m/>
    <m/>
    <m/>
    <m/>
    <m/>
    <m/>
    <m/>
    <m/>
    <m/>
    <m/>
  </r>
  <r>
    <n v="742"/>
    <d v="2025-03-17T00:00:00"/>
    <s v="ZBTO"/>
    <n v="9518606704"/>
    <n v="5"/>
    <s v="9518606704-5"/>
    <s v="May'25"/>
    <x v="0"/>
    <s v="Yes"/>
    <x v="1"/>
    <x v="11"/>
    <s v="2000-BPRS"/>
    <m/>
    <x v="1"/>
    <m/>
    <m/>
    <m/>
    <s v="South"/>
    <s v="YESHWANTHPURA"/>
    <m/>
    <n v="939268"/>
    <x v="0"/>
    <n v="2420521"/>
    <s v="CRCA COIL TATXXD AH03 1.200X1250"/>
    <s v=" "/>
    <s v=""/>
    <n v="10"/>
    <n v="30"/>
    <m/>
    <s v="C01"/>
    <s v="TATXXD"/>
    <s v="AH03"/>
    <n v="1.2"/>
    <n v="1250"/>
    <n v="0"/>
    <n v="87"/>
    <n v="0"/>
    <n v="87"/>
    <n v="87"/>
    <n v="3.6499999999999915"/>
    <n v="87"/>
    <n v="0"/>
    <n v="0"/>
    <n v="0"/>
    <n v="0"/>
    <n v="0"/>
    <n v="0"/>
    <n v="0"/>
    <n v="0"/>
    <n v="0"/>
    <n v="0"/>
    <n v="0"/>
    <n v="0"/>
    <n v="83.350000000000009"/>
    <n v="0"/>
    <n v="0"/>
    <n v="0"/>
    <n v="0"/>
    <n v="0"/>
    <n v="0"/>
    <n v="83.350000000000009"/>
    <n v="83.350000000000009"/>
    <n v="0"/>
    <n v="83.350000000000009"/>
    <m/>
    <m/>
    <m/>
    <m/>
    <m/>
    <m/>
    <m/>
    <m/>
    <m/>
    <m/>
    <m/>
    <m/>
    <m/>
    <m/>
    <m/>
    <m/>
    <m/>
    <m/>
    <m/>
    <m/>
    <m/>
    <m/>
    <m/>
    <m/>
    <m/>
    <m/>
    <m/>
    <m/>
    <m/>
    <m/>
    <m/>
    <m/>
    <m/>
    <m/>
    <m/>
    <m/>
    <m/>
    <m/>
    <m/>
    <m/>
    <m/>
    <m/>
    <m/>
    <m/>
    <m/>
    <m/>
    <m/>
    <m/>
    <m/>
  </r>
  <r>
    <n v="742"/>
    <d v="2025-03-17T00:00:00"/>
    <s v="ZBTO"/>
    <n v="9518606704"/>
    <n v="8"/>
    <s v="9518606704-8"/>
    <s v="No Priority"/>
    <x v="0"/>
    <m/>
    <x v="1"/>
    <x v="12"/>
    <s v="2000-BPRS"/>
    <m/>
    <x v="0"/>
    <m/>
    <m/>
    <m/>
    <s v="South"/>
    <s v="YESHWANTHPURA"/>
    <m/>
    <n v="939268"/>
    <x v="0"/>
    <n v="2156439"/>
    <s v="CRCA COIL TSBSTA EL03 0.5X1250"/>
    <s v=" "/>
    <s v=""/>
    <n v="10"/>
    <n v="30"/>
    <m/>
    <s v="C01"/>
    <s v="TSBSTA"/>
    <s v="EL03"/>
    <n v="0.5"/>
    <n v="1250"/>
    <n v="0"/>
    <n v="203"/>
    <n v="0"/>
    <n v="203"/>
    <n v="203"/>
    <n v="203"/>
    <n v="203"/>
    <n v="0"/>
    <n v="0"/>
    <n v="0"/>
    <n v="0"/>
    <n v="0"/>
    <n v="0"/>
    <n v="0"/>
    <n v="0"/>
    <n v="0"/>
    <n v="0"/>
    <n v="0"/>
    <n v="0"/>
    <n v="0"/>
    <n v="0"/>
    <n v="0"/>
    <n v="0"/>
    <n v="0"/>
    <n v="0"/>
    <n v="0"/>
    <n v="0"/>
    <n v="0"/>
    <n v="0"/>
    <n v="0"/>
    <m/>
    <m/>
    <m/>
    <m/>
    <m/>
    <m/>
    <m/>
    <m/>
    <m/>
    <m/>
    <m/>
    <m/>
    <m/>
    <m/>
    <m/>
    <m/>
    <m/>
    <m/>
    <m/>
    <m/>
    <m/>
    <m/>
    <m/>
    <m/>
    <m/>
    <m/>
    <m/>
    <m/>
    <m/>
    <m/>
    <m/>
    <m/>
    <m/>
    <m/>
    <m/>
    <m/>
    <m/>
    <m/>
    <m/>
    <m/>
    <m/>
    <m/>
    <m/>
    <m/>
    <m/>
    <m/>
    <m/>
    <m/>
    <m/>
  </r>
  <r>
    <n v="742"/>
    <d v="2025-03-26T00:00:00"/>
    <s v="ZBTO"/>
    <n v="9518637097"/>
    <n v="5"/>
    <s v="9518637097-5"/>
    <s v="May'25"/>
    <x v="0"/>
    <s v="Yes"/>
    <x v="1"/>
    <x v="2"/>
    <s v="2000-BPRS"/>
    <m/>
    <x v="1"/>
    <m/>
    <m/>
    <m/>
    <s v="East"/>
    <s v="URLA"/>
    <m/>
    <n v="139336"/>
    <x v="89"/>
    <n v="3240792"/>
    <s v="CRCA SHEET TSBCRC SR15 0.600X1250X2500"/>
    <s v=" "/>
    <s v=""/>
    <n v="1"/>
    <n v="3"/>
    <m/>
    <s v="C06"/>
    <s v="TSBCRC"/>
    <s v="SR15"/>
    <n v="0.6"/>
    <n v="1250"/>
    <n v="2500"/>
    <n v="60"/>
    <n v="0"/>
    <n v="60"/>
    <n v="60"/>
    <n v="60"/>
    <n v="60"/>
    <n v="0"/>
    <n v="0"/>
    <n v="0"/>
    <n v="0"/>
    <n v="0"/>
    <n v="0"/>
    <n v="0"/>
    <n v="0"/>
    <n v="0"/>
    <n v="0"/>
    <n v="0"/>
    <n v="0"/>
    <n v="0"/>
    <n v="0"/>
    <n v="0"/>
    <n v="0"/>
    <n v="0"/>
    <n v="0"/>
    <n v="0"/>
    <n v="0"/>
    <n v="0"/>
    <n v="0"/>
    <n v="0"/>
    <m/>
    <m/>
    <m/>
    <m/>
    <m/>
    <m/>
    <m/>
    <m/>
    <m/>
    <m/>
    <m/>
    <m/>
    <m/>
    <m/>
    <m/>
    <m/>
    <m/>
    <m/>
    <m/>
    <m/>
    <m/>
    <m/>
    <m/>
    <m/>
    <m/>
    <m/>
    <m/>
    <m/>
    <m/>
    <m/>
    <m/>
    <m/>
    <m/>
    <m/>
    <m/>
    <m/>
    <m/>
    <m/>
    <m/>
    <m/>
    <m/>
    <m/>
    <m/>
    <m/>
    <m/>
    <m/>
    <m/>
    <m/>
    <m/>
  </r>
  <r>
    <n v="742"/>
    <d v="2025-03-17T00:00:00"/>
    <s v="ZBTO"/>
    <n v="9518605584"/>
    <n v="1"/>
    <s v="9518605584-1"/>
    <s v="No Priority"/>
    <x v="0"/>
    <m/>
    <x v="1"/>
    <x v="1"/>
    <s v="2000-BPRS"/>
    <m/>
    <x v="0"/>
    <m/>
    <m/>
    <m/>
    <s v="North"/>
    <s v="ZOSOLA"/>
    <m/>
    <n v="184986"/>
    <x v="49"/>
    <n v="185664"/>
    <s v="CRSHEET-ICF  DQ TATXXD AU03 0.40 X 1250"/>
    <s v=" "/>
    <s v=""/>
    <n v="7"/>
    <n v="29"/>
    <m/>
    <s v="C01"/>
    <s v="TATXXD"/>
    <s v="AU03"/>
    <n v="0.4"/>
    <n v="1250"/>
    <n v="0"/>
    <n v="145"/>
    <n v="0"/>
    <n v="145"/>
    <n v="145"/>
    <n v="145"/>
    <n v="145"/>
    <n v="0"/>
    <n v="0"/>
    <n v="0"/>
    <n v="0"/>
    <n v="0"/>
    <n v="0"/>
    <n v="0"/>
    <n v="0"/>
    <n v="0"/>
    <n v="0"/>
    <n v="0"/>
    <n v="0"/>
    <n v="0"/>
    <n v="0"/>
    <n v="0"/>
    <n v="0"/>
    <n v="0"/>
    <n v="0"/>
    <n v="0"/>
    <n v="0"/>
    <n v="0"/>
    <n v="0"/>
    <n v="0"/>
    <m/>
    <m/>
    <m/>
    <m/>
    <m/>
    <m/>
    <m/>
    <m/>
    <m/>
    <m/>
    <m/>
    <m/>
    <m/>
    <m/>
    <m/>
    <m/>
    <m/>
    <m/>
    <m/>
    <m/>
    <m/>
    <m/>
    <m/>
    <m/>
    <m/>
    <m/>
    <m/>
    <m/>
    <m/>
    <m/>
    <m/>
    <m/>
    <m/>
    <m/>
    <m/>
    <m/>
    <m/>
    <m/>
    <m/>
    <m/>
    <m/>
    <m/>
    <m/>
    <m/>
    <m/>
    <m/>
    <m/>
    <m/>
    <m/>
  </r>
  <r>
    <n v="742"/>
    <d v="2025-03-22T00:00:00"/>
    <s v="ZBTO"/>
    <n v="9518624222"/>
    <n v="1"/>
    <s v="9518624222-1"/>
    <s v="No Priority"/>
    <x v="0"/>
    <m/>
    <x v="1"/>
    <x v="1"/>
    <s v="2000-BPRS"/>
    <m/>
    <x v="0"/>
    <m/>
    <m/>
    <m/>
    <s v="North"/>
    <s v="ZOSOLA"/>
    <m/>
    <n v="184986"/>
    <x v="49"/>
    <n v="185675"/>
    <s v="CRCA COIL-TATXXD-AU03-0.5X1250"/>
    <s v=" "/>
    <s v=""/>
    <n v="15"/>
    <n v="29"/>
    <m/>
    <s v="C01"/>
    <s v="TATXXD"/>
    <s v="AU03"/>
    <n v="0.5"/>
    <n v="1250"/>
    <n v="0"/>
    <n v="203"/>
    <n v="0"/>
    <n v="203"/>
    <n v="11.285"/>
    <n v="203"/>
    <n v="150.20500000000001"/>
    <n v="0"/>
    <n v="0"/>
    <n v="0"/>
    <n v="0"/>
    <n v="0"/>
    <n v="0"/>
    <n v="0"/>
    <n v="0"/>
    <n v="0"/>
    <n v="0"/>
    <n v="0"/>
    <n v="0"/>
    <n v="0"/>
    <n v="0"/>
    <n v="0"/>
    <n v="0"/>
    <n v="0"/>
    <n v="0"/>
    <n v="0"/>
    <n v="0"/>
    <n v="0"/>
    <n v="0"/>
    <n v="0"/>
    <m/>
    <m/>
    <m/>
    <m/>
    <m/>
    <m/>
    <m/>
    <m/>
    <m/>
    <m/>
    <m/>
    <m/>
    <m/>
    <m/>
    <m/>
    <m/>
    <m/>
    <m/>
    <m/>
    <m/>
    <m/>
    <m/>
    <m/>
    <m/>
    <m/>
    <m/>
    <m/>
    <m/>
    <m/>
    <m/>
    <m/>
    <m/>
    <m/>
    <m/>
    <m/>
    <m/>
    <m/>
    <m/>
    <m/>
    <m/>
    <m/>
    <m/>
    <m/>
    <m/>
    <m/>
    <m/>
    <m/>
    <m/>
    <m/>
  </r>
  <r>
    <n v="742"/>
    <d v="2025-03-03T00:00:00"/>
    <s v="ZBTO"/>
    <n v="9518569795"/>
    <n v="18"/>
    <s v="9518569795-18"/>
    <s v="May'25"/>
    <x v="0"/>
    <s v="Yes"/>
    <x v="1"/>
    <x v="2"/>
    <s v="2000-BPRS"/>
    <m/>
    <x v="1"/>
    <m/>
    <m/>
    <m/>
    <s v="East"/>
    <s v="SILIGURI TOWN"/>
    <m/>
    <n v="948783"/>
    <x v="24"/>
    <n v="3239567"/>
    <s v="CRCA SHEET TATCRC SR16 0.450X1000X2500"/>
    <s v=" "/>
    <s v=""/>
    <n v="2"/>
    <n v="3"/>
    <m/>
    <s v="C06"/>
    <s v="TATCRC"/>
    <s v="SR16"/>
    <n v="0.45"/>
    <n v="1000"/>
    <n v="2500"/>
    <n v="24"/>
    <n v="0"/>
    <n v="24"/>
    <n v="24"/>
    <n v="2.1499999999999986"/>
    <n v="24"/>
    <n v="0"/>
    <n v="0"/>
    <n v="0"/>
    <n v="0"/>
    <n v="0"/>
    <n v="0"/>
    <n v="0"/>
    <n v="0"/>
    <n v="0"/>
    <n v="0"/>
    <n v="0"/>
    <n v="0"/>
    <n v="0"/>
    <n v="21.85"/>
    <n v="0"/>
    <n v="0"/>
    <n v="0"/>
    <n v="0"/>
    <n v="0"/>
    <n v="21.85"/>
    <n v="21.85"/>
    <n v="0"/>
    <n v="21.85"/>
    <m/>
    <m/>
    <m/>
    <m/>
    <m/>
    <m/>
    <m/>
    <m/>
    <m/>
    <m/>
    <m/>
    <m/>
    <m/>
    <m/>
    <m/>
    <m/>
    <m/>
    <m/>
    <m/>
    <m/>
    <m/>
    <m/>
    <m/>
    <m/>
    <m/>
    <m/>
    <m/>
    <m/>
    <m/>
    <m/>
    <m/>
    <m/>
    <m/>
    <m/>
    <m/>
    <m/>
    <m/>
    <m/>
    <m/>
    <m/>
    <m/>
    <m/>
    <m/>
    <m/>
    <m/>
    <m/>
    <m/>
    <m/>
    <m/>
  </r>
  <r>
    <n v="742"/>
    <d v="2025-03-24T00:00:00"/>
    <s v="ZBTO"/>
    <n v="9518628976"/>
    <n v="1"/>
    <s v="9518628976-1"/>
    <s v="No Priority"/>
    <x v="0"/>
    <m/>
    <x v="1"/>
    <x v="1"/>
    <s v="2000-BPRS"/>
    <m/>
    <x v="0"/>
    <m/>
    <m/>
    <m/>
    <s v="South"/>
    <s v="VALPARAI"/>
    <m/>
    <n v="116465"/>
    <x v="13"/>
    <n v="185675"/>
    <s v="CRCA COIL-TATXXD-AU03-0.5X1250"/>
    <s v=" "/>
    <s v=""/>
    <n v="6"/>
    <n v="18"/>
    <m/>
    <s v="C01"/>
    <s v="TATXXD"/>
    <s v="AU03"/>
    <n v="0.5"/>
    <n v="1250"/>
    <n v="0"/>
    <n v="116"/>
    <n v="24.515000000000001"/>
    <n v="91.484999999999999"/>
    <n v="91.484999999999999"/>
    <n v="91.484999999999999"/>
    <n v="91.484999999999999"/>
    <n v="0"/>
    <n v="0"/>
    <n v="0"/>
    <n v="0"/>
    <n v="0"/>
    <n v="0"/>
    <n v="0"/>
    <n v="0"/>
    <n v="0"/>
    <n v="0"/>
    <n v="0"/>
    <n v="0"/>
    <n v="0"/>
    <n v="0"/>
    <n v="0"/>
    <n v="0"/>
    <n v="0"/>
    <n v="0"/>
    <n v="0"/>
    <n v="0"/>
    <n v="0"/>
    <n v="0"/>
    <n v="0"/>
    <m/>
    <m/>
    <m/>
    <m/>
    <m/>
    <m/>
    <m/>
    <m/>
    <m/>
    <m/>
    <m/>
    <m/>
    <m/>
    <m/>
    <m/>
    <m/>
    <m/>
    <m/>
    <m/>
    <m/>
    <m/>
    <m/>
    <m/>
    <m/>
    <m/>
    <m/>
    <m/>
    <m/>
    <m/>
    <m/>
    <m/>
    <m/>
    <m/>
    <m/>
    <m/>
    <m/>
    <m/>
    <m/>
    <m/>
    <m/>
    <m/>
    <m/>
    <m/>
    <m/>
    <m/>
    <m/>
    <m/>
    <m/>
    <m/>
  </r>
  <r>
    <n v="742"/>
    <d v="2025-03-21T00:00:00"/>
    <s v="ZBTO"/>
    <n v="9518620674"/>
    <n v="11"/>
    <s v="9518620674-11"/>
    <s v="May'25"/>
    <x v="0"/>
    <s v="Yes"/>
    <x v="1"/>
    <x v="1"/>
    <s v="2000-BPRS"/>
    <m/>
    <x v="1"/>
    <m/>
    <m/>
    <m/>
    <s v="South"/>
    <s v="CHENNAI"/>
    <m/>
    <n v="938550"/>
    <x v="4"/>
    <n v="1801290"/>
    <s v="CRCA COIL-TATXXD-AU03-0.6X1250"/>
    <s v=" "/>
    <s v=""/>
    <n v="6"/>
    <n v="18"/>
    <m/>
    <s v="C01"/>
    <s v="TATXXD"/>
    <s v="AU03"/>
    <n v="0.6"/>
    <n v="1250"/>
    <n v="0"/>
    <n v="29"/>
    <n v="0"/>
    <n v="29"/>
    <n v="29"/>
    <n v="2.0500000000000007"/>
    <n v="29"/>
    <n v="0"/>
    <n v="0"/>
    <n v="0"/>
    <n v="0"/>
    <n v="0"/>
    <n v="0"/>
    <n v="0"/>
    <n v="0"/>
    <n v="0"/>
    <n v="0"/>
    <n v="0"/>
    <n v="0"/>
    <n v="0"/>
    <n v="26.95"/>
    <n v="0"/>
    <n v="0"/>
    <n v="0"/>
    <n v="0"/>
    <n v="0"/>
    <n v="26.95"/>
    <n v="26.95"/>
    <n v="0"/>
    <n v="26.95"/>
    <m/>
    <m/>
    <m/>
    <m/>
    <m/>
    <m/>
    <m/>
    <m/>
    <m/>
    <m/>
    <m/>
    <m/>
    <m/>
    <m/>
    <m/>
    <m/>
    <m/>
    <m/>
    <m/>
    <m/>
    <m/>
    <m/>
    <m/>
    <m/>
    <m/>
    <m/>
    <m/>
    <m/>
    <m/>
    <m/>
    <m/>
    <m/>
    <m/>
    <m/>
    <m/>
    <m/>
    <m/>
    <m/>
    <m/>
    <m/>
    <m/>
    <m/>
    <m/>
    <m/>
    <m/>
    <m/>
    <m/>
    <m/>
    <m/>
  </r>
  <r>
    <n v="742"/>
    <d v="2025-03-21T00:00:00"/>
    <s v="ZBTO"/>
    <n v="9518620674"/>
    <n v="13"/>
    <s v="9518620674-13"/>
    <s v="May'25"/>
    <x v="0"/>
    <s v="Yes"/>
    <x v="1"/>
    <x v="1"/>
    <s v="2000-BPRS"/>
    <m/>
    <x v="1"/>
    <m/>
    <m/>
    <m/>
    <s v="South"/>
    <s v="CHENNAI"/>
    <m/>
    <n v="938550"/>
    <x v="4"/>
    <n v="1801456"/>
    <s v="CRCA COIL-TATXXD-AU03-0.7X1250"/>
    <s v=" "/>
    <s v=""/>
    <n v="6"/>
    <n v="18"/>
    <m/>
    <s v="C01"/>
    <s v="TATXXD"/>
    <s v="AU03"/>
    <n v="0.7"/>
    <n v="1250"/>
    <n v="0"/>
    <n v="58"/>
    <n v="0"/>
    <n v="58"/>
    <n v="58"/>
    <n v="3.1700000000000017"/>
    <n v="58"/>
    <n v="0"/>
    <n v="0"/>
    <n v="0"/>
    <n v="0"/>
    <n v="0"/>
    <n v="0"/>
    <n v="0"/>
    <n v="0"/>
    <n v="0"/>
    <n v="0"/>
    <n v="0"/>
    <n v="0"/>
    <n v="0"/>
    <n v="54.83"/>
    <n v="0"/>
    <n v="0"/>
    <n v="0"/>
    <n v="0"/>
    <n v="0"/>
    <n v="54.83"/>
    <n v="54.83"/>
    <n v="0"/>
    <n v="54.83"/>
    <m/>
    <m/>
    <m/>
    <m/>
    <m/>
    <m/>
    <m/>
    <m/>
    <m/>
    <m/>
    <m/>
    <m/>
    <m/>
    <m/>
    <m/>
    <m/>
    <m/>
    <m/>
    <m/>
    <m/>
    <m/>
    <m/>
    <m/>
    <m/>
    <m/>
    <m/>
    <m/>
    <m/>
    <m/>
    <m/>
    <m/>
    <m/>
    <m/>
    <m/>
    <m/>
    <m/>
    <m/>
    <m/>
    <m/>
    <m/>
    <m/>
    <m/>
    <m/>
    <m/>
    <m/>
    <m/>
    <m/>
    <m/>
    <m/>
  </r>
  <r>
    <n v="742"/>
    <d v="2025-03-21T00:00:00"/>
    <s v="ZBTO"/>
    <n v="9518620674"/>
    <n v="16"/>
    <s v="9518620674-16"/>
    <s v="May'25"/>
    <x v="0"/>
    <s v="Yes"/>
    <x v="1"/>
    <x v="1"/>
    <s v="2000-BPRS"/>
    <m/>
    <x v="1"/>
    <m/>
    <m/>
    <m/>
    <s v="South"/>
    <s v="CHENNAI"/>
    <m/>
    <n v="938550"/>
    <x v="4"/>
    <n v="1801804"/>
    <s v="CRCA COIL-TATXXD-AU03-1X1250"/>
    <s v=" "/>
    <s v=""/>
    <n v="6"/>
    <n v="18"/>
    <m/>
    <s v="C01"/>
    <s v="TATXXD"/>
    <s v="AU03"/>
    <n v="1"/>
    <n v="1250"/>
    <n v="0"/>
    <n v="87"/>
    <n v="0"/>
    <n v="87"/>
    <n v="87"/>
    <n v="30.125"/>
    <n v="70.72"/>
    <n v="0"/>
    <n v="0"/>
    <n v="0"/>
    <n v="0"/>
    <n v="0"/>
    <n v="0"/>
    <n v="0"/>
    <n v="0"/>
    <n v="0"/>
    <n v="0"/>
    <n v="0"/>
    <n v="0"/>
    <n v="27.240000000000002"/>
    <n v="23.48"/>
    <n v="0"/>
    <n v="6.1550000000000002"/>
    <n v="0"/>
    <n v="0"/>
    <n v="0"/>
    <n v="56.875"/>
    <n v="56.875"/>
    <n v="0"/>
    <n v="56.875"/>
    <m/>
    <m/>
    <m/>
    <m/>
    <m/>
    <m/>
    <m/>
    <m/>
    <m/>
    <m/>
    <m/>
    <m/>
    <m/>
    <m/>
    <m/>
    <m/>
    <m/>
    <m/>
    <m/>
    <m/>
    <m/>
    <m/>
    <m/>
    <m/>
    <m/>
    <m/>
    <m/>
    <m/>
    <m/>
    <m/>
    <m/>
    <m/>
    <m/>
    <m/>
    <m/>
    <m/>
    <m/>
    <m/>
    <m/>
    <m/>
    <m/>
    <m/>
    <m/>
    <m/>
    <m/>
    <m/>
    <m/>
    <m/>
    <m/>
  </r>
  <r>
    <n v="744"/>
    <d v="2025-03-29T00:00:00"/>
    <s v="ZBTO"/>
    <n v="9518651680"/>
    <n v="6"/>
    <s v="9518651680-6"/>
    <s v="May'25"/>
    <x v="0"/>
    <m/>
    <x v="2"/>
    <x v="3"/>
    <s v="1000-IPPE"/>
    <m/>
    <x v="1"/>
    <m/>
    <m/>
    <m/>
    <s v="TBSPL"/>
    <s v="GAMHARIA"/>
    <m/>
    <n v="940016"/>
    <x v="15"/>
    <n v="3879501"/>
    <s v="PPGL C Y550 ISC6 0.45BMT(0.50TPT)X1220"/>
    <s v="aZ70"/>
    <s v="PRO DEN BLUE TSL 1915"/>
    <n v="3"/>
    <n v="5"/>
    <m/>
    <s v="B18"/>
    <s v="Y550PL"/>
    <s v="ISC6"/>
    <n v="0.45"/>
    <n v="1220"/>
    <n v="0"/>
    <n v="56"/>
    <n v="8.8049999999999997"/>
    <n v="47.195"/>
    <n v="47.195"/>
    <n v="47.195"/>
    <n v="47.195"/>
    <n v="0"/>
    <n v="0"/>
    <n v="0"/>
    <n v="0"/>
    <n v="0"/>
    <n v="0"/>
    <n v="0"/>
    <n v="0"/>
    <n v="0"/>
    <n v="0"/>
    <n v="0"/>
    <n v="0"/>
    <n v="0"/>
    <n v="0"/>
    <n v="0"/>
    <n v="0"/>
    <n v="0"/>
    <n v="0"/>
    <n v="0"/>
    <n v="0"/>
    <n v="0"/>
    <n v="0"/>
    <n v="0"/>
    <m/>
    <m/>
    <m/>
    <m/>
    <m/>
    <m/>
    <m/>
    <m/>
    <m/>
    <m/>
    <m/>
    <m/>
    <m/>
    <m/>
    <m/>
    <m/>
    <m/>
    <m/>
    <m/>
    <m/>
    <m/>
    <m/>
    <m/>
    <m/>
    <m/>
    <m/>
    <m/>
    <m/>
    <m/>
    <m/>
    <m/>
    <m/>
    <m/>
    <m/>
    <m/>
    <m/>
    <m/>
    <m/>
    <m/>
    <m/>
    <m/>
    <m/>
    <m/>
    <m/>
    <m/>
    <m/>
    <m/>
    <m/>
    <m/>
  </r>
  <r>
    <n v="742"/>
    <d v="2025-03-21T00:00:00"/>
    <s v="ZBTO"/>
    <n v="9518620674"/>
    <n v="17"/>
    <s v="9518620674-17"/>
    <s v="No Priority"/>
    <x v="0"/>
    <m/>
    <x v="1"/>
    <x v="1"/>
    <s v="2000-BPRS"/>
    <m/>
    <x v="0"/>
    <m/>
    <m/>
    <m/>
    <s v="South"/>
    <s v="CHENNAI"/>
    <m/>
    <n v="938550"/>
    <x v="4"/>
    <n v="2398457"/>
    <s v="CRCA COIL TATXXD AU03 1X1320"/>
    <s v=" "/>
    <s v=""/>
    <n v="6"/>
    <n v="18"/>
    <m/>
    <s v="C01"/>
    <s v="TATXXD"/>
    <s v="AU03"/>
    <n v="1"/>
    <n v="1320"/>
    <n v="0"/>
    <n v="90"/>
    <n v="0"/>
    <n v="90"/>
    <n v="90"/>
    <n v="90"/>
    <n v="90"/>
    <n v="0"/>
    <n v="0"/>
    <n v="0"/>
    <n v="0"/>
    <n v="0"/>
    <n v="0"/>
    <n v="0"/>
    <n v="0"/>
    <n v="0"/>
    <n v="0"/>
    <n v="0"/>
    <n v="0"/>
    <n v="0"/>
    <n v="0"/>
    <n v="0"/>
    <n v="0"/>
    <n v="0"/>
    <n v="0"/>
    <n v="0"/>
    <n v="0"/>
    <n v="0"/>
    <n v="0"/>
    <n v="0"/>
    <m/>
    <m/>
    <m/>
    <m/>
    <m/>
    <m/>
    <m/>
    <m/>
    <m/>
    <m/>
    <m/>
    <m/>
    <m/>
    <m/>
    <m/>
    <m/>
    <m/>
    <m/>
    <m/>
    <m/>
    <m/>
    <m/>
    <m/>
    <m/>
    <m/>
    <m/>
    <m/>
    <m/>
    <m/>
    <m/>
    <m/>
    <m/>
    <m/>
    <m/>
    <m/>
    <m/>
    <m/>
    <m/>
    <m/>
    <m/>
    <m/>
    <m/>
    <m/>
    <m/>
    <m/>
    <m/>
    <m/>
    <m/>
    <m/>
  </r>
  <r>
    <n v="744"/>
    <d v="2025-03-29T00:00:00"/>
    <s v="ZBTO"/>
    <n v="9518652646"/>
    <n v="1"/>
    <s v="9518652646-1"/>
    <s v="May'25"/>
    <x v="0"/>
    <m/>
    <x v="2"/>
    <x v="3"/>
    <s v="1000-IPPE"/>
    <m/>
    <x v="1"/>
    <m/>
    <m/>
    <m/>
    <s v="TBSPL"/>
    <s v=" "/>
    <m/>
    <n v="941597"/>
    <x v="6"/>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7T00:00:00"/>
    <s v="ZBTO"/>
    <n v="9518644023"/>
    <n v="2"/>
    <s v="9518644023-2"/>
    <s v="May'25"/>
    <x v="0"/>
    <m/>
    <x v="2"/>
    <x v="3"/>
    <s v="1000-IPPE"/>
    <m/>
    <x v="1"/>
    <m/>
    <m/>
    <m/>
    <s v="TBSPL"/>
    <s v=" "/>
    <m/>
    <n v="941597"/>
    <x v="6"/>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7T00:00:00"/>
    <s v="ZBTO"/>
    <n v="9518644023"/>
    <n v="3"/>
    <s v="9518644023-3"/>
    <s v="May'25"/>
    <x v="0"/>
    <m/>
    <x v="2"/>
    <x v="3"/>
    <s v="1000-IPPE"/>
    <m/>
    <x v="1"/>
    <m/>
    <m/>
    <m/>
    <s v="TBSPL"/>
    <s v=" "/>
    <m/>
    <n v="941597"/>
    <x v="6"/>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7T00:00:00"/>
    <s v="ZBTO"/>
    <n v="9518644023"/>
    <n v="4"/>
    <s v="9518644023-4"/>
    <s v="May'25"/>
    <x v="0"/>
    <m/>
    <x v="2"/>
    <x v="3"/>
    <s v="1000-IPPE"/>
    <m/>
    <x v="1"/>
    <m/>
    <m/>
    <m/>
    <s v="TBSPL"/>
    <s v=" "/>
    <m/>
    <n v="941597"/>
    <x v="6"/>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5T00:00:00"/>
    <s v="ZBTO"/>
    <n v="9518633048"/>
    <n v="1"/>
    <s v="9518633048-1"/>
    <s v="May'25"/>
    <x v="0"/>
    <m/>
    <x v="2"/>
    <x v="3"/>
    <s v="1000-IPPE"/>
    <m/>
    <x v="1"/>
    <m/>
    <m/>
    <m/>
    <s v="TBSPL"/>
    <s v=" "/>
    <m/>
    <n v="941597"/>
    <x v="6"/>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5T00:00:00"/>
    <s v="ZBTO"/>
    <n v="9518633048"/>
    <n v="2"/>
    <s v="9518633048-2"/>
    <s v="May'25"/>
    <x v="0"/>
    <m/>
    <x v="2"/>
    <x v="3"/>
    <s v="1000-IPPE"/>
    <m/>
    <x v="1"/>
    <m/>
    <m/>
    <m/>
    <s v="TBSPL"/>
    <s v=" "/>
    <m/>
    <n v="941597"/>
    <x v="6"/>
    <n v="3902332"/>
    <s v="PPGL C HARD Y550PL D0C9 0.50(TPT)X1220"/>
    <s v="AZ150"/>
    <s v="TAURUS BLUE TSL 1813"/>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20T00:00:00"/>
    <s v="ZBTO"/>
    <n v="9518617286"/>
    <n v="1"/>
    <s v="9518617286-1"/>
    <s v="No Priority"/>
    <x v="0"/>
    <m/>
    <x v="1"/>
    <x v="1"/>
    <s v="2000-BPRS"/>
    <m/>
    <x v="0"/>
    <m/>
    <m/>
    <m/>
    <s v="North"/>
    <s v="ZOSOLA"/>
    <m/>
    <n v="101446"/>
    <x v="87"/>
    <n v="1804814"/>
    <s v="CRCA COIL TATXXD AU03 0.8X1250"/>
    <s v=" "/>
    <s v=""/>
    <n v="10"/>
    <n v="30"/>
    <m/>
    <s v="C01"/>
    <s v="TATXXD"/>
    <s v="AU03"/>
    <n v="0.8"/>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2T00:00:00"/>
    <s v="ZBTO"/>
    <n v="9518664956"/>
    <n v="2"/>
    <s v="9518664956-2"/>
    <s v="No Priority"/>
    <x v="0"/>
    <s v="Yes"/>
    <x v="1"/>
    <x v="1"/>
    <s v="2000-BPRS"/>
    <m/>
    <x v="0"/>
    <m/>
    <s v="De-prioritized due to Apr CF orders"/>
    <m/>
    <s v="South"/>
    <s v="CHENNAI"/>
    <m/>
    <n v="102888"/>
    <x v="95"/>
    <n v="1801804"/>
    <s v="CRCA COIL-TATXXD-AU03-1X1250"/>
    <s v=" "/>
    <s v=""/>
    <n v="6"/>
    <n v="18"/>
    <m/>
    <s v="C01"/>
    <s v="TATXXD"/>
    <s v="AU03"/>
    <n v="1"/>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1T00:00:00"/>
    <s v="ZBTF"/>
    <n v="9518663142"/>
    <n v="2"/>
    <s v="9518663142-2"/>
    <s v="No Priority"/>
    <x v="0"/>
    <m/>
    <x v="1"/>
    <x v="10"/>
    <s v="1000-IPPE"/>
    <m/>
    <x v="0"/>
    <m/>
    <m/>
    <m/>
    <s v="East"/>
    <s v="PILKHUWA"/>
    <m/>
    <n v="600250"/>
    <x v="23"/>
    <n v="2170008"/>
    <s v="CRCA COIL TATXXD BT01 0.970X1220"/>
    <s v=" "/>
    <s v=""/>
    <n v="6"/>
    <n v="10"/>
    <m/>
    <s v="C01"/>
    <s v="TATXXD"/>
    <s v="BT01"/>
    <n v="0.97"/>
    <n v="1220"/>
    <n v="0"/>
    <n v="112"/>
    <n v="0"/>
    <n v="112"/>
    <n v="84.51"/>
    <n v="84.509999999999991"/>
    <n v="112"/>
    <n v="0"/>
    <n v="0"/>
    <n v="0"/>
    <n v="0"/>
    <n v="0"/>
    <n v="0"/>
    <n v="0"/>
    <n v="0"/>
    <n v="0"/>
    <n v="0"/>
    <n v="0"/>
    <n v="0"/>
    <n v="0"/>
    <n v="27.490000000000002"/>
    <n v="0"/>
    <n v="0"/>
    <n v="0"/>
    <n v="0"/>
    <n v="0"/>
    <n v="27.490000000000002"/>
    <n v="27.490000000000002"/>
    <n v="0"/>
    <n v="27.490000000000002"/>
    <m/>
    <m/>
    <m/>
    <m/>
    <m/>
    <m/>
    <m/>
    <m/>
    <m/>
    <m/>
    <m/>
    <m/>
    <m/>
    <m/>
    <m/>
    <m/>
    <m/>
    <m/>
    <m/>
    <m/>
    <m/>
    <m/>
    <m/>
    <m/>
    <m/>
    <m/>
    <m/>
    <m/>
    <m/>
    <m/>
    <m/>
    <m/>
    <m/>
    <m/>
    <m/>
    <m/>
    <m/>
    <m/>
    <m/>
    <m/>
    <m/>
    <m/>
    <m/>
    <m/>
    <m/>
    <m/>
    <m/>
    <m/>
    <m/>
  </r>
  <r>
    <n v="744"/>
    <d v="2025-04-05T00:00:00"/>
    <s v="ZBTO"/>
    <n v="9518671384"/>
    <n v="1"/>
    <s v="9518671384-1"/>
    <s v="May'25"/>
    <x v="0"/>
    <m/>
    <x v="2"/>
    <x v="3"/>
    <s v="1000-IPPE"/>
    <m/>
    <x v="1"/>
    <m/>
    <m/>
    <m/>
    <s v="TBSPL"/>
    <s v="GAMHARIA"/>
    <m/>
    <n v="940016"/>
    <x v="15"/>
    <n v="3902332"/>
    <s v="PPGL C HARD Y550PL D0C9 0.50(TPT)X1220"/>
    <s v="AZ150"/>
    <s v="RAL 7024 TSL 1806"/>
    <n v="3"/>
    <n v="5"/>
    <m/>
    <s v="B18"/>
    <s v="Y550PL"/>
    <s v="D0C9"/>
    <n v="0.5"/>
    <n v="1220"/>
    <n v="0"/>
    <n v="112"/>
    <n v="0"/>
    <n v="112"/>
    <n v="112"/>
    <n v="112"/>
    <n v="112"/>
    <n v="0"/>
    <n v="0"/>
    <n v="0"/>
    <n v="0"/>
    <n v="0"/>
    <n v="0"/>
    <n v="0"/>
    <n v="0"/>
    <n v="0"/>
    <n v="0"/>
    <n v="0"/>
    <n v="0"/>
    <n v="0"/>
    <n v="0"/>
    <n v="0"/>
    <n v="0"/>
    <n v="0"/>
    <n v="0"/>
    <n v="0"/>
    <n v="0"/>
    <n v="0"/>
    <n v="0"/>
    <n v="0"/>
    <m/>
    <m/>
    <m/>
    <m/>
    <m/>
    <m/>
    <m/>
    <m/>
    <m/>
    <m/>
    <m/>
    <m/>
    <m/>
    <m/>
    <m/>
    <m/>
    <m/>
    <m/>
    <m/>
    <m/>
    <m/>
    <m/>
    <m/>
    <m/>
    <m/>
    <m/>
    <m/>
    <m/>
    <m/>
    <m/>
    <m/>
    <m/>
    <m/>
    <m/>
    <m/>
    <m/>
    <m/>
    <m/>
    <m/>
    <m/>
    <m/>
    <m/>
    <m/>
    <m/>
    <m/>
    <m/>
    <m/>
    <m/>
    <m/>
  </r>
  <r>
    <n v="742"/>
    <d v="2025-04-04T00:00:00"/>
    <s v="ZBTO"/>
    <n v="9518670119"/>
    <n v="4"/>
    <s v="9518670119-4"/>
    <s v="No Priority"/>
    <x v="0"/>
    <s v="Yes"/>
    <x v="1"/>
    <x v="11"/>
    <s v="2000-BPRS"/>
    <m/>
    <x v="0"/>
    <m/>
    <m/>
    <m/>
    <s v="South"/>
    <s v="PATTANCHERY"/>
    <m/>
    <n v="939422"/>
    <x v="35"/>
    <n v="2420514"/>
    <s v="CRCA COIL TATXXD AH03 0.800X1250"/>
    <s v=" "/>
    <s v=""/>
    <n v="10"/>
    <n v="30"/>
    <m/>
    <s v="C01"/>
    <s v="TATXXD"/>
    <s v="AH03"/>
    <n v="0.8"/>
    <n v="1250"/>
    <n v="0"/>
    <n v="29"/>
    <n v="0"/>
    <n v="29"/>
    <n v="3.95"/>
    <n v="29"/>
    <n v="4.82"/>
    <n v="0"/>
    <n v="0"/>
    <n v="0"/>
    <n v="0"/>
    <n v="0"/>
    <n v="0"/>
    <n v="0"/>
    <n v="0"/>
    <n v="0"/>
    <n v="0"/>
    <n v="0"/>
    <n v="0"/>
    <n v="0"/>
    <n v="0"/>
    <n v="0"/>
    <n v="0"/>
    <n v="0"/>
    <n v="0"/>
    <n v="0"/>
    <n v="0"/>
    <n v="0"/>
    <n v="0"/>
    <n v="0"/>
    <m/>
    <m/>
    <m/>
    <m/>
    <m/>
    <m/>
    <m/>
    <m/>
    <m/>
    <m/>
    <m/>
    <m/>
    <m/>
    <m/>
    <m/>
    <m/>
    <m/>
    <m/>
    <m/>
    <m/>
    <m/>
    <m/>
    <m/>
    <m/>
    <m/>
    <m/>
    <m/>
    <m/>
    <m/>
    <m/>
    <m/>
    <m/>
    <m/>
    <m/>
    <m/>
    <m/>
    <m/>
    <m/>
    <m/>
    <m/>
    <m/>
    <m/>
    <m/>
    <m/>
    <m/>
    <m/>
    <m/>
    <m/>
    <m/>
  </r>
  <r>
    <n v="742"/>
    <d v="2025-04-15T00:00:00"/>
    <s v="ZBTO"/>
    <n v="9518694586"/>
    <n v="2"/>
    <s v="9518694586-2"/>
    <s v="May'25"/>
    <x v="0"/>
    <m/>
    <x v="1"/>
    <x v="10"/>
    <s v="1000-IPPE"/>
    <m/>
    <x v="1"/>
    <m/>
    <m/>
    <m/>
    <s v="South"/>
    <s v="PATANCHERU"/>
    <m/>
    <n v="948926"/>
    <x v="90"/>
    <n v="2426078"/>
    <s v="CRCA COIL TATXXD BT01 1X1320"/>
    <s v=" "/>
    <s v=""/>
    <n v="5.98"/>
    <n v="8"/>
    <m/>
    <s v="C01"/>
    <s v="TATXXD"/>
    <s v="BT01"/>
    <n v="1"/>
    <n v="1320"/>
    <n v="0"/>
    <n v="90"/>
    <n v="0"/>
    <n v="90"/>
    <n v="90"/>
    <n v="90"/>
    <n v="63.51"/>
    <n v="0"/>
    <n v="0"/>
    <n v="0"/>
    <n v="0"/>
    <n v="0"/>
    <n v="0"/>
    <n v="0"/>
    <n v="0"/>
    <n v="0"/>
    <n v="0"/>
    <n v="0"/>
    <n v="0"/>
    <n v="0"/>
    <n v="0"/>
    <n v="0"/>
    <n v="0"/>
    <n v="0"/>
    <n v="0"/>
    <n v="0"/>
    <n v="0"/>
    <n v="0"/>
    <n v="0"/>
    <n v="0"/>
    <m/>
    <m/>
    <m/>
    <m/>
    <m/>
    <m/>
    <m/>
    <m/>
    <m/>
    <m/>
    <m/>
    <m/>
    <m/>
    <m/>
    <m/>
    <m/>
    <m/>
    <m/>
    <m/>
    <m/>
    <m/>
    <m/>
    <m/>
    <m/>
    <m/>
    <m/>
    <m/>
    <m/>
    <m/>
    <m/>
    <m/>
    <m/>
    <m/>
    <m/>
    <m/>
    <m/>
    <m/>
    <m/>
    <m/>
    <m/>
    <m/>
    <m/>
    <m/>
    <m/>
    <m/>
    <m/>
    <m/>
    <m/>
    <m/>
  </r>
  <r>
    <n v="742"/>
    <d v="2025-03-28T00:00:00"/>
    <s v="ZBTO"/>
    <n v="9518649438"/>
    <n v="3"/>
    <s v="9518649438-3"/>
    <s v="May'25"/>
    <x v="0"/>
    <s v="Yes"/>
    <x v="1"/>
    <x v="1"/>
    <s v="2000-BPRS"/>
    <m/>
    <x v="1"/>
    <m/>
    <m/>
    <m/>
    <s v="South"/>
    <s v="CHENNAI"/>
    <m/>
    <n v="116465"/>
    <x v="13"/>
    <n v="1804867"/>
    <s v="CRCA COIL-TATXXD-AU03-1.6X1250"/>
    <s v=" "/>
    <s v=""/>
    <n v="6"/>
    <n v="18"/>
    <m/>
    <s v="C01"/>
    <s v="TATXXD"/>
    <s v="AU03"/>
    <n v="1.6"/>
    <n v="1250"/>
    <n v="0"/>
    <n v="29"/>
    <n v="0"/>
    <n v="29"/>
    <n v="29"/>
    <n v="8.2399999999999984"/>
    <n v="29"/>
    <n v="0"/>
    <n v="0"/>
    <n v="0"/>
    <n v="0"/>
    <n v="0"/>
    <n v="0"/>
    <n v="0"/>
    <n v="0"/>
    <n v="0"/>
    <n v="0"/>
    <n v="0"/>
    <n v="0"/>
    <n v="20.76"/>
    <n v="0"/>
    <n v="0"/>
    <n v="0"/>
    <n v="0"/>
    <n v="0"/>
    <n v="0"/>
    <n v="20.76"/>
    <n v="20.76"/>
    <n v="0"/>
    <n v="20.76"/>
    <m/>
    <m/>
    <m/>
    <m/>
    <m/>
    <m/>
    <m/>
    <m/>
    <m/>
    <m/>
    <m/>
    <m/>
    <m/>
    <m/>
    <m/>
    <m/>
    <m/>
    <m/>
    <m/>
    <m/>
    <m/>
    <m/>
    <m/>
    <m/>
    <m/>
    <m/>
    <m/>
    <m/>
    <m/>
    <m/>
    <m/>
    <m/>
    <m/>
    <m/>
    <m/>
    <m/>
    <m/>
    <m/>
    <m/>
    <m/>
    <m/>
    <m/>
    <m/>
    <m/>
    <m/>
    <m/>
    <m/>
    <m/>
    <m/>
  </r>
  <r>
    <n v="742"/>
    <d v="2025-03-28T00:00:00"/>
    <s v="ZBTO"/>
    <n v="9518649438"/>
    <n v="4"/>
    <s v="9518649438-4"/>
    <s v="May'25"/>
    <x v="0"/>
    <s v="Yes"/>
    <x v="1"/>
    <x v="1"/>
    <s v="2000-BPRS"/>
    <m/>
    <x v="1"/>
    <m/>
    <m/>
    <m/>
    <s v="South"/>
    <s v="CHENNAI"/>
    <m/>
    <n v="116465"/>
    <x v="13"/>
    <n v="1884117"/>
    <s v="CRCA COIL-TATXXD-AU03-2X1250"/>
    <s v=" "/>
    <s v=""/>
    <n v="6"/>
    <n v="18"/>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2-24T00:00:00"/>
    <s v="ZBTO"/>
    <n v="9518547667"/>
    <n v="1"/>
    <s v="9518547667-1"/>
    <s v="No Priority"/>
    <x v="0"/>
    <s v="Yes"/>
    <x v="1"/>
    <x v="10"/>
    <s v="1000-IPPE"/>
    <m/>
    <x v="0"/>
    <m/>
    <m/>
    <m/>
    <s v="South"/>
    <s v="PATANCHERU"/>
    <m/>
    <n v="948926"/>
    <x v="90"/>
    <n v="2426388"/>
    <s v="CRCA COIL TATXXD BT01 0.900X1320"/>
    <s v=" "/>
    <s v=""/>
    <n v="6"/>
    <n v="8"/>
    <m/>
    <s v="C01"/>
    <s v="TATXXD"/>
    <s v="BT01"/>
    <n v="0.9"/>
    <n v="1320"/>
    <n v="0"/>
    <n v="90"/>
    <n v="0"/>
    <n v="90"/>
    <n v="90"/>
    <n v="90"/>
    <n v="0"/>
    <n v="0"/>
    <n v="0"/>
    <n v="0"/>
    <n v="0"/>
    <n v="0"/>
    <n v="0"/>
    <n v="0"/>
    <n v="0"/>
    <n v="0"/>
    <n v="0"/>
    <n v="0"/>
    <n v="0"/>
    <n v="0"/>
    <n v="0"/>
    <n v="0"/>
    <n v="0"/>
    <n v="0"/>
    <n v="0"/>
    <n v="0"/>
    <n v="0"/>
    <n v="0"/>
    <n v="0"/>
    <n v="0"/>
    <m/>
    <m/>
    <m/>
    <m/>
    <m/>
    <m/>
    <m/>
    <m/>
    <m/>
    <m/>
    <m/>
    <m/>
    <m/>
    <m/>
    <m/>
    <m/>
    <m/>
    <m/>
    <m/>
    <m/>
    <m/>
    <m/>
    <m/>
    <m/>
    <m/>
    <m/>
    <m/>
    <m/>
    <m/>
    <m/>
    <m/>
    <m/>
    <m/>
    <m/>
    <m/>
    <m/>
    <m/>
    <m/>
    <m/>
    <m/>
    <m/>
    <m/>
    <m/>
    <m/>
    <m/>
    <m/>
    <m/>
    <m/>
    <m/>
  </r>
  <r>
    <n v="742"/>
    <d v="2025-02-06T00:00:00"/>
    <s v="ZBTO"/>
    <n v="9518497626"/>
    <n v="13"/>
    <s v="9518497626-13"/>
    <s v="No Priority"/>
    <x v="0"/>
    <m/>
    <x v="1"/>
    <x v="2"/>
    <s v="2000-BPRS"/>
    <m/>
    <x v="0"/>
    <m/>
    <m/>
    <m/>
    <s v="South"/>
    <s v="VISHAKHAPATNAM"/>
    <m/>
    <n v="946077"/>
    <x v="8"/>
    <n v="3410101"/>
    <s v="CRCA SHEET TSBCRC SR15 0.750X1000X2500"/>
    <s v=" "/>
    <s v=""/>
    <n v="0"/>
    <n v="0"/>
    <m/>
    <s v="C06"/>
    <s v="TSBCRC"/>
    <s v="SR15"/>
    <n v="0.75"/>
    <n v="1000"/>
    <n v="2500"/>
    <n v="9"/>
    <n v="0"/>
    <n v="9"/>
    <n v="9"/>
    <n v="9"/>
    <n v="9"/>
    <n v="0"/>
    <n v="0"/>
    <n v="0"/>
    <n v="0"/>
    <n v="0"/>
    <n v="0"/>
    <n v="0"/>
    <n v="0"/>
    <n v="0"/>
    <n v="0"/>
    <n v="0"/>
    <n v="0"/>
    <n v="0"/>
    <n v="0"/>
    <n v="0"/>
    <n v="0"/>
    <n v="0"/>
    <n v="0"/>
    <n v="0"/>
    <n v="0"/>
    <n v="0"/>
    <n v="0"/>
    <n v="0"/>
    <m/>
    <m/>
    <m/>
    <m/>
    <m/>
    <m/>
    <m/>
    <m/>
    <m/>
    <m/>
    <m/>
    <m/>
    <m/>
    <m/>
    <m/>
    <m/>
    <m/>
    <m/>
    <m/>
    <m/>
    <m/>
    <m/>
    <m/>
    <m/>
    <m/>
    <m/>
    <m/>
    <m/>
    <m/>
    <m/>
    <m/>
    <m/>
    <m/>
    <m/>
    <m/>
    <m/>
    <m/>
    <m/>
    <m/>
    <m/>
    <m/>
    <m/>
    <m/>
    <m/>
    <m/>
    <m/>
    <m/>
    <m/>
    <m/>
  </r>
  <r>
    <n v="742"/>
    <d v="2025-02-11T00:00:00"/>
    <s v="ZBTO"/>
    <n v="9518510371"/>
    <n v="1"/>
    <s v="9518510371-1"/>
    <s v="No Priority"/>
    <x v="0"/>
    <m/>
    <x v="1"/>
    <x v="2"/>
    <s v="2000-BPRS"/>
    <m/>
    <x v="0"/>
    <m/>
    <m/>
    <m/>
    <s v="North"/>
    <s v="GORAKHPUR"/>
    <m/>
    <n v="115841"/>
    <x v="7"/>
    <n v="3240760"/>
    <s v="CRCA SHEET TSBCRC SR15 0.500X1000X2500"/>
    <s v=" "/>
    <s v=""/>
    <n v="0"/>
    <n v="0"/>
    <m/>
    <s v="C06"/>
    <s v="TSBCRC"/>
    <s v="SR15"/>
    <n v="0.5"/>
    <n v="1000"/>
    <n v="2500"/>
    <n v="33"/>
    <n v="20.274999999999999"/>
    <n v="12.725"/>
    <n v="12.725"/>
    <n v="12.725"/>
    <n v="12.725"/>
    <n v="0"/>
    <n v="0"/>
    <n v="0"/>
    <n v="0"/>
    <n v="0"/>
    <n v="0"/>
    <n v="0"/>
    <n v="0"/>
    <n v="0"/>
    <n v="0"/>
    <n v="0"/>
    <n v="0"/>
    <n v="0"/>
    <n v="0"/>
    <n v="0"/>
    <n v="0"/>
    <n v="0"/>
    <n v="0"/>
    <n v="0"/>
    <n v="0"/>
    <n v="0"/>
    <n v="0"/>
    <n v="0"/>
    <m/>
    <m/>
    <m/>
    <m/>
    <m/>
    <m/>
    <m/>
    <m/>
    <m/>
    <m/>
    <m/>
    <m/>
    <m/>
    <m/>
    <m/>
    <m/>
    <m/>
    <m/>
    <m/>
    <m/>
    <m/>
    <m/>
    <m/>
    <m/>
    <m/>
    <m/>
    <m/>
    <m/>
    <m/>
    <m/>
    <m/>
    <m/>
    <m/>
    <m/>
    <m/>
    <m/>
    <m/>
    <m/>
    <m/>
    <m/>
    <m/>
    <m/>
    <m/>
    <m/>
    <m/>
    <m/>
    <m/>
    <m/>
    <m/>
  </r>
  <r>
    <n v="744"/>
    <d v="2025-02-25T00:00:00"/>
    <s v="ZBTT"/>
    <n v="4000499447"/>
    <n v="1"/>
    <s v="4000499447-1"/>
    <s v="No Priority"/>
    <x v="0"/>
    <m/>
    <x v="2"/>
    <x v="3"/>
    <s v=""/>
    <m/>
    <x v="0"/>
    <m/>
    <m/>
    <m/>
    <s v="TBSPL"/>
    <s v="SADANGI"/>
    <m/>
    <n v="650744"/>
    <x v="96"/>
    <n v="2404802"/>
    <s v="PPGL PROF TRDHPL TRD2  0.500X1080"/>
    <s v="aZ70"/>
    <s v=""/>
    <n v="1.5"/>
    <n v="6"/>
    <m/>
    <s v="B20"/>
    <s v="TRDHPL"/>
    <s v="TRD2"/>
    <n v="0.5"/>
    <n v="1080"/>
    <n v="0"/>
    <n v="100"/>
    <n v="0"/>
    <n v="100"/>
    <n v="100"/>
    <n v="100"/>
    <n v="0"/>
    <n v="0"/>
    <n v="0"/>
    <n v="0"/>
    <n v="0"/>
    <n v="0"/>
    <n v="0"/>
    <n v="0"/>
    <n v="0"/>
    <n v="0"/>
    <n v="0"/>
    <n v="0"/>
    <n v="0"/>
    <n v="0"/>
    <n v="0"/>
    <n v="0"/>
    <n v="0"/>
    <n v="0"/>
    <n v="0"/>
    <n v="0"/>
    <n v="0"/>
    <n v="0"/>
    <n v="0"/>
    <n v="0"/>
    <m/>
    <m/>
    <m/>
    <m/>
    <m/>
    <m/>
    <m/>
    <m/>
    <m/>
    <m/>
    <m/>
    <m/>
    <m/>
    <m/>
    <m/>
    <m/>
    <m/>
    <m/>
    <m/>
    <m/>
    <m/>
    <m/>
    <m/>
    <m/>
    <m/>
    <m/>
    <m/>
    <m/>
    <m/>
    <m/>
    <m/>
    <m/>
    <m/>
    <m/>
    <m/>
    <m/>
    <m/>
    <m/>
    <m/>
    <m/>
    <m/>
    <m/>
    <m/>
    <m/>
    <m/>
    <m/>
    <m/>
    <m/>
    <m/>
  </r>
  <r>
    <n v="743"/>
    <d v="2025-02-25T00:00:00"/>
    <s v="ZBTO"/>
    <n v="9518551400"/>
    <n v="2"/>
    <s v="9518551400-2"/>
    <s v="No Priority"/>
    <x v="0"/>
    <m/>
    <x v="4"/>
    <x v="5"/>
    <s v="1000-IPPE"/>
    <m/>
    <x v="0"/>
    <m/>
    <s v="Centre slit HR not available"/>
    <m/>
    <s v="South"/>
    <s v="VALPARAI"/>
    <m/>
    <n v="947775"/>
    <x v="97"/>
    <n v="3954447"/>
    <s v="GL COIL HARD  Y550GL GL6H 0.900X1160"/>
    <s v="AZ150"/>
    <s v=""/>
    <n v="10"/>
    <n v="15"/>
    <m/>
    <s v="B04"/>
    <s v="Y550GL"/>
    <s v="GL6H"/>
    <n v="0.9"/>
    <n v="1160"/>
    <n v="0"/>
    <n v="216"/>
    <n v="0"/>
    <n v="216"/>
    <n v="216"/>
    <n v="216"/>
    <n v="216"/>
    <n v="0"/>
    <n v="0"/>
    <n v="0"/>
    <n v="0"/>
    <n v="0"/>
    <n v="0"/>
    <n v="0"/>
    <n v="0"/>
    <n v="0"/>
    <n v="0"/>
    <n v="0"/>
    <n v="0"/>
    <n v="0"/>
    <n v="0"/>
    <n v="0"/>
    <n v="0"/>
    <n v="0"/>
    <n v="0"/>
    <n v="0"/>
    <n v="0"/>
    <n v="0"/>
    <n v="0"/>
    <n v="0"/>
    <m/>
    <m/>
    <m/>
    <m/>
    <m/>
    <m/>
    <m/>
    <m/>
    <m/>
    <m/>
    <m/>
    <m/>
    <m/>
    <m/>
    <m/>
    <m/>
    <m/>
    <m/>
    <m/>
    <m/>
    <m/>
    <m/>
    <m/>
    <m/>
    <m/>
    <m/>
    <m/>
    <m/>
    <m/>
    <m/>
    <m/>
    <m/>
    <m/>
    <m/>
    <m/>
    <m/>
    <m/>
    <m/>
    <m/>
    <m/>
    <m/>
    <m/>
    <m/>
    <m/>
    <m/>
    <m/>
    <m/>
    <m/>
    <m/>
  </r>
  <r>
    <n v="743"/>
    <d v="2025-02-14T00:00:00"/>
    <s v="ZBTO"/>
    <n v="9518519230"/>
    <n v="1"/>
    <s v="9518519230-1"/>
    <s v="No Priority"/>
    <x v="0"/>
    <m/>
    <x v="3"/>
    <x v="9"/>
    <s v="2000-BPRS"/>
    <m/>
    <x v="0"/>
    <m/>
    <m/>
    <m/>
    <s v="North"/>
    <s v="SANHEWAL"/>
    <m/>
    <n v="185845"/>
    <x v="81"/>
    <n v="1851054"/>
    <s v="GP COIL SOFT-TATXGP-GK09-0.2X900"/>
    <s v="Z80"/>
    <s v=""/>
    <n v="4"/>
    <n v="6"/>
    <m/>
    <s v="C02"/>
    <s v="TATXGP"/>
    <s v="GK09"/>
    <n v="0.2"/>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2-04T00:00:00"/>
    <s v="ZBTO"/>
    <n v="9518492304"/>
    <n v="3"/>
    <s v="9518492304-3"/>
    <s v="No Priority"/>
    <x v="0"/>
    <m/>
    <x v="1"/>
    <x v="16"/>
    <s v="2000-BPRS"/>
    <m/>
    <x v="0"/>
    <m/>
    <m/>
    <m/>
    <s v="West"/>
    <s v="MORIYA"/>
    <m/>
    <n v="940707"/>
    <x v="98"/>
    <n v="2170009"/>
    <s v="CRCA COIL TATXXD BT02 1.200X914"/>
    <s v=" "/>
    <s v=""/>
    <n v="6"/>
    <n v="10"/>
    <m/>
    <s v="C01"/>
    <s v="TATXXD"/>
    <s v="BT02"/>
    <n v="1.2"/>
    <n v="914"/>
    <n v="0"/>
    <n v="146.99"/>
    <n v="52.695"/>
    <n v="94.295000000000002"/>
    <n v="94.295000000000002"/>
    <n v="94.295000000000002"/>
    <n v="94.295000000000002"/>
    <n v="0"/>
    <n v="0"/>
    <n v="0"/>
    <n v="0"/>
    <n v="0"/>
    <n v="0"/>
    <n v="0"/>
    <n v="0"/>
    <n v="0"/>
    <n v="0"/>
    <n v="0"/>
    <n v="0"/>
    <n v="0"/>
    <n v="0"/>
    <n v="0"/>
    <n v="0"/>
    <n v="0"/>
    <n v="0"/>
    <n v="0"/>
    <n v="0"/>
    <n v="0"/>
    <n v="0"/>
    <n v="0"/>
    <m/>
    <m/>
    <m/>
    <m/>
    <m/>
    <m/>
    <m/>
    <m/>
    <m/>
    <m/>
    <m/>
    <m/>
    <m/>
    <m/>
    <m/>
    <m/>
    <m/>
    <m/>
    <m/>
    <m/>
    <m/>
    <m/>
    <m/>
    <m/>
    <m/>
    <m/>
    <m/>
    <m/>
    <m/>
    <m/>
    <m/>
    <m/>
    <m/>
    <m/>
    <m/>
    <m/>
    <m/>
    <m/>
    <m/>
    <m/>
    <m/>
    <m/>
    <m/>
    <m/>
    <m/>
    <m/>
    <m/>
    <m/>
    <m/>
  </r>
  <r>
    <n v="743"/>
    <d v="2025-02-25T00:00:00"/>
    <s v="ZBTO"/>
    <n v="9518550377"/>
    <n v="1"/>
    <s v="9518550377-1"/>
    <s v="No Priority"/>
    <x v="0"/>
    <m/>
    <x v="3"/>
    <x v="9"/>
    <s v="2000-BPRS"/>
    <m/>
    <x v="0"/>
    <m/>
    <m/>
    <m/>
    <s v="North"/>
    <s v="LONI"/>
    <m/>
    <n v="931234"/>
    <x v="99"/>
    <n v="1851065"/>
    <s v="GP COIL SOFT-TATXGP-GK09-0.25X900"/>
    <s v="Z80"/>
    <s v=""/>
    <n v="4"/>
    <n v="6"/>
    <m/>
    <s v="C02"/>
    <s v="TATXGP"/>
    <s v="GK09"/>
    <n v="0.2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2-25T00:00:00"/>
    <s v="ZBTO"/>
    <n v="9518550377"/>
    <n v="2"/>
    <s v="9518550377-2"/>
    <s v="No Priority"/>
    <x v="0"/>
    <m/>
    <x v="3"/>
    <x v="9"/>
    <s v="2000-BPRS"/>
    <m/>
    <x v="0"/>
    <m/>
    <m/>
    <m/>
    <s v="North"/>
    <s v="LONI"/>
    <m/>
    <n v="931234"/>
    <x v="99"/>
    <n v="1191955"/>
    <s v="GP COIL SOFT-TATXGP-GK09-0.3X900"/>
    <s v="Z80"/>
    <s v=""/>
    <n v="4"/>
    <n v="6"/>
    <m/>
    <s v="C02"/>
    <s v="TATXGP"/>
    <s v="GK09"/>
    <n v="0.3"/>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2-25T00:00:00"/>
    <s v="ZBTO"/>
    <n v="9518550377"/>
    <n v="3"/>
    <s v="9518550377-3"/>
    <s v="No Priority"/>
    <x v="0"/>
    <m/>
    <x v="3"/>
    <x v="9"/>
    <s v="2000-BPRS"/>
    <m/>
    <x v="0"/>
    <m/>
    <m/>
    <m/>
    <s v="North"/>
    <s v="LONI"/>
    <m/>
    <n v="931234"/>
    <x v="99"/>
    <n v="1178439"/>
    <s v="GP COIL SOFT-TATXGP-GK09-0.4X900"/>
    <s v="Z80"/>
    <s v=""/>
    <n v="4"/>
    <n v="6"/>
    <m/>
    <s v="C02"/>
    <s v="TATXGP"/>
    <s v="GK09"/>
    <n v="0.4"/>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2-20T00:00:00"/>
    <s v="ZBTO"/>
    <n v="9518534963"/>
    <n v="2"/>
    <s v="9518534963-2"/>
    <s v="No Priority"/>
    <x v="0"/>
    <m/>
    <x v="3"/>
    <x v="9"/>
    <s v="2000-BPRS"/>
    <m/>
    <x v="0"/>
    <m/>
    <m/>
    <m/>
    <s v="North"/>
    <s v="LONI"/>
    <m/>
    <n v="183259"/>
    <x v="88"/>
    <n v="1851054"/>
    <s v="GP COIL SOFT-TATXGP-GK09-0.2X900"/>
    <s v="Z80"/>
    <s v=""/>
    <n v="4"/>
    <n v="6"/>
    <m/>
    <s v="C02"/>
    <s v="TATXGP"/>
    <s v="GK09"/>
    <n v="0.2"/>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20T00:00:00"/>
    <s v="ZBTO"/>
    <n v="9518535035"/>
    <n v="1"/>
    <s v="9518535035-1"/>
    <s v="No Priority"/>
    <x v="0"/>
    <m/>
    <x v="3"/>
    <x v="9"/>
    <s v="2000-BPRS"/>
    <m/>
    <x v="0"/>
    <m/>
    <m/>
    <m/>
    <s v="North"/>
    <s v="ZOSOLA"/>
    <m/>
    <n v="183259"/>
    <x v="88"/>
    <n v="1191955"/>
    <s v="GP COIL SOFT-TATXGP-GK09-0.3X900"/>
    <s v="Z80"/>
    <s v=""/>
    <n v="4"/>
    <n v="6"/>
    <m/>
    <s v="C02"/>
    <s v="TATXGP"/>
    <s v="GK09"/>
    <n v="0.3"/>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2-17T00:00:00"/>
    <s v="ZBTO"/>
    <n v="9518527008"/>
    <n v="4"/>
    <s v="9518527008-4"/>
    <s v="No Priority"/>
    <x v="0"/>
    <m/>
    <x v="3"/>
    <x v="9"/>
    <s v="2000-BPRS"/>
    <m/>
    <x v="0"/>
    <m/>
    <m/>
    <m/>
    <s v="North"/>
    <s v="LONI"/>
    <m/>
    <n v="931234"/>
    <x v="99"/>
    <n v="1854424"/>
    <s v="GP COIL SOFT-TATXGP-GK09-0.6X900"/>
    <s v="Z80"/>
    <s v=""/>
    <n v="4"/>
    <n v="6"/>
    <m/>
    <s v="C02"/>
    <s v="TATXGP"/>
    <s v="GK09"/>
    <n v="0.6"/>
    <n v="900"/>
    <n v="0"/>
    <n v="105"/>
    <n v="0"/>
    <n v="105"/>
    <n v="105"/>
    <n v="105"/>
    <n v="105"/>
    <n v="0"/>
    <n v="0"/>
    <n v="0"/>
    <n v="0"/>
    <n v="0"/>
    <n v="0"/>
    <n v="0"/>
    <n v="0"/>
    <n v="0"/>
    <n v="0"/>
    <n v="0"/>
    <n v="0"/>
    <n v="0"/>
    <n v="0"/>
    <n v="0"/>
    <n v="0"/>
    <n v="0"/>
    <n v="0"/>
    <n v="0"/>
    <n v="0"/>
    <n v="0"/>
    <n v="0"/>
    <n v="0"/>
    <m/>
    <m/>
    <m/>
    <m/>
    <m/>
    <m/>
    <m/>
    <m/>
    <m/>
    <m/>
    <m/>
    <m/>
    <m/>
    <m/>
    <m/>
    <m/>
    <m/>
    <m/>
    <m/>
    <m/>
    <m/>
    <m/>
    <m/>
    <m/>
    <m/>
    <m/>
    <m/>
    <m/>
    <m/>
    <m/>
    <m/>
    <m/>
    <m/>
    <m/>
    <m/>
    <m/>
    <m/>
    <m/>
    <m/>
    <m/>
    <m/>
    <m/>
    <m/>
    <m/>
    <m/>
    <m/>
    <m/>
    <m/>
    <m/>
  </r>
  <r>
    <n v="742"/>
    <d v="2025-03-17T00:00:00"/>
    <s v="ZBTO"/>
    <n v="9518606704"/>
    <n v="4"/>
    <s v="9518606704-4"/>
    <s v="No Priority"/>
    <x v="0"/>
    <s v="Yes"/>
    <x v="1"/>
    <x v="11"/>
    <s v="2000-BPRS"/>
    <m/>
    <x v="0"/>
    <m/>
    <m/>
    <m/>
    <s v="South"/>
    <s v="YESHWANTHPURA"/>
    <m/>
    <n v="939268"/>
    <x v="0"/>
    <n v="2420514"/>
    <s v="CRCA COIL TATXXD AH03 0.800X1250"/>
    <s v=" "/>
    <s v=""/>
    <n v="10"/>
    <n v="30"/>
    <m/>
    <s v="C01"/>
    <s v="TATXXD"/>
    <s v="AH03"/>
    <n v="0.8"/>
    <n v="1250"/>
    <n v="0"/>
    <n v="58"/>
    <n v="0"/>
    <n v="58"/>
    <n v="2.5"/>
    <n v="0"/>
    <n v="4.0650000000000004"/>
    <n v="0"/>
    <n v="0"/>
    <n v="0"/>
    <n v="0"/>
    <n v="0"/>
    <n v="0"/>
    <n v="0"/>
    <n v="0"/>
    <n v="0"/>
    <n v="0"/>
    <n v="0"/>
    <n v="0"/>
    <n v="0"/>
    <n v="0"/>
    <n v="0"/>
    <n v="0"/>
    <n v="0"/>
    <n v="0"/>
    <n v="0"/>
    <n v="0"/>
    <n v="0"/>
    <n v="0"/>
    <n v="0"/>
    <m/>
    <m/>
    <m/>
    <m/>
    <m/>
    <m/>
    <m/>
    <m/>
    <m/>
    <m/>
    <m/>
    <m/>
    <m/>
    <m/>
    <m/>
    <m/>
    <m/>
    <m/>
    <m/>
    <m/>
    <m/>
    <m/>
    <m/>
    <m/>
    <m/>
    <m/>
    <m/>
    <m/>
    <m/>
    <m/>
    <m/>
    <m/>
    <m/>
    <m/>
    <m/>
    <m/>
    <m/>
    <m/>
    <m/>
    <m/>
    <m/>
    <m/>
    <m/>
    <m/>
    <m/>
    <m/>
    <m/>
    <m/>
    <m/>
  </r>
  <r>
    <n v="742"/>
    <d v="2025-03-11T00:00:00"/>
    <s v="ZBTO"/>
    <n v="9518591233"/>
    <n v="1"/>
    <s v="9518591233-1"/>
    <s v="No Priority"/>
    <x v="0"/>
    <s v="Yes"/>
    <x v="1"/>
    <x v="1"/>
    <s v="2000-BPRS"/>
    <m/>
    <x v="0"/>
    <m/>
    <m/>
    <m/>
    <s v="South"/>
    <s v="YESHWANTHPURA"/>
    <m/>
    <n v="932244"/>
    <x v="34"/>
    <n v="1804772"/>
    <s v="CRCA COIL TATXXD AU03 0.4X1250"/>
    <s v=" "/>
    <s v=""/>
    <n v="2"/>
    <n v="28"/>
    <m/>
    <s v="C01"/>
    <s v="TATXXD"/>
    <s v="AU03"/>
    <n v="0.4"/>
    <n v="1250"/>
    <n v="0"/>
    <n v="58"/>
    <n v="0"/>
    <n v="58"/>
    <n v="58"/>
    <n v="58"/>
    <n v="58"/>
    <n v="0"/>
    <n v="0"/>
    <n v="0"/>
    <n v="0"/>
    <n v="0"/>
    <n v="0"/>
    <n v="0"/>
    <n v="0"/>
    <n v="0"/>
    <n v="0"/>
    <n v="0"/>
    <n v="0"/>
    <n v="0"/>
    <n v="0"/>
    <n v="0"/>
    <n v="0"/>
    <n v="0"/>
    <n v="0"/>
    <n v="0"/>
    <n v="0"/>
    <n v="0"/>
    <n v="0"/>
    <n v="0"/>
    <m/>
    <m/>
    <m/>
    <m/>
    <m/>
    <m/>
    <m/>
    <m/>
    <m/>
    <m/>
    <m/>
    <m/>
    <m/>
    <m/>
    <m/>
    <m/>
    <m/>
    <m/>
    <m/>
    <m/>
    <m/>
    <m/>
    <m/>
    <m/>
    <m/>
    <m/>
    <m/>
    <m/>
    <m/>
    <m/>
    <m/>
    <m/>
    <m/>
    <m/>
    <m/>
    <m/>
    <m/>
    <m/>
    <m/>
    <m/>
    <m/>
    <m/>
    <m/>
    <m/>
    <m/>
    <m/>
    <m/>
    <m/>
    <m/>
  </r>
  <r>
    <n v="744"/>
    <d v="2025-03-22T00:00:00"/>
    <s v="ZBTO"/>
    <n v="9518624252"/>
    <n v="5"/>
    <s v="9518624252-5"/>
    <s v="May'25"/>
    <x v="0"/>
    <m/>
    <x v="2"/>
    <x v="3"/>
    <s v="1000-IPPE"/>
    <m/>
    <x v="1"/>
    <m/>
    <m/>
    <m/>
    <s v="TBSPL"/>
    <s v=" "/>
    <m/>
    <n v="941597"/>
    <x v="6"/>
    <n v="3902332"/>
    <s v="PPGL C HARD Y550PL D0C9 0.50(TPT)X1220"/>
    <s v="AZ150"/>
    <s v="RAL 5018 TSL 1809"/>
    <n v="3"/>
    <n v="5"/>
    <m/>
    <s v="B18"/>
    <s v="Y550PL"/>
    <s v="D0C9"/>
    <n v="0.5"/>
    <n v="1220"/>
    <n v="0"/>
    <n v="84"/>
    <n v="0"/>
    <n v="84"/>
    <n v="84"/>
    <n v="84"/>
    <n v="84"/>
    <n v="0"/>
    <n v="0"/>
    <n v="0"/>
    <n v="0"/>
    <n v="0"/>
    <n v="0"/>
    <n v="0"/>
    <n v="0"/>
    <n v="0"/>
    <n v="0"/>
    <n v="0"/>
    <n v="0"/>
    <n v="0"/>
    <n v="0"/>
    <n v="0"/>
    <n v="0"/>
    <n v="0"/>
    <n v="0"/>
    <n v="0"/>
    <n v="0"/>
    <n v="0"/>
    <n v="0"/>
    <n v="0"/>
    <m/>
    <m/>
    <m/>
    <m/>
    <m/>
    <m/>
    <m/>
    <m/>
    <m/>
    <m/>
    <m/>
    <m/>
    <m/>
    <m/>
    <m/>
    <m/>
    <m/>
    <m/>
    <m/>
    <m/>
    <m/>
    <m/>
    <m/>
    <m/>
    <m/>
    <m/>
    <m/>
    <m/>
    <m/>
    <m/>
    <m/>
    <m/>
    <m/>
    <m/>
    <m/>
    <m/>
    <m/>
    <m/>
    <m/>
    <m/>
    <m/>
    <m/>
    <m/>
    <m/>
    <m/>
    <m/>
    <m/>
    <m/>
    <m/>
  </r>
  <r>
    <n v="744"/>
    <d v="2025-03-22T00:00:00"/>
    <s v="ZBTO"/>
    <n v="9518624252"/>
    <n v="20"/>
    <s v="9518624252-20"/>
    <s v="May'25"/>
    <x v="0"/>
    <m/>
    <x v="2"/>
    <x v="3"/>
    <s v="1000-IPPE"/>
    <m/>
    <x v="1"/>
    <m/>
    <m/>
    <m/>
    <s v="TBSPL"/>
    <s v=" "/>
    <m/>
    <n v="941597"/>
    <x v="6"/>
    <n v="3902332"/>
    <s v="PPGL C HARD Y550PL D0C9 0.50(TPT)X1220"/>
    <s v="AZ150"/>
    <s v="RAL 5012 TSL 1802"/>
    <n v="3"/>
    <n v="5"/>
    <m/>
    <s v="B18"/>
    <s v="Y550PL"/>
    <s v="D0C9"/>
    <n v="0.5"/>
    <n v="1220"/>
    <n v="0"/>
    <n v="84"/>
    <n v="0"/>
    <n v="84"/>
    <n v="84"/>
    <n v="84"/>
    <n v="84"/>
    <n v="0"/>
    <n v="0"/>
    <n v="0"/>
    <n v="0"/>
    <n v="0"/>
    <n v="0"/>
    <n v="0"/>
    <n v="0"/>
    <n v="0"/>
    <n v="0"/>
    <n v="0"/>
    <n v="0"/>
    <n v="0"/>
    <n v="0"/>
    <n v="0"/>
    <n v="0"/>
    <n v="0"/>
    <n v="0"/>
    <n v="0"/>
    <n v="0"/>
    <n v="0"/>
    <n v="0"/>
    <n v="0"/>
    <m/>
    <m/>
    <m/>
    <m/>
    <m/>
    <m/>
    <m/>
    <m/>
    <m/>
    <m/>
    <m/>
    <m/>
    <m/>
    <m/>
    <m/>
    <m/>
    <m/>
    <m/>
    <m/>
    <m/>
    <m/>
    <m/>
    <m/>
    <m/>
    <m/>
    <m/>
    <m/>
    <m/>
    <m/>
    <m/>
    <m/>
    <m/>
    <m/>
    <m/>
    <m/>
    <m/>
    <m/>
    <m/>
    <m/>
    <m/>
    <m/>
    <m/>
    <m/>
    <m/>
    <m/>
    <m/>
    <m/>
    <m/>
    <m/>
  </r>
  <r>
    <n v="744"/>
    <d v="2025-03-13T00:00:00"/>
    <s v="ZBTO"/>
    <n v="9518598962"/>
    <n v="1"/>
    <s v="9518598962-1"/>
    <s v="No Priority"/>
    <x v="0"/>
    <m/>
    <x v="2"/>
    <x v="3"/>
    <s v="1000-IPPE"/>
    <m/>
    <x v="0"/>
    <m/>
    <m/>
    <m/>
    <s v="TBSPL"/>
    <s v=" "/>
    <m/>
    <n v="941597"/>
    <x v="6"/>
    <n v="3902332"/>
    <s v="PPGL C HARD Y550PL D0C9 0.50(TPT)X1220"/>
    <s v="AZ150"/>
    <s v="TAURUS BLUES TSL 1813"/>
    <n v="2"/>
    <n v="5.0999999999999996"/>
    <m/>
    <s v="B18"/>
    <s v="Y550PL"/>
    <s v="D0C9"/>
    <n v="0.5"/>
    <n v="1220"/>
    <n v="0"/>
    <n v="56"/>
    <n v="0"/>
    <n v="56"/>
    <n v="-1.51"/>
    <n v="0"/>
    <n v="30.274999999999999"/>
    <n v="0"/>
    <n v="0"/>
    <n v="0"/>
    <n v="0"/>
    <n v="15.785"/>
    <n v="0"/>
    <n v="0"/>
    <n v="0"/>
    <n v="0"/>
    <n v="0"/>
    <n v="0"/>
    <n v="0"/>
    <n v="0"/>
    <n v="0"/>
    <n v="0"/>
    <n v="0"/>
    <n v="0"/>
    <n v="0"/>
    <n v="0"/>
    <n v="15.785"/>
    <n v="15.785"/>
    <n v="0"/>
    <n v="15.785"/>
    <m/>
    <m/>
    <m/>
    <m/>
    <m/>
    <m/>
    <m/>
    <m/>
    <m/>
    <m/>
    <m/>
    <m/>
    <m/>
    <m/>
    <m/>
    <m/>
    <m/>
    <m/>
    <m/>
    <m/>
    <m/>
    <m/>
    <m/>
    <m/>
    <m/>
    <m/>
    <m/>
    <m/>
    <m/>
    <m/>
    <m/>
    <m/>
    <m/>
    <m/>
    <m/>
    <m/>
    <m/>
    <m/>
    <m/>
    <m/>
    <m/>
    <m/>
    <m/>
    <m/>
    <m/>
    <m/>
    <m/>
    <m/>
    <m/>
  </r>
  <r>
    <n v="744"/>
    <d v="2025-03-20T00:00:00"/>
    <s v="ZBTO"/>
    <n v="9518617046"/>
    <n v="12"/>
    <s v="9518617046-12"/>
    <s v="May'25"/>
    <x v="0"/>
    <m/>
    <x v="2"/>
    <x v="3"/>
    <s v="1000-IPPE"/>
    <m/>
    <x v="1"/>
    <m/>
    <m/>
    <m/>
    <s v="TBSPL"/>
    <s v=" "/>
    <m/>
    <n v="941597"/>
    <x v="6"/>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18T00:00:00"/>
    <s v="ZBTO"/>
    <n v="9518610301"/>
    <n v="5"/>
    <s v="9518610301-5"/>
    <s v="May'25"/>
    <x v="0"/>
    <m/>
    <x v="2"/>
    <x v="3"/>
    <s v="1000-IPPE"/>
    <m/>
    <x v="1"/>
    <m/>
    <m/>
    <m/>
    <s v="TBSPL"/>
    <s v=" "/>
    <m/>
    <n v="941597"/>
    <x v="6"/>
    <n v="3902332"/>
    <s v="PPGL C HARD Y550PL D0C9 0.50(TPT)X1220"/>
    <s v="AZ150"/>
    <s v="RAL 7015 TSL 1805"/>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28T00:00:00"/>
    <s v="ZBTO"/>
    <n v="9518649334"/>
    <n v="6"/>
    <s v="9518649334-6"/>
    <s v="No Priority"/>
    <x v="0"/>
    <m/>
    <x v="0"/>
    <x v="0"/>
    <s v="2000-BPRS"/>
    <m/>
    <x v="0"/>
    <m/>
    <m/>
    <m/>
    <s v="North"/>
    <s v="FARIDABAD"/>
    <m/>
    <n v="936528"/>
    <x v="3"/>
    <n v="3211298"/>
    <s v="HR COILS-PO I09497 2.80X1250"/>
    <s v=" "/>
    <s v=""/>
    <n v="17"/>
    <n v="26"/>
    <m/>
    <n v="768"/>
    <s v="I09497"/>
    <s v="HG01"/>
    <n v="2.8"/>
    <n v="1250"/>
    <n v="0"/>
    <n v="25"/>
    <n v="0"/>
    <n v="25"/>
    <n v="25"/>
    <n v="25"/>
    <n v="0"/>
    <n v="0"/>
    <n v="0"/>
    <n v="0"/>
    <n v="0"/>
    <n v="0"/>
    <n v="0"/>
    <n v="0"/>
    <n v="0"/>
    <n v="0"/>
    <n v="0"/>
    <n v="0"/>
    <n v="0"/>
    <n v="0"/>
    <n v="0"/>
    <n v="0"/>
    <n v="0"/>
    <n v="0"/>
    <n v="0"/>
    <n v="0"/>
    <n v="0"/>
    <n v="0"/>
    <n v="0"/>
    <n v="0"/>
    <m/>
    <m/>
    <m/>
    <m/>
    <m/>
    <m/>
    <m/>
    <m/>
    <m/>
    <m/>
    <m/>
    <m/>
    <m/>
    <m/>
    <m/>
    <m/>
    <m/>
    <m/>
    <m/>
    <m/>
    <m/>
    <m/>
    <m/>
    <m/>
    <m/>
    <m/>
    <m/>
    <m/>
    <m/>
    <m/>
    <m/>
    <m/>
    <m/>
    <m/>
    <m/>
    <m/>
    <m/>
    <m/>
    <m/>
    <m/>
    <m/>
    <m/>
    <m/>
    <m/>
    <m/>
    <m/>
    <m/>
    <m/>
    <m/>
  </r>
  <r>
    <n v="742"/>
    <d v="2025-03-28T00:00:00"/>
    <s v="ZBTO"/>
    <n v="9518649334"/>
    <n v="7"/>
    <s v="9518649334-7"/>
    <s v="May'25"/>
    <x v="0"/>
    <m/>
    <x v="0"/>
    <x v="0"/>
    <s v="2000-BPRS"/>
    <m/>
    <x v="1"/>
    <m/>
    <m/>
    <m/>
    <s v="North"/>
    <s v="FARIDABAD"/>
    <m/>
    <n v="936528"/>
    <x v="3"/>
    <n v="1422306"/>
    <s v="HR COILS-PO IS 10748 GR 1 3X1250"/>
    <s v=" "/>
    <s v=""/>
    <n v="17"/>
    <n v="26"/>
    <m/>
    <n v="768"/>
    <s v="I09497"/>
    <s v="HG01"/>
    <n v="3"/>
    <n v="1250"/>
    <n v="0"/>
    <n v="50"/>
    <n v="0"/>
    <n v="50"/>
    <n v="50"/>
    <n v="50"/>
    <n v="27.98"/>
    <n v="0"/>
    <n v="0"/>
    <n v="0"/>
    <n v="0"/>
    <n v="0"/>
    <n v="0"/>
    <n v="0"/>
    <n v="0"/>
    <n v="0"/>
    <n v="0"/>
    <n v="0"/>
    <n v="0"/>
    <n v="0"/>
    <n v="0"/>
    <n v="0"/>
    <n v="0"/>
    <n v="0"/>
    <n v="0"/>
    <n v="0"/>
    <n v="0"/>
    <n v="0"/>
    <n v="0"/>
    <n v="0"/>
    <m/>
    <m/>
    <m/>
    <m/>
    <m/>
    <m/>
    <m/>
    <m/>
    <m/>
    <m/>
    <m/>
    <m/>
    <m/>
    <m/>
    <m/>
    <m/>
    <m/>
    <m/>
    <m/>
    <m/>
    <m/>
    <m/>
    <m/>
    <m/>
    <m/>
    <m/>
    <m/>
    <m/>
    <m/>
    <m/>
    <m/>
    <m/>
    <m/>
    <m/>
    <m/>
    <m/>
    <m/>
    <m/>
    <m/>
    <m/>
    <m/>
    <m/>
    <m/>
    <m/>
    <m/>
    <m/>
    <m/>
    <m/>
    <m/>
  </r>
  <r>
    <n v="742"/>
    <d v="2025-03-28T00:00:00"/>
    <s v="ZBTO"/>
    <n v="9518649334"/>
    <n v="8"/>
    <s v="9518649334-8"/>
    <s v="No Priority"/>
    <x v="0"/>
    <m/>
    <x v="0"/>
    <x v="0"/>
    <s v="2000-BPRS"/>
    <m/>
    <x v="0"/>
    <m/>
    <m/>
    <m/>
    <s v="North"/>
    <s v="FARIDABAD"/>
    <m/>
    <n v="936528"/>
    <x v="3"/>
    <n v="3649329"/>
    <s v="HR COILS-PO I09497 HG01 3.50X1250"/>
    <s v=" "/>
    <s v=""/>
    <n v="17"/>
    <n v="26"/>
    <m/>
    <n v="768"/>
    <s v="I09497"/>
    <s v="HG01"/>
    <n v="3.5"/>
    <n v="1250"/>
    <n v="0"/>
    <n v="25"/>
    <n v="0"/>
    <n v="25"/>
    <n v="25"/>
    <n v="25"/>
    <n v="0"/>
    <n v="0"/>
    <n v="0"/>
    <n v="0"/>
    <n v="0"/>
    <n v="0"/>
    <n v="0"/>
    <n v="0"/>
    <n v="0"/>
    <n v="0"/>
    <n v="0"/>
    <n v="0"/>
    <n v="0"/>
    <n v="0"/>
    <n v="0"/>
    <n v="0"/>
    <n v="0"/>
    <n v="0"/>
    <n v="0"/>
    <n v="0"/>
    <n v="0"/>
    <n v="0"/>
    <n v="0"/>
    <n v="0"/>
    <m/>
    <m/>
    <m/>
    <m/>
    <m/>
    <m/>
    <m/>
    <m/>
    <m/>
    <m/>
    <m/>
    <m/>
    <m/>
    <m/>
    <m/>
    <m/>
    <m/>
    <m/>
    <m/>
    <m/>
    <m/>
    <m/>
    <m/>
    <m/>
    <m/>
    <m/>
    <m/>
    <m/>
    <m/>
    <m/>
    <m/>
    <m/>
    <m/>
    <m/>
    <m/>
    <m/>
    <m/>
    <m/>
    <m/>
    <m/>
    <m/>
    <m/>
    <m/>
    <m/>
    <m/>
    <m/>
    <m/>
    <m/>
    <m/>
  </r>
  <r>
    <n v="742"/>
    <d v="2025-03-28T00:00:00"/>
    <s v="ZBTO"/>
    <n v="9518649334"/>
    <n v="9"/>
    <s v="9518649334-9"/>
    <s v="No Priority"/>
    <x v="0"/>
    <m/>
    <x v="0"/>
    <x v="0"/>
    <s v="2000-BPRS"/>
    <m/>
    <x v="0"/>
    <m/>
    <m/>
    <m/>
    <s v="North"/>
    <s v="FARIDABAD"/>
    <m/>
    <n v="936528"/>
    <x v="3"/>
    <n v="3187348"/>
    <s v="HR COILS-PO I09497 4X1250"/>
    <s v=" "/>
    <s v=""/>
    <n v="17"/>
    <n v="26"/>
    <m/>
    <n v="768"/>
    <s v="I09497"/>
    <s v="HG01"/>
    <n v="4"/>
    <n v="1250"/>
    <n v="0"/>
    <n v="25"/>
    <n v="0"/>
    <n v="25"/>
    <n v="25"/>
    <n v="25"/>
    <n v="3.46"/>
    <n v="0"/>
    <n v="0"/>
    <n v="0"/>
    <n v="0"/>
    <n v="0"/>
    <n v="0"/>
    <n v="0"/>
    <n v="0"/>
    <n v="0"/>
    <n v="0"/>
    <n v="0"/>
    <n v="0"/>
    <n v="0"/>
    <n v="0"/>
    <n v="0"/>
    <n v="0"/>
    <n v="0"/>
    <n v="0"/>
    <n v="0"/>
    <n v="0"/>
    <n v="0"/>
    <n v="0"/>
    <n v="0"/>
    <m/>
    <m/>
    <m/>
    <m/>
    <m/>
    <m/>
    <m/>
    <m/>
    <m/>
    <m/>
    <m/>
    <m/>
    <m/>
    <m/>
    <m/>
    <m/>
    <m/>
    <m/>
    <m/>
    <m/>
    <m/>
    <m/>
    <m/>
    <m/>
    <m/>
    <m/>
    <m/>
    <m/>
    <m/>
    <m/>
    <m/>
    <m/>
    <m/>
    <m/>
    <m/>
    <m/>
    <m/>
    <m/>
    <m/>
    <m/>
    <m/>
    <m/>
    <m/>
    <m/>
    <m/>
    <m/>
    <m/>
    <m/>
    <m/>
  </r>
  <r>
    <n v="742"/>
    <d v="2025-03-25T00:00:00"/>
    <s v="ZBTO"/>
    <n v="9518631220"/>
    <n v="1"/>
    <s v="9518631220-1"/>
    <s v="No Priority"/>
    <x v="0"/>
    <s v="Yes"/>
    <x v="1"/>
    <x v="1"/>
    <s v="2000-BPRS"/>
    <m/>
    <x v="0"/>
    <m/>
    <m/>
    <m/>
    <s v="South"/>
    <s v="YESHWANTHPURA"/>
    <m/>
    <n v="939268"/>
    <x v="0"/>
    <n v="1800890"/>
    <s v="CRCA COIL-TATXXD-AU03-0.35X1250"/>
    <s v=" "/>
    <s v=""/>
    <n v="2"/>
    <n v="30"/>
    <m/>
    <s v="C01"/>
    <s v="TATXXD"/>
    <s v="AU03"/>
    <n v="0.35"/>
    <n v="1250"/>
    <n v="0"/>
    <n v="58"/>
    <n v="38.770000000000003"/>
    <n v="19.23"/>
    <n v="19.23"/>
    <n v="19.23"/>
    <n v="19.23"/>
    <n v="0"/>
    <n v="0"/>
    <n v="0"/>
    <n v="0"/>
    <n v="0"/>
    <n v="0"/>
    <n v="0"/>
    <n v="0"/>
    <n v="0"/>
    <n v="0"/>
    <n v="0"/>
    <n v="0"/>
    <n v="0"/>
    <n v="0"/>
    <n v="0"/>
    <n v="0"/>
    <n v="0"/>
    <n v="0"/>
    <n v="0"/>
    <n v="0"/>
    <n v="0"/>
    <n v="0"/>
    <n v="0"/>
    <m/>
    <m/>
    <m/>
    <m/>
    <m/>
    <m/>
    <m/>
    <m/>
    <m/>
    <m/>
    <m/>
    <m/>
    <m/>
    <m/>
    <m/>
    <m/>
    <m/>
    <m/>
    <m/>
    <m/>
    <m/>
    <m/>
    <m/>
    <m/>
    <m/>
    <m/>
    <m/>
    <m/>
    <m/>
    <m/>
    <m/>
    <m/>
    <m/>
    <m/>
    <m/>
    <m/>
    <m/>
    <m/>
    <m/>
    <m/>
    <m/>
    <m/>
    <m/>
    <m/>
    <m/>
    <m/>
    <m/>
    <m/>
    <m/>
  </r>
  <r>
    <n v="742"/>
    <d v="2025-03-08T00:00:00"/>
    <s v="ZBTO"/>
    <n v="9518584526"/>
    <n v="1"/>
    <s v="9518584526-1"/>
    <s v="No Priority"/>
    <x v="0"/>
    <m/>
    <x v="1"/>
    <x v="12"/>
    <s v="2000-BPRS"/>
    <m/>
    <x v="0"/>
    <m/>
    <m/>
    <m/>
    <s v="South"/>
    <s v="GUMMIDIPOONDI"/>
    <m/>
    <n v="161312"/>
    <x v="54"/>
    <n v="2156439"/>
    <s v="CRCA COIL TSBSTA EL03 0.5X1250"/>
    <s v=" "/>
    <s v=""/>
    <n v="10"/>
    <n v="30"/>
    <m/>
    <s v="C01"/>
    <s v="TSBSTA"/>
    <s v="EL03"/>
    <n v="0.5"/>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3-21T00:00:00"/>
    <s v="ZBTO"/>
    <n v="9518620513"/>
    <n v="1"/>
    <s v="9518620513-1"/>
    <s v="No Priority"/>
    <x v="0"/>
    <m/>
    <x v="1"/>
    <x v="1"/>
    <s v="2000-BPRS"/>
    <m/>
    <x v="0"/>
    <m/>
    <m/>
    <m/>
    <s v="North"/>
    <s v="SANHEWAL"/>
    <m/>
    <n v="104485"/>
    <x v="100"/>
    <n v="1801456"/>
    <s v="CRCA COIL-TATXXD-AU03-0.7X1250"/>
    <s v=" "/>
    <s v=""/>
    <n v="10"/>
    <n v="30"/>
    <m/>
    <s v="C01"/>
    <s v="TATXXD"/>
    <s v="AU03"/>
    <n v="0.7"/>
    <n v="1250"/>
    <n v="0"/>
    <n v="58"/>
    <n v="0"/>
    <n v="58"/>
    <n v="58"/>
    <n v="58"/>
    <n v="58"/>
    <n v="0"/>
    <n v="0"/>
    <n v="0"/>
    <n v="0"/>
    <n v="0"/>
    <n v="0"/>
    <n v="0"/>
    <n v="0"/>
    <n v="0"/>
    <n v="0"/>
    <n v="0"/>
    <n v="0"/>
    <n v="0"/>
    <n v="0"/>
    <n v="0"/>
    <n v="0"/>
    <n v="0"/>
    <n v="0"/>
    <n v="0"/>
    <n v="0"/>
    <n v="0"/>
    <n v="0"/>
    <n v="0"/>
    <m/>
    <m/>
    <m/>
    <m/>
    <m/>
    <m/>
    <m/>
    <m/>
    <m/>
    <m/>
    <m/>
    <m/>
    <m/>
    <m/>
    <m/>
    <m/>
    <m/>
    <m/>
    <m/>
    <m/>
    <m/>
    <m/>
    <m/>
    <m/>
    <m/>
    <m/>
    <m/>
    <m/>
    <m/>
    <m/>
    <m/>
    <m/>
    <m/>
    <m/>
    <m/>
    <m/>
    <m/>
    <m/>
    <m/>
    <m/>
    <m/>
    <m/>
    <m/>
    <m/>
    <m/>
    <m/>
    <m/>
    <m/>
    <m/>
  </r>
  <r>
    <n v="743"/>
    <d v="2025-03-17T00:00:00"/>
    <s v="ZBTO"/>
    <n v="9518607479"/>
    <n v="1"/>
    <s v="9518607479-1"/>
    <s v="May'25"/>
    <x v="0"/>
    <s v="Yes"/>
    <x v="3"/>
    <x v="9"/>
    <s v="2000-BPRS"/>
    <m/>
    <x v="1"/>
    <m/>
    <m/>
    <m/>
    <s v="East"/>
    <s v=" "/>
    <m/>
    <n v="121328"/>
    <x v="10"/>
    <n v="1191955"/>
    <s v="GP COIL SOFT-TATXGP-GK09-0.3X900"/>
    <s v="Z80"/>
    <s v=""/>
    <n v="4"/>
    <n v="12"/>
    <m/>
    <s v="C02"/>
    <s v="TATXGP"/>
    <s v="GK09"/>
    <n v="0.3"/>
    <n v="900"/>
    <n v="0"/>
    <n v="42"/>
    <n v="0"/>
    <n v="42"/>
    <n v="42"/>
    <n v="42"/>
    <n v="42"/>
    <n v="0"/>
    <n v="0"/>
    <n v="0"/>
    <n v="0"/>
    <n v="0"/>
    <n v="0"/>
    <n v="0"/>
    <n v="0"/>
    <n v="0"/>
    <n v="0"/>
    <n v="0"/>
    <n v="0"/>
    <n v="0"/>
    <n v="0"/>
    <n v="0"/>
    <n v="0"/>
    <n v="0"/>
    <n v="0"/>
    <n v="0"/>
    <n v="0"/>
    <n v="0"/>
    <n v="0"/>
    <n v="0"/>
    <m/>
    <m/>
    <m/>
    <m/>
    <m/>
    <m/>
    <m/>
    <m/>
    <m/>
    <m/>
    <m/>
    <m/>
    <m/>
    <m/>
    <m/>
    <m/>
    <m/>
    <m/>
    <m/>
    <m/>
    <m/>
    <m/>
    <m/>
    <m/>
    <m/>
    <m/>
    <m/>
    <m/>
    <m/>
    <m/>
    <m/>
    <m/>
    <m/>
    <m/>
    <m/>
    <m/>
    <m/>
    <m/>
    <m/>
    <m/>
    <m/>
    <m/>
    <m/>
    <m/>
    <m/>
    <m/>
    <m/>
    <m/>
    <m/>
  </r>
  <r>
    <n v="744"/>
    <d v="2025-02-08T00:00:00"/>
    <s v="ZBTO"/>
    <n v="9518503922"/>
    <n v="1"/>
    <s v="9518503922-1"/>
    <s v="May'25"/>
    <x v="0"/>
    <m/>
    <x v="2"/>
    <x v="3"/>
    <s v="1000-IPPE"/>
    <m/>
    <x v="1"/>
    <m/>
    <m/>
    <m/>
    <s v="TBSPL"/>
    <s v=" "/>
    <m/>
    <n v="941597"/>
    <x v="6"/>
    <n v="3941967"/>
    <s v="PPGL C HARD Y550PL D0C9 0.60(TPT)X1220"/>
    <s v="AZ150"/>
    <s v="RAL 5012 TSL 1802"/>
    <n v="3"/>
    <n v="5"/>
    <m/>
    <s v="B18"/>
    <s v="Y550PL"/>
    <s v="D0C9"/>
    <n v="0.6"/>
    <n v="1220"/>
    <n v="0"/>
    <n v="56"/>
    <n v="0"/>
    <n v="56"/>
    <n v="56"/>
    <n v="52.454999999999998"/>
    <n v="43.43"/>
    <n v="0"/>
    <n v="0"/>
    <n v="0"/>
    <n v="0"/>
    <n v="0"/>
    <n v="0"/>
    <n v="0"/>
    <n v="0"/>
    <n v="0"/>
    <n v="0"/>
    <n v="0"/>
    <n v="0"/>
    <n v="0"/>
    <n v="0"/>
    <n v="0"/>
    <n v="0"/>
    <n v="0"/>
    <n v="0"/>
    <n v="3.5450000000000004"/>
    <n v="3.5450000000000004"/>
    <n v="3.5450000000000004"/>
    <n v="0"/>
    <n v="3.5450000000000004"/>
    <m/>
    <m/>
    <m/>
    <m/>
    <m/>
    <m/>
    <m/>
    <m/>
    <m/>
    <m/>
    <m/>
    <m/>
    <m/>
    <m/>
    <m/>
    <m/>
    <m/>
    <m/>
    <m/>
    <m/>
    <m/>
    <m/>
    <m/>
    <m/>
    <m/>
    <m/>
    <m/>
    <m/>
    <m/>
    <m/>
    <m/>
    <m/>
    <m/>
    <m/>
    <m/>
    <m/>
    <m/>
    <m/>
    <m/>
    <m/>
    <m/>
    <m/>
    <m/>
    <m/>
    <m/>
    <m/>
    <m/>
    <m/>
    <m/>
  </r>
  <r>
    <n v="742"/>
    <d v="2025-03-21T00:00:00"/>
    <s v="ZBTO"/>
    <n v="9518620674"/>
    <n v="15"/>
    <s v="9518620674-15"/>
    <s v="May'25"/>
    <x v="0"/>
    <s v="Yes"/>
    <x v="1"/>
    <x v="1"/>
    <s v="2000-BPRS"/>
    <m/>
    <x v="1"/>
    <m/>
    <m/>
    <m/>
    <s v="South"/>
    <s v="CHENNAI"/>
    <m/>
    <n v="938550"/>
    <x v="4"/>
    <n v="1804814"/>
    <s v="CRCA COIL TATXXD AU03 0.8X1250"/>
    <s v=" "/>
    <s v=""/>
    <n v="6"/>
    <n v="18"/>
    <m/>
    <s v="C01"/>
    <s v="TATXXD"/>
    <s v="AU03"/>
    <n v="0.8"/>
    <n v="1250"/>
    <n v="0"/>
    <n v="58"/>
    <n v="0"/>
    <n v="58"/>
    <n v="58"/>
    <n v="3.5399999999999991"/>
    <n v="58"/>
    <n v="0"/>
    <n v="0"/>
    <n v="0"/>
    <n v="0"/>
    <n v="0"/>
    <n v="0"/>
    <n v="0"/>
    <n v="0"/>
    <n v="0"/>
    <n v="0"/>
    <n v="0"/>
    <n v="0"/>
    <n v="54.46"/>
    <n v="0"/>
    <n v="0"/>
    <n v="0"/>
    <n v="0"/>
    <n v="0"/>
    <n v="0"/>
    <n v="54.46"/>
    <n v="54.46"/>
    <n v="0"/>
    <n v="54.46"/>
    <m/>
    <m/>
    <m/>
    <m/>
    <m/>
    <m/>
    <m/>
    <m/>
    <m/>
    <m/>
    <m/>
    <m/>
    <m/>
    <m/>
    <m/>
    <m/>
    <m/>
    <m/>
    <m/>
    <m/>
    <m/>
    <m/>
    <m/>
    <m/>
    <m/>
    <m/>
    <m/>
    <m/>
    <m/>
    <m/>
    <m/>
    <m/>
    <m/>
    <m/>
    <m/>
    <m/>
    <m/>
    <m/>
    <m/>
    <m/>
    <m/>
    <m/>
    <m/>
    <m/>
    <m/>
    <m/>
    <m/>
    <m/>
    <m/>
  </r>
  <r>
    <n v="742"/>
    <d v="2025-03-27T00:00:00"/>
    <s v="ZBTO"/>
    <n v="9518645033"/>
    <n v="1"/>
    <s v="9518645033-1"/>
    <s v="No Priority"/>
    <x v="0"/>
    <s v="Yes"/>
    <x v="1"/>
    <x v="1"/>
    <s v="2000-BPRS"/>
    <m/>
    <x v="0"/>
    <m/>
    <m/>
    <m/>
    <s v="South"/>
    <s v="GUMMIDIPOONDI"/>
    <m/>
    <n v="161312"/>
    <x v="54"/>
    <n v="1801456"/>
    <s v="CRCA COIL-TATXXD-AU03-0.7X1250"/>
    <s v=" "/>
    <s v=""/>
    <n v="5"/>
    <n v="29"/>
    <m/>
    <s v="C01"/>
    <s v="TATXXD"/>
    <s v="AU03"/>
    <n v="0.7"/>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27T00:00:00"/>
    <s v="ZBTO"/>
    <n v="9518645033"/>
    <n v="2"/>
    <s v="9518645033-2"/>
    <s v="May'25"/>
    <x v="0"/>
    <s v="Yes"/>
    <x v="1"/>
    <x v="1"/>
    <s v="2000-BPRS"/>
    <m/>
    <x v="1"/>
    <m/>
    <m/>
    <m/>
    <s v="South"/>
    <s v="GUMMIDIPOONDI"/>
    <m/>
    <n v="161312"/>
    <x v="54"/>
    <n v="2398456"/>
    <s v="CRCA COIL TATXXD AU03 0.800X1320"/>
    <s v=" "/>
    <s v=""/>
    <n v="5"/>
    <n v="29"/>
    <m/>
    <s v="C01"/>
    <s v="TATXXD"/>
    <s v="AU03"/>
    <n v="0.8"/>
    <n v="1320"/>
    <n v="0"/>
    <n v="30"/>
    <n v="0"/>
    <n v="30"/>
    <n v="30"/>
    <n v="1.1799999999999997"/>
    <n v="30"/>
    <n v="0"/>
    <n v="0"/>
    <n v="0"/>
    <n v="0"/>
    <n v="0"/>
    <n v="0"/>
    <n v="0"/>
    <n v="0"/>
    <n v="0"/>
    <n v="0"/>
    <n v="0"/>
    <n v="0"/>
    <n v="28.82"/>
    <n v="0"/>
    <n v="0"/>
    <n v="0"/>
    <n v="0"/>
    <n v="0"/>
    <n v="0"/>
    <n v="28.82"/>
    <n v="28.82"/>
    <n v="0"/>
    <n v="28.82"/>
    <m/>
    <m/>
    <m/>
    <m/>
    <m/>
    <m/>
    <m/>
    <m/>
    <m/>
    <m/>
    <m/>
    <m/>
    <m/>
    <m/>
    <m/>
    <m/>
    <m/>
    <m/>
    <m/>
    <m/>
    <m/>
    <m/>
    <m/>
    <m/>
    <m/>
    <m/>
    <m/>
    <m/>
    <m/>
    <m/>
    <m/>
    <m/>
    <m/>
    <m/>
    <m/>
    <m/>
    <m/>
    <m/>
    <m/>
    <m/>
    <m/>
    <m/>
    <m/>
    <m/>
    <m/>
    <m/>
    <m/>
    <m/>
    <m/>
  </r>
  <r>
    <n v="744"/>
    <d v="2025-03-29T00:00:00"/>
    <s v="ZBTO"/>
    <n v="9518651680"/>
    <n v="9"/>
    <s v="9518651680-9"/>
    <s v="May'25"/>
    <x v="0"/>
    <m/>
    <x v="2"/>
    <x v="3"/>
    <s v="1000-IPPE"/>
    <m/>
    <x v="1"/>
    <m/>
    <m/>
    <m/>
    <s v="TBSPL"/>
    <s v="GAMHARIA"/>
    <m/>
    <n v="940016"/>
    <x v="15"/>
    <n v="3879501"/>
    <s v="PPGL C Y550 ISC6 0.45BMT(0.50TPT)X1220"/>
    <s v="aZ70"/>
    <s v="PRO RED TSL 1912"/>
    <n v="3"/>
    <n v="5"/>
    <m/>
    <s v="B18"/>
    <s v="Y550PL"/>
    <s v="ISC6"/>
    <n v="0.4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9T00:00:00"/>
    <s v="ZBTO"/>
    <n v="9518651680"/>
    <n v="10"/>
    <s v="9518651680-10"/>
    <s v="May'25"/>
    <x v="0"/>
    <m/>
    <x v="2"/>
    <x v="3"/>
    <s v="1000-IPPE"/>
    <m/>
    <x v="1"/>
    <m/>
    <m/>
    <m/>
    <s v="TBSPL"/>
    <s v="GAMHARIA"/>
    <m/>
    <n v="940016"/>
    <x v="15"/>
    <n v="3879501"/>
    <s v="PPGL C Y550 ISC6 0.45BMT(0.50TPT)X1220"/>
    <s v="aZ70"/>
    <s v="PRO BLUE TSL 1913"/>
    <n v="3"/>
    <n v="5"/>
    <m/>
    <s v="B18"/>
    <s v="Y550PL"/>
    <s v="ISC6"/>
    <n v="0.45"/>
    <n v="1220"/>
    <n v="0"/>
    <n v="84"/>
    <n v="5.0149999999999997"/>
    <n v="78.984999999999999"/>
    <n v="78.984999999999999"/>
    <n v="78.984999999999999"/>
    <n v="78.984999999999999"/>
    <n v="0"/>
    <n v="0"/>
    <n v="0"/>
    <n v="0"/>
    <n v="0"/>
    <n v="0"/>
    <n v="0"/>
    <n v="0"/>
    <n v="0"/>
    <n v="0"/>
    <n v="0"/>
    <n v="0"/>
    <n v="0"/>
    <n v="0"/>
    <n v="0"/>
    <n v="0"/>
    <n v="0"/>
    <n v="0"/>
    <n v="0"/>
    <n v="0"/>
    <n v="0"/>
    <n v="0"/>
    <n v="0"/>
    <m/>
    <m/>
    <m/>
    <m/>
    <m/>
    <m/>
    <m/>
    <m/>
    <m/>
    <m/>
    <m/>
    <m/>
    <m/>
    <m/>
    <m/>
    <m/>
    <m/>
    <m/>
    <m/>
    <m/>
    <m/>
    <m/>
    <m/>
    <m/>
    <m/>
    <m/>
    <m/>
    <m/>
    <m/>
    <m/>
    <m/>
    <m/>
    <m/>
    <m/>
    <m/>
    <m/>
    <m/>
    <m/>
    <m/>
    <m/>
    <m/>
    <m/>
    <m/>
    <m/>
    <m/>
    <m/>
    <m/>
    <m/>
    <m/>
  </r>
  <r>
    <n v="742"/>
    <d v="2025-03-27T00:00:00"/>
    <s v="ZBTO"/>
    <n v="9518645033"/>
    <n v="5"/>
    <s v="9518645033-5"/>
    <s v="May'25"/>
    <x v="0"/>
    <s v="Yes"/>
    <x v="1"/>
    <x v="1"/>
    <s v="2000-BPRS"/>
    <m/>
    <x v="1"/>
    <m/>
    <m/>
    <m/>
    <s v="South"/>
    <s v="GUMMIDIPOONDI"/>
    <m/>
    <n v="161312"/>
    <x v="54"/>
    <n v="2390540"/>
    <s v="CRCA COIL TATXXD AU03 1.800X1250"/>
    <s v=" "/>
    <s v=""/>
    <n v="5"/>
    <n v="29"/>
    <m/>
    <s v="C01"/>
    <s v="TATXXD"/>
    <s v="AU03"/>
    <n v="1.8"/>
    <n v="1250"/>
    <n v="0"/>
    <n v="29"/>
    <n v="0"/>
    <n v="29"/>
    <n v="29"/>
    <n v="8.1999999999999993"/>
    <n v="29"/>
    <n v="0"/>
    <n v="0"/>
    <n v="0"/>
    <n v="0"/>
    <n v="0"/>
    <n v="0"/>
    <n v="0"/>
    <n v="0"/>
    <n v="0"/>
    <n v="0"/>
    <n v="0"/>
    <n v="0"/>
    <n v="20.8"/>
    <n v="0"/>
    <n v="0"/>
    <n v="0"/>
    <n v="0"/>
    <n v="0"/>
    <n v="0"/>
    <n v="20.8"/>
    <n v="20.8"/>
    <n v="0"/>
    <n v="20.8"/>
    <m/>
    <m/>
    <m/>
    <m/>
    <m/>
    <m/>
    <m/>
    <m/>
    <m/>
    <m/>
    <m/>
    <m/>
    <m/>
    <m/>
    <m/>
    <m/>
    <m/>
    <m/>
    <m/>
    <m/>
    <m/>
    <m/>
    <m/>
    <m/>
    <m/>
    <m/>
    <m/>
    <m/>
    <m/>
    <m/>
    <m/>
    <m/>
    <m/>
    <m/>
    <m/>
    <m/>
    <m/>
    <m/>
    <m/>
    <m/>
    <m/>
    <m/>
    <m/>
    <m/>
    <m/>
    <m/>
    <m/>
    <m/>
    <m/>
  </r>
  <r>
    <n v="742"/>
    <d v="2025-03-06T00:00:00"/>
    <s v="ZBTO"/>
    <n v="9518578782"/>
    <n v="1"/>
    <s v="9518578782-1"/>
    <s v="May'25"/>
    <x v="0"/>
    <s v="Yes"/>
    <x v="1"/>
    <x v="1"/>
    <s v="2000-BPRS"/>
    <m/>
    <x v="1"/>
    <m/>
    <m/>
    <m/>
    <s v="South"/>
    <s v="PATTANCHERY"/>
    <m/>
    <n v="939422"/>
    <x v="35"/>
    <n v="185675"/>
    <s v="CRCA COIL-TATXXD-AU03-0.5X1250"/>
    <s v=" "/>
    <s v=""/>
    <n v="17"/>
    <n v="30"/>
    <m/>
    <s v="C01"/>
    <s v="TATXXD"/>
    <s v="AU03"/>
    <n v="0.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10T00:00:00"/>
    <s v="ZBTO"/>
    <n v="9518588777"/>
    <n v="1"/>
    <s v="9518588777-1"/>
    <s v="No Priority"/>
    <x v="0"/>
    <m/>
    <x v="1"/>
    <x v="1"/>
    <s v="2000-BPRS"/>
    <m/>
    <x v="0"/>
    <m/>
    <m/>
    <m/>
    <s v="West"/>
    <s v="RANJANGAON"/>
    <m/>
    <n v="154641"/>
    <x v="0"/>
    <n v="185675"/>
    <s v="CRCA COIL-TATXXD-AU03-0.5X1250"/>
    <s v=" "/>
    <s v=""/>
    <n v="17"/>
    <n v="24"/>
    <m/>
    <s v="C01"/>
    <s v="TATXXD"/>
    <s v="AU03"/>
    <n v="0.5"/>
    <n v="1250"/>
    <n v="0"/>
    <n v="116"/>
    <n v="0"/>
    <n v="116"/>
    <n v="116"/>
    <n v="115.2"/>
    <n v="116"/>
    <n v="0"/>
    <n v="0"/>
    <n v="0"/>
    <n v="0"/>
    <n v="0"/>
    <n v="0"/>
    <n v="0"/>
    <n v="0"/>
    <n v="0"/>
    <n v="0"/>
    <n v="0"/>
    <n v="0"/>
    <n v="0"/>
    <n v="0"/>
    <n v="0.8"/>
    <n v="0"/>
    <n v="0"/>
    <n v="0"/>
    <n v="0"/>
    <n v="0.8"/>
    <n v="0.8"/>
    <n v="0"/>
    <n v="0.8"/>
    <m/>
    <m/>
    <m/>
    <m/>
    <m/>
    <m/>
    <m/>
    <m/>
    <m/>
    <m/>
    <m/>
    <m/>
    <m/>
    <m/>
    <m/>
    <m/>
    <m/>
    <m/>
    <m/>
    <m/>
    <m/>
    <m/>
    <m/>
    <m/>
    <m/>
    <m/>
    <m/>
    <m/>
    <m/>
    <m/>
    <m/>
    <m/>
    <m/>
    <m/>
    <m/>
    <m/>
    <m/>
    <m/>
    <m/>
    <m/>
    <m/>
    <m/>
    <m/>
    <m/>
    <m/>
    <m/>
    <m/>
    <m/>
    <m/>
  </r>
  <r>
    <n v="742"/>
    <d v="2025-03-25T00:00:00"/>
    <s v="ZBTO"/>
    <n v="9518631220"/>
    <n v="2"/>
    <s v="9518631220-2"/>
    <s v="No Priority"/>
    <x v="0"/>
    <m/>
    <x v="1"/>
    <x v="1"/>
    <s v="2000-BPRS"/>
    <m/>
    <x v="0"/>
    <m/>
    <m/>
    <m/>
    <s v="South"/>
    <s v="YESHWANTHPURA"/>
    <m/>
    <n v="939268"/>
    <x v="0"/>
    <n v="185675"/>
    <s v="CRCA COIL-TATXXD-AU03-0.5X1250"/>
    <s v=" "/>
    <s v=""/>
    <n v="2"/>
    <n v="30"/>
    <m/>
    <s v="C01"/>
    <s v="TATXXD"/>
    <s v="AU03"/>
    <n v="0.5"/>
    <n v="1250"/>
    <n v="0"/>
    <n v="87"/>
    <n v="0"/>
    <n v="87"/>
    <n v="87"/>
    <n v="87"/>
    <n v="87"/>
    <n v="0"/>
    <n v="0"/>
    <n v="0"/>
    <n v="0"/>
    <n v="0"/>
    <n v="0"/>
    <n v="0"/>
    <n v="0"/>
    <n v="0"/>
    <n v="0"/>
    <n v="0"/>
    <n v="0"/>
    <n v="0"/>
    <n v="0"/>
    <n v="0"/>
    <n v="0"/>
    <n v="0"/>
    <n v="0"/>
    <n v="0"/>
    <n v="0"/>
    <n v="0"/>
    <n v="0"/>
    <n v="0"/>
    <m/>
    <m/>
    <m/>
    <m/>
    <m/>
    <m/>
    <m/>
    <m/>
    <m/>
    <m/>
    <m/>
    <m/>
    <m/>
    <m/>
    <m/>
    <m/>
    <m/>
    <m/>
    <m/>
    <m/>
    <m/>
    <m/>
    <m/>
    <m/>
    <m/>
    <m/>
    <m/>
    <m/>
    <m/>
    <m/>
    <m/>
    <m/>
    <m/>
    <m/>
    <m/>
    <m/>
    <m/>
    <m/>
    <m/>
    <m/>
    <m/>
    <m/>
    <m/>
    <m/>
    <m/>
    <m/>
    <m/>
    <m/>
    <m/>
  </r>
  <r>
    <n v="742"/>
    <d v="2025-03-28T00:00:00"/>
    <s v="ZBTO"/>
    <n v="9518649438"/>
    <n v="1"/>
    <s v="9518649438-1"/>
    <s v="May'25"/>
    <x v="0"/>
    <s v="Yes"/>
    <x v="1"/>
    <x v="1"/>
    <s v="2000-BPRS"/>
    <m/>
    <x v="1"/>
    <m/>
    <m/>
    <m/>
    <s v="South"/>
    <s v="CHENNAI"/>
    <m/>
    <n v="116465"/>
    <x v="13"/>
    <n v="1801804"/>
    <s v="CRCA COIL-TATXXD-AU03-1X1250"/>
    <s v=" "/>
    <s v=""/>
    <n v="6"/>
    <n v="18"/>
    <m/>
    <s v="C01"/>
    <s v="TATXXD"/>
    <s v="AU03"/>
    <n v="1"/>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3-28T00:00:00"/>
    <s v="ZBTO"/>
    <n v="9518649334"/>
    <n v="3"/>
    <s v="9518649334-3"/>
    <s v="May'25"/>
    <x v="0"/>
    <m/>
    <x v="0"/>
    <x v="0"/>
    <s v="2000-BPRS"/>
    <m/>
    <x v="1"/>
    <m/>
    <m/>
    <m/>
    <s v="North"/>
    <s v="FARIDABAD"/>
    <m/>
    <n v="936528"/>
    <x v="3"/>
    <n v="1115279"/>
    <s v="HR COILS-PO IS 10748 GR 1 2.30X1250"/>
    <s v=" "/>
    <s v=""/>
    <n v="17"/>
    <n v="26"/>
    <m/>
    <n v="768"/>
    <s v="I09497"/>
    <s v="HG01"/>
    <n v="2.2999999999999998"/>
    <n v="1250"/>
    <n v="0"/>
    <n v="100"/>
    <n v="0"/>
    <n v="100"/>
    <n v="100"/>
    <n v="100"/>
    <n v="71.305000000000007"/>
    <n v="0"/>
    <n v="0"/>
    <n v="0"/>
    <n v="0"/>
    <n v="0"/>
    <n v="0"/>
    <n v="0"/>
    <n v="0"/>
    <n v="0"/>
    <n v="0"/>
    <n v="0"/>
    <n v="0"/>
    <n v="0"/>
    <n v="0"/>
    <n v="0"/>
    <n v="0"/>
    <n v="0"/>
    <n v="0"/>
    <n v="0"/>
    <n v="0"/>
    <n v="0"/>
    <n v="0"/>
    <n v="0"/>
    <m/>
    <m/>
    <m/>
    <m/>
    <m/>
    <m/>
    <m/>
    <m/>
    <m/>
    <m/>
    <m/>
    <m/>
    <m/>
    <m/>
    <m/>
    <m/>
    <m/>
    <m/>
    <m/>
    <m/>
    <m/>
    <m/>
    <m/>
    <m/>
    <m/>
    <m/>
    <m/>
    <m/>
    <m/>
    <m/>
    <m/>
    <m/>
    <m/>
    <m/>
    <m/>
    <m/>
    <m/>
    <m/>
    <m/>
    <m/>
    <m/>
    <m/>
    <m/>
    <m/>
    <m/>
    <m/>
    <m/>
    <m/>
    <m/>
  </r>
  <r>
    <n v="742"/>
    <d v="2025-03-28T00:00:00"/>
    <s v="ZBTO"/>
    <n v="9518649334"/>
    <n v="5"/>
    <s v="9518649334-5"/>
    <s v="No Priority"/>
    <x v="0"/>
    <m/>
    <x v="0"/>
    <x v="0"/>
    <s v="2000-BPRS"/>
    <m/>
    <x v="0"/>
    <m/>
    <m/>
    <m/>
    <s v="North"/>
    <s v="FARIDABAD"/>
    <m/>
    <n v="936528"/>
    <x v="3"/>
    <n v="1179967"/>
    <s v="HR COILS-PO IS 10748 GR 1 2.50X1250"/>
    <s v=" "/>
    <s v=""/>
    <n v="17"/>
    <n v="26"/>
    <m/>
    <n v="768"/>
    <s v="I09497"/>
    <s v="HG01"/>
    <n v="2.5"/>
    <n v="1250"/>
    <n v="0"/>
    <n v="25"/>
    <n v="0"/>
    <n v="25"/>
    <n v="25"/>
    <n v="25"/>
    <n v="0"/>
    <n v="0"/>
    <n v="0"/>
    <n v="0"/>
    <n v="0"/>
    <n v="0"/>
    <n v="0"/>
    <n v="0"/>
    <n v="0"/>
    <n v="0"/>
    <n v="0"/>
    <n v="0"/>
    <n v="0"/>
    <n v="0"/>
    <n v="0"/>
    <n v="0"/>
    <n v="0"/>
    <n v="0"/>
    <n v="0"/>
    <n v="0"/>
    <n v="0"/>
    <n v="0"/>
    <n v="0"/>
    <n v="0"/>
    <m/>
    <m/>
    <m/>
    <m/>
    <m/>
    <m/>
    <m/>
    <m/>
    <m/>
    <m/>
    <m/>
    <m/>
    <m/>
    <m/>
    <m/>
    <m/>
    <m/>
    <m/>
    <m/>
    <m/>
    <m/>
    <m/>
    <m/>
    <m/>
    <m/>
    <m/>
    <m/>
    <m/>
    <m/>
    <m/>
    <m/>
    <m/>
    <m/>
    <m/>
    <m/>
    <m/>
    <m/>
    <m/>
    <m/>
    <m/>
    <m/>
    <m/>
    <m/>
    <m/>
    <m/>
    <m/>
    <m/>
    <m/>
    <m/>
  </r>
  <r>
    <n v="742"/>
    <d v="2025-03-21T00:00:00"/>
    <s v="ZBTO"/>
    <n v="9518620159"/>
    <n v="2"/>
    <s v="9518620159-2"/>
    <s v="May'25"/>
    <x v="0"/>
    <s v="Yes"/>
    <x v="1"/>
    <x v="1"/>
    <s v="2000-BPRS"/>
    <m/>
    <x v="1"/>
    <m/>
    <m/>
    <m/>
    <s v="East"/>
    <s v="URLA"/>
    <m/>
    <n v="931662"/>
    <x v="69"/>
    <n v="463611"/>
    <s v="CRCA SHEET TATCRC TR15 .95X1250X2500"/>
    <s v=" "/>
    <s v=""/>
    <n v="0"/>
    <n v="0"/>
    <m/>
    <s v="C06"/>
    <s v="TATCRC"/>
    <s v="TR15"/>
    <n v="0.95"/>
    <n v="1250"/>
    <n v="2500"/>
    <n v="30"/>
    <n v="0"/>
    <n v="30"/>
    <n v="30"/>
    <n v="30"/>
    <n v="30"/>
    <n v="0"/>
    <n v="0"/>
    <n v="0"/>
    <n v="0"/>
    <n v="0"/>
    <n v="0"/>
    <n v="0"/>
    <n v="0"/>
    <n v="0"/>
    <n v="0"/>
    <n v="0"/>
    <n v="0"/>
    <n v="0"/>
    <n v="0"/>
    <n v="0"/>
    <n v="0"/>
    <n v="0"/>
    <n v="0"/>
    <n v="0"/>
    <n v="0"/>
    <n v="0"/>
    <n v="0"/>
    <n v="0"/>
    <m/>
    <m/>
    <m/>
    <m/>
    <m/>
    <m/>
    <m/>
    <m/>
    <m/>
    <m/>
    <m/>
    <m/>
    <m/>
    <m/>
    <m/>
    <m/>
    <m/>
    <m/>
    <m/>
    <m/>
    <m/>
    <m/>
    <m/>
    <m/>
    <m/>
    <m/>
    <m/>
    <m/>
    <m/>
    <m/>
    <m/>
    <m/>
    <m/>
    <m/>
    <m/>
    <m/>
    <m/>
    <m/>
    <m/>
    <m/>
    <m/>
    <m/>
    <m/>
    <m/>
    <m/>
    <m/>
    <m/>
    <m/>
    <m/>
  </r>
  <r>
    <n v="742"/>
    <d v="2025-04-03T00:00:00"/>
    <s v="ZBTO"/>
    <n v="9518667687"/>
    <n v="2"/>
    <s v="9518667687-2"/>
    <s v="No Priority"/>
    <x v="0"/>
    <s v="Yes"/>
    <x v="1"/>
    <x v="1"/>
    <s v="2000-BPRS"/>
    <m/>
    <x v="0"/>
    <m/>
    <s v="De-prioritized due to Apr CF orders"/>
    <m/>
    <s v="South"/>
    <s v="YESHWANTHPURA"/>
    <m/>
    <n v="932244"/>
    <x v="34"/>
    <n v="1804854"/>
    <s v="CRCA COIL-TATXXD-AU03-1.2X1250"/>
    <s v=" "/>
    <s v=""/>
    <n v="10"/>
    <n v="28"/>
    <m/>
    <s v="C01"/>
    <s v="TATXXD"/>
    <s v="AU03"/>
    <n v="1.2"/>
    <n v="1250"/>
    <n v="0"/>
    <n v="145"/>
    <n v="0"/>
    <n v="145"/>
    <n v="145"/>
    <n v="145"/>
    <n v="145"/>
    <n v="0"/>
    <n v="0"/>
    <n v="0"/>
    <n v="0"/>
    <n v="0"/>
    <n v="0"/>
    <n v="0"/>
    <n v="0"/>
    <n v="0"/>
    <n v="0"/>
    <n v="0"/>
    <n v="0"/>
    <n v="0"/>
    <n v="0"/>
    <n v="0"/>
    <n v="0"/>
    <n v="0"/>
    <n v="0"/>
    <n v="0"/>
    <n v="0"/>
    <n v="0"/>
    <n v="0"/>
    <n v="0"/>
    <m/>
    <m/>
    <m/>
    <m/>
    <m/>
    <m/>
    <m/>
    <m/>
    <m/>
    <m/>
    <m/>
    <m/>
    <m/>
    <m/>
    <m/>
    <m/>
    <m/>
    <m/>
    <m/>
    <m/>
    <m/>
    <m/>
    <m/>
    <m/>
    <m/>
    <m/>
    <m/>
    <m/>
    <m/>
    <m/>
    <m/>
    <m/>
    <m/>
    <m/>
    <m/>
    <m/>
    <m/>
    <m/>
    <m/>
    <m/>
    <m/>
    <m/>
    <m/>
    <m/>
    <m/>
    <m/>
    <m/>
    <m/>
    <m/>
  </r>
  <r>
    <n v="743"/>
    <d v="2025-04-14T00:00:00"/>
    <s v="ZBTO"/>
    <n v="9518692220"/>
    <n v="5"/>
    <s v="9518692220-5"/>
    <s v="No Priority"/>
    <x v="0"/>
    <m/>
    <x v="3"/>
    <x v="9"/>
    <s v="2000-BPRS"/>
    <m/>
    <x v="0"/>
    <m/>
    <m/>
    <m/>
    <s v="East"/>
    <s v=" "/>
    <m/>
    <n v="121328"/>
    <x v="10"/>
    <n v="1191956"/>
    <s v="GP COIL SOFT-TATXGP-GK09-0.35X900"/>
    <s v="Z80"/>
    <s v=""/>
    <n v="4"/>
    <n v="12"/>
    <m/>
    <s v="C02"/>
    <s v="TATXGP"/>
    <s v="GK09"/>
    <n v="0.35"/>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3-21T00:00:00"/>
    <s v="ZBTO"/>
    <n v="9518620960"/>
    <n v="3"/>
    <s v="9518620960-3"/>
    <s v="No Priority"/>
    <x v="0"/>
    <m/>
    <x v="3"/>
    <x v="0"/>
    <s v="2000-BPRS"/>
    <m/>
    <x v="0"/>
    <m/>
    <m/>
    <m/>
    <s v="East"/>
    <s v="TATANAGAR"/>
    <m/>
    <n v="165053"/>
    <x v="5"/>
    <n v="2439967"/>
    <s v="GP COIL SOFT TATXGP GLR1 0.400X1220"/>
    <s v="Z80"/>
    <s v=""/>
    <n v="4"/>
    <n v="12"/>
    <m/>
    <s v="C02"/>
    <s v="TATXGP"/>
    <s v="GLR1"/>
    <n v="0.4"/>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4-18T00:00:00"/>
    <s v="ZBTO"/>
    <n v="9518703431"/>
    <n v="3"/>
    <s v="9518703431-3"/>
    <s v="No Priority"/>
    <x v="0"/>
    <m/>
    <x v="1"/>
    <x v="10"/>
    <s v="1000-IPPE"/>
    <m/>
    <x v="0"/>
    <m/>
    <m/>
    <m/>
    <s v="North"/>
    <s v="FARIDABAD"/>
    <m/>
    <n v="189430"/>
    <x v="41"/>
    <n v="2170008"/>
    <s v="CRCA COIL TATXXD BT01 0.970X1220"/>
    <s v=" "/>
    <s v=""/>
    <n v="7"/>
    <n v="12"/>
    <m/>
    <s v="C01"/>
    <s v="TATXXD"/>
    <s v="BT01"/>
    <n v="0.97"/>
    <n v="1220"/>
    <n v="0"/>
    <n v="168"/>
    <n v="0"/>
    <n v="168"/>
    <n v="168"/>
    <n v="168"/>
    <n v="50.13"/>
    <n v="0"/>
    <n v="0"/>
    <n v="0"/>
    <n v="0"/>
    <n v="0"/>
    <n v="0"/>
    <n v="0"/>
    <n v="0"/>
    <n v="0"/>
    <n v="0"/>
    <n v="0"/>
    <n v="0"/>
    <n v="0"/>
    <n v="0"/>
    <n v="0"/>
    <n v="0"/>
    <n v="0"/>
    <n v="0"/>
    <n v="0"/>
    <n v="0"/>
    <n v="0"/>
    <n v="0"/>
    <n v="0"/>
    <m/>
    <m/>
    <m/>
    <m/>
    <m/>
    <m/>
    <m/>
    <m/>
    <m/>
    <m/>
    <m/>
    <m/>
    <m/>
    <m/>
    <m/>
    <m/>
    <m/>
    <m/>
    <m/>
    <m/>
    <m/>
    <m/>
    <m/>
    <m/>
    <m/>
    <m/>
    <m/>
    <m/>
    <m/>
    <m/>
    <m/>
    <m/>
    <m/>
    <m/>
    <m/>
    <m/>
    <m/>
    <m/>
    <m/>
    <m/>
    <m/>
    <m/>
    <m/>
    <m/>
    <m/>
    <m/>
    <m/>
    <m/>
    <m/>
  </r>
  <r>
    <n v="742"/>
    <d v="2025-04-02T00:00:00"/>
    <s v="ZBTO"/>
    <n v="9518664768"/>
    <n v="1"/>
    <s v="9518664768-1"/>
    <s v="May'25"/>
    <x v="0"/>
    <s v="Yes"/>
    <x v="1"/>
    <x v="2"/>
    <s v="2000-BPRS"/>
    <m/>
    <x v="1"/>
    <m/>
    <m/>
    <m/>
    <s v="East"/>
    <s v="GUWAHATI"/>
    <m/>
    <n v="116649"/>
    <x v="24"/>
    <n v="3658709"/>
    <s v="CR COIL TSBCRC SR25 1X1250"/>
    <s v=" "/>
    <s v=""/>
    <n v="4"/>
    <n v="28"/>
    <m/>
    <s v="C01"/>
    <s v="TSBCRC"/>
    <s v="SR25"/>
    <n v="1"/>
    <n v="1250"/>
    <n v="0"/>
    <n v="29"/>
    <n v="0"/>
    <n v="29"/>
    <n v="29"/>
    <n v="1.4299999999999997"/>
    <n v="29"/>
    <n v="0"/>
    <n v="0"/>
    <n v="0"/>
    <n v="0"/>
    <n v="0"/>
    <n v="0"/>
    <n v="0"/>
    <n v="0"/>
    <n v="0"/>
    <n v="0"/>
    <n v="0"/>
    <n v="0"/>
    <n v="0"/>
    <n v="27.57"/>
    <n v="0"/>
    <n v="0"/>
    <n v="0"/>
    <n v="0"/>
    <n v="0"/>
    <n v="27.57"/>
    <n v="27.57"/>
    <n v="0"/>
    <n v="27.57"/>
    <m/>
    <m/>
    <m/>
    <m/>
    <m/>
    <m/>
    <m/>
    <m/>
    <m/>
    <m/>
    <m/>
    <m/>
    <m/>
    <m/>
    <m/>
    <m/>
    <m/>
    <m/>
    <m/>
    <m/>
    <m/>
    <m/>
    <m/>
    <m/>
    <m/>
    <m/>
    <m/>
    <m/>
    <m/>
    <m/>
    <m/>
    <m/>
    <m/>
    <m/>
    <m/>
    <m/>
    <m/>
    <m/>
    <m/>
    <m/>
    <m/>
    <m/>
    <m/>
    <m/>
    <m/>
    <m/>
    <m/>
    <m/>
    <m/>
  </r>
  <r>
    <n v="743"/>
    <d v="2025-04-11T00:00:00"/>
    <s v="ZBTO"/>
    <n v="9518683949"/>
    <n v="6"/>
    <s v="9518683949-6"/>
    <s v="May'25"/>
    <x v="0"/>
    <m/>
    <x v="3"/>
    <x v="9"/>
    <s v="2000-BPRS"/>
    <m/>
    <x v="1"/>
    <m/>
    <m/>
    <m/>
    <s v="East"/>
    <s v="WEST BENGAL"/>
    <m/>
    <n v="100922"/>
    <x v="36"/>
    <n v="1353179"/>
    <s v="GP COIL TATXGP GK09 0.500X900"/>
    <s v="Z80"/>
    <s v=""/>
    <n v="5"/>
    <n v="15"/>
    <m/>
    <s v="C02"/>
    <s v="TATXGP"/>
    <s v="GK09"/>
    <n v="0.5"/>
    <n v="900"/>
    <n v="0"/>
    <n v="84"/>
    <n v="0"/>
    <n v="84"/>
    <n v="84"/>
    <n v="84"/>
    <n v="84"/>
    <n v="0"/>
    <n v="0"/>
    <n v="0"/>
    <n v="0"/>
    <n v="0"/>
    <n v="0"/>
    <n v="0"/>
    <n v="0"/>
    <n v="0"/>
    <n v="0"/>
    <n v="0"/>
    <n v="0"/>
    <n v="0"/>
    <n v="0"/>
    <n v="0"/>
    <n v="0"/>
    <n v="0"/>
    <n v="0"/>
    <n v="0"/>
    <n v="0"/>
    <n v="0"/>
    <n v="0"/>
    <n v="0"/>
    <m/>
    <m/>
    <m/>
    <m/>
    <m/>
    <m/>
    <m/>
    <m/>
    <m/>
    <m/>
    <m/>
    <m/>
    <m/>
    <m/>
    <m/>
    <m/>
    <m/>
    <m/>
    <m/>
    <m/>
    <m/>
    <m/>
    <m/>
    <m/>
    <m/>
    <m/>
    <m/>
    <m/>
    <m/>
    <m/>
    <m/>
    <m/>
    <m/>
    <m/>
    <m/>
    <m/>
    <m/>
    <m/>
    <m/>
    <m/>
    <m/>
    <m/>
    <m/>
    <m/>
    <m/>
    <m/>
    <m/>
    <m/>
    <m/>
  </r>
  <r>
    <n v="742"/>
    <d v="2025-04-18T00:00:00"/>
    <s v="ZBTO"/>
    <n v="9518703295"/>
    <n v="3"/>
    <s v="9518703295-3"/>
    <s v="No Priority"/>
    <x v="0"/>
    <m/>
    <x v="1"/>
    <x v="10"/>
    <s v="1000-IPPE"/>
    <m/>
    <x v="0"/>
    <m/>
    <m/>
    <m/>
    <s v="West"/>
    <s v="VADODARA"/>
    <m/>
    <n v="189022"/>
    <x v="93"/>
    <n v="2164814"/>
    <s v="CRCA COIL TATXXD BT01 0.970X1315"/>
    <s v=" "/>
    <s v=""/>
    <n v="7"/>
    <n v="10"/>
    <m/>
    <s v="C01"/>
    <s v="TATXXD"/>
    <s v="BT01"/>
    <n v="0.97"/>
    <n v="1315"/>
    <n v="0"/>
    <n v="30"/>
    <n v="0"/>
    <n v="30"/>
    <n v="30"/>
    <n v="30"/>
    <n v="30"/>
    <n v="0"/>
    <n v="0"/>
    <n v="0"/>
    <n v="0"/>
    <n v="0"/>
    <n v="0"/>
    <n v="0"/>
    <n v="0"/>
    <n v="0"/>
    <n v="0"/>
    <n v="0"/>
    <n v="0"/>
    <n v="0"/>
    <n v="0"/>
    <n v="0"/>
    <n v="0"/>
    <n v="0"/>
    <n v="0"/>
    <n v="0"/>
    <n v="0"/>
    <n v="0"/>
    <n v="0"/>
    <n v="0"/>
    <m/>
    <m/>
    <m/>
    <m/>
    <m/>
    <m/>
    <m/>
    <m/>
    <m/>
    <m/>
    <m/>
    <m/>
    <m/>
    <m/>
    <m/>
    <m/>
    <m/>
    <m/>
    <m/>
    <m/>
    <m/>
    <m/>
    <m/>
    <m/>
    <m/>
    <m/>
    <m/>
    <m/>
    <m/>
    <m/>
    <m/>
    <m/>
    <m/>
    <m/>
    <m/>
    <m/>
    <m/>
    <m/>
    <m/>
    <m/>
    <m/>
    <m/>
    <m/>
    <m/>
    <m/>
    <m/>
    <m/>
    <m/>
    <m/>
  </r>
  <r>
    <n v="744"/>
    <d v="2025-04-08T00:00:00"/>
    <s v="ZBTO"/>
    <n v="9518676905"/>
    <n v="6"/>
    <s v="9518676905-6"/>
    <s v="May'25"/>
    <x v="0"/>
    <m/>
    <x v="2"/>
    <x v="3"/>
    <s v="1000-IPPE"/>
    <m/>
    <x v="1"/>
    <m/>
    <m/>
    <m/>
    <s v="TBSPL"/>
    <s v=" "/>
    <m/>
    <n v="941597"/>
    <x v="6"/>
    <n v="3902332"/>
    <s v="PPGL C HARD Y550PL D0C9 0.50(TPT)X1220"/>
    <s v="AZ150"/>
    <s v="RAL 7024 TSL 1806"/>
    <n v="3"/>
    <n v="5"/>
    <m/>
    <s v="B18"/>
    <s v="Y550PL"/>
    <s v="D0C9"/>
    <n v="0.5"/>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08T00:00:00"/>
    <s v="ZBTO"/>
    <n v="9518676905"/>
    <n v="8"/>
    <s v="9518676905-8"/>
    <s v="May'25"/>
    <x v="0"/>
    <m/>
    <x v="2"/>
    <x v="3"/>
    <s v="1000-IPPE"/>
    <m/>
    <x v="1"/>
    <m/>
    <m/>
    <m/>
    <s v="TBSPL"/>
    <s v=" "/>
    <m/>
    <n v="941597"/>
    <x v="6"/>
    <n v="3902332"/>
    <s v="PPGL C HARD Y550PL D0C9 0.50(TPT)X1220"/>
    <s v="AZ150"/>
    <s v="TAURUS BLUE TSL 1813"/>
    <n v="3"/>
    <n v="5"/>
    <m/>
    <s v="B18"/>
    <s v="Y550PL"/>
    <s v="D0C9"/>
    <n v="0.5"/>
    <n v="1220"/>
    <n v="0"/>
    <n v="84"/>
    <n v="0"/>
    <n v="84"/>
    <n v="84"/>
    <n v="84"/>
    <n v="84"/>
    <n v="0"/>
    <n v="0"/>
    <n v="0"/>
    <n v="0"/>
    <n v="0"/>
    <n v="0"/>
    <n v="0"/>
    <n v="0"/>
    <n v="0"/>
    <n v="0"/>
    <n v="0"/>
    <n v="0"/>
    <n v="0"/>
    <n v="0"/>
    <n v="0"/>
    <n v="0"/>
    <n v="0"/>
    <n v="0"/>
    <n v="0"/>
    <n v="0"/>
    <n v="0"/>
    <n v="0"/>
    <n v="0"/>
    <m/>
    <m/>
    <m/>
    <m/>
    <m/>
    <m/>
    <m/>
    <m/>
    <m/>
    <m/>
    <m/>
    <m/>
    <m/>
    <m/>
    <m/>
    <m/>
    <m/>
    <m/>
    <m/>
    <m/>
    <m/>
    <m/>
    <m/>
    <m/>
    <m/>
    <m/>
    <m/>
    <m/>
    <m/>
    <m/>
    <m/>
    <m/>
    <m/>
    <m/>
    <m/>
    <m/>
    <m/>
    <m/>
    <m/>
    <m/>
    <m/>
    <m/>
    <m/>
    <m/>
    <m/>
    <m/>
    <m/>
    <m/>
    <m/>
  </r>
  <r>
    <n v="744"/>
    <d v="2025-04-08T00:00:00"/>
    <s v="ZBTO"/>
    <n v="9518676905"/>
    <n v="9"/>
    <s v="9518676905-9"/>
    <s v="May'25"/>
    <x v="0"/>
    <m/>
    <x v="2"/>
    <x v="3"/>
    <s v="1000-IPPE"/>
    <m/>
    <x v="1"/>
    <m/>
    <m/>
    <m/>
    <s v="TBSPL"/>
    <s v=" "/>
    <m/>
    <n v="941597"/>
    <x v="6"/>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4-08T00:00:00"/>
    <s v="ZBTO"/>
    <n v="9518675830"/>
    <n v="1"/>
    <s v="9518675830-1"/>
    <s v="No Priority"/>
    <x v="0"/>
    <s v="Yes"/>
    <x v="1"/>
    <x v="1"/>
    <s v="2000-BPRS"/>
    <m/>
    <x v="0"/>
    <m/>
    <m/>
    <m/>
    <s v="South"/>
    <s v="YESHWANTHPURA"/>
    <m/>
    <n v="932244"/>
    <x v="34"/>
    <n v="2334995"/>
    <s v="CRCA COIL TATXXD AU03 1.500X1250"/>
    <s v=" "/>
    <s v=""/>
    <n v="12"/>
    <n v="26"/>
    <m/>
    <s v="C01"/>
    <s v="TATXXD"/>
    <s v="AU03"/>
    <n v="1.5"/>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4-02T00:00:00"/>
    <s v="ZBTO"/>
    <n v="9518665177"/>
    <n v="9"/>
    <s v="9518665177-9"/>
    <s v="No Priority"/>
    <x v="0"/>
    <s v="Yes"/>
    <x v="1"/>
    <x v="1"/>
    <s v="2000-BPRS"/>
    <m/>
    <x v="0"/>
    <m/>
    <m/>
    <m/>
    <s v="South"/>
    <s v="COCHIN HARBOUR "/>
    <m/>
    <n v="116650"/>
    <x v="55"/>
    <n v="1804854"/>
    <s v="CRCA COIL-TATXXD-AU03-1.2X1250"/>
    <s v=" "/>
    <s v=""/>
    <n v="6"/>
    <n v="18"/>
    <m/>
    <s v="C01"/>
    <s v="TATXXD"/>
    <s v="AU03"/>
    <n v="1.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25T00:00:00"/>
    <s v="ZBTF"/>
    <n v="9518632148"/>
    <n v="2"/>
    <s v="9518632148-2"/>
    <s v="No Priority"/>
    <x v="0"/>
    <m/>
    <x v="1"/>
    <x v="7"/>
    <s v="1000-IPPE"/>
    <m/>
    <x v="0"/>
    <m/>
    <s v="Exp BTF &lt;17MT"/>
    <m/>
    <s v="South"/>
    <s v="THIRUVALLUR"/>
    <m/>
    <n v="600250"/>
    <x v="23"/>
    <n v="3704262"/>
    <s v="CR COIL TSBSTA EL03 1X1250"/>
    <s v=" "/>
    <s v=""/>
    <n v="8"/>
    <n v="11"/>
    <m/>
    <s v="C01"/>
    <s v="TSBSTA"/>
    <s v="EL03"/>
    <n v="1"/>
    <n v="1250"/>
    <n v="0"/>
    <n v="87"/>
    <n v="0"/>
    <n v="87"/>
    <n v="4.09"/>
    <n v="87"/>
    <n v="9.5050000000000008"/>
    <n v="0"/>
    <n v="0"/>
    <n v="0"/>
    <n v="0"/>
    <n v="0"/>
    <n v="0"/>
    <n v="0"/>
    <n v="0"/>
    <n v="0"/>
    <n v="0"/>
    <n v="0"/>
    <n v="0"/>
    <n v="0"/>
    <n v="0"/>
    <n v="0"/>
    <n v="0"/>
    <n v="0"/>
    <n v="0"/>
    <n v="0"/>
    <n v="0"/>
    <n v="0"/>
    <n v="0"/>
    <n v="0"/>
    <m/>
    <m/>
    <m/>
    <m/>
    <m/>
    <m/>
    <m/>
    <m/>
    <m/>
    <m/>
    <m/>
    <m/>
    <m/>
    <m/>
    <m/>
    <m/>
    <m/>
    <m/>
    <m/>
    <m/>
    <m/>
    <m/>
    <m/>
    <m/>
    <m/>
    <m/>
    <m/>
    <m/>
    <m/>
    <m/>
    <m/>
    <m/>
    <m/>
    <m/>
    <m/>
    <m/>
    <m/>
    <m/>
    <m/>
    <m/>
    <m/>
    <m/>
    <m/>
    <m/>
    <m/>
    <m/>
    <m/>
    <m/>
    <m/>
  </r>
  <r>
    <n v="743"/>
    <d v="2025-04-04T00:00:00"/>
    <s v="ZBTO"/>
    <n v="9518668950"/>
    <n v="1"/>
    <s v="9518668950-1"/>
    <s v="No Priority"/>
    <x v="0"/>
    <m/>
    <x v="3"/>
    <x v="9"/>
    <s v="2000-BPRS"/>
    <m/>
    <x v="0"/>
    <m/>
    <m/>
    <m/>
    <s v="North"/>
    <s v="JAIPUR"/>
    <m/>
    <n v="117583"/>
    <x v="80"/>
    <n v="1191955"/>
    <s v="GP COIL SOFT-TATXGP-GK09-0.3X900"/>
    <s v="Z80"/>
    <s v=""/>
    <n v="5"/>
    <n v="7"/>
    <m/>
    <s v="C02"/>
    <s v="TATXGP"/>
    <s v="GK09"/>
    <n v="0.3"/>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4-04T00:00:00"/>
    <s v="ZBTO"/>
    <n v="9518668950"/>
    <n v="2"/>
    <s v="9518668950-2"/>
    <s v="No Priority"/>
    <x v="0"/>
    <m/>
    <x v="3"/>
    <x v="9"/>
    <s v="2000-BPRS"/>
    <m/>
    <x v="0"/>
    <m/>
    <m/>
    <m/>
    <s v="North"/>
    <s v="JAIPUR"/>
    <m/>
    <n v="117583"/>
    <x v="80"/>
    <n v="1191956"/>
    <s v="GP COIL SOFT-TATXGP-GK09-0.35X900"/>
    <s v="Z80"/>
    <s v=""/>
    <n v="5"/>
    <n v="7"/>
    <m/>
    <s v="C02"/>
    <s v="TATXGP"/>
    <s v="GK09"/>
    <n v="0.35"/>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4-04T00:00:00"/>
    <s v="ZBTO"/>
    <n v="9518668950"/>
    <n v="3"/>
    <s v="9518668950-3"/>
    <s v="No Priority"/>
    <x v="0"/>
    <m/>
    <x v="3"/>
    <x v="9"/>
    <s v="2000-BPRS"/>
    <m/>
    <x v="0"/>
    <m/>
    <m/>
    <m/>
    <s v="North"/>
    <s v="JAIPUR"/>
    <m/>
    <n v="117583"/>
    <x v="80"/>
    <n v="1178439"/>
    <s v="GP COIL SOFT-TATXGP-GK09-0.4X900"/>
    <s v="Z80"/>
    <s v=""/>
    <n v="5"/>
    <n v="7"/>
    <m/>
    <s v="C02"/>
    <s v="TATXGP"/>
    <s v="GK09"/>
    <n v="0.4"/>
    <n v="900"/>
    <n v="0"/>
    <n v="84"/>
    <n v="0"/>
    <n v="84"/>
    <n v="84"/>
    <n v="84"/>
    <n v="84"/>
    <n v="0"/>
    <n v="0"/>
    <n v="0"/>
    <n v="0"/>
    <n v="0"/>
    <n v="0"/>
    <n v="0"/>
    <n v="0"/>
    <n v="0"/>
    <n v="0"/>
    <n v="0"/>
    <n v="0"/>
    <n v="0"/>
    <n v="0"/>
    <n v="0"/>
    <n v="0"/>
    <n v="0"/>
    <n v="0"/>
    <n v="0"/>
    <n v="0"/>
    <n v="0"/>
    <n v="0"/>
    <n v="0"/>
    <m/>
    <m/>
    <m/>
    <m/>
    <m/>
    <m/>
    <m/>
    <m/>
    <m/>
    <m/>
    <m/>
    <m/>
    <m/>
    <m/>
    <m/>
    <m/>
    <m/>
    <m/>
    <m/>
    <m/>
    <m/>
    <m/>
    <m/>
    <m/>
    <m/>
    <m/>
    <m/>
    <m/>
    <m/>
    <m/>
    <m/>
    <m/>
    <m/>
    <m/>
    <m/>
    <m/>
    <m/>
    <m/>
    <m/>
    <m/>
    <m/>
    <m/>
    <m/>
    <m/>
    <m/>
    <m/>
    <m/>
    <m/>
    <m/>
  </r>
  <r>
    <n v="743"/>
    <d v="2025-04-04T00:00:00"/>
    <s v="ZBTO"/>
    <n v="9518668950"/>
    <n v="4"/>
    <s v="9518668950-4"/>
    <s v="No Priority"/>
    <x v="0"/>
    <m/>
    <x v="3"/>
    <x v="9"/>
    <s v="2000-BPRS"/>
    <m/>
    <x v="0"/>
    <m/>
    <m/>
    <m/>
    <s v="North"/>
    <s v="JAIPUR"/>
    <m/>
    <n v="117583"/>
    <x v="80"/>
    <n v="1854413"/>
    <s v="GP COIL SOFT-TATXGP-GK09-0.45X900"/>
    <s v="Z80"/>
    <s v=""/>
    <n v="5"/>
    <n v="7"/>
    <m/>
    <s v="C02"/>
    <s v="TATXGP"/>
    <s v="GK09"/>
    <n v="0.4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4-04T00:00:00"/>
    <s v="ZBTO"/>
    <n v="9518668950"/>
    <n v="5"/>
    <s v="9518668950-5"/>
    <s v="No Priority"/>
    <x v="0"/>
    <m/>
    <x v="3"/>
    <x v="9"/>
    <s v="2000-BPRS"/>
    <m/>
    <x v="0"/>
    <m/>
    <m/>
    <m/>
    <s v="North"/>
    <s v="JAIPUR"/>
    <m/>
    <n v="117583"/>
    <x v="80"/>
    <n v="1854418"/>
    <s v="GP COIL SOFT-TATXGP-GK09-0.5X900"/>
    <s v="Z80"/>
    <s v=""/>
    <n v="5"/>
    <n v="7"/>
    <m/>
    <s v="C02"/>
    <s v="TATXGP"/>
    <s v="GK09"/>
    <n v="0.5"/>
    <n v="900"/>
    <n v="0"/>
    <n v="84"/>
    <n v="0"/>
    <n v="84"/>
    <n v="84"/>
    <n v="84"/>
    <n v="84"/>
    <n v="0"/>
    <n v="0"/>
    <n v="0"/>
    <n v="0"/>
    <n v="0"/>
    <n v="0"/>
    <n v="0"/>
    <n v="0"/>
    <n v="0"/>
    <n v="0"/>
    <n v="0"/>
    <n v="0"/>
    <n v="0"/>
    <n v="0"/>
    <n v="0"/>
    <n v="0"/>
    <n v="0"/>
    <n v="0"/>
    <n v="0"/>
    <n v="0"/>
    <n v="0"/>
    <n v="0"/>
    <n v="0"/>
    <m/>
    <m/>
    <m/>
    <m/>
    <m/>
    <m/>
    <m/>
    <m/>
    <m/>
    <m/>
    <m/>
    <m/>
    <m/>
    <m/>
    <m/>
    <m/>
    <m/>
    <m/>
    <m/>
    <m/>
    <m/>
    <m/>
    <m/>
    <m/>
    <m/>
    <m/>
    <m/>
    <m/>
    <m/>
    <m/>
    <m/>
    <m/>
    <m/>
    <m/>
    <m/>
    <m/>
    <m/>
    <m/>
    <m/>
    <m/>
    <m/>
    <m/>
    <m/>
    <m/>
    <m/>
    <m/>
    <m/>
    <m/>
    <m/>
  </r>
  <r>
    <n v="743"/>
    <d v="2025-04-04T00:00:00"/>
    <s v="ZBTO"/>
    <n v="9518668950"/>
    <n v="6"/>
    <s v="9518668950-6"/>
    <s v="No Priority"/>
    <x v="0"/>
    <m/>
    <x v="3"/>
    <x v="9"/>
    <s v="2000-BPRS"/>
    <m/>
    <x v="0"/>
    <m/>
    <m/>
    <m/>
    <s v="North"/>
    <s v="JAIPUR"/>
    <m/>
    <n v="117583"/>
    <x v="80"/>
    <n v="1854424"/>
    <s v="GP COIL SOFT-TATXGP-GK09-0.6X900"/>
    <s v="Z80"/>
    <s v=""/>
    <n v="5"/>
    <n v="7"/>
    <m/>
    <s v="C02"/>
    <s v="TATXGP"/>
    <s v="GK09"/>
    <n v="0.6"/>
    <n v="900"/>
    <n v="0"/>
    <n v="84"/>
    <n v="0"/>
    <n v="84"/>
    <n v="84"/>
    <n v="84"/>
    <n v="84"/>
    <n v="0"/>
    <n v="0"/>
    <n v="0"/>
    <n v="0"/>
    <n v="0"/>
    <n v="0"/>
    <n v="0"/>
    <n v="0"/>
    <n v="0"/>
    <n v="0"/>
    <n v="0"/>
    <n v="0"/>
    <n v="0"/>
    <n v="0"/>
    <n v="0"/>
    <n v="0"/>
    <n v="0"/>
    <n v="0"/>
    <n v="0"/>
    <n v="0"/>
    <n v="0"/>
    <n v="0"/>
    <n v="0"/>
    <m/>
    <m/>
    <m/>
    <m/>
    <m/>
    <m/>
    <m/>
    <m/>
    <m/>
    <m/>
    <m/>
    <m/>
    <m/>
    <m/>
    <m/>
    <m/>
    <m/>
    <m/>
    <m/>
    <m/>
    <m/>
    <m/>
    <m/>
    <m/>
    <m/>
    <m/>
    <m/>
    <m/>
    <m/>
    <m/>
    <m/>
    <m/>
    <m/>
    <m/>
    <m/>
    <m/>
    <m/>
    <m/>
    <m/>
    <m/>
    <m/>
    <m/>
    <m/>
    <m/>
    <m/>
    <m/>
    <m/>
    <m/>
    <m/>
  </r>
  <r>
    <n v="743"/>
    <d v="2025-04-04T00:00:00"/>
    <s v="ZBTO"/>
    <n v="9518668950"/>
    <n v="7"/>
    <s v="9518668950-7"/>
    <s v="No Priority"/>
    <x v="0"/>
    <m/>
    <x v="3"/>
    <x v="9"/>
    <s v="2000-BPRS"/>
    <m/>
    <x v="0"/>
    <m/>
    <m/>
    <m/>
    <s v="North"/>
    <s v="JAIPUR"/>
    <m/>
    <n v="117583"/>
    <x v="80"/>
    <n v="1326486"/>
    <s v="GP COIL SOFT-TATXGP-GK09-0.3X1000"/>
    <s v="Z80"/>
    <s v=""/>
    <n v="5"/>
    <n v="7"/>
    <m/>
    <s v="C02"/>
    <s v="TATXGP"/>
    <s v="GK09"/>
    <n v="0.3"/>
    <n v="1000"/>
    <n v="0"/>
    <n v="23"/>
    <n v="0"/>
    <n v="23"/>
    <n v="23"/>
    <n v="23"/>
    <n v="23"/>
    <n v="0"/>
    <n v="0"/>
    <n v="0"/>
    <n v="0"/>
    <n v="0"/>
    <n v="0"/>
    <n v="0"/>
    <n v="0"/>
    <n v="0"/>
    <n v="0"/>
    <n v="0"/>
    <n v="0"/>
    <n v="0"/>
    <n v="0"/>
    <n v="0"/>
    <n v="0"/>
    <n v="0"/>
    <n v="0"/>
    <n v="0"/>
    <n v="0"/>
    <n v="0"/>
    <n v="0"/>
    <n v="0"/>
    <m/>
    <m/>
    <m/>
    <m/>
    <m/>
    <m/>
    <m/>
    <m/>
    <m/>
    <m/>
    <m/>
    <m/>
    <m/>
    <m/>
    <m/>
    <m/>
    <m/>
    <m/>
    <m/>
    <m/>
    <m/>
    <m/>
    <m/>
    <m/>
    <m/>
    <m/>
    <m/>
    <m/>
    <m/>
    <m/>
    <m/>
    <m/>
    <m/>
    <m/>
    <m/>
    <m/>
    <m/>
    <m/>
    <m/>
    <m/>
    <m/>
    <m/>
    <m/>
    <m/>
    <m/>
    <m/>
    <m/>
    <m/>
    <m/>
  </r>
  <r>
    <n v="743"/>
    <d v="2025-04-04T00:00:00"/>
    <s v="ZBTO"/>
    <n v="9518668950"/>
    <n v="8"/>
    <s v="9518668950-8"/>
    <s v="No Priority"/>
    <x v="0"/>
    <m/>
    <x v="3"/>
    <x v="9"/>
    <s v="2000-BPRS"/>
    <m/>
    <x v="0"/>
    <m/>
    <m/>
    <m/>
    <s v="North"/>
    <s v="JAIPUR"/>
    <m/>
    <n v="117583"/>
    <x v="80"/>
    <n v="1326487"/>
    <s v="GP COIL SOFT-TATXGP-GK09-0.35X1000"/>
    <s v="Z80"/>
    <s v=""/>
    <n v="5"/>
    <n v="7"/>
    <m/>
    <s v="C02"/>
    <s v="TATXGP"/>
    <s v="GK09"/>
    <n v="0.35"/>
    <n v="1000"/>
    <n v="0"/>
    <n v="46"/>
    <n v="0"/>
    <n v="46"/>
    <n v="46"/>
    <n v="46"/>
    <n v="46"/>
    <n v="0"/>
    <n v="0"/>
    <n v="0"/>
    <n v="0"/>
    <n v="0"/>
    <n v="0"/>
    <n v="0"/>
    <n v="0"/>
    <n v="0"/>
    <n v="0"/>
    <n v="0"/>
    <n v="0"/>
    <n v="0"/>
    <n v="0"/>
    <n v="0"/>
    <n v="0"/>
    <n v="0"/>
    <n v="0"/>
    <n v="0"/>
    <n v="0"/>
    <n v="0"/>
    <n v="0"/>
    <n v="0"/>
    <m/>
    <m/>
    <m/>
    <m/>
    <m/>
    <m/>
    <m/>
    <m/>
    <m/>
    <m/>
    <m/>
    <m/>
    <m/>
    <m/>
    <m/>
    <m/>
    <m/>
    <m/>
    <m/>
    <m/>
    <m/>
    <m/>
    <m/>
    <m/>
    <m/>
    <m/>
    <m/>
    <m/>
    <m/>
    <m/>
    <m/>
    <m/>
    <m/>
    <m/>
    <m/>
    <m/>
    <m/>
    <m/>
    <m/>
    <m/>
    <m/>
    <m/>
    <m/>
    <m/>
    <m/>
    <m/>
    <m/>
    <m/>
    <m/>
  </r>
  <r>
    <n v="743"/>
    <d v="2025-04-04T00:00:00"/>
    <s v="ZBTO"/>
    <n v="9518668950"/>
    <n v="9"/>
    <s v="9518668950-9"/>
    <s v="No Priority"/>
    <x v="0"/>
    <m/>
    <x v="3"/>
    <x v="9"/>
    <s v="2000-BPRS"/>
    <m/>
    <x v="0"/>
    <m/>
    <m/>
    <m/>
    <s v="North"/>
    <s v="JAIPUR"/>
    <m/>
    <n v="117583"/>
    <x v="80"/>
    <n v="1178444"/>
    <s v="GP COIL SOFT-TATXGP-GK09-0.4X1000"/>
    <s v="Z80"/>
    <s v=""/>
    <n v="5"/>
    <n v="7"/>
    <m/>
    <s v="C02"/>
    <s v="TATXGP"/>
    <s v="GK09"/>
    <n v="0.4"/>
    <n v="1000"/>
    <n v="0"/>
    <n v="69"/>
    <n v="0"/>
    <n v="69"/>
    <n v="69"/>
    <n v="69"/>
    <n v="69"/>
    <n v="0"/>
    <n v="0"/>
    <n v="0"/>
    <n v="0"/>
    <n v="0"/>
    <n v="0"/>
    <n v="0"/>
    <n v="0"/>
    <n v="0"/>
    <n v="0"/>
    <n v="0"/>
    <n v="0"/>
    <n v="0"/>
    <n v="0"/>
    <n v="0"/>
    <n v="0"/>
    <n v="0"/>
    <n v="0"/>
    <n v="0"/>
    <n v="0"/>
    <n v="0"/>
    <n v="0"/>
    <n v="0"/>
    <m/>
    <m/>
    <m/>
    <m/>
    <m/>
    <m/>
    <m/>
    <m/>
    <m/>
    <m/>
    <m/>
    <m/>
    <m/>
    <m/>
    <m/>
    <m/>
    <m/>
    <m/>
    <m/>
    <m/>
    <m/>
    <m/>
    <m/>
    <m/>
    <m/>
    <m/>
    <m/>
    <m/>
    <m/>
    <m/>
    <m/>
    <m/>
    <m/>
    <m/>
    <m/>
    <m/>
    <m/>
    <m/>
    <m/>
    <m/>
    <m/>
    <m/>
    <m/>
    <m/>
    <m/>
    <m/>
    <m/>
    <m/>
    <m/>
  </r>
  <r>
    <n v="743"/>
    <d v="2025-04-04T00:00:00"/>
    <s v="ZBTO"/>
    <n v="9518668950"/>
    <n v="10"/>
    <s v="9518668950-10"/>
    <s v="No Priority"/>
    <x v="0"/>
    <m/>
    <x v="3"/>
    <x v="9"/>
    <s v="2000-BPRS"/>
    <m/>
    <x v="0"/>
    <m/>
    <m/>
    <m/>
    <s v="North"/>
    <s v="JAIPUR"/>
    <m/>
    <n v="117583"/>
    <x v="80"/>
    <n v="1854414"/>
    <s v="GP COIL SOFT-TATXGP-GK09-0.45X1000"/>
    <s v="Z80"/>
    <s v=""/>
    <n v="5"/>
    <n v="7"/>
    <m/>
    <s v="C02"/>
    <s v="TATXGP"/>
    <s v="GK09"/>
    <n v="0.45"/>
    <n v="1000"/>
    <n v="0"/>
    <n v="46"/>
    <n v="0"/>
    <n v="46"/>
    <n v="46"/>
    <n v="46"/>
    <n v="46"/>
    <n v="0"/>
    <n v="0"/>
    <n v="0"/>
    <n v="0"/>
    <n v="0"/>
    <n v="0"/>
    <n v="0"/>
    <n v="0"/>
    <n v="0"/>
    <n v="0"/>
    <n v="0"/>
    <n v="0"/>
    <n v="0"/>
    <n v="0"/>
    <n v="0"/>
    <n v="0"/>
    <n v="0"/>
    <n v="0"/>
    <n v="0"/>
    <n v="0"/>
    <n v="0"/>
    <n v="0"/>
    <n v="0"/>
    <m/>
    <m/>
    <m/>
    <m/>
    <m/>
    <m/>
    <m/>
    <m/>
    <m/>
    <m/>
    <m/>
    <m/>
    <m/>
    <m/>
    <m/>
    <m/>
    <m/>
    <m/>
    <m/>
    <m/>
    <m/>
    <m/>
    <m/>
    <m/>
    <m/>
    <m/>
    <m/>
    <m/>
    <m/>
    <m/>
    <m/>
    <m/>
    <m/>
    <m/>
    <m/>
    <m/>
    <m/>
    <m/>
    <m/>
    <m/>
    <m/>
    <m/>
    <m/>
    <m/>
    <m/>
    <m/>
    <m/>
    <m/>
    <m/>
  </r>
  <r>
    <n v="743"/>
    <d v="2025-04-04T00:00:00"/>
    <s v="ZBTO"/>
    <n v="9518668950"/>
    <n v="11"/>
    <s v="9518668950-11"/>
    <s v="No Priority"/>
    <x v="0"/>
    <m/>
    <x v="3"/>
    <x v="9"/>
    <s v="2000-BPRS"/>
    <m/>
    <x v="0"/>
    <m/>
    <m/>
    <m/>
    <s v="North"/>
    <s v="JAIPUR"/>
    <m/>
    <n v="117583"/>
    <x v="80"/>
    <n v="1178446"/>
    <s v="GP COIL SOFT-TATXGP-GK09-0.5X1000"/>
    <s v="Z80"/>
    <s v=""/>
    <n v="5"/>
    <n v="7"/>
    <m/>
    <s v="C02"/>
    <s v="TATXGP"/>
    <s v="GK09"/>
    <n v="0.5"/>
    <n v="1000"/>
    <n v="0"/>
    <n v="69"/>
    <n v="0"/>
    <n v="69"/>
    <n v="69"/>
    <n v="69"/>
    <n v="69"/>
    <n v="0"/>
    <n v="0"/>
    <n v="0"/>
    <n v="0"/>
    <n v="0"/>
    <n v="0"/>
    <n v="0"/>
    <n v="0"/>
    <n v="0"/>
    <n v="0"/>
    <n v="0"/>
    <n v="0"/>
    <n v="0"/>
    <n v="0"/>
    <n v="0"/>
    <n v="0"/>
    <n v="0"/>
    <n v="0"/>
    <n v="0"/>
    <n v="0"/>
    <n v="0"/>
    <n v="0"/>
    <n v="0"/>
    <m/>
    <m/>
    <m/>
    <m/>
    <m/>
    <m/>
    <m/>
    <m/>
    <m/>
    <m/>
    <m/>
    <m/>
    <m/>
    <m/>
    <m/>
    <m/>
    <m/>
    <m/>
    <m/>
    <m/>
    <m/>
    <m/>
    <m/>
    <m/>
    <m/>
    <m/>
    <m/>
    <m/>
    <m/>
    <m/>
    <m/>
    <m/>
    <m/>
    <m/>
    <m/>
    <m/>
    <m/>
    <m/>
    <m/>
    <m/>
    <m/>
    <m/>
    <m/>
    <m/>
    <m/>
    <m/>
    <m/>
    <m/>
    <m/>
  </r>
  <r>
    <n v="743"/>
    <d v="2025-04-04T00:00:00"/>
    <s v="ZBTO"/>
    <n v="9518668950"/>
    <n v="12"/>
    <s v="9518668950-12"/>
    <s v="No Priority"/>
    <x v="0"/>
    <m/>
    <x v="3"/>
    <x v="9"/>
    <s v="2000-BPRS"/>
    <m/>
    <x v="0"/>
    <m/>
    <m/>
    <m/>
    <s v="North"/>
    <s v="JAIPUR"/>
    <m/>
    <n v="117583"/>
    <x v="80"/>
    <n v="1854425"/>
    <s v="GP COIL SOFT-TATXGP-GK09-0.6X1000"/>
    <s v="Z80"/>
    <s v=""/>
    <n v="5"/>
    <n v="7"/>
    <m/>
    <s v="C02"/>
    <s v="TATXGP"/>
    <s v="GK09"/>
    <n v="0.6"/>
    <n v="1000"/>
    <n v="0"/>
    <n v="92"/>
    <n v="0"/>
    <n v="92"/>
    <n v="92"/>
    <n v="92"/>
    <n v="92"/>
    <n v="0"/>
    <n v="0"/>
    <n v="0"/>
    <n v="0"/>
    <n v="0"/>
    <n v="0"/>
    <n v="0"/>
    <n v="0"/>
    <n v="0"/>
    <n v="0"/>
    <n v="0"/>
    <n v="0"/>
    <n v="0"/>
    <n v="0"/>
    <n v="0"/>
    <n v="0"/>
    <n v="0"/>
    <n v="0"/>
    <n v="0"/>
    <n v="0"/>
    <n v="0"/>
    <n v="0"/>
    <n v="0"/>
    <m/>
    <m/>
    <m/>
    <m/>
    <m/>
    <m/>
    <m/>
    <m/>
    <m/>
    <m/>
    <m/>
    <m/>
    <m/>
    <m/>
    <m/>
    <m/>
    <m/>
    <m/>
    <m/>
    <m/>
    <m/>
    <m/>
    <m/>
    <m/>
    <m/>
    <m/>
    <m/>
    <m/>
    <m/>
    <m/>
    <m/>
    <m/>
    <m/>
    <m/>
    <m/>
    <m/>
    <m/>
    <m/>
    <m/>
    <m/>
    <m/>
    <m/>
    <m/>
    <m/>
    <m/>
    <m/>
    <m/>
    <m/>
    <m/>
  </r>
  <r>
    <n v="743"/>
    <d v="2025-04-04T00:00:00"/>
    <s v="ZBTO"/>
    <n v="9518668950"/>
    <n v="14"/>
    <s v="9518668950-14"/>
    <s v="May'25"/>
    <x v="0"/>
    <m/>
    <x v="3"/>
    <x v="14"/>
    <s v="2000-BPRS"/>
    <m/>
    <x v="1"/>
    <m/>
    <m/>
    <m/>
    <s v="North"/>
    <s v="JAIPUR"/>
    <m/>
    <n v="117583"/>
    <x v="80"/>
    <n v="1854399"/>
    <s v="GP COIL SOFT-TATXGP-GK09-0.35X1220"/>
    <s v="Z80"/>
    <s v=""/>
    <n v="5"/>
    <n v="7"/>
    <m/>
    <s v="C02"/>
    <s v="TATXGP"/>
    <s v="GK09"/>
    <n v="0.35"/>
    <n v="1220"/>
    <n v="0"/>
    <n v="56"/>
    <n v="0"/>
    <n v="56"/>
    <n v="56"/>
    <n v="56"/>
    <n v="56"/>
    <n v="0"/>
    <n v="0"/>
    <n v="0"/>
    <n v="0"/>
    <n v="0"/>
    <n v="0"/>
    <n v="0"/>
    <n v="0"/>
    <n v="0"/>
    <n v="0"/>
    <n v="0"/>
    <n v="0"/>
    <n v="0"/>
    <n v="0"/>
    <n v="0"/>
    <n v="0"/>
    <n v="0"/>
    <n v="0"/>
    <n v="0"/>
    <n v="0"/>
    <n v="0"/>
    <n v="0"/>
    <n v="0"/>
    <m/>
    <m/>
    <m/>
    <m/>
    <m/>
    <m/>
    <m/>
    <m/>
    <m/>
    <m/>
    <m/>
    <m/>
    <m/>
    <m/>
    <m/>
    <m/>
    <m/>
    <m/>
    <m/>
    <m/>
    <m/>
    <m/>
    <m/>
    <m/>
    <m/>
    <m/>
    <m/>
    <m/>
    <m/>
    <m/>
    <m/>
    <m/>
    <m/>
    <m/>
    <m/>
    <m/>
    <m/>
    <m/>
    <m/>
    <m/>
    <m/>
    <m/>
    <m/>
    <m/>
    <m/>
    <m/>
    <m/>
    <m/>
    <m/>
  </r>
  <r>
    <n v="743"/>
    <d v="2025-04-04T00:00:00"/>
    <s v="ZBTO"/>
    <n v="9518668950"/>
    <n v="15"/>
    <s v="9518668950-15"/>
    <s v="May'25"/>
    <x v="0"/>
    <m/>
    <x v="3"/>
    <x v="14"/>
    <s v="2000-BPRS"/>
    <m/>
    <x v="1"/>
    <m/>
    <m/>
    <m/>
    <s v="North"/>
    <s v="JAIPUR"/>
    <m/>
    <n v="117583"/>
    <x v="80"/>
    <n v="1854410"/>
    <s v="GP COIL SOFT-TATXGP-GK09-0.4X1220"/>
    <s v="Z80"/>
    <s v=""/>
    <n v="5"/>
    <n v="7"/>
    <m/>
    <s v="C02"/>
    <s v="TATXGP"/>
    <s v="GK09"/>
    <n v="0.4"/>
    <n v="1220"/>
    <n v="0"/>
    <n v="56"/>
    <n v="0"/>
    <n v="56"/>
    <n v="56"/>
    <n v="56"/>
    <n v="56"/>
    <n v="0"/>
    <n v="0"/>
    <n v="0"/>
    <n v="0"/>
    <n v="0"/>
    <n v="0"/>
    <n v="0"/>
    <n v="0"/>
    <n v="0"/>
    <n v="0"/>
    <n v="0"/>
    <n v="0"/>
    <n v="0"/>
    <n v="0"/>
    <n v="0"/>
    <n v="0"/>
    <n v="0"/>
    <n v="0"/>
    <n v="0"/>
    <n v="0"/>
    <n v="0"/>
    <n v="0"/>
    <n v="0"/>
    <m/>
    <m/>
    <m/>
    <m/>
    <m/>
    <m/>
    <m/>
    <m/>
    <m/>
    <m/>
    <m/>
    <m/>
    <m/>
    <m/>
    <m/>
    <m/>
    <m/>
    <m/>
    <m/>
    <m/>
    <m/>
    <m/>
    <m/>
    <m/>
    <m/>
    <m/>
    <m/>
    <m/>
    <m/>
    <m/>
    <m/>
    <m/>
    <m/>
    <m/>
    <m/>
    <m/>
    <m/>
    <m/>
    <m/>
    <m/>
    <m/>
    <m/>
    <m/>
    <m/>
    <m/>
    <m/>
    <m/>
    <m/>
    <m/>
  </r>
  <r>
    <n v="743"/>
    <d v="2025-04-04T00:00:00"/>
    <s v="ZBTO"/>
    <n v="9518668950"/>
    <n v="16"/>
    <s v="9518668950-16"/>
    <s v="May'25"/>
    <x v="0"/>
    <m/>
    <x v="3"/>
    <x v="14"/>
    <s v="2000-BPRS"/>
    <m/>
    <x v="1"/>
    <m/>
    <m/>
    <m/>
    <s v="North"/>
    <s v="JAIPUR"/>
    <m/>
    <n v="117583"/>
    <x v="80"/>
    <n v="1851097"/>
    <s v="GP COIL SOFT-TATXGP-GK09-0.45X1220"/>
    <s v="Z80"/>
    <s v=""/>
    <n v="5"/>
    <n v="7"/>
    <m/>
    <s v="C02"/>
    <s v="TATXGP"/>
    <s v="GK09"/>
    <n v="0.45"/>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4-04T00:00:00"/>
    <s v="ZBTO"/>
    <n v="9518668950"/>
    <n v="17"/>
    <s v="9518668950-17"/>
    <s v="May'25"/>
    <x v="0"/>
    <m/>
    <x v="3"/>
    <x v="14"/>
    <s v="2000-BPRS"/>
    <m/>
    <x v="1"/>
    <m/>
    <m/>
    <m/>
    <s v="North"/>
    <s v="JAIPUR"/>
    <m/>
    <n v="117583"/>
    <x v="80"/>
    <n v="1851101"/>
    <s v="GP COIL SOFT-TATXGP-GK09-0.5X1220"/>
    <s v="Z80"/>
    <s v=""/>
    <n v="5"/>
    <n v="7"/>
    <m/>
    <s v="C02"/>
    <s v="TATXGP"/>
    <s v="GK09"/>
    <n v="0.5"/>
    <n v="1220"/>
    <n v="0"/>
    <n v="56"/>
    <n v="0"/>
    <n v="56"/>
    <n v="56"/>
    <n v="56"/>
    <n v="56"/>
    <n v="0"/>
    <n v="0"/>
    <n v="0"/>
    <n v="0"/>
    <n v="0"/>
    <n v="0"/>
    <n v="0"/>
    <n v="0"/>
    <n v="0"/>
    <n v="0"/>
    <n v="0"/>
    <n v="0"/>
    <n v="0"/>
    <n v="0"/>
    <n v="0"/>
    <n v="0"/>
    <n v="0"/>
    <n v="0"/>
    <n v="0"/>
    <n v="0"/>
    <n v="0"/>
    <n v="0"/>
    <n v="0"/>
    <m/>
    <m/>
    <m/>
    <m/>
    <m/>
    <m/>
    <m/>
    <m/>
    <m/>
    <m/>
    <m/>
    <m/>
    <m/>
    <m/>
    <m/>
    <m/>
    <m/>
    <m/>
    <m/>
    <m/>
    <m/>
    <m/>
    <m/>
    <m/>
    <m/>
    <m/>
    <m/>
    <m/>
    <m/>
    <m/>
    <m/>
    <m/>
    <m/>
    <m/>
    <m/>
    <m/>
    <m/>
    <m/>
    <m/>
    <m/>
    <m/>
    <m/>
    <m/>
    <m/>
    <m/>
    <m/>
    <m/>
    <m/>
    <m/>
  </r>
  <r>
    <n v="743"/>
    <d v="2025-04-04T00:00:00"/>
    <s v="ZBTO"/>
    <n v="9518668950"/>
    <n v="18"/>
    <s v="9518668950-18"/>
    <s v="May'25"/>
    <x v="0"/>
    <m/>
    <x v="3"/>
    <x v="14"/>
    <s v="2000-BPRS"/>
    <m/>
    <x v="1"/>
    <m/>
    <m/>
    <m/>
    <s v="North"/>
    <s v="JAIPUR"/>
    <m/>
    <n v="117583"/>
    <x v="80"/>
    <n v="1334725"/>
    <s v="GP COIL SOFT-TATXGP-GK09-0.6X1220"/>
    <s v="Z80"/>
    <s v=""/>
    <n v="5"/>
    <n v="7"/>
    <m/>
    <s v="C02"/>
    <s v="TATXGP"/>
    <s v="GK09"/>
    <n v="0.6"/>
    <n v="1220"/>
    <n v="0"/>
    <n v="56"/>
    <n v="0"/>
    <n v="56"/>
    <n v="56"/>
    <n v="56"/>
    <n v="56"/>
    <n v="0"/>
    <n v="0"/>
    <n v="0"/>
    <n v="0"/>
    <n v="0"/>
    <n v="0"/>
    <n v="0"/>
    <n v="0"/>
    <n v="0"/>
    <n v="0"/>
    <n v="0"/>
    <n v="0"/>
    <n v="0"/>
    <n v="0"/>
    <n v="0"/>
    <n v="0"/>
    <n v="0"/>
    <n v="0"/>
    <n v="0"/>
    <n v="0"/>
    <n v="0"/>
    <n v="0"/>
    <n v="0"/>
    <m/>
    <m/>
    <m/>
    <m/>
    <m/>
    <m/>
    <m/>
    <m/>
    <m/>
    <m/>
    <m/>
    <m/>
    <m/>
    <m/>
    <m/>
    <m/>
    <m/>
    <m/>
    <m/>
    <m/>
    <m/>
    <m/>
    <m/>
    <m/>
    <m/>
    <m/>
    <m/>
    <m/>
    <m/>
    <m/>
    <m/>
    <m/>
    <m/>
    <m/>
    <m/>
    <m/>
    <m/>
    <m/>
    <m/>
    <m/>
    <m/>
    <m/>
    <m/>
    <m/>
    <m/>
    <m/>
    <m/>
    <m/>
    <m/>
  </r>
  <r>
    <n v="742"/>
    <d v="2025-04-18T00:00:00"/>
    <s v="ZBTO"/>
    <n v="9518703480"/>
    <n v="4"/>
    <s v="9518703480-4"/>
    <s v="May'25"/>
    <x v="0"/>
    <m/>
    <x v="1"/>
    <x v="10"/>
    <s v="1000-IPPE"/>
    <m/>
    <x v="1"/>
    <m/>
    <s v="P1-Priority for Balmer"/>
    <m/>
    <s v="South"/>
    <s v="VISAJHAPATNAM"/>
    <m/>
    <n v="188238"/>
    <x v="40"/>
    <n v="2170008"/>
    <s v="CRCA COIL TATXXD BT01 0.970X1220"/>
    <s v=" "/>
    <s v=""/>
    <n v="8"/>
    <n v="12"/>
    <m/>
    <s v="C01"/>
    <s v="TATXXD"/>
    <s v="BT01"/>
    <n v="0.97"/>
    <n v="1220"/>
    <n v="0"/>
    <n v="224"/>
    <n v="0"/>
    <n v="224"/>
    <n v="224"/>
    <n v="224"/>
    <n v="224"/>
    <n v="0"/>
    <n v="0"/>
    <n v="0"/>
    <n v="0"/>
    <n v="0"/>
    <n v="0"/>
    <n v="0"/>
    <n v="0"/>
    <n v="0"/>
    <n v="0"/>
    <n v="0"/>
    <n v="0"/>
    <n v="0"/>
    <n v="0"/>
    <n v="0"/>
    <n v="0"/>
    <n v="0"/>
    <n v="0"/>
    <n v="0"/>
    <n v="0"/>
    <n v="0"/>
    <n v="0"/>
    <n v="0"/>
    <m/>
    <m/>
    <m/>
    <m/>
    <m/>
    <m/>
    <m/>
    <m/>
    <m/>
    <m/>
    <m/>
    <m/>
    <m/>
    <m/>
    <m/>
    <m/>
    <m/>
    <m/>
    <m/>
    <m/>
    <m/>
    <m/>
    <m/>
    <m/>
    <m/>
    <m/>
    <m/>
    <m/>
    <m/>
    <m/>
    <m/>
    <m/>
    <m/>
    <m/>
    <m/>
    <m/>
    <m/>
    <m/>
    <m/>
    <m/>
    <m/>
    <m/>
    <m/>
    <m/>
    <m/>
    <m/>
    <m/>
    <m/>
    <m/>
  </r>
  <r>
    <n v="742"/>
    <d v="2025-04-18T00:00:00"/>
    <s v="ZBTO"/>
    <n v="9518703480"/>
    <n v="8"/>
    <s v="9518703480-8"/>
    <s v="May'25"/>
    <x v="0"/>
    <m/>
    <x v="1"/>
    <x v="10"/>
    <s v="1000-IPPE"/>
    <m/>
    <x v="1"/>
    <m/>
    <s v="P1-Priority for Balmer"/>
    <m/>
    <s v="South"/>
    <s v="VISAJHAPATNAM"/>
    <m/>
    <n v="188238"/>
    <x v="40"/>
    <n v="2170008"/>
    <s v="CRCA COIL TATXXD BT01 0.970X1220"/>
    <s v=" "/>
    <s v=""/>
    <n v="8"/>
    <n v="12"/>
    <m/>
    <s v="C01"/>
    <s v="TATXXD"/>
    <s v="BT01"/>
    <n v="0.97"/>
    <n v="1220"/>
    <n v="0"/>
    <n v="280"/>
    <n v="0"/>
    <n v="280"/>
    <n v="280"/>
    <n v="280"/>
    <n v="280"/>
    <n v="0"/>
    <n v="0"/>
    <n v="0"/>
    <n v="0"/>
    <n v="0"/>
    <n v="0"/>
    <n v="0"/>
    <n v="0"/>
    <n v="0"/>
    <n v="0"/>
    <n v="0"/>
    <n v="0"/>
    <n v="0"/>
    <n v="0"/>
    <n v="0"/>
    <n v="0"/>
    <n v="0"/>
    <n v="0"/>
    <n v="0"/>
    <n v="0"/>
    <n v="0"/>
    <n v="0"/>
    <n v="0"/>
    <m/>
    <m/>
    <m/>
    <m/>
    <m/>
    <m/>
    <m/>
    <m/>
    <m/>
    <m/>
    <m/>
    <m/>
    <m/>
    <m/>
    <m/>
    <m/>
    <m/>
    <m/>
    <m/>
    <m/>
    <m/>
    <m/>
    <m/>
    <m/>
    <m/>
    <m/>
    <m/>
    <m/>
    <m/>
    <m/>
    <m/>
    <m/>
    <m/>
    <m/>
    <m/>
    <m/>
    <m/>
    <m/>
    <m/>
    <m/>
    <m/>
    <m/>
    <m/>
    <m/>
    <m/>
    <m/>
    <m/>
    <m/>
    <m/>
  </r>
  <r>
    <n v="742"/>
    <d v="2025-04-04T00:00:00"/>
    <s v="ZBTO"/>
    <n v="9518670119"/>
    <n v="8"/>
    <s v="9518670119-8"/>
    <s v="No Priority"/>
    <x v="0"/>
    <s v="Yes"/>
    <x v="1"/>
    <x v="1"/>
    <s v="2000-BPRS"/>
    <m/>
    <x v="0"/>
    <m/>
    <s v="NO HR availale in this width"/>
    <m/>
    <s v="South"/>
    <s v="PATTANCHERY"/>
    <m/>
    <n v="939422"/>
    <x v="35"/>
    <n v="223287"/>
    <s v="CR COIL-ICF  DQ TATXXD AU03 1.00 X 1220"/>
    <s v=" "/>
    <s v=""/>
    <n v="10"/>
    <n v="30"/>
    <m/>
    <s v="C01"/>
    <s v="TATXXD"/>
    <s v="AU03"/>
    <n v="1"/>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4-02T00:00:00"/>
    <s v="ZBTO"/>
    <n v="9518664230"/>
    <n v="3"/>
    <s v="9518664230-3"/>
    <s v="No Priority"/>
    <x v="0"/>
    <m/>
    <x v="3"/>
    <x v="9"/>
    <s v="2000-BPRS"/>
    <m/>
    <x v="0"/>
    <m/>
    <m/>
    <m/>
    <s v="East"/>
    <s v="URLA"/>
    <m/>
    <n v="139336"/>
    <x v="89"/>
    <n v="1178439"/>
    <s v="GP COIL SOFT-TATXGP-GK09-0.4X900"/>
    <s v="Z80"/>
    <s v=""/>
    <n v="3"/>
    <n v="5"/>
    <m/>
    <s v="C02"/>
    <s v="TATXGP"/>
    <s v="GK09"/>
    <n v="0.4"/>
    <n v="900"/>
    <n v="0"/>
    <n v="42"/>
    <n v="0"/>
    <n v="42"/>
    <n v="42"/>
    <n v="42"/>
    <n v="22.48"/>
    <n v="0"/>
    <n v="0"/>
    <n v="0"/>
    <n v="0"/>
    <n v="0"/>
    <n v="0"/>
    <n v="0"/>
    <n v="0"/>
    <n v="0"/>
    <n v="0"/>
    <n v="0"/>
    <n v="0"/>
    <n v="0"/>
    <n v="0"/>
    <n v="0"/>
    <n v="0"/>
    <n v="0"/>
    <n v="0"/>
    <n v="0"/>
    <n v="0"/>
    <n v="0"/>
    <n v="0"/>
    <n v="0"/>
    <m/>
    <m/>
    <m/>
    <m/>
    <m/>
    <m/>
    <m/>
    <m/>
    <m/>
    <m/>
    <m/>
    <m/>
    <m/>
    <m/>
    <m/>
    <m/>
    <m/>
    <m/>
    <m/>
    <m/>
    <m/>
    <m/>
    <m/>
    <m/>
    <m/>
    <m/>
    <m/>
    <m/>
    <m/>
    <m/>
    <m/>
    <m/>
    <m/>
    <m/>
    <m/>
    <m/>
    <m/>
    <m/>
    <m/>
    <m/>
    <m/>
    <m/>
    <m/>
    <m/>
    <m/>
    <m/>
    <m/>
    <m/>
    <m/>
  </r>
  <r>
    <n v="742"/>
    <d v="2025-04-19T00:00:00"/>
    <s v="ZBTO"/>
    <n v="9518703502"/>
    <n v="4"/>
    <s v="9518703502-4"/>
    <s v="No Priority"/>
    <x v="0"/>
    <m/>
    <x v="1"/>
    <x v="10"/>
    <s v="1000-IPPE"/>
    <m/>
    <x v="0"/>
    <m/>
    <m/>
    <m/>
    <s v="South"/>
    <s v="VISAJHAPATNAM"/>
    <m/>
    <n v="188238"/>
    <x v="40"/>
    <n v="2170008"/>
    <s v="CRCA COIL TATXXD BT01 0.970X1220"/>
    <s v=" "/>
    <s v=""/>
    <n v="8"/>
    <n v="12"/>
    <m/>
    <s v="C01"/>
    <s v="TATXXD"/>
    <s v="BT01"/>
    <n v="0.97"/>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15T00:00:00"/>
    <s v="ZBTO"/>
    <n v="9518695426"/>
    <n v="2"/>
    <s v="9518695426-2"/>
    <s v="May'25"/>
    <x v="0"/>
    <s v="Yes"/>
    <x v="2"/>
    <x v="3"/>
    <s v="1000-IPPE"/>
    <m/>
    <x v="1"/>
    <m/>
    <m/>
    <m/>
    <s v="TBSPL"/>
    <s v="RAJASTHAN"/>
    <m/>
    <n v="940008"/>
    <x v="15"/>
    <n v="3522241"/>
    <s v="PPGL C Y550 D0C7 0.43BMT(0.47TPT)X1220"/>
    <s v="aZ70"/>
    <s v="PASSION RED (NG) TSL 2214"/>
    <n v="3"/>
    <n v="5"/>
    <m/>
    <s v="B18"/>
    <s v="Y550PL"/>
    <s v="D0C7"/>
    <n v="0.43"/>
    <n v="1220"/>
    <n v="0"/>
    <n v="140"/>
    <n v="0"/>
    <n v="140"/>
    <n v="140"/>
    <n v="140"/>
    <n v="140"/>
    <n v="0"/>
    <n v="0"/>
    <n v="0"/>
    <n v="0"/>
    <n v="0"/>
    <n v="0"/>
    <n v="0"/>
    <n v="0"/>
    <n v="0"/>
    <n v="0"/>
    <n v="0"/>
    <n v="0"/>
    <n v="0"/>
    <n v="0"/>
    <n v="0"/>
    <n v="0"/>
    <n v="0"/>
    <n v="0"/>
    <n v="0"/>
    <n v="0"/>
    <n v="0"/>
    <n v="0"/>
    <n v="0"/>
    <m/>
    <m/>
    <m/>
    <m/>
    <m/>
    <m/>
    <m/>
    <m/>
    <m/>
    <m/>
    <m/>
    <m/>
    <m/>
    <m/>
    <m/>
    <m/>
    <m/>
    <m/>
    <m/>
    <m/>
    <m/>
    <m/>
    <m/>
    <m/>
    <m/>
    <m/>
    <m/>
    <m/>
    <m/>
    <m/>
    <m/>
    <m/>
    <m/>
    <m/>
    <m/>
    <m/>
    <m/>
    <m/>
    <m/>
    <m/>
    <m/>
    <m/>
    <m/>
    <m/>
    <m/>
    <m/>
    <m/>
    <m/>
    <m/>
  </r>
  <r>
    <n v="742"/>
    <d v="2025-04-04T00:00:00"/>
    <s v="ZBTO"/>
    <n v="9518670119"/>
    <n v="9"/>
    <s v="9518670119-9"/>
    <s v="No Priority"/>
    <x v="0"/>
    <m/>
    <x v="1"/>
    <x v="1"/>
    <s v="2000-BPRS"/>
    <m/>
    <x v="0"/>
    <m/>
    <m/>
    <m/>
    <s v="South"/>
    <s v="PATTANCHERY"/>
    <m/>
    <n v="939422"/>
    <x v="35"/>
    <n v="2398457"/>
    <s v="CRCA COIL TATXXD AU03 1X1320"/>
    <s v=" "/>
    <s v=""/>
    <n v="10"/>
    <n v="30"/>
    <m/>
    <s v="C01"/>
    <s v="TATXXD"/>
    <s v="AU03"/>
    <n v="1"/>
    <n v="1320"/>
    <n v="0"/>
    <n v="60"/>
    <n v="0"/>
    <n v="60"/>
    <n v="60"/>
    <n v="60"/>
    <n v="60"/>
    <n v="0"/>
    <n v="0"/>
    <n v="0"/>
    <n v="0"/>
    <n v="0"/>
    <n v="0"/>
    <n v="0"/>
    <n v="0"/>
    <n v="0"/>
    <n v="0"/>
    <n v="0"/>
    <n v="0"/>
    <n v="0"/>
    <n v="0"/>
    <n v="0"/>
    <n v="0"/>
    <n v="0"/>
    <n v="0"/>
    <n v="0"/>
    <n v="0"/>
    <n v="0"/>
    <n v="0"/>
    <n v="0"/>
    <m/>
    <m/>
    <m/>
    <m/>
    <m/>
    <m/>
    <m/>
    <m/>
    <m/>
    <m/>
    <m/>
    <m/>
    <m/>
    <m/>
    <m/>
    <m/>
    <m/>
    <m/>
    <m/>
    <m/>
    <m/>
    <m/>
    <m/>
    <m/>
    <m/>
    <m/>
    <m/>
    <m/>
    <m/>
    <m/>
    <m/>
    <m/>
    <m/>
    <m/>
    <m/>
    <m/>
    <m/>
    <m/>
    <m/>
    <m/>
    <m/>
    <m/>
    <m/>
    <m/>
    <m/>
    <m/>
    <m/>
    <m/>
    <m/>
  </r>
  <r>
    <n v="742"/>
    <d v="2025-04-04T00:00:00"/>
    <s v="ZBTO"/>
    <n v="9518670119"/>
    <n v="10"/>
    <s v="9518670119-10"/>
    <s v="No Priority"/>
    <x v="0"/>
    <m/>
    <x v="1"/>
    <x v="1"/>
    <s v="2000-BPRS"/>
    <m/>
    <x v="0"/>
    <m/>
    <m/>
    <m/>
    <s v="South"/>
    <s v="PATTANCHERY"/>
    <m/>
    <n v="939422"/>
    <x v="35"/>
    <n v="1884117"/>
    <s v="CRCA COIL-TATXXD-AU03-2X1250"/>
    <s v=" "/>
    <s v=""/>
    <n v="10"/>
    <n v="30"/>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3"/>
    <d v="2025-02-25T00:00:00"/>
    <s v="ZBTO"/>
    <n v="9518550377"/>
    <n v="4"/>
    <s v="9518550377-4"/>
    <s v="No Priority"/>
    <x v="0"/>
    <m/>
    <x v="3"/>
    <x v="9"/>
    <s v="2000-BPRS"/>
    <m/>
    <x v="0"/>
    <m/>
    <m/>
    <m/>
    <s v="North"/>
    <s v="LONI"/>
    <m/>
    <n v="931234"/>
    <x v="99"/>
    <n v="1854418"/>
    <s v="GP COIL SOFT-TATXGP-GK09-0.5X900"/>
    <s v="Z80"/>
    <s v=""/>
    <n v="4"/>
    <n v="6"/>
    <m/>
    <s v="C02"/>
    <s v="TATXGP"/>
    <s v="GK09"/>
    <n v="0.5"/>
    <n v="900"/>
    <n v="0"/>
    <n v="210"/>
    <n v="18.86"/>
    <n v="191.14"/>
    <n v="191.14"/>
    <n v="191.14"/>
    <n v="191.14"/>
    <n v="0"/>
    <n v="0"/>
    <n v="0"/>
    <n v="0"/>
    <n v="0"/>
    <n v="0"/>
    <n v="0"/>
    <n v="0"/>
    <n v="0"/>
    <n v="0"/>
    <n v="0"/>
    <n v="0"/>
    <n v="0"/>
    <n v="0"/>
    <n v="0"/>
    <n v="0"/>
    <n v="0"/>
    <n v="0"/>
    <n v="0"/>
    <n v="0"/>
    <n v="0"/>
    <n v="0"/>
    <n v="0"/>
    <m/>
    <m/>
    <m/>
    <m/>
    <m/>
    <m/>
    <m/>
    <m/>
    <m/>
    <m/>
    <m/>
    <m/>
    <m/>
    <m/>
    <m/>
    <m/>
    <m/>
    <m/>
    <m/>
    <m/>
    <m/>
    <m/>
    <m/>
    <m/>
    <m/>
    <m/>
    <m/>
    <m/>
    <m/>
    <m/>
    <m/>
    <m/>
    <m/>
    <m/>
    <m/>
    <m/>
    <m/>
    <m/>
    <m/>
    <m/>
    <m/>
    <m/>
    <m/>
    <m/>
    <m/>
    <m/>
    <m/>
    <m/>
    <m/>
  </r>
  <r>
    <n v="744"/>
    <d v="2025-02-22T00:00:00"/>
    <s v="ZBTO"/>
    <n v="9518542873"/>
    <n v="3"/>
    <s v="9518542873-3"/>
    <s v="May'25"/>
    <x v="0"/>
    <m/>
    <x v="2"/>
    <x v="3"/>
    <s v="1000-IPPE"/>
    <m/>
    <x v="1"/>
    <m/>
    <m/>
    <m/>
    <s v="TBSPL"/>
    <s v=" "/>
    <m/>
    <n v="941597"/>
    <x v="6"/>
    <n v="3624035"/>
    <s v="PPGL C Y550 HPL3 0.39BMT(0.47TPT)X1220"/>
    <s v="AZ150"/>
    <s v="RAL 7024 TSL 560"/>
    <n v="3"/>
    <n v="5"/>
    <m/>
    <s v="B18"/>
    <s v="Y550PL"/>
    <s v="HPL3"/>
    <n v="0.39"/>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17T00:00:00"/>
    <s v="ZBTO"/>
    <n v="9518606598"/>
    <n v="2"/>
    <s v="9518606598-2"/>
    <s v="May'25"/>
    <x v="0"/>
    <s v="Yes"/>
    <x v="1"/>
    <x v="1"/>
    <s v="2000-BPRS"/>
    <m/>
    <x v="1"/>
    <m/>
    <m/>
    <m/>
    <s v="South"/>
    <s v="VISHAKHAPATNAM"/>
    <m/>
    <n v="946077"/>
    <x v="8"/>
    <n v="1804814"/>
    <s v="CRCA COIL TATXXD AU03 0.8X1250"/>
    <s v=" "/>
    <s v=""/>
    <n v="8"/>
    <n v="29"/>
    <m/>
    <s v="C01"/>
    <s v="TATXXD"/>
    <s v="AU03"/>
    <n v="0.8"/>
    <n v="1250"/>
    <n v="0"/>
    <n v="29"/>
    <n v="0"/>
    <n v="29"/>
    <n v="29"/>
    <n v="1.5500000000000007"/>
    <n v="29"/>
    <n v="0"/>
    <n v="0"/>
    <n v="0"/>
    <n v="0"/>
    <n v="0"/>
    <n v="0"/>
    <n v="0"/>
    <n v="0"/>
    <n v="0"/>
    <n v="0"/>
    <n v="0"/>
    <n v="0"/>
    <n v="0"/>
    <n v="27.45"/>
    <n v="0"/>
    <n v="0"/>
    <n v="0"/>
    <n v="0"/>
    <n v="0"/>
    <n v="27.45"/>
    <n v="27.45"/>
    <n v="0"/>
    <n v="27.45"/>
    <m/>
    <m/>
    <m/>
    <m/>
    <m/>
    <m/>
    <m/>
    <m/>
    <m/>
    <m/>
    <m/>
    <m/>
    <m/>
    <m/>
    <m/>
    <m/>
    <m/>
    <m/>
    <m/>
    <m/>
    <m/>
    <m/>
    <m/>
    <m/>
    <m/>
    <m/>
    <m/>
    <m/>
    <m/>
    <m/>
    <m/>
    <m/>
    <m/>
    <m/>
    <m/>
    <m/>
    <m/>
    <m/>
    <m/>
    <m/>
    <m/>
    <m/>
    <m/>
    <m/>
    <m/>
    <m/>
    <m/>
    <m/>
    <m/>
  </r>
  <r>
    <n v="742"/>
    <d v="2025-03-17T00:00:00"/>
    <s v="ZBTO"/>
    <n v="9518606598"/>
    <n v="6"/>
    <s v="9518606598-6"/>
    <s v="May'25"/>
    <x v="0"/>
    <s v="Yes"/>
    <x v="1"/>
    <x v="1"/>
    <s v="2000-BPRS"/>
    <m/>
    <x v="1"/>
    <m/>
    <m/>
    <m/>
    <s v="South"/>
    <s v="VISHAKHAPATNAM"/>
    <m/>
    <n v="946077"/>
    <x v="8"/>
    <n v="1804867"/>
    <s v="CRCA COIL-TATXXD-AU03-1.6X1250"/>
    <s v=" "/>
    <s v=""/>
    <n v="8"/>
    <n v="29"/>
    <m/>
    <s v="C01"/>
    <s v="TATXXD"/>
    <s v="AU03"/>
    <n v="1.6"/>
    <n v="1250"/>
    <n v="0"/>
    <n v="29"/>
    <n v="0"/>
    <n v="29"/>
    <n v="29"/>
    <n v="7.6699999999999982"/>
    <n v="29"/>
    <n v="0"/>
    <n v="0"/>
    <n v="0"/>
    <n v="0"/>
    <n v="0"/>
    <n v="0"/>
    <n v="0"/>
    <n v="0"/>
    <n v="0"/>
    <n v="0"/>
    <n v="21.330000000000002"/>
    <n v="0"/>
    <n v="0"/>
    <n v="0"/>
    <n v="0"/>
    <n v="0"/>
    <n v="0"/>
    <n v="0"/>
    <n v="0"/>
    <n v="21.330000000000002"/>
    <n v="21.330000000000002"/>
    <n v="0"/>
    <n v="21.330000000000002"/>
    <m/>
    <m/>
    <m/>
    <m/>
    <m/>
    <m/>
    <m/>
    <m/>
    <m/>
    <m/>
    <m/>
    <m/>
    <m/>
    <m/>
    <m/>
    <m/>
    <m/>
    <m/>
    <m/>
    <m/>
    <m/>
    <m/>
    <m/>
    <m/>
    <m/>
    <m/>
    <m/>
    <m/>
    <m/>
    <m/>
    <m/>
    <m/>
    <m/>
    <m/>
    <m/>
    <m/>
    <m/>
    <m/>
    <m/>
    <m/>
    <m/>
    <m/>
    <m/>
    <m/>
    <m/>
    <m/>
    <m/>
    <m/>
    <m/>
  </r>
  <r>
    <n v="742"/>
    <d v="2025-03-17T00:00:00"/>
    <s v="ZBTO"/>
    <n v="9518606284"/>
    <n v="8"/>
    <s v="9518606284-8"/>
    <s v="No Priority"/>
    <x v="0"/>
    <s v="Yes"/>
    <x v="1"/>
    <x v="2"/>
    <s v="2000-BPRS"/>
    <m/>
    <x v="0"/>
    <m/>
    <m/>
    <m/>
    <s v="South"/>
    <s v="VISHAKHAPATNAM"/>
    <m/>
    <n v="946077"/>
    <x v="8"/>
    <n v="3240765"/>
    <s v="CRCA SHEET TSBCRC SR15 0.500X1250X2500"/>
    <s v=" "/>
    <s v=""/>
    <n v="0"/>
    <n v="0"/>
    <m/>
    <s v="C06"/>
    <s v="TSBCRC"/>
    <s v="SR15"/>
    <n v="0.5"/>
    <n v="1250"/>
    <n v="2500"/>
    <n v="30"/>
    <n v="0"/>
    <n v="30"/>
    <n v="2.42"/>
    <n v="0"/>
    <n v="30"/>
    <n v="0"/>
    <n v="0"/>
    <n v="0"/>
    <n v="0"/>
    <n v="0"/>
    <n v="0"/>
    <n v="0"/>
    <n v="0"/>
    <n v="0"/>
    <n v="0"/>
    <n v="0"/>
    <n v="0"/>
    <n v="0"/>
    <n v="0"/>
    <n v="0"/>
    <n v="0"/>
    <n v="0"/>
    <n v="0"/>
    <n v="0"/>
    <n v="0"/>
    <n v="0"/>
    <n v="0"/>
    <n v="0"/>
    <m/>
    <m/>
    <m/>
    <m/>
    <m/>
    <m/>
    <m/>
    <m/>
    <m/>
    <m/>
    <m/>
    <m/>
    <m/>
    <m/>
    <m/>
    <m/>
    <m/>
    <m/>
    <m/>
    <m/>
    <m/>
    <m/>
    <m/>
    <m/>
    <m/>
    <m/>
    <m/>
    <m/>
    <m/>
    <m/>
    <m/>
    <m/>
    <m/>
    <m/>
    <m/>
    <m/>
    <m/>
    <m/>
    <m/>
    <m/>
    <m/>
    <m/>
    <m/>
    <m/>
    <m/>
    <m/>
    <m/>
    <m/>
    <m/>
  </r>
  <r>
    <n v="742"/>
    <d v="2025-03-17T00:00:00"/>
    <s v="ZBTO"/>
    <n v="9518606284"/>
    <n v="11"/>
    <s v="9518606284-11"/>
    <s v="No Priority"/>
    <x v="0"/>
    <m/>
    <x v="1"/>
    <x v="2"/>
    <s v="2000-BPRS"/>
    <m/>
    <x v="0"/>
    <m/>
    <s v="Exp BTF &lt;17MT"/>
    <m/>
    <s v="South"/>
    <s v="VISHAKHAPATNAM"/>
    <m/>
    <n v="946077"/>
    <x v="8"/>
    <n v="3240785"/>
    <s v="CRCA SHEET TSBCRC SR15 0.600X1250X2500"/>
    <s v=" "/>
    <s v=""/>
    <n v="0"/>
    <n v="0"/>
    <m/>
    <s v="C06"/>
    <s v="TSBCRC"/>
    <s v="SR15"/>
    <n v="0.6"/>
    <n v="1250"/>
    <n v="2500"/>
    <n v="30"/>
    <n v="26.164999999999999"/>
    <n v="3.835"/>
    <n v="3.5449999999999999"/>
    <n v="0.93500000000000005"/>
    <n v="3.835"/>
    <n v="0"/>
    <n v="0"/>
    <n v="0"/>
    <n v="0"/>
    <n v="0"/>
    <n v="0"/>
    <n v="0"/>
    <n v="0"/>
    <n v="0"/>
    <n v="0"/>
    <n v="0"/>
    <n v="0"/>
    <n v="0"/>
    <n v="0"/>
    <n v="0"/>
    <n v="2.9"/>
    <n v="0"/>
    <n v="0"/>
    <n v="0"/>
    <n v="2.9"/>
    <n v="2.9"/>
    <n v="0"/>
    <n v="2.9"/>
    <m/>
    <m/>
    <m/>
    <m/>
    <m/>
    <m/>
    <m/>
    <m/>
    <m/>
    <m/>
    <m/>
    <m/>
    <m/>
    <m/>
    <m/>
    <m/>
    <m/>
    <m/>
    <m/>
    <m/>
    <m/>
    <m/>
    <m/>
    <m/>
    <m/>
    <m/>
    <m/>
    <m/>
    <m/>
    <m/>
    <m/>
    <m/>
    <m/>
    <m/>
    <m/>
    <m/>
    <m/>
    <m/>
    <m/>
    <m/>
    <m/>
    <m/>
    <m/>
    <m/>
    <m/>
    <m/>
    <m/>
    <m/>
    <m/>
  </r>
  <r>
    <n v="742"/>
    <d v="2025-03-17T00:00:00"/>
    <s v="ZBTO"/>
    <n v="9518606284"/>
    <n v="16"/>
    <s v="9518606284-16"/>
    <s v="May'25"/>
    <x v="0"/>
    <s v="Yes"/>
    <x v="1"/>
    <x v="2"/>
    <s v="2000-BPRS"/>
    <m/>
    <x v="1"/>
    <m/>
    <m/>
    <m/>
    <s v="South"/>
    <s v="VISHAKHAPATNAM"/>
    <m/>
    <n v="946077"/>
    <x v="8"/>
    <n v="3410102"/>
    <s v="CRCA SHEET TSBCRC SR15 0.950X1000X2500"/>
    <s v=" "/>
    <s v=""/>
    <n v="0"/>
    <n v="0"/>
    <m/>
    <s v="C06"/>
    <s v="TSBCRC"/>
    <s v="SR15"/>
    <n v="0.95"/>
    <n v="1000"/>
    <n v="2500"/>
    <n v="21"/>
    <n v="0"/>
    <n v="21"/>
    <n v="21"/>
    <n v="-1.4699999999999989"/>
    <n v="21"/>
    <n v="0"/>
    <n v="0"/>
    <n v="0"/>
    <n v="0"/>
    <n v="0"/>
    <n v="0"/>
    <n v="0"/>
    <n v="0"/>
    <n v="0"/>
    <n v="0"/>
    <n v="0"/>
    <n v="0"/>
    <n v="0"/>
    <n v="22.47"/>
    <n v="0"/>
    <n v="0"/>
    <n v="0"/>
    <n v="0"/>
    <n v="0"/>
    <n v="22.47"/>
    <n v="22.47"/>
    <n v="0"/>
    <n v="22.47"/>
    <m/>
    <m/>
    <m/>
    <m/>
    <m/>
    <m/>
    <m/>
    <m/>
    <m/>
    <m/>
    <m/>
    <m/>
    <m/>
    <m/>
    <m/>
    <m/>
    <m/>
    <m/>
    <m/>
    <m/>
    <m/>
    <m/>
    <m/>
    <m/>
    <m/>
    <m/>
    <m/>
    <m/>
    <m/>
    <m/>
    <m/>
    <m/>
    <m/>
    <m/>
    <m/>
    <m/>
    <m/>
    <m/>
    <m/>
    <m/>
    <m/>
    <m/>
    <m/>
    <m/>
    <m/>
    <m/>
    <m/>
    <m/>
    <m/>
  </r>
  <r>
    <n v="742"/>
    <d v="2025-03-17T00:00:00"/>
    <s v="ZBTO"/>
    <n v="9518606284"/>
    <n v="20"/>
    <s v="9518606284-20"/>
    <s v="May'25"/>
    <x v="0"/>
    <s v="Yes"/>
    <x v="1"/>
    <x v="2"/>
    <s v="2000-BPRS"/>
    <m/>
    <x v="1"/>
    <m/>
    <m/>
    <m/>
    <s v="South"/>
    <s v="VISHAKHAPATNAM"/>
    <m/>
    <n v="946077"/>
    <x v="8"/>
    <n v="3240839"/>
    <s v="CRCA SHEET TSBCRC SR15 1.200X1000X2500"/>
    <s v=" "/>
    <s v=""/>
    <n v="0"/>
    <n v="0"/>
    <m/>
    <s v="C06"/>
    <s v="TSBCRC"/>
    <s v="SR15"/>
    <n v="1.2"/>
    <n v="1000"/>
    <n v="2500"/>
    <n v="21"/>
    <n v="0"/>
    <n v="21"/>
    <n v="21"/>
    <n v="21"/>
    <n v="21"/>
    <n v="0"/>
    <n v="0"/>
    <n v="0"/>
    <n v="0"/>
    <n v="0"/>
    <n v="0"/>
    <n v="0"/>
    <n v="0"/>
    <n v="0"/>
    <n v="0"/>
    <n v="0"/>
    <n v="0"/>
    <n v="0"/>
    <n v="0"/>
    <n v="0"/>
    <n v="0"/>
    <n v="0"/>
    <n v="0"/>
    <n v="0"/>
    <n v="0"/>
    <n v="0"/>
    <n v="0"/>
    <n v="0"/>
    <m/>
    <m/>
    <m/>
    <m/>
    <m/>
    <m/>
    <m/>
    <m/>
    <m/>
    <m/>
    <m/>
    <m/>
    <m/>
    <m/>
    <m/>
    <m/>
    <m/>
    <m/>
    <m/>
    <m/>
    <m/>
    <m/>
    <m/>
    <m/>
    <m/>
    <m/>
    <m/>
    <m/>
    <m/>
    <m/>
    <m/>
    <m/>
    <m/>
    <m/>
    <m/>
    <m/>
    <m/>
    <m/>
    <m/>
    <m/>
    <m/>
    <m/>
    <m/>
    <m/>
    <m/>
    <m/>
    <m/>
    <m/>
    <m/>
  </r>
  <r>
    <n v="742"/>
    <d v="2025-03-17T00:00:00"/>
    <s v="ZBTO"/>
    <n v="9518606284"/>
    <n v="6"/>
    <s v="9518606284-6"/>
    <s v="May'25"/>
    <x v="0"/>
    <s v="Yes"/>
    <x v="1"/>
    <x v="2"/>
    <s v="2000-BPRS"/>
    <m/>
    <x v="1"/>
    <m/>
    <m/>
    <m/>
    <s v="South"/>
    <s v="VISHAKHAPATNAM"/>
    <m/>
    <n v="946077"/>
    <x v="8"/>
    <n v="3239566"/>
    <s v="CRCA SHEET TATCRC SR16 0.450X1000X2440"/>
    <s v=" "/>
    <s v=""/>
    <n v="0"/>
    <n v="0"/>
    <m/>
    <s v="C06"/>
    <s v="TATCRC"/>
    <s v="SR16"/>
    <n v="0.45"/>
    <n v="1000"/>
    <n v="2440"/>
    <n v="42"/>
    <n v="0"/>
    <n v="42"/>
    <n v="42"/>
    <n v="19.91"/>
    <n v="42"/>
    <n v="0"/>
    <n v="0"/>
    <n v="0"/>
    <n v="0"/>
    <n v="0"/>
    <n v="0"/>
    <n v="0"/>
    <n v="0"/>
    <n v="0"/>
    <n v="0"/>
    <n v="0"/>
    <n v="0"/>
    <n v="0"/>
    <n v="22.09"/>
    <n v="0"/>
    <n v="0"/>
    <n v="0"/>
    <n v="0"/>
    <n v="0"/>
    <n v="22.09"/>
    <n v="22.09"/>
    <n v="0"/>
    <n v="22.09"/>
    <m/>
    <m/>
    <m/>
    <m/>
    <m/>
    <m/>
    <m/>
    <m/>
    <m/>
    <m/>
    <m/>
    <m/>
    <m/>
    <m/>
    <m/>
    <m/>
    <m/>
    <m/>
    <m/>
    <m/>
    <m/>
    <m/>
    <m/>
    <m/>
    <m/>
    <m/>
    <m/>
    <m/>
    <m/>
    <m/>
    <m/>
    <m/>
    <m/>
    <m/>
    <m/>
    <m/>
    <m/>
    <m/>
    <m/>
    <m/>
    <m/>
    <m/>
    <m/>
    <m/>
    <m/>
    <m/>
    <m/>
    <m/>
    <m/>
  </r>
  <r>
    <n v="742"/>
    <d v="2025-03-17T00:00:00"/>
    <s v="ZBTO"/>
    <n v="9518606284"/>
    <n v="21"/>
    <s v="9518606284-21"/>
    <s v="No Priority"/>
    <x v="0"/>
    <m/>
    <x v="1"/>
    <x v="1"/>
    <s v="2000-BPRS"/>
    <m/>
    <x v="0"/>
    <m/>
    <m/>
    <m/>
    <s v="South"/>
    <s v="VISHAKHAPATNAM"/>
    <m/>
    <n v="946077"/>
    <x v="8"/>
    <n v="189866"/>
    <s v="CRSHEET TATXXD AU03 1.20X1250X2500"/>
    <s v=" "/>
    <s v=""/>
    <n v="0"/>
    <n v="0"/>
    <m/>
    <s v="C06"/>
    <s v="TATXXD"/>
    <s v="AU03"/>
    <n v="1.2"/>
    <n v="1250"/>
    <n v="2500"/>
    <n v="60"/>
    <n v="0"/>
    <n v="60"/>
    <n v="60"/>
    <n v="60"/>
    <n v="60"/>
    <n v="0"/>
    <n v="0"/>
    <n v="0"/>
    <n v="0"/>
    <n v="0"/>
    <n v="0"/>
    <n v="0"/>
    <n v="0"/>
    <n v="0"/>
    <n v="0"/>
    <n v="0"/>
    <n v="0"/>
    <n v="0"/>
    <n v="0"/>
    <n v="0"/>
    <n v="0"/>
    <n v="0"/>
    <n v="0"/>
    <n v="0"/>
    <n v="0"/>
    <n v="0"/>
    <n v="0"/>
    <n v="0"/>
    <m/>
    <m/>
    <m/>
    <m/>
    <m/>
    <m/>
    <m/>
    <m/>
    <m/>
    <m/>
    <m/>
    <m/>
    <m/>
    <m/>
    <m/>
    <m/>
    <m/>
    <m/>
    <m/>
    <m/>
    <m/>
    <m/>
    <m/>
    <m/>
    <m/>
    <m/>
    <m/>
    <m/>
    <m/>
    <m/>
    <m/>
    <m/>
    <m/>
    <m/>
    <m/>
    <m/>
    <m/>
    <m/>
    <m/>
    <m/>
    <m/>
    <m/>
    <m/>
    <m/>
    <m/>
    <m/>
    <m/>
    <m/>
    <m/>
  </r>
  <r>
    <n v="742"/>
    <d v="2025-03-17T00:00:00"/>
    <s v="ZBTO"/>
    <n v="9518606284"/>
    <n v="22"/>
    <s v="9518606284-22"/>
    <s v="No Priority"/>
    <x v="0"/>
    <m/>
    <x v="1"/>
    <x v="1"/>
    <s v="2000-BPRS"/>
    <m/>
    <x v="0"/>
    <m/>
    <m/>
    <m/>
    <s v="South"/>
    <s v="VISHAKHAPATNAM"/>
    <m/>
    <n v="946077"/>
    <x v="8"/>
    <n v="194544"/>
    <s v="CRSHEET TATXXD AU03 1.50X1250X2500"/>
    <s v=" "/>
    <s v=""/>
    <n v="0"/>
    <n v="0"/>
    <m/>
    <s v="C06"/>
    <s v="TATXXD"/>
    <s v="AU03"/>
    <n v="1.5"/>
    <n v="1250"/>
    <n v="2500"/>
    <n v="30"/>
    <n v="0"/>
    <n v="30"/>
    <n v="30"/>
    <n v="30"/>
    <n v="30"/>
    <n v="0"/>
    <n v="0"/>
    <n v="0"/>
    <n v="0"/>
    <n v="0"/>
    <n v="0"/>
    <n v="0"/>
    <n v="0"/>
    <n v="0"/>
    <n v="0"/>
    <n v="0"/>
    <n v="0"/>
    <n v="0"/>
    <n v="0"/>
    <n v="0"/>
    <n v="0"/>
    <n v="0"/>
    <n v="0"/>
    <n v="0"/>
    <n v="0"/>
    <n v="0"/>
    <n v="0"/>
    <n v="0"/>
    <m/>
    <m/>
    <m/>
    <m/>
    <m/>
    <m/>
    <m/>
    <m/>
    <m/>
    <m/>
    <m/>
    <m/>
    <m/>
    <m/>
    <m/>
    <m/>
    <m/>
    <m/>
    <m/>
    <m/>
    <m/>
    <m/>
    <m/>
    <m/>
    <m/>
    <m/>
    <m/>
    <m/>
    <m/>
    <m/>
    <m/>
    <m/>
    <m/>
    <m/>
    <m/>
    <m/>
    <m/>
    <m/>
    <m/>
    <m/>
    <m/>
    <m/>
    <m/>
    <m/>
    <m/>
    <m/>
    <m/>
    <m/>
    <m/>
  </r>
  <r>
    <n v="742"/>
    <d v="2025-03-17T00:00:00"/>
    <s v="ZBTO"/>
    <n v="9518606284"/>
    <n v="23"/>
    <s v="9518606284-23"/>
    <s v="No Priority"/>
    <x v="0"/>
    <m/>
    <x v="1"/>
    <x v="1"/>
    <s v="2000-BPRS"/>
    <m/>
    <x v="0"/>
    <m/>
    <m/>
    <m/>
    <s v="South"/>
    <s v="VISHAKHAPATNAM"/>
    <m/>
    <n v="946077"/>
    <x v="8"/>
    <n v="281630"/>
    <s v="CRSHEET C06 TATXXD AU03 1.6X1250X2500"/>
    <s v=" "/>
    <s v=""/>
    <n v="0"/>
    <n v="0"/>
    <m/>
    <s v="C06"/>
    <s v="TATXXD"/>
    <s v="AU03"/>
    <n v="1.6"/>
    <n v="1250"/>
    <n v="2500"/>
    <n v="30"/>
    <n v="0"/>
    <n v="30"/>
    <n v="6.64"/>
    <n v="30"/>
    <n v="30"/>
    <n v="0"/>
    <n v="0"/>
    <n v="0"/>
    <n v="0"/>
    <n v="0"/>
    <n v="0"/>
    <n v="0"/>
    <n v="0"/>
    <n v="0"/>
    <n v="0"/>
    <n v="0"/>
    <n v="0"/>
    <n v="0"/>
    <n v="0"/>
    <n v="0"/>
    <n v="0"/>
    <n v="0"/>
    <n v="0"/>
    <n v="0"/>
    <n v="0"/>
    <n v="0"/>
    <n v="0"/>
    <n v="0"/>
    <m/>
    <m/>
    <m/>
    <m/>
    <m/>
    <m/>
    <m/>
    <m/>
    <m/>
    <m/>
    <m/>
    <m/>
    <m/>
    <m/>
    <m/>
    <m/>
    <m/>
    <m/>
    <m/>
    <m/>
    <m/>
    <m/>
    <m/>
    <m/>
    <m/>
    <m/>
    <m/>
    <m/>
    <m/>
    <m/>
    <m/>
    <m/>
    <m/>
    <m/>
    <m/>
    <m/>
    <m/>
    <m/>
    <m/>
    <m/>
    <m/>
    <m/>
    <m/>
    <m/>
    <m/>
    <m/>
    <m/>
    <m/>
    <m/>
  </r>
  <r>
    <n v="742"/>
    <d v="2025-03-17T00:00:00"/>
    <s v="ZBTO"/>
    <n v="9518606284"/>
    <n v="24"/>
    <s v="9518606284-24"/>
    <s v="No Priority"/>
    <x v="0"/>
    <s v="Yes"/>
    <x v="1"/>
    <x v="1"/>
    <s v="2000-BPRS"/>
    <m/>
    <x v="0"/>
    <m/>
    <m/>
    <m/>
    <s v="South"/>
    <s v="VISHAKHAPATNAM"/>
    <m/>
    <n v="946077"/>
    <x v="8"/>
    <n v="274376"/>
    <s v="CRSHEET C06TATXXD AU03 2.0X1250X2500"/>
    <s v=" "/>
    <s v=""/>
    <n v="0"/>
    <n v="0"/>
    <m/>
    <s v="C06"/>
    <s v="TATXXD"/>
    <s v="AU03"/>
    <n v="2"/>
    <n v="1250"/>
    <n v="2500"/>
    <n v="30"/>
    <n v="0"/>
    <n v="30"/>
    <n v="6.71"/>
    <n v="30"/>
    <n v="8.125"/>
    <n v="0"/>
    <n v="0"/>
    <n v="0"/>
    <n v="0"/>
    <n v="0"/>
    <n v="0"/>
    <n v="0"/>
    <n v="0"/>
    <n v="0"/>
    <n v="0"/>
    <n v="0"/>
    <n v="0"/>
    <n v="0"/>
    <n v="0"/>
    <n v="0"/>
    <n v="0"/>
    <n v="0"/>
    <n v="0"/>
    <n v="0"/>
    <n v="0"/>
    <n v="0"/>
    <n v="0"/>
    <n v="0"/>
    <m/>
    <m/>
    <m/>
    <m/>
    <m/>
    <m/>
    <m/>
    <m/>
    <m/>
    <m/>
    <m/>
    <m/>
    <m/>
    <m/>
    <m/>
    <m/>
    <m/>
    <m/>
    <m/>
    <m/>
    <m/>
    <m/>
    <m/>
    <m/>
    <m/>
    <m/>
    <m/>
    <m/>
    <m/>
    <m/>
    <m/>
    <m/>
    <m/>
    <m/>
    <m/>
    <m/>
    <m/>
    <m/>
    <m/>
    <m/>
    <m/>
    <m/>
    <m/>
    <m/>
    <m/>
    <m/>
    <m/>
    <m/>
    <m/>
  </r>
  <r>
    <n v="742"/>
    <d v="2025-03-04T00:00:00"/>
    <s v="ZBTO"/>
    <n v="9518574019"/>
    <n v="1"/>
    <s v="9518574019-1"/>
    <s v="No Priority"/>
    <x v="0"/>
    <m/>
    <x v="1"/>
    <x v="1"/>
    <s v="2000-BPRS"/>
    <m/>
    <x v="0"/>
    <m/>
    <m/>
    <m/>
    <s v="North"/>
    <s v="LONI"/>
    <m/>
    <n v="123052"/>
    <x v="101"/>
    <n v="1804772"/>
    <s v="CRCA COIL TATXXD AU03 0.4X1250"/>
    <s v=" "/>
    <s v=""/>
    <n v="10"/>
    <n v="30"/>
    <m/>
    <s v="C01"/>
    <s v="TATXXD"/>
    <s v="AU03"/>
    <n v="0.4"/>
    <n v="1250"/>
    <n v="0"/>
    <n v="145"/>
    <n v="61.484999999999999"/>
    <n v="83.515000000000001"/>
    <n v="83.515000000000001"/>
    <n v="83.515000000000001"/>
    <n v="83.515000000000001"/>
    <n v="0"/>
    <n v="0"/>
    <n v="0"/>
    <n v="0"/>
    <n v="0"/>
    <n v="0"/>
    <n v="0"/>
    <n v="0"/>
    <n v="0"/>
    <n v="0"/>
    <n v="0"/>
    <n v="0"/>
    <n v="0"/>
    <n v="0"/>
    <n v="0"/>
    <n v="0"/>
    <n v="0"/>
    <n v="0"/>
    <n v="0"/>
    <n v="0"/>
    <n v="0"/>
    <n v="0"/>
    <n v="0"/>
    <m/>
    <m/>
    <m/>
    <m/>
    <m/>
    <m/>
    <m/>
    <m/>
    <m/>
    <m/>
    <m/>
    <m/>
    <m/>
    <m/>
    <m/>
    <m/>
    <m/>
    <m/>
    <m/>
    <m/>
    <m/>
    <m/>
    <m/>
    <m/>
    <m/>
    <m/>
    <m/>
    <m/>
    <m/>
    <m/>
    <m/>
    <m/>
    <m/>
    <m/>
    <m/>
    <m/>
    <m/>
    <m/>
    <m/>
    <m/>
    <m/>
    <m/>
    <m/>
    <m/>
    <m/>
    <m/>
    <m/>
    <m/>
    <m/>
  </r>
  <r>
    <n v="744"/>
    <d v="2025-03-22T00:00:00"/>
    <s v="ZBTO"/>
    <n v="9518624252"/>
    <n v="17"/>
    <s v="9518624252-17"/>
    <s v="May'25"/>
    <x v="0"/>
    <m/>
    <x v="2"/>
    <x v="3"/>
    <s v="1000-IPPE"/>
    <m/>
    <x v="1"/>
    <m/>
    <m/>
    <m/>
    <s v="TBSPL"/>
    <s v=" "/>
    <m/>
    <n v="941597"/>
    <x v="6"/>
    <n v="3902332"/>
    <s v="PPGL C HARD Y550PL D0C9 0.50(TPT)X1220"/>
    <s v="AZ150"/>
    <s v="RAL 7015 TSL 1805"/>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2T00:00:00"/>
    <s v="ZBTO"/>
    <n v="9518624252"/>
    <n v="18"/>
    <s v="9518624252-18"/>
    <s v="May'25"/>
    <x v="0"/>
    <m/>
    <x v="2"/>
    <x v="3"/>
    <s v="1000-IPPE"/>
    <m/>
    <x v="1"/>
    <m/>
    <m/>
    <m/>
    <s v="TBSPL"/>
    <s v=" "/>
    <m/>
    <n v="941597"/>
    <x v="6"/>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2T00:00:00"/>
    <s v="ZBTO"/>
    <n v="9518624252"/>
    <n v="22"/>
    <s v="9518624252-22"/>
    <s v="May'25"/>
    <x v="0"/>
    <m/>
    <x v="2"/>
    <x v="3"/>
    <s v="1000-IPPE"/>
    <m/>
    <x v="1"/>
    <m/>
    <m/>
    <m/>
    <s v="TBSPL"/>
    <s v=" "/>
    <m/>
    <n v="941597"/>
    <x v="6"/>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0T00:00:00"/>
    <s v="ZBTO"/>
    <n v="9518617046"/>
    <n v="10"/>
    <s v="9518617046-10"/>
    <s v="May'25"/>
    <x v="0"/>
    <m/>
    <x v="2"/>
    <x v="3"/>
    <s v="1000-IPPE"/>
    <m/>
    <x v="1"/>
    <m/>
    <m/>
    <m/>
    <s v="TBSPL"/>
    <s v=" "/>
    <m/>
    <n v="941597"/>
    <x v="6"/>
    <n v="3902332"/>
    <s v="PPGL C HARD Y550PL D0C9 0.50(TPT)X1220"/>
    <s v="AZ150"/>
    <s v="RAL 7043 TSL 1823"/>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0T00:00:00"/>
    <s v="ZBTO"/>
    <n v="9518617046"/>
    <n v="11"/>
    <s v="9518617046-11"/>
    <s v="May'25"/>
    <x v="0"/>
    <m/>
    <x v="2"/>
    <x v="3"/>
    <s v="1000-IPPE"/>
    <m/>
    <x v="1"/>
    <m/>
    <m/>
    <m/>
    <s v="TBSPL"/>
    <s v=" "/>
    <m/>
    <n v="941597"/>
    <x v="6"/>
    <n v="3902332"/>
    <s v="PPGL C HARD Y550PL D0C9 0.50(TPT)X1220"/>
    <s v="AZ150"/>
    <s v="RAL 9010 TSL 1807"/>
    <n v="3"/>
    <n v="5"/>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3-26T00:00:00"/>
    <s v="ZBTO"/>
    <n v="9518637595"/>
    <n v="6"/>
    <s v="9518637595-6"/>
    <s v="May'25"/>
    <x v="0"/>
    <m/>
    <x v="2"/>
    <x v="3"/>
    <s v="1000-IPPE"/>
    <m/>
    <x v="1"/>
    <m/>
    <m/>
    <m/>
    <s v="TBSPL"/>
    <s v=" "/>
    <m/>
    <n v="941597"/>
    <x v="6"/>
    <n v="3941967"/>
    <s v="PPGL C HARD Y550PL D0C9 0.60(TPT)X1220"/>
    <s v="AZ150"/>
    <s v="RAL 6038 TSL 1811"/>
    <n v="3"/>
    <n v="5"/>
    <m/>
    <s v="B18"/>
    <s v="Y550PL"/>
    <s v="D0C9"/>
    <n v="0.6"/>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17T00:00:00"/>
    <s v="ZBTO"/>
    <n v="9518606284"/>
    <n v="14"/>
    <s v="9518606284-14"/>
    <s v="May'25"/>
    <x v="0"/>
    <m/>
    <x v="1"/>
    <x v="1"/>
    <s v="2000-BPRS"/>
    <m/>
    <x v="1"/>
    <m/>
    <m/>
    <m/>
    <s v="South"/>
    <s v="VISHAKHAPATNAM"/>
    <m/>
    <n v="946077"/>
    <x v="8"/>
    <n v="353957"/>
    <s v="CRCA SHEET TATXXD AU03 0.80X1250X2500"/>
    <s v=" "/>
    <s v=""/>
    <n v="0"/>
    <n v="0"/>
    <m/>
    <s v="C06"/>
    <s v="TATXXD"/>
    <s v="AU03"/>
    <n v="0.8"/>
    <n v="1250"/>
    <n v="2500"/>
    <n v="30"/>
    <n v="0"/>
    <n v="30"/>
    <n v="30"/>
    <n v="2.8299999999999983"/>
    <n v="30"/>
    <n v="0"/>
    <n v="0"/>
    <n v="0"/>
    <n v="0"/>
    <n v="0"/>
    <n v="0"/>
    <n v="0"/>
    <n v="0"/>
    <n v="0"/>
    <n v="0"/>
    <n v="0"/>
    <n v="0"/>
    <n v="0"/>
    <n v="27.17"/>
    <n v="0"/>
    <n v="0"/>
    <n v="0"/>
    <n v="0"/>
    <n v="0"/>
    <n v="27.17"/>
    <n v="27.17"/>
    <n v="0"/>
    <n v="27.17"/>
    <m/>
    <m/>
    <m/>
    <m/>
    <m/>
    <m/>
    <m/>
    <m/>
    <m/>
    <m/>
    <m/>
    <m/>
    <m/>
    <m/>
    <m/>
    <m/>
    <m/>
    <m/>
    <m/>
    <m/>
    <m/>
    <m/>
    <m/>
    <m/>
    <m/>
    <m/>
    <m/>
    <m/>
    <m/>
    <m/>
    <m/>
    <m/>
    <m/>
    <m/>
    <m/>
    <m/>
    <m/>
    <m/>
    <m/>
    <m/>
    <m/>
    <m/>
    <m/>
    <m/>
    <m/>
    <m/>
    <m/>
    <m/>
    <m/>
  </r>
  <r>
    <n v="742"/>
    <d v="2025-03-17T00:00:00"/>
    <s v="ZBTO"/>
    <n v="9518606284"/>
    <n v="17"/>
    <s v="9518606284-17"/>
    <s v="May'25"/>
    <x v="0"/>
    <s v="Yes"/>
    <x v="1"/>
    <x v="1"/>
    <s v="2000-BPRS"/>
    <m/>
    <x v="1"/>
    <m/>
    <m/>
    <m/>
    <s v="South"/>
    <s v="VISHAKHAPATNAM"/>
    <m/>
    <n v="946077"/>
    <x v="8"/>
    <n v="1406015"/>
    <s v="CRCA SHEET TATXXD AU03 0.950X1250X2500"/>
    <s v=" "/>
    <s v=""/>
    <n v="0"/>
    <n v="0"/>
    <m/>
    <s v="C06"/>
    <s v="TATXXD"/>
    <s v="AU03"/>
    <n v="0.95"/>
    <n v="1250"/>
    <n v="2500"/>
    <n v="30"/>
    <n v="0"/>
    <n v="30"/>
    <n v="30"/>
    <n v="30"/>
    <n v="30"/>
    <n v="0"/>
    <n v="0"/>
    <n v="0"/>
    <n v="0"/>
    <n v="0"/>
    <n v="0"/>
    <n v="0"/>
    <n v="0"/>
    <n v="0"/>
    <n v="0"/>
    <n v="0"/>
    <n v="0"/>
    <n v="0"/>
    <n v="0"/>
    <n v="0"/>
    <n v="0"/>
    <n v="0"/>
    <n v="0"/>
    <n v="0"/>
    <n v="0"/>
    <n v="0"/>
    <n v="0"/>
    <n v="0"/>
    <m/>
    <m/>
    <m/>
    <m/>
    <m/>
    <m/>
    <m/>
    <m/>
    <m/>
    <m/>
    <m/>
    <m/>
    <m/>
    <m/>
    <m/>
    <m/>
    <m/>
    <m/>
    <m/>
    <m/>
    <m/>
    <m/>
    <m/>
    <m/>
    <m/>
    <m/>
    <m/>
    <m/>
    <m/>
    <m/>
    <m/>
    <m/>
    <m/>
    <m/>
    <m/>
    <m/>
    <m/>
    <m/>
    <m/>
    <m/>
    <m/>
    <m/>
    <m/>
    <m/>
    <m/>
    <m/>
    <m/>
    <m/>
    <m/>
  </r>
  <r>
    <n v="742"/>
    <d v="2025-03-18T00:00:00"/>
    <s v="ZBTO"/>
    <n v="9518610997"/>
    <n v="1"/>
    <s v="9518610997-1"/>
    <s v="May'25"/>
    <x v="0"/>
    <s v="Yes"/>
    <x v="1"/>
    <x v="1"/>
    <s v="2000-BPRS"/>
    <m/>
    <x v="1"/>
    <m/>
    <m/>
    <m/>
    <s v="South"/>
    <s v="PATTANCHERY"/>
    <m/>
    <n v="939422"/>
    <x v="35"/>
    <n v="1804826"/>
    <s v="CRCA COIL-TATXXD-AU03-0.9X1250"/>
    <s v=" "/>
    <s v=""/>
    <n v="10"/>
    <n v="30"/>
    <m/>
    <s v="C01"/>
    <s v="TATXXD"/>
    <s v="AU03"/>
    <n v="0.9"/>
    <n v="1250"/>
    <n v="0"/>
    <n v="58"/>
    <n v="0"/>
    <n v="58"/>
    <n v="58"/>
    <n v="30.31"/>
    <n v="58"/>
    <n v="0"/>
    <n v="0"/>
    <n v="0"/>
    <n v="0"/>
    <n v="0"/>
    <n v="0"/>
    <n v="0"/>
    <n v="0"/>
    <n v="0"/>
    <n v="0"/>
    <n v="0"/>
    <n v="0"/>
    <n v="0"/>
    <n v="27.69"/>
    <n v="0"/>
    <n v="0"/>
    <n v="0"/>
    <n v="0"/>
    <n v="0"/>
    <n v="27.69"/>
    <n v="27.69"/>
    <n v="0"/>
    <n v="27.69"/>
    <m/>
    <m/>
    <m/>
    <m/>
    <m/>
    <m/>
    <m/>
    <m/>
    <m/>
    <m/>
    <m/>
    <m/>
    <m/>
    <m/>
    <m/>
    <m/>
    <m/>
    <m/>
    <m/>
    <m/>
    <m/>
    <m/>
    <m/>
    <m/>
    <m/>
    <m/>
    <m/>
    <m/>
    <m/>
    <m/>
    <m/>
    <m/>
    <m/>
    <m/>
    <m/>
    <m/>
    <m/>
    <m/>
    <m/>
    <m/>
    <m/>
    <m/>
    <m/>
    <m/>
    <m/>
    <m/>
    <m/>
    <m/>
    <m/>
  </r>
  <r>
    <n v="742"/>
    <d v="2025-03-28T00:00:00"/>
    <s v="ZBTO"/>
    <n v="9518649438"/>
    <n v="11"/>
    <s v="9518649438-11"/>
    <s v="May'25"/>
    <x v="0"/>
    <s v="Yes"/>
    <x v="1"/>
    <x v="2"/>
    <s v="2000-BPRS"/>
    <m/>
    <x v="1"/>
    <m/>
    <m/>
    <m/>
    <s v="South"/>
    <s v="CHENNAI"/>
    <m/>
    <n v="116465"/>
    <x v="13"/>
    <n v="3239564"/>
    <s v="CRCA SHEET TATCRC SR16 0.450X1000X1980"/>
    <s v=" "/>
    <s v=""/>
    <n v="0"/>
    <n v="0"/>
    <m/>
    <s v="C06"/>
    <s v="TATCRC"/>
    <s v="SR16"/>
    <n v="0.45"/>
    <n v="1000"/>
    <n v="1980"/>
    <n v="21"/>
    <n v="0"/>
    <n v="21"/>
    <n v="21"/>
    <n v="-1.2199999999999989"/>
    <n v="21"/>
    <n v="0"/>
    <n v="0"/>
    <n v="0"/>
    <n v="0"/>
    <n v="0"/>
    <n v="0"/>
    <n v="0"/>
    <n v="0"/>
    <n v="0"/>
    <n v="0"/>
    <n v="0"/>
    <n v="0"/>
    <n v="0"/>
    <n v="22.22"/>
    <n v="0"/>
    <n v="0"/>
    <n v="0"/>
    <n v="0"/>
    <n v="0"/>
    <n v="22.22"/>
    <n v="22.22"/>
    <n v="0"/>
    <n v="22.22"/>
    <m/>
    <m/>
    <m/>
    <m/>
    <m/>
    <m/>
    <m/>
    <m/>
    <m/>
    <m/>
    <m/>
    <m/>
    <m/>
    <m/>
    <m/>
    <m/>
    <m/>
    <m/>
    <m/>
    <m/>
    <m/>
    <m/>
    <m/>
    <m/>
    <m/>
    <m/>
    <m/>
    <m/>
    <m/>
    <m/>
    <m/>
    <m/>
    <m/>
    <m/>
    <m/>
    <m/>
    <m/>
    <m/>
    <m/>
    <m/>
    <m/>
    <m/>
    <m/>
    <m/>
    <m/>
    <m/>
    <m/>
    <m/>
    <m/>
  </r>
  <r>
    <n v="742"/>
    <d v="2025-04-11T00:00:00"/>
    <s v="ZBTO"/>
    <n v="9518685128"/>
    <n v="1"/>
    <s v="9518685128-1"/>
    <s v="No Priority"/>
    <x v="0"/>
    <m/>
    <x v="1"/>
    <x v="12"/>
    <s v="2000-BPRS"/>
    <m/>
    <x v="0"/>
    <m/>
    <m/>
    <m/>
    <s v="South"/>
    <s v="GUMMIDIPOONDI"/>
    <m/>
    <n v="161312"/>
    <x v="54"/>
    <n v="4001376"/>
    <s v="CR COIL TSBSTA EL03 0.500X1160"/>
    <s v=" "/>
    <s v=""/>
    <n v="6"/>
    <n v="18"/>
    <m/>
    <s v="C01"/>
    <s v="TSBSTA"/>
    <s v="EL03"/>
    <n v="0.5"/>
    <n v="1160"/>
    <n v="0"/>
    <n v="270"/>
    <n v="0"/>
    <n v="270"/>
    <n v="270"/>
    <n v="270"/>
    <n v="270"/>
    <n v="0"/>
    <n v="0"/>
    <n v="0"/>
    <n v="0"/>
    <n v="0"/>
    <n v="0"/>
    <n v="0"/>
    <n v="0"/>
    <n v="0"/>
    <n v="0"/>
    <n v="0"/>
    <n v="0"/>
    <n v="0"/>
    <n v="0"/>
    <n v="0"/>
    <n v="0"/>
    <n v="0"/>
    <n v="0"/>
    <n v="0"/>
    <n v="0"/>
    <n v="0"/>
    <n v="0"/>
    <n v="0"/>
    <m/>
    <m/>
    <m/>
    <m/>
    <m/>
    <m/>
    <m/>
    <m/>
    <m/>
    <m/>
    <m/>
    <m/>
    <m/>
    <m/>
    <m/>
    <m/>
    <m/>
    <m/>
    <m/>
    <m/>
    <m/>
    <m/>
    <m/>
    <m/>
    <m/>
    <m/>
    <m/>
    <m/>
    <m/>
    <m/>
    <m/>
    <m/>
    <m/>
    <m/>
    <m/>
    <m/>
    <m/>
    <m/>
    <m/>
    <m/>
    <m/>
    <m/>
    <m/>
    <m/>
    <m/>
    <m/>
    <m/>
    <m/>
    <m/>
  </r>
  <r>
    <n v="744"/>
    <d v="2025-04-05T00:00:00"/>
    <s v="ZBTO"/>
    <n v="9518671154"/>
    <n v="3"/>
    <s v="9518671154-3"/>
    <s v="May'25"/>
    <x v="0"/>
    <m/>
    <x v="2"/>
    <x v="3"/>
    <s v="1000-IPPE"/>
    <m/>
    <x v="1"/>
    <m/>
    <m/>
    <m/>
    <s v="TBSPL"/>
    <s v="RAJASTHAN"/>
    <m/>
    <n v="940008"/>
    <x v="15"/>
    <n v="3996225"/>
    <s v="PPGL C HARD Y550PL HPL6 0.400X1220"/>
    <s v="AZ150"/>
    <s v="NG BRIGHT GREEN TSL 2211"/>
    <n v="3"/>
    <n v="5"/>
    <m/>
    <s v="B18"/>
    <s v="Y550PL"/>
    <s v="HPL6"/>
    <n v="0.4"/>
    <n v="1220"/>
    <n v="0"/>
    <n v="27.998999999999999"/>
    <n v="0"/>
    <n v="27.998999999999999"/>
    <n v="27.998999999999999"/>
    <n v="27.998999999999999"/>
    <n v="27.998999999999999"/>
    <n v="0"/>
    <n v="0"/>
    <n v="0"/>
    <n v="0"/>
    <n v="0"/>
    <n v="0"/>
    <n v="0"/>
    <n v="0"/>
    <n v="0"/>
    <n v="0"/>
    <n v="0"/>
    <n v="0"/>
    <n v="0"/>
    <n v="0"/>
    <n v="0"/>
    <n v="0"/>
    <n v="0"/>
    <n v="0"/>
    <n v="0"/>
    <n v="0"/>
    <n v="0"/>
    <n v="0"/>
    <n v="0"/>
    <m/>
    <m/>
    <m/>
    <m/>
    <m/>
    <m/>
    <m/>
    <m/>
    <m/>
    <m/>
    <m/>
    <m/>
    <m/>
    <m/>
    <m/>
    <m/>
    <m/>
    <m/>
    <m/>
    <m/>
    <m/>
    <m/>
    <m/>
    <m/>
    <m/>
    <m/>
    <m/>
    <m/>
    <m/>
    <m/>
    <m/>
    <m/>
    <m/>
    <m/>
    <m/>
    <m/>
    <m/>
    <m/>
    <m/>
    <m/>
    <m/>
    <m/>
    <m/>
    <m/>
    <m/>
    <m/>
    <m/>
    <m/>
    <m/>
  </r>
  <r>
    <n v="744"/>
    <d v="2025-04-05T00:00:00"/>
    <s v="ZBTO"/>
    <n v="9518671154"/>
    <n v="4"/>
    <s v="9518671154-4"/>
    <s v="No Priority"/>
    <x v="0"/>
    <m/>
    <x v="2"/>
    <x v="3"/>
    <s v="1000-IPPE"/>
    <m/>
    <x v="0"/>
    <m/>
    <m/>
    <m/>
    <s v="TBSPL"/>
    <s v="RAJASTHAN"/>
    <m/>
    <n v="940008"/>
    <x v="15"/>
    <n v="3996225"/>
    <s v="PPGL C HARD Y550PL HPL6 0.400X1220"/>
    <s v="AZ150"/>
    <s v="NG SMART GREY TSL 1905"/>
    <n v="3"/>
    <n v="5"/>
    <m/>
    <s v="B18"/>
    <s v="Y550PL"/>
    <s v="HPL6"/>
    <n v="0.4"/>
    <n v="1220"/>
    <n v="0"/>
    <n v="28"/>
    <n v="0"/>
    <n v="28"/>
    <n v="28"/>
    <n v="28"/>
    <n v="3.4"/>
    <n v="0"/>
    <n v="0"/>
    <n v="0"/>
    <n v="0"/>
    <n v="0"/>
    <n v="0"/>
    <n v="0"/>
    <n v="0"/>
    <n v="0"/>
    <n v="0"/>
    <n v="0"/>
    <n v="0"/>
    <n v="0"/>
    <n v="0"/>
    <n v="0"/>
    <n v="0"/>
    <n v="0"/>
    <n v="0"/>
    <n v="0"/>
    <n v="0"/>
    <n v="0"/>
    <n v="0"/>
    <n v="0"/>
    <m/>
    <m/>
    <m/>
    <m/>
    <m/>
    <m/>
    <m/>
    <m/>
    <m/>
    <m/>
    <m/>
    <m/>
    <m/>
    <m/>
    <m/>
    <m/>
    <m/>
    <m/>
    <m/>
    <m/>
    <m/>
    <m/>
    <m/>
    <m/>
    <m/>
    <m/>
    <m/>
    <m/>
    <m/>
    <m/>
    <m/>
    <m/>
    <m/>
    <m/>
    <m/>
    <m/>
    <m/>
    <m/>
    <m/>
    <m/>
    <m/>
    <m/>
    <m/>
    <m/>
    <m/>
    <m/>
    <m/>
    <m/>
    <m/>
  </r>
  <r>
    <n v="742"/>
    <d v="2025-04-18T00:00:00"/>
    <s v="ZBTO"/>
    <n v="9518703423"/>
    <n v="2"/>
    <s v="9518703423-2"/>
    <s v="No Priority"/>
    <x v="0"/>
    <m/>
    <x v="1"/>
    <x v="10"/>
    <s v="1000-IPPE"/>
    <m/>
    <x v="0"/>
    <m/>
    <m/>
    <m/>
    <s v="South"/>
    <s v="CHENNAI"/>
    <m/>
    <n v="187214"/>
    <x v="30"/>
    <n v="2421724"/>
    <s v="CRCA COIL TATXXD BT01 0.970X1310"/>
    <s v=" "/>
    <s v=""/>
    <n v="6"/>
    <n v="12"/>
    <m/>
    <s v="C01"/>
    <s v="TATXXD"/>
    <s v="BT01"/>
    <n v="0.97"/>
    <n v="1310"/>
    <n v="0"/>
    <n v="60"/>
    <n v="0"/>
    <n v="60"/>
    <n v="60"/>
    <n v="60"/>
    <n v="60"/>
    <n v="0"/>
    <n v="0"/>
    <n v="0"/>
    <n v="0"/>
    <n v="0"/>
    <n v="0"/>
    <n v="0"/>
    <n v="0"/>
    <n v="0"/>
    <n v="0"/>
    <n v="0"/>
    <n v="0"/>
    <n v="0"/>
    <n v="0"/>
    <n v="0"/>
    <n v="0"/>
    <n v="0"/>
    <n v="0"/>
    <n v="0"/>
    <n v="0"/>
    <n v="0"/>
    <n v="0"/>
    <n v="0"/>
    <m/>
    <m/>
    <m/>
    <m/>
    <m/>
    <m/>
    <m/>
    <m/>
    <m/>
    <m/>
    <m/>
    <m/>
    <m/>
    <m/>
    <m/>
    <m/>
    <m/>
    <m/>
    <m/>
    <m/>
    <m/>
    <m/>
    <m/>
    <m/>
    <m/>
    <m/>
    <m/>
    <m/>
    <m/>
    <m/>
    <m/>
    <m/>
    <m/>
    <m/>
    <m/>
    <m/>
    <m/>
    <m/>
    <m/>
    <m/>
    <m/>
    <m/>
    <m/>
    <m/>
    <m/>
    <m/>
    <m/>
    <m/>
    <m/>
  </r>
  <r>
    <n v="742"/>
    <d v="2025-04-18T00:00:00"/>
    <s v="ZBTO"/>
    <n v="9518703423"/>
    <n v="3"/>
    <s v="9518703423-3"/>
    <s v="No Priority"/>
    <x v="0"/>
    <m/>
    <x v="1"/>
    <x v="10"/>
    <s v="1000-IPPE"/>
    <m/>
    <x v="0"/>
    <m/>
    <m/>
    <m/>
    <s v="South"/>
    <s v="CHENNAI"/>
    <m/>
    <n v="187214"/>
    <x v="30"/>
    <n v="3701960"/>
    <s v="CR COIL TATXXD BT01 1.200X1310"/>
    <s v=" "/>
    <s v=""/>
    <n v="8"/>
    <n v="12"/>
    <m/>
    <s v="C01"/>
    <s v="TATXXD"/>
    <s v="BT01"/>
    <n v="1.2"/>
    <n v="1310"/>
    <n v="0"/>
    <n v="30"/>
    <n v="0"/>
    <n v="30"/>
    <n v="30"/>
    <n v="30"/>
    <n v="30"/>
    <n v="0"/>
    <n v="0"/>
    <n v="0"/>
    <n v="0"/>
    <n v="0"/>
    <n v="0"/>
    <n v="0"/>
    <n v="0"/>
    <n v="0"/>
    <n v="0"/>
    <n v="0"/>
    <n v="0"/>
    <n v="0"/>
    <n v="0"/>
    <n v="0"/>
    <n v="0"/>
    <n v="0"/>
    <n v="0"/>
    <n v="0"/>
    <n v="0"/>
    <n v="0"/>
    <n v="0"/>
    <n v="0"/>
    <m/>
    <m/>
    <m/>
    <m/>
    <m/>
    <m/>
    <m/>
    <m/>
    <m/>
    <m/>
    <m/>
    <m/>
    <m/>
    <m/>
    <m/>
    <m/>
    <m/>
    <m/>
    <m/>
    <m/>
    <m/>
    <m/>
    <m/>
    <m/>
    <m/>
    <m/>
    <m/>
    <m/>
    <m/>
    <m/>
    <m/>
    <m/>
    <m/>
    <m/>
    <m/>
    <m/>
    <m/>
    <m/>
    <m/>
    <m/>
    <m/>
    <m/>
    <m/>
    <m/>
    <m/>
    <m/>
    <m/>
    <m/>
    <m/>
  </r>
  <r>
    <n v="742"/>
    <d v="2025-04-18T00:00:00"/>
    <s v="ZBTO"/>
    <n v="9518703251"/>
    <n v="2"/>
    <s v="9518703251-2"/>
    <s v="May'25"/>
    <x v="0"/>
    <m/>
    <x v="1"/>
    <x v="10"/>
    <s v="1000-IPPE"/>
    <m/>
    <x v="1"/>
    <m/>
    <s v="P1-Priority for Balmer"/>
    <m/>
    <s v="West"/>
    <s v="VADODARA"/>
    <m/>
    <n v="189022"/>
    <x v="93"/>
    <n v="2164807"/>
    <s v="CRCA COIL TATXXD BT01 1.200X1315"/>
    <s v=" "/>
    <s v=""/>
    <n v="8"/>
    <n v="12"/>
    <m/>
    <s v="C01"/>
    <s v="TATXXD"/>
    <s v="BT01"/>
    <n v="1.2"/>
    <n v="1315"/>
    <n v="0"/>
    <n v="60.999000000000002"/>
    <n v="0"/>
    <n v="60.999000000000002"/>
    <n v="60.999000000000002"/>
    <n v="60.999000000000002"/>
    <n v="60.999000000000002"/>
    <n v="0"/>
    <n v="0"/>
    <n v="0"/>
    <n v="0"/>
    <n v="0"/>
    <n v="0"/>
    <n v="0"/>
    <n v="0"/>
    <n v="0"/>
    <n v="0"/>
    <n v="0"/>
    <n v="0"/>
    <n v="0"/>
    <n v="0"/>
    <n v="0"/>
    <n v="0"/>
    <n v="0"/>
    <n v="0"/>
    <n v="0"/>
    <n v="0"/>
    <n v="0"/>
    <n v="0"/>
    <n v="0"/>
    <m/>
    <m/>
    <m/>
    <m/>
    <m/>
    <m/>
    <m/>
    <m/>
    <m/>
    <m/>
    <m/>
    <m/>
    <m/>
    <m/>
    <m/>
    <m/>
    <m/>
    <m/>
    <m/>
    <m/>
    <m/>
    <m/>
    <m/>
    <m/>
    <m/>
    <m/>
    <m/>
    <m/>
    <m/>
    <m/>
    <m/>
    <m/>
    <m/>
    <m/>
    <m/>
    <m/>
    <m/>
    <m/>
    <m/>
    <m/>
    <m/>
    <m/>
    <m/>
    <m/>
    <m/>
    <m/>
    <m/>
    <m/>
    <m/>
  </r>
  <r>
    <n v="742"/>
    <d v="2025-04-18T00:00:00"/>
    <s v="ZBTO"/>
    <n v="9518703428"/>
    <n v="3"/>
    <s v="9518703428-3"/>
    <s v="No Priority"/>
    <x v="0"/>
    <m/>
    <x v="1"/>
    <x v="10"/>
    <s v="1000-IPPE"/>
    <m/>
    <x v="0"/>
    <m/>
    <m/>
    <m/>
    <s v="South"/>
    <s v="CHENNAI"/>
    <m/>
    <n v="187214"/>
    <x v="30"/>
    <n v="3701960"/>
    <s v="CR COIL TATXXD BT01 1.200X1310"/>
    <s v=" "/>
    <s v=""/>
    <n v="8"/>
    <n v="12"/>
    <m/>
    <s v="C01"/>
    <s v="TATXXD"/>
    <s v="BT01"/>
    <n v="1.2"/>
    <n v="1310"/>
    <n v="0"/>
    <n v="30"/>
    <n v="0"/>
    <n v="30"/>
    <n v="30"/>
    <n v="30"/>
    <n v="30"/>
    <n v="0"/>
    <n v="0"/>
    <n v="0"/>
    <n v="0"/>
    <n v="0"/>
    <n v="0"/>
    <n v="0"/>
    <n v="0"/>
    <n v="0"/>
    <n v="0"/>
    <n v="0"/>
    <n v="0"/>
    <n v="0"/>
    <n v="0"/>
    <n v="0"/>
    <n v="0"/>
    <n v="0"/>
    <n v="0"/>
    <n v="0"/>
    <n v="0"/>
    <n v="0"/>
    <n v="0"/>
    <n v="0"/>
    <m/>
    <m/>
    <m/>
    <m/>
    <m/>
    <m/>
    <m/>
    <m/>
    <m/>
    <m/>
    <m/>
    <m/>
    <m/>
    <m/>
    <m/>
    <m/>
    <m/>
    <m/>
    <m/>
    <m/>
    <m/>
    <m/>
    <m/>
    <m/>
    <m/>
    <m/>
    <m/>
    <m/>
    <m/>
    <m/>
    <m/>
    <m/>
    <m/>
    <m/>
    <m/>
    <m/>
    <m/>
    <m/>
    <m/>
    <m/>
    <m/>
    <m/>
    <m/>
    <m/>
    <m/>
    <m/>
    <m/>
    <m/>
    <m/>
  </r>
  <r>
    <n v="744"/>
    <d v="2025-04-08T00:00:00"/>
    <s v="ZBTO"/>
    <n v="9518676905"/>
    <n v="5"/>
    <s v="9518676905-5"/>
    <s v="May'25"/>
    <x v="0"/>
    <m/>
    <x v="2"/>
    <x v="3"/>
    <s v="1000-IPPE"/>
    <m/>
    <x v="1"/>
    <m/>
    <m/>
    <m/>
    <s v="TBSPL"/>
    <s v=" "/>
    <m/>
    <n v="941597"/>
    <x v="6"/>
    <n v="3902332"/>
    <s v="PPGL C HARD Y550PL D0C9 0.50(TPT)X1220"/>
    <s v="AZ150"/>
    <s v="ROYAL BLUE TSL 1815"/>
    <n v="3"/>
    <n v="5"/>
    <m/>
    <s v="B18"/>
    <s v="Y550PL"/>
    <s v="D0C9"/>
    <n v="0.5"/>
    <n v="1220"/>
    <n v="0"/>
    <n v="56"/>
    <n v="0"/>
    <n v="56"/>
    <n v="56"/>
    <n v="56"/>
    <n v="22.215"/>
    <n v="0"/>
    <n v="0"/>
    <n v="0"/>
    <n v="0"/>
    <n v="0"/>
    <n v="0"/>
    <n v="0"/>
    <n v="0"/>
    <n v="0"/>
    <n v="0"/>
    <n v="0"/>
    <n v="0"/>
    <n v="0"/>
    <n v="0"/>
    <n v="0"/>
    <n v="0"/>
    <n v="0"/>
    <n v="0"/>
    <n v="0"/>
    <n v="0"/>
    <n v="0"/>
    <n v="0"/>
    <n v="0"/>
    <m/>
    <m/>
    <m/>
    <m/>
    <m/>
    <m/>
    <m/>
    <m/>
    <m/>
    <m/>
    <m/>
    <m/>
    <m/>
    <m/>
    <m/>
    <m/>
    <m/>
    <m/>
    <m/>
    <m/>
    <m/>
    <m/>
    <m/>
    <m/>
    <m/>
    <m/>
    <m/>
    <m/>
    <m/>
    <m/>
    <m/>
    <m/>
    <m/>
    <m/>
    <m/>
    <m/>
    <m/>
    <m/>
    <m/>
    <m/>
    <m/>
    <m/>
    <m/>
    <m/>
    <m/>
    <m/>
    <m/>
    <m/>
    <m/>
  </r>
  <r>
    <n v="743"/>
    <d v="2025-02-14T00:00:00"/>
    <s v="ZBTO"/>
    <n v="9518519865"/>
    <n v="1"/>
    <s v="9518519865-1"/>
    <s v="No Priority"/>
    <x v="0"/>
    <m/>
    <x v="4"/>
    <x v="10"/>
    <s v="1000-IPPE"/>
    <m/>
    <x v="0"/>
    <m/>
    <s v="No allocation for IPP"/>
    <m/>
    <s v="South"/>
    <s v="VINJAMURU"/>
    <m/>
    <n v="188750"/>
    <x v="76"/>
    <n v="3946807"/>
    <s v="GL COIL HARD  Y550GL H9GL 0.320X1245"/>
    <s v="AZ150"/>
    <s v=""/>
    <n v="7"/>
    <n v="20"/>
    <m/>
    <s v="B04"/>
    <s v="Y550GL"/>
    <s v="H9GL"/>
    <n v="0.32"/>
    <n v="1245"/>
    <n v="0"/>
    <n v="58"/>
    <n v="0"/>
    <n v="58"/>
    <n v="58"/>
    <n v="58"/>
    <n v="58"/>
    <n v="0"/>
    <n v="0"/>
    <n v="0"/>
    <n v="0"/>
    <n v="0"/>
    <n v="0"/>
    <n v="0"/>
    <n v="0"/>
    <n v="0"/>
    <n v="0"/>
    <n v="0"/>
    <n v="0"/>
    <n v="0"/>
    <n v="0"/>
    <n v="0"/>
    <n v="0"/>
    <n v="0"/>
    <n v="0"/>
    <n v="0"/>
    <n v="0"/>
    <n v="0"/>
    <n v="0"/>
    <n v="0"/>
    <m/>
    <m/>
    <m/>
    <m/>
    <m/>
    <m/>
    <m/>
    <m/>
    <m/>
    <m/>
    <m/>
    <m/>
    <m/>
    <m/>
    <m/>
    <m/>
    <m/>
    <m/>
    <m/>
    <m/>
    <m/>
    <m/>
    <m/>
    <m/>
    <m/>
    <m/>
    <m/>
    <m/>
    <m/>
    <m/>
    <m/>
    <m/>
    <m/>
    <m/>
    <m/>
    <m/>
    <m/>
    <m/>
    <m/>
    <m/>
    <m/>
    <m/>
    <m/>
    <m/>
    <m/>
    <m/>
    <m/>
    <m/>
    <m/>
  </r>
  <r>
    <n v="742"/>
    <d v="2025-02-13T00:00:00"/>
    <s v="ZBTF"/>
    <n v="9518517180"/>
    <n v="2"/>
    <s v="9518517180-2"/>
    <s v="May'25"/>
    <x v="0"/>
    <m/>
    <x v="1"/>
    <x v="7"/>
    <s v="1000-IPPE"/>
    <m/>
    <x v="1"/>
    <m/>
    <m/>
    <m/>
    <s v="East"/>
    <s v="PILKHUWA"/>
    <m/>
    <n v="600250"/>
    <x v="23"/>
    <n v="2439203"/>
    <s v="CRCA COIL TSBSTA EL06 0.500X1160"/>
    <s v=" "/>
    <s v=""/>
    <n v="8"/>
    <n v="13"/>
    <m/>
    <s v="C01"/>
    <s v="TSBSTA"/>
    <s v="EL06"/>
    <n v="0.5"/>
    <n v="1160"/>
    <n v="0"/>
    <n v="297"/>
    <n v="279.79500000000002"/>
    <n v="17.204999999999998"/>
    <n v="17.204999999999998"/>
    <n v="17.204999999999998"/>
    <n v="17.204999999999998"/>
    <n v="0"/>
    <n v="0"/>
    <n v="0"/>
    <n v="0"/>
    <n v="0"/>
    <n v="0"/>
    <n v="0"/>
    <n v="0"/>
    <n v="0"/>
    <n v="0"/>
    <n v="0"/>
    <n v="0"/>
    <n v="0"/>
    <n v="0"/>
    <n v="0"/>
    <n v="0"/>
    <n v="0"/>
    <n v="0"/>
    <n v="0"/>
    <n v="0"/>
    <n v="0"/>
    <n v="0"/>
    <n v="0"/>
    <m/>
    <m/>
    <m/>
    <m/>
    <m/>
    <m/>
    <m/>
    <m/>
    <m/>
    <m/>
    <m/>
    <m/>
    <m/>
    <m/>
    <m/>
    <m/>
    <m/>
    <m/>
    <m/>
    <m/>
    <m/>
    <m/>
    <m/>
    <m/>
    <m/>
    <m/>
    <m/>
    <m/>
    <m/>
    <m/>
    <m/>
    <m/>
    <m/>
    <m/>
    <m/>
    <m/>
    <m/>
    <m/>
    <m/>
    <m/>
    <m/>
    <m/>
    <m/>
    <m/>
    <m/>
    <m/>
    <m/>
    <m/>
    <m/>
  </r>
  <r>
    <n v="742"/>
    <d v="2025-02-11T00:00:00"/>
    <s v="ZBTO"/>
    <n v="9518510681"/>
    <n v="2"/>
    <s v="9518510681-2"/>
    <s v="No Priority"/>
    <x v="0"/>
    <m/>
    <x v="1"/>
    <x v="2"/>
    <s v="2000-BPRS"/>
    <m/>
    <x v="0"/>
    <m/>
    <s v="Exp BTF &lt;17MT"/>
    <m/>
    <s v="North"/>
    <s v="KANPUR"/>
    <m/>
    <n v="115841"/>
    <x v="7"/>
    <n v="3240787"/>
    <s v="CRCA SHEET TSBCRC SR15 0.700X1250X1930"/>
    <s v=" "/>
    <s v=""/>
    <n v="0"/>
    <n v="0"/>
    <m/>
    <s v="C06"/>
    <s v="TSBCRC"/>
    <s v="SR15"/>
    <n v="0.7"/>
    <n v="1250"/>
    <n v="1930"/>
    <n v="33"/>
    <n v="25.87"/>
    <n v="7.13"/>
    <n v="7.13"/>
    <n v="7.13"/>
    <n v="7.13"/>
    <n v="0"/>
    <n v="0"/>
    <n v="0"/>
    <n v="0"/>
    <n v="0"/>
    <n v="0"/>
    <n v="0"/>
    <n v="0"/>
    <n v="0"/>
    <n v="0"/>
    <n v="0"/>
    <n v="0"/>
    <n v="0"/>
    <n v="0"/>
    <n v="0"/>
    <n v="0"/>
    <n v="0"/>
    <n v="0"/>
    <n v="0"/>
    <n v="0"/>
    <n v="0"/>
    <n v="0"/>
    <n v="0"/>
    <m/>
    <m/>
    <m/>
    <m/>
    <m/>
    <m/>
    <m/>
    <m/>
    <m/>
    <m/>
    <m/>
    <m/>
    <m/>
    <m/>
    <m/>
    <m/>
    <m/>
    <m/>
    <m/>
    <m/>
    <m/>
    <m/>
    <m/>
    <m/>
    <m/>
    <m/>
    <m/>
    <m/>
    <m/>
    <m/>
    <m/>
    <m/>
    <m/>
    <m/>
    <m/>
    <m/>
    <m/>
    <m/>
    <m/>
    <m/>
    <m/>
    <m/>
    <m/>
    <m/>
    <m/>
    <m/>
    <m/>
    <m/>
    <m/>
  </r>
  <r>
    <n v="742"/>
    <d v="2025-02-11T00:00:00"/>
    <s v="ZBTO"/>
    <n v="9518510371"/>
    <n v="3"/>
    <s v="9518510371-3"/>
    <s v="No Priority"/>
    <x v="0"/>
    <m/>
    <x v="1"/>
    <x v="2"/>
    <s v="2000-BPRS"/>
    <m/>
    <x v="0"/>
    <m/>
    <s v="Exp BTF &lt;17MT"/>
    <m/>
    <s v="North"/>
    <s v="GORAKHPUR"/>
    <m/>
    <n v="115841"/>
    <x v="7"/>
    <n v="3240765"/>
    <s v="CRCA SHEET TSBCRC SR15 0.500X1250X2500"/>
    <s v=" "/>
    <s v=""/>
    <n v="0"/>
    <n v="0"/>
    <m/>
    <s v="C06"/>
    <s v="TSBCRC"/>
    <s v="SR15"/>
    <n v="0.5"/>
    <n v="1250"/>
    <n v="2500"/>
    <n v="39"/>
    <n v="34.869999999999997"/>
    <n v="4.13"/>
    <n v="4.13"/>
    <n v="4.13"/>
    <n v="4.13"/>
    <n v="0"/>
    <n v="0"/>
    <n v="0"/>
    <n v="0"/>
    <n v="0"/>
    <n v="0"/>
    <n v="0"/>
    <n v="0"/>
    <n v="0"/>
    <n v="0"/>
    <n v="0"/>
    <n v="0"/>
    <n v="0"/>
    <n v="0"/>
    <n v="0"/>
    <n v="0"/>
    <n v="0"/>
    <n v="0"/>
    <n v="0"/>
    <n v="0"/>
    <n v="0"/>
    <n v="0"/>
    <n v="0"/>
    <m/>
    <m/>
    <m/>
    <m/>
    <m/>
    <m/>
    <m/>
    <m/>
    <m/>
    <m/>
    <m/>
    <m/>
    <m/>
    <m/>
    <m/>
    <m/>
    <m/>
    <m/>
    <m/>
    <m/>
    <m/>
    <m/>
    <m/>
    <m/>
    <m/>
    <m/>
    <m/>
    <m/>
    <m/>
    <m/>
    <m/>
    <m/>
    <m/>
    <m/>
    <m/>
    <m/>
    <m/>
    <m/>
    <m/>
    <m/>
    <m/>
    <m/>
    <m/>
    <m/>
    <m/>
    <m/>
    <m/>
    <m/>
    <m/>
  </r>
  <r>
    <n v="743"/>
    <d v="2025-02-14T00:00:00"/>
    <s v="ZBTO"/>
    <n v="9518519620"/>
    <n v="1"/>
    <s v="9518519620-1"/>
    <s v="May'25"/>
    <x v="0"/>
    <s v="Yes"/>
    <x v="3"/>
    <x v="9"/>
    <s v="2000-BPRS"/>
    <m/>
    <x v="1"/>
    <m/>
    <m/>
    <m/>
    <s v="East"/>
    <s v="PATNA"/>
    <m/>
    <n v="103227"/>
    <x v="31"/>
    <n v="1191955"/>
    <s v="GP COIL SOFT-TATXGP-GK09-0.3X900"/>
    <s v="Z80"/>
    <s v=""/>
    <n v="1.75"/>
    <n v="6"/>
    <m/>
    <s v="C02"/>
    <s v="TATXGP"/>
    <s v="GK09"/>
    <n v="0.3"/>
    <n v="900"/>
    <n v="0"/>
    <n v="147"/>
    <n v="2.54"/>
    <n v="144.46"/>
    <n v="144.46"/>
    <n v="144.46"/>
    <n v="144.46"/>
    <n v="0"/>
    <n v="0"/>
    <n v="0"/>
    <n v="0"/>
    <n v="0"/>
    <n v="0"/>
    <n v="0"/>
    <n v="0"/>
    <n v="0"/>
    <n v="0"/>
    <n v="0"/>
    <n v="0"/>
    <n v="0"/>
    <n v="0"/>
    <n v="0"/>
    <n v="0"/>
    <n v="0"/>
    <n v="0"/>
    <n v="0"/>
    <n v="0"/>
    <n v="0"/>
    <n v="0"/>
    <n v="0"/>
    <m/>
    <m/>
    <m/>
    <m/>
    <m/>
    <m/>
    <m/>
    <m/>
    <m/>
    <m/>
    <m/>
    <m/>
    <m/>
    <m/>
    <m/>
    <m/>
    <m/>
    <m/>
    <m/>
    <m/>
    <m/>
    <m/>
    <m/>
    <m/>
    <m/>
    <m/>
    <m/>
    <m/>
    <m/>
    <m/>
    <m/>
    <m/>
    <m/>
    <m/>
    <m/>
    <m/>
    <m/>
    <m/>
    <m/>
    <m/>
    <m/>
    <m/>
    <m/>
    <m/>
    <m/>
    <m/>
    <m/>
    <m/>
    <m/>
  </r>
  <r>
    <n v="743"/>
    <d v="2025-02-10T00:00:00"/>
    <s v="ZBTO"/>
    <n v="9518508377"/>
    <n v="1"/>
    <s v="9518508377-1"/>
    <s v="May'25"/>
    <x v="0"/>
    <s v="Yes"/>
    <x v="3"/>
    <x v="9"/>
    <s v="2000-BPRS"/>
    <m/>
    <x v="1"/>
    <m/>
    <m/>
    <m/>
    <s v="East"/>
    <s v="WEST BOKARO"/>
    <m/>
    <n v="185794"/>
    <x v="12"/>
    <n v="1851065"/>
    <s v="GP COIL SOFT-TATXGP-GK09-0.25X900"/>
    <s v="Z80"/>
    <s v=""/>
    <n v="4"/>
    <n v="12"/>
    <m/>
    <s v="C02"/>
    <s v="TATXGP"/>
    <s v="GK09"/>
    <n v="0.2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19T00:00:00"/>
    <s v="ZBTO"/>
    <n v="9518532816"/>
    <n v="1"/>
    <s v="9518532816-1"/>
    <s v="May'25"/>
    <x v="0"/>
    <s v="Yes"/>
    <x v="3"/>
    <x v="9"/>
    <s v="2000-BPRS"/>
    <m/>
    <x v="1"/>
    <m/>
    <m/>
    <m/>
    <s v="East"/>
    <s v=" "/>
    <m/>
    <n v="121328"/>
    <x v="10"/>
    <n v="1191955"/>
    <s v="GP COIL SOFT-TATXGP-GK09-0.3X900"/>
    <s v="Z80"/>
    <s v=""/>
    <n v="4"/>
    <n v="12"/>
    <m/>
    <s v="C02"/>
    <s v="TATXGP"/>
    <s v="GK09"/>
    <n v="0.3"/>
    <n v="900"/>
    <n v="0"/>
    <n v="63"/>
    <n v="19.64"/>
    <n v="43.36"/>
    <n v="43.36"/>
    <n v="43.36"/>
    <n v="43.36"/>
    <n v="0"/>
    <n v="0"/>
    <n v="0"/>
    <n v="0"/>
    <n v="0"/>
    <n v="0"/>
    <n v="0"/>
    <n v="0"/>
    <n v="0"/>
    <n v="0"/>
    <n v="0"/>
    <n v="0"/>
    <n v="0"/>
    <n v="0"/>
    <n v="0"/>
    <n v="0"/>
    <n v="0"/>
    <n v="0"/>
    <n v="0"/>
    <n v="0"/>
    <n v="0"/>
    <n v="0"/>
    <n v="0"/>
    <m/>
    <m/>
    <m/>
    <m/>
    <m/>
    <m/>
    <m/>
    <m/>
    <m/>
    <m/>
    <m/>
    <m/>
    <m/>
    <m/>
    <m/>
    <m/>
    <m/>
    <m/>
    <m/>
    <m/>
    <m/>
    <m/>
    <m/>
    <m/>
    <m/>
    <m/>
    <m/>
    <m/>
    <m/>
    <m/>
    <m/>
    <m/>
    <m/>
    <m/>
    <m/>
    <m/>
    <m/>
    <m/>
    <m/>
    <m/>
    <m/>
    <m/>
    <m/>
    <m/>
    <m/>
    <m/>
    <m/>
    <m/>
    <m/>
  </r>
  <r>
    <n v="743"/>
    <d v="2025-02-10T00:00:00"/>
    <s v="ZBTO"/>
    <n v="9518508377"/>
    <n v="3"/>
    <s v="9518508377-3"/>
    <s v="May'25"/>
    <x v="0"/>
    <s v="Yes"/>
    <x v="3"/>
    <x v="9"/>
    <s v="2000-BPRS"/>
    <m/>
    <x v="1"/>
    <m/>
    <m/>
    <m/>
    <s v="East"/>
    <s v="WEST BOKARO"/>
    <m/>
    <n v="185794"/>
    <x v="12"/>
    <n v="1191955"/>
    <s v="GP COIL SOFT-TATXGP-GK09-0.3X900"/>
    <s v="Z80"/>
    <s v=""/>
    <n v="4"/>
    <n v="12"/>
    <m/>
    <s v="C02"/>
    <s v="TATXGP"/>
    <s v="GK09"/>
    <n v="0.3"/>
    <n v="900"/>
    <n v="0"/>
    <n v="105"/>
    <n v="0"/>
    <n v="105"/>
    <n v="105"/>
    <n v="105"/>
    <n v="105"/>
    <n v="0"/>
    <n v="0"/>
    <n v="0"/>
    <n v="0"/>
    <n v="0"/>
    <n v="0"/>
    <n v="0"/>
    <n v="0"/>
    <n v="0"/>
    <n v="0"/>
    <n v="0"/>
    <n v="0"/>
    <n v="0"/>
    <n v="0"/>
    <n v="0"/>
    <n v="0"/>
    <n v="0"/>
    <n v="0"/>
    <n v="0"/>
    <n v="0"/>
    <n v="0"/>
    <n v="0"/>
    <n v="0"/>
    <m/>
    <m/>
    <m/>
    <m/>
    <m/>
    <m/>
    <m/>
    <m/>
    <m/>
    <m/>
    <m/>
    <m/>
    <m/>
    <m/>
    <m/>
    <m/>
    <m/>
    <m/>
    <m/>
    <m/>
    <m/>
    <m/>
    <m/>
    <m/>
    <m/>
    <m/>
    <m/>
    <m/>
    <m/>
    <m/>
    <m/>
    <m/>
    <m/>
    <m/>
    <m/>
    <m/>
    <m/>
    <m/>
    <m/>
    <m/>
    <m/>
    <m/>
    <m/>
    <m/>
    <m/>
    <m/>
    <m/>
    <m/>
    <m/>
  </r>
  <r>
    <n v="742"/>
    <d v="2025-02-05T00:00:00"/>
    <s v="ZBTO"/>
    <n v="9518495920"/>
    <n v="2"/>
    <s v="9518495920-2"/>
    <s v="No Priority"/>
    <x v="0"/>
    <m/>
    <x v="1"/>
    <x v="2"/>
    <s v="2000-BPRS"/>
    <m/>
    <x v="0"/>
    <m/>
    <m/>
    <m/>
    <s v="North"/>
    <s v="VARANASI"/>
    <m/>
    <n v="931525"/>
    <x v="2"/>
    <n v="3239568"/>
    <s v="CRCA SHEET TATCRC SR16 0.450X1250X2500"/>
    <s v=" "/>
    <s v=""/>
    <n v="0"/>
    <n v="0"/>
    <m/>
    <s v="C06"/>
    <s v="TATCRC"/>
    <s v="SR16"/>
    <n v="0.45"/>
    <n v="1250"/>
    <n v="2500"/>
    <n v="54"/>
    <n v="50.61"/>
    <n v="3.39"/>
    <n v="3.39"/>
    <n v="3.39"/>
    <n v="3.39"/>
    <n v="0"/>
    <n v="0"/>
    <n v="0"/>
    <n v="0"/>
    <n v="0"/>
    <n v="0"/>
    <n v="0"/>
    <n v="0"/>
    <n v="0"/>
    <n v="0"/>
    <n v="0"/>
    <n v="0"/>
    <n v="0"/>
    <n v="0"/>
    <n v="0"/>
    <n v="0"/>
    <n v="0"/>
    <n v="0"/>
    <n v="0"/>
    <n v="0"/>
    <n v="0"/>
    <n v="0"/>
    <n v="0"/>
    <m/>
    <m/>
    <m/>
    <m/>
    <m/>
    <m/>
    <m/>
    <m/>
    <m/>
    <m/>
    <m/>
    <m/>
    <m/>
    <m/>
    <m/>
    <m/>
    <m/>
    <m/>
    <m/>
    <m/>
    <m/>
    <m/>
    <m/>
    <m/>
    <m/>
    <m/>
    <m/>
    <m/>
    <m/>
    <m/>
    <m/>
    <m/>
    <m/>
    <m/>
    <m/>
    <m/>
    <m/>
    <m/>
    <m/>
    <m/>
    <m/>
    <m/>
    <m/>
    <m/>
    <m/>
    <m/>
    <m/>
    <m/>
    <m/>
  </r>
  <r>
    <n v="742"/>
    <d v="2025-03-28T00:00:00"/>
    <s v="ZBTO"/>
    <n v="9518650048"/>
    <n v="1"/>
    <s v="9518650048-1"/>
    <s v="No Priority"/>
    <x v="0"/>
    <m/>
    <x v="1"/>
    <x v="12"/>
    <s v="2000-BPRS"/>
    <m/>
    <x v="0"/>
    <m/>
    <m/>
    <m/>
    <s v="South"/>
    <s v="SANGAREDDY"/>
    <m/>
    <n v="947126"/>
    <x v="22"/>
    <n v="3587949"/>
    <s v="CR COIL TSBSTA EL06 0.500X1250"/>
    <s v=" "/>
    <s v=""/>
    <n v="5"/>
    <n v="30"/>
    <m/>
    <s v="C01"/>
    <s v="TSBSTA"/>
    <s v="EL06"/>
    <n v="0.5"/>
    <n v="1250"/>
    <n v="0"/>
    <n v="87"/>
    <n v="0"/>
    <n v="87"/>
    <n v="6.21"/>
    <n v="87"/>
    <n v="12.035"/>
    <n v="0"/>
    <n v="0"/>
    <n v="0"/>
    <n v="0"/>
    <n v="0"/>
    <n v="0"/>
    <n v="0"/>
    <n v="0"/>
    <n v="0"/>
    <n v="0"/>
    <n v="0"/>
    <n v="0"/>
    <n v="0"/>
    <n v="0"/>
    <n v="0"/>
    <n v="0"/>
    <n v="0"/>
    <n v="0"/>
    <n v="0"/>
    <n v="0"/>
    <n v="0"/>
    <n v="0"/>
    <n v="0"/>
    <m/>
    <m/>
    <m/>
    <m/>
    <m/>
    <m/>
    <m/>
    <m/>
    <m/>
    <m/>
    <m/>
    <m/>
    <m/>
    <m/>
    <m/>
    <m/>
    <m/>
    <m/>
    <m/>
    <m/>
    <m/>
    <m/>
    <m/>
    <m/>
    <m/>
    <m/>
    <m/>
    <m/>
    <m/>
    <m/>
    <m/>
    <m/>
    <m/>
    <m/>
    <m/>
    <m/>
    <m/>
    <m/>
    <m/>
    <m/>
    <m/>
    <m/>
    <m/>
    <m/>
    <m/>
    <m/>
    <m/>
    <m/>
    <m/>
  </r>
  <r>
    <n v="742"/>
    <d v="2025-03-25T00:00:00"/>
    <s v="ZBTO"/>
    <n v="9518633147"/>
    <n v="1"/>
    <s v="9518633147-1"/>
    <s v="May'25"/>
    <x v="0"/>
    <s v="Yes"/>
    <x v="1"/>
    <x v="1"/>
    <s v="2000-BPRS"/>
    <m/>
    <x v="1"/>
    <m/>
    <m/>
    <m/>
    <s v="South"/>
    <s v="SANGAREDDY"/>
    <m/>
    <n v="947126"/>
    <x v="22"/>
    <n v="1804814"/>
    <s v="CRCA COIL TATXXD AU03 0.8X1250"/>
    <s v=" "/>
    <s v=""/>
    <n v="5"/>
    <n v="30"/>
    <m/>
    <s v="C01"/>
    <s v="TATXXD"/>
    <s v="AU03"/>
    <n v="0.8"/>
    <n v="1250"/>
    <n v="0"/>
    <n v="58"/>
    <n v="0"/>
    <n v="58"/>
    <n v="58"/>
    <n v="36.26"/>
    <n v="38.44"/>
    <n v="0"/>
    <n v="0"/>
    <n v="0"/>
    <n v="21.740000000000002"/>
    <n v="0"/>
    <n v="0"/>
    <n v="0"/>
    <n v="0"/>
    <n v="0"/>
    <n v="0"/>
    <n v="0"/>
    <n v="0"/>
    <n v="0"/>
    <n v="0"/>
    <n v="0"/>
    <n v="0"/>
    <n v="0"/>
    <n v="0"/>
    <n v="0"/>
    <n v="21.740000000000002"/>
    <n v="21.740000000000002"/>
    <n v="0"/>
    <n v="21.740000000000002"/>
    <m/>
    <m/>
    <m/>
    <m/>
    <m/>
    <m/>
    <m/>
    <m/>
    <m/>
    <m/>
    <m/>
    <m/>
    <m/>
    <m/>
    <m/>
    <m/>
    <m/>
    <m/>
    <m/>
    <m/>
    <m/>
    <m/>
    <m/>
    <m/>
    <m/>
    <m/>
    <m/>
    <m/>
    <m/>
    <m/>
    <m/>
    <m/>
    <m/>
    <m/>
    <m/>
    <m/>
    <m/>
    <m/>
    <m/>
    <m/>
    <m/>
    <m/>
    <m/>
    <m/>
    <m/>
    <m/>
    <m/>
    <m/>
    <m/>
  </r>
  <r>
    <n v="742"/>
    <d v="2025-03-25T00:00:00"/>
    <s v="ZBTO"/>
    <n v="9518633147"/>
    <n v="2"/>
    <s v="9518633147-2"/>
    <s v="No Priority"/>
    <x v="0"/>
    <m/>
    <x v="1"/>
    <x v="1"/>
    <s v="2000-BPRS"/>
    <m/>
    <x v="0"/>
    <m/>
    <m/>
    <m/>
    <s v="South"/>
    <s v="SANGAREDDY"/>
    <m/>
    <n v="947126"/>
    <x v="22"/>
    <n v="196233"/>
    <s v="CRSHEET-ICF  DQ TATXXD AU03 1.00 X 1270"/>
    <s v=" "/>
    <s v=""/>
    <n v="5"/>
    <n v="30"/>
    <m/>
    <s v="C01"/>
    <s v="TATXXD"/>
    <s v="AU03"/>
    <n v="1"/>
    <n v="1270"/>
    <n v="0"/>
    <n v="29"/>
    <n v="0"/>
    <n v="29"/>
    <n v="29"/>
    <n v="29"/>
    <n v="29"/>
    <n v="0"/>
    <n v="0"/>
    <n v="0"/>
    <n v="0"/>
    <n v="0"/>
    <n v="0"/>
    <n v="0"/>
    <n v="0"/>
    <n v="0"/>
    <n v="0"/>
    <n v="0"/>
    <n v="0"/>
    <n v="0"/>
    <n v="0"/>
    <n v="0"/>
    <n v="0"/>
    <n v="0"/>
    <n v="0"/>
    <n v="0"/>
    <n v="0"/>
    <n v="0"/>
    <n v="0"/>
    <n v="0"/>
    <m/>
    <m/>
    <m/>
    <m/>
    <m/>
    <m/>
    <m/>
    <m/>
    <m/>
    <m/>
    <m/>
    <m/>
    <m/>
    <m/>
    <m/>
    <m/>
    <m/>
    <m/>
    <m/>
    <m/>
    <m/>
    <m/>
    <m/>
    <m/>
    <m/>
    <m/>
    <m/>
    <m/>
    <m/>
    <m/>
    <m/>
    <m/>
    <m/>
    <m/>
    <m/>
    <m/>
    <m/>
    <m/>
    <m/>
    <m/>
    <m/>
    <m/>
    <m/>
    <m/>
    <m/>
    <m/>
    <m/>
    <m/>
    <m/>
  </r>
  <r>
    <n v="742"/>
    <d v="2025-03-25T00:00:00"/>
    <s v="ZBTO"/>
    <n v="9518633147"/>
    <n v="3"/>
    <s v="9518633147-3"/>
    <s v="No Priority"/>
    <x v="0"/>
    <s v="Yes"/>
    <x v="1"/>
    <x v="1"/>
    <s v="2000-BPRS"/>
    <m/>
    <x v="0"/>
    <m/>
    <m/>
    <m/>
    <s v="South"/>
    <s v="SANGAREDDY"/>
    <m/>
    <n v="947126"/>
    <x v="22"/>
    <n v="1804854"/>
    <s v="CRCA COIL-TATXXD-AU03-1.2X1250"/>
    <s v=" "/>
    <s v=""/>
    <n v="5"/>
    <n v="30"/>
    <m/>
    <s v="C01"/>
    <s v="TATXXD"/>
    <s v="AU03"/>
    <n v="1.2"/>
    <n v="1250"/>
    <n v="0"/>
    <n v="29"/>
    <n v="0"/>
    <n v="29"/>
    <n v="29"/>
    <n v="29"/>
    <n v="8.89"/>
    <n v="0"/>
    <n v="0"/>
    <n v="0"/>
    <n v="0"/>
    <n v="0"/>
    <n v="0"/>
    <n v="0"/>
    <n v="0"/>
    <n v="0"/>
    <n v="0"/>
    <n v="0"/>
    <n v="0"/>
    <n v="0"/>
    <n v="0"/>
    <n v="0"/>
    <n v="0"/>
    <n v="0"/>
    <n v="0"/>
    <n v="0"/>
    <n v="0"/>
    <n v="0"/>
    <n v="0"/>
    <n v="0"/>
    <m/>
    <m/>
    <m/>
    <m/>
    <m/>
    <m/>
    <m/>
    <m/>
    <m/>
    <m/>
    <m/>
    <m/>
    <m/>
    <m/>
    <m/>
    <m/>
    <m/>
    <m/>
    <m/>
    <m/>
    <m/>
    <m/>
    <m/>
    <m/>
    <m/>
    <m/>
    <m/>
    <m/>
    <m/>
    <m/>
    <m/>
    <m/>
    <m/>
    <m/>
    <m/>
    <m/>
    <m/>
    <m/>
    <m/>
    <m/>
    <m/>
    <m/>
    <m/>
    <m/>
    <m/>
    <m/>
    <m/>
    <m/>
    <m/>
  </r>
  <r>
    <n v="742"/>
    <d v="2025-03-25T00:00:00"/>
    <s v="ZBTO"/>
    <n v="9518633147"/>
    <n v="4"/>
    <s v="9518633147-4"/>
    <s v="May'25"/>
    <x v="0"/>
    <s v="Yes"/>
    <x v="1"/>
    <x v="1"/>
    <s v="2000-BPRS"/>
    <m/>
    <x v="1"/>
    <m/>
    <m/>
    <m/>
    <s v="South"/>
    <s v="SANGAREDDY"/>
    <m/>
    <n v="947126"/>
    <x v="22"/>
    <n v="2334995"/>
    <s v="CRCA COIL TATXXD AU03 1.500X1250"/>
    <s v=" "/>
    <s v=""/>
    <n v="5"/>
    <n v="30"/>
    <m/>
    <s v="C01"/>
    <s v="TATXXD"/>
    <s v="AU03"/>
    <n v="1.5"/>
    <n v="1250"/>
    <n v="0"/>
    <n v="58"/>
    <n v="0"/>
    <n v="58"/>
    <n v="58"/>
    <n v="16.22"/>
    <n v="32.659999999999997"/>
    <n v="0"/>
    <n v="0"/>
    <n v="0"/>
    <n v="0"/>
    <n v="0"/>
    <n v="0"/>
    <n v="0"/>
    <n v="0"/>
    <n v="0"/>
    <n v="0"/>
    <n v="0"/>
    <n v="0"/>
    <n v="41.78"/>
    <n v="0"/>
    <n v="0"/>
    <n v="0"/>
    <n v="0"/>
    <n v="0"/>
    <n v="0"/>
    <n v="41.78"/>
    <n v="41.78"/>
    <n v="0"/>
    <n v="41.78"/>
    <m/>
    <m/>
    <m/>
    <m/>
    <m/>
    <m/>
    <m/>
    <m/>
    <m/>
    <m/>
    <m/>
    <m/>
    <m/>
    <m/>
    <m/>
    <m/>
    <m/>
    <m/>
    <m/>
    <m/>
    <m/>
    <m/>
    <m/>
    <m/>
    <m/>
    <m/>
    <m/>
    <m/>
    <m/>
    <m/>
    <m/>
    <m/>
    <m/>
    <m/>
    <m/>
    <m/>
    <m/>
    <m/>
    <m/>
    <m/>
    <m/>
    <m/>
    <m/>
    <m/>
    <m/>
    <m/>
    <m/>
    <m/>
    <m/>
  </r>
  <r>
    <n v="742"/>
    <d v="2025-03-25T00:00:00"/>
    <s v="ZBTO"/>
    <n v="9518633147"/>
    <n v="6"/>
    <s v="9518633147-6"/>
    <s v="May'25"/>
    <x v="0"/>
    <s v="Yes"/>
    <x v="1"/>
    <x v="1"/>
    <s v="2000-BPRS"/>
    <m/>
    <x v="1"/>
    <m/>
    <m/>
    <m/>
    <s v="South"/>
    <s v="SANGAREDDY"/>
    <m/>
    <n v="947126"/>
    <x v="22"/>
    <n v="1884117"/>
    <s v="CRCA COIL-TATXXD-AU03-2X1250"/>
    <s v=" "/>
    <s v=""/>
    <n v="5"/>
    <n v="30"/>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15T00:00:00"/>
    <s v="ZBTO"/>
    <n v="9518602390"/>
    <n v="4"/>
    <s v="9518602390-4"/>
    <s v="May'25"/>
    <x v="0"/>
    <m/>
    <x v="1"/>
    <x v="1"/>
    <s v="2000-BPRS"/>
    <m/>
    <x v="1"/>
    <m/>
    <m/>
    <m/>
    <s v="North"/>
    <s v="JAIPUR"/>
    <m/>
    <n v="116137"/>
    <x v="91"/>
    <n v="1801290"/>
    <s v="CRCA COIL-TATXXD-AU03-0.6X1250"/>
    <s v=" "/>
    <s v=""/>
    <n v="10"/>
    <n v="25"/>
    <m/>
    <s v="C01"/>
    <s v="TATXXD"/>
    <s v="AU03"/>
    <n v="0.6"/>
    <n v="1250"/>
    <n v="0"/>
    <n v="58"/>
    <n v="22.475000000000001"/>
    <n v="35.524999999999999"/>
    <n v="6.9249999999999998"/>
    <n v="6.9249999999999972"/>
    <n v="35.524999999999999"/>
    <n v="0"/>
    <n v="0"/>
    <n v="28.6"/>
    <n v="0"/>
    <n v="0"/>
    <n v="0"/>
    <n v="0"/>
    <n v="0"/>
    <n v="0"/>
    <n v="0"/>
    <n v="0"/>
    <n v="0"/>
    <n v="0"/>
    <n v="0"/>
    <n v="0"/>
    <n v="0"/>
    <n v="0"/>
    <n v="0"/>
    <n v="0"/>
    <n v="28.6"/>
    <n v="28.6"/>
    <n v="0"/>
    <n v="28.6"/>
    <m/>
    <m/>
    <m/>
    <m/>
    <m/>
    <m/>
    <m/>
    <m/>
    <m/>
    <m/>
    <m/>
    <m/>
    <m/>
    <m/>
    <m/>
    <m/>
    <m/>
    <m/>
    <m/>
    <m/>
    <m/>
    <m/>
    <m/>
    <m/>
    <m/>
    <m/>
    <m/>
    <m/>
    <m/>
    <m/>
    <m/>
    <m/>
    <m/>
    <m/>
    <m/>
    <m/>
    <m/>
    <m/>
    <m/>
    <m/>
    <m/>
    <m/>
    <m/>
    <m/>
    <m/>
    <m/>
    <m/>
    <m/>
    <m/>
  </r>
  <r>
    <n v="742"/>
    <d v="2025-03-25T00:00:00"/>
    <s v="ZBTO"/>
    <n v="9518633147"/>
    <n v="5"/>
    <s v="9518633147-5"/>
    <s v="May'25"/>
    <x v="0"/>
    <s v="Yes"/>
    <x v="1"/>
    <x v="1"/>
    <s v="2000-BPRS"/>
    <m/>
    <x v="1"/>
    <m/>
    <m/>
    <m/>
    <s v="South"/>
    <s v="SANGAREDDY"/>
    <m/>
    <n v="947126"/>
    <x v="22"/>
    <n v="187538"/>
    <s v="CRSHEET-ICF TATXXD AU03 1.60X1250"/>
    <s v=" "/>
    <s v=""/>
    <n v="5"/>
    <n v="30"/>
    <m/>
    <s v="C01"/>
    <s v="TATXXD"/>
    <s v="AU03"/>
    <n v="1.6"/>
    <n v="1250"/>
    <n v="0"/>
    <n v="87"/>
    <n v="0"/>
    <n v="87"/>
    <n v="87"/>
    <n v="24.03"/>
    <n v="87"/>
    <n v="0"/>
    <n v="0"/>
    <n v="0"/>
    <n v="0"/>
    <n v="0"/>
    <n v="0"/>
    <n v="0"/>
    <n v="0"/>
    <n v="0"/>
    <n v="0"/>
    <n v="21.48"/>
    <n v="0"/>
    <n v="41.49"/>
    <n v="0"/>
    <n v="0"/>
    <n v="0"/>
    <n v="0"/>
    <n v="0"/>
    <n v="0"/>
    <n v="62.97"/>
    <n v="62.97"/>
    <n v="0"/>
    <n v="62.97"/>
    <m/>
    <m/>
    <m/>
    <m/>
    <m/>
    <m/>
    <m/>
    <m/>
    <m/>
    <m/>
    <m/>
    <m/>
    <m/>
    <m/>
    <m/>
    <m/>
    <m/>
    <m/>
    <m/>
    <m/>
    <m/>
    <m/>
    <m/>
    <m/>
    <m/>
    <m/>
    <m/>
    <m/>
    <m/>
    <m/>
    <m/>
    <m/>
    <m/>
    <m/>
    <m/>
    <m/>
    <m/>
    <m/>
    <m/>
    <m/>
    <m/>
    <m/>
    <m/>
    <m/>
    <m/>
    <m/>
    <m/>
    <m/>
    <m/>
  </r>
  <r>
    <n v="742"/>
    <d v="2025-03-25T00:00:00"/>
    <s v="ZBTO"/>
    <n v="9518633147"/>
    <n v="7"/>
    <s v="9518633147-7"/>
    <s v="No Priority"/>
    <x v="0"/>
    <m/>
    <x v="1"/>
    <x v="1"/>
    <s v="2000-BPRS"/>
    <m/>
    <x v="0"/>
    <m/>
    <m/>
    <m/>
    <s v="South"/>
    <s v="SANGAREDDY"/>
    <m/>
    <n v="947126"/>
    <x v="22"/>
    <n v="2155233"/>
    <s v="CRCA COIL TATXXD AU03 2.5X1250"/>
    <s v=" "/>
    <s v=""/>
    <n v="5"/>
    <n v="30"/>
    <m/>
    <s v="C01"/>
    <s v="TATXXD"/>
    <s v="AU03"/>
    <n v="2.5"/>
    <n v="1250"/>
    <n v="0"/>
    <n v="29"/>
    <n v="0"/>
    <n v="29"/>
    <n v="29"/>
    <n v="29"/>
    <n v="29"/>
    <n v="0"/>
    <n v="0"/>
    <n v="0"/>
    <n v="0"/>
    <n v="0"/>
    <n v="0"/>
    <n v="0"/>
    <n v="0"/>
    <n v="0"/>
    <n v="0"/>
    <n v="0"/>
    <n v="0"/>
    <n v="0"/>
    <n v="0"/>
    <n v="0"/>
    <n v="0"/>
    <n v="0"/>
    <n v="0"/>
    <n v="0"/>
    <n v="0"/>
    <n v="0"/>
    <n v="0"/>
    <n v="0"/>
    <m/>
    <m/>
    <m/>
    <m/>
    <m/>
    <m/>
    <m/>
    <m/>
    <m/>
    <m/>
    <m/>
    <m/>
    <m/>
    <m/>
    <m/>
    <m/>
    <m/>
    <m/>
    <m/>
    <m/>
    <m/>
    <m/>
    <m/>
    <m/>
    <m/>
    <m/>
    <m/>
    <m/>
    <m/>
    <m/>
    <m/>
    <m/>
    <m/>
    <m/>
    <m/>
    <m/>
    <m/>
    <m/>
    <m/>
    <m/>
    <m/>
    <m/>
    <m/>
    <m/>
    <m/>
    <m/>
    <m/>
    <m/>
    <m/>
  </r>
  <r>
    <n v="743"/>
    <d v="2025-02-21T00:00:00"/>
    <s v="ZBTO"/>
    <n v="9518539704"/>
    <n v="1"/>
    <s v="9518539704-1"/>
    <s v="No Priority"/>
    <x v="0"/>
    <m/>
    <x v="4"/>
    <x v="5"/>
    <s v="1000-IPPE"/>
    <m/>
    <x v="0"/>
    <m/>
    <s v="Centre slit HR not available"/>
    <m/>
    <s v="South"/>
    <s v="ZAHIRABAD"/>
    <m/>
    <n v="188152"/>
    <x v="102"/>
    <n v="3893161"/>
    <s v="GL COIL HARD  Y550GL HGL6 0.940X1160"/>
    <s v="AZ150"/>
    <s v=""/>
    <n v="8"/>
    <n v="12"/>
    <m/>
    <s v="B04"/>
    <s v="Y550GL"/>
    <s v="HGL6"/>
    <n v="0.94"/>
    <n v="1160"/>
    <n v="0"/>
    <n v="162"/>
    <n v="0"/>
    <n v="162"/>
    <n v="162"/>
    <n v="162"/>
    <n v="162"/>
    <n v="0"/>
    <n v="0"/>
    <n v="0"/>
    <n v="0"/>
    <n v="0"/>
    <n v="0"/>
    <n v="0"/>
    <n v="0"/>
    <n v="0"/>
    <n v="0"/>
    <n v="0"/>
    <n v="0"/>
    <n v="0"/>
    <n v="0"/>
    <n v="0"/>
    <n v="0"/>
    <n v="0"/>
    <n v="0"/>
    <n v="0"/>
    <n v="0"/>
    <n v="0"/>
    <n v="0"/>
    <n v="0"/>
    <m/>
    <m/>
    <m/>
    <m/>
    <m/>
    <m/>
    <m/>
    <m/>
    <m/>
    <m/>
    <m/>
    <m/>
    <m/>
    <m/>
    <m/>
    <m/>
    <m/>
    <m/>
    <m/>
    <m/>
    <m/>
    <m/>
    <m/>
    <m/>
    <m/>
    <m/>
    <m/>
    <m/>
    <m/>
    <m/>
    <m/>
    <m/>
    <m/>
    <m/>
    <m/>
    <m/>
    <m/>
    <m/>
    <m/>
    <m/>
    <m/>
    <m/>
    <m/>
    <m/>
    <m/>
    <m/>
    <m/>
    <m/>
    <m/>
  </r>
  <r>
    <n v="742"/>
    <d v="2025-03-20T00:00:00"/>
    <s v="ZBTO"/>
    <n v="9518617308"/>
    <n v="1"/>
    <s v="9518617308-1"/>
    <s v="No Priority"/>
    <x v="0"/>
    <m/>
    <x v="1"/>
    <x v="1"/>
    <s v="2000-BPRS"/>
    <m/>
    <x v="0"/>
    <m/>
    <m/>
    <m/>
    <s v="North"/>
    <s v="FARIDABAD"/>
    <m/>
    <n v="144917"/>
    <x v="70"/>
    <n v="1804814"/>
    <s v="CRCA COIL TATXXD AU03 0.8X1250"/>
    <s v=" "/>
    <s v=""/>
    <n v="10"/>
    <n v="30"/>
    <m/>
    <s v="C01"/>
    <s v="TATXXD"/>
    <s v="AU03"/>
    <n v="0.8"/>
    <n v="1250"/>
    <n v="0"/>
    <n v="29"/>
    <n v="0"/>
    <n v="29"/>
    <n v="29"/>
    <n v="1.5500000000000007"/>
    <n v="29"/>
    <n v="0"/>
    <n v="0"/>
    <n v="0"/>
    <n v="0"/>
    <n v="0"/>
    <n v="0"/>
    <n v="0"/>
    <n v="0"/>
    <n v="0"/>
    <n v="0"/>
    <n v="0"/>
    <n v="0"/>
    <n v="27.45"/>
    <n v="0"/>
    <n v="0"/>
    <n v="0"/>
    <n v="0"/>
    <n v="0"/>
    <n v="0"/>
    <n v="27.45"/>
    <n v="27.45"/>
    <n v="0"/>
    <n v="27.45"/>
    <m/>
    <m/>
    <m/>
    <m/>
    <m/>
    <m/>
    <m/>
    <m/>
    <m/>
    <m/>
    <m/>
    <m/>
    <m/>
    <m/>
    <m/>
    <m/>
    <m/>
    <m/>
    <m/>
    <m/>
    <m/>
    <m/>
    <m/>
    <m/>
    <m/>
    <m/>
    <m/>
    <m/>
    <m/>
    <m/>
    <m/>
    <m/>
    <m/>
    <m/>
    <m/>
    <m/>
    <m/>
    <m/>
    <m/>
    <m/>
    <m/>
    <m/>
    <m/>
    <m/>
    <m/>
    <m/>
    <m/>
    <m/>
    <m/>
  </r>
  <r>
    <n v="742"/>
    <d v="2025-03-20T00:00:00"/>
    <s v="ZBTO"/>
    <n v="9518617308"/>
    <n v="5"/>
    <s v="9518617308-5"/>
    <s v="No Priority"/>
    <x v="0"/>
    <m/>
    <x v="1"/>
    <x v="1"/>
    <s v="2000-BPRS"/>
    <m/>
    <x v="0"/>
    <m/>
    <m/>
    <m/>
    <s v="North"/>
    <s v="FARIDABAD"/>
    <m/>
    <n v="144917"/>
    <x v="70"/>
    <n v="1804867"/>
    <s v="CRCA COIL-TATXXD-AU03-1.6X1250"/>
    <s v=" "/>
    <s v=""/>
    <n v="10"/>
    <n v="30"/>
    <m/>
    <s v="C01"/>
    <s v="TATXXD"/>
    <s v="AU03"/>
    <n v="1.6"/>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2-19T00:00:00"/>
    <s v="ZBTO"/>
    <n v="9518533596"/>
    <n v="5"/>
    <s v="9518533596-5"/>
    <s v="May'25"/>
    <x v="0"/>
    <s v="Yes"/>
    <x v="1"/>
    <x v="11"/>
    <s v="2000-BPRS"/>
    <m/>
    <x v="1"/>
    <m/>
    <m/>
    <m/>
    <s v="East"/>
    <s v="JSR"/>
    <m/>
    <n v="155536"/>
    <x v="0"/>
    <n v="2420540"/>
    <s v="CRCA COIL TATXXD AH03 2.500X1250"/>
    <s v=" "/>
    <s v=""/>
    <n v="13"/>
    <n v="29"/>
    <m/>
    <s v="C01"/>
    <s v="TATXXD"/>
    <s v="AH03"/>
    <n v="2.5"/>
    <n v="1250"/>
    <n v="0"/>
    <n v="87"/>
    <n v="0"/>
    <n v="87"/>
    <n v="87"/>
    <n v="87"/>
    <n v="87"/>
    <n v="0"/>
    <n v="0"/>
    <n v="0"/>
    <n v="0"/>
    <n v="0"/>
    <n v="0"/>
    <n v="0"/>
    <n v="0"/>
    <n v="0"/>
    <n v="0"/>
    <n v="0"/>
    <n v="0"/>
    <n v="0"/>
    <n v="0"/>
    <n v="0"/>
    <n v="0"/>
    <n v="0"/>
    <n v="0"/>
    <n v="0"/>
    <n v="0"/>
    <n v="0"/>
    <n v="0"/>
    <n v="0"/>
    <m/>
    <m/>
    <m/>
    <m/>
    <m/>
    <m/>
    <m/>
    <m/>
    <m/>
    <m/>
    <m/>
    <m/>
    <m/>
    <m/>
    <m/>
    <m/>
    <m/>
    <m/>
    <m/>
    <m/>
    <m/>
    <m/>
    <m/>
    <m/>
    <m/>
    <m/>
    <m/>
    <m/>
    <m/>
    <m/>
    <m/>
    <m/>
    <m/>
    <m/>
    <m/>
    <m/>
    <m/>
    <m/>
    <m/>
    <m/>
    <m/>
    <m/>
    <m/>
    <m/>
    <m/>
    <m/>
    <m/>
    <m/>
    <m/>
  </r>
  <r>
    <n v="742"/>
    <d v="2025-03-21T00:00:00"/>
    <s v="ZBTO"/>
    <n v="9518620941"/>
    <n v="1"/>
    <s v="9518620941-1"/>
    <s v="No Priority"/>
    <x v="0"/>
    <m/>
    <x v="1"/>
    <x v="11"/>
    <s v="3000-IPPE"/>
    <m/>
    <x v="0"/>
    <m/>
    <m/>
    <m/>
    <s v="South"/>
    <s v="CHENNAI"/>
    <m/>
    <n v="934796"/>
    <x v="0"/>
    <n v="2420518"/>
    <s v="CRCA COIL TATXXD AH03 1X1250"/>
    <s v=" "/>
    <s v=""/>
    <n v="7"/>
    <n v="26"/>
    <m/>
    <s v="C01"/>
    <s v="TATXXD"/>
    <s v="AH03"/>
    <n v="1"/>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2-20T00:00:00"/>
    <s v="ZBTO"/>
    <n v="9518535833"/>
    <n v="17"/>
    <s v="9518535833-17"/>
    <s v="May'25"/>
    <x v="0"/>
    <s v="Yes"/>
    <x v="1"/>
    <x v="1"/>
    <s v="2000-BPRS"/>
    <m/>
    <x v="1"/>
    <m/>
    <m/>
    <m/>
    <s v="South"/>
    <s v="CHENNAI"/>
    <m/>
    <n v="938550"/>
    <x v="4"/>
    <n v="1804854"/>
    <s v="CRCA COIL-TATXXD-AU03-1.2X1250"/>
    <s v=" "/>
    <s v=""/>
    <n v="6"/>
    <n v="18"/>
    <m/>
    <s v="C01"/>
    <s v="TATXXD"/>
    <s v="AU03"/>
    <n v="1.2"/>
    <n v="1250"/>
    <n v="0"/>
    <n v="57.99"/>
    <n v="38.090000000000003"/>
    <n v="19.899999999999999"/>
    <n v="19.899999999999999"/>
    <n v="19.899999999999999"/>
    <n v="19.899999999999999"/>
    <n v="0"/>
    <n v="0"/>
    <n v="0"/>
    <n v="0"/>
    <n v="0"/>
    <n v="0"/>
    <n v="0"/>
    <n v="0"/>
    <n v="0"/>
    <n v="0"/>
    <n v="0"/>
    <n v="0"/>
    <n v="0"/>
    <n v="0"/>
    <n v="0"/>
    <n v="0"/>
    <n v="0"/>
    <n v="0"/>
    <n v="0"/>
    <n v="0"/>
    <n v="0"/>
    <n v="0"/>
    <n v="0"/>
    <m/>
    <m/>
    <m/>
    <m/>
    <m/>
    <m/>
    <m/>
    <m/>
    <m/>
    <m/>
    <m/>
    <m/>
    <m/>
    <m/>
    <m/>
    <m/>
    <m/>
    <m/>
    <m/>
    <m/>
    <m/>
    <m/>
    <m/>
    <m/>
    <m/>
    <m/>
    <m/>
    <m/>
    <m/>
    <m/>
    <m/>
    <m/>
    <m/>
    <m/>
    <m/>
    <m/>
    <m/>
    <m/>
    <m/>
    <m/>
    <m/>
    <m/>
    <m/>
    <m/>
    <m/>
    <m/>
    <m/>
    <m/>
    <m/>
  </r>
  <r>
    <n v="742"/>
    <d v="2025-02-13T00:00:00"/>
    <s v="ZBTO"/>
    <n v="9518517048"/>
    <n v="1"/>
    <s v="9518517048-1"/>
    <s v="May'25"/>
    <x v="0"/>
    <s v="Yes"/>
    <x v="1"/>
    <x v="1"/>
    <s v="2000-BPRS"/>
    <m/>
    <x v="1"/>
    <m/>
    <m/>
    <m/>
    <s v="East"/>
    <s v="TATANAGAR"/>
    <m/>
    <n v="165053"/>
    <x v="5"/>
    <n v="1804772"/>
    <s v="CRCA COIL TATXXD AU03 0.4X1250"/>
    <s v=" "/>
    <s v=""/>
    <n v="20"/>
    <n v="29"/>
    <m/>
    <s v="C01"/>
    <s v="TATXXD"/>
    <s v="AU03"/>
    <n v="0.4"/>
    <n v="1250"/>
    <n v="0"/>
    <n v="87"/>
    <n v="50.064999999999998"/>
    <n v="36.935000000000002"/>
    <n v="36.935000000000002"/>
    <n v="36.935000000000002"/>
    <n v="36.935000000000002"/>
    <n v="0"/>
    <n v="0"/>
    <n v="0"/>
    <n v="0"/>
    <n v="0"/>
    <n v="0"/>
    <n v="0"/>
    <n v="0"/>
    <n v="0"/>
    <n v="0"/>
    <n v="0"/>
    <n v="0"/>
    <n v="0"/>
    <n v="0"/>
    <n v="0"/>
    <n v="0"/>
    <n v="0"/>
    <n v="0"/>
    <n v="0"/>
    <n v="0"/>
    <n v="0"/>
    <n v="0"/>
    <n v="0"/>
    <m/>
    <m/>
    <m/>
    <m/>
    <m/>
    <m/>
    <m/>
    <m/>
    <m/>
    <m/>
    <m/>
    <m/>
    <m/>
    <m/>
    <m/>
    <m/>
    <m/>
    <m/>
    <m/>
    <m/>
    <m/>
    <m/>
    <m/>
    <m/>
    <m/>
    <m/>
    <m/>
    <m/>
    <m/>
    <m/>
    <m/>
    <m/>
    <m/>
    <m/>
    <m/>
    <m/>
    <m/>
    <m/>
    <m/>
    <m/>
    <m/>
    <m/>
    <m/>
    <m/>
    <m/>
    <m/>
    <m/>
    <m/>
    <m/>
  </r>
  <r>
    <n v="743"/>
    <d v="2025-02-13T00:00:00"/>
    <s v="ZBTO"/>
    <n v="9518516044"/>
    <n v="4"/>
    <s v="9518516044-4"/>
    <s v="No Priority"/>
    <x v="0"/>
    <m/>
    <x v="3"/>
    <x v="9"/>
    <s v="2000-BPRS"/>
    <m/>
    <x v="0"/>
    <m/>
    <m/>
    <m/>
    <s v="North"/>
    <s v="LONI"/>
    <m/>
    <n v="931235"/>
    <x v="32"/>
    <n v="1191955"/>
    <s v="GP COIL SOFT-TATXGP-GK09-0.3X900"/>
    <s v="Z80"/>
    <s v=""/>
    <n v="4"/>
    <n v="6"/>
    <m/>
    <s v="C02"/>
    <s v="TATXGP"/>
    <s v="GK09"/>
    <n v="0.3"/>
    <n v="900"/>
    <n v="0"/>
    <n v="105"/>
    <n v="0"/>
    <n v="105"/>
    <n v="105"/>
    <n v="105"/>
    <n v="105"/>
    <n v="0"/>
    <n v="0"/>
    <n v="0"/>
    <n v="0"/>
    <n v="0"/>
    <n v="0"/>
    <n v="0"/>
    <n v="0"/>
    <n v="0"/>
    <n v="0"/>
    <n v="0"/>
    <n v="0"/>
    <n v="0"/>
    <n v="0"/>
    <n v="0"/>
    <n v="0"/>
    <n v="0"/>
    <n v="0"/>
    <n v="0"/>
    <n v="0"/>
    <n v="0"/>
    <n v="0"/>
    <n v="0"/>
    <m/>
    <m/>
    <m/>
    <m/>
    <m/>
    <m/>
    <m/>
    <m/>
    <m/>
    <m/>
    <m/>
    <m/>
    <m/>
    <m/>
    <m/>
    <m/>
    <m/>
    <m/>
    <m/>
    <m/>
    <m/>
    <m/>
    <m/>
    <m/>
    <m/>
    <m/>
    <m/>
    <m/>
    <m/>
    <m/>
    <m/>
    <m/>
    <m/>
    <m/>
    <m/>
    <m/>
    <m/>
    <m/>
    <m/>
    <m/>
    <m/>
    <m/>
    <m/>
    <m/>
    <m/>
    <m/>
    <m/>
    <m/>
    <m/>
  </r>
  <r>
    <n v="744"/>
    <d v="2025-02-22T00:00:00"/>
    <s v="ZBTO"/>
    <n v="9518543214"/>
    <n v="9"/>
    <s v="9518543214-9"/>
    <s v="No Priority"/>
    <x v="0"/>
    <m/>
    <x v="2"/>
    <x v="3"/>
    <s v="1000-IPPE"/>
    <m/>
    <x v="0"/>
    <m/>
    <m/>
    <m/>
    <s v="TBSPL"/>
    <s v="GAMHARIA"/>
    <m/>
    <n v="940016"/>
    <x v="15"/>
    <n v="3900141"/>
    <s v="PPGL C Y550 ISC6 0.43BMT(0.48TPT)X1220"/>
    <s v="aZ70"/>
    <s v="PRO PEARL TSL 1918"/>
    <n v="3"/>
    <n v="5"/>
    <m/>
    <s v="B18"/>
    <s v="Y550PL"/>
    <s v="ISC6"/>
    <n v="0.43"/>
    <n v="1220"/>
    <n v="0"/>
    <n v="28"/>
    <n v="0"/>
    <n v="28"/>
    <n v="-0.02"/>
    <n v="0"/>
    <n v="1.0900000000000001"/>
    <n v="0"/>
    <n v="0"/>
    <n v="0"/>
    <n v="0"/>
    <n v="0"/>
    <n v="0"/>
    <n v="0"/>
    <n v="0"/>
    <n v="0"/>
    <n v="0"/>
    <n v="0"/>
    <n v="0"/>
    <n v="0"/>
    <n v="0"/>
    <n v="0"/>
    <n v="0"/>
    <n v="0"/>
    <n v="0"/>
    <n v="0"/>
    <n v="0"/>
    <n v="0"/>
    <n v="0"/>
    <n v="0"/>
    <m/>
    <m/>
    <m/>
    <m/>
    <m/>
    <m/>
    <m/>
    <m/>
    <m/>
    <m/>
    <m/>
    <m/>
    <m/>
    <m/>
    <m/>
    <m/>
    <m/>
    <m/>
    <m/>
    <m/>
    <m/>
    <m/>
    <m/>
    <m/>
    <m/>
    <m/>
    <m/>
    <m/>
    <m/>
    <m/>
    <m/>
    <m/>
    <m/>
    <m/>
    <m/>
    <m/>
    <m/>
    <m/>
    <m/>
    <m/>
    <m/>
    <m/>
    <m/>
    <m/>
    <m/>
    <m/>
    <m/>
    <m/>
    <m/>
  </r>
  <r>
    <n v="742"/>
    <d v="2025-02-04T00:00:00"/>
    <s v="ZBTO"/>
    <n v="9518492304"/>
    <n v="1"/>
    <s v="9518492304-1"/>
    <s v="No Priority"/>
    <x v="0"/>
    <m/>
    <x v="1"/>
    <x v="16"/>
    <s v="2000-BPRS"/>
    <m/>
    <x v="0"/>
    <m/>
    <m/>
    <m/>
    <s v="West"/>
    <s v="MORIYA"/>
    <m/>
    <n v="940707"/>
    <x v="98"/>
    <n v="2279429"/>
    <s v="CRCA COIL TATXXD BT02 0.900X914"/>
    <s v=" "/>
    <s v=""/>
    <n v="8"/>
    <n v="10"/>
    <m/>
    <s v="C01"/>
    <s v="TATXXD"/>
    <s v="BT02"/>
    <n v="0.9"/>
    <n v="914"/>
    <n v="0"/>
    <n v="63"/>
    <n v="18.489999999999998"/>
    <n v="44.51"/>
    <n v="44.51"/>
    <n v="44.51"/>
    <n v="44.51"/>
    <n v="0"/>
    <n v="0"/>
    <n v="0"/>
    <n v="0"/>
    <n v="0"/>
    <n v="0"/>
    <n v="0"/>
    <n v="0"/>
    <n v="0"/>
    <n v="0"/>
    <n v="0"/>
    <n v="0"/>
    <n v="0"/>
    <n v="0"/>
    <n v="0"/>
    <n v="0"/>
    <n v="0"/>
    <n v="0"/>
    <n v="0"/>
    <n v="0"/>
    <n v="0"/>
    <n v="0"/>
    <n v="0"/>
    <m/>
    <m/>
    <m/>
    <m/>
    <m/>
    <m/>
    <m/>
    <m/>
    <m/>
    <m/>
    <m/>
    <m/>
    <m/>
    <m/>
    <m/>
    <m/>
    <m/>
    <m/>
    <m/>
    <m/>
    <m/>
    <m/>
    <m/>
    <m/>
    <m/>
    <m/>
    <m/>
    <m/>
    <m/>
    <m/>
    <m/>
    <m/>
    <m/>
    <m/>
    <m/>
    <m/>
    <m/>
    <m/>
    <m/>
    <m/>
    <m/>
    <m/>
    <m/>
    <m/>
    <m/>
    <m/>
    <m/>
    <m/>
    <m/>
  </r>
  <r>
    <n v="743"/>
    <d v="2025-02-05T00:00:00"/>
    <s v="ZBTO"/>
    <n v="9518495509"/>
    <n v="5"/>
    <s v="9518495509-5"/>
    <s v="No Priority"/>
    <x v="0"/>
    <m/>
    <x v="3"/>
    <x v="9"/>
    <s v="2000-BPRS"/>
    <m/>
    <x v="0"/>
    <m/>
    <m/>
    <m/>
    <s v="North"/>
    <s v="KANPUR"/>
    <m/>
    <n v="933952"/>
    <x v="50"/>
    <n v="1854424"/>
    <s v="GP COIL SOFT-TATXGP-GK09-0.6X900"/>
    <s v="Z80"/>
    <s v=""/>
    <n v="3.2"/>
    <n v="5"/>
    <m/>
    <s v="C02"/>
    <s v="TATXGP"/>
    <s v="GK09"/>
    <n v="0.6"/>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3-04T00:00:00"/>
    <s v="ZBTO"/>
    <n v="9518572041"/>
    <n v="2"/>
    <s v="9518572041-2"/>
    <s v="No Priority"/>
    <x v="0"/>
    <m/>
    <x v="3"/>
    <x v="0"/>
    <s v="2000-BPRS"/>
    <m/>
    <x v="0"/>
    <m/>
    <m/>
    <m/>
    <s v="East"/>
    <s v="TATANAGAR"/>
    <m/>
    <n v="165053"/>
    <x v="5"/>
    <n v="1851836"/>
    <s v="GP COIL SOFT-TSBXGP-N1GP-0.3X900"/>
    <s v="Z80"/>
    <s v=""/>
    <n v="4"/>
    <n v="12"/>
    <m/>
    <s v="C02"/>
    <s v="TSBXGP"/>
    <s v="N1GP"/>
    <n v="0.3"/>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2-11T00:00:00"/>
    <s v="ZBTO"/>
    <n v="9518510093"/>
    <n v="6"/>
    <s v="9518510093-6"/>
    <s v="No Priority"/>
    <x v="0"/>
    <m/>
    <x v="1"/>
    <x v="1"/>
    <s v="2000-BPRS"/>
    <m/>
    <x v="0"/>
    <m/>
    <m/>
    <m/>
    <s v="North"/>
    <s v="LONI"/>
    <m/>
    <n v="101499"/>
    <x v="48"/>
    <n v="1801456"/>
    <s v="CRCA COIL-TATXXD-AU03-0.7X1250"/>
    <s v=" "/>
    <s v=""/>
    <n v="10"/>
    <n v="30"/>
    <m/>
    <s v="C01"/>
    <s v="TATXXD"/>
    <s v="AU03"/>
    <n v="0.7"/>
    <n v="1250"/>
    <n v="0"/>
    <n v="58"/>
    <n v="13.095000000000001"/>
    <n v="44.905000000000001"/>
    <n v="44.905000000000001"/>
    <n v="44.905000000000001"/>
    <n v="44.905000000000001"/>
    <n v="0"/>
    <n v="0"/>
    <n v="0"/>
    <n v="0"/>
    <n v="0"/>
    <n v="0"/>
    <n v="0"/>
    <n v="0"/>
    <n v="0"/>
    <n v="0"/>
    <n v="0"/>
    <n v="0"/>
    <n v="0"/>
    <n v="0"/>
    <n v="0"/>
    <n v="0"/>
    <n v="0"/>
    <n v="0"/>
    <n v="0"/>
    <n v="0"/>
    <n v="0"/>
    <n v="0"/>
    <n v="0"/>
    <m/>
    <m/>
    <m/>
    <m/>
    <m/>
    <m/>
    <m/>
    <m/>
    <m/>
    <m/>
    <m/>
    <m/>
    <m/>
    <m/>
    <m/>
    <m/>
    <m/>
    <m/>
    <m/>
    <m/>
    <m/>
    <m/>
    <m/>
    <m/>
    <m/>
    <m/>
    <m/>
    <m/>
    <m/>
    <m/>
    <m/>
    <m/>
    <m/>
    <m/>
    <m/>
    <m/>
    <m/>
    <m/>
    <m/>
    <m/>
    <m/>
    <m/>
    <m/>
    <m/>
    <m/>
    <m/>
    <m/>
    <m/>
    <m/>
  </r>
  <r>
    <n v="742"/>
    <d v="2025-02-06T00:00:00"/>
    <s v="ZBTO"/>
    <n v="9518497626"/>
    <n v="22"/>
    <s v="9518497626-22"/>
    <s v="May'25"/>
    <x v="0"/>
    <s v="Yes"/>
    <x v="1"/>
    <x v="1"/>
    <s v="2000-BPRS"/>
    <m/>
    <x v="1"/>
    <m/>
    <m/>
    <m/>
    <s v="South"/>
    <s v="VISHAKHAPATNAM"/>
    <m/>
    <n v="946077"/>
    <x v="8"/>
    <n v="194544"/>
    <s v="CRSHEET TATXXD AU03 1.50X1250X2500"/>
    <s v=" "/>
    <s v=""/>
    <n v="0"/>
    <n v="0"/>
    <m/>
    <s v="C06"/>
    <s v="TATXXD"/>
    <s v="AU03"/>
    <n v="1.5"/>
    <n v="1250"/>
    <n v="2500"/>
    <n v="27"/>
    <n v="0"/>
    <n v="27"/>
    <n v="27"/>
    <n v="27"/>
    <n v="27"/>
    <n v="0"/>
    <n v="0"/>
    <n v="0"/>
    <n v="0"/>
    <n v="0"/>
    <n v="0"/>
    <n v="0"/>
    <n v="0"/>
    <n v="0"/>
    <n v="0"/>
    <n v="0"/>
    <n v="0"/>
    <n v="0"/>
    <n v="0"/>
    <n v="0"/>
    <n v="0"/>
    <n v="0"/>
    <n v="0"/>
    <n v="0"/>
    <n v="0"/>
    <n v="0"/>
    <n v="0"/>
    <n v="0"/>
    <m/>
    <m/>
    <m/>
    <m/>
    <m/>
    <m/>
    <m/>
    <m/>
    <m/>
    <m/>
    <m/>
    <m/>
    <m/>
    <m/>
    <m/>
    <m/>
    <m/>
    <m/>
    <m/>
    <m/>
    <m/>
    <m/>
    <m/>
    <m/>
    <m/>
    <m/>
    <m/>
    <m/>
    <m/>
    <m/>
    <m/>
    <m/>
    <m/>
    <m/>
    <m/>
    <m/>
    <m/>
    <m/>
    <m/>
    <m/>
    <m/>
    <m/>
    <m/>
    <m/>
    <m/>
    <m/>
    <m/>
    <m/>
    <m/>
  </r>
  <r>
    <n v="742"/>
    <d v="2025-02-20T00:00:00"/>
    <s v="ZBTO"/>
    <n v="9518535833"/>
    <n v="9"/>
    <s v="9518535833-9"/>
    <s v="May'25"/>
    <x v="0"/>
    <s v="Yes"/>
    <x v="1"/>
    <x v="1"/>
    <s v="2000-BPRS"/>
    <m/>
    <x v="1"/>
    <m/>
    <m/>
    <m/>
    <s v="South"/>
    <s v="CHENNAI"/>
    <m/>
    <n v="938550"/>
    <x v="4"/>
    <n v="1801286"/>
    <s v="CRCA COIL-TATXXD-AU03-0.6X1000"/>
    <s v=" "/>
    <s v=""/>
    <n v="6"/>
    <n v="18"/>
    <m/>
    <s v="C01"/>
    <s v="TATXXD"/>
    <s v="AU03"/>
    <n v="0.6"/>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2-20T00:00:00"/>
    <s v="ZBTO"/>
    <n v="9518535833"/>
    <n v="11"/>
    <s v="9518535833-11"/>
    <s v="No Priority"/>
    <x v="0"/>
    <s v="Yes"/>
    <x v="1"/>
    <x v="1"/>
    <s v="2000-BPRS"/>
    <m/>
    <x v="0"/>
    <m/>
    <m/>
    <m/>
    <s v="South"/>
    <s v="CHENNAI"/>
    <m/>
    <n v="938550"/>
    <x v="4"/>
    <n v="3931386"/>
    <s v="CR COIL TATXXD AU03 0.700X925"/>
    <s v=" "/>
    <s v=""/>
    <n v="6"/>
    <n v="18"/>
    <m/>
    <s v="C01"/>
    <s v="TATXXD"/>
    <s v="AU03"/>
    <n v="0.7"/>
    <n v="925"/>
    <n v="0"/>
    <n v="63"/>
    <n v="0"/>
    <n v="63"/>
    <n v="63"/>
    <n v="63"/>
    <n v="63"/>
    <n v="0"/>
    <n v="0"/>
    <n v="0"/>
    <n v="0"/>
    <n v="0"/>
    <n v="0"/>
    <n v="0"/>
    <n v="0"/>
    <n v="0"/>
    <n v="0"/>
    <n v="0"/>
    <n v="0"/>
    <n v="0"/>
    <n v="0"/>
    <n v="0"/>
    <n v="0"/>
    <n v="0"/>
    <n v="0"/>
    <n v="0"/>
    <n v="0"/>
    <n v="0"/>
    <n v="0"/>
    <n v="0"/>
    <m/>
    <m/>
    <m/>
    <m/>
    <m/>
    <m/>
    <m/>
    <m/>
    <m/>
    <m/>
    <m/>
    <m/>
    <m/>
    <m/>
    <m/>
    <m/>
    <m/>
    <m/>
    <m/>
    <m/>
    <m/>
    <m/>
    <m/>
    <m/>
    <m/>
    <m/>
    <m/>
    <m/>
    <m/>
    <m/>
    <m/>
    <m/>
    <m/>
    <m/>
    <m/>
    <m/>
    <m/>
    <m/>
    <m/>
    <m/>
    <m/>
    <m/>
    <m/>
    <m/>
    <m/>
    <m/>
    <m/>
    <m/>
    <m/>
  </r>
  <r>
    <n v="742"/>
    <d v="2025-02-20T00:00:00"/>
    <s v="ZBTO"/>
    <n v="9518535833"/>
    <n v="12"/>
    <s v="9518535833-12"/>
    <s v="No Priority"/>
    <x v="0"/>
    <s v="Yes"/>
    <x v="1"/>
    <x v="1"/>
    <s v="2000-BPRS"/>
    <m/>
    <x v="0"/>
    <m/>
    <m/>
    <m/>
    <s v="South"/>
    <s v="CHENNAI"/>
    <m/>
    <n v="938550"/>
    <x v="4"/>
    <n v="3513392"/>
    <s v="CR COIL TATXXD AU03 0.800X925"/>
    <s v=" "/>
    <s v=""/>
    <n v="6"/>
    <n v="18"/>
    <m/>
    <s v="C01"/>
    <s v="TATXXD"/>
    <s v="AU03"/>
    <n v="0.8"/>
    <n v="925"/>
    <n v="0"/>
    <n v="63"/>
    <n v="0"/>
    <n v="63"/>
    <n v="63"/>
    <n v="63"/>
    <n v="63"/>
    <n v="0"/>
    <n v="0"/>
    <n v="0"/>
    <n v="0"/>
    <n v="0"/>
    <n v="0"/>
    <n v="0"/>
    <n v="0"/>
    <n v="0"/>
    <n v="0"/>
    <n v="0"/>
    <n v="0"/>
    <n v="0"/>
    <n v="0"/>
    <n v="0"/>
    <n v="0"/>
    <n v="0"/>
    <n v="0"/>
    <n v="0"/>
    <n v="0"/>
    <n v="0"/>
    <n v="0"/>
    <n v="0"/>
    <m/>
    <m/>
    <m/>
    <m/>
    <m/>
    <m/>
    <m/>
    <m/>
    <m/>
    <m/>
    <m/>
    <m/>
    <m/>
    <m/>
    <m/>
    <m/>
    <m/>
    <m/>
    <m/>
    <m/>
    <m/>
    <m/>
    <m/>
    <m/>
    <m/>
    <m/>
    <m/>
    <m/>
    <m/>
    <m/>
    <m/>
    <m/>
    <m/>
    <m/>
    <m/>
    <m/>
    <m/>
    <m/>
    <m/>
    <m/>
    <m/>
    <m/>
    <m/>
    <m/>
    <m/>
    <m/>
    <m/>
    <m/>
    <m/>
  </r>
  <r>
    <n v="743"/>
    <d v="2025-02-25T00:00:00"/>
    <s v="ZBTO"/>
    <n v="9518550430"/>
    <n v="1"/>
    <s v="9518550430-1"/>
    <s v="May'25"/>
    <x v="0"/>
    <m/>
    <x v="4"/>
    <x v="3"/>
    <s v="1000-IPPE"/>
    <m/>
    <x v="1"/>
    <m/>
    <m/>
    <m/>
    <s v="TBSPL"/>
    <s v=" "/>
    <m/>
    <n v="942283"/>
    <x v="6"/>
    <n v="1882004"/>
    <s v="GL C YS550 H6GL 0.55BMT(0.60TCT)X1220"/>
    <s v="AZ150"/>
    <s v=""/>
    <n v="3"/>
    <n v="5"/>
    <m/>
    <s v="B04"/>
    <s v="Y550GL"/>
    <s v="H6GL"/>
    <n v="0.55000000000000004"/>
    <n v="1220"/>
    <n v="0"/>
    <n v="28"/>
    <n v="0"/>
    <n v="28"/>
    <n v="28"/>
    <n v="18.91"/>
    <n v="28"/>
    <n v="0"/>
    <n v="0"/>
    <n v="0"/>
    <n v="0"/>
    <n v="0"/>
    <n v="0"/>
    <n v="0"/>
    <n v="0"/>
    <n v="0"/>
    <n v="0"/>
    <n v="0"/>
    <n v="0"/>
    <n v="0"/>
    <n v="0"/>
    <n v="0"/>
    <n v="0"/>
    <n v="0"/>
    <n v="9.09"/>
    <n v="0"/>
    <n v="9.09"/>
    <n v="9.09"/>
    <n v="0"/>
    <n v="9.09"/>
    <m/>
    <m/>
    <m/>
    <m/>
    <m/>
    <m/>
    <m/>
    <m/>
    <m/>
    <m/>
    <m/>
    <m/>
    <m/>
    <m/>
    <m/>
    <m/>
    <m/>
    <m/>
    <m/>
    <m/>
    <m/>
    <m/>
    <m/>
    <m/>
    <m/>
    <m/>
    <m/>
    <m/>
    <m/>
    <m/>
    <m/>
    <m/>
    <m/>
    <m/>
    <m/>
    <m/>
    <m/>
    <m/>
    <m/>
    <m/>
    <m/>
    <m/>
    <m/>
    <m/>
    <m/>
    <m/>
    <m/>
    <m/>
    <m/>
  </r>
  <r>
    <n v="742"/>
    <d v="2025-03-11T00:00:00"/>
    <s v="ZBTO"/>
    <n v="9518591774"/>
    <n v="15"/>
    <s v="9518591774-15"/>
    <s v="No Priority"/>
    <x v="0"/>
    <m/>
    <x v="1"/>
    <x v="1"/>
    <s v="2000-BPRS"/>
    <m/>
    <x v="0"/>
    <m/>
    <m/>
    <m/>
    <s v="North"/>
    <s v="ZOSOLA"/>
    <m/>
    <n v="936527"/>
    <x v="52"/>
    <n v="1804854"/>
    <s v="CRCA COIL-TATXXD-AU03-1.2X1250"/>
    <s v=" "/>
    <s v=""/>
    <n v="10"/>
    <n v="30"/>
    <m/>
    <s v="C01"/>
    <s v="TATXXD"/>
    <s v="AU03"/>
    <n v="1.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2-06T00:00:00"/>
    <s v="ZBTO"/>
    <n v="9518497626"/>
    <n v="9"/>
    <s v="9518497626-9"/>
    <s v="No Priority"/>
    <x v="0"/>
    <s v="Yes"/>
    <x v="1"/>
    <x v="2"/>
    <s v="2000-BPRS"/>
    <m/>
    <x v="0"/>
    <m/>
    <m/>
    <m/>
    <s v="South"/>
    <s v="VISHAKHAPATNAM"/>
    <m/>
    <n v="946077"/>
    <x v="8"/>
    <n v="3240765"/>
    <s v="CRCA SHEET TSBCRC SR15 0.500X1250X2500"/>
    <s v=" "/>
    <s v=""/>
    <n v="0"/>
    <n v="0"/>
    <m/>
    <s v="C06"/>
    <s v="TSBCRC"/>
    <s v="SR15"/>
    <n v="0.5"/>
    <n v="1250"/>
    <n v="2500"/>
    <n v="27"/>
    <n v="0"/>
    <n v="27"/>
    <n v="-0.62"/>
    <n v="0"/>
    <n v="0.52500000000000002"/>
    <n v="0"/>
    <n v="0"/>
    <n v="0"/>
    <n v="0"/>
    <n v="0"/>
    <n v="0"/>
    <n v="0"/>
    <n v="0"/>
    <n v="0"/>
    <n v="0"/>
    <n v="0"/>
    <n v="0"/>
    <n v="0"/>
    <n v="0"/>
    <n v="0"/>
    <n v="0"/>
    <n v="0"/>
    <n v="0"/>
    <n v="0"/>
    <n v="0"/>
    <n v="0"/>
    <n v="0"/>
    <n v="0"/>
    <m/>
    <m/>
    <m/>
    <m/>
    <m/>
    <m/>
    <m/>
    <m/>
    <m/>
    <m/>
    <m/>
    <m/>
    <m/>
    <m/>
    <m/>
    <m/>
    <m/>
    <m/>
    <m/>
    <m/>
    <m/>
    <m/>
    <m/>
    <m/>
    <m/>
    <m/>
    <m/>
    <m/>
    <m/>
    <m/>
    <m/>
    <m/>
    <m/>
    <m/>
    <m/>
    <m/>
    <m/>
    <m/>
    <m/>
    <m/>
    <m/>
    <m/>
    <m/>
    <m/>
    <m/>
    <m/>
    <m/>
    <m/>
    <m/>
  </r>
  <r>
    <n v="744"/>
    <d v="2025-02-15T00:00:00"/>
    <s v="ZBTO"/>
    <n v="9518522893"/>
    <n v="2"/>
    <s v="9518522893-2"/>
    <s v="May'25"/>
    <x v="0"/>
    <s v="Yes"/>
    <x v="2"/>
    <x v="3"/>
    <s v="1000-IPPE"/>
    <m/>
    <x v="1"/>
    <m/>
    <m/>
    <m/>
    <s v="TBSPL"/>
    <s v=" "/>
    <m/>
    <n v="941597"/>
    <x v="6"/>
    <n v="1633706"/>
    <s v="PPGL C Y550 HPL3 0.42BMT(0.50TPT)X1220"/>
    <s v="AZ150"/>
    <s v="SUPREME AGATE GREY TSL 644"/>
    <n v="3"/>
    <n v="5"/>
    <m/>
    <s v="B18"/>
    <s v="Y550PL"/>
    <s v="HPL3"/>
    <n v="0.42"/>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2-24T00:00:00"/>
    <s v="ZBTT"/>
    <n v="9518548608"/>
    <n v="1"/>
    <s v="9518548608-1"/>
    <s v="No Priority"/>
    <x v="0"/>
    <m/>
    <x v="3"/>
    <x v="4"/>
    <s v="2000-BPRS"/>
    <m/>
    <x v="0"/>
    <m/>
    <m/>
    <m/>
    <s v="East"/>
    <s v="PURNIA"/>
    <m/>
    <n v="931671"/>
    <x v="31"/>
    <n v="3953694"/>
    <s v="GP COIL TATXGP GP2T 0.250X1350"/>
    <s v="Z120"/>
    <s v=""/>
    <n v="1"/>
    <n v="5"/>
    <m/>
    <s v="C05"/>
    <s v="TATXGP"/>
    <s v="GP2T"/>
    <n v="0.25"/>
    <n v="1350"/>
    <n v="0"/>
    <n v="31"/>
    <n v="0"/>
    <n v="31"/>
    <n v="31"/>
    <n v="31"/>
    <n v="0"/>
    <n v="0"/>
    <n v="0"/>
    <n v="0"/>
    <n v="0"/>
    <n v="0"/>
    <n v="0"/>
    <n v="0"/>
    <n v="0"/>
    <n v="0"/>
    <n v="0"/>
    <n v="0"/>
    <n v="0"/>
    <n v="0"/>
    <n v="0"/>
    <n v="0"/>
    <n v="0"/>
    <n v="0"/>
    <n v="0"/>
    <n v="0"/>
    <n v="0"/>
    <n v="0"/>
    <n v="0"/>
    <n v="0"/>
    <m/>
    <m/>
    <m/>
    <m/>
    <m/>
    <m/>
    <m/>
    <m/>
    <m/>
    <m/>
    <m/>
    <m/>
    <m/>
    <m/>
    <m/>
    <m/>
    <m/>
    <m/>
    <m/>
    <m/>
    <m/>
    <m/>
    <m/>
    <m/>
    <m/>
    <m/>
    <m/>
    <m/>
    <m/>
    <m/>
    <m/>
    <m/>
    <m/>
    <m/>
    <m/>
    <m/>
    <m/>
    <m/>
    <m/>
    <m/>
    <m/>
    <m/>
    <m/>
    <m/>
    <m/>
    <m/>
    <m/>
    <m/>
    <m/>
  </r>
  <r>
    <n v="743"/>
    <d v="2025-02-24T00:00:00"/>
    <s v="ZBTT"/>
    <n v="9518548608"/>
    <n v="2"/>
    <s v="9518548608-2"/>
    <s v="No Priority"/>
    <x v="0"/>
    <m/>
    <x v="3"/>
    <x v="4"/>
    <s v="2000-BPRS"/>
    <m/>
    <x v="0"/>
    <m/>
    <m/>
    <m/>
    <s v="East"/>
    <s v="PURNIA"/>
    <m/>
    <n v="931671"/>
    <x v="31"/>
    <n v="3953695"/>
    <s v="GP COIL TATXGP GP2T 0.300X1350"/>
    <s v="Z120"/>
    <s v=""/>
    <n v="1"/>
    <n v="5"/>
    <m/>
    <s v="C05"/>
    <s v="TATXGP"/>
    <s v="GP2T"/>
    <n v="0.3"/>
    <n v="1350"/>
    <n v="0"/>
    <n v="31"/>
    <n v="0"/>
    <n v="31"/>
    <n v="1.3"/>
    <n v="0"/>
    <n v="0"/>
    <n v="0"/>
    <n v="0"/>
    <n v="0"/>
    <n v="0"/>
    <n v="0"/>
    <n v="0"/>
    <n v="0"/>
    <n v="0"/>
    <n v="0"/>
    <n v="0"/>
    <n v="0"/>
    <n v="0"/>
    <n v="0"/>
    <n v="0"/>
    <n v="0"/>
    <n v="0"/>
    <n v="0"/>
    <n v="0"/>
    <n v="0"/>
    <n v="0"/>
    <n v="0"/>
    <n v="0"/>
    <n v="0"/>
    <m/>
    <m/>
    <m/>
    <m/>
    <m/>
    <m/>
    <m/>
    <m/>
    <m/>
    <m/>
    <m/>
    <m/>
    <m/>
    <m/>
    <m/>
    <m/>
    <m/>
    <m/>
    <m/>
    <m/>
    <m/>
    <m/>
    <m/>
    <m/>
    <m/>
    <m/>
    <m/>
    <m/>
    <m/>
    <m/>
    <m/>
    <m/>
    <m/>
    <m/>
    <m/>
    <m/>
    <m/>
    <m/>
    <m/>
    <m/>
    <m/>
    <m/>
    <m/>
    <m/>
    <m/>
    <m/>
    <m/>
    <m/>
    <m/>
  </r>
  <r>
    <n v="742"/>
    <d v="2025-02-20T00:00:00"/>
    <s v="ZBTO"/>
    <n v="9518534932"/>
    <n v="1"/>
    <s v="9518534932-1"/>
    <s v="No Priority"/>
    <x v="0"/>
    <s v="Yes"/>
    <x v="1"/>
    <x v="1"/>
    <s v="2000-BPRS"/>
    <m/>
    <x v="0"/>
    <m/>
    <m/>
    <m/>
    <s v="South"/>
    <s v="SANGAREDDY"/>
    <m/>
    <n v="947126"/>
    <x v="22"/>
    <n v="2398457"/>
    <s v="CRCA COIL TATXXD AU03 1X1320"/>
    <s v=" "/>
    <s v=""/>
    <n v="5"/>
    <n v="30"/>
    <m/>
    <s v="C01"/>
    <s v="TATXXD"/>
    <s v="AU03"/>
    <n v="1"/>
    <n v="1320"/>
    <n v="0"/>
    <n v="60"/>
    <n v="25.995000000000001"/>
    <n v="34.005000000000003"/>
    <n v="34.005000000000003"/>
    <n v="34.005000000000003"/>
    <n v="34.005000000000003"/>
    <n v="0"/>
    <n v="0"/>
    <n v="0"/>
    <n v="0"/>
    <n v="0"/>
    <n v="0"/>
    <n v="0"/>
    <n v="0"/>
    <n v="0"/>
    <n v="0"/>
    <n v="0"/>
    <n v="0"/>
    <n v="0"/>
    <n v="0"/>
    <n v="0"/>
    <n v="0"/>
    <n v="0"/>
    <n v="0"/>
    <n v="0"/>
    <n v="0"/>
    <n v="0"/>
    <n v="0"/>
    <n v="0"/>
    <m/>
    <m/>
    <m/>
    <m/>
    <m/>
    <m/>
    <m/>
    <m/>
    <m/>
    <m/>
    <m/>
    <m/>
    <m/>
    <m/>
    <m/>
    <m/>
    <m/>
    <m/>
    <m/>
    <m/>
    <m/>
    <m/>
    <m/>
    <m/>
    <m/>
    <m/>
    <m/>
    <m/>
    <m/>
    <m/>
    <m/>
    <m/>
    <m/>
    <m/>
    <m/>
    <m/>
    <m/>
    <m/>
    <m/>
    <m/>
    <m/>
    <m/>
    <m/>
    <m/>
    <m/>
    <m/>
    <m/>
    <m/>
    <m/>
  </r>
  <r>
    <n v="742"/>
    <d v="2025-02-20T00:00:00"/>
    <s v="ZBTO"/>
    <n v="9518534128"/>
    <n v="3"/>
    <s v="9518534128-3"/>
    <s v="No Priority"/>
    <x v="0"/>
    <m/>
    <x v="1"/>
    <x v="10"/>
    <s v="1000-IPPE"/>
    <m/>
    <x v="0"/>
    <m/>
    <m/>
    <m/>
    <s v="North"/>
    <s v="FARIDABAD"/>
    <m/>
    <n v="189430"/>
    <x v="41"/>
    <n v="2164800"/>
    <s v="CRCA COIL TATXXD BT02 0.970X913"/>
    <s v=" "/>
    <s v=""/>
    <n v="7"/>
    <n v="10"/>
    <m/>
    <s v="C01"/>
    <s v="TATXXD"/>
    <s v="BT02"/>
    <n v="0.97"/>
    <n v="913"/>
    <n v="0"/>
    <n v="130"/>
    <n v="90.875"/>
    <n v="39.125"/>
    <n v="39.125"/>
    <n v="39.125"/>
    <n v="39.125"/>
    <n v="0"/>
    <n v="0"/>
    <n v="0"/>
    <n v="0"/>
    <n v="0"/>
    <n v="0"/>
    <n v="0"/>
    <n v="0"/>
    <n v="0"/>
    <n v="0"/>
    <n v="0"/>
    <n v="0"/>
    <n v="0"/>
    <n v="0"/>
    <n v="0"/>
    <n v="0"/>
    <n v="0"/>
    <n v="0"/>
    <n v="0"/>
    <n v="0"/>
    <n v="0"/>
    <n v="0"/>
    <n v="0"/>
    <m/>
    <m/>
    <m/>
    <m/>
    <m/>
    <m/>
    <m/>
    <m/>
    <m/>
    <m/>
    <m/>
    <m/>
    <m/>
    <m/>
    <m/>
    <m/>
    <m/>
    <m/>
    <m/>
    <m/>
    <m/>
    <m/>
    <m/>
    <m/>
    <m/>
    <m/>
    <m/>
    <m/>
    <m/>
    <m/>
    <m/>
    <m/>
    <m/>
    <m/>
    <m/>
    <m/>
    <m/>
    <m/>
    <m/>
    <m/>
    <m/>
    <m/>
    <m/>
    <m/>
    <m/>
    <m/>
    <m/>
    <m/>
    <m/>
  </r>
  <r>
    <n v="743"/>
    <d v="2025-02-25T00:00:00"/>
    <s v="ZBTO"/>
    <n v="9518550672"/>
    <n v="2"/>
    <s v="9518550672-2"/>
    <s v="No Priority"/>
    <x v="0"/>
    <m/>
    <x v="4"/>
    <x v="10"/>
    <s v="1000-IPPE"/>
    <m/>
    <x v="0"/>
    <m/>
    <s v="No allocation for IPP"/>
    <m/>
    <s v="South"/>
    <s v="VINJAMURU"/>
    <m/>
    <n v="188750"/>
    <x v="76"/>
    <n v="3433440"/>
    <s v="GL COIL HARD  Y550GL H7GL 0.420X1235"/>
    <s v="aZ70"/>
    <s v=""/>
    <n v="6"/>
    <n v="20"/>
    <m/>
    <s v="B04"/>
    <s v="Y550GL"/>
    <s v="H7GL"/>
    <n v="0.42"/>
    <n v="1235"/>
    <n v="0"/>
    <n v="279.99"/>
    <n v="241.26"/>
    <n v="38.729999999999997"/>
    <n v="38.729999999999997"/>
    <n v="38.729999999999997"/>
    <n v="38.729999999999997"/>
    <n v="0"/>
    <n v="0"/>
    <n v="0"/>
    <n v="0"/>
    <n v="0"/>
    <n v="0"/>
    <n v="0"/>
    <n v="0"/>
    <n v="0"/>
    <n v="0"/>
    <n v="0"/>
    <n v="0"/>
    <n v="0"/>
    <n v="0"/>
    <n v="0"/>
    <n v="0"/>
    <n v="0"/>
    <n v="0"/>
    <n v="0"/>
    <n v="0"/>
    <n v="0"/>
    <n v="0"/>
    <n v="0"/>
    <m/>
    <m/>
    <m/>
    <m/>
    <m/>
    <m/>
    <m/>
    <m/>
    <m/>
    <m/>
    <m/>
    <m/>
    <m/>
    <m/>
    <m/>
    <m/>
    <m/>
    <m/>
    <m/>
    <m/>
    <m/>
    <m/>
    <m/>
    <m/>
    <m/>
    <m/>
    <m/>
    <m/>
    <m/>
    <m/>
    <m/>
    <m/>
    <m/>
    <m/>
    <m/>
    <m/>
    <m/>
    <m/>
    <m/>
    <m/>
    <m/>
    <m/>
    <m/>
    <m/>
    <m/>
    <m/>
    <m/>
    <m/>
    <m/>
  </r>
  <r>
    <n v="742"/>
    <d v="2025-02-24T00:00:00"/>
    <s v="ZBTF"/>
    <n v="9518546113"/>
    <n v="1"/>
    <s v="9518546113-1"/>
    <s v="May'25"/>
    <x v="0"/>
    <m/>
    <x v="1"/>
    <x v="7"/>
    <s v="1000-IPPE"/>
    <m/>
    <x v="1"/>
    <m/>
    <m/>
    <m/>
    <s v="West"/>
    <s v="SOHNA"/>
    <m/>
    <n v="600250"/>
    <x v="23"/>
    <n v="2439203"/>
    <s v="CRCA COIL TSBSTA EL06 0.500X1160"/>
    <s v=" "/>
    <s v=""/>
    <n v="22"/>
    <n v="30"/>
    <m/>
    <s v="C01"/>
    <s v="TSBSTA"/>
    <s v="EL06"/>
    <n v="0.5"/>
    <n v="1160"/>
    <n v="0"/>
    <n v="297"/>
    <n v="270.64999999999998"/>
    <n v="26.35"/>
    <n v="26.35"/>
    <n v="26.35"/>
    <n v="26.35"/>
    <n v="0"/>
    <n v="0"/>
    <n v="0"/>
    <n v="0"/>
    <n v="0"/>
    <n v="0"/>
    <n v="0"/>
    <n v="0"/>
    <n v="0"/>
    <n v="0"/>
    <n v="0"/>
    <n v="0"/>
    <n v="0"/>
    <n v="0"/>
    <n v="0"/>
    <n v="0"/>
    <n v="0"/>
    <n v="0"/>
    <n v="0"/>
    <n v="0"/>
    <n v="0"/>
    <n v="0"/>
    <n v="0"/>
    <m/>
    <m/>
    <m/>
    <m/>
    <m/>
    <m/>
    <m/>
    <m/>
    <m/>
    <m/>
    <m/>
    <m/>
    <m/>
    <m/>
    <m/>
    <m/>
    <m/>
    <m/>
    <m/>
    <m/>
    <m/>
    <m/>
    <m/>
    <m/>
    <m/>
    <m/>
    <m/>
    <m/>
    <m/>
    <m/>
    <m/>
    <m/>
    <m/>
    <m/>
    <m/>
    <m/>
    <m/>
    <m/>
    <m/>
    <m/>
    <m/>
    <m/>
    <m/>
    <m/>
    <m/>
    <m/>
    <m/>
    <m/>
    <m/>
  </r>
  <r>
    <n v="742"/>
    <d v="2025-02-17T00:00:00"/>
    <s v="ZBTO"/>
    <n v="9518527188"/>
    <n v="1"/>
    <s v="9518527188-1"/>
    <s v="May'25"/>
    <x v="0"/>
    <m/>
    <x v="0"/>
    <x v="0"/>
    <s v="2000-BPRS"/>
    <m/>
    <x v="1"/>
    <m/>
    <m/>
    <m/>
    <s v="South"/>
    <s v="YESHWANTHPURA"/>
    <m/>
    <n v="932179"/>
    <x v="45"/>
    <n v="1250221"/>
    <s v="HR COILS-PO IS 1079 HR2 2.50X1250"/>
    <s v=" "/>
    <s v=""/>
    <n v="17"/>
    <n v="27.5"/>
    <m/>
    <n v="768"/>
    <s v="THR099"/>
    <s v="HR99"/>
    <n v="2.5"/>
    <n v="1250"/>
    <n v="0"/>
    <n v="100"/>
    <n v="0"/>
    <n v="100"/>
    <n v="100"/>
    <n v="100"/>
    <n v="100"/>
    <n v="0"/>
    <n v="0"/>
    <n v="0"/>
    <n v="0"/>
    <n v="0"/>
    <n v="0"/>
    <n v="0"/>
    <n v="0"/>
    <n v="0"/>
    <n v="0"/>
    <n v="0"/>
    <n v="0"/>
    <n v="0"/>
    <n v="0"/>
    <n v="0"/>
    <n v="0"/>
    <n v="0"/>
    <n v="0"/>
    <n v="0"/>
    <n v="0"/>
    <n v="0"/>
    <n v="0"/>
    <n v="0"/>
    <m/>
    <m/>
    <m/>
    <m/>
    <m/>
    <m/>
    <m/>
    <m/>
    <m/>
    <m/>
    <m/>
    <m/>
    <m/>
    <m/>
    <m/>
    <m/>
    <m/>
    <m/>
    <m/>
    <m/>
    <m/>
    <m/>
    <m/>
    <m/>
    <m/>
    <m/>
    <m/>
    <m/>
    <m/>
    <m/>
    <m/>
    <m/>
    <m/>
    <m/>
    <m/>
    <m/>
    <m/>
    <m/>
    <m/>
    <m/>
    <m/>
    <m/>
    <m/>
    <m/>
    <m/>
    <m/>
    <m/>
    <m/>
    <m/>
  </r>
  <r>
    <n v="742"/>
    <d v="2025-02-24T00:00:00"/>
    <s v="ZBTF"/>
    <n v="9518546113"/>
    <n v="2"/>
    <s v="9518546113-2"/>
    <s v="May'25"/>
    <x v="0"/>
    <m/>
    <x v="1"/>
    <x v="7"/>
    <s v="1000-IPPE"/>
    <m/>
    <x v="1"/>
    <m/>
    <m/>
    <m/>
    <s v="West"/>
    <s v="SOHNA"/>
    <m/>
    <n v="600250"/>
    <x v="23"/>
    <n v="2439203"/>
    <s v="CRCA COIL TSBSTA EL06 0.500X1160"/>
    <s v=" "/>
    <s v=""/>
    <n v="11.6"/>
    <n v="30"/>
    <m/>
    <s v="C01"/>
    <s v="TSBSTA"/>
    <s v="EL06"/>
    <n v="0.5"/>
    <n v="1160"/>
    <n v="0"/>
    <n v="296.99"/>
    <n v="185.405"/>
    <n v="111.58499999999999"/>
    <n v="111.58499999999999"/>
    <n v="-21.734999999999999"/>
    <n v="206.08"/>
    <n v="0"/>
    <n v="0"/>
    <n v="0"/>
    <n v="0"/>
    <n v="0"/>
    <n v="0"/>
    <n v="0"/>
    <n v="0"/>
    <n v="0"/>
    <n v="0"/>
    <n v="27.2"/>
    <n v="53.09"/>
    <n v="53.03"/>
    <n v="0"/>
    <n v="0"/>
    <n v="0"/>
    <n v="0"/>
    <n v="0"/>
    <n v="0"/>
    <n v="133.32"/>
    <n v="133.32"/>
    <n v="0"/>
    <n v="133.32"/>
    <m/>
    <m/>
    <m/>
    <m/>
    <m/>
    <m/>
    <m/>
    <m/>
    <m/>
    <m/>
    <m/>
    <m/>
    <m/>
    <m/>
    <m/>
    <m/>
    <m/>
    <m/>
    <m/>
    <m/>
    <m/>
    <m/>
    <m/>
    <m/>
    <m/>
    <m/>
    <m/>
    <m/>
    <m/>
    <m/>
    <m/>
    <m/>
    <m/>
    <m/>
    <m/>
    <m/>
    <m/>
    <m/>
    <m/>
    <m/>
    <m/>
    <m/>
    <m/>
    <m/>
    <m/>
    <m/>
    <m/>
    <m/>
    <m/>
  </r>
  <r>
    <n v="743"/>
    <d v="2025-02-05T00:00:00"/>
    <s v="ZBTO"/>
    <n v="9518495889"/>
    <n v="5"/>
    <s v="9518495889-5"/>
    <s v="May'25"/>
    <x v="0"/>
    <s v="Yes"/>
    <x v="3"/>
    <x v="9"/>
    <s v="2000-BPRS"/>
    <m/>
    <x v="1"/>
    <m/>
    <m/>
    <m/>
    <s v="East"/>
    <s v="KOLKATA"/>
    <m/>
    <n v="100922"/>
    <x v="36"/>
    <n v="1854424"/>
    <s v="GP COIL SOFT-TATXGP-GK09-0.6X900"/>
    <s v="Z80"/>
    <s v=""/>
    <n v="5"/>
    <n v="15"/>
    <m/>
    <s v="C02"/>
    <s v="TATXGP"/>
    <s v="GK09"/>
    <n v="0.6"/>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2-06T00:00:00"/>
    <s v="ZBTO"/>
    <n v="9518498088"/>
    <n v="1"/>
    <s v="9518498088-1"/>
    <s v="May'25"/>
    <x v="0"/>
    <s v="Yes"/>
    <x v="1"/>
    <x v="1"/>
    <s v="2000-BPRS"/>
    <m/>
    <x v="1"/>
    <m/>
    <m/>
    <m/>
    <s v="South"/>
    <s v="CHENNAI"/>
    <m/>
    <n v="938550"/>
    <x v="4"/>
    <n v="3931386"/>
    <s v="CR COIL TATXXD AU03 0.700X925"/>
    <s v=" "/>
    <s v=""/>
    <n v="6"/>
    <n v="18"/>
    <m/>
    <s v="C01"/>
    <s v="TATXXD"/>
    <s v="AU03"/>
    <n v="0.7"/>
    <n v="925"/>
    <n v="0"/>
    <n v="42"/>
    <n v="0"/>
    <n v="42"/>
    <n v="42"/>
    <n v="42"/>
    <n v="42"/>
    <n v="0"/>
    <n v="0"/>
    <n v="0"/>
    <n v="0"/>
    <n v="0"/>
    <n v="0"/>
    <n v="0"/>
    <n v="0"/>
    <n v="0"/>
    <n v="0"/>
    <n v="0"/>
    <n v="0"/>
    <n v="0"/>
    <n v="0"/>
    <n v="0"/>
    <n v="0"/>
    <n v="0"/>
    <n v="0"/>
    <n v="0"/>
    <n v="0"/>
    <n v="0"/>
    <n v="0"/>
    <n v="0"/>
    <m/>
    <m/>
    <m/>
    <m/>
    <m/>
    <m/>
    <m/>
    <m/>
    <m/>
    <m/>
    <m/>
    <m/>
    <m/>
    <m/>
    <m/>
    <m/>
    <m/>
    <m/>
    <m/>
    <m/>
    <m/>
    <m/>
    <m/>
    <m/>
    <m/>
    <m/>
    <m/>
    <m/>
    <m/>
    <m/>
    <m/>
    <m/>
    <m/>
    <m/>
    <m/>
    <m/>
    <m/>
    <m/>
    <m/>
    <m/>
    <m/>
    <m/>
    <m/>
    <m/>
    <m/>
    <m/>
    <m/>
    <m/>
    <m/>
  </r>
  <r>
    <n v="742"/>
    <d v="2025-02-13T00:00:00"/>
    <s v="ZBTO"/>
    <n v="9518516064"/>
    <n v="1"/>
    <s v="9518516064-1"/>
    <s v="No Priority"/>
    <x v="0"/>
    <m/>
    <x v="1"/>
    <x v="1"/>
    <s v="2000-BPRS"/>
    <m/>
    <x v="0"/>
    <m/>
    <m/>
    <m/>
    <s v="West"/>
    <s v="SIYAGANJ"/>
    <m/>
    <n v="120961"/>
    <x v="103"/>
    <n v="187541"/>
    <s v="CR COIL-ICF TATXXD AU03 2.00X1250"/>
    <s v=" "/>
    <s v=""/>
    <n v="18"/>
    <n v="25"/>
    <m/>
    <s v="C01"/>
    <s v="TATXXD"/>
    <s v="AU03"/>
    <n v="2"/>
    <n v="1250"/>
    <n v="0"/>
    <n v="115.98"/>
    <n v="86.44"/>
    <n v="29.54"/>
    <n v="29.54"/>
    <n v="29.54"/>
    <n v="0"/>
    <n v="0"/>
    <n v="0"/>
    <n v="0"/>
    <n v="0"/>
    <n v="0"/>
    <n v="0"/>
    <n v="0"/>
    <n v="0"/>
    <n v="0"/>
    <n v="0"/>
    <n v="0"/>
    <n v="0"/>
    <n v="0"/>
    <n v="0"/>
    <n v="0"/>
    <n v="0"/>
    <n v="0"/>
    <n v="0"/>
    <n v="0"/>
    <n v="0"/>
    <n v="0"/>
    <n v="0"/>
    <n v="0"/>
    <m/>
    <m/>
    <m/>
    <m/>
    <m/>
    <m/>
    <m/>
    <m/>
    <m/>
    <m/>
    <m/>
    <m/>
    <m/>
    <m/>
    <m/>
    <m/>
    <m/>
    <m/>
    <m/>
    <m/>
    <m/>
    <m/>
    <m/>
    <m/>
    <m/>
    <m/>
    <m/>
    <m/>
    <m/>
    <m/>
    <m/>
    <m/>
    <m/>
    <m/>
    <m/>
    <m/>
    <m/>
    <m/>
    <m/>
    <m/>
    <m/>
    <m/>
    <m/>
    <m/>
    <m/>
    <m/>
    <m/>
    <m/>
    <m/>
  </r>
  <r>
    <n v="742"/>
    <d v="2025-02-14T00:00:00"/>
    <s v="ZBTO"/>
    <n v="9518518311"/>
    <n v="1"/>
    <s v="9518518311-1"/>
    <s v="No Priority"/>
    <x v="0"/>
    <m/>
    <x v="1"/>
    <x v="12"/>
    <s v="2000-BPRS"/>
    <m/>
    <x v="0"/>
    <m/>
    <m/>
    <m/>
    <s v="South"/>
    <s v="SANGAREDDY"/>
    <m/>
    <n v="947126"/>
    <x v="22"/>
    <n v="3587949"/>
    <s v="CR COIL TSBSTA EL06 0.500X1250"/>
    <s v=" "/>
    <s v=""/>
    <n v="7"/>
    <n v="25"/>
    <m/>
    <s v="C01"/>
    <s v="TSBSTA"/>
    <s v="EL06"/>
    <n v="0.5"/>
    <n v="1250"/>
    <n v="0"/>
    <n v="116"/>
    <n v="0"/>
    <n v="116"/>
    <n v="7.69"/>
    <n v="116"/>
    <n v="52.234999999999999"/>
    <n v="0"/>
    <n v="0"/>
    <n v="0"/>
    <n v="0"/>
    <n v="0"/>
    <n v="0"/>
    <n v="0"/>
    <n v="0"/>
    <n v="0"/>
    <n v="0"/>
    <n v="0"/>
    <n v="0"/>
    <n v="0"/>
    <n v="0"/>
    <n v="0"/>
    <n v="0"/>
    <n v="0"/>
    <n v="0"/>
    <n v="0"/>
    <n v="0"/>
    <n v="0"/>
    <n v="0"/>
    <n v="0"/>
    <m/>
    <m/>
    <m/>
    <m/>
    <m/>
    <m/>
    <m/>
    <m/>
    <m/>
    <m/>
    <m/>
    <m/>
    <m/>
    <m/>
    <m/>
    <m/>
    <m/>
    <m/>
    <m/>
    <m/>
    <m/>
    <m/>
    <m/>
    <m/>
    <m/>
    <m/>
    <m/>
    <m/>
    <m/>
    <m/>
    <m/>
    <m/>
    <m/>
    <m/>
    <m/>
    <m/>
    <m/>
    <m/>
    <m/>
    <m/>
    <m/>
    <m/>
    <m/>
    <m/>
    <m/>
    <m/>
    <m/>
    <m/>
    <m/>
  </r>
  <r>
    <n v="742"/>
    <d v="2025-02-14T00:00:00"/>
    <s v="ZBTO"/>
    <n v="9518518311"/>
    <n v="2"/>
    <s v="9518518311-2"/>
    <s v="No Priority"/>
    <x v="0"/>
    <m/>
    <x v="1"/>
    <x v="12"/>
    <s v="2000-BPRS"/>
    <m/>
    <x v="0"/>
    <m/>
    <m/>
    <m/>
    <s v="South"/>
    <s v="SANGAREDDY"/>
    <m/>
    <n v="947126"/>
    <x v="22"/>
    <n v="2439203"/>
    <s v="CRCA COIL TSBSTA EL06 0.500X1160"/>
    <s v=" "/>
    <s v=""/>
    <n v="7"/>
    <n v="25"/>
    <m/>
    <s v="C01"/>
    <s v="TSBSTA"/>
    <s v="EL06"/>
    <n v="0.5"/>
    <n v="1160"/>
    <n v="0"/>
    <n v="27"/>
    <n v="0"/>
    <n v="27"/>
    <n v="4.7249999999999996"/>
    <n v="27"/>
    <n v="4.7249999999999996"/>
    <n v="0"/>
    <n v="0"/>
    <n v="0"/>
    <n v="0"/>
    <n v="0"/>
    <n v="0"/>
    <n v="0"/>
    <n v="0"/>
    <n v="0"/>
    <n v="0"/>
    <n v="0"/>
    <n v="0"/>
    <n v="0"/>
    <n v="0"/>
    <n v="0"/>
    <n v="0"/>
    <n v="0"/>
    <n v="0"/>
    <n v="0"/>
    <n v="0"/>
    <n v="0"/>
    <n v="0"/>
    <n v="0"/>
    <m/>
    <m/>
    <m/>
    <m/>
    <m/>
    <m/>
    <m/>
    <m/>
    <m/>
    <m/>
    <m/>
    <m/>
    <m/>
    <m/>
    <m/>
    <m/>
    <m/>
    <m/>
    <m/>
    <m/>
    <m/>
    <m/>
    <m/>
    <m/>
    <m/>
    <m/>
    <m/>
    <m/>
    <m/>
    <m/>
    <m/>
    <m/>
    <m/>
    <m/>
    <m/>
    <m/>
    <m/>
    <m/>
    <m/>
    <m/>
    <m/>
    <m/>
    <m/>
    <m/>
    <m/>
    <m/>
    <m/>
    <m/>
    <m/>
  </r>
  <r>
    <n v="742"/>
    <d v="2025-02-11T00:00:00"/>
    <s v="ZBTO"/>
    <n v="9518510371"/>
    <n v="4"/>
    <s v="9518510371-4"/>
    <s v="May'25"/>
    <x v="0"/>
    <s v="Yes"/>
    <x v="1"/>
    <x v="2"/>
    <s v="2000-BPRS"/>
    <m/>
    <x v="1"/>
    <m/>
    <m/>
    <m/>
    <s v="North"/>
    <s v="GORAKHPUR"/>
    <m/>
    <n v="115841"/>
    <x v="7"/>
    <n v="3240792"/>
    <s v="CRCA SHEET TSBCRC SR15 0.600X1250X2500"/>
    <s v=" "/>
    <s v=""/>
    <n v="0"/>
    <n v="0"/>
    <m/>
    <s v="C06"/>
    <s v="TSBCRC"/>
    <s v="SR15"/>
    <n v="0.6"/>
    <n v="1250"/>
    <n v="2500"/>
    <n v="39"/>
    <n v="0"/>
    <n v="39"/>
    <n v="39"/>
    <n v="39"/>
    <n v="39"/>
    <n v="0"/>
    <n v="0"/>
    <n v="0"/>
    <n v="0"/>
    <n v="0"/>
    <n v="0"/>
    <n v="0"/>
    <n v="0"/>
    <n v="0"/>
    <n v="0"/>
    <n v="0"/>
    <n v="0"/>
    <n v="0"/>
    <n v="0"/>
    <n v="0"/>
    <n v="0"/>
    <n v="0"/>
    <n v="0"/>
    <n v="0"/>
    <n v="0"/>
    <n v="0"/>
    <n v="0"/>
    <n v="0"/>
    <m/>
    <m/>
    <m/>
    <m/>
    <m/>
    <m/>
    <m/>
    <m/>
    <m/>
    <m/>
    <m/>
    <m/>
    <m/>
    <m/>
    <m/>
    <m/>
    <m/>
    <m/>
    <m/>
    <m/>
    <m/>
    <m/>
    <m/>
    <m/>
    <m/>
    <m/>
    <m/>
    <m/>
    <m/>
    <m/>
    <m/>
    <m/>
    <m/>
    <m/>
    <m/>
    <m/>
    <m/>
    <m/>
    <m/>
    <m/>
    <m/>
    <m/>
    <m/>
    <m/>
    <m/>
    <m/>
    <m/>
    <m/>
    <m/>
  </r>
  <r>
    <n v="742"/>
    <d v="2025-02-19T00:00:00"/>
    <s v="ZBTO"/>
    <n v="9518533557"/>
    <n v="8"/>
    <s v="9518533557-8"/>
    <s v="No Priority"/>
    <x v="0"/>
    <m/>
    <x v="1"/>
    <x v="2"/>
    <s v="2000-BPRS"/>
    <m/>
    <x v="0"/>
    <m/>
    <s v="Exp BTF &lt;17MT"/>
    <m/>
    <s v="East"/>
    <s v="HOWRAH"/>
    <m/>
    <n v="101278"/>
    <x v="11"/>
    <n v="3239560"/>
    <s v="CRCA SHEET TATCRC SR16 0.450X900X2500"/>
    <s v=" "/>
    <s v=""/>
    <n v="0"/>
    <n v="0"/>
    <m/>
    <s v="C06"/>
    <s v="TATCRC"/>
    <s v="SR16"/>
    <n v="0.45"/>
    <n v="900"/>
    <n v="2500"/>
    <n v="24"/>
    <n v="18.52"/>
    <n v="5.48"/>
    <n v="5.48"/>
    <n v="5.48"/>
    <n v="5.48"/>
    <n v="0"/>
    <n v="0"/>
    <n v="0"/>
    <n v="0"/>
    <n v="0"/>
    <n v="0"/>
    <n v="0"/>
    <n v="0"/>
    <n v="0"/>
    <n v="0"/>
    <n v="0"/>
    <n v="0"/>
    <n v="0"/>
    <n v="0"/>
    <n v="0"/>
    <n v="0"/>
    <n v="0"/>
    <n v="0"/>
    <n v="0"/>
    <n v="0"/>
    <n v="0"/>
    <n v="0"/>
    <n v="0"/>
    <m/>
    <m/>
    <m/>
    <m/>
    <m/>
    <m/>
    <m/>
    <m/>
    <m/>
    <m/>
    <m/>
    <m/>
    <m/>
    <m/>
    <m/>
    <m/>
    <m/>
    <m/>
    <m/>
    <m/>
    <m/>
    <m/>
    <m/>
    <m/>
    <m/>
    <m/>
    <m/>
    <m/>
    <m/>
    <m/>
    <m/>
    <m/>
    <m/>
    <m/>
    <m/>
    <m/>
    <m/>
    <m/>
    <m/>
    <m/>
    <m/>
    <m/>
    <m/>
    <m/>
    <m/>
    <m/>
    <m/>
    <m/>
    <m/>
  </r>
  <r>
    <n v="742"/>
    <d v="2025-02-07T00:00:00"/>
    <s v="ZBTO"/>
    <n v="9518500267"/>
    <n v="3"/>
    <s v="9518500267-3"/>
    <s v="May'25"/>
    <x v="0"/>
    <s v="Yes"/>
    <x v="1"/>
    <x v="11"/>
    <s v="2000-BPRS"/>
    <n v="500"/>
    <x v="1"/>
    <m/>
    <m/>
    <m/>
    <s v="South"/>
    <s v="YESHWANTHPURA"/>
    <m/>
    <n v="939268"/>
    <x v="0"/>
    <n v="2420520"/>
    <s v="CRCA COIL TATXXD AH03 1.150X1250"/>
    <s v=" "/>
    <s v=""/>
    <n v="2"/>
    <n v="26"/>
    <m/>
    <s v="C01"/>
    <s v="TATXXD"/>
    <s v="AH03"/>
    <n v="1.1499999999999999"/>
    <n v="1250"/>
    <n v="0"/>
    <n v="29"/>
    <n v="0"/>
    <n v="29"/>
    <n v="29"/>
    <n v="29"/>
    <n v="29"/>
    <n v="0"/>
    <n v="0"/>
    <n v="0"/>
    <n v="0"/>
    <n v="0"/>
    <n v="0"/>
    <n v="0"/>
    <n v="0"/>
    <n v="0"/>
    <n v="0"/>
    <n v="0"/>
    <n v="0"/>
    <n v="0"/>
    <n v="0"/>
    <n v="0"/>
    <n v="0"/>
    <n v="0"/>
    <n v="0"/>
    <n v="0"/>
    <n v="0"/>
    <n v="0"/>
    <n v="0"/>
    <n v="0"/>
    <m/>
    <m/>
    <m/>
    <m/>
    <m/>
    <m/>
    <m/>
    <m/>
    <m/>
    <m/>
    <m/>
    <m/>
    <m/>
    <m/>
    <m/>
    <m/>
    <m/>
    <m/>
    <m/>
    <m/>
    <m/>
    <m/>
    <m/>
    <m/>
    <m/>
    <m/>
    <m/>
    <m/>
    <m/>
    <m/>
    <m/>
    <m/>
    <m/>
    <m/>
    <m/>
    <m/>
    <m/>
    <m/>
    <m/>
    <m/>
    <m/>
    <m/>
    <m/>
    <m/>
    <m/>
    <m/>
    <m/>
    <m/>
    <m/>
  </r>
  <r>
    <n v="743"/>
    <d v="2025-02-14T00:00:00"/>
    <s v="ZBTT"/>
    <n v="9518518430"/>
    <n v="1"/>
    <s v="9518518430-1"/>
    <s v="No Priority"/>
    <x v="0"/>
    <m/>
    <x v="4"/>
    <x v="10"/>
    <s v="1000-IPPE"/>
    <m/>
    <x v="0"/>
    <m/>
    <s v="No allocation for IPP"/>
    <m/>
    <s v="West"/>
    <s v="TAMBATI"/>
    <m/>
    <n v="942186"/>
    <x v="83"/>
    <n v="3946140"/>
    <s v="GL COIL SKINPASS Y250GL SGL1 0.330X1250"/>
    <s v="aZ70"/>
    <s v=""/>
    <n v="7"/>
    <n v="15"/>
    <m/>
    <s v="B06"/>
    <s v="Y250GL"/>
    <s v="SGL1"/>
    <n v="0.33"/>
    <n v="1250"/>
    <n v="0"/>
    <n v="57.999000000000002"/>
    <n v="21.835000000000001"/>
    <n v="36.164000000000001"/>
    <n v="36.164000000000001"/>
    <n v="36.164000000000001"/>
    <n v="0"/>
    <n v="0"/>
    <n v="0"/>
    <n v="0"/>
    <n v="0"/>
    <n v="0"/>
    <n v="0"/>
    <n v="0"/>
    <n v="0"/>
    <n v="0"/>
    <n v="0"/>
    <n v="0"/>
    <n v="0"/>
    <n v="0"/>
    <n v="0"/>
    <n v="0"/>
    <n v="0"/>
    <n v="0"/>
    <n v="0"/>
    <n v="0"/>
    <n v="0"/>
    <n v="0"/>
    <n v="0"/>
    <n v="0"/>
    <m/>
    <m/>
    <m/>
    <m/>
    <m/>
    <m/>
    <m/>
    <m/>
    <m/>
    <m/>
    <m/>
    <m/>
    <m/>
    <m/>
    <m/>
    <m/>
    <m/>
    <m/>
    <m/>
    <m/>
    <m/>
    <m/>
    <m/>
    <m/>
    <m/>
    <m/>
    <m/>
    <m/>
    <m/>
    <m/>
    <m/>
    <m/>
    <m/>
    <m/>
    <m/>
    <m/>
    <m/>
    <m/>
    <m/>
    <m/>
    <m/>
    <m/>
    <m/>
    <m/>
    <m/>
    <m/>
    <m/>
    <m/>
    <m/>
  </r>
  <r>
    <n v="742"/>
    <d v="2025-02-17T00:00:00"/>
    <s v="ZBTF"/>
    <n v="9518527449"/>
    <n v="8"/>
    <s v="9518527449-8"/>
    <s v="No Priority"/>
    <x v="0"/>
    <s v="Yes"/>
    <x v="1"/>
    <x v="6"/>
    <s v="2000-BPRS"/>
    <m/>
    <x v="0"/>
    <m/>
    <m/>
    <m/>
    <s v="South"/>
    <s v="YESHWANTHPURA"/>
    <m/>
    <n v="650742"/>
    <x v="26"/>
    <n v="2279476"/>
    <s v="CRCA COIL TSBHSQ TU99 1.400X1270"/>
    <s v=" "/>
    <s v=""/>
    <n v="10"/>
    <n v="27"/>
    <m/>
    <s v="C01"/>
    <s v="TSBHSQ"/>
    <s v="TU99"/>
    <n v="1.4"/>
    <n v="1270"/>
    <n v="0"/>
    <n v="116"/>
    <n v="76.385000000000005"/>
    <n v="39.615000000000002"/>
    <n v="39.615000000000002"/>
    <n v="24.07"/>
    <n v="26.17"/>
    <n v="0"/>
    <n v="0"/>
    <n v="0"/>
    <n v="0"/>
    <n v="0"/>
    <n v="0"/>
    <n v="0"/>
    <n v="0"/>
    <n v="0"/>
    <n v="0"/>
    <n v="0"/>
    <n v="0"/>
    <n v="0"/>
    <n v="0"/>
    <n v="0"/>
    <n v="1.71"/>
    <n v="0"/>
    <n v="0"/>
    <n v="13.835000000000001"/>
    <n v="15.545000000000002"/>
    <n v="15.545000000000002"/>
    <n v="0"/>
    <n v="15.545000000000002"/>
    <m/>
    <m/>
    <m/>
    <m/>
    <m/>
    <m/>
    <m/>
    <m/>
    <m/>
    <m/>
    <m/>
    <m/>
    <m/>
    <m/>
    <m/>
    <m/>
    <m/>
    <m/>
    <m/>
    <m/>
    <m/>
    <m/>
    <m/>
    <m/>
    <m/>
    <m/>
    <m/>
    <m/>
    <m/>
    <m/>
    <m/>
    <m/>
    <m/>
    <m/>
    <m/>
    <m/>
    <m/>
    <m/>
    <m/>
    <m/>
    <m/>
    <m/>
    <m/>
    <m/>
    <m/>
    <m/>
    <m/>
    <m/>
    <m/>
  </r>
  <r>
    <n v="742"/>
    <d v="2025-02-20T00:00:00"/>
    <s v="ZBTO"/>
    <n v="9518535833"/>
    <n v="26"/>
    <s v="9518535833-26"/>
    <s v="No Priority"/>
    <x v="0"/>
    <m/>
    <x v="1"/>
    <x v="2"/>
    <s v="2000-BPRS"/>
    <m/>
    <x v="0"/>
    <m/>
    <s v="Exp BTF &lt;17MT"/>
    <m/>
    <s v="South"/>
    <s v="CHENNAI"/>
    <m/>
    <n v="938550"/>
    <x v="4"/>
    <n v="3240808"/>
    <s v="CRCA SHEET TSBCRC SR15 0.800X1250X2500"/>
    <s v=" "/>
    <s v=""/>
    <n v="0"/>
    <n v="0"/>
    <m/>
    <s v="C06"/>
    <s v="TSBCRC"/>
    <s v="SR15"/>
    <n v="0.8"/>
    <n v="1250"/>
    <n v="2500"/>
    <n v="30"/>
    <n v="26.39"/>
    <n v="3.61"/>
    <n v="3.61"/>
    <n v="3.61"/>
    <n v="1.51"/>
    <n v="0"/>
    <n v="0"/>
    <n v="0"/>
    <n v="0"/>
    <n v="0"/>
    <n v="0"/>
    <n v="0"/>
    <n v="0"/>
    <n v="0"/>
    <n v="0"/>
    <n v="0"/>
    <n v="0"/>
    <n v="0"/>
    <n v="0"/>
    <n v="0"/>
    <n v="0"/>
    <n v="0"/>
    <n v="0"/>
    <n v="0"/>
    <n v="0"/>
    <n v="0"/>
    <n v="0"/>
    <n v="0"/>
    <m/>
    <m/>
    <m/>
    <m/>
    <m/>
    <m/>
    <m/>
    <m/>
    <m/>
    <m/>
    <m/>
    <m/>
    <m/>
    <m/>
    <m/>
    <m/>
    <m/>
    <m/>
    <m/>
    <m/>
    <m/>
    <m/>
    <m/>
    <m/>
    <m/>
    <m/>
    <m/>
    <m/>
    <m/>
    <m/>
    <m/>
    <m/>
    <m/>
    <m/>
    <m/>
    <m/>
    <m/>
    <m/>
    <m/>
    <m/>
    <m/>
    <m/>
    <m/>
    <m/>
    <m/>
    <m/>
    <m/>
    <m/>
    <m/>
  </r>
  <r>
    <n v="742"/>
    <d v="2025-02-14T00:00:00"/>
    <s v="ZBTO"/>
    <n v="9518520213"/>
    <n v="12"/>
    <s v="9518520213-12"/>
    <s v="No Priority"/>
    <x v="0"/>
    <m/>
    <x v="1"/>
    <x v="2"/>
    <s v="2000-BPRS"/>
    <m/>
    <x v="0"/>
    <m/>
    <s v="Exp BTF &lt;17MT"/>
    <m/>
    <s v="East"/>
    <s v="PURNIA"/>
    <m/>
    <n v="103227"/>
    <x v="31"/>
    <n v="3240778"/>
    <s v="CRCA SHEET TSBCRC SR15 0.600X1000X2500"/>
    <s v=" "/>
    <s v=""/>
    <n v="0"/>
    <n v="0"/>
    <m/>
    <s v="C06"/>
    <s v="TSBCRC"/>
    <s v="SR15"/>
    <n v="0.6"/>
    <n v="1000"/>
    <n v="2500"/>
    <n v="24"/>
    <n v="20.364999999999998"/>
    <n v="3.6349999999999998"/>
    <n v="3.6349999999999998"/>
    <n v="3.6349999999999998"/>
    <n v="3.6349999999999998"/>
    <n v="0"/>
    <n v="0"/>
    <n v="0"/>
    <n v="0"/>
    <n v="0"/>
    <n v="0"/>
    <n v="0"/>
    <n v="0"/>
    <n v="0"/>
    <n v="0"/>
    <n v="0"/>
    <n v="0"/>
    <n v="0"/>
    <n v="0"/>
    <n v="0"/>
    <n v="0"/>
    <n v="0"/>
    <n v="0"/>
    <n v="0"/>
    <n v="0"/>
    <n v="0"/>
    <n v="0"/>
    <n v="0"/>
    <m/>
    <m/>
    <m/>
    <m/>
    <m/>
    <m/>
    <m/>
    <m/>
    <m/>
    <m/>
    <m/>
    <m/>
    <m/>
    <m/>
    <m/>
    <m/>
    <m/>
    <m/>
    <m/>
    <m/>
    <m/>
    <m/>
    <m/>
    <m/>
    <m/>
    <m/>
    <m/>
    <m/>
    <m/>
    <m/>
    <m/>
    <m/>
    <m/>
    <m/>
    <m/>
    <m/>
    <m/>
    <m/>
    <m/>
    <m/>
    <m/>
    <m/>
    <m/>
    <m/>
    <m/>
    <m/>
    <m/>
    <m/>
    <m/>
  </r>
  <r>
    <n v="742"/>
    <d v="2025-02-14T00:00:00"/>
    <s v="ZBTO"/>
    <n v="9518518906"/>
    <n v="7"/>
    <s v="9518518906-7"/>
    <s v="No Priority"/>
    <x v="0"/>
    <m/>
    <x v="1"/>
    <x v="2"/>
    <s v="2000-BPRS"/>
    <m/>
    <x v="0"/>
    <m/>
    <m/>
    <m/>
    <s v="North"/>
    <s v="VARANASI"/>
    <m/>
    <n v="931525"/>
    <x v="2"/>
    <n v="3912459"/>
    <s v="CRCA SHEET TSBCRC SR15 0.700X1000X1925"/>
    <s v=" "/>
    <s v=""/>
    <n v="0"/>
    <n v="0"/>
    <m/>
    <s v="C06"/>
    <s v="TSBCRC"/>
    <s v="SR15"/>
    <n v="0.7"/>
    <n v="1000"/>
    <n v="1925"/>
    <n v="33"/>
    <n v="20.765000000000001"/>
    <n v="12.234999999999999"/>
    <n v="12.234999999999999"/>
    <n v="12.234999999999999"/>
    <n v="12.234999999999999"/>
    <n v="0"/>
    <n v="0"/>
    <n v="0"/>
    <n v="0"/>
    <n v="0"/>
    <n v="0"/>
    <n v="0"/>
    <n v="0"/>
    <n v="0"/>
    <n v="0"/>
    <n v="0"/>
    <n v="0"/>
    <n v="0"/>
    <n v="0"/>
    <n v="0"/>
    <n v="0"/>
    <n v="0"/>
    <n v="0"/>
    <n v="0"/>
    <n v="0"/>
    <n v="0"/>
    <n v="0"/>
    <n v="0"/>
    <m/>
    <m/>
    <m/>
    <m/>
    <m/>
    <m/>
    <m/>
    <m/>
    <m/>
    <m/>
    <m/>
    <m/>
    <m/>
    <m/>
    <m/>
    <m/>
    <m/>
    <m/>
    <m/>
    <m/>
    <m/>
    <m/>
    <m/>
    <m/>
    <m/>
    <m/>
    <m/>
    <m/>
    <m/>
    <m/>
    <m/>
    <m/>
    <m/>
    <m/>
    <m/>
    <m/>
    <m/>
    <m/>
    <m/>
    <m/>
    <m/>
    <m/>
    <m/>
    <m/>
    <m/>
    <m/>
    <m/>
    <m/>
    <m/>
  </r>
  <r>
    <n v="742"/>
    <d v="2025-02-11T00:00:00"/>
    <s v="ZBTO"/>
    <n v="9518510681"/>
    <n v="3"/>
    <s v="9518510681-3"/>
    <s v="No Priority"/>
    <x v="0"/>
    <m/>
    <x v="1"/>
    <x v="2"/>
    <s v="2000-BPRS"/>
    <m/>
    <x v="0"/>
    <m/>
    <s v="Exp BTF &lt;17MT"/>
    <m/>
    <s v="North"/>
    <s v="KANPUR"/>
    <m/>
    <n v="115841"/>
    <x v="7"/>
    <n v="3240806"/>
    <s v="CRCA SHEET TSBCRC SR15 0.800X1250X1930"/>
    <s v=" "/>
    <s v=""/>
    <n v="0"/>
    <n v="0"/>
    <m/>
    <s v="C06"/>
    <s v="TSBCRC"/>
    <s v="SR15"/>
    <n v="0.8"/>
    <n v="1250"/>
    <n v="1930"/>
    <n v="33"/>
    <n v="26.125"/>
    <n v="6.875"/>
    <n v="6.875"/>
    <n v="6.875"/>
    <n v="6.875"/>
    <n v="0"/>
    <n v="0"/>
    <n v="0"/>
    <n v="0"/>
    <n v="0"/>
    <n v="0"/>
    <n v="0"/>
    <n v="0"/>
    <n v="0"/>
    <n v="0"/>
    <n v="0"/>
    <n v="0"/>
    <n v="0"/>
    <n v="0"/>
    <n v="0"/>
    <n v="0"/>
    <n v="0"/>
    <n v="0"/>
    <n v="0"/>
    <n v="0"/>
    <n v="0"/>
    <n v="0"/>
    <n v="0"/>
    <m/>
    <m/>
    <m/>
    <m/>
    <m/>
    <m/>
    <m/>
    <m/>
    <m/>
    <m/>
    <m/>
    <m/>
    <m/>
    <m/>
    <m/>
    <m/>
    <m/>
    <m/>
    <m/>
    <m/>
    <m/>
    <m/>
    <m/>
    <m/>
    <m/>
    <m/>
    <m/>
    <m/>
    <m/>
    <m/>
    <m/>
    <m/>
    <m/>
    <m/>
    <m/>
    <m/>
    <m/>
    <m/>
    <m/>
    <m/>
    <m/>
    <m/>
    <m/>
    <m/>
    <m/>
    <m/>
    <m/>
    <m/>
    <m/>
  </r>
  <r>
    <n v="742"/>
    <d v="2025-02-03T00:00:00"/>
    <s v="ZBTO"/>
    <n v="9518490750"/>
    <n v="8"/>
    <s v="9518490750-8"/>
    <s v="No Priority"/>
    <x v="0"/>
    <m/>
    <x v="1"/>
    <x v="2"/>
    <s v="2000-BPRS"/>
    <m/>
    <x v="0"/>
    <m/>
    <m/>
    <m/>
    <s v="East"/>
    <s v="TANGI"/>
    <m/>
    <n v="117061"/>
    <x v="25"/>
    <n v="3240818"/>
    <s v="CRCA SHEET TSBCRC SR15 0.900X1000X2500"/>
    <s v=" "/>
    <s v=""/>
    <n v="0.1"/>
    <n v="5"/>
    <m/>
    <s v="C06"/>
    <s v="TSBCRC"/>
    <s v="SR15"/>
    <n v="0.9"/>
    <n v="1000"/>
    <n v="2500"/>
    <n v="75"/>
    <n v="66.95"/>
    <n v="8.0500000000000007"/>
    <n v="-7.085"/>
    <n v="0"/>
    <n v="0.01"/>
    <n v="0"/>
    <n v="0"/>
    <n v="0"/>
    <n v="0"/>
    <n v="0"/>
    <n v="0"/>
    <n v="0"/>
    <n v="0"/>
    <n v="0"/>
    <n v="0"/>
    <n v="0"/>
    <n v="0"/>
    <n v="0"/>
    <n v="0"/>
    <n v="0"/>
    <n v="0"/>
    <n v="0"/>
    <n v="0"/>
    <n v="0"/>
    <n v="0"/>
    <n v="0"/>
    <n v="0"/>
    <n v="0"/>
    <m/>
    <m/>
    <m/>
    <m/>
    <m/>
    <m/>
    <m/>
    <m/>
    <m/>
    <m/>
    <m/>
    <m/>
    <m/>
    <m/>
    <m/>
    <m/>
    <m/>
    <m/>
    <m/>
    <m/>
    <m/>
    <m/>
    <m/>
    <m/>
    <m/>
    <m/>
    <m/>
    <m/>
    <m/>
    <m/>
    <m/>
    <m/>
    <m/>
    <m/>
    <m/>
    <m/>
    <m/>
    <m/>
    <m/>
    <m/>
    <m/>
    <m/>
    <m/>
    <m/>
    <m/>
    <m/>
    <m/>
    <m/>
    <m/>
  </r>
  <r>
    <n v="743"/>
    <d v="2025-02-05T00:00:00"/>
    <s v="ZBTO"/>
    <n v="9518495843"/>
    <n v="1"/>
    <s v="9518495843-1"/>
    <s v="May'25"/>
    <x v="0"/>
    <s v="Yes"/>
    <x v="3"/>
    <x v="9"/>
    <s v="2000-BPRS"/>
    <m/>
    <x v="1"/>
    <m/>
    <m/>
    <m/>
    <s v="East"/>
    <s v="KOLKATA"/>
    <m/>
    <n v="100922"/>
    <x v="36"/>
    <n v="1851065"/>
    <s v="GP COIL SOFT-TATXGP-GK09-0.25X900"/>
    <s v="Z80"/>
    <s v=""/>
    <n v="5"/>
    <n v="15"/>
    <m/>
    <s v="C02"/>
    <s v="TATXGP"/>
    <s v="GK09"/>
    <n v="0.25"/>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2-19T00:00:00"/>
    <s v="ZBTO"/>
    <n v="9518532816"/>
    <n v="2"/>
    <s v="9518532816-2"/>
    <s v="May'25"/>
    <x v="0"/>
    <s v="Yes"/>
    <x v="3"/>
    <x v="9"/>
    <s v="2000-BPRS"/>
    <m/>
    <x v="1"/>
    <m/>
    <m/>
    <m/>
    <s v="East"/>
    <s v=" "/>
    <m/>
    <n v="121328"/>
    <x v="10"/>
    <n v="1191956"/>
    <s v="GP COIL SOFT-TATXGP-GK09-0.35X900"/>
    <s v="Z80"/>
    <s v=""/>
    <n v="4"/>
    <n v="12"/>
    <m/>
    <s v="C02"/>
    <s v="TATXGP"/>
    <s v="GK09"/>
    <n v="0.35"/>
    <n v="900"/>
    <n v="0"/>
    <n v="147"/>
    <n v="41.344999999999999"/>
    <n v="105.655"/>
    <n v="105.655"/>
    <n v="105.655"/>
    <n v="105.655"/>
    <n v="0"/>
    <n v="0"/>
    <n v="0"/>
    <n v="0"/>
    <n v="0"/>
    <n v="0"/>
    <n v="0"/>
    <n v="0"/>
    <n v="0"/>
    <n v="0"/>
    <n v="0"/>
    <n v="0"/>
    <n v="0"/>
    <n v="0"/>
    <n v="0"/>
    <n v="0"/>
    <n v="0"/>
    <n v="0"/>
    <n v="0"/>
    <n v="0"/>
    <n v="0"/>
    <n v="0"/>
    <n v="0"/>
    <m/>
    <m/>
    <m/>
    <m/>
    <m/>
    <m/>
    <m/>
    <m/>
    <m/>
    <m/>
    <m/>
    <m/>
    <m/>
    <m/>
    <m/>
    <m/>
    <m/>
    <m/>
    <m/>
    <m/>
    <m/>
    <m/>
    <m/>
    <m/>
    <m/>
    <m/>
    <m/>
    <m/>
    <m/>
    <m/>
    <m/>
    <m/>
    <m/>
    <m/>
    <m/>
    <m/>
    <m/>
    <m/>
    <m/>
    <m/>
    <m/>
    <m/>
    <m/>
    <m/>
    <m/>
    <m/>
    <m/>
    <m/>
    <m/>
  </r>
  <r>
    <n v="742"/>
    <d v="2025-03-14T00:00:00"/>
    <s v="ZBTF"/>
    <n v="4000500995"/>
    <n v="7"/>
    <s v="4000500995-7"/>
    <s v="May'25"/>
    <x v="0"/>
    <m/>
    <x v="0"/>
    <x v="0"/>
    <s v="2000-BPRS"/>
    <m/>
    <x v="1"/>
    <m/>
    <m/>
    <m/>
    <s v="South"/>
    <s v="YESHWANTHPURA"/>
    <m/>
    <n v="600103"/>
    <x v="21"/>
    <n v="3226988"/>
    <s v="HR COILS-PO THR099 HR99 3.40X1250"/>
    <s v=" "/>
    <s v=""/>
    <n v="10"/>
    <n v="27"/>
    <m/>
    <n v="768"/>
    <s v="THR099"/>
    <s v="HR99"/>
    <n v="3.4"/>
    <n v="1250"/>
    <n v="0"/>
    <n v="50"/>
    <n v="0"/>
    <n v="50"/>
    <n v="50"/>
    <n v="50"/>
    <n v="50"/>
    <n v="0"/>
    <n v="0"/>
    <n v="0"/>
    <n v="0"/>
    <n v="0"/>
    <n v="0"/>
    <n v="0"/>
    <n v="0"/>
    <n v="0"/>
    <n v="0"/>
    <n v="0"/>
    <n v="0"/>
    <n v="0"/>
    <n v="0"/>
    <n v="0"/>
    <n v="0"/>
    <n v="0"/>
    <n v="0"/>
    <n v="0"/>
    <n v="0"/>
    <n v="0"/>
    <n v="0"/>
    <n v="0"/>
    <m/>
    <m/>
    <m/>
    <m/>
    <m/>
    <m/>
    <m/>
    <m/>
    <m/>
    <m/>
    <m/>
    <m/>
    <m/>
    <m/>
    <m/>
    <m/>
    <m/>
    <m/>
    <m/>
    <m/>
    <m/>
    <m/>
    <m/>
    <m/>
    <m/>
    <m/>
    <m/>
    <m/>
    <m/>
    <m/>
    <m/>
    <m/>
    <m/>
    <m/>
    <m/>
    <m/>
    <m/>
    <m/>
    <m/>
    <m/>
    <m/>
    <m/>
    <m/>
    <m/>
    <m/>
    <m/>
    <m/>
    <m/>
    <m/>
  </r>
  <r>
    <n v="743"/>
    <d v="2025-03-28T00:00:00"/>
    <s v="ZBTO"/>
    <n v="9518649108"/>
    <n v="1"/>
    <s v="9518649108-1"/>
    <s v="May'25"/>
    <x v="0"/>
    <s v="Yes"/>
    <x v="4"/>
    <x v="5"/>
    <s v="1000-IPPE"/>
    <m/>
    <x v="1"/>
    <m/>
    <m/>
    <m/>
    <s v="West"/>
    <s v="SANAND"/>
    <m/>
    <n v="944226"/>
    <x v="84"/>
    <n v="3982724"/>
    <s v="GL COIL HARD  Y550GL HGL6 0.900X1200"/>
    <s v="AZ150"/>
    <s v=""/>
    <n v="10"/>
    <n v="17"/>
    <m/>
    <s v="B04"/>
    <s v="Y550GL"/>
    <s v="HGL6"/>
    <n v="0.9"/>
    <n v="1200"/>
    <n v="0"/>
    <n v="297"/>
    <n v="0"/>
    <n v="297"/>
    <n v="297"/>
    <n v="0"/>
    <n v="297"/>
    <n v="0"/>
    <n v="0"/>
    <n v="0"/>
    <n v="0"/>
    <n v="0"/>
    <n v="0"/>
    <n v="0"/>
    <n v="0"/>
    <n v="0"/>
    <n v="0"/>
    <n v="0"/>
    <n v="0"/>
    <n v="0"/>
    <n v="0"/>
    <n v="0"/>
    <n v="0"/>
    <n v="0"/>
    <n v="0"/>
    <n v="0"/>
    <n v="0"/>
    <n v="0"/>
    <n v="297"/>
    <n v="297"/>
    <m/>
    <m/>
    <m/>
    <m/>
    <m/>
    <m/>
    <m/>
    <m/>
    <m/>
    <m/>
    <m/>
    <m/>
    <m/>
    <m/>
    <m/>
    <m/>
    <m/>
    <m/>
    <m/>
    <m/>
    <m/>
    <m/>
    <m/>
    <m/>
    <m/>
    <m/>
    <m/>
    <m/>
    <m/>
    <m/>
    <m/>
    <m/>
    <m/>
    <m/>
    <m/>
    <m/>
    <m/>
    <m/>
    <m/>
    <m/>
    <m/>
    <m/>
    <m/>
    <m/>
    <m/>
    <m/>
    <m/>
    <m/>
    <m/>
  </r>
  <r>
    <n v="743"/>
    <d v="2025-02-21T00:00:00"/>
    <s v="ZBTO"/>
    <n v="9518539704"/>
    <n v="2"/>
    <s v="9518539704-2"/>
    <s v="No Priority"/>
    <x v="0"/>
    <m/>
    <x v="4"/>
    <x v="5"/>
    <s v="1000-IPPE"/>
    <m/>
    <x v="0"/>
    <m/>
    <s v="Centre slit HR not available"/>
    <m/>
    <s v="South"/>
    <s v="ZAHIRABAD"/>
    <m/>
    <n v="188152"/>
    <x v="102"/>
    <n v="3893161"/>
    <s v="GL COIL HARD  Y550GL HGL6 0.940X1160"/>
    <s v="AZ150"/>
    <s v=""/>
    <n v="8"/>
    <n v="12"/>
    <m/>
    <s v="B04"/>
    <s v="Y550GL"/>
    <s v="HGL6"/>
    <n v="0.94"/>
    <n v="1160"/>
    <n v="0"/>
    <n v="162"/>
    <n v="0"/>
    <n v="162"/>
    <n v="162"/>
    <n v="162"/>
    <n v="162"/>
    <n v="0"/>
    <n v="0"/>
    <n v="0"/>
    <n v="0"/>
    <n v="0"/>
    <n v="0"/>
    <n v="0"/>
    <n v="0"/>
    <n v="0"/>
    <n v="0"/>
    <n v="0"/>
    <n v="0"/>
    <n v="0"/>
    <n v="0"/>
    <n v="0"/>
    <n v="0"/>
    <n v="0"/>
    <n v="0"/>
    <n v="0"/>
    <n v="0"/>
    <n v="0"/>
    <n v="0"/>
    <n v="0"/>
    <m/>
    <m/>
    <m/>
    <m/>
    <m/>
    <m/>
    <m/>
    <m/>
    <m/>
    <m/>
    <m/>
    <m/>
    <m/>
    <m/>
    <m/>
    <m/>
    <m/>
    <m/>
    <m/>
    <m/>
    <m/>
    <m/>
    <m/>
    <m/>
    <m/>
    <m/>
    <m/>
    <m/>
    <m/>
    <m/>
    <m/>
    <m/>
    <m/>
    <m/>
    <m/>
    <m/>
    <m/>
    <m/>
    <m/>
    <m/>
    <m/>
    <m/>
    <m/>
    <m/>
    <m/>
    <m/>
    <m/>
    <m/>
    <m/>
  </r>
  <r>
    <n v="742"/>
    <d v="2025-03-19T00:00:00"/>
    <s v="ZBTO"/>
    <n v="9518613530"/>
    <n v="2"/>
    <s v="9518613530-2"/>
    <s v="No Priority"/>
    <x v="0"/>
    <m/>
    <x v="1"/>
    <x v="10"/>
    <s v="1000-IPPE"/>
    <m/>
    <x v="0"/>
    <m/>
    <m/>
    <m/>
    <s v="South"/>
    <s v="VISAJHAPATNAM"/>
    <m/>
    <n v="188238"/>
    <x v="40"/>
    <n v="2299154"/>
    <s v="CRCA COIL TATXXD BT02 0.800X920"/>
    <s v=" "/>
    <s v=""/>
    <n v="6"/>
    <n v="10"/>
    <m/>
    <s v="C01"/>
    <s v="TATXXD"/>
    <s v="BT02"/>
    <n v="0.8"/>
    <n v="920"/>
    <n v="0"/>
    <n v="42"/>
    <n v="0"/>
    <n v="42"/>
    <n v="42"/>
    <n v="42"/>
    <n v="42"/>
    <n v="0"/>
    <n v="0"/>
    <n v="0"/>
    <n v="0"/>
    <n v="0"/>
    <n v="0"/>
    <n v="0"/>
    <n v="0"/>
    <n v="0"/>
    <n v="0"/>
    <n v="0"/>
    <n v="0"/>
    <n v="0"/>
    <n v="0"/>
    <n v="0"/>
    <n v="0"/>
    <n v="0"/>
    <n v="0"/>
    <n v="0"/>
    <n v="0"/>
    <n v="0"/>
    <n v="0"/>
    <n v="0"/>
    <m/>
    <m/>
    <m/>
    <m/>
    <m/>
    <m/>
    <m/>
    <m/>
    <m/>
    <m/>
    <m/>
    <m/>
    <m/>
    <m/>
    <m/>
    <m/>
    <m/>
    <m/>
    <m/>
    <m/>
    <m/>
    <m/>
    <m/>
    <m/>
    <m/>
    <m/>
    <m/>
    <m/>
    <m/>
    <m/>
    <m/>
    <m/>
    <m/>
    <m/>
    <m/>
    <m/>
    <m/>
    <m/>
    <m/>
    <m/>
    <m/>
    <m/>
    <m/>
    <m/>
    <m/>
    <m/>
    <m/>
    <m/>
    <m/>
  </r>
  <r>
    <n v="742"/>
    <d v="2025-03-20T00:00:00"/>
    <s v="ZBTO"/>
    <n v="9518617132"/>
    <n v="3"/>
    <s v="9518617132-3"/>
    <s v="No Priority"/>
    <x v="0"/>
    <m/>
    <x v="1"/>
    <x v="2"/>
    <s v="2000-BPRS"/>
    <m/>
    <x v="0"/>
    <m/>
    <m/>
    <m/>
    <s v="East"/>
    <s v="PATNA"/>
    <m/>
    <n v="103227"/>
    <x v="31"/>
    <n v="3240778"/>
    <s v="CRCA SHEET TSBCRC SR15 0.600X1000X2500"/>
    <s v=" "/>
    <s v=""/>
    <n v="0"/>
    <n v="0"/>
    <m/>
    <s v="C06"/>
    <s v="TSBCRC"/>
    <s v="SR15"/>
    <n v="0.6"/>
    <n v="1000"/>
    <n v="2500"/>
    <n v="12"/>
    <n v="0"/>
    <n v="12"/>
    <n v="12"/>
    <n v="-10.440000000000001"/>
    <n v="12"/>
    <n v="0"/>
    <n v="0"/>
    <n v="0"/>
    <n v="0"/>
    <n v="0"/>
    <n v="0"/>
    <n v="0"/>
    <n v="0"/>
    <n v="0"/>
    <n v="0"/>
    <n v="0"/>
    <n v="0"/>
    <n v="0"/>
    <n v="22.44"/>
    <n v="0"/>
    <n v="0"/>
    <n v="0"/>
    <n v="0"/>
    <n v="0"/>
    <n v="22.44"/>
    <n v="22.44"/>
    <n v="0"/>
    <n v="22.44"/>
    <m/>
    <m/>
    <m/>
    <m/>
    <m/>
    <m/>
    <m/>
    <m/>
    <m/>
    <m/>
    <m/>
    <m/>
    <m/>
    <m/>
    <m/>
    <m/>
    <m/>
    <m/>
    <m/>
    <m/>
    <m/>
    <m/>
    <m/>
    <m/>
    <m/>
    <m/>
    <m/>
    <m/>
    <m/>
    <m/>
    <m/>
    <m/>
    <m/>
    <m/>
    <m/>
    <m/>
    <m/>
    <m/>
    <m/>
    <m/>
    <m/>
    <m/>
    <m/>
    <m/>
    <m/>
    <m/>
    <m/>
    <m/>
    <m/>
  </r>
  <r>
    <n v="742"/>
    <d v="2025-03-20T00:00:00"/>
    <s v="ZBTO"/>
    <n v="9518617132"/>
    <n v="4"/>
    <s v="9518617132-4"/>
    <s v="No Priority"/>
    <x v="0"/>
    <m/>
    <x v="1"/>
    <x v="2"/>
    <s v="2000-BPRS"/>
    <m/>
    <x v="0"/>
    <m/>
    <m/>
    <m/>
    <s v="East"/>
    <s v="PATNA"/>
    <m/>
    <n v="103227"/>
    <x v="31"/>
    <n v="3240849"/>
    <s v="CRCA SHEET TSBCRC SR15 1.200X1250X2500"/>
    <s v=" "/>
    <s v=""/>
    <n v="0"/>
    <n v="0"/>
    <m/>
    <s v="C06"/>
    <s v="TSBCRC"/>
    <s v="SR15"/>
    <n v="1.2"/>
    <n v="1250"/>
    <n v="2500"/>
    <n v="12"/>
    <n v="0"/>
    <n v="12"/>
    <n v="12"/>
    <n v="12"/>
    <n v="12"/>
    <n v="0"/>
    <n v="0"/>
    <n v="0"/>
    <n v="0"/>
    <n v="0"/>
    <n v="0"/>
    <n v="0"/>
    <n v="0"/>
    <n v="0"/>
    <n v="0"/>
    <n v="0"/>
    <n v="0"/>
    <n v="0"/>
    <n v="0"/>
    <n v="0"/>
    <n v="0"/>
    <n v="0"/>
    <n v="0"/>
    <n v="0"/>
    <n v="0"/>
    <n v="0"/>
    <n v="0"/>
    <n v="0"/>
    <m/>
    <m/>
    <m/>
    <m/>
    <m/>
    <m/>
    <m/>
    <m/>
    <m/>
    <m/>
    <m/>
    <m/>
    <m/>
    <m/>
    <m/>
    <m/>
    <m/>
    <m/>
    <m/>
    <m/>
    <m/>
    <m/>
    <m/>
    <m/>
    <m/>
    <m/>
    <m/>
    <m/>
    <m/>
    <m/>
    <m/>
    <m/>
    <m/>
    <m/>
    <m/>
    <m/>
    <m/>
    <m/>
    <m/>
    <m/>
    <m/>
    <m/>
    <m/>
    <m/>
    <m/>
    <m/>
    <m/>
    <m/>
    <m/>
  </r>
  <r>
    <n v="743"/>
    <d v="2025-03-29T00:00:00"/>
    <s v="ZBTO"/>
    <n v="9518652119"/>
    <n v="2"/>
    <s v="9518652119-2"/>
    <s v="May'25"/>
    <x v="0"/>
    <m/>
    <x v="3"/>
    <x v="14"/>
    <s v="2000-BPRS"/>
    <m/>
    <x v="1"/>
    <m/>
    <m/>
    <s v="Maharashtra"/>
    <s v="West"/>
    <s v="NAGPUR"/>
    <m/>
    <n v="930519"/>
    <x v="104"/>
    <n v="1854410"/>
    <s v="GP COIL SOFT-TATXGP-GK09-0.4X1220"/>
    <s v="Z80"/>
    <s v=""/>
    <n v="4"/>
    <n v="6"/>
    <m/>
    <s v="C02"/>
    <s v="TATXGP"/>
    <s v="GK09"/>
    <n v="0.4"/>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21T00:00:00"/>
    <s v="ZBTO"/>
    <n v="9518620674"/>
    <n v="20"/>
    <s v="9518620674-20"/>
    <s v="No Priority"/>
    <x v="0"/>
    <s v="Yes"/>
    <x v="1"/>
    <x v="1"/>
    <s v="2000-BPRS"/>
    <m/>
    <x v="0"/>
    <m/>
    <m/>
    <m/>
    <s v="South"/>
    <s v="CHENNAI"/>
    <m/>
    <n v="938550"/>
    <x v="4"/>
    <n v="1884117"/>
    <s v="CRCA COIL-TATXXD-AU03-2X1250"/>
    <s v=" "/>
    <s v=""/>
    <n v="6"/>
    <n v="18"/>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27T00:00:00"/>
    <s v="ZBTO"/>
    <n v="9518645033"/>
    <n v="4"/>
    <s v="9518645033-4"/>
    <s v="May'25"/>
    <x v="0"/>
    <s v="Yes"/>
    <x v="1"/>
    <x v="1"/>
    <s v="2000-BPRS"/>
    <m/>
    <x v="1"/>
    <m/>
    <m/>
    <m/>
    <s v="South"/>
    <s v="GUMMIDIPOONDI"/>
    <m/>
    <n v="161312"/>
    <x v="54"/>
    <n v="2398457"/>
    <s v="CRCA COIL TATXXD AU03 1X1320"/>
    <s v=" "/>
    <s v=""/>
    <n v="5"/>
    <n v="29"/>
    <m/>
    <s v="C01"/>
    <s v="TATXXD"/>
    <s v="AU03"/>
    <n v="1"/>
    <n v="1320"/>
    <n v="0"/>
    <n v="210"/>
    <n v="0"/>
    <n v="210"/>
    <n v="210"/>
    <n v="181.21"/>
    <n v="210"/>
    <n v="0"/>
    <n v="0"/>
    <n v="0"/>
    <n v="0"/>
    <n v="0"/>
    <n v="0"/>
    <n v="0"/>
    <n v="0"/>
    <n v="0"/>
    <n v="0"/>
    <n v="0"/>
    <n v="0"/>
    <n v="0"/>
    <n v="28.79"/>
    <n v="0"/>
    <n v="0"/>
    <n v="0"/>
    <n v="0"/>
    <n v="0"/>
    <n v="28.79"/>
    <n v="28.79"/>
    <n v="0"/>
    <n v="28.79"/>
    <m/>
    <m/>
    <m/>
    <m/>
    <m/>
    <m/>
    <m/>
    <m/>
    <m/>
    <m/>
    <m/>
    <m/>
    <m/>
    <m/>
    <m/>
    <m/>
    <m/>
    <m/>
    <m/>
    <m/>
    <m/>
    <m/>
    <m/>
    <m/>
    <m/>
    <m/>
    <m/>
    <m/>
    <m/>
    <m/>
    <m/>
    <m/>
    <m/>
    <m/>
    <m/>
    <m/>
    <m/>
    <m/>
    <m/>
    <m/>
    <m/>
    <m/>
    <m/>
    <m/>
    <m/>
    <m/>
    <m/>
    <m/>
    <m/>
  </r>
  <r>
    <n v="742"/>
    <d v="2025-03-28T00:00:00"/>
    <s v="ZBTO"/>
    <n v="9518649438"/>
    <n v="2"/>
    <s v="9518649438-2"/>
    <s v="May'25"/>
    <x v="0"/>
    <s v="Yes"/>
    <x v="1"/>
    <x v="1"/>
    <s v="2000-BPRS"/>
    <m/>
    <x v="1"/>
    <m/>
    <m/>
    <m/>
    <s v="South"/>
    <s v="CHENNAI"/>
    <m/>
    <n v="116465"/>
    <x v="13"/>
    <n v="1804854"/>
    <s v="CRCA COIL-TATXXD-AU03-1.2X1250"/>
    <s v=" "/>
    <s v=""/>
    <n v="6"/>
    <n v="18"/>
    <m/>
    <s v="C01"/>
    <s v="TATXXD"/>
    <s v="AU03"/>
    <n v="1.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3T00:00:00"/>
    <s v="ZBTO"/>
    <n v="9518666879"/>
    <n v="1"/>
    <s v="9518666879-1"/>
    <s v="May'25"/>
    <x v="0"/>
    <m/>
    <x v="0"/>
    <x v="0"/>
    <s v="2000-BPRS"/>
    <n v="3600"/>
    <x v="1"/>
    <m/>
    <m/>
    <m/>
    <s v="South"/>
    <s v="CHENNAI"/>
    <m/>
    <n v="102888"/>
    <x v="95"/>
    <n v="1210086"/>
    <s v="HR COILS-PO IS 1079 HR2 4X1250"/>
    <s v=" "/>
    <s v=""/>
    <n v="18"/>
    <n v="27"/>
    <m/>
    <n v="768"/>
    <s v="THR099"/>
    <s v="HR99"/>
    <n v="4"/>
    <n v="1250"/>
    <n v="0"/>
    <n v="25"/>
    <n v="0"/>
    <n v="25"/>
    <n v="25"/>
    <n v="25"/>
    <n v="25"/>
    <n v="0"/>
    <n v="0"/>
    <n v="0"/>
    <n v="0"/>
    <n v="0"/>
    <n v="0"/>
    <n v="0"/>
    <n v="0"/>
    <n v="0"/>
    <n v="0"/>
    <n v="0"/>
    <n v="0"/>
    <n v="0"/>
    <n v="0"/>
    <n v="0"/>
    <n v="0"/>
    <n v="0"/>
    <n v="0"/>
    <n v="0"/>
    <n v="0"/>
    <n v="0"/>
    <n v="0"/>
    <n v="0"/>
    <m/>
    <m/>
    <m/>
    <m/>
    <m/>
    <m/>
    <m/>
    <m/>
    <m/>
    <m/>
    <m/>
    <m/>
    <m/>
    <m/>
    <m/>
    <m/>
    <m/>
    <m/>
    <m/>
    <m/>
    <m/>
    <m/>
    <m/>
    <m/>
    <m/>
    <m/>
    <m/>
    <m/>
    <m/>
    <m/>
    <m/>
    <m/>
    <m/>
    <m/>
    <m/>
    <m/>
    <m/>
    <m/>
    <m/>
    <m/>
    <m/>
    <m/>
    <m/>
    <m/>
    <m/>
    <m/>
    <m/>
    <m/>
    <m/>
  </r>
  <r>
    <n v="742"/>
    <d v="2025-02-05T00:00:00"/>
    <s v="ZBTO"/>
    <n v="9518495920"/>
    <n v="4"/>
    <s v="9518495920-4"/>
    <s v="May'25"/>
    <x v="0"/>
    <s v="Yes"/>
    <x v="1"/>
    <x v="2"/>
    <s v="2000-BPRS"/>
    <m/>
    <x v="1"/>
    <m/>
    <m/>
    <m/>
    <s v="North"/>
    <s v="VARANASI"/>
    <m/>
    <n v="931525"/>
    <x v="2"/>
    <n v="3240863"/>
    <s v="CRCA SHEET TSBCRC SR15 1.500X1250X2500"/>
    <s v=" "/>
    <s v=""/>
    <n v="0"/>
    <n v="0"/>
    <m/>
    <s v="C06"/>
    <s v="TSBCRC"/>
    <s v="SR15"/>
    <n v="1.5"/>
    <n v="1250"/>
    <n v="2500"/>
    <n v="27"/>
    <n v="0"/>
    <n v="27"/>
    <n v="27"/>
    <n v="27"/>
    <n v="27"/>
    <n v="0"/>
    <n v="0"/>
    <n v="0"/>
    <n v="0"/>
    <n v="0"/>
    <n v="0"/>
    <n v="0"/>
    <n v="0"/>
    <n v="0"/>
    <n v="0"/>
    <n v="0"/>
    <n v="0"/>
    <n v="0"/>
    <n v="0"/>
    <n v="0"/>
    <n v="0"/>
    <n v="0"/>
    <n v="0"/>
    <n v="0"/>
    <n v="0"/>
    <n v="0"/>
    <n v="0"/>
    <n v="0"/>
    <m/>
    <m/>
    <m/>
    <m/>
    <m/>
    <m/>
    <m/>
    <m/>
    <m/>
    <m/>
    <m/>
    <m/>
    <m/>
    <m/>
    <m/>
    <m/>
    <m/>
    <m/>
    <m/>
    <m/>
    <m/>
    <m/>
    <m/>
    <m/>
    <m/>
    <m/>
    <m/>
    <m/>
    <m/>
    <m/>
    <m/>
    <m/>
    <m/>
    <m/>
    <m/>
    <m/>
    <m/>
    <m/>
    <m/>
    <m/>
    <m/>
    <m/>
    <m/>
    <m/>
    <m/>
    <m/>
    <m/>
    <m/>
    <m/>
  </r>
  <r>
    <n v="742"/>
    <d v="2025-04-02T00:00:00"/>
    <s v="ZBTO"/>
    <n v="9518664956"/>
    <n v="1"/>
    <s v="9518664956-1"/>
    <s v="May'25"/>
    <x v="0"/>
    <s v="Yes"/>
    <x v="1"/>
    <x v="1"/>
    <s v="2000-BPRS"/>
    <m/>
    <x v="1"/>
    <m/>
    <m/>
    <m/>
    <s v="South"/>
    <s v="CHENNAI"/>
    <m/>
    <n v="102888"/>
    <x v="95"/>
    <n v="1804814"/>
    <s v="CRCA COIL TATXXD AU03 0.8X1250"/>
    <s v=" "/>
    <s v=""/>
    <n v="6"/>
    <n v="18"/>
    <m/>
    <s v="C01"/>
    <s v="TATXXD"/>
    <s v="AU03"/>
    <n v="0.8"/>
    <n v="1250"/>
    <n v="0"/>
    <n v="29"/>
    <n v="0"/>
    <n v="29"/>
    <n v="29"/>
    <n v="1.5700000000000003"/>
    <n v="29"/>
    <n v="0"/>
    <n v="0"/>
    <n v="0"/>
    <n v="0"/>
    <n v="0"/>
    <n v="0"/>
    <n v="0"/>
    <n v="0"/>
    <n v="0"/>
    <n v="0"/>
    <n v="0"/>
    <n v="0"/>
    <n v="0"/>
    <n v="27.43"/>
    <n v="0"/>
    <n v="0"/>
    <n v="0"/>
    <n v="0"/>
    <n v="0"/>
    <n v="27.43"/>
    <n v="27.43"/>
    <n v="0"/>
    <n v="27.43"/>
    <m/>
    <m/>
    <m/>
    <m/>
    <m/>
    <m/>
    <m/>
    <m/>
    <m/>
    <m/>
    <m/>
    <m/>
    <m/>
    <m/>
    <m/>
    <m/>
    <m/>
    <m/>
    <m/>
    <m/>
    <m/>
    <m/>
    <m/>
    <m/>
    <m/>
    <m/>
    <m/>
    <m/>
    <m/>
    <m/>
    <m/>
    <m/>
    <m/>
    <m/>
    <m/>
    <m/>
    <m/>
    <m/>
    <m/>
    <m/>
    <m/>
    <m/>
    <m/>
    <m/>
    <m/>
    <m/>
    <m/>
    <m/>
    <m/>
  </r>
  <r>
    <n v="742"/>
    <d v="2025-04-02T00:00:00"/>
    <s v="ZBTO"/>
    <n v="9518664956"/>
    <n v="3"/>
    <s v="9518664956-3"/>
    <s v="No Priority"/>
    <x v="0"/>
    <s v="Yes"/>
    <x v="1"/>
    <x v="1"/>
    <s v="2000-BPRS"/>
    <m/>
    <x v="0"/>
    <m/>
    <s v="De-prioritized due to Apr CF orders"/>
    <m/>
    <s v="South"/>
    <s v="CHENNAI"/>
    <m/>
    <n v="102888"/>
    <x v="95"/>
    <n v="1804854"/>
    <s v="CRCA COIL-TATXXD-AU03-1.2X1250"/>
    <s v=" "/>
    <s v=""/>
    <n v="6"/>
    <n v="18"/>
    <m/>
    <s v="C01"/>
    <s v="TATXXD"/>
    <s v="AU03"/>
    <n v="1.2"/>
    <n v="1250"/>
    <n v="0"/>
    <n v="29"/>
    <n v="0"/>
    <n v="29"/>
    <n v="29"/>
    <n v="29"/>
    <n v="29"/>
    <n v="0"/>
    <n v="0"/>
    <n v="0"/>
    <n v="0"/>
    <n v="0"/>
    <n v="0"/>
    <n v="0"/>
    <n v="0"/>
    <n v="0"/>
    <n v="0"/>
    <n v="0"/>
    <n v="0"/>
    <n v="0"/>
    <n v="0"/>
    <n v="0"/>
    <n v="0"/>
    <n v="0"/>
    <n v="0"/>
    <n v="0"/>
    <n v="0"/>
    <n v="0"/>
    <n v="0"/>
    <n v="0"/>
    <m/>
    <m/>
    <m/>
    <m/>
    <m/>
    <m/>
    <m/>
    <m/>
    <m/>
    <m/>
    <m/>
    <m/>
    <m/>
    <m/>
    <m/>
    <m/>
    <m/>
    <m/>
    <m/>
    <m/>
    <m/>
    <m/>
    <m/>
    <m/>
    <m/>
    <m/>
    <m/>
    <m/>
    <m/>
    <m/>
    <m/>
    <m/>
    <m/>
    <m/>
    <m/>
    <m/>
    <m/>
    <m/>
    <m/>
    <m/>
    <m/>
    <m/>
    <m/>
    <m/>
    <m/>
    <m/>
    <m/>
    <m/>
    <m/>
  </r>
  <r>
    <n v="743"/>
    <d v="2025-03-25T00:00:00"/>
    <s v="ZBTO"/>
    <n v="9518633224"/>
    <n v="1"/>
    <s v="9518633224-1"/>
    <s v="May'25"/>
    <x v="0"/>
    <m/>
    <x v="4"/>
    <x v="5"/>
    <s v="1000-IPPE"/>
    <m/>
    <x v="1"/>
    <m/>
    <m/>
    <m/>
    <s v="West"/>
    <s v="VADODARA"/>
    <m/>
    <n v="184591"/>
    <x v="18"/>
    <n v="3875613"/>
    <s v="GL COIL HARD  Y550GL HGL6 0.800X1250"/>
    <s v="AZ150"/>
    <s v=""/>
    <n v="8"/>
    <n v="18"/>
    <m/>
    <s v="B04"/>
    <s v="Y550GL"/>
    <s v="HGL6"/>
    <n v="0.8"/>
    <n v="1250"/>
    <n v="0"/>
    <n v="261"/>
    <n v="240.84"/>
    <n v="20.16"/>
    <n v="6.73"/>
    <n v="20.16"/>
    <n v="20.16"/>
    <n v="0"/>
    <n v="0"/>
    <n v="0"/>
    <n v="0"/>
    <n v="0"/>
    <n v="0"/>
    <n v="0"/>
    <n v="0"/>
    <n v="0"/>
    <n v="0"/>
    <n v="0"/>
    <n v="0"/>
    <n v="0"/>
    <n v="0"/>
    <n v="0"/>
    <n v="0"/>
    <n v="0"/>
    <n v="0"/>
    <n v="0"/>
    <n v="0"/>
    <n v="0"/>
    <n v="0"/>
    <n v="0"/>
    <m/>
    <m/>
    <m/>
    <m/>
    <m/>
    <m/>
    <m/>
    <m/>
    <m/>
    <m/>
    <m/>
    <m/>
    <m/>
    <m/>
    <m/>
    <m/>
    <m/>
    <m/>
    <m/>
    <m/>
    <m/>
    <m/>
    <m/>
    <m/>
    <m/>
    <m/>
    <m/>
    <m/>
    <m/>
    <m/>
    <m/>
    <m/>
    <m/>
    <m/>
    <m/>
    <m/>
    <m/>
    <m/>
    <m/>
    <m/>
    <m/>
    <m/>
    <m/>
    <m/>
    <m/>
    <m/>
    <m/>
    <m/>
    <m/>
  </r>
  <r>
    <n v="743"/>
    <d v="2025-03-25T00:00:00"/>
    <s v="ZBTO"/>
    <n v="9518633224"/>
    <n v="2"/>
    <s v="9518633224-2"/>
    <s v="May'25"/>
    <x v="0"/>
    <s v="Yes"/>
    <x v="4"/>
    <x v="5"/>
    <s v="1000-IPPE"/>
    <m/>
    <x v="1"/>
    <m/>
    <m/>
    <m/>
    <s v="West"/>
    <s v="VADODARA"/>
    <m/>
    <n v="184591"/>
    <x v="18"/>
    <n v="3875613"/>
    <s v="GL COIL HARD  Y550GL HGL6 0.800X1250"/>
    <s v="AZ150"/>
    <s v=""/>
    <n v="8"/>
    <n v="18"/>
    <m/>
    <s v="B04"/>
    <s v="Y550GL"/>
    <s v="HGL6"/>
    <n v="0.8"/>
    <n v="1250"/>
    <n v="0"/>
    <n v="261"/>
    <n v="0"/>
    <n v="261"/>
    <n v="261"/>
    <n v="261"/>
    <n v="261"/>
    <n v="0"/>
    <n v="0"/>
    <n v="0"/>
    <n v="0"/>
    <n v="0"/>
    <n v="0"/>
    <n v="0"/>
    <n v="0"/>
    <n v="0"/>
    <n v="0"/>
    <n v="0"/>
    <n v="0"/>
    <n v="0"/>
    <n v="0"/>
    <n v="0"/>
    <n v="0"/>
    <n v="0"/>
    <n v="0"/>
    <n v="0"/>
    <n v="0"/>
    <n v="0"/>
    <n v="0"/>
    <n v="0"/>
    <m/>
    <m/>
    <m/>
    <m/>
    <m/>
    <m/>
    <m/>
    <m/>
    <m/>
    <m/>
    <m/>
    <m/>
    <m/>
    <m/>
    <m/>
    <m/>
    <m/>
    <m/>
    <m/>
    <m/>
    <m/>
    <m/>
    <m/>
    <m/>
    <m/>
    <m/>
    <m/>
    <m/>
    <m/>
    <m/>
    <m/>
    <m/>
    <m/>
    <m/>
    <m/>
    <m/>
    <m/>
    <m/>
    <m/>
    <m/>
    <m/>
    <m/>
    <m/>
    <m/>
    <m/>
    <m/>
    <m/>
    <m/>
    <m/>
  </r>
  <r>
    <n v="742"/>
    <d v="2025-03-31T00:00:00"/>
    <s v="ZBTO"/>
    <n v="9518660656"/>
    <n v="6"/>
    <s v="9518660656-6"/>
    <s v="May'25"/>
    <x v="0"/>
    <s v="Yes"/>
    <x v="1"/>
    <x v="2"/>
    <s v="2000-BPRS"/>
    <m/>
    <x v="1"/>
    <m/>
    <m/>
    <m/>
    <s v="East"/>
    <s v="HOWRAH"/>
    <m/>
    <n v="101278"/>
    <x v="11"/>
    <n v="3409912"/>
    <s v="CRCA SHEET TSBCRC SR15 0.500X1120X2000"/>
    <s v=" "/>
    <s v=""/>
    <n v="0"/>
    <n v="0"/>
    <m/>
    <s v="C06"/>
    <s v="TSBCRC"/>
    <s v="SR15"/>
    <n v="0.5"/>
    <n v="1120"/>
    <n v="2000"/>
    <n v="24"/>
    <n v="0"/>
    <n v="24"/>
    <n v="24"/>
    <n v="24"/>
    <n v="24"/>
    <n v="0"/>
    <n v="0"/>
    <n v="0"/>
    <n v="0"/>
    <n v="0"/>
    <n v="0"/>
    <n v="0"/>
    <n v="0"/>
    <n v="0"/>
    <n v="0"/>
    <n v="0"/>
    <n v="0"/>
    <n v="0"/>
    <n v="0"/>
    <n v="0"/>
    <n v="0"/>
    <n v="0"/>
    <n v="0"/>
    <n v="0"/>
    <n v="0"/>
    <n v="0"/>
    <n v="0"/>
    <n v="0"/>
    <m/>
    <m/>
    <m/>
    <m/>
    <m/>
    <m/>
    <m/>
    <m/>
    <m/>
    <m/>
    <m/>
    <m/>
    <m/>
    <m/>
    <m/>
    <m/>
    <m/>
    <m/>
    <m/>
    <m/>
    <m/>
    <m/>
    <m/>
    <m/>
    <m/>
    <m/>
    <m/>
    <m/>
    <m/>
    <m/>
    <m/>
    <m/>
    <m/>
    <m/>
    <m/>
    <m/>
    <m/>
    <m/>
    <m/>
    <m/>
    <m/>
    <m/>
    <m/>
    <m/>
    <m/>
    <m/>
    <m/>
    <m/>
    <m/>
  </r>
  <r>
    <n v="742"/>
    <d v="2025-03-16T00:00:00"/>
    <s v="ZBTO"/>
    <n v="9518604267"/>
    <n v="2"/>
    <s v="9518604267-2"/>
    <s v="May'25"/>
    <x v="0"/>
    <s v="Yes"/>
    <x v="5"/>
    <x v="10"/>
    <s v="1000-IPPE"/>
    <m/>
    <x v="1"/>
    <m/>
    <m/>
    <m/>
    <s v="West"/>
    <s v="VILLAGE-PRAGPAR"/>
    <m/>
    <n v="189108"/>
    <x v="105"/>
    <n v="3577912"/>
    <s v="CR COIL TATFHC TR10 0.360X1320"/>
    <s v=" "/>
    <s v=""/>
    <n v="10"/>
    <n v="22"/>
    <m/>
    <s v="C09"/>
    <s v="TATFHC"/>
    <s v="TR10"/>
    <n v="0.36"/>
    <n v="1320"/>
    <n v="0"/>
    <n v="300"/>
    <n v="0"/>
    <n v="300"/>
    <n v="300"/>
    <n v="243.38499999999999"/>
    <n v="285.89"/>
    <n v="0"/>
    <n v="0"/>
    <n v="29.7"/>
    <n v="0"/>
    <n v="0"/>
    <n v="0"/>
    <n v="0"/>
    <n v="0"/>
    <n v="0"/>
    <n v="0"/>
    <n v="0"/>
    <n v="0"/>
    <n v="0"/>
    <n v="0"/>
    <n v="0"/>
    <n v="26.915000000000003"/>
    <n v="0"/>
    <n v="0"/>
    <n v="0"/>
    <n v="56.615000000000002"/>
    <n v="56.615000000000002"/>
    <n v="0"/>
    <n v="56.615000000000002"/>
    <m/>
    <m/>
    <m/>
    <m/>
    <m/>
    <m/>
    <m/>
    <m/>
    <m/>
    <m/>
    <m/>
    <m/>
    <m/>
    <m/>
    <m/>
    <m/>
    <m/>
    <m/>
    <m/>
    <m/>
    <m/>
    <m/>
    <m/>
    <m/>
    <m/>
    <m/>
    <m/>
    <m/>
    <m/>
    <m/>
    <m/>
    <m/>
    <m/>
    <m/>
    <m/>
    <m/>
    <m/>
    <m/>
    <m/>
    <m/>
    <m/>
    <m/>
    <m/>
    <m/>
    <m/>
    <m/>
    <m/>
    <m/>
    <m/>
  </r>
  <r>
    <n v="743"/>
    <d v="2025-03-19T00:00:00"/>
    <s v="ZBTO"/>
    <n v="9518613051"/>
    <n v="2"/>
    <s v="9518613051-2"/>
    <s v="No Priority"/>
    <x v="0"/>
    <m/>
    <x v="4"/>
    <x v="5"/>
    <s v="1000-IPPE"/>
    <m/>
    <x v="0"/>
    <m/>
    <s v="Centre slit HR not available"/>
    <m/>
    <s v="South"/>
    <s v="VIKARABAD"/>
    <m/>
    <n v="947959"/>
    <x v="65"/>
    <n v="3924555"/>
    <s v="GL COIL HARD  Y550GL HGL6 0.900X1045"/>
    <s v="AZ150"/>
    <s v=""/>
    <n v="7"/>
    <n v="15"/>
    <m/>
    <s v="B04"/>
    <s v="Y550GL"/>
    <s v="HGL6"/>
    <n v="0.9"/>
    <n v="1045"/>
    <n v="0"/>
    <n v="192"/>
    <n v="130.58000000000001"/>
    <n v="61.42"/>
    <n v="61.42"/>
    <n v="61.42"/>
    <n v="61.42"/>
    <n v="0"/>
    <n v="0"/>
    <n v="0"/>
    <n v="0"/>
    <n v="0"/>
    <n v="0"/>
    <n v="0"/>
    <n v="0"/>
    <n v="0"/>
    <n v="0"/>
    <n v="0"/>
    <n v="0"/>
    <n v="0"/>
    <n v="0"/>
    <n v="0"/>
    <n v="0"/>
    <n v="0"/>
    <n v="0"/>
    <n v="0"/>
    <n v="0"/>
    <n v="0"/>
    <n v="0"/>
    <n v="0"/>
    <m/>
    <m/>
    <m/>
    <m/>
    <m/>
    <m/>
    <m/>
    <m/>
    <m/>
    <m/>
    <m/>
    <m/>
    <m/>
    <m/>
    <m/>
    <m/>
    <m/>
    <m/>
    <m/>
    <m/>
    <m/>
    <m/>
    <m/>
    <m/>
    <m/>
    <m/>
    <m/>
    <m/>
    <m/>
    <m/>
    <m/>
    <m/>
    <m/>
    <m/>
    <m/>
    <m/>
    <m/>
    <m/>
    <m/>
    <m/>
    <m/>
    <m/>
    <m/>
    <m/>
    <m/>
    <m/>
    <m/>
    <m/>
    <m/>
  </r>
  <r>
    <n v="742"/>
    <d v="2025-04-03T00:00:00"/>
    <s v="ZBTO"/>
    <n v="9518666216"/>
    <n v="1"/>
    <s v="9518666216-1"/>
    <s v="No Priority"/>
    <x v="0"/>
    <m/>
    <x v="1"/>
    <x v="2"/>
    <s v="2000-BPRS"/>
    <m/>
    <x v="0"/>
    <m/>
    <m/>
    <m/>
    <s v="East"/>
    <s v="HOWRAH"/>
    <m/>
    <n v="101278"/>
    <x v="11"/>
    <n v="3239560"/>
    <s v="CRCA SHEET TATCRC SR16 0.450X900X2500"/>
    <s v=" "/>
    <s v=""/>
    <n v="0"/>
    <n v="0"/>
    <m/>
    <s v="C06"/>
    <s v="TATCRC"/>
    <s v="SR16"/>
    <n v="0.45"/>
    <n v="900"/>
    <n v="2500"/>
    <n v="27"/>
    <n v="0"/>
    <n v="27"/>
    <n v="-15.36"/>
    <n v="0"/>
    <n v="7.55"/>
    <n v="0"/>
    <n v="0"/>
    <n v="0"/>
    <n v="0"/>
    <n v="0"/>
    <n v="0"/>
    <n v="0"/>
    <n v="0"/>
    <n v="20.149999999999999"/>
    <n v="0"/>
    <n v="0"/>
    <n v="0"/>
    <n v="0"/>
    <n v="0"/>
    <n v="0"/>
    <n v="0"/>
    <n v="0"/>
    <n v="0"/>
    <n v="0"/>
    <n v="20.149999999999999"/>
    <n v="20.149999999999999"/>
    <n v="0"/>
    <n v="20.149999999999999"/>
    <m/>
    <m/>
    <m/>
    <m/>
    <m/>
    <m/>
    <m/>
    <m/>
    <m/>
    <m/>
    <m/>
    <m/>
    <m/>
    <m/>
    <m/>
    <m/>
    <m/>
    <m/>
    <m/>
    <m/>
    <m/>
    <m/>
    <m/>
    <m/>
    <m/>
    <m/>
    <m/>
    <m/>
    <m/>
    <m/>
    <m/>
    <m/>
    <m/>
    <m/>
    <m/>
    <m/>
    <m/>
    <m/>
    <m/>
    <m/>
    <m/>
    <m/>
    <m/>
    <m/>
    <m/>
    <m/>
    <m/>
    <m/>
    <m/>
  </r>
  <r>
    <n v="742"/>
    <d v="2025-04-03T00:00:00"/>
    <s v="ZBTO"/>
    <n v="9518666216"/>
    <n v="2"/>
    <s v="9518666216-2"/>
    <s v="May'25"/>
    <x v="0"/>
    <s v="Yes"/>
    <x v="1"/>
    <x v="2"/>
    <s v="2000-BPRS"/>
    <m/>
    <x v="1"/>
    <m/>
    <m/>
    <m/>
    <s v="East"/>
    <s v="HOWRAH"/>
    <m/>
    <n v="101278"/>
    <x v="11"/>
    <n v="3239567"/>
    <s v="CRCA SHEET TATCRC SR16 0.450X1000X2500"/>
    <s v=" "/>
    <s v=""/>
    <n v="0"/>
    <n v="0"/>
    <m/>
    <s v="C06"/>
    <s v="TATCRC"/>
    <s v="SR16"/>
    <n v="0.45"/>
    <n v="1000"/>
    <n v="2500"/>
    <n v="27"/>
    <n v="0"/>
    <n v="27"/>
    <n v="27"/>
    <n v="27"/>
    <n v="27"/>
    <n v="0"/>
    <n v="0"/>
    <n v="0"/>
    <n v="0"/>
    <n v="0"/>
    <n v="0"/>
    <n v="0"/>
    <n v="0"/>
    <n v="0"/>
    <n v="0"/>
    <n v="0"/>
    <n v="0"/>
    <n v="0"/>
    <n v="0"/>
    <n v="0"/>
    <n v="0"/>
    <n v="0"/>
    <n v="0"/>
    <n v="0"/>
    <n v="0"/>
    <n v="0"/>
    <n v="0"/>
    <n v="0"/>
    <m/>
    <m/>
    <m/>
    <m/>
    <m/>
    <m/>
    <m/>
    <m/>
    <m/>
    <m/>
    <m/>
    <m/>
    <m/>
    <m/>
    <m/>
    <m/>
    <m/>
    <m/>
    <m/>
    <m/>
    <m/>
    <m/>
    <m/>
    <m/>
    <m/>
    <m/>
    <m/>
    <m/>
    <m/>
    <m/>
    <m/>
    <m/>
    <m/>
    <m/>
    <m/>
    <m/>
    <m/>
    <m/>
    <m/>
    <m/>
    <m/>
    <m/>
    <m/>
    <m/>
    <m/>
    <m/>
    <m/>
    <m/>
    <m/>
  </r>
  <r>
    <n v="742"/>
    <d v="2025-04-02T00:00:00"/>
    <s v="ZBTO"/>
    <n v="9518664276"/>
    <n v="2"/>
    <s v="9518664276-2"/>
    <s v="No Priority"/>
    <x v="0"/>
    <s v="Yes"/>
    <x v="1"/>
    <x v="1"/>
    <s v="2000-BPRS"/>
    <m/>
    <x v="0"/>
    <m/>
    <m/>
    <m/>
    <s v="South"/>
    <s v="CHENNAI"/>
    <m/>
    <n v="102888"/>
    <x v="95"/>
    <n v="1804854"/>
    <s v="CRCA COIL-TATXXD-AU03-1.2X1250"/>
    <s v=" "/>
    <s v=""/>
    <n v="6"/>
    <n v="18"/>
    <m/>
    <s v="C01"/>
    <s v="TATXXD"/>
    <s v="AU03"/>
    <n v="1.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31T00:00:00"/>
    <s v="ZBTT"/>
    <n v="9518660606"/>
    <n v="1"/>
    <s v="9518660606-1"/>
    <s v="No Priority"/>
    <x v="0"/>
    <m/>
    <x v="0"/>
    <x v="15"/>
    <s v="3000-IPPE"/>
    <m/>
    <x v="0"/>
    <m/>
    <m/>
    <m/>
    <s v="South"/>
    <s v="YESHWANTHPURA"/>
    <m/>
    <n v="157491"/>
    <x v="0"/>
    <n v="1309819"/>
    <s v="HR COILS-PO IS 1079-HR2 3X1250"/>
    <s v=" "/>
    <s v=""/>
    <n v="17"/>
    <n v="27.5"/>
    <m/>
    <n v="768"/>
    <s v="THA058"/>
    <s v="HA58"/>
    <n v="3"/>
    <n v="1250"/>
    <n v="0"/>
    <n v="50"/>
    <n v="0"/>
    <n v="50"/>
    <n v="50"/>
    <n v="0"/>
    <n v="0"/>
    <n v="0"/>
    <n v="0"/>
    <n v="0"/>
    <n v="0"/>
    <n v="0"/>
    <n v="0"/>
    <n v="0"/>
    <n v="0"/>
    <n v="0"/>
    <n v="0"/>
    <n v="0"/>
    <n v="0"/>
    <n v="0"/>
    <n v="0"/>
    <n v="0"/>
    <n v="0"/>
    <n v="0"/>
    <n v="0"/>
    <n v="0"/>
    <n v="0"/>
    <n v="0"/>
    <n v="50"/>
    <n v="50"/>
    <m/>
    <m/>
    <m/>
    <m/>
    <m/>
    <m/>
    <m/>
    <m/>
    <m/>
    <m/>
    <m/>
    <m/>
    <m/>
    <m/>
    <m/>
    <m/>
    <m/>
    <m/>
    <m/>
    <m/>
    <m/>
    <m/>
    <m/>
    <m/>
    <m/>
    <m/>
    <m/>
    <m/>
    <m/>
    <m/>
    <m/>
    <m/>
    <m/>
    <m/>
    <m/>
    <m/>
    <m/>
    <m/>
    <m/>
    <m/>
    <m/>
    <m/>
    <m/>
    <m/>
    <m/>
    <m/>
    <m/>
    <m/>
    <m/>
  </r>
  <r>
    <n v="742"/>
    <d v="2025-03-31T00:00:00"/>
    <s v="ZBTT"/>
    <n v="9518660606"/>
    <n v="2"/>
    <s v="9518660606-2"/>
    <s v="No Priority"/>
    <x v="0"/>
    <m/>
    <x v="0"/>
    <x v="15"/>
    <s v="3000-IPPE"/>
    <m/>
    <x v="0"/>
    <m/>
    <m/>
    <m/>
    <s v="South"/>
    <s v="YESHWANTHPURA"/>
    <m/>
    <n v="157491"/>
    <x v="0"/>
    <n v="1309820"/>
    <s v="HR COILS-PO IS 1079-HR2 3.20X1250"/>
    <s v=" "/>
    <s v=""/>
    <n v="17"/>
    <n v="27.5"/>
    <m/>
    <n v="768"/>
    <s v="THA058"/>
    <s v="HA58"/>
    <n v="3.2"/>
    <n v="1250"/>
    <n v="0"/>
    <n v="50"/>
    <n v="0"/>
    <n v="50"/>
    <n v="50"/>
    <n v="0"/>
    <n v="0"/>
    <n v="0"/>
    <n v="0"/>
    <n v="0"/>
    <n v="0"/>
    <n v="0"/>
    <n v="0"/>
    <n v="0"/>
    <n v="0"/>
    <n v="0"/>
    <n v="0"/>
    <n v="0"/>
    <n v="0"/>
    <n v="0"/>
    <n v="0"/>
    <n v="0"/>
    <n v="0"/>
    <n v="0"/>
    <n v="0"/>
    <n v="0"/>
    <n v="0"/>
    <n v="0"/>
    <n v="50"/>
    <n v="50"/>
    <m/>
    <m/>
    <m/>
    <m/>
    <m/>
    <m/>
    <m/>
    <m/>
    <m/>
    <m/>
    <m/>
    <m/>
    <m/>
    <m/>
    <m/>
    <m/>
    <m/>
    <m/>
    <m/>
    <m/>
    <m/>
    <m/>
    <m/>
    <m/>
    <m/>
    <m/>
    <m/>
    <m/>
    <m/>
    <m/>
    <m/>
    <m/>
    <m/>
    <m/>
    <m/>
    <m/>
    <m/>
    <m/>
    <m/>
    <m/>
    <m/>
    <m/>
    <m/>
    <m/>
    <m/>
    <m/>
    <m/>
    <m/>
    <m/>
  </r>
  <r>
    <n v="742"/>
    <d v="2025-03-31T00:00:00"/>
    <s v="ZBTT"/>
    <n v="9518660606"/>
    <n v="3"/>
    <s v="9518660606-3"/>
    <s v="No Priority"/>
    <x v="0"/>
    <m/>
    <x v="0"/>
    <x v="15"/>
    <s v="3000-IPPE"/>
    <m/>
    <x v="0"/>
    <m/>
    <m/>
    <m/>
    <s v="South"/>
    <s v="YESHWANTHPURA"/>
    <m/>
    <n v="157491"/>
    <x v="0"/>
    <n v="1309822"/>
    <s v="HR COILS-PO IS 1079-HR2 4X1250"/>
    <s v=" "/>
    <s v=""/>
    <n v="17"/>
    <n v="27.5"/>
    <m/>
    <n v="768"/>
    <s v="THA058"/>
    <s v="HA58"/>
    <n v="4"/>
    <n v="1250"/>
    <n v="0"/>
    <n v="50"/>
    <n v="0"/>
    <n v="50"/>
    <n v="50"/>
    <n v="0"/>
    <n v="0"/>
    <n v="0"/>
    <n v="0"/>
    <n v="0"/>
    <n v="0"/>
    <n v="0"/>
    <n v="0"/>
    <n v="0"/>
    <n v="0"/>
    <n v="0"/>
    <n v="0"/>
    <n v="0"/>
    <n v="0"/>
    <n v="0"/>
    <n v="0"/>
    <n v="0"/>
    <n v="0"/>
    <n v="0"/>
    <n v="0"/>
    <n v="0"/>
    <n v="0"/>
    <n v="0"/>
    <n v="50"/>
    <n v="50"/>
    <m/>
    <m/>
    <m/>
    <m/>
    <m/>
    <m/>
    <m/>
    <m/>
    <m/>
    <m/>
    <m/>
    <m/>
    <m/>
    <m/>
    <m/>
    <m/>
    <m/>
    <m/>
    <m/>
    <m/>
    <m/>
    <m/>
    <m/>
    <m/>
    <m/>
    <m/>
    <m/>
    <m/>
    <m/>
    <m/>
    <m/>
    <m/>
    <m/>
    <m/>
    <m/>
    <m/>
    <m/>
    <m/>
    <m/>
    <m/>
    <m/>
    <m/>
    <m/>
    <m/>
    <m/>
    <m/>
    <m/>
    <m/>
    <m/>
  </r>
  <r>
    <n v="742"/>
    <d v="2025-03-31T00:00:00"/>
    <s v="ZBTT"/>
    <n v="9518660606"/>
    <n v="4"/>
    <s v="9518660606-4"/>
    <s v="No Priority"/>
    <x v="0"/>
    <m/>
    <x v="0"/>
    <x v="15"/>
    <s v="3000-IPPE"/>
    <m/>
    <x v="0"/>
    <m/>
    <m/>
    <m/>
    <s v="South"/>
    <s v="YESHWANTHPURA"/>
    <m/>
    <n v="157491"/>
    <x v="0"/>
    <n v="1309702"/>
    <s v="HR COILS-PO IS 1079-HR2 5X1250"/>
    <s v=" "/>
    <s v=""/>
    <n v="17"/>
    <n v="27.5"/>
    <m/>
    <n v="768"/>
    <s v="THA058"/>
    <s v="HA58"/>
    <n v="5"/>
    <n v="1250"/>
    <n v="0"/>
    <n v="50"/>
    <n v="0"/>
    <n v="50"/>
    <n v="50"/>
    <n v="0"/>
    <n v="0"/>
    <n v="0"/>
    <n v="0"/>
    <n v="0"/>
    <n v="0"/>
    <n v="0"/>
    <n v="0"/>
    <n v="0"/>
    <n v="0"/>
    <n v="0"/>
    <n v="0"/>
    <n v="0"/>
    <n v="0"/>
    <n v="0"/>
    <n v="0"/>
    <n v="0"/>
    <n v="0"/>
    <n v="0"/>
    <n v="0"/>
    <n v="0"/>
    <n v="0"/>
    <n v="0"/>
    <n v="50"/>
    <n v="50"/>
    <m/>
    <m/>
    <m/>
    <m/>
    <m/>
    <m/>
    <m/>
    <m/>
    <m/>
    <m/>
    <m/>
    <m/>
    <m/>
    <m/>
    <m/>
    <m/>
    <m/>
    <m/>
    <m/>
    <m/>
    <m/>
    <m/>
    <m/>
    <m/>
    <m/>
    <m/>
    <m/>
    <m/>
    <m/>
    <m/>
    <m/>
    <m/>
    <m/>
    <m/>
    <m/>
    <m/>
    <m/>
    <m/>
    <m/>
    <m/>
    <m/>
    <m/>
    <m/>
    <m/>
    <m/>
    <m/>
    <m/>
    <m/>
    <m/>
  </r>
  <r>
    <n v="742"/>
    <d v="2025-03-31T00:00:00"/>
    <s v="ZBTT"/>
    <n v="9518660606"/>
    <n v="5"/>
    <s v="9518660606-5"/>
    <s v="No Priority"/>
    <x v="0"/>
    <m/>
    <x v="0"/>
    <x v="15"/>
    <s v="3000-IPPE"/>
    <m/>
    <x v="0"/>
    <m/>
    <m/>
    <m/>
    <s v="South"/>
    <s v="YESHWANTHPURA"/>
    <m/>
    <n v="157491"/>
    <x v="0"/>
    <n v="1305553"/>
    <s v="HR COILS-PO IS 1079-HR2 6X1250"/>
    <s v=" "/>
    <s v=""/>
    <n v="17"/>
    <n v="27.5"/>
    <m/>
    <n v="768"/>
    <s v="THA058"/>
    <s v="HA58"/>
    <n v="6"/>
    <n v="1250"/>
    <n v="0"/>
    <n v="50"/>
    <n v="0"/>
    <n v="50"/>
    <n v="50"/>
    <n v="0"/>
    <n v="0"/>
    <n v="0"/>
    <n v="0"/>
    <n v="0"/>
    <n v="0"/>
    <n v="0"/>
    <n v="0"/>
    <n v="0"/>
    <n v="0"/>
    <n v="0"/>
    <n v="0"/>
    <n v="0"/>
    <n v="0"/>
    <n v="0"/>
    <n v="0"/>
    <n v="0"/>
    <n v="0"/>
    <n v="0"/>
    <n v="0"/>
    <n v="0"/>
    <n v="0"/>
    <n v="0"/>
    <n v="50"/>
    <n v="50"/>
    <m/>
    <m/>
    <m/>
    <m/>
    <m/>
    <m/>
    <m/>
    <m/>
    <m/>
    <m/>
    <m/>
    <m/>
    <m/>
    <m/>
    <m/>
    <m/>
    <m/>
    <m/>
    <m/>
    <m/>
    <m/>
    <m/>
    <m/>
    <m/>
    <m/>
    <m/>
    <m/>
    <m/>
    <m/>
    <m/>
    <m/>
    <m/>
    <m/>
    <m/>
    <m/>
    <m/>
    <m/>
    <m/>
    <m/>
    <m/>
    <m/>
    <m/>
    <m/>
    <m/>
    <m/>
    <m/>
    <m/>
    <m/>
    <m/>
  </r>
  <r>
    <n v="742"/>
    <d v="2025-03-24T00:00:00"/>
    <s v="ZBTO"/>
    <n v="9518628976"/>
    <n v="4"/>
    <s v="9518628976-4"/>
    <s v="May'25"/>
    <x v="0"/>
    <m/>
    <x v="1"/>
    <x v="1"/>
    <s v="2000-BPRS"/>
    <m/>
    <x v="1"/>
    <m/>
    <m/>
    <m/>
    <s v="South"/>
    <s v="VALPARAI"/>
    <m/>
    <n v="116465"/>
    <x v="13"/>
    <n v="353957"/>
    <s v="CRCA SHEET TATXXD AU03 0.80X1250X2500"/>
    <s v=" "/>
    <s v=""/>
    <n v="0"/>
    <n v="0"/>
    <m/>
    <s v="C06"/>
    <s v="TATXXD"/>
    <s v="AU03"/>
    <n v="0.8"/>
    <n v="1250"/>
    <n v="2500"/>
    <n v="60"/>
    <n v="0"/>
    <n v="60"/>
    <n v="60"/>
    <n v="5.5799999999999983"/>
    <n v="60"/>
    <n v="0"/>
    <n v="0"/>
    <n v="0"/>
    <n v="0"/>
    <n v="0"/>
    <n v="0"/>
    <n v="0"/>
    <n v="0"/>
    <n v="0"/>
    <n v="0"/>
    <n v="0"/>
    <n v="0"/>
    <n v="0"/>
    <n v="54.42"/>
    <n v="0"/>
    <n v="0"/>
    <n v="0"/>
    <n v="0"/>
    <n v="0"/>
    <n v="54.42"/>
    <n v="54.42"/>
    <n v="0"/>
    <n v="54.42"/>
    <m/>
    <m/>
    <m/>
    <m/>
    <m/>
    <m/>
    <m/>
    <m/>
    <m/>
    <m/>
    <m/>
    <m/>
    <m/>
    <m/>
    <m/>
    <m/>
    <m/>
    <m/>
    <m/>
    <m/>
    <m/>
    <m/>
    <m/>
    <m/>
    <m/>
    <m/>
    <m/>
    <m/>
    <m/>
    <m/>
    <m/>
    <m/>
    <m/>
    <m/>
    <m/>
    <m/>
    <m/>
    <m/>
    <m/>
    <m/>
    <m/>
    <m/>
    <m/>
    <m/>
    <m/>
    <m/>
    <m/>
    <m/>
    <m/>
  </r>
  <r>
    <n v="743"/>
    <d v="2025-02-11T00:00:00"/>
    <s v="ZBTO"/>
    <n v="9518509590"/>
    <n v="1"/>
    <s v="9518509590-1"/>
    <s v="No Priority"/>
    <x v="0"/>
    <m/>
    <x v="3"/>
    <x v="9"/>
    <s v="2000-BPRS"/>
    <m/>
    <x v="0"/>
    <m/>
    <m/>
    <m/>
    <s v="North"/>
    <s v="JAIPUR"/>
    <m/>
    <n v="117583"/>
    <x v="80"/>
    <n v="1854418"/>
    <s v="GP COIL SOFT-TATXGP-GK09-0.5X900"/>
    <s v="Z80"/>
    <s v=""/>
    <n v="5"/>
    <n v="7"/>
    <m/>
    <s v="C02"/>
    <s v="TATXGP"/>
    <s v="GK09"/>
    <n v="0.5"/>
    <n v="900"/>
    <n v="0"/>
    <n v="63"/>
    <n v="0"/>
    <n v="63"/>
    <n v="63"/>
    <n v="63"/>
    <n v="63"/>
    <n v="0"/>
    <n v="0"/>
    <n v="0"/>
    <n v="0"/>
    <n v="0"/>
    <n v="0"/>
    <n v="0"/>
    <n v="0"/>
    <n v="0"/>
    <n v="0"/>
    <n v="0"/>
    <n v="0"/>
    <n v="0"/>
    <n v="0"/>
    <n v="0"/>
    <n v="0"/>
    <n v="0"/>
    <n v="0"/>
    <n v="0"/>
    <n v="0"/>
    <n v="0"/>
    <n v="0"/>
    <n v="0"/>
    <m/>
    <m/>
    <m/>
    <m/>
    <m/>
    <m/>
    <m/>
    <m/>
    <m/>
    <m/>
    <m/>
    <m/>
    <m/>
    <m/>
    <m/>
    <m/>
    <m/>
    <m/>
    <m/>
    <m/>
    <m/>
    <m/>
    <m/>
    <m/>
    <m/>
    <m/>
    <m/>
    <m/>
    <m/>
    <m/>
    <m/>
    <m/>
    <m/>
    <m/>
    <m/>
    <m/>
    <m/>
    <m/>
    <m/>
    <m/>
    <m/>
    <m/>
    <m/>
    <m/>
    <m/>
    <m/>
    <m/>
    <m/>
    <m/>
  </r>
  <r>
    <n v="744"/>
    <d v="2025-03-12T00:00:00"/>
    <s v="ZBTO"/>
    <n v="9518595988"/>
    <n v="1"/>
    <s v="9518595988-1"/>
    <s v="May'25"/>
    <x v="0"/>
    <s v="Yes"/>
    <x v="2"/>
    <x v="3"/>
    <s v="1000-IPPE"/>
    <m/>
    <x v="1"/>
    <m/>
    <m/>
    <m/>
    <s v="TBSPL"/>
    <s v=" "/>
    <m/>
    <n v="941597"/>
    <x v="6"/>
    <n v="1633706"/>
    <s v="PPGL C Y550 HPL3 0.42BMT(0.50TPT)X1220"/>
    <s v="AZ150"/>
    <s v="RAL 9006 TSL 203"/>
    <n v="3"/>
    <n v="5"/>
    <m/>
    <s v="B18"/>
    <s v="Y550PL"/>
    <s v="HPL3"/>
    <n v="0.42"/>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06T00:00:00"/>
    <s v="ZBTO"/>
    <n v="9518578381"/>
    <n v="2"/>
    <s v="9518578381-2"/>
    <s v="May'25"/>
    <x v="0"/>
    <m/>
    <x v="0"/>
    <x v="0"/>
    <s v="2000-BPRS"/>
    <m/>
    <x v="1"/>
    <m/>
    <m/>
    <m/>
    <s v="South"/>
    <s v="PATTANCHERY"/>
    <m/>
    <n v="847544"/>
    <x v="79"/>
    <n v="1294719"/>
    <s v="HR COILS-POIS 1079 HR2  2.90X1250"/>
    <s v=" "/>
    <s v=""/>
    <n v="13"/>
    <n v="27"/>
    <m/>
    <n v="768"/>
    <s v="THR099"/>
    <s v="HR99"/>
    <n v="2.9"/>
    <n v="1250"/>
    <n v="0"/>
    <n v="50"/>
    <n v="24.524999999999999"/>
    <n v="25.475000000000001"/>
    <n v="25.475000000000001"/>
    <n v="0"/>
    <n v="25.475000000000001"/>
    <n v="0"/>
    <n v="0"/>
    <n v="0"/>
    <n v="0"/>
    <n v="0"/>
    <n v="0"/>
    <n v="0"/>
    <n v="0"/>
    <n v="0"/>
    <n v="0"/>
    <n v="0"/>
    <n v="0"/>
    <n v="0"/>
    <n v="0"/>
    <n v="0"/>
    <n v="0"/>
    <n v="0"/>
    <n v="0"/>
    <n v="0"/>
    <n v="0"/>
    <n v="0"/>
    <n v="25"/>
    <n v="25"/>
    <m/>
    <m/>
    <m/>
    <m/>
    <m/>
    <m/>
    <m/>
    <m/>
    <m/>
    <m/>
    <m/>
    <m/>
    <m/>
    <m/>
    <m/>
    <m/>
    <m/>
    <m/>
    <m/>
    <m/>
    <m/>
    <m/>
    <m/>
    <m/>
    <m/>
    <m/>
    <m/>
    <m/>
    <m/>
    <m/>
    <m/>
    <m/>
    <m/>
    <m/>
    <m/>
    <m/>
    <m/>
    <m/>
    <m/>
    <m/>
    <m/>
    <m/>
    <m/>
    <m/>
    <m/>
    <m/>
    <m/>
    <m/>
    <m/>
  </r>
  <r>
    <n v="743"/>
    <d v="2025-03-10T00:00:00"/>
    <s v="ZBTO"/>
    <n v="9518589716"/>
    <n v="1"/>
    <s v="9518589716-1"/>
    <s v="No Priority"/>
    <x v="0"/>
    <m/>
    <x v="3"/>
    <x v="9"/>
    <s v="2000-BPRS"/>
    <m/>
    <x v="0"/>
    <m/>
    <m/>
    <m/>
    <s v="North"/>
    <s v="KANPUR"/>
    <m/>
    <n v="933952"/>
    <x v="50"/>
    <n v="1851054"/>
    <s v="GP COIL SOFT-TATXGP-GK09-0.2X900"/>
    <s v="Z80"/>
    <s v=""/>
    <n v="3.2"/>
    <n v="5"/>
    <m/>
    <s v="C02"/>
    <s v="TATXGP"/>
    <s v="GK09"/>
    <n v="0.2"/>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0T00:00:00"/>
    <s v="ZBTO"/>
    <n v="9518589716"/>
    <n v="3"/>
    <s v="9518589716-3"/>
    <s v="No Priority"/>
    <x v="0"/>
    <m/>
    <x v="3"/>
    <x v="9"/>
    <s v="2000-BPRS"/>
    <m/>
    <x v="0"/>
    <m/>
    <m/>
    <m/>
    <s v="North"/>
    <s v="KANPUR"/>
    <m/>
    <n v="933952"/>
    <x v="50"/>
    <n v="1191956"/>
    <s v="GP COIL SOFT-TATXGP-GK09-0.35X900"/>
    <s v="Z80"/>
    <s v=""/>
    <n v="3.2"/>
    <n v="5"/>
    <m/>
    <s v="C02"/>
    <s v="TATXGP"/>
    <s v="GK09"/>
    <n v="0.35"/>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3-10T00:00:00"/>
    <s v="ZBTO"/>
    <n v="9518589716"/>
    <n v="4"/>
    <s v="9518589716-4"/>
    <s v="No Priority"/>
    <x v="0"/>
    <m/>
    <x v="3"/>
    <x v="9"/>
    <s v="2000-BPRS"/>
    <m/>
    <x v="0"/>
    <m/>
    <m/>
    <m/>
    <s v="North"/>
    <s v="KANPUR"/>
    <m/>
    <n v="933952"/>
    <x v="50"/>
    <n v="1178439"/>
    <s v="GP COIL SOFT-TATXGP-GK09-0.4X900"/>
    <s v="Z80"/>
    <s v=""/>
    <n v="3.2"/>
    <n v="5"/>
    <m/>
    <s v="C02"/>
    <s v="TATXGP"/>
    <s v="GK09"/>
    <n v="0.4"/>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3-10T00:00:00"/>
    <s v="ZBTO"/>
    <n v="9518589716"/>
    <n v="5"/>
    <s v="9518589716-5"/>
    <s v="No Priority"/>
    <x v="0"/>
    <m/>
    <x v="3"/>
    <x v="9"/>
    <s v="2000-BPRS"/>
    <m/>
    <x v="0"/>
    <m/>
    <m/>
    <m/>
    <s v="North"/>
    <s v="KANPUR"/>
    <m/>
    <n v="933952"/>
    <x v="50"/>
    <n v="1854418"/>
    <s v="GP COIL SOFT-TATXGP-GK09-0.5X900"/>
    <s v="Z80"/>
    <s v=""/>
    <n v="3.2"/>
    <n v="5"/>
    <m/>
    <s v="C02"/>
    <s v="TATXGP"/>
    <s v="GK09"/>
    <n v="0.5"/>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3-11T00:00:00"/>
    <s v="ZBTO"/>
    <n v="9518593433"/>
    <n v="2"/>
    <s v="9518593433-2"/>
    <s v="May'25"/>
    <x v="0"/>
    <s v="Yes"/>
    <x v="3"/>
    <x v="9"/>
    <s v="2000-BPRS"/>
    <m/>
    <x v="1"/>
    <m/>
    <m/>
    <m/>
    <s v="East"/>
    <s v=" "/>
    <m/>
    <n v="121328"/>
    <x v="10"/>
    <n v="1191956"/>
    <s v="GP COIL SOFT-TATXGP-GK09-0.35X900"/>
    <s v="Z80"/>
    <s v=""/>
    <n v="4"/>
    <n v="12"/>
    <m/>
    <s v="C02"/>
    <s v="TATXGP"/>
    <s v="GK09"/>
    <n v="0.35"/>
    <n v="900"/>
    <n v="0"/>
    <n v="42"/>
    <n v="0"/>
    <n v="42"/>
    <n v="42"/>
    <n v="42"/>
    <n v="22.125"/>
    <n v="0"/>
    <n v="0"/>
    <n v="0"/>
    <n v="0"/>
    <n v="0"/>
    <n v="0"/>
    <n v="0"/>
    <n v="0"/>
    <n v="0"/>
    <n v="0"/>
    <n v="0"/>
    <n v="0"/>
    <n v="0"/>
    <n v="0"/>
    <n v="0"/>
    <n v="0"/>
    <n v="0"/>
    <n v="0"/>
    <n v="0"/>
    <n v="0"/>
    <n v="0"/>
    <n v="0"/>
    <n v="0"/>
    <m/>
    <m/>
    <m/>
    <m/>
    <m/>
    <m/>
    <m/>
    <m/>
    <m/>
    <m/>
    <m/>
    <m/>
    <m/>
    <m/>
    <m/>
    <m/>
    <m/>
    <m/>
    <m/>
    <m/>
    <m/>
    <m/>
    <m/>
    <m/>
    <m/>
    <m/>
    <m/>
    <m/>
    <m/>
    <m/>
    <m/>
    <m/>
    <m/>
    <m/>
    <m/>
    <m/>
    <m/>
    <m/>
    <m/>
    <m/>
    <m/>
    <m/>
    <m/>
    <m/>
    <m/>
    <m/>
    <m/>
    <m/>
    <m/>
  </r>
  <r>
    <n v="742"/>
    <d v="2025-03-10T00:00:00"/>
    <s v="ZBTO"/>
    <n v="9518587895"/>
    <n v="1"/>
    <s v="9518587895-1"/>
    <s v="May'25"/>
    <x v="0"/>
    <s v="Yes"/>
    <x v="1"/>
    <x v="2"/>
    <s v="2000-BPRS"/>
    <m/>
    <x v="1"/>
    <m/>
    <m/>
    <m/>
    <s v="East"/>
    <s v="GUWAHATI"/>
    <m/>
    <n v="116649"/>
    <x v="24"/>
    <n v="3515918"/>
    <s v="CR COIL TSBCRC SR25 0.550X1250"/>
    <s v=" "/>
    <s v=""/>
    <n v="15"/>
    <n v="28"/>
    <m/>
    <s v="C01"/>
    <s v="TSBCRC"/>
    <s v="SR25"/>
    <n v="0.55000000000000004"/>
    <n v="1250"/>
    <n v="0"/>
    <n v="58"/>
    <n v="0"/>
    <n v="58"/>
    <n v="58"/>
    <n v="35.200000000000003"/>
    <n v="58"/>
    <n v="0"/>
    <n v="0"/>
    <n v="0"/>
    <n v="0"/>
    <n v="0"/>
    <n v="0"/>
    <n v="0"/>
    <n v="0"/>
    <n v="0"/>
    <n v="0"/>
    <n v="0"/>
    <n v="0"/>
    <n v="0"/>
    <n v="0"/>
    <n v="0"/>
    <n v="0"/>
    <n v="22.8"/>
    <n v="0"/>
    <n v="0"/>
    <n v="22.8"/>
    <n v="22.8"/>
    <n v="0"/>
    <n v="22.8"/>
    <m/>
    <m/>
    <m/>
    <m/>
    <m/>
    <m/>
    <m/>
    <m/>
    <m/>
    <m/>
    <m/>
    <m/>
    <m/>
    <m/>
    <m/>
    <m/>
    <m/>
    <m/>
    <m/>
    <m/>
    <m/>
    <m/>
    <m/>
    <m/>
    <m/>
    <m/>
    <m/>
    <m/>
    <m/>
    <m/>
    <m/>
    <m/>
    <m/>
    <m/>
    <m/>
    <m/>
    <m/>
    <m/>
    <m/>
    <m/>
    <m/>
    <m/>
    <m/>
    <m/>
    <m/>
    <m/>
    <m/>
    <m/>
    <m/>
  </r>
  <r>
    <n v="742"/>
    <d v="2025-03-24T00:00:00"/>
    <s v="ZBTO"/>
    <n v="9518628976"/>
    <n v="12"/>
    <s v="9518628976-12"/>
    <s v="No Priority"/>
    <x v="0"/>
    <s v="Yes"/>
    <x v="1"/>
    <x v="1"/>
    <s v="2000-BPRS"/>
    <m/>
    <x v="0"/>
    <m/>
    <m/>
    <m/>
    <s v="South"/>
    <s v="VALPARAI"/>
    <m/>
    <n v="116465"/>
    <x v="13"/>
    <n v="1804854"/>
    <s v="CRCA COIL-TATXXD-AU03-1.2X1250"/>
    <s v=" "/>
    <s v=""/>
    <n v="6"/>
    <n v="18"/>
    <m/>
    <s v="C01"/>
    <s v="TATXXD"/>
    <s v="AU03"/>
    <n v="1.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24T00:00:00"/>
    <s v="ZBTO"/>
    <n v="9518628976"/>
    <n v="13"/>
    <s v="9518628976-13"/>
    <s v="No Priority"/>
    <x v="0"/>
    <s v="Yes"/>
    <x v="1"/>
    <x v="1"/>
    <s v="2000-BPRS"/>
    <m/>
    <x v="0"/>
    <m/>
    <m/>
    <m/>
    <s v="South"/>
    <s v="VALPARAI"/>
    <m/>
    <n v="116465"/>
    <x v="13"/>
    <n v="2334995"/>
    <s v="CRCA COIL TATXXD AU03 1.500X1250"/>
    <s v=" "/>
    <s v=""/>
    <n v="6"/>
    <n v="18"/>
    <m/>
    <s v="C01"/>
    <s v="TATXXD"/>
    <s v="AU03"/>
    <n v="1.5"/>
    <n v="1250"/>
    <n v="0"/>
    <n v="29"/>
    <n v="0"/>
    <n v="29"/>
    <n v="0.74"/>
    <n v="0"/>
    <n v="9.6300000000000008"/>
    <n v="0"/>
    <n v="0"/>
    <n v="0"/>
    <n v="0"/>
    <n v="0"/>
    <n v="0"/>
    <n v="0"/>
    <n v="0"/>
    <n v="0"/>
    <n v="0"/>
    <n v="0"/>
    <n v="0"/>
    <n v="0"/>
    <n v="0"/>
    <n v="0"/>
    <n v="0"/>
    <n v="0"/>
    <n v="0"/>
    <n v="0"/>
    <n v="0"/>
    <n v="0"/>
    <n v="0"/>
    <n v="0"/>
    <m/>
    <m/>
    <m/>
    <m/>
    <m/>
    <m/>
    <m/>
    <m/>
    <m/>
    <m/>
    <m/>
    <m/>
    <m/>
    <m/>
    <m/>
    <m/>
    <m/>
    <m/>
    <m/>
    <m/>
    <m/>
    <m/>
    <m/>
    <m/>
    <m/>
    <m/>
    <m/>
    <m/>
    <m/>
    <m/>
    <m/>
    <m/>
    <m/>
    <m/>
    <m/>
    <m/>
    <m/>
    <m/>
    <m/>
    <m/>
    <m/>
    <m/>
    <m/>
    <m/>
    <m/>
    <m/>
    <m/>
    <m/>
    <m/>
  </r>
  <r>
    <n v="743"/>
    <d v="2025-03-21T00:00:00"/>
    <s v="ZBTO"/>
    <n v="9518620565"/>
    <n v="1"/>
    <s v="9518620565-1"/>
    <s v="No Priority"/>
    <x v="0"/>
    <m/>
    <x v="3"/>
    <x v="0"/>
    <s v="2000-BPRS"/>
    <m/>
    <x v="0"/>
    <m/>
    <m/>
    <m/>
    <s v="East"/>
    <s v="TATANAGAR"/>
    <m/>
    <n v="165053"/>
    <x v="5"/>
    <n v="1851836"/>
    <s v="GP COIL SOFT-TSBXGP-N1GP-0.3X900"/>
    <s v="Z80"/>
    <s v=""/>
    <n v="4"/>
    <n v="12"/>
    <m/>
    <s v="C02"/>
    <s v="TSBXGP"/>
    <s v="N1GP"/>
    <n v="0.3"/>
    <n v="900"/>
    <n v="0"/>
    <n v="21"/>
    <n v="0"/>
    <n v="21"/>
    <n v="21"/>
    <n v="21"/>
    <n v="10.9"/>
    <n v="0"/>
    <n v="0"/>
    <n v="0"/>
    <n v="0"/>
    <n v="0"/>
    <n v="0"/>
    <n v="0"/>
    <n v="0"/>
    <n v="0"/>
    <n v="0"/>
    <n v="0"/>
    <n v="0"/>
    <n v="0"/>
    <n v="0"/>
    <n v="0"/>
    <n v="0"/>
    <n v="0"/>
    <n v="0"/>
    <n v="0"/>
    <n v="0"/>
    <n v="0"/>
    <n v="0"/>
    <n v="0"/>
    <m/>
    <m/>
    <m/>
    <m/>
    <m/>
    <m/>
    <m/>
    <m/>
    <m/>
    <m/>
    <m/>
    <m/>
    <m/>
    <m/>
    <m/>
    <m/>
    <m/>
    <m/>
    <m/>
    <m/>
    <m/>
    <m/>
    <m/>
    <m/>
    <m/>
    <m/>
    <m/>
    <m/>
    <m/>
    <m/>
    <m/>
    <m/>
    <m/>
    <m/>
    <m/>
    <m/>
    <m/>
    <m/>
    <m/>
    <m/>
    <m/>
    <m/>
    <m/>
    <m/>
    <m/>
    <m/>
    <m/>
    <m/>
    <m/>
  </r>
  <r>
    <n v="742"/>
    <d v="2025-03-25T00:00:00"/>
    <s v="ZBTO"/>
    <n v="9518632737"/>
    <n v="3"/>
    <s v="9518632737-3"/>
    <s v="No Priority"/>
    <x v="0"/>
    <m/>
    <x v="1"/>
    <x v="10"/>
    <s v="1000-IPPE"/>
    <m/>
    <x v="0"/>
    <m/>
    <m/>
    <m/>
    <s v="North"/>
    <s v="FARIDABAD"/>
    <m/>
    <n v="189430"/>
    <x v="41"/>
    <n v="2170008"/>
    <s v="CRCA COIL TATXXD BT01 0.970X1220"/>
    <s v=" "/>
    <s v=""/>
    <n v="7"/>
    <n v="12"/>
    <m/>
    <s v="C01"/>
    <s v="TATXXD"/>
    <s v="BT01"/>
    <n v="0.97"/>
    <n v="1220"/>
    <n v="0"/>
    <n v="56"/>
    <n v="0"/>
    <n v="56"/>
    <n v="56"/>
    <n v="56"/>
    <n v="5.8"/>
    <n v="0"/>
    <n v="0"/>
    <n v="0"/>
    <n v="0"/>
    <n v="0"/>
    <n v="0"/>
    <n v="0"/>
    <n v="0"/>
    <n v="0"/>
    <n v="0"/>
    <n v="0"/>
    <n v="0"/>
    <n v="0"/>
    <n v="0"/>
    <n v="0"/>
    <n v="0"/>
    <n v="0"/>
    <n v="0"/>
    <n v="0"/>
    <n v="0"/>
    <n v="0"/>
    <n v="0"/>
    <n v="0"/>
    <m/>
    <m/>
    <m/>
    <m/>
    <m/>
    <m/>
    <m/>
    <m/>
    <m/>
    <m/>
    <m/>
    <m/>
    <m/>
    <m/>
    <m/>
    <m/>
    <m/>
    <m/>
    <m/>
    <m/>
    <m/>
    <m/>
    <m/>
    <m/>
    <m/>
    <m/>
    <m/>
    <m/>
    <m/>
    <m/>
    <m/>
    <m/>
    <m/>
    <m/>
    <m/>
    <m/>
    <m/>
    <m/>
    <m/>
    <m/>
    <m/>
    <m/>
    <m/>
    <m/>
    <m/>
    <m/>
    <m/>
    <m/>
    <m/>
  </r>
  <r>
    <n v="743"/>
    <d v="2025-03-29T00:00:00"/>
    <s v="ZBTO"/>
    <n v="9518652119"/>
    <n v="3"/>
    <s v="9518652119-3"/>
    <s v="May'25"/>
    <x v="0"/>
    <m/>
    <x v="3"/>
    <x v="14"/>
    <s v="2000-BPRS"/>
    <m/>
    <x v="1"/>
    <m/>
    <m/>
    <s v="Maharashtra"/>
    <s v="West"/>
    <s v="NAGPUR"/>
    <m/>
    <n v="930519"/>
    <x v="104"/>
    <n v="1300227"/>
    <s v="GP COIL SOFT-TATXGP-GLK1-0.6X1220"/>
    <s v="Z80"/>
    <s v=""/>
    <n v="4"/>
    <n v="6"/>
    <m/>
    <s v="C02"/>
    <s v="TATXGP"/>
    <s v="GLK1"/>
    <n v="0.6"/>
    <n v="1220"/>
    <n v="0"/>
    <n v="112"/>
    <n v="0"/>
    <n v="112"/>
    <n v="112"/>
    <n v="112"/>
    <n v="112"/>
    <n v="0"/>
    <n v="0"/>
    <n v="0"/>
    <n v="0"/>
    <n v="0"/>
    <n v="0"/>
    <n v="0"/>
    <n v="0"/>
    <n v="0"/>
    <n v="0"/>
    <n v="0"/>
    <n v="0"/>
    <n v="0"/>
    <n v="0"/>
    <n v="0"/>
    <n v="0"/>
    <n v="0"/>
    <n v="0"/>
    <n v="0"/>
    <n v="0"/>
    <n v="0"/>
    <n v="0"/>
    <n v="0"/>
    <m/>
    <m/>
    <m/>
    <m/>
    <m/>
    <m/>
    <m/>
    <m/>
    <m/>
    <m/>
    <m/>
    <m/>
    <m/>
    <m/>
    <m/>
    <m/>
    <m/>
    <m/>
    <m/>
    <m/>
    <m/>
    <m/>
    <m/>
    <m/>
    <m/>
    <m/>
    <m/>
    <m/>
    <m/>
    <m/>
    <m/>
    <m/>
    <m/>
    <m/>
    <m/>
    <m/>
    <m/>
    <m/>
    <m/>
    <m/>
    <m/>
    <m/>
    <m/>
    <m/>
    <m/>
    <m/>
    <m/>
    <m/>
    <m/>
  </r>
  <r>
    <n v="743"/>
    <d v="2025-03-27T00:00:00"/>
    <s v="ZBTO"/>
    <n v="9518644154"/>
    <n v="1"/>
    <s v="9518644154-1"/>
    <s v="May'25"/>
    <x v="0"/>
    <m/>
    <x v="3"/>
    <x v="14"/>
    <s v="2000-BPRS"/>
    <m/>
    <x v="1"/>
    <m/>
    <m/>
    <m/>
    <s v="East"/>
    <s v=" "/>
    <m/>
    <n v="121328"/>
    <x v="10"/>
    <n v="1300229"/>
    <s v="GP COIL SOFT-TATXGP-GLK1-0.4X1220"/>
    <s v="Z80"/>
    <s v=""/>
    <n v="4"/>
    <n v="12"/>
    <m/>
    <s v="C02"/>
    <s v="TATXGP"/>
    <s v="GLK1"/>
    <n v="0.4"/>
    <n v="1220"/>
    <n v="0"/>
    <n v="84"/>
    <n v="0"/>
    <n v="84"/>
    <n v="84"/>
    <n v="84"/>
    <n v="84"/>
    <n v="0"/>
    <n v="0"/>
    <n v="0"/>
    <n v="0"/>
    <n v="0"/>
    <n v="0"/>
    <n v="0"/>
    <n v="0"/>
    <n v="0"/>
    <n v="0"/>
    <n v="0"/>
    <n v="0"/>
    <n v="0"/>
    <n v="0"/>
    <n v="0"/>
    <n v="0"/>
    <n v="0"/>
    <n v="0"/>
    <n v="0"/>
    <n v="0"/>
    <n v="0"/>
    <n v="0"/>
    <n v="0"/>
    <m/>
    <m/>
    <m/>
    <m/>
    <m/>
    <m/>
    <m/>
    <m/>
    <m/>
    <m/>
    <m/>
    <m/>
    <m/>
    <m/>
    <m/>
    <m/>
    <m/>
    <m/>
    <m/>
    <m/>
    <m/>
    <m/>
    <m/>
    <m/>
    <m/>
    <m/>
    <m/>
    <m/>
    <m/>
    <m/>
    <m/>
    <m/>
    <m/>
    <m/>
    <m/>
    <m/>
    <m/>
    <m/>
    <m/>
    <m/>
    <m/>
    <m/>
    <m/>
    <m/>
    <m/>
    <m/>
    <m/>
    <m/>
    <m/>
  </r>
  <r>
    <n v="742"/>
    <d v="2025-03-26T00:00:00"/>
    <s v="ZBTO"/>
    <n v="9518637097"/>
    <n v="1"/>
    <s v="9518637097-1"/>
    <s v="No Priority"/>
    <x v="0"/>
    <m/>
    <x v="1"/>
    <x v="2"/>
    <s v="2000-BPRS"/>
    <m/>
    <x v="0"/>
    <m/>
    <m/>
    <m/>
    <s v="East"/>
    <s v="URLA"/>
    <m/>
    <n v="139336"/>
    <x v="89"/>
    <n v="3239560"/>
    <s v="CRCA SHEET TATCRC SR16 0.450X900X2500"/>
    <s v=" "/>
    <s v=""/>
    <n v="1"/>
    <n v="3"/>
    <m/>
    <s v="C06"/>
    <s v="TATCRC"/>
    <s v="SR16"/>
    <n v="0.45"/>
    <n v="900"/>
    <n v="2500"/>
    <n v="60"/>
    <n v="0"/>
    <n v="60"/>
    <n v="-3.41"/>
    <n v="0"/>
    <n v="1.2150000000000001"/>
    <n v="0"/>
    <n v="0"/>
    <n v="0"/>
    <n v="0"/>
    <n v="0"/>
    <n v="0"/>
    <n v="0"/>
    <n v="0"/>
    <n v="0"/>
    <n v="0"/>
    <n v="0"/>
    <n v="0"/>
    <n v="0"/>
    <n v="0"/>
    <n v="0"/>
    <n v="0"/>
    <n v="0"/>
    <n v="0"/>
    <n v="0"/>
    <n v="0"/>
    <n v="0"/>
    <n v="0"/>
    <n v="0"/>
    <m/>
    <m/>
    <m/>
    <m/>
    <m/>
    <m/>
    <m/>
    <m/>
    <m/>
    <m/>
    <m/>
    <m/>
    <m/>
    <m/>
    <m/>
    <m/>
    <m/>
    <m/>
    <m/>
    <m/>
    <m/>
    <m/>
    <m/>
    <m/>
    <m/>
    <m/>
    <m/>
    <m/>
    <m/>
    <m/>
    <m/>
    <m/>
    <m/>
    <m/>
    <m/>
    <m/>
    <m/>
    <m/>
    <m/>
    <m/>
    <m/>
    <m/>
    <m/>
    <m/>
    <m/>
    <m/>
    <m/>
    <m/>
    <m/>
  </r>
  <r>
    <n v="742"/>
    <d v="2025-03-27T00:00:00"/>
    <s v="ZBTO"/>
    <n v="9518645449"/>
    <n v="1"/>
    <s v="9518645449-1"/>
    <s v="May'25"/>
    <x v="0"/>
    <s v="Yes"/>
    <x v="1"/>
    <x v="2"/>
    <s v="2000-BPRS"/>
    <m/>
    <x v="1"/>
    <m/>
    <m/>
    <m/>
    <s v="East"/>
    <s v="SILIGURI TOWN"/>
    <m/>
    <n v="948783"/>
    <x v="24"/>
    <n v="3542990"/>
    <s v="CRCA SHEET TSBCRC SR15 0.750X1120X2000"/>
    <s v=" "/>
    <s v=""/>
    <n v="2"/>
    <n v="3"/>
    <m/>
    <s v="C06"/>
    <s v="TSBCRC"/>
    <s v="SR15"/>
    <n v="0.75"/>
    <n v="1120"/>
    <n v="2000"/>
    <n v="24"/>
    <n v="0"/>
    <n v="24"/>
    <n v="24"/>
    <n v="24"/>
    <n v="24"/>
    <n v="0"/>
    <n v="0"/>
    <n v="0"/>
    <n v="0"/>
    <n v="0"/>
    <n v="0"/>
    <n v="0"/>
    <n v="0"/>
    <n v="0"/>
    <n v="0"/>
    <n v="0"/>
    <n v="0"/>
    <n v="0"/>
    <n v="0"/>
    <n v="0"/>
    <n v="0"/>
    <n v="0"/>
    <n v="0"/>
    <n v="0"/>
    <n v="0"/>
    <n v="0"/>
    <n v="0"/>
    <n v="0"/>
    <m/>
    <m/>
    <m/>
    <m/>
    <m/>
    <m/>
    <m/>
    <m/>
    <m/>
    <m/>
    <m/>
    <m/>
    <m/>
    <m/>
    <m/>
    <m/>
    <m/>
    <m/>
    <m/>
    <m/>
    <m/>
    <m/>
    <m/>
    <m/>
    <m/>
    <m/>
    <m/>
    <m/>
    <m/>
    <m/>
    <m/>
    <m/>
    <m/>
    <m/>
    <m/>
    <m/>
    <m/>
    <m/>
    <m/>
    <m/>
    <m/>
    <m/>
    <m/>
    <m/>
    <m/>
    <m/>
    <m/>
    <m/>
    <m/>
  </r>
  <r>
    <n v="742"/>
    <d v="2025-03-06T00:00:00"/>
    <s v="ZBTO"/>
    <n v="9518579267"/>
    <n v="1"/>
    <s v="9518579267-1"/>
    <s v="No Priority"/>
    <x v="0"/>
    <m/>
    <x v="1"/>
    <x v="12"/>
    <s v="2000-BPRS"/>
    <m/>
    <x v="0"/>
    <m/>
    <m/>
    <m/>
    <s v="South"/>
    <s v="YESHWANTHPURA"/>
    <m/>
    <n v="939268"/>
    <x v="0"/>
    <n v="3587949"/>
    <s v="CR COIL TSBSTA EL06 0.500X1250"/>
    <s v=" "/>
    <s v=""/>
    <n v="2"/>
    <n v="28"/>
    <m/>
    <s v="C01"/>
    <s v="TSBSTA"/>
    <s v="EL06"/>
    <n v="0.5"/>
    <n v="1250"/>
    <n v="0"/>
    <n v="58"/>
    <n v="0"/>
    <n v="58"/>
    <n v="-24.38"/>
    <n v="0"/>
    <n v="31.97"/>
    <n v="0"/>
    <n v="0"/>
    <n v="0"/>
    <n v="0"/>
    <n v="0"/>
    <n v="0"/>
    <n v="0"/>
    <n v="0"/>
    <n v="0"/>
    <n v="0"/>
    <n v="0"/>
    <n v="0"/>
    <n v="0"/>
    <n v="0"/>
    <n v="0"/>
    <n v="0"/>
    <n v="0"/>
    <n v="0"/>
    <n v="0"/>
    <n v="0"/>
    <n v="0"/>
    <n v="0"/>
    <n v="0"/>
    <m/>
    <m/>
    <m/>
    <m/>
    <m/>
    <m/>
    <m/>
    <m/>
    <m/>
    <m/>
    <m/>
    <m/>
    <m/>
    <m/>
    <m/>
    <m/>
    <m/>
    <m/>
    <m/>
    <m/>
    <m/>
    <m/>
    <m/>
    <m/>
    <m/>
    <m/>
    <m/>
    <m/>
    <m/>
    <m/>
    <m/>
    <m/>
    <m/>
    <m/>
    <m/>
    <m/>
    <m/>
    <m/>
    <m/>
    <m/>
    <m/>
    <m/>
    <m/>
    <m/>
    <m/>
    <m/>
    <m/>
    <m/>
    <m/>
  </r>
  <r>
    <n v="742"/>
    <d v="2025-03-21T00:00:00"/>
    <s v="ZBTO"/>
    <n v="9518619584"/>
    <n v="1"/>
    <s v="9518619584-1"/>
    <s v="No Priority"/>
    <x v="0"/>
    <m/>
    <x v="1"/>
    <x v="12"/>
    <s v="2000-BPRS"/>
    <m/>
    <x v="0"/>
    <m/>
    <m/>
    <m/>
    <s v="South"/>
    <s v="YESHWANTHPURA"/>
    <m/>
    <n v="939268"/>
    <x v="0"/>
    <n v="2439203"/>
    <s v="CRCA COIL TSBSTA EL06 0.500X1160"/>
    <s v=" "/>
    <s v=""/>
    <n v="2"/>
    <n v="30"/>
    <m/>
    <s v="C01"/>
    <s v="TSBSTA"/>
    <s v="EL06"/>
    <n v="0.5"/>
    <n v="1160"/>
    <n v="0"/>
    <n v="216"/>
    <n v="0"/>
    <n v="216"/>
    <n v="213.21"/>
    <n v="213.21"/>
    <n v="216"/>
    <n v="0"/>
    <n v="0"/>
    <n v="0"/>
    <n v="0"/>
    <n v="0"/>
    <n v="0"/>
    <n v="0"/>
    <n v="0"/>
    <n v="0"/>
    <n v="0"/>
    <n v="0"/>
    <n v="0"/>
    <n v="0"/>
    <n v="0"/>
    <n v="0"/>
    <n v="2.79"/>
    <n v="0"/>
    <n v="0"/>
    <n v="0"/>
    <n v="2.79"/>
    <n v="2.79"/>
    <n v="0"/>
    <n v="2.79"/>
    <m/>
    <m/>
    <m/>
    <m/>
    <m/>
    <m/>
    <m/>
    <m/>
    <m/>
    <m/>
    <m/>
    <m/>
    <m/>
    <m/>
    <m/>
    <m/>
    <m/>
    <m/>
    <m/>
    <m/>
    <m/>
    <m/>
    <m/>
    <m/>
    <m/>
    <m/>
    <m/>
    <m/>
    <m/>
    <m/>
    <m/>
    <m/>
    <m/>
    <m/>
    <m/>
    <m/>
    <m/>
    <m/>
    <m/>
    <m/>
    <m/>
    <m/>
    <m/>
    <m/>
    <m/>
    <m/>
    <m/>
    <m/>
    <m/>
  </r>
  <r>
    <n v="742"/>
    <d v="2025-03-21T00:00:00"/>
    <s v="ZBTN"/>
    <n v="9518620015"/>
    <n v="1"/>
    <s v="9518620015-1"/>
    <s v="No Priority"/>
    <x v="0"/>
    <m/>
    <x v="1"/>
    <x v="17"/>
    <s v="2000-BPRS"/>
    <m/>
    <x v="0"/>
    <m/>
    <m/>
    <m/>
    <s v="South"/>
    <s v="VISHAKHAPATNAM"/>
    <m/>
    <n v="189745"/>
    <x v="106"/>
    <n v="3532129"/>
    <s v="CRCA SHEET TATCRC EX08 0.400X1219X2438"/>
    <s v=" "/>
    <s v=""/>
    <n v="0"/>
    <n v="0"/>
    <m/>
    <s v="C06"/>
    <s v="TATCRC"/>
    <s v="EX08"/>
    <n v="0.4"/>
    <n v="1219"/>
    <n v="2438"/>
    <n v="26"/>
    <n v="0"/>
    <n v="26"/>
    <n v="-1.18"/>
    <n v="0"/>
    <n v="0.379"/>
    <n v="0"/>
    <n v="0"/>
    <n v="0"/>
    <n v="0"/>
    <n v="0"/>
    <n v="0"/>
    <n v="0"/>
    <n v="0"/>
    <n v="0"/>
    <n v="0"/>
    <n v="0"/>
    <n v="0"/>
    <n v="0"/>
    <n v="0"/>
    <n v="0"/>
    <n v="0"/>
    <n v="0"/>
    <n v="0"/>
    <n v="0"/>
    <n v="0"/>
    <n v="0"/>
    <n v="0"/>
    <n v="0"/>
    <m/>
    <m/>
    <m/>
    <m/>
    <m/>
    <m/>
    <m/>
    <m/>
    <m/>
    <m/>
    <m/>
    <m/>
    <m/>
    <m/>
    <m/>
    <m/>
    <m/>
    <m/>
    <m/>
    <m/>
    <m/>
    <m/>
    <m/>
    <m/>
    <m/>
    <m/>
    <m/>
    <m/>
    <m/>
    <m/>
    <m/>
    <m/>
    <m/>
    <m/>
    <m/>
    <m/>
    <m/>
    <m/>
    <m/>
    <m/>
    <m/>
    <m/>
    <m/>
    <m/>
    <m/>
    <m/>
    <m/>
    <m/>
    <m/>
  </r>
  <r>
    <n v="742"/>
    <d v="2025-03-14T00:00:00"/>
    <s v="ZBTF"/>
    <n v="4000500995"/>
    <n v="3"/>
    <s v="4000500995-3"/>
    <s v="May'25"/>
    <x v="0"/>
    <m/>
    <x v="0"/>
    <x v="0"/>
    <s v="2000-BPRS"/>
    <m/>
    <x v="1"/>
    <m/>
    <m/>
    <m/>
    <s v="South"/>
    <s v="YESHWANTHPURA"/>
    <m/>
    <n v="600103"/>
    <x v="21"/>
    <n v="1371338"/>
    <s v="HR COILS-PO IS 1079 HR2 2.30X1250"/>
    <s v=" "/>
    <s v=""/>
    <n v="10"/>
    <n v="27"/>
    <m/>
    <n v="768"/>
    <s v="THR099"/>
    <s v="HR99"/>
    <n v="2.2999999999999998"/>
    <n v="1250"/>
    <n v="0"/>
    <n v="25"/>
    <n v="0"/>
    <n v="25"/>
    <n v="25"/>
    <n v="25"/>
    <n v="25"/>
    <n v="0"/>
    <n v="0"/>
    <n v="0"/>
    <n v="0"/>
    <n v="0"/>
    <n v="0"/>
    <n v="0"/>
    <n v="0"/>
    <n v="0"/>
    <n v="0"/>
    <n v="0"/>
    <n v="0"/>
    <n v="0"/>
    <n v="0"/>
    <n v="0"/>
    <n v="0"/>
    <n v="0"/>
    <n v="0"/>
    <n v="0"/>
    <n v="0"/>
    <n v="0"/>
    <n v="0"/>
    <n v="0"/>
    <m/>
    <m/>
    <m/>
    <m/>
    <m/>
    <m/>
    <m/>
    <m/>
    <m/>
    <m/>
    <m/>
    <m/>
    <m/>
    <m/>
    <m/>
    <m/>
    <m/>
    <m/>
    <m/>
    <m/>
    <m/>
    <m/>
    <m/>
    <m/>
    <m/>
    <m/>
    <m/>
    <m/>
    <m/>
    <m/>
    <m/>
    <m/>
    <m/>
    <m/>
    <m/>
    <m/>
    <m/>
    <m/>
    <m/>
    <m/>
    <m/>
    <m/>
    <m/>
    <m/>
    <m/>
    <m/>
    <m/>
    <m/>
    <m/>
  </r>
  <r>
    <n v="742"/>
    <d v="2025-03-15T00:00:00"/>
    <s v="ZBTO"/>
    <n v="9518602456"/>
    <n v="1"/>
    <s v="9518602456-1"/>
    <s v="No Priority"/>
    <x v="0"/>
    <m/>
    <x v="1"/>
    <x v="1"/>
    <s v="2000-BPRS"/>
    <m/>
    <x v="0"/>
    <m/>
    <m/>
    <m/>
    <s v="North"/>
    <s v="JAIPUR"/>
    <m/>
    <n v="116137"/>
    <x v="91"/>
    <n v="508085"/>
    <s v="CRCA SHEET TATXXD AU03 0.600X1000X1000"/>
    <s v=" "/>
    <s v=""/>
    <n v="1"/>
    <n v="3"/>
    <m/>
    <s v="C06"/>
    <s v="TATXXD"/>
    <s v="AU03"/>
    <n v="0.6"/>
    <n v="1000"/>
    <n v="1000"/>
    <n v="15"/>
    <n v="0"/>
    <n v="15"/>
    <n v="15"/>
    <n v="15"/>
    <n v="15"/>
    <n v="0"/>
    <n v="0"/>
    <n v="0"/>
    <n v="0"/>
    <n v="0"/>
    <n v="0"/>
    <n v="0"/>
    <n v="0"/>
    <n v="0"/>
    <n v="0"/>
    <n v="0"/>
    <n v="0"/>
    <n v="0"/>
    <n v="0"/>
    <n v="0"/>
    <n v="0"/>
    <n v="0"/>
    <n v="0"/>
    <n v="0"/>
    <n v="0"/>
    <n v="0"/>
    <n v="0"/>
    <n v="0"/>
    <m/>
    <m/>
    <m/>
    <m/>
    <m/>
    <m/>
    <m/>
    <m/>
    <m/>
    <m/>
    <m/>
    <m/>
    <m/>
    <m/>
    <m/>
    <m/>
    <m/>
    <m/>
    <m/>
    <m/>
    <m/>
    <m/>
    <m/>
    <m/>
    <m/>
    <m/>
    <m/>
    <m/>
    <m/>
    <m/>
    <m/>
    <m/>
    <m/>
    <m/>
    <m/>
    <m/>
    <m/>
    <m/>
    <m/>
    <m/>
    <m/>
    <m/>
    <m/>
    <m/>
    <m/>
    <m/>
    <m/>
    <m/>
    <m/>
  </r>
  <r>
    <n v="742"/>
    <d v="2025-03-24T00:00:00"/>
    <s v="ZBTO"/>
    <n v="9518628976"/>
    <n v="14"/>
    <s v="9518628976-14"/>
    <s v="No Priority"/>
    <x v="0"/>
    <s v="Yes"/>
    <x v="1"/>
    <x v="1"/>
    <s v="2000-BPRS"/>
    <m/>
    <x v="0"/>
    <m/>
    <m/>
    <m/>
    <s v="South"/>
    <s v="VALPARAI"/>
    <m/>
    <n v="116465"/>
    <x v="13"/>
    <n v="1804867"/>
    <s v="CRCA COIL-TATXXD-AU03-1.6X1250"/>
    <s v=" "/>
    <s v=""/>
    <n v="6"/>
    <n v="18"/>
    <m/>
    <s v="C01"/>
    <s v="TATXXD"/>
    <s v="AU03"/>
    <n v="1.6"/>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3-24T00:00:00"/>
    <s v="ZBTO"/>
    <n v="9518628976"/>
    <n v="15"/>
    <s v="9518628976-15"/>
    <s v="No Priority"/>
    <x v="0"/>
    <s v="Yes"/>
    <x v="1"/>
    <x v="1"/>
    <s v="2000-BPRS"/>
    <m/>
    <x v="0"/>
    <m/>
    <m/>
    <m/>
    <s v="South"/>
    <s v="VALPARAI"/>
    <m/>
    <n v="116465"/>
    <x v="13"/>
    <n v="1884117"/>
    <s v="CRCA COIL-TATXXD-AU03-2X1250"/>
    <s v=" "/>
    <s v=""/>
    <n v="6"/>
    <n v="18"/>
    <m/>
    <s v="C01"/>
    <s v="TATXXD"/>
    <s v="AU03"/>
    <n v="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3-28T00:00:00"/>
    <s v="ZBTO"/>
    <n v="9518648970"/>
    <n v="1"/>
    <s v="9518648970-1"/>
    <s v="No Priority"/>
    <x v="0"/>
    <m/>
    <x v="1"/>
    <x v="1"/>
    <s v="2000-BPRS"/>
    <m/>
    <x v="0"/>
    <m/>
    <m/>
    <m/>
    <s v="North"/>
    <s v="JAIPUR"/>
    <m/>
    <n v="116137"/>
    <x v="91"/>
    <n v="508085"/>
    <s v="CRCA SHEET TATXXD AU03 0.600X1000X1000"/>
    <s v=" "/>
    <s v=""/>
    <n v="0"/>
    <n v="0"/>
    <m/>
    <s v="C06"/>
    <s v="TATXXD"/>
    <s v="AU03"/>
    <n v="0.6"/>
    <n v="1000"/>
    <n v="1000"/>
    <n v="99"/>
    <n v="0"/>
    <n v="99"/>
    <n v="99"/>
    <n v="99"/>
    <n v="99"/>
    <n v="0"/>
    <n v="0"/>
    <n v="0"/>
    <n v="0"/>
    <n v="0"/>
    <n v="0"/>
    <n v="0"/>
    <n v="0"/>
    <n v="0"/>
    <n v="0"/>
    <n v="0"/>
    <n v="0"/>
    <n v="0"/>
    <n v="0"/>
    <n v="0"/>
    <n v="0"/>
    <n v="0"/>
    <n v="0"/>
    <n v="0"/>
    <n v="0"/>
    <n v="0"/>
    <n v="0"/>
    <n v="0"/>
    <m/>
    <m/>
    <m/>
    <m/>
    <m/>
    <m/>
    <m/>
    <m/>
    <m/>
    <m/>
    <m/>
    <m/>
    <m/>
    <m/>
    <m/>
    <m/>
    <m/>
    <m/>
    <m/>
    <m/>
    <m/>
    <m/>
    <m/>
    <m/>
    <m/>
    <m/>
    <m/>
    <m/>
    <m/>
    <m/>
    <m/>
    <m/>
    <m/>
    <m/>
    <m/>
    <m/>
    <m/>
    <m/>
    <m/>
    <m/>
    <m/>
    <m/>
    <m/>
    <m/>
    <m/>
    <m/>
    <m/>
    <m/>
    <m/>
  </r>
  <r>
    <n v="743"/>
    <d v="2025-03-21T00:00:00"/>
    <s v="ZBTO"/>
    <n v="9518620565"/>
    <n v="2"/>
    <s v="9518620565-2"/>
    <s v="No Priority"/>
    <x v="0"/>
    <m/>
    <x v="3"/>
    <x v="0"/>
    <s v="2000-BPRS"/>
    <m/>
    <x v="0"/>
    <m/>
    <m/>
    <m/>
    <s v="East"/>
    <s v="TATANAGAR"/>
    <m/>
    <n v="165053"/>
    <x v="5"/>
    <n v="1851909"/>
    <s v="GP COIL SOFT-TSBXGP-N1GP-0.35X900"/>
    <s v="Z80"/>
    <s v=""/>
    <n v="4"/>
    <n v="12"/>
    <m/>
    <s v="C02"/>
    <s v="TSBXGP"/>
    <s v="N1GP"/>
    <n v="0.35"/>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3-25T00:00:00"/>
    <s v="ZBTO"/>
    <n v="9518631220"/>
    <n v="3"/>
    <s v="9518631220-3"/>
    <s v="No Priority"/>
    <x v="0"/>
    <s v="Yes"/>
    <x v="1"/>
    <x v="1"/>
    <s v="2000-BPRS"/>
    <m/>
    <x v="0"/>
    <m/>
    <m/>
    <m/>
    <s v="South"/>
    <s v="YESHWANTHPURA"/>
    <m/>
    <n v="939268"/>
    <x v="0"/>
    <n v="1804854"/>
    <s v="CRCA COIL-TATXXD-AU03-1.2X1250"/>
    <s v=" "/>
    <s v=""/>
    <n v="2"/>
    <n v="30"/>
    <m/>
    <s v="C01"/>
    <s v="TATXXD"/>
    <s v="AU03"/>
    <n v="1.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3-25T00:00:00"/>
    <s v="ZBTO"/>
    <n v="9518632737"/>
    <n v="4"/>
    <s v="9518632737-4"/>
    <s v="No Priority"/>
    <x v="0"/>
    <m/>
    <x v="1"/>
    <x v="10"/>
    <s v="1000-IPPE"/>
    <m/>
    <x v="0"/>
    <m/>
    <m/>
    <m/>
    <s v="North"/>
    <s v="FARIDABAD"/>
    <m/>
    <n v="189430"/>
    <x v="41"/>
    <n v="2164803"/>
    <s v="CRCA COIL TATXXD BT02 1.200X910"/>
    <s v=" "/>
    <s v=""/>
    <n v="6"/>
    <n v="13"/>
    <m/>
    <s v="C01"/>
    <s v="TATXXD"/>
    <s v="BT02"/>
    <n v="1.2"/>
    <n v="910"/>
    <n v="0"/>
    <n v="21"/>
    <n v="0"/>
    <n v="21"/>
    <n v="21"/>
    <n v="21"/>
    <n v="21"/>
    <n v="0"/>
    <n v="0"/>
    <n v="0"/>
    <n v="0"/>
    <n v="0"/>
    <n v="0"/>
    <n v="0"/>
    <n v="0"/>
    <n v="0"/>
    <n v="0"/>
    <n v="0"/>
    <n v="0"/>
    <n v="0"/>
    <n v="0"/>
    <n v="0"/>
    <n v="0"/>
    <n v="0"/>
    <n v="0"/>
    <n v="0"/>
    <n v="0"/>
    <n v="0"/>
    <n v="0"/>
    <n v="0"/>
    <m/>
    <m/>
    <m/>
    <m/>
    <m/>
    <m/>
    <m/>
    <m/>
    <m/>
    <m/>
    <m/>
    <m/>
    <m/>
    <m/>
    <m/>
    <m/>
    <m/>
    <m/>
    <m/>
    <m/>
    <m/>
    <m/>
    <m/>
    <m/>
    <m/>
    <m/>
    <m/>
    <m/>
    <m/>
    <m/>
    <m/>
    <m/>
    <m/>
    <m/>
    <m/>
    <m/>
    <m/>
    <m/>
    <m/>
    <m/>
    <m/>
    <m/>
    <m/>
    <m/>
    <m/>
    <m/>
    <m/>
    <m/>
    <m/>
  </r>
  <r>
    <n v="742"/>
    <d v="2025-03-10T00:00:00"/>
    <s v="ZBTN"/>
    <n v="9518587628"/>
    <n v="1"/>
    <s v="9518587628-1"/>
    <s v="No Priority"/>
    <x v="0"/>
    <m/>
    <x v="1"/>
    <x v="17"/>
    <s v="2000-BPRS"/>
    <m/>
    <x v="0"/>
    <m/>
    <m/>
    <m/>
    <s v="South"/>
    <s v="VISHAKHAPATNAM"/>
    <m/>
    <n v="189858"/>
    <x v="107"/>
    <n v="3532128"/>
    <s v="CRCA SHEET TATCRC EX08 0.380X1219X2438"/>
    <s v=" "/>
    <s v=""/>
    <n v="2"/>
    <n v="3"/>
    <m/>
    <s v="C06"/>
    <s v="TATCRC"/>
    <s v="EX08"/>
    <n v="0.38"/>
    <n v="1219"/>
    <n v="2438"/>
    <n v="26"/>
    <n v="0"/>
    <n v="26"/>
    <n v="1.37"/>
    <n v="0"/>
    <n v="2.86"/>
    <n v="0"/>
    <n v="0"/>
    <n v="0"/>
    <n v="0"/>
    <n v="0"/>
    <n v="0"/>
    <n v="0"/>
    <n v="0"/>
    <n v="0"/>
    <n v="0"/>
    <n v="0"/>
    <n v="0"/>
    <n v="0"/>
    <n v="0"/>
    <n v="0"/>
    <n v="0"/>
    <n v="0"/>
    <n v="0"/>
    <n v="0"/>
    <n v="0"/>
    <n v="0"/>
    <n v="0"/>
    <n v="0"/>
    <m/>
    <m/>
    <m/>
    <m/>
    <m/>
    <m/>
    <m/>
    <m/>
    <m/>
    <m/>
    <m/>
    <m/>
    <m/>
    <m/>
    <m/>
    <m/>
    <m/>
    <m/>
    <m/>
    <m/>
    <m/>
    <m/>
    <m/>
    <m/>
    <m/>
    <m/>
    <m/>
    <m/>
    <m/>
    <m/>
    <m/>
    <m/>
    <m/>
    <m/>
    <m/>
    <m/>
    <m/>
    <m/>
    <m/>
    <m/>
    <m/>
    <m/>
    <m/>
    <m/>
    <m/>
    <m/>
    <m/>
    <m/>
    <m/>
  </r>
  <r>
    <n v="744"/>
    <d v="2025-02-05T00:00:00"/>
    <s v="ZBTO"/>
    <n v="9518494843"/>
    <n v="1"/>
    <s v="9518494843-1"/>
    <s v="May'25"/>
    <x v="0"/>
    <m/>
    <x v="2"/>
    <x v="3"/>
    <s v="1000-IPPE"/>
    <m/>
    <x v="1"/>
    <m/>
    <m/>
    <m/>
    <s v="TBSPL"/>
    <s v=" "/>
    <m/>
    <n v="941597"/>
    <x v="6"/>
    <n v="3902332"/>
    <s v="PPGL C HARD Y550PL D0C9 0.50(TPT)X1220"/>
    <s v="AZ150"/>
    <s v="RAL 6011 TSL 1810 MIST GREEN"/>
    <n v="3"/>
    <n v="5"/>
    <m/>
    <s v="B18"/>
    <s v="Y550PL"/>
    <s v="D0C9"/>
    <n v="0.5"/>
    <n v="1220"/>
    <n v="0"/>
    <n v="28"/>
    <n v="4.4950000000000001"/>
    <n v="23.504999999999999"/>
    <n v="23.504999999999999"/>
    <n v="23.504999999999999"/>
    <n v="23.504999999999999"/>
    <n v="0"/>
    <n v="0"/>
    <n v="0"/>
    <n v="0"/>
    <n v="0"/>
    <n v="0"/>
    <n v="0"/>
    <n v="0"/>
    <n v="0"/>
    <n v="0"/>
    <n v="0"/>
    <n v="0"/>
    <n v="0"/>
    <n v="0"/>
    <n v="0"/>
    <n v="0"/>
    <n v="0"/>
    <n v="0"/>
    <n v="0"/>
    <n v="0"/>
    <n v="0"/>
    <n v="0"/>
    <n v="0"/>
    <m/>
    <m/>
    <m/>
    <m/>
    <m/>
    <m/>
    <m/>
    <m/>
    <m/>
    <m/>
    <m/>
    <m/>
    <m/>
    <m/>
    <m/>
    <m/>
    <m/>
    <m/>
    <m/>
    <m/>
    <m/>
    <m/>
    <m/>
    <m/>
    <m/>
    <m/>
    <m/>
    <m/>
    <m/>
    <m/>
    <m/>
    <m/>
    <m/>
    <m/>
    <m/>
    <m/>
    <m/>
    <m/>
    <m/>
    <m/>
    <m/>
    <m/>
    <m/>
    <m/>
    <m/>
    <m/>
    <m/>
    <m/>
    <m/>
  </r>
  <r>
    <n v="742"/>
    <d v="2025-03-24T00:00:00"/>
    <s v="ZBTT"/>
    <n v="9518630407"/>
    <n v="1"/>
    <s v="9518630407-1"/>
    <s v="No Priority"/>
    <x v="0"/>
    <m/>
    <x v="1"/>
    <x v="6"/>
    <s v="2000-BPRS"/>
    <m/>
    <x v="0"/>
    <m/>
    <m/>
    <m/>
    <s v="South"/>
    <s v="YESHWANTHPURA"/>
    <m/>
    <n v="650742"/>
    <x v="26"/>
    <n v="3959449"/>
    <s v="CR COIL TATXHS BR03 1.600X1250"/>
    <s v=" "/>
    <s v=""/>
    <n v="10"/>
    <n v="27"/>
    <m/>
    <s v="C01"/>
    <s v="TATXHS"/>
    <s v="BR03"/>
    <n v="1.6"/>
    <n v="1250"/>
    <n v="0"/>
    <n v="58"/>
    <n v="0"/>
    <n v="58"/>
    <n v="58"/>
    <n v="58"/>
    <n v="0"/>
    <n v="0"/>
    <n v="0"/>
    <n v="0"/>
    <n v="0"/>
    <n v="0"/>
    <n v="0"/>
    <n v="0"/>
    <n v="0"/>
    <n v="0"/>
    <n v="0"/>
    <n v="0"/>
    <n v="0"/>
    <n v="0"/>
    <n v="0"/>
    <n v="0"/>
    <n v="0"/>
    <n v="0"/>
    <n v="0"/>
    <n v="0"/>
    <n v="0"/>
    <n v="0"/>
    <n v="0"/>
    <n v="0"/>
    <m/>
    <m/>
    <m/>
    <m/>
    <m/>
    <m/>
    <m/>
    <m/>
    <m/>
    <m/>
    <m/>
    <m/>
    <m/>
    <m/>
    <m/>
    <m/>
    <m/>
    <m/>
    <m/>
    <m/>
    <m/>
    <m/>
    <m/>
    <m/>
    <m/>
    <m/>
    <m/>
    <m/>
    <m/>
    <m/>
    <m/>
    <m/>
    <m/>
    <m/>
    <m/>
    <m/>
    <m/>
    <m/>
    <m/>
    <m/>
    <m/>
    <m/>
    <m/>
    <m/>
    <m/>
    <m/>
    <m/>
    <m/>
    <m/>
  </r>
  <r>
    <n v="742"/>
    <d v="2025-03-24T00:00:00"/>
    <s v="ZBTT"/>
    <n v="9518630407"/>
    <n v="2"/>
    <s v="9518630407-2"/>
    <s v="No Priority"/>
    <x v="0"/>
    <m/>
    <x v="1"/>
    <x v="6"/>
    <s v="2000-BPRS"/>
    <m/>
    <x v="0"/>
    <m/>
    <m/>
    <m/>
    <s v="South"/>
    <s v="YESHWANTHPURA"/>
    <m/>
    <n v="650742"/>
    <x v="26"/>
    <n v="3959450"/>
    <s v="CR COIL TATXHS BR03 2X1250"/>
    <s v=" "/>
    <s v=""/>
    <n v="10"/>
    <n v="27"/>
    <m/>
    <s v="C01"/>
    <s v="TATXHS"/>
    <s v="BR03"/>
    <n v="2"/>
    <n v="1250"/>
    <n v="0"/>
    <n v="58"/>
    <n v="0"/>
    <n v="58"/>
    <n v="58"/>
    <n v="58"/>
    <n v="0"/>
    <n v="0"/>
    <n v="0"/>
    <n v="0"/>
    <n v="0"/>
    <n v="0"/>
    <n v="0"/>
    <n v="0"/>
    <n v="0"/>
    <n v="0"/>
    <n v="0"/>
    <n v="0"/>
    <n v="0"/>
    <n v="0"/>
    <n v="0"/>
    <n v="0"/>
    <n v="0"/>
    <n v="0"/>
    <n v="0"/>
    <n v="0"/>
    <n v="0"/>
    <n v="0"/>
    <n v="0"/>
    <n v="0"/>
    <m/>
    <m/>
    <m/>
    <m/>
    <m/>
    <m/>
    <m/>
    <m/>
    <m/>
    <m/>
    <m/>
    <m/>
    <m/>
    <m/>
    <m/>
    <m/>
    <m/>
    <m/>
    <m/>
    <m/>
    <m/>
    <m/>
    <m/>
    <m/>
    <m/>
    <m/>
    <m/>
    <m/>
    <m/>
    <m/>
    <m/>
    <m/>
    <m/>
    <m/>
    <m/>
    <m/>
    <m/>
    <m/>
    <m/>
    <m/>
    <m/>
    <m/>
    <m/>
    <m/>
    <m/>
    <m/>
    <m/>
    <m/>
    <m/>
  </r>
  <r>
    <n v="743"/>
    <d v="2025-03-25T00:00:00"/>
    <s v="ZBTO"/>
    <n v="9518631501"/>
    <n v="1"/>
    <s v="9518631501-1"/>
    <s v="No Priority"/>
    <x v="0"/>
    <m/>
    <x v="3"/>
    <x v="9"/>
    <s v="2000-BPRS"/>
    <m/>
    <x v="0"/>
    <m/>
    <m/>
    <m/>
    <s v="North"/>
    <s v="LONI"/>
    <m/>
    <n v="931234"/>
    <x v="99"/>
    <n v="1178439"/>
    <s v="GP COIL SOFT-TATXGP-GK09-0.4X900"/>
    <s v="Z80"/>
    <s v=""/>
    <n v="4"/>
    <n v="6"/>
    <m/>
    <s v="C02"/>
    <s v="TATXGP"/>
    <s v="GK09"/>
    <n v="0.4"/>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3-25T00:00:00"/>
    <s v="ZBTO"/>
    <n v="9518631501"/>
    <n v="2"/>
    <s v="9518631501-2"/>
    <s v="No Priority"/>
    <x v="0"/>
    <m/>
    <x v="3"/>
    <x v="9"/>
    <s v="2000-BPRS"/>
    <m/>
    <x v="0"/>
    <m/>
    <m/>
    <m/>
    <s v="North"/>
    <s v="LONI"/>
    <m/>
    <n v="931234"/>
    <x v="99"/>
    <n v="1854418"/>
    <s v="GP COIL SOFT-TATXGP-GK09-0.5X900"/>
    <s v="Z80"/>
    <s v=""/>
    <n v="4"/>
    <n v="6"/>
    <m/>
    <s v="C02"/>
    <s v="TATXGP"/>
    <s v="GK09"/>
    <n v="0.5"/>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3-25T00:00:00"/>
    <s v="ZBTF"/>
    <n v="9518632148"/>
    <n v="1"/>
    <s v="9518632148-1"/>
    <s v="May'25"/>
    <x v="0"/>
    <m/>
    <x v="1"/>
    <x v="7"/>
    <s v="1000-IPPE"/>
    <m/>
    <x v="1"/>
    <m/>
    <s v="Tempel Precisions"/>
    <m/>
    <s v="South"/>
    <s v="THIRUVALLUR"/>
    <m/>
    <n v="600250"/>
    <x v="23"/>
    <n v="3659268"/>
    <s v="CR COIL TSBSTA EL03 0.500X1217"/>
    <s v=" "/>
    <s v=""/>
    <n v="8"/>
    <n v="11"/>
    <m/>
    <s v="C01"/>
    <s v="TSBSTA"/>
    <s v="EL03"/>
    <n v="0.5"/>
    <n v="1217"/>
    <n v="0"/>
    <n v="140"/>
    <n v="0"/>
    <n v="140"/>
    <n v="140"/>
    <n v="140"/>
    <n v="139.99"/>
    <n v="0"/>
    <n v="0"/>
    <n v="0"/>
    <n v="0"/>
    <n v="0"/>
    <n v="0"/>
    <n v="0"/>
    <n v="0"/>
    <n v="0"/>
    <n v="0"/>
    <n v="0"/>
    <n v="0"/>
    <n v="0"/>
    <n v="0"/>
    <n v="0"/>
    <n v="0"/>
    <n v="0"/>
    <n v="0"/>
    <n v="0"/>
    <n v="0"/>
    <n v="0"/>
    <n v="0"/>
    <n v="0"/>
    <m/>
    <m/>
    <m/>
    <m/>
    <m/>
    <m/>
    <m/>
    <m/>
    <m/>
    <m/>
    <m/>
    <m/>
    <m/>
    <m/>
    <m/>
    <m/>
    <m/>
    <m/>
    <m/>
    <m/>
    <m/>
    <m/>
    <m/>
    <m/>
    <m/>
    <m/>
    <m/>
    <m/>
    <m/>
    <m/>
    <m/>
    <m/>
    <m/>
    <m/>
    <m/>
    <m/>
    <m/>
    <m/>
    <m/>
    <m/>
    <m/>
    <m/>
    <m/>
    <m/>
    <m/>
    <m/>
    <m/>
    <m/>
    <m/>
  </r>
  <r>
    <n v="743"/>
    <d v="2025-03-17T00:00:00"/>
    <s v="ZBTO"/>
    <n v="9518607443"/>
    <n v="2"/>
    <s v="9518607443-2"/>
    <s v="May'25"/>
    <x v="0"/>
    <s v="Yes"/>
    <x v="3"/>
    <x v="9"/>
    <s v="2000-BPRS"/>
    <m/>
    <x v="1"/>
    <m/>
    <m/>
    <m/>
    <s v="East"/>
    <s v=" "/>
    <m/>
    <n v="121328"/>
    <x v="10"/>
    <n v="1854418"/>
    <s v="GP COIL SOFT-TATXGP-GK09-0.5X900"/>
    <s v="Z80"/>
    <s v=""/>
    <n v="4"/>
    <n v="12"/>
    <m/>
    <s v="C02"/>
    <s v="TATXGP"/>
    <s v="GK09"/>
    <n v="0.5"/>
    <n v="900"/>
    <n v="0"/>
    <n v="42"/>
    <n v="0"/>
    <n v="42"/>
    <n v="42"/>
    <n v="2.2299999999999969"/>
    <n v="42"/>
    <n v="0"/>
    <n v="0"/>
    <n v="0"/>
    <n v="0"/>
    <n v="20.400000000000002"/>
    <n v="0"/>
    <n v="19.37"/>
    <n v="0"/>
    <n v="0"/>
    <n v="0"/>
    <n v="0"/>
    <n v="0"/>
    <n v="0"/>
    <n v="0"/>
    <n v="0"/>
    <n v="0"/>
    <n v="0"/>
    <n v="0"/>
    <n v="0"/>
    <n v="39.770000000000003"/>
    <n v="39.770000000000003"/>
    <n v="0"/>
    <n v="39.770000000000003"/>
    <m/>
    <m/>
    <m/>
    <m/>
    <m/>
    <m/>
    <m/>
    <m/>
    <m/>
    <m/>
    <m/>
    <m/>
    <m/>
    <m/>
    <m/>
    <m/>
    <m/>
    <m/>
    <m/>
    <m/>
    <m/>
    <m/>
    <m/>
    <m/>
    <m/>
    <m/>
    <m/>
    <m/>
    <m/>
    <m/>
    <m/>
    <m/>
    <m/>
    <m/>
    <m/>
    <m/>
    <m/>
    <m/>
    <m/>
    <m/>
    <m/>
    <m/>
    <m/>
    <m/>
    <m/>
    <m/>
    <m/>
    <m/>
    <m/>
  </r>
  <r>
    <n v="743"/>
    <d v="2025-03-17T00:00:00"/>
    <s v="ZBTO"/>
    <n v="9518607406"/>
    <n v="1"/>
    <s v="9518607406-1"/>
    <s v="May'25"/>
    <x v="0"/>
    <s v="Yes"/>
    <x v="3"/>
    <x v="9"/>
    <s v="2000-BPRS"/>
    <m/>
    <x v="1"/>
    <m/>
    <m/>
    <m/>
    <s v="East"/>
    <s v="TANGI"/>
    <m/>
    <n v="117061"/>
    <x v="25"/>
    <n v="1851065"/>
    <s v="GP COIL SOFT-TATXGP-GK09-0.25X900"/>
    <s v="Z80"/>
    <s v=""/>
    <n v="3.9"/>
    <n v="5"/>
    <m/>
    <s v="C02"/>
    <s v="TATXGP"/>
    <s v="GK09"/>
    <n v="0.2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17T00:00:00"/>
    <s v="ZBTO"/>
    <n v="9518607406"/>
    <n v="2"/>
    <s v="9518607406-2"/>
    <s v="No Priority"/>
    <x v="0"/>
    <s v="Yes"/>
    <x v="3"/>
    <x v="9"/>
    <s v="2000-BPRS"/>
    <m/>
    <x v="0"/>
    <m/>
    <m/>
    <m/>
    <s v="East"/>
    <s v="TANGI"/>
    <m/>
    <n v="117061"/>
    <x v="25"/>
    <n v="1191955"/>
    <s v="GP COIL SOFT-TATXGP-GK09-0.3X900"/>
    <s v="Z80"/>
    <s v=""/>
    <n v="3.9"/>
    <n v="5"/>
    <m/>
    <s v="C02"/>
    <s v="TATXGP"/>
    <s v="GK09"/>
    <n v="0.3"/>
    <n v="900"/>
    <n v="0"/>
    <n v="42"/>
    <n v="0"/>
    <n v="42"/>
    <n v="42"/>
    <n v="42"/>
    <n v="2.2549999999999999"/>
    <n v="0"/>
    <n v="0"/>
    <n v="0"/>
    <n v="0"/>
    <n v="0"/>
    <n v="0"/>
    <n v="0"/>
    <n v="0"/>
    <n v="0"/>
    <n v="0"/>
    <n v="0"/>
    <n v="0"/>
    <n v="0"/>
    <n v="0"/>
    <n v="0"/>
    <n v="0"/>
    <n v="0"/>
    <n v="0"/>
    <n v="0"/>
    <n v="0"/>
    <n v="0"/>
    <n v="0"/>
    <n v="0"/>
    <m/>
    <m/>
    <m/>
    <m/>
    <m/>
    <m/>
    <m/>
    <m/>
    <m/>
    <m/>
    <m/>
    <m/>
    <m/>
    <m/>
    <m/>
    <m/>
    <m/>
    <m/>
    <m/>
    <m/>
    <m/>
    <m/>
    <m/>
    <m/>
    <m/>
    <m/>
    <m/>
    <m/>
    <m/>
    <m/>
    <m/>
    <m/>
    <m/>
    <m/>
    <m/>
    <m/>
    <m/>
    <m/>
    <m/>
    <m/>
    <m/>
    <m/>
    <m/>
    <m/>
    <m/>
    <m/>
    <m/>
    <m/>
    <m/>
  </r>
  <r>
    <n v="743"/>
    <d v="2025-03-21T00:00:00"/>
    <s v="ZBTO"/>
    <n v="9518620565"/>
    <n v="3"/>
    <s v="9518620565-3"/>
    <s v="No Priority"/>
    <x v="0"/>
    <m/>
    <x v="3"/>
    <x v="0"/>
    <s v="2000-BPRS"/>
    <m/>
    <x v="0"/>
    <m/>
    <m/>
    <m/>
    <s v="East"/>
    <s v="TATANAGAR"/>
    <m/>
    <n v="165053"/>
    <x v="5"/>
    <n v="1852012"/>
    <s v="GP COIL SOFT-TSBXGP-N1GP-0.4X900"/>
    <s v="Z80"/>
    <s v=""/>
    <n v="4"/>
    <n v="12"/>
    <m/>
    <s v="C02"/>
    <s v="TSBXGP"/>
    <s v="N1GP"/>
    <n v="0.4"/>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21T00:00:00"/>
    <s v="ZBTO"/>
    <n v="9518620565"/>
    <n v="4"/>
    <s v="9518620565-4"/>
    <s v="No Priority"/>
    <x v="0"/>
    <m/>
    <x v="3"/>
    <x v="0"/>
    <s v="2000-BPRS"/>
    <m/>
    <x v="0"/>
    <m/>
    <m/>
    <m/>
    <s v="East"/>
    <s v="TATANAGAR"/>
    <m/>
    <n v="165053"/>
    <x v="5"/>
    <n v="1852246"/>
    <s v="GP COIL SOFT-TSBXGP-N1GP-0.5X900"/>
    <s v="Z80"/>
    <s v=""/>
    <n v="4"/>
    <n v="12"/>
    <m/>
    <s v="C02"/>
    <s v="TSBXGP"/>
    <s v="N1GP"/>
    <n v="0.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24T00:00:00"/>
    <s v="ZBTT"/>
    <n v="9518627969"/>
    <n v="1"/>
    <s v="9518627969-1"/>
    <s v="No Priority"/>
    <x v="0"/>
    <m/>
    <x v="4"/>
    <x v="10"/>
    <s v="1000-IPPE"/>
    <m/>
    <x v="0"/>
    <m/>
    <s v="No allocation for IPP"/>
    <m/>
    <s v="South"/>
    <s v="VINJAMURU"/>
    <m/>
    <n v="188750"/>
    <x v="76"/>
    <n v="3973124"/>
    <s v="GL COIL HARD  Y550GL HGL2 0.440X1235"/>
    <s v="AZ200"/>
    <s v=""/>
    <n v="6"/>
    <n v="20"/>
    <m/>
    <s v="B04"/>
    <s v="Y550GL"/>
    <s v="HGL2"/>
    <n v="0.44"/>
    <n v="1235"/>
    <n v="0"/>
    <n v="280"/>
    <n v="0"/>
    <n v="280"/>
    <n v="280"/>
    <n v="280"/>
    <n v="0"/>
    <n v="0"/>
    <n v="0"/>
    <n v="0"/>
    <n v="0"/>
    <n v="0"/>
    <n v="0"/>
    <n v="0"/>
    <n v="0"/>
    <n v="0"/>
    <n v="0"/>
    <n v="0"/>
    <n v="0"/>
    <n v="0"/>
    <n v="0"/>
    <n v="0"/>
    <n v="0"/>
    <n v="0"/>
    <n v="0"/>
    <n v="0"/>
    <n v="0"/>
    <n v="0"/>
    <n v="0"/>
    <n v="0"/>
    <m/>
    <m/>
    <m/>
    <m/>
    <m/>
    <m/>
    <m/>
    <m/>
    <m/>
    <m/>
    <m/>
    <m/>
    <m/>
    <m/>
    <m/>
    <m/>
    <m/>
    <m/>
    <m/>
    <m/>
    <m/>
    <m/>
    <m/>
    <m/>
    <m/>
    <m/>
    <m/>
    <m/>
    <m/>
    <m/>
    <m/>
    <m/>
    <m/>
    <m/>
    <m/>
    <m/>
    <m/>
    <m/>
    <m/>
    <m/>
    <m/>
    <m/>
    <m/>
    <m/>
    <m/>
    <m/>
    <m/>
    <m/>
    <m/>
  </r>
  <r>
    <n v="742"/>
    <d v="2025-03-16T00:00:00"/>
    <s v="ZBTO"/>
    <n v="9518604323"/>
    <n v="18"/>
    <s v="9518604323-18"/>
    <s v="May'25"/>
    <x v="0"/>
    <s v="Yes"/>
    <x v="1"/>
    <x v="2"/>
    <s v="2000-BPRS"/>
    <m/>
    <x v="1"/>
    <m/>
    <m/>
    <m/>
    <s v="East"/>
    <s v="TANGI"/>
    <m/>
    <n v="117061"/>
    <x v="25"/>
    <n v="3240863"/>
    <s v="CRCA SHEET TSBCRC SR15 1.500X1250X2500"/>
    <s v=" "/>
    <s v=""/>
    <n v="0.1"/>
    <n v="5"/>
    <m/>
    <s v="C06"/>
    <s v="TSBCRC"/>
    <s v="SR15"/>
    <n v="1.5"/>
    <n v="1250"/>
    <n v="2500"/>
    <n v="75"/>
    <n v="0"/>
    <n v="75"/>
    <n v="75"/>
    <n v="75"/>
    <n v="75"/>
    <n v="0"/>
    <n v="0"/>
    <n v="0"/>
    <n v="0"/>
    <n v="0"/>
    <n v="0"/>
    <n v="0"/>
    <n v="0"/>
    <n v="0"/>
    <n v="0"/>
    <n v="0"/>
    <n v="0"/>
    <n v="0"/>
    <n v="0"/>
    <n v="0"/>
    <n v="0"/>
    <n v="0"/>
    <n v="0"/>
    <n v="0"/>
    <n v="0"/>
    <n v="0"/>
    <n v="0"/>
    <n v="0"/>
    <m/>
    <m/>
    <m/>
    <m/>
    <m/>
    <m/>
    <m/>
    <m/>
    <m/>
    <m/>
    <m/>
    <m/>
    <m/>
    <m/>
    <m/>
    <m/>
    <m/>
    <m/>
    <m/>
    <m/>
    <m/>
    <m/>
    <m/>
    <m/>
    <m/>
    <m/>
    <m/>
    <m/>
    <m/>
    <m/>
    <m/>
    <m/>
    <m/>
    <m/>
    <m/>
    <m/>
    <m/>
    <m/>
    <m/>
    <m/>
    <m/>
    <m/>
    <m/>
    <m/>
    <m/>
    <m/>
    <m/>
    <m/>
    <m/>
  </r>
  <r>
    <n v="742"/>
    <d v="2025-02-03T00:00:00"/>
    <s v="ZBTO"/>
    <n v="9518490750"/>
    <n v="15"/>
    <s v="9518490750-15"/>
    <s v="May'25"/>
    <x v="0"/>
    <s v="Yes"/>
    <x v="1"/>
    <x v="2"/>
    <s v="2000-BPRS"/>
    <n v="5500"/>
    <x v="1"/>
    <m/>
    <m/>
    <m/>
    <s v="East"/>
    <s v="TANGI"/>
    <m/>
    <n v="117061"/>
    <x v="25"/>
    <n v="3240863"/>
    <s v="CRCA SHEET TSBCRC SR15 1.500X1250X2500"/>
    <s v=" "/>
    <s v=""/>
    <n v="0.1"/>
    <n v="5"/>
    <m/>
    <s v="C06"/>
    <s v="TSBCRC"/>
    <s v="SR15"/>
    <n v="1.5"/>
    <n v="1250"/>
    <n v="2500"/>
    <n v="90"/>
    <n v="0"/>
    <n v="90"/>
    <n v="90"/>
    <n v="90"/>
    <n v="90"/>
    <n v="0"/>
    <n v="0"/>
    <n v="0"/>
    <n v="0"/>
    <n v="0"/>
    <n v="0"/>
    <n v="0"/>
    <n v="0"/>
    <n v="0"/>
    <n v="0"/>
    <n v="0"/>
    <n v="0"/>
    <n v="0"/>
    <n v="0"/>
    <n v="0"/>
    <n v="0"/>
    <n v="0"/>
    <n v="0"/>
    <n v="0"/>
    <n v="0"/>
    <n v="0"/>
    <n v="0"/>
    <n v="0"/>
    <m/>
    <m/>
    <m/>
    <m/>
    <m/>
    <m/>
    <m/>
    <m/>
    <m/>
    <m/>
    <m/>
    <m/>
    <m/>
    <m/>
    <m/>
    <m/>
    <m/>
    <m/>
    <m/>
    <m/>
    <m/>
    <m/>
    <m/>
    <m/>
    <m/>
    <m/>
    <m/>
    <m/>
    <m/>
    <m/>
    <m/>
    <m/>
    <m/>
    <m/>
    <m/>
    <m/>
    <m/>
    <m/>
    <m/>
    <m/>
    <m/>
    <m/>
    <m/>
    <m/>
    <m/>
    <m/>
    <m/>
    <m/>
    <m/>
  </r>
  <r>
    <n v="743"/>
    <d v="2025-03-27T00:00:00"/>
    <s v="ZBTO"/>
    <n v="9518644652"/>
    <n v="1"/>
    <s v="9518644652-1"/>
    <s v="May'25"/>
    <x v="0"/>
    <m/>
    <x v="4"/>
    <x v="5"/>
    <s v="1000-IPPE"/>
    <m/>
    <x v="1"/>
    <m/>
    <m/>
    <m/>
    <s v="West"/>
    <s v="SANAND"/>
    <m/>
    <n v="944226"/>
    <x v="84"/>
    <n v="3982724"/>
    <s v="GL COIL HARD  Y550GL HGL6 0.900X1200"/>
    <s v="AZ150"/>
    <s v=""/>
    <n v="10"/>
    <n v="17"/>
    <m/>
    <s v="B04"/>
    <s v="Y550GL"/>
    <s v="HGL6"/>
    <n v="0.9"/>
    <n v="1200"/>
    <n v="0"/>
    <n v="297"/>
    <n v="0"/>
    <n v="297"/>
    <n v="297"/>
    <n v="31.711000000000013"/>
    <n v="297"/>
    <n v="0"/>
    <n v="0"/>
    <n v="0"/>
    <n v="0"/>
    <n v="0"/>
    <n v="3.544"/>
    <n v="0"/>
    <n v="0"/>
    <n v="0"/>
    <n v="0"/>
    <n v="0"/>
    <n v="0"/>
    <n v="0"/>
    <n v="0"/>
    <n v="0"/>
    <n v="12.870000000000001"/>
    <n v="0"/>
    <n v="26.565000000000001"/>
    <n v="222.31"/>
    <n v="265.28899999999999"/>
    <n v="265.28899999999999"/>
    <n v="0"/>
    <n v="265.28899999999999"/>
    <m/>
    <m/>
    <m/>
    <m/>
    <m/>
    <m/>
    <m/>
    <m/>
    <m/>
    <m/>
    <m/>
    <m/>
    <m/>
    <m/>
    <m/>
    <m/>
    <m/>
    <m/>
    <m/>
    <m/>
    <m/>
    <m/>
    <m/>
    <m/>
    <m/>
    <m/>
    <m/>
    <m/>
    <m/>
    <m/>
    <m/>
    <m/>
    <m/>
    <m/>
    <m/>
    <m/>
    <m/>
    <m/>
    <m/>
    <m/>
    <m/>
    <m/>
    <m/>
    <m/>
    <m/>
    <m/>
    <m/>
    <m/>
    <m/>
  </r>
  <r>
    <n v="743"/>
    <d v="2025-03-28T00:00:00"/>
    <s v="ZBTO"/>
    <n v="9518649017"/>
    <n v="1"/>
    <s v="9518649017-1"/>
    <s v="May'25"/>
    <x v="0"/>
    <s v="Yes"/>
    <x v="4"/>
    <x v="5"/>
    <s v="1000-IPPE"/>
    <m/>
    <x v="1"/>
    <m/>
    <m/>
    <m/>
    <s v="West"/>
    <s v="SANAND"/>
    <m/>
    <n v="944226"/>
    <x v="84"/>
    <n v="3982724"/>
    <s v="GL COIL HARD  Y550GL HGL6 0.900X1200"/>
    <s v="AZ150"/>
    <s v=""/>
    <n v="10"/>
    <n v="17"/>
    <m/>
    <s v="B04"/>
    <s v="Y550GL"/>
    <s v="HGL6"/>
    <n v="0.9"/>
    <n v="1200"/>
    <n v="0"/>
    <n v="270"/>
    <n v="0"/>
    <n v="270"/>
    <n v="270"/>
    <n v="0"/>
    <n v="270"/>
    <n v="0"/>
    <n v="0"/>
    <n v="0"/>
    <n v="0"/>
    <n v="0"/>
    <n v="3.0350000000000001"/>
    <n v="0"/>
    <n v="42.234999999999999"/>
    <n v="0"/>
    <n v="0"/>
    <n v="0"/>
    <n v="0"/>
    <n v="0"/>
    <n v="0"/>
    <n v="0"/>
    <n v="31.985000000000003"/>
    <n v="0"/>
    <n v="0"/>
    <n v="183.53"/>
    <n v="260.78499999999997"/>
    <n v="260.78499999999997"/>
    <n v="270"/>
    <n v="530.78499999999997"/>
    <m/>
    <m/>
    <m/>
    <m/>
    <m/>
    <m/>
    <m/>
    <m/>
    <m/>
    <m/>
    <m/>
    <m/>
    <m/>
    <m/>
    <m/>
    <m/>
    <m/>
    <m/>
    <m/>
    <m/>
    <m/>
    <m/>
    <m/>
    <m/>
    <m/>
    <m/>
    <m/>
    <m/>
    <m/>
    <m/>
    <m/>
    <m/>
    <m/>
    <m/>
    <m/>
    <m/>
    <m/>
    <m/>
    <m/>
    <m/>
    <m/>
    <m/>
    <m/>
    <m/>
    <m/>
    <m/>
    <m/>
    <m/>
    <m/>
  </r>
  <r>
    <n v="743"/>
    <d v="2025-03-25T00:00:00"/>
    <s v="ZBTT"/>
    <n v="9518634002"/>
    <n v="1"/>
    <s v="9518634002-1"/>
    <s v="No Priority"/>
    <x v="0"/>
    <s v="Yes"/>
    <x v="3"/>
    <x v="4"/>
    <s v="2000-BPRS"/>
    <m/>
    <x v="0"/>
    <m/>
    <m/>
    <m/>
    <s v="East"/>
    <s v="GAUHATI"/>
    <m/>
    <n v="103671"/>
    <x v="17"/>
    <n v="3710431"/>
    <s v="GP COIL TATGPH GP02 0.630X900"/>
    <s v="Z120"/>
    <s v=""/>
    <n v="1"/>
    <n v="5"/>
    <m/>
    <s v="C05"/>
    <s v="TATGPH"/>
    <s v="GP02"/>
    <n v="0.63"/>
    <n v="900"/>
    <n v="0"/>
    <n v="21"/>
    <n v="0"/>
    <n v="21"/>
    <n v="21"/>
    <n v="21"/>
    <n v="0"/>
    <n v="0"/>
    <n v="0"/>
    <n v="0"/>
    <n v="0"/>
    <n v="0"/>
    <n v="0"/>
    <n v="0"/>
    <n v="0"/>
    <n v="0"/>
    <n v="0"/>
    <n v="0"/>
    <n v="0"/>
    <n v="0"/>
    <n v="0"/>
    <n v="0"/>
    <n v="0"/>
    <n v="0"/>
    <n v="0"/>
    <n v="0"/>
    <n v="0"/>
    <n v="0"/>
    <n v="0"/>
    <n v="0"/>
    <m/>
    <m/>
    <m/>
    <m/>
    <m/>
    <m/>
    <m/>
    <m/>
    <m/>
    <m/>
    <m/>
    <m/>
    <m/>
    <m/>
    <m/>
    <m/>
    <m/>
    <m/>
    <m/>
    <m/>
    <m/>
    <m/>
    <m/>
    <m/>
    <m/>
    <m/>
    <m/>
    <m/>
    <m/>
    <m/>
    <m/>
    <m/>
    <m/>
    <m/>
    <m/>
    <m/>
    <m/>
    <m/>
    <m/>
    <m/>
    <m/>
    <m/>
    <m/>
    <m/>
    <m/>
    <m/>
    <m/>
    <m/>
    <m/>
  </r>
  <r>
    <n v="742"/>
    <d v="2025-02-25T00:00:00"/>
    <s v="ZBTO"/>
    <n v="9518550511"/>
    <n v="6"/>
    <s v="9518550511-6"/>
    <s v="May'25"/>
    <x v="0"/>
    <s v="Yes"/>
    <x v="1"/>
    <x v="11"/>
    <s v="2000-BPRS"/>
    <m/>
    <x v="1"/>
    <m/>
    <m/>
    <m/>
    <s v="South"/>
    <s v="YESHWANTHPURA"/>
    <m/>
    <n v="939268"/>
    <x v="0"/>
    <n v="2420525"/>
    <s v="CRCA COIL TATXXD AH03 2X1250"/>
    <s v=" "/>
    <s v=""/>
    <n v="2"/>
    <n v="28"/>
    <m/>
    <s v="C01"/>
    <s v="TATXXD"/>
    <s v="AH03"/>
    <n v="2"/>
    <n v="1250"/>
    <n v="0"/>
    <n v="203"/>
    <n v="0"/>
    <n v="203"/>
    <n v="175.09"/>
    <n v="115.83999999999999"/>
    <n v="176.81"/>
    <n v="0"/>
    <n v="0"/>
    <n v="86.01"/>
    <n v="0"/>
    <n v="0"/>
    <n v="0"/>
    <n v="0"/>
    <n v="0"/>
    <n v="0"/>
    <n v="0"/>
    <n v="0"/>
    <n v="0"/>
    <n v="0"/>
    <n v="0"/>
    <n v="0"/>
    <n v="1.1500000000000001"/>
    <n v="0"/>
    <n v="0"/>
    <n v="0"/>
    <n v="87.160000000000011"/>
    <n v="87.160000000000011"/>
    <n v="0"/>
    <n v="87.160000000000011"/>
    <m/>
    <m/>
    <m/>
    <m/>
    <m/>
    <m/>
    <m/>
    <m/>
    <m/>
    <m/>
    <m/>
    <m/>
    <m/>
    <m/>
    <m/>
    <m/>
    <m/>
    <m/>
    <m/>
    <m/>
    <m/>
    <m/>
    <m/>
    <m/>
    <m/>
    <m/>
    <m/>
    <m/>
    <m/>
    <m/>
    <m/>
    <m/>
    <m/>
    <m/>
    <m/>
    <m/>
    <m/>
    <m/>
    <m/>
    <m/>
    <m/>
    <m/>
    <m/>
    <m/>
    <m/>
    <m/>
    <m/>
    <m/>
    <m/>
  </r>
  <r>
    <n v="742"/>
    <d v="2025-02-25T00:00:00"/>
    <s v="ZBTO"/>
    <n v="9518550511"/>
    <n v="7"/>
    <s v="9518550511-7"/>
    <s v="May'25"/>
    <x v="0"/>
    <s v="Yes"/>
    <x v="1"/>
    <x v="11"/>
    <s v="2000-BPRS"/>
    <m/>
    <x v="1"/>
    <m/>
    <m/>
    <m/>
    <s v="South"/>
    <s v="YESHWANTHPURA"/>
    <m/>
    <n v="939268"/>
    <x v="0"/>
    <n v="2420615"/>
    <s v="CRCA COIL TATXXD AH03 2.300X1250"/>
    <s v=" "/>
    <s v=""/>
    <n v="2"/>
    <n v="28"/>
    <m/>
    <s v="C01"/>
    <s v="TATXXD"/>
    <s v="AH03"/>
    <n v="2.2999999999999998"/>
    <n v="1250"/>
    <n v="0"/>
    <n v="58"/>
    <n v="0"/>
    <n v="58"/>
    <n v="58"/>
    <n v="58"/>
    <n v="58"/>
    <n v="0"/>
    <n v="0"/>
    <n v="0"/>
    <n v="0"/>
    <n v="0"/>
    <n v="0"/>
    <n v="0"/>
    <n v="0"/>
    <n v="0"/>
    <n v="0"/>
    <n v="0"/>
    <n v="0"/>
    <n v="0"/>
    <n v="0"/>
    <n v="0"/>
    <n v="0"/>
    <n v="0"/>
    <n v="0"/>
    <n v="0"/>
    <n v="0"/>
    <n v="0"/>
    <n v="0"/>
    <n v="0"/>
    <m/>
    <m/>
    <m/>
    <m/>
    <m/>
    <m/>
    <m/>
    <m/>
    <m/>
    <m/>
    <m/>
    <m/>
    <m/>
    <m/>
    <m/>
    <m/>
    <m/>
    <m/>
    <m/>
    <m/>
    <m/>
    <m/>
    <m/>
    <m/>
    <m/>
    <m/>
    <m/>
    <m/>
    <m/>
    <m/>
    <m/>
    <m/>
    <m/>
    <m/>
    <m/>
    <m/>
    <m/>
    <m/>
    <m/>
    <m/>
    <m/>
    <m/>
    <m/>
    <m/>
    <m/>
    <m/>
    <m/>
    <m/>
    <m/>
  </r>
  <r>
    <n v="744"/>
    <d v="2025-03-26T00:00:00"/>
    <s v="ZBTO"/>
    <n v="9518637488"/>
    <n v="1"/>
    <s v="9518637488-1"/>
    <s v="May'25"/>
    <x v="0"/>
    <s v="Yes"/>
    <x v="2"/>
    <x v="3"/>
    <s v="1000-IPPE"/>
    <m/>
    <x v="1"/>
    <m/>
    <m/>
    <m/>
    <s v="TBSPL"/>
    <s v=" "/>
    <m/>
    <n v="941597"/>
    <x v="6"/>
    <n v="1633706"/>
    <s v="PPGL C Y550 HPL3 0.42BMT(0.50TPT)X1220"/>
    <s v="AZ150"/>
    <s v="RAL 9002 TSL 142A"/>
    <n v="3"/>
    <n v="5"/>
    <m/>
    <s v="B18"/>
    <s v="Y550PL"/>
    <s v="HPL3"/>
    <n v="0.42"/>
    <n v="1220"/>
    <n v="0"/>
    <n v="56"/>
    <n v="0"/>
    <n v="56"/>
    <n v="56"/>
    <n v="56"/>
    <n v="38.395000000000003"/>
    <n v="0"/>
    <n v="0"/>
    <n v="0"/>
    <n v="0"/>
    <n v="0"/>
    <n v="0"/>
    <n v="0"/>
    <n v="0"/>
    <n v="0"/>
    <n v="0"/>
    <n v="0"/>
    <n v="0"/>
    <n v="0"/>
    <n v="0"/>
    <n v="0"/>
    <n v="0"/>
    <n v="0"/>
    <n v="0"/>
    <n v="0"/>
    <n v="0"/>
    <n v="0"/>
    <n v="0"/>
    <n v="0"/>
    <m/>
    <m/>
    <m/>
    <m/>
    <m/>
    <m/>
    <m/>
    <m/>
    <m/>
    <m/>
    <m/>
    <m/>
    <m/>
    <m/>
    <m/>
    <m/>
    <m/>
    <m/>
    <m/>
    <m/>
    <m/>
    <m/>
    <m/>
    <m/>
    <m/>
    <m/>
    <m/>
    <m/>
    <m/>
    <m/>
    <m/>
    <m/>
    <m/>
    <m/>
    <m/>
    <m/>
    <m/>
    <m/>
    <m/>
    <m/>
    <m/>
    <m/>
    <m/>
    <m/>
    <m/>
    <m/>
    <m/>
    <m/>
    <m/>
  </r>
  <r>
    <n v="743"/>
    <d v="2025-03-28T00:00:00"/>
    <s v="ZBTO"/>
    <n v="9518648408"/>
    <n v="2"/>
    <s v="9518648408-2"/>
    <s v="May'25"/>
    <x v="0"/>
    <m/>
    <x v="3"/>
    <x v="14"/>
    <s v="2000-BPRS"/>
    <m/>
    <x v="1"/>
    <m/>
    <m/>
    <s v="Maharashtra"/>
    <s v="West"/>
    <s v="NAGPUR"/>
    <m/>
    <n v="930519"/>
    <x v="104"/>
    <n v="1851101"/>
    <s v="GP COIL SOFT-TATXGP-GK09-0.5X1220"/>
    <s v="Z80"/>
    <s v=""/>
    <n v="3"/>
    <n v="5"/>
    <m/>
    <s v="C02"/>
    <s v="TATXGP"/>
    <s v="GK09"/>
    <n v="0.5"/>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3-28T00:00:00"/>
    <s v="ZBTO"/>
    <n v="9518648408"/>
    <n v="3"/>
    <s v="9518648408-3"/>
    <s v="May'25"/>
    <x v="0"/>
    <m/>
    <x v="3"/>
    <x v="14"/>
    <s v="2000-BPRS"/>
    <m/>
    <x v="1"/>
    <m/>
    <m/>
    <s v="Maharashtra"/>
    <s v="West"/>
    <s v="NAGPUR"/>
    <m/>
    <n v="930519"/>
    <x v="104"/>
    <n v="1334725"/>
    <s v="GP COIL SOFT-TATXGP-GK09-0.6X1220"/>
    <s v="Z80"/>
    <s v=""/>
    <n v="3"/>
    <n v="5.4"/>
    <m/>
    <s v="C02"/>
    <s v="TATXGP"/>
    <s v="GK09"/>
    <n v="0.6"/>
    <n v="1220"/>
    <n v="0"/>
    <n v="55.99"/>
    <n v="5.3949999999999996"/>
    <n v="50.594999999999999"/>
    <n v="50.594999999999999"/>
    <n v="50.594999999999999"/>
    <n v="50.594999999999999"/>
    <n v="0"/>
    <n v="0"/>
    <n v="0"/>
    <n v="0"/>
    <n v="0"/>
    <n v="0"/>
    <n v="0"/>
    <n v="0"/>
    <n v="0"/>
    <n v="0"/>
    <n v="0"/>
    <n v="0"/>
    <n v="0"/>
    <n v="0"/>
    <n v="0"/>
    <n v="0"/>
    <n v="0"/>
    <n v="0"/>
    <n v="0"/>
    <n v="0"/>
    <n v="0"/>
    <n v="0"/>
    <n v="0"/>
    <m/>
    <m/>
    <m/>
    <m/>
    <m/>
    <m/>
    <m/>
    <m/>
    <m/>
    <m/>
    <m/>
    <m/>
    <m/>
    <m/>
    <m/>
    <m/>
    <m/>
    <m/>
    <m/>
    <m/>
    <m/>
    <m/>
    <m/>
    <m/>
    <m/>
    <m/>
    <m/>
    <m/>
    <m/>
    <m/>
    <m/>
    <m/>
    <m/>
    <m/>
    <m/>
    <m/>
    <m/>
    <m/>
    <m/>
    <m/>
    <m/>
    <m/>
    <m/>
    <m/>
    <m/>
    <m/>
    <m/>
    <m/>
    <m/>
  </r>
  <r>
    <n v="742"/>
    <d v="2025-03-14T00:00:00"/>
    <s v="ZBTF"/>
    <n v="4000500995"/>
    <n v="5"/>
    <s v="4000500995-5"/>
    <s v="May'25"/>
    <x v="0"/>
    <m/>
    <x v="0"/>
    <x v="0"/>
    <s v="2000-BPRS"/>
    <m/>
    <x v="1"/>
    <m/>
    <m/>
    <m/>
    <s v="South"/>
    <s v="YESHWANTHPURA"/>
    <m/>
    <n v="600103"/>
    <x v="21"/>
    <n v="1294719"/>
    <s v="HR COILS-POIS 1079 HR2  2.90X1250"/>
    <s v=" "/>
    <s v=""/>
    <n v="10"/>
    <n v="27"/>
    <m/>
    <n v="768"/>
    <s v="THR099"/>
    <s v="HR99"/>
    <n v="2.9"/>
    <n v="1250"/>
    <n v="0"/>
    <n v="50"/>
    <n v="0"/>
    <n v="50"/>
    <n v="50"/>
    <n v="0.37000000000000455"/>
    <n v="50"/>
    <n v="0"/>
    <n v="0"/>
    <n v="24.63"/>
    <n v="0"/>
    <n v="0"/>
    <n v="0"/>
    <n v="0"/>
    <n v="0"/>
    <n v="0"/>
    <n v="0"/>
    <n v="0"/>
    <n v="0"/>
    <n v="0"/>
    <n v="0"/>
    <n v="0"/>
    <n v="0"/>
    <n v="0"/>
    <n v="0"/>
    <n v="0"/>
    <n v="24.63"/>
    <n v="24.63"/>
    <n v="25"/>
    <n v="49.629999999999995"/>
    <m/>
    <m/>
    <m/>
    <m/>
    <m/>
    <m/>
    <m/>
    <m/>
    <m/>
    <m/>
    <m/>
    <m/>
    <m/>
    <m/>
    <m/>
    <m/>
    <m/>
    <m/>
    <m/>
    <m/>
    <m/>
    <m/>
    <m/>
    <m/>
    <m/>
    <m/>
    <m/>
    <m/>
    <m/>
    <m/>
    <m/>
    <m/>
    <m/>
    <m/>
    <m/>
    <m/>
    <m/>
    <m/>
    <m/>
    <m/>
    <m/>
    <m/>
    <m/>
    <m/>
    <m/>
    <m/>
    <m/>
    <m/>
    <m/>
  </r>
  <r>
    <n v="742"/>
    <d v="2025-03-14T00:00:00"/>
    <s v="ZBTF"/>
    <n v="4000500995"/>
    <n v="6"/>
    <s v="4000500995-6"/>
    <s v="May'25"/>
    <x v="0"/>
    <m/>
    <x v="0"/>
    <x v="0"/>
    <s v="2000-BPRS"/>
    <m/>
    <x v="1"/>
    <m/>
    <m/>
    <m/>
    <s v="South"/>
    <s v="YESHWANTHPURA"/>
    <m/>
    <n v="600103"/>
    <x v="21"/>
    <n v="1294722"/>
    <s v="HR COILS-PO IS 1079 HR2 3.15X1250"/>
    <s v=" "/>
    <s v=""/>
    <n v="10"/>
    <n v="27"/>
    <m/>
    <n v="768"/>
    <s v="THR099"/>
    <s v="HR99"/>
    <n v="3.15"/>
    <n v="1250"/>
    <n v="0"/>
    <n v="50"/>
    <n v="0"/>
    <n v="50"/>
    <n v="50"/>
    <n v="50"/>
    <n v="50"/>
    <n v="0"/>
    <n v="0"/>
    <n v="0"/>
    <n v="0"/>
    <n v="0"/>
    <n v="0"/>
    <n v="0"/>
    <n v="0"/>
    <n v="0"/>
    <n v="0"/>
    <n v="0"/>
    <n v="0"/>
    <n v="0"/>
    <n v="0"/>
    <n v="0"/>
    <n v="0"/>
    <n v="0"/>
    <n v="0"/>
    <n v="0"/>
    <n v="0"/>
    <n v="0"/>
    <n v="0"/>
    <n v="0"/>
    <m/>
    <m/>
    <m/>
    <m/>
    <m/>
    <m/>
    <m/>
    <m/>
    <m/>
    <m/>
    <m/>
    <m/>
    <m/>
    <m/>
    <m/>
    <m/>
    <m/>
    <m/>
    <m/>
    <m/>
    <m/>
    <m/>
    <m/>
    <m/>
    <m/>
    <m/>
    <m/>
    <m/>
    <m/>
    <m/>
    <m/>
    <m/>
    <m/>
    <m/>
    <m/>
    <m/>
    <m/>
    <m/>
    <m/>
    <m/>
    <m/>
    <m/>
    <m/>
    <m/>
    <m/>
    <m/>
    <m/>
    <m/>
    <m/>
  </r>
  <r>
    <n v="743"/>
    <d v="2025-03-04T00:00:00"/>
    <s v="ZBTO"/>
    <n v="9518572041"/>
    <n v="4"/>
    <s v="9518572041-4"/>
    <s v="No Priority"/>
    <x v="0"/>
    <m/>
    <x v="3"/>
    <x v="0"/>
    <s v="2000-BPRS"/>
    <m/>
    <x v="0"/>
    <m/>
    <m/>
    <m/>
    <s v="East"/>
    <s v="TATANAGAR"/>
    <m/>
    <n v="165053"/>
    <x v="5"/>
    <n v="1852246"/>
    <s v="GP COIL SOFT-TSBXGP-N1GP-0.5X900"/>
    <s v="Z80"/>
    <s v=""/>
    <n v="4"/>
    <n v="12"/>
    <m/>
    <s v="C02"/>
    <s v="TSBXGP"/>
    <s v="N1GP"/>
    <n v="0.5"/>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2-11T00:00:00"/>
    <s v="ZBTO"/>
    <n v="9518510093"/>
    <n v="10"/>
    <s v="9518510093-10"/>
    <s v="No Priority"/>
    <x v="0"/>
    <m/>
    <x v="1"/>
    <x v="1"/>
    <s v="2000-BPRS"/>
    <m/>
    <x v="0"/>
    <m/>
    <m/>
    <m/>
    <s v="North"/>
    <s v="LONI"/>
    <m/>
    <n v="101499"/>
    <x v="48"/>
    <n v="1804854"/>
    <s v="CRCA COIL-TATXXD-AU03-1.2X1250"/>
    <s v=" "/>
    <s v=""/>
    <n v="10"/>
    <n v="30"/>
    <m/>
    <s v="C01"/>
    <s v="TATXXD"/>
    <s v="AU03"/>
    <n v="1.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2-11T00:00:00"/>
    <s v="ZBTO"/>
    <n v="9518510093"/>
    <n v="11"/>
    <s v="9518510093-11"/>
    <s v="No Priority"/>
    <x v="0"/>
    <m/>
    <x v="1"/>
    <x v="1"/>
    <s v="2000-BPRS"/>
    <m/>
    <x v="0"/>
    <m/>
    <m/>
    <m/>
    <s v="North"/>
    <s v="LONI"/>
    <m/>
    <n v="101499"/>
    <x v="48"/>
    <n v="2334995"/>
    <s v="CRCA COIL TATXXD AU03 1.500X1250"/>
    <s v=" "/>
    <s v=""/>
    <n v="10"/>
    <n v="30"/>
    <m/>
    <s v="C01"/>
    <s v="TATXXD"/>
    <s v="AU03"/>
    <n v="1.5"/>
    <n v="1250"/>
    <n v="0"/>
    <n v="29"/>
    <n v="0"/>
    <n v="29"/>
    <n v="0.32"/>
    <n v="0"/>
    <n v="3.4550000000000001"/>
    <n v="0"/>
    <n v="0"/>
    <n v="0"/>
    <n v="0"/>
    <n v="0"/>
    <n v="0"/>
    <n v="0"/>
    <n v="0"/>
    <n v="0"/>
    <n v="0"/>
    <n v="0"/>
    <n v="0"/>
    <n v="0"/>
    <n v="0"/>
    <n v="0"/>
    <n v="0"/>
    <n v="0"/>
    <n v="0"/>
    <n v="0"/>
    <n v="0"/>
    <n v="0"/>
    <n v="0"/>
    <n v="0"/>
    <m/>
    <m/>
    <m/>
    <m/>
    <m/>
    <m/>
    <m/>
    <m/>
    <m/>
    <m/>
    <m/>
    <m/>
    <m/>
    <m/>
    <m/>
    <m/>
    <m/>
    <m/>
    <m/>
    <m/>
    <m/>
    <m/>
    <m/>
    <m/>
    <m/>
    <m/>
    <m/>
    <m/>
    <m/>
    <m/>
    <m/>
    <m/>
    <m/>
    <m/>
    <m/>
    <m/>
    <m/>
    <m/>
    <m/>
    <m/>
    <m/>
    <m/>
    <m/>
    <m/>
    <m/>
    <m/>
    <m/>
    <m/>
    <m/>
  </r>
  <r>
    <n v="743"/>
    <d v="2025-02-25T00:00:00"/>
    <s v="ZBTO"/>
    <n v="9518550377"/>
    <n v="5"/>
    <s v="9518550377-5"/>
    <s v="No Priority"/>
    <x v="0"/>
    <m/>
    <x v="3"/>
    <x v="9"/>
    <s v="2000-BPRS"/>
    <m/>
    <x v="0"/>
    <m/>
    <m/>
    <m/>
    <s v="North"/>
    <s v="LONI"/>
    <m/>
    <n v="931234"/>
    <x v="99"/>
    <n v="1854424"/>
    <s v="GP COIL SOFT-TATXGP-GK09-0.6X900"/>
    <s v="Z80"/>
    <s v=""/>
    <n v="4"/>
    <n v="6"/>
    <m/>
    <s v="C02"/>
    <s v="TATXGP"/>
    <s v="GK09"/>
    <n v="0.6"/>
    <n v="900"/>
    <n v="0"/>
    <n v="210"/>
    <n v="0"/>
    <n v="210"/>
    <n v="210"/>
    <n v="210"/>
    <n v="210"/>
    <n v="0"/>
    <n v="0"/>
    <n v="0"/>
    <n v="0"/>
    <n v="0"/>
    <n v="0"/>
    <n v="0"/>
    <n v="0"/>
    <n v="0"/>
    <n v="0"/>
    <n v="0"/>
    <n v="0"/>
    <n v="0"/>
    <n v="0"/>
    <n v="0"/>
    <n v="0"/>
    <n v="0"/>
    <n v="0"/>
    <n v="0"/>
    <n v="0"/>
    <n v="0"/>
    <n v="0"/>
    <n v="0"/>
    <m/>
    <m/>
    <m/>
    <m/>
    <m/>
    <m/>
    <m/>
    <m/>
    <m/>
    <m/>
    <m/>
    <m/>
    <m/>
    <m/>
    <m/>
    <m/>
    <m/>
    <m/>
    <m/>
    <m/>
    <m/>
    <m/>
    <m/>
    <m/>
    <m/>
    <m/>
    <m/>
    <m/>
    <m/>
    <m/>
    <m/>
    <m/>
    <m/>
    <m/>
    <m/>
    <m/>
    <m/>
    <m/>
    <m/>
    <m/>
    <m/>
    <m/>
    <m/>
    <m/>
    <m/>
    <m/>
    <m/>
    <m/>
    <m/>
  </r>
  <r>
    <n v="743"/>
    <d v="2025-02-17T00:00:00"/>
    <s v="ZBTO"/>
    <n v="9518527008"/>
    <n v="2"/>
    <s v="9518527008-2"/>
    <s v="No Priority"/>
    <x v="0"/>
    <m/>
    <x v="3"/>
    <x v="9"/>
    <s v="2000-BPRS"/>
    <m/>
    <x v="0"/>
    <m/>
    <m/>
    <m/>
    <s v="North"/>
    <s v="LONI"/>
    <m/>
    <n v="931234"/>
    <x v="99"/>
    <n v="1191955"/>
    <s v="GP COIL SOFT-TATXGP-GK09-0.3X900"/>
    <s v="Z80"/>
    <s v=""/>
    <n v="4"/>
    <n v="6"/>
    <m/>
    <s v="C02"/>
    <s v="TATXGP"/>
    <s v="GK09"/>
    <n v="0.3"/>
    <n v="900"/>
    <n v="0"/>
    <n v="105"/>
    <n v="0"/>
    <n v="105"/>
    <n v="105"/>
    <n v="105"/>
    <n v="105"/>
    <n v="0"/>
    <n v="0"/>
    <n v="0"/>
    <n v="0"/>
    <n v="0"/>
    <n v="0"/>
    <n v="0"/>
    <n v="0"/>
    <n v="0"/>
    <n v="0"/>
    <n v="0"/>
    <n v="0"/>
    <n v="0"/>
    <n v="0"/>
    <n v="0"/>
    <n v="0"/>
    <n v="0"/>
    <n v="0"/>
    <n v="0"/>
    <n v="0"/>
    <n v="0"/>
    <n v="0"/>
    <n v="0"/>
    <m/>
    <m/>
    <m/>
    <m/>
    <m/>
    <m/>
    <m/>
    <m/>
    <m/>
    <m/>
    <m/>
    <m/>
    <m/>
    <m/>
    <m/>
    <m/>
    <m/>
    <m/>
    <m/>
    <m/>
    <m/>
    <m/>
    <m/>
    <m/>
    <m/>
    <m/>
    <m/>
    <m/>
    <m/>
    <m/>
    <m/>
    <m/>
    <m/>
    <m/>
    <m/>
    <m/>
    <m/>
    <m/>
    <m/>
    <m/>
    <m/>
    <m/>
    <m/>
    <m/>
    <m/>
    <m/>
    <m/>
    <m/>
    <m/>
  </r>
  <r>
    <n v="744"/>
    <d v="2025-02-22T00:00:00"/>
    <s v="ZBTO"/>
    <n v="9518542873"/>
    <n v="6"/>
    <s v="9518542873-6"/>
    <s v="May'25"/>
    <x v="0"/>
    <m/>
    <x v="2"/>
    <x v="3"/>
    <s v="1000-IPPE"/>
    <m/>
    <x v="1"/>
    <m/>
    <m/>
    <m/>
    <s v="TBSPL"/>
    <s v=" "/>
    <m/>
    <n v="941597"/>
    <x v="6"/>
    <n v="3624035"/>
    <s v="PPGL C Y550 HPL3 0.39BMT(0.47TPT)X1220"/>
    <s v="AZ150"/>
    <s v="SUPREME MAROON TSL 283"/>
    <n v="3"/>
    <n v="5"/>
    <m/>
    <s v="B18"/>
    <s v="Y550PL"/>
    <s v="HPL3"/>
    <n v="0.39"/>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2-14T00:00:00"/>
    <s v="ZBTO"/>
    <n v="9518520213"/>
    <n v="8"/>
    <s v="9518520213-8"/>
    <s v="No Priority"/>
    <x v="0"/>
    <m/>
    <x v="1"/>
    <x v="2"/>
    <s v="2000-BPRS"/>
    <m/>
    <x v="0"/>
    <m/>
    <m/>
    <m/>
    <s v="East"/>
    <s v="PURNIA"/>
    <m/>
    <n v="103227"/>
    <x v="31"/>
    <n v="3239568"/>
    <s v="CRCA SHEET TATCRC SR16 0.450X1250X2500"/>
    <s v=" "/>
    <s v=""/>
    <n v="0"/>
    <n v="0"/>
    <m/>
    <s v="C06"/>
    <s v="TATCRC"/>
    <s v="SR16"/>
    <n v="0.45"/>
    <n v="1250"/>
    <n v="2500"/>
    <n v="36"/>
    <n v="25.215"/>
    <n v="10.785"/>
    <n v="10.785"/>
    <n v="10.785"/>
    <n v="10.785"/>
    <n v="0"/>
    <n v="0"/>
    <n v="0"/>
    <n v="0"/>
    <n v="0"/>
    <n v="0"/>
    <n v="0"/>
    <n v="0"/>
    <n v="0"/>
    <n v="0"/>
    <n v="0"/>
    <n v="0"/>
    <n v="0"/>
    <n v="0"/>
    <n v="0"/>
    <n v="0"/>
    <n v="0"/>
    <n v="0"/>
    <n v="0"/>
    <n v="0"/>
    <n v="0"/>
    <n v="0"/>
    <n v="0"/>
    <m/>
    <m/>
    <m/>
    <m/>
    <m/>
    <m/>
    <m/>
    <m/>
    <m/>
    <m/>
    <m/>
    <m/>
    <m/>
    <m/>
    <m/>
    <m/>
    <m/>
    <m/>
    <m/>
    <m/>
    <m/>
    <m/>
    <m/>
    <m/>
    <m/>
    <m/>
    <m/>
    <m/>
    <m/>
    <m/>
    <m/>
    <m/>
    <m/>
    <m/>
    <m/>
    <m/>
    <m/>
    <m/>
    <m/>
    <m/>
    <m/>
    <m/>
    <m/>
    <m/>
    <m/>
    <m/>
    <m/>
    <m/>
    <m/>
  </r>
  <r>
    <n v="742"/>
    <d v="2025-03-06T00:00:00"/>
    <s v="ZBTO"/>
    <n v="9518579878"/>
    <n v="7"/>
    <s v="9518579878-7"/>
    <s v="May'25"/>
    <x v="0"/>
    <s v="Yes"/>
    <x v="1"/>
    <x v="2"/>
    <s v="2000-BPRS"/>
    <m/>
    <x v="1"/>
    <m/>
    <m/>
    <m/>
    <s v="North"/>
    <s v="VARANASI"/>
    <m/>
    <n v="931525"/>
    <x v="2"/>
    <n v="3240781"/>
    <s v="CRCA SHEET TSBCRC SR15 0.600X1250X2030"/>
    <s v=" "/>
    <s v=""/>
    <n v="0"/>
    <n v="0"/>
    <m/>
    <s v="C06"/>
    <s v="TSBCRC"/>
    <s v="SR15"/>
    <n v="0.6"/>
    <n v="1250"/>
    <n v="2030"/>
    <n v="27"/>
    <n v="0"/>
    <n v="27"/>
    <n v="27"/>
    <n v="3.7699999999999996"/>
    <n v="27"/>
    <n v="0"/>
    <n v="0"/>
    <n v="23.23"/>
    <n v="0"/>
    <n v="0"/>
    <n v="0"/>
    <n v="0"/>
    <n v="0"/>
    <n v="0"/>
    <n v="0"/>
    <n v="0"/>
    <n v="0"/>
    <n v="0"/>
    <n v="0"/>
    <n v="0"/>
    <n v="0"/>
    <n v="0"/>
    <n v="0"/>
    <n v="0"/>
    <n v="23.23"/>
    <n v="23.23"/>
    <n v="0"/>
    <n v="23.23"/>
    <m/>
    <m/>
    <m/>
    <m/>
    <m/>
    <m/>
    <m/>
    <m/>
    <m/>
    <m/>
    <m/>
    <m/>
    <m/>
    <m/>
    <m/>
    <m/>
    <m/>
    <m/>
    <m/>
    <m/>
    <m/>
    <m/>
    <m/>
    <m/>
    <m/>
    <m/>
    <m/>
    <m/>
    <m/>
    <m/>
    <m/>
    <m/>
    <m/>
    <m/>
    <m/>
    <m/>
    <m/>
    <m/>
    <m/>
    <m/>
    <m/>
    <m/>
    <m/>
    <m/>
    <m/>
    <m/>
    <m/>
    <m/>
    <m/>
  </r>
  <r>
    <n v="742"/>
    <d v="2025-03-11T00:00:00"/>
    <s v="ZBTO"/>
    <n v="9518591869"/>
    <n v="10"/>
    <s v="9518591869-10"/>
    <s v="No Priority"/>
    <x v="0"/>
    <m/>
    <x v="1"/>
    <x v="1"/>
    <s v="2000-BPRS"/>
    <m/>
    <x v="0"/>
    <m/>
    <m/>
    <m/>
    <s v="North"/>
    <s v="FARIDABAD"/>
    <m/>
    <n v="936527"/>
    <x v="52"/>
    <n v="1804854"/>
    <s v="CRCA COIL-TATXXD-AU03-1.2X1250"/>
    <s v=" "/>
    <s v=""/>
    <n v="10"/>
    <n v="30"/>
    <m/>
    <s v="C01"/>
    <s v="TATXXD"/>
    <s v="AU03"/>
    <n v="1.2"/>
    <n v="1250"/>
    <n v="0"/>
    <n v="29"/>
    <n v="0"/>
    <n v="29"/>
    <n v="29"/>
    <n v="29"/>
    <n v="0"/>
    <n v="0"/>
    <n v="0"/>
    <n v="0"/>
    <n v="0"/>
    <n v="0"/>
    <n v="0"/>
    <n v="0"/>
    <n v="0"/>
    <n v="0"/>
    <n v="0"/>
    <n v="0"/>
    <n v="0"/>
    <n v="0"/>
    <n v="0"/>
    <n v="0"/>
    <n v="0"/>
    <n v="0"/>
    <n v="0"/>
    <n v="0"/>
    <n v="0"/>
    <n v="0"/>
    <n v="0"/>
    <n v="0"/>
    <m/>
    <m/>
    <m/>
    <m/>
    <m/>
    <m/>
    <m/>
    <m/>
    <m/>
    <m/>
    <m/>
    <m/>
    <m/>
    <m/>
    <m/>
    <m/>
    <m/>
    <m/>
    <m/>
    <m/>
    <m/>
    <m/>
    <m/>
    <m/>
    <m/>
    <m/>
    <m/>
    <m/>
    <m/>
    <m/>
    <m/>
    <m/>
    <m/>
    <m/>
    <m/>
    <m/>
    <m/>
    <m/>
    <m/>
    <m/>
    <m/>
    <m/>
    <m/>
    <m/>
    <m/>
    <m/>
    <m/>
    <m/>
    <m/>
  </r>
  <r>
    <n v="743"/>
    <d v="2025-03-10T00:00:00"/>
    <s v="ZBTO"/>
    <n v="9518589716"/>
    <n v="6"/>
    <s v="9518589716-6"/>
    <s v="No Priority"/>
    <x v="0"/>
    <m/>
    <x v="3"/>
    <x v="9"/>
    <s v="2000-BPRS"/>
    <m/>
    <x v="0"/>
    <m/>
    <m/>
    <m/>
    <s v="North"/>
    <s v="KANPUR"/>
    <m/>
    <n v="933952"/>
    <x v="50"/>
    <n v="1854424"/>
    <s v="GP COIL SOFT-TATXGP-GK09-0.6X900"/>
    <s v="Z80"/>
    <s v=""/>
    <n v="3.2"/>
    <n v="5"/>
    <m/>
    <s v="C02"/>
    <s v="TATXGP"/>
    <s v="GK09"/>
    <n v="0.6"/>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3-15T00:00:00"/>
    <s v="ZBTO"/>
    <n v="9518602675"/>
    <n v="2"/>
    <s v="9518602675-2"/>
    <s v="May'25"/>
    <x v="0"/>
    <s v="Yes"/>
    <x v="3"/>
    <x v="9"/>
    <s v="2000-BPRS"/>
    <m/>
    <x v="1"/>
    <m/>
    <m/>
    <m/>
    <s v="East"/>
    <s v="WEST BOKARO"/>
    <m/>
    <n v="185794"/>
    <x v="12"/>
    <n v="1191956"/>
    <s v="GP COIL SOFT-TATXGP-GK09-0.35X900"/>
    <s v="Z80"/>
    <s v=""/>
    <n v="5"/>
    <n v="15"/>
    <m/>
    <s v="C02"/>
    <s v="TATXGP"/>
    <s v="GK09"/>
    <n v="0.35"/>
    <n v="900"/>
    <n v="0"/>
    <n v="147"/>
    <n v="0"/>
    <n v="147"/>
    <n v="147"/>
    <n v="147"/>
    <n v="147"/>
    <n v="0"/>
    <n v="0"/>
    <n v="0"/>
    <n v="0"/>
    <n v="0"/>
    <n v="0"/>
    <n v="0"/>
    <n v="0"/>
    <n v="0"/>
    <n v="0"/>
    <n v="0"/>
    <n v="0"/>
    <n v="0"/>
    <n v="0"/>
    <n v="0"/>
    <n v="0"/>
    <n v="0"/>
    <n v="0"/>
    <n v="0"/>
    <n v="0"/>
    <n v="0"/>
    <n v="0"/>
    <n v="0"/>
    <m/>
    <m/>
    <m/>
    <m/>
    <m/>
    <m/>
    <m/>
    <m/>
    <m/>
    <m/>
    <m/>
    <m/>
    <m/>
    <m/>
    <m/>
    <m/>
    <m/>
    <m/>
    <m/>
    <m/>
    <m/>
    <m/>
    <m/>
    <m/>
    <m/>
    <m/>
    <m/>
    <m/>
    <m/>
    <m/>
    <m/>
    <m/>
    <m/>
    <m/>
    <m/>
    <m/>
    <m/>
    <m/>
    <m/>
    <m/>
    <m/>
    <m/>
    <m/>
    <m/>
    <m/>
    <m/>
    <m/>
    <m/>
    <m/>
  </r>
  <r>
    <n v="742"/>
    <d v="2025-03-17T00:00:00"/>
    <s v="ZBTF"/>
    <n v="9518607093"/>
    <n v="1"/>
    <s v="9518607093-1"/>
    <s v="May'25"/>
    <x v="0"/>
    <m/>
    <x v="1"/>
    <x v="7"/>
    <s v="1000-IPPE"/>
    <m/>
    <x v="1"/>
    <m/>
    <m/>
    <m/>
    <s v="East"/>
    <s v="PILKHUWA"/>
    <m/>
    <n v="600250"/>
    <x v="23"/>
    <n v="2439203"/>
    <s v="CRCA COIL TSBSTA EL06 0.500X1160"/>
    <s v=" "/>
    <s v=""/>
    <n v="8"/>
    <n v="13"/>
    <m/>
    <s v="C01"/>
    <s v="TSBSTA"/>
    <s v="EL06"/>
    <n v="0.5"/>
    <n v="1160"/>
    <n v="0"/>
    <n v="297"/>
    <n v="186.64"/>
    <n v="110.36"/>
    <n v="110.36"/>
    <n v="61.674999999999997"/>
    <n v="110.36"/>
    <n v="0"/>
    <n v="0"/>
    <n v="0"/>
    <n v="21.45"/>
    <n v="0"/>
    <n v="0"/>
    <n v="0"/>
    <n v="0"/>
    <n v="0"/>
    <n v="0"/>
    <n v="27.235000000000003"/>
    <n v="0"/>
    <n v="0"/>
    <n v="0"/>
    <n v="0"/>
    <n v="0"/>
    <n v="0"/>
    <n v="0"/>
    <n v="0"/>
    <n v="48.685000000000002"/>
    <n v="48.685000000000002"/>
    <n v="0"/>
    <n v="48.685000000000002"/>
    <m/>
    <m/>
    <m/>
    <m/>
    <m/>
    <m/>
    <m/>
    <m/>
    <m/>
    <m/>
    <m/>
    <m/>
    <m/>
    <m/>
    <m/>
    <m/>
    <m/>
    <m/>
    <m/>
    <m/>
    <m/>
    <m/>
    <m/>
    <m/>
    <m/>
    <m/>
    <m/>
    <m/>
    <m/>
    <m/>
    <m/>
    <m/>
    <m/>
    <m/>
    <m/>
    <m/>
    <m/>
    <m/>
    <m/>
    <m/>
    <m/>
    <m/>
    <m/>
    <m/>
    <m/>
    <m/>
    <m/>
    <m/>
    <m/>
  </r>
  <r>
    <n v="743"/>
    <d v="2025-03-18T00:00:00"/>
    <s v="ZBTO"/>
    <n v="9518610550"/>
    <n v="1"/>
    <s v="9518610550-1"/>
    <s v="No Priority"/>
    <x v="0"/>
    <m/>
    <x v="3"/>
    <x v="9"/>
    <s v="2000-BPRS"/>
    <m/>
    <x v="0"/>
    <m/>
    <m/>
    <m/>
    <s v="North"/>
    <s v="SANHEWAL"/>
    <m/>
    <n v="185845"/>
    <x v="81"/>
    <n v="1851054"/>
    <s v="GP COIL SOFT-TATXGP-GK09-0.2X900"/>
    <s v="Z80"/>
    <s v=""/>
    <n v="4"/>
    <n v="6"/>
    <m/>
    <s v="C02"/>
    <s v="TATXGP"/>
    <s v="GK09"/>
    <n v="0.2"/>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8T00:00:00"/>
    <s v="ZBTO"/>
    <n v="9518610550"/>
    <n v="4"/>
    <s v="9518610550-4"/>
    <s v="No Priority"/>
    <x v="0"/>
    <m/>
    <x v="3"/>
    <x v="9"/>
    <s v="2000-BPRS"/>
    <m/>
    <x v="0"/>
    <m/>
    <m/>
    <m/>
    <s v="North"/>
    <s v="SANHEWAL"/>
    <m/>
    <n v="185845"/>
    <x v="81"/>
    <n v="1191956"/>
    <s v="GP COIL SOFT-TATXGP-GK09-0.35X900"/>
    <s v="Z80"/>
    <s v=""/>
    <n v="4"/>
    <n v="6"/>
    <m/>
    <s v="C02"/>
    <s v="TATXGP"/>
    <s v="GK09"/>
    <n v="0.3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8T00:00:00"/>
    <s v="ZBTO"/>
    <n v="9518610550"/>
    <n v="5"/>
    <s v="9518610550-5"/>
    <s v="No Priority"/>
    <x v="0"/>
    <m/>
    <x v="3"/>
    <x v="9"/>
    <s v="2000-BPRS"/>
    <m/>
    <x v="0"/>
    <m/>
    <m/>
    <m/>
    <s v="North"/>
    <s v="SANHEWAL"/>
    <m/>
    <n v="185845"/>
    <x v="81"/>
    <n v="1178439"/>
    <s v="GP COIL SOFT-TATXGP-GK09-0.4X900"/>
    <s v="Z80"/>
    <s v=""/>
    <n v="4"/>
    <n v="6"/>
    <m/>
    <s v="C02"/>
    <s v="TATXGP"/>
    <s v="GK09"/>
    <n v="0.4"/>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8T00:00:00"/>
    <s v="ZBTO"/>
    <n v="9518610550"/>
    <n v="7"/>
    <s v="9518610550-7"/>
    <s v="No Priority"/>
    <x v="0"/>
    <m/>
    <x v="3"/>
    <x v="9"/>
    <s v="2000-BPRS"/>
    <m/>
    <x v="0"/>
    <m/>
    <m/>
    <m/>
    <s v="North"/>
    <s v="SANHEWAL"/>
    <m/>
    <n v="185845"/>
    <x v="81"/>
    <n v="1854413"/>
    <s v="GP COIL SOFT-TATXGP-GK09-0.45X900"/>
    <s v="Z80"/>
    <s v=""/>
    <n v="4"/>
    <n v="6"/>
    <m/>
    <s v="C02"/>
    <s v="TATXGP"/>
    <s v="GK09"/>
    <n v="0.4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8T00:00:00"/>
    <s v="ZBTO"/>
    <n v="9518610550"/>
    <n v="8"/>
    <s v="9518610550-8"/>
    <s v="No Priority"/>
    <x v="0"/>
    <m/>
    <x v="3"/>
    <x v="9"/>
    <s v="2000-BPRS"/>
    <m/>
    <x v="0"/>
    <m/>
    <m/>
    <m/>
    <s v="North"/>
    <s v="SANHEWAL"/>
    <m/>
    <n v="185845"/>
    <x v="81"/>
    <n v="1854414"/>
    <s v="GP COIL SOFT-TATXGP-GK09-0.45X1000"/>
    <s v="Z80"/>
    <s v=""/>
    <n v="4"/>
    <n v="6"/>
    <m/>
    <s v="C02"/>
    <s v="TATXGP"/>
    <s v="GK09"/>
    <n v="0.45"/>
    <n v="1000"/>
    <n v="0"/>
    <n v="23"/>
    <n v="0"/>
    <n v="23"/>
    <n v="23"/>
    <n v="23"/>
    <n v="23"/>
    <n v="0"/>
    <n v="0"/>
    <n v="0"/>
    <n v="0"/>
    <n v="0"/>
    <n v="0"/>
    <n v="0"/>
    <n v="0"/>
    <n v="0"/>
    <n v="0"/>
    <n v="0"/>
    <n v="0"/>
    <n v="0"/>
    <n v="0"/>
    <n v="0"/>
    <n v="0"/>
    <n v="0"/>
    <n v="0"/>
    <n v="0"/>
    <n v="0"/>
    <n v="0"/>
    <n v="0"/>
    <n v="0"/>
    <m/>
    <m/>
    <m/>
    <m/>
    <m/>
    <m/>
    <m/>
    <m/>
    <m/>
    <m/>
    <m/>
    <m/>
    <m/>
    <m/>
    <m/>
    <m/>
    <m/>
    <m/>
    <m/>
    <m/>
    <m/>
    <m/>
    <m/>
    <m/>
    <m/>
    <m/>
    <m/>
    <m/>
    <m/>
    <m/>
    <m/>
    <m/>
    <m/>
    <m/>
    <m/>
    <m/>
    <m/>
    <m/>
    <m/>
    <m/>
    <m/>
    <m/>
    <m/>
    <m/>
    <m/>
    <m/>
    <m/>
    <m/>
    <m/>
  </r>
  <r>
    <n v="743"/>
    <d v="2025-03-18T00:00:00"/>
    <s v="ZBTO"/>
    <n v="9518610550"/>
    <n v="10"/>
    <s v="9518610550-10"/>
    <s v="No Priority"/>
    <x v="0"/>
    <m/>
    <x v="3"/>
    <x v="9"/>
    <s v="2000-BPRS"/>
    <m/>
    <x v="0"/>
    <m/>
    <m/>
    <m/>
    <s v="North"/>
    <s v="SANHEWAL"/>
    <m/>
    <n v="185845"/>
    <x v="81"/>
    <n v="1854418"/>
    <s v="GP COIL SOFT-TATXGP-GK09-0.5X900"/>
    <s v="Z80"/>
    <s v=""/>
    <n v="4"/>
    <n v="6"/>
    <m/>
    <s v="C02"/>
    <s v="TATXGP"/>
    <s v="GK09"/>
    <n v="0.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8T00:00:00"/>
    <s v="ZBTO"/>
    <n v="9518610550"/>
    <n v="11"/>
    <s v="9518610550-11"/>
    <s v="No Priority"/>
    <x v="0"/>
    <m/>
    <x v="3"/>
    <x v="9"/>
    <s v="2000-BPRS"/>
    <m/>
    <x v="0"/>
    <m/>
    <m/>
    <m/>
    <s v="North"/>
    <s v="SANHEWAL"/>
    <m/>
    <n v="185845"/>
    <x v="81"/>
    <n v="1178446"/>
    <s v="GP COIL SOFT-TATXGP-GK09-0.5X1000"/>
    <s v="Z80"/>
    <s v=""/>
    <n v="4"/>
    <n v="6"/>
    <m/>
    <s v="C02"/>
    <s v="TATXGP"/>
    <s v="GK09"/>
    <n v="0.5"/>
    <n v="1000"/>
    <n v="0"/>
    <n v="23"/>
    <n v="0"/>
    <n v="23"/>
    <n v="23"/>
    <n v="23"/>
    <n v="23"/>
    <n v="0"/>
    <n v="0"/>
    <n v="0"/>
    <n v="0"/>
    <n v="0"/>
    <n v="0"/>
    <n v="0"/>
    <n v="0"/>
    <n v="0"/>
    <n v="0"/>
    <n v="0"/>
    <n v="0"/>
    <n v="0"/>
    <n v="0"/>
    <n v="0"/>
    <n v="0"/>
    <n v="0"/>
    <n v="0"/>
    <n v="0"/>
    <n v="0"/>
    <n v="0"/>
    <n v="0"/>
    <n v="0"/>
    <m/>
    <m/>
    <m/>
    <m/>
    <m/>
    <m/>
    <m/>
    <m/>
    <m/>
    <m/>
    <m/>
    <m/>
    <m/>
    <m/>
    <m/>
    <m/>
    <m/>
    <m/>
    <m/>
    <m/>
    <m/>
    <m/>
    <m/>
    <m/>
    <m/>
    <m/>
    <m/>
    <m/>
    <m/>
    <m/>
    <m/>
    <m/>
    <m/>
    <m/>
    <m/>
    <m/>
    <m/>
    <m/>
    <m/>
    <m/>
    <m/>
    <m/>
    <m/>
    <m/>
    <m/>
    <m/>
    <m/>
    <m/>
    <m/>
  </r>
  <r>
    <n v="743"/>
    <d v="2025-03-18T00:00:00"/>
    <s v="ZBTO"/>
    <n v="9518610550"/>
    <n v="13"/>
    <s v="9518610550-13"/>
    <s v="No Priority"/>
    <x v="0"/>
    <m/>
    <x v="3"/>
    <x v="9"/>
    <s v="2000-BPRS"/>
    <m/>
    <x v="0"/>
    <m/>
    <m/>
    <m/>
    <s v="North"/>
    <s v="SANHEWAL"/>
    <m/>
    <n v="185845"/>
    <x v="81"/>
    <n v="1854424"/>
    <s v="GP COIL SOFT-TATXGP-GK09-0.6X900"/>
    <s v="Z80"/>
    <s v=""/>
    <n v="4"/>
    <n v="6"/>
    <m/>
    <s v="C02"/>
    <s v="TATXGP"/>
    <s v="GK09"/>
    <n v="0.6"/>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3-03T00:00:00"/>
    <s v="ZBTO"/>
    <n v="9518569788"/>
    <n v="8"/>
    <s v="9518569788-8"/>
    <s v="May'25"/>
    <x v="0"/>
    <s v="Yes"/>
    <x v="1"/>
    <x v="1"/>
    <s v="2000-BPRS"/>
    <m/>
    <x v="1"/>
    <m/>
    <m/>
    <m/>
    <s v="East"/>
    <s v="GUWAHATI"/>
    <m/>
    <n v="116649"/>
    <x v="24"/>
    <n v="1804814"/>
    <s v="CRCA COIL TATXXD AU03 0.8X1250"/>
    <s v=" "/>
    <s v=""/>
    <n v="7"/>
    <n v="12"/>
    <m/>
    <s v="C01"/>
    <s v="TATXXD"/>
    <s v="AU03"/>
    <n v="0.8"/>
    <n v="1250"/>
    <n v="0"/>
    <n v="58"/>
    <n v="40.270000000000003"/>
    <n v="17.73"/>
    <n v="17.73"/>
    <n v="17.73"/>
    <n v="17.73"/>
    <n v="0"/>
    <n v="0"/>
    <n v="0"/>
    <n v="0"/>
    <n v="0"/>
    <n v="0"/>
    <n v="0"/>
    <n v="0"/>
    <n v="0"/>
    <n v="0"/>
    <n v="0"/>
    <n v="0"/>
    <n v="0"/>
    <n v="0"/>
    <n v="0"/>
    <n v="0"/>
    <n v="0"/>
    <n v="0"/>
    <n v="0"/>
    <n v="0"/>
    <n v="0"/>
    <n v="0"/>
    <n v="0"/>
    <m/>
    <m/>
    <m/>
    <m/>
    <m/>
    <m/>
    <m/>
    <m/>
    <m/>
    <m/>
    <m/>
    <m/>
    <m/>
    <m/>
    <m/>
    <m/>
    <m/>
    <m/>
    <m/>
    <m/>
    <m/>
    <m/>
    <m/>
    <m/>
    <m/>
    <m/>
    <m/>
    <m/>
    <m/>
    <m/>
    <m/>
    <m/>
    <m/>
    <m/>
    <m/>
    <m/>
    <m/>
    <m/>
    <m/>
    <m/>
    <m/>
    <m/>
    <m/>
    <m/>
    <m/>
    <m/>
    <m/>
    <m/>
    <m/>
  </r>
  <r>
    <n v="743"/>
    <d v="2025-03-12T00:00:00"/>
    <s v="ZBTO"/>
    <n v="9518596806"/>
    <n v="2"/>
    <s v="9518596806-2"/>
    <s v="May'25"/>
    <x v="0"/>
    <s v="Yes"/>
    <x v="3"/>
    <x v="9"/>
    <s v="2000-BPRS"/>
    <m/>
    <x v="1"/>
    <m/>
    <m/>
    <m/>
    <s v="East"/>
    <s v=" "/>
    <m/>
    <n v="121328"/>
    <x v="10"/>
    <n v="1191956"/>
    <s v="GP COIL SOFT-TATXGP-GK09-0.35X900"/>
    <s v="Z80"/>
    <s v=""/>
    <n v="4"/>
    <n v="12"/>
    <m/>
    <s v="C02"/>
    <s v="TATXGP"/>
    <s v="GK09"/>
    <n v="0.35"/>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3-16T00:00:00"/>
    <s v="ZBTO"/>
    <n v="9518604323"/>
    <n v="17"/>
    <s v="9518604323-17"/>
    <s v="May'25"/>
    <x v="0"/>
    <s v="Yes"/>
    <x v="1"/>
    <x v="2"/>
    <s v="2000-BPRS"/>
    <m/>
    <x v="1"/>
    <m/>
    <m/>
    <m/>
    <s v="East"/>
    <s v="TANGI"/>
    <m/>
    <n v="117061"/>
    <x v="25"/>
    <n v="3240851"/>
    <s v="CRCA SHEET TSBCRC SR15 1.200X1250X2500"/>
    <s v=" "/>
    <s v=""/>
    <n v="0.1"/>
    <n v="5"/>
    <m/>
    <s v="C06"/>
    <s v="TSBCRC"/>
    <s v="SR15"/>
    <n v="1.2"/>
    <n v="1250"/>
    <n v="2500"/>
    <n v="30"/>
    <n v="0"/>
    <n v="30"/>
    <n v="30"/>
    <n v="30"/>
    <n v="30"/>
    <n v="0"/>
    <n v="0"/>
    <n v="0"/>
    <n v="0"/>
    <n v="0"/>
    <n v="0"/>
    <n v="0"/>
    <n v="0"/>
    <n v="0"/>
    <n v="0"/>
    <n v="0"/>
    <n v="0"/>
    <n v="0"/>
    <n v="0"/>
    <n v="0"/>
    <n v="0"/>
    <n v="0"/>
    <n v="0"/>
    <n v="0"/>
    <n v="0"/>
    <n v="0"/>
    <n v="0"/>
    <n v="0"/>
    <m/>
    <m/>
    <m/>
    <m/>
    <m/>
    <m/>
    <m/>
    <m/>
    <m/>
    <m/>
    <m/>
    <m/>
    <m/>
    <m/>
    <m/>
    <m/>
    <m/>
    <m/>
    <m/>
    <m/>
    <m/>
    <m/>
    <m/>
    <m/>
    <m/>
    <m/>
    <m/>
    <m/>
    <m/>
    <m/>
    <m/>
    <m/>
    <m/>
    <m/>
    <m/>
    <m/>
    <m/>
    <m/>
    <m/>
    <m/>
    <m/>
    <m/>
    <m/>
    <m/>
    <m/>
    <m/>
    <m/>
    <m/>
    <m/>
  </r>
  <r>
    <n v="743"/>
    <d v="2025-03-18T00:00:00"/>
    <s v="ZBTO"/>
    <n v="9518609974"/>
    <n v="2"/>
    <s v="9518609974-2"/>
    <s v="No Priority"/>
    <x v="0"/>
    <m/>
    <x v="3"/>
    <x v="9"/>
    <s v="2000-BPRS"/>
    <m/>
    <x v="0"/>
    <m/>
    <m/>
    <m/>
    <s v="North"/>
    <s v="LONI"/>
    <m/>
    <n v="183259"/>
    <x v="88"/>
    <n v="1851054"/>
    <s v="GP COIL SOFT-TATXGP-GK09-0.2X900"/>
    <s v="Z80"/>
    <s v=""/>
    <n v="4"/>
    <n v="6"/>
    <m/>
    <s v="C02"/>
    <s v="TATXGP"/>
    <s v="GK09"/>
    <n v="0.2"/>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19T00:00:00"/>
    <s v="ZBTO"/>
    <n v="9518612234"/>
    <n v="1"/>
    <s v="9518612234-1"/>
    <s v="No Priority"/>
    <x v="0"/>
    <m/>
    <x v="3"/>
    <x v="9"/>
    <s v="2000-BPRS"/>
    <m/>
    <x v="0"/>
    <m/>
    <m/>
    <m/>
    <s v="North"/>
    <s v="LONI"/>
    <m/>
    <n v="931234"/>
    <x v="99"/>
    <n v="1851065"/>
    <s v="GP COIL SOFT-TATXGP-GK09-0.25X900"/>
    <s v="Z80"/>
    <s v=""/>
    <n v="4"/>
    <n v="6"/>
    <m/>
    <s v="C02"/>
    <s v="TATXGP"/>
    <s v="GK09"/>
    <n v="0.25"/>
    <n v="900"/>
    <n v="0"/>
    <n v="42"/>
    <n v="0"/>
    <n v="42"/>
    <n v="42"/>
    <n v="42"/>
    <n v="42"/>
    <n v="0"/>
    <n v="0"/>
    <n v="0"/>
    <n v="0"/>
    <n v="0"/>
    <n v="0"/>
    <n v="0"/>
    <n v="0"/>
    <n v="0"/>
    <n v="0"/>
    <n v="0"/>
    <n v="0"/>
    <n v="0"/>
    <n v="0"/>
    <n v="0"/>
    <n v="0"/>
    <n v="0"/>
    <n v="0"/>
    <n v="0"/>
    <n v="0"/>
    <n v="0"/>
    <n v="0"/>
    <n v="0"/>
    <m/>
    <m/>
    <m/>
    <m/>
    <m/>
    <m/>
    <m/>
    <m/>
    <m/>
    <m/>
    <m/>
    <m/>
    <m/>
    <m/>
    <m/>
    <m/>
    <m/>
    <m/>
    <m/>
    <m/>
    <m/>
    <m/>
    <m/>
    <m/>
    <m/>
    <m/>
    <m/>
    <m/>
    <m/>
    <m/>
    <m/>
    <m/>
    <m/>
    <m/>
    <m/>
    <m/>
    <m/>
    <m/>
    <m/>
    <m/>
    <m/>
    <m/>
    <m/>
    <m/>
    <m/>
    <m/>
    <m/>
    <m/>
    <m/>
  </r>
  <r>
    <n v="744"/>
    <d v="2025-03-19T00:00:00"/>
    <s v="ZBTO"/>
    <n v="9518612385"/>
    <n v="8"/>
    <s v="9518612385-8"/>
    <s v="May'25"/>
    <x v="0"/>
    <s v="Yes"/>
    <x v="2"/>
    <x v="3"/>
    <s v="1000-IPPE"/>
    <m/>
    <x v="1"/>
    <m/>
    <m/>
    <m/>
    <s v="TBSPL"/>
    <s v="GAMHARIA"/>
    <m/>
    <n v="940016"/>
    <x v="15"/>
    <n v="3900141"/>
    <s v="PPGL C Y550 ISC6 0.43BMT(0.48TPT)X1220"/>
    <s v="aZ70"/>
    <s v="PRO BLACK TSL 1914"/>
    <n v="3"/>
    <n v="5"/>
    <m/>
    <s v="B18"/>
    <s v="Y550PL"/>
    <s v="ISC6"/>
    <n v="0.43"/>
    <n v="1220"/>
    <n v="0"/>
    <n v="28"/>
    <n v="0"/>
    <n v="28"/>
    <n v="28"/>
    <n v="28"/>
    <n v="28"/>
    <n v="0"/>
    <n v="0"/>
    <n v="0"/>
    <n v="0"/>
    <n v="0"/>
    <n v="0"/>
    <n v="0"/>
    <n v="0"/>
    <n v="0"/>
    <n v="0"/>
    <n v="0"/>
    <n v="0"/>
    <n v="0"/>
    <n v="0"/>
    <n v="0"/>
    <n v="0"/>
    <n v="0"/>
    <n v="0"/>
    <n v="0"/>
    <n v="0"/>
    <n v="0"/>
    <n v="0"/>
    <n v="0"/>
    <m/>
    <m/>
    <m/>
    <m/>
    <m/>
    <m/>
    <m/>
    <m/>
    <m/>
    <m/>
    <m/>
    <m/>
    <m/>
    <m/>
    <m/>
    <m/>
    <m/>
    <m/>
    <m/>
    <m/>
    <m/>
    <m/>
    <m/>
    <m/>
    <m/>
    <m/>
    <m/>
    <m/>
    <m/>
    <m/>
    <m/>
    <m/>
    <m/>
    <m/>
    <m/>
    <m/>
    <m/>
    <m/>
    <m/>
    <m/>
    <m/>
    <m/>
    <m/>
    <m/>
    <m/>
    <m/>
    <m/>
    <m/>
    <m/>
  </r>
  <r>
    <n v="742"/>
    <d v="2025-03-16T00:00:00"/>
    <s v="ZBTO"/>
    <n v="9518604323"/>
    <n v="7"/>
    <s v="9518604323-7"/>
    <s v="May'25"/>
    <x v="0"/>
    <s v="Yes"/>
    <x v="1"/>
    <x v="2"/>
    <s v="2000-BPRS"/>
    <m/>
    <x v="1"/>
    <m/>
    <m/>
    <m/>
    <s v="East"/>
    <s v="TANGI"/>
    <m/>
    <n v="117061"/>
    <x v="25"/>
    <n v="3240765"/>
    <s v="CRCA SHEET TSBCRC SR15 0.500X1250X2500"/>
    <s v=" "/>
    <s v=""/>
    <n v="0.1"/>
    <n v="5"/>
    <m/>
    <s v="C06"/>
    <s v="TSBCRC"/>
    <s v="SR15"/>
    <n v="0.5"/>
    <n v="1250"/>
    <n v="2500"/>
    <n v="48"/>
    <n v="0"/>
    <n v="48"/>
    <n v="48"/>
    <n v="-5.7549999999999955"/>
    <n v="48"/>
    <n v="0"/>
    <n v="0"/>
    <n v="0"/>
    <n v="0"/>
    <n v="0"/>
    <n v="0"/>
    <n v="0"/>
    <n v="0"/>
    <n v="51.204999999999998"/>
    <n v="0"/>
    <n v="0"/>
    <n v="0"/>
    <n v="0"/>
    <n v="0"/>
    <n v="0"/>
    <n v="0"/>
    <n v="0"/>
    <n v="2.5500000000000003"/>
    <n v="0"/>
    <n v="53.754999999999995"/>
    <n v="53.754999999999995"/>
    <n v="0"/>
    <n v="53.754999999999995"/>
    <m/>
    <m/>
    <m/>
    <m/>
    <m/>
    <m/>
    <m/>
    <m/>
    <m/>
    <m/>
    <m/>
    <m/>
    <m/>
    <m/>
    <m/>
    <m/>
    <m/>
    <m/>
    <m/>
    <m/>
    <m/>
    <m/>
    <m/>
    <m/>
    <m/>
    <m/>
    <m/>
    <m/>
    <m/>
    <m/>
    <m/>
    <m/>
    <m/>
    <m/>
    <m/>
    <m/>
    <m/>
    <m/>
    <m/>
    <m/>
    <m/>
    <m/>
    <m/>
    <m/>
    <m/>
    <m/>
    <m/>
    <m/>
    <m/>
  </r>
  <r>
    <n v="742"/>
    <d v="2025-03-16T00:00:00"/>
    <s v="ZBTO"/>
    <n v="9518604323"/>
    <n v="9"/>
    <s v="9518604323-9"/>
    <s v="No Priority"/>
    <x v="0"/>
    <m/>
    <x v="1"/>
    <x v="2"/>
    <s v="2000-BPRS"/>
    <m/>
    <x v="0"/>
    <m/>
    <m/>
    <m/>
    <s v="East"/>
    <s v="TANGI"/>
    <m/>
    <n v="117061"/>
    <x v="25"/>
    <n v="3240760"/>
    <s v="CRCA SHEET TSBCRC SR15 0.500X1000X2500"/>
    <s v=" "/>
    <s v=""/>
    <n v="0.1"/>
    <n v="5"/>
    <m/>
    <s v="C06"/>
    <s v="TSBCRC"/>
    <s v="SR15"/>
    <n v="0.5"/>
    <n v="1000"/>
    <n v="2500"/>
    <n v="3"/>
    <n v="0"/>
    <n v="3"/>
    <n v="3"/>
    <n v="3"/>
    <n v="3"/>
    <n v="0"/>
    <n v="0"/>
    <n v="0"/>
    <n v="0"/>
    <n v="0"/>
    <n v="0"/>
    <n v="0"/>
    <n v="0"/>
    <n v="0"/>
    <n v="0"/>
    <n v="0"/>
    <n v="0"/>
    <n v="0"/>
    <n v="0"/>
    <n v="0"/>
    <n v="0"/>
    <n v="0"/>
    <n v="0"/>
    <n v="0"/>
    <n v="0"/>
    <n v="0"/>
    <n v="0"/>
    <n v="0"/>
    <m/>
    <m/>
    <m/>
    <m/>
    <m/>
    <m/>
    <m/>
    <m/>
    <m/>
    <m/>
    <m/>
    <m/>
    <m/>
    <m/>
    <m/>
    <m/>
    <m/>
    <m/>
    <m/>
    <m/>
    <m/>
    <m/>
    <m/>
    <m/>
    <m/>
    <m/>
    <m/>
    <m/>
    <m/>
    <m/>
    <m/>
    <m/>
    <m/>
    <m/>
    <m/>
    <m/>
    <m/>
    <m/>
    <m/>
    <m/>
    <m/>
    <m/>
    <m/>
    <m/>
    <m/>
    <m/>
    <m/>
    <m/>
    <m/>
  </r>
  <r>
    <n v="742"/>
    <d v="2025-03-16T00:00:00"/>
    <s v="ZBTO"/>
    <n v="9518604323"/>
    <n v="11"/>
    <s v="9518604323-11"/>
    <s v="May'25"/>
    <x v="0"/>
    <s v="Yes"/>
    <x v="1"/>
    <x v="2"/>
    <s v="2000-BPRS"/>
    <m/>
    <x v="1"/>
    <m/>
    <m/>
    <m/>
    <s v="East"/>
    <s v="TANGI"/>
    <m/>
    <n v="117061"/>
    <x v="25"/>
    <n v="3240786"/>
    <s v="CRCA SHEET TSBCRC SR15 0.700X1250X2500"/>
    <s v=" "/>
    <s v=""/>
    <n v="0.1"/>
    <n v="5"/>
    <m/>
    <s v="C06"/>
    <s v="TSBCRC"/>
    <s v="SR15"/>
    <n v="0.7"/>
    <n v="1250"/>
    <n v="2500"/>
    <n v="24"/>
    <n v="0"/>
    <n v="24"/>
    <n v="24"/>
    <n v="24"/>
    <n v="18.21"/>
    <n v="0"/>
    <n v="0"/>
    <n v="0"/>
    <n v="0"/>
    <n v="0"/>
    <n v="0"/>
    <n v="0"/>
    <n v="0"/>
    <n v="0"/>
    <n v="0"/>
    <n v="0"/>
    <n v="0"/>
    <n v="0"/>
    <n v="0"/>
    <n v="0"/>
    <n v="0"/>
    <n v="0"/>
    <n v="0"/>
    <n v="0"/>
    <n v="0"/>
    <n v="0"/>
    <n v="0"/>
    <n v="0"/>
    <m/>
    <m/>
    <m/>
    <m/>
    <m/>
    <m/>
    <m/>
    <m/>
    <m/>
    <m/>
    <m/>
    <m/>
    <m/>
    <m/>
    <m/>
    <m/>
    <m/>
    <m/>
    <m/>
    <m/>
    <m/>
    <m/>
    <m/>
    <m/>
    <m/>
    <m/>
    <m/>
    <m/>
    <m/>
    <m/>
    <m/>
    <m/>
    <m/>
    <m/>
    <m/>
    <m/>
    <m/>
    <m/>
    <m/>
    <m/>
    <m/>
    <m/>
    <m/>
    <m/>
    <m/>
    <m/>
    <m/>
    <m/>
    <m/>
  </r>
  <r>
    <n v="742"/>
    <d v="2025-02-11T00:00:00"/>
    <s v="ZBTO"/>
    <n v="9518510371"/>
    <n v="2"/>
    <s v="9518510371-2"/>
    <s v="No Priority"/>
    <x v="0"/>
    <m/>
    <x v="1"/>
    <x v="2"/>
    <s v="2000-BPRS"/>
    <m/>
    <x v="0"/>
    <m/>
    <m/>
    <m/>
    <s v="North"/>
    <s v="GORAKHPUR"/>
    <m/>
    <n v="115841"/>
    <x v="7"/>
    <n v="3239543"/>
    <s v="CRCA SHEET TATCRC SR16 0.350X1250X2500"/>
    <s v=" "/>
    <s v=""/>
    <n v="0"/>
    <n v="0"/>
    <m/>
    <s v="C06"/>
    <s v="TATCRC"/>
    <s v="SR16"/>
    <n v="0.35"/>
    <n v="1250"/>
    <n v="2500"/>
    <n v="39"/>
    <n v="25.08"/>
    <n v="13.92"/>
    <n v="13.92"/>
    <n v="13.92"/>
    <n v="13.92"/>
    <n v="0"/>
    <n v="0"/>
    <n v="0"/>
    <n v="0"/>
    <n v="0"/>
    <n v="0"/>
    <n v="0"/>
    <n v="0"/>
    <n v="0"/>
    <n v="0"/>
    <n v="0"/>
    <n v="0"/>
    <n v="0"/>
    <n v="0"/>
    <n v="0"/>
    <n v="0"/>
    <n v="0"/>
    <n v="0"/>
    <n v="0"/>
    <n v="0"/>
    <n v="0"/>
    <n v="0"/>
    <n v="0"/>
    <m/>
    <m/>
    <m/>
    <m/>
    <m/>
    <m/>
    <m/>
    <m/>
    <m/>
    <m/>
    <m/>
    <m/>
    <m/>
    <m/>
    <m/>
    <m/>
    <m/>
    <m/>
    <m/>
    <m/>
    <m/>
    <m/>
    <m/>
    <m/>
    <m/>
    <m/>
    <m/>
    <m/>
    <m/>
    <m/>
    <m/>
    <m/>
    <m/>
    <m/>
    <m/>
    <m/>
    <m/>
    <m/>
    <m/>
    <m/>
    <m/>
    <m/>
    <m/>
    <m/>
    <m/>
    <m/>
    <m/>
    <m/>
    <m/>
  </r>
  <r>
    <n v="743"/>
    <d v="2025-03-10T00:00:00"/>
    <s v="ZBTO"/>
    <n v="9518588324"/>
    <n v="2"/>
    <s v="9518588324-2"/>
    <s v="No Priority"/>
    <x v="0"/>
    <m/>
    <x v="4"/>
    <x v="10"/>
    <s v="1000-IPPE"/>
    <m/>
    <x v="0"/>
    <m/>
    <s v="No allocation for IPP"/>
    <m/>
    <s v="South"/>
    <s v="VINJAMURU"/>
    <m/>
    <n v="188750"/>
    <x v="76"/>
    <n v="3245089"/>
    <s v="GL COIL HARD  Y550GL H7GL 0.320X1245"/>
    <s v="aZ70"/>
    <s v=""/>
    <n v="6"/>
    <n v="20"/>
    <m/>
    <s v="B04"/>
    <s v="Y550GL"/>
    <s v="H7GL"/>
    <n v="0.32"/>
    <n v="1245"/>
    <n v="0"/>
    <n v="290"/>
    <n v="74.525000000000006"/>
    <n v="215.47499999999999"/>
    <n v="215.47499999999999"/>
    <n v="215.47499999999999"/>
    <n v="215.47499999999999"/>
    <n v="0"/>
    <n v="0"/>
    <n v="0"/>
    <n v="0"/>
    <n v="0"/>
    <n v="0"/>
    <n v="0"/>
    <n v="0"/>
    <n v="0"/>
    <n v="0"/>
    <n v="0"/>
    <n v="0"/>
    <n v="0"/>
    <n v="0"/>
    <n v="0"/>
    <n v="0"/>
    <n v="0"/>
    <n v="0"/>
    <n v="0"/>
    <n v="0"/>
    <n v="0"/>
    <n v="0"/>
    <n v="0"/>
    <m/>
    <m/>
    <m/>
    <m/>
    <m/>
    <m/>
    <m/>
    <m/>
    <m/>
    <m/>
    <m/>
    <m/>
    <m/>
    <m/>
    <m/>
    <m/>
    <m/>
    <m/>
    <m/>
    <m/>
    <m/>
    <m/>
    <m/>
    <m/>
    <m/>
    <m/>
    <m/>
    <m/>
    <m/>
    <m/>
    <m/>
    <m/>
    <m/>
    <m/>
    <m/>
    <m/>
    <m/>
    <m/>
    <m/>
    <m/>
    <m/>
    <m/>
    <m/>
    <m/>
    <m/>
    <m/>
    <m/>
    <m/>
    <m/>
  </r>
  <r>
    <n v="743"/>
    <d v="2025-03-10T00:00:00"/>
    <s v="ZBTO"/>
    <n v="9518588324"/>
    <n v="3"/>
    <s v="9518588324-3"/>
    <s v="No Priority"/>
    <x v="0"/>
    <m/>
    <x v="4"/>
    <x v="10"/>
    <s v="1000-IPPE"/>
    <m/>
    <x v="0"/>
    <m/>
    <s v="No allocation for IPP"/>
    <m/>
    <s v="South"/>
    <s v="VINJAMURU"/>
    <m/>
    <n v="188750"/>
    <x v="76"/>
    <n v="3245089"/>
    <s v="GL COIL HARD  Y550GL H7GL 0.320X1245"/>
    <s v="aZ70"/>
    <s v=""/>
    <n v="6"/>
    <n v="20"/>
    <m/>
    <s v="B04"/>
    <s v="Y550GL"/>
    <s v="H7GL"/>
    <n v="0.32"/>
    <n v="1245"/>
    <n v="0"/>
    <n v="290"/>
    <n v="0"/>
    <n v="290"/>
    <n v="290"/>
    <n v="290"/>
    <n v="290"/>
    <n v="0"/>
    <n v="0"/>
    <n v="0"/>
    <n v="0"/>
    <n v="0"/>
    <n v="0"/>
    <n v="0"/>
    <n v="0"/>
    <n v="0"/>
    <n v="0"/>
    <n v="0"/>
    <n v="0"/>
    <n v="0"/>
    <n v="0"/>
    <n v="0"/>
    <n v="0"/>
    <n v="0"/>
    <n v="0"/>
    <n v="0"/>
    <n v="0"/>
    <n v="0"/>
    <n v="0"/>
    <n v="0"/>
    <m/>
    <m/>
    <m/>
    <m/>
    <m/>
    <m/>
    <m/>
    <m/>
    <m/>
    <m/>
    <m/>
    <m/>
    <m/>
    <m/>
    <m/>
    <m/>
    <m/>
    <m/>
    <m/>
    <m/>
    <m/>
    <m/>
    <m/>
    <m/>
    <m/>
    <m/>
    <m/>
    <m/>
    <m/>
    <m/>
    <m/>
    <m/>
    <m/>
    <m/>
    <m/>
    <m/>
    <m/>
    <m/>
    <m/>
    <m/>
    <m/>
    <m/>
    <m/>
    <m/>
    <m/>
    <m/>
    <m/>
    <m/>
    <m/>
  </r>
  <r>
    <n v="743"/>
    <d v="2025-03-10T00:00:00"/>
    <s v="ZBTO"/>
    <n v="9518588324"/>
    <n v="4"/>
    <s v="9518588324-4"/>
    <s v="No Priority"/>
    <x v="0"/>
    <m/>
    <x v="4"/>
    <x v="10"/>
    <s v="1000-IPPE"/>
    <m/>
    <x v="0"/>
    <m/>
    <s v="No allocation for IPP"/>
    <m/>
    <s v="South"/>
    <s v="VINJAMURU"/>
    <m/>
    <n v="188750"/>
    <x v="76"/>
    <n v="3245089"/>
    <s v="GL COIL HARD  Y550GL H7GL 0.320X1245"/>
    <s v="aZ70"/>
    <s v=""/>
    <n v="6"/>
    <n v="20"/>
    <m/>
    <s v="B04"/>
    <s v="Y550GL"/>
    <s v="H7GL"/>
    <n v="0.32"/>
    <n v="1245"/>
    <n v="0"/>
    <n v="116"/>
    <n v="0"/>
    <n v="116"/>
    <n v="116"/>
    <n v="116"/>
    <n v="116"/>
    <n v="0"/>
    <n v="0"/>
    <n v="0"/>
    <n v="0"/>
    <n v="0"/>
    <n v="0"/>
    <n v="0"/>
    <n v="0"/>
    <n v="0"/>
    <n v="0"/>
    <n v="0"/>
    <n v="0"/>
    <n v="0"/>
    <n v="0"/>
    <n v="0"/>
    <n v="0"/>
    <n v="0"/>
    <n v="0"/>
    <n v="0"/>
    <n v="0"/>
    <n v="0"/>
    <n v="0"/>
    <n v="0"/>
    <m/>
    <m/>
    <m/>
    <m/>
    <m/>
    <m/>
    <m/>
    <m/>
    <m/>
    <m/>
    <m/>
    <m/>
    <m/>
    <m/>
    <m/>
    <m/>
    <m/>
    <m/>
    <m/>
    <m/>
    <m/>
    <m/>
    <m/>
    <m/>
    <m/>
    <m/>
    <m/>
    <m/>
    <m/>
    <m/>
    <m/>
    <m/>
    <m/>
    <m/>
    <m/>
    <m/>
    <m/>
    <m/>
    <m/>
    <m/>
    <m/>
    <m/>
    <m/>
    <m/>
    <m/>
    <m/>
    <m/>
    <m/>
    <m/>
  </r>
  <r>
    <n v="742"/>
    <d v="2025-03-11T00:00:00"/>
    <s v="ZBTO"/>
    <n v="9518591869"/>
    <n v="5"/>
    <s v="9518591869-5"/>
    <s v="No Priority"/>
    <x v="0"/>
    <m/>
    <x v="1"/>
    <x v="1"/>
    <s v="2000-BPRS"/>
    <m/>
    <x v="0"/>
    <m/>
    <m/>
    <m/>
    <s v="North"/>
    <s v="FARIDABAD"/>
    <m/>
    <n v="936527"/>
    <x v="52"/>
    <n v="1801456"/>
    <s v="CRCA COIL-TATXXD-AU03-0.7X1250"/>
    <s v=" "/>
    <s v=""/>
    <n v="10"/>
    <n v="30"/>
    <m/>
    <s v="C01"/>
    <s v="TATXXD"/>
    <s v="AU03"/>
    <n v="0.7"/>
    <n v="1250"/>
    <n v="0"/>
    <n v="58"/>
    <n v="0"/>
    <n v="58"/>
    <n v="58"/>
    <n v="58"/>
    <n v="0"/>
    <n v="0"/>
    <n v="0"/>
    <n v="0"/>
    <n v="0"/>
    <n v="0"/>
    <n v="0"/>
    <n v="0"/>
    <n v="0"/>
    <n v="0"/>
    <n v="0"/>
    <n v="0"/>
    <n v="0"/>
    <n v="0"/>
    <n v="0"/>
    <n v="0"/>
    <n v="0"/>
    <n v="0"/>
    <n v="0"/>
    <n v="0"/>
    <n v="0"/>
    <n v="0"/>
    <n v="0"/>
    <n v="0"/>
    <m/>
    <m/>
    <m/>
    <m/>
    <m/>
    <m/>
    <m/>
    <m/>
    <m/>
    <m/>
    <m/>
    <m/>
    <m/>
    <m/>
    <m/>
    <m/>
    <m/>
    <m/>
    <m/>
    <m/>
    <m/>
    <m/>
    <m/>
    <m/>
    <m/>
    <m/>
    <m/>
    <m/>
    <m/>
    <m/>
    <m/>
    <m/>
    <m/>
    <m/>
    <m/>
    <m/>
    <m/>
    <m/>
    <m/>
    <m/>
    <m/>
    <m/>
    <m/>
    <m/>
    <m/>
    <m/>
    <m/>
    <m/>
    <m/>
  </r>
  <r>
    <n v="742"/>
    <d v="2025-03-11T00:00:00"/>
    <s v="ZBTO"/>
    <n v="9518591869"/>
    <n v="13"/>
    <s v="9518591869-13"/>
    <s v="No Priority"/>
    <x v="0"/>
    <m/>
    <x v="1"/>
    <x v="1"/>
    <s v="2000-BPRS"/>
    <m/>
    <x v="0"/>
    <m/>
    <m/>
    <m/>
    <s v="North"/>
    <s v="FARIDABAD"/>
    <m/>
    <n v="936527"/>
    <x v="52"/>
    <n v="1804867"/>
    <s v="CRCA COIL-TATXXD-AU03-1.6X1250"/>
    <s v=" "/>
    <s v=""/>
    <n v="10"/>
    <n v="30"/>
    <m/>
    <s v="C01"/>
    <s v="TATXXD"/>
    <s v="AU03"/>
    <n v="1.6"/>
    <n v="1250"/>
    <n v="0"/>
    <n v="29"/>
    <n v="0"/>
    <n v="29"/>
    <n v="29"/>
    <n v="29"/>
    <n v="0"/>
    <n v="0"/>
    <n v="0"/>
    <n v="0"/>
    <n v="0"/>
    <n v="0"/>
    <n v="0"/>
    <n v="0"/>
    <n v="0"/>
    <n v="0"/>
    <n v="0"/>
    <n v="0"/>
    <n v="0"/>
    <n v="0"/>
    <n v="0"/>
    <n v="0"/>
    <n v="0"/>
    <n v="0"/>
    <n v="0"/>
    <n v="0"/>
    <n v="0"/>
    <n v="0"/>
    <n v="0"/>
    <n v="0"/>
    <m/>
    <m/>
    <m/>
    <m/>
    <m/>
    <m/>
    <m/>
    <m/>
    <m/>
    <m/>
    <m/>
    <m/>
    <m/>
    <m/>
    <m/>
    <m/>
    <m/>
    <m/>
    <m/>
    <m/>
    <m/>
    <m/>
    <m/>
    <m/>
    <m/>
    <m/>
    <m/>
    <m/>
    <m/>
    <m/>
    <m/>
    <m/>
    <m/>
    <m/>
    <m/>
    <m/>
    <m/>
    <m/>
    <m/>
    <m/>
    <m/>
    <m/>
    <m/>
    <m/>
    <m/>
    <m/>
    <m/>
    <m/>
    <m/>
  </r>
  <r>
    <n v="743"/>
    <d v="2025-03-17T00:00:00"/>
    <s v="ZBTO"/>
    <n v="9518607443"/>
    <n v="1"/>
    <s v="9518607443-1"/>
    <s v="May'25"/>
    <x v="0"/>
    <s v="Yes"/>
    <x v="3"/>
    <x v="9"/>
    <s v="2000-BPRS"/>
    <m/>
    <x v="1"/>
    <m/>
    <m/>
    <m/>
    <s v="East"/>
    <s v=" "/>
    <m/>
    <n v="121328"/>
    <x v="10"/>
    <n v="1191955"/>
    <s v="GP COIL SOFT-TATXGP-GK09-0.3X900"/>
    <s v="Z80"/>
    <s v=""/>
    <n v="4"/>
    <n v="12"/>
    <m/>
    <s v="C02"/>
    <s v="TATXGP"/>
    <s v="GK09"/>
    <n v="0.3"/>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3-11T00:00:00"/>
    <s v="ZBTO"/>
    <n v="9518591869"/>
    <n v="12"/>
    <s v="9518591869-12"/>
    <s v="No Priority"/>
    <x v="0"/>
    <m/>
    <x v="1"/>
    <x v="1"/>
    <s v="2000-BPRS"/>
    <m/>
    <x v="0"/>
    <m/>
    <m/>
    <m/>
    <s v="North"/>
    <s v="FARIDABAD"/>
    <m/>
    <n v="936527"/>
    <x v="52"/>
    <n v="2334995"/>
    <s v="CRCA COIL TATXXD AU03 1.500X1250"/>
    <s v=" "/>
    <s v=""/>
    <n v="10"/>
    <n v="30"/>
    <m/>
    <s v="C01"/>
    <s v="TATXXD"/>
    <s v="AU03"/>
    <n v="1.5"/>
    <n v="1250"/>
    <n v="0"/>
    <n v="29"/>
    <n v="0"/>
    <n v="29"/>
    <n v="0.88"/>
    <n v="0"/>
    <n v="0"/>
    <n v="0"/>
    <n v="0"/>
    <n v="0"/>
    <n v="0"/>
    <n v="0"/>
    <n v="0"/>
    <n v="0"/>
    <n v="0"/>
    <n v="0"/>
    <n v="0"/>
    <n v="0"/>
    <n v="0"/>
    <n v="0"/>
    <n v="0"/>
    <n v="0"/>
    <n v="0"/>
    <n v="0"/>
    <n v="0"/>
    <n v="0"/>
    <n v="0"/>
    <n v="0"/>
    <n v="0"/>
    <n v="0"/>
    <m/>
    <m/>
    <m/>
    <m/>
    <m/>
    <m/>
    <m/>
    <m/>
    <m/>
    <m/>
    <m/>
    <m/>
    <m/>
    <m/>
    <m/>
    <m/>
    <m/>
    <m/>
    <m/>
    <m/>
    <m/>
    <m/>
    <m/>
    <m/>
    <m/>
    <m/>
    <m/>
    <m/>
    <m/>
    <m/>
    <m/>
    <m/>
    <m/>
    <m/>
    <m/>
    <m/>
    <m/>
    <m/>
    <m/>
    <m/>
    <m/>
    <m/>
    <m/>
    <m/>
    <m/>
    <m/>
    <m/>
    <m/>
    <m/>
  </r>
  <r>
    <n v="743"/>
    <d v="2025-03-05T00:00:00"/>
    <s v="ZBTO"/>
    <n v="9518576687"/>
    <n v="1"/>
    <s v="9518576687-1"/>
    <s v="No Priority"/>
    <x v="0"/>
    <m/>
    <x v="3"/>
    <x v="9"/>
    <s v="2000-BPRS"/>
    <m/>
    <x v="0"/>
    <m/>
    <m/>
    <m/>
    <s v="North"/>
    <s v="KANPUR"/>
    <m/>
    <n v="938789"/>
    <x v="92"/>
    <n v="1851054"/>
    <s v="GP COIL SOFT-TATXGP-GK09-0.2X900"/>
    <s v="Z80"/>
    <s v=""/>
    <n v="3.2"/>
    <n v="5"/>
    <m/>
    <s v="C02"/>
    <s v="TATXGP"/>
    <s v="GK09"/>
    <n v="0.2"/>
    <n v="900"/>
    <n v="0"/>
    <n v="84"/>
    <n v="0"/>
    <n v="84"/>
    <n v="84"/>
    <n v="84"/>
    <n v="84"/>
    <n v="0"/>
    <n v="0"/>
    <n v="0"/>
    <n v="0"/>
    <n v="0"/>
    <n v="0"/>
    <n v="0"/>
    <n v="0"/>
    <n v="0"/>
    <n v="0"/>
    <n v="0"/>
    <n v="0"/>
    <n v="0"/>
    <n v="0"/>
    <n v="0"/>
    <n v="0"/>
    <n v="0"/>
    <n v="0"/>
    <n v="0"/>
    <n v="0"/>
    <n v="0"/>
    <n v="0"/>
    <n v="0"/>
    <m/>
    <m/>
    <m/>
    <m/>
    <m/>
    <m/>
    <m/>
    <m/>
    <m/>
    <m/>
    <m/>
    <m/>
    <m/>
    <m/>
    <m/>
    <m/>
    <m/>
    <m/>
    <m/>
    <m/>
    <m/>
    <m/>
    <m/>
    <m/>
    <m/>
    <m/>
    <m/>
    <m/>
    <m/>
    <m/>
    <m/>
    <m/>
    <m/>
    <m/>
    <m/>
    <m/>
    <m/>
    <m/>
    <m/>
    <m/>
    <m/>
    <m/>
    <m/>
    <m/>
    <m/>
    <m/>
    <m/>
    <m/>
    <m/>
  </r>
  <r>
    <n v="743"/>
    <d v="2025-03-04T00:00:00"/>
    <s v="ZBTO"/>
    <n v="9518572384"/>
    <n v="2"/>
    <s v="9518572384-2"/>
    <s v="May'25"/>
    <x v="0"/>
    <s v="Yes"/>
    <x v="3"/>
    <x v="9"/>
    <s v="2000-BPRS"/>
    <m/>
    <x v="1"/>
    <m/>
    <m/>
    <m/>
    <s v="East"/>
    <s v=" "/>
    <m/>
    <n v="121328"/>
    <x v="10"/>
    <n v="1854418"/>
    <s v="GP COIL SOFT-TATXGP-GK09-0.5X900"/>
    <s v="Z80"/>
    <s v=""/>
    <n v="4"/>
    <n v="12"/>
    <m/>
    <s v="C02"/>
    <s v="TATXGP"/>
    <s v="GK09"/>
    <n v="0.5"/>
    <n v="900"/>
    <n v="0"/>
    <n v="105"/>
    <n v="0"/>
    <n v="105"/>
    <n v="105"/>
    <n v="105"/>
    <n v="105"/>
    <n v="0"/>
    <n v="0"/>
    <n v="0"/>
    <n v="0"/>
    <n v="0"/>
    <n v="0"/>
    <n v="0"/>
    <n v="0"/>
    <n v="0"/>
    <n v="0"/>
    <n v="0"/>
    <n v="0"/>
    <n v="0"/>
    <n v="0"/>
    <n v="0"/>
    <n v="0"/>
    <n v="0"/>
    <n v="0"/>
    <n v="0"/>
    <n v="0"/>
    <n v="0"/>
    <n v="0"/>
    <n v="0"/>
    <m/>
    <m/>
    <m/>
    <m/>
    <m/>
    <m/>
    <m/>
    <m/>
    <m/>
    <m/>
    <m/>
    <m/>
    <m/>
    <m/>
    <m/>
    <m/>
    <m/>
    <m/>
    <m/>
    <m/>
    <m/>
    <m/>
    <m/>
    <m/>
    <m/>
    <m/>
    <m/>
    <m/>
    <m/>
    <m/>
    <m/>
    <m/>
    <m/>
    <m/>
    <m/>
    <m/>
    <m/>
    <m/>
    <m/>
    <m/>
    <m/>
    <m/>
    <m/>
    <m/>
    <m/>
    <m/>
    <m/>
    <m/>
    <m/>
  </r>
  <r>
    <n v="744"/>
    <d v="2025-03-06T00:00:00"/>
    <s v="ZBTO"/>
    <n v="9518579960"/>
    <n v="1"/>
    <s v="9518579960-1"/>
    <s v="May'25"/>
    <x v="0"/>
    <s v="Yes"/>
    <x v="2"/>
    <x v="3"/>
    <s v="1000-IPPE"/>
    <n v="9000"/>
    <x v="1"/>
    <m/>
    <m/>
    <m/>
    <s v="TBSPL"/>
    <s v=" "/>
    <m/>
    <n v="941597"/>
    <x v="6"/>
    <n v="1633706"/>
    <s v="PPGL C Y550 HPL3 0.42BMT(0.50TPT)X1220"/>
    <s v="AZ150"/>
    <s v="SUPREME R BLUE TSL 141"/>
    <n v="2"/>
    <n v="5"/>
    <m/>
    <s v="B18"/>
    <s v="Y550PL"/>
    <s v="HPL3"/>
    <n v="0.42"/>
    <n v="1220"/>
    <n v="0"/>
    <n v="251.99"/>
    <n v="231.535"/>
    <n v="20.454999999999998"/>
    <n v="20.454999999999998"/>
    <n v="20.454999999999998"/>
    <n v="20.454999999999998"/>
    <n v="0"/>
    <n v="0"/>
    <n v="0"/>
    <n v="0"/>
    <n v="0"/>
    <n v="0"/>
    <n v="0"/>
    <n v="0"/>
    <n v="0"/>
    <n v="0"/>
    <n v="0"/>
    <n v="0"/>
    <n v="0"/>
    <n v="0"/>
    <n v="0"/>
    <n v="0"/>
    <n v="0"/>
    <n v="0"/>
    <n v="0"/>
    <n v="0"/>
    <n v="0"/>
    <n v="0"/>
    <n v="0"/>
    <m/>
    <m/>
    <m/>
    <m/>
    <m/>
    <m/>
    <m/>
    <m/>
    <m/>
    <m/>
    <m/>
    <m/>
    <m/>
    <m/>
    <m/>
    <m/>
    <m/>
    <m/>
    <m/>
    <m/>
    <m/>
    <m/>
    <m/>
    <m/>
    <m/>
    <m/>
    <m/>
    <m/>
    <m/>
    <m/>
    <m/>
    <m/>
    <m/>
    <m/>
    <m/>
    <m/>
    <m/>
    <m/>
    <m/>
    <m/>
    <m/>
    <m/>
    <m/>
    <m/>
    <m/>
    <m/>
    <m/>
    <m/>
    <m/>
  </r>
  <r>
    <n v="742"/>
    <d v="2025-03-06T00:00:00"/>
    <s v="ZBTF"/>
    <n v="9518578746"/>
    <n v="1"/>
    <s v="9518578746-1"/>
    <s v="May'25"/>
    <x v="0"/>
    <s v="Yes"/>
    <x v="1"/>
    <x v="10"/>
    <s v="1000-IPPE"/>
    <m/>
    <x v="1"/>
    <m/>
    <m/>
    <m/>
    <s v="North"/>
    <s v="SANHEWAL"/>
    <m/>
    <n v="600250"/>
    <x v="23"/>
    <n v="3741588"/>
    <s v="CR COIL SA1010 TU97 1.150X1250"/>
    <s v=" "/>
    <s v=""/>
    <n v="16"/>
    <n v="27"/>
    <m/>
    <s v="C01"/>
    <s v="SA1010"/>
    <s v="TU97"/>
    <n v="1.1499999999999999"/>
    <n v="1250"/>
    <n v="0"/>
    <n v="340"/>
    <n v="309.64499999999998"/>
    <n v="30.355"/>
    <n v="30.355"/>
    <n v="2.8049999999999997"/>
    <n v="30.355"/>
    <n v="0"/>
    <n v="0"/>
    <n v="0"/>
    <n v="0"/>
    <n v="0"/>
    <n v="0"/>
    <n v="0"/>
    <n v="0"/>
    <n v="0"/>
    <n v="0"/>
    <n v="0"/>
    <n v="0"/>
    <n v="0"/>
    <n v="27.55"/>
    <n v="0"/>
    <n v="0"/>
    <n v="0"/>
    <n v="0"/>
    <n v="0"/>
    <n v="27.55"/>
    <n v="27.55"/>
    <n v="0"/>
    <n v="27.55"/>
    <m/>
    <m/>
    <m/>
    <m/>
    <m/>
    <m/>
    <m/>
    <m/>
    <m/>
    <m/>
    <m/>
    <m/>
    <m/>
    <m/>
    <m/>
    <m/>
    <m/>
    <m/>
    <m/>
    <m/>
    <m/>
    <m/>
    <m/>
    <m/>
    <m/>
    <m/>
    <m/>
    <m/>
    <m/>
    <m/>
    <m/>
    <m/>
    <m/>
    <m/>
    <m/>
    <m/>
    <m/>
    <m/>
    <m/>
    <m/>
    <m/>
    <m/>
    <m/>
    <m/>
    <m/>
    <m/>
    <m/>
    <m/>
    <m/>
  </r>
  <r>
    <n v="744"/>
    <d v="2025-02-18T00:00:00"/>
    <s v="ZBTT"/>
    <n v="4000498803"/>
    <n v="1"/>
    <s v="4000498803-1"/>
    <s v="No Priority"/>
    <x v="0"/>
    <m/>
    <x v="2"/>
    <x v="3"/>
    <s v="1000-IPPE"/>
    <m/>
    <x v="0"/>
    <m/>
    <m/>
    <m/>
    <s v="TBSPL"/>
    <s v="SADANGI"/>
    <m/>
    <n v="650744"/>
    <x v="96"/>
    <n v="2420668"/>
    <s v="PPGL PROF TRDHPL TRD2 0.600X1080"/>
    <s v="aZ70"/>
    <s v=""/>
    <n v="15"/>
    <n v="35"/>
    <m/>
    <s v="B20"/>
    <s v="TRDHPL"/>
    <s v="TRD2"/>
    <n v="0.6"/>
    <n v="1080"/>
    <n v="0"/>
    <n v="50"/>
    <n v="0"/>
    <n v="50"/>
    <n v="50"/>
    <n v="50"/>
    <n v="0"/>
    <n v="0"/>
    <n v="0"/>
    <n v="0"/>
    <n v="0"/>
    <n v="0"/>
    <n v="0"/>
    <n v="0"/>
    <n v="0"/>
    <n v="0"/>
    <n v="0"/>
    <n v="0"/>
    <n v="0"/>
    <n v="0"/>
    <n v="0"/>
    <n v="0"/>
    <n v="0"/>
    <n v="0"/>
    <n v="0"/>
    <n v="0"/>
    <n v="0"/>
    <n v="0"/>
    <n v="0"/>
    <n v="0"/>
    <m/>
    <m/>
    <m/>
    <m/>
    <m/>
    <m/>
    <m/>
    <m/>
    <m/>
    <m/>
    <m/>
    <m/>
    <m/>
    <m/>
    <m/>
    <m/>
    <m/>
    <m/>
    <m/>
    <m/>
    <m/>
    <m/>
    <m/>
    <m/>
    <m/>
    <m/>
    <m/>
    <m/>
    <m/>
    <m/>
    <m/>
    <m/>
    <m/>
    <m/>
    <m/>
    <m/>
    <m/>
    <m/>
    <m/>
    <m/>
    <m/>
    <m/>
    <m/>
    <m/>
    <m/>
    <m/>
    <m/>
    <m/>
    <m/>
  </r>
  <r>
    <n v="742"/>
    <d v="2025-02-06T00:00:00"/>
    <s v="ZBTO"/>
    <n v="9518498155"/>
    <n v="1"/>
    <s v="9518498155-1"/>
    <s v="No Priority"/>
    <x v="0"/>
    <m/>
    <x v="1"/>
    <x v="1"/>
    <s v="2000-BPRS"/>
    <m/>
    <x v="0"/>
    <m/>
    <m/>
    <m/>
    <s v="South"/>
    <s v="VISHAKHAPATNAM"/>
    <m/>
    <n v="946077"/>
    <x v="8"/>
    <n v="1804912"/>
    <s v="CRCA COIL-TATCRC-TR15-0.6X900"/>
    <s v=" "/>
    <s v=""/>
    <n v="8"/>
    <n v="29"/>
    <m/>
    <s v="C01"/>
    <s v="TATCRC"/>
    <s v="TR15"/>
    <n v="0.6"/>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07T00:00:00"/>
    <s v="ZBTO"/>
    <n v="9518500284"/>
    <n v="3"/>
    <s v="9518500284-3"/>
    <s v="No Priority"/>
    <x v="0"/>
    <m/>
    <x v="4"/>
    <x v="5"/>
    <s v="1000-IPPE"/>
    <m/>
    <x v="0"/>
    <m/>
    <s v="Centre slit HR not available"/>
    <m/>
    <s v="South"/>
    <s v="VIKARABAD"/>
    <m/>
    <n v="947959"/>
    <x v="65"/>
    <n v="3924555"/>
    <s v="GL COIL HARD  Y550GL HGL6 0.900X1045"/>
    <s v="AZ150"/>
    <s v=""/>
    <n v="7"/>
    <n v="15"/>
    <m/>
    <s v="B04"/>
    <s v="Y550GL"/>
    <s v="HGL6"/>
    <n v="0.9"/>
    <n v="1045"/>
    <n v="0"/>
    <n v="48"/>
    <n v="25.274999999999999"/>
    <n v="22.725000000000001"/>
    <n v="22.725000000000001"/>
    <n v="22.725000000000001"/>
    <n v="22.725000000000001"/>
    <n v="0"/>
    <n v="0"/>
    <n v="0"/>
    <n v="0"/>
    <n v="0"/>
    <n v="0"/>
    <n v="0"/>
    <n v="0"/>
    <n v="0"/>
    <n v="0"/>
    <n v="0"/>
    <n v="0"/>
    <n v="0"/>
    <n v="0"/>
    <n v="0"/>
    <n v="0"/>
    <n v="0"/>
    <n v="0"/>
    <n v="0"/>
    <n v="0"/>
    <n v="0"/>
    <n v="0"/>
    <n v="0"/>
    <m/>
    <m/>
    <m/>
    <m/>
    <m/>
    <m/>
    <m/>
    <m/>
    <m/>
    <m/>
    <m/>
    <m/>
    <m/>
    <m/>
    <m/>
    <m/>
    <m/>
    <m/>
    <m/>
    <m/>
    <m/>
    <m/>
    <m/>
    <m/>
    <m/>
    <m/>
    <m/>
    <m/>
    <m/>
    <m/>
    <m/>
    <m/>
    <m/>
    <m/>
    <m/>
    <m/>
    <m/>
    <m/>
    <m/>
    <m/>
    <m/>
    <m/>
    <m/>
    <m/>
    <m/>
    <m/>
    <m/>
    <m/>
    <m/>
  </r>
  <r>
    <n v="743"/>
    <d v="2025-02-25T00:00:00"/>
    <s v="ZBTO"/>
    <n v="9518551540"/>
    <n v="3"/>
    <s v="9518551540-3"/>
    <s v="No Priority"/>
    <x v="0"/>
    <m/>
    <x v="3"/>
    <x v="0"/>
    <s v="2000-BPRS"/>
    <m/>
    <x v="0"/>
    <m/>
    <m/>
    <m/>
    <s v="East"/>
    <s v="TATANAGAR"/>
    <m/>
    <n v="165053"/>
    <x v="5"/>
    <n v="1852012"/>
    <s v="GP COIL SOFT-TSBXGP-N1GP-0.4X900"/>
    <s v="Z80"/>
    <s v=""/>
    <n v="4"/>
    <n v="12"/>
    <m/>
    <s v="C02"/>
    <s v="TSBXGP"/>
    <s v="N1GP"/>
    <n v="0.4"/>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25T00:00:00"/>
    <s v="ZBTO"/>
    <n v="9518551540"/>
    <n v="4"/>
    <s v="9518551540-4"/>
    <s v="No Priority"/>
    <x v="0"/>
    <m/>
    <x v="3"/>
    <x v="0"/>
    <s v="2000-BPRS"/>
    <m/>
    <x v="0"/>
    <m/>
    <m/>
    <m/>
    <s v="East"/>
    <s v="TATANAGAR"/>
    <m/>
    <n v="165053"/>
    <x v="5"/>
    <n v="1852246"/>
    <s v="GP COIL SOFT-TSBXGP-N1GP-0.5X900"/>
    <s v="Z80"/>
    <s v=""/>
    <n v="4"/>
    <n v="12"/>
    <m/>
    <s v="C02"/>
    <s v="TSBXGP"/>
    <s v="N1GP"/>
    <n v="0.5"/>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2-14T00:00:00"/>
    <s v="ZBTO"/>
    <n v="9518520213"/>
    <n v="11"/>
    <s v="9518520213-11"/>
    <s v="No Priority"/>
    <x v="0"/>
    <m/>
    <x v="1"/>
    <x v="2"/>
    <s v="2000-BPRS"/>
    <m/>
    <x v="0"/>
    <m/>
    <s v="Exp BTF &lt;17MT"/>
    <m/>
    <s v="East"/>
    <s v="PURNIA"/>
    <m/>
    <n v="103227"/>
    <x v="31"/>
    <n v="3240760"/>
    <s v="CRCA SHEET TSBCRC SR15 0.500X1000X2500"/>
    <s v=" "/>
    <s v=""/>
    <n v="0"/>
    <n v="0"/>
    <m/>
    <s v="C06"/>
    <s v="TSBCRC"/>
    <s v="SR15"/>
    <n v="0.5"/>
    <n v="1000"/>
    <n v="2500"/>
    <n v="24"/>
    <n v="20.41"/>
    <n v="3.59"/>
    <n v="3.59"/>
    <n v="3.59"/>
    <n v="3.59"/>
    <n v="0"/>
    <n v="0"/>
    <n v="0"/>
    <n v="0"/>
    <n v="0"/>
    <n v="0"/>
    <n v="0"/>
    <n v="0"/>
    <n v="0"/>
    <n v="0"/>
    <n v="0"/>
    <n v="0"/>
    <n v="0"/>
    <n v="0"/>
    <n v="0"/>
    <n v="0"/>
    <n v="0"/>
    <n v="0"/>
    <n v="0"/>
    <n v="0"/>
    <n v="0"/>
    <n v="0"/>
    <n v="0"/>
    <m/>
    <m/>
    <m/>
    <m/>
    <m/>
    <m/>
    <m/>
    <m/>
    <m/>
    <m/>
    <m/>
    <m/>
    <m/>
    <m/>
    <m/>
    <m/>
    <m/>
    <m/>
    <m/>
    <m/>
    <m/>
    <m/>
    <m/>
    <m/>
    <m/>
    <m/>
    <m/>
    <m/>
    <m/>
    <m/>
    <m/>
    <m/>
    <m/>
    <m/>
    <m/>
    <m/>
    <m/>
    <m/>
    <m/>
    <m/>
    <m/>
    <m/>
    <m/>
    <m/>
    <m/>
    <m/>
    <m/>
    <m/>
    <m/>
  </r>
  <r>
    <n v="742"/>
    <d v="2025-02-03T00:00:00"/>
    <s v="ZBTO"/>
    <n v="9518490862"/>
    <n v="3"/>
    <s v="9518490862-3"/>
    <s v="No Priority"/>
    <x v="0"/>
    <m/>
    <x v="1"/>
    <x v="2"/>
    <s v="2000-BPRS"/>
    <m/>
    <x v="0"/>
    <m/>
    <m/>
    <m/>
    <s v="East"/>
    <s v="HOWRAH"/>
    <m/>
    <n v="925093"/>
    <x v="20"/>
    <n v="3240760"/>
    <s v="CRCA SHEET TSBCRC SR15 0.500X1000X2500"/>
    <s v=" "/>
    <s v=""/>
    <n v="0"/>
    <n v="0"/>
    <m/>
    <s v="C06"/>
    <s v="TSBCRC"/>
    <s v="SR15"/>
    <n v="0.5"/>
    <n v="1000"/>
    <n v="2500"/>
    <n v="24"/>
    <n v="20.585000000000001"/>
    <n v="3.415"/>
    <n v="3.415"/>
    <n v="3.415"/>
    <n v="3.415"/>
    <n v="0"/>
    <n v="0"/>
    <n v="0"/>
    <n v="0"/>
    <n v="0"/>
    <n v="0"/>
    <n v="0"/>
    <n v="0"/>
    <n v="0"/>
    <n v="0"/>
    <n v="0"/>
    <n v="0"/>
    <n v="0"/>
    <n v="0"/>
    <n v="0"/>
    <n v="0"/>
    <n v="0"/>
    <n v="0"/>
    <n v="0"/>
    <n v="0"/>
    <n v="0"/>
    <n v="0"/>
    <n v="0"/>
    <m/>
    <m/>
    <m/>
    <m/>
    <m/>
    <m/>
    <m/>
    <m/>
    <m/>
    <m/>
    <m/>
    <m/>
    <m/>
    <m/>
    <m/>
    <m/>
    <m/>
    <m/>
    <m/>
    <m/>
    <m/>
    <m/>
    <m/>
    <m/>
    <m/>
    <m/>
    <m/>
    <m/>
    <m/>
    <m/>
    <m/>
    <m/>
    <m/>
    <m/>
    <m/>
    <m/>
    <m/>
    <m/>
    <m/>
    <m/>
    <m/>
    <m/>
    <m/>
    <m/>
    <m/>
    <m/>
    <m/>
    <m/>
    <m/>
  </r>
  <r>
    <n v="743"/>
    <d v="2025-02-14T00:00:00"/>
    <s v="ZBTO"/>
    <n v="9518519230"/>
    <n v="2"/>
    <s v="9518519230-2"/>
    <s v="No Priority"/>
    <x v="0"/>
    <m/>
    <x v="3"/>
    <x v="9"/>
    <s v="2000-BPRS"/>
    <m/>
    <x v="0"/>
    <m/>
    <m/>
    <m/>
    <s v="North"/>
    <s v="SANHEWAL"/>
    <m/>
    <n v="185845"/>
    <x v="81"/>
    <n v="1851065"/>
    <s v="GP COIL SOFT-TATXGP-GK09-0.25X900"/>
    <s v="Z80"/>
    <s v=""/>
    <n v="4"/>
    <n v="6"/>
    <m/>
    <s v="C02"/>
    <s v="TATXGP"/>
    <s v="GK09"/>
    <n v="0.2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14T00:00:00"/>
    <s v="ZBTO"/>
    <n v="9518519230"/>
    <n v="4"/>
    <s v="9518519230-4"/>
    <s v="No Priority"/>
    <x v="0"/>
    <m/>
    <x v="3"/>
    <x v="9"/>
    <s v="2000-BPRS"/>
    <m/>
    <x v="0"/>
    <m/>
    <m/>
    <m/>
    <s v="North"/>
    <s v="SANHEWAL"/>
    <m/>
    <n v="185845"/>
    <x v="81"/>
    <n v="1191955"/>
    <s v="GP COIL SOFT-TATXGP-GK09-0.3X900"/>
    <s v="Z80"/>
    <s v=""/>
    <n v="4"/>
    <n v="6"/>
    <m/>
    <s v="C02"/>
    <s v="TATXGP"/>
    <s v="GK09"/>
    <n v="0.3"/>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13T00:00:00"/>
    <s v="ZBTO"/>
    <n v="9518516044"/>
    <n v="1"/>
    <s v="9518516044-1"/>
    <s v="No Priority"/>
    <x v="0"/>
    <m/>
    <x v="3"/>
    <x v="9"/>
    <s v="2000-BPRS"/>
    <m/>
    <x v="0"/>
    <m/>
    <m/>
    <m/>
    <s v="North"/>
    <s v="LONI"/>
    <m/>
    <n v="931235"/>
    <x v="32"/>
    <n v="1851054"/>
    <s v="GP COIL SOFT-TATXGP-GK09-0.2X900"/>
    <s v="Z80"/>
    <s v=""/>
    <n v="4"/>
    <n v="6"/>
    <m/>
    <s v="C02"/>
    <s v="TATXGP"/>
    <s v="GK09"/>
    <n v="0.2"/>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13T00:00:00"/>
    <s v="ZBTO"/>
    <n v="9518516044"/>
    <n v="3"/>
    <s v="9518516044-3"/>
    <s v="No Priority"/>
    <x v="0"/>
    <m/>
    <x v="3"/>
    <x v="9"/>
    <s v="2000-BPRS"/>
    <m/>
    <x v="0"/>
    <m/>
    <m/>
    <m/>
    <s v="North"/>
    <s v="LONI"/>
    <m/>
    <n v="931235"/>
    <x v="32"/>
    <n v="1851065"/>
    <s v="GP COIL SOFT-TATXGP-GK09-0.25X900"/>
    <s v="Z80"/>
    <s v=""/>
    <n v="4"/>
    <n v="6"/>
    <m/>
    <s v="C02"/>
    <s v="TATXGP"/>
    <s v="GK09"/>
    <n v="0.2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2-17T00:00:00"/>
    <s v="ZBTO"/>
    <n v="9518525385"/>
    <n v="3"/>
    <s v="9518525385-3"/>
    <s v="No Priority"/>
    <x v="0"/>
    <m/>
    <x v="3"/>
    <x v="9"/>
    <s v="2000-BPRS"/>
    <m/>
    <x v="0"/>
    <m/>
    <m/>
    <m/>
    <s v="North"/>
    <s v="KANPUR"/>
    <m/>
    <n v="938789"/>
    <x v="92"/>
    <n v="1191955"/>
    <s v="GP COIL SOFT-TATXGP-GK09-0.3X900"/>
    <s v="Z80"/>
    <s v=""/>
    <n v="3.2"/>
    <n v="5"/>
    <m/>
    <s v="C02"/>
    <s v="TATXGP"/>
    <s v="GK09"/>
    <n v="0.3"/>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2-13T00:00:00"/>
    <s v="ZBTO"/>
    <n v="9518516505"/>
    <n v="1"/>
    <s v="9518516505-1"/>
    <s v="No Priority"/>
    <x v="0"/>
    <m/>
    <x v="3"/>
    <x v="9"/>
    <s v="2000-BPRS"/>
    <m/>
    <x v="0"/>
    <m/>
    <m/>
    <m/>
    <s v="North"/>
    <s v="LONI"/>
    <m/>
    <n v="931235"/>
    <x v="32"/>
    <n v="2427916"/>
    <s v="GP COIL SOFT TATXGP GLK1 0.420X900"/>
    <s v="Z80"/>
    <s v=""/>
    <n v="4"/>
    <n v="6"/>
    <m/>
    <s v="C02"/>
    <s v="TATXGP"/>
    <s v="GLK1"/>
    <n v="0.42"/>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13T00:00:00"/>
    <s v="ZBTO"/>
    <n v="9518516069"/>
    <n v="4"/>
    <s v="9518516069-4"/>
    <s v="No Priority"/>
    <x v="0"/>
    <m/>
    <x v="3"/>
    <x v="9"/>
    <s v="2000-BPRS"/>
    <m/>
    <x v="0"/>
    <m/>
    <m/>
    <m/>
    <s v="North"/>
    <s v="LONI"/>
    <m/>
    <n v="931235"/>
    <x v="32"/>
    <n v="1854424"/>
    <s v="GP COIL SOFT-TATXGP-GK09-0.6X900"/>
    <s v="Z80"/>
    <s v=""/>
    <n v="4"/>
    <n v="6"/>
    <m/>
    <s v="C02"/>
    <s v="TATXGP"/>
    <s v="GK09"/>
    <n v="0.6"/>
    <n v="900"/>
    <n v="0"/>
    <n v="126"/>
    <n v="0"/>
    <n v="126"/>
    <n v="126"/>
    <n v="126"/>
    <n v="126"/>
    <n v="0"/>
    <n v="0"/>
    <n v="0"/>
    <n v="0"/>
    <n v="0"/>
    <n v="0"/>
    <n v="0"/>
    <n v="0"/>
    <n v="0"/>
    <n v="0"/>
    <n v="0"/>
    <n v="0"/>
    <n v="0"/>
    <n v="0"/>
    <n v="0"/>
    <n v="0"/>
    <n v="0"/>
    <n v="0"/>
    <n v="0"/>
    <n v="0"/>
    <n v="0"/>
    <n v="0"/>
    <n v="0"/>
    <m/>
    <m/>
    <m/>
    <m/>
    <m/>
    <m/>
    <m/>
    <m/>
    <m/>
    <m/>
    <m/>
    <m/>
    <m/>
    <m/>
    <m/>
    <m/>
    <m/>
    <m/>
    <m/>
    <m/>
    <m/>
    <m/>
    <m/>
    <m/>
    <m/>
    <m/>
    <m/>
    <m/>
    <m/>
    <m/>
    <m/>
    <m/>
    <m/>
    <m/>
    <m/>
    <m/>
    <m/>
    <m/>
    <m/>
    <m/>
    <m/>
    <m/>
    <m/>
    <m/>
    <m/>
    <m/>
    <m/>
    <m/>
    <m/>
  </r>
  <r>
    <n v="743"/>
    <d v="2025-02-13T00:00:00"/>
    <s v="ZBTO"/>
    <n v="9518516069"/>
    <n v="5"/>
    <s v="9518516069-5"/>
    <s v="No Priority"/>
    <x v="0"/>
    <m/>
    <x v="3"/>
    <x v="9"/>
    <s v="2000-BPRS"/>
    <m/>
    <x v="0"/>
    <m/>
    <m/>
    <m/>
    <s v="North"/>
    <s v="LONI"/>
    <m/>
    <n v="931235"/>
    <x v="32"/>
    <n v="1854429"/>
    <s v="GP COIL SOFT-TATXGP-GK09-0.63X900"/>
    <s v="Z80"/>
    <s v=""/>
    <n v="4"/>
    <n v="6"/>
    <m/>
    <s v="C02"/>
    <s v="TATXGP"/>
    <s v="GK09"/>
    <n v="0.63"/>
    <n v="900"/>
    <n v="0"/>
    <n v="126"/>
    <n v="0"/>
    <n v="126"/>
    <n v="126"/>
    <n v="126"/>
    <n v="126"/>
    <n v="0"/>
    <n v="0"/>
    <n v="0"/>
    <n v="0"/>
    <n v="0"/>
    <n v="0"/>
    <n v="0"/>
    <n v="0"/>
    <n v="0"/>
    <n v="0"/>
    <n v="0"/>
    <n v="0"/>
    <n v="0"/>
    <n v="0"/>
    <n v="0"/>
    <n v="0"/>
    <n v="0"/>
    <n v="0"/>
    <n v="0"/>
    <n v="0"/>
    <n v="0"/>
    <n v="0"/>
    <n v="0"/>
    <m/>
    <m/>
    <m/>
    <m/>
    <m/>
    <m/>
    <m/>
    <m/>
    <m/>
    <m/>
    <m/>
    <m/>
    <m/>
    <m/>
    <m/>
    <m/>
    <m/>
    <m/>
    <m/>
    <m/>
    <m/>
    <m/>
    <m/>
    <m/>
    <m/>
    <m/>
    <m/>
    <m/>
    <m/>
    <m/>
    <m/>
    <m/>
    <m/>
    <m/>
    <m/>
    <m/>
    <m/>
    <m/>
    <m/>
    <m/>
    <m/>
    <m/>
    <m/>
    <m/>
    <m/>
    <m/>
    <m/>
    <m/>
    <m/>
  </r>
  <r>
    <n v="743"/>
    <d v="2025-02-22T00:00:00"/>
    <s v="ZBTO"/>
    <n v="9518542035"/>
    <n v="1"/>
    <s v="9518542035-1"/>
    <s v="No Priority"/>
    <x v="0"/>
    <m/>
    <x v="3"/>
    <x v="9"/>
    <s v="2000-BPRS"/>
    <m/>
    <x v="0"/>
    <m/>
    <m/>
    <m/>
    <s v="North"/>
    <s v="JAIPUR"/>
    <m/>
    <n v="117583"/>
    <x v="80"/>
    <n v="1326486"/>
    <s v="GP COIL SOFT-TATXGP-GK09-0.3X1000"/>
    <s v="Z80"/>
    <s v=""/>
    <n v="5"/>
    <n v="7"/>
    <m/>
    <s v="C02"/>
    <s v="TATXGP"/>
    <s v="GK09"/>
    <n v="0.3"/>
    <n v="1000"/>
    <n v="0"/>
    <n v="69"/>
    <n v="21.05"/>
    <n v="47.95"/>
    <n v="47.95"/>
    <n v="47.95"/>
    <n v="47.95"/>
    <n v="0"/>
    <n v="0"/>
    <n v="0"/>
    <n v="0"/>
    <n v="0"/>
    <n v="0"/>
    <n v="0"/>
    <n v="0"/>
    <n v="0"/>
    <n v="0"/>
    <n v="0"/>
    <n v="0"/>
    <n v="0"/>
    <n v="0"/>
    <n v="0"/>
    <n v="0"/>
    <n v="0"/>
    <n v="0"/>
    <n v="0"/>
    <n v="0"/>
    <n v="0"/>
    <n v="0"/>
    <n v="0"/>
    <m/>
    <m/>
    <m/>
    <m/>
    <m/>
    <m/>
    <m/>
    <m/>
    <m/>
    <m/>
    <m/>
    <m/>
    <m/>
    <m/>
    <m/>
    <m/>
    <m/>
    <m/>
    <m/>
    <m/>
    <m/>
    <m/>
    <m/>
    <m/>
    <m/>
    <m/>
    <m/>
    <m/>
    <m/>
    <m/>
    <m/>
    <m/>
    <m/>
    <m/>
    <m/>
    <m/>
    <m/>
    <m/>
    <m/>
    <m/>
    <m/>
    <m/>
    <m/>
    <m/>
    <m/>
    <m/>
    <m/>
    <m/>
    <m/>
  </r>
  <r>
    <n v="743"/>
    <d v="2025-03-04T00:00:00"/>
    <s v="ZBTO"/>
    <n v="9518572041"/>
    <n v="1"/>
    <s v="9518572041-1"/>
    <s v="No Priority"/>
    <x v="0"/>
    <s v="Yes"/>
    <x v="3"/>
    <x v="0"/>
    <s v="2000-BPRS"/>
    <m/>
    <x v="0"/>
    <m/>
    <m/>
    <m/>
    <s v="East"/>
    <s v="TATANAGAR"/>
    <m/>
    <n v="165053"/>
    <x v="5"/>
    <n v="1851815"/>
    <s v="GP COIL SOFT-TSBXGP-N1GP-0.28X900"/>
    <s v="Z80"/>
    <s v=""/>
    <n v="4"/>
    <n v="12"/>
    <m/>
    <s v="C02"/>
    <s v="TSBXGP"/>
    <s v="N1GP"/>
    <n v="0.28000000000000003"/>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2-25T00:00:00"/>
    <s v="ZBTO"/>
    <n v="9518550511"/>
    <n v="4"/>
    <s v="9518550511-4"/>
    <s v="May'25"/>
    <x v="0"/>
    <s v="Yes"/>
    <x v="1"/>
    <x v="11"/>
    <s v="2000-BPRS"/>
    <m/>
    <x v="1"/>
    <m/>
    <m/>
    <m/>
    <s v="South"/>
    <s v="YESHWANTHPURA"/>
    <m/>
    <n v="939268"/>
    <x v="0"/>
    <n v="2420521"/>
    <s v="CRCA COIL TATXXD AH03 1.200X1250"/>
    <s v=" "/>
    <s v=""/>
    <n v="2"/>
    <n v="28"/>
    <m/>
    <s v="C01"/>
    <s v="TATXXD"/>
    <s v="AH03"/>
    <n v="1.2"/>
    <n v="1250"/>
    <n v="0"/>
    <n v="116"/>
    <n v="26.12"/>
    <n v="89.88"/>
    <n v="89.88"/>
    <n v="4.1999999999999886"/>
    <n v="89.88"/>
    <n v="0"/>
    <n v="0"/>
    <n v="85.68"/>
    <n v="0"/>
    <n v="0"/>
    <n v="0"/>
    <n v="0"/>
    <n v="0"/>
    <n v="0"/>
    <n v="0"/>
    <n v="0"/>
    <n v="0"/>
    <n v="0"/>
    <n v="0"/>
    <n v="0"/>
    <n v="0"/>
    <n v="0"/>
    <n v="0"/>
    <n v="0"/>
    <n v="85.68"/>
    <n v="85.68"/>
    <n v="0"/>
    <n v="85.68"/>
    <m/>
    <m/>
    <m/>
    <m/>
    <m/>
    <m/>
    <m/>
    <m/>
    <m/>
    <m/>
    <m/>
    <m/>
    <m/>
    <m/>
    <m/>
    <m/>
    <m/>
    <m/>
    <m/>
    <m/>
    <m/>
    <m/>
    <m/>
    <m/>
    <m/>
    <m/>
    <m/>
    <m/>
    <m/>
    <m/>
    <m/>
    <m/>
    <m/>
    <m/>
    <m/>
    <m/>
    <m/>
    <m/>
    <m/>
    <m/>
    <m/>
    <m/>
    <m/>
    <m/>
    <m/>
    <m/>
    <m/>
    <m/>
    <m/>
  </r>
  <r>
    <n v="743"/>
    <d v="2025-02-06T00:00:00"/>
    <s v="ZBTO"/>
    <n v="9518497512"/>
    <n v="1"/>
    <s v="9518497512-1"/>
    <s v="No Priority"/>
    <x v="0"/>
    <s v="Yes"/>
    <x v="3"/>
    <x v="0"/>
    <s v="2000-BPRS"/>
    <m/>
    <x v="0"/>
    <m/>
    <m/>
    <m/>
    <s v="East"/>
    <s v="TATANAGAR"/>
    <m/>
    <n v="165053"/>
    <x v="5"/>
    <n v="1851815"/>
    <s v="GP COIL SOFT-TSBXGP-N1GP-0.28X900"/>
    <s v="Z80"/>
    <s v=""/>
    <n v="4"/>
    <n v="12"/>
    <m/>
    <s v="C02"/>
    <s v="TSBXGP"/>
    <s v="N1GP"/>
    <n v="0.28000000000000003"/>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06T00:00:00"/>
    <s v="ZBTO"/>
    <n v="9518497512"/>
    <n v="3"/>
    <s v="9518497512-3"/>
    <s v="No Priority"/>
    <x v="0"/>
    <m/>
    <x v="3"/>
    <x v="0"/>
    <s v="2000-BPRS"/>
    <m/>
    <x v="0"/>
    <m/>
    <m/>
    <m/>
    <s v="East"/>
    <s v="TATANAGAR"/>
    <m/>
    <n v="165053"/>
    <x v="5"/>
    <n v="1852012"/>
    <s v="GP COIL SOFT-TSBXGP-N1GP-0.4X900"/>
    <s v="Z80"/>
    <s v=""/>
    <n v="4"/>
    <n v="12"/>
    <m/>
    <s v="C02"/>
    <s v="TSBXGP"/>
    <s v="N1GP"/>
    <n v="0.4"/>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05T00:00:00"/>
    <s v="ZBTO"/>
    <n v="9518495509"/>
    <n v="1"/>
    <s v="9518495509-1"/>
    <s v="No Priority"/>
    <x v="0"/>
    <m/>
    <x v="3"/>
    <x v="9"/>
    <s v="2000-BPRS"/>
    <m/>
    <x v="0"/>
    <m/>
    <m/>
    <m/>
    <s v="North"/>
    <s v="KANPUR"/>
    <m/>
    <n v="933952"/>
    <x v="50"/>
    <n v="1851054"/>
    <s v="GP COIL SOFT-TATXGP-GK09-0.2X900"/>
    <s v="Z80"/>
    <s v=""/>
    <n v="3.2"/>
    <n v="5"/>
    <m/>
    <s v="C02"/>
    <s v="TATXGP"/>
    <s v="GK09"/>
    <n v="0.2"/>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06T00:00:00"/>
    <s v="ZBTO"/>
    <n v="9518498761"/>
    <n v="6"/>
    <s v="9518498761-6"/>
    <s v="May'25"/>
    <x v="0"/>
    <s v="Yes"/>
    <x v="3"/>
    <x v="9"/>
    <s v="2000-BPRS"/>
    <m/>
    <x v="1"/>
    <m/>
    <m/>
    <m/>
    <s v="East"/>
    <s v=" "/>
    <m/>
    <n v="121328"/>
    <x v="10"/>
    <n v="1854413"/>
    <s v="GP COIL SOFT-TATXGP-GK09-0.45X900"/>
    <s v="Z80"/>
    <s v=""/>
    <n v="4"/>
    <n v="12"/>
    <m/>
    <s v="C02"/>
    <s v="TATXGP"/>
    <s v="GK09"/>
    <n v="0.4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13T00:00:00"/>
    <s v="ZBTO"/>
    <n v="9518516044"/>
    <n v="5"/>
    <s v="9518516044-5"/>
    <s v="No Priority"/>
    <x v="0"/>
    <m/>
    <x v="3"/>
    <x v="9"/>
    <s v="2000-BPRS"/>
    <m/>
    <x v="0"/>
    <m/>
    <m/>
    <m/>
    <s v="North"/>
    <s v="LONI"/>
    <m/>
    <n v="931235"/>
    <x v="32"/>
    <n v="1854421"/>
    <s v="GP COIL SOFT-TATXGP-GK09-0.55X900"/>
    <s v="Z80"/>
    <s v=""/>
    <n v="4"/>
    <n v="6"/>
    <m/>
    <s v="C02"/>
    <s v="TATXGP"/>
    <s v="GK09"/>
    <n v="0.55000000000000004"/>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2-13T00:00:00"/>
    <s v="ZBTO"/>
    <n v="9518516044"/>
    <n v="6"/>
    <s v="9518516044-6"/>
    <s v="No Priority"/>
    <x v="0"/>
    <m/>
    <x v="3"/>
    <x v="9"/>
    <s v="2000-BPRS"/>
    <m/>
    <x v="0"/>
    <m/>
    <m/>
    <m/>
    <s v="North"/>
    <s v="LONI"/>
    <m/>
    <n v="931235"/>
    <x v="32"/>
    <n v="1854413"/>
    <s v="GP COIL SOFT-TATXGP-GK09-0.45X900"/>
    <s v="Z80"/>
    <s v=""/>
    <n v="4"/>
    <n v="6"/>
    <m/>
    <s v="C02"/>
    <s v="TATXGP"/>
    <s v="GK09"/>
    <n v="0.45"/>
    <n v="900"/>
    <n v="0"/>
    <n v="84"/>
    <n v="0"/>
    <n v="84"/>
    <n v="84"/>
    <n v="84"/>
    <n v="84"/>
    <n v="0"/>
    <n v="0"/>
    <n v="0"/>
    <n v="0"/>
    <n v="0"/>
    <n v="0"/>
    <n v="0"/>
    <n v="0"/>
    <n v="0"/>
    <n v="0"/>
    <n v="0"/>
    <n v="0"/>
    <n v="0"/>
    <n v="0"/>
    <n v="0"/>
    <n v="0"/>
    <n v="0"/>
    <n v="0"/>
    <n v="0"/>
    <n v="0"/>
    <n v="0"/>
    <n v="0"/>
    <n v="0"/>
    <m/>
    <m/>
    <m/>
    <m/>
    <m/>
    <m/>
    <m/>
    <m/>
    <m/>
    <m/>
    <m/>
    <m/>
    <m/>
    <m/>
    <m/>
    <m/>
    <m/>
    <m/>
    <m/>
    <m/>
    <m/>
    <m/>
    <m/>
    <m/>
    <m/>
    <m/>
    <m/>
    <m/>
    <m/>
    <m/>
    <m/>
    <m/>
    <m/>
    <m/>
    <m/>
    <m/>
    <m/>
    <m/>
    <m/>
    <m/>
    <m/>
    <m/>
    <m/>
    <m/>
    <m/>
    <m/>
    <m/>
    <m/>
    <m/>
  </r>
  <r>
    <n v="743"/>
    <d v="2025-02-03T00:00:00"/>
    <s v="ZBTO"/>
    <n v="9518490997"/>
    <n v="2"/>
    <s v="9518490997-2"/>
    <s v="No Priority"/>
    <x v="0"/>
    <m/>
    <x v="3"/>
    <x v="9"/>
    <s v="2000-BPRS"/>
    <m/>
    <x v="0"/>
    <m/>
    <m/>
    <m/>
    <s v="North"/>
    <s v="KANPUR"/>
    <m/>
    <n v="938789"/>
    <x v="92"/>
    <n v="1854418"/>
    <s v="GP COIL SOFT-TATXGP-GK09-0.5X900"/>
    <s v="Z80"/>
    <s v=""/>
    <n v="3.2"/>
    <n v="5"/>
    <m/>
    <s v="C02"/>
    <s v="TATXGP"/>
    <s v="GK09"/>
    <n v="0.5"/>
    <n v="900"/>
    <n v="0"/>
    <n v="210"/>
    <n v="0"/>
    <n v="210"/>
    <n v="210"/>
    <n v="210"/>
    <n v="210"/>
    <n v="0"/>
    <n v="0"/>
    <n v="0"/>
    <n v="0"/>
    <n v="0"/>
    <n v="0"/>
    <n v="0"/>
    <n v="0"/>
    <n v="0"/>
    <n v="0"/>
    <n v="0"/>
    <n v="0"/>
    <n v="0"/>
    <n v="0"/>
    <n v="0"/>
    <n v="0"/>
    <n v="0"/>
    <n v="0"/>
    <n v="0"/>
    <n v="0"/>
    <n v="0"/>
    <n v="0"/>
    <n v="0"/>
    <m/>
    <m/>
    <m/>
    <m/>
    <m/>
    <m/>
    <m/>
    <m/>
    <m/>
    <m/>
    <m/>
    <m/>
    <m/>
    <m/>
    <m/>
    <m/>
    <m/>
    <m/>
    <m/>
    <m/>
    <m/>
    <m/>
    <m/>
    <m/>
    <m/>
    <m/>
    <m/>
    <m/>
    <m/>
    <m/>
    <m/>
    <m/>
    <m/>
    <m/>
    <m/>
    <m/>
    <m/>
    <m/>
    <m/>
    <m/>
    <m/>
    <m/>
    <m/>
    <m/>
    <m/>
    <m/>
    <m/>
    <m/>
    <m/>
  </r>
  <r>
    <n v="743"/>
    <d v="2025-02-03T00:00:00"/>
    <s v="ZBTO"/>
    <n v="9518490997"/>
    <n v="3"/>
    <s v="9518490997-3"/>
    <s v="No Priority"/>
    <x v="0"/>
    <m/>
    <x v="3"/>
    <x v="9"/>
    <s v="2000-BPRS"/>
    <m/>
    <x v="0"/>
    <m/>
    <m/>
    <m/>
    <s v="North"/>
    <s v="KANPUR"/>
    <m/>
    <n v="938789"/>
    <x v="92"/>
    <n v="1854424"/>
    <s v="GP COIL SOFT-TATXGP-GK09-0.6X900"/>
    <s v="Z80"/>
    <s v=""/>
    <n v="3.2"/>
    <n v="5"/>
    <m/>
    <s v="C02"/>
    <s v="TATXGP"/>
    <s v="GK09"/>
    <n v="0.6"/>
    <n v="900"/>
    <n v="0"/>
    <n v="210"/>
    <n v="0"/>
    <n v="210"/>
    <n v="210"/>
    <n v="210"/>
    <n v="210"/>
    <n v="0"/>
    <n v="0"/>
    <n v="0"/>
    <n v="0"/>
    <n v="0"/>
    <n v="0"/>
    <n v="0"/>
    <n v="0"/>
    <n v="0"/>
    <n v="0"/>
    <n v="0"/>
    <n v="0"/>
    <n v="0"/>
    <n v="0"/>
    <n v="0"/>
    <n v="0"/>
    <n v="0"/>
    <n v="0"/>
    <n v="0"/>
    <n v="0"/>
    <n v="0"/>
    <n v="0"/>
    <n v="0"/>
    <m/>
    <m/>
    <m/>
    <m/>
    <m/>
    <m/>
    <m/>
    <m/>
    <m/>
    <m/>
    <m/>
    <m/>
    <m/>
    <m/>
    <m/>
    <m/>
    <m/>
    <m/>
    <m/>
    <m/>
    <m/>
    <m/>
    <m/>
    <m/>
    <m/>
    <m/>
    <m/>
    <m/>
    <m/>
    <m/>
    <m/>
    <m/>
    <m/>
    <m/>
    <m/>
    <m/>
    <m/>
    <m/>
    <m/>
    <m/>
    <m/>
    <m/>
    <m/>
    <m/>
    <m/>
    <m/>
    <m/>
    <m/>
    <m/>
  </r>
  <r>
    <n v="743"/>
    <d v="2025-02-03T00:00:00"/>
    <s v="ZBTO"/>
    <n v="9518490997"/>
    <n v="4"/>
    <s v="9518490997-4"/>
    <s v="No Priority"/>
    <x v="0"/>
    <m/>
    <x v="3"/>
    <x v="9"/>
    <s v="2000-BPRS"/>
    <m/>
    <x v="0"/>
    <m/>
    <m/>
    <m/>
    <s v="North"/>
    <s v="KANPUR"/>
    <m/>
    <n v="938789"/>
    <x v="92"/>
    <n v="1854429"/>
    <s v="GP COIL SOFT-TATXGP-GK09-0.63X900"/>
    <s v="Z80"/>
    <s v=""/>
    <n v="3.2"/>
    <n v="5"/>
    <m/>
    <s v="C02"/>
    <s v="TATXGP"/>
    <s v="GK09"/>
    <n v="0.63"/>
    <n v="900"/>
    <n v="0"/>
    <n v="105"/>
    <n v="0"/>
    <n v="105"/>
    <n v="105"/>
    <n v="105"/>
    <n v="105"/>
    <n v="0"/>
    <n v="0"/>
    <n v="0"/>
    <n v="0"/>
    <n v="0"/>
    <n v="0"/>
    <n v="0"/>
    <n v="0"/>
    <n v="0"/>
    <n v="0"/>
    <n v="0"/>
    <n v="0"/>
    <n v="0"/>
    <n v="0"/>
    <n v="0"/>
    <n v="0"/>
    <n v="0"/>
    <n v="0"/>
    <n v="0"/>
    <n v="0"/>
    <n v="0"/>
    <n v="0"/>
    <n v="0"/>
    <m/>
    <m/>
    <m/>
    <m/>
    <m/>
    <m/>
    <m/>
    <m/>
    <m/>
    <m/>
    <m/>
    <m/>
    <m/>
    <m/>
    <m/>
    <m/>
    <m/>
    <m/>
    <m/>
    <m/>
    <m/>
    <m/>
    <m/>
    <m/>
    <m/>
    <m/>
    <m/>
    <m/>
    <m/>
    <m/>
    <m/>
    <m/>
    <m/>
    <m/>
    <m/>
    <m/>
    <m/>
    <m/>
    <m/>
    <m/>
    <m/>
    <m/>
    <m/>
    <m/>
    <m/>
    <m/>
    <m/>
    <m/>
    <m/>
  </r>
  <r>
    <n v="742"/>
    <d v="2025-04-11T00:00:00"/>
    <s v="ZBTO"/>
    <n v="9518685638"/>
    <n v="1"/>
    <s v="9518685638-1"/>
    <s v="No Priority"/>
    <x v="0"/>
    <m/>
    <x v="1"/>
    <x v="1"/>
    <n v="2000"/>
    <m/>
    <x v="0"/>
    <m/>
    <m/>
    <s v="Uttar Pradesh"/>
    <s v="North"/>
    <m/>
    <m/>
    <n v="933952"/>
    <x v="50"/>
    <n v="185675"/>
    <s v="CRCA COIL-TATXXD-AU03-0.5X1250"/>
    <s v=""/>
    <m/>
    <m/>
    <m/>
    <m/>
    <s v="C01"/>
    <s v="TATXXD"/>
    <s v="AU03"/>
    <n v="0.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1T00:00:00"/>
    <s v="ZBTO"/>
    <n v="9518685638"/>
    <n v="2"/>
    <s v="9518685638-2"/>
    <s v="No Priority"/>
    <x v="0"/>
    <m/>
    <x v="1"/>
    <x v="1"/>
    <n v="2000"/>
    <m/>
    <x v="0"/>
    <m/>
    <m/>
    <s v="Uttar Pradesh"/>
    <s v="North"/>
    <m/>
    <m/>
    <n v="933952"/>
    <x v="50"/>
    <n v="1804814"/>
    <s v="CRCA COIL TATXXD AU03 0.8X1250"/>
    <s v=""/>
    <m/>
    <m/>
    <m/>
    <m/>
    <s v="C01"/>
    <s v="TATXXD"/>
    <s v="AU03"/>
    <n v="0.8"/>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1T00:00:00"/>
    <s v="ZBTO"/>
    <n v="9518685638"/>
    <n v="3"/>
    <s v="9518685638-3"/>
    <s v="No Priority"/>
    <x v="0"/>
    <m/>
    <x v="1"/>
    <x v="1"/>
    <n v="2000"/>
    <m/>
    <x v="0"/>
    <m/>
    <m/>
    <s v="Uttar Pradesh"/>
    <s v="North"/>
    <m/>
    <m/>
    <n v="933952"/>
    <x v="50"/>
    <n v="1804826"/>
    <s v="CRCA COIL-TATXXD-AU03-0.9X1250"/>
    <s v=""/>
    <m/>
    <m/>
    <m/>
    <m/>
    <s v="C01"/>
    <s v="TATXXD"/>
    <s v="AU03"/>
    <n v="0.9"/>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1T00:00:00"/>
    <s v="ZBTO"/>
    <n v="9518685638"/>
    <n v="4"/>
    <s v="9518685638-4"/>
    <s v="No Priority"/>
    <x v="0"/>
    <m/>
    <x v="1"/>
    <x v="1"/>
    <n v="2000"/>
    <m/>
    <x v="0"/>
    <m/>
    <m/>
    <s v="Uttar Pradesh"/>
    <s v="North"/>
    <m/>
    <m/>
    <n v="933952"/>
    <x v="50"/>
    <n v="1801804"/>
    <s v="CRCA COIL-TATXXD-AU03-1X1250"/>
    <s v=""/>
    <m/>
    <m/>
    <m/>
    <m/>
    <s v="C01"/>
    <s v="TATXXD"/>
    <s v="AU03"/>
    <n v="1"/>
    <n v="1250"/>
    <n v="0"/>
    <n v="29"/>
    <n v="0"/>
    <n v="29"/>
    <n v="29"/>
    <n v="1.759999999999998"/>
    <n v="29"/>
    <n v="0"/>
    <n v="0"/>
    <n v="0"/>
    <n v="0"/>
    <n v="0"/>
    <n v="0"/>
    <n v="0"/>
    <n v="0"/>
    <n v="0"/>
    <n v="0"/>
    <n v="0"/>
    <n v="0"/>
    <n v="27.240000000000002"/>
    <n v="0"/>
    <n v="0"/>
    <n v="0"/>
    <n v="0"/>
    <n v="0"/>
    <n v="0"/>
    <n v="27.240000000000002"/>
    <n v="27.240000000000002"/>
    <n v="0"/>
    <n v="27.240000000000002"/>
    <m/>
    <m/>
    <m/>
    <m/>
    <m/>
    <m/>
    <m/>
    <m/>
    <m/>
    <m/>
    <m/>
    <m/>
    <m/>
    <m/>
    <m/>
    <m/>
    <m/>
    <m/>
    <m/>
    <m/>
    <m/>
    <m/>
    <m/>
    <m/>
    <m/>
    <m/>
    <m/>
    <m/>
    <m/>
    <m/>
    <m/>
    <m/>
    <m/>
    <m/>
    <m/>
    <m/>
    <m/>
    <m/>
    <m/>
    <m/>
    <m/>
    <m/>
    <m/>
    <m/>
    <m/>
    <m/>
    <m/>
    <m/>
    <m/>
  </r>
  <r>
    <n v="742"/>
    <d v="2025-04-11T00:00:00"/>
    <s v="ZBTO"/>
    <n v="9518685638"/>
    <n v="6"/>
    <s v="9518685638-6"/>
    <s v="No Priority"/>
    <x v="0"/>
    <m/>
    <x v="1"/>
    <x v="1"/>
    <n v="2000"/>
    <m/>
    <x v="0"/>
    <m/>
    <m/>
    <s v="Uttar Pradesh"/>
    <s v="North"/>
    <m/>
    <m/>
    <n v="933952"/>
    <x v="50"/>
    <n v="1884117"/>
    <s v="CRCA COIL-TATXXD-AU03-2X1250"/>
    <s v=""/>
    <m/>
    <m/>
    <m/>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1T00:00:00"/>
    <s v="ZBTO"/>
    <n v="9518685638"/>
    <n v="7"/>
    <s v="9518685638-7"/>
    <s v="May'25"/>
    <x v="0"/>
    <s v="Yes"/>
    <x v="1"/>
    <x v="2"/>
    <n v="2000"/>
    <m/>
    <x v="1"/>
    <m/>
    <m/>
    <s v="Uttar Pradesh"/>
    <s v="North"/>
    <m/>
    <m/>
    <n v="933952"/>
    <x v="50"/>
    <n v="3240761"/>
    <s v="CRCA SHEET TSBCRC SR15 0.500X1250X2030"/>
    <s v=""/>
    <m/>
    <m/>
    <m/>
    <m/>
    <s v="C06"/>
    <s v="TSBCRC"/>
    <s v="SR15"/>
    <n v="0.5"/>
    <n v="1250"/>
    <n v="2030"/>
    <n v="108"/>
    <n v="0"/>
    <n v="108"/>
    <n v="108"/>
    <n v="107.85"/>
    <n v="81.63"/>
    <n v="0"/>
    <n v="0"/>
    <n v="0"/>
    <n v="0"/>
    <n v="0"/>
    <n v="0"/>
    <n v="0"/>
    <n v="0"/>
    <n v="0"/>
    <n v="0"/>
    <n v="0"/>
    <n v="0"/>
    <n v="0"/>
    <n v="0"/>
    <n v="0"/>
    <n v="0.15"/>
    <n v="0"/>
    <n v="0"/>
    <n v="0"/>
    <n v="0.15"/>
    <n v="0.15"/>
    <n v="0"/>
    <n v="0.15"/>
    <m/>
    <m/>
    <m/>
    <m/>
    <m/>
    <m/>
    <m/>
    <m/>
    <m/>
    <m/>
    <m/>
    <m/>
    <m/>
    <m/>
    <m/>
    <m/>
    <m/>
    <m/>
    <m/>
    <m/>
    <m/>
    <m/>
    <m/>
    <m/>
    <m/>
    <m/>
    <m/>
    <m/>
    <m/>
    <m/>
    <m/>
    <m/>
    <m/>
    <m/>
    <m/>
    <m/>
    <m/>
    <m/>
    <m/>
    <m/>
    <m/>
    <m/>
    <m/>
    <m/>
    <m/>
    <m/>
    <m/>
    <m/>
    <m/>
  </r>
  <r>
    <n v="742"/>
    <d v="2025-03-24T00:00:00"/>
    <s v="ZBTO"/>
    <n v="9518629852"/>
    <n v="8"/>
    <s v="9518629852-8"/>
    <s v="No Priority"/>
    <x v="1"/>
    <s v="Yes"/>
    <x v="1"/>
    <x v="2"/>
    <n v="2000"/>
    <m/>
    <x v="0"/>
    <m/>
    <m/>
    <s v="Maharashtra"/>
    <s v="West"/>
    <m/>
    <m/>
    <n v="932086"/>
    <x v="27"/>
    <n v="3240855"/>
    <s v="CRCA SHEET TSBCRC SR15 1.600X1250X2500"/>
    <s v=""/>
    <m/>
    <m/>
    <m/>
    <m/>
    <s v="C06"/>
    <s v="TSBCRC"/>
    <s v="SR15"/>
    <n v="1.6"/>
    <n v="1250"/>
    <n v="2500"/>
    <n v="75"/>
    <n v="0"/>
    <n v="75"/>
    <n v="75"/>
    <n v="75"/>
    <n v="75"/>
    <n v="0"/>
    <n v="0"/>
    <n v="0"/>
    <n v="0"/>
    <n v="0"/>
    <n v="0"/>
    <n v="0"/>
    <n v="0"/>
    <n v="0"/>
    <n v="0"/>
    <n v="0"/>
    <n v="0"/>
    <n v="0"/>
    <n v="0"/>
    <n v="0"/>
    <n v="0"/>
    <n v="0"/>
    <n v="0"/>
    <n v="0"/>
    <n v="0"/>
    <n v="0"/>
    <n v="0"/>
    <n v="0"/>
    <m/>
    <m/>
    <m/>
    <m/>
    <m/>
    <m/>
    <m/>
    <m/>
    <m/>
    <m/>
    <m/>
    <m/>
    <m/>
    <m/>
    <m/>
    <m/>
    <m/>
    <m/>
    <m/>
    <m/>
    <m/>
    <m/>
    <m/>
    <m/>
    <m/>
    <m/>
    <m/>
    <m/>
    <m/>
    <m/>
    <m/>
    <m/>
    <m/>
    <m/>
    <m/>
    <m/>
    <m/>
    <m/>
    <m/>
    <m/>
    <m/>
    <m/>
    <m/>
    <m/>
    <m/>
    <m/>
    <m/>
    <m/>
    <m/>
  </r>
  <r>
    <n v="743"/>
    <d v="2025-04-03T00:00:00"/>
    <s v="ZBTO"/>
    <n v="9518667160"/>
    <n v="1"/>
    <s v="9518667160-1"/>
    <s v="May'25"/>
    <x v="0"/>
    <s v="Yes"/>
    <x v="3"/>
    <x v="4"/>
    <n v="2000"/>
    <m/>
    <x v="1"/>
    <m/>
    <m/>
    <s v="Assam"/>
    <s v="East"/>
    <m/>
    <m/>
    <n v="103671"/>
    <x v="108"/>
    <n v="3777535"/>
    <s v="GP COIL TATGPH GP02 0.400X900"/>
    <s v=""/>
    <m/>
    <m/>
    <m/>
    <m/>
    <s v="C05"/>
    <s v="TATGPH"/>
    <s v="GP02"/>
    <n v="0.4"/>
    <n v="900"/>
    <n v="0"/>
    <n v="21"/>
    <n v="0"/>
    <n v="21"/>
    <n v="21"/>
    <n v="21"/>
    <n v="147"/>
    <n v="0"/>
    <n v="0"/>
    <n v="0"/>
    <n v="0"/>
    <n v="0"/>
    <n v="0"/>
    <n v="0"/>
    <n v="0"/>
    <n v="0"/>
    <n v="0"/>
    <n v="0"/>
    <n v="0"/>
    <n v="0"/>
    <n v="0"/>
    <n v="0"/>
    <n v="0"/>
    <n v="0"/>
    <n v="0"/>
    <n v="0"/>
    <n v="0"/>
    <n v="0"/>
    <n v="0"/>
    <n v="0"/>
    <m/>
    <m/>
    <m/>
    <m/>
    <m/>
    <m/>
    <m/>
    <m/>
    <m/>
    <m/>
    <m/>
    <m/>
    <m/>
    <m/>
    <m/>
    <m/>
    <m/>
    <m/>
    <m/>
    <m/>
    <m/>
    <m/>
    <m/>
    <m/>
    <m/>
    <m/>
    <m/>
    <m/>
    <m/>
    <m/>
    <m/>
    <m/>
    <m/>
    <m/>
    <m/>
    <m/>
    <m/>
    <m/>
    <m/>
    <m/>
    <m/>
    <m/>
    <m/>
    <m/>
    <m/>
    <m/>
    <m/>
    <m/>
    <m/>
  </r>
  <r>
    <n v="743"/>
    <d v="2025-04-03T00:00:00"/>
    <s v="ZBTO"/>
    <n v="9518667160"/>
    <n v="2"/>
    <s v="9518667160-2"/>
    <s v="May'25"/>
    <x v="0"/>
    <s v="Yes"/>
    <x v="3"/>
    <x v="4"/>
    <n v="2000"/>
    <m/>
    <x v="1"/>
    <m/>
    <m/>
    <s v="Assam"/>
    <s v="East"/>
    <m/>
    <m/>
    <n v="103671"/>
    <x v="108"/>
    <n v="3708869"/>
    <s v="GP COIL TATGPH GP02 0.500X900"/>
    <s v=""/>
    <m/>
    <m/>
    <m/>
    <m/>
    <s v="C05"/>
    <s v="TATGPH"/>
    <s v="GP02"/>
    <n v="0.5"/>
    <n v="900"/>
    <n v="0"/>
    <n v="21"/>
    <n v="0"/>
    <n v="21"/>
    <n v="21"/>
    <n v="21"/>
    <n v="63"/>
    <n v="0"/>
    <n v="0"/>
    <n v="0"/>
    <n v="0"/>
    <n v="0"/>
    <n v="0"/>
    <n v="0"/>
    <n v="0"/>
    <n v="0"/>
    <n v="0"/>
    <n v="0"/>
    <n v="0"/>
    <n v="0"/>
    <n v="0"/>
    <n v="0"/>
    <n v="0"/>
    <n v="0"/>
    <n v="0"/>
    <n v="0"/>
    <n v="0"/>
    <n v="0"/>
    <n v="0"/>
    <n v="0"/>
    <m/>
    <m/>
    <m/>
    <m/>
    <m/>
    <m/>
    <m/>
    <m/>
    <m/>
    <m/>
    <m/>
    <m/>
    <m/>
    <m/>
    <m/>
    <m/>
    <m/>
    <m/>
    <m/>
    <m/>
    <m/>
    <m/>
    <m/>
    <m/>
    <m/>
    <m/>
    <m/>
    <m/>
    <m/>
    <m/>
    <m/>
    <m/>
    <m/>
    <m/>
    <m/>
    <m/>
    <m/>
    <m/>
    <m/>
    <m/>
    <m/>
    <m/>
    <m/>
    <m/>
    <m/>
    <m/>
    <m/>
    <m/>
    <m/>
  </r>
  <r>
    <n v="743"/>
    <d v="2025-04-03T00:00:00"/>
    <s v="ZBTO"/>
    <n v="9518667160"/>
    <n v="3"/>
    <s v="9518667160-3"/>
    <s v="May'25"/>
    <x v="0"/>
    <s v="Yes"/>
    <x v="3"/>
    <x v="4"/>
    <n v="2000"/>
    <m/>
    <x v="1"/>
    <m/>
    <m/>
    <s v="Assam"/>
    <s v="East"/>
    <m/>
    <m/>
    <n v="103671"/>
    <x v="108"/>
    <n v="3776940"/>
    <s v="GP COIL TATGPH GP02 0.350X1015"/>
    <s v=""/>
    <m/>
    <m/>
    <m/>
    <m/>
    <s v="C05"/>
    <s v="TATGPH"/>
    <s v="GP02"/>
    <n v="0.35"/>
    <n v="1015"/>
    <n v="0"/>
    <n v="46"/>
    <n v="0"/>
    <n v="46"/>
    <n v="46"/>
    <n v="46"/>
    <n v="46"/>
    <n v="0"/>
    <n v="0"/>
    <n v="0"/>
    <n v="0"/>
    <n v="0"/>
    <n v="0"/>
    <n v="0"/>
    <n v="0"/>
    <n v="0"/>
    <n v="0"/>
    <n v="0"/>
    <n v="0"/>
    <n v="0"/>
    <n v="0"/>
    <n v="0"/>
    <n v="0"/>
    <n v="0"/>
    <n v="0"/>
    <n v="0"/>
    <n v="0"/>
    <n v="0"/>
    <n v="0"/>
    <n v="0"/>
    <m/>
    <m/>
    <m/>
    <m/>
    <m/>
    <m/>
    <m/>
    <m/>
    <m/>
    <m/>
    <m/>
    <m/>
    <m/>
    <m/>
    <m/>
    <m/>
    <m/>
    <m/>
    <m/>
    <m/>
    <m/>
    <m/>
    <m/>
    <m/>
    <m/>
    <m/>
    <m/>
    <m/>
    <m/>
    <m/>
    <m/>
    <m/>
    <m/>
    <m/>
    <m/>
    <m/>
    <m/>
    <m/>
    <m/>
    <m/>
    <m/>
    <m/>
    <m/>
    <m/>
    <m/>
    <m/>
    <m/>
    <m/>
    <m/>
  </r>
  <r>
    <n v="743"/>
    <d v="2025-04-03T00:00:00"/>
    <s v="ZBTO"/>
    <n v="9518667160"/>
    <n v="4"/>
    <s v="9518667160-4"/>
    <s v="No Priority"/>
    <x v="0"/>
    <s v="Yes"/>
    <x v="3"/>
    <x v="4"/>
    <n v="2000"/>
    <m/>
    <x v="0"/>
    <m/>
    <m/>
    <s v="Assam"/>
    <s v="East"/>
    <m/>
    <m/>
    <n v="103671"/>
    <x v="108"/>
    <n v="3776939"/>
    <s v="GP COIL TATGPH GP02 0.400X1015"/>
    <s v=""/>
    <m/>
    <m/>
    <m/>
    <m/>
    <s v="C05"/>
    <s v="TATGPH"/>
    <s v="GP02"/>
    <n v="0.4"/>
    <n v="1015"/>
    <n v="0"/>
    <n v="46"/>
    <n v="0"/>
    <n v="46"/>
    <n v="46"/>
    <n v="46"/>
    <n v="0"/>
    <n v="0"/>
    <n v="0"/>
    <n v="0"/>
    <n v="0"/>
    <n v="0"/>
    <n v="0"/>
    <n v="0"/>
    <n v="0"/>
    <n v="0"/>
    <n v="0"/>
    <n v="0"/>
    <n v="0"/>
    <n v="0"/>
    <n v="0"/>
    <n v="0"/>
    <n v="0"/>
    <n v="0"/>
    <n v="0"/>
    <n v="0"/>
    <n v="0"/>
    <n v="0"/>
    <n v="0"/>
    <n v="0"/>
    <m/>
    <m/>
    <m/>
    <m/>
    <m/>
    <m/>
    <m/>
    <m/>
    <m/>
    <m/>
    <m/>
    <m/>
    <m/>
    <m/>
    <m/>
    <m/>
    <m/>
    <m/>
    <m/>
    <m/>
    <m/>
    <m/>
    <m/>
    <m/>
    <m/>
    <m/>
    <m/>
    <m/>
    <m/>
    <m/>
    <m/>
    <m/>
    <m/>
    <m/>
    <m/>
    <m/>
    <m/>
    <m/>
    <m/>
    <m/>
    <m/>
    <m/>
    <m/>
    <m/>
    <m/>
    <m/>
    <m/>
    <m/>
    <m/>
  </r>
  <r>
    <n v="742"/>
    <d v="2025-04-14T00:00:00"/>
    <s v="ZBTO"/>
    <n v="9518692784"/>
    <n v="1"/>
    <s v="9518692784-1"/>
    <s v="No Priority"/>
    <x v="0"/>
    <m/>
    <x v="1"/>
    <x v="10"/>
    <n v="1000"/>
    <m/>
    <x v="0"/>
    <m/>
    <m/>
    <s v="Dadra, Nagarhaveli"/>
    <s v="West"/>
    <m/>
    <m/>
    <n v="189405"/>
    <x v="42"/>
    <n v="2164800"/>
    <s v="CRCA COIL TATXXD BT02 0.970X913"/>
    <s v=""/>
    <m/>
    <m/>
    <m/>
    <m/>
    <s v="C01"/>
    <s v="TATXXD"/>
    <s v="BT02"/>
    <n v="0.97"/>
    <n v="913"/>
    <n v="0"/>
    <n v="62.99"/>
    <n v="0"/>
    <n v="62.99"/>
    <n v="62.99"/>
    <n v="62.99"/>
    <n v="63"/>
    <n v="0"/>
    <n v="0"/>
    <n v="0"/>
    <n v="0"/>
    <n v="0"/>
    <n v="0"/>
    <n v="0"/>
    <n v="0"/>
    <n v="0"/>
    <n v="0"/>
    <n v="0"/>
    <n v="0"/>
    <n v="0"/>
    <n v="0"/>
    <n v="0"/>
    <n v="0"/>
    <n v="0"/>
    <n v="0"/>
    <n v="0"/>
    <n v="0"/>
    <n v="0"/>
    <n v="0"/>
    <n v="0"/>
    <m/>
    <m/>
    <m/>
    <m/>
    <m/>
    <m/>
    <m/>
    <m/>
    <m/>
    <m/>
    <m/>
    <m/>
    <m/>
    <m/>
    <m/>
    <m/>
    <m/>
    <m/>
    <m/>
    <m/>
    <m/>
    <m/>
    <m/>
    <m/>
    <m/>
    <m/>
    <m/>
    <m/>
    <m/>
    <m/>
    <m/>
    <m/>
    <m/>
    <m/>
    <m/>
    <m/>
    <m/>
    <m/>
    <m/>
    <m/>
    <m/>
    <m/>
    <m/>
    <m/>
    <m/>
    <m/>
    <m/>
    <m/>
    <m/>
  </r>
  <r>
    <n v="742"/>
    <d v="2025-04-14T00:00:00"/>
    <s v="ZBTO"/>
    <n v="9518692793"/>
    <n v="3"/>
    <s v="9518692793-3"/>
    <s v="No Priority"/>
    <x v="0"/>
    <m/>
    <x v="1"/>
    <x v="10"/>
    <n v="1000"/>
    <m/>
    <x v="0"/>
    <m/>
    <m/>
    <s v="Dadra, Nagarhaveli"/>
    <s v="West"/>
    <m/>
    <m/>
    <n v="189405"/>
    <x v="42"/>
    <n v="2164803"/>
    <s v="CRCA COIL TATXXD BT02 1.200X910"/>
    <s v=""/>
    <m/>
    <m/>
    <m/>
    <m/>
    <s v="C01"/>
    <s v="TATXXD"/>
    <s v="BT02"/>
    <n v="1.2"/>
    <n v="910"/>
    <n v="0"/>
    <n v="63"/>
    <n v="0"/>
    <n v="63"/>
    <n v="63"/>
    <n v="63"/>
    <n v="63"/>
    <n v="0"/>
    <n v="0"/>
    <n v="0"/>
    <n v="0"/>
    <n v="0"/>
    <n v="0"/>
    <n v="0"/>
    <n v="0"/>
    <n v="0"/>
    <n v="0"/>
    <n v="0"/>
    <n v="0"/>
    <n v="0"/>
    <n v="0"/>
    <n v="0"/>
    <n v="0"/>
    <n v="0"/>
    <n v="0"/>
    <n v="0"/>
    <n v="0"/>
    <n v="0"/>
    <n v="0"/>
    <n v="0"/>
    <m/>
    <m/>
    <m/>
    <m/>
    <m/>
    <m/>
    <m/>
    <m/>
    <m/>
    <m/>
    <m/>
    <m/>
    <m/>
    <m/>
    <m/>
    <m/>
    <m/>
    <m/>
    <m/>
    <m/>
    <m/>
    <m/>
    <m/>
    <m/>
    <m/>
    <m/>
    <m/>
    <m/>
    <m/>
    <m/>
    <m/>
    <m/>
    <m/>
    <m/>
    <m/>
    <m/>
    <m/>
    <m/>
    <m/>
    <m/>
    <m/>
    <m/>
    <m/>
    <m/>
    <m/>
    <m/>
    <m/>
    <m/>
    <m/>
  </r>
  <r>
    <n v="742"/>
    <d v="2025-03-28T00:00:00"/>
    <s v="ZBTO"/>
    <n v="9518648553"/>
    <n v="1"/>
    <s v="9518648553-1"/>
    <s v="No Priority"/>
    <x v="1"/>
    <m/>
    <x v="1"/>
    <x v="1"/>
    <n v="2000"/>
    <m/>
    <x v="0"/>
    <m/>
    <m/>
    <s v="Delhi"/>
    <s v="North"/>
    <m/>
    <m/>
    <n v="101446"/>
    <x v="70"/>
    <n v="187513"/>
    <s v="CRSHEET-ICF  DQ TATXXD AU03 0.80 X 1000"/>
    <s v=""/>
    <m/>
    <m/>
    <m/>
    <m/>
    <s v="C01"/>
    <s v="TATXXD"/>
    <s v="AU03"/>
    <n v="0.8"/>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3-21T00:00:00"/>
    <s v="ZBTO"/>
    <n v="9518620674"/>
    <n v="1"/>
    <s v="9518620674-1"/>
    <s v="No Priority"/>
    <x v="1"/>
    <m/>
    <x v="1"/>
    <x v="1"/>
    <n v="2000"/>
    <m/>
    <x v="0"/>
    <m/>
    <m/>
    <s v="Tamil Nadu"/>
    <s v="South"/>
    <m/>
    <m/>
    <n v="938550"/>
    <x v="4"/>
    <n v="2352643"/>
    <s v="CRCA COIL TATCRC TR15 0.350X900"/>
    <s v=""/>
    <m/>
    <m/>
    <m/>
    <m/>
    <s v="C01"/>
    <s v="TATCRC"/>
    <s v="TR15"/>
    <n v="0.35"/>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3-21T00:00:00"/>
    <s v="ZBTO"/>
    <n v="9518620674"/>
    <n v="2"/>
    <s v="9518620674-2"/>
    <s v="No Priority"/>
    <x v="1"/>
    <m/>
    <x v="1"/>
    <x v="1"/>
    <n v="2000"/>
    <m/>
    <x v="0"/>
    <m/>
    <m/>
    <s v="Tamil Nadu"/>
    <s v="South"/>
    <m/>
    <m/>
    <n v="938550"/>
    <x v="4"/>
    <n v="2352644"/>
    <s v="CRCA COIL TATCRC TR15 0.350X1000"/>
    <s v=""/>
    <m/>
    <m/>
    <m/>
    <m/>
    <s v="C01"/>
    <s v="TATCRC"/>
    <s v="TR15"/>
    <n v="0.3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3-21T00:00:00"/>
    <s v="ZBTO"/>
    <n v="9518620674"/>
    <n v="6"/>
    <s v="9518620674-6"/>
    <s v="No Priority"/>
    <x v="1"/>
    <m/>
    <x v="1"/>
    <x v="1"/>
    <n v="2000"/>
    <m/>
    <x v="0"/>
    <m/>
    <m/>
    <s v="Tamil Nadu"/>
    <s v="South"/>
    <m/>
    <m/>
    <n v="938550"/>
    <x v="4"/>
    <n v="37862"/>
    <s v="CRCA COIL TATCRC TR15 0.4X1250"/>
    <s v=""/>
    <m/>
    <m/>
    <m/>
    <m/>
    <s v="C01"/>
    <s v="TATCRC"/>
    <s v="TR15"/>
    <n v="0.4"/>
    <n v="1250"/>
    <n v="0"/>
    <n v="87"/>
    <n v="0"/>
    <n v="87"/>
    <n v="87"/>
    <n v="87"/>
    <n v="87"/>
    <n v="0"/>
    <n v="0"/>
    <n v="0"/>
    <n v="0"/>
    <n v="0"/>
    <n v="0"/>
    <n v="0"/>
    <n v="0"/>
    <n v="0"/>
    <n v="0"/>
    <n v="0"/>
    <n v="0"/>
    <n v="0"/>
    <n v="0"/>
    <n v="0"/>
    <n v="0"/>
    <n v="0"/>
    <n v="0"/>
    <n v="0"/>
    <n v="0"/>
    <n v="0"/>
    <n v="0"/>
    <n v="0"/>
    <m/>
    <m/>
    <m/>
    <m/>
    <m/>
    <m/>
    <m/>
    <m/>
    <m/>
    <m/>
    <m/>
    <m/>
    <m/>
    <m/>
    <m/>
    <m/>
    <m/>
    <m/>
    <m/>
    <m/>
    <m/>
    <m/>
    <m/>
    <m/>
    <m/>
    <m/>
    <m/>
    <m/>
    <m/>
    <m/>
    <m/>
    <m/>
    <m/>
    <m/>
    <m/>
    <m/>
    <m/>
    <m/>
    <m/>
    <m/>
    <m/>
    <m/>
    <m/>
    <m/>
    <m/>
    <m/>
    <m/>
    <m/>
    <m/>
  </r>
  <r>
    <n v="742"/>
    <d v="2025-03-21T00:00:00"/>
    <s v="ZBTO"/>
    <n v="9518620674"/>
    <n v="7"/>
    <s v="9518620674-7"/>
    <s v="No Priority"/>
    <x v="1"/>
    <m/>
    <x v="1"/>
    <x v="1"/>
    <n v="2000"/>
    <m/>
    <x v="0"/>
    <m/>
    <m/>
    <s v="Tamil Nadu"/>
    <s v="South"/>
    <m/>
    <m/>
    <n v="938550"/>
    <x v="4"/>
    <n v="1804893"/>
    <s v="CRCA COIL-TATCRC-TR15-0.45X900"/>
    <s v=""/>
    <m/>
    <m/>
    <m/>
    <m/>
    <s v="C01"/>
    <s v="TATCRC"/>
    <s v="TR15"/>
    <n v="0.45"/>
    <n v="900"/>
    <n v="0"/>
    <n v="63"/>
    <n v="0"/>
    <n v="63"/>
    <n v="63"/>
    <n v="63"/>
    <n v="63"/>
    <n v="0"/>
    <n v="0"/>
    <n v="0"/>
    <n v="0"/>
    <n v="0"/>
    <n v="0"/>
    <n v="0"/>
    <n v="0"/>
    <n v="0"/>
    <n v="0"/>
    <n v="0"/>
    <n v="0"/>
    <n v="0"/>
    <n v="0"/>
    <n v="0"/>
    <n v="0"/>
    <n v="0"/>
    <n v="0"/>
    <n v="0"/>
    <n v="0"/>
    <n v="0"/>
    <n v="0"/>
    <n v="0"/>
    <m/>
    <m/>
    <m/>
    <m/>
    <m/>
    <m/>
    <m/>
    <m/>
    <m/>
    <m/>
    <m/>
    <m/>
    <m/>
    <m/>
    <m/>
    <m/>
    <m/>
    <m/>
    <m/>
    <m/>
    <m/>
    <m/>
    <m/>
    <m/>
    <m/>
    <m/>
    <m/>
    <m/>
    <m/>
    <m/>
    <m/>
    <m/>
    <m/>
    <m/>
    <m/>
    <m/>
    <m/>
    <m/>
    <m/>
    <m/>
    <m/>
    <m/>
    <m/>
    <m/>
    <m/>
    <m/>
    <m/>
    <m/>
    <m/>
  </r>
  <r>
    <n v="742"/>
    <d v="2025-03-21T00:00:00"/>
    <s v="ZBTO"/>
    <n v="9518620674"/>
    <n v="8"/>
    <s v="9518620674-8"/>
    <s v="No Priority"/>
    <x v="1"/>
    <m/>
    <x v="1"/>
    <x v="1"/>
    <n v="2000"/>
    <m/>
    <x v="0"/>
    <m/>
    <m/>
    <s v="Tamil Nadu"/>
    <s v="South"/>
    <m/>
    <m/>
    <n v="938550"/>
    <x v="4"/>
    <n v="1804896"/>
    <s v="CRCA COIL-TATCRC-TR15-0.45X1000"/>
    <s v=""/>
    <m/>
    <m/>
    <m/>
    <m/>
    <s v="C01"/>
    <s v="TATCRC"/>
    <s v="TR15"/>
    <n v="0.45"/>
    <n v="1000"/>
    <n v="0"/>
    <n v="69"/>
    <n v="0"/>
    <n v="69"/>
    <n v="69"/>
    <n v="69"/>
    <n v="69"/>
    <n v="0"/>
    <n v="0"/>
    <n v="0"/>
    <n v="0"/>
    <n v="0"/>
    <n v="0"/>
    <n v="0"/>
    <n v="0"/>
    <n v="0"/>
    <n v="0"/>
    <n v="0"/>
    <n v="0"/>
    <n v="0"/>
    <n v="0"/>
    <n v="0"/>
    <n v="0"/>
    <n v="0"/>
    <n v="0"/>
    <n v="0"/>
    <n v="0"/>
    <n v="0"/>
    <n v="0"/>
    <n v="0"/>
    <m/>
    <m/>
    <m/>
    <m/>
    <m/>
    <m/>
    <m/>
    <m/>
    <m/>
    <m/>
    <m/>
    <m/>
    <m/>
    <m/>
    <m/>
    <m/>
    <m/>
    <m/>
    <m/>
    <m/>
    <m/>
    <m/>
    <m/>
    <m/>
    <m/>
    <m/>
    <m/>
    <m/>
    <m/>
    <m/>
    <m/>
    <m/>
    <m/>
    <m/>
    <m/>
    <m/>
    <m/>
    <m/>
    <m/>
    <m/>
    <m/>
    <m/>
    <m/>
    <m/>
    <m/>
    <m/>
    <m/>
    <m/>
    <m/>
  </r>
  <r>
    <n v="742"/>
    <d v="2025-03-21T00:00:00"/>
    <s v="ZBTO"/>
    <n v="9518620674"/>
    <n v="9"/>
    <s v="9518620674-9"/>
    <s v="No Priority"/>
    <x v="1"/>
    <m/>
    <x v="1"/>
    <x v="1"/>
    <n v="2000"/>
    <m/>
    <x v="0"/>
    <m/>
    <m/>
    <s v="Tamil Nadu"/>
    <s v="South"/>
    <m/>
    <m/>
    <n v="938550"/>
    <x v="4"/>
    <n v="1804905"/>
    <s v="CRCA COIL-TATCRC-TR15-0.5X1000"/>
    <s v=""/>
    <m/>
    <m/>
    <m/>
    <m/>
    <s v="C01"/>
    <s v="TATCRC"/>
    <s v="TR15"/>
    <n v="0.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3-21T00:00:00"/>
    <s v="ZBTO"/>
    <n v="9518620674"/>
    <n v="10"/>
    <s v="9518620674-10"/>
    <s v="No Priority"/>
    <x v="1"/>
    <m/>
    <x v="1"/>
    <x v="1"/>
    <n v="2000"/>
    <m/>
    <x v="0"/>
    <m/>
    <m/>
    <s v="Tamil Nadu"/>
    <s v="South"/>
    <m/>
    <m/>
    <n v="938550"/>
    <x v="4"/>
    <n v="1804914"/>
    <s v="CRCA COIL TATCRC TR15 0.6X1000"/>
    <s v=""/>
    <m/>
    <m/>
    <m/>
    <m/>
    <s v="C01"/>
    <s v="TATCRC"/>
    <s v="TR15"/>
    <n v="0.6"/>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3-21T00:00:00"/>
    <s v="ZBTO"/>
    <n v="9518620674"/>
    <n v="12"/>
    <s v="9518620674-12"/>
    <s v="No Priority"/>
    <x v="1"/>
    <m/>
    <x v="1"/>
    <x v="1"/>
    <n v="2000"/>
    <m/>
    <x v="0"/>
    <m/>
    <m/>
    <s v="Tamil Nadu"/>
    <s v="South"/>
    <m/>
    <m/>
    <n v="938550"/>
    <x v="4"/>
    <n v="3931386"/>
    <s v="CR COIL TATXXD AU03 0.700X925"/>
    <s v=""/>
    <m/>
    <m/>
    <m/>
    <m/>
    <s v="C01"/>
    <s v="TATXXD"/>
    <s v="AU03"/>
    <n v="0.7"/>
    <n v="925"/>
    <n v="0"/>
    <n v="42"/>
    <n v="0"/>
    <n v="42"/>
    <n v="42"/>
    <n v="42"/>
    <n v="42"/>
    <n v="0"/>
    <n v="0"/>
    <n v="0"/>
    <n v="0"/>
    <n v="0"/>
    <n v="0"/>
    <n v="0"/>
    <n v="0"/>
    <n v="0"/>
    <n v="0"/>
    <n v="0"/>
    <n v="0"/>
    <n v="0"/>
    <n v="0"/>
    <n v="0"/>
    <n v="0"/>
    <n v="0"/>
    <n v="0"/>
    <n v="0"/>
    <n v="0"/>
    <n v="0"/>
    <n v="0"/>
    <n v="0"/>
    <m/>
    <m/>
    <m/>
    <m/>
    <m/>
    <m/>
    <m/>
    <m/>
    <m/>
    <m/>
    <m/>
    <m/>
    <m/>
    <m/>
    <m/>
    <m/>
    <m/>
    <m/>
    <m/>
    <m/>
    <m/>
    <m/>
    <m/>
    <m/>
    <m/>
    <m/>
    <m/>
    <m/>
    <m/>
    <m/>
    <m/>
    <m/>
    <m/>
    <m/>
    <m/>
    <m/>
    <m/>
    <m/>
    <m/>
    <m/>
    <m/>
    <m/>
    <m/>
    <m/>
    <m/>
    <m/>
    <m/>
    <m/>
    <m/>
  </r>
  <r>
    <n v="742"/>
    <d v="2025-03-21T00:00:00"/>
    <s v="ZBTO"/>
    <n v="9518620674"/>
    <n v="14"/>
    <s v="9518620674-14"/>
    <s v="No Priority"/>
    <x v="1"/>
    <m/>
    <x v="1"/>
    <x v="1"/>
    <n v="2000"/>
    <m/>
    <x v="0"/>
    <m/>
    <m/>
    <s v="Tamil Nadu"/>
    <s v="South"/>
    <m/>
    <m/>
    <n v="938550"/>
    <x v="4"/>
    <n v="1801562"/>
    <s v="CRCA COIL-TATXXD-AU03-0.8X1000"/>
    <s v=""/>
    <m/>
    <m/>
    <m/>
    <m/>
    <s v="C01"/>
    <s v="TATXXD"/>
    <s v="AU03"/>
    <n v="0.8"/>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3-21T00:00:00"/>
    <s v="ZBTO"/>
    <n v="9518620674"/>
    <n v="21"/>
    <s v="9518620674-21"/>
    <s v="May'25"/>
    <x v="0"/>
    <s v="Yes"/>
    <x v="1"/>
    <x v="2"/>
    <n v="2000"/>
    <m/>
    <x v="1"/>
    <m/>
    <m/>
    <s v="Tamil Nadu"/>
    <s v="South"/>
    <m/>
    <m/>
    <n v="938550"/>
    <x v="4"/>
    <n v="3239536"/>
    <s v="CRCA SHEET TATCRC SR16 0.350X900X2500"/>
    <s v=""/>
    <m/>
    <m/>
    <m/>
    <m/>
    <s v="C06"/>
    <s v="TATCRC"/>
    <s v="SR16"/>
    <n v="0.35"/>
    <n v="900"/>
    <n v="2500"/>
    <n v="42"/>
    <n v="0"/>
    <n v="42"/>
    <n v="42"/>
    <n v="-0.56000000000000227"/>
    <n v="42"/>
    <n v="0"/>
    <n v="0"/>
    <n v="0"/>
    <n v="0"/>
    <n v="0"/>
    <n v="0"/>
    <n v="0"/>
    <n v="0"/>
    <n v="0"/>
    <n v="0"/>
    <n v="0"/>
    <n v="0"/>
    <n v="0"/>
    <n v="21.21"/>
    <n v="21.35"/>
    <n v="0"/>
    <n v="0"/>
    <n v="0"/>
    <n v="0"/>
    <n v="42.56"/>
    <n v="42.56"/>
    <n v="0"/>
    <n v="42.56"/>
    <m/>
    <m/>
    <m/>
    <m/>
    <m/>
    <m/>
    <m/>
    <m/>
    <m/>
    <m/>
    <m/>
    <m/>
    <m/>
    <m/>
    <m/>
    <m/>
    <m/>
    <m/>
    <m/>
    <m/>
    <m/>
    <m/>
    <m/>
    <m/>
    <m/>
    <m/>
    <m/>
    <m/>
    <m/>
    <m/>
    <m/>
    <m/>
    <m/>
    <m/>
    <m/>
    <m/>
    <m/>
    <m/>
    <m/>
    <m/>
    <m/>
    <m/>
    <m/>
    <m/>
    <m/>
    <m/>
    <m/>
    <m/>
    <m/>
  </r>
  <r>
    <n v="742"/>
    <d v="2025-03-21T00:00:00"/>
    <s v="ZBTO"/>
    <n v="9518620674"/>
    <n v="22"/>
    <s v="9518620674-22"/>
    <s v="No Priority"/>
    <x v="1"/>
    <m/>
    <x v="1"/>
    <x v="2"/>
    <n v="2000"/>
    <m/>
    <x v="0"/>
    <m/>
    <m/>
    <s v="Tamil Nadu"/>
    <s v="South"/>
    <m/>
    <m/>
    <n v="938550"/>
    <x v="4"/>
    <n v="3239548"/>
    <s v="CRCA SHEET TATCRC SR16 0.400X900X2500"/>
    <s v=""/>
    <m/>
    <m/>
    <m/>
    <m/>
    <s v="C06"/>
    <s v="TATCRC"/>
    <s v="SR16"/>
    <n v="0.4"/>
    <n v="900"/>
    <n v="2500"/>
    <n v="42"/>
    <n v="0"/>
    <n v="42"/>
    <n v="42"/>
    <n v="42"/>
    <n v="42"/>
    <n v="0"/>
    <n v="0"/>
    <n v="0"/>
    <n v="0"/>
    <n v="0"/>
    <n v="0"/>
    <n v="0"/>
    <n v="0"/>
    <n v="0"/>
    <n v="0"/>
    <n v="0"/>
    <n v="0"/>
    <n v="0"/>
    <n v="0"/>
    <n v="0"/>
    <n v="0"/>
    <n v="0"/>
    <n v="0"/>
    <n v="0"/>
    <n v="0"/>
    <n v="0"/>
    <n v="0"/>
    <n v="0"/>
    <m/>
    <m/>
    <m/>
    <m/>
    <m/>
    <m/>
    <m/>
    <m/>
    <m/>
    <m/>
    <m/>
    <m/>
    <m/>
    <m/>
    <m/>
    <m/>
    <m/>
    <m/>
    <m/>
    <m/>
    <m/>
    <m/>
    <m/>
    <m/>
    <m/>
    <m/>
    <m/>
    <m/>
    <m/>
    <m/>
    <m/>
    <m/>
    <m/>
    <m/>
    <m/>
    <m/>
    <m/>
    <m/>
    <m/>
    <m/>
    <m/>
    <m/>
    <m/>
    <m/>
    <m/>
    <m/>
    <m/>
    <m/>
    <m/>
  </r>
  <r>
    <n v="742"/>
    <d v="2025-03-21T00:00:00"/>
    <s v="ZBTO"/>
    <n v="9518620674"/>
    <n v="23"/>
    <s v="9518620674-23"/>
    <s v="May'25"/>
    <x v="0"/>
    <s v="Yes"/>
    <x v="1"/>
    <x v="2"/>
    <n v="2000"/>
    <m/>
    <x v="1"/>
    <m/>
    <m/>
    <s v="Tamil Nadu"/>
    <s v="South"/>
    <m/>
    <m/>
    <n v="938550"/>
    <x v="4"/>
    <n v="3239552"/>
    <s v="CRCA SHEET TATCRC SR16 0.400X1000X1980"/>
    <s v=""/>
    <m/>
    <m/>
    <m/>
    <m/>
    <s v="C06"/>
    <s v="TATCRC"/>
    <s v="SR16"/>
    <n v="0.4"/>
    <n v="1000"/>
    <n v="1980"/>
    <n v="45"/>
    <n v="0"/>
    <n v="45"/>
    <n v="45"/>
    <n v="45"/>
    <n v="45"/>
    <n v="0"/>
    <n v="0"/>
    <n v="0"/>
    <n v="0"/>
    <n v="0"/>
    <n v="0"/>
    <n v="0"/>
    <n v="0"/>
    <n v="0"/>
    <n v="0"/>
    <n v="0"/>
    <n v="0"/>
    <n v="0"/>
    <n v="0"/>
    <n v="0"/>
    <n v="0"/>
    <n v="0"/>
    <n v="0"/>
    <n v="0"/>
    <n v="0"/>
    <n v="0"/>
    <n v="0"/>
    <n v="0"/>
    <m/>
    <m/>
    <m/>
    <m/>
    <m/>
    <m/>
    <m/>
    <m/>
    <m/>
    <m/>
    <m/>
    <m/>
    <m/>
    <m/>
    <m/>
    <m/>
    <m/>
    <m/>
    <m/>
    <m/>
    <m/>
    <m/>
    <m/>
    <m/>
    <m/>
    <m/>
    <m/>
    <m/>
    <m/>
    <m/>
    <m/>
    <m/>
    <m/>
    <m/>
    <m/>
    <m/>
    <m/>
    <m/>
    <m/>
    <m/>
    <m/>
    <m/>
    <m/>
    <m/>
    <m/>
    <m/>
    <m/>
    <m/>
    <m/>
  </r>
  <r>
    <n v="742"/>
    <d v="2025-03-21T00:00:00"/>
    <s v="ZBTO"/>
    <n v="9518620674"/>
    <n v="25"/>
    <s v="9518620674-25"/>
    <s v="May'25"/>
    <x v="0"/>
    <s v="Yes"/>
    <x v="1"/>
    <x v="2"/>
    <n v="2000"/>
    <m/>
    <x v="1"/>
    <m/>
    <m/>
    <s v="Tamil Nadu"/>
    <s v="South"/>
    <m/>
    <m/>
    <n v="938550"/>
    <x v="4"/>
    <n v="3239564"/>
    <s v="CRCA SHEET TATCRC SR16 0.450X1000X1980"/>
    <s v=""/>
    <m/>
    <m/>
    <m/>
    <m/>
    <s v="C06"/>
    <s v="TATCRC"/>
    <s v="SR16"/>
    <n v="0.45"/>
    <n v="1000"/>
    <n v="1980"/>
    <n v="45"/>
    <n v="0"/>
    <n v="45"/>
    <n v="45"/>
    <n v="0.11999999999999744"/>
    <n v="45"/>
    <n v="0"/>
    <n v="0"/>
    <n v="0"/>
    <n v="0"/>
    <n v="0"/>
    <n v="0"/>
    <n v="0"/>
    <n v="0"/>
    <n v="0"/>
    <n v="0"/>
    <n v="0"/>
    <n v="0"/>
    <n v="0"/>
    <n v="44.88"/>
    <n v="0"/>
    <n v="0"/>
    <n v="0"/>
    <n v="0"/>
    <n v="0"/>
    <n v="44.88"/>
    <n v="44.88"/>
    <n v="0"/>
    <n v="44.88"/>
    <m/>
    <m/>
    <m/>
    <m/>
    <m/>
    <m/>
    <m/>
    <m/>
    <m/>
    <m/>
    <m/>
    <m/>
    <m/>
    <m/>
    <m/>
    <m/>
    <m/>
    <m/>
    <m/>
    <m/>
    <m/>
    <m/>
    <m/>
    <m/>
    <m/>
    <m/>
    <m/>
    <m/>
    <m/>
    <m/>
    <m/>
    <m/>
    <m/>
    <m/>
    <m/>
    <m/>
    <m/>
    <m/>
    <m/>
    <m/>
    <m/>
    <m/>
    <m/>
    <m/>
    <m/>
    <m/>
    <m/>
    <m/>
    <m/>
  </r>
  <r>
    <n v="742"/>
    <d v="2025-04-11T00:00:00"/>
    <s v="ZBTO"/>
    <n v="9518684484"/>
    <n v="1"/>
    <s v="9518684484-1"/>
    <s v="No Priority"/>
    <x v="1"/>
    <m/>
    <x v="1"/>
    <x v="11"/>
    <n v="2000"/>
    <m/>
    <x v="0"/>
    <m/>
    <m/>
    <s v="Tamil Nadu"/>
    <s v="South"/>
    <m/>
    <m/>
    <n v="938550"/>
    <x v="4"/>
    <n v="2420540"/>
    <s v="CRCA COIL TATXXD AH03 2.500X1250"/>
    <s v=""/>
    <m/>
    <m/>
    <m/>
    <m/>
    <s v="C01"/>
    <s v="TATXXD"/>
    <s v="AH03"/>
    <n v="2.5"/>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1T00:00:00"/>
    <s v="ZBTO"/>
    <n v="9518684484"/>
    <n v="2"/>
    <s v="9518684484-2"/>
    <s v="No Priority"/>
    <x v="1"/>
    <m/>
    <x v="1"/>
    <x v="1"/>
    <n v="2000"/>
    <m/>
    <x v="0"/>
    <m/>
    <m/>
    <s v="Tamil Nadu"/>
    <s v="South"/>
    <m/>
    <m/>
    <n v="938550"/>
    <x v="4"/>
    <n v="3931386"/>
    <s v="CR COIL TATXXD AU03 0.700X925"/>
    <s v=""/>
    <m/>
    <m/>
    <m/>
    <m/>
    <s v="C01"/>
    <s v="TATXXD"/>
    <s v="AU03"/>
    <n v="0.7"/>
    <n v="925"/>
    <n v="0"/>
    <n v="210"/>
    <n v="0"/>
    <n v="210"/>
    <n v="210"/>
    <n v="210"/>
    <n v="210"/>
    <n v="0"/>
    <n v="0"/>
    <n v="0"/>
    <n v="0"/>
    <n v="0"/>
    <n v="0"/>
    <n v="0"/>
    <n v="0"/>
    <n v="0"/>
    <n v="0"/>
    <n v="0"/>
    <n v="0"/>
    <n v="0"/>
    <n v="0"/>
    <n v="0"/>
    <n v="0"/>
    <n v="0"/>
    <n v="0"/>
    <n v="0"/>
    <n v="0"/>
    <n v="0"/>
    <n v="0"/>
    <n v="0"/>
    <m/>
    <m/>
    <m/>
    <m/>
    <m/>
    <m/>
    <m/>
    <m/>
    <m/>
    <m/>
    <m/>
    <m/>
    <m/>
    <m/>
    <m/>
    <m/>
    <m/>
    <m/>
    <m/>
    <m/>
    <m/>
    <m/>
    <m/>
    <m/>
    <m/>
    <m/>
    <m/>
    <m/>
    <m/>
    <m/>
    <m/>
    <m/>
    <m/>
    <m/>
    <m/>
    <m/>
    <m/>
    <m/>
    <m/>
    <m/>
    <m/>
    <m/>
    <m/>
    <m/>
    <m/>
    <m/>
    <m/>
    <m/>
    <m/>
  </r>
  <r>
    <n v="742"/>
    <d v="2025-04-11T00:00:00"/>
    <s v="ZBTO"/>
    <n v="9518684484"/>
    <n v="3"/>
    <s v="9518684484-3"/>
    <s v="No Priority"/>
    <x v="1"/>
    <m/>
    <x v="1"/>
    <x v="1"/>
    <n v="2000"/>
    <m/>
    <x v="0"/>
    <m/>
    <m/>
    <s v="Tamil Nadu"/>
    <s v="South"/>
    <m/>
    <m/>
    <n v="938550"/>
    <x v="4"/>
    <n v="2165170"/>
    <s v="CRCA COIL TATCRC TR15 0.400X900"/>
    <s v=""/>
    <m/>
    <m/>
    <m/>
    <m/>
    <s v="C01"/>
    <s v="TATCRC"/>
    <s v="TR15"/>
    <n v="0.4"/>
    <n v="900"/>
    <n v="0"/>
    <n v="63"/>
    <n v="0"/>
    <n v="63"/>
    <n v="63"/>
    <n v="63"/>
    <n v="63"/>
    <n v="0"/>
    <n v="0"/>
    <n v="0"/>
    <n v="0"/>
    <n v="0"/>
    <n v="0"/>
    <n v="0"/>
    <n v="0"/>
    <n v="0"/>
    <n v="0"/>
    <n v="0"/>
    <n v="0"/>
    <n v="0"/>
    <n v="0"/>
    <n v="0"/>
    <n v="0"/>
    <n v="0"/>
    <n v="0"/>
    <n v="0"/>
    <n v="0"/>
    <n v="0"/>
    <n v="0"/>
    <n v="0"/>
    <m/>
    <m/>
    <m/>
    <m/>
    <m/>
    <m/>
    <m/>
    <m/>
    <m/>
    <m/>
    <m/>
    <m/>
    <m/>
    <m/>
    <m/>
    <m/>
    <m/>
    <m/>
    <m/>
    <m/>
    <m/>
    <m/>
    <m/>
    <m/>
    <m/>
    <m/>
    <m/>
    <m/>
    <m/>
    <m/>
    <m/>
    <m/>
    <m/>
    <m/>
    <m/>
    <m/>
    <m/>
    <m/>
    <m/>
    <m/>
    <m/>
    <m/>
    <m/>
    <m/>
    <m/>
    <m/>
    <m/>
    <m/>
    <m/>
  </r>
  <r>
    <n v="742"/>
    <d v="2025-04-11T00:00:00"/>
    <s v="ZBTO"/>
    <n v="9518684484"/>
    <n v="4"/>
    <s v="9518684484-4"/>
    <s v="No Priority"/>
    <x v="1"/>
    <m/>
    <x v="1"/>
    <x v="1"/>
    <n v="2000"/>
    <m/>
    <x v="0"/>
    <m/>
    <m/>
    <s v="Tamil Nadu"/>
    <s v="South"/>
    <m/>
    <m/>
    <n v="938550"/>
    <x v="4"/>
    <n v="1804893"/>
    <s v="CRCA COIL-TATCRC-TR15-0.45X900"/>
    <s v=""/>
    <m/>
    <m/>
    <m/>
    <m/>
    <s v="C01"/>
    <s v="TATCRC"/>
    <s v="TR15"/>
    <n v="0.45"/>
    <n v="900"/>
    <n v="0"/>
    <n v="63"/>
    <n v="0"/>
    <n v="63"/>
    <n v="63"/>
    <n v="63"/>
    <n v="63"/>
    <n v="0"/>
    <n v="0"/>
    <n v="0"/>
    <n v="0"/>
    <n v="0"/>
    <n v="0"/>
    <n v="0"/>
    <n v="0"/>
    <n v="0"/>
    <n v="0"/>
    <n v="0"/>
    <n v="0"/>
    <n v="0"/>
    <n v="0"/>
    <n v="0"/>
    <n v="0"/>
    <n v="0"/>
    <n v="0"/>
    <n v="0"/>
    <n v="0"/>
    <n v="0"/>
    <n v="0"/>
    <n v="0"/>
    <m/>
    <m/>
    <m/>
    <m/>
    <m/>
    <m/>
    <m/>
    <m/>
    <m/>
    <m/>
    <m/>
    <m/>
    <m/>
    <m/>
    <m/>
    <m/>
    <m/>
    <m/>
    <m/>
    <m/>
    <m/>
    <m/>
    <m/>
    <m/>
    <m/>
    <m/>
    <m/>
    <m/>
    <m/>
    <m/>
    <m/>
    <m/>
    <m/>
    <m/>
    <m/>
    <m/>
    <m/>
    <m/>
    <m/>
    <m/>
    <m/>
    <m/>
    <m/>
    <m/>
    <m/>
    <m/>
    <m/>
    <m/>
    <m/>
  </r>
  <r>
    <n v="742"/>
    <d v="2025-04-11T00:00:00"/>
    <s v="ZBTO"/>
    <n v="9518684484"/>
    <n v="5"/>
    <s v="9518684484-5"/>
    <s v="No Priority"/>
    <x v="1"/>
    <m/>
    <x v="1"/>
    <x v="1"/>
    <n v="2000"/>
    <m/>
    <x v="0"/>
    <m/>
    <m/>
    <s v="Tamil Nadu"/>
    <s v="South"/>
    <m/>
    <m/>
    <n v="938550"/>
    <x v="4"/>
    <n v="1804896"/>
    <s v="CRCA COIL-TATCRC-TR15-0.45X1000"/>
    <s v=""/>
    <m/>
    <m/>
    <m/>
    <m/>
    <s v="C01"/>
    <s v="TATCRC"/>
    <s v="TR15"/>
    <n v="0.4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11T00:00:00"/>
    <s v="ZBTO"/>
    <n v="9518684484"/>
    <n v="6"/>
    <s v="9518684484-6"/>
    <s v="No Priority"/>
    <x v="1"/>
    <m/>
    <x v="1"/>
    <x v="1"/>
    <n v="2000"/>
    <m/>
    <x v="0"/>
    <m/>
    <m/>
    <s v="Tamil Nadu"/>
    <s v="South"/>
    <m/>
    <m/>
    <n v="938550"/>
    <x v="4"/>
    <n v="1155509"/>
    <s v="CRCA SHEET TATCRC TR15 0.600X1000X2000"/>
    <s v=""/>
    <m/>
    <m/>
    <m/>
    <m/>
    <s v="C06"/>
    <s v="TATCRC"/>
    <s v="TR15"/>
    <n v="0.6"/>
    <n v="1000"/>
    <n v="2000"/>
    <n v="51"/>
    <n v="0"/>
    <n v="51"/>
    <n v="51"/>
    <n v="51"/>
    <n v="51"/>
    <n v="0"/>
    <n v="0"/>
    <n v="0"/>
    <n v="0"/>
    <n v="0"/>
    <n v="0"/>
    <n v="0"/>
    <n v="0"/>
    <n v="0"/>
    <n v="0"/>
    <n v="0"/>
    <n v="0"/>
    <n v="0"/>
    <n v="0"/>
    <n v="0"/>
    <n v="0"/>
    <n v="0"/>
    <n v="0"/>
    <n v="0"/>
    <n v="0"/>
    <n v="0"/>
    <n v="0"/>
    <n v="0"/>
    <m/>
    <m/>
    <m/>
    <m/>
    <m/>
    <m/>
    <m/>
    <m/>
    <m/>
    <m/>
    <m/>
    <m/>
    <m/>
    <m/>
    <m/>
    <m/>
    <m/>
    <m/>
    <m/>
    <m/>
    <m/>
    <m/>
    <m/>
    <m/>
    <m/>
    <m/>
    <m/>
    <m/>
    <m/>
    <m/>
    <m/>
    <m/>
    <m/>
    <m/>
    <m/>
    <m/>
    <m/>
    <m/>
    <m/>
    <m/>
    <m/>
    <m/>
    <m/>
    <m/>
    <m/>
    <m/>
    <m/>
    <m/>
    <m/>
  </r>
  <r>
    <n v="742"/>
    <d v="2025-04-11T00:00:00"/>
    <s v="ZBTO"/>
    <n v="9518684484"/>
    <n v="7"/>
    <s v="9518684484-7"/>
    <s v="May'25"/>
    <x v="0"/>
    <m/>
    <x v="1"/>
    <x v="1"/>
    <n v="2000"/>
    <m/>
    <x v="1"/>
    <m/>
    <m/>
    <s v="Tamil Nadu"/>
    <s v="South"/>
    <m/>
    <m/>
    <n v="938550"/>
    <x v="4"/>
    <n v="322578"/>
    <s v="CRCA SHEET TATCRC TR15 .5X1250X2500"/>
    <s v=""/>
    <m/>
    <m/>
    <m/>
    <m/>
    <s v="C06"/>
    <s v="TATCRC"/>
    <s v="TR15"/>
    <n v="0.5"/>
    <n v="1250"/>
    <n v="0"/>
    <n v="51"/>
    <n v="0"/>
    <n v="51"/>
    <n v="51"/>
    <n v="-2.9699999999999989"/>
    <n v="51"/>
    <n v="0"/>
    <n v="0"/>
    <n v="0"/>
    <n v="0"/>
    <n v="0"/>
    <n v="0"/>
    <n v="0"/>
    <n v="0"/>
    <n v="0"/>
    <n v="0"/>
    <n v="0"/>
    <n v="0"/>
    <n v="0"/>
    <n v="53.97"/>
    <n v="0"/>
    <n v="0"/>
    <n v="0"/>
    <n v="0"/>
    <n v="0"/>
    <n v="53.97"/>
    <n v="53.97"/>
    <n v="0"/>
    <n v="53.97"/>
    <m/>
    <m/>
    <m/>
    <m/>
    <m/>
    <m/>
    <m/>
    <m/>
    <m/>
    <m/>
    <m/>
    <m/>
    <m/>
    <m/>
    <m/>
    <m/>
    <m/>
    <m/>
    <m/>
    <m/>
    <m/>
    <m/>
    <m/>
    <m/>
    <m/>
    <m/>
    <m/>
    <m/>
    <m/>
    <m/>
    <m/>
    <m/>
    <m/>
    <m/>
    <m/>
    <m/>
    <m/>
    <m/>
    <m/>
    <m/>
    <m/>
    <m/>
    <m/>
    <m/>
    <m/>
    <m/>
    <m/>
    <m/>
    <m/>
  </r>
  <r>
    <n v="742"/>
    <d v="2025-04-11T00:00:00"/>
    <s v="ZBTO"/>
    <n v="9518684484"/>
    <n v="8"/>
    <s v="9518684484-8"/>
    <s v="No Priority"/>
    <x v="0"/>
    <m/>
    <x v="1"/>
    <x v="1"/>
    <n v="2000"/>
    <m/>
    <x v="0"/>
    <m/>
    <m/>
    <s v="Tamil Nadu"/>
    <s v="South"/>
    <m/>
    <m/>
    <n v="938550"/>
    <x v="4"/>
    <n v="279229"/>
    <s v="CRSHEET TATXXD AU03 0.50X1250X2500"/>
    <s v=""/>
    <m/>
    <m/>
    <m/>
    <m/>
    <s v="C06"/>
    <s v="TATXXD"/>
    <s v="AU03"/>
    <n v="0.5"/>
    <n v="1250"/>
    <n v="0"/>
    <n v="51"/>
    <n v="0"/>
    <n v="51"/>
    <n v="51"/>
    <n v="51"/>
    <n v="51"/>
    <n v="0"/>
    <n v="0"/>
    <n v="0"/>
    <n v="0"/>
    <n v="0"/>
    <n v="0"/>
    <n v="0"/>
    <n v="0"/>
    <n v="0"/>
    <n v="0"/>
    <n v="0"/>
    <n v="0"/>
    <n v="0"/>
    <n v="0"/>
    <n v="0"/>
    <n v="0"/>
    <n v="0"/>
    <n v="0"/>
    <n v="0"/>
    <n v="0"/>
    <n v="0"/>
    <n v="0"/>
    <n v="0"/>
    <m/>
    <m/>
    <m/>
    <m/>
    <m/>
    <m/>
    <m/>
    <m/>
    <m/>
    <m/>
    <m/>
    <m/>
    <m/>
    <m/>
    <m/>
    <m/>
    <m/>
    <m/>
    <m/>
    <m/>
    <m/>
    <m/>
    <m/>
    <m/>
    <m/>
    <m/>
    <m/>
    <m/>
    <m/>
    <m/>
    <m/>
    <m/>
    <m/>
    <m/>
    <m/>
    <m/>
    <m/>
    <m/>
    <m/>
    <m/>
    <m/>
    <m/>
    <m/>
    <m/>
    <m/>
    <m/>
    <m/>
    <m/>
    <m/>
  </r>
  <r>
    <n v="742"/>
    <d v="2025-04-11T00:00:00"/>
    <s v="ZBTO"/>
    <n v="9518684484"/>
    <n v="9"/>
    <s v="9518684484-9"/>
    <s v="May'25"/>
    <x v="0"/>
    <s v="Yes"/>
    <x v="1"/>
    <x v="2"/>
    <n v="2000"/>
    <m/>
    <x v="1"/>
    <m/>
    <m/>
    <s v="Tamil Nadu"/>
    <s v="South"/>
    <m/>
    <m/>
    <n v="938550"/>
    <x v="4"/>
    <n v="3239536"/>
    <s v="CRCA SHEET TATCRC SR16 0.350X900X2500"/>
    <s v=""/>
    <m/>
    <m/>
    <m/>
    <m/>
    <s v="C06"/>
    <s v="TATCRC"/>
    <s v="SR16"/>
    <n v="0.35"/>
    <n v="900"/>
    <n v="2500"/>
    <n v="51"/>
    <n v="0"/>
    <n v="51"/>
    <n v="51"/>
    <n v="8.4200000000000017"/>
    <n v="51"/>
    <n v="0"/>
    <n v="0"/>
    <n v="0"/>
    <n v="0"/>
    <n v="0"/>
    <n v="0"/>
    <n v="0"/>
    <n v="0"/>
    <n v="0"/>
    <n v="0"/>
    <n v="0"/>
    <n v="0"/>
    <n v="0"/>
    <n v="21.2"/>
    <n v="21.38"/>
    <n v="0"/>
    <n v="0"/>
    <n v="0"/>
    <n v="0"/>
    <n v="42.58"/>
    <n v="42.58"/>
    <n v="0"/>
    <n v="42.58"/>
    <m/>
    <m/>
    <m/>
    <m/>
    <m/>
    <m/>
    <m/>
    <m/>
    <m/>
    <m/>
    <m/>
    <m/>
    <m/>
    <m/>
    <m/>
    <m/>
    <m/>
    <m/>
    <m/>
    <m/>
    <m/>
    <m/>
    <m/>
    <m/>
    <m/>
    <m/>
    <m/>
    <m/>
    <m/>
    <m/>
    <m/>
    <m/>
    <m/>
    <m/>
    <m/>
    <m/>
    <m/>
    <m/>
    <m/>
    <m/>
    <m/>
    <m/>
    <m/>
    <m/>
    <m/>
    <m/>
    <m/>
    <m/>
    <m/>
  </r>
  <r>
    <n v="742"/>
    <d v="2025-04-11T00:00:00"/>
    <s v="ZBTO"/>
    <n v="9518684484"/>
    <n v="11"/>
    <s v="9518684484-11"/>
    <s v="May'25"/>
    <x v="0"/>
    <s v="Yes"/>
    <x v="1"/>
    <x v="2"/>
    <n v="2000"/>
    <m/>
    <x v="1"/>
    <m/>
    <m/>
    <s v="Tamil Nadu"/>
    <s v="South"/>
    <m/>
    <m/>
    <n v="938550"/>
    <x v="4"/>
    <n v="3239552"/>
    <s v="CRCA SHEET TATCRC SR16 0.400X1000X1980"/>
    <s v=""/>
    <m/>
    <m/>
    <m/>
    <m/>
    <s v="C06"/>
    <s v="TATCRC"/>
    <s v="SR16"/>
    <n v="0.4"/>
    <n v="1000"/>
    <n v="1980"/>
    <n v="75"/>
    <n v="0"/>
    <n v="75"/>
    <n v="75"/>
    <n v="75"/>
    <n v="75"/>
    <n v="0"/>
    <n v="0"/>
    <n v="0"/>
    <n v="0"/>
    <n v="0"/>
    <n v="0"/>
    <n v="0"/>
    <n v="0"/>
    <n v="0"/>
    <n v="0"/>
    <n v="0"/>
    <n v="0"/>
    <n v="0"/>
    <n v="0"/>
    <n v="0"/>
    <n v="0"/>
    <n v="0"/>
    <n v="0"/>
    <n v="0"/>
    <n v="0"/>
    <n v="0"/>
    <n v="0"/>
    <n v="0"/>
    <m/>
    <m/>
    <m/>
    <m/>
    <m/>
    <m/>
    <m/>
    <m/>
    <m/>
    <m/>
    <m/>
    <m/>
    <m/>
    <m/>
    <m/>
    <m/>
    <m/>
    <m/>
    <m/>
    <m/>
    <m/>
    <m/>
    <m/>
    <m/>
    <m/>
    <m/>
    <m/>
    <m/>
    <m/>
    <m/>
    <m/>
    <m/>
    <m/>
    <m/>
    <m/>
    <m/>
    <m/>
    <m/>
    <m/>
    <m/>
    <m/>
    <m/>
    <m/>
    <m/>
    <m/>
    <m/>
    <m/>
    <m/>
    <m/>
  </r>
  <r>
    <n v="742"/>
    <d v="2025-04-11T00:00:00"/>
    <s v="ZBTO"/>
    <n v="9518684484"/>
    <n v="12"/>
    <s v="9518684484-12"/>
    <s v="May'25"/>
    <x v="0"/>
    <s v="Yes"/>
    <x v="1"/>
    <x v="2"/>
    <n v="2000"/>
    <m/>
    <x v="1"/>
    <m/>
    <m/>
    <s v="Tamil Nadu"/>
    <s v="South"/>
    <m/>
    <m/>
    <n v="938550"/>
    <x v="4"/>
    <n v="3239564"/>
    <s v="CRCA SHEET TATCRC SR16 0.450X1000X1980"/>
    <s v=""/>
    <m/>
    <m/>
    <m/>
    <m/>
    <s v="C06"/>
    <s v="TATCRC"/>
    <s v="SR16"/>
    <n v="0.45"/>
    <n v="1000"/>
    <n v="1980"/>
    <n v="60"/>
    <n v="0"/>
    <n v="60"/>
    <n v="60"/>
    <n v="37.870000000000005"/>
    <n v="60"/>
    <n v="0"/>
    <n v="0"/>
    <n v="0"/>
    <n v="0"/>
    <n v="0"/>
    <n v="0"/>
    <n v="0"/>
    <n v="0"/>
    <n v="0"/>
    <n v="0"/>
    <n v="0"/>
    <n v="0"/>
    <n v="0"/>
    <n v="0"/>
    <n v="22.13"/>
    <n v="0"/>
    <n v="0"/>
    <n v="0"/>
    <n v="0"/>
    <n v="22.13"/>
    <n v="22.13"/>
    <n v="0"/>
    <n v="22.13"/>
    <m/>
    <m/>
    <m/>
    <m/>
    <m/>
    <m/>
    <m/>
    <m/>
    <m/>
    <m/>
    <m/>
    <m/>
    <m/>
    <m/>
    <m/>
    <m/>
    <m/>
    <m/>
    <m/>
    <m/>
    <m/>
    <m/>
    <m/>
    <m/>
    <m/>
    <m/>
    <m/>
    <m/>
    <m/>
    <m/>
    <m/>
    <m/>
    <m/>
    <m/>
    <m/>
    <m/>
    <m/>
    <m/>
    <m/>
    <m/>
    <m/>
    <m/>
    <m/>
    <m/>
    <m/>
    <m/>
    <m/>
    <m/>
    <m/>
  </r>
  <r>
    <n v="742"/>
    <d v="2025-04-11T00:00:00"/>
    <s v="ZBTO"/>
    <n v="9518684484"/>
    <n v="13"/>
    <s v="9518684484-13"/>
    <s v="May'25"/>
    <x v="0"/>
    <m/>
    <x v="1"/>
    <x v="2"/>
    <n v="2000"/>
    <m/>
    <x v="1"/>
    <m/>
    <m/>
    <s v="Tamil Nadu"/>
    <s v="South"/>
    <m/>
    <m/>
    <n v="938550"/>
    <x v="4"/>
    <n v="3533339"/>
    <s v="CRCA SHEET TATCRC SR16 0.450X1000X2000"/>
    <s v=""/>
    <m/>
    <m/>
    <m/>
    <m/>
    <s v="C06"/>
    <s v="TATCRC"/>
    <s v="SR16"/>
    <n v="0.45"/>
    <n v="1000"/>
    <n v="2000"/>
    <n v="24"/>
    <n v="0"/>
    <n v="24"/>
    <n v="24"/>
    <n v="1"/>
    <n v="24"/>
    <n v="0"/>
    <n v="0"/>
    <n v="0"/>
    <n v="23"/>
    <n v="0"/>
    <n v="0"/>
    <n v="0"/>
    <n v="0"/>
    <n v="0"/>
    <n v="0"/>
    <n v="0"/>
    <n v="0"/>
    <n v="0"/>
    <n v="0"/>
    <n v="0"/>
    <n v="0"/>
    <n v="0"/>
    <n v="0"/>
    <n v="0"/>
    <n v="23"/>
    <n v="23"/>
    <n v="0"/>
    <n v="23"/>
    <m/>
    <m/>
    <m/>
    <m/>
    <m/>
    <m/>
    <m/>
    <m/>
    <m/>
    <m/>
    <m/>
    <m/>
    <m/>
    <m/>
    <m/>
    <m/>
    <m/>
    <m/>
    <m/>
    <m/>
    <m/>
    <m/>
    <m/>
    <m/>
    <m/>
    <m/>
    <m/>
    <m/>
    <m/>
    <m/>
    <m/>
    <m/>
    <m/>
    <m/>
    <m/>
    <m/>
    <m/>
    <m/>
    <m/>
    <m/>
    <m/>
    <m/>
    <m/>
    <m/>
    <m/>
    <m/>
    <m/>
    <m/>
    <m/>
  </r>
  <r>
    <n v="742"/>
    <d v="2025-04-11T00:00:00"/>
    <s v="ZBTO"/>
    <n v="9518684484"/>
    <n v="14"/>
    <s v="9518684484-14"/>
    <s v="May'25"/>
    <x v="0"/>
    <s v="Yes"/>
    <x v="1"/>
    <x v="2"/>
    <n v="2000"/>
    <m/>
    <x v="1"/>
    <m/>
    <m/>
    <s v="Tamil Nadu"/>
    <s v="South"/>
    <m/>
    <m/>
    <n v="938550"/>
    <x v="4"/>
    <n v="3239539"/>
    <s v="CRCA SHEET TATCRC SR16 0.350X1000X1980"/>
    <s v=""/>
    <m/>
    <m/>
    <m/>
    <m/>
    <s v="C06"/>
    <s v="TATCRC"/>
    <s v="SR16"/>
    <n v="0.35"/>
    <n v="1000"/>
    <n v="1980"/>
    <n v="51"/>
    <n v="0"/>
    <n v="51"/>
    <n v="51"/>
    <n v="51"/>
    <n v="51"/>
    <n v="0"/>
    <n v="0"/>
    <n v="0"/>
    <n v="0"/>
    <n v="0"/>
    <n v="0"/>
    <n v="0"/>
    <n v="0"/>
    <n v="0"/>
    <n v="0"/>
    <n v="0"/>
    <n v="0"/>
    <n v="0"/>
    <n v="0"/>
    <n v="0"/>
    <n v="0"/>
    <n v="0"/>
    <n v="0"/>
    <n v="0"/>
    <n v="0"/>
    <n v="0"/>
    <n v="0"/>
    <n v="0"/>
    <m/>
    <m/>
    <m/>
    <m/>
    <m/>
    <m/>
    <m/>
    <m/>
    <m/>
    <m/>
    <m/>
    <m/>
    <m/>
    <m/>
    <m/>
    <m/>
    <m/>
    <m/>
    <m/>
    <m/>
    <m/>
    <m/>
    <m/>
    <m/>
    <m/>
    <m/>
    <m/>
    <m/>
    <m/>
    <m/>
    <m/>
    <m/>
    <m/>
    <m/>
    <m/>
    <m/>
    <m/>
    <m/>
    <m/>
    <m/>
    <m/>
    <m/>
    <m/>
    <m/>
    <m/>
    <m/>
    <m/>
    <m/>
    <m/>
  </r>
  <r>
    <n v="742"/>
    <d v="2025-04-11T00:00:00"/>
    <s v="ZBTO"/>
    <n v="9518684957"/>
    <n v="1"/>
    <s v="9518684957-1"/>
    <s v="No Priority"/>
    <x v="1"/>
    <m/>
    <x v="1"/>
    <x v="1"/>
    <n v="2000"/>
    <m/>
    <x v="0"/>
    <m/>
    <m/>
    <s v="Tamil Nadu"/>
    <s v="South"/>
    <m/>
    <m/>
    <n v="938550"/>
    <x v="4"/>
    <n v="2165172"/>
    <s v="CRCA COIL TATCRC TR15 0.700X1000"/>
    <s v=""/>
    <m/>
    <m/>
    <m/>
    <m/>
    <s v="C01"/>
    <s v="TATCRC"/>
    <s v="TR15"/>
    <n v="0.7"/>
    <n v="1000"/>
    <n v="0"/>
    <n v="115"/>
    <n v="0"/>
    <n v="115"/>
    <n v="115"/>
    <n v="115"/>
    <n v="115"/>
    <n v="0"/>
    <n v="0"/>
    <n v="0"/>
    <n v="0"/>
    <n v="0"/>
    <n v="0"/>
    <n v="0"/>
    <n v="0"/>
    <n v="0"/>
    <n v="0"/>
    <n v="0"/>
    <n v="0"/>
    <n v="0"/>
    <n v="0"/>
    <n v="0"/>
    <n v="0"/>
    <n v="0"/>
    <n v="0"/>
    <n v="0"/>
    <n v="0"/>
    <n v="0"/>
    <n v="0"/>
    <n v="0"/>
    <m/>
    <m/>
    <m/>
    <m/>
    <m/>
    <m/>
    <m/>
    <m/>
    <m/>
    <m/>
    <m/>
    <m/>
    <m/>
    <m/>
    <m/>
    <m/>
    <m/>
    <m/>
    <m/>
    <m/>
    <m/>
    <m/>
    <m/>
    <m/>
    <m/>
    <m/>
    <m/>
    <m/>
    <m/>
    <m/>
    <m/>
    <m/>
    <m/>
    <m/>
    <m/>
    <m/>
    <m/>
    <m/>
    <m/>
    <m/>
    <m/>
    <m/>
    <m/>
    <m/>
    <m/>
    <m/>
    <m/>
    <m/>
    <m/>
  </r>
  <r>
    <n v="742"/>
    <d v="2025-04-11T00:00:00"/>
    <s v="ZBTO"/>
    <n v="9518684957"/>
    <n v="2"/>
    <s v="9518684957-2"/>
    <s v="No Priority"/>
    <x v="1"/>
    <m/>
    <x v="1"/>
    <x v="1"/>
    <n v="2000"/>
    <m/>
    <x v="0"/>
    <m/>
    <m/>
    <s v="Tamil Nadu"/>
    <s v="South"/>
    <m/>
    <m/>
    <n v="938550"/>
    <x v="4"/>
    <n v="1801159"/>
    <s v="CRCA COIL-TATXXD-AU03-0.5X1000"/>
    <s v=""/>
    <m/>
    <m/>
    <m/>
    <m/>
    <s v="C01"/>
    <s v="TATXXD"/>
    <s v="AU03"/>
    <n v="0.5"/>
    <n v="1000"/>
    <n v="0"/>
    <n v="69"/>
    <n v="0"/>
    <n v="69"/>
    <n v="69"/>
    <n v="69"/>
    <n v="69"/>
    <n v="0"/>
    <n v="0"/>
    <n v="0"/>
    <n v="0"/>
    <n v="0"/>
    <n v="0"/>
    <n v="0"/>
    <n v="0"/>
    <n v="0"/>
    <n v="0"/>
    <n v="0"/>
    <n v="0"/>
    <n v="0"/>
    <n v="0"/>
    <n v="0"/>
    <n v="0"/>
    <n v="0"/>
    <n v="0"/>
    <n v="0"/>
    <n v="0"/>
    <n v="0"/>
    <n v="0"/>
    <n v="0"/>
    <m/>
    <m/>
    <m/>
    <m/>
    <m/>
    <m/>
    <m/>
    <m/>
    <m/>
    <m/>
    <m/>
    <m/>
    <m/>
    <m/>
    <m/>
    <m/>
    <m/>
    <m/>
    <m/>
    <m/>
    <m/>
    <m/>
    <m/>
    <m/>
    <m/>
    <m/>
    <m/>
    <m/>
    <m/>
    <m/>
    <m/>
    <m/>
    <m/>
    <m/>
    <m/>
    <m/>
    <m/>
    <m/>
    <m/>
    <m/>
    <m/>
    <m/>
    <m/>
    <m/>
    <m/>
    <m/>
    <m/>
    <m/>
    <m/>
  </r>
  <r>
    <n v="742"/>
    <d v="2025-04-11T00:00:00"/>
    <s v="ZBTO"/>
    <n v="9518684957"/>
    <n v="3"/>
    <s v="9518684957-3"/>
    <s v="No Priority"/>
    <x v="1"/>
    <m/>
    <x v="1"/>
    <x v="1"/>
    <n v="2000"/>
    <m/>
    <x v="0"/>
    <m/>
    <m/>
    <s v="Tamil Nadu"/>
    <s v="South"/>
    <m/>
    <m/>
    <n v="938550"/>
    <x v="4"/>
    <n v="1804905"/>
    <s v="CRCA COIL-TATCRC-TR15-0.5X1000"/>
    <s v=""/>
    <m/>
    <m/>
    <m/>
    <m/>
    <s v="C01"/>
    <s v="TATCRC"/>
    <s v="TR15"/>
    <n v="0.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11T00:00:00"/>
    <s v="ZBTO"/>
    <n v="9518684957"/>
    <n v="4"/>
    <s v="9518684957-4"/>
    <s v="No Priority"/>
    <x v="1"/>
    <m/>
    <x v="1"/>
    <x v="1"/>
    <n v="2000"/>
    <m/>
    <x v="0"/>
    <m/>
    <m/>
    <s v="Tamil Nadu"/>
    <s v="South"/>
    <m/>
    <m/>
    <n v="938550"/>
    <x v="4"/>
    <n v="2378009"/>
    <s v="CRCA COIL TATXXD AU03 0.700X1000"/>
    <s v=""/>
    <m/>
    <m/>
    <m/>
    <m/>
    <s v="C01"/>
    <s v="TATXXD"/>
    <s v="AU03"/>
    <n v="0.7"/>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02T00:00:00"/>
    <s v="ZBTO"/>
    <n v="9518665177"/>
    <n v="1"/>
    <s v="9518665177-1"/>
    <s v="No Priority"/>
    <x v="1"/>
    <m/>
    <x v="1"/>
    <x v="1"/>
    <n v="2000"/>
    <m/>
    <x v="0"/>
    <m/>
    <m/>
    <s v="Kerala"/>
    <s v="South"/>
    <m/>
    <m/>
    <n v="116650"/>
    <x v="109"/>
    <n v="1804905"/>
    <s v="CRCA COIL-TATCRC-TR15-0.5X1000"/>
    <s v=""/>
    <m/>
    <m/>
    <m/>
    <m/>
    <s v="C01"/>
    <s v="TATCRC"/>
    <s v="TR15"/>
    <n v="0.5"/>
    <n v="1000"/>
    <n v="0"/>
    <n v="23"/>
    <n v="0"/>
    <n v="23"/>
    <n v="23"/>
    <n v="23"/>
    <n v="23"/>
    <n v="0"/>
    <n v="0"/>
    <n v="0"/>
    <n v="0"/>
    <n v="0"/>
    <n v="0"/>
    <n v="0"/>
    <n v="0"/>
    <n v="0"/>
    <n v="0"/>
    <n v="0"/>
    <n v="0"/>
    <n v="0"/>
    <n v="0"/>
    <n v="0"/>
    <n v="0"/>
    <n v="0"/>
    <n v="0"/>
    <n v="0"/>
    <n v="0"/>
    <n v="0"/>
    <n v="0"/>
    <n v="0"/>
    <m/>
    <m/>
    <m/>
    <m/>
    <m/>
    <m/>
    <m/>
    <m/>
    <m/>
    <m/>
    <m/>
    <m/>
    <m/>
    <m/>
    <m/>
    <m/>
    <m/>
    <m/>
    <m/>
    <m/>
    <m/>
    <m/>
    <m/>
    <m/>
    <m/>
    <m/>
    <m/>
    <m/>
    <m/>
    <m/>
    <m/>
    <m/>
    <m/>
    <m/>
    <m/>
    <m/>
    <m/>
    <m/>
    <m/>
    <m/>
    <m/>
    <m/>
    <m/>
    <m/>
    <m/>
    <m/>
    <m/>
    <m/>
    <m/>
  </r>
  <r>
    <n v="742"/>
    <d v="2025-04-02T00:00:00"/>
    <s v="ZBTO"/>
    <n v="9518665177"/>
    <n v="2"/>
    <s v="9518665177-2"/>
    <s v="No Priority"/>
    <x v="1"/>
    <m/>
    <x v="1"/>
    <x v="1"/>
    <n v="2000"/>
    <m/>
    <x v="0"/>
    <m/>
    <m/>
    <s v="Kerala"/>
    <s v="South"/>
    <m/>
    <m/>
    <n v="116650"/>
    <x v="109"/>
    <n v="1804914"/>
    <s v="CRCA COIL TATCRC TR15 0.6X1000"/>
    <s v=""/>
    <m/>
    <m/>
    <m/>
    <m/>
    <s v="C01"/>
    <s v="TATCRC"/>
    <s v="TR15"/>
    <n v="0.6"/>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02T00:00:00"/>
    <s v="ZBTO"/>
    <n v="9518665177"/>
    <n v="3"/>
    <s v="9518665177-3"/>
    <s v="No Priority"/>
    <x v="1"/>
    <m/>
    <x v="1"/>
    <x v="1"/>
    <n v="2000"/>
    <m/>
    <x v="0"/>
    <m/>
    <m/>
    <s v="Kerala"/>
    <s v="South"/>
    <m/>
    <m/>
    <n v="116650"/>
    <x v="109"/>
    <n v="2165172"/>
    <s v="CRCA COIL TATCRC TR15 0.700X1000"/>
    <s v=""/>
    <m/>
    <m/>
    <m/>
    <m/>
    <s v="C01"/>
    <s v="TATCRC"/>
    <s v="TR15"/>
    <n v="0.7"/>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02T00:00:00"/>
    <s v="ZBTO"/>
    <n v="9518665177"/>
    <n v="4"/>
    <s v="9518665177-4"/>
    <s v="No Priority"/>
    <x v="1"/>
    <m/>
    <x v="1"/>
    <x v="1"/>
    <n v="2000"/>
    <m/>
    <x v="0"/>
    <m/>
    <m/>
    <s v="Kerala"/>
    <s v="South"/>
    <m/>
    <m/>
    <n v="116650"/>
    <x v="109"/>
    <n v="1804927"/>
    <s v="CRCA COIL-TATCRC-TR15-0.8X1000"/>
    <s v=""/>
    <m/>
    <m/>
    <m/>
    <m/>
    <s v="C01"/>
    <s v="TATCRC"/>
    <s v="TR15"/>
    <n v="0.8"/>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02T00:00:00"/>
    <s v="ZBTO"/>
    <n v="9518665177"/>
    <n v="5"/>
    <s v="9518665177-5"/>
    <s v="No Priority"/>
    <x v="1"/>
    <m/>
    <x v="1"/>
    <x v="1"/>
    <n v="2000"/>
    <m/>
    <x v="0"/>
    <m/>
    <m/>
    <s v="Kerala"/>
    <s v="South"/>
    <m/>
    <m/>
    <n v="116650"/>
    <x v="109"/>
    <n v="2390329"/>
    <s v="CRCA COIL TATXXD AU03 0.900X1000"/>
    <s v=""/>
    <m/>
    <m/>
    <m/>
    <m/>
    <s v="C01"/>
    <s v="TATXXD"/>
    <s v="AU03"/>
    <n v="0.9"/>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02T00:00:00"/>
    <s v="ZBTO"/>
    <n v="9518665177"/>
    <n v="8"/>
    <s v="9518665177-8"/>
    <s v="No Priority"/>
    <x v="0"/>
    <m/>
    <x v="1"/>
    <x v="1"/>
    <n v="2000"/>
    <m/>
    <x v="0"/>
    <m/>
    <m/>
    <s v="Kerala"/>
    <s v="South"/>
    <m/>
    <m/>
    <n v="116650"/>
    <x v="109"/>
    <n v="1804826"/>
    <s v="CRCA COIL-TATXXD-AU03-0.9X1250"/>
    <s v=""/>
    <m/>
    <m/>
    <m/>
    <m/>
    <s v="C01"/>
    <s v="TATXXD"/>
    <s v="AU03"/>
    <n v="0.9"/>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2T00:00:00"/>
    <s v="ZBTO"/>
    <n v="9518665177"/>
    <n v="10"/>
    <s v="9518665177-10"/>
    <s v="No Priority"/>
    <x v="1"/>
    <m/>
    <x v="1"/>
    <x v="1"/>
    <n v="2000"/>
    <m/>
    <x v="0"/>
    <m/>
    <m/>
    <s v="Kerala"/>
    <s v="South"/>
    <m/>
    <m/>
    <n v="116650"/>
    <x v="109"/>
    <n v="1804870"/>
    <s v="CRCA COIL-TATXXD-AU03-2X1000"/>
    <s v=""/>
    <m/>
    <m/>
    <m/>
    <m/>
    <s v="C01"/>
    <s v="TATXXD"/>
    <s v="AU03"/>
    <n v="2"/>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02T00:00:00"/>
    <s v="ZBTO"/>
    <n v="9518665177"/>
    <n v="12"/>
    <s v="9518665177-12"/>
    <s v="No Priority"/>
    <x v="1"/>
    <m/>
    <x v="1"/>
    <x v="2"/>
    <n v="2000"/>
    <m/>
    <x v="0"/>
    <m/>
    <m/>
    <s v="Kerala"/>
    <s v="South"/>
    <m/>
    <m/>
    <n v="116650"/>
    <x v="109"/>
    <n v="3239538"/>
    <s v="CRCA SHEET TATCRC SR16 0.350X1000X1910"/>
    <s v=""/>
    <m/>
    <m/>
    <m/>
    <m/>
    <s v="C06"/>
    <s v="TATCRC"/>
    <s v="SR16"/>
    <n v="0.35"/>
    <n v="1000"/>
    <n v="1910"/>
    <n v="27"/>
    <n v="0"/>
    <n v="27"/>
    <n v="27"/>
    <n v="27"/>
    <n v="27"/>
    <n v="0"/>
    <n v="0"/>
    <n v="0"/>
    <n v="0"/>
    <n v="0"/>
    <n v="0"/>
    <n v="0"/>
    <n v="0"/>
    <n v="0"/>
    <n v="0"/>
    <n v="0"/>
    <n v="0"/>
    <n v="0"/>
    <n v="0"/>
    <n v="0"/>
    <n v="0"/>
    <n v="0"/>
    <n v="0"/>
    <n v="0"/>
    <n v="0"/>
    <n v="0"/>
    <n v="0"/>
    <n v="0"/>
    <m/>
    <m/>
    <m/>
    <m/>
    <m/>
    <m/>
    <m/>
    <m/>
    <m/>
    <m/>
    <m/>
    <m/>
    <m/>
    <m/>
    <m/>
    <m/>
    <m/>
    <m/>
    <m/>
    <m/>
    <m/>
    <m/>
    <m/>
    <m/>
    <m/>
    <m/>
    <m/>
    <m/>
    <m/>
    <m/>
    <m/>
    <m/>
    <m/>
    <m/>
    <m/>
    <m/>
    <m/>
    <m/>
    <m/>
    <m/>
    <m/>
    <m/>
    <m/>
    <m/>
    <m/>
    <m/>
    <m/>
    <m/>
    <m/>
  </r>
  <r>
    <n v="742"/>
    <d v="2025-04-02T00:00:00"/>
    <s v="ZBTO"/>
    <n v="9518665177"/>
    <n v="14"/>
    <s v="9518665177-14"/>
    <s v="No Priority"/>
    <x v="1"/>
    <m/>
    <x v="1"/>
    <x v="2"/>
    <n v="2000"/>
    <m/>
    <x v="0"/>
    <m/>
    <m/>
    <s v="Kerala"/>
    <s v="South"/>
    <m/>
    <m/>
    <n v="116650"/>
    <x v="109"/>
    <n v="3239551"/>
    <s v="CRCA SHEET TATCRC SR16 0.400X1000X1910"/>
    <s v=""/>
    <m/>
    <m/>
    <m/>
    <m/>
    <s v="C06"/>
    <s v="TATCRC"/>
    <s v="SR16"/>
    <n v="0.4"/>
    <n v="1000"/>
    <n v="1910"/>
    <n v="21"/>
    <n v="0"/>
    <n v="21"/>
    <n v="21"/>
    <n v="21"/>
    <n v="21"/>
    <n v="0"/>
    <n v="0"/>
    <n v="0"/>
    <n v="0"/>
    <n v="0"/>
    <n v="0"/>
    <n v="0"/>
    <n v="0"/>
    <n v="0"/>
    <n v="0"/>
    <n v="0"/>
    <n v="0"/>
    <n v="0"/>
    <n v="0"/>
    <n v="0"/>
    <n v="0"/>
    <n v="0"/>
    <n v="0"/>
    <n v="0"/>
    <n v="0"/>
    <n v="0"/>
    <n v="0"/>
    <n v="0"/>
    <m/>
    <m/>
    <m/>
    <m/>
    <m/>
    <m/>
    <m/>
    <m/>
    <m/>
    <m/>
    <m/>
    <m/>
    <m/>
    <m/>
    <m/>
    <m/>
    <m/>
    <m/>
    <m/>
    <m/>
    <m/>
    <m/>
    <m/>
    <m/>
    <m/>
    <m/>
    <m/>
    <m/>
    <m/>
    <m/>
    <m/>
    <m/>
    <m/>
    <m/>
    <m/>
    <m/>
    <m/>
    <m/>
    <m/>
    <m/>
    <m/>
    <m/>
    <m/>
    <m/>
    <m/>
    <m/>
    <m/>
    <m/>
    <m/>
  </r>
  <r>
    <n v="742"/>
    <d v="2025-04-09T00:00:00"/>
    <s v="ZBTO"/>
    <n v="9518679420"/>
    <n v="1"/>
    <s v="9518679420-1"/>
    <s v="No Priority"/>
    <x v="1"/>
    <m/>
    <x v="1"/>
    <x v="1"/>
    <n v="2000"/>
    <m/>
    <x v="0"/>
    <m/>
    <m/>
    <s v="Punjab"/>
    <s v="North"/>
    <m/>
    <m/>
    <n v="819097"/>
    <x v="1"/>
    <n v="1804908"/>
    <s v="CRCA COIL TATCRC TR15 0.5X1250"/>
    <s v=""/>
    <m/>
    <m/>
    <m/>
    <m/>
    <s v="C01"/>
    <s v="TATCRC"/>
    <s v="TR15"/>
    <n v="0.5"/>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3-16T00:00:00"/>
    <s v="ZBTO"/>
    <n v="9518604323"/>
    <n v="1"/>
    <s v="9518604323-1"/>
    <s v="May'25"/>
    <x v="0"/>
    <s v="Yes"/>
    <x v="1"/>
    <x v="2"/>
    <n v="2000"/>
    <m/>
    <x v="1"/>
    <m/>
    <m/>
    <s v="Orissa"/>
    <s v="East"/>
    <m/>
    <m/>
    <n v="117061"/>
    <x v="19"/>
    <n v="3239536"/>
    <s v="CRCA SHEET TATCRC SR16 0.350X900X2500"/>
    <s v=""/>
    <m/>
    <m/>
    <m/>
    <m/>
    <s v="C06"/>
    <s v="TATCRC"/>
    <s v="SR16"/>
    <n v="0.35"/>
    <n v="900"/>
    <n v="2500"/>
    <n v="21"/>
    <n v="0"/>
    <n v="21"/>
    <n v="21"/>
    <n v="-0.12000000000000099"/>
    <n v="21"/>
    <n v="0"/>
    <n v="0"/>
    <n v="0"/>
    <n v="0"/>
    <n v="0"/>
    <n v="0"/>
    <n v="0"/>
    <n v="0"/>
    <n v="0"/>
    <n v="0"/>
    <n v="0"/>
    <n v="0"/>
    <n v="0"/>
    <n v="0"/>
    <n v="21.12"/>
    <n v="0"/>
    <n v="0"/>
    <n v="0"/>
    <n v="0"/>
    <n v="21.12"/>
    <n v="21.12"/>
    <n v="0"/>
    <n v="21.12"/>
    <m/>
    <m/>
    <m/>
    <m/>
    <m/>
    <m/>
    <m/>
    <m/>
    <m/>
    <m/>
    <m/>
    <m/>
    <m/>
    <m/>
    <m/>
    <m/>
    <m/>
    <m/>
    <m/>
    <m/>
    <m/>
    <m/>
    <m/>
    <m/>
    <m/>
    <m/>
    <m/>
    <m/>
    <m/>
    <m/>
    <m/>
    <m/>
    <m/>
    <m/>
    <m/>
    <m/>
    <m/>
    <m/>
    <m/>
    <m/>
    <m/>
    <m/>
    <m/>
    <m/>
    <m/>
    <m/>
    <m/>
    <m/>
    <m/>
  </r>
  <r>
    <n v="742"/>
    <d v="2025-03-16T00:00:00"/>
    <s v="ZBTO"/>
    <n v="9518604323"/>
    <n v="2"/>
    <s v="9518604323-2"/>
    <s v="No Priority"/>
    <x v="1"/>
    <s v="Yes"/>
    <x v="1"/>
    <x v="2"/>
    <n v="2000"/>
    <m/>
    <x v="0"/>
    <m/>
    <m/>
    <s v="Orissa"/>
    <s v="East"/>
    <m/>
    <m/>
    <n v="117061"/>
    <x v="19"/>
    <n v="3239542"/>
    <s v="CRCA SHEET TATCRC SR16 0.350X1000X2500"/>
    <s v=""/>
    <m/>
    <m/>
    <m/>
    <m/>
    <s v="C06"/>
    <s v="TATCRC"/>
    <s v="SR16"/>
    <n v="0.35"/>
    <n v="1000"/>
    <n v="2500"/>
    <n v="75"/>
    <n v="0"/>
    <n v="75"/>
    <n v="75"/>
    <n v="75"/>
    <n v="75"/>
    <n v="0"/>
    <n v="0"/>
    <n v="0"/>
    <n v="0"/>
    <n v="0"/>
    <n v="0"/>
    <n v="0"/>
    <n v="0"/>
    <n v="0"/>
    <n v="0"/>
    <n v="0"/>
    <n v="0"/>
    <n v="0"/>
    <n v="0"/>
    <n v="0"/>
    <n v="0"/>
    <n v="0"/>
    <n v="0"/>
    <n v="0"/>
    <n v="0"/>
    <n v="0"/>
    <n v="0"/>
    <n v="0"/>
    <m/>
    <m/>
    <m/>
    <m/>
    <m/>
    <m/>
    <m/>
    <m/>
    <m/>
    <m/>
    <m/>
    <m/>
    <m/>
    <m/>
    <m/>
    <m/>
    <m/>
    <m/>
    <m/>
    <m/>
    <m/>
    <m/>
    <m/>
    <m/>
    <m/>
    <m/>
    <m/>
    <m/>
    <m/>
    <m/>
    <m/>
    <m/>
    <m/>
    <m/>
    <m/>
    <m/>
    <m/>
    <m/>
    <m/>
    <m/>
    <m/>
    <m/>
    <m/>
    <m/>
    <m/>
    <m/>
    <m/>
    <m/>
    <m/>
  </r>
  <r>
    <n v="742"/>
    <d v="2025-03-16T00:00:00"/>
    <s v="ZBTO"/>
    <n v="9518604323"/>
    <n v="3"/>
    <s v="9518604323-3"/>
    <s v="May'25"/>
    <x v="0"/>
    <s v="Yes"/>
    <x v="1"/>
    <x v="2"/>
    <n v="2000"/>
    <m/>
    <x v="1"/>
    <m/>
    <m/>
    <s v="Orissa"/>
    <s v="East"/>
    <m/>
    <m/>
    <n v="117061"/>
    <x v="19"/>
    <n v="3239554"/>
    <s v="CRCA SHEET TATCRC SR16 0.400X1000X2500"/>
    <s v=""/>
    <m/>
    <m/>
    <m/>
    <m/>
    <s v="C06"/>
    <s v="TATCRC"/>
    <s v="SR16"/>
    <n v="0.4"/>
    <n v="1000"/>
    <n v="2500"/>
    <n v="75"/>
    <n v="0"/>
    <n v="75"/>
    <n v="75"/>
    <n v="75"/>
    <n v="75"/>
    <n v="0"/>
    <n v="0"/>
    <n v="0"/>
    <n v="0"/>
    <n v="0"/>
    <n v="0"/>
    <n v="0"/>
    <n v="0"/>
    <n v="0"/>
    <n v="0"/>
    <n v="0"/>
    <n v="0"/>
    <n v="0"/>
    <n v="0"/>
    <n v="0"/>
    <n v="0"/>
    <n v="0"/>
    <n v="0"/>
    <n v="0"/>
    <n v="0"/>
    <n v="0"/>
    <n v="0"/>
    <n v="0"/>
    <m/>
    <m/>
    <m/>
    <m/>
    <m/>
    <m/>
    <m/>
    <m/>
    <m/>
    <m/>
    <m/>
    <m/>
    <m/>
    <m/>
    <m/>
    <m/>
    <m/>
    <m/>
    <m/>
    <m/>
    <m/>
    <m/>
    <m/>
    <m/>
    <m/>
    <m/>
    <m/>
    <m/>
    <m/>
    <m/>
    <m/>
    <m/>
    <m/>
    <m/>
    <m/>
    <m/>
    <m/>
    <m/>
    <m/>
    <m/>
    <m/>
    <m/>
    <m/>
    <m/>
    <m/>
    <m/>
    <m/>
    <m/>
    <m/>
  </r>
  <r>
    <n v="743"/>
    <d v="2025-03-17T00:00:00"/>
    <s v="ZBTO"/>
    <n v="9518605386"/>
    <n v="2"/>
    <s v="9518605386-2"/>
    <s v="No Priority"/>
    <x v="1"/>
    <s v="Yes"/>
    <x v="3"/>
    <x v="9"/>
    <n v="2000"/>
    <m/>
    <x v="0"/>
    <m/>
    <m/>
    <s v="Orissa"/>
    <s v="East"/>
    <m/>
    <m/>
    <n v="117061"/>
    <x v="19"/>
    <n v="3484325"/>
    <s v="GP SH SOFT TATXGP GK09 0.350X900X2500"/>
    <n v="80"/>
    <m/>
    <m/>
    <m/>
    <m/>
    <s v="B11"/>
    <s v="TATXGP"/>
    <s v="GK09"/>
    <n v="0.35"/>
    <n v="900"/>
    <n v="0"/>
    <n v="80"/>
    <n v="0"/>
    <n v="80"/>
    <n v="80"/>
    <n v="80"/>
    <n v="80"/>
    <n v="0"/>
    <n v="0"/>
    <n v="0"/>
    <n v="0"/>
    <n v="0"/>
    <n v="0"/>
    <n v="0"/>
    <n v="0"/>
    <n v="0"/>
    <n v="0"/>
    <n v="0"/>
    <n v="0"/>
    <n v="0"/>
    <n v="0"/>
    <n v="0"/>
    <n v="0"/>
    <n v="0"/>
    <n v="0"/>
    <n v="0"/>
    <n v="0"/>
    <n v="0"/>
    <n v="0"/>
    <n v="0"/>
    <m/>
    <m/>
    <m/>
    <m/>
    <m/>
    <m/>
    <m/>
    <m/>
    <m/>
    <m/>
    <m/>
    <m/>
    <m/>
    <m/>
    <m/>
    <m/>
    <m/>
    <m/>
    <m/>
    <m/>
    <m/>
    <m/>
    <m/>
    <m/>
    <m/>
    <m/>
    <m/>
    <m/>
    <m/>
    <m/>
    <m/>
    <m/>
    <m/>
    <m/>
    <m/>
    <m/>
    <m/>
    <m/>
    <m/>
    <m/>
    <m/>
    <m/>
    <m/>
    <m/>
    <m/>
    <m/>
    <m/>
    <m/>
    <m/>
  </r>
  <r>
    <n v="743"/>
    <d v="2025-03-17T00:00:00"/>
    <s v="ZBTO"/>
    <n v="9518605386"/>
    <n v="3"/>
    <s v="9518605386-3"/>
    <s v="No Priority"/>
    <x v="1"/>
    <s v="Yes"/>
    <x v="3"/>
    <x v="9"/>
    <n v="2000"/>
    <m/>
    <x v="0"/>
    <m/>
    <m/>
    <s v="Orissa"/>
    <s v="East"/>
    <m/>
    <m/>
    <n v="117061"/>
    <x v="19"/>
    <n v="3484326"/>
    <s v="GP SH SOFT TATXGP GK09 0.400X900X2500"/>
    <n v="80"/>
    <m/>
    <m/>
    <m/>
    <m/>
    <s v="B11"/>
    <s v="TATXGP"/>
    <s v="GK09"/>
    <n v="0.4"/>
    <n v="900"/>
    <n v="0"/>
    <n v="80"/>
    <n v="0"/>
    <n v="80"/>
    <n v="80"/>
    <n v="80"/>
    <n v="80"/>
    <n v="0"/>
    <n v="0"/>
    <n v="0"/>
    <n v="0"/>
    <n v="0"/>
    <n v="0"/>
    <n v="0"/>
    <n v="0"/>
    <n v="0"/>
    <n v="0"/>
    <n v="0"/>
    <n v="0"/>
    <n v="0"/>
    <n v="0"/>
    <n v="0"/>
    <n v="0"/>
    <n v="0"/>
    <n v="0"/>
    <n v="0"/>
    <n v="0"/>
    <n v="0"/>
    <n v="0"/>
    <n v="0"/>
    <m/>
    <m/>
    <m/>
    <m/>
    <m/>
    <m/>
    <m/>
    <m/>
    <m/>
    <m/>
    <m/>
    <m/>
    <m/>
    <m/>
    <m/>
    <m/>
    <m/>
    <m/>
    <m/>
    <m/>
    <m/>
    <m/>
    <m/>
    <m/>
    <m/>
    <m/>
    <m/>
    <m/>
    <m/>
    <m/>
    <m/>
    <m/>
    <m/>
    <m/>
    <m/>
    <m/>
    <m/>
    <m/>
    <m/>
    <m/>
    <m/>
    <m/>
    <m/>
    <m/>
    <m/>
    <m/>
    <m/>
    <m/>
    <m/>
  </r>
  <r>
    <n v="743"/>
    <d v="2025-03-17T00:00:00"/>
    <s v="ZBTO"/>
    <n v="9518605386"/>
    <n v="4"/>
    <s v="9518605386-4"/>
    <s v="May'25"/>
    <x v="1"/>
    <s v="Yes"/>
    <x v="3"/>
    <x v="9"/>
    <n v="2000"/>
    <m/>
    <x v="1"/>
    <m/>
    <m/>
    <s v="Orissa"/>
    <s v="East"/>
    <m/>
    <m/>
    <n v="117061"/>
    <x v="19"/>
    <n v="3484328"/>
    <s v="GP SH SOFT TATXGP GK09 0.500X900X2500"/>
    <n v="80"/>
    <m/>
    <m/>
    <m/>
    <m/>
    <s v="B11"/>
    <s v="TATXGP"/>
    <s v="GK09"/>
    <n v="0.5"/>
    <n v="900"/>
    <n v="0"/>
    <n v="80"/>
    <n v="0"/>
    <n v="80"/>
    <n v="80"/>
    <n v="80"/>
    <n v="80"/>
    <n v="0"/>
    <n v="0"/>
    <n v="0"/>
    <n v="0"/>
    <n v="0"/>
    <n v="0"/>
    <n v="0"/>
    <n v="0"/>
    <n v="0"/>
    <n v="0"/>
    <n v="0"/>
    <n v="0"/>
    <n v="0"/>
    <n v="0"/>
    <n v="0"/>
    <n v="0"/>
    <n v="0"/>
    <n v="0"/>
    <n v="0"/>
    <n v="0"/>
    <n v="0"/>
    <n v="0"/>
    <n v="0"/>
    <m/>
    <m/>
    <m/>
    <m/>
    <m/>
    <m/>
    <m/>
    <m/>
    <m/>
    <m/>
    <m/>
    <m/>
    <m/>
    <m/>
    <m/>
    <m/>
    <m/>
    <m/>
    <m/>
    <m/>
    <m/>
    <m/>
    <m/>
    <m/>
    <m/>
    <m/>
    <m/>
    <m/>
    <m/>
    <m/>
    <m/>
    <m/>
    <m/>
    <m/>
    <m/>
    <m/>
    <m/>
    <m/>
    <m/>
    <m/>
    <m/>
    <m/>
    <m/>
    <m/>
    <m/>
    <m/>
    <m/>
    <m/>
    <m/>
  </r>
  <r>
    <n v="743"/>
    <d v="2025-03-17T00:00:00"/>
    <s v="ZBTO"/>
    <n v="9518605386"/>
    <n v="5"/>
    <s v="9518605386-5"/>
    <s v="May'25"/>
    <x v="1"/>
    <s v="Yes"/>
    <x v="3"/>
    <x v="9"/>
    <n v="2000"/>
    <m/>
    <x v="1"/>
    <m/>
    <m/>
    <s v="Orissa"/>
    <s v="East"/>
    <m/>
    <m/>
    <n v="117061"/>
    <x v="19"/>
    <n v="3484329"/>
    <s v="GP SH SOFT TATXGP GK09 0.600X900X2500"/>
    <n v="80"/>
    <m/>
    <m/>
    <m/>
    <m/>
    <s v="B11"/>
    <s v="TATXGP"/>
    <s v="GK09"/>
    <n v="0.6"/>
    <n v="900"/>
    <n v="2500"/>
    <n v="40"/>
    <n v="0"/>
    <n v="40"/>
    <n v="40"/>
    <n v="40"/>
    <n v="40"/>
    <n v="0"/>
    <n v="0"/>
    <n v="0"/>
    <n v="0"/>
    <n v="0"/>
    <n v="0"/>
    <n v="0"/>
    <n v="0"/>
    <n v="0"/>
    <n v="0"/>
    <n v="0"/>
    <n v="0"/>
    <n v="0"/>
    <n v="0"/>
    <n v="0"/>
    <n v="0"/>
    <n v="0"/>
    <n v="0"/>
    <n v="0"/>
    <n v="0"/>
    <n v="0"/>
    <n v="0"/>
    <n v="0"/>
    <m/>
    <m/>
    <m/>
    <m/>
    <m/>
    <m/>
    <m/>
    <m/>
    <m/>
    <m/>
    <m/>
    <m/>
    <m/>
    <m/>
    <m/>
    <m/>
    <m/>
    <m/>
    <m/>
    <m/>
    <m/>
    <m/>
    <m/>
    <m/>
    <m/>
    <m/>
    <m/>
    <m/>
    <m/>
    <m/>
    <m/>
    <m/>
    <m/>
    <m/>
    <m/>
    <m/>
    <m/>
    <m/>
    <m/>
    <m/>
    <m/>
    <m/>
    <m/>
    <m/>
    <m/>
    <m/>
    <m/>
    <m/>
    <m/>
  </r>
  <r>
    <n v="743"/>
    <d v="2025-03-19T00:00:00"/>
    <s v="ZBTO"/>
    <n v="9518613250"/>
    <n v="1"/>
    <s v="9518613250-1"/>
    <s v="May'25"/>
    <x v="1"/>
    <s v="Yes"/>
    <x v="3"/>
    <x v="9"/>
    <n v="2000"/>
    <m/>
    <x v="1"/>
    <m/>
    <m/>
    <s v="Orissa"/>
    <s v="East"/>
    <m/>
    <m/>
    <n v="117061"/>
    <x v="19"/>
    <n v="3484324"/>
    <s v="GP SH SOFT TATXGP GK09 0.300X900X2500"/>
    <n v="80"/>
    <m/>
    <m/>
    <m/>
    <m/>
    <s v="B11"/>
    <s v="TATXGP"/>
    <s v="GK09"/>
    <n v="0.3"/>
    <n v="900"/>
    <n v="2500"/>
    <n v="80"/>
    <n v="0"/>
    <n v="80"/>
    <n v="80"/>
    <n v="80"/>
    <n v="80"/>
    <n v="0"/>
    <n v="0"/>
    <n v="0"/>
    <n v="0"/>
    <n v="0"/>
    <n v="0"/>
    <n v="0"/>
    <n v="0"/>
    <n v="0"/>
    <n v="0"/>
    <n v="0"/>
    <n v="0"/>
    <n v="0"/>
    <n v="0"/>
    <n v="0"/>
    <n v="0"/>
    <n v="0"/>
    <n v="0"/>
    <n v="0"/>
    <n v="0"/>
    <n v="0"/>
    <n v="0"/>
    <n v="0"/>
    <m/>
    <m/>
    <m/>
    <m/>
    <m/>
    <m/>
    <m/>
    <m/>
    <m/>
    <m/>
    <m/>
    <m/>
    <m/>
    <m/>
    <m/>
    <m/>
    <m/>
    <m/>
    <m/>
    <m/>
    <m/>
    <m/>
    <m/>
    <m/>
    <m/>
    <m/>
    <m/>
    <m/>
    <m/>
    <m/>
    <m/>
    <m/>
    <m/>
    <m/>
    <m/>
    <m/>
    <m/>
    <m/>
    <m/>
    <m/>
    <m/>
    <m/>
    <m/>
    <m/>
    <m/>
    <m/>
    <m/>
    <m/>
    <m/>
  </r>
  <r>
    <n v="742"/>
    <d v="2025-03-07T00:00:00"/>
    <s v="ZBTO"/>
    <n v="9518582494"/>
    <n v="1"/>
    <s v="9518582494-1"/>
    <s v="No Priority"/>
    <x v="1"/>
    <m/>
    <x v="1"/>
    <x v="2"/>
    <n v="2000"/>
    <m/>
    <x v="0"/>
    <m/>
    <m/>
    <s v="Bihar"/>
    <s v="East"/>
    <m/>
    <m/>
    <n v="103227"/>
    <x v="31"/>
    <n v="2427612"/>
    <s v="CRCA SHEET TATCRC SR16 0.300X900"/>
    <s v=""/>
    <m/>
    <m/>
    <m/>
    <m/>
    <s v="C06"/>
    <s v="TATCRC"/>
    <s v="SR16"/>
    <n v="0.3"/>
    <n v="900"/>
    <n v="2500"/>
    <n v="3"/>
    <n v="0"/>
    <n v="3"/>
    <n v="3"/>
    <n v="3"/>
    <n v="3"/>
    <n v="0"/>
    <n v="0"/>
    <n v="0"/>
    <n v="0"/>
    <n v="0"/>
    <n v="0"/>
    <n v="0"/>
    <n v="0"/>
    <n v="0"/>
    <n v="0"/>
    <n v="0"/>
    <n v="0"/>
    <n v="0"/>
    <n v="0"/>
    <n v="0"/>
    <n v="0"/>
    <n v="0"/>
    <n v="0"/>
    <n v="0"/>
    <n v="0"/>
    <n v="0"/>
    <n v="0"/>
    <n v="0"/>
    <m/>
    <m/>
    <m/>
    <m/>
    <m/>
    <m/>
    <m/>
    <m/>
    <m/>
    <m/>
    <m/>
    <m/>
    <m/>
    <m/>
    <m/>
    <m/>
    <m/>
    <m/>
    <m/>
    <m/>
    <m/>
    <m/>
    <m/>
    <m/>
    <m/>
    <m/>
    <m/>
    <m/>
    <m/>
    <m/>
    <m/>
    <m/>
    <m/>
    <m/>
    <m/>
    <m/>
    <m/>
    <m/>
    <m/>
    <m/>
    <m/>
    <m/>
    <m/>
    <m/>
    <m/>
    <m/>
    <m/>
    <m/>
    <m/>
  </r>
  <r>
    <n v="743"/>
    <d v="2025-03-13T00:00:00"/>
    <s v="ZBTO"/>
    <n v="9518598143"/>
    <n v="6"/>
    <s v="9518598143-6"/>
    <s v="May'25"/>
    <x v="1"/>
    <s v="Yes"/>
    <x v="3"/>
    <x v="9"/>
    <n v="2000"/>
    <m/>
    <x v="1"/>
    <m/>
    <m/>
    <s v="Bihar"/>
    <s v="East"/>
    <m/>
    <m/>
    <n v="103227"/>
    <x v="31"/>
    <n v="3633498"/>
    <s v="GP SH SOFT TATXGP GK09 0.630X900X2370"/>
    <n v="80"/>
    <m/>
    <m/>
    <m/>
    <m/>
    <s v="B11"/>
    <s v="TATXGP"/>
    <s v="GK09"/>
    <n v="0.63"/>
    <n v="900"/>
    <n v="2370"/>
    <n v="42"/>
    <n v="0"/>
    <n v="42"/>
    <n v="42"/>
    <n v="42"/>
    <n v="42"/>
    <n v="0"/>
    <n v="0"/>
    <n v="0"/>
    <n v="0"/>
    <n v="0"/>
    <n v="0"/>
    <n v="0"/>
    <n v="0"/>
    <n v="0"/>
    <n v="0"/>
    <n v="0"/>
    <n v="0"/>
    <n v="0"/>
    <n v="0"/>
    <n v="0"/>
    <n v="0"/>
    <n v="0"/>
    <n v="0"/>
    <n v="0"/>
    <n v="0"/>
    <n v="0"/>
    <n v="0"/>
    <n v="0"/>
    <m/>
    <m/>
    <m/>
    <m/>
    <m/>
    <m/>
    <m/>
    <m/>
    <m/>
    <m/>
    <m/>
    <m/>
    <m/>
    <m/>
    <m/>
    <m/>
    <m/>
    <m/>
    <m/>
    <m/>
    <m/>
    <m/>
    <m/>
    <m/>
    <m/>
    <m/>
    <m/>
    <m/>
    <m/>
    <m/>
    <m/>
    <m/>
    <m/>
    <m/>
    <m/>
    <m/>
    <m/>
    <m/>
    <m/>
    <m/>
    <m/>
    <m/>
    <m/>
    <m/>
    <m/>
    <m/>
    <m/>
    <m/>
    <m/>
  </r>
  <r>
    <n v="743"/>
    <d v="2025-04-10T00:00:00"/>
    <s v="ZBTO"/>
    <n v="9518681493"/>
    <n v="1"/>
    <s v="9518681493-1"/>
    <s v="No Priority"/>
    <x v="0"/>
    <s v="Yes"/>
    <x v="3"/>
    <x v="4"/>
    <n v="2000"/>
    <m/>
    <x v="0"/>
    <m/>
    <m/>
    <s v="Bihar"/>
    <s v="East"/>
    <m/>
    <m/>
    <n v="931671"/>
    <x v="31"/>
    <n v="3907468"/>
    <s v="GP COIL TATXGP GP02 0.350X1350"/>
    <s v=""/>
    <m/>
    <m/>
    <m/>
    <m/>
    <s v="C05"/>
    <s v="TATXGP"/>
    <s v="GP02"/>
    <n v="0.35"/>
    <n v="1350"/>
    <n v="0"/>
    <n v="62"/>
    <n v="0"/>
    <n v="62"/>
    <n v="62"/>
    <n v="56.22"/>
    <n v="8.2050000000000001"/>
    <n v="0"/>
    <n v="0"/>
    <n v="0"/>
    <n v="0"/>
    <n v="0"/>
    <n v="0"/>
    <n v="5.78"/>
    <n v="0"/>
    <n v="0"/>
    <n v="0"/>
    <n v="0"/>
    <n v="0"/>
    <n v="0"/>
    <n v="0"/>
    <n v="0"/>
    <n v="0"/>
    <n v="0"/>
    <n v="0"/>
    <n v="0"/>
    <n v="5.78"/>
    <n v="5.78"/>
    <n v="0"/>
    <n v="5.78"/>
    <m/>
    <m/>
    <m/>
    <m/>
    <m/>
    <m/>
    <m/>
    <m/>
    <m/>
    <m/>
    <m/>
    <m/>
    <m/>
    <m/>
    <m/>
    <m/>
    <m/>
    <m/>
    <m/>
    <m/>
    <m/>
    <m/>
    <m/>
    <m/>
    <m/>
    <m/>
    <m/>
    <m/>
    <m/>
    <m/>
    <m/>
    <m/>
    <m/>
    <m/>
    <m/>
    <m/>
    <m/>
    <m/>
    <m/>
    <m/>
    <m/>
    <m/>
    <m/>
    <m/>
    <m/>
    <m/>
    <m/>
    <m/>
    <m/>
  </r>
  <r>
    <n v="743"/>
    <d v="2025-04-10T00:00:00"/>
    <s v="ZBTO"/>
    <n v="9518681493"/>
    <n v="2"/>
    <s v="9518681493-2"/>
    <s v="May'25"/>
    <x v="0"/>
    <s v="Yes"/>
    <x v="3"/>
    <x v="4"/>
    <n v="2000"/>
    <m/>
    <x v="1"/>
    <m/>
    <m/>
    <s v="Bihar"/>
    <s v="East"/>
    <m/>
    <m/>
    <n v="931671"/>
    <x v="31"/>
    <n v="3767014"/>
    <s v="GP COIL TATGPH GP02 0.400X1350"/>
    <s v=""/>
    <m/>
    <m/>
    <m/>
    <m/>
    <s v="C05"/>
    <s v="TATGPH"/>
    <s v="GP02"/>
    <n v="0.4"/>
    <n v="1350"/>
    <n v="0"/>
    <n v="93"/>
    <n v="0"/>
    <n v="93"/>
    <n v="93"/>
    <n v="93"/>
    <n v="93"/>
    <n v="0"/>
    <n v="0"/>
    <n v="0"/>
    <n v="0"/>
    <n v="0"/>
    <n v="0"/>
    <n v="0"/>
    <n v="0"/>
    <n v="0"/>
    <n v="0"/>
    <n v="0"/>
    <n v="0"/>
    <n v="0"/>
    <n v="0"/>
    <n v="0"/>
    <n v="0"/>
    <n v="0"/>
    <n v="0"/>
    <n v="0"/>
    <n v="0"/>
    <n v="0"/>
    <n v="0"/>
    <n v="0"/>
    <m/>
    <m/>
    <m/>
    <m/>
    <m/>
    <m/>
    <m/>
    <m/>
    <m/>
    <m/>
    <m/>
    <m/>
    <m/>
    <m/>
    <m/>
    <m/>
    <m/>
    <m/>
    <m/>
    <m/>
    <m/>
    <m/>
    <m/>
    <m/>
    <m/>
    <m/>
    <m/>
    <m/>
    <m/>
    <m/>
    <m/>
    <m/>
    <m/>
    <m/>
    <m/>
    <m/>
    <m/>
    <m/>
    <m/>
    <m/>
    <m/>
    <m/>
    <m/>
    <m/>
    <m/>
    <m/>
    <m/>
    <m/>
    <m/>
  </r>
  <r>
    <n v="743"/>
    <d v="2025-04-10T00:00:00"/>
    <s v="ZBTO"/>
    <n v="9518681493"/>
    <n v="3"/>
    <s v="9518681493-3"/>
    <s v="May'25"/>
    <x v="0"/>
    <s v="Yes"/>
    <x v="3"/>
    <x v="4"/>
    <n v="2000"/>
    <m/>
    <x v="1"/>
    <m/>
    <m/>
    <s v="Bihar"/>
    <s v="East"/>
    <m/>
    <m/>
    <n v="931671"/>
    <x v="31"/>
    <n v="3774103"/>
    <s v="GP COIL TATXGP GP02 0.450X1350"/>
    <s v=""/>
    <m/>
    <m/>
    <m/>
    <m/>
    <s v="C05"/>
    <s v="TATXGP"/>
    <s v="GP02"/>
    <n v="0.45"/>
    <n v="1350"/>
    <n v="0"/>
    <n v="93"/>
    <n v="0"/>
    <n v="93"/>
    <n v="93"/>
    <n v="93"/>
    <n v="93"/>
    <n v="0"/>
    <n v="0"/>
    <n v="0"/>
    <n v="0"/>
    <n v="0"/>
    <n v="0"/>
    <n v="0"/>
    <n v="0"/>
    <n v="0"/>
    <n v="0"/>
    <n v="0"/>
    <n v="0"/>
    <n v="0"/>
    <n v="0"/>
    <n v="0"/>
    <n v="0"/>
    <n v="0"/>
    <n v="0"/>
    <n v="0"/>
    <n v="0"/>
    <n v="0"/>
    <n v="0"/>
    <n v="0"/>
    <m/>
    <m/>
    <m/>
    <m/>
    <m/>
    <m/>
    <m/>
    <m/>
    <m/>
    <m/>
    <m/>
    <m/>
    <m/>
    <m/>
    <m/>
    <m/>
    <m/>
    <m/>
    <m/>
    <m/>
    <m/>
    <m/>
    <m/>
    <m/>
    <m/>
    <m/>
    <m/>
    <m/>
    <m/>
    <m/>
    <m/>
    <m/>
    <m/>
    <m/>
    <m/>
    <m/>
    <m/>
    <m/>
    <m/>
    <m/>
    <m/>
    <m/>
    <m/>
    <m/>
    <m/>
    <m/>
    <m/>
    <m/>
    <m/>
  </r>
  <r>
    <n v="743"/>
    <d v="2025-04-10T00:00:00"/>
    <s v="ZBTO"/>
    <n v="9518681493"/>
    <n v="4"/>
    <s v="9518681493-4"/>
    <s v="May'25"/>
    <x v="0"/>
    <s v="Yes"/>
    <x v="3"/>
    <x v="4"/>
    <n v="2000"/>
    <m/>
    <x v="1"/>
    <m/>
    <m/>
    <s v="Bihar"/>
    <s v="East"/>
    <m/>
    <m/>
    <n v="931671"/>
    <x v="31"/>
    <n v="3708868"/>
    <s v="GP COIL TATGPH GP02 0.500X1350"/>
    <s v=""/>
    <m/>
    <m/>
    <m/>
    <m/>
    <s v="C05"/>
    <s v="TATGPH"/>
    <s v="GP02"/>
    <n v="0.5"/>
    <n v="1350"/>
    <n v="0"/>
    <n v="62"/>
    <n v="0"/>
    <n v="62"/>
    <n v="62"/>
    <n v="62"/>
    <n v="62"/>
    <n v="0"/>
    <n v="0"/>
    <n v="0"/>
    <n v="0"/>
    <n v="0"/>
    <n v="0"/>
    <n v="0"/>
    <n v="0"/>
    <n v="0"/>
    <n v="0"/>
    <n v="0"/>
    <n v="0"/>
    <n v="0"/>
    <n v="0"/>
    <n v="0"/>
    <n v="0"/>
    <n v="0"/>
    <n v="0"/>
    <n v="0"/>
    <n v="0"/>
    <n v="0"/>
    <n v="0"/>
    <n v="0"/>
    <m/>
    <m/>
    <m/>
    <m/>
    <m/>
    <m/>
    <m/>
    <m/>
    <m/>
    <m/>
    <m/>
    <m/>
    <m/>
    <m/>
    <m/>
    <m/>
    <m/>
    <m/>
    <m/>
    <m/>
    <m/>
    <m/>
    <m/>
    <m/>
    <m/>
    <m/>
    <m/>
    <m/>
    <m/>
    <m/>
    <m/>
    <m/>
    <m/>
    <m/>
    <m/>
    <m/>
    <m/>
    <m/>
    <m/>
    <m/>
    <m/>
    <m/>
    <m/>
    <m/>
    <m/>
    <m/>
    <m/>
    <m/>
    <m/>
  </r>
  <r>
    <n v="743"/>
    <d v="2025-04-10T00:00:00"/>
    <s v="ZBTO"/>
    <n v="9518681493"/>
    <n v="5"/>
    <s v="9518681493-5"/>
    <s v="May'25"/>
    <x v="0"/>
    <s v="Yes"/>
    <x v="3"/>
    <x v="4"/>
    <n v="2000"/>
    <m/>
    <x v="1"/>
    <m/>
    <m/>
    <s v="Bihar"/>
    <s v="East"/>
    <m/>
    <m/>
    <n v="931671"/>
    <x v="31"/>
    <n v="3708867"/>
    <s v="GP COIL TATGPH GP02 0.300X900"/>
    <s v=""/>
    <m/>
    <m/>
    <m/>
    <m/>
    <s v="C05"/>
    <s v="TATGPH"/>
    <s v="GP02"/>
    <n v="0.3"/>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4-10T00:00:00"/>
    <s v="ZBTO"/>
    <n v="9518681493"/>
    <n v="6"/>
    <s v="9518681493-6"/>
    <s v="May'25"/>
    <x v="0"/>
    <s v="Yes"/>
    <x v="3"/>
    <x v="4"/>
    <n v="2000"/>
    <m/>
    <x v="1"/>
    <m/>
    <m/>
    <s v="Bihar"/>
    <s v="East"/>
    <m/>
    <m/>
    <n v="931671"/>
    <x v="31"/>
    <n v="3768542"/>
    <s v="GP COIL TATGPH GP02 0.350X900"/>
    <s v=""/>
    <m/>
    <m/>
    <m/>
    <m/>
    <s v="C05"/>
    <s v="TATGPH"/>
    <s v="GP02"/>
    <n v="0.35"/>
    <n v="900"/>
    <n v="0"/>
    <n v="105"/>
    <n v="0"/>
    <n v="105"/>
    <n v="105"/>
    <n v="105"/>
    <n v="105"/>
    <n v="0"/>
    <n v="0"/>
    <n v="0"/>
    <n v="0"/>
    <n v="0"/>
    <n v="0"/>
    <n v="0"/>
    <n v="0"/>
    <n v="0"/>
    <n v="0"/>
    <n v="0"/>
    <n v="0"/>
    <n v="0"/>
    <n v="0"/>
    <n v="0"/>
    <n v="0"/>
    <n v="0"/>
    <n v="0"/>
    <n v="0"/>
    <n v="0"/>
    <n v="0"/>
    <n v="0"/>
    <n v="0"/>
    <m/>
    <m/>
    <m/>
    <m/>
    <m/>
    <m/>
    <m/>
    <m/>
    <m/>
    <m/>
    <m/>
    <m/>
    <m/>
    <m/>
    <m/>
    <m/>
    <m/>
    <m/>
    <m/>
    <m/>
    <m/>
    <m/>
    <m/>
    <m/>
    <m/>
    <m/>
    <m/>
    <m/>
    <m/>
    <m/>
    <m/>
    <m/>
    <m/>
    <m/>
    <m/>
    <m/>
    <m/>
    <m/>
    <m/>
    <m/>
    <m/>
    <m/>
    <m/>
    <m/>
    <m/>
    <m/>
    <m/>
    <m/>
    <m/>
  </r>
  <r>
    <n v="743"/>
    <d v="2025-04-10T00:00:00"/>
    <s v="ZBTO"/>
    <n v="9518681493"/>
    <n v="7"/>
    <s v="9518681493-7"/>
    <s v="May'25"/>
    <x v="0"/>
    <s v="Yes"/>
    <x v="3"/>
    <x v="4"/>
    <n v="2000"/>
    <m/>
    <x v="1"/>
    <m/>
    <m/>
    <s v="Bihar"/>
    <s v="East"/>
    <m/>
    <m/>
    <n v="931671"/>
    <x v="31"/>
    <n v="3777535"/>
    <s v="GP COIL TATGPH GP02 0.400X900"/>
    <s v=""/>
    <m/>
    <m/>
    <m/>
    <m/>
    <s v="C05"/>
    <s v="TATGPH"/>
    <s v="GP02"/>
    <n v="0.4"/>
    <n v="900"/>
    <n v="0"/>
    <n v="105"/>
    <n v="0"/>
    <n v="105"/>
    <n v="105"/>
    <n v="105"/>
    <n v="105"/>
    <n v="0"/>
    <n v="0"/>
    <n v="0"/>
    <n v="0"/>
    <n v="0"/>
    <n v="0"/>
    <n v="0"/>
    <n v="0"/>
    <n v="0"/>
    <n v="0"/>
    <n v="0"/>
    <n v="0"/>
    <n v="0"/>
    <n v="0"/>
    <n v="0"/>
    <n v="0"/>
    <n v="0"/>
    <n v="0"/>
    <n v="0"/>
    <n v="0"/>
    <n v="0"/>
    <n v="0"/>
    <n v="0"/>
    <m/>
    <m/>
    <m/>
    <m/>
    <m/>
    <m/>
    <m/>
    <m/>
    <m/>
    <m/>
    <m/>
    <m/>
    <m/>
    <m/>
    <m/>
    <m/>
    <m/>
    <m/>
    <m/>
    <m/>
    <m/>
    <m/>
    <m/>
    <m/>
    <m/>
    <m/>
    <m/>
    <m/>
    <m/>
    <m/>
    <m/>
    <m/>
    <m/>
    <m/>
    <m/>
    <m/>
    <m/>
    <m/>
    <m/>
    <m/>
    <m/>
    <m/>
    <m/>
    <m/>
    <m/>
    <m/>
    <m/>
    <m/>
    <m/>
  </r>
  <r>
    <n v="742"/>
    <d v="2025-04-15T00:00:00"/>
    <s v="ZBTO"/>
    <n v="9518694924"/>
    <n v="1"/>
    <s v="9518694924-1"/>
    <s v="No Priority"/>
    <x v="1"/>
    <m/>
    <x v="1"/>
    <x v="2"/>
    <n v="2000"/>
    <m/>
    <x v="0"/>
    <m/>
    <m/>
    <s v="Bihar"/>
    <s v="East"/>
    <m/>
    <m/>
    <n v="103227"/>
    <x v="31"/>
    <n v="2427612"/>
    <s v="CRCA SHEET TATCRC SR16 0.300X900"/>
    <s v=""/>
    <m/>
    <m/>
    <m/>
    <m/>
    <s v="C06"/>
    <s v="TATCRC"/>
    <s v="SR16"/>
    <n v="0.3"/>
    <n v="900"/>
    <n v="2500"/>
    <n v="39"/>
    <n v="0"/>
    <n v="39"/>
    <n v="39"/>
    <n v="39"/>
    <n v="39"/>
    <n v="0"/>
    <n v="0"/>
    <n v="0"/>
    <n v="0"/>
    <n v="0"/>
    <n v="0"/>
    <n v="0"/>
    <n v="0"/>
    <n v="0"/>
    <n v="0"/>
    <n v="0"/>
    <n v="0"/>
    <n v="0"/>
    <n v="0"/>
    <n v="0"/>
    <n v="0"/>
    <n v="0"/>
    <n v="0"/>
    <n v="0"/>
    <n v="0"/>
    <n v="0"/>
    <n v="0"/>
    <n v="0"/>
    <m/>
    <m/>
    <m/>
    <m/>
    <m/>
    <m/>
    <m/>
    <m/>
    <m/>
    <m/>
    <m/>
    <m/>
    <m/>
    <m/>
    <m/>
    <m/>
    <m/>
    <m/>
    <m/>
    <m/>
    <m/>
    <m/>
    <m/>
    <m/>
    <m/>
    <m/>
    <m/>
    <m/>
    <m/>
    <m/>
    <m/>
    <m/>
    <m/>
    <m/>
    <m/>
    <m/>
    <m/>
    <m/>
    <m/>
    <m/>
    <m/>
    <m/>
    <m/>
    <m/>
    <m/>
    <m/>
    <m/>
    <m/>
    <m/>
  </r>
  <r>
    <n v="742"/>
    <d v="2025-04-15T00:00:00"/>
    <s v="ZBTO"/>
    <n v="9518694924"/>
    <n v="5"/>
    <s v="9518694924-5"/>
    <s v="No Priority"/>
    <x v="1"/>
    <m/>
    <x v="1"/>
    <x v="2"/>
    <n v="2000"/>
    <m/>
    <x v="0"/>
    <m/>
    <m/>
    <s v="Bihar"/>
    <s v="East"/>
    <m/>
    <m/>
    <n v="103227"/>
    <x v="31"/>
    <n v="2441002"/>
    <s v="CRCA SHEET TATCRC SR16 0.380X1250X2500"/>
    <s v=""/>
    <m/>
    <m/>
    <m/>
    <m/>
    <s v="C06"/>
    <s v="TATCRC"/>
    <s v="SR16"/>
    <n v="0.38"/>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4-15T00:00:00"/>
    <s v="ZBTO"/>
    <n v="9518694924"/>
    <n v="6"/>
    <s v="9518694924-6"/>
    <s v="No Priority"/>
    <x v="1"/>
    <m/>
    <x v="1"/>
    <x v="2"/>
    <n v="2000"/>
    <m/>
    <x v="0"/>
    <m/>
    <m/>
    <s v="Bihar"/>
    <s v="East"/>
    <m/>
    <m/>
    <n v="103227"/>
    <x v="31"/>
    <n v="3239557"/>
    <s v="CRCA SHEET TATCRC SR16 0.400X1250X2500"/>
    <s v=""/>
    <m/>
    <m/>
    <m/>
    <m/>
    <s v="C06"/>
    <s v="TATCRC"/>
    <s v="SR16"/>
    <n v="0.4"/>
    <n v="1250"/>
    <n v="0"/>
    <n v="30"/>
    <n v="0"/>
    <n v="30"/>
    <n v="30"/>
    <n v="30"/>
    <n v="30"/>
    <n v="0"/>
    <n v="0"/>
    <n v="0"/>
    <n v="0"/>
    <n v="0"/>
    <n v="0"/>
    <n v="0"/>
    <n v="0"/>
    <n v="0"/>
    <n v="0"/>
    <n v="0"/>
    <n v="0"/>
    <n v="0"/>
    <n v="0"/>
    <n v="0"/>
    <n v="0"/>
    <n v="0"/>
    <n v="0"/>
    <n v="0"/>
    <n v="0"/>
    <n v="0"/>
    <n v="0"/>
    <n v="0"/>
    <m/>
    <m/>
    <m/>
    <m/>
    <m/>
    <m/>
    <m/>
    <m/>
    <m/>
    <m/>
    <m/>
    <m/>
    <m/>
    <m/>
    <m/>
    <m/>
    <m/>
    <m/>
    <m/>
    <m/>
    <m/>
    <m/>
    <m/>
    <m/>
    <m/>
    <m/>
    <m/>
    <m/>
    <m/>
    <m/>
    <m/>
    <m/>
    <m/>
    <m/>
    <m/>
    <m/>
    <m/>
    <m/>
    <m/>
    <m/>
    <m/>
    <m/>
    <m/>
    <m/>
    <m/>
    <m/>
    <m/>
    <m/>
    <m/>
  </r>
  <r>
    <n v="742"/>
    <d v="2025-04-15T00:00:00"/>
    <s v="ZBTO"/>
    <n v="9518694924"/>
    <n v="7"/>
    <s v="9518694924-7"/>
    <s v="No Priority"/>
    <x v="0"/>
    <m/>
    <x v="1"/>
    <x v="2"/>
    <n v="2000"/>
    <m/>
    <x v="0"/>
    <m/>
    <m/>
    <s v="Bihar"/>
    <s v="East"/>
    <m/>
    <m/>
    <n v="103227"/>
    <x v="31"/>
    <n v="3239568"/>
    <s v="CRCA SHEET TATCRC SR16 0.450X1250X2500"/>
    <s v=""/>
    <m/>
    <m/>
    <m/>
    <m/>
    <s v="C06"/>
    <s v="TATCRC"/>
    <s v="SR16"/>
    <n v="0.45"/>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4-15T00:00:00"/>
    <s v="ZBTO"/>
    <n v="9518694924"/>
    <n v="8"/>
    <s v="9518694924-8"/>
    <s v="No Priority"/>
    <x v="0"/>
    <m/>
    <x v="1"/>
    <x v="2"/>
    <n v="2000"/>
    <m/>
    <x v="0"/>
    <m/>
    <m/>
    <s v="Bihar"/>
    <s v="East"/>
    <m/>
    <m/>
    <n v="103227"/>
    <x v="31"/>
    <n v="2441006"/>
    <s v="CRCA SHEET TATCRC SR16 0.480X1250X2500"/>
    <s v=""/>
    <m/>
    <m/>
    <m/>
    <m/>
    <s v="C06"/>
    <s v="TATCRC"/>
    <s v="SR16"/>
    <n v="0.48"/>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4-15T00:00:00"/>
    <s v="ZBTO"/>
    <n v="9518694924"/>
    <n v="9"/>
    <s v="9518694924-9"/>
    <s v="May'25"/>
    <x v="0"/>
    <m/>
    <x v="1"/>
    <x v="2"/>
    <n v="2000"/>
    <m/>
    <x v="1"/>
    <m/>
    <m/>
    <s v="Bihar"/>
    <s v="East"/>
    <m/>
    <m/>
    <n v="103227"/>
    <x v="31"/>
    <n v="3240778"/>
    <s v="CRCA SHEET TSBCRC SR15 0.600X1000X2500"/>
    <s v=""/>
    <m/>
    <m/>
    <m/>
    <m/>
    <s v="C06"/>
    <s v="TSBCRC"/>
    <s v="SR15"/>
    <n v="0.6"/>
    <n v="1000"/>
    <n v="2500"/>
    <n v="24"/>
    <n v="0"/>
    <n v="24"/>
    <n v="24"/>
    <n v="1.5199999999999996"/>
    <n v="24"/>
    <n v="0"/>
    <n v="0"/>
    <n v="0"/>
    <n v="0"/>
    <n v="0"/>
    <n v="0"/>
    <n v="0"/>
    <n v="0"/>
    <n v="0"/>
    <n v="0"/>
    <n v="0"/>
    <n v="0"/>
    <n v="0"/>
    <n v="22.48"/>
    <n v="0"/>
    <n v="0"/>
    <n v="0"/>
    <n v="0"/>
    <n v="0"/>
    <n v="22.48"/>
    <n v="22.48"/>
    <n v="0"/>
    <n v="22.48"/>
    <m/>
    <m/>
    <m/>
    <m/>
    <m/>
    <m/>
    <m/>
    <m/>
    <m/>
    <m/>
    <m/>
    <m/>
    <m/>
    <m/>
    <m/>
    <m/>
    <m/>
    <m/>
    <m/>
    <m/>
    <m/>
    <m/>
    <m/>
    <m/>
    <m/>
    <m/>
    <m/>
    <m/>
    <m/>
    <m/>
    <m/>
    <m/>
    <m/>
    <m/>
    <m/>
    <m/>
    <m/>
    <m/>
    <m/>
    <m/>
    <m/>
    <m/>
    <m/>
    <m/>
    <m/>
    <m/>
    <m/>
    <m/>
    <m/>
  </r>
  <r>
    <n v="742"/>
    <d v="2025-04-15T00:00:00"/>
    <s v="ZBTO"/>
    <n v="9518694924"/>
    <n v="10"/>
    <s v="9518694924-10"/>
    <s v="No Priority"/>
    <x v="0"/>
    <m/>
    <x v="1"/>
    <x v="2"/>
    <n v="2000"/>
    <m/>
    <x v="0"/>
    <m/>
    <m/>
    <s v="Bihar"/>
    <s v="East"/>
    <m/>
    <m/>
    <n v="103227"/>
    <x v="31"/>
    <n v="3240849"/>
    <s v="CRCA SHEET TSBCRC SR15 1.200X1250X2500"/>
    <s v=""/>
    <m/>
    <m/>
    <m/>
    <m/>
    <s v="C06"/>
    <s v="TSBCRC"/>
    <s v="SR15"/>
    <n v="1.2"/>
    <n v="1250"/>
    <n v="0"/>
    <n v="24"/>
    <n v="0"/>
    <n v="24"/>
    <n v="24"/>
    <n v="24"/>
    <n v="24"/>
    <n v="0"/>
    <n v="0"/>
    <n v="0"/>
    <n v="0"/>
    <n v="0"/>
    <n v="0"/>
    <n v="0"/>
    <n v="0"/>
    <n v="0"/>
    <n v="0"/>
    <n v="0"/>
    <n v="0"/>
    <n v="0"/>
    <n v="0"/>
    <n v="0"/>
    <n v="0"/>
    <n v="0"/>
    <n v="0"/>
    <n v="0"/>
    <n v="0"/>
    <n v="0"/>
    <n v="0"/>
    <n v="0"/>
    <m/>
    <m/>
    <m/>
    <m/>
    <m/>
    <m/>
    <m/>
    <m/>
    <m/>
    <m/>
    <m/>
    <m/>
    <m/>
    <m/>
    <m/>
    <m/>
    <m/>
    <m/>
    <m/>
    <m/>
    <m/>
    <m/>
    <m/>
    <m/>
    <m/>
    <m/>
    <m/>
    <m/>
    <m/>
    <m/>
    <m/>
    <m/>
    <m/>
    <m/>
    <m/>
    <m/>
    <m/>
    <m/>
    <m/>
    <m/>
    <m/>
    <m/>
    <m/>
    <m/>
    <m/>
    <m/>
    <m/>
    <m/>
    <m/>
  </r>
  <r>
    <n v="742"/>
    <d v="2025-04-15T00:00:00"/>
    <s v="ZBTO"/>
    <n v="9518695139"/>
    <n v="1"/>
    <s v="9518695139-1"/>
    <s v="No Priority"/>
    <x v="1"/>
    <m/>
    <x v="1"/>
    <x v="2"/>
    <n v="2000"/>
    <m/>
    <x v="0"/>
    <m/>
    <m/>
    <s v="Bihar"/>
    <s v="East"/>
    <m/>
    <m/>
    <n v="103227"/>
    <x v="31"/>
    <n v="2427612"/>
    <s v="CRCA SHEET TATCRC SR16 0.300X900"/>
    <s v=""/>
    <m/>
    <m/>
    <m/>
    <m/>
    <s v="C06"/>
    <s v="TATCRC"/>
    <s v="SR16"/>
    <n v="0.3"/>
    <n v="900"/>
    <n v="2500"/>
    <n v="39"/>
    <n v="0"/>
    <n v="39"/>
    <n v="39"/>
    <n v="39"/>
    <n v="39"/>
    <n v="0"/>
    <n v="0"/>
    <n v="0"/>
    <n v="0"/>
    <n v="0"/>
    <n v="0"/>
    <n v="0"/>
    <n v="0"/>
    <n v="0"/>
    <n v="0"/>
    <n v="0"/>
    <n v="0"/>
    <n v="0"/>
    <n v="0"/>
    <n v="0"/>
    <n v="0"/>
    <n v="0"/>
    <n v="0"/>
    <n v="0"/>
    <n v="0"/>
    <n v="0"/>
    <n v="0"/>
    <n v="0"/>
    <m/>
    <m/>
    <m/>
    <m/>
    <m/>
    <m/>
    <m/>
    <m/>
    <m/>
    <m/>
    <m/>
    <m/>
    <m/>
    <m/>
    <m/>
    <m/>
    <m/>
    <m/>
    <m/>
    <m/>
    <m/>
    <m/>
    <m/>
    <m/>
    <m/>
    <m/>
    <m/>
    <m/>
    <m/>
    <m/>
    <m/>
    <m/>
    <m/>
    <m/>
    <m/>
    <m/>
    <m/>
    <m/>
    <m/>
    <m/>
    <m/>
    <m/>
    <m/>
    <m/>
    <m/>
    <m/>
    <m/>
    <m/>
    <m/>
  </r>
  <r>
    <n v="742"/>
    <d v="2025-04-15T00:00:00"/>
    <s v="ZBTO"/>
    <n v="9518695139"/>
    <n v="4"/>
    <s v="9518695139-4"/>
    <s v="No Priority"/>
    <x v="1"/>
    <m/>
    <x v="1"/>
    <x v="2"/>
    <n v="2000"/>
    <m/>
    <x v="0"/>
    <m/>
    <m/>
    <s v="Bihar"/>
    <s v="East"/>
    <m/>
    <m/>
    <n v="103227"/>
    <x v="31"/>
    <n v="2441002"/>
    <s v="CRCA SHEET TATCRC SR16 0.380X1250X2500"/>
    <s v=""/>
    <m/>
    <m/>
    <m/>
    <m/>
    <s v="C06"/>
    <s v="TATCRC"/>
    <s v="SR16"/>
    <n v="0.38"/>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4-15T00:00:00"/>
    <s v="ZBTO"/>
    <n v="9518695139"/>
    <n v="5"/>
    <s v="9518695139-5"/>
    <s v="No Priority"/>
    <x v="1"/>
    <m/>
    <x v="1"/>
    <x v="2"/>
    <n v="2000"/>
    <m/>
    <x v="0"/>
    <m/>
    <m/>
    <s v="Bihar"/>
    <s v="East"/>
    <m/>
    <m/>
    <n v="103227"/>
    <x v="31"/>
    <n v="3239557"/>
    <s v="CRCA SHEET TATCRC SR16 0.400X1250X2500"/>
    <s v=""/>
    <m/>
    <m/>
    <m/>
    <m/>
    <s v="C06"/>
    <s v="TATCRC"/>
    <s v="SR16"/>
    <n v="0.4"/>
    <n v="1250"/>
    <n v="0"/>
    <n v="30"/>
    <n v="0"/>
    <n v="30"/>
    <n v="30"/>
    <n v="30"/>
    <n v="30"/>
    <n v="0"/>
    <n v="0"/>
    <n v="0"/>
    <n v="0"/>
    <n v="0"/>
    <n v="0"/>
    <n v="0"/>
    <n v="0"/>
    <n v="0"/>
    <n v="0"/>
    <n v="0"/>
    <n v="0"/>
    <n v="0"/>
    <n v="0"/>
    <n v="0"/>
    <n v="0"/>
    <n v="0"/>
    <n v="0"/>
    <n v="0"/>
    <n v="0"/>
    <n v="0"/>
    <n v="0"/>
    <n v="0"/>
    <m/>
    <m/>
    <m/>
    <m/>
    <m/>
    <m/>
    <m/>
    <m/>
    <m/>
    <m/>
    <m/>
    <m/>
    <m/>
    <m/>
    <m/>
    <m/>
    <m/>
    <m/>
    <m/>
    <m/>
    <m/>
    <m/>
    <m/>
    <m/>
    <m/>
    <m/>
    <m/>
    <m/>
    <m/>
    <m/>
    <m/>
    <m/>
    <m/>
    <m/>
    <m/>
    <m/>
    <m/>
    <m/>
    <m/>
    <m/>
    <m/>
    <m/>
    <m/>
    <m/>
    <m/>
    <m/>
    <m/>
    <m/>
    <m/>
  </r>
  <r>
    <n v="742"/>
    <d v="2025-04-15T00:00:00"/>
    <s v="ZBTO"/>
    <n v="9518695139"/>
    <n v="6"/>
    <s v="9518695139-6"/>
    <s v="No Priority"/>
    <x v="0"/>
    <m/>
    <x v="1"/>
    <x v="2"/>
    <n v="2000"/>
    <m/>
    <x v="0"/>
    <m/>
    <m/>
    <s v="Bihar"/>
    <s v="East"/>
    <m/>
    <m/>
    <n v="103227"/>
    <x v="31"/>
    <n v="3239568"/>
    <s v="CRCA SHEET TATCRC SR16 0.450X1250X2500"/>
    <s v=""/>
    <m/>
    <m/>
    <m/>
    <m/>
    <s v="C06"/>
    <s v="TATCRC"/>
    <s v="SR16"/>
    <n v="0.45"/>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4-15T00:00:00"/>
    <s v="ZBTO"/>
    <n v="9518695139"/>
    <n v="7"/>
    <s v="9518695139-7"/>
    <s v="No Priority"/>
    <x v="0"/>
    <m/>
    <x v="1"/>
    <x v="2"/>
    <n v="2000"/>
    <m/>
    <x v="0"/>
    <m/>
    <m/>
    <s v="Bihar"/>
    <s v="East"/>
    <m/>
    <m/>
    <n v="103227"/>
    <x v="31"/>
    <n v="2441006"/>
    <s v="CRCA SHEET TATCRC SR16 0.480X1250X2500"/>
    <s v=""/>
    <m/>
    <m/>
    <m/>
    <m/>
    <s v="C06"/>
    <s v="TATCRC"/>
    <s v="SR16"/>
    <n v="0.48"/>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4-15T00:00:00"/>
    <s v="ZBTO"/>
    <n v="9518695139"/>
    <n v="8"/>
    <s v="9518695139-8"/>
    <s v="No Priority"/>
    <x v="0"/>
    <m/>
    <x v="1"/>
    <x v="2"/>
    <n v="2000"/>
    <m/>
    <x v="0"/>
    <m/>
    <m/>
    <s v="Bihar"/>
    <s v="East"/>
    <m/>
    <m/>
    <n v="103227"/>
    <x v="31"/>
    <n v="3240778"/>
    <s v="CRCA SHEET TSBCRC SR15 0.600X1000X2500"/>
    <s v=""/>
    <m/>
    <m/>
    <m/>
    <m/>
    <s v="C06"/>
    <s v="TSBCRC"/>
    <s v="SR15"/>
    <n v="0.6"/>
    <n v="1000"/>
    <n v="2500"/>
    <n v="24"/>
    <n v="0"/>
    <n v="24"/>
    <n v="24"/>
    <n v="1.5599999999999987"/>
    <n v="24"/>
    <n v="0"/>
    <n v="0"/>
    <n v="0"/>
    <n v="0"/>
    <n v="0"/>
    <n v="0"/>
    <n v="0"/>
    <n v="0"/>
    <n v="0"/>
    <n v="0"/>
    <n v="0"/>
    <n v="0"/>
    <n v="0"/>
    <n v="22.44"/>
    <n v="0"/>
    <n v="0"/>
    <n v="0"/>
    <n v="0"/>
    <n v="0"/>
    <n v="22.44"/>
    <n v="22.44"/>
    <n v="0"/>
    <n v="22.44"/>
    <m/>
    <m/>
    <m/>
    <m/>
    <m/>
    <m/>
    <m/>
    <m/>
    <m/>
    <m/>
    <m/>
    <m/>
    <m/>
    <m/>
    <m/>
    <m/>
    <m/>
    <m/>
    <m/>
    <m/>
    <m/>
    <m/>
    <m/>
    <m/>
    <m/>
    <m/>
    <m/>
    <m/>
    <m/>
    <m/>
    <m/>
    <m/>
    <m/>
    <m/>
    <m/>
    <m/>
    <m/>
    <m/>
    <m/>
    <m/>
    <m/>
    <m/>
    <m/>
    <m/>
    <m/>
    <m/>
    <m/>
    <m/>
    <m/>
  </r>
  <r>
    <n v="742"/>
    <d v="2025-04-15T00:00:00"/>
    <s v="ZBTO"/>
    <n v="9518695139"/>
    <n v="9"/>
    <s v="9518695139-9"/>
    <s v="No Priority"/>
    <x v="0"/>
    <m/>
    <x v="1"/>
    <x v="2"/>
    <n v="2000"/>
    <m/>
    <x v="0"/>
    <m/>
    <m/>
    <s v="Bihar"/>
    <s v="East"/>
    <m/>
    <m/>
    <n v="103227"/>
    <x v="31"/>
    <n v="3240849"/>
    <s v="CRCA SHEET TSBCRC SR15 1.200X1250X2500"/>
    <s v=""/>
    <m/>
    <m/>
    <m/>
    <m/>
    <s v="C06"/>
    <s v="TSBCRC"/>
    <s v="SR15"/>
    <n v="1.2"/>
    <n v="1250"/>
    <n v="0"/>
    <n v="24"/>
    <n v="0"/>
    <n v="24"/>
    <n v="24"/>
    <n v="24"/>
    <n v="24"/>
    <n v="0"/>
    <n v="0"/>
    <n v="0"/>
    <n v="0"/>
    <n v="0"/>
    <n v="0"/>
    <n v="0"/>
    <n v="0"/>
    <n v="0"/>
    <n v="0"/>
    <n v="0"/>
    <n v="0"/>
    <n v="0"/>
    <n v="0"/>
    <n v="0"/>
    <n v="0"/>
    <n v="0"/>
    <n v="0"/>
    <n v="0"/>
    <n v="0"/>
    <n v="0"/>
    <n v="0"/>
    <n v="0"/>
    <m/>
    <m/>
    <m/>
    <m/>
    <m/>
    <m/>
    <m/>
    <m/>
    <m/>
    <m/>
    <m/>
    <m/>
    <m/>
    <m/>
    <m/>
    <m/>
    <m/>
    <m/>
    <m/>
    <m/>
    <m/>
    <m/>
    <m/>
    <m/>
    <m/>
    <m/>
    <m/>
    <m/>
    <m/>
    <m/>
    <m/>
    <m/>
    <m/>
    <m/>
    <m/>
    <m/>
    <m/>
    <m/>
    <m/>
    <m/>
    <m/>
    <m/>
    <m/>
    <m/>
    <m/>
    <m/>
    <m/>
    <m/>
    <m/>
  </r>
  <r>
    <n v="743"/>
    <d v="2025-03-25T00:00:00"/>
    <s v="ZBTO"/>
    <n v="9518631278"/>
    <n v="4"/>
    <s v="9518631278-4"/>
    <s v="May'25"/>
    <x v="0"/>
    <s v="Yes"/>
    <x v="3"/>
    <x v="9"/>
    <n v="2000"/>
    <m/>
    <x v="1"/>
    <m/>
    <m/>
    <s v="West Bengal"/>
    <s v="East"/>
    <m/>
    <m/>
    <n v="100922"/>
    <x v="36"/>
    <n v="1853143"/>
    <s v="GP COIL SOFT-TATXGP-GLK1-0.4X900"/>
    <s v=""/>
    <m/>
    <m/>
    <m/>
    <m/>
    <s v="C02"/>
    <s v="TATXGP"/>
    <s v="GLK1"/>
    <n v="0.4"/>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3-25T00:00:00"/>
    <s v="ZBTO"/>
    <n v="9518631278"/>
    <n v="5"/>
    <s v="9518631278-5"/>
    <s v="May'25"/>
    <x v="0"/>
    <s v="Yes"/>
    <x v="3"/>
    <x v="9"/>
    <n v="2000"/>
    <m/>
    <x v="1"/>
    <m/>
    <m/>
    <s v="West Bengal"/>
    <s v="East"/>
    <m/>
    <m/>
    <n v="100922"/>
    <x v="36"/>
    <n v="1142895"/>
    <s v="GP COIL SOFT-TATXGP-GLK1-0.5X900"/>
    <s v=""/>
    <m/>
    <m/>
    <m/>
    <m/>
    <s v="C02"/>
    <s v="TATXGP"/>
    <s v="GLK1"/>
    <n v="0.5"/>
    <n v="900"/>
    <n v="0"/>
    <n v="147"/>
    <n v="0"/>
    <n v="147"/>
    <n v="147"/>
    <n v="147"/>
    <n v="147"/>
    <n v="0"/>
    <n v="0"/>
    <n v="0"/>
    <n v="0"/>
    <n v="0"/>
    <n v="0"/>
    <n v="0"/>
    <n v="0"/>
    <n v="0"/>
    <n v="0"/>
    <n v="0"/>
    <n v="0"/>
    <n v="0"/>
    <n v="0"/>
    <n v="0"/>
    <n v="0"/>
    <n v="0"/>
    <n v="0"/>
    <n v="0"/>
    <n v="0"/>
    <n v="0"/>
    <n v="0"/>
    <n v="0"/>
    <m/>
    <m/>
    <m/>
    <m/>
    <m/>
    <m/>
    <m/>
    <m/>
    <m/>
    <m/>
    <m/>
    <m/>
    <m/>
    <m/>
    <m/>
    <m/>
    <m/>
    <m/>
    <m/>
    <m/>
    <m/>
    <m/>
    <m/>
    <m/>
    <m/>
    <m/>
    <m/>
    <m/>
    <m/>
    <m/>
    <m/>
    <m/>
    <m/>
    <m/>
    <m/>
    <m/>
    <m/>
    <m/>
    <m/>
    <m/>
    <m/>
    <m/>
    <m/>
    <m/>
    <m/>
    <m/>
    <m/>
    <m/>
    <m/>
  </r>
  <r>
    <n v="743"/>
    <d v="2025-03-25T00:00:00"/>
    <s v="ZBTO"/>
    <n v="9518631278"/>
    <n v="6"/>
    <s v="9518631278-6"/>
    <s v="May'25"/>
    <x v="0"/>
    <s v="Yes"/>
    <x v="3"/>
    <x v="9"/>
    <n v="2000"/>
    <m/>
    <x v="1"/>
    <m/>
    <m/>
    <s v="West Bengal"/>
    <s v="East"/>
    <m/>
    <m/>
    <n v="100922"/>
    <x v="36"/>
    <n v="3215894"/>
    <s v="GP COIL SOFT-TATXGP-GLK1-0.6X900"/>
    <s v=""/>
    <m/>
    <m/>
    <m/>
    <m/>
    <s v="C02"/>
    <s v="TATXGP"/>
    <s v="GLK1"/>
    <n v="0.6"/>
    <n v="900"/>
    <n v="0"/>
    <n v="105"/>
    <n v="0"/>
    <n v="105"/>
    <n v="105"/>
    <n v="6.2299999999999898"/>
    <n v="105"/>
    <n v="0"/>
    <n v="0"/>
    <n v="0"/>
    <n v="20.61"/>
    <n v="20.54"/>
    <n v="0"/>
    <n v="57.620000000000005"/>
    <n v="0"/>
    <n v="0"/>
    <n v="0"/>
    <n v="0"/>
    <n v="0"/>
    <n v="0"/>
    <n v="0"/>
    <n v="0"/>
    <n v="0"/>
    <n v="0"/>
    <n v="0"/>
    <n v="0"/>
    <n v="98.77000000000001"/>
    <n v="98.77000000000001"/>
    <n v="0"/>
    <n v="98.77000000000001"/>
    <m/>
    <m/>
    <m/>
    <m/>
    <m/>
    <m/>
    <m/>
    <m/>
    <m/>
    <m/>
    <m/>
    <m/>
    <m/>
    <m/>
    <m/>
    <m/>
    <m/>
    <m/>
    <m/>
    <m/>
    <m/>
    <m/>
    <m/>
    <m/>
    <m/>
    <m/>
    <m/>
    <m/>
    <m/>
    <m/>
    <m/>
    <m/>
    <m/>
    <m/>
    <m/>
    <m/>
    <m/>
    <m/>
    <m/>
    <m/>
    <m/>
    <m/>
    <m/>
    <m/>
    <m/>
    <m/>
    <m/>
    <m/>
    <m/>
  </r>
  <r>
    <n v="742"/>
    <d v="2025-04-15T00:00:00"/>
    <s v="ZBTO"/>
    <n v="9518694569"/>
    <n v="1"/>
    <s v="9518694569-1"/>
    <s v="May'25"/>
    <x v="0"/>
    <m/>
    <x v="1"/>
    <x v="10"/>
    <n v="1000"/>
    <m/>
    <x v="1"/>
    <m/>
    <m/>
    <s v="Andhra Pradesh"/>
    <s v="South"/>
    <m/>
    <m/>
    <n v="948853"/>
    <x v="90"/>
    <n v="3945230"/>
    <s v="CRCA SHEET TATXXD BT02 0.800X920X1805"/>
    <s v=""/>
    <m/>
    <m/>
    <m/>
    <m/>
    <s v="C06"/>
    <s v="TATXXD"/>
    <s v="BT02"/>
    <n v="0.8"/>
    <n v="920"/>
    <n v="0"/>
    <n v="270"/>
    <n v="0"/>
    <n v="270"/>
    <n v="270"/>
    <n v="248.95"/>
    <n v="270"/>
    <n v="0"/>
    <n v="0"/>
    <n v="0"/>
    <n v="21.05"/>
    <n v="0"/>
    <n v="0"/>
    <n v="0"/>
    <n v="0"/>
    <n v="0"/>
    <n v="0"/>
    <n v="0"/>
    <n v="0"/>
    <n v="0"/>
    <n v="0"/>
    <n v="0"/>
    <n v="0"/>
    <n v="0"/>
    <n v="0"/>
    <n v="0"/>
    <n v="21.05"/>
    <n v="21.05"/>
    <n v="0"/>
    <n v="21.05"/>
    <m/>
    <m/>
    <m/>
    <m/>
    <m/>
    <m/>
    <m/>
    <m/>
    <m/>
    <m/>
    <m/>
    <m/>
    <m/>
    <m/>
    <m/>
    <m/>
    <m/>
    <m/>
    <m/>
    <m/>
    <m/>
    <m/>
    <m/>
    <m/>
    <m/>
    <m/>
    <m/>
    <m/>
    <m/>
    <m/>
    <m/>
    <m/>
    <m/>
    <m/>
    <m/>
    <m/>
    <m/>
    <m/>
    <m/>
    <m/>
    <m/>
    <m/>
    <m/>
    <m/>
    <m/>
    <m/>
    <m/>
    <m/>
    <m/>
  </r>
  <r>
    <n v="743"/>
    <d v="2025-03-19T00:00:00"/>
    <s v="ZBTO"/>
    <n v="9518613228"/>
    <n v="1"/>
    <s v="9518613228-1"/>
    <s v="No Priority"/>
    <x v="1"/>
    <m/>
    <x v="3"/>
    <x v="9"/>
    <n v="2000"/>
    <m/>
    <x v="0"/>
    <m/>
    <m/>
    <s v="Haryana"/>
    <s v="North"/>
    <m/>
    <m/>
    <n v="185408"/>
    <x v="110"/>
    <n v="2270690"/>
    <s v="GP COIL SOFT TATXGP GLK1 0.25X1000"/>
    <n v="80"/>
    <m/>
    <m/>
    <m/>
    <m/>
    <s v="C02"/>
    <s v="TATXGP"/>
    <s v="GLK1"/>
    <n v="0.25"/>
    <n v="1000"/>
    <n v="0"/>
    <n v="23"/>
    <n v="0"/>
    <n v="23"/>
    <n v="23"/>
    <n v="23"/>
    <n v="23"/>
    <n v="0"/>
    <n v="0"/>
    <n v="0"/>
    <n v="0"/>
    <n v="0"/>
    <n v="0"/>
    <n v="0"/>
    <n v="0"/>
    <n v="0"/>
    <n v="0"/>
    <n v="0"/>
    <n v="0"/>
    <n v="0"/>
    <n v="0"/>
    <n v="0"/>
    <n v="0"/>
    <n v="0"/>
    <n v="0"/>
    <n v="0"/>
    <n v="0"/>
    <n v="0"/>
    <n v="0"/>
    <n v="0"/>
    <m/>
    <m/>
    <m/>
    <m/>
    <m/>
    <m/>
    <m/>
    <m/>
    <m/>
    <m/>
    <m/>
    <m/>
    <m/>
    <m/>
    <m/>
    <m/>
    <m/>
    <m/>
    <m/>
    <m/>
    <m/>
    <m/>
    <m/>
    <m/>
    <m/>
    <m/>
    <m/>
    <m/>
    <m/>
    <m/>
    <m/>
    <m/>
    <m/>
    <m/>
    <m/>
    <m/>
    <m/>
    <m/>
    <m/>
    <m/>
    <m/>
    <m/>
    <m/>
    <m/>
    <m/>
    <m/>
    <m/>
    <m/>
    <m/>
  </r>
  <r>
    <n v="742"/>
    <d v="2025-04-09T00:00:00"/>
    <s v="ZBTO"/>
    <n v="9518680501"/>
    <n v="2"/>
    <s v="9518680501-2"/>
    <s v="May'25"/>
    <x v="0"/>
    <s v="Yes"/>
    <x v="0"/>
    <x v="0"/>
    <n v="2000"/>
    <m/>
    <x v="1"/>
    <m/>
    <m/>
    <s v="Karnataka"/>
    <s v="South"/>
    <m/>
    <m/>
    <n v="932179"/>
    <x v="45"/>
    <n v="1250221"/>
    <s v="HR COILS-PO IS 1079 HR2 2.50X1250"/>
    <s v=""/>
    <m/>
    <m/>
    <m/>
    <m/>
    <n v="768"/>
    <s v="THR099"/>
    <s v="HR99"/>
    <n v="0"/>
    <n v="0"/>
    <n v="0"/>
    <n v="100"/>
    <n v="0"/>
    <n v="100"/>
    <n v="100"/>
    <n v="100"/>
    <n v="100"/>
    <n v="0"/>
    <n v="0"/>
    <n v="0"/>
    <n v="0"/>
    <n v="0"/>
    <n v="0"/>
    <n v="0"/>
    <n v="0"/>
    <n v="0"/>
    <n v="0"/>
    <n v="0"/>
    <n v="0"/>
    <n v="0"/>
    <n v="0"/>
    <n v="0"/>
    <n v="0"/>
    <n v="0"/>
    <n v="0"/>
    <n v="0"/>
    <n v="0"/>
    <n v="0"/>
    <n v="0"/>
    <n v="0"/>
    <m/>
    <m/>
    <m/>
    <m/>
    <m/>
    <m/>
    <m/>
    <m/>
    <m/>
    <m/>
    <m/>
    <m/>
    <m/>
    <m/>
    <m/>
    <m/>
    <m/>
    <m/>
    <m/>
    <m/>
    <m/>
    <m/>
    <m/>
    <m/>
    <m/>
    <m/>
    <m/>
    <m/>
    <m/>
    <m/>
    <m/>
    <m/>
    <m/>
    <m/>
    <m/>
    <m/>
    <m/>
    <m/>
    <m/>
    <m/>
    <m/>
    <m/>
    <m/>
    <m/>
    <m/>
    <m/>
    <m/>
    <m/>
    <m/>
  </r>
  <r>
    <n v="742"/>
    <d v="2025-04-09T00:00:00"/>
    <s v="ZBTO"/>
    <n v="9518680501"/>
    <n v="3"/>
    <s v="9518680501-3"/>
    <s v="May'25"/>
    <x v="0"/>
    <s v="Yes"/>
    <x v="0"/>
    <x v="0"/>
    <n v="2000"/>
    <m/>
    <x v="1"/>
    <m/>
    <m/>
    <s v="Karnataka"/>
    <s v="South"/>
    <m/>
    <m/>
    <n v="932179"/>
    <x v="45"/>
    <n v="1252834"/>
    <s v="HR COILS-PO IS 1079 HR2 3.0X1250"/>
    <s v=""/>
    <m/>
    <m/>
    <m/>
    <m/>
    <n v="768"/>
    <s v="THR099"/>
    <s v="HR99"/>
    <n v="3"/>
    <n v="1250"/>
    <n v="0"/>
    <n v="75"/>
    <n v="0"/>
    <n v="75"/>
    <n v="75"/>
    <n v="75"/>
    <n v="75"/>
    <n v="0"/>
    <n v="0"/>
    <n v="0"/>
    <n v="0"/>
    <n v="0"/>
    <n v="0"/>
    <n v="0"/>
    <n v="0"/>
    <n v="0"/>
    <n v="0"/>
    <n v="0"/>
    <n v="0"/>
    <n v="0"/>
    <n v="0"/>
    <n v="0"/>
    <n v="0"/>
    <n v="0"/>
    <n v="0"/>
    <n v="0"/>
    <n v="0"/>
    <n v="0"/>
    <n v="0"/>
    <n v="0"/>
    <m/>
    <m/>
    <m/>
    <m/>
    <m/>
    <m/>
    <m/>
    <m/>
    <m/>
    <m/>
    <m/>
    <m/>
    <m/>
    <m/>
    <m/>
    <m/>
    <m/>
    <m/>
    <m/>
    <m/>
    <m/>
    <m/>
    <m/>
    <m/>
    <m/>
    <m/>
    <m/>
    <m/>
    <m/>
    <m/>
    <m/>
    <m/>
    <m/>
    <m/>
    <m/>
    <m/>
    <m/>
    <m/>
    <m/>
    <m/>
    <m/>
    <m/>
    <m/>
    <m/>
    <m/>
    <m/>
    <m/>
    <m/>
    <m/>
  </r>
  <r>
    <n v="742"/>
    <d v="2025-04-09T00:00:00"/>
    <s v="ZBTO"/>
    <n v="9518680501"/>
    <n v="4"/>
    <s v="9518680501-4"/>
    <s v="May'25"/>
    <x v="0"/>
    <s v="Yes"/>
    <x v="0"/>
    <x v="0"/>
    <n v="2000"/>
    <m/>
    <x v="1"/>
    <m/>
    <m/>
    <s v="Karnataka"/>
    <s v="South"/>
    <m/>
    <m/>
    <n v="932179"/>
    <x v="45"/>
    <n v="1210086"/>
    <s v="HR COILS-PO IS 1079 HR2 4X1250"/>
    <s v=""/>
    <m/>
    <m/>
    <m/>
    <m/>
    <n v="768"/>
    <s v="THR099"/>
    <s v="HR99"/>
    <n v="4"/>
    <n v="1250"/>
    <n v="0"/>
    <n v="75"/>
    <n v="0"/>
    <n v="75"/>
    <n v="75"/>
    <n v="75"/>
    <n v="75"/>
    <n v="0"/>
    <n v="0"/>
    <n v="0"/>
    <n v="0"/>
    <n v="0"/>
    <n v="0"/>
    <n v="0"/>
    <n v="0"/>
    <n v="0"/>
    <n v="0"/>
    <n v="0"/>
    <n v="0"/>
    <n v="0"/>
    <n v="0"/>
    <n v="0"/>
    <n v="0"/>
    <n v="0"/>
    <n v="0"/>
    <n v="0"/>
    <n v="0"/>
    <n v="0"/>
    <n v="0"/>
    <n v="0"/>
    <m/>
    <m/>
    <m/>
    <m/>
    <m/>
    <m/>
    <m/>
    <m/>
    <m/>
    <m/>
    <m/>
    <m/>
    <m/>
    <m/>
    <m/>
    <m/>
    <m/>
    <m/>
    <m/>
    <m/>
    <m/>
    <m/>
    <m/>
    <m/>
    <m/>
    <m/>
    <m/>
    <m/>
    <m/>
    <m/>
    <m/>
    <m/>
    <m/>
    <m/>
    <m/>
    <m/>
    <m/>
    <m/>
    <m/>
    <m/>
    <m/>
    <m/>
    <m/>
    <m/>
    <m/>
    <m/>
    <m/>
    <m/>
    <m/>
  </r>
  <r>
    <n v="742"/>
    <d v="2025-04-09T00:00:00"/>
    <s v="ZBTO"/>
    <n v="9518680501"/>
    <n v="5"/>
    <s v="9518680501-5"/>
    <s v="May'25"/>
    <x v="0"/>
    <s v="Yes"/>
    <x v="0"/>
    <x v="0"/>
    <n v="2000"/>
    <m/>
    <x v="1"/>
    <m/>
    <m/>
    <s v="Karnataka"/>
    <s v="South"/>
    <m/>
    <m/>
    <n v="932179"/>
    <x v="45"/>
    <n v="1210097"/>
    <s v="HR COILS-PO IS 1079 HR2 5X1250"/>
    <s v=""/>
    <m/>
    <m/>
    <m/>
    <m/>
    <n v="768"/>
    <s v="THR099"/>
    <s v="HR99"/>
    <n v="5"/>
    <n v="1250"/>
    <n v="0"/>
    <n v="75"/>
    <n v="0"/>
    <n v="75"/>
    <n v="75"/>
    <n v="75"/>
    <n v="75"/>
    <n v="0"/>
    <n v="0"/>
    <n v="0"/>
    <n v="0"/>
    <n v="0"/>
    <n v="0"/>
    <n v="0"/>
    <n v="0"/>
    <n v="0"/>
    <n v="0"/>
    <n v="0"/>
    <n v="0"/>
    <n v="0"/>
    <n v="0"/>
    <n v="0"/>
    <n v="0"/>
    <n v="0"/>
    <n v="0"/>
    <n v="0"/>
    <n v="0"/>
    <n v="0"/>
    <n v="0"/>
    <n v="0"/>
    <m/>
    <m/>
    <m/>
    <m/>
    <m/>
    <m/>
    <m/>
    <m/>
    <m/>
    <m/>
    <m/>
    <m/>
    <m/>
    <m/>
    <m/>
    <m/>
    <m/>
    <m/>
    <m/>
    <m/>
    <m/>
    <m/>
    <m/>
    <m/>
    <m/>
    <m/>
    <m/>
    <m/>
    <m/>
    <m/>
    <m/>
    <m/>
    <m/>
    <m/>
    <m/>
    <m/>
    <m/>
    <m/>
    <m/>
    <m/>
    <m/>
    <m/>
    <m/>
    <m/>
    <m/>
    <m/>
    <m/>
    <m/>
    <m/>
  </r>
  <r>
    <n v="742"/>
    <d v="2025-04-09T00:00:00"/>
    <s v="ZBTO"/>
    <n v="9518680501"/>
    <n v="6"/>
    <s v="9518680501-6"/>
    <s v="May'25"/>
    <x v="0"/>
    <s v="Yes"/>
    <x v="0"/>
    <x v="0"/>
    <n v="2000"/>
    <m/>
    <x v="1"/>
    <m/>
    <m/>
    <s v="Karnataka"/>
    <s v="South"/>
    <m/>
    <m/>
    <n v="932179"/>
    <x v="45"/>
    <n v="1210083"/>
    <s v="HR COILS-PO IS 1079 HR2 2X1250"/>
    <s v=""/>
    <m/>
    <m/>
    <m/>
    <m/>
    <n v="768"/>
    <s v="THR099"/>
    <s v="HR99"/>
    <n v="2"/>
    <n v="1250"/>
    <n v="0"/>
    <n v="75"/>
    <n v="0"/>
    <n v="75"/>
    <n v="75"/>
    <n v="75"/>
    <n v="75"/>
    <n v="0"/>
    <n v="0"/>
    <n v="0"/>
    <n v="0"/>
    <n v="0"/>
    <n v="0"/>
    <n v="0"/>
    <n v="0"/>
    <n v="0"/>
    <n v="0"/>
    <n v="0"/>
    <n v="0"/>
    <n v="0"/>
    <n v="0"/>
    <n v="0"/>
    <n v="0"/>
    <n v="0"/>
    <n v="0"/>
    <n v="0"/>
    <n v="0"/>
    <n v="0"/>
    <n v="0"/>
    <n v="0"/>
    <m/>
    <m/>
    <m/>
    <m/>
    <m/>
    <m/>
    <m/>
    <m/>
    <m/>
    <m/>
    <m/>
    <m/>
    <m/>
    <m/>
    <m/>
    <m/>
    <m/>
    <m/>
    <m/>
    <m/>
    <m/>
    <m/>
    <m/>
    <m/>
    <m/>
    <m/>
    <m/>
    <m/>
    <m/>
    <m/>
    <m/>
    <m/>
    <m/>
    <m/>
    <m/>
    <m/>
    <m/>
    <m/>
    <m/>
    <m/>
    <m/>
    <m/>
    <m/>
    <m/>
    <m/>
    <m/>
    <m/>
    <m/>
    <m/>
  </r>
  <r>
    <n v="742"/>
    <d v="2025-04-10T00:00:00"/>
    <s v="ZBTO"/>
    <n v="9518681889"/>
    <n v="2"/>
    <s v="9518681889-2"/>
    <s v="No Priority"/>
    <x v="0"/>
    <m/>
    <x v="1"/>
    <x v="1"/>
    <n v="2000"/>
    <m/>
    <x v="0"/>
    <m/>
    <m/>
    <s v="Karnataka"/>
    <s v="South"/>
    <m/>
    <m/>
    <n v="932244"/>
    <x v="34"/>
    <n v="3238263"/>
    <s v="CRCA SHEET TATXXD AU03 0.400X1250X2500"/>
    <s v=""/>
    <m/>
    <m/>
    <m/>
    <m/>
    <s v="C06"/>
    <s v="TATXXD"/>
    <s v="AU03"/>
    <n v="0.4"/>
    <n v="1250"/>
    <n v="2500"/>
    <n v="51"/>
    <n v="0"/>
    <n v="51"/>
    <n v="51"/>
    <n v="50.81"/>
    <n v="11.335000000000001"/>
    <n v="0"/>
    <n v="0"/>
    <n v="0"/>
    <n v="0"/>
    <n v="0"/>
    <n v="0"/>
    <n v="0"/>
    <n v="0"/>
    <n v="0.19"/>
    <n v="0"/>
    <n v="0"/>
    <n v="0"/>
    <n v="0"/>
    <n v="0"/>
    <n v="0"/>
    <n v="0"/>
    <n v="0"/>
    <n v="0"/>
    <n v="0"/>
    <n v="0.19"/>
    <n v="0.19"/>
    <n v="0"/>
    <n v="0.19"/>
    <m/>
    <m/>
    <m/>
    <m/>
    <m/>
    <m/>
    <m/>
    <m/>
    <m/>
    <m/>
    <m/>
    <m/>
    <m/>
    <m/>
    <m/>
    <m/>
    <m/>
    <m/>
    <m/>
    <m/>
    <m/>
    <m/>
    <m/>
    <m/>
    <m/>
    <m/>
    <m/>
    <m/>
    <m/>
    <m/>
    <m/>
    <m/>
    <m/>
    <m/>
    <m/>
    <m/>
    <m/>
    <m/>
    <m/>
    <m/>
    <m/>
    <m/>
    <m/>
    <m/>
    <m/>
    <m/>
    <m/>
    <m/>
    <m/>
  </r>
  <r>
    <n v="742"/>
    <d v="2025-04-10T00:00:00"/>
    <s v="ZBTO"/>
    <n v="9518682481"/>
    <n v="7"/>
    <s v="9518682481-7"/>
    <s v="No Priority"/>
    <x v="0"/>
    <m/>
    <x v="1"/>
    <x v="1"/>
    <n v="2000"/>
    <m/>
    <x v="0"/>
    <m/>
    <m/>
    <s v="Karnataka"/>
    <s v="South"/>
    <m/>
    <m/>
    <n v="932244"/>
    <x v="34"/>
    <n v="274376"/>
    <s v="CRSHEET C06TATXXD AU03 2.0X1250X2500"/>
    <s v=""/>
    <m/>
    <m/>
    <m/>
    <m/>
    <s v="C06"/>
    <s v="TATXXD"/>
    <s v="AU03"/>
    <n v="2"/>
    <n v="1250"/>
    <n v="2500"/>
    <n v="102"/>
    <n v="0"/>
    <n v="102"/>
    <n v="102"/>
    <n v="102"/>
    <n v="102"/>
    <n v="0"/>
    <n v="0"/>
    <n v="0"/>
    <n v="0"/>
    <n v="0"/>
    <n v="0"/>
    <n v="0"/>
    <n v="0"/>
    <n v="0"/>
    <n v="0"/>
    <n v="0"/>
    <n v="0"/>
    <n v="0"/>
    <n v="0"/>
    <n v="0"/>
    <n v="0"/>
    <n v="0"/>
    <n v="0"/>
    <n v="0"/>
    <n v="0"/>
    <n v="0"/>
    <n v="0"/>
    <n v="0"/>
    <m/>
    <m/>
    <m/>
    <m/>
    <m/>
    <m/>
    <m/>
    <m/>
    <m/>
    <m/>
    <m/>
    <m/>
    <m/>
    <m/>
    <m/>
    <m/>
    <m/>
    <m/>
    <m/>
    <m/>
    <m/>
    <m/>
    <m/>
    <m/>
    <m/>
    <m/>
    <m/>
    <m/>
    <m/>
    <m/>
    <m/>
    <m/>
    <m/>
    <m/>
    <m/>
    <m/>
    <m/>
    <m/>
    <m/>
    <m/>
    <m/>
    <m/>
    <m/>
    <m/>
    <m/>
    <m/>
    <m/>
    <m/>
    <m/>
  </r>
  <r>
    <n v="742"/>
    <d v="2025-03-08T00:00:00"/>
    <s v="ZBTO"/>
    <n v="9518584477"/>
    <n v="1"/>
    <s v="9518584477-1"/>
    <s v="No Priority"/>
    <x v="1"/>
    <m/>
    <x v="1"/>
    <x v="1"/>
    <n v="2000"/>
    <m/>
    <x v="0"/>
    <m/>
    <m/>
    <s v="Telangana"/>
    <s v="South"/>
    <m/>
    <m/>
    <n v="847544"/>
    <x v="79"/>
    <n v="185675"/>
    <s v="CRCA COIL-TATXXD-AU03-0.5X1250"/>
    <s v=""/>
    <m/>
    <m/>
    <m/>
    <m/>
    <s v="C01"/>
    <s v="TATXXD"/>
    <s v="AU03"/>
    <n v="0.5"/>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7T00:00:00"/>
    <s v="ZBTO"/>
    <n v="9518698491"/>
    <n v="1"/>
    <s v="9518698491-1"/>
    <s v="May'25"/>
    <x v="0"/>
    <m/>
    <x v="1"/>
    <x v="7"/>
    <n v="1000"/>
    <m/>
    <x v="1"/>
    <m/>
    <m/>
    <s v="Gujarat"/>
    <s v="West"/>
    <m/>
    <m/>
    <n v="188891"/>
    <x v="47"/>
    <n v="2439203"/>
    <s v="CRCA COIL TSBSTA EL06 0.500X1160"/>
    <s v=""/>
    <m/>
    <m/>
    <m/>
    <m/>
    <s v="C01"/>
    <s v="TSBSTA"/>
    <s v="EL06"/>
    <n v="0.5"/>
    <n v="1160"/>
    <n v="0"/>
    <n v="54"/>
    <n v="0"/>
    <n v="54"/>
    <n v="54"/>
    <n v="54"/>
    <n v="54"/>
    <n v="0"/>
    <n v="0"/>
    <n v="0"/>
    <n v="0"/>
    <n v="0"/>
    <n v="0"/>
    <n v="0"/>
    <n v="0"/>
    <n v="0"/>
    <n v="0"/>
    <n v="0"/>
    <n v="0"/>
    <n v="0"/>
    <n v="0"/>
    <n v="0"/>
    <n v="0"/>
    <n v="0"/>
    <n v="0"/>
    <n v="0"/>
    <n v="0"/>
    <n v="0"/>
    <n v="0"/>
    <n v="0"/>
    <m/>
    <m/>
    <m/>
    <m/>
    <m/>
    <m/>
    <m/>
    <m/>
    <m/>
    <m/>
    <m/>
    <m/>
    <m/>
    <m/>
    <m/>
    <m/>
    <m/>
    <m/>
    <m/>
    <m/>
    <m/>
    <m/>
    <m/>
    <m/>
    <m/>
    <m/>
    <m/>
    <m/>
    <m/>
    <m/>
    <m/>
    <m/>
    <m/>
    <m/>
    <m/>
    <m/>
    <m/>
    <m/>
    <m/>
    <m/>
    <m/>
    <m/>
    <m/>
    <m/>
    <m/>
    <m/>
    <m/>
    <m/>
    <m/>
  </r>
  <r>
    <n v="742"/>
    <d v="2025-04-17T00:00:00"/>
    <s v="ZBTO"/>
    <n v="9518699641"/>
    <n v="2"/>
    <s v="9518699641-2"/>
    <s v="No Priority"/>
    <x v="1"/>
    <m/>
    <x v="1"/>
    <x v="1"/>
    <n v="2000"/>
    <m/>
    <x v="0"/>
    <m/>
    <m/>
    <s v="Tamil Nadu"/>
    <s v="South"/>
    <m/>
    <m/>
    <n v="161312"/>
    <x v="111"/>
    <n v="2390540"/>
    <s v="CRCA COIL TATXXD AU03 1.800X1250"/>
    <s v=""/>
    <m/>
    <m/>
    <m/>
    <m/>
    <s v="C01"/>
    <s v="TATXXD"/>
    <s v="AU03"/>
    <n v="1.8"/>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3T00:00:00"/>
    <s v="ZBTO"/>
    <n v="9518666887"/>
    <n v="1"/>
    <s v="9518666887-1"/>
    <s v="May'25"/>
    <x v="0"/>
    <s v="Yes"/>
    <x v="1"/>
    <x v="2"/>
    <n v="2000"/>
    <m/>
    <x v="1"/>
    <m/>
    <m/>
    <s v="Uttar Pradesh"/>
    <s v="North"/>
    <m/>
    <m/>
    <n v="931525"/>
    <x v="2"/>
    <n v="3239543"/>
    <s v="CRCA SHEET TATCRC SR16 0.350X1250X2500"/>
    <s v=""/>
    <m/>
    <m/>
    <m/>
    <m/>
    <s v="C06"/>
    <s v="TATCRC"/>
    <s v="SR16"/>
    <n v="0.35"/>
    <n v="1250"/>
    <n v="0"/>
    <n v="27"/>
    <n v="0"/>
    <n v="27"/>
    <n v="27"/>
    <n v="27"/>
    <n v="27"/>
    <n v="0"/>
    <n v="0"/>
    <n v="0"/>
    <n v="0"/>
    <n v="0"/>
    <n v="0"/>
    <n v="0"/>
    <n v="0"/>
    <n v="0"/>
    <n v="0"/>
    <n v="0"/>
    <n v="0"/>
    <n v="0"/>
    <n v="0"/>
    <n v="0"/>
    <n v="0"/>
    <n v="0"/>
    <n v="0"/>
    <n v="0"/>
    <n v="0"/>
    <n v="0"/>
    <n v="0"/>
    <n v="0"/>
    <m/>
    <m/>
    <m/>
    <m/>
    <m/>
    <m/>
    <m/>
    <m/>
    <m/>
    <m/>
    <m/>
    <m/>
    <m/>
    <m/>
    <m/>
    <m/>
    <m/>
    <m/>
    <m/>
    <m/>
    <m/>
    <m/>
    <m/>
    <m/>
    <m/>
    <m/>
    <m/>
    <m/>
    <m/>
    <m/>
    <m/>
    <m/>
    <m/>
    <m/>
    <m/>
    <m/>
    <m/>
    <m/>
    <m/>
    <m/>
    <m/>
    <m/>
    <m/>
    <m/>
    <m/>
    <m/>
    <m/>
    <m/>
    <m/>
  </r>
  <r>
    <n v="742"/>
    <d v="2025-04-03T00:00:00"/>
    <s v="ZBTO"/>
    <n v="9518666887"/>
    <n v="4"/>
    <s v="9518666887-4"/>
    <s v="No Priority"/>
    <x v="1"/>
    <s v="Yes"/>
    <x v="1"/>
    <x v="2"/>
    <n v="2000"/>
    <m/>
    <x v="0"/>
    <m/>
    <m/>
    <s v="Uttar Pradesh"/>
    <s v="North"/>
    <m/>
    <m/>
    <n v="931525"/>
    <x v="2"/>
    <n v="3437524"/>
    <s v="CRCA SHEET TATCRC SR16 0.400X1250X2030"/>
    <s v=""/>
    <m/>
    <m/>
    <m/>
    <m/>
    <s v="C06"/>
    <s v="TATCRC"/>
    <s v="SR16"/>
    <n v="0.4"/>
    <n v="1250"/>
    <n v="2030"/>
    <n v="108"/>
    <n v="0"/>
    <n v="108"/>
    <n v="108"/>
    <n v="108"/>
    <n v="108"/>
    <n v="0"/>
    <n v="0"/>
    <n v="0"/>
    <n v="0"/>
    <n v="0"/>
    <n v="0"/>
    <n v="0"/>
    <n v="0"/>
    <n v="0"/>
    <n v="0"/>
    <n v="0"/>
    <n v="0"/>
    <n v="0"/>
    <n v="0"/>
    <n v="0"/>
    <n v="0"/>
    <n v="0"/>
    <n v="0"/>
    <n v="0"/>
    <n v="0"/>
    <n v="0"/>
    <n v="0"/>
    <n v="0"/>
    <m/>
    <m/>
    <m/>
    <m/>
    <m/>
    <m/>
    <m/>
    <m/>
    <m/>
    <m/>
    <m/>
    <m/>
    <m/>
    <m/>
    <m/>
    <m/>
    <m/>
    <m/>
    <m/>
    <m/>
    <m/>
    <m/>
    <m/>
    <m/>
    <m/>
    <m/>
    <m/>
    <m/>
    <m/>
    <m/>
    <m/>
    <m/>
    <m/>
    <m/>
    <m/>
    <m/>
    <m/>
    <m/>
    <m/>
    <m/>
    <m/>
    <m/>
    <m/>
    <m/>
    <m/>
    <m/>
    <m/>
    <m/>
    <m/>
  </r>
  <r>
    <n v="742"/>
    <d v="2025-04-03T00:00:00"/>
    <s v="ZBTO"/>
    <n v="9518666887"/>
    <n v="6"/>
    <s v="9518666887-6"/>
    <s v="No Priority"/>
    <x v="0"/>
    <s v="Yes"/>
    <x v="1"/>
    <x v="2"/>
    <n v="2000"/>
    <m/>
    <x v="0"/>
    <m/>
    <m/>
    <s v="Uttar Pradesh"/>
    <s v="North"/>
    <m/>
    <m/>
    <n v="931525"/>
    <x v="2"/>
    <n v="3240761"/>
    <s v="CRCA SHEET TSBCRC SR15 0.500X1250X2030"/>
    <s v=""/>
    <m/>
    <m/>
    <m/>
    <m/>
    <s v="C06"/>
    <s v="TSBCRC"/>
    <s v="SR15"/>
    <n v="0.5"/>
    <n v="1250"/>
    <n v="2030"/>
    <n v="81"/>
    <n v="0"/>
    <n v="81"/>
    <n v="81"/>
    <n v="81"/>
    <n v="81"/>
    <n v="0"/>
    <n v="0"/>
    <n v="0"/>
    <n v="0"/>
    <n v="0"/>
    <n v="0"/>
    <n v="0"/>
    <n v="0"/>
    <n v="0"/>
    <n v="0"/>
    <n v="0"/>
    <n v="0"/>
    <n v="0"/>
    <n v="0"/>
    <n v="0"/>
    <n v="0"/>
    <n v="0"/>
    <n v="0"/>
    <n v="0"/>
    <n v="0"/>
    <n v="0"/>
    <n v="0"/>
    <n v="0"/>
    <m/>
    <m/>
    <m/>
    <m/>
    <m/>
    <m/>
    <m/>
    <m/>
    <m/>
    <m/>
    <m/>
    <m/>
    <m/>
    <m/>
    <m/>
    <m/>
    <m/>
    <m/>
    <m/>
    <m/>
    <m/>
    <m/>
    <m/>
    <m/>
    <m/>
    <m/>
    <m/>
    <m/>
    <m/>
    <m/>
    <m/>
    <m/>
    <m/>
    <m/>
    <m/>
    <m/>
    <m/>
    <m/>
    <m/>
    <m/>
    <m/>
    <m/>
    <m/>
    <m/>
    <m/>
    <m/>
    <m/>
    <m/>
    <m/>
  </r>
  <r>
    <n v="742"/>
    <d v="2025-04-03T00:00:00"/>
    <s v="ZBTO"/>
    <n v="9518666887"/>
    <n v="7"/>
    <s v="9518666887-7"/>
    <s v="No Priority"/>
    <x v="0"/>
    <s v="Yes"/>
    <x v="1"/>
    <x v="2"/>
    <n v="2000"/>
    <m/>
    <x v="0"/>
    <m/>
    <m/>
    <s v="Uttar Pradesh"/>
    <s v="North"/>
    <m/>
    <m/>
    <n v="931525"/>
    <x v="2"/>
    <n v="3240781"/>
    <s v="CRCA SHEET TSBCRC SR15 0.600X1250X2030"/>
    <s v=""/>
    <m/>
    <m/>
    <m/>
    <m/>
    <s v="C06"/>
    <s v="TSBCRC"/>
    <s v="SR15"/>
    <n v="0.6"/>
    <n v="1250"/>
    <n v="2030"/>
    <n v="27"/>
    <n v="0"/>
    <n v="27"/>
    <n v="27"/>
    <n v="27"/>
    <n v="27"/>
    <n v="0"/>
    <n v="0"/>
    <n v="0"/>
    <n v="0"/>
    <n v="0"/>
    <n v="0"/>
    <n v="0"/>
    <n v="0"/>
    <n v="0"/>
    <n v="0"/>
    <n v="0"/>
    <n v="0"/>
    <n v="0"/>
    <n v="0"/>
    <n v="0"/>
    <n v="0"/>
    <n v="0"/>
    <n v="0"/>
    <n v="0"/>
    <n v="0"/>
    <n v="0"/>
    <n v="0"/>
    <n v="0"/>
    <m/>
    <m/>
    <m/>
    <m/>
    <m/>
    <m/>
    <m/>
    <m/>
    <m/>
    <m/>
    <m/>
    <m/>
    <m/>
    <m/>
    <m/>
    <m/>
    <m/>
    <m/>
    <m/>
    <m/>
    <m/>
    <m/>
    <m/>
    <m/>
    <m/>
    <m/>
    <m/>
    <m/>
    <m/>
    <m/>
    <m/>
    <m/>
    <m/>
    <m/>
    <m/>
    <m/>
    <m/>
    <m/>
    <m/>
    <m/>
    <m/>
    <m/>
    <m/>
    <m/>
    <m/>
    <m/>
    <m/>
    <m/>
    <m/>
  </r>
  <r>
    <n v="742"/>
    <d v="2025-04-03T00:00:00"/>
    <s v="ZBTO"/>
    <n v="9518666887"/>
    <n v="8"/>
    <s v="9518666887-8"/>
    <s v="May'25"/>
    <x v="0"/>
    <s v="Yes"/>
    <x v="1"/>
    <x v="2"/>
    <n v="2000"/>
    <m/>
    <x v="1"/>
    <m/>
    <m/>
    <s v="Uttar Pradesh"/>
    <s v="North"/>
    <m/>
    <m/>
    <n v="931525"/>
    <x v="2"/>
    <n v="3409561"/>
    <s v="CRCA SHEET TSBCRC SR15 0.600X1000X1930"/>
    <s v=""/>
    <m/>
    <m/>
    <m/>
    <m/>
    <s v="C06"/>
    <s v="TSBCRC"/>
    <s v="SR15"/>
    <n v="0.6"/>
    <n v="1000"/>
    <n v="1930"/>
    <n v="27"/>
    <n v="0"/>
    <n v="27"/>
    <n v="27"/>
    <n v="4.5799999999999983"/>
    <n v="27"/>
    <n v="0"/>
    <n v="0"/>
    <n v="0"/>
    <n v="0"/>
    <n v="0"/>
    <n v="0"/>
    <n v="0"/>
    <n v="0"/>
    <n v="0"/>
    <n v="0"/>
    <n v="0"/>
    <n v="0"/>
    <n v="0"/>
    <n v="22.42"/>
    <n v="0"/>
    <n v="0"/>
    <n v="0"/>
    <n v="0"/>
    <n v="0"/>
    <n v="22.42"/>
    <n v="22.42"/>
    <n v="0"/>
    <n v="22.42"/>
    <m/>
    <m/>
    <m/>
    <m/>
    <m/>
    <m/>
    <m/>
    <m/>
    <m/>
    <m/>
    <m/>
    <m/>
    <m/>
    <m/>
    <m/>
    <m/>
    <m/>
    <m/>
    <m/>
    <m/>
    <m/>
    <m/>
    <m/>
    <m/>
    <m/>
    <m/>
    <m/>
    <m/>
    <m/>
    <m/>
    <m/>
    <m/>
    <m/>
    <m/>
    <m/>
    <m/>
    <m/>
    <m/>
    <m/>
    <m/>
    <m/>
    <m/>
    <m/>
    <m/>
    <m/>
    <m/>
    <m/>
    <m/>
    <m/>
  </r>
  <r>
    <n v="742"/>
    <d v="2025-04-03T00:00:00"/>
    <s v="ZBTO"/>
    <n v="9518666887"/>
    <n v="9"/>
    <s v="9518666887-9"/>
    <s v="May'25"/>
    <x v="0"/>
    <s v="Yes"/>
    <x v="1"/>
    <x v="2"/>
    <n v="2000"/>
    <m/>
    <x v="1"/>
    <m/>
    <m/>
    <s v="Uttar Pradesh"/>
    <s v="North"/>
    <m/>
    <m/>
    <n v="931525"/>
    <x v="2"/>
    <n v="3240781"/>
    <s v="CRCA SHEET TSBCRC SR15 0.600X1250X2030"/>
    <s v=""/>
    <m/>
    <m/>
    <m/>
    <m/>
    <s v="C06"/>
    <s v="TSBCRC"/>
    <s v="SR15"/>
    <n v="0.6"/>
    <n v="1250"/>
    <n v="2030"/>
    <n v="27"/>
    <n v="0"/>
    <n v="27"/>
    <n v="27"/>
    <n v="27"/>
    <n v="27"/>
    <n v="0"/>
    <n v="0"/>
    <n v="0"/>
    <n v="0"/>
    <n v="0"/>
    <n v="0"/>
    <n v="0"/>
    <n v="0"/>
    <n v="0"/>
    <n v="0"/>
    <n v="0"/>
    <n v="0"/>
    <n v="0"/>
    <n v="0"/>
    <n v="0"/>
    <n v="0"/>
    <n v="0"/>
    <n v="0"/>
    <n v="0"/>
    <n v="0"/>
    <n v="0"/>
    <n v="0"/>
    <n v="0"/>
    <m/>
    <m/>
    <m/>
    <m/>
    <m/>
    <m/>
    <m/>
    <m/>
    <m/>
    <m/>
    <m/>
    <m/>
    <m/>
    <m/>
    <m/>
    <m/>
    <m/>
    <m/>
    <m/>
    <m/>
    <m/>
    <m/>
    <m/>
    <m/>
    <m/>
    <m/>
    <m/>
    <m/>
    <m/>
    <m/>
    <m/>
    <m/>
    <m/>
    <m/>
    <m/>
    <m/>
    <m/>
    <m/>
    <m/>
    <m/>
    <m/>
    <m/>
    <m/>
    <m/>
    <m/>
    <m/>
    <m/>
    <m/>
    <m/>
  </r>
  <r>
    <n v="742"/>
    <d v="2025-04-04T00:00:00"/>
    <s v="ZBTO"/>
    <n v="9518670066"/>
    <n v="1"/>
    <s v="9518670066-1"/>
    <s v="May'25"/>
    <x v="0"/>
    <s v="Yes"/>
    <x v="1"/>
    <x v="2"/>
    <n v="2000"/>
    <m/>
    <x v="1"/>
    <m/>
    <m/>
    <s v="Uttar Pradesh"/>
    <s v="North"/>
    <m/>
    <m/>
    <n v="931525"/>
    <x v="2"/>
    <n v="3239536"/>
    <s v="CRCA SHEET TATCRC SR16 0.350X900X2500"/>
    <s v=""/>
    <m/>
    <m/>
    <m/>
    <m/>
    <s v="C06"/>
    <s v="TATCRC"/>
    <s v="SR16"/>
    <n v="0.35"/>
    <n v="900"/>
    <n v="2500"/>
    <n v="27"/>
    <n v="0"/>
    <n v="27"/>
    <n v="27"/>
    <n v="5.8999999999999986"/>
    <n v="27"/>
    <n v="0"/>
    <n v="0"/>
    <n v="0"/>
    <n v="0"/>
    <n v="0"/>
    <n v="0"/>
    <n v="0"/>
    <n v="0"/>
    <n v="0"/>
    <n v="0"/>
    <n v="0"/>
    <n v="0"/>
    <n v="0"/>
    <n v="0"/>
    <n v="21.1"/>
    <n v="0"/>
    <n v="0"/>
    <n v="0"/>
    <n v="0"/>
    <n v="21.1"/>
    <n v="21.1"/>
    <n v="0"/>
    <n v="21.1"/>
    <m/>
    <m/>
    <m/>
    <m/>
    <m/>
    <m/>
    <m/>
    <m/>
    <m/>
    <m/>
    <m/>
    <m/>
    <m/>
    <m/>
    <m/>
    <m/>
    <m/>
    <m/>
    <m/>
    <m/>
    <m/>
    <m/>
    <m/>
    <m/>
    <m/>
    <m/>
    <m/>
    <m/>
    <m/>
    <m/>
    <m/>
    <m/>
    <m/>
    <m/>
    <m/>
    <m/>
    <m/>
    <m/>
    <m/>
    <m/>
    <m/>
    <m/>
    <m/>
    <m/>
    <m/>
    <m/>
    <m/>
    <m/>
    <m/>
  </r>
  <r>
    <n v="742"/>
    <d v="2025-04-04T00:00:00"/>
    <s v="ZBTO"/>
    <n v="9518670066"/>
    <n v="2"/>
    <s v="9518670066-2"/>
    <s v="May'25"/>
    <x v="0"/>
    <s v="Yes"/>
    <x v="1"/>
    <x v="2"/>
    <n v="2000"/>
    <m/>
    <x v="1"/>
    <m/>
    <m/>
    <s v="Uttar Pradesh"/>
    <s v="North"/>
    <m/>
    <m/>
    <n v="931525"/>
    <x v="2"/>
    <n v="3239548"/>
    <s v="CRCA SHEET TATCRC SR16 0.400X900X2500"/>
    <s v=""/>
    <m/>
    <m/>
    <m/>
    <m/>
    <s v="C06"/>
    <s v="TATCRC"/>
    <s v="SR16"/>
    <n v="0.4"/>
    <n v="900"/>
    <n v="2500"/>
    <n v="27"/>
    <n v="0"/>
    <n v="27"/>
    <n v="27"/>
    <n v="-15.519999999999996"/>
    <n v="27"/>
    <n v="0"/>
    <n v="0"/>
    <n v="0"/>
    <n v="0"/>
    <n v="0"/>
    <n v="0"/>
    <n v="0"/>
    <n v="0"/>
    <n v="0"/>
    <n v="0"/>
    <n v="0"/>
    <n v="0"/>
    <n v="21.23"/>
    <n v="21.29"/>
    <n v="0"/>
    <n v="0"/>
    <n v="0"/>
    <n v="0"/>
    <n v="0"/>
    <n v="42.519999999999996"/>
    <n v="42.519999999999996"/>
    <n v="0"/>
    <n v="42.519999999999996"/>
    <m/>
    <m/>
    <m/>
    <m/>
    <m/>
    <m/>
    <m/>
    <m/>
    <m/>
    <m/>
    <m/>
    <m/>
    <m/>
    <m/>
    <m/>
    <m/>
    <m/>
    <m/>
    <m/>
    <m/>
    <m/>
    <m/>
    <m/>
    <m/>
    <m/>
    <m/>
    <m/>
    <m/>
    <m/>
    <m/>
    <m/>
    <m/>
    <m/>
    <m/>
    <m/>
    <m/>
    <m/>
    <m/>
    <m/>
    <m/>
    <m/>
    <m/>
    <m/>
    <m/>
    <m/>
    <m/>
    <m/>
    <m/>
    <m/>
  </r>
  <r>
    <n v="742"/>
    <d v="2025-04-04T00:00:00"/>
    <s v="ZBTO"/>
    <n v="9518670066"/>
    <n v="4"/>
    <s v="9518670066-4"/>
    <s v="No Priority"/>
    <x v="1"/>
    <s v="Yes"/>
    <x v="1"/>
    <x v="2"/>
    <n v="2000"/>
    <m/>
    <x v="0"/>
    <m/>
    <m/>
    <s v="Uttar Pradesh"/>
    <s v="North"/>
    <m/>
    <m/>
    <n v="931525"/>
    <x v="2"/>
    <n v="3437524"/>
    <s v="CRCA SHEET TATCRC SR16 0.400X1250X2030"/>
    <s v=""/>
    <m/>
    <m/>
    <m/>
    <m/>
    <s v="C06"/>
    <s v="TATCRC"/>
    <s v="SR16"/>
    <n v="0.4"/>
    <n v="1250"/>
    <n v="2030"/>
    <n v="108"/>
    <n v="0"/>
    <n v="108"/>
    <n v="108"/>
    <n v="108"/>
    <n v="108"/>
    <n v="0"/>
    <n v="0"/>
    <n v="0"/>
    <n v="0"/>
    <n v="0"/>
    <n v="0"/>
    <n v="0"/>
    <n v="0"/>
    <n v="0"/>
    <n v="0"/>
    <n v="0"/>
    <n v="0"/>
    <n v="0"/>
    <n v="0"/>
    <n v="0"/>
    <n v="0"/>
    <n v="0"/>
    <n v="0"/>
    <n v="0"/>
    <n v="0"/>
    <n v="0"/>
    <n v="0"/>
    <n v="0"/>
    <m/>
    <m/>
    <m/>
    <m/>
    <m/>
    <m/>
    <m/>
    <m/>
    <m/>
    <m/>
    <m/>
    <m/>
    <m/>
    <m/>
    <m/>
    <m/>
    <m/>
    <m/>
    <m/>
    <m/>
    <m/>
    <m/>
    <m/>
    <m/>
    <m/>
    <m/>
    <m/>
    <m/>
    <m/>
    <m/>
    <m/>
    <m/>
    <m/>
    <m/>
    <m/>
    <m/>
    <m/>
    <m/>
    <m/>
    <m/>
    <m/>
    <m/>
    <m/>
    <m/>
    <m/>
    <m/>
    <m/>
    <m/>
    <m/>
  </r>
  <r>
    <n v="742"/>
    <d v="2025-04-04T00:00:00"/>
    <s v="ZBTO"/>
    <n v="9518670066"/>
    <n v="6"/>
    <s v="9518670066-6"/>
    <s v="May'25"/>
    <x v="0"/>
    <s v="Yes"/>
    <x v="1"/>
    <x v="2"/>
    <n v="2000"/>
    <m/>
    <x v="1"/>
    <m/>
    <m/>
    <s v="Uttar Pradesh"/>
    <s v="North"/>
    <m/>
    <m/>
    <n v="931525"/>
    <x v="2"/>
    <n v="3240761"/>
    <s v="CRCA SHEET TSBCRC SR15 0.500X1250X2030"/>
    <s v=""/>
    <m/>
    <m/>
    <m/>
    <m/>
    <s v="C06"/>
    <s v="TSBCRC"/>
    <s v="SR15"/>
    <n v="0.5"/>
    <n v="1250"/>
    <n v="2030"/>
    <n v="108"/>
    <n v="0"/>
    <n v="108"/>
    <n v="108"/>
    <n v="108"/>
    <n v="108"/>
    <n v="0"/>
    <n v="0"/>
    <n v="0"/>
    <n v="0"/>
    <n v="0"/>
    <n v="0"/>
    <n v="0"/>
    <n v="0"/>
    <n v="0"/>
    <n v="0"/>
    <n v="0"/>
    <n v="0"/>
    <n v="0"/>
    <n v="0"/>
    <n v="0"/>
    <n v="0"/>
    <n v="0"/>
    <n v="0"/>
    <n v="0"/>
    <n v="0"/>
    <n v="0"/>
    <n v="0"/>
    <n v="0"/>
    <m/>
    <m/>
    <m/>
    <m/>
    <m/>
    <m/>
    <m/>
    <m/>
    <m/>
    <m/>
    <m/>
    <m/>
    <m/>
    <m/>
    <m/>
    <m/>
    <m/>
    <m/>
    <m/>
    <m/>
    <m/>
    <m/>
    <m/>
    <m/>
    <m/>
    <m/>
    <m/>
    <m/>
    <m/>
    <m/>
    <m/>
    <m/>
    <m/>
    <m/>
    <m/>
    <m/>
    <m/>
    <m/>
    <m/>
    <m/>
    <m/>
    <m/>
    <m/>
    <m/>
    <m/>
    <m/>
    <m/>
    <m/>
    <m/>
  </r>
  <r>
    <n v="742"/>
    <d v="2025-04-04T00:00:00"/>
    <s v="ZBTO"/>
    <n v="9518670066"/>
    <n v="7"/>
    <s v="9518670066-7"/>
    <s v="May'25"/>
    <x v="0"/>
    <s v="Yes"/>
    <x v="1"/>
    <x v="2"/>
    <n v="2000"/>
    <m/>
    <x v="1"/>
    <m/>
    <m/>
    <s v="Uttar Pradesh"/>
    <s v="North"/>
    <m/>
    <m/>
    <n v="931525"/>
    <x v="2"/>
    <n v="3247971"/>
    <s v="CRCA SHEET TSBCRC SR15 0.500X1250X2020"/>
    <s v=""/>
    <m/>
    <m/>
    <m/>
    <m/>
    <s v="C06"/>
    <s v="TSBCRC"/>
    <s v="SR15"/>
    <n v="0.5"/>
    <n v="1250"/>
    <n v="2020"/>
    <n v="54"/>
    <n v="0"/>
    <n v="54"/>
    <n v="54"/>
    <n v="54"/>
    <n v="54"/>
    <n v="0"/>
    <n v="0"/>
    <n v="0"/>
    <n v="0"/>
    <n v="0"/>
    <n v="0"/>
    <n v="0"/>
    <n v="0"/>
    <n v="0"/>
    <n v="0"/>
    <n v="0"/>
    <n v="0"/>
    <n v="0"/>
    <n v="0"/>
    <n v="0"/>
    <n v="0"/>
    <n v="0"/>
    <n v="0"/>
    <n v="0"/>
    <n v="0"/>
    <n v="0"/>
    <n v="0"/>
    <n v="0"/>
    <m/>
    <m/>
    <m/>
    <m/>
    <m/>
    <m/>
    <m/>
    <m/>
    <m/>
    <m/>
    <m/>
    <m/>
    <m/>
    <m/>
    <m/>
    <m/>
    <m/>
    <m/>
    <m/>
    <m/>
    <m/>
    <m/>
    <m/>
    <m/>
    <m/>
    <m/>
    <m/>
    <m/>
    <m/>
    <m/>
    <m/>
    <m/>
    <m/>
    <m/>
    <m/>
    <m/>
    <m/>
    <m/>
    <m/>
    <m/>
    <m/>
    <m/>
    <m/>
    <m/>
    <m/>
    <m/>
    <m/>
    <m/>
    <m/>
  </r>
  <r>
    <n v="742"/>
    <d v="2025-04-04T00:00:00"/>
    <s v="ZBTO"/>
    <n v="9518670066"/>
    <n v="8"/>
    <s v="9518670066-8"/>
    <s v="May'25"/>
    <x v="0"/>
    <s v="Yes"/>
    <x v="1"/>
    <x v="2"/>
    <n v="2000"/>
    <m/>
    <x v="1"/>
    <m/>
    <m/>
    <s v="Uttar Pradesh"/>
    <s v="North"/>
    <m/>
    <m/>
    <n v="931525"/>
    <x v="2"/>
    <n v="3247972"/>
    <s v="CRCA SHEET TSBCRC SR15 0.600X1250X2020"/>
    <s v=""/>
    <m/>
    <m/>
    <m/>
    <m/>
    <s v="C06"/>
    <s v="TSBCRC"/>
    <s v="SR15"/>
    <n v="0.6"/>
    <n v="1250"/>
    <n v="2020"/>
    <n v="54"/>
    <n v="0"/>
    <n v="54"/>
    <n v="54"/>
    <n v="54"/>
    <n v="54"/>
    <n v="0"/>
    <n v="0"/>
    <n v="0"/>
    <n v="0"/>
    <n v="0"/>
    <n v="0"/>
    <n v="0"/>
    <n v="0"/>
    <n v="0"/>
    <n v="0"/>
    <n v="0"/>
    <n v="0"/>
    <n v="0"/>
    <n v="0"/>
    <n v="0"/>
    <n v="0"/>
    <n v="0"/>
    <n v="0"/>
    <n v="0"/>
    <n v="0"/>
    <n v="0"/>
    <n v="0"/>
    <n v="0"/>
    <m/>
    <m/>
    <m/>
    <m/>
    <m/>
    <m/>
    <m/>
    <m/>
    <m/>
    <m/>
    <m/>
    <m/>
    <m/>
    <m/>
    <m/>
    <m/>
    <m/>
    <m/>
    <m/>
    <m/>
    <m/>
    <m/>
    <m/>
    <m/>
    <m/>
    <m/>
    <m/>
    <m/>
    <m/>
    <m/>
    <m/>
    <m/>
    <m/>
    <m/>
    <m/>
    <m/>
    <m/>
    <m/>
    <m/>
    <m/>
    <m/>
    <m/>
    <m/>
    <m/>
    <m/>
    <m/>
    <m/>
    <m/>
    <m/>
  </r>
  <r>
    <n v="742"/>
    <d v="2025-04-04T00:00:00"/>
    <s v="ZBTO"/>
    <n v="9518670066"/>
    <n v="9"/>
    <s v="9518670066-9"/>
    <s v="May'25"/>
    <x v="0"/>
    <s v="Yes"/>
    <x v="1"/>
    <x v="2"/>
    <n v="2000"/>
    <m/>
    <x v="1"/>
    <m/>
    <m/>
    <s v="Uttar Pradesh"/>
    <s v="North"/>
    <m/>
    <m/>
    <n v="931525"/>
    <x v="2"/>
    <n v="3240781"/>
    <s v="CRCA SHEET TSBCRC SR15 0.600X1250X2030"/>
    <s v=""/>
    <m/>
    <m/>
    <m/>
    <m/>
    <s v="C06"/>
    <s v="TSBCRC"/>
    <s v="SR15"/>
    <n v="0.6"/>
    <n v="1250"/>
    <n v="2030"/>
    <n v="54"/>
    <n v="0"/>
    <n v="54"/>
    <n v="54"/>
    <n v="54"/>
    <n v="54"/>
    <n v="0"/>
    <n v="0"/>
    <n v="0"/>
    <n v="0"/>
    <n v="0"/>
    <n v="0"/>
    <n v="0"/>
    <n v="0"/>
    <n v="0"/>
    <n v="0"/>
    <n v="0"/>
    <n v="0"/>
    <n v="0"/>
    <n v="0"/>
    <n v="0"/>
    <n v="0"/>
    <n v="0"/>
    <n v="0"/>
    <n v="0"/>
    <n v="0"/>
    <n v="0"/>
    <n v="0"/>
    <n v="0"/>
    <m/>
    <m/>
    <m/>
    <m/>
    <m/>
    <m/>
    <m/>
    <m/>
    <m/>
    <m/>
    <m/>
    <m/>
    <m/>
    <m/>
    <m/>
    <m/>
    <m/>
    <m/>
    <m/>
    <m/>
    <m/>
    <m/>
    <m/>
    <m/>
    <m/>
    <m/>
    <m/>
    <m/>
    <m/>
    <m/>
    <m/>
    <m/>
    <m/>
    <m/>
    <m/>
    <m/>
    <m/>
    <m/>
    <m/>
    <m/>
    <m/>
    <m/>
    <m/>
    <m/>
    <m/>
    <m/>
    <m/>
    <m/>
    <m/>
  </r>
  <r>
    <n v="742"/>
    <d v="2025-04-04T00:00:00"/>
    <s v="ZBTO"/>
    <n v="9518670066"/>
    <n v="12"/>
    <s v="9518670066-12"/>
    <s v="May'25"/>
    <x v="0"/>
    <s v="Yes"/>
    <x v="1"/>
    <x v="2"/>
    <n v="2000"/>
    <m/>
    <x v="1"/>
    <m/>
    <m/>
    <s v="Uttar Pradesh"/>
    <s v="North"/>
    <m/>
    <m/>
    <n v="931525"/>
    <x v="2"/>
    <n v="3240863"/>
    <s v="CRCA SHEET TSBCRC SR15 1.500X1250X2500"/>
    <s v=""/>
    <m/>
    <m/>
    <m/>
    <m/>
    <s v="C06"/>
    <s v="TSBCRC"/>
    <s v="SR15"/>
    <n v="1.5"/>
    <n v="1250"/>
    <n v="0"/>
    <n v="27"/>
    <n v="0"/>
    <n v="27"/>
    <n v="27"/>
    <n v="27"/>
    <n v="27"/>
    <n v="0"/>
    <n v="0"/>
    <n v="0"/>
    <n v="0"/>
    <n v="0"/>
    <n v="0"/>
    <n v="0"/>
    <n v="0"/>
    <n v="0"/>
    <n v="0"/>
    <n v="0"/>
    <n v="0"/>
    <n v="0"/>
    <n v="0"/>
    <n v="0"/>
    <n v="0"/>
    <n v="0"/>
    <n v="0"/>
    <n v="0"/>
    <n v="0"/>
    <n v="0"/>
    <n v="0"/>
    <n v="0"/>
    <m/>
    <m/>
    <m/>
    <m/>
    <m/>
    <m/>
    <m/>
    <m/>
    <m/>
    <m/>
    <m/>
    <m/>
    <m/>
    <m/>
    <m/>
    <m/>
    <m/>
    <m/>
    <m/>
    <m/>
    <m/>
    <m/>
    <m/>
    <m/>
    <m/>
    <m/>
    <m/>
    <m/>
    <m/>
    <m/>
    <m/>
    <m/>
    <m/>
    <m/>
    <m/>
    <m/>
    <m/>
    <m/>
    <m/>
    <m/>
    <m/>
    <m/>
    <m/>
    <m/>
    <m/>
    <m/>
    <m/>
    <m/>
    <m/>
  </r>
  <r>
    <n v="742"/>
    <d v="2025-04-04T00:00:00"/>
    <s v="ZBTO"/>
    <n v="9518670085"/>
    <n v="2"/>
    <s v="9518670085-2"/>
    <s v="No Priority"/>
    <x v="1"/>
    <m/>
    <x v="1"/>
    <x v="1"/>
    <n v="2000"/>
    <m/>
    <x v="0"/>
    <m/>
    <m/>
    <s v="Uttar Pradesh"/>
    <s v="North"/>
    <m/>
    <m/>
    <n v="931525"/>
    <x v="2"/>
    <n v="1804914"/>
    <s v="CRCA COIL TATCRC TR15 0.6X1000"/>
    <s v=""/>
    <m/>
    <m/>
    <m/>
    <m/>
    <s v="C01"/>
    <s v="TATCRC"/>
    <s v="TR15"/>
    <n v="0.6"/>
    <n v="1000"/>
    <n v="0"/>
    <n v="23"/>
    <n v="0"/>
    <n v="23"/>
    <n v="23"/>
    <n v="23"/>
    <n v="23"/>
    <n v="0"/>
    <n v="0"/>
    <n v="0"/>
    <n v="0"/>
    <n v="0"/>
    <n v="0"/>
    <n v="0"/>
    <n v="0"/>
    <n v="0"/>
    <n v="0"/>
    <n v="0"/>
    <n v="0"/>
    <n v="0"/>
    <n v="0"/>
    <n v="0"/>
    <n v="0"/>
    <n v="0"/>
    <n v="0"/>
    <n v="0"/>
    <n v="0"/>
    <n v="0"/>
    <n v="0"/>
    <n v="0"/>
    <m/>
    <m/>
    <m/>
    <m/>
    <m/>
    <m/>
    <m/>
    <m/>
    <m/>
    <m/>
    <m/>
    <m/>
    <m/>
    <m/>
    <m/>
    <m/>
    <m/>
    <m/>
    <m/>
    <m/>
    <m/>
    <m/>
    <m/>
    <m/>
    <m/>
    <m/>
    <m/>
    <m/>
    <m/>
    <m/>
    <m/>
    <m/>
    <m/>
    <m/>
    <m/>
    <m/>
    <m/>
    <m/>
    <m/>
    <m/>
    <m/>
    <m/>
    <m/>
    <m/>
    <m/>
    <m/>
    <m/>
    <m/>
    <m/>
  </r>
  <r>
    <n v="743"/>
    <d v="2025-03-19T00:00:00"/>
    <s v="ZBTO"/>
    <n v="9518612234"/>
    <n v="2"/>
    <s v="9518612234-2"/>
    <s v="No Priority"/>
    <x v="1"/>
    <m/>
    <x v="3"/>
    <x v="9"/>
    <n v="2000"/>
    <m/>
    <x v="0"/>
    <m/>
    <m/>
    <s v="Uttar Pradesh"/>
    <s v="North"/>
    <m/>
    <m/>
    <n v="931234"/>
    <x v="99"/>
    <n v="1319275"/>
    <s v="GP COIL SOFT-TATXGP-GLK1-0.2X900"/>
    <n v="80"/>
    <m/>
    <m/>
    <m/>
    <m/>
    <s v="C02"/>
    <s v="TATXGP"/>
    <s v="GLK1"/>
    <n v="0.2"/>
    <n v="900"/>
    <n v="0"/>
    <n v="84"/>
    <n v="0"/>
    <n v="84"/>
    <n v="84"/>
    <n v="84"/>
    <n v="84"/>
    <n v="0"/>
    <n v="0"/>
    <n v="0"/>
    <n v="0"/>
    <n v="0"/>
    <n v="0"/>
    <n v="0"/>
    <n v="0"/>
    <n v="0"/>
    <n v="0"/>
    <n v="0"/>
    <n v="0"/>
    <n v="0"/>
    <n v="0"/>
    <n v="0"/>
    <n v="0"/>
    <n v="0"/>
    <n v="0"/>
    <n v="0"/>
    <n v="0"/>
    <n v="0"/>
    <n v="0"/>
    <n v="0"/>
    <m/>
    <m/>
    <m/>
    <m/>
    <m/>
    <m/>
    <m/>
    <m/>
    <m/>
    <m/>
    <m/>
    <m/>
    <m/>
    <m/>
    <m/>
    <m/>
    <m/>
    <m/>
    <m/>
    <m/>
    <m/>
    <m/>
    <m/>
    <m/>
    <m/>
    <m/>
    <m/>
    <m/>
    <m/>
    <m/>
    <m/>
    <m/>
    <m/>
    <m/>
    <m/>
    <m/>
    <m/>
    <m/>
    <m/>
    <m/>
    <m/>
    <m/>
    <m/>
    <m/>
    <m/>
    <m/>
    <m/>
    <m/>
    <m/>
  </r>
  <r>
    <n v="743"/>
    <d v="2025-03-19T00:00:00"/>
    <s v="ZBTO"/>
    <n v="9518612234"/>
    <n v="3"/>
    <s v="9518612234-3"/>
    <s v="No Priority"/>
    <x v="1"/>
    <m/>
    <x v="3"/>
    <x v="9"/>
    <n v="2000"/>
    <m/>
    <x v="0"/>
    <m/>
    <m/>
    <s v="Uttar Pradesh"/>
    <s v="North"/>
    <m/>
    <m/>
    <n v="931234"/>
    <x v="99"/>
    <n v="1854363"/>
    <s v="GP COIL SOFT-TATXGP-GLK1-0.22X900"/>
    <n v="80"/>
    <m/>
    <m/>
    <m/>
    <m/>
    <s v="C02"/>
    <s v="TATXGP"/>
    <s v="GLK1"/>
    <n v="0.22"/>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19T00:00:00"/>
    <s v="ZBTO"/>
    <n v="9518612234"/>
    <n v="4"/>
    <s v="9518612234-4"/>
    <s v="No Priority"/>
    <x v="1"/>
    <m/>
    <x v="3"/>
    <x v="9"/>
    <n v="2000"/>
    <m/>
    <x v="0"/>
    <m/>
    <m/>
    <s v="Uttar Pradesh"/>
    <s v="North"/>
    <m/>
    <m/>
    <n v="931234"/>
    <x v="99"/>
    <n v="1851066"/>
    <s v="GP COIL SOFT-TATXGP-GLK1-0.25X900"/>
    <n v="80"/>
    <m/>
    <m/>
    <m/>
    <m/>
    <s v="C02"/>
    <s v="TATXGP"/>
    <s v="GLK1"/>
    <n v="0.2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19T00:00:00"/>
    <s v="ZBTO"/>
    <n v="9518612234"/>
    <n v="5"/>
    <s v="9518612234-5"/>
    <s v="No Priority"/>
    <x v="1"/>
    <m/>
    <x v="3"/>
    <x v="9"/>
    <n v="2000"/>
    <m/>
    <x v="0"/>
    <m/>
    <m/>
    <s v="Uttar Pradesh"/>
    <s v="North"/>
    <m/>
    <m/>
    <n v="931234"/>
    <x v="99"/>
    <n v="2270690"/>
    <s v="GP COIL SOFT TATXGP GLK1 0.25X1000"/>
    <n v="80"/>
    <m/>
    <m/>
    <m/>
    <m/>
    <s v="C02"/>
    <s v="TATXGP"/>
    <s v="GLK1"/>
    <n v="0.2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14T00:00:00"/>
    <s v="ZBTO"/>
    <n v="9518692009"/>
    <n v="1"/>
    <s v="9518692009-1"/>
    <s v="May'25"/>
    <x v="0"/>
    <m/>
    <x v="0"/>
    <x v="0"/>
    <n v="2000"/>
    <m/>
    <x v="1"/>
    <m/>
    <m/>
    <s v="Telangana"/>
    <s v="South"/>
    <m/>
    <m/>
    <n v="946441"/>
    <x v="53"/>
    <n v="1210086"/>
    <s v="HR COILS-PO IS 1079 HR2 4X1250"/>
    <s v=""/>
    <m/>
    <m/>
    <m/>
    <m/>
    <n v="768"/>
    <s v="THR099"/>
    <s v="HR99"/>
    <n v="4"/>
    <n v="1250"/>
    <n v="0"/>
    <n v="25"/>
    <n v="0"/>
    <n v="25"/>
    <n v="25"/>
    <n v="25"/>
    <n v="25"/>
    <n v="0"/>
    <n v="0"/>
    <n v="0"/>
    <n v="0"/>
    <n v="0"/>
    <n v="0"/>
    <n v="0"/>
    <n v="0"/>
    <n v="0"/>
    <n v="0"/>
    <n v="0"/>
    <n v="0"/>
    <n v="0"/>
    <n v="0"/>
    <n v="0"/>
    <n v="0"/>
    <n v="0"/>
    <n v="0"/>
    <n v="0"/>
    <n v="0"/>
    <n v="0"/>
    <n v="0"/>
    <n v="0"/>
    <m/>
    <m/>
    <m/>
    <m/>
    <m/>
    <m/>
    <m/>
    <m/>
    <m/>
    <m/>
    <m/>
    <m/>
    <m/>
    <m/>
    <m/>
    <m/>
    <m/>
    <m/>
    <m/>
    <m/>
    <m/>
    <m/>
    <m/>
    <m/>
    <m/>
    <m/>
    <m/>
    <m/>
    <m/>
    <m/>
    <m/>
    <m/>
    <m/>
    <m/>
    <m/>
    <m/>
    <m/>
    <m/>
    <m/>
    <m/>
    <m/>
    <m/>
    <m/>
    <m/>
    <m/>
    <m/>
    <m/>
    <m/>
    <m/>
  </r>
  <r>
    <n v="742"/>
    <d v="2025-03-24T00:00:00"/>
    <s v="ZBTO"/>
    <n v="9518628321"/>
    <n v="1"/>
    <s v="9518628321-1"/>
    <s v="May'25"/>
    <x v="0"/>
    <s v="Yes"/>
    <x v="1"/>
    <x v="2"/>
    <n v="2000"/>
    <m/>
    <x v="1"/>
    <m/>
    <m/>
    <s v="Uttar Pradesh"/>
    <s v="North"/>
    <m/>
    <m/>
    <n v="115841"/>
    <x v="7"/>
    <n v="3437524"/>
    <s v="CRCA SHEET TATCRC SR16 0.400X1250X2030"/>
    <s v=""/>
    <m/>
    <m/>
    <m/>
    <m/>
    <s v="C06"/>
    <s v="TATCRC"/>
    <s v="SR16"/>
    <n v="0.4"/>
    <n v="1250"/>
    <n v="2030"/>
    <n v="75"/>
    <n v="0"/>
    <n v="75"/>
    <n v="75"/>
    <n v="75"/>
    <n v="75"/>
    <n v="0"/>
    <n v="0"/>
    <n v="0"/>
    <n v="0"/>
    <n v="0"/>
    <n v="0"/>
    <n v="0"/>
    <n v="0"/>
    <n v="0"/>
    <n v="0"/>
    <n v="0"/>
    <n v="0"/>
    <n v="0"/>
    <n v="0"/>
    <n v="0"/>
    <n v="0"/>
    <n v="0"/>
    <n v="0"/>
    <n v="0"/>
    <n v="0"/>
    <n v="0"/>
    <n v="0"/>
    <n v="0"/>
    <m/>
    <m/>
    <m/>
    <m/>
    <m/>
    <m/>
    <m/>
    <m/>
    <m/>
    <m/>
    <m/>
    <m/>
    <m/>
    <m/>
    <m/>
    <m/>
    <m/>
    <m/>
    <m/>
    <m/>
    <m/>
    <m/>
    <m/>
    <m/>
    <m/>
    <m/>
    <m/>
    <m/>
    <m/>
    <m/>
    <m/>
    <m/>
    <m/>
    <m/>
    <m/>
    <m/>
    <m/>
    <m/>
    <m/>
    <m/>
    <m/>
    <m/>
    <m/>
    <m/>
    <m/>
    <m/>
    <m/>
    <m/>
    <m/>
  </r>
  <r>
    <n v="742"/>
    <d v="2025-03-26T00:00:00"/>
    <s v="ZBTO"/>
    <n v="9518636289"/>
    <n v="1"/>
    <s v="9518636289-1"/>
    <s v="No Priority"/>
    <x v="1"/>
    <m/>
    <x v="1"/>
    <x v="1"/>
    <n v="2000"/>
    <m/>
    <x v="0"/>
    <m/>
    <m/>
    <s v="Uttar Pradesh"/>
    <s v="North"/>
    <m/>
    <m/>
    <n v="115841"/>
    <x v="7"/>
    <n v="1804940"/>
    <s v="CRCA COIL-TATCRC-TR15-1X1250"/>
    <s v=""/>
    <m/>
    <m/>
    <m/>
    <m/>
    <s v="C01"/>
    <s v="TATCRC"/>
    <s v="TR15"/>
    <n v="1"/>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26T00:00:00"/>
    <s v="ZBTO"/>
    <n v="9518636289"/>
    <n v="2"/>
    <s v="9518636289-2"/>
    <s v="No Priority"/>
    <x v="1"/>
    <m/>
    <x v="1"/>
    <x v="1"/>
    <n v="2000"/>
    <m/>
    <x v="0"/>
    <m/>
    <m/>
    <s v="Uttar Pradesh"/>
    <s v="North"/>
    <m/>
    <m/>
    <n v="115841"/>
    <x v="7"/>
    <n v="1804946"/>
    <s v="CRCA COIL-TATCRC-TR15-1.5X1250"/>
    <s v=""/>
    <m/>
    <m/>
    <m/>
    <m/>
    <s v="C01"/>
    <s v="TATCRC"/>
    <s v="TR15"/>
    <n v="1.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6T00:00:00"/>
    <s v="ZBTO"/>
    <n v="9518696886"/>
    <n v="1"/>
    <s v="9518696886-1"/>
    <s v="No Priority"/>
    <x v="1"/>
    <m/>
    <x v="1"/>
    <x v="2"/>
    <n v="2000"/>
    <m/>
    <x v="0"/>
    <m/>
    <m/>
    <s v="Uttar Pradesh"/>
    <s v="North"/>
    <m/>
    <m/>
    <n v="115841"/>
    <x v="7"/>
    <n v="3239554"/>
    <s v="CRCA SHEET TATCRC SR16 0.400X1000X2500"/>
    <s v=""/>
    <m/>
    <m/>
    <m/>
    <m/>
    <s v="C06"/>
    <s v="TATCRC"/>
    <s v="SR16"/>
    <n v="0.4"/>
    <n v="1000"/>
    <n v="2500"/>
    <n v="30"/>
    <n v="0"/>
    <n v="30"/>
    <n v="30"/>
    <n v="30"/>
    <n v="30"/>
    <n v="0"/>
    <n v="0"/>
    <n v="0"/>
    <n v="0"/>
    <n v="0"/>
    <n v="0"/>
    <n v="0"/>
    <n v="0"/>
    <n v="0"/>
    <n v="0"/>
    <n v="0"/>
    <n v="0"/>
    <n v="0"/>
    <n v="0"/>
    <n v="0"/>
    <n v="0"/>
    <n v="0"/>
    <n v="0"/>
    <n v="0"/>
    <n v="0"/>
    <n v="0"/>
    <n v="0"/>
    <n v="0"/>
    <m/>
    <m/>
    <m/>
    <m/>
    <m/>
    <m/>
    <m/>
    <m/>
    <m/>
    <m/>
    <m/>
    <m/>
    <m/>
    <m/>
    <m/>
    <m/>
    <m/>
    <m/>
    <m/>
    <m/>
    <m/>
    <m/>
    <m/>
    <m/>
    <m/>
    <m/>
    <m/>
    <m/>
    <m/>
    <m/>
    <m/>
    <m/>
    <m/>
    <m/>
    <m/>
    <m/>
    <m/>
    <m/>
    <m/>
    <m/>
    <m/>
    <m/>
    <m/>
    <m/>
    <m/>
    <m/>
    <m/>
    <m/>
    <m/>
  </r>
  <r>
    <n v="742"/>
    <d v="2025-04-16T00:00:00"/>
    <s v="ZBTO"/>
    <n v="9518696886"/>
    <n v="3"/>
    <s v="9518696886-3"/>
    <s v="No Priority"/>
    <x v="0"/>
    <m/>
    <x v="1"/>
    <x v="2"/>
    <n v="2000"/>
    <m/>
    <x v="0"/>
    <m/>
    <m/>
    <s v="Uttar Pradesh"/>
    <s v="North"/>
    <m/>
    <m/>
    <n v="115841"/>
    <x v="7"/>
    <n v="3240765"/>
    <s v="CRCA SHEET TSBCRC SR15 0.500X1250X2500"/>
    <s v=""/>
    <m/>
    <m/>
    <m/>
    <m/>
    <s v="C06"/>
    <s v="TSBCRC"/>
    <s v="SR15"/>
    <n v="0.5"/>
    <n v="1250"/>
    <n v="0"/>
    <n v="33"/>
    <n v="0"/>
    <n v="33"/>
    <n v="33"/>
    <n v="33"/>
    <n v="33"/>
    <n v="0"/>
    <n v="0"/>
    <n v="0"/>
    <n v="0"/>
    <n v="0"/>
    <n v="0"/>
    <n v="0"/>
    <n v="0"/>
    <n v="0"/>
    <n v="0"/>
    <n v="0"/>
    <n v="0"/>
    <n v="0"/>
    <n v="0"/>
    <n v="0"/>
    <n v="0"/>
    <n v="0"/>
    <n v="0"/>
    <n v="0"/>
    <n v="0"/>
    <n v="0"/>
    <n v="0"/>
    <n v="0"/>
    <m/>
    <m/>
    <m/>
    <m/>
    <m/>
    <m/>
    <m/>
    <m/>
    <m/>
    <m/>
    <m/>
    <m/>
    <m/>
    <m/>
    <m/>
    <m/>
    <m/>
    <m/>
    <m/>
    <m/>
    <m/>
    <m/>
    <m/>
    <m/>
    <m/>
    <m/>
    <m/>
    <m/>
    <m/>
    <m/>
    <m/>
    <m/>
    <m/>
    <m/>
    <m/>
    <m/>
    <m/>
    <m/>
    <m/>
    <m/>
    <m/>
    <m/>
    <m/>
    <m/>
    <m/>
    <m/>
    <m/>
    <m/>
    <m/>
  </r>
  <r>
    <n v="742"/>
    <d v="2025-04-16T00:00:00"/>
    <s v="ZBTO"/>
    <n v="9518696886"/>
    <n v="4"/>
    <s v="9518696886-4"/>
    <s v="No Priority"/>
    <x v="0"/>
    <m/>
    <x v="1"/>
    <x v="2"/>
    <n v="2000"/>
    <m/>
    <x v="0"/>
    <m/>
    <m/>
    <s v="Uttar Pradesh"/>
    <s v="North"/>
    <m/>
    <m/>
    <n v="115841"/>
    <x v="7"/>
    <n v="3240792"/>
    <s v="CRCA SHEET TSBCRC SR15 0.600X1250X2500"/>
    <s v=""/>
    <m/>
    <m/>
    <m/>
    <m/>
    <s v="C06"/>
    <s v="TSBCRC"/>
    <s v="SR15"/>
    <n v="0.6"/>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4-16T00:00:00"/>
    <s v="ZBTO"/>
    <n v="9518696886"/>
    <n v="5"/>
    <s v="9518696886-5"/>
    <s v="May'25"/>
    <x v="0"/>
    <m/>
    <x v="1"/>
    <x v="1"/>
    <n v="2000"/>
    <m/>
    <x v="1"/>
    <m/>
    <m/>
    <s v="Uttar Pradesh"/>
    <s v="North"/>
    <m/>
    <m/>
    <n v="115841"/>
    <x v="7"/>
    <n v="322575"/>
    <s v="CRCA SHEET TATCRC TR15 .7X1250X2500"/>
    <s v=""/>
    <m/>
    <m/>
    <m/>
    <m/>
    <s v="C06"/>
    <s v="TATCRC"/>
    <s v="TR15"/>
    <n v="0.7"/>
    <n v="1250"/>
    <n v="0"/>
    <n v="33"/>
    <n v="0"/>
    <n v="33"/>
    <n v="33"/>
    <n v="5.7800000000000011"/>
    <n v="33"/>
    <n v="0"/>
    <n v="0"/>
    <n v="0"/>
    <n v="0"/>
    <n v="0"/>
    <n v="0"/>
    <n v="0"/>
    <n v="0"/>
    <n v="0"/>
    <n v="0"/>
    <n v="0"/>
    <n v="0"/>
    <n v="0"/>
    <n v="27.22"/>
    <n v="0"/>
    <n v="0"/>
    <n v="0"/>
    <n v="0"/>
    <n v="0"/>
    <n v="27.22"/>
    <n v="27.22"/>
    <n v="0"/>
    <n v="27.22"/>
    <m/>
    <m/>
    <m/>
    <m/>
    <m/>
    <m/>
    <m/>
    <m/>
    <m/>
    <m/>
    <m/>
    <m/>
    <m/>
    <m/>
    <m/>
    <m/>
    <m/>
    <m/>
    <m/>
    <m/>
    <m/>
    <m/>
    <m/>
    <m/>
    <m/>
    <m/>
    <m/>
    <m/>
    <m/>
    <m/>
    <m/>
    <m/>
    <m/>
    <m/>
    <m/>
    <m/>
    <m/>
    <m/>
    <m/>
    <m/>
    <m/>
    <m/>
    <m/>
    <m/>
    <m/>
    <m/>
    <m/>
    <m/>
    <m/>
  </r>
  <r>
    <n v="742"/>
    <d v="2025-04-16T00:00:00"/>
    <s v="ZBTO"/>
    <n v="9518696886"/>
    <n v="6"/>
    <s v="9518696886-6"/>
    <s v="No Priority"/>
    <x v="0"/>
    <m/>
    <x v="1"/>
    <x v="1"/>
    <n v="2000"/>
    <m/>
    <x v="0"/>
    <m/>
    <m/>
    <s v="Uttar Pradesh"/>
    <s v="North"/>
    <m/>
    <m/>
    <n v="115841"/>
    <x v="7"/>
    <n v="322585"/>
    <s v="CRCA SHEET TATCRC TR15 .9X1250X2500"/>
    <s v=""/>
    <m/>
    <m/>
    <m/>
    <m/>
    <s v="C06"/>
    <s v="TATCRC"/>
    <s v="TR15"/>
    <n v="0.9"/>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4-16T00:00:00"/>
    <s v="ZBTO"/>
    <n v="9518696886"/>
    <n v="7"/>
    <s v="9518696886-7"/>
    <s v="No Priority"/>
    <x v="1"/>
    <m/>
    <x v="1"/>
    <x v="1"/>
    <n v="2000"/>
    <m/>
    <x v="0"/>
    <m/>
    <m/>
    <s v="Uttar Pradesh"/>
    <s v="North"/>
    <m/>
    <m/>
    <n v="115841"/>
    <x v="7"/>
    <n v="322580"/>
    <s v="CRCA SHEET TATCRC TR15 1.2X1250X2500"/>
    <s v=""/>
    <m/>
    <m/>
    <m/>
    <m/>
    <s v="C06"/>
    <s v="TATCRC"/>
    <s v="TR15"/>
    <n v="1.2"/>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3-26T00:00:00"/>
    <s v="ZBTO"/>
    <n v="9518637097"/>
    <n v="3"/>
    <s v="9518637097-3"/>
    <s v="May'25"/>
    <x v="0"/>
    <s v="Yes"/>
    <x v="1"/>
    <x v="2"/>
    <n v="2000"/>
    <m/>
    <x v="1"/>
    <m/>
    <m/>
    <s v="Chhattisgarh"/>
    <s v="East"/>
    <m/>
    <m/>
    <n v="139336"/>
    <x v="112"/>
    <n v="3239557"/>
    <s v="CRCA SHEET TATCRC SR16 0.400X1250X2500"/>
    <s v=""/>
    <m/>
    <m/>
    <m/>
    <m/>
    <s v="C06"/>
    <s v="TATCRC"/>
    <s v="SR16"/>
    <n v="0.4"/>
    <n v="1250"/>
    <n v="0"/>
    <n v="30"/>
    <n v="0"/>
    <n v="30"/>
    <n v="30"/>
    <n v="30"/>
    <n v="30"/>
    <n v="0"/>
    <n v="0"/>
    <n v="0"/>
    <n v="0"/>
    <n v="0"/>
    <n v="0"/>
    <n v="0"/>
    <n v="0"/>
    <n v="0"/>
    <n v="0"/>
    <n v="0"/>
    <n v="0"/>
    <n v="0"/>
    <n v="0"/>
    <n v="0"/>
    <n v="0"/>
    <n v="0"/>
    <n v="0"/>
    <n v="0"/>
    <n v="0"/>
    <n v="0"/>
    <n v="0"/>
    <n v="0"/>
    <m/>
    <m/>
    <m/>
    <m/>
    <m/>
    <m/>
    <m/>
    <m/>
    <m/>
    <m/>
    <m/>
    <m/>
    <m/>
    <m/>
    <m/>
    <m/>
    <m/>
    <m/>
    <m/>
    <m/>
    <m/>
    <m/>
    <m/>
    <m/>
    <m/>
    <m/>
    <m/>
    <m/>
    <m/>
    <m/>
    <m/>
    <m/>
    <m/>
    <m/>
    <m/>
    <m/>
    <m/>
    <m/>
    <m/>
    <m/>
    <m/>
    <m/>
    <m/>
    <m/>
    <m/>
    <m/>
    <m/>
    <m/>
    <m/>
  </r>
  <r>
    <n v="743"/>
    <d v="2025-03-27T00:00:00"/>
    <s v="ZBTO"/>
    <n v="9518644745"/>
    <n v="1"/>
    <s v="9518644745-1"/>
    <s v="No Priority"/>
    <x v="0"/>
    <m/>
    <x v="4"/>
    <x v="10"/>
    <n v="1000"/>
    <m/>
    <x v="0"/>
    <m/>
    <s v="No allocation for IPP"/>
    <s v="Maharashtra"/>
    <s v="West"/>
    <m/>
    <m/>
    <n v="942186"/>
    <x v="113"/>
    <n v="1882436"/>
    <s v="GL COIL HARD -Y550GL-H7GL-0.37X1220"/>
    <n v="70"/>
    <m/>
    <m/>
    <m/>
    <m/>
    <s v="B04"/>
    <s v="Y550GL"/>
    <s v="H7GL"/>
    <n v="0.37"/>
    <n v="1220"/>
    <n v="0"/>
    <n v="168"/>
    <n v="0"/>
    <n v="168"/>
    <n v="168"/>
    <n v="168"/>
    <n v="168"/>
    <n v="0"/>
    <n v="0"/>
    <n v="0"/>
    <n v="0"/>
    <n v="0"/>
    <n v="0"/>
    <n v="0"/>
    <n v="0"/>
    <n v="0"/>
    <n v="0"/>
    <n v="0"/>
    <n v="0"/>
    <n v="0"/>
    <n v="0"/>
    <n v="0"/>
    <n v="0"/>
    <n v="0"/>
    <n v="0"/>
    <n v="0"/>
    <n v="0"/>
    <n v="0"/>
    <n v="0"/>
    <n v="0"/>
    <m/>
    <m/>
    <m/>
    <m/>
    <m/>
    <m/>
    <m/>
    <m/>
    <m/>
    <m/>
    <m/>
    <m/>
    <m/>
    <m/>
    <m/>
    <m/>
    <m/>
    <m/>
    <m/>
    <m/>
    <m/>
    <m/>
    <m/>
    <m/>
    <m/>
    <m/>
    <m/>
    <m/>
    <m/>
    <m/>
    <m/>
    <m/>
    <m/>
    <m/>
    <m/>
    <m/>
    <m/>
    <m/>
    <m/>
    <m/>
    <m/>
    <m/>
    <m/>
    <m/>
    <m/>
    <m/>
    <m/>
    <m/>
    <m/>
  </r>
  <r>
    <n v="743"/>
    <d v="2025-03-27T00:00:00"/>
    <s v="ZBTO"/>
    <n v="9518644745"/>
    <n v="2"/>
    <s v="9518644745-2"/>
    <s v="No Priority"/>
    <x v="0"/>
    <m/>
    <x v="4"/>
    <x v="10"/>
    <n v="1000"/>
    <m/>
    <x v="0"/>
    <m/>
    <s v="No allocation for IPP"/>
    <s v="Maharashtra"/>
    <s v="West"/>
    <m/>
    <m/>
    <n v="942186"/>
    <x v="113"/>
    <n v="1707170"/>
    <s v="GL COIL HARD -Y550GL-H7GL-0.42X1220"/>
    <n v="70"/>
    <m/>
    <m/>
    <m/>
    <m/>
    <s v="B04"/>
    <s v="Y550GL"/>
    <s v="H7GL"/>
    <n v="0.42"/>
    <n v="1220"/>
    <n v="0"/>
    <n v="112"/>
    <n v="0"/>
    <n v="112"/>
    <n v="112"/>
    <n v="112"/>
    <n v="63.45"/>
    <n v="0"/>
    <n v="0"/>
    <n v="0"/>
    <n v="0"/>
    <n v="0"/>
    <n v="0"/>
    <n v="0"/>
    <n v="0"/>
    <n v="0"/>
    <n v="0"/>
    <n v="0"/>
    <n v="0"/>
    <n v="0"/>
    <n v="0"/>
    <n v="0"/>
    <n v="0"/>
    <n v="0"/>
    <n v="0"/>
    <n v="0"/>
    <n v="0"/>
    <n v="0"/>
    <n v="0"/>
    <n v="0"/>
    <m/>
    <m/>
    <m/>
    <m/>
    <m/>
    <m/>
    <m/>
    <m/>
    <m/>
    <m/>
    <m/>
    <m/>
    <m/>
    <m/>
    <m/>
    <m/>
    <m/>
    <m/>
    <m/>
    <m/>
    <m/>
    <m/>
    <m/>
    <m/>
    <m/>
    <m/>
    <m/>
    <m/>
    <m/>
    <m/>
    <m/>
    <m/>
    <m/>
    <m/>
    <m/>
    <m/>
    <m/>
    <m/>
    <m/>
    <m/>
    <m/>
    <m/>
    <m/>
    <m/>
    <m/>
    <m/>
    <m/>
    <m/>
    <m/>
  </r>
  <r>
    <n v="743"/>
    <d v="2025-03-27T00:00:00"/>
    <s v="ZBTO"/>
    <n v="9518644745"/>
    <n v="3"/>
    <s v="9518644745-3"/>
    <s v="No Priority"/>
    <x v="0"/>
    <m/>
    <x v="4"/>
    <x v="10"/>
    <n v="1000"/>
    <m/>
    <x v="0"/>
    <m/>
    <s v="No allocation for IPP"/>
    <s v="Maharashtra"/>
    <s v="West"/>
    <m/>
    <m/>
    <n v="942186"/>
    <x v="113"/>
    <n v="2258434"/>
    <s v="GL COIL HARD  Y550GL H7GL 0.47X1220"/>
    <n v="70"/>
    <m/>
    <m/>
    <m/>
    <m/>
    <s v="B04"/>
    <s v="Y550GL"/>
    <s v="H7GL"/>
    <n v="0.47"/>
    <n v="1220"/>
    <n v="0"/>
    <n v="252"/>
    <n v="0"/>
    <n v="252"/>
    <n v="252"/>
    <n v="252"/>
    <n v="252"/>
    <n v="0"/>
    <n v="0"/>
    <n v="0"/>
    <n v="0"/>
    <n v="0"/>
    <n v="0"/>
    <n v="0"/>
    <n v="0"/>
    <n v="0"/>
    <n v="0"/>
    <n v="0"/>
    <n v="0"/>
    <n v="0"/>
    <n v="0"/>
    <n v="0"/>
    <n v="0"/>
    <n v="0"/>
    <n v="0"/>
    <n v="0"/>
    <n v="0"/>
    <n v="0"/>
    <n v="0"/>
    <n v="0"/>
    <m/>
    <m/>
    <m/>
    <m/>
    <m/>
    <m/>
    <m/>
    <m/>
    <m/>
    <m/>
    <m/>
    <m/>
    <m/>
    <m/>
    <m/>
    <m/>
    <m/>
    <m/>
    <m/>
    <m/>
    <m/>
    <m/>
    <m/>
    <m/>
    <m/>
    <m/>
    <m/>
    <m/>
    <m/>
    <m/>
    <m/>
    <m/>
    <m/>
    <m/>
    <m/>
    <m/>
    <m/>
    <m/>
    <m/>
    <m/>
    <m/>
    <m/>
    <m/>
    <m/>
    <m/>
    <m/>
    <m/>
    <m/>
    <m/>
  </r>
  <r>
    <n v="742"/>
    <d v="2025-03-21T00:00:00"/>
    <s v="ZBTO"/>
    <n v="9518620159"/>
    <n v="4"/>
    <s v="9518620159-4"/>
    <s v="May'25"/>
    <x v="0"/>
    <s v="Yes"/>
    <x v="1"/>
    <x v="2"/>
    <n v="2000"/>
    <m/>
    <x v="1"/>
    <m/>
    <m/>
    <s v="Chhattisgarh"/>
    <s v="East"/>
    <m/>
    <m/>
    <n v="931662"/>
    <x v="71"/>
    <n v="3239557"/>
    <s v="CRCA SHEET TATCRC SR16 0.400X1250X2500"/>
    <s v=""/>
    <m/>
    <m/>
    <m/>
    <m/>
    <s v="C06"/>
    <s v="TATCRC"/>
    <s v="SR16"/>
    <n v="0.4"/>
    <n v="1250"/>
    <n v="0"/>
    <n v="30"/>
    <n v="0"/>
    <n v="30"/>
    <n v="30"/>
    <n v="30"/>
    <n v="30"/>
    <n v="0"/>
    <n v="0"/>
    <n v="0"/>
    <n v="0"/>
    <n v="0"/>
    <n v="0"/>
    <n v="0"/>
    <n v="0"/>
    <n v="0"/>
    <n v="0"/>
    <n v="0"/>
    <n v="0"/>
    <n v="0"/>
    <n v="0"/>
    <n v="0"/>
    <n v="0"/>
    <n v="0"/>
    <n v="0"/>
    <n v="0"/>
    <n v="0"/>
    <n v="0"/>
    <n v="0"/>
    <n v="0"/>
    <m/>
    <m/>
    <m/>
    <m/>
    <m/>
    <m/>
    <m/>
    <m/>
    <m/>
    <m/>
    <m/>
    <m/>
    <m/>
    <m/>
    <m/>
    <m/>
    <m/>
    <m/>
    <m/>
    <m/>
    <m/>
    <m/>
    <m/>
    <m/>
    <m/>
    <m/>
    <m/>
    <m/>
    <m/>
    <m/>
    <m/>
    <m/>
    <m/>
    <m/>
    <m/>
    <m/>
    <m/>
    <m/>
    <m/>
    <m/>
    <m/>
    <m/>
    <m/>
    <m/>
    <m/>
    <m/>
    <m/>
    <m/>
    <m/>
  </r>
  <r>
    <n v="742"/>
    <d v="2025-04-02T00:00:00"/>
    <s v="ZBTO"/>
    <n v="9518664146"/>
    <n v="2"/>
    <s v="9518664146-2"/>
    <s v="May'25"/>
    <x v="0"/>
    <s v="Yes"/>
    <x v="1"/>
    <x v="2"/>
    <n v="2000"/>
    <m/>
    <x v="1"/>
    <m/>
    <m/>
    <s v="West Bengal"/>
    <s v="East"/>
    <m/>
    <m/>
    <n v="925093"/>
    <x v="61"/>
    <n v="2440959"/>
    <s v="CRCA SHEET TATCRC SR16 0.330X900X2500"/>
    <s v=""/>
    <m/>
    <m/>
    <m/>
    <m/>
    <s v="C06"/>
    <s v="TATCRC"/>
    <s v="SR16"/>
    <n v="0.33"/>
    <n v="900"/>
    <n v="2500"/>
    <n v="24"/>
    <n v="0"/>
    <n v="24"/>
    <n v="24"/>
    <n v="24"/>
    <n v="24"/>
    <n v="0"/>
    <n v="0"/>
    <n v="0"/>
    <n v="0"/>
    <n v="0"/>
    <n v="0"/>
    <n v="0"/>
    <n v="0"/>
    <n v="0"/>
    <n v="0"/>
    <n v="0"/>
    <n v="0"/>
    <n v="0"/>
    <n v="0"/>
    <n v="0"/>
    <n v="0"/>
    <n v="0"/>
    <n v="0"/>
    <n v="0"/>
    <n v="0"/>
    <n v="0"/>
    <n v="0"/>
    <n v="0"/>
    <m/>
    <m/>
    <m/>
    <m/>
    <m/>
    <m/>
    <m/>
    <m/>
    <m/>
    <m/>
    <m/>
    <m/>
    <m/>
    <m/>
    <m/>
    <m/>
    <m/>
    <m/>
    <m/>
    <m/>
    <m/>
    <m/>
    <m/>
    <m/>
    <m/>
    <m/>
    <m/>
    <m/>
    <m/>
    <m/>
    <m/>
    <m/>
    <m/>
    <m/>
    <m/>
    <m/>
    <m/>
    <m/>
    <m/>
    <m/>
    <m/>
    <m/>
    <m/>
    <m/>
    <m/>
    <m/>
    <m/>
    <m/>
    <m/>
  </r>
  <r>
    <n v="742"/>
    <d v="2025-04-02T00:00:00"/>
    <s v="ZBTO"/>
    <n v="9518664146"/>
    <n v="3"/>
    <s v="9518664146-3"/>
    <s v="May'25"/>
    <x v="0"/>
    <s v="Yes"/>
    <x v="1"/>
    <x v="2"/>
    <n v="2000"/>
    <m/>
    <x v="1"/>
    <m/>
    <m/>
    <s v="West Bengal"/>
    <s v="East"/>
    <m/>
    <m/>
    <n v="925093"/>
    <x v="61"/>
    <n v="3239548"/>
    <s v="CRCA SHEET TATCRC SR16 0.400X900X2500"/>
    <s v=""/>
    <m/>
    <m/>
    <m/>
    <m/>
    <s v="C06"/>
    <s v="TATCRC"/>
    <s v="SR16"/>
    <n v="0.4"/>
    <n v="900"/>
    <n v="2500"/>
    <n v="24"/>
    <n v="0"/>
    <n v="24"/>
    <n v="24"/>
    <n v="2.8000000000000007"/>
    <n v="24"/>
    <n v="0"/>
    <n v="0"/>
    <n v="0"/>
    <n v="0"/>
    <n v="0"/>
    <n v="0"/>
    <n v="0"/>
    <n v="0"/>
    <n v="0"/>
    <n v="0"/>
    <n v="0"/>
    <n v="0"/>
    <n v="0"/>
    <n v="21.2"/>
    <n v="0"/>
    <n v="0"/>
    <n v="0"/>
    <n v="0"/>
    <n v="0"/>
    <n v="21.2"/>
    <n v="21.2"/>
    <n v="0"/>
    <n v="21.2"/>
    <m/>
    <m/>
    <m/>
    <m/>
    <m/>
    <m/>
    <m/>
    <m/>
    <m/>
    <m/>
    <m/>
    <m/>
    <m/>
    <m/>
    <m/>
    <m/>
    <m/>
    <m/>
    <m/>
    <m/>
    <m/>
    <m/>
    <m/>
    <m/>
    <m/>
    <m/>
    <m/>
    <m/>
    <m/>
    <m/>
    <m/>
    <m/>
    <m/>
    <m/>
    <m/>
    <m/>
    <m/>
    <m/>
    <m/>
    <m/>
    <m/>
    <m/>
    <m/>
    <m/>
    <m/>
    <m/>
    <m/>
    <m/>
    <m/>
  </r>
  <r>
    <n v="742"/>
    <d v="2025-04-16T00:00:00"/>
    <s v="ZBTO"/>
    <n v="9518697298"/>
    <n v="1"/>
    <s v="9518697298-1"/>
    <s v="No Priority"/>
    <x v="1"/>
    <m/>
    <x v="1"/>
    <x v="2"/>
    <n v="2000"/>
    <m/>
    <x v="0"/>
    <m/>
    <m/>
    <s v="West Bengal"/>
    <s v="East"/>
    <m/>
    <m/>
    <n v="925093"/>
    <x v="61"/>
    <n v="3239548"/>
    <s v="CRCA SHEET TATCRC SR16 0.400X900X2500"/>
    <s v=""/>
    <m/>
    <m/>
    <m/>
    <m/>
    <s v="C06"/>
    <s v="TATCRC"/>
    <s v="SR16"/>
    <n v="0.4"/>
    <n v="900"/>
    <n v="2500"/>
    <n v="24"/>
    <n v="0"/>
    <n v="24"/>
    <n v="24"/>
    <n v="24"/>
    <n v="24"/>
    <n v="0"/>
    <n v="0"/>
    <n v="0"/>
    <n v="0"/>
    <n v="0"/>
    <n v="0"/>
    <n v="0"/>
    <n v="0"/>
    <n v="0"/>
    <n v="0"/>
    <n v="0"/>
    <n v="0"/>
    <n v="0"/>
    <n v="0"/>
    <n v="0"/>
    <n v="0"/>
    <n v="0"/>
    <n v="0"/>
    <n v="0"/>
    <n v="0"/>
    <n v="0"/>
    <n v="0"/>
    <n v="0"/>
    <m/>
    <m/>
    <m/>
    <m/>
    <m/>
    <m/>
    <m/>
    <m/>
    <m/>
    <m/>
    <m/>
    <m/>
    <m/>
    <m/>
    <m/>
    <m/>
    <m/>
    <m/>
    <m/>
    <m/>
    <m/>
    <m/>
    <m/>
    <m/>
    <m/>
    <m/>
    <m/>
    <m/>
    <m/>
    <m/>
    <m/>
    <m/>
    <m/>
    <m/>
    <m/>
    <m/>
    <m/>
    <m/>
    <m/>
    <m/>
    <m/>
    <m/>
    <m/>
    <m/>
    <m/>
    <m/>
    <m/>
    <m/>
    <m/>
  </r>
  <r>
    <n v="742"/>
    <d v="2025-04-16T00:00:00"/>
    <s v="ZBTO"/>
    <n v="9518697298"/>
    <n v="2"/>
    <s v="9518697298-2"/>
    <s v="No Priority"/>
    <x v="0"/>
    <m/>
    <x v="1"/>
    <x v="2"/>
    <n v="2000"/>
    <m/>
    <x v="0"/>
    <m/>
    <m/>
    <s v="West Bengal"/>
    <s v="East"/>
    <m/>
    <m/>
    <n v="925093"/>
    <x v="61"/>
    <n v="3240760"/>
    <s v="CRCA SHEET TSBCRC SR15 0.500X1000X2500"/>
    <s v=""/>
    <m/>
    <m/>
    <m/>
    <m/>
    <s v="C06"/>
    <s v="TSBCRC"/>
    <s v="SR15"/>
    <n v="0.5"/>
    <n v="1000"/>
    <n v="2500"/>
    <n v="24"/>
    <n v="0"/>
    <n v="24"/>
    <n v="24"/>
    <n v="24"/>
    <n v="9"/>
    <n v="0"/>
    <n v="0"/>
    <n v="0"/>
    <n v="0"/>
    <n v="0"/>
    <n v="0"/>
    <n v="0"/>
    <n v="0"/>
    <n v="0"/>
    <n v="0"/>
    <n v="0"/>
    <n v="0"/>
    <n v="0"/>
    <n v="0"/>
    <n v="0"/>
    <n v="0"/>
    <n v="0"/>
    <n v="0"/>
    <n v="0"/>
    <n v="0"/>
    <n v="0"/>
    <n v="0"/>
    <n v="0"/>
    <m/>
    <m/>
    <m/>
    <m/>
    <m/>
    <m/>
    <m/>
    <m/>
    <m/>
    <m/>
    <m/>
    <m/>
    <m/>
    <m/>
    <m/>
    <m/>
    <m/>
    <m/>
    <m/>
    <m/>
    <m/>
    <m/>
    <m/>
    <m/>
    <m/>
    <m/>
    <m/>
    <m/>
    <m/>
    <m/>
    <m/>
    <m/>
    <m/>
    <m/>
    <m/>
    <m/>
    <m/>
    <m/>
    <m/>
    <m/>
    <m/>
    <m/>
    <m/>
    <m/>
    <m/>
    <m/>
    <m/>
    <m/>
    <m/>
  </r>
  <r>
    <n v="742"/>
    <d v="2025-04-16T00:00:00"/>
    <s v="ZBTO"/>
    <n v="9518697298"/>
    <n v="3"/>
    <s v="9518697298-3"/>
    <s v="No Priority"/>
    <x v="1"/>
    <m/>
    <x v="1"/>
    <x v="2"/>
    <n v="2000"/>
    <m/>
    <x v="0"/>
    <m/>
    <m/>
    <s v="West Bengal"/>
    <s v="East"/>
    <m/>
    <m/>
    <n v="925093"/>
    <x v="61"/>
    <n v="3446127"/>
    <s v="CRCA SHEET TATCRC SR16 0.330X900X2500"/>
    <s v=""/>
    <m/>
    <m/>
    <m/>
    <m/>
    <s v="C06"/>
    <s v="TATCRC"/>
    <s v="SR16"/>
    <n v="0.33"/>
    <n v="900"/>
    <n v="2500"/>
    <n v="24"/>
    <n v="0"/>
    <n v="24"/>
    <n v="24"/>
    <n v="24"/>
    <n v="24"/>
    <n v="0"/>
    <n v="0"/>
    <n v="0"/>
    <n v="0"/>
    <n v="0"/>
    <n v="0"/>
    <n v="0"/>
    <n v="0"/>
    <n v="0"/>
    <n v="0"/>
    <n v="0"/>
    <n v="0"/>
    <n v="0"/>
    <n v="0"/>
    <n v="0"/>
    <n v="0"/>
    <n v="0"/>
    <n v="0"/>
    <n v="0"/>
    <n v="0"/>
    <n v="0"/>
    <n v="0"/>
    <n v="0"/>
    <m/>
    <m/>
    <m/>
    <m/>
    <m/>
    <m/>
    <m/>
    <m/>
    <m/>
    <m/>
    <m/>
    <m/>
    <m/>
    <m/>
    <m/>
    <m/>
    <m/>
    <m/>
    <m/>
    <m/>
    <m/>
    <m/>
    <m/>
    <m/>
    <m/>
    <m/>
    <m/>
    <m/>
    <m/>
    <m/>
    <m/>
    <m/>
    <m/>
    <m/>
    <m/>
    <m/>
    <m/>
    <m/>
    <m/>
    <m/>
    <m/>
    <m/>
    <m/>
    <m/>
    <m/>
    <m/>
    <m/>
    <m/>
    <m/>
  </r>
  <r>
    <n v="742"/>
    <d v="2025-03-11T00:00:00"/>
    <s v="ZBTO"/>
    <n v="9518593349"/>
    <n v="1"/>
    <s v="9518593349-1"/>
    <s v="No Priority"/>
    <x v="1"/>
    <m/>
    <x v="1"/>
    <x v="1"/>
    <n v="2000"/>
    <m/>
    <x v="0"/>
    <m/>
    <m/>
    <s v="Jharkhand"/>
    <s v="East"/>
    <m/>
    <m/>
    <n v="121328"/>
    <x v="10"/>
    <n v="1804908"/>
    <s v="CRCA COIL TATCRC TR15 0.5X1250"/>
    <s v=""/>
    <m/>
    <m/>
    <m/>
    <m/>
    <s v="C01"/>
    <s v="TATCRC"/>
    <s v="TR15"/>
    <n v="0.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3-11T00:00:00"/>
    <s v="ZBTO"/>
    <n v="9518593412"/>
    <n v="1"/>
    <s v="9518593412-1"/>
    <s v="No Priority"/>
    <x v="0"/>
    <s v="Yes"/>
    <x v="1"/>
    <x v="2"/>
    <n v="2000"/>
    <m/>
    <x v="0"/>
    <m/>
    <m/>
    <s v="Jharkhand"/>
    <s v="East"/>
    <m/>
    <m/>
    <n v="121328"/>
    <x v="10"/>
    <n v="3239408"/>
    <s v="CRCA SHEET TATCRC SR16 0.300X900X2500"/>
    <s v=""/>
    <m/>
    <m/>
    <m/>
    <m/>
    <s v="C06"/>
    <s v="TATCRC"/>
    <s v="SR16"/>
    <n v="0.3"/>
    <n v="900"/>
    <n v="2500"/>
    <n v="24"/>
    <n v="0"/>
    <n v="24"/>
    <n v="24"/>
    <n v="24"/>
    <n v="24"/>
    <n v="0"/>
    <n v="0"/>
    <n v="0"/>
    <n v="0"/>
    <n v="0"/>
    <n v="0"/>
    <n v="0"/>
    <n v="0"/>
    <n v="0"/>
    <n v="0"/>
    <n v="0"/>
    <n v="0"/>
    <n v="0"/>
    <n v="0"/>
    <n v="0"/>
    <n v="0"/>
    <n v="0"/>
    <n v="0"/>
    <n v="0"/>
    <n v="0"/>
    <n v="0"/>
    <n v="0"/>
    <n v="0"/>
    <m/>
    <m/>
    <m/>
    <m/>
    <m/>
    <m/>
    <m/>
    <m/>
    <m/>
    <m/>
    <m/>
    <m/>
    <m/>
    <m/>
    <m/>
    <m/>
    <m/>
    <m/>
    <m/>
    <m/>
    <m/>
    <m/>
    <m/>
    <m/>
    <m/>
    <m/>
    <m/>
    <m/>
    <m/>
    <m/>
    <m/>
    <m/>
    <m/>
    <m/>
    <m/>
    <m/>
    <m/>
    <m/>
    <m/>
    <m/>
    <m/>
    <m/>
    <m/>
    <m/>
    <m/>
    <m/>
    <m/>
    <m/>
    <m/>
  </r>
  <r>
    <n v="742"/>
    <d v="2025-03-11T00:00:00"/>
    <s v="ZBTO"/>
    <n v="9518593412"/>
    <n v="2"/>
    <s v="9518593412-2"/>
    <s v="No Priority"/>
    <x v="0"/>
    <s v="Yes"/>
    <x v="1"/>
    <x v="2"/>
    <n v="2000"/>
    <m/>
    <x v="0"/>
    <m/>
    <m/>
    <s v="Jharkhand"/>
    <s v="East"/>
    <m/>
    <m/>
    <n v="121328"/>
    <x v="10"/>
    <n v="3446127"/>
    <s v="CRCA SHEET TATCRC SR16 0.330X900X2500"/>
    <s v=""/>
    <m/>
    <m/>
    <m/>
    <m/>
    <s v="C06"/>
    <s v="TATCRC"/>
    <s v="SR16"/>
    <n v="0.33"/>
    <n v="900"/>
    <n v="2500"/>
    <n v="39"/>
    <n v="0"/>
    <n v="39"/>
    <n v="39"/>
    <n v="39"/>
    <n v="39"/>
    <n v="0"/>
    <n v="0"/>
    <n v="0"/>
    <n v="0"/>
    <n v="0"/>
    <n v="0"/>
    <n v="0"/>
    <n v="0"/>
    <n v="0"/>
    <n v="0"/>
    <n v="0"/>
    <n v="0"/>
    <n v="0"/>
    <n v="0"/>
    <n v="0"/>
    <n v="0"/>
    <n v="0"/>
    <n v="0"/>
    <n v="0"/>
    <n v="0"/>
    <n v="0"/>
    <n v="0"/>
    <n v="0"/>
    <m/>
    <m/>
    <m/>
    <m/>
    <m/>
    <m/>
    <m/>
    <m/>
    <m/>
    <m/>
    <m/>
    <m/>
    <m/>
    <m/>
    <m/>
    <m/>
    <m/>
    <m/>
    <m/>
    <m/>
    <m/>
    <m/>
    <m/>
    <m/>
    <m/>
    <m/>
    <m/>
    <m/>
    <m/>
    <m/>
    <m/>
    <m/>
    <m/>
    <m/>
    <m/>
    <m/>
    <m/>
    <m/>
    <m/>
    <m/>
    <m/>
    <m/>
    <m/>
    <m/>
    <m/>
    <m/>
    <m/>
    <m/>
    <m/>
  </r>
  <r>
    <n v="742"/>
    <d v="2025-03-11T00:00:00"/>
    <s v="ZBTO"/>
    <n v="9518593412"/>
    <n v="3"/>
    <s v="9518593412-3"/>
    <s v="May'25"/>
    <x v="0"/>
    <s v="Yes"/>
    <x v="1"/>
    <x v="2"/>
    <n v="2000"/>
    <m/>
    <x v="1"/>
    <m/>
    <m/>
    <s v="Jharkhand"/>
    <s v="East"/>
    <m/>
    <m/>
    <n v="121328"/>
    <x v="10"/>
    <n v="3152198"/>
    <s v="CRCA SHEET TATCRC SR16 0.380X1000X2500"/>
    <s v=""/>
    <m/>
    <m/>
    <m/>
    <m/>
    <s v="C06"/>
    <s v="TATCRC"/>
    <s v="SR16"/>
    <n v="0.38"/>
    <n v="1000"/>
    <n v="2500"/>
    <n v="30"/>
    <n v="0"/>
    <n v="30"/>
    <n v="30"/>
    <n v="30"/>
    <n v="30"/>
    <n v="0"/>
    <n v="0"/>
    <n v="0"/>
    <n v="0"/>
    <n v="0"/>
    <n v="0"/>
    <n v="0"/>
    <n v="0"/>
    <n v="0"/>
    <n v="0"/>
    <n v="0"/>
    <n v="0"/>
    <n v="0"/>
    <n v="0"/>
    <n v="0"/>
    <n v="0"/>
    <n v="0"/>
    <n v="0"/>
    <n v="0"/>
    <n v="0"/>
    <n v="0"/>
    <n v="0"/>
    <n v="0"/>
    <m/>
    <m/>
    <m/>
    <m/>
    <m/>
    <m/>
    <m/>
    <m/>
    <m/>
    <m/>
    <m/>
    <m/>
    <m/>
    <m/>
    <m/>
    <m/>
    <m/>
    <m/>
    <m/>
    <m/>
    <m/>
    <m/>
    <m/>
    <m/>
    <m/>
    <m/>
    <m/>
    <m/>
    <m/>
    <m/>
    <m/>
    <m/>
    <m/>
    <m/>
    <m/>
    <m/>
    <m/>
    <m/>
    <m/>
    <m/>
    <m/>
    <m/>
    <m/>
    <m/>
    <m/>
    <m/>
    <m/>
    <m/>
    <m/>
  </r>
  <r>
    <n v="742"/>
    <d v="2025-04-15T00:00:00"/>
    <s v="ZBTO"/>
    <n v="9518694370"/>
    <n v="1"/>
    <s v="9518694370-1"/>
    <s v="No Priority"/>
    <x v="1"/>
    <m/>
    <x v="1"/>
    <x v="2"/>
    <n v="2000"/>
    <m/>
    <x v="0"/>
    <m/>
    <m/>
    <s v="Jharkhand"/>
    <s v="East"/>
    <m/>
    <m/>
    <n v="121328"/>
    <x v="10"/>
    <n v="3134045"/>
    <s v="CRCA SHEET TATCRC SR16 0.280X900X2500"/>
    <s v=""/>
    <m/>
    <m/>
    <m/>
    <m/>
    <s v="C06"/>
    <s v="TATCRC"/>
    <s v="SR16"/>
    <n v="0.28000000000000003"/>
    <n v="900"/>
    <n v="2500"/>
    <n v="21"/>
    <n v="0"/>
    <n v="21"/>
    <n v="21"/>
    <n v="21"/>
    <n v="21"/>
    <n v="0"/>
    <n v="0"/>
    <n v="0"/>
    <n v="0"/>
    <n v="0"/>
    <n v="0"/>
    <n v="0"/>
    <n v="0"/>
    <n v="0"/>
    <n v="0"/>
    <n v="0"/>
    <n v="0"/>
    <n v="0"/>
    <n v="0"/>
    <n v="0"/>
    <n v="0"/>
    <n v="0"/>
    <n v="0"/>
    <n v="0"/>
    <n v="0"/>
    <n v="0"/>
    <n v="0"/>
    <n v="0"/>
    <m/>
    <m/>
    <m/>
    <m/>
    <m/>
    <m/>
    <m/>
    <m/>
    <m/>
    <m/>
    <m/>
    <m/>
    <m/>
    <m/>
    <m/>
    <m/>
    <m/>
    <m/>
    <m/>
    <m/>
    <m/>
    <m/>
    <m/>
    <m/>
    <m/>
    <m/>
    <m/>
    <m/>
    <m/>
    <m/>
    <m/>
    <m/>
    <m/>
    <m/>
    <m/>
    <m/>
    <m/>
    <m/>
    <m/>
    <m/>
    <m/>
    <m/>
    <m/>
    <m/>
    <m/>
    <m/>
    <m/>
    <m/>
    <m/>
  </r>
  <r>
    <n v="742"/>
    <d v="2025-04-15T00:00:00"/>
    <s v="ZBTO"/>
    <n v="9518694370"/>
    <n v="2"/>
    <s v="9518694370-2"/>
    <s v="No Priority"/>
    <x v="1"/>
    <m/>
    <x v="1"/>
    <x v="2"/>
    <n v="2000"/>
    <m/>
    <x v="0"/>
    <m/>
    <m/>
    <s v="Jharkhand"/>
    <s v="East"/>
    <m/>
    <m/>
    <n v="121328"/>
    <x v="10"/>
    <n v="3239408"/>
    <s v="CRCA SHEET TATCRC SR16 0.300X900X2500"/>
    <s v=""/>
    <m/>
    <m/>
    <m/>
    <m/>
    <s v="C06"/>
    <s v="TATCRC"/>
    <s v="SR16"/>
    <n v="0.3"/>
    <n v="900"/>
    <n v="2500"/>
    <n v="81"/>
    <n v="0"/>
    <n v="81"/>
    <n v="81"/>
    <n v="81"/>
    <n v="81"/>
    <n v="0"/>
    <n v="0"/>
    <n v="0"/>
    <n v="0"/>
    <n v="0"/>
    <n v="0"/>
    <n v="0"/>
    <n v="0"/>
    <n v="0"/>
    <n v="0"/>
    <n v="0"/>
    <n v="0"/>
    <n v="0"/>
    <n v="0"/>
    <n v="0"/>
    <n v="0"/>
    <n v="0"/>
    <n v="0"/>
    <n v="0"/>
    <n v="0"/>
    <n v="0"/>
    <n v="0"/>
    <n v="0"/>
    <m/>
    <m/>
    <m/>
    <m/>
    <m/>
    <m/>
    <m/>
    <m/>
    <m/>
    <m/>
    <m/>
    <m/>
    <m/>
    <m/>
    <m/>
    <m/>
    <m/>
    <m/>
    <m/>
    <m/>
    <m/>
    <m/>
    <m/>
    <m/>
    <m/>
    <m/>
    <m/>
    <m/>
    <m/>
    <m/>
    <m/>
    <m/>
    <m/>
    <m/>
    <m/>
    <m/>
    <m/>
    <m/>
    <m/>
    <m/>
    <m/>
    <m/>
    <m/>
    <m/>
    <m/>
    <m/>
    <m/>
    <m/>
    <m/>
  </r>
  <r>
    <n v="742"/>
    <d v="2025-04-15T00:00:00"/>
    <s v="ZBTO"/>
    <n v="9518694613"/>
    <n v="1"/>
    <s v="9518694613-1"/>
    <s v="No Priority"/>
    <x v="1"/>
    <m/>
    <x v="1"/>
    <x v="2"/>
    <n v="2000"/>
    <m/>
    <x v="0"/>
    <m/>
    <m/>
    <s v="Jharkhand"/>
    <s v="East"/>
    <m/>
    <m/>
    <n v="121328"/>
    <x v="10"/>
    <n v="3239536"/>
    <s v="CRCA SHEET TATCRC SR16 0.350X900X2500"/>
    <s v=""/>
    <m/>
    <m/>
    <m/>
    <m/>
    <s v="C06"/>
    <s v="TATCRC"/>
    <s v="SR16"/>
    <n v="0.35"/>
    <n v="900"/>
    <n v="2500"/>
    <n v="81"/>
    <n v="0"/>
    <n v="81"/>
    <n v="81"/>
    <n v="81"/>
    <n v="81"/>
    <n v="0"/>
    <n v="0"/>
    <n v="0"/>
    <n v="0"/>
    <n v="0"/>
    <n v="0"/>
    <n v="0"/>
    <n v="0"/>
    <n v="0"/>
    <n v="0"/>
    <n v="0"/>
    <n v="0"/>
    <n v="0"/>
    <n v="0"/>
    <n v="0"/>
    <n v="0"/>
    <n v="0"/>
    <n v="0"/>
    <n v="0"/>
    <n v="0"/>
    <n v="0"/>
    <n v="0"/>
    <n v="0"/>
    <m/>
    <m/>
    <m/>
    <m/>
    <m/>
    <m/>
    <m/>
    <m/>
    <m/>
    <m/>
    <m/>
    <m/>
    <m/>
    <m/>
    <m/>
    <m/>
    <m/>
    <m/>
    <m/>
    <m/>
    <m/>
    <m/>
    <m/>
    <m/>
    <m/>
    <m/>
    <m/>
    <m/>
    <m/>
    <m/>
    <m/>
    <m/>
    <m/>
    <m/>
    <m/>
    <m/>
    <m/>
    <m/>
    <m/>
    <m/>
    <m/>
    <m/>
    <m/>
    <m/>
    <m/>
    <m/>
    <m/>
    <m/>
    <m/>
  </r>
  <r>
    <n v="742"/>
    <d v="2025-04-15T00:00:00"/>
    <s v="ZBTO"/>
    <n v="9518694613"/>
    <n v="2"/>
    <s v="9518694613-2"/>
    <s v="No Priority"/>
    <x v="1"/>
    <m/>
    <x v="1"/>
    <x v="2"/>
    <n v="2000"/>
    <m/>
    <x v="0"/>
    <m/>
    <m/>
    <s v="Jharkhand"/>
    <s v="East"/>
    <m/>
    <m/>
    <n v="121328"/>
    <x v="10"/>
    <n v="3239542"/>
    <s v="CRCA SHEET TATCRC SR16 0.350X1000X2500"/>
    <s v=""/>
    <m/>
    <m/>
    <m/>
    <m/>
    <s v="C06"/>
    <s v="TATCRC"/>
    <s v="SR16"/>
    <n v="0.35"/>
    <n v="1000"/>
    <n v="2500"/>
    <n v="60"/>
    <n v="0"/>
    <n v="60"/>
    <n v="60"/>
    <n v="60"/>
    <n v="60"/>
    <n v="0"/>
    <n v="0"/>
    <n v="0"/>
    <n v="0"/>
    <n v="0"/>
    <n v="0"/>
    <n v="0"/>
    <n v="0"/>
    <n v="0"/>
    <n v="0"/>
    <n v="0"/>
    <n v="0"/>
    <n v="0"/>
    <n v="0"/>
    <n v="0"/>
    <n v="0"/>
    <n v="0"/>
    <n v="0"/>
    <n v="0"/>
    <n v="0"/>
    <n v="0"/>
    <n v="0"/>
    <n v="0"/>
    <m/>
    <m/>
    <m/>
    <m/>
    <m/>
    <m/>
    <m/>
    <m/>
    <m/>
    <m/>
    <m/>
    <m/>
    <m/>
    <m/>
    <m/>
    <m/>
    <m/>
    <m/>
    <m/>
    <m/>
    <m/>
    <m/>
    <m/>
    <m/>
    <m/>
    <m/>
    <m/>
    <m/>
    <m/>
    <m/>
    <m/>
    <m/>
    <m/>
    <m/>
    <m/>
    <m/>
    <m/>
    <m/>
    <m/>
    <m/>
    <m/>
    <m/>
    <m/>
    <m/>
    <m/>
    <m/>
    <m/>
    <m/>
    <m/>
  </r>
  <r>
    <n v="742"/>
    <d v="2025-04-15T00:00:00"/>
    <s v="ZBTO"/>
    <n v="9518694613"/>
    <n v="4"/>
    <s v="9518694613-4"/>
    <s v="No Priority"/>
    <x v="1"/>
    <m/>
    <x v="1"/>
    <x v="2"/>
    <n v="2000"/>
    <m/>
    <x v="0"/>
    <m/>
    <m/>
    <s v="Jharkhand"/>
    <s v="East"/>
    <m/>
    <m/>
    <n v="121328"/>
    <x v="10"/>
    <n v="3239554"/>
    <s v="CRCA SHEET TATCRC SR16 0.400X1000X2500"/>
    <s v=""/>
    <m/>
    <m/>
    <m/>
    <m/>
    <s v="C06"/>
    <s v="TATCRC"/>
    <s v="SR16"/>
    <n v="0.4"/>
    <n v="1000"/>
    <n v="2500"/>
    <n v="60"/>
    <n v="0"/>
    <n v="60"/>
    <n v="60"/>
    <n v="60"/>
    <n v="60"/>
    <n v="0"/>
    <n v="0"/>
    <n v="0"/>
    <n v="0"/>
    <n v="0"/>
    <n v="0"/>
    <n v="0"/>
    <n v="0"/>
    <n v="0"/>
    <n v="0"/>
    <n v="0"/>
    <n v="0"/>
    <n v="0"/>
    <n v="0"/>
    <n v="0"/>
    <n v="0"/>
    <n v="0"/>
    <n v="0"/>
    <n v="0"/>
    <n v="0"/>
    <n v="0"/>
    <n v="0"/>
    <n v="0"/>
    <m/>
    <m/>
    <m/>
    <m/>
    <m/>
    <m/>
    <m/>
    <m/>
    <m/>
    <m/>
    <m/>
    <m/>
    <m/>
    <m/>
    <m/>
    <m/>
    <m/>
    <m/>
    <m/>
    <m/>
    <m/>
    <m/>
    <m/>
    <m/>
    <m/>
    <m/>
    <m/>
    <m/>
    <m/>
    <m/>
    <m/>
    <m/>
    <m/>
    <m/>
    <m/>
    <m/>
    <m/>
    <m/>
    <m/>
    <m/>
    <m/>
    <m/>
    <m/>
    <m/>
    <m/>
    <m/>
    <m/>
    <m/>
    <m/>
  </r>
  <r>
    <n v="742"/>
    <d v="2025-04-15T00:00:00"/>
    <s v="ZBTO"/>
    <n v="9518694613"/>
    <n v="5"/>
    <s v="9518694613-5"/>
    <s v="No Priority"/>
    <x v="0"/>
    <m/>
    <x v="1"/>
    <x v="2"/>
    <n v="2000"/>
    <m/>
    <x v="0"/>
    <m/>
    <m/>
    <s v="Jharkhand"/>
    <s v="East"/>
    <m/>
    <m/>
    <n v="121328"/>
    <x v="10"/>
    <n v="3239567"/>
    <s v="CRCA SHEET TATCRC SR16 0.450X1000X2500"/>
    <s v=""/>
    <m/>
    <m/>
    <m/>
    <m/>
    <s v="C06"/>
    <s v="TATCRC"/>
    <s v="SR16"/>
    <n v="0.45"/>
    <n v="1000"/>
    <n v="2500"/>
    <n v="42"/>
    <n v="0"/>
    <n v="42"/>
    <n v="42"/>
    <n v="42"/>
    <n v="42"/>
    <n v="0"/>
    <n v="0"/>
    <n v="0"/>
    <n v="0"/>
    <n v="0"/>
    <n v="0"/>
    <n v="0"/>
    <n v="0"/>
    <n v="0"/>
    <n v="0"/>
    <n v="0"/>
    <n v="0"/>
    <n v="0"/>
    <n v="0"/>
    <n v="0"/>
    <n v="0"/>
    <n v="0"/>
    <n v="0"/>
    <n v="0"/>
    <n v="0"/>
    <n v="0"/>
    <n v="0"/>
    <n v="0"/>
    <m/>
    <m/>
    <m/>
    <m/>
    <m/>
    <m/>
    <m/>
    <m/>
    <m/>
    <m/>
    <m/>
    <m/>
    <m/>
    <m/>
    <m/>
    <m/>
    <m/>
    <m/>
    <m/>
    <m/>
    <m/>
    <m/>
    <m/>
    <m/>
    <m/>
    <m/>
    <m/>
    <m/>
    <m/>
    <m/>
    <m/>
    <m/>
    <m/>
    <m/>
    <m/>
    <m/>
    <m/>
    <m/>
    <m/>
    <m/>
    <m/>
    <m/>
    <m/>
    <m/>
    <m/>
    <m/>
    <m/>
    <m/>
    <m/>
  </r>
  <r>
    <n v="742"/>
    <d v="2025-04-15T00:00:00"/>
    <s v="ZBTO"/>
    <n v="9518694644"/>
    <n v="1"/>
    <s v="9518694644-1"/>
    <s v="No Priority"/>
    <x v="1"/>
    <m/>
    <x v="1"/>
    <x v="1"/>
    <n v="2000"/>
    <m/>
    <x v="0"/>
    <m/>
    <m/>
    <s v="Jharkhand"/>
    <s v="East"/>
    <m/>
    <m/>
    <n v="121328"/>
    <x v="10"/>
    <n v="1804889"/>
    <s v="CRCA COIL-TATCRC-TR15-0.4X1000"/>
    <s v=""/>
    <m/>
    <m/>
    <m/>
    <m/>
    <s v="C01"/>
    <s v="TATCRC"/>
    <s v="TR15"/>
    <n v="0.4"/>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15T00:00:00"/>
    <s v="ZBTO"/>
    <n v="9518694644"/>
    <n v="2"/>
    <s v="9518694644-2"/>
    <s v="No Priority"/>
    <x v="1"/>
    <m/>
    <x v="1"/>
    <x v="1"/>
    <n v="2000"/>
    <m/>
    <x v="0"/>
    <m/>
    <m/>
    <s v="Jharkhand"/>
    <s v="East"/>
    <m/>
    <m/>
    <n v="121328"/>
    <x v="10"/>
    <n v="1804896"/>
    <s v="CRCA COIL-TATCRC-TR15-0.45X1000"/>
    <s v=""/>
    <m/>
    <m/>
    <m/>
    <m/>
    <s v="C01"/>
    <s v="TATCRC"/>
    <s v="TR15"/>
    <n v="0.4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15T00:00:00"/>
    <s v="ZBTO"/>
    <n v="9518694644"/>
    <n v="3"/>
    <s v="9518694644-3"/>
    <s v="No Priority"/>
    <x v="1"/>
    <m/>
    <x v="1"/>
    <x v="1"/>
    <n v="2000"/>
    <m/>
    <x v="0"/>
    <m/>
    <m/>
    <s v="Jharkhand"/>
    <s v="East"/>
    <m/>
    <m/>
    <n v="121328"/>
    <x v="10"/>
    <n v="1804905"/>
    <s v="CRCA COIL-TATCRC-TR15-0.5X1000"/>
    <s v=""/>
    <m/>
    <m/>
    <m/>
    <m/>
    <s v="C01"/>
    <s v="TATCRC"/>
    <s v="TR15"/>
    <n v="0.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15T00:00:00"/>
    <s v="ZBTO"/>
    <n v="9518694644"/>
    <n v="4"/>
    <s v="9518694644-4"/>
    <s v="No Priority"/>
    <x v="1"/>
    <m/>
    <x v="1"/>
    <x v="1"/>
    <n v="2000"/>
    <m/>
    <x v="0"/>
    <m/>
    <m/>
    <s v="Jharkhand"/>
    <s v="East"/>
    <m/>
    <m/>
    <n v="121328"/>
    <x v="10"/>
    <n v="38098"/>
    <s v="CR COIL-ICF C01 TATCRC TR15 0.75 X 1000"/>
    <s v=""/>
    <m/>
    <m/>
    <m/>
    <m/>
    <s v="C01"/>
    <s v="TATCRC"/>
    <s v="TR15"/>
    <n v="0.75"/>
    <n v="1000"/>
    <n v="0"/>
    <n v="23"/>
    <n v="0"/>
    <n v="23"/>
    <n v="23"/>
    <n v="23"/>
    <n v="23"/>
    <n v="0"/>
    <n v="0"/>
    <n v="0"/>
    <n v="0"/>
    <n v="0"/>
    <n v="0"/>
    <n v="0"/>
    <n v="0"/>
    <n v="0"/>
    <n v="0"/>
    <n v="0"/>
    <n v="0"/>
    <n v="0"/>
    <n v="0"/>
    <n v="0"/>
    <n v="0"/>
    <n v="0"/>
    <n v="0"/>
    <n v="0"/>
    <n v="0"/>
    <n v="0"/>
    <n v="0"/>
    <n v="0"/>
    <m/>
    <m/>
    <m/>
    <m/>
    <m/>
    <m/>
    <m/>
    <m/>
    <m/>
    <m/>
    <m/>
    <m/>
    <m/>
    <m/>
    <m/>
    <m/>
    <m/>
    <m/>
    <m/>
    <m/>
    <m/>
    <m/>
    <m/>
    <m/>
    <m/>
    <m/>
    <m/>
    <m/>
    <m/>
    <m/>
    <m/>
    <m/>
    <m/>
    <m/>
    <m/>
    <m/>
    <m/>
    <m/>
    <m/>
    <m/>
    <m/>
    <m/>
    <m/>
    <m/>
    <m/>
    <m/>
    <m/>
    <m/>
    <m/>
  </r>
  <r>
    <n v="742"/>
    <d v="2025-04-15T00:00:00"/>
    <s v="ZBTO"/>
    <n v="9518694644"/>
    <n v="5"/>
    <s v="9518694644-5"/>
    <s v="No Priority"/>
    <x v="1"/>
    <m/>
    <x v="1"/>
    <x v="1"/>
    <n v="2000"/>
    <m/>
    <x v="0"/>
    <m/>
    <m/>
    <s v="Jharkhand"/>
    <s v="East"/>
    <m/>
    <m/>
    <n v="121328"/>
    <x v="10"/>
    <n v="1804908"/>
    <s v="CRCA COIL TATCRC TR15 0.5X1250"/>
    <s v=""/>
    <m/>
    <m/>
    <m/>
    <m/>
    <s v="C01"/>
    <s v="TATCRC"/>
    <s v="TR15"/>
    <n v="0.5"/>
    <n v="1250"/>
    <n v="0"/>
    <n v="29"/>
    <n v="0"/>
    <n v="29"/>
    <n v="29"/>
    <n v="29"/>
    <n v="29"/>
    <n v="0"/>
    <n v="0"/>
    <n v="0"/>
    <n v="0"/>
    <n v="0"/>
    <n v="0"/>
    <n v="0"/>
    <n v="0"/>
    <n v="0"/>
    <n v="0"/>
    <n v="0"/>
    <n v="0"/>
    <n v="0"/>
    <n v="0"/>
    <n v="0"/>
    <n v="0"/>
    <n v="0"/>
    <n v="0"/>
    <n v="0"/>
    <n v="0"/>
    <n v="0"/>
    <n v="0"/>
    <n v="0"/>
    <m/>
    <m/>
    <m/>
    <m/>
    <m/>
    <m/>
    <m/>
    <m/>
    <m/>
    <m/>
    <m/>
    <m/>
    <m/>
    <m/>
    <m/>
    <m/>
    <m/>
    <m/>
    <m/>
    <m/>
    <m/>
    <m/>
    <m/>
    <m/>
    <m/>
    <m/>
    <m/>
    <m/>
    <m/>
    <m/>
    <m/>
    <m/>
    <m/>
    <m/>
    <m/>
    <m/>
    <m/>
    <m/>
    <m/>
    <m/>
    <m/>
    <m/>
    <m/>
    <m/>
    <m/>
    <m/>
    <m/>
    <m/>
    <m/>
  </r>
  <r>
    <n v="743"/>
    <d v="2025-03-18T00:00:00"/>
    <s v="ZBTO"/>
    <n v="9518609974"/>
    <n v="1"/>
    <s v="9518609974-1"/>
    <s v="No Priority"/>
    <x v="0"/>
    <m/>
    <x v="3"/>
    <x v="9"/>
    <n v="2000"/>
    <m/>
    <x v="0"/>
    <m/>
    <m/>
    <s v="Delhi"/>
    <s v="North"/>
    <m/>
    <m/>
    <n v="183259"/>
    <x v="88"/>
    <n v="1319275"/>
    <s v="GP COIL SOFT-TATXGP-GLK1-0.2X900"/>
    <n v="80"/>
    <m/>
    <m/>
    <m/>
    <m/>
    <s v="C02"/>
    <s v="TATXGP"/>
    <s v="GLK1"/>
    <n v="0.2"/>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18T00:00:00"/>
    <s v="ZBTO"/>
    <n v="9518609974"/>
    <n v="3"/>
    <s v="9518609974-3"/>
    <s v="No Priority"/>
    <x v="1"/>
    <m/>
    <x v="3"/>
    <x v="9"/>
    <n v="2000"/>
    <m/>
    <x v="0"/>
    <m/>
    <m/>
    <s v="Delhi"/>
    <s v="North"/>
    <m/>
    <m/>
    <n v="183259"/>
    <x v="88"/>
    <n v="1854363"/>
    <s v="GP COIL SOFT-TATXGP-GLK1-0.22X900"/>
    <n v="80"/>
    <m/>
    <m/>
    <m/>
    <m/>
    <s v="C02"/>
    <s v="TATXGP"/>
    <s v="GLK1"/>
    <n v="0.22"/>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3-31T00:00:00"/>
    <s v="ZBTO"/>
    <n v="9518660656"/>
    <n v="1"/>
    <s v="9518660656-1"/>
    <s v="No Priority"/>
    <x v="0"/>
    <s v="Yes"/>
    <x v="1"/>
    <x v="2"/>
    <n v="2000"/>
    <m/>
    <x v="0"/>
    <m/>
    <m/>
    <s v="West Bengal"/>
    <s v="East"/>
    <m/>
    <m/>
    <n v="101278"/>
    <x v="11"/>
    <n v="3239536"/>
    <s v="CRCA SHEET TATCRC SR16 0.350X900X2500"/>
    <s v=""/>
    <m/>
    <m/>
    <m/>
    <m/>
    <s v="C06"/>
    <s v="TATCRC"/>
    <s v="SR16"/>
    <n v="0.35"/>
    <n v="900"/>
    <n v="2500"/>
    <n v="51"/>
    <n v="0"/>
    <n v="51"/>
    <n v="51"/>
    <n v="51"/>
    <n v="51"/>
    <n v="0"/>
    <n v="0"/>
    <n v="0"/>
    <n v="0"/>
    <n v="0"/>
    <n v="0"/>
    <n v="0"/>
    <n v="0"/>
    <n v="0"/>
    <n v="0"/>
    <n v="0"/>
    <n v="0"/>
    <n v="0"/>
    <n v="0"/>
    <n v="0"/>
    <n v="0"/>
    <n v="0"/>
    <n v="0"/>
    <n v="0"/>
    <n v="0"/>
    <n v="0"/>
    <n v="0"/>
    <n v="0"/>
    <m/>
    <m/>
    <m/>
    <m/>
    <m/>
    <m/>
    <m/>
    <m/>
    <m/>
    <m/>
    <m/>
    <m/>
    <m/>
    <m/>
    <m/>
    <m/>
    <m/>
    <m/>
    <m/>
    <m/>
    <m/>
    <m/>
    <m/>
    <m/>
    <m/>
    <m/>
    <m/>
    <m/>
    <m/>
    <m/>
    <m/>
    <m/>
    <m/>
    <m/>
    <m/>
    <m/>
    <m/>
    <m/>
    <m/>
    <m/>
    <m/>
    <m/>
    <m/>
    <m/>
    <m/>
    <m/>
    <m/>
    <m/>
    <m/>
  </r>
  <r>
    <n v="742"/>
    <d v="2025-03-31T00:00:00"/>
    <s v="ZBTO"/>
    <n v="9518660656"/>
    <n v="3"/>
    <s v="9518660656-3"/>
    <s v="No Priority"/>
    <x v="0"/>
    <s v="Yes"/>
    <x v="1"/>
    <x v="2"/>
    <n v="2000"/>
    <m/>
    <x v="0"/>
    <m/>
    <m/>
    <s v="West Bengal"/>
    <s v="East"/>
    <m/>
    <m/>
    <n v="101278"/>
    <x v="11"/>
    <n v="3239554"/>
    <s v="CRCA SHEET TATCRC SR16 0.400X1000X2500"/>
    <s v=""/>
    <m/>
    <m/>
    <m/>
    <m/>
    <s v="C06"/>
    <s v="TATCRC"/>
    <s v="SR16"/>
    <n v="0.4"/>
    <n v="1000"/>
    <n v="2500"/>
    <n v="99"/>
    <n v="0"/>
    <n v="99"/>
    <n v="99"/>
    <n v="99"/>
    <n v="99"/>
    <n v="0"/>
    <n v="0"/>
    <n v="0"/>
    <n v="0"/>
    <n v="0"/>
    <n v="0"/>
    <n v="0"/>
    <n v="0"/>
    <n v="0"/>
    <n v="0"/>
    <n v="0"/>
    <n v="0"/>
    <n v="0"/>
    <n v="0"/>
    <n v="0"/>
    <n v="0"/>
    <n v="0"/>
    <n v="0"/>
    <n v="0"/>
    <n v="0"/>
    <n v="0"/>
    <n v="0"/>
    <n v="0"/>
    <m/>
    <m/>
    <m/>
    <m/>
    <m/>
    <m/>
    <m/>
    <m/>
    <m/>
    <m/>
    <m/>
    <m/>
    <m/>
    <m/>
    <m/>
    <m/>
    <m/>
    <m/>
    <m/>
    <m/>
    <m/>
    <m/>
    <m/>
    <m/>
    <m/>
    <m/>
    <m/>
    <m/>
    <m/>
    <m/>
    <m/>
    <m/>
    <m/>
    <m/>
    <m/>
    <m/>
    <m/>
    <m/>
    <m/>
    <m/>
    <m/>
    <m/>
    <m/>
    <m/>
    <m/>
    <m/>
    <m/>
    <m/>
    <m/>
  </r>
  <r>
    <n v="742"/>
    <d v="2025-03-31T00:00:00"/>
    <s v="ZBTO"/>
    <n v="9518660656"/>
    <n v="4"/>
    <s v="9518660656-4"/>
    <s v="No Priority"/>
    <x v="0"/>
    <s v="Yes"/>
    <x v="1"/>
    <x v="2"/>
    <n v="2000"/>
    <m/>
    <x v="0"/>
    <m/>
    <m/>
    <s v="West Bengal"/>
    <s v="East"/>
    <m/>
    <m/>
    <n v="101278"/>
    <x v="11"/>
    <n v="3239557"/>
    <s v="CRCA SHEET TATCRC SR16 0.400X1250X2500"/>
    <s v=""/>
    <m/>
    <m/>
    <m/>
    <m/>
    <s v="C06"/>
    <s v="TATCRC"/>
    <s v="SR16"/>
    <n v="0.4"/>
    <n v="1250"/>
    <n v="0"/>
    <n v="24"/>
    <n v="0"/>
    <n v="24"/>
    <n v="24"/>
    <n v="24"/>
    <n v="24"/>
    <n v="0"/>
    <n v="0"/>
    <n v="0"/>
    <n v="0"/>
    <n v="0"/>
    <n v="0"/>
    <n v="0"/>
    <n v="0"/>
    <n v="0"/>
    <n v="0"/>
    <n v="0"/>
    <n v="0"/>
    <n v="0"/>
    <n v="0"/>
    <n v="0"/>
    <n v="0"/>
    <n v="0"/>
    <n v="0"/>
    <n v="0"/>
    <n v="0"/>
    <n v="0"/>
    <n v="0"/>
    <n v="0"/>
    <m/>
    <m/>
    <m/>
    <m/>
    <m/>
    <m/>
    <m/>
    <m/>
    <m/>
    <m/>
    <m/>
    <m/>
    <m/>
    <m/>
    <m/>
    <m/>
    <m/>
    <m/>
    <m/>
    <m/>
    <m/>
    <m/>
    <m/>
    <m/>
    <m/>
    <m/>
    <m/>
    <m/>
    <m/>
    <m/>
    <m/>
    <m/>
    <m/>
    <m/>
    <m/>
    <m/>
    <m/>
    <m/>
    <m/>
    <m/>
    <m/>
    <m/>
    <m/>
    <m/>
    <m/>
    <m/>
    <m/>
    <m/>
    <m/>
  </r>
  <r>
    <n v="742"/>
    <d v="2025-03-28T00:00:00"/>
    <s v="ZBTO"/>
    <n v="9518650048"/>
    <n v="2"/>
    <s v="9518650048-2"/>
    <s v="No Priority"/>
    <x v="0"/>
    <m/>
    <x v="1"/>
    <x v="11"/>
    <n v="2000"/>
    <m/>
    <x v="0"/>
    <m/>
    <m/>
    <s v="Telangana"/>
    <s v="South"/>
    <m/>
    <m/>
    <n v="947126"/>
    <x v="22"/>
    <n v="3727801"/>
    <s v="CR COIL TATXXD AH03 0.800X1320"/>
    <s v=""/>
    <m/>
    <m/>
    <m/>
    <m/>
    <s v="C01"/>
    <s v="TATXXD"/>
    <s v="AH03"/>
    <n v="0.8"/>
    <n v="1320"/>
    <n v="0"/>
    <n v="90"/>
    <n v="0"/>
    <n v="90"/>
    <n v="90"/>
    <n v="90"/>
    <n v="90"/>
    <n v="0"/>
    <n v="0"/>
    <n v="0"/>
    <n v="0"/>
    <n v="0"/>
    <n v="0"/>
    <n v="0"/>
    <n v="0"/>
    <n v="0"/>
    <n v="0"/>
    <n v="0"/>
    <n v="0"/>
    <n v="0"/>
    <n v="0"/>
    <n v="0"/>
    <n v="0"/>
    <n v="0"/>
    <n v="0"/>
    <n v="0"/>
    <n v="0"/>
    <n v="0"/>
    <n v="0"/>
    <n v="0"/>
    <m/>
    <m/>
    <m/>
    <m/>
    <m/>
    <m/>
    <m/>
    <m/>
    <m/>
    <m/>
    <m/>
    <m/>
    <m/>
    <m/>
    <m/>
    <m/>
    <m/>
    <m/>
    <m/>
    <m/>
    <m/>
    <m/>
    <m/>
    <m/>
    <m/>
    <m/>
    <m/>
    <m/>
    <m/>
    <m/>
    <m/>
    <m/>
    <m/>
    <m/>
    <m/>
    <m/>
    <m/>
    <m/>
    <m/>
    <m/>
    <m/>
    <m/>
    <m/>
    <m/>
    <m/>
    <m/>
    <m/>
    <m/>
    <m/>
  </r>
  <r>
    <n v="743"/>
    <d v="2025-03-01T00:00:00"/>
    <s v="ZBTO"/>
    <n v="9518567465"/>
    <n v="1"/>
    <s v="9518567465-1"/>
    <s v="May'25"/>
    <x v="1"/>
    <s v="Yes"/>
    <x v="3"/>
    <x v="9"/>
    <n v="2000"/>
    <m/>
    <x v="1"/>
    <m/>
    <m/>
    <s v="Assam"/>
    <s v="East"/>
    <m/>
    <m/>
    <n v="116649"/>
    <x v="24"/>
    <n v="1142893"/>
    <s v="GP COIL SOFT-TATXGP-GLK1-0.35X900"/>
    <s v=""/>
    <m/>
    <m/>
    <m/>
    <m/>
    <s v="C02"/>
    <s v="TATXGP"/>
    <s v="GLK1"/>
    <n v="0.3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01T00:00:00"/>
    <s v="ZBTO"/>
    <n v="9518567477"/>
    <n v="1"/>
    <s v="9518567477-1"/>
    <s v="May'25"/>
    <x v="0"/>
    <s v="Yes"/>
    <x v="3"/>
    <x v="9"/>
    <n v="2000"/>
    <m/>
    <x v="1"/>
    <m/>
    <m/>
    <s v="Assam"/>
    <s v="East"/>
    <m/>
    <m/>
    <n v="116649"/>
    <x v="24"/>
    <n v="1854363"/>
    <s v="GP COIL SOFT-TATXGP-GLK1-0.22X900"/>
    <s v=""/>
    <m/>
    <m/>
    <m/>
    <m/>
    <s v="C02"/>
    <s v="TATXGP"/>
    <s v="GLK1"/>
    <n v="0.22"/>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01T00:00:00"/>
    <s v="ZBTO"/>
    <n v="9518567477"/>
    <n v="2"/>
    <s v="9518567477-2"/>
    <s v="No Priority"/>
    <x v="0"/>
    <s v="Yes"/>
    <x v="3"/>
    <x v="9"/>
    <n v="2000"/>
    <m/>
    <x v="0"/>
    <m/>
    <m/>
    <s v="Assam"/>
    <s v="East"/>
    <m/>
    <m/>
    <n v="116649"/>
    <x v="24"/>
    <n v="1319275"/>
    <s v="GP COIL SOFT-TATXGP-GLK1-0.2X900"/>
    <s v=""/>
    <m/>
    <m/>
    <m/>
    <m/>
    <s v="C02"/>
    <s v="TATXGP"/>
    <s v="GLK1"/>
    <n v="0.2"/>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3-03T00:00:00"/>
    <s v="ZBTO"/>
    <n v="9518569788"/>
    <n v="6"/>
    <s v="9518569788-6"/>
    <s v="No Priority"/>
    <x v="0"/>
    <m/>
    <x v="1"/>
    <x v="2"/>
    <n v="2000"/>
    <m/>
    <x v="0"/>
    <m/>
    <m/>
    <s v="Assam"/>
    <s v="East"/>
    <m/>
    <m/>
    <n v="116649"/>
    <x v="24"/>
    <n v="3958363"/>
    <s v="CRCA SHEET TATCRC SR18 0.700X1000X2500"/>
    <s v=""/>
    <m/>
    <m/>
    <m/>
    <m/>
    <s v="C06"/>
    <s v="TATCRC"/>
    <s v="SR18"/>
    <n v="0.7"/>
    <n v="1000"/>
    <n v="2500"/>
    <n v="24"/>
    <n v="0"/>
    <n v="24"/>
    <n v="24"/>
    <n v="24"/>
    <n v="24"/>
    <n v="0"/>
    <n v="0"/>
    <n v="0"/>
    <n v="0"/>
    <n v="0"/>
    <n v="0"/>
    <n v="0"/>
    <n v="0"/>
    <n v="0"/>
    <n v="0"/>
    <n v="0"/>
    <n v="0"/>
    <n v="0"/>
    <n v="0"/>
    <n v="0"/>
    <n v="0"/>
    <n v="0"/>
    <n v="0"/>
    <n v="0"/>
    <n v="0"/>
    <n v="0"/>
    <n v="0"/>
    <n v="0"/>
    <m/>
    <m/>
    <m/>
    <m/>
    <m/>
    <m/>
    <m/>
    <m/>
    <m/>
    <m/>
    <m/>
    <m/>
    <m/>
    <m/>
    <m/>
    <m/>
    <m/>
    <m/>
    <m/>
    <m/>
    <m/>
    <m/>
    <m/>
    <m/>
    <m/>
    <m/>
    <m/>
    <m/>
    <m/>
    <m/>
    <m/>
    <m/>
    <m/>
    <m/>
    <m/>
    <m/>
    <m/>
    <m/>
    <m/>
    <m/>
    <m/>
    <m/>
    <m/>
    <m/>
    <m/>
    <m/>
    <m/>
    <m/>
    <m/>
  </r>
  <r>
    <n v="742"/>
    <d v="2025-03-03T00:00:00"/>
    <s v="ZBTO"/>
    <n v="9518569795"/>
    <n v="1"/>
    <s v="9518569795-1"/>
    <s v="No Priority"/>
    <x v="1"/>
    <m/>
    <x v="1"/>
    <x v="2"/>
    <n v="2000"/>
    <m/>
    <x v="0"/>
    <m/>
    <m/>
    <s v="West Bengal"/>
    <s v="East"/>
    <m/>
    <m/>
    <n v="948783"/>
    <x v="24"/>
    <n v="3958364"/>
    <s v="CRCA SHEET TATCRC SR18 0.750X1000X2500"/>
    <s v=""/>
    <m/>
    <m/>
    <m/>
    <m/>
    <s v="C06"/>
    <s v="TATCRC"/>
    <s v="SR18"/>
    <n v="0.75"/>
    <n v="1000"/>
    <n v="2500"/>
    <n v="24"/>
    <n v="0"/>
    <n v="24"/>
    <n v="24"/>
    <n v="24"/>
    <n v="24"/>
    <n v="0"/>
    <n v="0"/>
    <n v="0"/>
    <n v="0"/>
    <n v="0"/>
    <n v="0"/>
    <n v="0"/>
    <n v="0"/>
    <n v="0"/>
    <n v="0"/>
    <n v="0"/>
    <n v="0"/>
    <n v="0"/>
    <n v="0"/>
    <n v="0"/>
    <n v="0"/>
    <n v="0"/>
    <n v="0"/>
    <n v="0"/>
    <n v="0"/>
    <n v="0"/>
    <n v="0"/>
    <n v="0"/>
    <m/>
    <m/>
    <m/>
    <m/>
    <m/>
    <m/>
    <m/>
    <m/>
    <m/>
    <m/>
    <m/>
    <m/>
    <m/>
    <m/>
    <m/>
    <m/>
    <m/>
    <m/>
    <m/>
    <m/>
    <m/>
    <m/>
    <m/>
    <m/>
    <m/>
    <m/>
    <m/>
    <m/>
    <m/>
    <m/>
    <m/>
    <m/>
    <m/>
    <m/>
    <m/>
    <m/>
    <m/>
    <m/>
    <m/>
    <m/>
    <m/>
    <m/>
    <m/>
    <m/>
    <m/>
    <m/>
    <m/>
    <m/>
    <m/>
  </r>
  <r>
    <n v="742"/>
    <d v="2025-03-03T00:00:00"/>
    <s v="ZBTO"/>
    <n v="9518569795"/>
    <n v="2"/>
    <s v="9518569795-2"/>
    <s v="No Priority"/>
    <x v="1"/>
    <m/>
    <x v="1"/>
    <x v="2"/>
    <n v="2000"/>
    <m/>
    <x v="0"/>
    <m/>
    <m/>
    <s v="West Bengal"/>
    <s v="East"/>
    <m/>
    <m/>
    <n v="948783"/>
    <x v="24"/>
    <n v="3958363"/>
    <s v="CRCA SHEET TATCRC SR18 0.700X1000X2500"/>
    <s v=""/>
    <m/>
    <m/>
    <m/>
    <m/>
    <s v="C06"/>
    <s v="TATCRC"/>
    <s v="SR18"/>
    <n v="0.7"/>
    <n v="1000"/>
    <n v="2500"/>
    <n v="24"/>
    <n v="0"/>
    <n v="24"/>
    <n v="24"/>
    <n v="24"/>
    <n v="24"/>
    <n v="0"/>
    <n v="0"/>
    <n v="0"/>
    <n v="0"/>
    <n v="0"/>
    <n v="0"/>
    <n v="0"/>
    <n v="0"/>
    <n v="0"/>
    <n v="0"/>
    <n v="0"/>
    <n v="0"/>
    <n v="0"/>
    <n v="0"/>
    <n v="0"/>
    <n v="0"/>
    <n v="0"/>
    <n v="0"/>
    <n v="0"/>
    <n v="0"/>
    <n v="0"/>
    <n v="0"/>
    <n v="0"/>
    <m/>
    <m/>
    <m/>
    <m/>
    <m/>
    <m/>
    <m/>
    <m/>
    <m/>
    <m/>
    <m/>
    <m/>
    <m/>
    <m/>
    <m/>
    <m/>
    <m/>
    <m/>
    <m/>
    <m/>
    <m/>
    <m/>
    <m/>
    <m/>
    <m/>
    <m/>
    <m/>
    <m/>
    <m/>
    <m/>
    <m/>
    <m/>
    <m/>
    <m/>
    <m/>
    <m/>
    <m/>
    <m/>
    <m/>
    <m/>
    <m/>
    <m/>
    <m/>
    <m/>
    <m/>
    <m/>
    <m/>
    <m/>
    <m/>
  </r>
  <r>
    <n v="742"/>
    <d v="2025-03-03T00:00:00"/>
    <s v="ZBTO"/>
    <n v="9518569795"/>
    <n v="3"/>
    <s v="9518569795-3"/>
    <s v="No Priority"/>
    <x v="1"/>
    <m/>
    <x v="1"/>
    <x v="2"/>
    <n v="2000"/>
    <m/>
    <x v="0"/>
    <m/>
    <m/>
    <s v="West Bengal"/>
    <s v="East"/>
    <m/>
    <m/>
    <n v="948783"/>
    <x v="24"/>
    <n v="3958365"/>
    <s v="CRCA SHEET TATCRC SR18 0.700X1000X2000"/>
    <s v=""/>
    <m/>
    <m/>
    <m/>
    <m/>
    <s v="C06"/>
    <s v="TATCRC"/>
    <s v="SR18"/>
    <n v="0.7"/>
    <n v="1000"/>
    <n v="2000"/>
    <n v="24"/>
    <n v="0"/>
    <n v="24"/>
    <n v="24"/>
    <n v="24"/>
    <n v="24"/>
    <n v="0"/>
    <n v="0"/>
    <n v="0"/>
    <n v="0"/>
    <n v="0"/>
    <n v="0"/>
    <n v="0"/>
    <n v="0"/>
    <n v="0"/>
    <n v="0"/>
    <n v="0"/>
    <n v="0"/>
    <n v="0"/>
    <n v="0"/>
    <n v="0"/>
    <n v="0"/>
    <n v="0"/>
    <n v="0"/>
    <n v="0"/>
    <n v="0"/>
    <n v="0"/>
    <n v="0"/>
    <n v="0"/>
    <m/>
    <m/>
    <m/>
    <m/>
    <m/>
    <m/>
    <m/>
    <m/>
    <m/>
    <m/>
    <m/>
    <m/>
    <m/>
    <m/>
    <m/>
    <m/>
    <m/>
    <m/>
    <m/>
    <m/>
    <m/>
    <m/>
    <m/>
    <m/>
    <m/>
    <m/>
    <m/>
    <m/>
    <m/>
    <m/>
    <m/>
    <m/>
    <m/>
    <m/>
    <m/>
    <m/>
    <m/>
    <m/>
    <m/>
    <m/>
    <m/>
    <m/>
    <m/>
    <m/>
    <m/>
    <m/>
    <m/>
    <m/>
    <m/>
  </r>
  <r>
    <n v="742"/>
    <d v="2025-03-03T00:00:00"/>
    <s v="ZBTO"/>
    <n v="9518569795"/>
    <n v="4"/>
    <s v="9518569795-4"/>
    <s v="No Priority"/>
    <x v="1"/>
    <m/>
    <x v="1"/>
    <x v="2"/>
    <n v="2000"/>
    <m/>
    <x v="0"/>
    <m/>
    <m/>
    <s v="West Bengal"/>
    <s v="East"/>
    <m/>
    <m/>
    <n v="948783"/>
    <x v="24"/>
    <n v="3958366"/>
    <s v="CRCA SHEET TATCRC SR18 0.600X1000X2500"/>
    <s v=""/>
    <m/>
    <m/>
    <m/>
    <m/>
    <s v="C06"/>
    <s v="TATCRC"/>
    <s v="SR18"/>
    <n v="0.6"/>
    <n v="1000"/>
    <n v="2500"/>
    <n v="24"/>
    <n v="0"/>
    <n v="24"/>
    <n v="24"/>
    <n v="24"/>
    <n v="24"/>
    <n v="0"/>
    <n v="0"/>
    <n v="0"/>
    <n v="0"/>
    <n v="0"/>
    <n v="0"/>
    <n v="0"/>
    <n v="0"/>
    <n v="0"/>
    <n v="0"/>
    <n v="0"/>
    <n v="0"/>
    <n v="0"/>
    <n v="0"/>
    <n v="0"/>
    <n v="0"/>
    <n v="0"/>
    <n v="0"/>
    <n v="0"/>
    <n v="0"/>
    <n v="0"/>
    <n v="0"/>
    <n v="0"/>
    <m/>
    <m/>
    <m/>
    <m/>
    <m/>
    <m/>
    <m/>
    <m/>
    <m/>
    <m/>
    <m/>
    <m/>
    <m/>
    <m/>
    <m/>
    <m/>
    <m/>
    <m/>
    <m/>
    <m/>
    <m/>
    <m/>
    <m/>
    <m/>
    <m/>
    <m/>
    <m/>
    <m/>
    <m/>
    <m/>
    <m/>
    <m/>
    <m/>
    <m/>
    <m/>
    <m/>
    <m/>
    <m/>
    <m/>
    <m/>
    <m/>
    <m/>
    <m/>
    <m/>
    <m/>
    <m/>
    <m/>
    <m/>
    <m/>
  </r>
  <r>
    <n v="742"/>
    <d v="2025-03-03T00:00:00"/>
    <s v="ZBTO"/>
    <n v="9518569795"/>
    <n v="5"/>
    <s v="9518569795-5"/>
    <s v="No Priority"/>
    <x v="1"/>
    <m/>
    <x v="1"/>
    <x v="2"/>
    <n v="2000"/>
    <m/>
    <x v="0"/>
    <m/>
    <m/>
    <s v="West Bengal"/>
    <s v="East"/>
    <m/>
    <m/>
    <n v="948783"/>
    <x v="24"/>
    <n v="3887877"/>
    <s v="CRCA SHEET TATCRC SR18 0.600X1000X2000"/>
    <s v=""/>
    <m/>
    <m/>
    <m/>
    <m/>
    <s v="C06"/>
    <s v="TATCRC"/>
    <s v="SR18"/>
    <n v="0.6"/>
    <n v="1000"/>
    <n v="2000"/>
    <n v="24"/>
    <n v="0"/>
    <n v="24"/>
    <n v="24"/>
    <n v="24"/>
    <n v="24"/>
    <n v="0"/>
    <n v="0"/>
    <n v="0"/>
    <n v="0"/>
    <n v="0"/>
    <n v="0"/>
    <n v="0"/>
    <n v="0"/>
    <n v="0"/>
    <n v="0"/>
    <n v="0"/>
    <n v="0"/>
    <n v="0"/>
    <n v="0"/>
    <n v="0"/>
    <n v="0"/>
    <n v="0"/>
    <n v="0"/>
    <n v="0"/>
    <n v="0"/>
    <n v="0"/>
    <n v="0"/>
    <n v="0"/>
    <m/>
    <m/>
    <m/>
    <m/>
    <m/>
    <m/>
    <m/>
    <m/>
    <m/>
    <m/>
    <m/>
    <m/>
    <m/>
    <m/>
    <m/>
    <m/>
    <m/>
    <m/>
    <m/>
    <m/>
    <m/>
    <m/>
    <m/>
    <m/>
    <m/>
    <m/>
    <m/>
    <m/>
    <m/>
    <m/>
    <m/>
    <m/>
    <m/>
    <m/>
    <m/>
    <m/>
    <m/>
    <m/>
    <m/>
    <m/>
    <m/>
    <m/>
    <m/>
    <m/>
    <m/>
    <m/>
    <m/>
    <m/>
    <m/>
  </r>
  <r>
    <n v="742"/>
    <d v="2025-03-03T00:00:00"/>
    <s v="ZBTO"/>
    <n v="9518569795"/>
    <n v="6"/>
    <s v="9518569795-6"/>
    <s v="No Priority"/>
    <x v="1"/>
    <m/>
    <x v="1"/>
    <x v="2"/>
    <n v="2000"/>
    <m/>
    <x v="0"/>
    <m/>
    <m/>
    <s v="West Bengal"/>
    <s v="East"/>
    <m/>
    <m/>
    <n v="948783"/>
    <x v="24"/>
    <n v="3883539"/>
    <s v="CRCA SHEET TATCRC SR18 0.500X1000X2500"/>
    <s v=""/>
    <m/>
    <m/>
    <m/>
    <m/>
    <s v="C06"/>
    <s v="TATCRC"/>
    <s v="SR18"/>
    <n v="0.5"/>
    <n v="1000"/>
    <n v="2500"/>
    <n v="24"/>
    <n v="0"/>
    <n v="24"/>
    <n v="24"/>
    <n v="24"/>
    <n v="24"/>
    <n v="0"/>
    <n v="0"/>
    <n v="0"/>
    <n v="0"/>
    <n v="0"/>
    <n v="0"/>
    <n v="0"/>
    <n v="0"/>
    <n v="0"/>
    <n v="0"/>
    <n v="0"/>
    <n v="0"/>
    <n v="0"/>
    <n v="0"/>
    <n v="0"/>
    <n v="0"/>
    <n v="0"/>
    <n v="0"/>
    <n v="0"/>
    <n v="0"/>
    <n v="0"/>
    <n v="0"/>
    <n v="0"/>
    <m/>
    <m/>
    <m/>
    <m/>
    <m/>
    <m/>
    <m/>
    <m/>
    <m/>
    <m/>
    <m/>
    <m/>
    <m/>
    <m/>
    <m/>
    <m/>
    <m/>
    <m/>
    <m/>
    <m/>
    <m/>
    <m/>
    <m/>
    <m/>
    <m/>
    <m/>
    <m/>
    <m/>
    <m/>
    <m/>
    <m/>
    <m/>
    <m/>
    <m/>
    <m/>
    <m/>
    <m/>
    <m/>
    <m/>
    <m/>
    <m/>
    <m/>
    <m/>
    <m/>
    <m/>
    <m/>
    <m/>
    <m/>
    <m/>
  </r>
  <r>
    <n v="742"/>
    <d v="2025-03-03T00:00:00"/>
    <s v="ZBTO"/>
    <n v="9518569795"/>
    <n v="7"/>
    <s v="9518569795-7"/>
    <s v="No Priority"/>
    <x v="1"/>
    <m/>
    <x v="1"/>
    <x v="2"/>
    <n v="2000"/>
    <m/>
    <x v="0"/>
    <m/>
    <m/>
    <s v="West Bengal"/>
    <s v="East"/>
    <m/>
    <m/>
    <n v="948783"/>
    <x v="24"/>
    <n v="3878040"/>
    <s v="CRCA SHEET TATCRC SR18 0.500X1000X2000"/>
    <s v=""/>
    <m/>
    <m/>
    <m/>
    <m/>
    <s v="C06"/>
    <s v="TATCRC"/>
    <s v="SR18"/>
    <n v="0.5"/>
    <n v="1000"/>
    <n v="0"/>
    <n v="24"/>
    <n v="0"/>
    <n v="24"/>
    <n v="24"/>
    <n v="24"/>
    <n v="24"/>
    <n v="0"/>
    <n v="0"/>
    <n v="0"/>
    <n v="0"/>
    <n v="0"/>
    <n v="0"/>
    <n v="0"/>
    <n v="0"/>
    <n v="0"/>
    <n v="0"/>
    <n v="0"/>
    <n v="0"/>
    <n v="0"/>
    <n v="0"/>
    <n v="0"/>
    <n v="0"/>
    <n v="0"/>
    <n v="0"/>
    <n v="0"/>
    <n v="0"/>
    <n v="0"/>
    <n v="0"/>
    <n v="0"/>
    <m/>
    <m/>
    <m/>
    <m/>
    <m/>
    <m/>
    <m/>
    <m/>
    <m/>
    <m/>
    <m/>
    <m/>
    <m/>
    <m/>
    <m/>
    <m/>
    <m/>
    <m/>
    <m/>
    <m/>
    <m/>
    <m/>
    <m/>
    <m/>
    <m/>
    <m/>
    <m/>
    <m/>
    <m/>
    <m/>
    <m/>
    <m/>
    <m/>
    <m/>
    <m/>
    <m/>
    <m/>
    <m/>
    <m/>
    <m/>
    <m/>
    <m/>
    <m/>
    <m/>
    <m/>
    <m/>
    <m/>
    <m/>
    <m/>
  </r>
  <r>
    <n v="742"/>
    <d v="2025-03-03T00:00:00"/>
    <s v="ZBTO"/>
    <n v="9518569795"/>
    <n v="15"/>
    <s v="9518569795-15"/>
    <s v="No Priority"/>
    <x v="1"/>
    <m/>
    <x v="1"/>
    <x v="2"/>
    <n v="2000"/>
    <m/>
    <x v="0"/>
    <m/>
    <m/>
    <s v="West Bengal"/>
    <s v="East"/>
    <m/>
    <m/>
    <n v="948783"/>
    <x v="24"/>
    <n v="3958370"/>
    <s v="CRCA SHEET TATCRC SR18 0.550X1250X2500"/>
    <s v=""/>
    <m/>
    <m/>
    <m/>
    <m/>
    <s v="C06"/>
    <s v="TATCRC"/>
    <s v="SR18"/>
    <n v="0.55000000000000004"/>
    <n v="1250"/>
    <n v="2500"/>
    <n v="24"/>
    <n v="0"/>
    <n v="24"/>
    <n v="24"/>
    <n v="24"/>
    <n v="24"/>
    <n v="0"/>
    <n v="0"/>
    <n v="0"/>
    <n v="0"/>
    <n v="0"/>
    <n v="0"/>
    <n v="0"/>
    <n v="0"/>
    <n v="0"/>
    <n v="0"/>
    <n v="0"/>
    <n v="0"/>
    <n v="0"/>
    <n v="0"/>
    <n v="0"/>
    <n v="0"/>
    <n v="0"/>
    <n v="0"/>
    <n v="0"/>
    <n v="0"/>
    <n v="0"/>
    <n v="0"/>
    <n v="0"/>
    <m/>
    <m/>
    <m/>
    <m/>
    <m/>
    <m/>
    <m/>
    <m/>
    <m/>
    <m/>
    <m/>
    <m/>
    <m/>
    <m/>
    <m/>
    <m/>
    <m/>
    <m/>
    <m/>
    <m/>
    <m/>
    <m/>
    <m/>
    <m/>
    <m/>
    <m/>
    <m/>
    <m/>
    <m/>
    <m/>
    <m/>
    <m/>
    <m/>
    <m/>
    <m/>
    <m/>
    <m/>
    <m/>
    <m/>
    <m/>
    <m/>
    <m/>
    <m/>
    <m/>
    <m/>
    <m/>
    <m/>
    <m/>
    <m/>
  </r>
  <r>
    <n v="742"/>
    <d v="2025-03-03T00:00:00"/>
    <s v="ZBTO"/>
    <n v="9518569795"/>
    <n v="16"/>
    <s v="9518569795-16"/>
    <s v="No Priority"/>
    <x v="1"/>
    <m/>
    <x v="1"/>
    <x v="2"/>
    <n v="2000"/>
    <m/>
    <x v="0"/>
    <m/>
    <m/>
    <s v="West Bengal"/>
    <s v="East"/>
    <m/>
    <m/>
    <n v="948783"/>
    <x v="24"/>
    <n v="3952437"/>
    <s v="CRCA SHEET TATCRC SR18 0.500X1250X2500"/>
    <s v=""/>
    <m/>
    <m/>
    <m/>
    <m/>
    <s v="C06"/>
    <s v="TATCRC"/>
    <s v="SR18"/>
    <n v="0.5"/>
    <n v="1250"/>
    <n v="2500"/>
    <n v="24"/>
    <n v="0"/>
    <n v="24"/>
    <n v="24"/>
    <n v="24"/>
    <n v="24"/>
    <n v="0"/>
    <n v="0"/>
    <n v="0"/>
    <n v="0"/>
    <n v="0"/>
    <n v="0"/>
    <n v="0"/>
    <n v="0"/>
    <n v="0"/>
    <n v="0"/>
    <n v="0"/>
    <n v="0"/>
    <n v="0"/>
    <n v="0"/>
    <n v="0"/>
    <n v="0"/>
    <n v="0"/>
    <n v="0"/>
    <n v="0"/>
    <n v="0"/>
    <n v="0"/>
    <n v="0"/>
    <n v="0"/>
    <m/>
    <m/>
    <m/>
    <m/>
    <m/>
    <m/>
    <m/>
    <m/>
    <m/>
    <m/>
    <m/>
    <m/>
    <m/>
    <m/>
    <m/>
    <m/>
    <m/>
    <m/>
    <m/>
    <m/>
    <m/>
    <m/>
    <m/>
    <m/>
    <m/>
    <m/>
    <m/>
    <m/>
    <m/>
    <m/>
    <m/>
    <m/>
    <m/>
    <m/>
    <m/>
    <m/>
    <m/>
    <m/>
    <m/>
    <m/>
    <m/>
    <m/>
    <m/>
    <m/>
    <m/>
    <m/>
    <m/>
    <m/>
    <m/>
  </r>
  <r>
    <n v="743"/>
    <d v="2025-03-07T00:00:00"/>
    <s v="ZBTO"/>
    <n v="9518583256"/>
    <n v="1"/>
    <s v="9518583256-1"/>
    <s v="May'25"/>
    <x v="0"/>
    <s v="Yes"/>
    <x v="3"/>
    <x v="9"/>
    <n v="2000"/>
    <m/>
    <x v="1"/>
    <m/>
    <m/>
    <s v="Assam"/>
    <s v="East"/>
    <m/>
    <m/>
    <n v="116649"/>
    <x v="24"/>
    <n v="1142895"/>
    <s v="GP COIL SOFT-TATXGP-GLK1-0.5X900"/>
    <s v=""/>
    <m/>
    <m/>
    <m/>
    <m/>
    <s v="C02"/>
    <s v="TATXGP"/>
    <s v="GLK1"/>
    <n v="0.5"/>
    <n v="900"/>
    <n v="0"/>
    <n v="42"/>
    <n v="0"/>
    <n v="42"/>
    <n v="42"/>
    <n v="2.0300000000000011"/>
    <n v="42"/>
    <n v="0"/>
    <n v="0"/>
    <n v="0"/>
    <n v="20.77"/>
    <n v="0"/>
    <n v="0"/>
    <n v="19.2"/>
    <n v="0"/>
    <n v="0"/>
    <n v="0"/>
    <n v="0"/>
    <n v="0"/>
    <n v="0"/>
    <n v="0"/>
    <n v="0"/>
    <n v="0"/>
    <n v="0"/>
    <n v="0"/>
    <n v="0"/>
    <n v="39.97"/>
    <n v="39.97"/>
    <n v="0"/>
    <n v="39.97"/>
    <m/>
    <m/>
    <m/>
    <m/>
    <m/>
    <m/>
    <m/>
    <m/>
    <m/>
    <m/>
    <m/>
    <m/>
    <m/>
    <m/>
    <m/>
    <m/>
    <m/>
    <m/>
    <m/>
    <m/>
    <m/>
    <m/>
    <m/>
    <m/>
    <m/>
    <m/>
    <m/>
    <m/>
    <m/>
    <m/>
    <m/>
    <m/>
    <m/>
    <m/>
    <m/>
    <m/>
    <m/>
    <m/>
    <m/>
    <m/>
    <m/>
    <m/>
    <m/>
    <m/>
    <m/>
    <m/>
    <m/>
    <m/>
    <m/>
  </r>
  <r>
    <n v="743"/>
    <d v="2025-03-22T00:00:00"/>
    <s v="ZBTO"/>
    <n v="9518623643"/>
    <n v="1"/>
    <s v="9518623643-1"/>
    <s v="May'25"/>
    <x v="0"/>
    <s v="Yes"/>
    <x v="3"/>
    <x v="9"/>
    <n v="2000"/>
    <m/>
    <x v="1"/>
    <m/>
    <m/>
    <s v="Assam"/>
    <s v="East"/>
    <m/>
    <m/>
    <n v="116649"/>
    <x v="24"/>
    <n v="1851074"/>
    <s v="GP COIL SOFT-TATXGP-GLK1-0.28X900"/>
    <s v=""/>
    <m/>
    <m/>
    <m/>
    <m/>
    <s v="C02"/>
    <s v="TATXGP"/>
    <s v="GLK1"/>
    <n v="0.28000000000000003"/>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3-22T00:00:00"/>
    <s v="ZBTO"/>
    <n v="9518623643"/>
    <n v="2"/>
    <s v="9518623643-2"/>
    <s v="May'25"/>
    <x v="0"/>
    <s v="Yes"/>
    <x v="3"/>
    <x v="9"/>
    <n v="2000"/>
    <m/>
    <x v="1"/>
    <m/>
    <m/>
    <s v="Assam"/>
    <s v="East"/>
    <m/>
    <m/>
    <n v="116649"/>
    <x v="24"/>
    <n v="1142792"/>
    <s v="GP COIL SOFT-TATXGP-GLK1-0.3X900"/>
    <s v=""/>
    <m/>
    <m/>
    <m/>
    <m/>
    <s v="C02"/>
    <s v="TATXGP"/>
    <s v="GLK1"/>
    <n v="0.3"/>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22T00:00:00"/>
    <s v="ZBTO"/>
    <n v="9518623643"/>
    <n v="3"/>
    <s v="9518623643-3"/>
    <s v="May'25"/>
    <x v="0"/>
    <s v="Yes"/>
    <x v="3"/>
    <x v="9"/>
    <n v="2000"/>
    <m/>
    <x v="1"/>
    <m/>
    <m/>
    <s v="Assam"/>
    <s v="East"/>
    <m/>
    <m/>
    <n v="116649"/>
    <x v="24"/>
    <n v="1854380"/>
    <s v="GP COIL SOFT-TATXGP-GLK1-0.26X900"/>
    <s v=""/>
    <m/>
    <m/>
    <m/>
    <m/>
    <s v="C02"/>
    <s v="TATXGP"/>
    <s v="GLK1"/>
    <n v="0.26"/>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3-24T00:00:00"/>
    <s v="ZBTO"/>
    <n v="9518628470"/>
    <n v="5"/>
    <s v="9518628470-5"/>
    <s v="May'25"/>
    <x v="0"/>
    <s v="Yes"/>
    <x v="1"/>
    <x v="2"/>
    <n v="2000"/>
    <m/>
    <x v="1"/>
    <m/>
    <m/>
    <s v="Assam"/>
    <s v="East"/>
    <m/>
    <m/>
    <n v="116649"/>
    <x v="24"/>
    <n v="3516002"/>
    <s v="CR COIL TSBCRC SR25 0.600X900"/>
    <s v=""/>
    <m/>
    <m/>
    <m/>
    <m/>
    <s v="C01"/>
    <s v="TSBCRC"/>
    <s v="SR25"/>
    <n v="0.6"/>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31T00:00:00"/>
    <s v="ZBTO"/>
    <n v="9518658807"/>
    <n v="2"/>
    <s v="9518658807-2"/>
    <s v="May'25"/>
    <x v="0"/>
    <s v="Yes"/>
    <x v="3"/>
    <x v="9"/>
    <n v="2000"/>
    <m/>
    <x v="1"/>
    <m/>
    <m/>
    <s v="Assam"/>
    <s v="East"/>
    <m/>
    <m/>
    <n v="116649"/>
    <x v="24"/>
    <n v="1853143"/>
    <s v="GP COIL SOFT-TATXGP-GLK1-0.4X900"/>
    <s v=""/>
    <m/>
    <m/>
    <m/>
    <m/>
    <s v="C02"/>
    <s v="TATXGP"/>
    <s v="GLK1"/>
    <n v="0.4"/>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31T00:00:00"/>
    <s v="ZBTO"/>
    <n v="9518658807"/>
    <n v="3"/>
    <s v="9518658807-3"/>
    <s v="May'25"/>
    <x v="0"/>
    <s v="Yes"/>
    <x v="3"/>
    <x v="9"/>
    <n v="2000"/>
    <m/>
    <x v="1"/>
    <m/>
    <m/>
    <s v="Assam"/>
    <s v="East"/>
    <m/>
    <m/>
    <n v="116649"/>
    <x v="24"/>
    <n v="1142792"/>
    <s v="GP COIL SOFT-TATXGP-GLK1-0.3X900"/>
    <s v=""/>
    <m/>
    <m/>
    <m/>
    <m/>
    <s v="C02"/>
    <s v="TATXGP"/>
    <s v="GLK1"/>
    <n v="0.3"/>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4-02T00:00:00"/>
    <s v="ZBTO"/>
    <n v="9518664209"/>
    <n v="1"/>
    <s v="9518664209-1"/>
    <s v="No Priority"/>
    <x v="0"/>
    <m/>
    <x v="1"/>
    <x v="1"/>
    <n v="2000"/>
    <m/>
    <x v="0"/>
    <m/>
    <m/>
    <s v="Assam"/>
    <s v="East"/>
    <m/>
    <m/>
    <n v="116649"/>
    <x v="24"/>
    <n v="2390329"/>
    <s v="CRCA COIL TATXXD AU03 0.900X1000"/>
    <s v=""/>
    <m/>
    <m/>
    <m/>
    <m/>
    <s v="C01"/>
    <s v="TATXXD"/>
    <s v="AU03"/>
    <n v="0.9"/>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02T00:00:00"/>
    <s v="ZBTO"/>
    <n v="9518664209"/>
    <n v="2"/>
    <s v="9518664209-2"/>
    <s v="No Priority"/>
    <x v="0"/>
    <m/>
    <x v="1"/>
    <x v="2"/>
    <n v="2000"/>
    <m/>
    <x v="0"/>
    <m/>
    <m/>
    <s v="Assam"/>
    <s v="East"/>
    <m/>
    <m/>
    <n v="116649"/>
    <x v="24"/>
    <n v="2427610"/>
    <s v="CRCA SHEET TATCRC SR16 0.250X900X2500"/>
    <s v=""/>
    <m/>
    <m/>
    <m/>
    <m/>
    <s v="C06"/>
    <s v="TATCRC"/>
    <s v="SR16"/>
    <n v="0.25"/>
    <n v="900"/>
    <n v="2500"/>
    <n v="24"/>
    <n v="0"/>
    <n v="24"/>
    <n v="24"/>
    <n v="24"/>
    <n v="24"/>
    <n v="0"/>
    <n v="0"/>
    <n v="0"/>
    <n v="0"/>
    <n v="0"/>
    <n v="0"/>
    <n v="0"/>
    <n v="0"/>
    <n v="0"/>
    <n v="0"/>
    <n v="0"/>
    <n v="0"/>
    <n v="0"/>
    <n v="0"/>
    <n v="0"/>
    <n v="0"/>
    <n v="0"/>
    <n v="0"/>
    <n v="0"/>
    <n v="0"/>
    <n v="0"/>
    <n v="0"/>
    <n v="0"/>
    <m/>
    <m/>
    <m/>
    <m/>
    <m/>
    <m/>
    <m/>
    <m/>
    <m/>
    <m/>
    <m/>
    <m/>
    <m/>
    <m/>
    <m/>
    <m/>
    <m/>
    <m/>
    <m/>
    <m/>
    <m/>
    <m/>
    <m/>
    <m/>
    <m/>
    <m/>
    <m/>
    <m/>
    <m/>
    <m/>
    <m/>
    <m/>
    <m/>
    <m/>
    <m/>
    <m/>
    <m/>
    <m/>
    <m/>
    <m/>
    <m/>
    <m/>
    <m/>
    <m/>
    <m/>
    <m/>
    <m/>
    <m/>
    <m/>
  </r>
  <r>
    <n v="742"/>
    <d v="2025-04-02T00:00:00"/>
    <s v="ZBTO"/>
    <n v="9518664209"/>
    <n v="3"/>
    <s v="9518664209-3"/>
    <s v="No Priority"/>
    <x v="0"/>
    <m/>
    <x v="1"/>
    <x v="2"/>
    <n v="2000"/>
    <m/>
    <x v="0"/>
    <m/>
    <m/>
    <s v="Assam"/>
    <s v="East"/>
    <m/>
    <m/>
    <n v="116649"/>
    <x v="24"/>
    <n v="3134045"/>
    <s v="CRCA SHEET TATCRC SR16 0.280X900X2500"/>
    <s v=""/>
    <m/>
    <m/>
    <m/>
    <m/>
    <s v="C06"/>
    <s v="TATCRC"/>
    <s v="SR16"/>
    <n v="0.28000000000000003"/>
    <n v="900"/>
    <n v="2500"/>
    <n v="24"/>
    <n v="0"/>
    <n v="24"/>
    <n v="24"/>
    <n v="24"/>
    <n v="24"/>
    <n v="0"/>
    <n v="0"/>
    <n v="0"/>
    <n v="0"/>
    <n v="0"/>
    <n v="0"/>
    <n v="0"/>
    <n v="0"/>
    <n v="0"/>
    <n v="0"/>
    <n v="0"/>
    <n v="0"/>
    <n v="0"/>
    <n v="0"/>
    <n v="0"/>
    <n v="0"/>
    <n v="0"/>
    <n v="0"/>
    <n v="0"/>
    <n v="0"/>
    <n v="0"/>
    <n v="0"/>
    <n v="0"/>
    <m/>
    <m/>
    <m/>
    <m/>
    <m/>
    <m/>
    <m/>
    <m/>
    <m/>
    <m/>
    <m/>
    <m/>
    <m/>
    <m/>
    <m/>
    <m/>
    <m/>
    <m/>
    <m/>
    <m/>
    <m/>
    <m/>
    <m/>
    <m/>
    <m/>
    <m/>
    <m/>
    <m/>
    <m/>
    <m/>
    <m/>
    <m/>
    <m/>
    <m/>
    <m/>
    <m/>
    <m/>
    <m/>
    <m/>
    <m/>
    <m/>
    <m/>
    <m/>
    <m/>
    <m/>
    <m/>
    <m/>
    <m/>
    <m/>
  </r>
  <r>
    <n v="743"/>
    <d v="2025-03-07T00:00:00"/>
    <s v="ZBTO"/>
    <n v="9518583291"/>
    <n v="1"/>
    <s v="9518583291-1"/>
    <s v="May'25"/>
    <x v="0"/>
    <s v="Yes"/>
    <x v="3"/>
    <x v="9"/>
    <n v="2000"/>
    <m/>
    <x v="1"/>
    <m/>
    <m/>
    <s v="Assam"/>
    <s v="East"/>
    <m/>
    <m/>
    <n v="936511"/>
    <x v="60"/>
    <n v="1142895"/>
    <s v="GP COIL SOFT-TATXGP-GLK1-0.5X900"/>
    <s v=""/>
    <m/>
    <m/>
    <m/>
    <m/>
    <s v="C02"/>
    <s v="TATXGP"/>
    <s v="GLK1"/>
    <n v="0.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3-22T00:00:00"/>
    <s v="ZBTO"/>
    <n v="9518623659"/>
    <n v="1"/>
    <s v="9518623659-1"/>
    <s v="May'25"/>
    <x v="0"/>
    <s v="Yes"/>
    <x v="3"/>
    <x v="9"/>
    <n v="2000"/>
    <m/>
    <x v="1"/>
    <m/>
    <m/>
    <s v="Assam"/>
    <s v="East"/>
    <m/>
    <m/>
    <n v="936511"/>
    <x v="60"/>
    <n v="1329070"/>
    <s v="GP COIL SOFT-TATXGP-GLK1-0.32X900"/>
    <s v=""/>
    <m/>
    <m/>
    <m/>
    <m/>
    <s v="C02"/>
    <s v="TATXGP"/>
    <s v="GLK1"/>
    <n v="0.32"/>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22T00:00:00"/>
    <s v="ZBTO"/>
    <n v="9518623659"/>
    <n v="2"/>
    <s v="9518623659-2"/>
    <s v="May'25"/>
    <x v="0"/>
    <s v="Yes"/>
    <x v="3"/>
    <x v="9"/>
    <n v="2000"/>
    <m/>
    <x v="1"/>
    <m/>
    <m/>
    <s v="Assam"/>
    <s v="East"/>
    <m/>
    <m/>
    <n v="936511"/>
    <x v="60"/>
    <n v="1851074"/>
    <s v="GP COIL SOFT-TATXGP-GLK1-0.28X900"/>
    <s v=""/>
    <m/>
    <m/>
    <m/>
    <m/>
    <s v="C02"/>
    <s v="TATXGP"/>
    <s v="GLK1"/>
    <n v="0.28000000000000003"/>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22T00:00:00"/>
    <s v="ZBTO"/>
    <n v="9518623659"/>
    <n v="3"/>
    <s v="9518623659-3"/>
    <s v="May'25"/>
    <x v="0"/>
    <s v="Yes"/>
    <x v="3"/>
    <x v="9"/>
    <n v="2000"/>
    <m/>
    <x v="1"/>
    <m/>
    <m/>
    <s v="Assam"/>
    <s v="East"/>
    <m/>
    <m/>
    <n v="936511"/>
    <x v="60"/>
    <n v="1142792"/>
    <s v="GP COIL SOFT-TATXGP-GLK1-0.3X900"/>
    <s v=""/>
    <m/>
    <m/>
    <m/>
    <m/>
    <s v="C02"/>
    <s v="TATXGP"/>
    <s v="GLK1"/>
    <n v="0.3"/>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3-22T00:00:00"/>
    <s v="ZBTO"/>
    <n v="9518623659"/>
    <n v="4"/>
    <s v="9518623659-4"/>
    <s v="May'25"/>
    <x v="0"/>
    <s v="Yes"/>
    <x v="3"/>
    <x v="9"/>
    <n v="2000"/>
    <m/>
    <x v="1"/>
    <m/>
    <m/>
    <s v="Assam"/>
    <s v="East"/>
    <m/>
    <m/>
    <n v="936511"/>
    <x v="60"/>
    <n v="1854380"/>
    <s v="GP COIL SOFT-TATXGP-GLK1-0.26X900"/>
    <s v=""/>
    <m/>
    <m/>
    <m/>
    <m/>
    <s v="C02"/>
    <s v="TATXGP"/>
    <s v="GLK1"/>
    <n v="0.26"/>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3-25T00:00:00"/>
    <s v="ZBTO"/>
    <n v="9518631268"/>
    <n v="1"/>
    <s v="9518631268-1"/>
    <s v="No Priority"/>
    <x v="0"/>
    <m/>
    <x v="1"/>
    <x v="1"/>
    <n v="2000"/>
    <m/>
    <x v="0"/>
    <m/>
    <m/>
    <s v="Assam"/>
    <s v="East"/>
    <m/>
    <m/>
    <n v="936511"/>
    <x v="60"/>
    <n v="206969"/>
    <s v="CRCA COIL TATXXD AU03 0.400X1220"/>
    <s v=""/>
    <m/>
    <m/>
    <m/>
    <m/>
    <s v="C01"/>
    <s v="TATXXD"/>
    <s v="AU03"/>
    <n v="0.4"/>
    <n v="1220"/>
    <n v="0"/>
    <n v="56"/>
    <n v="0"/>
    <n v="56"/>
    <n v="56"/>
    <n v="56"/>
    <n v="16.920000000000002"/>
    <n v="0"/>
    <n v="0"/>
    <n v="0"/>
    <n v="0"/>
    <n v="0"/>
    <n v="0"/>
    <n v="0"/>
    <n v="0"/>
    <n v="0"/>
    <n v="0"/>
    <n v="0"/>
    <n v="0"/>
    <n v="0"/>
    <n v="0"/>
    <n v="0"/>
    <n v="0"/>
    <n v="0"/>
    <n v="0"/>
    <n v="0"/>
    <n v="0"/>
    <n v="0"/>
    <n v="0"/>
    <n v="0"/>
    <m/>
    <m/>
    <m/>
    <m/>
    <m/>
    <m/>
    <m/>
    <m/>
    <m/>
    <m/>
    <m/>
    <m/>
    <m/>
    <m/>
    <m/>
    <m/>
    <m/>
    <m/>
    <m/>
    <m/>
    <m/>
    <m/>
    <m/>
    <m/>
    <m/>
    <m/>
    <m/>
    <m/>
    <m/>
    <m/>
    <m/>
    <m/>
    <m/>
    <m/>
    <m/>
    <m/>
    <m/>
    <m/>
    <m/>
    <m/>
    <m/>
    <m/>
    <m/>
    <m/>
    <m/>
    <m/>
    <m/>
    <m/>
    <m/>
  </r>
  <r>
    <n v="742"/>
    <d v="2025-04-03T00:00:00"/>
    <s v="ZBTO"/>
    <n v="9518667214"/>
    <n v="2"/>
    <s v="9518667214-2"/>
    <s v="No Priority"/>
    <x v="0"/>
    <m/>
    <x v="1"/>
    <x v="1"/>
    <n v="2000"/>
    <m/>
    <x v="0"/>
    <m/>
    <m/>
    <s v="Karnataka"/>
    <s v="South"/>
    <m/>
    <m/>
    <n v="801611"/>
    <x v="56"/>
    <n v="185675"/>
    <s v="CRCA COIL-TATXXD-AU03-0.5X1250"/>
    <s v=""/>
    <m/>
    <m/>
    <m/>
    <m/>
    <s v="C01"/>
    <s v="TATXXD"/>
    <s v="AU03"/>
    <n v="0.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3T00:00:00"/>
    <s v="ZBTO"/>
    <n v="9518667214"/>
    <n v="4"/>
    <s v="9518667214-4"/>
    <s v="No Priority"/>
    <x v="0"/>
    <m/>
    <x v="1"/>
    <x v="1"/>
    <n v="2000"/>
    <m/>
    <x v="0"/>
    <m/>
    <m/>
    <s v="Karnataka"/>
    <s v="South"/>
    <m/>
    <m/>
    <n v="801611"/>
    <x v="56"/>
    <n v="1804814"/>
    <s v="CRCA COIL TATXXD AU03 0.8X1250"/>
    <s v=""/>
    <m/>
    <m/>
    <m/>
    <m/>
    <s v="C01"/>
    <s v="TATXXD"/>
    <s v="AU03"/>
    <n v="0.8"/>
    <n v="1250"/>
    <n v="0"/>
    <n v="58"/>
    <n v="0"/>
    <n v="58"/>
    <n v="58"/>
    <n v="58"/>
    <n v="58"/>
    <n v="0"/>
    <n v="0"/>
    <n v="0"/>
    <n v="0"/>
    <n v="0"/>
    <n v="0"/>
    <n v="0"/>
    <n v="0"/>
    <n v="0"/>
    <n v="0"/>
    <n v="0"/>
    <n v="0"/>
    <n v="0"/>
    <n v="0"/>
    <n v="0"/>
    <n v="0"/>
    <n v="0"/>
    <n v="0"/>
    <n v="0"/>
    <n v="0"/>
    <n v="0"/>
    <n v="0"/>
    <n v="0"/>
    <m/>
    <m/>
    <m/>
    <m/>
    <m/>
    <m/>
    <m/>
    <m/>
    <m/>
    <m/>
    <m/>
    <m/>
    <m/>
    <m/>
    <m/>
    <m/>
    <m/>
    <m/>
    <m/>
    <m/>
    <m/>
    <m/>
    <m/>
    <m/>
    <m/>
    <m/>
    <m/>
    <m/>
    <m/>
    <m/>
    <m/>
    <m/>
    <m/>
    <m/>
    <m/>
    <m/>
    <m/>
    <m/>
    <m/>
    <m/>
    <m/>
    <m/>
    <m/>
    <m/>
    <m/>
    <m/>
    <m/>
    <m/>
    <m/>
  </r>
  <r>
    <n v="743"/>
    <d v="2025-03-18T00:00:00"/>
    <s v="ZBTO"/>
    <n v="9518610170"/>
    <n v="1"/>
    <s v="9518610170-1"/>
    <s v="No Priority"/>
    <x v="0"/>
    <m/>
    <x v="3"/>
    <x v="0"/>
    <n v="2200"/>
    <m/>
    <x v="1"/>
    <m/>
    <m/>
    <s v="Haryana"/>
    <s v="North"/>
    <m/>
    <m/>
    <n v="936528"/>
    <x v="3"/>
    <n v="3859860"/>
    <s v="GP COIL XXXGPH GH12 0.500X1220"/>
    <n v="80"/>
    <m/>
    <m/>
    <m/>
    <m/>
    <s v="C05"/>
    <s v="XXXGPH"/>
    <s v="GH12"/>
    <n v="0.5"/>
    <n v="1220"/>
    <n v="0"/>
    <n v="252"/>
    <n v="0"/>
    <n v="252"/>
    <n v="252"/>
    <n v="252"/>
    <n v="252"/>
    <n v="0"/>
    <n v="0"/>
    <n v="0"/>
    <n v="0"/>
    <n v="0"/>
    <n v="0"/>
    <n v="0"/>
    <n v="0"/>
    <n v="0"/>
    <n v="0"/>
    <n v="0"/>
    <n v="0"/>
    <n v="0"/>
    <n v="0"/>
    <n v="0"/>
    <n v="0"/>
    <n v="0"/>
    <n v="0"/>
    <n v="0"/>
    <n v="0"/>
    <n v="0"/>
    <n v="0"/>
    <n v="0"/>
    <m/>
    <m/>
    <m/>
    <m/>
    <m/>
    <m/>
    <m/>
    <m/>
    <m/>
    <m/>
    <m/>
    <m/>
    <m/>
    <m/>
    <m/>
    <m/>
    <m/>
    <m/>
    <m/>
    <m/>
    <m/>
    <m/>
    <m/>
    <m/>
    <m/>
    <m/>
    <m/>
    <m/>
    <m/>
    <m/>
    <m/>
    <m/>
    <m/>
    <m/>
    <m/>
    <m/>
    <m/>
    <m/>
    <m/>
    <m/>
    <m/>
    <m/>
    <m/>
    <m/>
    <m/>
    <m/>
    <m/>
    <m/>
    <m/>
  </r>
  <r>
    <n v="743"/>
    <d v="2025-03-18T00:00:00"/>
    <s v="ZBTO"/>
    <n v="9518610170"/>
    <n v="2"/>
    <s v="9518610170-2"/>
    <s v="No Priority"/>
    <x v="0"/>
    <m/>
    <x v="3"/>
    <x v="0"/>
    <n v="2200"/>
    <m/>
    <x v="1"/>
    <m/>
    <m/>
    <s v="Haryana"/>
    <s v="North"/>
    <m/>
    <m/>
    <n v="936528"/>
    <x v="3"/>
    <n v="3859860"/>
    <s v="GP COIL XXXGPH GH12 0.500X1220"/>
    <n v="80"/>
    <m/>
    <m/>
    <m/>
    <m/>
    <s v="C05"/>
    <s v="XXXGPH"/>
    <s v="GH12"/>
    <n v="0.5"/>
    <n v="1220"/>
    <n v="0"/>
    <n v="252"/>
    <n v="0"/>
    <n v="252"/>
    <n v="252"/>
    <n v="252"/>
    <n v="252"/>
    <n v="0"/>
    <n v="0"/>
    <n v="0"/>
    <n v="0"/>
    <n v="0"/>
    <n v="0"/>
    <n v="0"/>
    <n v="0"/>
    <n v="0"/>
    <n v="0"/>
    <n v="0"/>
    <n v="0"/>
    <n v="0"/>
    <n v="0"/>
    <n v="0"/>
    <n v="0"/>
    <n v="0"/>
    <n v="0"/>
    <n v="0"/>
    <n v="0"/>
    <n v="0"/>
    <n v="0"/>
    <n v="0"/>
    <m/>
    <m/>
    <m/>
    <m/>
    <m/>
    <m/>
    <m/>
    <m/>
    <m/>
    <m/>
    <m/>
    <m/>
    <m/>
    <m/>
    <m/>
    <m/>
    <m/>
    <m/>
    <m/>
    <m/>
    <m/>
    <m/>
    <m/>
    <m/>
    <m/>
    <m/>
    <m/>
    <m/>
    <m/>
    <m/>
    <m/>
    <m/>
    <m/>
    <m/>
    <m/>
    <m/>
    <m/>
    <m/>
    <m/>
    <m/>
    <m/>
    <m/>
    <m/>
    <m/>
    <m/>
    <m/>
    <m/>
    <m/>
    <m/>
  </r>
  <r>
    <n v="742"/>
    <d v="2025-03-11T00:00:00"/>
    <s v="ZBTO"/>
    <n v="9518591774"/>
    <n v="5"/>
    <s v="9518591774-5"/>
    <s v="No Priority"/>
    <x v="1"/>
    <m/>
    <x v="1"/>
    <x v="1"/>
    <n v="2000"/>
    <m/>
    <x v="0"/>
    <m/>
    <m/>
    <s v="Delhi"/>
    <s v="North"/>
    <m/>
    <m/>
    <n v="936527"/>
    <x v="52"/>
    <n v="1801159"/>
    <s v="CRCA COIL-TATXXD-AU03-0.5X1000"/>
    <s v=""/>
    <m/>
    <m/>
    <m/>
    <m/>
    <s v="C01"/>
    <s v="TATXXD"/>
    <s v="AU03"/>
    <n v="0.5"/>
    <n v="1000"/>
    <n v="0"/>
    <n v="23"/>
    <n v="0"/>
    <n v="23"/>
    <n v="23"/>
    <n v="23"/>
    <n v="23"/>
    <n v="0"/>
    <n v="0"/>
    <n v="0"/>
    <n v="0"/>
    <n v="0"/>
    <n v="0"/>
    <n v="0"/>
    <n v="0"/>
    <n v="0"/>
    <n v="0"/>
    <n v="0"/>
    <n v="0"/>
    <n v="0"/>
    <n v="0"/>
    <n v="0"/>
    <n v="0"/>
    <n v="0"/>
    <n v="0"/>
    <n v="0"/>
    <n v="0"/>
    <n v="0"/>
    <n v="0"/>
    <n v="0"/>
    <m/>
    <m/>
    <m/>
    <m/>
    <m/>
    <m/>
    <m/>
    <m/>
    <m/>
    <m/>
    <m/>
    <m/>
    <m/>
    <m/>
    <m/>
    <m/>
    <m/>
    <m/>
    <m/>
    <m/>
    <m/>
    <m/>
    <m/>
    <m/>
    <m/>
    <m/>
    <m/>
    <m/>
    <m/>
    <m/>
    <m/>
    <m/>
    <m/>
    <m/>
    <m/>
    <m/>
    <m/>
    <m/>
    <m/>
    <m/>
    <m/>
    <m/>
    <m/>
    <m/>
    <m/>
    <m/>
    <m/>
    <m/>
    <m/>
  </r>
  <r>
    <n v="742"/>
    <d v="2025-04-14T00:00:00"/>
    <s v="ZBTO"/>
    <n v="9518691600"/>
    <n v="1"/>
    <s v="9518691600-1"/>
    <s v="No Priority"/>
    <x v="1"/>
    <m/>
    <x v="1"/>
    <x v="2"/>
    <n v="2000"/>
    <m/>
    <x v="0"/>
    <m/>
    <m/>
    <s v="Jharkhand"/>
    <s v="East"/>
    <m/>
    <m/>
    <n v="185794"/>
    <x v="12"/>
    <n v="3239408"/>
    <s v="CRCA SHEET TATCRC SR16 0.300X900X2500"/>
    <s v=""/>
    <m/>
    <m/>
    <m/>
    <m/>
    <s v="C06"/>
    <s v="TATCRC"/>
    <s v="SR16"/>
    <n v="0.3"/>
    <n v="900"/>
    <n v="2500"/>
    <n v="30"/>
    <n v="0"/>
    <n v="30"/>
    <n v="30"/>
    <n v="30"/>
    <n v="30"/>
    <n v="0"/>
    <n v="0"/>
    <n v="0"/>
    <n v="0"/>
    <n v="0"/>
    <n v="0"/>
    <n v="0"/>
    <n v="0"/>
    <n v="0"/>
    <n v="0"/>
    <n v="0"/>
    <n v="0"/>
    <n v="0"/>
    <n v="0"/>
    <n v="0"/>
    <n v="0"/>
    <n v="0"/>
    <n v="0"/>
    <n v="0"/>
    <n v="0"/>
    <n v="0"/>
    <n v="0"/>
    <n v="0"/>
    <m/>
    <m/>
    <m/>
    <m/>
    <m/>
    <m/>
    <m/>
    <m/>
    <m/>
    <m/>
    <m/>
    <m/>
    <m/>
    <m/>
    <m/>
    <m/>
    <m/>
    <m/>
    <m/>
    <m/>
    <m/>
    <m/>
    <m/>
    <m/>
    <m/>
    <m/>
    <m/>
    <m/>
    <m/>
    <m/>
    <m/>
    <m/>
    <m/>
    <m/>
    <m/>
    <m/>
    <m/>
    <m/>
    <m/>
    <m/>
    <m/>
    <m/>
    <m/>
    <m/>
    <m/>
    <m/>
    <m/>
    <m/>
    <m/>
  </r>
  <r>
    <n v="742"/>
    <d v="2025-04-14T00:00:00"/>
    <s v="ZBTO"/>
    <n v="9518691600"/>
    <n v="2"/>
    <s v="9518691600-2"/>
    <s v="No Priority"/>
    <x v="1"/>
    <m/>
    <x v="1"/>
    <x v="2"/>
    <n v="2000"/>
    <m/>
    <x v="0"/>
    <m/>
    <m/>
    <s v="Jharkhand"/>
    <s v="East"/>
    <m/>
    <m/>
    <n v="185794"/>
    <x v="12"/>
    <n v="3239536"/>
    <s v="CRCA SHEET TATCRC SR16 0.350X900X2500"/>
    <s v=""/>
    <m/>
    <m/>
    <m/>
    <m/>
    <s v="C06"/>
    <s v="TATCRC"/>
    <s v="SR16"/>
    <n v="0.35"/>
    <n v="900"/>
    <n v="2500"/>
    <n v="60"/>
    <n v="0"/>
    <n v="60"/>
    <n v="60"/>
    <n v="60"/>
    <n v="60"/>
    <n v="0"/>
    <n v="0"/>
    <n v="0"/>
    <n v="0"/>
    <n v="0"/>
    <n v="0"/>
    <n v="0"/>
    <n v="0"/>
    <n v="0"/>
    <n v="0"/>
    <n v="0"/>
    <n v="0"/>
    <n v="0"/>
    <n v="0"/>
    <n v="0"/>
    <n v="0"/>
    <n v="0"/>
    <n v="0"/>
    <n v="0"/>
    <n v="0"/>
    <n v="0"/>
    <n v="0"/>
    <n v="0"/>
    <m/>
    <m/>
    <m/>
    <m/>
    <m/>
    <m/>
    <m/>
    <m/>
    <m/>
    <m/>
    <m/>
    <m/>
    <m/>
    <m/>
    <m/>
    <m/>
    <m/>
    <m/>
    <m/>
    <m/>
    <m/>
    <m/>
    <m/>
    <m/>
    <m/>
    <m/>
    <m/>
    <m/>
    <m/>
    <m/>
    <m/>
    <m/>
    <m/>
    <m/>
    <m/>
    <m/>
    <m/>
    <m/>
    <m/>
    <m/>
    <m/>
    <m/>
    <m/>
    <m/>
    <m/>
    <m/>
    <m/>
    <m/>
    <m/>
  </r>
  <r>
    <n v="742"/>
    <d v="2025-04-14T00:00:00"/>
    <s v="ZBTO"/>
    <n v="9518691600"/>
    <n v="3"/>
    <s v="9518691600-3"/>
    <s v="No Priority"/>
    <x v="1"/>
    <m/>
    <x v="1"/>
    <x v="2"/>
    <n v="2000"/>
    <m/>
    <x v="0"/>
    <m/>
    <m/>
    <s v="Jharkhand"/>
    <s v="East"/>
    <m/>
    <m/>
    <n v="185794"/>
    <x v="12"/>
    <n v="3239548"/>
    <s v="CRCA SHEET TATCRC SR16 0.400X900X2500"/>
    <s v=""/>
    <m/>
    <m/>
    <m/>
    <m/>
    <s v="C06"/>
    <s v="TATCRC"/>
    <s v="SR16"/>
    <n v="0.4"/>
    <n v="900"/>
    <n v="2500"/>
    <n v="30"/>
    <n v="0"/>
    <n v="30"/>
    <n v="30"/>
    <n v="30"/>
    <n v="30"/>
    <n v="0"/>
    <n v="0"/>
    <n v="0"/>
    <n v="0"/>
    <n v="0"/>
    <n v="0"/>
    <n v="0"/>
    <n v="0"/>
    <n v="0"/>
    <n v="0"/>
    <n v="0"/>
    <n v="0"/>
    <n v="0"/>
    <n v="0"/>
    <n v="0"/>
    <n v="0"/>
    <n v="0"/>
    <n v="0"/>
    <n v="0"/>
    <n v="0"/>
    <n v="0"/>
    <n v="0"/>
    <n v="0"/>
    <m/>
    <m/>
    <m/>
    <m/>
    <m/>
    <m/>
    <m/>
    <m/>
    <m/>
    <m/>
    <m/>
    <m/>
    <m/>
    <m/>
    <m/>
    <m/>
    <m/>
    <m/>
    <m/>
    <m/>
    <m/>
    <m/>
    <m/>
    <m/>
    <m/>
    <m/>
    <m/>
    <m/>
    <m/>
    <m/>
    <m/>
    <m/>
    <m/>
    <m/>
    <m/>
    <m/>
    <m/>
    <m/>
    <m/>
    <m/>
    <m/>
    <m/>
    <m/>
    <m/>
    <m/>
    <m/>
    <m/>
    <m/>
    <m/>
  </r>
  <r>
    <n v="742"/>
    <d v="2025-04-14T00:00:00"/>
    <s v="ZBTO"/>
    <n v="9518691600"/>
    <n v="4"/>
    <s v="9518691600-4"/>
    <s v="No Priority"/>
    <x v="1"/>
    <m/>
    <x v="1"/>
    <x v="2"/>
    <n v="2000"/>
    <m/>
    <x v="0"/>
    <m/>
    <m/>
    <s v="Jharkhand"/>
    <s v="East"/>
    <m/>
    <m/>
    <n v="185794"/>
    <x v="12"/>
    <n v="3239554"/>
    <s v="CRCA SHEET TATCRC SR16 0.400X1000X2500"/>
    <s v=""/>
    <m/>
    <m/>
    <m/>
    <m/>
    <s v="C06"/>
    <s v="TATCRC"/>
    <s v="SR16"/>
    <n v="0.4"/>
    <n v="1000"/>
    <n v="2500"/>
    <n v="60"/>
    <n v="0"/>
    <n v="60"/>
    <n v="60"/>
    <n v="60"/>
    <n v="60"/>
    <n v="0"/>
    <n v="0"/>
    <n v="0"/>
    <n v="0"/>
    <n v="0"/>
    <n v="0"/>
    <n v="0"/>
    <n v="0"/>
    <n v="0"/>
    <n v="0"/>
    <n v="0"/>
    <n v="0"/>
    <n v="0"/>
    <n v="0"/>
    <n v="0"/>
    <n v="0"/>
    <n v="0"/>
    <n v="0"/>
    <n v="0"/>
    <n v="0"/>
    <n v="0"/>
    <n v="0"/>
    <n v="0"/>
    <m/>
    <m/>
    <m/>
    <m/>
    <m/>
    <m/>
    <m/>
    <m/>
    <m/>
    <m/>
    <m/>
    <m/>
    <m/>
    <m/>
    <m/>
    <m/>
    <m/>
    <m/>
    <m/>
    <m/>
    <m/>
    <m/>
    <m/>
    <m/>
    <m/>
    <m/>
    <m/>
    <m/>
    <m/>
    <m/>
    <m/>
    <m/>
    <m/>
    <m/>
    <m/>
    <m/>
    <m/>
    <m/>
    <m/>
    <m/>
    <m/>
    <m/>
    <m/>
    <m/>
    <m/>
    <m/>
    <m/>
    <m/>
    <m/>
  </r>
  <r>
    <n v="742"/>
    <d v="2025-04-14T00:00:00"/>
    <s v="ZBTO"/>
    <n v="9518691600"/>
    <n v="5"/>
    <s v="9518691600-5"/>
    <s v="No Priority"/>
    <x v="1"/>
    <m/>
    <x v="1"/>
    <x v="2"/>
    <n v="2000"/>
    <m/>
    <x v="0"/>
    <m/>
    <m/>
    <s v="Jharkhand"/>
    <s v="East"/>
    <m/>
    <m/>
    <n v="185794"/>
    <x v="12"/>
    <n v="3239557"/>
    <s v="CRCA SHEET TATCRC SR16 0.400X1250X2500"/>
    <s v=""/>
    <m/>
    <m/>
    <m/>
    <m/>
    <s v="C06"/>
    <s v="TATCRC"/>
    <s v="SR16"/>
    <n v="0.4"/>
    <n v="1250"/>
    <n v="0"/>
    <n v="30"/>
    <n v="0"/>
    <n v="30"/>
    <n v="30"/>
    <n v="30"/>
    <n v="30"/>
    <n v="0"/>
    <n v="0"/>
    <n v="0"/>
    <n v="0"/>
    <n v="0"/>
    <n v="0"/>
    <n v="0"/>
    <n v="0"/>
    <n v="0"/>
    <n v="0"/>
    <n v="0"/>
    <n v="0"/>
    <n v="0"/>
    <n v="0"/>
    <n v="0"/>
    <n v="0"/>
    <n v="0"/>
    <n v="0"/>
    <n v="0"/>
    <n v="0"/>
    <n v="0"/>
    <n v="0"/>
    <n v="0"/>
    <m/>
    <m/>
    <m/>
    <m/>
    <m/>
    <m/>
    <m/>
    <m/>
    <m/>
    <m/>
    <m/>
    <m/>
    <m/>
    <m/>
    <m/>
    <m/>
    <m/>
    <m/>
    <m/>
    <m/>
    <m/>
    <m/>
    <m/>
    <m/>
    <m/>
    <m/>
    <m/>
    <m/>
    <m/>
    <m/>
    <m/>
    <m/>
    <m/>
    <m/>
    <m/>
    <m/>
    <m/>
    <m/>
    <m/>
    <m/>
    <m/>
    <m/>
    <m/>
    <m/>
    <m/>
    <m/>
    <m/>
    <m/>
    <m/>
  </r>
  <r>
    <n v="742"/>
    <d v="2025-04-14T00:00:00"/>
    <s v="ZBTO"/>
    <n v="9518691600"/>
    <n v="6"/>
    <s v="9518691600-6"/>
    <s v="No Priority"/>
    <x v="0"/>
    <m/>
    <x v="1"/>
    <x v="2"/>
    <n v="2000"/>
    <m/>
    <x v="0"/>
    <m/>
    <m/>
    <s v="Jharkhand"/>
    <s v="East"/>
    <m/>
    <m/>
    <n v="185794"/>
    <x v="12"/>
    <n v="3239567"/>
    <s v="CRCA SHEET TATCRC SR16 0.450X1000X2500"/>
    <s v=""/>
    <m/>
    <m/>
    <m/>
    <m/>
    <s v="C06"/>
    <s v="TATCRC"/>
    <s v="SR16"/>
    <n v="0.45"/>
    <n v="1000"/>
    <n v="2500"/>
    <n v="60"/>
    <n v="0"/>
    <n v="60"/>
    <n v="60"/>
    <n v="60"/>
    <n v="60"/>
    <n v="0"/>
    <n v="0"/>
    <n v="0"/>
    <n v="0"/>
    <n v="0"/>
    <n v="0"/>
    <n v="0"/>
    <n v="0"/>
    <n v="0"/>
    <n v="0"/>
    <n v="0"/>
    <n v="0"/>
    <n v="0"/>
    <n v="0"/>
    <n v="0"/>
    <n v="0"/>
    <n v="0"/>
    <n v="0"/>
    <n v="0"/>
    <n v="0"/>
    <n v="0"/>
    <n v="0"/>
    <n v="0"/>
    <m/>
    <m/>
    <m/>
    <m/>
    <m/>
    <m/>
    <m/>
    <m/>
    <m/>
    <m/>
    <m/>
    <m/>
    <m/>
    <m/>
    <m/>
    <m/>
    <m/>
    <m/>
    <m/>
    <m/>
    <m/>
    <m/>
    <m/>
    <m/>
    <m/>
    <m/>
    <m/>
    <m/>
    <m/>
    <m/>
    <m/>
    <m/>
    <m/>
    <m/>
    <m/>
    <m/>
    <m/>
    <m/>
    <m/>
    <m/>
    <m/>
    <m/>
    <m/>
    <m/>
    <m/>
    <m/>
    <m/>
    <m/>
    <m/>
  </r>
  <r>
    <n v="742"/>
    <d v="2025-04-14T00:00:00"/>
    <s v="ZBTO"/>
    <n v="9518691600"/>
    <n v="7"/>
    <s v="9518691600-7"/>
    <s v="No Priority"/>
    <x v="0"/>
    <m/>
    <x v="1"/>
    <x v="2"/>
    <n v="2000"/>
    <m/>
    <x v="0"/>
    <m/>
    <m/>
    <s v="Jharkhand"/>
    <s v="East"/>
    <m/>
    <m/>
    <n v="185794"/>
    <x v="12"/>
    <n v="3239568"/>
    <s v="CRCA SHEET TATCRC SR16 0.450X1250X2500"/>
    <s v=""/>
    <m/>
    <m/>
    <m/>
    <m/>
    <s v="C06"/>
    <s v="TATCRC"/>
    <s v="SR16"/>
    <n v="0.45"/>
    <n v="1250"/>
    <n v="2500"/>
    <n v="21"/>
    <n v="0"/>
    <n v="21"/>
    <n v="21"/>
    <n v="21"/>
    <n v="21"/>
    <n v="0"/>
    <n v="0"/>
    <n v="0"/>
    <n v="0"/>
    <n v="0"/>
    <n v="0"/>
    <n v="0"/>
    <n v="0"/>
    <n v="0"/>
    <n v="0"/>
    <n v="0"/>
    <n v="0"/>
    <n v="0"/>
    <n v="0"/>
    <n v="0"/>
    <n v="0"/>
    <n v="0"/>
    <n v="0"/>
    <n v="0"/>
    <n v="0"/>
    <n v="0"/>
    <n v="0"/>
    <n v="0"/>
    <m/>
    <m/>
    <m/>
    <m/>
    <m/>
    <m/>
    <m/>
    <m/>
    <m/>
    <m/>
    <m/>
    <m/>
    <m/>
    <m/>
    <m/>
    <m/>
    <m/>
    <m/>
    <m/>
    <m/>
    <m/>
    <m/>
    <m/>
    <m/>
    <m/>
    <m/>
    <m/>
    <m/>
    <m/>
    <m/>
    <m/>
    <m/>
    <m/>
    <m/>
    <m/>
    <m/>
    <m/>
    <m/>
    <m/>
    <m/>
    <m/>
    <m/>
    <m/>
    <m/>
    <m/>
    <m/>
    <m/>
    <m/>
    <m/>
  </r>
  <r>
    <n v="742"/>
    <d v="2025-04-14T00:00:00"/>
    <s v="ZBTO"/>
    <n v="9518691600"/>
    <n v="8"/>
    <s v="9518691600-8"/>
    <s v="May'25"/>
    <x v="0"/>
    <m/>
    <x v="1"/>
    <x v="2"/>
    <n v="2000"/>
    <m/>
    <x v="1"/>
    <m/>
    <m/>
    <s v="Jharkhand"/>
    <s v="East"/>
    <m/>
    <m/>
    <n v="185794"/>
    <x v="12"/>
    <n v="3240760"/>
    <s v="CRCA SHEET TSBCRC SR15 0.500X1000X2500"/>
    <s v=""/>
    <m/>
    <m/>
    <m/>
    <m/>
    <s v="C06"/>
    <s v="TSBCRC"/>
    <s v="SR15"/>
    <n v="0.5"/>
    <n v="1000"/>
    <n v="2500"/>
    <n v="42"/>
    <n v="0"/>
    <n v="42"/>
    <n v="42"/>
    <n v="-2.6700000000000017"/>
    <n v="42"/>
    <n v="0"/>
    <n v="0"/>
    <n v="0"/>
    <n v="0"/>
    <n v="0"/>
    <n v="0"/>
    <n v="0"/>
    <n v="0"/>
    <n v="0"/>
    <n v="0"/>
    <n v="0"/>
    <n v="0"/>
    <n v="0"/>
    <n v="44.67"/>
    <n v="0"/>
    <n v="0"/>
    <n v="0"/>
    <n v="0"/>
    <n v="0"/>
    <n v="44.67"/>
    <n v="44.67"/>
    <n v="0"/>
    <n v="44.67"/>
    <m/>
    <m/>
    <m/>
    <m/>
    <m/>
    <m/>
    <m/>
    <m/>
    <m/>
    <m/>
    <m/>
    <m/>
    <m/>
    <m/>
    <m/>
    <m/>
    <m/>
    <m/>
    <m/>
    <m/>
    <m/>
    <m/>
    <m/>
    <m/>
    <m/>
    <m/>
    <m/>
    <m/>
    <m/>
    <m/>
    <m/>
    <m/>
    <m/>
    <m/>
    <m/>
    <m/>
    <m/>
    <m/>
    <m/>
    <m/>
    <m/>
    <m/>
    <m/>
    <m/>
    <m/>
    <m/>
    <m/>
    <m/>
    <m/>
  </r>
  <r>
    <n v="742"/>
    <d v="2025-04-14T00:00:00"/>
    <s v="ZBTO"/>
    <n v="9518691600"/>
    <n v="9"/>
    <s v="9518691600-9"/>
    <s v="No Priority"/>
    <x v="0"/>
    <m/>
    <x v="1"/>
    <x v="2"/>
    <n v="2000"/>
    <m/>
    <x v="0"/>
    <m/>
    <m/>
    <s v="Jharkhand"/>
    <s v="East"/>
    <m/>
    <m/>
    <n v="185794"/>
    <x v="12"/>
    <n v="3240761"/>
    <s v="CRCA SHEET TSBCRC SR15 0.500X1250X2030"/>
    <s v=""/>
    <m/>
    <m/>
    <m/>
    <m/>
    <s v="C06"/>
    <s v="TSBCRC"/>
    <s v="SR15"/>
    <n v="0.5"/>
    <n v="1250"/>
    <n v="2030"/>
    <n v="30"/>
    <n v="0"/>
    <n v="30"/>
    <n v="30"/>
    <n v="30"/>
    <n v="27.204999999999998"/>
    <n v="0"/>
    <n v="0"/>
    <n v="0"/>
    <n v="0"/>
    <n v="0"/>
    <n v="0"/>
    <n v="0"/>
    <n v="0"/>
    <n v="0"/>
    <n v="0"/>
    <n v="0"/>
    <n v="0"/>
    <n v="0"/>
    <n v="0"/>
    <n v="0"/>
    <n v="0"/>
    <n v="0"/>
    <n v="0"/>
    <n v="0"/>
    <n v="0"/>
    <n v="0"/>
    <n v="0"/>
    <n v="0"/>
    <m/>
    <m/>
    <m/>
    <m/>
    <m/>
    <m/>
    <m/>
    <m/>
    <m/>
    <m/>
    <m/>
    <m/>
    <m/>
    <m/>
    <m/>
    <m/>
    <m/>
    <m/>
    <m/>
    <m/>
    <m/>
    <m/>
    <m/>
    <m/>
    <m/>
    <m/>
    <m/>
    <m/>
    <m/>
    <m/>
    <m/>
    <m/>
    <m/>
    <m/>
    <m/>
    <m/>
    <m/>
    <m/>
    <m/>
    <m/>
    <m/>
    <m/>
    <m/>
    <m/>
    <m/>
    <m/>
    <m/>
    <m/>
    <m/>
  </r>
  <r>
    <n v="742"/>
    <d v="2025-04-14T00:00:00"/>
    <s v="ZBTO"/>
    <n v="9518691600"/>
    <n v="10"/>
    <s v="9518691600-10"/>
    <s v="No Priority"/>
    <x v="0"/>
    <m/>
    <x v="1"/>
    <x v="2"/>
    <n v="2000"/>
    <m/>
    <x v="0"/>
    <m/>
    <m/>
    <s v="Jharkhand"/>
    <s v="East"/>
    <m/>
    <m/>
    <n v="185794"/>
    <x v="12"/>
    <n v="3240765"/>
    <s v="CRCA SHEET TSBCRC SR15 0.500X1250X2500"/>
    <s v=""/>
    <m/>
    <m/>
    <m/>
    <m/>
    <s v="C06"/>
    <s v="TSBCRC"/>
    <s v="SR15"/>
    <n v="0.5"/>
    <n v="1250"/>
    <n v="0"/>
    <n v="60"/>
    <n v="0"/>
    <n v="60"/>
    <n v="60"/>
    <n v="60"/>
    <n v="60"/>
    <n v="0"/>
    <n v="0"/>
    <n v="0"/>
    <n v="0"/>
    <n v="0"/>
    <n v="0"/>
    <n v="0"/>
    <n v="0"/>
    <n v="0"/>
    <n v="0"/>
    <n v="0"/>
    <n v="0"/>
    <n v="0"/>
    <n v="0"/>
    <n v="0"/>
    <n v="0"/>
    <n v="0"/>
    <n v="0"/>
    <n v="0"/>
    <n v="0"/>
    <n v="0"/>
    <n v="0"/>
    <n v="0"/>
    <m/>
    <m/>
    <m/>
    <m/>
    <m/>
    <m/>
    <m/>
    <m/>
    <m/>
    <m/>
    <m/>
    <m/>
    <m/>
    <m/>
    <m/>
    <m/>
    <m/>
    <m/>
    <m/>
    <m/>
    <m/>
    <m/>
    <m/>
    <m/>
    <m/>
    <m/>
    <m/>
    <m/>
    <m/>
    <m/>
    <m/>
    <m/>
    <m/>
    <m/>
    <m/>
    <m/>
    <m/>
    <m/>
    <m/>
    <m/>
    <m/>
    <m/>
    <m/>
    <m/>
    <m/>
    <m/>
    <m/>
    <m/>
    <m/>
  </r>
  <r>
    <n v="742"/>
    <d v="2025-04-14T00:00:00"/>
    <s v="ZBTO"/>
    <n v="9518691600"/>
    <n v="11"/>
    <s v="9518691600-11"/>
    <s v="May'25"/>
    <x v="0"/>
    <m/>
    <x v="1"/>
    <x v="2"/>
    <n v="2000"/>
    <m/>
    <x v="1"/>
    <m/>
    <m/>
    <s v="Jharkhand"/>
    <s v="East"/>
    <m/>
    <m/>
    <n v="185794"/>
    <x v="12"/>
    <n v="3240778"/>
    <s v="CRCA SHEET TSBCRC SR15 0.600X1000X2500"/>
    <s v=""/>
    <m/>
    <m/>
    <m/>
    <m/>
    <s v="C06"/>
    <s v="TSBCRC"/>
    <s v="SR15"/>
    <n v="0.6"/>
    <n v="1000"/>
    <n v="2500"/>
    <n v="60"/>
    <n v="0"/>
    <n v="60"/>
    <n v="60"/>
    <n v="-6.2199999999999989"/>
    <n v="60"/>
    <n v="0"/>
    <n v="0"/>
    <n v="0"/>
    <n v="0"/>
    <n v="0"/>
    <n v="0"/>
    <n v="0"/>
    <n v="0"/>
    <n v="0"/>
    <n v="0"/>
    <n v="0"/>
    <n v="0"/>
    <n v="0"/>
    <n v="66.22"/>
    <n v="0"/>
    <n v="0"/>
    <n v="0"/>
    <n v="0"/>
    <n v="0"/>
    <n v="66.22"/>
    <n v="66.22"/>
    <n v="0"/>
    <n v="66.22"/>
    <m/>
    <m/>
    <m/>
    <m/>
    <m/>
    <m/>
    <m/>
    <m/>
    <m/>
    <m/>
    <m/>
    <m/>
    <m/>
    <m/>
    <m/>
    <m/>
    <m/>
    <m/>
    <m/>
    <m/>
    <m/>
    <m/>
    <m/>
    <m/>
    <m/>
    <m/>
    <m/>
    <m/>
    <m/>
    <m/>
    <m/>
    <m/>
    <m/>
    <m/>
    <m/>
    <m/>
    <m/>
    <m/>
    <m/>
    <m/>
    <m/>
    <m/>
    <m/>
    <m/>
    <m/>
    <m/>
    <m/>
    <m/>
    <m/>
  </r>
  <r>
    <n v="742"/>
    <d v="2025-03-17T00:00:00"/>
    <s v="ZBTO"/>
    <n v="9518606284"/>
    <n v="1"/>
    <s v="9518606284-1"/>
    <s v="No Priority"/>
    <x v="0"/>
    <s v="Yes"/>
    <x v="1"/>
    <x v="2"/>
    <n v="2000"/>
    <m/>
    <x v="0"/>
    <m/>
    <m/>
    <s v="Andhra Pradesh"/>
    <s v="South"/>
    <m/>
    <m/>
    <n v="946077"/>
    <x v="8"/>
    <n v="3239535"/>
    <s v="CRCA SHEET TATCRC SR16 0.350X900X2440"/>
    <s v=""/>
    <m/>
    <m/>
    <m/>
    <m/>
    <s v="C06"/>
    <s v="TATCRC"/>
    <s v="SR16"/>
    <n v="0.35"/>
    <n v="900"/>
    <n v="2440"/>
    <n v="21"/>
    <n v="0"/>
    <n v="21"/>
    <n v="21"/>
    <n v="21"/>
    <n v="21"/>
    <n v="0"/>
    <n v="0"/>
    <n v="0"/>
    <n v="0"/>
    <n v="0"/>
    <n v="0"/>
    <n v="0"/>
    <n v="0"/>
    <n v="0"/>
    <n v="0"/>
    <n v="0"/>
    <n v="0"/>
    <n v="0"/>
    <n v="0"/>
    <n v="0"/>
    <n v="0"/>
    <n v="0"/>
    <n v="0"/>
    <n v="0"/>
    <n v="0"/>
    <n v="0"/>
    <n v="0"/>
    <n v="0"/>
    <m/>
    <m/>
    <m/>
    <m/>
    <m/>
    <m/>
    <m/>
    <m/>
    <m/>
    <m/>
    <m/>
    <m/>
    <m/>
    <m/>
    <m/>
    <m/>
    <m/>
    <m/>
    <m/>
    <m/>
    <m/>
    <m/>
    <m/>
    <m/>
    <m/>
    <m/>
    <m/>
    <m/>
    <m/>
    <m/>
    <m/>
    <m/>
    <m/>
    <m/>
    <m/>
    <m/>
    <m/>
    <m/>
    <m/>
    <m/>
    <m/>
    <m/>
    <m/>
    <m/>
    <m/>
    <m/>
    <m/>
    <m/>
    <m/>
  </r>
  <r>
    <n v="742"/>
    <d v="2025-03-17T00:00:00"/>
    <s v="ZBTO"/>
    <n v="9518606284"/>
    <n v="2"/>
    <s v="9518606284-2"/>
    <s v="No Priority"/>
    <x v="0"/>
    <s v="Yes"/>
    <x v="1"/>
    <x v="2"/>
    <n v="2000"/>
    <m/>
    <x v="0"/>
    <m/>
    <m/>
    <s v="Andhra Pradesh"/>
    <s v="South"/>
    <m/>
    <m/>
    <n v="946077"/>
    <x v="8"/>
    <n v="3239540"/>
    <s v="CRCA SHEET TATCRC SR16 0.350X1000X2440"/>
    <s v=""/>
    <m/>
    <m/>
    <m/>
    <m/>
    <s v="C06"/>
    <s v="TATCRC"/>
    <s v="SR16"/>
    <n v="0.35"/>
    <n v="1000"/>
    <n v="2440"/>
    <n v="42"/>
    <n v="0"/>
    <n v="42"/>
    <n v="42"/>
    <n v="42"/>
    <n v="42"/>
    <n v="0"/>
    <n v="0"/>
    <n v="0"/>
    <n v="0"/>
    <n v="0"/>
    <n v="0"/>
    <n v="0"/>
    <n v="0"/>
    <n v="0"/>
    <n v="0"/>
    <n v="0"/>
    <n v="0"/>
    <n v="0"/>
    <n v="0"/>
    <n v="0"/>
    <n v="0"/>
    <n v="0"/>
    <n v="0"/>
    <n v="0"/>
    <n v="0"/>
    <n v="0"/>
    <n v="0"/>
    <n v="0"/>
    <m/>
    <m/>
    <m/>
    <m/>
    <m/>
    <m/>
    <m/>
    <m/>
    <m/>
    <m/>
    <m/>
    <m/>
    <m/>
    <m/>
    <m/>
    <m/>
    <m/>
    <m/>
    <m/>
    <m/>
    <m/>
    <m/>
    <m/>
    <m/>
    <m/>
    <m/>
    <m/>
    <m/>
    <m/>
    <m/>
    <m/>
    <m/>
    <m/>
    <m/>
    <m/>
    <m/>
    <m/>
    <m/>
    <m/>
    <m/>
    <m/>
    <m/>
    <m/>
    <m/>
    <m/>
    <m/>
    <m/>
    <m/>
    <m/>
  </r>
  <r>
    <n v="742"/>
    <d v="2025-03-17T00:00:00"/>
    <s v="ZBTO"/>
    <n v="9518606284"/>
    <n v="3"/>
    <s v="9518606284-3"/>
    <s v="No Priority"/>
    <x v="0"/>
    <s v="Yes"/>
    <x v="1"/>
    <x v="2"/>
    <n v="2000"/>
    <m/>
    <x v="0"/>
    <m/>
    <m/>
    <s v="Andhra Pradesh"/>
    <s v="South"/>
    <m/>
    <m/>
    <n v="946077"/>
    <x v="8"/>
    <n v="3239549"/>
    <s v="CRCA SHEET TATCRC SR16 0.400X900X2440"/>
    <s v=""/>
    <m/>
    <m/>
    <m/>
    <m/>
    <s v="C06"/>
    <s v="TATCRC"/>
    <s v="SR16"/>
    <n v="0.4"/>
    <n v="900"/>
    <n v="2440"/>
    <n v="42"/>
    <n v="0"/>
    <n v="42"/>
    <n v="42"/>
    <n v="42"/>
    <n v="42"/>
    <n v="0"/>
    <n v="0"/>
    <n v="0"/>
    <n v="0"/>
    <n v="0"/>
    <n v="0"/>
    <n v="0"/>
    <n v="0"/>
    <n v="0"/>
    <n v="0"/>
    <n v="0"/>
    <n v="0"/>
    <n v="0"/>
    <n v="0"/>
    <n v="0"/>
    <n v="0"/>
    <n v="0"/>
    <n v="0"/>
    <n v="0"/>
    <n v="0"/>
    <n v="0"/>
    <n v="0"/>
    <n v="0"/>
    <m/>
    <m/>
    <m/>
    <m/>
    <m/>
    <m/>
    <m/>
    <m/>
    <m/>
    <m/>
    <m/>
    <m/>
    <m/>
    <m/>
    <m/>
    <m/>
    <m/>
    <m/>
    <m/>
    <m/>
    <m/>
    <m/>
    <m/>
    <m/>
    <m/>
    <m/>
    <m/>
    <m/>
    <m/>
    <m/>
    <m/>
    <m/>
    <m/>
    <m/>
    <m/>
    <m/>
    <m/>
    <m/>
    <m/>
    <m/>
    <m/>
    <m/>
    <m/>
    <m/>
    <m/>
    <m/>
    <m/>
    <m/>
    <m/>
  </r>
  <r>
    <n v="742"/>
    <d v="2025-03-17T00:00:00"/>
    <s v="ZBTO"/>
    <n v="9518606284"/>
    <n v="4"/>
    <s v="9518606284-4"/>
    <s v="No Priority"/>
    <x v="0"/>
    <s v="Yes"/>
    <x v="1"/>
    <x v="2"/>
    <n v="2000"/>
    <m/>
    <x v="0"/>
    <m/>
    <m/>
    <s v="Andhra Pradesh"/>
    <s v="South"/>
    <m/>
    <m/>
    <n v="946077"/>
    <x v="8"/>
    <n v="3239555"/>
    <s v="CRCA SHEET TATCRC SR16 0.400X1000X2440"/>
    <s v=""/>
    <m/>
    <m/>
    <m/>
    <m/>
    <s v="C06"/>
    <s v="TATCRC"/>
    <s v="SR16"/>
    <n v="0.4"/>
    <n v="1000"/>
    <n v="2440"/>
    <n v="42"/>
    <n v="0"/>
    <n v="42"/>
    <n v="42"/>
    <n v="42"/>
    <n v="42"/>
    <n v="0"/>
    <n v="0"/>
    <n v="0"/>
    <n v="0"/>
    <n v="0"/>
    <n v="0"/>
    <n v="0"/>
    <n v="0"/>
    <n v="0"/>
    <n v="0"/>
    <n v="0"/>
    <n v="0"/>
    <n v="0"/>
    <n v="0"/>
    <n v="0"/>
    <n v="0"/>
    <n v="0"/>
    <n v="0"/>
    <n v="0"/>
    <n v="0"/>
    <n v="0"/>
    <n v="0"/>
    <n v="0"/>
    <m/>
    <m/>
    <m/>
    <m/>
    <m/>
    <m/>
    <m/>
    <m/>
    <m/>
    <m/>
    <m/>
    <m/>
    <m/>
    <m/>
    <m/>
    <m/>
    <m/>
    <m/>
    <m/>
    <m/>
    <m/>
    <m/>
    <m/>
    <m/>
    <m/>
    <m/>
    <m/>
    <m/>
    <m/>
    <m/>
    <m/>
    <m/>
    <m/>
    <m/>
    <m/>
    <m/>
    <m/>
    <m/>
    <m/>
    <m/>
    <m/>
    <m/>
    <m/>
    <m/>
    <m/>
    <m/>
    <m/>
    <m/>
    <m/>
  </r>
  <r>
    <n v="742"/>
    <d v="2025-03-17T00:00:00"/>
    <s v="ZBTO"/>
    <n v="9518606284"/>
    <n v="19"/>
    <s v="9518606284-19"/>
    <s v="No Priority"/>
    <x v="0"/>
    <m/>
    <x v="1"/>
    <x v="1"/>
    <n v="2000"/>
    <m/>
    <x v="0"/>
    <m/>
    <m/>
    <s v="Andhra Pradesh"/>
    <s v="South"/>
    <m/>
    <m/>
    <n v="946077"/>
    <x v="8"/>
    <n v="189865"/>
    <s v="CRSHEET TATXXD AU03 1.0X1250X2500"/>
    <s v=""/>
    <m/>
    <m/>
    <m/>
    <m/>
    <s v="C06"/>
    <s v="TATXXD"/>
    <s v="AU03"/>
    <n v="1"/>
    <n v="1250"/>
    <n v="2500"/>
    <n v="30"/>
    <n v="0"/>
    <n v="30"/>
    <n v="30"/>
    <n v="30"/>
    <n v="30"/>
    <n v="0"/>
    <n v="0"/>
    <n v="0"/>
    <n v="0"/>
    <n v="0"/>
    <n v="0"/>
    <n v="0"/>
    <n v="0"/>
    <n v="0"/>
    <n v="0"/>
    <n v="0"/>
    <n v="0"/>
    <n v="0"/>
    <n v="0"/>
    <n v="0"/>
    <n v="0"/>
    <n v="0"/>
    <n v="0"/>
    <n v="0"/>
    <n v="0"/>
    <n v="0"/>
    <n v="0"/>
    <n v="0"/>
    <m/>
    <m/>
    <m/>
    <m/>
    <m/>
    <m/>
    <m/>
    <m/>
    <m/>
    <m/>
    <m/>
    <m/>
    <m/>
    <m/>
    <m/>
    <m/>
    <m/>
    <m/>
    <m/>
    <m/>
    <m/>
    <m/>
    <m/>
    <m/>
    <m/>
    <m/>
    <m/>
    <m/>
    <m/>
    <m/>
    <m/>
    <m/>
    <m/>
    <m/>
    <m/>
    <m/>
    <m/>
    <m/>
    <m/>
    <m/>
    <m/>
    <m/>
    <m/>
    <m/>
    <m/>
    <m/>
    <m/>
    <m/>
    <m/>
  </r>
  <r>
    <n v="742"/>
    <d v="2025-03-17T00:00:00"/>
    <s v="ZBTO"/>
    <n v="9518606598"/>
    <n v="1"/>
    <s v="9518606598-1"/>
    <s v="No Priority"/>
    <x v="1"/>
    <m/>
    <x v="1"/>
    <x v="1"/>
    <n v="2000"/>
    <m/>
    <x v="0"/>
    <m/>
    <m/>
    <s v="Andhra Pradesh"/>
    <s v="South"/>
    <m/>
    <m/>
    <n v="946077"/>
    <x v="8"/>
    <n v="1801562"/>
    <s v="CRCA COIL-TATXXD-AU03-0.8X1000"/>
    <s v=""/>
    <m/>
    <m/>
    <m/>
    <m/>
    <s v="C01"/>
    <s v="TATXXD"/>
    <s v="AU03"/>
    <n v="0.8"/>
    <n v="1000"/>
    <n v="0"/>
    <n v="23"/>
    <n v="0"/>
    <n v="23"/>
    <n v="23"/>
    <n v="23"/>
    <n v="23"/>
    <n v="0"/>
    <n v="0"/>
    <n v="0"/>
    <n v="0"/>
    <n v="0"/>
    <n v="0"/>
    <n v="0"/>
    <n v="0"/>
    <n v="0"/>
    <n v="0"/>
    <n v="0"/>
    <n v="0"/>
    <n v="0"/>
    <n v="0"/>
    <n v="0"/>
    <n v="0"/>
    <n v="0"/>
    <n v="0"/>
    <n v="0"/>
    <n v="0"/>
    <n v="0"/>
    <n v="0"/>
    <n v="0"/>
    <m/>
    <m/>
    <m/>
    <m/>
    <m/>
    <m/>
    <m/>
    <m/>
    <m/>
    <m/>
    <m/>
    <m/>
    <m/>
    <m/>
    <m/>
    <m/>
    <m/>
    <m/>
    <m/>
    <m/>
    <m/>
    <m/>
    <m/>
    <m/>
    <m/>
    <m/>
    <m/>
    <m/>
    <m/>
    <m/>
    <m/>
    <m/>
    <m/>
    <m/>
    <m/>
    <m/>
    <m/>
    <m/>
    <m/>
    <m/>
    <m/>
    <m/>
    <m/>
    <m/>
    <m/>
    <m/>
    <m/>
    <m/>
    <m/>
  </r>
  <r>
    <n v="742"/>
    <d v="2025-04-10T00:00:00"/>
    <s v="ZBTO"/>
    <n v="9518683200"/>
    <n v="1"/>
    <s v="9518683200-1"/>
    <s v="No Priority"/>
    <x v="0"/>
    <s v="Yes"/>
    <x v="1"/>
    <x v="2"/>
    <n v="2000"/>
    <m/>
    <x v="0"/>
    <m/>
    <m/>
    <s v="Andhra Pradesh"/>
    <s v="South"/>
    <m/>
    <m/>
    <n v="946077"/>
    <x v="8"/>
    <n v="3239535"/>
    <s v="CRCA SHEET TATCRC SR16 0.350X900X2440"/>
    <s v=""/>
    <m/>
    <m/>
    <m/>
    <m/>
    <s v="C06"/>
    <s v="TATCRC"/>
    <s v="SR16"/>
    <n v="0.35"/>
    <n v="900"/>
    <n v="2440"/>
    <n v="42"/>
    <n v="0"/>
    <n v="42"/>
    <n v="42"/>
    <n v="42"/>
    <n v="42"/>
    <n v="0"/>
    <n v="0"/>
    <n v="0"/>
    <n v="0"/>
    <n v="0"/>
    <n v="0"/>
    <n v="0"/>
    <n v="0"/>
    <n v="0"/>
    <n v="0"/>
    <n v="0"/>
    <n v="0"/>
    <n v="0"/>
    <n v="0"/>
    <n v="0"/>
    <n v="0"/>
    <n v="0"/>
    <n v="0"/>
    <n v="0"/>
    <n v="0"/>
    <n v="0"/>
    <n v="0"/>
    <n v="0"/>
    <m/>
    <m/>
    <m/>
    <m/>
    <m/>
    <m/>
    <m/>
    <m/>
    <m/>
    <m/>
    <m/>
    <m/>
    <m/>
    <m/>
    <m/>
    <m/>
    <m/>
    <m/>
    <m/>
    <m/>
    <m/>
    <m/>
    <m/>
    <m/>
    <m/>
    <m/>
    <m/>
    <m/>
    <m/>
    <m/>
    <m/>
    <m/>
    <m/>
    <m/>
    <m/>
    <m/>
    <m/>
    <m/>
    <m/>
    <m/>
    <m/>
    <m/>
    <m/>
    <m/>
    <m/>
    <m/>
    <m/>
    <m/>
    <m/>
  </r>
  <r>
    <n v="742"/>
    <d v="2025-04-10T00:00:00"/>
    <s v="ZBTO"/>
    <n v="9518683200"/>
    <n v="2"/>
    <s v="9518683200-2"/>
    <s v="No Priority"/>
    <x v="0"/>
    <s v="Yes"/>
    <x v="1"/>
    <x v="2"/>
    <n v="2000"/>
    <m/>
    <x v="0"/>
    <m/>
    <m/>
    <s v="Andhra Pradesh"/>
    <s v="South"/>
    <m/>
    <m/>
    <n v="946077"/>
    <x v="8"/>
    <n v="3239540"/>
    <s v="CRCA SHEET TATCRC SR16 0.350X1000X2440"/>
    <s v=""/>
    <m/>
    <m/>
    <m/>
    <m/>
    <s v="C06"/>
    <s v="TATCRC"/>
    <s v="SR16"/>
    <n v="0.35"/>
    <n v="1000"/>
    <n v="2440"/>
    <n v="45"/>
    <n v="0"/>
    <n v="45"/>
    <n v="45"/>
    <n v="45"/>
    <n v="45"/>
    <n v="0"/>
    <n v="0"/>
    <n v="0"/>
    <n v="0"/>
    <n v="0"/>
    <n v="0"/>
    <n v="0"/>
    <n v="0"/>
    <n v="0"/>
    <n v="0"/>
    <n v="0"/>
    <n v="0"/>
    <n v="0"/>
    <n v="0"/>
    <n v="0"/>
    <n v="0"/>
    <n v="0"/>
    <n v="0"/>
    <n v="0"/>
    <n v="0"/>
    <n v="0"/>
    <n v="0"/>
    <n v="0"/>
    <m/>
    <m/>
    <m/>
    <m/>
    <m/>
    <m/>
    <m/>
    <m/>
    <m/>
    <m/>
    <m/>
    <m/>
    <m/>
    <m/>
    <m/>
    <m/>
    <m/>
    <m/>
    <m/>
    <m/>
    <m/>
    <m/>
    <m/>
    <m/>
    <m/>
    <m/>
    <m/>
    <m/>
    <m/>
    <m/>
    <m/>
    <m/>
    <m/>
    <m/>
    <m/>
    <m/>
    <m/>
    <m/>
    <m/>
    <m/>
    <m/>
    <m/>
    <m/>
    <m/>
    <m/>
    <m/>
    <m/>
    <m/>
    <m/>
  </r>
  <r>
    <n v="742"/>
    <d v="2025-04-10T00:00:00"/>
    <s v="ZBTO"/>
    <n v="9518683200"/>
    <n v="3"/>
    <s v="9518683200-3"/>
    <s v="No Priority"/>
    <x v="0"/>
    <s v="Yes"/>
    <x v="1"/>
    <x v="2"/>
    <n v="2000"/>
    <m/>
    <x v="0"/>
    <m/>
    <m/>
    <s v="Andhra Pradesh"/>
    <s v="South"/>
    <m/>
    <m/>
    <n v="946077"/>
    <x v="8"/>
    <n v="3239549"/>
    <s v="CRCA SHEET TATCRC SR16 0.400X900X2440"/>
    <s v=""/>
    <m/>
    <m/>
    <m/>
    <m/>
    <s v="C06"/>
    <s v="TATCRC"/>
    <s v="SR16"/>
    <n v="0.4"/>
    <n v="900"/>
    <n v="2440"/>
    <n v="42"/>
    <n v="0"/>
    <n v="42"/>
    <n v="42"/>
    <n v="42"/>
    <n v="42"/>
    <n v="0"/>
    <n v="0"/>
    <n v="0"/>
    <n v="0"/>
    <n v="0"/>
    <n v="0"/>
    <n v="0"/>
    <n v="0"/>
    <n v="0"/>
    <n v="0"/>
    <n v="0"/>
    <n v="0"/>
    <n v="0"/>
    <n v="0"/>
    <n v="0"/>
    <n v="0"/>
    <n v="0"/>
    <n v="0"/>
    <n v="0"/>
    <n v="0"/>
    <n v="0"/>
    <n v="0"/>
    <n v="0"/>
    <m/>
    <m/>
    <m/>
    <m/>
    <m/>
    <m/>
    <m/>
    <m/>
    <m/>
    <m/>
    <m/>
    <m/>
    <m/>
    <m/>
    <m/>
    <m/>
    <m/>
    <m/>
    <m/>
    <m/>
    <m/>
    <m/>
    <m/>
    <m/>
    <m/>
    <m/>
    <m/>
    <m/>
    <m/>
    <m/>
    <m/>
    <m/>
    <m/>
    <m/>
    <m/>
    <m/>
    <m/>
    <m/>
    <m/>
    <m/>
    <m/>
    <m/>
    <m/>
    <m/>
    <m/>
    <m/>
    <m/>
    <m/>
    <m/>
  </r>
  <r>
    <n v="742"/>
    <d v="2025-04-10T00:00:00"/>
    <s v="ZBTO"/>
    <n v="9518683200"/>
    <n v="4"/>
    <s v="9518683200-4"/>
    <s v="No Priority"/>
    <x v="0"/>
    <s v="Yes"/>
    <x v="1"/>
    <x v="2"/>
    <n v="2000"/>
    <m/>
    <x v="0"/>
    <m/>
    <m/>
    <s v="Andhra Pradesh"/>
    <s v="South"/>
    <m/>
    <m/>
    <n v="946077"/>
    <x v="8"/>
    <n v="3239555"/>
    <s v="CRCA SHEET TATCRC SR16 0.400X1000X2440"/>
    <s v=""/>
    <m/>
    <m/>
    <m/>
    <m/>
    <s v="C06"/>
    <s v="TATCRC"/>
    <s v="SR16"/>
    <n v="0.4"/>
    <n v="1000"/>
    <n v="2440"/>
    <n v="45"/>
    <n v="0"/>
    <n v="45"/>
    <n v="45"/>
    <n v="45"/>
    <n v="45"/>
    <n v="0"/>
    <n v="0"/>
    <n v="0"/>
    <n v="0"/>
    <n v="0"/>
    <n v="0"/>
    <n v="0"/>
    <n v="0"/>
    <n v="0"/>
    <n v="0"/>
    <n v="0"/>
    <n v="0"/>
    <n v="0"/>
    <n v="0"/>
    <n v="0"/>
    <n v="0"/>
    <n v="0"/>
    <n v="0"/>
    <n v="0"/>
    <n v="0"/>
    <n v="0"/>
    <n v="0"/>
    <n v="0"/>
    <m/>
    <m/>
    <m/>
    <m/>
    <m/>
    <m/>
    <m/>
    <m/>
    <m/>
    <m/>
    <m/>
    <m/>
    <m/>
    <m/>
    <m/>
    <m/>
    <m/>
    <m/>
    <m/>
    <m/>
    <m/>
    <m/>
    <m/>
    <m/>
    <m/>
    <m/>
    <m/>
    <m/>
    <m/>
    <m/>
    <m/>
    <m/>
    <m/>
    <m/>
    <m/>
    <m/>
    <m/>
    <m/>
    <m/>
    <m/>
    <m/>
    <m/>
    <m/>
    <m/>
    <m/>
    <m/>
    <m/>
    <m/>
    <m/>
  </r>
  <r>
    <n v="742"/>
    <d v="2025-04-10T00:00:00"/>
    <s v="ZBTO"/>
    <n v="9518683200"/>
    <n v="5"/>
    <s v="9518683200-5"/>
    <s v="May'25"/>
    <x v="0"/>
    <s v="Yes"/>
    <x v="1"/>
    <x v="2"/>
    <n v="2000"/>
    <m/>
    <x v="1"/>
    <m/>
    <m/>
    <s v="Andhra Pradesh"/>
    <s v="South"/>
    <m/>
    <m/>
    <n v="946077"/>
    <x v="8"/>
    <n v="3239559"/>
    <s v="CRCA SHEET TATCRC SR16 0.450X900X2440"/>
    <s v=""/>
    <m/>
    <m/>
    <m/>
    <m/>
    <s v="C06"/>
    <s v="TATCRC"/>
    <s v="SR16"/>
    <n v="0.45"/>
    <n v="900"/>
    <n v="2440"/>
    <n v="42"/>
    <n v="0"/>
    <n v="42"/>
    <n v="42"/>
    <n v="20.7"/>
    <n v="42"/>
    <n v="0"/>
    <n v="0"/>
    <n v="0"/>
    <n v="0"/>
    <n v="0"/>
    <n v="0"/>
    <n v="0"/>
    <n v="0"/>
    <n v="0"/>
    <n v="0"/>
    <n v="21.3"/>
    <n v="0"/>
    <n v="0"/>
    <n v="0"/>
    <n v="0"/>
    <n v="0"/>
    <n v="0"/>
    <n v="0"/>
    <n v="0"/>
    <n v="21.3"/>
    <n v="21.3"/>
    <n v="0"/>
    <n v="21.3"/>
    <m/>
    <m/>
    <m/>
    <m/>
    <m/>
    <m/>
    <m/>
    <m/>
    <m/>
    <m/>
    <m/>
    <m/>
    <m/>
    <m/>
    <m/>
    <m/>
    <m/>
    <m/>
    <m/>
    <m/>
    <m/>
    <m/>
    <m/>
    <m/>
    <m/>
    <m/>
    <m/>
    <m/>
    <m/>
    <m/>
    <m/>
    <m/>
    <m/>
    <m/>
    <m/>
    <m/>
    <m/>
    <m/>
    <m/>
    <m/>
    <m/>
    <m/>
    <m/>
    <m/>
    <m/>
    <m/>
    <m/>
    <m/>
    <m/>
  </r>
  <r>
    <n v="742"/>
    <d v="2025-04-10T00:00:00"/>
    <s v="ZBTO"/>
    <n v="9518683200"/>
    <n v="6"/>
    <s v="9518683200-6"/>
    <s v="No Priority"/>
    <x v="0"/>
    <s v="Yes"/>
    <x v="1"/>
    <x v="2"/>
    <n v="2000"/>
    <m/>
    <x v="0"/>
    <m/>
    <m/>
    <s v="Andhra Pradesh"/>
    <s v="South"/>
    <m/>
    <m/>
    <n v="946077"/>
    <x v="8"/>
    <n v="3239566"/>
    <s v="CRCA SHEET TATCRC SR16 0.450X1000X2440"/>
    <s v=""/>
    <m/>
    <m/>
    <m/>
    <m/>
    <s v="C06"/>
    <s v="TATCRC"/>
    <s v="SR16"/>
    <n v="0.45"/>
    <n v="1000"/>
    <n v="2440"/>
    <n v="45"/>
    <n v="0"/>
    <n v="45"/>
    <n v="45"/>
    <n v="45"/>
    <n v="45"/>
    <n v="0"/>
    <n v="0"/>
    <n v="0"/>
    <n v="0"/>
    <n v="0"/>
    <n v="0"/>
    <n v="0"/>
    <n v="0"/>
    <n v="0"/>
    <n v="0"/>
    <n v="0"/>
    <n v="0"/>
    <n v="0"/>
    <n v="0"/>
    <n v="0"/>
    <n v="0"/>
    <n v="0"/>
    <n v="0"/>
    <n v="0"/>
    <n v="0"/>
    <n v="0"/>
    <n v="0"/>
    <n v="0"/>
    <m/>
    <m/>
    <m/>
    <m/>
    <m/>
    <m/>
    <m/>
    <m/>
    <m/>
    <m/>
    <m/>
    <m/>
    <m/>
    <m/>
    <m/>
    <m/>
    <m/>
    <m/>
    <m/>
    <m/>
    <m/>
    <m/>
    <m/>
    <m/>
    <m/>
    <m/>
    <m/>
    <m/>
    <m/>
    <m/>
    <m/>
    <m/>
    <m/>
    <m/>
    <m/>
    <m/>
    <m/>
    <m/>
    <m/>
    <m/>
    <m/>
    <m/>
    <m/>
    <m/>
    <m/>
    <m/>
    <m/>
    <m/>
    <m/>
  </r>
  <r>
    <n v="742"/>
    <d v="2025-04-10T00:00:00"/>
    <s v="ZBTO"/>
    <n v="9518683200"/>
    <n v="7"/>
    <s v="9518683200-7"/>
    <s v="May'25"/>
    <x v="0"/>
    <s v="Yes"/>
    <x v="1"/>
    <x v="2"/>
    <n v="2000"/>
    <m/>
    <x v="1"/>
    <m/>
    <m/>
    <s v="Andhra Pradesh"/>
    <s v="South"/>
    <m/>
    <m/>
    <n v="946077"/>
    <x v="8"/>
    <n v="3240759"/>
    <s v="CRCA SHEET TSBCRC SR15 0.500X1000X2440"/>
    <s v=""/>
    <m/>
    <m/>
    <m/>
    <m/>
    <s v="C06"/>
    <s v="TSBCRC"/>
    <s v="SR15"/>
    <n v="0.5"/>
    <n v="1000"/>
    <n v="2440"/>
    <n v="45"/>
    <n v="0"/>
    <n v="45"/>
    <n v="45"/>
    <n v="0.54999999999999716"/>
    <n v="45"/>
    <n v="0"/>
    <n v="0"/>
    <n v="0"/>
    <n v="0"/>
    <n v="0"/>
    <n v="0"/>
    <n v="0"/>
    <n v="0"/>
    <n v="0"/>
    <n v="0"/>
    <n v="0"/>
    <n v="0"/>
    <n v="0"/>
    <n v="44.45"/>
    <n v="0"/>
    <n v="0"/>
    <n v="0"/>
    <n v="0"/>
    <n v="0"/>
    <n v="44.45"/>
    <n v="44.45"/>
    <n v="0"/>
    <n v="44.45"/>
    <m/>
    <m/>
    <m/>
    <m/>
    <m/>
    <m/>
    <m/>
    <m/>
    <m/>
    <m/>
    <m/>
    <m/>
    <m/>
    <m/>
    <m/>
    <m/>
    <m/>
    <m/>
    <m/>
    <m/>
    <m/>
    <m/>
    <m/>
    <m/>
    <m/>
    <m/>
    <m/>
    <m/>
    <m/>
    <m/>
    <m/>
    <m/>
    <m/>
    <m/>
    <m/>
    <m/>
    <m/>
    <m/>
    <m/>
    <m/>
    <m/>
    <m/>
    <m/>
    <m/>
    <m/>
    <m/>
    <m/>
    <m/>
    <m/>
  </r>
  <r>
    <n v="742"/>
    <d v="2025-04-10T00:00:00"/>
    <s v="ZBTO"/>
    <n v="9518683200"/>
    <n v="8"/>
    <s v="9518683200-8"/>
    <s v="May'25"/>
    <x v="0"/>
    <s v="Yes"/>
    <x v="1"/>
    <x v="2"/>
    <n v="2000"/>
    <m/>
    <x v="1"/>
    <m/>
    <m/>
    <s v="Andhra Pradesh"/>
    <s v="South"/>
    <m/>
    <m/>
    <n v="946077"/>
    <x v="8"/>
    <n v="3240765"/>
    <s v="CRCA SHEET TSBCRC SR15 0.500X1250X2500"/>
    <s v=""/>
    <m/>
    <m/>
    <m/>
    <m/>
    <s v="C06"/>
    <s v="TSBCRC"/>
    <s v="SR15"/>
    <n v="0.5"/>
    <n v="1250"/>
    <n v="0"/>
    <n v="30"/>
    <n v="0"/>
    <n v="30"/>
    <n v="30"/>
    <n v="3.0450000000000017"/>
    <n v="30"/>
    <n v="0"/>
    <n v="0"/>
    <n v="0"/>
    <n v="0"/>
    <n v="0"/>
    <n v="0"/>
    <n v="0"/>
    <n v="0"/>
    <n v="26.954999999999998"/>
    <n v="0"/>
    <n v="0"/>
    <n v="0"/>
    <n v="0"/>
    <n v="0"/>
    <n v="0"/>
    <n v="0"/>
    <n v="0"/>
    <n v="0"/>
    <n v="0"/>
    <n v="26.954999999999998"/>
    <n v="26.954999999999998"/>
    <n v="0"/>
    <n v="26.954999999999998"/>
    <m/>
    <m/>
    <m/>
    <m/>
    <m/>
    <m/>
    <m/>
    <m/>
    <m/>
    <m/>
    <m/>
    <m/>
    <m/>
    <m/>
    <m/>
    <m/>
    <m/>
    <m/>
    <m/>
    <m/>
    <m/>
    <m/>
    <m/>
    <m/>
    <m/>
    <m/>
    <m/>
    <m/>
    <m/>
    <m/>
    <m/>
    <m/>
    <m/>
    <m/>
    <m/>
    <m/>
    <m/>
    <m/>
    <m/>
    <m/>
    <m/>
    <m/>
    <m/>
    <m/>
    <m/>
    <m/>
    <m/>
    <m/>
    <m/>
  </r>
  <r>
    <n v="742"/>
    <d v="2025-04-10T00:00:00"/>
    <s v="ZBTO"/>
    <n v="9518683200"/>
    <n v="12"/>
    <s v="9518683200-12"/>
    <s v="May'25"/>
    <x v="0"/>
    <s v="Yes"/>
    <x v="1"/>
    <x v="2"/>
    <n v="2000"/>
    <m/>
    <x v="1"/>
    <m/>
    <m/>
    <s v="Andhra Pradesh"/>
    <s v="South"/>
    <m/>
    <m/>
    <n v="946077"/>
    <x v="8"/>
    <n v="3410101"/>
    <s v="CRCA SHEET TSBCRC SR15 0.750X1000X2500"/>
    <s v=""/>
    <m/>
    <m/>
    <m/>
    <m/>
    <s v="C06"/>
    <s v="TSBCRC"/>
    <s v="SR15"/>
    <n v="0.75"/>
    <n v="1000"/>
    <n v="2500"/>
    <n v="24"/>
    <n v="0"/>
    <n v="24"/>
    <n v="24"/>
    <n v="1.6600000000000001"/>
    <n v="24"/>
    <n v="0"/>
    <n v="0"/>
    <n v="0"/>
    <n v="0"/>
    <n v="0"/>
    <n v="0"/>
    <n v="0"/>
    <n v="0"/>
    <n v="0"/>
    <n v="0"/>
    <n v="0"/>
    <n v="0"/>
    <n v="0"/>
    <n v="22.34"/>
    <n v="0"/>
    <n v="0"/>
    <n v="0"/>
    <n v="0"/>
    <n v="0"/>
    <n v="22.34"/>
    <n v="22.34"/>
    <n v="0"/>
    <n v="22.34"/>
    <m/>
    <m/>
    <m/>
    <m/>
    <m/>
    <m/>
    <m/>
    <m/>
    <m/>
    <m/>
    <m/>
    <m/>
    <m/>
    <m/>
    <m/>
    <m/>
    <m/>
    <m/>
    <m/>
    <m/>
    <m/>
    <m/>
    <m/>
    <m/>
    <m/>
    <m/>
    <m/>
    <m/>
    <m/>
    <m/>
    <m/>
    <m/>
    <m/>
    <m/>
    <m/>
    <m/>
    <m/>
    <m/>
    <m/>
    <m/>
    <m/>
    <m/>
    <m/>
    <m/>
    <m/>
    <m/>
    <m/>
    <m/>
    <m/>
  </r>
  <r>
    <n v="742"/>
    <d v="2025-04-10T00:00:00"/>
    <s v="ZBTO"/>
    <n v="9518683200"/>
    <n v="14"/>
    <s v="9518683200-14"/>
    <s v="No Priority"/>
    <x v="0"/>
    <m/>
    <x v="1"/>
    <x v="1"/>
    <n v="2000"/>
    <m/>
    <x v="0"/>
    <m/>
    <m/>
    <s v="Andhra Pradesh"/>
    <s v="South"/>
    <m/>
    <m/>
    <n v="946077"/>
    <x v="8"/>
    <n v="353957"/>
    <s v="CRCA SHEET TATXXD AU03 0.80X1250X2500"/>
    <s v=""/>
    <m/>
    <m/>
    <m/>
    <m/>
    <s v="C06"/>
    <s v="TATXXD"/>
    <s v="AU03"/>
    <n v="0.8"/>
    <n v="1250"/>
    <n v="2500"/>
    <n v="30"/>
    <n v="0"/>
    <n v="30"/>
    <n v="30"/>
    <n v="30"/>
    <n v="30"/>
    <n v="0"/>
    <n v="0"/>
    <n v="0"/>
    <n v="0"/>
    <n v="0"/>
    <n v="0"/>
    <n v="0"/>
    <n v="0"/>
    <n v="0"/>
    <n v="0"/>
    <n v="0"/>
    <n v="0"/>
    <n v="0"/>
    <n v="0"/>
    <n v="0"/>
    <n v="0"/>
    <n v="0"/>
    <n v="0"/>
    <n v="0"/>
    <n v="0"/>
    <n v="0"/>
    <n v="0"/>
    <n v="0"/>
    <m/>
    <m/>
    <m/>
    <m/>
    <m/>
    <m/>
    <m/>
    <m/>
    <m/>
    <m/>
    <m/>
    <m/>
    <m/>
    <m/>
    <m/>
    <m/>
    <m/>
    <m/>
    <m/>
    <m/>
    <m/>
    <m/>
    <m/>
    <m/>
    <m/>
    <m/>
    <m/>
    <m/>
    <m/>
    <m/>
    <m/>
    <m/>
    <m/>
    <m/>
    <m/>
    <m/>
    <m/>
    <m/>
    <m/>
    <m/>
    <m/>
    <m/>
    <m/>
    <m/>
    <m/>
    <m/>
    <m/>
    <m/>
    <m/>
  </r>
  <r>
    <n v="742"/>
    <d v="2025-04-10T00:00:00"/>
    <s v="ZBTO"/>
    <n v="9518683200"/>
    <n v="15"/>
    <s v="9518683200-15"/>
    <s v="May'25"/>
    <x v="0"/>
    <m/>
    <x v="1"/>
    <x v="2"/>
    <n v="2000"/>
    <m/>
    <x v="1"/>
    <m/>
    <m/>
    <s v="Andhra Pradesh"/>
    <s v="South"/>
    <m/>
    <m/>
    <n v="946077"/>
    <x v="8"/>
    <n v="3410102"/>
    <s v="CRCA SHEET TSBCRC SR15 0.950X1000X2500"/>
    <s v=""/>
    <m/>
    <m/>
    <m/>
    <m/>
    <s v="C06"/>
    <s v="TSBCRC"/>
    <s v="SR15"/>
    <n v="0.95"/>
    <n v="1000"/>
    <n v="2500"/>
    <n v="24"/>
    <n v="0"/>
    <n v="24"/>
    <n v="24"/>
    <n v="1.509999999999998"/>
    <n v="24"/>
    <n v="0"/>
    <n v="0"/>
    <n v="0"/>
    <n v="0"/>
    <n v="0"/>
    <n v="0"/>
    <n v="0"/>
    <n v="0"/>
    <n v="0"/>
    <n v="0"/>
    <n v="0"/>
    <n v="0"/>
    <n v="22.490000000000002"/>
    <n v="0"/>
    <n v="0"/>
    <n v="0"/>
    <n v="0"/>
    <n v="0"/>
    <n v="0"/>
    <n v="22.490000000000002"/>
    <n v="22.490000000000002"/>
    <n v="0"/>
    <n v="22.490000000000002"/>
    <m/>
    <m/>
    <m/>
    <m/>
    <m/>
    <m/>
    <m/>
    <m/>
    <m/>
    <m/>
    <m/>
    <m/>
    <m/>
    <m/>
    <m/>
    <m/>
    <m/>
    <m/>
    <m/>
    <m/>
    <m/>
    <m/>
    <m/>
    <m/>
    <m/>
    <m/>
    <m/>
    <m/>
    <m/>
    <m/>
    <m/>
    <m/>
    <m/>
    <m/>
    <m/>
    <m/>
    <m/>
    <m/>
    <m/>
    <m/>
    <m/>
    <m/>
    <m/>
    <m/>
    <m/>
    <m/>
    <m/>
    <m/>
    <m/>
  </r>
  <r>
    <n v="742"/>
    <d v="2025-04-10T00:00:00"/>
    <s v="ZBTO"/>
    <n v="9518683200"/>
    <n v="16"/>
    <s v="9518683200-16"/>
    <s v="No Priority"/>
    <x v="0"/>
    <m/>
    <x v="1"/>
    <x v="1"/>
    <n v="2000"/>
    <m/>
    <x v="0"/>
    <m/>
    <m/>
    <s v="Andhra Pradesh"/>
    <s v="South"/>
    <m/>
    <m/>
    <n v="946077"/>
    <x v="8"/>
    <n v="1406015"/>
    <s v="CRCA SHEET TATXXD AU03 0.950X1250X2500"/>
    <s v=""/>
    <m/>
    <m/>
    <m/>
    <m/>
    <s v="C06"/>
    <s v="TATXXD"/>
    <s v="AU03"/>
    <n v="0.95"/>
    <n v="1250"/>
    <n v="2500"/>
    <n v="30"/>
    <n v="0"/>
    <n v="30"/>
    <n v="30"/>
    <n v="30"/>
    <n v="30"/>
    <n v="0"/>
    <n v="0"/>
    <n v="0"/>
    <n v="0"/>
    <n v="0"/>
    <n v="0"/>
    <n v="0"/>
    <n v="0"/>
    <n v="0"/>
    <n v="0"/>
    <n v="0"/>
    <n v="0"/>
    <n v="0"/>
    <n v="0"/>
    <n v="0"/>
    <n v="0"/>
    <n v="0"/>
    <n v="0"/>
    <n v="0"/>
    <n v="0"/>
    <n v="0"/>
    <n v="0"/>
    <n v="0"/>
    <m/>
    <m/>
    <m/>
    <m/>
    <m/>
    <m/>
    <m/>
    <m/>
    <m/>
    <m/>
    <m/>
    <m/>
    <m/>
    <m/>
    <m/>
    <m/>
    <m/>
    <m/>
    <m/>
    <m/>
    <m/>
    <m/>
    <m/>
    <m/>
    <m/>
    <m/>
    <m/>
    <m/>
    <m/>
    <m/>
    <m/>
    <m/>
    <m/>
    <m/>
    <m/>
    <m/>
    <m/>
    <m/>
    <m/>
    <m/>
    <m/>
    <m/>
    <m/>
    <m/>
    <m/>
    <m/>
    <m/>
    <m/>
    <m/>
  </r>
  <r>
    <n v="742"/>
    <d v="2025-04-10T00:00:00"/>
    <s v="ZBTO"/>
    <n v="9518683200"/>
    <n v="18"/>
    <s v="9518683200-18"/>
    <s v="No Priority"/>
    <x v="0"/>
    <m/>
    <x v="1"/>
    <x v="1"/>
    <n v="2000"/>
    <m/>
    <x v="0"/>
    <m/>
    <m/>
    <s v="Andhra Pradesh"/>
    <s v="South"/>
    <m/>
    <m/>
    <n v="946077"/>
    <x v="8"/>
    <n v="194544"/>
    <s v="CRSHEET TATXXD AU03 1.50X1250X2500"/>
    <s v=""/>
    <m/>
    <m/>
    <m/>
    <m/>
    <s v="C06"/>
    <s v="TATXXD"/>
    <s v="AU03"/>
    <n v="1.5"/>
    <n v="1250"/>
    <n v="2500"/>
    <n v="30"/>
    <n v="0"/>
    <n v="30"/>
    <n v="30"/>
    <n v="30"/>
    <n v="30"/>
    <n v="0"/>
    <n v="0"/>
    <n v="0"/>
    <n v="0"/>
    <n v="0"/>
    <n v="0"/>
    <n v="0"/>
    <n v="0"/>
    <n v="0"/>
    <n v="0"/>
    <n v="0"/>
    <n v="0"/>
    <n v="0"/>
    <n v="0"/>
    <n v="0"/>
    <n v="0"/>
    <n v="0"/>
    <n v="0"/>
    <n v="0"/>
    <n v="0"/>
    <n v="0"/>
    <n v="0"/>
    <n v="0"/>
    <m/>
    <m/>
    <m/>
    <m/>
    <m/>
    <m/>
    <m/>
    <m/>
    <m/>
    <m/>
    <m/>
    <m/>
    <m/>
    <m/>
    <m/>
    <m/>
    <m/>
    <m/>
    <m/>
    <m/>
    <m/>
    <m/>
    <m/>
    <m/>
    <m/>
    <m/>
    <m/>
    <m/>
    <m/>
    <m/>
    <m/>
    <m/>
    <m/>
    <m/>
    <m/>
    <m/>
    <m/>
    <m/>
    <m/>
    <m/>
    <m/>
    <m/>
    <m/>
    <m/>
    <m/>
    <m/>
    <m/>
    <m/>
    <m/>
  </r>
  <r>
    <n v="742"/>
    <d v="2025-04-10T00:00:00"/>
    <s v="ZBTO"/>
    <n v="9518683200"/>
    <n v="20"/>
    <s v="9518683200-20"/>
    <s v="No Priority"/>
    <x v="0"/>
    <m/>
    <x v="1"/>
    <x v="1"/>
    <n v="2000"/>
    <m/>
    <x v="0"/>
    <m/>
    <m/>
    <s v="Andhra Pradesh"/>
    <s v="South"/>
    <m/>
    <m/>
    <n v="946077"/>
    <x v="8"/>
    <n v="274376"/>
    <s v="CRSHEET C06TATXXD AU03 2.0X1250X2500"/>
    <s v=""/>
    <m/>
    <m/>
    <m/>
    <m/>
    <s v="C06"/>
    <s v="TATXXD"/>
    <s v="AU03"/>
    <n v="2"/>
    <n v="1250"/>
    <n v="2500"/>
    <n v="60"/>
    <n v="0"/>
    <n v="60"/>
    <n v="60"/>
    <n v="60"/>
    <n v="60"/>
    <n v="0"/>
    <n v="0"/>
    <n v="0"/>
    <n v="0"/>
    <n v="0"/>
    <n v="0"/>
    <n v="0"/>
    <n v="0"/>
    <n v="0"/>
    <n v="0"/>
    <n v="0"/>
    <n v="0"/>
    <n v="0"/>
    <n v="0"/>
    <n v="0"/>
    <n v="0"/>
    <n v="0"/>
    <n v="0"/>
    <n v="0"/>
    <n v="0"/>
    <n v="0"/>
    <n v="0"/>
    <n v="0"/>
    <m/>
    <m/>
    <m/>
    <m/>
    <m/>
    <m/>
    <m/>
    <m/>
    <m/>
    <m/>
    <m/>
    <m/>
    <m/>
    <m/>
    <m/>
    <m/>
    <m/>
    <m/>
    <m/>
    <m/>
    <m/>
    <m/>
    <m/>
    <m/>
    <m/>
    <m/>
    <m/>
    <m/>
    <m/>
    <m/>
    <m/>
    <m/>
    <m/>
    <m/>
    <m/>
    <m/>
    <m/>
    <m/>
    <m/>
    <m/>
    <m/>
    <m/>
    <m/>
    <m/>
    <m/>
    <m/>
    <m/>
    <m/>
    <m/>
  </r>
  <r>
    <n v="742"/>
    <d v="2025-04-10T00:00:00"/>
    <s v="ZBTO"/>
    <n v="9518683208"/>
    <n v="2"/>
    <s v="9518683208-2"/>
    <s v="No Priority"/>
    <x v="1"/>
    <m/>
    <x v="1"/>
    <x v="1"/>
    <n v="2000"/>
    <m/>
    <x v="0"/>
    <m/>
    <m/>
    <s v="Andhra Pradesh"/>
    <s v="South"/>
    <m/>
    <m/>
    <n v="946077"/>
    <x v="8"/>
    <n v="1804912"/>
    <s v="CRCA COIL-TATCRC-TR15-0.6X900"/>
    <s v=""/>
    <m/>
    <m/>
    <m/>
    <m/>
    <s v="C01"/>
    <s v="TATCRC"/>
    <s v="TR15"/>
    <n v="0.6"/>
    <n v="900"/>
    <n v="0"/>
    <n v="21"/>
    <n v="0"/>
    <n v="21"/>
    <n v="21"/>
    <n v="21"/>
    <n v="21"/>
    <n v="0"/>
    <n v="0"/>
    <n v="0"/>
    <n v="0"/>
    <n v="0"/>
    <n v="0"/>
    <n v="0"/>
    <n v="0"/>
    <n v="0"/>
    <n v="0"/>
    <n v="0"/>
    <n v="0"/>
    <n v="0"/>
    <n v="0"/>
    <n v="0"/>
    <n v="0"/>
    <n v="0"/>
    <n v="0"/>
    <n v="0"/>
    <n v="0"/>
    <n v="0"/>
    <n v="0"/>
    <n v="0"/>
    <m/>
    <m/>
    <m/>
    <m/>
    <m/>
    <m/>
    <m/>
    <m/>
    <m/>
    <m/>
    <m/>
    <m/>
    <m/>
    <m/>
    <m/>
    <m/>
    <m/>
    <m/>
    <m/>
    <m/>
    <m/>
    <m/>
    <m/>
    <m/>
    <m/>
    <m/>
    <m/>
    <m/>
    <m/>
    <m/>
    <m/>
    <m/>
    <m/>
    <m/>
    <m/>
    <m/>
    <m/>
    <m/>
    <m/>
    <m/>
    <m/>
    <m/>
    <m/>
    <m/>
    <m/>
    <m/>
    <m/>
    <m/>
    <m/>
  </r>
  <r>
    <n v="742"/>
    <d v="2025-04-10T00:00:00"/>
    <s v="ZBTO"/>
    <n v="9518683208"/>
    <n v="6"/>
    <s v="9518683208-6"/>
    <s v="No Priority"/>
    <x v="0"/>
    <m/>
    <x v="1"/>
    <x v="1"/>
    <n v="2000"/>
    <m/>
    <x v="0"/>
    <m/>
    <m/>
    <s v="Andhra Pradesh"/>
    <s v="South"/>
    <m/>
    <m/>
    <n v="946077"/>
    <x v="8"/>
    <n v="1804867"/>
    <s v="CRCA COIL-TATXXD-AU03-1.6X1250"/>
    <s v=""/>
    <m/>
    <m/>
    <m/>
    <m/>
    <s v="C01"/>
    <s v="TATXXD"/>
    <s v="AU03"/>
    <n v="1.6"/>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5T00:00:00"/>
    <s v="ZBTO"/>
    <n v="9518694980"/>
    <n v="1"/>
    <s v="9518694980-1"/>
    <s v="No Priority"/>
    <x v="1"/>
    <m/>
    <x v="5"/>
    <x v="0"/>
    <n v="2200"/>
    <m/>
    <x v="0"/>
    <m/>
    <m/>
    <s v="Maharashtra"/>
    <s v="West"/>
    <m/>
    <m/>
    <n v="120612"/>
    <x v="37"/>
    <n v="3924669"/>
    <s v="CR COIL TATFHC RE02 0.350X1220"/>
    <s v=""/>
    <m/>
    <m/>
    <m/>
    <m/>
    <s v="C09"/>
    <s v="TATFHC"/>
    <s v="RE02"/>
    <n v="0.35"/>
    <n v="1220"/>
    <n v="0"/>
    <n v="196"/>
    <n v="0"/>
    <n v="196"/>
    <n v="196"/>
    <n v="196"/>
    <n v="196"/>
    <n v="0"/>
    <n v="0"/>
    <n v="0"/>
    <n v="0"/>
    <n v="0"/>
    <n v="0"/>
    <n v="0"/>
    <n v="0"/>
    <n v="0"/>
    <n v="0"/>
    <n v="0"/>
    <n v="0"/>
    <n v="0"/>
    <n v="0"/>
    <n v="0"/>
    <n v="0"/>
    <n v="0"/>
    <n v="0"/>
    <n v="0"/>
    <n v="0"/>
    <n v="0"/>
    <n v="0"/>
    <n v="0"/>
    <m/>
    <m/>
    <m/>
    <m/>
    <m/>
    <m/>
    <m/>
    <m/>
    <m/>
    <m/>
    <m/>
    <m/>
    <m/>
    <m/>
    <m/>
    <m/>
    <m/>
    <m/>
    <m/>
    <m/>
    <m/>
    <m/>
    <m/>
    <m/>
    <m/>
    <m/>
    <m/>
    <m/>
    <m/>
    <m/>
    <m/>
    <m/>
    <m/>
    <m/>
    <m/>
    <m/>
    <m/>
    <m/>
    <m/>
    <m/>
    <m/>
    <m/>
    <m/>
    <m/>
    <m/>
    <m/>
    <m/>
    <m/>
    <m/>
  </r>
  <r>
    <n v="742"/>
    <d v="2025-03-24T00:00:00"/>
    <s v="ZBTO"/>
    <n v="9518628976"/>
    <n v="5"/>
    <s v="9518628976-5"/>
    <s v="No Priority"/>
    <x v="0"/>
    <m/>
    <x v="1"/>
    <x v="1"/>
    <n v="2000"/>
    <m/>
    <x v="0"/>
    <m/>
    <m/>
    <s v="Tamil Nadu"/>
    <s v="South"/>
    <m/>
    <m/>
    <n v="116465"/>
    <x v="13"/>
    <n v="353958"/>
    <s v="CRCA SHEET TATXXD AU03 0.90X1250X2500"/>
    <s v=""/>
    <m/>
    <m/>
    <m/>
    <m/>
    <s v="C06"/>
    <s v="TATXXD"/>
    <s v="AU03"/>
    <n v="0.9"/>
    <n v="1250"/>
    <n v="0"/>
    <n v="60"/>
    <n v="0"/>
    <n v="60"/>
    <n v="60"/>
    <n v="60"/>
    <n v="60"/>
    <n v="0"/>
    <n v="0"/>
    <n v="0"/>
    <n v="0"/>
    <n v="0"/>
    <n v="0"/>
    <n v="0"/>
    <n v="0"/>
    <n v="0"/>
    <n v="0"/>
    <n v="0"/>
    <n v="0"/>
    <n v="0"/>
    <n v="0"/>
    <n v="0"/>
    <n v="0"/>
    <n v="0"/>
    <n v="0"/>
    <n v="0"/>
    <n v="0"/>
    <n v="0"/>
    <n v="0"/>
    <n v="0"/>
    <m/>
    <m/>
    <m/>
    <m/>
    <m/>
    <m/>
    <m/>
    <m/>
    <m/>
    <m/>
    <m/>
    <m/>
    <m/>
    <m/>
    <m/>
    <m/>
    <m/>
    <m/>
    <m/>
    <m/>
    <m/>
    <m/>
    <m/>
    <m/>
    <m/>
    <m/>
    <m/>
    <m/>
    <m/>
    <m/>
    <m/>
    <m/>
    <m/>
    <m/>
    <m/>
    <m/>
    <m/>
    <m/>
    <m/>
    <m/>
    <m/>
    <m/>
    <m/>
    <m/>
    <m/>
    <m/>
    <m/>
    <m/>
    <m/>
  </r>
  <r>
    <n v="742"/>
    <d v="2025-03-24T00:00:00"/>
    <s v="ZBTO"/>
    <n v="9518628976"/>
    <n v="6"/>
    <s v="9518628976-6"/>
    <s v="No Priority"/>
    <x v="0"/>
    <m/>
    <x v="1"/>
    <x v="1"/>
    <n v="2000"/>
    <m/>
    <x v="0"/>
    <m/>
    <m/>
    <s v="Tamil Nadu"/>
    <s v="South"/>
    <m/>
    <m/>
    <n v="116465"/>
    <x v="13"/>
    <n v="189865"/>
    <s v="CRSHEET TATXXD AU03 1.0X1250X2500"/>
    <s v=""/>
    <m/>
    <m/>
    <m/>
    <m/>
    <s v="C06"/>
    <s v="TATXXD"/>
    <s v="AU03"/>
    <n v="1"/>
    <n v="1250"/>
    <n v="2500"/>
    <n v="60"/>
    <n v="0"/>
    <n v="60"/>
    <n v="60"/>
    <n v="60"/>
    <n v="60"/>
    <n v="0"/>
    <n v="0"/>
    <n v="0"/>
    <n v="0"/>
    <n v="0"/>
    <n v="0"/>
    <n v="0"/>
    <n v="0"/>
    <n v="0"/>
    <n v="0"/>
    <n v="0"/>
    <n v="0"/>
    <n v="0"/>
    <n v="0"/>
    <n v="0"/>
    <n v="0"/>
    <n v="0"/>
    <n v="0"/>
    <n v="0"/>
    <n v="0"/>
    <n v="0"/>
    <n v="0"/>
    <n v="0"/>
    <m/>
    <m/>
    <m/>
    <m/>
    <m/>
    <m/>
    <m/>
    <m/>
    <m/>
    <m/>
    <m/>
    <m/>
    <m/>
    <m/>
    <m/>
    <m/>
    <m/>
    <m/>
    <m/>
    <m/>
    <m/>
    <m/>
    <m/>
    <m/>
    <m/>
    <m/>
    <m/>
    <m/>
    <m/>
    <m/>
    <m/>
    <m/>
    <m/>
    <m/>
    <m/>
    <m/>
    <m/>
    <m/>
    <m/>
    <m/>
    <m/>
    <m/>
    <m/>
    <m/>
    <m/>
    <m/>
    <m/>
    <m/>
    <m/>
  </r>
  <r>
    <n v="742"/>
    <d v="2025-03-24T00:00:00"/>
    <s v="ZBTO"/>
    <n v="9518628976"/>
    <n v="11"/>
    <s v="9518628976-11"/>
    <s v="No Priority"/>
    <x v="0"/>
    <m/>
    <x v="1"/>
    <x v="1"/>
    <n v="2000"/>
    <m/>
    <x v="0"/>
    <m/>
    <m/>
    <s v="Tamil Nadu"/>
    <s v="South"/>
    <m/>
    <m/>
    <n v="116465"/>
    <x v="13"/>
    <n v="325986"/>
    <s v="CRCA SHEET TATXXD AU03 2.5X1250X2500"/>
    <s v=""/>
    <m/>
    <m/>
    <m/>
    <m/>
    <s v="C06"/>
    <s v="TATXXD"/>
    <s v="AU03"/>
    <n v="2.5"/>
    <n v="1250"/>
    <n v="2500"/>
    <n v="60"/>
    <n v="0"/>
    <n v="60"/>
    <n v="60"/>
    <n v="60"/>
    <n v="60"/>
    <n v="0"/>
    <n v="0"/>
    <n v="0"/>
    <n v="0"/>
    <n v="0"/>
    <n v="0"/>
    <n v="0"/>
    <n v="0"/>
    <n v="0"/>
    <n v="0"/>
    <n v="0"/>
    <n v="0"/>
    <n v="0"/>
    <n v="0"/>
    <n v="0"/>
    <n v="0"/>
    <n v="0"/>
    <n v="0"/>
    <n v="0"/>
    <n v="0"/>
    <n v="0"/>
    <n v="0"/>
    <n v="0"/>
    <m/>
    <m/>
    <m/>
    <m/>
    <m/>
    <m/>
    <m/>
    <m/>
    <m/>
    <m/>
    <m/>
    <m/>
    <m/>
    <m/>
    <m/>
    <m/>
    <m/>
    <m/>
    <m/>
    <m/>
    <m/>
    <m/>
    <m/>
    <m/>
    <m/>
    <m/>
    <m/>
    <m/>
    <m/>
    <m/>
    <m/>
    <m/>
    <m/>
    <m/>
    <m/>
    <m/>
    <m/>
    <m/>
    <m/>
    <m/>
    <m/>
    <m/>
    <m/>
    <m/>
    <m/>
    <m/>
    <m/>
    <m/>
    <m/>
  </r>
  <r>
    <n v="742"/>
    <d v="2025-03-28T00:00:00"/>
    <s v="ZBTO"/>
    <n v="9518649438"/>
    <n v="5"/>
    <s v="9518649438-5"/>
    <s v="No Priority"/>
    <x v="0"/>
    <s v="Yes"/>
    <x v="1"/>
    <x v="2"/>
    <n v="2000"/>
    <m/>
    <x v="0"/>
    <m/>
    <m/>
    <s v="Tamil Nadu"/>
    <s v="South"/>
    <m/>
    <m/>
    <n v="116465"/>
    <x v="13"/>
    <n v="3239408"/>
    <s v="CRCA SHEET TATCRC SR16 0.300X900X2500"/>
    <s v=""/>
    <m/>
    <m/>
    <m/>
    <m/>
    <s v="C06"/>
    <s v="TATCRC"/>
    <s v="SR16"/>
    <n v="0.3"/>
    <n v="900"/>
    <n v="2500"/>
    <n v="21"/>
    <n v="0"/>
    <n v="21"/>
    <n v="21"/>
    <n v="21"/>
    <n v="21"/>
    <n v="0"/>
    <n v="0"/>
    <n v="0"/>
    <n v="0"/>
    <n v="0"/>
    <n v="0"/>
    <n v="0"/>
    <n v="0"/>
    <n v="0"/>
    <n v="0"/>
    <n v="0"/>
    <n v="0"/>
    <n v="0"/>
    <n v="0"/>
    <n v="0"/>
    <n v="0"/>
    <n v="0"/>
    <n v="0"/>
    <n v="0"/>
    <n v="0"/>
    <n v="0"/>
    <n v="0"/>
    <n v="0"/>
    <m/>
    <m/>
    <m/>
    <m/>
    <m/>
    <m/>
    <m/>
    <m/>
    <m/>
    <m/>
    <m/>
    <m/>
    <m/>
    <m/>
    <m/>
    <m/>
    <m/>
    <m/>
    <m/>
    <m/>
    <m/>
    <m/>
    <m/>
    <m/>
    <m/>
    <m/>
    <m/>
    <m/>
    <m/>
    <m/>
    <m/>
    <m/>
    <m/>
    <m/>
    <m/>
    <m/>
    <m/>
    <m/>
    <m/>
    <m/>
    <m/>
    <m/>
    <m/>
    <m/>
    <m/>
    <m/>
    <m/>
    <m/>
    <m/>
  </r>
  <r>
    <n v="742"/>
    <d v="2025-03-28T00:00:00"/>
    <s v="ZBTO"/>
    <n v="9518649438"/>
    <n v="7"/>
    <s v="9518649438-7"/>
    <s v="No Priority"/>
    <x v="1"/>
    <s v="Yes"/>
    <x v="1"/>
    <x v="2"/>
    <n v="2000"/>
    <m/>
    <x v="0"/>
    <m/>
    <m/>
    <s v="Tamil Nadu"/>
    <s v="South"/>
    <m/>
    <m/>
    <n v="116465"/>
    <x v="13"/>
    <n v="3239539"/>
    <s v="CRCA SHEET TATCRC SR16 0.350X1000X1980"/>
    <s v=""/>
    <m/>
    <m/>
    <m/>
    <m/>
    <s v="C06"/>
    <s v="TATCRC"/>
    <s v="SR16"/>
    <n v="0.35"/>
    <n v="1000"/>
    <n v="1980"/>
    <n v="21"/>
    <n v="0"/>
    <n v="21"/>
    <n v="21"/>
    <n v="21"/>
    <n v="21"/>
    <n v="0"/>
    <n v="0"/>
    <n v="0"/>
    <n v="0"/>
    <n v="0"/>
    <n v="0"/>
    <n v="0"/>
    <n v="0"/>
    <n v="0"/>
    <n v="0"/>
    <n v="0"/>
    <n v="0"/>
    <n v="0"/>
    <n v="0"/>
    <n v="0"/>
    <n v="0"/>
    <n v="0"/>
    <n v="0"/>
    <n v="0"/>
    <n v="0"/>
    <n v="0"/>
    <n v="0"/>
    <n v="0"/>
    <m/>
    <m/>
    <m/>
    <m/>
    <m/>
    <m/>
    <m/>
    <m/>
    <m/>
    <m/>
    <m/>
    <m/>
    <m/>
    <m/>
    <m/>
    <m/>
    <m/>
    <m/>
    <m/>
    <m/>
    <m/>
    <m/>
    <m/>
    <m/>
    <m/>
    <m/>
    <m/>
    <m/>
    <m/>
    <m/>
    <m/>
    <m/>
    <m/>
    <m/>
    <m/>
    <m/>
    <m/>
    <m/>
    <m/>
    <m/>
    <m/>
    <m/>
    <m/>
    <m/>
    <m/>
    <m/>
    <m/>
    <m/>
    <m/>
  </r>
  <r>
    <n v="742"/>
    <d v="2025-03-28T00:00:00"/>
    <s v="ZBTO"/>
    <n v="9518649438"/>
    <n v="8"/>
    <s v="9518649438-8"/>
    <s v="No Priority"/>
    <x v="0"/>
    <s v="Yes"/>
    <x v="1"/>
    <x v="2"/>
    <n v="2000"/>
    <m/>
    <x v="0"/>
    <m/>
    <m/>
    <s v="Tamil Nadu"/>
    <s v="South"/>
    <m/>
    <m/>
    <n v="116465"/>
    <x v="13"/>
    <n v="3239548"/>
    <s v="CRCA SHEET TATCRC SR16 0.400X900X2500"/>
    <s v=""/>
    <m/>
    <m/>
    <m/>
    <m/>
    <s v="C06"/>
    <s v="TATCRC"/>
    <s v="SR16"/>
    <n v="0.4"/>
    <n v="900"/>
    <n v="2500"/>
    <n v="21"/>
    <n v="0"/>
    <n v="21"/>
    <n v="21"/>
    <n v="21"/>
    <n v="21"/>
    <n v="0"/>
    <n v="0"/>
    <n v="0"/>
    <n v="0"/>
    <n v="0"/>
    <n v="0"/>
    <n v="0"/>
    <n v="0"/>
    <n v="0"/>
    <n v="0"/>
    <n v="0"/>
    <n v="0"/>
    <n v="0"/>
    <n v="0"/>
    <n v="0"/>
    <n v="0"/>
    <n v="0"/>
    <n v="0"/>
    <n v="0"/>
    <n v="0"/>
    <n v="0"/>
    <n v="0"/>
    <n v="0"/>
    <m/>
    <m/>
    <m/>
    <m/>
    <m/>
    <m/>
    <m/>
    <m/>
    <m/>
    <m/>
    <m/>
    <m/>
    <m/>
    <m/>
    <m/>
    <m/>
    <m/>
    <m/>
    <m/>
    <m/>
    <m/>
    <m/>
    <m/>
    <m/>
    <m/>
    <m/>
    <m/>
    <m/>
    <m/>
    <m/>
    <m/>
    <m/>
    <m/>
    <m/>
    <m/>
    <m/>
    <m/>
    <m/>
    <m/>
    <m/>
    <m/>
    <m/>
    <m/>
    <m/>
    <m/>
    <m/>
    <m/>
    <m/>
    <m/>
  </r>
  <r>
    <n v="742"/>
    <d v="2025-03-28T00:00:00"/>
    <s v="ZBTO"/>
    <n v="9518649438"/>
    <n v="9"/>
    <s v="9518649438-9"/>
    <s v="No Priority"/>
    <x v="0"/>
    <s v="Yes"/>
    <x v="1"/>
    <x v="2"/>
    <n v="2000"/>
    <m/>
    <x v="0"/>
    <m/>
    <m/>
    <s v="Tamil Nadu"/>
    <s v="South"/>
    <m/>
    <m/>
    <n v="116465"/>
    <x v="13"/>
    <n v="3239552"/>
    <s v="CRCA SHEET TATCRC SR16 0.400X1000X1980"/>
    <s v=""/>
    <m/>
    <m/>
    <m/>
    <m/>
    <s v="C06"/>
    <s v="TATCRC"/>
    <s v="SR16"/>
    <n v="0.4"/>
    <n v="1000"/>
    <n v="1980"/>
    <n v="21"/>
    <n v="0"/>
    <n v="21"/>
    <n v="21"/>
    <n v="21"/>
    <n v="21"/>
    <n v="0"/>
    <n v="0"/>
    <n v="0"/>
    <n v="0"/>
    <n v="0"/>
    <n v="0"/>
    <n v="0"/>
    <n v="0"/>
    <n v="0"/>
    <n v="0"/>
    <n v="0"/>
    <n v="0"/>
    <n v="0"/>
    <n v="0"/>
    <n v="0"/>
    <n v="0"/>
    <n v="0"/>
    <n v="0"/>
    <n v="0"/>
    <n v="0"/>
    <n v="0"/>
    <n v="0"/>
    <n v="0"/>
    <m/>
    <m/>
    <m/>
    <m/>
    <m/>
    <m/>
    <m/>
    <m/>
    <m/>
    <m/>
    <m/>
    <m/>
    <m/>
    <m/>
    <m/>
    <m/>
    <m/>
    <m/>
    <m/>
    <m/>
    <m/>
    <m/>
    <m/>
    <m/>
    <m/>
    <m/>
    <m/>
    <m/>
    <m/>
    <m/>
    <m/>
    <m/>
    <m/>
    <m/>
    <m/>
    <m/>
    <m/>
    <m/>
    <m/>
    <m/>
    <m/>
    <m/>
    <m/>
    <m/>
    <m/>
    <m/>
    <m/>
    <m/>
    <m/>
  </r>
  <r>
    <n v="742"/>
    <d v="2025-03-28T00:00:00"/>
    <s v="ZBTO"/>
    <n v="9518649438"/>
    <n v="10"/>
    <s v="9518649438-10"/>
    <s v="No Priority"/>
    <x v="0"/>
    <s v="Yes"/>
    <x v="1"/>
    <x v="2"/>
    <n v="2000"/>
    <m/>
    <x v="0"/>
    <m/>
    <m/>
    <s v="Tamil Nadu"/>
    <s v="South"/>
    <m/>
    <m/>
    <n v="116465"/>
    <x v="13"/>
    <n v="3239557"/>
    <s v="CRCA SHEET TATCRC SR16 0.400X1250X2500"/>
    <s v=""/>
    <m/>
    <m/>
    <m/>
    <m/>
    <s v="C06"/>
    <s v="TATCRC"/>
    <s v="SR16"/>
    <n v="0.4"/>
    <n v="1250"/>
    <n v="0"/>
    <n v="30"/>
    <n v="0"/>
    <n v="30"/>
    <n v="30"/>
    <n v="30"/>
    <n v="30"/>
    <n v="0"/>
    <n v="0"/>
    <n v="0"/>
    <n v="0"/>
    <n v="0"/>
    <n v="0"/>
    <n v="0"/>
    <n v="0"/>
    <n v="0"/>
    <n v="0"/>
    <n v="0"/>
    <n v="0"/>
    <n v="0"/>
    <n v="0"/>
    <n v="0"/>
    <n v="0"/>
    <n v="0"/>
    <n v="0"/>
    <n v="0"/>
    <n v="0"/>
    <n v="0"/>
    <n v="0"/>
    <n v="0"/>
    <m/>
    <m/>
    <m/>
    <m/>
    <m/>
    <m/>
    <m/>
    <m/>
    <m/>
    <m/>
    <m/>
    <m/>
    <m/>
    <m/>
    <m/>
    <m/>
    <m/>
    <m/>
    <m/>
    <m/>
    <m/>
    <m/>
    <m/>
    <m/>
    <m/>
    <m/>
    <m/>
    <m/>
    <m/>
    <m/>
    <m/>
    <m/>
    <m/>
    <m/>
    <m/>
    <m/>
    <m/>
    <m/>
    <m/>
    <m/>
    <m/>
    <m/>
    <m/>
    <m/>
    <m/>
    <m/>
    <m/>
    <m/>
    <m/>
  </r>
  <r>
    <n v="742"/>
    <d v="2025-03-28T00:00:00"/>
    <s v="ZBTO"/>
    <n v="9518649521"/>
    <n v="1"/>
    <s v="9518649521-1"/>
    <s v="No Priority"/>
    <x v="1"/>
    <m/>
    <x v="1"/>
    <x v="2"/>
    <n v="2000"/>
    <m/>
    <x v="0"/>
    <m/>
    <m/>
    <s v="Tamil Nadu"/>
    <s v="South"/>
    <m/>
    <m/>
    <n v="116465"/>
    <x v="13"/>
    <n v="3239539"/>
    <s v="CRCA SHEET TATCRC SR16 0.350X1000X1980"/>
    <s v=""/>
    <m/>
    <m/>
    <m/>
    <m/>
    <s v="C06"/>
    <s v="TATCRC"/>
    <s v="SR16"/>
    <n v="0.35"/>
    <n v="1000"/>
    <n v="1980"/>
    <n v="15"/>
    <n v="0"/>
    <n v="15"/>
    <n v="15"/>
    <n v="15"/>
    <n v="15"/>
    <n v="0"/>
    <n v="0"/>
    <n v="0"/>
    <n v="0"/>
    <n v="0"/>
    <n v="0"/>
    <n v="0"/>
    <n v="0"/>
    <n v="0"/>
    <n v="0"/>
    <n v="0"/>
    <n v="0"/>
    <n v="0"/>
    <n v="0"/>
    <n v="0"/>
    <n v="0"/>
    <n v="0"/>
    <n v="0"/>
    <n v="0"/>
    <n v="0"/>
    <n v="0"/>
    <n v="0"/>
    <n v="0"/>
    <m/>
    <m/>
    <m/>
    <m/>
    <m/>
    <m/>
    <m/>
    <m/>
    <m/>
    <m/>
    <m/>
    <m/>
    <m/>
    <m/>
    <m/>
    <m/>
    <m/>
    <m/>
    <m/>
    <m/>
    <m/>
    <m/>
    <m/>
    <m/>
    <m/>
    <m/>
    <m/>
    <m/>
    <m/>
    <m/>
    <m/>
    <m/>
    <m/>
    <m/>
    <m/>
    <m/>
    <m/>
    <m/>
    <m/>
    <m/>
    <m/>
    <m/>
    <m/>
    <m/>
    <m/>
    <m/>
    <m/>
    <m/>
    <m/>
  </r>
  <r>
    <n v="742"/>
    <d v="2025-03-28T00:00:00"/>
    <s v="ZBTO"/>
    <n v="9518649521"/>
    <n v="2"/>
    <s v="9518649521-2"/>
    <s v="No Priority"/>
    <x v="1"/>
    <m/>
    <x v="1"/>
    <x v="2"/>
    <n v="2000"/>
    <m/>
    <x v="0"/>
    <m/>
    <m/>
    <s v="Tamil Nadu"/>
    <s v="South"/>
    <m/>
    <m/>
    <n v="116465"/>
    <x v="13"/>
    <n v="3239557"/>
    <s v="CRCA SHEET TATCRC SR16 0.400X1250X2500"/>
    <s v=""/>
    <m/>
    <m/>
    <m/>
    <m/>
    <s v="C06"/>
    <s v="TATCRC"/>
    <s v="SR16"/>
    <n v="0.4"/>
    <n v="1250"/>
    <n v="0"/>
    <n v="24"/>
    <n v="0"/>
    <n v="24"/>
    <n v="24"/>
    <n v="24"/>
    <n v="24"/>
    <n v="0"/>
    <n v="0"/>
    <n v="0"/>
    <n v="0"/>
    <n v="0"/>
    <n v="0"/>
    <n v="0"/>
    <n v="0"/>
    <n v="0"/>
    <n v="0"/>
    <n v="0"/>
    <n v="0"/>
    <n v="0"/>
    <n v="0"/>
    <n v="0"/>
    <n v="0"/>
    <n v="0"/>
    <n v="0"/>
    <n v="0"/>
    <n v="0"/>
    <n v="0"/>
    <n v="0"/>
    <n v="0"/>
    <m/>
    <m/>
    <m/>
    <m/>
    <m/>
    <m/>
    <m/>
    <m/>
    <m/>
    <m/>
    <m/>
    <m/>
    <m/>
    <m/>
    <m/>
    <m/>
    <m/>
    <m/>
    <m/>
    <m/>
    <m/>
    <m/>
    <m/>
    <m/>
    <m/>
    <m/>
    <m/>
    <m/>
    <m/>
    <m/>
    <m/>
    <m/>
    <m/>
    <m/>
    <m/>
    <m/>
    <m/>
    <m/>
    <m/>
    <m/>
    <m/>
    <m/>
    <m/>
    <m/>
    <m/>
    <m/>
    <m/>
    <m/>
    <m/>
  </r>
  <r>
    <n v="743"/>
    <d v="2025-03-19T00:00:00"/>
    <s v="ZBTO"/>
    <n v="9518613800"/>
    <n v="2"/>
    <s v="9518613800-2"/>
    <s v="May'25"/>
    <x v="0"/>
    <m/>
    <x v="4"/>
    <x v="3"/>
    <n v="1000"/>
    <m/>
    <x v="1"/>
    <m/>
    <m/>
    <s v="Jharkhand"/>
    <s v="TBSPL"/>
    <m/>
    <m/>
    <n v="942283"/>
    <x v="39"/>
    <n v="2193752"/>
    <s v="GL C YS550 H6GL 0.75BMT(0.80TCT)X1220"/>
    <n v="150"/>
    <m/>
    <m/>
    <m/>
    <m/>
    <s v="B04"/>
    <s v="Y550GL"/>
    <s v="H6GL"/>
    <n v="0.75"/>
    <n v="1220"/>
    <n v="0"/>
    <n v="28"/>
    <n v="0"/>
    <n v="28"/>
    <n v="28"/>
    <n v="-0.40000000000000213"/>
    <n v="28"/>
    <n v="0"/>
    <n v="0"/>
    <n v="0"/>
    <n v="0"/>
    <n v="0"/>
    <n v="14.135000000000002"/>
    <n v="0"/>
    <n v="0"/>
    <n v="0"/>
    <n v="0"/>
    <n v="0"/>
    <n v="0"/>
    <n v="0"/>
    <n v="0"/>
    <n v="0"/>
    <n v="14.265000000000001"/>
    <n v="0"/>
    <n v="0"/>
    <n v="0"/>
    <n v="28.400000000000002"/>
    <n v="28.400000000000002"/>
    <n v="0"/>
    <n v="28.400000000000002"/>
    <m/>
    <m/>
    <m/>
    <m/>
    <m/>
    <m/>
    <m/>
    <m/>
    <m/>
    <m/>
    <m/>
    <m/>
    <m/>
    <m/>
    <m/>
    <m/>
    <m/>
    <m/>
    <m/>
    <m/>
    <m/>
    <m/>
    <m/>
    <m/>
    <m/>
    <m/>
    <m/>
    <m/>
    <m/>
    <m/>
    <m/>
    <m/>
    <m/>
    <m/>
    <m/>
    <m/>
    <m/>
    <m/>
    <m/>
    <m/>
    <m/>
    <m/>
    <m/>
    <m/>
    <m/>
    <m/>
    <m/>
    <m/>
    <m/>
  </r>
  <r>
    <n v="743"/>
    <d v="2025-03-29T00:00:00"/>
    <s v="ZBTO"/>
    <n v="9518652242"/>
    <n v="1"/>
    <s v="9518652242-1"/>
    <s v="May'25"/>
    <x v="0"/>
    <m/>
    <x v="4"/>
    <x v="3"/>
    <n v="1000"/>
    <m/>
    <x v="1"/>
    <m/>
    <m/>
    <s v="Jharkhand"/>
    <s v="TBSPL"/>
    <m/>
    <m/>
    <n v="942284"/>
    <x v="39"/>
    <n v="3931932"/>
    <s v="GL COIL HARD  Y550GL M306 0.350X900"/>
    <n v="70"/>
    <m/>
    <m/>
    <m/>
    <m/>
    <s v="B04"/>
    <s v="Y550GL"/>
    <s v="M306"/>
    <n v="0.3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4-08T00:00:00"/>
    <s v="ZBTO"/>
    <n v="9518677562"/>
    <n v="1"/>
    <s v="9518677562-1"/>
    <s v="May'25"/>
    <x v="0"/>
    <m/>
    <x v="4"/>
    <x v="3"/>
    <n v="1000"/>
    <m/>
    <x v="1"/>
    <m/>
    <m/>
    <s v="Jharkhand"/>
    <s v="TBSPL"/>
    <m/>
    <m/>
    <n v="942283"/>
    <x v="39"/>
    <n v="1882004"/>
    <s v="GL C YS550 H6GL 0.55BMT(0.60TCT)X1220"/>
    <n v="150"/>
    <m/>
    <m/>
    <m/>
    <m/>
    <s v="B04"/>
    <s v="Y550GL"/>
    <s v="H6GL"/>
    <n v="0.55000000000000004"/>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4-08T00:00:00"/>
    <s v="ZBTO"/>
    <n v="9518677562"/>
    <n v="2"/>
    <s v="9518677562-2"/>
    <s v="May'25"/>
    <x v="0"/>
    <s v="Yes"/>
    <x v="4"/>
    <x v="3"/>
    <n v="1000"/>
    <m/>
    <x v="1"/>
    <m/>
    <m/>
    <s v="Jharkhand"/>
    <s v="TBSPL"/>
    <m/>
    <m/>
    <n v="942283"/>
    <x v="39"/>
    <n v="1881969"/>
    <s v="GL C YS550 H6GL 0.45BMT(0.50TCT)X1220"/>
    <n v="150"/>
    <m/>
    <m/>
    <m/>
    <m/>
    <s v="B04"/>
    <s v="Y550GL"/>
    <s v="H6GL"/>
    <n v="0.45"/>
    <n v="1220"/>
    <n v="0"/>
    <n v="280"/>
    <n v="0"/>
    <n v="280"/>
    <n v="280"/>
    <n v="280"/>
    <n v="280"/>
    <n v="0"/>
    <n v="0"/>
    <n v="0"/>
    <n v="0"/>
    <n v="0"/>
    <n v="0"/>
    <n v="0"/>
    <n v="0"/>
    <n v="0"/>
    <n v="0"/>
    <n v="0"/>
    <n v="0"/>
    <n v="0"/>
    <n v="0"/>
    <n v="0"/>
    <n v="0"/>
    <n v="0"/>
    <n v="0"/>
    <n v="0"/>
    <n v="0"/>
    <n v="0"/>
    <n v="0"/>
    <n v="0"/>
    <m/>
    <m/>
    <m/>
    <m/>
    <m/>
    <m/>
    <m/>
    <m/>
    <m/>
    <m/>
    <m/>
    <m/>
    <m/>
    <m/>
    <m/>
    <m/>
    <m/>
    <m/>
    <m/>
    <m/>
    <m/>
    <m/>
    <m/>
    <m/>
    <m/>
    <m/>
    <m/>
    <m/>
    <m/>
    <m/>
    <m/>
    <m/>
    <m/>
    <m/>
    <m/>
    <m/>
    <m/>
    <m/>
    <m/>
    <m/>
    <m/>
    <m/>
    <m/>
    <m/>
    <m/>
    <m/>
    <m/>
    <m/>
    <m/>
  </r>
  <r>
    <n v="743"/>
    <d v="2025-04-08T00:00:00"/>
    <s v="ZBTO"/>
    <n v="9518677562"/>
    <n v="3"/>
    <s v="9518677562-3"/>
    <s v="May'25"/>
    <x v="0"/>
    <s v="Yes"/>
    <x v="4"/>
    <x v="3"/>
    <n v="1000"/>
    <m/>
    <x v="1"/>
    <m/>
    <m/>
    <s v="Jharkhand"/>
    <s v="TBSPL"/>
    <m/>
    <m/>
    <n v="942283"/>
    <x v="39"/>
    <n v="1881969"/>
    <s v="GL C YS550 H6GL 0.45BMT(0.50TCT)X1220"/>
    <n v="150"/>
    <m/>
    <m/>
    <m/>
    <m/>
    <s v="B04"/>
    <s v="Y550GL"/>
    <s v="H6GL"/>
    <n v="0.45"/>
    <n v="1220"/>
    <n v="0"/>
    <n v="28"/>
    <n v="0"/>
    <n v="28"/>
    <n v="28"/>
    <n v="28"/>
    <n v="28"/>
    <n v="0"/>
    <n v="0"/>
    <n v="0"/>
    <n v="0"/>
    <n v="0"/>
    <n v="0"/>
    <n v="0"/>
    <n v="0"/>
    <n v="0"/>
    <n v="0"/>
    <n v="0"/>
    <n v="0"/>
    <n v="0"/>
    <n v="0"/>
    <n v="0"/>
    <n v="0"/>
    <n v="0"/>
    <n v="0"/>
    <n v="0"/>
    <n v="0"/>
    <n v="0"/>
    <n v="0"/>
    <n v="0"/>
    <m/>
    <m/>
    <m/>
    <m/>
    <m/>
    <m/>
    <m/>
    <m/>
    <m/>
    <m/>
    <m/>
    <m/>
    <m/>
    <m/>
    <m/>
    <m/>
    <m/>
    <m/>
    <m/>
    <m/>
    <m/>
    <m/>
    <m/>
    <m/>
    <m/>
    <m/>
    <m/>
    <m/>
    <m/>
    <m/>
    <m/>
    <m/>
    <m/>
    <m/>
    <m/>
    <m/>
    <m/>
    <m/>
    <m/>
    <m/>
    <m/>
    <m/>
    <m/>
    <m/>
    <m/>
    <m/>
    <m/>
    <m/>
    <m/>
  </r>
  <r>
    <n v="743"/>
    <d v="2025-04-10T00:00:00"/>
    <s v="ZBTO"/>
    <n v="9518682605"/>
    <n v="1"/>
    <s v="9518682605-1"/>
    <s v="May'25"/>
    <x v="0"/>
    <s v="Yes"/>
    <x v="4"/>
    <x v="3"/>
    <n v="1000"/>
    <m/>
    <x v="1"/>
    <m/>
    <m/>
    <s v="Jharkhand"/>
    <s v="TBSPL"/>
    <m/>
    <m/>
    <n v="942283"/>
    <x v="39"/>
    <n v="1881969"/>
    <s v="GL C YS550 H6GL 0.45BMT(0.50TCT)X1220"/>
    <n v="150"/>
    <m/>
    <m/>
    <m/>
    <m/>
    <s v="B04"/>
    <s v="Y550GL"/>
    <s v="H6GL"/>
    <n v="0.45"/>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17T00:00:00"/>
    <s v="ZBTO"/>
    <n v="9518699134"/>
    <n v="1"/>
    <s v="9518699134-1"/>
    <s v="May'25"/>
    <x v="0"/>
    <m/>
    <x v="2"/>
    <x v="3"/>
    <n v="1000"/>
    <m/>
    <x v="1"/>
    <m/>
    <m/>
    <s v="Jharkhand"/>
    <s v="TBSPL"/>
    <m/>
    <m/>
    <n v="941597"/>
    <x v="39"/>
    <n v="3902332"/>
    <s v="PPGL C HARD Y550PL D0C9 0.50(TPT)X1220"/>
    <n v="150"/>
    <m/>
    <m/>
    <m/>
    <m/>
    <s v="B18"/>
    <s v="Y550PL"/>
    <s v="D0C9"/>
    <n v="0.5"/>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15T00:00:00"/>
    <s v="ZBTO"/>
    <n v="9518694961"/>
    <n v="2"/>
    <s v="9518694961-2"/>
    <s v="May'25"/>
    <x v="0"/>
    <m/>
    <x v="2"/>
    <x v="3"/>
    <n v="1000"/>
    <m/>
    <x v="1"/>
    <m/>
    <m/>
    <s v="Jharkhand"/>
    <s v="TBSPL"/>
    <m/>
    <m/>
    <n v="940016"/>
    <x v="15"/>
    <n v="3930916"/>
    <s v="PPGL C Y550 ISC6 0.35BMT(0.40TPT)X1220"/>
    <n v="70"/>
    <m/>
    <m/>
    <m/>
    <m/>
    <s v="B18"/>
    <s v="Y550PL"/>
    <s v="ISC6"/>
    <n v="0.35"/>
    <n v="1220"/>
    <n v="0"/>
    <n v="56"/>
    <n v="0"/>
    <n v="56"/>
    <n v="56"/>
    <n v="56"/>
    <n v="56"/>
    <n v="0"/>
    <n v="0"/>
    <n v="0"/>
    <n v="0"/>
    <n v="0"/>
    <n v="0"/>
    <n v="0"/>
    <n v="0"/>
    <n v="0"/>
    <n v="0"/>
    <n v="0"/>
    <n v="0"/>
    <n v="0"/>
    <n v="0"/>
    <n v="0"/>
    <n v="0"/>
    <n v="0"/>
    <n v="0"/>
    <n v="0"/>
    <n v="0"/>
    <n v="0"/>
    <n v="0"/>
    <n v="0"/>
    <m/>
    <m/>
    <m/>
    <m/>
    <m/>
    <m/>
    <m/>
    <m/>
    <m/>
    <m/>
    <m/>
    <m/>
    <m/>
    <m/>
    <m/>
    <m/>
    <m/>
    <m/>
    <m/>
    <m/>
    <m/>
    <m/>
    <m/>
    <m/>
    <m/>
    <m/>
    <m/>
    <m/>
    <m/>
    <m/>
    <m/>
    <m/>
    <m/>
    <m/>
    <m/>
    <m/>
    <m/>
    <m/>
    <m/>
    <m/>
    <m/>
    <m/>
    <m/>
    <m/>
    <m/>
    <m/>
    <m/>
    <m/>
    <m/>
  </r>
  <r>
    <n v="4210"/>
    <d v="2025-03-26T00:00:00"/>
    <s v="ZBTF"/>
    <n v="9518635433"/>
    <n v="2"/>
    <s v="9518635433-2"/>
    <s v="No Priority"/>
    <x v="0"/>
    <m/>
    <x v="1"/>
    <x v="10"/>
    <n v="1000"/>
    <m/>
    <x v="0"/>
    <m/>
    <s v="Deprioritized after SPA's instruction"/>
    <s v="West Bengal"/>
    <s v="East"/>
    <m/>
    <m/>
    <n v="600250"/>
    <x v="63"/>
    <n v="3855004"/>
    <s v="CR COIL TATXHS GB03 1.500X1250"/>
    <s v=""/>
    <m/>
    <m/>
    <m/>
    <m/>
    <s v="C01"/>
    <s v="TATXHS"/>
    <s v="GB03"/>
    <n v="1.5"/>
    <n v="1250"/>
    <n v="0"/>
    <n v="116"/>
    <n v="0"/>
    <n v="116"/>
    <n v="116"/>
    <n v="116"/>
    <n v="116"/>
    <n v="0"/>
    <n v="0"/>
    <n v="0"/>
    <n v="0"/>
    <n v="0"/>
    <n v="0"/>
    <n v="0"/>
    <n v="0"/>
    <n v="0"/>
    <n v="0"/>
    <n v="0"/>
    <n v="0"/>
    <n v="0"/>
    <n v="0"/>
    <n v="0"/>
    <n v="0"/>
    <n v="0"/>
    <n v="0"/>
    <n v="0"/>
    <n v="0"/>
    <n v="0"/>
    <n v="0"/>
    <n v="0"/>
    <m/>
    <m/>
    <m/>
    <m/>
    <m/>
    <m/>
    <m/>
    <m/>
    <m/>
    <m/>
    <m/>
    <m/>
    <m/>
    <m/>
    <m/>
    <m/>
    <m/>
    <m/>
    <m/>
    <m/>
    <m/>
    <m/>
    <m/>
    <m/>
    <m/>
    <m/>
    <m/>
    <m/>
    <m/>
    <m/>
    <m/>
    <m/>
    <m/>
    <m/>
    <m/>
    <m/>
    <m/>
    <m/>
    <m/>
    <m/>
    <m/>
    <m/>
    <m/>
    <m/>
    <m/>
    <m/>
    <m/>
    <m/>
    <m/>
  </r>
  <r>
    <n v="4310"/>
    <d v="2025-03-26T00:00:00"/>
    <s v="ZBTF"/>
    <n v="9518637257"/>
    <n v="2"/>
    <s v="9518637257-2"/>
    <s v="No Priority"/>
    <x v="1"/>
    <m/>
    <x v="1"/>
    <x v="10"/>
    <n v="1000"/>
    <m/>
    <x v="0"/>
    <m/>
    <m/>
    <s v="West Bengal"/>
    <s v="East"/>
    <m/>
    <m/>
    <n v="600250"/>
    <x v="63"/>
    <n v="2355296"/>
    <s v="CRCA COIL SA1010 TU97 1.180X1250"/>
    <s v=""/>
    <m/>
    <m/>
    <m/>
    <m/>
    <s v="C01"/>
    <s v="SA1010"/>
    <s v="TU97"/>
    <n v="1.18"/>
    <n v="1250"/>
    <n v="0"/>
    <n v="58"/>
    <n v="0"/>
    <n v="58"/>
    <n v="58"/>
    <n v="58"/>
    <n v="58"/>
    <n v="0"/>
    <n v="0"/>
    <n v="0"/>
    <n v="0"/>
    <n v="0"/>
    <n v="0"/>
    <n v="0"/>
    <n v="0"/>
    <n v="0"/>
    <n v="0"/>
    <n v="0"/>
    <n v="0"/>
    <n v="0"/>
    <n v="0"/>
    <n v="0"/>
    <n v="0"/>
    <n v="0"/>
    <n v="0"/>
    <n v="0"/>
    <n v="0"/>
    <n v="0"/>
    <n v="0"/>
    <n v="0"/>
    <m/>
    <m/>
    <m/>
    <m/>
    <m/>
    <m/>
    <m/>
    <m/>
    <m/>
    <m/>
    <m/>
    <m/>
    <m/>
    <m/>
    <m/>
    <m/>
    <m/>
    <m/>
    <m/>
    <m/>
    <m/>
    <m/>
    <m/>
    <m/>
    <m/>
    <m/>
    <m/>
    <m/>
    <m/>
    <m/>
    <m/>
    <m/>
    <m/>
    <m/>
    <m/>
    <m/>
    <m/>
    <m/>
    <m/>
    <m/>
    <m/>
    <m/>
    <m/>
    <m/>
    <m/>
    <m/>
    <m/>
    <m/>
    <m/>
  </r>
  <r>
    <n v="4310"/>
    <d v="2025-03-26T00:00:00"/>
    <s v="ZBTF"/>
    <n v="9518637257"/>
    <n v="3"/>
    <s v="9518637257-3"/>
    <s v="No Priority"/>
    <x v="1"/>
    <m/>
    <x v="1"/>
    <x v="10"/>
    <n v="1000"/>
    <m/>
    <x v="0"/>
    <m/>
    <m/>
    <s v="West Bengal"/>
    <s v="East"/>
    <m/>
    <m/>
    <n v="600250"/>
    <x v="63"/>
    <n v="3547683"/>
    <s v="CR COIL SA1010 TU97 1.450X1250"/>
    <s v=""/>
    <m/>
    <m/>
    <m/>
    <m/>
    <s v="C01"/>
    <s v="SA1010"/>
    <s v="TU97"/>
    <n v="1.45"/>
    <n v="1250"/>
    <n v="0"/>
    <n v="58"/>
    <n v="0"/>
    <n v="58"/>
    <n v="58"/>
    <n v="58"/>
    <n v="58"/>
    <n v="0"/>
    <n v="0"/>
    <n v="0"/>
    <n v="0"/>
    <n v="0"/>
    <n v="0"/>
    <n v="0"/>
    <n v="0"/>
    <n v="0"/>
    <n v="0"/>
    <n v="0"/>
    <n v="0"/>
    <n v="0"/>
    <n v="0"/>
    <n v="0"/>
    <n v="0"/>
    <n v="0"/>
    <n v="0"/>
    <n v="0"/>
    <n v="0"/>
    <n v="0"/>
    <n v="0"/>
    <n v="0"/>
    <m/>
    <m/>
    <m/>
    <m/>
    <m/>
    <m/>
    <m/>
    <m/>
    <m/>
    <m/>
    <m/>
    <m/>
    <m/>
    <m/>
    <m/>
    <m/>
    <m/>
    <m/>
    <m/>
    <m/>
    <m/>
    <m/>
    <m/>
    <m/>
    <m/>
    <m/>
    <m/>
    <m/>
    <m/>
    <m/>
    <m/>
    <m/>
    <m/>
    <m/>
    <m/>
    <m/>
    <m/>
    <m/>
    <m/>
    <m/>
    <m/>
    <m/>
    <m/>
    <m/>
    <m/>
    <m/>
    <m/>
    <m/>
    <m/>
  </r>
  <r>
    <n v="4310"/>
    <d v="2025-03-26T00:00:00"/>
    <s v="ZBTF"/>
    <n v="9518637257"/>
    <n v="4"/>
    <s v="9518637257-4"/>
    <s v="No Priority"/>
    <x v="1"/>
    <m/>
    <x v="1"/>
    <x v="10"/>
    <n v="1000"/>
    <m/>
    <x v="0"/>
    <m/>
    <m/>
    <s v="West Bengal"/>
    <s v="East"/>
    <m/>
    <m/>
    <n v="600250"/>
    <x v="63"/>
    <n v="2355414"/>
    <s v="CRCA COIL SA1010 TU97 1.530X1250"/>
    <s v=""/>
    <m/>
    <m/>
    <m/>
    <m/>
    <s v="C01"/>
    <s v="SA1010"/>
    <s v="TU97"/>
    <n v="1.53"/>
    <n v="1250"/>
    <n v="0"/>
    <n v="116"/>
    <n v="0"/>
    <n v="116"/>
    <n v="116"/>
    <n v="116"/>
    <n v="116"/>
    <n v="0"/>
    <n v="0"/>
    <n v="0"/>
    <n v="0"/>
    <n v="0"/>
    <n v="0"/>
    <n v="0"/>
    <n v="0"/>
    <n v="0"/>
    <n v="0"/>
    <n v="0"/>
    <n v="0"/>
    <n v="0"/>
    <n v="0"/>
    <n v="0"/>
    <n v="0"/>
    <n v="0"/>
    <n v="0"/>
    <n v="0"/>
    <n v="0"/>
    <n v="0"/>
    <n v="0"/>
    <n v="0"/>
    <m/>
    <m/>
    <m/>
    <m/>
    <m/>
    <m/>
    <m/>
    <m/>
    <m/>
    <m/>
    <m/>
    <m/>
    <m/>
    <m/>
    <m/>
    <m/>
    <m/>
    <m/>
    <m/>
    <m/>
    <m/>
    <m/>
    <m/>
    <m/>
    <m/>
    <m/>
    <m/>
    <m/>
    <m/>
    <m/>
    <m/>
    <m/>
    <m/>
    <m/>
    <m/>
    <m/>
    <m/>
    <m/>
    <m/>
    <m/>
    <m/>
    <m/>
    <m/>
    <m/>
    <m/>
    <m/>
    <m/>
    <m/>
    <m/>
  </r>
  <r>
    <n v="8214"/>
    <d v="2025-04-03T00:00:00"/>
    <s v="ZBTF"/>
    <n v="9518667402"/>
    <n v="1"/>
    <s v="9518667402-1"/>
    <s v="No Priority"/>
    <x v="1"/>
    <m/>
    <x v="1"/>
    <x v="10"/>
    <n v="1000"/>
    <m/>
    <x v="0"/>
    <m/>
    <m/>
    <s v="West Bengal"/>
    <s v="East"/>
    <m/>
    <m/>
    <n v="600250"/>
    <x v="63"/>
    <n v="3482687"/>
    <s v="CRCA SHEET TATXXD AH12 1.550X1250X2500"/>
    <s v=""/>
    <m/>
    <m/>
    <m/>
    <m/>
    <s v="C06"/>
    <s v="TATXXD"/>
    <s v="AH12"/>
    <n v="1.55"/>
    <n v="1250"/>
    <n v="2500"/>
    <n v="27"/>
    <n v="0"/>
    <n v="27"/>
    <n v="27"/>
    <n v="27"/>
    <n v="27"/>
    <n v="0"/>
    <n v="0"/>
    <n v="0"/>
    <n v="0"/>
    <n v="0"/>
    <n v="0"/>
    <n v="0"/>
    <n v="0"/>
    <n v="0"/>
    <n v="0"/>
    <n v="0"/>
    <n v="0"/>
    <n v="0"/>
    <n v="0"/>
    <n v="0"/>
    <n v="0"/>
    <n v="0"/>
    <n v="0"/>
    <n v="0"/>
    <n v="0"/>
    <n v="0"/>
    <n v="0"/>
    <n v="0"/>
    <m/>
    <m/>
    <m/>
    <m/>
    <m/>
    <m/>
    <m/>
    <m/>
    <m/>
    <m/>
    <m/>
    <m/>
    <m/>
    <m/>
    <m/>
    <m/>
    <m/>
    <m/>
    <m/>
    <m/>
    <m/>
    <m/>
    <m/>
    <m/>
    <m/>
    <m/>
    <m/>
    <m/>
    <m/>
    <m/>
    <m/>
    <m/>
    <m/>
    <m/>
    <m/>
    <m/>
    <m/>
    <m/>
    <m/>
    <m/>
    <m/>
    <m/>
    <m/>
    <m/>
    <m/>
    <m/>
    <m/>
    <m/>
    <m/>
  </r>
  <r>
    <n v="742"/>
    <d v="2025-03-31T00:00:00"/>
    <s v="ZBTO"/>
    <n v="9518661095"/>
    <n v="2"/>
    <s v="9518661095-2"/>
    <s v="No Priority"/>
    <x v="0"/>
    <m/>
    <x v="1"/>
    <x v="11"/>
    <n v="2000"/>
    <m/>
    <x v="0"/>
    <m/>
    <m/>
    <s v="Maharashtra"/>
    <s v="West"/>
    <m/>
    <m/>
    <n v="154641"/>
    <x v="38"/>
    <n v="3532322"/>
    <s v="CR COIL TATXXD AH03 1X1320"/>
    <s v=""/>
    <m/>
    <m/>
    <m/>
    <m/>
    <s v="C01"/>
    <s v="TATXXD"/>
    <s v="AH03"/>
    <n v="1"/>
    <n v="1320"/>
    <n v="0"/>
    <n v="60"/>
    <n v="0"/>
    <n v="60"/>
    <n v="60"/>
    <n v="60"/>
    <n v="60"/>
    <n v="0"/>
    <n v="0"/>
    <n v="0"/>
    <n v="0"/>
    <n v="0"/>
    <n v="0"/>
    <n v="0"/>
    <n v="0"/>
    <n v="0"/>
    <n v="0"/>
    <n v="0"/>
    <n v="0"/>
    <n v="0"/>
    <n v="0"/>
    <n v="0"/>
    <n v="0"/>
    <n v="0"/>
    <n v="0"/>
    <n v="0"/>
    <n v="0"/>
    <n v="0"/>
    <n v="0"/>
    <n v="0"/>
    <m/>
    <m/>
    <m/>
    <m/>
    <m/>
    <m/>
    <m/>
    <m/>
    <m/>
    <m/>
    <m/>
    <m/>
    <m/>
    <m/>
    <m/>
    <m/>
    <m/>
    <m/>
    <m/>
    <m/>
    <m/>
    <m/>
    <m/>
    <m/>
    <m/>
    <m/>
    <m/>
    <m/>
    <m/>
    <m/>
    <m/>
    <m/>
    <m/>
    <m/>
    <m/>
    <m/>
    <m/>
    <m/>
    <m/>
    <m/>
    <m/>
    <m/>
    <m/>
    <m/>
    <m/>
    <m/>
    <m/>
    <m/>
    <m/>
  </r>
  <r>
    <n v="742"/>
    <d v="2025-03-31T00:00:00"/>
    <s v="ZBTO"/>
    <n v="9518661103"/>
    <n v="1"/>
    <s v="9518661103-1"/>
    <s v="No Priority"/>
    <x v="0"/>
    <m/>
    <x v="1"/>
    <x v="11"/>
    <n v="2000"/>
    <m/>
    <x v="0"/>
    <m/>
    <m/>
    <s v="Maharashtra"/>
    <s v="West"/>
    <m/>
    <m/>
    <n v="154641"/>
    <x v="38"/>
    <n v="3532323"/>
    <s v="CR COIL TATXXD AH03 1.200X1320"/>
    <s v=""/>
    <m/>
    <m/>
    <m/>
    <m/>
    <s v="C01"/>
    <s v="TATXXD"/>
    <s v="AH03"/>
    <n v="1.2"/>
    <n v="1320"/>
    <n v="0"/>
    <n v="60"/>
    <n v="0"/>
    <n v="60"/>
    <n v="60"/>
    <n v="60"/>
    <n v="60"/>
    <n v="0"/>
    <n v="0"/>
    <n v="0"/>
    <n v="0"/>
    <n v="0"/>
    <n v="0"/>
    <n v="0"/>
    <n v="0"/>
    <n v="0"/>
    <n v="0"/>
    <n v="0"/>
    <n v="0"/>
    <n v="0"/>
    <n v="0"/>
    <n v="0"/>
    <n v="0"/>
    <n v="0"/>
    <n v="0"/>
    <n v="0"/>
    <n v="0"/>
    <n v="0"/>
    <n v="0"/>
    <n v="0"/>
    <m/>
    <m/>
    <m/>
    <m/>
    <m/>
    <m/>
    <m/>
    <m/>
    <m/>
    <m/>
    <m/>
    <m/>
    <m/>
    <m/>
    <m/>
    <m/>
    <m/>
    <m/>
    <m/>
    <m/>
    <m/>
    <m/>
    <m/>
    <m/>
    <m/>
    <m/>
    <m/>
    <m/>
    <m/>
    <m/>
    <m/>
    <m/>
    <m/>
    <m/>
    <m/>
    <m/>
    <m/>
    <m/>
    <m/>
    <m/>
    <m/>
    <m/>
    <m/>
    <m/>
    <m/>
    <m/>
    <m/>
    <m/>
    <m/>
  </r>
  <r>
    <n v="742"/>
    <d v="2025-04-07T00:00:00"/>
    <s v="ZBTO"/>
    <n v="9518674992"/>
    <n v="3"/>
    <s v="9518674992-3"/>
    <s v="No Priority"/>
    <x v="0"/>
    <m/>
    <x v="1"/>
    <x v="1"/>
    <n v="2000"/>
    <m/>
    <x v="0"/>
    <m/>
    <m/>
    <s v="Karnataka"/>
    <s v="South"/>
    <m/>
    <m/>
    <n v="939268"/>
    <x v="38"/>
    <n v="1801022"/>
    <s v="CRCA COIL-TATXXD-AU03-0.45X1250"/>
    <s v=""/>
    <m/>
    <m/>
    <m/>
    <m/>
    <s v="C01"/>
    <s v="TATXXD"/>
    <s v="AU03"/>
    <n v="0.45"/>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4-08T00:00:00"/>
    <s v="ZBTO"/>
    <n v="9518677311"/>
    <n v="1"/>
    <s v="9518677311-1"/>
    <s v="No Priority"/>
    <x v="0"/>
    <m/>
    <x v="1"/>
    <x v="15"/>
    <n v="3000"/>
    <m/>
    <x v="0"/>
    <m/>
    <m/>
    <s v="Tamil Nadu"/>
    <s v="South"/>
    <m/>
    <m/>
    <n v="157501"/>
    <x v="38"/>
    <n v="1804701"/>
    <s v="CRCA COIL-TATXXD-AU14-1.6X1250"/>
    <s v=""/>
    <m/>
    <m/>
    <m/>
    <m/>
    <s v="C01"/>
    <s v="TATXXD"/>
    <s v="AU14"/>
    <n v="1.6"/>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4-08T00:00:00"/>
    <s v="ZBTO"/>
    <n v="9518677311"/>
    <n v="2"/>
    <s v="9518677311-2"/>
    <s v="No Priority"/>
    <x v="0"/>
    <m/>
    <x v="1"/>
    <x v="15"/>
    <n v="3000"/>
    <m/>
    <x v="0"/>
    <m/>
    <m/>
    <s v="Tamil Nadu"/>
    <s v="South"/>
    <m/>
    <m/>
    <n v="157501"/>
    <x v="38"/>
    <n v="26120"/>
    <s v="CRCOIL C01 DQ TATXXD AU14 2.50 X 1250"/>
    <s v=""/>
    <m/>
    <m/>
    <m/>
    <m/>
    <s v="C01"/>
    <s v="TATXXD"/>
    <s v="AU14"/>
    <n v="2.5"/>
    <n v="1250"/>
    <n v="0"/>
    <n v="290"/>
    <n v="0"/>
    <n v="290"/>
    <n v="290"/>
    <n v="290"/>
    <n v="290"/>
    <n v="0"/>
    <n v="0"/>
    <n v="0"/>
    <n v="0"/>
    <n v="0"/>
    <n v="0"/>
    <n v="0"/>
    <n v="0"/>
    <n v="0"/>
    <n v="0"/>
    <n v="0"/>
    <n v="0"/>
    <n v="0"/>
    <n v="0"/>
    <n v="0"/>
    <n v="0"/>
    <n v="0"/>
    <n v="0"/>
    <n v="0"/>
    <n v="0"/>
    <n v="0"/>
    <n v="0"/>
    <n v="0"/>
    <m/>
    <m/>
    <m/>
    <m/>
    <m/>
    <m/>
    <m/>
    <m/>
    <m/>
    <m/>
    <m/>
    <m/>
    <m/>
    <m/>
    <m/>
    <m/>
    <m/>
    <m/>
    <m/>
    <m/>
    <m/>
    <m/>
    <m/>
    <m/>
    <m/>
    <m/>
    <m/>
    <m/>
    <m/>
    <m/>
    <m/>
    <m/>
    <m/>
    <m/>
    <m/>
    <m/>
    <m/>
    <m/>
    <m/>
    <m/>
    <m/>
    <m/>
    <m/>
    <m/>
    <m/>
    <m/>
    <m/>
    <m/>
    <m/>
  </r>
  <r>
    <n v="742"/>
    <d v="2025-04-11T00:00:00"/>
    <s v="ZBTO"/>
    <n v="9518685272"/>
    <n v="1"/>
    <s v="9518685272-1"/>
    <s v="No Priority"/>
    <x v="0"/>
    <m/>
    <x v="1"/>
    <x v="1"/>
    <n v="2000"/>
    <m/>
    <x v="0"/>
    <m/>
    <m/>
    <s v="Karnataka"/>
    <s v="South"/>
    <m/>
    <m/>
    <n v="939268"/>
    <x v="38"/>
    <n v="185675"/>
    <s v="CRCA COIL-TATXXD-AU03-0.5X1250"/>
    <s v=""/>
    <m/>
    <m/>
    <m/>
    <m/>
    <s v="C01"/>
    <s v="TATXXD"/>
    <s v="AU03"/>
    <n v="0.5"/>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6T00:00:00"/>
    <s v="ZBTO"/>
    <n v="9518696382"/>
    <n v="1"/>
    <s v="9518696382-1"/>
    <s v="No Priority"/>
    <x v="1"/>
    <m/>
    <x v="1"/>
    <x v="1"/>
    <n v="2000"/>
    <m/>
    <x v="0"/>
    <m/>
    <m/>
    <s v="West Bengal"/>
    <s v="East"/>
    <m/>
    <m/>
    <n v="155536"/>
    <x v="38"/>
    <n v="2396820"/>
    <s v="CRCA COIL TATCRC TR15 0.700X1120"/>
    <s v=""/>
    <m/>
    <m/>
    <m/>
    <m/>
    <s v="C01"/>
    <s v="TATCRC"/>
    <s v="TR15"/>
    <n v="0.7"/>
    <n v="1120"/>
    <n v="0"/>
    <n v="26"/>
    <n v="0"/>
    <n v="26"/>
    <n v="26"/>
    <n v="26"/>
    <n v="26"/>
    <n v="0"/>
    <n v="0"/>
    <n v="0"/>
    <n v="0"/>
    <n v="0"/>
    <n v="0"/>
    <n v="0"/>
    <n v="0"/>
    <n v="0"/>
    <n v="0"/>
    <n v="0"/>
    <n v="0"/>
    <n v="0"/>
    <n v="0"/>
    <n v="0"/>
    <n v="0"/>
    <n v="0"/>
    <n v="0"/>
    <n v="0"/>
    <n v="0"/>
    <n v="0"/>
    <n v="0"/>
    <n v="0"/>
    <m/>
    <m/>
    <m/>
    <m/>
    <m/>
    <m/>
    <m/>
    <m/>
    <m/>
    <m/>
    <m/>
    <m/>
    <m/>
    <m/>
    <m/>
    <m/>
    <m/>
    <m/>
    <m/>
    <m/>
    <m/>
    <m/>
    <m/>
    <m/>
    <m/>
    <m/>
    <m/>
    <m/>
    <m/>
    <m/>
    <m/>
    <m/>
    <m/>
    <m/>
    <m/>
    <m/>
    <m/>
    <m/>
    <m/>
    <m/>
    <m/>
    <m/>
    <m/>
    <m/>
    <m/>
    <m/>
    <m/>
    <m/>
    <m/>
  </r>
  <r>
    <n v="742"/>
    <d v="2025-04-16T00:00:00"/>
    <s v="ZBTO"/>
    <n v="9518696382"/>
    <n v="2"/>
    <s v="9518696382-2"/>
    <s v="No Priority"/>
    <x v="1"/>
    <m/>
    <x v="1"/>
    <x v="1"/>
    <n v="2000"/>
    <m/>
    <x v="0"/>
    <m/>
    <m/>
    <s v="West Bengal"/>
    <s v="East"/>
    <m/>
    <m/>
    <n v="155536"/>
    <x v="38"/>
    <n v="1804907"/>
    <s v="CRCA COIL-TATCRC-TR15-0.5X1120"/>
    <s v=""/>
    <m/>
    <m/>
    <m/>
    <m/>
    <s v="C01"/>
    <s v="TATCRC"/>
    <s v="TR15"/>
    <n v="0.5"/>
    <n v="1120"/>
    <n v="0"/>
    <n v="52"/>
    <n v="0"/>
    <n v="52"/>
    <n v="52"/>
    <n v="52"/>
    <n v="52"/>
    <n v="0"/>
    <n v="0"/>
    <n v="0"/>
    <n v="0"/>
    <n v="0"/>
    <n v="0"/>
    <n v="0"/>
    <n v="0"/>
    <n v="0"/>
    <n v="0"/>
    <n v="0"/>
    <n v="0"/>
    <n v="0"/>
    <n v="0"/>
    <n v="0"/>
    <n v="0"/>
    <n v="0"/>
    <n v="0"/>
    <n v="0"/>
    <n v="0"/>
    <n v="0"/>
    <n v="0"/>
    <n v="0"/>
    <m/>
    <m/>
    <m/>
    <m/>
    <m/>
    <m/>
    <m/>
    <m/>
    <m/>
    <m/>
    <m/>
    <m/>
    <m/>
    <m/>
    <m/>
    <m/>
    <m/>
    <m/>
    <m/>
    <m/>
    <m/>
    <m/>
    <m/>
    <m/>
    <m/>
    <m/>
    <m/>
    <m/>
    <m/>
    <m/>
    <m/>
    <m/>
    <m/>
    <m/>
    <m/>
    <m/>
    <m/>
    <m/>
    <m/>
    <m/>
    <m/>
    <m/>
    <m/>
    <m/>
    <m/>
    <m/>
    <m/>
    <m/>
    <m/>
  </r>
  <r>
    <n v="742"/>
    <d v="2025-04-16T00:00:00"/>
    <s v="ZBTO"/>
    <n v="9518696382"/>
    <n v="3"/>
    <s v="9518696382-3"/>
    <s v="No Priority"/>
    <x v="1"/>
    <m/>
    <x v="1"/>
    <x v="1"/>
    <n v="2000"/>
    <m/>
    <x v="0"/>
    <m/>
    <m/>
    <s v="West Bengal"/>
    <s v="East"/>
    <m/>
    <m/>
    <n v="155536"/>
    <x v="38"/>
    <n v="2396817"/>
    <s v="CRCA COIL TATCRC TR15 0.600X1120"/>
    <s v=""/>
    <m/>
    <m/>
    <m/>
    <m/>
    <s v="C01"/>
    <s v="TATCRC"/>
    <s v="TR15"/>
    <n v="0.6"/>
    <n v="1120"/>
    <n v="0"/>
    <n v="52"/>
    <n v="0"/>
    <n v="52"/>
    <n v="52"/>
    <n v="52"/>
    <n v="52"/>
    <n v="0"/>
    <n v="0"/>
    <n v="0"/>
    <n v="0"/>
    <n v="0"/>
    <n v="0"/>
    <n v="0"/>
    <n v="0"/>
    <n v="0"/>
    <n v="0"/>
    <n v="0"/>
    <n v="0"/>
    <n v="0"/>
    <n v="0"/>
    <n v="0"/>
    <n v="0"/>
    <n v="0"/>
    <n v="0"/>
    <n v="0"/>
    <n v="0"/>
    <n v="0"/>
    <n v="0"/>
    <n v="0"/>
    <m/>
    <m/>
    <m/>
    <m/>
    <m/>
    <m/>
    <m/>
    <m/>
    <m/>
    <m/>
    <m/>
    <m/>
    <m/>
    <m/>
    <m/>
    <m/>
    <m/>
    <m/>
    <m/>
    <m/>
    <m/>
    <m/>
    <m/>
    <m/>
    <m/>
    <m/>
    <m/>
    <m/>
    <m/>
    <m/>
    <m/>
    <m/>
    <m/>
    <m/>
    <m/>
    <m/>
    <m/>
    <m/>
    <m/>
    <m/>
    <m/>
    <m/>
    <m/>
    <m/>
    <m/>
    <m/>
    <m/>
    <m/>
    <m/>
  </r>
  <r>
    <n v="742"/>
    <d v="2025-04-16T00:00:00"/>
    <s v="ZBTO"/>
    <n v="9518696382"/>
    <n v="4"/>
    <s v="9518696382-4"/>
    <s v="May'25"/>
    <x v="0"/>
    <m/>
    <x v="1"/>
    <x v="1"/>
    <n v="2000"/>
    <m/>
    <x v="1"/>
    <m/>
    <m/>
    <s v="West Bengal"/>
    <s v="East"/>
    <m/>
    <m/>
    <n v="155536"/>
    <x v="38"/>
    <n v="187518"/>
    <s v="CR COIL-ICF  DQ TATXXD AU03 0.90 X 1250"/>
    <s v=""/>
    <m/>
    <m/>
    <m/>
    <m/>
    <s v="C01"/>
    <s v="TATXXD"/>
    <s v="AU03"/>
    <n v="0"/>
    <n v="0"/>
    <n v="0"/>
    <n v="58"/>
    <n v="0"/>
    <n v="58"/>
    <n v="58"/>
    <n v="3.2399999999999949"/>
    <n v="58"/>
    <n v="0"/>
    <n v="0"/>
    <n v="0"/>
    <n v="0"/>
    <n v="0"/>
    <n v="0"/>
    <n v="0"/>
    <n v="0"/>
    <n v="0"/>
    <n v="0"/>
    <n v="0"/>
    <n v="0"/>
    <n v="27.28"/>
    <n v="27.48"/>
    <n v="0"/>
    <n v="0"/>
    <n v="0"/>
    <n v="0"/>
    <n v="0"/>
    <n v="54.760000000000005"/>
    <n v="54.760000000000005"/>
    <n v="0"/>
    <n v="54.760000000000005"/>
    <m/>
    <m/>
    <m/>
    <m/>
    <m/>
    <m/>
    <m/>
    <m/>
    <m/>
    <m/>
    <m/>
    <m/>
    <m/>
    <m/>
    <m/>
    <m/>
    <m/>
    <m/>
    <m/>
    <m/>
    <m/>
    <m/>
    <m/>
    <m/>
    <m/>
    <m/>
    <m/>
    <m/>
    <m/>
    <m/>
    <m/>
    <m/>
    <m/>
    <m/>
    <m/>
    <m/>
    <m/>
    <m/>
    <m/>
    <m/>
    <m/>
    <m/>
    <m/>
    <m/>
    <m/>
    <m/>
    <m/>
    <m/>
    <m/>
  </r>
  <r>
    <n v="742"/>
    <d v="2025-04-16T00:00:00"/>
    <s v="ZBTO"/>
    <n v="9518696382"/>
    <n v="5"/>
    <s v="9518696382-5"/>
    <s v="No Priority"/>
    <x v="0"/>
    <m/>
    <x v="1"/>
    <x v="1"/>
    <n v="2000"/>
    <m/>
    <x v="0"/>
    <m/>
    <m/>
    <s v="West Bengal"/>
    <s v="East"/>
    <m/>
    <m/>
    <n v="155536"/>
    <x v="38"/>
    <n v="185675"/>
    <s v="CRCA COIL-TATXXD-AU03-0.5X1250"/>
    <s v=""/>
    <m/>
    <m/>
    <m/>
    <m/>
    <s v="C01"/>
    <s v="TATXXD"/>
    <s v="AU03"/>
    <n v="0.5"/>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4-16T00:00:00"/>
    <s v="ZBTO"/>
    <n v="9518696382"/>
    <n v="6"/>
    <s v="9518696382-6"/>
    <s v="No Priority"/>
    <x v="0"/>
    <m/>
    <x v="1"/>
    <x v="11"/>
    <n v="2000"/>
    <m/>
    <x v="0"/>
    <m/>
    <m/>
    <s v="West Bengal"/>
    <s v="East"/>
    <m/>
    <m/>
    <n v="155536"/>
    <x v="38"/>
    <n v="2420522"/>
    <s v="CRCA COIL TATXXD AH03 1.500X1250"/>
    <s v=""/>
    <m/>
    <m/>
    <m/>
    <m/>
    <s v="C01"/>
    <s v="TATXXD"/>
    <s v="AH03"/>
    <n v="1.5"/>
    <n v="1250"/>
    <n v="0"/>
    <n v="116"/>
    <n v="0"/>
    <n v="116"/>
    <n v="116"/>
    <n v="116"/>
    <n v="89.474999999999994"/>
    <n v="0"/>
    <n v="0"/>
    <n v="0"/>
    <n v="0"/>
    <n v="0"/>
    <n v="0"/>
    <n v="0"/>
    <n v="0"/>
    <n v="0"/>
    <n v="0"/>
    <n v="0"/>
    <n v="0"/>
    <n v="0"/>
    <n v="0"/>
    <n v="0"/>
    <n v="0"/>
    <n v="0"/>
    <n v="0"/>
    <n v="0"/>
    <n v="0"/>
    <n v="0"/>
    <n v="0"/>
    <n v="0"/>
    <m/>
    <m/>
    <m/>
    <m/>
    <m/>
    <m/>
    <m/>
    <m/>
    <m/>
    <m/>
    <m/>
    <m/>
    <m/>
    <m/>
    <m/>
    <m/>
    <m/>
    <m/>
    <m/>
    <m/>
    <m/>
    <m/>
    <m/>
    <m/>
    <m/>
    <m/>
    <m/>
    <m/>
    <m/>
    <m/>
    <m/>
    <m/>
    <m/>
    <m/>
    <m/>
    <m/>
    <m/>
    <m/>
    <m/>
    <m/>
    <m/>
    <m/>
    <m/>
    <m/>
    <m/>
    <m/>
    <m/>
    <m/>
    <m/>
  </r>
  <r>
    <n v="742"/>
    <d v="2025-04-16T00:00:00"/>
    <s v="ZBTO"/>
    <n v="9518696382"/>
    <n v="7"/>
    <s v="9518696382-7"/>
    <s v="No Priority"/>
    <x v="1"/>
    <m/>
    <x v="1"/>
    <x v="11"/>
    <n v="2000"/>
    <m/>
    <x v="0"/>
    <m/>
    <m/>
    <s v="West Bengal"/>
    <s v="East"/>
    <m/>
    <m/>
    <n v="155536"/>
    <x v="38"/>
    <n v="2420525"/>
    <s v="CRCA COIL TATXXD AH03 2X1250"/>
    <s v=""/>
    <m/>
    <m/>
    <m/>
    <m/>
    <s v="C01"/>
    <s v="TATXXD"/>
    <s v="AH03"/>
    <n v="2"/>
    <n v="1250"/>
    <n v="0"/>
    <n v="145"/>
    <n v="0"/>
    <n v="145"/>
    <n v="145"/>
    <n v="145"/>
    <n v="145"/>
    <n v="0"/>
    <n v="0"/>
    <n v="0"/>
    <n v="0"/>
    <n v="0"/>
    <n v="0"/>
    <n v="0"/>
    <n v="0"/>
    <n v="0"/>
    <n v="0"/>
    <n v="0"/>
    <n v="0"/>
    <n v="0"/>
    <n v="0"/>
    <n v="0"/>
    <n v="0"/>
    <n v="0"/>
    <n v="0"/>
    <n v="0"/>
    <n v="0"/>
    <n v="0"/>
    <n v="0"/>
    <n v="0"/>
    <m/>
    <m/>
    <m/>
    <m/>
    <m/>
    <m/>
    <m/>
    <m/>
    <m/>
    <m/>
    <m/>
    <m/>
    <m/>
    <m/>
    <m/>
    <m/>
    <m/>
    <m/>
    <m/>
    <m/>
    <m/>
    <m/>
    <m/>
    <m/>
    <m/>
    <m/>
    <m/>
    <m/>
    <m/>
    <m/>
    <m/>
    <m/>
    <m/>
    <m/>
    <m/>
    <m/>
    <m/>
    <m/>
    <m/>
    <m/>
    <m/>
    <m/>
    <m/>
    <m/>
    <m/>
    <m/>
    <m/>
    <m/>
    <m/>
  </r>
  <r>
    <n v="742"/>
    <d v="2025-04-16T00:00:00"/>
    <s v="ZBTO"/>
    <n v="9518696382"/>
    <n v="8"/>
    <s v="9518696382-8"/>
    <s v="No Priority"/>
    <x v="1"/>
    <m/>
    <x v="1"/>
    <x v="11"/>
    <n v="2000"/>
    <m/>
    <x v="0"/>
    <m/>
    <m/>
    <s v="West Bengal"/>
    <s v="East"/>
    <m/>
    <m/>
    <n v="155536"/>
    <x v="38"/>
    <n v="2420540"/>
    <s v="CRCA COIL TATXXD AH03 2.500X1250"/>
    <s v=""/>
    <m/>
    <m/>
    <m/>
    <m/>
    <s v="C01"/>
    <s v="TATXXD"/>
    <s v="AH03"/>
    <n v="2.5"/>
    <n v="1250"/>
    <n v="0"/>
    <n v="145"/>
    <n v="0"/>
    <n v="145"/>
    <n v="145"/>
    <n v="145"/>
    <n v="145"/>
    <n v="0"/>
    <n v="0"/>
    <n v="0"/>
    <n v="0"/>
    <n v="0"/>
    <n v="0"/>
    <n v="0"/>
    <n v="0"/>
    <n v="0"/>
    <n v="0"/>
    <n v="0"/>
    <n v="0"/>
    <n v="0"/>
    <n v="0"/>
    <n v="0"/>
    <n v="0"/>
    <n v="0"/>
    <n v="0"/>
    <n v="0"/>
    <n v="0"/>
    <n v="0"/>
    <n v="0"/>
    <n v="0"/>
    <m/>
    <m/>
    <m/>
    <m/>
    <m/>
    <m/>
    <m/>
    <m/>
    <m/>
    <m/>
    <m/>
    <m/>
    <m/>
    <m/>
    <m/>
    <m/>
    <m/>
    <m/>
    <m/>
    <m/>
    <m/>
    <m/>
    <m/>
    <m/>
    <m/>
    <m/>
    <m/>
    <m/>
    <m/>
    <m/>
    <m/>
    <m/>
    <m/>
    <m/>
    <m/>
    <m/>
    <m/>
    <m/>
    <m/>
    <m/>
    <m/>
    <m/>
    <m/>
    <m/>
    <m/>
    <m/>
    <m/>
    <m/>
    <m/>
  </r>
  <r>
    <n v="742"/>
    <d v="2025-04-16T00:00:00"/>
    <s v="ZBTO"/>
    <n v="9518696382"/>
    <n v="9"/>
    <s v="9518696382-9"/>
    <s v="No Priority"/>
    <x v="0"/>
    <m/>
    <x v="1"/>
    <x v="11"/>
    <n v="2000"/>
    <m/>
    <x v="0"/>
    <m/>
    <m/>
    <s v="West Bengal"/>
    <s v="East"/>
    <m/>
    <m/>
    <n v="155536"/>
    <x v="38"/>
    <n v="2420521"/>
    <s v="CRCA COIL TATXXD AH03 1.200X1250"/>
    <s v=""/>
    <m/>
    <m/>
    <m/>
    <m/>
    <s v="C01"/>
    <s v="TATXXD"/>
    <s v="AH03"/>
    <n v="1.2"/>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4-16T00:00:00"/>
    <s v="ZBTO"/>
    <n v="9518696382"/>
    <n v="10"/>
    <s v="9518696382-10"/>
    <s v="No Priority"/>
    <x v="0"/>
    <m/>
    <x v="1"/>
    <x v="11"/>
    <n v="2000"/>
    <m/>
    <x v="0"/>
    <m/>
    <m/>
    <s v="West Bengal"/>
    <s v="East"/>
    <m/>
    <m/>
    <n v="155536"/>
    <x v="38"/>
    <n v="2420516"/>
    <s v="CRCA COIL TATXXD AH03 0.900X1250"/>
    <s v=""/>
    <m/>
    <m/>
    <m/>
    <m/>
    <s v="C01"/>
    <s v="TATXXD"/>
    <s v="AH03"/>
    <n v="0.9"/>
    <n v="1250"/>
    <n v="0"/>
    <n v="58"/>
    <n v="0"/>
    <n v="58"/>
    <n v="58"/>
    <n v="30.419999999999998"/>
    <n v="58"/>
    <n v="0"/>
    <n v="0"/>
    <n v="0"/>
    <n v="0"/>
    <n v="0"/>
    <n v="0"/>
    <n v="0"/>
    <n v="0"/>
    <n v="0"/>
    <n v="0"/>
    <n v="0"/>
    <n v="0"/>
    <n v="27.580000000000002"/>
    <n v="0"/>
    <n v="0"/>
    <n v="0"/>
    <n v="0"/>
    <n v="0"/>
    <n v="0"/>
    <n v="27.580000000000002"/>
    <n v="27.580000000000002"/>
    <n v="0"/>
    <n v="27.580000000000002"/>
    <m/>
    <m/>
    <m/>
    <m/>
    <m/>
    <m/>
    <m/>
    <m/>
    <m/>
    <m/>
    <m/>
    <m/>
    <m/>
    <m/>
    <m/>
    <m/>
    <m/>
    <m/>
    <m/>
    <m/>
    <m/>
    <m/>
    <m/>
    <m/>
    <m/>
    <m/>
    <m/>
    <m/>
    <m/>
    <m/>
    <m/>
    <m/>
    <m/>
    <m/>
    <m/>
    <m/>
    <m/>
    <m/>
    <m/>
    <m/>
    <m/>
    <m/>
    <m/>
    <m/>
    <m/>
    <m/>
    <m/>
    <m/>
    <m/>
  </r>
  <r>
    <n v="742"/>
    <d v="2025-04-16T00:00:00"/>
    <s v="ZBTO"/>
    <n v="9518696382"/>
    <n v="11"/>
    <s v="9518696382-11"/>
    <s v="No Priority"/>
    <x v="1"/>
    <m/>
    <x v="1"/>
    <x v="11"/>
    <n v="2000"/>
    <m/>
    <x v="0"/>
    <m/>
    <m/>
    <s v="West Bengal"/>
    <s v="East"/>
    <m/>
    <m/>
    <n v="155536"/>
    <x v="38"/>
    <n v="2420523"/>
    <s v="CRCA COIL TATXXD AH03 1.600X1250"/>
    <s v=""/>
    <m/>
    <m/>
    <m/>
    <m/>
    <s v="C01"/>
    <s v="TATXXD"/>
    <s v="AH03"/>
    <n v="1.6"/>
    <n v="1250"/>
    <n v="0"/>
    <n v="87"/>
    <n v="0"/>
    <n v="87"/>
    <n v="87"/>
    <n v="87"/>
    <n v="87"/>
    <n v="0"/>
    <n v="0"/>
    <n v="0"/>
    <n v="0"/>
    <n v="0"/>
    <n v="0"/>
    <n v="0"/>
    <n v="0"/>
    <n v="0"/>
    <n v="0"/>
    <n v="0"/>
    <n v="0"/>
    <n v="0"/>
    <n v="0"/>
    <n v="0"/>
    <n v="0"/>
    <n v="0"/>
    <n v="0"/>
    <n v="0"/>
    <n v="0"/>
    <n v="0"/>
    <n v="0"/>
    <n v="0"/>
    <m/>
    <m/>
    <m/>
    <m/>
    <m/>
    <m/>
    <m/>
    <m/>
    <m/>
    <m/>
    <m/>
    <m/>
    <m/>
    <m/>
    <m/>
    <m/>
    <m/>
    <m/>
    <m/>
    <m/>
    <m/>
    <m/>
    <m/>
    <m/>
    <m/>
    <m/>
    <m/>
    <m/>
    <m/>
    <m/>
    <m/>
    <m/>
    <m/>
    <m/>
    <m/>
    <m/>
    <m/>
    <m/>
    <m/>
    <m/>
    <m/>
    <m/>
    <m/>
    <m/>
    <m/>
    <m/>
    <m/>
    <m/>
    <m/>
  </r>
  <r>
    <n v="742"/>
    <d v="2025-04-16T00:00:00"/>
    <s v="ZBTO"/>
    <n v="9518697965"/>
    <n v="1"/>
    <s v="9518697965-1"/>
    <s v="May'25"/>
    <x v="0"/>
    <m/>
    <x v="0"/>
    <x v="0"/>
    <n v="2000"/>
    <m/>
    <x v="1"/>
    <m/>
    <m/>
    <s v="Karnataka"/>
    <s v="South"/>
    <m/>
    <m/>
    <n v="939268"/>
    <x v="38"/>
    <n v="1210083"/>
    <s v="HR COILS-PO IS 1079 HR2 2X1250"/>
    <s v=""/>
    <m/>
    <m/>
    <m/>
    <m/>
    <n v="768"/>
    <s v="THR099"/>
    <s v="HR99"/>
    <n v="2"/>
    <n v="1250"/>
    <n v="0"/>
    <n v="125"/>
    <n v="0"/>
    <n v="125"/>
    <n v="125"/>
    <n v="125"/>
    <n v="106.69499999999999"/>
    <n v="0"/>
    <n v="0"/>
    <n v="0"/>
    <n v="0"/>
    <n v="0"/>
    <n v="0"/>
    <n v="0"/>
    <n v="0"/>
    <n v="0"/>
    <n v="0"/>
    <n v="0"/>
    <n v="0"/>
    <n v="0"/>
    <n v="0"/>
    <n v="0"/>
    <n v="0"/>
    <n v="0"/>
    <n v="0"/>
    <n v="0"/>
    <n v="0"/>
    <n v="0"/>
    <n v="0"/>
    <n v="0"/>
    <m/>
    <m/>
    <m/>
    <m/>
    <m/>
    <m/>
    <m/>
    <m/>
    <m/>
    <m/>
    <m/>
    <m/>
    <m/>
    <m/>
    <m/>
    <m/>
    <m/>
    <m/>
    <m/>
    <m/>
    <m/>
    <m/>
    <m/>
    <m/>
    <m/>
    <m/>
    <m/>
    <m/>
    <m/>
    <m/>
    <m/>
    <m/>
    <m/>
    <m/>
    <m/>
    <m/>
    <m/>
    <m/>
    <m/>
    <m/>
    <m/>
    <m/>
    <m/>
    <m/>
    <m/>
    <m/>
    <m/>
    <m/>
    <m/>
  </r>
  <r>
    <n v="742"/>
    <d v="2025-04-16T00:00:00"/>
    <s v="ZBTO"/>
    <n v="9518697965"/>
    <n v="2"/>
    <s v="9518697965-2"/>
    <s v="May'25"/>
    <x v="0"/>
    <m/>
    <x v="0"/>
    <x v="0"/>
    <n v="2000"/>
    <m/>
    <x v="1"/>
    <m/>
    <m/>
    <s v="Karnataka"/>
    <s v="South"/>
    <m/>
    <m/>
    <n v="939268"/>
    <x v="38"/>
    <n v="1371338"/>
    <s v="HR COILS-PO IS 1079 HR2 2.30X1250"/>
    <s v=""/>
    <m/>
    <m/>
    <m/>
    <m/>
    <n v="768"/>
    <s v="THR099"/>
    <s v="HR99"/>
    <n v="2.2999999999999998"/>
    <n v="1250"/>
    <n v="0"/>
    <n v="50"/>
    <n v="0"/>
    <n v="50"/>
    <n v="50"/>
    <n v="50"/>
    <n v="50"/>
    <n v="0"/>
    <n v="0"/>
    <n v="0"/>
    <n v="0"/>
    <n v="0"/>
    <n v="0"/>
    <n v="0"/>
    <n v="0"/>
    <n v="0"/>
    <n v="0"/>
    <n v="0"/>
    <n v="0"/>
    <n v="0"/>
    <n v="0"/>
    <n v="0"/>
    <n v="0"/>
    <n v="0"/>
    <n v="0"/>
    <n v="0"/>
    <n v="0"/>
    <n v="0"/>
    <n v="0"/>
    <n v="0"/>
    <m/>
    <m/>
    <m/>
    <m/>
    <m/>
    <m/>
    <m/>
    <m/>
    <m/>
    <m/>
    <m/>
    <m/>
    <m/>
    <m/>
    <m/>
    <m/>
    <m/>
    <m/>
    <m/>
    <m/>
    <m/>
    <m/>
    <m/>
    <m/>
    <m/>
    <m/>
    <m/>
    <m/>
    <m/>
    <m/>
    <m/>
    <m/>
    <m/>
    <m/>
    <m/>
    <m/>
    <m/>
    <m/>
    <m/>
    <m/>
    <m/>
    <m/>
    <m/>
    <m/>
    <m/>
    <m/>
    <m/>
    <m/>
    <m/>
  </r>
  <r>
    <n v="742"/>
    <d v="2025-04-16T00:00:00"/>
    <s v="ZBTO"/>
    <n v="9518697965"/>
    <n v="3"/>
    <s v="9518697965-3"/>
    <s v="May'25"/>
    <x v="0"/>
    <m/>
    <x v="0"/>
    <x v="0"/>
    <n v="2000"/>
    <m/>
    <x v="1"/>
    <m/>
    <m/>
    <s v="Karnataka"/>
    <s v="South"/>
    <m/>
    <m/>
    <n v="939268"/>
    <x v="38"/>
    <n v="1250221"/>
    <s v="HR COILS-PO IS 1079 HR2 2.50X1250"/>
    <s v=""/>
    <m/>
    <m/>
    <m/>
    <m/>
    <n v="768"/>
    <s v="THR099"/>
    <s v="HR99"/>
    <n v="0"/>
    <n v="0"/>
    <n v="0"/>
    <n v="25"/>
    <n v="0"/>
    <n v="25"/>
    <n v="25"/>
    <n v="25"/>
    <n v="25"/>
    <n v="0"/>
    <n v="0"/>
    <n v="0"/>
    <n v="0"/>
    <n v="0"/>
    <n v="0"/>
    <n v="0"/>
    <n v="0"/>
    <n v="0"/>
    <n v="0"/>
    <n v="0"/>
    <n v="0"/>
    <n v="0"/>
    <n v="0"/>
    <n v="0"/>
    <n v="0"/>
    <n v="0"/>
    <n v="0"/>
    <n v="0"/>
    <n v="0"/>
    <n v="0"/>
    <n v="0"/>
    <n v="0"/>
    <m/>
    <m/>
    <m/>
    <m/>
    <m/>
    <m/>
    <m/>
    <m/>
    <m/>
    <m/>
    <m/>
    <m/>
    <m/>
    <m/>
    <m/>
    <m/>
    <m/>
    <m/>
    <m/>
    <m/>
    <m/>
    <m/>
    <m/>
    <m/>
    <m/>
    <m/>
    <m/>
    <m/>
    <m/>
    <m/>
    <m/>
    <m/>
    <m/>
    <m/>
    <m/>
    <m/>
    <m/>
    <m/>
    <m/>
    <m/>
    <m/>
    <m/>
    <m/>
    <m/>
    <m/>
    <m/>
    <m/>
    <m/>
    <m/>
  </r>
  <r>
    <n v="742"/>
    <d v="2025-04-16T00:00:00"/>
    <s v="ZBTO"/>
    <n v="9518697965"/>
    <n v="5"/>
    <s v="9518697965-5"/>
    <s v="May'25"/>
    <x v="0"/>
    <m/>
    <x v="0"/>
    <x v="0"/>
    <n v="2000"/>
    <m/>
    <x v="1"/>
    <m/>
    <m/>
    <s v="Karnataka"/>
    <s v="South"/>
    <m/>
    <m/>
    <n v="939268"/>
    <x v="38"/>
    <n v="1294719"/>
    <s v="HR COILS-POIS 1079 HR2  2.90X1250"/>
    <s v=""/>
    <m/>
    <m/>
    <m/>
    <m/>
    <n v="768"/>
    <s v="THR099"/>
    <s v="HR99"/>
    <n v="2.9"/>
    <n v="1250"/>
    <n v="0"/>
    <n v="50"/>
    <n v="0"/>
    <n v="50"/>
    <n v="50"/>
    <n v="50"/>
    <n v="50"/>
    <n v="0"/>
    <n v="0"/>
    <n v="0"/>
    <n v="0"/>
    <n v="0"/>
    <n v="0"/>
    <n v="0"/>
    <n v="0"/>
    <n v="0"/>
    <n v="0"/>
    <n v="0"/>
    <n v="0"/>
    <n v="0"/>
    <n v="0"/>
    <n v="0"/>
    <n v="0"/>
    <n v="0"/>
    <n v="0"/>
    <n v="0"/>
    <n v="0"/>
    <n v="0"/>
    <n v="0"/>
    <n v="0"/>
    <m/>
    <m/>
    <m/>
    <m/>
    <m/>
    <m/>
    <m/>
    <m/>
    <m/>
    <m/>
    <m/>
    <m/>
    <m/>
    <m/>
    <m/>
    <m/>
    <m/>
    <m/>
    <m/>
    <m/>
    <m/>
    <m/>
    <m/>
    <m/>
    <m/>
    <m/>
    <m/>
    <m/>
    <m/>
    <m/>
    <m/>
    <m/>
    <m/>
    <m/>
    <m/>
    <m/>
    <m/>
    <m/>
    <m/>
    <m/>
    <m/>
    <m/>
    <m/>
    <m/>
    <m/>
    <m/>
    <m/>
    <m/>
    <m/>
  </r>
  <r>
    <n v="742"/>
    <d v="2025-04-16T00:00:00"/>
    <s v="ZBTO"/>
    <n v="9518697965"/>
    <n v="6"/>
    <s v="9518697965-6"/>
    <s v="May'25"/>
    <x v="0"/>
    <m/>
    <x v="0"/>
    <x v="0"/>
    <n v="2000"/>
    <m/>
    <x v="1"/>
    <m/>
    <m/>
    <s v="Karnataka"/>
    <s v="South"/>
    <m/>
    <m/>
    <n v="939268"/>
    <x v="38"/>
    <n v="1252834"/>
    <s v="HR COILS-PO IS 1079 HR2 3.0X1250"/>
    <s v=""/>
    <m/>
    <m/>
    <m/>
    <m/>
    <n v="768"/>
    <s v="THR099"/>
    <s v="HR99"/>
    <n v="3"/>
    <n v="1250"/>
    <n v="0"/>
    <n v="75"/>
    <n v="0"/>
    <n v="75"/>
    <n v="75"/>
    <n v="9.0600000000000023"/>
    <n v="75"/>
    <n v="0"/>
    <n v="0"/>
    <n v="65.94"/>
    <n v="0"/>
    <n v="0"/>
    <n v="0"/>
    <n v="0"/>
    <n v="0"/>
    <n v="0"/>
    <n v="0"/>
    <n v="0"/>
    <n v="0"/>
    <n v="0"/>
    <n v="0"/>
    <n v="0"/>
    <n v="0"/>
    <n v="0"/>
    <n v="0"/>
    <n v="0"/>
    <n v="65.94"/>
    <n v="65.94"/>
    <n v="0"/>
    <n v="65.94"/>
    <m/>
    <m/>
    <m/>
    <m/>
    <m/>
    <m/>
    <m/>
    <m/>
    <m/>
    <m/>
    <m/>
    <m/>
    <m/>
    <m/>
    <m/>
    <m/>
    <m/>
    <m/>
    <m/>
    <m/>
    <m/>
    <m/>
    <m/>
    <m/>
    <m/>
    <m/>
    <m/>
    <m/>
    <m/>
    <m/>
    <m/>
    <m/>
    <m/>
    <m/>
    <m/>
    <m/>
    <m/>
    <m/>
    <m/>
    <m/>
    <m/>
    <m/>
    <m/>
    <m/>
    <m/>
    <m/>
    <m/>
    <m/>
    <m/>
  </r>
  <r>
    <n v="742"/>
    <d v="2025-04-16T00:00:00"/>
    <s v="ZBTO"/>
    <n v="9518698036"/>
    <n v="1"/>
    <s v="9518698036-1"/>
    <s v="No Priority"/>
    <x v="0"/>
    <m/>
    <x v="1"/>
    <x v="1"/>
    <n v="2000"/>
    <m/>
    <x v="0"/>
    <m/>
    <m/>
    <s v="Tamil Nadu"/>
    <s v="South"/>
    <m/>
    <m/>
    <n v="822271"/>
    <x v="38"/>
    <n v="1804772"/>
    <s v="CRCA COIL TATXXD AU03 0.4X1250"/>
    <s v=""/>
    <m/>
    <m/>
    <m/>
    <m/>
    <s v="C01"/>
    <s v="TATXXD"/>
    <s v="AU03"/>
    <n v="0.4"/>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6T00:00:00"/>
    <s v="ZBTO"/>
    <n v="9518698036"/>
    <n v="3"/>
    <s v="9518698036-3"/>
    <s v="No Priority"/>
    <x v="0"/>
    <m/>
    <x v="1"/>
    <x v="1"/>
    <n v="2000"/>
    <m/>
    <x v="0"/>
    <m/>
    <m/>
    <s v="Tamil Nadu"/>
    <s v="South"/>
    <m/>
    <m/>
    <n v="822271"/>
    <x v="38"/>
    <n v="185675"/>
    <s v="CRCA COIL-TATXXD-AU03-0.5X1250"/>
    <s v=""/>
    <m/>
    <m/>
    <m/>
    <m/>
    <s v="C01"/>
    <s v="TATXXD"/>
    <s v="AU03"/>
    <n v="0.5"/>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4-16T00:00:00"/>
    <s v="ZBTO"/>
    <n v="9518698036"/>
    <n v="4"/>
    <s v="9518698036-4"/>
    <s v="No Priority"/>
    <x v="0"/>
    <m/>
    <x v="1"/>
    <x v="1"/>
    <n v="2000"/>
    <m/>
    <x v="0"/>
    <m/>
    <m/>
    <s v="Tamil Nadu"/>
    <s v="South"/>
    <m/>
    <m/>
    <n v="822271"/>
    <x v="38"/>
    <n v="1804814"/>
    <s v="CRCA COIL TATXXD AU03 0.8X1250"/>
    <s v=""/>
    <m/>
    <m/>
    <m/>
    <m/>
    <s v="C01"/>
    <s v="TATXXD"/>
    <s v="AU03"/>
    <n v="0.8"/>
    <n v="1250"/>
    <n v="0"/>
    <n v="116"/>
    <n v="0"/>
    <n v="116"/>
    <n v="116"/>
    <n v="94.13"/>
    <n v="116"/>
    <n v="0"/>
    <n v="0"/>
    <n v="21.87"/>
    <n v="0"/>
    <n v="0"/>
    <n v="0"/>
    <n v="0"/>
    <n v="0"/>
    <n v="0"/>
    <n v="0"/>
    <n v="0"/>
    <n v="0"/>
    <n v="0"/>
    <n v="0"/>
    <n v="0"/>
    <n v="0"/>
    <n v="0"/>
    <n v="0"/>
    <n v="0"/>
    <n v="21.87"/>
    <n v="21.87"/>
    <n v="0"/>
    <n v="21.87"/>
    <m/>
    <m/>
    <m/>
    <m/>
    <m/>
    <m/>
    <m/>
    <m/>
    <m/>
    <m/>
    <m/>
    <m/>
    <m/>
    <m/>
    <m/>
    <m/>
    <m/>
    <m/>
    <m/>
    <m/>
    <m/>
    <m/>
    <m/>
    <m/>
    <m/>
    <m/>
    <m/>
    <m/>
    <m/>
    <m/>
    <m/>
    <m/>
    <m/>
    <m/>
    <m/>
    <m/>
    <m/>
    <m/>
    <m/>
    <m/>
    <m/>
    <m/>
    <m/>
    <m/>
    <m/>
    <m/>
    <m/>
    <m/>
    <m/>
  </r>
  <r>
    <n v="742"/>
    <d v="2025-04-16T00:00:00"/>
    <s v="ZBTO"/>
    <n v="9518698036"/>
    <n v="5"/>
    <s v="9518698036-5"/>
    <s v="No Priority"/>
    <x v="0"/>
    <m/>
    <x v="1"/>
    <x v="1"/>
    <n v="2000"/>
    <m/>
    <x v="0"/>
    <m/>
    <m/>
    <s v="Tamil Nadu"/>
    <s v="South"/>
    <m/>
    <m/>
    <n v="822271"/>
    <x v="38"/>
    <n v="1884117"/>
    <s v="CRCA COIL-TATXXD-AU03-2X1250"/>
    <s v=""/>
    <m/>
    <m/>
    <m/>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6T00:00:00"/>
    <s v="ZBTO"/>
    <n v="9518698036"/>
    <n v="6"/>
    <s v="9518698036-6"/>
    <s v="No Priority"/>
    <x v="0"/>
    <m/>
    <x v="1"/>
    <x v="1"/>
    <n v="2000"/>
    <m/>
    <x v="0"/>
    <m/>
    <m/>
    <s v="Tamil Nadu"/>
    <s v="South"/>
    <m/>
    <m/>
    <n v="822271"/>
    <x v="38"/>
    <n v="2155233"/>
    <s v="CRCA COIL TATXXD AU03 2.5X1250"/>
    <s v=""/>
    <m/>
    <m/>
    <m/>
    <m/>
    <s v="C01"/>
    <s v="TATXXD"/>
    <s v="AU03"/>
    <n v="2.5"/>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6T00:00:00"/>
    <s v="ZBTO"/>
    <n v="9518698036"/>
    <n v="7"/>
    <s v="9518698036-7"/>
    <s v="No Priority"/>
    <x v="0"/>
    <m/>
    <x v="1"/>
    <x v="0"/>
    <n v="2000"/>
    <m/>
    <x v="0"/>
    <m/>
    <m/>
    <s v="Tamil Nadu"/>
    <s v="South"/>
    <m/>
    <m/>
    <n v="822271"/>
    <x v="38"/>
    <n v="2156439"/>
    <s v="CRCA COIL TSBSTA EL03 0.5X1250"/>
    <s v=""/>
    <m/>
    <m/>
    <m/>
    <m/>
    <s v="C01"/>
    <s v="TSBSTA"/>
    <s v="EL03"/>
    <n v="0.5"/>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6T00:00:00"/>
    <s v="ZBTO"/>
    <n v="9518698036"/>
    <n v="12"/>
    <s v="9518698036-12"/>
    <s v="No Priority"/>
    <x v="0"/>
    <m/>
    <x v="1"/>
    <x v="1"/>
    <n v="2000"/>
    <m/>
    <x v="0"/>
    <m/>
    <m/>
    <s v="Tamil Nadu"/>
    <s v="South"/>
    <m/>
    <m/>
    <n v="822271"/>
    <x v="38"/>
    <n v="2229968"/>
    <s v="CRCA COIL TATXXD AU03 0.750X1250"/>
    <s v=""/>
    <m/>
    <m/>
    <m/>
    <m/>
    <s v="C01"/>
    <s v="TATXXD"/>
    <s v="AU03"/>
    <n v="0.75"/>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7T00:00:00"/>
    <s v="ZBTO"/>
    <n v="9518699625"/>
    <n v="1"/>
    <s v="9518699625-1"/>
    <s v="No Priority"/>
    <x v="1"/>
    <m/>
    <x v="1"/>
    <x v="1"/>
    <n v="2000"/>
    <m/>
    <x v="0"/>
    <m/>
    <m/>
    <s v="West Bengal"/>
    <s v="East"/>
    <m/>
    <m/>
    <n v="155536"/>
    <x v="38"/>
    <n v="2390329"/>
    <s v="CRCA COIL TATXXD AU03 0.900X1000"/>
    <s v=""/>
    <m/>
    <m/>
    <m/>
    <m/>
    <s v="C01"/>
    <s v="TATXXD"/>
    <s v="AU03"/>
    <n v="0.9"/>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17T00:00:00"/>
    <s v="ZBTO"/>
    <n v="9518699625"/>
    <n v="2"/>
    <s v="9518699625-2"/>
    <s v="No Priority"/>
    <x v="1"/>
    <m/>
    <x v="1"/>
    <x v="1"/>
    <n v="2000"/>
    <m/>
    <x v="0"/>
    <m/>
    <m/>
    <s v="West Bengal"/>
    <s v="East"/>
    <m/>
    <m/>
    <n v="155536"/>
    <x v="38"/>
    <n v="1801587"/>
    <s v="CRCA COIL-TATXXD-AU03-0.9X900"/>
    <s v=""/>
    <m/>
    <m/>
    <m/>
    <m/>
    <s v="C01"/>
    <s v="TATXXD"/>
    <s v="AU03"/>
    <n v="0.9"/>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4-17T00:00:00"/>
    <s v="ZBTO"/>
    <n v="9518699625"/>
    <n v="3"/>
    <s v="9518699625-3"/>
    <s v="No Priority"/>
    <x v="0"/>
    <m/>
    <x v="1"/>
    <x v="1"/>
    <n v="2000"/>
    <m/>
    <x v="0"/>
    <m/>
    <m/>
    <s v="West Bengal"/>
    <s v="East"/>
    <m/>
    <m/>
    <n v="155536"/>
    <x v="38"/>
    <n v="2403370"/>
    <s v="CRCA COIL TATXXD AU03 0.950X1250"/>
    <s v=""/>
    <m/>
    <m/>
    <m/>
    <m/>
    <s v="C01"/>
    <s v="TATXXD"/>
    <s v="AU03"/>
    <n v="0.95"/>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02T00:00:00"/>
    <s v="ZBTO"/>
    <n v="9518664809"/>
    <n v="2"/>
    <s v="9518664809-2"/>
    <s v="No Priority"/>
    <x v="0"/>
    <s v="Yes"/>
    <x v="1"/>
    <x v="2"/>
    <n v="2000"/>
    <m/>
    <x v="0"/>
    <m/>
    <m/>
    <s v="Maharashtra"/>
    <s v="West"/>
    <m/>
    <m/>
    <n v="103092"/>
    <x v="59"/>
    <n v="3239568"/>
    <s v="CRCA SHEET TATCRC SR16 0.450X1250X2500"/>
    <s v=""/>
    <m/>
    <m/>
    <m/>
    <m/>
    <s v="C06"/>
    <s v="TATCRC"/>
    <s v="SR16"/>
    <n v="0.45"/>
    <n v="1250"/>
    <n v="2500"/>
    <n v="48"/>
    <n v="0"/>
    <n v="48"/>
    <n v="48"/>
    <n v="48"/>
    <n v="48"/>
    <n v="0"/>
    <n v="0"/>
    <n v="0"/>
    <n v="0"/>
    <n v="0"/>
    <n v="0"/>
    <n v="0"/>
    <n v="0"/>
    <n v="0"/>
    <n v="0"/>
    <n v="0"/>
    <n v="0"/>
    <n v="0"/>
    <n v="0"/>
    <n v="0"/>
    <n v="0"/>
    <n v="0"/>
    <n v="0"/>
    <n v="0"/>
    <n v="0"/>
    <n v="0"/>
    <n v="0"/>
    <n v="0"/>
    <m/>
    <m/>
    <m/>
    <m/>
    <m/>
    <m/>
    <m/>
    <m/>
    <m/>
    <m/>
    <m/>
    <m/>
    <m/>
    <m/>
    <m/>
    <m/>
    <m/>
    <m/>
    <m/>
    <m/>
    <m/>
    <m/>
    <m/>
    <m/>
    <m/>
    <m/>
    <m/>
    <m/>
    <m/>
    <m/>
    <m/>
    <m/>
    <m/>
    <m/>
    <m/>
    <m/>
    <m/>
    <m/>
    <m/>
    <m/>
    <m/>
    <m/>
    <m/>
    <m/>
    <m/>
    <m/>
    <m/>
    <m/>
    <m/>
  </r>
  <r>
    <n v="742"/>
    <d v="2025-04-02T00:00:00"/>
    <s v="ZBTO"/>
    <n v="9518664809"/>
    <n v="3"/>
    <s v="9518664809-3"/>
    <s v="No Priority"/>
    <x v="1"/>
    <s v="Yes"/>
    <x v="1"/>
    <x v="2"/>
    <n v="2000"/>
    <m/>
    <x v="0"/>
    <m/>
    <m/>
    <s v="Maharashtra"/>
    <s v="West"/>
    <m/>
    <m/>
    <n v="103092"/>
    <x v="59"/>
    <n v="3240895"/>
    <s v="CRCA SHEET TATXXD SR17 0.500X1250X2500"/>
    <s v=""/>
    <m/>
    <m/>
    <m/>
    <m/>
    <s v="C06"/>
    <s v="TATXXD"/>
    <s v="SR17"/>
    <n v="0.5"/>
    <n v="1250"/>
    <n v="2500"/>
    <n v="48"/>
    <n v="0"/>
    <n v="48"/>
    <n v="48"/>
    <n v="48"/>
    <n v="48"/>
    <n v="0"/>
    <n v="0"/>
    <n v="0"/>
    <n v="0"/>
    <n v="0"/>
    <n v="0"/>
    <n v="0"/>
    <n v="0"/>
    <n v="0"/>
    <n v="0"/>
    <n v="0"/>
    <n v="0"/>
    <n v="0"/>
    <n v="0"/>
    <n v="0"/>
    <n v="0"/>
    <n v="0"/>
    <n v="0"/>
    <n v="0"/>
    <n v="0"/>
    <n v="0"/>
    <n v="0"/>
    <n v="0"/>
    <m/>
    <m/>
    <m/>
    <m/>
    <m/>
    <m/>
    <m/>
    <m/>
    <m/>
    <m/>
    <m/>
    <m/>
    <m/>
    <m/>
    <m/>
    <m/>
    <m/>
    <m/>
    <m/>
    <m/>
    <m/>
    <m/>
    <m/>
    <m/>
    <m/>
    <m/>
    <m/>
    <m/>
    <m/>
    <m/>
    <m/>
    <m/>
    <m/>
    <m/>
    <m/>
    <m/>
    <m/>
    <m/>
    <m/>
    <m/>
    <m/>
    <m/>
    <m/>
    <m/>
    <m/>
    <m/>
    <m/>
    <m/>
    <m/>
  </r>
  <r>
    <n v="742"/>
    <d v="2025-04-02T00:00:00"/>
    <s v="ZBTO"/>
    <n v="9518664351"/>
    <n v="1"/>
    <s v="9518664351-1"/>
    <s v="No Priority"/>
    <x v="0"/>
    <m/>
    <x v="1"/>
    <x v="1"/>
    <n v="2000"/>
    <m/>
    <x v="0"/>
    <m/>
    <m/>
    <s v="Tamil Nadu"/>
    <s v="South"/>
    <m/>
    <m/>
    <n v="102888"/>
    <x v="114"/>
    <n v="189865"/>
    <s v="CRSHEET TATXXD AU03 1.0X1250X2500"/>
    <s v=""/>
    <m/>
    <m/>
    <m/>
    <m/>
    <s v="C06"/>
    <s v="TATXXD"/>
    <s v="AU03"/>
    <n v="1"/>
    <n v="1250"/>
    <n v="2500"/>
    <n v="15"/>
    <n v="0"/>
    <n v="15"/>
    <n v="15"/>
    <n v="15"/>
    <n v="15"/>
    <n v="0"/>
    <n v="0"/>
    <n v="0"/>
    <n v="0"/>
    <n v="0"/>
    <n v="0"/>
    <n v="0"/>
    <n v="0"/>
    <n v="0"/>
    <n v="0"/>
    <n v="0"/>
    <n v="0"/>
    <n v="0"/>
    <n v="0"/>
    <n v="0"/>
    <n v="0"/>
    <n v="0"/>
    <n v="0"/>
    <n v="0"/>
    <n v="0"/>
    <n v="0"/>
    <n v="0"/>
    <n v="0"/>
    <m/>
    <m/>
    <m/>
    <m/>
    <m/>
    <m/>
    <m/>
    <m/>
    <m/>
    <m/>
    <m/>
    <m/>
    <m/>
    <m/>
    <m/>
    <m/>
    <m/>
    <m/>
    <m/>
    <m/>
    <m/>
    <m/>
    <m/>
    <m/>
    <m/>
    <m/>
    <m/>
    <m/>
    <m/>
    <m/>
    <m/>
    <m/>
    <m/>
    <m/>
    <m/>
    <m/>
    <m/>
    <m/>
    <m/>
    <m/>
    <m/>
    <m/>
    <m/>
    <m/>
    <m/>
    <m/>
    <m/>
    <m/>
    <m/>
  </r>
  <r>
    <n v="742"/>
    <d v="2025-04-02T00:00:00"/>
    <s v="ZBTO"/>
    <n v="9518664351"/>
    <n v="2"/>
    <s v="9518664351-2"/>
    <s v="No Priority"/>
    <x v="0"/>
    <m/>
    <x v="1"/>
    <x v="1"/>
    <n v="2000"/>
    <m/>
    <x v="0"/>
    <m/>
    <m/>
    <s v="Tamil Nadu"/>
    <s v="South"/>
    <m/>
    <m/>
    <n v="102888"/>
    <x v="114"/>
    <n v="353957"/>
    <s v="CRCA SHEET TATXXD AU03 0.80X1250X2500"/>
    <s v=""/>
    <m/>
    <m/>
    <m/>
    <m/>
    <s v="C06"/>
    <s v="TATXXD"/>
    <s v="AU03"/>
    <n v="0.8"/>
    <n v="1250"/>
    <n v="2500"/>
    <n v="12"/>
    <n v="0"/>
    <n v="12"/>
    <n v="12"/>
    <n v="12"/>
    <n v="12"/>
    <n v="0"/>
    <n v="0"/>
    <n v="0"/>
    <n v="0"/>
    <n v="0"/>
    <n v="0"/>
    <n v="0"/>
    <n v="0"/>
    <n v="0"/>
    <n v="0"/>
    <n v="0"/>
    <n v="0"/>
    <n v="0"/>
    <n v="0"/>
    <n v="0"/>
    <n v="0"/>
    <n v="0"/>
    <n v="0"/>
    <n v="0"/>
    <n v="0"/>
    <n v="0"/>
    <n v="0"/>
    <n v="0"/>
    <m/>
    <m/>
    <m/>
    <m/>
    <m/>
    <m/>
    <m/>
    <m/>
    <m/>
    <m/>
    <m/>
    <m/>
    <m/>
    <m/>
    <m/>
    <m/>
    <m/>
    <m/>
    <m/>
    <m/>
    <m/>
    <m/>
    <m/>
    <m/>
    <m/>
    <m/>
    <m/>
    <m/>
    <m/>
    <m/>
    <m/>
    <m/>
    <m/>
    <m/>
    <m/>
    <m/>
    <m/>
    <m/>
    <m/>
    <m/>
    <m/>
    <m/>
    <m/>
    <m/>
    <m/>
    <m/>
    <m/>
    <m/>
    <m/>
  </r>
  <r>
    <n v="742"/>
    <d v="2025-04-02T00:00:00"/>
    <s v="ZBTO"/>
    <n v="9518664351"/>
    <n v="3"/>
    <s v="9518664351-3"/>
    <s v="No Priority"/>
    <x v="0"/>
    <m/>
    <x v="1"/>
    <x v="1"/>
    <n v="2000"/>
    <m/>
    <x v="0"/>
    <m/>
    <m/>
    <s v="Tamil Nadu"/>
    <s v="South"/>
    <m/>
    <m/>
    <n v="102888"/>
    <x v="114"/>
    <n v="3533096"/>
    <s v="CRSHEET C06 TATXXD AU03 1.6X1250X2500"/>
    <s v=""/>
    <m/>
    <m/>
    <m/>
    <m/>
    <s v="C06"/>
    <s v="TATXXD"/>
    <s v="AU03"/>
    <n v="1.6"/>
    <n v="1250"/>
    <n v="2500"/>
    <n v="12"/>
    <n v="0"/>
    <n v="12"/>
    <n v="12"/>
    <n v="12"/>
    <n v="12"/>
    <n v="0"/>
    <n v="0"/>
    <n v="0"/>
    <n v="0"/>
    <n v="0"/>
    <n v="0"/>
    <n v="0"/>
    <n v="0"/>
    <n v="0"/>
    <n v="0"/>
    <n v="0"/>
    <n v="0"/>
    <n v="0"/>
    <n v="0"/>
    <n v="0"/>
    <n v="0"/>
    <n v="0"/>
    <n v="0"/>
    <n v="0"/>
    <n v="0"/>
    <n v="0"/>
    <n v="0"/>
    <n v="0"/>
    <m/>
    <m/>
    <m/>
    <m/>
    <m/>
    <m/>
    <m/>
    <m/>
    <m/>
    <m/>
    <m/>
    <m/>
    <m/>
    <m/>
    <m/>
    <m/>
    <m/>
    <m/>
    <m/>
    <m/>
    <m/>
    <m/>
    <m/>
    <m/>
    <m/>
    <m/>
    <m/>
    <m/>
    <m/>
    <m/>
    <m/>
    <m/>
    <m/>
    <m/>
    <m/>
    <m/>
    <m/>
    <m/>
    <m/>
    <m/>
    <m/>
    <m/>
    <m/>
    <m/>
    <m/>
    <m/>
    <m/>
    <m/>
    <m/>
  </r>
  <r>
    <n v="742"/>
    <d v="2025-03-06T00:00:00"/>
    <s v="ZBTO"/>
    <n v="9518578782"/>
    <n v="2"/>
    <s v="9518578782-2"/>
    <s v="No Priority"/>
    <x v="1"/>
    <m/>
    <x v="1"/>
    <x v="1"/>
    <n v="2000"/>
    <m/>
    <x v="0"/>
    <m/>
    <m/>
    <s v="Telangana"/>
    <s v="South"/>
    <m/>
    <m/>
    <n v="939422"/>
    <x v="115"/>
    <n v="1804908"/>
    <s v="CRCA COIL TATCRC TR15 0.5X1250"/>
    <s v=""/>
    <m/>
    <m/>
    <m/>
    <m/>
    <s v="C01"/>
    <s v="TATCRC"/>
    <s v="TR15"/>
    <n v="0.5"/>
    <n v="1250"/>
    <n v="0"/>
    <n v="87"/>
    <n v="0"/>
    <n v="87"/>
    <n v="87"/>
    <n v="87"/>
    <n v="87"/>
    <n v="0"/>
    <n v="0"/>
    <n v="0"/>
    <n v="0"/>
    <n v="0"/>
    <n v="0"/>
    <n v="0"/>
    <n v="0"/>
    <n v="0"/>
    <n v="0"/>
    <n v="0"/>
    <n v="0"/>
    <n v="0"/>
    <n v="0"/>
    <n v="0"/>
    <n v="0"/>
    <n v="0"/>
    <n v="0"/>
    <n v="0"/>
    <n v="0"/>
    <n v="0"/>
    <n v="0"/>
    <n v="0"/>
    <m/>
    <m/>
    <m/>
    <m/>
    <m/>
    <m/>
    <m/>
    <m/>
    <m/>
    <m/>
    <m/>
    <m/>
    <m/>
    <m/>
    <m/>
    <m/>
    <m/>
    <m/>
    <m/>
    <m/>
    <m/>
    <m/>
    <m/>
    <m/>
    <m/>
    <m/>
    <m/>
    <m/>
    <m/>
    <m/>
    <m/>
    <m/>
    <m/>
    <m/>
    <m/>
    <m/>
    <m/>
    <m/>
    <m/>
    <m/>
    <m/>
    <m/>
    <m/>
    <m/>
    <m/>
    <m/>
    <m/>
    <m/>
    <m/>
  </r>
  <r>
    <n v="742"/>
    <d v="2025-03-06T00:00:00"/>
    <s v="ZBTO"/>
    <n v="9518578782"/>
    <n v="3"/>
    <s v="9518578782-3"/>
    <s v="No Priority"/>
    <x v="1"/>
    <m/>
    <x v="1"/>
    <x v="1"/>
    <n v="2000"/>
    <m/>
    <x v="0"/>
    <m/>
    <m/>
    <s v="Telangana"/>
    <s v="South"/>
    <m/>
    <m/>
    <n v="939422"/>
    <x v="115"/>
    <n v="1804914"/>
    <s v="CRCA COIL TATCRC TR15 0.6X1000"/>
    <s v=""/>
    <m/>
    <m/>
    <m/>
    <m/>
    <s v="C01"/>
    <s v="TATCRC"/>
    <s v="TR15"/>
    <n v="0.6"/>
    <n v="1000"/>
    <n v="0"/>
    <n v="23"/>
    <n v="0"/>
    <n v="23"/>
    <n v="23"/>
    <n v="23"/>
    <n v="23"/>
    <n v="0"/>
    <n v="0"/>
    <n v="0"/>
    <n v="0"/>
    <n v="0"/>
    <n v="0"/>
    <n v="0"/>
    <n v="0"/>
    <n v="0"/>
    <n v="0"/>
    <n v="0"/>
    <n v="0"/>
    <n v="0"/>
    <n v="0"/>
    <n v="0"/>
    <n v="0"/>
    <n v="0"/>
    <n v="0"/>
    <n v="0"/>
    <n v="0"/>
    <n v="0"/>
    <n v="0"/>
    <n v="0"/>
    <m/>
    <m/>
    <m/>
    <m/>
    <m/>
    <m/>
    <m/>
    <m/>
    <m/>
    <m/>
    <m/>
    <m/>
    <m/>
    <m/>
    <m/>
    <m/>
    <m/>
    <m/>
    <m/>
    <m/>
    <m/>
    <m/>
    <m/>
    <m/>
    <m/>
    <m/>
    <m/>
    <m/>
    <m/>
    <m/>
    <m/>
    <m/>
    <m/>
    <m/>
    <m/>
    <m/>
    <m/>
    <m/>
    <m/>
    <m/>
    <m/>
    <m/>
    <m/>
    <m/>
    <m/>
    <m/>
    <m/>
    <m/>
    <m/>
  </r>
  <r>
    <n v="742"/>
    <d v="2025-03-06T00:00:00"/>
    <s v="ZBTO"/>
    <n v="9518578782"/>
    <n v="4"/>
    <s v="9518578782-4"/>
    <s v="No Priority"/>
    <x v="1"/>
    <m/>
    <x v="1"/>
    <x v="1"/>
    <n v="2000"/>
    <m/>
    <x v="0"/>
    <m/>
    <m/>
    <s v="Telangana"/>
    <s v="South"/>
    <m/>
    <m/>
    <n v="939422"/>
    <x v="115"/>
    <n v="2229967"/>
    <s v="CRCA COIL TATCRC TR15 0.700X1250"/>
    <s v=""/>
    <m/>
    <m/>
    <m/>
    <m/>
    <s v="C01"/>
    <s v="TATCRC"/>
    <s v="TR15"/>
    <n v="0.7"/>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4T00:00:00"/>
    <s v="ZBTO"/>
    <n v="9518670119"/>
    <n v="1"/>
    <s v="9518670119-1"/>
    <s v="No Priority"/>
    <x v="0"/>
    <m/>
    <x v="1"/>
    <x v="1"/>
    <n v="2000"/>
    <m/>
    <x v="0"/>
    <m/>
    <m/>
    <s v="Telangana"/>
    <s v="South"/>
    <m/>
    <m/>
    <n v="939422"/>
    <x v="115"/>
    <n v="185675"/>
    <s v="CRCA COIL-TATXXD-AU03-0.5X1250"/>
    <s v=""/>
    <m/>
    <m/>
    <m/>
    <m/>
    <s v="C01"/>
    <s v="TATXXD"/>
    <s v="AU03"/>
    <n v="0.5"/>
    <n v="1250"/>
    <n v="0"/>
    <n v="58"/>
    <n v="0"/>
    <n v="58"/>
    <n v="58"/>
    <n v="58"/>
    <n v="33.83"/>
    <n v="0"/>
    <n v="0"/>
    <n v="0"/>
    <n v="0"/>
    <n v="0"/>
    <n v="0"/>
    <n v="0"/>
    <n v="0"/>
    <n v="0"/>
    <n v="0"/>
    <n v="0"/>
    <n v="0"/>
    <n v="0"/>
    <n v="0"/>
    <n v="0"/>
    <n v="0"/>
    <n v="0"/>
    <n v="0"/>
    <n v="0"/>
    <n v="0"/>
    <n v="0"/>
    <n v="0"/>
    <n v="0"/>
    <m/>
    <m/>
    <m/>
    <m/>
    <m/>
    <m/>
    <m/>
    <m/>
    <m/>
    <m/>
    <m/>
    <m/>
    <m/>
    <m/>
    <m/>
    <m/>
    <m/>
    <m/>
    <m/>
    <m/>
    <m/>
    <m/>
    <m/>
    <m/>
    <m/>
    <m/>
    <m/>
    <m/>
    <m/>
    <m/>
    <m/>
    <m/>
    <m/>
    <m/>
    <m/>
    <m/>
    <m/>
    <m/>
    <m/>
    <m/>
    <m/>
    <m/>
    <m/>
    <m/>
    <m/>
    <m/>
    <m/>
    <m/>
    <m/>
  </r>
  <r>
    <n v="742"/>
    <d v="2025-04-04T00:00:00"/>
    <s v="ZBTO"/>
    <n v="9518670119"/>
    <n v="2"/>
    <s v="9518670119-2"/>
    <s v="No Priority"/>
    <x v="1"/>
    <m/>
    <x v="1"/>
    <x v="1"/>
    <n v="2000"/>
    <m/>
    <x v="0"/>
    <m/>
    <m/>
    <s v="Telangana"/>
    <s v="South"/>
    <m/>
    <m/>
    <n v="939422"/>
    <x v="115"/>
    <n v="1804914"/>
    <s v="CRCA COIL TATCRC TR15 0.6X1000"/>
    <s v=""/>
    <m/>
    <m/>
    <m/>
    <m/>
    <s v="C01"/>
    <s v="TATCRC"/>
    <s v="TR15"/>
    <n v="0.6"/>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4-04T00:00:00"/>
    <s v="ZBTO"/>
    <n v="9518670119"/>
    <n v="3"/>
    <s v="9518670119-3"/>
    <s v="No Priority"/>
    <x v="1"/>
    <m/>
    <x v="1"/>
    <x v="1"/>
    <n v="2000"/>
    <m/>
    <x v="0"/>
    <m/>
    <m/>
    <s v="Telangana"/>
    <s v="South"/>
    <m/>
    <m/>
    <n v="939422"/>
    <x v="115"/>
    <n v="2229967"/>
    <s v="CRCA COIL TATCRC TR15 0.700X1250"/>
    <s v=""/>
    <m/>
    <m/>
    <m/>
    <m/>
    <s v="C01"/>
    <s v="TATCRC"/>
    <s v="TR15"/>
    <n v="0.7"/>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4T00:00:00"/>
    <s v="ZBTO"/>
    <n v="9518670119"/>
    <n v="5"/>
    <s v="9518670119-5"/>
    <s v="No Priority"/>
    <x v="0"/>
    <m/>
    <x v="1"/>
    <x v="1"/>
    <n v="2000"/>
    <m/>
    <x v="0"/>
    <m/>
    <m/>
    <s v="Telangana"/>
    <s v="South"/>
    <m/>
    <m/>
    <n v="939422"/>
    <x v="115"/>
    <n v="1804826"/>
    <s v="CRCA COIL-TATXXD-AU03-0.9X1250"/>
    <s v=""/>
    <m/>
    <m/>
    <m/>
    <m/>
    <s v="C01"/>
    <s v="TATXXD"/>
    <s v="AU03"/>
    <n v="0.9"/>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4T00:00:00"/>
    <s v="ZBTO"/>
    <n v="9518670119"/>
    <n v="6"/>
    <s v="9518670119-6"/>
    <s v="No Priority"/>
    <x v="0"/>
    <m/>
    <x v="1"/>
    <x v="1"/>
    <n v="2000"/>
    <m/>
    <x v="0"/>
    <m/>
    <m/>
    <s v="Telangana"/>
    <s v="South"/>
    <m/>
    <m/>
    <n v="939422"/>
    <x v="115"/>
    <n v="215066"/>
    <s v="CRSHEET-ICF  DQ TATXXD AU03 0.90 X 1220"/>
    <s v=""/>
    <m/>
    <m/>
    <m/>
    <m/>
    <s v="C01"/>
    <s v="TATXXD"/>
    <s v="AU03"/>
    <n v="0.9"/>
    <n v="1220"/>
    <n v="0"/>
    <n v="84"/>
    <n v="0"/>
    <n v="84"/>
    <n v="84"/>
    <n v="84"/>
    <n v="84"/>
    <n v="0"/>
    <n v="0"/>
    <n v="0"/>
    <n v="0"/>
    <n v="0"/>
    <n v="0"/>
    <n v="0"/>
    <n v="0"/>
    <n v="0"/>
    <n v="0"/>
    <n v="0"/>
    <n v="0"/>
    <n v="0"/>
    <n v="0"/>
    <n v="0"/>
    <n v="0"/>
    <n v="0"/>
    <n v="0"/>
    <n v="0"/>
    <n v="0"/>
    <n v="0"/>
    <n v="0"/>
    <n v="0"/>
    <m/>
    <m/>
    <m/>
    <m/>
    <m/>
    <m/>
    <m/>
    <m/>
    <m/>
    <m/>
    <m/>
    <m/>
    <m/>
    <m/>
    <m/>
    <m/>
    <m/>
    <m/>
    <m/>
    <m/>
    <m/>
    <m/>
    <m/>
    <m/>
    <m/>
    <m/>
    <m/>
    <m/>
    <m/>
    <m/>
    <m/>
    <m/>
    <m/>
    <m/>
    <m/>
    <m/>
    <m/>
    <m/>
    <m/>
    <m/>
    <m/>
    <m/>
    <m/>
    <m/>
    <m/>
    <m/>
    <m/>
    <m/>
    <m/>
  </r>
  <r>
    <n v="742"/>
    <d v="2025-04-04T00:00:00"/>
    <s v="ZBTO"/>
    <n v="9518670119"/>
    <n v="13"/>
    <s v="9518670119-13"/>
    <s v="No Priority"/>
    <x v="0"/>
    <m/>
    <x v="1"/>
    <x v="1"/>
    <n v="2000"/>
    <m/>
    <x v="0"/>
    <m/>
    <m/>
    <s v="Telangana"/>
    <s v="South"/>
    <m/>
    <m/>
    <n v="939422"/>
    <x v="115"/>
    <n v="1804867"/>
    <s v="CRCA COIL-TATXXD-AU03-1.6X1250"/>
    <s v=""/>
    <m/>
    <m/>
    <m/>
    <m/>
    <s v="C01"/>
    <s v="TATXXD"/>
    <s v="AU03"/>
    <n v="1.6"/>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04T00:00:00"/>
    <s v="ZBTO"/>
    <n v="9518670119"/>
    <n v="14"/>
    <s v="9518670119-14"/>
    <s v="No Priority"/>
    <x v="0"/>
    <m/>
    <x v="1"/>
    <x v="1"/>
    <n v="2000"/>
    <m/>
    <x v="0"/>
    <m/>
    <m/>
    <s v="Telangana"/>
    <s v="South"/>
    <m/>
    <m/>
    <n v="939422"/>
    <x v="115"/>
    <n v="3855287"/>
    <s v="CR COIL TATXXD AU03 1.620X1250"/>
    <s v=""/>
    <m/>
    <m/>
    <m/>
    <m/>
    <s v="C01"/>
    <s v="TATXXD"/>
    <s v="AU03"/>
    <n v="1.6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04T00:00:00"/>
    <s v="ZBTO"/>
    <n v="9518670119"/>
    <n v="15"/>
    <s v="9518670119-15"/>
    <s v="No Priority"/>
    <x v="0"/>
    <m/>
    <x v="1"/>
    <x v="1"/>
    <n v="2000"/>
    <m/>
    <x v="0"/>
    <m/>
    <m/>
    <s v="Telangana"/>
    <s v="South"/>
    <m/>
    <m/>
    <n v="939422"/>
    <x v="115"/>
    <n v="2390540"/>
    <s v="CRCA COIL TATXXD AU03 1.800X1250"/>
    <s v=""/>
    <m/>
    <m/>
    <m/>
    <m/>
    <s v="C01"/>
    <s v="TATXXD"/>
    <s v="AU03"/>
    <n v="1.8"/>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04T00:00:00"/>
    <s v="ZBTO"/>
    <n v="9518670119"/>
    <n v="16"/>
    <s v="9518670119-16"/>
    <s v="No Priority"/>
    <x v="0"/>
    <m/>
    <x v="1"/>
    <x v="1"/>
    <n v="2000"/>
    <m/>
    <x v="0"/>
    <m/>
    <m/>
    <s v="Telangana"/>
    <s v="South"/>
    <m/>
    <m/>
    <n v="939422"/>
    <x v="115"/>
    <n v="292577"/>
    <s v="CRSHEET-ICF  DQ TATXXD AU03 2.02X1250"/>
    <s v=""/>
    <m/>
    <m/>
    <m/>
    <m/>
    <s v="C01"/>
    <s v="TATXXD"/>
    <s v="AU03"/>
    <n v="2.0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2-20T00:00:00"/>
    <s v="ZBTO"/>
    <n v="9518535833"/>
    <n v="1"/>
    <s v="9518535833-1"/>
    <s v="No Priority"/>
    <x v="1"/>
    <m/>
    <x v="1"/>
    <x v="1"/>
    <n v="2000"/>
    <m/>
    <x v="0"/>
    <m/>
    <m/>
    <s v="Tamil Nadu"/>
    <s v="South"/>
    <m/>
    <m/>
    <n v="938550"/>
    <x v="4"/>
    <n v="2352643"/>
    <s v="CRCA COIL TATCRC TR15 0.350X900"/>
    <m/>
    <m/>
    <m/>
    <m/>
    <m/>
    <s v="C01"/>
    <s v="TATCRC"/>
    <s v="TR15"/>
    <n v="0.35"/>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2-20T00:00:00"/>
    <s v="ZBTO"/>
    <n v="9518535833"/>
    <n v="2"/>
    <s v="9518535833-2"/>
    <s v="No Priority"/>
    <x v="1"/>
    <m/>
    <x v="1"/>
    <x v="1"/>
    <n v="2000"/>
    <m/>
    <x v="0"/>
    <m/>
    <m/>
    <s v="Tamil Nadu"/>
    <s v="South"/>
    <m/>
    <m/>
    <n v="938550"/>
    <x v="4"/>
    <n v="2352644"/>
    <s v="CRCA COIL TATCRC TR15 0.350X1000"/>
    <m/>
    <m/>
    <m/>
    <m/>
    <m/>
    <s v="C01"/>
    <s v="TATCRC"/>
    <s v="TR15"/>
    <n v="0.3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2-20T00:00:00"/>
    <s v="ZBTO"/>
    <n v="9518535833"/>
    <n v="4"/>
    <s v="9518535833-4"/>
    <s v="No Priority"/>
    <x v="1"/>
    <m/>
    <x v="1"/>
    <x v="1"/>
    <n v="2000"/>
    <m/>
    <x v="0"/>
    <m/>
    <m/>
    <s v="Tamil Nadu"/>
    <s v="South"/>
    <m/>
    <m/>
    <n v="938550"/>
    <x v="4"/>
    <n v="1804889"/>
    <s v="CRCA COIL-TATCRC-TR15-0.4X1000"/>
    <m/>
    <m/>
    <m/>
    <m/>
    <m/>
    <s v="C01"/>
    <s v="TATCRC"/>
    <s v="TR15"/>
    <n v="0.4"/>
    <n v="1000"/>
    <n v="0"/>
    <n v="69"/>
    <n v="0"/>
    <n v="69"/>
    <n v="69"/>
    <n v="69"/>
    <n v="69"/>
    <n v="0"/>
    <n v="0"/>
    <n v="0"/>
    <n v="0"/>
    <n v="0"/>
    <n v="0"/>
    <n v="0"/>
    <n v="0"/>
    <n v="0"/>
    <n v="0"/>
    <n v="0"/>
    <n v="0"/>
    <n v="0"/>
    <n v="0"/>
    <n v="0"/>
    <n v="0"/>
    <n v="0"/>
    <n v="0"/>
    <n v="0"/>
    <n v="0"/>
    <n v="0"/>
    <n v="0"/>
    <n v="0"/>
    <m/>
    <m/>
    <m/>
    <m/>
    <m/>
    <m/>
    <m/>
    <m/>
    <m/>
    <m/>
    <m/>
    <m/>
    <m/>
    <m/>
    <m/>
    <m/>
    <m/>
    <m/>
    <m/>
    <m/>
    <m/>
    <m/>
    <m/>
    <m/>
    <m/>
    <m/>
    <m/>
    <m/>
    <m/>
    <m/>
    <m/>
    <m/>
    <m/>
    <m/>
    <m/>
    <m/>
    <m/>
    <m/>
    <m/>
    <m/>
    <m/>
    <m/>
    <m/>
    <m/>
    <m/>
    <m/>
    <m/>
    <m/>
    <m/>
  </r>
  <r>
    <n v="742"/>
    <d v="2025-02-20T00:00:00"/>
    <s v="ZBTO"/>
    <n v="9518535833"/>
    <n v="5"/>
    <s v="9518535833-5"/>
    <s v="No Priority"/>
    <x v="1"/>
    <m/>
    <x v="1"/>
    <x v="1"/>
    <n v="2000"/>
    <m/>
    <x v="0"/>
    <m/>
    <m/>
    <s v="Tamil Nadu"/>
    <s v="South"/>
    <m/>
    <m/>
    <n v="938550"/>
    <x v="4"/>
    <n v="37862"/>
    <s v="CRCA COIL TATCRC TR15 0.4X1250"/>
    <m/>
    <m/>
    <m/>
    <m/>
    <m/>
    <s v="C01"/>
    <s v="TATCRC"/>
    <s v="TR15"/>
    <n v="0.4"/>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2-20T00:00:00"/>
    <s v="ZBTO"/>
    <n v="9518535833"/>
    <n v="6"/>
    <s v="9518535833-6"/>
    <s v="No Priority"/>
    <x v="1"/>
    <m/>
    <x v="1"/>
    <x v="1"/>
    <n v="2000"/>
    <m/>
    <x v="0"/>
    <m/>
    <m/>
    <s v="Tamil Nadu"/>
    <s v="South"/>
    <m/>
    <m/>
    <n v="938550"/>
    <x v="4"/>
    <n v="1804893"/>
    <s v="CRCA COIL-TATCRC-TR15-0.45X900"/>
    <m/>
    <m/>
    <m/>
    <m/>
    <m/>
    <s v="C01"/>
    <s v="TATCRC"/>
    <s v="TR15"/>
    <n v="0.45"/>
    <n v="900"/>
    <n v="0"/>
    <n v="63"/>
    <n v="0"/>
    <n v="63"/>
    <n v="63"/>
    <n v="63"/>
    <n v="63"/>
    <n v="0"/>
    <n v="0"/>
    <n v="0"/>
    <n v="0"/>
    <n v="0"/>
    <n v="0"/>
    <n v="0"/>
    <n v="0"/>
    <n v="0"/>
    <n v="0"/>
    <n v="0"/>
    <n v="0"/>
    <n v="0"/>
    <n v="0"/>
    <n v="0"/>
    <n v="0"/>
    <n v="0"/>
    <n v="0"/>
    <n v="0"/>
    <n v="0"/>
    <n v="0"/>
    <n v="0"/>
    <n v="0"/>
    <m/>
    <m/>
    <m/>
    <m/>
    <m/>
    <m/>
    <m/>
    <m/>
    <m/>
    <m/>
    <m/>
    <m/>
    <m/>
    <m/>
    <m/>
    <m/>
    <m/>
    <m/>
    <m/>
    <m/>
    <m/>
    <m/>
    <m/>
    <m/>
    <m/>
    <m/>
    <m/>
    <m/>
    <m/>
    <m/>
    <m/>
    <m/>
    <m/>
    <m/>
    <m/>
    <m/>
    <m/>
    <m/>
    <m/>
    <m/>
    <m/>
    <m/>
    <m/>
    <m/>
    <m/>
    <m/>
    <m/>
    <m/>
    <m/>
  </r>
  <r>
    <n v="742"/>
    <d v="2025-02-20T00:00:00"/>
    <s v="ZBTO"/>
    <n v="9518535833"/>
    <n v="7"/>
    <s v="9518535833-7"/>
    <s v="No Priority"/>
    <x v="1"/>
    <m/>
    <x v="1"/>
    <x v="1"/>
    <n v="2000"/>
    <m/>
    <x v="0"/>
    <m/>
    <m/>
    <s v="Tamil Nadu"/>
    <s v="South"/>
    <m/>
    <m/>
    <n v="938550"/>
    <x v="4"/>
    <n v="1804896"/>
    <s v="CRCA COIL-TATCRC-TR15-0.45X1000"/>
    <m/>
    <m/>
    <m/>
    <m/>
    <m/>
    <s v="C01"/>
    <s v="TATCRC"/>
    <s v="TR15"/>
    <n v="0.45"/>
    <n v="1000"/>
    <n v="0"/>
    <n v="69"/>
    <n v="0"/>
    <n v="69"/>
    <n v="69"/>
    <n v="69"/>
    <n v="69"/>
    <n v="0"/>
    <n v="0"/>
    <n v="0"/>
    <n v="0"/>
    <n v="0"/>
    <n v="0"/>
    <n v="0"/>
    <n v="0"/>
    <n v="0"/>
    <n v="0"/>
    <n v="0"/>
    <n v="0"/>
    <n v="0"/>
    <n v="0"/>
    <n v="0"/>
    <n v="0"/>
    <n v="0"/>
    <n v="0"/>
    <n v="0"/>
    <n v="0"/>
    <n v="0"/>
    <n v="0"/>
    <n v="0"/>
    <m/>
    <m/>
    <m/>
    <m/>
    <m/>
    <m/>
    <m/>
    <m/>
    <m/>
    <m/>
    <m/>
    <m/>
    <m/>
    <m/>
    <m/>
    <m/>
    <m/>
    <m/>
    <m/>
    <m/>
    <m/>
    <m/>
    <m/>
    <m/>
    <m/>
    <m/>
    <m/>
    <m/>
    <m/>
    <m/>
    <m/>
    <m/>
    <m/>
    <m/>
    <m/>
    <m/>
    <m/>
    <m/>
    <m/>
    <m/>
    <m/>
    <m/>
    <m/>
    <m/>
    <m/>
    <m/>
    <m/>
    <m/>
    <m/>
  </r>
  <r>
    <n v="742"/>
    <d v="2025-02-20T00:00:00"/>
    <s v="ZBTO"/>
    <n v="9518535833"/>
    <n v="8"/>
    <s v="9518535833-8"/>
    <s v="No Priority"/>
    <x v="1"/>
    <m/>
    <x v="1"/>
    <x v="1"/>
    <n v="2000"/>
    <m/>
    <x v="0"/>
    <m/>
    <m/>
    <s v="Tamil Nadu"/>
    <s v="South"/>
    <m/>
    <m/>
    <n v="938550"/>
    <x v="4"/>
    <n v="1804905"/>
    <s v="CRCA COIL-TATCRC-TR15-0.5X1000"/>
    <m/>
    <m/>
    <m/>
    <m/>
    <m/>
    <s v="C01"/>
    <s v="TATCRC"/>
    <s v="TR15"/>
    <n v="0.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2-20T00:00:00"/>
    <s v="ZBTO"/>
    <n v="9518535833"/>
    <n v="20"/>
    <s v="9518535833-20"/>
    <s v="May'25"/>
    <x v="0"/>
    <s v="Yes"/>
    <x v="1"/>
    <x v="2"/>
    <n v="2000"/>
    <m/>
    <x v="1"/>
    <m/>
    <m/>
    <s v="Tamil Nadu"/>
    <s v="South"/>
    <m/>
    <m/>
    <n v="938550"/>
    <x v="4"/>
    <n v="3239536"/>
    <s v="CRCA SHEET TATCRC SR16 0.350X900X2500"/>
    <m/>
    <m/>
    <m/>
    <m/>
    <m/>
    <s v="C06"/>
    <s v="TATCRC"/>
    <s v="SR16"/>
    <n v="0.35"/>
    <n v="900"/>
    <n v="2500"/>
    <n v="21"/>
    <n v="0"/>
    <n v="21"/>
    <n v="21"/>
    <n v="21"/>
    <n v="21"/>
    <n v="0"/>
    <n v="0"/>
    <n v="0"/>
    <n v="0"/>
    <n v="0"/>
    <n v="0"/>
    <n v="0"/>
    <n v="0"/>
    <n v="0"/>
    <n v="0"/>
    <n v="0"/>
    <n v="0"/>
    <n v="0"/>
    <n v="0"/>
    <n v="0"/>
    <n v="0"/>
    <n v="0"/>
    <n v="0"/>
    <n v="0"/>
    <n v="0"/>
    <n v="0"/>
    <n v="0"/>
    <n v="0"/>
    <m/>
    <m/>
    <m/>
    <m/>
    <m/>
    <m/>
    <m/>
    <m/>
    <m/>
    <m/>
    <m/>
    <m/>
    <m/>
    <m/>
    <m/>
    <m/>
    <m/>
    <m/>
    <m/>
    <m/>
    <m/>
    <m/>
    <m/>
    <m/>
    <m/>
    <m/>
    <m/>
    <m/>
    <m/>
    <m/>
    <m/>
    <m/>
    <m/>
    <m/>
    <m/>
    <m/>
    <m/>
    <m/>
    <m/>
    <m/>
    <m/>
    <m/>
    <m/>
    <m/>
    <m/>
    <m/>
    <m/>
    <m/>
    <m/>
  </r>
  <r>
    <n v="742"/>
    <d v="2025-02-20T00:00:00"/>
    <s v="ZBTO"/>
    <n v="9518535833"/>
    <n v="21"/>
    <s v="9518535833-21"/>
    <s v="No Priority"/>
    <x v="1"/>
    <m/>
    <x v="1"/>
    <x v="2"/>
    <n v="2000"/>
    <m/>
    <x v="0"/>
    <m/>
    <m/>
    <s v="Tamil Nadu"/>
    <s v="South"/>
    <m/>
    <m/>
    <n v="938550"/>
    <x v="4"/>
    <n v="3239548"/>
    <s v="CRCA SHEET TATCRC SR16 0.400X900X2500"/>
    <m/>
    <m/>
    <m/>
    <m/>
    <m/>
    <s v="C06"/>
    <s v="TATCRC"/>
    <s v="SR16"/>
    <n v="0.4"/>
    <n v="900"/>
    <n v="2500"/>
    <n v="21"/>
    <n v="0"/>
    <n v="21"/>
    <n v="21"/>
    <n v="21"/>
    <n v="21"/>
    <n v="0"/>
    <n v="0"/>
    <n v="0"/>
    <n v="0"/>
    <n v="0"/>
    <n v="0"/>
    <n v="0"/>
    <n v="0"/>
    <n v="0"/>
    <n v="0"/>
    <n v="0"/>
    <n v="0"/>
    <n v="0"/>
    <n v="0"/>
    <n v="0"/>
    <n v="0"/>
    <n v="0"/>
    <n v="0"/>
    <n v="0"/>
    <n v="0"/>
    <n v="0"/>
    <n v="0"/>
    <n v="0"/>
    <m/>
    <m/>
    <m/>
    <m/>
    <m/>
    <m/>
    <m/>
    <m/>
    <m/>
    <m/>
    <m/>
    <m/>
    <m/>
    <m/>
    <m/>
    <m/>
    <m/>
    <m/>
    <m/>
    <m/>
    <m/>
    <m/>
    <m/>
    <m/>
    <m/>
    <m/>
    <m/>
    <m/>
    <m/>
    <m/>
    <m/>
    <m/>
    <m/>
    <m/>
    <m/>
    <m/>
    <m/>
    <m/>
    <m/>
    <m/>
    <m/>
    <m/>
    <m/>
    <m/>
    <m/>
    <m/>
    <m/>
    <m/>
    <m/>
  </r>
  <r>
    <n v="742"/>
    <d v="2025-02-20T00:00:00"/>
    <s v="ZBTO"/>
    <n v="9518535833"/>
    <n v="22"/>
    <s v="9518535833-22"/>
    <s v="May'25"/>
    <x v="0"/>
    <s v="Yes"/>
    <x v="1"/>
    <x v="2"/>
    <n v="2000"/>
    <m/>
    <x v="1"/>
    <m/>
    <m/>
    <s v="Tamil Nadu"/>
    <s v="South"/>
    <m/>
    <m/>
    <n v="938550"/>
    <x v="4"/>
    <n v="3239552"/>
    <s v="CRCA SHEET TATCRC SR16 0.400X1000X1980"/>
    <m/>
    <m/>
    <m/>
    <m/>
    <m/>
    <s v="C06"/>
    <s v="TATCRC"/>
    <s v="SR16"/>
    <n v="0.4"/>
    <n v="1000"/>
    <n v="1980"/>
    <n v="45"/>
    <n v="0"/>
    <n v="45"/>
    <n v="45"/>
    <n v="45"/>
    <n v="45"/>
    <n v="0"/>
    <n v="0"/>
    <n v="0"/>
    <n v="0"/>
    <n v="0"/>
    <n v="0"/>
    <n v="0"/>
    <n v="0"/>
    <n v="0"/>
    <n v="0"/>
    <n v="0"/>
    <n v="0"/>
    <n v="0"/>
    <n v="0"/>
    <n v="0"/>
    <n v="0"/>
    <n v="0"/>
    <n v="0"/>
    <n v="0"/>
    <n v="0"/>
    <n v="0"/>
    <n v="0"/>
    <n v="0"/>
    <m/>
    <m/>
    <m/>
    <m/>
    <m/>
    <m/>
    <m/>
    <m/>
    <m/>
    <m/>
    <m/>
    <m/>
    <m/>
    <m/>
    <m/>
    <m/>
    <m/>
    <m/>
    <m/>
    <m/>
    <m/>
    <m/>
    <m/>
    <m/>
    <m/>
    <m/>
    <m/>
    <m/>
    <m/>
    <m/>
    <m/>
    <m/>
    <m/>
    <m/>
    <m/>
    <m/>
    <m/>
    <m/>
    <m/>
    <m/>
    <m/>
    <m/>
    <m/>
    <m/>
    <m/>
    <m/>
    <m/>
    <m/>
    <m/>
  </r>
  <r>
    <n v="742"/>
    <d v="2025-02-20T00:00:00"/>
    <s v="ZBTO"/>
    <n v="9518535833"/>
    <n v="28"/>
    <s v="9518535833-28"/>
    <s v="No Priority"/>
    <x v="0"/>
    <m/>
    <x v="1"/>
    <x v="2"/>
    <n v="2000"/>
    <m/>
    <x v="0"/>
    <m/>
    <m/>
    <s v="Tamil Nadu"/>
    <s v="South"/>
    <m/>
    <m/>
    <n v="938550"/>
    <x v="4"/>
    <n v="3240863"/>
    <s v="CRCA SHEET TSBCRC SR15 1.500X1250X2500"/>
    <m/>
    <m/>
    <m/>
    <m/>
    <m/>
    <s v="C06"/>
    <s v="TSBCRC"/>
    <s v="SR15"/>
    <n v="1.5"/>
    <n v="1250"/>
    <n v="0"/>
    <n v="30"/>
    <n v="0"/>
    <n v="30"/>
    <n v="30"/>
    <n v="30"/>
    <n v="30"/>
    <n v="0"/>
    <n v="0"/>
    <n v="0"/>
    <n v="0"/>
    <n v="0"/>
    <n v="0"/>
    <n v="0"/>
    <n v="0"/>
    <n v="0"/>
    <n v="0"/>
    <n v="0"/>
    <n v="0"/>
    <n v="0"/>
    <n v="0"/>
    <n v="0"/>
    <n v="0"/>
    <n v="0"/>
    <n v="0"/>
    <n v="0"/>
    <n v="0"/>
    <n v="0"/>
    <n v="0"/>
    <n v="0"/>
    <m/>
    <m/>
    <m/>
    <m/>
    <m/>
    <m/>
    <m/>
    <m/>
    <m/>
    <m/>
    <m/>
    <m/>
    <m/>
    <m/>
    <m/>
    <m/>
    <m/>
    <m/>
    <m/>
    <m/>
    <m/>
    <m/>
    <m/>
    <m/>
    <m/>
    <m/>
    <m/>
    <m/>
    <m/>
    <m/>
    <m/>
    <m/>
    <m/>
    <m/>
    <m/>
    <m/>
    <m/>
    <m/>
    <m/>
    <m/>
    <m/>
    <m/>
    <m/>
    <m/>
    <m/>
    <m/>
    <m/>
    <m/>
    <m/>
  </r>
  <r>
    <n v="742"/>
    <d v="2025-02-03T00:00:00"/>
    <s v="ZBTO"/>
    <n v="9518490750"/>
    <n v="1"/>
    <s v="9518490750-1"/>
    <s v="No Priority"/>
    <x v="1"/>
    <s v="Yes"/>
    <x v="1"/>
    <x v="2"/>
    <n v="2000"/>
    <m/>
    <x v="0"/>
    <m/>
    <s v="Exp BTF &lt;17MT"/>
    <s v="Orissa"/>
    <s v="East"/>
    <m/>
    <m/>
    <n v="117061"/>
    <x v="19"/>
    <n v="3239536"/>
    <s v="CRCA SHEET TATCRC SR16 0.350X900X2500"/>
    <m/>
    <m/>
    <m/>
    <m/>
    <m/>
    <s v="C06"/>
    <s v="TATCRC"/>
    <s v="SR16"/>
    <n v="0.35"/>
    <n v="900"/>
    <n v="2500"/>
    <n v="9"/>
    <n v="0"/>
    <n v="9"/>
    <n v="9"/>
    <n v="9"/>
    <n v="9"/>
    <n v="0"/>
    <n v="0"/>
    <n v="0"/>
    <n v="0"/>
    <n v="0"/>
    <n v="0"/>
    <n v="0"/>
    <n v="0"/>
    <n v="0"/>
    <n v="0"/>
    <n v="0"/>
    <n v="0"/>
    <n v="0"/>
    <n v="0"/>
    <n v="0"/>
    <n v="0"/>
    <n v="0"/>
    <n v="0"/>
    <n v="0"/>
    <n v="0"/>
    <n v="0"/>
    <n v="0"/>
    <n v="0"/>
    <m/>
    <m/>
    <m/>
    <m/>
    <m/>
    <m/>
    <m/>
    <m/>
    <m/>
    <m/>
    <m/>
    <m/>
    <m/>
    <m/>
    <m/>
    <m/>
    <m/>
    <m/>
    <m/>
    <m/>
    <m/>
    <m/>
    <m/>
    <m/>
    <m/>
    <m/>
    <m/>
    <m/>
    <m/>
    <m/>
    <m/>
    <m/>
    <m/>
    <m/>
    <m/>
    <m/>
    <m/>
    <m/>
    <m/>
    <m/>
    <m/>
    <m/>
    <m/>
    <m/>
    <m/>
    <m/>
    <m/>
    <m/>
    <m/>
  </r>
  <r>
    <n v="742"/>
    <d v="2025-02-03T00:00:00"/>
    <s v="ZBTO"/>
    <n v="9518490750"/>
    <n v="3"/>
    <s v="9518490750-3"/>
    <s v="May'25"/>
    <x v="0"/>
    <s v="Yes"/>
    <x v="1"/>
    <x v="2"/>
    <n v="2000"/>
    <m/>
    <x v="1"/>
    <m/>
    <m/>
    <s v="Orissa"/>
    <s v="East"/>
    <m/>
    <m/>
    <n v="117061"/>
    <x v="19"/>
    <n v="3239542"/>
    <s v="CRCA SHEET TATCRC SR16 0.350X1000X2500"/>
    <m/>
    <m/>
    <m/>
    <m/>
    <m/>
    <s v="C06"/>
    <s v="TATCRC"/>
    <s v="SR16"/>
    <n v="0.35"/>
    <n v="1000"/>
    <n v="2500"/>
    <n v="75"/>
    <n v="0"/>
    <n v="75"/>
    <n v="75"/>
    <n v="75"/>
    <n v="75"/>
    <n v="0"/>
    <n v="0"/>
    <n v="0"/>
    <n v="0"/>
    <n v="0"/>
    <n v="0"/>
    <n v="0"/>
    <n v="0"/>
    <n v="0"/>
    <n v="0"/>
    <n v="0"/>
    <n v="0"/>
    <n v="0"/>
    <n v="0"/>
    <n v="0"/>
    <n v="0"/>
    <n v="0"/>
    <n v="0"/>
    <n v="0"/>
    <n v="0"/>
    <n v="0"/>
    <n v="0"/>
    <n v="0"/>
    <m/>
    <m/>
    <m/>
    <m/>
    <m/>
    <m/>
    <m/>
    <m/>
    <m/>
    <m/>
    <m/>
    <m/>
    <m/>
    <m/>
    <m/>
    <m/>
    <m/>
    <m/>
    <m/>
    <m/>
    <m/>
    <m/>
    <m/>
    <m/>
    <m/>
    <m/>
    <m/>
    <m/>
    <m/>
    <m/>
    <m/>
    <m/>
    <m/>
    <m/>
    <m/>
    <m/>
    <m/>
    <m/>
    <m/>
    <m/>
    <m/>
    <m/>
    <m/>
    <m/>
    <m/>
    <m/>
    <m/>
    <m/>
    <m/>
  </r>
  <r>
    <n v="742"/>
    <d v="2025-02-03T00:00:00"/>
    <s v="ZBTO"/>
    <n v="9518490750"/>
    <n v="4"/>
    <s v="9518490750-4"/>
    <s v="May'25"/>
    <x v="0"/>
    <s v="Yes"/>
    <x v="1"/>
    <x v="2"/>
    <n v="2000"/>
    <m/>
    <x v="1"/>
    <m/>
    <m/>
    <s v="Orissa"/>
    <s v="East"/>
    <m/>
    <m/>
    <n v="117061"/>
    <x v="19"/>
    <n v="3239554"/>
    <s v="CRCA SHEET TATCRC SR16 0.400X1000X2500"/>
    <m/>
    <m/>
    <m/>
    <m/>
    <m/>
    <s v="C06"/>
    <s v="TATCRC"/>
    <s v="SR16"/>
    <n v="0.4"/>
    <n v="1000"/>
    <n v="2500"/>
    <n v="75"/>
    <n v="0"/>
    <n v="75"/>
    <n v="75"/>
    <n v="75"/>
    <n v="75"/>
    <n v="0"/>
    <n v="0"/>
    <n v="0"/>
    <n v="0"/>
    <n v="0"/>
    <n v="0"/>
    <n v="0"/>
    <n v="0"/>
    <n v="0"/>
    <n v="0"/>
    <n v="0"/>
    <n v="0"/>
    <n v="0"/>
    <n v="0"/>
    <n v="0"/>
    <n v="0"/>
    <n v="0"/>
    <n v="0"/>
    <n v="0"/>
    <n v="0"/>
    <n v="0"/>
    <n v="0"/>
    <n v="0"/>
    <m/>
    <m/>
    <m/>
    <m/>
    <m/>
    <m/>
    <m/>
    <m/>
    <m/>
    <m/>
    <m/>
    <m/>
    <m/>
    <m/>
    <m/>
    <m/>
    <m/>
    <m/>
    <m/>
    <m/>
    <m/>
    <m/>
    <m/>
    <m/>
    <m/>
    <m/>
    <m/>
    <m/>
    <m/>
    <m/>
    <m/>
    <m/>
    <m/>
    <m/>
    <m/>
    <m/>
    <m/>
    <m/>
    <m/>
    <m/>
    <m/>
    <m/>
    <m/>
    <m/>
    <m/>
    <m/>
    <m/>
    <m/>
    <m/>
  </r>
  <r>
    <n v="743"/>
    <d v="2025-02-04T00:00:00"/>
    <s v="ZBTO"/>
    <n v="9518493782"/>
    <n v="1"/>
    <s v="9518493782-1"/>
    <s v="May'25"/>
    <x v="1"/>
    <s v="Yes"/>
    <x v="3"/>
    <x v="9"/>
    <n v="2000"/>
    <m/>
    <x v="1"/>
    <m/>
    <m/>
    <s v="Orissa"/>
    <s v="East"/>
    <m/>
    <m/>
    <n v="117061"/>
    <x v="19"/>
    <n v="3484324"/>
    <s v="GP SH SOFT TATXGP GK09 0.300X900X2500"/>
    <m/>
    <m/>
    <m/>
    <m/>
    <m/>
    <s v="B11"/>
    <s v="TATXGP"/>
    <s v="GK09"/>
    <n v="0.3"/>
    <n v="900"/>
    <n v="2500"/>
    <n v="80"/>
    <n v="0"/>
    <n v="80"/>
    <n v="80"/>
    <n v="80"/>
    <n v="80"/>
    <n v="0"/>
    <n v="0"/>
    <n v="0"/>
    <n v="0"/>
    <n v="0"/>
    <n v="0"/>
    <n v="0"/>
    <n v="0"/>
    <n v="0"/>
    <n v="0"/>
    <n v="0"/>
    <n v="0"/>
    <n v="0"/>
    <n v="0"/>
    <n v="0"/>
    <n v="0"/>
    <n v="0"/>
    <n v="0"/>
    <n v="0"/>
    <n v="0"/>
    <n v="0"/>
    <n v="0"/>
    <n v="0"/>
    <m/>
    <m/>
    <m/>
    <m/>
    <m/>
    <m/>
    <m/>
    <m/>
    <m/>
    <m/>
    <m/>
    <m/>
    <m/>
    <m/>
    <m/>
    <m/>
    <m/>
    <m/>
    <m/>
    <m/>
    <m/>
    <m/>
    <m/>
    <m/>
    <m/>
    <m/>
    <m/>
    <m/>
    <m/>
    <m/>
    <m/>
    <m/>
    <m/>
    <m/>
    <m/>
    <m/>
    <m/>
    <m/>
    <m/>
    <m/>
    <m/>
    <m/>
    <m/>
    <m/>
    <m/>
    <m/>
    <m/>
    <m/>
    <m/>
  </r>
  <r>
    <n v="743"/>
    <d v="2025-02-04T00:00:00"/>
    <s v="ZBTO"/>
    <n v="9518493782"/>
    <n v="2"/>
    <s v="9518493782-2"/>
    <s v="May'25"/>
    <x v="1"/>
    <s v="Yes"/>
    <x v="3"/>
    <x v="9"/>
    <n v="2000"/>
    <m/>
    <x v="1"/>
    <m/>
    <m/>
    <s v="Orissa"/>
    <s v="East"/>
    <m/>
    <m/>
    <n v="117061"/>
    <x v="19"/>
    <n v="3484325"/>
    <s v="GP SH SOFT TATXGP GK09 0.350X900X2500"/>
    <m/>
    <m/>
    <m/>
    <m/>
    <m/>
    <s v="B11"/>
    <s v="TATXGP"/>
    <s v="GK09"/>
    <n v="0.35"/>
    <n v="900"/>
    <n v="0"/>
    <n v="80"/>
    <n v="0"/>
    <n v="80"/>
    <n v="80"/>
    <n v="80"/>
    <n v="80"/>
    <n v="0"/>
    <n v="0"/>
    <n v="0"/>
    <n v="0"/>
    <n v="0"/>
    <n v="0"/>
    <n v="0"/>
    <n v="0"/>
    <n v="0"/>
    <n v="0"/>
    <n v="0"/>
    <n v="0"/>
    <n v="0"/>
    <n v="0"/>
    <n v="0"/>
    <n v="0"/>
    <n v="0"/>
    <n v="0"/>
    <n v="0"/>
    <n v="0"/>
    <n v="0"/>
    <n v="0"/>
    <n v="0"/>
    <m/>
    <m/>
    <m/>
    <m/>
    <m/>
    <m/>
    <m/>
    <m/>
    <m/>
    <m/>
    <m/>
    <m/>
    <m/>
    <m/>
    <m/>
    <m/>
    <m/>
    <m/>
    <m/>
    <m/>
    <m/>
    <m/>
    <m/>
    <m/>
    <m/>
    <m/>
    <m/>
    <m/>
    <m/>
    <m/>
    <m/>
    <m/>
    <m/>
    <m/>
    <m/>
    <m/>
    <m/>
    <m/>
    <m/>
    <m/>
    <m/>
    <m/>
    <m/>
    <m/>
    <m/>
    <m/>
    <m/>
    <m/>
    <m/>
  </r>
  <r>
    <n v="743"/>
    <d v="2025-02-04T00:00:00"/>
    <s v="ZBTO"/>
    <n v="9518493782"/>
    <n v="3"/>
    <s v="9518493782-3"/>
    <s v="May'25"/>
    <x v="1"/>
    <s v="Yes"/>
    <x v="3"/>
    <x v="9"/>
    <n v="2000"/>
    <m/>
    <x v="1"/>
    <m/>
    <m/>
    <s v="Orissa"/>
    <s v="East"/>
    <m/>
    <m/>
    <n v="117061"/>
    <x v="19"/>
    <n v="3484326"/>
    <s v="GP SH SOFT TATXGP GK09 0.400X900X2500"/>
    <m/>
    <m/>
    <m/>
    <m/>
    <m/>
    <s v="B11"/>
    <s v="TATXGP"/>
    <s v="GK09"/>
    <n v="0.4"/>
    <n v="900"/>
    <n v="0"/>
    <n v="80"/>
    <n v="0"/>
    <n v="80"/>
    <n v="80"/>
    <n v="80"/>
    <n v="80"/>
    <n v="0"/>
    <n v="0"/>
    <n v="0"/>
    <n v="0"/>
    <n v="0"/>
    <n v="0"/>
    <n v="0"/>
    <n v="0"/>
    <n v="0"/>
    <n v="0"/>
    <n v="0"/>
    <n v="0"/>
    <n v="0"/>
    <n v="0"/>
    <n v="0"/>
    <n v="0"/>
    <n v="0"/>
    <n v="0"/>
    <n v="0"/>
    <n v="0"/>
    <n v="0"/>
    <n v="0"/>
    <n v="0"/>
    <m/>
    <m/>
    <m/>
    <m/>
    <m/>
    <m/>
    <m/>
    <m/>
    <m/>
    <m/>
    <m/>
    <m/>
    <m/>
    <m/>
    <m/>
    <m/>
    <m/>
    <m/>
    <m/>
    <m/>
    <m/>
    <m/>
    <m/>
    <m/>
    <m/>
    <m/>
    <m/>
    <m/>
    <m/>
    <m/>
    <m/>
    <m/>
    <m/>
    <m/>
    <m/>
    <m/>
    <m/>
    <m/>
    <m/>
    <m/>
    <m/>
    <m/>
    <m/>
    <m/>
    <m/>
    <m/>
    <m/>
    <m/>
    <m/>
  </r>
  <r>
    <n v="743"/>
    <d v="2025-02-04T00:00:00"/>
    <s v="ZBTO"/>
    <n v="9518493782"/>
    <n v="4"/>
    <s v="9518493782-4"/>
    <s v="May'25"/>
    <x v="1"/>
    <s v="Yes"/>
    <x v="3"/>
    <x v="9"/>
    <n v="2000"/>
    <m/>
    <x v="1"/>
    <m/>
    <m/>
    <s v="Orissa"/>
    <s v="East"/>
    <m/>
    <m/>
    <n v="117061"/>
    <x v="19"/>
    <n v="3484328"/>
    <s v="GP SH SOFT TATXGP GK09 0.500X900X2500"/>
    <m/>
    <m/>
    <m/>
    <m/>
    <m/>
    <s v="B11"/>
    <s v="TATXGP"/>
    <s v="GK09"/>
    <n v="0.5"/>
    <n v="900"/>
    <n v="0"/>
    <n v="80"/>
    <n v="0"/>
    <n v="80"/>
    <n v="80"/>
    <n v="80"/>
    <n v="80"/>
    <n v="0"/>
    <n v="0"/>
    <n v="0"/>
    <n v="0"/>
    <n v="0"/>
    <n v="0"/>
    <n v="0"/>
    <n v="0"/>
    <n v="0"/>
    <n v="0"/>
    <n v="0"/>
    <n v="0"/>
    <n v="0"/>
    <n v="0"/>
    <n v="0"/>
    <n v="0"/>
    <n v="0"/>
    <n v="0"/>
    <n v="0"/>
    <n v="0"/>
    <n v="0"/>
    <n v="0"/>
    <n v="0"/>
    <m/>
    <m/>
    <m/>
    <m/>
    <m/>
    <m/>
    <m/>
    <m/>
    <m/>
    <m/>
    <m/>
    <m/>
    <m/>
    <m/>
    <m/>
    <m/>
    <m/>
    <m/>
    <m/>
    <m/>
    <m/>
    <m/>
    <m/>
    <m/>
    <m/>
    <m/>
    <m/>
    <m/>
    <m/>
    <m/>
    <m/>
    <m/>
    <m/>
    <m/>
    <m/>
    <m/>
    <m/>
    <m/>
    <m/>
    <m/>
    <m/>
    <m/>
    <m/>
    <m/>
    <m/>
    <m/>
    <m/>
    <m/>
    <m/>
  </r>
  <r>
    <n v="742"/>
    <d v="2025-02-14T00:00:00"/>
    <s v="ZBTO"/>
    <n v="9518519644"/>
    <n v="2"/>
    <s v="9518519644-2"/>
    <s v="May'25"/>
    <x v="0"/>
    <s v="Yes"/>
    <x v="1"/>
    <x v="2"/>
    <n v="2000"/>
    <m/>
    <x v="1"/>
    <m/>
    <m/>
    <s v="Bihar"/>
    <s v="East"/>
    <m/>
    <m/>
    <n v="103227"/>
    <x v="31"/>
    <n v="2440959"/>
    <s v="CRCA SHEET TATCRC SR16 0.330X900X2500"/>
    <m/>
    <m/>
    <m/>
    <m/>
    <m/>
    <s v="C06"/>
    <s v="TATCRC"/>
    <s v="SR16"/>
    <n v="0.33"/>
    <n v="900"/>
    <n v="2500"/>
    <n v="51"/>
    <n v="0"/>
    <n v="51"/>
    <n v="51"/>
    <n v="51"/>
    <n v="51"/>
    <n v="0"/>
    <n v="0"/>
    <n v="0"/>
    <n v="0"/>
    <n v="0"/>
    <n v="0"/>
    <n v="0"/>
    <n v="0"/>
    <n v="0"/>
    <n v="0"/>
    <n v="0"/>
    <n v="0"/>
    <n v="0"/>
    <n v="0"/>
    <n v="0"/>
    <n v="0"/>
    <n v="0"/>
    <n v="0"/>
    <n v="0"/>
    <n v="0"/>
    <n v="0"/>
    <n v="0"/>
    <n v="0"/>
    <m/>
    <m/>
    <m/>
    <m/>
    <m/>
    <m/>
    <m/>
    <m/>
    <m/>
    <m/>
    <m/>
    <m/>
    <m/>
    <m/>
    <m/>
    <m/>
    <m/>
    <m/>
    <m/>
    <m/>
    <m/>
    <m/>
    <m/>
    <m/>
    <m/>
    <m/>
    <m/>
    <m/>
    <m/>
    <m/>
    <m/>
    <m/>
    <m/>
    <m/>
    <m/>
    <m/>
    <m/>
    <m/>
    <m/>
    <m/>
    <m/>
    <m/>
    <m/>
    <m/>
    <m/>
    <m/>
    <m/>
    <m/>
    <m/>
  </r>
  <r>
    <n v="742"/>
    <d v="2025-02-14T00:00:00"/>
    <s v="ZBTO"/>
    <n v="9518519644"/>
    <n v="4"/>
    <s v="9518519644-4"/>
    <s v="May'25"/>
    <x v="0"/>
    <s v="Yes"/>
    <x v="1"/>
    <x v="2"/>
    <n v="2000"/>
    <m/>
    <x v="1"/>
    <m/>
    <m/>
    <s v="Bihar"/>
    <s v="East"/>
    <m/>
    <m/>
    <n v="103227"/>
    <x v="31"/>
    <n v="3239536"/>
    <s v="CRCA SHEET TATCRC SR16 0.350X900X2500"/>
    <m/>
    <m/>
    <m/>
    <m/>
    <m/>
    <s v="C06"/>
    <s v="TATCRC"/>
    <s v="SR16"/>
    <n v="0.35"/>
    <n v="900"/>
    <n v="2500"/>
    <n v="51"/>
    <n v="0"/>
    <n v="51"/>
    <n v="51"/>
    <n v="51"/>
    <n v="51"/>
    <n v="0"/>
    <n v="0"/>
    <n v="0"/>
    <n v="0"/>
    <n v="0"/>
    <n v="0"/>
    <n v="0"/>
    <n v="0"/>
    <n v="0"/>
    <n v="0"/>
    <n v="0"/>
    <n v="0"/>
    <n v="0"/>
    <n v="0"/>
    <n v="0"/>
    <n v="0"/>
    <n v="0"/>
    <n v="0"/>
    <n v="0"/>
    <n v="0"/>
    <n v="0"/>
    <n v="0"/>
    <n v="0"/>
    <m/>
    <m/>
    <m/>
    <m/>
    <m/>
    <m/>
    <m/>
    <m/>
    <m/>
    <m/>
    <m/>
    <m/>
    <m/>
    <m/>
    <m/>
    <m/>
    <m/>
    <m/>
    <m/>
    <m/>
    <m/>
    <m/>
    <m/>
    <m/>
    <m/>
    <m/>
    <m/>
    <m/>
    <m/>
    <m/>
    <m/>
    <m/>
    <m/>
    <m/>
    <m/>
    <m/>
    <m/>
    <m/>
    <m/>
    <m/>
    <m/>
    <m/>
    <m/>
    <m/>
    <m/>
    <m/>
    <m/>
    <m/>
    <m/>
  </r>
  <r>
    <n v="742"/>
    <d v="2025-02-14T00:00:00"/>
    <s v="ZBTO"/>
    <n v="9518520213"/>
    <n v="1"/>
    <s v="9518520213-1"/>
    <s v="May'25"/>
    <x v="0"/>
    <s v="Yes"/>
    <x v="1"/>
    <x v="2"/>
    <n v="2000"/>
    <m/>
    <x v="1"/>
    <m/>
    <m/>
    <s v="Bihar"/>
    <s v="East"/>
    <m/>
    <m/>
    <n v="103227"/>
    <x v="31"/>
    <n v="3239408"/>
    <s v="CRCA SHEET TATCRC SR16 0.300X900X2500"/>
    <m/>
    <m/>
    <m/>
    <m/>
    <m/>
    <s v="C06"/>
    <s v="TATCRC"/>
    <s v="SR16"/>
    <n v="0.3"/>
    <n v="900"/>
    <n v="2500"/>
    <n v="51"/>
    <n v="0"/>
    <n v="51"/>
    <n v="51"/>
    <n v="51"/>
    <n v="51"/>
    <n v="0"/>
    <n v="0"/>
    <n v="0"/>
    <n v="0"/>
    <n v="0"/>
    <n v="0"/>
    <n v="0"/>
    <n v="0"/>
    <n v="0"/>
    <n v="0"/>
    <n v="0"/>
    <n v="0"/>
    <n v="0"/>
    <n v="0"/>
    <n v="0"/>
    <n v="0"/>
    <n v="0"/>
    <n v="0"/>
    <n v="0"/>
    <n v="0"/>
    <n v="0"/>
    <n v="0"/>
    <n v="0"/>
    <m/>
    <m/>
    <m/>
    <m/>
    <m/>
    <m/>
    <m/>
    <m/>
    <m/>
    <m/>
    <m/>
    <m/>
    <m/>
    <m/>
    <m/>
    <m/>
    <m/>
    <m/>
    <m/>
    <m/>
    <m/>
    <m/>
    <m/>
    <m/>
    <m/>
    <m/>
    <m/>
    <m/>
    <m/>
    <m/>
    <m/>
    <m/>
    <m/>
    <m/>
    <m/>
    <m/>
    <m/>
    <m/>
    <m/>
    <m/>
    <m/>
    <m/>
    <m/>
    <m/>
    <m/>
    <m/>
    <m/>
    <m/>
    <m/>
  </r>
  <r>
    <n v="743"/>
    <d v="2025-02-05T00:00:00"/>
    <s v="ZBTO"/>
    <n v="9518495843"/>
    <n v="4"/>
    <s v="9518495843-4"/>
    <s v="May'25"/>
    <x v="1"/>
    <s v="Yes"/>
    <x v="3"/>
    <x v="9"/>
    <n v="2000"/>
    <m/>
    <x v="1"/>
    <m/>
    <m/>
    <s v="West Bengal"/>
    <s v="East"/>
    <m/>
    <m/>
    <n v="100922"/>
    <x v="36"/>
    <n v="1142414"/>
    <s v="GP COIL SOFT-TATXGP-GLK1-0.45X900"/>
    <m/>
    <m/>
    <m/>
    <m/>
    <m/>
    <s v="C02"/>
    <s v="TATXGP"/>
    <s v="GLK1"/>
    <n v="0.45"/>
    <n v="900"/>
    <n v="0"/>
    <n v="63"/>
    <n v="0"/>
    <n v="63"/>
    <n v="63"/>
    <n v="63"/>
    <n v="63"/>
    <n v="0"/>
    <n v="0"/>
    <n v="0"/>
    <n v="0"/>
    <n v="0"/>
    <n v="0"/>
    <n v="0"/>
    <n v="0"/>
    <n v="0"/>
    <n v="0"/>
    <n v="0"/>
    <n v="0"/>
    <n v="0"/>
    <n v="0"/>
    <n v="0"/>
    <n v="0"/>
    <n v="0"/>
    <n v="0"/>
    <n v="0"/>
    <n v="0"/>
    <n v="0"/>
    <n v="0"/>
    <n v="0"/>
    <m/>
    <m/>
    <m/>
    <m/>
    <m/>
    <m/>
    <m/>
    <m/>
    <m/>
    <m/>
    <m/>
    <m/>
    <m/>
    <m/>
    <m/>
    <m/>
    <m/>
    <m/>
    <m/>
    <m/>
    <m/>
    <m/>
    <m/>
    <m/>
    <m/>
    <m/>
    <m/>
    <m/>
    <m/>
    <m/>
    <m/>
    <m/>
    <m/>
    <m/>
    <m/>
    <m/>
    <m/>
    <m/>
    <m/>
    <m/>
    <m/>
    <m/>
    <m/>
    <m/>
    <m/>
    <m/>
    <m/>
    <m/>
    <m/>
  </r>
  <r>
    <n v="743"/>
    <d v="2025-02-05T00:00:00"/>
    <s v="ZBTO"/>
    <n v="9518495843"/>
    <n v="6"/>
    <s v="9518495843-6"/>
    <s v="May'25"/>
    <x v="0"/>
    <s v="Yes"/>
    <x v="3"/>
    <x v="9"/>
    <n v="2000"/>
    <m/>
    <x v="1"/>
    <m/>
    <m/>
    <s v="West Bengal"/>
    <s v="East"/>
    <m/>
    <m/>
    <n v="100922"/>
    <x v="36"/>
    <n v="1142897"/>
    <s v="GP COIL SOFT-TATXGP-GLK1-0.6X900"/>
    <m/>
    <m/>
    <m/>
    <m/>
    <m/>
    <s v="C02"/>
    <s v="TATXGP"/>
    <s v="GLK1"/>
    <n v="0.6"/>
    <n v="900"/>
    <n v="0"/>
    <n v="63"/>
    <n v="0"/>
    <n v="63"/>
    <n v="63"/>
    <n v="63"/>
    <n v="63"/>
    <n v="0"/>
    <n v="0"/>
    <n v="0"/>
    <n v="0"/>
    <n v="0"/>
    <n v="0"/>
    <n v="0"/>
    <n v="0"/>
    <n v="0"/>
    <n v="0"/>
    <n v="0"/>
    <n v="0"/>
    <n v="0"/>
    <n v="0"/>
    <n v="0"/>
    <n v="0"/>
    <n v="0"/>
    <n v="0"/>
    <n v="0"/>
    <n v="0"/>
    <n v="0"/>
    <n v="0"/>
    <n v="0"/>
    <m/>
    <m/>
    <m/>
    <m/>
    <m/>
    <m/>
    <m/>
    <m/>
    <m/>
    <m/>
    <m/>
    <m/>
    <m/>
    <m/>
    <m/>
    <m/>
    <m/>
    <m/>
    <m/>
    <m/>
    <m/>
    <m/>
    <m/>
    <m/>
    <m/>
    <m/>
    <m/>
    <m/>
    <m/>
    <m/>
    <m/>
    <m/>
    <m/>
    <m/>
    <m/>
    <m/>
    <m/>
    <m/>
    <m/>
    <m/>
    <m/>
    <m/>
    <m/>
    <m/>
    <m/>
    <m/>
    <m/>
    <m/>
    <m/>
  </r>
  <r>
    <n v="742"/>
    <d v="2025-02-10T00:00:00"/>
    <s v="ZBTO"/>
    <n v="9518506597"/>
    <n v="1"/>
    <s v="9518506597-1"/>
    <s v="No Priority"/>
    <x v="0"/>
    <m/>
    <x v="1"/>
    <x v="10"/>
    <n v="1000"/>
    <m/>
    <x v="0"/>
    <m/>
    <m/>
    <s v="Tamil Nadu"/>
    <s v="South"/>
    <m/>
    <m/>
    <n v="122082"/>
    <x v="116"/>
    <n v="3870547"/>
    <s v="CR COIL TATXHS GB03 1.500X1258"/>
    <m/>
    <m/>
    <m/>
    <m/>
    <m/>
    <s v="C01"/>
    <s v="TATXHS"/>
    <s v="GB03"/>
    <n v="1.5"/>
    <n v="1258"/>
    <n v="0"/>
    <n v="261"/>
    <n v="0"/>
    <n v="261"/>
    <n v="261"/>
    <n v="261"/>
    <n v="261"/>
    <n v="0"/>
    <n v="0"/>
    <n v="0"/>
    <n v="0"/>
    <n v="0"/>
    <n v="0"/>
    <n v="0"/>
    <n v="0"/>
    <n v="0"/>
    <n v="0"/>
    <n v="0"/>
    <n v="0"/>
    <n v="0"/>
    <n v="0"/>
    <n v="0"/>
    <n v="0"/>
    <n v="0"/>
    <n v="0"/>
    <n v="0"/>
    <n v="0"/>
    <n v="0"/>
    <n v="0"/>
    <n v="0"/>
    <m/>
    <m/>
    <m/>
    <m/>
    <m/>
    <m/>
    <m/>
    <m/>
    <m/>
    <m/>
    <m/>
    <m/>
    <m/>
    <m/>
    <m/>
    <m/>
    <m/>
    <m/>
    <m/>
    <m/>
    <m/>
    <m/>
    <m/>
    <m/>
    <m/>
    <m/>
    <m/>
    <m/>
    <m/>
    <m/>
    <m/>
    <m/>
    <m/>
    <m/>
    <m/>
    <m/>
    <m/>
    <m/>
    <m/>
    <m/>
    <m/>
    <m/>
    <m/>
    <m/>
    <m/>
    <m/>
    <m/>
    <m/>
    <m/>
  </r>
  <r>
    <n v="742"/>
    <d v="2025-02-05T00:00:00"/>
    <s v="ZBTO"/>
    <n v="9518495920"/>
    <n v="1"/>
    <s v="9518495920-1"/>
    <s v="No Priority"/>
    <x v="1"/>
    <s v="Yes"/>
    <x v="1"/>
    <x v="2"/>
    <n v="2000"/>
    <m/>
    <x v="0"/>
    <m/>
    <m/>
    <s v="Uttar Pradesh"/>
    <s v="North"/>
    <m/>
    <m/>
    <n v="931525"/>
    <x v="2"/>
    <n v="3239557"/>
    <s v="CRCA SHEET TATCRC SR16 0.400X1250X2500"/>
    <m/>
    <m/>
    <m/>
    <m/>
    <m/>
    <s v="C06"/>
    <s v="TATCRC"/>
    <s v="SR16"/>
    <n v="0.4"/>
    <n v="1250"/>
    <n v="0"/>
    <n v="27"/>
    <n v="0"/>
    <n v="27"/>
    <n v="27"/>
    <n v="27"/>
    <n v="27"/>
    <n v="0"/>
    <n v="0"/>
    <n v="0"/>
    <n v="0"/>
    <n v="0"/>
    <n v="0"/>
    <n v="0"/>
    <n v="0"/>
    <n v="0"/>
    <n v="0"/>
    <n v="0"/>
    <n v="0"/>
    <n v="0"/>
    <n v="0"/>
    <n v="0"/>
    <n v="0"/>
    <n v="0"/>
    <n v="0"/>
    <n v="0"/>
    <n v="0"/>
    <n v="0"/>
    <n v="0"/>
    <n v="0"/>
    <m/>
    <m/>
    <m/>
    <m/>
    <m/>
    <m/>
    <m/>
    <m/>
    <m/>
    <m/>
    <m/>
    <m/>
    <m/>
    <m/>
    <m/>
    <m/>
    <m/>
    <m/>
    <m/>
    <m/>
    <m/>
    <m/>
    <m/>
    <m/>
    <m/>
    <m/>
    <m/>
    <m/>
    <m/>
    <m/>
    <m/>
    <m/>
    <m/>
    <m/>
    <m/>
    <m/>
    <m/>
    <m/>
    <m/>
    <m/>
    <m/>
    <m/>
    <m/>
    <m/>
    <m/>
    <m/>
    <m/>
    <m/>
    <m/>
  </r>
  <r>
    <n v="742"/>
    <d v="2025-02-05T00:00:00"/>
    <s v="ZBTO"/>
    <n v="9518495920"/>
    <n v="5"/>
    <s v="9518495920-5"/>
    <s v="No Priority"/>
    <x v="0"/>
    <s v="Yes"/>
    <x v="1"/>
    <x v="2"/>
    <n v="2000"/>
    <m/>
    <x v="0"/>
    <m/>
    <m/>
    <s v="Uttar Pradesh"/>
    <s v="North"/>
    <m/>
    <m/>
    <n v="931525"/>
    <x v="2"/>
    <n v="3437524"/>
    <s v="CRCA SHEET TATCRC SR16 0.400X1250X2030"/>
    <m/>
    <m/>
    <m/>
    <m/>
    <m/>
    <s v="C06"/>
    <s v="TATCRC"/>
    <s v="SR16"/>
    <n v="0.4"/>
    <n v="1250"/>
    <n v="2030"/>
    <n v="27"/>
    <n v="0"/>
    <n v="27"/>
    <n v="27"/>
    <n v="27"/>
    <n v="27"/>
    <n v="0"/>
    <n v="0"/>
    <n v="0"/>
    <n v="0"/>
    <n v="0"/>
    <n v="0"/>
    <n v="0"/>
    <n v="0"/>
    <n v="0"/>
    <n v="0"/>
    <n v="0"/>
    <n v="0"/>
    <n v="0"/>
    <n v="0"/>
    <n v="0"/>
    <n v="0"/>
    <n v="0"/>
    <n v="0"/>
    <n v="0"/>
    <n v="0"/>
    <n v="0"/>
    <n v="0"/>
    <n v="0"/>
    <m/>
    <m/>
    <m/>
    <m/>
    <m/>
    <m/>
    <m/>
    <m/>
    <m/>
    <m/>
    <m/>
    <m/>
    <m/>
    <m/>
    <m/>
    <m/>
    <m/>
    <m/>
    <m/>
    <m/>
    <m/>
    <m/>
    <m/>
    <m/>
    <m/>
    <m/>
    <m/>
    <m/>
    <m/>
    <m/>
    <m/>
    <m/>
    <m/>
    <m/>
    <m/>
    <m/>
    <m/>
    <m/>
    <m/>
    <m/>
    <m/>
    <m/>
    <m/>
    <m/>
    <m/>
    <m/>
    <m/>
    <m/>
    <m/>
  </r>
  <r>
    <n v="743"/>
    <d v="2025-02-17T00:00:00"/>
    <s v="ZBTO"/>
    <n v="9518527008"/>
    <n v="1"/>
    <s v="9518527008-1"/>
    <s v="No Priority"/>
    <x v="1"/>
    <m/>
    <x v="3"/>
    <x v="9"/>
    <n v="2000"/>
    <m/>
    <x v="0"/>
    <m/>
    <m/>
    <s v="Uttar Pradesh"/>
    <s v="North"/>
    <m/>
    <m/>
    <n v="931234"/>
    <x v="99"/>
    <n v="1319275"/>
    <s v="GP COIL SOFT-TATXGP-GLK1-0.2X900"/>
    <m/>
    <m/>
    <m/>
    <m/>
    <m/>
    <s v="C02"/>
    <s v="TATXGP"/>
    <s v="GLK1"/>
    <n v="0.2"/>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2-17T00:00:00"/>
    <s v="ZBTO"/>
    <n v="9518527008"/>
    <n v="5"/>
    <s v="9518527008-5"/>
    <s v="No Priority"/>
    <x v="1"/>
    <m/>
    <x v="3"/>
    <x v="9"/>
    <n v="2000"/>
    <m/>
    <x v="0"/>
    <m/>
    <m/>
    <s v="Uttar Pradesh"/>
    <s v="North"/>
    <m/>
    <m/>
    <n v="931234"/>
    <x v="99"/>
    <n v="2270690"/>
    <s v="GP COIL SOFT TATXGP GLK1 0.25X1000"/>
    <m/>
    <m/>
    <m/>
    <m/>
    <m/>
    <s v="C02"/>
    <s v="TATXGP"/>
    <s v="GLK1"/>
    <n v="0.25"/>
    <n v="1000"/>
    <n v="0"/>
    <n v="23"/>
    <n v="0"/>
    <n v="23"/>
    <n v="23"/>
    <n v="23"/>
    <n v="23"/>
    <n v="0"/>
    <n v="0"/>
    <n v="0"/>
    <n v="0"/>
    <n v="0"/>
    <n v="0"/>
    <n v="0"/>
    <n v="0"/>
    <n v="0"/>
    <n v="0"/>
    <n v="0"/>
    <n v="0"/>
    <n v="0"/>
    <n v="0"/>
    <n v="0"/>
    <n v="0"/>
    <n v="0"/>
    <n v="0"/>
    <n v="0"/>
    <n v="0"/>
    <n v="0"/>
    <n v="0"/>
    <n v="0"/>
    <m/>
    <m/>
    <m/>
    <m/>
    <m/>
    <m/>
    <m/>
    <m/>
    <m/>
    <m/>
    <m/>
    <m/>
    <m/>
    <m/>
    <m/>
    <m/>
    <m/>
    <m/>
    <m/>
    <m/>
    <m/>
    <m/>
    <m/>
    <m/>
    <m/>
    <m/>
    <m/>
    <m/>
    <m/>
    <m/>
    <m/>
    <m/>
    <m/>
    <m/>
    <m/>
    <m/>
    <m/>
    <m/>
    <m/>
    <m/>
    <m/>
    <m/>
    <m/>
    <m/>
    <m/>
    <m/>
    <m/>
    <m/>
    <m/>
  </r>
  <r>
    <n v="743"/>
    <d v="2025-02-18T00:00:00"/>
    <s v="ZBTO"/>
    <n v="9518529960"/>
    <n v="3"/>
    <s v="9518529960-3"/>
    <s v="May'25"/>
    <x v="0"/>
    <m/>
    <x v="4"/>
    <x v="5"/>
    <n v="1000"/>
    <m/>
    <x v="1"/>
    <m/>
    <m/>
    <s v="Telangana"/>
    <s v="South"/>
    <m/>
    <m/>
    <n v="188152"/>
    <x v="117"/>
    <n v="3903395"/>
    <s v="GL COIL HARD  Y550GL GL6H 0.900X1220"/>
    <m/>
    <m/>
    <m/>
    <m/>
    <m/>
    <s v="B04"/>
    <s v="Y550GL"/>
    <s v="GL6H"/>
    <n v="0.9"/>
    <n v="1220"/>
    <n v="0"/>
    <n v="196"/>
    <n v="0"/>
    <n v="196"/>
    <n v="196"/>
    <n v="138.76999999999998"/>
    <n v="177.61500000000001"/>
    <n v="0"/>
    <n v="0"/>
    <n v="0"/>
    <n v="0"/>
    <n v="0"/>
    <n v="0"/>
    <n v="0"/>
    <n v="24.945"/>
    <n v="0"/>
    <n v="0"/>
    <n v="0"/>
    <n v="0"/>
    <n v="0"/>
    <n v="0"/>
    <n v="0"/>
    <n v="0"/>
    <n v="0"/>
    <n v="0"/>
    <n v="32.285000000000004"/>
    <n v="57.230000000000004"/>
    <n v="57.230000000000004"/>
    <n v="0"/>
    <n v="57.230000000000004"/>
    <m/>
    <m/>
    <m/>
    <m/>
    <m/>
    <m/>
    <m/>
    <m/>
    <m/>
    <m/>
    <m/>
    <m/>
    <m/>
    <m/>
    <m/>
    <m/>
    <m/>
    <m/>
    <m/>
    <m/>
    <m/>
    <m/>
    <m/>
    <m/>
    <m/>
    <m/>
    <m/>
    <m/>
    <m/>
    <m/>
    <m/>
    <m/>
    <m/>
    <m/>
    <m/>
    <m/>
    <m/>
    <m/>
    <m/>
    <m/>
    <m/>
    <m/>
    <m/>
    <m/>
    <m/>
    <m/>
    <m/>
    <m/>
    <m/>
  </r>
  <r>
    <n v="743"/>
    <d v="2025-02-19T00:00:00"/>
    <s v="ZBTO"/>
    <n v="9518531619"/>
    <n v="1"/>
    <s v="9518531619-1"/>
    <s v="No Priority"/>
    <x v="0"/>
    <m/>
    <x v="4"/>
    <x v="5"/>
    <n v="1000"/>
    <m/>
    <x v="0"/>
    <m/>
    <s v="Centre slit HR not available"/>
    <s v="Telangana"/>
    <s v="South"/>
    <m/>
    <m/>
    <n v="188152"/>
    <x v="117"/>
    <n v="3951358"/>
    <s v="GL COIL HARD  Y550GL GL6H 0.900X1050"/>
    <m/>
    <m/>
    <m/>
    <m/>
    <m/>
    <s v="B04"/>
    <s v="Y550GL"/>
    <s v="GL6H"/>
    <n v="0.9"/>
    <n v="1050"/>
    <n v="0"/>
    <n v="243"/>
    <n v="0"/>
    <n v="243"/>
    <n v="243"/>
    <n v="243"/>
    <n v="240"/>
    <n v="0"/>
    <n v="0"/>
    <n v="0"/>
    <n v="0"/>
    <n v="0"/>
    <n v="0"/>
    <n v="0"/>
    <n v="0"/>
    <n v="0"/>
    <n v="0"/>
    <n v="0"/>
    <n v="0"/>
    <n v="0"/>
    <n v="0"/>
    <n v="0"/>
    <n v="0"/>
    <n v="0"/>
    <n v="0"/>
    <n v="0"/>
    <n v="0"/>
    <n v="0"/>
    <n v="0"/>
    <n v="0"/>
    <m/>
    <m/>
    <m/>
    <m/>
    <m/>
    <m/>
    <m/>
    <m/>
    <m/>
    <m/>
    <m/>
    <m/>
    <m/>
    <m/>
    <m/>
    <m/>
    <m/>
    <m/>
    <m/>
    <m/>
    <m/>
    <m/>
    <m/>
    <m/>
    <m/>
    <m/>
    <m/>
    <m/>
    <m/>
    <m/>
    <m/>
    <m/>
    <m/>
    <m/>
    <m/>
    <m/>
    <m/>
    <m/>
    <m/>
    <m/>
    <m/>
    <m/>
    <m/>
    <m/>
    <m/>
    <m/>
    <m/>
    <m/>
    <m/>
  </r>
  <r>
    <n v="743"/>
    <d v="2025-02-19T00:00:00"/>
    <s v="ZBTO"/>
    <n v="9518531619"/>
    <n v="2"/>
    <s v="9518531619-2"/>
    <s v="No Priority"/>
    <x v="0"/>
    <m/>
    <x v="4"/>
    <x v="5"/>
    <n v="1000"/>
    <m/>
    <x v="0"/>
    <m/>
    <s v="Centre slit HR not available"/>
    <s v="Telangana"/>
    <s v="South"/>
    <m/>
    <m/>
    <n v="188152"/>
    <x v="117"/>
    <n v="3951358"/>
    <s v="GL COIL HARD  Y550GL GL6H 0.900X1050"/>
    <m/>
    <m/>
    <m/>
    <m/>
    <m/>
    <s v="B04"/>
    <s v="Y550GL"/>
    <s v="GL6H"/>
    <n v="0.9"/>
    <n v="1050"/>
    <n v="0"/>
    <n v="242"/>
    <n v="0"/>
    <n v="242"/>
    <n v="242"/>
    <n v="242"/>
    <n v="240"/>
    <n v="0"/>
    <n v="0"/>
    <n v="0"/>
    <n v="0"/>
    <n v="0"/>
    <n v="0"/>
    <n v="0"/>
    <n v="0"/>
    <n v="0"/>
    <n v="0"/>
    <n v="0"/>
    <n v="0"/>
    <n v="0"/>
    <n v="0"/>
    <n v="0"/>
    <n v="0"/>
    <n v="0"/>
    <n v="0"/>
    <n v="0"/>
    <n v="0"/>
    <n v="0"/>
    <n v="0"/>
    <n v="0"/>
    <m/>
    <m/>
    <m/>
    <m/>
    <m/>
    <m/>
    <m/>
    <m/>
    <m/>
    <m/>
    <m/>
    <m/>
    <m/>
    <m/>
    <m/>
    <m/>
    <m/>
    <m/>
    <m/>
    <m/>
    <m/>
    <m/>
    <m/>
    <m/>
    <m/>
    <m/>
    <m/>
    <m/>
    <m/>
    <m/>
    <m/>
    <m/>
    <m/>
    <m/>
    <m/>
    <m/>
    <m/>
    <m/>
    <m/>
    <m/>
    <m/>
    <m/>
    <m/>
    <m/>
    <m/>
    <m/>
    <m/>
    <m/>
    <m/>
  </r>
  <r>
    <n v="743"/>
    <d v="2025-02-19T00:00:00"/>
    <s v="ZBTO"/>
    <n v="9518531619"/>
    <n v="3"/>
    <s v="9518531619-3"/>
    <s v="No Priority"/>
    <x v="0"/>
    <m/>
    <x v="4"/>
    <x v="5"/>
    <n v="1000"/>
    <m/>
    <x v="0"/>
    <m/>
    <s v="Centre slit HR not available"/>
    <s v="Telangana"/>
    <s v="South"/>
    <m/>
    <m/>
    <n v="188152"/>
    <x v="117"/>
    <n v="3951358"/>
    <s v="GL COIL HARD  Y550GL GL6H 0.900X1050"/>
    <m/>
    <m/>
    <m/>
    <m/>
    <m/>
    <s v="B04"/>
    <s v="Y550GL"/>
    <s v="GL6H"/>
    <n v="0.9"/>
    <n v="1050"/>
    <n v="0"/>
    <n v="75"/>
    <n v="0"/>
    <n v="75"/>
    <n v="75"/>
    <n v="75"/>
    <n v="72"/>
    <n v="0"/>
    <n v="0"/>
    <n v="0"/>
    <n v="0"/>
    <n v="0"/>
    <n v="0"/>
    <n v="0"/>
    <n v="0"/>
    <n v="0"/>
    <n v="0"/>
    <n v="0"/>
    <n v="0"/>
    <n v="0"/>
    <n v="0"/>
    <n v="0"/>
    <n v="0"/>
    <n v="0"/>
    <n v="0"/>
    <n v="0"/>
    <n v="0"/>
    <n v="0"/>
    <n v="0"/>
    <n v="0"/>
    <m/>
    <m/>
    <m/>
    <m/>
    <m/>
    <m/>
    <m/>
    <m/>
    <m/>
    <m/>
    <m/>
    <m/>
    <m/>
    <m/>
    <m/>
    <m/>
    <m/>
    <m/>
    <m/>
    <m/>
    <m/>
    <m/>
    <m/>
    <m/>
    <m/>
    <m/>
    <m/>
    <m/>
    <m/>
    <m/>
    <m/>
    <m/>
    <m/>
    <m/>
    <m/>
    <m/>
    <m/>
    <m/>
    <m/>
    <m/>
    <m/>
    <m/>
    <m/>
    <m/>
    <m/>
    <m/>
    <m/>
    <m/>
    <m/>
  </r>
  <r>
    <n v="742"/>
    <d v="2025-02-11T00:00:00"/>
    <s v="ZBTO"/>
    <n v="9518510371"/>
    <n v="6"/>
    <s v="9518510371-6"/>
    <s v="No Priority"/>
    <x v="0"/>
    <m/>
    <x v="1"/>
    <x v="1"/>
    <n v="2000"/>
    <m/>
    <x v="0"/>
    <m/>
    <m/>
    <s v="Uttar Pradesh"/>
    <s v="North"/>
    <m/>
    <m/>
    <n v="115841"/>
    <x v="7"/>
    <n v="322585"/>
    <s v="CRCA SHEET TATCRC TR15 .9X1250X2500"/>
    <m/>
    <m/>
    <m/>
    <m/>
    <m/>
    <s v="C06"/>
    <s v="TATCRC"/>
    <s v="TR15"/>
    <n v="0.9"/>
    <n v="1250"/>
    <n v="2500"/>
    <n v="33"/>
    <n v="0"/>
    <n v="33"/>
    <n v="33"/>
    <n v="33"/>
    <n v="33"/>
    <n v="0"/>
    <n v="0"/>
    <n v="0"/>
    <n v="0"/>
    <n v="0"/>
    <n v="0"/>
    <n v="0"/>
    <n v="0"/>
    <n v="0"/>
    <n v="0"/>
    <n v="0"/>
    <n v="0"/>
    <n v="0"/>
    <n v="0"/>
    <n v="0"/>
    <n v="0"/>
    <n v="0"/>
    <n v="0"/>
    <n v="0"/>
    <n v="0"/>
    <n v="0"/>
    <n v="0"/>
    <n v="0"/>
    <m/>
    <m/>
    <m/>
    <m/>
    <m/>
    <m/>
    <m/>
    <m/>
    <m/>
    <m/>
    <m/>
    <m/>
    <m/>
    <m/>
    <m/>
    <m/>
    <m/>
    <m/>
    <m/>
    <m/>
    <m/>
    <m/>
    <m/>
    <m/>
    <m/>
    <m/>
    <m/>
    <m/>
    <m/>
    <m/>
    <m/>
    <m/>
    <m/>
    <m/>
    <m/>
    <m/>
    <m/>
    <m/>
    <m/>
    <m/>
    <m/>
    <m/>
    <m/>
    <m/>
    <m/>
    <m/>
    <m/>
    <m/>
    <m/>
  </r>
  <r>
    <n v="742"/>
    <d v="2025-02-06T00:00:00"/>
    <s v="ZBTO"/>
    <n v="9518498999"/>
    <n v="2"/>
    <s v="9518498999-2"/>
    <s v="No Priority"/>
    <x v="1"/>
    <m/>
    <x v="1"/>
    <x v="1"/>
    <n v="2000"/>
    <m/>
    <x v="0"/>
    <m/>
    <m/>
    <s v="Jharkhand"/>
    <s v="East"/>
    <m/>
    <m/>
    <n v="121328"/>
    <x v="10"/>
    <n v="1804896"/>
    <s v="CRCA COIL-TATCRC-TR15-0.45X1000"/>
    <m/>
    <m/>
    <m/>
    <m/>
    <m/>
    <s v="C01"/>
    <s v="TATCRC"/>
    <s v="TR15"/>
    <n v="0.45"/>
    <n v="1000"/>
    <n v="0"/>
    <n v="92"/>
    <n v="0"/>
    <n v="92"/>
    <n v="92"/>
    <n v="92"/>
    <n v="92"/>
    <n v="0"/>
    <n v="0"/>
    <n v="0"/>
    <n v="0"/>
    <n v="0"/>
    <n v="0"/>
    <n v="0"/>
    <n v="0"/>
    <n v="0"/>
    <n v="0"/>
    <n v="0"/>
    <n v="0"/>
    <n v="0"/>
    <n v="0"/>
    <n v="0"/>
    <n v="0"/>
    <n v="0"/>
    <n v="0"/>
    <n v="0"/>
    <n v="0"/>
    <n v="0"/>
    <n v="0"/>
    <n v="0"/>
    <m/>
    <m/>
    <m/>
    <m/>
    <m/>
    <m/>
    <m/>
    <m/>
    <m/>
    <m/>
    <m/>
    <m/>
    <m/>
    <m/>
    <m/>
    <m/>
    <m/>
    <m/>
    <m/>
    <m/>
    <m/>
    <m/>
    <m/>
    <m/>
    <m/>
    <m/>
    <m/>
    <m/>
    <m/>
    <m/>
    <m/>
    <m/>
    <m/>
    <m/>
    <m/>
    <m/>
    <m/>
    <m/>
    <m/>
    <m/>
    <m/>
    <m/>
    <m/>
    <m/>
    <m/>
    <m/>
    <m/>
    <m/>
    <m/>
  </r>
  <r>
    <n v="742"/>
    <d v="2025-02-06T00:00:00"/>
    <s v="ZBTO"/>
    <n v="9518498999"/>
    <n v="3"/>
    <s v="9518498999-3"/>
    <s v="No Priority"/>
    <x v="1"/>
    <m/>
    <x v="1"/>
    <x v="1"/>
    <n v="2000"/>
    <m/>
    <x v="0"/>
    <m/>
    <m/>
    <s v="Jharkhand"/>
    <s v="East"/>
    <m/>
    <m/>
    <n v="121328"/>
    <x v="10"/>
    <n v="1804905"/>
    <s v="CRCA COIL-TATCRC-TR15-0.5X1000"/>
    <m/>
    <m/>
    <m/>
    <m/>
    <m/>
    <s v="C01"/>
    <s v="TATCRC"/>
    <s v="TR15"/>
    <n v="0.5"/>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2-06T00:00:00"/>
    <s v="ZBTO"/>
    <n v="9518498999"/>
    <n v="4"/>
    <s v="9518498999-4"/>
    <s v="No Priority"/>
    <x v="1"/>
    <m/>
    <x v="1"/>
    <x v="1"/>
    <n v="2000"/>
    <m/>
    <x v="0"/>
    <m/>
    <m/>
    <s v="Jharkhand"/>
    <s v="East"/>
    <m/>
    <m/>
    <n v="121328"/>
    <x v="10"/>
    <n v="1804914"/>
    <s v="CRCA COIL TATCRC TR15 0.6X1000"/>
    <m/>
    <m/>
    <m/>
    <m/>
    <m/>
    <s v="C01"/>
    <s v="TATCRC"/>
    <s v="TR15"/>
    <n v="0.6"/>
    <n v="1000"/>
    <n v="0"/>
    <n v="46"/>
    <n v="0"/>
    <n v="46"/>
    <n v="46"/>
    <n v="46"/>
    <n v="46"/>
    <n v="0"/>
    <n v="0"/>
    <n v="0"/>
    <n v="0"/>
    <n v="0"/>
    <n v="0"/>
    <n v="0"/>
    <n v="0"/>
    <n v="0"/>
    <n v="0"/>
    <n v="0"/>
    <n v="0"/>
    <n v="0"/>
    <n v="0"/>
    <n v="0"/>
    <n v="0"/>
    <n v="0"/>
    <n v="0"/>
    <n v="0"/>
    <n v="0"/>
    <n v="0"/>
    <n v="0"/>
    <n v="0"/>
    <m/>
    <m/>
    <m/>
    <m/>
    <m/>
    <m/>
    <m/>
    <m/>
    <m/>
    <m/>
    <m/>
    <m/>
    <m/>
    <m/>
    <m/>
    <m/>
    <m/>
    <m/>
    <m/>
    <m/>
    <m/>
    <m/>
    <m/>
    <m/>
    <m/>
    <m/>
    <m/>
    <m/>
    <m/>
    <m/>
    <m/>
    <m/>
    <m/>
    <m/>
    <m/>
    <m/>
    <m/>
    <m/>
    <m/>
    <m/>
    <m/>
    <m/>
    <m/>
    <m/>
    <m/>
    <m/>
    <m/>
    <m/>
    <m/>
  </r>
  <r>
    <n v="742"/>
    <d v="2025-02-06T00:00:00"/>
    <s v="ZBTO"/>
    <n v="9518498999"/>
    <n v="5"/>
    <s v="9518498999-5"/>
    <s v="No Priority"/>
    <x v="1"/>
    <m/>
    <x v="1"/>
    <x v="1"/>
    <n v="2000"/>
    <m/>
    <x v="0"/>
    <m/>
    <m/>
    <s v="Jharkhand"/>
    <s v="East"/>
    <m/>
    <m/>
    <n v="121328"/>
    <x v="10"/>
    <n v="38098"/>
    <s v="CRSHEET-ICF C01 TATCRC TR15 0.75 X 1000"/>
    <m/>
    <m/>
    <m/>
    <m/>
    <m/>
    <s v="C01"/>
    <s v="TATCRC"/>
    <s v="TR15"/>
    <n v="0.75"/>
    <n v="1000"/>
    <n v="0"/>
    <n v="23"/>
    <n v="0"/>
    <n v="23"/>
    <n v="23"/>
    <n v="23"/>
    <n v="23"/>
    <n v="0"/>
    <n v="0"/>
    <n v="0"/>
    <n v="0"/>
    <n v="0"/>
    <n v="0"/>
    <n v="0"/>
    <n v="0"/>
    <n v="0"/>
    <n v="0"/>
    <n v="0"/>
    <n v="0"/>
    <n v="0"/>
    <n v="0"/>
    <n v="0"/>
    <n v="0"/>
    <n v="0"/>
    <n v="0"/>
    <n v="0"/>
    <n v="0"/>
    <n v="0"/>
    <n v="0"/>
    <n v="0"/>
    <m/>
    <m/>
    <m/>
    <m/>
    <m/>
    <m/>
    <m/>
    <m/>
    <m/>
    <m/>
    <m/>
    <m/>
    <m/>
    <m/>
    <m/>
    <m/>
    <m/>
    <m/>
    <m/>
    <m/>
    <m/>
    <m/>
    <m/>
    <m/>
    <m/>
    <m/>
    <m/>
    <m/>
    <m/>
    <m/>
    <m/>
    <m/>
    <m/>
    <m/>
    <m/>
    <m/>
    <m/>
    <m/>
    <m/>
    <m/>
    <m/>
    <m/>
    <m/>
    <m/>
    <m/>
    <m/>
    <m/>
    <m/>
    <m/>
  </r>
  <r>
    <n v="742"/>
    <d v="2025-02-06T00:00:00"/>
    <s v="ZBTO"/>
    <n v="9518499138"/>
    <n v="1"/>
    <s v="9518499138-1"/>
    <s v="May'25"/>
    <x v="0"/>
    <s v="Yes"/>
    <x v="1"/>
    <x v="2"/>
    <n v="2000"/>
    <m/>
    <x v="1"/>
    <m/>
    <m/>
    <s v="Jharkhand"/>
    <s v="East"/>
    <m/>
    <m/>
    <n v="121328"/>
    <x v="10"/>
    <n v="3239408"/>
    <s v="CRCA SHEET TATCRC SR16 0.300X900X2500"/>
    <m/>
    <m/>
    <m/>
    <m/>
    <m/>
    <s v="C06"/>
    <s v="TATCRC"/>
    <s v="SR16"/>
    <n v="0.3"/>
    <n v="900"/>
    <n v="2500"/>
    <n v="81"/>
    <n v="0"/>
    <n v="81"/>
    <n v="81"/>
    <n v="81"/>
    <n v="81"/>
    <n v="0"/>
    <n v="0"/>
    <n v="0"/>
    <n v="0"/>
    <n v="0"/>
    <n v="0"/>
    <n v="0"/>
    <n v="0"/>
    <n v="0"/>
    <n v="0"/>
    <n v="0"/>
    <n v="0"/>
    <n v="0"/>
    <n v="0"/>
    <n v="0"/>
    <n v="0"/>
    <n v="0"/>
    <n v="0"/>
    <n v="0"/>
    <n v="0"/>
    <n v="0"/>
    <n v="0"/>
    <n v="0"/>
    <m/>
    <m/>
    <m/>
    <m/>
    <m/>
    <m/>
    <m/>
    <m/>
    <m/>
    <m/>
    <m/>
    <m/>
    <m/>
    <m/>
    <m/>
    <m/>
    <m/>
    <m/>
    <m/>
    <m/>
    <m/>
    <m/>
    <m/>
    <m/>
    <m/>
    <m/>
    <m/>
    <m/>
    <m/>
    <m/>
    <m/>
    <m/>
    <m/>
    <m/>
    <m/>
    <m/>
    <m/>
    <m/>
    <m/>
    <m/>
    <m/>
    <m/>
    <m/>
    <m/>
    <m/>
    <m/>
    <m/>
    <m/>
    <m/>
  </r>
  <r>
    <n v="742"/>
    <d v="2025-02-06T00:00:00"/>
    <s v="ZBTO"/>
    <n v="9518499138"/>
    <n v="2"/>
    <s v="9518499138-2"/>
    <s v="May'25"/>
    <x v="0"/>
    <s v="Yes"/>
    <x v="1"/>
    <x v="2"/>
    <n v="2000"/>
    <m/>
    <x v="1"/>
    <m/>
    <m/>
    <s v="Jharkhand"/>
    <s v="East"/>
    <m/>
    <m/>
    <n v="121328"/>
    <x v="10"/>
    <n v="2440959"/>
    <s v="CRCA SHEET TATCRC SR16 0.330X900X2500"/>
    <m/>
    <m/>
    <m/>
    <m/>
    <m/>
    <s v="C06"/>
    <s v="TATCRC"/>
    <s v="SR16"/>
    <n v="0.33"/>
    <n v="900"/>
    <n v="2500"/>
    <n v="60"/>
    <n v="0"/>
    <n v="60"/>
    <n v="60"/>
    <n v="60"/>
    <n v="60"/>
    <n v="0"/>
    <n v="0"/>
    <n v="0"/>
    <n v="0"/>
    <n v="0"/>
    <n v="0"/>
    <n v="0"/>
    <n v="0"/>
    <n v="0"/>
    <n v="0"/>
    <n v="0"/>
    <n v="0"/>
    <n v="0"/>
    <n v="0"/>
    <n v="0"/>
    <n v="0"/>
    <n v="0"/>
    <n v="0"/>
    <n v="0"/>
    <n v="0"/>
    <n v="0"/>
    <n v="0"/>
    <n v="0"/>
    <m/>
    <m/>
    <m/>
    <m/>
    <m/>
    <m/>
    <m/>
    <m/>
    <m/>
    <m/>
    <m/>
    <m/>
    <m/>
    <m/>
    <m/>
    <m/>
    <m/>
    <m/>
    <m/>
    <m/>
    <m/>
    <m/>
    <m/>
    <m/>
    <m/>
    <m/>
    <m/>
    <m/>
    <m/>
    <m/>
    <m/>
    <m/>
    <m/>
    <m/>
    <m/>
    <m/>
    <m/>
    <m/>
    <m/>
    <m/>
    <m/>
    <m/>
    <m/>
    <m/>
    <m/>
    <m/>
    <m/>
    <m/>
    <m/>
  </r>
  <r>
    <n v="742"/>
    <d v="2025-02-06T00:00:00"/>
    <s v="ZBTO"/>
    <n v="9518499138"/>
    <n v="3"/>
    <s v="9518499138-3"/>
    <s v="May'25"/>
    <x v="0"/>
    <s v="Yes"/>
    <x v="1"/>
    <x v="2"/>
    <n v="2000"/>
    <m/>
    <x v="1"/>
    <m/>
    <m/>
    <s v="Jharkhand"/>
    <s v="East"/>
    <m/>
    <m/>
    <n v="121328"/>
    <x v="10"/>
    <n v="3152197"/>
    <s v="CRCA SHEET TATCRC SR16 0.330X1000X2500"/>
    <m/>
    <m/>
    <m/>
    <m/>
    <m/>
    <s v="C06"/>
    <s v="TATCRC"/>
    <s v="SR16"/>
    <n v="0.33"/>
    <n v="1000"/>
    <n v="2500"/>
    <n v="60"/>
    <n v="0"/>
    <n v="60"/>
    <n v="60"/>
    <n v="60"/>
    <n v="60"/>
    <n v="0"/>
    <n v="0"/>
    <n v="0"/>
    <n v="0"/>
    <n v="0"/>
    <n v="0"/>
    <n v="0"/>
    <n v="0"/>
    <n v="0"/>
    <n v="0"/>
    <n v="0"/>
    <n v="0"/>
    <n v="0"/>
    <n v="0"/>
    <n v="0"/>
    <n v="0"/>
    <n v="0"/>
    <n v="0"/>
    <n v="0"/>
    <n v="0"/>
    <n v="0"/>
    <n v="0"/>
    <n v="0"/>
    <m/>
    <m/>
    <m/>
    <m/>
    <m/>
    <m/>
    <m/>
    <m/>
    <m/>
    <m/>
    <m/>
    <m/>
    <m/>
    <m/>
    <m/>
    <m/>
    <m/>
    <m/>
    <m/>
    <m/>
    <m/>
    <m/>
    <m/>
    <m/>
    <m/>
    <m/>
    <m/>
    <m/>
    <m/>
    <m/>
    <m/>
    <m/>
    <m/>
    <m/>
    <m/>
    <m/>
    <m/>
    <m/>
    <m/>
    <m/>
    <m/>
    <m/>
    <m/>
    <m/>
    <m/>
    <m/>
    <m/>
    <m/>
    <m/>
  </r>
  <r>
    <n v="742"/>
    <d v="2025-02-06T00:00:00"/>
    <s v="ZBTO"/>
    <n v="9518499138"/>
    <n v="4"/>
    <s v="9518499138-4"/>
    <s v="No Priority"/>
    <x v="1"/>
    <s v="Yes"/>
    <x v="1"/>
    <x v="2"/>
    <n v="2000"/>
    <m/>
    <x v="0"/>
    <m/>
    <m/>
    <s v="Jharkhand"/>
    <s v="East"/>
    <m/>
    <m/>
    <n v="121328"/>
    <x v="10"/>
    <n v="2441001"/>
    <s v="CRCA SHEET TATCRC SR16 0.380X900X2500"/>
    <m/>
    <m/>
    <m/>
    <m/>
    <m/>
    <s v="C06"/>
    <s v="TATCRC"/>
    <s v="SR16"/>
    <n v="0.38"/>
    <n v="900"/>
    <n v="2500"/>
    <n v="39"/>
    <n v="0"/>
    <n v="39"/>
    <n v="39"/>
    <n v="39"/>
    <n v="39"/>
    <n v="0"/>
    <n v="0"/>
    <n v="0"/>
    <n v="0"/>
    <n v="0"/>
    <n v="0"/>
    <n v="0"/>
    <n v="0"/>
    <n v="0"/>
    <n v="0"/>
    <n v="0"/>
    <n v="0"/>
    <n v="0"/>
    <n v="0"/>
    <n v="0"/>
    <n v="0"/>
    <n v="0"/>
    <n v="0"/>
    <n v="0"/>
    <n v="0"/>
    <n v="0"/>
    <n v="0"/>
    <n v="0"/>
    <m/>
    <m/>
    <m/>
    <m/>
    <m/>
    <m/>
    <m/>
    <m/>
    <m/>
    <m/>
    <m/>
    <m/>
    <m/>
    <m/>
    <m/>
    <m/>
    <m/>
    <m/>
    <m/>
    <m/>
    <m/>
    <m/>
    <m/>
    <m/>
    <m/>
    <m/>
    <m/>
    <m/>
    <m/>
    <m/>
    <m/>
    <m/>
    <m/>
    <m/>
    <m/>
    <m/>
    <m/>
    <m/>
    <m/>
    <m/>
    <m/>
    <m/>
    <m/>
    <m/>
    <m/>
    <m/>
    <m/>
    <m/>
    <m/>
  </r>
  <r>
    <n v="742"/>
    <d v="2025-02-06T00:00:00"/>
    <s v="ZBTO"/>
    <n v="9518499138"/>
    <n v="5"/>
    <s v="9518499138-5"/>
    <s v="No Priority"/>
    <x v="1"/>
    <s v="Yes"/>
    <x v="1"/>
    <x v="2"/>
    <n v="2000"/>
    <m/>
    <x v="0"/>
    <m/>
    <m/>
    <s v="Jharkhand"/>
    <s v="East"/>
    <m/>
    <m/>
    <n v="121328"/>
    <x v="10"/>
    <n v="3152198"/>
    <s v="CRCA SHEET TATCRC SR16 0.380X1000X2500"/>
    <m/>
    <m/>
    <m/>
    <m/>
    <m/>
    <s v="C06"/>
    <s v="TATCRC"/>
    <s v="SR16"/>
    <n v="0.38"/>
    <n v="1000"/>
    <n v="2500"/>
    <n v="60"/>
    <n v="0"/>
    <n v="60"/>
    <n v="60"/>
    <n v="60"/>
    <n v="60"/>
    <n v="0"/>
    <n v="0"/>
    <n v="0"/>
    <n v="0"/>
    <n v="0"/>
    <n v="0"/>
    <n v="0"/>
    <n v="0"/>
    <n v="0"/>
    <n v="0"/>
    <n v="0"/>
    <n v="0"/>
    <n v="0"/>
    <n v="0"/>
    <n v="0"/>
    <n v="0"/>
    <n v="0"/>
    <n v="0"/>
    <n v="0"/>
    <n v="0"/>
    <n v="0"/>
    <n v="0"/>
    <n v="0"/>
    <m/>
    <m/>
    <m/>
    <m/>
    <m/>
    <m/>
    <m/>
    <m/>
    <m/>
    <m/>
    <m/>
    <m/>
    <m/>
    <m/>
    <m/>
    <m/>
    <m/>
    <m/>
    <m/>
    <m/>
    <m/>
    <m/>
    <m/>
    <m/>
    <m/>
    <m/>
    <m/>
    <m/>
    <m/>
    <m/>
    <m/>
    <m/>
    <m/>
    <m/>
    <m/>
    <m/>
    <m/>
    <m/>
    <m/>
    <m/>
    <m/>
    <m/>
    <m/>
    <m/>
    <m/>
    <m/>
    <m/>
    <m/>
    <m/>
  </r>
  <r>
    <n v="742"/>
    <d v="2025-02-21T00:00:00"/>
    <s v="ZBTO"/>
    <n v="9518540139"/>
    <n v="1"/>
    <s v="9518540139-1"/>
    <s v="May'25"/>
    <x v="0"/>
    <s v="Yes"/>
    <x v="1"/>
    <x v="2"/>
    <n v="2000"/>
    <m/>
    <x v="1"/>
    <m/>
    <m/>
    <s v="Jharkhand"/>
    <s v="East"/>
    <m/>
    <m/>
    <n v="121328"/>
    <x v="10"/>
    <n v="3952438"/>
    <s v="CRCA SHEET TATCRC SR18 0.600X1250X2500"/>
    <m/>
    <m/>
    <m/>
    <m/>
    <m/>
    <s v="C06"/>
    <s v="TATCRC"/>
    <s v="SR18"/>
    <n v="0.6"/>
    <n v="1250"/>
    <n v="2500"/>
    <n v="27"/>
    <n v="0"/>
    <n v="27"/>
    <n v="27"/>
    <n v="27"/>
    <n v="27"/>
    <n v="0"/>
    <n v="0"/>
    <n v="0"/>
    <n v="0"/>
    <n v="0"/>
    <n v="0"/>
    <n v="0"/>
    <n v="0"/>
    <n v="0"/>
    <n v="0"/>
    <n v="0"/>
    <n v="0"/>
    <n v="0"/>
    <n v="0"/>
    <n v="0"/>
    <n v="0"/>
    <n v="0"/>
    <n v="0"/>
    <n v="0"/>
    <n v="0"/>
    <n v="0"/>
    <n v="0"/>
    <n v="0"/>
    <m/>
    <m/>
    <m/>
    <m/>
    <m/>
    <m/>
    <m/>
    <m/>
    <m/>
    <m/>
    <m/>
    <m/>
    <m/>
    <m/>
    <m/>
    <m/>
    <m/>
    <m/>
    <m/>
    <m/>
    <m/>
    <m/>
    <m/>
    <m/>
    <m/>
    <m/>
    <m/>
    <m/>
    <m/>
    <m/>
    <m/>
    <m/>
    <m/>
    <m/>
    <m/>
    <m/>
    <m/>
    <m/>
    <m/>
    <m/>
    <m/>
    <m/>
    <m/>
    <m/>
    <m/>
    <m/>
    <m/>
    <m/>
    <m/>
  </r>
  <r>
    <n v="742"/>
    <d v="2025-02-17T00:00:00"/>
    <s v="ZBTO"/>
    <n v="9518526126"/>
    <n v="1"/>
    <s v="9518526126-1"/>
    <s v="No Priority"/>
    <x v="0"/>
    <m/>
    <x v="1"/>
    <x v="1"/>
    <n v="2000"/>
    <m/>
    <x v="0"/>
    <m/>
    <m/>
    <s v="Uttar Pradesh"/>
    <s v="North"/>
    <m/>
    <m/>
    <n v="116734"/>
    <x v="118"/>
    <n v="1801022"/>
    <s v="CRCA COIL-TATXXD-AU03-0.45X1250"/>
    <m/>
    <m/>
    <m/>
    <m/>
    <m/>
    <s v="C01"/>
    <s v="TATXXD"/>
    <s v="AU03"/>
    <n v="0.45"/>
    <n v="1250"/>
    <n v="0"/>
    <n v="29"/>
    <n v="0"/>
    <n v="29"/>
    <n v="29"/>
    <n v="29"/>
    <n v="29"/>
    <n v="0"/>
    <n v="0"/>
    <n v="0"/>
    <n v="0"/>
    <n v="0"/>
    <n v="0"/>
    <n v="0"/>
    <n v="0"/>
    <n v="0"/>
    <n v="0"/>
    <n v="0"/>
    <n v="0"/>
    <n v="0"/>
    <n v="0"/>
    <n v="0"/>
    <n v="0"/>
    <n v="0"/>
    <n v="0"/>
    <n v="0"/>
    <n v="0"/>
    <n v="0"/>
    <n v="0"/>
    <n v="0"/>
    <m/>
    <m/>
    <m/>
    <m/>
    <m/>
    <m/>
    <m/>
    <m/>
    <m/>
    <m/>
    <m/>
    <m/>
    <m/>
    <m/>
    <m/>
    <m/>
    <m/>
    <m/>
    <m/>
    <m/>
    <m/>
    <m/>
    <m/>
    <m/>
    <m/>
    <m/>
    <m/>
    <m/>
    <m/>
    <m/>
    <m/>
    <m/>
    <m/>
    <m/>
    <m/>
    <m/>
    <m/>
    <m/>
    <m/>
    <m/>
    <m/>
    <m/>
    <m/>
    <m/>
    <m/>
    <m/>
    <m/>
    <m/>
    <m/>
  </r>
  <r>
    <n v="743"/>
    <d v="2025-02-20T00:00:00"/>
    <s v="ZBTO"/>
    <n v="9518534963"/>
    <n v="1"/>
    <s v="9518534963-1"/>
    <s v="No Priority"/>
    <x v="0"/>
    <m/>
    <x v="3"/>
    <x v="9"/>
    <n v="2000"/>
    <m/>
    <x v="0"/>
    <m/>
    <m/>
    <s v="Delhi"/>
    <s v="North"/>
    <m/>
    <m/>
    <n v="183259"/>
    <x v="88"/>
    <n v="1319275"/>
    <s v="GP COIL SOFT-TATXGP-GLK1-0.2X900"/>
    <m/>
    <m/>
    <m/>
    <m/>
    <m/>
    <s v="C02"/>
    <s v="TATXGP"/>
    <s v="GLK1"/>
    <n v="0.2"/>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2-20T00:00:00"/>
    <s v="ZBTO"/>
    <n v="9518534963"/>
    <n v="4"/>
    <s v="9518534963-4"/>
    <s v="No Priority"/>
    <x v="0"/>
    <m/>
    <x v="3"/>
    <x v="9"/>
    <n v="2000"/>
    <m/>
    <x v="0"/>
    <m/>
    <m/>
    <s v="Delhi"/>
    <s v="North"/>
    <m/>
    <m/>
    <n v="183259"/>
    <x v="88"/>
    <n v="2270690"/>
    <s v="GP COIL SOFT TATXGP GLK1 0.25X1000"/>
    <m/>
    <m/>
    <m/>
    <m/>
    <m/>
    <s v="C02"/>
    <s v="TATXGP"/>
    <s v="GLK1"/>
    <n v="0.25"/>
    <n v="1000"/>
    <n v="0"/>
    <n v="46"/>
    <n v="0"/>
    <n v="46"/>
    <n v="46"/>
    <n v="46"/>
    <n v="46"/>
    <n v="0"/>
    <n v="0"/>
    <n v="0"/>
    <n v="0"/>
    <n v="0"/>
    <n v="0"/>
    <n v="0"/>
    <n v="0"/>
    <n v="0"/>
    <n v="0"/>
    <n v="0"/>
    <n v="0"/>
    <n v="0"/>
    <n v="0"/>
    <n v="0"/>
    <n v="0"/>
    <n v="0"/>
    <n v="0"/>
    <n v="0"/>
    <n v="0"/>
    <n v="0"/>
    <n v="0"/>
    <n v="0"/>
    <m/>
    <m/>
    <m/>
    <m/>
    <m/>
    <m/>
    <m/>
    <m/>
    <m/>
    <m/>
    <m/>
    <m/>
    <m/>
    <m/>
    <m/>
    <m/>
    <m/>
    <m/>
    <m/>
    <m/>
    <m/>
    <m/>
    <m/>
    <m/>
    <m/>
    <m/>
    <m/>
    <m/>
    <m/>
    <m/>
    <m/>
    <m/>
    <m/>
    <m/>
    <m/>
    <m/>
    <m/>
    <m/>
    <m/>
    <m/>
    <m/>
    <m/>
    <m/>
    <m/>
    <m/>
    <m/>
    <m/>
    <m/>
    <m/>
  </r>
  <r>
    <n v="743"/>
    <d v="2025-02-20T00:00:00"/>
    <s v="ZBTO"/>
    <n v="9518534963"/>
    <n v="5"/>
    <s v="9518534963-5"/>
    <s v="No Priority"/>
    <x v="0"/>
    <m/>
    <x v="3"/>
    <x v="9"/>
    <n v="2000"/>
    <m/>
    <x v="0"/>
    <m/>
    <m/>
    <s v="Delhi"/>
    <s v="North"/>
    <m/>
    <m/>
    <n v="183259"/>
    <x v="88"/>
    <n v="1851066"/>
    <s v="GP COIL SOFT-TATXGP-GLK1-0.25X900"/>
    <m/>
    <m/>
    <m/>
    <m/>
    <m/>
    <s v="C02"/>
    <s v="TATXGP"/>
    <s v="GLK1"/>
    <n v="0.2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14T00:00:00"/>
    <s v="ZBTO"/>
    <n v="9518519921"/>
    <n v="1"/>
    <s v="9518519921-1"/>
    <s v="May'25"/>
    <x v="1"/>
    <m/>
    <x v="3"/>
    <x v="0"/>
    <n v="2000"/>
    <n v="300"/>
    <x v="1"/>
    <m/>
    <m/>
    <s v="Jammu &amp; Kashmir"/>
    <s v="North"/>
    <m/>
    <m/>
    <n v="115190"/>
    <x v="72"/>
    <n v="3897427"/>
    <s v="GP COIL XXXGPH GPH3 0.250X900"/>
    <m/>
    <m/>
    <m/>
    <m/>
    <m/>
    <s v="C05"/>
    <s v="XXXGPH"/>
    <s v="GPH3"/>
    <n v="0.25"/>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14T00:00:00"/>
    <s v="ZBTO"/>
    <n v="9518519921"/>
    <n v="2"/>
    <s v="9518519921-2"/>
    <s v="May'25"/>
    <x v="1"/>
    <m/>
    <x v="3"/>
    <x v="0"/>
    <n v="2000"/>
    <m/>
    <x v="1"/>
    <m/>
    <m/>
    <s v="Jammu &amp; Kashmir"/>
    <s v="North"/>
    <m/>
    <m/>
    <n v="115190"/>
    <x v="72"/>
    <n v="3897428"/>
    <s v="GP COIL XXXGPH GPH3 0.300X900"/>
    <m/>
    <m/>
    <m/>
    <m/>
    <m/>
    <s v="C05"/>
    <s v="XXXGPH"/>
    <s v="GPH3"/>
    <n v="0.3"/>
    <n v="900"/>
    <n v="0"/>
    <n v="21"/>
    <n v="0"/>
    <n v="21"/>
    <n v="21"/>
    <n v="21"/>
    <n v="21"/>
    <n v="0"/>
    <n v="0"/>
    <n v="0"/>
    <n v="0"/>
    <n v="0"/>
    <n v="0"/>
    <n v="0"/>
    <n v="0"/>
    <n v="0"/>
    <n v="0"/>
    <n v="0"/>
    <n v="0"/>
    <n v="0"/>
    <n v="0"/>
    <n v="0"/>
    <n v="0"/>
    <n v="0"/>
    <n v="0"/>
    <n v="0"/>
    <n v="0"/>
    <n v="0"/>
    <n v="0"/>
    <n v="0"/>
    <m/>
    <m/>
    <m/>
    <m/>
    <m/>
    <m/>
    <m/>
    <m/>
    <m/>
    <m/>
    <m/>
    <m/>
    <m/>
    <m/>
    <m/>
    <m/>
    <m/>
    <m/>
    <m/>
    <m/>
    <m/>
    <m/>
    <m/>
    <m/>
    <m/>
    <m/>
    <m/>
    <m/>
    <m/>
    <m/>
    <m/>
    <m/>
    <m/>
    <m/>
    <m/>
    <m/>
    <m/>
    <m/>
    <m/>
    <m/>
    <m/>
    <m/>
    <m/>
    <m/>
    <m/>
    <m/>
    <m/>
    <m/>
    <m/>
  </r>
  <r>
    <n v="743"/>
    <d v="2025-02-14T00:00:00"/>
    <s v="ZBTO"/>
    <n v="9518519921"/>
    <n v="3"/>
    <s v="9518519921-3"/>
    <s v="May'25"/>
    <x v="1"/>
    <m/>
    <x v="3"/>
    <x v="0"/>
    <n v="2000"/>
    <m/>
    <x v="1"/>
    <m/>
    <m/>
    <s v="Jammu &amp; Kashmir"/>
    <s v="North"/>
    <m/>
    <m/>
    <n v="115190"/>
    <x v="72"/>
    <n v="3897429"/>
    <s v="GP COIL XXXGPH GPH3 0.350X900"/>
    <m/>
    <m/>
    <m/>
    <m/>
    <m/>
    <s v="C05"/>
    <s v="XXXGPH"/>
    <s v="GPH3"/>
    <n v="0.35"/>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2-14T00:00:00"/>
    <s v="ZBTO"/>
    <n v="9518519921"/>
    <n v="4"/>
    <s v="9518519921-4"/>
    <s v="May'25"/>
    <x v="1"/>
    <m/>
    <x v="3"/>
    <x v="0"/>
    <n v="2000"/>
    <m/>
    <x v="1"/>
    <m/>
    <m/>
    <s v="Jammu &amp; Kashmir"/>
    <s v="North"/>
    <m/>
    <m/>
    <n v="115190"/>
    <x v="72"/>
    <n v="3897430"/>
    <s v="GP COIL XXXGPH GPH3 0.400X900"/>
    <m/>
    <m/>
    <m/>
    <m/>
    <m/>
    <s v="C05"/>
    <s v="XXXGPH"/>
    <s v="GPH3"/>
    <n v="0.4"/>
    <n v="900"/>
    <n v="0"/>
    <n v="42"/>
    <n v="0"/>
    <n v="42"/>
    <n v="42"/>
    <n v="42"/>
    <n v="42"/>
    <n v="0"/>
    <n v="0"/>
    <n v="0"/>
    <n v="0"/>
    <n v="0"/>
    <n v="0"/>
    <n v="0"/>
    <n v="0"/>
    <n v="0"/>
    <n v="0"/>
    <n v="0"/>
    <n v="0"/>
    <n v="0"/>
    <n v="0"/>
    <n v="0"/>
    <n v="0"/>
    <n v="0"/>
    <n v="0"/>
    <n v="0"/>
    <n v="0"/>
    <n v="0"/>
    <n v="0"/>
    <n v="0"/>
    <m/>
    <m/>
    <m/>
    <m/>
    <m/>
    <m/>
    <m/>
    <m/>
    <m/>
    <m/>
    <m/>
    <m/>
    <m/>
    <m/>
    <m/>
    <m/>
    <m/>
    <m/>
    <m/>
    <m/>
    <m/>
    <m/>
    <m/>
    <m/>
    <m/>
    <m/>
    <m/>
    <m/>
    <m/>
    <m/>
    <m/>
    <m/>
    <m/>
    <m/>
    <m/>
    <m/>
    <m/>
    <m/>
    <m/>
    <m/>
    <m/>
    <m/>
    <m/>
    <m/>
    <m/>
    <m/>
    <m/>
    <m/>
    <m/>
  </r>
  <r>
    <n v="743"/>
    <d v="2025-02-14T00:00:00"/>
    <s v="ZBTO"/>
    <n v="9518519921"/>
    <n v="5"/>
    <s v="9518519921-5"/>
    <s v="May'25"/>
    <x v="1"/>
    <m/>
    <x v="3"/>
    <x v="0"/>
    <n v="2000"/>
    <m/>
    <x v="1"/>
    <m/>
    <m/>
    <s v="Jammu &amp; Kashmir"/>
    <s v="North"/>
    <m/>
    <m/>
    <n v="115190"/>
    <x v="72"/>
    <n v="3897501"/>
    <s v="GP COIL XXXGPH GPH3 0.500X900"/>
    <m/>
    <m/>
    <m/>
    <m/>
    <m/>
    <s v="C05"/>
    <s v="XXXGPH"/>
    <s v="GPH3"/>
    <n v="0.5"/>
    <n v="900"/>
    <n v="0"/>
    <n v="42"/>
    <n v="0"/>
    <n v="42"/>
    <n v="42"/>
    <n v="42"/>
    <n v="42"/>
    <n v="0"/>
    <n v="0"/>
    <n v="0"/>
    <n v="0"/>
    <n v="0"/>
    <n v="0"/>
    <n v="0"/>
    <n v="0"/>
    <n v="0"/>
    <n v="0"/>
    <n v="0"/>
    <n v="0"/>
    <n v="0"/>
    <n v="0"/>
    <n v="0"/>
    <n v="0"/>
    <n v="0"/>
    <n v="0"/>
    <n v="0"/>
    <n v="0"/>
    <n v="0"/>
    <n v="0"/>
    <n v="0"/>
    <m/>
    <m/>
    <m/>
    <m/>
    <m/>
    <m/>
    <m/>
    <m/>
    <m/>
    <m/>
    <m/>
    <m/>
    <m/>
    <m/>
    <m/>
    <m/>
    <m/>
    <m/>
    <m/>
    <m/>
    <m/>
    <m/>
    <m/>
    <m/>
    <m/>
    <m/>
    <m/>
    <m/>
    <m/>
    <m/>
    <m/>
    <m/>
    <m/>
    <m/>
    <m/>
    <m/>
    <m/>
    <m/>
    <m/>
    <m/>
    <m/>
    <m/>
    <m/>
    <m/>
    <m/>
    <m/>
    <m/>
    <m/>
    <m/>
  </r>
  <r>
    <n v="742"/>
    <d v="2025-02-24T00:00:00"/>
    <s v="ZBTO"/>
    <n v="9518548227"/>
    <n v="1"/>
    <s v="9518548227-1"/>
    <s v="May'25"/>
    <x v="0"/>
    <s v="Yes"/>
    <x v="1"/>
    <x v="2"/>
    <n v="2000"/>
    <m/>
    <x v="1"/>
    <m/>
    <m/>
    <s v="Jharkhand"/>
    <s v="East"/>
    <m/>
    <m/>
    <n v="185794"/>
    <x v="12"/>
    <n v="3952438"/>
    <s v="CRCA SHEET TATCRC SR18 0.600X1250X2500"/>
    <m/>
    <m/>
    <m/>
    <m/>
    <m/>
    <s v="C06"/>
    <s v="TATCRC"/>
    <s v="SR18"/>
    <n v="0.6"/>
    <n v="1250"/>
    <n v="2500"/>
    <n v="30"/>
    <n v="0"/>
    <n v="30"/>
    <n v="30"/>
    <n v="30"/>
    <n v="30"/>
    <n v="0"/>
    <n v="0"/>
    <n v="0"/>
    <n v="0"/>
    <n v="0"/>
    <n v="0"/>
    <n v="0"/>
    <n v="0"/>
    <n v="0"/>
    <n v="0"/>
    <n v="0"/>
    <n v="0"/>
    <n v="0"/>
    <n v="0"/>
    <n v="0"/>
    <n v="0"/>
    <n v="0"/>
    <n v="0"/>
    <n v="0"/>
    <n v="0"/>
    <n v="0"/>
    <n v="0"/>
    <n v="0"/>
    <m/>
    <m/>
    <m/>
    <m/>
    <m/>
    <m/>
    <m/>
    <m/>
    <m/>
    <m/>
    <m/>
    <m/>
    <m/>
    <m/>
    <m/>
    <m/>
    <m/>
    <m/>
    <m/>
    <m/>
    <m/>
    <m/>
    <m/>
    <m/>
    <m/>
    <m/>
    <m/>
    <m/>
    <m/>
    <m/>
    <m/>
    <m/>
    <m/>
    <m/>
    <m/>
    <m/>
    <m/>
    <m/>
    <m/>
    <m/>
    <m/>
    <m/>
    <m/>
    <m/>
    <m/>
    <m/>
    <m/>
    <m/>
    <m/>
  </r>
  <r>
    <n v="742"/>
    <d v="2025-02-19T00:00:00"/>
    <s v="ZBTO"/>
    <n v="9518533596"/>
    <n v="3"/>
    <s v="9518533596-3"/>
    <s v="No Priority"/>
    <x v="1"/>
    <m/>
    <x v="1"/>
    <x v="11"/>
    <n v="2000"/>
    <m/>
    <x v="0"/>
    <m/>
    <m/>
    <s v="West Bengal"/>
    <s v="East"/>
    <m/>
    <m/>
    <n v="155536"/>
    <x v="38"/>
    <n v="2420523"/>
    <s v="CRCA COIL TATXXD AH03 1.600X1250"/>
    <m/>
    <m/>
    <m/>
    <m/>
    <m/>
    <s v="C01"/>
    <s v="TATXXD"/>
    <s v="AH03"/>
    <n v="1.6"/>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2-25T00:00:00"/>
    <s v="ZBTO"/>
    <n v="9518550511"/>
    <n v="5"/>
    <s v="9518550511-5"/>
    <s v="No Priority"/>
    <x v="0"/>
    <m/>
    <x v="1"/>
    <x v="11"/>
    <n v="2000"/>
    <m/>
    <x v="0"/>
    <m/>
    <m/>
    <s v="Karnataka"/>
    <s v="South"/>
    <m/>
    <m/>
    <n v="939268"/>
    <x v="38"/>
    <n v="2420602"/>
    <s v="CRCA COIL TATXXD AH03 1.400X1250"/>
    <m/>
    <m/>
    <m/>
    <m/>
    <m/>
    <s v="C01"/>
    <s v="TATXXD"/>
    <s v="AH03"/>
    <n v="1.4"/>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3-14T00:00:00"/>
    <s v="ZBTF"/>
    <n v="9518600669"/>
    <n v="3"/>
    <s v="9518600669-3"/>
    <s v="No Priority"/>
    <x v="0"/>
    <m/>
    <x v="5"/>
    <x v="6"/>
    <s v="2000-BPRS"/>
    <m/>
    <x v="0"/>
    <m/>
    <m/>
    <m/>
    <s v="South"/>
    <s v="YESHWANTHPURA"/>
    <m/>
    <n v="650742"/>
    <x v="26"/>
    <n v="2324172"/>
    <s v="CRFH COIL TATFHC RE03 1X1250"/>
    <s v=" "/>
    <m/>
    <n v="10"/>
    <n v="27"/>
    <m/>
    <s v="C09"/>
    <s v="TATFHC"/>
    <s v="RE03"/>
    <n v="1"/>
    <n v="1250"/>
    <n v="0"/>
    <n v="220"/>
    <n v="167.44499999999999"/>
    <n v="52.555"/>
    <n v="116"/>
    <n v="52.555"/>
    <n v="11.015000000000001"/>
    <n v="0"/>
    <n v="0"/>
    <n v="0"/>
    <n v="0"/>
    <n v="0"/>
    <n v="0"/>
    <n v="0"/>
    <n v="0"/>
    <n v="0"/>
    <n v="0"/>
    <n v="0"/>
    <n v="0"/>
    <n v="0"/>
    <n v="0"/>
    <n v="0"/>
    <n v="0"/>
    <n v="0"/>
    <n v="0"/>
    <n v="0"/>
    <n v="0"/>
    <n v="0"/>
    <n v="0"/>
    <n v="0"/>
    <m/>
    <m/>
    <m/>
    <m/>
    <m/>
    <m/>
    <m/>
    <m/>
    <m/>
    <m/>
    <m/>
    <m/>
    <m/>
    <m/>
    <m/>
    <m/>
    <m/>
    <m/>
    <m/>
    <m/>
    <m/>
    <m/>
    <m/>
    <m/>
    <m/>
    <m/>
    <m/>
    <m/>
    <m/>
    <m/>
    <m/>
    <m/>
    <m/>
    <m/>
    <m/>
    <m/>
    <m/>
    <m/>
    <m/>
    <m/>
    <m/>
    <m/>
    <m/>
    <m/>
    <m/>
    <m/>
    <m/>
    <m/>
    <m/>
  </r>
  <r>
    <n v="743"/>
    <d v="2025-03-15T00:00:00"/>
    <s v="ZBTO"/>
    <n v="9518602675"/>
    <n v="10"/>
    <s v="9518602675-10"/>
    <s v="May'25"/>
    <x v="0"/>
    <m/>
    <x v="3"/>
    <x v="9"/>
    <s v="2000-BPRS"/>
    <m/>
    <x v="1"/>
    <m/>
    <m/>
    <m/>
    <s v="East"/>
    <s v="WEST BOKARO"/>
    <m/>
    <n v="185794"/>
    <x v="12"/>
    <n v="1854424"/>
    <s v="GP COIL SOFT-TATXGP-GK09-0.6X900"/>
    <s v="Z80"/>
    <m/>
    <n v="5"/>
    <n v="15"/>
    <m/>
    <s v="C02"/>
    <s v="TATXGP"/>
    <s v="GK09"/>
    <n v="0.6"/>
    <n v="900"/>
    <n v="0"/>
    <n v="147"/>
    <n v="123.97499999999999"/>
    <n v="23.024999999999999"/>
    <n v="116"/>
    <n v="3.6049999999999969"/>
    <n v="23.024999999999999"/>
    <n v="0"/>
    <n v="0"/>
    <n v="0"/>
    <n v="0"/>
    <n v="0"/>
    <n v="0"/>
    <n v="0"/>
    <n v="0"/>
    <n v="0"/>
    <n v="0"/>
    <n v="0"/>
    <n v="0"/>
    <n v="0"/>
    <n v="0"/>
    <n v="0"/>
    <n v="0"/>
    <n v="0"/>
    <n v="0"/>
    <n v="19.420000000000002"/>
    <n v="19.420000000000002"/>
    <n v="19.420000000000002"/>
    <n v="0"/>
    <n v="19.420000000000002"/>
    <m/>
    <m/>
    <m/>
    <m/>
    <m/>
    <m/>
    <m/>
    <m/>
    <m/>
    <m/>
    <m/>
    <m/>
    <m/>
    <m/>
    <m/>
    <m/>
    <m/>
    <m/>
    <m/>
    <m/>
    <m/>
    <m/>
    <m/>
    <m/>
    <m/>
    <m/>
    <m/>
    <m/>
    <m/>
    <m/>
    <m/>
    <m/>
    <m/>
    <m/>
    <m/>
    <m/>
    <m/>
    <m/>
    <m/>
    <m/>
    <m/>
    <m/>
    <m/>
    <m/>
    <m/>
    <m/>
    <m/>
    <m/>
    <m/>
  </r>
  <r>
    <n v="743"/>
    <d v="2025-04-21T00:00:00"/>
    <s v="ZBTO"/>
    <n v="9518708857"/>
    <n v="7"/>
    <s v="9518708857-7"/>
    <s v="No Priority"/>
    <x v="0"/>
    <m/>
    <x v="3"/>
    <x v="14"/>
    <s v="2000-BPRS"/>
    <m/>
    <x v="0"/>
    <m/>
    <m/>
    <m/>
    <s v="South"/>
    <s v="YESHWANTHPURA"/>
    <m/>
    <n v="942923"/>
    <x v="16"/>
    <n v="1854427"/>
    <s v="GP COIL SOFT-TATXGP-GLK1-0.6X1250"/>
    <s v="Z80"/>
    <m/>
    <n v="2"/>
    <n v="30"/>
    <m/>
    <s v="C02"/>
    <s v="TATXGP"/>
    <s v="GLK1"/>
    <n v="0.6"/>
    <n v="1250"/>
    <n v="0"/>
    <n v="29"/>
    <n v="0"/>
    <n v="29"/>
    <n v="116"/>
    <n v="0"/>
    <n v="29"/>
    <n v="0"/>
    <n v="0"/>
    <n v="0"/>
    <n v="0"/>
    <n v="0"/>
    <n v="0"/>
    <n v="0"/>
    <n v="0"/>
    <n v="0"/>
    <n v="0"/>
    <n v="0"/>
    <n v="0"/>
    <n v="0"/>
    <n v="0"/>
    <n v="0"/>
    <n v="0"/>
    <n v="0"/>
    <n v="0"/>
    <n v="0"/>
    <n v="0"/>
    <n v="0"/>
    <n v="29"/>
    <n v="29"/>
    <m/>
    <m/>
    <m/>
    <m/>
    <m/>
    <m/>
    <m/>
    <m/>
    <m/>
    <m/>
    <m/>
    <m/>
    <m/>
    <m/>
    <m/>
    <m/>
    <m/>
    <m/>
    <m/>
    <m/>
    <m/>
    <m/>
    <m/>
    <m/>
    <m/>
    <m/>
    <m/>
    <m/>
    <m/>
    <m/>
    <m/>
    <m/>
    <m/>
    <m/>
    <m/>
    <m/>
    <m/>
    <m/>
    <m/>
    <m/>
    <m/>
    <m/>
    <m/>
    <m/>
    <m/>
    <m/>
    <m/>
    <m/>
    <m/>
  </r>
  <r>
    <n v="743"/>
    <d v="2025-04-21T00:00:00"/>
    <s v="ZBTO"/>
    <n v="9518708857"/>
    <n v="8"/>
    <s v="9518708857-8"/>
    <s v="No Priority"/>
    <x v="0"/>
    <m/>
    <x v="3"/>
    <x v="14"/>
    <s v="2000-BPRS"/>
    <m/>
    <x v="0"/>
    <m/>
    <m/>
    <m/>
    <s v="South"/>
    <s v="YESHWANTHPURA"/>
    <m/>
    <n v="942923"/>
    <x v="16"/>
    <n v="1854427"/>
    <s v="GP COIL SOFT-TATXGP-GLK1-0.6X1250"/>
    <s v="Z80"/>
    <m/>
    <n v="2"/>
    <n v="30"/>
    <m/>
    <s v="C02"/>
    <s v="TATXGP"/>
    <s v="GLK1"/>
    <n v="0.6"/>
    <n v="1250"/>
    <n v="0"/>
    <n v="29"/>
    <n v="0"/>
    <n v="29"/>
    <n v="116"/>
    <n v="0"/>
    <n v="29"/>
    <n v="0"/>
    <n v="0"/>
    <n v="0"/>
    <n v="0"/>
    <n v="0"/>
    <n v="0"/>
    <n v="0"/>
    <n v="0"/>
    <n v="0"/>
    <n v="0"/>
    <n v="0"/>
    <n v="0"/>
    <n v="0"/>
    <n v="0"/>
    <n v="0"/>
    <n v="0"/>
    <n v="0"/>
    <n v="0"/>
    <n v="0"/>
    <n v="0"/>
    <n v="0"/>
    <n v="29"/>
    <n v="29"/>
    <m/>
    <m/>
    <m/>
    <m/>
    <m/>
    <m/>
    <m/>
    <m/>
    <m/>
    <m/>
    <m/>
    <m/>
    <m/>
    <m/>
    <m/>
    <m/>
    <m/>
    <m/>
    <m/>
    <m/>
    <m/>
    <m/>
    <m/>
    <m/>
    <m/>
    <m/>
    <m/>
    <m/>
    <m/>
    <m/>
    <m/>
    <m/>
    <m/>
    <m/>
    <m/>
    <m/>
    <m/>
    <m/>
    <m/>
    <m/>
    <m/>
    <m/>
    <m/>
    <m/>
    <m/>
    <m/>
    <m/>
    <m/>
    <m/>
  </r>
  <r>
    <n v="743"/>
    <d v="2025-04-19T00:00:00"/>
    <s v="ZBTO"/>
    <n v="9518704427"/>
    <n v="1"/>
    <s v="9518704427-1"/>
    <s v="May'25"/>
    <x v="0"/>
    <m/>
    <x v="3"/>
    <x v="0"/>
    <s v="2200-BPRS"/>
    <m/>
    <x v="1"/>
    <m/>
    <m/>
    <m/>
    <s v="South"/>
    <s v="CHENNAI"/>
    <m/>
    <n v="822271"/>
    <x v="0"/>
    <n v="1851832"/>
    <s v="GP COIL SOFT-TSBXGP-T1GP-0.3X900"/>
    <s v="Z80"/>
    <m/>
    <n v="3"/>
    <n v="5"/>
    <m/>
    <s v="C02"/>
    <s v="TSBXGP"/>
    <s v="T1GP"/>
    <n v="0.3"/>
    <n v="900"/>
    <n v="0"/>
    <n v="168"/>
    <n v="0"/>
    <n v="168"/>
    <n v="116"/>
    <n v="100.69"/>
    <n v="133.69"/>
    <n v="0"/>
    <n v="0"/>
    <n v="0"/>
    <n v="0"/>
    <n v="62.1"/>
    <n v="0"/>
    <n v="0"/>
    <n v="0"/>
    <n v="0"/>
    <n v="0"/>
    <n v="0"/>
    <n v="0"/>
    <n v="0"/>
    <n v="0"/>
    <n v="0"/>
    <n v="0"/>
    <n v="0"/>
    <n v="0"/>
    <n v="5.21"/>
    <n v="67.31"/>
    <n v="67.31"/>
    <n v="0"/>
    <n v="67.31"/>
    <m/>
    <m/>
    <m/>
    <m/>
    <m/>
    <m/>
    <m/>
    <m/>
    <m/>
    <m/>
    <m/>
    <m/>
    <m/>
    <m/>
    <m/>
    <m/>
    <m/>
    <m/>
    <m/>
    <m/>
    <m/>
    <m/>
    <m/>
    <m/>
    <m/>
    <m/>
    <m/>
    <m/>
    <m/>
    <m/>
    <m/>
    <m/>
    <m/>
    <m/>
    <m/>
    <m/>
    <m/>
    <m/>
    <m/>
    <m/>
    <m/>
    <m/>
    <m/>
    <m/>
    <m/>
    <m/>
    <m/>
    <m/>
    <m/>
  </r>
  <r>
    <n v="742"/>
    <d v="2025-04-03T00:00:00"/>
    <s v="ZBTO"/>
    <n v="9518667214"/>
    <n v="3"/>
    <s v="9518667214-3"/>
    <s v="May'25"/>
    <x v="0"/>
    <m/>
    <x v="1"/>
    <x v="1"/>
    <s v="2000-BPRS"/>
    <m/>
    <x v="1"/>
    <m/>
    <m/>
    <m/>
    <s v="South"/>
    <s v="YESHWANTHPURA"/>
    <m/>
    <n v="801611"/>
    <x v="56"/>
    <n v="1801290"/>
    <s v="CRCA COIL-TATXXD-AU03-0.6X1250"/>
    <s v=" "/>
    <m/>
    <n v="15"/>
    <n v="28"/>
    <m/>
    <s v="C01"/>
    <s v="TATXXD"/>
    <s v="AU03"/>
    <n v="0.6"/>
    <n v="1250"/>
    <n v="0"/>
    <n v="29"/>
    <n v="0"/>
    <n v="29"/>
    <n v="116"/>
    <n v="1.3000000000000007"/>
    <n v="29"/>
    <n v="0"/>
    <n v="0"/>
    <n v="0"/>
    <n v="0"/>
    <n v="0"/>
    <n v="0"/>
    <n v="0"/>
    <n v="0"/>
    <n v="0"/>
    <n v="0"/>
    <n v="0"/>
    <n v="0"/>
    <n v="0"/>
    <n v="27.7"/>
    <n v="0"/>
    <n v="0"/>
    <n v="0"/>
    <n v="0"/>
    <n v="0"/>
    <n v="27.7"/>
    <n v="27.7"/>
    <n v="0"/>
    <n v="27.7"/>
    <m/>
    <m/>
    <m/>
    <m/>
    <m/>
    <m/>
    <m/>
    <m/>
    <m/>
    <m/>
    <m/>
    <m/>
    <m/>
    <m/>
    <m/>
    <m/>
    <m/>
    <m/>
    <m/>
    <m/>
    <m/>
    <m/>
    <m/>
    <m/>
    <m/>
    <m/>
    <m/>
    <m/>
    <m/>
    <m/>
    <m/>
    <m/>
    <m/>
    <m/>
    <m/>
    <m/>
    <m/>
    <m/>
    <m/>
    <m/>
    <m/>
    <m/>
    <m/>
    <m/>
    <m/>
    <m/>
    <m/>
    <m/>
    <m/>
  </r>
  <r>
    <n v="742"/>
    <d v="2025-04-01T00:00:00"/>
    <s v="ZBTF"/>
    <n v="9518663142"/>
    <n v="4"/>
    <s v="9518663142-4"/>
    <s v="No Priority"/>
    <x v="0"/>
    <m/>
    <x v="1"/>
    <x v="10"/>
    <s v="1000-IPPE"/>
    <m/>
    <x v="0"/>
    <m/>
    <m/>
    <m/>
    <s v="North"/>
    <s v="PILKHUWA"/>
    <m/>
    <n v="600250"/>
    <x v="23"/>
    <n v="2170030"/>
    <s v="CRCA COIL TATXXD BT01 1.200X1220"/>
    <s v=" "/>
    <m/>
    <n v="6"/>
    <n v="10"/>
    <m/>
    <s v="C01"/>
    <s v="TATXXD"/>
    <s v="BT01"/>
    <n v="1.2"/>
    <n v="1220"/>
    <n v="0"/>
    <n v="28"/>
    <n v="0"/>
    <n v="28"/>
    <n v="116"/>
    <n v="28"/>
    <n v="28"/>
    <n v="0"/>
    <n v="0"/>
    <n v="0"/>
    <n v="0"/>
    <n v="0"/>
    <n v="0"/>
    <n v="0"/>
    <n v="0"/>
    <n v="0"/>
    <n v="0"/>
    <n v="0"/>
    <n v="0"/>
    <n v="0"/>
    <n v="0"/>
    <n v="0"/>
    <n v="0"/>
    <n v="0"/>
    <n v="0"/>
    <n v="0"/>
    <n v="0"/>
    <n v="0"/>
    <n v="0"/>
    <n v="0"/>
    <m/>
    <m/>
    <m/>
    <m/>
    <m/>
    <m/>
    <m/>
    <m/>
    <m/>
    <m/>
    <m/>
    <m/>
    <m/>
    <m/>
    <m/>
    <m/>
    <m/>
    <m/>
    <m/>
    <m/>
    <m/>
    <m/>
    <m/>
    <m/>
    <m/>
    <m/>
    <m/>
    <m/>
    <m/>
    <m/>
    <m/>
    <m/>
    <m/>
    <m/>
    <m/>
    <m/>
    <m/>
    <m/>
    <m/>
    <m/>
    <m/>
    <m/>
    <m/>
    <m/>
    <m/>
    <m/>
    <m/>
    <m/>
    <m/>
  </r>
  <r>
    <n v="742"/>
    <d v="2025-04-18T00:00:00"/>
    <s v="ZBTO"/>
    <n v="9518703480"/>
    <n v="1"/>
    <s v="9518703480-1"/>
    <s v="No Priority"/>
    <x v="0"/>
    <m/>
    <x v="1"/>
    <x v="10"/>
    <n v="1000"/>
    <m/>
    <x v="0"/>
    <m/>
    <m/>
    <s v="Andhra Pradesh"/>
    <s v="South"/>
    <m/>
    <m/>
    <n v="188238"/>
    <x v="40"/>
    <n v="3781084"/>
    <s v="CR COIL TATXXD BT02 0.970X1005"/>
    <m/>
    <s v=""/>
    <m/>
    <m/>
    <m/>
    <s v="C01"/>
    <s v="TATXXD"/>
    <s v="BT02"/>
    <n v="0.97"/>
    <n v="1005"/>
    <n v="0"/>
    <n v="23"/>
    <n v="0"/>
    <n v="23"/>
    <n v="23"/>
    <n v="23"/>
    <n v="23"/>
    <n v="0"/>
    <n v="0"/>
    <n v="0"/>
    <n v="0"/>
    <n v="0"/>
    <n v="0"/>
    <n v="0"/>
    <n v="0"/>
    <n v="0"/>
    <n v="0"/>
    <n v="0"/>
    <n v="0"/>
    <n v="0"/>
    <n v="0"/>
    <n v="0"/>
    <n v="0"/>
    <n v="0"/>
    <n v="0"/>
    <n v="0"/>
    <n v="0"/>
    <n v="0"/>
    <n v="0"/>
    <n v="0"/>
    <m/>
    <m/>
    <m/>
    <m/>
    <m/>
    <m/>
    <m/>
    <m/>
    <m/>
    <m/>
    <m/>
    <m/>
    <m/>
    <m/>
    <m/>
    <m/>
    <m/>
    <m/>
    <m/>
    <m/>
    <m/>
    <m/>
    <m/>
    <m/>
    <m/>
    <m/>
    <m/>
    <m/>
    <m/>
    <m/>
    <m/>
    <m/>
    <m/>
    <m/>
    <m/>
    <m/>
    <m/>
    <m/>
    <m/>
    <m/>
    <m/>
    <m/>
    <m/>
    <m/>
    <m/>
    <m/>
    <m/>
    <m/>
    <m/>
  </r>
  <r>
    <n v="742"/>
    <d v="2025-04-18T00:00:00"/>
    <s v="ZBTO"/>
    <n v="9518703480"/>
    <n v="2"/>
    <s v="9518703480-2"/>
    <s v="No Priority"/>
    <x v="0"/>
    <m/>
    <x v="1"/>
    <x v="10"/>
    <n v="1000"/>
    <m/>
    <x v="0"/>
    <m/>
    <m/>
    <s v="Andhra Pradesh"/>
    <s v="South"/>
    <m/>
    <m/>
    <n v="188238"/>
    <x v="40"/>
    <n v="2164800"/>
    <s v="CRCA COIL TATXXD BT02 0.970X913"/>
    <m/>
    <s v=""/>
    <m/>
    <m/>
    <m/>
    <s v="C01"/>
    <s v="TATXXD"/>
    <s v="BT02"/>
    <n v="0.97"/>
    <n v="913"/>
    <n v="0"/>
    <n v="42"/>
    <n v="0"/>
    <n v="42"/>
    <n v="42"/>
    <n v="42"/>
    <n v="42"/>
    <n v="0"/>
    <n v="0"/>
    <n v="0"/>
    <n v="0"/>
    <n v="0"/>
    <n v="0"/>
    <n v="0"/>
    <n v="0"/>
    <n v="0"/>
    <n v="0"/>
    <n v="0"/>
    <n v="0"/>
    <n v="0"/>
    <n v="0"/>
    <n v="0"/>
    <n v="0"/>
    <n v="0"/>
    <n v="0"/>
    <n v="0"/>
    <n v="0"/>
    <n v="0"/>
    <n v="0"/>
    <n v="0"/>
    <m/>
    <m/>
    <m/>
    <m/>
    <m/>
    <m/>
    <m/>
    <m/>
    <m/>
    <m/>
    <m/>
    <m/>
    <m/>
    <m/>
    <m/>
    <m/>
    <m/>
    <m/>
    <m/>
    <m/>
    <m/>
    <m/>
    <m/>
    <m/>
    <m/>
    <m/>
    <m/>
    <m/>
    <m/>
    <m/>
    <m/>
    <m/>
    <m/>
    <m/>
    <m/>
    <m/>
    <m/>
    <m/>
    <m/>
    <m/>
    <m/>
    <m/>
    <m/>
    <m/>
    <m/>
    <m/>
    <m/>
    <m/>
    <m/>
  </r>
  <r>
    <n v="742"/>
    <d v="2025-04-18T00:00:00"/>
    <s v="ZBTO"/>
    <n v="9518703480"/>
    <n v="3"/>
    <s v="9518703480-3"/>
    <s v="No Priority"/>
    <x v="0"/>
    <m/>
    <x v="1"/>
    <x v="10"/>
    <n v="1000"/>
    <m/>
    <x v="0"/>
    <m/>
    <m/>
    <s v="Andhra Pradesh"/>
    <s v="South"/>
    <m/>
    <m/>
    <n v="188238"/>
    <x v="40"/>
    <n v="2170009"/>
    <s v="CRCA COIL TATXXD BT02 1.200X914"/>
    <m/>
    <s v=""/>
    <m/>
    <m/>
    <m/>
    <s v="C01"/>
    <s v="TATXXD"/>
    <s v="BT02"/>
    <n v="1.2"/>
    <n v="914"/>
    <n v="0"/>
    <n v="42"/>
    <n v="0"/>
    <n v="42"/>
    <n v="42"/>
    <n v="42"/>
    <n v="42"/>
    <n v="0"/>
    <n v="0"/>
    <n v="0"/>
    <n v="0"/>
    <n v="0"/>
    <n v="0"/>
    <n v="0"/>
    <n v="0"/>
    <n v="0"/>
    <n v="0"/>
    <n v="0"/>
    <n v="0"/>
    <n v="0"/>
    <n v="0"/>
    <n v="0"/>
    <n v="0"/>
    <n v="0"/>
    <n v="0"/>
    <n v="0"/>
    <n v="0"/>
    <n v="0"/>
    <n v="0"/>
    <n v="0"/>
    <m/>
    <m/>
    <m/>
    <m/>
    <m/>
    <m/>
    <m/>
    <m/>
    <m/>
    <m/>
    <m/>
    <m/>
    <m/>
    <m/>
    <m/>
    <m/>
    <m/>
    <m/>
    <m/>
    <m/>
    <m/>
    <m/>
    <m/>
    <m/>
    <m/>
    <m/>
    <m/>
    <m/>
    <m/>
    <m/>
    <m/>
    <m/>
    <m/>
    <m/>
    <m/>
    <m/>
    <m/>
    <m/>
    <m/>
    <m/>
    <m/>
    <m/>
    <m/>
    <m/>
    <m/>
    <m/>
    <m/>
    <m/>
    <m/>
  </r>
  <r>
    <n v="742"/>
    <d v="2025-04-18T00:00:00"/>
    <s v="ZBTO"/>
    <n v="9518703480"/>
    <n v="6"/>
    <s v="9518703480-6"/>
    <s v="No Priority"/>
    <x v="0"/>
    <m/>
    <x v="1"/>
    <x v="10"/>
    <n v="1000"/>
    <m/>
    <x v="0"/>
    <m/>
    <m/>
    <s v="Andhra Pradesh"/>
    <s v="South"/>
    <m/>
    <m/>
    <n v="188238"/>
    <x v="40"/>
    <n v="3767518"/>
    <s v="CR COIL TATXXD BT02 0.630X920"/>
    <m/>
    <s v=""/>
    <m/>
    <m/>
    <m/>
    <s v="C01"/>
    <s v="TATXXD"/>
    <s v="BT02"/>
    <n v="0.63"/>
    <n v="920"/>
    <n v="0"/>
    <n v="21"/>
    <n v="0"/>
    <n v="21"/>
    <n v="21"/>
    <n v="21"/>
    <n v="0"/>
    <n v="0"/>
    <n v="0"/>
    <n v="0"/>
    <n v="0"/>
    <n v="0"/>
    <n v="0"/>
    <n v="0"/>
    <n v="0"/>
    <n v="0"/>
    <n v="0"/>
    <n v="0"/>
    <n v="0"/>
    <n v="0"/>
    <n v="0"/>
    <n v="0"/>
    <n v="0"/>
    <n v="0"/>
    <n v="0"/>
    <n v="0"/>
    <n v="0"/>
    <n v="0"/>
    <n v="0"/>
    <n v="0"/>
    <m/>
    <m/>
    <m/>
    <m/>
    <m/>
    <m/>
    <m/>
    <m/>
    <m/>
    <m/>
    <m/>
    <m/>
    <m/>
    <m/>
    <m/>
    <m/>
    <m/>
    <m/>
    <m/>
    <m/>
    <m/>
    <m/>
    <m/>
    <m/>
    <m/>
    <m/>
    <m/>
    <m/>
    <m/>
    <m/>
    <m/>
    <m/>
    <m/>
    <m/>
    <m/>
    <m/>
    <m/>
    <m/>
    <m/>
    <m/>
    <m/>
    <m/>
    <m/>
    <m/>
    <m/>
    <m/>
    <m/>
    <m/>
    <m/>
  </r>
  <r>
    <n v="742"/>
    <d v="2025-04-19T00:00:00"/>
    <s v="ZBTO"/>
    <n v="9518703509"/>
    <n v="1"/>
    <s v="9518703509-1"/>
    <s v="May'25"/>
    <x v="0"/>
    <m/>
    <x v="1"/>
    <x v="10"/>
    <n v="1000"/>
    <m/>
    <x v="1"/>
    <m/>
    <s v="P1-Priority for Balmer"/>
    <s v="Andhra Pradesh"/>
    <s v="South"/>
    <m/>
    <m/>
    <n v="188238"/>
    <x v="40"/>
    <n v="2421723"/>
    <s v="CRCA COIL TATXXD BT02 0.770X920"/>
    <m/>
    <s v=""/>
    <m/>
    <m/>
    <m/>
    <s v="C01"/>
    <s v="TATXXD"/>
    <s v="BT02"/>
    <n v="0.77"/>
    <n v="920"/>
    <n v="0"/>
    <n v="273"/>
    <n v="0"/>
    <n v="273"/>
    <n v="273"/>
    <n v="273"/>
    <n v="273"/>
    <n v="0"/>
    <n v="0"/>
    <n v="0"/>
    <n v="0"/>
    <n v="0"/>
    <n v="0"/>
    <n v="0"/>
    <n v="0"/>
    <n v="0"/>
    <n v="0"/>
    <n v="0"/>
    <n v="0"/>
    <n v="0"/>
    <n v="0"/>
    <n v="0"/>
    <n v="0"/>
    <n v="0"/>
    <n v="0"/>
    <n v="0"/>
    <n v="0"/>
    <n v="0"/>
    <n v="0"/>
    <n v="0"/>
    <m/>
    <m/>
    <m/>
    <m/>
    <m/>
    <m/>
    <m/>
    <m/>
    <m/>
    <m/>
    <m/>
    <m/>
    <m/>
    <m/>
    <m/>
    <m/>
    <m/>
    <m/>
    <m/>
    <m/>
    <m/>
    <m/>
    <m/>
    <m/>
    <m/>
    <m/>
    <m/>
    <m/>
    <m/>
    <m/>
    <m/>
    <m/>
    <m/>
    <m/>
    <m/>
    <m/>
    <m/>
    <m/>
    <m/>
    <m/>
    <m/>
    <m/>
    <m/>
    <m/>
    <m/>
    <m/>
    <m/>
    <m/>
    <m/>
  </r>
  <r>
    <n v="742"/>
    <d v="2025-04-19T00:00:00"/>
    <s v="ZBTO"/>
    <n v="9518703509"/>
    <n v="2"/>
    <s v="9518703509-2"/>
    <s v="May'25"/>
    <x v="0"/>
    <m/>
    <x v="1"/>
    <x v="10"/>
    <n v="1000"/>
    <m/>
    <x v="1"/>
    <m/>
    <s v="P1-Priority for Balmer"/>
    <s v="Andhra Pradesh"/>
    <s v="South"/>
    <m/>
    <m/>
    <n v="188238"/>
    <x v="40"/>
    <n v="2421723"/>
    <s v="CRCA COIL TATXXD BT02 0.770X920"/>
    <m/>
    <s v=""/>
    <m/>
    <m/>
    <m/>
    <s v="C01"/>
    <s v="TATXXD"/>
    <s v="BT02"/>
    <n v="0.77"/>
    <n v="920"/>
    <n v="0"/>
    <n v="273"/>
    <n v="0"/>
    <n v="273"/>
    <n v="273"/>
    <n v="273"/>
    <n v="273"/>
    <n v="0"/>
    <n v="0"/>
    <n v="0"/>
    <n v="0"/>
    <n v="0"/>
    <n v="0"/>
    <n v="0"/>
    <n v="0"/>
    <n v="0"/>
    <n v="0"/>
    <n v="0"/>
    <n v="0"/>
    <n v="0"/>
    <n v="0"/>
    <n v="0"/>
    <n v="0"/>
    <n v="0"/>
    <n v="0"/>
    <n v="0"/>
    <n v="0"/>
    <n v="0"/>
    <n v="0"/>
    <n v="0"/>
    <m/>
    <m/>
    <m/>
    <m/>
    <m/>
    <m/>
    <m/>
    <m/>
    <m/>
    <m/>
    <m/>
    <m/>
    <m/>
    <m/>
    <m/>
    <m/>
    <m/>
    <m/>
    <m/>
    <m/>
    <m/>
    <m/>
    <m/>
    <m/>
    <m/>
    <m/>
    <m/>
    <m/>
    <m/>
    <m/>
    <m/>
    <m/>
    <m/>
    <m/>
    <m/>
    <m/>
    <m/>
    <m/>
    <m/>
    <m/>
    <m/>
    <m/>
    <m/>
    <m/>
    <m/>
    <m/>
    <m/>
    <m/>
    <m/>
  </r>
  <r>
    <n v="742"/>
    <d v="2025-04-19T00:00:00"/>
    <s v="ZBTO"/>
    <n v="9518703509"/>
    <n v="3"/>
    <s v="9518703509-3"/>
    <s v="No Priority"/>
    <x v="0"/>
    <m/>
    <x v="1"/>
    <x v="10"/>
    <n v="1000"/>
    <m/>
    <x v="0"/>
    <m/>
    <m/>
    <s v="Andhra Pradesh"/>
    <s v="South"/>
    <m/>
    <m/>
    <n v="188238"/>
    <x v="40"/>
    <n v="2417293"/>
    <s v="CRCA COIL TATXXD BT02 0.770X925"/>
    <m/>
    <s v=""/>
    <m/>
    <m/>
    <m/>
    <s v="C01"/>
    <s v="TATXXD"/>
    <s v="BT02"/>
    <n v="0.77"/>
    <n v="925"/>
    <n v="0"/>
    <n v="42"/>
    <n v="0"/>
    <n v="42"/>
    <n v="42"/>
    <n v="42"/>
    <n v="42"/>
    <n v="0"/>
    <n v="0"/>
    <n v="0"/>
    <n v="0"/>
    <n v="0"/>
    <n v="0"/>
    <n v="0"/>
    <n v="0"/>
    <n v="0"/>
    <n v="0"/>
    <n v="0"/>
    <n v="0"/>
    <n v="0"/>
    <n v="0"/>
    <n v="0"/>
    <n v="0"/>
    <n v="0"/>
    <n v="0"/>
    <n v="0"/>
    <n v="0"/>
    <n v="0"/>
    <n v="0"/>
    <n v="0"/>
    <m/>
    <m/>
    <m/>
    <m/>
    <m/>
    <m/>
    <m/>
    <m/>
    <m/>
    <m/>
    <m/>
    <m/>
    <m/>
    <m/>
    <m/>
    <m/>
    <m/>
    <m/>
    <m/>
    <m/>
    <m/>
    <m/>
    <m/>
    <m/>
    <m/>
    <m/>
    <m/>
    <m/>
    <m/>
    <m/>
    <m/>
    <m/>
    <m/>
    <m/>
    <m/>
    <m/>
    <m/>
    <m/>
    <m/>
    <m/>
    <m/>
    <m/>
    <m/>
    <m/>
    <m/>
    <m/>
    <m/>
    <m/>
    <m/>
  </r>
  <r>
    <n v="742"/>
    <d v="2025-04-19T00:00:00"/>
    <s v="ZBTO"/>
    <n v="9518703509"/>
    <n v="4"/>
    <s v="9518703509-4"/>
    <s v="No Priority"/>
    <x v="0"/>
    <m/>
    <x v="1"/>
    <x v="10"/>
    <n v="1000"/>
    <m/>
    <x v="0"/>
    <m/>
    <m/>
    <s v="Andhra Pradesh"/>
    <s v="South"/>
    <m/>
    <m/>
    <n v="188238"/>
    <x v="40"/>
    <n v="2405215"/>
    <s v="CRCA COIL TATXXD BT02 0.700X920"/>
    <m/>
    <s v=""/>
    <m/>
    <m/>
    <m/>
    <s v="C01"/>
    <s v="TATXXD"/>
    <s v="BT02"/>
    <n v="0.7"/>
    <n v="920"/>
    <n v="0"/>
    <n v="42"/>
    <n v="0"/>
    <n v="42"/>
    <n v="42"/>
    <n v="42"/>
    <n v="42"/>
    <n v="0"/>
    <n v="0"/>
    <n v="0"/>
    <n v="0"/>
    <n v="0"/>
    <n v="0"/>
    <n v="0"/>
    <n v="0"/>
    <n v="0"/>
    <n v="0"/>
    <n v="0"/>
    <n v="0"/>
    <n v="0"/>
    <n v="0"/>
    <n v="0"/>
    <n v="0"/>
    <n v="0"/>
    <n v="0"/>
    <n v="0"/>
    <n v="0"/>
    <n v="0"/>
    <n v="0"/>
    <n v="0"/>
    <m/>
    <m/>
    <m/>
    <m/>
    <m/>
    <m/>
    <m/>
    <m/>
    <m/>
    <m/>
    <m/>
    <m/>
    <m/>
    <m/>
    <m/>
    <m/>
    <m/>
    <m/>
    <m/>
    <m/>
    <m/>
    <m/>
    <m/>
    <m/>
    <m/>
    <m/>
    <m/>
    <m/>
    <m/>
    <m/>
    <m/>
    <m/>
    <m/>
    <m/>
    <m/>
    <m/>
    <m/>
    <m/>
    <m/>
    <m/>
    <m/>
    <m/>
    <m/>
    <m/>
    <m/>
    <m/>
    <m/>
    <m/>
    <m/>
  </r>
  <r>
    <n v="742"/>
    <d v="2025-04-18T00:00:00"/>
    <s v="ZBTO"/>
    <n v="9518703423"/>
    <n v="1"/>
    <s v="9518703423-1"/>
    <s v="May'25"/>
    <x v="0"/>
    <m/>
    <x v="1"/>
    <x v="10"/>
    <n v="1000"/>
    <m/>
    <x v="1"/>
    <m/>
    <s v="P1-Priority for Balmer"/>
    <s v="Tamil Nadu"/>
    <s v="South"/>
    <m/>
    <m/>
    <n v="187214"/>
    <x v="30"/>
    <n v="2164800"/>
    <s v="CRCA COIL TATXXD BT02 0.970X913"/>
    <m/>
    <s v=""/>
    <m/>
    <m/>
    <m/>
    <s v="C01"/>
    <s v="TATXXD"/>
    <s v="BT02"/>
    <n v="0.97"/>
    <n v="913"/>
    <n v="0"/>
    <n v="210"/>
    <n v="0"/>
    <n v="210"/>
    <n v="210"/>
    <n v="210"/>
    <n v="210"/>
    <n v="0"/>
    <n v="0"/>
    <n v="0"/>
    <n v="0"/>
    <n v="0"/>
    <n v="0"/>
    <n v="0"/>
    <n v="0"/>
    <n v="0"/>
    <n v="0"/>
    <n v="0"/>
    <n v="0"/>
    <n v="0"/>
    <n v="0"/>
    <n v="0"/>
    <n v="0"/>
    <n v="0"/>
    <n v="0"/>
    <n v="0"/>
    <n v="0"/>
    <n v="0"/>
    <n v="0"/>
    <n v="0"/>
    <m/>
    <m/>
    <m/>
    <m/>
    <m/>
    <m/>
    <m/>
    <m/>
    <m/>
    <m/>
    <m/>
    <m/>
    <m/>
    <m/>
    <m/>
    <m/>
    <m/>
    <m/>
    <m/>
    <m/>
    <m/>
    <m/>
    <m/>
    <m/>
    <m/>
    <m/>
    <m/>
    <m/>
    <m/>
    <m/>
    <m/>
    <m/>
    <m/>
    <m/>
    <m/>
    <m/>
    <m/>
    <m/>
    <m/>
    <m/>
    <m/>
    <m/>
    <m/>
    <m/>
    <m/>
    <m/>
    <m/>
    <m/>
    <m/>
  </r>
  <r>
    <n v="742"/>
    <d v="2025-04-18T00:00:00"/>
    <s v="ZBTO"/>
    <n v="9518703431"/>
    <n v="1"/>
    <s v="9518703431-1"/>
    <s v="May'25"/>
    <x v="0"/>
    <m/>
    <x v="1"/>
    <x v="10"/>
    <n v="1000"/>
    <m/>
    <x v="1"/>
    <m/>
    <s v="P1-Priority for Balmer"/>
    <s v="Haryana"/>
    <s v="North"/>
    <m/>
    <m/>
    <n v="189430"/>
    <x v="41"/>
    <n v="2164792"/>
    <s v="CRCA COIL TATXXD BT02 0.900X913"/>
    <m/>
    <s v=""/>
    <m/>
    <m/>
    <m/>
    <s v="C01"/>
    <s v="TATXXD"/>
    <s v="BT02"/>
    <n v="0.9"/>
    <n v="913"/>
    <n v="0"/>
    <n v="126"/>
    <n v="0"/>
    <n v="126"/>
    <n v="126"/>
    <n v="126"/>
    <n v="126"/>
    <n v="0"/>
    <n v="0"/>
    <n v="0"/>
    <n v="0"/>
    <n v="0"/>
    <n v="0"/>
    <n v="0"/>
    <n v="0"/>
    <n v="0"/>
    <n v="0"/>
    <n v="0"/>
    <n v="0"/>
    <n v="0"/>
    <n v="0"/>
    <n v="0"/>
    <n v="0"/>
    <n v="0"/>
    <n v="0"/>
    <n v="0"/>
    <n v="0"/>
    <n v="0"/>
    <n v="0"/>
    <n v="0"/>
    <m/>
    <m/>
    <m/>
    <m/>
    <m/>
    <m/>
    <m/>
    <m/>
    <m/>
    <m/>
    <m/>
    <m/>
    <m/>
    <m/>
    <m/>
    <m/>
    <m/>
    <m/>
    <m/>
    <m/>
    <m/>
    <m/>
    <m/>
    <m/>
    <m/>
    <m/>
    <m/>
    <m/>
    <m/>
    <m/>
    <m/>
    <m/>
    <m/>
    <m/>
    <m/>
    <m/>
    <m/>
    <m/>
    <m/>
    <m/>
    <m/>
    <m/>
    <m/>
    <m/>
    <m/>
    <m/>
    <m/>
    <m/>
    <m/>
  </r>
  <r>
    <n v="742"/>
    <d v="2025-04-18T00:00:00"/>
    <s v="ZBTO"/>
    <n v="9518703431"/>
    <n v="2"/>
    <s v="9518703431-2"/>
    <s v="May'25"/>
    <x v="0"/>
    <m/>
    <x v="1"/>
    <x v="10"/>
    <n v="1000"/>
    <m/>
    <x v="1"/>
    <m/>
    <s v="P1-Priority for Balmer"/>
    <s v="Haryana"/>
    <s v="North"/>
    <m/>
    <m/>
    <n v="189430"/>
    <x v="41"/>
    <n v="2164800"/>
    <s v="CRCA COIL TATXXD BT02 0.970X913"/>
    <m/>
    <s v=""/>
    <m/>
    <m/>
    <m/>
    <s v="C01"/>
    <s v="TATXXD"/>
    <s v="BT02"/>
    <n v="0.97"/>
    <n v="913"/>
    <n v="0"/>
    <n v="252"/>
    <n v="0"/>
    <n v="252"/>
    <n v="252"/>
    <n v="252"/>
    <n v="252"/>
    <n v="0"/>
    <n v="0"/>
    <n v="0"/>
    <n v="0"/>
    <n v="0"/>
    <n v="0"/>
    <n v="0"/>
    <n v="0"/>
    <n v="0"/>
    <n v="0"/>
    <n v="0"/>
    <n v="0"/>
    <n v="0"/>
    <n v="0"/>
    <n v="0"/>
    <n v="0"/>
    <n v="0"/>
    <n v="0"/>
    <n v="0"/>
    <n v="0"/>
    <n v="0"/>
    <n v="0"/>
    <n v="0"/>
    <m/>
    <m/>
    <m/>
    <m/>
    <m/>
    <m/>
    <m/>
    <m/>
    <m/>
    <m/>
    <m/>
    <m/>
    <m/>
    <m/>
    <m/>
    <m/>
    <m/>
    <m/>
    <m/>
    <m/>
    <m/>
    <m/>
    <m/>
    <m/>
    <m/>
    <m/>
    <m/>
    <m/>
    <m/>
    <m/>
    <m/>
    <m/>
    <m/>
    <m/>
    <m/>
    <m/>
    <m/>
    <m/>
    <m/>
    <m/>
    <m/>
    <m/>
    <m/>
    <m/>
    <m/>
    <m/>
    <m/>
    <m/>
    <m/>
  </r>
  <r>
    <n v="742"/>
    <d v="2025-04-18T00:00:00"/>
    <s v="ZBTO"/>
    <n v="9518703431"/>
    <n v="4"/>
    <s v="9518703431-4"/>
    <s v="May'25"/>
    <x v="0"/>
    <m/>
    <x v="1"/>
    <x v="10"/>
    <n v="1000"/>
    <m/>
    <x v="1"/>
    <m/>
    <s v="P1-Priority for Balmer"/>
    <s v="Haryana"/>
    <s v="North"/>
    <m/>
    <m/>
    <n v="189430"/>
    <x v="41"/>
    <n v="2164803"/>
    <s v="CRCA COIL TATXXD BT02 1.200X910"/>
    <m/>
    <s v=""/>
    <m/>
    <m/>
    <m/>
    <s v="C01"/>
    <s v="TATXXD"/>
    <s v="BT02"/>
    <n v="1.2"/>
    <n v="910"/>
    <n v="0"/>
    <n v="42"/>
    <n v="0"/>
    <n v="42"/>
    <n v="42"/>
    <n v="42"/>
    <n v="42"/>
    <n v="0"/>
    <n v="0"/>
    <n v="0"/>
    <n v="0"/>
    <n v="0"/>
    <n v="0"/>
    <n v="0"/>
    <n v="0"/>
    <n v="0"/>
    <n v="0"/>
    <n v="0"/>
    <n v="0"/>
    <n v="0"/>
    <n v="0"/>
    <n v="0"/>
    <n v="0"/>
    <n v="0"/>
    <n v="0"/>
    <n v="0"/>
    <n v="0"/>
    <n v="0"/>
    <n v="0"/>
    <n v="0"/>
    <m/>
    <m/>
    <m/>
    <m/>
    <m/>
    <m/>
    <m/>
    <m/>
    <m/>
    <m/>
    <m/>
    <m/>
    <m/>
    <m/>
    <m/>
    <m/>
    <m/>
    <m/>
    <m/>
    <m/>
    <m/>
    <m/>
    <m/>
    <m/>
    <m/>
    <m/>
    <m/>
    <m/>
    <m/>
    <m/>
    <m/>
    <m/>
    <m/>
    <m/>
    <m/>
    <m/>
    <m/>
    <m/>
    <m/>
    <m/>
    <m/>
    <m/>
    <m/>
    <m/>
    <m/>
    <m/>
    <m/>
    <m/>
    <m/>
  </r>
  <r>
    <n v="742"/>
    <d v="2025-04-19T00:00:00"/>
    <s v="ZBTO"/>
    <n v="9518704091"/>
    <n v="1"/>
    <s v="9518704091-1"/>
    <s v="May'25"/>
    <x v="0"/>
    <m/>
    <x v="1"/>
    <x v="10"/>
    <n v="1000"/>
    <m/>
    <x v="1"/>
    <m/>
    <s v="P1-Priority for Balmer"/>
    <s v="Dadra, Nagarhaveli"/>
    <s v="West"/>
    <m/>
    <m/>
    <n v="189405"/>
    <x v="42"/>
    <n v="2164800"/>
    <s v="CRCA COIL TATXXD BT02 0.970X913"/>
    <m/>
    <s v=""/>
    <m/>
    <m/>
    <m/>
    <s v="C01"/>
    <s v="TATXXD"/>
    <s v="BT02"/>
    <n v="0.97"/>
    <n v="913"/>
    <n v="0"/>
    <n v="273"/>
    <n v="0"/>
    <n v="273"/>
    <n v="273"/>
    <n v="273"/>
    <n v="273"/>
    <n v="0"/>
    <n v="0"/>
    <n v="0"/>
    <n v="0"/>
    <n v="0"/>
    <n v="0"/>
    <n v="0"/>
    <n v="0"/>
    <n v="0"/>
    <n v="0"/>
    <n v="0"/>
    <n v="0"/>
    <n v="0"/>
    <n v="0"/>
    <n v="0"/>
    <n v="0"/>
    <n v="0"/>
    <n v="0"/>
    <n v="0"/>
    <n v="0"/>
    <n v="0"/>
    <n v="0"/>
    <n v="0"/>
    <m/>
    <m/>
    <m/>
    <m/>
    <m/>
    <m/>
    <m/>
    <m/>
    <m/>
    <m/>
    <m/>
    <m/>
    <m/>
    <m/>
    <m/>
    <m/>
    <m/>
    <m/>
    <m/>
    <m/>
    <m/>
    <m/>
    <m/>
    <m/>
    <m/>
    <m/>
    <m/>
    <m/>
    <m/>
    <m/>
    <m/>
    <m/>
    <m/>
    <m/>
    <m/>
    <m/>
    <m/>
    <m/>
    <m/>
    <m/>
    <m/>
    <m/>
    <m/>
    <m/>
    <m/>
    <m/>
    <m/>
    <m/>
    <m/>
  </r>
  <r>
    <n v="742"/>
    <d v="2025-04-19T00:00:00"/>
    <s v="ZBTO"/>
    <n v="9518704091"/>
    <n v="2"/>
    <s v="9518704091-2"/>
    <s v="May'25"/>
    <x v="0"/>
    <m/>
    <x v="1"/>
    <x v="10"/>
    <n v="1000"/>
    <m/>
    <x v="1"/>
    <m/>
    <s v="P1-Priority for Balmer"/>
    <s v="Dadra, Nagarhaveli"/>
    <s v="West"/>
    <m/>
    <m/>
    <n v="189405"/>
    <x v="42"/>
    <n v="2164803"/>
    <s v="CRCA COIL TATXXD BT02 1.200X910"/>
    <m/>
    <s v=""/>
    <m/>
    <m/>
    <m/>
    <s v="C01"/>
    <s v="TATXXD"/>
    <s v="BT02"/>
    <n v="1.2"/>
    <n v="910"/>
    <n v="0"/>
    <n v="273"/>
    <n v="0"/>
    <n v="273"/>
    <n v="273"/>
    <n v="273"/>
    <n v="273"/>
    <n v="0"/>
    <n v="0"/>
    <n v="0"/>
    <n v="0"/>
    <n v="0"/>
    <n v="0"/>
    <n v="0"/>
    <n v="0"/>
    <n v="0"/>
    <n v="0"/>
    <n v="0"/>
    <n v="0"/>
    <n v="0"/>
    <n v="0"/>
    <n v="0"/>
    <n v="0"/>
    <n v="0"/>
    <n v="0"/>
    <n v="0"/>
    <n v="0"/>
    <n v="0"/>
    <n v="0"/>
    <n v="0"/>
    <m/>
    <m/>
    <m/>
    <m/>
    <m/>
    <m/>
    <m/>
    <m/>
    <m/>
    <m/>
    <m/>
    <m/>
    <m/>
    <m/>
    <m/>
    <m/>
    <m/>
    <m/>
    <m/>
    <m/>
    <m/>
    <m/>
    <m/>
    <m/>
    <m/>
    <m/>
    <m/>
    <m/>
    <m/>
    <m/>
    <m/>
    <m/>
    <m/>
    <m/>
    <m/>
    <m/>
    <m/>
    <m/>
    <m/>
    <m/>
    <m/>
    <m/>
    <m/>
    <m/>
    <m/>
    <m/>
    <m/>
    <m/>
    <m/>
  </r>
  <r>
    <n v="742"/>
    <d v="2025-04-19T00:00:00"/>
    <s v="ZBTO"/>
    <n v="9518704091"/>
    <n v="3"/>
    <s v="9518704091-3"/>
    <s v="No Priority"/>
    <x v="0"/>
    <m/>
    <x v="1"/>
    <x v="10"/>
    <n v="1000"/>
    <m/>
    <x v="0"/>
    <m/>
    <m/>
    <s v="Dadra, Nagarhaveli"/>
    <s v="West"/>
    <m/>
    <m/>
    <n v="189405"/>
    <x v="42"/>
    <n v="2164800"/>
    <s v="CRCA COIL TATXXD BT02 0.970X913"/>
    <m/>
    <s v=""/>
    <m/>
    <m/>
    <m/>
    <s v="C01"/>
    <s v="TATXXD"/>
    <s v="BT02"/>
    <n v="0.97"/>
    <n v="913"/>
    <n v="0"/>
    <n v="168"/>
    <n v="0"/>
    <n v="168"/>
    <n v="168"/>
    <n v="168"/>
    <n v="168"/>
    <n v="0"/>
    <n v="0"/>
    <n v="0"/>
    <n v="0"/>
    <n v="0"/>
    <n v="0"/>
    <n v="0"/>
    <n v="0"/>
    <n v="0"/>
    <n v="0"/>
    <n v="0"/>
    <n v="0"/>
    <n v="0"/>
    <n v="0"/>
    <n v="0"/>
    <n v="0"/>
    <n v="0"/>
    <n v="0"/>
    <n v="0"/>
    <n v="0"/>
    <n v="0"/>
    <n v="0"/>
    <n v="0"/>
    <m/>
    <m/>
    <m/>
    <m/>
    <m/>
    <m/>
    <m/>
    <m/>
    <m/>
    <m/>
    <m/>
    <m/>
    <m/>
    <m/>
    <m/>
    <m/>
    <m/>
    <m/>
    <m/>
    <m/>
    <m/>
    <m/>
    <m/>
    <m/>
    <m/>
    <m/>
    <m/>
    <m/>
    <m/>
    <m/>
    <m/>
    <m/>
    <m/>
    <m/>
    <m/>
    <m/>
    <m/>
    <m/>
    <m/>
    <m/>
    <m/>
    <m/>
    <m/>
    <m/>
    <m/>
    <m/>
    <m/>
    <m/>
    <m/>
  </r>
  <r>
    <n v="742"/>
    <d v="2025-04-15T00:00:00"/>
    <s v="ZBTO"/>
    <n v="9518694209"/>
    <n v="1"/>
    <s v="9518694209-1"/>
    <s v="May'25"/>
    <x v="0"/>
    <m/>
    <x v="1"/>
    <x v="1"/>
    <n v="2000"/>
    <m/>
    <x v="1"/>
    <m/>
    <m/>
    <s v="Delhi"/>
    <s v="North"/>
    <m/>
    <m/>
    <n v="101499"/>
    <x v="48"/>
    <n v="1801456"/>
    <s v="CRCA COIL-TATXXD-AU03-0.7X1250"/>
    <m/>
    <s v=""/>
    <m/>
    <m/>
    <m/>
    <s v="C01"/>
    <s v="TATXXD"/>
    <s v="AU03"/>
    <n v="0.7"/>
    <n v="1250"/>
    <n v="0"/>
    <n v="29"/>
    <n v="0"/>
    <n v="29"/>
    <n v="29"/>
    <n v="7.9199999999999982"/>
    <n v="29"/>
    <n v="0"/>
    <n v="0"/>
    <n v="0"/>
    <n v="0"/>
    <n v="0"/>
    <n v="0"/>
    <n v="0"/>
    <n v="0"/>
    <n v="0"/>
    <n v="0"/>
    <n v="0"/>
    <n v="0"/>
    <n v="0"/>
    <n v="21.080000000000002"/>
    <n v="0"/>
    <n v="0"/>
    <n v="0"/>
    <n v="0"/>
    <n v="0"/>
    <n v="21.080000000000002"/>
    <n v="21.080000000000002"/>
    <n v="0"/>
    <n v="21.080000000000002"/>
    <m/>
    <m/>
    <m/>
    <m/>
    <m/>
    <m/>
    <m/>
    <m/>
    <m/>
    <m/>
    <m/>
    <m/>
    <m/>
    <m/>
    <m/>
    <m/>
    <m/>
    <m/>
    <m/>
    <m/>
    <m/>
    <m/>
    <m/>
    <m/>
    <m/>
    <m/>
    <m/>
    <m/>
    <m/>
    <m/>
    <m/>
    <m/>
    <m/>
    <m/>
    <m/>
    <m/>
    <m/>
    <m/>
    <m/>
    <m/>
    <m/>
    <m/>
    <m/>
    <m/>
    <m/>
    <m/>
    <m/>
    <m/>
    <m/>
  </r>
  <r>
    <n v="742"/>
    <d v="2025-04-15T00:00:00"/>
    <s v="ZBTO"/>
    <n v="9518694209"/>
    <n v="2"/>
    <s v="9518694209-2"/>
    <s v="No Priority"/>
    <x v="0"/>
    <m/>
    <x v="1"/>
    <x v="1"/>
    <n v="2000"/>
    <m/>
    <x v="0"/>
    <m/>
    <m/>
    <s v="Delhi"/>
    <s v="North"/>
    <m/>
    <m/>
    <n v="101499"/>
    <x v="48"/>
    <n v="1804814"/>
    <s v="CRCA COIL TATXXD AU03 0.8X1250"/>
    <m/>
    <s v=""/>
    <m/>
    <m/>
    <m/>
    <s v="C01"/>
    <s v="TATXXD"/>
    <s v="AU03"/>
    <n v="0.8"/>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5T00:00:00"/>
    <s v="ZBTO"/>
    <n v="9518694209"/>
    <n v="3"/>
    <s v="9518694209-3"/>
    <s v="No Priority"/>
    <x v="0"/>
    <m/>
    <x v="1"/>
    <x v="1"/>
    <n v="2000"/>
    <m/>
    <x v="0"/>
    <m/>
    <m/>
    <s v="Delhi"/>
    <s v="North"/>
    <m/>
    <m/>
    <n v="101499"/>
    <x v="48"/>
    <n v="1801804"/>
    <s v="CRCA COIL-TATXXD-AU03-1X1250"/>
    <m/>
    <s v=""/>
    <m/>
    <m/>
    <m/>
    <s v="C01"/>
    <s v="TATXXD"/>
    <s v="AU03"/>
    <n v="1"/>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5T00:00:00"/>
    <s v="ZBTO"/>
    <n v="9518694209"/>
    <n v="4"/>
    <s v="9518694209-4"/>
    <s v="No Priority"/>
    <x v="0"/>
    <m/>
    <x v="1"/>
    <x v="1"/>
    <n v="2000"/>
    <m/>
    <x v="0"/>
    <m/>
    <m/>
    <s v="Delhi"/>
    <s v="North"/>
    <m/>
    <m/>
    <n v="101499"/>
    <x v="48"/>
    <n v="1804854"/>
    <s v="CRCA COIL-TATXXD-AU03-1.2X1250"/>
    <m/>
    <s v=""/>
    <m/>
    <m/>
    <m/>
    <s v="C01"/>
    <s v="TATXXD"/>
    <s v="AU03"/>
    <n v="1.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5T00:00:00"/>
    <s v="ZBTO"/>
    <n v="9518694209"/>
    <n v="6"/>
    <s v="9518694209-6"/>
    <s v="No Priority"/>
    <x v="0"/>
    <m/>
    <x v="1"/>
    <x v="1"/>
    <n v="2000"/>
    <m/>
    <x v="0"/>
    <m/>
    <m/>
    <s v="Delhi"/>
    <s v="North"/>
    <m/>
    <m/>
    <n v="101499"/>
    <x v="48"/>
    <n v="1884117"/>
    <s v="CRCA COIL-TATXXD-AU03-2X1250"/>
    <m/>
    <s v=""/>
    <m/>
    <m/>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5T00:00:00"/>
    <s v="ZBTO"/>
    <n v="9518694209"/>
    <n v="7"/>
    <s v="9518694209-7"/>
    <s v="May'25"/>
    <x v="0"/>
    <m/>
    <x v="1"/>
    <x v="1"/>
    <n v="2000"/>
    <m/>
    <x v="1"/>
    <m/>
    <m/>
    <s v="Delhi"/>
    <s v="North"/>
    <m/>
    <m/>
    <n v="101499"/>
    <x v="48"/>
    <n v="2193599"/>
    <s v="CRCA COIL TATXXD AU03 1.400X1250"/>
    <m/>
    <s v=""/>
    <m/>
    <m/>
    <m/>
    <s v="C01"/>
    <s v="TATXXD"/>
    <s v="AU03"/>
    <n v="1.4"/>
    <n v="1250"/>
    <n v="0"/>
    <n v="29"/>
    <n v="0"/>
    <n v="29"/>
    <n v="29"/>
    <n v="9.879999999999999"/>
    <n v="29"/>
    <n v="0"/>
    <n v="0"/>
    <n v="0"/>
    <n v="0"/>
    <n v="0"/>
    <n v="0"/>
    <n v="0"/>
    <n v="0"/>
    <n v="0"/>
    <n v="0"/>
    <n v="0"/>
    <n v="0"/>
    <n v="0"/>
    <n v="0"/>
    <n v="0"/>
    <n v="19.12"/>
    <n v="0"/>
    <n v="0"/>
    <n v="0"/>
    <n v="19.12"/>
    <n v="19.12"/>
    <n v="0"/>
    <n v="19.12"/>
    <m/>
    <m/>
    <m/>
    <m/>
    <m/>
    <m/>
    <m/>
    <m/>
    <m/>
    <m/>
    <m/>
    <m/>
    <m/>
    <m/>
    <m/>
    <m/>
    <m/>
    <m/>
    <m/>
    <m/>
    <m/>
    <m/>
    <m/>
    <m/>
    <m/>
    <m/>
    <m/>
    <m/>
    <m/>
    <m/>
    <m/>
    <m/>
    <m/>
    <m/>
    <m/>
    <m/>
    <m/>
    <m/>
    <m/>
    <m/>
    <m/>
    <m/>
    <m/>
    <m/>
    <m/>
    <m/>
    <m/>
    <m/>
    <m/>
  </r>
  <r>
    <n v="742"/>
    <d v="2025-04-15T00:00:00"/>
    <s v="ZBTO"/>
    <n v="9518694209"/>
    <n v="8"/>
    <s v="9518694209-8"/>
    <s v="No Priority"/>
    <x v="0"/>
    <m/>
    <x v="1"/>
    <x v="1"/>
    <n v="2000"/>
    <m/>
    <x v="0"/>
    <m/>
    <m/>
    <s v="Delhi"/>
    <s v="North"/>
    <m/>
    <m/>
    <n v="101499"/>
    <x v="48"/>
    <n v="2334995"/>
    <s v="CRCA COIL TATXXD AU03 1.500X1250"/>
    <m/>
    <s v=""/>
    <m/>
    <m/>
    <m/>
    <s v="C01"/>
    <s v="TATXXD"/>
    <s v="AU03"/>
    <n v="1.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5T00:00:00"/>
    <s v="ZBTO"/>
    <n v="9518694209"/>
    <n v="9"/>
    <s v="9518694209-9"/>
    <s v="No Priority"/>
    <x v="0"/>
    <m/>
    <x v="1"/>
    <x v="1"/>
    <n v="2000"/>
    <m/>
    <x v="0"/>
    <m/>
    <m/>
    <s v="Delhi"/>
    <s v="North"/>
    <m/>
    <m/>
    <n v="101499"/>
    <x v="48"/>
    <n v="2155233"/>
    <s v="CRCA COIL TATXXD AU03 2.5X1250"/>
    <m/>
    <s v=""/>
    <m/>
    <m/>
    <m/>
    <s v="C01"/>
    <s v="TATXXD"/>
    <s v="AU03"/>
    <n v="2.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15T00:00:00"/>
    <s v="ZBTO"/>
    <n v="9518694209"/>
    <n v="10"/>
    <s v="9518694209-10"/>
    <s v="No Priority"/>
    <x v="0"/>
    <m/>
    <x v="1"/>
    <x v="1"/>
    <n v="2000"/>
    <m/>
    <x v="0"/>
    <m/>
    <m/>
    <s v="Delhi"/>
    <s v="North"/>
    <m/>
    <m/>
    <n v="101499"/>
    <x v="48"/>
    <n v="1801290"/>
    <s v="CRCA COIL-TATXXD-AU03-0.6X1250"/>
    <m/>
    <s v=""/>
    <m/>
    <m/>
    <m/>
    <s v="C01"/>
    <s v="TATXXD"/>
    <s v="AU03"/>
    <n v="0.6"/>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9T00:00:00"/>
    <s v="ZBTO"/>
    <n v="9518704147"/>
    <n v="1"/>
    <s v="9518704147-1"/>
    <s v="May'25"/>
    <x v="0"/>
    <m/>
    <x v="1"/>
    <x v="10"/>
    <n v="1000"/>
    <m/>
    <x v="1"/>
    <m/>
    <m/>
    <s v="Tamil Nadu"/>
    <s v="South"/>
    <m/>
    <m/>
    <n v="122082"/>
    <x v="116"/>
    <n v="3774639"/>
    <s v="CR COIL TATXHS GB03 1.500X1260"/>
    <m/>
    <s v=""/>
    <m/>
    <m/>
    <m/>
    <s v="C01"/>
    <s v="TATXHS"/>
    <s v="GB03"/>
    <n v="1.5"/>
    <n v="1260"/>
    <n v="0"/>
    <n v="290"/>
    <n v="0"/>
    <n v="290"/>
    <n v="290"/>
    <n v="290"/>
    <n v="290"/>
    <n v="0"/>
    <n v="0"/>
    <n v="0"/>
    <n v="0"/>
    <n v="0"/>
    <n v="0"/>
    <n v="0"/>
    <n v="0"/>
    <n v="0"/>
    <n v="0"/>
    <n v="0"/>
    <n v="0"/>
    <n v="0"/>
    <n v="0"/>
    <n v="0"/>
    <n v="0"/>
    <n v="0"/>
    <n v="0"/>
    <n v="0"/>
    <n v="0"/>
    <n v="0"/>
    <n v="0"/>
    <n v="0"/>
    <m/>
    <m/>
    <m/>
    <m/>
    <m/>
    <m/>
    <m/>
    <m/>
    <m/>
    <m/>
    <m/>
    <m/>
    <m/>
    <m/>
    <m/>
    <m/>
    <m/>
    <m/>
    <m/>
    <m/>
    <m/>
    <m/>
    <m/>
    <m/>
    <m/>
    <m/>
    <m/>
    <m/>
    <m/>
    <m/>
    <m/>
    <m/>
    <m/>
    <m/>
    <m/>
    <m/>
    <m/>
    <m/>
    <m/>
    <m/>
    <m/>
    <m/>
    <m/>
    <m/>
    <m/>
    <m/>
    <m/>
    <m/>
    <m/>
  </r>
  <r>
    <n v="742"/>
    <d v="2025-04-19T00:00:00"/>
    <s v="ZBTO"/>
    <n v="9518704147"/>
    <n v="3"/>
    <s v="9518704147-3"/>
    <s v="May'25"/>
    <x v="0"/>
    <m/>
    <x v="1"/>
    <x v="10"/>
    <n v="1000"/>
    <m/>
    <x v="1"/>
    <m/>
    <m/>
    <s v="Tamil Nadu"/>
    <s v="South"/>
    <m/>
    <m/>
    <n v="122082"/>
    <x v="116"/>
    <n v="3774639"/>
    <s v="CR COIL TATXHS GB03 1.500X1260"/>
    <m/>
    <s v=""/>
    <m/>
    <m/>
    <m/>
    <s v="C01"/>
    <s v="TATXHS"/>
    <s v="GB03"/>
    <n v="1.5"/>
    <n v="1260"/>
    <n v="0"/>
    <n v="290"/>
    <n v="0"/>
    <n v="290"/>
    <n v="290"/>
    <n v="290"/>
    <n v="290"/>
    <n v="0"/>
    <n v="0"/>
    <n v="0"/>
    <n v="0"/>
    <n v="0"/>
    <n v="0"/>
    <n v="0"/>
    <n v="0"/>
    <n v="0"/>
    <n v="0"/>
    <n v="0"/>
    <n v="0"/>
    <n v="0"/>
    <n v="0"/>
    <n v="0"/>
    <n v="0"/>
    <n v="0"/>
    <n v="0"/>
    <n v="0"/>
    <n v="0"/>
    <n v="0"/>
    <n v="0"/>
    <n v="0"/>
    <m/>
    <m/>
    <m/>
    <m/>
    <m/>
    <m/>
    <m/>
    <m/>
    <m/>
    <m/>
    <m/>
    <m/>
    <m/>
    <m/>
    <m/>
    <m/>
    <m/>
    <m/>
    <m/>
    <m/>
    <m/>
    <m/>
    <m/>
    <m/>
    <m/>
    <m/>
    <m/>
    <m/>
    <m/>
    <m/>
    <m/>
    <m/>
    <m/>
    <m/>
    <m/>
    <m/>
    <m/>
    <m/>
    <m/>
    <m/>
    <m/>
    <m/>
    <m/>
    <m/>
    <m/>
    <m/>
    <m/>
    <m/>
    <m/>
  </r>
  <r>
    <n v="743"/>
    <d v="2025-04-17T00:00:00"/>
    <s v="ZBTO"/>
    <n v="9518701085"/>
    <n v="1"/>
    <s v="9518701085-1"/>
    <s v="May'25"/>
    <x v="0"/>
    <m/>
    <x v="4"/>
    <x v="5"/>
    <n v="1000"/>
    <m/>
    <x v="1"/>
    <m/>
    <m/>
    <s v="Gujarat"/>
    <s v="West"/>
    <m/>
    <m/>
    <n v="949285"/>
    <x v="119"/>
    <n v="3884496"/>
    <s v="GL COIL HARD  Y550GL HGL6 0.900X1220"/>
    <m/>
    <s v=""/>
    <m/>
    <m/>
    <m/>
    <s v="B04"/>
    <s v="Y550GL"/>
    <s v="HGL6"/>
    <n v="0.9"/>
    <n v="1220"/>
    <n v="0"/>
    <n v="300.99900000000002"/>
    <n v="0"/>
    <n v="300.99900000000002"/>
    <n v="300.99900000000002"/>
    <n v="249.38900000000001"/>
    <n v="308"/>
    <n v="0"/>
    <n v="0"/>
    <n v="0"/>
    <n v="0"/>
    <n v="0"/>
    <n v="0"/>
    <n v="0"/>
    <n v="26.89"/>
    <n v="0"/>
    <n v="0"/>
    <n v="0"/>
    <n v="0"/>
    <n v="0"/>
    <n v="0"/>
    <n v="0"/>
    <n v="0"/>
    <n v="0"/>
    <n v="0"/>
    <n v="24.72"/>
    <n v="51.61"/>
    <n v="51.61"/>
    <n v="0"/>
    <n v="51.61"/>
    <m/>
    <m/>
    <m/>
    <m/>
    <m/>
    <m/>
    <m/>
    <m/>
    <m/>
    <m/>
    <m/>
    <m/>
    <m/>
    <m/>
    <m/>
    <m/>
    <m/>
    <m/>
    <m/>
    <m/>
    <m/>
    <m/>
    <m/>
    <m/>
    <m/>
    <m/>
    <m/>
    <m/>
    <m/>
    <m/>
    <m/>
    <m/>
    <m/>
    <m/>
    <m/>
    <m/>
    <m/>
    <m/>
    <m/>
    <m/>
    <m/>
    <m/>
    <m/>
    <m/>
    <m/>
    <m/>
    <m/>
    <m/>
    <m/>
  </r>
  <r>
    <n v="743"/>
    <d v="2025-04-17T00:00:00"/>
    <s v="ZBTO"/>
    <n v="9518701085"/>
    <n v="2"/>
    <s v="9518701085-2"/>
    <s v="May'25"/>
    <x v="0"/>
    <m/>
    <x v="4"/>
    <x v="5"/>
    <n v="1000"/>
    <m/>
    <x v="1"/>
    <m/>
    <m/>
    <s v="Gujarat"/>
    <s v="West"/>
    <m/>
    <m/>
    <n v="949285"/>
    <x v="119"/>
    <n v="3884496"/>
    <s v="GL COIL HARD  Y550GL HGL6 0.900X1220"/>
    <m/>
    <s v=""/>
    <m/>
    <m/>
    <m/>
    <s v="B04"/>
    <s v="Y550GL"/>
    <s v="HGL6"/>
    <n v="0.9"/>
    <n v="1220"/>
    <n v="0"/>
    <n v="300.99900000000002"/>
    <n v="0"/>
    <n v="300.99900000000002"/>
    <n v="300.99900000000002"/>
    <n v="300.99900000000002"/>
    <n v="308"/>
    <n v="0"/>
    <n v="0"/>
    <n v="0"/>
    <n v="0"/>
    <n v="0"/>
    <n v="0"/>
    <n v="0"/>
    <n v="0"/>
    <n v="0"/>
    <n v="0"/>
    <n v="0"/>
    <n v="0"/>
    <n v="0"/>
    <n v="0"/>
    <n v="0"/>
    <n v="0"/>
    <n v="0"/>
    <n v="0"/>
    <n v="0"/>
    <n v="0"/>
    <n v="0"/>
    <n v="0"/>
    <n v="0"/>
    <m/>
    <m/>
    <m/>
    <m/>
    <m/>
    <m/>
    <m/>
    <m/>
    <m/>
    <m/>
    <m/>
    <m/>
    <m/>
    <m/>
    <m/>
    <m/>
    <m/>
    <m/>
    <m/>
    <m/>
    <m/>
    <m/>
    <m/>
    <m/>
    <m/>
    <m/>
    <m/>
    <m/>
    <m/>
    <m/>
    <m/>
    <m/>
    <m/>
    <m/>
    <m/>
    <m/>
    <m/>
    <m/>
    <m/>
    <m/>
    <m/>
    <m/>
    <m/>
    <m/>
    <m/>
    <m/>
    <m/>
    <m/>
    <m/>
  </r>
  <r>
    <n v="743"/>
    <d v="2025-04-21T00:00:00"/>
    <s v="ZBTO"/>
    <n v="9518709108"/>
    <n v="1"/>
    <s v="9518709108-1"/>
    <s v="May'25"/>
    <x v="0"/>
    <m/>
    <x v="4"/>
    <x v="5"/>
    <n v="1000"/>
    <m/>
    <x v="1"/>
    <m/>
    <m/>
    <s v="Gujarat"/>
    <s v="West"/>
    <m/>
    <m/>
    <n v="944226"/>
    <x v="44"/>
    <n v="3889776"/>
    <s v="GL COIL HARD  Y550GL H0GL 0.900X1249"/>
    <m/>
    <s v=""/>
    <m/>
    <m/>
    <m/>
    <s v="B04"/>
    <s v="Y550GL"/>
    <s v="H0GL"/>
    <n v="0.9"/>
    <n v="1249"/>
    <n v="0"/>
    <n v="290"/>
    <n v="0"/>
    <n v="290"/>
    <n v="290"/>
    <n v="290"/>
    <n v="290"/>
    <n v="0"/>
    <n v="0"/>
    <n v="0"/>
    <n v="0"/>
    <n v="0"/>
    <n v="0"/>
    <n v="0"/>
    <n v="0"/>
    <n v="0"/>
    <n v="0"/>
    <n v="0"/>
    <n v="0"/>
    <n v="0"/>
    <n v="0"/>
    <n v="0"/>
    <n v="0"/>
    <n v="0"/>
    <n v="0"/>
    <n v="0"/>
    <n v="0"/>
    <n v="0"/>
    <n v="0"/>
    <n v="0"/>
    <m/>
    <m/>
    <m/>
    <m/>
    <m/>
    <m/>
    <m/>
    <m/>
    <m/>
    <m/>
    <m/>
    <m/>
    <m/>
    <m/>
    <m/>
    <m/>
    <m/>
    <m/>
    <m/>
    <m/>
    <m/>
    <m/>
    <m/>
    <m/>
    <m/>
    <m/>
    <m/>
    <m/>
    <m/>
    <m/>
    <m/>
    <m/>
    <m/>
    <m/>
    <m/>
    <m/>
    <m/>
    <m/>
    <m/>
    <m/>
    <m/>
    <m/>
    <m/>
    <m/>
    <m/>
    <m/>
    <m/>
    <m/>
    <m/>
  </r>
  <r>
    <n v="742"/>
    <d v="2025-04-19T00:00:00"/>
    <s v="ZBTO"/>
    <n v="9518704234"/>
    <n v="1"/>
    <s v="9518704234-1"/>
    <s v="No Priority"/>
    <x v="0"/>
    <m/>
    <x v="1"/>
    <x v="1"/>
    <n v="2000"/>
    <m/>
    <x v="0"/>
    <m/>
    <m/>
    <s v="Haryana"/>
    <s v="North"/>
    <m/>
    <m/>
    <n v="116735"/>
    <x v="67"/>
    <n v="1804854"/>
    <s v="CRCA COIL-TATXXD-AU03-1.2X1250"/>
    <m/>
    <s v=""/>
    <m/>
    <m/>
    <m/>
    <s v="C01"/>
    <s v="TATXXD"/>
    <s v="AU03"/>
    <n v="1.2"/>
    <n v="1250"/>
    <n v="0"/>
    <n v="116"/>
    <n v="0"/>
    <n v="116"/>
    <n v="116"/>
    <n v="116"/>
    <n v="116"/>
    <n v="0"/>
    <n v="0"/>
    <n v="0"/>
    <n v="0"/>
    <n v="0"/>
    <n v="0"/>
    <n v="0"/>
    <n v="0"/>
    <n v="0"/>
    <n v="0"/>
    <n v="0"/>
    <n v="0"/>
    <n v="0"/>
    <n v="0"/>
    <n v="0"/>
    <n v="0"/>
    <n v="0"/>
    <n v="0"/>
    <n v="0"/>
    <n v="0"/>
    <n v="0"/>
    <n v="0"/>
    <n v="0"/>
    <m/>
    <m/>
    <m/>
    <m/>
    <m/>
    <m/>
    <m/>
    <m/>
    <m/>
    <m/>
    <m/>
    <m/>
    <m/>
    <m/>
    <m/>
    <m/>
    <m/>
    <m/>
    <m/>
    <m/>
    <m/>
    <m/>
    <m/>
    <m/>
    <m/>
    <m/>
    <m/>
    <m/>
    <m/>
    <m/>
    <m/>
    <m/>
    <m/>
    <m/>
    <m/>
    <m/>
    <m/>
    <m/>
    <m/>
    <m/>
    <m/>
    <m/>
    <m/>
    <m/>
    <m/>
    <m/>
    <m/>
    <m/>
    <m/>
  </r>
  <r>
    <n v="742"/>
    <d v="2025-04-19T00:00:00"/>
    <s v="ZBTO"/>
    <n v="9518704234"/>
    <n v="2"/>
    <s v="9518704234-2"/>
    <s v="No Priority"/>
    <x v="0"/>
    <m/>
    <x v="1"/>
    <x v="1"/>
    <n v="2000"/>
    <m/>
    <x v="0"/>
    <m/>
    <m/>
    <s v="Haryana"/>
    <s v="North"/>
    <m/>
    <m/>
    <n v="116735"/>
    <x v="67"/>
    <n v="1884117"/>
    <s v="CRCA COIL-TATXXD-AU03-2X1250"/>
    <m/>
    <s v=""/>
    <m/>
    <m/>
    <m/>
    <s v="C01"/>
    <s v="TATXXD"/>
    <s v="AU03"/>
    <n v="2"/>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19T00:00:00"/>
    <s v="ZBTO"/>
    <n v="9518704249"/>
    <n v="1"/>
    <s v="9518704249-1"/>
    <s v="No Priority"/>
    <x v="0"/>
    <m/>
    <x v="1"/>
    <x v="1"/>
    <n v="2000"/>
    <m/>
    <x v="0"/>
    <m/>
    <m/>
    <s v="Haryana"/>
    <s v="North"/>
    <m/>
    <m/>
    <n v="116735"/>
    <x v="67"/>
    <n v="1801804"/>
    <s v="CRCA COIL-TATXXD-AU03-1X1250"/>
    <m/>
    <s v=""/>
    <m/>
    <m/>
    <m/>
    <s v="C01"/>
    <s v="TATXXD"/>
    <s v="AU03"/>
    <n v="1"/>
    <n v="1250"/>
    <n v="0"/>
    <n v="58"/>
    <n v="0"/>
    <n v="58"/>
    <n v="58"/>
    <n v="58"/>
    <n v="58"/>
    <n v="0"/>
    <n v="0"/>
    <n v="0"/>
    <n v="0"/>
    <n v="0"/>
    <n v="0"/>
    <n v="0"/>
    <n v="0"/>
    <n v="0"/>
    <n v="0"/>
    <n v="0"/>
    <n v="0"/>
    <n v="0"/>
    <n v="0"/>
    <n v="0"/>
    <n v="0"/>
    <n v="0"/>
    <n v="0"/>
    <n v="0"/>
    <n v="0"/>
    <n v="0"/>
    <n v="0"/>
    <n v="0"/>
    <m/>
    <m/>
    <m/>
    <m/>
    <m/>
    <m/>
    <m/>
    <m/>
    <m/>
    <m/>
    <m/>
    <m/>
    <m/>
    <m/>
    <m/>
    <m/>
    <m/>
    <m/>
    <m/>
    <m/>
    <m/>
    <m/>
    <m/>
    <m/>
    <m/>
    <m/>
    <m/>
    <m/>
    <m/>
    <m/>
    <m/>
    <m/>
    <m/>
    <m/>
    <m/>
    <m/>
    <m/>
    <m/>
    <m/>
    <m/>
    <m/>
    <m/>
    <m/>
    <m/>
    <m/>
    <m/>
    <m/>
    <m/>
    <m/>
  </r>
  <r>
    <n v="743"/>
    <d v="2025-04-21T00:00:00"/>
    <s v="ZBTO"/>
    <n v="9518708769"/>
    <n v="1"/>
    <s v="9518708769-1"/>
    <s v="May'25"/>
    <x v="0"/>
    <m/>
    <x v="3"/>
    <x v="4"/>
    <n v="2000"/>
    <m/>
    <x v="1"/>
    <m/>
    <m/>
    <s v="Karnataka"/>
    <s v="South"/>
    <m/>
    <m/>
    <n v="942923"/>
    <x v="14"/>
    <n v="3708868"/>
    <s v="GP COIL TATGPH GP02 0.500X1350"/>
    <m/>
    <s v=""/>
    <m/>
    <m/>
    <m/>
    <s v="C05"/>
    <s v="TATGPH"/>
    <s v="GP02"/>
    <n v="0.5"/>
    <n v="1350"/>
    <n v="0"/>
    <n v="93"/>
    <n v="0"/>
    <n v="93"/>
    <n v="93"/>
    <n v="93"/>
    <n v="93"/>
    <n v="0"/>
    <n v="0"/>
    <n v="0"/>
    <n v="0"/>
    <n v="0"/>
    <n v="0"/>
    <n v="0"/>
    <n v="0"/>
    <n v="0"/>
    <n v="0"/>
    <n v="0"/>
    <n v="0"/>
    <n v="0"/>
    <n v="0"/>
    <n v="0"/>
    <n v="0"/>
    <n v="0"/>
    <n v="0"/>
    <n v="0"/>
    <n v="0"/>
    <n v="0"/>
    <n v="0"/>
    <n v="0"/>
    <m/>
    <m/>
    <m/>
    <m/>
    <m/>
    <m/>
    <m/>
    <m/>
    <m/>
    <m/>
    <m/>
    <m/>
    <m/>
    <m/>
    <m/>
    <m/>
    <m/>
    <m/>
    <m/>
    <m/>
    <m/>
    <m/>
    <m/>
    <m/>
    <m/>
    <m/>
    <m/>
    <m/>
    <m/>
    <m/>
    <m/>
    <m/>
    <m/>
    <m/>
    <m/>
    <m/>
    <m/>
    <m/>
    <m/>
    <m/>
    <m/>
    <m/>
    <m/>
    <m/>
    <m/>
    <m/>
    <m/>
    <m/>
    <m/>
  </r>
  <r>
    <n v="744"/>
    <d v="2025-04-19T00:00:00"/>
    <s v="ZBTO"/>
    <n v="9518704714"/>
    <n v="1"/>
    <s v="9518704714-1"/>
    <s v="May'25"/>
    <x v="0"/>
    <m/>
    <x v="2"/>
    <x v="3"/>
    <n v="1000"/>
    <m/>
    <x v="1"/>
    <m/>
    <m/>
    <s v="Jharkhand"/>
    <s v="East"/>
    <m/>
    <m/>
    <n v="941597"/>
    <x v="39"/>
    <n v="3902332"/>
    <s v="PPGL C HARD Y550PL D0C9 0.50(TPT)X1220"/>
    <m/>
    <s v="RAL 9002 TSL 1801"/>
    <m/>
    <m/>
    <m/>
    <s v="B18"/>
    <s v="Y550PL"/>
    <s v="D0C9"/>
    <n v="0.5"/>
    <n v="1220"/>
    <n v="0"/>
    <n v="84"/>
    <n v="0"/>
    <n v="84"/>
    <n v="84"/>
    <n v="-2.1800000000000068"/>
    <n v="84"/>
    <n v="0"/>
    <n v="86.18"/>
    <n v="0"/>
    <n v="0"/>
    <n v="0"/>
    <n v="0"/>
    <n v="0"/>
    <n v="0"/>
    <n v="0"/>
    <n v="0"/>
    <n v="0"/>
    <n v="0"/>
    <n v="0"/>
    <n v="0"/>
    <n v="0"/>
    <n v="0"/>
    <n v="0"/>
    <n v="0"/>
    <n v="0"/>
    <n v="86.18"/>
    <n v="86.18"/>
    <n v="0"/>
    <n v="86.18"/>
    <m/>
    <m/>
    <m/>
    <m/>
    <m/>
    <m/>
    <m/>
    <m/>
    <m/>
    <m/>
    <m/>
    <m/>
    <m/>
    <m/>
    <m/>
    <m/>
    <m/>
    <m/>
    <m/>
    <m/>
    <m/>
    <m/>
    <m/>
    <m/>
    <m/>
    <m/>
    <m/>
    <m/>
    <m/>
    <m/>
    <m/>
    <m/>
    <m/>
    <m/>
    <m/>
    <m/>
    <m/>
    <m/>
    <m/>
    <m/>
    <m/>
    <m/>
    <m/>
    <m/>
    <m/>
    <m/>
    <m/>
    <m/>
    <m/>
  </r>
  <r>
    <n v="744"/>
    <d v="2025-04-19T00:00:00"/>
    <s v="ZBTO"/>
    <n v="9518704714"/>
    <n v="2"/>
    <s v="9518704714-2"/>
    <s v="May'25"/>
    <x v="0"/>
    <m/>
    <x v="2"/>
    <x v="3"/>
    <n v="1000"/>
    <m/>
    <x v="1"/>
    <m/>
    <m/>
    <s v="Jharkhand"/>
    <s v="East"/>
    <m/>
    <m/>
    <n v="941597"/>
    <x v="39"/>
    <n v="3902332"/>
    <s v="PPGL C HARD Y550PL D0C9 0.50(TPT)X1220"/>
    <m/>
    <s v="BRICK RED TSL 1803"/>
    <m/>
    <m/>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19T00:00:00"/>
    <s v="ZBTO"/>
    <n v="9518704714"/>
    <n v="3"/>
    <s v="9518704714-3"/>
    <s v="No Priority"/>
    <x v="0"/>
    <m/>
    <x v="2"/>
    <x v="3"/>
    <n v="1000"/>
    <m/>
    <x v="0"/>
    <m/>
    <m/>
    <s v="Jharkhand"/>
    <s v="East"/>
    <m/>
    <m/>
    <n v="941597"/>
    <x v="39"/>
    <n v="3902332"/>
    <s v="PPGL C HARD Y550PL D0C9 0.50(TPT)X1220"/>
    <m/>
    <s v="RAL 9002 TSL 1801"/>
    <m/>
    <m/>
    <m/>
    <s v="B18"/>
    <s v="Y550PL"/>
    <s v="D0C9"/>
    <n v="0.5"/>
    <n v="1220"/>
    <n v="0"/>
    <n v="28"/>
    <n v="0"/>
    <n v="28"/>
    <n v="28"/>
    <n v="14.04"/>
    <n v="11.16"/>
    <n v="0"/>
    <n v="0"/>
    <n v="0"/>
    <n v="0"/>
    <n v="0"/>
    <n v="0"/>
    <n v="0"/>
    <n v="0"/>
    <n v="0"/>
    <n v="9.74"/>
    <n v="0"/>
    <n v="0"/>
    <n v="0"/>
    <n v="0"/>
    <n v="0"/>
    <n v="0"/>
    <n v="0"/>
    <n v="0"/>
    <n v="4.22"/>
    <n v="13.96"/>
    <n v="13.96"/>
    <n v="0"/>
    <n v="13.96"/>
    <m/>
    <m/>
    <m/>
    <m/>
    <m/>
    <m/>
    <m/>
    <m/>
    <m/>
    <m/>
    <m/>
    <m/>
    <m/>
    <m/>
    <m/>
    <m/>
    <m/>
    <m/>
    <m/>
    <m/>
    <m/>
    <m/>
    <m/>
    <m/>
    <m/>
    <m/>
    <m/>
    <m/>
    <m/>
    <m/>
    <m/>
    <m/>
    <m/>
    <m/>
    <m/>
    <m/>
    <m/>
    <m/>
    <m/>
    <m/>
    <m/>
    <m/>
    <m/>
    <m/>
    <m/>
    <m/>
    <m/>
    <m/>
    <m/>
  </r>
  <r>
    <n v="744"/>
    <d v="2025-04-19T00:00:00"/>
    <s v="ZBTO"/>
    <n v="9518704714"/>
    <n v="4"/>
    <s v="9518704714-4"/>
    <s v="May'25"/>
    <x v="0"/>
    <m/>
    <x v="2"/>
    <x v="3"/>
    <n v="1000"/>
    <m/>
    <x v="1"/>
    <m/>
    <m/>
    <s v="Jharkhand"/>
    <s v="East"/>
    <m/>
    <m/>
    <n v="941597"/>
    <x v="39"/>
    <n v="3902332"/>
    <s v="PPGL C HARD Y550PL D0C9 0.50(TPT)X1220"/>
    <m/>
    <s v="RAL 9002 TSL 1801"/>
    <m/>
    <m/>
    <m/>
    <s v="B18"/>
    <s v="Y550PL"/>
    <s v="D0C9"/>
    <n v="0.5"/>
    <n v="1220"/>
    <n v="0"/>
    <n v="28"/>
    <n v="0"/>
    <n v="28"/>
    <n v="28"/>
    <n v="-0.67000000000000171"/>
    <n v="28"/>
    <n v="0"/>
    <n v="28.67"/>
    <n v="0"/>
    <n v="0"/>
    <n v="0"/>
    <n v="0"/>
    <n v="0"/>
    <n v="0"/>
    <n v="0"/>
    <n v="0"/>
    <n v="0"/>
    <n v="0"/>
    <n v="0"/>
    <n v="0"/>
    <n v="0"/>
    <n v="0"/>
    <n v="0"/>
    <n v="0"/>
    <n v="0"/>
    <n v="28.67"/>
    <n v="28.67"/>
    <n v="0"/>
    <n v="28.67"/>
    <m/>
    <m/>
    <m/>
    <m/>
    <m/>
    <m/>
    <m/>
    <m/>
    <m/>
    <m/>
    <m/>
    <m/>
    <m/>
    <m/>
    <m/>
    <m/>
    <m/>
    <m/>
    <m/>
    <m/>
    <m/>
    <m/>
    <m/>
    <m/>
    <m/>
    <m/>
    <m/>
    <m/>
    <m/>
    <m/>
    <m/>
    <m/>
    <m/>
    <m/>
    <m/>
    <m/>
    <m/>
    <m/>
    <m/>
    <m/>
    <m/>
    <m/>
    <m/>
    <m/>
    <m/>
    <m/>
    <m/>
    <m/>
    <m/>
  </r>
  <r>
    <n v="744"/>
    <d v="2025-04-19T00:00:00"/>
    <s v="ZBTO"/>
    <n v="9518704714"/>
    <n v="5"/>
    <s v="9518704714-5"/>
    <s v="May'25"/>
    <x v="0"/>
    <m/>
    <x v="2"/>
    <x v="3"/>
    <n v="1000"/>
    <m/>
    <x v="1"/>
    <m/>
    <m/>
    <s v="Jharkhand"/>
    <s v="East"/>
    <m/>
    <m/>
    <n v="941597"/>
    <x v="39"/>
    <n v="3902332"/>
    <s v="PPGL C HARD Y550PL D0C9 0.50(TPT)X1220"/>
    <m/>
    <s v="RAL 6011 TSL 1810"/>
    <m/>
    <m/>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19T00:00:00"/>
    <s v="ZBTO"/>
    <n v="9518704714"/>
    <n v="6"/>
    <s v="9518704714-6"/>
    <s v="May'25"/>
    <x v="0"/>
    <m/>
    <x v="2"/>
    <x v="3"/>
    <n v="1000"/>
    <m/>
    <x v="1"/>
    <m/>
    <m/>
    <s v="Jharkhand"/>
    <s v="East"/>
    <m/>
    <m/>
    <n v="941597"/>
    <x v="39"/>
    <n v="3902332"/>
    <s v="PPGL C HARD Y550PL D0C9 0.50(TPT)X1220"/>
    <m/>
    <s v="ROYAL BLUE TSL 1815"/>
    <m/>
    <m/>
    <m/>
    <s v="B18"/>
    <s v="Y550PL"/>
    <s v="D0C9"/>
    <n v="0.5"/>
    <n v="1220"/>
    <n v="0"/>
    <n v="28"/>
    <n v="0"/>
    <n v="28"/>
    <n v="28"/>
    <n v="28"/>
    <n v="28"/>
    <n v="0"/>
    <n v="0"/>
    <n v="0"/>
    <n v="0"/>
    <n v="0"/>
    <n v="0"/>
    <n v="0"/>
    <n v="0"/>
    <n v="0"/>
    <n v="0"/>
    <n v="0"/>
    <n v="0"/>
    <n v="0"/>
    <n v="0"/>
    <n v="0"/>
    <n v="0"/>
    <n v="0"/>
    <n v="0"/>
    <n v="0"/>
    <n v="0"/>
    <n v="0"/>
    <n v="0"/>
    <n v="0"/>
    <m/>
    <m/>
    <m/>
    <m/>
    <m/>
    <m/>
    <m/>
    <m/>
    <m/>
    <m/>
    <m/>
    <m/>
    <m/>
    <m/>
    <m/>
    <m/>
    <m/>
    <m/>
    <m/>
    <m/>
    <m/>
    <m/>
    <m/>
    <m/>
    <m/>
    <m/>
    <m/>
    <m/>
    <m/>
    <m/>
    <m/>
    <m/>
    <m/>
    <m/>
    <m/>
    <m/>
    <m/>
    <m/>
    <m/>
    <m/>
    <m/>
    <m/>
    <m/>
    <m/>
    <m/>
    <m/>
    <m/>
    <m/>
    <m/>
  </r>
  <r>
    <n v="2341"/>
    <d v="2025-04-17T00:00:00"/>
    <s v="ZBTF"/>
    <n v="9518700593"/>
    <n v="1"/>
    <s v="9518700593-1"/>
    <s v="No Priority"/>
    <x v="1"/>
    <m/>
    <x v="1"/>
    <x v="10"/>
    <n v="1000"/>
    <m/>
    <x v="0"/>
    <m/>
    <m/>
    <s v="Punjab"/>
    <s v="North"/>
    <m/>
    <m/>
    <n v="925428"/>
    <x v="66"/>
    <n v="3741588"/>
    <s v="CR COIL SA1010 TU97 1.150X1250"/>
    <m/>
    <s v=""/>
    <m/>
    <m/>
    <m/>
    <s v="C01"/>
    <s v="SA1010"/>
    <s v="TU97"/>
    <n v="1.1499999999999999"/>
    <n v="1250"/>
    <n v="0"/>
    <n v="290"/>
    <n v="0"/>
    <n v="290"/>
    <n v="290"/>
    <n v="290"/>
    <n v="290"/>
    <n v="0"/>
    <n v="0"/>
    <n v="0"/>
    <n v="0"/>
    <n v="0"/>
    <n v="0"/>
    <n v="0"/>
    <n v="0"/>
    <n v="0"/>
    <n v="0"/>
    <n v="0"/>
    <n v="0"/>
    <n v="0"/>
    <n v="0"/>
    <n v="0"/>
    <n v="0"/>
    <n v="0"/>
    <n v="0"/>
    <n v="0"/>
    <n v="0"/>
    <n v="0"/>
    <n v="0"/>
    <n v="0"/>
    <m/>
    <m/>
    <m/>
    <m/>
    <m/>
    <m/>
    <m/>
    <m/>
    <m/>
    <m/>
    <m/>
    <m/>
    <m/>
    <m/>
    <m/>
    <m/>
    <m/>
    <m/>
    <m/>
    <m/>
    <m/>
    <m/>
    <m/>
    <m/>
    <m/>
    <m/>
    <m/>
    <m/>
    <m/>
    <m/>
    <m/>
    <m/>
    <m/>
    <m/>
    <m/>
    <m/>
    <m/>
    <m/>
    <m/>
    <m/>
    <m/>
    <m/>
    <m/>
    <m/>
    <m/>
    <m/>
    <m/>
    <m/>
    <m/>
  </r>
  <r>
    <n v="2341"/>
    <d v="2025-04-17T00:00:00"/>
    <s v="ZBTF"/>
    <n v="9518700593"/>
    <n v="2"/>
    <s v="9518700593-2"/>
    <s v="No Priority"/>
    <x v="1"/>
    <m/>
    <x v="1"/>
    <x v="10"/>
    <n v="1000"/>
    <m/>
    <x v="0"/>
    <m/>
    <m/>
    <s v="Punjab"/>
    <s v="North"/>
    <m/>
    <m/>
    <n v="925428"/>
    <x v="66"/>
    <n v="3741589"/>
    <s v="CR COIL SA1010 TU97 1.500X1250"/>
    <m/>
    <s v=""/>
    <m/>
    <m/>
    <m/>
    <s v="C01"/>
    <s v="SA1010"/>
    <s v="TU97"/>
    <n v="1.5"/>
    <n v="1250"/>
    <n v="0"/>
    <n v="290"/>
    <n v="0"/>
    <n v="290"/>
    <n v="290"/>
    <n v="290"/>
    <n v="290"/>
    <n v="0"/>
    <n v="0"/>
    <n v="0"/>
    <n v="0"/>
    <n v="0"/>
    <n v="0"/>
    <n v="0"/>
    <n v="0"/>
    <n v="0"/>
    <n v="0"/>
    <n v="0"/>
    <n v="0"/>
    <n v="0"/>
    <n v="0"/>
    <n v="0"/>
    <n v="0"/>
    <n v="0"/>
    <n v="0"/>
    <n v="0"/>
    <n v="0"/>
    <n v="0"/>
    <n v="0"/>
    <n v="0"/>
    <m/>
    <m/>
    <m/>
    <m/>
    <m/>
    <m/>
    <m/>
    <m/>
    <m/>
    <m/>
    <m/>
    <m/>
    <m/>
    <m/>
    <m/>
    <m/>
    <m/>
    <m/>
    <m/>
    <m/>
    <m/>
    <m/>
    <m/>
    <m/>
    <m/>
    <m/>
    <m/>
    <m/>
    <m/>
    <m/>
    <m/>
    <m/>
    <m/>
    <m/>
    <m/>
    <m/>
    <m/>
    <m/>
    <m/>
    <m/>
    <m/>
    <m/>
    <m/>
    <m/>
    <m/>
    <m/>
    <m/>
    <m/>
    <m/>
  </r>
  <r>
    <n v="2341"/>
    <d v="2025-04-17T00:00:00"/>
    <s v="ZBTF"/>
    <n v="9518700638"/>
    <n v="1"/>
    <s v="9518700638-1"/>
    <s v="No Priority"/>
    <x v="1"/>
    <m/>
    <x v="1"/>
    <x v="10"/>
    <n v="1000"/>
    <m/>
    <x v="0"/>
    <m/>
    <m/>
    <s v="Punjab"/>
    <s v="North"/>
    <m/>
    <m/>
    <n v="925428"/>
    <x v="66"/>
    <n v="3741588"/>
    <s v="CR COIL SA1010 TU97 1.150X1250"/>
    <m/>
    <s v=""/>
    <m/>
    <m/>
    <m/>
    <s v="C01"/>
    <s v="SA1010"/>
    <s v="TU97"/>
    <n v="1.1499999999999999"/>
    <n v="1250"/>
    <n v="0"/>
    <n v="116"/>
    <n v="0"/>
    <n v="116"/>
    <n v="116"/>
    <n v="116"/>
    <n v="116"/>
    <n v="0"/>
    <n v="0"/>
    <n v="0"/>
    <n v="0"/>
    <n v="0"/>
    <n v="0"/>
    <n v="0"/>
    <n v="0"/>
    <n v="0"/>
    <n v="0"/>
    <n v="0"/>
    <n v="0"/>
    <n v="0"/>
    <n v="0"/>
    <n v="0"/>
    <n v="0"/>
    <n v="0"/>
    <n v="0"/>
    <n v="0"/>
    <n v="0"/>
    <n v="0"/>
    <n v="0"/>
    <n v="0"/>
    <m/>
    <m/>
    <m/>
    <m/>
    <m/>
    <m/>
    <m/>
    <m/>
    <m/>
    <m/>
    <m/>
    <m/>
    <m/>
    <m/>
    <m/>
    <m/>
    <m/>
    <m/>
    <m/>
    <m/>
    <m/>
    <m/>
    <m/>
    <m/>
    <m/>
    <m/>
    <m/>
    <m/>
    <m/>
    <m/>
    <m/>
    <m/>
    <m/>
    <m/>
    <m/>
    <m/>
    <m/>
    <m/>
    <m/>
    <m/>
    <m/>
    <m/>
    <m/>
    <m/>
    <m/>
    <m/>
    <m/>
    <m/>
    <m/>
  </r>
  <r>
    <n v="2341"/>
    <d v="2025-04-17T00:00:00"/>
    <s v="ZBTF"/>
    <n v="9518700638"/>
    <n v="2"/>
    <s v="9518700638-2"/>
    <s v="No Priority"/>
    <x v="0"/>
    <m/>
    <x v="1"/>
    <x v="10"/>
    <n v="1000"/>
    <m/>
    <x v="0"/>
    <m/>
    <m/>
    <s v="Punjab"/>
    <s v="North"/>
    <m/>
    <m/>
    <n v="925428"/>
    <x v="66"/>
    <n v="3741589"/>
    <s v="CR COIL SA1010 TU97 1.500X1250"/>
    <m/>
    <s v=""/>
    <m/>
    <m/>
    <m/>
    <s v="C01"/>
    <s v="SA1010"/>
    <s v="TU97"/>
    <n v="1.5"/>
    <n v="1250"/>
    <n v="0"/>
    <n v="116"/>
    <n v="0"/>
    <n v="116"/>
    <n v="116"/>
    <n v="116"/>
    <n v="0"/>
    <n v="0"/>
    <n v="0"/>
    <n v="0"/>
    <n v="0"/>
    <n v="0"/>
    <n v="0"/>
    <n v="0"/>
    <n v="0"/>
    <n v="0"/>
    <n v="0"/>
    <n v="0"/>
    <n v="0"/>
    <n v="0"/>
    <n v="0"/>
    <n v="0"/>
    <n v="0"/>
    <n v="0"/>
    <n v="0"/>
    <n v="0"/>
    <n v="0"/>
    <n v="0"/>
    <n v="0"/>
    <n v="0"/>
    <m/>
    <m/>
    <m/>
    <m/>
    <m/>
    <m/>
    <m/>
    <m/>
    <m/>
    <m/>
    <m/>
    <m/>
    <m/>
    <m/>
    <m/>
    <m/>
    <m/>
    <m/>
    <m/>
    <m/>
    <m/>
    <m/>
    <m/>
    <m/>
    <m/>
    <m/>
    <m/>
    <m/>
    <m/>
    <m/>
    <m/>
    <m/>
    <m/>
    <m/>
    <m/>
    <m/>
    <m/>
    <m/>
    <m/>
    <m/>
    <m/>
    <m/>
    <m/>
    <m/>
    <m/>
    <m/>
    <m/>
    <m/>
    <m/>
  </r>
  <r>
    <n v="743"/>
    <d v="2025-02-18T00:00:00"/>
    <s v="ZBTO"/>
    <n v="9518529960"/>
    <n v="2"/>
    <s v="9518529960-2"/>
    <s v="No Priority"/>
    <x v="0"/>
    <m/>
    <x v="4"/>
    <x v="5"/>
    <s v="1000-IPPE"/>
    <m/>
    <x v="0"/>
    <m/>
    <m/>
    <m/>
    <m/>
    <s v="ZAHIRABAD"/>
    <m/>
    <n v="188152"/>
    <x v="102"/>
    <n v="3903395"/>
    <s v="GL COIL HARD  Y550GL GL6H 0.900X1220"/>
    <s v="AZ150"/>
    <s v=""/>
    <n v="7.6550000000000002"/>
    <n v="12"/>
    <m/>
    <s v="B04"/>
    <s v="Y550GL"/>
    <s v="GL6H"/>
    <n v="0.9"/>
    <n v="1220"/>
    <n v="0"/>
    <n v="273"/>
    <n v="244.995"/>
    <n v="28.004999999999999"/>
    <n v="-4.2699999999999996"/>
    <n v="4.1449999999999996"/>
    <n v="9.0050000000000008"/>
    <n v="0"/>
    <n v="0"/>
    <n v="0"/>
    <n v="0"/>
    <n v="0"/>
    <n v="0"/>
    <n v="0"/>
    <n v="15.24"/>
    <n v="0"/>
    <n v="0"/>
    <n v="0"/>
    <n v="0"/>
    <n v="0"/>
    <n v="0"/>
    <n v="0"/>
    <n v="0"/>
    <n v="0"/>
    <n v="0"/>
    <n v="8.620000000000001"/>
    <n v="23.86"/>
    <n v="23.86"/>
    <n v="0"/>
    <n v="23.86"/>
    <m/>
    <m/>
    <m/>
    <m/>
    <m/>
    <m/>
    <m/>
    <m/>
    <m/>
    <m/>
    <m/>
    <m/>
    <m/>
    <m/>
    <m/>
    <m/>
    <m/>
    <m/>
    <m/>
    <m/>
    <m/>
    <m/>
    <m/>
    <m/>
    <m/>
    <m/>
    <m/>
    <m/>
    <m/>
    <m/>
    <m/>
    <m/>
    <m/>
    <m/>
    <m/>
    <m/>
    <m/>
    <m/>
    <m/>
    <m/>
    <m/>
    <m/>
    <m/>
    <m/>
    <m/>
    <m/>
    <m/>
    <m/>
    <m/>
  </r>
  <r>
    <n v="744"/>
    <d v="2025-04-22T00:00:00"/>
    <s v="ZBTO"/>
    <n v="9518710417"/>
    <n v="1"/>
    <s v="9518710417-1"/>
    <s v="May'25"/>
    <x v="0"/>
    <m/>
    <x v="2"/>
    <x v="3"/>
    <s v="1000-IPPE"/>
    <m/>
    <x v="1"/>
    <m/>
    <m/>
    <m/>
    <m/>
    <s v="RAJASTHAN"/>
    <m/>
    <n v="940008"/>
    <x v="15"/>
    <n v="3941967"/>
    <s v="PPGL C HARD Y550PL D0C9 0.60(TPT)X1220"/>
    <s v="AZ150"/>
    <s v="RAL 9002 TSL 142A"/>
    <n v="3"/>
    <n v="5"/>
    <m/>
    <s v="B18"/>
    <s v="Y550PL"/>
    <s v="D0C9"/>
    <n v="0.6"/>
    <n v="1220"/>
    <n v="0"/>
    <n v="56"/>
    <n v="0"/>
    <n v="56"/>
    <n v="56"/>
    <n v="56"/>
    <n v="55.99"/>
    <n v="0"/>
    <n v="0"/>
    <n v="0"/>
    <n v="0"/>
    <n v="0"/>
    <n v="0"/>
    <n v="0"/>
    <n v="0"/>
    <n v="0"/>
    <n v="0"/>
    <n v="0"/>
    <n v="0"/>
    <n v="0"/>
    <n v="0"/>
    <n v="0"/>
    <n v="0"/>
    <n v="0"/>
    <n v="0"/>
    <n v="0"/>
    <n v="0"/>
    <n v="0"/>
    <n v="0"/>
    <n v="0"/>
    <m/>
    <m/>
    <m/>
    <m/>
    <m/>
    <m/>
    <m/>
    <m/>
    <m/>
    <m/>
    <m/>
    <m/>
    <m/>
    <m/>
    <m/>
    <m/>
    <m/>
    <m/>
    <m/>
    <m/>
    <m/>
    <m/>
    <m/>
    <m/>
    <m/>
    <m/>
    <m/>
    <m/>
    <m/>
    <m/>
    <m/>
    <m/>
    <m/>
    <m/>
    <m/>
    <m/>
    <m/>
    <m/>
    <m/>
    <m/>
    <m/>
    <m/>
    <m/>
    <m/>
    <m/>
    <m/>
    <m/>
    <m/>
    <m/>
  </r>
  <r>
    <n v="742"/>
    <d v="2025-04-15T00:00:00"/>
    <s v="ZBTO"/>
    <n v="9518694209"/>
    <n v="11"/>
    <s v="9518694209-11"/>
    <s v="May'25"/>
    <x v="0"/>
    <m/>
    <x v="1"/>
    <x v="1"/>
    <s v="2000-BPRS"/>
    <m/>
    <x v="1"/>
    <m/>
    <m/>
    <m/>
    <m/>
    <s v="LONI"/>
    <m/>
    <n v="101499"/>
    <x v="48"/>
    <n v="1804917"/>
    <s v="CRCA COIL TATCRC TR15 0.6X1250"/>
    <s v=" "/>
    <s v=""/>
    <n v="10"/>
    <n v="30"/>
    <m/>
    <s v="C01"/>
    <s v="TATCRC"/>
    <s v="TR15"/>
    <n v="0.6"/>
    <n v="1250"/>
    <n v="0"/>
    <n v="29"/>
    <n v="0"/>
    <n v="29"/>
    <n v="29"/>
    <n v="1.620000000000001"/>
    <n v="29"/>
    <n v="0"/>
    <n v="0"/>
    <n v="0"/>
    <n v="0"/>
    <n v="0"/>
    <n v="0"/>
    <n v="0"/>
    <n v="0"/>
    <n v="0"/>
    <n v="0"/>
    <n v="0"/>
    <n v="0"/>
    <n v="0"/>
    <n v="27.38"/>
    <n v="0"/>
    <n v="0"/>
    <n v="0"/>
    <n v="0"/>
    <n v="0"/>
    <n v="27.38"/>
    <n v="27.38"/>
    <n v="0"/>
    <n v="27.38"/>
    <m/>
    <m/>
    <m/>
    <m/>
    <m/>
    <m/>
    <m/>
    <m/>
    <m/>
    <m/>
    <m/>
    <m/>
    <m/>
    <m/>
    <m/>
    <m/>
    <m/>
    <m/>
    <m/>
    <m/>
    <m/>
    <m/>
    <m/>
    <m/>
    <m/>
    <m/>
    <m/>
    <m/>
    <m/>
    <m/>
    <m/>
    <m/>
    <m/>
    <m/>
    <m/>
    <m/>
    <m/>
    <m/>
    <m/>
    <m/>
    <m/>
    <m/>
    <m/>
    <m/>
    <m/>
    <m/>
    <m/>
    <m/>
    <m/>
  </r>
  <r>
    <n v="744"/>
    <d v="2025-04-15T00:00:00"/>
    <s v="ZBTO"/>
    <n v="9518695380"/>
    <n v="1"/>
    <s v="9518695380-1"/>
    <s v="May'25"/>
    <x v="0"/>
    <m/>
    <x v="2"/>
    <x v="3"/>
    <s v="1000-IPPE"/>
    <m/>
    <x v="1"/>
    <m/>
    <m/>
    <m/>
    <m/>
    <s v="TAMILNADU"/>
    <m/>
    <n v="940074"/>
    <x v="6"/>
    <n v="4005315"/>
    <s v="PPGL C HARD Y550PL DX04 0.530X1220"/>
    <s v="AZ150"/>
    <s v="RAL 9010 TSL 2007"/>
    <n v="3"/>
    <n v="5"/>
    <m/>
    <s v="B18"/>
    <s v="Y550PL"/>
    <s v="DX04"/>
    <n v="0.53"/>
    <n v="1220"/>
    <n v="0"/>
    <n v="28"/>
    <n v="0"/>
    <n v="28"/>
    <n v="28"/>
    <n v="0.18999999999999773"/>
    <n v="28"/>
    <n v="0"/>
    <n v="0"/>
    <n v="0"/>
    <n v="0"/>
    <n v="0"/>
    <n v="0"/>
    <n v="0"/>
    <n v="0"/>
    <n v="0"/>
    <n v="27.810000000000002"/>
    <n v="0"/>
    <n v="0"/>
    <n v="0"/>
    <n v="0"/>
    <n v="0"/>
    <n v="0"/>
    <n v="0"/>
    <n v="0"/>
    <n v="0"/>
    <n v="27.810000000000002"/>
    <n v="27.810000000000002"/>
    <n v="0"/>
    <n v="27.810000000000002"/>
    <m/>
    <m/>
    <m/>
    <m/>
    <m/>
    <m/>
    <m/>
    <m/>
    <m/>
    <m/>
    <m/>
    <m/>
    <m/>
    <m/>
    <m/>
    <m/>
    <m/>
    <m/>
    <m/>
    <m/>
    <m/>
    <m/>
    <m/>
    <m/>
    <m/>
    <m/>
    <m/>
    <m/>
    <m/>
    <m/>
    <m/>
    <m/>
    <m/>
    <m/>
    <m/>
    <m/>
    <m/>
    <m/>
    <m/>
    <m/>
    <m/>
    <m/>
    <m/>
    <m/>
    <m/>
    <m/>
    <m/>
    <m/>
    <m/>
  </r>
  <r>
    <n v="744"/>
    <d v="2025-04-15T00:00:00"/>
    <s v="ZBTO"/>
    <n v="9518695418"/>
    <n v="1"/>
    <s v="9518695418-1"/>
    <s v="May'25"/>
    <x v="0"/>
    <m/>
    <x v="2"/>
    <x v="3"/>
    <s v="1000-IPPE"/>
    <m/>
    <x v="1"/>
    <m/>
    <m/>
    <m/>
    <m/>
    <s v="GAMHARIA"/>
    <m/>
    <n v="940016"/>
    <x v="15"/>
    <n v="4005316"/>
    <s v="PPGL C HARD Y550PL DX04 0.630X1220"/>
    <s v="AZ150"/>
    <s v="RAL 5012 TSL 2002"/>
    <n v="3"/>
    <n v="5"/>
    <m/>
    <s v="B18"/>
    <s v="Y550PL"/>
    <s v="DX04"/>
    <n v="0.63"/>
    <n v="1220"/>
    <n v="0"/>
    <n v="280"/>
    <n v="0"/>
    <n v="280"/>
    <n v="280"/>
    <n v="280"/>
    <n v="280"/>
    <n v="0"/>
    <n v="0"/>
    <n v="0"/>
    <n v="0"/>
    <n v="0"/>
    <n v="0"/>
    <n v="0"/>
    <n v="0"/>
    <n v="0"/>
    <n v="0"/>
    <n v="0"/>
    <n v="0"/>
    <n v="0"/>
    <n v="0"/>
    <n v="0"/>
    <n v="0"/>
    <n v="0"/>
    <n v="0"/>
    <n v="0"/>
    <n v="0"/>
    <n v="0"/>
    <n v="0"/>
    <n v="0"/>
    <m/>
    <m/>
    <m/>
    <m/>
    <m/>
    <m/>
    <m/>
    <m/>
    <m/>
    <m/>
    <m/>
    <m/>
    <m/>
    <m/>
    <m/>
    <m/>
    <m/>
    <m/>
    <m/>
    <m/>
    <m/>
    <m/>
    <m/>
    <m/>
    <m/>
    <m/>
    <m/>
    <m/>
    <m/>
    <m/>
    <m/>
    <m/>
    <m/>
    <m/>
    <m/>
    <m/>
    <m/>
    <m/>
    <m/>
    <m/>
    <m/>
    <m/>
    <m/>
    <m/>
    <m/>
    <m/>
    <m/>
    <m/>
    <m/>
  </r>
  <r>
    <n v="744"/>
    <d v="2025-04-15T00:00:00"/>
    <s v="ZBTO"/>
    <n v="9518695418"/>
    <n v="2"/>
    <s v="9518695418-2"/>
    <s v="May'25"/>
    <x v="0"/>
    <m/>
    <x v="2"/>
    <x v="3"/>
    <s v="1000-IPPE"/>
    <m/>
    <x v="1"/>
    <m/>
    <m/>
    <m/>
    <m/>
    <s v="GAMHARIA"/>
    <m/>
    <n v="940016"/>
    <x v="15"/>
    <n v="4005316"/>
    <s v="PPGL C HARD Y550PL DX04 0.630X1220"/>
    <s v="AZ150"/>
    <s v="RAL 5012 TSL 2002"/>
    <n v="3"/>
    <n v="5"/>
    <m/>
    <s v="B18"/>
    <s v="Y550PL"/>
    <s v="DX04"/>
    <n v="0.63"/>
    <n v="1220"/>
    <n v="0"/>
    <n v="112"/>
    <n v="0"/>
    <n v="112"/>
    <n v="112"/>
    <n v="112"/>
    <n v="112"/>
    <n v="0"/>
    <n v="0"/>
    <n v="0"/>
    <n v="0"/>
    <n v="0"/>
    <n v="0"/>
    <n v="0"/>
    <n v="0"/>
    <n v="0"/>
    <n v="0"/>
    <n v="0"/>
    <n v="0"/>
    <n v="0"/>
    <n v="0"/>
    <n v="0"/>
    <n v="0"/>
    <n v="0"/>
    <n v="0"/>
    <n v="0"/>
    <n v="0"/>
    <n v="0"/>
    <n v="0"/>
    <n v="0"/>
    <m/>
    <m/>
    <m/>
    <m/>
    <m/>
    <m/>
    <m/>
    <m/>
    <m/>
    <m/>
    <m/>
    <m/>
    <m/>
    <m/>
    <m/>
    <m/>
    <m/>
    <m/>
    <m/>
    <m/>
    <m/>
    <m/>
    <m/>
    <m/>
    <m/>
    <m/>
    <m/>
    <m/>
    <m/>
    <m/>
    <m/>
    <m/>
    <m/>
    <m/>
    <m/>
    <m/>
    <m/>
    <m/>
    <m/>
    <m/>
    <m/>
    <m/>
    <m/>
    <m/>
    <m/>
    <m/>
    <m/>
    <m/>
    <m/>
  </r>
  <r>
    <n v="742"/>
    <d v="2025-04-15T00:00:00"/>
    <s v="ZBTO"/>
    <n v="9518694941"/>
    <n v="5"/>
    <s v="9518694941-5"/>
    <s v="No Priority"/>
    <x v="0"/>
    <m/>
    <x v="1"/>
    <x v="10"/>
    <s v="1000-IPPE"/>
    <m/>
    <x v="0"/>
    <m/>
    <s v="Deprioritized after SPA's instruction"/>
    <m/>
    <m/>
    <s v="PATTANCHERY"/>
    <m/>
    <n v="947865"/>
    <x v="120"/>
    <n v="4006905"/>
    <s v="CR COIL TATXXD BT04 0.450X848"/>
    <s v=" "/>
    <s v=""/>
    <n v="4"/>
    <n v="7"/>
    <m/>
    <s v="C01"/>
    <s v="TATXXD"/>
    <s v="BT04"/>
    <n v="0.45"/>
    <n v="848"/>
    <n v="0"/>
    <n v="200"/>
    <n v="0"/>
    <n v="200"/>
    <n v="200"/>
    <n v="200"/>
    <n v="200"/>
    <n v="0"/>
    <n v="0"/>
    <n v="0"/>
    <n v="0"/>
    <n v="0"/>
    <n v="0"/>
    <n v="0"/>
    <n v="0"/>
    <n v="0"/>
    <n v="0"/>
    <n v="0"/>
    <n v="0"/>
    <n v="0"/>
    <n v="0"/>
    <n v="0"/>
    <n v="0"/>
    <n v="0"/>
    <n v="0"/>
    <n v="0"/>
    <n v="0"/>
    <n v="0"/>
    <n v="0"/>
    <n v="0"/>
    <m/>
    <m/>
    <m/>
    <m/>
    <m/>
    <m/>
    <m/>
    <m/>
    <m/>
    <m/>
    <m/>
    <m/>
    <m/>
    <m/>
    <m/>
    <m/>
    <m/>
    <m/>
    <m/>
    <m/>
    <m/>
    <m/>
    <m/>
    <m/>
    <m/>
    <m/>
    <m/>
    <m/>
    <m/>
    <m/>
    <m/>
    <m/>
    <m/>
    <m/>
    <m/>
    <m/>
    <m/>
    <m/>
    <m/>
    <m/>
    <m/>
    <m/>
    <m/>
    <m/>
    <m/>
    <m/>
    <m/>
    <m/>
    <m/>
  </r>
  <r>
    <n v="742"/>
    <d v="2025-04-10T00:00:00"/>
    <s v="ZBTO"/>
    <n v="9518682481"/>
    <n v="6"/>
    <s v="9518682481-6"/>
    <s v="No Priority"/>
    <x v="0"/>
    <m/>
    <x v="1"/>
    <x v="1"/>
    <s v="2000-BPRS"/>
    <m/>
    <x v="0"/>
    <m/>
    <m/>
    <m/>
    <m/>
    <s v="YESHWANTHPURA"/>
    <m/>
    <n v="932244"/>
    <x v="34"/>
    <n v="194544"/>
    <s v="CRSHEET TATXXD AU03 1.50X1250X2500"/>
    <s v=" "/>
    <s v=""/>
    <n v="2"/>
    <n v="3"/>
    <m/>
    <s v="C06"/>
    <s v="TATXXD"/>
    <s v="AU03"/>
    <n v="1.5"/>
    <n v="1250"/>
    <n v="2500"/>
    <n v="102"/>
    <n v="0"/>
    <n v="102"/>
    <n v="102"/>
    <n v="102"/>
    <n v="102"/>
    <n v="0"/>
    <n v="0"/>
    <n v="0"/>
    <n v="0"/>
    <n v="0"/>
    <n v="0"/>
    <n v="0"/>
    <n v="0"/>
    <n v="0"/>
    <n v="0"/>
    <n v="0"/>
    <n v="0"/>
    <n v="0"/>
    <n v="0"/>
    <n v="0"/>
    <n v="0"/>
    <n v="0"/>
    <n v="0"/>
    <n v="0"/>
    <n v="0"/>
    <n v="0"/>
    <n v="0"/>
    <n v="0"/>
    <m/>
    <m/>
    <m/>
    <m/>
    <m/>
    <m/>
    <m/>
    <m/>
    <m/>
    <m/>
    <m/>
    <m/>
    <m/>
    <m/>
    <m/>
    <m/>
    <m/>
    <m/>
    <m/>
    <m/>
    <m/>
    <m/>
    <m/>
    <m/>
    <m/>
    <m/>
    <m/>
    <m/>
    <m/>
    <m/>
    <m/>
    <m/>
    <m/>
    <m/>
    <m/>
    <m/>
    <m/>
    <m/>
    <m/>
    <m/>
    <m/>
    <m/>
    <m/>
    <m/>
    <m/>
    <m/>
    <m/>
    <m/>
    <m/>
  </r>
  <r>
    <n v="742"/>
    <d v="2025-04-15T00:00:00"/>
    <s v="ZBTO"/>
    <n v="9518694613"/>
    <n v="6"/>
    <s v="9518694613-6"/>
    <s v="May'25"/>
    <x v="0"/>
    <m/>
    <x v="1"/>
    <x v="2"/>
    <s v="2000-BPRS"/>
    <m/>
    <x v="1"/>
    <m/>
    <m/>
    <m/>
    <s v="East"/>
    <s v=" "/>
    <m/>
    <n v="121328"/>
    <x v="10"/>
    <n v="3240760"/>
    <s v="CRCA SHEET TSBCRC SR15 0.500X1000X2500"/>
    <s v=" "/>
    <s v=""/>
    <n v="2.5"/>
    <n v="3.2"/>
    <m/>
    <s v="C06"/>
    <s v="TSBCRC"/>
    <s v="SR15"/>
    <n v="0.5"/>
    <n v="1000"/>
    <n v="2500"/>
    <n v="42"/>
    <n v="0"/>
    <n v="42"/>
    <n v="42"/>
    <n v="-1.5500000000000043"/>
    <n v="42"/>
    <n v="0"/>
    <n v="0"/>
    <n v="0"/>
    <n v="0"/>
    <n v="0"/>
    <n v="0"/>
    <n v="0"/>
    <n v="0"/>
    <n v="0"/>
    <n v="0"/>
    <n v="0"/>
    <n v="0"/>
    <n v="0"/>
    <n v="43.550000000000004"/>
    <n v="0"/>
    <n v="0"/>
    <n v="0"/>
    <n v="0"/>
    <n v="0"/>
    <n v="43.550000000000004"/>
    <n v="43.550000000000004"/>
    <n v="0"/>
    <n v="43.550000000000004"/>
    <m/>
    <m/>
    <m/>
    <m/>
    <m/>
    <m/>
    <m/>
    <m/>
    <m/>
    <m/>
    <m/>
    <m/>
    <m/>
    <m/>
    <m/>
    <m/>
    <m/>
    <m/>
    <m/>
    <m/>
    <m/>
    <m/>
    <m/>
    <m/>
    <m/>
    <m/>
    <m/>
    <m/>
    <m/>
    <m/>
    <m/>
    <m/>
    <m/>
    <m/>
    <m/>
    <m/>
    <m/>
    <m/>
    <m/>
    <m/>
    <m/>
    <m/>
    <m/>
    <m/>
    <m/>
    <m/>
    <m/>
    <m/>
    <m/>
  </r>
  <r>
    <n v="742"/>
    <d v="2025-04-10T00:00:00"/>
    <s v="ZBTO"/>
    <n v="9518681889"/>
    <n v="1"/>
    <s v="9518681889-1"/>
    <s v="May'25"/>
    <x v="0"/>
    <m/>
    <x v="1"/>
    <x v="1"/>
    <s v="2000-BPRS"/>
    <m/>
    <x v="1"/>
    <m/>
    <m/>
    <m/>
    <m/>
    <s v="YESHWANTHPURA"/>
    <m/>
    <n v="932244"/>
    <x v="34"/>
    <n v="3435197"/>
    <s v="CRCA SHEET TATXXD AU03 0.350X1250X2500"/>
    <s v=" "/>
    <s v=""/>
    <n v="0"/>
    <n v="0"/>
    <m/>
    <s v="C06"/>
    <s v="TATXXD"/>
    <s v="AU03"/>
    <n v="0.35"/>
    <n v="1250"/>
    <n v="2500"/>
    <n v="51"/>
    <n v="0"/>
    <n v="51"/>
    <n v="13.79"/>
    <n v="26.614999999999998"/>
    <n v="38.344999999999999"/>
    <n v="0"/>
    <n v="0"/>
    <n v="0"/>
    <n v="0"/>
    <n v="0"/>
    <n v="0"/>
    <n v="0"/>
    <n v="0"/>
    <n v="24.385000000000002"/>
    <n v="0"/>
    <n v="0"/>
    <n v="0"/>
    <n v="0"/>
    <n v="0"/>
    <n v="0"/>
    <n v="0"/>
    <n v="0"/>
    <n v="0"/>
    <n v="0"/>
    <n v="24.385000000000002"/>
    <n v="24.385000000000002"/>
    <n v="0"/>
    <n v="24.385000000000002"/>
    <m/>
    <m/>
    <m/>
    <m/>
    <m/>
    <m/>
    <m/>
    <m/>
    <m/>
    <m/>
    <m/>
    <m/>
    <m/>
    <m/>
    <m/>
    <m/>
    <m/>
    <m/>
    <m/>
    <m/>
    <m/>
    <m/>
    <m/>
    <m/>
    <m/>
    <m/>
    <m/>
    <m/>
    <m/>
    <m/>
    <m/>
    <m/>
    <m/>
    <m/>
    <m/>
    <m/>
    <m/>
    <m/>
    <m/>
    <m/>
    <m/>
    <m/>
    <m/>
    <m/>
    <m/>
    <m/>
    <m/>
    <m/>
    <m/>
  </r>
  <r>
    <n v="744"/>
    <d v="2025-04-22T00:00:00"/>
    <s v="ZBTO"/>
    <n v="9518711420"/>
    <n v="2"/>
    <s v="9518711420-2"/>
    <s v="May'25"/>
    <x v="0"/>
    <m/>
    <x v="2"/>
    <x v="3"/>
    <s v="1000-IPPE"/>
    <m/>
    <x v="1"/>
    <m/>
    <m/>
    <m/>
    <m/>
    <s v="TAMILNADU"/>
    <m/>
    <n v="940074"/>
    <x v="6"/>
    <n v="3996225"/>
    <s v="PPGL C HARD Y550PL HPL6 0.400X1220"/>
    <s v="AZ150"/>
    <s v="NUVO BLUE TSL 1903"/>
    <n v="3"/>
    <n v="5"/>
    <m/>
    <s v="B18"/>
    <s v="Y550PL"/>
    <s v="HPL6"/>
    <n v="0.4"/>
    <n v="1220"/>
    <n v="0"/>
    <n v="140"/>
    <n v="0"/>
    <n v="140"/>
    <n v="140"/>
    <n v="140"/>
    <n v="140"/>
    <n v="0"/>
    <n v="0"/>
    <n v="0"/>
    <n v="0"/>
    <n v="0"/>
    <n v="0"/>
    <n v="0"/>
    <n v="0"/>
    <n v="0"/>
    <n v="0"/>
    <n v="0"/>
    <n v="0"/>
    <n v="0"/>
    <n v="0"/>
    <n v="0"/>
    <n v="0"/>
    <n v="0"/>
    <n v="0"/>
    <n v="0"/>
    <n v="0"/>
    <n v="0"/>
    <n v="0"/>
    <n v="0"/>
    <m/>
    <m/>
    <m/>
    <m/>
    <m/>
    <m/>
    <m/>
    <m/>
    <m/>
    <m/>
    <m/>
    <m/>
    <m/>
    <m/>
    <m/>
    <m/>
    <m/>
    <m/>
    <m/>
    <m/>
    <m/>
    <m/>
    <m/>
    <m/>
    <m/>
    <m/>
    <m/>
    <m/>
    <m/>
    <m/>
    <m/>
    <m/>
    <m/>
    <m/>
    <m/>
    <m/>
    <m/>
    <m/>
    <m/>
    <m/>
    <m/>
    <m/>
    <m/>
    <m/>
    <m/>
    <m/>
    <m/>
    <m/>
    <m/>
  </r>
  <r>
    <n v="744"/>
    <d v="2025-04-22T00:00:00"/>
    <s v="ZBTO"/>
    <n v="9518711241"/>
    <n v="4"/>
    <s v="9518711241-4"/>
    <s v="May'25"/>
    <x v="0"/>
    <s v="Yes"/>
    <x v="2"/>
    <x v="3"/>
    <s v="1000-IPPE"/>
    <m/>
    <x v="1"/>
    <m/>
    <m/>
    <m/>
    <m/>
    <s v="GAMHARIA"/>
    <m/>
    <n v="940016"/>
    <x v="15"/>
    <n v="3522241"/>
    <s v="PPGL C Y550 D0C7 0.43BMT(0.47TPT)X1220"/>
    <s v="aZ70"/>
    <s v="NUVO BLUE TSL 1903"/>
    <n v="3"/>
    <n v="5"/>
    <m/>
    <s v="B18"/>
    <s v="Y550PL"/>
    <s v="D0C7"/>
    <n v="0.43"/>
    <n v="1220"/>
    <n v="0"/>
    <n v="84"/>
    <n v="0"/>
    <n v="84"/>
    <n v="84"/>
    <n v="84"/>
    <n v="84"/>
    <n v="0"/>
    <n v="0"/>
    <n v="0"/>
    <n v="0"/>
    <n v="0"/>
    <n v="0"/>
    <n v="0"/>
    <n v="0"/>
    <n v="0"/>
    <n v="0"/>
    <n v="0"/>
    <n v="0"/>
    <n v="0"/>
    <n v="0"/>
    <n v="0"/>
    <n v="0"/>
    <n v="0"/>
    <n v="0"/>
    <n v="0"/>
    <n v="0"/>
    <n v="0"/>
    <n v="0"/>
    <n v="0"/>
    <m/>
    <m/>
    <m/>
    <m/>
    <m/>
    <m/>
    <m/>
    <m/>
    <m/>
    <m/>
    <m/>
    <m/>
    <m/>
    <m/>
    <m/>
    <m/>
    <m/>
    <m/>
    <m/>
    <m/>
    <m/>
    <m/>
    <m/>
    <m/>
    <m/>
    <m/>
    <m/>
    <m/>
    <m/>
    <m/>
    <m/>
    <m/>
    <m/>
    <m/>
    <m/>
    <m/>
    <m/>
    <m/>
    <m/>
    <m/>
    <m/>
    <m/>
    <m/>
    <m/>
    <m/>
    <m/>
    <m/>
    <m/>
    <m/>
  </r>
  <r>
    <n v="744"/>
    <d v="2025-04-22T00:00:00"/>
    <s v="ZBTO"/>
    <n v="9518711241"/>
    <n v="5"/>
    <s v="9518711241-5"/>
    <s v="May'25"/>
    <x v="0"/>
    <s v="Yes"/>
    <x v="2"/>
    <x v="3"/>
    <s v="1000-IPPE"/>
    <m/>
    <x v="1"/>
    <m/>
    <m/>
    <m/>
    <m/>
    <s v="GAMHARIA"/>
    <m/>
    <n v="940016"/>
    <x v="15"/>
    <n v="3522241"/>
    <s v="PPGL C Y550 D0C7 0.43BMT(0.47TPT)X1220"/>
    <s v="aZ70"/>
    <s v="CASTLE RED TSL 1904"/>
    <n v="3"/>
    <n v="5"/>
    <m/>
    <s v="B18"/>
    <s v="Y550PL"/>
    <s v="D0C7"/>
    <n v="0.43"/>
    <n v="1220"/>
    <n v="0"/>
    <n v="56"/>
    <n v="0"/>
    <n v="56"/>
    <n v="56"/>
    <n v="56"/>
    <n v="51.755000000000003"/>
    <n v="0"/>
    <n v="0"/>
    <n v="0"/>
    <n v="0"/>
    <n v="0"/>
    <n v="0"/>
    <n v="0"/>
    <n v="0"/>
    <n v="0"/>
    <n v="0"/>
    <n v="0"/>
    <n v="0"/>
    <n v="0"/>
    <n v="0"/>
    <n v="0"/>
    <n v="0"/>
    <n v="0"/>
    <n v="0"/>
    <n v="0"/>
    <n v="0"/>
    <n v="0"/>
    <n v="0"/>
    <n v="0"/>
    <m/>
    <m/>
    <m/>
    <m/>
    <m/>
    <m/>
    <m/>
    <m/>
    <m/>
    <m/>
    <m/>
    <m/>
    <m/>
    <m/>
    <m/>
    <m/>
    <m/>
    <m/>
    <m/>
    <m/>
    <m/>
    <m/>
    <m/>
    <m/>
    <m/>
    <m/>
    <m/>
    <m/>
    <m/>
    <m/>
    <m/>
    <m/>
    <m/>
    <m/>
    <m/>
    <m/>
    <m/>
    <m/>
    <m/>
    <m/>
    <m/>
    <m/>
    <m/>
    <m/>
    <m/>
    <m/>
    <m/>
    <m/>
    <m/>
  </r>
  <r>
    <n v="744"/>
    <d v="2025-04-22T00:00:00"/>
    <s v="ZBTO"/>
    <n v="9518712059"/>
    <n v="1"/>
    <s v="9518712059-1"/>
    <s v="May'25"/>
    <x v="0"/>
    <m/>
    <x v="2"/>
    <x v="3"/>
    <s v="1000-IPPE"/>
    <m/>
    <x v="1"/>
    <m/>
    <m/>
    <m/>
    <m/>
    <s v=" "/>
    <m/>
    <n v="941597"/>
    <x v="6"/>
    <n v="3902332"/>
    <s v="PPGL C HARD Y550PL D0C9 0.50(TPT)X1220"/>
    <s v="AZ150"/>
    <s v="RAL 9002 TSL 1801"/>
    <n v="3"/>
    <n v="5"/>
    <m/>
    <s v="B18"/>
    <s v="Y550PL"/>
    <s v="D0C9"/>
    <n v="0.5"/>
    <n v="1220"/>
    <n v="0"/>
    <n v="280"/>
    <n v="0"/>
    <n v="280"/>
    <n v="280"/>
    <n v="280"/>
    <n v="280"/>
    <n v="0"/>
    <n v="0"/>
    <n v="0"/>
    <n v="0"/>
    <n v="0"/>
    <n v="0"/>
    <n v="0"/>
    <n v="0"/>
    <n v="0"/>
    <n v="0"/>
    <n v="0"/>
    <n v="0"/>
    <n v="0"/>
    <n v="0"/>
    <n v="0"/>
    <n v="0"/>
    <n v="0"/>
    <n v="0"/>
    <n v="0"/>
    <n v="0"/>
    <n v="0"/>
    <n v="0"/>
    <n v="0"/>
    <m/>
    <m/>
    <m/>
    <m/>
    <m/>
    <m/>
    <m/>
    <m/>
    <m/>
    <m/>
    <m/>
    <m/>
    <m/>
    <m/>
    <m/>
    <m/>
    <m/>
    <m/>
    <m/>
    <m/>
    <m/>
    <m/>
    <m/>
    <m/>
    <m/>
    <m/>
    <m/>
    <m/>
    <m/>
    <m/>
    <m/>
    <m/>
    <m/>
    <m/>
    <m/>
    <m/>
    <m/>
    <m/>
    <m/>
    <m/>
    <m/>
    <m/>
    <m/>
    <m/>
    <m/>
    <m/>
    <m/>
    <m/>
    <m/>
  </r>
  <r>
    <n v="744"/>
    <d v="2025-04-22T00:00:00"/>
    <s v="ZBTO"/>
    <n v="9518712059"/>
    <n v="3"/>
    <s v="9518712059-3"/>
    <s v="May'25"/>
    <x v="0"/>
    <m/>
    <x v="2"/>
    <x v="3"/>
    <s v="1000-IPPE"/>
    <m/>
    <x v="1"/>
    <m/>
    <m/>
    <m/>
    <m/>
    <s v=" "/>
    <m/>
    <n v="941597"/>
    <x v="6"/>
    <n v="3902332"/>
    <s v="PPGL C HARD Y550PL D0C9 0.50(TPT)X1220"/>
    <s v="AZ150"/>
    <s v="RAL 7024 TSL 1806"/>
    <n v="3"/>
    <n v="5"/>
    <m/>
    <s v="B18"/>
    <s v="Y550PL"/>
    <s v="D0C9"/>
    <n v="0.5"/>
    <n v="1220"/>
    <n v="0"/>
    <n v="56"/>
    <n v="0"/>
    <n v="56"/>
    <n v="56"/>
    <n v="56"/>
    <n v="56"/>
    <n v="0"/>
    <n v="0"/>
    <n v="0"/>
    <n v="0"/>
    <n v="0"/>
    <n v="0"/>
    <n v="0"/>
    <n v="0"/>
    <n v="0"/>
    <n v="0"/>
    <n v="0"/>
    <n v="0"/>
    <n v="0"/>
    <n v="0"/>
    <n v="0"/>
    <n v="0"/>
    <n v="0"/>
    <n v="0"/>
    <n v="0"/>
    <n v="0"/>
    <n v="0"/>
    <n v="0"/>
    <n v="0"/>
    <m/>
    <m/>
    <m/>
    <m/>
    <m/>
    <m/>
    <m/>
    <m/>
    <m/>
    <m/>
    <m/>
    <m/>
    <m/>
    <m/>
    <m/>
    <m/>
    <m/>
    <m/>
    <m/>
    <m/>
    <m/>
    <m/>
    <m/>
    <m/>
    <m/>
    <m/>
    <m/>
    <m/>
    <m/>
    <m/>
    <m/>
    <m/>
    <m/>
    <m/>
    <m/>
    <m/>
    <m/>
    <m/>
    <m/>
    <m/>
    <m/>
    <m/>
    <m/>
    <m/>
    <m/>
    <m/>
    <m/>
    <m/>
    <m/>
  </r>
  <r>
    <n v="744"/>
    <d v="2025-04-22T00:00:00"/>
    <s v="ZBTO"/>
    <n v="9518711241"/>
    <n v="1"/>
    <s v="9518711241-1"/>
    <s v="May'25"/>
    <x v="0"/>
    <s v="Yes"/>
    <x v="2"/>
    <x v="3"/>
    <s v="1000-IPPE"/>
    <m/>
    <x v="1"/>
    <m/>
    <m/>
    <m/>
    <m/>
    <s v="GAMHARIA"/>
    <m/>
    <n v="940016"/>
    <x v="15"/>
    <n v="3522241"/>
    <s v="PPGL C Y550 D0C7 0.43BMT(0.47TPT)X1220"/>
    <s v="aZ70"/>
    <s v="NUVO BLUE TSL 1903"/>
    <n v="3"/>
    <n v="5"/>
    <m/>
    <s v="B18"/>
    <s v="Y550PL"/>
    <s v="D0C7"/>
    <n v="0.43"/>
    <n v="1220"/>
    <n v="0"/>
    <n v="280"/>
    <n v="0"/>
    <n v="280"/>
    <n v="280"/>
    <n v="280"/>
    <n v="280"/>
    <n v="0"/>
    <n v="0"/>
    <n v="0"/>
    <n v="0"/>
    <n v="0"/>
    <n v="0"/>
    <n v="0"/>
    <n v="0"/>
    <n v="0"/>
    <n v="0"/>
    <n v="0"/>
    <n v="0"/>
    <n v="0"/>
    <n v="0"/>
    <n v="0"/>
    <n v="0"/>
    <n v="0"/>
    <n v="0"/>
    <n v="0"/>
    <n v="0"/>
    <n v="0"/>
    <n v="0"/>
    <n v="0"/>
    <m/>
    <m/>
    <m/>
    <m/>
    <m/>
    <m/>
    <m/>
    <m/>
    <m/>
    <m/>
    <m/>
    <m/>
    <m/>
    <m/>
    <m/>
    <m/>
    <m/>
    <m/>
    <m/>
    <m/>
    <m/>
    <m/>
    <m/>
    <m/>
    <m/>
    <m/>
    <m/>
    <m/>
    <m/>
    <m/>
    <m/>
    <m/>
    <m/>
    <m/>
    <m/>
    <m/>
    <m/>
    <m/>
    <m/>
    <m/>
    <m/>
    <m/>
    <m/>
    <m/>
    <m/>
    <m/>
    <m/>
    <m/>
    <m/>
  </r>
  <r>
    <n v="744"/>
    <d v="2025-04-22T00:00:00"/>
    <s v="ZBTO"/>
    <n v="9518711241"/>
    <n v="6"/>
    <s v="9518711241-6"/>
    <s v="May'25"/>
    <x v="0"/>
    <s v="Yes"/>
    <x v="2"/>
    <x v="3"/>
    <s v="1000-IPPE"/>
    <m/>
    <x v="1"/>
    <m/>
    <m/>
    <m/>
    <m/>
    <s v="GAMHARIA"/>
    <m/>
    <n v="940016"/>
    <x v="15"/>
    <n v="3522241"/>
    <s v="PPGL C Y550 D0C7 0.43BMT(0.47TPT)X1220"/>
    <s v="aZ70"/>
    <s v="ASIAN WHITE TSL 1901"/>
    <n v="3"/>
    <n v="5"/>
    <m/>
    <s v="B18"/>
    <s v="Y550PL"/>
    <s v="D0C7"/>
    <n v="0.43"/>
    <n v="1220"/>
    <n v="0"/>
    <n v="28"/>
    <n v="0"/>
    <n v="28"/>
    <n v="28"/>
    <n v="28"/>
    <n v="28"/>
    <n v="0"/>
    <n v="0"/>
    <n v="0"/>
    <n v="0"/>
    <n v="0"/>
    <n v="0"/>
    <n v="0"/>
    <n v="0"/>
    <n v="0"/>
    <n v="0"/>
    <n v="0"/>
    <n v="0"/>
    <n v="0"/>
    <n v="0"/>
    <n v="0"/>
    <n v="0"/>
    <n v="0"/>
    <n v="0"/>
    <n v="0"/>
    <n v="0"/>
    <n v="0"/>
    <n v="0"/>
    <n v="0"/>
    <m/>
    <m/>
    <m/>
    <m/>
    <m/>
    <m/>
    <m/>
    <m/>
    <m/>
    <m/>
    <m/>
    <m/>
    <m/>
    <m/>
    <m/>
    <m/>
    <m/>
    <m/>
    <m/>
    <m/>
    <m/>
    <m/>
    <m/>
    <m/>
    <m/>
    <m/>
    <m/>
    <m/>
    <m/>
    <m/>
    <m/>
    <m/>
    <m/>
    <m/>
    <m/>
    <m/>
    <m/>
    <m/>
    <m/>
    <m/>
    <m/>
    <m/>
    <m/>
    <m/>
    <m/>
    <m/>
    <m/>
    <m/>
    <m/>
  </r>
  <r>
    <n v="744"/>
    <d v="2025-04-22T00:00:00"/>
    <s v="ZBTO"/>
    <n v="9518712059"/>
    <n v="2"/>
    <s v="9518712059-2"/>
    <s v="May'25"/>
    <x v="0"/>
    <m/>
    <x v="2"/>
    <x v="3"/>
    <s v="1000-IPPE"/>
    <m/>
    <x v="1"/>
    <m/>
    <m/>
    <m/>
    <m/>
    <s v=" "/>
    <m/>
    <n v="941597"/>
    <x v="6"/>
    <n v="3902332"/>
    <s v="PPGL C HARD Y550PL D0C9 0.50(TPT)X1220"/>
    <s v="AZ150"/>
    <s v="RAL 5012 TSL 1802"/>
    <n v="3"/>
    <n v="5"/>
    <m/>
    <s v="B18"/>
    <s v="Y550PL"/>
    <s v="D0C9"/>
    <n v="0.5"/>
    <n v="1220"/>
    <n v="0"/>
    <n v="112"/>
    <n v="0"/>
    <n v="112"/>
    <n v="112"/>
    <n v="112"/>
    <n v="112"/>
    <n v="0"/>
    <n v="0"/>
    <n v="0"/>
    <n v="0"/>
    <n v="0"/>
    <n v="0"/>
    <n v="0"/>
    <n v="0"/>
    <n v="0"/>
    <n v="0"/>
    <n v="0"/>
    <n v="0"/>
    <n v="0"/>
    <n v="0"/>
    <n v="0"/>
    <n v="0"/>
    <n v="0"/>
    <n v="0"/>
    <n v="0"/>
    <n v="0"/>
    <n v="0"/>
    <n v="0"/>
    <n v="0"/>
    <m/>
    <m/>
    <m/>
    <m/>
    <m/>
    <m/>
    <m/>
    <m/>
    <m/>
    <m/>
    <m/>
    <m/>
    <m/>
    <m/>
    <m/>
    <m/>
    <m/>
    <m/>
    <m/>
    <m/>
    <m/>
    <m/>
    <m/>
    <m/>
    <m/>
    <m/>
    <m/>
    <m/>
    <m/>
    <m/>
    <m/>
    <m/>
    <m/>
    <m/>
    <m/>
    <m/>
    <m/>
    <m/>
    <m/>
    <m/>
    <m/>
    <m/>
    <m/>
    <m/>
    <m/>
    <m/>
    <m/>
    <m/>
    <m/>
  </r>
  <r>
    <n v="744"/>
    <d v="2025-04-22T00:00:00"/>
    <s v="ZBTO"/>
    <n v="9518711420"/>
    <n v="1"/>
    <s v="9518711420-1"/>
    <s v="May'25"/>
    <x v="0"/>
    <m/>
    <x v="2"/>
    <x v="3"/>
    <s v="1000-IPPE"/>
    <m/>
    <x v="1"/>
    <m/>
    <m/>
    <m/>
    <m/>
    <s v="TAMILNADU"/>
    <m/>
    <n v="940074"/>
    <x v="6"/>
    <n v="3996225"/>
    <s v="PPGL C HARD Y550PL HPL6 0.400X1220"/>
    <s v="AZ150"/>
    <s v="NUVO BLUE TSL 1903"/>
    <n v="3"/>
    <n v="5"/>
    <m/>
    <s v="B18"/>
    <s v="Y550PL"/>
    <s v="HPL6"/>
    <n v="0.4"/>
    <n v="1220"/>
    <n v="0"/>
    <n v="280"/>
    <n v="0"/>
    <n v="280"/>
    <n v="280"/>
    <n v="280"/>
    <n v="280"/>
    <n v="0"/>
    <n v="0"/>
    <n v="0"/>
    <n v="0"/>
    <n v="0"/>
    <n v="0"/>
    <n v="0"/>
    <n v="0"/>
    <n v="0"/>
    <n v="0"/>
    <n v="0"/>
    <n v="0"/>
    <n v="0"/>
    <n v="0"/>
    <n v="0"/>
    <n v="0"/>
    <n v="0"/>
    <n v="0"/>
    <n v="0"/>
    <n v="0"/>
    <n v="0"/>
    <n v="0"/>
    <n v="0"/>
    <m/>
    <m/>
    <m/>
    <m/>
    <m/>
    <m/>
    <m/>
    <m/>
    <m/>
    <m/>
    <m/>
    <m/>
    <m/>
    <m/>
    <m/>
    <m/>
    <m/>
    <m/>
    <m/>
    <m/>
    <m/>
    <m/>
    <m/>
    <m/>
    <m/>
    <m/>
    <m/>
    <m/>
    <m/>
    <m/>
    <m/>
    <m/>
    <m/>
    <m/>
    <m/>
    <m/>
    <m/>
    <m/>
    <m/>
    <m/>
    <m/>
    <m/>
    <m/>
    <m/>
    <m/>
    <m/>
    <m/>
    <m/>
    <m/>
  </r>
  <r>
    <n v="744"/>
    <d v="2025-04-22T00:00:00"/>
    <s v="ZBTO"/>
    <n v="9518711318"/>
    <n v="1"/>
    <s v="9518711318-1"/>
    <s v="May'25"/>
    <x v="0"/>
    <s v="Yes"/>
    <x v="2"/>
    <x v="3"/>
    <s v="1000-IPPE"/>
    <m/>
    <x v="1"/>
    <m/>
    <m/>
    <m/>
    <m/>
    <s v="GAMHARIA"/>
    <m/>
    <n v="940016"/>
    <x v="15"/>
    <n v="3522241"/>
    <s v="PPGL C Y550 D0C7 0.43BMT(0.47TPT)X1220"/>
    <s v="aZ70"/>
    <s v="NG SMART GREY TSL 1905"/>
    <n v="3"/>
    <n v="5"/>
    <m/>
    <s v="B18"/>
    <s v="Y550PL"/>
    <s v="D0C7"/>
    <n v="0.43"/>
    <n v="1220"/>
    <n v="0"/>
    <n v="28"/>
    <n v="0"/>
    <n v="28"/>
    <n v="28"/>
    <n v="28"/>
    <n v="21.465"/>
    <n v="0"/>
    <n v="0"/>
    <n v="0"/>
    <n v="0"/>
    <n v="0"/>
    <n v="0"/>
    <n v="0"/>
    <n v="0"/>
    <n v="0"/>
    <n v="0"/>
    <n v="0"/>
    <n v="0"/>
    <n v="0"/>
    <n v="0"/>
    <n v="0"/>
    <n v="0"/>
    <n v="0"/>
    <n v="0"/>
    <n v="0"/>
    <n v="0"/>
    <n v="0"/>
    <n v="0"/>
    <n v="0"/>
    <m/>
    <m/>
    <m/>
    <m/>
    <m/>
    <m/>
    <m/>
    <m/>
    <m/>
    <m/>
    <m/>
    <m/>
    <m/>
    <m/>
    <m/>
    <m/>
    <m/>
    <m/>
    <m/>
    <m/>
    <m/>
    <m/>
    <m/>
    <m/>
    <m/>
    <m/>
    <m/>
    <m/>
    <m/>
    <m/>
    <m/>
    <m/>
    <m/>
    <m/>
    <m/>
    <m/>
    <m/>
    <m/>
    <m/>
    <m/>
    <m/>
    <m/>
    <m/>
    <m/>
    <m/>
    <m/>
    <m/>
    <m/>
    <m/>
  </r>
  <r>
    <n v="744"/>
    <d v="2025-04-22T00:00:00"/>
    <s v="ZBTO"/>
    <n v="9518711241"/>
    <n v="2"/>
    <s v="9518711241-2"/>
    <s v="May'25"/>
    <x v="0"/>
    <s v="Yes"/>
    <x v="2"/>
    <x v="3"/>
    <s v="1000-IPPE"/>
    <m/>
    <x v="1"/>
    <m/>
    <m/>
    <m/>
    <m/>
    <s v="GAMHARIA"/>
    <m/>
    <n v="940016"/>
    <x v="15"/>
    <n v="3522241"/>
    <s v="PPGL C Y550 D0C7 0.43BMT(0.47TPT)X1220"/>
    <s v="aZ70"/>
    <s v="NUVO BLUE TSL 1903"/>
    <n v="2.57"/>
    <n v="5"/>
    <m/>
    <s v="B18"/>
    <s v="Y550PL"/>
    <s v="D0C7"/>
    <n v="0.43"/>
    <n v="1220"/>
    <n v="0"/>
    <n v="280"/>
    <n v="0"/>
    <n v="280"/>
    <n v="280"/>
    <n v="280"/>
    <n v="280"/>
    <n v="0"/>
    <n v="0"/>
    <n v="0"/>
    <n v="0"/>
    <n v="0"/>
    <n v="0"/>
    <n v="0"/>
    <n v="0"/>
    <n v="0"/>
    <n v="0"/>
    <n v="0"/>
    <n v="0"/>
    <n v="0"/>
    <n v="0"/>
    <n v="0"/>
    <n v="0"/>
    <n v="0"/>
    <n v="0"/>
    <n v="0"/>
    <n v="0"/>
    <n v="0"/>
    <n v="0"/>
    <n v="0"/>
    <m/>
    <m/>
    <m/>
    <m/>
    <m/>
    <m/>
    <m/>
    <m/>
    <m/>
    <m/>
    <m/>
    <m/>
    <m/>
    <m/>
    <m/>
    <m/>
    <m/>
    <m/>
    <m/>
    <m/>
    <m/>
    <m/>
    <m/>
    <m/>
    <m/>
    <m/>
    <m/>
    <m/>
    <m/>
    <m/>
    <m/>
    <m/>
    <m/>
    <m/>
    <m/>
    <m/>
    <m/>
    <m/>
    <m/>
    <m/>
    <m/>
    <m/>
    <m/>
    <m/>
    <m/>
    <m/>
    <m/>
    <m/>
    <m/>
  </r>
  <r>
    <n v="744"/>
    <d v="2025-04-22T00:00:00"/>
    <s v="ZBTO"/>
    <n v="9518711241"/>
    <n v="3"/>
    <s v="9518711241-3"/>
    <s v="May'25"/>
    <x v="0"/>
    <s v="Yes"/>
    <x v="2"/>
    <x v="3"/>
    <s v="1000-IPPE"/>
    <m/>
    <x v="1"/>
    <m/>
    <m/>
    <m/>
    <m/>
    <s v="GAMHARIA"/>
    <m/>
    <n v="940016"/>
    <x v="15"/>
    <n v="3522241"/>
    <s v="PPGL C Y550 D0C7 0.43BMT(0.47TPT)X1220"/>
    <s v="aZ70"/>
    <s v="NUVO BLUE TSL 1903"/>
    <n v="3"/>
    <n v="5"/>
    <m/>
    <s v="B18"/>
    <s v="Y550PL"/>
    <s v="D0C7"/>
    <n v="0.43"/>
    <n v="1220"/>
    <n v="0"/>
    <n v="280"/>
    <n v="0"/>
    <n v="280"/>
    <n v="280"/>
    <n v="280"/>
    <n v="280"/>
    <n v="0"/>
    <n v="0"/>
    <n v="0"/>
    <n v="0"/>
    <n v="0"/>
    <n v="0"/>
    <n v="0"/>
    <n v="0"/>
    <n v="0"/>
    <n v="0"/>
    <n v="0"/>
    <n v="0"/>
    <n v="0"/>
    <n v="0"/>
    <n v="0"/>
    <n v="0"/>
    <n v="0"/>
    <n v="0"/>
    <n v="0"/>
    <n v="0"/>
    <n v="0"/>
    <n v="0"/>
    <n v="0"/>
    <m/>
    <m/>
    <m/>
    <m/>
    <m/>
    <m/>
    <m/>
    <m/>
    <m/>
    <m/>
    <m/>
    <m/>
    <m/>
    <m/>
    <m/>
    <m/>
    <m/>
    <m/>
    <m/>
    <m/>
    <m/>
    <m/>
    <m/>
    <m/>
    <m/>
    <m/>
    <m/>
    <m/>
    <m/>
    <m/>
    <m/>
    <m/>
    <m/>
    <m/>
    <m/>
    <m/>
    <m/>
    <m/>
    <m/>
    <m/>
    <m/>
    <m/>
    <m/>
    <m/>
    <m/>
    <m/>
    <m/>
    <m/>
    <m/>
  </r>
  <r>
    <n v="744"/>
    <d v="2025-04-22T00:00:00"/>
    <s v="ZBTO"/>
    <n v="9518712059"/>
    <n v="4"/>
    <s v="9518712059-4"/>
    <s v="May'25"/>
    <x v="0"/>
    <m/>
    <x v="2"/>
    <x v="3"/>
    <s v="1000-IPPE"/>
    <m/>
    <x v="1"/>
    <m/>
    <m/>
    <m/>
    <m/>
    <s v=" "/>
    <m/>
    <n v="941597"/>
    <x v="6"/>
    <n v="3902332"/>
    <s v="PPGL C HARD Y550PL D0C9 0.50(TPT)X1220"/>
    <s v="AZ150"/>
    <s v="RAL 7015 TSL 1805"/>
    <n v="3"/>
    <n v="5"/>
    <m/>
    <s v="B18"/>
    <s v="Y550PL"/>
    <s v="D0C9"/>
    <n v="0.5"/>
    <n v="1220"/>
    <n v="0"/>
    <n v="56"/>
    <n v="0"/>
    <n v="56"/>
    <n v="56"/>
    <n v="56"/>
    <n v="56"/>
    <n v="0"/>
    <n v="0"/>
    <n v="0"/>
    <n v="0"/>
    <n v="0"/>
    <n v="0"/>
    <n v="0"/>
    <n v="0"/>
    <n v="0"/>
    <n v="0"/>
    <n v="0"/>
    <n v="0"/>
    <n v="0"/>
    <n v="0"/>
    <n v="0"/>
    <n v="0"/>
    <n v="0"/>
    <n v="0"/>
    <n v="0"/>
    <n v="0"/>
    <n v="0"/>
    <n v="0"/>
    <n v="0"/>
    <m/>
    <m/>
    <m/>
    <m/>
    <m/>
    <m/>
    <m/>
    <m/>
    <m/>
    <m/>
    <m/>
    <m/>
    <m/>
    <m/>
    <m/>
    <m/>
    <m/>
    <m/>
    <m/>
    <m/>
    <m/>
    <m/>
    <m/>
    <m/>
    <m/>
    <m/>
    <m/>
    <m/>
    <m/>
    <m/>
    <m/>
    <m/>
    <m/>
    <m/>
    <m/>
    <m/>
    <m/>
    <m/>
    <m/>
    <m/>
    <m/>
    <m/>
    <m/>
    <m/>
    <m/>
    <m/>
    <m/>
    <m/>
    <m/>
  </r>
  <r>
    <n v="742"/>
    <d v="2025-04-02T00:00:00"/>
    <s v="ZBTO"/>
    <n v="9518664276"/>
    <n v="3"/>
    <s v="9518664276-3"/>
    <s v="No Priority"/>
    <x v="0"/>
    <m/>
    <x v="1"/>
    <x v="1"/>
    <s v="2000-BPRS"/>
    <m/>
    <x v="0"/>
    <m/>
    <m/>
    <m/>
    <m/>
    <s v="CHENNAI"/>
    <m/>
    <n v="102888"/>
    <x v="95"/>
    <n v="325986"/>
    <s v="CRCA SHEET TATXXD AU03 2.5X1250X2500"/>
    <s v=" "/>
    <s v=""/>
    <n v="0"/>
    <n v="0"/>
    <m/>
    <s v="C06"/>
    <s v="TATXXD"/>
    <s v="AU03"/>
    <n v="2.5"/>
    <n v="1250"/>
    <n v="2500"/>
    <n v="27"/>
    <n v="0"/>
    <n v="27"/>
    <n v="27"/>
    <n v="27"/>
    <n v="27"/>
    <n v="0"/>
    <n v="0"/>
    <n v="0"/>
    <n v="0"/>
    <n v="0"/>
    <n v="0"/>
    <n v="0"/>
    <n v="0"/>
    <n v="0"/>
    <n v="0"/>
    <n v="0"/>
    <n v="0"/>
    <n v="0"/>
    <n v="0"/>
    <n v="0"/>
    <n v="0"/>
    <n v="0"/>
    <n v="0"/>
    <n v="0"/>
    <n v="0"/>
    <n v="0"/>
    <n v="0"/>
    <n v="0"/>
    <m/>
    <m/>
    <m/>
    <m/>
    <m/>
    <m/>
    <m/>
    <m/>
    <m/>
    <m/>
    <m/>
    <m/>
    <m/>
    <m/>
    <m/>
    <m/>
    <m/>
    <m/>
    <m/>
    <m/>
    <m/>
    <m/>
    <m/>
    <m/>
    <m/>
    <m/>
    <m/>
    <m/>
    <m/>
    <m/>
    <m/>
    <m/>
    <m/>
    <m/>
    <m/>
    <m/>
    <m/>
    <m/>
    <m/>
    <m/>
    <m/>
    <m/>
    <m/>
    <m/>
    <m/>
    <m/>
    <m/>
    <m/>
    <m/>
  </r>
  <r>
    <n v="742"/>
    <d v="2025-04-16T00:00:00"/>
    <s v="ZBTO"/>
    <n v="9518698036"/>
    <n v="2"/>
    <s v="9518698036-2"/>
    <s v="No Priority"/>
    <x v="0"/>
    <m/>
    <x v="1"/>
    <x v="1"/>
    <s v="2000-BPRS"/>
    <m/>
    <x v="0"/>
    <m/>
    <m/>
    <m/>
    <m/>
    <s v="GUMMIDIPOONDI"/>
    <m/>
    <n v="822271"/>
    <x v="0"/>
    <n v="1801022"/>
    <s v="CRCA COIL-TATXXD-AU03-0.45X1250"/>
    <s v=" "/>
    <s v=""/>
    <n v="5"/>
    <n v="29"/>
    <m/>
    <s v="C01"/>
    <s v="TATXXD"/>
    <s v="AU03"/>
    <n v="0.45"/>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22T00:00:00"/>
    <s v="ZBTO"/>
    <n v="9518710180"/>
    <n v="1"/>
    <s v="9518710180-1"/>
    <s v="No Priority"/>
    <x v="0"/>
    <m/>
    <x v="1"/>
    <x v="1"/>
    <s v="2000-BPRS"/>
    <m/>
    <x v="0"/>
    <m/>
    <m/>
    <m/>
    <m/>
    <s v="PATNA"/>
    <m/>
    <n v="103227"/>
    <x v="31"/>
    <n v="1801804"/>
    <s v="CRCA COIL-TATXXD-AU03-1X1250"/>
    <s v=" "/>
    <s v=""/>
    <n v="5"/>
    <n v="28"/>
    <m/>
    <s v="C01"/>
    <s v="TATXXD"/>
    <s v="AU03"/>
    <n v="1"/>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22T00:00:00"/>
    <s v="ZBTO"/>
    <n v="9518712564"/>
    <n v="3"/>
    <s v="9518712564-3"/>
    <s v="No Priority"/>
    <x v="0"/>
    <m/>
    <x v="1"/>
    <x v="10"/>
    <s v="1000-IPPE"/>
    <m/>
    <x v="0"/>
    <m/>
    <m/>
    <m/>
    <m/>
    <s v="CHENNAI"/>
    <m/>
    <n v="187214"/>
    <x v="30"/>
    <n v="3701960"/>
    <s v="CR COIL TATXXD BT01 1.200X1310"/>
    <s v=" "/>
    <s v=""/>
    <n v="8"/>
    <n v="12"/>
    <m/>
    <s v="C01"/>
    <s v="TATXXD"/>
    <s v="BT01"/>
    <n v="1.2"/>
    <n v="1310"/>
    <n v="0"/>
    <n v="30"/>
    <n v="0"/>
    <n v="30"/>
    <n v="30"/>
    <n v="30"/>
    <n v="30"/>
    <n v="0"/>
    <n v="0"/>
    <n v="0"/>
    <n v="0"/>
    <n v="0"/>
    <n v="0"/>
    <n v="0"/>
    <n v="0"/>
    <n v="0"/>
    <n v="0"/>
    <n v="0"/>
    <n v="0"/>
    <n v="0"/>
    <n v="0"/>
    <n v="0"/>
    <n v="0"/>
    <n v="0"/>
    <n v="0"/>
    <n v="0"/>
    <n v="0"/>
    <n v="0"/>
    <n v="0"/>
    <n v="0"/>
    <m/>
    <m/>
    <m/>
    <m/>
    <m/>
    <m/>
    <m/>
    <m/>
    <m/>
    <m/>
    <m/>
    <m/>
    <m/>
    <m/>
    <m/>
    <m/>
    <m/>
    <m/>
    <m/>
    <m/>
    <m/>
    <m/>
    <m/>
    <m/>
    <m/>
    <m/>
    <m/>
    <m/>
    <m/>
    <m/>
    <m/>
    <m/>
    <m/>
    <m/>
    <m/>
    <m/>
    <m/>
    <m/>
    <m/>
    <m/>
    <m/>
    <m/>
    <m/>
    <m/>
    <m/>
    <m/>
    <m/>
    <m/>
    <m/>
  </r>
  <r>
    <n v="742"/>
    <d v="2025-04-22T00:00:00"/>
    <s v="ZBTO"/>
    <n v="9518712061"/>
    <n v="2"/>
    <s v="9518712061-2"/>
    <s v="No Priority"/>
    <x v="0"/>
    <m/>
    <x v="1"/>
    <x v="1"/>
    <s v="2000-BPRS"/>
    <m/>
    <x v="0"/>
    <m/>
    <m/>
    <m/>
    <m/>
    <s v="CHENNAI"/>
    <m/>
    <n v="116465"/>
    <x v="13"/>
    <n v="1801804"/>
    <s v="CRCA COIL-TATXXD-AU03-1X1250"/>
    <s v=" "/>
    <s v=""/>
    <n v="6"/>
    <n v="18"/>
    <m/>
    <s v="C01"/>
    <s v="TATXXD"/>
    <s v="AU03"/>
    <n v="1"/>
    <n v="1250"/>
    <n v="0"/>
    <n v="58"/>
    <n v="0"/>
    <n v="58"/>
    <n v="58"/>
    <n v="58"/>
    <n v="58"/>
    <n v="0"/>
    <n v="0"/>
    <n v="0"/>
    <n v="0"/>
    <n v="0"/>
    <n v="0"/>
    <n v="0"/>
    <n v="0"/>
    <n v="0"/>
    <n v="0"/>
    <n v="0"/>
    <n v="0"/>
    <n v="0"/>
    <n v="0"/>
    <n v="0"/>
    <n v="0"/>
    <n v="0"/>
    <n v="0"/>
    <n v="0"/>
    <n v="0"/>
    <n v="0"/>
    <n v="0"/>
    <n v="0"/>
    <m/>
    <m/>
    <m/>
    <m/>
    <m/>
    <m/>
    <m/>
    <m/>
    <m/>
    <m/>
    <m/>
    <m/>
    <m/>
    <m/>
    <m/>
    <m/>
    <m/>
    <m/>
    <m/>
    <m/>
    <m/>
    <m/>
    <m/>
    <m/>
    <m/>
    <m/>
    <m/>
    <m/>
    <m/>
    <m/>
    <m/>
    <m/>
    <m/>
    <m/>
    <m/>
    <m/>
    <m/>
    <m/>
    <m/>
    <m/>
    <m/>
    <m/>
    <m/>
    <m/>
    <m/>
    <m/>
    <m/>
    <m/>
    <m/>
  </r>
  <r>
    <n v="742"/>
    <d v="2025-04-22T00:00:00"/>
    <s v="ZBTO"/>
    <n v="9518712061"/>
    <n v="3"/>
    <s v="9518712061-3"/>
    <s v="No Priority"/>
    <x v="0"/>
    <m/>
    <x v="1"/>
    <x v="1"/>
    <s v="2000-BPRS"/>
    <m/>
    <x v="0"/>
    <m/>
    <m/>
    <m/>
    <m/>
    <s v="CHENNAI"/>
    <m/>
    <n v="116465"/>
    <x v="13"/>
    <n v="1804854"/>
    <s v="CRCA COIL-TATXXD-AU03-1.2X1250"/>
    <s v=" "/>
    <s v=""/>
    <n v="6"/>
    <n v="18"/>
    <m/>
    <s v="C01"/>
    <s v="TATXXD"/>
    <s v="AU03"/>
    <n v="1.2"/>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22T00:00:00"/>
    <s v="ZBTO"/>
    <n v="9518712061"/>
    <n v="4"/>
    <s v="9518712061-4"/>
    <s v="No Priority"/>
    <x v="0"/>
    <m/>
    <x v="1"/>
    <x v="1"/>
    <s v="2000-BPRS"/>
    <m/>
    <x v="0"/>
    <m/>
    <m/>
    <m/>
    <m/>
    <s v="CHENNAI"/>
    <m/>
    <n v="116465"/>
    <x v="13"/>
    <n v="1804867"/>
    <s v="CRCA COIL-TATXXD-AU03-1.6X1250"/>
    <s v=" "/>
    <s v=""/>
    <n v="6"/>
    <n v="18"/>
    <m/>
    <s v="C01"/>
    <s v="TATXXD"/>
    <s v="AU03"/>
    <n v="1.6"/>
    <n v="1250"/>
    <n v="0"/>
    <n v="29"/>
    <n v="0"/>
    <n v="29"/>
    <n v="29"/>
    <n v="29"/>
    <n v="29"/>
    <n v="0"/>
    <n v="0"/>
    <n v="0"/>
    <n v="0"/>
    <n v="0"/>
    <n v="0"/>
    <n v="0"/>
    <n v="0"/>
    <n v="0"/>
    <n v="0"/>
    <n v="0"/>
    <n v="0"/>
    <n v="0"/>
    <n v="0"/>
    <n v="0"/>
    <n v="0"/>
    <n v="0"/>
    <n v="0"/>
    <n v="0"/>
    <n v="0"/>
    <n v="0"/>
    <n v="0"/>
    <n v="0"/>
    <m/>
    <m/>
    <m/>
    <m/>
    <m/>
    <m/>
    <m/>
    <m/>
    <m/>
    <m/>
    <m/>
    <m/>
    <m/>
    <m/>
    <m/>
    <m/>
    <m/>
    <m/>
    <m/>
    <m/>
    <m/>
    <m/>
    <m/>
    <m/>
    <m/>
    <m/>
    <m/>
    <m/>
    <m/>
    <m/>
    <m/>
    <m/>
    <m/>
    <m/>
    <m/>
    <m/>
    <m/>
    <m/>
    <m/>
    <m/>
    <m/>
    <m/>
    <m/>
    <m/>
    <m/>
    <m/>
    <m/>
    <m/>
    <m/>
  </r>
  <r>
    <n v="742"/>
    <d v="2025-04-22T00:00:00"/>
    <s v="ZBTO"/>
    <n v="9518712061"/>
    <n v="5"/>
    <s v="9518712061-5"/>
    <s v="No Priority"/>
    <x v="0"/>
    <m/>
    <x v="1"/>
    <x v="1"/>
    <s v="2000-BPRS"/>
    <m/>
    <x v="0"/>
    <m/>
    <m/>
    <m/>
    <m/>
    <s v="CHENNAI"/>
    <m/>
    <n v="116465"/>
    <x v="13"/>
    <n v="1884117"/>
    <s v="CRCA COIL-TATXXD-AU03-2X1250"/>
    <s v=" "/>
    <s v=""/>
    <n v="6"/>
    <n v="18"/>
    <m/>
    <s v="C01"/>
    <s v="TATXXD"/>
    <s v="AU03"/>
    <n v="2"/>
    <n v="1250"/>
    <n v="0"/>
    <n v="29"/>
    <n v="0"/>
    <n v="29"/>
    <n v="29"/>
    <n v="29"/>
    <n v="29"/>
    <n v="0"/>
    <n v="0"/>
    <n v="0"/>
    <n v="0"/>
    <n v="0"/>
    <n v="0"/>
    <n v="0"/>
    <n v="0"/>
    <n v="0"/>
    <n v="0"/>
    <n v="0"/>
    <n v="0"/>
    <n v="0"/>
    <n v="0"/>
    <n v="0"/>
    <n v="0"/>
    <n v="0"/>
    <n v="0"/>
    <n v="0"/>
    <n v="0"/>
    <n v="0"/>
    <n v="0"/>
    <n v="0"/>
    <m/>
    <m/>
    <m/>
    <m/>
    <m/>
    <m/>
    <m/>
    <m/>
    <m/>
    <m/>
    <m/>
    <m/>
    <m/>
    <m/>
    <m/>
    <m/>
    <m/>
    <m/>
    <m/>
    <m/>
    <m/>
    <m/>
    <m/>
    <m/>
    <m/>
    <m/>
    <m/>
    <m/>
    <m/>
    <m/>
    <m/>
    <m/>
    <m/>
    <m/>
    <m/>
    <m/>
    <m/>
    <m/>
    <m/>
    <m/>
    <m/>
    <m/>
    <m/>
    <m/>
    <m/>
    <m/>
    <m/>
    <m/>
    <m/>
  </r>
  <r>
    <n v="744"/>
    <d v="2025-04-22T00:00:00"/>
    <s v="ZBTO"/>
    <n v="9518711318"/>
    <n v="2"/>
    <s v="9518711318-2"/>
    <s v="May'25"/>
    <x v="0"/>
    <s v="Yes"/>
    <x v="2"/>
    <x v="3"/>
    <s v="1000-IPPE"/>
    <m/>
    <x v="1"/>
    <m/>
    <m/>
    <m/>
    <m/>
    <s v="GAMHARIA"/>
    <m/>
    <n v="940016"/>
    <x v="15"/>
    <n v="3522241"/>
    <s v="PPGL C Y550 D0C7 0.43BMT(0.47TPT)X1220"/>
    <s v="aZ70"/>
    <s v="NUVO BLUE TSL 1903"/>
    <n v="3"/>
    <n v="5"/>
    <m/>
    <s v="B18"/>
    <s v="Y550PL"/>
    <s v="D0C7"/>
    <n v="0.43"/>
    <n v="1220"/>
    <n v="0"/>
    <n v="84"/>
    <n v="0"/>
    <n v="84"/>
    <n v="84"/>
    <n v="84"/>
    <n v="84"/>
    <n v="0"/>
    <n v="0"/>
    <n v="0"/>
    <n v="0"/>
    <n v="0"/>
    <n v="0"/>
    <n v="0"/>
    <n v="0"/>
    <n v="0"/>
    <n v="0"/>
    <n v="0"/>
    <n v="0"/>
    <n v="0"/>
    <n v="0"/>
    <n v="0"/>
    <n v="0"/>
    <n v="0"/>
    <n v="0"/>
    <n v="0"/>
    <n v="0"/>
    <n v="0"/>
    <n v="0"/>
    <n v="0"/>
    <m/>
    <m/>
    <m/>
    <m/>
    <m/>
    <m/>
    <m/>
    <m/>
    <m/>
    <m/>
    <m/>
    <m/>
    <m/>
    <m/>
    <m/>
    <m/>
    <m/>
    <m/>
    <m/>
    <m/>
    <m/>
    <m/>
    <m/>
    <m/>
    <m/>
    <m/>
    <m/>
    <m/>
    <m/>
    <m/>
    <m/>
    <m/>
    <m/>
    <m/>
    <m/>
    <m/>
    <m/>
    <m/>
    <m/>
    <m/>
    <m/>
    <m/>
    <m/>
    <m/>
    <m/>
    <m/>
    <m/>
    <m/>
    <m/>
  </r>
  <r>
    <n v="743"/>
    <d v="2025-04-23T00:00:00"/>
    <s v="ZBTO"/>
    <n v="9518710703"/>
    <n v="1"/>
    <s v="9518710703-1"/>
    <s v="May'25"/>
    <x v="0"/>
    <m/>
    <x v="4"/>
    <x v="3"/>
    <s v="1000-IPPE"/>
    <m/>
    <x v="1"/>
    <m/>
    <m/>
    <m/>
    <s v="TBSPL"/>
    <s v="RAJASTHAN"/>
    <m/>
    <n v="942293"/>
    <x v="6"/>
    <n v="3946362"/>
    <s v="GL COIL HARD Y550GL M308 0.47 (TCT)X1220"/>
    <m/>
    <m/>
    <m/>
    <m/>
    <m/>
    <s v="B04"/>
    <s v="Y550GL"/>
    <s v="M308"/>
    <n v="0.47"/>
    <n v="1220"/>
    <n v="0"/>
    <n v="224"/>
    <n v="0"/>
    <n v="224"/>
    <n v="224"/>
    <n v="224"/>
    <n v="224"/>
    <n v="0"/>
    <n v="0"/>
    <n v="0"/>
    <n v="0"/>
    <n v="0"/>
    <n v="0"/>
    <n v="0"/>
    <n v="0"/>
    <n v="0"/>
    <n v="0"/>
    <n v="0"/>
    <n v="0"/>
    <n v="0"/>
    <n v="0"/>
    <n v="0"/>
    <n v="0"/>
    <n v="0"/>
    <n v="0"/>
    <n v="0"/>
    <n v="0"/>
    <n v="0"/>
    <n v="0"/>
    <n v="0"/>
    <m/>
    <m/>
    <m/>
    <m/>
    <m/>
    <m/>
    <m/>
    <m/>
    <m/>
    <m/>
    <m/>
    <m/>
    <m/>
    <m/>
    <m/>
    <m/>
    <m/>
    <m/>
    <m/>
    <m/>
    <m/>
    <m/>
    <m/>
    <m/>
    <m/>
    <m/>
    <m/>
    <m/>
    <m/>
    <m/>
    <m/>
    <m/>
    <m/>
    <m/>
    <m/>
    <m/>
    <m/>
    <m/>
    <m/>
    <m/>
    <m/>
    <m/>
    <m/>
    <m/>
    <m/>
    <m/>
    <m/>
    <m/>
    <m/>
  </r>
  <r>
    <n v="742"/>
    <d v="2025-04-21T00:00:00"/>
    <s v="ZBTO"/>
    <n v="9518708445"/>
    <n v="4"/>
    <s v="9518708445-4"/>
    <s v="May'25"/>
    <x v="0"/>
    <m/>
    <x v="1"/>
    <x v="15"/>
    <s v="3000-IPPE"/>
    <m/>
    <x v="1"/>
    <m/>
    <m/>
    <m/>
    <m/>
    <s v="YESHWANTHPURA"/>
    <m/>
    <n v="157491"/>
    <x v="0"/>
    <n v="2420514"/>
    <s v="CRCA COIL TATXXD AH03 0.800X1250"/>
    <m/>
    <m/>
    <m/>
    <m/>
    <m/>
    <s v="C01"/>
    <s v="TATXXD"/>
    <s v="AH03"/>
    <n v="0.8"/>
    <n v="1250"/>
    <n v="0"/>
    <n v="261"/>
    <n v="0"/>
    <n v="261"/>
    <n v="261"/>
    <n v="233.32"/>
    <n v="261"/>
    <n v="0"/>
    <n v="0"/>
    <n v="0"/>
    <n v="0"/>
    <n v="0"/>
    <n v="0"/>
    <n v="0"/>
    <n v="0"/>
    <n v="0"/>
    <n v="0"/>
    <n v="0"/>
    <n v="0"/>
    <n v="27.68"/>
    <n v="0"/>
    <n v="0"/>
    <n v="0"/>
    <n v="0"/>
    <n v="0"/>
    <n v="0"/>
    <n v="27.68"/>
    <n v="27.68"/>
    <n v="0"/>
    <n v="27.68"/>
    <m/>
    <m/>
    <m/>
    <m/>
    <m/>
    <m/>
    <m/>
    <m/>
    <m/>
    <m/>
    <m/>
    <m/>
    <m/>
    <m/>
    <m/>
    <m/>
    <m/>
    <m/>
    <m/>
    <m/>
    <m/>
    <m/>
    <m/>
    <m/>
    <m/>
    <m/>
    <m/>
    <m/>
    <m/>
    <m/>
    <m/>
    <m/>
    <m/>
    <m/>
    <m/>
    <m/>
    <m/>
    <m/>
    <m/>
    <m/>
    <m/>
    <m/>
    <m/>
    <m/>
    <m/>
    <m/>
    <m/>
    <m/>
    <m/>
  </r>
  <r>
    <n v="742"/>
    <d v="2025-04-21T00:00:00"/>
    <s v="ZBTO"/>
    <n v="9518708445"/>
    <n v="5"/>
    <s v="9518708445-5"/>
    <s v="May'25"/>
    <x v="0"/>
    <m/>
    <x v="1"/>
    <x v="15"/>
    <s v="3000-IPPE"/>
    <m/>
    <x v="1"/>
    <m/>
    <m/>
    <m/>
    <m/>
    <s v="YESHWANTHPURA"/>
    <m/>
    <n v="157491"/>
    <x v="0"/>
    <n v="2420518"/>
    <s v="CRCA COIL TATXXD AH03 1X1250"/>
    <m/>
    <m/>
    <m/>
    <m/>
    <m/>
    <s v="C01"/>
    <s v="TATXXD"/>
    <s v="AH03"/>
    <n v="1"/>
    <n v="1250"/>
    <n v="0"/>
    <n v="261"/>
    <n v="0"/>
    <n v="261"/>
    <n v="261"/>
    <n v="261"/>
    <n v="261"/>
    <n v="0"/>
    <n v="0"/>
    <n v="0"/>
    <n v="0"/>
    <n v="0"/>
    <n v="0"/>
    <n v="0"/>
    <n v="0"/>
    <n v="0"/>
    <n v="0"/>
    <n v="0"/>
    <n v="0"/>
    <n v="0"/>
    <n v="0"/>
    <n v="0"/>
    <n v="0"/>
    <n v="0"/>
    <n v="0"/>
    <n v="0"/>
    <n v="0"/>
    <n v="0"/>
    <n v="0"/>
    <n v="0"/>
    <m/>
    <m/>
    <m/>
    <m/>
    <m/>
    <m/>
    <m/>
    <m/>
    <m/>
    <m/>
    <m/>
    <m/>
    <m/>
    <m/>
    <m/>
    <m/>
    <m/>
    <m/>
    <m/>
    <m/>
    <m/>
    <m/>
    <m/>
    <m/>
    <m/>
    <m/>
    <m/>
    <m/>
    <m/>
    <m/>
    <m/>
    <m/>
    <m/>
    <m/>
    <m/>
    <m/>
    <m/>
    <m/>
    <m/>
    <m/>
    <m/>
    <m/>
    <m/>
    <m/>
    <m/>
    <m/>
    <m/>
    <m/>
    <m/>
  </r>
  <r>
    <n v="742"/>
    <d v="2025-04-21T00:00:00"/>
    <s v="ZBTO"/>
    <n v="9518708445"/>
    <n v="6"/>
    <s v="9518708445-6"/>
    <s v="May'25"/>
    <x v="0"/>
    <m/>
    <x v="1"/>
    <x v="15"/>
    <s v="3000-IPPE"/>
    <m/>
    <x v="1"/>
    <m/>
    <m/>
    <m/>
    <m/>
    <s v="YESHWANTHPURA"/>
    <m/>
    <n v="157491"/>
    <x v="0"/>
    <n v="2420521"/>
    <s v="CRCA COIL TATXXD AH03 1.200X1250"/>
    <m/>
    <m/>
    <m/>
    <m/>
    <m/>
    <s v="C01"/>
    <s v="TATXXD"/>
    <s v="AH03"/>
    <n v="1.2"/>
    <n v="1250"/>
    <n v="0"/>
    <n v="145"/>
    <n v="0"/>
    <n v="145"/>
    <n v="145"/>
    <n v="145"/>
    <n v="145"/>
    <n v="0"/>
    <n v="0"/>
    <n v="0"/>
    <n v="0"/>
    <n v="0"/>
    <n v="0"/>
    <n v="0"/>
    <n v="0"/>
    <n v="0"/>
    <n v="0"/>
    <n v="0"/>
    <n v="0"/>
    <n v="0"/>
    <n v="0"/>
    <n v="0"/>
    <n v="0"/>
    <n v="0"/>
    <n v="0"/>
    <n v="0"/>
    <n v="0"/>
    <n v="0"/>
    <n v="0"/>
    <n v="0"/>
    <m/>
    <m/>
    <m/>
    <m/>
    <m/>
    <m/>
    <m/>
    <m/>
    <m/>
    <m/>
    <m/>
    <m/>
    <m/>
    <m/>
    <m/>
    <m/>
    <m/>
    <m/>
    <m/>
    <m/>
    <m/>
    <m/>
    <m/>
    <m/>
    <m/>
    <m/>
    <m/>
    <m/>
    <m/>
    <m/>
    <m/>
    <m/>
    <m/>
    <m/>
    <m/>
    <m/>
    <m/>
    <m/>
    <m/>
    <m/>
    <m/>
    <m/>
    <m/>
    <m/>
    <m/>
    <m/>
    <m/>
    <m/>
    <m/>
  </r>
  <r>
    <n v="742"/>
    <d v="2025-04-21T00:00:00"/>
    <s v="ZBTO"/>
    <n v="9518708445"/>
    <n v="7"/>
    <s v="9518708445-7"/>
    <s v="May'25"/>
    <x v="0"/>
    <m/>
    <x v="1"/>
    <x v="15"/>
    <s v="3000-IPPE"/>
    <m/>
    <x v="1"/>
    <m/>
    <m/>
    <m/>
    <m/>
    <s v="YESHWANTHPURA"/>
    <m/>
    <n v="157491"/>
    <x v="0"/>
    <n v="2420522"/>
    <s v="CRCA COIL TATXXD AH03 1.500X1250"/>
    <m/>
    <m/>
    <m/>
    <m/>
    <m/>
    <s v="C01"/>
    <s v="TATXXD"/>
    <s v="AH03"/>
    <n v="1.5"/>
    <n v="1250"/>
    <n v="0"/>
    <n v="145"/>
    <n v="0"/>
    <n v="145"/>
    <n v="145"/>
    <n v="13.099999999999994"/>
    <n v="145"/>
    <n v="0"/>
    <n v="0"/>
    <n v="28.73"/>
    <n v="0"/>
    <n v="0"/>
    <n v="0"/>
    <n v="0"/>
    <n v="0"/>
    <n v="0"/>
    <n v="0"/>
    <n v="0"/>
    <n v="0"/>
    <n v="103.17"/>
    <n v="0"/>
    <n v="0"/>
    <n v="0"/>
    <n v="0"/>
    <n v="0"/>
    <n v="0"/>
    <n v="131.9"/>
    <n v="131.9"/>
    <n v="0"/>
    <n v="131.9"/>
    <m/>
    <m/>
    <m/>
    <m/>
    <m/>
    <m/>
    <m/>
    <m/>
    <m/>
    <m/>
    <m/>
    <m/>
    <m/>
    <m/>
    <m/>
    <m/>
    <m/>
    <m/>
    <m/>
    <m/>
    <m/>
    <m/>
    <m/>
    <m/>
    <m/>
    <m/>
    <m/>
    <m/>
    <m/>
    <m/>
    <m/>
    <m/>
    <m/>
    <m/>
    <m/>
    <m/>
    <m/>
    <m/>
    <m/>
    <m/>
    <m/>
    <m/>
    <m/>
    <m/>
    <m/>
    <m/>
    <m/>
    <m/>
    <m/>
  </r>
  <r>
    <n v="742"/>
    <d v="2025-04-21T00:00:00"/>
    <s v="ZBTF"/>
    <n v="9518709004"/>
    <n v="1"/>
    <s v="9518709004-1"/>
    <s v="May'25"/>
    <x v="0"/>
    <m/>
    <x v="1"/>
    <x v="7"/>
    <s v="1000-IPPE"/>
    <m/>
    <x v="1"/>
    <m/>
    <s v="Tempel Precisions"/>
    <m/>
    <m/>
    <s v="WEST BENGAL"/>
    <m/>
    <n v="600250"/>
    <x v="63"/>
    <n v="3659268"/>
    <s v="CR COIL TSBSTA EL03 0.500X1217"/>
    <m/>
    <m/>
    <m/>
    <m/>
    <m/>
    <s v="C01"/>
    <s v="TSBSTA"/>
    <s v="EL03"/>
    <n v="0.5"/>
    <n v="1217"/>
    <n v="0"/>
    <n v="168"/>
    <n v="0"/>
    <n v="168"/>
    <n v="168"/>
    <n v="168"/>
    <n v="168"/>
    <n v="0"/>
    <n v="0"/>
    <n v="0"/>
    <n v="0"/>
    <n v="0"/>
    <n v="0"/>
    <n v="0"/>
    <n v="0"/>
    <n v="0"/>
    <n v="0"/>
    <n v="0"/>
    <n v="0"/>
    <n v="0"/>
    <n v="0"/>
    <n v="0"/>
    <n v="0"/>
    <n v="0"/>
    <n v="0"/>
    <n v="0"/>
    <n v="0"/>
    <m/>
    <m/>
    <m/>
    <m/>
    <m/>
    <m/>
    <m/>
    <m/>
    <m/>
    <m/>
    <m/>
    <m/>
    <m/>
    <m/>
    <m/>
    <m/>
    <m/>
    <m/>
    <m/>
    <m/>
    <m/>
    <m/>
    <m/>
    <m/>
    <m/>
    <m/>
    <m/>
    <m/>
    <m/>
    <m/>
    <m/>
    <m/>
    <m/>
    <m/>
    <m/>
    <m/>
    <m/>
    <m/>
    <m/>
    <m/>
    <m/>
    <m/>
    <m/>
    <m/>
    <m/>
    <m/>
    <m/>
    <m/>
    <m/>
    <m/>
    <m/>
    <m/>
  </r>
  <r>
    <n v="742"/>
    <d v="2025-04-21T00:00:00"/>
    <s v="ZBTF"/>
    <n v="9518709004"/>
    <n v="2"/>
    <s v="9518709004-2"/>
    <s v="May'25"/>
    <x v="0"/>
    <m/>
    <x v="1"/>
    <x v="7"/>
    <s v="1000-IPPE"/>
    <m/>
    <x v="1"/>
    <m/>
    <s v="Tempel Precisions"/>
    <m/>
    <m/>
    <s v="WEST BENGAL"/>
    <m/>
    <n v="600250"/>
    <x v="63"/>
    <n v="3704262"/>
    <s v="CR COIL TSBSTA EL03 1X1250"/>
    <m/>
    <m/>
    <m/>
    <m/>
    <m/>
    <s v="C01"/>
    <s v="TSBSTA"/>
    <s v="EL03"/>
    <n v="1"/>
    <n v="1250"/>
    <n v="0"/>
    <n v="58"/>
    <n v="0"/>
    <n v="58"/>
    <n v="58"/>
    <n v="58"/>
    <n v="58"/>
    <n v="0"/>
    <n v="0"/>
    <n v="0"/>
    <n v="0"/>
    <n v="0"/>
    <n v="0"/>
    <n v="0"/>
    <n v="0"/>
    <n v="0"/>
    <n v="0"/>
    <n v="0"/>
    <n v="0"/>
    <n v="0"/>
    <n v="0"/>
    <n v="0"/>
    <n v="0"/>
    <n v="0"/>
    <n v="0"/>
    <n v="0"/>
    <n v="0"/>
    <m/>
    <m/>
    <m/>
    <m/>
    <m/>
    <m/>
    <m/>
    <m/>
    <m/>
    <m/>
    <m/>
    <m/>
    <m/>
    <m/>
    <m/>
    <m/>
    <m/>
    <m/>
    <m/>
    <m/>
    <m/>
    <m/>
    <m/>
    <m/>
    <m/>
    <m/>
    <m/>
    <m/>
    <m/>
    <m/>
    <m/>
    <m/>
    <m/>
    <m/>
    <m/>
    <m/>
    <m/>
    <m/>
    <m/>
    <m/>
    <m/>
    <m/>
    <m/>
    <m/>
    <m/>
    <m/>
    <m/>
    <m/>
    <m/>
    <m/>
    <m/>
    <m/>
  </r>
  <r>
    <n v="743"/>
    <d v="2025-04-23T00:00:00"/>
    <s v="ZBTO"/>
    <n v="9518715051"/>
    <n v="2"/>
    <s v="9518715051-2"/>
    <s v="May'25"/>
    <x v="0"/>
    <m/>
    <x v="3"/>
    <x v="14"/>
    <n v="2000"/>
    <m/>
    <x v="1"/>
    <m/>
    <m/>
    <s v="Assam"/>
    <m/>
    <m/>
    <m/>
    <n v="116649"/>
    <x v="24"/>
    <n v="1300229"/>
    <s v="GP COIL SOFT-TATXGP-GLK1-0.4X1220"/>
    <s v=""/>
    <s v=""/>
    <m/>
    <m/>
    <m/>
    <s v="C02"/>
    <s v="TATXGP"/>
    <s v="GLK1"/>
    <n v="0.4"/>
    <n v="1220"/>
    <n v="0"/>
    <n v="84"/>
    <n v="0"/>
    <n v="84"/>
    <n v="84"/>
    <n v="84"/>
    <n v="84"/>
    <n v="0"/>
    <n v="0"/>
    <n v="0"/>
    <n v="0"/>
    <n v="0"/>
    <n v="0"/>
    <n v="0"/>
    <n v="0"/>
    <n v="0"/>
    <n v="0"/>
    <n v="0"/>
    <n v="0"/>
    <n v="0"/>
    <n v="0"/>
    <n v="0"/>
    <n v="0"/>
    <n v="0"/>
    <n v="0"/>
    <n v="0"/>
    <n v="0"/>
    <m/>
    <m/>
    <m/>
    <m/>
    <m/>
    <m/>
    <m/>
    <m/>
    <m/>
    <m/>
    <m/>
    <m/>
    <m/>
    <m/>
    <m/>
    <m/>
    <m/>
    <m/>
    <m/>
    <m/>
    <m/>
    <m/>
    <m/>
    <m/>
    <m/>
    <m/>
    <m/>
    <m/>
    <m/>
    <m/>
    <m/>
    <m/>
    <m/>
    <m/>
    <m/>
    <m/>
    <m/>
    <m/>
    <m/>
    <m/>
    <m/>
    <m/>
    <m/>
    <m/>
    <m/>
    <m/>
    <m/>
    <m/>
    <m/>
    <m/>
    <m/>
    <m/>
  </r>
  <r>
    <n v="743"/>
    <d v="2025-04-23T00:00:00"/>
    <s v="ZBTO"/>
    <n v="9518715051"/>
    <n v="3"/>
    <s v="9518715051-3"/>
    <s v="May'25"/>
    <x v="0"/>
    <m/>
    <x v="3"/>
    <x v="14"/>
    <n v="2000"/>
    <m/>
    <x v="1"/>
    <m/>
    <m/>
    <s v="Assam"/>
    <m/>
    <m/>
    <m/>
    <n v="116649"/>
    <x v="24"/>
    <n v="2233645"/>
    <s v="GP COIL SOFT TATXGP GLK1 0.35X1220"/>
    <s v=""/>
    <s v=""/>
    <m/>
    <m/>
    <m/>
    <s v="C02"/>
    <s v="TATXGP"/>
    <s v="GLK1"/>
    <n v="0.35"/>
    <n v="1220"/>
    <n v="0"/>
    <n v="84"/>
    <n v="0"/>
    <n v="84"/>
    <n v="84"/>
    <n v="84"/>
    <n v="84"/>
    <n v="0"/>
    <n v="0"/>
    <n v="0"/>
    <n v="0"/>
    <n v="0"/>
    <n v="0"/>
    <n v="0"/>
    <n v="0"/>
    <n v="0"/>
    <n v="0"/>
    <n v="0"/>
    <n v="0"/>
    <n v="0"/>
    <n v="0"/>
    <n v="0"/>
    <n v="0"/>
    <n v="0"/>
    <n v="0"/>
    <n v="0"/>
    <n v="0"/>
    <m/>
    <m/>
    <m/>
    <m/>
    <m/>
    <m/>
    <m/>
    <m/>
    <m/>
    <m/>
    <m/>
    <m/>
    <m/>
    <m/>
    <m/>
    <m/>
    <m/>
    <m/>
    <m/>
    <m/>
    <m/>
    <m/>
    <m/>
    <m/>
    <m/>
    <m/>
    <m/>
    <m/>
    <m/>
    <m/>
    <m/>
    <m/>
    <m/>
    <m/>
    <m/>
    <m/>
    <m/>
    <m/>
    <m/>
    <m/>
    <m/>
    <m/>
    <m/>
    <m/>
    <m/>
    <m/>
    <m/>
    <m/>
    <m/>
    <m/>
    <m/>
    <m/>
  </r>
  <r>
    <n v="743"/>
    <d v="2025-04-22T00:00:00"/>
    <s v="ZBTO"/>
    <n v="9518710703"/>
    <n v="2"/>
    <s v="9518710703-2"/>
    <s v="May'25"/>
    <x v="0"/>
    <m/>
    <x v="4"/>
    <x v="3"/>
    <n v="1000"/>
    <m/>
    <x v="1"/>
    <m/>
    <m/>
    <s v="Rajasthan"/>
    <m/>
    <m/>
    <m/>
    <n v="942293"/>
    <x v="39"/>
    <n v="3946364"/>
    <s v="GL COIL HARD Y550GL M308 0.50 (TCT)X1220"/>
    <n v="150"/>
    <s v=""/>
    <m/>
    <m/>
    <m/>
    <s v="B04"/>
    <s v="Y550GL"/>
    <s v="M308"/>
    <n v="0.5"/>
    <n v="1220"/>
    <n v="0"/>
    <n v="84"/>
    <n v="0"/>
    <n v="84"/>
    <n v="84"/>
    <n v="84"/>
    <n v="84"/>
    <n v="0"/>
    <n v="0"/>
    <n v="0"/>
    <n v="0"/>
    <n v="0"/>
    <n v="0"/>
    <n v="0"/>
    <n v="0"/>
    <n v="0"/>
    <n v="0"/>
    <n v="0"/>
    <n v="0"/>
    <n v="0"/>
    <n v="0"/>
    <n v="0"/>
    <n v="0"/>
    <n v="0"/>
    <n v="0"/>
    <n v="0"/>
    <n v="0"/>
    <m/>
    <m/>
    <m/>
    <m/>
    <m/>
    <m/>
    <m/>
    <m/>
    <m/>
    <m/>
    <m/>
    <m/>
    <m/>
    <m/>
    <m/>
    <m/>
    <m/>
    <m/>
    <m/>
    <m/>
    <m/>
    <m/>
    <m/>
    <m/>
    <m/>
    <m/>
    <m/>
    <m/>
    <m/>
    <m/>
    <m/>
    <m/>
    <m/>
    <m/>
    <m/>
    <m/>
    <m/>
    <m/>
    <m/>
    <m/>
    <m/>
    <m/>
    <m/>
    <m/>
    <m/>
    <m/>
    <m/>
    <m/>
    <m/>
    <m/>
    <m/>
    <m/>
  </r>
  <r>
    <n v="744"/>
    <d v="2025-04-22T00:00:00"/>
    <s v="ZBTO"/>
    <n v="9518711554"/>
    <n v="1"/>
    <s v="9518711554-1"/>
    <s v="May'25"/>
    <x v="0"/>
    <m/>
    <x v="2"/>
    <x v="3"/>
    <n v="1000"/>
    <m/>
    <x v="1"/>
    <m/>
    <m/>
    <s v="Tamil Nadu"/>
    <m/>
    <m/>
    <m/>
    <n v="940074"/>
    <x v="39"/>
    <n v="3522241"/>
    <s v="PPGL C Y550 D0C7 0.43BMT(0.47TPT)X1220"/>
    <n v="70"/>
    <s v="NG SMART GREY TSL 1905"/>
    <m/>
    <m/>
    <m/>
    <s v="B18"/>
    <s v="Y550PL"/>
    <s v="D0C7"/>
    <n v="0.43"/>
    <n v="1220"/>
    <n v="0"/>
    <n v="140"/>
    <n v="0"/>
    <n v="140"/>
    <n v="140"/>
    <n v="140"/>
    <n v="140"/>
    <n v="0"/>
    <n v="0"/>
    <n v="0"/>
    <n v="0"/>
    <n v="0"/>
    <n v="0"/>
    <n v="0"/>
    <n v="0"/>
    <n v="0"/>
    <n v="0"/>
    <n v="0"/>
    <n v="0"/>
    <n v="0"/>
    <n v="0"/>
    <n v="0"/>
    <n v="0"/>
    <n v="0"/>
    <n v="0"/>
    <n v="0"/>
    <n v="0"/>
    <m/>
    <m/>
    <m/>
    <m/>
    <m/>
    <m/>
    <m/>
    <m/>
    <m/>
    <m/>
    <m/>
    <m/>
    <m/>
    <m/>
    <m/>
    <m/>
    <m/>
    <m/>
    <m/>
    <m/>
    <m/>
    <m/>
    <m/>
    <m/>
    <m/>
    <m/>
    <m/>
    <m/>
    <m/>
    <m/>
    <m/>
    <m/>
    <m/>
    <m/>
    <m/>
    <m/>
    <m/>
    <m/>
    <m/>
    <m/>
    <m/>
    <m/>
    <m/>
    <m/>
    <m/>
    <m/>
    <m/>
    <m/>
    <m/>
    <m/>
    <m/>
    <m/>
  </r>
  <r>
    <n v="743"/>
    <d v="2025-04-22T00:00:00"/>
    <s v="ZBTO"/>
    <n v="9518712210"/>
    <n v="1"/>
    <s v="9518712210-1"/>
    <s v="May'25"/>
    <x v="0"/>
    <m/>
    <x v="4"/>
    <x v="3"/>
    <n v="1000"/>
    <m/>
    <x v="1"/>
    <m/>
    <m/>
    <s v="Jharkhand"/>
    <m/>
    <m/>
    <m/>
    <n v="942283"/>
    <x v="39"/>
    <n v="3239573"/>
    <s v="GL C YS550 H6GL 0.42BMT(0.47TCT)X1220"/>
    <n v="150"/>
    <s v=""/>
    <m/>
    <m/>
    <m/>
    <s v="B04"/>
    <s v="Y550GL"/>
    <s v="H6GL"/>
    <n v="0.42"/>
    <n v="1220"/>
    <n v="0"/>
    <n v="196"/>
    <n v="0"/>
    <n v="196"/>
    <n v="196"/>
    <n v="196"/>
    <n v="196"/>
    <n v="0"/>
    <n v="0"/>
    <n v="0"/>
    <n v="0"/>
    <n v="0"/>
    <n v="0"/>
    <n v="0"/>
    <n v="0"/>
    <n v="0"/>
    <n v="0"/>
    <n v="0"/>
    <n v="0"/>
    <n v="0"/>
    <n v="0"/>
    <n v="0"/>
    <n v="0"/>
    <n v="0"/>
    <n v="0"/>
    <n v="0"/>
    <n v="0"/>
    <m/>
    <m/>
    <m/>
    <m/>
    <m/>
    <m/>
    <m/>
    <m/>
    <m/>
    <m/>
    <m/>
    <m/>
    <m/>
    <m/>
    <m/>
    <m/>
    <m/>
    <m/>
    <m/>
    <m/>
    <m/>
    <m/>
    <m/>
    <m/>
    <m/>
    <m/>
    <m/>
    <m/>
    <m/>
    <m/>
    <m/>
    <m/>
    <m/>
    <m/>
    <m/>
    <m/>
    <m/>
    <m/>
    <m/>
    <m/>
    <m/>
    <m/>
    <m/>
    <m/>
    <m/>
    <m/>
    <m/>
    <m/>
    <m/>
    <m/>
    <m/>
    <m/>
  </r>
  <r>
    <n v="743"/>
    <d v="2025-04-22T00:00:00"/>
    <s v="ZBTO"/>
    <n v="9518712210"/>
    <n v="3"/>
    <s v="9518712210-3"/>
    <s v="May'25"/>
    <x v="0"/>
    <m/>
    <x v="4"/>
    <x v="3"/>
    <n v="1000"/>
    <m/>
    <x v="1"/>
    <m/>
    <m/>
    <s v="Jharkhand"/>
    <m/>
    <m/>
    <m/>
    <n v="942283"/>
    <x v="39"/>
    <n v="3239573"/>
    <s v="GL C YS550 H6GL 0.42BMT(0.47TCT)X1220"/>
    <n v="150"/>
    <s v=""/>
    <m/>
    <m/>
    <m/>
    <s v="B04"/>
    <s v="Y550GL"/>
    <s v="H6GL"/>
    <n v="0.42"/>
    <n v="1220"/>
    <n v="0"/>
    <n v="280"/>
    <n v="0"/>
    <n v="280"/>
    <n v="280"/>
    <n v="280"/>
    <n v="280"/>
    <n v="0"/>
    <n v="0"/>
    <n v="0"/>
    <n v="0"/>
    <n v="0"/>
    <n v="0"/>
    <n v="0"/>
    <n v="0"/>
    <n v="0"/>
    <n v="0"/>
    <n v="0"/>
    <n v="0"/>
    <n v="0"/>
    <n v="0"/>
    <n v="0"/>
    <n v="0"/>
    <n v="0"/>
    <n v="0"/>
    <n v="0"/>
    <n v="0"/>
    <m/>
    <m/>
    <m/>
    <m/>
    <m/>
    <m/>
    <m/>
    <m/>
    <m/>
    <m/>
    <m/>
    <m/>
    <m/>
    <m/>
    <m/>
    <m/>
    <m/>
    <m/>
    <m/>
    <m/>
    <m/>
    <m/>
    <m/>
    <m/>
    <m/>
    <m/>
    <m/>
    <m/>
    <m/>
    <m/>
    <m/>
    <m/>
    <m/>
    <m/>
    <m/>
    <m/>
    <m/>
    <m/>
    <m/>
    <m/>
    <m/>
    <m/>
    <m/>
    <m/>
    <m/>
    <m/>
    <m/>
    <m/>
    <m/>
    <m/>
    <m/>
    <m/>
  </r>
  <r>
    <n v="743"/>
    <d v="2025-04-22T00:00:00"/>
    <s v="ZBTO"/>
    <n v="9518712210"/>
    <n v="6"/>
    <s v="9518712210-6"/>
    <s v="May'25"/>
    <x v="0"/>
    <m/>
    <x v="4"/>
    <x v="3"/>
    <n v="1000"/>
    <m/>
    <x v="1"/>
    <m/>
    <m/>
    <s v="Jharkhand"/>
    <m/>
    <m/>
    <m/>
    <n v="942283"/>
    <x v="39"/>
    <n v="3239573"/>
    <s v="GL C YS550 H6GL 0.42BMT(0.47TCT)X1220"/>
    <n v="150"/>
    <s v=""/>
    <m/>
    <m/>
    <m/>
    <s v="B04"/>
    <s v="Y550GL"/>
    <s v="H6GL"/>
    <n v="0.42"/>
    <n v="1220"/>
    <n v="0"/>
    <n v="140"/>
    <n v="0"/>
    <n v="140"/>
    <n v="140"/>
    <n v="140"/>
    <n v="140"/>
    <n v="0"/>
    <n v="0"/>
    <n v="0"/>
    <n v="0"/>
    <n v="0"/>
    <n v="0"/>
    <n v="0"/>
    <n v="0"/>
    <n v="0"/>
    <n v="0"/>
    <n v="0"/>
    <n v="0"/>
    <n v="0"/>
    <n v="0"/>
    <n v="0"/>
    <n v="0"/>
    <n v="0"/>
    <n v="0"/>
    <n v="0"/>
    <n v="0"/>
    <m/>
    <m/>
    <m/>
    <m/>
    <m/>
    <m/>
    <m/>
    <m/>
    <m/>
    <m/>
    <m/>
    <m/>
    <m/>
    <m/>
    <m/>
    <m/>
    <m/>
    <m/>
    <m/>
    <m/>
    <m/>
    <m/>
    <m/>
    <m/>
    <m/>
    <m/>
    <m/>
    <m/>
    <m/>
    <m/>
    <m/>
    <m/>
    <m/>
    <m/>
    <m/>
    <m/>
    <m/>
    <m/>
    <m/>
    <m/>
    <m/>
    <m/>
    <m/>
    <m/>
    <m/>
    <m/>
    <m/>
    <m/>
    <m/>
    <m/>
    <m/>
    <m/>
  </r>
  <r>
    <n v="744"/>
    <d v="2025-04-23T00:00:00"/>
    <s v="ZBTO"/>
    <n v="9518714453"/>
    <n v="9"/>
    <s v="9518714453-9"/>
    <s v="May'25"/>
    <x v="0"/>
    <m/>
    <x v="2"/>
    <x v="3"/>
    <n v="1000"/>
    <m/>
    <x v="1"/>
    <m/>
    <m/>
    <s v="Jharkhand"/>
    <m/>
    <m/>
    <m/>
    <n v="941597"/>
    <x v="39"/>
    <n v="3974226"/>
    <s v="PPGL C HARD Y550PL D0C9 0.80(TPT)X1220"/>
    <n v="150"/>
    <s v="LIGHT BLUE TSL 1802"/>
    <m/>
    <m/>
    <m/>
    <s v="B18"/>
    <s v="Y550PL"/>
    <s v="D0C9"/>
    <n v="0.8"/>
    <n v="1220"/>
    <n v="0"/>
    <n v="112"/>
    <n v="0"/>
    <n v="112"/>
    <n v="112"/>
    <n v="112"/>
    <n v="112"/>
    <n v="0"/>
    <n v="0"/>
    <n v="0"/>
    <n v="0"/>
    <n v="0"/>
    <n v="0"/>
    <n v="0"/>
    <n v="0"/>
    <n v="0"/>
    <n v="0"/>
    <n v="0"/>
    <n v="0"/>
    <n v="0"/>
    <n v="0"/>
    <n v="0"/>
    <n v="0"/>
    <n v="0"/>
    <n v="0"/>
    <n v="0"/>
    <n v="0"/>
    <m/>
    <m/>
    <m/>
    <m/>
    <m/>
    <m/>
    <m/>
    <m/>
    <m/>
    <m/>
    <m/>
    <m/>
    <m/>
    <m/>
    <m/>
    <m/>
    <m/>
    <m/>
    <m/>
    <m/>
    <m/>
    <m/>
    <m/>
    <m/>
    <m/>
    <m/>
    <m/>
    <m/>
    <m/>
    <m/>
    <m/>
    <m/>
    <m/>
    <m/>
    <m/>
    <m/>
    <m/>
    <m/>
    <m/>
    <m/>
    <m/>
    <m/>
    <m/>
    <m/>
    <m/>
    <m/>
    <m/>
    <m/>
    <m/>
    <m/>
    <m/>
    <m/>
  </r>
  <r>
    <n v="743"/>
    <d v="2025-04-23T00:00:00"/>
    <s v="ZBTO"/>
    <n v="9518715386"/>
    <n v="2"/>
    <s v="9518715386-2"/>
    <s v="May'25"/>
    <x v="0"/>
    <m/>
    <x v="4"/>
    <x v="3"/>
    <n v="1000"/>
    <m/>
    <x v="1"/>
    <m/>
    <m/>
    <s v="Jharkhand"/>
    <m/>
    <m/>
    <m/>
    <n v="942284"/>
    <x v="39"/>
    <n v="3931932"/>
    <s v="GL C YS550 M306 0.35BMT(0.37TCT)X900"/>
    <n v="70"/>
    <s v=""/>
    <m/>
    <m/>
    <m/>
    <s v="B04"/>
    <s v="Y550GL"/>
    <s v="M306"/>
    <n v="0.35"/>
    <n v="900"/>
    <n v="0"/>
    <n v="21"/>
    <n v="0"/>
    <n v="21"/>
    <n v="21"/>
    <n v="21"/>
    <n v="21"/>
    <n v="0"/>
    <n v="0"/>
    <n v="0"/>
    <n v="0"/>
    <n v="0"/>
    <n v="0"/>
    <n v="0"/>
    <n v="0"/>
    <n v="0"/>
    <n v="0"/>
    <n v="0"/>
    <n v="0"/>
    <n v="0"/>
    <n v="0"/>
    <n v="0"/>
    <n v="0"/>
    <n v="0"/>
    <n v="0"/>
    <n v="0"/>
    <n v="0"/>
    <m/>
    <m/>
    <m/>
    <m/>
    <m/>
    <m/>
    <m/>
    <m/>
    <m/>
    <m/>
    <m/>
    <m/>
    <m/>
    <m/>
    <m/>
    <m/>
    <m/>
    <m/>
    <m/>
    <m/>
    <m/>
    <m/>
    <m/>
    <m/>
    <m/>
    <m/>
    <m/>
    <m/>
    <m/>
    <m/>
    <m/>
    <m/>
    <m/>
    <m/>
    <m/>
    <m/>
    <m/>
    <m/>
    <m/>
    <m/>
    <m/>
    <m/>
    <m/>
    <m/>
    <m/>
    <m/>
    <m/>
    <m/>
    <m/>
    <m/>
    <m/>
    <m/>
  </r>
  <r>
    <n v="743"/>
    <d v="2025-04-23T00:00:00"/>
    <s v="ZBTO"/>
    <n v="9518715401"/>
    <n v="2"/>
    <s v="9518715401-2"/>
    <s v="May'25"/>
    <x v="0"/>
    <m/>
    <x v="4"/>
    <x v="3"/>
    <n v="1000"/>
    <m/>
    <x v="1"/>
    <m/>
    <m/>
    <s v="Jharkhand"/>
    <m/>
    <m/>
    <m/>
    <n v="942284"/>
    <x v="39"/>
    <n v="3946364"/>
    <s v="GL COIL HARD Y550GL M308 0.50 (TCT)X1220"/>
    <n v="150"/>
    <s v=""/>
    <m/>
    <m/>
    <m/>
    <s v="B04"/>
    <s v="Y550GL"/>
    <s v="M308"/>
    <n v="0.5"/>
    <n v="1220"/>
    <n v="0"/>
    <n v="84"/>
    <n v="0"/>
    <n v="84"/>
    <n v="84"/>
    <n v="84"/>
    <n v="84"/>
    <n v="0"/>
    <n v="0"/>
    <n v="0"/>
    <n v="0"/>
    <n v="0"/>
    <n v="0"/>
    <n v="0"/>
    <n v="0"/>
    <n v="0"/>
    <n v="0"/>
    <n v="0"/>
    <n v="0"/>
    <n v="0"/>
    <n v="0"/>
    <n v="0"/>
    <n v="0"/>
    <n v="0"/>
    <n v="0"/>
    <n v="0"/>
    <n v="0"/>
    <m/>
    <m/>
    <m/>
    <m/>
    <m/>
    <m/>
    <m/>
    <m/>
    <m/>
    <m/>
    <m/>
    <m/>
    <m/>
    <m/>
    <m/>
    <m/>
    <m/>
    <m/>
    <m/>
    <m/>
    <m/>
    <m/>
    <m/>
    <m/>
    <m/>
    <m/>
    <m/>
    <m/>
    <m/>
    <m/>
    <m/>
    <m/>
    <m/>
    <m/>
    <m/>
    <m/>
    <m/>
    <m/>
    <m/>
    <m/>
    <m/>
    <m/>
    <m/>
    <m/>
    <m/>
    <m/>
    <m/>
    <m/>
    <m/>
    <m/>
    <m/>
    <m/>
  </r>
  <r>
    <n v="743"/>
    <d v="2025-04-23T00:00:00"/>
    <s v="ZBTO"/>
    <n v="9518715401"/>
    <n v="3"/>
    <s v="9518715401-3"/>
    <s v="May'25"/>
    <x v="0"/>
    <m/>
    <x v="4"/>
    <x v="3"/>
    <n v="1000"/>
    <m/>
    <x v="1"/>
    <m/>
    <m/>
    <s v="Jharkhand"/>
    <m/>
    <m/>
    <m/>
    <n v="942284"/>
    <x v="39"/>
    <n v="3946362"/>
    <s v="GL COIL HARD Y550GL M308 0.47 (TCT)X1220"/>
    <n v="150"/>
    <s v=""/>
    <m/>
    <m/>
    <m/>
    <s v="B04"/>
    <s v="Y550GL"/>
    <s v="M308"/>
    <n v="0.47"/>
    <n v="1220"/>
    <n v="0"/>
    <n v="224"/>
    <n v="0"/>
    <n v="224"/>
    <n v="224"/>
    <n v="224"/>
    <n v="224"/>
    <n v="0"/>
    <n v="0"/>
    <n v="0"/>
    <n v="0"/>
    <n v="0"/>
    <n v="0"/>
    <n v="0"/>
    <n v="0"/>
    <n v="0"/>
    <n v="0"/>
    <n v="0"/>
    <n v="0"/>
    <n v="0"/>
    <n v="0"/>
    <n v="0"/>
    <n v="0"/>
    <n v="0"/>
    <n v="0"/>
    <n v="0"/>
    <n v="0"/>
    <m/>
    <m/>
    <m/>
    <m/>
    <m/>
    <m/>
    <m/>
    <m/>
    <m/>
    <m/>
    <m/>
    <m/>
    <m/>
    <m/>
    <m/>
    <m/>
    <m/>
    <m/>
    <m/>
    <m/>
    <m/>
    <m/>
    <m/>
    <m/>
    <m/>
    <m/>
    <m/>
    <m/>
    <m/>
    <m/>
    <m/>
    <m/>
    <m/>
    <m/>
    <m/>
    <m/>
    <m/>
    <m/>
    <m/>
    <m/>
    <m/>
    <m/>
    <m/>
    <m/>
    <m/>
    <m/>
    <m/>
    <m/>
    <m/>
    <m/>
    <m/>
    <m/>
  </r>
  <r>
    <n v="743"/>
    <d v="2025-04-23T00:00:00"/>
    <s v="ZBTO"/>
    <n v="9518715401"/>
    <n v="4"/>
    <s v="9518715401-4"/>
    <s v="May'25"/>
    <x v="0"/>
    <m/>
    <x v="4"/>
    <x v="3"/>
    <n v="1000"/>
    <m/>
    <x v="1"/>
    <m/>
    <m/>
    <s v="Jharkhand"/>
    <m/>
    <m/>
    <m/>
    <n v="942284"/>
    <x v="39"/>
    <n v="3946364"/>
    <s v="GL COIL HARD Y550GL M308 0.50 (TCT)X1220"/>
    <n v="150"/>
    <s v=""/>
    <m/>
    <m/>
    <m/>
    <s v="B04"/>
    <s v="Y550GL"/>
    <s v="M308"/>
    <n v="0.5"/>
    <n v="1220"/>
    <n v="0"/>
    <n v="84"/>
    <n v="0"/>
    <n v="84"/>
    <n v="84"/>
    <n v="84"/>
    <n v="84"/>
    <n v="0"/>
    <n v="0"/>
    <n v="0"/>
    <n v="0"/>
    <n v="0"/>
    <n v="0"/>
    <n v="0"/>
    <n v="0"/>
    <n v="0"/>
    <n v="0"/>
    <n v="0"/>
    <n v="0"/>
    <n v="0"/>
    <n v="0"/>
    <n v="0"/>
    <n v="0"/>
    <n v="0"/>
    <n v="0"/>
    <n v="0"/>
    <n v="0"/>
    <m/>
    <m/>
    <m/>
    <m/>
    <m/>
    <m/>
    <m/>
    <m/>
    <m/>
    <m/>
    <m/>
    <m/>
    <m/>
    <m/>
    <m/>
    <m/>
    <m/>
    <m/>
    <m/>
    <m/>
    <m/>
    <m/>
    <m/>
    <m/>
    <m/>
    <m/>
    <m/>
    <m/>
    <m/>
    <m/>
    <m/>
    <m/>
    <m/>
    <m/>
    <m/>
    <m/>
    <m/>
    <m/>
    <m/>
    <m/>
    <m/>
    <m/>
    <m/>
    <m/>
    <m/>
    <m/>
    <m/>
    <m/>
    <m/>
    <m/>
    <m/>
    <m/>
  </r>
  <r>
    <n v="744"/>
    <d v="2025-04-23T00:00:00"/>
    <s v="ZBTO"/>
    <n v="9518715371"/>
    <n v="3"/>
    <s v="9518715371-3"/>
    <s v="May'25"/>
    <x v="0"/>
    <m/>
    <x v="2"/>
    <x v="3"/>
    <n v="1000"/>
    <m/>
    <x v="1"/>
    <m/>
    <m/>
    <s v="Jharkhand"/>
    <m/>
    <m/>
    <m/>
    <n v="940016"/>
    <x v="15"/>
    <n v="3522241"/>
    <s v="PPGL C Y550 D0C7 0.43BMT(0.47TPT)X1220"/>
    <n v="70"/>
    <s v="NUVO BLUE TSL 1903"/>
    <m/>
    <m/>
    <m/>
    <s v="B18"/>
    <s v="Y550PL"/>
    <s v="D0C7"/>
    <n v="0.43"/>
    <n v="1220"/>
    <n v="0"/>
    <n v="280"/>
    <n v="0"/>
    <n v="280"/>
    <n v="280"/>
    <n v="280"/>
    <n v="280"/>
    <n v="0"/>
    <n v="0"/>
    <n v="0"/>
    <n v="0"/>
    <n v="0"/>
    <n v="0"/>
    <n v="0"/>
    <n v="0"/>
    <n v="0"/>
    <n v="0"/>
    <n v="0"/>
    <n v="0"/>
    <n v="0"/>
    <n v="0"/>
    <n v="0"/>
    <n v="0"/>
    <n v="0"/>
    <n v="0"/>
    <n v="0"/>
    <n v="0"/>
    <m/>
    <m/>
    <m/>
    <m/>
    <m/>
    <m/>
    <m/>
    <m/>
    <m/>
    <m/>
    <m/>
    <m/>
    <m/>
    <m/>
    <m/>
    <m/>
    <m/>
    <m/>
    <m/>
    <m/>
    <m/>
    <m/>
    <m/>
    <m/>
    <m/>
    <m/>
    <m/>
    <m/>
    <m/>
    <m/>
    <m/>
    <m/>
    <m/>
    <m/>
    <m/>
    <m/>
    <m/>
    <m/>
    <m/>
    <m/>
    <m/>
    <m/>
    <m/>
    <m/>
    <m/>
    <m/>
    <m/>
    <m/>
    <m/>
    <m/>
    <m/>
    <m/>
  </r>
  <r>
    <n v="744"/>
    <d v="2025-04-23T00:00:00"/>
    <s v="ZBTO"/>
    <n v="9518715371"/>
    <n v="4"/>
    <s v="9518715371-4"/>
    <s v="May'25"/>
    <x v="0"/>
    <m/>
    <x v="2"/>
    <x v="3"/>
    <n v="1000"/>
    <m/>
    <x v="1"/>
    <m/>
    <m/>
    <s v="Jharkhand"/>
    <m/>
    <m/>
    <m/>
    <n v="940016"/>
    <x v="15"/>
    <n v="3522241"/>
    <s v="PPGL C Y550 D0C7 0.43BMT(0.47TPT)X1220"/>
    <n v="70"/>
    <s v="NUVO BLUE TSL 1903"/>
    <m/>
    <m/>
    <m/>
    <s v="B18"/>
    <s v="Y550PL"/>
    <s v="D0C7"/>
    <n v="0.43"/>
    <n v="1220"/>
    <n v="0"/>
    <n v="280"/>
    <n v="0"/>
    <n v="280"/>
    <n v="280"/>
    <n v="280"/>
    <n v="280"/>
    <n v="0"/>
    <n v="0"/>
    <n v="0"/>
    <n v="0"/>
    <n v="0"/>
    <n v="0"/>
    <n v="0"/>
    <n v="0"/>
    <n v="0"/>
    <n v="0"/>
    <n v="0"/>
    <n v="0"/>
    <n v="0"/>
    <n v="0"/>
    <n v="0"/>
    <n v="0"/>
    <n v="0"/>
    <n v="0"/>
    <n v="0"/>
    <n v="0"/>
    <m/>
    <m/>
    <m/>
    <m/>
    <m/>
    <m/>
    <m/>
    <m/>
    <m/>
    <m/>
    <m/>
    <m/>
    <m/>
    <m/>
    <m/>
    <m/>
    <m/>
    <m/>
    <m/>
    <m/>
    <m/>
    <m/>
    <m/>
    <m/>
    <m/>
    <m/>
    <m/>
    <m/>
    <m/>
    <m/>
    <m/>
    <m/>
    <m/>
    <m/>
    <m/>
    <m/>
    <m/>
    <m/>
    <m/>
    <m/>
    <m/>
    <m/>
    <m/>
    <m/>
    <m/>
    <m/>
    <m/>
    <m/>
    <m/>
    <m/>
    <m/>
    <m/>
  </r>
  <r>
    <n v="744"/>
    <d v="2025-04-23T00:00:00"/>
    <s v="ZBTO"/>
    <n v="9518715371"/>
    <n v="5"/>
    <s v="9518715371-5"/>
    <s v="May'25"/>
    <x v="0"/>
    <m/>
    <x v="2"/>
    <x v="3"/>
    <n v="1000"/>
    <m/>
    <x v="1"/>
    <m/>
    <m/>
    <s v="Jharkhand"/>
    <m/>
    <m/>
    <m/>
    <n v="940016"/>
    <x v="15"/>
    <n v="3522241"/>
    <s v="PPGL C Y550 D0C7 0.43BMT(0.47TPT)X1220"/>
    <n v="70"/>
    <s v="NUVO BLUE TSL 1903"/>
    <m/>
    <m/>
    <m/>
    <s v="B18"/>
    <s v="Y550PL"/>
    <s v="D0C7"/>
    <n v="0.43"/>
    <n v="1220"/>
    <n v="0"/>
    <n v="280"/>
    <n v="0"/>
    <n v="280"/>
    <n v="280"/>
    <n v="280"/>
    <n v="280"/>
    <n v="0"/>
    <n v="0"/>
    <n v="0"/>
    <n v="0"/>
    <n v="0"/>
    <n v="0"/>
    <n v="0"/>
    <n v="0"/>
    <n v="0"/>
    <n v="0"/>
    <n v="0"/>
    <n v="0"/>
    <n v="0"/>
    <n v="0"/>
    <n v="0"/>
    <n v="0"/>
    <n v="0"/>
    <n v="0"/>
    <n v="0"/>
    <n v="0"/>
    <m/>
    <m/>
    <m/>
    <m/>
    <m/>
    <m/>
    <m/>
    <m/>
    <m/>
    <m/>
    <m/>
    <m/>
    <m/>
    <m/>
    <m/>
    <m/>
    <m/>
    <m/>
    <m/>
    <m/>
    <m/>
    <m/>
    <m/>
    <m/>
    <m/>
    <m/>
    <m/>
    <m/>
    <m/>
    <m/>
    <m/>
    <m/>
    <m/>
    <m/>
    <m/>
    <m/>
    <m/>
    <m/>
    <m/>
    <m/>
    <m/>
    <m/>
    <m/>
    <m/>
    <m/>
    <m/>
    <m/>
    <m/>
    <m/>
    <m/>
    <m/>
    <m/>
  </r>
  <r>
    <n v="744"/>
    <d v="2025-04-23T00:00:00"/>
    <s v="ZBTO"/>
    <n v="9518715371"/>
    <n v="6"/>
    <s v="9518715371-6"/>
    <s v="May'25"/>
    <x v="0"/>
    <m/>
    <x v="2"/>
    <x v="3"/>
    <n v="1000"/>
    <m/>
    <x v="1"/>
    <m/>
    <m/>
    <s v="Jharkhand"/>
    <m/>
    <m/>
    <m/>
    <n v="940016"/>
    <x v="15"/>
    <n v="3522241"/>
    <s v="PPGL C Y550 D0C7 0.43BMT(0.47TPT)X1220"/>
    <n v="70"/>
    <s v="NG SMART GREY TSL 1905"/>
    <m/>
    <m/>
    <m/>
    <s v="B18"/>
    <s v="Y550PL"/>
    <s v="D0C7"/>
    <n v="0.43"/>
    <n v="1220"/>
    <n v="0"/>
    <n v="56"/>
    <n v="0"/>
    <n v="56"/>
    <n v="56"/>
    <n v="56"/>
    <n v="56"/>
    <n v="0"/>
    <n v="0"/>
    <n v="0"/>
    <n v="0"/>
    <n v="0"/>
    <n v="0"/>
    <n v="0"/>
    <n v="0"/>
    <n v="0"/>
    <n v="0"/>
    <n v="0"/>
    <n v="0"/>
    <n v="0"/>
    <n v="0"/>
    <n v="0"/>
    <n v="0"/>
    <n v="0"/>
    <n v="0"/>
    <n v="0"/>
    <n v="0"/>
    <m/>
    <m/>
    <m/>
    <m/>
    <m/>
    <m/>
    <m/>
    <m/>
    <m/>
    <m/>
    <m/>
    <m/>
    <m/>
    <m/>
    <m/>
    <m/>
    <m/>
    <m/>
    <m/>
    <m/>
    <m/>
    <m/>
    <m/>
    <m/>
    <m/>
    <m/>
    <m/>
    <m/>
    <m/>
    <m/>
    <m/>
    <m/>
    <m/>
    <m/>
    <m/>
    <m/>
    <m/>
    <m/>
    <m/>
    <m/>
    <m/>
    <m/>
    <m/>
    <m/>
    <m/>
    <m/>
    <m/>
    <m/>
    <m/>
    <m/>
    <m/>
    <m/>
  </r>
  <r>
    <n v="743"/>
    <d v="2025-04-23T00:00:00"/>
    <s v="ZBTO"/>
    <n v="9518714995"/>
    <n v="1"/>
    <s v="9518714995-1"/>
    <s v="May'25"/>
    <x v="0"/>
    <m/>
    <x v="4"/>
    <x v="13"/>
    <n v="1000"/>
    <m/>
    <x v="1"/>
    <m/>
    <m/>
    <s v="West Bengal"/>
    <m/>
    <m/>
    <m/>
    <n v="101122"/>
    <x v="58"/>
    <n v="3988091"/>
    <s v="GL COIL HARD  Y550GL H7GL 0.440X1240"/>
    <n v="70"/>
    <m/>
    <m/>
    <m/>
    <m/>
    <s v="B04"/>
    <s v="Y550GL"/>
    <s v="H7GL"/>
    <n v="0.44"/>
    <n v="1240"/>
    <n v="0"/>
    <n v="252"/>
    <n v="0"/>
    <n v="252"/>
    <n v="252"/>
    <n v="252"/>
    <n v="100.69"/>
    <n v="0"/>
    <n v="0"/>
    <n v="0"/>
    <n v="0"/>
    <n v="0"/>
    <n v="0"/>
    <n v="0"/>
    <n v="0"/>
    <n v="0"/>
    <n v="0"/>
    <n v="0"/>
    <n v="0"/>
    <n v="0"/>
    <n v="0"/>
    <n v="0"/>
    <n v="0"/>
    <n v="0"/>
    <n v="0"/>
    <n v="97.850000000000009"/>
    <n v="97.850000000000009"/>
    <m/>
    <m/>
    <m/>
    <m/>
    <m/>
    <m/>
    <m/>
    <m/>
    <m/>
    <m/>
    <m/>
    <m/>
    <m/>
    <m/>
    <m/>
    <m/>
    <m/>
    <m/>
    <m/>
    <m/>
    <m/>
    <m/>
    <m/>
    <m/>
    <m/>
    <m/>
    <m/>
    <m/>
    <m/>
    <m/>
    <m/>
    <m/>
    <m/>
    <m/>
    <m/>
    <m/>
    <m/>
    <m/>
    <m/>
    <m/>
    <m/>
    <m/>
    <m/>
    <m/>
    <m/>
    <m/>
    <m/>
    <m/>
    <m/>
    <m/>
    <m/>
    <m/>
  </r>
  <r>
    <n v="743"/>
    <d v="2025-04-23T00:00:00"/>
    <s v="ZBTO"/>
    <n v="9518714995"/>
    <n v="2"/>
    <s v="9518714995-2"/>
    <s v="May'25"/>
    <x v="0"/>
    <m/>
    <x v="4"/>
    <x v="13"/>
    <n v="1000"/>
    <m/>
    <x v="1"/>
    <m/>
    <m/>
    <s v="West Bengal"/>
    <m/>
    <m/>
    <m/>
    <n v="101122"/>
    <x v="58"/>
    <n v="3988091"/>
    <s v="GL COIL HARD  Y550GL H7GL 0.440X1240"/>
    <n v="70"/>
    <m/>
    <m/>
    <m/>
    <m/>
    <s v="B04"/>
    <s v="Y550GL"/>
    <s v="H7GL"/>
    <n v="0.44"/>
    <n v="1240"/>
    <n v="0"/>
    <n v="252"/>
    <n v="0"/>
    <n v="252"/>
    <n v="252"/>
    <n v="252"/>
    <n v="172.565"/>
    <n v="0"/>
    <n v="0"/>
    <n v="0"/>
    <n v="24.6"/>
    <n v="0"/>
    <n v="48.9"/>
    <n v="0"/>
    <n v="13.67"/>
    <n v="0"/>
    <n v="0"/>
    <n v="0"/>
    <n v="0"/>
    <n v="0"/>
    <n v="0"/>
    <n v="0"/>
    <n v="0"/>
    <n v="0"/>
    <n v="0"/>
    <n v="90.545000000000002"/>
    <n v="177.715"/>
    <m/>
    <m/>
    <m/>
    <m/>
    <m/>
    <m/>
    <m/>
    <m/>
    <m/>
    <m/>
    <m/>
    <m/>
    <m/>
    <m/>
    <m/>
    <m/>
    <m/>
    <m/>
    <m/>
    <m/>
    <m/>
    <m/>
    <m/>
    <m/>
    <m/>
    <m/>
    <m/>
    <m/>
    <m/>
    <m/>
    <m/>
    <m/>
    <m/>
    <m/>
    <m/>
    <m/>
    <m/>
    <m/>
    <m/>
    <m/>
    <m/>
    <m/>
    <m/>
    <m/>
    <m/>
    <m/>
    <m/>
    <m/>
    <m/>
    <m/>
    <m/>
    <m/>
  </r>
  <r>
    <n v="743"/>
    <d v="2025-04-23T00:00:00"/>
    <s v="ZBTO"/>
    <n v="9518714995"/>
    <n v="3"/>
    <s v="9518714995-3"/>
    <s v="May'25"/>
    <x v="0"/>
    <m/>
    <x v="4"/>
    <x v="13"/>
    <n v="1000"/>
    <n v="1400"/>
    <x v="1"/>
    <m/>
    <m/>
    <s v="West Bengal"/>
    <m/>
    <m/>
    <m/>
    <n v="101122"/>
    <x v="58"/>
    <n v="3988091"/>
    <s v="GL COIL HARD  Y550GL H7GL 0.440X1240"/>
    <n v="70"/>
    <m/>
    <m/>
    <m/>
    <m/>
    <s v="B04"/>
    <s v="Y550GL"/>
    <s v="H7GL"/>
    <n v="0.44"/>
    <n v="1240"/>
    <n v="0"/>
    <n v="252"/>
    <n v="0"/>
    <n v="252"/>
    <n v="252"/>
    <n v="252"/>
    <n v="252"/>
    <n v="0"/>
    <n v="0"/>
    <n v="28.81"/>
    <n v="28.68"/>
    <n v="0"/>
    <n v="0"/>
    <n v="0"/>
    <n v="6.0200000000000005"/>
    <n v="0"/>
    <n v="0"/>
    <n v="0"/>
    <n v="0"/>
    <n v="0"/>
    <n v="0"/>
    <n v="0"/>
    <n v="0"/>
    <n v="0"/>
    <n v="0"/>
    <n v="26.76"/>
    <n v="90.27"/>
    <m/>
    <m/>
    <m/>
    <m/>
    <m/>
    <m/>
    <m/>
    <m/>
    <m/>
    <m/>
    <m/>
    <m/>
    <m/>
    <m/>
    <m/>
    <m/>
    <m/>
    <m/>
    <m/>
    <m/>
    <m/>
    <m/>
    <m/>
    <m/>
    <m/>
    <m/>
    <m/>
    <m/>
    <m/>
    <m/>
    <m/>
    <m/>
    <m/>
    <m/>
    <m/>
    <m/>
    <m/>
    <m/>
    <m/>
    <m/>
    <m/>
    <m/>
    <m/>
    <m/>
    <m/>
    <m/>
    <m/>
    <m/>
    <m/>
    <m/>
    <m/>
    <m/>
  </r>
  <r>
    <n v="743"/>
    <d v="2025-04-23T00:00:00"/>
    <s v="ZBTO"/>
    <n v="9518714995"/>
    <n v="4"/>
    <s v="9518714995-4"/>
    <s v="May'25"/>
    <x v="0"/>
    <m/>
    <x v="4"/>
    <x v="13"/>
    <n v="1000"/>
    <m/>
    <x v="1"/>
    <m/>
    <m/>
    <s v="West Bengal"/>
    <m/>
    <m/>
    <m/>
    <n v="101122"/>
    <x v="58"/>
    <n v="3988091"/>
    <s v="GL COIL HARD  Y550GL H7GL 0.440X1240"/>
    <n v="70"/>
    <m/>
    <m/>
    <m/>
    <m/>
    <s v="B04"/>
    <s v="Y550GL"/>
    <s v="H7GL"/>
    <n v="0.44"/>
    <n v="1240"/>
    <n v="0"/>
    <n v="252"/>
    <n v="0"/>
    <n v="252"/>
    <n v="252"/>
    <n v="252"/>
    <n v="252"/>
    <n v="0"/>
    <n v="0"/>
    <n v="0"/>
    <n v="0"/>
    <n v="0"/>
    <n v="0"/>
    <n v="0"/>
    <n v="0"/>
    <n v="0"/>
    <n v="0"/>
    <n v="0"/>
    <n v="0"/>
    <n v="0"/>
    <n v="0"/>
    <n v="0"/>
    <n v="0"/>
    <n v="0"/>
    <n v="0"/>
    <n v="0"/>
    <n v="0"/>
    <m/>
    <m/>
    <m/>
    <m/>
    <m/>
    <m/>
    <m/>
    <m/>
    <m/>
    <m/>
    <m/>
    <m/>
    <m/>
    <m/>
    <m/>
    <m/>
    <m/>
    <m/>
    <m/>
    <m/>
    <m/>
    <m/>
    <m/>
    <m/>
    <m/>
    <m/>
    <m/>
    <m/>
    <m/>
    <m/>
    <m/>
    <m/>
    <m/>
    <m/>
    <m/>
    <m/>
    <m/>
    <m/>
    <m/>
    <m/>
    <m/>
    <m/>
    <m/>
    <m/>
    <m/>
    <m/>
    <m/>
    <m/>
    <m/>
    <m/>
    <m/>
    <m/>
  </r>
  <r>
    <n v="743"/>
    <d v="2025-04-23T00:00:00"/>
    <s v="ZBTO"/>
    <n v="9518714995"/>
    <n v="5"/>
    <s v="9518714995-5"/>
    <s v="May'25"/>
    <x v="0"/>
    <m/>
    <x v="4"/>
    <x v="13"/>
    <n v="1000"/>
    <m/>
    <x v="1"/>
    <m/>
    <m/>
    <s v="West Bengal"/>
    <m/>
    <m/>
    <m/>
    <n v="101122"/>
    <x v="58"/>
    <n v="3988091"/>
    <s v="GL COIL HARD  Y550GL H7GL 0.440X1240"/>
    <n v="70"/>
    <m/>
    <m/>
    <m/>
    <m/>
    <s v="B04"/>
    <s v="Y550GL"/>
    <s v="H7GL"/>
    <n v="0.44"/>
    <n v="1240"/>
    <n v="0"/>
    <n v="252"/>
    <n v="0"/>
    <n v="252"/>
    <n v="252"/>
    <n v="252"/>
    <n v="252"/>
    <n v="0"/>
    <n v="0"/>
    <n v="0"/>
    <n v="0"/>
    <n v="0"/>
    <n v="0"/>
    <n v="0"/>
    <n v="0"/>
    <n v="0"/>
    <n v="0"/>
    <n v="0"/>
    <n v="0"/>
    <n v="0"/>
    <n v="0"/>
    <n v="0"/>
    <n v="0"/>
    <n v="0"/>
    <n v="0"/>
    <n v="0"/>
    <n v="0"/>
    <m/>
    <m/>
    <m/>
    <m/>
    <m/>
    <m/>
    <m/>
    <m/>
    <m/>
    <m/>
    <m/>
    <m/>
    <m/>
    <m/>
    <m/>
    <m/>
    <m/>
    <m/>
    <m/>
    <m/>
    <m/>
    <m/>
    <m/>
    <m/>
    <m/>
    <m/>
    <m/>
    <m/>
    <m/>
    <m/>
    <m/>
    <m/>
    <m/>
    <m/>
    <m/>
    <m/>
    <m/>
    <m/>
    <m/>
    <m/>
    <m/>
    <m/>
    <m/>
    <m/>
    <m/>
    <m/>
    <m/>
    <m/>
    <m/>
    <m/>
    <m/>
    <m/>
  </r>
  <r>
    <n v="743"/>
    <d v="2025-04-23T00:00:00"/>
    <s v="ZBTO"/>
    <n v="9518714995"/>
    <n v="6"/>
    <s v="9518714995-6"/>
    <s v="May'25"/>
    <x v="0"/>
    <m/>
    <x v="4"/>
    <x v="13"/>
    <n v="1000"/>
    <m/>
    <x v="1"/>
    <m/>
    <m/>
    <s v="West Bengal"/>
    <m/>
    <m/>
    <m/>
    <n v="101122"/>
    <x v="58"/>
    <n v="3988091"/>
    <s v="GL COIL HARD  Y550GL H7GL 0.440X1240"/>
    <n v="70"/>
    <m/>
    <m/>
    <m/>
    <m/>
    <s v="B04"/>
    <s v="Y550GL"/>
    <s v="H7GL"/>
    <n v="0.44"/>
    <n v="1240"/>
    <n v="0"/>
    <n v="252"/>
    <n v="0"/>
    <n v="252"/>
    <n v="252"/>
    <n v="252"/>
    <n v="252"/>
    <n v="0"/>
    <n v="0"/>
    <n v="0"/>
    <n v="0"/>
    <n v="0"/>
    <n v="0"/>
    <n v="0"/>
    <n v="0"/>
    <n v="0"/>
    <n v="0"/>
    <n v="0"/>
    <n v="0"/>
    <n v="0"/>
    <n v="0"/>
    <n v="0"/>
    <n v="0"/>
    <n v="0"/>
    <n v="0"/>
    <n v="0"/>
    <n v="0"/>
    <m/>
    <m/>
    <m/>
    <m/>
    <m/>
    <m/>
    <m/>
    <m/>
    <m/>
    <m/>
    <m/>
    <m/>
    <m/>
    <m/>
    <m/>
    <m/>
    <m/>
    <m/>
    <m/>
    <m/>
    <m/>
    <m/>
    <m/>
    <m/>
    <m/>
    <m/>
    <m/>
    <m/>
    <m/>
    <m/>
    <m/>
    <m/>
    <m/>
    <m/>
    <m/>
    <m/>
    <m/>
    <m/>
    <m/>
    <m/>
    <m/>
    <m/>
    <m/>
    <m/>
    <m/>
    <m/>
    <m/>
    <m/>
    <m/>
    <m/>
    <m/>
    <m/>
  </r>
  <r>
    <n v="743"/>
    <d v="2025-04-23T00:00:00"/>
    <s v="ZBTO"/>
    <n v="9518714995"/>
    <n v="7"/>
    <s v="9518714995-7"/>
    <s v="No Priority"/>
    <x v="0"/>
    <m/>
    <x v="4"/>
    <x v="13"/>
    <n v="1000"/>
    <m/>
    <x v="0"/>
    <m/>
    <m/>
    <s v="West Bengal"/>
    <m/>
    <m/>
    <m/>
    <n v="101122"/>
    <x v="58"/>
    <n v="3988091"/>
    <s v="GL COIL HARD  Y550GL H7GL 0.440X1240"/>
    <n v="70"/>
    <m/>
    <m/>
    <m/>
    <m/>
    <s v="B04"/>
    <s v="Y550GL"/>
    <s v="H7GL"/>
    <n v="0.44"/>
    <n v="1240"/>
    <n v="0"/>
    <n v="252"/>
    <n v="0"/>
    <n v="252"/>
    <n v="252"/>
    <n v="252"/>
    <n v="252"/>
    <n v="0"/>
    <n v="0"/>
    <n v="0"/>
    <n v="0"/>
    <n v="0"/>
    <n v="0"/>
    <n v="0"/>
    <n v="0"/>
    <n v="0"/>
    <n v="0"/>
    <n v="0"/>
    <n v="0"/>
    <n v="0"/>
    <n v="0"/>
    <n v="0"/>
    <n v="0"/>
    <n v="0"/>
    <n v="0"/>
    <n v="0"/>
    <n v="0"/>
    <m/>
    <m/>
    <m/>
    <m/>
    <m/>
    <m/>
    <m/>
    <m/>
    <m/>
    <m/>
    <m/>
    <m/>
    <m/>
    <m/>
    <m/>
    <m/>
    <m/>
    <m/>
    <m/>
    <m/>
    <m/>
    <m/>
    <m/>
    <m/>
    <m/>
    <m/>
    <m/>
    <m/>
    <m/>
    <m/>
    <m/>
    <m/>
    <m/>
    <m/>
    <m/>
    <m/>
    <m/>
    <m/>
    <m/>
    <m/>
    <m/>
    <m/>
    <m/>
    <m/>
    <m/>
    <m/>
    <m/>
    <m/>
    <m/>
    <m/>
    <m/>
    <m/>
  </r>
  <r>
    <n v="743"/>
    <d v="2025-04-23T00:00:00"/>
    <s v="ZBTO"/>
    <n v="9518714995"/>
    <n v="8"/>
    <s v="9518714995-8"/>
    <s v="No Priority"/>
    <x v="0"/>
    <m/>
    <x v="4"/>
    <x v="13"/>
    <n v="1000"/>
    <m/>
    <x v="0"/>
    <m/>
    <m/>
    <s v="West Bengal"/>
    <m/>
    <m/>
    <m/>
    <n v="101122"/>
    <x v="58"/>
    <n v="3988091"/>
    <s v="GL COIL HARD  Y550GL H7GL 0.440X1240"/>
    <n v="70"/>
    <m/>
    <m/>
    <m/>
    <m/>
    <s v="B04"/>
    <s v="Y550GL"/>
    <s v="H7GL"/>
    <n v="0.44"/>
    <n v="1240"/>
    <n v="0"/>
    <n v="252"/>
    <n v="0"/>
    <n v="252"/>
    <n v="252"/>
    <n v="252"/>
    <n v="252"/>
    <n v="0"/>
    <n v="0"/>
    <n v="0"/>
    <n v="0"/>
    <n v="0"/>
    <n v="0"/>
    <n v="0"/>
    <n v="0"/>
    <n v="0"/>
    <n v="0"/>
    <n v="0"/>
    <n v="0"/>
    <n v="0"/>
    <n v="0"/>
    <n v="0"/>
    <n v="0"/>
    <n v="0"/>
    <n v="0"/>
    <n v="0"/>
    <n v="0"/>
    <m/>
    <m/>
    <m/>
    <m/>
    <m/>
    <m/>
    <m/>
    <m/>
    <m/>
    <m/>
    <m/>
    <m/>
    <m/>
    <m/>
    <m/>
    <m/>
    <m/>
    <m/>
    <m/>
    <m/>
    <m/>
    <m/>
    <m/>
    <m/>
    <m/>
    <m/>
    <m/>
    <m/>
    <m/>
    <m/>
    <m/>
    <m/>
    <m/>
    <m/>
    <m/>
    <m/>
    <m/>
    <m/>
    <m/>
    <m/>
    <m/>
    <m/>
    <m/>
    <m/>
    <m/>
    <m/>
    <m/>
    <m/>
    <m/>
    <m/>
    <m/>
    <m/>
  </r>
  <r>
    <n v="743"/>
    <d v="2025-04-23T00:00:00"/>
    <s v="ZBTO"/>
    <n v="9518714995"/>
    <n v="9"/>
    <s v="9518714995-9"/>
    <s v="No Priority"/>
    <x v="0"/>
    <m/>
    <x v="4"/>
    <x v="13"/>
    <n v="1000"/>
    <m/>
    <x v="0"/>
    <m/>
    <m/>
    <s v="West Bengal"/>
    <m/>
    <m/>
    <m/>
    <n v="101122"/>
    <x v="58"/>
    <n v="3988091"/>
    <s v="GL COIL HARD  Y550GL H7GL 0.440X1240"/>
    <n v="70"/>
    <m/>
    <m/>
    <m/>
    <m/>
    <s v="B04"/>
    <s v="Y550GL"/>
    <s v="H7GL"/>
    <n v="0.44"/>
    <n v="1240"/>
    <n v="0"/>
    <n v="252"/>
    <n v="0"/>
    <n v="252"/>
    <n v="252"/>
    <n v="252"/>
    <n v="252"/>
    <n v="0"/>
    <n v="0"/>
    <n v="0"/>
    <n v="0"/>
    <n v="0"/>
    <n v="0"/>
    <n v="0"/>
    <n v="0"/>
    <n v="0"/>
    <n v="0"/>
    <n v="0"/>
    <n v="0"/>
    <n v="0"/>
    <n v="0"/>
    <n v="0"/>
    <n v="0"/>
    <n v="0"/>
    <n v="0"/>
    <n v="0"/>
    <n v="0"/>
    <m/>
    <m/>
    <m/>
    <m/>
    <m/>
    <m/>
    <m/>
    <m/>
    <m/>
    <m/>
    <m/>
    <m/>
    <m/>
    <m/>
    <m/>
    <m/>
    <m/>
    <m/>
    <m/>
    <m/>
    <m/>
    <m/>
    <m/>
    <m/>
    <m/>
    <m/>
    <m/>
    <m/>
    <m/>
    <m/>
    <m/>
    <m/>
    <m/>
    <m/>
    <m/>
    <m/>
    <m/>
    <m/>
    <m/>
    <m/>
    <m/>
    <m/>
    <m/>
    <m/>
    <m/>
    <m/>
    <m/>
    <m/>
    <m/>
    <m/>
    <m/>
    <m/>
  </r>
  <r>
    <n v="743"/>
    <d v="2025-04-23T00:00:00"/>
    <s v="ZBTO"/>
    <n v="9518714995"/>
    <n v="10"/>
    <s v="9518714995-10"/>
    <s v="No Priority"/>
    <x v="0"/>
    <m/>
    <x v="4"/>
    <x v="13"/>
    <n v="1000"/>
    <m/>
    <x v="0"/>
    <m/>
    <m/>
    <s v="West Bengal"/>
    <m/>
    <m/>
    <m/>
    <n v="101122"/>
    <x v="58"/>
    <n v="3988091"/>
    <s v="GL COIL HARD  Y550GL H7GL 0.440X1240"/>
    <n v="70"/>
    <m/>
    <m/>
    <m/>
    <m/>
    <s v="B04"/>
    <s v="Y550GL"/>
    <s v="H7GL"/>
    <n v="0.44"/>
    <n v="1240"/>
    <n v="0"/>
    <n v="252"/>
    <n v="0"/>
    <n v="252"/>
    <n v="252"/>
    <n v="252"/>
    <n v="252"/>
    <n v="0"/>
    <n v="0"/>
    <n v="0"/>
    <n v="0"/>
    <n v="0"/>
    <n v="0"/>
    <n v="0"/>
    <n v="0"/>
    <n v="0"/>
    <n v="0"/>
    <n v="0"/>
    <n v="0"/>
    <n v="0"/>
    <n v="0"/>
    <n v="0"/>
    <n v="0"/>
    <n v="0"/>
    <n v="0"/>
    <n v="0"/>
    <n v="0"/>
    <m/>
    <m/>
    <m/>
    <m/>
    <m/>
    <m/>
    <m/>
    <m/>
    <m/>
    <m/>
    <m/>
    <m/>
    <m/>
    <m/>
    <m/>
    <m/>
    <m/>
    <m/>
    <m/>
    <m/>
    <m/>
    <m/>
    <m/>
    <m/>
    <m/>
    <m/>
    <m/>
    <m/>
    <m/>
    <m/>
    <m/>
    <m/>
    <m/>
    <m/>
    <m/>
    <m/>
    <m/>
    <m/>
    <m/>
    <m/>
    <m/>
    <m/>
    <m/>
    <m/>
    <m/>
    <m/>
    <m/>
    <m/>
    <m/>
    <m/>
    <m/>
    <m/>
  </r>
  <r>
    <n v="743"/>
    <d v="2025-04-23T00:00:00"/>
    <s v="ZBTO"/>
    <n v="9518714995"/>
    <n v="11"/>
    <s v="9518714995-11"/>
    <s v="No Priority"/>
    <x v="0"/>
    <m/>
    <x v="4"/>
    <x v="13"/>
    <n v="1000"/>
    <m/>
    <x v="0"/>
    <m/>
    <m/>
    <s v="West Bengal"/>
    <m/>
    <m/>
    <m/>
    <n v="101122"/>
    <x v="58"/>
    <n v="3988091"/>
    <s v="GL COIL HARD  Y550GL H7GL 0.440X1240"/>
    <n v="70"/>
    <m/>
    <m/>
    <m/>
    <m/>
    <s v="B04"/>
    <s v="Y550GL"/>
    <s v="H7GL"/>
    <n v="0.44"/>
    <n v="1240"/>
    <n v="0"/>
    <n v="252"/>
    <n v="0"/>
    <n v="252"/>
    <n v="252"/>
    <n v="252"/>
    <n v="252"/>
    <n v="0"/>
    <n v="0"/>
    <n v="0"/>
    <n v="0"/>
    <n v="0"/>
    <n v="0"/>
    <n v="0"/>
    <n v="0"/>
    <n v="0"/>
    <n v="0"/>
    <n v="0"/>
    <n v="0"/>
    <n v="0"/>
    <n v="0"/>
    <n v="0"/>
    <n v="0"/>
    <n v="0"/>
    <n v="0"/>
    <n v="0"/>
    <n v="0"/>
    <m/>
    <m/>
    <m/>
    <m/>
    <m/>
    <m/>
    <m/>
    <m/>
    <m/>
    <m/>
    <m/>
    <m/>
    <m/>
    <m/>
    <m/>
    <m/>
    <m/>
    <m/>
    <m/>
    <m/>
    <m/>
    <m/>
    <m/>
    <m/>
    <m/>
    <m/>
    <m/>
    <m/>
    <m/>
    <m/>
    <m/>
    <m/>
    <m/>
    <m/>
    <m/>
    <m/>
    <m/>
    <m/>
    <m/>
    <m/>
    <m/>
    <m/>
    <m/>
    <m/>
    <m/>
    <m/>
    <m/>
    <m/>
    <m/>
    <m/>
    <m/>
    <m/>
  </r>
  <r>
    <n v="743"/>
    <d v="2025-04-23T00:00:00"/>
    <s v="ZBTO"/>
    <n v="9518714995"/>
    <n v="12"/>
    <s v="9518714995-12"/>
    <s v="No Priority"/>
    <x v="0"/>
    <m/>
    <x v="4"/>
    <x v="13"/>
    <n v="1000"/>
    <m/>
    <x v="0"/>
    <m/>
    <m/>
    <s v="West Bengal"/>
    <m/>
    <m/>
    <m/>
    <n v="101122"/>
    <x v="58"/>
    <n v="3988091"/>
    <s v="GL COIL HARD  Y550GL H7GL 0.440X1240"/>
    <n v="70"/>
    <m/>
    <m/>
    <m/>
    <m/>
    <s v="B04"/>
    <s v="Y550GL"/>
    <s v="H7GL"/>
    <n v="0.44"/>
    <n v="1240"/>
    <n v="0"/>
    <n v="252"/>
    <n v="0"/>
    <n v="252"/>
    <n v="252"/>
    <n v="252"/>
    <n v="252"/>
    <n v="0"/>
    <n v="0"/>
    <n v="0"/>
    <n v="0"/>
    <n v="0"/>
    <n v="0"/>
    <n v="0"/>
    <n v="0"/>
    <n v="0"/>
    <n v="0"/>
    <n v="0"/>
    <n v="0"/>
    <n v="0"/>
    <n v="0"/>
    <n v="0"/>
    <n v="0"/>
    <n v="0"/>
    <n v="0"/>
    <n v="0"/>
    <n v="0"/>
    <m/>
    <m/>
    <m/>
    <m/>
    <m/>
    <m/>
    <m/>
    <m/>
    <m/>
    <m/>
    <m/>
    <m/>
    <m/>
    <m/>
    <m/>
    <m/>
    <m/>
    <m/>
    <m/>
    <m/>
    <m/>
    <m/>
    <m/>
    <m/>
    <m/>
    <m/>
    <m/>
    <m/>
    <m/>
    <m/>
    <m/>
    <m/>
    <m/>
    <m/>
    <m/>
    <m/>
    <m/>
    <m/>
    <m/>
    <m/>
    <m/>
    <m/>
    <m/>
    <m/>
    <m/>
    <m/>
    <m/>
    <m/>
    <m/>
    <m/>
    <m/>
    <m/>
  </r>
  <r>
    <n v="742"/>
    <m/>
    <m/>
    <m/>
    <m/>
    <m/>
    <s v="May'25"/>
    <x v="2"/>
    <m/>
    <x v="1"/>
    <x v="18"/>
    <n v="1000"/>
    <n v="500"/>
    <x v="1"/>
    <m/>
    <m/>
    <m/>
    <m/>
    <m/>
    <m/>
    <m/>
    <x v="121"/>
    <m/>
    <m/>
    <m/>
    <m/>
    <m/>
    <m/>
    <m/>
    <m/>
    <m/>
    <m/>
    <m/>
    <m/>
    <m/>
    <m/>
    <m/>
    <m/>
    <m/>
    <m/>
    <n v="500"/>
    <m/>
    <n v="0"/>
    <n v="0"/>
    <n v="0"/>
    <n v="0"/>
    <n v="0"/>
    <n v="0"/>
    <n v="0"/>
    <n v="0"/>
    <n v="0"/>
    <n v="0"/>
    <n v="0"/>
    <n v="0"/>
    <n v="0"/>
    <n v="0"/>
    <n v="0"/>
    <n v="0"/>
    <n v="0"/>
    <n v="0"/>
    <n v="0"/>
    <m/>
    <m/>
    <m/>
    <m/>
    <m/>
    <m/>
    <m/>
    <m/>
    <m/>
    <m/>
    <m/>
    <m/>
    <m/>
    <m/>
    <m/>
    <m/>
    <m/>
    <m/>
    <m/>
    <m/>
    <m/>
    <m/>
    <m/>
    <m/>
    <m/>
    <m/>
    <m/>
    <m/>
    <m/>
    <m/>
    <m/>
    <m/>
    <m/>
    <m/>
    <m/>
    <m/>
    <m/>
    <m/>
    <m/>
    <m/>
    <m/>
    <m/>
    <m/>
    <m/>
    <m/>
    <m/>
    <m/>
    <m/>
    <m/>
    <m/>
    <m/>
    <m/>
  </r>
  <r>
    <n v="743"/>
    <d v="2025-04-24T00:00:00"/>
    <s v="ZBTO"/>
    <n v="9518716203"/>
    <n v="1"/>
    <s v="9518716203-1"/>
    <s v="May'25"/>
    <x v="0"/>
    <m/>
    <x v="3"/>
    <x v="14"/>
    <s v="2000-BPRS"/>
    <m/>
    <x v="1"/>
    <m/>
    <m/>
    <s v="AHMEDABAD"/>
    <m/>
    <m/>
    <m/>
    <n v="931911"/>
    <x v="122"/>
    <n v="1854410"/>
    <s v="GP COIL SOFT-TATXGP-GK09-0.4X1220"/>
    <m/>
    <m/>
    <m/>
    <m/>
    <m/>
    <s v="C02"/>
    <s v="TATXGP"/>
    <s v="GK09"/>
    <n v="0.4"/>
    <n v="1220"/>
    <n v="0"/>
    <n v="28"/>
    <n v="0"/>
    <n v="28"/>
    <n v="28"/>
    <n v="28"/>
    <n v="28"/>
    <n v="0"/>
    <n v="0"/>
    <n v="0"/>
    <n v="0"/>
    <n v="0"/>
    <n v="0"/>
    <n v="0"/>
    <n v="0"/>
    <n v="0"/>
    <n v="0"/>
    <n v="0"/>
    <n v="0"/>
    <n v="0"/>
    <n v="0"/>
    <n v="0"/>
    <n v="0"/>
    <n v="0"/>
    <n v="0"/>
    <n v="0"/>
    <n v="0"/>
    <m/>
    <m/>
    <m/>
    <m/>
    <m/>
    <m/>
    <m/>
    <m/>
    <m/>
    <m/>
    <m/>
    <m/>
    <m/>
    <m/>
    <m/>
    <m/>
    <m/>
    <m/>
    <m/>
    <m/>
    <m/>
    <m/>
    <m/>
    <m/>
    <m/>
    <m/>
    <m/>
    <m/>
    <m/>
    <m/>
    <m/>
    <m/>
    <m/>
    <m/>
    <m/>
    <m/>
    <m/>
    <m/>
    <m/>
    <m/>
    <m/>
    <m/>
    <m/>
    <m/>
    <m/>
    <m/>
    <m/>
    <m/>
    <m/>
    <m/>
    <m/>
    <m/>
  </r>
  <r>
    <n v="743"/>
    <d v="2025-04-24T00:00:00"/>
    <s v="ZBTO"/>
    <n v="9518716203"/>
    <n v="2"/>
    <s v="9518716203-2"/>
    <s v="May'25"/>
    <x v="0"/>
    <m/>
    <x v="3"/>
    <x v="14"/>
    <s v="2000-BPRS"/>
    <m/>
    <x v="1"/>
    <m/>
    <m/>
    <s v="AHMEDABAD"/>
    <m/>
    <m/>
    <m/>
    <n v="931911"/>
    <x v="122"/>
    <n v="1851097"/>
    <s v="GP COIL SOFT-TATXGP-GK09-0.45X1220"/>
    <m/>
    <m/>
    <m/>
    <m/>
    <m/>
    <s v="C02"/>
    <s v="TATXGP"/>
    <s v="GK09"/>
    <n v="0.45"/>
    <n v="1220"/>
    <n v="0"/>
    <n v="28"/>
    <n v="0"/>
    <n v="28"/>
    <n v="28"/>
    <n v="28"/>
    <n v="28"/>
    <n v="0"/>
    <n v="0"/>
    <n v="0"/>
    <n v="0"/>
    <n v="0"/>
    <n v="0"/>
    <n v="0"/>
    <n v="0"/>
    <n v="0"/>
    <n v="0"/>
    <n v="0"/>
    <n v="0"/>
    <n v="0"/>
    <n v="0"/>
    <n v="0"/>
    <n v="0"/>
    <n v="0"/>
    <n v="0"/>
    <n v="0"/>
    <n v="0"/>
    <m/>
    <m/>
    <m/>
    <m/>
    <m/>
    <m/>
    <m/>
    <m/>
    <m/>
    <m/>
    <m/>
    <m/>
    <m/>
    <m/>
    <m/>
    <m/>
    <m/>
    <m/>
    <m/>
    <m/>
    <m/>
    <m/>
    <m/>
    <m/>
    <m/>
    <m/>
    <m/>
    <m/>
    <m/>
    <m/>
    <m/>
    <m/>
    <m/>
    <m/>
    <m/>
    <m/>
    <m/>
    <m/>
    <m/>
    <m/>
    <m/>
    <m/>
    <m/>
    <m/>
    <m/>
    <m/>
    <m/>
    <m/>
    <m/>
    <m/>
    <m/>
    <m/>
  </r>
  <r>
    <n v="743"/>
    <d v="2025-04-24T00:00:00"/>
    <s v="ZBTO"/>
    <n v="9518716203"/>
    <n v="3"/>
    <s v="9518716203-3"/>
    <s v="May'25"/>
    <x v="0"/>
    <m/>
    <x v="3"/>
    <x v="14"/>
    <s v="2000-BPRS"/>
    <m/>
    <x v="1"/>
    <m/>
    <m/>
    <s v="AHMEDABAD"/>
    <m/>
    <m/>
    <m/>
    <n v="931911"/>
    <x v="122"/>
    <n v="1851101"/>
    <s v="GP COIL SOFT-TATXGP-GK09-0.5X1220"/>
    <m/>
    <m/>
    <m/>
    <m/>
    <m/>
    <s v="C02"/>
    <s v="TATXGP"/>
    <s v="GK09"/>
    <n v="0.5"/>
    <n v="1220"/>
    <n v="0"/>
    <n v="28"/>
    <n v="0"/>
    <n v="28"/>
    <n v="28"/>
    <n v="28"/>
    <n v="28"/>
    <n v="0"/>
    <n v="0"/>
    <n v="0"/>
    <n v="0"/>
    <n v="0"/>
    <n v="0"/>
    <n v="0"/>
    <n v="0"/>
    <n v="0"/>
    <n v="0"/>
    <n v="0"/>
    <n v="0"/>
    <n v="0"/>
    <n v="0"/>
    <n v="0"/>
    <n v="0"/>
    <n v="0"/>
    <n v="0"/>
    <n v="0"/>
    <n v="0"/>
    <m/>
    <m/>
    <m/>
    <m/>
    <m/>
    <m/>
    <m/>
    <m/>
    <m/>
    <m/>
    <m/>
    <m/>
    <m/>
    <m/>
    <m/>
    <m/>
    <m/>
    <m/>
    <m/>
    <m/>
    <m/>
    <m/>
    <m/>
    <m/>
    <m/>
    <m/>
    <m/>
    <m/>
    <m/>
    <m/>
    <m/>
    <m/>
    <m/>
    <m/>
    <m/>
    <m/>
    <m/>
    <m/>
    <m/>
    <m/>
    <m/>
    <m/>
    <m/>
    <m/>
    <m/>
    <m/>
    <m/>
    <m/>
    <m/>
    <m/>
    <m/>
    <m/>
  </r>
  <r>
    <n v="743"/>
    <d v="2025-04-24T00:00:00"/>
    <s v="ZBTO"/>
    <n v="9518716203"/>
    <n v="4"/>
    <s v="9518716203-4"/>
    <s v="May'25"/>
    <x v="0"/>
    <m/>
    <x v="3"/>
    <x v="14"/>
    <s v="2000-BPRS"/>
    <m/>
    <x v="1"/>
    <m/>
    <m/>
    <s v="AHMEDABAD"/>
    <m/>
    <m/>
    <m/>
    <n v="931911"/>
    <x v="122"/>
    <n v="1334725"/>
    <s v="GP COIL SOFT-TATXGP-GK09-0.6X1220"/>
    <m/>
    <m/>
    <m/>
    <m/>
    <m/>
    <s v="C02"/>
    <s v="TATXGP"/>
    <s v="GK09"/>
    <n v="0.6"/>
    <n v="1220"/>
    <n v="0"/>
    <n v="28"/>
    <n v="0"/>
    <n v="28"/>
    <n v="28"/>
    <n v="28"/>
    <n v="28"/>
    <n v="0"/>
    <n v="0"/>
    <n v="0"/>
    <n v="0"/>
    <n v="0"/>
    <n v="0"/>
    <n v="0"/>
    <n v="0"/>
    <n v="0"/>
    <n v="0"/>
    <n v="0"/>
    <n v="0"/>
    <n v="0"/>
    <n v="0"/>
    <n v="0"/>
    <n v="0"/>
    <n v="0"/>
    <n v="0"/>
    <n v="0"/>
    <n v="0"/>
    <m/>
    <m/>
    <m/>
    <m/>
    <m/>
    <m/>
    <m/>
    <m/>
    <m/>
    <m/>
    <m/>
    <m/>
    <m/>
    <m/>
    <m/>
    <m/>
    <m/>
    <m/>
    <m/>
    <m/>
    <m/>
    <m/>
    <m/>
    <m/>
    <m/>
    <m/>
    <m/>
    <m/>
    <m/>
    <m/>
    <m/>
    <m/>
    <m/>
    <m/>
    <m/>
    <m/>
    <m/>
    <m/>
    <m/>
    <m/>
    <m/>
    <m/>
    <m/>
    <m/>
    <m/>
    <m/>
    <m/>
    <m/>
    <m/>
    <m/>
    <m/>
    <m/>
  </r>
  <r>
    <n v="743"/>
    <d v="2025-04-22T00:00:00"/>
    <s v="ZBTO"/>
    <n v="9518712210"/>
    <n v="7"/>
    <s v="9518712210-7"/>
    <s v="May'25 additional"/>
    <x v="0"/>
    <s v="Yes"/>
    <x v="4"/>
    <x v="3"/>
    <s v="1000-IPPE"/>
    <m/>
    <x v="1"/>
    <m/>
    <m/>
    <m/>
    <m/>
    <s v=" "/>
    <m/>
    <n v="942283"/>
    <x v="6"/>
    <n v="1881969"/>
    <s v="GL C YS550 H6GL 0.45BMT(0.50TCT)X1220"/>
    <s v="AZ150"/>
    <m/>
    <n v="3"/>
    <n v="5"/>
    <m/>
    <s v="B04"/>
    <s v="Y550GL"/>
    <s v="H6GL"/>
    <n v="0.45"/>
    <n v="1220"/>
    <n v="0"/>
    <n v="196"/>
    <n v="0"/>
    <n v="196"/>
    <n v="196"/>
    <n v="196"/>
    <n v="196"/>
    <n v="0"/>
    <n v="0"/>
    <n v="0"/>
    <n v="0"/>
    <n v="0"/>
    <n v="0"/>
    <n v="0"/>
    <n v="0"/>
    <n v="0"/>
    <n v="0"/>
    <n v="0"/>
    <n v="0"/>
    <n v="0"/>
    <n v="0"/>
    <n v="0"/>
    <n v="0"/>
    <n v="0"/>
    <n v="0"/>
    <n v="0"/>
    <n v="0"/>
    <m/>
    <m/>
    <m/>
    <m/>
    <m/>
    <m/>
    <m/>
    <m/>
    <m/>
    <m/>
    <m/>
    <m/>
    <m/>
    <m/>
    <m/>
    <m/>
    <m/>
    <m/>
    <m/>
    <m/>
    <m/>
    <m/>
    <m/>
    <m/>
    <m/>
    <m/>
    <m/>
    <m/>
    <m/>
    <m/>
    <m/>
    <m/>
    <m/>
    <m/>
    <m/>
    <m/>
    <m/>
    <m/>
    <m/>
    <m/>
    <m/>
    <m/>
    <m/>
    <m/>
    <m/>
    <m/>
    <m/>
    <m/>
    <m/>
    <m/>
    <m/>
    <m/>
  </r>
  <r>
    <n v="743"/>
    <d v="2025-04-22T00:00:00"/>
    <s v="ZBTO"/>
    <n v="9518712491"/>
    <n v="1"/>
    <s v="9518712491-1"/>
    <s v="May'25 additional"/>
    <x v="0"/>
    <m/>
    <x v="4"/>
    <x v="5"/>
    <s v="1000-IPPE"/>
    <m/>
    <x v="1"/>
    <m/>
    <m/>
    <m/>
    <m/>
    <s v="VALPARAI"/>
    <m/>
    <n v="947775"/>
    <x v="97"/>
    <n v="3886090"/>
    <s v="GL COIL HARD  Y550GL GL6H 0.900X1250"/>
    <s v="AZ150"/>
    <m/>
    <n v="10"/>
    <n v="25"/>
    <m/>
    <s v="B04"/>
    <s v="Y550GL"/>
    <s v="GL6H"/>
    <n v="0.9"/>
    <n v="1250"/>
    <n v="0"/>
    <n v="116"/>
    <n v="0"/>
    <n v="116"/>
    <n v="116"/>
    <n v="116"/>
    <n v="116"/>
    <n v="0"/>
    <n v="0"/>
    <n v="0"/>
    <n v="0"/>
    <n v="0"/>
    <n v="0"/>
    <n v="0"/>
    <n v="0"/>
    <n v="0"/>
    <n v="0"/>
    <n v="0"/>
    <n v="0"/>
    <n v="0"/>
    <n v="0"/>
    <n v="0"/>
    <n v="0"/>
    <n v="0"/>
    <n v="0"/>
    <n v="0"/>
    <n v="0"/>
    <m/>
    <m/>
    <m/>
    <m/>
    <m/>
    <m/>
    <m/>
    <m/>
    <m/>
    <m/>
    <m/>
    <m/>
    <m/>
    <m/>
    <m/>
    <m/>
    <m/>
    <m/>
    <m/>
    <m/>
    <m/>
    <m/>
    <m/>
    <m/>
    <m/>
    <m/>
    <m/>
    <m/>
    <m/>
    <m/>
    <m/>
    <m/>
    <m/>
    <m/>
    <m/>
    <m/>
    <m/>
    <m/>
    <m/>
    <m/>
    <m/>
    <m/>
    <m/>
    <m/>
    <m/>
    <m/>
    <m/>
    <m/>
    <m/>
    <m/>
    <m/>
    <m/>
  </r>
  <r>
    <n v="743"/>
    <d v="2025-04-22T00:00:00"/>
    <s v="ZBTO"/>
    <n v="9518711518"/>
    <n v="1"/>
    <s v="9518711518-1"/>
    <s v="No Priority"/>
    <x v="0"/>
    <m/>
    <x v="4"/>
    <x v="3"/>
    <s v="1000-IPPE"/>
    <m/>
    <x v="0"/>
    <m/>
    <m/>
    <m/>
    <m/>
    <s v="TAMILNADU"/>
    <m/>
    <n v="942294"/>
    <x v="6"/>
    <n v="3946362"/>
    <s v="GL COIL HARD Y550GL M308 0.47 (TCT)X1220"/>
    <s v="AZ150"/>
    <m/>
    <n v="3"/>
    <n v="5"/>
    <m/>
    <s v="B04"/>
    <s v="Y550GL"/>
    <s v="M308"/>
    <n v="0.47"/>
    <n v="1220"/>
    <n v="0"/>
    <n v="280"/>
    <n v="0"/>
    <n v="280"/>
    <n v="280"/>
    <n v="280"/>
    <n v="280"/>
    <n v="0"/>
    <n v="0"/>
    <n v="0"/>
    <n v="0"/>
    <n v="0"/>
    <n v="0"/>
    <n v="0"/>
    <n v="0"/>
    <n v="0"/>
    <n v="0"/>
    <n v="0"/>
    <n v="0"/>
    <n v="0"/>
    <n v="0"/>
    <n v="0"/>
    <n v="0"/>
    <n v="0"/>
    <n v="0"/>
    <n v="0"/>
    <n v="0"/>
    <m/>
    <m/>
    <m/>
    <m/>
    <m/>
    <m/>
    <m/>
    <m/>
    <m/>
    <m/>
    <m/>
    <m/>
    <m/>
    <m/>
    <m/>
    <m/>
    <m/>
    <m/>
    <m/>
    <m/>
    <m/>
    <m/>
    <m/>
    <m/>
    <m/>
    <m/>
    <m/>
    <m/>
    <m/>
    <m/>
    <m/>
    <m/>
    <m/>
    <m/>
    <m/>
    <m/>
    <m/>
    <m/>
    <m/>
    <m/>
    <m/>
    <m/>
    <m/>
    <m/>
    <m/>
    <m/>
    <m/>
    <m/>
    <m/>
    <m/>
    <m/>
    <m/>
  </r>
  <r>
    <n v="742"/>
    <d v="2025-04-17T00:00:00"/>
    <s v="ZBTF"/>
    <n v="4000504653"/>
    <n v="2"/>
    <s v="4000504653-2"/>
    <s v="May'25 additional"/>
    <x v="0"/>
    <m/>
    <x v="0"/>
    <x v="6"/>
    <s v="2000-BPRS"/>
    <m/>
    <x v="1"/>
    <m/>
    <m/>
    <m/>
    <m/>
    <s v="YESHWANTHPURA"/>
    <m/>
    <n v="650789"/>
    <x v="123"/>
    <n v="3226987"/>
    <s v="HR COILS-PO THR099 HR99 1.90X1250"/>
    <s v=" "/>
    <m/>
    <n v="10"/>
    <n v="27"/>
    <m/>
    <n v="768"/>
    <s v="THR099"/>
    <s v="HR99"/>
    <n v="1.9"/>
    <n v="1250"/>
    <n v="0"/>
    <n v="250"/>
    <n v="0"/>
    <n v="200"/>
    <n v="200"/>
    <n v="200"/>
    <n v="250"/>
    <n v="0"/>
    <n v="0"/>
    <n v="0"/>
    <n v="0"/>
    <n v="0"/>
    <n v="0"/>
    <n v="0"/>
    <n v="0"/>
    <n v="0"/>
    <n v="0"/>
    <n v="0"/>
    <n v="0"/>
    <n v="0"/>
    <n v="0"/>
    <n v="0"/>
    <n v="0"/>
    <n v="0"/>
    <n v="0"/>
    <n v="0"/>
    <n v="0"/>
    <m/>
    <m/>
    <m/>
    <m/>
    <m/>
    <m/>
    <m/>
    <m/>
    <m/>
    <m/>
    <m/>
    <m/>
    <m/>
    <m/>
    <m/>
    <m/>
    <m/>
    <m/>
    <m/>
    <m/>
    <m/>
    <m/>
    <m/>
    <m/>
    <m/>
    <m/>
    <m/>
    <m/>
    <m/>
    <m/>
    <m/>
    <m/>
    <m/>
    <m/>
    <m/>
    <m/>
    <m/>
    <m/>
    <m/>
    <m/>
    <m/>
    <m/>
    <m/>
    <m/>
    <m/>
    <m/>
    <m/>
    <m/>
    <m/>
    <m/>
    <m/>
    <m/>
  </r>
  <r>
    <n v="742"/>
    <d v="2025-04-17T00:00:00"/>
    <s v="ZBTF"/>
    <n v="4000504653"/>
    <n v="3"/>
    <s v="4000504653-3"/>
    <s v="May'25 additional"/>
    <x v="0"/>
    <m/>
    <x v="0"/>
    <x v="6"/>
    <s v="2000-BPRS"/>
    <m/>
    <x v="1"/>
    <m/>
    <m/>
    <m/>
    <m/>
    <s v="YESHWANTHPURA"/>
    <m/>
    <n v="650789"/>
    <x v="123"/>
    <n v="1210083"/>
    <s v="HR COILS-PO IS 1079 HR2 2X1250"/>
    <s v=" "/>
    <m/>
    <n v="10"/>
    <n v="27"/>
    <m/>
    <n v="768"/>
    <s v="THR099"/>
    <s v="HR99"/>
    <n v="2"/>
    <n v="1250"/>
    <n v="0"/>
    <n v="200"/>
    <n v="0"/>
    <n v="100"/>
    <n v="100"/>
    <n v="100"/>
    <n v="200"/>
    <n v="0"/>
    <n v="0"/>
    <n v="0"/>
    <n v="0"/>
    <n v="0"/>
    <n v="0"/>
    <n v="0"/>
    <n v="0"/>
    <n v="0"/>
    <n v="0"/>
    <n v="0"/>
    <n v="0"/>
    <n v="0"/>
    <n v="0"/>
    <n v="0"/>
    <n v="0"/>
    <n v="0"/>
    <n v="0"/>
    <n v="0"/>
    <n v="0"/>
    <m/>
    <m/>
    <m/>
    <m/>
    <m/>
    <m/>
    <m/>
    <m/>
    <m/>
    <m/>
    <m/>
    <m/>
    <m/>
    <m/>
    <m/>
    <m/>
    <m/>
    <m/>
    <m/>
    <m/>
    <m/>
    <m/>
    <m/>
    <m/>
    <m/>
    <m/>
    <m/>
    <m/>
    <m/>
    <m/>
    <m/>
    <m/>
    <m/>
    <m/>
    <m/>
    <m/>
    <m/>
    <m/>
    <m/>
    <m/>
    <m/>
    <m/>
    <m/>
    <m/>
    <m/>
    <m/>
    <m/>
    <m/>
    <m/>
    <m/>
    <m/>
    <m/>
  </r>
  <r>
    <n v="742"/>
    <d v="2025-04-17T00:00:00"/>
    <s v="ZBTF"/>
    <n v="4000504653"/>
    <n v="4"/>
    <s v="4000504653-4"/>
    <s v="May'25 additional"/>
    <x v="0"/>
    <m/>
    <x v="0"/>
    <x v="6"/>
    <s v="2000-BPRS"/>
    <n v="700"/>
    <x v="1"/>
    <m/>
    <m/>
    <m/>
    <m/>
    <s v="YESHWANTHPURA"/>
    <m/>
    <n v="650789"/>
    <x v="123"/>
    <n v="1371338"/>
    <s v="HR COILS-PO IS 1079 HR2 2.30X1250"/>
    <s v=" "/>
    <m/>
    <n v="10"/>
    <n v="27"/>
    <m/>
    <n v="768"/>
    <s v="THR099"/>
    <s v="HR99"/>
    <n v="2.2999999999999998"/>
    <n v="1250"/>
    <n v="0"/>
    <n v="200"/>
    <n v="0"/>
    <n v="200"/>
    <n v="200"/>
    <n v="200"/>
    <n v="200"/>
    <n v="0"/>
    <n v="0"/>
    <n v="0"/>
    <n v="0"/>
    <n v="0"/>
    <n v="0"/>
    <n v="0"/>
    <n v="0"/>
    <n v="0"/>
    <n v="0"/>
    <n v="0"/>
    <n v="0"/>
    <n v="0"/>
    <n v="0"/>
    <n v="0"/>
    <n v="0"/>
    <n v="0"/>
    <n v="0"/>
    <n v="0"/>
    <n v="0"/>
    <m/>
    <m/>
    <m/>
    <m/>
    <m/>
    <m/>
    <m/>
    <m/>
    <m/>
    <m/>
    <m/>
    <m/>
    <m/>
    <m/>
    <m/>
    <m/>
    <m/>
    <m/>
    <m/>
    <m/>
    <m/>
    <m/>
    <m/>
    <m/>
    <m/>
    <m/>
    <m/>
    <m/>
    <m/>
    <m/>
    <m/>
    <m/>
    <m/>
    <m/>
    <m/>
    <m/>
    <m/>
    <m/>
    <m/>
    <m/>
    <m/>
    <m/>
    <m/>
    <m/>
    <m/>
    <m/>
    <m/>
    <m/>
    <m/>
    <m/>
    <m/>
    <m/>
  </r>
  <r>
    <n v="742"/>
    <d v="2025-04-17T00:00:00"/>
    <s v="ZBTF"/>
    <n v="4000504653"/>
    <n v="5"/>
    <s v="4000504653-5"/>
    <s v="May'25 additional"/>
    <x v="0"/>
    <m/>
    <x v="0"/>
    <x v="6"/>
    <s v="2000-BPRS"/>
    <m/>
    <x v="1"/>
    <m/>
    <m/>
    <m/>
    <m/>
    <s v="YESHWANTHPURA"/>
    <m/>
    <n v="650789"/>
    <x v="123"/>
    <n v="1250221"/>
    <s v="HR COILS-PO IS 1079 HR2 2.50X1250"/>
    <s v=" "/>
    <m/>
    <n v="10"/>
    <n v="25"/>
    <m/>
    <n v="768"/>
    <s v="THR099"/>
    <s v="HR99"/>
    <n v="2.5"/>
    <n v="1250"/>
    <n v="0"/>
    <n v="300"/>
    <n v="0"/>
    <n v="250"/>
    <n v="250"/>
    <n v="250"/>
    <n v="300"/>
    <n v="0"/>
    <n v="0"/>
    <n v="0"/>
    <n v="0"/>
    <n v="0"/>
    <n v="0"/>
    <n v="0"/>
    <n v="0"/>
    <n v="0"/>
    <n v="0"/>
    <n v="0"/>
    <n v="0"/>
    <n v="0"/>
    <n v="0"/>
    <n v="0"/>
    <n v="0"/>
    <n v="0"/>
    <n v="0"/>
    <n v="0"/>
    <n v="0"/>
    <m/>
    <m/>
    <m/>
    <m/>
    <m/>
    <m/>
    <m/>
    <m/>
    <m/>
    <m/>
    <m/>
    <m/>
    <m/>
    <m/>
    <m/>
    <m/>
    <m/>
    <m/>
    <m/>
    <m/>
    <m/>
    <m/>
    <m/>
    <m/>
    <m/>
    <m/>
    <m/>
    <m/>
    <m/>
    <m/>
    <m/>
    <m/>
    <m/>
    <m/>
    <m/>
    <m/>
    <m/>
    <m/>
    <m/>
    <m/>
    <m/>
    <m/>
    <m/>
    <m/>
    <m/>
    <m/>
    <m/>
    <m/>
    <m/>
    <m/>
    <m/>
    <m/>
  </r>
  <r>
    <n v="742"/>
    <d v="2025-04-17T00:00:00"/>
    <s v="ZBTF"/>
    <n v="4000504653"/>
    <n v="6"/>
    <s v="4000504653-6"/>
    <s v="No Priority"/>
    <x v="0"/>
    <m/>
    <x v="0"/>
    <x v="6"/>
    <s v="2000-BPRS"/>
    <m/>
    <x v="0"/>
    <m/>
    <m/>
    <m/>
    <m/>
    <s v="YESHWANTHPURA"/>
    <m/>
    <n v="650789"/>
    <x v="123"/>
    <n v="1294719"/>
    <s v="HR COILS-POIS 1079 HR2  2.90X1250"/>
    <s v=" "/>
    <m/>
    <n v="10"/>
    <n v="27"/>
    <m/>
    <n v="768"/>
    <s v="THR099"/>
    <s v="HR99"/>
    <n v="2.9"/>
    <n v="1250"/>
    <n v="0"/>
    <n v="50"/>
    <n v="0"/>
    <n v="50"/>
    <n v="50"/>
    <n v="50"/>
    <n v="50"/>
    <n v="0"/>
    <n v="0"/>
    <n v="0"/>
    <n v="0"/>
    <n v="0"/>
    <n v="0"/>
    <n v="0"/>
    <n v="0"/>
    <n v="0"/>
    <n v="0"/>
    <n v="0"/>
    <n v="0"/>
    <n v="0"/>
    <n v="0"/>
    <n v="0"/>
    <n v="0"/>
    <n v="0"/>
    <n v="0"/>
    <n v="0"/>
    <n v="0"/>
    <m/>
    <m/>
    <m/>
    <m/>
    <m/>
    <m/>
    <m/>
    <m/>
    <m/>
    <m/>
    <m/>
    <m/>
    <m/>
    <m/>
    <m/>
    <m/>
    <m/>
    <m/>
    <m/>
    <m/>
    <m/>
    <m/>
    <m/>
    <m/>
    <m/>
    <m/>
    <m/>
    <m/>
    <m/>
    <m/>
    <m/>
    <m/>
    <m/>
    <m/>
    <m/>
    <m/>
    <m/>
    <m/>
    <m/>
    <m/>
    <m/>
    <m/>
    <m/>
    <m/>
    <m/>
    <m/>
    <m/>
    <m/>
    <m/>
    <m/>
    <m/>
    <m/>
  </r>
  <r>
    <n v="742"/>
    <d v="2025-04-17T00:00:00"/>
    <s v="ZBTF"/>
    <n v="4000504653"/>
    <n v="7"/>
    <s v="4000504653-7"/>
    <s v="No Priority"/>
    <x v="0"/>
    <m/>
    <x v="0"/>
    <x v="6"/>
    <s v="2000-BPRS"/>
    <m/>
    <x v="0"/>
    <m/>
    <m/>
    <m/>
    <m/>
    <s v="YESHWANTHPURA"/>
    <m/>
    <n v="650789"/>
    <x v="123"/>
    <n v="1294722"/>
    <s v="HR COILS-PO IS 1079 HR2 3.15X1250"/>
    <s v=" "/>
    <m/>
    <n v="10"/>
    <n v="27"/>
    <m/>
    <n v="768"/>
    <s v="THR099"/>
    <s v="HR99"/>
    <n v="3.15"/>
    <n v="1250"/>
    <n v="0"/>
    <n v="50"/>
    <n v="0"/>
    <n v="50"/>
    <n v="50"/>
    <n v="50"/>
    <n v="50"/>
    <n v="0"/>
    <n v="0"/>
    <n v="0"/>
    <n v="0"/>
    <n v="0"/>
    <n v="0"/>
    <n v="0"/>
    <n v="0"/>
    <n v="0"/>
    <n v="0"/>
    <n v="0"/>
    <n v="0"/>
    <n v="0"/>
    <n v="0"/>
    <n v="0"/>
    <n v="0"/>
    <n v="0"/>
    <n v="0"/>
    <n v="0"/>
    <n v="0"/>
    <m/>
    <m/>
    <m/>
    <m/>
    <m/>
    <m/>
    <m/>
    <m/>
    <m/>
    <m/>
    <m/>
    <m/>
    <m/>
    <m/>
    <m/>
    <m/>
    <m/>
    <m/>
    <m/>
    <m/>
    <m/>
    <m/>
    <m/>
    <m/>
    <m/>
    <m/>
    <m/>
    <m/>
    <m/>
    <m/>
    <m/>
    <m/>
    <m/>
    <m/>
    <m/>
    <m/>
    <m/>
    <m/>
    <m/>
    <m/>
    <m/>
    <m/>
    <m/>
    <m/>
    <m/>
    <m/>
    <m/>
    <m/>
    <m/>
    <m/>
    <m/>
    <m/>
  </r>
  <r>
    <n v="742"/>
    <d v="2025-04-17T00:00:00"/>
    <s v="ZBTF"/>
    <n v="4000504653"/>
    <n v="8"/>
    <s v="4000504653-8"/>
    <s v="No Priority"/>
    <x v="0"/>
    <m/>
    <x v="0"/>
    <x v="6"/>
    <s v="2000-BPRS"/>
    <m/>
    <x v="0"/>
    <m/>
    <m/>
    <m/>
    <m/>
    <s v="YESHWANTHPURA"/>
    <m/>
    <n v="650789"/>
    <x v="123"/>
    <n v="3226988"/>
    <s v="HR COILS-PO THR099 HR99 3.40X1250"/>
    <s v=" "/>
    <m/>
    <n v="10"/>
    <n v="27"/>
    <m/>
    <n v="768"/>
    <s v="THR099"/>
    <s v="HR99"/>
    <n v="3.4"/>
    <n v="1250"/>
    <n v="0"/>
    <n v="100"/>
    <n v="0"/>
    <n v="100"/>
    <n v="100"/>
    <n v="100"/>
    <n v="100"/>
    <n v="0"/>
    <n v="0"/>
    <n v="0"/>
    <n v="0"/>
    <n v="0"/>
    <n v="0"/>
    <n v="0"/>
    <n v="0"/>
    <n v="0"/>
    <n v="0"/>
    <n v="0"/>
    <n v="0"/>
    <n v="0"/>
    <n v="0"/>
    <n v="0"/>
    <n v="0"/>
    <n v="0"/>
    <n v="0"/>
    <n v="0"/>
    <n v="0"/>
    <m/>
    <m/>
    <m/>
    <m/>
    <m/>
    <m/>
    <m/>
    <m/>
    <m/>
    <m/>
    <m/>
    <m/>
    <m/>
    <m/>
    <m/>
    <m/>
    <m/>
    <m/>
    <m/>
    <m/>
    <m/>
    <m/>
    <m/>
    <m/>
    <m/>
    <m/>
    <m/>
    <m/>
    <m/>
    <m/>
    <m/>
    <m/>
    <m/>
    <m/>
    <m/>
    <m/>
    <m/>
    <m/>
    <m/>
    <m/>
    <m/>
    <m/>
    <m/>
    <m/>
    <m/>
    <m/>
    <m/>
    <m/>
    <m/>
    <m/>
    <m/>
    <m/>
  </r>
  <r>
    <n v="742"/>
    <d v="2025-04-21T00:00:00"/>
    <s v="ZBTF"/>
    <n v="9518709061"/>
    <n v="3"/>
    <s v="9518709061-3"/>
    <s v="May'25 additional"/>
    <x v="0"/>
    <m/>
    <x v="5"/>
    <x v="6"/>
    <s v="2000-BPRS"/>
    <n v="400"/>
    <x v="1"/>
    <m/>
    <m/>
    <m/>
    <m/>
    <s v="YESHWANTHPURA"/>
    <m/>
    <n v="650742"/>
    <x v="26"/>
    <n v="2324172"/>
    <s v="CRFH COIL TATFHC RE03 1X1250"/>
    <s v=" "/>
    <m/>
    <n v="10"/>
    <n v="27"/>
    <m/>
    <s v="C09"/>
    <s v="TATFHC"/>
    <s v="RE03"/>
    <n v="1"/>
    <n v="1250"/>
    <n v="0"/>
    <n v="116"/>
    <n v="0"/>
    <n v="116"/>
    <n v="116"/>
    <n v="116"/>
    <n v="116"/>
    <n v="0"/>
    <n v="0"/>
    <n v="0"/>
    <n v="0"/>
    <n v="0"/>
    <n v="0"/>
    <n v="0"/>
    <n v="0"/>
    <n v="0"/>
    <n v="0"/>
    <n v="0"/>
    <n v="0"/>
    <n v="0"/>
    <n v="0"/>
    <n v="0"/>
    <n v="0"/>
    <n v="0"/>
    <n v="0"/>
    <n v="0"/>
    <n v="0"/>
    <m/>
    <m/>
    <m/>
    <m/>
    <m/>
    <m/>
    <m/>
    <m/>
    <m/>
    <m/>
    <m/>
    <m/>
    <m/>
    <m/>
    <m/>
    <m/>
    <m/>
    <m/>
    <m/>
    <m/>
    <m/>
    <m/>
    <m/>
    <m/>
    <m/>
    <m/>
    <m/>
    <m/>
    <m/>
    <m/>
    <m/>
    <m/>
    <m/>
    <m/>
    <m/>
    <m/>
    <m/>
    <m/>
    <m/>
    <m/>
    <m/>
    <m/>
    <m/>
    <m/>
    <m/>
    <m/>
    <m/>
    <m/>
    <m/>
    <m/>
    <m/>
    <m/>
  </r>
  <r>
    <n v="742"/>
    <d v="2025-04-21T00:00:00"/>
    <s v="ZBTF"/>
    <n v="9518709061"/>
    <n v="4"/>
    <s v="9518709061-4"/>
    <s v="May'25 additional"/>
    <x v="0"/>
    <m/>
    <x v="5"/>
    <x v="6"/>
    <s v="2000-BPRS"/>
    <m/>
    <x v="1"/>
    <m/>
    <m/>
    <m/>
    <m/>
    <s v="YESHWANTHPURA"/>
    <m/>
    <n v="650742"/>
    <x v="26"/>
    <n v="2324181"/>
    <s v="CRFH COIL TATFHC RE03 1.200X1250"/>
    <s v=" "/>
    <m/>
    <n v="10"/>
    <n v="27"/>
    <m/>
    <s v="C09"/>
    <s v="TATFHC"/>
    <s v="RE03"/>
    <n v="1.2"/>
    <n v="1250"/>
    <n v="0"/>
    <n v="290"/>
    <n v="0"/>
    <n v="290"/>
    <n v="290"/>
    <n v="290"/>
    <n v="290"/>
    <n v="0"/>
    <n v="0"/>
    <n v="0"/>
    <n v="0"/>
    <n v="0"/>
    <n v="0"/>
    <n v="0"/>
    <n v="0"/>
    <n v="0"/>
    <n v="0"/>
    <n v="0"/>
    <n v="0"/>
    <n v="0"/>
    <n v="0"/>
    <n v="0"/>
    <n v="0"/>
    <n v="0"/>
    <n v="0"/>
    <n v="0"/>
    <n v="0"/>
    <m/>
    <m/>
    <m/>
    <m/>
    <m/>
    <m/>
    <m/>
    <m/>
    <m/>
    <m/>
    <m/>
    <m/>
    <m/>
    <m/>
    <m/>
    <m/>
    <m/>
    <m/>
    <m/>
    <m/>
    <m/>
    <m/>
    <m/>
    <m/>
    <m/>
    <m/>
    <m/>
    <m/>
    <m/>
    <m/>
    <m/>
    <m/>
    <m/>
    <m/>
    <m/>
    <m/>
    <m/>
    <m/>
    <m/>
    <m/>
    <m/>
    <m/>
    <m/>
    <m/>
    <m/>
    <m/>
    <m/>
    <m/>
    <m/>
    <m/>
    <m/>
    <m/>
  </r>
  <r>
    <n v="743"/>
    <d v="2025-04-22T00:00:00"/>
    <s v="ZBTO"/>
    <n v="9518712210"/>
    <n v="2"/>
    <s v="9518712210-2"/>
    <s v="May'25 additional"/>
    <x v="0"/>
    <s v="Yes"/>
    <x v="4"/>
    <x v="3"/>
    <s v="1000-IPPE"/>
    <m/>
    <x v="1"/>
    <m/>
    <m/>
    <m/>
    <m/>
    <s v=" "/>
    <m/>
    <n v="942283"/>
    <x v="6"/>
    <n v="1881969"/>
    <s v="GL C YS550 H6GL 0.45BMT(0.50TCT)X1220"/>
    <s v="AZ150"/>
    <m/>
    <n v="3"/>
    <n v="5"/>
    <m/>
    <s v="B04"/>
    <s v="Y550GL"/>
    <s v="H6GL"/>
    <n v="0.45"/>
    <n v="1220"/>
    <n v="0"/>
    <n v="112"/>
    <n v="0"/>
    <n v="112"/>
    <n v="112"/>
    <n v="112"/>
    <n v="112"/>
    <n v="0"/>
    <n v="0"/>
    <n v="0"/>
    <n v="0"/>
    <n v="0"/>
    <n v="0"/>
    <n v="0"/>
    <n v="0"/>
    <n v="0"/>
    <n v="0"/>
    <n v="0"/>
    <n v="0"/>
    <n v="0"/>
    <n v="0"/>
    <n v="0"/>
    <n v="0"/>
    <n v="0"/>
    <n v="0"/>
    <n v="0"/>
    <n v="0"/>
    <m/>
    <m/>
    <m/>
    <m/>
    <m/>
    <m/>
    <m/>
    <m/>
    <m/>
    <m/>
    <m/>
    <m/>
    <m/>
    <m/>
    <m/>
    <m/>
    <m/>
    <m/>
    <m/>
    <m/>
    <m/>
    <m/>
    <m/>
    <m/>
    <m/>
    <m/>
    <m/>
    <m/>
    <m/>
    <m/>
    <m/>
    <m/>
    <m/>
    <m/>
    <m/>
    <m/>
    <m/>
    <m/>
    <m/>
    <m/>
    <m/>
    <m/>
    <m/>
    <m/>
    <m/>
    <m/>
    <m/>
    <m/>
    <m/>
    <m/>
    <m/>
    <m/>
  </r>
  <r>
    <n v="743"/>
    <d v="2025-04-22T00:00:00"/>
    <s v="ZBTO"/>
    <n v="9518712210"/>
    <n v="4"/>
    <s v="9518712210-4"/>
    <s v="No Priority"/>
    <x v="0"/>
    <m/>
    <x v="4"/>
    <x v="3"/>
    <s v="1000-IPPE"/>
    <m/>
    <x v="0"/>
    <m/>
    <m/>
    <m/>
    <m/>
    <s v=" "/>
    <m/>
    <n v="942283"/>
    <x v="6"/>
    <n v="1882004"/>
    <s v="GL C YS550 H6GL 0.55BMT(0.60TCT)X1220"/>
    <s v="AZ150"/>
    <m/>
    <n v="3"/>
    <n v="5"/>
    <m/>
    <s v="B04"/>
    <s v="Y550GL"/>
    <s v="H6GL"/>
    <n v="0.55000000000000004"/>
    <n v="1220"/>
    <n v="0"/>
    <n v="28"/>
    <n v="0"/>
    <n v="28"/>
    <n v="28"/>
    <n v="28"/>
    <n v="28"/>
    <n v="0"/>
    <n v="0"/>
    <n v="0"/>
    <n v="0"/>
    <n v="0"/>
    <n v="0"/>
    <n v="0"/>
    <n v="0"/>
    <n v="0"/>
    <n v="0"/>
    <n v="0"/>
    <n v="0"/>
    <n v="0"/>
    <n v="0"/>
    <n v="0"/>
    <n v="0"/>
    <n v="0"/>
    <n v="0"/>
    <n v="0"/>
    <n v="0"/>
    <m/>
    <m/>
    <m/>
    <m/>
    <m/>
    <m/>
    <m/>
    <m/>
    <m/>
    <m/>
    <m/>
    <m/>
    <m/>
    <m/>
    <m/>
    <m/>
    <m/>
    <m/>
    <m/>
    <m/>
    <m/>
    <m/>
    <m/>
    <m/>
    <m/>
    <m/>
    <m/>
    <m/>
    <m/>
    <m/>
    <m/>
    <m/>
    <m/>
    <m/>
    <m/>
    <m/>
    <m/>
    <m/>
    <m/>
    <m/>
    <m/>
    <m/>
    <m/>
    <m/>
    <m/>
    <m/>
    <m/>
    <m/>
    <m/>
    <m/>
    <m/>
    <m/>
  </r>
  <r>
    <n v="743"/>
    <d v="2025-04-22T00:00:00"/>
    <s v="ZBTO"/>
    <n v="9518712210"/>
    <n v="5"/>
    <s v="9518712210-5"/>
    <s v="May'25 additional"/>
    <x v="0"/>
    <s v="Yes"/>
    <x v="4"/>
    <x v="3"/>
    <s v="1000-IPPE"/>
    <m/>
    <x v="1"/>
    <m/>
    <m/>
    <m/>
    <m/>
    <s v=" "/>
    <m/>
    <n v="942283"/>
    <x v="6"/>
    <n v="1881969"/>
    <s v="GL C YS550 H6GL 0.45BMT(0.50TCT)X1220"/>
    <s v="AZ150"/>
    <m/>
    <n v="3"/>
    <n v="5"/>
    <m/>
    <s v="B04"/>
    <s v="Y550GL"/>
    <s v="H6GL"/>
    <n v="0.45"/>
    <n v="1220"/>
    <n v="0"/>
    <n v="280"/>
    <n v="0"/>
    <n v="280"/>
    <n v="280"/>
    <n v="280"/>
    <n v="280"/>
    <n v="0"/>
    <n v="0"/>
    <n v="0"/>
    <n v="0"/>
    <n v="0"/>
    <n v="0"/>
    <n v="0"/>
    <n v="0"/>
    <n v="0"/>
    <n v="0"/>
    <n v="0"/>
    <n v="0"/>
    <n v="0"/>
    <n v="0"/>
    <n v="0"/>
    <n v="0"/>
    <n v="0"/>
    <n v="0"/>
    <n v="0"/>
    <n v="0"/>
    <m/>
    <m/>
    <m/>
    <m/>
    <m/>
    <m/>
    <m/>
    <m/>
    <m/>
    <m/>
    <m/>
    <m/>
    <m/>
    <m/>
    <m/>
    <m/>
    <m/>
    <m/>
    <m/>
    <m/>
    <m/>
    <m/>
    <m/>
    <m/>
    <m/>
    <m/>
    <m/>
    <m/>
    <m/>
    <m/>
    <m/>
    <m/>
    <m/>
    <m/>
    <m/>
    <m/>
    <m/>
    <m/>
    <m/>
    <m/>
    <m/>
    <m/>
    <m/>
    <m/>
    <m/>
    <m/>
    <m/>
    <m/>
    <m/>
    <m/>
    <m/>
    <m/>
  </r>
  <r>
    <n v="743"/>
    <d v="2025-04-26T00:00:00"/>
    <s v="ZBTO"/>
    <n v="9518724444"/>
    <n v="1"/>
    <s v="9518724444-1"/>
    <s v="May'25 additional"/>
    <x v="0"/>
    <m/>
    <x v="3"/>
    <x v="14"/>
    <s v="2000-BPRS"/>
    <m/>
    <x v="1"/>
    <m/>
    <m/>
    <m/>
    <m/>
    <s v="JABALPUR"/>
    <m/>
    <n v="929931"/>
    <x v="124"/>
    <n v="2428450"/>
    <s v="GP COIL SOFT TATXGP GK09 0.350X1250"/>
    <s v="Z80"/>
    <m/>
    <n v="4"/>
    <n v="6"/>
    <m/>
    <s v="C02"/>
    <s v="TATXGP"/>
    <s v="GK09"/>
    <n v="0.35"/>
    <n v="1250"/>
    <n v="0"/>
    <n v="29"/>
    <n v="0"/>
    <n v="29"/>
    <n v="29"/>
    <n v="29"/>
    <n v="29"/>
    <n v="0"/>
    <n v="0"/>
    <n v="0"/>
    <n v="0"/>
    <n v="0"/>
    <n v="0"/>
    <n v="0"/>
    <n v="0"/>
    <n v="0"/>
    <n v="0"/>
    <n v="0"/>
    <n v="0"/>
    <n v="0"/>
    <n v="0"/>
    <n v="0"/>
    <n v="0"/>
    <n v="0"/>
    <n v="0"/>
    <n v="0"/>
    <n v="0"/>
    <m/>
    <m/>
    <m/>
    <m/>
    <m/>
    <m/>
    <m/>
    <m/>
    <m/>
    <m/>
    <m/>
    <m/>
    <m/>
    <m/>
    <m/>
    <m/>
    <m/>
    <m/>
    <m/>
    <m/>
    <m/>
    <m/>
    <m/>
    <m/>
    <m/>
    <m/>
    <m/>
    <m/>
    <m/>
    <m/>
    <m/>
    <m/>
    <m/>
    <m/>
    <m/>
    <m/>
    <m/>
    <m/>
    <m/>
    <m/>
    <m/>
    <m/>
    <m/>
    <m/>
    <m/>
    <m/>
    <m/>
    <m/>
    <m/>
    <m/>
    <m/>
    <m/>
  </r>
  <r>
    <n v="743"/>
    <d v="2025-04-26T00:00:00"/>
    <s v="ZBTO"/>
    <n v="9518724444"/>
    <n v="2"/>
    <s v="9518724444-2"/>
    <s v="May'25 additional"/>
    <x v="0"/>
    <m/>
    <x v="3"/>
    <x v="14"/>
    <s v="2000-BPRS"/>
    <m/>
    <x v="1"/>
    <m/>
    <m/>
    <m/>
    <m/>
    <s v="JABALPUR"/>
    <m/>
    <n v="929931"/>
    <x v="124"/>
    <n v="1851091"/>
    <s v="GP COIL SOFT-TATXGP-GK09-0.4X1250"/>
    <s v="Z80"/>
    <m/>
    <n v="4"/>
    <n v="6"/>
    <m/>
    <s v="C02"/>
    <s v="TATXGP"/>
    <s v="GK09"/>
    <n v="0.4"/>
    <n v="1250"/>
    <n v="0"/>
    <n v="29"/>
    <n v="0"/>
    <n v="29"/>
    <n v="29"/>
    <n v="29"/>
    <n v="29"/>
    <n v="0"/>
    <n v="0"/>
    <n v="28.52"/>
    <n v="0"/>
    <n v="0"/>
    <n v="0"/>
    <n v="0"/>
    <n v="0"/>
    <n v="0"/>
    <n v="0"/>
    <n v="0"/>
    <n v="0"/>
    <n v="0"/>
    <n v="0"/>
    <n v="0"/>
    <n v="0"/>
    <n v="0"/>
    <n v="0"/>
    <n v="0"/>
    <n v="28.52"/>
    <m/>
    <m/>
    <m/>
    <m/>
    <m/>
    <m/>
    <m/>
    <m/>
    <m/>
    <m/>
    <m/>
    <m/>
    <m/>
    <m/>
    <m/>
    <m/>
    <m/>
    <m/>
    <m/>
    <m/>
    <m/>
    <m/>
    <m/>
    <m/>
    <m/>
    <m/>
    <m/>
    <m/>
    <m/>
    <m/>
    <m/>
    <m/>
    <m/>
    <m/>
    <m/>
    <m/>
    <m/>
    <m/>
    <m/>
    <m/>
    <m/>
    <m/>
    <m/>
    <m/>
    <m/>
    <m/>
    <m/>
    <m/>
    <m/>
    <m/>
    <m/>
    <m/>
  </r>
  <r>
    <n v="743"/>
    <d v="2025-04-26T00:00:00"/>
    <s v="ZBTO"/>
    <n v="9518724444"/>
    <n v="3"/>
    <s v="9518724444-3"/>
    <s v="May'25 additional"/>
    <x v="0"/>
    <m/>
    <x v="3"/>
    <x v="14"/>
    <s v="2000-BPRS"/>
    <m/>
    <x v="1"/>
    <m/>
    <m/>
    <m/>
    <m/>
    <s v="JABALPUR"/>
    <m/>
    <n v="929931"/>
    <x v="124"/>
    <n v="1367614"/>
    <s v="GP COIL TATXGP GK09 0.450X1250"/>
    <s v="Z80"/>
    <m/>
    <n v="4"/>
    <n v="6"/>
    <m/>
    <s v="C02"/>
    <s v="TATXGP"/>
    <s v="GK09"/>
    <n v="0.45"/>
    <n v="1250"/>
    <n v="0"/>
    <n v="29"/>
    <n v="0"/>
    <n v="29"/>
    <n v="29"/>
    <n v="29"/>
    <n v="29"/>
    <n v="0"/>
    <n v="0"/>
    <n v="28.55"/>
    <n v="0"/>
    <n v="0"/>
    <n v="0"/>
    <n v="0"/>
    <n v="0"/>
    <n v="0"/>
    <n v="0"/>
    <n v="0"/>
    <n v="0"/>
    <n v="0"/>
    <n v="0"/>
    <n v="0"/>
    <n v="0"/>
    <n v="0"/>
    <n v="0"/>
    <n v="0"/>
    <n v="28.55"/>
    <m/>
    <m/>
    <m/>
    <m/>
    <m/>
    <m/>
    <m/>
    <m/>
    <m/>
    <m/>
    <m/>
    <m/>
    <m/>
    <m/>
    <m/>
    <m/>
    <m/>
    <m/>
    <m/>
    <m/>
    <m/>
    <m/>
    <m/>
    <m/>
    <m/>
    <m/>
    <m/>
    <m/>
    <m/>
    <m/>
    <m/>
    <m/>
    <m/>
    <m/>
    <m/>
    <m/>
    <m/>
    <m/>
    <m/>
    <m/>
    <m/>
    <m/>
    <m/>
    <m/>
    <m/>
    <m/>
    <m/>
    <m/>
    <m/>
    <m/>
    <m/>
    <m/>
  </r>
  <r>
    <n v="743"/>
    <d v="2025-04-26T00:00:00"/>
    <s v="ZBTO"/>
    <n v="9518724444"/>
    <n v="4"/>
    <s v="9518724444-4"/>
    <s v="May'25 additional"/>
    <x v="0"/>
    <m/>
    <x v="3"/>
    <x v="14"/>
    <s v="2000-BPRS"/>
    <m/>
    <x v="1"/>
    <m/>
    <m/>
    <m/>
    <m/>
    <s v="JABALPUR"/>
    <m/>
    <n v="929931"/>
    <x v="124"/>
    <n v="1851102"/>
    <s v="GP COIL SOFT-TATXGP-GK09-0.5X1250"/>
    <s v="Z80"/>
    <m/>
    <n v="4"/>
    <n v="6"/>
    <m/>
    <s v="C02"/>
    <s v="TATXGP"/>
    <s v="GK09"/>
    <n v="0.5"/>
    <n v="1250"/>
    <n v="0"/>
    <n v="29"/>
    <n v="0"/>
    <n v="29"/>
    <n v="29"/>
    <n v="29"/>
    <n v="29"/>
    <n v="0"/>
    <n v="0"/>
    <n v="28.59"/>
    <n v="0"/>
    <n v="0"/>
    <n v="0"/>
    <n v="0"/>
    <n v="0"/>
    <n v="0"/>
    <n v="0"/>
    <n v="0"/>
    <n v="0"/>
    <n v="0"/>
    <n v="0"/>
    <n v="0"/>
    <n v="0"/>
    <n v="0"/>
    <n v="0"/>
    <n v="0"/>
    <n v="28.59"/>
    <m/>
    <m/>
    <m/>
    <m/>
    <m/>
    <m/>
    <m/>
    <m/>
    <m/>
    <m/>
    <m/>
    <m/>
    <m/>
    <m/>
    <m/>
    <m/>
    <m/>
    <m/>
    <m/>
    <m/>
    <m/>
    <m/>
    <m/>
    <m/>
    <m/>
    <m/>
    <m/>
    <m/>
    <m/>
    <m/>
    <m/>
    <m/>
    <m/>
    <m/>
    <m/>
    <m/>
    <m/>
    <m/>
    <m/>
    <m/>
    <m/>
    <m/>
    <m/>
    <m/>
    <m/>
    <m/>
    <m/>
    <m/>
    <m/>
    <m/>
    <m/>
    <m/>
  </r>
  <r>
    <n v="743"/>
    <d v="2025-04-26T00:00:00"/>
    <s v="ZBTO"/>
    <n v="9518724444"/>
    <n v="5"/>
    <s v="9518724444-5"/>
    <s v="May'25 additional"/>
    <x v="0"/>
    <m/>
    <x v="3"/>
    <x v="14"/>
    <s v="2000-BPRS"/>
    <m/>
    <x v="1"/>
    <m/>
    <m/>
    <m/>
    <m/>
    <s v="JABALPUR"/>
    <m/>
    <n v="929931"/>
    <x v="124"/>
    <n v="1851106"/>
    <s v="GP COIL SOFT-TATXGP-GK09-0.6X1250"/>
    <s v="Z80"/>
    <m/>
    <n v="4"/>
    <n v="6"/>
    <m/>
    <s v="C02"/>
    <s v="TATXGP"/>
    <s v="GK09"/>
    <n v="0.6"/>
    <n v="1250"/>
    <n v="0"/>
    <n v="29"/>
    <n v="0"/>
    <n v="29"/>
    <n v="29"/>
    <n v="29"/>
    <n v="29"/>
    <n v="0"/>
    <n v="0"/>
    <n v="28.52"/>
    <n v="0"/>
    <n v="0"/>
    <n v="0"/>
    <n v="0"/>
    <n v="0"/>
    <n v="0"/>
    <n v="0"/>
    <n v="0"/>
    <n v="0"/>
    <n v="0"/>
    <n v="0"/>
    <n v="0"/>
    <n v="0"/>
    <n v="0"/>
    <n v="0"/>
    <n v="0"/>
    <n v="28.52"/>
    <m/>
    <m/>
    <m/>
    <m/>
    <m/>
    <m/>
    <m/>
    <m/>
    <m/>
    <m/>
    <m/>
    <m/>
    <m/>
    <m/>
    <m/>
    <m/>
    <m/>
    <m/>
    <m/>
    <m/>
    <m/>
    <m/>
    <m/>
    <m/>
    <m/>
    <m/>
    <m/>
    <m/>
    <m/>
    <m/>
    <m/>
    <m/>
    <m/>
    <m/>
    <m/>
    <m/>
    <m/>
    <m/>
    <m/>
    <m/>
    <m/>
    <m/>
    <m/>
    <m/>
    <m/>
    <m/>
    <m/>
    <m/>
    <m/>
    <m/>
    <m/>
    <m/>
  </r>
  <r>
    <n v="742"/>
    <d v="2025-04-23T00:00:00"/>
    <s v="ZBTT"/>
    <n v="9518714046"/>
    <n v="1"/>
    <s v="9518714046-1"/>
    <s v="No Priority"/>
    <x v="0"/>
    <m/>
    <x v="5"/>
    <x v="19"/>
    <s v="1000-IPPE"/>
    <m/>
    <x v="0"/>
    <m/>
    <m/>
    <m/>
    <m/>
    <s v="RAILAPUR"/>
    <m/>
    <n v="943931"/>
    <x v="125"/>
    <n v="4011917"/>
    <s v="CR COIL TATFHM TR88 0.650X1200"/>
    <s v=" "/>
    <m/>
    <n v="20"/>
    <n v="22"/>
    <m/>
    <s v="C09"/>
    <s v="TATFHM"/>
    <s v="TR88"/>
    <n v="0.65"/>
    <n v="1200"/>
    <n v="0"/>
    <n v="66"/>
    <n v="0"/>
    <n v="66"/>
    <n v="66"/>
    <n v="66"/>
    <n v="0"/>
    <n v="0"/>
    <n v="0"/>
    <n v="0"/>
    <n v="0"/>
    <n v="0"/>
    <n v="0"/>
    <n v="0"/>
    <n v="0"/>
    <n v="0"/>
    <n v="0"/>
    <n v="0"/>
    <n v="0"/>
    <n v="0"/>
    <n v="0"/>
    <n v="0"/>
    <n v="0"/>
    <n v="0"/>
    <n v="0"/>
    <n v="0"/>
    <n v="0"/>
    <m/>
    <m/>
    <m/>
    <m/>
    <m/>
    <m/>
    <m/>
    <m/>
    <m/>
    <m/>
    <m/>
    <m/>
    <m/>
    <m/>
    <m/>
    <m/>
    <m/>
    <m/>
    <m/>
    <m/>
    <m/>
    <m/>
    <m/>
    <m/>
    <m/>
    <m/>
    <m/>
    <m/>
    <m/>
    <m/>
    <m/>
    <m/>
    <m/>
    <m/>
    <m/>
    <m/>
    <m/>
    <m/>
    <m/>
    <m/>
    <m/>
    <m/>
    <m/>
    <m/>
    <m/>
    <m/>
    <m/>
    <m/>
    <m/>
    <m/>
    <m/>
    <m/>
  </r>
  <r>
    <n v="742"/>
    <d v="2025-04-23T00:00:00"/>
    <s v="ZBTT"/>
    <n v="9518714046"/>
    <n v="2"/>
    <s v="9518714046-2"/>
    <s v="No Priority"/>
    <x v="0"/>
    <m/>
    <x v="5"/>
    <x v="19"/>
    <s v="1000-IPPE"/>
    <m/>
    <x v="0"/>
    <m/>
    <m/>
    <m/>
    <m/>
    <s v="RAILAPUR"/>
    <m/>
    <n v="943931"/>
    <x v="125"/>
    <n v="4011918"/>
    <s v="CR COIL TATFHM TR88 0.780X1200"/>
    <s v=" "/>
    <m/>
    <n v="20"/>
    <n v="22"/>
    <m/>
    <s v="C09"/>
    <s v="TATFHM"/>
    <s v="TR88"/>
    <n v="0.78"/>
    <n v="1200"/>
    <n v="0"/>
    <n v="66"/>
    <n v="0"/>
    <n v="66"/>
    <n v="66"/>
    <n v="66"/>
    <n v="0"/>
    <n v="0"/>
    <n v="0"/>
    <n v="0"/>
    <n v="0"/>
    <n v="0"/>
    <n v="0"/>
    <n v="0"/>
    <n v="0"/>
    <n v="0"/>
    <n v="0"/>
    <n v="0"/>
    <n v="0"/>
    <n v="0"/>
    <n v="0"/>
    <n v="0"/>
    <n v="0"/>
    <n v="0"/>
    <n v="0"/>
    <n v="0"/>
    <n v="0"/>
    <m/>
    <m/>
    <m/>
    <m/>
    <m/>
    <m/>
    <m/>
    <m/>
    <m/>
    <m/>
    <m/>
    <m/>
    <m/>
    <m/>
    <m/>
    <m/>
    <m/>
    <m/>
    <m/>
    <m/>
    <m/>
    <m/>
    <m/>
    <m/>
    <m/>
    <m/>
    <m/>
    <m/>
    <m/>
    <m/>
    <m/>
    <m/>
    <m/>
    <m/>
    <m/>
    <m/>
    <m/>
    <m/>
    <m/>
    <m/>
    <m/>
    <m/>
    <m/>
    <m/>
    <m/>
    <m/>
    <m/>
    <m/>
    <m/>
    <m/>
    <m/>
    <m/>
  </r>
  <r>
    <n v="742"/>
    <d v="2025-04-23T00:00:00"/>
    <s v="ZBTT"/>
    <n v="9518714046"/>
    <n v="3"/>
    <s v="9518714046-3"/>
    <s v="No Priority"/>
    <x v="0"/>
    <m/>
    <x v="5"/>
    <x v="19"/>
    <s v="1000-IPPE"/>
    <m/>
    <x v="0"/>
    <m/>
    <m/>
    <m/>
    <m/>
    <s v="RAILAPUR"/>
    <m/>
    <n v="943931"/>
    <x v="125"/>
    <n v="3993937"/>
    <s v="CR COIL TATFHM TR88 0.900X1200"/>
    <s v=" "/>
    <m/>
    <n v="20"/>
    <n v="22"/>
    <m/>
    <s v="C09"/>
    <s v="TATFHM"/>
    <s v="TR88"/>
    <n v="0.9"/>
    <n v="1200"/>
    <n v="0"/>
    <n v="66"/>
    <n v="0"/>
    <n v="66"/>
    <n v="66"/>
    <n v="66"/>
    <n v="0"/>
    <n v="0"/>
    <n v="0"/>
    <n v="0"/>
    <n v="0"/>
    <n v="0"/>
    <n v="0"/>
    <n v="0"/>
    <n v="0"/>
    <n v="0"/>
    <n v="0"/>
    <n v="0"/>
    <n v="0"/>
    <n v="0"/>
    <n v="0"/>
    <n v="0"/>
    <n v="0"/>
    <n v="0"/>
    <n v="0"/>
    <n v="0"/>
    <n v="0"/>
    <m/>
    <m/>
    <m/>
    <m/>
    <m/>
    <m/>
    <m/>
    <m/>
    <m/>
    <m/>
    <m/>
    <m/>
    <m/>
    <m/>
    <m/>
    <m/>
    <m/>
    <m/>
    <m/>
    <m/>
    <m/>
    <m/>
    <m/>
    <m/>
    <m/>
    <m/>
    <m/>
    <m/>
    <m/>
    <m/>
    <m/>
    <m/>
    <m/>
    <m/>
    <m/>
    <m/>
    <m/>
    <m/>
    <m/>
    <m/>
    <m/>
    <m/>
    <m/>
    <m/>
    <m/>
    <m/>
    <m/>
    <m/>
    <m/>
    <m/>
    <m/>
    <m/>
  </r>
  <r>
    <n v="742"/>
    <d v="2025-04-25T00:00:00"/>
    <s v="ZBTO"/>
    <n v="9518721133"/>
    <n v="2"/>
    <s v="9518721133-2"/>
    <s v="May'25 additional"/>
    <x v="0"/>
    <m/>
    <x v="0"/>
    <x v="0"/>
    <s v="2200-BPRS"/>
    <m/>
    <x v="1"/>
    <m/>
    <m/>
    <m/>
    <m/>
    <s v="KOLAR"/>
    <m/>
    <n v="801611"/>
    <x v="56"/>
    <n v="1252836"/>
    <s v="HR COILS-PO IS 1079 HR2 3.50X1250"/>
    <s v=" "/>
    <m/>
    <n v="18"/>
    <n v="25"/>
    <m/>
    <n v="768"/>
    <s v="THR099"/>
    <s v="HR99"/>
    <n v="3.5"/>
    <n v="1250"/>
    <n v="0"/>
    <n v="50"/>
    <n v="0"/>
    <n v="50"/>
    <n v="50"/>
    <n v="50"/>
    <n v="50"/>
    <n v="0"/>
    <n v="0"/>
    <n v="0"/>
    <n v="0"/>
    <n v="0"/>
    <n v="0"/>
    <n v="0"/>
    <n v="0"/>
    <n v="0"/>
    <n v="0"/>
    <n v="0"/>
    <n v="0"/>
    <n v="0"/>
    <n v="0"/>
    <n v="0"/>
    <n v="0"/>
    <n v="0"/>
    <n v="0"/>
    <n v="0"/>
    <n v="0"/>
    <m/>
    <m/>
    <m/>
    <m/>
    <m/>
    <m/>
    <m/>
    <m/>
    <m/>
    <m/>
    <m/>
    <m/>
    <m/>
    <m/>
    <m/>
    <m/>
    <m/>
    <m/>
    <m/>
    <m/>
    <m/>
    <m/>
    <m/>
    <m/>
    <m/>
    <m/>
    <m/>
    <m/>
    <m/>
    <m/>
    <m/>
    <m/>
    <m/>
    <m/>
    <m/>
    <m/>
    <m/>
    <m/>
    <m/>
    <m/>
    <m/>
    <m/>
    <m/>
    <m/>
    <m/>
    <m/>
    <m/>
    <m/>
    <m/>
    <m/>
    <m/>
    <m/>
  </r>
  <r>
    <n v="743"/>
    <d v="2025-04-22T00:00:00"/>
    <s v="ZBTO"/>
    <n v="9518711518"/>
    <n v="2"/>
    <s v="9518711518-2"/>
    <s v="No Priority"/>
    <x v="0"/>
    <m/>
    <x v="4"/>
    <x v="3"/>
    <s v="1000-IPPE"/>
    <m/>
    <x v="0"/>
    <m/>
    <m/>
    <m/>
    <m/>
    <s v="TAMILNADU"/>
    <m/>
    <n v="942294"/>
    <x v="6"/>
    <n v="3946362"/>
    <s v="GL COIL HARD Y550GL M308 0.47 (TCT)X1220"/>
    <s v="AZ150"/>
    <m/>
    <n v="3"/>
    <n v="5"/>
    <m/>
    <s v="B04"/>
    <s v="Y550GL"/>
    <s v="M308"/>
    <n v="0.47"/>
    <n v="1220"/>
    <n v="0"/>
    <n v="168"/>
    <n v="0"/>
    <n v="168"/>
    <n v="168"/>
    <n v="168"/>
    <n v="168"/>
    <n v="0"/>
    <n v="0"/>
    <n v="0"/>
    <n v="0"/>
    <n v="0"/>
    <n v="0"/>
    <n v="0"/>
    <n v="0"/>
    <n v="0"/>
    <n v="0"/>
    <n v="0"/>
    <n v="0"/>
    <n v="0"/>
    <n v="0"/>
    <n v="0"/>
    <n v="0"/>
    <n v="0"/>
    <n v="0"/>
    <n v="0"/>
    <n v="0"/>
    <m/>
    <m/>
    <m/>
    <m/>
    <m/>
    <m/>
    <m/>
    <m/>
    <m/>
    <m/>
    <m/>
    <m/>
    <m/>
    <m/>
    <m/>
    <m/>
    <m/>
    <m/>
    <m/>
    <m/>
    <m/>
    <m/>
    <m/>
    <m/>
    <m/>
    <m/>
    <m/>
    <m/>
    <m/>
    <m/>
    <m/>
    <m/>
    <m/>
    <m/>
    <m/>
    <m/>
    <m/>
    <m/>
    <m/>
    <m/>
    <m/>
    <m/>
    <m/>
    <m/>
    <m/>
    <m/>
    <m/>
    <m/>
    <m/>
    <m/>
    <m/>
    <m/>
  </r>
  <r>
    <n v="743"/>
    <d v="2025-04-22T00:00:00"/>
    <s v="ZBTO"/>
    <n v="9518711518"/>
    <n v="3"/>
    <s v="9518711518-3"/>
    <s v="No Priority"/>
    <x v="0"/>
    <m/>
    <x v="4"/>
    <x v="3"/>
    <s v="1000-IPPE"/>
    <m/>
    <x v="0"/>
    <m/>
    <m/>
    <m/>
    <m/>
    <s v="TAMILNADU"/>
    <m/>
    <n v="942294"/>
    <x v="6"/>
    <n v="3946364"/>
    <s v="GL COIL HARD Y550GL M308 0.50 (TCT)X1220"/>
    <s v="AZ150"/>
    <m/>
    <n v="3"/>
    <n v="5"/>
    <m/>
    <s v="B04"/>
    <s v="Y550GL"/>
    <s v="M308"/>
    <n v="0.5"/>
    <n v="1220"/>
    <n v="0"/>
    <n v="28"/>
    <n v="0"/>
    <n v="28"/>
    <n v="28"/>
    <n v="28"/>
    <n v="28"/>
    <n v="0"/>
    <n v="0"/>
    <n v="0"/>
    <n v="0"/>
    <n v="0"/>
    <n v="0"/>
    <n v="0"/>
    <n v="0"/>
    <n v="0"/>
    <n v="0"/>
    <n v="0"/>
    <n v="0"/>
    <n v="0"/>
    <n v="0"/>
    <n v="0"/>
    <n v="0"/>
    <n v="0"/>
    <n v="8.6750000000000007"/>
    <n v="0"/>
    <n v="8.6750000000000007"/>
    <m/>
    <m/>
    <m/>
    <m/>
    <m/>
    <m/>
    <m/>
    <m/>
    <m/>
    <m/>
    <m/>
    <m/>
    <m/>
    <m/>
    <m/>
    <m/>
    <m/>
    <m/>
    <m/>
    <m/>
    <m/>
    <m/>
    <m/>
    <m/>
    <m/>
    <m/>
    <m/>
    <m/>
    <m/>
    <m/>
    <m/>
    <m/>
    <m/>
    <m/>
    <m/>
    <m/>
    <m/>
    <m/>
    <m/>
    <m/>
    <m/>
    <m/>
    <m/>
    <m/>
    <m/>
    <m/>
    <m/>
    <m/>
    <m/>
    <m/>
    <m/>
    <m/>
  </r>
  <r>
    <n v="743"/>
    <d v="2025-04-23T00:00:00"/>
    <s v="ZBTO"/>
    <n v="9518715401"/>
    <n v="1"/>
    <s v="9518715401-1"/>
    <s v="No Priority"/>
    <x v="0"/>
    <m/>
    <x v="4"/>
    <x v="3"/>
    <s v="1000-IPPE"/>
    <m/>
    <x v="0"/>
    <m/>
    <m/>
    <m/>
    <m/>
    <s v="TATANAGAR"/>
    <m/>
    <n v="942284"/>
    <x v="6"/>
    <n v="3946364"/>
    <s v="GL COIL HARD Y550GL M308 0.50 (TCT)X1220"/>
    <s v="AZ150"/>
    <m/>
    <n v="3"/>
    <n v="5"/>
    <m/>
    <s v="B04"/>
    <s v="Y550GL"/>
    <s v="M308"/>
    <n v="0.5"/>
    <n v="1220"/>
    <n v="0"/>
    <n v="280"/>
    <n v="0"/>
    <n v="280"/>
    <n v="280"/>
    <n v="280"/>
    <n v="280"/>
    <n v="0"/>
    <n v="0"/>
    <n v="0"/>
    <n v="0"/>
    <n v="0"/>
    <n v="0"/>
    <n v="0"/>
    <n v="0"/>
    <n v="0"/>
    <n v="0"/>
    <n v="0"/>
    <n v="0"/>
    <n v="0"/>
    <n v="0"/>
    <n v="0"/>
    <n v="0"/>
    <n v="0"/>
    <n v="0"/>
    <n v="0"/>
    <n v="0"/>
    <m/>
    <m/>
    <m/>
    <m/>
    <m/>
    <m/>
    <m/>
    <m/>
    <m/>
    <m/>
    <m/>
    <m/>
    <m/>
    <m/>
    <m/>
    <m/>
    <m/>
    <m/>
    <m/>
    <m/>
    <m/>
    <m/>
    <m/>
    <m/>
    <m/>
    <m/>
    <m/>
    <m/>
    <m/>
    <m/>
    <m/>
    <m/>
    <m/>
    <m/>
    <m/>
    <m/>
    <m/>
    <m/>
    <m/>
    <m/>
    <m/>
    <m/>
    <m/>
    <m/>
    <m/>
    <m/>
    <m/>
    <m/>
    <m/>
    <m/>
    <m/>
    <m/>
  </r>
  <r>
    <n v="742"/>
    <d v="2025-04-25T00:00:00"/>
    <s v="ZBTO"/>
    <n v="9518721781"/>
    <n v="1"/>
    <s v="9518721781-1"/>
    <s v="No Priority"/>
    <x v="0"/>
    <m/>
    <x v="5"/>
    <x v="10"/>
    <s v="1000-IPPE"/>
    <m/>
    <x v="0"/>
    <m/>
    <m/>
    <m/>
    <m/>
    <s v="VILLAGE-PRAGPAR"/>
    <m/>
    <n v="189108"/>
    <x v="105"/>
    <n v="2306858"/>
    <s v="CRFH COIL TATFHC TR10 0.420X1235"/>
    <s v=" "/>
    <m/>
    <n v="10"/>
    <n v="20"/>
    <m/>
    <s v="C09"/>
    <s v="TATFHC"/>
    <s v="TR10"/>
    <n v="0.42"/>
    <n v="1235"/>
    <n v="0"/>
    <n v="280"/>
    <n v="0"/>
    <n v="280"/>
    <n v="280"/>
    <n v="280"/>
    <n v="0"/>
    <n v="0"/>
    <n v="0"/>
    <n v="0"/>
    <n v="0"/>
    <n v="0"/>
    <n v="0"/>
    <n v="0"/>
    <n v="0"/>
    <n v="0"/>
    <n v="0"/>
    <n v="0"/>
    <n v="0"/>
    <n v="0"/>
    <n v="0"/>
    <n v="0"/>
    <n v="0"/>
    <n v="0"/>
    <n v="0"/>
    <n v="0"/>
    <n v="0"/>
    <m/>
    <m/>
    <m/>
    <m/>
    <m/>
    <m/>
    <m/>
    <m/>
    <m/>
    <m/>
    <m/>
    <m/>
    <m/>
    <m/>
    <m/>
    <m/>
    <m/>
    <m/>
    <m/>
    <m/>
    <m/>
    <m/>
    <m/>
    <m/>
    <m/>
    <m/>
    <m/>
    <m/>
    <m/>
    <m/>
    <m/>
    <m/>
    <m/>
    <m/>
    <m/>
    <m/>
    <m/>
    <m/>
    <m/>
    <m/>
    <m/>
    <m/>
    <m/>
    <m/>
    <m/>
    <m/>
    <m/>
    <m/>
    <m/>
    <m/>
    <m/>
    <m/>
  </r>
  <r>
    <n v="743"/>
    <d v="2025-04-24T00:00:00"/>
    <s v="ZBTO"/>
    <n v="9518717365"/>
    <n v="1"/>
    <s v="9518717365-1"/>
    <s v="May'25 additional"/>
    <x v="0"/>
    <m/>
    <x v="3"/>
    <x v="4"/>
    <n v="2000"/>
    <m/>
    <x v="1"/>
    <m/>
    <m/>
    <s v="Assam"/>
    <m/>
    <m/>
    <m/>
    <n v="103671"/>
    <x v="108"/>
    <n v="3768542"/>
    <s v="GP COIL TATGPH GP02 0.350X900"/>
    <s v=""/>
    <m/>
    <m/>
    <m/>
    <m/>
    <s v="C05"/>
    <s v="TATGPH"/>
    <s v="GP02"/>
    <n v="0.35"/>
    <n v="900"/>
    <n v="0"/>
    <n v="63"/>
    <n v="0"/>
    <n v="63"/>
    <n v="63"/>
    <n v="63"/>
    <n v="21"/>
    <n v="0"/>
    <n v="0"/>
    <n v="0"/>
    <n v="0"/>
    <n v="0"/>
    <n v="0"/>
    <n v="0"/>
    <n v="0"/>
    <n v="0"/>
    <n v="0"/>
    <n v="0"/>
    <n v="0"/>
    <n v="0"/>
    <n v="0"/>
    <n v="0"/>
    <n v="0"/>
    <n v="0"/>
    <n v="0"/>
    <n v="0"/>
    <n v="0"/>
    <m/>
    <m/>
    <m/>
    <m/>
    <m/>
    <m/>
    <m/>
    <m/>
    <m/>
    <m/>
    <m/>
    <m/>
    <m/>
    <m/>
    <m/>
    <m/>
    <m/>
    <m/>
    <m/>
    <m/>
    <m/>
    <m/>
    <m/>
    <m/>
    <m/>
    <m/>
    <m/>
    <m/>
    <m/>
    <m/>
    <m/>
    <m/>
    <m/>
    <m/>
    <m/>
    <m/>
    <m/>
    <m/>
    <m/>
    <m/>
    <m/>
    <m/>
    <m/>
    <m/>
    <m/>
    <m/>
    <m/>
    <m/>
    <m/>
    <m/>
    <m/>
    <m/>
  </r>
  <r>
    <n v="743"/>
    <d v="2025-04-24T00:00:00"/>
    <s v="ZBTO"/>
    <n v="9518717365"/>
    <n v="2"/>
    <s v="9518717365-2"/>
    <s v="May'25 additional"/>
    <x v="0"/>
    <m/>
    <x v="3"/>
    <x v="4"/>
    <n v="2000"/>
    <m/>
    <x v="1"/>
    <m/>
    <m/>
    <s v="Assam"/>
    <m/>
    <m/>
    <m/>
    <n v="103671"/>
    <x v="108"/>
    <n v="3710431"/>
    <s v="GP COIL TATGPH GP02 0.630X900"/>
    <s v=""/>
    <m/>
    <m/>
    <m/>
    <m/>
    <s v="C05"/>
    <s v="TATGPH"/>
    <s v="GP02"/>
    <n v="0.63"/>
    <n v="900"/>
    <n v="0"/>
    <n v="42"/>
    <n v="0"/>
    <n v="42"/>
    <n v="42"/>
    <n v="42"/>
    <n v="42"/>
    <n v="0"/>
    <n v="0"/>
    <n v="0"/>
    <n v="0"/>
    <n v="0"/>
    <n v="0"/>
    <n v="0"/>
    <n v="0"/>
    <n v="0"/>
    <n v="0"/>
    <n v="0"/>
    <n v="0"/>
    <n v="0"/>
    <n v="0"/>
    <n v="0"/>
    <n v="0"/>
    <n v="0"/>
    <n v="0"/>
    <n v="0"/>
    <n v="0"/>
    <m/>
    <m/>
    <m/>
    <m/>
    <m/>
    <m/>
    <m/>
    <m/>
    <m/>
    <m/>
    <m/>
    <m/>
    <m/>
    <m/>
    <m/>
    <m/>
    <m/>
    <m/>
    <m/>
    <m/>
    <m/>
    <m/>
    <m/>
    <m/>
    <m/>
    <m/>
    <m/>
    <m/>
    <m/>
    <m/>
    <m/>
    <m/>
    <m/>
    <m/>
    <m/>
    <m/>
    <m/>
    <m/>
    <m/>
    <m/>
    <m/>
    <m/>
    <m/>
    <m/>
    <m/>
    <m/>
    <m/>
    <m/>
    <m/>
    <m/>
    <m/>
    <m/>
  </r>
  <r>
    <n v="743"/>
    <d v="2025-04-24T00:00:00"/>
    <s v="ZBTO"/>
    <n v="9518717365"/>
    <n v="3"/>
    <s v="9518717365-3"/>
    <s v="May'25 additional"/>
    <x v="0"/>
    <m/>
    <x v="3"/>
    <x v="4"/>
    <n v="2000"/>
    <m/>
    <x v="1"/>
    <m/>
    <m/>
    <s v="Assam"/>
    <m/>
    <m/>
    <m/>
    <n v="103671"/>
    <x v="108"/>
    <n v="3767487"/>
    <s v="GP COIL TATGPH GP02 0.630X1350"/>
    <s v=""/>
    <m/>
    <m/>
    <m/>
    <m/>
    <s v="C05"/>
    <s v="TATGPH"/>
    <s v="GP02"/>
    <n v="0.63"/>
    <n v="1350"/>
    <n v="0"/>
    <n v="31"/>
    <n v="0"/>
    <n v="31"/>
    <n v="31"/>
    <n v="31"/>
    <n v="31"/>
    <n v="0"/>
    <n v="0"/>
    <n v="0"/>
    <n v="0"/>
    <n v="0"/>
    <n v="0"/>
    <n v="0"/>
    <n v="0"/>
    <n v="0"/>
    <n v="0"/>
    <n v="0"/>
    <n v="0"/>
    <n v="0"/>
    <n v="0"/>
    <n v="0"/>
    <n v="0"/>
    <n v="0"/>
    <n v="0"/>
    <n v="0"/>
    <n v="0"/>
    <m/>
    <m/>
    <m/>
    <m/>
    <m/>
    <m/>
    <m/>
    <m/>
    <m/>
    <m/>
    <m/>
    <m/>
    <m/>
    <m/>
    <m/>
    <m/>
    <m/>
    <m/>
    <m/>
    <m/>
    <m/>
    <m/>
    <m/>
    <m/>
    <m/>
    <m/>
    <m/>
    <m/>
    <m/>
    <m/>
    <m/>
    <m/>
    <m/>
    <m/>
    <m/>
    <m/>
    <m/>
    <m/>
    <m/>
    <m/>
    <m/>
    <m/>
    <m/>
    <m/>
    <m/>
    <m/>
    <m/>
    <m/>
    <m/>
    <m/>
    <m/>
    <m/>
  </r>
  <r>
    <n v="742"/>
    <d v="2025-04-25T00:00:00"/>
    <s v="ZBTO"/>
    <n v="9518721781"/>
    <n v="2"/>
    <s v="9518721781-2"/>
    <s v="No Priority"/>
    <x v="1"/>
    <m/>
    <x v="5"/>
    <x v="10"/>
    <n v="1000"/>
    <m/>
    <x v="0"/>
    <m/>
    <m/>
    <s v="Gujarat"/>
    <m/>
    <m/>
    <m/>
    <n v="189108"/>
    <x v="64"/>
    <n v="2306858"/>
    <s v="CRFH COIL TATFHC TR10 0.420X1235"/>
    <s v=""/>
    <m/>
    <m/>
    <m/>
    <m/>
    <s v="C09"/>
    <s v="TATFHC"/>
    <s v="TR10"/>
    <n v="0.42"/>
    <n v="1235"/>
    <n v="0"/>
    <n v="196"/>
    <n v="0"/>
    <n v="196"/>
    <n v="196"/>
    <n v="196"/>
    <n v="196"/>
    <n v="0"/>
    <n v="0"/>
    <n v="0"/>
    <n v="0"/>
    <n v="0"/>
    <n v="0"/>
    <n v="0"/>
    <n v="0"/>
    <n v="0"/>
    <n v="0"/>
    <n v="0"/>
    <n v="0"/>
    <n v="0"/>
    <n v="0"/>
    <n v="0"/>
    <n v="0"/>
    <n v="0"/>
    <n v="0"/>
    <n v="0"/>
    <n v="0"/>
    <m/>
    <m/>
    <m/>
    <m/>
    <m/>
    <m/>
    <m/>
    <m/>
    <m/>
    <m/>
    <m/>
    <m/>
    <m/>
    <m/>
    <m/>
    <m/>
    <m/>
    <m/>
    <m/>
    <m/>
    <m/>
    <m/>
    <m/>
    <m/>
    <m/>
    <m/>
    <m/>
    <m/>
    <m/>
    <m/>
    <m/>
    <m/>
    <m/>
    <m/>
    <m/>
    <m/>
    <m/>
    <m/>
    <m/>
    <m/>
    <m/>
    <m/>
    <m/>
    <m/>
    <m/>
    <m/>
    <m/>
    <m/>
    <m/>
    <m/>
    <m/>
    <m/>
  </r>
  <r>
    <n v="742"/>
    <d v="2025-04-26T00:00:00"/>
    <s v="ZBTO"/>
    <n v="9518722662"/>
    <n v="1"/>
    <s v="9518722662-1"/>
    <s v="No Priority"/>
    <x v="1"/>
    <m/>
    <x v="5"/>
    <x v="10"/>
    <n v="1000"/>
    <m/>
    <x v="0"/>
    <m/>
    <m/>
    <s v="Gujarat"/>
    <m/>
    <m/>
    <m/>
    <n v="189108"/>
    <x v="64"/>
    <n v="4015694"/>
    <s v="CR COIL TATFHC TR10 0.410X1320"/>
    <s v=""/>
    <m/>
    <m/>
    <m/>
    <m/>
    <s v="C09"/>
    <s v="TATFHC"/>
    <s v="TR10"/>
    <n v="0.41"/>
    <n v="1320"/>
    <n v="0"/>
    <n v="210"/>
    <n v="0"/>
    <n v="210"/>
    <n v="210"/>
    <n v="210"/>
    <n v="210"/>
    <n v="0"/>
    <n v="0"/>
    <n v="0"/>
    <n v="0"/>
    <n v="0"/>
    <n v="0"/>
    <n v="0"/>
    <n v="0"/>
    <n v="0"/>
    <n v="0"/>
    <n v="0"/>
    <n v="0"/>
    <n v="0"/>
    <n v="0"/>
    <n v="0"/>
    <n v="0"/>
    <n v="0"/>
    <n v="0"/>
    <n v="0"/>
    <n v="0"/>
    <m/>
    <m/>
    <m/>
    <m/>
    <m/>
    <m/>
    <m/>
    <m/>
    <m/>
    <m/>
    <m/>
    <m/>
    <m/>
    <m/>
    <m/>
    <m/>
    <m/>
    <m/>
    <m/>
    <m/>
    <m/>
    <m/>
    <m/>
    <m/>
    <m/>
    <m/>
    <m/>
    <m/>
    <m/>
    <m/>
    <m/>
    <m/>
    <m/>
    <m/>
    <m/>
    <m/>
    <m/>
    <m/>
    <m/>
    <m/>
    <m/>
    <m/>
    <m/>
    <m/>
    <m/>
    <m/>
    <m/>
    <m/>
    <m/>
    <m/>
    <m/>
    <m/>
  </r>
  <r>
    <n v="742"/>
    <d v="2025-04-26T00:00:00"/>
    <s v="ZBTO"/>
    <n v="9518722662"/>
    <n v="2"/>
    <s v="9518722662-2"/>
    <s v="No Priority"/>
    <x v="1"/>
    <m/>
    <x v="5"/>
    <x v="10"/>
    <n v="1000"/>
    <m/>
    <x v="0"/>
    <m/>
    <m/>
    <s v="Gujarat"/>
    <m/>
    <m/>
    <m/>
    <n v="189108"/>
    <x v="64"/>
    <n v="4015694"/>
    <s v="CR COIL TATFHC TR10 0.410X1320"/>
    <s v=""/>
    <m/>
    <m/>
    <m/>
    <m/>
    <s v="C09"/>
    <s v="TATFHC"/>
    <s v="TR10"/>
    <n v="0.41"/>
    <n v="1320"/>
    <n v="0"/>
    <n v="210"/>
    <n v="0"/>
    <n v="210"/>
    <n v="210"/>
    <n v="210"/>
    <n v="210"/>
    <n v="0"/>
    <n v="0"/>
    <n v="0"/>
    <n v="0"/>
    <n v="0"/>
    <n v="0"/>
    <n v="0"/>
    <n v="0"/>
    <n v="0"/>
    <n v="0"/>
    <n v="0"/>
    <n v="0"/>
    <n v="0"/>
    <n v="0"/>
    <n v="0"/>
    <n v="0"/>
    <n v="0"/>
    <n v="0"/>
    <n v="0"/>
    <n v="0"/>
    <m/>
    <m/>
    <m/>
    <m/>
    <m/>
    <m/>
    <m/>
    <m/>
    <m/>
    <m/>
    <m/>
    <m/>
    <m/>
    <m/>
    <m/>
    <m/>
    <m/>
    <m/>
    <m/>
    <m/>
    <m/>
    <m/>
    <m/>
    <m/>
    <m/>
    <m/>
    <m/>
    <m/>
    <m/>
    <m/>
    <m/>
    <m/>
    <m/>
    <m/>
    <m/>
    <m/>
    <m/>
    <m/>
    <m/>
    <m/>
    <m/>
    <m/>
    <m/>
    <m/>
    <m/>
    <m/>
    <m/>
    <m/>
    <m/>
    <m/>
    <m/>
    <m/>
  </r>
  <r>
    <n v="743"/>
    <d v="2025-04-21T00:00:00"/>
    <s v="ZBTO"/>
    <n v="9518709112"/>
    <n v="1"/>
    <s v="9518709112-1"/>
    <s v="May'25 additional"/>
    <x v="0"/>
    <m/>
    <x v="4"/>
    <x v="5"/>
    <n v="1000"/>
    <m/>
    <x v="1"/>
    <m/>
    <m/>
    <s v="Gujarat"/>
    <m/>
    <m/>
    <m/>
    <n v="944226"/>
    <x v="44"/>
    <n v="3889776"/>
    <s v="GL COIL HARD  Y550GL H0GL 0.900X1249"/>
    <n v="150"/>
    <m/>
    <m/>
    <m/>
    <m/>
    <s v="B04"/>
    <s v="Y550GL"/>
    <s v="H0GL"/>
    <n v="0.9"/>
    <n v="1249"/>
    <n v="0"/>
    <n v="290"/>
    <n v="0"/>
    <n v="290"/>
    <n v="290"/>
    <n v="290"/>
    <n v="290"/>
    <n v="0"/>
    <n v="0"/>
    <n v="0"/>
    <n v="0"/>
    <n v="0"/>
    <n v="0"/>
    <n v="0"/>
    <n v="0"/>
    <n v="0"/>
    <n v="0"/>
    <n v="0"/>
    <n v="0"/>
    <n v="0"/>
    <n v="0"/>
    <n v="0"/>
    <n v="0"/>
    <n v="0"/>
    <n v="0"/>
    <n v="0"/>
    <n v="0"/>
    <m/>
    <m/>
    <m/>
    <m/>
    <m/>
    <m/>
    <m/>
    <m/>
    <m/>
    <m/>
    <m/>
    <m/>
    <m/>
    <m/>
    <m/>
    <m/>
    <m/>
    <m/>
    <m/>
    <m/>
    <m/>
    <m/>
    <m/>
    <m/>
    <m/>
    <m/>
    <m/>
    <m/>
    <m/>
    <m/>
    <m/>
    <m/>
    <m/>
    <m/>
    <m/>
    <m/>
    <m/>
    <m/>
    <m/>
    <m/>
    <m/>
    <m/>
    <m/>
    <m/>
    <m/>
    <m/>
    <m/>
    <m/>
    <m/>
    <m/>
    <m/>
    <m/>
  </r>
  <r>
    <n v="743"/>
    <d v="2025-04-21T00:00:00"/>
    <s v="ZBTO"/>
    <n v="9518709169"/>
    <n v="1"/>
    <s v="9518709169-1"/>
    <s v="May'25 additional"/>
    <x v="0"/>
    <m/>
    <x v="4"/>
    <x v="5"/>
    <n v="1000"/>
    <m/>
    <x v="1"/>
    <m/>
    <m/>
    <s v="Gujarat"/>
    <m/>
    <m/>
    <m/>
    <n v="944226"/>
    <x v="44"/>
    <n v="3889776"/>
    <s v="GL COIL HARD  Y550GL H0GL 0.900X1249"/>
    <n v="150"/>
    <m/>
    <m/>
    <m/>
    <m/>
    <s v="B04"/>
    <s v="Y550GL"/>
    <s v="H0GL"/>
    <n v="0.9"/>
    <n v="1249"/>
    <n v="0"/>
    <n v="29"/>
    <n v="0"/>
    <n v="29"/>
    <n v="29"/>
    <n v="29"/>
    <n v="29"/>
    <n v="0"/>
    <n v="0"/>
    <n v="0"/>
    <n v="0"/>
    <n v="0"/>
    <n v="0"/>
    <n v="0"/>
    <n v="0"/>
    <n v="0"/>
    <n v="0"/>
    <n v="0"/>
    <n v="0"/>
    <n v="0"/>
    <n v="0"/>
    <n v="0"/>
    <n v="0"/>
    <n v="0"/>
    <n v="0"/>
    <n v="0"/>
    <n v="0"/>
    <m/>
    <m/>
    <m/>
    <m/>
    <m/>
    <m/>
    <m/>
    <m/>
    <m/>
    <m/>
    <m/>
    <m/>
    <m/>
    <m/>
    <m/>
    <m/>
    <m/>
    <m/>
    <m/>
    <m/>
    <m/>
    <m/>
    <m/>
    <m/>
    <m/>
    <m/>
    <m/>
    <m/>
    <m/>
    <m/>
    <m/>
    <m/>
    <m/>
    <m/>
    <m/>
    <m/>
    <m/>
    <m/>
    <m/>
    <m/>
    <m/>
    <m/>
    <m/>
    <m/>
    <m/>
    <m/>
    <m/>
    <m/>
    <m/>
    <m/>
    <m/>
    <m/>
  </r>
  <r>
    <n v="743"/>
    <d v="2025-04-23T00:00:00"/>
    <s v="ZBTO"/>
    <n v="9518713333"/>
    <n v="1"/>
    <s v="9518713333-1"/>
    <s v="May'25 additional"/>
    <x v="0"/>
    <m/>
    <x v="4"/>
    <x v="5"/>
    <n v="1000"/>
    <m/>
    <x v="1"/>
    <m/>
    <m/>
    <s v="Uttar Pradesh"/>
    <m/>
    <m/>
    <m/>
    <n v="188916"/>
    <x v="126"/>
    <n v="3865176"/>
    <s v="GL COIL HARD  Y550GL HGL6 0.900X1250"/>
    <n v="150"/>
    <m/>
    <m/>
    <m/>
    <m/>
    <s v="B04"/>
    <s v="Y550GL"/>
    <s v="HGL6"/>
    <n v="0.9"/>
    <n v="1250"/>
    <n v="0"/>
    <n v="290"/>
    <n v="0"/>
    <n v="290"/>
    <n v="290"/>
    <n v="290"/>
    <n v="290"/>
    <n v="0"/>
    <n v="0"/>
    <n v="0"/>
    <n v="0"/>
    <n v="0"/>
    <n v="0"/>
    <n v="0"/>
    <n v="0"/>
    <n v="0"/>
    <n v="0"/>
    <n v="0"/>
    <n v="0"/>
    <n v="0"/>
    <n v="0"/>
    <n v="0"/>
    <n v="0"/>
    <n v="0"/>
    <n v="0"/>
    <n v="0"/>
    <n v="0"/>
    <m/>
    <m/>
    <m/>
    <m/>
    <m/>
    <m/>
    <m/>
    <m/>
    <m/>
    <m/>
    <m/>
    <m/>
    <m/>
    <m/>
    <m/>
    <m/>
    <m/>
    <m/>
    <m/>
    <m/>
    <m/>
    <m/>
    <m/>
    <m/>
    <m/>
    <m/>
    <m/>
    <m/>
    <m/>
    <m/>
    <m/>
    <m/>
    <m/>
    <m/>
    <m/>
    <m/>
    <m/>
    <m/>
    <m/>
    <m/>
    <m/>
    <m/>
    <m/>
    <m/>
    <m/>
    <m/>
    <m/>
    <m/>
    <m/>
    <m/>
    <m/>
    <m/>
  </r>
  <r>
    <n v="743"/>
    <d v="2025-04-23T00:00:00"/>
    <s v="ZBTO"/>
    <n v="9518713406"/>
    <n v="1"/>
    <s v="9518713406-1"/>
    <s v="May'25 additional"/>
    <x v="0"/>
    <m/>
    <x v="4"/>
    <x v="5"/>
    <n v="1000"/>
    <m/>
    <x v="1"/>
    <m/>
    <m/>
    <s v="Uttar Pradesh"/>
    <m/>
    <m/>
    <m/>
    <n v="188916"/>
    <x v="126"/>
    <n v="3865176"/>
    <s v="GL COIL HARD  Y550GL HGL6 0.900X1250"/>
    <n v="150"/>
    <m/>
    <m/>
    <m/>
    <m/>
    <s v="B04"/>
    <s v="Y550GL"/>
    <s v="HGL6"/>
    <n v="0.9"/>
    <n v="1250"/>
    <n v="0"/>
    <n v="290"/>
    <n v="0"/>
    <n v="290"/>
    <n v="290"/>
    <n v="290"/>
    <n v="290"/>
    <n v="0"/>
    <n v="0"/>
    <n v="0"/>
    <n v="0"/>
    <n v="0"/>
    <n v="0"/>
    <n v="0"/>
    <n v="0"/>
    <n v="0"/>
    <n v="0"/>
    <n v="0"/>
    <n v="0"/>
    <n v="0"/>
    <n v="0"/>
    <n v="0"/>
    <n v="0"/>
    <n v="0"/>
    <n v="0"/>
    <n v="0"/>
    <n v="0"/>
    <m/>
    <m/>
    <m/>
    <m/>
    <m/>
    <m/>
    <m/>
    <m/>
    <m/>
    <m/>
    <m/>
    <m/>
    <m/>
    <m/>
    <m/>
    <m/>
    <m/>
    <m/>
    <m/>
    <m/>
    <m/>
    <m/>
    <m/>
    <m/>
    <m/>
    <m/>
    <m/>
    <m/>
    <m/>
    <m/>
    <m/>
    <m/>
    <m/>
    <m/>
    <m/>
    <m/>
    <m/>
    <m/>
    <m/>
    <m/>
    <m/>
    <m/>
    <m/>
    <m/>
    <m/>
    <m/>
    <m/>
    <m/>
    <m/>
    <m/>
    <m/>
    <m/>
  </r>
  <r>
    <n v="743"/>
    <d v="2025-04-26T00:00:00"/>
    <s v="ZBTO"/>
    <n v="9518724466"/>
    <n v="1"/>
    <s v="9518724466-1"/>
    <s v="May'25 additional"/>
    <x v="0"/>
    <m/>
    <x v="3"/>
    <x v="4"/>
    <n v="2000"/>
    <m/>
    <x v="1"/>
    <m/>
    <m/>
    <s v="Karnataka"/>
    <m/>
    <m/>
    <m/>
    <n v="942923"/>
    <x v="14"/>
    <n v="304874"/>
    <s v="GPCOIL TATXGP GP02 0.25X1015"/>
    <s v=""/>
    <m/>
    <m/>
    <m/>
    <m/>
    <s v="C05"/>
    <s v="TATXGP"/>
    <s v="GP02"/>
    <n v="0.25"/>
    <n v="1015"/>
    <n v="0"/>
    <n v="23"/>
    <n v="0"/>
    <n v="23"/>
    <n v="23"/>
    <n v="23"/>
    <n v="23"/>
    <n v="0"/>
    <n v="0"/>
    <n v="0"/>
    <n v="0"/>
    <n v="0"/>
    <n v="0"/>
    <n v="0"/>
    <n v="0"/>
    <n v="0"/>
    <n v="0"/>
    <n v="0"/>
    <n v="0"/>
    <n v="0"/>
    <n v="0"/>
    <n v="0"/>
    <n v="0"/>
    <n v="0"/>
    <n v="0"/>
    <n v="0"/>
    <n v="0"/>
    <m/>
    <m/>
    <m/>
    <m/>
    <m/>
    <m/>
    <m/>
    <m/>
    <m/>
    <m/>
    <m/>
    <m/>
    <m/>
    <m/>
    <m/>
    <m/>
    <m/>
    <m/>
    <m/>
    <m/>
    <m/>
    <m/>
    <m/>
    <m/>
    <m/>
    <m/>
    <m/>
    <m/>
    <m/>
    <m/>
    <m/>
    <m/>
    <m/>
    <m/>
    <m/>
    <m/>
    <m/>
    <m/>
    <m/>
    <m/>
    <m/>
    <m/>
    <m/>
    <m/>
    <m/>
    <m/>
    <m/>
    <m/>
    <m/>
    <m/>
    <m/>
    <m/>
  </r>
  <r>
    <n v="743"/>
    <d v="2025-04-26T00:00:00"/>
    <s v="ZBTO"/>
    <n v="9518724466"/>
    <n v="5"/>
    <s v="9518724466-5"/>
    <s v="May'25 additional"/>
    <x v="0"/>
    <m/>
    <x v="3"/>
    <x v="4"/>
    <n v="2000"/>
    <m/>
    <x v="1"/>
    <m/>
    <m/>
    <s v="Karnataka"/>
    <m/>
    <m/>
    <m/>
    <n v="942923"/>
    <x v="14"/>
    <n v="3767014"/>
    <s v="GP COIL TATGPH GP02 0.400X1350"/>
    <s v=""/>
    <m/>
    <m/>
    <m/>
    <m/>
    <s v="C05"/>
    <s v="TATGPH"/>
    <s v="GP02"/>
    <n v="0.4"/>
    <n v="1350"/>
    <n v="0"/>
    <n v="31"/>
    <n v="0"/>
    <n v="31"/>
    <n v="31"/>
    <n v="31"/>
    <n v="31"/>
    <n v="0"/>
    <n v="0"/>
    <n v="0"/>
    <n v="0"/>
    <n v="0"/>
    <n v="0"/>
    <n v="0"/>
    <n v="0"/>
    <n v="0"/>
    <n v="0"/>
    <n v="0"/>
    <n v="0"/>
    <n v="0"/>
    <n v="0"/>
    <n v="0"/>
    <n v="0"/>
    <n v="0"/>
    <n v="0"/>
    <n v="0"/>
    <n v="0"/>
    <m/>
    <m/>
    <m/>
    <m/>
    <m/>
    <m/>
    <m/>
    <m/>
    <m/>
    <m/>
    <m/>
    <m/>
    <m/>
    <m/>
    <m/>
    <m/>
    <m/>
    <m/>
    <m/>
    <m/>
    <m/>
    <m/>
    <m/>
    <m/>
    <m/>
    <m/>
    <m/>
    <m/>
    <m/>
    <m/>
    <m/>
    <m/>
    <m/>
    <m/>
    <m/>
    <m/>
    <m/>
    <m/>
    <m/>
    <m/>
    <m/>
    <m/>
    <m/>
    <m/>
    <m/>
    <m/>
    <m/>
    <m/>
    <m/>
    <m/>
    <m/>
    <m/>
  </r>
  <r>
    <n v="743"/>
    <d v="2025-04-26T00:00:00"/>
    <s v="ZBTO"/>
    <n v="9518724466"/>
    <n v="7"/>
    <s v="9518724466-7"/>
    <s v="May'25 additional"/>
    <x v="0"/>
    <m/>
    <x v="3"/>
    <x v="4"/>
    <n v="2000"/>
    <m/>
    <x v="1"/>
    <m/>
    <m/>
    <s v="Karnataka"/>
    <m/>
    <m/>
    <m/>
    <n v="942923"/>
    <x v="14"/>
    <n v="3708868"/>
    <s v="GP COIL TATGPH GP02 0.500X1350"/>
    <s v=""/>
    <m/>
    <m/>
    <m/>
    <m/>
    <s v="C05"/>
    <s v="TATGPH"/>
    <s v="GP02"/>
    <n v="0.5"/>
    <n v="1350"/>
    <n v="0"/>
    <n v="93"/>
    <n v="0"/>
    <n v="93"/>
    <n v="93"/>
    <n v="93"/>
    <n v="93"/>
    <n v="0"/>
    <n v="0"/>
    <n v="0"/>
    <n v="0"/>
    <n v="0"/>
    <n v="0"/>
    <n v="0"/>
    <n v="0"/>
    <n v="0"/>
    <n v="0"/>
    <n v="0"/>
    <n v="0"/>
    <n v="0"/>
    <n v="0"/>
    <n v="0"/>
    <n v="0"/>
    <n v="0"/>
    <n v="0"/>
    <n v="0"/>
    <n v="0"/>
    <m/>
    <m/>
    <m/>
    <m/>
    <m/>
    <m/>
    <m/>
    <m/>
    <m/>
    <m/>
    <m/>
    <m/>
    <m/>
    <m/>
    <m/>
    <m/>
    <m/>
    <m/>
    <m/>
    <m/>
    <m/>
    <m/>
    <m/>
    <m/>
    <m/>
    <m/>
    <m/>
    <m/>
    <m/>
    <m/>
    <m/>
    <m/>
    <m/>
    <m/>
    <m/>
    <m/>
    <m/>
    <m/>
    <m/>
    <m/>
    <m/>
    <m/>
    <m/>
    <m/>
    <m/>
    <m/>
    <m/>
    <m/>
    <m/>
    <m/>
    <m/>
    <m/>
  </r>
  <r>
    <n v="743"/>
    <d v="2025-04-26T00:00:00"/>
    <s v="ZBTO"/>
    <n v="9518724466"/>
    <n v="8"/>
    <s v="9518724466-8"/>
    <s v="May'25 additional"/>
    <x v="0"/>
    <m/>
    <x v="3"/>
    <x v="4"/>
    <n v="2000"/>
    <m/>
    <x v="1"/>
    <m/>
    <m/>
    <s v="Karnataka"/>
    <m/>
    <m/>
    <m/>
    <n v="942923"/>
    <x v="14"/>
    <n v="3767015"/>
    <s v="GP COIL TATGPH GP02 0.600X1350"/>
    <s v=""/>
    <m/>
    <m/>
    <m/>
    <m/>
    <s v="C05"/>
    <s v="TATGPH"/>
    <s v="GP02"/>
    <n v="0.6"/>
    <n v="1350"/>
    <n v="0"/>
    <n v="31"/>
    <n v="0"/>
    <n v="31"/>
    <n v="31"/>
    <n v="31"/>
    <n v="31"/>
    <n v="0"/>
    <n v="0"/>
    <n v="0"/>
    <n v="0"/>
    <n v="0"/>
    <n v="0"/>
    <n v="0"/>
    <n v="0"/>
    <n v="0"/>
    <n v="0"/>
    <n v="0"/>
    <n v="0"/>
    <n v="0"/>
    <n v="0"/>
    <n v="0"/>
    <n v="0"/>
    <n v="0"/>
    <n v="0"/>
    <n v="0"/>
    <n v="0"/>
    <m/>
    <m/>
    <m/>
    <m/>
    <m/>
    <m/>
    <m/>
    <m/>
    <m/>
    <m/>
    <m/>
    <m/>
    <m/>
    <m/>
    <m/>
    <m/>
    <m/>
    <m/>
    <m/>
    <m/>
    <m/>
    <m/>
    <m/>
    <m/>
    <m/>
    <m/>
    <m/>
    <m/>
    <m/>
    <m/>
    <m/>
    <m/>
    <m/>
    <m/>
    <m/>
    <m/>
    <m/>
    <m/>
    <m/>
    <m/>
    <m/>
    <m/>
    <m/>
    <m/>
    <m/>
    <m/>
    <m/>
    <m/>
    <m/>
    <m/>
    <m/>
    <m/>
  </r>
  <r>
    <n v="743"/>
    <d v="2025-04-24T00:00:00"/>
    <s v="ZBTO"/>
    <n v="9518718466"/>
    <n v="1"/>
    <s v="9518718466-1"/>
    <s v="May'25 additional"/>
    <x v="0"/>
    <m/>
    <x v="4"/>
    <x v="3"/>
    <n v="1000"/>
    <m/>
    <x v="1"/>
    <m/>
    <m/>
    <s v="Jharkhand"/>
    <m/>
    <m/>
    <m/>
    <n v="942283"/>
    <x v="39"/>
    <n v="1881969"/>
    <s v="GL C YS550 H6GL 0.45BMT(0.50TCT)X1220"/>
    <n v="150"/>
    <m/>
    <m/>
    <m/>
    <m/>
    <s v="B04"/>
    <s v="Y550GL"/>
    <s v="H6GL"/>
    <n v="0.45"/>
    <n v="1220"/>
    <n v="0"/>
    <n v="196"/>
    <n v="0"/>
    <n v="196"/>
    <n v="196"/>
    <n v="196"/>
    <n v="196"/>
    <n v="0"/>
    <n v="0"/>
    <n v="0"/>
    <n v="0"/>
    <n v="0"/>
    <n v="0"/>
    <n v="0"/>
    <n v="0"/>
    <n v="0"/>
    <n v="0"/>
    <n v="0"/>
    <n v="0"/>
    <n v="0"/>
    <n v="0"/>
    <n v="0"/>
    <n v="0"/>
    <n v="0"/>
    <n v="0"/>
    <n v="0"/>
    <n v="0"/>
    <m/>
    <m/>
    <m/>
    <m/>
    <m/>
    <m/>
    <m/>
    <m/>
    <m/>
    <m/>
    <m/>
    <m/>
    <m/>
    <m/>
    <m/>
    <m/>
    <m/>
    <m/>
    <m/>
    <m/>
    <m/>
    <m/>
    <m/>
    <m/>
    <m/>
    <m/>
    <m/>
    <m/>
    <m/>
    <m/>
    <m/>
    <m/>
    <m/>
    <m/>
    <m/>
    <m/>
    <m/>
    <m/>
    <m/>
    <m/>
    <m/>
    <m/>
    <m/>
    <m/>
    <m/>
    <m/>
    <m/>
    <m/>
    <m/>
    <m/>
    <m/>
    <m/>
  </r>
  <r>
    <n v="742"/>
    <d v="2025-04-22T00:00:00"/>
    <s v="ZBTO"/>
    <n v="9518712653"/>
    <n v="1"/>
    <s v="9518712653-1"/>
    <s v="May'25 additional"/>
    <x v="0"/>
    <m/>
    <x v="1"/>
    <x v="10"/>
    <n v="1000"/>
    <m/>
    <x v="1"/>
    <m/>
    <m/>
    <m/>
    <m/>
    <m/>
    <m/>
    <m/>
    <x v="40"/>
    <n v="2421723"/>
    <s v="CRCA COIL TATXXD BT02 0.770X920"/>
    <m/>
    <m/>
    <m/>
    <m/>
    <m/>
    <s v="C01"/>
    <s v="TATXXD"/>
    <s v="BT02"/>
    <n v="0.77"/>
    <n v="920"/>
    <n v="0"/>
    <n v="273"/>
    <n v="0"/>
    <n v="273"/>
    <n v="273"/>
    <n v="273"/>
    <n v="273"/>
    <m/>
    <n v="0"/>
    <n v="0"/>
    <n v="0"/>
    <n v="0"/>
    <n v="0"/>
    <n v="0"/>
    <n v="0"/>
    <n v="0"/>
    <n v="0"/>
    <n v="0"/>
    <n v="0"/>
    <n v="0"/>
    <n v="0"/>
    <n v="0"/>
    <n v="0"/>
    <n v="0"/>
    <n v="0"/>
    <n v="0"/>
    <n v="0"/>
    <m/>
    <m/>
    <m/>
    <m/>
    <m/>
    <m/>
    <m/>
    <m/>
    <m/>
    <m/>
    <m/>
    <m/>
    <m/>
    <m/>
    <m/>
    <m/>
    <m/>
    <m/>
    <m/>
    <m/>
    <m/>
    <m/>
    <m/>
    <m/>
    <m/>
    <m/>
    <m/>
    <m/>
    <m/>
    <m/>
    <m/>
    <m/>
    <m/>
    <m/>
    <m/>
    <m/>
    <m/>
    <m/>
    <m/>
    <m/>
    <m/>
    <m/>
    <m/>
    <m/>
    <m/>
    <m/>
    <m/>
    <m/>
    <m/>
    <m/>
    <m/>
    <m/>
  </r>
  <r>
    <n v="742"/>
    <d v="2025-04-22T00:00:00"/>
    <s v="ZBTO"/>
    <n v="9518712672"/>
    <n v="7"/>
    <s v="9518712672-7"/>
    <s v="May'25 additional"/>
    <x v="0"/>
    <m/>
    <x v="1"/>
    <x v="10"/>
    <n v="1000"/>
    <m/>
    <x v="1"/>
    <m/>
    <m/>
    <m/>
    <m/>
    <m/>
    <m/>
    <m/>
    <x v="40"/>
    <n v="2279492"/>
    <s v="CRCA COIL TATXXD BT01 0.900X1220"/>
    <m/>
    <m/>
    <m/>
    <m/>
    <m/>
    <s v="C01"/>
    <s v="TATXXD"/>
    <s v="BT01"/>
    <n v="0.9"/>
    <n v="1220"/>
    <n v="0"/>
    <n v="28"/>
    <n v="0"/>
    <n v="28"/>
    <n v="28"/>
    <n v="28"/>
    <n v="28"/>
    <m/>
    <n v="0"/>
    <n v="0"/>
    <n v="0"/>
    <n v="0"/>
    <n v="0"/>
    <n v="0"/>
    <n v="0"/>
    <n v="0"/>
    <n v="0"/>
    <n v="0"/>
    <n v="0"/>
    <n v="0"/>
    <n v="0"/>
    <n v="0"/>
    <n v="0"/>
    <n v="0"/>
    <n v="0"/>
    <n v="0"/>
    <n v="0"/>
    <m/>
    <m/>
    <m/>
    <m/>
    <m/>
    <m/>
    <m/>
    <m/>
    <m/>
    <m/>
    <m/>
    <m/>
    <m/>
    <m/>
    <m/>
    <m/>
    <m/>
    <m/>
    <m/>
    <m/>
    <m/>
    <m/>
    <m/>
    <m/>
    <m/>
    <m/>
    <m/>
    <m/>
    <m/>
    <m/>
    <m/>
    <m/>
    <m/>
    <m/>
    <m/>
    <m/>
    <m/>
    <m/>
    <m/>
    <m/>
    <m/>
    <m/>
    <m/>
    <m/>
    <m/>
    <m/>
    <m/>
    <m/>
    <m/>
    <m/>
    <m/>
    <m/>
  </r>
  <r>
    <n v="742"/>
    <d v="2025-04-22T00:00:00"/>
    <s v="ZBTO"/>
    <n v="9518712677"/>
    <n v="2"/>
    <s v="9518712677-2"/>
    <s v="May'25 additional"/>
    <x v="0"/>
    <m/>
    <x v="1"/>
    <x v="10"/>
    <n v="1000"/>
    <m/>
    <x v="1"/>
    <m/>
    <m/>
    <m/>
    <m/>
    <m/>
    <m/>
    <m/>
    <x v="40"/>
    <n v="2299154"/>
    <s v="CRCA COIL TATXXD BT02 0.800X920"/>
    <m/>
    <m/>
    <m/>
    <m/>
    <m/>
    <s v="C01"/>
    <s v="TATXXD"/>
    <s v="BT02"/>
    <n v="0.8"/>
    <n v="920"/>
    <n v="0"/>
    <n v="84"/>
    <n v="0"/>
    <n v="84"/>
    <n v="84"/>
    <n v="84"/>
    <n v="84"/>
    <m/>
    <n v="0"/>
    <n v="0"/>
    <n v="0"/>
    <n v="0"/>
    <n v="0"/>
    <n v="0"/>
    <n v="0"/>
    <n v="0"/>
    <n v="0"/>
    <n v="0"/>
    <n v="0"/>
    <n v="0"/>
    <n v="0"/>
    <n v="0"/>
    <n v="0"/>
    <n v="0"/>
    <n v="0"/>
    <n v="0"/>
    <n v="0"/>
    <m/>
    <m/>
    <m/>
    <m/>
    <m/>
    <m/>
    <m/>
    <m/>
    <m/>
    <m/>
    <m/>
    <m/>
    <m/>
    <m/>
    <m/>
    <m/>
    <m/>
    <m/>
    <m/>
    <m/>
    <m/>
    <m/>
    <m/>
    <m/>
    <m/>
    <m/>
    <m/>
    <m/>
    <m/>
    <m/>
    <m/>
    <m/>
    <m/>
    <m/>
    <m/>
    <m/>
    <m/>
    <m/>
    <m/>
    <m/>
    <m/>
    <m/>
    <m/>
    <m/>
    <m/>
    <m/>
    <m/>
    <m/>
    <m/>
    <m/>
    <m/>
    <m/>
  </r>
  <r>
    <n v="742"/>
    <d v="2025-04-22T00:00:00"/>
    <s v="ZBTO"/>
    <n v="9518712674"/>
    <n v="4"/>
    <s v="9518712674-4"/>
    <s v="May'25 additional"/>
    <x v="0"/>
    <m/>
    <x v="1"/>
    <x v="10"/>
    <n v="1000"/>
    <m/>
    <x v="1"/>
    <m/>
    <m/>
    <m/>
    <m/>
    <m/>
    <m/>
    <m/>
    <x v="40"/>
    <n v="2170008"/>
    <s v="CRCA COIL TATXXD BT01 0.970X1220"/>
    <m/>
    <m/>
    <m/>
    <m/>
    <m/>
    <s v="C01"/>
    <s v="TATXXD"/>
    <s v="BT01"/>
    <n v="0.97"/>
    <n v="1220"/>
    <n v="0"/>
    <n v="196"/>
    <n v="0"/>
    <n v="196"/>
    <n v="196"/>
    <n v="196"/>
    <n v="196"/>
    <m/>
    <n v="0"/>
    <n v="0"/>
    <n v="0"/>
    <n v="0"/>
    <n v="0"/>
    <n v="0"/>
    <n v="0"/>
    <n v="0"/>
    <n v="0"/>
    <n v="0"/>
    <n v="0"/>
    <n v="0"/>
    <n v="0"/>
    <n v="0"/>
    <n v="0"/>
    <n v="0"/>
    <n v="0"/>
    <n v="0"/>
    <n v="0"/>
    <m/>
    <m/>
    <m/>
    <m/>
    <m/>
    <m/>
    <m/>
    <m/>
    <m/>
    <m/>
    <m/>
    <m/>
    <m/>
    <m/>
    <m/>
    <m/>
    <m/>
    <m/>
    <m/>
    <m/>
    <m/>
    <m/>
    <m/>
    <m/>
    <m/>
    <m/>
    <m/>
    <m/>
    <m/>
    <m/>
    <m/>
    <m/>
    <m/>
    <m/>
    <m/>
    <m/>
    <m/>
    <m/>
    <m/>
    <m/>
    <m/>
    <m/>
    <m/>
    <m/>
    <m/>
    <m/>
    <m/>
    <m/>
    <m/>
    <m/>
    <m/>
    <m/>
  </r>
  <r>
    <n v="742"/>
    <d v="2025-04-28T00:00:00"/>
    <s v="ZBTO"/>
    <n v="9518729315"/>
    <n v="2"/>
    <s v="9518729315-2"/>
    <s v="May'25 additional"/>
    <x v="0"/>
    <m/>
    <x v="1"/>
    <x v="10"/>
    <n v="1000"/>
    <m/>
    <x v="1"/>
    <m/>
    <m/>
    <m/>
    <m/>
    <m/>
    <m/>
    <m/>
    <x v="42"/>
    <n v="2403240"/>
    <s v="CRCA COIL TATXXD BT02 0.800X925"/>
    <m/>
    <m/>
    <m/>
    <m/>
    <m/>
    <s v="C01"/>
    <s v="TATXXD"/>
    <s v="BT02"/>
    <n v="0.8"/>
    <n v="925"/>
    <n v="0"/>
    <n v="105"/>
    <n v="0"/>
    <n v="105"/>
    <n v="105"/>
    <n v="105"/>
    <n v="105"/>
    <m/>
    <n v="0"/>
    <n v="0"/>
    <n v="0"/>
    <n v="0"/>
    <n v="0"/>
    <n v="0"/>
    <n v="0"/>
    <n v="0"/>
    <n v="0"/>
    <n v="0"/>
    <n v="0"/>
    <n v="0"/>
    <n v="0"/>
    <n v="0"/>
    <n v="0"/>
    <n v="0"/>
    <n v="0"/>
    <n v="0"/>
    <n v="0"/>
    <m/>
    <m/>
    <m/>
    <m/>
    <m/>
    <m/>
    <m/>
    <m/>
    <m/>
    <m/>
    <m/>
    <m/>
    <m/>
    <m/>
    <m/>
    <m/>
    <m/>
    <m/>
    <m/>
    <m/>
    <m/>
    <m/>
    <m/>
    <m/>
    <m/>
    <m/>
    <m/>
    <m/>
    <m/>
    <m/>
    <m/>
    <m/>
    <m/>
    <m/>
    <m/>
    <m/>
    <m/>
    <m/>
    <m/>
    <m/>
    <m/>
    <m/>
    <m/>
    <m/>
    <m/>
    <m/>
    <m/>
    <m/>
    <m/>
    <m/>
    <m/>
    <m/>
  </r>
  <r>
    <n v="742"/>
    <d v="2025-04-22T00:00:00"/>
    <s v="ZBTO"/>
    <n v="9518712127"/>
    <n v="9"/>
    <s v="9518712127-9"/>
    <s v="May'25"/>
    <x v="0"/>
    <m/>
    <x v="1"/>
    <x v="1"/>
    <s v="2000-BPRS"/>
    <m/>
    <x v="1"/>
    <m/>
    <m/>
    <m/>
    <m/>
    <s v="SALEM"/>
    <m/>
    <n v="116465"/>
    <x v="13"/>
    <n v="1801290"/>
    <s v="CRCA COIL-TATXXD-AU03-0.6X1250"/>
    <m/>
    <m/>
    <n v="6"/>
    <n v="18"/>
    <m/>
    <s v="C01"/>
    <s v="TATXXD"/>
    <s v="AU03"/>
    <n v="0.6"/>
    <n v="1250"/>
    <n v="0"/>
    <n v="29"/>
    <n v="0"/>
    <n v="29"/>
    <m/>
    <m/>
    <n v="29"/>
    <m/>
    <n v="0"/>
    <n v="0"/>
    <n v="0"/>
    <n v="0"/>
    <n v="0"/>
    <n v="0"/>
    <n v="0"/>
    <n v="0"/>
    <n v="0"/>
    <n v="0"/>
    <n v="0"/>
    <n v="0"/>
    <n v="26.71"/>
    <n v="0"/>
    <n v="0"/>
    <n v="0"/>
    <n v="0"/>
    <n v="0"/>
    <n v="26.71"/>
    <m/>
    <m/>
    <m/>
    <m/>
    <m/>
    <m/>
    <m/>
    <m/>
    <m/>
    <m/>
    <m/>
    <m/>
    <m/>
    <m/>
    <m/>
    <m/>
    <m/>
    <m/>
    <m/>
    <m/>
    <m/>
    <m/>
    <m/>
    <m/>
    <m/>
    <m/>
    <m/>
    <m/>
    <m/>
    <m/>
    <m/>
    <m/>
    <m/>
    <m/>
    <m/>
    <m/>
    <m/>
    <m/>
    <m/>
    <m/>
    <m/>
    <m/>
    <m/>
    <m/>
    <m/>
    <m/>
    <m/>
    <m/>
    <m/>
    <m/>
    <m/>
    <m/>
  </r>
  <r>
    <n v="742"/>
    <d v="2025-04-22T00:00:00"/>
    <s v="ZBTO"/>
    <n v="9518712127"/>
    <n v="10"/>
    <s v="9518712127-10"/>
    <s v="May'25"/>
    <x v="0"/>
    <m/>
    <x v="1"/>
    <x v="1"/>
    <s v="2000-BPRS"/>
    <m/>
    <x v="1"/>
    <m/>
    <m/>
    <m/>
    <m/>
    <s v="SALEM"/>
    <m/>
    <n v="116465"/>
    <x v="13"/>
    <n v="1801456"/>
    <s v="CRCA COIL-TATXXD-AU03-0.7X1250"/>
    <m/>
    <m/>
    <n v="6"/>
    <n v="18"/>
    <m/>
    <s v="C01"/>
    <s v="TATXXD"/>
    <s v="AU03"/>
    <n v="0.7"/>
    <n v="1250"/>
    <n v="0"/>
    <n v="29"/>
    <n v="0"/>
    <n v="29"/>
    <m/>
    <m/>
    <n v="29"/>
    <m/>
    <n v="0"/>
    <n v="0"/>
    <n v="0"/>
    <n v="0"/>
    <n v="0"/>
    <n v="0"/>
    <n v="0"/>
    <n v="0"/>
    <n v="0"/>
    <n v="0"/>
    <n v="0"/>
    <n v="0"/>
    <n v="27.55"/>
    <n v="0"/>
    <n v="0"/>
    <n v="0"/>
    <n v="0"/>
    <n v="0"/>
    <n v="27.55"/>
    <m/>
    <m/>
    <m/>
    <m/>
    <m/>
    <m/>
    <m/>
    <m/>
    <m/>
    <m/>
    <m/>
    <m/>
    <m/>
    <m/>
    <m/>
    <m/>
    <m/>
    <m/>
    <m/>
    <m/>
    <m/>
    <m/>
    <m/>
    <m/>
    <m/>
    <m/>
    <m/>
    <m/>
    <m/>
    <m/>
    <m/>
    <m/>
    <m/>
    <m/>
    <m/>
    <m/>
    <m/>
    <m/>
    <m/>
    <m/>
    <m/>
    <m/>
    <m/>
    <m/>
    <m/>
    <m/>
    <m/>
    <m/>
    <m/>
    <m/>
    <m/>
    <m/>
  </r>
  <r>
    <n v="742"/>
    <d v="2025-04-17T00:00:00"/>
    <s v="ZBTO"/>
    <n v="9518699641"/>
    <n v="1"/>
    <s v="9518699641-1"/>
    <s v="May'25"/>
    <x v="0"/>
    <m/>
    <x v="1"/>
    <x v="1"/>
    <s v="2000-BPRS"/>
    <m/>
    <x v="1"/>
    <m/>
    <m/>
    <m/>
    <m/>
    <s v="GUMMIDIPOONDI"/>
    <m/>
    <n v="161312"/>
    <x v="54"/>
    <n v="1801456"/>
    <s v="CRCA COIL-TATXXD-AU03-0.7X1250"/>
    <m/>
    <m/>
    <n v="5"/>
    <n v="29"/>
    <m/>
    <s v="C01"/>
    <s v="TATXXD"/>
    <s v="AU03"/>
    <n v="0.7"/>
    <n v="1250"/>
    <n v="0"/>
    <n v="29"/>
    <n v="0"/>
    <n v="29"/>
    <m/>
    <m/>
    <n v="29"/>
    <m/>
    <n v="0"/>
    <n v="0"/>
    <n v="0"/>
    <n v="0"/>
    <n v="0"/>
    <n v="0"/>
    <n v="0"/>
    <n v="0"/>
    <n v="0"/>
    <n v="0"/>
    <n v="0"/>
    <n v="0"/>
    <n v="27.46"/>
    <n v="0"/>
    <n v="0"/>
    <n v="0"/>
    <n v="0"/>
    <n v="0"/>
    <n v="27.46"/>
    <m/>
    <m/>
    <m/>
    <m/>
    <m/>
    <m/>
    <m/>
    <m/>
    <m/>
    <m/>
    <m/>
    <m/>
    <m/>
    <m/>
    <m/>
    <m/>
    <m/>
    <m/>
    <m/>
    <m/>
    <m/>
    <m/>
    <m/>
    <m/>
    <m/>
    <m/>
    <m/>
    <m/>
    <m/>
    <m/>
    <m/>
    <m/>
    <m/>
    <m/>
    <m/>
    <m/>
    <m/>
    <m/>
    <m/>
    <m/>
    <m/>
    <m/>
    <m/>
    <m/>
    <m/>
    <m/>
    <m/>
    <m/>
    <m/>
    <m/>
    <m/>
    <m/>
  </r>
  <r>
    <n v="742"/>
    <d v="2025-04-16T00:00:00"/>
    <s v="ZBTO"/>
    <n v="9518696886"/>
    <n v="2"/>
    <s v="9518696886-2"/>
    <s v="May'25"/>
    <x v="0"/>
    <m/>
    <x v="1"/>
    <x v="2"/>
    <s v="2000-BPRS"/>
    <m/>
    <x v="1"/>
    <m/>
    <m/>
    <m/>
    <m/>
    <s v="GORAKHPUR"/>
    <m/>
    <n v="115841"/>
    <x v="7"/>
    <n v="3240760"/>
    <s v="CRCA SHEET TSBCRC SR15 0.500X1000X2500"/>
    <m/>
    <m/>
    <n v="0"/>
    <n v="0"/>
    <m/>
    <s v="C06"/>
    <s v="TSBCRC"/>
    <s v="SR15"/>
    <n v="0.5"/>
    <n v="1000"/>
    <n v="2500"/>
    <n v="30"/>
    <n v="0"/>
    <n v="30"/>
    <m/>
    <m/>
    <n v="30"/>
    <m/>
    <n v="0"/>
    <n v="0"/>
    <n v="0"/>
    <n v="0"/>
    <n v="0"/>
    <n v="0"/>
    <n v="0"/>
    <n v="0"/>
    <n v="0"/>
    <n v="0"/>
    <n v="0"/>
    <n v="22.26"/>
    <n v="0"/>
    <n v="0"/>
    <n v="0"/>
    <n v="0"/>
    <n v="0"/>
    <n v="0"/>
    <n v="22.26"/>
    <m/>
    <m/>
    <m/>
    <m/>
    <m/>
    <m/>
    <m/>
    <m/>
    <m/>
    <m/>
    <m/>
    <m/>
    <m/>
    <m/>
    <m/>
    <m/>
    <m/>
    <m/>
    <m/>
    <m/>
    <m/>
    <m/>
    <m/>
    <m/>
    <m/>
    <m/>
    <m/>
    <m/>
    <m/>
    <m/>
    <m/>
    <m/>
    <m/>
    <m/>
    <m/>
    <m/>
    <m/>
    <m/>
    <m/>
    <m/>
    <m/>
    <m/>
    <m/>
    <m/>
    <m/>
    <m/>
    <m/>
    <m/>
    <m/>
    <m/>
    <m/>
    <m/>
  </r>
  <r>
    <n v="742"/>
    <d v="2025-04-24T00:00:00"/>
    <s v="ZBTN"/>
    <n v="9518716588"/>
    <n v="1"/>
    <s v="9518716588-1"/>
    <s v="May'25"/>
    <x v="0"/>
    <m/>
    <x v="1"/>
    <x v="17"/>
    <s v="2000-BPRS"/>
    <m/>
    <x v="1"/>
    <m/>
    <m/>
    <m/>
    <m/>
    <s v="VISHAKHAPATNAM"/>
    <m/>
    <n v="189881"/>
    <x v="127"/>
    <n v="3532124"/>
    <s v="CRCA SHEET TATCRC EX08 0.300X1219X2438"/>
    <m/>
    <m/>
    <n v="2"/>
    <n v="3"/>
    <m/>
    <s v="C06"/>
    <s v="TATCRC"/>
    <s v="EX08"/>
    <n v="0.3"/>
    <n v="1219"/>
    <n v="2438"/>
    <n v="52"/>
    <n v="0"/>
    <n v="52"/>
    <m/>
    <m/>
    <n v="52"/>
    <m/>
    <n v="52.88"/>
    <n v="0"/>
    <n v="0"/>
    <n v="0"/>
    <n v="0"/>
    <n v="0"/>
    <n v="0"/>
    <n v="0"/>
    <n v="0"/>
    <n v="0"/>
    <n v="0"/>
    <n v="0"/>
    <n v="0"/>
    <n v="0"/>
    <n v="0"/>
    <n v="0"/>
    <n v="0"/>
    <n v="0"/>
    <n v="52.88"/>
    <m/>
    <m/>
    <m/>
    <m/>
    <m/>
    <m/>
    <m/>
    <m/>
    <m/>
    <m/>
    <m/>
    <m/>
    <m/>
    <m/>
    <m/>
    <m/>
    <m/>
    <m/>
    <m/>
    <m/>
    <m/>
    <m/>
    <m/>
    <m/>
    <m/>
    <m/>
    <m/>
    <m/>
    <m/>
    <m/>
    <m/>
    <m/>
    <m/>
    <m/>
    <m/>
    <m/>
    <m/>
    <m/>
    <m/>
    <m/>
    <m/>
    <m/>
    <m/>
    <m/>
    <m/>
    <m/>
    <m/>
    <m/>
    <m/>
    <m/>
    <m/>
    <m/>
  </r>
  <r>
    <n v="742"/>
    <d v="2025-04-23T00:00:00"/>
    <s v="ZBTO"/>
    <n v="9518715119"/>
    <n v="3"/>
    <s v="9518715119-3"/>
    <s v="May'25"/>
    <x v="0"/>
    <m/>
    <x v="1"/>
    <x v="2"/>
    <s v="2000-BPRS"/>
    <m/>
    <x v="1"/>
    <m/>
    <m/>
    <m/>
    <m/>
    <s v="URLA"/>
    <m/>
    <n v="931662"/>
    <x v="69"/>
    <n v="3240760"/>
    <s v="CRCA SHEET TSBCRC SR15 0.500X1000X2500"/>
    <m/>
    <m/>
    <n v="1"/>
    <n v="5"/>
    <m/>
    <s v="C06"/>
    <s v="TSBCRC"/>
    <s v="SR15"/>
    <n v="0.5"/>
    <n v="1000"/>
    <n v="2500"/>
    <n v="24"/>
    <n v="0"/>
    <n v="24"/>
    <m/>
    <m/>
    <n v="24"/>
    <m/>
    <n v="0"/>
    <n v="0"/>
    <n v="0"/>
    <n v="0"/>
    <n v="0"/>
    <n v="0"/>
    <n v="0"/>
    <n v="0"/>
    <n v="0"/>
    <n v="0"/>
    <n v="0"/>
    <n v="0"/>
    <n v="21.86"/>
    <n v="0"/>
    <n v="0"/>
    <n v="0"/>
    <n v="0"/>
    <n v="0"/>
    <n v="21.86"/>
    <m/>
    <m/>
    <m/>
    <m/>
    <m/>
    <m/>
    <m/>
    <m/>
    <m/>
    <m/>
    <m/>
    <m/>
    <m/>
    <m/>
    <m/>
    <m/>
    <m/>
    <m/>
    <m/>
    <m/>
    <m/>
    <m/>
    <m/>
    <m/>
    <m/>
    <m/>
    <m/>
    <m/>
    <m/>
    <m/>
    <m/>
    <m/>
    <m/>
    <m/>
    <m/>
    <m/>
    <m/>
    <m/>
    <m/>
    <m/>
    <m/>
    <m/>
    <m/>
    <m/>
    <m/>
    <m/>
    <m/>
    <m/>
    <m/>
    <m/>
    <m/>
    <m/>
  </r>
  <r>
    <n v="742"/>
    <d v="2025-04-21T00:00:00"/>
    <s v="ZBTF"/>
    <n v="9518709061"/>
    <n v="13"/>
    <s v="9518709061-13"/>
    <s v="No Priority"/>
    <x v="0"/>
    <m/>
    <x v="1"/>
    <x v="6"/>
    <s v="2000-BPRS"/>
    <m/>
    <x v="0"/>
    <m/>
    <m/>
    <m/>
    <s v="South"/>
    <s v="YESHWANTHPURA"/>
    <m/>
    <n v="650742"/>
    <x v="26"/>
    <n v="2279483"/>
    <s v="CRCA COIL TSBHSQ TU99 2X1270"/>
    <m/>
    <m/>
    <n v="10"/>
    <n v="27"/>
    <m/>
    <s v="C01"/>
    <s v="TSBHSQ"/>
    <s v="TU99"/>
    <n v="2"/>
    <n v="1270"/>
    <n v="0"/>
    <n v="58"/>
    <n v="0"/>
    <n v="58"/>
    <m/>
    <m/>
    <n v="58"/>
    <m/>
    <n v="0"/>
    <n v="0"/>
    <n v="28.42"/>
    <n v="0"/>
    <n v="0"/>
    <n v="0"/>
    <n v="0"/>
    <n v="0"/>
    <n v="0"/>
    <n v="0"/>
    <n v="0"/>
    <n v="0"/>
    <n v="27.14"/>
    <n v="0"/>
    <n v="0"/>
    <n v="0"/>
    <n v="0"/>
    <n v="0"/>
    <n v="55.56"/>
    <m/>
    <m/>
    <m/>
    <m/>
    <m/>
    <m/>
    <m/>
    <m/>
    <m/>
    <m/>
    <m/>
    <m/>
    <m/>
    <m/>
    <m/>
    <m/>
    <m/>
    <m/>
    <m/>
    <m/>
    <m/>
    <m/>
    <m/>
    <m/>
    <m/>
    <m/>
    <m/>
    <m/>
    <m/>
    <m/>
    <m/>
    <m/>
    <m/>
    <m/>
    <m/>
    <m/>
    <m/>
    <m/>
    <m/>
    <m/>
    <m/>
    <m/>
    <m/>
    <m/>
    <m/>
    <m/>
    <m/>
    <m/>
    <m/>
    <m/>
    <m/>
    <m/>
  </r>
  <r>
    <n v="742"/>
    <d v="2025-04-21T00:00:00"/>
    <s v="ZBTF"/>
    <n v="9518709061"/>
    <n v="11"/>
    <s v="9518709061-11"/>
    <s v="No Priority"/>
    <x v="0"/>
    <m/>
    <x v="1"/>
    <x v="6"/>
    <s v="2000-BPRS"/>
    <m/>
    <x v="0"/>
    <m/>
    <m/>
    <m/>
    <s v="South"/>
    <s v="YESHWANTHPURA"/>
    <m/>
    <n v="650742"/>
    <x v="26"/>
    <n v="2279476"/>
    <s v="CRCA COIL TSBHSQ TU99 1.400X1270"/>
    <m/>
    <m/>
    <n v="10"/>
    <n v="27"/>
    <m/>
    <s v="C01"/>
    <s v="TSBHSQ"/>
    <s v="TU99"/>
    <n v="1.4"/>
    <n v="1270"/>
    <n v="0"/>
    <n v="58"/>
    <n v="0"/>
    <n v="58"/>
    <m/>
    <m/>
    <n v="58"/>
    <m/>
    <n v="0"/>
    <n v="0"/>
    <n v="0"/>
    <n v="0"/>
    <n v="0"/>
    <n v="0"/>
    <n v="0"/>
    <n v="0"/>
    <n v="0"/>
    <n v="0"/>
    <n v="0"/>
    <n v="20.420000000000002"/>
    <n v="27.42"/>
    <n v="0"/>
    <n v="0"/>
    <n v="0"/>
    <n v="0"/>
    <n v="0"/>
    <n v="47.84"/>
    <m/>
    <m/>
    <m/>
    <m/>
    <m/>
    <m/>
    <m/>
    <m/>
    <m/>
    <m/>
    <m/>
    <m/>
    <m/>
    <m/>
    <m/>
    <m/>
    <m/>
    <m/>
    <m/>
    <m/>
    <m/>
    <m/>
    <m/>
    <m/>
    <m/>
    <m/>
    <m/>
    <m/>
    <m/>
    <m/>
    <m/>
    <m/>
    <m/>
    <m/>
    <m/>
    <m/>
    <m/>
    <m/>
    <m/>
    <m/>
    <m/>
    <m/>
    <m/>
    <m/>
    <m/>
    <m/>
    <m/>
    <m/>
    <m/>
    <m/>
    <m/>
    <m/>
  </r>
  <r>
    <n v="742"/>
    <d v="2025-04-21T00:00:00"/>
    <s v="ZBTF"/>
    <n v="9518709061"/>
    <n v="12"/>
    <s v="9518709061-12"/>
    <s v="No Priority"/>
    <x v="0"/>
    <m/>
    <x v="1"/>
    <x v="6"/>
    <s v="2000-BPRS"/>
    <m/>
    <x v="0"/>
    <m/>
    <m/>
    <m/>
    <s v="South"/>
    <s v="YESHWANTHPURA"/>
    <m/>
    <n v="650742"/>
    <x v="26"/>
    <n v="2279503"/>
    <s v="CRCA COIL TSBHSQ TU99 1.600X1270"/>
    <m/>
    <m/>
    <n v="10"/>
    <n v="27"/>
    <m/>
    <s v="C01"/>
    <s v="TSBHSQ"/>
    <s v="TU99"/>
    <n v="1.6"/>
    <n v="1270"/>
    <n v="0"/>
    <n v="87"/>
    <n v="0"/>
    <n v="87"/>
    <m/>
    <m/>
    <n v="87"/>
    <m/>
    <n v="0"/>
    <n v="0"/>
    <n v="0"/>
    <n v="0"/>
    <n v="0"/>
    <n v="0"/>
    <n v="0"/>
    <n v="0"/>
    <n v="0"/>
    <n v="0"/>
    <n v="0"/>
    <n v="0"/>
    <n v="80.260000000000005"/>
    <n v="0"/>
    <n v="0"/>
    <n v="0"/>
    <n v="0"/>
    <n v="0"/>
    <n v="80.260000000000005"/>
    <m/>
    <m/>
    <m/>
    <m/>
    <m/>
    <m/>
    <m/>
    <m/>
    <m/>
    <m/>
    <m/>
    <m/>
    <m/>
    <m/>
    <m/>
    <m/>
    <m/>
    <m/>
    <m/>
    <m/>
    <m/>
    <m/>
    <m/>
    <m/>
    <m/>
    <m/>
    <m/>
    <m/>
    <m/>
    <m/>
    <m/>
    <m/>
    <m/>
    <m/>
    <m/>
    <m/>
    <m/>
    <m/>
    <m/>
    <m/>
    <m/>
    <m/>
    <m/>
    <m/>
    <m/>
    <m/>
    <m/>
    <m/>
    <m/>
    <m/>
    <m/>
    <m/>
  </r>
  <r>
    <n v="742"/>
    <d v="2025-04-21T00:00:00"/>
    <s v="ZBTF"/>
    <n v="9518709061"/>
    <n v="5"/>
    <s v="9518709061-5"/>
    <s v="No Priority"/>
    <x v="0"/>
    <m/>
    <x v="1"/>
    <x v="6"/>
    <s v="2000-BPRS"/>
    <m/>
    <x v="0"/>
    <m/>
    <m/>
    <m/>
    <s v="South"/>
    <s v="YESHWANTHPURA"/>
    <m/>
    <n v="650742"/>
    <x v="26"/>
    <n v="2150938"/>
    <s v="CRCA COIL SA1008 TU98 1X1250"/>
    <m/>
    <m/>
    <n v="10"/>
    <n v="27"/>
    <m/>
    <s v="C01"/>
    <s v="SA1008"/>
    <s v="TU98"/>
    <n v="1"/>
    <n v="1250"/>
    <n v="0"/>
    <n v="58"/>
    <n v="0"/>
    <n v="58"/>
    <m/>
    <m/>
    <n v="58"/>
    <m/>
    <n v="0"/>
    <n v="28.42"/>
    <n v="0"/>
    <n v="0"/>
    <n v="0"/>
    <n v="0"/>
    <n v="0"/>
    <n v="0"/>
    <n v="0"/>
    <n v="0"/>
    <n v="0"/>
    <n v="27.5"/>
    <n v="0"/>
    <n v="0"/>
    <n v="0"/>
    <n v="0"/>
    <n v="0"/>
    <n v="0"/>
    <n v="55.92"/>
    <m/>
    <m/>
    <m/>
    <m/>
    <m/>
    <m/>
    <m/>
    <m/>
    <m/>
    <m/>
    <m/>
    <m/>
    <m/>
    <m/>
    <m/>
    <m/>
    <m/>
    <m/>
    <m/>
    <m/>
    <m/>
    <m/>
    <m/>
    <m/>
    <m/>
    <m/>
    <m/>
    <m/>
    <m/>
    <m/>
    <m/>
    <m/>
    <m/>
    <m/>
    <m/>
    <m/>
    <m/>
    <m/>
    <m/>
    <m/>
    <m/>
    <m/>
    <m/>
    <m/>
    <m/>
    <m/>
    <m/>
    <m/>
    <m/>
    <m/>
    <m/>
    <m/>
  </r>
  <r>
    <n v="742"/>
    <d v="2025-04-16T00:00:00"/>
    <s v="ZBTO"/>
    <n v="9518697965"/>
    <n v="7"/>
    <s v="9518697965-7"/>
    <s v="May'25 additional"/>
    <x v="0"/>
    <m/>
    <x v="0"/>
    <x v="0"/>
    <s v="2000-BPRS"/>
    <m/>
    <x v="1"/>
    <m/>
    <m/>
    <m/>
    <m/>
    <s v="YESHWANTHPURA"/>
    <m/>
    <n v="939268"/>
    <x v="0"/>
    <n v="1252835"/>
    <s v="HR COILS-PO IS 1079 HR2 3.20X1250"/>
    <m/>
    <m/>
    <n v="17"/>
    <n v="27.5"/>
    <m/>
    <n v="768"/>
    <s v="THR099"/>
    <s v="HR99"/>
    <n v="3.2"/>
    <n v="1250"/>
    <n v="0"/>
    <n v="58"/>
    <n v="0"/>
    <m/>
    <m/>
    <m/>
    <n v="58"/>
    <m/>
    <m/>
    <m/>
    <m/>
    <m/>
    <m/>
    <m/>
    <m/>
    <m/>
    <m/>
    <m/>
    <m/>
    <m/>
    <m/>
    <m/>
    <m/>
    <m/>
    <m/>
    <m/>
    <n v="0"/>
    <m/>
    <m/>
    <m/>
    <m/>
    <m/>
    <m/>
    <m/>
    <m/>
    <m/>
    <m/>
    <m/>
    <m/>
    <m/>
    <m/>
    <m/>
    <m/>
    <m/>
    <m/>
    <m/>
    <m/>
    <m/>
    <m/>
    <m/>
    <m/>
    <m/>
    <m/>
    <m/>
    <m/>
    <m/>
    <m/>
    <m/>
    <m/>
    <m/>
    <m/>
    <m/>
    <m/>
    <m/>
    <m/>
    <m/>
    <m/>
    <m/>
    <m/>
    <m/>
    <m/>
    <m/>
    <m/>
    <m/>
    <m/>
    <m/>
    <m/>
    <m/>
    <m/>
  </r>
  <r>
    <n v="742"/>
    <d v="2025-04-16T00:00:00"/>
    <s v="ZBTO"/>
    <n v="9518697965"/>
    <n v="8"/>
    <s v="9518697965-8"/>
    <s v="May'25 additional"/>
    <x v="0"/>
    <m/>
    <x v="0"/>
    <x v="0"/>
    <s v="2000-BPRS"/>
    <m/>
    <x v="1"/>
    <m/>
    <m/>
    <m/>
    <m/>
    <s v="YESHWANTHPURA"/>
    <m/>
    <n v="939268"/>
    <x v="0"/>
    <n v="1252836"/>
    <s v="HR COILS-PO IS 1079 HR2 3.50X1250"/>
    <m/>
    <m/>
    <n v="17"/>
    <n v="27.5"/>
    <m/>
    <n v="768"/>
    <s v="THR099"/>
    <s v="HR99"/>
    <n v="3.5"/>
    <n v="1250"/>
    <n v="0"/>
    <n v="29"/>
    <n v="0"/>
    <m/>
    <m/>
    <m/>
    <n v="29"/>
    <m/>
    <m/>
    <m/>
    <m/>
    <m/>
    <m/>
    <m/>
    <m/>
    <m/>
    <m/>
    <m/>
    <m/>
    <m/>
    <m/>
    <m/>
    <m/>
    <m/>
    <m/>
    <m/>
    <n v="0"/>
    <m/>
    <m/>
    <m/>
    <m/>
    <m/>
    <m/>
    <m/>
    <m/>
    <m/>
    <m/>
    <m/>
    <m/>
    <m/>
    <m/>
    <m/>
    <m/>
    <m/>
    <m/>
    <m/>
    <m/>
    <m/>
    <m/>
    <m/>
    <m/>
    <m/>
    <m/>
    <m/>
    <m/>
    <m/>
    <m/>
    <m/>
    <m/>
    <m/>
    <m/>
    <m/>
    <m/>
    <m/>
    <m/>
    <m/>
    <m/>
    <m/>
    <m/>
    <m/>
    <m/>
    <m/>
    <m/>
    <m/>
    <m/>
    <m/>
    <m/>
    <m/>
    <m/>
  </r>
  <r>
    <n v="742"/>
    <d v="2025-04-16T00:00:00"/>
    <s v="ZBTO"/>
    <n v="9518697965"/>
    <n v="4"/>
    <s v="9518697965-4"/>
    <s v="May'25 additional"/>
    <x v="0"/>
    <m/>
    <x v="0"/>
    <x v="0"/>
    <s v="2000-BPRS"/>
    <m/>
    <x v="1"/>
    <m/>
    <m/>
    <m/>
    <m/>
    <s v="YESHWANTHPURA"/>
    <m/>
    <n v="939268"/>
    <x v="0"/>
    <n v="1272343"/>
    <s v="HR COILS-PO IS 1079 HR2 2.60X1250"/>
    <m/>
    <m/>
    <n v="17"/>
    <n v="27.5"/>
    <m/>
    <n v="768"/>
    <s v="THR099"/>
    <s v="HR99"/>
    <n v="2.6"/>
    <n v="1250"/>
    <n v="0"/>
    <n v="25"/>
    <n v="0"/>
    <m/>
    <m/>
    <m/>
    <n v="25"/>
    <m/>
    <m/>
    <m/>
    <m/>
    <m/>
    <m/>
    <m/>
    <m/>
    <m/>
    <m/>
    <m/>
    <m/>
    <m/>
    <m/>
    <m/>
    <m/>
    <m/>
    <m/>
    <m/>
    <n v="0"/>
    <m/>
    <m/>
    <m/>
    <m/>
    <m/>
    <m/>
    <m/>
    <m/>
    <m/>
    <m/>
    <m/>
    <m/>
    <m/>
    <m/>
    <m/>
    <m/>
    <m/>
    <m/>
    <m/>
    <m/>
    <m/>
    <m/>
    <m/>
    <m/>
    <m/>
    <m/>
    <m/>
    <m/>
    <m/>
    <m/>
    <m/>
    <m/>
    <m/>
    <m/>
    <m/>
    <m/>
    <m/>
    <m/>
    <m/>
    <m/>
    <m/>
    <m/>
    <m/>
    <m/>
    <m/>
    <m/>
    <m/>
    <m/>
    <m/>
    <m/>
    <m/>
    <m/>
  </r>
  <r>
    <n v="742"/>
    <d v="2025-04-03T00:00:00"/>
    <s v="ZBTO"/>
    <n v="9518666879"/>
    <n v="2"/>
    <s v="9518666879-2"/>
    <s v="May'25 additional"/>
    <x v="0"/>
    <m/>
    <x v="0"/>
    <x v="0"/>
    <s v="2000-BPRS"/>
    <m/>
    <x v="1"/>
    <m/>
    <m/>
    <m/>
    <m/>
    <s v="CHENNAI"/>
    <m/>
    <n v="102888"/>
    <x v="95"/>
    <n v="1251304"/>
    <s v="HR COILS-PO IS 1079 HR2 4.50X1250"/>
    <m/>
    <m/>
    <n v="18"/>
    <n v="27"/>
    <m/>
    <n v="768"/>
    <s v="THR099"/>
    <s v="HR99"/>
    <n v="4.5"/>
    <n v="1250"/>
    <n v="0"/>
    <n v="29"/>
    <n v="0"/>
    <m/>
    <m/>
    <m/>
    <n v="29"/>
    <m/>
    <m/>
    <m/>
    <m/>
    <m/>
    <m/>
    <m/>
    <m/>
    <m/>
    <m/>
    <m/>
    <m/>
    <m/>
    <m/>
    <m/>
    <m/>
    <m/>
    <m/>
    <m/>
    <n v="0"/>
    <m/>
    <m/>
    <m/>
    <m/>
    <m/>
    <m/>
    <m/>
    <m/>
    <m/>
    <m/>
    <m/>
    <m/>
    <m/>
    <m/>
    <m/>
    <m/>
    <m/>
    <m/>
    <m/>
    <m/>
    <m/>
    <m/>
    <m/>
    <m/>
    <m/>
    <m/>
    <m/>
    <m/>
    <m/>
    <m/>
    <m/>
    <m/>
    <m/>
    <m/>
    <m/>
    <m/>
    <m/>
    <m/>
    <m/>
    <m/>
    <m/>
    <m/>
    <m/>
    <m/>
    <m/>
    <m/>
    <m/>
    <m/>
    <m/>
    <m/>
    <m/>
    <m/>
  </r>
  <r>
    <n v="742"/>
    <d v="2025-04-29T00:00:00"/>
    <s v="ZBTO"/>
    <n v="9518731229"/>
    <n v="2"/>
    <s v="9518731229-2"/>
    <s v="May'25 additional"/>
    <x v="0"/>
    <m/>
    <x v="0"/>
    <x v="0"/>
    <s v="2000-BPRS"/>
    <m/>
    <x v="1"/>
    <m/>
    <m/>
    <m/>
    <m/>
    <s v="HOWRAH"/>
    <m/>
    <n v="154464"/>
    <x v="0"/>
    <n v="1250221"/>
    <s v="HR COILS-PO IS 1079 HR2 2.50X1250"/>
    <m/>
    <m/>
    <n v="16"/>
    <n v="34"/>
    <m/>
    <n v="768"/>
    <s v="THR099"/>
    <s v="HR99"/>
    <n v="2.5"/>
    <n v="1250"/>
    <n v="0"/>
    <n v="115.9"/>
    <n v="0"/>
    <m/>
    <m/>
    <m/>
    <n v="115.9"/>
    <m/>
    <m/>
    <m/>
    <m/>
    <m/>
    <m/>
    <m/>
    <m/>
    <m/>
    <m/>
    <m/>
    <m/>
    <m/>
    <m/>
    <m/>
    <m/>
    <m/>
    <m/>
    <m/>
    <n v="0"/>
    <m/>
    <m/>
    <m/>
    <m/>
    <m/>
    <m/>
    <m/>
    <m/>
    <m/>
    <m/>
    <m/>
    <m/>
    <m/>
    <m/>
    <m/>
    <m/>
    <m/>
    <m/>
    <m/>
    <m/>
    <m/>
    <m/>
    <m/>
    <m/>
    <m/>
    <m/>
    <m/>
    <m/>
    <m/>
    <m/>
    <m/>
    <m/>
    <m/>
    <m/>
    <m/>
    <m/>
    <m/>
    <m/>
    <m/>
    <m/>
    <m/>
    <m/>
    <m/>
    <m/>
    <m/>
    <m/>
    <m/>
    <m/>
    <m/>
    <m/>
    <m/>
    <m/>
  </r>
  <r>
    <n v="742"/>
    <d v="2025-04-29T00:00:00"/>
    <s v="ZBTO"/>
    <n v="9518731229"/>
    <n v="3"/>
    <s v="9518731229-3"/>
    <s v="May'25 additional"/>
    <x v="0"/>
    <m/>
    <x v="0"/>
    <x v="0"/>
    <s v="2000-BPRS"/>
    <m/>
    <x v="1"/>
    <m/>
    <m/>
    <m/>
    <m/>
    <s v="HOWRAH"/>
    <m/>
    <n v="154464"/>
    <x v="0"/>
    <n v="1252834"/>
    <s v="HR COILS-PO IS 1079 HR2 3.0X1250"/>
    <m/>
    <m/>
    <n v="16"/>
    <n v="34"/>
    <m/>
    <n v="768"/>
    <s v="THR099"/>
    <s v="HR99"/>
    <n v="3"/>
    <n v="1250"/>
    <n v="0"/>
    <n v="115.9"/>
    <n v="0"/>
    <m/>
    <m/>
    <m/>
    <n v="115.9"/>
    <m/>
    <m/>
    <m/>
    <m/>
    <m/>
    <m/>
    <m/>
    <m/>
    <m/>
    <m/>
    <m/>
    <m/>
    <m/>
    <m/>
    <m/>
    <m/>
    <m/>
    <m/>
    <m/>
    <n v="0"/>
    <m/>
    <m/>
    <m/>
    <m/>
    <m/>
    <m/>
    <m/>
    <m/>
    <m/>
    <m/>
    <m/>
    <m/>
    <m/>
    <m/>
    <m/>
    <m/>
    <m/>
    <m/>
    <m/>
    <m/>
    <m/>
    <m/>
    <m/>
    <m/>
    <m/>
    <m/>
    <m/>
    <m/>
    <m/>
    <m/>
    <m/>
    <m/>
    <m/>
    <m/>
    <m/>
    <m/>
    <m/>
    <m/>
    <m/>
    <m/>
    <m/>
    <m/>
    <m/>
    <m/>
    <m/>
    <m/>
    <m/>
    <m/>
    <m/>
    <m/>
    <m/>
    <m/>
  </r>
  <r>
    <n v="742"/>
    <d v="2025-04-21T00:00:00"/>
    <s v="ZBTO"/>
    <n v="9518708683"/>
    <n v="1"/>
    <s v="9518708683-1"/>
    <s v="May'25 additional"/>
    <x v="0"/>
    <m/>
    <x v="0"/>
    <x v="0"/>
    <s v="2200-BPRS"/>
    <m/>
    <x v="1"/>
    <m/>
    <m/>
    <m/>
    <m/>
    <s v="KOLAR"/>
    <m/>
    <n v="801611"/>
    <x v="56"/>
    <n v="1424552"/>
    <s v="HR COILS-PO IS 1079 HR2 2.01X1250"/>
    <m/>
    <m/>
    <n v="15"/>
    <n v="25"/>
    <m/>
    <n v="768"/>
    <s v="THR099"/>
    <s v="HR99"/>
    <n v="2.0099999999999998"/>
    <n v="1250"/>
    <n v="0"/>
    <n v="145"/>
    <n v="0"/>
    <m/>
    <m/>
    <m/>
    <n v="145"/>
    <m/>
    <m/>
    <m/>
    <m/>
    <m/>
    <m/>
    <m/>
    <m/>
    <m/>
    <m/>
    <m/>
    <m/>
    <m/>
    <m/>
    <m/>
    <m/>
    <m/>
    <m/>
    <m/>
    <n v="0"/>
    <m/>
    <m/>
    <m/>
    <m/>
    <m/>
    <m/>
    <m/>
    <m/>
    <m/>
    <m/>
    <m/>
    <m/>
    <m/>
    <m/>
    <m/>
    <m/>
    <m/>
    <m/>
    <m/>
    <m/>
    <m/>
    <m/>
    <m/>
    <m/>
    <m/>
    <m/>
    <m/>
    <m/>
    <m/>
    <m/>
    <m/>
    <m/>
    <m/>
    <m/>
    <m/>
    <m/>
    <m/>
    <m/>
    <m/>
    <m/>
    <m/>
    <m/>
    <m/>
    <m/>
    <m/>
    <m/>
    <m/>
    <m/>
    <m/>
    <m/>
    <m/>
    <m/>
  </r>
  <r>
    <n v="742"/>
    <d v="2025-04-29T00:00:00"/>
    <s v="ZBTO"/>
    <n v="9518731229"/>
    <n v="1"/>
    <s v="9518731229-1"/>
    <s v="May'25 additional"/>
    <x v="0"/>
    <m/>
    <x v="0"/>
    <x v="0"/>
    <s v="2000-BPRS"/>
    <m/>
    <x v="1"/>
    <m/>
    <m/>
    <m/>
    <m/>
    <s v="HOWRAH"/>
    <m/>
    <n v="154464"/>
    <x v="0"/>
    <n v="1210083"/>
    <s v="HR COILS-PO IS 1079 HR2 2X1250"/>
    <m/>
    <m/>
    <n v="16"/>
    <n v="34"/>
    <m/>
    <n v="768"/>
    <s v="THR099"/>
    <s v="HR99"/>
    <n v="2"/>
    <n v="1250"/>
    <n v="0"/>
    <n v="115.9"/>
    <n v="0"/>
    <m/>
    <m/>
    <m/>
    <n v="115.9"/>
    <m/>
    <m/>
    <m/>
    <m/>
    <m/>
    <m/>
    <m/>
    <m/>
    <m/>
    <m/>
    <m/>
    <m/>
    <m/>
    <m/>
    <m/>
    <m/>
    <m/>
    <m/>
    <m/>
    <n v="0"/>
    <m/>
    <m/>
    <m/>
    <m/>
    <m/>
    <m/>
    <m/>
    <m/>
    <m/>
    <m/>
    <m/>
    <m/>
    <m/>
    <m/>
    <m/>
    <m/>
    <m/>
    <m/>
    <m/>
    <m/>
    <m/>
    <m/>
    <m/>
    <m/>
    <m/>
    <m/>
    <m/>
    <m/>
    <m/>
    <m/>
    <m/>
    <m/>
    <m/>
    <m/>
    <m/>
    <m/>
    <m/>
    <m/>
    <m/>
    <m/>
    <m/>
    <m/>
    <m/>
    <m/>
    <m/>
    <m/>
    <m/>
    <m/>
    <m/>
    <m/>
    <m/>
    <m/>
  </r>
  <r>
    <n v="743"/>
    <d v="2025-04-26T00:00:00"/>
    <s v="ZBTO"/>
    <n v="9518724466"/>
    <n v="3"/>
    <s v="9518724466-3"/>
    <s v="May'25 additional"/>
    <x v="0"/>
    <m/>
    <x v="3"/>
    <x v="4"/>
    <n v="2000"/>
    <m/>
    <x v="1"/>
    <m/>
    <m/>
    <m/>
    <m/>
    <s v="YESHWANTHPURA"/>
    <m/>
    <n v="942923"/>
    <x v="16"/>
    <n v="3777532"/>
    <s v="GP COIL TATGPH GP02 0.450X1015"/>
    <s v="Z120"/>
    <m/>
    <n v="1"/>
    <n v="5"/>
    <m/>
    <s v="C05"/>
    <s v="TATGPH"/>
    <s v="GP02"/>
    <n v="0.45"/>
    <n v="1015"/>
    <n v="0"/>
    <n v="23"/>
    <n v="0"/>
    <m/>
    <m/>
    <m/>
    <n v="23"/>
    <m/>
    <m/>
    <m/>
    <m/>
    <m/>
    <m/>
    <m/>
    <m/>
    <m/>
    <m/>
    <m/>
    <m/>
    <m/>
    <m/>
    <m/>
    <m/>
    <m/>
    <m/>
    <m/>
    <n v="0"/>
    <m/>
    <m/>
    <m/>
    <m/>
    <m/>
    <m/>
    <m/>
    <m/>
    <m/>
    <m/>
    <m/>
    <m/>
    <m/>
    <m/>
    <m/>
    <m/>
    <m/>
    <m/>
    <m/>
    <m/>
    <m/>
    <m/>
    <m/>
    <m/>
    <m/>
    <m/>
    <m/>
    <m/>
    <m/>
    <m/>
    <m/>
    <m/>
    <m/>
    <m/>
    <m/>
    <m/>
    <m/>
    <m/>
    <m/>
    <m/>
    <m/>
    <m/>
    <m/>
    <m/>
    <m/>
    <m/>
    <m/>
    <m/>
    <m/>
    <m/>
    <m/>
    <m/>
  </r>
  <r>
    <n v="743"/>
    <d v="2025-04-26T00:00:00"/>
    <s v="ZBTO"/>
    <n v="9518724466"/>
    <n v="4"/>
    <s v="9518724466-4"/>
    <s v="May'25 additional"/>
    <x v="0"/>
    <m/>
    <x v="3"/>
    <x v="4"/>
    <n v="2000"/>
    <m/>
    <x v="1"/>
    <m/>
    <m/>
    <m/>
    <m/>
    <s v="YESHWANTHPURA"/>
    <m/>
    <n v="942923"/>
    <x v="16"/>
    <n v="3777533"/>
    <s v="GP COIL TATGPH GP02 0.500X1015"/>
    <s v="Z120"/>
    <m/>
    <n v="1"/>
    <n v="5"/>
    <m/>
    <s v="C05"/>
    <s v="TATGPH"/>
    <s v="GP02"/>
    <n v="0.5"/>
    <n v="1015"/>
    <n v="0"/>
    <n v="23"/>
    <n v="0"/>
    <m/>
    <m/>
    <m/>
    <n v="23"/>
    <m/>
    <m/>
    <m/>
    <m/>
    <m/>
    <m/>
    <m/>
    <m/>
    <m/>
    <m/>
    <m/>
    <m/>
    <m/>
    <m/>
    <m/>
    <m/>
    <m/>
    <m/>
    <m/>
    <n v="0"/>
    <m/>
    <m/>
    <m/>
    <m/>
    <m/>
    <m/>
    <m/>
    <m/>
    <m/>
    <m/>
    <m/>
    <m/>
    <m/>
    <m/>
    <m/>
    <m/>
    <m/>
    <m/>
    <m/>
    <m/>
    <m/>
    <m/>
    <m/>
    <m/>
    <m/>
    <m/>
    <m/>
    <m/>
    <m/>
    <m/>
    <m/>
    <m/>
    <m/>
    <m/>
    <m/>
    <m/>
    <m/>
    <m/>
    <m/>
    <m/>
    <m/>
    <m/>
    <m/>
    <m/>
    <m/>
    <m/>
    <m/>
    <m/>
    <m/>
    <m/>
    <m/>
    <m/>
  </r>
  <r>
    <n v="743"/>
    <d v="2025-04-26T00:00:00"/>
    <s v="ZBTO"/>
    <n v="9518724466"/>
    <n v="2"/>
    <s v="9518724466-2"/>
    <s v="May'25 additional"/>
    <x v="0"/>
    <m/>
    <x v="3"/>
    <x v="4"/>
    <n v="2000"/>
    <m/>
    <x v="1"/>
    <m/>
    <m/>
    <m/>
    <m/>
    <s v="YESHWANTHPURA"/>
    <m/>
    <n v="942923"/>
    <x v="16"/>
    <n v="3776939"/>
    <s v="GP COIL TATGPH GP02 0.400X1015"/>
    <s v="Z120"/>
    <m/>
    <n v="1"/>
    <n v="5"/>
    <m/>
    <s v="C05"/>
    <s v="TATGPH"/>
    <s v="GP02"/>
    <n v="0.4"/>
    <n v="1015"/>
    <n v="0"/>
    <n v="23"/>
    <n v="0"/>
    <m/>
    <m/>
    <m/>
    <n v="23"/>
    <m/>
    <m/>
    <m/>
    <m/>
    <m/>
    <m/>
    <m/>
    <m/>
    <m/>
    <m/>
    <m/>
    <m/>
    <m/>
    <m/>
    <m/>
    <m/>
    <m/>
    <m/>
    <m/>
    <n v="0"/>
    <m/>
    <m/>
    <m/>
    <m/>
    <m/>
    <m/>
    <m/>
    <m/>
    <m/>
    <m/>
    <m/>
    <m/>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5">
  <r>
    <n v="742"/>
    <d v="2025-01-06T00:00:00"/>
    <s v="ZBTO"/>
    <n v="9518407181"/>
    <n v="3"/>
    <s v="9518407181-3"/>
    <s v="No Priority"/>
    <x v="0"/>
    <m/>
    <x v="0"/>
    <x v="0"/>
    <s v="2000-BPRS"/>
    <m/>
    <x v="0"/>
    <m/>
    <m/>
    <s v="Maharashtra"/>
    <s v="West"/>
    <s v="NAGPUR"/>
    <s v="Coil"/>
    <n v="154641"/>
    <s v="TATA STEEL DOWNSTREAM PRODUCTS LIMI"/>
    <n v="1252834"/>
    <s v="HR COILS-PO IS 1079 HR2 3.0X1250"/>
    <s v=" "/>
    <s v=""/>
    <n v="25"/>
    <n v="35"/>
    <s v="Wider"/>
    <n v="768"/>
    <s v="THR099"/>
    <s v="HR99"/>
    <n v="3"/>
    <n v="1250"/>
    <n v="0"/>
    <n v="260.99"/>
    <n v="219.78"/>
    <n v="41.21"/>
    <n v="-7.47"/>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8T00:00:00"/>
    <s v="ZBTO"/>
    <n v="9518413981"/>
    <n v="1"/>
    <s v="9518413981-1"/>
    <s v="No Priority"/>
    <x v="0"/>
    <m/>
    <x v="1"/>
    <x v="1"/>
    <s v="2000-BPRS"/>
    <m/>
    <x v="0"/>
    <m/>
    <m/>
    <s v="Punjab"/>
    <s v="North"/>
    <s v="DERABASSI"/>
    <s v="Coil"/>
    <n v="819097"/>
    <s v="BHAGWATI STEEL SALES"/>
    <n v="1804908"/>
    <s v="CRCA COIL TATCRC TR15 0.5X1250"/>
    <s v=" "/>
    <s v=""/>
    <n v="7"/>
    <n v="14"/>
    <s v="Wider"/>
    <s v="C01"/>
    <s v="TATCRC"/>
    <s v="TR15"/>
    <n v="0.5"/>
    <n v="1250"/>
    <n v="0"/>
    <n v="290"/>
    <n v="240.48500000000001"/>
    <n v="49.515000000000001"/>
    <n v="-3.72"/>
    <n v="0"/>
    <n v="0"/>
    <n v="0"/>
    <n v="0"/>
    <n v="0"/>
    <n v="0"/>
    <n v="0"/>
    <n v="0"/>
    <n v="0"/>
    <n v="0"/>
    <n v="0"/>
    <n v="0"/>
    <n v="0"/>
    <n v="0"/>
    <n v="0"/>
    <n v="0"/>
    <n v="0"/>
    <n v="0"/>
    <n v="0"/>
    <n v="0"/>
    <n v="0"/>
    <n v="0"/>
    <n v="0"/>
    <n v="0"/>
    <n v="0"/>
    <n v="0"/>
    <n v="0"/>
    <n v="0"/>
    <n v="0"/>
    <n v="0"/>
    <n v="0"/>
    <n v="0"/>
    <n v="0"/>
    <n v="0"/>
    <n v="0"/>
    <n v="0"/>
    <n v="0"/>
    <n v="0"/>
    <n v="0"/>
    <n v="0"/>
    <n v="215.93999999999997"/>
    <n v="0"/>
    <n v="0"/>
    <n v="0"/>
    <n v="0"/>
    <n v="0"/>
    <n v="215.93999999999997"/>
    <m/>
    <m/>
    <m/>
    <m/>
    <m/>
    <m/>
    <m/>
    <m/>
    <s v="1"/>
    <s v="1"/>
    <s v="1"/>
    <s v="1"/>
    <s v="1"/>
    <m/>
    <m/>
    <m/>
    <m/>
    <m/>
    <m/>
    <m/>
    <m/>
    <m/>
    <m/>
    <m/>
    <m/>
    <m/>
    <m/>
  </r>
  <r>
    <n v="742"/>
    <d v="2025-01-07T00:00:00"/>
    <s v="ZBTO"/>
    <n v="9518410318"/>
    <n v="2"/>
    <s v="9518410318-2"/>
    <s v="No Priority"/>
    <x v="0"/>
    <m/>
    <x v="1"/>
    <x v="1"/>
    <s v="2000-BPRS"/>
    <m/>
    <x v="0"/>
    <m/>
    <s v="Exp BTF &lt;17MT"/>
    <s v="Uttar Pradesh"/>
    <s v="North"/>
    <s v="VARANASI"/>
    <s v="Coil"/>
    <n v="931525"/>
    <s v="INDIA STEEL INDUSTRIES"/>
    <n v="1804908"/>
    <s v="CRCA COIL TATCRC TR15 0.5X1250"/>
    <s v=" "/>
    <s v=""/>
    <n v="7"/>
    <n v="14"/>
    <s v="Wider"/>
    <s v="C01"/>
    <s v="TATCRC"/>
    <s v="TR15"/>
    <n v="0.5"/>
    <n v="1250"/>
    <n v="0"/>
    <n v="58"/>
    <n v="25.524999999999999"/>
    <n v="32.475000000000001"/>
    <n v="6.3849999999999998"/>
    <n v="32.475000000000001"/>
    <n v="0"/>
    <n v="0"/>
    <n v="0"/>
    <n v="0"/>
    <n v="0"/>
    <n v="0"/>
    <n v="0"/>
    <n v="0"/>
    <n v="0"/>
    <n v="0"/>
    <n v="0"/>
    <n v="0"/>
    <n v="0"/>
    <n v="0"/>
    <n v="0"/>
    <n v="0"/>
    <n v="0"/>
    <n v="0"/>
    <n v="0"/>
    <n v="0"/>
    <n v="0"/>
    <n v="0"/>
    <n v="0"/>
    <n v="0"/>
    <n v="0"/>
    <n v="0"/>
    <n v="0"/>
    <n v="0"/>
    <n v="0"/>
    <n v="0"/>
    <n v="0"/>
    <n v="0"/>
    <n v="0"/>
    <n v="0"/>
    <n v="0"/>
    <n v="0"/>
    <n v="0"/>
    <n v="0"/>
    <n v="0"/>
    <n v="25.524999999999999"/>
    <n v="0"/>
    <n v="0"/>
    <n v="0"/>
    <n v="0"/>
    <n v="0"/>
    <n v="25.524999999999999"/>
    <m/>
    <m/>
    <m/>
    <m/>
    <m/>
    <m/>
    <m/>
    <m/>
    <s v="1"/>
    <s v="1"/>
    <s v="1"/>
    <s v="1"/>
    <s v="1"/>
    <m/>
    <m/>
    <m/>
    <m/>
    <m/>
    <m/>
    <m/>
    <m/>
    <m/>
    <m/>
    <m/>
    <m/>
    <m/>
    <m/>
  </r>
  <r>
    <n v="742"/>
    <d v="2025-01-03T00:00:00"/>
    <s v="ZBTO"/>
    <n v="9518401782"/>
    <n v="3"/>
    <s v="9518401782-3"/>
    <s v="No Priority"/>
    <x v="0"/>
    <m/>
    <x v="1"/>
    <x v="1"/>
    <s v="2000-BPRS"/>
    <m/>
    <x v="0"/>
    <m/>
    <s v="Exp BTF &lt;17MT"/>
    <s v="Uttar Pradesh"/>
    <s v="North"/>
    <s v="LONI"/>
    <s v="Coil"/>
    <n v="936528"/>
    <s v="SHORI LAL KEWAL KUMAR"/>
    <n v="185664"/>
    <s v="CRSHEET-ICF  DQ TATXXD AU03 0.40 X 1250"/>
    <s v=" "/>
    <s v=""/>
    <n v="10"/>
    <n v="30"/>
    <s v="Wider"/>
    <s v="C01"/>
    <s v="TATXXD"/>
    <s v="AU03"/>
    <n v="0.4"/>
    <n v="1250"/>
    <n v="0"/>
    <n v="115.99"/>
    <n v="87.424999999999997"/>
    <n v="28.565000000000001"/>
    <n v="11.28"/>
    <n v="28.565000000000001"/>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7T00:00:00"/>
    <s v="ZBTO"/>
    <n v="9518410223"/>
    <n v="3"/>
    <s v="9518410223-3"/>
    <s v="No Priority"/>
    <x v="0"/>
    <m/>
    <x v="1"/>
    <x v="2"/>
    <n v="2000"/>
    <m/>
    <x v="0"/>
    <m/>
    <m/>
    <s v="Uttar Pradesh"/>
    <s v="North"/>
    <s v="VARANASI"/>
    <s v="Sheet"/>
    <n v="931525"/>
    <s v="INDIA STEEL INDUSTRIES"/>
    <n v="3437524"/>
    <s v="CRCA SHEET TATCRC SR16 0.400X1250X2030"/>
    <s v=""/>
    <s v=""/>
    <m/>
    <m/>
    <s v="Wider"/>
    <s v="C06"/>
    <s v="TATCRC"/>
    <s v="SR16"/>
    <n v="0.4"/>
    <n v="1250"/>
    <n v="2030"/>
    <n v="87"/>
    <n v="85.825000000000003"/>
    <n v="1.175"/>
    <n v="0.95499999999999996"/>
    <n v="0"/>
    <n v="0"/>
    <n v="0"/>
    <n v="0"/>
    <n v="0"/>
    <n v="0"/>
    <n v="0"/>
    <n v="0"/>
    <n v="0"/>
    <n v="0"/>
    <n v="0"/>
    <n v="0"/>
    <n v="0"/>
    <n v="0"/>
    <n v="0"/>
    <n v="0"/>
    <n v="0"/>
    <n v="0"/>
    <n v="0"/>
    <n v="0"/>
    <n v="0"/>
    <n v="0"/>
    <n v="0"/>
    <n v="0"/>
    <n v="0"/>
    <n v="0"/>
    <n v="0"/>
    <n v="0"/>
    <n v="0"/>
    <n v="0"/>
    <n v="0"/>
    <n v="0"/>
    <n v="0"/>
    <n v="0"/>
    <n v="0"/>
    <n v="0"/>
    <n v="0"/>
    <n v="0"/>
    <n v="0"/>
    <n v="0"/>
    <n v="22.64"/>
    <n v="0"/>
    <n v="0"/>
    <n v="0"/>
    <n v="0"/>
    <n v="0"/>
    <n v="22.64"/>
    <m/>
    <m/>
    <m/>
    <m/>
    <m/>
    <m/>
    <m/>
    <m/>
    <s v="1"/>
    <s v="1"/>
    <s v="1"/>
    <s v="1"/>
    <s v="1"/>
    <m/>
    <m/>
    <m/>
    <m/>
    <m/>
    <m/>
    <m/>
    <m/>
    <m/>
    <m/>
    <m/>
    <m/>
    <m/>
    <m/>
  </r>
  <r>
    <n v="742"/>
    <d v="2025-01-16T00:00:00"/>
    <s v="ZBTO"/>
    <n v="9518433421"/>
    <n v="5"/>
    <s v="9518433421-5"/>
    <s v="No Priority"/>
    <x v="0"/>
    <m/>
    <x v="1"/>
    <x v="1"/>
    <s v="2000-BPRS"/>
    <m/>
    <x v="0"/>
    <m/>
    <s v="Exp BTF &lt;17MT"/>
    <s v="Tamil Nadu"/>
    <s v="South"/>
    <s v="CHENNAI"/>
    <s v="Coil"/>
    <n v="938550"/>
    <s v="BASEER AND CO"/>
    <n v="37862"/>
    <s v="CRCA COIL TATCRC TR15 0.4X1250"/>
    <s v=" "/>
    <s v=""/>
    <n v="6"/>
    <n v="18"/>
    <s v="Wider"/>
    <s v="C01"/>
    <s v="TATCRC"/>
    <s v="TR15"/>
    <n v="0.4"/>
    <n v="1250"/>
    <n v="0"/>
    <n v="58"/>
    <n v="25.175000000000001"/>
    <n v="32.825000000000003"/>
    <n v="5.0750000000000002"/>
    <n v="32.825000000000003"/>
    <n v="0"/>
    <n v="0"/>
    <n v="0"/>
    <n v="0"/>
    <n v="0"/>
    <n v="0"/>
    <n v="0"/>
    <n v="0"/>
    <n v="0"/>
    <n v="0"/>
    <n v="0"/>
    <n v="0"/>
    <n v="0"/>
    <n v="0"/>
    <n v="0"/>
    <n v="0"/>
    <n v="0"/>
    <n v="0"/>
    <n v="0"/>
    <n v="0"/>
    <n v="0"/>
    <n v="0"/>
    <n v="0"/>
    <n v="0"/>
    <n v="0"/>
    <n v="0"/>
    <n v="0"/>
    <n v="0"/>
    <n v="0"/>
    <n v="0"/>
    <n v="0"/>
    <n v="0"/>
    <n v="0"/>
    <n v="0"/>
    <n v="0"/>
    <n v="0"/>
    <n v="0"/>
    <n v="0"/>
    <n v="0"/>
    <n v="25.174999999999997"/>
    <n v="0"/>
    <n v="0"/>
    <n v="0"/>
    <n v="0"/>
    <n v="0"/>
    <n v="25.174999999999997"/>
    <m/>
    <m/>
    <m/>
    <m/>
    <m/>
    <m/>
    <m/>
    <m/>
    <s v="1"/>
    <s v="1"/>
    <s v="1"/>
    <s v="1"/>
    <s v="1"/>
    <m/>
    <m/>
    <m/>
    <m/>
    <m/>
    <m/>
    <m/>
    <m/>
    <m/>
    <m/>
    <m/>
    <m/>
    <m/>
    <m/>
  </r>
  <r>
    <n v="742"/>
    <d v="2025-01-13T00:00:00"/>
    <s v="ZBTO"/>
    <n v="9518425868"/>
    <n v="1"/>
    <s v="9518425868-1"/>
    <s v="No Priority"/>
    <x v="0"/>
    <m/>
    <x v="1"/>
    <x v="1"/>
    <s v="2000-BPRS"/>
    <m/>
    <x v="0"/>
    <m/>
    <m/>
    <s v="Jharkhand"/>
    <s v="East"/>
    <s v="TATANAGAR"/>
    <s v="Coil"/>
    <n v="165053"/>
    <s v="SUDISA ENTERPRISES (P) LTD."/>
    <n v="1804772"/>
    <s v="CRCA COIL TATXXD AU03 0.4X1250"/>
    <s v=" "/>
    <s v=""/>
    <n v="20"/>
    <n v="29"/>
    <s v="Wider"/>
    <s v="C01"/>
    <s v="TATXXD"/>
    <s v="AU03"/>
    <n v="0.4"/>
    <n v="1250"/>
    <n v="0"/>
    <n v="58"/>
    <n v="25.76"/>
    <n v="32.24"/>
    <n v="3.36"/>
    <n v="32.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1-23T00:00:00"/>
    <s v="ZBTO"/>
    <n v="9518454162"/>
    <n v="2"/>
    <s v="9518454162-2"/>
    <s v="No Priority"/>
    <x v="0"/>
    <m/>
    <x v="2"/>
    <x v="3"/>
    <s v="1000-IPPE"/>
    <m/>
    <x v="0"/>
    <m/>
    <m/>
    <s v="Jharkhand"/>
    <s v="TBSPL"/>
    <s v="TBL- BARA AGRICO"/>
    <s v="Coil"/>
    <n v="941597"/>
    <s v="TATA BLUESCOPE STEEL PRIVATE LIMITE"/>
    <n v="1633706"/>
    <s v="PPGL C Y550 HPL3 0.42BMT(0.50TPT)X1220"/>
    <s v="AZ150"/>
    <s v="RAL 5017 TSL 411"/>
    <n v="3"/>
    <n v="5"/>
    <s v="Wider"/>
    <s v="B18"/>
    <s v="Y550PL"/>
    <s v="HPL3"/>
    <n v="0.42"/>
    <n v="1220"/>
    <n v="0"/>
    <n v="140"/>
    <n v="115.745"/>
    <n v="24.254999999999999"/>
    <n v="12.61"/>
    <n v="24.254999999999999"/>
    <n v="0"/>
    <n v="0"/>
    <n v="0"/>
    <n v="0"/>
    <n v="0"/>
    <n v="0"/>
    <n v="0"/>
    <n v="0"/>
    <n v="0"/>
    <n v="0"/>
    <n v="0"/>
    <n v="0"/>
    <n v="0"/>
    <n v="0"/>
    <n v="0"/>
    <n v="0"/>
    <n v="0"/>
    <n v="0"/>
    <n v="0"/>
    <n v="0"/>
    <n v="0"/>
    <n v="0"/>
    <n v="0"/>
    <n v="0"/>
    <n v="0"/>
    <n v="0"/>
    <n v="24.254999999999999"/>
    <n v="0"/>
    <n v="0"/>
    <n v="24.254999999999999"/>
    <n v="0"/>
    <n v="0"/>
    <n v="0"/>
    <n v="0"/>
    <n v="0"/>
    <n v="0"/>
    <n v="0"/>
    <n v="0"/>
    <n v="24.254999999999999"/>
    <n v="9.2949999999999999"/>
    <n v="0"/>
    <n v="0"/>
    <n v="9.2949999999999999"/>
    <n v="0"/>
    <n v="0"/>
    <n v="0"/>
    <m/>
    <m/>
    <m/>
    <m/>
    <m/>
    <m/>
    <m/>
    <m/>
    <s v="1"/>
    <s v="1"/>
    <s v="0"/>
    <s v="1"/>
    <s v="1"/>
    <m/>
    <m/>
    <m/>
    <m/>
    <m/>
    <m/>
    <m/>
    <m/>
    <m/>
    <m/>
    <m/>
    <m/>
    <m/>
    <m/>
  </r>
  <r>
    <n v="742"/>
    <d v="2025-02-11T00:00:00"/>
    <s v="ZBTO"/>
    <n v="9518510820"/>
    <n v="1"/>
    <s v="9518510820-1"/>
    <s v="No Priority"/>
    <x v="0"/>
    <m/>
    <x v="1"/>
    <x v="2"/>
    <n v="2000"/>
    <m/>
    <x v="0"/>
    <m/>
    <m/>
    <s v="Uttar Pradesh"/>
    <s v="North"/>
    <s v="VARANASI"/>
    <s v="Sheet"/>
    <n v="115841"/>
    <s v="O.V.S. ISPAT UDYOG"/>
    <n v="3437524"/>
    <s v="CRCA SHEET TATCRC SR16 0.400X1250X2030"/>
    <s v=""/>
    <s v=""/>
    <m/>
    <m/>
    <s v="Wider"/>
    <s v="C06"/>
    <s v="TATCRC"/>
    <s v="SR16"/>
    <n v="0.4"/>
    <n v="1250"/>
    <n v="2030"/>
    <n v="69"/>
    <n v="67.72"/>
    <n v="1.28"/>
    <n v="1.28"/>
    <n v="0"/>
    <n v="1.28"/>
    <n v="0"/>
    <n v="0"/>
    <n v="0"/>
    <n v="0"/>
    <n v="0"/>
    <n v="0"/>
    <n v="0"/>
    <n v="0"/>
    <n v="0"/>
    <n v="0"/>
    <n v="0"/>
    <n v="0"/>
    <n v="0"/>
    <n v="0"/>
    <n v="0"/>
    <n v="0"/>
    <n v="0"/>
    <n v="0"/>
    <n v="0"/>
    <n v="0"/>
    <n v="0"/>
    <n v="0"/>
    <n v="0"/>
    <n v="0"/>
    <n v="0"/>
    <n v="0"/>
    <n v="0"/>
    <n v="0"/>
    <n v="0"/>
    <n v="0"/>
    <n v="0"/>
    <n v="0"/>
    <n v="0"/>
    <n v="0"/>
    <n v="0"/>
    <n v="0"/>
    <n v="0"/>
    <n v="0"/>
    <n v="16.855"/>
    <n v="0"/>
    <n v="0"/>
    <n v="0"/>
    <n v="0"/>
    <n v="0"/>
    <n v="16.855"/>
    <m/>
    <m/>
    <m/>
    <m/>
    <m/>
    <m/>
    <m/>
    <m/>
    <s v="1"/>
    <s v="1"/>
    <s v="1"/>
    <s v="1"/>
    <s v="1"/>
    <m/>
    <m/>
    <m/>
    <m/>
    <m/>
    <m/>
    <m/>
    <m/>
    <m/>
    <m/>
    <m/>
    <m/>
    <m/>
    <m/>
  </r>
  <r>
    <n v="742"/>
    <d v="2025-01-22T00:00:00"/>
    <s v="ZBTO"/>
    <n v="9518451407"/>
    <n v="3"/>
    <s v="9518451407-3"/>
    <s v="No Priority"/>
    <x v="0"/>
    <m/>
    <x v="1"/>
    <x v="2"/>
    <n v="2000"/>
    <m/>
    <x v="0"/>
    <m/>
    <m/>
    <s v="Uttar Pradesh"/>
    <s v="North"/>
    <s v="VARANASI"/>
    <s v="Sheet"/>
    <n v="115841"/>
    <s v="O.V.S. ISPAT UDYOG"/>
    <n v="3765561"/>
    <s v="CRCA SHEET TSBCRC SR15 0.700X1000X1930"/>
    <s v=" "/>
    <m/>
    <n v="0"/>
    <n v="0"/>
    <s v="Narrow"/>
    <s v="C06"/>
    <s v="TSBCRC"/>
    <s v="SR15"/>
    <n v="0.7"/>
    <n v="1000"/>
    <n v="1930"/>
    <n v="48"/>
    <n v="23.954999999999998"/>
    <n v="24.045000000000002"/>
    <n v="2.145"/>
    <n v="0"/>
    <n v="0"/>
    <n v="0"/>
    <n v="0"/>
    <n v="0"/>
    <n v="0"/>
    <n v="0"/>
    <n v="0"/>
    <n v="0"/>
    <n v="0"/>
    <n v="0"/>
    <n v="0"/>
    <n v="0"/>
    <n v="0"/>
    <n v="0"/>
    <n v="0"/>
    <n v="0"/>
    <n v="0"/>
    <n v="0"/>
    <n v="0"/>
    <n v="0"/>
    <n v="0"/>
    <n v="0"/>
    <n v="0"/>
    <n v="0"/>
    <n v="0"/>
    <n v="0"/>
    <n v="0"/>
    <n v="0"/>
    <n v="0"/>
    <n v="0"/>
    <n v="0"/>
    <n v="0"/>
    <n v="0"/>
    <n v="0"/>
    <n v="0"/>
    <n v="0"/>
    <n v="0"/>
    <n v="0"/>
    <n v="0"/>
    <n v="21.015000000000001"/>
    <n v="0"/>
    <n v="0"/>
    <n v="0"/>
    <n v="0"/>
    <n v="0"/>
    <n v="21.015000000000001"/>
    <m/>
    <m/>
    <m/>
    <m/>
    <m/>
    <m/>
    <m/>
    <m/>
    <s v="1"/>
    <s v="1"/>
    <s v="1"/>
    <s v="1"/>
    <s v="1"/>
    <m/>
    <m/>
    <m/>
    <m/>
    <m/>
    <m/>
    <m/>
    <m/>
    <m/>
    <m/>
    <m/>
    <m/>
    <m/>
    <m/>
  </r>
  <r>
    <n v="742"/>
    <d v="2025-01-13T00:00:00"/>
    <s v="ZBTO"/>
    <n v="9518425909"/>
    <n v="17"/>
    <s v="9518425909-17"/>
    <s v="No Priority"/>
    <x v="0"/>
    <m/>
    <x v="1"/>
    <x v="2"/>
    <n v="2000"/>
    <m/>
    <x v="0"/>
    <m/>
    <s v="Exp BTF &lt;17MT"/>
    <s v="Andhra Pradesh"/>
    <s v="South"/>
    <s v="VISHAKHAPATNAM"/>
    <s v="Sheet"/>
    <n v="946077"/>
    <s v="SITARAM IRON AND STEEL PVT LTD"/>
    <n v="3240805"/>
    <s v="CRCA SHEET TSBCRC SR15 0.800X1000X2500"/>
    <s v=" "/>
    <m/>
    <n v="0"/>
    <n v="0"/>
    <s v="Narrow"/>
    <s v="C06"/>
    <s v="TSBCRC"/>
    <s v="SR15"/>
    <n v="0.8"/>
    <n v="1000"/>
    <n v="2500"/>
    <n v="24"/>
    <n v="20.414999999999999"/>
    <n v="3.585"/>
    <n v="3.585"/>
    <n v="3.585"/>
    <n v="0"/>
    <n v="0"/>
    <n v="0"/>
    <n v="0"/>
    <n v="0"/>
    <n v="0"/>
    <n v="0"/>
    <n v="0"/>
    <n v="0"/>
    <n v="0"/>
    <n v="0"/>
    <n v="0"/>
    <n v="0"/>
    <n v="0"/>
    <n v="0"/>
    <n v="0"/>
    <n v="0"/>
    <n v="0"/>
    <n v="0"/>
    <n v="0"/>
    <n v="0"/>
    <n v="0"/>
    <n v="0"/>
    <n v="0"/>
    <n v="0"/>
    <n v="0"/>
    <n v="0"/>
    <n v="0"/>
    <n v="0"/>
    <n v="0"/>
    <n v="0"/>
    <n v="0"/>
    <n v="0"/>
    <n v="0"/>
    <n v="0"/>
    <n v="0"/>
    <n v="0"/>
    <n v="0"/>
    <n v="0"/>
    <n v="20.414999999999999"/>
    <n v="0"/>
    <n v="0"/>
    <n v="0"/>
    <n v="0"/>
    <n v="0"/>
    <n v="20.414999999999999"/>
    <m/>
    <m/>
    <m/>
    <m/>
    <m/>
    <m/>
    <m/>
    <m/>
    <s v="1"/>
    <s v="1"/>
    <s v="1"/>
    <s v="1"/>
    <s v="1"/>
    <m/>
    <m/>
    <m/>
    <m/>
    <m/>
    <m/>
    <m/>
    <m/>
    <m/>
    <m/>
    <m/>
    <m/>
    <m/>
    <m/>
  </r>
  <r>
    <n v="742"/>
    <d v="2025-01-16T00:00:00"/>
    <s v="ZBTO"/>
    <n v="9518433421"/>
    <n v="18"/>
    <s v="9518433421-18"/>
    <s v="No Priority"/>
    <x v="0"/>
    <m/>
    <x v="1"/>
    <x v="2"/>
    <n v="2000"/>
    <m/>
    <x v="0"/>
    <m/>
    <m/>
    <s v="Tamil Nadu"/>
    <s v="South"/>
    <s v="CHENNAI"/>
    <s v="Sheet"/>
    <n v="938550"/>
    <s v="BASEER AND CO"/>
    <n v="3239539"/>
    <s v="CRCA SHEET TATCRC SR16 0.350X1000X1980"/>
    <s v=""/>
    <m/>
    <m/>
    <m/>
    <s v="Narrow"/>
    <s v="C06"/>
    <s v="TATCRC"/>
    <s v="SR16"/>
    <n v="0.35"/>
    <n v="1000"/>
    <n v="1980"/>
    <n v="90"/>
    <n v="0"/>
    <n v="90"/>
    <n v="90"/>
    <n v="9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6T00:00:00"/>
    <s v="ZBTO"/>
    <n v="9518433421"/>
    <n v="19"/>
    <s v="9518433421-19"/>
    <s v="No Priority"/>
    <x v="0"/>
    <m/>
    <x v="1"/>
    <x v="2"/>
    <n v="2000"/>
    <m/>
    <x v="0"/>
    <m/>
    <m/>
    <s v="Tamil Nadu"/>
    <s v="South"/>
    <s v="CHENNAI"/>
    <s v="Sheet"/>
    <n v="938550"/>
    <s v="BASEER AND CO"/>
    <n v="3239552"/>
    <s v="CRCA SHEET TATCRC SR16 0.400X1000X1980"/>
    <s v=""/>
    <m/>
    <m/>
    <m/>
    <s v="Narrow"/>
    <s v="C06"/>
    <s v="TATCRC"/>
    <s v="SR16"/>
    <n v="0.4"/>
    <n v="1000"/>
    <n v="1980"/>
    <n v="69"/>
    <n v="0"/>
    <n v="69"/>
    <n v="69"/>
    <n v="69"/>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2T00:00:00"/>
    <s v="ZBTO"/>
    <n v="9518400614"/>
    <n v="9"/>
    <s v="9518400614-9"/>
    <s v="No Priority"/>
    <x v="0"/>
    <m/>
    <x v="1"/>
    <x v="2"/>
    <n v="2000"/>
    <m/>
    <x v="0"/>
    <m/>
    <m/>
    <s v="Kerala"/>
    <s v="South"/>
    <s v="COCHIN HARBOUR "/>
    <s v="Sheet"/>
    <n v="116650"/>
    <s v="Kummenchery Steels,"/>
    <n v="3239538"/>
    <s v="CRCA SHEET TATCRC SR16 0.350X1000X1910"/>
    <s v=""/>
    <m/>
    <m/>
    <m/>
    <s v="Narrow"/>
    <s v="C06"/>
    <s v="TATCRC"/>
    <s v="SR16"/>
    <n v="0.35"/>
    <n v="1000"/>
    <n v="1910"/>
    <n v="21"/>
    <n v="0"/>
    <n v="21"/>
    <n v="-2.2200000000000002"/>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2T00:00:00"/>
    <s v="ZBTO"/>
    <n v="9518400614"/>
    <n v="10"/>
    <s v="9518400614-10"/>
    <s v="No Priority"/>
    <x v="0"/>
    <m/>
    <x v="1"/>
    <x v="2"/>
    <n v="2000"/>
    <m/>
    <x v="0"/>
    <m/>
    <m/>
    <s v="Kerala"/>
    <s v="South"/>
    <s v="COCHIN HARBOUR "/>
    <s v="Sheet"/>
    <n v="116650"/>
    <s v="Kummenchery Steels,"/>
    <n v="3239551"/>
    <s v="CRCA SHEET TATCRC SR16 0.400X1000X1910"/>
    <s v=""/>
    <m/>
    <m/>
    <m/>
    <s v="Narrow"/>
    <s v="C06"/>
    <s v="TATCRC"/>
    <s v="SR16"/>
    <n v="0.4"/>
    <n v="1000"/>
    <n v="1910"/>
    <n v="21"/>
    <n v="0"/>
    <n v="21"/>
    <n v="-19.420000000000002"/>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3T00:00:00"/>
    <s v="ZBTO"/>
    <n v="9518403237"/>
    <n v="4"/>
    <s v="9518403237-4"/>
    <s v="No Priority"/>
    <x v="0"/>
    <m/>
    <x v="1"/>
    <x v="2"/>
    <n v="2000"/>
    <m/>
    <x v="0"/>
    <m/>
    <m/>
    <s v="Jharkhand"/>
    <s v="East"/>
    <s v="BOKARO STEEL CY"/>
    <s v="Sheet"/>
    <n v="121328"/>
    <s v="R. S. BOKARO METAL (P) LTD."/>
    <n v="3152198"/>
    <s v="CRCA SHEET TATCRC SR16 0.380X1000X2500"/>
    <s v=""/>
    <m/>
    <m/>
    <m/>
    <s v="Narrow"/>
    <s v="C06"/>
    <s v="TATCRC"/>
    <s v="SR16"/>
    <n v="0.38"/>
    <n v="1000"/>
    <n v="2500"/>
    <n v="24"/>
    <n v="0"/>
    <n v="24"/>
    <n v="24"/>
    <n v="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3T00:00:00"/>
    <s v="ZBTO"/>
    <n v="9518403237"/>
    <n v="8"/>
    <s v="9518403237-8"/>
    <s v="Stocks"/>
    <x v="0"/>
    <m/>
    <x v="1"/>
    <x v="2"/>
    <n v="2000"/>
    <m/>
    <x v="1"/>
    <m/>
    <m/>
    <s v="Jharkhand"/>
    <s v="East"/>
    <s v="BOKARO STEEL CY"/>
    <s v="Sheet"/>
    <n v="121328"/>
    <s v="R. S. BOKARO METAL (P) LTD."/>
    <n v="3239572"/>
    <s v="CRCA SHEET TATCRC SR16 0.480X1000X2500"/>
    <s v=""/>
    <m/>
    <m/>
    <m/>
    <s v="Narrow"/>
    <s v="C06"/>
    <s v="TATCRC"/>
    <s v="SR16"/>
    <n v="0.48"/>
    <n v="1000"/>
    <n v="2500"/>
    <n v="24"/>
    <n v="0"/>
    <n v="24"/>
    <n v="-8.18"/>
    <n v="0"/>
    <n v="0"/>
    <n v="0"/>
    <n v="0"/>
    <n v="0"/>
    <n v="0"/>
    <n v="0"/>
    <n v="0"/>
    <n v="0"/>
    <n v="0"/>
    <n v="0"/>
    <n v="0"/>
    <n v="0"/>
    <n v="0"/>
    <n v="0"/>
    <n v="0"/>
    <n v="0"/>
    <n v="0"/>
    <n v="0"/>
    <n v="0"/>
    <n v="0"/>
    <n v="0"/>
    <n v="0"/>
    <n v="0"/>
    <n v="0"/>
    <n v="0"/>
    <n v="2.8849999999999998"/>
    <n v="0"/>
    <n v="0"/>
    <n v="0"/>
    <n v="0"/>
    <n v="0"/>
    <n v="0"/>
    <n v="0"/>
    <n v="0"/>
    <n v="0"/>
    <n v="0"/>
    <n v="0"/>
    <n v="0"/>
    <n v="2.8849999999999998"/>
    <n v="0"/>
    <n v="0"/>
    <n v="0"/>
    <n v="0"/>
    <n v="0"/>
    <n v="0"/>
    <n v="0"/>
    <m/>
    <m/>
    <m/>
    <m/>
    <m/>
    <m/>
    <m/>
    <m/>
    <s v="1"/>
    <s v="1"/>
    <s v="1"/>
    <s v="1"/>
    <s v="1"/>
    <m/>
    <m/>
    <m/>
    <m/>
    <m/>
    <m/>
    <m/>
    <m/>
    <m/>
    <m/>
    <m/>
    <m/>
    <m/>
    <m/>
  </r>
  <r>
    <n v="742"/>
    <d v="2025-01-21T00:00:00"/>
    <s v="ZBTO"/>
    <n v="9518447967"/>
    <n v="1"/>
    <s v="9518447967-1"/>
    <s v="No Priority"/>
    <x v="0"/>
    <m/>
    <x v="1"/>
    <x v="2"/>
    <n v="2000"/>
    <m/>
    <x v="0"/>
    <m/>
    <s v="Exp BTF &lt;17MT"/>
    <s v="West Bengal"/>
    <s v="East"/>
    <s v="HOWRAH"/>
    <s v="Sheet"/>
    <n v="101278"/>
    <s v="RAMESH COMPANY"/>
    <n v="3446127"/>
    <s v="CRCA SHEET TATCRC SR16 0.330X900X2500"/>
    <s v=""/>
    <m/>
    <m/>
    <m/>
    <s v="Narrow"/>
    <s v="C06"/>
    <s v="TATCRC"/>
    <s v="SR16"/>
    <n v="0.33"/>
    <n v="900"/>
    <n v="2500"/>
    <n v="27"/>
    <n v="19.305"/>
    <n v="7.6950000000000003"/>
    <n v="7.6950000000000003"/>
    <n v="7.6950000000000003"/>
    <n v="0"/>
    <n v="0"/>
    <n v="0"/>
    <n v="0"/>
    <n v="0"/>
    <n v="0"/>
    <n v="0"/>
    <n v="0"/>
    <n v="0"/>
    <n v="0"/>
    <n v="0"/>
    <n v="0"/>
    <n v="0"/>
    <n v="0"/>
    <n v="0"/>
    <n v="0"/>
    <n v="0"/>
    <n v="0"/>
    <n v="0"/>
    <n v="0"/>
    <n v="0"/>
    <n v="0"/>
    <n v="0"/>
    <n v="0"/>
    <n v="0"/>
    <n v="0"/>
    <n v="0"/>
    <n v="0"/>
    <n v="0"/>
    <n v="0"/>
    <n v="0"/>
    <n v="0"/>
    <n v="0"/>
    <n v="0"/>
    <n v="0"/>
    <n v="0"/>
    <n v="0"/>
    <n v="0"/>
    <n v="0"/>
    <n v="19.305"/>
    <n v="0"/>
    <n v="0"/>
    <n v="0"/>
    <n v="0"/>
    <n v="0"/>
    <n v="19.305"/>
    <m/>
    <m/>
    <m/>
    <m/>
    <m/>
    <m/>
    <m/>
    <m/>
    <s v="1"/>
    <s v="1"/>
    <s v="1"/>
    <s v="1"/>
    <s v="1"/>
    <m/>
    <m/>
    <m/>
    <m/>
    <m/>
    <m/>
    <m/>
    <m/>
    <m/>
    <m/>
    <m/>
    <m/>
    <m/>
    <m/>
  </r>
  <r>
    <n v="742"/>
    <d v="2025-01-21T00:00:00"/>
    <s v="ZBTO"/>
    <n v="9518447967"/>
    <n v="4"/>
    <s v="9518447967-4"/>
    <s v="No Priority"/>
    <x v="0"/>
    <m/>
    <x v="1"/>
    <x v="2"/>
    <n v="2000"/>
    <m/>
    <x v="0"/>
    <m/>
    <m/>
    <s v="West Bengal"/>
    <s v="East"/>
    <s v="HOWRAH"/>
    <s v="Sheet"/>
    <n v="101278"/>
    <s v="RAMESH COMPANY"/>
    <n v="3239554"/>
    <s v="CRCA SHEET TATCRC SR16 0.400X1000X2500"/>
    <s v=""/>
    <m/>
    <m/>
    <m/>
    <s v="Narrow"/>
    <s v="C06"/>
    <s v="TATCRC"/>
    <s v="SR16"/>
    <n v="0.4"/>
    <n v="1000"/>
    <n v="2500"/>
    <n v="27"/>
    <n v="0"/>
    <n v="27"/>
    <n v="27"/>
    <n v="27"/>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1T00:00:00"/>
    <s v="ZBTO"/>
    <n v="9518421446"/>
    <n v="5"/>
    <s v="9518421446-5"/>
    <s v="No Priority"/>
    <x v="0"/>
    <m/>
    <x v="1"/>
    <x v="2"/>
    <n v="2000"/>
    <m/>
    <x v="0"/>
    <m/>
    <m/>
    <s v="Jharkhand"/>
    <s v="East"/>
    <s v="WEST BOKARO"/>
    <s v="Sheet"/>
    <n v="185794"/>
    <s v="Shree Bajrang Steel Udyog"/>
    <n v="3239567"/>
    <s v="CRCA SHEET TATCRC SR16 0.450X1000X2500"/>
    <s v=""/>
    <m/>
    <m/>
    <m/>
    <s v="Narrow"/>
    <s v="C06"/>
    <s v="TATCRC"/>
    <s v="SR16"/>
    <n v="0.45"/>
    <n v="1000"/>
    <n v="2500"/>
    <n v="51"/>
    <n v="0"/>
    <n v="51"/>
    <n v="28.7"/>
    <n v="51"/>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6T00:00:00"/>
    <s v="ZBTO"/>
    <n v="9518407284"/>
    <n v="6"/>
    <s v="9518407284-6"/>
    <s v="No Priority"/>
    <x v="0"/>
    <m/>
    <x v="1"/>
    <x v="2"/>
    <n v="2000"/>
    <m/>
    <x v="0"/>
    <m/>
    <m/>
    <s v="Tamil Nadu"/>
    <s v="South"/>
    <s v="CHENNAI"/>
    <s v="Sheet"/>
    <n v="116465"/>
    <s v="SRI BALAJI STEEL TRADERS"/>
    <n v="3239552"/>
    <s v="CRCA SHEET TATCRC SR16 0.400X1000X1980"/>
    <s v=""/>
    <m/>
    <m/>
    <m/>
    <s v="Narrow"/>
    <s v="C06"/>
    <s v="TATCRC"/>
    <s v="SR16"/>
    <n v="0.4"/>
    <n v="1000"/>
    <n v="1980"/>
    <n v="24"/>
    <n v="0"/>
    <n v="24"/>
    <n v="24"/>
    <n v="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6T00:00:00"/>
    <s v="ZBTO"/>
    <n v="9518407284"/>
    <n v="8"/>
    <s v="9518407284-8"/>
    <s v="No Priority"/>
    <x v="0"/>
    <m/>
    <x v="1"/>
    <x v="2"/>
    <n v="2000"/>
    <m/>
    <x v="0"/>
    <m/>
    <m/>
    <s v="Tamil Nadu"/>
    <s v="South"/>
    <s v="CHENNAI"/>
    <s v="Sheet"/>
    <n v="116465"/>
    <s v="SRI BALAJI STEEL TRADERS"/>
    <n v="3239564"/>
    <s v="CRCA SHEET TATCRC SR16 0.450X1000X1980"/>
    <s v=""/>
    <m/>
    <m/>
    <m/>
    <s v="Narrow"/>
    <s v="C06"/>
    <s v="TATCRC"/>
    <s v="SR16"/>
    <n v="0.45"/>
    <n v="1000"/>
    <n v="1980"/>
    <n v="24"/>
    <n v="0"/>
    <n v="24"/>
    <n v="24"/>
    <n v="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6T00:00:00"/>
    <s v="ZBTO"/>
    <n v="9518407392"/>
    <n v="1"/>
    <s v="9518407392-1"/>
    <s v="No Priority"/>
    <x v="0"/>
    <m/>
    <x v="1"/>
    <x v="2"/>
    <n v="2000"/>
    <m/>
    <x v="0"/>
    <m/>
    <m/>
    <s v="Tamil Nadu"/>
    <s v="South"/>
    <s v="SALEM"/>
    <s v="Sheet"/>
    <n v="116465"/>
    <s v="SRI BALAJI STEEL TRADERS"/>
    <n v="3239408"/>
    <s v="CRCA SHEET TATCRC SR16 0.300X900X2500"/>
    <s v=""/>
    <m/>
    <m/>
    <m/>
    <s v="Narrow"/>
    <s v="C06"/>
    <s v="TATCRC"/>
    <s v="SR16"/>
    <n v="0.3"/>
    <n v="900"/>
    <n v="2500"/>
    <n v="21"/>
    <n v="18.440000000000001"/>
    <n v="2.56"/>
    <n v="2.56"/>
    <n v="0"/>
    <n v="0"/>
    <n v="0"/>
    <n v="0"/>
    <n v="0"/>
    <n v="0"/>
    <n v="0"/>
    <n v="0"/>
    <n v="0"/>
    <n v="0"/>
    <n v="0"/>
    <n v="0"/>
    <n v="0"/>
    <n v="0"/>
    <n v="0"/>
    <n v="0"/>
    <n v="0"/>
    <n v="0"/>
    <n v="0"/>
    <n v="0"/>
    <n v="0"/>
    <n v="0"/>
    <n v="0"/>
    <n v="0"/>
    <n v="0"/>
    <n v="0"/>
    <n v="0"/>
    <n v="0"/>
    <n v="0"/>
    <n v="0"/>
    <n v="0"/>
    <n v="0"/>
    <n v="0"/>
    <n v="0"/>
    <n v="0"/>
    <n v="0"/>
    <n v="0"/>
    <n v="0"/>
    <n v="0"/>
    <n v="0"/>
    <n v="18.440000000000001"/>
    <n v="0"/>
    <n v="0"/>
    <n v="0"/>
    <n v="0"/>
    <n v="0"/>
    <n v="18.440000000000001"/>
    <m/>
    <m/>
    <m/>
    <m/>
    <m/>
    <m/>
    <m/>
    <m/>
    <s v="1"/>
    <s v="1"/>
    <s v="1"/>
    <s v="1"/>
    <s v="1"/>
    <m/>
    <m/>
    <m/>
    <m/>
    <m/>
    <m/>
    <m/>
    <m/>
    <m/>
    <m/>
    <m/>
    <m/>
    <m/>
    <m/>
  </r>
  <r>
    <n v="742"/>
    <d v="2025-01-06T00:00:00"/>
    <s v="ZBTO"/>
    <n v="9518407392"/>
    <n v="6"/>
    <s v="9518407392-6"/>
    <s v="No Priority"/>
    <x v="0"/>
    <m/>
    <x v="1"/>
    <x v="2"/>
    <n v="2000"/>
    <m/>
    <x v="0"/>
    <m/>
    <m/>
    <s v="Tamil Nadu"/>
    <s v="South"/>
    <s v="SALEM"/>
    <s v="Sheet"/>
    <n v="116465"/>
    <s v="SRI BALAJI STEEL TRADERS"/>
    <n v="3239564"/>
    <s v="CRCA SHEET TATCRC SR16 0.450X1000X1980"/>
    <s v=""/>
    <m/>
    <m/>
    <m/>
    <s v="Narrow"/>
    <s v="C06"/>
    <s v="TATCRC"/>
    <s v="SR16"/>
    <n v="0.45"/>
    <n v="1000"/>
    <n v="1980"/>
    <n v="21"/>
    <n v="0"/>
    <n v="21"/>
    <n v="-1.1200000000000001"/>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0T00:00:00"/>
    <s v="ZBTO"/>
    <n v="9518419878"/>
    <n v="1"/>
    <s v="9518419878-1"/>
    <s v="No Priority"/>
    <x v="0"/>
    <m/>
    <x v="1"/>
    <x v="2"/>
    <n v="2000"/>
    <m/>
    <x v="0"/>
    <m/>
    <m/>
    <s v="Jharkhand"/>
    <s v="East"/>
    <s v="TATANAGAR"/>
    <s v="Sheet"/>
    <n v="165053"/>
    <s v="SUDISA ENTERPRISES (P) LTD."/>
    <n v="3239408"/>
    <s v="CRCA SHEET TATCRC SR16 0.300X900X2500"/>
    <s v=""/>
    <m/>
    <m/>
    <m/>
    <s v="Narrow"/>
    <s v="C06"/>
    <s v="TATCRC"/>
    <s v="SR16"/>
    <n v="0.3"/>
    <n v="900"/>
    <n v="2500"/>
    <n v="20.99"/>
    <n v="18.465"/>
    <n v="2.5249999999999999"/>
    <n v="2.5249999999999999"/>
    <n v="0"/>
    <n v="0"/>
    <n v="0"/>
    <n v="0"/>
    <n v="0"/>
    <n v="0"/>
    <n v="0"/>
    <n v="0"/>
    <n v="0"/>
    <n v="0"/>
    <n v="0"/>
    <n v="0"/>
    <n v="0"/>
    <n v="0"/>
    <n v="0"/>
    <n v="0"/>
    <n v="0"/>
    <n v="0"/>
    <n v="0"/>
    <n v="0"/>
    <n v="0"/>
    <n v="0"/>
    <n v="0"/>
    <n v="0"/>
    <n v="0"/>
    <n v="0"/>
    <n v="0"/>
    <n v="0"/>
    <n v="0"/>
    <n v="0"/>
    <n v="0"/>
    <n v="0"/>
    <n v="0"/>
    <n v="0"/>
    <n v="0"/>
    <n v="0"/>
    <n v="0"/>
    <n v="0"/>
    <n v="0"/>
    <n v="0"/>
    <n v="18.465"/>
    <n v="0"/>
    <n v="0"/>
    <n v="0"/>
    <n v="0"/>
    <n v="0"/>
    <n v="18.465"/>
    <m/>
    <m/>
    <m/>
    <m/>
    <m/>
    <m/>
    <m/>
    <m/>
    <s v="1"/>
    <s v="1"/>
    <s v="1"/>
    <s v="1"/>
    <s v="1"/>
    <m/>
    <m/>
    <m/>
    <m/>
    <m/>
    <m/>
    <m/>
    <m/>
    <m/>
    <m/>
    <m/>
    <m/>
    <m/>
    <m/>
  </r>
  <r>
    <n v="742"/>
    <d v="2025-01-10T00:00:00"/>
    <s v="ZBTO"/>
    <n v="9518419878"/>
    <n v="3"/>
    <s v="9518419878-3"/>
    <s v="No Priority"/>
    <x v="0"/>
    <m/>
    <x v="1"/>
    <x v="2"/>
    <n v="2000"/>
    <m/>
    <x v="0"/>
    <m/>
    <m/>
    <s v="Jharkhand"/>
    <s v="East"/>
    <s v="TATANAGAR"/>
    <s v="Sheet"/>
    <n v="165053"/>
    <s v="SUDISA ENTERPRISES (P) LTD."/>
    <n v="3152197"/>
    <s v="CRCA SHEET TATCRC SR16 0.330X1000X2500"/>
    <s v=""/>
    <m/>
    <m/>
    <m/>
    <s v="Narrow"/>
    <s v="C06"/>
    <s v="TATCRC"/>
    <s v="SR16"/>
    <n v="0.33"/>
    <n v="1000"/>
    <n v="2500"/>
    <n v="42"/>
    <n v="0"/>
    <n v="42"/>
    <n v="42"/>
    <n v="42"/>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1-06T00:00:00"/>
    <s v="ZBTO"/>
    <n v="9518408527"/>
    <n v="1"/>
    <s v="9518408527-1"/>
    <s v="No Priority"/>
    <x v="0"/>
    <m/>
    <x v="3"/>
    <x v="4"/>
    <n v="2000"/>
    <m/>
    <x v="0"/>
    <m/>
    <m/>
    <s v="Karnataka"/>
    <s v="South"/>
    <s v="YESHWANTHPURA"/>
    <s v="Coil"/>
    <n v="942923"/>
    <s v="S C SHETTAR &amp; SONS PRIVATE LIM"/>
    <n v="304874"/>
    <s v="GPCOIL TATXGP GP02 0.25X1015"/>
    <m/>
    <m/>
    <m/>
    <m/>
    <s v="Narrow"/>
    <s v="C05"/>
    <s v="TATXGP"/>
    <s v="GP02"/>
    <n v="0.25"/>
    <n v="1015"/>
    <n v="0"/>
    <n v="46"/>
    <n v="0"/>
    <n v="46"/>
    <n v="46"/>
    <n v="46"/>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1-06T00:00:00"/>
    <s v="ZBTO"/>
    <n v="9518408527"/>
    <n v="2"/>
    <s v="9518408527-2"/>
    <s v="No Priority"/>
    <x v="0"/>
    <m/>
    <x v="3"/>
    <x v="4"/>
    <n v="2000"/>
    <m/>
    <x v="0"/>
    <m/>
    <m/>
    <s v="Karnataka"/>
    <s v="South"/>
    <s v="YESHWANTHPURA"/>
    <s v="Coil"/>
    <n v="942923"/>
    <s v="S C SHETTAR &amp; SONS PRIVATE LIM"/>
    <n v="3777531"/>
    <s v="GP COIL TATGPH GP02 0.300X1015"/>
    <m/>
    <m/>
    <m/>
    <m/>
    <s v="Narrow"/>
    <s v="C05"/>
    <s v="TATGPH"/>
    <s v="GP02"/>
    <n v="0.3"/>
    <n v="1015"/>
    <n v="0"/>
    <n v="92"/>
    <n v="0"/>
    <n v="92"/>
    <n v="92"/>
    <n v="92"/>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1-23T00:00:00"/>
    <s v="ZBTO"/>
    <n v="9518453235"/>
    <n v="7"/>
    <s v="9518453235-7"/>
    <s v="No Priority"/>
    <x v="0"/>
    <m/>
    <x v="2"/>
    <x v="3"/>
    <n v="1000"/>
    <m/>
    <x v="0"/>
    <m/>
    <m/>
    <s v="Jharkhand"/>
    <s v="East"/>
    <s v="GAMHARIA"/>
    <s v="Coil"/>
    <n v="940016"/>
    <s v="TATA BLUESCOPE STEEL PVT LTD."/>
    <n v="3883538"/>
    <s v="PPGL C HARD Y550PL ISC6 0.300X1220"/>
    <n v="70"/>
    <s v="PRO GREY TSL 1916"/>
    <m/>
    <m/>
    <s v="Wider"/>
    <s v="B18"/>
    <s v="Y550PL"/>
    <s v="ISC6"/>
    <n v="0.3"/>
    <n v="1220"/>
    <n v="0"/>
    <n v="28"/>
    <n v="0"/>
    <n v="28"/>
    <n v="-26.295000000000002"/>
    <n v="0"/>
    <n v="0"/>
    <n v="0"/>
    <n v="0"/>
    <n v="0"/>
    <n v="0"/>
    <n v="0"/>
    <n v="0"/>
    <n v="0"/>
    <n v="0"/>
    <n v="0"/>
    <n v="0"/>
    <n v="0"/>
    <n v="0"/>
    <n v="0"/>
    <n v="0"/>
    <n v="0"/>
    <n v="0"/>
    <n v="0"/>
    <n v="0"/>
    <n v="0"/>
    <n v="0"/>
    <n v="0"/>
    <n v="0"/>
    <n v="0"/>
    <n v="0"/>
    <n v="0"/>
    <n v="28"/>
    <n v="0"/>
    <n v="0"/>
    <n v="28"/>
    <n v="0"/>
    <n v="0"/>
    <n v="0"/>
    <n v="0"/>
    <n v="0"/>
    <n v="0"/>
    <n v="0"/>
    <n v="0"/>
    <n v="28"/>
    <n v="0"/>
    <n v="0"/>
    <n v="0"/>
    <n v="0"/>
    <n v="0"/>
    <n v="0"/>
    <n v="0"/>
    <m/>
    <m/>
    <m/>
    <m/>
    <m/>
    <m/>
    <m/>
    <m/>
    <s v="1"/>
    <s v="1"/>
    <s v="0"/>
    <s v="1"/>
    <s v="1"/>
    <m/>
    <m/>
    <m/>
    <m/>
    <m/>
    <m/>
    <m/>
    <m/>
    <m/>
    <m/>
    <m/>
    <m/>
    <m/>
    <m/>
  </r>
  <r>
    <n v="744"/>
    <d v="2025-02-22T00:00:00"/>
    <s v="ZBTO"/>
    <n v="9518543125"/>
    <n v="6"/>
    <s v="9518543125-6"/>
    <s v="No Priority"/>
    <x v="0"/>
    <m/>
    <x v="2"/>
    <x v="3"/>
    <s v="1000-IPPE"/>
    <m/>
    <x v="1"/>
    <m/>
    <m/>
    <s v="Jharkhand"/>
    <s v="East"/>
    <s v="GAMHARIA"/>
    <s v="Coil"/>
    <n v="940016"/>
    <s v="TATA BLUESCOPE STEEL PVT LTD."/>
    <n v="3883538"/>
    <s v="PPGL C HARD Y550PL ISC6 0.300X1220"/>
    <s v="aZ70"/>
    <s v="PRO ROSY RED TSL 1920"/>
    <n v="3"/>
    <n v="5"/>
    <s v="Wider"/>
    <s v="B18"/>
    <s v="Y550PL"/>
    <s v="ISC6"/>
    <n v="0.3"/>
    <n v="1220"/>
    <n v="0"/>
    <n v="28"/>
    <n v="0"/>
    <n v="28"/>
    <n v="1.23"/>
    <n v="0"/>
    <n v="28"/>
    <n v="0"/>
    <n v="0"/>
    <n v="0"/>
    <n v="0"/>
    <n v="0"/>
    <n v="26.77"/>
    <n v="0"/>
    <n v="0"/>
    <n v="0"/>
    <n v="0"/>
    <n v="0"/>
    <n v="0"/>
    <n v="0"/>
    <n v="0"/>
    <n v="0"/>
    <n v="0"/>
    <n v="0"/>
    <n v="0"/>
    <n v="0"/>
    <n v="26.77"/>
    <n v="26.77"/>
    <n v="0"/>
    <n v="26.77"/>
    <n v="0"/>
    <n v="0"/>
    <n v="28"/>
    <n v="0"/>
    <n v="0"/>
    <n v="28"/>
    <n v="0"/>
    <n v="0"/>
    <n v="0"/>
    <n v="0"/>
    <n v="0"/>
    <n v="0"/>
    <n v="0"/>
    <n v="0"/>
    <n v="28"/>
    <n v="0"/>
    <n v="0"/>
    <n v="0"/>
    <n v="0"/>
    <n v="0"/>
    <n v="0"/>
    <n v="0"/>
    <m/>
    <m/>
    <m/>
    <m/>
    <m/>
    <m/>
    <m/>
    <m/>
    <s v="1"/>
    <s v="1"/>
    <s v="0"/>
    <s v="1"/>
    <s v="1"/>
    <m/>
    <m/>
    <m/>
    <m/>
    <m/>
    <m/>
    <m/>
    <m/>
    <m/>
    <m/>
    <m/>
    <m/>
    <m/>
    <m/>
  </r>
  <r>
    <n v="743"/>
    <d v="2025-02-03T00:00:00"/>
    <s v="ZBTO"/>
    <n v="9518489859"/>
    <n v="3"/>
    <s v="9518489859-3"/>
    <s v="Feb'25"/>
    <x v="0"/>
    <m/>
    <x v="3"/>
    <x v="4"/>
    <s v="2000-BPRS"/>
    <m/>
    <x v="1"/>
    <m/>
    <m/>
    <s v="Karnataka"/>
    <s v="South"/>
    <s v="YESHWANTHPURA"/>
    <s v="Coil"/>
    <n v="942923"/>
    <s v="S C SHETTAR and SONS PRIVATE LIMITED"/>
    <n v="3777532"/>
    <s v="GP COIL TATGPH GP02 0.450X1015"/>
    <s v="Z120"/>
    <s v=""/>
    <m/>
    <m/>
    <s v="Narrow"/>
    <s v="C05"/>
    <s v="TATGPH"/>
    <s v="GP02"/>
    <n v="0.45"/>
    <n v="1015"/>
    <n v="0"/>
    <n v="23"/>
    <n v="0"/>
    <n v="23"/>
    <n v="23"/>
    <n v="23"/>
    <n v="23"/>
    <n v="0"/>
    <n v="0"/>
    <n v="0"/>
    <n v="0"/>
    <n v="0"/>
    <n v="0"/>
    <n v="0"/>
    <n v="0"/>
    <n v="0"/>
    <n v="0"/>
    <n v="0"/>
    <n v="0"/>
    <n v="0"/>
    <n v="0"/>
    <n v="0"/>
    <n v="0"/>
    <n v="0"/>
    <n v="0"/>
    <n v="0"/>
    <n v="0"/>
    <n v="0"/>
    <n v="0"/>
    <n v="0"/>
    <n v="0"/>
    <n v="0"/>
    <n v="23"/>
    <n v="0"/>
    <n v="0"/>
    <n v="0"/>
    <n v="23"/>
    <n v="0"/>
    <n v="0"/>
    <n v="0"/>
    <n v="0"/>
    <n v="0"/>
    <n v="0"/>
    <n v="0"/>
    <n v="23"/>
    <n v="0"/>
    <n v="0"/>
    <n v="0"/>
    <n v="0"/>
    <n v="0"/>
    <n v="0"/>
    <n v="0"/>
    <m/>
    <m/>
    <m/>
    <m/>
    <m/>
    <m/>
    <m/>
    <m/>
    <s v="1"/>
    <s v="1"/>
    <s v="1"/>
    <s v="0"/>
    <s v="1"/>
    <m/>
    <m/>
    <m/>
    <m/>
    <m/>
    <m/>
    <m/>
    <m/>
    <m/>
    <m/>
    <m/>
    <m/>
    <m/>
    <m/>
  </r>
  <r>
    <n v="743"/>
    <d v="2025-02-06T00:00:00"/>
    <s v="ZBTO"/>
    <n v="9518498429"/>
    <n v="1"/>
    <s v="9518498429-1"/>
    <s v="Feb'25"/>
    <x v="0"/>
    <m/>
    <x v="3"/>
    <x v="4"/>
    <s v="2000-BPRS"/>
    <m/>
    <x v="1"/>
    <m/>
    <m/>
    <s v="Assam"/>
    <s v="East"/>
    <s v="GAUHATI"/>
    <s v="Coil"/>
    <n v="103671"/>
    <s v="BAJRANG STEEL (SALES) CORPORATION"/>
    <n v="3776939"/>
    <s v="GP COIL TATGPH GP02 0.400X1015"/>
    <s v="Z120"/>
    <s v=""/>
    <m/>
    <m/>
    <s v="Narrow"/>
    <s v="C05"/>
    <s v="TATGPH"/>
    <s v="GP02"/>
    <n v="0.4"/>
    <n v="1015"/>
    <n v="0"/>
    <n v="23"/>
    <n v="0"/>
    <n v="23"/>
    <n v="23"/>
    <n v="23"/>
    <n v="23"/>
    <n v="0"/>
    <n v="0"/>
    <n v="0"/>
    <n v="0"/>
    <n v="0"/>
    <n v="0"/>
    <n v="0"/>
    <n v="0"/>
    <n v="0"/>
    <n v="0"/>
    <n v="0"/>
    <n v="0"/>
    <n v="0"/>
    <n v="0"/>
    <n v="0"/>
    <n v="0"/>
    <n v="0"/>
    <n v="0"/>
    <n v="0"/>
    <n v="0"/>
    <n v="0"/>
    <n v="0"/>
    <n v="0"/>
    <n v="0"/>
    <n v="0"/>
    <n v="23"/>
    <n v="0"/>
    <n v="0"/>
    <n v="0"/>
    <n v="23"/>
    <n v="0"/>
    <n v="0"/>
    <n v="0"/>
    <n v="0"/>
    <n v="0"/>
    <n v="0"/>
    <n v="0"/>
    <n v="23"/>
    <n v="0"/>
    <n v="0"/>
    <n v="0"/>
    <n v="0"/>
    <n v="0"/>
    <n v="0"/>
    <n v="0"/>
    <m/>
    <m/>
    <m/>
    <m/>
    <m/>
    <m/>
    <m/>
    <m/>
    <s v="1"/>
    <s v="1"/>
    <s v="1"/>
    <s v="0"/>
    <s v="1"/>
    <m/>
    <m/>
    <m/>
    <m/>
    <m/>
    <m/>
    <m/>
    <m/>
    <m/>
    <m/>
    <m/>
    <m/>
    <m/>
    <m/>
  </r>
  <r>
    <n v="743"/>
    <d v="2025-02-04T00:00:00"/>
    <s v="ZBTO"/>
    <n v="9518493932"/>
    <n v="1"/>
    <s v="9518493932-1"/>
    <s v="May'25"/>
    <x v="0"/>
    <m/>
    <x v="4"/>
    <x v="5"/>
    <s v="1000-IPPE"/>
    <m/>
    <x v="1"/>
    <m/>
    <m/>
    <s v="Gujarat"/>
    <s v="West"/>
    <s v="VADODARA"/>
    <s v="Coil"/>
    <n v="184591"/>
    <s v="NAKODA STEEL"/>
    <n v="3884496"/>
    <s v="GL COIL HARD  Y550GL HGL6 0.900X1220"/>
    <s v="AZ150"/>
    <m/>
    <n v="7"/>
    <n v="15"/>
    <s v="Wider"/>
    <s v="B04"/>
    <s v="Y550GL"/>
    <s v="HGL6"/>
    <n v="0.9"/>
    <n v="1220"/>
    <n v="0"/>
    <n v="252"/>
    <n v="219.09"/>
    <n v="32.909999999999997"/>
    <n v="-5.28"/>
    <n v="0"/>
    <n v="32.909999999999997"/>
    <n v="0"/>
    <n v="0"/>
    <n v="0"/>
    <n v="0"/>
    <n v="0"/>
    <n v="0"/>
    <n v="0"/>
    <n v="0"/>
    <n v="0"/>
    <n v="0"/>
    <n v="0"/>
    <n v="0"/>
    <n v="0"/>
    <n v="0"/>
    <n v="0"/>
    <n v="0"/>
    <n v="0"/>
    <n v="0"/>
    <n v="0"/>
    <n v="0"/>
    <n v="0"/>
    <n v="0"/>
    <n v="0"/>
    <n v="0"/>
    <n v="0"/>
    <n v="32.909999999999997"/>
    <n v="0"/>
    <n v="0"/>
    <n v="32.909999999999997"/>
    <n v="0"/>
    <n v="0"/>
    <n v="0"/>
    <n v="0"/>
    <n v="0"/>
    <n v="0"/>
    <n v="0"/>
    <n v="0"/>
    <n v="32.909999999999997"/>
    <n v="0"/>
    <n v="0"/>
    <n v="0"/>
    <n v="0"/>
    <n v="0"/>
    <n v="0"/>
    <n v="0"/>
    <m/>
    <m/>
    <m/>
    <m/>
    <m/>
    <m/>
    <m/>
    <m/>
    <s v="1"/>
    <s v="1"/>
    <s v="0"/>
    <s v="1"/>
    <s v="1"/>
    <m/>
    <m/>
    <m/>
    <m/>
    <m/>
    <m/>
    <m/>
    <m/>
    <m/>
    <m/>
    <m/>
    <m/>
    <m/>
    <m/>
  </r>
  <r>
    <n v="743"/>
    <d v="2025-02-12T00:00:00"/>
    <s v="ZBTO"/>
    <n v="9518514116"/>
    <n v="2"/>
    <s v="9518514116-2"/>
    <s v="Stocks"/>
    <x v="0"/>
    <m/>
    <x v="4"/>
    <x v="3"/>
    <s v="1000-IPPE"/>
    <m/>
    <x v="1"/>
    <m/>
    <m/>
    <s v="Maharashtra"/>
    <s v="West"/>
    <s v="RAJGURUNAGAR"/>
    <s v="Coil"/>
    <n v="942290"/>
    <s v="TATA BLUESCOPE STEEL PRIVATE LIMITE"/>
    <n v="3946362"/>
    <s v="GL COIL HARD Y550GL M308 0.47 (TCT)X1220"/>
    <s v="AZ150"/>
    <m/>
    <n v="3"/>
    <n v="5"/>
    <s v="Wider"/>
    <s v="B04"/>
    <s v="Y550GL"/>
    <s v="M308"/>
    <n v="0.47"/>
    <n v="1220"/>
    <n v="0"/>
    <n v="224"/>
    <n v="153.11500000000001"/>
    <n v="70.885000000000005"/>
    <n v="-32.854999999999997"/>
    <n v="0"/>
    <n v="4.0549999999999997"/>
    <n v="0"/>
    <n v="0"/>
    <n v="0"/>
    <n v="0"/>
    <n v="0"/>
    <n v="0"/>
    <n v="0"/>
    <n v="0"/>
    <n v="0"/>
    <n v="0"/>
    <n v="0"/>
    <n v="0"/>
    <n v="0"/>
    <n v="0"/>
    <n v="0"/>
    <n v="0"/>
    <n v="0"/>
    <n v="0"/>
    <n v="0"/>
    <n v="0"/>
    <n v="0"/>
    <n v="0"/>
    <n v="0"/>
    <n v="0"/>
    <n v="39.250000000000007"/>
    <n v="0"/>
    <n v="0"/>
    <n v="0"/>
    <n v="0"/>
    <n v="0"/>
    <n v="0"/>
    <n v="0"/>
    <n v="0"/>
    <n v="0"/>
    <n v="0"/>
    <n v="0"/>
    <n v="0"/>
    <n v="39.250000000000007"/>
    <n v="0"/>
    <n v="0"/>
    <n v="0"/>
    <n v="0"/>
    <n v="0"/>
    <n v="0"/>
    <n v="0"/>
    <m/>
    <m/>
    <m/>
    <m/>
    <m/>
    <m/>
    <m/>
    <m/>
    <s v="1"/>
    <s v="1"/>
    <s v="1"/>
    <s v="1"/>
    <s v="1"/>
    <m/>
    <m/>
    <m/>
    <m/>
    <m/>
    <m/>
    <m/>
    <m/>
    <m/>
    <m/>
    <m/>
    <m/>
    <m/>
    <m/>
  </r>
  <r>
    <n v="742"/>
    <d v="2025-02-03T00:00:00"/>
    <s v="ZBTO"/>
    <n v="9518490750"/>
    <n v="9"/>
    <s v="9518490750-9"/>
    <s v="No Priority"/>
    <x v="0"/>
    <m/>
    <x v="1"/>
    <x v="2"/>
    <n v="2000"/>
    <m/>
    <x v="0"/>
    <m/>
    <m/>
    <s v="Orissa"/>
    <s v="East"/>
    <s v="TANGI"/>
    <s v="Sheet"/>
    <n v="117061"/>
    <s v="BHARTIA  DISTRIBUTORS PVT. LTD"/>
    <n v="3240765"/>
    <s v="CRCA SHEET TSBCRC SR15 0.500X1250X2500"/>
    <s v=""/>
    <s v=""/>
    <m/>
    <m/>
    <s v="Wider"/>
    <s v="C06"/>
    <s v="TSBCRC"/>
    <s v="SR15"/>
    <n v="0.5"/>
    <n v="1250"/>
    <n v="0"/>
    <n v="75"/>
    <n v="72.515000000000001"/>
    <n v="2.4849999999999999"/>
    <n v="2.1850000000000001"/>
    <n v="0"/>
    <n v="2.48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2-12T00:00:00"/>
    <s v="ZBTO"/>
    <n v="9518513319"/>
    <n v="4"/>
    <s v="9518513319-4"/>
    <s v="Stocks"/>
    <x v="0"/>
    <m/>
    <x v="2"/>
    <x v="3"/>
    <s v="1000-IPPE"/>
    <m/>
    <x v="1"/>
    <m/>
    <m/>
    <s v="Jharkhand"/>
    <s v="East"/>
    <s v="TBL- BARA AGRICO"/>
    <s v="Coil"/>
    <n v="941597"/>
    <s v="TATA BLUESCOPE STEEL PRIVATE LIMITE"/>
    <n v="1633706"/>
    <s v="PPGL C Y550 HPL3 0.42BMT(0.50TPT)X1220"/>
    <s v="AZ150"/>
    <s v="RAL 9003 TSL 241"/>
    <n v="3"/>
    <n v="5"/>
    <s v="Wider"/>
    <s v="B18"/>
    <s v="Y550PL"/>
    <s v="HPL3"/>
    <n v="0.42"/>
    <n v="1220"/>
    <n v="0"/>
    <n v="28"/>
    <n v="23.27"/>
    <n v="4.7300000000000004"/>
    <n v="0.31"/>
    <n v="0"/>
    <n v="4.7300000000000004"/>
    <n v="0"/>
    <n v="0"/>
    <n v="0"/>
    <n v="0"/>
    <n v="0"/>
    <n v="0"/>
    <n v="0"/>
    <n v="0"/>
    <n v="0"/>
    <n v="0"/>
    <n v="0"/>
    <n v="0"/>
    <n v="0"/>
    <n v="0"/>
    <n v="0"/>
    <n v="0"/>
    <n v="0"/>
    <n v="0"/>
    <n v="0"/>
    <n v="0"/>
    <n v="0"/>
    <n v="0"/>
    <n v="0"/>
    <n v="0"/>
    <n v="23.27"/>
    <n v="0"/>
    <n v="0"/>
    <n v="0"/>
    <n v="0"/>
    <n v="0"/>
    <n v="0"/>
    <n v="0"/>
    <n v="0"/>
    <n v="0"/>
    <n v="0"/>
    <n v="0"/>
    <n v="0"/>
    <n v="23.27"/>
    <n v="0"/>
    <n v="0"/>
    <n v="0"/>
    <n v="0"/>
    <n v="0"/>
    <n v="0"/>
    <n v="0"/>
    <m/>
    <m/>
    <m/>
    <m/>
    <m/>
    <m/>
    <m/>
    <m/>
    <s v="1"/>
    <s v="1"/>
    <s v="1"/>
    <s v="1"/>
    <s v="1"/>
    <m/>
    <m/>
    <m/>
    <m/>
    <m/>
    <m/>
    <m/>
    <m/>
    <m/>
    <m/>
    <m/>
    <m/>
    <m/>
    <m/>
  </r>
  <r>
    <n v="742"/>
    <d v="2025-02-17T00:00:00"/>
    <s v="ZBTO"/>
    <n v="9518525571"/>
    <n v="1"/>
    <s v="9518525571-1"/>
    <s v="No Priority"/>
    <x v="0"/>
    <m/>
    <x v="1"/>
    <x v="2"/>
    <s v="2000-BPRS"/>
    <m/>
    <x v="0"/>
    <m/>
    <m/>
    <s v="West Bengal"/>
    <s v="East"/>
    <s v="HOWRAH"/>
    <s v="Sheet"/>
    <n v="925093"/>
    <s v="PSPL STEEL PROCESSORS PRIVATE LIMIT"/>
    <n v="3239408"/>
    <s v="CRCA SHEET TATCRC SR16 0.300X900X2500"/>
    <s v=" "/>
    <s v=""/>
    <n v="2"/>
    <n v="3"/>
    <s v="Narrow"/>
    <s v="C06"/>
    <s v="TATCRC"/>
    <s v="SR16"/>
    <n v="0.3"/>
    <n v="900"/>
    <n v="2500"/>
    <n v="24"/>
    <n v="21.32"/>
    <n v="2.68"/>
    <n v="2.68"/>
    <n v="0"/>
    <n v="2.68"/>
    <n v="0"/>
    <n v="0"/>
    <n v="0"/>
    <n v="0"/>
    <n v="0"/>
    <n v="0"/>
    <n v="0"/>
    <n v="0"/>
    <n v="0"/>
    <n v="0"/>
    <n v="0"/>
    <n v="0"/>
    <n v="0"/>
    <n v="0"/>
    <n v="0"/>
    <n v="0"/>
    <n v="0"/>
    <n v="0"/>
    <n v="0"/>
    <n v="0"/>
    <n v="0"/>
    <n v="0"/>
    <n v="0"/>
    <n v="0"/>
    <n v="0"/>
    <n v="0"/>
    <n v="0"/>
    <n v="0"/>
    <n v="0"/>
    <n v="0"/>
    <n v="0"/>
    <n v="0"/>
    <n v="0"/>
    <n v="0"/>
    <n v="0"/>
    <n v="0"/>
    <n v="0"/>
    <n v="0"/>
    <n v="18.68"/>
    <n v="0"/>
    <n v="0"/>
    <n v="0"/>
    <n v="0"/>
    <n v="0"/>
    <n v="18.68"/>
    <m/>
    <m/>
    <m/>
    <m/>
    <m/>
    <m/>
    <m/>
    <m/>
    <s v="1"/>
    <s v="1"/>
    <s v="1"/>
    <s v="1"/>
    <s v="1"/>
    <m/>
    <m/>
    <m/>
    <m/>
    <m/>
    <m/>
    <m/>
    <m/>
    <m/>
    <m/>
    <m/>
    <m/>
    <m/>
    <m/>
  </r>
  <r>
    <n v="742"/>
    <d v="2025-02-06T00:00:00"/>
    <s v="ZBTO"/>
    <n v="9518497626"/>
    <n v="15"/>
    <s v="9518497626-15"/>
    <s v="No Priority"/>
    <x v="0"/>
    <m/>
    <x v="1"/>
    <x v="2"/>
    <s v="2000-BPRS"/>
    <m/>
    <x v="0"/>
    <m/>
    <m/>
    <s v="Andhra Pradesh"/>
    <s v="South"/>
    <s v="VISHAKHAPATNAM"/>
    <s v="Sheet"/>
    <n v="946077"/>
    <s v="SITARAM IRON AND STEEL PVT LTD"/>
    <n v="3240805"/>
    <s v="CRCA SHEET TSBCRC SR15 0.800X1000X2500"/>
    <s v=" "/>
    <s v=""/>
    <n v="0"/>
    <n v="0"/>
    <s v="Narrow"/>
    <s v="C06"/>
    <s v="TSBCRC"/>
    <s v="SR15"/>
    <n v="0.8"/>
    <n v="1000"/>
    <n v="2500"/>
    <n v="21"/>
    <n v="20.454999999999998"/>
    <n v="0.54500000000000004"/>
    <n v="0.54500000000000004"/>
    <n v="0"/>
    <n v="0.54500000000000004"/>
    <n v="0"/>
    <n v="0"/>
    <n v="0"/>
    <n v="0"/>
    <n v="0"/>
    <n v="0"/>
    <n v="0"/>
    <n v="0"/>
    <n v="0"/>
    <n v="0"/>
    <n v="0"/>
    <n v="0"/>
    <n v="0"/>
    <n v="0"/>
    <n v="0"/>
    <n v="0"/>
    <n v="0"/>
    <n v="0"/>
    <n v="0"/>
    <n v="0"/>
    <n v="0"/>
    <n v="0"/>
    <n v="0"/>
    <n v="0"/>
    <n v="0"/>
    <n v="0"/>
    <n v="0"/>
    <n v="0"/>
    <n v="0"/>
    <n v="0"/>
    <n v="0"/>
    <n v="0"/>
    <n v="0"/>
    <n v="0"/>
    <n v="0"/>
    <n v="0"/>
    <n v="0"/>
    <n v="0"/>
    <n v="20.455000000000002"/>
    <n v="0"/>
    <n v="0"/>
    <n v="0"/>
    <n v="0"/>
    <n v="0"/>
    <n v="20.455000000000002"/>
    <m/>
    <m/>
    <m/>
    <m/>
    <m/>
    <m/>
    <m/>
    <m/>
    <s v="1"/>
    <s v="1"/>
    <s v="1"/>
    <s v="1"/>
    <s v="1"/>
    <m/>
    <m/>
    <m/>
    <m/>
    <m/>
    <m/>
    <m/>
    <m/>
    <m/>
    <m/>
    <m/>
    <m/>
    <m/>
    <m/>
  </r>
  <r>
    <n v="742"/>
    <d v="2025-01-03T00:00:00"/>
    <s v="ZBTF"/>
    <n v="9518403770"/>
    <n v="1"/>
    <s v="9518403770-1"/>
    <s v="Stocks"/>
    <x v="0"/>
    <m/>
    <x v="1"/>
    <x v="6"/>
    <s v="2000-BPRS"/>
    <m/>
    <x v="1"/>
    <m/>
    <m/>
    <s v="Karnataka"/>
    <s v="South"/>
    <s v="YESHWANTHPURA"/>
    <s v="Coil"/>
    <n v="600103"/>
    <s v="TATA STEEL LIMITED"/>
    <n v="3820032"/>
    <s v="CR COIL TATXHS BR45 2X1300"/>
    <s v=" "/>
    <s v=""/>
    <n v="10"/>
    <n v="27"/>
    <s v="Wider"/>
    <s v="C01"/>
    <s v="TATXHS"/>
    <s v="BR45"/>
    <n v="2"/>
    <n v="1300"/>
    <n v="0"/>
    <n v="240"/>
    <n v="212.97499999999999"/>
    <n v="27.024999999999999"/>
    <n v="27.024999999999999"/>
    <n v="27.024999999999999"/>
    <n v="0"/>
    <n v="0"/>
    <n v="0"/>
    <n v="0"/>
    <n v="0"/>
    <n v="0"/>
    <n v="0"/>
    <n v="0"/>
    <n v="0"/>
    <n v="0"/>
    <n v="0"/>
    <n v="0"/>
    <n v="0"/>
    <n v="0"/>
    <n v="0"/>
    <n v="0"/>
    <n v="0"/>
    <n v="0"/>
    <n v="0"/>
    <n v="0"/>
    <n v="0"/>
    <n v="0"/>
    <n v="0"/>
    <n v="0"/>
    <n v="0"/>
    <n v="78.600000000000009"/>
    <n v="0"/>
    <n v="0"/>
    <n v="0"/>
    <n v="0"/>
    <n v="0"/>
    <n v="0"/>
    <n v="0"/>
    <n v="0"/>
    <n v="0"/>
    <n v="0"/>
    <n v="0"/>
    <n v="0"/>
    <n v="78.600000000000009"/>
    <n v="187.41500000000002"/>
    <n v="0"/>
    <n v="0"/>
    <n v="0"/>
    <n v="0"/>
    <n v="0"/>
    <n v="187.41500000000002"/>
    <m/>
    <m/>
    <m/>
    <m/>
    <m/>
    <m/>
    <m/>
    <m/>
    <s v="1"/>
    <s v="1"/>
    <s v="1"/>
    <s v="1"/>
    <s v="1"/>
    <m/>
    <m/>
    <m/>
    <m/>
    <m/>
    <m/>
    <m/>
    <m/>
    <m/>
    <m/>
    <m/>
    <m/>
    <m/>
    <m/>
  </r>
  <r>
    <n v="742"/>
    <d v="2025-02-05T00:00:00"/>
    <s v="ZBTO"/>
    <n v="9518495920"/>
    <n v="7"/>
    <s v="9518495920-7"/>
    <s v="Stocks"/>
    <x v="0"/>
    <m/>
    <x v="1"/>
    <x v="2"/>
    <n v="2000"/>
    <m/>
    <x v="1"/>
    <m/>
    <m/>
    <s v="Uttar Pradesh"/>
    <s v="North"/>
    <s v="VARANASI"/>
    <s v="Sheet"/>
    <n v="931525"/>
    <s v="INDIA STEEL INDUSTRIES"/>
    <n v="3240761"/>
    <s v="CRCA SHEET TSBCRC SR15 0.500X1250X2030"/>
    <s v=""/>
    <s v=""/>
    <m/>
    <m/>
    <s v="Wider"/>
    <s v="C06"/>
    <s v="TSBCRC"/>
    <s v="SR15"/>
    <n v="0.5"/>
    <n v="1250"/>
    <n v="2030"/>
    <n v="27"/>
    <n v="10.005000000000001"/>
    <n v="16.995000000000001"/>
    <n v="0.71"/>
    <n v="0"/>
    <n v="1.6"/>
    <n v="0"/>
    <n v="0"/>
    <n v="0"/>
    <n v="0"/>
    <n v="0"/>
    <n v="0"/>
    <n v="0"/>
    <n v="0"/>
    <n v="0"/>
    <n v="0"/>
    <n v="0"/>
    <n v="0"/>
    <n v="0"/>
    <n v="0"/>
    <n v="0"/>
    <n v="0"/>
    <n v="0"/>
    <n v="0"/>
    <n v="0"/>
    <n v="0"/>
    <n v="0"/>
    <n v="0"/>
    <n v="0"/>
    <n v="0"/>
    <n v="13.105"/>
    <n v="0"/>
    <n v="0"/>
    <n v="0"/>
    <n v="0"/>
    <n v="0"/>
    <n v="0"/>
    <n v="0"/>
    <n v="0"/>
    <n v="0"/>
    <n v="0"/>
    <n v="0"/>
    <n v="0"/>
    <n v="13.105"/>
    <n v="0"/>
    <n v="0"/>
    <n v="0"/>
    <n v="0"/>
    <n v="0"/>
    <n v="0"/>
    <n v="0"/>
    <m/>
    <m/>
    <m/>
    <m/>
    <m/>
    <m/>
    <m/>
    <m/>
    <s v="1"/>
    <s v="1"/>
    <s v="1"/>
    <s v="1"/>
    <s v="1"/>
    <m/>
    <m/>
    <m/>
    <m/>
    <m/>
    <m/>
    <m/>
    <m/>
    <m/>
    <m/>
    <m/>
    <m/>
    <m/>
    <m/>
  </r>
  <r>
    <n v="742"/>
    <d v="2025-02-06T00:00:00"/>
    <s v="ZBTO"/>
    <n v="9518497626"/>
    <n v="17"/>
    <s v="9518497626-17"/>
    <s v="No Priority"/>
    <x v="0"/>
    <m/>
    <x v="1"/>
    <x v="2"/>
    <s v="2000-BPRS"/>
    <m/>
    <x v="0"/>
    <m/>
    <m/>
    <s v="Andhra Pradesh"/>
    <s v="South"/>
    <s v="VISHAKHAPATNAM"/>
    <s v="Sheet"/>
    <n v="946077"/>
    <s v="SITARAM IRON AND STEEL PVT LTD"/>
    <n v="3410102"/>
    <s v="CRCA SHEET TSBCRC SR15 0.950X1000X2500"/>
    <s v=" "/>
    <s v=""/>
    <n v="0"/>
    <n v="0"/>
    <s v="Narrow"/>
    <s v="C06"/>
    <s v="TSBCRC"/>
    <s v="SR15"/>
    <n v="0.95"/>
    <n v="1000"/>
    <n v="2500"/>
    <n v="21"/>
    <n v="19.594999999999999"/>
    <n v="1.405"/>
    <n v="1.405"/>
    <n v="0"/>
    <n v="1.405"/>
    <n v="0"/>
    <n v="0"/>
    <n v="0"/>
    <n v="0"/>
    <n v="0"/>
    <n v="0"/>
    <n v="0"/>
    <n v="0"/>
    <n v="0"/>
    <n v="0"/>
    <n v="0"/>
    <n v="0"/>
    <n v="0"/>
    <n v="0"/>
    <n v="0"/>
    <n v="0"/>
    <n v="0"/>
    <n v="0"/>
    <n v="0"/>
    <n v="0"/>
    <n v="0"/>
    <n v="0"/>
    <n v="0"/>
    <n v="0"/>
    <n v="0"/>
    <n v="0"/>
    <n v="0"/>
    <n v="0"/>
    <n v="0"/>
    <n v="0"/>
    <n v="0"/>
    <n v="0"/>
    <n v="0"/>
    <n v="0"/>
    <n v="0"/>
    <n v="0"/>
    <n v="0"/>
    <n v="0"/>
    <n v="14.265000000000001"/>
    <n v="0"/>
    <n v="0"/>
    <n v="0"/>
    <n v="0"/>
    <n v="0"/>
    <n v="14.265000000000001"/>
    <m/>
    <m/>
    <m/>
    <m/>
    <m/>
    <m/>
    <m/>
    <m/>
    <s v="1"/>
    <s v="1"/>
    <s v="1"/>
    <s v="1"/>
    <s v="1"/>
    <m/>
    <m/>
    <m/>
    <m/>
    <m/>
    <m/>
    <m/>
    <m/>
    <m/>
    <m/>
    <m/>
    <m/>
    <m/>
    <m/>
  </r>
  <r>
    <n v="742"/>
    <d v="2025-02-06T00:00:00"/>
    <s v="ZBTO"/>
    <n v="9518497626"/>
    <n v="19"/>
    <s v="9518497626-19"/>
    <s v="No Priority"/>
    <x v="0"/>
    <m/>
    <x v="1"/>
    <x v="2"/>
    <s v="2000-BPRS"/>
    <m/>
    <x v="0"/>
    <m/>
    <m/>
    <s v="Andhra Pradesh"/>
    <s v="South"/>
    <s v="VISHAKHAPATNAM"/>
    <s v="Sheet"/>
    <n v="946077"/>
    <s v="SITARAM IRON AND STEEL PVT LTD"/>
    <n v="3240836"/>
    <s v="CRCA SHEET TSBCRC SR15 1X1000X2500"/>
    <s v=" "/>
    <s v=""/>
    <n v="0"/>
    <n v="0"/>
    <s v="Narrow"/>
    <s v="C06"/>
    <s v="TSBCRC"/>
    <s v="SR15"/>
    <n v="1"/>
    <n v="1000"/>
    <n v="2500"/>
    <n v="20.99"/>
    <n v="20.495000000000001"/>
    <n v="0.495"/>
    <n v="0.495"/>
    <n v="0"/>
    <n v="0.495"/>
    <n v="0"/>
    <n v="0"/>
    <n v="0"/>
    <n v="0"/>
    <n v="0"/>
    <n v="0"/>
    <n v="0"/>
    <n v="0"/>
    <n v="0"/>
    <n v="0"/>
    <n v="0"/>
    <n v="0"/>
    <n v="0"/>
    <n v="0"/>
    <n v="0"/>
    <n v="0"/>
    <n v="0"/>
    <n v="0"/>
    <n v="0"/>
    <n v="0"/>
    <n v="0"/>
    <n v="0"/>
    <n v="0"/>
    <n v="0"/>
    <n v="0"/>
    <n v="0"/>
    <n v="0"/>
    <n v="0"/>
    <n v="0"/>
    <n v="0"/>
    <n v="0"/>
    <n v="0"/>
    <n v="0"/>
    <n v="0"/>
    <n v="0"/>
    <n v="0"/>
    <n v="0"/>
    <n v="0"/>
    <n v="20.495000000000001"/>
    <n v="0"/>
    <n v="0"/>
    <n v="0"/>
    <n v="0"/>
    <n v="0"/>
    <n v="20.495000000000001"/>
    <m/>
    <m/>
    <m/>
    <m/>
    <m/>
    <m/>
    <m/>
    <m/>
    <s v="1"/>
    <s v="1"/>
    <s v="1"/>
    <s v="1"/>
    <s v="1"/>
    <m/>
    <m/>
    <m/>
    <m/>
    <m/>
    <m/>
    <m/>
    <m/>
    <m/>
    <m/>
    <m/>
    <m/>
    <m/>
    <m/>
  </r>
  <r>
    <n v="743"/>
    <d v="2025-02-20T00:00:00"/>
    <s v="ZBTO"/>
    <n v="9518535988"/>
    <n v="2"/>
    <s v="9518535988-2"/>
    <s v="Stocks"/>
    <x v="0"/>
    <m/>
    <x v="4"/>
    <x v="3"/>
    <s v="1000-IPPE"/>
    <m/>
    <x v="1"/>
    <m/>
    <m/>
    <s v="Jharkhand"/>
    <s v="East"/>
    <s v="TBL- BARA AGRICO"/>
    <s v="Coil"/>
    <n v="942283"/>
    <s v="TATA BLUESCOPE STEEL PRIVATE LIMITE"/>
    <n v="1881988"/>
    <s v="GL C YS550 H6GL 0.50BMT(0.55TCT)X1220"/>
    <s v="AZ150"/>
    <s v=""/>
    <n v="3"/>
    <n v="5"/>
    <s v="Wider"/>
    <s v="B04"/>
    <s v="Y550GL"/>
    <s v="H6GL"/>
    <n v="0.5"/>
    <n v="1220"/>
    <n v="0"/>
    <n v="28"/>
    <n v="0"/>
    <n v="28"/>
    <n v="0.04"/>
    <n v="0"/>
    <n v="0.53500000000000003"/>
    <n v="0"/>
    <n v="0"/>
    <n v="0"/>
    <n v="0"/>
    <n v="0"/>
    <n v="0"/>
    <n v="0"/>
    <n v="0"/>
    <n v="0"/>
    <n v="0"/>
    <n v="0"/>
    <n v="0"/>
    <n v="0"/>
    <n v="0"/>
    <n v="0"/>
    <n v="0"/>
    <n v="0"/>
    <n v="0"/>
    <n v="0"/>
    <n v="0"/>
    <n v="0"/>
    <n v="0"/>
    <n v="0"/>
    <n v="0"/>
    <n v="27.465"/>
    <n v="0"/>
    <n v="0"/>
    <n v="0"/>
    <n v="0"/>
    <n v="0"/>
    <n v="0"/>
    <n v="0"/>
    <n v="0"/>
    <n v="0"/>
    <n v="0"/>
    <n v="0"/>
    <n v="0"/>
    <n v="27.465"/>
    <n v="0"/>
    <n v="0"/>
    <n v="0"/>
    <n v="0"/>
    <n v="0"/>
    <n v="0"/>
    <n v="0"/>
    <m/>
    <m/>
    <m/>
    <m/>
    <m/>
    <m/>
    <m/>
    <m/>
    <s v="1"/>
    <s v="1"/>
    <s v="1"/>
    <s v="1"/>
    <s v="1"/>
    <m/>
    <m/>
    <m/>
    <m/>
    <m/>
    <m/>
    <m/>
    <m/>
    <m/>
    <m/>
    <m/>
    <m/>
    <m/>
    <m/>
  </r>
  <r>
    <n v="743"/>
    <d v="2025-02-20T00:00:00"/>
    <s v="ZBTO"/>
    <n v="9518535988"/>
    <n v="3"/>
    <s v="9518535988-3"/>
    <s v="Stocks"/>
    <x v="0"/>
    <m/>
    <x v="4"/>
    <x v="3"/>
    <s v="1000-IPPE"/>
    <m/>
    <x v="1"/>
    <m/>
    <m/>
    <s v="Jharkhand"/>
    <s v="East"/>
    <s v="TBL- BARA AGRICO"/>
    <s v="Coil"/>
    <n v="942283"/>
    <s v="TATA BLUESCOPE STEEL PRIVATE LIMITE"/>
    <n v="1882004"/>
    <s v="GL C YS550 H6GL 0.55BMT(0.60TCT)X1220"/>
    <s v="AZ150"/>
    <s v=""/>
    <n v="3"/>
    <n v="5"/>
    <s v="Wider"/>
    <s v="B04"/>
    <s v="Y550GL"/>
    <s v="H6GL"/>
    <n v="0.55000000000000004"/>
    <n v="1220"/>
    <n v="0"/>
    <n v="28"/>
    <n v="9.3699999999999992"/>
    <n v="18.63"/>
    <n v="-9.4700000000000006"/>
    <n v="0"/>
    <n v="0.82"/>
    <n v="0"/>
    <n v="0"/>
    <n v="0"/>
    <n v="0"/>
    <n v="0"/>
    <n v="0"/>
    <n v="0"/>
    <n v="0"/>
    <n v="0"/>
    <n v="0"/>
    <n v="0"/>
    <n v="0"/>
    <n v="0"/>
    <n v="0"/>
    <n v="0"/>
    <n v="0"/>
    <n v="0"/>
    <n v="0"/>
    <n v="0"/>
    <n v="0"/>
    <n v="0"/>
    <n v="0"/>
    <n v="0"/>
    <n v="0"/>
    <n v="9.0250000000000004"/>
    <n v="0"/>
    <n v="0"/>
    <n v="0"/>
    <n v="0"/>
    <n v="0"/>
    <n v="0"/>
    <n v="0"/>
    <n v="0"/>
    <n v="0"/>
    <n v="0"/>
    <n v="0"/>
    <n v="0"/>
    <n v="9.0250000000000004"/>
    <n v="9.370000000000001"/>
    <n v="0"/>
    <n v="0"/>
    <n v="0"/>
    <n v="0"/>
    <n v="0"/>
    <n v="9.370000000000001"/>
    <m/>
    <m/>
    <m/>
    <m/>
    <m/>
    <m/>
    <m/>
    <m/>
    <s v="1"/>
    <s v="1"/>
    <s v="1"/>
    <s v="1"/>
    <s v="1"/>
    <m/>
    <m/>
    <m/>
    <m/>
    <m/>
    <m/>
    <m/>
    <m/>
    <m/>
    <m/>
    <m/>
    <m/>
    <m/>
    <m/>
  </r>
  <r>
    <n v="743"/>
    <d v="2025-02-20T00:00:00"/>
    <s v="ZBTO"/>
    <n v="9518535988"/>
    <n v="4"/>
    <s v="9518535988-4"/>
    <s v="Apr'25 "/>
    <x v="0"/>
    <m/>
    <x v="4"/>
    <x v="3"/>
    <s v="1000-IPPE"/>
    <n v="4000"/>
    <x v="1"/>
    <m/>
    <m/>
    <s v="Jharkhand"/>
    <s v="East"/>
    <s v="TBL- BARA AGRICO"/>
    <s v="Coil"/>
    <n v="942283"/>
    <s v="TATA BLUESCOPE STEEL PRIVATE LIMITE"/>
    <n v="1881969"/>
    <s v="GL C YS550 H6GL 0.45BMT(0.50TCT)X1220"/>
    <s v="AZ150"/>
    <s v=""/>
    <n v="3"/>
    <n v="5"/>
    <s v="Wider"/>
    <s v="B04"/>
    <s v="Y550GL"/>
    <s v="H6GL"/>
    <n v="0.45"/>
    <n v="1220"/>
    <n v="0"/>
    <n v="252"/>
    <n v="231.405"/>
    <n v="20.594999999999999"/>
    <n v="20.594999999999999"/>
    <n v="20.594999999999999"/>
    <n v="20.594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30T00:00:00"/>
    <s v="ZBTO"/>
    <n v="9518477709"/>
    <n v="1"/>
    <s v="9518477709-1"/>
    <s v="No Priority"/>
    <x v="0"/>
    <m/>
    <x v="1"/>
    <x v="1"/>
    <s v="2000-BPRS"/>
    <m/>
    <x v="0"/>
    <m/>
    <m/>
    <s v="Telangana"/>
    <s v="South"/>
    <s v="SANGAREDDY"/>
    <s v="Coil"/>
    <n v="947126"/>
    <s v="RAVINDRA IRON WORKS"/>
    <n v="196234"/>
    <s v="CRSHEET-ICF  DQ TATXXD AU03 1.20 X 1270"/>
    <s v=" "/>
    <s v=""/>
    <n v="5"/>
    <n v="30"/>
    <s v="Wider"/>
    <s v="C01"/>
    <s v="TATXXD"/>
    <s v="AU03"/>
    <n v="1.2"/>
    <n v="1270"/>
    <n v="0"/>
    <n v="87"/>
    <n v="26.2"/>
    <n v="60.8"/>
    <n v="60.8"/>
    <n v="60.8"/>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3T00:00:00"/>
    <s v="ZBTF"/>
    <n v="9518517180"/>
    <n v="6"/>
    <s v="9518517180-6"/>
    <s v="Stocks"/>
    <x v="0"/>
    <m/>
    <x v="1"/>
    <x v="7"/>
    <s v="1000-IPPE"/>
    <m/>
    <x v="1"/>
    <m/>
    <s v="Exp BTF &lt;17MT"/>
    <s v="Uttar Pradesh"/>
    <s v="North"/>
    <s v="PILKHUWA"/>
    <s v="Coil"/>
    <n v="600250"/>
    <s v="TATA CENTER"/>
    <n v="3587949"/>
    <s v="CR COIL TSBSTA EL06 0.500X1250"/>
    <s v=" "/>
    <s v=""/>
    <n v="8"/>
    <n v="14"/>
    <s v="Wider"/>
    <s v="C01"/>
    <s v="TSBSTA"/>
    <s v="EL06"/>
    <n v="0.5"/>
    <n v="1250"/>
    <n v="0"/>
    <n v="290"/>
    <n v="255.79499999999999"/>
    <n v="34.204999999999998"/>
    <n v="6.4850000000000003"/>
    <n v="34.204999999999998"/>
    <n v="9.06"/>
    <n v="0"/>
    <n v="0"/>
    <n v="0"/>
    <n v="0"/>
    <n v="0"/>
    <n v="0"/>
    <n v="0"/>
    <n v="0"/>
    <n v="0"/>
    <n v="0"/>
    <n v="0"/>
    <n v="0"/>
    <n v="0"/>
    <n v="0"/>
    <n v="0"/>
    <n v="0"/>
    <n v="0"/>
    <n v="0"/>
    <n v="0"/>
    <n v="0"/>
    <n v="0"/>
    <n v="0"/>
    <n v="0"/>
    <n v="0"/>
    <n v="24.47"/>
    <n v="0"/>
    <n v="0"/>
    <n v="0"/>
    <n v="0"/>
    <n v="0"/>
    <n v="0"/>
    <n v="0"/>
    <n v="0"/>
    <n v="0"/>
    <n v="0"/>
    <n v="0"/>
    <n v="0"/>
    <n v="24.47"/>
    <n v="178.50000000000003"/>
    <n v="0"/>
    <n v="0"/>
    <n v="0"/>
    <n v="0"/>
    <n v="0"/>
    <n v="178.50000000000003"/>
    <m/>
    <m/>
    <m/>
    <m/>
    <m/>
    <m/>
    <m/>
    <m/>
    <s v="1"/>
    <s v="1"/>
    <s v="1"/>
    <s v="1"/>
    <s v="1"/>
    <m/>
    <m/>
    <m/>
    <m/>
    <m/>
    <m/>
    <m/>
    <m/>
    <m/>
    <m/>
    <m/>
    <m/>
    <m/>
    <m/>
  </r>
  <r>
    <n v="742"/>
    <d v="2025-02-13T00:00:00"/>
    <s v="ZBTF"/>
    <n v="9518517180"/>
    <n v="7"/>
    <s v="9518517180-7"/>
    <s v="Stocks"/>
    <x v="0"/>
    <m/>
    <x v="1"/>
    <x v="7"/>
    <s v="1000-IPPE"/>
    <m/>
    <x v="1"/>
    <m/>
    <s v="Exp BTF &lt;17MT"/>
    <s v="Uttar Pradesh"/>
    <s v="North"/>
    <s v="PILKHUWA"/>
    <s v="Coil"/>
    <n v="600250"/>
    <s v="TATA CENTER"/>
    <n v="3587949"/>
    <s v="CR COIL TSBSTA EL06 0.500X1250"/>
    <s v=" "/>
    <s v=""/>
    <n v="8"/>
    <n v="14"/>
    <s v="Wider"/>
    <s v="C01"/>
    <s v="TSBSTA"/>
    <s v="EL06"/>
    <n v="0.5"/>
    <n v="1250"/>
    <n v="0"/>
    <n v="290"/>
    <n v="242.87"/>
    <n v="47.13"/>
    <n v="8.1649999999999991"/>
    <n v="47.13"/>
    <n v="9.75"/>
    <n v="0"/>
    <n v="0"/>
    <n v="0"/>
    <n v="0"/>
    <n v="0"/>
    <n v="0"/>
    <n v="0"/>
    <n v="0"/>
    <n v="0"/>
    <n v="0"/>
    <n v="0"/>
    <n v="0"/>
    <n v="0"/>
    <n v="0"/>
    <n v="0"/>
    <n v="0"/>
    <n v="0"/>
    <n v="0"/>
    <n v="0"/>
    <n v="0"/>
    <n v="0"/>
    <n v="0"/>
    <n v="0"/>
    <n v="0"/>
    <n v="24.975000000000001"/>
    <n v="0"/>
    <n v="0"/>
    <n v="0"/>
    <n v="0"/>
    <n v="0"/>
    <n v="0"/>
    <n v="0"/>
    <n v="0"/>
    <n v="0"/>
    <n v="0"/>
    <n v="0"/>
    <n v="0"/>
    <n v="24.975000000000001"/>
    <n v="76.55"/>
    <n v="0"/>
    <n v="0"/>
    <n v="0"/>
    <n v="0"/>
    <n v="0"/>
    <n v="76.55"/>
    <m/>
    <m/>
    <m/>
    <m/>
    <m/>
    <m/>
    <m/>
    <m/>
    <s v="1"/>
    <s v="1"/>
    <s v="1"/>
    <s v="1"/>
    <s v="1"/>
    <m/>
    <m/>
    <m/>
    <m/>
    <m/>
    <m/>
    <m/>
    <m/>
    <m/>
    <m/>
    <m/>
    <m/>
    <m/>
    <m/>
  </r>
  <r>
    <n v="742"/>
    <d v="2025-02-10T00:00:00"/>
    <s v="ZBTO"/>
    <n v="9518507657"/>
    <n v="9"/>
    <s v="9518507657-9"/>
    <s v="No Priority"/>
    <x v="0"/>
    <m/>
    <x v="1"/>
    <x v="2"/>
    <s v="2000-BPRS"/>
    <m/>
    <x v="0"/>
    <m/>
    <m/>
    <s v="Assam"/>
    <s v="East"/>
    <s v="GUWAHATI"/>
    <s v="Sheet"/>
    <n v="116649"/>
    <s v="SAGAR STEELS"/>
    <n v="3240790"/>
    <s v="CRCA SHEET TSBCRC SR15 0.700X1000X2500"/>
    <s v=" "/>
    <s v=""/>
    <n v="2"/>
    <n v="3"/>
    <s v="Narrow"/>
    <s v="C06"/>
    <s v="TSBCRC"/>
    <s v="SR15"/>
    <n v="0.7"/>
    <n v="1000"/>
    <n v="2500"/>
    <n v="21"/>
    <n v="20.43"/>
    <n v="0.56999999999999995"/>
    <n v="0.56999999999999995"/>
    <n v="0"/>
    <n v="0.56999999999999995"/>
    <n v="0"/>
    <n v="0"/>
    <n v="0"/>
    <n v="0"/>
    <n v="0"/>
    <n v="0"/>
    <n v="0"/>
    <n v="0"/>
    <n v="0"/>
    <n v="0"/>
    <n v="0"/>
    <n v="0"/>
    <n v="0"/>
    <n v="0"/>
    <n v="0"/>
    <n v="0"/>
    <n v="0"/>
    <n v="0"/>
    <n v="0"/>
    <n v="0"/>
    <n v="0"/>
    <n v="0"/>
    <n v="0"/>
    <n v="0"/>
    <n v="0"/>
    <n v="0"/>
    <n v="0"/>
    <n v="0"/>
    <n v="0"/>
    <n v="0"/>
    <n v="0"/>
    <n v="0"/>
    <n v="0"/>
    <n v="0"/>
    <n v="0"/>
    <n v="0"/>
    <n v="0"/>
    <n v="0"/>
    <n v="20.43"/>
    <n v="0"/>
    <n v="0"/>
    <n v="0"/>
    <n v="0"/>
    <n v="0"/>
    <n v="20.43"/>
    <m/>
    <m/>
    <m/>
    <m/>
    <m/>
    <m/>
    <m/>
    <m/>
    <s v="1"/>
    <s v="1"/>
    <s v="1"/>
    <s v="1"/>
    <s v="1"/>
    <m/>
    <m/>
    <m/>
    <m/>
    <m/>
    <m/>
    <m/>
    <m/>
    <m/>
    <m/>
    <m/>
    <m/>
    <m/>
    <m/>
  </r>
  <r>
    <n v="742"/>
    <d v="2025-02-06T00:00:00"/>
    <s v="ZBTO"/>
    <n v="9518498155"/>
    <n v="5"/>
    <s v="9518498155-5"/>
    <s v="Mar'25"/>
    <x v="0"/>
    <m/>
    <x v="1"/>
    <x v="1"/>
    <s v="2000-BPRS"/>
    <m/>
    <x v="1"/>
    <m/>
    <m/>
    <s v="Andhra Pradesh"/>
    <s v="South"/>
    <s v="VISHAKHAPATNAM"/>
    <s v="Coil"/>
    <n v="946077"/>
    <s v="SITARAM IRON AND STEEL PVT LTD"/>
    <n v="1801798"/>
    <s v="CRCA COIL-TATXXD-AU03-1X900"/>
    <s v=" "/>
    <s v=""/>
    <n v="8"/>
    <n v="29"/>
    <s v="Narrow"/>
    <s v="C01"/>
    <s v="TATXXD"/>
    <s v="AU03"/>
    <n v="1"/>
    <n v="900"/>
    <n v="0"/>
    <n v="21"/>
    <n v="0"/>
    <n v="21"/>
    <n v="21"/>
    <n v="21"/>
    <n v="21"/>
    <n v="0"/>
    <n v="0"/>
    <n v="0"/>
    <n v="0"/>
    <n v="0"/>
    <n v="0"/>
    <n v="0"/>
    <n v="0"/>
    <n v="0"/>
    <n v="0"/>
    <n v="0"/>
    <n v="0"/>
    <n v="0"/>
    <n v="0"/>
    <n v="0"/>
    <n v="0"/>
    <n v="0"/>
    <n v="0"/>
    <n v="0"/>
    <n v="0"/>
    <n v="0"/>
    <n v="0"/>
    <n v="0"/>
    <n v="0"/>
    <n v="0"/>
    <n v="21"/>
    <n v="0"/>
    <n v="0"/>
    <n v="0"/>
    <n v="0"/>
    <n v="21"/>
    <n v="0"/>
    <n v="0"/>
    <n v="0"/>
    <n v="0"/>
    <n v="0"/>
    <n v="0"/>
    <n v="21"/>
    <n v="0"/>
    <n v="0"/>
    <n v="0"/>
    <n v="0"/>
    <n v="0"/>
    <n v="0"/>
    <n v="0"/>
    <m/>
    <m/>
    <m/>
    <m/>
    <m/>
    <m/>
    <m/>
    <m/>
    <s v="1"/>
    <s v="1"/>
    <s v="1"/>
    <s v="1"/>
    <s v="0"/>
    <m/>
    <m/>
    <m/>
    <m/>
    <m/>
    <m/>
    <m/>
    <m/>
    <m/>
    <m/>
    <m/>
    <m/>
    <m/>
    <m/>
  </r>
  <r>
    <n v="744"/>
    <d v="2025-02-20T00:00:00"/>
    <s v="ZBTO"/>
    <n v="9518536065"/>
    <n v="1"/>
    <s v="9518536065-1"/>
    <s v="Apr'25 "/>
    <x v="0"/>
    <m/>
    <x v="2"/>
    <x v="3"/>
    <s v="1000-IPPE"/>
    <m/>
    <x v="1"/>
    <m/>
    <m/>
    <s v="Jharkhand"/>
    <s v="East"/>
    <s v="TBL- BARA AGRICO"/>
    <s v="Coil"/>
    <n v="941597"/>
    <s v="TATA BLUESCOPE STEEL PRIVATE LIMITE"/>
    <n v="1640840"/>
    <s v="PPGL C Y550 HPL3 0.45BMT(0.53TPT)X1220"/>
    <s v="AZ150"/>
    <s v="RAL 9006 TSL 203"/>
    <n v="3"/>
    <n v="5"/>
    <s v="Wider"/>
    <s v="B18"/>
    <s v="Y550PL"/>
    <s v="HPL3"/>
    <n v="0.45"/>
    <n v="1220"/>
    <n v="0"/>
    <n v="55.99"/>
    <n v="37.11"/>
    <n v="18.88"/>
    <n v="18.88"/>
    <n v="18.88"/>
    <n v="18.8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3T00:00:00"/>
    <s v="ZBTO"/>
    <n v="9518490750"/>
    <n v="7"/>
    <s v="9518490750-7"/>
    <s v="No Priority"/>
    <x v="0"/>
    <m/>
    <x v="1"/>
    <x v="2"/>
    <s v="2000-BPRS"/>
    <m/>
    <x v="0"/>
    <m/>
    <m/>
    <s v="Orissa"/>
    <s v="East"/>
    <s v="TANGI"/>
    <s v="Sheet"/>
    <n v="117061"/>
    <s v="BHARTIA  DISTRIBUTORS PVT. LTD."/>
    <n v="3240790"/>
    <s v="CRCA SHEET TSBCRC SR15 0.700X1000X2500"/>
    <s v=" "/>
    <s v=""/>
    <n v="0.1"/>
    <n v="5"/>
    <s v="Narrow"/>
    <s v="C06"/>
    <s v="TSBCRC"/>
    <s v="SR15"/>
    <n v="0.7"/>
    <n v="1000"/>
    <n v="2500"/>
    <n v="75"/>
    <n v="62.06"/>
    <n v="12.94"/>
    <n v="12.94"/>
    <n v="12.94"/>
    <n v="12.94"/>
    <n v="0"/>
    <n v="0"/>
    <n v="0"/>
    <n v="0"/>
    <n v="0"/>
    <n v="0"/>
    <n v="0"/>
    <n v="0"/>
    <n v="0"/>
    <n v="0"/>
    <n v="0"/>
    <n v="0"/>
    <n v="0"/>
    <n v="0"/>
    <n v="0"/>
    <n v="0"/>
    <n v="0"/>
    <n v="0"/>
    <n v="0"/>
    <n v="0"/>
    <n v="0"/>
    <n v="0"/>
    <n v="0"/>
    <n v="0"/>
    <n v="0"/>
    <n v="0"/>
    <n v="0"/>
    <n v="0"/>
    <n v="0"/>
    <n v="0"/>
    <n v="0"/>
    <n v="0"/>
    <n v="0"/>
    <n v="0"/>
    <n v="0"/>
    <n v="0"/>
    <n v="0"/>
    <n v="0"/>
    <n v="20.715"/>
    <n v="0"/>
    <n v="0"/>
    <n v="0"/>
    <n v="0"/>
    <n v="0"/>
    <n v="20.715"/>
    <m/>
    <m/>
    <m/>
    <m/>
    <m/>
    <m/>
    <m/>
    <m/>
    <s v="1"/>
    <s v="1"/>
    <s v="1"/>
    <s v="1"/>
    <s v="1"/>
    <m/>
    <m/>
    <m/>
    <m/>
    <m/>
    <m/>
    <m/>
    <m/>
    <m/>
    <m/>
    <m/>
    <m/>
    <m/>
    <m/>
  </r>
  <r>
    <n v="742"/>
    <d v="2025-02-03T00:00:00"/>
    <s v="ZBTO"/>
    <n v="9518490750"/>
    <n v="10"/>
    <s v="9518490750-10"/>
    <s v="No Priority"/>
    <x v="0"/>
    <m/>
    <x v="1"/>
    <x v="2"/>
    <n v="2000"/>
    <m/>
    <x v="0"/>
    <m/>
    <m/>
    <s v="Orissa"/>
    <s v="East"/>
    <s v="TANGI"/>
    <s v="Sheet"/>
    <n v="117061"/>
    <s v="BHARTIA  DISTRIBUTORS PVT. LTD"/>
    <n v="3240785"/>
    <s v="CRCA SHEET TSBCRC SR15 0.600X1250X2500"/>
    <s v=""/>
    <s v=""/>
    <m/>
    <m/>
    <s v="Wider"/>
    <s v="C06"/>
    <s v="TSBCRC"/>
    <s v="SR15"/>
    <n v="0.6"/>
    <n v="1250"/>
    <n v="0"/>
    <n v="75"/>
    <n v="72.92"/>
    <n v="2.08"/>
    <n v="2.08"/>
    <n v="0"/>
    <n v="2.0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0T00:00:00"/>
    <s v="ZBTO"/>
    <n v="9518507185"/>
    <n v="12"/>
    <s v="9518507185-12"/>
    <s v="No Priority"/>
    <x v="0"/>
    <m/>
    <x v="1"/>
    <x v="2"/>
    <n v="2000"/>
    <m/>
    <x v="0"/>
    <m/>
    <m/>
    <s v="Jharkhand"/>
    <s v="East"/>
    <s v="WEST BOKARO"/>
    <s v="Sheet"/>
    <n v="185794"/>
    <s v="Shree Bajrang Steel Udyog"/>
    <n v="3240792"/>
    <s v="CRCA SHEET TSBCRC SR15 0.600X1250X2500"/>
    <s v=""/>
    <s v=""/>
    <m/>
    <m/>
    <s v="Wider"/>
    <s v="C06"/>
    <s v="TSBCRC"/>
    <s v="SR15"/>
    <n v="0.6"/>
    <n v="1250"/>
    <n v="2500"/>
    <n v="39"/>
    <n v="19.82"/>
    <n v="19.18"/>
    <n v="13.535"/>
    <n v="19.18"/>
    <n v="14.3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3T00:00:00"/>
    <s v="ZBTO"/>
    <n v="9518425909"/>
    <n v="13"/>
    <s v="9518425909-13"/>
    <s v="No Priority"/>
    <x v="0"/>
    <m/>
    <x v="1"/>
    <x v="2"/>
    <n v="2000"/>
    <m/>
    <x v="0"/>
    <m/>
    <m/>
    <s v="Andhra Pradesh"/>
    <s v="South"/>
    <s v="VISHAKHAPATNAM"/>
    <s v="Sheet"/>
    <n v="946077"/>
    <s v="SITARAM IRON AND STEEL PVT LTD"/>
    <n v="3240785"/>
    <s v="CRCA SHEET TSBCRC SR15 0.600X1250X2500"/>
    <s v=""/>
    <s v=""/>
    <m/>
    <m/>
    <s v="Wider"/>
    <s v="C06"/>
    <s v="TSBCRC"/>
    <s v="SR15"/>
    <n v="0.6"/>
    <n v="1250"/>
    <n v="0"/>
    <n v="27"/>
    <n v="0"/>
    <n v="27"/>
    <n v="-0.54"/>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6T00:00:00"/>
    <s v="ZBTO"/>
    <n v="9518497626"/>
    <n v="12"/>
    <s v="9518497626-12"/>
    <s v="No Priority"/>
    <x v="0"/>
    <m/>
    <x v="1"/>
    <x v="2"/>
    <n v="2000"/>
    <m/>
    <x v="0"/>
    <m/>
    <m/>
    <s v="Andhra Pradesh"/>
    <s v="South"/>
    <s v="VISHAKHAPATNAM"/>
    <s v="Sheet"/>
    <n v="946077"/>
    <s v="SITARAM IRON AND STEEL PVT LTD"/>
    <n v="3240785"/>
    <s v="CRCA SHEET TSBCRC SR15 0.600X1250X2500"/>
    <s v=""/>
    <s v=""/>
    <m/>
    <m/>
    <s v="Wider"/>
    <s v="C06"/>
    <s v="TSBCRC"/>
    <s v="SR15"/>
    <n v="0.6"/>
    <n v="1250"/>
    <n v="0"/>
    <n v="27"/>
    <n v="25.934999999999999"/>
    <n v="1.0649999999999999"/>
    <n v="0.78500000000000003"/>
    <n v="0"/>
    <n v="1.06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9T00:00:00"/>
    <s v="ZBTF"/>
    <n v="9518440980"/>
    <n v="2"/>
    <s v="9518440980-2"/>
    <s v="No Priority"/>
    <x v="0"/>
    <m/>
    <x v="1"/>
    <x v="6"/>
    <s v="2000-BPRS"/>
    <m/>
    <x v="0"/>
    <m/>
    <m/>
    <s v="Orissa"/>
    <s v="East"/>
    <s v="YESHWANTHPURA"/>
    <s v="Coil"/>
    <n v="650742"/>
    <s v="Angul Cold Rolling Mill"/>
    <n v="3820032"/>
    <s v="CR COIL TATXHS BR45 2X1300"/>
    <s v=" "/>
    <s v=""/>
    <n v="10"/>
    <n v="27"/>
    <s v="Wider"/>
    <s v="C01"/>
    <s v="TATXHS"/>
    <s v="BR45"/>
    <n v="2"/>
    <n v="1300"/>
    <n v="0"/>
    <n v="240"/>
    <n v="186.345"/>
    <n v="53.655000000000001"/>
    <n v="53.655000000000001"/>
    <n v="53.655000000000001"/>
    <n v="0"/>
    <n v="0"/>
    <n v="0"/>
    <n v="0"/>
    <n v="0"/>
    <n v="0"/>
    <n v="0"/>
    <n v="0"/>
    <n v="0"/>
    <n v="0"/>
    <n v="0"/>
    <n v="0"/>
    <n v="0"/>
    <n v="0"/>
    <n v="0"/>
    <n v="0"/>
    <n v="0"/>
    <n v="0"/>
    <n v="0"/>
    <n v="0"/>
    <n v="0"/>
    <n v="0"/>
    <n v="0"/>
    <n v="0"/>
    <n v="0"/>
    <n v="0"/>
    <n v="0"/>
    <n v="0"/>
    <n v="0"/>
    <n v="0"/>
    <n v="0"/>
    <n v="0"/>
    <n v="0"/>
    <n v="0"/>
    <n v="0"/>
    <n v="0"/>
    <n v="0"/>
    <n v="0"/>
    <n v="0"/>
    <n v="172.89500000000001"/>
    <n v="0"/>
    <n v="0"/>
    <n v="0"/>
    <n v="0"/>
    <n v="0"/>
    <n v="172.89500000000001"/>
    <m/>
    <m/>
    <m/>
    <m/>
    <m/>
    <m/>
    <m/>
    <m/>
    <s v="1"/>
    <s v="1"/>
    <s v="1"/>
    <s v="1"/>
    <s v="1"/>
    <m/>
    <m/>
    <m/>
    <m/>
    <m/>
    <m/>
    <m/>
    <m/>
    <m/>
    <m/>
    <m/>
    <m/>
    <m/>
    <m/>
  </r>
  <r>
    <n v="742"/>
    <d v="2025-01-11T00:00:00"/>
    <s v="ZBTO"/>
    <n v="9518421446"/>
    <n v="2"/>
    <s v="9518421446-2"/>
    <s v="No Priority"/>
    <x v="0"/>
    <m/>
    <x v="1"/>
    <x v="2"/>
    <s v="2000-BPRS"/>
    <m/>
    <x v="0"/>
    <m/>
    <m/>
    <s v="Jharkhand"/>
    <s v="East"/>
    <s v="WEST BOKARO"/>
    <s v="Sheet"/>
    <n v="185794"/>
    <s v="Shree Bajrang Steel Udyog"/>
    <n v="3239542"/>
    <s v="CRCA SHEET TATCRC SR16 0.350X1000X2500"/>
    <s v=" "/>
    <s v=""/>
    <n v="2.8"/>
    <n v="3.2"/>
    <s v="Narrow"/>
    <s v="C06"/>
    <s v="TATCRC"/>
    <s v="SR16"/>
    <n v="0.35"/>
    <n v="1000"/>
    <n v="2500"/>
    <n v="24"/>
    <n v="0"/>
    <n v="24"/>
    <n v="24"/>
    <n v="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24T00:00:00"/>
    <s v="ZBTF"/>
    <n v="4000495825"/>
    <n v="1"/>
    <s v="4000495825-1"/>
    <s v="Stocks"/>
    <x v="0"/>
    <m/>
    <x v="0"/>
    <x v="6"/>
    <s v="2000-BPRS"/>
    <m/>
    <x v="1"/>
    <m/>
    <m/>
    <s v="Karnataka"/>
    <s v="South"/>
    <s v="YESHWANTHPURA"/>
    <s v="Coil"/>
    <n v="600103"/>
    <s v="TATA STEEL LIMITED"/>
    <n v="3173079"/>
    <s v="HR COILS-PO THR099 4.10X1250"/>
    <s v=" "/>
    <s v=""/>
    <n v="17"/>
    <n v="27.5"/>
    <s v="Wider"/>
    <n v="768"/>
    <s v="THR099"/>
    <s v="HR99"/>
    <n v="4.0999999999999996"/>
    <n v="1250"/>
    <n v="0"/>
    <n v="75"/>
    <n v="24.76"/>
    <n v="50.24"/>
    <n v="0.7"/>
    <n v="0"/>
    <n v="0"/>
    <n v="0"/>
    <n v="0"/>
    <n v="0"/>
    <n v="0"/>
    <n v="0"/>
    <n v="0"/>
    <n v="0"/>
    <n v="0"/>
    <n v="0"/>
    <n v="0"/>
    <n v="0"/>
    <n v="0"/>
    <n v="0"/>
    <n v="0"/>
    <n v="0"/>
    <n v="0"/>
    <n v="0"/>
    <n v="0"/>
    <n v="0"/>
    <n v="0"/>
    <n v="0"/>
    <n v="0"/>
    <n v="0"/>
    <n v="0"/>
    <n v="24.51"/>
    <n v="0"/>
    <n v="0"/>
    <n v="0"/>
    <n v="0"/>
    <n v="0"/>
    <n v="0"/>
    <n v="0"/>
    <n v="0"/>
    <n v="0"/>
    <n v="0"/>
    <n v="0"/>
    <n v="0"/>
    <n v="24.51"/>
    <n v="0"/>
    <n v="0"/>
    <n v="0"/>
    <n v="0"/>
    <n v="0"/>
    <n v="0"/>
    <n v="0"/>
    <m/>
    <m/>
    <m/>
    <m/>
    <m/>
    <m/>
    <m/>
    <m/>
    <s v="1"/>
    <s v="1"/>
    <s v="1"/>
    <s v="1"/>
    <s v="1"/>
    <m/>
    <m/>
    <m/>
    <m/>
    <m/>
    <m/>
    <m/>
    <m/>
    <m/>
    <m/>
    <m/>
    <m/>
    <m/>
    <m/>
  </r>
  <r>
    <n v="742"/>
    <d v="2025-02-17T00:00:00"/>
    <s v="ZBTF"/>
    <n v="9518527449"/>
    <n v="9"/>
    <s v="9518527449-9"/>
    <s v="Apr'25 "/>
    <x v="0"/>
    <m/>
    <x v="1"/>
    <x v="6"/>
    <s v="2000-BPRS"/>
    <m/>
    <x v="1"/>
    <m/>
    <m/>
    <s v="Orissa"/>
    <s v="East"/>
    <s v="YESHWANTHPURA"/>
    <s v="Coil"/>
    <n v="650742"/>
    <s v="Angul Cold Rolling Mill"/>
    <n v="2279503"/>
    <s v="CRCA COIL TSBHSQ TU99 1.600X1270"/>
    <s v=" "/>
    <s v=""/>
    <n v="10"/>
    <n v="27"/>
    <s v="Wider"/>
    <s v="C01"/>
    <s v="TSBHSQ"/>
    <s v="TU99"/>
    <n v="1.6"/>
    <n v="1270"/>
    <n v="0"/>
    <n v="200"/>
    <n v="179.79499999999999"/>
    <n v="20.204999999999998"/>
    <n v="20.204999999999998"/>
    <n v="-0.50500000000000256"/>
    <n v="20.204999999999998"/>
    <n v="0"/>
    <n v="0"/>
    <n v="0"/>
    <n v="0"/>
    <n v="0"/>
    <n v="0"/>
    <n v="0"/>
    <n v="0"/>
    <n v="0"/>
    <n v="0"/>
    <n v="0"/>
    <n v="0"/>
    <n v="20.71"/>
    <n v="0"/>
    <n v="0"/>
    <n v="0"/>
    <n v="0"/>
    <n v="0"/>
    <n v="0"/>
    <n v="20.71"/>
    <n v="20.71"/>
    <n v="0"/>
    <n v="20.71"/>
    <n v="0"/>
    <n v="0"/>
    <n v="20.204999999999998"/>
    <n v="0"/>
    <n v="20.204999999999998"/>
    <n v="0"/>
    <n v="0"/>
    <n v="0"/>
    <n v="20.204999999999998"/>
    <n v="0"/>
    <n v="20.204999999999998"/>
    <n v="0"/>
    <n v="0"/>
    <n v="0"/>
    <n v="0"/>
    <n v="66.025000000000006"/>
    <n v="0"/>
    <n v="20.204999999999998"/>
    <n v="0"/>
    <n v="0"/>
    <n v="0"/>
    <n v="45.820000000000007"/>
    <m/>
    <m/>
    <m/>
    <m/>
    <m/>
    <m/>
    <m/>
    <m/>
    <s v="1"/>
    <s v="1"/>
    <s v="1"/>
    <s v="1"/>
    <s v="1"/>
    <m/>
    <m/>
    <m/>
    <m/>
    <m/>
    <m/>
    <m/>
    <m/>
    <m/>
    <m/>
    <m/>
    <m/>
    <m/>
    <m/>
  </r>
  <r>
    <n v="742"/>
    <d v="2025-01-13T00:00:00"/>
    <s v="ZBTO"/>
    <n v="9518425909"/>
    <n v="11"/>
    <s v="9518425909-11"/>
    <s v="No Priority"/>
    <x v="0"/>
    <m/>
    <x v="1"/>
    <x v="2"/>
    <s v="2000-BPRS"/>
    <m/>
    <x v="0"/>
    <m/>
    <s v="Exp BTF &lt;17MT"/>
    <s v="Andhra Pradesh"/>
    <s v="South"/>
    <s v="VISHAKHAPATNAM"/>
    <s v="Sheet"/>
    <n v="946077"/>
    <s v="SITARAM IRON AND STEEL PVT LTD"/>
    <n v="3240776"/>
    <s v="CRCA SHEET TSBCRC SR15 0.600X1000X2440"/>
    <s v=" "/>
    <s v=""/>
    <n v="0"/>
    <n v="0"/>
    <s v="Narrow"/>
    <s v="C06"/>
    <s v="TSBCRC"/>
    <s v="SR15"/>
    <n v="0.6"/>
    <n v="1000"/>
    <n v="2440"/>
    <n v="68.989999999999995"/>
    <n v="62.08"/>
    <n v="6.91"/>
    <n v="6.91"/>
    <n v="6.91"/>
    <n v="0"/>
    <n v="0"/>
    <n v="0"/>
    <n v="0"/>
    <n v="0"/>
    <n v="0"/>
    <n v="0"/>
    <n v="0"/>
    <n v="0"/>
    <n v="0"/>
    <n v="0"/>
    <n v="0"/>
    <n v="0"/>
    <n v="0"/>
    <n v="0"/>
    <n v="0"/>
    <n v="0"/>
    <n v="0"/>
    <n v="0"/>
    <n v="0"/>
    <n v="0"/>
    <n v="0"/>
    <n v="0"/>
    <n v="0"/>
    <n v="0"/>
    <n v="0"/>
    <n v="0"/>
    <n v="0"/>
    <n v="0"/>
    <n v="0"/>
    <n v="0"/>
    <n v="0"/>
    <n v="0"/>
    <n v="0"/>
    <n v="0"/>
    <n v="0"/>
    <n v="0"/>
    <n v="0"/>
    <n v="0"/>
    <n v="20.56"/>
    <n v="0"/>
    <n v="0"/>
    <n v="0"/>
    <n v="0"/>
    <n v="0"/>
    <n v="20.56"/>
    <m/>
    <m/>
    <m/>
    <m/>
    <m/>
    <m/>
    <m/>
    <m/>
    <s v="1"/>
    <s v="1"/>
    <s v="1"/>
    <s v="1"/>
    <s v="1"/>
    <m/>
    <m/>
    <m/>
    <m/>
    <m/>
    <m/>
    <m/>
    <m/>
    <m/>
    <m/>
    <m/>
    <m/>
    <m/>
    <m/>
  </r>
  <r>
    <n v="742"/>
    <d v="2025-02-14T00:00:00"/>
    <s v="ZBTO"/>
    <n v="9518519534"/>
    <n v="1"/>
    <s v="9518519534-1"/>
    <s v="No Priority"/>
    <x v="0"/>
    <m/>
    <x v="0"/>
    <x v="0"/>
    <s v="2000-BPRS"/>
    <m/>
    <x v="0"/>
    <m/>
    <m/>
    <s v="Maharashtra"/>
    <s v="West"/>
    <s v="BOMBAY"/>
    <s v="Coil"/>
    <n v="932086"/>
    <s v="ANM ISPAT PRIVATE LIMITED"/>
    <n v="1210083"/>
    <s v="HR COILS-PO IS 1079 HR2 2X1250"/>
    <s v=" "/>
    <s v=""/>
    <n v="16"/>
    <n v="32"/>
    <s v="Wider"/>
    <n v="768"/>
    <s v="THR099"/>
    <s v="HR99"/>
    <n v="2"/>
    <n v="1250"/>
    <n v="0"/>
    <n v="50"/>
    <n v="23.55"/>
    <n v="26.45"/>
    <n v="26.45"/>
    <n v="26.45"/>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4T00:00:00"/>
    <s v="ZBTO"/>
    <n v="9518519621"/>
    <n v="1"/>
    <s v="9518519621-1"/>
    <s v="No Priority"/>
    <x v="0"/>
    <m/>
    <x v="0"/>
    <x v="0"/>
    <s v="2000-BPRS"/>
    <m/>
    <x v="0"/>
    <m/>
    <m/>
    <s v="Maharashtra"/>
    <s v="West"/>
    <s v="BOMBAY"/>
    <s v="Coil"/>
    <n v="163486"/>
    <s v="ROHIT &amp; COMPANY"/>
    <n v="1179966"/>
    <s v="HR COILS-PO IS 10748 GR 1 2X1250"/>
    <s v=" "/>
    <s v=""/>
    <n v="16"/>
    <n v="32"/>
    <s v="Wider"/>
    <n v="768"/>
    <s v="I09497"/>
    <s v="HG01"/>
    <n v="2"/>
    <n v="1250"/>
    <n v="0"/>
    <n v="75"/>
    <n v="56.854999999999997"/>
    <n v="18.145"/>
    <n v="18.145"/>
    <n v="-3.9349999999999987"/>
    <n v="0"/>
    <n v="0"/>
    <n v="0"/>
    <n v="22.08"/>
    <n v="0"/>
    <n v="0"/>
    <n v="0"/>
    <n v="0"/>
    <n v="0"/>
    <n v="0"/>
    <n v="0"/>
    <n v="0"/>
    <n v="0"/>
    <n v="0"/>
    <n v="0"/>
    <n v="0"/>
    <n v="0"/>
    <n v="0"/>
    <n v="0"/>
    <n v="0"/>
    <n v="22.08"/>
    <n v="22.08"/>
    <n v="0"/>
    <n v="22.08"/>
    <n v="0"/>
    <n v="0"/>
    <n v="0"/>
    <n v="0"/>
    <n v="0"/>
    <n v="0"/>
    <n v="0"/>
    <n v="0"/>
    <n v="0"/>
    <n v="0"/>
    <n v="0"/>
    <n v="0"/>
    <n v="0"/>
    <n v="0"/>
    <n v="0"/>
    <n v="0"/>
    <n v="0"/>
    <n v="0"/>
    <n v="0"/>
    <n v="0"/>
    <n v="0"/>
    <n v="0"/>
    <m/>
    <m/>
    <m/>
    <m/>
    <m/>
    <m/>
    <m/>
    <m/>
    <s v="1"/>
    <s v="1"/>
    <s v="1"/>
    <s v="1"/>
    <s v="1"/>
    <m/>
    <m/>
    <m/>
    <m/>
    <m/>
    <m/>
    <m/>
    <m/>
    <m/>
    <m/>
    <m/>
    <m/>
    <m/>
    <m/>
  </r>
  <r>
    <n v="742"/>
    <d v="2025-02-17T00:00:00"/>
    <s v="ZBTF"/>
    <n v="9518526154"/>
    <n v="3"/>
    <s v="9518526154-3"/>
    <s v="Apr'25 "/>
    <x v="0"/>
    <m/>
    <x v="5"/>
    <x v="8"/>
    <s v="2000-BPRS"/>
    <m/>
    <x v="1"/>
    <m/>
    <m/>
    <s v="Punjab"/>
    <s v="North"/>
    <s v="KHOPOLI"/>
    <s v="Coil"/>
    <n v="650250"/>
    <s v="TATA STEEL LIMITED,"/>
    <n v="3825819"/>
    <s v="CRFH COIL TATFHC TR10 0.570X1235"/>
    <s v=" "/>
    <s v=""/>
    <n v="22"/>
    <n v="25"/>
    <s v="Wider"/>
    <s v="C09"/>
    <s v="TATFHC"/>
    <s v="TR10"/>
    <n v="0.56999999999999995"/>
    <n v="1235"/>
    <n v="0"/>
    <n v="280"/>
    <n v="260.31"/>
    <n v="19.690000000000001"/>
    <n v="19.690000000000001"/>
    <n v="19.690000000000001"/>
    <n v="19.66"/>
    <n v="0"/>
    <n v="0"/>
    <n v="0"/>
    <n v="0"/>
    <n v="0"/>
    <n v="0"/>
    <n v="0"/>
    <n v="0"/>
    <n v="0"/>
    <n v="0"/>
    <n v="0"/>
    <n v="0"/>
    <n v="0"/>
    <n v="0"/>
    <n v="0"/>
    <n v="0"/>
    <n v="0"/>
    <n v="0"/>
    <n v="0"/>
    <n v="0"/>
    <n v="0"/>
    <n v="0"/>
    <n v="0"/>
    <n v="0"/>
    <n v="0"/>
    <n v="19.66"/>
    <n v="0"/>
    <n v="19.66"/>
    <n v="0"/>
    <n v="0"/>
    <n v="0"/>
    <n v="19.66"/>
    <n v="0"/>
    <n v="19.66"/>
    <n v="0"/>
    <n v="0"/>
    <n v="0"/>
    <n v="0"/>
    <n v="0"/>
    <n v="0"/>
    <n v="0"/>
    <n v="0"/>
    <n v="0"/>
    <n v="0"/>
    <n v="0"/>
    <m/>
    <m/>
    <m/>
    <m/>
    <m/>
    <m/>
    <m/>
    <m/>
    <s v="1"/>
    <s v="0"/>
    <s v="1"/>
    <s v="1"/>
    <s v="1"/>
    <m/>
    <m/>
    <m/>
    <m/>
    <m/>
    <m/>
    <m/>
    <m/>
    <m/>
    <m/>
    <m/>
    <m/>
    <m/>
    <m/>
  </r>
  <r>
    <n v="742"/>
    <d v="2025-02-17T00:00:00"/>
    <s v="ZBTF"/>
    <n v="9518526154"/>
    <n v="4"/>
    <s v="9518526154-4"/>
    <s v="Stocks"/>
    <x v="0"/>
    <m/>
    <x v="5"/>
    <x v="8"/>
    <s v="2000-BPRS"/>
    <m/>
    <x v="1"/>
    <m/>
    <m/>
    <s v="Punjab"/>
    <s v="North"/>
    <s v="KHOPOLI"/>
    <s v="Coil"/>
    <n v="650250"/>
    <s v="TATA STEEL LIMITED,"/>
    <n v="3825819"/>
    <s v="CRFH COIL TATFHC TR10 0.570X1235"/>
    <s v=" "/>
    <s v=""/>
    <n v="22"/>
    <n v="25"/>
    <s v="Wider"/>
    <s v="C09"/>
    <s v="TATFHC"/>
    <s v="TR10"/>
    <n v="0.56999999999999995"/>
    <n v="1235"/>
    <n v="0"/>
    <n v="168"/>
    <n v="152.58500000000001"/>
    <n v="15.414999999999999"/>
    <n v="-3.55"/>
    <n v="0"/>
    <n v="15.305"/>
    <n v="0"/>
    <n v="0"/>
    <n v="0"/>
    <n v="0"/>
    <n v="0"/>
    <n v="0"/>
    <n v="0"/>
    <n v="0"/>
    <n v="0"/>
    <n v="0"/>
    <n v="0"/>
    <n v="0"/>
    <n v="0"/>
    <n v="0"/>
    <n v="0"/>
    <n v="0"/>
    <n v="0"/>
    <n v="0"/>
    <n v="0"/>
    <n v="0"/>
    <n v="0"/>
    <n v="0"/>
    <n v="0"/>
    <n v="0"/>
    <n v="20.52"/>
    <n v="0"/>
    <n v="0"/>
    <n v="0"/>
    <n v="0"/>
    <n v="0"/>
    <n v="0"/>
    <n v="0"/>
    <n v="0"/>
    <n v="0"/>
    <n v="0"/>
    <n v="0"/>
    <n v="0"/>
    <n v="20.52"/>
    <n v="0"/>
    <n v="0"/>
    <n v="0"/>
    <n v="0"/>
    <n v="0"/>
    <n v="0"/>
    <n v="0"/>
    <m/>
    <m/>
    <m/>
    <m/>
    <m/>
    <m/>
    <m/>
    <m/>
    <s v="1"/>
    <s v="1"/>
    <s v="1"/>
    <s v="1"/>
    <s v="1"/>
    <m/>
    <m/>
    <m/>
    <m/>
    <m/>
    <m/>
    <m/>
    <m/>
    <m/>
    <m/>
    <m/>
    <m/>
    <m/>
    <m/>
  </r>
  <r>
    <n v="742"/>
    <d v="2025-02-17T00:00:00"/>
    <s v="ZBTF"/>
    <n v="9518526154"/>
    <n v="5"/>
    <s v="9518526154-5"/>
    <s v="No Priority"/>
    <x v="0"/>
    <m/>
    <x v="5"/>
    <x v="8"/>
    <s v="2000-BPRS"/>
    <m/>
    <x v="0"/>
    <m/>
    <m/>
    <s v="Punjab"/>
    <s v="North"/>
    <s v="KHOPOLI"/>
    <s v="Coil"/>
    <n v="650250"/>
    <s v="TATA STEEL LIMITED,"/>
    <n v="2175550"/>
    <s v="CRFH COIL TATFHC TR10 0.470X1235"/>
    <s v=" "/>
    <s v=""/>
    <n v="22"/>
    <n v="25"/>
    <s v="Wider"/>
    <s v="C09"/>
    <s v="TATFHC"/>
    <s v="TR10"/>
    <n v="0.47"/>
    <n v="1235"/>
    <n v="0"/>
    <n v="28"/>
    <n v="0"/>
    <n v="28"/>
    <n v="3.8650000000000002"/>
    <n v="28"/>
    <n v="4.769999999999999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2-06T00:00:00"/>
    <s v="ZBTO"/>
    <n v="9518498761"/>
    <n v="2"/>
    <s v="9518498761-2"/>
    <s v="Stocks"/>
    <x v="0"/>
    <m/>
    <x v="3"/>
    <x v="9"/>
    <n v="2000"/>
    <m/>
    <x v="1"/>
    <m/>
    <s v="Exp BTF &lt;17MT"/>
    <s v="Jharkhand"/>
    <s v="East"/>
    <s v="BOKARO STEEL CY"/>
    <s v="Coil"/>
    <n v="121328"/>
    <s v="R. S. BOKARO METAL (P) LTD."/>
    <n v="1191955"/>
    <s v="GP COIL SOFT-TATXGP-GK09-0.3X900"/>
    <n v="80"/>
    <s v=""/>
    <m/>
    <m/>
    <s v="Narrow"/>
    <s v="C02"/>
    <s v="TATXGP"/>
    <s v="GK09"/>
    <n v="0.3"/>
    <n v="900"/>
    <n v="0"/>
    <n v="105"/>
    <n v="38.814999999999998"/>
    <n v="66.185000000000002"/>
    <n v="7.0350000000000001"/>
    <n v="64.515000000000001"/>
    <n v="7.4249999999999998"/>
    <n v="0"/>
    <n v="0"/>
    <n v="0"/>
    <n v="0"/>
    <n v="0"/>
    <n v="0"/>
    <n v="1.67"/>
    <n v="0"/>
    <n v="0"/>
    <n v="0"/>
    <n v="0"/>
    <n v="0"/>
    <n v="0"/>
    <n v="0"/>
    <n v="0"/>
    <n v="0"/>
    <n v="0"/>
    <n v="0"/>
    <n v="0"/>
    <n v="1.67"/>
    <n v="1.67"/>
    <n v="0"/>
    <n v="1.67"/>
    <n v="0"/>
    <n v="5.915"/>
    <n v="0"/>
    <n v="0"/>
    <n v="0"/>
    <n v="0"/>
    <n v="0"/>
    <n v="0"/>
    <n v="0"/>
    <n v="0"/>
    <n v="0"/>
    <n v="0"/>
    <n v="0"/>
    <n v="0"/>
    <n v="5.915"/>
    <n v="0"/>
    <n v="0"/>
    <n v="0"/>
    <n v="0"/>
    <n v="0"/>
    <n v="0"/>
    <n v="0"/>
    <m/>
    <m/>
    <m/>
    <m/>
    <m/>
    <m/>
    <m/>
    <m/>
    <s v="1"/>
    <s v="1"/>
    <s v="1"/>
    <s v="1"/>
    <s v="1"/>
    <m/>
    <m/>
    <m/>
    <m/>
    <m/>
    <m/>
    <m/>
    <m/>
    <m/>
    <m/>
    <m/>
    <m/>
    <m/>
    <m/>
  </r>
  <r>
    <n v="742"/>
    <d v="2025-02-20T00:00:00"/>
    <s v="ZBTO"/>
    <n v="9518534103"/>
    <n v="3"/>
    <s v="9518534103-3"/>
    <s v="No Priority"/>
    <x v="0"/>
    <m/>
    <x v="1"/>
    <x v="10"/>
    <n v="1000"/>
    <m/>
    <x v="0"/>
    <m/>
    <m/>
    <s v="Tamil Nadu"/>
    <s v="South"/>
    <s v="CHENNAI"/>
    <s v="Coil"/>
    <n v="187214"/>
    <s v="BALMER LAWRIE &amp; CO. LIMITED.."/>
    <n v="2164800"/>
    <s v="CRCA COIL TATXXD BT02 0.970X913"/>
    <s v=""/>
    <s v=""/>
    <m/>
    <m/>
    <s v="Narrow"/>
    <s v="C01"/>
    <s v="TATXXD"/>
    <s v="BT02"/>
    <n v="0.97"/>
    <n v="913"/>
    <n v="0"/>
    <n v="147"/>
    <n v="79.959999999999994"/>
    <n v="67.040000000000006"/>
    <n v="67.040000000000006"/>
    <n v="67.040000000000006"/>
    <n v="31.35"/>
    <n v="0"/>
    <n v="0"/>
    <n v="0"/>
    <n v="0"/>
    <n v="0"/>
    <n v="0"/>
    <n v="0"/>
    <n v="0"/>
    <n v="0"/>
    <n v="0"/>
    <n v="0"/>
    <n v="0"/>
    <n v="0"/>
    <n v="0"/>
    <n v="0"/>
    <n v="0"/>
    <n v="0"/>
    <n v="0"/>
    <n v="0"/>
    <n v="0"/>
    <n v="0"/>
    <n v="0"/>
    <n v="0"/>
    <n v="0"/>
    <n v="0"/>
    <n v="0"/>
    <n v="0"/>
    <n v="0"/>
    <n v="0"/>
    <n v="0"/>
    <n v="0"/>
    <n v="0"/>
    <n v="0"/>
    <n v="0"/>
    <n v="0"/>
    <n v="0"/>
    <n v="0"/>
    <n v="0"/>
    <n v="8.64"/>
    <n v="0"/>
    <n v="0"/>
    <n v="0"/>
    <n v="0"/>
    <n v="0"/>
    <n v="8.64"/>
    <m/>
    <m/>
    <m/>
    <m/>
    <m/>
    <m/>
    <m/>
    <m/>
    <s v="1"/>
    <s v="1"/>
    <s v="1"/>
    <s v="1"/>
    <s v="1"/>
    <m/>
    <m/>
    <m/>
    <m/>
    <m/>
    <m/>
    <m/>
    <m/>
    <m/>
    <m/>
    <m/>
    <m/>
    <m/>
    <m/>
  </r>
  <r>
    <n v="742"/>
    <d v="2025-01-14T00:00:00"/>
    <s v="ZBTO"/>
    <n v="9518429066"/>
    <n v="16"/>
    <s v="9518429066-16"/>
    <s v="No Priority"/>
    <x v="0"/>
    <m/>
    <x v="1"/>
    <x v="2"/>
    <n v="2000"/>
    <m/>
    <x v="0"/>
    <m/>
    <m/>
    <s v="Orissa"/>
    <s v="East"/>
    <s v="TANGI"/>
    <s v="Sheet"/>
    <n v="117061"/>
    <s v="BHARTIA  DISTRIBUTORS PVT. LTD"/>
    <n v="3240836"/>
    <s v="CRCA SHEET TSBCRC SR15 1X1000X2500"/>
    <s v=""/>
    <s v=""/>
    <m/>
    <m/>
    <s v="Narrow"/>
    <s v="C06"/>
    <s v="TSBCRC"/>
    <s v="SR15"/>
    <n v="1"/>
    <n v="1000"/>
    <n v="2500"/>
    <n v="23.785"/>
    <n v="23.785"/>
    <n v="0"/>
    <n v="0"/>
    <n v="0"/>
    <n v="0"/>
    <n v="0"/>
    <n v="0"/>
    <n v="0"/>
    <n v="0"/>
    <n v="0"/>
    <n v="0"/>
    <n v="0"/>
    <n v="0"/>
    <n v="0"/>
    <n v="0"/>
    <n v="0"/>
    <n v="0"/>
    <n v="0"/>
    <n v="0"/>
    <n v="0"/>
    <n v="0"/>
    <n v="0"/>
    <n v="0"/>
    <n v="0"/>
    <n v="0"/>
    <n v="0"/>
    <n v="0"/>
    <n v="0"/>
    <n v="0"/>
    <n v="0"/>
    <n v="0"/>
    <n v="0"/>
    <n v="0"/>
    <n v="0"/>
    <n v="0"/>
    <n v="0"/>
    <n v="0"/>
    <n v="0"/>
    <n v="0"/>
    <n v="0"/>
    <n v="0"/>
    <n v="0"/>
    <n v="0"/>
    <n v="23.785"/>
    <n v="0"/>
    <n v="0"/>
    <n v="0"/>
    <n v="0"/>
    <n v="0"/>
    <n v="23.785"/>
    <m/>
    <m/>
    <m/>
    <m/>
    <m/>
    <m/>
    <m/>
    <m/>
    <s v="1"/>
    <s v="1"/>
    <s v="1"/>
    <s v="1"/>
    <s v="1"/>
    <m/>
    <m/>
    <m/>
    <m/>
    <m/>
    <m/>
    <m/>
    <m/>
    <m/>
    <m/>
    <m/>
    <m/>
    <m/>
    <m/>
  </r>
  <r>
    <n v="742"/>
    <d v="2025-02-03T00:00:00"/>
    <s v="ZBTO"/>
    <n v="9518490750"/>
    <n v="5"/>
    <s v="9518490750-5"/>
    <s v="May'25"/>
    <x v="0"/>
    <m/>
    <x v="1"/>
    <x v="2"/>
    <n v="2000"/>
    <m/>
    <x v="1"/>
    <m/>
    <s v="Exp BTF &lt;17MT"/>
    <s v="Orissa"/>
    <s v="East"/>
    <s v="TANGI"/>
    <s v="Sheet"/>
    <n v="117061"/>
    <s v="BHARTIA  DISTRIBUTORS PVT. LTD"/>
    <n v="3239567"/>
    <s v="CRCA SHEET TATCRC SR16 0.450X1000X2500"/>
    <s v=""/>
    <s v=""/>
    <m/>
    <m/>
    <s v="Narrow"/>
    <s v="C06"/>
    <s v="TATCRC"/>
    <s v="SR16"/>
    <n v="0.45"/>
    <n v="1000"/>
    <n v="2500"/>
    <n v="75"/>
    <n v="0"/>
    <n v="75"/>
    <n v="8.61"/>
    <n v="53.370000000000005"/>
    <n v="33.155000000000001"/>
    <n v="0"/>
    <n v="0"/>
    <n v="0"/>
    <n v="0"/>
    <n v="0"/>
    <n v="0"/>
    <n v="0"/>
    <n v="0"/>
    <n v="21.63"/>
    <n v="0"/>
    <n v="0"/>
    <n v="0"/>
    <n v="0"/>
    <n v="0"/>
    <n v="0"/>
    <n v="0"/>
    <n v="0"/>
    <n v="0"/>
    <n v="0"/>
    <n v="21.63"/>
    <n v="21.63"/>
    <n v="0"/>
    <n v="21.63"/>
    <n v="0"/>
    <n v="26.539999999999996"/>
    <n v="33.155000000000001"/>
    <n v="33.155000000000001"/>
    <n v="0"/>
    <n v="0"/>
    <n v="0"/>
    <n v="0"/>
    <n v="0"/>
    <n v="0"/>
    <n v="0"/>
    <n v="0"/>
    <n v="0"/>
    <n v="0"/>
    <n v="59.694999999999993"/>
    <n v="0"/>
    <n v="0"/>
    <n v="0"/>
    <n v="0"/>
    <n v="0"/>
    <n v="0"/>
    <n v="0"/>
    <m/>
    <m/>
    <m/>
    <m/>
    <m/>
    <m/>
    <m/>
    <m/>
    <s v="0"/>
    <s v="1"/>
    <s v="1"/>
    <s v="1"/>
    <s v="1"/>
    <m/>
    <m/>
    <m/>
    <m/>
    <m/>
    <m/>
    <m/>
    <m/>
    <m/>
    <m/>
    <m/>
    <m/>
    <m/>
    <m/>
  </r>
  <r>
    <n v="742"/>
    <d v="2025-02-14T00:00:00"/>
    <s v="ZBTO"/>
    <n v="9518518906"/>
    <n v="6"/>
    <s v="9518518906-6"/>
    <s v="Mar'25"/>
    <x v="0"/>
    <m/>
    <x v="1"/>
    <x v="2"/>
    <s v="2000-BPRS"/>
    <m/>
    <x v="1"/>
    <m/>
    <m/>
    <s v="Uttar Pradesh"/>
    <s v="North"/>
    <s v="VARANASI"/>
    <s v="Sheet"/>
    <n v="931525"/>
    <s v="INDIA STEEL INDUSTRIES"/>
    <n v="3912458"/>
    <s v="CRCA SHEET TSBCRC SR15 0.700X1250X1925"/>
    <s v=" "/>
    <s v=""/>
    <n v="0"/>
    <n v="0"/>
    <s v="Wider"/>
    <s v="C06"/>
    <s v="TSBCRC"/>
    <s v="SR15"/>
    <n v="0.7"/>
    <n v="1250"/>
    <n v="1925"/>
    <n v="33"/>
    <n v="0"/>
    <n v="33"/>
    <n v="33"/>
    <n v="33"/>
    <n v="33"/>
    <n v="0"/>
    <n v="0"/>
    <n v="0"/>
    <n v="0"/>
    <n v="0"/>
    <n v="0"/>
    <n v="0"/>
    <n v="0"/>
    <n v="0"/>
    <n v="0"/>
    <n v="0"/>
    <n v="0"/>
    <n v="0"/>
    <n v="0"/>
    <n v="0"/>
    <n v="0"/>
    <n v="0"/>
    <n v="0"/>
    <n v="0"/>
    <n v="0"/>
    <n v="0"/>
    <n v="0"/>
    <n v="0"/>
    <n v="0"/>
    <n v="0"/>
    <n v="33"/>
    <n v="0"/>
    <n v="0"/>
    <n v="33"/>
    <n v="0"/>
    <n v="0"/>
    <n v="0"/>
    <n v="0"/>
    <n v="0"/>
    <n v="0"/>
    <n v="0"/>
    <n v="0"/>
    <n v="33"/>
    <n v="0"/>
    <n v="0"/>
    <n v="0"/>
    <n v="0"/>
    <n v="0"/>
    <n v="0"/>
    <n v="0"/>
    <m/>
    <m/>
    <m/>
    <m/>
    <m/>
    <m/>
    <m/>
    <m/>
    <s v="1"/>
    <s v="1"/>
    <s v="0"/>
    <s v="1"/>
    <s v="1"/>
    <m/>
    <m/>
    <m/>
    <m/>
    <m/>
    <m/>
    <m/>
    <m/>
    <m/>
    <m/>
    <m/>
    <m/>
    <m/>
    <m/>
  </r>
  <r>
    <n v="742"/>
    <d v="2025-02-03T00:00:00"/>
    <s v="ZBTO"/>
    <n v="9518490750"/>
    <n v="16"/>
    <s v="9518490750-16"/>
    <s v="May'25"/>
    <x v="0"/>
    <m/>
    <x v="1"/>
    <x v="2"/>
    <n v="2000"/>
    <m/>
    <x v="1"/>
    <m/>
    <m/>
    <s v="Orissa"/>
    <s v="East"/>
    <s v="TANGI"/>
    <s v="Sheet"/>
    <n v="117061"/>
    <s v="BHARTIA  DISTRIBUTORS PVT. LTD"/>
    <n v="3240836"/>
    <s v="CRCA SHEET TSBCRC SR15 1X1000X2500"/>
    <s v=""/>
    <s v=""/>
    <m/>
    <m/>
    <s v="Narrow"/>
    <s v="C06"/>
    <s v="TSBCRC"/>
    <s v="SR15"/>
    <n v="1"/>
    <n v="1000"/>
    <n v="2500"/>
    <n v="75"/>
    <n v="20.545000000000002"/>
    <n v="54.454999999999998"/>
    <n v="-13.055"/>
    <n v="0"/>
    <n v="33.21"/>
    <n v="0"/>
    <n v="0"/>
    <n v="0"/>
    <n v="0"/>
    <n v="0"/>
    <n v="0"/>
    <n v="0"/>
    <n v="0"/>
    <n v="0"/>
    <n v="0"/>
    <n v="0"/>
    <n v="0"/>
    <n v="0"/>
    <n v="44.89"/>
    <n v="0"/>
    <n v="0"/>
    <n v="0"/>
    <n v="0"/>
    <n v="0"/>
    <n v="44.89"/>
    <n v="44.89"/>
    <n v="0"/>
    <n v="44.89"/>
    <n v="0"/>
    <n v="0"/>
    <n v="33.21"/>
    <n v="0"/>
    <n v="33.21"/>
    <n v="0"/>
    <n v="0"/>
    <n v="0"/>
    <n v="33.21"/>
    <n v="0"/>
    <n v="33.21"/>
    <n v="0"/>
    <n v="0"/>
    <n v="0"/>
    <n v="0"/>
    <n v="0"/>
    <n v="0"/>
    <n v="0"/>
    <n v="0"/>
    <n v="0"/>
    <n v="0"/>
    <n v="0"/>
    <m/>
    <m/>
    <m/>
    <m/>
    <m/>
    <m/>
    <m/>
    <m/>
    <s v="1"/>
    <s v="0"/>
    <s v="1"/>
    <s v="1"/>
    <s v="1"/>
    <m/>
    <m/>
    <m/>
    <m/>
    <m/>
    <m/>
    <m/>
    <m/>
    <m/>
    <m/>
    <m/>
    <m/>
    <m/>
    <m/>
  </r>
  <r>
    <n v="742"/>
    <d v="2025-02-14T00:00:00"/>
    <s v="ZBTO"/>
    <n v="9518519644"/>
    <n v="7"/>
    <s v="9518519644-7"/>
    <s v="Mar'25"/>
    <x v="0"/>
    <m/>
    <x v="1"/>
    <x v="2"/>
    <n v="2000"/>
    <m/>
    <x v="1"/>
    <m/>
    <m/>
    <s v="Bihar"/>
    <s v="East"/>
    <s v="PATNA"/>
    <s v="Sheet"/>
    <n v="103227"/>
    <s v="BMW VENTURES LIMITED"/>
    <n v="3239567"/>
    <s v="CRCA SHEET TATCRC SR16 0.450X1000X2500"/>
    <s v=""/>
    <s v=""/>
    <m/>
    <m/>
    <s v="Narrow"/>
    <s v="C06"/>
    <s v="TATCRC"/>
    <s v="SR16"/>
    <n v="0.45"/>
    <n v="1000"/>
    <n v="2500"/>
    <n v="51"/>
    <n v="0"/>
    <n v="51"/>
    <n v="28.655000000000001"/>
    <n v="28.66"/>
    <n v="30.13"/>
    <n v="0"/>
    <n v="0"/>
    <n v="0"/>
    <n v="0"/>
    <n v="0"/>
    <n v="0"/>
    <n v="0"/>
    <n v="0"/>
    <n v="0.21"/>
    <n v="0"/>
    <n v="0"/>
    <n v="0"/>
    <n v="0"/>
    <n v="22.13"/>
    <n v="0"/>
    <n v="0"/>
    <n v="0"/>
    <n v="0"/>
    <n v="0"/>
    <n v="22.34"/>
    <n v="22.34"/>
    <n v="0"/>
    <n v="22.34"/>
    <n v="0"/>
    <n v="20.87"/>
    <n v="30.13"/>
    <n v="0"/>
    <n v="30.13"/>
    <n v="0"/>
    <n v="0"/>
    <n v="0"/>
    <n v="30.13"/>
    <n v="0"/>
    <n v="30.13"/>
    <n v="0"/>
    <n v="0"/>
    <n v="0"/>
    <n v="20.87"/>
    <n v="0"/>
    <n v="0"/>
    <n v="0"/>
    <n v="0"/>
    <n v="0"/>
    <n v="0"/>
    <n v="0"/>
    <m/>
    <m/>
    <m/>
    <m/>
    <m/>
    <m/>
    <m/>
    <m/>
    <s v="1"/>
    <s v="0"/>
    <s v="1"/>
    <s v="1"/>
    <s v="1"/>
    <m/>
    <m/>
    <m/>
    <m/>
    <m/>
    <m/>
    <m/>
    <m/>
    <m/>
    <m/>
    <m/>
    <m/>
    <m/>
    <m/>
  </r>
  <r>
    <n v="742"/>
    <d v="2025-02-14T00:00:00"/>
    <s v="ZBTO"/>
    <n v="9518519644"/>
    <n v="9"/>
    <s v="9518519644-9"/>
    <s v="Stocks"/>
    <x v="0"/>
    <m/>
    <x v="1"/>
    <x v="2"/>
    <n v="2000"/>
    <m/>
    <x v="1"/>
    <m/>
    <m/>
    <s v="Bihar"/>
    <s v="East"/>
    <s v="PATNA"/>
    <s v="Sheet"/>
    <n v="103227"/>
    <s v="BMW VENTURES LIMITED"/>
    <n v="3239572"/>
    <s v="CRCA SHEET TATCRC SR16 0.480X1000X2500"/>
    <s v=""/>
    <s v=""/>
    <m/>
    <m/>
    <s v="Narrow"/>
    <s v="C06"/>
    <s v="TATCRC"/>
    <s v="SR16"/>
    <n v="0.48"/>
    <n v="1000"/>
    <n v="2500"/>
    <n v="24"/>
    <n v="0"/>
    <n v="24"/>
    <n v="-9.2100000000000009"/>
    <n v="0"/>
    <n v="3.74"/>
    <n v="0"/>
    <n v="0"/>
    <n v="0"/>
    <n v="0"/>
    <n v="0"/>
    <n v="0"/>
    <n v="0"/>
    <n v="0"/>
    <n v="0.22"/>
    <n v="0"/>
    <n v="0"/>
    <n v="0"/>
    <n v="0"/>
    <n v="0"/>
    <n v="0"/>
    <n v="0"/>
    <n v="0"/>
    <n v="0"/>
    <n v="0"/>
    <n v="0.22"/>
    <n v="0.22"/>
    <n v="0"/>
    <n v="0.22"/>
    <n v="0"/>
    <n v="20.259999999999998"/>
    <n v="0"/>
    <n v="0"/>
    <n v="0"/>
    <n v="0"/>
    <n v="0"/>
    <n v="0"/>
    <n v="0"/>
    <n v="0"/>
    <n v="0"/>
    <n v="0"/>
    <n v="0"/>
    <n v="0"/>
    <n v="20.259999999999998"/>
    <n v="0"/>
    <n v="0"/>
    <n v="0"/>
    <n v="0"/>
    <n v="0"/>
    <n v="0"/>
    <n v="0"/>
    <m/>
    <m/>
    <m/>
    <m/>
    <m/>
    <m/>
    <m/>
    <m/>
    <s v="1"/>
    <s v="1"/>
    <s v="1"/>
    <s v="1"/>
    <s v="1"/>
    <m/>
    <m/>
    <m/>
    <m/>
    <m/>
    <m/>
    <m/>
    <m/>
    <m/>
    <m/>
    <m/>
    <m/>
    <m/>
    <m/>
  </r>
  <r>
    <n v="742"/>
    <d v="2025-02-14T00:00:00"/>
    <s v="ZBTO"/>
    <n v="9518519644"/>
    <n v="11"/>
    <s v="9518519644-11"/>
    <s v="No Priority"/>
    <x v="0"/>
    <m/>
    <x v="1"/>
    <x v="2"/>
    <n v="2000"/>
    <m/>
    <x v="0"/>
    <m/>
    <s v="Exp BTF &lt;17MT"/>
    <s v="Bihar"/>
    <s v="East"/>
    <s v="PATNA"/>
    <s v="Sheet"/>
    <n v="103227"/>
    <s v="BMW VENTURES LIMITED"/>
    <n v="3240760"/>
    <s v="CRCA SHEET TSBCRC SR15 0.500X1000X2500"/>
    <s v=""/>
    <s v=""/>
    <m/>
    <m/>
    <s v="Narrow"/>
    <s v="C06"/>
    <s v="TSBCRC"/>
    <s v="SR15"/>
    <n v="0.5"/>
    <n v="1000"/>
    <n v="2500"/>
    <n v="24"/>
    <n v="20.175000000000001"/>
    <n v="3.8250000000000002"/>
    <n v="3.8250000000000002"/>
    <n v="3.8250000000000002"/>
    <n v="3.8250000000000002"/>
    <n v="0"/>
    <n v="0"/>
    <n v="0"/>
    <n v="0"/>
    <n v="0"/>
    <n v="0"/>
    <n v="0"/>
    <n v="0"/>
    <n v="0"/>
    <n v="0"/>
    <n v="0"/>
    <n v="0"/>
    <n v="0"/>
    <n v="0"/>
    <n v="0"/>
    <n v="0"/>
    <n v="0"/>
    <n v="0"/>
    <n v="0"/>
    <n v="0"/>
    <n v="0"/>
    <n v="0"/>
    <n v="0"/>
    <n v="0"/>
    <n v="0"/>
    <n v="0"/>
    <n v="0"/>
    <n v="0"/>
    <n v="0"/>
    <n v="0"/>
    <n v="0"/>
    <n v="0"/>
    <n v="0"/>
    <n v="0"/>
    <n v="0"/>
    <n v="0"/>
    <n v="0"/>
    <n v="0"/>
    <n v="20.175000000000001"/>
    <n v="0"/>
    <n v="0"/>
    <n v="0"/>
    <n v="0"/>
    <n v="0"/>
    <n v="20.175000000000001"/>
    <m/>
    <m/>
    <m/>
    <m/>
    <m/>
    <m/>
    <m/>
    <m/>
    <s v="1"/>
    <s v="1"/>
    <s v="1"/>
    <s v="1"/>
    <s v="1"/>
    <m/>
    <m/>
    <m/>
    <m/>
    <m/>
    <m/>
    <m/>
    <m/>
    <m/>
    <m/>
    <m/>
    <m/>
    <m/>
    <m/>
  </r>
  <r>
    <n v="742"/>
    <d v="2025-02-14T00:00:00"/>
    <s v="ZBTO"/>
    <n v="9518520213"/>
    <n v="7"/>
    <s v="9518520213-7"/>
    <s v="Stocks"/>
    <x v="0"/>
    <m/>
    <x v="1"/>
    <x v="2"/>
    <n v="2000"/>
    <m/>
    <x v="1"/>
    <m/>
    <s v="Exp BTF &lt;17MT"/>
    <s v="Bihar"/>
    <s v="East"/>
    <s v="PURNIA"/>
    <s v="Sheet"/>
    <n v="103227"/>
    <s v="BMW VENTURES LIMITED"/>
    <n v="3239567"/>
    <s v="CRCA SHEET TATCRC SR16 0.450X1000X2500"/>
    <s v=""/>
    <s v=""/>
    <m/>
    <m/>
    <s v="Narrow"/>
    <s v="C06"/>
    <s v="TATCRC"/>
    <s v="SR16"/>
    <n v="0.45"/>
    <n v="1000"/>
    <n v="2500"/>
    <n v="51"/>
    <n v="0"/>
    <n v="51"/>
    <n v="6.63"/>
    <n v="50.76"/>
    <n v="8.92"/>
    <n v="0"/>
    <n v="0"/>
    <n v="0"/>
    <n v="0"/>
    <n v="0"/>
    <n v="0"/>
    <n v="0"/>
    <n v="0"/>
    <n v="0"/>
    <n v="0"/>
    <n v="0"/>
    <n v="0"/>
    <n v="0"/>
    <n v="0"/>
    <n v="0"/>
    <n v="0.24"/>
    <n v="0"/>
    <n v="0"/>
    <n v="0"/>
    <n v="0.24"/>
    <n v="0.24"/>
    <n v="0"/>
    <n v="0.24"/>
    <n v="0"/>
    <n v="42.079999999999991"/>
    <n v="0"/>
    <n v="0"/>
    <n v="0"/>
    <n v="0"/>
    <n v="0"/>
    <n v="0"/>
    <n v="0"/>
    <n v="0"/>
    <n v="0"/>
    <n v="0"/>
    <n v="0"/>
    <n v="0"/>
    <n v="42.079999999999991"/>
    <n v="0"/>
    <n v="0"/>
    <n v="0"/>
    <n v="0"/>
    <n v="0"/>
    <n v="0"/>
    <n v="0"/>
    <m/>
    <m/>
    <m/>
    <m/>
    <m/>
    <m/>
    <m/>
    <m/>
    <s v="1"/>
    <s v="1"/>
    <s v="1"/>
    <s v="1"/>
    <s v="1"/>
    <m/>
    <m/>
    <m/>
    <m/>
    <m/>
    <m/>
    <m/>
    <m/>
    <m/>
    <m/>
    <m/>
    <m/>
    <m/>
    <m/>
  </r>
  <r>
    <n v="742"/>
    <d v="2025-02-14T00:00:00"/>
    <s v="ZBTO"/>
    <n v="9518520213"/>
    <n v="9"/>
    <s v="9518520213-9"/>
    <s v="May'25"/>
    <x v="0"/>
    <m/>
    <x v="1"/>
    <x v="2"/>
    <n v="2000"/>
    <m/>
    <x v="1"/>
    <m/>
    <m/>
    <s v="Bihar"/>
    <s v="East"/>
    <s v="PURNIA"/>
    <s v="Sheet"/>
    <n v="103227"/>
    <s v="BMW VENTURES LIMITED"/>
    <n v="3239572"/>
    <s v="CRCA SHEET TATCRC SR16 0.480X1000X2500"/>
    <s v=""/>
    <s v=""/>
    <m/>
    <m/>
    <s v="Narrow"/>
    <s v="C06"/>
    <s v="TATCRC"/>
    <s v="SR16"/>
    <n v="0.48"/>
    <n v="1000"/>
    <n v="2500"/>
    <n v="24"/>
    <n v="0"/>
    <n v="24"/>
    <n v="-8.4"/>
    <n v="0"/>
    <n v="24"/>
    <n v="0"/>
    <n v="0"/>
    <n v="0"/>
    <n v="0"/>
    <n v="0"/>
    <n v="0"/>
    <n v="0"/>
    <n v="0"/>
    <n v="0"/>
    <n v="0"/>
    <n v="0"/>
    <n v="0"/>
    <n v="0"/>
    <n v="0"/>
    <n v="0"/>
    <n v="0.22"/>
    <n v="0"/>
    <n v="20.595000000000002"/>
    <n v="0"/>
    <n v="20.815000000000001"/>
    <n v="20.815000000000001"/>
    <n v="0"/>
    <n v="20.815000000000001"/>
    <n v="0"/>
    <n v="20.595000000000002"/>
    <n v="24"/>
    <n v="24"/>
    <n v="0"/>
    <n v="0"/>
    <n v="0"/>
    <n v="0"/>
    <n v="0"/>
    <n v="0"/>
    <n v="0"/>
    <n v="0"/>
    <n v="0"/>
    <n v="0"/>
    <n v="44.594999999999999"/>
    <n v="0"/>
    <n v="0"/>
    <n v="0"/>
    <n v="0"/>
    <n v="0"/>
    <n v="0"/>
    <n v="0"/>
    <m/>
    <m/>
    <m/>
    <m/>
    <m/>
    <m/>
    <m/>
    <m/>
    <s v="0"/>
    <s v="1"/>
    <s v="1"/>
    <s v="1"/>
    <s v="1"/>
    <m/>
    <m/>
    <m/>
    <m/>
    <m/>
    <m/>
    <m/>
    <m/>
    <m/>
    <m/>
    <m/>
    <m/>
    <m/>
    <m/>
  </r>
  <r>
    <n v="743"/>
    <d v="2025-02-06T00:00:00"/>
    <s v="ZBTO"/>
    <n v="9518498761"/>
    <n v="3"/>
    <s v="9518498761-3"/>
    <s v="Stocks"/>
    <x v="0"/>
    <m/>
    <x v="3"/>
    <x v="9"/>
    <n v="2000"/>
    <m/>
    <x v="1"/>
    <m/>
    <s v="Exp BTF &lt;17MT"/>
    <s v="Jharkhand"/>
    <s v="East"/>
    <s v="BOKARO STEEL CY"/>
    <s v="Coil"/>
    <n v="121328"/>
    <s v="R. S. BOKARO METAL (P) LTD."/>
    <n v="1191956"/>
    <s v="GP COIL SOFT-TATXGP-GK09-0.35X900"/>
    <n v="80"/>
    <s v=""/>
    <m/>
    <m/>
    <s v="Narrow"/>
    <s v="C02"/>
    <s v="TATXGP"/>
    <s v="GK09"/>
    <n v="0.35"/>
    <n v="900"/>
    <n v="0"/>
    <n v="105"/>
    <n v="0"/>
    <n v="105"/>
    <n v="4.4800000000000004"/>
    <n v="103.235"/>
    <n v="7.1150000000000002"/>
    <n v="0"/>
    <n v="0"/>
    <n v="0"/>
    <n v="0"/>
    <n v="0"/>
    <n v="0"/>
    <n v="1.7650000000000001"/>
    <n v="0"/>
    <n v="0"/>
    <n v="0"/>
    <n v="0"/>
    <n v="0"/>
    <n v="0"/>
    <n v="0"/>
    <n v="0"/>
    <n v="0"/>
    <n v="0"/>
    <n v="0"/>
    <n v="0"/>
    <n v="1.7650000000000001"/>
    <n v="1.7650000000000001"/>
    <n v="0"/>
    <n v="1.7650000000000001"/>
    <n v="0"/>
    <n v="6.4550000000000001"/>
    <n v="0"/>
    <n v="0"/>
    <n v="0"/>
    <n v="0"/>
    <n v="0"/>
    <n v="0"/>
    <n v="0"/>
    <n v="0"/>
    <n v="0"/>
    <n v="0"/>
    <n v="0"/>
    <n v="0"/>
    <n v="6.4550000000000001"/>
    <n v="0"/>
    <n v="0"/>
    <n v="0"/>
    <n v="0"/>
    <n v="0"/>
    <n v="0"/>
    <n v="0"/>
    <m/>
    <m/>
    <m/>
    <m/>
    <m/>
    <m/>
    <m/>
    <m/>
    <s v="1"/>
    <s v="1"/>
    <s v="1"/>
    <s v="1"/>
    <s v="1"/>
    <m/>
    <m/>
    <m/>
    <m/>
    <m/>
    <m/>
    <m/>
    <m/>
    <m/>
    <m/>
    <m/>
    <m/>
    <m/>
    <m/>
  </r>
  <r>
    <n v="743"/>
    <d v="2025-02-13T00:00:00"/>
    <s v="ZBTO"/>
    <n v="9518516069"/>
    <n v="1"/>
    <s v="9518516069-1"/>
    <s v="No Priority"/>
    <x v="0"/>
    <m/>
    <x v="3"/>
    <x v="9"/>
    <n v="2000"/>
    <m/>
    <x v="0"/>
    <m/>
    <s v="Exp BTF &lt;17MT"/>
    <s v="Uttar Pradesh"/>
    <s v="North"/>
    <s v="LONI"/>
    <s v="Coil"/>
    <n v="931235"/>
    <s v="K D J P STEELS PVT LTD"/>
    <n v="1191956"/>
    <s v="GP COIL SOFT-TATXGP-GK09-0.35X900"/>
    <n v="80"/>
    <s v=""/>
    <m/>
    <m/>
    <s v="Narrow"/>
    <s v="C02"/>
    <s v="TATXGP"/>
    <s v="GK09"/>
    <n v="0.35"/>
    <n v="900"/>
    <n v="0"/>
    <n v="105"/>
    <n v="91.49"/>
    <n v="13.51"/>
    <n v="8.92"/>
    <n v="13.51"/>
    <n v="8.92"/>
    <n v="0"/>
    <n v="0"/>
    <n v="0"/>
    <n v="0"/>
    <n v="0"/>
    <n v="0"/>
    <n v="0"/>
    <n v="0"/>
    <n v="0"/>
    <n v="0"/>
    <n v="0"/>
    <n v="0"/>
    <n v="0"/>
    <n v="0"/>
    <n v="0"/>
    <n v="0"/>
    <n v="0"/>
    <n v="0"/>
    <n v="0"/>
    <n v="0"/>
    <n v="0"/>
    <n v="0"/>
    <n v="0"/>
    <n v="0"/>
    <n v="0"/>
    <n v="0"/>
    <n v="0"/>
    <n v="0"/>
    <n v="0"/>
    <n v="0"/>
    <n v="0"/>
    <n v="0"/>
    <n v="0"/>
    <n v="0"/>
    <n v="0"/>
    <n v="0"/>
    <n v="0"/>
    <n v="0"/>
    <n v="91.49"/>
    <n v="0"/>
    <n v="0"/>
    <n v="0"/>
    <n v="0"/>
    <n v="0"/>
    <n v="91.49"/>
    <m/>
    <m/>
    <m/>
    <m/>
    <m/>
    <m/>
    <m/>
    <m/>
    <s v="1"/>
    <s v="1"/>
    <s v="1"/>
    <s v="1"/>
    <s v="1"/>
    <m/>
    <m/>
    <m/>
    <m/>
    <m/>
    <m/>
    <m/>
    <m/>
    <m/>
    <m/>
    <m/>
    <m/>
    <m/>
    <m/>
  </r>
  <r>
    <n v="743"/>
    <d v="2025-02-10T00:00:00"/>
    <s v="ZBTO"/>
    <n v="9518508377"/>
    <n v="8"/>
    <s v="9518508377-8"/>
    <s v="No Priority"/>
    <x v="0"/>
    <m/>
    <x v="3"/>
    <x v="9"/>
    <n v="2000"/>
    <m/>
    <x v="0"/>
    <m/>
    <s v="Exp BTF &lt;17MT"/>
    <s v="Jharkhand"/>
    <s v="East"/>
    <s v="WEST BOKARO"/>
    <s v="Coil"/>
    <n v="185794"/>
    <s v="Shree Bajrang Steel Udyog"/>
    <n v="1178439"/>
    <s v="GP COIL SOFT-TATXGP-GK09-0.4X900"/>
    <n v="80"/>
    <s v=""/>
    <m/>
    <m/>
    <s v="Narrow"/>
    <s v="C02"/>
    <s v="TATXGP"/>
    <s v="GK09"/>
    <n v="0.4"/>
    <n v="900"/>
    <n v="0"/>
    <n v="105"/>
    <n v="56.5"/>
    <n v="48.5"/>
    <n v="5.7"/>
    <n v="39.24"/>
    <n v="14.145"/>
    <n v="0"/>
    <n v="0"/>
    <n v="0"/>
    <n v="0"/>
    <n v="0"/>
    <n v="0"/>
    <n v="0"/>
    <n v="0"/>
    <n v="0"/>
    <n v="0"/>
    <n v="0"/>
    <n v="0"/>
    <n v="0"/>
    <n v="0"/>
    <n v="0"/>
    <n v="0"/>
    <n v="0"/>
    <n v="0"/>
    <n v="9.26"/>
    <n v="9.26"/>
    <n v="9.26"/>
    <n v="0"/>
    <n v="9.26"/>
    <n v="0"/>
    <n v="0"/>
    <n v="0"/>
    <n v="0"/>
    <n v="0"/>
    <n v="0"/>
    <n v="0"/>
    <n v="0"/>
    <n v="0"/>
    <n v="0"/>
    <n v="0"/>
    <n v="0"/>
    <n v="0"/>
    <n v="0"/>
    <n v="0"/>
    <n v="0"/>
    <n v="0"/>
    <n v="0"/>
    <n v="0"/>
    <n v="0"/>
    <n v="0"/>
    <n v="0"/>
    <m/>
    <m/>
    <m/>
    <m/>
    <m/>
    <m/>
    <m/>
    <m/>
    <s v="1"/>
    <s v="1"/>
    <s v="1"/>
    <s v="1"/>
    <s v="1"/>
    <m/>
    <m/>
    <m/>
    <m/>
    <m/>
    <m/>
    <m/>
    <m/>
    <m/>
    <m/>
    <m/>
    <m/>
    <m/>
    <m/>
  </r>
  <r>
    <n v="742"/>
    <d v="2025-02-10T00:00:00"/>
    <s v="ZBTO"/>
    <n v="9518506961"/>
    <n v="1"/>
    <s v="9518506961-1"/>
    <s v="Stocks"/>
    <x v="0"/>
    <m/>
    <x v="1"/>
    <x v="1"/>
    <n v="2000"/>
    <m/>
    <x v="1"/>
    <m/>
    <m/>
    <s v="Haryana"/>
    <s v="North"/>
    <s v="FARIDABAD"/>
    <s v="Coil"/>
    <n v="831432"/>
    <s v="FERRO STEEL SOLUTIONS"/>
    <n v="1804908"/>
    <s v="CRCA COIL TATCRC TR15 0.5X1250"/>
    <s v=""/>
    <s v=""/>
    <m/>
    <m/>
    <s v="Wider"/>
    <s v="C01"/>
    <s v="TATCRC"/>
    <s v="TR15"/>
    <n v="0.5"/>
    <n v="1250"/>
    <n v="0"/>
    <n v="261"/>
    <n v="238.05500000000001"/>
    <n v="22.945"/>
    <n v="-3.7"/>
    <n v="0"/>
    <n v="1.56"/>
    <n v="0"/>
    <n v="0"/>
    <n v="0"/>
    <n v="0"/>
    <n v="0"/>
    <n v="0"/>
    <n v="0"/>
    <n v="0"/>
    <n v="0"/>
    <n v="0"/>
    <n v="0"/>
    <n v="0"/>
    <n v="0"/>
    <n v="0"/>
    <n v="0"/>
    <n v="0"/>
    <n v="0"/>
    <n v="0"/>
    <n v="0"/>
    <n v="0"/>
    <n v="0"/>
    <n v="0"/>
    <n v="0"/>
    <n v="0"/>
    <n v="12.98"/>
    <n v="0"/>
    <n v="0"/>
    <n v="0"/>
    <n v="0"/>
    <n v="0"/>
    <n v="0"/>
    <n v="0"/>
    <n v="0"/>
    <n v="0"/>
    <n v="0"/>
    <n v="0"/>
    <n v="0"/>
    <n v="12.98"/>
    <n v="212.10999999999999"/>
    <n v="0"/>
    <n v="0"/>
    <n v="0"/>
    <n v="0"/>
    <n v="0"/>
    <n v="212.10999999999999"/>
    <m/>
    <m/>
    <m/>
    <m/>
    <m/>
    <m/>
    <m/>
    <m/>
    <s v="1"/>
    <s v="1"/>
    <s v="1"/>
    <s v="1"/>
    <s v="1"/>
    <m/>
    <m/>
    <m/>
    <m/>
    <m/>
    <m/>
    <m/>
    <m/>
    <m/>
    <m/>
    <m/>
    <m/>
    <m/>
    <m/>
  </r>
  <r>
    <n v="742"/>
    <d v="2025-02-10T00:00:00"/>
    <s v="ZBTO"/>
    <n v="9518506961"/>
    <n v="3"/>
    <s v="9518506961-3"/>
    <s v="Stocks"/>
    <x v="0"/>
    <m/>
    <x v="1"/>
    <x v="1"/>
    <n v="2000"/>
    <m/>
    <x v="1"/>
    <m/>
    <m/>
    <s v="Haryana"/>
    <s v="North"/>
    <s v="FARIDABAD"/>
    <s v="Coil"/>
    <n v="831432"/>
    <s v="FERRO STEEL SOLUTIONS"/>
    <n v="1804908"/>
    <s v="CRCA COIL TATCRC TR15 0.5X1250"/>
    <s v=""/>
    <s v=""/>
    <m/>
    <m/>
    <s v="Wider"/>
    <s v="C01"/>
    <s v="TATCRC"/>
    <s v="TR15"/>
    <n v="0.5"/>
    <n v="1250"/>
    <n v="0"/>
    <n v="261"/>
    <n v="232.95500000000001"/>
    <n v="28.045000000000002"/>
    <n v="0.53500000000000003"/>
    <n v="0"/>
    <n v="2.5150000000000001"/>
    <n v="0"/>
    <n v="0"/>
    <n v="0"/>
    <n v="0"/>
    <n v="0"/>
    <n v="0"/>
    <n v="0"/>
    <n v="0"/>
    <n v="0"/>
    <n v="0"/>
    <n v="0"/>
    <n v="0"/>
    <n v="0"/>
    <n v="0"/>
    <n v="0"/>
    <n v="0"/>
    <n v="0"/>
    <n v="0"/>
    <n v="0"/>
    <n v="0"/>
    <n v="0"/>
    <n v="0"/>
    <n v="0"/>
    <n v="0"/>
    <n v="12.27"/>
    <n v="0"/>
    <n v="0"/>
    <n v="0"/>
    <n v="0"/>
    <n v="0"/>
    <n v="0"/>
    <n v="0"/>
    <n v="0"/>
    <n v="0"/>
    <n v="0"/>
    <n v="0"/>
    <n v="0"/>
    <n v="12.27"/>
    <n v="0"/>
    <n v="0"/>
    <n v="0"/>
    <n v="0"/>
    <n v="0"/>
    <n v="0"/>
    <n v="0"/>
    <m/>
    <m/>
    <m/>
    <m/>
    <m/>
    <m/>
    <m/>
    <m/>
    <s v="1"/>
    <s v="1"/>
    <s v="1"/>
    <s v="1"/>
    <s v="1"/>
    <m/>
    <m/>
    <m/>
    <m/>
    <m/>
    <m/>
    <m/>
    <m/>
    <m/>
    <m/>
    <m/>
    <m/>
    <m/>
    <m/>
  </r>
  <r>
    <n v="742"/>
    <d v="2025-02-10T00:00:00"/>
    <s v="ZBTO"/>
    <n v="9518506961"/>
    <n v="4"/>
    <s v="9518506961-4"/>
    <s v="No Priority"/>
    <x v="0"/>
    <m/>
    <x v="1"/>
    <x v="1"/>
    <n v="2000"/>
    <m/>
    <x v="0"/>
    <m/>
    <m/>
    <s v="Haryana"/>
    <s v="North"/>
    <s v="FARIDABAD"/>
    <s v="Coil"/>
    <n v="831432"/>
    <s v="FERRO STEEL SOLUTIONS"/>
    <n v="1804908"/>
    <s v="CRCA COIL TATCRC TR15 0.5X1250"/>
    <s v=""/>
    <s v=""/>
    <m/>
    <m/>
    <s v="Wider"/>
    <s v="C01"/>
    <s v="TATCRC"/>
    <s v="TR15"/>
    <n v="0.5"/>
    <n v="1250"/>
    <n v="0"/>
    <n v="261"/>
    <n v="231.86500000000001"/>
    <n v="29.135000000000002"/>
    <n v="1.7649999999999999"/>
    <n v="0"/>
    <n v="3.1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5T00:00:00"/>
    <s v="ZBTO"/>
    <n v="9518495920"/>
    <n v="9"/>
    <s v="9518495920-9"/>
    <s v="No Priority"/>
    <x v="0"/>
    <m/>
    <x v="1"/>
    <x v="2"/>
    <n v="2000"/>
    <m/>
    <x v="0"/>
    <m/>
    <s v="Exp BTF &lt;17MT"/>
    <s v="Uttar Pradesh"/>
    <s v="North"/>
    <s v="VARANASI"/>
    <s v="Sheet"/>
    <n v="931525"/>
    <s v="INDIA STEEL INDUSTRIES"/>
    <n v="3409561"/>
    <s v="CRCA SHEET TSBCRC SR15 0.600X1000X1930"/>
    <s v=""/>
    <s v=""/>
    <m/>
    <m/>
    <s v="Narrow"/>
    <s v="C06"/>
    <s v="TSBCRC"/>
    <s v="SR15"/>
    <n v="0.6"/>
    <n v="1000"/>
    <n v="1930"/>
    <n v="27"/>
    <n v="20.22"/>
    <n v="6.78"/>
    <n v="6.78"/>
    <n v="6.78"/>
    <n v="6.78"/>
    <n v="0"/>
    <n v="0"/>
    <n v="0"/>
    <n v="0"/>
    <n v="0"/>
    <n v="0"/>
    <n v="0"/>
    <n v="0"/>
    <n v="0"/>
    <n v="0"/>
    <n v="0"/>
    <n v="0"/>
    <n v="0"/>
    <n v="0"/>
    <n v="0"/>
    <n v="0"/>
    <n v="0"/>
    <n v="0"/>
    <n v="0"/>
    <n v="0"/>
    <n v="0"/>
    <n v="0"/>
    <n v="0"/>
    <n v="0"/>
    <n v="0"/>
    <n v="0"/>
    <n v="0"/>
    <n v="0"/>
    <n v="0"/>
    <n v="0"/>
    <n v="0"/>
    <n v="0"/>
    <n v="0"/>
    <n v="0"/>
    <n v="0"/>
    <n v="0"/>
    <n v="0"/>
    <n v="0"/>
    <n v="20.22"/>
    <n v="0"/>
    <n v="0"/>
    <n v="0"/>
    <n v="0"/>
    <n v="0"/>
    <n v="20.22"/>
    <m/>
    <m/>
    <m/>
    <m/>
    <m/>
    <m/>
    <m/>
    <m/>
    <s v="1"/>
    <s v="1"/>
    <s v="1"/>
    <s v="1"/>
    <s v="1"/>
    <m/>
    <m/>
    <m/>
    <m/>
    <m/>
    <m/>
    <m/>
    <m/>
    <m/>
    <m/>
    <m/>
    <m/>
    <m/>
    <m/>
  </r>
  <r>
    <n v="742"/>
    <d v="2025-01-22T00:00:00"/>
    <s v="ZBTO"/>
    <n v="9518451356"/>
    <n v="11"/>
    <s v="9518451356-11"/>
    <s v="No Priority"/>
    <x v="0"/>
    <m/>
    <x v="1"/>
    <x v="11"/>
    <s v="2000-BPRS"/>
    <m/>
    <x v="0"/>
    <m/>
    <m/>
    <s v="Karnataka"/>
    <s v="South"/>
    <s v="YESHWANTHPURA"/>
    <s v="Coil"/>
    <n v="932244"/>
    <s v="DURGA TRADERS"/>
    <n v="2420521"/>
    <s v="CRCA COIL TATXXD AH03 1.200X1250"/>
    <s v=" "/>
    <s v=""/>
    <n v="2"/>
    <n v="26"/>
    <s v="Wider"/>
    <s v="C01"/>
    <s v="TATXXD"/>
    <s v="AH03"/>
    <n v="1.2"/>
    <n v="1250"/>
    <n v="0"/>
    <n v="145"/>
    <n v="119.47499999999999"/>
    <n v="25.524999999999999"/>
    <n v="25.524999999999999"/>
    <n v="25.524999999999999"/>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1T00:00:00"/>
    <s v="ZBTO"/>
    <n v="9518510371"/>
    <n v="5"/>
    <s v="9518510371-5"/>
    <s v="No Priority"/>
    <x v="0"/>
    <m/>
    <x v="1"/>
    <x v="1"/>
    <n v="2000"/>
    <m/>
    <x v="0"/>
    <m/>
    <m/>
    <s v="Uttar Pradesh"/>
    <s v="North"/>
    <s v="GORAKHPUR"/>
    <s v="Sheet"/>
    <n v="115841"/>
    <s v="O.V.S. ISPAT UDYOG"/>
    <n v="322575"/>
    <s v="CRCA SHEET TATCRC TR15 .7X1250X2500"/>
    <s v=""/>
    <s v=""/>
    <m/>
    <m/>
    <s v="Wider"/>
    <s v="C06"/>
    <s v="TATCRC"/>
    <s v="TR15"/>
    <n v="0.7"/>
    <n v="1250"/>
    <n v="2500"/>
    <n v="39"/>
    <n v="26.484999999999999"/>
    <n v="12.515000000000001"/>
    <n v="12.515000000000001"/>
    <n v="12.515000000000001"/>
    <n v="12.515000000000001"/>
    <n v="0"/>
    <n v="0"/>
    <n v="0"/>
    <n v="0"/>
    <n v="0"/>
    <n v="0"/>
    <n v="0"/>
    <n v="0"/>
    <n v="0"/>
    <n v="0"/>
    <n v="0"/>
    <n v="0"/>
    <n v="0"/>
    <n v="0"/>
    <n v="0"/>
    <n v="0"/>
    <n v="0"/>
    <n v="0"/>
    <n v="0"/>
    <n v="0"/>
    <n v="0"/>
    <n v="0"/>
    <n v="0"/>
    <n v="0"/>
    <n v="0"/>
    <n v="0"/>
    <n v="0"/>
    <n v="0"/>
    <n v="0"/>
    <n v="0"/>
    <n v="0"/>
    <n v="0"/>
    <n v="0"/>
    <n v="0"/>
    <n v="0"/>
    <n v="0"/>
    <n v="0"/>
    <n v="0"/>
    <n v="26.485000000000003"/>
    <n v="0"/>
    <n v="0"/>
    <n v="0"/>
    <n v="0"/>
    <n v="0"/>
    <n v="26.485000000000003"/>
    <m/>
    <m/>
    <m/>
    <m/>
    <m/>
    <m/>
    <m/>
    <m/>
    <s v="1"/>
    <s v="1"/>
    <s v="1"/>
    <s v="1"/>
    <s v="1"/>
    <m/>
    <m/>
    <m/>
    <m/>
    <m/>
    <m/>
    <m/>
    <m/>
    <m/>
    <m/>
    <m/>
    <m/>
    <m/>
    <m/>
  </r>
  <r>
    <n v="742"/>
    <d v="2025-02-09T00:00:00"/>
    <s v="ZBTO"/>
    <n v="9518505599"/>
    <n v="4"/>
    <s v="9518505599-4"/>
    <s v="No Priority"/>
    <x v="0"/>
    <m/>
    <x v="1"/>
    <x v="1"/>
    <s v="2000-BPRS"/>
    <m/>
    <x v="0"/>
    <m/>
    <s v="De-prioritized due to narrow HR unavailability"/>
    <s v="Telangana"/>
    <s v="South"/>
    <s v="PATTANCHERY"/>
    <s v="Coil"/>
    <n v="939422"/>
    <s v="VIJAY VENKAT STEELS PRIVATE LIMITED"/>
    <n v="215066"/>
    <s v="CRSHEET-ICF  DQ TATXXD AU03 0.90 X 1220"/>
    <s v=" "/>
    <s v=""/>
    <n v="18"/>
    <n v="30"/>
    <s v="Wider"/>
    <s v="C01"/>
    <s v="TATXXD"/>
    <s v="AU03"/>
    <n v="0.9"/>
    <n v="1220"/>
    <n v="0"/>
    <n v="56"/>
    <n v="20.79"/>
    <n v="35.21"/>
    <n v="35.21"/>
    <n v="35.21"/>
    <n v="35.2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3T00:00:00"/>
    <s v="ZBTO"/>
    <n v="9518403237"/>
    <n v="6"/>
    <s v="9518403237-6"/>
    <s v="No Priority"/>
    <x v="0"/>
    <m/>
    <x v="1"/>
    <x v="2"/>
    <n v="2000"/>
    <m/>
    <x v="0"/>
    <m/>
    <m/>
    <s v="Jharkhand"/>
    <s v="East"/>
    <s v="BOKARO STEEL CY"/>
    <s v="Sheet"/>
    <n v="121328"/>
    <s v="R. S. BOKARO METAL (P) LTD."/>
    <n v="3152199"/>
    <s v="CRCA SHEET TATCRC SR16 0.430X1000X2500"/>
    <s v=""/>
    <s v=""/>
    <m/>
    <m/>
    <s v="Narrow"/>
    <s v="C06"/>
    <s v="TATCRC"/>
    <s v="SR16"/>
    <n v="0.43"/>
    <n v="1000"/>
    <n v="2500"/>
    <n v="23"/>
    <n v="0"/>
    <n v="23"/>
    <n v="0.25"/>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6T00:00:00"/>
    <s v="ZBTO"/>
    <n v="9518499138"/>
    <n v="7"/>
    <s v="9518499138-7"/>
    <s v="May'25"/>
    <x v="0"/>
    <m/>
    <x v="1"/>
    <x v="2"/>
    <n v="2000"/>
    <m/>
    <x v="1"/>
    <m/>
    <m/>
    <s v="Jharkhand"/>
    <s v="East"/>
    <s v="BOKARO STEEL CY"/>
    <s v="Sheet"/>
    <n v="121328"/>
    <s v="R. S. BOKARO METAL (P) LTD."/>
    <n v="3152199"/>
    <s v="CRCA SHEET TATCRC SR16 0.430X1000X2500"/>
    <s v=""/>
    <s v=""/>
    <m/>
    <m/>
    <s v="Narrow"/>
    <s v="C06"/>
    <s v="TATCRC"/>
    <s v="SR16"/>
    <n v="0.43"/>
    <n v="1000"/>
    <n v="2500"/>
    <n v="60"/>
    <n v="0"/>
    <n v="60"/>
    <n v="-6.94"/>
    <n v="0"/>
    <n v="39.590000000000003"/>
    <n v="0"/>
    <n v="0"/>
    <n v="0"/>
    <n v="0"/>
    <n v="0"/>
    <n v="0"/>
    <n v="0"/>
    <n v="0"/>
    <n v="0"/>
    <n v="0"/>
    <n v="0"/>
    <n v="0"/>
    <n v="0"/>
    <n v="0"/>
    <n v="43.88"/>
    <n v="0"/>
    <n v="0"/>
    <n v="0"/>
    <n v="0"/>
    <n v="43.88"/>
    <n v="43.88"/>
    <n v="0"/>
    <n v="43.88"/>
    <n v="0"/>
    <n v="0"/>
    <n v="39.590000000000003"/>
    <n v="39.590000000000003"/>
    <n v="0"/>
    <n v="0"/>
    <n v="0"/>
    <n v="0"/>
    <n v="0"/>
    <n v="0"/>
    <n v="0"/>
    <n v="0"/>
    <n v="0"/>
    <n v="0"/>
    <n v="39.590000000000003"/>
    <n v="0"/>
    <n v="0"/>
    <n v="0"/>
    <n v="0"/>
    <n v="0"/>
    <n v="0"/>
    <n v="0"/>
    <m/>
    <m/>
    <m/>
    <m/>
    <m/>
    <m/>
    <m/>
    <m/>
    <s v="0"/>
    <s v="1"/>
    <s v="1"/>
    <s v="1"/>
    <s v="1"/>
    <m/>
    <m/>
    <m/>
    <m/>
    <m/>
    <m/>
    <m/>
    <m/>
    <m/>
    <m/>
    <m/>
    <m/>
    <m/>
    <m/>
  </r>
  <r>
    <n v="743"/>
    <d v="2025-02-14T00:00:00"/>
    <s v="ZBTO"/>
    <n v="9518519620"/>
    <n v="5"/>
    <s v="9518519620-5"/>
    <s v="Stocks"/>
    <x v="0"/>
    <m/>
    <x v="3"/>
    <x v="9"/>
    <n v="2000"/>
    <m/>
    <x v="1"/>
    <m/>
    <m/>
    <s v="Bihar"/>
    <s v="East"/>
    <s v="PATNA"/>
    <s v="Coil"/>
    <n v="103227"/>
    <s v="BMW VENTURES LIMITED"/>
    <n v="1854424"/>
    <s v="GP COIL SOFT-TATXGP-GK09-0.6X900"/>
    <n v="80"/>
    <s v=""/>
    <m/>
    <m/>
    <s v="Narrow"/>
    <s v="C02"/>
    <s v="TATXGP"/>
    <s v="GK09"/>
    <n v="0.6"/>
    <n v="900"/>
    <n v="0"/>
    <n v="210"/>
    <n v="0"/>
    <n v="210"/>
    <n v="210"/>
    <n v="0"/>
    <n v="16.295000000000002"/>
    <n v="0"/>
    <n v="0"/>
    <n v="0"/>
    <n v="0"/>
    <n v="0"/>
    <n v="0"/>
    <n v="0.99"/>
    <n v="0"/>
    <n v="0"/>
    <n v="0"/>
    <n v="0"/>
    <n v="0"/>
    <n v="0"/>
    <n v="0"/>
    <n v="0"/>
    <n v="0"/>
    <n v="0"/>
    <n v="0"/>
    <n v="0"/>
    <n v="0.99"/>
    <n v="0.99"/>
    <n v="210"/>
    <n v="210.99"/>
    <n v="0"/>
    <n v="51.834999999999994"/>
    <n v="0"/>
    <n v="0"/>
    <n v="0"/>
    <n v="0"/>
    <n v="0"/>
    <n v="0"/>
    <n v="0"/>
    <n v="0"/>
    <n v="0"/>
    <n v="0"/>
    <n v="0"/>
    <n v="0"/>
    <n v="51.834999999999994"/>
    <n v="0"/>
    <n v="0"/>
    <n v="0"/>
    <n v="0"/>
    <n v="0"/>
    <n v="0"/>
    <n v="0"/>
    <m/>
    <m/>
    <m/>
    <m/>
    <m/>
    <m/>
    <m/>
    <m/>
    <s v="1"/>
    <s v="1"/>
    <s v="1"/>
    <s v="1"/>
    <s v="1"/>
    <m/>
    <m/>
    <m/>
    <m/>
    <m/>
    <m/>
    <m/>
    <m/>
    <m/>
    <m/>
    <m/>
    <m/>
    <m/>
    <m/>
  </r>
  <r>
    <n v="743"/>
    <d v="2025-01-13T00:00:00"/>
    <s v="ZBTO"/>
    <n v="9518424820"/>
    <n v="7"/>
    <s v="9518424820-7"/>
    <s v="Stocks"/>
    <x v="0"/>
    <m/>
    <x v="3"/>
    <x v="9"/>
    <n v="2000"/>
    <m/>
    <x v="1"/>
    <m/>
    <m/>
    <s v="West Bengal"/>
    <s v="East"/>
    <s v="KOLKATA"/>
    <s v="Coil"/>
    <n v="100922"/>
    <s v="BUBNA COMMERCIAL COMPANY"/>
    <n v="3215894"/>
    <s v="GP COIL SOFT-TATXGP-GLK1-0.6X900"/>
    <s v=""/>
    <s v=""/>
    <m/>
    <m/>
    <s v="Narrow"/>
    <s v="C02"/>
    <s v="TATXGP"/>
    <s v="GLK1"/>
    <n v="0.6"/>
    <n v="900"/>
    <n v="0"/>
    <n v="105"/>
    <n v="15.17"/>
    <n v="89.83"/>
    <n v="2.9249999999999998"/>
    <n v="89.83"/>
    <n v="0"/>
    <n v="0"/>
    <n v="0"/>
    <n v="0"/>
    <n v="0"/>
    <n v="0"/>
    <n v="0"/>
    <n v="0"/>
    <n v="0"/>
    <n v="0"/>
    <n v="0"/>
    <n v="0"/>
    <n v="0"/>
    <n v="0"/>
    <n v="0"/>
    <n v="0"/>
    <n v="0"/>
    <n v="0"/>
    <n v="0"/>
    <n v="0"/>
    <n v="0"/>
    <n v="0"/>
    <n v="0"/>
    <n v="0"/>
    <n v="0"/>
    <n v="31.17"/>
    <n v="0"/>
    <n v="0"/>
    <n v="0"/>
    <n v="0"/>
    <n v="0"/>
    <n v="0"/>
    <n v="0"/>
    <n v="0"/>
    <n v="0"/>
    <n v="0"/>
    <n v="0"/>
    <n v="0"/>
    <n v="31.17"/>
    <n v="0"/>
    <n v="0"/>
    <n v="0"/>
    <n v="0"/>
    <n v="0"/>
    <n v="0"/>
    <n v="0"/>
    <m/>
    <m/>
    <m/>
    <m/>
    <m/>
    <m/>
    <m/>
    <m/>
    <s v="1"/>
    <s v="1"/>
    <s v="1"/>
    <s v="1"/>
    <s v="1"/>
    <m/>
    <m/>
    <m/>
    <m/>
    <m/>
    <m/>
    <m/>
    <m/>
    <m/>
    <m/>
    <m/>
    <m/>
    <m/>
    <m/>
  </r>
  <r>
    <n v="742"/>
    <d v="2025-02-14T00:00:00"/>
    <s v="ZBTO"/>
    <n v="9518518311"/>
    <n v="3"/>
    <s v="9518518311-3"/>
    <s v="May'25"/>
    <x v="0"/>
    <m/>
    <x v="1"/>
    <x v="1"/>
    <n v="2000"/>
    <m/>
    <x v="1"/>
    <m/>
    <s v="Exp BTF &lt;17MT"/>
    <s v="Telangana"/>
    <s v="South"/>
    <s v="SANGAREDDY"/>
    <s v="Coil"/>
    <n v="947126"/>
    <s v="RAVINDRA IRON WORKS"/>
    <n v="1804908"/>
    <s v="CRCA COIL TATCRC TR15 0.5X1250"/>
    <s v=""/>
    <s v=""/>
    <m/>
    <m/>
    <s v="Wider"/>
    <s v="C01"/>
    <s v="TATCRC"/>
    <s v="TR15"/>
    <n v="0.5"/>
    <n v="1250"/>
    <n v="0"/>
    <n v="87"/>
    <n v="0"/>
    <n v="87"/>
    <n v="4.82"/>
    <n v="32.129999999999995"/>
    <n v="61.61"/>
    <n v="0"/>
    <n v="0"/>
    <n v="0"/>
    <n v="0"/>
    <n v="0"/>
    <n v="0"/>
    <n v="0"/>
    <n v="0"/>
    <n v="0"/>
    <n v="0"/>
    <n v="0"/>
    <n v="0"/>
    <n v="54.870000000000005"/>
    <n v="0"/>
    <n v="0"/>
    <n v="0"/>
    <n v="0"/>
    <n v="0"/>
    <n v="0"/>
    <n v="54.870000000000005"/>
    <n v="54.870000000000005"/>
    <n v="0"/>
    <n v="54.870000000000005"/>
    <n v="0"/>
    <n v="0"/>
    <n v="61.61"/>
    <n v="0"/>
    <n v="61.61"/>
    <n v="0"/>
    <n v="0"/>
    <n v="0"/>
    <n v="61.61"/>
    <n v="0"/>
    <n v="61.61"/>
    <n v="0"/>
    <n v="0"/>
    <n v="0"/>
    <n v="0"/>
    <n v="0"/>
    <n v="0"/>
    <n v="0"/>
    <n v="0"/>
    <n v="0"/>
    <n v="0"/>
    <n v="0"/>
    <m/>
    <m/>
    <m/>
    <m/>
    <m/>
    <m/>
    <m/>
    <m/>
    <s v="1"/>
    <s v="0"/>
    <s v="1"/>
    <s v="1"/>
    <s v="1"/>
    <m/>
    <m/>
    <m/>
    <m/>
    <m/>
    <m/>
    <m/>
    <m/>
    <m/>
    <m/>
    <m/>
    <m/>
    <m/>
    <m/>
  </r>
  <r>
    <n v="742"/>
    <d v="2025-02-14T00:00:00"/>
    <s v="ZBTO"/>
    <n v="9518518311"/>
    <n v="7"/>
    <s v="9518518311-7"/>
    <s v="Mar'25"/>
    <x v="0"/>
    <m/>
    <x v="1"/>
    <x v="1"/>
    <n v="2000"/>
    <m/>
    <x v="1"/>
    <m/>
    <m/>
    <s v="Telangana"/>
    <s v="South"/>
    <s v="SANGAREDDY"/>
    <s v="Coil"/>
    <n v="947126"/>
    <s v="RAVINDRA IRON WORKS"/>
    <n v="2398457"/>
    <s v="CRCA COIL TATXXD AU03 1X1320"/>
    <s v=""/>
    <s v=""/>
    <m/>
    <m/>
    <s v="Wider"/>
    <s v="C01"/>
    <s v="TATXXD"/>
    <s v="AU03"/>
    <n v="1"/>
    <n v="1320"/>
    <n v="0"/>
    <n v="210"/>
    <n v="184.95"/>
    <n v="25.05"/>
    <n v="25.05"/>
    <n v="-3.7800000000000011"/>
    <n v="25.05"/>
    <n v="0"/>
    <n v="0"/>
    <n v="0"/>
    <n v="0"/>
    <n v="0"/>
    <n v="0"/>
    <n v="0"/>
    <n v="0"/>
    <n v="0"/>
    <n v="0"/>
    <n v="0"/>
    <n v="0"/>
    <n v="28.830000000000002"/>
    <n v="0"/>
    <n v="0"/>
    <n v="0"/>
    <n v="0"/>
    <n v="0"/>
    <n v="0"/>
    <n v="28.830000000000002"/>
    <n v="28.830000000000002"/>
    <n v="0"/>
    <n v="28.830000000000002"/>
    <n v="0"/>
    <n v="0"/>
    <n v="25.05"/>
    <n v="0"/>
    <n v="25.05"/>
    <n v="0"/>
    <n v="0"/>
    <n v="0"/>
    <n v="25.05"/>
    <n v="0"/>
    <n v="25.05"/>
    <n v="0"/>
    <n v="0"/>
    <n v="0"/>
    <n v="0"/>
    <n v="0"/>
    <n v="0"/>
    <n v="0"/>
    <n v="0"/>
    <n v="0"/>
    <n v="0"/>
    <n v="0"/>
    <m/>
    <m/>
    <m/>
    <m/>
    <m/>
    <m/>
    <m/>
    <m/>
    <s v="1"/>
    <s v="0"/>
    <s v="1"/>
    <s v="1"/>
    <s v="1"/>
    <m/>
    <m/>
    <m/>
    <m/>
    <m/>
    <m/>
    <m/>
    <m/>
    <m/>
    <m/>
    <m/>
    <m/>
    <m/>
    <m/>
  </r>
  <r>
    <n v="742"/>
    <d v="2025-02-10T00:00:00"/>
    <s v="ZBTO"/>
    <n v="9518507185"/>
    <n v="6"/>
    <s v="9518507185-6"/>
    <s v="Mar'25"/>
    <x v="0"/>
    <m/>
    <x v="1"/>
    <x v="2"/>
    <n v="2000"/>
    <m/>
    <x v="1"/>
    <m/>
    <m/>
    <s v="Jharkhand"/>
    <s v="East"/>
    <s v="WEST BOKARO"/>
    <s v="Sheet"/>
    <n v="185794"/>
    <s v="Shree Bajrang Steel Udyog"/>
    <n v="3239567"/>
    <s v="CRCA SHEET TATCRC SR16 0.450X1000X2500"/>
    <s v=""/>
    <s v=""/>
    <m/>
    <m/>
    <s v="Narrow"/>
    <s v="C06"/>
    <s v="TATCRC"/>
    <s v="SR16"/>
    <n v="0.45"/>
    <n v="1000"/>
    <n v="2500"/>
    <n v="39"/>
    <n v="0"/>
    <n v="39"/>
    <n v="16.739999999999998"/>
    <n v="16.599999999999998"/>
    <n v="18.18"/>
    <n v="0"/>
    <n v="0"/>
    <n v="0"/>
    <n v="0"/>
    <n v="0"/>
    <n v="0"/>
    <n v="0"/>
    <n v="0"/>
    <n v="0"/>
    <n v="0"/>
    <n v="0"/>
    <n v="0"/>
    <n v="0"/>
    <n v="22.400000000000002"/>
    <n v="0"/>
    <n v="0"/>
    <n v="0"/>
    <n v="0"/>
    <n v="0"/>
    <n v="22.400000000000002"/>
    <n v="22.400000000000002"/>
    <n v="0"/>
    <n v="22.400000000000002"/>
    <n v="0"/>
    <n v="2.97"/>
    <n v="18.18"/>
    <n v="0"/>
    <n v="18.18"/>
    <n v="0"/>
    <n v="0"/>
    <n v="0"/>
    <n v="18.18"/>
    <n v="0"/>
    <n v="18.18"/>
    <n v="0"/>
    <n v="0"/>
    <n v="0"/>
    <n v="2.9699999999999989"/>
    <n v="0"/>
    <n v="0"/>
    <n v="0"/>
    <n v="0"/>
    <n v="0"/>
    <n v="0"/>
    <n v="0"/>
    <m/>
    <m/>
    <m/>
    <m/>
    <m/>
    <m/>
    <m/>
    <m/>
    <s v="1"/>
    <s v="0"/>
    <s v="1"/>
    <s v="1"/>
    <s v="1"/>
    <m/>
    <m/>
    <m/>
    <m/>
    <m/>
    <m/>
    <m/>
    <m/>
    <m/>
    <m/>
    <m/>
    <m/>
    <m/>
    <m/>
  </r>
  <r>
    <n v="743"/>
    <d v="2025-02-10T00:00:00"/>
    <s v="ZBTO"/>
    <n v="9518508377"/>
    <n v="13"/>
    <s v="9518508377-13"/>
    <s v="No Priority"/>
    <x v="0"/>
    <m/>
    <x v="3"/>
    <x v="9"/>
    <n v="2000"/>
    <m/>
    <x v="0"/>
    <m/>
    <m/>
    <s v="Jharkhand"/>
    <s v="East"/>
    <s v="WEST BOKARO"/>
    <s v="Coil"/>
    <n v="185794"/>
    <s v="Shree Bajrang Steel Udyog"/>
    <n v="1854424"/>
    <s v="GP COIL SOFT-TATXGP-GK09-0.6X900"/>
    <n v="80"/>
    <s v=""/>
    <m/>
    <m/>
    <s v="Narrow"/>
    <s v="C02"/>
    <s v="TATXGP"/>
    <s v="GK09"/>
    <n v="0.6"/>
    <n v="900"/>
    <n v="0"/>
    <n v="168"/>
    <n v="14.46"/>
    <n v="153.54"/>
    <n v="91.94"/>
    <n v="0"/>
    <n v="2.5249999999999999"/>
    <n v="0"/>
    <n v="0"/>
    <n v="0"/>
    <n v="0"/>
    <n v="0"/>
    <n v="0"/>
    <n v="0"/>
    <n v="0"/>
    <n v="0"/>
    <n v="0"/>
    <n v="0"/>
    <n v="0"/>
    <n v="0"/>
    <n v="0"/>
    <n v="0"/>
    <n v="0"/>
    <n v="0"/>
    <n v="0"/>
    <n v="0"/>
    <n v="0"/>
    <n v="0"/>
    <n v="92"/>
    <n v="92"/>
    <n v="0"/>
    <n v="0"/>
    <n v="0"/>
    <n v="0"/>
    <n v="0"/>
    <n v="0"/>
    <n v="0"/>
    <n v="0"/>
    <n v="0"/>
    <n v="0"/>
    <n v="0"/>
    <n v="0"/>
    <n v="0"/>
    <n v="0"/>
    <n v="0"/>
    <n v="0"/>
    <n v="0"/>
    <n v="0"/>
    <n v="0"/>
    <n v="0"/>
    <n v="0"/>
    <n v="0"/>
    <m/>
    <m/>
    <m/>
    <m/>
    <m/>
    <m/>
    <m/>
    <m/>
    <s v="1"/>
    <s v="1"/>
    <s v="1"/>
    <s v="1"/>
    <s v="1"/>
    <m/>
    <m/>
    <m/>
    <m/>
    <m/>
    <m/>
    <m/>
    <m/>
    <m/>
    <m/>
    <m/>
    <m/>
    <m/>
    <m/>
  </r>
  <r>
    <n v="743"/>
    <d v="2025-02-14T00:00:00"/>
    <s v="ZBTO"/>
    <n v="9518519620"/>
    <n v="6"/>
    <s v="9518519620-6"/>
    <s v="No Priority"/>
    <x v="0"/>
    <m/>
    <x v="3"/>
    <x v="9"/>
    <n v="2000"/>
    <m/>
    <x v="0"/>
    <m/>
    <m/>
    <s v="Bihar"/>
    <s v="East"/>
    <s v="PATNA"/>
    <s v="Coil"/>
    <n v="103227"/>
    <s v="BMW VENTURES LIMITED"/>
    <n v="1854429"/>
    <s v="GP COIL SOFT-TATXGP-GK09-0.63X900"/>
    <n v="80"/>
    <s v=""/>
    <m/>
    <m/>
    <s v="Narrow"/>
    <s v="C02"/>
    <s v="TATXGP"/>
    <s v="GK09"/>
    <n v="0.63"/>
    <n v="900"/>
    <n v="0"/>
    <n v="84"/>
    <n v="0"/>
    <n v="84"/>
    <n v="84"/>
    <n v="0"/>
    <n v="6.25"/>
    <n v="0"/>
    <n v="0"/>
    <n v="0"/>
    <n v="0"/>
    <n v="0"/>
    <n v="0"/>
    <n v="0"/>
    <n v="0"/>
    <n v="0"/>
    <n v="0"/>
    <n v="0"/>
    <n v="0"/>
    <n v="0"/>
    <n v="0"/>
    <n v="0"/>
    <n v="0"/>
    <n v="0"/>
    <n v="0"/>
    <n v="0"/>
    <n v="0"/>
    <n v="0"/>
    <n v="84"/>
    <n v="84"/>
    <n v="0"/>
    <n v="0"/>
    <n v="0"/>
    <n v="0"/>
    <n v="0"/>
    <n v="0"/>
    <n v="0"/>
    <n v="0"/>
    <n v="0"/>
    <n v="0"/>
    <n v="0"/>
    <n v="0"/>
    <n v="0"/>
    <n v="0"/>
    <n v="0"/>
    <n v="0"/>
    <n v="0"/>
    <n v="0"/>
    <n v="0"/>
    <n v="0"/>
    <n v="0"/>
    <n v="0"/>
    <m/>
    <m/>
    <m/>
    <m/>
    <m/>
    <m/>
    <m/>
    <m/>
    <s v="1"/>
    <s v="1"/>
    <s v="1"/>
    <s v="1"/>
    <s v="1"/>
    <m/>
    <m/>
    <m/>
    <m/>
    <m/>
    <m/>
    <m/>
    <m/>
    <m/>
    <m/>
    <m/>
    <m/>
    <m/>
    <m/>
  </r>
  <r>
    <n v="742"/>
    <d v="2025-01-13T00:00:00"/>
    <s v="ZBTO"/>
    <n v="9518425909"/>
    <n v="5"/>
    <s v="9518425909-5"/>
    <s v="No Priority"/>
    <x v="0"/>
    <m/>
    <x v="1"/>
    <x v="2"/>
    <n v="2000"/>
    <m/>
    <x v="0"/>
    <m/>
    <m/>
    <s v="Andhra Pradesh"/>
    <s v="South"/>
    <s v="VISHAKHAPATNAM"/>
    <s v="Sheet"/>
    <n v="946077"/>
    <s v="SITARAM IRON AND STEEL PVT LTD"/>
    <n v="3239559"/>
    <s v="CRCA SHEET TATCRC SR16 0.450X900X2440"/>
    <s v=""/>
    <s v=""/>
    <m/>
    <m/>
    <s v="Narrow"/>
    <s v="C06"/>
    <s v="TATCRC"/>
    <s v="SR16"/>
    <n v="0.45"/>
    <n v="900"/>
    <n v="2440"/>
    <n v="21"/>
    <n v="18.434999999999999"/>
    <n v="2.5649999999999999"/>
    <n v="2.5649999999999999"/>
    <n v="0"/>
    <n v="0"/>
    <n v="0"/>
    <n v="0"/>
    <n v="0"/>
    <n v="0"/>
    <n v="0"/>
    <n v="0"/>
    <n v="0"/>
    <n v="0"/>
    <n v="0"/>
    <n v="0"/>
    <n v="0"/>
    <n v="0"/>
    <n v="0"/>
    <n v="0"/>
    <n v="0"/>
    <n v="0"/>
    <n v="0"/>
    <n v="0"/>
    <n v="0"/>
    <n v="0"/>
    <n v="0"/>
    <n v="0"/>
    <n v="0"/>
    <n v="0"/>
    <n v="0"/>
    <n v="0"/>
    <n v="0"/>
    <n v="0"/>
    <n v="0"/>
    <n v="0"/>
    <n v="0"/>
    <n v="0"/>
    <n v="0"/>
    <n v="0"/>
    <n v="0"/>
    <n v="0"/>
    <n v="0"/>
    <n v="0"/>
    <n v="18.435000000000002"/>
    <n v="0"/>
    <n v="0"/>
    <n v="0"/>
    <n v="0"/>
    <n v="0"/>
    <n v="18.435000000000002"/>
    <m/>
    <m/>
    <m/>
    <m/>
    <m/>
    <m/>
    <m/>
    <m/>
    <s v="1"/>
    <s v="1"/>
    <s v="1"/>
    <s v="1"/>
    <s v="1"/>
    <m/>
    <m/>
    <m/>
    <m/>
    <m/>
    <m/>
    <m/>
    <m/>
    <m/>
    <m/>
    <m/>
    <m/>
    <m/>
    <m/>
  </r>
  <r>
    <n v="742"/>
    <d v="2025-02-06T00:00:00"/>
    <s v="ZBTO"/>
    <n v="9518497626"/>
    <n v="5"/>
    <s v="9518497626-5"/>
    <s v="No Priority"/>
    <x v="0"/>
    <m/>
    <x v="1"/>
    <x v="2"/>
    <n v="2000"/>
    <m/>
    <x v="0"/>
    <m/>
    <s v="Exp BTF &lt;17MT"/>
    <s v="Andhra Pradesh"/>
    <s v="South"/>
    <s v="VISHAKHAPATNAM"/>
    <s v="Sheet"/>
    <n v="946077"/>
    <s v="SITARAM IRON AND STEEL PVT LTD"/>
    <n v="3239559"/>
    <s v="CRCA SHEET TATCRC SR16 0.450X900X2440"/>
    <s v=""/>
    <s v=""/>
    <m/>
    <m/>
    <s v="Narrow"/>
    <s v="C06"/>
    <s v="TATCRC"/>
    <s v="SR16"/>
    <n v="0.45"/>
    <n v="900"/>
    <n v="2440"/>
    <n v="42"/>
    <n v="37.575000000000003"/>
    <n v="4.4249999999999998"/>
    <n v="4.4249999999999998"/>
    <n v="4.4249999999999998"/>
    <n v="4.4249999999999998"/>
    <n v="0"/>
    <n v="0"/>
    <n v="0"/>
    <n v="0"/>
    <n v="0"/>
    <n v="0"/>
    <n v="0"/>
    <n v="0"/>
    <n v="0"/>
    <n v="0"/>
    <n v="0"/>
    <n v="0"/>
    <n v="0"/>
    <n v="0"/>
    <n v="0"/>
    <n v="0"/>
    <n v="0"/>
    <n v="0"/>
    <n v="0"/>
    <n v="0"/>
    <n v="0"/>
    <n v="0"/>
    <n v="0"/>
    <n v="0"/>
    <n v="0"/>
    <n v="0"/>
    <n v="0"/>
    <n v="0"/>
    <n v="0"/>
    <n v="0"/>
    <n v="0"/>
    <n v="0"/>
    <n v="0"/>
    <n v="0"/>
    <n v="0"/>
    <n v="0"/>
    <n v="0"/>
    <n v="0"/>
    <n v="37.574999999999996"/>
    <n v="0"/>
    <n v="0"/>
    <n v="0"/>
    <n v="0"/>
    <n v="0"/>
    <n v="37.574999999999996"/>
    <m/>
    <m/>
    <m/>
    <m/>
    <m/>
    <m/>
    <m/>
    <m/>
    <s v="1"/>
    <s v="1"/>
    <s v="1"/>
    <s v="1"/>
    <s v="1"/>
    <m/>
    <m/>
    <m/>
    <m/>
    <m/>
    <m/>
    <m/>
    <m/>
    <m/>
    <m/>
    <m/>
    <m/>
    <m/>
    <m/>
  </r>
  <r>
    <n v="742"/>
    <d v="2025-02-06T00:00:00"/>
    <s v="ZBTO"/>
    <n v="9518497626"/>
    <n v="7"/>
    <s v="9518497626-7"/>
    <s v="No Priority"/>
    <x v="0"/>
    <m/>
    <x v="1"/>
    <x v="2"/>
    <n v="2000"/>
    <m/>
    <x v="0"/>
    <m/>
    <m/>
    <s v="Andhra Pradesh"/>
    <s v="South"/>
    <s v="VISHAKHAPATNAM"/>
    <s v="Sheet"/>
    <n v="946077"/>
    <s v="SITARAM IRON AND STEEL PVT LTD"/>
    <n v="3411571"/>
    <s v="CRCA SHEET TSBCRC SR15 0.500X900X2440"/>
    <s v=""/>
    <s v=""/>
    <m/>
    <m/>
    <s v="Narrow"/>
    <s v="C06"/>
    <s v="TSBCRC"/>
    <s v="SR15"/>
    <n v="0.5"/>
    <n v="900"/>
    <n v="2440"/>
    <n v="21"/>
    <n v="17.79"/>
    <n v="3.21"/>
    <n v="3.21"/>
    <n v="3.21"/>
    <n v="3.21"/>
    <n v="0"/>
    <n v="0"/>
    <n v="0"/>
    <n v="0"/>
    <n v="0"/>
    <n v="0"/>
    <n v="0"/>
    <n v="0"/>
    <n v="0"/>
    <n v="0"/>
    <n v="0"/>
    <n v="0"/>
    <n v="0"/>
    <n v="0"/>
    <n v="0"/>
    <n v="0"/>
    <n v="0"/>
    <n v="0"/>
    <n v="0"/>
    <n v="0"/>
    <n v="0"/>
    <n v="0"/>
    <n v="0"/>
    <n v="0"/>
    <n v="0"/>
    <n v="0"/>
    <n v="0"/>
    <n v="0"/>
    <n v="0"/>
    <n v="0"/>
    <n v="0"/>
    <n v="0"/>
    <n v="0"/>
    <n v="0"/>
    <n v="0"/>
    <n v="0"/>
    <n v="0"/>
    <n v="0"/>
    <n v="17.790000000000003"/>
    <n v="0"/>
    <n v="0"/>
    <n v="0"/>
    <n v="0"/>
    <n v="0"/>
    <n v="17.790000000000003"/>
    <m/>
    <m/>
    <m/>
    <m/>
    <m/>
    <m/>
    <m/>
    <m/>
    <s v="1"/>
    <s v="1"/>
    <s v="1"/>
    <s v="1"/>
    <s v="1"/>
    <m/>
    <m/>
    <m/>
    <m/>
    <m/>
    <m/>
    <m/>
    <m/>
    <m/>
    <m/>
    <m/>
    <m/>
    <m/>
    <m/>
  </r>
  <r>
    <n v="742"/>
    <d v="2025-02-06T00:00:00"/>
    <s v="ZBTO"/>
    <n v="9518497626"/>
    <n v="8"/>
    <s v="9518497626-8"/>
    <s v="No Priority"/>
    <x v="0"/>
    <m/>
    <x v="1"/>
    <x v="2"/>
    <n v="2000"/>
    <m/>
    <x v="0"/>
    <m/>
    <m/>
    <s v="Andhra Pradesh"/>
    <s v="South"/>
    <s v="VISHAKHAPATNAM"/>
    <s v="Sheet"/>
    <n v="946077"/>
    <s v="SITARAM IRON AND STEEL PVT LTD"/>
    <n v="3240759"/>
    <s v="CRCA SHEET TSBCRC SR15 0.500X1000X2440"/>
    <s v=""/>
    <s v=""/>
    <m/>
    <m/>
    <s v="Narrow"/>
    <s v="C06"/>
    <s v="TSBCRC"/>
    <s v="SR15"/>
    <n v="0.5"/>
    <n v="1000"/>
    <n v="2440"/>
    <n v="21"/>
    <n v="20.215"/>
    <n v="0.78500000000000003"/>
    <n v="0.78500000000000003"/>
    <n v="0"/>
    <n v="0.78500000000000003"/>
    <n v="0"/>
    <n v="0"/>
    <n v="0"/>
    <n v="0"/>
    <n v="0"/>
    <n v="0"/>
    <n v="0"/>
    <n v="0"/>
    <n v="0"/>
    <n v="0"/>
    <n v="0"/>
    <n v="0"/>
    <n v="0"/>
    <n v="0"/>
    <n v="0"/>
    <n v="0"/>
    <n v="0"/>
    <n v="0"/>
    <n v="0"/>
    <n v="0"/>
    <n v="0"/>
    <n v="0"/>
    <n v="0"/>
    <n v="0"/>
    <n v="0"/>
    <n v="0"/>
    <n v="0"/>
    <n v="0"/>
    <n v="0"/>
    <n v="0"/>
    <n v="0"/>
    <n v="0"/>
    <n v="0"/>
    <n v="0"/>
    <n v="0"/>
    <n v="0"/>
    <n v="0"/>
    <n v="0"/>
    <n v="20.215"/>
    <n v="0"/>
    <n v="0"/>
    <n v="0"/>
    <n v="0"/>
    <n v="0"/>
    <n v="20.215"/>
    <m/>
    <m/>
    <m/>
    <m/>
    <m/>
    <m/>
    <m/>
    <m/>
    <s v="1"/>
    <s v="1"/>
    <s v="1"/>
    <s v="1"/>
    <s v="1"/>
    <m/>
    <m/>
    <m/>
    <m/>
    <m/>
    <m/>
    <m/>
    <m/>
    <m/>
    <m/>
    <m/>
    <m/>
    <m/>
    <m/>
  </r>
  <r>
    <n v="742"/>
    <d v="2025-02-06T00:00:00"/>
    <s v="ZBTO"/>
    <n v="9518497626"/>
    <n v="11"/>
    <s v="9518497626-11"/>
    <s v="No Priority"/>
    <x v="0"/>
    <m/>
    <x v="1"/>
    <x v="2"/>
    <n v="2000"/>
    <m/>
    <x v="0"/>
    <m/>
    <s v="De-prioritized due to narrow HR unavailability"/>
    <s v="Andhra Pradesh"/>
    <s v="South"/>
    <s v="VISHAKHAPATNAM"/>
    <s v="Sheet"/>
    <n v="946077"/>
    <s v="SITARAM IRON AND STEEL PVT LTD"/>
    <n v="3240776"/>
    <s v="CRCA SHEET TSBCRC SR15 0.600X1000X2440"/>
    <s v=""/>
    <s v=""/>
    <m/>
    <m/>
    <s v="Narrow"/>
    <s v="C06"/>
    <s v="TSBCRC"/>
    <s v="SR15"/>
    <n v="0.6"/>
    <n v="1000"/>
    <n v="2440"/>
    <n v="21"/>
    <n v="20.32"/>
    <n v="0.68"/>
    <n v="0.68"/>
    <n v="0"/>
    <n v="0.68"/>
    <n v="0"/>
    <n v="0"/>
    <n v="0"/>
    <n v="0"/>
    <n v="0"/>
    <n v="0"/>
    <n v="0"/>
    <n v="0"/>
    <n v="0"/>
    <n v="0"/>
    <n v="0"/>
    <n v="0"/>
    <n v="0"/>
    <n v="0"/>
    <n v="0"/>
    <n v="0"/>
    <n v="0"/>
    <n v="0"/>
    <n v="0"/>
    <n v="0"/>
    <n v="0"/>
    <n v="0"/>
    <n v="0"/>
    <n v="0"/>
    <n v="0"/>
    <n v="0"/>
    <n v="0"/>
    <n v="0"/>
    <n v="0"/>
    <n v="0"/>
    <n v="0"/>
    <n v="0"/>
    <n v="0"/>
    <n v="0"/>
    <n v="0"/>
    <n v="0"/>
    <n v="0"/>
    <n v="0"/>
    <n v="20.32"/>
    <n v="0"/>
    <n v="0"/>
    <n v="0"/>
    <n v="0"/>
    <n v="0"/>
    <n v="20.32"/>
    <m/>
    <m/>
    <m/>
    <m/>
    <m/>
    <m/>
    <m/>
    <m/>
    <s v="1"/>
    <s v="1"/>
    <s v="1"/>
    <s v="1"/>
    <s v="1"/>
    <m/>
    <m/>
    <m/>
    <m/>
    <m/>
    <m/>
    <m/>
    <m/>
    <m/>
    <m/>
    <m/>
    <m/>
    <m/>
    <m/>
  </r>
  <r>
    <n v="742"/>
    <d v="2025-02-05T00:00:00"/>
    <s v="ZBTO"/>
    <n v="9518494668"/>
    <n v="4"/>
    <s v="9518494668-4"/>
    <s v="No Priority"/>
    <x v="0"/>
    <m/>
    <x v="1"/>
    <x v="1"/>
    <n v="2000"/>
    <m/>
    <x v="0"/>
    <m/>
    <m/>
    <s v="Maharashtra"/>
    <s v="West"/>
    <s v="BOMBAY"/>
    <s v="Coil"/>
    <n v="120612"/>
    <s v="SKM STEELS LIMITED(CRCADIVISIO"/>
    <n v="2334995"/>
    <s v="CRCA COIL TATXXD AU03 1.500X1250"/>
    <s v=""/>
    <s v=""/>
    <m/>
    <m/>
    <s v="Wider"/>
    <s v="C01"/>
    <s v="TATXXD"/>
    <s v="AU03"/>
    <n v="1.5"/>
    <n v="1250"/>
    <n v="0"/>
    <n v="145"/>
    <n v="117.52"/>
    <n v="27.48"/>
    <n v="-19.87"/>
    <n v="0"/>
    <n v="27.4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9T00:00:00"/>
    <s v="ZBTO"/>
    <n v="9518533596"/>
    <n v="6"/>
    <s v="9518533596-6"/>
    <s v="No Priority"/>
    <x v="0"/>
    <m/>
    <x v="1"/>
    <x v="1"/>
    <n v="2000"/>
    <m/>
    <x v="0"/>
    <m/>
    <m/>
    <s v="West Bengal"/>
    <s v="East"/>
    <s v="JSR"/>
    <s v="Coil"/>
    <n v="155536"/>
    <s v="TATA STEEL DOWNSTREAM PRODUCTS"/>
    <n v="187538"/>
    <s v="CRSHEET-ICF TATXXD AU03 1.60X1250"/>
    <s v=""/>
    <s v=""/>
    <m/>
    <m/>
    <s v="Wider"/>
    <s v="C01"/>
    <s v="TATXXD"/>
    <s v="AU03"/>
    <n v="1.6"/>
    <n v="1250"/>
    <n v="0"/>
    <n v="116"/>
    <n v="72.56"/>
    <n v="43.44"/>
    <n v="-12.17"/>
    <n v="0"/>
    <n v="17.234999999999999"/>
    <n v="0"/>
    <n v="0"/>
    <n v="0"/>
    <n v="0"/>
    <n v="0"/>
    <n v="0"/>
    <n v="0"/>
    <n v="0"/>
    <n v="0"/>
    <n v="0"/>
    <n v="0"/>
    <n v="0"/>
    <n v="0"/>
    <n v="0"/>
    <n v="0"/>
    <n v="0"/>
    <n v="0"/>
    <n v="0"/>
    <n v="0"/>
    <n v="0"/>
    <n v="0"/>
    <n v="0"/>
    <n v="0"/>
    <n v="0"/>
    <n v="0"/>
    <n v="0"/>
    <n v="0"/>
    <n v="0"/>
    <n v="0"/>
    <n v="0"/>
    <n v="0"/>
    <n v="0"/>
    <n v="0"/>
    <n v="0"/>
    <n v="0"/>
    <n v="0"/>
    <n v="0"/>
    <n v="0"/>
    <n v="24.85"/>
    <n v="0"/>
    <n v="0"/>
    <n v="0"/>
    <n v="0"/>
    <n v="0"/>
    <n v="24.85"/>
    <m/>
    <m/>
    <m/>
    <m/>
    <m/>
    <m/>
    <m/>
    <m/>
    <s v="1"/>
    <s v="1"/>
    <s v="1"/>
    <s v="1"/>
    <s v="1"/>
    <m/>
    <m/>
    <m/>
    <m/>
    <m/>
    <m/>
    <m/>
    <m/>
    <m/>
    <m/>
    <m/>
    <m/>
    <m/>
    <m/>
  </r>
  <r>
    <n v="742"/>
    <d v="2025-02-05T00:00:00"/>
    <s v="ZBTO"/>
    <n v="9518495161"/>
    <n v="1"/>
    <s v="9518495161-1"/>
    <s v="Stocks"/>
    <x v="0"/>
    <m/>
    <x v="1"/>
    <x v="2"/>
    <n v="2000"/>
    <m/>
    <x v="1"/>
    <m/>
    <m/>
    <s v="Jharkhand"/>
    <s v="East"/>
    <s v="TATANAGAR"/>
    <s v="Sheet"/>
    <n v="165053"/>
    <s v="SUDISA ENTERPRISES (P) LTD."/>
    <n v="3239567"/>
    <s v="CRCA SHEET TATCRC SR16 0.450X1000X2500"/>
    <s v=""/>
    <s v=""/>
    <m/>
    <m/>
    <s v="Narrow"/>
    <s v="C06"/>
    <s v="TATCRC"/>
    <s v="SR16"/>
    <n v="0.45"/>
    <n v="1000"/>
    <n v="2500"/>
    <n v="21"/>
    <n v="0"/>
    <n v="21"/>
    <n v="-1.1100000000000001"/>
    <n v="0"/>
    <n v="0.14499999999999999"/>
    <n v="0"/>
    <n v="0"/>
    <n v="0"/>
    <n v="0"/>
    <n v="0"/>
    <n v="0"/>
    <n v="0"/>
    <n v="0"/>
    <n v="0"/>
    <n v="0"/>
    <n v="0"/>
    <n v="0"/>
    <n v="0"/>
    <n v="0"/>
    <n v="0"/>
    <n v="0"/>
    <n v="0"/>
    <n v="0"/>
    <n v="0"/>
    <n v="0"/>
    <n v="0"/>
    <n v="0"/>
    <n v="0"/>
    <n v="0"/>
    <n v="20.855"/>
    <n v="0"/>
    <n v="0"/>
    <n v="0"/>
    <n v="0"/>
    <n v="0"/>
    <n v="0"/>
    <n v="0"/>
    <n v="0"/>
    <n v="0"/>
    <n v="0"/>
    <n v="0"/>
    <n v="0"/>
    <n v="20.855"/>
    <n v="0"/>
    <n v="0"/>
    <n v="0"/>
    <n v="0"/>
    <n v="0"/>
    <n v="0"/>
    <n v="0"/>
    <m/>
    <m/>
    <m/>
    <m/>
    <m/>
    <m/>
    <m/>
    <m/>
    <s v="1"/>
    <s v="1"/>
    <s v="1"/>
    <s v="1"/>
    <s v="1"/>
    <m/>
    <m/>
    <m/>
    <m/>
    <m/>
    <m/>
    <m/>
    <m/>
    <m/>
    <m/>
    <m/>
    <m/>
    <m/>
    <m/>
  </r>
  <r>
    <n v="742"/>
    <d v="2025-02-05T00:00:00"/>
    <s v="ZBTO"/>
    <n v="9518495161"/>
    <n v="3"/>
    <s v="9518495161-3"/>
    <s v="No Priority"/>
    <x v="0"/>
    <m/>
    <x v="1"/>
    <x v="2"/>
    <n v="2000"/>
    <m/>
    <x v="0"/>
    <m/>
    <m/>
    <s v="Jharkhand"/>
    <s v="East"/>
    <s v="TATANAGAR"/>
    <s v="Sheet"/>
    <n v="165053"/>
    <s v="SUDISA ENTERPRISES (P) LTD."/>
    <n v="3410101"/>
    <s v="CRCA SHEET TSBCRC SR15 0.750X1000X2500"/>
    <s v=""/>
    <s v=""/>
    <m/>
    <m/>
    <s v="Narrow"/>
    <s v="C06"/>
    <s v="TSBCRC"/>
    <s v="SR15"/>
    <n v="0.75"/>
    <n v="1000"/>
    <n v="2500"/>
    <n v="21"/>
    <n v="20.555"/>
    <n v="0.44500000000000001"/>
    <n v="0.44500000000000001"/>
    <n v="0"/>
    <n v="0.44500000000000001"/>
    <n v="0"/>
    <n v="0"/>
    <n v="0"/>
    <n v="0"/>
    <n v="0"/>
    <n v="0"/>
    <n v="0"/>
    <n v="0"/>
    <n v="0"/>
    <n v="0"/>
    <n v="0"/>
    <n v="0"/>
    <n v="0"/>
    <n v="0"/>
    <n v="0"/>
    <n v="0"/>
    <n v="0"/>
    <n v="0"/>
    <n v="0"/>
    <n v="0"/>
    <n v="0"/>
    <n v="0"/>
    <n v="0"/>
    <n v="0"/>
    <n v="0"/>
    <n v="0"/>
    <n v="0"/>
    <n v="0"/>
    <n v="0"/>
    <n v="0"/>
    <n v="0"/>
    <n v="0"/>
    <n v="0"/>
    <n v="0"/>
    <n v="0"/>
    <n v="0"/>
    <n v="0"/>
    <n v="0"/>
    <n v="20.555000000000003"/>
    <n v="0"/>
    <n v="0"/>
    <n v="0"/>
    <n v="0"/>
    <n v="0"/>
    <n v="20.555000000000003"/>
    <m/>
    <m/>
    <m/>
    <m/>
    <m/>
    <m/>
    <m/>
    <m/>
    <s v="1"/>
    <s v="1"/>
    <s v="1"/>
    <s v="1"/>
    <s v="1"/>
    <m/>
    <m/>
    <m/>
    <m/>
    <m/>
    <m/>
    <m/>
    <m/>
    <m/>
    <m/>
    <m/>
    <m/>
    <m/>
    <m/>
  </r>
  <r>
    <n v="743"/>
    <d v="2025-02-06T00:00:00"/>
    <s v="ZBTO"/>
    <n v="9518497512"/>
    <n v="2"/>
    <s v="9518497512-2"/>
    <s v="No Priority"/>
    <x v="0"/>
    <m/>
    <x v="3"/>
    <x v="0"/>
    <n v="2000"/>
    <m/>
    <x v="0"/>
    <m/>
    <m/>
    <s v="Jharkhand"/>
    <s v="East"/>
    <s v="TATANAGAR"/>
    <s v="Coil"/>
    <n v="165053"/>
    <s v="SUDISA ENTERPRISES (P) LTD."/>
    <n v="1851836"/>
    <s v="GP COIL SOFT-TSBXGP-N1GP-0.3X900"/>
    <s v=""/>
    <s v=""/>
    <m/>
    <m/>
    <s v="Narrow"/>
    <s v="C02"/>
    <s v="TSBXGP"/>
    <s v="N1GP"/>
    <n v="0.3"/>
    <n v="900"/>
    <n v="0"/>
    <n v="21"/>
    <n v="0"/>
    <n v="21"/>
    <n v="0.56999999999999995"/>
    <n v="0"/>
    <n v="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2-06T00:00:00"/>
    <s v="ZBTO"/>
    <n v="9518497512"/>
    <n v="4"/>
    <s v="9518497512-4"/>
    <s v="No Priority"/>
    <x v="0"/>
    <m/>
    <x v="3"/>
    <x v="0"/>
    <n v="2000"/>
    <m/>
    <x v="0"/>
    <m/>
    <m/>
    <s v="Jharkhand"/>
    <s v="East"/>
    <s v="TATANAGAR"/>
    <s v="Coil"/>
    <n v="165053"/>
    <s v="SUDISA ENTERPRISES (P) LTD."/>
    <n v="1852246"/>
    <s v="GP COIL SOFT-TSBXGP-N1GP-0.5X900"/>
    <s v=""/>
    <s v=""/>
    <m/>
    <m/>
    <s v="Narrow"/>
    <s v="C02"/>
    <s v="TSBXGP"/>
    <s v="N1GP"/>
    <n v="0.5"/>
    <n v="900"/>
    <n v="0"/>
    <n v="21"/>
    <n v="0"/>
    <n v="21"/>
    <n v="0.24"/>
    <n v="0"/>
    <n v="1.445000000000000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1-23T00:00:00"/>
    <s v="ZBTO"/>
    <n v="9518453367"/>
    <n v="1"/>
    <s v="9518453367-1"/>
    <s v="No Priority"/>
    <x v="0"/>
    <m/>
    <x v="4"/>
    <x v="3"/>
    <n v="1000"/>
    <m/>
    <x v="0"/>
    <m/>
    <m/>
    <s v="Jharkhand"/>
    <s v="East"/>
    <s v="TATANAGAR"/>
    <s v="Coil"/>
    <n v="942284"/>
    <s v="TATA BLUESCOPE STEEL PRIVATE L"/>
    <n v="3909187"/>
    <s v="GL COIL HARD  Y550GL M306 0.350X1000"/>
    <n v="70"/>
    <s v=""/>
    <m/>
    <m/>
    <s v="Narrow"/>
    <s v="B04"/>
    <s v="Y550GL"/>
    <s v="M306"/>
    <n v="0.35"/>
    <n v="1000"/>
    <n v="0"/>
    <n v="23"/>
    <n v="0"/>
    <n v="23"/>
    <n v="23"/>
    <n v="23"/>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7T00:00:00"/>
    <s v="ZBTO"/>
    <n v="9518500267"/>
    <n v="6"/>
    <s v="9518500267-6"/>
    <s v="No Priority"/>
    <x v="0"/>
    <m/>
    <x v="1"/>
    <x v="11"/>
    <s v="2000-BPRS"/>
    <m/>
    <x v="0"/>
    <m/>
    <m/>
    <s v="Karnataka"/>
    <s v="South"/>
    <s v="YESHWANTHPURA"/>
    <s v="Coil"/>
    <n v="939268"/>
    <s v="TATA STEEL DOWNSTREAM PRODUCTS LIMI"/>
    <n v="2420618"/>
    <s v="CRCA COIL TATXXD AH03 2.450X1250"/>
    <s v=" "/>
    <s v=""/>
    <n v="2"/>
    <n v="26"/>
    <s v="Wider"/>
    <s v="C01"/>
    <s v="TATXXD"/>
    <s v="AH03"/>
    <n v="2.4500000000000002"/>
    <n v="1250"/>
    <n v="0"/>
    <n v="29"/>
    <n v="0"/>
    <n v="29"/>
    <n v="1.97"/>
    <n v="0"/>
    <n v="5.625"/>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2-19T00:00:00"/>
    <s v="ZBTO"/>
    <n v="9518532816"/>
    <n v="7"/>
    <s v="9518532816-7"/>
    <s v="No Priority"/>
    <x v="0"/>
    <m/>
    <x v="3"/>
    <x v="9"/>
    <n v="2000"/>
    <m/>
    <x v="1"/>
    <m/>
    <m/>
    <s v="Jharkhand"/>
    <s v="East"/>
    <s v="BOKARO STEEL CY"/>
    <s v="Coil"/>
    <n v="121328"/>
    <s v="R. S. BOKARO METAL (P) LTD."/>
    <n v="1854429"/>
    <s v="GP COIL SOFT-TATXGP-GK09-0.63X900"/>
    <n v="80"/>
    <s v=""/>
    <m/>
    <m/>
    <s v="Narrow"/>
    <s v="C02"/>
    <s v="TATXGP"/>
    <s v="GK09"/>
    <n v="0.63"/>
    <n v="900"/>
    <n v="0"/>
    <n v="21"/>
    <n v="0"/>
    <n v="21"/>
    <n v="21"/>
    <n v="0"/>
    <n v="21"/>
    <n v="0"/>
    <n v="0"/>
    <n v="0"/>
    <n v="0"/>
    <n v="0"/>
    <n v="0"/>
    <n v="0"/>
    <n v="0"/>
    <n v="0"/>
    <n v="0"/>
    <n v="0"/>
    <n v="0"/>
    <n v="0"/>
    <n v="0"/>
    <n v="0"/>
    <n v="0"/>
    <n v="0"/>
    <n v="0"/>
    <n v="0"/>
    <n v="0"/>
    <n v="0"/>
    <n v="21"/>
    <n v="21"/>
    <n v="0"/>
    <n v="0"/>
    <n v="21"/>
    <n v="0"/>
    <n v="21"/>
    <n v="0"/>
    <n v="0"/>
    <n v="0"/>
    <n v="21"/>
    <n v="0"/>
    <n v="21"/>
    <n v="0"/>
    <n v="0"/>
    <n v="0"/>
    <n v="0"/>
    <n v="0"/>
    <n v="0"/>
    <n v="0"/>
    <n v="0"/>
    <n v="0"/>
    <n v="0"/>
    <n v="0"/>
    <m/>
    <m/>
    <m/>
    <m/>
    <m/>
    <m/>
    <m/>
    <m/>
    <s v="1"/>
    <s v="0"/>
    <s v="1"/>
    <s v="1"/>
    <s v="1"/>
    <m/>
    <m/>
    <m/>
    <m/>
    <m/>
    <m/>
    <m/>
    <m/>
    <m/>
    <m/>
    <m/>
    <m/>
    <m/>
    <m/>
  </r>
  <r>
    <n v="744"/>
    <d v="2025-02-22T00:00:00"/>
    <s v="ZBTO"/>
    <n v="9518543125"/>
    <n v="5"/>
    <s v="9518543125-5"/>
    <s v="Apr'25 "/>
    <x v="0"/>
    <m/>
    <x v="2"/>
    <x v="3"/>
    <s v="1000-IPPE"/>
    <m/>
    <x v="1"/>
    <m/>
    <m/>
    <s v="Jharkhand"/>
    <s v="East"/>
    <s v="GAMHARIA"/>
    <s v="Coil"/>
    <n v="940016"/>
    <s v="TATA BLUESCOPE STEEL PVT LTD."/>
    <n v="3900141"/>
    <s v="PPGL C HARD Y550PL ISC6 0.430X1220"/>
    <s v="aZ70"/>
    <s v="PRO ROSY RED TSL 1920"/>
    <n v="3"/>
    <n v="5"/>
    <s v="Wider"/>
    <s v="B18"/>
    <s v="Y550PL"/>
    <s v="ISC6"/>
    <n v="0.43"/>
    <n v="1220"/>
    <n v="0"/>
    <n v="112"/>
    <n v="0"/>
    <n v="112"/>
    <n v="91.11"/>
    <n v="78.11"/>
    <n v="47.685000000000002"/>
    <n v="0"/>
    <n v="0"/>
    <n v="0"/>
    <n v="0"/>
    <n v="0"/>
    <n v="0"/>
    <n v="0"/>
    <n v="8.75"/>
    <n v="0"/>
    <n v="14.34"/>
    <n v="0"/>
    <n v="0"/>
    <n v="0"/>
    <n v="0"/>
    <n v="0"/>
    <n v="0"/>
    <n v="0"/>
    <n v="10.8"/>
    <n v="0"/>
    <n v="33.89"/>
    <n v="33.89"/>
    <n v="0"/>
    <n v="33.89"/>
    <n v="0"/>
    <n v="3.7450000000000001"/>
    <n v="47.685000000000002"/>
    <n v="0"/>
    <n v="0"/>
    <n v="47.685000000000002"/>
    <n v="0"/>
    <n v="0"/>
    <n v="0"/>
    <n v="0"/>
    <n v="0"/>
    <n v="0"/>
    <n v="0"/>
    <n v="0"/>
    <n v="51.43"/>
    <n v="0"/>
    <n v="0"/>
    <n v="0"/>
    <n v="0"/>
    <n v="0"/>
    <n v="0"/>
    <n v="0"/>
    <m/>
    <m/>
    <m/>
    <m/>
    <m/>
    <m/>
    <m/>
    <m/>
    <s v="1"/>
    <s v="1"/>
    <s v="0"/>
    <s v="1"/>
    <s v="1"/>
    <m/>
    <m/>
    <m/>
    <m/>
    <m/>
    <m/>
    <m/>
    <m/>
    <m/>
    <m/>
    <m/>
    <m/>
    <m/>
    <m/>
  </r>
  <r>
    <n v="742"/>
    <d v="2025-02-20T00:00:00"/>
    <s v="ZBTO"/>
    <n v="9518534103"/>
    <n v="1"/>
    <s v="9518534103-1"/>
    <s v="No Priority"/>
    <x v="0"/>
    <m/>
    <x v="1"/>
    <x v="10"/>
    <s v="1000-IPPE"/>
    <m/>
    <x v="0"/>
    <m/>
    <m/>
    <s v="Tamil Nadu"/>
    <s v="South"/>
    <s v="CHENNAI"/>
    <s v="Coil"/>
    <n v="187214"/>
    <s v="BALMER LAWRIE &amp; CO. LIMITED.."/>
    <n v="2402200"/>
    <s v="CRCA COIL TATXXD BT01 0.900X1315"/>
    <s v=" "/>
    <s v=""/>
    <n v="8"/>
    <n v="12"/>
    <s v="Wider"/>
    <s v="C01"/>
    <s v="TATXXD"/>
    <s v="BT01"/>
    <n v="0.9"/>
    <n v="1315"/>
    <n v="0"/>
    <n v="59.97"/>
    <n v="27.68"/>
    <n v="32.29"/>
    <n v="3.6"/>
    <n v="32.29"/>
    <n v="5.8049999999999997"/>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2-22T00:00:00"/>
    <s v="ZBTO"/>
    <n v="9518543125"/>
    <n v="3"/>
    <s v="9518543125-3"/>
    <s v="No Priority"/>
    <x v="0"/>
    <m/>
    <x v="2"/>
    <x v="3"/>
    <s v="1000-IPPE"/>
    <m/>
    <x v="1"/>
    <m/>
    <m/>
    <s v="Jharkhand"/>
    <s v="East"/>
    <s v="GAMHARIA"/>
    <s v="Coil"/>
    <n v="940016"/>
    <s v="TATA BLUESCOPE STEEL PVT LTD."/>
    <n v="3797658"/>
    <s v="PPGL C Y550 ISC6 0.40BMT(0.45TPT)X1220"/>
    <s v="aZ70"/>
    <s v="PRO BLUE TSL 1913"/>
    <n v="3"/>
    <n v="5"/>
    <s v="Wider"/>
    <s v="B18"/>
    <s v="Y550PL"/>
    <s v="ISC6"/>
    <n v="0.4"/>
    <n v="1220"/>
    <n v="0"/>
    <n v="195.99"/>
    <n v="165.41499999999999"/>
    <n v="30.574999999999999"/>
    <n v="1.2949999999999999"/>
    <n v="0"/>
    <n v="28.98"/>
    <n v="0"/>
    <n v="0"/>
    <n v="0"/>
    <n v="0"/>
    <n v="0"/>
    <n v="0"/>
    <n v="0"/>
    <n v="20.865000000000002"/>
    <n v="0"/>
    <n v="0"/>
    <n v="0"/>
    <n v="0"/>
    <n v="0"/>
    <n v="0"/>
    <n v="0"/>
    <n v="0"/>
    <n v="0"/>
    <n v="0"/>
    <n v="0"/>
    <n v="20.865000000000002"/>
    <n v="20.865000000000002"/>
    <n v="0"/>
    <n v="20.865000000000002"/>
    <n v="0"/>
    <n v="0"/>
    <n v="28.98"/>
    <n v="0"/>
    <n v="28.98"/>
    <n v="0"/>
    <n v="0"/>
    <n v="0"/>
    <n v="28.98"/>
    <n v="0"/>
    <n v="28.98"/>
    <n v="0"/>
    <n v="0"/>
    <n v="0"/>
    <n v="0"/>
    <n v="33.224999999999994"/>
    <n v="0"/>
    <n v="28.98"/>
    <n v="0"/>
    <n v="0"/>
    <n v="0"/>
    <n v="4.2449999999999939"/>
    <m/>
    <m/>
    <m/>
    <m/>
    <m/>
    <m/>
    <m/>
    <m/>
    <s v="1"/>
    <s v="1"/>
    <s v="1"/>
    <s v="1"/>
    <s v="1"/>
    <m/>
    <m/>
    <m/>
    <m/>
    <m/>
    <m/>
    <m/>
    <m/>
    <m/>
    <m/>
    <m/>
    <m/>
    <m/>
    <m/>
  </r>
  <r>
    <n v="744"/>
    <d v="2025-02-22T00:00:00"/>
    <s v="ZBTO"/>
    <n v="9518543125"/>
    <n v="4"/>
    <s v="9518543125-4"/>
    <s v="Stocks"/>
    <x v="0"/>
    <m/>
    <x v="2"/>
    <x v="3"/>
    <s v="1000-IPPE"/>
    <m/>
    <x v="1"/>
    <m/>
    <m/>
    <s v="Jharkhand"/>
    <s v="East"/>
    <s v="GAMHARIA"/>
    <s v="Coil"/>
    <n v="940016"/>
    <s v="TATA BLUESCOPE STEEL PVT LTD."/>
    <n v="3797658"/>
    <s v="PPGL C Y550 ISC6 0.40BMT(0.45TPT)X1220"/>
    <s v="aZ70"/>
    <s v="PRO ROSY RED TSL 1920"/>
    <n v="3"/>
    <n v="5"/>
    <s v="Wider"/>
    <s v="B18"/>
    <s v="Y550PL"/>
    <s v="ISC6"/>
    <n v="0.4"/>
    <n v="1220"/>
    <n v="0"/>
    <n v="252"/>
    <n v="121.72"/>
    <n v="130.28"/>
    <n v="-8.0280000000000005"/>
    <n v="0"/>
    <n v="15.49"/>
    <n v="0"/>
    <n v="0"/>
    <n v="0"/>
    <n v="0"/>
    <n v="0"/>
    <n v="0"/>
    <n v="0"/>
    <n v="0"/>
    <n v="0"/>
    <n v="4.415"/>
    <n v="0"/>
    <n v="0"/>
    <n v="0"/>
    <n v="0"/>
    <n v="0"/>
    <n v="0"/>
    <n v="0"/>
    <n v="0"/>
    <n v="0"/>
    <n v="4.415"/>
    <n v="4.415"/>
    <n v="0"/>
    <n v="4.415"/>
    <n v="0"/>
    <n v="10.039999999999999"/>
    <n v="15.49"/>
    <n v="0"/>
    <n v="0"/>
    <n v="15.49"/>
    <n v="0"/>
    <n v="0"/>
    <n v="0"/>
    <n v="0"/>
    <n v="0"/>
    <n v="0"/>
    <n v="0"/>
    <n v="0"/>
    <n v="25.53"/>
    <n v="4.41"/>
    <n v="0"/>
    <n v="0"/>
    <n v="4.41"/>
    <n v="0"/>
    <n v="0"/>
    <n v="0"/>
    <m/>
    <m/>
    <m/>
    <m/>
    <m/>
    <m/>
    <m/>
    <m/>
    <s v="1"/>
    <s v="1"/>
    <s v="0"/>
    <s v="1"/>
    <s v="1"/>
    <m/>
    <m/>
    <m/>
    <m/>
    <m/>
    <m/>
    <m/>
    <m/>
    <m/>
    <m/>
    <m/>
    <m/>
    <m/>
    <m/>
  </r>
  <r>
    <n v="742"/>
    <d v="2025-02-19T00:00:00"/>
    <s v="ZBTO"/>
    <n v="9518534079"/>
    <n v="3"/>
    <s v="9518534079-3"/>
    <s v="No Priority"/>
    <x v="0"/>
    <m/>
    <x v="1"/>
    <x v="10"/>
    <s v="1000-IPPE"/>
    <m/>
    <x v="0"/>
    <m/>
    <m/>
    <s v="Andhra Pradesh"/>
    <s v="South"/>
    <s v="VISAJHAPATNAM"/>
    <s v="Coil"/>
    <n v="188238"/>
    <s v="Balmer Lawrie &amp; Co. Limited"/>
    <n v="2170008"/>
    <s v="CRCA COIL TATXXD BT01 0.970X1220"/>
    <s v=" "/>
    <s v=""/>
    <n v="8"/>
    <n v="12"/>
    <s v="Wider"/>
    <s v="C01"/>
    <s v="TATXXD"/>
    <s v="BT01"/>
    <n v="0.97"/>
    <n v="1220"/>
    <n v="0"/>
    <n v="168"/>
    <n v="46.034999999999997"/>
    <n v="121.965"/>
    <n v="10.455"/>
    <n v="121.965"/>
    <n v="18.1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20T00:00:00"/>
    <s v="ZBTO"/>
    <n v="9518534103"/>
    <n v="5"/>
    <s v="9518534103-5"/>
    <s v="No Priority"/>
    <x v="0"/>
    <m/>
    <x v="1"/>
    <x v="10"/>
    <s v="1000-IPPE"/>
    <m/>
    <x v="0"/>
    <m/>
    <m/>
    <s v="Tamil Nadu"/>
    <s v="South"/>
    <s v="CHENNAI"/>
    <s v="Coil"/>
    <n v="187214"/>
    <s v="BALMER LAWRIE &amp; CO. LIMITED.."/>
    <n v="2421724"/>
    <s v="CRCA COIL TATXXD BT01 0.970X1310"/>
    <s v=" "/>
    <s v=""/>
    <n v="6"/>
    <n v="12"/>
    <s v="Wider"/>
    <s v="C01"/>
    <s v="TATXXD"/>
    <s v="BT01"/>
    <n v="0.97"/>
    <n v="1310"/>
    <n v="0"/>
    <n v="89.97"/>
    <n v="54.24"/>
    <n v="35.729999999999997"/>
    <n v="6.88"/>
    <n v="35.729999999999997"/>
    <n v="8.8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20T00:00:00"/>
    <s v="ZBTO"/>
    <n v="9518534128"/>
    <n v="2"/>
    <s v="9518534128-2"/>
    <s v="No Priority"/>
    <x v="0"/>
    <m/>
    <x v="1"/>
    <x v="10"/>
    <s v="1000-IPPE"/>
    <m/>
    <x v="0"/>
    <m/>
    <m/>
    <s v="Haryana"/>
    <s v="North"/>
    <s v="FARIDABAD"/>
    <s v="Coil"/>
    <n v="189430"/>
    <s v="Balmer Lawrie &amp; Co. Ltd.,"/>
    <n v="2170008"/>
    <s v="CRCA COIL TATXXD BT01 0.970X1220"/>
    <s v=" "/>
    <s v=""/>
    <n v="8"/>
    <n v="12"/>
    <s v="Wider"/>
    <s v="C01"/>
    <s v="TATXXD"/>
    <s v="BT01"/>
    <n v="0.97"/>
    <n v="1220"/>
    <n v="0"/>
    <n v="83.98"/>
    <n v="75.459999999999994"/>
    <n v="8.52"/>
    <n v="-74.14"/>
    <n v="0"/>
    <n v="0.67"/>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22T00:00:00"/>
    <s v="ZBTO"/>
    <n v="9518542152"/>
    <n v="1"/>
    <s v="9518542152-1"/>
    <s v="Stocks"/>
    <x v="0"/>
    <m/>
    <x v="1"/>
    <x v="10"/>
    <n v="1000"/>
    <m/>
    <x v="1"/>
    <m/>
    <m/>
    <s v="Dadra, Nagarhaveli"/>
    <s v="West"/>
    <s v="VILLAGE DADRA"/>
    <s v="Coil"/>
    <n v="189405"/>
    <s v="Balmer Lawrie And Co. Ltd."/>
    <n v="2164800"/>
    <s v="CRCA COIL TATXXD BT02 0.970X913"/>
    <m/>
    <m/>
    <m/>
    <m/>
    <s v="Narrow"/>
    <s v="C01"/>
    <s v="TATXXD"/>
    <s v="BT02"/>
    <n v="0.97"/>
    <n v="913"/>
    <n v="0"/>
    <n v="209.999"/>
    <n v="172.685"/>
    <n v="37.314"/>
    <n v="-2.2160000000000002"/>
    <n v="0"/>
    <n v="3.2839999999999998"/>
    <n v="0"/>
    <n v="0"/>
    <n v="0"/>
    <n v="0"/>
    <n v="0"/>
    <n v="0"/>
    <n v="0"/>
    <n v="0"/>
    <n v="0"/>
    <n v="0"/>
    <n v="0"/>
    <n v="0"/>
    <n v="0"/>
    <n v="0"/>
    <n v="0"/>
    <n v="0"/>
    <n v="0"/>
    <n v="0"/>
    <n v="0"/>
    <n v="0"/>
    <n v="0"/>
    <n v="0"/>
    <n v="0"/>
    <n v="0"/>
    <n v="7.32"/>
    <n v="0"/>
    <n v="0"/>
    <n v="0"/>
    <n v="0"/>
    <n v="0"/>
    <n v="0"/>
    <n v="0"/>
    <n v="0"/>
    <n v="0"/>
    <n v="0"/>
    <n v="0"/>
    <n v="0"/>
    <n v="7.32"/>
    <n v="0"/>
    <n v="0"/>
    <n v="0"/>
    <n v="0"/>
    <n v="0"/>
    <n v="0"/>
    <n v="0"/>
    <m/>
    <m/>
    <m/>
    <m/>
    <m/>
    <m/>
    <m/>
    <m/>
    <s v="1"/>
    <s v="1"/>
    <s v="1"/>
    <s v="1"/>
    <s v="1"/>
    <m/>
    <m/>
    <m/>
    <m/>
    <m/>
    <m/>
    <m/>
    <m/>
    <m/>
    <m/>
    <m/>
    <m/>
    <m/>
    <m/>
  </r>
  <r>
    <n v="742"/>
    <d v="2025-02-22T00:00:00"/>
    <s v="ZBTO"/>
    <n v="9518542152"/>
    <n v="3"/>
    <s v="9518542152-3"/>
    <s v="May'25"/>
    <x v="0"/>
    <m/>
    <x v="1"/>
    <x v="10"/>
    <n v="1000"/>
    <m/>
    <x v="1"/>
    <m/>
    <m/>
    <s v="Dadra, Nagarhaveli"/>
    <s v="West"/>
    <s v="VILLAGE DADRA"/>
    <s v="Coil"/>
    <n v="189405"/>
    <s v="Balmer Lawrie And Co. Ltd."/>
    <n v="2164803"/>
    <s v="CRCA COIL TATXXD BT02 1.200X910"/>
    <m/>
    <m/>
    <m/>
    <m/>
    <s v="Narrow"/>
    <s v="C01"/>
    <s v="TATXXD"/>
    <s v="BT02"/>
    <n v="1.2"/>
    <n v="910"/>
    <n v="0"/>
    <n v="294"/>
    <n v="245.136"/>
    <n v="48.863999999999997"/>
    <n v="28.864000000000001"/>
    <n v="29.993999999999996"/>
    <n v="31.724"/>
    <n v="0"/>
    <n v="0"/>
    <n v="18.87"/>
    <n v="0"/>
    <n v="0"/>
    <n v="0"/>
    <n v="0"/>
    <n v="0"/>
    <n v="0"/>
    <n v="0"/>
    <n v="0"/>
    <n v="0"/>
    <n v="0"/>
    <n v="0"/>
    <n v="0"/>
    <n v="0"/>
    <n v="0"/>
    <n v="0"/>
    <n v="0"/>
    <n v="18.87"/>
    <n v="18.87"/>
    <n v="0"/>
    <n v="18.87"/>
    <n v="0"/>
    <n v="35.950000000000003"/>
    <n v="31.724"/>
    <n v="0"/>
    <n v="31.724"/>
    <n v="0"/>
    <n v="0"/>
    <n v="0"/>
    <n v="31.724"/>
    <n v="0"/>
    <n v="31.724"/>
    <n v="0"/>
    <n v="0"/>
    <n v="0"/>
    <n v="35.950000000000003"/>
    <n v="0"/>
    <n v="0"/>
    <n v="0"/>
    <n v="0"/>
    <n v="0"/>
    <n v="0"/>
    <n v="0"/>
    <m/>
    <m/>
    <m/>
    <m/>
    <m/>
    <m/>
    <m/>
    <m/>
    <s v="1"/>
    <s v="0"/>
    <s v="1"/>
    <s v="1"/>
    <s v="1"/>
    <m/>
    <m/>
    <m/>
    <m/>
    <m/>
    <m/>
    <m/>
    <m/>
    <m/>
    <m/>
    <m/>
    <m/>
    <m/>
    <m/>
  </r>
  <r>
    <n v="742"/>
    <d v="2025-02-22T00:00:00"/>
    <s v="ZBTO"/>
    <n v="9518542152"/>
    <n v="4"/>
    <s v="9518542152-4"/>
    <s v="No Priority"/>
    <x v="0"/>
    <m/>
    <x v="1"/>
    <x v="10"/>
    <n v="1000"/>
    <m/>
    <x v="0"/>
    <m/>
    <m/>
    <s v="Dadra, Nagarhaveli"/>
    <s v="West"/>
    <s v="VILLAGE DADRA"/>
    <s v="Coil"/>
    <n v="189405"/>
    <s v="Balmer Lawrie And Co. Ltd."/>
    <n v="2164803"/>
    <s v="CRCA COIL TATXXD BT02 1.200X910"/>
    <m/>
    <m/>
    <m/>
    <m/>
    <s v="Narrow"/>
    <s v="C01"/>
    <s v="TATXXD"/>
    <s v="BT02"/>
    <n v="1.2"/>
    <n v="910"/>
    <n v="0"/>
    <n v="105"/>
    <n v="0"/>
    <n v="105"/>
    <n v="105"/>
    <n v="6.4300000000000068"/>
    <n v="105"/>
    <n v="0"/>
    <n v="0"/>
    <n v="98.57"/>
    <n v="0"/>
    <n v="0"/>
    <n v="0"/>
    <n v="0"/>
    <n v="0"/>
    <n v="0"/>
    <n v="0"/>
    <n v="0"/>
    <n v="0"/>
    <n v="0"/>
    <n v="0"/>
    <n v="0"/>
    <n v="0"/>
    <n v="0"/>
    <n v="0"/>
    <n v="0"/>
    <n v="98.57"/>
    <n v="98.57"/>
    <n v="0"/>
    <n v="98.57"/>
    <n v="0"/>
    <n v="0"/>
    <n v="0"/>
    <n v="0"/>
    <n v="0"/>
    <n v="0"/>
    <n v="0"/>
    <n v="0"/>
    <n v="0"/>
    <n v="0"/>
    <n v="0"/>
    <n v="0"/>
    <n v="0"/>
    <n v="0"/>
    <n v="0"/>
    <n v="0"/>
    <n v="0"/>
    <n v="0"/>
    <n v="0"/>
    <n v="0"/>
    <n v="0"/>
    <n v="0"/>
    <m/>
    <m/>
    <m/>
    <m/>
    <m/>
    <m/>
    <m/>
    <m/>
    <s v="1"/>
    <s v="1"/>
    <s v="1"/>
    <s v="1"/>
    <s v="1"/>
    <m/>
    <m/>
    <m/>
    <m/>
    <m/>
    <m/>
    <m/>
    <m/>
    <m/>
    <m/>
    <m/>
    <m/>
    <m/>
    <m/>
  </r>
  <r>
    <n v="742"/>
    <d v="2025-02-21T00:00:00"/>
    <s v="ZBTO"/>
    <n v="9518539501"/>
    <n v="2"/>
    <s v="9518539501-2"/>
    <s v="No Priority"/>
    <x v="0"/>
    <m/>
    <x v="1"/>
    <x v="10"/>
    <n v="1000"/>
    <m/>
    <x v="0"/>
    <m/>
    <m/>
    <s v="Gujarat"/>
    <s v="West"/>
    <s v="VADODARA"/>
    <s v="Coil"/>
    <n v="189022"/>
    <s v="Balmer Lawrie And Company Limi"/>
    <n v="2164814"/>
    <s v="CRCA COIL TATXXD BT01 0.970X1315"/>
    <m/>
    <m/>
    <m/>
    <m/>
    <s v="Wider"/>
    <s v="C01"/>
    <s v="TATXXD"/>
    <s v="BT01"/>
    <n v="0.97"/>
    <n v="1315"/>
    <n v="0"/>
    <n v="29.97"/>
    <n v="5.43"/>
    <n v="24.54"/>
    <n v="16.045000000000002"/>
    <n v="24.54"/>
    <n v="24.54"/>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2-19T00:00:00"/>
    <s v="ZBTO"/>
    <n v="9518532380"/>
    <n v="1"/>
    <s v="9518532380-1"/>
    <s v="Apr'25 additional"/>
    <x v="0"/>
    <m/>
    <x v="4"/>
    <x v="5"/>
    <n v="1000"/>
    <m/>
    <x v="1"/>
    <m/>
    <m/>
    <s v="Gujarat"/>
    <s v="West"/>
    <s v="SANAND"/>
    <s v="Coil"/>
    <n v="944226"/>
    <s v="PURSHOTAM PROFILES PRIVATE LIM"/>
    <n v="3865176"/>
    <s v="GL COIL HARD  Y550GL HGL6 0.900X1250"/>
    <m/>
    <m/>
    <m/>
    <m/>
    <s v="Wider"/>
    <s v="B04"/>
    <s v="Y550GL"/>
    <s v="HGL6"/>
    <n v="0.9"/>
    <n v="1250"/>
    <n v="0"/>
    <n v="289.99"/>
    <n v="248.51"/>
    <n v="41.48"/>
    <n v="18.835000000000001"/>
    <n v="18.259999999999998"/>
    <n v="41.48"/>
    <n v="0"/>
    <n v="0"/>
    <n v="0"/>
    <n v="0"/>
    <n v="0"/>
    <n v="0"/>
    <n v="0"/>
    <n v="9.3450000000000006"/>
    <n v="0"/>
    <n v="0"/>
    <n v="0"/>
    <n v="0"/>
    <n v="0"/>
    <n v="0"/>
    <n v="0"/>
    <n v="0"/>
    <n v="0"/>
    <n v="13.875"/>
    <n v="0"/>
    <n v="23.22"/>
    <n v="23.22"/>
    <n v="0"/>
    <n v="23.22"/>
    <n v="0"/>
    <n v="0"/>
    <n v="41.48"/>
    <n v="0"/>
    <n v="0"/>
    <n v="0"/>
    <n v="0"/>
    <n v="41.48"/>
    <n v="0"/>
    <n v="0"/>
    <n v="0"/>
    <n v="0"/>
    <n v="0"/>
    <n v="0"/>
    <n v="41.48"/>
    <n v="11.53"/>
    <n v="0"/>
    <n v="0"/>
    <n v="0"/>
    <n v="0"/>
    <n v="11.53"/>
    <n v="0"/>
    <m/>
    <m/>
    <m/>
    <m/>
    <m/>
    <m/>
    <m/>
    <m/>
    <s v="1"/>
    <s v="1"/>
    <s v="1"/>
    <s v="1"/>
    <s v="0"/>
    <m/>
    <m/>
    <m/>
    <m/>
    <m/>
    <m/>
    <m/>
    <m/>
    <m/>
    <m/>
    <m/>
    <m/>
    <m/>
    <m/>
  </r>
  <r>
    <n v="743"/>
    <d v="2025-02-19T00:00:00"/>
    <s v="ZBTO"/>
    <n v="9518532383"/>
    <n v="1"/>
    <s v="9518532383-1"/>
    <s v="Apr'25 additional"/>
    <x v="0"/>
    <m/>
    <x v="4"/>
    <x v="5"/>
    <n v="1000"/>
    <n v="4800"/>
    <x v="1"/>
    <m/>
    <m/>
    <s v="Gujarat"/>
    <s v="West"/>
    <s v="SANAND"/>
    <s v="Coil"/>
    <n v="944226"/>
    <s v="PURSHOTAM PROFILES PRIVATE LIM"/>
    <n v="3865176"/>
    <s v="GL COIL HARD  Y550GL HGL6 0.900X1250"/>
    <m/>
    <m/>
    <m/>
    <m/>
    <s v="Wider"/>
    <s v="B04"/>
    <s v="Y550GL"/>
    <s v="HGL6"/>
    <n v="0.9"/>
    <n v="1250"/>
    <n v="0"/>
    <n v="290"/>
    <n v="0"/>
    <n v="290"/>
    <n v="290"/>
    <n v="207.292"/>
    <n v="290"/>
    <n v="0"/>
    <n v="0"/>
    <n v="0"/>
    <n v="0"/>
    <n v="0"/>
    <n v="29.378"/>
    <n v="0"/>
    <n v="0"/>
    <n v="0"/>
    <n v="0"/>
    <n v="0"/>
    <n v="0"/>
    <n v="0"/>
    <n v="0"/>
    <n v="0"/>
    <n v="0"/>
    <n v="0"/>
    <n v="26.925000000000001"/>
    <n v="26.405000000000001"/>
    <n v="82.707999999999998"/>
    <n v="82.707999999999998"/>
    <n v="0"/>
    <n v="82.707999999999998"/>
    <n v="0"/>
    <n v="26.564999999999998"/>
    <n v="290"/>
    <n v="0"/>
    <n v="0"/>
    <n v="290"/>
    <n v="0"/>
    <n v="0"/>
    <n v="0"/>
    <n v="0"/>
    <n v="0"/>
    <n v="0"/>
    <n v="0"/>
    <n v="0"/>
    <n v="316.565"/>
    <n v="0"/>
    <n v="0"/>
    <n v="0"/>
    <n v="0"/>
    <n v="0"/>
    <n v="0"/>
    <n v="0"/>
    <m/>
    <m/>
    <m/>
    <m/>
    <m/>
    <m/>
    <m/>
    <m/>
    <s v="1"/>
    <s v="1"/>
    <s v="0"/>
    <s v="1"/>
    <s v="1"/>
    <m/>
    <m/>
    <m/>
    <m/>
    <m/>
    <m/>
    <m/>
    <m/>
    <m/>
    <m/>
    <m/>
    <m/>
    <m/>
    <m/>
  </r>
  <r>
    <n v="743"/>
    <d v="2025-02-19T00:00:00"/>
    <s v="ZBTO"/>
    <n v="9518532386"/>
    <n v="1"/>
    <s v="9518532386-1"/>
    <s v="Apr'25 additional"/>
    <x v="0"/>
    <m/>
    <x v="4"/>
    <x v="5"/>
    <n v="1000"/>
    <m/>
    <x v="1"/>
    <m/>
    <m/>
    <s v="Gujarat"/>
    <s v="West"/>
    <s v="SANAND"/>
    <s v="Coil"/>
    <n v="944226"/>
    <s v="PURSHOTAM PROFILES PRIVATE LIM"/>
    <n v="3865176"/>
    <s v="GL COIL HARD  Y550GL HGL6 0.900X1250"/>
    <m/>
    <m/>
    <m/>
    <m/>
    <s v="Wider"/>
    <s v="B04"/>
    <s v="Y550GL"/>
    <s v="HGL6"/>
    <n v="0.9"/>
    <n v="1250"/>
    <n v="0"/>
    <n v="290"/>
    <n v="0"/>
    <n v="290"/>
    <n v="290"/>
    <n v="180.25900000000001"/>
    <n v="290"/>
    <n v="0"/>
    <n v="0"/>
    <n v="0"/>
    <n v="0"/>
    <n v="0"/>
    <n v="15.006"/>
    <n v="0"/>
    <n v="0"/>
    <n v="0"/>
    <n v="0"/>
    <n v="0"/>
    <n v="0"/>
    <n v="0"/>
    <n v="0"/>
    <n v="0"/>
    <n v="0"/>
    <n v="0"/>
    <n v="26.965"/>
    <n v="67.77"/>
    <n v="109.741"/>
    <n v="109.741"/>
    <n v="0"/>
    <n v="109.741"/>
    <n v="0"/>
    <n v="0"/>
    <n v="290"/>
    <n v="0"/>
    <n v="0"/>
    <n v="290"/>
    <n v="0"/>
    <n v="0"/>
    <n v="0"/>
    <n v="0"/>
    <n v="0"/>
    <n v="0"/>
    <n v="0"/>
    <n v="0"/>
    <n v="290"/>
    <n v="0"/>
    <n v="0"/>
    <n v="0"/>
    <n v="0"/>
    <n v="0"/>
    <n v="0"/>
    <n v="0"/>
    <m/>
    <m/>
    <m/>
    <m/>
    <m/>
    <m/>
    <m/>
    <m/>
    <s v="1"/>
    <s v="1"/>
    <s v="0"/>
    <s v="1"/>
    <s v="1"/>
    <m/>
    <m/>
    <m/>
    <m/>
    <m/>
    <m/>
    <m/>
    <m/>
    <m/>
    <m/>
    <m/>
    <m/>
    <m/>
    <m/>
  </r>
  <r>
    <n v="744"/>
    <d v="2025-02-22T00:00:00"/>
    <s v="ZBTO"/>
    <n v="9518542994"/>
    <n v="7"/>
    <s v="9518542994-7"/>
    <s v="Mar'25"/>
    <x v="0"/>
    <m/>
    <x v="2"/>
    <x v="3"/>
    <n v="1000"/>
    <m/>
    <x v="1"/>
    <m/>
    <m/>
    <s v="Jharkhand"/>
    <s v="East"/>
    <s v="TBL- BARA AGRICO"/>
    <s v="Coil"/>
    <n v="941597"/>
    <s v="TATA BLUESCOPE STEEL PRIVATE L"/>
    <n v="3902332"/>
    <s v="PPGL C HARD Y550PL D0C9 0.50(TPT)X1220"/>
    <m/>
    <m/>
    <m/>
    <m/>
    <s v="Wider"/>
    <s v="B18"/>
    <s v="Y550PL"/>
    <s v="D0C9"/>
    <n v="0.5"/>
    <n v="1220"/>
    <n v="0"/>
    <n v="83.99"/>
    <n v="0"/>
    <n v="83.99"/>
    <n v="83.99"/>
    <n v="83.99"/>
    <n v="83.99"/>
    <n v="0"/>
    <n v="0"/>
    <n v="0"/>
    <n v="0"/>
    <n v="0"/>
    <n v="0"/>
    <n v="0"/>
    <n v="0"/>
    <n v="0"/>
    <n v="0"/>
    <n v="0"/>
    <n v="0"/>
    <n v="0"/>
    <n v="0"/>
    <n v="0"/>
    <n v="0"/>
    <n v="0"/>
    <n v="0"/>
    <n v="0"/>
    <n v="0"/>
    <n v="0"/>
    <n v="0"/>
    <n v="0"/>
    <n v="0"/>
    <n v="0"/>
    <n v="83.99"/>
    <n v="0"/>
    <n v="83.99"/>
    <n v="0"/>
    <n v="0"/>
    <n v="0"/>
    <n v="83.99"/>
    <n v="0"/>
    <n v="83.99"/>
    <n v="0"/>
    <n v="0"/>
    <n v="0"/>
    <n v="0"/>
    <n v="0"/>
    <n v="0"/>
    <n v="0"/>
    <n v="0"/>
    <n v="0"/>
    <n v="0"/>
    <n v="0"/>
    <m/>
    <m/>
    <m/>
    <m/>
    <m/>
    <m/>
    <m/>
    <m/>
    <s v="1"/>
    <s v="0"/>
    <s v="1"/>
    <s v="1"/>
    <s v="1"/>
    <m/>
    <m/>
    <m/>
    <m/>
    <m/>
    <m/>
    <m/>
    <m/>
    <m/>
    <m/>
    <m/>
    <m/>
    <m/>
    <m/>
  </r>
  <r>
    <n v="744"/>
    <d v="2025-02-22T00:00:00"/>
    <s v="ZBTO"/>
    <n v="9518543125"/>
    <n v="7"/>
    <s v="9518543125-7"/>
    <s v="No Priority"/>
    <x v="0"/>
    <m/>
    <x v="2"/>
    <x v="3"/>
    <n v="1000"/>
    <m/>
    <x v="1"/>
    <m/>
    <m/>
    <s v="Jharkhand"/>
    <s v="East"/>
    <s v="GAMHARIA"/>
    <s v="Coil"/>
    <n v="940016"/>
    <s v="TATA BLUESCOPE STEEL PVT LTD."/>
    <n v="3930916"/>
    <s v="PPGL C HARD Y550PL ISC6 0.350X1220"/>
    <m/>
    <m/>
    <m/>
    <m/>
    <s v="Wider"/>
    <s v="B18"/>
    <s v="Y550PL"/>
    <s v="ISC6"/>
    <n v="0.35"/>
    <n v="1220"/>
    <n v="0"/>
    <n v="56"/>
    <n v="37.26"/>
    <n v="18.739999999999998"/>
    <n v="7.42"/>
    <n v="18.739999999999998"/>
    <n v="18.739999999999998"/>
    <n v="0"/>
    <n v="0"/>
    <n v="0"/>
    <n v="0"/>
    <n v="0"/>
    <n v="0"/>
    <n v="0"/>
    <n v="0"/>
    <n v="0"/>
    <n v="0"/>
    <n v="0"/>
    <n v="0"/>
    <n v="0"/>
    <n v="0"/>
    <n v="0"/>
    <n v="0"/>
    <n v="0"/>
    <n v="0"/>
    <n v="0"/>
    <n v="0"/>
    <n v="0"/>
    <n v="0"/>
    <n v="0"/>
    <n v="0"/>
    <n v="0"/>
    <n v="18.739999999999998"/>
    <n v="0"/>
    <n v="0"/>
    <n v="18.739999999999998"/>
    <n v="0"/>
    <n v="0"/>
    <n v="0"/>
    <n v="0"/>
    <n v="0"/>
    <n v="0"/>
    <n v="0"/>
    <n v="0"/>
    <n v="18.739999999999998"/>
    <n v="0"/>
    <n v="0"/>
    <n v="0"/>
    <n v="0"/>
    <n v="0"/>
    <n v="0"/>
    <n v="0"/>
    <m/>
    <m/>
    <m/>
    <m/>
    <m/>
    <m/>
    <m/>
    <m/>
    <s v="1"/>
    <s v="1"/>
    <s v="0"/>
    <s v="1"/>
    <s v="1"/>
    <m/>
    <m/>
    <m/>
    <m/>
    <m/>
    <m/>
    <m/>
    <m/>
    <m/>
    <m/>
    <m/>
    <m/>
    <m/>
    <m/>
  </r>
  <r>
    <n v="744"/>
    <d v="2025-02-22T00:00:00"/>
    <s v="ZBTO"/>
    <n v="9518543214"/>
    <n v="6"/>
    <s v="9518543214-6"/>
    <s v="Apr'25 "/>
    <x v="0"/>
    <m/>
    <x v="2"/>
    <x v="3"/>
    <n v="1000"/>
    <m/>
    <x v="1"/>
    <m/>
    <m/>
    <s v="Jharkhand"/>
    <s v="East"/>
    <s v="GAMHARIA"/>
    <s v="Coil"/>
    <n v="940016"/>
    <s v="TATA BLUESCOPE STEEL PVT LTD."/>
    <n v="3900141"/>
    <s v="PPGL C HARD Y550PL ISC6 0.430X1220"/>
    <m/>
    <m/>
    <m/>
    <m/>
    <s v="Wider"/>
    <s v="B18"/>
    <s v="Y550PL"/>
    <s v="ISC6"/>
    <n v="0.43"/>
    <n v="1220"/>
    <n v="0"/>
    <n v="28"/>
    <n v="0"/>
    <n v="28"/>
    <n v="28"/>
    <n v="28"/>
    <n v="28"/>
    <n v="0"/>
    <n v="0"/>
    <n v="0"/>
    <n v="0"/>
    <n v="0"/>
    <n v="0"/>
    <n v="0"/>
    <n v="0"/>
    <n v="0"/>
    <n v="0"/>
    <n v="0"/>
    <n v="0"/>
    <n v="0"/>
    <n v="0"/>
    <n v="0"/>
    <n v="0"/>
    <n v="0"/>
    <n v="0"/>
    <n v="0"/>
    <n v="0"/>
    <n v="0"/>
    <n v="0"/>
    <n v="0"/>
    <n v="0"/>
    <n v="0"/>
    <n v="28"/>
    <n v="0"/>
    <n v="0"/>
    <n v="28"/>
    <n v="0"/>
    <n v="0"/>
    <n v="0"/>
    <n v="0"/>
    <n v="0"/>
    <n v="0"/>
    <n v="0"/>
    <n v="0"/>
    <n v="28"/>
    <n v="0"/>
    <n v="0"/>
    <n v="0"/>
    <n v="0"/>
    <n v="0"/>
    <n v="0"/>
    <n v="0"/>
    <m/>
    <m/>
    <m/>
    <m/>
    <m/>
    <m/>
    <m/>
    <m/>
    <s v="1"/>
    <s v="1"/>
    <s v="0"/>
    <s v="1"/>
    <s v="1"/>
    <m/>
    <m/>
    <m/>
    <m/>
    <m/>
    <m/>
    <m/>
    <m/>
    <m/>
    <m/>
    <m/>
    <m/>
    <m/>
    <m/>
  </r>
  <r>
    <n v="744"/>
    <d v="2025-02-22T00:00:00"/>
    <s v="ZBTO"/>
    <n v="9518543214"/>
    <n v="7"/>
    <s v="9518543214-7"/>
    <s v="Stocks"/>
    <x v="0"/>
    <m/>
    <x v="2"/>
    <x v="3"/>
    <n v="1000"/>
    <m/>
    <x v="1"/>
    <m/>
    <m/>
    <s v="Jharkhand"/>
    <s v="East"/>
    <s v="GAMHARIA"/>
    <s v="Coil"/>
    <n v="940016"/>
    <s v="TATA BLUESCOPE STEEL PVT LTD."/>
    <n v="3900141"/>
    <s v="PPGL C HARD Y550PL ISC6 0.430X1220"/>
    <m/>
    <m/>
    <m/>
    <m/>
    <s v="Wider"/>
    <s v="B18"/>
    <s v="Y550PL"/>
    <s v="ISC6"/>
    <n v="0.43"/>
    <n v="1220"/>
    <n v="0"/>
    <n v="28"/>
    <n v="17.59"/>
    <n v="10.41"/>
    <n v="3.63"/>
    <n v="5.7750000000000004"/>
    <n v="8.2550000000000008"/>
    <n v="0"/>
    <n v="0"/>
    <n v="0"/>
    <n v="0"/>
    <n v="0"/>
    <n v="0"/>
    <n v="0"/>
    <n v="0"/>
    <n v="0"/>
    <n v="4.6349999999999998"/>
    <n v="0"/>
    <n v="0"/>
    <n v="0"/>
    <n v="0"/>
    <n v="0"/>
    <n v="0"/>
    <n v="0"/>
    <n v="0"/>
    <n v="0"/>
    <n v="4.6349999999999998"/>
    <n v="4.6349999999999998"/>
    <n v="0"/>
    <n v="4.6349999999999998"/>
    <n v="0"/>
    <n v="19.734999999999999"/>
    <n v="0"/>
    <n v="0"/>
    <n v="0"/>
    <n v="0"/>
    <n v="0"/>
    <n v="0"/>
    <n v="0"/>
    <n v="0"/>
    <n v="0"/>
    <n v="0"/>
    <n v="0"/>
    <n v="0"/>
    <n v="19.734999999999999"/>
    <n v="0"/>
    <n v="0"/>
    <n v="0"/>
    <n v="0"/>
    <n v="0"/>
    <n v="0"/>
    <n v="0"/>
    <m/>
    <m/>
    <m/>
    <m/>
    <m/>
    <m/>
    <m/>
    <m/>
    <s v="1"/>
    <s v="1"/>
    <s v="1"/>
    <s v="1"/>
    <s v="1"/>
    <m/>
    <m/>
    <m/>
    <m/>
    <m/>
    <m/>
    <m/>
    <m/>
    <m/>
    <m/>
    <m/>
    <m/>
    <m/>
    <m/>
  </r>
  <r>
    <n v="744"/>
    <d v="2025-02-22T00:00:00"/>
    <s v="ZBTO"/>
    <n v="9518543307"/>
    <n v="1"/>
    <s v="9518543307-1"/>
    <s v="No Priority"/>
    <x v="0"/>
    <m/>
    <x v="2"/>
    <x v="3"/>
    <n v="1000"/>
    <m/>
    <x v="0"/>
    <m/>
    <m/>
    <s v="Jharkhand"/>
    <s v="East"/>
    <s v="GAMHARIA"/>
    <s v="Coil"/>
    <n v="940016"/>
    <s v="TATA BLUESCOPE STEEL PVT LTD."/>
    <n v="3879501"/>
    <s v="PPGL C HARD Y550PL ISC6 0.450X1220"/>
    <m/>
    <m/>
    <m/>
    <m/>
    <s v="Wider"/>
    <s v="B18"/>
    <s v="Y550PL"/>
    <s v="ISC6"/>
    <n v="0.45"/>
    <n v="1220"/>
    <n v="0"/>
    <n v="112"/>
    <n v="106.21"/>
    <n v="5.79"/>
    <n v="-3.5459999999999998"/>
    <n v="0"/>
    <n v="5.79"/>
    <n v="0"/>
    <n v="0"/>
    <n v="0"/>
    <n v="0"/>
    <n v="0"/>
    <n v="0"/>
    <n v="0"/>
    <n v="5.15"/>
    <n v="0"/>
    <n v="0"/>
    <n v="0"/>
    <n v="0"/>
    <n v="0"/>
    <n v="0"/>
    <n v="0"/>
    <n v="0"/>
    <n v="0"/>
    <n v="0"/>
    <n v="0"/>
    <n v="5.15"/>
    <n v="5.15"/>
    <n v="0"/>
    <n v="5.15"/>
    <n v="0"/>
    <n v="0"/>
    <n v="0"/>
    <n v="0"/>
    <n v="0"/>
    <n v="0"/>
    <n v="0"/>
    <n v="0"/>
    <n v="0"/>
    <n v="0"/>
    <n v="0"/>
    <n v="0"/>
    <n v="0"/>
    <n v="0"/>
    <n v="0"/>
    <n v="4.51"/>
    <n v="0"/>
    <n v="0"/>
    <n v="0"/>
    <n v="0"/>
    <n v="0"/>
    <n v="4.51"/>
    <m/>
    <m/>
    <m/>
    <m/>
    <m/>
    <m/>
    <m/>
    <m/>
    <s v="1"/>
    <s v="1"/>
    <s v="1"/>
    <s v="1"/>
    <s v="1"/>
    <m/>
    <m/>
    <m/>
    <m/>
    <m/>
    <m/>
    <m/>
    <m/>
    <m/>
    <m/>
    <m/>
    <m/>
    <m/>
    <m/>
  </r>
  <r>
    <n v="742"/>
    <d v="2025-01-10T00:00:00"/>
    <s v="ZBTO"/>
    <n v="9518419100"/>
    <n v="7"/>
    <s v="9518419100-7"/>
    <s v="Stocks"/>
    <x v="0"/>
    <m/>
    <x v="0"/>
    <x v="0"/>
    <n v="2000"/>
    <m/>
    <x v="1"/>
    <m/>
    <m/>
    <s v="Karnataka"/>
    <s v="South"/>
    <s v="YESHWANTHPURA"/>
    <s v="Coil"/>
    <n v="932179"/>
    <s v="DURGA STEEL INDUSTRIES"/>
    <n v="1294722"/>
    <s v="HR COILS-PO IS 1079 HR2 3.15X1250"/>
    <m/>
    <m/>
    <m/>
    <m/>
    <s v="Wider"/>
    <n v="768"/>
    <s v="THR099"/>
    <s v="HR99"/>
    <n v="3.15"/>
    <n v="1250"/>
    <n v="0"/>
    <n v="50"/>
    <n v="24.75"/>
    <n v="25.25"/>
    <n v="0.59"/>
    <n v="0"/>
    <n v="0"/>
    <n v="0"/>
    <n v="0"/>
    <n v="0"/>
    <n v="0"/>
    <n v="0"/>
    <n v="0"/>
    <n v="0"/>
    <n v="0"/>
    <n v="0"/>
    <n v="0"/>
    <n v="0"/>
    <n v="0"/>
    <n v="0"/>
    <n v="0"/>
    <n v="0"/>
    <n v="0"/>
    <n v="0"/>
    <n v="0"/>
    <n v="0"/>
    <n v="0"/>
    <n v="0"/>
    <n v="0"/>
    <n v="0"/>
    <n v="0"/>
    <n v="24.37"/>
    <n v="0"/>
    <n v="0"/>
    <n v="0"/>
    <n v="0"/>
    <n v="0"/>
    <n v="0"/>
    <n v="0"/>
    <n v="0"/>
    <n v="0"/>
    <n v="0"/>
    <n v="0"/>
    <n v="0"/>
    <n v="24.37"/>
    <n v="0"/>
    <n v="0"/>
    <n v="0"/>
    <n v="0"/>
    <n v="0"/>
    <n v="0"/>
    <n v="0"/>
    <m/>
    <m/>
    <m/>
    <m/>
    <m/>
    <m/>
    <m/>
    <m/>
    <s v="1"/>
    <s v="1"/>
    <s v="1"/>
    <s v="1"/>
    <s v="1"/>
    <m/>
    <m/>
    <m/>
    <m/>
    <m/>
    <m/>
    <m/>
    <m/>
    <m/>
    <m/>
    <m/>
    <m/>
    <m/>
    <m/>
  </r>
  <r>
    <n v="742"/>
    <d v="2025-01-10T00:00:00"/>
    <s v="ZBTO"/>
    <n v="9518419100"/>
    <n v="9"/>
    <s v="9518419100-8"/>
    <s v="No Priority"/>
    <x v="0"/>
    <m/>
    <x v="0"/>
    <x v="0"/>
    <n v="2000"/>
    <m/>
    <x v="0"/>
    <m/>
    <m/>
    <s v="Karnataka"/>
    <s v="South"/>
    <s v="YESHWANTHPURA"/>
    <s v="Coil"/>
    <n v="932179"/>
    <s v="DURGA STEEL INDUSTRIES"/>
    <n v="1210086"/>
    <s v="HR COILS-PO IS 1079 HR2 4X1250"/>
    <m/>
    <m/>
    <m/>
    <m/>
    <s v="Wider"/>
    <n v="768"/>
    <s v="THR099"/>
    <s v="HR99"/>
    <n v="4"/>
    <n v="1250"/>
    <n v="0"/>
    <n v="50"/>
    <n v="0"/>
    <n v="50"/>
    <n v="50"/>
    <n v="0"/>
    <n v="0"/>
    <n v="0"/>
    <n v="0"/>
    <n v="0"/>
    <n v="0"/>
    <n v="0"/>
    <n v="0"/>
    <n v="0"/>
    <n v="0"/>
    <n v="0"/>
    <n v="0"/>
    <n v="0"/>
    <n v="0"/>
    <n v="0"/>
    <n v="0"/>
    <n v="0"/>
    <n v="0"/>
    <n v="0"/>
    <n v="0"/>
    <n v="0"/>
    <n v="0"/>
    <n v="0"/>
    <n v="50"/>
    <n v="50"/>
    <n v="0"/>
    <n v="0"/>
    <n v="0"/>
    <n v="0"/>
    <n v="0"/>
    <n v="0"/>
    <n v="0"/>
    <n v="0"/>
    <n v="0"/>
    <n v="0"/>
    <n v="0"/>
    <n v="0"/>
    <n v="0"/>
    <n v="0"/>
    <n v="0"/>
    <n v="0"/>
    <n v="0"/>
    <n v="0"/>
    <n v="0"/>
    <n v="0"/>
    <n v="0"/>
    <n v="0"/>
    <m/>
    <m/>
    <m/>
    <m/>
    <m/>
    <m/>
    <m/>
    <m/>
    <s v="1"/>
    <s v="1"/>
    <s v="1"/>
    <s v="1"/>
    <s v="1"/>
    <m/>
    <m/>
    <m/>
    <m/>
    <m/>
    <m/>
    <m/>
    <m/>
    <m/>
    <m/>
    <m/>
    <m/>
    <m/>
    <m/>
  </r>
  <r>
    <n v="742"/>
    <d v="2025-02-26T00:00:00"/>
    <s v="ZBTO"/>
    <n v="9518554428"/>
    <n v="2"/>
    <s v="9518554428-2"/>
    <s v="No Priority"/>
    <x v="0"/>
    <m/>
    <x v="1"/>
    <x v="10"/>
    <s v="1000-IPPE"/>
    <m/>
    <x v="0"/>
    <m/>
    <m/>
    <s v="Andhra Pradesh"/>
    <s v="South"/>
    <s v="PATANCHERU"/>
    <s v="Coil"/>
    <n v="186001"/>
    <s v="BABA CONTAINER MANUFACTURERS"/>
    <n v="2426078"/>
    <s v="CRCA COIL TATXXD BT01 1X1320"/>
    <s v=" "/>
    <m/>
    <n v="6"/>
    <n v="8"/>
    <s v="Wider"/>
    <s v="C01"/>
    <s v="TATXXD"/>
    <s v="BT01"/>
    <n v="1"/>
    <n v="1320"/>
    <n v="0"/>
    <n v="89.99"/>
    <n v="57.5"/>
    <n v="32.49"/>
    <n v="3.92"/>
    <n v="32.49"/>
    <n v="0"/>
    <n v="0"/>
    <n v="0"/>
    <n v="0"/>
    <n v="0"/>
    <n v="0"/>
    <n v="0"/>
    <n v="0"/>
    <n v="0"/>
    <n v="0"/>
    <n v="0"/>
    <n v="0"/>
    <n v="0"/>
    <n v="0"/>
    <n v="0"/>
    <n v="0"/>
    <n v="0"/>
    <n v="0"/>
    <n v="0"/>
    <n v="0"/>
    <n v="0"/>
    <n v="0"/>
    <n v="0"/>
    <n v="0"/>
    <n v="0"/>
    <n v="0"/>
    <n v="0"/>
    <n v="0"/>
    <n v="0"/>
    <n v="0"/>
    <n v="0"/>
    <n v="0"/>
    <n v="0"/>
    <n v="0"/>
    <n v="0"/>
    <n v="0"/>
    <n v="0"/>
    <n v="0"/>
    <n v="0"/>
    <n v="39.22"/>
    <n v="0"/>
    <n v="0"/>
    <n v="0"/>
    <n v="0"/>
    <n v="0"/>
    <n v="39.22"/>
    <m/>
    <m/>
    <m/>
    <m/>
    <m/>
    <m/>
    <m/>
    <m/>
    <s v="1"/>
    <s v="1"/>
    <s v="1"/>
    <s v="1"/>
    <s v="1"/>
    <m/>
    <m/>
    <m/>
    <m/>
    <m/>
    <m/>
    <m/>
    <m/>
    <m/>
    <m/>
    <m/>
    <m/>
    <m/>
    <m/>
  </r>
  <r>
    <n v="742"/>
    <d v="2025-02-27T00:00:00"/>
    <s v="ZBTF"/>
    <n v="9518559566"/>
    <n v="2"/>
    <s v="9518559566-2"/>
    <s v="No Priority"/>
    <x v="0"/>
    <m/>
    <x v="1"/>
    <x v="10"/>
    <s v="1000-IPPE"/>
    <m/>
    <x v="0"/>
    <m/>
    <m/>
    <s v="West Bengal"/>
    <s v="East"/>
    <s v="THIRUVALLUR"/>
    <s v="Coil"/>
    <n v="600250"/>
    <s v="TATA CENTER"/>
    <n v="3704262"/>
    <s v="CR COIL TSBSTA EL03 1X1250"/>
    <s v=" "/>
    <s v=""/>
    <n v="8"/>
    <n v="11"/>
    <s v="Wider"/>
    <s v="C01"/>
    <s v="TSBSTA"/>
    <s v="EL03"/>
    <n v="1"/>
    <n v="1250"/>
    <n v="0"/>
    <n v="29"/>
    <n v="0"/>
    <n v="29"/>
    <n v="1.33"/>
    <n v="0"/>
    <n v="3.21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2-27T00:00:00"/>
    <s v="ZBTO"/>
    <n v="9518560278"/>
    <n v="5"/>
    <s v="9518560278-5"/>
    <s v="No Priority"/>
    <x v="0"/>
    <m/>
    <x v="2"/>
    <x v="3"/>
    <s v="1000-IPPE"/>
    <m/>
    <x v="1"/>
    <m/>
    <m/>
    <s v="Jharkhand"/>
    <s v="East"/>
    <s v="TBL- BARA AGRICO"/>
    <s v="Coil"/>
    <n v="941597"/>
    <s v="TATA BLUESCOPE STEEL PVT LTD."/>
    <n v="1633706"/>
    <s v="PPGL C Y550 HPL3 0.42BMT(0.50TPT)X1220"/>
    <s v="AZ150"/>
    <m/>
    <m/>
    <m/>
    <s v="Wider"/>
    <s v="B18"/>
    <s v="Y550PL"/>
    <s v="HPL3"/>
    <n v="0.42"/>
    <n v="1220"/>
    <n v="0"/>
    <n v="28"/>
    <n v="0"/>
    <n v="28"/>
    <n v="0.34499999999999997"/>
    <n v="0"/>
    <n v="28"/>
    <n v="0"/>
    <n v="28.63"/>
    <n v="0"/>
    <n v="0"/>
    <n v="0"/>
    <n v="0"/>
    <n v="0"/>
    <n v="0"/>
    <n v="0"/>
    <n v="0"/>
    <n v="0"/>
    <n v="0"/>
    <n v="0"/>
    <n v="0"/>
    <n v="0"/>
    <n v="0"/>
    <n v="0"/>
    <n v="0"/>
    <n v="0"/>
    <n v="28.63"/>
    <n v="28.63"/>
    <n v="0"/>
    <n v="28.63"/>
    <n v="0"/>
    <n v="0"/>
    <n v="28"/>
    <n v="28"/>
    <n v="0"/>
    <n v="0"/>
    <n v="0"/>
    <n v="0"/>
    <n v="0"/>
    <n v="0"/>
    <n v="0"/>
    <n v="0"/>
    <n v="0"/>
    <n v="0"/>
    <n v="28"/>
    <n v="0"/>
    <n v="0"/>
    <n v="0"/>
    <n v="0"/>
    <n v="0"/>
    <n v="0"/>
    <n v="0"/>
    <m/>
    <m/>
    <m/>
    <m/>
    <m/>
    <m/>
    <m/>
    <m/>
    <s v="0"/>
    <s v="1"/>
    <s v="1"/>
    <s v="1"/>
    <s v="1"/>
    <m/>
    <m/>
    <m/>
    <m/>
    <m/>
    <m/>
    <m/>
    <m/>
    <m/>
    <m/>
    <m/>
    <m/>
    <m/>
    <m/>
  </r>
  <r>
    <n v="744"/>
    <d v="2025-02-27T00:00:00"/>
    <s v="ZBTO"/>
    <n v="9518560278"/>
    <n v="3"/>
    <s v="9518560278-3"/>
    <s v="No Priority"/>
    <x v="0"/>
    <m/>
    <x v="2"/>
    <x v="3"/>
    <s v="1000-IPPE"/>
    <m/>
    <x v="0"/>
    <m/>
    <m/>
    <s v="Jharkhand"/>
    <s v="East"/>
    <s v="TBL- BARA AGRICO"/>
    <s v="Coil"/>
    <n v="941597"/>
    <s v="TATA BLUESCOPE STEEL PVT LTD."/>
    <n v="1633706"/>
    <s v="PPGL C Y550 HPL3 0.42BMT(0.50TPT)X1220"/>
    <s v="AZ150"/>
    <m/>
    <m/>
    <m/>
    <s v="Wider"/>
    <s v="B18"/>
    <s v="Y550PL"/>
    <s v="HPL3"/>
    <n v="0.42"/>
    <n v="1220"/>
    <n v="0"/>
    <n v="28"/>
    <n v="0"/>
    <n v="28"/>
    <n v="0.68"/>
    <n v="0"/>
    <n v="28"/>
    <n v="0"/>
    <n v="0"/>
    <n v="0"/>
    <n v="0"/>
    <n v="0"/>
    <n v="0"/>
    <n v="0"/>
    <n v="0"/>
    <n v="0"/>
    <n v="27.29"/>
    <n v="0"/>
    <n v="0"/>
    <n v="0"/>
    <n v="0"/>
    <n v="0"/>
    <n v="0"/>
    <n v="0"/>
    <n v="0"/>
    <n v="0"/>
    <n v="27.29"/>
    <n v="27.29"/>
    <n v="0"/>
    <n v="27.29"/>
    <n v="0"/>
    <n v="0"/>
    <n v="0"/>
    <n v="0"/>
    <n v="0"/>
    <n v="0"/>
    <n v="0"/>
    <n v="0"/>
    <n v="0"/>
    <n v="0"/>
    <n v="0"/>
    <n v="0"/>
    <n v="0"/>
    <n v="0"/>
    <n v="0"/>
    <n v="0"/>
    <n v="0"/>
    <n v="0"/>
    <n v="0"/>
    <n v="0"/>
    <n v="0"/>
    <n v="0"/>
    <m/>
    <m/>
    <m/>
    <m/>
    <m/>
    <m/>
    <m/>
    <m/>
    <s v="1"/>
    <s v="1"/>
    <s v="1"/>
    <s v="1"/>
    <s v="1"/>
    <m/>
    <m/>
    <m/>
    <m/>
    <m/>
    <m/>
    <m/>
    <m/>
    <m/>
    <m/>
    <m/>
    <m/>
    <m/>
    <m/>
  </r>
  <r>
    <n v="743"/>
    <d v="2025-03-01T00:00:00"/>
    <s v="ZBTO"/>
    <n v="9518567053"/>
    <n v="1"/>
    <s v="9518567053-1"/>
    <s v="No Priority"/>
    <x v="0"/>
    <m/>
    <x v="4"/>
    <x v="3"/>
    <s v="1000-IPPE"/>
    <m/>
    <x v="0"/>
    <m/>
    <m/>
    <s v="Jharkhand"/>
    <s v="East"/>
    <s v="TBL- BARA AGRICO"/>
    <s v="Coil"/>
    <n v="942283"/>
    <s v="TATA BLUESCOPE STEEL PRIVATE LIMITE"/>
    <n v="1882004"/>
    <s v="GL C YS550 H6GL 0.55BMT(0.60TCT)X1220"/>
    <m/>
    <m/>
    <m/>
    <m/>
    <s v="Wider"/>
    <s v="B04"/>
    <s v="Y550GL"/>
    <s v="H6GL"/>
    <n v="0.55000000000000004"/>
    <n v="1220"/>
    <n v="0"/>
    <n v="28"/>
    <n v="9.0649999999999995"/>
    <n v="18.934999999999999"/>
    <n v="1.125"/>
    <n v="0"/>
    <n v="1.2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25T00:00:00"/>
    <s v="ZBTF"/>
    <n v="4000499688"/>
    <n v="4"/>
    <s v="4000499688-4"/>
    <s v="No Priority"/>
    <x v="0"/>
    <m/>
    <x v="0"/>
    <x v="6"/>
    <s v="2000-BPRS"/>
    <m/>
    <x v="0"/>
    <m/>
    <m/>
    <s v="Karnataka"/>
    <s v="South"/>
    <s v="YESHWANTHPURA"/>
    <s v="Coil"/>
    <n v="600103"/>
    <s v="TATA STEEL LIMITED"/>
    <n v="3226988"/>
    <s v="HR COILS-PO THR099 HR99 3.40X1250"/>
    <m/>
    <m/>
    <m/>
    <m/>
    <s v="Wider"/>
    <n v="768"/>
    <s v="THR099"/>
    <s v="HR99"/>
    <n v="3.4"/>
    <n v="1250"/>
    <n v="0"/>
    <n v="50"/>
    <n v="24.53"/>
    <n v="25.47"/>
    <n v="25.47"/>
    <n v="0"/>
    <n v="0.93"/>
    <n v="0"/>
    <n v="0"/>
    <n v="0"/>
    <n v="0"/>
    <n v="0"/>
    <n v="0"/>
    <n v="0"/>
    <n v="0"/>
    <n v="0"/>
    <n v="0"/>
    <n v="0"/>
    <n v="0"/>
    <n v="0"/>
    <n v="0"/>
    <n v="0"/>
    <n v="0"/>
    <n v="0"/>
    <n v="0"/>
    <n v="0"/>
    <n v="0"/>
    <n v="0"/>
    <n v="25"/>
    <n v="25"/>
    <n v="0"/>
    <n v="0"/>
    <n v="0"/>
    <n v="0"/>
    <n v="0"/>
    <n v="0"/>
    <n v="0"/>
    <n v="0"/>
    <n v="0"/>
    <n v="0"/>
    <n v="0"/>
    <n v="0"/>
    <n v="0"/>
    <n v="0"/>
    <n v="0"/>
    <n v="0"/>
    <n v="0"/>
    <n v="0"/>
    <n v="0"/>
    <n v="0"/>
    <n v="0"/>
    <n v="0"/>
    <m/>
    <m/>
    <m/>
    <m/>
    <m/>
    <m/>
    <m/>
    <m/>
    <s v="1"/>
    <s v="1"/>
    <s v="1"/>
    <s v="1"/>
    <s v="1"/>
    <m/>
    <m/>
    <m/>
    <m/>
    <m/>
    <m/>
    <m/>
    <m/>
    <m/>
    <m/>
    <m/>
    <m/>
    <m/>
    <m/>
  </r>
  <r>
    <n v="744"/>
    <d v="2025-03-01T00:00:00"/>
    <s v="ZBTO"/>
    <n v="9518567119"/>
    <n v="1"/>
    <s v="9518567119-1"/>
    <s v="Stocks"/>
    <x v="0"/>
    <m/>
    <x v="2"/>
    <x v="3"/>
    <s v="1000-IPPE"/>
    <m/>
    <x v="1"/>
    <m/>
    <m/>
    <s v="Jharkhand"/>
    <s v="East"/>
    <s v="TBL- BARA AGRICO"/>
    <s v="Coil"/>
    <n v="941597"/>
    <s v="TATA BLUESCOPE STEEL PRIVATE LIMITE"/>
    <n v="1636510"/>
    <s v="PPGL COIL HARD-Y550PL-HPL3-0.55X1220"/>
    <m/>
    <m/>
    <m/>
    <m/>
    <s v="Wider"/>
    <s v="B18"/>
    <s v="Y550PL"/>
    <s v="HPL3"/>
    <n v="0.55000000000000004"/>
    <n v="1220"/>
    <n v="0"/>
    <n v="196"/>
    <n v="174.685"/>
    <n v="21.315000000000001"/>
    <n v="-8.32"/>
    <n v="0"/>
    <n v="21.315000000000001"/>
    <n v="0"/>
    <n v="28.59"/>
    <n v="0"/>
    <n v="0"/>
    <n v="0"/>
    <n v="0"/>
    <n v="0"/>
    <n v="0"/>
    <n v="0"/>
    <n v="0"/>
    <n v="0"/>
    <n v="0"/>
    <n v="0"/>
    <n v="0"/>
    <n v="0"/>
    <n v="2.0499999999999998"/>
    <n v="0"/>
    <n v="0"/>
    <n v="0"/>
    <n v="30.64"/>
    <n v="30.64"/>
    <n v="0"/>
    <n v="30.64"/>
    <n v="0"/>
    <n v="3.3050000000000002"/>
    <n v="21.315000000000001"/>
    <n v="21.315000000000001"/>
    <n v="0"/>
    <n v="0"/>
    <n v="0"/>
    <n v="0"/>
    <n v="0"/>
    <n v="0"/>
    <n v="0"/>
    <n v="0"/>
    <n v="0"/>
    <n v="0"/>
    <n v="24.62"/>
    <n v="132.33000000000001"/>
    <n v="21.315000000000001"/>
    <n v="0"/>
    <n v="0"/>
    <n v="0"/>
    <n v="0"/>
    <n v="111.01500000000001"/>
    <m/>
    <m/>
    <m/>
    <m/>
    <m/>
    <m/>
    <m/>
    <m/>
    <s v="1"/>
    <s v="1"/>
    <s v="1"/>
    <s v="1"/>
    <s v="1"/>
    <m/>
    <m/>
    <m/>
    <m/>
    <m/>
    <m/>
    <m/>
    <m/>
    <m/>
    <m/>
    <m/>
    <m/>
    <m/>
    <m/>
  </r>
  <r>
    <n v="742"/>
    <d v="2025-01-15T00:00:00"/>
    <s v="ZBTO"/>
    <n v="9518430653"/>
    <n v="1"/>
    <s v="9518430653-1"/>
    <s v="No Priority"/>
    <x v="0"/>
    <m/>
    <x v="1"/>
    <x v="7"/>
    <s v="1000-IPPE"/>
    <m/>
    <x v="0"/>
    <m/>
    <m/>
    <s v="Gujarat"/>
    <s v="West"/>
    <s v="RAJKOT"/>
    <s v="Coil"/>
    <n v="188891"/>
    <s v="Galaxy Stamping Pvt. Ltd."/>
    <n v="2439203"/>
    <s v="CRCA COIL TSBSTA EL06 0.500X1160"/>
    <m/>
    <m/>
    <m/>
    <m/>
    <s v="Narrow"/>
    <s v="C01"/>
    <s v="TSBSTA"/>
    <s v="EL06"/>
    <n v="0.5"/>
    <n v="1160"/>
    <n v="0"/>
    <n v="215.99"/>
    <n v="174.04499999999999"/>
    <n v="41.945"/>
    <n v="-10.205"/>
    <n v="0"/>
    <n v="0"/>
    <n v="0"/>
    <n v="0"/>
    <n v="0"/>
    <n v="0"/>
    <n v="0"/>
    <n v="0"/>
    <n v="0"/>
    <n v="0"/>
    <n v="0"/>
    <n v="0"/>
    <n v="0"/>
    <n v="0"/>
    <n v="0"/>
    <n v="0"/>
    <n v="0"/>
    <n v="0"/>
    <n v="0"/>
    <n v="0"/>
    <n v="0"/>
    <n v="0"/>
    <n v="0"/>
    <n v="0"/>
    <n v="0"/>
    <n v="0"/>
    <n v="0"/>
    <n v="0"/>
    <n v="0"/>
    <n v="0"/>
    <n v="0"/>
    <n v="0"/>
    <n v="0"/>
    <n v="0"/>
    <n v="0"/>
    <n v="0"/>
    <n v="0"/>
    <n v="0"/>
    <n v="0"/>
    <n v="0"/>
    <n v="62.004999999999995"/>
    <n v="0"/>
    <n v="0"/>
    <n v="0"/>
    <n v="0"/>
    <n v="0"/>
    <n v="62.004999999999995"/>
    <m/>
    <m/>
    <m/>
    <m/>
    <m/>
    <m/>
    <m/>
    <m/>
    <s v="1"/>
    <s v="1"/>
    <s v="1"/>
    <s v="1"/>
    <s v="1"/>
    <m/>
    <m/>
    <m/>
    <m/>
    <m/>
    <m/>
    <m/>
    <m/>
    <m/>
    <m/>
    <m/>
    <m/>
    <m/>
    <m/>
  </r>
  <r>
    <n v="742"/>
    <d v="2025-02-27T00:00:00"/>
    <s v="ZBTF"/>
    <n v="9518560055"/>
    <n v="1"/>
    <s v="9518560055-1"/>
    <s v="May'25"/>
    <x v="0"/>
    <m/>
    <x v="5"/>
    <x v="8"/>
    <n v="2000"/>
    <m/>
    <x v="1"/>
    <m/>
    <m/>
    <s v="Punjab"/>
    <s v="North"/>
    <s v="KHOPOLI"/>
    <s v="Coil"/>
    <n v="650250"/>
    <s v="TATA STEEL LIMITED,"/>
    <n v="2306895"/>
    <s v="CRFH COIL TATFHC TR10 0.320X1245"/>
    <m/>
    <m/>
    <m/>
    <m/>
    <s v="Wider"/>
    <s v="C09"/>
    <s v="TATFHC"/>
    <s v="TR10"/>
    <n v="0.32"/>
    <n v="1245"/>
    <n v="0"/>
    <n v="290"/>
    <n v="0"/>
    <n v="290"/>
    <n v="290"/>
    <n v="0"/>
    <n v="262.31"/>
    <n v="0"/>
    <n v="0"/>
    <n v="28.76"/>
    <n v="0"/>
    <n v="0"/>
    <n v="0"/>
    <n v="0"/>
    <n v="0"/>
    <n v="0"/>
    <n v="0"/>
    <n v="0"/>
    <n v="0"/>
    <n v="0"/>
    <n v="0"/>
    <n v="0"/>
    <n v="39.315000000000005"/>
    <n v="0"/>
    <n v="13.05"/>
    <n v="52.705000000000005"/>
    <n v="133.83000000000001"/>
    <n v="133.83000000000001"/>
    <n v="290"/>
    <n v="423.83000000000004"/>
    <n v="0"/>
    <n v="53.404999999999994"/>
    <n v="262.31"/>
    <n v="0"/>
    <n v="0"/>
    <n v="0"/>
    <n v="262.31"/>
    <n v="0"/>
    <n v="0"/>
    <n v="0"/>
    <n v="0"/>
    <n v="0"/>
    <n v="0"/>
    <n v="0"/>
    <n v="315.71499999999997"/>
    <n v="0"/>
    <n v="0"/>
    <n v="0"/>
    <n v="0"/>
    <n v="0"/>
    <n v="0"/>
    <n v="0"/>
    <m/>
    <m/>
    <m/>
    <m/>
    <m/>
    <m/>
    <m/>
    <m/>
    <s v="1"/>
    <s v="1"/>
    <s v="1"/>
    <s v="0"/>
    <s v="1"/>
    <m/>
    <m/>
    <m/>
    <m/>
    <m/>
    <m/>
    <m/>
    <m/>
    <m/>
    <m/>
    <m/>
    <m/>
    <m/>
    <m/>
  </r>
  <r>
    <n v="742"/>
    <d v="2025-02-05T00:00:00"/>
    <s v="ZBTO"/>
    <n v="9518494668"/>
    <n v="3"/>
    <s v="9518494668-3"/>
    <s v="No Priority"/>
    <x v="0"/>
    <m/>
    <x v="1"/>
    <x v="1"/>
    <n v="2000"/>
    <m/>
    <x v="0"/>
    <m/>
    <s v="Exp BTF &lt;17MT"/>
    <s v="Maharashtra"/>
    <s v="West"/>
    <s v="BOMBAY"/>
    <s v="Coil"/>
    <n v="120612"/>
    <s v="SKM STEELS LIMITED(CRCADIVISIO"/>
    <n v="1804854"/>
    <s v="CRCA COIL-TATXXD-AU03-1.2X1250"/>
    <m/>
    <m/>
    <m/>
    <m/>
    <s v="Wider"/>
    <s v="C01"/>
    <m/>
    <s v="AU03"/>
    <n v="1.2"/>
    <n v="1250"/>
    <n v="0"/>
    <n v="87"/>
    <n v="25.78"/>
    <n v="61.22"/>
    <n v="6.32"/>
    <n v="61.22"/>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4T00:00:00"/>
    <s v="ZBTO"/>
    <n v="9518574020"/>
    <n v="1"/>
    <s v="9518574020-1"/>
    <s v="No Priority"/>
    <x v="0"/>
    <m/>
    <x v="1"/>
    <x v="1"/>
    <n v="2000"/>
    <m/>
    <x v="0"/>
    <m/>
    <s v="Exp BTF &lt;17MT"/>
    <s v="Delhi"/>
    <s v="North"/>
    <s v="ZOSOLA"/>
    <s v="Coil"/>
    <n v="101499"/>
    <s v="G.R. GUPTA &amp; BROS."/>
    <n v="1800890"/>
    <s v="CRCA COIL-TATXXD-AU03-0.35X1250"/>
    <m/>
    <m/>
    <m/>
    <m/>
    <s v="Wider"/>
    <s v="C01"/>
    <s v="TATXXD"/>
    <s v="AU03"/>
    <n v="0.35"/>
    <n v="1250"/>
    <n v="0"/>
    <n v="116"/>
    <n v="64.150000000000006"/>
    <n v="51.85"/>
    <n v="14.64"/>
    <n v="51.85"/>
    <n v="51.85"/>
    <n v="0"/>
    <n v="0"/>
    <n v="0"/>
    <n v="0"/>
    <n v="0"/>
    <n v="0"/>
    <n v="0"/>
    <n v="0"/>
    <n v="0"/>
    <n v="0"/>
    <n v="0"/>
    <n v="0"/>
    <n v="0"/>
    <n v="0"/>
    <n v="0"/>
    <n v="0"/>
    <n v="0"/>
    <n v="0"/>
    <n v="0"/>
    <n v="0"/>
    <n v="0"/>
    <n v="0"/>
    <n v="0"/>
    <n v="0"/>
    <n v="0"/>
    <n v="0"/>
    <n v="0"/>
    <n v="0"/>
    <n v="0"/>
    <n v="0"/>
    <n v="0"/>
    <n v="0"/>
    <n v="0"/>
    <n v="0"/>
    <n v="0"/>
    <n v="0"/>
    <n v="0"/>
    <n v="0"/>
    <n v="64.150000000000006"/>
    <n v="0"/>
    <n v="0"/>
    <n v="0"/>
    <n v="0"/>
    <n v="0"/>
    <n v="64.150000000000006"/>
    <m/>
    <m/>
    <m/>
    <m/>
    <m/>
    <m/>
    <m/>
    <m/>
    <s v="1"/>
    <s v="1"/>
    <s v="1"/>
    <s v="1"/>
    <s v="1"/>
    <m/>
    <m/>
    <m/>
    <m/>
    <m/>
    <m/>
    <m/>
    <m/>
    <m/>
    <m/>
    <m/>
    <m/>
    <m/>
    <m/>
  </r>
  <r>
    <n v="742"/>
    <d v="2025-03-07T00:00:00"/>
    <s v="ZBTO"/>
    <n v="9518583094"/>
    <n v="3"/>
    <s v="9518583094-3"/>
    <s v="Stocks"/>
    <x v="0"/>
    <m/>
    <x v="1"/>
    <x v="2"/>
    <n v="2000"/>
    <m/>
    <x v="1"/>
    <m/>
    <s v="Exp BTF &lt;17MT"/>
    <s v="Uttar Pradesh"/>
    <s v="North"/>
    <s v="VARANASI"/>
    <s v="Sheet"/>
    <n v="931525"/>
    <s v="INDIA STEEL INDUSTRIES"/>
    <n v="3437524"/>
    <s v="CRCA SHEET TATCRC SR16 0.400X1250X2030"/>
    <m/>
    <m/>
    <m/>
    <m/>
    <s v="Wider"/>
    <s v="C06"/>
    <s v="TATCRC"/>
    <s v="SR16"/>
    <n v="0.4"/>
    <n v="1250"/>
    <n v="2030"/>
    <n v="108"/>
    <n v="71.95"/>
    <n v="36.049999999999997"/>
    <n v="9.1199999999999992"/>
    <n v="36.049999999999997"/>
    <n v="10.47"/>
    <n v="0"/>
    <n v="0"/>
    <n v="0"/>
    <n v="0"/>
    <n v="0"/>
    <n v="0"/>
    <n v="0"/>
    <n v="0"/>
    <n v="0"/>
    <n v="0"/>
    <n v="0"/>
    <n v="0"/>
    <n v="0"/>
    <n v="0"/>
    <n v="0"/>
    <n v="0"/>
    <n v="0"/>
    <n v="0"/>
    <n v="0"/>
    <n v="0"/>
    <n v="0"/>
    <n v="0"/>
    <n v="0"/>
    <n v="0"/>
    <n v="2.7250000000000001"/>
    <n v="0"/>
    <n v="0"/>
    <n v="0"/>
    <n v="0"/>
    <n v="0"/>
    <n v="0"/>
    <n v="0"/>
    <n v="0"/>
    <n v="0"/>
    <n v="0"/>
    <n v="0"/>
    <n v="0"/>
    <n v="2.7250000000000001"/>
    <n v="33.9"/>
    <n v="0"/>
    <n v="0"/>
    <n v="0"/>
    <n v="0"/>
    <n v="0"/>
    <n v="33.9"/>
    <m/>
    <m/>
    <m/>
    <m/>
    <m/>
    <m/>
    <m/>
    <m/>
    <s v="1"/>
    <s v="1"/>
    <s v="1"/>
    <s v="1"/>
    <s v="1"/>
    <m/>
    <m/>
    <m/>
    <m/>
    <m/>
    <m/>
    <m/>
    <m/>
    <m/>
    <m/>
    <m/>
    <m/>
    <m/>
    <m/>
  </r>
  <r>
    <n v="742"/>
    <d v="2025-02-14T00:00:00"/>
    <s v="ZBTO"/>
    <n v="9518518906"/>
    <n v="2"/>
    <s v="9518518906-2"/>
    <s v="No Priority"/>
    <x v="0"/>
    <m/>
    <x v="1"/>
    <x v="2"/>
    <n v="2000"/>
    <m/>
    <x v="0"/>
    <m/>
    <s v="Exp BTF &lt;17MT"/>
    <s v="Uttar Pradesh"/>
    <s v="North"/>
    <s v="VARANASI"/>
    <s v="Sheet"/>
    <n v="931525"/>
    <s v="INDIA STEEL INDUSTRIES"/>
    <n v="3437524"/>
    <s v="CRCA SHEET TATCRC SR16 0.400X1250X2030"/>
    <m/>
    <m/>
    <m/>
    <m/>
    <s v="Wider"/>
    <s v="C06"/>
    <s v="TATCRC"/>
    <s v="SR16"/>
    <n v="0.4"/>
    <n v="1250"/>
    <n v="2030"/>
    <n v="99"/>
    <n v="92.825000000000003"/>
    <n v="6.1749999999999998"/>
    <n v="6.1749999999999998"/>
    <n v="6.1749999999999998"/>
    <n v="6.1749999999999998"/>
    <n v="0"/>
    <n v="0"/>
    <n v="0"/>
    <n v="0"/>
    <n v="0"/>
    <n v="0"/>
    <n v="0"/>
    <n v="0"/>
    <n v="0"/>
    <n v="0"/>
    <n v="0"/>
    <n v="0"/>
    <n v="0"/>
    <n v="0"/>
    <n v="0"/>
    <n v="0"/>
    <n v="0"/>
    <n v="0"/>
    <n v="0"/>
    <n v="0"/>
    <n v="0"/>
    <n v="0"/>
    <n v="0"/>
    <n v="0"/>
    <n v="0"/>
    <n v="0"/>
    <n v="0"/>
    <n v="0"/>
    <n v="0"/>
    <n v="0"/>
    <n v="0"/>
    <n v="0"/>
    <n v="0"/>
    <n v="0"/>
    <n v="0"/>
    <n v="0"/>
    <n v="0"/>
    <n v="0"/>
    <n v="31.200000000000003"/>
    <n v="0"/>
    <n v="0"/>
    <n v="0"/>
    <n v="0"/>
    <n v="0"/>
    <n v="31.200000000000003"/>
    <m/>
    <m/>
    <m/>
    <m/>
    <m/>
    <m/>
    <m/>
    <m/>
    <s v="1"/>
    <s v="1"/>
    <s v="1"/>
    <s v="1"/>
    <s v="1"/>
    <m/>
    <m/>
    <m/>
    <m/>
    <m/>
    <m/>
    <m/>
    <m/>
    <m/>
    <m/>
    <m/>
    <m/>
    <m/>
    <m/>
  </r>
  <r>
    <n v="742"/>
    <d v="2025-03-07T00:00:00"/>
    <s v="ZBTO"/>
    <n v="9518583177"/>
    <n v="1"/>
    <s v="9518583177-1"/>
    <s v="No Priority"/>
    <x v="0"/>
    <m/>
    <x v="1"/>
    <x v="1"/>
    <n v="2000"/>
    <m/>
    <x v="0"/>
    <m/>
    <s v="Exp BTF &lt;17MT"/>
    <s v="Delhi"/>
    <s v="North"/>
    <s v="ZOSOLA"/>
    <s v="Coil"/>
    <n v="184986"/>
    <s v="SWASTIK STEEL PROCESSOR LLP"/>
    <n v="185664"/>
    <s v="CRSHEET-ICF  DQ TATXXD AU03 0.40 X 1250"/>
    <m/>
    <m/>
    <m/>
    <m/>
    <s v="Wider"/>
    <s v="C01"/>
    <s v="TATXXD"/>
    <s v="AU03"/>
    <n v="0.4"/>
    <n v="1250"/>
    <n v="0"/>
    <n v="174"/>
    <n v="110.875"/>
    <n v="63.125"/>
    <n v="13.04"/>
    <n v="63.125"/>
    <n v="63.125"/>
    <n v="0"/>
    <n v="0"/>
    <n v="0"/>
    <n v="0"/>
    <n v="0"/>
    <n v="0"/>
    <n v="0"/>
    <n v="0"/>
    <n v="0"/>
    <n v="0"/>
    <n v="0"/>
    <n v="0"/>
    <n v="0"/>
    <n v="0"/>
    <n v="0"/>
    <n v="0"/>
    <n v="0"/>
    <n v="0"/>
    <n v="0"/>
    <n v="0"/>
    <n v="0"/>
    <n v="0"/>
    <n v="0"/>
    <n v="0"/>
    <n v="0"/>
    <n v="0"/>
    <n v="0"/>
    <n v="0"/>
    <n v="0"/>
    <n v="0"/>
    <n v="0"/>
    <n v="0"/>
    <n v="0"/>
    <n v="0"/>
    <n v="0"/>
    <n v="0"/>
    <n v="0"/>
    <n v="0"/>
    <n v="86.575000000000017"/>
    <n v="0"/>
    <n v="0"/>
    <n v="0"/>
    <n v="0"/>
    <n v="0"/>
    <n v="86.575000000000017"/>
    <m/>
    <m/>
    <m/>
    <m/>
    <m/>
    <m/>
    <m/>
    <m/>
    <s v="1"/>
    <s v="1"/>
    <s v="1"/>
    <s v="1"/>
    <s v="1"/>
    <m/>
    <m/>
    <m/>
    <m/>
    <m/>
    <m/>
    <m/>
    <m/>
    <m/>
    <m/>
    <m/>
    <m/>
    <m/>
    <m/>
  </r>
  <r>
    <n v="743"/>
    <d v="2025-03-01T00:00:00"/>
    <s v="ZBTO"/>
    <n v="9518567404"/>
    <n v="1"/>
    <s v="9518567404-1"/>
    <s v="No Priority"/>
    <x v="0"/>
    <m/>
    <x v="4"/>
    <x v="3"/>
    <n v="1000"/>
    <m/>
    <x v="0"/>
    <m/>
    <m/>
    <s v="Rajasthan"/>
    <s v="TBSPL"/>
    <s v="RAJASTHAN"/>
    <s v="Coil"/>
    <n v="942293"/>
    <s v="TATA BLUESCOPE STEEL PRIVATE LIMITE"/>
    <n v="3946362"/>
    <s v="GL COIL HARD Y550GL M308 0.47 (TCT)X1220"/>
    <s v="AZ150"/>
    <m/>
    <n v="3"/>
    <n v="5"/>
    <s v="Wider"/>
    <s v="B04"/>
    <s v="Y550GL"/>
    <s v="M308"/>
    <n v="0.47"/>
    <n v="1220"/>
    <n v="0"/>
    <n v="252"/>
    <n v="223.86500000000001"/>
    <n v="28.135000000000002"/>
    <n v="0.41"/>
    <n v="0"/>
    <n v="0.54500000000000004"/>
    <n v="0"/>
    <n v="0"/>
    <n v="0"/>
    <n v="0"/>
    <n v="0"/>
    <n v="0"/>
    <n v="0"/>
    <n v="0"/>
    <n v="0"/>
    <n v="0"/>
    <n v="0"/>
    <n v="0"/>
    <n v="0"/>
    <n v="0"/>
    <n v="0"/>
    <n v="0"/>
    <n v="0"/>
    <n v="0"/>
    <n v="0"/>
    <n v="0"/>
    <n v="0"/>
    <n v="0"/>
    <n v="0"/>
    <n v="0"/>
    <n v="0"/>
    <n v="0"/>
    <n v="0"/>
    <n v="0"/>
    <n v="0"/>
    <n v="0"/>
    <n v="0"/>
    <n v="0"/>
    <n v="0"/>
    <n v="0"/>
    <n v="0"/>
    <n v="0"/>
    <n v="0"/>
    <n v="0"/>
    <n v="113.64999999999999"/>
    <n v="0"/>
    <n v="0"/>
    <n v="0"/>
    <n v="0"/>
    <n v="0"/>
    <n v="113.64999999999999"/>
    <m/>
    <m/>
    <m/>
    <m/>
    <m/>
    <m/>
    <m/>
    <m/>
    <s v="1"/>
    <s v="1"/>
    <s v="1"/>
    <s v="1"/>
    <s v="1"/>
    <m/>
    <m/>
    <m/>
    <m/>
    <m/>
    <m/>
    <m/>
    <m/>
    <m/>
    <m/>
    <m/>
    <m/>
    <m/>
    <m/>
  </r>
  <r>
    <n v="744"/>
    <d v="2025-03-06T00:00:00"/>
    <s v="ZBTO"/>
    <n v="9518578543"/>
    <n v="1"/>
    <s v="9518578543-1"/>
    <s v="Stocks"/>
    <x v="0"/>
    <m/>
    <x v="2"/>
    <x v="3"/>
    <s v="1000-IPPE"/>
    <m/>
    <x v="1"/>
    <m/>
    <m/>
    <s v="Tamil Nadu"/>
    <s v="South"/>
    <s v="TAMILNADU"/>
    <s v="Coil"/>
    <n v="940074"/>
    <s v="TATA BLUESCOPE STEEL PRIVATE LIMITE"/>
    <n v="3960056"/>
    <s v="PPGL C HARD Y550PL DX01 0.53(TPT)X1220"/>
    <s v="AZ150"/>
    <s v="RAL 5012 TSL 2002"/>
    <n v="3"/>
    <n v="5"/>
    <s v="Wider"/>
    <s v="B18"/>
    <s v="Y550PL"/>
    <s v="DX01"/>
    <n v="0.53"/>
    <n v="1220"/>
    <n v="0"/>
    <n v="56"/>
    <n v="0"/>
    <n v="56"/>
    <n v="20.885000000000002"/>
    <n v="56"/>
    <n v="3.1349999999999998"/>
    <n v="0"/>
    <n v="0"/>
    <n v="0"/>
    <n v="0"/>
    <n v="0"/>
    <n v="0"/>
    <n v="0"/>
    <n v="0"/>
    <n v="0"/>
    <n v="0"/>
    <n v="0"/>
    <n v="0"/>
    <n v="0"/>
    <n v="0"/>
    <n v="0"/>
    <n v="0"/>
    <n v="0"/>
    <n v="0"/>
    <n v="0"/>
    <n v="0"/>
    <n v="0"/>
    <n v="0"/>
    <n v="0"/>
    <n v="0"/>
    <n v="52.864999999999995"/>
    <n v="3.1349999999999998"/>
    <n v="3.1349999999999998"/>
    <n v="0"/>
    <n v="0"/>
    <n v="0"/>
    <n v="0"/>
    <n v="0"/>
    <n v="0"/>
    <n v="0"/>
    <n v="0"/>
    <n v="0"/>
    <n v="0"/>
    <n v="55.999999999999993"/>
    <n v="0"/>
    <n v="0"/>
    <n v="0"/>
    <n v="0"/>
    <n v="0"/>
    <n v="0"/>
    <n v="0"/>
    <m/>
    <m/>
    <m/>
    <m/>
    <m/>
    <m/>
    <m/>
    <m/>
    <s v="0"/>
    <s v="1"/>
    <s v="1"/>
    <s v="1"/>
    <s v="1"/>
    <m/>
    <m/>
    <m/>
    <m/>
    <m/>
    <m/>
    <m/>
    <m/>
    <m/>
    <m/>
    <m/>
    <m/>
    <m/>
    <m/>
  </r>
  <r>
    <n v="744"/>
    <d v="2025-03-08T00:00:00"/>
    <s v="ZBTO"/>
    <n v="9518585087"/>
    <n v="2"/>
    <s v="9518585087-2"/>
    <s v="No Priority"/>
    <x v="0"/>
    <m/>
    <x v="2"/>
    <x v="3"/>
    <s v="1000-IPPE"/>
    <m/>
    <x v="1"/>
    <m/>
    <m/>
    <s v="Tamil Nadu"/>
    <s v="South"/>
    <s v="TAMILNADU"/>
    <s v="Coil"/>
    <n v="940074"/>
    <s v="TATA BLUESCOPE STEEL PRIVATE LIMITE"/>
    <n v="3960056"/>
    <s v="PPGL C HARD Y550PL DX01 0.53(TPT)X1220"/>
    <s v="AZ150"/>
    <s v="RAL 9010 TSL 2007"/>
    <n v="3"/>
    <n v="5"/>
    <s v="Wider"/>
    <s v="B18"/>
    <s v="Y550PL"/>
    <s v="DX01"/>
    <n v="0.53"/>
    <n v="1220"/>
    <n v="0"/>
    <n v="223.98"/>
    <n v="208.31"/>
    <n v="15.67"/>
    <n v="0.47"/>
    <n v="0"/>
    <n v="15.67"/>
    <n v="0"/>
    <n v="0"/>
    <n v="0"/>
    <n v="0"/>
    <n v="0"/>
    <n v="0"/>
    <n v="0"/>
    <n v="0"/>
    <n v="0"/>
    <n v="0"/>
    <n v="0"/>
    <n v="0"/>
    <n v="0"/>
    <n v="0"/>
    <n v="0"/>
    <n v="32.774999999999999"/>
    <n v="0"/>
    <n v="0"/>
    <n v="0"/>
    <n v="32.774999999999999"/>
    <n v="32.774999999999999"/>
    <n v="0"/>
    <n v="32.774999999999999"/>
    <n v="0"/>
    <n v="0"/>
    <n v="15.67"/>
    <n v="0"/>
    <n v="0"/>
    <n v="15.67"/>
    <n v="0"/>
    <n v="0"/>
    <n v="0"/>
    <n v="0"/>
    <n v="0"/>
    <n v="0"/>
    <n v="0"/>
    <n v="0"/>
    <n v="15.67"/>
    <n v="2.8849999999999998"/>
    <n v="0"/>
    <n v="0"/>
    <n v="2.8849999999999998"/>
    <n v="0"/>
    <n v="0"/>
    <n v="0"/>
    <m/>
    <m/>
    <m/>
    <m/>
    <m/>
    <m/>
    <m/>
    <m/>
    <s v="1"/>
    <s v="1"/>
    <s v="0"/>
    <s v="1"/>
    <s v="1"/>
    <m/>
    <m/>
    <m/>
    <m/>
    <m/>
    <m/>
    <m/>
    <m/>
    <m/>
    <m/>
    <m/>
    <m/>
    <m/>
    <m/>
  </r>
  <r>
    <n v="742"/>
    <d v="2025-02-26T00:00:00"/>
    <s v="ZBTO"/>
    <n v="9518554461"/>
    <n v="1"/>
    <s v="9518554461-1"/>
    <s v="No Priority"/>
    <x v="0"/>
    <m/>
    <x v="1"/>
    <x v="10"/>
    <s v="1000-IPPE"/>
    <m/>
    <x v="0"/>
    <m/>
    <m/>
    <s v="Andhra Pradesh"/>
    <s v="South"/>
    <s v="VISAJHAPATNAM"/>
    <s v="Sheet"/>
    <n v="186001"/>
    <s v="BABA CONTAINER MANUFACTURERS"/>
    <n v="3945230"/>
    <s v="CRCA SHEET TATXXD BT02 0.800X920X1805"/>
    <s v=" "/>
    <s v=""/>
    <n v="1"/>
    <n v="3"/>
    <s v="Narrow"/>
    <s v="C06"/>
    <s v="TATXXD"/>
    <s v="BT02"/>
    <n v="0.8"/>
    <n v="920"/>
    <n v="1805"/>
    <n v="270"/>
    <n v="252.81"/>
    <n v="17.190000000000001"/>
    <n v="17.190000000000001"/>
    <n v="17.190000000000001"/>
    <n v="0"/>
    <n v="0"/>
    <n v="0"/>
    <n v="0"/>
    <n v="0"/>
    <n v="0"/>
    <n v="0"/>
    <n v="0"/>
    <n v="0"/>
    <n v="0"/>
    <n v="0"/>
    <n v="0"/>
    <n v="0"/>
    <n v="0"/>
    <n v="0"/>
    <n v="0"/>
    <n v="0"/>
    <n v="0"/>
    <n v="0"/>
    <n v="0"/>
    <n v="0"/>
    <n v="0"/>
    <n v="0"/>
    <n v="0"/>
    <n v="0"/>
    <n v="0"/>
    <n v="0"/>
    <n v="0"/>
    <n v="0"/>
    <n v="0"/>
    <n v="0"/>
    <n v="0"/>
    <n v="0"/>
    <n v="0"/>
    <n v="0"/>
    <n v="0"/>
    <n v="0"/>
    <n v="0"/>
    <n v="0"/>
    <n v="95.02"/>
    <n v="0"/>
    <n v="0"/>
    <n v="0"/>
    <n v="0"/>
    <n v="0"/>
    <n v="95.02"/>
    <m/>
    <m/>
    <m/>
    <m/>
    <m/>
    <m/>
    <m/>
    <m/>
    <s v="1"/>
    <s v="1"/>
    <s v="1"/>
    <s v="1"/>
    <s v="1"/>
    <m/>
    <m/>
    <m/>
    <m/>
    <m/>
    <m/>
    <m/>
    <m/>
    <m/>
    <m/>
    <m/>
    <m/>
    <m/>
    <m/>
  </r>
  <r>
    <n v="744"/>
    <d v="2025-03-11T00:00:00"/>
    <s v="ZBTO"/>
    <n v="9518593369"/>
    <n v="1"/>
    <s v="9518593369-1"/>
    <s v="Stocks"/>
    <x v="0"/>
    <m/>
    <x v="2"/>
    <x v="3"/>
    <s v="1000-IPPE"/>
    <m/>
    <x v="1"/>
    <m/>
    <m/>
    <s v="Jharkhand"/>
    <s v="East"/>
    <s v="GAMHARIA"/>
    <s v="Coil"/>
    <n v="940016"/>
    <s v="TATA BLUESCOPE STEEL PVT LTD."/>
    <n v="3964963"/>
    <s v="PPGL C HARD Y550PL DX01 0.68(TPT)X1220"/>
    <s v="AZ150"/>
    <s v="RAL 5012 TSL 2002"/>
    <n v="3"/>
    <n v="5"/>
    <s v="Wider"/>
    <s v="B18"/>
    <s v="Y550PL"/>
    <s v="DX01"/>
    <n v="0.68"/>
    <n v="1220"/>
    <n v="0"/>
    <n v="28"/>
    <n v="0"/>
    <n v="28"/>
    <n v="9.0449999999999999"/>
    <n v="0.71499999999999986"/>
    <n v="9.2799999999999994"/>
    <n v="0"/>
    <n v="0"/>
    <n v="0"/>
    <n v="0"/>
    <n v="0"/>
    <n v="0"/>
    <n v="0"/>
    <n v="0"/>
    <n v="0"/>
    <n v="27.285"/>
    <n v="0"/>
    <n v="0"/>
    <n v="0"/>
    <n v="0"/>
    <n v="0"/>
    <n v="0"/>
    <n v="0"/>
    <n v="0"/>
    <n v="0"/>
    <n v="27.285"/>
    <n v="27.285"/>
    <n v="0"/>
    <n v="27.285"/>
    <n v="0"/>
    <n v="18.720000000000002"/>
    <n v="9.2799999999999994"/>
    <n v="9.2799999999999994"/>
    <n v="0"/>
    <n v="0"/>
    <n v="0"/>
    <n v="0"/>
    <n v="0"/>
    <n v="0"/>
    <n v="0"/>
    <n v="0"/>
    <n v="0"/>
    <n v="0"/>
    <n v="28"/>
    <n v="0"/>
    <n v="0"/>
    <n v="0"/>
    <n v="0"/>
    <n v="0"/>
    <n v="0"/>
    <n v="0"/>
    <m/>
    <m/>
    <m/>
    <m/>
    <m/>
    <m/>
    <m/>
    <m/>
    <s v="0"/>
    <s v="1"/>
    <s v="1"/>
    <s v="1"/>
    <s v="1"/>
    <m/>
    <m/>
    <m/>
    <m/>
    <m/>
    <m/>
    <m/>
    <m/>
    <m/>
    <m/>
    <m/>
    <m/>
    <m/>
    <m/>
  </r>
  <r>
    <n v="743"/>
    <d v="2025-03-11T00:00:00"/>
    <s v="ZBTO"/>
    <n v="9518593433"/>
    <n v="6"/>
    <s v="9518593433-6"/>
    <s v="No Priority"/>
    <x v="0"/>
    <m/>
    <x v="3"/>
    <x v="9"/>
    <s v="2000-BPRS"/>
    <m/>
    <x v="0"/>
    <m/>
    <m/>
    <s v="Jharkhand"/>
    <s v="East"/>
    <s v="BOKARO STEEL CY"/>
    <s v="Coil"/>
    <n v="121328"/>
    <s v="R. S. BOKARO METAL (P) LTD."/>
    <n v="1854424"/>
    <s v="GP COIL SOFT-TATXGP-GK09-0.6X900"/>
    <s v="Z80"/>
    <s v=""/>
    <n v="4"/>
    <n v="12"/>
    <s v="Narrow"/>
    <s v="C02"/>
    <s v="TATXGP"/>
    <s v="GK09"/>
    <n v="0.6"/>
    <n v="900"/>
    <n v="0"/>
    <n v="84"/>
    <n v="77.599999999999994"/>
    <n v="6.4"/>
    <n v="-1.835"/>
    <n v="0"/>
    <n v="6.4"/>
    <n v="0"/>
    <n v="0"/>
    <n v="0"/>
    <n v="0"/>
    <n v="0"/>
    <n v="0"/>
    <n v="0"/>
    <n v="8.2350000000000012"/>
    <n v="0"/>
    <n v="0"/>
    <n v="0"/>
    <n v="0"/>
    <n v="0"/>
    <n v="0"/>
    <n v="0"/>
    <n v="0"/>
    <n v="0"/>
    <n v="0"/>
    <n v="0"/>
    <n v="8.2350000000000012"/>
    <n v="8.2350000000000012"/>
    <n v="0"/>
    <n v="8.2350000000000012"/>
    <n v="0"/>
    <n v="0"/>
    <n v="0"/>
    <n v="0"/>
    <n v="0"/>
    <n v="0"/>
    <n v="0"/>
    <n v="0"/>
    <n v="0"/>
    <n v="0"/>
    <n v="0"/>
    <n v="0"/>
    <n v="0"/>
    <n v="0"/>
    <n v="0"/>
    <n v="57.86"/>
    <n v="0"/>
    <n v="0"/>
    <n v="0"/>
    <n v="0"/>
    <n v="0"/>
    <n v="57.86"/>
    <m/>
    <m/>
    <m/>
    <m/>
    <m/>
    <m/>
    <m/>
    <m/>
    <s v="1"/>
    <s v="1"/>
    <s v="1"/>
    <s v="1"/>
    <s v="1"/>
    <m/>
    <m/>
    <m/>
    <m/>
    <m/>
    <m/>
    <m/>
    <m/>
    <m/>
    <m/>
    <m/>
    <m/>
    <m/>
    <m/>
  </r>
  <r>
    <n v="742"/>
    <d v="2025-03-17T00:00:00"/>
    <s v="ZBTF"/>
    <n v="9518607093"/>
    <n v="6"/>
    <s v="9518607093-6"/>
    <s v="Apr'25 "/>
    <x v="0"/>
    <m/>
    <x v="1"/>
    <x v="7"/>
    <s v="1000-IPPE"/>
    <m/>
    <x v="1"/>
    <m/>
    <m/>
    <s v="Uttar Pradesh"/>
    <s v="North"/>
    <s v="PILKHUWA"/>
    <s v="Coil"/>
    <n v="600250"/>
    <s v="TATA CENTER"/>
    <n v="2439203"/>
    <s v="CRCA COIL TSBSTA EL06 0.500X1160"/>
    <s v=" "/>
    <s v=""/>
    <n v="8"/>
    <n v="13"/>
    <s v="Narrow"/>
    <s v="C01"/>
    <s v="TSBSTA"/>
    <s v="EL06"/>
    <n v="0.5"/>
    <n v="1160"/>
    <n v="0"/>
    <n v="297"/>
    <n v="230.85"/>
    <n v="66.150000000000006"/>
    <n v="18.555"/>
    <n v="66.150000000000006"/>
    <n v="31.06"/>
    <n v="0"/>
    <n v="0"/>
    <n v="0"/>
    <n v="0"/>
    <n v="0"/>
    <n v="0"/>
    <n v="0"/>
    <n v="0"/>
    <n v="0"/>
    <n v="0"/>
    <n v="0"/>
    <n v="0"/>
    <n v="0"/>
    <n v="0"/>
    <n v="0"/>
    <n v="0"/>
    <n v="0"/>
    <n v="0"/>
    <n v="0"/>
    <n v="0"/>
    <n v="0"/>
    <n v="0"/>
    <n v="0"/>
    <n v="0"/>
    <n v="24.535"/>
    <n v="31.06"/>
    <n v="0"/>
    <n v="0"/>
    <n v="31.06"/>
    <n v="0"/>
    <n v="0"/>
    <n v="0"/>
    <n v="0"/>
    <n v="0"/>
    <n v="0"/>
    <n v="0"/>
    <n v="0"/>
    <n v="55.594999999999999"/>
    <n v="148.435"/>
    <n v="0"/>
    <n v="0"/>
    <n v="31.06"/>
    <n v="0"/>
    <n v="0"/>
    <n v="117.375"/>
    <m/>
    <m/>
    <m/>
    <m/>
    <m/>
    <m/>
    <m/>
    <m/>
    <s v="1"/>
    <s v="1"/>
    <s v="1"/>
    <s v="1"/>
    <s v="1"/>
    <m/>
    <m/>
    <m/>
    <m/>
    <m/>
    <m/>
    <m/>
    <m/>
    <m/>
    <m/>
    <m/>
    <m/>
    <m/>
    <m/>
  </r>
  <r>
    <n v="742"/>
    <d v="2025-03-06T00:00:00"/>
    <s v="ZBTO"/>
    <n v="9518578859"/>
    <n v="1"/>
    <s v="9518578859-1"/>
    <s v="Stocks"/>
    <x v="0"/>
    <m/>
    <x v="1"/>
    <x v="2"/>
    <s v="2000-BPRS"/>
    <m/>
    <x v="1"/>
    <m/>
    <m/>
    <s v="Uttar Pradesh"/>
    <s v="North"/>
    <s v="KANPUR"/>
    <s v="Sheet"/>
    <n v="933952"/>
    <s v="AGARWAL STEEL TRADERS"/>
    <n v="3240761"/>
    <s v="CRCA SHEET TSBCRC SR15 0.500X1250X2030"/>
    <s v=" "/>
    <s v=""/>
    <n v="0"/>
    <n v="0"/>
    <s v="Wider"/>
    <s v="C06"/>
    <s v="TSBCRC"/>
    <s v="SR15"/>
    <n v="0.5"/>
    <n v="1250"/>
    <n v="2030"/>
    <n v="108"/>
    <n v="38.72"/>
    <n v="69.28"/>
    <n v="1.105"/>
    <n v="0"/>
    <n v="7.5149999999999997"/>
    <n v="0"/>
    <n v="0"/>
    <n v="0"/>
    <n v="0"/>
    <n v="0"/>
    <n v="0"/>
    <n v="0"/>
    <n v="0"/>
    <n v="0"/>
    <n v="0"/>
    <n v="0"/>
    <n v="0"/>
    <n v="0"/>
    <n v="0"/>
    <n v="0"/>
    <n v="0"/>
    <n v="0"/>
    <n v="0"/>
    <n v="0"/>
    <n v="0"/>
    <n v="0"/>
    <n v="0"/>
    <n v="0"/>
    <n v="0"/>
    <n v="9.48"/>
    <n v="0"/>
    <n v="0"/>
    <n v="0"/>
    <n v="0"/>
    <n v="0"/>
    <n v="0"/>
    <n v="0"/>
    <n v="0"/>
    <n v="0"/>
    <n v="0"/>
    <n v="0"/>
    <n v="0"/>
    <n v="9.48"/>
    <n v="0"/>
    <n v="0"/>
    <n v="0"/>
    <n v="0"/>
    <n v="0"/>
    <n v="0"/>
    <n v="0"/>
    <m/>
    <m/>
    <m/>
    <m/>
    <m/>
    <m/>
    <m/>
    <m/>
    <s v="1"/>
    <s v="1"/>
    <s v="1"/>
    <s v="1"/>
    <s v="1"/>
    <m/>
    <m/>
    <m/>
    <m/>
    <m/>
    <m/>
    <m/>
    <m/>
    <m/>
    <m/>
    <m/>
    <m/>
    <m/>
    <m/>
  </r>
  <r>
    <n v="742"/>
    <d v="2025-03-06T00:00:00"/>
    <s v="ZBTO"/>
    <n v="9518578859"/>
    <n v="3"/>
    <s v="9518578859-3"/>
    <s v="No Priority"/>
    <x v="0"/>
    <m/>
    <x v="1"/>
    <x v="2"/>
    <s v="2000-BPRS"/>
    <m/>
    <x v="0"/>
    <m/>
    <m/>
    <s v="Uttar Pradesh"/>
    <s v="North"/>
    <s v="KANPUR"/>
    <s v="Sheet"/>
    <n v="933952"/>
    <s v="AGARWAL STEEL TRADERS"/>
    <n v="3240787"/>
    <s v="CRCA SHEET TSBCRC SR15 0.700X1250X1930"/>
    <s v=" "/>
    <s v=""/>
    <n v="0"/>
    <n v="0"/>
    <s v="Wider"/>
    <s v="C06"/>
    <s v="TSBCRC"/>
    <s v="SR15"/>
    <n v="0.7"/>
    <n v="1250"/>
    <n v="1930"/>
    <n v="27"/>
    <n v="0"/>
    <n v="27"/>
    <n v="1.2050000000000001"/>
    <n v="0"/>
    <n v="1.63"/>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6T00:00:00"/>
    <s v="ZBTO"/>
    <n v="9518579878"/>
    <n v="6"/>
    <s v="9518579878-6"/>
    <s v="No Priority"/>
    <x v="0"/>
    <m/>
    <x v="1"/>
    <x v="2"/>
    <s v="2000-BPRS"/>
    <m/>
    <x v="0"/>
    <m/>
    <s v="Exp BTF &lt;17MT"/>
    <s v="Uttar Pradesh"/>
    <s v="North"/>
    <s v="VARANASI"/>
    <s v="Sheet"/>
    <n v="931525"/>
    <s v="INDIA STEEL INDUSTRIES"/>
    <n v="3240761"/>
    <s v="CRCA SHEET TSBCRC SR15 0.500X1250X2030"/>
    <s v=" "/>
    <s v=""/>
    <n v="0"/>
    <n v="0"/>
    <s v="Wider"/>
    <s v="C06"/>
    <s v="TSBCRC"/>
    <s v="SR15"/>
    <n v="0.5"/>
    <n v="1250"/>
    <n v="2030"/>
    <n v="108"/>
    <n v="102.61499999999999"/>
    <n v="5.3849999999999998"/>
    <n v="3.6549999999999998"/>
    <n v="5.3849999999999998"/>
    <n v="5.384999999999999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4T00:00:00"/>
    <s v="ZBTO"/>
    <n v="9518572111"/>
    <n v="3"/>
    <s v="9518572111-3"/>
    <s v="No Priority"/>
    <x v="0"/>
    <m/>
    <x v="1"/>
    <x v="2"/>
    <s v="2000-BPRS"/>
    <m/>
    <x v="0"/>
    <m/>
    <m/>
    <s v="Jharkhand"/>
    <s v="East"/>
    <s v="TATANAGAR"/>
    <s v="Sheet"/>
    <n v="165053"/>
    <s v="SUDISA ENTERPRISES (P) LTD."/>
    <n v="3410101"/>
    <s v="CRCA SHEET TSBCRC SR15 0.750X1000X2500"/>
    <s v=" "/>
    <s v=""/>
    <n v="2.8"/>
    <n v="3.2"/>
    <s v="Narrow"/>
    <s v="C06"/>
    <s v="TSBCRC"/>
    <s v="SR15"/>
    <n v="0.75"/>
    <n v="1000"/>
    <n v="2500"/>
    <n v="20.99"/>
    <n v="19.940000000000001"/>
    <n v="1.05"/>
    <n v="1.05"/>
    <n v="0"/>
    <n v="1.05"/>
    <n v="0"/>
    <n v="0"/>
    <n v="0"/>
    <n v="0"/>
    <n v="0"/>
    <n v="0"/>
    <n v="0"/>
    <n v="0"/>
    <n v="0"/>
    <n v="0"/>
    <n v="0"/>
    <n v="0"/>
    <n v="0"/>
    <n v="0"/>
    <n v="0"/>
    <n v="0"/>
    <n v="0"/>
    <n v="0"/>
    <n v="0"/>
    <n v="0"/>
    <n v="0"/>
    <n v="0"/>
    <n v="0"/>
    <n v="0"/>
    <n v="0"/>
    <n v="0"/>
    <n v="0"/>
    <n v="0"/>
    <n v="0"/>
    <n v="0"/>
    <n v="0"/>
    <n v="0"/>
    <n v="0"/>
    <n v="0"/>
    <n v="0"/>
    <n v="0"/>
    <n v="0"/>
    <n v="0"/>
    <n v="17.57"/>
    <n v="0"/>
    <n v="0"/>
    <n v="0"/>
    <n v="0"/>
    <n v="0"/>
    <n v="17.57"/>
    <m/>
    <m/>
    <m/>
    <m/>
    <m/>
    <m/>
    <m/>
    <m/>
    <s v="1"/>
    <s v="1"/>
    <s v="1"/>
    <s v="1"/>
    <s v="1"/>
    <m/>
    <m/>
    <m/>
    <m/>
    <m/>
    <m/>
    <m/>
    <m/>
    <m/>
    <m/>
    <m/>
    <m/>
    <m/>
    <m/>
  </r>
  <r>
    <n v="742"/>
    <d v="2025-03-07T00:00:00"/>
    <s v="ZBTO"/>
    <n v="9518583094"/>
    <n v="5"/>
    <s v="9518583094-5"/>
    <s v="No Priority"/>
    <x v="0"/>
    <m/>
    <x v="1"/>
    <x v="2"/>
    <s v="2000-BPRS"/>
    <m/>
    <x v="0"/>
    <m/>
    <m/>
    <s v="Uttar Pradesh"/>
    <s v="North"/>
    <s v="VARANASI"/>
    <s v="Sheet"/>
    <n v="931525"/>
    <s v="INDIA STEEL INDUSTRIES"/>
    <n v="3240761"/>
    <s v="CRCA SHEET TSBCRC SR15 0.500X1250X2030"/>
    <s v=" "/>
    <s v=""/>
    <n v="0"/>
    <n v="0"/>
    <s v="Wider"/>
    <s v="C06"/>
    <s v="TSBCRC"/>
    <s v="SR15"/>
    <n v="0.5"/>
    <n v="1250"/>
    <n v="2030"/>
    <n v="54"/>
    <n v="25.745000000000001"/>
    <n v="28.254999999999999"/>
    <n v="1.135"/>
    <n v="0"/>
    <n v="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7T00:00:00"/>
    <s v="ZBTO"/>
    <n v="9518583094"/>
    <n v="6"/>
    <s v="9518583094-6"/>
    <s v="No Priority"/>
    <x v="0"/>
    <m/>
    <x v="1"/>
    <x v="2"/>
    <s v="2000-BPRS"/>
    <m/>
    <x v="0"/>
    <m/>
    <m/>
    <s v="Uttar Pradesh"/>
    <s v="North"/>
    <s v="VARANASI"/>
    <s v="Sheet"/>
    <n v="931525"/>
    <s v="INDIA STEEL INDUSTRIES"/>
    <n v="3247971"/>
    <s v="CRCA SHEET TSBCRC SR15 0.500X1250X2020"/>
    <s v=" "/>
    <s v=""/>
    <n v="0"/>
    <n v="0"/>
    <s v="Wider"/>
    <s v="C06"/>
    <s v="TSBCRC"/>
    <s v="SR15"/>
    <n v="0.5"/>
    <n v="1250"/>
    <n v="2020"/>
    <n v="54"/>
    <n v="25.954999999999998"/>
    <n v="28.045000000000002"/>
    <n v="-5.0000000000000001E-3"/>
    <n v="0"/>
    <n v="1.65"/>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3T00:00:00"/>
    <s v="ZBTO"/>
    <n v="9518598795"/>
    <n v="5"/>
    <s v="9518598795-5"/>
    <s v="Apr'25 "/>
    <x v="0"/>
    <m/>
    <x v="1"/>
    <x v="1"/>
    <s v="2000-BPRS"/>
    <m/>
    <x v="1"/>
    <m/>
    <m/>
    <s v="Tamil Nadu"/>
    <s v="South"/>
    <s v="GUMMIDIPOONDI"/>
    <s v="Coil"/>
    <n v="822271"/>
    <s v="TATA STEEL DOWNSTREAM PRODUCTS LIMI"/>
    <n v="1804867"/>
    <s v="CRCA COIL-TATXXD-AU03-1.6X1250"/>
    <s v=" "/>
    <s v=""/>
    <n v="5"/>
    <n v="29"/>
    <s v="Wider"/>
    <s v="C01"/>
    <s v="TATXXD"/>
    <s v="AU03"/>
    <n v="1.6"/>
    <n v="1250"/>
    <n v="0"/>
    <n v="87"/>
    <n v="69.715000000000003"/>
    <n v="17.285"/>
    <n v="17.285"/>
    <n v="-3.3949999999999996"/>
    <n v="17.285"/>
    <n v="0"/>
    <n v="0"/>
    <n v="0"/>
    <n v="0"/>
    <n v="0"/>
    <n v="0"/>
    <n v="0"/>
    <n v="0"/>
    <n v="0"/>
    <n v="0"/>
    <n v="0"/>
    <n v="0"/>
    <n v="0"/>
    <n v="20.68"/>
    <n v="0"/>
    <n v="0"/>
    <n v="0"/>
    <n v="0"/>
    <n v="0"/>
    <n v="20.68"/>
    <n v="20.68"/>
    <n v="0"/>
    <n v="20.68"/>
    <n v="0"/>
    <n v="0"/>
    <n v="17.285"/>
    <n v="17.285"/>
    <n v="0"/>
    <n v="0"/>
    <n v="0"/>
    <n v="0"/>
    <n v="0"/>
    <n v="0"/>
    <n v="0"/>
    <n v="0"/>
    <n v="0"/>
    <n v="0"/>
    <n v="17.285"/>
    <n v="18.989999999999998"/>
    <n v="17.285"/>
    <n v="0"/>
    <n v="0"/>
    <n v="0"/>
    <n v="0"/>
    <n v="1.7049999999999983"/>
    <m/>
    <m/>
    <m/>
    <m/>
    <m/>
    <m/>
    <m/>
    <m/>
    <s v="1"/>
    <s v="1"/>
    <s v="1"/>
    <s v="1"/>
    <s v="1"/>
    <m/>
    <m/>
    <m/>
    <m/>
    <m/>
    <m/>
    <m/>
    <m/>
    <m/>
    <m/>
    <m/>
    <m/>
    <m/>
    <m/>
  </r>
  <r>
    <n v="742"/>
    <d v="2025-03-06T00:00:00"/>
    <s v="ZBTO"/>
    <n v="9518579878"/>
    <n v="3"/>
    <s v="9518579878-3"/>
    <s v="Stocks"/>
    <x v="0"/>
    <m/>
    <x v="1"/>
    <x v="2"/>
    <s v="2000-BPRS"/>
    <m/>
    <x v="1"/>
    <m/>
    <m/>
    <s v="Uttar Pradesh"/>
    <s v="North"/>
    <s v="VARANASI"/>
    <s v="Sheet"/>
    <n v="931525"/>
    <s v="INDIA STEEL INDUSTRIES"/>
    <n v="3240765"/>
    <s v="CRCA SHEET TSBCRC SR15 0.500X1250X2500"/>
    <s v=" "/>
    <s v=""/>
    <n v="0"/>
    <n v="0"/>
    <s v="Wider"/>
    <s v="C06"/>
    <s v="TSBCRC"/>
    <s v="SR15"/>
    <n v="0.5"/>
    <n v="1250"/>
    <n v="2500"/>
    <n v="27"/>
    <n v="0"/>
    <n v="27"/>
    <n v="0.495"/>
    <n v="0"/>
    <n v="1.9750000000000001"/>
    <n v="0"/>
    <n v="0"/>
    <n v="0"/>
    <n v="0"/>
    <n v="0"/>
    <n v="0"/>
    <n v="0"/>
    <n v="0"/>
    <n v="0"/>
    <n v="0"/>
    <n v="0"/>
    <n v="0"/>
    <n v="0"/>
    <n v="0"/>
    <n v="0"/>
    <n v="0"/>
    <n v="0"/>
    <n v="0"/>
    <n v="0"/>
    <n v="0"/>
    <n v="0"/>
    <n v="0"/>
    <n v="0"/>
    <n v="0"/>
    <n v="2.585"/>
    <n v="0"/>
    <n v="0"/>
    <n v="0"/>
    <n v="0"/>
    <n v="0"/>
    <n v="0"/>
    <n v="0"/>
    <n v="0"/>
    <n v="0"/>
    <n v="0"/>
    <n v="0"/>
    <n v="0"/>
    <n v="2.585"/>
    <n v="0"/>
    <n v="0"/>
    <n v="0"/>
    <n v="0"/>
    <n v="0"/>
    <n v="0"/>
    <n v="0"/>
    <m/>
    <m/>
    <m/>
    <m/>
    <m/>
    <m/>
    <m/>
    <m/>
    <s v="1"/>
    <s v="1"/>
    <s v="1"/>
    <s v="1"/>
    <s v="1"/>
    <m/>
    <m/>
    <m/>
    <m/>
    <m/>
    <m/>
    <m/>
    <m/>
    <m/>
    <m/>
    <m/>
    <m/>
    <m/>
    <m/>
  </r>
  <r>
    <n v="742"/>
    <d v="2025-03-06T00:00:00"/>
    <s v="ZBTO"/>
    <n v="9518579878"/>
    <n v="8"/>
    <s v="9518579878-8"/>
    <s v="No Priority"/>
    <x v="0"/>
    <m/>
    <x v="1"/>
    <x v="2"/>
    <s v="2000-BPRS"/>
    <m/>
    <x v="0"/>
    <m/>
    <s v="Exp BTF &lt;17MT"/>
    <s v="Uttar Pradesh"/>
    <s v="North"/>
    <s v="VARANASI"/>
    <s v="Sheet"/>
    <n v="931525"/>
    <s v="INDIA STEEL INDUSTRIES"/>
    <n v="3765561"/>
    <s v="CRCA SHEET TSBCRC SR15 0.700X1000X1930"/>
    <s v=" "/>
    <s v=""/>
    <n v="0"/>
    <n v="0"/>
    <s v="Narrow"/>
    <s v="C06"/>
    <s v="TSBCRC"/>
    <s v="SR15"/>
    <n v="0.7"/>
    <n v="1000"/>
    <n v="1930"/>
    <n v="27"/>
    <n v="20.190000000000001"/>
    <n v="6.81"/>
    <n v="6.81"/>
    <n v="6.81"/>
    <n v="6.81"/>
    <n v="0"/>
    <n v="0"/>
    <n v="0"/>
    <n v="0"/>
    <n v="0"/>
    <n v="0"/>
    <n v="0"/>
    <n v="0"/>
    <n v="0"/>
    <n v="0"/>
    <n v="0"/>
    <n v="0"/>
    <n v="0"/>
    <n v="0"/>
    <n v="0"/>
    <n v="0"/>
    <n v="0"/>
    <n v="0"/>
    <n v="0"/>
    <n v="0"/>
    <n v="0"/>
    <n v="0"/>
    <n v="0"/>
    <n v="0"/>
    <n v="0"/>
    <n v="0"/>
    <n v="0"/>
    <n v="0"/>
    <n v="0"/>
    <n v="0"/>
    <n v="0"/>
    <n v="0"/>
    <n v="0"/>
    <n v="0"/>
    <n v="0"/>
    <n v="0"/>
    <n v="0"/>
    <n v="0"/>
    <n v="20.189999999999998"/>
    <n v="0"/>
    <n v="0"/>
    <n v="0"/>
    <n v="0"/>
    <n v="0"/>
    <n v="20.189999999999998"/>
    <m/>
    <m/>
    <m/>
    <m/>
    <m/>
    <m/>
    <m/>
    <m/>
    <s v="1"/>
    <s v="1"/>
    <s v="1"/>
    <s v="1"/>
    <s v="1"/>
    <m/>
    <m/>
    <m/>
    <m/>
    <m/>
    <m/>
    <m/>
    <m/>
    <m/>
    <m/>
    <m/>
    <m/>
    <m/>
    <m/>
  </r>
  <r>
    <n v="742"/>
    <d v="2025-03-06T00:00:00"/>
    <s v="ZBTO"/>
    <n v="9518579878"/>
    <n v="9"/>
    <s v="9518579878-9"/>
    <s v="No Priority"/>
    <x v="0"/>
    <m/>
    <x v="1"/>
    <x v="2"/>
    <s v="2000-BPRS"/>
    <m/>
    <x v="0"/>
    <m/>
    <s v="Exp BTF &lt;17MT"/>
    <s v="Uttar Pradesh"/>
    <s v="North"/>
    <s v="VARANASI"/>
    <s v="Sheet"/>
    <n v="931525"/>
    <s v="INDIA STEEL INDUSTRIES"/>
    <n v="3409561"/>
    <s v="CRCA SHEET TSBCRC SR15 0.600X1000X1930"/>
    <s v=" "/>
    <s v=""/>
    <n v="0"/>
    <n v="0"/>
    <s v="Narrow"/>
    <s v="C06"/>
    <s v="TSBCRC"/>
    <s v="SR15"/>
    <n v="0.6"/>
    <n v="1000"/>
    <n v="1930"/>
    <n v="27"/>
    <n v="20.329999999999998"/>
    <n v="6.67"/>
    <n v="6.67"/>
    <n v="6.67"/>
    <n v="6.67"/>
    <n v="0"/>
    <n v="0"/>
    <n v="0"/>
    <n v="0"/>
    <n v="0"/>
    <n v="0"/>
    <n v="0"/>
    <n v="0"/>
    <n v="0"/>
    <n v="0"/>
    <n v="0"/>
    <n v="0"/>
    <n v="0"/>
    <n v="0"/>
    <n v="0"/>
    <n v="0"/>
    <n v="0"/>
    <n v="0"/>
    <n v="0"/>
    <n v="0"/>
    <n v="0"/>
    <n v="0"/>
    <n v="0"/>
    <n v="0"/>
    <n v="0"/>
    <n v="0"/>
    <n v="0"/>
    <n v="0"/>
    <n v="0"/>
    <n v="0"/>
    <n v="0"/>
    <n v="0"/>
    <n v="0"/>
    <n v="0"/>
    <n v="0"/>
    <n v="0"/>
    <n v="0"/>
    <n v="0"/>
    <n v="20.330000000000002"/>
    <n v="0"/>
    <n v="0"/>
    <n v="0"/>
    <n v="0"/>
    <n v="0"/>
    <n v="20.330000000000002"/>
    <m/>
    <m/>
    <m/>
    <m/>
    <m/>
    <m/>
    <m/>
    <m/>
    <s v="1"/>
    <s v="1"/>
    <s v="1"/>
    <s v="1"/>
    <s v="1"/>
    <m/>
    <m/>
    <m/>
    <m/>
    <m/>
    <m/>
    <m/>
    <m/>
    <m/>
    <m/>
    <m/>
    <m/>
    <m/>
    <m/>
  </r>
  <r>
    <n v="742"/>
    <d v="2025-03-07T00:00:00"/>
    <s v="ZBTO"/>
    <n v="9518583094"/>
    <n v="7"/>
    <s v="9518583094-7"/>
    <s v="Stocks"/>
    <x v="0"/>
    <m/>
    <x v="1"/>
    <x v="2"/>
    <s v="2000-BPRS"/>
    <m/>
    <x v="1"/>
    <m/>
    <m/>
    <s v="Uttar Pradesh"/>
    <s v="North"/>
    <s v="VARANASI"/>
    <s v="Sheet"/>
    <n v="931525"/>
    <s v="INDIA STEEL INDUSTRIES"/>
    <n v="3247972"/>
    <s v="CRCA SHEET TSBCRC SR15 0.600X1250X2020"/>
    <s v=" "/>
    <s v=""/>
    <n v="0"/>
    <n v="0"/>
    <s v="Wider"/>
    <s v="C06"/>
    <s v="TSBCRC"/>
    <s v="SR15"/>
    <n v="0.6"/>
    <n v="1250"/>
    <n v="2020"/>
    <n v="54"/>
    <n v="2.875"/>
    <n v="51.125"/>
    <n v="0.36499999999999999"/>
    <n v="0"/>
    <n v="3.26"/>
    <n v="0"/>
    <n v="0"/>
    <n v="0"/>
    <n v="0"/>
    <n v="0"/>
    <n v="0"/>
    <n v="0"/>
    <n v="0"/>
    <n v="0"/>
    <n v="0"/>
    <n v="0"/>
    <n v="0"/>
    <n v="0"/>
    <n v="0"/>
    <n v="0"/>
    <n v="0"/>
    <n v="0"/>
    <n v="0"/>
    <n v="0"/>
    <n v="0"/>
    <n v="0"/>
    <n v="0"/>
    <n v="0"/>
    <n v="0"/>
    <n v="2.5499999999999998"/>
    <n v="0"/>
    <n v="0"/>
    <n v="0"/>
    <n v="0"/>
    <n v="0"/>
    <n v="0"/>
    <n v="0"/>
    <n v="0"/>
    <n v="0"/>
    <n v="0"/>
    <n v="0"/>
    <n v="0"/>
    <n v="2.5499999999999998"/>
    <n v="0"/>
    <n v="0"/>
    <n v="0"/>
    <n v="0"/>
    <n v="0"/>
    <n v="0"/>
    <n v="0"/>
    <m/>
    <m/>
    <m/>
    <m/>
    <m/>
    <m/>
    <m/>
    <m/>
    <s v="1"/>
    <s v="1"/>
    <s v="1"/>
    <s v="1"/>
    <s v="1"/>
    <m/>
    <m/>
    <m/>
    <m/>
    <m/>
    <m/>
    <m/>
    <m/>
    <m/>
    <m/>
    <m/>
    <m/>
    <m/>
    <m/>
  </r>
  <r>
    <n v="742"/>
    <d v="2025-03-07T00:00:00"/>
    <s v="ZBTO"/>
    <n v="9518583094"/>
    <n v="8"/>
    <s v="9518583094-8"/>
    <s v="No Priority"/>
    <x v="0"/>
    <m/>
    <x v="1"/>
    <x v="2"/>
    <s v="2000-BPRS"/>
    <m/>
    <x v="0"/>
    <m/>
    <s v="Exp BTF &lt;17MT"/>
    <s v="Uttar Pradesh"/>
    <s v="North"/>
    <s v="VARANASI"/>
    <s v="Sheet"/>
    <n v="931525"/>
    <s v="INDIA STEEL INDUSTRIES"/>
    <n v="3765561"/>
    <s v="CRCA SHEET TSBCRC SR15 0.700X1000X1930"/>
    <s v=" "/>
    <s v=""/>
    <n v="0"/>
    <n v="0"/>
    <s v="Narrow"/>
    <s v="C06"/>
    <s v="TSBCRC"/>
    <s v="SR15"/>
    <n v="0.7"/>
    <n v="1000"/>
    <n v="1930"/>
    <n v="27"/>
    <n v="19.79"/>
    <n v="7.21"/>
    <n v="7.21"/>
    <n v="7.21"/>
    <n v="7.21"/>
    <n v="0"/>
    <n v="0"/>
    <n v="0"/>
    <n v="0"/>
    <n v="0"/>
    <n v="0"/>
    <n v="0"/>
    <n v="0"/>
    <n v="0"/>
    <n v="0"/>
    <n v="0"/>
    <n v="0"/>
    <n v="0"/>
    <n v="0"/>
    <n v="0"/>
    <n v="0"/>
    <n v="0"/>
    <n v="0"/>
    <n v="0"/>
    <n v="0"/>
    <n v="0"/>
    <n v="0"/>
    <n v="0"/>
    <n v="0"/>
    <n v="0"/>
    <n v="0"/>
    <n v="0"/>
    <n v="0"/>
    <n v="0"/>
    <n v="0"/>
    <n v="0"/>
    <n v="0"/>
    <n v="0"/>
    <n v="0"/>
    <n v="0"/>
    <n v="0"/>
    <n v="0"/>
    <n v="0"/>
    <n v="19.79"/>
    <n v="0"/>
    <n v="0"/>
    <n v="0"/>
    <n v="0"/>
    <n v="0"/>
    <n v="19.79"/>
    <m/>
    <m/>
    <m/>
    <m/>
    <m/>
    <m/>
    <m/>
    <m/>
    <s v="1"/>
    <s v="1"/>
    <s v="1"/>
    <s v="1"/>
    <s v="1"/>
    <m/>
    <m/>
    <m/>
    <m/>
    <m/>
    <m/>
    <m/>
    <m/>
    <m/>
    <m/>
    <m/>
    <m/>
    <m/>
    <m/>
  </r>
  <r>
    <n v="742"/>
    <d v="2025-02-14T00:00:00"/>
    <s v="ZBTO"/>
    <n v="9518519930"/>
    <n v="2"/>
    <s v="9518519930-2"/>
    <s v="Apr'25 "/>
    <x v="0"/>
    <m/>
    <x v="1"/>
    <x v="1"/>
    <s v="2000-BPRS"/>
    <m/>
    <x v="1"/>
    <m/>
    <m/>
    <s v="Punjab"/>
    <s v="North"/>
    <s v="SANHEWAL"/>
    <s v="Coil"/>
    <n v="936997"/>
    <s v="R R STEEL INDUSTRIES"/>
    <n v="1801798"/>
    <s v="CRCA COIL-TATXXD-AU03-1X900"/>
    <s v=" "/>
    <s v=""/>
    <n v="10"/>
    <n v="28"/>
    <s v="Narrow"/>
    <s v="C01"/>
    <s v="TATXXD"/>
    <s v="AU03"/>
    <n v="1"/>
    <n v="900"/>
    <n v="0"/>
    <n v="42"/>
    <n v="0"/>
    <n v="42"/>
    <n v="42"/>
    <n v="42"/>
    <n v="42"/>
    <n v="0"/>
    <n v="0"/>
    <n v="0"/>
    <n v="0"/>
    <n v="0"/>
    <n v="0"/>
    <n v="0"/>
    <n v="0"/>
    <n v="0"/>
    <n v="0"/>
    <n v="0"/>
    <n v="0"/>
    <n v="0"/>
    <n v="0"/>
    <n v="0"/>
    <n v="0"/>
    <n v="0"/>
    <n v="0"/>
    <n v="0"/>
    <n v="0"/>
    <n v="0"/>
    <n v="0"/>
    <n v="0"/>
    <n v="0"/>
    <n v="0"/>
    <n v="42"/>
    <n v="0"/>
    <n v="0"/>
    <n v="0"/>
    <n v="0"/>
    <n v="42"/>
    <n v="0"/>
    <n v="0"/>
    <n v="0"/>
    <n v="0"/>
    <n v="0"/>
    <n v="0"/>
    <n v="42"/>
    <n v="0"/>
    <n v="0"/>
    <n v="0"/>
    <n v="0"/>
    <n v="0"/>
    <n v="0"/>
    <n v="0"/>
    <m/>
    <m/>
    <m/>
    <m/>
    <m/>
    <m/>
    <m/>
    <m/>
    <s v="1"/>
    <s v="1"/>
    <s v="1"/>
    <s v="1"/>
    <s v="0"/>
    <m/>
    <m/>
    <m/>
    <m/>
    <m/>
    <m/>
    <m/>
    <m/>
    <m/>
    <m/>
    <m/>
    <m/>
    <m/>
    <m/>
  </r>
  <r>
    <n v="742"/>
    <d v="2025-02-20T00:00:00"/>
    <s v="ZBTO"/>
    <n v="9518535833"/>
    <n v="25"/>
    <s v="9518535833-25"/>
    <s v="No Priority"/>
    <x v="0"/>
    <m/>
    <x v="1"/>
    <x v="2"/>
    <s v="2000-BPRS"/>
    <m/>
    <x v="0"/>
    <m/>
    <s v="Exp BTF &lt;17MT"/>
    <s v="Tamil Nadu"/>
    <s v="South"/>
    <s v="CHENNAI"/>
    <s v="Sheet"/>
    <n v="938550"/>
    <s v="BASEER AND CO"/>
    <n v="3240775"/>
    <s v="CRCA SHEET TSBCRC SR15 0.600X1000X1980"/>
    <s v=" "/>
    <s v=""/>
    <n v="0"/>
    <n v="0"/>
    <s v="Narrow"/>
    <s v="C06"/>
    <s v="TSBCRC"/>
    <s v="SR15"/>
    <n v="0.6"/>
    <n v="1000"/>
    <n v="1980"/>
    <n v="45"/>
    <n v="37.9"/>
    <n v="7.1"/>
    <n v="7.1"/>
    <n v="7.1"/>
    <n v="7.1"/>
    <n v="0"/>
    <n v="0"/>
    <n v="0"/>
    <n v="0"/>
    <n v="0"/>
    <n v="0"/>
    <n v="0"/>
    <n v="0"/>
    <n v="0"/>
    <n v="0"/>
    <n v="0"/>
    <n v="0"/>
    <n v="0"/>
    <n v="0"/>
    <n v="0"/>
    <n v="0"/>
    <n v="0"/>
    <n v="0"/>
    <n v="0"/>
    <n v="0"/>
    <n v="0"/>
    <n v="0"/>
    <n v="0"/>
    <n v="0"/>
    <n v="0"/>
    <n v="0"/>
    <n v="0"/>
    <n v="0"/>
    <n v="0"/>
    <n v="0"/>
    <n v="0"/>
    <n v="0"/>
    <n v="0"/>
    <n v="0"/>
    <n v="0"/>
    <n v="0"/>
    <n v="0"/>
    <n v="0"/>
    <n v="37.899999999999991"/>
    <n v="0"/>
    <n v="0"/>
    <n v="0"/>
    <n v="0"/>
    <n v="0"/>
    <n v="37.899999999999991"/>
    <m/>
    <m/>
    <m/>
    <m/>
    <m/>
    <m/>
    <m/>
    <m/>
    <s v="1"/>
    <s v="1"/>
    <s v="1"/>
    <s v="1"/>
    <s v="1"/>
    <m/>
    <m/>
    <m/>
    <m/>
    <m/>
    <m/>
    <m/>
    <m/>
    <m/>
    <m/>
    <m/>
    <m/>
    <m/>
    <m/>
  </r>
  <r>
    <n v="742"/>
    <d v="2025-02-27T00:00:00"/>
    <s v="ZBTF"/>
    <n v="9518560055"/>
    <n v="2"/>
    <s v="9518560055-2"/>
    <s v="May'25"/>
    <x v="0"/>
    <m/>
    <x v="5"/>
    <x v="8"/>
    <s v="2000-BPRS"/>
    <m/>
    <x v="1"/>
    <m/>
    <m/>
    <s v="Maharashtra"/>
    <s v="West"/>
    <s v="KHOPOLI"/>
    <s v="Coil"/>
    <n v="650250"/>
    <s v="TATA STEEL LIMITED,"/>
    <n v="2306895"/>
    <s v="CRFH COIL TATFHC TR10 0.320X1245"/>
    <s v=" "/>
    <s v=""/>
    <n v="20"/>
    <n v="25"/>
    <s v="Wider"/>
    <s v="C09"/>
    <s v="TATFHC"/>
    <s v="TR10"/>
    <n v="0.32"/>
    <n v="1245"/>
    <n v="0"/>
    <n v="232"/>
    <n v="24.22"/>
    <n v="207.78"/>
    <n v="207.78"/>
    <n v="-71.984999999999985"/>
    <n v="153.505"/>
    <n v="0"/>
    <n v="0"/>
    <n v="0"/>
    <n v="0"/>
    <n v="0"/>
    <n v="0"/>
    <n v="0"/>
    <n v="0"/>
    <n v="0"/>
    <n v="0"/>
    <n v="0"/>
    <n v="0"/>
    <n v="0"/>
    <n v="0"/>
    <n v="0"/>
    <n v="0"/>
    <n v="0"/>
    <n v="26.580000000000002"/>
    <n v="53.185000000000002"/>
    <n v="79.765000000000001"/>
    <n v="79.765000000000001"/>
    <n v="200"/>
    <n v="279.76499999999999"/>
    <n v="0"/>
    <n v="54.699999999999996"/>
    <n v="153.505"/>
    <n v="0"/>
    <n v="0"/>
    <n v="0"/>
    <n v="153.505"/>
    <n v="0"/>
    <n v="0"/>
    <n v="0"/>
    <n v="0"/>
    <n v="0"/>
    <n v="0"/>
    <n v="0"/>
    <n v="208.20499999999998"/>
    <n v="0"/>
    <n v="0"/>
    <n v="0"/>
    <n v="0"/>
    <n v="0"/>
    <n v="0"/>
    <n v="0"/>
    <m/>
    <m/>
    <m/>
    <m/>
    <m/>
    <m/>
    <m/>
    <m/>
    <s v="1"/>
    <s v="1"/>
    <s v="1"/>
    <s v="0"/>
    <s v="1"/>
    <m/>
    <m/>
    <m/>
    <m/>
    <m/>
    <m/>
    <m/>
    <m/>
    <m/>
    <m/>
    <m/>
    <m/>
    <m/>
    <m/>
  </r>
  <r>
    <n v="743"/>
    <d v="2025-03-04T00:00:00"/>
    <s v="ZBTO"/>
    <n v="9518572041"/>
    <n v="3"/>
    <s v="9518572041-3"/>
    <s v="No Priority"/>
    <x v="0"/>
    <m/>
    <x v="3"/>
    <x v="0"/>
    <s v="2000-BPRS"/>
    <m/>
    <x v="0"/>
    <m/>
    <m/>
    <s v="Jharkhand"/>
    <s v="East"/>
    <s v="TATANAGAR"/>
    <s v="Coil"/>
    <n v="165053"/>
    <s v="SUDISA ENTERPRISES (P) LTD."/>
    <n v="1852012"/>
    <s v="GP COIL SOFT-TSBXGP-N1GP-0.4X900"/>
    <s v="Z80"/>
    <s v=""/>
    <n v="4"/>
    <n v="12"/>
    <s v="Narrow"/>
    <s v="C02"/>
    <s v="TSBXGP"/>
    <s v="N1GP"/>
    <n v="0.4"/>
    <n v="900"/>
    <n v="0"/>
    <n v="21"/>
    <n v="0"/>
    <n v="21"/>
    <n v="1.75"/>
    <n v="0"/>
    <n v="1.33"/>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7T00:00:00"/>
    <s v="ZBTF"/>
    <n v="9518607093"/>
    <n v="2"/>
    <s v="9518607093-2"/>
    <s v="Apr'25 "/>
    <x v="0"/>
    <m/>
    <x v="1"/>
    <x v="7"/>
    <s v="1000-IPPE"/>
    <m/>
    <x v="1"/>
    <m/>
    <m/>
    <s v="Uttar Pradesh"/>
    <s v="North"/>
    <s v="PILKHUWA"/>
    <s v="Coil"/>
    <n v="600250"/>
    <s v="TATA CENTER"/>
    <n v="2439203"/>
    <s v="CRCA COIL TSBSTA EL06 0.500X1160"/>
    <s v=" "/>
    <s v=""/>
    <n v="8"/>
    <n v="13"/>
    <s v="Narrow"/>
    <s v="C01"/>
    <s v="TSBSTA"/>
    <s v="EL06"/>
    <n v="0.5"/>
    <n v="1160"/>
    <n v="0"/>
    <n v="297"/>
    <n v="263.22500000000002"/>
    <n v="33.774999999999999"/>
    <n v="21.46"/>
    <n v="33.774999999999999"/>
    <n v="22.15"/>
    <n v="0"/>
    <n v="0"/>
    <n v="0"/>
    <n v="0"/>
    <n v="0"/>
    <n v="0"/>
    <n v="0"/>
    <n v="0"/>
    <n v="0"/>
    <n v="0"/>
    <n v="0"/>
    <n v="0"/>
    <n v="0"/>
    <n v="0"/>
    <n v="0"/>
    <n v="0"/>
    <n v="0"/>
    <n v="0"/>
    <n v="0"/>
    <n v="0"/>
    <n v="0"/>
    <n v="0"/>
    <n v="0"/>
    <n v="0"/>
    <n v="0"/>
    <n v="22.15"/>
    <n v="0"/>
    <n v="0"/>
    <n v="22.15"/>
    <n v="0"/>
    <n v="0"/>
    <n v="0"/>
    <n v="0"/>
    <n v="0"/>
    <n v="0"/>
    <n v="0"/>
    <n v="0"/>
    <n v="22.15"/>
    <n v="182.69"/>
    <n v="0"/>
    <n v="0"/>
    <n v="22.15"/>
    <n v="0"/>
    <n v="0"/>
    <n v="160.54"/>
    <m/>
    <m/>
    <m/>
    <m/>
    <m/>
    <m/>
    <m/>
    <m/>
    <s v="1"/>
    <s v="1"/>
    <s v="1"/>
    <s v="1"/>
    <s v="1"/>
    <m/>
    <m/>
    <m/>
    <m/>
    <m/>
    <m/>
    <m/>
    <m/>
    <m/>
    <m/>
    <m/>
    <m/>
    <m/>
    <m/>
  </r>
  <r>
    <n v="742"/>
    <d v="2025-03-17T00:00:00"/>
    <s v="ZBTF"/>
    <n v="9518607093"/>
    <n v="7"/>
    <s v="9518607093-7"/>
    <s v="Apr'25 "/>
    <x v="0"/>
    <m/>
    <x v="1"/>
    <x v="7"/>
    <s v="1000-IPPE"/>
    <m/>
    <x v="1"/>
    <m/>
    <m/>
    <s v="Uttar Pradesh"/>
    <s v="North"/>
    <s v="PILKHUWA"/>
    <s v="Coil"/>
    <n v="600250"/>
    <s v="TATA CENTER"/>
    <n v="2439203"/>
    <s v="CRCA COIL TSBSTA EL06 0.500X1160"/>
    <s v=" "/>
    <s v=""/>
    <n v="8"/>
    <n v="13"/>
    <s v="Narrow"/>
    <s v="C01"/>
    <s v="TSBSTA"/>
    <s v="EL06"/>
    <n v="0.5"/>
    <n v="1160"/>
    <n v="0"/>
    <n v="297"/>
    <n v="98.6"/>
    <n v="198.4"/>
    <n v="21.09"/>
    <n v="145.24"/>
    <n v="51.02"/>
    <n v="0"/>
    <n v="0"/>
    <n v="0"/>
    <n v="0"/>
    <n v="0"/>
    <n v="0"/>
    <n v="0"/>
    <n v="0"/>
    <n v="0"/>
    <n v="0"/>
    <n v="0"/>
    <n v="0"/>
    <n v="53.160000000000004"/>
    <n v="0"/>
    <n v="0"/>
    <n v="0"/>
    <n v="0"/>
    <n v="0"/>
    <n v="0"/>
    <n v="53.160000000000004"/>
    <n v="53.160000000000004"/>
    <n v="0"/>
    <n v="53.160000000000004"/>
    <n v="0"/>
    <n v="86.044999999999987"/>
    <n v="51.02"/>
    <n v="0"/>
    <n v="51.02"/>
    <n v="0"/>
    <n v="0"/>
    <n v="0"/>
    <n v="51.02"/>
    <n v="0"/>
    <n v="51.02"/>
    <n v="0"/>
    <n v="0"/>
    <n v="0"/>
    <n v="86.044999999999987"/>
    <n v="0"/>
    <n v="0"/>
    <n v="0"/>
    <n v="0"/>
    <n v="0"/>
    <n v="0"/>
    <n v="0"/>
    <m/>
    <m/>
    <m/>
    <m/>
    <m/>
    <m/>
    <m/>
    <m/>
    <s v="1"/>
    <s v="0"/>
    <s v="1"/>
    <s v="1"/>
    <s v="1"/>
    <m/>
    <m/>
    <m/>
    <m/>
    <m/>
    <m/>
    <m/>
    <m/>
    <m/>
    <m/>
    <m/>
    <m/>
    <m/>
    <m/>
  </r>
  <r>
    <n v="742"/>
    <d v="2025-03-17T00:00:00"/>
    <s v="ZBTF"/>
    <n v="9518607093"/>
    <n v="8"/>
    <s v="9518607093-8"/>
    <s v="May'25"/>
    <x v="0"/>
    <m/>
    <x v="1"/>
    <x v="7"/>
    <s v="1000-IPPE"/>
    <m/>
    <x v="1"/>
    <m/>
    <s v="Exp BTF &lt;17MT"/>
    <s v="Uttar Pradesh"/>
    <s v="North"/>
    <s v="PILKHUWA"/>
    <s v="Coil"/>
    <n v="600250"/>
    <s v="TATA CENTER"/>
    <n v="2439203"/>
    <s v="CRCA COIL TSBSTA EL06 0.500X1160"/>
    <s v=" "/>
    <s v=""/>
    <n v="8"/>
    <n v="13"/>
    <s v="Narrow"/>
    <s v="C01"/>
    <s v="TSBSTA"/>
    <s v="EL06"/>
    <n v="0.5"/>
    <n v="1160"/>
    <n v="0"/>
    <n v="297"/>
    <n v="270.15499999999997"/>
    <n v="26.844999999999999"/>
    <n v="-0.435"/>
    <n v="0"/>
    <n v="26.844999999999999"/>
    <n v="0"/>
    <n v="0"/>
    <n v="0"/>
    <n v="0"/>
    <n v="0"/>
    <n v="0"/>
    <n v="0"/>
    <n v="0"/>
    <n v="0"/>
    <n v="0"/>
    <n v="0"/>
    <n v="0"/>
    <n v="26.5"/>
    <n v="0"/>
    <n v="0"/>
    <n v="0"/>
    <n v="0"/>
    <n v="0"/>
    <n v="0"/>
    <n v="26.5"/>
    <n v="26.5"/>
    <n v="0"/>
    <n v="26.5"/>
    <n v="0"/>
    <n v="0"/>
    <n v="26.844999999999999"/>
    <n v="0"/>
    <n v="26.844999999999999"/>
    <n v="0"/>
    <n v="0"/>
    <n v="0"/>
    <n v="26.844999999999999"/>
    <n v="0"/>
    <n v="26.844999999999999"/>
    <n v="0"/>
    <n v="0"/>
    <n v="0"/>
    <n v="0"/>
    <n v="0"/>
    <n v="0"/>
    <n v="0"/>
    <n v="0"/>
    <n v="0"/>
    <n v="0"/>
    <n v="0"/>
    <m/>
    <m/>
    <m/>
    <m/>
    <m/>
    <m/>
    <m/>
    <m/>
    <s v="1"/>
    <s v="0"/>
    <s v="1"/>
    <s v="1"/>
    <s v="1"/>
    <m/>
    <m/>
    <m/>
    <m/>
    <m/>
    <m/>
    <m/>
    <m/>
    <m/>
    <m/>
    <m/>
    <m/>
    <m/>
    <m/>
  </r>
  <r>
    <n v="742"/>
    <d v="2025-03-17T00:00:00"/>
    <s v="ZBTF"/>
    <n v="9518607093"/>
    <n v="9"/>
    <s v="9518607093-9"/>
    <s v="May'25"/>
    <x v="0"/>
    <m/>
    <x v="1"/>
    <x v="7"/>
    <s v="1000-IPPE"/>
    <m/>
    <x v="1"/>
    <m/>
    <s v="Exp BTF &lt;17MT"/>
    <s v="Uttar Pradesh"/>
    <s v="North"/>
    <s v="PILKHUWA"/>
    <s v="Coil"/>
    <n v="600250"/>
    <s v="TATA CENTER"/>
    <n v="2439203"/>
    <s v="CRCA COIL TSBSTA EL06 0.500X1160"/>
    <s v=" "/>
    <s v=""/>
    <n v="8"/>
    <n v="13"/>
    <s v="Narrow"/>
    <s v="C01"/>
    <s v="TSBSTA"/>
    <s v="EL06"/>
    <n v="0.5"/>
    <n v="1160"/>
    <n v="0"/>
    <n v="297"/>
    <n v="231.64"/>
    <n v="65.36"/>
    <n v="12.22"/>
    <n v="38.76"/>
    <n v="40.630000000000003"/>
    <n v="0"/>
    <n v="0"/>
    <n v="0"/>
    <n v="0"/>
    <n v="0"/>
    <n v="0"/>
    <n v="0"/>
    <n v="0"/>
    <n v="0"/>
    <n v="0"/>
    <n v="0"/>
    <n v="0"/>
    <n v="26.6"/>
    <n v="0"/>
    <n v="0"/>
    <n v="0"/>
    <n v="0"/>
    <n v="0"/>
    <n v="0"/>
    <n v="26.6"/>
    <n v="26.6"/>
    <n v="0"/>
    <n v="26.6"/>
    <n v="0"/>
    <n v="36.344999999999999"/>
    <n v="40.630000000000003"/>
    <n v="0"/>
    <n v="40.630000000000003"/>
    <n v="0"/>
    <n v="0"/>
    <n v="0"/>
    <n v="40.630000000000003"/>
    <n v="0"/>
    <n v="40.630000000000003"/>
    <n v="0"/>
    <n v="0"/>
    <n v="0"/>
    <n v="36.344999999999992"/>
    <n v="0"/>
    <n v="0"/>
    <n v="0"/>
    <n v="0"/>
    <n v="0"/>
    <n v="0"/>
    <n v="0"/>
    <m/>
    <m/>
    <m/>
    <m/>
    <m/>
    <m/>
    <m/>
    <m/>
    <s v="1"/>
    <s v="0"/>
    <s v="1"/>
    <s v="1"/>
    <s v="1"/>
    <m/>
    <m/>
    <m/>
    <m/>
    <m/>
    <m/>
    <m/>
    <m/>
    <m/>
    <m/>
    <m/>
    <m/>
    <m/>
    <m/>
  </r>
  <r>
    <n v="742"/>
    <d v="2025-03-17T00:00:00"/>
    <s v="ZBTF"/>
    <n v="9518607093"/>
    <n v="10"/>
    <s v="9518607093-10"/>
    <s v="May'25"/>
    <x v="0"/>
    <m/>
    <x v="1"/>
    <x v="7"/>
    <s v="1000-IPPE"/>
    <m/>
    <x v="1"/>
    <m/>
    <s v="Exp BTF &lt;17MT"/>
    <s v="Uttar Pradesh"/>
    <s v="North"/>
    <s v="PILKHUWA"/>
    <s v="Coil"/>
    <n v="600250"/>
    <s v="TATA CENTER"/>
    <n v="2439203"/>
    <s v="CRCA COIL TSBSTA EL06 0.500X1160"/>
    <s v=" "/>
    <s v=""/>
    <n v="8"/>
    <n v="13"/>
    <s v="Narrow"/>
    <s v="C01"/>
    <s v="TSBSTA"/>
    <s v="EL06"/>
    <n v="0.5"/>
    <n v="1160"/>
    <n v="0"/>
    <n v="297"/>
    <n v="209.22499999999999"/>
    <n v="87.775000000000006"/>
    <n v="9.6449999999999996"/>
    <n v="8.1150000000000091"/>
    <n v="75.405000000000001"/>
    <n v="0"/>
    <n v="0"/>
    <n v="0"/>
    <n v="0"/>
    <n v="0"/>
    <n v="0"/>
    <n v="0"/>
    <n v="0"/>
    <n v="0"/>
    <n v="0"/>
    <n v="0"/>
    <n v="0"/>
    <n v="79.66"/>
    <n v="0"/>
    <n v="0"/>
    <n v="0"/>
    <n v="0"/>
    <n v="0"/>
    <n v="0"/>
    <n v="79.66"/>
    <n v="79.66"/>
    <n v="0"/>
    <n v="79.66"/>
    <n v="0"/>
    <n v="36.564999999999998"/>
    <n v="75.405000000000001"/>
    <n v="0"/>
    <n v="75.405000000000001"/>
    <n v="0"/>
    <n v="0"/>
    <n v="0"/>
    <n v="75.405000000000001"/>
    <n v="0"/>
    <n v="75.405000000000001"/>
    <n v="0"/>
    <n v="0"/>
    <n v="0"/>
    <n v="36.564999999999998"/>
    <n v="0"/>
    <n v="0"/>
    <n v="0"/>
    <n v="0"/>
    <n v="0"/>
    <n v="0"/>
    <n v="0"/>
    <m/>
    <m/>
    <m/>
    <m/>
    <m/>
    <m/>
    <m/>
    <m/>
    <s v="1"/>
    <s v="0"/>
    <s v="1"/>
    <s v="1"/>
    <s v="1"/>
    <m/>
    <m/>
    <m/>
    <m/>
    <m/>
    <m/>
    <m/>
    <m/>
    <m/>
    <m/>
    <m/>
    <m/>
    <m/>
    <m/>
  </r>
  <r>
    <n v="742"/>
    <d v="2025-03-04T00:00:00"/>
    <s v="ZBTF"/>
    <n v="4000500393"/>
    <n v="1"/>
    <s v="4000500393-1"/>
    <s v="Stocks"/>
    <x v="0"/>
    <m/>
    <x v="0"/>
    <x v="6"/>
    <s v="2000-BPRS"/>
    <m/>
    <x v="1"/>
    <m/>
    <m/>
    <s v="Karnataka"/>
    <s v="South"/>
    <s v="YESHWANTHPURA"/>
    <s v="Coil"/>
    <n v="600103"/>
    <s v="TATA STEEL LIMITED"/>
    <n v="1424552"/>
    <s v="HR COILS-PO IS 1079 HR2 2.01X1250"/>
    <s v=" "/>
    <s v=""/>
    <n v="17"/>
    <n v="25"/>
    <s v="Wider"/>
    <n v="768"/>
    <s v="THR099"/>
    <s v="HR99"/>
    <n v="2.0099999999999998"/>
    <n v="1250"/>
    <n v="0"/>
    <n v="75"/>
    <n v="22.79"/>
    <n v="52.21"/>
    <n v="52.21"/>
    <n v="0"/>
    <n v="8.39"/>
    <n v="0"/>
    <n v="0"/>
    <n v="21.99"/>
    <n v="0"/>
    <n v="0"/>
    <n v="0"/>
    <n v="0"/>
    <n v="0"/>
    <n v="0"/>
    <n v="0"/>
    <n v="0"/>
    <n v="0"/>
    <n v="0"/>
    <n v="0"/>
    <n v="0"/>
    <n v="0"/>
    <n v="0"/>
    <n v="0"/>
    <n v="0"/>
    <n v="21.99"/>
    <n v="21.99"/>
    <n v="52"/>
    <n v="73.989999999999995"/>
    <n v="0"/>
    <n v="21.85"/>
    <n v="0"/>
    <n v="0"/>
    <n v="0"/>
    <n v="0"/>
    <n v="0"/>
    <n v="0"/>
    <n v="0"/>
    <n v="0"/>
    <n v="0"/>
    <n v="0"/>
    <n v="0"/>
    <n v="0"/>
    <n v="21.85"/>
    <n v="0"/>
    <n v="0"/>
    <n v="0"/>
    <n v="0"/>
    <n v="0"/>
    <n v="0"/>
    <n v="0"/>
    <m/>
    <m/>
    <m/>
    <m/>
    <m/>
    <m/>
    <m/>
    <m/>
    <s v="1"/>
    <s v="1"/>
    <s v="1"/>
    <s v="1"/>
    <s v="1"/>
    <m/>
    <m/>
    <m/>
    <m/>
    <m/>
    <m/>
    <m/>
    <m/>
    <m/>
    <m/>
    <m/>
    <m/>
    <m/>
    <m/>
  </r>
  <r>
    <n v="742"/>
    <d v="2025-02-10T00:00:00"/>
    <s v="ZBTO"/>
    <n v="9518507185"/>
    <n v="9"/>
    <s v="9518507185-9"/>
    <s v="No Priority"/>
    <x v="0"/>
    <m/>
    <x v="1"/>
    <x v="2"/>
    <s v="2000-BPRS"/>
    <m/>
    <x v="0"/>
    <m/>
    <m/>
    <s v="Jharkhand"/>
    <s v="East"/>
    <s v="WEST BOKARO"/>
    <s v="Sheet"/>
    <n v="185794"/>
    <s v="Shree Bajrang Steel Udyog"/>
    <n v="3240761"/>
    <s v="CRCA SHEET TSBCRC SR15 0.500X1250X2030"/>
    <s v=" "/>
    <s v=""/>
    <n v="2.8"/>
    <n v="3.2"/>
    <s v="Wider"/>
    <s v="C06"/>
    <s v="TSBCRC"/>
    <s v="SR15"/>
    <n v="0.5"/>
    <n v="1250"/>
    <n v="2030"/>
    <n v="30"/>
    <n v="0"/>
    <n v="30"/>
    <n v="2.62"/>
    <n v="0"/>
    <n v="6.8250000000000002"/>
    <n v="0"/>
    <n v="0"/>
    <n v="0"/>
    <n v="0"/>
    <n v="0"/>
    <n v="0"/>
    <n v="0"/>
    <n v="0"/>
    <n v="0.24"/>
    <n v="0"/>
    <n v="0"/>
    <n v="0"/>
    <n v="0"/>
    <n v="0"/>
    <n v="0"/>
    <n v="0"/>
    <n v="0"/>
    <n v="0"/>
    <n v="0"/>
    <n v="0.24"/>
    <n v="0.24"/>
    <n v="0"/>
    <n v="0.24"/>
    <n v="0"/>
    <n v="0"/>
    <n v="0"/>
    <n v="0"/>
    <n v="0"/>
    <n v="0"/>
    <n v="0"/>
    <n v="0"/>
    <n v="0"/>
    <n v="0"/>
    <n v="0"/>
    <n v="0"/>
    <n v="0"/>
    <n v="0"/>
    <n v="0"/>
    <n v="0"/>
    <n v="0"/>
    <n v="0"/>
    <n v="0"/>
    <n v="0"/>
    <n v="0"/>
    <n v="0"/>
    <m/>
    <m/>
    <m/>
    <m/>
    <m/>
    <m/>
    <m/>
    <m/>
    <s v="1"/>
    <s v="1"/>
    <s v="1"/>
    <s v="1"/>
    <s v="1"/>
    <m/>
    <m/>
    <m/>
    <m/>
    <m/>
    <m/>
    <m/>
    <m/>
    <m/>
    <m/>
    <m/>
    <m/>
    <m/>
    <m/>
  </r>
  <r>
    <n v="742"/>
    <d v="2025-03-11T00:00:00"/>
    <s v="ZBTO"/>
    <n v="9518591774"/>
    <n v="16"/>
    <s v="9518591774-16"/>
    <s v="May'25"/>
    <x v="0"/>
    <m/>
    <x v="1"/>
    <x v="1"/>
    <s v="2000-BPRS"/>
    <m/>
    <x v="1"/>
    <m/>
    <s v="Exp BTF &lt;17MT"/>
    <s v="Delhi"/>
    <s v="North"/>
    <s v="ZOSOLA"/>
    <s v="Coil"/>
    <n v="936527"/>
    <s v="SHORI LAL KEWAL KUMAR."/>
    <n v="2193599"/>
    <s v="CRCA COIL TATXXD AU03 1.400X1250"/>
    <s v=" "/>
    <s v=""/>
    <n v="10"/>
    <n v="30"/>
    <s v="Wider"/>
    <s v="C01"/>
    <s v="TATXXD"/>
    <s v="AU03"/>
    <n v="1.4"/>
    <n v="1250"/>
    <n v="0"/>
    <n v="29"/>
    <n v="0"/>
    <n v="29"/>
    <n v="7.08"/>
    <n v="8.11"/>
    <n v="29"/>
    <n v="0"/>
    <n v="0"/>
    <n v="0"/>
    <n v="0"/>
    <n v="0"/>
    <n v="0"/>
    <n v="0"/>
    <n v="0"/>
    <n v="0"/>
    <n v="0"/>
    <n v="0"/>
    <n v="0"/>
    <n v="0"/>
    <n v="20.89"/>
    <n v="0"/>
    <n v="0"/>
    <n v="0"/>
    <n v="0"/>
    <n v="0"/>
    <n v="20.89"/>
    <n v="20.89"/>
    <n v="0"/>
    <n v="20.89"/>
    <n v="0"/>
    <n v="0"/>
    <n v="29"/>
    <n v="29"/>
    <n v="0"/>
    <n v="0"/>
    <n v="0"/>
    <n v="0"/>
    <n v="0"/>
    <n v="0"/>
    <n v="0"/>
    <n v="0"/>
    <n v="0"/>
    <n v="0"/>
    <n v="29"/>
    <n v="0"/>
    <n v="0"/>
    <n v="0"/>
    <n v="0"/>
    <n v="0"/>
    <n v="0"/>
    <n v="0"/>
    <m/>
    <m/>
    <m/>
    <m/>
    <m/>
    <m/>
    <m/>
    <m/>
    <s v="0"/>
    <s v="1"/>
    <s v="1"/>
    <s v="1"/>
    <s v="1"/>
    <m/>
    <m/>
    <m/>
    <m/>
    <m/>
    <m/>
    <m/>
    <m/>
    <m/>
    <m/>
    <m/>
    <m/>
    <m/>
    <m/>
  </r>
  <r>
    <n v="743"/>
    <d v="2025-03-17T00:00:00"/>
    <s v="ZBTO"/>
    <n v="9518607025"/>
    <n v="2"/>
    <s v="9518607025-2"/>
    <s v="No Priority"/>
    <x v="0"/>
    <m/>
    <x v="3"/>
    <x v="9"/>
    <s v="2000-BPRS"/>
    <m/>
    <x v="0"/>
    <m/>
    <s v="Exp BTF &lt;17MT"/>
    <s v="Jharkhand"/>
    <s v="East"/>
    <s v="BOKARO STEEL CY"/>
    <s v="Coil"/>
    <n v="121328"/>
    <s v="R. S. BOKARO METAL (P) LTD."/>
    <n v="1191956"/>
    <s v="GP COIL SOFT-TATXGP-GK09-0.35X900"/>
    <s v="Z80"/>
    <s v=""/>
    <n v="4"/>
    <n v="12"/>
    <s v="Narrow"/>
    <s v="C02"/>
    <s v="TATXGP"/>
    <s v="GK09"/>
    <n v="0.35"/>
    <n v="900"/>
    <n v="0"/>
    <n v="105"/>
    <n v="92.64"/>
    <n v="12.36"/>
    <n v="3.58"/>
    <n v="3.58"/>
    <n v="12.36"/>
    <n v="0"/>
    <n v="0"/>
    <n v="0"/>
    <n v="0"/>
    <n v="0"/>
    <n v="0"/>
    <n v="0"/>
    <n v="8.7799999999999994"/>
    <n v="0"/>
    <n v="0"/>
    <n v="0"/>
    <n v="0"/>
    <n v="0"/>
    <n v="0"/>
    <n v="0"/>
    <n v="0"/>
    <n v="0"/>
    <n v="0"/>
    <n v="0"/>
    <n v="8.7799999999999994"/>
    <n v="8.7799999999999994"/>
    <n v="0"/>
    <n v="8.7799999999999994"/>
    <n v="0"/>
    <n v="0"/>
    <n v="0"/>
    <n v="0"/>
    <n v="0"/>
    <n v="0"/>
    <n v="0"/>
    <n v="0"/>
    <n v="0"/>
    <n v="0"/>
    <n v="0"/>
    <n v="0"/>
    <n v="0"/>
    <n v="0"/>
    <n v="0"/>
    <n v="92.64"/>
    <n v="0"/>
    <n v="0"/>
    <n v="0"/>
    <n v="0"/>
    <n v="0"/>
    <n v="92.64"/>
    <m/>
    <m/>
    <m/>
    <m/>
    <m/>
    <m/>
    <m/>
    <m/>
    <s v="1"/>
    <s v="1"/>
    <s v="1"/>
    <s v="1"/>
    <s v="1"/>
    <m/>
    <m/>
    <m/>
    <m/>
    <m/>
    <m/>
    <m/>
    <m/>
    <m/>
    <m/>
    <m/>
    <m/>
    <m/>
    <m/>
  </r>
  <r>
    <n v="742"/>
    <d v="2025-03-17T00:00:00"/>
    <s v="ZBTO"/>
    <n v="9518605539"/>
    <n v="4"/>
    <s v="9518605539-4"/>
    <s v="No Priority"/>
    <x v="0"/>
    <m/>
    <x v="1"/>
    <x v="2"/>
    <s v="2000-BPRS"/>
    <m/>
    <x v="0"/>
    <m/>
    <s v="Exp BTF &lt;17MT"/>
    <s v="West Bengal"/>
    <s v="East"/>
    <s v="HOWRAH"/>
    <s v="Sheet"/>
    <n v="925093"/>
    <s v="PSPL STEEL PROCESSORS PRIVATE LIMIT"/>
    <n v="3240757"/>
    <s v="CRCA SHEET TSBCRC SR15 0.500X1000X2000"/>
    <s v=" "/>
    <s v=""/>
    <n v="2"/>
    <n v="3"/>
    <s v="Narrow"/>
    <s v="C06"/>
    <s v="TSBCRC"/>
    <s v="SR15"/>
    <n v="0.5"/>
    <n v="1000"/>
    <n v="2000"/>
    <n v="24"/>
    <n v="20.440000000000001"/>
    <n v="3.56"/>
    <n v="3.56"/>
    <n v="3.56"/>
    <n v="3.56"/>
    <n v="0"/>
    <n v="0"/>
    <n v="0"/>
    <n v="0"/>
    <n v="0"/>
    <n v="0"/>
    <n v="0"/>
    <n v="0"/>
    <n v="0"/>
    <n v="0"/>
    <n v="0"/>
    <n v="0"/>
    <n v="0"/>
    <n v="0"/>
    <n v="0"/>
    <n v="0"/>
    <n v="0"/>
    <n v="0"/>
    <n v="0"/>
    <n v="0"/>
    <n v="0"/>
    <n v="0"/>
    <n v="0"/>
    <n v="0"/>
    <n v="0"/>
    <n v="0"/>
    <n v="0"/>
    <n v="0"/>
    <n v="0"/>
    <n v="0"/>
    <n v="0"/>
    <n v="0"/>
    <n v="0"/>
    <n v="0"/>
    <n v="0"/>
    <n v="0"/>
    <n v="0"/>
    <n v="0"/>
    <n v="20.440000000000001"/>
    <n v="0"/>
    <n v="0"/>
    <n v="0"/>
    <n v="0"/>
    <n v="0"/>
    <n v="20.440000000000001"/>
    <m/>
    <m/>
    <m/>
    <m/>
    <m/>
    <m/>
    <m/>
    <m/>
    <s v="1"/>
    <s v="1"/>
    <s v="1"/>
    <s v="1"/>
    <s v="1"/>
    <m/>
    <m/>
    <m/>
    <m/>
    <m/>
    <m/>
    <m/>
    <m/>
    <m/>
    <m/>
    <m/>
    <m/>
    <m/>
    <m/>
  </r>
  <r>
    <n v="742"/>
    <d v="2025-03-17T00:00:00"/>
    <s v="ZBTO"/>
    <n v="9518605539"/>
    <n v="5"/>
    <s v="9518605539-5"/>
    <s v="No Priority"/>
    <x v="0"/>
    <m/>
    <x v="1"/>
    <x v="2"/>
    <s v="2000-BPRS"/>
    <m/>
    <x v="0"/>
    <m/>
    <m/>
    <s v="West Bengal"/>
    <s v="East"/>
    <s v="HOWRAH"/>
    <s v="Sheet"/>
    <n v="925093"/>
    <s v="PSPL STEEL PROCESSORS PRIVATE LIMIT"/>
    <n v="3240760"/>
    <s v="CRCA SHEET TSBCRC SR15 0.500X1000X2500"/>
    <s v=" "/>
    <s v=""/>
    <n v="2"/>
    <n v="3"/>
    <s v="Narrow"/>
    <s v="C06"/>
    <s v="TSBCRC"/>
    <s v="SR15"/>
    <n v="0.5"/>
    <n v="1000"/>
    <n v="2500"/>
    <n v="36"/>
    <n v="20.100000000000001"/>
    <n v="15.9"/>
    <n v="-7.23"/>
    <n v="0"/>
    <n v="15.9"/>
    <n v="0"/>
    <n v="0"/>
    <n v="0"/>
    <n v="0"/>
    <n v="0"/>
    <n v="0"/>
    <n v="0"/>
    <n v="0"/>
    <n v="0"/>
    <n v="0"/>
    <n v="0"/>
    <n v="0"/>
    <n v="0"/>
    <n v="22.21"/>
    <n v="0"/>
    <n v="0"/>
    <n v="0"/>
    <n v="0"/>
    <n v="0"/>
    <n v="22.21"/>
    <n v="22.21"/>
    <n v="0"/>
    <n v="22.21"/>
    <n v="0"/>
    <n v="0"/>
    <n v="0"/>
    <n v="0"/>
    <n v="0"/>
    <n v="0"/>
    <n v="0"/>
    <n v="0"/>
    <n v="0"/>
    <n v="0"/>
    <n v="0"/>
    <n v="0"/>
    <n v="0"/>
    <n v="0"/>
    <n v="0"/>
    <n v="20.100000000000001"/>
    <n v="0"/>
    <n v="0"/>
    <n v="0"/>
    <n v="0"/>
    <n v="0"/>
    <n v="20.100000000000001"/>
    <m/>
    <m/>
    <m/>
    <m/>
    <m/>
    <m/>
    <m/>
    <m/>
    <s v="1"/>
    <s v="1"/>
    <s v="1"/>
    <s v="1"/>
    <s v="1"/>
    <m/>
    <m/>
    <m/>
    <m/>
    <m/>
    <m/>
    <m/>
    <m/>
    <m/>
    <m/>
    <m/>
    <m/>
    <m/>
    <m/>
  </r>
  <r>
    <n v="742"/>
    <d v="2025-03-17T00:00:00"/>
    <s v="ZBTO"/>
    <n v="9518605539"/>
    <n v="6"/>
    <s v="9518605539-6"/>
    <s v="No Priority"/>
    <x v="0"/>
    <m/>
    <x v="1"/>
    <x v="2"/>
    <s v="2000-BPRS"/>
    <m/>
    <x v="0"/>
    <m/>
    <s v="Exp BTF &lt;17MT"/>
    <s v="West Bengal"/>
    <s v="East"/>
    <s v="HOWRAH"/>
    <s v="Sheet"/>
    <n v="925093"/>
    <s v="PSPL STEEL PROCESSORS PRIVATE LIMIT"/>
    <n v="3402254"/>
    <s v="CRCA SHEET TSBCRC SR15 0.600X1000X2000"/>
    <s v=" "/>
    <s v=""/>
    <n v="2"/>
    <n v="3"/>
    <s v="Narrow"/>
    <s v="C06"/>
    <s v="TSBCRC"/>
    <s v="SR15"/>
    <n v="0.6"/>
    <n v="1000"/>
    <n v="2000"/>
    <n v="24"/>
    <n v="20.29"/>
    <n v="3.71"/>
    <n v="3.71"/>
    <n v="3.71"/>
    <n v="3.71"/>
    <n v="0"/>
    <n v="0"/>
    <n v="0"/>
    <n v="0"/>
    <n v="0"/>
    <n v="0"/>
    <n v="0"/>
    <n v="0"/>
    <n v="0"/>
    <n v="0"/>
    <n v="0"/>
    <n v="0"/>
    <n v="0"/>
    <n v="0"/>
    <n v="0"/>
    <n v="0"/>
    <n v="0"/>
    <n v="0"/>
    <n v="0"/>
    <n v="0"/>
    <n v="0"/>
    <n v="0"/>
    <n v="0"/>
    <n v="0"/>
    <n v="0"/>
    <n v="0"/>
    <n v="0"/>
    <n v="0"/>
    <n v="0"/>
    <n v="0"/>
    <n v="0"/>
    <n v="0"/>
    <n v="0"/>
    <n v="0"/>
    <n v="0"/>
    <n v="0"/>
    <n v="0"/>
    <n v="0"/>
    <n v="20.29"/>
    <n v="0"/>
    <n v="0"/>
    <n v="0"/>
    <n v="0"/>
    <n v="0"/>
    <n v="20.29"/>
    <m/>
    <m/>
    <m/>
    <m/>
    <m/>
    <m/>
    <m/>
    <m/>
    <s v="1"/>
    <s v="1"/>
    <s v="1"/>
    <s v="1"/>
    <s v="1"/>
    <m/>
    <m/>
    <m/>
    <m/>
    <m/>
    <m/>
    <m/>
    <m/>
    <m/>
    <m/>
    <m/>
    <m/>
    <m/>
    <m/>
  </r>
  <r>
    <n v="742"/>
    <d v="2025-03-16T00:00:00"/>
    <s v="ZBTO"/>
    <n v="9518604323"/>
    <n v="6"/>
    <s v="9518604323-6"/>
    <s v="May'25"/>
    <x v="0"/>
    <m/>
    <x v="1"/>
    <x v="2"/>
    <n v="2000"/>
    <m/>
    <x v="1"/>
    <m/>
    <s v="Exp BTF &lt;17MT"/>
    <s v="Orissa"/>
    <s v="East"/>
    <s v="TANGI"/>
    <s v="Sheet"/>
    <n v="117061"/>
    <s v="BHARTIA  DISTRIBUTORS PVT. LTD."/>
    <n v="3240760"/>
    <s v="CRCA SHEET TSBCRC SR15 0.500X1000X2500"/>
    <s v=" "/>
    <s v=""/>
    <n v="0.1"/>
    <n v="5"/>
    <s v="Narrow"/>
    <s v="C06"/>
    <s v="TSBCRC"/>
    <s v="SR15"/>
    <n v="0.5"/>
    <n v="1000"/>
    <n v="2500"/>
    <n v="30"/>
    <n v="0"/>
    <n v="30"/>
    <n v="6.87"/>
    <n v="7.9699999999999989"/>
    <n v="30"/>
    <n v="0"/>
    <n v="0"/>
    <n v="0"/>
    <n v="0"/>
    <n v="0"/>
    <n v="0"/>
    <n v="0"/>
    <n v="0"/>
    <n v="0"/>
    <n v="0"/>
    <n v="0"/>
    <n v="0"/>
    <n v="0"/>
    <n v="22.03"/>
    <n v="0"/>
    <n v="0"/>
    <n v="0"/>
    <n v="0"/>
    <n v="0"/>
    <n v="22.03"/>
    <n v="22.03"/>
    <n v="0"/>
    <n v="22.03"/>
    <n v="0"/>
    <n v="0"/>
    <n v="30"/>
    <n v="0"/>
    <n v="30"/>
    <n v="0"/>
    <n v="0"/>
    <n v="0"/>
    <n v="30"/>
    <n v="0"/>
    <n v="30"/>
    <n v="0"/>
    <n v="0"/>
    <n v="0"/>
    <n v="0"/>
    <n v="0"/>
    <n v="0"/>
    <n v="0"/>
    <n v="0"/>
    <n v="0"/>
    <n v="0"/>
    <n v="0"/>
    <m/>
    <m/>
    <m/>
    <m/>
    <m/>
    <m/>
    <m/>
    <m/>
    <s v="1"/>
    <s v="0"/>
    <s v="1"/>
    <s v="1"/>
    <s v="1"/>
    <m/>
    <m/>
    <m/>
    <m/>
    <m/>
    <m/>
    <m/>
    <m/>
    <m/>
    <m/>
    <m/>
    <m/>
    <m/>
    <m/>
  </r>
  <r>
    <n v="742"/>
    <d v="2025-03-16T00:00:00"/>
    <s v="ZBTO"/>
    <n v="9518604323"/>
    <n v="8"/>
    <s v="9518604323-8"/>
    <s v="No Priority"/>
    <x v="0"/>
    <m/>
    <x v="1"/>
    <x v="2"/>
    <n v="2000"/>
    <m/>
    <x v="0"/>
    <m/>
    <m/>
    <s v="Orissa"/>
    <s v="East"/>
    <s v="TANGI"/>
    <s v="Sheet"/>
    <n v="117061"/>
    <s v="BHARTIA  DISTRIBUTORS PVT. LTD."/>
    <n v="3240778"/>
    <s v="CRCA SHEET TSBCRC SR15 0.600X1000X2500"/>
    <s v=" "/>
    <s v=""/>
    <n v="0.1"/>
    <n v="5"/>
    <s v="Narrow"/>
    <s v="C06"/>
    <s v="TSBCRC"/>
    <s v="SR15"/>
    <n v="0.6"/>
    <n v="1000"/>
    <n v="2500"/>
    <n v="30"/>
    <n v="20.414999999999999"/>
    <n v="9.5850000000000009"/>
    <n v="9.5850000000000009"/>
    <n v="9.5850000000000009"/>
    <n v="9.5850000000000009"/>
    <n v="0"/>
    <n v="0"/>
    <n v="0"/>
    <n v="0"/>
    <n v="0"/>
    <n v="0"/>
    <n v="0"/>
    <n v="0"/>
    <n v="0"/>
    <n v="0"/>
    <n v="0"/>
    <n v="0"/>
    <n v="0"/>
    <n v="0"/>
    <n v="0"/>
    <n v="0"/>
    <n v="0"/>
    <n v="0"/>
    <n v="0"/>
    <n v="0"/>
    <n v="0"/>
    <n v="0"/>
    <n v="0"/>
    <n v="0"/>
    <n v="0"/>
    <n v="0"/>
    <n v="0"/>
    <n v="0"/>
    <n v="0"/>
    <n v="0"/>
    <n v="0"/>
    <n v="0"/>
    <n v="0"/>
    <n v="0"/>
    <n v="0"/>
    <n v="0"/>
    <n v="0"/>
    <n v="0"/>
    <n v="20.414999999999999"/>
    <n v="0"/>
    <n v="0"/>
    <n v="0"/>
    <n v="0"/>
    <n v="0"/>
    <n v="20.414999999999999"/>
    <m/>
    <m/>
    <m/>
    <m/>
    <m/>
    <m/>
    <m/>
    <m/>
    <s v="1"/>
    <s v="1"/>
    <s v="1"/>
    <s v="1"/>
    <s v="1"/>
    <m/>
    <m/>
    <m/>
    <m/>
    <m/>
    <m/>
    <m/>
    <m/>
    <m/>
    <m/>
    <m/>
    <m/>
    <m/>
    <m/>
  </r>
  <r>
    <n v="742"/>
    <d v="2025-03-16T00:00:00"/>
    <s v="ZBTO"/>
    <n v="9518604323"/>
    <n v="10"/>
    <s v="9518604323-10"/>
    <s v="No Priority"/>
    <x v="0"/>
    <m/>
    <x v="1"/>
    <x v="2"/>
    <n v="2000"/>
    <m/>
    <x v="0"/>
    <m/>
    <s v="Exp BTF &lt;17MT"/>
    <s v="Orissa"/>
    <s v="East"/>
    <s v="TANGI"/>
    <s v="Sheet"/>
    <n v="117061"/>
    <s v="BHARTIA  DISTRIBUTORS PVT. LTD."/>
    <n v="3240790"/>
    <s v="CRCA SHEET TSBCRC SR15 0.700X1000X2500"/>
    <s v=" "/>
    <s v=""/>
    <n v="0.1"/>
    <n v="5"/>
    <s v="Narrow"/>
    <s v="C06"/>
    <s v="TSBCRC"/>
    <s v="SR15"/>
    <n v="0.7"/>
    <n v="1000"/>
    <n v="2500"/>
    <n v="30"/>
    <n v="20.934999999999999"/>
    <n v="9.0649999999999995"/>
    <n v="9.0649999999999995"/>
    <n v="9.0649999999999995"/>
    <n v="9.0649999999999995"/>
    <n v="0"/>
    <n v="0"/>
    <n v="0"/>
    <n v="0"/>
    <n v="0"/>
    <n v="0"/>
    <n v="0"/>
    <n v="0"/>
    <n v="0"/>
    <n v="0"/>
    <n v="0"/>
    <n v="0"/>
    <n v="0"/>
    <n v="0"/>
    <n v="0"/>
    <n v="0"/>
    <n v="0"/>
    <n v="0"/>
    <n v="0"/>
    <n v="0"/>
    <n v="0"/>
    <n v="0"/>
    <n v="0"/>
    <n v="0"/>
    <n v="0"/>
    <n v="0"/>
    <n v="0"/>
    <n v="0"/>
    <n v="0"/>
    <n v="0"/>
    <n v="0"/>
    <n v="0"/>
    <n v="0"/>
    <n v="0"/>
    <n v="0"/>
    <n v="0"/>
    <n v="0"/>
    <n v="0"/>
    <n v="20.934999999999999"/>
    <n v="0"/>
    <n v="0"/>
    <n v="0"/>
    <n v="0"/>
    <n v="0"/>
    <n v="20.934999999999999"/>
    <m/>
    <m/>
    <m/>
    <m/>
    <m/>
    <m/>
    <m/>
    <m/>
    <s v="1"/>
    <s v="1"/>
    <s v="1"/>
    <s v="1"/>
    <s v="1"/>
    <m/>
    <m/>
    <m/>
    <m/>
    <m/>
    <m/>
    <m/>
    <m/>
    <m/>
    <m/>
    <m/>
    <m/>
    <m/>
    <m/>
  </r>
  <r>
    <n v="742"/>
    <d v="2025-03-16T00:00:00"/>
    <s v="ZBTO"/>
    <n v="9518604323"/>
    <n v="13"/>
    <s v="9518604323-13"/>
    <s v="No Priority"/>
    <x v="0"/>
    <m/>
    <x v="1"/>
    <x v="2"/>
    <n v="2000"/>
    <m/>
    <x v="0"/>
    <m/>
    <m/>
    <s v="Orissa"/>
    <s v="East"/>
    <s v="TANGI"/>
    <s v="Sheet"/>
    <n v="117061"/>
    <s v="BHARTIA  DISTRIBUTORS PVT. LTD."/>
    <n v="3240808"/>
    <s v="CRCA SHEET TSBCRC SR15 0.800X1250X2500"/>
    <s v=" "/>
    <s v=""/>
    <n v="0.1"/>
    <n v="5"/>
    <s v="Wider"/>
    <s v="C06"/>
    <s v="TSBCRC"/>
    <s v="SR15"/>
    <n v="0.8"/>
    <n v="1250"/>
    <n v="2500"/>
    <n v="24"/>
    <n v="0"/>
    <n v="24"/>
    <n v="-2.77"/>
    <n v="0"/>
    <n v="1.81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6T00:00:00"/>
    <s v="ZBTO"/>
    <n v="9518604323"/>
    <n v="14"/>
    <s v="9518604323-14"/>
    <s v="Stocks"/>
    <x v="0"/>
    <m/>
    <x v="1"/>
    <x v="2"/>
    <n v="2000"/>
    <m/>
    <x v="1"/>
    <m/>
    <s v="Exp BTF &lt;17MT"/>
    <s v="Orissa"/>
    <s v="East"/>
    <s v="TANGI"/>
    <s v="Sheet"/>
    <n v="117061"/>
    <s v="BHARTIA  DISTRIBUTORS PVT. LTD."/>
    <n v="3240818"/>
    <s v="CRCA SHEET TSBCRC SR15 0.900X1000X2500"/>
    <s v=" "/>
    <s v=""/>
    <n v="0.1"/>
    <n v="5"/>
    <s v="Narrow"/>
    <s v="C06"/>
    <s v="TSBCRC"/>
    <s v="SR15"/>
    <n v="0.9"/>
    <n v="1000"/>
    <n v="2500"/>
    <n v="24"/>
    <n v="20.335000000000001"/>
    <n v="3.665"/>
    <n v="3.665"/>
    <n v="3.665"/>
    <n v="-1.9350000000000001"/>
    <n v="0"/>
    <n v="0"/>
    <n v="0"/>
    <n v="0"/>
    <n v="0"/>
    <n v="0"/>
    <n v="0"/>
    <n v="0"/>
    <n v="0"/>
    <n v="0"/>
    <n v="0"/>
    <n v="0"/>
    <n v="0"/>
    <n v="0"/>
    <n v="0"/>
    <n v="0"/>
    <n v="0"/>
    <n v="0"/>
    <n v="0"/>
    <n v="0"/>
    <n v="0"/>
    <n v="0"/>
    <n v="0"/>
    <n v="0"/>
    <n v="2.61"/>
    <n v="0"/>
    <n v="0"/>
    <n v="0"/>
    <n v="0"/>
    <n v="0"/>
    <n v="0"/>
    <n v="0"/>
    <n v="0"/>
    <n v="0"/>
    <n v="0"/>
    <n v="0"/>
    <n v="0"/>
    <n v="2.61"/>
    <n v="20.335000000000001"/>
    <n v="0"/>
    <n v="0"/>
    <n v="0"/>
    <n v="0"/>
    <n v="0"/>
    <n v="20.335000000000001"/>
    <m/>
    <m/>
    <m/>
    <m/>
    <m/>
    <m/>
    <m/>
    <m/>
    <s v="1"/>
    <s v="1"/>
    <s v="1"/>
    <s v="1"/>
    <s v="1"/>
    <m/>
    <m/>
    <m/>
    <m/>
    <m/>
    <m/>
    <m/>
    <m/>
    <m/>
    <m/>
    <m/>
    <m/>
    <m/>
    <m/>
  </r>
  <r>
    <n v="742"/>
    <d v="2025-03-16T00:00:00"/>
    <s v="ZBTO"/>
    <n v="9518604323"/>
    <n v="15"/>
    <s v="9518604323-15"/>
    <s v="No Priority"/>
    <x v="0"/>
    <m/>
    <x v="1"/>
    <x v="2"/>
    <n v="2000"/>
    <m/>
    <x v="0"/>
    <m/>
    <m/>
    <s v="Orissa"/>
    <s v="East"/>
    <s v="TANGI"/>
    <s v="Sheet"/>
    <n v="117061"/>
    <s v="BHARTIA  DISTRIBUTORS PVT. LTD."/>
    <n v="3240836"/>
    <s v="CRCA SHEET TSBCRC SR15 1X1000X2500"/>
    <s v=" "/>
    <s v=""/>
    <n v="0.1"/>
    <n v="5"/>
    <s v="Narrow"/>
    <s v="C06"/>
    <s v="TSBCRC"/>
    <s v="SR15"/>
    <n v="1"/>
    <n v="1000"/>
    <n v="2500"/>
    <n v="24"/>
    <n v="20.53"/>
    <n v="3.47"/>
    <n v="3.47"/>
    <n v="3.47"/>
    <n v="3.47"/>
    <n v="0"/>
    <n v="0"/>
    <n v="0"/>
    <n v="0"/>
    <n v="0"/>
    <n v="0"/>
    <n v="0"/>
    <n v="0"/>
    <n v="0"/>
    <n v="0"/>
    <n v="0"/>
    <n v="0"/>
    <n v="0"/>
    <n v="0"/>
    <n v="0"/>
    <n v="0"/>
    <n v="0"/>
    <n v="0"/>
    <n v="0"/>
    <n v="0"/>
    <n v="0"/>
    <n v="0"/>
    <n v="0"/>
    <n v="0"/>
    <n v="0"/>
    <n v="0"/>
    <n v="0"/>
    <n v="0"/>
    <n v="0"/>
    <n v="0"/>
    <n v="0"/>
    <n v="0"/>
    <n v="0"/>
    <n v="0"/>
    <n v="0"/>
    <n v="0"/>
    <n v="0"/>
    <n v="0"/>
    <n v="20.53"/>
    <n v="0"/>
    <n v="0"/>
    <n v="0"/>
    <n v="0"/>
    <n v="0"/>
    <n v="20.53"/>
    <m/>
    <m/>
    <m/>
    <m/>
    <m/>
    <m/>
    <m/>
    <m/>
    <s v="1"/>
    <s v="1"/>
    <s v="1"/>
    <s v="1"/>
    <s v="1"/>
    <m/>
    <m/>
    <m/>
    <m/>
    <m/>
    <m/>
    <m/>
    <m/>
    <m/>
    <m/>
    <m/>
    <m/>
    <m/>
    <m/>
  </r>
  <r>
    <n v="742"/>
    <d v="2025-03-11T00:00:00"/>
    <s v="ZBTO"/>
    <n v="9518591774"/>
    <n v="6"/>
    <s v="9518591774-6"/>
    <s v="May'25"/>
    <x v="0"/>
    <m/>
    <x v="1"/>
    <x v="1"/>
    <s v="2000-BPRS"/>
    <m/>
    <x v="1"/>
    <m/>
    <m/>
    <s v="Delhi"/>
    <s v="North"/>
    <s v="ZOSOLA"/>
    <s v="Coil"/>
    <n v="936527"/>
    <s v="SHORI LAL KEWAL KUMAR."/>
    <n v="1801290"/>
    <s v="CRCA COIL-TATXXD-AU03-0.6X1250"/>
    <s v=" "/>
    <s v=""/>
    <n v="10"/>
    <n v="30"/>
    <s v="Wider"/>
    <s v="C01"/>
    <s v="TATXXD"/>
    <s v="AU03"/>
    <n v="0.6"/>
    <n v="1250"/>
    <n v="0"/>
    <n v="58"/>
    <n v="38.869999999999997"/>
    <n v="19.13"/>
    <n v="-5.37"/>
    <n v="0"/>
    <n v="19.13"/>
    <n v="0"/>
    <n v="0"/>
    <n v="0"/>
    <n v="0"/>
    <n v="0"/>
    <n v="0"/>
    <n v="0"/>
    <n v="0"/>
    <n v="0"/>
    <n v="0"/>
    <n v="0"/>
    <n v="0"/>
    <n v="0"/>
    <n v="23.35"/>
    <n v="0"/>
    <n v="0"/>
    <n v="0"/>
    <n v="0"/>
    <n v="0"/>
    <n v="23.35"/>
    <n v="23.35"/>
    <n v="0"/>
    <n v="23.35"/>
    <n v="0"/>
    <n v="0"/>
    <n v="19.13"/>
    <n v="19.13"/>
    <n v="0"/>
    <n v="0"/>
    <n v="0"/>
    <n v="0"/>
    <n v="0"/>
    <n v="0"/>
    <n v="0"/>
    <n v="0"/>
    <n v="0"/>
    <n v="0"/>
    <n v="19.13"/>
    <n v="26"/>
    <n v="19.13"/>
    <n v="0"/>
    <n v="0"/>
    <n v="0"/>
    <n v="0"/>
    <n v="6.870000000000001"/>
    <m/>
    <m/>
    <m/>
    <m/>
    <m/>
    <m/>
    <m/>
    <m/>
    <s v="1"/>
    <s v="1"/>
    <s v="1"/>
    <s v="1"/>
    <s v="1"/>
    <m/>
    <m/>
    <m/>
    <m/>
    <m/>
    <m/>
    <m/>
    <m/>
    <m/>
    <m/>
    <m/>
    <m/>
    <m/>
    <m/>
  </r>
  <r>
    <n v="742"/>
    <d v="2025-03-11T00:00:00"/>
    <s v="ZBTO"/>
    <n v="9518591774"/>
    <n v="12"/>
    <s v="9518591774-12"/>
    <s v="No Priority"/>
    <x v="0"/>
    <m/>
    <x v="1"/>
    <x v="1"/>
    <s v="2000-BPRS"/>
    <m/>
    <x v="0"/>
    <m/>
    <m/>
    <s v="Delhi"/>
    <s v="North"/>
    <s v="ZOSOLA"/>
    <s v="Coil"/>
    <n v="936527"/>
    <s v="SHORI LAL KEWAL KUMAR."/>
    <n v="1804826"/>
    <s v="CRCA COIL-TATXXD-AU03-0.9X1250"/>
    <s v=" "/>
    <s v=""/>
    <n v="10"/>
    <n v="30"/>
    <s v="Wider"/>
    <s v="C01"/>
    <s v="TATXXD"/>
    <s v="AU03"/>
    <n v="0.9"/>
    <n v="1250"/>
    <n v="0"/>
    <n v="29"/>
    <n v="0"/>
    <n v="29"/>
    <n v="1.6"/>
    <n v="0"/>
    <n v="3.34"/>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4T00:00:00"/>
    <s v="ZBTO"/>
    <n v="9518572111"/>
    <n v="2"/>
    <s v="9518572111-2"/>
    <s v="No Priority"/>
    <x v="0"/>
    <m/>
    <x v="1"/>
    <x v="2"/>
    <s v="2000-BPRS"/>
    <m/>
    <x v="0"/>
    <m/>
    <s v="Exp BTF &lt;17MT"/>
    <s v="Jharkhand"/>
    <s v="East"/>
    <s v="TATANAGAR"/>
    <s v="Sheet"/>
    <n v="165053"/>
    <s v="SUDISA ENTERPRISES (P) LTD."/>
    <n v="3240765"/>
    <s v="CRCA SHEET TSBCRC SR15 0.500X1250X2500"/>
    <s v=" "/>
    <s v=""/>
    <n v="2.8"/>
    <n v="3.2"/>
    <s v="Wider"/>
    <s v="C06"/>
    <s v="TSBCRC"/>
    <s v="SR15"/>
    <n v="0.5"/>
    <n v="1250"/>
    <n v="2500"/>
    <n v="30"/>
    <n v="26.41"/>
    <n v="3.59"/>
    <n v="3.59"/>
    <n v="3.59"/>
    <n v="3.5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3T00:00:00"/>
    <s v="ZBTO"/>
    <n v="9518598795"/>
    <n v="9"/>
    <s v="9518598795-9"/>
    <s v="No Priority"/>
    <x v="0"/>
    <m/>
    <x v="1"/>
    <x v="1"/>
    <s v="2000-BPRS"/>
    <m/>
    <x v="0"/>
    <m/>
    <s v="Exp BTF &lt;17MT"/>
    <s v="Tamil Nadu"/>
    <s v="South"/>
    <s v="GUMMIDIPOONDI"/>
    <s v="Coil"/>
    <n v="822271"/>
    <s v="TATA STEEL DOWNSTREAM PRODUCTS LIMI"/>
    <n v="2193599"/>
    <s v="CRCA COIL TATXXD AU03 1.400X1250"/>
    <s v=" "/>
    <s v=""/>
    <n v="5"/>
    <n v="29"/>
    <s v="Wider"/>
    <s v="C01"/>
    <s v="TATXXD"/>
    <s v="AU03"/>
    <n v="1.4"/>
    <n v="1250"/>
    <n v="0"/>
    <n v="29"/>
    <n v="0"/>
    <n v="29"/>
    <n v="7.4"/>
    <n v="29"/>
    <n v="10.414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3T00:00:00"/>
    <s v="ZBTO"/>
    <n v="9518598795"/>
    <n v="3"/>
    <s v="9518598795-3"/>
    <s v="Apr'25 "/>
    <x v="0"/>
    <m/>
    <x v="1"/>
    <x v="1"/>
    <s v="2000-BPRS"/>
    <m/>
    <x v="1"/>
    <m/>
    <m/>
    <s v="Tamil Nadu"/>
    <s v="South"/>
    <s v="GUMMIDIPOONDI"/>
    <s v="Coil"/>
    <n v="822271"/>
    <s v="TATA STEEL DOWNSTREAM PRODUCTS LIMI"/>
    <n v="2155233"/>
    <s v="CRCA COIL TATXXD AU03 2.5X1250"/>
    <s v=" "/>
    <s v=""/>
    <n v="5"/>
    <n v="29"/>
    <s v="Wider"/>
    <s v="C01"/>
    <s v="TATXXD"/>
    <s v="AU03"/>
    <n v="2.5"/>
    <n v="1250"/>
    <n v="0"/>
    <n v="58"/>
    <n v="27.545000000000002"/>
    <n v="30.454999999999998"/>
    <n v="30.454999999999998"/>
    <n v="7.504999999999999"/>
    <n v="30.454999999999998"/>
    <n v="0"/>
    <n v="0"/>
    <n v="0"/>
    <n v="0"/>
    <n v="0"/>
    <n v="0"/>
    <n v="0"/>
    <n v="0"/>
    <n v="0"/>
    <n v="0"/>
    <n v="0"/>
    <n v="0"/>
    <n v="0"/>
    <n v="22.95"/>
    <n v="0"/>
    <n v="0"/>
    <n v="0"/>
    <n v="0"/>
    <n v="0"/>
    <n v="22.95"/>
    <n v="22.95"/>
    <n v="0"/>
    <n v="22.95"/>
    <n v="0"/>
    <n v="0"/>
    <n v="30.454999999999998"/>
    <n v="30.454999999999998"/>
    <n v="0"/>
    <n v="0"/>
    <n v="0"/>
    <n v="0"/>
    <n v="0"/>
    <n v="0"/>
    <n v="0"/>
    <n v="0"/>
    <n v="0"/>
    <n v="0"/>
    <n v="30.454999999999998"/>
    <n v="27.545000000000002"/>
    <n v="27.545000000000002"/>
    <n v="0"/>
    <n v="0"/>
    <n v="0"/>
    <n v="0"/>
    <n v="0"/>
    <m/>
    <m/>
    <m/>
    <m/>
    <m/>
    <m/>
    <m/>
    <m/>
    <s v="1"/>
    <s v="1"/>
    <s v="1"/>
    <s v="1"/>
    <s v="1"/>
    <m/>
    <m/>
    <m/>
    <m/>
    <m/>
    <m/>
    <m/>
    <m/>
    <m/>
    <m/>
    <m/>
    <m/>
    <m/>
    <m/>
  </r>
  <r>
    <n v="742"/>
    <d v="2025-03-13T00:00:00"/>
    <s v="ZBTO"/>
    <n v="9518598795"/>
    <n v="6"/>
    <s v="9518598795-6"/>
    <s v="No Priority"/>
    <x v="0"/>
    <m/>
    <x v="1"/>
    <x v="1"/>
    <s v="2000-BPRS"/>
    <m/>
    <x v="0"/>
    <m/>
    <m/>
    <s v="Tamil Nadu"/>
    <s v="South"/>
    <s v="GUMMIDIPOONDI"/>
    <s v="Coil"/>
    <n v="822271"/>
    <s v="TATA STEEL DOWNSTREAM PRODUCTS LIMI"/>
    <n v="1884117"/>
    <s v="CRCA COIL-TATXXD-AU03-2X1250"/>
    <s v=" "/>
    <s v=""/>
    <n v="5"/>
    <n v="29"/>
    <s v="Wider"/>
    <s v="C01"/>
    <s v="TATXXD"/>
    <s v="AU03"/>
    <n v="2"/>
    <n v="1250"/>
    <n v="0"/>
    <n v="29"/>
    <n v="0"/>
    <n v="29"/>
    <n v="0.88"/>
    <n v="0"/>
    <n v="3.8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3T00:00:00"/>
    <s v="ZBTO"/>
    <n v="9518598795"/>
    <n v="7"/>
    <s v="9518598795-7"/>
    <s v="Apr'25 "/>
    <x v="0"/>
    <m/>
    <x v="1"/>
    <x v="1"/>
    <s v="2000-BPRS"/>
    <n v="3200"/>
    <x v="1"/>
    <m/>
    <m/>
    <s v="Tamil Nadu"/>
    <s v="South"/>
    <s v="GUMMIDIPOONDI"/>
    <s v="Coil"/>
    <n v="822271"/>
    <s v="TATA STEEL DOWNSTREAM PRODUCTS LIMI"/>
    <n v="1802550"/>
    <s v="CRCA COIL-TATXXD-AU03-2.3X1250"/>
    <s v=" "/>
    <s v=""/>
    <n v="5"/>
    <n v="29"/>
    <s v="Wider"/>
    <s v="C01"/>
    <s v="TATXXD"/>
    <s v="AU03"/>
    <n v="2.2999999999999998"/>
    <n v="1250"/>
    <n v="0"/>
    <n v="29"/>
    <n v="0"/>
    <n v="29"/>
    <n v="29"/>
    <n v="8.36"/>
    <n v="29"/>
    <n v="0"/>
    <n v="0"/>
    <n v="0"/>
    <n v="0"/>
    <n v="0"/>
    <n v="0"/>
    <n v="0"/>
    <n v="0"/>
    <n v="0"/>
    <n v="0"/>
    <n v="0"/>
    <n v="0"/>
    <n v="0"/>
    <n v="20.64"/>
    <n v="0"/>
    <n v="0"/>
    <n v="0"/>
    <n v="0"/>
    <n v="0"/>
    <n v="20.64"/>
    <n v="20.64"/>
    <n v="0"/>
    <n v="20.64"/>
    <n v="0"/>
    <n v="0"/>
    <n v="29"/>
    <n v="29"/>
    <n v="0"/>
    <n v="0"/>
    <n v="0"/>
    <n v="0"/>
    <n v="0"/>
    <n v="0"/>
    <n v="0"/>
    <n v="0"/>
    <n v="0"/>
    <n v="0"/>
    <n v="29"/>
    <n v="0"/>
    <n v="0"/>
    <n v="0"/>
    <n v="0"/>
    <n v="0"/>
    <n v="0"/>
    <n v="0"/>
    <m/>
    <m/>
    <m/>
    <m/>
    <m/>
    <m/>
    <m/>
    <m/>
    <s v="0"/>
    <s v="1"/>
    <s v="1"/>
    <s v="1"/>
    <s v="1"/>
    <m/>
    <m/>
    <m/>
    <m/>
    <m/>
    <m/>
    <m/>
    <m/>
    <m/>
    <m/>
    <m/>
    <m/>
    <m/>
    <m/>
  </r>
  <r>
    <n v="742"/>
    <d v="2025-03-11T00:00:00"/>
    <s v="ZBTO"/>
    <n v="9518591869"/>
    <n v="15"/>
    <s v="9518591869-15"/>
    <s v="Stocks"/>
    <x v="0"/>
    <m/>
    <x v="1"/>
    <x v="1"/>
    <s v="2000-BPRS"/>
    <m/>
    <x v="1"/>
    <m/>
    <s v="Exp BTF &lt;17MT"/>
    <s v="Haryana"/>
    <s v="North"/>
    <s v="FARIDABAD"/>
    <s v="Coil"/>
    <n v="936527"/>
    <s v="SHORI LAL KEWAL KUMAR."/>
    <n v="187541"/>
    <s v="CR COIL-ICF TATXXD AU03 2.00X1250"/>
    <s v=" "/>
    <s v=""/>
    <n v="10"/>
    <n v="30"/>
    <s v="Wider"/>
    <s v="C01"/>
    <s v="TATXXD"/>
    <s v="AU03"/>
    <n v="2"/>
    <n v="1250"/>
    <n v="0"/>
    <n v="29"/>
    <n v="0"/>
    <n v="29"/>
    <n v="5.95"/>
    <n v="29"/>
    <n v="7.45"/>
    <n v="0"/>
    <n v="0"/>
    <n v="0"/>
    <n v="0"/>
    <n v="0"/>
    <n v="0"/>
    <n v="0"/>
    <n v="0"/>
    <n v="0"/>
    <n v="0"/>
    <n v="0"/>
    <n v="0"/>
    <n v="0"/>
    <n v="0"/>
    <n v="0"/>
    <n v="0"/>
    <n v="0"/>
    <n v="0"/>
    <n v="0"/>
    <n v="0"/>
    <n v="0"/>
    <n v="0"/>
    <n v="0"/>
    <n v="0"/>
    <n v="21.55"/>
    <n v="0"/>
    <n v="0"/>
    <n v="0"/>
    <n v="0"/>
    <n v="0"/>
    <n v="0"/>
    <n v="0"/>
    <n v="0"/>
    <n v="0"/>
    <n v="0"/>
    <n v="0"/>
    <n v="0"/>
    <n v="21.55"/>
    <n v="0"/>
    <n v="0"/>
    <n v="0"/>
    <n v="0"/>
    <n v="0"/>
    <n v="0"/>
    <n v="0"/>
    <m/>
    <m/>
    <m/>
    <m/>
    <m/>
    <m/>
    <m/>
    <m/>
    <s v="1"/>
    <s v="1"/>
    <s v="1"/>
    <s v="1"/>
    <s v="1"/>
    <m/>
    <m/>
    <m/>
    <m/>
    <m/>
    <m/>
    <m/>
    <m/>
    <m/>
    <m/>
    <m/>
    <m/>
    <m/>
    <m/>
  </r>
  <r>
    <n v="743"/>
    <d v="2025-03-13T00:00:00"/>
    <s v="ZBTO"/>
    <n v="9518598100"/>
    <n v="3"/>
    <s v="9518598100-3"/>
    <s v="No Priority"/>
    <x v="0"/>
    <m/>
    <x v="3"/>
    <x v="9"/>
    <s v="2000-BPRS"/>
    <m/>
    <x v="0"/>
    <m/>
    <m/>
    <s v="Bihar"/>
    <s v="East"/>
    <s v="PATNA"/>
    <s v="Coil"/>
    <n v="103227"/>
    <s v="BMW VENTURES LIMITED"/>
    <n v="1178439"/>
    <s v="GP COIL SOFT-TATXGP-GK09-0.4X900"/>
    <s v="Z80"/>
    <s v=""/>
    <n v="2"/>
    <n v="6"/>
    <s v="Narrow"/>
    <s v="C02"/>
    <s v="TATXGP"/>
    <s v="GK09"/>
    <n v="0.4"/>
    <n v="900"/>
    <n v="0"/>
    <n v="294"/>
    <n v="285.80500000000001"/>
    <n v="8.1950000000000003"/>
    <n v="-0.95"/>
    <n v="0"/>
    <n v="8.1950000000000003"/>
    <n v="0"/>
    <n v="0"/>
    <n v="0"/>
    <n v="0"/>
    <n v="0"/>
    <n v="0"/>
    <n v="0.76"/>
    <n v="3.6950000000000003"/>
    <n v="0"/>
    <n v="0"/>
    <n v="0"/>
    <n v="0"/>
    <n v="0"/>
    <n v="0"/>
    <n v="0"/>
    <n v="0"/>
    <n v="0"/>
    <n v="0"/>
    <n v="0"/>
    <n v="4.4550000000000001"/>
    <n v="4.4550000000000001"/>
    <n v="0"/>
    <n v="4.4550000000000001"/>
    <n v="0"/>
    <n v="0"/>
    <n v="0"/>
    <n v="0"/>
    <n v="0"/>
    <n v="0"/>
    <n v="0"/>
    <n v="0"/>
    <n v="0"/>
    <n v="0"/>
    <n v="0"/>
    <n v="0"/>
    <n v="0"/>
    <n v="0"/>
    <n v="0"/>
    <n v="0"/>
    <n v="0"/>
    <n v="0"/>
    <n v="0"/>
    <n v="0"/>
    <n v="0"/>
    <n v="0"/>
    <m/>
    <m/>
    <m/>
    <m/>
    <m/>
    <m/>
    <m/>
    <m/>
    <s v="1"/>
    <s v="1"/>
    <s v="1"/>
    <s v="1"/>
    <s v="1"/>
    <m/>
    <m/>
    <m/>
    <m/>
    <m/>
    <m/>
    <m/>
    <m/>
    <m/>
    <m/>
    <m/>
    <m/>
    <m/>
    <m/>
  </r>
  <r>
    <n v="744"/>
    <d v="2025-03-06T00:00:00"/>
    <s v="ZBTO"/>
    <n v="9518579911"/>
    <n v="6"/>
    <s v="9518579911-6"/>
    <s v="No Priority"/>
    <x v="0"/>
    <m/>
    <x v="2"/>
    <x v="3"/>
    <s v="1000-IPPE"/>
    <m/>
    <x v="1"/>
    <m/>
    <m/>
    <s v="TBSPL"/>
    <s v="TBSPL"/>
    <s v="TBSPL"/>
    <s v="Coil"/>
    <n v="941597"/>
    <s v="TATA BLUESCOPE STEEL PRIVATE LIMITE"/>
    <n v="3960726"/>
    <s v="PPGL C HARD Y550PL D0C9 0.450X1220"/>
    <s v="AZ150"/>
    <s v="SECO RED TSL 1814"/>
    <n v="3"/>
    <n v="5"/>
    <s v="Wider"/>
    <s v="B18"/>
    <s v="Y550PL"/>
    <s v="D0C9"/>
    <n v="0.45"/>
    <n v="1220"/>
    <n v="0"/>
    <n v="28"/>
    <n v="0"/>
    <n v="28"/>
    <n v="4.16"/>
    <n v="4.16"/>
    <n v="28"/>
    <n v="0"/>
    <n v="0"/>
    <n v="0"/>
    <n v="0"/>
    <n v="0"/>
    <n v="0"/>
    <n v="0"/>
    <n v="4.1100000000000003"/>
    <n v="0"/>
    <n v="19.73"/>
    <n v="0"/>
    <n v="0"/>
    <n v="0"/>
    <n v="0"/>
    <n v="0"/>
    <n v="0"/>
    <n v="0"/>
    <n v="0"/>
    <n v="0"/>
    <n v="23.84"/>
    <n v="23.84"/>
    <n v="0"/>
    <n v="23.84"/>
    <n v="0"/>
    <n v="0"/>
    <n v="28"/>
    <n v="28"/>
    <n v="0"/>
    <n v="0"/>
    <n v="0"/>
    <n v="0"/>
    <n v="0"/>
    <n v="0"/>
    <n v="0"/>
    <n v="0"/>
    <n v="0"/>
    <n v="0"/>
    <n v="28"/>
    <n v="0"/>
    <n v="0"/>
    <n v="0"/>
    <n v="0"/>
    <n v="0"/>
    <n v="0"/>
    <n v="0"/>
    <m/>
    <m/>
    <m/>
    <m/>
    <m/>
    <m/>
    <m/>
    <m/>
    <s v="0"/>
    <s v="1"/>
    <s v="1"/>
    <s v="1"/>
    <s v="1"/>
    <m/>
    <m/>
    <m/>
    <m/>
    <m/>
    <m/>
    <m/>
    <m/>
    <m/>
    <m/>
    <m/>
    <m/>
    <m/>
    <m/>
  </r>
  <r>
    <n v="742"/>
    <d v="2025-02-20T00:00:00"/>
    <s v="ZBTO"/>
    <n v="9518535833"/>
    <n v="24"/>
    <s v="9518535833-24"/>
    <s v="May'25"/>
    <x v="0"/>
    <m/>
    <x v="1"/>
    <x v="2"/>
    <s v="2000-BPRS"/>
    <m/>
    <x v="1"/>
    <m/>
    <m/>
    <s v="Tamil Nadu"/>
    <s v="South"/>
    <s v="CHENNAI"/>
    <s v="Sheet"/>
    <n v="938550"/>
    <s v="BASEER AND CO"/>
    <n v="3239564"/>
    <s v="CRCA SHEET TATCRC SR16 0.450X1000X1980"/>
    <s v=" "/>
    <s v=""/>
    <n v="0"/>
    <n v="0"/>
    <s v="Narrow"/>
    <s v="C06"/>
    <s v="TATCRC"/>
    <s v="SR16"/>
    <n v="0.45"/>
    <n v="1000"/>
    <n v="1980"/>
    <n v="45"/>
    <n v="0"/>
    <n v="45"/>
    <n v="1.64"/>
    <n v="0"/>
    <n v="45"/>
    <n v="0"/>
    <n v="0"/>
    <n v="0"/>
    <n v="0"/>
    <n v="0"/>
    <n v="0"/>
    <n v="0"/>
    <n v="0"/>
    <n v="0"/>
    <n v="0"/>
    <n v="0"/>
    <n v="0"/>
    <n v="0"/>
    <n v="0"/>
    <n v="42.730000000000004"/>
    <n v="0"/>
    <n v="0"/>
    <n v="0"/>
    <n v="0"/>
    <n v="42.730000000000004"/>
    <n v="42.730000000000004"/>
    <n v="0"/>
    <n v="42.730000000000004"/>
    <n v="0"/>
    <n v="0"/>
    <n v="45"/>
    <n v="45"/>
    <n v="0"/>
    <n v="0"/>
    <n v="0"/>
    <n v="0"/>
    <n v="0"/>
    <n v="0"/>
    <n v="0"/>
    <n v="0"/>
    <n v="0"/>
    <n v="0"/>
    <n v="45"/>
    <n v="0"/>
    <n v="0"/>
    <n v="0"/>
    <n v="0"/>
    <n v="0"/>
    <n v="0"/>
    <n v="0"/>
    <m/>
    <m/>
    <m/>
    <m/>
    <m/>
    <m/>
    <m/>
    <m/>
    <s v="0"/>
    <s v="1"/>
    <s v="1"/>
    <s v="1"/>
    <s v="1"/>
    <m/>
    <m/>
    <m/>
    <m/>
    <m/>
    <m/>
    <m/>
    <m/>
    <m/>
    <m/>
    <m/>
    <m/>
    <m/>
    <m/>
  </r>
  <r>
    <n v="742"/>
    <d v="2025-03-13T00:00:00"/>
    <s v="ZBTO"/>
    <n v="9518598795"/>
    <n v="8"/>
    <s v="9518598795-8"/>
    <s v="Stocks"/>
    <x v="0"/>
    <m/>
    <x v="1"/>
    <x v="1"/>
    <s v="2000-BPRS"/>
    <m/>
    <x v="1"/>
    <m/>
    <m/>
    <s v="Tamil Nadu"/>
    <s v="South"/>
    <s v="GUMMIDIPOONDI"/>
    <s v="Coil"/>
    <n v="822271"/>
    <s v="TATA STEEL DOWNSTREAM PRODUCTS LIMI"/>
    <n v="1804854"/>
    <s v="CRCA COIL-TATXXD-AU03-1.2X1250"/>
    <s v=" "/>
    <s v=""/>
    <n v="5"/>
    <n v="29"/>
    <s v="Wider"/>
    <s v="C01"/>
    <s v="TATXXD"/>
    <s v="AU03"/>
    <n v="1.2"/>
    <n v="1250"/>
    <n v="0"/>
    <n v="203"/>
    <n v="0"/>
    <n v="203"/>
    <n v="1.4"/>
    <n v="0"/>
    <n v="33.07"/>
    <n v="0"/>
    <n v="0"/>
    <n v="0"/>
    <n v="0"/>
    <n v="0"/>
    <n v="0"/>
    <n v="0"/>
    <n v="0"/>
    <n v="0"/>
    <n v="0"/>
    <n v="0"/>
    <n v="0"/>
    <n v="0"/>
    <n v="0"/>
    <n v="0"/>
    <n v="0"/>
    <n v="0"/>
    <n v="0"/>
    <n v="0"/>
    <n v="0"/>
    <n v="0"/>
    <n v="0"/>
    <n v="0"/>
    <n v="0"/>
    <n v="63.55"/>
    <n v="0"/>
    <n v="0"/>
    <n v="0"/>
    <n v="0"/>
    <n v="0"/>
    <n v="0"/>
    <n v="0"/>
    <n v="0"/>
    <n v="0"/>
    <n v="0"/>
    <n v="0"/>
    <n v="0"/>
    <n v="63.55"/>
    <n v="0"/>
    <n v="0"/>
    <n v="0"/>
    <n v="0"/>
    <n v="0"/>
    <n v="0"/>
    <n v="0"/>
    <m/>
    <m/>
    <m/>
    <m/>
    <m/>
    <m/>
    <m/>
    <m/>
    <s v="1"/>
    <s v="1"/>
    <s v="1"/>
    <s v="1"/>
    <s v="1"/>
    <m/>
    <m/>
    <m/>
    <m/>
    <m/>
    <m/>
    <m/>
    <m/>
    <m/>
    <m/>
    <m/>
    <m/>
    <m/>
    <m/>
  </r>
  <r>
    <n v="742"/>
    <d v="2025-03-03T00:00:00"/>
    <s v="ZBTO"/>
    <n v="9518569788"/>
    <n v="7"/>
    <s v="9518569788-7"/>
    <s v="May'25"/>
    <x v="0"/>
    <m/>
    <x v="1"/>
    <x v="2"/>
    <s v="2000-BPRS"/>
    <m/>
    <x v="1"/>
    <m/>
    <m/>
    <s v="Assam"/>
    <s v="East"/>
    <s v="GUWAHATI"/>
    <s v="Coil"/>
    <n v="116649"/>
    <s v="SAGAR STEELS"/>
    <n v="3516022"/>
    <s v="CR COIL TSBCRC SR25 0.800X1250"/>
    <s v=" "/>
    <s v=""/>
    <n v="13"/>
    <n v="29"/>
    <s v="Wider"/>
    <s v="C01"/>
    <s v="TSBCRC"/>
    <s v="SR25"/>
    <n v="0.8"/>
    <n v="1250"/>
    <n v="0"/>
    <n v="58"/>
    <n v="0"/>
    <n v="58"/>
    <n v="2.73"/>
    <n v="0"/>
    <n v="32.72"/>
    <n v="0"/>
    <n v="0"/>
    <n v="0"/>
    <n v="0"/>
    <n v="0"/>
    <n v="0"/>
    <n v="0"/>
    <n v="0"/>
    <n v="0"/>
    <n v="0"/>
    <n v="0"/>
    <n v="0"/>
    <n v="0"/>
    <n v="28.47"/>
    <n v="0"/>
    <n v="0"/>
    <n v="0"/>
    <n v="0"/>
    <n v="0"/>
    <n v="28.47"/>
    <n v="28.47"/>
    <n v="0"/>
    <n v="28.47"/>
    <n v="0"/>
    <n v="0"/>
    <n v="32.72"/>
    <n v="0"/>
    <n v="32.72"/>
    <n v="0"/>
    <n v="0"/>
    <n v="0"/>
    <n v="32.72"/>
    <n v="0"/>
    <n v="32.72"/>
    <n v="0"/>
    <n v="0"/>
    <n v="0"/>
    <n v="0"/>
    <n v="0"/>
    <n v="0"/>
    <n v="0"/>
    <n v="0"/>
    <n v="0"/>
    <n v="0"/>
    <n v="0"/>
    <m/>
    <m/>
    <m/>
    <m/>
    <m/>
    <m/>
    <m/>
    <m/>
    <s v="1"/>
    <s v="0"/>
    <s v="1"/>
    <s v="1"/>
    <s v="1"/>
    <m/>
    <m/>
    <m/>
    <m/>
    <m/>
    <m/>
    <m/>
    <m/>
    <m/>
    <m/>
    <m/>
    <m/>
    <m/>
    <m/>
  </r>
  <r>
    <n v="743"/>
    <d v="2025-03-15T00:00:00"/>
    <s v="ZBTO"/>
    <n v="9518602675"/>
    <n v="9"/>
    <s v="9518602675-9"/>
    <s v="No Priority"/>
    <x v="0"/>
    <m/>
    <x v="3"/>
    <x v="9"/>
    <s v="2000-BPRS"/>
    <m/>
    <x v="0"/>
    <m/>
    <m/>
    <s v="Jharkhand"/>
    <s v="East"/>
    <s v="WEST BOKARO"/>
    <s v="Coil"/>
    <n v="185794"/>
    <s v="Shree Bajrang Steel Udyog"/>
    <n v="1854418"/>
    <s v="GP COIL SOFT-TATXGP-GK09-0.5X900"/>
    <s v="Z80"/>
    <s v=""/>
    <n v="5"/>
    <n v="15"/>
    <s v="Narrow"/>
    <s v="C02"/>
    <s v="TATXGP"/>
    <s v="GK09"/>
    <n v="0.5"/>
    <n v="900"/>
    <n v="0"/>
    <n v="147"/>
    <n v="130.5"/>
    <n v="16.5"/>
    <n v="-4.43"/>
    <n v="0"/>
    <n v="6.81"/>
    <n v="0"/>
    <n v="0"/>
    <n v="0"/>
    <n v="0"/>
    <n v="0"/>
    <n v="0"/>
    <n v="0"/>
    <n v="0"/>
    <n v="0"/>
    <n v="0"/>
    <n v="0"/>
    <n v="0"/>
    <n v="0"/>
    <n v="0"/>
    <n v="0"/>
    <n v="0"/>
    <n v="0"/>
    <n v="0"/>
    <n v="0"/>
    <n v="0"/>
    <n v="0"/>
    <n v="0"/>
    <n v="0"/>
    <n v="0"/>
    <n v="0"/>
    <n v="0"/>
    <n v="0"/>
    <n v="0"/>
    <n v="0"/>
    <n v="0"/>
    <n v="0"/>
    <n v="0"/>
    <n v="0"/>
    <n v="0"/>
    <n v="0"/>
    <n v="0"/>
    <n v="0"/>
    <n v="0"/>
    <n v="15.27"/>
    <n v="0"/>
    <n v="0"/>
    <n v="0"/>
    <n v="0"/>
    <n v="0"/>
    <n v="15.27"/>
    <m/>
    <m/>
    <m/>
    <m/>
    <m/>
    <m/>
    <m/>
    <m/>
    <s v="1"/>
    <s v="1"/>
    <s v="1"/>
    <s v="1"/>
    <s v="1"/>
    <m/>
    <m/>
    <m/>
    <m/>
    <m/>
    <m/>
    <m/>
    <m/>
    <m/>
    <m/>
    <m/>
    <m/>
    <m/>
    <m/>
  </r>
  <r>
    <n v="744"/>
    <d v="2025-03-18T00:00:00"/>
    <s v="ZBTO"/>
    <n v="9518609830"/>
    <n v="5"/>
    <s v="9518609830-5"/>
    <s v="No Priority"/>
    <x v="0"/>
    <m/>
    <x v="2"/>
    <x v="3"/>
    <s v="1000-IPPE"/>
    <m/>
    <x v="1"/>
    <m/>
    <m/>
    <s v="Jharkhand"/>
    <s v="East"/>
    <s v="GAMHARIA"/>
    <s v="Coil"/>
    <n v="940016"/>
    <s v="TATA BLUESCOPE STEEL PVT LTD."/>
    <n v="3879501"/>
    <s v="PPGL C Y550 ISC6 0.45BMT(0.50TPT)X1220"/>
    <s v="aZ70"/>
    <s v="PRO GREEN TSL 1911"/>
    <n v="3"/>
    <n v="5"/>
    <s v="Wider"/>
    <s v="B18"/>
    <s v="Y550PL"/>
    <s v="ISC6"/>
    <n v="0.45"/>
    <n v="1220"/>
    <n v="0"/>
    <n v="28"/>
    <n v="0"/>
    <n v="28"/>
    <n v="1.976"/>
    <n v="0"/>
    <n v="28"/>
    <n v="0"/>
    <n v="0"/>
    <n v="0"/>
    <n v="0"/>
    <n v="0"/>
    <n v="0"/>
    <n v="0"/>
    <n v="0"/>
    <n v="0"/>
    <n v="12.33"/>
    <n v="0"/>
    <n v="0"/>
    <n v="0"/>
    <n v="0"/>
    <n v="0"/>
    <n v="0"/>
    <n v="0"/>
    <n v="0"/>
    <n v="0"/>
    <n v="12.33"/>
    <n v="12.33"/>
    <n v="0"/>
    <n v="12.33"/>
    <n v="0"/>
    <n v="0"/>
    <n v="28"/>
    <n v="0"/>
    <n v="0"/>
    <n v="28"/>
    <n v="0"/>
    <n v="0"/>
    <n v="0"/>
    <n v="0"/>
    <n v="0"/>
    <n v="0"/>
    <n v="0"/>
    <n v="0"/>
    <n v="28"/>
    <n v="0"/>
    <n v="0"/>
    <n v="0"/>
    <n v="0"/>
    <n v="0"/>
    <n v="0"/>
    <n v="0"/>
    <m/>
    <m/>
    <m/>
    <m/>
    <m/>
    <m/>
    <m/>
    <m/>
    <s v="1"/>
    <s v="1"/>
    <s v="0"/>
    <s v="1"/>
    <s v="1"/>
    <m/>
    <m/>
    <m/>
    <m/>
    <m/>
    <m/>
    <m/>
    <m/>
    <m/>
    <m/>
    <m/>
    <m/>
    <m/>
    <m/>
  </r>
  <r>
    <n v="742"/>
    <d v="2025-03-16T00:00:00"/>
    <s v="ZBTO"/>
    <n v="9518604323"/>
    <n v="4"/>
    <s v="9518604323-4"/>
    <s v="Stocks"/>
    <x v="0"/>
    <m/>
    <x v="1"/>
    <x v="2"/>
    <n v="2000"/>
    <m/>
    <x v="1"/>
    <m/>
    <m/>
    <s v="Orissa"/>
    <s v="East"/>
    <s v="TANGI"/>
    <s v="Sheet"/>
    <n v="117061"/>
    <s v="BHARTIA  DISTRIBUTORS PVT. LTD."/>
    <n v="3239567"/>
    <s v="CRCA SHEET TATCRC SR16 0.450X1000X2500"/>
    <s v=" "/>
    <s v=""/>
    <n v="0.1"/>
    <n v="5"/>
    <s v="Narrow"/>
    <s v="C06"/>
    <s v="TATCRC"/>
    <s v="SR16"/>
    <n v="0.45"/>
    <n v="1000"/>
    <n v="2500"/>
    <n v="21"/>
    <n v="0"/>
    <n v="21"/>
    <n v="-1.08"/>
    <n v="0"/>
    <n v="0.30499999999999999"/>
    <n v="0"/>
    <n v="0"/>
    <n v="0"/>
    <n v="0"/>
    <n v="0"/>
    <n v="0"/>
    <n v="0"/>
    <n v="0"/>
    <n v="0"/>
    <n v="0"/>
    <n v="0"/>
    <n v="0"/>
    <n v="0"/>
    <n v="0"/>
    <n v="0"/>
    <n v="0.28999999999999998"/>
    <n v="0"/>
    <n v="0"/>
    <n v="0"/>
    <n v="0.28999999999999998"/>
    <n v="0.28999999999999998"/>
    <n v="0"/>
    <n v="0.28999999999999998"/>
    <n v="0"/>
    <n v="20.695"/>
    <n v="0"/>
    <n v="0"/>
    <n v="0"/>
    <n v="0"/>
    <n v="0"/>
    <n v="0"/>
    <n v="0"/>
    <n v="0"/>
    <n v="0"/>
    <n v="0"/>
    <n v="0"/>
    <n v="0"/>
    <n v="20.695"/>
    <n v="0"/>
    <n v="0"/>
    <n v="0"/>
    <n v="0"/>
    <n v="0"/>
    <n v="0"/>
    <n v="0"/>
    <m/>
    <m/>
    <m/>
    <m/>
    <m/>
    <m/>
    <m/>
    <m/>
    <s v="1"/>
    <s v="1"/>
    <s v="1"/>
    <s v="1"/>
    <s v="1"/>
    <m/>
    <m/>
    <m/>
    <m/>
    <m/>
    <m/>
    <m/>
    <m/>
    <m/>
    <m/>
    <m/>
    <m/>
    <m/>
    <m/>
  </r>
  <r>
    <n v="744"/>
    <d v="2025-03-12T00:00:00"/>
    <s v="ZBTO"/>
    <n v="9518596024"/>
    <n v="1"/>
    <s v="9518596024-1"/>
    <s v="Apr'25 "/>
    <x v="0"/>
    <m/>
    <x v="2"/>
    <x v="3"/>
    <s v="1000-IPPE"/>
    <m/>
    <x v="1"/>
    <m/>
    <m/>
    <s v="TBSPL"/>
    <s v="TBSPL"/>
    <s v="TBSPL"/>
    <s v="Coil"/>
    <n v="941597"/>
    <s v="TATA BLUESCOPE STEEL PRIVATE LIMITE"/>
    <n v="3858001"/>
    <s v="PPGL C Y550 HPL9 0.45BMT(0.57TPT)X1220"/>
    <s v="AZ200"/>
    <s v="ELITE STONE BLUE TSL 1688"/>
    <n v="3"/>
    <n v="5"/>
    <s v="Wider"/>
    <s v="B18"/>
    <s v="Y550PL"/>
    <s v="HPL9"/>
    <n v="0.45"/>
    <n v="1220"/>
    <n v="0"/>
    <n v="56"/>
    <n v="0"/>
    <n v="56"/>
    <n v="56"/>
    <n v="-1.3400000000000034"/>
    <n v="56"/>
    <n v="0"/>
    <n v="57.34"/>
    <n v="0"/>
    <n v="0"/>
    <n v="0"/>
    <n v="0"/>
    <n v="0"/>
    <n v="0"/>
    <n v="0"/>
    <n v="0"/>
    <n v="0"/>
    <n v="0"/>
    <n v="0"/>
    <n v="0"/>
    <n v="0"/>
    <n v="0"/>
    <n v="0"/>
    <n v="0"/>
    <n v="0"/>
    <n v="57.34"/>
    <n v="57.34"/>
    <n v="0"/>
    <n v="57.34"/>
    <n v="0"/>
    <n v="0"/>
    <n v="56"/>
    <n v="56"/>
    <n v="0"/>
    <n v="0"/>
    <n v="0"/>
    <n v="0"/>
    <n v="0"/>
    <n v="0"/>
    <n v="0"/>
    <n v="0"/>
    <n v="0"/>
    <n v="0"/>
    <n v="56"/>
    <n v="0"/>
    <n v="0"/>
    <n v="0"/>
    <n v="0"/>
    <n v="0"/>
    <n v="0"/>
    <n v="0"/>
    <m/>
    <m/>
    <m/>
    <m/>
    <m/>
    <m/>
    <m/>
    <m/>
    <s v="0"/>
    <s v="1"/>
    <s v="1"/>
    <s v="1"/>
    <s v="1"/>
    <m/>
    <m/>
    <m/>
    <m/>
    <m/>
    <m/>
    <m/>
    <m/>
    <m/>
    <m/>
    <m/>
    <m/>
    <m/>
    <m/>
  </r>
  <r>
    <n v="742"/>
    <d v="2025-03-11T00:00:00"/>
    <s v="ZBTO"/>
    <n v="9518591774"/>
    <n v="17"/>
    <s v="9518591774-17"/>
    <s v="Stocks"/>
    <x v="0"/>
    <m/>
    <x v="1"/>
    <x v="1"/>
    <s v="2000-BPRS"/>
    <m/>
    <x v="1"/>
    <m/>
    <s v="Exp BTF &lt;17MT"/>
    <s v="Delhi"/>
    <s v="North"/>
    <s v="ZOSOLA"/>
    <s v="Coil"/>
    <n v="936527"/>
    <s v="SHORI LAL KEWAL KUMAR."/>
    <n v="2334995"/>
    <s v="CRCA COIL TATXXD AU03 1.500X1250"/>
    <s v=" "/>
    <s v=""/>
    <n v="10"/>
    <n v="30"/>
    <s v="Wider"/>
    <s v="C01"/>
    <s v="TATXXD"/>
    <s v="AU03"/>
    <n v="1.5"/>
    <n v="1250"/>
    <n v="0"/>
    <n v="29"/>
    <n v="0"/>
    <n v="29"/>
    <n v="3.8"/>
    <n v="29"/>
    <n v="3.8"/>
    <n v="0"/>
    <n v="0"/>
    <n v="0"/>
    <n v="0"/>
    <n v="0"/>
    <n v="0"/>
    <n v="0"/>
    <n v="0"/>
    <n v="0"/>
    <n v="0"/>
    <n v="0"/>
    <n v="0"/>
    <n v="0"/>
    <n v="0"/>
    <n v="0"/>
    <n v="0"/>
    <n v="0"/>
    <n v="0"/>
    <n v="0"/>
    <n v="0"/>
    <n v="0"/>
    <n v="0"/>
    <n v="0"/>
    <n v="0"/>
    <n v="12.414999999999999"/>
    <n v="0"/>
    <n v="0"/>
    <n v="0"/>
    <n v="0"/>
    <n v="0"/>
    <n v="0"/>
    <n v="0"/>
    <n v="0"/>
    <n v="0"/>
    <n v="0"/>
    <n v="0"/>
    <n v="0"/>
    <n v="12.414999999999999"/>
    <n v="0"/>
    <n v="0"/>
    <n v="0"/>
    <n v="0"/>
    <n v="0"/>
    <n v="0"/>
    <n v="0"/>
    <m/>
    <m/>
    <m/>
    <m/>
    <m/>
    <m/>
    <m/>
    <m/>
    <s v="1"/>
    <s v="1"/>
    <s v="1"/>
    <s v="1"/>
    <s v="1"/>
    <m/>
    <m/>
    <m/>
    <m/>
    <m/>
    <m/>
    <m/>
    <m/>
    <m/>
    <m/>
    <m/>
    <m/>
    <m/>
    <m/>
  </r>
  <r>
    <n v="742"/>
    <d v="2025-02-25T00:00:00"/>
    <s v="ZBTO"/>
    <n v="9518551511"/>
    <n v="1"/>
    <s v="9518551511-1"/>
    <s v="No Priority"/>
    <x v="0"/>
    <m/>
    <x v="1"/>
    <x v="1"/>
    <s v="2000-BPRS"/>
    <m/>
    <x v="0"/>
    <m/>
    <m/>
    <s v="Tamil Nadu"/>
    <s v="South"/>
    <s v="PATTANCHERY"/>
    <s v="Coil"/>
    <n v="939422"/>
    <s v="VIJAY VENKAT STEELS PRIVATE LIMITED"/>
    <n v="3855287"/>
    <s v="CR COIL TATXXD AU03 1.620X1250"/>
    <s v=" "/>
    <s v=""/>
    <n v="17"/>
    <n v="30"/>
    <s v="Wider"/>
    <s v="C01"/>
    <s v="TATXXD"/>
    <s v="AU03"/>
    <n v="1.62"/>
    <n v="1250"/>
    <n v="0"/>
    <n v="29"/>
    <n v="0"/>
    <n v="29"/>
    <n v="1.1599999999999999"/>
    <n v="0"/>
    <n v="4.6900000000000004"/>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3-18T00:00:00"/>
    <s v="ZBTO"/>
    <n v="9518609830"/>
    <n v="6"/>
    <s v="9518609830-6"/>
    <s v="No Priority"/>
    <x v="0"/>
    <m/>
    <x v="2"/>
    <x v="3"/>
    <s v="1000-IPPE"/>
    <m/>
    <x v="0"/>
    <m/>
    <m/>
    <s v="Jharkhand"/>
    <s v="East"/>
    <s v="GAMHARIA"/>
    <s v="Coil"/>
    <n v="940016"/>
    <s v="TATA BLUESCOPE STEEL PVT LTD."/>
    <n v="3879501"/>
    <s v="PPGL C Y550 ISC6 0.45BMT(0.50TPT)X1220"/>
    <s v="aZ70"/>
    <s v="PRO RED TSL 1912"/>
    <n v="3"/>
    <n v="5"/>
    <s v="Wider"/>
    <s v="B18"/>
    <s v="Y550PL"/>
    <s v="ISC6"/>
    <n v="0.45"/>
    <n v="1220"/>
    <n v="0"/>
    <n v="28"/>
    <n v="15.62"/>
    <n v="12.38"/>
    <n v="4.1909999999999998"/>
    <n v="12.38"/>
    <n v="8.9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3-19T00:00:00"/>
    <s v="ZBTO"/>
    <n v="9518612364"/>
    <n v="2"/>
    <s v="9518612364-2"/>
    <s v="Apr'25 "/>
    <x v="0"/>
    <m/>
    <x v="2"/>
    <x v="3"/>
    <s v="1000-IPPE"/>
    <m/>
    <x v="1"/>
    <m/>
    <m/>
    <s v="Jharkhand"/>
    <s v="East"/>
    <s v="GAMHARIA"/>
    <s v="Coil"/>
    <n v="940016"/>
    <s v="TATA BLUESCOPE STEEL PVT LTD."/>
    <n v="3883538"/>
    <s v="PPGL C Y550 ISC6 0.30BMT(0.35TPT)X1220"/>
    <s v="aZ70"/>
    <s v="PRO BLUE TSL 1913"/>
    <n v="3.5"/>
    <n v="5"/>
    <s v="Wider"/>
    <s v="B18"/>
    <s v="Y550PL"/>
    <s v="ISC6"/>
    <n v="0.3"/>
    <n v="1220"/>
    <n v="0"/>
    <n v="56"/>
    <n v="0"/>
    <n v="56"/>
    <n v="51.465000000000003"/>
    <n v="-5.9849999999999994"/>
    <n v="56"/>
    <n v="0"/>
    <n v="57.45"/>
    <n v="0"/>
    <n v="0"/>
    <n v="0"/>
    <n v="0"/>
    <n v="0"/>
    <n v="4.5350000000000001"/>
    <n v="0"/>
    <n v="0"/>
    <n v="0"/>
    <n v="0"/>
    <n v="0"/>
    <n v="0"/>
    <n v="0"/>
    <n v="0"/>
    <n v="0"/>
    <n v="0"/>
    <n v="0"/>
    <n v="61.984999999999999"/>
    <n v="61.984999999999999"/>
    <n v="0"/>
    <n v="61.984999999999999"/>
    <n v="0"/>
    <n v="0"/>
    <n v="56"/>
    <n v="0"/>
    <n v="56"/>
    <n v="0"/>
    <n v="0"/>
    <n v="0"/>
    <n v="56"/>
    <n v="0"/>
    <n v="56"/>
    <n v="0"/>
    <n v="0"/>
    <n v="0"/>
    <n v="0"/>
    <n v="0"/>
    <n v="0"/>
    <n v="0"/>
    <n v="0"/>
    <n v="0"/>
    <n v="0"/>
    <n v="0"/>
    <m/>
    <m/>
    <m/>
    <m/>
    <m/>
    <m/>
    <m/>
    <m/>
    <s v="1"/>
    <s v="0"/>
    <s v="1"/>
    <s v="1"/>
    <s v="1"/>
    <m/>
    <m/>
    <m/>
    <m/>
    <m/>
    <m/>
    <m/>
    <m/>
    <m/>
    <m/>
    <m/>
    <m/>
    <m/>
    <m/>
  </r>
  <r>
    <n v="742"/>
    <d v="2025-03-16T00:00:00"/>
    <s v="ZBTO"/>
    <n v="9518604323"/>
    <n v="12"/>
    <s v="9518604323-12"/>
    <s v="No Priority"/>
    <x v="0"/>
    <m/>
    <x v="1"/>
    <x v="2"/>
    <n v="2000"/>
    <m/>
    <x v="0"/>
    <m/>
    <m/>
    <s v="Orissa"/>
    <s v="East"/>
    <s v="TANGI"/>
    <s v="Sheet"/>
    <n v="117061"/>
    <s v="BHARTIA  DISTRIBUTORS PVT. LTD."/>
    <n v="3240799"/>
    <s v="CRCA SHEET TSBCRC SR15 0.750X1250X2500"/>
    <s v=" "/>
    <s v=""/>
    <n v="0.1"/>
    <n v="5"/>
    <s v="Wider"/>
    <s v="C06"/>
    <s v="TSBCRC"/>
    <s v="SR15"/>
    <n v="0.75"/>
    <n v="1250"/>
    <n v="2500"/>
    <n v="24"/>
    <n v="22.99"/>
    <n v="1.01"/>
    <n v="0.61"/>
    <n v="0"/>
    <n v="1.0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3-13T00:00:00"/>
    <s v="ZBTO"/>
    <n v="9518598100"/>
    <n v="1"/>
    <s v="9518598100-1"/>
    <s v="No Priority"/>
    <x v="0"/>
    <m/>
    <x v="3"/>
    <x v="9"/>
    <s v="2000-BPRS"/>
    <m/>
    <x v="0"/>
    <m/>
    <m/>
    <s v="Bihar"/>
    <s v="East"/>
    <s v="PATNA"/>
    <s v="Coil"/>
    <n v="103227"/>
    <s v="BMW VENTURES LIMITED"/>
    <n v="1191955"/>
    <s v="GP COIL SOFT-TATXGP-GK09-0.3X900"/>
    <s v="Z80"/>
    <s v=""/>
    <n v="1.75"/>
    <n v="6"/>
    <s v="Narrow"/>
    <s v="C02"/>
    <s v="TATXGP"/>
    <s v="GK09"/>
    <n v="0.3"/>
    <n v="900"/>
    <n v="0"/>
    <n v="210"/>
    <n v="117.02500000000001"/>
    <n v="92.974999999999994"/>
    <n v="-3.54"/>
    <n v="0"/>
    <n v="0.53"/>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3-13T00:00:00"/>
    <s v="ZBTO"/>
    <n v="9518598100"/>
    <n v="5"/>
    <s v="9518598100-5"/>
    <s v="Stocks"/>
    <x v="0"/>
    <m/>
    <x v="3"/>
    <x v="9"/>
    <s v="2000-BPRS"/>
    <m/>
    <x v="1"/>
    <m/>
    <s v="Exp BTF &lt;17MT"/>
    <s v="Bihar"/>
    <s v="East"/>
    <s v="PATNA"/>
    <s v="Coil"/>
    <n v="103227"/>
    <s v="BMW VENTURES LIMITED"/>
    <n v="1854424"/>
    <s v="GP COIL SOFT-TATXGP-GK09-0.6X900"/>
    <s v="Z80"/>
    <s v=""/>
    <n v="2"/>
    <n v="6"/>
    <s v="Narrow"/>
    <s v="C02"/>
    <s v="TATXGP"/>
    <s v="GK09"/>
    <n v="0.6"/>
    <n v="900"/>
    <n v="0"/>
    <n v="210"/>
    <n v="14.654999999999999"/>
    <n v="195.345"/>
    <n v="3.7349999999999999"/>
    <n v="194.035"/>
    <n v="11.34"/>
    <n v="0"/>
    <n v="0"/>
    <n v="0"/>
    <n v="0"/>
    <n v="0"/>
    <n v="0"/>
    <n v="1.31"/>
    <n v="0"/>
    <n v="0"/>
    <n v="0"/>
    <n v="0"/>
    <n v="0"/>
    <n v="0"/>
    <n v="0"/>
    <n v="0"/>
    <n v="0"/>
    <n v="0"/>
    <n v="0"/>
    <n v="0"/>
    <n v="1.31"/>
    <n v="1.31"/>
    <n v="0"/>
    <n v="1.31"/>
    <n v="0"/>
    <n v="19.5"/>
    <n v="0"/>
    <n v="0"/>
    <n v="0"/>
    <n v="0"/>
    <n v="0"/>
    <n v="0"/>
    <n v="0"/>
    <n v="0"/>
    <n v="0"/>
    <n v="0"/>
    <n v="0"/>
    <n v="0"/>
    <n v="19.5"/>
    <n v="0"/>
    <n v="0"/>
    <n v="0"/>
    <n v="0"/>
    <n v="0"/>
    <n v="0"/>
    <n v="0"/>
    <m/>
    <m/>
    <m/>
    <m/>
    <m/>
    <m/>
    <m/>
    <m/>
    <s v="1"/>
    <s v="1"/>
    <s v="1"/>
    <s v="1"/>
    <s v="1"/>
    <m/>
    <m/>
    <m/>
    <m/>
    <m/>
    <m/>
    <m/>
    <m/>
    <m/>
    <m/>
    <m/>
    <m/>
    <m/>
    <m/>
  </r>
  <r>
    <n v="742"/>
    <d v="2025-03-11T00:00:00"/>
    <s v="ZBTO"/>
    <n v="9518592206"/>
    <n v="1"/>
    <s v="9518592206-1"/>
    <s v="No Priority"/>
    <x v="0"/>
    <m/>
    <x v="1"/>
    <x v="1"/>
    <s v="2000-BPRS"/>
    <m/>
    <x v="0"/>
    <m/>
    <m/>
    <s v="Tamil Nadu"/>
    <s v="South"/>
    <s v="PATTANCHERY"/>
    <s v="Coil"/>
    <n v="939422"/>
    <s v="VIJAY VENKAT STEELS PRIVATE LIMITED"/>
    <n v="1804908"/>
    <s v="CRCA COIL TATCRC TR15 0.5X1250"/>
    <s v=" "/>
    <s v=""/>
    <n v="10"/>
    <n v="30"/>
    <s v="Wider"/>
    <s v="C01"/>
    <s v="TATCRC"/>
    <s v="TR15"/>
    <n v="0.5"/>
    <n v="1250"/>
    <n v="0"/>
    <n v="58"/>
    <n v="0"/>
    <n v="58"/>
    <n v="-20.77"/>
    <n v="0"/>
    <n v="10.50500000000000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1T00:00:00"/>
    <s v="ZBTO"/>
    <n v="9518592206"/>
    <n v="4"/>
    <s v="9518592206-4"/>
    <s v="No Priority"/>
    <x v="0"/>
    <m/>
    <x v="1"/>
    <x v="1"/>
    <s v="2000-BPRS"/>
    <m/>
    <x v="0"/>
    <m/>
    <s v="Exp BTF &lt;17MT"/>
    <s v="Tamil Nadu"/>
    <s v="South"/>
    <s v="PATTANCHERY"/>
    <s v="Coil"/>
    <n v="939422"/>
    <s v="VIJAY VENKAT STEELS PRIVATE LIMITED"/>
    <n v="2390540"/>
    <s v="CRCA COIL TATXXD AU03 1.800X1250"/>
    <s v=" "/>
    <s v=""/>
    <n v="10"/>
    <n v="30"/>
    <s v="Wider"/>
    <s v="C01"/>
    <s v="TATXXD"/>
    <s v="AU03"/>
    <n v="1.8"/>
    <n v="1250"/>
    <n v="0"/>
    <n v="58"/>
    <n v="21.48"/>
    <n v="36.520000000000003"/>
    <n v="14.82"/>
    <n v="36.520000000000003"/>
    <n v="17.48999999999999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6T00:00:00"/>
    <s v="ZBTO"/>
    <n v="9518578782"/>
    <n v="5"/>
    <s v="9518578782-5"/>
    <s v="No Priority"/>
    <x v="0"/>
    <m/>
    <x v="1"/>
    <x v="11"/>
    <s v="2000-BPRS"/>
    <m/>
    <x v="0"/>
    <m/>
    <m/>
    <s v="Tamil Nadu"/>
    <s v="South"/>
    <s v="PATTANCHERY"/>
    <s v="Coil"/>
    <n v="939422"/>
    <s v="VIJAY VENKAT STEELS PRIVATE LIMITED"/>
    <n v="2420514"/>
    <s v="CRCA COIL TATXXD AH03 0.800X1250"/>
    <s v=" "/>
    <s v=""/>
    <n v="17"/>
    <n v="30"/>
    <s v="Wider"/>
    <s v="C01"/>
    <s v="TATXXD"/>
    <s v="AH03"/>
    <n v="0.8"/>
    <n v="1250"/>
    <n v="0"/>
    <n v="29"/>
    <n v="0"/>
    <n v="29"/>
    <n v="0.24"/>
    <n v="0"/>
    <n v="2.4550000000000001"/>
    <n v="0"/>
    <n v="0"/>
    <n v="0"/>
    <n v="0"/>
    <n v="0"/>
    <n v="0"/>
    <n v="0"/>
    <n v="0"/>
    <n v="0"/>
    <n v="0"/>
    <n v="0"/>
    <n v="0"/>
    <n v="0"/>
    <n v="1"/>
    <n v="0"/>
    <n v="0"/>
    <n v="0"/>
    <n v="0"/>
    <n v="0"/>
    <n v="1"/>
    <n v="1"/>
    <n v="0"/>
    <n v="1"/>
    <n v="0"/>
    <n v="0"/>
    <n v="0"/>
    <n v="0"/>
    <n v="0"/>
    <n v="0"/>
    <n v="0"/>
    <n v="0"/>
    <n v="0"/>
    <n v="0"/>
    <n v="0"/>
    <n v="0"/>
    <n v="0"/>
    <n v="0"/>
    <n v="0"/>
    <n v="0"/>
    <n v="0"/>
    <n v="0"/>
    <n v="0"/>
    <n v="0"/>
    <n v="0"/>
    <n v="0"/>
    <m/>
    <m/>
    <m/>
    <m/>
    <m/>
    <m/>
    <m/>
    <m/>
    <s v="1"/>
    <s v="1"/>
    <s v="1"/>
    <s v="1"/>
    <s v="1"/>
    <m/>
    <m/>
    <m/>
    <m/>
    <m/>
    <m/>
    <m/>
    <m/>
    <m/>
    <m/>
    <m/>
    <m/>
    <m/>
    <m/>
  </r>
  <r>
    <n v="742"/>
    <d v="2025-03-06T00:00:00"/>
    <s v="ZBTO"/>
    <n v="9518578782"/>
    <n v="7"/>
    <s v="9518578782-7"/>
    <s v="May'25"/>
    <x v="0"/>
    <m/>
    <x v="1"/>
    <x v="1"/>
    <s v="2000-BPRS"/>
    <m/>
    <x v="1"/>
    <m/>
    <s v="Exp BTF &lt;17MT"/>
    <s v="Tamil Nadu"/>
    <s v="South"/>
    <s v="PATTANCHERY"/>
    <s v="Coil"/>
    <n v="939422"/>
    <s v="VIJAY VENKAT STEELS PRIVATE LIMITED"/>
    <n v="1804826"/>
    <s v="CRCA COIL-TATXXD-AU03-0.9X1250"/>
    <s v=" "/>
    <s v=""/>
    <n v="17"/>
    <n v="30"/>
    <s v="Wider"/>
    <s v="C01"/>
    <s v="TATXXD"/>
    <s v="AU03"/>
    <n v="0.9"/>
    <n v="1250"/>
    <n v="0"/>
    <n v="29"/>
    <n v="0"/>
    <n v="29"/>
    <n v="11.685"/>
    <n v="1.8399999999999999"/>
    <n v="29"/>
    <n v="0"/>
    <n v="0"/>
    <n v="0"/>
    <n v="0"/>
    <n v="0"/>
    <n v="0"/>
    <n v="0"/>
    <n v="0"/>
    <n v="0"/>
    <n v="0"/>
    <n v="0"/>
    <n v="0"/>
    <n v="0"/>
    <n v="27.16"/>
    <n v="0"/>
    <n v="0"/>
    <n v="0"/>
    <n v="0"/>
    <n v="0"/>
    <n v="27.16"/>
    <n v="27.16"/>
    <n v="0"/>
    <n v="27.16"/>
    <n v="0"/>
    <n v="0"/>
    <n v="29"/>
    <n v="29"/>
    <n v="0"/>
    <n v="0"/>
    <n v="0"/>
    <n v="0"/>
    <n v="0"/>
    <n v="0"/>
    <n v="0"/>
    <n v="0"/>
    <n v="0"/>
    <n v="0"/>
    <n v="29"/>
    <n v="0"/>
    <n v="0"/>
    <n v="0"/>
    <n v="0"/>
    <n v="0"/>
    <n v="0"/>
    <n v="0"/>
    <m/>
    <m/>
    <m/>
    <m/>
    <m/>
    <m/>
    <m/>
    <m/>
    <s v="0"/>
    <s v="1"/>
    <s v="1"/>
    <s v="1"/>
    <s v="1"/>
    <m/>
    <m/>
    <m/>
    <m/>
    <m/>
    <m/>
    <m/>
    <m/>
    <m/>
    <m/>
    <m/>
    <m/>
    <m/>
    <m/>
  </r>
  <r>
    <n v="742"/>
    <d v="2025-03-06T00:00:00"/>
    <s v="ZBTO"/>
    <n v="9518578782"/>
    <n v="12"/>
    <s v="9518578782-12"/>
    <s v="No Priority"/>
    <x v="0"/>
    <m/>
    <x v="1"/>
    <x v="1"/>
    <s v="2000-BPRS"/>
    <m/>
    <x v="0"/>
    <m/>
    <s v="Exp BTF &lt;17MT"/>
    <s v="Tamil Nadu"/>
    <s v="South"/>
    <s v="PATTANCHERY"/>
    <s v="Coil"/>
    <n v="939422"/>
    <s v="VIJAY VENKAT STEELS PRIVATE LIMITED"/>
    <n v="1804867"/>
    <s v="CRCA COIL-TATXXD-AU03-1.6X1250"/>
    <s v=" "/>
    <s v=""/>
    <n v="17"/>
    <n v="30"/>
    <s v="Wider"/>
    <s v="C01"/>
    <s v="TATXXD"/>
    <s v="AU03"/>
    <n v="1.6"/>
    <n v="1250"/>
    <n v="0"/>
    <n v="58"/>
    <n v="0"/>
    <n v="58"/>
    <n v="11.7"/>
    <n v="58"/>
    <n v="1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1T00:00:00"/>
    <s v="ZBTO"/>
    <n v="9518592206"/>
    <n v="5"/>
    <s v="9518592206-5"/>
    <s v="No Priority"/>
    <x v="0"/>
    <m/>
    <x v="1"/>
    <x v="1"/>
    <s v="2000-BPRS"/>
    <m/>
    <x v="0"/>
    <m/>
    <m/>
    <s v="Tamil Nadu"/>
    <s v="South"/>
    <s v="PATTANCHERY"/>
    <s v="Coil"/>
    <n v="939422"/>
    <s v="VIJAY VENKAT STEELS PRIVATE LIMITED"/>
    <n v="1884117"/>
    <s v="CRCA COIL-TATXXD-AU03-2X1250"/>
    <s v=" "/>
    <s v=""/>
    <n v="10"/>
    <n v="30"/>
    <s v="Wider"/>
    <s v="C01"/>
    <s v="TATXXD"/>
    <s v="AU03"/>
    <n v="2"/>
    <n v="1250"/>
    <n v="0"/>
    <n v="29"/>
    <n v="0"/>
    <n v="29"/>
    <n v="1.48"/>
    <n v="0"/>
    <n v="4.615000000000000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1T00:00:00"/>
    <s v="ZBTO"/>
    <n v="9518592206"/>
    <n v="6"/>
    <s v="9518592206-6"/>
    <s v="Stocks"/>
    <x v="0"/>
    <m/>
    <x v="1"/>
    <x v="1"/>
    <s v="2000-BPRS"/>
    <m/>
    <x v="1"/>
    <m/>
    <m/>
    <s v="Tamil Nadu"/>
    <s v="South"/>
    <s v="PATTANCHERY"/>
    <s v="Coil"/>
    <n v="939422"/>
    <s v="VIJAY VENKAT STEELS PRIVATE LIMITED"/>
    <n v="292577"/>
    <s v="CRSHEET-ICF  DQ TATXXD AU03 2.02X1250"/>
    <s v=" "/>
    <s v=""/>
    <n v="10"/>
    <n v="30"/>
    <s v="Wider"/>
    <s v="C01"/>
    <s v="TATXXD"/>
    <s v="AU03"/>
    <n v="2.02"/>
    <n v="1250"/>
    <n v="0"/>
    <n v="29"/>
    <n v="0"/>
    <n v="29"/>
    <n v="0.76"/>
    <n v="0"/>
    <n v="4.1100000000000003"/>
    <n v="0"/>
    <n v="0"/>
    <n v="0"/>
    <n v="0"/>
    <n v="0"/>
    <n v="0"/>
    <n v="0"/>
    <n v="0"/>
    <n v="0"/>
    <n v="0"/>
    <n v="0"/>
    <n v="0"/>
    <n v="0"/>
    <n v="0"/>
    <n v="0"/>
    <n v="0"/>
    <n v="0"/>
    <n v="0"/>
    <n v="0"/>
    <n v="0"/>
    <n v="0"/>
    <n v="0"/>
    <n v="0"/>
    <n v="0"/>
    <n v="24.89"/>
    <n v="0"/>
    <n v="0"/>
    <n v="0"/>
    <n v="0"/>
    <n v="0"/>
    <n v="0"/>
    <n v="0"/>
    <n v="0"/>
    <n v="0"/>
    <n v="0"/>
    <n v="0"/>
    <n v="0"/>
    <n v="24.89"/>
    <n v="0"/>
    <n v="0"/>
    <n v="0"/>
    <n v="0"/>
    <n v="0"/>
    <n v="0"/>
    <n v="0"/>
    <m/>
    <m/>
    <m/>
    <m/>
    <m/>
    <m/>
    <m/>
    <m/>
    <s v="1"/>
    <s v="1"/>
    <s v="1"/>
    <s v="1"/>
    <s v="1"/>
    <m/>
    <m/>
    <m/>
    <m/>
    <m/>
    <m/>
    <m/>
    <m/>
    <m/>
    <m/>
    <m/>
    <m/>
    <m/>
    <m/>
  </r>
  <r>
    <n v="742"/>
    <d v="2025-03-06T00:00:00"/>
    <s v="ZBTO"/>
    <n v="9518578782"/>
    <n v="16"/>
    <s v="9518578782-16"/>
    <s v="Stocks"/>
    <x v="0"/>
    <m/>
    <x v="1"/>
    <x v="1"/>
    <s v="2000-BPRS"/>
    <m/>
    <x v="1"/>
    <m/>
    <m/>
    <s v="Tamil Nadu"/>
    <s v="South"/>
    <s v="PATTANCHERY"/>
    <s v="Coil"/>
    <n v="939422"/>
    <s v="VIJAY VENKAT STEELS PRIVATE LIMITED"/>
    <n v="292577"/>
    <s v="CRSHEET-ICF  DQ TATXXD AU03 2.02X1250"/>
    <s v=" "/>
    <s v=""/>
    <n v="17"/>
    <n v="30"/>
    <s v="Wider"/>
    <s v="C01"/>
    <s v="TATXXD"/>
    <s v="AU03"/>
    <n v="2.02"/>
    <n v="1250"/>
    <n v="0"/>
    <n v="29"/>
    <n v="0"/>
    <n v="29"/>
    <n v="0.97"/>
    <n v="0"/>
    <n v="4.1050000000000004"/>
    <n v="0"/>
    <n v="0"/>
    <n v="0"/>
    <n v="0"/>
    <n v="0"/>
    <n v="0"/>
    <n v="0"/>
    <n v="0"/>
    <n v="0"/>
    <n v="0"/>
    <n v="0"/>
    <n v="0"/>
    <n v="0"/>
    <n v="0"/>
    <n v="0"/>
    <n v="0"/>
    <n v="0"/>
    <n v="0"/>
    <n v="0"/>
    <n v="0"/>
    <n v="0"/>
    <n v="0"/>
    <n v="0"/>
    <n v="0"/>
    <n v="24.895"/>
    <n v="0"/>
    <n v="0"/>
    <n v="0"/>
    <n v="0"/>
    <n v="0"/>
    <n v="0"/>
    <n v="0"/>
    <n v="0"/>
    <n v="0"/>
    <n v="0"/>
    <n v="0"/>
    <n v="0"/>
    <n v="24.895"/>
    <n v="0"/>
    <n v="0"/>
    <n v="0"/>
    <n v="0"/>
    <n v="0"/>
    <n v="0"/>
    <n v="0"/>
    <m/>
    <m/>
    <m/>
    <m/>
    <m/>
    <m/>
    <m/>
    <m/>
    <s v="1"/>
    <s v="1"/>
    <s v="1"/>
    <s v="1"/>
    <s v="1"/>
    <m/>
    <m/>
    <m/>
    <m/>
    <m/>
    <m/>
    <m/>
    <m/>
    <m/>
    <m/>
    <m/>
    <m/>
    <m/>
    <m/>
  </r>
  <r>
    <n v="742"/>
    <d v="2025-03-13T00:00:00"/>
    <s v="ZBTO"/>
    <n v="9518599347"/>
    <n v="1"/>
    <s v="9518599347-1"/>
    <s v="Apr'25 "/>
    <x v="0"/>
    <m/>
    <x v="1"/>
    <x v="1"/>
    <s v="2000-BPRS"/>
    <m/>
    <x v="1"/>
    <m/>
    <m/>
    <s v="Tamil Nadu"/>
    <s v="South"/>
    <s v="PATTANCHERY"/>
    <s v="Coil"/>
    <n v="939422"/>
    <s v="VIJAY VENKAT STEELS PRIVATE LIMITED"/>
    <n v="2386037"/>
    <s v="CRCA COIL TATXXD AU03 1.100X1320"/>
    <s v=" "/>
    <s v=""/>
    <n v="10"/>
    <n v="30"/>
    <s v="Wider"/>
    <s v="C01"/>
    <s v="TATXXD"/>
    <s v="AU03"/>
    <n v="1.1000000000000001"/>
    <n v="1320"/>
    <n v="0"/>
    <n v="60"/>
    <n v="0"/>
    <n v="60"/>
    <n v="60"/>
    <n v="2.519999999999996"/>
    <n v="60"/>
    <n v="0"/>
    <n v="0"/>
    <n v="0"/>
    <n v="0"/>
    <n v="0"/>
    <n v="0"/>
    <n v="0"/>
    <n v="0"/>
    <n v="0"/>
    <n v="0"/>
    <n v="0"/>
    <n v="0"/>
    <n v="0"/>
    <n v="57.480000000000004"/>
    <n v="0"/>
    <n v="0"/>
    <n v="0"/>
    <n v="0"/>
    <n v="0"/>
    <n v="57.480000000000004"/>
    <n v="57.480000000000004"/>
    <n v="0"/>
    <n v="57.480000000000004"/>
    <n v="0"/>
    <n v="0"/>
    <n v="60"/>
    <n v="60"/>
    <n v="0"/>
    <n v="0"/>
    <n v="0"/>
    <n v="0"/>
    <n v="0"/>
    <n v="0"/>
    <n v="0"/>
    <n v="0"/>
    <n v="0"/>
    <n v="0"/>
    <n v="60"/>
    <n v="0"/>
    <n v="0"/>
    <n v="0"/>
    <n v="0"/>
    <n v="0"/>
    <n v="0"/>
    <n v="0"/>
    <m/>
    <m/>
    <m/>
    <m/>
    <m/>
    <m/>
    <m/>
    <m/>
    <s v="0"/>
    <s v="1"/>
    <s v="1"/>
    <s v="1"/>
    <s v="1"/>
    <m/>
    <m/>
    <m/>
    <m/>
    <m/>
    <m/>
    <m/>
    <m/>
    <m/>
    <m/>
    <m/>
    <m/>
    <m/>
    <m/>
  </r>
  <r>
    <n v="742"/>
    <d v="2025-03-17T00:00:00"/>
    <s v="ZBTO"/>
    <n v="9518606284"/>
    <n v="9"/>
    <s v="9518606284-9"/>
    <s v="No Priority"/>
    <x v="0"/>
    <m/>
    <x v="1"/>
    <x v="2"/>
    <n v="2000"/>
    <m/>
    <x v="0"/>
    <m/>
    <s v="Exp BTF &lt;17MT"/>
    <s v="Andhra Pradesh"/>
    <s v="South"/>
    <s v="VISHAKHAPATNAM"/>
    <s v="Sheet"/>
    <n v="946077"/>
    <s v="SITARAM IRON AND STEEL PVT LTD"/>
    <n v="3240771"/>
    <s v="CRCA SHEET TSBCRC SR15 0.600X900X2440"/>
    <s v=" "/>
    <s v=""/>
    <n v="0"/>
    <n v="0"/>
    <s v="Narrow"/>
    <s v="C06"/>
    <s v="TSBCRC"/>
    <s v="SR15"/>
    <n v="0.6"/>
    <n v="900"/>
    <n v="2440"/>
    <n v="42"/>
    <n v="17.664999999999999"/>
    <n v="24.335000000000001"/>
    <n v="5.18"/>
    <n v="24.335000000000001"/>
    <n v="5.64"/>
    <n v="0"/>
    <n v="0"/>
    <n v="0"/>
    <n v="0"/>
    <n v="0"/>
    <n v="0"/>
    <n v="0"/>
    <n v="0"/>
    <n v="0"/>
    <n v="0"/>
    <n v="0"/>
    <n v="0"/>
    <n v="0"/>
    <n v="0"/>
    <n v="0"/>
    <n v="0"/>
    <n v="0"/>
    <n v="0"/>
    <n v="0"/>
    <n v="0"/>
    <n v="0"/>
    <n v="0"/>
    <n v="0"/>
    <n v="0"/>
    <n v="0"/>
    <n v="0"/>
    <n v="0"/>
    <n v="0"/>
    <n v="0"/>
    <n v="0"/>
    <n v="0"/>
    <n v="0"/>
    <n v="0"/>
    <n v="0"/>
    <n v="0"/>
    <n v="0"/>
    <n v="0"/>
    <n v="0"/>
    <n v="17.664999999999999"/>
    <n v="0"/>
    <n v="0"/>
    <n v="0"/>
    <n v="0"/>
    <n v="0"/>
    <n v="17.664999999999999"/>
    <m/>
    <m/>
    <m/>
    <m/>
    <m/>
    <m/>
    <m/>
    <m/>
    <s v="1"/>
    <s v="1"/>
    <s v="1"/>
    <s v="1"/>
    <s v="1"/>
    <m/>
    <m/>
    <m/>
    <m/>
    <m/>
    <m/>
    <m/>
    <m/>
    <m/>
    <m/>
    <m/>
    <m/>
    <m/>
    <m/>
  </r>
  <r>
    <n v="742"/>
    <d v="2025-03-17T00:00:00"/>
    <s v="ZBTO"/>
    <n v="9518606284"/>
    <n v="10"/>
    <s v="9518606284-10"/>
    <s v="No Priority"/>
    <x v="0"/>
    <m/>
    <x v="1"/>
    <x v="2"/>
    <n v="2000"/>
    <m/>
    <x v="0"/>
    <m/>
    <s v="Exp BTF &lt;17MT"/>
    <s v="Andhra Pradesh"/>
    <s v="South"/>
    <s v="VISHAKHAPATNAM"/>
    <s v="Sheet"/>
    <n v="946077"/>
    <s v="SITARAM IRON AND STEEL PVT LTD"/>
    <n v="3240776"/>
    <s v="CRCA SHEET TSBCRC SR15 0.600X1000X2440"/>
    <s v=" "/>
    <s v=""/>
    <n v="0"/>
    <n v="0"/>
    <s v="Narrow"/>
    <s v="C06"/>
    <s v="TSBCRC"/>
    <s v="SR15"/>
    <n v="0.6"/>
    <n v="1000"/>
    <n v="2440"/>
    <n v="27"/>
    <n v="20.335000000000001"/>
    <n v="6.665"/>
    <n v="6.665"/>
    <n v="6.665"/>
    <n v="6.665"/>
    <n v="0"/>
    <n v="0"/>
    <n v="0"/>
    <n v="0"/>
    <n v="0"/>
    <n v="0"/>
    <n v="0"/>
    <n v="0"/>
    <n v="0"/>
    <n v="0"/>
    <n v="0"/>
    <n v="0"/>
    <n v="0"/>
    <n v="0"/>
    <n v="0"/>
    <n v="0"/>
    <n v="0"/>
    <n v="0"/>
    <n v="0"/>
    <n v="0"/>
    <n v="0"/>
    <n v="0"/>
    <n v="0"/>
    <n v="0"/>
    <n v="0"/>
    <n v="0"/>
    <n v="0"/>
    <n v="0"/>
    <n v="0"/>
    <n v="0"/>
    <n v="0"/>
    <n v="0"/>
    <n v="0"/>
    <n v="0"/>
    <n v="0"/>
    <n v="0"/>
    <n v="0"/>
    <n v="0"/>
    <n v="20.334999999999997"/>
    <n v="0"/>
    <n v="0"/>
    <n v="0"/>
    <n v="0"/>
    <n v="0"/>
    <n v="20.334999999999997"/>
    <m/>
    <m/>
    <m/>
    <m/>
    <m/>
    <m/>
    <m/>
    <m/>
    <s v="1"/>
    <s v="1"/>
    <s v="1"/>
    <s v="1"/>
    <s v="1"/>
    <m/>
    <m/>
    <m/>
    <m/>
    <m/>
    <m/>
    <m/>
    <m/>
    <m/>
    <m/>
    <m/>
    <m/>
    <m/>
    <m/>
  </r>
  <r>
    <n v="742"/>
    <d v="2025-03-17T00:00:00"/>
    <s v="ZBTO"/>
    <n v="9518606284"/>
    <n v="12"/>
    <s v="9518606284-12"/>
    <s v="Apr'25 "/>
    <x v="0"/>
    <m/>
    <x v="1"/>
    <x v="2"/>
    <n v="2000"/>
    <m/>
    <x v="1"/>
    <m/>
    <m/>
    <s v="Andhra Pradesh"/>
    <s v="South"/>
    <s v="VISHAKHAPATNAM"/>
    <s v="Sheet"/>
    <n v="946077"/>
    <s v="SITARAM IRON AND STEEL PVT LTD"/>
    <n v="3410101"/>
    <s v="CRCA SHEET TSBCRC SR15 0.750X1000X2500"/>
    <s v=" "/>
    <s v=""/>
    <n v="0"/>
    <n v="0"/>
    <s v="Narrow"/>
    <s v="C06"/>
    <s v="TSBCRC"/>
    <s v="SR15"/>
    <n v="0.75"/>
    <n v="1000"/>
    <n v="2500"/>
    <n v="21"/>
    <n v="0"/>
    <n v="21"/>
    <n v="21"/>
    <n v="-1.4499999999999993"/>
    <n v="21"/>
    <n v="0"/>
    <n v="0"/>
    <n v="0"/>
    <n v="0"/>
    <n v="0"/>
    <n v="0"/>
    <n v="0"/>
    <n v="0"/>
    <n v="0"/>
    <n v="0"/>
    <n v="0"/>
    <n v="0"/>
    <n v="0"/>
    <n v="22.45"/>
    <n v="0"/>
    <n v="0"/>
    <n v="0"/>
    <n v="0"/>
    <n v="0"/>
    <n v="22.45"/>
    <n v="22.45"/>
    <n v="0"/>
    <n v="22.45"/>
    <n v="0"/>
    <n v="0"/>
    <n v="21"/>
    <n v="0"/>
    <n v="21"/>
    <n v="0"/>
    <n v="0"/>
    <n v="0"/>
    <n v="21"/>
    <n v="0"/>
    <n v="21"/>
    <n v="0"/>
    <n v="0"/>
    <n v="0"/>
    <n v="0"/>
    <n v="0"/>
    <n v="0"/>
    <n v="0"/>
    <n v="0"/>
    <n v="0"/>
    <n v="0"/>
    <n v="0"/>
    <m/>
    <m/>
    <m/>
    <m/>
    <m/>
    <m/>
    <m/>
    <m/>
    <s v="1"/>
    <s v="0"/>
    <s v="1"/>
    <s v="1"/>
    <s v="1"/>
    <m/>
    <m/>
    <m/>
    <m/>
    <m/>
    <m/>
    <m/>
    <m/>
    <m/>
    <m/>
    <m/>
    <m/>
    <m/>
    <m/>
  </r>
  <r>
    <n v="742"/>
    <d v="2025-03-17T00:00:00"/>
    <s v="ZBTO"/>
    <n v="9518606284"/>
    <n v="15"/>
    <s v="9518606284-15"/>
    <s v="Apr'25 "/>
    <x v="0"/>
    <m/>
    <x v="1"/>
    <x v="2"/>
    <n v="2000"/>
    <m/>
    <x v="1"/>
    <m/>
    <m/>
    <s v="Andhra Pradesh"/>
    <s v="South"/>
    <s v="VISHAKHAPATNAM"/>
    <s v="Sheet"/>
    <n v="946077"/>
    <s v="SITARAM IRON AND STEEL PVT LTD"/>
    <n v="3240812"/>
    <s v="CRCA SHEET TSBCRC SR15 0.800X1000X2500"/>
    <s v=" "/>
    <s v=""/>
    <n v="0"/>
    <n v="0"/>
    <s v="Narrow"/>
    <s v="C06"/>
    <s v="TSBCRC"/>
    <s v="SR15"/>
    <n v="0.8"/>
    <n v="1000"/>
    <n v="2500"/>
    <n v="21"/>
    <n v="0"/>
    <n v="21"/>
    <n v="21"/>
    <n v="-1.3300000000000018"/>
    <n v="21"/>
    <n v="0"/>
    <n v="0"/>
    <n v="0"/>
    <n v="0"/>
    <n v="0"/>
    <n v="0"/>
    <n v="0"/>
    <n v="0"/>
    <n v="0"/>
    <n v="0"/>
    <n v="0"/>
    <n v="0"/>
    <n v="0"/>
    <n v="22.330000000000002"/>
    <n v="0"/>
    <n v="0"/>
    <n v="0"/>
    <n v="0"/>
    <n v="0"/>
    <n v="22.330000000000002"/>
    <n v="22.330000000000002"/>
    <n v="0"/>
    <n v="22.330000000000002"/>
    <n v="0"/>
    <n v="0"/>
    <n v="21"/>
    <n v="0"/>
    <n v="21"/>
    <n v="0"/>
    <n v="0"/>
    <n v="0"/>
    <n v="21"/>
    <n v="0"/>
    <n v="21"/>
    <n v="0"/>
    <n v="0"/>
    <n v="0"/>
    <n v="0"/>
    <n v="0"/>
    <n v="0"/>
    <n v="0"/>
    <n v="0"/>
    <n v="0"/>
    <n v="0"/>
    <n v="0"/>
    <m/>
    <m/>
    <m/>
    <m/>
    <m/>
    <m/>
    <m/>
    <m/>
    <s v="1"/>
    <s v="0"/>
    <s v="1"/>
    <s v="1"/>
    <s v="1"/>
    <m/>
    <m/>
    <m/>
    <m/>
    <m/>
    <m/>
    <m/>
    <m/>
    <m/>
    <m/>
    <m/>
    <m/>
    <m/>
    <m/>
  </r>
  <r>
    <n v="742"/>
    <d v="2025-03-17T00:00:00"/>
    <s v="ZBTO"/>
    <n v="9518606598"/>
    <n v="4"/>
    <s v="9518606598-4"/>
    <s v="No Priority"/>
    <x v="0"/>
    <m/>
    <x v="1"/>
    <x v="1"/>
    <s v="2000-BPRS"/>
    <m/>
    <x v="0"/>
    <m/>
    <m/>
    <s v="Andhra Pradesh"/>
    <s v="South"/>
    <s v="VISHAKHAPATNAM"/>
    <s v="Coil"/>
    <n v="946077"/>
    <s v="SITARAM IRON AND STEEL PVT LTD"/>
    <n v="1804854"/>
    <s v="CRCA COIL-TATXXD-AU03-1.2X1250"/>
    <s v=" "/>
    <s v=""/>
    <n v="8"/>
    <n v="29"/>
    <s v="Wider"/>
    <s v="C01"/>
    <s v="TATXXD"/>
    <s v="AU03"/>
    <n v="1.2"/>
    <n v="1250"/>
    <n v="0"/>
    <n v="29"/>
    <n v="0"/>
    <n v="29"/>
    <n v="1.49"/>
    <n v="0"/>
    <n v="3.265000000000000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7T00:00:00"/>
    <s v="ZBTO"/>
    <n v="9518606598"/>
    <n v="5"/>
    <s v="9518606598-5"/>
    <s v="Stocks"/>
    <x v="0"/>
    <m/>
    <x v="1"/>
    <x v="1"/>
    <s v="2000-BPRS"/>
    <m/>
    <x v="1"/>
    <m/>
    <s v="Exp BTF &lt;17MT"/>
    <s v="Andhra Pradesh"/>
    <s v="South"/>
    <s v="VISHAKHAPATNAM"/>
    <s v="Coil"/>
    <n v="946077"/>
    <s v="SITARAM IRON AND STEEL PVT LTD"/>
    <n v="2334995"/>
    <s v="CRCA COIL TATXXD AU03 1.500X1250"/>
    <s v=" "/>
    <s v=""/>
    <n v="8"/>
    <n v="29"/>
    <s v="Wider"/>
    <s v="C01"/>
    <s v="TATXXD"/>
    <s v="AU03"/>
    <n v="1.5"/>
    <n v="1250"/>
    <n v="0"/>
    <n v="29"/>
    <n v="0"/>
    <n v="29"/>
    <n v="4.72"/>
    <n v="29"/>
    <n v="7.38"/>
    <n v="0"/>
    <n v="0"/>
    <n v="0"/>
    <n v="0"/>
    <n v="0"/>
    <n v="0"/>
    <n v="0"/>
    <n v="0"/>
    <n v="0"/>
    <n v="0"/>
    <n v="0"/>
    <n v="0"/>
    <n v="0"/>
    <n v="0"/>
    <n v="0"/>
    <n v="0"/>
    <n v="0"/>
    <n v="0"/>
    <n v="0"/>
    <n v="0"/>
    <n v="0"/>
    <n v="0"/>
    <n v="0"/>
    <n v="0"/>
    <n v="21.62"/>
    <n v="0"/>
    <n v="0"/>
    <n v="0"/>
    <n v="0"/>
    <n v="0"/>
    <n v="0"/>
    <n v="0"/>
    <n v="0"/>
    <n v="0"/>
    <n v="0"/>
    <n v="0"/>
    <n v="0"/>
    <n v="21.62"/>
    <n v="0"/>
    <n v="0"/>
    <n v="0"/>
    <n v="0"/>
    <n v="0"/>
    <n v="0"/>
    <n v="0"/>
    <m/>
    <m/>
    <m/>
    <m/>
    <m/>
    <m/>
    <m/>
    <m/>
    <s v="1"/>
    <s v="1"/>
    <s v="1"/>
    <s v="1"/>
    <s v="1"/>
    <m/>
    <m/>
    <m/>
    <m/>
    <m/>
    <m/>
    <m/>
    <m/>
    <m/>
    <m/>
    <m/>
    <m/>
    <m/>
    <m/>
  </r>
  <r>
    <n v="743"/>
    <d v="2025-03-04T00:00:00"/>
    <s v="ZBTO"/>
    <n v="9518572384"/>
    <n v="1"/>
    <s v="9518572384-1"/>
    <s v="Stocks"/>
    <x v="0"/>
    <m/>
    <x v="3"/>
    <x v="9"/>
    <s v="2000-BPRS"/>
    <m/>
    <x v="1"/>
    <m/>
    <m/>
    <s v="Jharkhand"/>
    <s v="East"/>
    <s v="BOKARO STEEL CY"/>
    <s v="Coil"/>
    <n v="121328"/>
    <s v="R. S. BOKARO METAL (P) LTD."/>
    <n v="1178439"/>
    <s v="GP COIL SOFT-TATXGP-GK09-0.4X900"/>
    <s v="Z80"/>
    <s v=""/>
    <n v="4"/>
    <n v="12"/>
    <s v="Narrow"/>
    <s v="C02"/>
    <s v="TATXGP"/>
    <s v="GK09"/>
    <n v="0.4"/>
    <n v="900"/>
    <n v="0"/>
    <n v="84"/>
    <n v="0"/>
    <n v="84"/>
    <n v="3.0449999999999999"/>
    <n v="83.5"/>
    <n v="8.4"/>
    <n v="0"/>
    <n v="0"/>
    <n v="0"/>
    <n v="0"/>
    <n v="0"/>
    <n v="0"/>
    <n v="0.5"/>
    <n v="0"/>
    <n v="0"/>
    <n v="0"/>
    <n v="0"/>
    <n v="0"/>
    <n v="0"/>
    <n v="0"/>
    <n v="0"/>
    <n v="0"/>
    <n v="0"/>
    <n v="0"/>
    <n v="0"/>
    <n v="0.5"/>
    <n v="0.5"/>
    <n v="0"/>
    <n v="0.5"/>
    <n v="0"/>
    <n v="8.9700000000000006"/>
    <n v="0"/>
    <n v="0"/>
    <n v="0"/>
    <n v="0"/>
    <n v="0"/>
    <n v="0"/>
    <n v="0"/>
    <n v="0"/>
    <n v="0"/>
    <n v="0"/>
    <n v="0"/>
    <n v="0"/>
    <n v="8.9700000000000006"/>
    <n v="0"/>
    <n v="0"/>
    <n v="0"/>
    <n v="0"/>
    <n v="0"/>
    <n v="0"/>
    <n v="0"/>
    <m/>
    <m/>
    <m/>
    <m/>
    <m/>
    <m/>
    <m/>
    <m/>
    <s v="1"/>
    <s v="1"/>
    <s v="1"/>
    <s v="1"/>
    <s v="1"/>
    <m/>
    <m/>
    <m/>
    <m/>
    <m/>
    <m/>
    <m/>
    <m/>
    <m/>
    <m/>
    <m/>
    <m/>
    <m/>
    <m/>
  </r>
  <r>
    <n v="742"/>
    <d v="2025-03-06T00:00:00"/>
    <s v="ZBTO"/>
    <n v="9518578782"/>
    <n v="6"/>
    <s v="9518578782-6"/>
    <s v="Apr'25 "/>
    <x v="0"/>
    <m/>
    <x v="1"/>
    <x v="1"/>
    <s v="2000-BPRS"/>
    <m/>
    <x v="1"/>
    <m/>
    <m/>
    <s v="Tamil Nadu"/>
    <s v="South"/>
    <s v="PATTANCHERY"/>
    <s v="Coil"/>
    <n v="939422"/>
    <s v="VIJAY VENKAT STEELS PRIVATE LIMITED"/>
    <n v="215066"/>
    <s v="CRSHEET-ICF  DQ TATXXD AU03 0.90 X 1220"/>
    <s v=" "/>
    <s v=""/>
    <n v="10"/>
    <n v="30"/>
    <s v="Wider"/>
    <s v="C01"/>
    <s v="TATXXD"/>
    <s v="AU03"/>
    <n v="0.9"/>
    <n v="1220"/>
    <n v="0"/>
    <n v="28"/>
    <n v="0"/>
    <n v="28"/>
    <n v="28"/>
    <n v="28"/>
    <n v="28"/>
    <n v="0"/>
    <n v="0"/>
    <n v="0"/>
    <n v="0"/>
    <n v="0"/>
    <n v="0"/>
    <n v="0"/>
    <n v="0"/>
    <n v="0"/>
    <n v="0"/>
    <n v="0"/>
    <n v="0"/>
    <n v="0"/>
    <n v="0"/>
    <n v="0"/>
    <n v="0"/>
    <n v="0"/>
    <n v="0"/>
    <n v="0"/>
    <n v="0"/>
    <n v="0"/>
    <n v="0"/>
    <n v="0"/>
    <n v="0"/>
    <n v="0"/>
    <n v="28"/>
    <n v="0"/>
    <n v="0"/>
    <n v="0"/>
    <n v="28"/>
    <n v="0"/>
    <n v="0"/>
    <n v="0"/>
    <n v="0"/>
    <n v="0"/>
    <n v="0"/>
    <n v="0"/>
    <n v="28"/>
    <n v="0"/>
    <n v="0"/>
    <n v="0"/>
    <n v="0"/>
    <n v="0"/>
    <n v="0"/>
    <n v="0"/>
    <m/>
    <m/>
    <m/>
    <m/>
    <m/>
    <m/>
    <m/>
    <m/>
    <s v="1"/>
    <s v="1"/>
    <s v="1"/>
    <s v="0"/>
    <s v="1"/>
    <m/>
    <m/>
    <m/>
    <m/>
    <m/>
    <m/>
    <m/>
    <m/>
    <m/>
    <m/>
    <m/>
    <m/>
    <m/>
    <m/>
  </r>
  <r>
    <n v="742"/>
    <d v="2025-03-06T00:00:00"/>
    <s v="ZBTO"/>
    <n v="9518578782"/>
    <n v="8"/>
    <s v="9518578782-8"/>
    <s v="Apr'25 "/>
    <x v="0"/>
    <m/>
    <x v="1"/>
    <x v="1"/>
    <s v="2000-BPRS"/>
    <m/>
    <x v="1"/>
    <m/>
    <m/>
    <s v="Tamil Nadu"/>
    <s v="South"/>
    <s v="PATTANCHERY"/>
    <s v="Coil"/>
    <n v="939422"/>
    <s v="VIJAY VENKAT STEELS PRIVATE LIMITED"/>
    <n v="223287"/>
    <s v="CRSHEET-ICF  DQ TATXXD AU03 1.00 X 1220"/>
    <s v=" "/>
    <s v=""/>
    <n v="10"/>
    <n v="30"/>
    <s v="Wider"/>
    <s v="C01"/>
    <s v="TATXXD"/>
    <s v="AU03"/>
    <n v="1"/>
    <n v="1220"/>
    <n v="0"/>
    <n v="56"/>
    <n v="0"/>
    <n v="56"/>
    <n v="56"/>
    <n v="56"/>
    <n v="56"/>
    <n v="0"/>
    <n v="0"/>
    <n v="0"/>
    <n v="0"/>
    <n v="0"/>
    <n v="0"/>
    <n v="0"/>
    <n v="0"/>
    <n v="0"/>
    <n v="0"/>
    <n v="0"/>
    <n v="0"/>
    <n v="0"/>
    <n v="0"/>
    <n v="0"/>
    <n v="0"/>
    <n v="0"/>
    <n v="0"/>
    <n v="0"/>
    <n v="0"/>
    <n v="0"/>
    <n v="0"/>
    <n v="0"/>
    <n v="0"/>
    <n v="0"/>
    <n v="56"/>
    <n v="0"/>
    <n v="0"/>
    <n v="0"/>
    <n v="56"/>
    <n v="0"/>
    <n v="0"/>
    <n v="0"/>
    <n v="0"/>
    <n v="0"/>
    <n v="0"/>
    <n v="0"/>
    <n v="56"/>
    <n v="0"/>
    <n v="0"/>
    <n v="0"/>
    <n v="0"/>
    <n v="0"/>
    <n v="0"/>
    <n v="0"/>
    <m/>
    <m/>
    <m/>
    <m/>
    <m/>
    <m/>
    <m/>
    <m/>
    <s v="1"/>
    <s v="1"/>
    <s v="1"/>
    <s v="0"/>
    <s v="1"/>
    <m/>
    <m/>
    <m/>
    <m/>
    <m/>
    <m/>
    <m/>
    <m/>
    <m/>
    <m/>
    <m/>
    <m/>
    <m/>
    <m/>
  </r>
  <r>
    <n v="744"/>
    <d v="2025-03-06T00:00:00"/>
    <s v="ZBTO"/>
    <n v="9518579956"/>
    <n v="1"/>
    <s v="9518579956-1"/>
    <s v="Apr'25 "/>
    <x v="0"/>
    <m/>
    <x v="2"/>
    <x v="3"/>
    <s v="1000-IPPE"/>
    <m/>
    <x v="1"/>
    <m/>
    <m/>
    <s v="TBSPL"/>
    <s v="TBSPL"/>
    <s v="TBSPL"/>
    <s v="Coil"/>
    <n v="941597"/>
    <s v="TATA BLUESCOPE STEEL PRIVATE LIMITE"/>
    <n v="3858001"/>
    <s v="PPGL C Y550 HPL9 0.45BMT(0.57TPT)X1220"/>
    <s v="AZ200"/>
    <s v="ELITE STONE BLUE TSL 1688"/>
    <n v="3"/>
    <n v="5"/>
    <s v="Wider"/>
    <s v="B18"/>
    <s v="Y550PL"/>
    <s v="HPL9"/>
    <n v="0.45"/>
    <n v="1220"/>
    <n v="0"/>
    <n v="56"/>
    <n v="0"/>
    <n v="56"/>
    <n v="56"/>
    <n v="-1.3299999999999983"/>
    <n v="56"/>
    <n v="0"/>
    <n v="57.33"/>
    <n v="0"/>
    <n v="0"/>
    <n v="0"/>
    <n v="0"/>
    <n v="0"/>
    <n v="0"/>
    <n v="0"/>
    <n v="0"/>
    <n v="0"/>
    <n v="0"/>
    <n v="0"/>
    <n v="0"/>
    <n v="0"/>
    <n v="0"/>
    <n v="0"/>
    <n v="0"/>
    <n v="0"/>
    <n v="57.33"/>
    <n v="57.33"/>
    <n v="0"/>
    <n v="57.33"/>
    <n v="0"/>
    <n v="0"/>
    <n v="56"/>
    <n v="56"/>
    <n v="0"/>
    <n v="0"/>
    <n v="0"/>
    <n v="0"/>
    <n v="0"/>
    <n v="0"/>
    <n v="0"/>
    <n v="0"/>
    <n v="0"/>
    <n v="0"/>
    <n v="56"/>
    <n v="0"/>
    <n v="0"/>
    <n v="0"/>
    <n v="0"/>
    <n v="0"/>
    <n v="0"/>
    <n v="0"/>
    <m/>
    <m/>
    <m/>
    <m/>
    <m/>
    <m/>
    <m/>
    <m/>
    <s v="0"/>
    <s v="1"/>
    <s v="1"/>
    <s v="1"/>
    <s v="1"/>
    <m/>
    <m/>
    <m/>
    <m/>
    <m/>
    <m/>
    <m/>
    <m/>
    <m/>
    <m/>
    <m/>
    <m/>
    <m/>
    <m/>
  </r>
  <r>
    <n v="742"/>
    <d v="2025-02-14T00:00:00"/>
    <s v="ZBTO"/>
    <n v="9518519930"/>
    <n v="6"/>
    <s v="9518519930-6"/>
    <s v="Apr'25 "/>
    <x v="0"/>
    <m/>
    <x v="1"/>
    <x v="1"/>
    <s v="2000-BPRS"/>
    <m/>
    <x v="1"/>
    <m/>
    <m/>
    <s v="Punjab"/>
    <s v="North"/>
    <s v="SANHEWAL"/>
    <s v="Coil"/>
    <n v="936997"/>
    <s v="R R STEEL INDUSTRIES"/>
    <n v="2356622"/>
    <s v="CRCA COIL TATXXD AU03 1.200X900"/>
    <s v=" "/>
    <s v=""/>
    <n v="10"/>
    <n v="28"/>
    <s v="Narrow"/>
    <s v="C01"/>
    <s v="TATXXD"/>
    <s v="AU03"/>
    <n v="1.2"/>
    <n v="900"/>
    <n v="0"/>
    <n v="21"/>
    <n v="0"/>
    <n v="21"/>
    <n v="21"/>
    <n v="21"/>
    <n v="21"/>
    <n v="0"/>
    <n v="0"/>
    <n v="0"/>
    <n v="0"/>
    <n v="0"/>
    <n v="0"/>
    <n v="0"/>
    <n v="0"/>
    <n v="0"/>
    <n v="0"/>
    <n v="0"/>
    <n v="0"/>
    <n v="0"/>
    <n v="0"/>
    <n v="0"/>
    <n v="0"/>
    <n v="0"/>
    <n v="0"/>
    <n v="0"/>
    <n v="0"/>
    <n v="0"/>
    <n v="0"/>
    <n v="0"/>
    <n v="0"/>
    <n v="0"/>
    <n v="21"/>
    <n v="0"/>
    <n v="0"/>
    <n v="0"/>
    <n v="0"/>
    <n v="21"/>
    <n v="0"/>
    <n v="0"/>
    <n v="0"/>
    <n v="0"/>
    <n v="0"/>
    <n v="0"/>
    <n v="21"/>
    <n v="0"/>
    <n v="0"/>
    <n v="0"/>
    <n v="0"/>
    <n v="0"/>
    <n v="0"/>
    <n v="0"/>
    <m/>
    <m/>
    <m/>
    <m/>
    <m/>
    <m/>
    <m/>
    <m/>
    <s v="1"/>
    <s v="1"/>
    <s v="1"/>
    <s v="1"/>
    <s v="0"/>
    <m/>
    <m/>
    <m/>
    <m/>
    <m/>
    <m/>
    <m/>
    <m/>
    <m/>
    <m/>
    <m/>
    <m/>
    <m/>
    <m/>
  </r>
  <r>
    <n v="742"/>
    <d v="2025-02-14T00:00:00"/>
    <s v="ZBTO"/>
    <n v="9518519688"/>
    <n v="1"/>
    <s v="9518519688-1"/>
    <s v="No Priority"/>
    <x v="0"/>
    <m/>
    <x v="0"/>
    <x v="0"/>
    <s v="2000-BPRS"/>
    <m/>
    <x v="0"/>
    <m/>
    <m/>
    <s v="Karnataka"/>
    <s v="South"/>
    <s v="YESHWANTHPURA"/>
    <s v="Coil"/>
    <n v="932179"/>
    <s v="DURGA STEEL INDUSTRIES"/>
    <n v="1424552"/>
    <s v="HR COILS-PO IS 1079 HR2 2.01X1250"/>
    <s v=" "/>
    <s v=""/>
    <n v="17"/>
    <n v="27.5"/>
    <s v="Wider"/>
    <n v="768"/>
    <s v="THR099"/>
    <s v="HR99"/>
    <n v="2.0099999999999998"/>
    <n v="1250"/>
    <n v="0"/>
    <n v="75"/>
    <n v="0"/>
    <n v="75"/>
    <n v="75"/>
    <n v="0"/>
    <n v="9.44"/>
    <n v="0"/>
    <n v="0"/>
    <n v="0"/>
    <n v="0"/>
    <n v="0"/>
    <n v="0"/>
    <n v="0"/>
    <n v="0"/>
    <n v="0"/>
    <n v="0"/>
    <n v="0"/>
    <n v="0"/>
    <n v="0"/>
    <n v="0"/>
    <n v="0"/>
    <n v="0"/>
    <n v="0"/>
    <n v="0"/>
    <n v="0"/>
    <n v="0"/>
    <n v="0"/>
    <n v="75"/>
    <n v="75"/>
    <n v="0"/>
    <n v="0"/>
    <n v="0"/>
    <n v="0"/>
    <n v="0"/>
    <n v="0"/>
    <n v="0"/>
    <n v="0"/>
    <n v="0"/>
    <n v="0"/>
    <n v="0"/>
    <n v="0"/>
    <n v="0"/>
    <n v="0"/>
    <n v="0"/>
    <n v="0"/>
    <n v="0"/>
    <n v="0"/>
    <n v="0"/>
    <n v="0"/>
    <n v="0"/>
    <n v="0"/>
    <m/>
    <m/>
    <m/>
    <m/>
    <m/>
    <m/>
    <m/>
    <m/>
    <s v="1"/>
    <s v="1"/>
    <s v="1"/>
    <s v="1"/>
    <s v="1"/>
    <m/>
    <m/>
    <m/>
    <m/>
    <m/>
    <m/>
    <m/>
    <m/>
    <m/>
    <m/>
    <m/>
    <m/>
    <m/>
    <m/>
  </r>
  <r>
    <n v="742"/>
    <d v="2025-01-27T00:00:00"/>
    <s v="ZBTO"/>
    <n v="9518467189"/>
    <n v="2"/>
    <s v="9518467189-2"/>
    <s v="No Priority"/>
    <x v="0"/>
    <m/>
    <x v="0"/>
    <x v="0"/>
    <s v="2000-BPRS"/>
    <m/>
    <x v="0"/>
    <m/>
    <m/>
    <s v="Karnataka"/>
    <s v="South"/>
    <s v="YESHWANTHPURA"/>
    <s v="Coil"/>
    <n v="932179"/>
    <s v="DURGA STEEL INDUSTRIES"/>
    <n v="1296288"/>
    <s v="HR COILS-PO IS 1079 HR2 3X1500"/>
    <s v=" "/>
    <s v=""/>
    <n v="15"/>
    <n v="35"/>
    <s v="Wider"/>
    <n v="768"/>
    <s v="THR099"/>
    <s v="HR99"/>
    <n v="3"/>
    <n v="1500"/>
    <n v="0"/>
    <n v="60"/>
    <n v="0"/>
    <n v="60"/>
    <n v="60"/>
    <n v="6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27T00:00:00"/>
    <s v="ZBTO"/>
    <n v="9518467189"/>
    <n v="3"/>
    <s v="9518467189-3"/>
    <s v="No Priority"/>
    <x v="0"/>
    <m/>
    <x v="0"/>
    <x v="0"/>
    <s v="2000-BPRS"/>
    <m/>
    <x v="0"/>
    <m/>
    <m/>
    <s v="Karnataka"/>
    <s v="South"/>
    <s v="YESHWANTHPURA"/>
    <s v="Coil"/>
    <n v="932179"/>
    <s v="DURGA STEEL INDUSTRIES"/>
    <n v="1294723"/>
    <s v="HR COILS-PO IS 1079 HR2 3.15X1500"/>
    <s v=" "/>
    <s v=""/>
    <n v="15"/>
    <n v="35"/>
    <s v="Wider"/>
    <n v="768"/>
    <s v="THR099"/>
    <s v="HR99"/>
    <n v="3.15"/>
    <n v="1500"/>
    <n v="0"/>
    <n v="60"/>
    <n v="0"/>
    <n v="60"/>
    <n v="60"/>
    <n v="10"/>
    <n v="0"/>
    <n v="0"/>
    <n v="0"/>
    <n v="0"/>
    <n v="0"/>
    <n v="0"/>
    <n v="0"/>
    <n v="0"/>
    <n v="0"/>
    <n v="0"/>
    <n v="0"/>
    <n v="0"/>
    <n v="0"/>
    <n v="0"/>
    <n v="0"/>
    <n v="0"/>
    <n v="0"/>
    <n v="0"/>
    <n v="0"/>
    <n v="0"/>
    <n v="0"/>
    <n v="50"/>
    <n v="0"/>
    <n v="50"/>
    <n v="-50"/>
    <n v="0"/>
    <n v="0"/>
    <n v="0"/>
    <n v="0"/>
    <n v="0"/>
    <n v="0"/>
    <n v="0"/>
    <n v="0"/>
    <n v="0"/>
    <n v="0"/>
    <n v="0"/>
    <n v="0"/>
    <n v="0"/>
    <n v="0"/>
    <n v="0"/>
    <n v="0"/>
    <n v="0"/>
    <n v="0"/>
    <n v="0"/>
    <n v="0"/>
    <n v="0"/>
    <m/>
    <m/>
    <m/>
    <m/>
    <m/>
    <m/>
    <m/>
    <m/>
    <s v="1"/>
    <s v="1"/>
    <s v="1"/>
    <s v="1"/>
    <s v="1"/>
    <m/>
    <m/>
    <m/>
    <m/>
    <m/>
    <m/>
    <m/>
    <m/>
    <m/>
    <m/>
    <m/>
    <m/>
    <m/>
    <m/>
  </r>
  <r>
    <n v="742"/>
    <d v="2025-03-11T00:00:00"/>
    <s v="ZBTO"/>
    <n v="9518591869"/>
    <n v="11"/>
    <s v="9518591869-11"/>
    <s v="No Priority"/>
    <x v="0"/>
    <m/>
    <x v="1"/>
    <x v="1"/>
    <s v="2000-BPRS"/>
    <m/>
    <x v="0"/>
    <m/>
    <s v="Exp BTF &lt;17MT"/>
    <s v="Delhi"/>
    <s v="North"/>
    <s v="FARIDABAD"/>
    <s v="Coil"/>
    <n v="936527"/>
    <s v="SHORI LAL KEWAL KUMAR."/>
    <n v="2193599"/>
    <s v="CRCA COIL TATXXD AU03 1.400X1250"/>
    <s v=" "/>
    <s v=""/>
    <n v="10"/>
    <n v="30"/>
    <s v="Wider"/>
    <s v="C01"/>
    <s v="TATXXD"/>
    <s v="AU03"/>
    <n v="1.4"/>
    <n v="1250"/>
    <n v="0"/>
    <n v="58"/>
    <n v="0"/>
    <n v="58"/>
    <n v="8.4700000000000006"/>
    <n v="58"/>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0T00:00:00"/>
    <s v="ZBTO"/>
    <n v="9518420076"/>
    <n v="1"/>
    <s v="9518420076-1"/>
    <s v="Stocks"/>
    <x v="0"/>
    <m/>
    <x v="0"/>
    <x v="0"/>
    <s v="2000-BPRS"/>
    <m/>
    <x v="1"/>
    <m/>
    <m/>
    <s v="Telangana"/>
    <s v="South"/>
    <s v="PATTANCHERY"/>
    <s v="Coil"/>
    <n v="946441"/>
    <s v="MKT STEELS PRIVATE LIMITED"/>
    <n v="1252834"/>
    <s v="HR COILS-PO IS 1079 HR2 3.0X1250"/>
    <s v=" "/>
    <s v=""/>
    <n v="17"/>
    <n v="27.5"/>
    <s v="Wider"/>
    <n v="768"/>
    <s v="THR099"/>
    <s v="HR99"/>
    <n v="3"/>
    <n v="1250"/>
    <n v="0"/>
    <n v="25"/>
    <n v="0"/>
    <n v="25"/>
    <n v="0.19"/>
    <n v="0"/>
    <n v="0"/>
    <n v="0"/>
    <n v="0"/>
    <n v="0"/>
    <n v="0"/>
    <n v="0"/>
    <n v="0"/>
    <n v="0"/>
    <n v="0"/>
    <n v="0"/>
    <n v="0"/>
    <n v="0"/>
    <n v="0"/>
    <n v="0"/>
    <n v="0"/>
    <n v="0"/>
    <n v="0"/>
    <n v="0"/>
    <n v="0"/>
    <n v="0"/>
    <n v="0"/>
    <n v="0"/>
    <n v="0"/>
    <n v="0"/>
    <n v="0"/>
    <n v="24.56"/>
    <n v="0"/>
    <n v="0"/>
    <n v="0"/>
    <n v="0"/>
    <n v="0"/>
    <n v="0"/>
    <n v="0"/>
    <n v="0"/>
    <n v="0"/>
    <n v="0"/>
    <n v="0"/>
    <n v="0"/>
    <n v="24.56"/>
    <n v="0"/>
    <n v="0"/>
    <n v="0"/>
    <n v="0"/>
    <n v="0"/>
    <n v="0"/>
    <n v="0"/>
    <m/>
    <m/>
    <m/>
    <m/>
    <m/>
    <m/>
    <m/>
    <m/>
    <s v="1"/>
    <s v="1"/>
    <s v="1"/>
    <s v="1"/>
    <s v="1"/>
    <m/>
    <m/>
    <m/>
    <m/>
    <m/>
    <m/>
    <m/>
    <m/>
    <m/>
    <m/>
    <m/>
    <m/>
    <m/>
    <m/>
  </r>
  <r>
    <n v="742"/>
    <d v="2025-01-06T00:00:00"/>
    <s v="ZBTO"/>
    <n v="9518407284"/>
    <n v="10"/>
    <s v="9518407284-10"/>
    <s v="No Priority"/>
    <x v="0"/>
    <m/>
    <x v="1"/>
    <x v="2"/>
    <s v="2000-BPRS"/>
    <m/>
    <x v="0"/>
    <m/>
    <m/>
    <s v="Tamil Nadu"/>
    <s v="South"/>
    <s v="CHENNAI"/>
    <s v="Sheet"/>
    <n v="116465"/>
    <s v="SRI BALAJI STEEL TRADERS"/>
    <n v="3240756"/>
    <s v="CRCA SHEET TSBCRC SR15 0.500X1000X1980"/>
    <s v=" "/>
    <s v=""/>
    <n v="0"/>
    <n v="0"/>
    <s v="Narrow"/>
    <s v="C06"/>
    <s v="TSBCRC"/>
    <s v="SR15"/>
    <n v="0.5"/>
    <n v="1000"/>
    <n v="1980"/>
    <n v="24"/>
    <n v="0"/>
    <n v="24"/>
    <n v="0.85"/>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21T00:00:00"/>
    <s v="ZBTO"/>
    <n v="9518446197"/>
    <n v="1"/>
    <s v="9518446197-1"/>
    <s v="No Priority"/>
    <x v="0"/>
    <m/>
    <x v="1"/>
    <x v="12"/>
    <s v="2000-BPRS"/>
    <m/>
    <x v="0"/>
    <m/>
    <m/>
    <s v="Telangana"/>
    <s v="South"/>
    <s v="SANGAREDDY"/>
    <s v="Coil"/>
    <n v="947126"/>
    <s v="RAVINDRA IRON WORKS"/>
    <n v="3587949"/>
    <s v="CR COIL TSBSTA EL06 0.500X1250"/>
    <s v=" "/>
    <s v=""/>
    <n v="18"/>
    <n v="30"/>
    <s v="Wider"/>
    <s v="C01"/>
    <s v="TSBSTA"/>
    <s v="EL06"/>
    <n v="0.5"/>
    <n v="1250"/>
    <n v="0"/>
    <n v="87"/>
    <n v="25.734999999999999"/>
    <n v="61.265000000000001"/>
    <n v="8.5850000000000009"/>
    <n v="61.265000000000001"/>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8T00:00:00"/>
    <s v="ZBTO"/>
    <n v="9518610746"/>
    <n v="2"/>
    <s v="9518610746-2"/>
    <s v="No Priority"/>
    <x v="0"/>
    <m/>
    <x v="1"/>
    <x v="1"/>
    <s v="2000-BPRS"/>
    <m/>
    <x v="0"/>
    <m/>
    <s v="Exp BTF &lt;17MT"/>
    <s v="Punjab"/>
    <s v="North"/>
    <s v="SANHEWAL"/>
    <s v="Coil"/>
    <n v="936997"/>
    <s v="R R STEEL INDUSTRIES"/>
    <n v="1804826"/>
    <s v="CRCA COIL-TATXXD-AU03-0.9X1250"/>
    <s v=" "/>
    <s v=""/>
    <n v="15"/>
    <n v="30"/>
    <s v="Wider"/>
    <s v="C01"/>
    <s v="TATXXD"/>
    <s v="AU03"/>
    <n v="0.9"/>
    <n v="1250"/>
    <n v="0"/>
    <n v="58"/>
    <n v="25.9"/>
    <n v="32.1"/>
    <n v="4.5199999999999996"/>
    <n v="32.1"/>
    <n v="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6T00:00:00"/>
    <s v="ZBTO"/>
    <n v="9518433421"/>
    <n v="20"/>
    <s v="9518433421-20"/>
    <s v="Stocks"/>
    <x v="0"/>
    <m/>
    <x v="1"/>
    <x v="2"/>
    <s v="2000-BPRS"/>
    <m/>
    <x v="1"/>
    <m/>
    <m/>
    <s v="Tamil Nadu"/>
    <s v="South"/>
    <s v="CHENNAI"/>
    <s v="Sheet"/>
    <n v="938550"/>
    <s v="BASEER AND CO"/>
    <n v="3239564"/>
    <s v="CRCA SHEET TATCRC SR16 0.450X1000X1980"/>
    <s v=" "/>
    <s v=""/>
    <n v="0"/>
    <n v="0"/>
    <s v="Narrow"/>
    <s v="C06"/>
    <s v="TATCRC"/>
    <s v="SR16"/>
    <n v="0.45"/>
    <n v="1000"/>
    <n v="1980"/>
    <n v="90"/>
    <n v="0"/>
    <n v="90"/>
    <n v="-33.32"/>
    <n v="0"/>
    <n v="0"/>
    <n v="0"/>
    <n v="0"/>
    <n v="0"/>
    <n v="0"/>
    <n v="0"/>
    <n v="0"/>
    <n v="0"/>
    <n v="0"/>
    <n v="0"/>
    <n v="0"/>
    <n v="0"/>
    <n v="0"/>
    <n v="0"/>
    <n v="0"/>
    <n v="0"/>
    <n v="0"/>
    <n v="0"/>
    <n v="0"/>
    <n v="0"/>
    <n v="0"/>
    <n v="0"/>
    <n v="0"/>
    <n v="0"/>
    <n v="0"/>
    <n v="2.59"/>
    <n v="0"/>
    <n v="0"/>
    <n v="0"/>
    <n v="0"/>
    <n v="0"/>
    <n v="0"/>
    <n v="0"/>
    <n v="0"/>
    <n v="0"/>
    <n v="0"/>
    <n v="0"/>
    <n v="0"/>
    <n v="2.59"/>
    <n v="0"/>
    <n v="0"/>
    <n v="0"/>
    <n v="0"/>
    <n v="0"/>
    <n v="0"/>
    <n v="0"/>
    <m/>
    <m/>
    <m/>
    <m/>
    <m/>
    <m/>
    <m/>
    <m/>
    <s v="1"/>
    <s v="1"/>
    <s v="1"/>
    <s v="1"/>
    <s v="1"/>
    <m/>
    <m/>
    <m/>
    <m/>
    <m/>
    <m/>
    <m/>
    <m/>
    <m/>
    <m/>
    <m/>
    <m/>
    <m/>
    <m/>
  </r>
  <r>
    <n v="742"/>
    <d v="2025-02-06T00:00:00"/>
    <s v="ZBTO"/>
    <n v="9518499138"/>
    <n v="9"/>
    <s v="9518499138-9"/>
    <s v="May'25"/>
    <x v="0"/>
    <m/>
    <x v="1"/>
    <x v="2"/>
    <s v="2000-BPRS"/>
    <m/>
    <x v="1"/>
    <m/>
    <m/>
    <s v="Jharkhand"/>
    <s v="East"/>
    <s v="BOKARO STEEL CY"/>
    <s v="Sheet"/>
    <n v="121328"/>
    <s v="R. S. BOKARO METAL (P) LTD."/>
    <n v="3239572"/>
    <s v="CRCA SHEET TATCRC SR16 0.480X1000X2500"/>
    <s v=" "/>
    <s v=""/>
    <n v="2.8"/>
    <n v="3.2"/>
    <s v="Narrow"/>
    <s v="C06"/>
    <s v="TATCRC"/>
    <s v="SR16"/>
    <n v="0.48"/>
    <n v="1000"/>
    <n v="2500"/>
    <n v="24"/>
    <n v="0"/>
    <n v="24"/>
    <n v="1.71"/>
    <n v="0"/>
    <n v="24"/>
    <n v="0"/>
    <n v="0"/>
    <n v="0"/>
    <n v="0"/>
    <n v="0"/>
    <n v="0"/>
    <n v="0"/>
    <n v="0"/>
    <n v="0"/>
    <n v="0"/>
    <n v="0"/>
    <n v="0"/>
    <n v="0"/>
    <n v="0"/>
    <n v="22.27"/>
    <n v="0"/>
    <n v="0"/>
    <n v="0"/>
    <n v="0"/>
    <n v="22.27"/>
    <n v="22.27"/>
    <n v="0"/>
    <n v="22.27"/>
    <n v="0"/>
    <n v="0"/>
    <n v="24"/>
    <n v="24"/>
    <n v="0"/>
    <n v="0"/>
    <n v="0"/>
    <n v="0"/>
    <n v="0"/>
    <n v="0"/>
    <n v="0"/>
    <n v="0"/>
    <n v="0"/>
    <n v="0"/>
    <n v="24"/>
    <n v="0"/>
    <n v="0"/>
    <n v="0"/>
    <n v="0"/>
    <n v="0"/>
    <n v="0"/>
    <n v="0"/>
    <m/>
    <m/>
    <m/>
    <m/>
    <m/>
    <m/>
    <m/>
    <m/>
    <s v="0"/>
    <s v="1"/>
    <s v="1"/>
    <s v="1"/>
    <s v="1"/>
    <m/>
    <m/>
    <m/>
    <m/>
    <m/>
    <m/>
    <m/>
    <m/>
    <m/>
    <m/>
    <m/>
    <m/>
    <m/>
    <m/>
  </r>
  <r>
    <n v="742"/>
    <d v="2025-03-16T00:00:00"/>
    <s v="ZBTO"/>
    <n v="9518604323"/>
    <n v="5"/>
    <s v="9518604323-5"/>
    <s v="No Priority"/>
    <x v="0"/>
    <m/>
    <x v="1"/>
    <x v="2"/>
    <s v="2000-BPRS"/>
    <m/>
    <x v="0"/>
    <m/>
    <m/>
    <s v="Orissa"/>
    <s v="East"/>
    <s v="TANGI"/>
    <s v="Sheet"/>
    <n v="117061"/>
    <s v="BHARTIA  DISTRIBUTORS PVT. LTD."/>
    <n v="3239568"/>
    <s v="CRCA SHEET TATCRC SR16 0.450X1250X2500"/>
    <s v=" "/>
    <s v=""/>
    <n v="0.1"/>
    <n v="5"/>
    <s v="Wider"/>
    <s v="C06"/>
    <s v="TATCRC"/>
    <s v="SR16"/>
    <n v="0.45"/>
    <n v="1250"/>
    <n v="2500"/>
    <n v="24"/>
    <n v="23.015000000000001"/>
    <n v="0.98499999999999999"/>
    <n v="0.98499999999999999"/>
    <n v="0"/>
    <n v="0.98499999999999999"/>
    <n v="0"/>
    <n v="0"/>
    <n v="0"/>
    <n v="0"/>
    <n v="0"/>
    <n v="0"/>
    <n v="0"/>
    <n v="0"/>
    <n v="0"/>
    <n v="0"/>
    <n v="0"/>
    <n v="0"/>
    <n v="0"/>
    <n v="0"/>
    <n v="0"/>
    <n v="0"/>
    <n v="0"/>
    <n v="0"/>
    <n v="0"/>
    <n v="0"/>
    <n v="0"/>
    <n v="0"/>
    <n v="0"/>
    <n v="0"/>
    <n v="0"/>
    <n v="0"/>
    <n v="0"/>
    <n v="0"/>
    <n v="0"/>
    <n v="0"/>
    <n v="0"/>
    <n v="0"/>
    <n v="0"/>
    <n v="0"/>
    <n v="0"/>
    <n v="0"/>
    <n v="0"/>
    <n v="0"/>
    <n v="23.014999999999993"/>
    <n v="0"/>
    <n v="0"/>
    <n v="0"/>
    <n v="0"/>
    <n v="0"/>
    <n v="23.014999999999993"/>
    <m/>
    <m/>
    <m/>
    <m/>
    <m/>
    <m/>
    <m/>
    <m/>
    <s v="1"/>
    <s v="1"/>
    <s v="1"/>
    <s v="1"/>
    <s v="1"/>
    <m/>
    <m/>
    <m/>
    <m/>
    <m/>
    <m/>
    <m/>
    <m/>
    <m/>
    <m/>
    <m/>
    <m/>
    <m/>
    <m/>
  </r>
  <r>
    <n v="742"/>
    <d v="2025-02-18T00:00:00"/>
    <s v="ZBTO"/>
    <n v="9518529595"/>
    <n v="4"/>
    <s v="9518529595-4"/>
    <s v="No Priority"/>
    <x v="0"/>
    <m/>
    <x v="1"/>
    <x v="11"/>
    <s v="2000-BPRS"/>
    <m/>
    <x v="0"/>
    <m/>
    <m/>
    <s v="Tamil Nadu"/>
    <s v="South"/>
    <s v="GUMMIDIPOONDI"/>
    <s v="Coil"/>
    <n v="161312"/>
    <s v="GOVINDARAJA MUDALIAR SONS PVT LTD"/>
    <n v="2420514"/>
    <s v="CRCA COIL TATXXD AH03 0.800X1250"/>
    <s v=" "/>
    <s v=""/>
    <n v="5"/>
    <n v="29"/>
    <s v="Wider"/>
    <s v="C01"/>
    <s v="TATXXD"/>
    <s v="AH03"/>
    <n v="0.8"/>
    <n v="1250"/>
    <n v="0"/>
    <n v="29"/>
    <n v="0"/>
    <n v="29"/>
    <n v="1.35"/>
    <n v="0"/>
    <n v="2.06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8T00:00:00"/>
    <s v="ZBTO"/>
    <n v="9518529595"/>
    <n v="6"/>
    <s v="9518529595-6"/>
    <s v="May'25"/>
    <x v="0"/>
    <m/>
    <x v="1"/>
    <x v="1"/>
    <s v="2000-BPRS"/>
    <m/>
    <x v="1"/>
    <m/>
    <m/>
    <s v="Tamil Nadu"/>
    <s v="South"/>
    <s v="GUMMIDIPOONDI"/>
    <s v="Coil"/>
    <n v="161312"/>
    <s v="GOVINDARAJA MUDALIAR SONS PVT LTD"/>
    <n v="2390540"/>
    <s v="CRCA COIL TATXXD AU03 1.800X1250"/>
    <s v=" "/>
    <s v=""/>
    <n v="5"/>
    <n v="29"/>
    <s v="Wider"/>
    <s v="C01"/>
    <s v="TATXXD"/>
    <s v="AU03"/>
    <n v="1.8"/>
    <n v="1250"/>
    <n v="0"/>
    <n v="29"/>
    <n v="0"/>
    <n v="29"/>
    <n v="0.9"/>
    <n v="0"/>
    <n v="29"/>
    <n v="0"/>
    <n v="0"/>
    <n v="0"/>
    <n v="0"/>
    <n v="0"/>
    <n v="0"/>
    <n v="0"/>
    <n v="0"/>
    <n v="0"/>
    <n v="0"/>
    <n v="0"/>
    <n v="0"/>
    <n v="0"/>
    <n v="26.89"/>
    <n v="0"/>
    <n v="0"/>
    <n v="0"/>
    <n v="0"/>
    <n v="0"/>
    <n v="26.89"/>
    <n v="26.89"/>
    <n v="0"/>
    <n v="26.89"/>
    <n v="0"/>
    <n v="0"/>
    <n v="29"/>
    <n v="29"/>
    <n v="0"/>
    <n v="0"/>
    <n v="0"/>
    <n v="0"/>
    <n v="0"/>
    <n v="0"/>
    <n v="0"/>
    <n v="0"/>
    <n v="0"/>
    <n v="0"/>
    <n v="29"/>
    <n v="0"/>
    <n v="0"/>
    <n v="0"/>
    <n v="0"/>
    <n v="0"/>
    <n v="0"/>
    <n v="0"/>
    <m/>
    <m/>
    <m/>
    <m/>
    <m/>
    <m/>
    <m/>
    <m/>
    <s v="0"/>
    <s v="1"/>
    <s v="1"/>
    <s v="1"/>
    <s v="1"/>
    <m/>
    <m/>
    <m/>
    <m/>
    <m/>
    <m/>
    <m/>
    <m/>
    <m/>
    <m/>
    <m/>
    <m/>
    <m/>
    <m/>
  </r>
  <r>
    <n v="744"/>
    <d v="2025-03-18T00:00:00"/>
    <s v="ZBTO"/>
    <n v="9518610301"/>
    <n v="6"/>
    <s v="9518610301-6"/>
    <s v="No Priority"/>
    <x v="0"/>
    <m/>
    <x v="2"/>
    <x v="3"/>
    <s v="1000-IPPE"/>
    <m/>
    <x v="1"/>
    <m/>
    <m/>
    <s v="Jharkhand"/>
    <s v="TBSPL"/>
    <s v="TBL- BARA AGRICO"/>
    <s v="Coil"/>
    <n v="941597"/>
    <s v="TATA BLUESCOPE STEEL PRIVATE LIMITE"/>
    <n v="3940122"/>
    <s v="PPGL C HARD Y550PL D0C9 0.470(TPT)X1220"/>
    <s v="AZ150"/>
    <s v="BRICK RED TSL 1803"/>
    <n v="3"/>
    <n v="5"/>
    <s v="Wider"/>
    <s v="B18"/>
    <s v="Y550PL"/>
    <s v="D0C9"/>
    <n v="0.47"/>
    <n v="1220"/>
    <n v="0"/>
    <n v="28"/>
    <n v="0"/>
    <n v="28"/>
    <n v="28"/>
    <n v="20.22"/>
    <n v="28"/>
    <n v="0"/>
    <n v="0"/>
    <n v="0"/>
    <n v="0"/>
    <n v="0"/>
    <n v="0"/>
    <n v="0"/>
    <n v="7.78"/>
    <n v="0"/>
    <n v="0"/>
    <n v="0"/>
    <n v="0"/>
    <n v="0"/>
    <n v="0"/>
    <n v="0"/>
    <n v="0"/>
    <n v="0"/>
    <n v="0"/>
    <n v="0"/>
    <n v="7.78"/>
    <n v="7.78"/>
    <n v="0"/>
    <n v="7.78"/>
    <n v="0"/>
    <n v="0"/>
    <n v="28"/>
    <n v="0"/>
    <n v="0"/>
    <n v="0"/>
    <n v="28"/>
    <n v="0"/>
    <n v="0"/>
    <n v="0"/>
    <n v="0"/>
    <n v="0"/>
    <n v="0"/>
    <n v="0"/>
    <n v="28"/>
    <n v="0"/>
    <n v="0"/>
    <n v="0"/>
    <n v="0"/>
    <n v="0"/>
    <n v="0"/>
    <n v="0"/>
    <m/>
    <m/>
    <m/>
    <m/>
    <m/>
    <m/>
    <m/>
    <m/>
    <s v="1"/>
    <s v="1"/>
    <s v="1"/>
    <s v="0"/>
    <s v="1"/>
    <m/>
    <m/>
    <m/>
    <m/>
    <m/>
    <m/>
    <m/>
    <m/>
    <m/>
    <m/>
    <m/>
    <m/>
    <m/>
    <m/>
  </r>
  <r>
    <n v="742"/>
    <d v="2025-03-17T00:00:00"/>
    <s v="ZBTO"/>
    <n v="9518606284"/>
    <n v="5"/>
    <s v="9518606284-5"/>
    <s v="No Priority"/>
    <x v="0"/>
    <m/>
    <x v="1"/>
    <x v="2"/>
    <s v="2000-BPRS"/>
    <m/>
    <x v="0"/>
    <m/>
    <s v="Exp BTF &lt;17MT"/>
    <s v="Andhra Pradesh"/>
    <s v="South"/>
    <s v="VISHAKHAPATNAM"/>
    <s v="Sheet"/>
    <n v="946077"/>
    <s v="SITARAM IRON AND STEEL PVT LTD"/>
    <n v="3239559"/>
    <s v="CRCA SHEET TATCRC SR16 0.450X900X2440"/>
    <s v=" "/>
    <s v=""/>
    <n v="0"/>
    <n v="0"/>
    <s v="Narrow"/>
    <s v="C06"/>
    <s v="TATCRC"/>
    <s v="SR16"/>
    <n v="0.45"/>
    <n v="900"/>
    <n v="2440"/>
    <n v="42"/>
    <n v="37.44"/>
    <n v="4.5599999999999996"/>
    <n v="4.5599999999999996"/>
    <n v="4.5599999999999996"/>
    <n v="4.5599999999999996"/>
    <n v="0"/>
    <n v="0"/>
    <n v="0"/>
    <n v="0"/>
    <n v="0"/>
    <n v="0"/>
    <n v="0"/>
    <n v="0"/>
    <n v="0"/>
    <n v="0"/>
    <n v="0"/>
    <n v="0"/>
    <n v="0"/>
    <n v="0"/>
    <n v="0"/>
    <n v="0"/>
    <n v="0"/>
    <n v="0"/>
    <n v="0"/>
    <n v="0"/>
    <n v="0"/>
    <n v="0"/>
    <n v="0"/>
    <n v="0"/>
    <n v="0"/>
    <n v="0"/>
    <n v="0"/>
    <n v="0"/>
    <n v="0"/>
    <n v="0"/>
    <n v="0"/>
    <n v="0"/>
    <n v="0"/>
    <n v="0"/>
    <n v="0"/>
    <n v="0"/>
    <n v="0"/>
    <n v="0"/>
    <n v="37.44"/>
    <n v="0"/>
    <n v="0"/>
    <n v="0"/>
    <n v="0"/>
    <n v="0"/>
    <n v="37.44"/>
    <m/>
    <m/>
    <m/>
    <m/>
    <m/>
    <m/>
    <m/>
    <m/>
    <s v="1"/>
    <s v="1"/>
    <s v="1"/>
    <s v="1"/>
    <s v="1"/>
    <m/>
    <m/>
    <m/>
    <m/>
    <m/>
    <m/>
    <m/>
    <m/>
    <m/>
    <m/>
    <m/>
    <m/>
    <m/>
    <m/>
  </r>
  <r>
    <n v="742"/>
    <d v="2025-01-16T00:00:00"/>
    <s v="ZBTO"/>
    <n v="9518433421"/>
    <n v="21"/>
    <s v="9518433421-21"/>
    <s v="Stocks"/>
    <x v="0"/>
    <m/>
    <x v="1"/>
    <x v="2"/>
    <s v="2000-BPRS"/>
    <m/>
    <x v="1"/>
    <m/>
    <m/>
    <s v="Tamil Nadu"/>
    <s v="South"/>
    <s v="CHENNAI"/>
    <s v="Sheet"/>
    <n v="938550"/>
    <s v="BASEER AND CO"/>
    <n v="3240756"/>
    <s v="CRCA SHEET TSBCRC SR15 0.500X1000X1980"/>
    <s v=" "/>
    <s v=""/>
    <n v="0"/>
    <n v="0"/>
    <s v="Narrow"/>
    <s v="C06"/>
    <s v="TSBCRC"/>
    <s v="SR15"/>
    <n v="0.5"/>
    <n v="1000"/>
    <n v="1980"/>
    <n v="69"/>
    <n v="0"/>
    <n v="69"/>
    <n v="0.115"/>
    <n v="0"/>
    <n v="0"/>
    <n v="0"/>
    <n v="0"/>
    <n v="0"/>
    <n v="0"/>
    <n v="0"/>
    <n v="0"/>
    <n v="0"/>
    <n v="0"/>
    <n v="0"/>
    <n v="0"/>
    <n v="0"/>
    <n v="0"/>
    <n v="0"/>
    <n v="0"/>
    <n v="0"/>
    <n v="0"/>
    <n v="0"/>
    <n v="0"/>
    <n v="0"/>
    <n v="0"/>
    <n v="0"/>
    <n v="0"/>
    <n v="0"/>
    <n v="0"/>
    <n v="31.75"/>
    <n v="0"/>
    <n v="0"/>
    <n v="0"/>
    <n v="0"/>
    <n v="0"/>
    <n v="0"/>
    <n v="0"/>
    <n v="0"/>
    <n v="0"/>
    <n v="0"/>
    <n v="0"/>
    <n v="0"/>
    <n v="31.75"/>
    <n v="0"/>
    <n v="0"/>
    <n v="0"/>
    <n v="0"/>
    <n v="0"/>
    <n v="0"/>
    <n v="0"/>
    <m/>
    <m/>
    <m/>
    <m/>
    <m/>
    <m/>
    <m/>
    <m/>
    <s v="1"/>
    <s v="1"/>
    <s v="1"/>
    <s v="1"/>
    <s v="1"/>
    <m/>
    <m/>
    <m/>
    <m/>
    <m/>
    <m/>
    <m/>
    <m/>
    <m/>
    <m/>
    <m/>
    <m/>
    <m/>
    <m/>
  </r>
  <r>
    <n v="742"/>
    <d v="2025-01-21T00:00:00"/>
    <s v="ZBTO"/>
    <n v="9518447967"/>
    <n v="7"/>
    <s v="9518447967-7"/>
    <s v="No Priority"/>
    <x v="0"/>
    <m/>
    <x v="1"/>
    <x v="2"/>
    <s v="2000-BPRS"/>
    <m/>
    <x v="0"/>
    <m/>
    <s v="Exp BTF &lt;17MT"/>
    <s v="West Bengal"/>
    <s v="East"/>
    <s v="HOWRAH"/>
    <s v="Sheet"/>
    <n v="101278"/>
    <s v="RAMESH COMPANY"/>
    <n v="3240757"/>
    <s v="CRCA SHEET TSBCRC SR15 0.500X1000X2000"/>
    <s v=" "/>
    <s v=""/>
    <n v="2"/>
    <n v="3"/>
    <s v="Narrow"/>
    <s v="C06"/>
    <s v="TSBCRC"/>
    <s v="SR15"/>
    <n v="0.5"/>
    <n v="1000"/>
    <n v="2000"/>
    <n v="27"/>
    <n v="20.195"/>
    <n v="6.8049999999999997"/>
    <n v="6.8049999999999997"/>
    <n v="6.8049999999999997"/>
    <n v="0"/>
    <n v="0"/>
    <n v="0"/>
    <n v="0"/>
    <n v="0"/>
    <n v="0"/>
    <n v="0"/>
    <n v="0"/>
    <n v="0"/>
    <n v="0"/>
    <n v="0"/>
    <n v="0"/>
    <n v="0"/>
    <n v="0"/>
    <n v="0"/>
    <n v="0"/>
    <n v="0"/>
    <n v="0"/>
    <n v="0"/>
    <n v="0"/>
    <n v="0"/>
    <n v="0"/>
    <n v="0"/>
    <n v="0"/>
    <n v="0"/>
    <n v="0"/>
    <n v="0"/>
    <n v="0"/>
    <n v="0"/>
    <n v="0"/>
    <n v="0"/>
    <n v="0"/>
    <n v="0"/>
    <n v="0"/>
    <n v="0"/>
    <n v="0"/>
    <n v="0"/>
    <n v="0"/>
    <n v="0"/>
    <n v="20.195"/>
    <n v="0"/>
    <n v="0"/>
    <n v="0"/>
    <n v="0"/>
    <n v="0"/>
    <n v="20.195"/>
    <m/>
    <m/>
    <m/>
    <m/>
    <m/>
    <m/>
    <m/>
    <m/>
    <s v="1"/>
    <s v="1"/>
    <s v="1"/>
    <s v="1"/>
    <s v="1"/>
    <m/>
    <m/>
    <m/>
    <m/>
    <m/>
    <m/>
    <m/>
    <m/>
    <m/>
    <m/>
    <m/>
    <m/>
    <m/>
    <m/>
  </r>
  <r>
    <n v="742"/>
    <d v="2025-01-02T00:00:00"/>
    <s v="ZBTO"/>
    <n v="9518400614"/>
    <n v="11"/>
    <s v="9518400614-11"/>
    <s v="No Priority"/>
    <x v="0"/>
    <m/>
    <x v="1"/>
    <x v="2"/>
    <s v="2000-BPRS"/>
    <m/>
    <x v="0"/>
    <m/>
    <m/>
    <s v="Kerala"/>
    <s v="South"/>
    <s v="COCHIN HARBOUR "/>
    <s v="Sheet"/>
    <n v="116650"/>
    <s v="KUMMENCHERY STEELS"/>
    <n v="3239563"/>
    <s v="CRCA SHEET TATCRC SR16 0.450X1000X1910"/>
    <s v=" "/>
    <s v=""/>
    <n v="0"/>
    <n v="0"/>
    <s v="Narrow"/>
    <s v="C06"/>
    <s v="TATCRC"/>
    <s v="SR16"/>
    <n v="0.45"/>
    <n v="1000"/>
    <n v="1910"/>
    <n v="24"/>
    <n v="0"/>
    <n v="24"/>
    <n v="1.75"/>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6T00:00:00"/>
    <s v="ZBTO"/>
    <n v="9518433421"/>
    <n v="22"/>
    <s v="9518433421-22"/>
    <s v="No Priority"/>
    <x v="0"/>
    <m/>
    <x v="1"/>
    <x v="2"/>
    <s v="2000-BPRS"/>
    <m/>
    <x v="0"/>
    <m/>
    <s v="Exp BTF &lt;17MT"/>
    <s v="Tamil Nadu"/>
    <s v="South"/>
    <s v="CHENNAI"/>
    <s v="Sheet"/>
    <n v="938550"/>
    <s v="BASEER AND CO"/>
    <n v="3240775"/>
    <s v="CRCA SHEET TSBCRC SR15 0.600X1000X1980"/>
    <s v=" "/>
    <s v=""/>
    <n v="0"/>
    <n v="0"/>
    <s v="Narrow"/>
    <s v="C06"/>
    <s v="TSBCRC"/>
    <s v="SR15"/>
    <n v="0.6"/>
    <n v="1000"/>
    <n v="1980"/>
    <n v="90"/>
    <n v="81.09"/>
    <n v="8.91"/>
    <n v="8.91"/>
    <n v="8.91"/>
    <n v="0"/>
    <n v="0"/>
    <n v="0"/>
    <n v="0"/>
    <n v="0"/>
    <n v="0"/>
    <n v="0"/>
    <n v="0"/>
    <n v="0"/>
    <n v="0"/>
    <n v="0"/>
    <n v="0"/>
    <n v="0"/>
    <n v="0"/>
    <n v="0"/>
    <n v="0"/>
    <n v="0"/>
    <n v="0"/>
    <n v="0"/>
    <n v="0"/>
    <n v="0"/>
    <n v="0"/>
    <n v="0"/>
    <n v="0"/>
    <n v="0"/>
    <n v="0"/>
    <n v="0"/>
    <n v="0"/>
    <n v="0"/>
    <n v="0"/>
    <n v="0"/>
    <n v="0"/>
    <n v="0"/>
    <n v="0"/>
    <n v="0"/>
    <n v="0"/>
    <n v="0"/>
    <n v="0"/>
    <n v="0"/>
    <n v="20.149999999999999"/>
    <n v="0"/>
    <n v="0"/>
    <n v="0"/>
    <n v="0"/>
    <n v="0"/>
    <n v="20.149999999999999"/>
    <m/>
    <m/>
    <m/>
    <m/>
    <m/>
    <m/>
    <m/>
    <m/>
    <s v="1"/>
    <s v="1"/>
    <s v="1"/>
    <s v="1"/>
    <s v="1"/>
    <m/>
    <m/>
    <m/>
    <m/>
    <m/>
    <m/>
    <m/>
    <m/>
    <m/>
    <m/>
    <m/>
    <m/>
    <m/>
    <m/>
  </r>
  <r>
    <n v="744"/>
    <d v="2025-03-20T00:00:00"/>
    <s v="ZBTO"/>
    <n v="9518615345"/>
    <n v="1"/>
    <s v="9518615345-1"/>
    <s v="No Priority"/>
    <x v="0"/>
    <m/>
    <x v="2"/>
    <x v="3"/>
    <s v="1000-IPPE"/>
    <m/>
    <x v="0"/>
    <m/>
    <m/>
    <s v="Jharkhand"/>
    <s v="TBSPL"/>
    <s v="TBL- BARA AGRICO"/>
    <s v="Coil"/>
    <n v="941597"/>
    <s v="TATA BLUESCOPE STEEL PRIVATE LIMITE"/>
    <n v="3974226"/>
    <s v="PPGL C HARD Y550PL D0C9 0.800X1220"/>
    <s v="AZ150"/>
    <s v="LIGHT BLUE TSL 1802"/>
    <n v="3"/>
    <n v="5"/>
    <s v="Wider"/>
    <s v="B18"/>
    <s v="Y550PL"/>
    <s v="D0C9"/>
    <n v="0.8"/>
    <n v="1220"/>
    <n v="0"/>
    <n v="139.989"/>
    <n v="121.325"/>
    <n v="18.664000000000001"/>
    <n v="4.4740000000000002"/>
    <n v="18.664000000000001"/>
    <n v="4.793999999999999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9T00:00:00"/>
    <s v="ZBTO"/>
    <n v="9518613877"/>
    <n v="4"/>
    <s v="9518613877-4"/>
    <s v="Stocks"/>
    <x v="0"/>
    <m/>
    <x v="0"/>
    <x v="0"/>
    <s v="2000-BPRS"/>
    <m/>
    <x v="1"/>
    <m/>
    <m/>
    <s v="Karnataka"/>
    <s v="South"/>
    <s v="YESHWANTHPURA"/>
    <s v="Coil"/>
    <n v="801611"/>
    <s v="SHIVA FERRIC PVT LTD"/>
    <n v="1179966"/>
    <s v="HR COILS-PO IS 10748 GR 1 2X1250"/>
    <s v=" "/>
    <s v=""/>
    <n v="15"/>
    <n v="25"/>
    <s v="Wider"/>
    <n v="768"/>
    <s v="I09497"/>
    <s v="HG01"/>
    <n v="2"/>
    <n v="1250"/>
    <n v="0"/>
    <n v="30"/>
    <n v="0"/>
    <n v="30"/>
    <n v="30"/>
    <n v="0"/>
    <n v="3.95"/>
    <n v="0"/>
    <n v="0"/>
    <n v="0"/>
    <n v="0"/>
    <n v="0"/>
    <n v="0"/>
    <n v="0"/>
    <n v="0"/>
    <n v="0"/>
    <n v="0"/>
    <n v="0"/>
    <n v="0"/>
    <n v="0"/>
    <n v="0"/>
    <n v="0"/>
    <n v="0"/>
    <n v="0"/>
    <n v="0"/>
    <n v="0"/>
    <n v="0"/>
    <n v="0"/>
    <n v="0"/>
    <n v="0"/>
    <n v="0"/>
    <n v="26.04"/>
    <n v="0"/>
    <n v="0"/>
    <n v="0"/>
    <n v="0"/>
    <n v="0"/>
    <n v="0"/>
    <n v="0"/>
    <n v="0"/>
    <n v="0"/>
    <n v="0"/>
    <n v="0"/>
    <n v="0"/>
    <n v="26.04"/>
    <n v="0"/>
    <n v="0"/>
    <n v="0"/>
    <n v="0"/>
    <n v="0"/>
    <n v="0"/>
    <n v="0"/>
    <m/>
    <m/>
    <m/>
    <m/>
    <m/>
    <m/>
    <m/>
    <m/>
    <s v="1"/>
    <s v="1"/>
    <s v="1"/>
    <s v="1"/>
    <s v="1"/>
    <m/>
    <m/>
    <m/>
    <m/>
    <m/>
    <m/>
    <m/>
    <m/>
    <m/>
    <m/>
    <m/>
    <m/>
    <m/>
    <m/>
  </r>
  <r>
    <n v="742"/>
    <d v="2025-03-19T00:00:00"/>
    <s v="ZBTO"/>
    <n v="9518613873"/>
    <n v="1"/>
    <s v="9518613873-1"/>
    <s v="No Priority"/>
    <x v="0"/>
    <m/>
    <x v="0"/>
    <x v="0"/>
    <s v="2000-BPRS"/>
    <m/>
    <x v="0"/>
    <m/>
    <m/>
    <s v="Karnataka"/>
    <s v="South"/>
    <s v="YESHWANTHPURA"/>
    <s v="Coil"/>
    <n v="165992"/>
    <s v="G.K.ISPAT PVT.LTD"/>
    <n v="1371338"/>
    <s v="HR COILS-PO IS 1079 HR2 2.30X1250"/>
    <s v=" "/>
    <s v=""/>
    <n v="15"/>
    <n v="25"/>
    <s v="Wider"/>
    <n v="768"/>
    <s v="THR099"/>
    <s v="HR99"/>
    <n v="2.2999999999999998"/>
    <n v="1250"/>
    <n v="0"/>
    <n v="50"/>
    <n v="22.08"/>
    <n v="27.92"/>
    <n v="3.96"/>
    <n v="27.92"/>
    <n v="4.1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9T00:00:00"/>
    <s v="ZBTO"/>
    <n v="9518613858"/>
    <n v="1"/>
    <s v="9518613858-1"/>
    <s v="Apr'25 "/>
    <x v="0"/>
    <m/>
    <x v="0"/>
    <x v="0"/>
    <s v="2000-BPRS"/>
    <m/>
    <x v="1"/>
    <m/>
    <m/>
    <s v="Karnataka"/>
    <s v="South"/>
    <s v="YESHWANTHPURA"/>
    <s v="Coil"/>
    <n v="932179"/>
    <s v="DURGA STEEL INDUSTRIES"/>
    <n v="1371338"/>
    <s v="HR COILS-PO IS 1079 HR2 2.30X1250"/>
    <s v=" "/>
    <s v=""/>
    <n v="15"/>
    <n v="25"/>
    <s v="Wider"/>
    <n v="768"/>
    <s v="THR099"/>
    <s v="HR99"/>
    <n v="2.2999999999999998"/>
    <n v="1250"/>
    <n v="0"/>
    <n v="50"/>
    <n v="24.41"/>
    <n v="25.59"/>
    <n v="25.59"/>
    <n v="25.59"/>
    <n v="25.59"/>
    <n v="0"/>
    <n v="0"/>
    <n v="0"/>
    <n v="0"/>
    <n v="0"/>
    <n v="0"/>
    <n v="0"/>
    <n v="0"/>
    <n v="0"/>
    <n v="0"/>
    <n v="0"/>
    <n v="0"/>
    <n v="0"/>
    <n v="0"/>
    <n v="0"/>
    <n v="0"/>
    <n v="0"/>
    <n v="0"/>
    <n v="0"/>
    <n v="0"/>
    <n v="0"/>
    <n v="0"/>
    <n v="0"/>
    <n v="0"/>
    <n v="0"/>
    <n v="25.59"/>
    <n v="0"/>
    <n v="0"/>
    <n v="0"/>
    <n v="25.59"/>
    <n v="0"/>
    <n v="0"/>
    <n v="0"/>
    <n v="0"/>
    <n v="0"/>
    <n v="0"/>
    <n v="0"/>
    <n v="25.59"/>
    <n v="0"/>
    <n v="0"/>
    <n v="0"/>
    <n v="0"/>
    <n v="0"/>
    <n v="0"/>
    <n v="0"/>
    <m/>
    <m/>
    <m/>
    <m/>
    <m/>
    <m/>
    <m/>
    <m/>
    <s v="1"/>
    <s v="1"/>
    <s v="1"/>
    <s v="0"/>
    <s v="1"/>
    <m/>
    <m/>
    <m/>
    <m/>
    <m/>
    <m/>
    <m/>
    <m/>
    <m/>
    <m/>
    <m/>
    <m/>
    <m/>
    <m/>
  </r>
  <r>
    <n v="742"/>
    <d v="2025-03-19T00:00:00"/>
    <s v="ZBTO"/>
    <n v="9518613858"/>
    <n v="3"/>
    <s v="9518613858-3"/>
    <s v="No Priority"/>
    <x v="0"/>
    <m/>
    <x v="0"/>
    <x v="0"/>
    <s v="2000-BPRS"/>
    <m/>
    <x v="0"/>
    <m/>
    <m/>
    <s v="Karnataka"/>
    <s v="South"/>
    <s v="YESHWANTHPURA"/>
    <s v="Coil"/>
    <n v="932179"/>
    <s v="DURGA STEEL INDUSTRIES"/>
    <n v="1210086"/>
    <s v="HR COILS-PO IS 1079 HR2 4X1250"/>
    <s v=" "/>
    <s v=""/>
    <n v="15"/>
    <n v="25"/>
    <s v="Wider"/>
    <n v="768"/>
    <s v="THR099"/>
    <s v="HR99"/>
    <n v="4"/>
    <n v="1250"/>
    <n v="0"/>
    <n v="125"/>
    <n v="98.144999999999996"/>
    <n v="26.855"/>
    <n v="26.855"/>
    <n v="0"/>
    <n v="2.605"/>
    <n v="0"/>
    <n v="0"/>
    <n v="0"/>
    <n v="0"/>
    <n v="0"/>
    <n v="0"/>
    <n v="0"/>
    <n v="0"/>
    <n v="0"/>
    <n v="0"/>
    <n v="0"/>
    <n v="0"/>
    <n v="0"/>
    <n v="0"/>
    <n v="0"/>
    <n v="0"/>
    <n v="0"/>
    <n v="0"/>
    <n v="0"/>
    <n v="0"/>
    <n v="0"/>
    <n v="25"/>
    <n v="25"/>
    <n v="0"/>
    <n v="0"/>
    <n v="0"/>
    <n v="0"/>
    <n v="0"/>
    <n v="0"/>
    <n v="0"/>
    <n v="0"/>
    <n v="0"/>
    <n v="0"/>
    <n v="0"/>
    <n v="0"/>
    <n v="0"/>
    <n v="0"/>
    <n v="0"/>
    <n v="0"/>
    <n v="0"/>
    <n v="0"/>
    <n v="0"/>
    <n v="0"/>
    <n v="0"/>
    <n v="0"/>
    <m/>
    <m/>
    <m/>
    <m/>
    <m/>
    <m/>
    <m/>
    <m/>
    <s v="1"/>
    <s v="1"/>
    <s v="1"/>
    <s v="1"/>
    <s v="1"/>
    <m/>
    <m/>
    <m/>
    <m/>
    <m/>
    <m/>
    <m/>
    <m/>
    <m/>
    <m/>
    <m/>
    <m/>
    <m/>
    <m/>
  </r>
  <r>
    <n v="742"/>
    <d v="2025-03-19T00:00:00"/>
    <s v="ZBTO"/>
    <n v="9518613858"/>
    <n v="4"/>
    <s v="9518613858-4"/>
    <s v="Apr'25 "/>
    <x v="0"/>
    <m/>
    <x v="0"/>
    <x v="0"/>
    <s v="2000-BPRS"/>
    <m/>
    <x v="1"/>
    <m/>
    <m/>
    <s v="Karnataka"/>
    <s v="South"/>
    <s v="YESHWANTHPURA"/>
    <s v="Coil"/>
    <n v="932179"/>
    <s v="DURGA STEEL INDUSTRIES"/>
    <n v="1179966"/>
    <s v="HR COILS-PO IS 10748 GR 1 2X1250"/>
    <s v=" "/>
    <s v=""/>
    <n v="15"/>
    <n v="25"/>
    <s v="Wider"/>
    <n v="768"/>
    <s v="I09497"/>
    <s v="HG01"/>
    <n v="2"/>
    <n v="1250"/>
    <n v="0"/>
    <n v="25"/>
    <n v="0"/>
    <n v="25"/>
    <n v="25"/>
    <n v="-1.0899999999999999"/>
    <n v="25"/>
    <n v="0"/>
    <n v="0"/>
    <n v="0"/>
    <n v="0"/>
    <n v="0"/>
    <n v="0"/>
    <n v="0"/>
    <n v="0"/>
    <n v="0"/>
    <n v="0"/>
    <n v="0"/>
    <n v="0"/>
    <n v="0"/>
    <n v="0"/>
    <n v="0"/>
    <n v="0"/>
    <n v="0"/>
    <n v="0"/>
    <n v="26.09"/>
    <n v="26.09"/>
    <n v="26.09"/>
    <n v="0"/>
    <n v="26.09"/>
    <n v="0"/>
    <n v="0"/>
    <n v="25"/>
    <n v="0"/>
    <n v="25"/>
    <n v="0"/>
    <n v="0"/>
    <n v="0"/>
    <n v="25"/>
    <n v="0"/>
    <n v="25"/>
    <n v="0"/>
    <n v="0"/>
    <n v="0"/>
    <n v="0"/>
    <n v="0"/>
    <n v="0"/>
    <n v="0"/>
    <n v="0"/>
    <n v="0"/>
    <n v="0"/>
    <n v="0"/>
    <m/>
    <m/>
    <m/>
    <m/>
    <m/>
    <m/>
    <m/>
    <m/>
    <s v="1"/>
    <s v="0"/>
    <s v="1"/>
    <s v="1"/>
    <s v="1"/>
    <m/>
    <m/>
    <m/>
    <m/>
    <m/>
    <m/>
    <m/>
    <m/>
    <m/>
    <m/>
    <m/>
    <m/>
    <m/>
    <m/>
  </r>
  <r>
    <n v="742"/>
    <d v="2025-03-19T00:00:00"/>
    <s v="ZBTO"/>
    <n v="9518613349"/>
    <n v="1"/>
    <s v="9518613349-1"/>
    <s v="Stocks"/>
    <x v="0"/>
    <m/>
    <x v="1"/>
    <x v="2"/>
    <s v="2000-BPRS"/>
    <m/>
    <x v="1"/>
    <m/>
    <m/>
    <s v="Orissa"/>
    <s v="East"/>
    <s v="TANGI"/>
    <s v="Sheet"/>
    <n v="117061"/>
    <s v="BHARTIA  DISTRIBUTORS PVT. LTD."/>
    <n v="3240785"/>
    <s v="CRCA SHEET TSBCRC SR15 0.600X1250X2500"/>
    <s v=" "/>
    <s v=""/>
    <n v="0.1"/>
    <n v="5"/>
    <s v="Wider"/>
    <s v="C06"/>
    <s v="TSBCRC"/>
    <s v="SR15"/>
    <n v="0.6"/>
    <n v="1250"/>
    <n v="2500"/>
    <n v="50"/>
    <n v="5.7"/>
    <n v="44.3"/>
    <n v="-9.1850000000000005"/>
    <n v="0"/>
    <n v="0.97499999999999998"/>
    <n v="0"/>
    <n v="0"/>
    <n v="0"/>
    <n v="0"/>
    <n v="0"/>
    <n v="0"/>
    <n v="0"/>
    <n v="0"/>
    <n v="0"/>
    <n v="0"/>
    <n v="0"/>
    <n v="0"/>
    <n v="0"/>
    <n v="0"/>
    <n v="0"/>
    <n v="0"/>
    <n v="0"/>
    <n v="0"/>
    <n v="0"/>
    <n v="0"/>
    <n v="0"/>
    <n v="0"/>
    <n v="0"/>
    <n v="0"/>
    <n v="2.84"/>
    <n v="0"/>
    <n v="0"/>
    <n v="0"/>
    <n v="0"/>
    <n v="0"/>
    <n v="0"/>
    <n v="0"/>
    <n v="0"/>
    <n v="0"/>
    <n v="0"/>
    <n v="0"/>
    <n v="0"/>
    <n v="2.84"/>
    <n v="0"/>
    <n v="0"/>
    <n v="0"/>
    <n v="0"/>
    <n v="0"/>
    <n v="0"/>
    <n v="0"/>
    <m/>
    <m/>
    <m/>
    <m/>
    <m/>
    <m/>
    <m/>
    <m/>
    <s v="1"/>
    <s v="1"/>
    <s v="1"/>
    <s v="1"/>
    <s v="1"/>
    <m/>
    <m/>
    <m/>
    <m/>
    <m/>
    <m/>
    <m/>
    <m/>
    <m/>
    <m/>
    <m/>
    <m/>
    <m/>
    <m/>
  </r>
  <r>
    <n v="743"/>
    <d v="2025-03-26T00:00:00"/>
    <s v="ZBTO"/>
    <n v="9518636677"/>
    <n v="1"/>
    <s v="9518636677-1"/>
    <s v="Stocks"/>
    <x v="0"/>
    <m/>
    <x v="4"/>
    <x v="13"/>
    <n v="1000"/>
    <m/>
    <x v="1"/>
    <m/>
    <m/>
    <s v="West Bengal"/>
    <s v="East"/>
    <s v="PANCHALA"/>
    <s v="Coil"/>
    <n v="101122"/>
    <s v="JINDAL INDIA LIMITED"/>
    <n v="3988091"/>
    <s v="GL COIL HARD  Y550GL H7GL 0.440X1240"/>
    <n v="70"/>
    <m/>
    <n v="7.0010000000000003"/>
    <n v="15"/>
    <s v="Wider"/>
    <s v="B04"/>
    <s v="Y550GL"/>
    <s v="H7GL"/>
    <n v="0.44"/>
    <n v="1240"/>
    <n v="0"/>
    <n v="560"/>
    <n v="476.56"/>
    <n v="83.44"/>
    <n v="-0.08"/>
    <n v="0"/>
    <n v="1.2050000000000001"/>
    <n v="0"/>
    <n v="0"/>
    <n v="0"/>
    <n v="0"/>
    <n v="0"/>
    <n v="0"/>
    <n v="0"/>
    <n v="0"/>
    <n v="0"/>
    <n v="0"/>
    <n v="0"/>
    <n v="0"/>
    <n v="0"/>
    <n v="0"/>
    <n v="0"/>
    <n v="0"/>
    <n v="0"/>
    <n v="0"/>
    <n v="0"/>
    <n v="0"/>
    <n v="0"/>
    <n v="0"/>
    <n v="0"/>
    <m/>
    <n v="13.69"/>
    <n v="0"/>
    <n v="0"/>
    <n v="0"/>
    <n v="0"/>
    <n v="0"/>
    <n v="0"/>
    <n v="0"/>
    <n v="0"/>
    <n v="0"/>
    <n v="0"/>
    <n v="0"/>
    <n v="0"/>
    <n v="13.69"/>
    <n v="174.14"/>
    <n v="0"/>
    <n v="0"/>
    <n v="0"/>
    <n v="0"/>
    <n v="0"/>
    <n v="174.14"/>
    <m/>
    <m/>
    <m/>
    <m/>
    <m/>
    <m/>
    <m/>
    <m/>
    <s v="1"/>
    <s v="1"/>
    <s v="1"/>
    <s v="1"/>
    <s v="1"/>
    <m/>
    <m/>
    <m/>
    <m/>
    <m/>
    <m/>
    <m/>
    <m/>
    <m/>
    <m/>
    <m/>
    <m/>
    <m/>
    <m/>
  </r>
  <r>
    <n v="743"/>
    <d v="2025-03-26T00:00:00"/>
    <s v="ZBTO"/>
    <n v="9518636677"/>
    <n v="2"/>
    <s v="9518636677-2"/>
    <s v="Stocks"/>
    <x v="0"/>
    <m/>
    <x v="4"/>
    <x v="13"/>
    <n v="1000"/>
    <m/>
    <x v="1"/>
    <m/>
    <m/>
    <s v="West Bengal"/>
    <s v="East"/>
    <s v="PANCHALA"/>
    <s v="Coil"/>
    <n v="101122"/>
    <s v="JINDAL INDIA LIMITED"/>
    <n v="3988091"/>
    <s v="GL COIL HARD  Y550GL H7GL 0.440X1240"/>
    <n v="70"/>
    <m/>
    <n v="7.0010000000000003"/>
    <n v="15"/>
    <s v="Wider"/>
    <s v="B04"/>
    <s v="Y550GL"/>
    <s v="H7GL"/>
    <n v="0.44"/>
    <n v="1240"/>
    <n v="0"/>
    <n v="560"/>
    <n v="490.19499999999999"/>
    <n v="69.805000000000007"/>
    <n v="14.629"/>
    <n v="69.805000000000007"/>
    <n v="17.844999999999999"/>
    <n v="0"/>
    <n v="0"/>
    <n v="0"/>
    <n v="0"/>
    <n v="0"/>
    <n v="0"/>
    <n v="0"/>
    <n v="0"/>
    <n v="0"/>
    <n v="0"/>
    <n v="0"/>
    <n v="0"/>
    <n v="0"/>
    <n v="0"/>
    <n v="0"/>
    <n v="0"/>
    <n v="0"/>
    <n v="0"/>
    <n v="0"/>
    <n v="0"/>
    <n v="0"/>
    <n v="0"/>
    <n v="0"/>
    <m/>
    <n v="26.92"/>
    <n v="0"/>
    <n v="0"/>
    <n v="0"/>
    <n v="0"/>
    <n v="0"/>
    <n v="0"/>
    <n v="0"/>
    <n v="0"/>
    <n v="0"/>
    <n v="0"/>
    <n v="0"/>
    <n v="0"/>
    <n v="26.92"/>
    <n v="0"/>
    <n v="0"/>
    <n v="0"/>
    <n v="0"/>
    <n v="0"/>
    <n v="0"/>
    <n v="0"/>
    <m/>
    <m/>
    <m/>
    <m/>
    <m/>
    <m/>
    <m/>
    <m/>
    <s v="1"/>
    <s v="1"/>
    <s v="1"/>
    <s v="1"/>
    <s v="1"/>
    <m/>
    <m/>
    <m/>
    <m/>
    <m/>
    <m/>
    <m/>
    <m/>
    <m/>
    <m/>
    <m/>
    <m/>
    <m/>
    <m/>
  </r>
  <r>
    <n v="743"/>
    <d v="2025-03-26T00:00:00"/>
    <s v="ZBTO"/>
    <n v="9518636677"/>
    <n v="3"/>
    <s v="9518636677-3"/>
    <s v="Stocks"/>
    <x v="0"/>
    <m/>
    <x v="4"/>
    <x v="13"/>
    <n v="1000"/>
    <m/>
    <x v="1"/>
    <m/>
    <m/>
    <s v="West Bengal"/>
    <s v="East"/>
    <s v="PANCHALA"/>
    <s v="Coil"/>
    <n v="101122"/>
    <s v="JINDAL INDIA LIMITED"/>
    <n v="3988091"/>
    <s v="GL COIL HARD  Y550GL H7GL 0.440X1240"/>
    <n v="70"/>
    <m/>
    <n v="7.0010000000000003"/>
    <n v="15"/>
    <s v="Wider"/>
    <s v="B04"/>
    <s v="Y550GL"/>
    <s v="H7GL"/>
    <n v="0.44"/>
    <n v="1240"/>
    <n v="0"/>
    <n v="560"/>
    <n v="436.78500000000003"/>
    <n v="123.215"/>
    <n v="3.0739999999999998"/>
    <n v="113.9"/>
    <n v="7.42"/>
    <n v="0"/>
    <n v="0"/>
    <n v="0"/>
    <n v="0"/>
    <n v="0"/>
    <n v="0"/>
    <n v="0"/>
    <n v="1.5250000000000001"/>
    <n v="0"/>
    <n v="0"/>
    <n v="0"/>
    <n v="0"/>
    <n v="0"/>
    <n v="0"/>
    <n v="0"/>
    <n v="0"/>
    <n v="0"/>
    <n v="0"/>
    <n v="7.79"/>
    <n v="9.3149999999999995"/>
    <n v="9.3149999999999995"/>
    <n v="0"/>
    <n v="9.3149999999999995"/>
    <m/>
    <n v="22.495000000000001"/>
    <n v="0"/>
    <n v="0"/>
    <n v="0"/>
    <n v="0"/>
    <n v="0"/>
    <n v="0"/>
    <n v="0"/>
    <n v="0"/>
    <n v="0"/>
    <n v="0"/>
    <n v="0"/>
    <n v="0"/>
    <n v="22.495000000000001"/>
    <n v="0"/>
    <n v="0"/>
    <n v="0"/>
    <n v="0"/>
    <n v="0"/>
    <n v="0"/>
    <n v="0"/>
    <m/>
    <m/>
    <m/>
    <m/>
    <m/>
    <m/>
    <m/>
    <m/>
    <s v="1"/>
    <s v="1"/>
    <s v="1"/>
    <s v="1"/>
    <s v="1"/>
    <m/>
    <m/>
    <m/>
    <m/>
    <m/>
    <m/>
    <m/>
    <m/>
    <m/>
    <m/>
    <m/>
    <m/>
    <m/>
    <m/>
  </r>
  <r>
    <n v="743"/>
    <d v="2025-03-26T00:00:00"/>
    <s v="ZBTO"/>
    <n v="9518636677"/>
    <n v="4"/>
    <s v="9518636677-4"/>
    <s v="May'25"/>
    <x v="0"/>
    <m/>
    <x v="4"/>
    <x v="13"/>
    <n v="1000"/>
    <m/>
    <x v="1"/>
    <m/>
    <m/>
    <s v="West Bengal"/>
    <s v="East"/>
    <s v="PANCHALA"/>
    <s v="Coil"/>
    <n v="101122"/>
    <s v="JINDAL INDIA LIMITED"/>
    <n v="3988091"/>
    <s v="GL COIL HARD  Y550GL H7GL 0.440X1240"/>
    <n v="70"/>
    <m/>
    <n v="7.0010000000000003"/>
    <n v="15"/>
    <s v="Wider"/>
    <s v="B04"/>
    <s v="Y550GL"/>
    <s v="H7GL"/>
    <n v="0.44"/>
    <n v="1240"/>
    <n v="0"/>
    <n v="560"/>
    <n v="97.635000000000005"/>
    <n v="462.36500000000001"/>
    <n v="-22.663"/>
    <n v="0"/>
    <n v="42.74"/>
    <n v="0"/>
    <n v="0"/>
    <n v="0"/>
    <n v="0"/>
    <n v="0"/>
    <n v="0"/>
    <n v="0"/>
    <n v="13.540000000000001"/>
    <n v="0"/>
    <n v="0"/>
    <n v="0"/>
    <n v="0"/>
    <n v="0"/>
    <n v="0"/>
    <n v="0"/>
    <n v="0"/>
    <n v="0"/>
    <n v="0"/>
    <n v="0"/>
    <n v="13.540000000000001"/>
    <n v="13.540000000000001"/>
    <n v="0"/>
    <n v="13.540000000000001"/>
    <m/>
    <n v="22.97"/>
    <n v="42.74"/>
    <n v="0"/>
    <n v="0"/>
    <n v="0"/>
    <n v="0"/>
    <n v="42.74"/>
    <n v="0"/>
    <n v="0"/>
    <n v="0"/>
    <n v="0"/>
    <n v="0"/>
    <n v="0"/>
    <n v="65.710000000000008"/>
    <n v="0"/>
    <n v="0"/>
    <n v="0"/>
    <n v="0"/>
    <n v="0"/>
    <n v="0"/>
    <n v="0"/>
    <m/>
    <m/>
    <m/>
    <m/>
    <m/>
    <m/>
    <m/>
    <m/>
    <s v="1"/>
    <s v="1"/>
    <s v="1"/>
    <s v="1"/>
    <s v="0"/>
    <m/>
    <m/>
    <m/>
    <m/>
    <m/>
    <m/>
    <m/>
    <m/>
    <m/>
    <m/>
    <m/>
    <m/>
    <m/>
    <m/>
  </r>
  <r>
    <n v="743"/>
    <d v="2025-03-26T00:00:00"/>
    <s v="ZBTO"/>
    <n v="9518636677"/>
    <n v="5"/>
    <s v="9518636677-5"/>
    <s v="May'25"/>
    <x v="0"/>
    <m/>
    <x v="4"/>
    <x v="13"/>
    <n v="1000"/>
    <m/>
    <x v="1"/>
    <m/>
    <m/>
    <s v="West Bengal"/>
    <s v="East"/>
    <s v="PANCHALA"/>
    <s v="Coil"/>
    <n v="101122"/>
    <s v="JINDAL INDIA LIMITED"/>
    <n v="3988091"/>
    <s v="GL COIL HARD  Y550GL H7GL 0.440X1240"/>
    <n v="70"/>
    <m/>
    <n v="7.0010000000000003"/>
    <n v="15"/>
    <s v="Wider"/>
    <s v="B04"/>
    <s v="Y550GL"/>
    <s v="H7GL"/>
    <n v="0.44"/>
    <n v="1240"/>
    <n v="0"/>
    <n v="560"/>
    <n v="0"/>
    <n v="560"/>
    <n v="333.31"/>
    <n v="0"/>
    <n v="49.354999999999997"/>
    <n v="0"/>
    <n v="0"/>
    <n v="0"/>
    <n v="0"/>
    <n v="0"/>
    <n v="24.6"/>
    <n v="0"/>
    <n v="0"/>
    <n v="0"/>
    <n v="0"/>
    <n v="0"/>
    <n v="0"/>
    <n v="0"/>
    <n v="0"/>
    <n v="0"/>
    <n v="0"/>
    <n v="0"/>
    <n v="0"/>
    <n v="13.84"/>
    <n v="38.44"/>
    <n v="38.44"/>
    <n v="333"/>
    <n v="371.44"/>
    <m/>
    <n v="51.29"/>
    <n v="49.354999999999997"/>
    <n v="0"/>
    <n v="49.354999999999997"/>
    <n v="0"/>
    <n v="0"/>
    <n v="0"/>
    <n v="49.354999999999997"/>
    <n v="0"/>
    <n v="49.354999999999997"/>
    <n v="0"/>
    <n v="0"/>
    <n v="0"/>
    <n v="51.29"/>
    <n v="0"/>
    <n v="0"/>
    <n v="0"/>
    <n v="0"/>
    <n v="0"/>
    <n v="0"/>
    <n v="0"/>
    <m/>
    <m/>
    <m/>
    <m/>
    <m/>
    <m/>
    <m/>
    <m/>
    <s v="1"/>
    <s v="0"/>
    <s v="1"/>
    <s v="1"/>
    <s v="1"/>
    <m/>
    <m/>
    <m/>
    <m/>
    <m/>
    <m/>
    <m/>
    <m/>
    <m/>
    <m/>
    <m/>
    <m/>
    <m/>
    <m/>
  </r>
  <r>
    <n v="743"/>
    <d v="2025-03-26T00:00:00"/>
    <s v="ZBTO"/>
    <n v="9518636677"/>
    <n v="6"/>
    <s v="9518636677-6"/>
    <s v="May'25"/>
    <x v="0"/>
    <m/>
    <x v="4"/>
    <x v="13"/>
    <n v="1000"/>
    <m/>
    <x v="1"/>
    <m/>
    <m/>
    <s v="West Bengal"/>
    <s v="East"/>
    <s v="PANCHALA"/>
    <s v="Coil"/>
    <n v="101122"/>
    <s v="JINDAL INDIA LIMITED"/>
    <n v="3988091"/>
    <s v="GL COIL HARD  Y550GL H7GL 0.440X1240"/>
    <n v="70"/>
    <m/>
    <n v="7.0010000000000003"/>
    <n v="15"/>
    <s v="Wider"/>
    <s v="B04"/>
    <s v="Y550GL"/>
    <s v="H7GL"/>
    <n v="0.44"/>
    <n v="1240"/>
    <n v="0"/>
    <n v="224"/>
    <n v="0"/>
    <n v="224"/>
    <n v="224"/>
    <n v="0"/>
    <n v="36.884999999999998"/>
    <n v="0"/>
    <n v="0"/>
    <n v="0"/>
    <n v="0"/>
    <n v="0"/>
    <n v="28.3"/>
    <n v="0"/>
    <n v="6.2350000000000003"/>
    <n v="0"/>
    <n v="0"/>
    <n v="0"/>
    <n v="0"/>
    <n v="0"/>
    <n v="0"/>
    <n v="0"/>
    <n v="0"/>
    <n v="0"/>
    <n v="0"/>
    <n v="0"/>
    <n v="34.535000000000004"/>
    <n v="34.535000000000004"/>
    <n v="224"/>
    <n v="258.53500000000003"/>
    <m/>
    <n v="13.984999999999999"/>
    <n v="36.884999999999998"/>
    <n v="36.884999999999998"/>
    <n v="0"/>
    <n v="0"/>
    <n v="0"/>
    <n v="0"/>
    <n v="0"/>
    <n v="0"/>
    <n v="0"/>
    <n v="0"/>
    <n v="0"/>
    <n v="0"/>
    <n v="50.87"/>
    <n v="0"/>
    <n v="0"/>
    <n v="0"/>
    <n v="0"/>
    <n v="0"/>
    <n v="0"/>
    <n v="0"/>
    <m/>
    <m/>
    <m/>
    <m/>
    <m/>
    <m/>
    <m/>
    <m/>
    <s v="0"/>
    <s v="1"/>
    <s v="1"/>
    <s v="1"/>
    <s v="1"/>
    <m/>
    <m/>
    <m/>
    <m/>
    <m/>
    <m/>
    <m/>
    <m/>
    <m/>
    <m/>
    <m/>
    <m/>
    <m/>
    <m/>
  </r>
  <r>
    <n v="742"/>
    <d v="2025-01-03T00:00:00"/>
    <s v="ZBTO"/>
    <n v="9518403237"/>
    <n v="1"/>
    <s v="9518403237-1"/>
    <s v="No Priority"/>
    <x v="0"/>
    <m/>
    <x v="1"/>
    <x v="2"/>
    <n v="2000"/>
    <m/>
    <x v="0"/>
    <m/>
    <m/>
    <s v="Jharkhand"/>
    <s v="East"/>
    <s v="BOKARO STEEL CY"/>
    <s v="Sheet"/>
    <n v="121328"/>
    <s v="R. S. BOKARO METAL (P) LTD."/>
    <n v="2440959"/>
    <s v="CRCA SHEET TATCRC SR16 0.330X900X2500"/>
    <m/>
    <m/>
    <m/>
    <m/>
    <s v="Narrow"/>
    <s v="C06"/>
    <s v="TATCRC"/>
    <s v="SR16"/>
    <n v="0.33"/>
    <n v="900"/>
    <n v="2500"/>
    <n v="42"/>
    <n v="0"/>
    <n v="42"/>
    <n v="42"/>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3T00:00:00"/>
    <s v="ZBTO"/>
    <n v="9518403237"/>
    <n v="2"/>
    <s v="9518403237-2"/>
    <s v="No Priority"/>
    <x v="0"/>
    <m/>
    <x v="1"/>
    <x v="2"/>
    <n v="2000"/>
    <m/>
    <x v="0"/>
    <m/>
    <m/>
    <s v="Jharkhand"/>
    <s v="East"/>
    <s v="BOKARO STEEL CY"/>
    <s v="Sheet"/>
    <n v="121328"/>
    <s v="R. S. BOKARO METAL (P) LTD."/>
    <n v="3152197"/>
    <s v="CRCA SHEET TATCRC SR16 0.330X1000X2500"/>
    <m/>
    <m/>
    <m/>
    <m/>
    <s v="Narrow"/>
    <s v="C06"/>
    <s v="TATCRC"/>
    <s v="SR16"/>
    <n v="0.33"/>
    <n v="1000"/>
    <n v="2500"/>
    <n v="45"/>
    <n v="0"/>
    <n v="45"/>
    <n v="-1"/>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3T00:00:00"/>
    <s v="ZBTO"/>
    <n v="9518403237"/>
    <n v="3"/>
    <s v="9518403237-3"/>
    <s v="No Priority"/>
    <x v="0"/>
    <m/>
    <x v="1"/>
    <x v="2"/>
    <n v="2000"/>
    <m/>
    <x v="0"/>
    <m/>
    <m/>
    <s v="Jharkhand"/>
    <s v="East"/>
    <s v="BOKARO STEEL CY"/>
    <s v="Sheet"/>
    <n v="121328"/>
    <s v="R. S. BOKARO METAL (P) LTD."/>
    <n v="2441001"/>
    <s v="CRCA SHEET TATCRC SR16 0.380X900X2500"/>
    <m/>
    <m/>
    <m/>
    <m/>
    <s v="Narrow"/>
    <s v="C06"/>
    <s v="TATCRC"/>
    <s v="SR16"/>
    <n v="0.38"/>
    <n v="900"/>
    <n v="2500"/>
    <n v="42"/>
    <n v="0"/>
    <n v="42"/>
    <n v="-0.32"/>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6T00:00:00"/>
    <s v="ZBTO"/>
    <n v="9518407284"/>
    <n v="3"/>
    <s v="9518407284-3"/>
    <s v="No Priority"/>
    <x v="0"/>
    <m/>
    <x v="1"/>
    <x v="2"/>
    <n v="2000"/>
    <m/>
    <x v="0"/>
    <m/>
    <m/>
    <s v="Tamil Nadu"/>
    <s v="South"/>
    <s v="CHENNAI"/>
    <s v="Sheet"/>
    <n v="116465"/>
    <s v="SRI BALAJI STEEL TRADERS"/>
    <n v="3239539"/>
    <s v="CRCA SHEET TATCRC SR16 0.350X1000X1980"/>
    <m/>
    <m/>
    <m/>
    <m/>
    <s v="Narrow"/>
    <s v="C06"/>
    <s v="TATCRC"/>
    <s v="SR16"/>
    <n v="0.35"/>
    <n v="1000"/>
    <n v="1980"/>
    <n v="24"/>
    <n v="0"/>
    <n v="24"/>
    <n v="0.71"/>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6T00:00:00"/>
    <s v="ZBTO"/>
    <n v="9518407392"/>
    <n v="4"/>
    <s v="9518407392-4"/>
    <s v="Stocks"/>
    <x v="0"/>
    <m/>
    <x v="1"/>
    <x v="2"/>
    <n v="2000"/>
    <m/>
    <x v="1"/>
    <m/>
    <m/>
    <s v="Tamil Nadu"/>
    <s v="South"/>
    <s v="SALEM JN"/>
    <s v="Sheet"/>
    <n v="116465"/>
    <s v="SRI BALAJI STEEL TRADERS"/>
    <n v="3239548"/>
    <s v="CRCA SHEET TATCRC SR16 0.400X900X2500"/>
    <m/>
    <m/>
    <m/>
    <m/>
    <s v="Narrow"/>
    <s v="C06"/>
    <s v="TATCRC"/>
    <s v="SR16"/>
    <n v="0.4"/>
    <n v="900"/>
    <n v="2500"/>
    <n v="21"/>
    <n v="0"/>
    <n v="21"/>
    <n v="-0.2"/>
    <n v="0"/>
    <n v="0"/>
    <n v="0"/>
    <n v="0"/>
    <n v="0"/>
    <n v="0"/>
    <n v="0"/>
    <n v="0"/>
    <n v="0"/>
    <n v="0"/>
    <n v="0"/>
    <n v="0"/>
    <n v="0"/>
    <n v="0"/>
    <n v="0"/>
    <n v="0"/>
    <n v="0"/>
    <n v="0"/>
    <n v="0"/>
    <n v="0"/>
    <n v="0"/>
    <n v="0"/>
    <n v="0"/>
    <n v="0"/>
    <n v="0"/>
    <m/>
    <n v="2.7349999999999999"/>
    <n v="0"/>
    <n v="0"/>
    <n v="0"/>
    <n v="0"/>
    <n v="0"/>
    <n v="0"/>
    <n v="0"/>
    <n v="0"/>
    <n v="0"/>
    <n v="0"/>
    <n v="0"/>
    <n v="0"/>
    <n v="2.7349999999999999"/>
    <n v="0"/>
    <n v="0"/>
    <n v="0"/>
    <n v="0"/>
    <n v="0"/>
    <n v="0"/>
    <n v="0"/>
    <m/>
    <m/>
    <m/>
    <m/>
    <m/>
    <m/>
    <m/>
    <m/>
    <s v="1"/>
    <s v="1"/>
    <s v="1"/>
    <s v="1"/>
    <s v="1"/>
    <m/>
    <m/>
    <m/>
    <m/>
    <m/>
    <m/>
    <m/>
    <m/>
    <m/>
    <m/>
    <m/>
    <m/>
    <m/>
    <m/>
  </r>
  <r>
    <n v="742"/>
    <d v="2025-01-06T00:00:00"/>
    <s v="ZBTO"/>
    <n v="9518407392"/>
    <n v="5"/>
    <s v="9518407392-5"/>
    <s v="No Priority"/>
    <x v="0"/>
    <m/>
    <x v="1"/>
    <x v="2"/>
    <n v="2000"/>
    <m/>
    <x v="0"/>
    <m/>
    <m/>
    <s v="Tamil Nadu"/>
    <s v="South"/>
    <s v="SALEM JN"/>
    <s v="Sheet"/>
    <n v="116465"/>
    <s v="SRI BALAJI STEEL TRADERS"/>
    <n v="3239552"/>
    <s v="CRCA SHEET TATCRC SR16 0.400X1000X1980"/>
    <m/>
    <m/>
    <m/>
    <m/>
    <s v="Narrow"/>
    <s v="C06"/>
    <s v="TATCRC"/>
    <s v="SR16"/>
    <n v="0.4"/>
    <n v="1000"/>
    <n v="1980"/>
    <n v="21"/>
    <n v="0"/>
    <n v="21"/>
    <n v="-2.11"/>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11T00:00:00"/>
    <s v="ZBTO"/>
    <n v="9518421413"/>
    <n v="1"/>
    <s v="9518421413-1"/>
    <s v="No Priority"/>
    <x v="0"/>
    <m/>
    <x v="1"/>
    <x v="2"/>
    <n v="2000"/>
    <m/>
    <x v="0"/>
    <m/>
    <m/>
    <s v="Jharkhand"/>
    <s v="East"/>
    <s v="BOKARO"/>
    <s v="Sheet"/>
    <n v="185794"/>
    <s v="Shree Bajrang Steel Udyog"/>
    <n v="3239408"/>
    <s v="CRCA SHEET TATCRC SR16 0.300X900X2500"/>
    <m/>
    <m/>
    <m/>
    <m/>
    <s v="Narrow"/>
    <s v="C06"/>
    <s v="TATCRC"/>
    <s v="SR16"/>
    <n v="0.3"/>
    <n v="900"/>
    <n v="2500"/>
    <n v="74.98"/>
    <n v="37.049999999999997"/>
    <n v="37.93"/>
    <n v="-1.25"/>
    <n v="0"/>
    <n v="0"/>
    <n v="0"/>
    <n v="0"/>
    <n v="0"/>
    <n v="0"/>
    <n v="0"/>
    <n v="0"/>
    <n v="0"/>
    <n v="0"/>
    <n v="0"/>
    <n v="0"/>
    <n v="0"/>
    <n v="0"/>
    <n v="0"/>
    <n v="0"/>
    <n v="0"/>
    <n v="0"/>
    <n v="0"/>
    <n v="0"/>
    <n v="0"/>
    <n v="0"/>
    <n v="0"/>
    <n v="0"/>
    <n v="0"/>
    <m/>
    <n v="0"/>
    <n v="0"/>
    <n v="0"/>
    <n v="0"/>
    <n v="0"/>
    <n v="0"/>
    <n v="0"/>
    <n v="0"/>
    <n v="0"/>
    <n v="0"/>
    <n v="0"/>
    <n v="0"/>
    <n v="0"/>
    <n v="0"/>
    <n v="30.230000000000004"/>
    <n v="0"/>
    <n v="0"/>
    <n v="0"/>
    <n v="0"/>
    <n v="0"/>
    <n v="30.230000000000004"/>
    <m/>
    <m/>
    <m/>
    <m/>
    <m/>
    <m/>
    <m/>
    <m/>
    <s v="1"/>
    <s v="1"/>
    <s v="1"/>
    <s v="1"/>
    <s v="1"/>
    <m/>
    <m/>
    <m/>
    <m/>
    <m/>
    <m/>
    <m/>
    <m/>
    <m/>
    <m/>
    <m/>
    <m/>
    <m/>
    <m/>
  </r>
  <r>
    <n v="742"/>
    <d v="2025-01-21T00:00:00"/>
    <s v="ZBTO"/>
    <n v="9518447967"/>
    <n v="3"/>
    <s v="9518447967-3"/>
    <s v="No Priority"/>
    <x v="0"/>
    <m/>
    <x v="1"/>
    <x v="2"/>
    <n v="2000"/>
    <m/>
    <x v="0"/>
    <m/>
    <m/>
    <s v="West Bengal"/>
    <s v="East"/>
    <s v="HOWRAH"/>
    <s v="Sheet"/>
    <n v="101278"/>
    <s v="RAMESH COMPANY"/>
    <n v="3239548"/>
    <s v="CRCA SHEET TATCRC SR16 0.400X900X2500"/>
    <m/>
    <m/>
    <m/>
    <m/>
    <s v="Narrow"/>
    <s v="C06"/>
    <s v="TATCRC"/>
    <s v="SR16"/>
    <n v="0.4"/>
    <n v="900"/>
    <n v="2500"/>
    <n v="51"/>
    <n v="0"/>
    <n v="51"/>
    <n v="-13.07"/>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23T00:00:00"/>
    <s v="ZBTO"/>
    <n v="9518454228"/>
    <n v="1"/>
    <s v="9518454228-1"/>
    <s v="Stocks"/>
    <x v="0"/>
    <m/>
    <x v="1"/>
    <x v="2"/>
    <n v="2000"/>
    <m/>
    <x v="1"/>
    <m/>
    <s v="Exp BTF &lt;17MT"/>
    <s v="Maharashtra"/>
    <s v="North"/>
    <s v="NAGPUR"/>
    <s v="Sheet"/>
    <n v="103092"/>
    <s v="TEJRAM RAMNIWAS AGARWAL"/>
    <n v="3239557"/>
    <s v="CRCA SHEET TATCRC SR16 0.400X1250X2500"/>
    <m/>
    <m/>
    <m/>
    <m/>
    <s v="Wider"/>
    <s v="C06"/>
    <s v="TATCRC"/>
    <s v="SR16"/>
    <n v="0.4"/>
    <n v="1250"/>
    <n v="0"/>
    <n v="60"/>
    <n v="0"/>
    <n v="60"/>
    <n v="5.59"/>
    <n v="60"/>
    <n v="0"/>
    <n v="0"/>
    <n v="0"/>
    <n v="0"/>
    <n v="0"/>
    <n v="0"/>
    <n v="0"/>
    <n v="0"/>
    <n v="0"/>
    <n v="0"/>
    <n v="0"/>
    <n v="0"/>
    <n v="0"/>
    <n v="0"/>
    <n v="0"/>
    <n v="0"/>
    <n v="0"/>
    <n v="0"/>
    <n v="0"/>
    <n v="0"/>
    <n v="0"/>
    <n v="0"/>
    <n v="0"/>
    <n v="0"/>
    <m/>
    <n v="34.164999999999999"/>
    <n v="0"/>
    <n v="0"/>
    <n v="0"/>
    <n v="0"/>
    <n v="0"/>
    <n v="0"/>
    <n v="0"/>
    <n v="0"/>
    <n v="0"/>
    <n v="0"/>
    <n v="0"/>
    <n v="0"/>
    <n v="34.164999999999999"/>
    <n v="0"/>
    <n v="0"/>
    <n v="0"/>
    <n v="0"/>
    <n v="0"/>
    <n v="0"/>
    <n v="0"/>
    <m/>
    <m/>
    <m/>
    <m/>
    <m/>
    <m/>
    <m/>
    <m/>
    <s v="1"/>
    <s v="1"/>
    <s v="1"/>
    <s v="1"/>
    <s v="1"/>
    <m/>
    <m/>
    <m/>
    <m/>
    <m/>
    <m/>
    <m/>
    <m/>
    <m/>
    <m/>
    <m/>
    <m/>
    <m/>
    <m/>
  </r>
  <r>
    <n v="743"/>
    <d v="2025-01-25T00:00:00"/>
    <s v="ZBTO"/>
    <n v="9518461407"/>
    <n v="1"/>
    <s v="9518461407-1"/>
    <s v="No Priority"/>
    <x v="0"/>
    <m/>
    <x v="4"/>
    <x v="3"/>
    <n v="1000"/>
    <m/>
    <x v="0"/>
    <m/>
    <m/>
    <s v="Jharkhand"/>
    <s v="TBSPL"/>
    <s v="ADITYAPUR"/>
    <s v="Coil"/>
    <n v="942284"/>
    <s v="TATA BLUESCOPE STEEL PRIVATE L"/>
    <n v="3931932"/>
    <s v="GL COIL HARD  Y550GL M306 0.350X900"/>
    <m/>
    <m/>
    <m/>
    <m/>
    <s v="Narrow"/>
    <s v="B04"/>
    <s v="Y550GL"/>
    <s v="M306"/>
    <n v="0.35"/>
    <n v="900"/>
    <n v="0"/>
    <n v="21"/>
    <n v="0"/>
    <n v="21"/>
    <n v="21"/>
    <n v="21"/>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10T00:00:00"/>
    <s v="ZBTO"/>
    <n v="9518507116"/>
    <n v="2"/>
    <s v="9518507116-2"/>
    <s v="No Priority"/>
    <x v="0"/>
    <m/>
    <x v="3"/>
    <x v="9"/>
    <n v="2000"/>
    <m/>
    <x v="0"/>
    <m/>
    <m/>
    <s v="Assam"/>
    <s v="East"/>
    <s v="ABHOYAPUR"/>
    <s v="Coil"/>
    <n v="116649"/>
    <s v="SAGAR STEELS"/>
    <n v="1854380"/>
    <s v="GP COIL SOFT-TATXGP-GLK1-0.26X900"/>
    <m/>
    <m/>
    <m/>
    <m/>
    <s v="Narrow"/>
    <s v="C02"/>
    <s v="TATXGP"/>
    <s v="GLK1"/>
    <n v="0.26"/>
    <n v="900"/>
    <n v="0"/>
    <n v="63"/>
    <n v="49.94"/>
    <n v="13.06"/>
    <n v="-6.3550000000000004"/>
    <n v="0"/>
    <n v="3.05"/>
    <n v="0"/>
    <n v="0"/>
    <n v="0"/>
    <n v="0"/>
    <n v="0"/>
    <n v="0"/>
    <n v="0"/>
    <n v="0"/>
    <n v="0"/>
    <n v="0"/>
    <n v="0"/>
    <n v="0"/>
    <n v="0"/>
    <n v="0"/>
    <n v="0"/>
    <n v="0"/>
    <n v="0"/>
    <n v="0"/>
    <n v="0"/>
    <n v="0"/>
    <n v="0"/>
    <n v="0"/>
    <n v="0"/>
    <m/>
    <n v="0"/>
    <n v="0"/>
    <n v="0"/>
    <n v="0"/>
    <n v="0"/>
    <n v="0"/>
    <n v="0"/>
    <n v="0"/>
    <n v="0"/>
    <n v="0"/>
    <n v="0"/>
    <n v="0"/>
    <n v="0"/>
    <n v="0"/>
    <n v="49.94"/>
    <n v="0"/>
    <n v="0"/>
    <n v="0"/>
    <n v="0"/>
    <n v="0"/>
    <n v="49.94"/>
    <m/>
    <m/>
    <m/>
    <m/>
    <m/>
    <m/>
    <m/>
    <m/>
    <s v="1"/>
    <s v="1"/>
    <s v="1"/>
    <s v="1"/>
    <s v="1"/>
    <m/>
    <m/>
    <m/>
    <m/>
    <m/>
    <m/>
    <m/>
    <m/>
    <m/>
    <m/>
    <m/>
    <m/>
    <m/>
    <m/>
  </r>
  <r>
    <n v="743"/>
    <d v="2025-02-10T00:00:00"/>
    <s v="ZBTO"/>
    <n v="9518507131"/>
    <n v="4"/>
    <s v="9518507131-4"/>
    <s v="No Priority"/>
    <x v="0"/>
    <m/>
    <x v="3"/>
    <x v="9"/>
    <n v="2000"/>
    <m/>
    <x v="0"/>
    <m/>
    <m/>
    <s v="Assam"/>
    <s v="East"/>
    <s v="ABHOYAPUR"/>
    <s v="Coil"/>
    <n v="936511"/>
    <s v="SAGAR STEELS PROCESSING &amp; MANU"/>
    <n v="1142896"/>
    <s v="GP COIL SOFT-TATXGP-GLK1-0.55X900"/>
    <m/>
    <m/>
    <m/>
    <m/>
    <s v="Narrow"/>
    <s v="C02"/>
    <s v="TATXGP"/>
    <s v="GLK1"/>
    <n v="0.55000000000000004"/>
    <n v="900"/>
    <n v="0"/>
    <n v="21"/>
    <n v="0"/>
    <n v="21"/>
    <n v="21"/>
    <n v="0"/>
    <n v="1.57"/>
    <n v="0"/>
    <n v="0"/>
    <n v="0"/>
    <n v="0"/>
    <n v="0"/>
    <n v="0"/>
    <n v="0"/>
    <n v="0"/>
    <n v="0"/>
    <n v="0"/>
    <n v="0"/>
    <n v="0"/>
    <n v="0"/>
    <n v="0"/>
    <n v="0"/>
    <n v="0"/>
    <n v="0"/>
    <n v="0"/>
    <n v="0"/>
    <n v="0"/>
    <n v="0"/>
    <n v="21"/>
    <n v="21"/>
    <m/>
    <n v="0"/>
    <n v="0"/>
    <n v="0"/>
    <n v="0"/>
    <n v="0"/>
    <n v="0"/>
    <n v="0"/>
    <n v="0"/>
    <n v="0"/>
    <n v="0"/>
    <n v="0"/>
    <n v="0"/>
    <n v="0"/>
    <n v="0"/>
    <n v="0"/>
    <n v="0"/>
    <n v="0"/>
    <n v="0"/>
    <n v="0"/>
    <n v="0"/>
    <n v="0"/>
    <m/>
    <m/>
    <m/>
    <m/>
    <m/>
    <m/>
    <m/>
    <m/>
    <s v="1"/>
    <s v="1"/>
    <s v="1"/>
    <s v="1"/>
    <s v="1"/>
    <m/>
    <m/>
    <m/>
    <m/>
    <m/>
    <m/>
    <m/>
    <m/>
    <m/>
    <m/>
    <m/>
    <m/>
    <m/>
    <m/>
  </r>
  <r>
    <n v="742"/>
    <d v="2025-02-10T00:00:00"/>
    <s v="ZBTO"/>
    <n v="9518507185"/>
    <n v="1"/>
    <s v="9518507185-1"/>
    <s v="May'25"/>
    <x v="0"/>
    <m/>
    <x v="1"/>
    <x v="2"/>
    <n v="2000"/>
    <m/>
    <x v="1"/>
    <m/>
    <m/>
    <s v="Jharkhand"/>
    <s v="East"/>
    <s v="BOKARO"/>
    <s v="Sheet"/>
    <n v="185794"/>
    <s v="Shree Bajrang Steel Udyog"/>
    <n v="3239408"/>
    <s v="CRCA SHEET TATCRC SR16 0.300X900X2500"/>
    <m/>
    <m/>
    <m/>
    <m/>
    <s v="Narrow"/>
    <s v="C06"/>
    <s v="TATCRC"/>
    <s v="SR16"/>
    <n v="0.3"/>
    <n v="900"/>
    <n v="2500"/>
    <n v="60"/>
    <n v="0"/>
    <n v="60"/>
    <n v="0.94"/>
    <n v="0"/>
    <n v="43.854999999999997"/>
    <n v="0"/>
    <n v="0"/>
    <n v="0"/>
    <n v="0"/>
    <n v="0"/>
    <n v="0"/>
    <n v="0"/>
    <n v="0"/>
    <n v="0.19"/>
    <n v="0"/>
    <n v="0"/>
    <n v="0"/>
    <n v="0"/>
    <n v="0"/>
    <n v="19.62"/>
    <n v="0"/>
    <n v="0"/>
    <n v="0"/>
    <n v="0"/>
    <n v="19.810000000000002"/>
    <n v="19.810000000000002"/>
    <n v="0"/>
    <n v="19.810000000000002"/>
    <m/>
    <n v="0"/>
    <n v="43.854999999999997"/>
    <n v="0"/>
    <n v="0"/>
    <n v="43.854999999999997"/>
    <n v="0"/>
    <n v="0"/>
    <n v="0"/>
    <n v="0"/>
    <n v="0"/>
    <n v="0"/>
    <n v="0"/>
    <n v="0"/>
    <n v="43.854999999999997"/>
    <n v="0"/>
    <n v="0"/>
    <n v="0"/>
    <n v="0"/>
    <n v="0"/>
    <n v="0"/>
    <n v="0"/>
    <m/>
    <m/>
    <m/>
    <m/>
    <m/>
    <m/>
    <m/>
    <m/>
    <s v="1"/>
    <s v="1"/>
    <s v="0"/>
    <s v="1"/>
    <s v="1"/>
    <m/>
    <m/>
    <m/>
    <m/>
    <m/>
    <m/>
    <m/>
    <m/>
    <m/>
    <m/>
    <m/>
    <m/>
    <m/>
    <m/>
  </r>
  <r>
    <n v="742"/>
    <d v="2025-02-10T00:00:00"/>
    <s v="ZBTO"/>
    <n v="9518507185"/>
    <n v="2"/>
    <s v="9518507185-2"/>
    <s v="No Priority"/>
    <x v="0"/>
    <m/>
    <x v="1"/>
    <x v="2"/>
    <n v="2000"/>
    <m/>
    <x v="0"/>
    <m/>
    <s v="Exp BTF &lt;17MT"/>
    <s v="Jharkhand"/>
    <s v="East"/>
    <s v="BOKARO"/>
    <s v="Sheet"/>
    <n v="185794"/>
    <s v="Shree Bajrang Steel Udyog"/>
    <n v="3239536"/>
    <s v="CRCA SHEET TATCRC SR16 0.350X900X2500"/>
    <m/>
    <m/>
    <m/>
    <m/>
    <s v="Narrow"/>
    <s v="C06"/>
    <s v="TATCRC"/>
    <s v="SR16"/>
    <n v="0.35"/>
    <n v="900"/>
    <n v="2500"/>
    <n v="59.99"/>
    <n v="56.064999999999998"/>
    <n v="3.9249999999999998"/>
    <n v="3.9249999999999998"/>
    <n v="3.9249999999999998"/>
    <n v="3.9249999999999998"/>
    <n v="0"/>
    <n v="0"/>
    <n v="0"/>
    <n v="0"/>
    <n v="0"/>
    <n v="0"/>
    <n v="0"/>
    <n v="0"/>
    <n v="0"/>
    <n v="0"/>
    <n v="0"/>
    <n v="0"/>
    <n v="0"/>
    <n v="0"/>
    <n v="0"/>
    <n v="0"/>
    <n v="0"/>
    <n v="0"/>
    <n v="0"/>
    <n v="0"/>
    <n v="0"/>
    <n v="0"/>
    <n v="0"/>
    <m/>
    <n v="0"/>
    <n v="0"/>
    <n v="0"/>
    <n v="0"/>
    <n v="0"/>
    <n v="0"/>
    <n v="0"/>
    <n v="0"/>
    <n v="0"/>
    <n v="0"/>
    <n v="0"/>
    <n v="0"/>
    <n v="0"/>
    <n v="0"/>
    <n v="56.065000000000005"/>
    <n v="0"/>
    <n v="0"/>
    <n v="0"/>
    <n v="0"/>
    <n v="0"/>
    <n v="56.065000000000005"/>
    <m/>
    <m/>
    <m/>
    <m/>
    <m/>
    <m/>
    <m/>
    <m/>
    <s v="1"/>
    <s v="1"/>
    <s v="1"/>
    <s v="1"/>
    <s v="1"/>
    <m/>
    <m/>
    <m/>
    <m/>
    <m/>
    <m/>
    <m/>
    <m/>
    <m/>
    <m/>
    <m/>
    <m/>
    <m/>
    <m/>
  </r>
  <r>
    <n v="742"/>
    <d v="2025-02-10T00:00:00"/>
    <s v="ZBTO"/>
    <n v="9518507185"/>
    <n v="3"/>
    <s v="9518507185-3"/>
    <s v="May'25"/>
    <x v="0"/>
    <m/>
    <x v="1"/>
    <x v="2"/>
    <n v="2000"/>
    <m/>
    <x v="1"/>
    <m/>
    <m/>
    <s v="Jharkhand"/>
    <s v="East"/>
    <s v="BOKARO"/>
    <s v="Sheet"/>
    <n v="185794"/>
    <s v="Shree Bajrang Steel Udyog"/>
    <n v="3239542"/>
    <s v="CRCA SHEET TATCRC SR16 0.350X1000X2500"/>
    <m/>
    <m/>
    <m/>
    <m/>
    <s v="Narrow"/>
    <s v="C06"/>
    <s v="TATCRC"/>
    <s v="SR16"/>
    <n v="0.35"/>
    <n v="1000"/>
    <n v="2500"/>
    <n v="21"/>
    <n v="0"/>
    <n v="21"/>
    <n v="-2.16"/>
    <n v="0"/>
    <n v="21"/>
    <n v="0"/>
    <n v="0"/>
    <n v="0"/>
    <n v="0"/>
    <n v="0"/>
    <n v="0"/>
    <n v="0"/>
    <n v="0"/>
    <n v="0"/>
    <n v="0"/>
    <n v="0"/>
    <n v="0"/>
    <n v="0"/>
    <n v="22.34"/>
    <n v="0"/>
    <n v="0"/>
    <n v="0"/>
    <n v="0"/>
    <n v="0"/>
    <n v="22.34"/>
    <n v="22.34"/>
    <n v="0"/>
    <n v="22.34"/>
    <m/>
    <n v="0"/>
    <n v="21"/>
    <n v="0"/>
    <n v="21"/>
    <n v="0"/>
    <n v="0"/>
    <n v="0"/>
    <n v="21"/>
    <n v="0"/>
    <n v="21"/>
    <n v="0"/>
    <n v="0"/>
    <n v="0"/>
    <n v="0"/>
    <n v="0"/>
    <n v="0"/>
    <n v="0"/>
    <n v="0"/>
    <n v="0"/>
    <n v="0"/>
    <n v="0"/>
    <m/>
    <m/>
    <m/>
    <m/>
    <m/>
    <m/>
    <m/>
    <m/>
    <s v="1"/>
    <s v="0"/>
    <s v="1"/>
    <s v="1"/>
    <s v="1"/>
    <m/>
    <m/>
    <m/>
    <m/>
    <m/>
    <m/>
    <m/>
    <m/>
    <m/>
    <m/>
    <m/>
    <m/>
    <m/>
    <m/>
  </r>
  <r>
    <n v="742"/>
    <d v="2025-02-10T00:00:00"/>
    <s v="ZBTO"/>
    <n v="9518507185"/>
    <n v="4"/>
    <s v="9518507185-4"/>
    <s v="May'25"/>
    <x v="0"/>
    <m/>
    <x v="1"/>
    <x v="2"/>
    <n v="2000"/>
    <m/>
    <x v="1"/>
    <m/>
    <m/>
    <s v="Jharkhand"/>
    <s v="East"/>
    <s v="BOKARO"/>
    <s v="Sheet"/>
    <n v="185794"/>
    <s v="Shree Bajrang Steel Udyog"/>
    <n v="3239548"/>
    <s v="CRCA SHEET TATCRC SR16 0.400X900X2500"/>
    <m/>
    <m/>
    <m/>
    <m/>
    <s v="Narrow"/>
    <s v="C06"/>
    <s v="TATCRC"/>
    <s v="SR16"/>
    <n v="0.4"/>
    <n v="900"/>
    <n v="2500"/>
    <n v="30"/>
    <n v="0"/>
    <n v="30"/>
    <n v="-13.25"/>
    <n v="0"/>
    <n v="30"/>
    <n v="0"/>
    <n v="0"/>
    <n v="0"/>
    <n v="0"/>
    <n v="0"/>
    <n v="0"/>
    <n v="0"/>
    <n v="0"/>
    <n v="20.355"/>
    <n v="0"/>
    <n v="0"/>
    <n v="0"/>
    <n v="0"/>
    <n v="21.26"/>
    <n v="0"/>
    <n v="0"/>
    <n v="0"/>
    <n v="0"/>
    <n v="0"/>
    <n v="41.615000000000002"/>
    <n v="41.615000000000002"/>
    <n v="0"/>
    <n v="41.615000000000002"/>
    <m/>
    <n v="8.4750000000000014"/>
    <n v="30"/>
    <n v="30"/>
    <n v="0"/>
    <n v="0"/>
    <n v="0"/>
    <n v="0"/>
    <n v="0"/>
    <n v="0"/>
    <n v="0"/>
    <n v="0"/>
    <n v="0"/>
    <n v="0"/>
    <n v="38.475000000000001"/>
    <n v="0"/>
    <n v="0"/>
    <n v="0"/>
    <n v="0"/>
    <n v="0"/>
    <n v="0"/>
    <n v="0"/>
    <m/>
    <m/>
    <m/>
    <m/>
    <m/>
    <m/>
    <m/>
    <m/>
    <s v="0"/>
    <s v="1"/>
    <s v="1"/>
    <s v="1"/>
    <s v="1"/>
    <m/>
    <m/>
    <m/>
    <m/>
    <m/>
    <m/>
    <m/>
    <m/>
    <m/>
    <m/>
    <m/>
    <m/>
    <m/>
    <m/>
  </r>
  <r>
    <n v="742"/>
    <d v="2025-02-10T00:00:00"/>
    <s v="ZBTO"/>
    <n v="9518507185"/>
    <n v="5"/>
    <s v="9518507185-5"/>
    <s v="No Priority"/>
    <x v="0"/>
    <m/>
    <x v="1"/>
    <x v="2"/>
    <n v="2000"/>
    <m/>
    <x v="0"/>
    <m/>
    <m/>
    <s v="Jharkhand"/>
    <s v="East"/>
    <s v="BOKARO"/>
    <s v="Sheet"/>
    <n v="185794"/>
    <s v="Shree Bajrang Steel Udyog"/>
    <n v="3239557"/>
    <s v="CRCA SHEET TATCRC SR16 0.400X1250X2500"/>
    <m/>
    <m/>
    <m/>
    <m/>
    <s v="Wider"/>
    <s v="C06"/>
    <s v="TATCRC"/>
    <s v="SR16"/>
    <n v="0.4"/>
    <n v="1250"/>
    <n v="0"/>
    <n v="30"/>
    <n v="0"/>
    <n v="30"/>
    <n v="2.79"/>
    <n v="0"/>
    <n v="4.2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0T00:00:00"/>
    <s v="ZBTO"/>
    <n v="9518507657"/>
    <n v="4"/>
    <s v="9518507657-4"/>
    <s v="Apr'25 "/>
    <x v="0"/>
    <m/>
    <x v="1"/>
    <x v="2"/>
    <n v="2000"/>
    <m/>
    <x v="1"/>
    <m/>
    <m/>
    <s v="Assam"/>
    <s v="East"/>
    <s v="ABHOYAPUR"/>
    <s v="Coil"/>
    <n v="116649"/>
    <s v="SAGAR STEELS"/>
    <n v="3516003"/>
    <s v="CR COIL TSBCRC SR25 0.600X1000"/>
    <m/>
    <m/>
    <m/>
    <m/>
    <s v="Narrow"/>
    <s v="C01"/>
    <s v="TSBCRC"/>
    <s v="SR25"/>
    <n v="0.6"/>
    <n v="1000"/>
    <n v="0"/>
    <n v="46"/>
    <n v="0"/>
    <n v="46"/>
    <n v="46"/>
    <n v="23.77"/>
    <n v="25.055"/>
    <n v="0"/>
    <n v="0"/>
    <n v="0"/>
    <n v="0"/>
    <n v="0"/>
    <n v="0"/>
    <n v="0"/>
    <n v="0"/>
    <n v="0"/>
    <n v="0"/>
    <n v="0"/>
    <n v="0"/>
    <n v="0"/>
    <n v="22.23"/>
    <n v="0"/>
    <n v="0"/>
    <n v="0"/>
    <n v="0"/>
    <n v="0"/>
    <n v="22.23"/>
    <n v="22.23"/>
    <n v="0"/>
    <n v="22.23"/>
    <m/>
    <n v="20.945"/>
    <n v="25.055"/>
    <n v="0"/>
    <n v="25.055"/>
    <n v="0"/>
    <n v="0"/>
    <n v="0"/>
    <n v="25.055"/>
    <n v="0"/>
    <n v="25.055"/>
    <n v="0"/>
    <n v="0"/>
    <n v="0"/>
    <n v="20.945"/>
    <n v="0"/>
    <n v="0"/>
    <n v="0"/>
    <n v="0"/>
    <n v="0"/>
    <n v="0"/>
    <n v="0"/>
    <m/>
    <m/>
    <m/>
    <m/>
    <m/>
    <m/>
    <m/>
    <m/>
    <s v="1"/>
    <s v="0"/>
    <s v="1"/>
    <s v="1"/>
    <s v="1"/>
    <m/>
    <m/>
    <m/>
    <m/>
    <m/>
    <m/>
    <m/>
    <m/>
    <m/>
    <m/>
    <m/>
    <m/>
    <m/>
    <m/>
  </r>
  <r>
    <n v="742"/>
    <d v="2025-02-10T00:00:00"/>
    <s v="ZBTO"/>
    <n v="9518507657"/>
    <n v="5"/>
    <s v="9518507657-5"/>
    <s v="Apr'25 "/>
    <x v="0"/>
    <m/>
    <x v="1"/>
    <x v="2"/>
    <n v="2000"/>
    <m/>
    <x v="1"/>
    <m/>
    <m/>
    <s v="Assam"/>
    <s v="East"/>
    <s v="ABHOYAPUR"/>
    <s v="Coil"/>
    <n v="116649"/>
    <s v="SAGAR STEELS"/>
    <n v="3241808"/>
    <s v="CR COIL TATCRC SR26 0.400X1250"/>
    <m/>
    <m/>
    <m/>
    <m/>
    <s v="Wider"/>
    <s v="C01"/>
    <s v="TATCRC"/>
    <s v="SR26"/>
    <n v="0.4"/>
    <n v="1250"/>
    <n v="0"/>
    <n v="58"/>
    <n v="0"/>
    <n v="58"/>
    <n v="58"/>
    <n v="58"/>
    <n v="58"/>
    <n v="0"/>
    <n v="0"/>
    <n v="0"/>
    <n v="0"/>
    <n v="0"/>
    <n v="0"/>
    <n v="0"/>
    <n v="0"/>
    <n v="0"/>
    <n v="0"/>
    <n v="0"/>
    <n v="0"/>
    <n v="0"/>
    <n v="0"/>
    <n v="0"/>
    <n v="0"/>
    <n v="0"/>
    <n v="0"/>
    <n v="0"/>
    <n v="0"/>
    <n v="0"/>
    <n v="0"/>
    <n v="0"/>
    <m/>
    <n v="0"/>
    <n v="58"/>
    <n v="0"/>
    <n v="0"/>
    <n v="0"/>
    <n v="58"/>
    <n v="0"/>
    <n v="0"/>
    <n v="0"/>
    <n v="0"/>
    <n v="0"/>
    <n v="0"/>
    <n v="0"/>
    <n v="58"/>
    <n v="0"/>
    <n v="0"/>
    <n v="0"/>
    <n v="0"/>
    <n v="0"/>
    <n v="0"/>
    <n v="0"/>
    <m/>
    <m/>
    <m/>
    <m/>
    <m/>
    <m/>
    <m/>
    <m/>
    <s v="1"/>
    <s v="1"/>
    <s v="1"/>
    <s v="0"/>
    <s v="1"/>
    <m/>
    <m/>
    <m/>
    <m/>
    <m/>
    <m/>
    <m/>
    <m/>
    <m/>
    <m/>
    <m/>
    <m/>
    <m/>
    <m/>
  </r>
  <r>
    <n v="742"/>
    <d v="2025-02-10T00:00:00"/>
    <s v="ZBTO"/>
    <n v="9518507657"/>
    <n v="6"/>
    <s v="9518507657-6"/>
    <s v="Apr'25 "/>
    <x v="0"/>
    <m/>
    <x v="1"/>
    <x v="2"/>
    <n v="2000"/>
    <m/>
    <x v="1"/>
    <m/>
    <m/>
    <s v="Assam"/>
    <s v="East"/>
    <s v="ABHOYAPUR"/>
    <s v="Coil"/>
    <n v="116649"/>
    <s v="SAGAR STEELS"/>
    <n v="3241804"/>
    <s v="CR COIL TATCRC SR26 0.350X1000"/>
    <m/>
    <m/>
    <m/>
    <m/>
    <s v="Narrow"/>
    <s v="C01"/>
    <s v="TATCRC"/>
    <s v="SR26"/>
    <n v="0.35"/>
    <n v="1000"/>
    <n v="0"/>
    <n v="23"/>
    <n v="0"/>
    <n v="23"/>
    <n v="23"/>
    <n v="23"/>
    <n v="23"/>
    <n v="0"/>
    <n v="0"/>
    <n v="0"/>
    <n v="0"/>
    <n v="0"/>
    <n v="0"/>
    <n v="0"/>
    <n v="0"/>
    <n v="0"/>
    <n v="0"/>
    <n v="0"/>
    <n v="0"/>
    <n v="0"/>
    <n v="0"/>
    <n v="0"/>
    <n v="0"/>
    <n v="0"/>
    <n v="0"/>
    <n v="0"/>
    <n v="0"/>
    <n v="0"/>
    <n v="0"/>
    <n v="0"/>
    <m/>
    <n v="0"/>
    <n v="23"/>
    <n v="0"/>
    <n v="0"/>
    <n v="0"/>
    <n v="23"/>
    <n v="0"/>
    <n v="0"/>
    <n v="0"/>
    <n v="0"/>
    <n v="0"/>
    <n v="0"/>
    <n v="0"/>
    <n v="23"/>
    <n v="0"/>
    <n v="0"/>
    <n v="0"/>
    <n v="0"/>
    <n v="0"/>
    <n v="0"/>
    <n v="0"/>
    <m/>
    <m/>
    <m/>
    <m/>
    <m/>
    <m/>
    <m/>
    <m/>
    <s v="1"/>
    <s v="1"/>
    <s v="1"/>
    <s v="0"/>
    <s v="1"/>
    <m/>
    <m/>
    <m/>
    <m/>
    <m/>
    <m/>
    <m/>
    <m/>
    <m/>
    <m/>
    <m/>
    <m/>
    <m/>
    <m/>
  </r>
  <r>
    <n v="742"/>
    <d v="2025-02-10T00:00:00"/>
    <s v="ZBTO"/>
    <n v="9518507657"/>
    <n v="7"/>
    <s v="9518507657-7"/>
    <s v="May'25"/>
    <x v="0"/>
    <m/>
    <x v="1"/>
    <x v="2"/>
    <n v="2000"/>
    <m/>
    <x v="1"/>
    <m/>
    <m/>
    <s v="Assam"/>
    <s v="East"/>
    <s v="ABHOYAPUR"/>
    <s v="Sheet"/>
    <n v="116649"/>
    <s v="SAGAR STEELS"/>
    <n v="3239557"/>
    <s v="CRCA SHEET TATCRC SR16 0.400X1250X2500"/>
    <m/>
    <m/>
    <m/>
    <m/>
    <s v="Wider"/>
    <s v="C06"/>
    <s v="TATCRC"/>
    <s v="SR16"/>
    <n v="0.4"/>
    <n v="1250"/>
    <n v="0"/>
    <n v="54"/>
    <n v="0"/>
    <n v="54"/>
    <n v="-0.95"/>
    <n v="0"/>
    <n v="19.850000000000001"/>
    <n v="0"/>
    <n v="0"/>
    <n v="0"/>
    <n v="0"/>
    <n v="0"/>
    <n v="0"/>
    <n v="0"/>
    <n v="0"/>
    <n v="0"/>
    <n v="0"/>
    <n v="0"/>
    <n v="0"/>
    <n v="0"/>
    <n v="24.035"/>
    <n v="0"/>
    <n v="0"/>
    <n v="0"/>
    <n v="0"/>
    <n v="0"/>
    <n v="24.035"/>
    <n v="24.035"/>
    <n v="0"/>
    <n v="24.035"/>
    <m/>
    <n v="5.7750000000000004"/>
    <n v="19.850000000000001"/>
    <n v="0"/>
    <n v="19.850000000000001"/>
    <n v="0"/>
    <n v="0"/>
    <n v="0"/>
    <n v="19.850000000000001"/>
    <n v="0"/>
    <n v="19.850000000000001"/>
    <n v="0"/>
    <n v="0"/>
    <n v="0"/>
    <n v="5.7749999999999986"/>
    <n v="0"/>
    <n v="0"/>
    <n v="0"/>
    <n v="0"/>
    <n v="0"/>
    <n v="0"/>
    <n v="0"/>
    <m/>
    <m/>
    <m/>
    <m/>
    <m/>
    <m/>
    <m/>
    <m/>
    <s v="1"/>
    <s v="0"/>
    <s v="1"/>
    <s v="1"/>
    <s v="1"/>
    <m/>
    <m/>
    <m/>
    <m/>
    <m/>
    <m/>
    <m/>
    <m/>
    <m/>
    <m/>
    <m/>
    <m/>
    <m/>
    <m/>
  </r>
  <r>
    <n v="742"/>
    <d v="2025-02-14T00:00:00"/>
    <s v="ZBTO"/>
    <n v="9518519567"/>
    <n v="1"/>
    <s v="9518519567-1"/>
    <s v="Apr'25 "/>
    <x v="0"/>
    <m/>
    <x v="1"/>
    <x v="2"/>
    <n v="2000"/>
    <m/>
    <x v="1"/>
    <m/>
    <m/>
    <s v="West Bengal"/>
    <s v="East"/>
    <s v="HOWRAH"/>
    <s v="Sheet"/>
    <n v="925093"/>
    <s v="PSPL STEEL PROCESSORS PRIVATE"/>
    <n v="3239408"/>
    <s v="CRCA SHEET TATCRC SR16 0.300X900X2500"/>
    <m/>
    <m/>
    <m/>
    <m/>
    <s v="Narrow"/>
    <s v="C06"/>
    <s v="TATCRC"/>
    <s v="SR16"/>
    <n v="0.3"/>
    <n v="900"/>
    <n v="2500"/>
    <n v="48"/>
    <n v="0"/>
    <n v="48"/>
    <n v="48"/>
    <n v="25.86"/>
    <n v="48"/>
    <n v="0"/>
    <n v="0"/>
    <n v="0"/>
    <n v="0"/>
    <n v="0"/>
    <n v="0"/>
    <n v="0"/>
    <n v="0"/>
    <n v="0"/>
    <n v="0"/>
    <n v="0"/>
    <n v="0"/>
    <n v="0"/>
    <n v="0"/>
    <n v="0"/>
    <n v="0"/>
    <n v="22.14"/>
    <n v="0"/>
    <n v="0"/>
    <n v="22.14"/>
    <n v="22.14"/>
    <n v="0"/>
    <n v="22.14"/>
    <m/>
    <n v="0"/>
    <n v="48"/>
    <n v="0"/>
    <n v="0"/>
    <n v="48"/>
    <n v="0"/>
    <n v="0"/>
    <n v="0"/>
    <n v="0"/>
    <n v="0"/>
    <n v="0"/>
    <n v="0"/>
    <n v="0"/>
    <n v="48"/>
    <n v="0"/>
    <n v="0"/>
    <n v="0"/>
    <n v="0"/>
    <n v="0"/>
    <n v="0"/>
    <n v="0"/>
    <m/>
    <m/>
    <m/>
    <m/>
    <m/>
    <m/>
    <m/>
    <m/>
    <s v="1"/>
    <s v="1"/>
    <s v="0"/>
    <s v="1"/>
    <s v="1"/>
    <m/>
    <m/>
    <m/>
    <m/>
    <m/>
    <m/>
    <m/>
    <m/>
    <m/>
    <m/>
    <m/>
    <m/>
    <m/>
    <m/>
  </r>
  <r>
    <n v="742"/>
    <d v="2025-02-14T00:00:00"/>
    <s v="ZBTO"/>
    <n v="9518519644"/>
    <n v="1"/>
    <s v="9518519644-1"/>
    <s v="No Priority"/>
    <x v="0"/>
    <m/>
    <x v="1"/>
    <x v="2"/>
    <n v="2000"/>
    <m/>
    <x v="0"/>
    <m/>
    <m/>
    <s v="Bihar"/>
    <s v="East"/>
    <s v="PATNA CITY"/>
    <s v="Sheet"/>
    <n v="103227"/>
    <s v="BMW VENTURES LIMITED"/>
    <n v="3239408"/>
    <s v="CRCA SHEET TATCRC SR16 0.300X900X2500"/>
    <m/>
    <m/>
    <m/>
    <m/>
    <s v="Narrow"/>
    <s v="C06"/>
    <s v="TATCRC"/>
    <s v="SR16"/>
    <n v="0.3"/>
    <n v="900"/>
    <n v="2500"/>
    <n v="51"/>
    <n v="50.58"/>
    <n v="0.42"/>
    <n v="-1.08"/>
    <n v="0"/>
    <n v="0.42"/>
    <n v="0"/>
    <n v="0"/>
    <n v="0"/>
    <n v="0"/>
    <n v="0"/>
    <n v="0"/>
    <n v="0"/>
    <n v="0"/>
    <n v="0"/>
    <n v="0"/>
    <n v="0"/>
    <n v="0"/>
    <n v="0"/>
    <n v="0"/>
    <n v="0"/>
    <n v="0"/>
    <n v="0"/>
    <n v="0"/>
    <n v="0"/>
    <n v="0"/>
    <n v="0"/>
    <n v="0"/>
    <n v="0"/>
    <m/>
    <n v="0"/>
    <n v="0"/>
    <n v="0"/>
    <n v="0"/>
    <n v="0"/>
    <n v="0"/>
    <n v="0"/>
    <n v="0"/>
    <n v="0"/>
    <n v="0"/>
    <n v="0"/>
    <n v="0"/>
    <n v="0"/>
    <n v="0"/>
    <n v="35.915000000000006"/>
    <n v="0"/>
    <n v="0"/>
    <n v="0"/>
    <n v="0"/>
    <n v="0"/>
    <n v="35.915000000000006"/>
    <m/>
    <m/>
    <m/>
    <m/>
    <m/>
    <m/>
    <m/>
    <m/>
    <s v="1"/>
    <s v="1"/>
    <s v="1"/>
    <s v="1"/>
    <s v="1"/>
    <m/>
    <m/>
    <m/>
    <m/>
    <m/>
    <m/>
    <m/>
    <m/>
    <m/>
    <m/>
    <m/>
    <m/>
    <m/>
    <m/>
  </r>
  <r>
    <n v="742"/>
    <d v="2025-02-14T00:00:00"/>
    <s v="ZBTO"/>
    <n v="9518519644"/>
    <n v="5"/>
    <s v="9518519644-5"/>
    <s v="May'25"/>
    <x v="0"/>
    <m/>
    <x v="1"/>
    <x v="2"/>
    <n v="2000"/>
    <m/>
    <x v="1"/>
    <m/>
    <s v="Exp BTF &lt;17MT"/>
    <s v="Bihar"/>
    <s v="East"/>
    <s v="PATNA CITY"/>
    <s v="Sheet"/>
    <n v="103227"/>
    <s v="BMW VENTURES LIMITED"/>
    <n v="3239542"/>
    <s v="CRCA SHEET TATCRC SR16 0.350X1000X2500"/>
    <m/>
    <m/>
    <m/>
    <m/>
    <s v="Narrow"/>
    <s v="C06"/>
    <s v="TATCRC"/>
    <s v="SR16"/>
    <n v="0.35"/>
    <n v="1000"/>
    <n v="2500"/>
    <n v="51"/>
    <n v="0"/>
    <n v="51"/>
    <n v="5.01"/>
    <n v="6.5"/>
    <n v="51"/>
    <n v="0"/>
    <n v="0"/>
    <n v="0"/>
    <n v="0"/>
    <n v="0"/>
    <n v="0"/>
    <n v="0"/>
    <n v="0"/>
    <n v="0"/>
    <n v="0"/>
    <n v="0"/>
    <n v="0"/>
    <n v="0"/>
    <n v="22.28"/>
    <n v="22.22"/>
    <n v="0"/>
    <n v="0"/>
    <n v="0"/>
    <n v="0"/>
    <n v="44.5"/>
    <n v="44.5"/>
    <n v="0"/>
    <n v="44.5"/>
    <m/>
    <n v="0"/>
    <n v="51"/>
    <n v="0"/>
    <n v="51"/>
    <n v="0"/>
    <n v="0"/>
    <n v="0"/>
    <n v="51"/>
    <n v="0"/>
    <n v="51"/>
    <n v="0"/>
    <n v="0"/>
    <n v="0"/>
    <n v="0"/>
    <n v="0"/>
    <n v="0"/>
    <n v="0"/>
    <n v="0"/>
    <n v="0"/>
    <n v="0"/>
    <n v="0"/>
    <m/>
    <m/>
    <m/>
    <m/>
    <m/>
    <m/>
    <m/>
    <m/>
    <s v="1"/>
    <s v="0"/>
    <s v="1"/>
    <s v="1"/>
    <s v="1"/>
    <m/>
    <m/>
    <m/>
    <m/>
    <m/>
    <m/>
    <m/>
    <m/>
    <m/>
    <m/>
    <m/>
    <m/>
    <m/>
    <m/>
  </r>
  <r>
    <n v="742"/>
    <d v="2025-02-14T00:00:00"/>
    <s v="ZBTO"/>
    <n v="9518519644"/>
    <n v="6"/>
    <s v="9518519644-6"/>
    <s v="Apr'25 "/>
    <x v="0"/>
    <m/>
    <x v="1"/>
    <x v="2"/>
    <n v="2000"/>
    <m/>
    <x v="1"/>
    <m/>
    <m/>
    <s v="Bihar"/>
    <s v="East"/>
    <s v="PATNA CITY"/>
    <s v="Sheet"/>
    <n v="103227"/>
    <s v="BMW VENTURES LIMITED"/>
    <n v="3239554"/>
    <s v="CRCA SHEET TATCRC SR16 0.400X1000X2500"/>
    <m/>
    <m/>
    <m/>
    <m/>
    <s v="Narrow"/>
    <s v="C06"/>
    <s v="TATCRC"/>
    <s v="SR16"/>
    <n v="0.4"/>
    <n v="1000"/>
    <n v="2500"/>
    <n v="36"/>
    <n v="0"/>
    <n v="36"/>
    <n v="12.83"/>
    <n v="13.7"/>
    <n v="36"/>
    <n v="0"/>
    <n v="0"/>
    <n v="0"/>
    <n v="0"/>
    <n v="0"/>
    <n v="0"/>
    <n v="0"/>
    <n v="0"/>
    <n v="0"/>
    <n v="0"/>
    <n v="0"/>
    <n v="0"/>
    <n v="0"/>
    <n v="0"/>
    <n v="22.3"/>
    <n v="0"/>
    <n v="0"/>
    <n v="0"/>
    <n v="0"/>
    <n v="22.3"/>
    <n v="22.3"/>
    <n v="0"/>
    <n v="22.3"/>
    <m/>
    <n v="0"/>
    <n v="36"/>
    <n v="0"/>
    <n v="0"/>
    <n v="36"/>
    <n v="0"/>
    <n v="0"/>
    <n v="0"/>
    <n v="0"/>
    <n v="0"/>
    <n v="0"/>
    <n v="0"/>
    <n v="0"/>
    <n v="36"/>
    <n v="0"/>
    <n v="0"/>
    <n v="0"/>
    <n v="0"/>
    <n v="0"/>
    <n v="0"/>
    <n v="0"/>
    <m/>
    <m/>
    <m/>
    <m/>
    <m/>
    <m/>
    <m/>
    <m/>
    <s v="1"/>
    <s v="1"/>
    <s v="0"/>
    <s v="1"/>
    <s v="1"/>
    <m/>
    <m/>
    <m/>
    <m/>
    <m/>
    <m/>
    <m/>
    <m/>
    <m/>
    <m/>
    <m/>
    <m/>
    <m/>
    <m/>
  </r>
  <r>
    <n v="742"/>
    <d v="2025-02-14T00:00:00"/>
    <s v="ZBTO"/>
    <n v="9518520213"/>
    <n v="2"/>
    <s v="9518520213-2"/>
    <s v="No Priority"/>
    <x v="0"/>
    <m/>
    <x v="1"/>
    <x v="2"/>
    <n v="2000"/>
    <m/>
    <x v="0"/>
    <m/>
    <m/>
    <s v="Bihar"/>
    <s v="East"/>
    <s v="PURNEA JN."/>
    <s v="Sheet"/>
    <n v="103227"/>
    <s v="BMW VENTURES LIMITED"/>
    <n v="2440959"/>
    <s v="CRCA SHEET TATCRC SR16 0.330X900X2500"/>
    <m/>
    <m/>
    <m/>
    <m/>
    <s v="Narrow"/>
    <s v="C06"/>
    <s v="TATCRC"/>
    <s v="SR16"/>
    <n v="0.33"/>
    <n v="900"/>
    <n v="2500"/>
    <n v="51"/>
    <n v="0"/>
    <n v="51"/>
    <n v="51"/>
    <n v="0"/>
    <n v="51"/>
    <n v="0"/>
    <n v="0"/>
    <n v="0"/>
    <n v="0"/>
    <n v="0"/>
    <n v="0"/>
    <n v="0"/>
    <n v="0"/>
    <n v="0"/>
    <n v="0"/>
    <n v="0"/>
    <n v="0"/>
    <n v="0"/>
    <n v="0"/>
    <n v="0"/>
    <n v="0"/>
    <n v="66.27"/>
    <n v="0"/>
    <n v="0"/>
    <n v="66.27"/>
    <n v="66.27"/>
    <n v="0"/>
    <n v="66.27"/>
    <m/>
    <n v="0"/>
    <n v="0"/>
    <n v="0"/>
    <n v="0"/>
    <n v="0"/>
    <n v="0"/>
    <n v="0"/>
    <n v="0"/>
    <n v="0"/>
    <n v="0"/>
    <n v="0"/>
    <n v="0"/>
    <n v="0"/>
    <n v="0"/>
    <n v="0"/>
    <n v="0"/>
    <n v="0"/>
    <n v="0"/>
    <n v="0"/>
    <n v="0"/>
    <n v="0"/>
    <m/>
    <m/>
    <m/>
    <m/>
    <m/>
    <m/>
    <m/>
    <m/>
    <s v="1"/>
    <s v="1"/>
    <s v="1"/>
    <s v="1"/>
    <s v="1"/>
    <m/>
    <m/>
    <m/>
    <m/>
    <m/>
    <m/>
    <m/>
    <m/>
    <m/>
    <m/>
    <m/>
    <m/>
    <m/>
    <m/>
  </r>
  <r>
    <n v="742"/>
    <d v="2025-02-14T00:00:00"/>
    <s v="ZBTO"/>
    <n v="9518520213"/>
    <n v="4"/>
    <s v="9518520213-4"/>
    <s v="May'25"/>
    <x v="0"/>
    <m/>
    <x v="1"/>
    <x v="2"/>
    <n v="2000"/>
    <m/>
    <x v="1"/>
    <m/>
    <m/>
    <s v="Bihar"/>
    <s v="East"/>
    <s v="PURNEA JN."/>
    <s v="Sheet"/>
    <n v="103227"/>
    <s v="BMW VENTURES LIMITED"/>
    <n v="3239536"/>
    <s v="CRCA SHEET TATCRC SR16 0.350X900X2500"/>
    <m/>
    <m/>
    <m/>
    <m/>
    <s v="Narrow"/>
    <s v="C06"/>
    <s v="TATCRC"/>
    <s v="SR16"/>
    <n v="0.35"/>
    <n v="900"/>
    <n v="2500"/>
    <n v="51"/>
    <n v="0"/>
    <n v="51"/>
    <n v="-13.7"/>
    <n v="0"/>
    <n v="51"/>
    <n v="0"/>
    <n v="0"/>
    <n v="0"/>
    <n v="0"/>
    <n v="0"/>
    <n v="0"/>
    <n v="0"/>
    <n v="0"/>
    <n v="0"/>
    <n v="0"/>
    <n v="0"/>
    <n v="0"/>
    <n v="0"/>
    <n v="21.29"/>
    <n v="42.69"/>
    <n v="0"/>
    <n v="0"/>
    <n v="0"/>
    <n v="0"/>
    <n v="63.98"/>
    <n v="63.98"/>
    <n v="0"/>
    <n v="63.98"/>
    <m/>
    <n v="0"/>
    <n v="51"/>
    <n v="0"/>
    <n v="51"/>
    <n v="0"/>
    <n v="0"/>
    <n v="0"/>
    <n v="51"/>
    <n v="0"/>
    <n v="51"/>
    <n v="0"/>
    <n v="0"/>
    <n v="0"/>
    <n v="0"/>
    <n v="0"/>
    <n v="0"/>
    <n v="0"/>
    <n v="0"/>
    <n v="0"/>
    <n v="0"/>
    <n v="0"/>
    <m/>
    <m/>
    <m/>
    <m/>
    <m/>
    <m/>
    <m/>
    <m/>
    <s v="1"/>
    <s v="0"/>
    <s v="1"/>
    <s v="1"/>
    <s v="1"/>
    <m/>
    <m/>
    <m/>
    <m/>
    <m/>
    <m/>
    <m/>
    <m/>
    <m/>
    <m/>
    <m/>
    <m/>
    <m/>
    <m/>
  </r>
  <r>
    <n v="742"/>
    <d v="2025-02-14T00:00:00"/>
    <s v="ZBTO"/>
    <n v="9518520213"/>
    <n v="5"/>
    <s v="9518520213-5"/>
    <s v="May'25"/>
    <x v="0"/>
    <m/>
    <x v="1"/>
    <x v="2"/>
    <n v="2000"/>
    <m/>
    <x v="1"/>
    <m/>
    <s v="Exp BTF &lt;17MT"/>
    <s v="Bihar"/>
    <s v="East"/>
    <s v="PURNEA JN."/>
    <s v="Sheet"/>
    <n v="103227"/>
    <s v="BMW VENTURES LIMITED"/>
    <n v="3239542"/>
    <s v="CRCA SHEET TATCRC SR16 0.350X1000X2500"/>
    <m/>
    <m/>
    <m/>
    <m/>
    <s v="Narrow"/>
    <s v="C06"/>
    <s v="TATCRC"/>
    <s v="SR16"/>
    <n v="0.35"/>
    <n v="1000"/>
    <n v="2500"/>
    <n v="51"/>
    <n v="0"/>
    <n v="51"/>
    <n v="4.84"/>
    <n v="6.4600000000000009"/>
    <n v="51"/>
    <n v="0"/>
    <n v="0"/>
    <n v="0"/>
    <n v="0"/>
    <n v="0"/>
    <n v="0"/>
    <n v="0"/>
    <n v="0"/>
    <n v="0"/>
    <n v="0"/>
    <n v="0"/>
    <n v="0"/>
    <n v="0"/>
    <n v="22.36"/>
    <n v="22.18"/>
    <n v="0"/>
    <n v="0"/>
    <n v="0"/>
    <n v="0"/>
    <n v="44.54"/>
    <n v="44.54"/>
    <n v="0"/>
    <n v="44.54"/>
    <m/>
    <n v="0"/>
    <n v="51"/>
    <n v="0"/>
    <n v="51"/>
    <n v="0"/>
    <n v="0"/>
    <n v="0"/>
    <n v="51"/>
    <n v="0"/>
    <n v="51"/>
    <n v="0"/>
    <n v="0"/>
    <n v="0"/>
    <n v="0"/>
    <n v="0"/>
    <n v="0"/>
    <n v="0"/>
    <n v="0"/>
    <n v="0"/>
    <n v="0"/>
    <n v="0"/>
    <m/>
    <m/>
    <m/>
    <m/>
    <m/>
    <m/>
    <m/>
    <m/>
    <s v="1"/>
    <s v="0"/>
    <s v="1"/>
    <s v="1"/>
    <s v="1"/>
    <m/>
    <m/>
    <m/>
    <m/>
    <m/>
    <m/>
    <m/>
    <m/>
    <m/>
    <m/>
    <m/>
    <m/>
    <m/>
    <m/>
  </r>
  <r>
    <n v="742"/>
    <d v="2025-02-14T00:00:00"/>
    <s v="ZBTO"/>
    <n v="9518520213"/>
    <n v="6"/>
    <s v="9518520213-6"/>
    <s v="Apr'25 "/>
    <x v="0"/>
    <m/>
    <x v="1"/>
    <x v="2"/>
    <n v="2000"/>
    <m/>
    <x v="1"/>
    <m/>
    <m/>
    <s v="Bihar"/>
    <s v="East"/>
    <s v="PURNEA JN."/>
    <s v="Sheet"/>
    <n v="103227"/>
    <s v="BMW VENTURES LIMITED"/>
    <n v="3239554"/>
    <s v="CRCA SHEET TATCRC SR16 0.400X1000X2500"/>
    <m/>
    <m/>
    <m/>
    <m/>
    <s v="Narrow"/>
    <s v="C06"/>
    <s v="TATCRC"/>
    <s v="SR16"/>
    <n v="0.4"/>
    <n v="1000"/>
    <n v="2500"/>
    <n v="36"/>
    <n v="0"/>
    <n v="36"/>
    <n v="36"/>
    <n v="36"/>
    <n v="36"/>
    <n v="0"/>
    <n v="0"/>
    <n v="0"/>
    <n v="0"/>
    <n v="0"/>
    <n v="0"/>
    <n v="0"/>
    <n v="0"/>
    <n v="0"/>
    <n v="0"/>
    <n v="0"/>
    <n v="0"/>
    <n v="0"/>
    <n v="0"/>
    <n v="0"/>
    <n v="0"/>
    <n v="0"/>
    <n v="0"/>
    <n v="0"/>
    <n v="0"/>
    <n v="0"/>
    <n v="0"/>
    <n v="0"/>
    <m/>
    <n v="0"/>
    <n v="36"/>
    <n v="0"/>
    <n v="0"/>
    <n v="0"/>
    <n v="36"/>
    <n v="0"/>
    <n v="0"/>
    <n v="0"/>
    <n v="0"/>
    <n v="0"/>
    <n v="0"/>
    <n v="0"/>
    <n v="36"/>
    <n v="0"/>
    <n v="0"/>
    <n v="0"/>
    <n v="0"/>
    <n v="0"/>
    <n v="0"/>
    <n v="0"/>
    <m/>
    <m/>
    <m/>
    <m/>
    <m/>
    <m/>
    <m/>
    <m/>
    <s v="1"/>
    <s v="1"/>
    <s v="1"/>
    <s v="0"/>
    <s v="1"/>
    <m/>
    <m/>
    <m/>
    <m/>
    <m/>
    <m/>
    <m/>
    <m/>
    <m/>
    <m/>
    <m/>
    <m/>
    <m/>
    <m/>
  </r>
  <r>
    <n v="744"/>
    <d v="2025-02-15T00:00:00"/>
    <s v="ZBTO"/>
    <n v="9518522888"/>
    <n v="1"/>
    <s v="9518522888-1"/>
    <s v="Apr'25 "/>
    <x v="0"/>
    <m/>
    <x v="2"/>
    <x v="3"/>
    <n v="1000"/>
    <m/>
    <x v="1"/>
    <m/>
    <m/>
    <s v="Jharkhand"/>
    <s v="TBSPL"/>
    <s v="TBL- BARA AGRICO"/>
    <s v="Coil"/>
    <n v="941597"/>
    <s v="TATA BLUESCOPE STEEL PRIVATE L"/>
    <n v="3902332"/>
    <s v="PPGL C HARD Y550PL D0C9 0.50(TPT)X1220"/>
    <m/>
    <m/>
    <m/>
    <m/>
    <s v="Wider"/>
    <s v="B18"/>
    <s v="Y550PL"/>
    <s v="D0C9"/>
    <n v="0.5"/>
    <n v="1220"/>
    <n v="0"/>
    <n v="28"/>
    <n v="0"/>
    <n v="28"/>
    <n v="28"/>
    <n v="28"/>
    <n v="28"/>
    <n v="0"/>
    <n v="0"/>
    <n v="0"/>
    <n v="0"/>
    <n v="0"/>
    <n v="0"/>
    <n v="0"/>
    <n v="0"/>
    <n v="0"/>
    <n v="0"/>
    <n v="0"/>
    <n v="0"/>
    <n v="0"/>
    <n v="0"/>
    <n v="0"/>
    <n v="0"/>
    <n v="0"/>
    <n v="0"/>
    <n v="0"/>
    <n v="0"/>
    <n v="0"/>
    <n v="0"/>
    <n v="0"/>
    <m/>
    <n v="0"/>
    <n v="28"/>
    <n v="0"/>
    <n v="0"/>
    <n v="0"/>
    <n v="28"/>
    <n v="0"/>
    <n v="0"/>
    <n v="0"/>
    <n v="0"/>
    <n v="0"/>
    <n v="0"/>
    <n v="0"/>
    <n v="28"/>
    <n v="0"/>
    <n v="0"/>
    <n v="0"/>
    <n v="0"/>
    <n v="0"/>
    <n v="0"/>
    <n v="0"/>
    <m/>
    <m/>
    <m/>
    <m/>
    <m/>
    <m/>
    <m/>
    <m/>
    <s v="1"/>
    <s v="1"/>
    <s v="1"/>
    <s v="0"/>
    <s v="1"/>
    <m/>
    <m/>
    <m/>
    <m/>
    <m/>
    <m/>
    <m/>
    <m/>
    <m/>
    <m/>
    <m/>
    <m/>
    <m/>
    <m/>
  </r>
  <r>
    <n v="743"/>
    <d v="2025-02-18T00:00:00"/>
    <s v="ZBTO"/>
    <n v="9518528325"/>
    <n v="6"/>
    <s v="9518528325-6"/>
    <s v="Stocks"/>
    <x v="0"/>
    <m/>
    <x v="3"/>
    <x v="9"/>
    <n v="2000"/>
    <m/>
    <x v="1"/>
    <m/>
    <s v="Exp BTF &lt;17MT"/>
    <s v="West Bengal"/>
    <s v="East"/>
    <s v="SINGUR"/>
    <s v="Coil"/>
    <n v="100922"/>
    <s v="BUBNA COMMERCIAL COMPANY"/>
    <n v="1142897"/>
    <s v="GP COIL SOFT-TATXGP-GLK1-0.6X900"/>
    <m/>
    <m/>
    <m/>
    <m/>
    <s v="Narrow"/>
    <s v="C02"/>
    <s v="TATXGP"/>
    <s v="GLK1"/>
    <n v="0.6"/>
    <n v="900"/>
    <n v="0"/>
    <n v="105"/>
    <n v="92.66"/>
    <n v="12.34"/>
    <n v="7.7249999999999996"/>
    <n v="12.34"/>
    <n v="7.87"/>
    <n v="0"/>
    <n v="0"/>
    <n v="0"/>
    <n v="0"/>
    <n v="0"/>
    <n v="0"/>
    <n v="0"/>
    <n v="0"/>
    <n v="0"/>
    <n v="0"/>
    <n v="0"/>
    <n v="0"/>
    <n v="0"/>
    <n v="0"/>
    <n v="0"/>
    <n v="0"/>
    <n v="0"/>
    <n v="0"/>
    <n v="0"/>
    <n v="0"/>
    <n v="0"/>
    <n v="0"/>
    <n v="0"/>
    <m/>
    <n v="11.5"/>
    <n v="0"/>
    <n v="0"/>
    <n v="0"/>
    <n v="0"/>
    <n v="0"/>
    <n v="0"/>
    <n v="0"/>
    <n v="0"/>
    <n v="0"/>
    <n v="0"/>
    <n v="0"/>
    <n v="0"/>
    <n v="11.5"/>
    <n v="0"/>
    <n v="0"/>
    <n v="0"/>
    <n v="0"/>
    <n v="0"/>
    <n v="0"/>
    <n v="0"/>
    <m/>
    <m/>
    <m/>
    <m/>
    <m/>
    <m/>
    <m/>
    <m/>
    <s v="1"/>
    <s v="1"/>
    <s v="1"/>
    <s v="1"/>
    <s v="1"/>
    <m/>
    <m/>
    <m/>
    <m/>
    <m/>
    <m/>
    <m/>
    <m/>
    <m/>
    <m/>
    <m/>
    <m/>
    <m/>
    <m/>
  </r>
  <r>
    <n v="742"/>
    <d v="2025-02-18T00:00:00"/>
    <s v="ZBTO"/>
    <n v="9518529569"/>
    <n v="1"/>
    <s v="9518529569-1"/>
    <s v="Stocks"/>
    <x v="0"/>
    <m/>
    <x v="1"/>
    <x v="2"/>
    <n v="2000"/>
    <m/>
    <x v="1"/>
    <m/>
    <m/>
    <s v="Rajasthan"/>
    <s v="North"/>
    <s v="JAIPUR"/>
    <s v="Sheet"/>
    <n v="116137"/>
    <s v="PELIKAN DOSSIER PRIVATE LIMITE"/>
    <n v="3239557"/>
    <s v="CRCA SHEET TATCRC SR16 0.400X1250X2500"/>
    <m/>
    <m/>
    <m/>
    <m/>
    <s v="Wider"/>
    <s v="C06"/>
    <s v="TATCRC"/>
    <s v="SR16"/>
    <n v="0.4"/>
    <n v="1250"/>
    <n v="0"/>
    <n v="48"/>
    <n v="0"/>
    <n v="48"/>
    <n v="-6.18"/>
    <n v="0"/>
    <n v="2.1800000000000002"/>
    <n v="0"/>
    <n v="0"/>
    <n v="0"/>
    <n v="0"/>
    <n v="0"/>
    <n v="0"/>
    <n v="0"/>
    <n v="0"/>
    <n v="0"/>
    <n v="0"/>
    <n v="0"/>
    <n v="0"/>
    <n v="0"/>
    <n v="0"/>
    <n v="0"/>
    <n v="0"/>
    <n v="0"/>
    <n v="0"/>
    <n v="0"/>
    <n v="0"/>
    <n v="0"/>
    <n v="0"/>
    <n v="0"/>
    <m/>
    <n v="20.040000000000003"/>
    <n v="0"/>
    <n v="0"/>
    <n v="0"/>
    <n v="0"/>
    <n v="0"/>
    <n v="0"/>
    <n v="0"/>
    <n v="0"/>
    <n v="0"/>
    <n v="0"/>
    <n v="0"/>
    <n v="0"/>
    <n v="20.040000000000003"/>
    <n v="0"/>
    <n v="0"/>
    <n v="0"/>
    <n v="0"/>
    <n v="0"/>
    <n v="0"/>
    <n v="0"/>
    <m/>
    <m/>
    <m/>
    <m/>
    <m/>
    <m/>
    <m/>
    <m/>
    <s v="1"/>
    <s v="1"/>
    <s v="1"/>
    <s v="1"/>
    <s v="1"/>
    <m/>
    <m/>
    <m/>
    <m/>
    <m/>
    <m/>
    <m/>
    <m/>
    <m/>
    <m/>
    <m/>
    <m/>
    <m/>
    <m/>
  </r>
  <r>
    <n v="742"/>
    <d v="2025-02-18T00:00:00"/>
    <s v="ZBTO"/>
    <n v="9518529688"/>
    <n v="1"/>
    <s v="9518529688-1"/>
    <s v="May'25"/>
    <x v="0"/>
    <m/>
    <x v="1"/>
    <x v="2"/>
    <n v="2000"/>
    <m/>
    <x v="1"/>
    <m/>
    <m/>
    <s v="Rajasthan"/>
    <s v="North"/>
    <s v="JAIPUR"/>
    <s v="Sheet"/>
    <n v="116137"/>
    <s v="PELIKAN DOSSIER PRIVATE LIMITE"/>
    <n v="3239543"/>
    <s v="CRCA SHEET TATCRC SR16 0.350X1250X2500"/>
    <m/>
    <m/>
    <m/>
    <m/>
    <s v="Wider"/>
    <s v="C06"/>
    <s v="TATCRC"/>
    <s v="SR16"/>
    <n v="0.35"/>
    <n v="1250"/>
    <n v="0"/>
    <n v="24"/>
    <n v="0"/>
    <n v="24"/>
    <n v="-3.24"/>
    <n v="0"/>
    <n v="24"/>
    <n v="0"/>
    <n v="0"/>
    <n v="0"/>
    <n v="0"/>
    <n v="0"/>
    <n v="0"/>
    <n v="0"/>
    <n v="0"/>
    <n v="0"/>
    <n v="0"/>
    <n v="0"/>
    <n v="0"/>
    <n v="0"/>
    <n v="0"/>
    <n v="26.73"/>
    <n v="0"/>
    <n v="0"/>
    <n v="0"/>
    <n v="0"/>
    <n v="26.73"/>
    <n v="26.73"/>
    <n v="0"/>
    <n v="26.73"/>
    <m/>
    <n v="0"/>
    <n v="24"/>
    <n v="24"/>
    <n v="0"/>
    <n v="0"/>
    <n v="0"/>
    <n v="0"/>
    <n v="0"/>
    <n v="0"/>
    <n v="0"/>
    <n v="0"/>
    <n v="0"/>
    <n v="0"/>
    <n v="24"/>
    <n v="0"/>
    <n v="0"/>
    <n v="0"/>
    <n v="0"/>
    <n v="0"/>
    <n v="0"/>
    <n v="0"/>
    <m/>
    <m/>
    <m/>
    <m/>
    <m/>
    <m/>
    <m/>
    <m/>
    <s v="0"/>
    <s v="1"/>
    <s v="1"/>
    <s v="1"/>
    <s v="1"/>
    <m/>
    <m/>
    <m/>
    <m/>
    <m/>
    <m/>
    <m/>
    <m/>
    <m/>
    <m/>
    <m/>
    <m/>
    <m/>
    <m/>
  </r>
  <r>
    <n v="742"/>
    <d v="2025-02-19T00:00:00"/>
    <s v="ZBTO"/>
    <n v="9518533557"/>
    <n v="1"/>
    <s v="9518533557-1"/>
    <s v="No Priority"/>
    <x v="0"/>
    <m/>
    <x v="1"/>
    <x v="2"/>
    <n v="2000"/>
    <m/>
    <x v="0"/>
    <m/>
    <m/>
    <s v="West Bengal"/>
    <s v="East"/>
    <s v="HOWRAH"/>
    <s v="Sheet"/>
    <n v="101278"/>
    <s v="RAMESH COMPANY"/>
    <n v="3239408"/>
    <s v="CRCA SHEET TATCRC SR16 0.300X900X2500"/>
    <m/>
    <m/>
    <m/>
    <m/>
    <s v="Narrow"/>
    <s v="C06"/>
    <s v="TATCRC"/>
    <s v="SR16"/>
    <n v="0.3"/>
    <n v="900"/>
    <n v="2500"/>
    <n v="30"/>
    <n v="0"/>
    <n v="30"/>
    <n v="10.25"/>
    <n v="10.25"/>
    <n v="11.744999999999999"/>
    <n v="0"/>
    <n v="0"/>
    <n v="0"/>
    <n v="0"/>
    <n v="0"/>
    <n v="0"/>
    <n v="0"/>
    <n v="0"/>
    <n v="0"/>
    <n v="0"/>
    <n v="0"/>
    <n v="0"/>
    <n v="0"/>
    <n v="0"/>
    <n v="19.75"/>
    <n v="0"/>
    <n v="0"/>
    <n v="0"/>
    <n v="0"/>
    <n v="19.75"/>
    <n v="19.75"/>
    <n v="0"/>
    <n v="19.75"/>
    <m/>
    <n v="0"/>
    <n v="0"/>
    <n v="0"/>
    <n v="0"/>
    <n v="0"/>
    <n v="0"/>
    <n v="0"/>
    <n v="0"/>
    <n v="0"/>
    <n v="0"/>
    <n v="0"/>
    <n v="0"/>
    <n v="0"/>
    <n v="0"/>
    <n v="0"/>
    <n v="0"/>
    <n v="0"/>
    <n v="0"/>
    <n v="0"/>
    <n v="0"/>
    <n v="0"/>
    <m/>
    <m/>
    <m/>
    <m/>
    <m/>
    <m/>
    <m/>
    <m/>
    <s v="1"/>
    <s v="1"/>
    <s v="1"/>
    <s v="1"/>
    <s v="1"/>
    <m/>
    <m/>
    <m/>
    <m/>
    <m/>
    <m/>
    <m/>
    <m/>
    <m/>
    <m/>
    <m/>
    <m/>
    <m/>
    <m/>
  </r>
  <r>
    <n v="742"/>
    <d v="2025-02-19T00:00:00"/>
    <s v="ZBTO"/>
    <n v="9518533557"/>
    <n v="2"/>
    <s v="9518533557-2"/>
    <s v="May'25"/>
    <x v="0"/>
    <m/>
    <x v="1"/>
    <x v="2"/>
    <n v="2000"/>
    <m/>
    <x v="1"/>
    <m/>
    <m/>
    <s v="West Bengal"/>
    <s v="East"/>
    <s v="HOWRAH"/>
    <s v="Sheet"/>
    <n v="101278"/>
    <s v="RAMESH COMPANY"/>
    <n v="3711646"/>
    <s v="CRCA SHEET TATCRC SR16 0.330X1250X2500"/>
    <m/>
    <m/>
    <m/>
    <m/>
    <s v="Wider"/>
    <s v="C06"/>
    <s v="TATCRC"/>
    <s v="SR16"/>
    <n v="0.33"/>
    <n v="1250"/>
    <n v="2500"/>
    <n v="30"/>
    <n v="0"/>
    <n v="30"/>
    <n v="2.35"/>
    <n v="0"/>
    <n v="30"/>
    <n v="0"/>
    <n v="0"/>
    <n v="0"/>
    <n v="0"/>
    <n v="0"/>
    <n v="0"/>
    <n v="0"/>
    <n v="0"/>
    <n v="25.1"/>
    <n v="0"/>
    <n v="0"/>
    <n v="0"/>
    <n v="0"/>
    <n v="0"/>
    <n v="0"/>
    <n v="1.9750000000000001"/>
    <n v="0"/>
    <n v="0"/>
    <n v="0"/>
    <n v="27.075000000000003"/>
    <n v="27.075000000000003"/>
    <n v="0"/>
    <n v="27.075000000000003"/>
    <m/>
    <n v="0"/>
    <n v="30"/>
    <n v="30"/>
    <n v="0"/>
    <n v="0"/>
    <n v="0"/>
    <n v="0"/>
    <n v="0"/>
    <n v="0"/>
    <n v="0"/>
    <n v="0"/>
    <n v="0"/>
    <n v="0"/>
    <n v="30"/>
    <n v="0"/>
    <n v="0"/>
    <n v="0"/>
    <n v="0"/>
    <n v="0"/>
    <n v="0"/>
    <n v="0"/>
    <m/>
    <m/>
    <m/>
    <m/>
    <m/>
    <m/>
    <m/>
    <m/>
    <s v="0"/>
    <s v="1"/>
    <s v="1"/>
    <s v="1"/>
    <s v="1"/>
    <m/>
    <m/>
    <m/>
    <m/>
    <m/>
    <m/>
    <m/>
    <m/>
    <m/>
    <m/>
    <m/>
    <m/>
    <m/>
    <m/>
  </r>
  <r>
    <n v="742"/>
    <d v="2025-02-19T00:00:00"/>
    <s v="ZBTO"/>
    <n v="9518533557"/>
    <n v="3"/>
    <s v="9518533557-3"/>
    <s v="May'25"/>
    <x v="0"/>
    <m/>
    <x v="1"/>
    <x v="2"/>
    <n v="2000"/>
    <m/>
    <x v="1"/>
    <m/>
    <s v="Exp BTF &lt;17MT"/>
    <s v="West Bengal"/>
    <s v="East"/>
    <s v="HOWRAH"/>
    <s v="Sheet"/>
    <n v="101278"/>
    <s v="RAMESH COMPANY"/>
    <n v="3239536"/>
    <s v="CRCA SHEET TATCRC SR16 0.350X900X2500"/>
    <m/>
    <m/>
    <m/>
    <m/>
    <s v="Narrow"/>
    <s v="C06"/>
    <s v="TATCRC"/>
    <s v="SR16"/>
    <n v="0.35"/>
    <n v="900"/>
    <n v="2500"/>
    <n v="60"/>
    <n v="36.69"/>
    <n v="23.31"/>
    <n v="3.57"/>
    <n v="3.5699999999999967"/>
    <n v="23.31"/>
    <n v="0"/>
    <n v="0"/>
    <n v="0"/>
    <n v="0"/>
    <n v="0"/>
    <n v="0"/>
    <n v="0"/>
    <n v="0"/>
    <n v="0"/>
    <n v="0"/>
    <n v="0"/>
    <n v="0"/>
    <n v="0"/>
    <n v="0"/>
    <n v="19.740000000000002"/>
    <n v="0"/>
    <n v="0"/>
    <n v="0"/>
    <n v="0"/>
    <n v="19.740000000000002"/>
    <n v="19.740000000000002"/>
    <n v="0"/>
    <n v="19.740000000000002"/>
    <m/>
    <n v="0"/>
    <n v="23.31"/>
    <n v="23.31"/>
    <n v="0"/>
    <n v="0"/>
    <n v="0"/>
    <n v="0"/>
    <n v="0"/>
    <n v="0"/>
    <n v="0"/>
    <n v="0"/>
    <n v="0"/>
    <n v="0"/>
    <n v="23.31"/>
    <n v="36.69"/>
    <n v="23.31"/>
    <n v="0"/>
    <n v="0"/>
    <n v="0"/>
    <n v="0"/>
    <n v="13.379999999999999"/>
    <m/>
    <m/>
    <m/>
    <m/>
    <m/>
    <m/>
    <m/>
    <m/>
    <s v="1"/>
    <s v="1"/>
    <s v="1"/>
    <s v="1"/>
    <s v="1"/>
    <m/>
    <m/>
    <m/>
    <m/>
    <m/>
    <m/>
    <m/>
    <m/>
    <m/>
    <m/>
    <m/>
    <m/>
    <m/>
    <m/>
  </r>
  <r>
    <n v="742"/>
    <d v="2025-02-19T00:00:00"/>
    <s v="ZBTO"/>
    <n v="9518533557"/>
    <n v="4"/>
    <s v="9518533557-4"/>
    <s v="Stocks"/>
    <x v="0"/>
    <m/>
    <x v="1"/>
    <x v="2"/>
    <n v="2000"/>
    <m/>
    <x v="1"/>
    <m/>
    <s v="Exp BTF &lt;17MT"/>
    <s v="West Bengal"/>
    <s v="East"/>
    <s v="HOWRAH"/>
    <s v="Sheet"/>
    <n v="101278"/>
    <s v="RAMESH COMPANY"/>
    <n v="3239548"/>
    <s v="CRCA SHEET TATCRC SR16 0.400X900X2500"/>
    <m/>
    <m/>
    <m/>
    <m/>
    <s v="Narrow"/>
    <s v="C06"/>
    <s v="TATCRC"/>
    <s v="SR16"/>
    <n v="0.4"/>
    <n v="900"/>
    <n v="2500"/>
    <n v="30"/>
    <n v="0"/>
    <n v="30"/>
    <n v="8.7899999999999991"/>
    <n v="30"/>
    <n v="10.74"/>
    <n v="0"/>
    <n v="0"/>
    <n v="0"/>
    <n v="0"/>
    <n v="0"/>
    <n v="0"/>
    <n v="0"/>
    <n v="0"/>
    <n v="0"/>
    <n v="0"/>
    <n v="0"/>
    <n v="0"/>
    <n v="0"/>
    <n v="0"/>
    <n v="0"/>
    <n v="0"/>
    <n v="0"/>
    <n v="0"/>
    <n v="0"/>
    <n v="0"/>
    <n v="0"/>
    <n v="0"/>
    <n v="0"/>
    <m/>
    <n v="19.260000000000002"/>
    <n v="0"/>
    <n v="0"/>
    <n v="0"/>
    <n v="0"/>
    <n v="0"/>
    <n v="0"/>
    <n v="0"/>
    <n v="0"/>
    <n v="0"/>
    <n v="0"/>
    <n v="0"/>
    <n v="0"/>
    <n v="19.260000000000002"/>
    <n v="0"/>
    <n v="0"/>
    <n v="0"/>
    <n v="0"/>
    <n v="0"/>
    <n v="0"/>
    <n v="0"/>
    <m/>
    <m/>
    <m/>
    <m/>
    <m/>
    <m/>
    <m/>
    <m/>
    <s v="1"/>
    <s v="1"/>
    <s v="1"/>
    <s v="1"/>
    <s v="1"/>
    <m/>
    <m/>
    <m/>
    <m/>
    <m/>
    <m/>
    <m/>
    <m/>
    <m/>
    <m/>
    <m/>
    <m/>
    <m/>
    <m/>
  </r>
  <r>
    <n v="742"/>
    <d v="2025-02-19T00:00:00"/>
    <s v="ZBTO"/>
    <n v="9518533557"/>
    <n v="5"/>
    <s v="9518533557-5"/>
    <s v="Apr'25 "/>
    <x v="0"/>
    <m/>
    <x v="1"/>
    <x v="2"/>
    <n v="2000"/>
    <m/>
    <x v="1"/>
    <m/>
    <m/>
    <s v="West Bengal"/>
    <s v="East"/>
    <s v="HOWRAH"/>
    <s v="Sheet"/>
    <n v="101278"/>
    <s v="RAMESH COMPANY"/>
    <n v="3239557"/>
    <s v="CRCA SHEET TATCRC SR16 0.400X1250X2500"/>
    <m/>
    <m/>
    <m/>
    <m/>
    <s v="Wider"/>
    <s v="C06"/>
    <s v="TATCRC"/>
    <s v="SR16"/>
    <n v="0.4"/>
    <n v="1250"/>
    <n v="0"/>
    <n v="30"/>
    <n v="0"/>
    <n v="30"/>
    <n v="30"/>
    <n v="30"/>
    <n v="30"/>
    <n v="0"/>
    <n v="0"/>
    <n v="0"/>
    <n v="0"/>
    <n v="0"/>
    <n v="0"/>
    <n v="0"/>
    <n v="0"/>
    <n v="0"/>
    <n v="0"/>
    <n v="0"/>
    <n v="0"/>
    <n v="0"/>
    <n v="0"/>
    <n v="0"/>
    <n v="0"/>
    <n v="0"/>
    <n v="0"/>
    <n v="0"/>
    <n v="0"/>
    <n v="0"/>
    <n v="0"/>
    <n v="0"/>
    <m/>
    <n v="0"/>
    <n v="30"/>
    <n v="0"/>
    <n v="0"/>
    <n v="0"/>
    <n v="30"/>
    <n v="0"/>
    <n v="0"/>
    <n v="0"/>
    <n v="0"/>
    <n v="0"/>
    <n v="0"/>
    <n v="0"/>
    <n v="30"/>
    <n v="0"/>
    <n v="0"/>
    <n v="0"/>
    <n v="0"/>
    <n v="0"/>
    <n v="0"/>
    <n v="0"/>
    <m/>
    <m/>
    <m/>
    <m/>
    <m/>
    <m/>
    <m/>
    <m/>
    <s v="1"/>
    <s v="1"/>
    <s v="1"/>
    <s v="0"/>
    <s v="1"/>
    <m/>
    <m/>
    <m/>
    <m/>
    <m/>
    <m/>
    <m/>
    <m/>
    <m/>
    <m/>
    <m/>
    <m/>
    <m/>
    <m/>
  </r>
  <r>
    <n v="743"/>
    <d v="2025-02-22T00:00:00"/>
    <s v="ZBTO"/>
    <n v="9518542770"/>
    <n v="7"/>
    <s v="9518542770-7"/>
    <s v="Apr'25 "/>
    <x v="0"/>
    <m/>
    <x v="4"/>
    <x v="3"/>
    <n v="1000"/>
    <m/>
    <x v="1"/>
    <m/>
    <m/>
    <s v="Jharkhand"/>
    <s v="TBSPL"/>
    <s v="TBL- BARA AGRICO"/>
    <s v="Coil"/>
    <n v="942283"/>
    <s v="TATA BLUESCOPE STEEL PRIVATE L"/>
    <n v="3239573"/>
    <s v="GL C YS550 H6GL 0.42BMT(0.47TCT)X1220"/>
    <m/>
    <m/>
    <m/>
    <m/>
    <s v="Wider"/>
    <s v="B04"/>
    <s v="Y550GL"/>
    <s v="H6GL"/>
    <n v="0.42"/>
    <n v="1220"/>
    <n v="0"/>
    <n v="56"/>
    <n v="0"/>
    <n v="56"/>
    <n v="56"/>
    <n v="0.57499999999999574"/>
    <n v="56"/>
    <n v="0"/>
    <n v="0"/>
    <n v="0"/>
    <n v="0"/>
    <n v="0"/>
    <n v="0"/>
    <n v="0"/>
    <n v="55.425000000000004"/>
    <n v="0"/>
    <n v="0"/>
    <n v="0"/>
    <n v="0"/>
    <n v="0"/>
    <n v="0"/>
    <n v="0"/>
    <n v="0"/>
    <n v="0"/>
    <n v="0"/>
    <n v="0"/>
    <n v="55.425000000000004"/>
    <n v="55.425000000000004"/>
    <n v="0"/>
    <n v="55.425000000000004"/>
    <m/>
    <n v="0"/>
    <n v="56"/>
    <n v="0"/>
    <n v="56"/>
    <n v="0"/>
    <n v="0"/>
    <n v="0"/>
    <n v="56"/>
    <n v="0"/>
    <n v="56"/>
    <n v="0"/>
    <n v="0"/>
    <n v="0"/>
    <n v="0"/>
    <n v="0"/>
    <n v="0"/>
    <n v="0"/>
    <n v="0"/>
    <n v="0"/>
    <n v="0"/>
    <n v="0"/>
    <m/>
    <m/>
    <m/>
    <m/>
    <m/>
    <m/>
    <m/>
    <m/>
    <s v="1"/>
    <s v="0"/>
    <s v="1"/>
    <s v="1"/>
    <s v="1"/>
    <m/>
    <m/>
    <m/>
    <m/>
    <m/>
    <m/>
    <m/>
    <m/>
    <m/>
    <m/>
    <m/>
    <m/>
    <m/>
    <m/>
  </r>
  <r>
    <n v="743"/>
    <d v="2025-02-22T00:00:00"/>
    <s v="ZBTO"/>
    <n v="9518543325"/>
    <n v="1"/>
    <s v="9518543325-1"/>
    <s v="Apr'25 "/>
    <x v="0"/>
    <m/>
    <x v="4"/>
    <x v="3"/>
    <n v="1000"/>
    <m/>
    <x v="1"/>
    <m/>
    <m/>
    <s v="Jharkhand"/>
    <s v="TBSPL"/>
    <s v="ADITYAPUR"/>
    <s v="Coil"/>
    <n v="942284"/>
    <s v="TATA BLUESCOPE STEEL PRIVATE L"/>
    <n v="3931932"/>
    <s v="GL COIL HARD  Y550GL M306 0.350X900"/>
    <m/>
    <m/>
    <m/>
    <m/>
    <s v="Narrow"/>
    <s v="B04"/>
    <s v="Y550GL"/>
    <s v="M306"/>
    <n v="0.35"/>
    <n v="900"/>
    <n v="0"/>
    <n v="21"/>
    <n v="0"/>
    <n v="21"/>
    <n v="21"/>
    <n v="21"/>
    <n v="21"/>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24T00:00:00"/>
    <s v="ZBTO"/>
    <n v="9518546801"/>
    <n v="2"/>
    <s v="9518546801-2"/>
    <s v="Apr'25 "/>
    <x v="0"/>
    <m/>
    <x v="3"/>
    <x v="4"/>
    <n v="2000"/>
    <n v="1700"/>
    <x v="1"/>
    <m/>
    <m/>
    <s v="Karnataka"/>
    <s v="South"/>
    <s v="HUBLI"/>
    <s v="Coil"/>
    <n v="942923"/>
    <s v="S C SHETTAR &amp; SONS PRIVATE LIM"/>
    <n v="222922"/>
    <s v="GPCOIL TATXGP GP02 0.30X1015"/>
    <m/>
    <m/>
    <m/>
    <m/>
    <s v="Narrow"/>
    <s v="C05"/>
    <s v="TATXGP"/>
    <s v="GP02"/>
    <n v="0.3"/>
    <n v="1015"/>
    <n v="0"/>
    <n v="207"/>
    <n v="0"/>
    <n v="207"/>
    <n v="207"/>
    <n v="207"/>
    <n v="207"/>
    <n v="0"/>
    <n v="0"/>
    <n v="0"/>
    <n v="0"/>
    <n v="0"/>
    <n v="0"/>
    <n v="0"/>
    <n v="0"/>
    <n v="0"/>
    <n v="0"/>
    <n v="0"/>
    <n v="0"/>
    <n v="0"/>
    <n v="0"/>
    <n v="0"/>
    <n v="0"/>
    <n v="0"/>
    <n v="0"/>
    <n v="0"/>
    <n v="0"/>
    <n v="0"/>
    <n v="0"/>
    <n v="0"/>
    <m/>
    <n v="0"/>
    <n v="207"/>
    <n v="0"/>
    <n v="0"/>
    <n v="0"/>
    <n v="0"/>
    <n v="207"/>
    <n v="0"/>
    <n v="0"/>
    <n v="0"/>
    <n v="0"/>
    <n v="0"/>
    <n v="0"/>
    <n v="207"/>
    <n v="0"/>
    <n v="0"/>
    <n v="0"/>
    <n v="0"/>
    <n v="0"/>
    <n v="0"/>
    <n v="0"/>
    <m/>
    <m/>
    <m/>
    <m/>
    <m/>
    <m/>
    <m/>
    <m/>
    <s v="1"/>
    <s v="1"/>
    <s v="1"/>
    <s v="1"/>
    <s v="0"/>
    <m/>
    <m/>
    <m/>
    <m/>
    <m/>
    <m/>
    <m/>
    <m/>
    <m/>
    <m/>
    <m/>
    <m/>
    <m/>
    <m/>
  </r>
  <r>
    <n v="742"/>
    <d v="2025-02-25T00:00:00"/>
    <s v="ZBTO"/>
    <n v="9518550511"/>
    <n v="8"/>
    <s v="9518550511-8"/>
    <s v="Apr'25 "/>
    <x v="0"/>
    <m/>
    <x v="1"/>
    <x v="11"/>
    <n v="2000"/>
    <m/>
    <x v="1"/>
    <m/>
    <m/>
    <s v="Karnataka"/>
    <s v="South"/>
    <s v="BIDADI"/>
    <s v="Coil"/>
    <n v="939268"/>
    <s v="TATA STEEL DOWNSTREAM PRODUCTS"/>
    <n v="2420540"/>
    <s v="CRCA COIL TATXXD AH03 2.500X1250"/>
    <m/>
    <m/>
    <m/>
    <m/>
    <s v="Wider"/>
    <s v="C01"/>
    <s v="TATXXD"/>
    <s v="AH03"/>
    <n v="2.5"/>
    <n v="1250"/>
    <n v="0"/>
    <n v="116"/>
    <n v="90.424999999999997"/>
    <n v="25.574999999999999"/>
    <n v="25.574999999999999"/>
    <n v="25.574999999999999"/>
    <n v="25.574999999999999"/>
    <n v="0"/>
    <n v="0"/>
    <n v="0"/>
    <n v="0"/>
    <n v="0"/>
    <n v="0"/>
    <n v="0"/>
    <n v="0"/>
    <n v="0"/>
    <n v="0"/>
    <n v="0"/>
    <n v="0"/>
    <n v="0"/>
    <n v="0"/>
    <n v="0"/>
    <n v="0"/>
    <n v="0"/>
    <n v="0"/>
    <n v="0"/>
    <n v="0"/>
    <n v="0"/>
    <n v="0"/>
    <n v="0"/>
    <m/>
    <n v="0"/>
    <n v="25.574999999999999"/>
    <n v="0"/>
    <n v="0"/>
    <n v="25.574999999999999"/>
    <n v="0"/>
    <n v="0"/>
    <n v="0"/>
    <n v="0"/>
    <n v="0"/>
    <n v="0"/>
    <n v="0"/>
    <n v="0"/>
    <n v="25.574999999999999"/>
    <n v="64.319999999999993"/>
    <n v="0"/>
    <n v="0"/>
    <n v="25.574999999999999"/>
    <n v="0"/>
    <n v="0"/>
    <n v="38.74499999999999"/>
    <m/>
    <m/>
    <m/>
    <m/>
    <m/>
    <m/>
    <m/>
    <m/>
    <s v="1"/>
    <s v="1"/>
    <s v="1"/>
    <s v="1"/>
    <s v="1"/>
    <m/>
    <m/>
    <m/>
    <m/>
    <m/>
    <m/>
    <m/>
    <m/>
    <m/>
    <m/>
    <m/>
    <m/>
    <m/>
    <m/>
  </r>
  <r>
    <n v="4310"/>
    <d v="2025-02-27T00:00:00"/>
    <s v="ZBTF"/>
    <n v="9518559566"/>
    <n v="1"/>
    <s v="9518559566-1"/>
    <s v="Stocks"/>
    <x v="0"/>
    <m/>
    <x v="1"/>
    <x v="7"/>
    <n v="1000"/>
    <m/>
    <x v="1"/>
    <m/>
    <s v="Exp BTF &lt;17MT"/>
    <s v="West Bengal"/>
    <s v="East"/>
    <s v="TIRUNINRAVUR"/>
    <s v="Coil"/>
    <n v="600250"/>
    <s v="TATA CENTRE"/>
    <n v="3659268"/>
    <s v="CR COIL TSBSTA EL03 0.500X1217"/>
    <m/>
    <m/>
    <m/>
    <m/>
    <s v="Wider"/>
    <s v="C01"/>
    <s v="TSBSTA"/>
    <s v="EL03"/>
    <n v="0.5"/>
    <n v="1217"/>
    <n v="0"/>
    <n v="140"/>
    <n v="0"/>
    <n v="140"/>
    <n v="2.64"/>
    <n v="0"/>
    <n v="15.63"/>
    <n v="0"/>
    <n v="0"/>
    <n v="0"/>
    <n v="0"/>
    <n v="0"/>
    <n v="0"/>
    <n v="0"/>
    <n v="0"/>
    <n v="0"/>
    <n v="0"/>
    <n v="0"/>
    <n v="0"/>
    <n v="0"/>
    <n v="0"/>
    <n v="0"/>
    <n v="0"/>
    <n v="0"/>
    <n v="0"/>
    <n v="0"/>
    <n v="0"/>
    <n v="0"/>
    <n v="0"/>
    <n v="0"/>
    <m/>
    <n v="41.314999999999998"/>
    <n v="0"/>
    <n v="0"/>
    <n v="0"/>
    <n v="0"/>
    <n v="0"/>
    <n v="0"/>
    <n v="0"/>
    <n v="0"/>
    <n v="0"/>
    <n v="0"/>
    <n v="0"/>
    <n v="0"/>
    <n v="41.314999999999998"/>
    <n v="0"/>
    <n v="0"/>
    <n v="0"/>
    <n v="0"/>
    <n v="0"/>
    <n v="0"/>
    <n v="0"/>
    <m/>
    <m/>
    <m/>
    <m/>
    <m/>
    <m/>
    <m/>
    <m/>
    <s v="1"/>
    <s v="1"/>
    <s v="1"/>
    <s v="1"/>
    <s v="1"/>
    <m/>
    <m/>
    <m/>
    <m/>
    <m/>
    <m/>
    <m/>
    <m/>
    <m/>
    <m/>
    <m/>
    <m/>
    <m/>
    <m/>
  </r>
  <r>
    <n v="743"/>
    <d v="2025-03-01T00:00:00"/>
    <s v="ZBTO"/>
    <n v="9518567465"/>
    <n v="2"/>
    <s v="9518567465-2"/>
    <s v="No Priority"/>
    <x v="0"/>
    <m/>
    <x v="3"/>
    <x v="9"/>
    <n v="2000"/>
    <m/>
    <x v="0"/>
    <m/>
    <m/>
    <s v="Assam"/>
    <s v="East"/>
    <s v="ABHOYAPUR"/>
    <s v="Coil"/>
    <n v="116649"/>
    <s v="SAGAR STEELS"/>
    <n v="3215894"/>
    <s v="GP COIL SOFT-TATXGP-GLK1-0.6X900"/>
    <m/>
    <m/>
    <m/>
    <m/>
    <s v="Narrow"/>
    <s v="C02"/>
    <s v="TATXGP"/>
    <s v="GLK1"/>
    <n v="0.6"/>
    <n v="900"/>
    <n v="0"/>
    <n v="21"/>
    <n v="0"/>
    <n v="21"/>
    <n v="21"/>
    <n v="0"/>
    <n v="1.385"/>
    <n v="0"/>
    <n v="0"/>
    <n v="0"/>
    <n v="0"/>
    <n v="0"/>
    <n v="0"/>
    <n v="0"/>
    <n v="0"/>
    <n v="0"/>
    <n v="0"/>
    <n v="0"/>
    <n v="0"/>
    <n v="0"/>
    <n v="0"/>
    <n v="0"/>
    <n v="0"/>
    <n v="0"/>
    <n v="0"/>
    <n v="0"/>
    <n v="0"/>
    <n v="0"/>
    <n v="21"/>
    <n v="21"/>
    <m/>
    <n v="0"/>
    <n v="0"/>
    <n v="0"/>
    <n v="0"/>
    <n v="0"/>
    <n v="0"/>
    <n v="0"/>
    <n v="0"/>
    <n v="0"/>
    <n v="0"/>
    <n v="0"/>
    <n v="0"/>
    <n v="0"/>
    <n v="0"/>
    <n v="0"/>
    <n v="0"/>
    <n v="0"/>
    <n v="0"/>
    <n v="0"/>
    <n v="0"/>
    <n v="0"/>
    <m/>
    <m/>
    <m/>
    <m/>
    <m/>
    <m/>
    <m/>
    <m/>
    <s v="1"/>
    <s v="1"/>
    <s v="1"/>
    <s v="1"/>
    <s v="1"/>
    <m/>
    <m/>
    <m/>
    <m/>
    <m/>
    <m/>
    <m/>
    <m/>
    <m/>
    <m/>
    <m/>
    <m/>
    <m/>
    <m/>
  </r>
  <r>
    <n v="742"/>
    <d v="2025-03-03T00:00:00"/>
    <s v="ZBTO"/>
    <n v="9518569788"/>
    <n v="1"/>
    <s v="9518569788-1"/>
    <s v="Apr'25 "/>
    <x v="0"/>
    <m/>
    <x v="1"/>
    <x v="2"/>
    <n v="2000"/>
    <m/>
    <x v="1"/>
    <m/>
    <m/>
    <s v="Assam"/>
    <s v="East"/>
    <s v="ABHOYAPUR"/>
    <s v="Sheet"/>
    <n v="116649"/>
    <s v="SAGAR STEELS"/>
    <n v="3239542"/>
    <s v="CRCA SHEET TATCRC SR16 0.350X1000X2500"/>
    <m/>
    <m/>
    <m/>
    <m/>
    <s v="Narrow"/>
    <s v="C06"/>
    <s v="TATCRC"/>
    <s v="SR16"/>
    <n v="0.35"/>
    <n v="1000"/>
    <n v="2500"/>
    <n v="24"/>
    <n v="0"/>
    <n v="24"/>
    <n v="24"/>
    <n v="24"/>
    <n v="24"/>
    <n v="0"/>
    <n v="0"/>
    <n v="0"/>
    <n v="0"/>
    <n v="0"/>
    <n v="0"/>
    <n v="0"/>
    <n v="0"/>
    <n v="0"/>
    <n v="0"/>
    <n v="0"/>
    <n v="0"/>
    <n v="0"/>
    <n v="0"/>
    <n v="0"/>
    <n v="0"/>
    <n v="0"/>
    <n v="0"/>
    <n v="0"/>
    <n v="0"/>
    <n v="0"/>
    <n v="0"/>
    <n v="0"/>
    <m/>
    <n v="0"/>
    <n v="24"/>
    <n v="0"/>
    <n v="0"/>
    <n v="0"/>
    <n v="24"/>
    <n v="0"/>
    <n v="0"/>
    <n v="0"/>
    <n v="0"/>
    <n v="0"/>
    <n v="0"/>
    <n v="0"/>
    <n v="24"/>
    <n v="0"/>
    <n v="0"/>
    <n v="0"/>
    <n v="0"/>
    <n v="0"/>
    <n v="0"/>
    <n v="0"/>
    <m/>
    <m/>
    <m/>
    <m/>
    <m/>
    <m/>
    <m/>
    <m/>
    <s v="1"/>
    <s v="1"/>
    <s v="1"/>
    <s v="0"/>
    <s v="1"/>
    <m/>
    <m/>
    <m/>
    <m/>
    <m/>
    <m/>
    <m/>
    <m/>
    <m/>
    <m/>
    <m/>
    <m/>
    <m/>
    <m/>
  </r>
  <r>
    <n v="743"/>
    <d v="2025-03-08T00:00:00"/>
    <s v="ZBTO"/>
    <n v="9518584468"/>
    <n v="1"/>
    <s v="9518584468-1"/>
    <s v="Stocks"/>
    <x v="0"/>
    <m/>
    <x v="4"/>
    <x v="3"/>
    <n v="1000"/>
    <m/>
    <x v="1"/>
    <m/>
    <m/>
    <s v="Tamil Nadu"/>
    <s v="TBSPL"/>
    <s v="SRIPERUMBUDUR"/>
    <s v="Coil"/>
    <n v="942294"/>
    <s v="TATA BLUESCOPE STEEL PRIVATE L"/>
    <n v="3946362"/>
    <s v="GL COIL HARD Y550GL M308 0.47 (TCT)X1220"/>
    <m/>
    <m/>
    <m/>
    <m/>
    <s v="Wider"/>
    <s v="B04"/>
    <s v="Y550GL"/>
    <s v="M308"/>
    <n v="0.47"/>
    <n v="1220"/>
    <n v="0"/>
    <n v="168"/>
    <n v="114.02"/>
    <n v="53.98"/>
    <n v="11.805"/>
    <n v="53.98"/>
    <n v="0.17499999999999999"/>
    <n v="0"/>
    <n v="0"/>
    <n v="0"/>
    <n v="0"/>
    <n v="0"/>
    <n v="0"/>
    <n v="0"/>
    <n v="0"/>
    <n v="0"/>
    <n v="0"/>
    <n v="0"/>
    <n v="0"/>
    <n v="0"/>
    <n v="0"/>
    <n v="0"/>
    <n v="0"/>
    <n v="0"/>
    <n v="0"/>
    <n v="0"/>
    <n v="0"/>
    <n v="0"/>
    <n v="0"/>
    <n v="0"/>
    <m/>
    <n v="11.31"/>
    <n v="0"/>
    <n v="0"/>
    <n v="0"/>
    <n v="0"/>
    <n v="0"/>
    <n v="0"/>
    <n v="0"/>
    <n v="0"/>
    <n v="0"/>
    <n v="0"/>
    <n v="0"/>
    <n v="0"/>
    <n v="11.31"/>
    <n v="27.695"/>
    <n v="0"/>
    <n v="0"/>
    <n v="0"/>
    <n v="0"/>
    <n v="0"/>
    <n v="27.695"/>
    <m/>
    <m/>
    <m/>
    <m/>
    <m/>
    <m/>
    <m/>
    <m/>
    <s v="1"/>
    <s v="1"/>
    <s v="1"/>
    <s v="1"/>
    <s v="1"/>
    <m/>
    <m/>
    <m/>
    <m/>
    <m/>
    <m/>
    <m/>
    <m/>
    <m/>
    <m/>
    <m/>
    <m/>
    <m/>
    <m/>
  </r>
  <r>
    <n v="742"/>
    <d v="2025-03-08T00:00:00"/>
    <s v="ZBTO"/>
    <n v="9518585068"/>
    <n v="1"/>
    <s v="9518585068-1"/>
    <s v="May'25"/>
    <x v="0"/>
    <m/>
    <x v="1"/>
    <x v="2"/>
    <n v="2000"/>
    <m/>
    <x v="1"/>
    <m/>
    <s v="Exp BTF &lt;17MT"/>
    <s v="Assam"/>
    <s v="East"/>
    <s v="ABHOYAPUR"/>
    <s v="Coil"/>
    <n v="116649"/>
    <s v="SAGAR STEELS"/>
    <n v="3516009"/>
    <s v="CR COIL TSBCRC SR25 0.700X1250"/>
    <m/>
    <m/>
    <m/>
    <m/>
    <s v="Wider"/>
    <s v="C01"/>
    <s v="TSBCRC"/>
    <s v="SR25"/>
    <n v="0.7"/>
    <n v="1250"/>
    <n v="0"/>
    <n v="87"/>
    <n v="0"/>
    <n v="87"/>
    <n v="3.88"/>
    <n v="32.9"/>
    <n v="60.71"/>
    <n v="0"/>
    <n v="0"/>
    <n v="0"/>
    <n v="0"/>
    <n v="0"/>
    <n v="0"/>
    <n v="0"/>
    <n v="0"/>
    <n v="0"/>
    <n v="0"/>
    <n v="0"/>
    <n v="0"/>
    <n v="26.830000000000002"/>
    <n v="27.27"/>
    <n v="0"/>
    <n v="0"/>
    <n v="0"/>
    <n v="0"/>
    <n v="0"/>
    <n v="54.1"/>
    <n v="54.1"/>
    <n v="0"/>
    <n v="54.1"/>
    <m/>
    <n v="0"/>
    <n v="60.71"/>
    <n v="0"/>
    <n v="60.71"/>
    <n v="0"/>
    <n v="0"/>
    <n v="0"/>
    <n v="60.71"/>
    <n v="0"/>
    <n v="60.71"/>
    <n v="0"/>
    <n v="0"/>
    <n v="0"/>
    <n v="0"/>
    <n v="0"/>
    <n v="0"/>
    <n v="0"/>
    <n v="0"/>
    <n v="0"/>
    <n v="0"/>
    <n v="0"/>
    <m/>
    <m/>
    <m/>
    <m/>
    <m/>
    <m/>
    <m/>
    <m/>
    <s v="1"/>
    <s v="0"/>
    <s v="1"/>
    <s v="1"/>
    <s v="1"/>
    <m/>
    <m/>
    <m/>
    <m/>
    <m/>
    <m/>
    <m/>
    <m/>
    <m/>
    <m/>
    <m/>
    <m/>
    <m/>
    <m/>
  </r>
  <r>
    <n v="742"/>
    <d v="2025-03-11T00:00:00"/>
    <s v="ZBTO"/>
    <n v="9518592268"/>
    <n v="1"/>
    <s v="9518592268-1"/>
    <s v="Apr'25 "/>
    <x v="0"/>
    <m/>
    <x v="1"/>
    <x v="2"/>
    <n v="2000"/>
    <m/>
    <x v="1"/>
    <m/>
    <m/>
    <s v="West Bengal"/>
    <s v="East"/>
    <s v="SILIGURI TOWN"/>
    <s v="Sheet"/>
    <n v="948783"/>
    <s v="SAGAR STEELS"/>
    <n v="3239557"/>
    <s v="CRCA SHEET TATCRC SR16 0.400X1250X2500"/>
    <m/>
    <m/>
    <m/>
    <m/>
    <s v="Wider"/>
    <s v="C06"/>
    <s v="TATCRC"/>
    <s v="SR16"/>
    <n v="0.4"/>
    <n v="1250"/>
    <n v="0"/>
    <n v="27"/>
    <n v="0"/>
    <n v="27"/>
    <n v="27"/>
    <n v="27"/>
    <n v="27"/>
    <n v="0"/>
    <n v="0"/>
    <n v="0"/>
    <n v="0"/>
    <n v="0"/>
    <n v="0"/>
    <n v="0"/>
    <n v="0"/>
    <n v="0"/>
    <n v="0"/>
    <n v="0"/>
    <n v="0"/>
    <n v="0"/>
    <n v="0"/>
    <n v="0"/>
    <n v="0"/>
    <n v="0"/>
    <n v="0"/>
    <n v="0"/>
    <n v="0"/>
    <n v="0"/>
    <n v="0"/>
    <n v="0"/>
    <m/>
    <n v="0"/>
    <n v="27"/>
    <n v="0"/>
    <n v="0"/>
    <n v="0"/>
    <n v="27"/>
    <n v="0"/>
    <n v="0"/>
    <n v="0"/>
    <n v="0"/>
    <n v="0"/>
    <n v="0"/>
    <n v="0"/>
    <n v="27"/>
    <n v="0"/>
    <n v="0"/>
    <n v="0"/>
    <n v="0"/>
    <n v="0"/>
    <n v="0"/>
    <n v="0"/>
    <m/>
    <m/>
    <m/>
    <m/>
    <m/>
    <m/>
    <m/>
    <m/>
    <s v="1"/>
    <s v="1"/>
    <s v="1"/>
    <s v="0"/>
    <s v="1"/>
    <m/>
    <m/>
    <m/>
    <m/>
    <m/>
    <m/>
    <m/>
    <m/>
    <m/>
    <m/>
    <m/>
    <m/>
    <m/>
    <m/>
  </r>
  <r>
    <n v="744"/>
    <d v="2025-03-13T00:00:00"/>
    <s v="ZBTO"/>
    <n v="9518599122"/>
    <n v="3"/>
    <s v="9518599122-3"/>
    <s v="Apr'25 "/>
    <x v="0"/>
    <m/>
    <x v="2"/>
    <x v="3"/>
    <n v="1000"/>
    <m/>
    <x v="1"/>
    <m/>
    <m/>
    <s v="Jharkhand"/>
    <s v="TBSPL"/>
    <s v="TBL- BARA AGRICO"/>
    <s v="Coil"/>
    <n v="941597"/>
    <s v="TATA BLUESCOPE STEEL PRIVATE L"/>
    <n v="3902332"/>
    <s v="PPGL C HARD Y550PL D0C9 0.50(TPT)X1220"/>
    <m/>
    <m/>
    <m/>
    <m/>
    <s v="Wider"/>
    <s v="B18"/>
    <s v="Y550PL"/>
    <s v="D0C9"/>
    <n v="0.5"/>
    <n v="1220"/>
    <n v="0"/>
    <n v="28"/>
    <n v="0"/>
    <n v="28"/>
    <n v="28"/>
    <n v="28"/>
    <n v="28"/>
    <n v="0"/>
    <n v="0"/>
    <n v="0"/>
    <n v="0"/>
    <n v="0"/>
    <n v="0"/>
    <n v="0"/>
    <n v="0"/>
    <n v="0"/>
    <n v="0"/>
    <n v="0"/>
    <n v="0"/>
    <n v="0"/>
    <n v="0"/>
    <n v="0"/>
    <n v="0"/>
    <n v="0"/>
    <n v="0"/>
    <n v="0"/>
    <n v="0"/>
    <n v="0"/>
    <n v="0"/>
    <n v="0"/>
    <m/>
    <n v="0"/>
    <n v="28"/>
    <n v="0"/>
    <n v="0"/>
    <n v="0"/>
    <n v="28"/>
    <n v="0"/>
    <n v="0"/>
    <n v="0"/>
    <n v="0"/>
    <n v="0"/>
    <n v="0"/>
    <n v="0"/>
    <n v="28"/>
    <n v="0"/>
    <n v="0"/>
    <n v="0"/>
    <n v="0"/>
    <n v="0"/>
    <n v="0"/>
    <n v="0"/>
    <m/>
    <m/>
    <m/>
    <m/>
    <m/>
    <m/>
    <m/>
    <m/>
    <s v="1"/>
    <s v="1"/>
    <s v="1"/>
    <s v="0"/>
    <s v="1"/>
    <m/>
    <m/>
    <m/>
    <m/>
    <m/>
    <m/>
    <m/>
    <m/>
    <m/>
    <m/>
    <m/>
    <m/>
    <m/>
    <m/>
  </r>
  <r>
    <n v="743"/>
    <d v="2025-03-13T00:00:00"/>
    <s v="ZBTO"/>
    <n v="9518599613"/>
    <n v="1"/>
    <s v="9518599613-1"/>
    <s v="No Priority"/>
    <x v="0"/>
    <m/>
    <x v="4"/>
    <x v="3"/>
    <n v="1000"/>
    <m/>
    <x v="0"/>
    <m/>
    <m/>
    <s v="Jharkhand"/>
    <s v="TBSPL"/>
    <s v="TBL- BARA AGRICO"/>
    <s v="Coil"/>
    <n v="942283"/>
    <s v="TATA BLUESCOPE STEEL PRIVATE L"/>
    <n v="3928137"/>
    <s v="GL C YS550 H6GL 0.85BMT(0.90TCT)X1220"/>
    <m/>
    <m/>
    <m/>
    <m/>
    <s v="Wider"/>
    <s v="B04"/>
    <s v="Y550GL"/>
    <s v="H6GL"/>
    <n v="0.85"/>
    <n v="1220"/>
    <n v="0"/>
    <n v="56"/>
    <n v="47.704999999999998"/>
    <n v="8.2949999999999999"/>
    <n v="3.6549999999999998"/>
    <n v="3.6550000000000002"/>
    <n v="8.2949999999999999"/>
    <n v="0"/>
    <n v="0"/>
    <n v="0"/>
    <n v="0"/>
    <n v="0"/>
    <n v="0"/>
    <n v="0"/>
    <n v="4.6399999999999997"/>
    <n v="0"/>
    <n v="0"/>
    <n v="0"/>
    <n v="0"/>
    <n v="0"/>
    <n v="0"/>
    <n v="0"/>
    <n v="0"/>
    <n v="0"/>
    <n v="0"/>
    <n v="0"/>
    <n v="4.6399999999999997"/>
    <n v="4.6399999999999997"/>
    <n v="0"/>
    <n v="4.6399999999999997"/>
    <m/>
    <n v="0"/>
    <n v="0"/>
    <n v="0"/>
    <n v="0"/>
    <n v="0"/>
    <n v="0"/>
    <n v="0"/>
    <n v="0"/>
    <n v="0"/>
    <n v="0"/>
    <n v="0"/>
    <n v="0"/>
    <n v="0"/>
    <n v="0"/>
    <n v="47.704999999999998"/>
    <n v="0"/>
    <n v="0"/>
    <n v="0"/>
    <n v="0"/>
    <n v="0"/>
    <n v="47.704999999999998"/>
    <m/>
    <m/>
    <m/>
    <m/>
    <m/>
    <m/>
    <m/>
    <m/>
    <s v="1"/>
    <s v="1"/>
    <s v="1"/>
    <s v="1"/>
    <s v="1"/>
    <m/>
    <m/>
    <m/>
    <m/>
    <m/>
    <m/>
    <m/>
    <m/>
    <m/>
    <m/>
    <m/>
    <m/>
    <m/>
    <m/>
  </r>
  <r>
    <n v="742"/>
    <d v="2025-03-16T00:00:00"/>
    <s v="ZBTO"/>
    <n v="9518604267"/>
    <n v="1"/>
    <s v="9518604267-1"/>
    <s v="Apr'25 "/>
    <x v="0"/>
    <m/>
    <x v="5"/>
    <x v="10"/>
    <n v="1000"/>
    <m/>
    <x v="1"/>
    <m/>
    <m/>
    <s v="Gujarat"/>
    <s v="West"/>
    <s v="KUTCH"/>
    <s v="Coil"/>
    <n v="189108"/>
    <s v="Manaksia Coated Metals &amp; Indus"/>
    <n v="3577912"/>
    <s v="CR COIL TATFHC TR10 0.360X1320"/>
    <m/>
    <m/>
    <m/>
    <m/>
    <s v="Wider"/>
    <s v="C09"/>
    <s v="TATFHC"/>
    <s v="TR10"/>
    <n v="0.36"/>
    <n v="1320"/>
    <n v="0"/>
    <n v="300"/>
    <n v="0"/>
    <n v="300"/>
    <n v="270.04000000000002"/>
    <n v="257.34500000000003"/>
    <n v="65.415000000000006"/>
    <n v="0"/>
    <n v="0"/>
    <n v="0"/>
    <n v="0"/>
    <n v="29.335000000000001"/>
    <n v="0"/>
    <n v="0"/>
    <n v="0"/>
    <n v="0"/>
    <n v="0"/>
    <n v="0"/>
    <n v="0"/>
    <n v="0"/>
    <n v="0"/>
    <n v="0"/>
    <n v="13.32"/>
    <n v="0"/>
    <n v="0"/>
    <n v="0"/>
    <n v="42.655000000000001"/>
    <n v="42.655000000000001"/>
    <n v="0"/>
    <n v="42.655000000000001"/>
    <m/>
    <n v="55.954999999999998"/>
    <n v="65.415000000000006"/>
    <n v="0"/>
    <n v="65.415000000000006"/>
    <n v="0"/>
    <n v="0"/>
    <n v="0"/>
    <n v="65.415000000000006"/>
    <n v="0"/>
    <n v="65.415000000000006"/>
    <n v="0"/>
    <n v="0"/>
    <n v="0"/>
    <n v="55.954999999999998"/>
    <n v="0"/>
    <n v="0"/>
    <n v="0"/>
    <n v="0"/>
    <n v="0"/>
    <n v="0"/>
    <n v="0"/>
    <m/>
    <m/>
    <m/>
    <m/>
    <m/>
    <m/>
    <m/>
    <m/>
    <s v="1"/>
    <s v="0"/>
    <s v="1"/>
    <s v="1"/>
    <s v="1"/>
    <m/>
    <m/>
    <m/>
    <m/>
    <m/>
    <m/>
    <m/>
    <m/>
    <m/>
    <m/>
    <m/>
    <m/>
    <m/>
    <m/>
  </r>
  <r>
    <n v="742"/>
    <d v="2025-03-16T00:00:00"/>
    <s v="ZBTO"/>
    <n v="9518604267"/>
    <n v="3"/>
    <s v="9518604267-3"/>
    <s v="Apr'25 "/>
    <x v="0"/>
    <m/>
    <x v="5"/>
    <x v="10"/>
    <n v="1000"/>
    <m/>
    <x v="1"/>
    <m/>
    <m/>
    <s v="Gujarat"/>
    <s v="West"/>
    <s v="KUTCH"/>
    <s v="Coil"/>
    <n v="189108"/>
    <s v="Manaksia Coated Metals &amp; Indus"/>
    <n v="3577912"/>
    <s v="CR COIL TATFHC TR10 0.360X1320"/>
    <m/>
    <m/>
    <m/>
    <m/>
    <s v="Wider"/>
    <s v="C09"/>
    <s v="TATFHC"/>
    <s v="TR10"/>
    <n v="0.36"/>
    <n v="1320"/>
    <n v="0"/>
    <n v="270"/>
    <n v="0"/>
    <n v="270"/>
    <n v="270"/>
    <n v="228.18"/>
    <n v="63.314999999999998"/>
    <n v="0"/>
    <n v="0"/>
    <n v="0"/>
    <n v="0"/>
    <n v="32.020000000000003"/>
    <n v="0"/>
    <n v="0"/>
    <n v="0"/>
    <n v="0"/>
    <n v="0"/>
    <n v="0"/>
    <n v="0"/>
    <n v="0"/>
    <n v="0"/>
    <n v="0"/>
    <n v="0"/>
    <n v="0"/>
    <n v="0"/>
    <n v="9.8000000000000007"/>
    <n v="41.820000000000007"/>
    <n v="41.820000000000007"/>
    <n v="0"/>
    <n v="41.820000000000007"/>
    <m/>
    <n v="125.26499999999999"/>
    <n v="63.314999999999998"/>
    <n v="0"/>
    <n v="63.314999999999998"/>
    <n v="0"/>
    <n v="0"/>
    <n v="0"/>
    <n v="63.314999999999998"/>
    <n v="0"/>
    <n v="63.314999999999998"/>
    <n v="0"/>
    <n v="0"/>
    <n v="0"/>
    <n v="125.26499999999999"/>
    <n v="0"/>
    <n v="0"/>
    <n v="0"/>
    <n v="0"/>
    <n v="0"/>
    <n v="0"/>
    <n v="0"/>
    <m/>
    <m/>
    <m/>
    <m/>
    <m/>
    <m/>
    <m/>
    <m/>
    <s v="1"/>
    <s v="0"/>
    <s v="1"/>
    <s v="1"/>
    <s v="1"/>
    <m/>
    <m/>
    <m/>
    <m/>
    <m/>
    <m/>
    <m/>
    <m/>
    <m/>
    <m/>
    <m/>
    <m/>
    <m/>
    <m/>
  </r>
  <r>
    <n v="742"/>
    <d v="2025-03-17T00:00:00"/>
    <s v="ZBTO"/>
    <n v="9518605539"/>
    <n v="1"/>
    <s v="9518605539-1"/>
    <s v="No Priority"/>
    <x v="0"/>
    <m/>
    <x v="1"/>
    <x v="2"/>
    <n v="2000"/>
    <m/>
    <x v="0"/>
    <m/>
    <m/>
    <s v="West Bengal"/>
    <s v="East"/>
    <s v="HOWRAH"/>
    <s v="Sheet"/>
    <n v="925093"/>
    <s v="PSPL STEEL PROCESSORS PRIVATE"/>
    <n v="2440959"/>
    <s v="CRCA SHEET TATCRC SR16 0.330X900X2500"/>
    <m/>
    <m/>
    <m/>
    <m/>
    <s v="Narrow"/>
    <s v="C06"/>
    <s v="TATCRC"/>
    <s v="SR16"/>
    <n v="0.33"/>
    <n v="900"/>
    <n v="2500"/>
    <n v="24"/>
    <n v="0"/>
    <n v="24"/>
    <n v="24"/>
    <n v="0"/>
    <n v="24"/>
    <n v="0"/>
    <n v="0"/>
    <n v="0"/>
    <n v="0"/>
    <n v="0"/>
    <n v="0"/>
    <n v="0"/>
    <n v="0"/>
    <n v="0"/>
    <n v="0"/>
    <n v="0"/>
    <n v="0"/>
    <n v="0"/>
    <n v="0"/>
    <n v="0"/>
    <n v="0"/>
    <n v="22.09"/>
    <n v="0"/>
    <n v="0"/>
    <n v="22.09"/>
    <n v="22.09"/>
    <n v="0"/>
    <n v="22.09"/>
    <m/>
    <n v="0"/>
    <n v="0"/>
    <n v="0"/>
    <n v="0"/>
    <n v="0"/>
    <n v="0"/>
    <n v="0"/>
    <n v="0"/>
    <n v="0"/>
    <n v="0"/>
    <n v="0"/>
    <n v="0"/>
    <n v="0"/>
    <n v="0"/>
    <n v="0"/>
    <n v="0"/>
    <n v="0"/>
    <n v="0"/>
    <n v="0"/>
    <n v="0"/>
    <n v="0"/>
    <m/>
    <m/>
    <m/>
    <m/>
    <m/>
    <m/>
    <m/>
    <m/>
    <s v="1"/>
    <s v="1"/>
    <s v="1"/>
    <s v="1"/>
    <s v="1"/>
    <m/>
    <m/>
    <m/>
    <m/>
    <m/>
    <m/>
    <m/>
    <m/>
    <m/>
    <m/>
    <m/>
    <m/>
    <m/>
    <m/>
  </r>
  <r>
    <n v="742"/>
    <d v="2025-03-17T00:00:00"/>
    <s v="ZBTO"/>
    <n v="9518605539"/>
    <n v="2"/>
    <s v="9518605539-2"/>
    <s v="No Priority"/>
    <x v="0"/>
    <m/>
    <x v="1"/>
    <x v="2"/>
    <n v="2000"/>
    <m/>
    <x v="0"/>
    <m/>
    <s v="Exp BTF &lt;17MT"/>
    <s v="West Bengal"/>
    <s v="East"/>
    <s v="HOWRAH"/>
    <s v="Sheet"/>
    <n v="925093"/>
    <s v="PSPL STEEL PROCESSORS PRIVATE"/>
    <n v="3239536"/>
    <s v="CRCA SHEET TATCRC SR16 0.350X900X2500"/>
    <m/>
    <m/>
    <m/>
    <m/>
    <s v="Narrow"/>
    <s v="C06"/>
    <s v="TATCRC"/>
    <s v="SR16"/>
    <n v="0.35"/>
    <n v="900"/>
    <n v="2500"/>
    <n v="24"/>
    <n v="18.22"/>
    <n v="5.78"/>
    <n v="5.78"/>
    <n v="5.78"/>
    <n v="5.78"/>
    <n v="0"/>
    <n v="0"/>
    <n v="0"/>
    <n v="0"/>
    <n v="0"/>
    <n v="0"/>
    <n v="0"/>
    <n v="0"/>
    <n v="0"/>
    <n v="0"/>
    <n v="0"/>
    <n v="0"/>
    <n v="0"/>
    <n v="0"/>
    <n v="0"/>
    <n v="0"/>
    <n v="0"/>
    <n v="0"/>
    <n v="0"/>
    <n v="0"/>
    <n v="0"/>
    <n v="0"/>
    <n v="0"/>
    <m/>
    <n v="0"/>
    <n v="0"/>
    <n v="0"/>
    <n v="0"/>
    <n v="0"/>
    <n v="0"/>
    <n v="0"/>
    <n v="0"/>
    <n v="0"/>
    <n v="0"/>
    <n v="0"/>
    <n v="0"/>
    <n v="0"/>
    <n v="0"/>
    <n v="18.22"/>
    <n v="0"/>
    <n v="0"/>
    <n v="0"/>
    <n v="0"/>
    <n v="0"/>
    <n v="18.22"/>
    <m/>
    <m/>
    <m/>
    <m/>
    <m/>
    <m/>
    <m/>
    <m/>
    <s v="1"/>
    <s v="1"/>
    <s v="1"/>
    <s v="1"/>
    <s v="1"/>
    <m/>
    <m/>
    <m/>
    <m/>
    <m/>
    <m/>
    <m/>
    <m/>
    <m/>
    <m/>
    <m/>
    <m/>
    <m/>
    <m/>
  </r>
  <r>
    <n v="742"/>
    <d v="2025-03-17T00:00:00"/>
    <s v="ZBTO"/>
    <n v="9518605539"/>
    <n v="3"/>
    <s v="9518605539-3"/>
    <s v="Stocks"/>
    <x v="0"/>
    <m/>
    <x v="1"/>
    <x v="2"/>
    <n v="2000"/>
    <m/>
    <x v="1"/>
    <m/>
    <m/>
    <s v="West Bengal"/>
    <s v="East"/>
    <s v="HOWRAH"/>
    <s v="Sheet"/>
    <n v="925093"/>
    <s v="PSPL STEEL PROCESSORS PRIVATE"/>
    <n v="3239548"/>
    <s v="CRCA SHEET TATCRC SR16 0.400X900X2500"/>
    <m/>
    <m/>
    <m/>
    <m/>
    <s v="Narrow"/>
    <s v="C06"/>
    <s v="TATCRC"/>
    <s v="SR16"/>
    <n v="0.4"/>
    <n v="900"/>
    <n v="2500"/>
    <n v="24"/>
    <n v="0"/>
    <n v="24"/>
    <n v="2.72"/>
    <n v="0"/>
    <n v="4.3449999999999998"/>
    <n v="0"/>
    <n v="0"/>
    <n v="0"/>
    <n v="0"/>
    <n v="0"/>
    <n v="0"/>
    <n v="0"/>
    <n v="0"/>
    <n v="0"/>
    <n v="0"/>
    <n v="0"/>
    <n v="0"/>
    <n v="0"/>
    <n v="0"/>
    <n v="0"/>
    <n v="0"/>
    <n v="0"/>
    <n v="0"/>
    <n v="0"/>
    <n v="0"/>
    <n v="0"/>
    <n v="0"/>
    <n v="0"/>
    <m/>
    <n v="19.654999999999998"/>
    <n v="0"/>
    <n v="0"/>
    <n v="0"/>
    <n v="0"/>
    <n v="0"/>
    <n v="0"/>
    <n v="0"/>
    <n v="0"/>
    <n v="0"/>
    <n v="0"/>
    <n v="0"/>
    <n v="0"/>
    <n v="19.654999999999998"/>
    <n v="0"/>
    <n v="0"/>
    <n v="0"/>
    <n v="0"/>
    <n v="0"/>
    <n v="0"/>
    <n v="0"/>
    <m/>
    <m/>
    <m/>
    <m/>
    <m/>
    <m/>
    <m/>
    <m/>
    <s v="1"/>
    <s v="1"/>
    <s v="1"/>
    <s v="1"/>
    <s v="1"/>
    <m/>
    <m/>
    <m/>
    <m/>
    <m/>
    <m/>
    <m/>
    <m/>
    <m/>
    <m/>
    <m/>
    <m/>
    <m/>
    <m/>
  </r>
  <r>
    <n v="743"/>
    <d v="2025-03-18T00:00:00"/>
    <s v="ZBTO"/>
    <n v="9518609826"/>
    <n v="2"/>
    <s v="9518609826-2"/>
    <s v="Stocks"/>
    <x v="0"/>
    <m/>
    <x v="4"/>
    <x v="3"/>
    <n v="1000"/>
    <m/>
    <x v="1"/>
    <m/>
    <m/>
    <s v="Jharkhand"/>
    <s v="TBSPL"/>
    <s v="ADITYAPUR"/>
    <s v="Coil"/>
    <n v="942284"/>
    <s v="TATA BLUESCOPE STEEL PRIVATE L"/>
    <n v="3946364"/>
    <s v="GL COIL HARD Y550GL M308 0.50 (TCT)X1220"/>
    <m/>
    <m/>
    <m/>
    <m/>
    <s v="Wider"/>
    <s v="B04"/>
    <s v="Y550GL"/>
    <s v="M308"/>
    <n v="0.5"/>
    <n v="1220"/>
    <n v="0"/>
    <n v="112"/>
    <n v="26.84"/>
    <n v="85.16"/>
    <n v="5.3029999999999999"/>
    <n v="85.16"/>
    <n v="1.9750000000000001"/>
    <n v="0"/>
    <n v="0"/>
    <n v="0"/>
    <n v="0"/>
    <n v="0"/>
    <n v="0"/>
    <n v="0"/>
    <n v="0"/>
    <n v="0"/>
    <n v="0"/>
    <n v="0"/>
    <n v="0"/>
    <n v="0"/>
    <n v="0"/>
    <n v="0"/>
    <n v="0"/>
    <n v="0"/>
    <n v="0"/>
    <n v="0"/>
    <n v="0"/>
    <n v="0"/>
    <n v="0"/>
    <n v="0"/>
    <m/>
    <n v="9.32"/>
    <n v="0"/>
    <n v="0"/>
    <n v="0"/>
    <n v="0"/>
    <n v="0"/>
    <n v="0"/>
    <n v="0"/>
    <n v="0"/>
    <n v="0"/>
    <n v="0"/>
    <n v="0"/>
    <n v="0"/>
    <n v="9.32"/>
    <n v="0"/>
    <n v="0"/>
    <n v="0"/>
    <n v="0"/>
    <n v="0"/>
    <n v="0"/>
    <n v="0"/>
    <m/>
    <m/>
    <m/>
    <m/>
    <m/>
    <m/>
    <m/>
    <m/>
    <s v="1"/>
    <s v="1"/>
    <s v="1"/>
    <s v="1"/>
    <s v="1"/>
    <m/>
    <m/>
    <m/>
    <m/>
    <m/>
    <m/>
    <m/>
    <m/>
    <m/>
    <m/>
    <m/>
    <m/>
    <m/>
    <m/>
  </r>
  <r>
    <n v="743"/>
    <d v="2025-03-19T00:00:00"/>
    <s v="ZBTO"/>
    <n v="9518613003"/>
    <n v="1"/>
    <s v="9518613003-1"/>
    <s v="Apr'25 "/>
    <x v="0"/>
    <m/>
    <x v="4"/>
    <x v="5"/>
    <n v="1000"/>
    <m/>
    <x v="1"/>
    <m/>
    <m/>
    <s v="Telangana"/>
    <s v="South"/>
    <s v="VIKARABAD"/>
    <s v="Coil"/>
    <n v="947959"/>
    <s v="PENNAR INDUSTRIES LIMITED"/>
    <n v="3886225"/>
    <s v="GL COIL HARD  Y550GL HGL6 0.900X1242"/>
    <m/>
    <m/>
    <m/>
    <m/>
    <s v="Wider"/>
    <s v="B04"/>
    <s v="Y550GL"/>
    <s v="HGL6"/>
    <n v="0.9"/>
    <n v="1242"/>
    <n v="0"/>
    <n v="224"/>
    <n v="80.319999999999993"/>
    <n v="143.68"/>
    <n v="143.68"/>
    <n v="143.68"/>
    <n v="143.68"/>
    <n v="0"/>
    <n v="0"/>
    <n v="0"/>
    <n v="0"/>
    <n v="0"/>
    <n v="0"/>
    <n v="0"/>
    <n v="0"/>
    <n v="0"/>
    <n v="0"/>
    <n v="0"/>
    <n v="0"/>
    <n v="0"/>
    <n v="0"/>
    <n v="0"/>
    <n v="0"/>
    <n v="0"/>
    <n v="0"/>
    <n v="0"/>
    <n v="0"/>
    <n v="0"/>
    <n v="0"/>
    <n v="0"/>
    <m/>
    <n v="13.3"/>
    <n v="143.68"/>
    <n v="0"/>
    <n v="0"/>
    <n v="0"/>
    <n v="0"/>
    <n v="143.68"/>
    <n v="0"/>
    <n v="0"/>
    <n v="0"/>
    <n v="0"/>
    <n v="0"/>
    <n v="0"/>
    <n v="156.98000000000002"/>
    <n v="0"/>
    <n v="0"/>
    <n v="0"/>
    <n v="0"/>
    <n v="0"/>
    <n v="0"/>
    <n v="0"/>
    <m/>
    <m/>
    <m/>
    <m/>
    <m/>
    <m/>
    <m/>
    <m/>
    <s v="1"/>
    <s v="1"/>
    <s v="1"/>
    <s v="1"/>
    <s v="0"/>
    <m/>
    <m/>
    <m/>
    <m/>
    <m/>
    <m/>
    <m/>
    <m/>
    <m/>
    <m/>
    <m/>
    <m/>
    <m/>
    <m/>
  </r>
  <r>
    <n v="743"/>
    <d v="2025-03-19T00:00:00"/>
    <s v="ZBTO"/>
    <n v="9518613003"/>
    <n v="2"/>
    <s v="9518613003-2"/>
    <s v="Apr'25 "/>
    <x v="0"/>
    <m/>
    <x v="4"/>
    <x v="5"/>
    <n v="1000"/>
    <m/>
    <x v="1"/>
    <m/>
    <m/>
    <s v="Telangana"/>
    <s v="South"/>
    <s v="VIKARABAD"/>
    <s v="Coil"/>
    <n v="947959"/>
    <s v="PENNAR INDUSTRIES LIMITED"/>
    <n v="3886225"/>
    <s v="GL COIL HARD  Y550GL HGL6 0.900X1242"/>
    <m/>
    <m/>
    <m/>
    <m/>
    <s v="Wider"/>
    <s v="B04"/>
    <s v="Y550GL"/>
    <s v="HGL6"/>
    <n v="0.9"/>
    <n v="1242"/>
    <n v="0"/>
    <n v="112"/>
    <n v="10.210000000000001"/>
    <n v="101.79"/>
    <n v="101.79"/>
    <n v="101.79"/>
    <n v="101.79"/>
    <n v="0"/>
    <n v="0"/>
    <n v="0"/>
    <n v="0"/>
    <n v="0"/>
    <n v="0"/>
    <n v="0"/>
    <n v="0"/>
    <n v="0"/>
    <n v="0"/>
    <n v="0"/>
    <n v="0"/>
    <n v="0"/>
    <n v="0"/>
    <n v="0"/>
    <n v="0"/>
    <n v="0"/>
    <n v="0"/>
    <n v="0"/>
    <n v="0"/>
    <n v="0"/>
    <n v="0"/>
    <n v="0"/>
    <m/>
    <n v="10.210000000000001"/>
    <n v="101.79"/>
    <n v="0"/>
    <n v="0"/>
    <n v="0"/>
    <n v="0"/>
    <n v="101.79"/>
    <n v="0"/>
    <n v="0"/>
    <n v="0"/>
    <n v="0"/>
    <n v="0"/>
    <n v="0"/>
    <n v="112"/>
    <n v="0"/>
    <n v="0"/>
    <n v="0"/>
    <n v="0"/>
    <n v="0"/>
    <n v="0"/>
    <n v="0"/>
    <m/>
    <m/>
    <m/>
    <m/>
    <m/>
    <m/>
    <m/>
    <m/>
    <s v="1"/>
    <s v="1"/>
    <s v="1"/>
    <s v="1"/>
    <s v="0"/>
    <m/>
    <m/>
    <m/>
    <m/>
    <m/>
    <m/>
    <m/>
    <m/>
    <m/>
    <m/>
    <m/>
    <m/>
    <m/>
    <m/>
  </r>
  <r>
    <n v="743"/>
    <d v="2025-03-19T00:00:00"/>
    <s v="ZBTO"/>
    <n v="9518613067"/>
    <n v="1"/>
    <s v="9518613067-1"/>
    <s v="Apr'25 "/>
    <x v="0"/>
    <m/>
    <x v="4"/>
    <x v="5"/>
    <n v="1000"/>
    <m/>
    <x v="1"/>
    <m/>
    <m/>
    <s v="Telangana"/>
    <s v="South"/>
    <s v="VIKARABAD"/>
    <s v="Coil"/>
    <n v="947959"/>
    <s v="PENNAR INDUSTRIES LIMITED"/>
    <n v="3886225"/>
    <s v="GL COIL HARD  Y550GL HGL6 0.900X1242"/>
    <m/>
    <m/>
    <m/>
    <m/>
    <s v="Wider"/>
    <s v="B04"/>
    <s v="Y550GL"/>
    <s v="HGL6"/>
    <n v="0.9"/>
    <n v="1242"/>
    <n v="0"/>
    <n v="168"/>
    <n v="19.829999999999998"/>
    <n v="148.16999999999999"/>
    <n v="148.16999999999999"/>
    <n v="27.064999999999984"/>
    <n v="134.41499999999999"/>
    <n v="0"/>
    <n v="0"/>
    <n v="0"/>
    <n v="0"/>
    <n v="0"/>
    <n v="0.62"/>
    <n v="0"/>
    <n v="12.98"/>
    <n v="0"/>
    <n v="0"/>
    <n v="0"/>
    <n v="0"/>
    <n v="0"/>
    <n v="0"/>
    <n v="0"/>
    <n v="0"/>
    <n v="0"/>
    <n v="0"/>
    <n v="107.50500000000001"/>
    <n v="121.105"/>
    <n v="121.105"/>
    <n v="0"/>
    <n v="121.105"/>
    <m/>
    <n v="40.675000000000004"/>
    <n v="120.68"/>
    <n v="120.68"/>
    <n v="0"/>
    <n v="0"/>
    <n v="0"/>
    <n v="0"/>
    <n v="0"/>
    <n v="0"/>
    <n v="0"/>
    <n v="0"/>
    <n v="0"/>
    <n v="0"/>
    <n v="161.35500000000002"/>
    <n v="0"/>
    <n v="0"/>
    <n v="0"/>
    <n v="0"/>
    <n v="0"/>
    <n v="0"/>
    <n v="0"/>
    <m/>
    <m/>
    <m/>
    <m/>
    <m/>
    <m/>
    <m/>
    <m/>
    <s v="0"/>
    <s v="1"/>
    <s v="1"/>
    <s v="1"/>
    <s v="1"/>
    <m/>
    <m/>
    <m/>
    <m/>
    <m/>
    <m/>
    <m/>
    <m/>
    <m/>
    <m/>
    <m/>
    <m/>
    <m/>
    <m/>
  </r>
  <r>
    <n v="743"/>
    <d v="2025-03-19T00:00:00"/>
    <s v="ZBTO"/>
    <n v="9518613067"/>
    <n v="2"/>
    <s v="9518613067-2"/>
    <s v="Apr'25 "/>
    <x v="0"/>
    <m/>
    <x v="4"/>
    <x v="5"/>
    <n v="1000"/>
    <m/>
    <x v="1"/>
    <m/>
    <m/>
    <s v="Telangana"/>
    <s v="South"/>
    <s v="VIKARABAD"/>
    <s v="Coil"/>
    <n v="947959"/>
    <s v="PENNAR INDUSTRIES LIMITED"/>
    <n v="3886225"/>
    <s v="GL COIL HARD  Y550GL HGL6 0.900X1242"/>
    <m/>
    <m/>
    <m/>
    <m/>
    <s v="Wider"/>
    <s v="B04"/>
    <s v="Y550GL"/>
    <s v="HGL6"/>
    <n v="0.9"/>
    <n v="1242"/>
    <n v="0"/>
    <n v="140"/>
    <n v="0"/>
    <n v="140"/>
    <n v="140"/>
    <n v="29.97"/>
    <n v="140"/>
    <n v="0"/>
    <n v="0"/>
    <n v="0"/>
    <n v="0"/>
    <n v="0"/>
    <n v="110.03"/>
    <n v="0"/>
    <n v="0"/>
    <n v="0"/>
    <n v="0"/>
    <n v="0"/>
    <n v="0"/>
    <n v="0"/>
    <n v="0"/>
    <n v="0"/>
    <n v="0"/>
    <n v="0"/>
    <n v="0"/>
    <n v="0"/>
    <n v="110.03"/>
    <n v="110.03"/>
    <n v="0"/>
    <n v="110.03"/>
    <m/>
    <n v="0"/>
    <n v="140"/>
    <n v="0"/>
    <n v="0"/>
    <n v="0"/>
    <n v="0"/>
    <n v="140"/>
    <n v="0"/>
    <n v="0"/>
    <n v="0"/>
    <n v="0"/>
    <n v="0"/>
    <n v="0"/>
    <n v="140"/>
    <n v="0"/>
    <n v="0"/>
    <n v="0"/>
    <n v="0"/>
    <n v="0"/>
    <n v="0"/>
    <n v="0"/>
    <m/>
    <m/>
    <m/>
    <m/>
    <m/>
    <m/>
    <m/>
    <m/>
    <s v="1"/>
    <s v="1"/>
    <s v="1"/>
    <s v="1"/>
    <s v="0"/>
    <m/>
    <m/>
    <m/>
    <m/>
    <m/>
    <m/>
    <m/>
    <m/>
    <m/>
    <m/>
    <m/>
    <m/>
    <m/>
    <m/>
  </r>
  <r>
    <n v="742"/>
    <d v="2025-03-19T00:00:00"/>
    <s v="ZBTO"/>
    <n v="9518613413"/>
    <n v="1"/>
    <s v="9518613413-1"/>
    <s v="No Priority"/>
    <x v="0"/>
    <m/>
    <x v="1"/>
    <x v="10"/>
    <n v="1000"/>
    <m/>
    <x v="0"/>
    <m/>
    <m/>
    <s v="Andhra Pradesh"/>
    <s v="South"/>
    <s v="CHITTOOR"/>
    <s v="Coil"/>
    <n v="188238"/>
    <s v="Balmer Lawrie &amp; Co. Limited"/>
    <n v="2164800"/>
    <s v="CRCA COIL TATXXD BT02 0.970X913"/>
    <m/>
    <m/>
    <m/>
    <m/>
    <s v="Narrow"/>
    <s v="C01"/>
    <s v="TATXXD"/>
    <s v="BT02"/>
    <n v="0.97"/>
    <n v="913"/>
    <n v="0"/>
    <n v="84"/>
    <n v="0"/>
    <n v="84"/>
    <n v="84"/>
    <n v="84"/>
    <n v="8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19T00:00:00"/>
    <s v="ZBTO"/>
    <n v="9518613530"/>
    <n v="1"/>
    <s v="9518613530-1"/>
    <s v="May'25"/>
    <x v="0"/>
    <m/>
    <x v="1"/>
    <x v="10"/>
    <n v="1000"/>
    <m/>
    <x v="1"/>
    <m/>
    <m/>
    <s v="Andhra Pradesh"/>
    <s v="South"/>
    <s v="CHITTOOR"/>
    <s v="Coil"/>
    <n v="188238"/>
    <s v="Balmer Lawrie &amp; Co. Limited"/>
    <n v="2421723"/>
    <s v="CRCA COIL TATXXD BT02 0.770X920"/>
    <m/>
    <m/>
    <m/>
    <m/>
    <s v="Narrow"/>
    <s v="C01"/>
    <s v="TATXXD"/>
    <s v="BT02"/>
    <n v="0.77"/>
    <n v="920"/>
    <n v="0"/>
    <n v="273"/>
    <n v="0"/>
    <n v="273"/>
    <n v="83.99"/>
    <n v="169.47"/>
    <n v="99.71"/>
    <n v="0"/>
    <n v="0"/>
    <n v="41.87"/>
    <n v="61.660000000000004"/>
    <n v="0"/>
    <n v="0"/>
    <n v="0"/>
    <n v="0"/>
    <n v="0"/>
    <n v="0"/>
    <n v="0"/>
    <n v="0"/>
    <n v="0"/>
    <n v="0"/>
    <n v="0"/>
    <n v="0"/>
    <n v="0"/>
    <n v="0"/>
    <n v="0"/>
    <n v="103.53"/>
    <n v="103.53"/>
    <n v="0"/>
    <n v="103.53"/>
    <m/>
    <n v="0"/>
    <n v="99.71"/>
    <n v="0"/>
    <n v="99.71"/>
    <n v="0"/>
    <n v="0"/>
    <n v="0"/>
    <n v="99.71"/>
    <n v="0"/>
    <n v="99.71"/>
    <n v="0"/>
    <n v="0"/>
    <n v="0"/>
    <n v="0"/>
    <n v="0"/>
    <n v="0"/>
    <n v="0"/>
    <n v="0"/>
    <n v="0"/>
    <n v="0"/>
    <n v="0"/>
    <m/>
    <m/>
    <m/>
    <m/>
    <m/>
    <m/>
    <m/>
    <m/>
    <s v="1"/>
    <s v="0"/>
    <s v="1"/>
    <s v="1"/>
    <s v="1"/>
    <m/>
    <m/>
    <m/>
    <m/>
    <m/>
    <m/>
    <m/>
    <m/>
    <m/>
    <m/>
    <m/>
    <m/>
    <m/>
    <m/>
  </r>
  <r>
    <n v="742"/>
    <d v="2025-03-19T00:00:00"/>
    <s v="ZBTO"/>
    <n v="9518613638"/>
    <n v="1"/>
    <s v="9518613638-1"/>
    <s v="No Priority"/>
    <x v="0"/>
    <m/>
    <x v="1"/>
    <x v="10"/>
    <n v="1000"/>
    <m/>
    <x v="0"/>
    <m/>
    <m/>
    <s v="Tamil Nadu"/>
    <s v="South"/>
    <s v="CHENNAI"/>
    <s v="Coil"/>
    <n v="187214"/>
    <s v="BALMER LAWRIE &amp; CO. LIMITED.."/>
    <n v="2164800"/>
    <s v="CRCA COIL TATXXD BT02 0.970X913"/>
    <m/>
    <m/>
    <m/>
    <m/>
    <s v="Narrow"/>
    <s v="C01"/>
    <s v="TATXXD"/>
    <s v="BT02"/>
    <n v="0.97"/>
    <n v="913"/>
    <n v="0"/>
    <n v="105"/>
    <n v="0"/>
    <n v="105"/>
    <n v="105"/>
    <n v="105"/>
    <n v="10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19T00:00:00"/>
    <s v="ZBTO"/>
    <n v="9518613638"/>
    <n v="2"/>
    <s v="9518613638-2"/>
    <s v="Stocks"/>
    <x v="0"/>
    <m/>
    <x v="1"/>
    <x v="10"/>
    <n v="1000"/>
    <m/>
    <x v="1"/>
    <m/>
    <m/>
    <s v="Tamil Nadu"/>
    <s v="South"/>
    <s v="CHENNAI"/>
    <s v="Coil"/>
    <n v="187214"/>
    <s v="BALMER LAWRIE &amp; CO. LIMITED.."/>
    <n v="2421724"/>
    <s v="CRCA COIL TATXXD BT01 0.970X1310"/>
    <m/>
    <m/>
    <m/>
    <m/>
    <s v="Wider"/>
    <s v="C01"/>
    <s v="TATXXD"/>
    <s v="BT01"/>
    <n v="0.97"/>
    <n v="1310"/>
    <n v="0"/>
    <n v="30"/>
    <n v="0"/>
    <n v="30"/>
    <n v="2.1"/>
    <n v="0"/>
    <n v="5.2850000000000001"/>
    <n v="0"/>
    <n v="0"/>
    <n v="0"/>
    <n v="0"/>
    <n v="0"/>
    <n v="0"/>
    <n v="0"/>
    <n v="0"/>
    <n v="0"/>
    <n v="0"/>
    <n v="0"/>
    <n v="0"/>
    <n v="0"/>
    <n v="0"/>
    <n v="0"/>
    <n v="0"/>
    <n v="0"/>
    <n v="0"/>
    <n v="0"/>
    <n v="0"/>
    <n v="0"/>
    <n v="0"/>
    <n v="0"/>
    <m/>
    <n v="24.715000000000003"/>
    <n v="0"/>
    <n v="0"/>
    <n v="0"/>
    <n v="0"/>
    <n v="0"/>
    <n v="0"/>
    <n v="0"/>
    <n v="0"/>
    <n v="0"/>
    <n v="0"/>
    <n v="0"/>
    <n v="0"/>
    <n v="24.715000000000003"/>
    <n v="0"/>
    <n v="0"/>
    <n v="0"/>
    <n v="0"/>
    <n v="0"/>
    <n v="0"/>
    <n v="0"/>
    <m/>
    <m/>
    <m/>
    <m/>
    <m/>
    <m/>
    <m/>
    <m/>
    <s v="1"/>
    <s v="1"/>
    <s v="1"/>
    <s v="1"/>
    <s v="1"/>
    <m/>
    <m/>
    <m/>
    <m/>
    <m/>
    <m/>
    <m/>
    <m/>
    <m/>
    <m/>
    <m/>
    <m/>
    <m/>
    <m/>
  </r>
  <r>
    <n v="742"/>
    <d v="2025-03-19T00:00:00"/>
    <s v="ZBTO"/>
    <n v="9518613638"/>
    <n v="3"/>
    <s v="9518613638-3"/>
    <s v="May'25"/>
    <x v="0"/>
    <m/>
    <x v="1"/>
    <x v="10"/>
    <n v="1000"/>
    <n v="4500"/>
    <x v="1"/>
    <m/>
    <m/>
    <s v="Tamil Nadu"/>
    <s v="South"/>
    <s v="CHENNAI"/>
    <s v="Coil"/>
    <n v="187214"/>
    <s v="BALMER LAWRIE &amp; CO. LIMITED.."/>
    <n v="2164803"/>
    <s v="CRCA COIL TATXXD BT02 1.200X910"/>
    <m/>
    <m/>
    <m/>
    <m/>
    <s v="Narrow"/>
    <s v="C01"/>
    <s v="TATXXD"/>
    <s v="BT02"/>
    <n v="1.2"/>
    <n v="910"/>
    <n v="0"/>
    <n v="42"/>
    <n v="0"/>
    <n v="42"/>
    <n v="1.97"/>
    <n v="0"/>
    <n v="24.36"/>
    <n v="0"/>
    <n v="0"/>
    <n v="0"/>
    <n v="0"/>
    <n v="0"/>
    <n v="0"/>
    <n v="0"/>
    <n v="0"/>
    <n v="0"/>
    <n v="0"/>
    <n v="0"/>
    <n v="0"/>
    <n v="0"/>
    <n v="18.09"/>
    <n v="0"/>
    <n v="0"/>
    <n v="0"/>
    <n v="0"/>
    <n v="0"/>
    <n v="18.09"/>
    <n v="18.09"/>
    <n v="0"/>
    <n v="18.09"/>
    <m/>
    <n v="0"/>
    <n v="24.36"/>
    <n v="24.36"/>
    <n v="0"/>
    <n v="0"/>
    <n v="0"/>
    <n v="0"/>
    <n v="0"/>
    <n v="0"/>
    <n v="0"/>
    <n v="0"/>
    <n v="0"/>
    <n v="0"/>
    <n v="24.36"/>
    <n v="0"/>
    <n v="0"/>
    <n v="0"/>
    <n v="0"/>
    <n v="0"/>
    <n v="0"/>
    <n v="0"/>
    <m/>
    <m/>
    <m/>
    <m/>
    <m/>
    <m/>
    <m/>
    <m/>
    <s v="0"/>
    <s v="1"/>
    <s v="1"/>
    <s v="1"/>
    <s v="1"/>
    <m/>
    <m/>
    <m/>
    <m/>
    <m/>
    <m/>
    <m/>
    <m/>
    <m/>
    <m/>
    <m/>
    <m/>
    <m/>
    <m/>
  </r>
  <r>
    <n v="742"/>
    <d v="2025-03-19T00:00:00"/>
    <s v="ZBTO"/>
    <n v="9518613638"/>
    <n v="4"/>
    <s v="9518613638-4"/>
    <s v="No Priority"/>
    <x v="0"/>
    <m/>
    <x v="1"/>
    <x v="10"/>
    <n v="1000"/>
    <m/>
    <x v="0"/>
    <m/>
    <m/>
    <s v="Tamil Nadu"/>
    <s v="South"/>
    <s v="CHENNAI"/>
    <s v="Coil"/>
    <n v="187214"/>
    <s v="BALMER LAWRIE &amp; CO. LIMITED.."/>
    <n v="3701960"/>
    <s v="CR COIL TATXXD BT01 1.200X1310"/>
    <m/>
    <m/>
    <m/>
    <m/>
    <s v="Wider"/>
    <s v="C01"/>
    <s v="TATXXD"/>
    <s v="BT01"/>
    <n v="1.2"/>
    <n v="1310"/>
    <n v="0"/>
    <n v="29.99"/>
    <n v="0"/>
    <n v="29.99"/>
    <n v="1.26"/>
    <n v="0"/>
    <n v="4.195000000000000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19T00:00:00"/>
    <s v="ZBTO"/>
    <n v="9518613644"/>
    <n v="2"/>
    <s v="9518613644-2"/>
    <s v="No Priority"/>
    <x v="0"/>
    <m/>
    <x v="1"/>
    <x v="10"/>
    <n v="1000"/>
    <m/>
    <x v="0"/>
    <m/>
    <m/>
    <s v="Gujarat"/>
    <s v="West"/>
    <s v="VADODARA"/>
    <s v="Coil"/>
    <n v="189022"/>
    <s v="Balmer Lawrie And Company Limi"/>
    <n v="2164814"/>
    <s v="CRCA COIL TATXXD BT01 0.970X1315"/>
    <m/>
    <m/>
    <m/>
    <m/>
    <s v="Wider"/>
    <s v="C01"/>
    <s v="TATXXD"/>
    <s v="BT01"/>
    <n v="0.97"/>
    <n v="1315"/>
    <n v="0"/>
    <n v="30"/>
    <n v="0"/>
    <n v="30"/>
    <n v="30"/>
    <n v="30"/>
    <n v="3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2341"/>
    <d v="2025-03-20T00:00:00"/>
    <s v="ZBTF"/>
    <n v="9518615307"/>
    <n v="1"/>
    <s v="9518615307-1"/>
    <s v="No Priority"/>
    <x v="0"/>
    <m/>
    <x v="1"/>
    <x v="10"/>
    <n v="1000"/>
    <m/>
    <x v="0"/>
    <m/>
    <m/>
    <s v="Punjab"/>
    <s v="North"/>
    <s v="LUDHIANA"/>
    <s v="Coil"/>
    <n v="925428"/>
    <s v="TUBE INVESTMENTS OF INDIA LIMI"/>
    <n v="3741588"/>
    <s v="CR COIL SA1010 TU97 1.150X1250"/>
    <m/>
    <m/>
    <m/>
    <m/>
    <s v="Wider"/>
    <s v="C01"/>
    <s v="SA1010"/>
    <s v="TU97"/>
    <n v="1.1499999999999999"/>
    <n v="1250"/>
    <n v="0"/>
    <n v="290"/>
    <n v="0"/>
    <n v="290"/>
    <n v="13.24"/>
    <n v="290"/>
    <n v="32.52000000000000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2341"/>
    <d v="2025-03-20T00:00:00"/>
    <s v="ZBTF"/>
    <n v="9518615307"/>
    <n v="2"/>
    <s v="9518615307-2"/>
    <s v="Stocks"/>
    <x v="0"/>
    <m/>
    <x v="1"/>
    <x v="10"/>
    <n v="1000"/>
    <m/>
    <x v="1"/>
    <m/>
    <m/>
    <s v="Punjab"/>
    <s v="North"/>
    <s v="LUDHIANA"/>
    <s v="Coil"/>
    <n v="925428"/>
    <s v="TUBE INVESTMENTS OF INDIA LIMI"/>
    <n v="3741589"/>
    <s v="CR COIL SA1010 TU97 1.500X1250"/>
    <m/>
    <m/>
    <m/>
    <m/>
    <s v="Wider"/>
    <s v="C01"/>
    <s v="SA1010"/>
    <s v="TU97"/>
    <n v="1.5"/>
    <n v="1250"/>
    <n v="0"/>
    <n v="290"/>
    <n v="24.85"/>
    <n v="265.14999999999998"/>
    <n v="-9.69"/>
    <n v="0"/>
    <n v="12.94"/>
    <n v="0"/>
    <n v="0"/>
    <n v="0"/>
    <n v="0"/>
    <n v="0"/>
    <n v="0"/>
    <n v="0"/>
    <n v="0"/>
    <n v="0"/>
    <n v="0"/>
    <n v="0"/>
    <n v="0"/>
    <n v="0"/>
    <n v="0"/>
    <n v="0"/>
    <n v="0"/>
    <n v="0"/>
    <n v="0"/>
    <n v="0"/>
    <n v="0"/>
    <n v="0"/>
    <n v="0"/>
    <n v="0"/>
    <m/>
    <n v="24.77"/>
    <n v="0"/>
    <n v="0"/>
    <n v="0"/>
    <n v="0"/>
    <n v="0"/>
    <n v="0"/>
    <n v="0"/>
    <n v="0"/>
    <n v="0"/>
    <n v="0"/>
    <n v="0"/>
    <n v="0"/>
    <n v="24.77"/>
    <n v="24.85"/>
    <n v="0"/>
    <n v="0"/>
    <n v="0"/>
    <n v="0"/>
    <n v="0"/>
    <n v="24.85"/>
    <m/>
    <m/>
    <m/>
    <m/>
    <m/>
    <m/>
    <m/>
    <m/>
    <s v="1"/>
    <s v="1"/>
    <s v="1"/>
    <s v="1"/>
    <s v="1"/>
    <m/>
    <m/>
    <m/>
    <m/>
    <m/>
    <m/>
    <m/>
    <m/>
    <m/>
    <m/>
    <m/>
    <m/>
    <m/>
    <m/>
  </r>
  <r>
    <n v="743"/>
    <d v="2025-02-24T00:00:00"/>
    <s v="ZBTF"/>
    <n v="9518546063"/>
    <n v="5"/>
    <s v="9518546063-5"/>
    <s v="No Priority"/>
    <x v="0"/>
    <m/>
    <x v="3"/>
    <x v="9"/>
    <n v="2000"/>
    <m/>
    <x v="1"/>
    <m/>
    <m/>
    <s v="West Bengal"/>
    <s v="East"/>
    <s v="JSR WORKS PLANTTRY"/>
    <s v="Coil"/>
    <n v="600250"/>
    <s v="TATA CENTRE"/>
    <n v="1854424"/>
    <s v="GP COIL SOFT-TATXGP-GK09-0.6X900"/>
    <n v="80"/>
    <m/>
    <m/>
    <m/>
    <s v="Narrow"/>
    <s v="C02"/>
    <s v="TATXGP"/>
    <s v="GK09"/>
    <n v="0.6"/>
    <n v="900"/>
    <n v="0"/>
    <n v="294"/>
    <n v="187.24"/>
    <n v="106.76"/>
    <n v="27.53"/>
    <n v="0"/>
    <n v="65.06"/>
    <n v="0"/>
    <n v="0"/>
    <n v="0"/>
    <n v="0"/>
    <n v="0"/>
    <n v="0"/>
    <n v="0.23500000000000001"/>
    <n v="0"/>
    <n v="0"/>
    <n v="0"/>
    <n v="0"/>
    <n v="0"/>
    <n v="0"/>
    <n v="0"/>
    <n v="0"/>
    <n v="0"/>
    <n v="0"/>
    <n v="0"/>
    <n v="0"/>
    <n v="0.23500000000000001"/>
    <n v="0.23500000000000001"/>
    <n v="28"/>
    <n v="28.234999999999999"/>
    <m/>
    <n v="92.054999999999993"/>
    <n v="65.06"/>
    <n v="0"/>
    <n v="65.06"/>
    <n v="0"/>
    <n v="0"/>
    <n v="0"/>
    <n v="65.06"/>
    <n v="0"/>
    <n v="65.06"/>
    <n v="0"/>
    <n v="0"/>
    <n v="0"/>
    <n v="92.055000000000007"/>
    <n v="0"/>
    <n v="0"/>
    <n v="0"/>
    <n v="0"/>
    <n v="0"/>
    <n v="0"/>
    <n v="0"/>
    <m/>
    <m/>
    <m/>
    <m/>
    <m/>
    <m/>
    <m/>
    <m/>
    <s v="1"/>
    <s v="0"/>
    <s v="1"/>
    <s v="1"/>
    <s v="1"/>
    <m/>
    <m/>
    <m/>
    <m/>
    <m/>
    <m/>
    <m/>
    <m/>
    <m/>
    <m/>
    <m/>
    <m/>
    <m/>
    <m/>
  </r>
  <r>
    <n v="742"/>
    <d v="2025-03-21T00:00:00"/>
    <s v="ZBTO"/>
    <n v="9518619441"/>
    <n v="1"/>
    <s v="9518619441-1"/>
    <s v="Apr'25 "/>
    <x v="0"/>
    <m/>
    <x v="0"/>
    <x v="0"/>
    <s v="2000-BPRS"/>
    <m/>
    <x v="1"/>
    <m/>
    <m/>
    <s v="Haryana"/>
    <s v="North"/>
    <s v="FARIDABAD"/>
    <s v="Coil"/>
    <n v="116735"/>
    <s v="RAKESH STEELS"/>
    <n v="3187346"/>
    <s v="HR COILS-PO I09497 2.01X1250"/>
    <s v=" "/>
    <s v=""/>
    <n v="17"/>
    <n v="28"/>
    <s v="Wider"/>
    <n v="768"/>
    <s v="I09497"/>
    <s v="HG01"/>
    <n v="2.0099999999999998"/>
    <n v="1250"/>
    <n v="0"/>
    <n v="100"/>
    <n v="0"/>
    <n v="100"/>
    <n v="100"/>
    <n v="100"/>
    <n v="99.99"/>
    <n v="0"/>
    <n v="0"/>
    <n v="0"/>
    <n v="0"/>
    <n v="0"/>
    <n v="0"/>
    <n v="0"/>
    <n v="0"/>
    <n v="0"/>
    <n v="0"/>
    <n v="0"/>
    <n v="0"/>
    <n v="0"/>
    <n v="0"/>
    <n v="0"/>
    <n v="0"/>
    <n v="0"/>
    <n v="0"/>
    <n v="0"/>
    <n v="0"/>
    <n v="0"/>
    <n v="0"/>
    <n v="0"/>
    <m/>
    <n v="0"/>
    <n v="99.99"/>
    <n v="0"/>
    <n v="0"/>
    <n v="99.99"/>
    <n v="0"/>
    <n v="0"/>
    <n v="0"/>
    <n v="0"/>
    <n v="0"/>
    <n v="0"/>
    <n v="0"/>
    <n v="0"/>
    <n v="99.99"/>
    <n v="0"/>
    <n v="0"/>
    <n v="0"/>
    <n v="0"/>
    <n v="0"/>
    <n v="0"/>
    <n v="0"/>
    <m/>
    <m/>
    <m/>
    <m/>
    <m/>
    <m/>
    <m/>
    <m/>
    <s v="1"/>
    <s v="1"/>
    <s v="0"/>
    <s v="1"/>
    <s v="1"/>
    <m/>
    <m/>
    <m/>
    <m/>
    <m/>
    <m/>
    <m/>
    <m/>
    <m/>
    <m/>
    <m/>
    <m/>
    <m/>
    <m/>
  </r>
  <r>
    <n v="742"/>
    <d v="2025-03-21T00:00:00"/>
    <s v="ZBTO"/>
    <n v="9518619441"/>
    <n v="2"/>
    <s v="9518619441-2"/>
    <s v="Apr'25 "/>
    <x v="0"/>
    <m/>
    <x v="0"/>
    <x v="0"/>
    <s v="2000-BPRS"/>
    <m/>
    <x v="1"/>
    <m/>
    <m/>
    <s v="Haryana"/>
    <s v="North"/>
    <s v="FARIDABAD"/>
    <s v="Coil"/>
    <n v="116735"/>
    <s v="RAKESH STEELS"/>
    <n v="3187346"/>
    <s v="HR COILS-PO I09497 2.01X1250"/>
    <s v=" "/>
    <s v=""/>
    <n v="17"/>
    <n v="28"/>
    <s v="Wider"/>
    <n v="768"/>
    <s v="I09497"/>
    <s v="HG01"/>
    <n v="2.0099999999999998"/>
    <n v="1250"/>
    <n v="0"/>
    <n v="25"/>
    <n v="0"/>
    <n v="25"/>
    <n v="25"/>
    <n v="25"/>
    <n v="24.99"/>
    <n v="0"/>
    <n v="0"/>
    <n v="0"/>
    <n v="0"/>
    <n v="0"/>
    <n v="0"/>
    <n v="0"/>
    <n v="0"/>
    <n v="0"/>
    <n v="0"/>
    <n v="0"/>
    <n v="0"/>
    <n v="0"/>
    <n v="0"/>
    <n v="0"/>
    <n v="0"/>
    <n v="0"/>
    <n v="0"/>
    <n v="0"/>
    <n v="0"/>
    <n v="0"/>
    <n v="0"/>
    <n v="0"/>
    <m/>
    <n v="0"/>
    <n v="24.99"/>
    <n v="0"/>
    <n v="24.99"/>
    <n v="0"/>
    <n v="0"/>
    <n v="0"/>
    <n v="24.99"/>
    <n v="0"/>
    <n v="24.99"/>
    <n v="0"/>
    <n v="0"/>
    <n v="0"/>
    <n v="0"/>
    <n v="0"/>
    <n v="0"/>
    <n v="0"/>
    <n v="0"/>
    <n v="0"/>
    <n v="0"/>
    <n v="0"/>
    <m/>
    <m/>
    <m/>
    <m/>
    <m/>
    <m/>
    <m/>
    <m/>
    <s v="1"/>
    <s v="0"/>
    <s v="1"/>
    <s v="1"/>
    <s v="1"/>
    <m/>
    <m/>
    <m/>
    <m/>
    <m/>
    <m/>
    <m/>
    <m/>
    <m/>
    <m/>
    <m/>
    <m/>
    <m/>
    <m/>
  </r>
  <r>
    <n v="744"/>
    <d v="2025-03-13T00:00:00"/>
    <s v="ZBTO"/>
    <n v="9518598728"/>
    <n v="1"/>
    <s v="9518598728-1"/>
    <s v="Stocks"/>
    <x v="0"/>
    <m/>
    <x v="2"/>
    <x v="3"/>
    <s v="1000-IPPE"/>
    <m/>
    <x v="1"/>
    <m/>
    <m/>
    <s v="Rajasthan"/>
    <s v="TBSPL"/>
    <s v="RAJASTHAN"/>
    <s v="Coil"/>
    <n v="940008"/>
    <s v="TATA BLUESCOPE STEEL PVT LTD."/>
    <n v="3960057"/>
    <s v="PPGL C HARD Y550PL DX01 0.63(TPT)X1220"/>
    <s v="AZ150"/>
    <s v="RAL9002 TSL 2001"/>
    <n v="3"/>
    <n v="5"/>
    <s v="Wider"/>
    <s v="B18"/>
    <s v="Y550PL"/>
    <s v="DX01"/>
    <n v="0.63"/>
    <n v="1220"/>
    <n v="0"/>
    <n v="83.99"/>
    <n v="31.885000000000002"/>
    <n v="52.104999999999997"/>
    <n v="8.0050000000000008"/>
    <n v="38.164999999999992"/>
    <n v="12.775"/>
    <n v="0"/>
    <n v="0"/>
    <n v="0"/>
    <n v="0"/>
    <n v="0"/>
    <n v="0"/>
    <n v="0"/>
    <n v="6.13"/>
    <n v="0"/>
    <n v="7.8100000000000005"/>
    <n v="0"/>
    <n v="0"/>
    <n v="0"/>
    <n v="0"/>
    <n v="0"/>
    <n v="0"/>
    <n v="0"/>
    <n v="0"/>
    <n v="0"/>
    <n v="13.940000000000001"/>
    <n v="13.940000000000001"/>
    <n v="0"/>
    <n v="13.940000000000001"/>
    <m/>
    <n v="27.604999999999997"/>
    <n v="12.775"/>
    <n v="0"/>
    <n v="0"/>
    <n v="12.775"/>
    <n v="0"/>
    <n v="0"/>
    <n v="0"/>
    <n v="0"/>
    <n v="0"/>
    <n v="0"/>
    <n v="0"/>
    <n v="0"/>
    <n v="40.379999999999995"/>
    <n v="0"/>
    <n v="0"/>
    <n v="0"/>
    <n v="0"/>
    <n v="0"/>
    <n v="0"/>
    <n v="0"/>
    <m/>
    <m/>
    <m/>
    <m/>
    <m/>
    <m/>
    <m/>
    <m/>
    <s v="1"/>
    <s v="1"/>
    <s v="0"/>
    <s v="1"/>
    <s v="1"/>
    <m/>
    <m/>
    <m/>
    <m/>
    <m/>
    <m/>
    <m/>
    <m/>
    <m/>
    <m/>
    <m/>
    <m/>
    <m/>
    <m/>
  </r>
  <r>
    <n v="744"/>
    <d v="2025-03-13T00:00:00"/>
    <s v="ZBTO"/>
    <n v="9518598806"/>
    <n v="1"/>
    <s v="9518598806-1"/>
    <s v="Apr'25 "/>
    <x v="0"/>
    <m/>
    <x v="2"/>
    <x v="3"/>
    <s v="1000-IPPE"/>
    <m/>
    <x v="1"/>
    <m/>
    <m/>
    <s v="Jharkhand"/>
    <s v="TBSPL"/>
    <s v="TBL- BARA AGRICO"/>
    <s v="Coil"/>
    <n v="941597"/>
    <s v="TATA BLUESCOPE STEEL PRIVATE LIMITE"/>
    <n v="3961812"/>
    <s v="PPGL C HARD Y550PL D0C9 0.70(TPT)X1220"/>
    <s v="AZ150"/>
    <s v="RAL 5012 TSL 1802"/>
    <n v="3"/>
    <n v="5"/>
    <s v="Wider"/>
    <s v="B18"/>
    <s v="Y550PL"/>
    <s v="D0C9"/>
    <n v="0.7"/>
    <n v="1220"/>
    <n v="0"/>
    <n v="56"/>
    <n v="38.204999999999998"/>
    <n v="17.795000000000002"/>
    <n v="13.984999999999999"/>
    <n v="14.040000000000001"/>
    <n v="17.795000000000002"/>
    <n v="0"/>
    <n v="0"/>
    <n v="0"/>
    <n v="0"/>
    <n v="0"/>
    <n v="0"/>
    <n v="0"/>
    <n v="0"/>
    <n v="0"/>
    <n v="3.7550000000000003"/>
    <n v="0"/>
    <n v="0"/>
    <n v="0"/>
    <n v="0"/>
    <n v="0"/>
    <n v="0"/>
    <n v="0"/>
    <n v="0"/>
    <n v="0"/>
    <n v="3.7550000000000003"/>
    <n v="3.7550000000000003"/>
    <n v="0"/>
    <n v="3.7550000000000003"/>
    <m/>
    <n v="0"/>
    <n v="17.795000000000002"/>
    <n v="17.795000000000002"/>
    <n v="0"/>
    <n v="0"/>
    <n v="0"/>
    <n v="0"/>
    <n v="0"/>
    <n v="0"/>
    <n v="0"/>
    <n v="0"/>
    <n v="0"/>
    <n v="0"/>
    <n v="17.795000000000002"/>
    <n v="9.0250000000000004"/>
    <n v="9.0250000000000004"/>
    <n v="0"/>
    <n v="0"/>
    <n v="0"/>
    <n v="0"/>
    <n v="0"/>
    <m/>
    <m/>
    <m/>
    <m/>
    <m/>
    <m/>
    <m/>
    <m/>
    <s v="0"/>
    <s v="1"/>
    <s v="1"/>
    <s v="1"/>
    <s v="1"/>
    <m/>
    <m/>
    <m/>
    <m/>
    <m/>
    <m/>
    <m/>
    <m/>
    <m/>
    <m/>
    <m/>
    <m/>
    <m/>
    <m/>
  </r>
  <r>
    <n v="744"/>
    <d v="2025-03-13T00:00:00"/>
    <s v="ZBTO"/>
    <n v="9518598889"/>
    <n v="1"/>
    <s v="9518598889-1"/>
    <s v="Apr'25 "/>
    <x v="0"/>
    <m/>
    <x v="2"/>
    <x v="3"/>
    <s v="1000-IPPE"/>
    <m/>
    <x v="1"/>
    <m/>
    <m/>
    <s v="Jharkhand"/>
    <s v="TBSPL"/>
    <s v="TBL- BARA AGRICO"/>
    <s v="Coil"/>
    <n v="941597"/>
    <s v="TATA BLUESCOPE STEEL PRIVATE LIMITE"/>
    <n v="3902332"/>
    <s v="PPGL C HARD Y550PL D0C9 0.50(TPT)X1220"/>
    <s v="AZ150"/>
    <s v="RAL 9002 TSL 1801"/>
    <n v="2"/>
    <n v="5.0999999999999996"/>
    <s v="Wider"/>
    <s v="B18"/>
    <s v="Y550PL"/>
    <s v="D0C9"/>
    <n v="0.5"/>
    <n v="1220"/>
    <n v="0"/>
    <n v="140"/>
    <n v="122.02500000000001"/>
    <n v="17.975000000000001"/>
    <n v="15.28"/>
    <n v="17.975000000000001"/>
    <n v="17.975000000000001"/>
    <n v="0"/>
    <n v="0"/>
    <n v="0"/>
    <n v="0"/>
    <n v="0"/>
    <n v="0"/>
    <n v="0"/>
    <n v="0"/>
    <n v="0"/>
    <n v="0"/>
    <n v="0"/>
    <n v="0"/>
    <n v="0"/>
    <n v="0"/>
    <n v="0"/>
    <n v="0"/>
    <n v="0"/>
    <n v="0"/>
    <n v="0"/>
    <n v="0"/>
    <n v="0"/>
    <n v="0"/>
    <n v="0"/>
    <m/>
    <n v="0"/>
    <n v="0"/>
    <n v="0"/>
    <n v="0"/>
    <n v="0"/>
    <n v="0"/>
    <n v="0"/>
    <n v="0"/>
    <n v="0"/>
    <n v="0"/>
    <n v="0"/>
    <n v="0"/>
    <n v="0"/>
    <n v="0"/>
    <n v="35.864999999999995"/>
    <n v="0"/>
    <n v="0"/>
    <n v="0"/>
    <n v="0"/>
    <n v="0"/>
    <n v="35.864999999999995"/>
    <m/>
    <m/>
    <m/>
    <m/>
    <m/>
    <m/>
    <m/>
    <m/>
    <s v="1"/>
    <s v="1"/>
    <s v="1"/>
    <s v="1"/>
    <s v="1"/>
    <m/>
    <m/>
    <m/>
    <m/>
    <m/>
    <m/>
    <m/>
    <m/>
    <m/>
    <m/>
    <m/>
    <m/>
    <m/>
    <m/>
  </r>
  <r>
    <n v="742"/>
    <d v="2025-03-20T00:00:00"/>
    <s v="ZBTT"/>
    <n v="9518615777"/>
    <n v="1"/>
    <s v="9518615777-1"/>
    <s v="No Priority"/>
    <x v="0"/>
    <m/>
    <x v="1"/>
    <x v="10"/>
    <s v="1000-IPPE"/>
    <m/>
    <x v="0"/>
    <m/>
    <m/>
    <s v="Punjab"/>
    <s v="North"/>
    <s v="SANHEWAL"/>
    <s v="Coil"/>
    <n v="925428"/>
    <s v="TUBE INVESTMENTS OF INDIA LIMITED"/>
    <n v="1308785"/>
    <s v="CR COIL TATXXD AU14 0.980X1250"/>
    <s v=" "/>
    <s v=""/>
    <n v="12"/>
    <n v="27"/>
    <s v="Wider"/>
    <s v="C01"/>
    <s v="TATXXD"/>
    <s v="AU14"/>
    <n v="0.98"/>
    <n v="1250"/>
    <n v="0"/>
    <n v="100"/>
    <n v="77.394999999999996"/>
    <n v="22.605"/>
    <n v="22.605"/>
    <n v="22.605"/>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s v="ZBTT"/>
    <n v="9518615777"/>
    <n v="2"/>
    <s v="9518615777-2"/>
    <s v="No Priority"/>
    <x v="0"/>
    <m/>
    <x v="1"/>
    <x v="10"/>
    <s v="1000-IPPE"/>
    <m/>
    <x v="0"/>
    <m/>
    <m/>
    <s v="Punjab"/>
    <s v="North"/>
    <s v="SANHEWAL"/>
    <s v="Coil"/>
    <n v="925428"/>
    <s v="TUBE INVESTMENTS OF INDIA LIMITED"/>
    <n v="28512"/>
    <s v="CRCOIL C01 DQ TATXXD AU14 1.15 X 1250"/>
    <s v=" "/>
    <s v=""/>
    <n v="12"/>
    <n v="27"/>
    <s v="Wider"/>
    <s v="C01"/>
    <s v="TATXXD"/>
    <s v="AU14"/>
    <n v="1.1499999999999999"/>
    <n v="1250"/>
    <n v="0"/>
    <n v="100"/>
    <n v="25.64"/>
    <n v="74.36"/>
    <n v="74.36"/>
    <n v="74.36"/>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1T00:00:00"/>
    <s v="ZBTO"/>
    <n v="9518620006"/>
    <n v="2"/>
    <s v="9518620006-2"/>
    <s v="No Priority"/>
    <x v="0"/>
    <m/>
    <x v="1"/>
    <x v="2"/>
    <s v="2000-BPRS"/>
    <m/>
    <x v="0"/>
    <m/>
    <s v="Exp BTF &lt;17MT"/>
    <s v="Chhattisgarh"/>
    <s v="East"/>
    <s v="URLA"/>
    <s v="Sheet"/>
    <n v="931662"/>
    <s v="PRESTIGE METALLICS PRIVATE LIMITED"/>
    <n v="3240778"/>
    <s v="CRCA SHEET TSBCRC SR15 0.600X1000X2500"/>
    <s v=" "/>
    <s v=""/>
    <n v="0"/>
    <n v="0"/>
    <s v="Narrow"/>
    <s v="C06"/>
    <s v="TSBCRC"/>
    <s v="SR15"/>
    <n v="0.6"/>
    <n v="1000"/>
    <n v="2500"/>
    <n v="48"/>
    <n v="40.549999999999997"/>
    <n v="7.45"/>
    <n v="7.45"/>
    <n v="7.45"/>
    <n v="7.45"/>
    <n v="0"/>
    <n v="0"/>
    <n v="0"/>
    <n v="0"/>
    <n v="0"/>
    <n v="0"/>
    <n v="0"/>
    <n v="0"/>
    <n v="0"/>
    <n v="0"/>
    <n v="0"/>
    <n v="0"/>
    <n v="0"/>
    <n v="0"/>
    <n v="0"/>
    <n v="0"/>
    <n v="0"/>
    <n v="0"/>
    <n v="0"/>
    <n v="0"/>
    <n v="0"/>
    <n v="0"/>
    <n v="0"/>
    <m/>
    <n v="0"/>
    <n v="0"/>
    <n v="0"/>
    <n v="0"/>
    <n v="0"/>
    <n v="0"/>
    <n v="0"/>
    <n v="0"/>
    <n v="0"/>
    <n v="0"/>
    <n v="0"/>
    <n v="0"/>
    <n v="0"/>
    <n v="0"/>
    <n v="40.549999999999997"/>
    <n v="0"/>
    <n v="0"/>
    <n v="0"/>
    <n v="0"/>
    <n v="0"/>
    <n v="40.549999999999997"/>
    <m/>
    <m/>
    <m/>
    <m/>
    <m/>
    <m/>
    <m/>
    <m/>
    <s v="1"/>
    <s v="1"/>
    <s v="1"/>
    <s v="1"/>
    <s v="1"/>
    <m/>
    <m/>
    <m/>
    <m/>
    <m/>
    <m/>
    <m/>
    <m/>
    <m/>
    <m/>
    <m/>
    <m/>
    <m/>
    <m/>
  </r>
  <r>
    <n v="742"/>
    <d v="2025-03-22T00:00:00"/>
    <s v="ZBTO"/>
    <n v="9518624222"/>
    <n v="6"/>
    <s v="9518624222-6"/>
    <s v="No Priority"/>
    <x v="0"/>
    <m/>
    <x v="1"/>
    <x v="1"/>
    <s v="2000-BPRS"/>
    <m/>
    <x v="0"/>
    <m/>
    <m/>
    <s v="Delhi"/>
    <s v="North"/>
    <s v="ZOSOLA"/>
    <s v="Coil"/>
    <n v="184986"/>
    <s v="SWASTIK STEEL PROCESSOR LLP"/>
    <n v="1884117"/>
    <s v="CRCA COIL-TATXXD-AU03-2X1250"/>
    <s v=" "/>
    <s v=""/>
    <n v="15"/>
    <n v="29"/>
    <s v="Wider"/>
    <s v="C01"/>
    <s v="TATXXD"/>
    <s v="AU03"/>
    <n v="2"/>
    <n v="1250"/>
    <n v="0"/>
    <n v="29"/>
    <n v="0"/>
    <n v="29"/>
    <n v="1.77"/>
    <n v="0"/>
    <n v="3.36"/>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2T00:00:00"/>
    <s v="ZBTO"/>
    <n v="9518624222"/>
    <n v="2"/>
    <s v="9518624222-2"/>
    <s v="Stocks"/>
    <x v="0"/>
    <m/>
    <x v="1"/>
    <x v="11"/>
    <s v="2000-BPRS"/>
    <m/>
    <x v="1"/>
    <m/>
    <m/>
    <s v="Delhi"/>
    <s v="North"/>
    <s v="ZOSOLA"/>
    <s v="Coil"/>
    <n v="184986"/>
    <s v="SWASTIK STEEL PROCESSOR LLP"/>
    <n v="2420508"/>
    <s v="CRCA COIL TATXXD AH03 0.500X1250"/>
    <s v=" "/>
    <s v=""/>
    <n v="15"/>
    <n v="29"/>
    <s v="Wider"/>
    <s v="C01"/>
    <s v="TATXXD"/>
    <s v="AH03"/>
    <n v="0.5"/>
    <n v="1250"/>
    <n v="0"/>
    <n v="116"/>
    <n v="75.22"/>
    <n v="40.78"/>
    <n v="9.25"/>
    <n v="40.78"/>
    <n v="14.44"/>
    <n v="0"/>
    <n v="0"/>
    <n v="0"/>
    <n v="0"/>
    <n v="0"/>
    <n v="0"/>
    <n v="0"/>
    <n v="0"/>
    <n v="0"/>
    <n v="0"/>
    <n v="0"/>
    <n v="0"/>
    <n v="0"/>
    <n v="0"/>
    <n v="0"/>
    <n v="0"/>
    <n v="0"/>
    <n v="0"/>
    <n v="0"/>
    <n v="0"/>
    <n v="0"/>
    <n v="0"/>
    <n v="0"/>
    <m/>
    <n v="23.234999999999999"/>
    <n v="0"/>
    <n v="0"/>
    <n v="0"/>
    <n v="0"/>
    <n v="0"/>
    <n v="0"/>
    <n v="0"/>
    <n v="0"/>
    <n v="0"/>
    <n v="0"/>
    <n v="0"/>
    <n v="0"/>
    <n v="23.234999999999999"/>
    <n v="26.97"/>
    <n v="0"/>
    <n v="0"/>
    <n v="0"/>
    <n v="0"/>
    <n v="0"/>
    <n v="26.97"/>
    <m/>
    <m/>
    <m/>
    <m/>
    <m/>
    <m/>
    <m/>
    <m/>
    <s v="1"/>
    <s v="1"/>
    <s v="1"/>
    <s v="1"/>
    <s v="1"/>
    <m/>
    <m/>
    <m/>
    <m/>
    <m/>
    <m/>
    <m/>
    <m/>
    <m/>
    <m/>
    <m/>
    <m/>
    <m/>
    <m/>
  </r>
  <r>
    <n v="742"/>
    <d v="2025-03-22T00:00:00"/>
    <s v="ZBTO"/>
    <n v="9518624222"/>
    <n v="3"/>
    <s v="9518624222-3"/>
    <s v="No Priority"/>
    <x v="0"/>
    <m/>
    <x v="1"/>
    <x v="1"/>
    <s v="2000-BPRS"/>
    <m/>
    <x v="0"/>
    <m/>
    <m/>
    <s v="Delhi"/>
    <s v="North"/>
    <s v="ZOSOLA"/>
    <s v="Coil"/>
    <n v="184986"/>
    <s v="SWASTIK STEEL PROCESSOR LLP"/>
    <n v="1804917"/>
    <s v="CRCA COIL TATCRC TR15 0.6X1250"/>
    <s v=" "/>
    <s v=""/>
    <n v="15"/>
    <n v="29"/>
    <s v="Wider"/>
    <s v="C01"/>
    <s v="TATCRC"/>
    <s v="TR15"/>
    <n v="0.6"/>
    <n v="1250"/>
    <n v="0"/>
    <n v="29"/>
    <n v="0"/>
    <n v="29"/>
    <n v="2.9649999999999999"/>
    <n v="29"/>
    <n v="4.605000000000000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s v="ZBTO"/>
    <n v="9518617137"/>
    <n v="5"/>
    <s v="9518617137-5"/>
    <s v="No Priority"/>
    <x v="0"/>
    <m/>
    <x v="1"/>
    <x v="2"/>
    <s v="2000-BPRS"/>
    <m/>
    <x v="0"/>
    <m/>
    <m/>
    <s v="Bihar"/>
    <s v="East"/>
    <s v="PURNIA"/>
    <s v="Sheet"/>
    <n v="103227"/>
    <s v="BMW VENTURES LIMITED"/>
    <n v="3239568"/>
    <s v="CRCA SHEET TATCRC SR16 0.450X1250X2500"/>
    <s v=" "/>
    <s v=""/>
    <n v="0"/>
    <n v="0"/>
    <s v="Wider"/>
    <s v="C06"/>
    <s v="TATCRC"/>
    <s v="SR16"/>
    <n v="0.45"/>
    <n v="1250"/>
    <n v="2500"/>
    <n v="21"/>
    <n v="20.43"/>
    <n v="0.56999999999999995"/>
    <n v="0.3"/>
    <n v="0"/>
    <n v="0.56999999999999995"/>
    <n v="0"/>
    <n v="0"/>
    <n v="0"/>
    <n v="0"/>
    <n v="0"/>
    <n v="0"/>
    <n v="0"/>
    <n v="0"/>
    <n v="0"/>
    <n v="0"/>
    <n v="0"/>
    <n v="0"/>
    <n v="0"/>
    <n v="0"/>
    <n v="0"/>
    <n v="0"/>
    <n v="0"/>
    <n v="0"/>
    <n v="0"/>
    <n v="0"/>
    <n v="0"/>
    <n v="0"/>
    <n v="0"/>
    <m/>
    <n v="0"/>
    <n v="0"/>
    <n v="0"/>
    <n v="0"/>
    <n v="0"/>
    <n v="0"/>
    <n v="0"/>
    <n v="0"/>
    <n v="0"/>
    <n v="0"/>
    <n v="0"/>
    <n v="0"/>
    <n v="0"/>
    <n v="0"/>
    <n v="20.43"/>
    <n v="0"/>
    <n v="0"/>
    <n v="0"/>
    <n v="0"/>
    <n v="0"/>
    <n v="20.43"/>
    <m/>
    <m/>
    <m/>
    <m/>
    <m/>
    <m/>
    <m/>
    <m/>
    <s v="1"/>
    <s v="1"/>
    <s v="1"/>
    <s v="1"/>
    <s v="1"/>
    <m/>
    <m/>
    <m/>
    <m/>
    <m/>
    <m/>
    <m/>
    <m/>
    <m/>
    <m/>
    <m/>
    <m/>
    <m/>
    <m/>
  </r>
  <r>
    <n v="742"/>
    <d v="2025-03-21T00:00:00"/>
    <s v="ZBTO"/>
    <n v="9518619991"/>
    <n v="3"/>
    <s v="9518619991-3"/>
    <s v="Stocks"/>
    <x v="0"/>
    <m/>
    <x v="1"/>
    <x v="2"/>
    <s v="2000-BPRS"/>
    <m/>
    <x v="1"/>
    <m/>
    <s v="Exp BTF &lt;17MT"/>
    <s v="Chhattisgarh"/>
    <s v="East"/>
    <s v="URLA"/>
    <s v="Sheet"/>
    <n v="931662"/>
    <s v="PRESTIGE METALLICS PRIVATE LIMITED"/>
    <n v="3239560"/>
    <s v="CRCA SHEET TATCRC SR16 0.450X900X2500"/>
    <s v=" "/>
    <s v=""/>
    <n v="0"/>
    <n v="0"/>
    <s v="Narrow"/>
    <s v="C06"/>
    <s v="TATCRC"/>
    <s v="SR16"/>
    <n v="0.45"/>
    <n v="900"/>
    <n v="2500"/>
    <n v="42"/>
    <n v="36.71"/>
    <n v="5.29"/>
    <n v="5.29"/>
    <n v="5.29"/>
    <n v="5.29"/>
    <n v="0"/>
    <n v="0"/>
    <n v="0"/>
    <n v="0"/>
    <n v="0"/>
    <n v="0"/>
    <n v="0"/>
    <n v="0"/>
    <n v="0"/>
    <n v="0"/>
    <n v="0"/>
    <n v="0"/>
    <n v="0"/>
    <n v="0"/>
    <n v="0"/>
    <n v="0"/>
    <n v="0"/>
    <n v="0"/>
    <n v="0"/>
    <n v="0"/>
    <n v="0"/>
    <n v="0"/>
    <n v="0"/>
    <m/>
    <n v="2.6"/>
    <n v="0"/>
    <n v="0"/>
    <n v="0"/>
    <n v="0"/>
    <n v="0"/>
    <n v="0"/>
    <n v="0"/>
    <n v="0"/>
    <n v="0"/>
    <n v="0"/>
    <n v="0"/>
    <n v="0"/>
    <n v="2.6"/>
    <n v="36.709999999999994"/>
    <n v="0"/>
    <n v="0"/>
    <n v="0"/>
    <n v="0"/>
    <n v="0"/>
    <n v="36.709999999999994"/>
    <m/>
    <m/>
    <m/>
    <m/>
    <m/>
    <m/>
    <m/>
    <m/>
    <s v="1"/>
    <s v="1"/>
    <s v="1"/>
    <s v="1"/>
    <s v="1"/>
    <m/>
    <m/>
    <m/>
    <m/>
    <m/>
    <m/>
    <m/>
    <m/>
    <m/>
    <m/>
    <m/>
    <m/>
    <m/>
    <m/>
  </r>
  <r>
    <n v="744"/>
    <d v="2025-03-22T00:00:00"/>
    <s v="ZBTO"/>
    <n v="9518623514"/>
    <n v="1"/>
    <s v="9518623514-1"/>
    <s v="Apr'25 "/>
    <x v="0"/>
    <m/>
    <x v="2"/>
    <x v="3"/>
    <s v="1000-IPPE"/>
    <m/>
    <x v="1"/>
    <m/>
    <m/>
    <s v="Jharkhand"/>
    <s v="TBSPL"/>
    <s v="TBL- BARA AGRICO"/>
    <s v="Coil"/>
    <n v="941597"/>
    <s v="TATA BLUESCOPE STEEL PRIVATE LIMITE"/>
    <n v="3712516"/>
    <s v="PPGL C HARD Y550PL HPL5 0.450X1220"/>
    <s v="AZ150"/>
    <s v="ELITE LIGHT BLUE TSL 1687"/>
    <n v="3"/>
    <n v="5"/>
    <s v="Wider"/>
    <s v="B18"/>
    <s v="Y550PL"/>
    <s v="HPL5"/>
    <n v="0.45"/>
    <n v="1220"/>
    <n v="0"/>
    <n v="140"/>
    <n v="0"/>
    <n v="140"/>
    <n v="140"/>
    <n v="140"/>
    <n v="140"/>
    <n v="0"/>
    <n v="0"/>
    <n v="0"/>
    <n v="0"/>
    <n v="0"/>
    <n v="0"/>
    <n v="0"/>
    <n v="0"/>
    <n v="0"/>
    <n v="0"/>
    <n v="0"/>
    <n v="0"/>
    <n v="0"/>
    <n v="0"/>
    <n v="0"/>
    <n v="0"/>
    <n v="0"/>
    <n v="0"/>
    <n v="0"/>
    <n v="0"/>
    <n v="0"/>
    <n v="0"/>
    <n v="0"/>
    <m/>
    <n v="0"/>
    <n v="140"/>
    <n v="0"/>
    <n v="0"/>
    <n v="140"/>
    <n v="0"/>
    <n v="0"/>
    <n v="0"/>
    <n v="0"/>
    <n v="0"/>
    <n v="0"/>
    <n v="0"/>
    <n v="0"/>
    <n v="140"/>
    <n v="0"/>
    <n v="0"/>
    <n v="0"/>
    <n v="0"/>
    <n v="0"/>
    <n v="0"/>
    <n v="0"/>
    <m/>
    <m/>
    <m/>
    <m/>
    <m/>
    <m/>
    <m/>
    <m/>
    <s v="1"/>
    <s v="1"/>
    <s v="0"/>
    <s v="1"/>
    <s v="1"/>
    <m/>
    <m/>
    <m/>
    <m/>
    <m/>
    <m/>
    <m/>
    <m/>
    <m/>
    <m/>
    <m/>
    <m/>
    <m/>
    <m/>
  </r>
  <r>
    <n v="742"/>
    <d v="2025-03-19T00:00:00"/>
    <s v="ZBTO"/>
    <n v="9518613413"/>
    <n v="2"/>
    <s v="9518613413-2"/>
    <s v="No Priority"/>
    <x v="0"/>
    <m/>
    <x v="1"/>
    <x v="10"/>
    <n v="1000"/>
    <m/>
    <x v="0"/>
    <m/>
    <m/>
    <s v="Andhra Pradesh"/>
    <s v="South"/>
    <s v="CHITTOOR"/>
    <s v="Coil"/>
    <n v="188238"/>
    <s v="Balmer Lawrie &amp; Co. Limited"/>
    <n v="2170008"/>
    <s v="CRCA COIL TATXXD BT01 0.970X1220"/>
    <s v=""/>
    <s v=""/>
    <m/>
    <m/>
    <s v="Wider"/>
    <s v="C01"/>
    <s v="TATXXD"/>
    <s v="BT01"/>
    <n v="0.97"/>
    <n v="1220"/>
    <n v="0"/>
    <n v="280"/>
    <n v="0"/>
    <n v="280"/>
    <n v="-25.48"/>
    <n v="0"/>
    <n v="23.3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s v="ZBTO"/>
    <n v="9518617308"/>
    <n v="3"/>
    <s v="9518617308-3"/>
    <s v="No Priority"/>
    <x v="0"/>
    <m/>
    <x v="1"/>
    <x v="1"/>
    <n v="2000"/>
    <m/>
    <x v="0"/>
    <m/>
    <m/>
    <s v="Haryana"/>
    <s v="North"/>
    <s v="FARIDABAD"/>
    <s v="Coil"/>
    <n v="144917"/>
    <s v="BANSAL BROTHERS"/>
    <n v="1804854"/>
    <s v="CRCA COIL-TATXXD-AU03-1.2X1250"/>
    <s v=""/>
    <s v=""/>
    <m/>
    <m/>
    <s v="Wider"/>
    <s v="C01"/>
    <s v="TATXXD"/>
    <s v="AU03"/>
    <n v="1.2"/>
    <n v="1250"/>
    <n v="0"/>
    <n v="29"/>
    <n v="0"/>
    <n v="29"/>
    <n v="1.25"/>
    <n v="0"/>
    <n v="2.87"/>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s v="ZBTO"/>
    <n v="9518617308"/>
    <n v="6"/>
    <s v="9518617308-6"/>
    <s v="No Priority"/>
    <x v="0"/>
    <m/>
    <x v="1"/>
    <x v="1"/>
    <n v="2000"/>
    <m/>
    <x v="0"/>
    <m/>
    <m/>
    <s v="Haryana"/>
    <s v="North"/>
    <s v="FARIDABAD"/>
    <s v="Coil"/>
    <n v="144917"/>
    <s v="BANSAL BROTHERS"/>
    <n v="1884117"/>
    <s v="CRCA COIL-TATXXD-AU03-2X1250"/>
    <s v=""/>
    <s v=""/>
    <m/>
    <m/>
    <s v="Wider"/>
    <s v="C01"/>
    <s v="TATXXD"/>
    <s v="AU03"/>
    <n v="2"/>
    <n v="1250"/>
    <n v="0"/>
    <n v="29"/>
    <n v="0"/>
    <n v="29"/>
    <n v="0.36"/>
    <n v="0"/>
    <n v="2.9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0T00:00:00"/>
    <s v="ZBTO"/>
    <n v="9518616273"/>
    <n v="1"/>
    <s v="9518616273-1"/>
    <s v="No Priority"/>
    <x v="0"/>
    <m/>
    <x v="3"/>
    <x v="4"/>
    <n v="2000"/>
    <m/>
    <x v="0"/>
    <m/>
    <m/>
    <s v="Bihar"/>
    <s v="East"/>
    <s v="PURNEA JN."/>
    <s v="Coil"/>
    <n v="931671"/>
    <s v="BMW VENTURES LIMITED"/>
    <n v="3768542"/>
    <s v="GP COIL TATGPH GP02 0.350X900"/>
    <s v=""/>
    <s v=""/>
    <m/>
    <m/>
    <s v="Narrow"/>
    <s v="C05"/>
    <s v="TATGPH"/>
    <s v="GP02"/>
    <n v="0.35"/>
    <n v="900"/>
    <n v="0"/>
    <n v="21"/>
    <n v="0"/>
    <n v="21"/>
    <n v="-0.5"/>
    <n v="0"/>
    <n v="21"/>
    <n v="0"/>
    <n v="0"/>
    <n v="0"/>
    <n v="0"/>
    <n v="0"/>
    <n v="0"/>
    <n v="0"/>
    <n v="0"/>
    <n v="0"/>
    <n v="0"/>
    <n v="0"/>
    <n v="0"/>
    <n v="0"/>
    <n v="0"/>
    <n v="0"/>
    <n v="0"/>
    <n v="21.5"/>
    <n v="0"/>
    <n v="0"/>
    <n v="21.5"/>
    <n v="21.5"/>
    <n v="0"/>
    <n v="21.5"/>
    <m/>
    <n v="0"/>
    <n v="0"/>
    <n v="0"/>
    <n v="0"/>
    <n v="0"/>
    <n v="0"/>
    <n v="0"/>
    <n v="0"/>
    <n v="0"/>
    <n v="0"/>
    <n v="0"/>
    <n v="0"/>
    <n v="0"/>
    <n v="0"/>
    <n v="0"/>
    <n v="0"/>
    <n v="0"/>
    <n v="0"/>
    <n v="0"/>
    <n v="0"/>
    <n v="0"/>
    <m/>
    <m/>
    <m/>
    <m/>
    <m/>
    <m/>
    <m/>
    <m/>
    <s v="1"/>
    <s v="1"/>
    <s v="1"/>
    <s v="1"/>
    <s v="1"/>
    <m/>
    <m/>
    <m/>
    <m/>
    <m/>
    <m/>
    <m/>
    <m/>
    <m/>
    <m/>
    <m/>
    <m/>
    <m/>
    <m/>
  </r>
  <r>
    <n v="743"/>
    <d v="2025-03-20T00:00:00"/>
    <s v="ZBTO"/>
    <n v="9518616273"/>
    <n v="2"/>
    <s v="9518616273-2"/>
    <s v="Stocks"/>
    <x v="0"/>
    <m/>
    <x v="3"/>
    <x v="4"/>
    <n v="2000"/>
    <m/>
    <x v="1"/>
    <m/>
    <m/>
    <s v="Bihar"/>
    <s v="East"/>
    <s v="PURNEA JN."/>
    <s v="Coil"/>
    <n v="931671"/>
    <s v="BMW VENTURES LIMITED"/>
    <n v="3777535"/>
    <s v="GP COIL TATGPH GP02 0.400X900"/>
    <s v=""/>
    <s v=""/>
    <m/>
    <m/>
    <s v="Narrow"/>
    <s v="C05"/>
    <s v="TATGPH"/>
    <s v="GP02"/>
    <n v="0.4"/>
    <n v="900"/>
    <n v="0"/>
    <n v="126"/>
    <n v="0"/>
    <n v="126"/>
    <n v="26.16"/>
    <n v="0"/>
    <n v="61.82"/>
    <n v="0"/>
    <n v="0"/>
    <n v="0"/>
    <n v="0"/>
    <n v="0"/>
    <n v="0"/>
    <n v="2.4"/>
    <n v="0"/>
    <n v="0"/>
    <n v="0"/>
    <n v="0"/>
    <n v="0"/>
    <n v="0"/>
    <n v="0"/>
    <n v="0"/>
    <n v="0"/>
    <n v="0"/>
    <n v="0"/>
    <n v="3.43"/>
    <n v="5.83"/>
    <n v="5.83"/>
    <n v="26"/>
    <n v="31.83"/>
    <m/>
    <n v="4.0599999999999996"/>
    <n v="0"/>
    <n v="0"/>
    <n v="0"/>
    <n v="0"/>
    <n v="0"/>
    <n v="0"/>
    <n v="0"/>
    <n v="0"/>
    <n v="0"/>
    <n v="0"/>
    <n v="0"/>
    <n v="0"/>
    <n v="4.0599999999999996"/>
    <n v="0"/>
    <n v="0"/>
    <n v="0"/>
    <n v="0"/>
    <n v="0"/>
    <n v="0"/>
    <n v="0"/>
    <m/>
    <m/>
    <m/>
    <m/>
    <m/>
    <m/>
    <m/>
    <m/>
    <s v="1"/>
    <s v="1"/>
    <s v="1"/>
    <s v="1"/>
    <s v="1"/>
    <m/>
    <m/>
    <m/>
    <m/>
    <m/>
    <m/>
    <m/>
    <m/>
    <m/>
    <m/>
    <m/>
    <m/>
    <m/>
    <m/>
  </r>
  <r>
    <n v="743"/>
    <d v="2025-03-20T00:00:00"/>
    <s v="ZBTO"/>
    <n v="9518616273"/>
    <n v="3"/>
    <s v="9518616273-3"/>
    <s v="Stocks"/>
    <x v="0"/>
    <m/>
    <x v="3"/>
    <x v="4"/>
    <n v="2000"/>
    <m/>
    <x v="1"/>
    <m/>
    <m/>
    <s v="Bihar"/>
    <s v="East"/>
    <s v="PURNEA JN."/>
    <s v="Coil"/>
    <n v="931671"/>
    <s v="BMW VENTURES LIMITED"/>
    <n v="3767014"/>
    <s v="GP COIL TATGPH GP02 0.400X1350"/>
    <s v=""/>
    <s v=""/>
    <m/>
    <m/>
    <s v="Wider"/>
    <s v="C05"/>
    <s v="TATGPH"/>
    <s v="GP02"/>
    <n v="0.4"/>
    <n v="1350"/>
    <n v="0"/>
    <n v="124"/>
    <n v="0"/>
    <n v="124"/>
    <n v="35.1"/>
    <n v="0"/>
    <n v="9.7149999999999999"/>
    <n v="0"/>
    <n v="0"/>
    <n v="0"/>
    <n v="0"/>
    <n v="0"/>
    <n v="0"/>
    <n v="5.5170000000000003"/>
    <n v="0"/>
    <n v="0"/>
    <n v="0"/>
    <n v="0"/>
    <n v="0"/>
    <n v="0"/>
    <n v="0"/>
    <n v="0"/>
    <n v="0"/>
    <n v="0"/>
    <n v="0"/>
    <n v="0"/>
    <n v="5.5170000000000003"/>
    <n v="5.5170000000000003"/>
    <n v="35"/>
    <n v="40.517000000000003"/>
    <m/>
    <n v="74.62"/>
    <n v="0"/>
    <n v="0"/>
    <n v="0"/>
    <n v="0"/>
    <n v="0"/>
    <n v="0"/>
    <n v="0"/>
    <n v="0"/>
    <n v="0"/>
    <n v="0"/>
    <n v="0"/>
    <n v="0"/>
    <n v="74.62"/>
    <n v="0"/>
    <n v="0"/>
    <n v="0"/>
    <n v="0"/>
    <n v="0"/>
    <n v="0"/>
    <n v="0"/>
    <m/>
    <m/>
    <m/>
    <m/>
    <m/>
    <m/>
    <m/>
    <m/>
    <s v="1"/>
    <s v="1"/>
    <s v="1"/>
    <s v="1"/>
    <s v="1"/>
    <m/>
    <m/>
    <m/>
    <m/>
    <m/>
    <m/>
    <m/>
    <m/>
    <m/>
    <m/>
    <m/>
    <m/>
    <m/>
    <m/>
  </r>
  <r>
    <n v="743"/>
    <d v="2025-03-20T00:00:00"/>
    <s v="ZBTO"/>
    <n v="9518616273"/>
    <n v="4"/>
    <s v="9518616273-4"/>
    <s v="Stocks"/>
    <x v="0"/>
    <m/>
    <x v="3"/>
    <x v="4"/>
    <n v="2000"/>
    <m/>
    <x v="1"/>
    <m/>
    <m/>
    <s v="Bihar"/>
    <s v="East"/>
    <s v="PURNEA JN."/>
    <s v="Coil"/>
    <n v="931671"/>
    <s v="BMW VENTURES LIMITED"/>
    <n v="3774103"/>
    <s v="GP COIL TATXGP GP02 0.450X1350"/>
    <s v=""/>
    <s v=""/>
    <m/>
    <m/>
    <s v="Wider"/>
    <s v="C05"/>
    <s v="TATXGP"/>
    <s v="GP02"/>
    <n v="0.45"/>
    <n v="1350"/>
    <n v="0"/>
    <n v="124"/>
    <n v="0"/>
    <n v="124"/>
    <n v="94.43"/>
    <n v="0"/>
    <n v="11.89"/>
    <n v="0"/>
    <n v="0"/>
    <n v="0"/>
    <n v="0"/>
    <n v="0"/>
    <n v="0"/>
    <n v="7.4119999999999999"/>
    <n v="0"/>
    <n v="0"/>
    <n v="0"/>
    <n v="0"/>
    <n v="0"/>
    <n v="0"/>
    <n v="0"/>
    <n v="0"/>
    <n v="0"/>
    <n v="0"/>
    <n v="0"/>
    <n v="0"/>
    <n v="7.4119999999999999"/>
    <n v="7.4119999999999999"/>
    <n v="94"/>
    <n v="101.41200000000001"/>
    <m/>
    <n v="81.194999999999993"/>
    <n v="0"/>
    <n v="0"/>
    <n v="0"/>
    <n v="0"/>
    <n v="0"/>
    <n v="0"/>
    <n v="0"/>
    <n v="0"/>
    <n v="0"/>
    <n v="0"/>
    <n v="0"/>
    <n v="0"/>
    <n v="81.194999999999993"/>
    <n v="0"/>
    <n v="0"/>
    <n v="0"/>
    <n v="0"/>
    <n v="0"/>
    <n v="0"/>
    <n v="0"/>
    <m/>
    <m/>
    <m/>
    <m/>
    <m/>
    <m/>
    <m/>
    <m/>
    <s v="1"/>
    <s v="1"/>
    <s v="1"/>
    <s v="1"/>
    <s v="1"/>
    <m/>
    <m/>
    <m/>
    <m/>
    <m/>
    <m/>
    <m/>
    <m/>
    <m/>
    <m/>
    <m/>
    <m/>
    <m/>
    <m/>
  </r>
  <r>
    <n v="742"/>
    <d v="2025-03-20T00:00:00"/>
    <s v="ZBTO"/>
    <n v="9518617132"/>
    <n v="2"/>
    <s v="9518617132-2"/>
    <s v="Apr'25 "/>
    <x v="0"/>
    <m/>
    <x v="1"/>
    <x v="2"/>
    <n v="2000"/>
    <m/>
    <x v="1"/>
    <m/>
    <m/>
    <s v="Bihar"/>
    <s v="East"/>
    <s v="PATNA CITY"/>
    <s v="Sheet"/>
    <n v="103227"/>
    <s v="BMW VENTURES LIMITED"/>
    <n v="3239557"/>
    <s v="CRCA SHEET TATCRC SR16 0.400X1250X2500"/>
    <s v=""/>
    <s v=""/>
    <m/>
    <m/>
    <s v="Wider"/>
    <s v="C06"/>
    <s v="TATCRC"/>
    <s v="SR16"/>
    <n v="0.4"/>
    <n v="1250"/>
    <n v="0"/>
    <n v="24"/>
    <n v="0"/>
    <n v="24"/>
    <n v="24"/>
    <n v="24"/>
    <n v="24"/>
    <n v="0"/>
    <n v="0"/>
    <n v="0"/>
    <n v="0"/>
    <n v="0"/>
    <n v="0"/>
    <n v="0"/>
    <n v="0"/>
    <n v="0"/>
    <n v="0"/>
    <n v="0"/>
    <n v="0"/>
    <n v="0"/>
    <n v="0"/>
    <n v="0"/>
    <n v="0"/>
    <n v="0"/>
    <n v="0"/>
    <n v="0"/>
    <n v="0"/>
    <n v="0"/>
    <n v="0"/>
    <n v="0"/>
    <m/>
    <n v="0"/>
    <n v="24"/>
    <n v="0"/>
    <n v="0"/>
    <n v="0"/>
    <n v="24"/>
    <n v="0"/>
    <n v="0"/>
    <n v="0"/>
    <n v="0"/>
    <n v="0"/>
    <n v="0"/>
    <n v="0"/>
    <n v="24"/>
    <n v="0"/>
    <n v="0"/>
    <n v="0"/>
    <n v="0"/>
    <n v="0"/>
    <n v="0"/>
    <n v="0"/>
    <m/>
    <m/>
    <m/>
    <m/>
    <m/>
    <m/>
    <m/>
    <m/>
    <s v="1"/>
    <s v="1"/>
    <s v="1"/>
    <s v="0"/>
    <s v="1"/>
    <m/>
    <m/>
    <m/>
    <m/>
    <m/>
    <m/>
    <m/>
    <m/>
    <m/>
    <m/>
    <m/>
    <m/>
    <m/>
    <m/>
  </r>
  <r>
    <n v="742"/>
    <d v="2025-03-20T00:00:00"/>
    <s v="ZBTO"/>
    <n v="9518617137"/>
    <n v="2"/>
    <s v="9518617137-2"/>
    <s v="No Priority"/>
    <x v="0"/>
    <m/>
    <x v="1"/>
    <x v="2"/>
    <n v="2000"/>
    <m/>
    <x v="0"/>
    <m/>
    <m/>
    <s v="Bihar"/>
    <s v="East"/>
    <s v="PURNEA JN."/>
    <s v="Sheet"/>
    <n v="103227"/>
    <s v="BMW VENTURES LIMITED"/>
    <n v="3239557"/>
    <s v="CRCA SHEET TATCRC SR16 0.400X1250X2500"/>
    <s v=""/>
    <s v=""/>
    <m/>
    <m/>
    <s v="Wider"/>
    <s v="C06"/>
    <s v="TATCRC"/>
    <s v="SR16"/>
    <n v="0.4"/>
    <n v="1250"/>
    <n v="0"/>
    <n v="24"/>
    <n v="0"/>
    <n v="24"/>
    <n v="-3.22"/>
    <n v="0"/>
    <n v="0.96"/>
    <n v="0"/>
    <n v="0"/>
    <n v="0"/>
    <n v="0"/>
    <n v="0"/>
    <n v="0"/>
    <n v="0"/>
    <n v="0"/>
    <n v="0.15"/>
    <n v="0"/>
    <n v="0"/>
    <n v="0"/>
    <n v="0"/>
    <n v="0"/>
    <n v="0"/>
    <n v="0"/>
    <n v="0"/>
    <n v="0"/>
    <n v="0"/>
    <n v="0.15"/>
    <n v="0.15"/>
    <n v="0"/>
    <n v="0.15"/>
    <m/>
    <n v="0"/>
    <n v="0"/>
    <n v="0"/>
    <n v="0"/>
    <n v="0"/>
    <n v="0"/>
    <n v="0"/>
    <n v="0"/>
    <n v="0"/>
    <n v="0"/>
    <n v="0"/>
    <n v="0"/>
    <n v="0"/>
    <n v="0"/>
    <n v="0"/>
    <n v="0"/>
    <n v="0"/>
    <n v="0"/>
    <n v="0"/>
    <n v="0"/>
    <n v="0"/>
    <m/>
    <m/>
    <m/>
    <m/>
    <m/>
    <m/>
    <m/>
    <m/>
    <s v="1"/>
    <s v="1"/>
    <s v="1"/>
    <s v="1"/>
    <s v="1"/>
    <m/>
    <m/>
    <m/>
    <m/>
    <m/>
    <m/>
    <m/>
    <m/>
    <m/>
    <m/>
    <m/>
    <m/>
    <m/>
    <m/>
  </r>
  <r>
    <n v="742"/>
    <d v="2025-03-20T00:00:00"/>
    <s v="ZBTO"/>
    <n v="9518617137"/>
    <n v="3"/>
    <s v="9518617137-3"/>
    <s v="No Priority"/>
    <x v="0"/>
    <m/>
    <x v="1"/>
    <x v="2"/>
    <n v="2000"/>
    <m/>
    <x v="0"/>
    <m/>
    <m/>
    <s v="Bihar"/>
    <s v="East"/>
    <s v="PURNEA JN."/>
    <s v="Sheet"/>
    <n v="103227"/>
    <s v="BMW VENTURES LIMITED"/>
    <n v="3240778"/>
    <s v="CRCA SHEET TSBCRC SR15 0.600X1000X2500"/>
    <s v=""/>
    <s v=""/>
    <m/>
    <m/>
    <s v="Narrow"/>
    <s v="C06"/>
    <s v="TSBCRC"/>
    <s v="SR15"/>
    <n v="0.6"/>
    <n v="1000"/>
    <n v="2500"/>
    <n v="24"/>
    <n v="23.465"/>
    <n v="0.53500000000000003"/>
    <n v="0.53500000000000003"/>
    <n v="0"/>
    <n v="0.53500000000000003"/>
    <n v="0"/>
    <n v="0"/>
    <n v="0"/>
    <n v="0"/>
    <n v="0"/>
    <n v="0"/>
    <n v="0"/>
    <n v="0"/>
    <n v="0"/>
    <n v="0"/>
    <n v="0"/>
    <n v="0"/>
    <n v="0"/>
    <n v="0"/>
    <n v="0"/>
    <n v="0"/>
    <n v="0"/>
    <n v="0"/>
    <n v="0"/>
    <n v="0"/>
    <n v="0"/>
    <n v="0"/>
    <n v="0"/>
    <m/>
    <n v="0"/>
    <n v="0"/>
    <n v="0"/>
    <n v="0"/>
    <n v="0"/>
    <n v="0"/>
    <n v="0"/>
    <n v="0"/>
    <n v="0"/>
    <n v="0"/>
    <n v="0"/>
    <n v="0"/>
    <n v="0"/>
    <n v="0"/>
    <n v="23.465"/>
    <n v="0"/>
    <n v="0"/>
    <n v="0"/>
    <n v="0"/>
    <n v="0"/>
    <n v="23.465"/>
    <m/>
    <m/>
    <m/>
    <m/>
    <m/>
    <m/>
    <m/>
    <m/>
    <s v="1"/>
    <s v="1"/>
    <s v="1"/>
    <s v="1"/>
    <s v="1"/>
    <m/>
    <m/>
    <m/>
    <m/>
    <m/>
    <m/>
    <m/>
    <m/>
    <m/>
    <m/>
    <m/>
    <m/>
    <m/>
    <m/>
  </r>
  <r>
    <n v="742"/>
    <d v="2025-03-20T00:00:00"/>
    <s v="ZBTO"/>
    <n v="9518617137"/>
    <n v="4"/>
    <s v="9518617137-4"/>
    <s v="No Priority"/>
    <x v="0"/>
    <m/>
    <x v="1"/>
    <x v="2"/>
    <n v="2000"/>
    <m/>
    <x v="0"/>
    <m/>
    <m/>
    <s v="Bihar"/>
    <s v="East"/>
    <s v="PURNEA JN."/>
    <s v="Sheet"/>
    <n v="103227"/>
    <s v="BMW VENTURES LIMITED"/>
    <n v="3240849"/>
    <s v="CRCA SHEET TSBCRC SR15 1.200X1250X2500"/>
    <s v=""/>
    <s v=""/>
    <m/>
    <m/>
    <s v="Wider"/>
    <s v="C06"/>
    <s v="TSBCRC"/>
    <s v="SR15"/>
    <n v="1.2"/>
    <n v="1250"/>
    <n v="0"/>
    <n v="24"/>
    <n v="0"/>
    <n v="24"/>
    <n v="-2.9750000000000001"/>
    <n v="0"/>
    <n v="0.43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3T00:00:00"/>
    <s v="ZBTO"/>
    <n v="9518625201"/>
    <n v="1"/>
    <s v="9518625201-1"/>
    <s v="Apr'25 "/>
    <x v="0"/>
    <m/>
    <x v="1"/>
    <x v="7"/>
    <n v="1000"/>
    <m/>
    <x v="1"/>
    <m/>
    <m/>
    <s v="Gujarat"/>
    <s v="West"/>
    <s v="RAJKOT"/>
    <s v="Coil"/>
    <n v="188891"/>
    <s v="Galaxy Stamping Pvt. Ltd."/>
    <n v="2439203"/>
    <s v="CRCA COIL TSBSTA EL06 0.500X1160"/>
    <s v=""/>
    <s v=""/>
    <m/>
    <m/>
    <s v="Narrow"/>
    <s v="C01"/>
    <s v="TSBSTA"/>
    <s v="EL06"/>
    <n v="0.5"/>
    <n v="1160"/>
    <n v="0"/>
    <n v="296.99"/>
    <n v="147.345"/>
    <n v="149.64500000000001"/>
    <n v="123.645"/>
    <n v="123.00500000000001"/>
    <n v="33.344999999999999"/>
    <n v="0"/>
    <n v="0"/>
    <n v="0"/>
    <n v="0"/>
    <n v="0"/>
    <n v="0"/>
    <n v="0"/>
    <n v="0"/>
    <n v="0"/>
    <n v="0"/>
    <n v="0"/>
    <n v="0"/>
    <n v="26.64"/>
    <n v="0"/>
    <n v="0"/>
    <n v="0"/>
    <n v="0"/>
    <n v="0"/>
    <n v="0"/>
    <n v="26.64"/>
    <n v="26.64"/>
    <n v="0"/>
    <n v="26.64"/>
    <m/>
    <n v="18.625"/>
    <n v="33.344999999999999"/>
    <n v="0"/>
    <n v="33.344999999999999"/>
    <n v="0"/>
    <n v="0"/>
    <n v="0"/>
    <n v="33.344999999999999"/>
    <n v="0"/>
    <n v="33.344999999999999"/>
    <n v="0"/>
    <n v="0"/>
    <n v="0"/>
    <n v="18.625"/>
    <n v="18.02"/>
    <n v="0"/>
    <n v="18.02"/>
    <n v="0"/>
    <n v="0"/>
    <n v="0"/>
    <n v="0"/>
    <m/>
    <m/>
    <m/>
    <m/>
    <m/>
    <m/>
    <m/>
    <m/>
    <s v="1"/>
    <s v="0"/>
    <s v="1"/>
    <s v="1"/>
    <s v="1"/>
    <m/>
    <m/>
    <m/>
    <m/>
    <m/>
    <m/>
    <m/>
    <m/>
    <m/>
    <m/>
    <m/>
    <m/>
    <m/>
    <m/>
  </r>
  <r>
    <n v="742"/>
    <d v="2025-03-21T00:00:00"/>
    <s v="ZBTO"/>
    <n v="9518619991"/>
    <n v="1"/>
    <s v="9518619991-1"/>
    <s v="No Priority"/>
    <x v="0"/>
    <m/>
    <x v="1"/>
    <x v="2"/>
    <n v="2000"/>
    <m/>
    <x v="0"/>
    <m/>
    <s v="Exp BTF &lt;17MT"/>
    <s v="Chhattisgarh"/>
    <s v="East"/>
    <s v="RAIPUR"/>
    <s v="Sheet"/>
    <n v="931662"/>
    <s v="PRESTIGE METALLICS PRIVATE LIM"/>
    <n v="3239536"/>
    <s v="CRCA SHEET TATCRC SR16 0.350X900X2500"/>
    <s v=""/>
    <s v=""/>
    <m/>
    <m/>
    <s v="Narrow"/>
    <s v="C06"/>
    <s v="TATCRC"/>
    <s v="SR16"/>
    <n v="0.35"/>
    <n v="900"/>
    <n v="2500"/>
    <n v="42"/>
    <n v="37.71"/>
    <n v="4.29"/>
    <n v="4.29"/>
    <n v="4.29"/>
    <n v="4.29"/>
    <n v="0"/>
    <n v="0"/>
    <n v="0"/>
    <n v="0"/>
    <n v="0"/>
    <n v="0"/>
    <n v="0"/>
    <n v="0"/>
    <n v="0"/>
    <n v="0"/>
    <n v="0"/>
    <n v="0"/>
    <n v="0"/>
    <n v="0"/>
    <n v="0"/>
    <n v="0"/>
    <n v="0"/>
    <n v="0"/>
    <n v="0"/>
    <n v="0"/>
    <n v="0"/>
    <n v="0"/>
    <n v="0"/>
    <m/>
    <n v="0"/>
    <n v="0"/>
    <n v="0"/>
    <n v="0"/>
    <n v="0"/>
    <n v="0"/>
    <n v="0"/>
    <n v="0"/>
    <n v="0"/>
    <n v="0"/>
    <n v="0"/>
    <n v="0"/>
    <n v="0"/>
    <n v="0"/>
    <n v="37.709999999999994"/>
    <n v="0"/>
    <n v="0"/>
    <n v="0"/>
    <n v="0"/>
    <n v="0"/>
    <n v="37.709999999999994"/>
    <m/>
    <m/>
    <m/>
    <m/>
    <m/>
    <m/>
    <m/>
    <m/>
    <s v="1"/>
    <s v="1"/>
    <s v="1"/>
    <s v="1"/>
    <s v="1"/>
    <m/>
    <m/>
    <m/>
    <m/>
    <m/>
    <m/>
    <m/>
    <m/>
    <m/>
    <m/>
    <m/>
    <m/>
    <m/>
    <m/>
  </r>
  <r>
    <n v="742"/>
    <d v="2025-03-21T00:00:00"/>
    <s v="ZBTO"/>
    <n v="9518619991"/>
    <n v="2"/>
    <s v="9518619991-2"/>
    <s v="Stocks"/>
    <x v="0"/>
    <m/>
    <x v="1"/>
    <x v="2"/>
    <n v="2000"/>
    <m/>
    <x v="1"/>
    <m/>
    <m/>
    <s v="Chhattisgarh"/>
    <s v="East"/>
    <s v="RAIPUR"/>
    <s v="Sheet"/>
    <n v="931662"/>
    <s v="PRESTIGE METALLICS PRIVATE LIM"/>
    <n v="3239548"/>
    <s v="CRCA SHEET TATCRC SR16 0.400X900X2500"/>
    <s v=""/>
    <s v=""/>
    <m/>
    <m/>
    <s v="Narrow"/>
    <s v="C06"/>
    <s v="TATCRC"/>
    <s v="SR16"/>
    <n v="0.4"/>
    <n v="900"/>
    <n v="2500"/>
    <n v="21"/>
    <n v="0"/>
    <n v="21"/>
    <n v="-0.38"/>
    <n v="0"/>
    <n v="1.21"/>
    <n v="0"/>
    <n v="0"/>
    <n v="0"/>
    <n v="0"/>
    <n v="0"/>
    <n v="0"/>
    <n v="0"/>
    <n v="0"/>
    <n v="0"/>
    <n v="0"/>
    <n v="0"/>
    <n v="0"/>
    <n v="0"/>
    <n v="0"/>
    <n v="0"/>
    <n v="0"/>
    <n v="0"/>
    <n v="0"/>
    <n v="0"/>
    <n v="0"/>
    <n v="0"/>
    <n v="0"/>
    <n v="0"/>
    <m/>
    <n v="8.4849999999999994"/>
    <n v="0"/>
    <n v="0"/>
    <n v="0"/>
    <n v="0"/>
    <n v="0"/>
    <n v="0"/>
    <n v="0"/>
    <n v="0"/>
    <n v="0"/>
    <n v="0"/>
    <n v="0"/>
    <n v="0"/>
    <n v="8.4849999999999994"/>
    <n v="0"/>
    <n v="0"/>
    <n v="0"/>
    <n v="0"/>
    <n v="0"/>
    <n v="0"/>
    <n v="0"/>
    <m/>
    <m/>
    <m/>
    <m/>
    <m/>
    <m/>
    <m/>
    <m/>
    <s v="1"/>
    <s v="1"/>
    <s v="1"/>
    <s v="1"/>
    <s v="1"/>
    <m/>
    <m/>
    <m/>
    <m/>
    <m/>
    <m/>
    <m/>
    <m/>
    <m/>
    <m/>
    <m/>
    <m/>
    <m/>
    <m/>
  </r>
  <r>
    <n v="743"/>
    <d v="2025-03-18T00:00:00"/>
    <s v="ZBTO"/>
    <n v="9518610691"/>
    <n v="2"/>
    <s v="9518610691-2"/>
    <s v="No Priority"/>
    <x v="0"/>
    <m/>
    <x v="3"/>
    <x v="0"/>
    <n v="2000"/>
    <m/>
    <x v="0"/>
    <m/>
    <m/>
    <s v="Jammu &amp; Kashmir"/>
    <s v="North"/>
    <s v="SRINAGAR O.A."/>
    <s v="Coil"/>
    <n v="115190"/>
    <s v="SHEYRUB AGENCIES"/>
    <n v="3897428"/>
    <s v="GP COIL XXXGPH GPH3 0.300X900"/>
    <s v=""/>
    <s v=""/>
    <m/>
    <m/>
    <s v="Narrow"/>
    <s v="C05"/>
    <s v="XXXGPH"/>
    <s v="GPH3"/>
    <n v="0.3"/>
    <n v="900"/>
    <n v="0"/>
    <n v="84"/>
    <n v="17.77"/>
    <n v="66.23"/>
    <n v="66.23"/>
    <n v="0"/>
    <n v="8.6349999999999998"/>
    <n v="0"/>
    <n v="0"/>
    <n v="0"/>
    <n v="0"/>
    <n v="0"/>
    <n v="0"/>
    <n v="0"/>
    <n v="0"/>
    <n v="0"/>
    <n v="0"/>
    <n v="0"/>
    <n v="0"/>
    <n v="0"/>
    <n v="0"/>
    <n v="0"/>
    <n v="0"/>
    <n v="0"/>
    <n v="0"/>
    <n v="0"/>
    <n v="0"/>
    <n v="0"/>
    <n v="66"/>
    <n v="66"/>
    <m/>
    <n v="0"/>
    <n v="0"/>
    <n v="0"/>
    <n v="0"/>
    <n v="0"/>
    <n v="0"/>
    <n v="0"/>
    <n v="0"/>
    <n v="0"/>
    <n v="0"/>
    <n v="0"/>
    <n v="0"/>
    <n v="0"/>
    <n v="0"/>
    <n v="0"/>
    <n v="0"/>
    <n v="0"/>
    <n v="0"/>
    <n v="0"/>
    <n v="0"/>
    <n v="0"/>
    <m/>
    <m/>
    <m/>
    <m/>
    <m/>
    <m/>
    <m/>
    <m/>
    <s v="1"/>
    <s v="1"/>
    <s v="1"/>
    <s v="1"/>
    <s v="1"/>
    <m/>
    <m/>
    <m/>
    <m/>
    <m/>
    <m/>
    <m/>
    <m/>
    <m/>
    <m/>
    <m/>
    <m/>
    <m/>
    <m/>
  </r>
  <r>
    <n v="743"/>
    <d v="2025-03-18T00:00:00"/>
    <s v="ZBTO"/>
    <n v="9518610691"/>
    <n v="3"/>
    <s v="9518610691-3"/>
    <s v="Stocks"/>
    <x v="0"/>
    <m/>
    <x v="3"/>
    <x v="0"/>
    <n v="2000"/>
    <m/>
    <x v="1"/>
    <m/>
    <m/>
    <s v="Jammu &amp; Kashmir"/>
    <s v="North"/>
    <s v="SRINAGAR O.A."/>
    <s v="Coil"/>
    <n v="115190"/>
    <s v="SHEYRUB AGENCIES"/>
    <n v="3897429"/>
    <s v="GP COIL XXXGPH GPH3 0.350X900"/>
    <s v=""/>
    <s v=""/>
    <m/>
    <m/>
    <s v="Narrow"/>
    <s v="C05"/>
    <s v="XXXGPH"/>
    <s v="GPH3"/>
    <n v="0.35"/>
    <n v="900"/>
    <n v="0"/>
    <n v="126"/>
    <n v="0"/>
    <n v="126"/>
    <n v="126"/>
    <n v="0"/>
    <n v="9.5350000000000001"/>
    <n v="0"/>
    <n v="0"/>
    <n v="0"/>
    <n v="0"/>
    <n v="0"/>
    <n v="0"/>
    <n v="0"/>
    <n v="0"/>
    <n v="0"/>
    <n v="0"/>
    <n v="0"/>
    <n v="0"/>
    <n v="0"/>
    <n v="0"/>
    <n v="0"/>
    <n v="0"/>
    <n v="0"/>
    <n v="0"/>
    <n v="2.5649999999999999"/>
    <n v="2.5649999999999999"/>
    <n v="2.5649999999999999"/>
    <n v="126"/>
    <n v="128.565"/>
    <m/>
    <n v="43.215000000000003"/>
    <n v="0"/>
    <n v="0"/>
    <n v="0"/>
    <n v="0"/>
    <n v="0"/>
    <n v="0"/>
    <n v="0"/>
    <n v="0"/>
    <n v="0"/>
    <n v="0"/>
    <n v="0"/>
    <n v="0"/>
    <n v="43.215000000000003"/>
    <n v="0"/>
    <n v="0"/>
    <n v="0"/>
    <n v="0"/>
    <n v="0"/>
    <n v="0"/>
    <n v="0"/>
    <m/>
    <m/>
    <m/>
    <m/>
    <m/>
    <m/>
    <m/>
    <m/>
    <s v="1"/>
    <s v="1"/>
    <s v="1"/>
    <s v="1"/>
    <s v="1"/>
    <m/>
    <m/>
    <m/>
    <m/>
    <m/>
    <m/>
    <m/>
    <m/>
    <m/>
    <m/>
    <m/>
    <m/>
    <m/>
    <m/>
  </r>
  <r>
    <n v="743"/>
    <d v="2025-03-18T00:00:00"/>
    <s v="ZBTO"/>
    <n v="9518610691"/>
    <n v="4"/>
    <s v="9518610691-4"/>
    <s v="Stocks"/>
    <x v="0"/>
    <m/>
    <x v="3"/>
    <x v="0"/>
    <n v="2000"/>
    <m/>
    <x v="1"/>
    <m/>
    <m/>
    <s v="Jammu &amp; Kashmir"/>
    <s v="North"/>
    <s v="SRINAGAR O.A."/>
    <s v="Coil"/>
    <n v="115190"/>
    <s v="SHEYRUB AGENCIES"/>
    <n v="3897430"/>
    <s v="GP COIL XXXGPH GPH3 0.400X900"/>
    <s v=""/>
    <s v=""/>
    <m/>
    <m/>
    <s v="Narrow"/>
    <s v="C05"/>
    <s v="XXXGPH"/>
    <s v="GPH3"/>
    <n v="0.4"/>
    <n v="900"/>
    <n v="0"/>
    <n v="126"/>
    <n v="0"/>
    <n v="126"/>
    <n v="126"/>
    <n v="0"/>
    <n v="6.0549999999999997"/>
    <n v="0"/>
    <n v="0"/>
    <n v="0"/>
    <n v="0"/>
    <n v="0"/>
    <n v="0"/>
    <n v="0"/>
    <n v="0"/>
    <n v="0"/>
    <n v="0"/>
    <n v="0"/>
    <n v="0"/>
    <n v="0"/>
    <n v="0"/>
    <n v="0"/>
    <n v="0"/>
    <n v="0"/>
    <n v="0"/>
    <n v="0"/>
    <n v="0"/>
    <n v="0"/>
    <n v="126"/>
    <n v="126"/>
    <m/>
    <n v="59.179999999999986"/>
    <n v="0"/>
    <n v="0"/>
    <n v="0"/>
    <n v="0"/>
    <n v="0"/>
    <n v="0"/>
    <n v="0"/>
    <n v="0"/>
    <n v="0"/>
    <n v="0"/>
    <n v="0"/>
    <n v="0"/>
    <n v="59.179999999999986"/>
    <n v="0"/>
    <n v="0"/>
    <n v="0"/>
    <n v="0"/>
    <n v="0"/>
    <n v="0"/>
    <n v="0"/>
    <m/>
    <m/>
    <m/>
    <m/>
    <m/>
    <m/>
    <m/>
    <m/>
    <s v="1"/>
    <s v="1"/>
    <s v="1"/>
    <s v="1"/>
    <s v="1"/>
    <m/>
    <m/>
    <m/>
    <m/>
    <m/>
    <m/>
    <m/>
    <m/>
    <m/>
    <m/>
    <m/>
    <m/>
    <m/>
    <m/>
  </r>
  <r>
    <n v="743"/>
    <d v="2025-03-18T00:00:00"/>
    <s v="ZBTO"/>
    <n v="9518610691"/>
    <n v="5"/>
    <s v="9518610691-5"/>
    <s v="May'25"/>
    <x v="0"/>
    <m/>
    <x v="3"/>
    <x v="0"/>
    <n v="2000"/>
    <m/>
    <x v="1"/>
    <m/>
    <m/>
    <s v="Jammu &amp; Kashmir"/>
    <s v="North"/>
    <s v="SRINAGAR O.A."/>
    <s v="Coil"/>
    <n v="115190"/>
    <s v="SHEYRUB AGENCIES"/>
    <n v="3897501"/>
    <s v="GP COIL XXXGPH GPH3 0.500X900"/>
    <s v=""/>
    <s v=""/>
    <m/>
    <m/>
    <s v="Narrow"/>
    <s v="C05"/>
    <s v="XXXGPH"/>
    <s v="GPH3"/>
    <n v="0.5"/>
    <n v="900"/>
    <n v="0"/>
    <n v="126"/>
    <n v="0"/>
    <n v="126"/>
    <n v="126"/>
    <n v="0"/>
    <n v="28.67"/>
    <n v="0"/>
    <n v="0"/>
    <n v="0"/>
    <n v="0"/>
    <n v="0"/>
    <n v="0"/>
    <n v="20.03"/>
    <n v="0"/>
    <n v="0"/>
    <n v="0"/>
    <n v="0"/>
    <n v="0"/>
    <n v="0"/>
    <n v="0"/>
    <n v="0"/>
    <n v="0"/>
    <n v="0"/>
    <n v="0"/>
    <n v="0"/>
    <n v="20.03"/>
    <n v="20.03"/>
    <n v="126"/>
    <n v="146.03"/>
    <m/>
    <n v="0"/>
    <n v="28.67"/>
    <n v="28.67"/>
    <n v="0"/>
    <n v="0"/>
    <n v="0"/>
    <n v="0"/>
    <n v="0"/>
    <n v="0"/>
    <n v="0"/>
    <n v="0"/>
    <n v="0"/>
    <n v="0"/>
    <n v="28.67"/>
    <n v="0"/>
    <n v="0"/>
    <n v="0"/>
    <n v="0"/>
    <n v="0"/>
    <n v="0"/>
    <n v="0"/>
    <m/>
    <m/>
    <m/>
    <m/>
    <m/>
    <m/>
    <m/>
    <m/>
    <s v="0"/>
    <s v="1"/>
    <s v="1"/>
    <s v="1"/>
    <s v="1"/>
    <m/>
    <m/>
    <m/>
    <m/>
    <m/>
    <m/>
    <m/>
    <m/>
    <m/>
    <m/>
    <m/>
    <m/>
    <m/>
    <m/>
  </r>
  <r>
    <n v="742"/>
    <d v="2025-03-22T00:00:00"/>
    <s v="ZBTO"/>
    <n v="9518624222"/>
    <n v="4"/>
    <s v="9518624222-4"/>
    <s v="Apr'25 "/>
    <x v="0"/>
    <m/>
    <x v="1"/>
    <x v="1"/>
    <n v="2000"/>
    <m/>
    <x v="1"/>
    <m/>
    <m/>
    <s v="Delhi"/>
    <s v="North"/>
    <s v="NEWDELHI"/>
    <s v="Coil"/>
    <n v="184986"/>
    <s v="SWASTIK STEEL PROCESSOR LLP"/>
    <n v="1804772"/>
    <s v="CRCA COIL TATXXD AU03 0.4X1250"/>
    <s v=""/>
    <s v=""/>
    <m/>
    <m/>
    <s v="Wider"/>
    <s v="C01"/>
    <s v="TATXXD"/>
    <s v="AU03"/>
    <n v="0.4"/>
    <n v="1250"/>
    <n v="0"/>
    <n v="87"/>
    <n v="0"/>
    <n v="87"/>
    <n v="73.819999999999993"/>
    <n v="87"/>
    <n v="87"/>
    <n v="0"/>
    <n v="0"/>
    <n v="0"/>
    <n v="0"/>
    <n v="0"/>
    <n v="0"/>
    <n v="0"/>
    <n v="0"/>
    <n v="0"/>
    <n v="0"/>
    <n v="0"/>
    <n v="0"/>
    <n v="0"/>
    <n v="0"/>
    <n v="0"/>
    <n v="0"/>
    <n v="0"/>
    <n v="0"/>
    <n v="0"/>
    <n v="0"/>
    <n v="0"/>
    <n v="0"/>
    <n v="0"/>
    <m/>
    <n v="0"/>
    <n v="87"/>
    <n v="0"/>
    <n v="0"/>
    <n v="0"/>
    <n v="87"/>
    <n v="0"/>
    <n v="0"/>
    <n v="0"/>
    <n v="0"/>
    <n v="0"/>
    <n v="0"/>
    <n v="0"/>
    <n v="87"/>
    <n v="0"/>
    <n v="0"/>
    <n v="0"/>
    <n v="0"/>
    <n v="0"/>
    <n v="0"/>
    <n v="0"/>
    <m/>
    <m/>
    <m/>
    <m/>
    <m/>
    <m/>
    <m/>
    <m/>
    <s v="1"/>
    <s v="1"/>
    <s v="1"/>
    <s v="0"/>
    <s v="1"/>
    <m/>
    <m/>
    <m/>
    <m/>
    <m/>
    <m/>
    <m/>
    <m/>
    <m/>
    <m/>
    <m/>
    <m/>
    <m/>
    <m/>
  </r>
  <r>
    <n v="744"/>
    <d v="2025-03-13T00:00:00"/>
    <s v="ZBTO"/>
    <n v="9518598889"/>
    <n v="2"/>
    <s v="9518598889-2"/>
    <s v="Apr'25 "/>
    <x v="0"/>
    <m/>
    <x v="2"/>
    <x v="3"/>
    <n v="1000"/>
    <m/>
    <x v="1"/>
    <m/>
    <m/>
    <s v="Jharkhand"/>
    <s v="TBSPL"/>
    <s v="TBL- BARA AGRICO"/>
    <s v="Coil"/>
    <n v="941597"/>
    <s v="TATA BLUESCOPE STEEL PRIVATE L"/>
    <n v="3902332"/>
    <s v="PPGL C HARD Y550PL D0C9 0.50(TPT)X1220"/>
    <n v="150"/>
    <s v="RAL 7015 TSL 1805"/>
    <m/>
    <m/>
    <s v="Wider"/>
    <s v="B18"/>
    <s v="Y550PL"/>
    <s v="D0C9"/>
    <n v="0.5"/>
    <n v="1220"/>
    <n v="0"/>
    <n v="84"/>
    <n v="0"/>
    <n v="84"/>
    <n v="84"/>
    <n v="84"/>
    <n v="8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0T00:00:00"/>
    <s v="ZBTO"/>
    <n v="9518617046"/>
    <n v="1"/>
    <s v="9518617046-1"/>
    <s v="No Priority"/>
    <x v="0"/>
    <m/>
    <x v="2"/>
    <x v="3"/>
    <n v="1000"/>
    <m/>
    <x v="1"/>
    <m/>
    <m/>
    <s v="Jharkhand"/>
    <s v="TBSPL"/>
    <s v="TBL- BARA AGRICO"/>
    <s v="Coil"/>
    <n v="941597"/>
    <s v="TATA BLUESCOPE STEEL PRIVATE L"/>
    <n v="3902332"/>
    <s v="PPGL C HARD Y550PL D0C9 0.50(TPT)X1220"/>
    <n v="150"/>
    <s v="RAL 7024 TSL 1806"/>
    <m/>
    <m/>
    <s v="Wider"/>
    <s v="B18"/>
    <s v="Y550PL"/>
    <s v="D0C9"/>
    <n v="0.5"/>
    <n v="1220"/>
    <n v="0"/>
    <n v="56"/>
    <n v="0"/>
    <n v="56"/>
    <n v="56"/>
    <n v="0"/>
    <n v="13.135"/>
    <n v="0"/>
    <n v="0"/>
    <n v="0"/>
    <n v="0"/>
    <n v="0"/>
    <n v="0"/>
    <n v="0"/>
    <n v="6.3050000000000006"/>
    <n v="0"/>
    <n v="0"/>
    <n v="0"/>
    <n v="0"/>
    <n v="0"/>
    <n v="0"/>
    <n v="0"/>
    <n v="0"/>
    <n v="0"/>
    <n v="0"/>
    <n v="0"/>
    <n v="6.3050000000000006"/>
    <n v="6.3050000000000006"/>
    <n v="0"/>
    <n v="6.3050000000000006"/>
    <m/>
    <n v="0"/>
    <n v="13.135"/>
    <n v="0"/>
    <n v="0"/>
    <n v="13.135"/>
    <n v="0"/>
    <n v="0"/>
    <n v="0"/>
    <n v="0"/>
    <n v="0"/>
    <n v="0"/>
    <n v="0"/>
    <n v="0"/>
    <n v="13.135"/>
    <n v="0"/>
    <n v="0"/>
    <n v="0"/>
    <n v="0"/>
    <n v="0"/>
    <n v="0"/>
    <n v="0"/>
    <m/>
    <m/>
    <m/>
    <m/>
    <m/>
    <m/>
    <m/>
    <m/>
    <s v="1"/>
    <s v="1"/>
    <s v="0"/>
    <s v="1"/>
    <s v="1"/>
    <m/>
    <m/>
    <m/>
    <m/>
    <m/>
    <m/>
    <m/>
    <m/>
    <m/>
    <m/>
    <m/>
    <m/>
    <m/>
    <m/>
  </r>
  <r>
    <n v="744"/>
    <d v="2025-03-20T00:00:00"/>
    <s v="ZBTO"/>
    <n v="9518617046"/>
    <n v="2"/>
    <s v="9518617046-2"/>
    <s v="Apr'25 "/>
    <x v="0"/>
    <m/>
    <x v="2"/>
    <x v="3"/>
    <n v="1000"/>
    <m/>
    <x v="1"/>
    <m/>
    <m/>
    <s v="Jharkhand"/>
    <s v="TBSPL"/>
    <s v="TBL- BARA AGRICO"/>
    <s v="Coil"/>
    <n v="941597"/>
    <s v="TATA BLUESCOPE STEEL PRIVATE L"/>
    <n v="3902332"/>
    <s v="PPGL C HARD Y550PL D0C9 0.50(TPT)X1220"/>
    <n v="150"/>
    <s v="RAL 6011 TSL 1810"/>
    <m/>
    <m/>
    <s v="Wider"/>
    <s v="B18"/>
    <s v="Y550PL"/>
    <s v="D0C9"/>
    <n v="0.5"/>
    <n v="1220"/>
    <n v="0"/>
    <n v="28"/>
    <n v="0"/>
    <n v="28"/>
    <n v="28"/>
    <n v="28"/>
    <n v="28"/>
    <n v="0"/>
    <n v="0"/>
    <n v="0"/>
    <n v="0"/>
    <n v="0"/>
    <n v="0"/>
    <n v="0"/>
    <n v="0"/>
    <n v="0"/>
    <n v="0"/>
    <n v="0"/>
    <n v="0"/>
    <n v="0"/>
    <n v="0"/>
    <n v="0"/>
    <n v="0"/>
    <n v="0"/>
    <n v="0"/>
    <n v="0"/>
    <n v="0"/>
    <n v="0"/>
    <n v="0"/>
    <n v="0"/>
    <m/>
    <n v="0"/>
    <n v="28"/>
    <n v="0"/>
    <n v="0"/>
    <n v="0"/>
    <n v="28"/>
    <n v="0"/>
    <n v="0"/>
    <n v="0"/>
    <n v="0"/>
    <n v="0"/>
    <n v="0"/>
    <n v="0"/>
    <n v="28"/>
    <n v="0"/>
    <n v="0"/>
    <n v="0"/>
    <n v="0"/>
    <n v="0"/>
    <n v="0"/>
    <n v="0"/>
    <m/>
    <m/>
    <m/>
    <m/>
    <m/>
    <m/>
    <m/>
    <m/>
    <s v="1"/>
    <s v="1"/>
    <s v="1"/>
    <s v="0"/>
    <s v="1"/>
    <m/>
    <m/>
    <m/>
    <m/>
    <m/>
    <m/>
    <m/>
    <m/>
    <m/>
    <m/>
    <m/>
    <m/>
    <m/>
    <m/>
  </r>
  <r>
    <n v="744"/>
    <d v="2025-03-20T00:00:00"/>
    <s v="ZBTO"/>
    <n v="9518617046"/>
    <n v="3"/>
    <s v="9518617046-3"/>
    <s v="No Priority"/>
    <x v="0"/>
    <m/>
    <x v="2"/>
    <x v="3"/>
    <n v="1000"/>
    <m/>
    <x v="0"/>
    <m/>
    <m/>
    <s v="Jharkhand"/>
    <s v="TBSPL"/>
    <s v="TBL- BARA AGRICO"/>
    <s v="Coil"/>
    <n v="941597"/>
    <s v="TATA BLUESCOPE STEEL PRIVATE L"/>
    <n v="3902332"/>
    <s v="PPGL C HARD Y550PL D0C9 0.50(TPT)X1220"/>
    <n v="150"/>
    <s v="RAL 9002 TSL 1801"/>
    <m/>
    <m/>
    <s v="Wider"/>
    <s v="B18"/>
    <s v="Y550PL"/>
    <s v="D0C9"/>
    <n v="0.5"/>
    <n v="1220"/>
    <n v="0"/>
    <n v="168"/>
    <n v="155.405"/>
    <n v="12.595000000000001"/>
    <n v="-0.88600000000000001"/>
    <n v="0"/>
    <n v="12.595000000000001"/>
    <n v="0"/>
    <n v="0"/>
    <n v="0"/>
    <n v="0"/>
    <n v="0"/>
    <n v="0"/>
    <n v="0"/>
    <n v="0"/>
    <n v="0"/>
    <n v="0"/>
    <n v="0"/>
    <n v="0"/>
    <n v="0"/>
    <n v="0"/>
    <n v="0"/>
    <n v="0"/>
    <n v="0"/>
    <n v="0"/>
    <n v="0"/>
    <n v="0"/>
    <n v="0"/>
    <n v="0"/>
    <n v="0"/>
    <m/>
    <n v="0"/>
    <n v="0"/>
    <n v="0"/>
    <n v="0"/>
    <n v="0"/>
    <n v="0"/>
    <n v="0"/>
    <n v="0"/>
    <n v="0"/>
    <n v="0"/>
    <n v="0"/>
    <n v="0"/>
    <n v="0"/>
    <n v="0"/>
    <n v="108.00500000000001"/>
    <n v="0"/>
    <n v="0"/>
    <n v="0"/>
    <n v="0"/>
    <n v="0"/>
    <n v="108.00500000000001"/>
    <m/>
    <m/>
    <m/>
    <m/>
    <m/>
    <m/>
    <m/>
    <m/>
    <s v="1"/>
    <s v="1"/>
    <s v="1"/>
    <s v="1"/>
    <s v="1"/>
    <m/>
    <m/>
    <m/>
    <m/>
    <m/>
    <m/>
    <m/>
    <m/>
    <m/>
    <m/>
    <m/>
    <m/>
    <m/>
    <m/>
  </r>
  <r>
    <n v="744"/>
    <d v="2025-03-20T00:00:00"/>
    <s v="ZBTO"/>
    <n v="9518617046"/>
    <n v="4"/>
    <s v="9518617046-4"/>
    <s v="No Priority"/>
    <x v="0"/>
    <m/>
    <x v="2"/>
    <x v="3"/>
    <n v="1000"/>
    <m/>
    <x v="0"/>
    <m/>
    <m/>
    <s v="Jharkhand"/>
    <s v="TBSPL"/>
    <s v="TBL- BARA AGRICO"/>
    <s v="Coil"/>
    <n v="941597"/>
    <s v="TATA BLUESCOPE STEEL PRIVATE L"/>
    <n v="3902332"/>
    <s v="PPGL C HARD Y550PL D0C9 0.50(TPT)X1220"/>
    <n v="150"/>
    <s v="RAL 7024 TSL 1806"/>
    <m/>
    <m/>
    <s v="Wider"/>
    <s v="B18"/>
    <s v="Y550PL"/>
    <s v="D0C9"/>
    <n v="0.5"/>
    <n v="1220"/>
    <n v="0"/>
    <n v="56"/>
    <n v="8.89"/>
    <n v="47.11"/>
    <n v="45.71"/>
    <n v="47.11"/>
    <n v="2.87"/>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2T00:00:00"/>
    <s v="ZBTO"/>
    <n v="9518624203"/>
    <n v="1"/>
    <s v="9518624203-1"/>
    <s v="Stocks"/>
    <x v="0"/>
    <m/>
    <x v="4"/>
    <x v="3"/>
    <n v="1000"/>
    <m/>
    <x v="1"/>
    <m/>
    <m/>
    <s v="Jharkhand"/>
    <s v="TBSPL"/>
    <s v="TBL- BARA AGRICO"/>
    <s v="Coil"/>
    <n v="942283"/>
    <s v="TATA BLUESCOPE STEEL PRIVATE L"/>
    <n v="3239573"/>
    <s v="GL C YS550 H6GL 0.42BMT(0.47TCT)X1220"/>
    <n v="150"/>
    <s v=""/>
    <m/>
    <m/>
    <s v="Wider"/>
    <s v="B04"/>
    <s v="Y550GL"/>
    <s v="H6GL"/>
    <n v="0.42"/>
    <n v="1220"/>
    <n v="0"/>
    <n v="84"/>
    <n v="50.41"/>
    <n v="33.590000000000003"/>
    <n v="5.9649999999999999"/>
    <n v="33.590000000000003"/>
    <n v="6.1"/>
    <n v="0"/>
    <n v="0"/>
    <n v="0"/>
    <n v="0"/>
    <n v="0"/>
    <n v="0"/>
    <n v="0"/>
    <n v="0"/>
    <n v="0"/>
    <n v="0"/>
    <n v="0"/>
    <n v="0"/>
    <n v="0"/>
    <n v="0"/>
    <n v="0"/>
    <n v="0"/>
    <n v="0"/>
    <n v="0"/>
    <n v="0"/>
    <n v="0"/>
    <n v="0"/>
    <n v="0"/>
    <n v="0"/>
    <m/>
    <n v="14.204999999999998"/>
    <n v="0"/>
    <n v="0"/>
    <n v="0"/>
    <n v="0"/>
    <n v="0"/>
    <n v="0"/>
    <n v="0"/>
    <n v="0"/>
    <n v="0"/>
    <n v="0"/>
    <n v="0"/>
    <n v="0"/>
    <n v="14.204999999999998"/>
    <n v="27.29"/>
    <n v="0"/>
    <n v="0"/>
    <n v="0"/>
    <n v="0"/>
    <n v="0"/>
    <n v="27.29"/>
    <m/>
    <m/>
    <m/>
    <m/>
    <m/>
    <m/>
    <m/>
    <m/>
    <s v="1"/>
    <s v="1"/>
    <s v="1"/>
    <s v="1"/>
    <s v="1"/>
    <m/>
    <m/>
    <m/>
    <m/>
    <m/>
    <m/>
    <m/>
    <m/>
    <m/>
    <m/>
    <m/>
    <m/>
    <m/>
    <m/>
  </r>
  <r>
    <n v="743"/>
    <d v="2025-03-22T00:00:00"/>
    <s v="ZBTO"/>
    <n v="9518624203"/>
    <n v="3"/>
    <s v="9518624203-3"/>
    <s v="May'25"/>
    <x v="0"/>
    <m/>
    <x v="4"/>
    <x v="3"/>
    <n v="1000"/>
    <m/>
    <x v="1"/>
    <m/>
    <m/>
    <s v="Jharkhand"/>
    <s v="TBSPL"/>
    <s v="TBL- BARA AGRICO"/>
    <s v="Coil"/>
    <n v="942283"/>
    <s v="TATA BLUESCOPE STEEL PRIVATE L"/>
    <n v="3239573"/>
    <s v="GL C YS550 H6GL 0.42BMT(0.47TCT)X1220"/>
    <n v="150"/>
    <s v=""/>
    <m/>
    <m/>
    <s v="Wider"/>
    <s v="B04"/>
    <s v="Y550GL"/>
    <s v="H6GL"/>
    <n v="0.42"/>
    <n v="1220"/>
    <n v="0"/>
    <n v="224"/>
    <n v="163.405"/>
    <n v="60.594999999999999"/>
    <n v="3.1749999999999998"/>
    <n v="32.534999999999997"/>
    <n v="29.75"/>
    <n v="0"/>
    <n v="0"/>
    <n v="0"/>
    <n v="0"/>
    <n v="0"/>
    <n v="0"/>
    <n v="0"/>
    <n v="28.060000000000002"/>
    <n v="0"/>
    <n v="0"/>
    <n v="0"/>
    <n v="0"/>
    <n v="0"/>
    <n v="0"/>
    <n v="0"/>
    <n v="0"/>
    <n v="0"/>
    <n v="0"/>
    <n v="0"/>
    <n v="28.060000000000002"/>
    <n v="28.060000000000002"/>
    <n v="0"/>
    <n v="28.060000000000002"/>
    <m/>
    <n v="23.12"/>
    <n v="29.75"/>
    <n v="0"/>
    <n v="29.75"/>
    <n v="0"/>
    <n v="0"/>
    <n v="0"/>
    <n v="29.75"/>
    <n v="0"/>
    <n v="29.75"/>
    <n v="0"/>
    <n v="0"/>
    <n v="0"/>
    <n v="23.120000000000005"/>
    <n v="64.415000000000006"/>
    <n v="0"/>
    <n v="29.75"/>
    <n v="0"/>
    <n v="0"/>
    <n v="0"/>
    <n v="34.665000000000006"/>
    <m/>
    <m/>
    <m/>
    <m/>
    <m/>
    <m/>
    <m/>
    <m/>
    <s v="1"/>
    <s v="1"/>
    <s v="1"/>
    <s v="1"/>
    <s v="1"/>
    <m/>
    <m/>
    <m/>
    <m/>
    <m/>
    <m/>
    <m/>
    <m/>
    <m/>
    <m/>
    <m/>
    <m/>
    <m/>
    <m/>
  </r>
  <r>
    <n v="743"/>
    <d v="2025-03-22T00:00:00"/>
    <s v="ZBTO"/>
    <n v="9518624203"/>
    <n v="4"/>
    <s v="9518624203-4"/>
    <s v="Apr'25 "/>
    <x v="0"/>
    <m/>
    <x v="4"/>
    <x v="3"/>
    <n v="1000"/>
    <m/>
    <x v="1"/>
    <m/>
    <m/>
    <s v="Jharkhand"/>
    <s v="TBSPL"/>
    <s v="TBL- BARA AGRICO"/>
    <s v="Coil"/>
    <n v="942283"/>
    <s v="TATA BLUESCOPE STEEL PRIVATE L"/>
    <n v="1881969"/>
    <s v="GL C YS550 H6GL 0.45BMT(0.50TCT)X1220"/>
    <n v="150"/>
    <s v=""/>
    <m/>
    <m/>
    <s v="Wider"/>
    <s v="B04"/>
    <s v="Y550GL"/>
    <s v="H6GL"/>
    <n v="0.45"/>
    <n v="1220"/>
    <n v="0"/>
    <n v="224"/>
    <n v="21.66"/>
    <n v="202.34"/>
    <n v="174.33"/>
    <n v="152.66500000000002"/>
    <n v="60.524999999999999"/>
    <n v="0"/>
    <n v="0"/>
    <n v="0"/>
    <n v="0"/>
    <n v="0"/>
    <n v="0"/>
    <n v="0"/>
    <n v="18.05"/>
    <n v="0"/>
    <n v="0"/>
    <n v="0"/>
    <n v="0"/>
    <n v="0"/>
    <n v="0"/>
    <n v="0"/>
    <n v="0"/>
    <n v="0"/>
    <n v="0"/>
    <n v="31.625"/>
    <n v="49.674999999999997"/>
    <n v="49.674999999999997"/>
    <n v="0"/>
    <n v="49.674999999999997"/>
    <m/>
    <n v="113.91499999999999"/>
    <n v="60.524999999999999"/>
    <n v="60.524999999999999"/>
    <n v="0"/>
    <n v="0"/>
    <n v="0"/>
    <n v="0"/>
    <n v="0"/>
    <n v="0"/>
    <n v="0"/>
    <n v="0"/>
    <n v="0"/>
    <n v="0"/>
    <n v="174.44"/>
    <n v="21.66"/>
    <n v="21.66"/>
    <n v="0"/>
    <n v="0"/>
    <n v="0"/>
    <n v="0"/>
    <n v="0"/>
    <m/>
    <m/>
    <m/>
    <m/>
    <m/>
    <m/>
    <m/>
    <m/>
    <s v="0"/>
    <s v="1"/>
    <s v="1"/>
    <s v="1"/>
    <s v="1"/>
    <m/>
    <m/>
    <m/>
    <m/>
    <m/>
    <m/>
    <m/>
    <m/>
    <m/>
    <m/>
    <m/>
    <m/>
    <m/>
    <m/>
  </r>
  <r>
    <n v="743"/>
    <d v="2025-03-22T00:00:00"/>
    <s v="ZBTO"/>
    <n v="9518624203"/>
    <n v="5"/>
    <s v="9518624203-5"/>
    <s v="Apr'25 "/>
    <x v="0"/>
    <m/>
    <x v="4"/>
    <x v="3"/>
    <n v="1000"/>
    <m/>
    <x v="1"/>
    <m/>
    <m/>
    <s v="Jharkhand"/>
    <s v="TBSPL"/>
    <s v="TBL- BARA AGRICO"/>
    <s v="Coil"/>
    <n v="942283"/>
    <s v="TATA BLUESCOPE STEEL PRIVATE L"/>
    <n v="1881969"/>
    <s v="GL C YS550 H6GL 0.45BMT(0.50TCT)X1220"/>
    <n v="150"/>
    <s v=""/>
    <m/>
    <m/>
    <s v="Wider"/>
    <s v="B04"/>
    <s v="Y550GL"/>
    <s v="H6GL"/>
    <n v="0.45"/>
    <n v="1220"/>
    <n v="0"/>
    <n v="224"/>
    <n v="0"/>
    <n v="224"/>
    <n v="224"/>
    <n v="197"/>
    <n v="224"/>
    <n v="0"/>
    <n v="0"/>
    <n v="0"/>
    <n v="0"/>
    <n v="0"/>
    <n v="0"/>
    <n v="0"/>
    <n v="11.84"/>
    <n v="0"/>
    <n v="0"/>
    <n v="0"/>
    <n v="0"/>
    <n v="0"/>
    <n v="0"/>
    <n v="0"/>
    <n v="0"/>
    <n v="0"/>
    <n v="0"/>
    <n v="15.16"/>
    <n v="27"/>
    <n v="27"/>
    <n v="0"/>
    <n v="27"/>
    <m/>
    <n v="0"/>
    <n v="224"/>
    <n v="0"/>
    <n v="224"/>
    <n v="0"/>
    <n v="0"/>
    <n v="0"/>
    <n v="224"/>
    <n v="0"/>
    <n v="224"/>
    <n v="0"/>
    <n v="0"/>
    <n v="0"/>
    <n v="0"/>
    <n v="0"/>
    <n v="0"/>
    <n v="0"/>
    <n v="0"/>
    <n v="0"/>
    <n v="0"/>
    <n v="0"/>
    <m/>
    <m/>
    <m/>
    <m/>
    <m/>
    <m/>
    <m/>
    <m/>
    <s v="1"/>
    <s v="0"/>
    <s v="1"/>
    <s v="1"/>
    <s v="1"/>
    <m/>
    <m/>
    <m/>
    <m/>
    <m/>
    <m/>
    <m/>
    <m/>
    <m/>
    <m/>
    <m/>
    <m/>
    <m/>
    <m/>
  </r>
  <r>
    <n v="743"/>
    <d v="2025-03-22T00:00:00"/>
    <s v="ZBTO"/>
    <n v="9518624203"/>
    <n v="6"/>
    <s v="9518624203-6"/>
    <s v="Apr'25 "/>
    <x v="0"/>
    <m/>
    <x v="4"/>
    <x v="3"/>
    <n v="1000"/>
    <m/>
    <x v="1"/>
    <m/>
    <m/>
    <s v="Jharkhand"/>
    <s v="TBSPL"/>
    <s v="TBL- BARA AGRICO"/>
    <s v="Coil"/>
    <n v="942283"/>
    <s v="TATA BLUESCOPE STEEL PRIVATE L"/>
    <n v="3239573"/>
    <s v="GL C YS550 H6GL 0.42BMT(0.47TCT)X1220"/>
    <n v="150"/>
    <s v=""/>
    <m/>
    <m/>
    <s v="Wider"/>
    <s v="B04"/>
    <s v="Y550GL"/>
    <s v="H6GL"/>
    <n v="0.42"/>
    <n v="1220"/>
    <n v="0"/>
    <n v="196"/>
    <n v="0"/>
    <n v="196"/>
    <n v="196"/>
    <n v="196"/>
    <n v="196"/>
    <n v="0"/>
    <n v="0"/>
    <n v="0"/>
    <n v="0"/>
    <n v="0"/>
    <n v="0"/>
    <n v="0"/>
    <n v="0"/>
    <n v="0"/>
    <n v="0"/>
    <n v="0"/>
    <n v="0"/>
    <n v="0"/>
    <n v="0"/>
    <n v="0"/>
    <n v="0"/>
    <n v="0"/>
    <n v="0"/>
    <n v="0"/>
    <n v="0"/>
    <n v="0"/>
    <n v="0"/>
    <n v="0"/>
    <m/>
    <n v="0"/>
    <n v="196"/>
    <n v="0"/>
    <n v="0"/>
    <n v="0"/>
    <n v="196"/>
    <n v="0"/>
    <n v="0"/>
    <n v="0"/>
    <n v="0"/>
    <n v="0"/>
    <n v="0"/>
    <n v="0"/>
    <n v="196"/>
    <n v="0"/>
    <n v="0"/>
    <n v="0"/>
    <n v="0"/>
    <n v="0"/>
    <n v="0"/>
    <n v="0"/>
    <m/>
    <m/>
    <m/>
    <m/>
    <m/>
    <m/>
    <m/>
    <m/>
    <s v="1"/>
    <s v="1"/>
    <s v="1"/>
    <s v="0"/>
    <s v="1"/>
    <m/>
    <m/>
    <m/>
    <m/>
    <m/>
    <m/>
    <m/>
    <m/>
    <m/>
    <m/>
    <m/>
    <m/>
    <m/>
    <m/>
  </r>
  <r>
    <n v="743"/>
    <d v="2025-03-22T00:00:00"/>
    <s v="ZBTO"/>
    <n v="9518624203"/>
    <n v="7"/>
    <s v="9518624203-7"/>
    <s v="Apr'25 "/>
    <x v="0"/>
    <m/>
    <x v="4"/>
    <x v="3"/>
    <n v="1000"/>
    <m/>
    <x v="1"/>
    <m/>
    <m/>
    <s v="Jharkhand"/>
    <s v="TBSPL"/>
    <s v="TBL- BARA AGRICO"/>
    <s v="Coil"/>
    <n v="942283"/>
    <s v="TATA BLUESCOPE STEEL PRIVATE L"/>
    <n v="1881969"/>
    <s v="GL C YS550 H6GL 0.45BMT(0.50TCT)X1220"/>
    <n v="150"/>
    <s v=""/>
    <m/>
    <m/>
    <s v="Wider"/>
    <s v="B04"/>
    <s v="Y550GL"/>
    <s v="H6GL"/>
    <n v="0.45"/>
    <n v="1220"/>
    <n v="0"/>
    <n v="224"/>
    <n v="0"/>
    <n v="224"/>
    <n v="224"/>
    <n v="224"/>
    <n v="224"/>
    <n v="0"/>
    <n v="0"/>
    <n v="0"/>
    <n v="0"/>
    <n v="0"/>
    <n v="0"/>
    <n v="0"/>
    <n v="0"/>
    <n v="0"/>
    <n v="0"/>
    <n v="0"/>
    <n v="0"/>
    <n v="0"/>
    <n v="0"/>
    <n v="0"/>
    <n v="0"/>
    <n v="0"/>
    <n v="0"/>
    <n v="0"/>
    <n v="0"/>
    <n v="0"/>
    <n v="0"/>
    <n v="0"/>
    <m/>
    <n v="0"/>
    <n v="224"/>
    <n v="0"/>
    <n v="224"/>
    <n v="0"/>
    <n v="0"/>
    <n v="0"/>
    <n v="224"/>
    <n v="0"/>
    <n v="224"/>
    <n v="0"/>
    <n v="0"/>
    <n v="0"/>
    <n v="0"/>
    <n v="0"/>
    <n v="0"/>
    <n v="0"/>
    <n v="0"/>
    <n v="0"/>
    <n v="0"/>
    <n v="0"/>
    <m/>
    <m/>
    <m/>
    <m/>
    <m/>
    <m/>
    <m/>
    <m/>
    <s v="1"/>
    <s v="0"/>
    <s v="1"/>
    <s v="1"/>
    <s v="1"/>
    <m/>
    <m/>
    <m/>
    <m/>
    <m/>
    <m/>
    <m/>
    <m/>
    <m/>
    <m/>
    <m/>
    <m/>
    <m/>
    <m/>
  </r>
  <r>
    <n v="743"/>
    <d v="2025-03-22T00:00:00"/>
    <s v="ZBTO"/>
    <n v="9518624203"/>
    <n v="8"/>
    <s v="9518624203-8"/>
    <s v="Apr'25 "/>
    <x v="0"/>
    <m/>
    <x v="4"/>
    <x v="3"/>
    <n v="1000"/>
    <m/>
    <x v="1"/>
    <m/>
    <m/>
    <s v="Jharkhand"/>
    <s v="TBSPL"/>
    <s v="TBL- BARA AGRICO"/>
    <s v="Coil"/>
    <n v="942283"/>
    <s v="TATA BLUESCOPE STEEL PRIVATE L"/>
    <n v="1881969"/>
    <s v="GL C YS550 H6GL 0.45BMT(0.50TCT)X1220"/>
    <n v="150"/>
    <s v=""/>
    <m/>
    <m/>
    <s v="Wider"/>
    <s v="B04"/>
    <s v="Y550GL"/>
    <s v="H6GL"/>
    <n v="0.45"/>
    <n v="1220"/>
    <n v="0"/>
    <n v="224"/>
    <n v="0"/>
    <n v="224"/>
    <n v="224"/>
    <n v="224"/>
    <n v="2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2T00:00:00"/>
    <s v="ZBTO"/>
    <n v="9518624203"/>
    <n v="9"/>
    <s v="9518624203-9"/>
    <s v="Stocks"/>
    <x v="0"/>
    <m/>
    <x v="4"/>
    <x v="3"/>
    <n v="1000"/>
    <m/>
    <x v="1"/>
    <m/>
    <m/>
    <s v="Jharkhand"/>
    <s v="TBSPL"/>
    <s v="TBL- BARA AGRICO"/>
    <s v="Coil"/>
    <n v="942283"/>
    <s v="TATA BLUESCOPE STEEL PRIVATE L"/>
    <n v="1881969"/>
    <s v="GL C YS550 H6GL 0.45BMT(0.50TCT)X1220"/>
    <n v="150"/>
    <s v=""/>
    <m/>
    <m/>
    <s v="Wider"/>
    <s v="B04"/>
    <s v="Y550GL"/>
    <s v="H6GL"/>
    <n v="0.45"/>
    <n v="1220"/>
    <n v="0"/>
    <n v="224"/>
    <n v="153.74"/>
    <n v="70.260000000000005"/>
    <n v="14.71"/>
    <n v="70.260000000000005"/>
    <n v="16.02"/>
    <n v="0"/>
    <n v="0"/>
    <n v="0"/>
    <n v="0"/>
    <n v="0"/>
    <n v="0"/>
    <n v="0"/>
    <n v="0"/>
    <n v="0"/>
    <n v="0"/>
    <n v="0"/>
    <n v="0"/>
    <n v="0"/>
    <n v="0"/>
    <n v="0"/>
    <n v="0"/>
    <n v="0"/>
    <n v="0"/>
    <n v="0"/>
    <n v="0"/>
    <n v="0"/>
    <n v="0"/>
    <n v="0"/>
    <m/>
    <n v="4.17"/>
    <n v="0"/>
    <n v="0"/>
    <n v="0"/>
    <n v="0"/>
    <n v="0"/>
    <n v="0"/>
    <n v="0"/>
    <n v="0"/>
    <n v="0"/>
    <n v="0"/>
    <n v="0"/>
    <n v="0"/>
    <n v="4.17"/>
    <n v="0"/>
    <n v="0"/>
    <n v="0"/>
    <n v="0"/>
    <n v="0"/>
    <n v="0"/>
    <n v="0"/>
    <m/>
    <m/>
    <m/>
    <m/>
    <m/>
    <m/>
    <m/>
    <m/>
    <s v="1"/>
    <s v="1"/>
    <s v="1"/>
    <s v="1"/>
    <s v="1"/>
    <m/>
    <m/>
    <m/>
    <m/>
    <m/>
    <m/>
    <m/>
    <m/>
    <m/>
    <m/>
    <m/>
    <m/>
    <m/>
    <m/>
  </r>
  <r>
    <n v="743"/>
    <d v="2025-03-22T00:00:00"/>
    <s v="ZBTO"/>
    <n v="9518624203"/>
    <n v="10"/>
    <s v="9518624203-10"/>
    <s v="Apr'25 "/>
    <x v="0"/>
    <m/>
    <x v="4"/>
    <x v="3"/>
    <n v="1000"/>
    <m/>
    <x v="1"/>
    <m/>
    <m/>
    <s v="Jharkhand"/>
    <s v="TBSPL"/>
    <s v="TBL- BARA AGRICO"/>
    <s v="Coil"/>
    <n v="942283"/>
    <s v="TATA BLUESCOPE STEEL PRIVATE L"/>
    <n v="3239573"/>
    <s v="GL C YS550 H6GL 0.42BMT(0.47TCT)X1220"/>
    <n v="150"/>
    <s v=""/>
    <m/>
    <m/>
    <s v="Wider"/>
    <s v="B04"/>
    <s v="Y550GL"/>
    <s v="H6GL"/>
    <n v="0.42"/>
    <n v="1220"/>
    <n v="0"/>
    <n v="140"/>
    <n v="0"/>
    <n v="140"/>
    <n v="140"/>
    <n v="140"/>
    <n v="14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2T00:00:00"/>
    <s v="ZBTO"/>
    <n v="9518624203"/>
    <n v="12"/>
    <s v="9518624203-12"/>
    <s v="May'25"/>
    <x v="0"/>
    <m/>
    <x v="4"/>
    <x v="3"/>
    <n v="1000"/>
    <m/>
    <x v="1"/>
    <m/>
    <m/>
    <s v="Jharkhand"/>
    <s v="TBSPL"/>
    <s v="TBL- BARA AGRICO"/>
    <s v="Coil"/>
    <n v="942283"/>
    <s v="TATA BLUESCOPE STEEL PRIVATE L"/>
    <n v="1882004"/>
    <s v="GL C YS550 H6GL 0.55BMT(0.60TCT)X1220"/>
    <n v="150"/>
    <s v=""/>
    <m/>
    <m/>
    <s v="Wider"/>
    <s v="B04"/>
    <s v="Y550GL"/>
    <s v="H6GL"/>
    <n v="0.55000000000000004"/>
    <n v="1220"/>
    <n v="0"/>
    <n v="28"/>
    <n v="0"/>
    <n v="28"/>
    <n v="28"/>
    <n v="0"/>
    <n v="28"/>
    <n v="0"/>
    <n v="0"/>
    <n v="0"/>
    <n v="0"/>
    <n v="0"/>
    <n v="13.370000000000001"/>
    <n v="0"/>
    <n v="14.09"/>
    <n v="0"/>
    <n v="0"/>
    <n v="0"/>
    <n v="0"/>
    <n v="0"/>
    <n v="0"/>
    <n v="0"/>
    <n v="0"/>
    <n v="0"/>
    <n v="0"/>
    <n v="0"/>
    <n v="27.46"/>
    <n v="27.46"/>
    <n v="28"/>
    <n v="55.46"/>
    <m/>
    <n v="0"/>
    <n v="28"/>
    <n v="0"/>
    <n v="28"/>
    <n v="0"/>
    <n v="0"/>
    <n v="0"/>
    <n v="28"/>
    <n v="0"/>
    <n v="28"/>
    <n v="0"/>
    <n v="0"/>
    <n v="0"/>
    <n v="0"/>
    <n v="0"/>
    <n v="0"/>
    <n v="0"/>
    <n v="0"/>
    <n v="0"/>
    <n v="0"/>
    <n v="0"/>
    <m/>
    <m/>
    <m/>
    <m/>
    <m/>
    <m/>
    <m/>
    <m/>
    <s v="1"/>
    <s v="0"/>
    <s v="1"/>
    <s v="1"/>
    <s v="1"/>
    <m/>
    <m/>
    <m/>
    <m/>
    <m/>
    <m/>
    <m/>
    <m/>
    <m/>
    <m/>
    <m/>
    <m/>
    <m/>
    <m/>
  </r>
  <r>
    <n v="743"/>
    <d v="2025-03-22T00:00:00"/>
    <s v="ZBTO"/>
    <n v="9518624203"/>
    <n v="13"/>
    <s v="9518624203-13"/>
    <s v="May'25"/>
    <x v="0"/>
    <m/>
    <x v="4"/>
    <x v="3"/>
    <n v="1000"/>
    <m/>
    <x v="1"/>
    <m/>
    <m/>
    <s v="Jharkhand"/>
    <s v="TBSPL"/>
    <s v="TBL- BARA AGRICO"/>
    <s v="Coil"/>
    <n v="942283"/>
    <s v="TATA BLUESCOPE STEEL PRIVATE L"/>
    <n v="1881969"/>
    <s v="GL C YS550 H6GL 0.45BMT(0.50TCT)X1220"/>
    <n v="150"/>
    <s v=""/>
    <m/>
    <m/>
    <s v="Wider"/>
    <s v="B04"/>
    <s v="Y550GL"/>
    <s v="H6GL"/>
    <n v="0.45"/>
    <n v="1220"/>
    <n v="0"/>
    <n v="196"/>
    <n v="0"/>
    <n v="196"/>
    <n v="196"/>
    <n v="0"/>
    <n v="82"/>
    <n v="0"/>
    <n v="0"/>
    <n v="0"/>
    <n v="0"/>
    <n v="0"/>
    <n v="0"/>
    <n v="0"/>
    <n v="19.305"/>
    <n v="0"/>
    <n v="0"/>
    <n v="0"/>
    <n v="0"/>
    <n v="0"/>
    <n v="0"/>
    <n v="0"/>
    <n v="0"/>
    <n v="0"/>
    <n v="0"/>
    <n v="18.43"/>
    <n v="37.734999999999999"/>
    <n v="37.734999999999999"/>
    <n v="168"/>
    <n v="205.73500000000001"/>
    <m/>
    <n v="81.77000000000001"/>
    <n v="82"/>
    <n v="82"/>
    <n v="0"/>
    <n v="0"/>
    <n v="0"/>
    <n v="0"/>
    <n v="0"/>
    <n v="0"/>
    <n v="0"/>
    <n v="0"/>
    <n v="0"/>
    <n v="0"/>
    <n v="163.77000000000001"/>
    <n v="0"/>
    <n v="0"/>
    <n v="0"/>
    <n v="0"/>
    <n v="0"/>
    <n v="0"/>
    <n v="0"/>
    <m/>
    <m/>
    <m/>
    <m/>
    <m/>
    <m/>
    <m/>
    <m/>
    <s v="0"/>
    <s v="1"/>
    <s v="1"/>
    <s v="1"/>
    <s v="1"/>
    <m/>
    <m/>
    <m/>
    <m/>
    <m/>
    <m/>
    <m/>
    <m/>
    <m/>
    <m/>
    <m/>
    <m/>
    <m/>
    <m/>
  </r>
  <r>
    <n v="742"/>
    <d v="2025-03-25T00:00:00"/>
    <s v="ZBTO"/>
    <n v="9518632737"/>
    <n v="1"/>
    <s v="9518632737-1"/>
    <s v="May'25"/>
    <x v="0"/>
    <m/>
    <x v="1"/>
    <x v="10"/>
    <n v="1000"/>
    <m/>
    <x v="1"/>
    <m/>
    <m/>
    <s v="Haryana"/>
    <s v="North"/>
    <s v="FARIDABAD"/>
    <s v="Coil"/>
    <n v="189430"/>
    <s v="Balmer Lawrie &amp; Co. Ltd.,"/>
    <n v="2164792"/>
    <s v="CRCA COIL TATXXD BT02 0.900X913"/>
    <m/>
    <m/>
    <m/>
    <m/>
    <s v="Narrow"/>
    <s v="C01"/>
    <s v="TATXXD"/>
    <s v="BT02"/>
    <n v="0.9"/>
    <n v="913"/>
    <n v="0"/>
    <n v="63"/>
    <n v="0"/>
    <n v="63"/>
    <n v="63"/>
    <n v="42.69"/>
    <n v="63"/>
    <n v="0"/>
    <n v="0"/>
    <n v="0"/>
    <n v="20.309999999999999"/>
    <n v="0"/>
    <n v="0"/>
    <n v="0"/>
    <n v="0"/>
    <n v="0"/>
    <n v="0"/>
    <n v="0"/>
    <n v="0"/>
    <n v="0"/>
    <n v="0"/>
    <n v="0"/>
    <n v="0"/>
    <n v="0"/>
    <n v="0"/>
    <n v="0"/>
    <n v="20.309999999999999"/>
    <n v="20.309999999999999"/>
    <n v="0"/>
    <n v="20.309999999999999"/>
    <m/>
    <n v="0"/>
    <n v="63"/>
    <n v="0"/>
    <n v="63"/>
    <n v="0"/>
    <n v="0"/>
    <n v="0"/>
    <n v="63"/>
    <n v="0"/>
    <n v="63"/>
    <n v="0"/>
    <n v="0"/>
    <n v="0"/>
    <n v="0"/>
    <n v="0"/>
    <n v="0"/>
    <n v="0"/>
    <n v="0"/>
    <n v="0"/>
    <n v="0"/>
    <n v="0"/>
    <m/>
    <m/>
    <m/>
    <m/>
    <m/>
    <m/>
    <m/>
    <m/>
    <s v="1"/>
    <s v="0"/>
    <s v="1"/>
    <s v="1"/>
    <s v="1"/>
    <m/>
    <m/>
    <m/>
    <m/>
    <m/>
    <m/>
    <m/>
    <m/>
    <m/>
    <m/>
    <m/>
    <m/>
    <m/>
    <m/>
  </r>
  <r>
    <n v="742"/>
    <d v="2025-03-25T00:00:00"/>
    <s v="ZBTO"/>
    <n v="9518632737"/>
    <n v="2"/>
    <s v="9518632737-2"/>
    <s v="May'25"/>
    <x v="0"/>
    <m/>
    <x v="1"/>
    <x v="10"/>
    <n v="1000"/>
    <m/>
    <x v="1"/>
    <m/>
    <m/>
    <s v="Haryana"/>
    <s v="North"/>
    <s v="FARIDABAD"/>
    <s v="Coil"/>
    <n v="189430"/>
    <s v="Balmer Lawrie &amp; Co. Ltd.,"/>
    <n v="2164800"/>
    <s v="CRCA COIL TATXXD BT02 0.970X913"/>
    <m/>
    <m/>
    <m/>
    <m/>
    <s v="Narrow"/>
    <s v="C01"/>
    <s v="TATXXD"/>
    <s v="BT02"/>
    <n v="0.97"/>
    <n v="913"/>
    <n v="0"/>
    <n v="63"/>
    <n v="0"/>
    <n v="63"/>
    <n v="63"/>
    <n v="21.450000000000003"/>
    <n v="63"/>
    <n v="0"/>
    <n v="0"/>
    <n v="20.78"/>
    <n v="20.77"/>
    <n v="0"/>
    <n v="0"/>
    <n v="0"/>
    <n v="0"/>
    <n v="0"/>
    <n v="0"/>
    <n v="0"/>
    <n v="0"/>
    <n v="0"/>
    <n v="0"/>
    <n v="0"/>
    <n v="0"/>
    <n v="0"/>
    <n v="0"/>
    <n v="0"/>
    <n v="41.55"/>
    <n v="41.55"/>
    <n v="0"/>
    <n v="41.55"/>
    <m/>
    <n v="0"/>
    <n v="63"/>
    <n v="0"/>
    <n v="63"/>
    <n v="0"/>
    <n v="0"/>
    <n v="0"/>
    <n v="63"/>
    <n v="0"/>
    <n v="63"/>
    <n v="0"/>
    <n v="0"/>
    <n v="0"/>
    <n v="0"/>
    <n v="0"/>
    <n v="0"/>
    <n v="0"/>
    <n v="0"/>
    <n v="0"/>
    <n v="0"/>
    <n v="0"/>
    <m/>
    <m/>
    <m/>
    <m/>
    <m/>
    <m/>
    <m/>
    <m/>
    <s v="1"/>
    <s v="0"/>
    <s v="1"/>
    <s v="1"/>
    <s v="1"/>
    <m/>
    <m/>
    <m/>
    <m/>
    <m/>
    <m/>
    <m/>
    <m/>
    <m/>
    <m/>
    <m/>
    <m/>
    <m/>
    <m/>
  </r>
  <r>
    <n v="743"/>
    <d v="2025-03-22T00:00:00"/>
    <s v="ZBTO"/>
    <n v="9518623643"/>
    <n v="8"/>
    <s v="9518623643-8"/>
    <s v="No Priority"/>
    <x v="0"/>
    <m/>
    <x v="3"/>
    <x v="14"/>
    <s v="2000-BPRS"/>
    <m/>
    <x v="0"/>
    <m/>
    <m/>
    <s v="Assam"/>
    <s v="East"/>
    <s v="GUWAHATI"/>
    <s v="Coil"/>
    <n v="116649"/>
    <s v="SAGAR STEELS"/>
    <n v="1320787"/>
    <s v="GP COIL SOFT-TATXGP-GLK1-0.55X1220"/>
    <s v="Z80"/>
    <s v=""/>
    <n v="8"/>
    <n v="24"/>
    <s v="Wider"/>
    <s v="C02"/>
    <s v="TATXGP"/>
    <s v="GLK1"/>
    <n v="0.55000000000000004"/>
    <n v="1220"/>
    <n v="0"/>
    <n v="28"/>
    <n v="20.84"/>
    <n v="7.16"/>
    <n v="2.17"/>
    <n v="0"/>
    <n v="7.16"/>
    <n v="0"/>
    <n v="0"/>
    <n v="0"/>
    <n v="0"/>
    <n v="0"/>
    <n v="0"/>
    <n v="0"/>
    <n v="0"/>
    <n v="0"/>
    <n v="0"/>
    <n v="0"/>
    <n v="0"/>
    <n v="0"/>
    <n v="0"/>
    <n v="0"/>
    <n v="0"/>
    <n v="0"/>
    <n v="0"/>
    <n v="0"/>
    <n v="0"/>
    <n v="0"/>
    <n v="0"/>
    <n v="0"/>
    <m/>
    <n v="0"/>
    <n v="0"/>
    <n v="0"/>
    <n v="0"/>
    <n v="0"/>
    <n v="0"/>
    <n v="0"/>
    <n v="0"/>
    <n v="0"/>
    <n v="0"/>
    <n v="0"/>
    <n v="0"/>
    <n v="0"/>
    <n v="0"/>
    <n v="20.840000000000003"/>
    <n v="0"/>
    <n v="0"/>
    <n v="0"/>
    <n v="0"/>
    <n v="0"/>
    <n v="20.840000000000003"/>
    <m/>
    <m/>
    <m/>
    <m/>
    <m/>
    <m/>
    <m/>
    <m/>
    <s v="1"/>
    <s v="1"/>
    <s v="1"/>
    <s v="1"/>
    <s v="1"/>
    <m/>
    <m/>
    <m/>
    <m/>
    <m/>
    <m/>
    <m/>
    <m/>
    <m/>
    <m/>
    <m/>
    <m/>
    <m/>
    <m/>
  </r>
  <r>
    <n v="742"/>
    <d v="2025-03-21T00:00:00"/>
    <s v="ZBTO"/>
    <n v="9518620375"/>
    <n v="1"/>
    <s v="9518620375-1"/>
    <s v="No Priority"/>
    <x v="0"/>
    <m/>
    <x v="1"/>
    <x v="15"/>
    <n v="3000"/>
    <m/>
    <x v="0"/>
    <m/>
    <m/>
    <s v="Karnataka"/>
    <s v="South"/>
    <s v="BIDADI"/>
    <s v="Coil"/>
    <n v="157491"/>
    <s v="TATA STEEL DOWNSTREAM PRODUCTS"/>
    <n v="2420514"/>
    <s v="CRCA COIL TATXXD AH03 0.800X1250"/>
    <m/>
    <m/>
    <m/>
    <m/>
    <s v="Wider"/>
    <s v="C01"/>
    <s v="TATXXD"/>
    <s v="AH03"/>
    <n v="0.8"/>
    <n v="1250"/>
    <n v="0"/>
    <n v="261"/>
    <n v="211.12"/>
    <n v="49.88"/>
    <n v="-8.1999999999999993"/>
    <n v="0"/>
    <n v="1.38"/>
    <n v="0"/>
    <n v="0"/>
    <n v="0"/>
    <n v="0"/>
    <n v="0"/>
    <n v="0"/>
    <n v="0"/>
    <n v="0"/>
    <n v="0"/>
    <n v="0"/>
    <n v="0"/>
    <n v="0"/>
    <n v="0"/>
    <n v="0"/>
    <n v="0"/>
    <n v="0"/>
    <n v="0"/>
    <n v="0"/>
    <n v="0"/>
    <n v="0"/>
    <n v="0"/>
    <n v="0"/>
    <n v="0"/>
    <m/>
    <n v="0"/>
    <n v="0"/>
    <n v="0"/>
    <n v="0"/>
    <n v="0"/>
    <n v="0"/>
    <n v="0"/>
    <n v="0"/>
    <n v="0"/>
    <n v="0"/>
    <n v="0"/>
    <n v="0"/>
    <n v="0"/>
    <n v="0"/>
    <n v="158.91999999999996"/>
    <n v="0"/>
    <n v="0"/>
    <n v="0"/>
    <n v="0"/>
    <n v="0"/>
    <n v="158.91999999999996"/>
    <m/>
    <m/>
    <m/>
    <m/>
    <m/>
    <m/>
    <m/>
    <m/>
    <s v="1"/>
    <s v="1"/>
    <s v="1"/>
    <s v="1"/>
    <s v="1"/>
    <m/>
    <m/>
    <m/>
    <m/>
    <m/>
    <m/>
    <m/>
    <m/>
    <m/>
    <m/>
    <m/>
    <m/>
    <m/>
    <m/>
  </r>
  <r>
    <n v="742"/>
    <d v="2025-03-21T00:00:00"/>
    <s v="ZBTO"/>
    <n v="9518620375"/>
    <n v="2"/>
    <s v="9518620375-2"/>
    <s v="Apr'25 "/>
    <x v="0"/>
    <m/>
    <x v="1"/>
    <x v="15"/>
    <n v="3000"/>
    <n v="1000"/>
    <x v="1"/>
    <m/>
    <m/>
    <s v="Karnataka"/>
    <s v="South"/>
    <s v="BIDADI"/>
    <s v="Coil"/>
    <n v="157491"/>
    <s v="TATA STEEL DOWNSTREAM PRODUCTS"/>
    <n v="2420518"/>
    <s v="CRCA COIL TATXXD AH03 1X1250"/>
    <m/>
    <m/>
    <m/>
    <m/>
    <s v="Wider"/>
    <s v="C01"/>
    <s v="TATXXD"/>
    <s v="AH03"/>
    <n v="1"/>
    <n v="1250"/>
    <n v="0"/>
    <n v="261"/>
    <n v="20.76"/>
    <n v="240.24"/>
    <n v="240.24"/>
    <n v="240.24"/>
    <n v="240.24"/>
    <n v="0"/>
    <n v="0"/>
    <n v="0"/>
    <n v="0"/>
    <n v="0"/>
    <n v="0"/>
    <n v="0"/>
    <n v="0"/>
    <n v="0"/>
    <n v="0"/>
    <n v="0"/>
    <n v="0"/>
    <n v="0"/>
    <n v="0"/>
    <n v="0"/>
    <n v="0"/>
    <n v="0"/>
    <n v="0"/>
    <n v="0"/>
    <n v="0"/>
    <n v="0"/>
    <n v="0"/>
    <n v="0"/>
    <m/>
    <n v="0"/>
    <n v="240.24"/>
    <n v="0"/>
    <n v="0"/>
    <n v="0"/>
    <n v="0"/>
    <n v="240.24"/>
    <n v="0"/>
    <n v="0"/>
    <n v="0"/>
    <n v="0"/>
    <n v="0"/>
    <n v="0"/>
    <n v="240.24"/>
    <n v="20.76"/>
    <n v="0"/>
    <n v="0"/>
    <n v="0"/>
    <n v="0"/>
    <n v="20.76"/>
    <n v="0"/>
    <m/>
    <m/>
    <m/>
    <m/>
    <m/>
    <m/>
    <m/>
    <m/>
    <s v="1"/>
    <s v="1"/>
    <s v="1"/>
    <s v="1"/>
    <s v="0"/>
    <m/>
    <m/>
    <m/>
    <m/>
    <m/>
    <m/>
    <m/>
    <m/>
    <m/>
    <m/>
    <m/>
    <m/>
    <m/>
    <m/>
  </r>
  <r>
    <n v="742"/>
    <d v="2025-03-21T00:00:00"/>
    <s v="ZBTO"/>
    <n v="9518620375"/>
    <n v="4"/>
    <s v="9518620375-4"/>
    <s v="No Priority"/>
    <x v="0"/>
    <m/>
    <x v="1"/>
    <x v="15"/>
    <n v="3000"/>
    <m/>
    <x v="0"/>
    <m/>
    <m/>
    <s v="Karnataka"/>
    <s v="South"/>
    <s v="BIDADI"/>
    <s v="Coil"/>
    <n v="157491"/>
    <s v="TATA STEEL DOWNSTREAM PRODUCTS"/>
    <n v="2420522"/>
    <s v="CRCA COIL TATXXD AH03 1.500X1250"/>
    <m/>
    <m/>
    <m/>
    <m/>
    <s v="Wider"/>
    <s v="C01"/>
    <s v="TATXXD"/>
    <s v="AH03"/>
    <n v="1.5"/>
    <n v="1250"/>
    <n v="0"/>
    <n v="145"/>
    <n v="42.034999999999997"/>
    <n v="102.965"/>
    <n v="-7.1550000000000002"/>
    <n v="0"/>
    <n v="23.585000000000001"/>
    <n v="0"/>
    <n v="0"/>
    <n v="0"/>
    <n v="0"/>
    <n v="0"/>
    <n v="0"/>
    <n v="0"/>
    <n v="0"/>
    <n v="0"/>
    <n v="0"/>
    <n v="0"/>
    <n v="0"/>
    <n v="0"/>
    <n v="0"/>
    <n v="0"/>
    <n v="0"/>
    <n v="0"/>
    <n v="0"/>
    <n v="0"/>
    <n v="0"/>
    <n v="0"/>
    <n v="0"/>
    <n v="0"/>
    <m/>
    <n v="0"/>
    <n v="0"/>
    <n v="0"/>
    <n v="0"/>
    <n v="0"/>
    <n v="0"/>
    <n v="0"/>
    <n v="0"/>
    <n v="0"/>
    <n v="0"/>
    <n v="0"/>
    <n v="0"/>
    <n v="0"/>
    <n v="0"/>
    <n v="15.465"/>
    <n v="0"/>
    <n v="0"/>
    <n v="0"/>
    <n v="0"/>
    <n v="0"/>
    <n v="15.465"/>
    <m/>
    <m/>
    <m/>
    <m/>
    <m/>
    <m/>
    <m/>
    <m/>
    <s v="1"/>
    <s v="1"/>
    <s v="1"/>
    <s v="1"/>
    <s v="1"/>
    <m/>
    <m/>
    <m/>
    <m/>
    <m/>
    <m/>
    <m/>
    <m/>
    <m/>
    <m/>
    <m/>
    <m/>
    <m/>
    <m/>
  </r>
  <r>
    <n v="742"/>
    <d v="2025-01-07T00:00:00"/>
    <s v="ZBTO"/>
    <n v="9518410921"/>
    <n v="1"/>
    <s v="9518410921-1"/>
    <s v="No Priority"/>
    <x v="0"/>
    <m/>
    <x v="1"/>
    <x v="2"/>
    <n v="2000"/>
    <m/>
    <x v="0"/>
    <m/>
    <m/>
    <s v="West Bengal"/>
    <s v="East"/>
    <s v="SILIGURI TOWN"/>
    <s v="Sheet"/>
    <n v="948783"/>
    <s v="SAGAR STEELS"/>
    <n v="3239568"/>
    <s v="CRCA SHEET TATCRC SR16 0.450X1250X2500"/>
    <m/>
    <m/>
    <m/>
    <m/>
    <s v="Wider"/>
    <s v="C06"/>
    <s v="TATCRC"/>
    <s v="SR16"/>
    <n v="0.45"/>
    <n v="1250"/>
    <n v="2500"/>
    <n v="36"/>
    <n v="35.770000000000003"/>
    <n v="0.23"/>
    <n v="-5.1449999999999996"/>
    <n v="0"/>
    <n v="0"/>
    <n v="0"/>
    <n v="0"/>
    <n v="0"/>
    <n v="0"/>
    <n v="0"/>
    <n v="0"/>
    <n v="0"/>
    <n v="0"/>
    <n v="0"/>
    <n v="0"/>
    <n v="0"/>
    <n v="0"/>
    <n v="0"/>
    <n v="0"/>
    <n v="0"/>
    <n v="0"/>
    <n v="0"/>
    <n v="0"/>
    <n v="0"/>
    <n v="0"/>
    <n v="0"/>
    <n v="0"/>
    <n v="0"/>
    <m/>
    <n v="0"/>
    <n v="0"/>
    <n v="0"/>
    <n v="0"/>
    <n v="0"/>
    <n v="0"/>
    <n v="0"/>
    <n v="0"/>
    <n v="0"/>
    <n v="0"/>
    <n v="0"/>
    <n v="0"/>
    <n v="0"/>
    <n v="0"/>
    <n v="35.770000000000003"/>
    <n v="0"/>
    <n v="0"/>
    <n v="0"/>
    <n v="0"/>
    <n v="0"/>
    <n v="35.770000000000003"/>
    <m/>
    <m/>
    <m/>
    <m/>
    <m/>
    <m/>
    <m/>
    <m/>
    <s v="1"/>
    <s v="1"/>
    <s v="1"/>
    <s v="1"/>
    <s v="1"/>
    <m/>
    <m/>
    <m/>
    <m/>
    <m/>
    <m/>
    <m/>
    <m/>
    <m/>
    <m/>
    <m/>
    <m/>
    <m/>
    <m/>
  </r>
  <r>
    <n v="742"/>
    <d v="2025-03-03T00:00:00"/>
    <s v="ZBTO"/>
    <n v="9518569795"/>
    <n v="19"/>
    <s v="9518569795-19"/>
    <s v="Apr'25 "/>
    <x v="0"/>
    <m/>
    <x v="1"/>
    <x v="2"/>
    <n v="2000"/>
    <m/>
    <x v="1"/>
    <m/>
    <m/>
    <s v="West Bengal"/>
    <s v="East"/>
    <s v="SILIGURI TOWN"/>
    <s v="Sheet"/>
    <n v="948783"/>
    <s v="SAGAR STEELS"/>
    <n v="3832848"/>
    <s v="CRCA SHEET TATCRC SR16 0.400X1120X2000"/>
    <m/>
    <m/>
    <m/>
    <m/>
    <s v="Narrow"/>
    <s v="C06"/>
    <s v="TATCRC"/>
    <s v="SR16"/>
    <n v="0.4"/>
    <n v="1120"/>
    <n v="200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3T00:00:00"/>
    <s v="ZBTO"/>
    <n v="9518569795"/>
    <n v="20"/>
    <s v="9518569795-20"/>
    <s v="Apr'25 "/>
    <x v="0"/>
    <m/>
    <x v="1"/>
    <x v="2"/>
    <n v="2000"/>
    <m/>
    <x v="1"/>
    <m/>
    <m/>
    <s v="West Bengal"/>
    <s v="East"/>
    <s v="SILIGURI TOWN"/>
    <s v="Sheet"/>
    <n v="948783"/>
    <s v="SAGAR STEELS"/>
    <n v="3239554"/>
    <s v="CRCA SHEET TATCRC SR16 0.400X1000X2500"/>
    <m/>
    <m/>
    <m/>
    <m/>
    <s v="Narrow"/>
    <s v="C06"/>
    <s v="TATCRC"/>
    <s v="SR16"/>
    <n v="0.4"/>
    <n v="1000"/>
    <n v="2500"/>
    <n v="24"/>
    <n v="0"/>
    <n v="24"/>
    <n v="24"/>
    <n v="24"/>
    <n v="24"/>
    <n v="0"/>
    <n v="0"/>
    <n v="0"/>
    <n v="0"/>
    <n v="0"/>
    <n v="0"/>
    <n v="0"/>
    <n v="0"/>
    <n v="0"/>
    <n v="0"/>
    <n v="0"/>
    <n v="0"/>
    <n v="0"/>
    <n v="0"/>
    <n v="0"/>
    <n v="0"/>
    <n v="0"/>
    <n v="0"/>
    <n v="0"/>
    <n v="0"/>
    <n v="0"/>
    <n v="0"/>
    <n v="0"/>
    <m/>
    <n v="0"/>
    <n v="24"/>
    <n v="0"/>
    <n v="0"/>
    <n v="0"/>
    <n v="24"/>
    <n v="0"/>
    <n v="0"/>
    <n v="0"/>
    <n v="0"/>
    <n v="0"/>
    <n v="0"/>
    <n v="0"/>
    <n v="24"/>
    <n v="0"/>
    <n v="0"/>
    <n v="0"/>
    <n v="0"/>
    <n v="0"/>
    <n v="0"/>
    <n v="0"/>
    <m/>
    <m/>
    <m/>
    <m/>
    <m/>
    <m/>
    <m/>
    <m/>
    <s v="1"/>
    <s v="1"/>
    <s v="1"/>
    <s v="0"/>
    <s v="1"/>
    <m/>
    <m/>
    <m/>
    <m/>
    <m/>
    <m/>
    <m/>
    <m/>
    <m/>
    <m/>
    <m/>
    <m/>
    <m/>
    <m/>
  </r>
  <r>
    <n v="744"/>
    <d v="2025-03-26T00:00:00"/>
    <s v="ZBTO"/>
    <n v="9518636039"/>
    <n v="1"/>
    <s v="9518636039-1"/>
    <s v="No Priority"/>
    <x v="0"/>
    <m/>
    <x v="2"/>
    <x v="3"/>
    <s v="1000-IPPE"/>
    <m/>
    <x v="1"/>
    <m/>
    <m/>
    <s v="Jharkhand"/>
    <s v="TBSPL"/>
    <s v="GAMHARIA"/>
    <s v="Coil"/>
    <n v="940016"/>
    <s v="TATA BLUESCOPE STEEL PVT LTD."/>
    <n v="3797658"/>
    <s v="PPGL C Y550 ISC6 0.40BMT(0.45TPT)X1220"/>
    <m/>
    <m/>
    <m/>
    <m/>
    <s v="Wider"/>
    <s v="B18"/>
    <s v="Y550PL"/>
    <s v="ISC6"/>
    <n v="0.4"/>
    <n v="1220"/>
    <n v="0"/>
    <n v="134"/>
    <n v="71.564999999999998"/>
    <n v="62.435000000000002"/>
    <n v="-5.5549999999999997"/>
    <n v="0"/>
    <n v="62.435000000000002"/>
    <n v="0"/>
    <n v="0"/>
    <n v="0"/>
    <n v="0"/>
    <n v="0"/>
    <n v="0"/>
    <n v="0"/>
    <n v="0"/>
    <n v="0"/>
    <n v="0"/>
    <n v="0"/>
    <n v="0"/>
    <n v="0"/>
    <n v="0"/>
    <n v="0"/>
    <n v="0"/>
    <n v="0"/>
    <n v="0"/>
    <n v="0"/>
    <n v="0"/>
    <n v="0"/>
    <n v="0"/>
    <n v="0"/>
    <m/>
    <n v="0"/>
    <n v="62.435000000000002"/>
    <n v="0"/>
    <n v="0"/>
    <n v="62.435000000000002"/>
    <n v="0"/>
    <n v="0"/>
    <n v="0"/>
    <n v="0"/>
    <n v="0"/>
    <n v="0"/>
    <n v="0"/>
    <n v="0"/>
    <n v="62.435000000000002"/>
    <n v="0"/>
    <n v="0"/>
    <n v="0"/>
    <n v="0"/>
    <n v="0"/>
    <n v="0"/>
    <n v="0"/>
    <m/>
    <m/>
    <m/>
    <m/>
    <m/>
    <m/>
    <m/>
    <m/>
    <s v="1"/>
    <s v="1"/>
    <s v="0"/>
    <s v="1"/>
    <s v="1"/>
    <m/>
    <m/>
    <m/>
    <m/>
    <m/>
    <m/>
    <m/>
    <m/>
    <m/>
    <m/>
    <m/>
    <m/>
    <m/>
    <m/>
  </r>
  <r>
    <n v="744"/>
    <d v="2025-03-26T00:00:00"/>
    <s v="ZBTO"/>
    <n v="9518636039"/>
    <n v="2"/>
    <s v="9518636039-2"/>
    <s v="Stocks"/>
    <x v="0"/>
    <m/>
    <x v="2"/>
    <x v="3"/>
    <s v="1000-IPPE"/>
    <m/>
    <x v="1"/>
    <m/>
    <m/>
    <s v="Jharkhand"/>
    <s v="TBSPL"/>
    <s v="GAMHARIA"/>
    <s v="Coil"/>
    <n v="940016"/>
    <s v="TATA BLUESCOPE STEEL PVT LTD."/>
    <n v="3797658"/>
    <s v="PPGL C Y550 ISC6 0.40BMT(0.45TPT)X1220"/>
    <m/>
    <m/>
    <m/>
    <m/>
    <s v="Wider"/>
    <s v="B18"/>
    <s v="Y550PL"/>
    <s v="ISC6"/>
    <n v="0.4"/>
    <n v="1220"/>
    <n v="0"/>
    <n v="168"/>
    <n v="109.99"/>
    <n v="58.01"/>
    <n v="-3.92"/>
    <n v="0"/>
    <n v="12.895"/>
    <n v="0"/>
    <n v="0"/>
    <n v="0"/>
    <n v="0"/>
    <n v="0"/>
    <n v="0"/>
    <n v="0"/>
    <n v="3.395"/>
    <n v="0"/>
    <n v="0"/>
    <n v="0"/>
    <n v="0"/>
    <n v="0"/>
    <n v="0"/>
    <n v="0"/>
    <n v="0"/>
    <n v="0"/>
    <n v="0"/>
    <n v="4.0049999999999999"/>
    <n v="7.4"/>
    <n v="7.4"/>
    <n v="0"/>
    <n v="7.4"/>
    <m/>
    <n v="4.915"/>
    <n v="12.895"/>
    <n v="0"/>
    <n v="12.895"/>
    <n v="0"/>
    <n v="0"/>
    <n v="0"/>
    <n v="12.895"/>
    <n v="0"/>
    <n v="12.895"/>
    <n v="0"/>
    <n v="0"/>
    <n v="0"/>
    <n v="4.9149999999999991"/>
    <n v="97.18"/>
    <n v="0"/>
    <n v="12.895"/>
    <n v="0"/>
    <n v="0"/>
    <n v="0"/>
    <n v="84.285000000000011"/>
    <m/>
    <m/>
    <m/>
    <m/>
    <m/>
    <m/>
    <m/>
    <m/>
    <s v="1"/>
    <s v="1"/>
    <s v="1"/>
    <s v="1"/>
    <s v="1"/>
    <m/>
    <m/>
    <m/>
    <m/>
    <m/>
    <m/>
    <m/>
    <m/>
    <m/>
    <m/>
    <m/>
    <m/>
    <m/>
    <m/>
  </r>
  <r>
    <n v="744"/>
    <d v="2025-03-26T00:00:00"/>
    <s v="ZBTO"/>
    <n v="9518636039"/>
    <n v="3"/>
    <s v="9518636039-3"/>
    <s v="Apr'25 additional"/>
    <x v="0"/>
    <m/>
    <x v="2"/>
    <x v="3"/>
    <s v="1000-IPPE"/>
    <m/>
    <x v="1"/>
    <m/>
    <m/>
    <s v="Jharkhand"/>
    <s v="TBSPL"/>
    <s v="GAMHARIA"/>
    <s v="Coil"/>
    <n v="940016"/>
    <s v="TATA BLUESCOPE STEEL PVT LTD."/>
    <n v="3883538"/>
    <s v="PPGL C Y550 ISC6 0.30BMT(0.35TPT)X1220"/>
    <m/>
    <m/>
    <m/>
    <m/>
    <s v="Wider"/>
    <s v="B18"/>
    <s v="Y550PL"/>
    <s v="ISC6"/>
    <n v="0.3"/>
    <n v="1220"/>
    <n v="0"/>
    <n v="56"/>
    <n v="4.5949999999999998"/>
    <n v="51.405000000000001"/>
    <n v="31.375"/>
    <n v="31.375"/>
    <n v="51.405000000000001"/>
    <n v="0"/>
    <n v="0"/>
    <n v="0"/>
    <n v="0"/>
    <n v="0"/>
    <n v="8.2200000000000006"/>
    <n v="0"/>
    <n v="11.81"/>
    <n v="0"/>
    <n v="0"/>
    <n v="0"/>
    <n v="0"/>
    <n v="0"/>
    <n v="0"/>
    <n v="0"/>
    <n v="0"/>
    <n v="0"/>
    <n v="0"/>
    <n v="0"/>
    <n v="20.03"/>
    <n v="20.03"/>
    <n v="0"/>
    <n v="20.03"/>
    <m/>
    <n v="0"/>
    <n v="51.405000000000001"/>
    <n v="0"/>
    <n v="51.405000000000001"/>
    <n v="0"/>
    <n v="0"/>
    <n v="0"/>
    <n v="51.405000000000001"/>
    <n v="0"/>
    <n v="51.405000000000001"/>
    <n v="0"/>
    <n v="0"/>
    <n v="0"/>
    <n v="0"/>
    <n v="0"/>
    <n v="0"/>
    <n v="0"/>
    <n v="0"/>
    <n v="0"/>
    <n v="0"/>
    <n v="0"/>
    <m/>
    <m/>
    <m/>
    <m/>
    <m/>
    <m/>
    <m/>
    <m/>
    <s v="1"/>
    <s v="0"/>
    <s v="1"/>
    <s v="1"/>
    <s v="1"/>
    <m/>
    <m/>
    <m/>
    <m/>
    <m/>
    <m/>
    <m/>
    <m/>
    <m/>
    <m/>
    <m/>
    <m/>
    <m/>
    <m/>
  </r>
  <r>
    <n v="744"/>
    <d v="2025-03-26T00:00:00"/>
    <s v="ZBTO"/>
    <n v="9518635916"/>
    <n v="1"/>
    <s v="9518635916-1"/>
    <s v="No Priority"/>
    <x v="0"/>
    <m/>
    <x v="2"/>
    <x v="3"/>
    <s v="1000-IPPE"/>
    <m/>
    <x v="0"/>
    <m/>
    <m/>
    <s v="Jharkhand"/>
    <s v="TBSPL"/>
    <s v="GAMHARIA"/>
    <s v="Coil"/>
    <n v="940016"/>
    <s v="TATA BLUESCOPE STEEL PVT LTD."/>
    <n v="3522241"/>
    <s v="PPGL C Y550 D0C7 0.43BMT(0.47TPT)X1220"/>
    <m/>
    <m/>
    <m/>
    <m/>
    <s v="Wider"/>
    <s v="B18"/>
    <s v="Y550PL"/>
    <s v="D0C7"/>
    <n v="0.43"/>
    <n v="1220"/>
    <n v="0"/>
    <n v="280"/>
    <n v="228.78"/>
    <n v="51.22"/>
    <n v="39.145000000000003"/>
    <n v="51.22"/>
    <n v="0.75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s v="ZBTO"/>
    <n v="9518617583"/>
    <n v="1"/>
    <s v="9518617583-1"/>
    <s v="Apr'25 additional"/>
    <x v="0"/>
    <m/>
    <x v="1"/>
    <x v="7"/>
    <s v="1000-IPPE"/>
    <m/>
    <x v="1"/>
    <m/>
    <m/>
    <s v="Gujarat"/>
    <s v="West"/>
    <s v="RAJKOT"/>
    <s v="Coil"/>
    <n v="188891"/>
    <s v="Galaxy Stamping Pvt. Ltd."/>
    <n v="2439203"/>
    <s v="CRCA COIL TSBSTA EL06 0.500X1160"/>
    <m/>
    <m/>
    <m/>
    <m/>
    <s v="Narrow"/>
    <s v="C01"/>
    <s v="TSBSTA"/>
    <s v="EL06"/>
    <n v="0.5"/>
    <n v="1160"/>
    <n v="0"/>
    <n v="297"/>
    <n v="0"/>
    <n v="297"/>
    <n v="297"/>
    <n v="4.6100000000000136"/>
    <n v="297"/>
    <n v="0"/>
    <n v="0"/>
    <n v="0"/>
    <n v="27.14"/>
    <n v="0"/>
    <n v="0"/>
    <n v="0"/>
    <n v="0"/>
    <n v="0"/>
    <n v="0"/>
    <n v="0"/>
    <n v="26.51"/>
    <n v="238.74"/>
    <n v="0"/>
    <n v="0"/>
    <n v="0"/>
    <n v="0"/>
    <n v="0"/>
    <n v="0"/>
    <n v="292.39"/>
    <n v="292.39"/>
    <n v="0"/>
    <n v="292.39"/>
    <m/>
    <n v="0"/>
    <n v="297"/>
    <n v="0"/>
    <n v="297"/>
    <n v="0"/>
    <n v="0"/>
    <n v="0"/>
    <n v="297"/>
    <n v="0"/>
    <n v="297"/>
    <n v="0"/>
    <n v="0"/>
    <n v="0"/>
    <n v="0"/>
    <n v="0"/>
    <n v="0"/>
    <n v="0"/>
    <n v="0"/>
    <n v="0"/>
    <n v="0"/>
    <n v="0"/>
    <m/>
    <m/>
    <m/>
    <m/>
    <m/>
    <m/>
    <m/>
    <m/>
    <s v="1"/>
    <s v="0"/>
    <s v="1"/>
    <s v="1"/>
    <s v="1"/>
    <m/>
    <m/>
    <m/>
    <m/>
    <m/>
    <m/>
    <m/>
    <m/>
    <m/>
    <m/>
    <m/>
    <m/>
    <m/>
    <m/>
  </r>
  <r>
    <n v="743"/>
    <d v="2025-03-24T00:00:00"/>
    <s v="ZBTO"/>
    <n v="9518634000"/>
    <n v="3"/>
    <s v="9518634000-3"/>
    <s v="No Priority"/>
    <x v="0"/>
    <m/>
    <x v="4"/>
    <x v="5"/>
    <s v="1000-IPPE"/>
    <m/>
    <x v="0"/>
    <m/>
    <m/>
    <s v="Gujarat"/>
    <s v="West"/>
    <s v="VADODARA"/>
    <s v="Coil"/>
    <n v="947011"/>
    <s v="MTE STRUCTURES LIMITED"/>
    <n v="3875613"/>
    <s v="GL COIL HARD  Y550GL HGL6 0.800X1250"/>
    <m/>
    <m/>
    <m/>
    <m/>
    <s v="Wider"/>
    <s v="B04"/>
    <s v="Y550GL"/>
    <s v="HGL6"/>
    <n v="0.8"/>
    <n v="1250"/>
    <n v="0"/>
    <n v="203"/>
    <n v="201.57499999999999"/>
    <n v="1.425"/>
    <n v="-9.64"/>
    <n v="0"/>
    <n v="1.425"/>
    <n v="0"/>
    <n v="0"/>
    <n v="0"/>
    <n v="0"/>
    <n v="0"/>
    <n v="0"/>
    <n v="0"/>
    <n v="11.065000000000001"/>
    <n v="0"/>
    <n v="0"/>
    <n v="0"/>
    <n v="0"/>
    <n v="0"/>
    <n v="0"/>
    <n v="0"/>
    <n v="0"/>
    <n v="0"/>
    <n v="0"/>
    <n v="0"/>
    <n v="11.065000000000001"/>
    <n v="11.065000000000001"/>
    <n v="0"/>
    <n v="11.065000000000001"/>
    <m/>
    <n v="0"/>
    <n v="0"/>
    <n v="0"/>
    <n v="0"/>
    <n v="0"/>
    <n v="0"/>
    <n v="0"/>
    <n v="0"/>
    <n v="0"/>
    <n v="0"/>
    <n v="0"/>
    <n v="0"/>
    <n v="0"/>
    <n v="0"/>
    <n v="0"/>
    <n v="0"/>
    <n v="0"/>
    <n v="0"/>
    <n v="0"/>
    <n v="0"/>
    <n v="0"/>
    <m/>
    <m/>
    <m/>
    <m/>
    <m/>
    <m/>
    <m/>
    <m/>
    <s v="1"/>
    <s v="1"/>
    <s v="1"/>
    <s v="1"/>
    <s v="1"/>
    <m/>
    <m/>
    <m/>
    <m/>
    <m/>
    <m/>
    <m/>
    <m/>
    <m/>
    <m/>
    <m/>
    <m/>
    <m/>
    <m/>
  </r>
  <r>
    <n v="743"/>
    <d v="2025-03-24T00:00:00"/>
    <s v="ZBTO"/>
    <n v="9518634000"/>
    <n v="2"/>
    <s v="9518634000-2"/>
    <s v="Apr'25 "/>
    <x v="0"/>
    <m/>
    <x v="4"/>
    <x v="5"/>
    <s v="1000-IPPE"/>
    <m/>
    <x v="1"/>
    <m/>
    <m/>
    <s v="Gujarat"/>
    <s v="West"/>
    <s v="VADODARA"/>
    <s v="Coil"/>
    <n v="947011"/>
    <s v="MTE STRUCTURES LIMITED"/>
    <n v="3875613"/>
    <s v="GL COIL HARD  Y550GL HGL6 0.800X1250"/>
    <m/>
    <m/>
    <m/>
    <m/>
    <s v="Wider"/>
    <s v="B04"/>
    <s v="Y550GL"/>
    <s v="HGL6"/>
    <n v="0.8"/>
    <n v="1250"/>
    <n v="0"/>
    <n v="261"/>
    <n v="126.7"/>
    <n v="134.30000000000001"/>
    <n v="106.09"/>
    <n v="92.660000000000011"/>
    <n v="134.30000000000001"/>
    <n v="0"/>
    <n v="0"/>
    <n v="0"/>
    <n v="0"/>
    <n v="0"/>
    <n v="0"/>
    <n v="0"/>
    <n v="28.21"/>
    <n v="0"/>
    <n v="0"/>
    <n v="0"/>
    <n v="0"/>
    <n v="0"/>
    <n v="0"/>
    <n v="0"/>
    <n v="0"/>
    <n v="0"/>
    <n v="0"/>
    <n v="13.43"/>
    <n v="41.64"/>
    <n v="41.64"/>
    <n v="0"/>
    <n v="41.64"/>
    <m/>
    <n v="27.6"/>
    <n v="134.30000000000001"/>
    <n v="0"/>
    <n v="0"/>
    <n v="134.30000000000001"/>
    <n v="0"/>
    <n v="0"/>
    <n v="0"/>
    <n v="0"/>
    <n v="0"/>
    <n v="0"/>
    <n v="0"/>
    <n v="0"/>
    <n v="161.9"/>
    <n v="0"/>
    <n v="0"/>
    <n v="0"/>
    <n v="0"/>
    <n v="0"/>
    <n v="0"/>
    <n v="0"/>
    <m/>
    <m/>
    <m/>
    <m/>
    <m/>
    <m/>
    <m/>
    <m/>
    <s v="1"/>
    <s v="1"/>
    <s v="0"/>
    <s v="1"/>
    <s v="1"/>
    <m/>
    <m/>
    <m/>
    <m/>
    <m/>
    <m/>
    <m/>
    <m/>
    <m/>
    <m/>
    <m/>
    <m/>
    <m/>
    <m/>
  </r>
  <r>
    <n v="743"/>
    <d v="2025-03-24T00:00:00"/>
    <s v="ZBTO"/>
    <n v="9518634000"/>
    <n v="1"/>
    <s v="9518634000-1"/>
    <s v="Apr'25 "/>
    <x v="0"/>
    <m/>
    <x v="4"/>
    <x v="5"/>
    <s v="1000-IPPE"/>
    <m/>
    <x v="1"/>
    <m/>
    <m/>
    <s v="Gujarat"/>
    <s v="West"/>
    <s v="VADODARA"/>
    <s v="Coil"/>
    <n v="947011"/>
    <s v="MTE STRUCTURES LIMITED"/>
    <n v="3875613"/>
    <s v="GL COIL HARD  Y550GL HGL6 0.800X1250"/>
    <m/>
    <m/>
    <m/>
    <m/>
    <s v="Wider"/>
    <s v="B04"/>
    <s v="Y550GL"/>
    <s v="HGL6"/>
    <n v="0.8"/>
    <n v="1250"/>
    <n v="0"/>
    <n v="261"/>
    <n v="88.71"/>
    <n v="172.29"/>
    <n v="168.69"/>
    <n v="172.29"/>
    <n v="172.29"/>
    <n v="0"/>
    <n v="0"/>
    <n v="0"/>
    <n v="0"/>
    <n v="0"/>
    <n v="0"/>
    <n v="0"/>
    <n v="0"/>
    <n v="0"/>
    <n v="0"/>
    <n v="0"/>
    <n v="0"/>
    <n v="0"/>
    <n v="0"/>
    <n v="0"/>
    <n v="0"/>
    <n v="0"/>
    <n v="0"/>
    <n v="0"/>
    <n v="0"/>
    <n v="0"/>
    <n v="0"/>
    <n v="0"/>
    <m/>
    <n v="0"/>
    <n v="172.29"/>
    <n v="0"/>
    <n v="0"/>
    <n v="0"/>
    <n v="0"/>
    <n v="172.29"/>
    <n v="0"/>
    <n v="0"/>
    <n v="0"/>
    <n v="0"/>
    <n v="0"/>
    <n v="0"/>
    <n v="172.29"/>
    <n v="0"/>
    <n v="0"/>
    <n v="0"/>
    <n v="0"/>
    <n v="0"/>
    <n v="0"/>
    <n v="0"/>
    <m/>
    <m/>
    <m/>
    <m/>
    <m/>
    <m/>
    <m/>
    <m/>
    <s v="1"/>
    <s v="1"/>
    <s v="1"/>
    <s v="1"/>
    <s v="0"/>
    <m/>
    <m/>
    <m/>
    <m/>
    <m/>
    <m/>
    <m/>
    <m/>
    <m/>
    <m/>
    <m/>
    <m/>
    <m/>
    <m/>
  </r>
  <r>
    <n v="743"/>
    <m/>
    <s v="ZBTO"/>
    <n v="9518497466"/>
    <n v="1"/>
    <s v="9518497466-1"/>
    <s v="Stocks"/>
    <x v="0"/>
    <m/>
    <x v="3"/>
    <x v="4"/>
    <n v="2000"/>
    <m/>
    <x v="1"/>
    <m/>
    <m/>
    <s v="Karnataka"/>
    <s v="South"/>
    <s v="HUBLI"/>
    <s v="Coil"/>
    <n v="942923"/>
    <s v="S C SHETTAR &amp; SONS PRIVATE LIMITED"/>
    <n v="3708868"/>
    <m/>
    <m/>
    <m/>
    <m/>
    <m/>
    <s v="Wider"/>
    <s v="C05"/>
    <m/>
    <s v="GP02"/>
    <n v="0.5"/>
    <n v="1350"/>
    <n v="0"/>
    <n v="93"/>
    <n v="0"/>
    <n v="93"/>
    <n v="93"/>
    <n v="92.38"/>
    <n v="4.4800000000000004"/>
    <n v="0"/>
    <n v="0"/>
    <n v="0"/>
    <n v="0"/>
    <n v="0"/>
    <n v="0"/>
    <n v="0.62"/>
    <n v="0"/>
    <n v="0"/>
    <n v="0"/>
    <n v="0"/>
    <n v="0"/>
    <n v="0"/>
    <n v="0"/>
    <n v="0"/>
    <n v="0"/>
    <n v="0"/>
    <n v="0"/>
    <n v="0"/>
    <n v="0.62"/>
    <n v="0.62"/>
    <n v="0"/>
    <n v="0.62"/>
    <m/>
    <n v="28.869999999999997"/>
    <n v="0"/>
    <n v="0"/>
    <n v="0"/>
    <n v="0"/>
    <n v="0"/>
    <n v="0"/>
    <n v="0"/>
    <n v="0"/>
    <n v="0"/>
    <n v="0"/>
    <n v="0"/>
    <n v="0"/>
    <n v="28.869999999999997"/>
    <n v="0"/>
    <n v="0"/>
    <n v="0"/>
    <n v="0"/>
    <n v="0"/>
    <n v="0"/>
    <n v="0"/>
    <m/>
    <m/>
    <m/>
    <m/>
    <m/>
    <m/>
    <m/>
    <m/>
    <s v="1"/>
    <s v="1"/>
    <s v="1"/>
    <s v="1"/>
    <s v="1"/>
    <m/>
    <m/>
    <m/>
    <m/>
    <m/>
    <m/>
    <m/>
    <m/>
    <m/>
    <m/>
    <m/>
    <m/>
    <m/>
    <m/>
  </r>
  <r>
    <n v="742"/>
    <d v="2025-03-25T00:00:00"/>
    <s v="ZBTO"/>
    <n v="9518631417"/>
    <n v="1"/>
    <s v="9518631417-1"/>
    <s v="Apr'25 additional"/>
    <x v="0"/>
    <m/>
    <x v="0"/>
    <x v="0"/>
    <n v="2000"/>
    <m/>
    <x v="1"/>
    <m/>
    <m/>
    <s v="Karnataka"/>
    <s v="South"/>
    <s v="BANGALORE CITY"/>
    <s v="Coil"/>
    <n v="932179"/>
    <s v="DURGA STEEL INDUSTRIES"/>
    <n v="1210083"/>
    <s v="HR COILS-PO IS 1079 HR2 2X1250"/>
    <m/>
    <m/>
    <m/>
    <m/>
    <s v="Wider"/>
    <n v="768"/>
    <s v="THR099"/>
    <s v="HR99"/>
    <n v="2"/>
    <n v="1250"/>
    <n v="0"/>
    <n v="75"/>
    <n v="0"/>
    <n v="75"/>
    <n v="75"/>
    <n v="75"/>
    <n v="75"/>
    <n v="0"/>
    <n v="0"/>
    <n v="0"/>
    <n v="0"/>
    <n v="0"/>
    <n v="0"/>
    <n v="0"/>
    <n v="0"/>
    <n v="0"/>
    <n v="0"/>
    <n v="0"/>
    <n v="0"/>
    <n v="0"/>
    <n v="0"/>
    <n v="0"/>
    <n v="0"/>
    <n v="0"/>
    <n v="0"/>
    <n v="0"/>
    <n v="0"/>
    <n v="0"/>
    <n v="0"/>
    <n v="0"/>
    <m/>
    <n v="0"/>
    <n v="75"/>
    <n v="0"/>
    <n v="0"/>
    <n v="0"/>
    <n v="75"/>
    <n v="0"/>
    <n v="0"/>
    <n v="0"/>
    <n v="0"/>
    <n v="0"/>
    <n v="0"/>
    <n v="0"/>
    <n v="75"/>
    <n v="0"/>
    <n v="0"/>
    <n v="0"/>
    <n v="0"/>
    <n v="0"/>
    <n v="0"/>
    <n v="0"/>
    <m/>
    <m/>
    <m/>
    <m/>
    <m/>
    <m/>
    <m/>
    <m/>
    <s v="1"/>
    <s v="1"/>
    <s v="1"/>
    <s v="0"/>
    <s v="1"/>
    <m/>
    <m/>
    <m/>
    <m/>
    <m/>
    <m/>
    <m/>
    <m/>
    <m/>
    <m/>
    <m/>
    <m/>
    <m/>
    <m/>
  </r>
  <r>
    <n v="742"/>
    <d v="2025-03-25T00:00:00"/>
    <s v="ZBTO"/>
    <n v="9518631459"/>
    <n v="2"/>
    <s v="9518631459-2"/>
    <s v="No Priority"/>
    <x v="0"/>
    <m/>
    <x v="0"/>
    <x v="0"/>
    <n v="2000"/>
    <m/>
    <x v="0"/>
    <m/>
    <m/>
    <s v="Karnataka"/>
    <s v="South"/>
    <s v="BIDADI"/>
    <s v="Coil"/>
    <n v="939268"/>
    <s v="TATA STEEL DOWNSTREAM PRODUCTS"/>
    <n v="1210083"/>
    <s v="HR COILS-PO IS 1079 HR2 2X1250"/>
    <m/>
    <m/>
    <m/>
    <m/>
    <s v="Wider"/>
    <n v="768"/>
    <s v="THR099"/>
    <s v="HR99"/>
    <n v="2"/>
    <n v="1250"/>
    <n v="0"/>
    <n v="75"/>
    <n v="0"/>
    <n v="75"/>
    <n v="75"/>
    <n v="71.319999999999993"/>
    <n v="9.4849999999999994"/>
    <n v="0"/>
    <n v="0"/>
    <n v="3.68"/>
    <n v="0"/>
    <n v="0"/>
    <n v="0"/>
    <n v="0"/>
    <n v="0"/>
    <n v="0"/>
    <n v="0"/>
    <n v="0"/>
    <n v="0"/>
    <n v="0"/>
    <n v="0"/>
    <n v="0"/>
    <n v="0"/>
    <n v="0"/>
    <n v="0"/>
    <n v="0"/>
    <n v="3.68"/>
    <n v="3.68"/>
    <n v="0"/>
    <n v="3.68"/>
    <m/>
    <n v="0"/>
    <n v="0"/>
    <n v="0"/>
    <n v="0"/>
    <n v="0"/>
    <n v="0"/>
    <n v="0"/>
    <n v="0"/>
    <n v="0"/>
    <n v="0"/>
    <n v="0"/>
    <n v="0"/>
    <n v="0"/>
    <n v="0"/>
    <n v="0"/>
    <n v="0"/>
    <n v="0"/>
    <n v="0"/>
    <n v="0"/>
    <n v="0"/>
    <n v="0"/>
    <m/>
    <m/>
    <m/>
    <m/>
    <m/>
    <m/>
    <m/>
    <m/>
    <s v="1"/>
    <s v="1"/>
    <s v="1"/>
    <s v="1"/>
    <s v="1"/>
    <m/>
    <m/>
    <m/>
    <m/>
    <m/>
    <m/>
    <m/>
    <m/>
    <m/>
    <m/>
    <m/>
    <m/>
    <m/>
    <m/>
  </r>
  <r>
    <n v="744"/>
    <d v="2025-03-19T00:00:00"/>
    <s v="ZBTO"/>
    <n v="9518613727"/>
    <n v="1"/>
    <s v="9518613727-1"/>
    <s v="Stocks"/>
    <x v="0"/>
    <m/>
    <x v="2"/>
    <x v="3"/>
    <n v="1000"/>
    <m/>
    <x v="1"/>
    <m/>
    <m/>
    <s v="Jharkhand"/>
    <s v="TBSPL"/>
    <s v="TBL- BARA AGRICO"/>
    <s v="Coil"/>
    <n v="941597"/>
    <s v="TATA BLUESCOPE STEEL PRIVATE LIMITE"/>
    <n v="3941967"/>
    <s v="PPGL C HARD Y550PL D0C9 0.60(TPT)X1220"/>
    <m/>
    <m/>
    <m/>
    <m/>
    <s v="Wider"/>
    <s v="B18"/>
    <m/>
    <s v="D0C9"/>
    <n v="0.6"/>
    <n v="1220"/>
    <n v="0"/>
    <n v="112"/>
    <n v="92.275000000000006"/>
    <n v="19.725000000000001"/>
    <n v="10.65"/>
    <n v="13.675000000000001"/>
    <n v="8.2349999999999994"/>
    <n v="0"/>
    <n v="0"/>
    <n v="0"/>
    <n v="0"/>
    <n v="0"/>
    <n v="0"/>
    <n v="0"/>
    <n v="0"/>
    <n v="0"/>
    <n v="0"/>
    <n v="0"/>
    <n v="0"/>
    <n v="0"/>
    <n v="0"/>
    <n v="0"/>
    <n v="6.05"/>
    <n v="0"/>
    <n v="0"/>
    <n v="0"/>
    <n v="6.05"/>
    <n v="6.05"/>
    <n v="0"/>
    <n v="6.05"/>
    <m/>
    <n v="26.47"/>
    <n v="0"/>
    <n v="0"/>
    <n v="0"/>
    <n v="0"/>
    <n v="0"/>
    <n v="0"/>
    <n v="0"/>
    <n v="0"/>
    <n v="0"/>
    <n v="0"/>
    <n v="0"/>
    <n v="0"/>
    <n v="26.47"/>
    <n v="39.635000000000005"/>
    <n v="0"/>
    <n v="0"/>
    <n v="0"/>
    <n v="0"/>
    <n v="0"/>
    <n v="39.635000000000005"/>
    <m/>
    <m/>
    <m/>
    <m/>
    <m/>
    <m/>
    <m/>
    <m/>
    <s v="1"/>
    <s v="1"/>
    <s v="1"/>
    <s v="1"/>
    <s v="1"/>
    <m/>
    <m/>
    <m/>
    <m/>
    <m/>
    <m/>
    <m/>
    <m/>
    <m/>
    <m/>
    <m/>
    <m/>
    <m/>
    <m/>
  </r>
  <r>
    <n v="744"/>
    <d v="2025-03-20T00:00:00"/>
    <s v="ZBTO"/>
    <n v="9518617046"/>
    <n v="9"/>
    <s v="9518617046-9"/>
    <s v="Stocks"/>
    <x v="0"/>
    <m/>
    <x v="2"/>
    <x v="3"/>
    <n v="1000"/>
    <m/>
    <x v="1"/>
    <m/>
    <m/>
    <s v="Jharkhand"/>
    <s v="TBSPL"/>
    <s v="TBL- BARA AGRICO"/>
    <s v="Coil"/>
    <n v="941597"/>
    <s v="TATA BLUESCOPE STEEL PRIVATE LIMITE"/>
    <n v="3941967"/>
    <s v="PPGL C HARD Y550PL D0C9 0.60(TPT)X1220"/>
    <m/>
    <m/>
    <m/>
    <m/>
    <s v="Wider"/>
    <s v="B18"/>
    <m/>
    <s v="D0C9"/>
    <n v="0.6"/>
    <n v="1220"/>
    <n v="0"/>
    <n v="56"/>
    <n v="0"/>
    <n v="56"/>
    <n v="0.75"/>
    <n v="0"/>
    <n v="36.229999999999997"/>
    <n v="0"/>
    <n v="28.53"/>
    <n v="0"/>
    <n v="0"/>
    <n v="0"/>
    <n v="0"/>
    <n v="0"/>
    <n v="0"/>
    <n v="0"/>
    <n v="6.53"/>
    <n v="0"/>
    <n v="0"/>
    <n v="0"/>
    <n v="0"/>
    <n v="0"/>
    <n v="0.79"/>
    <n v="0"/>
    <n v="0"/>
    <n v="0"/>
    <n v="35.85"/>
    <n v="35.85"/>
    <n v="0"/>
    <n v="35.85"/>
    <m/>
    <n v="19.77"/>
    <n v="36.229999999999997"/>
    <n v="36.229999999999997"/>
    <n v="0"/>
    <n v="0"/>
    <n v="0"/>
    <n v="0"/>
    <n v="0"/>
    <n v="0"/>
    <n v="0"/>
    <n v="0"/>
    <n v="0"/>
    <n v="0"/>
    <n v="56"/>
    <n v="0"/>
    <n v="0"/>
    <n v="0"/>
    <n v="0"/>
    <n v="0"/>
    <n v="0"/>
    <n v="0"/>
    <m/>
    <m/>
    <m/>
    <m/>
    <m/>
    <m/>
    <m/>
    <m/>
    <s v="0"/>
    <s v="1"/>
    <s v="1"/>
    <s v="1"/>
    <s v="1"/>
    <m/>
    <m/>
    <m/>
    <m/>
    <m/>
    <m/>
    <m/>
    <m/>
    <m/>
    <m/>
    <m/>
    <m/>
    <m/>
    <m/>
  </r>
  <r>
    <n v="744"/>
    <d v="2025-03-26T00:00:00"/>
    <s v="ZBTO"/>
    <n v="9518637595"/>
    <n v="2"/>
    <s v="9518637595-2"/>
    <s v="No Priority"/>
    <x v="0"/>
    <m/>
    <x v="2"/>
    <x v="3"/>
    <n v="1000"/>
    <m/>
    <x v="1"/>
    <m/>
    <m/>
    <s v="Jharkhand"/>
    <s v="TBSPL"/>
    <s v="TBL- BARA AGRICO"/>
    <s v="Coil"/>
    <n v="941597"/>
    <s v="TATA BLUESCOPE STEEL PRIVATE LIMITE"/>
    <n v="3902332"/>
    <s v="PPGL C HARD Y550PL D0C9 0.50(TPT)X1220"/>
    <m/>
    <m/>
    <m/>
    <m/>
    <s v="Wider"/>
    <s v="B18"/>
    <m/>
    <s v="D0C9"/>
    <n v="0.5"/>
    <n v="1220"/>
    <n v="0"/>
    <n v="56"/>
    <n v="44.075000000000003"/>
    <n v="11.925000000000001"/>
    <n v="0.92500000000000004"/>
    <n v="0"/>
    <n v="11.925000000000001"/>
    <n v="0"/>
    <n v="0"/>
    <n v="0"/>
    <n v="0"/>
    <n v="0"/>
    <n v="0"/>
    <n v="0"/>
    <n v="0"/>
    <n v="0"/>
    <n v="0"/>
    <n v="0"/>
    <n v="0"/>
    <n v="0"/>
    <n v="0"/>
    <n v="0"/>
    <n v="0"/>
    <n v="0"/>
    <n v="0"/>
    <n v="0"/>
    <n v="0"/>
    <n v="0"/>
    <n v="0"/>
    <n v="0"/>
    <m/>
    <n v="0"/>
    <n v="11.925000000000001"/>
    <n v="11.925000000000001"/>
    <n v="0"/>
    <n v="0"/>
    <n v="0"/>
    <n v="0"/>
    <n v="0"/>
    <n v="0"/>
    <n v="0"/>
    <n v="0"/>
    <n v="0"/>
    <n v="0"/>
    <n v="11.925000000000001"/>
    <n v="27.594999999999999"/>
    <n v="11.925000000000001"/>
    <n v="0"/>
    <n v="0"/>
    <n v="0"/>
    <n v="0"/>
    <n v="15.669999999999998"/>
    <m/>
    <m/>
    <m/>
    <m/>
    <m/>
    <m/>
    <m/>
    <m/>
    <s v="1"/>
    <s v="1"/>
    <s v="1"/>
    <s v="1"/>
    <s v="1"/>
    <m/>
    <m/>
    <m/>
    <m/>
    <m/>
    <m/>
    <m/>
    <m/>
    <m/>
    <m/>
    <m/>
    <m/>
    <m/>
    <m/>
  </r>
  <r>
    <n v="744"/>
    <d v="2025-03-27T00:00:00"/>
    <s v="ZBTO"/>
    <n v="9518644023"/>
    <n v="1"/>
    <s v="9518644023-1"/>
    <s v="Apr'25 additional"/>
    <x v="0"/>
    <m/>
    <x v="2"/>
    <x v="3"/>
    <n v="1000"/>
    <m/>
    <x v="1"/>
    <m/>
    <m/>
    <s v="Jharkhand"/>
    <s v="TBSPL"/>
    <s v="TBL- BARA AGRICO"/>
    <s v="Coil"/>
    <n v="941597"/>
    <s v="TATA BLUESCOPE STEEL PRIVATE LIMITE"/>
    <n v="3902332"/>
    <s v="PPGL C HARD Y550PL D0C9 0.50(TPT)X1220"/>
    <m/>
    <m/>
    <m/>
    <m/>
    <s v="Wider"/>
    <s v="B18"/>
    <m/>
    <s v="D0C9"/>
    <n v="0.5"/>
    <n v="1220"/>
    <n v="0"/>
    <n v="28"/>
    <n v="0"/>
    <n v="28"/>
    <n v="28"/>
    <n v="28"/>
    <n v="28"/>
    <n v="0"/>
    <n v="0"/>
    <n v="0"/>
    <n v="0"/>
    <n v="0"/>
    <n v="0"/>
    <n v="0"/>
    <n v="0"/>
    <n v="0"/>
    <n v="0"/>
    <n v="0"/>
    <n v="0"/>
    <n v="0"/>
    <n v="0"/>
    <n v="0"/>
    <n v="0"/>
    <n v="0"/>
    <n v="0"/>
    <n v="0"/>
    <n v="0"/>
    <n v="0"/>
    <n v="0"/>
    <n v="0"/>
    <m/>
    <n v="0"/>
    <n v="28"/>
    <n v="0"/>
    <n v="28"/>
    <n v="0"/>
    <n v="0"/>
    <n v="0"/>
    <n v="28"/>
    <n v="0"/>
    <n v="28"/>
    <n v="0"/>
    <n v="0"/>
    <n v="0"/>
    <n v="0"/>
    <n v="0"/>
    <n v="0"/>
    <n v="0"/>
    <n v="0"/>
    <n v="0"/>
    <n v="0"/>
    <n v="0"/>
    <m/>
    <m/>
    <m/>
    <m/>
    <m/>
    <m/>
    <m/>
    <m/>
    <s v="1"/>
    <s v="0"/>
    <s v="1"/>
    <s v="1"/>
    <s v="1"/>
    <m/>
    <m/>
    <m/>
    <m/>
    <m/>
    <m/>
    <m/>
    <m/>
    <m/>
    <m/>
    <m/>
    <m/>
    <m/>
    <m/>
  </r>
  <r>
    <n v="744"/>
    <d v="2025-03-22T00:00:00"/>
    <s v="ZBTO"/>
    <n v="9518624252"/>
    <n v="21"/>
    <s v="9518624252-21"/>
    <s v="Apr'25 additional"/>
    <x v="0"/>
    <m/>
    <x v="2"/>
    <x v="3"/>
    <n v="1000"/>
    <m/>
    <x v="1"/>
    <m/>
    <m/>
    <s v="Jharkhand"/>
    <s v="TBSPL"/>
    <s v="TBL- BARA AGRICO"/>
    <s v="Coil"/>
    <n v="941597"/>
    <s v="TATA BLUESCOPE STEEL PRIVATE LIMITE"/>
    <n v="3902332"/>
    <s v="PPGL C HARD Y550PL D0C9 0.50(TPT)X1220"/>
    <m/>
    <m/>
    <m/>
    <m/>
    <s v="Wider"/>
    <s v="B18"/>
    <m/>
    <s v="D0C9"/>
    <n v="0.5"/>
    <n v="1220"/>
    <n v="0"/>
    <n v="56"/>
    <n v="0"/>
    <n v="56"/>
    <n v="56"/>
    <n v="56"/>
    <n v="56"/>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s v="ZBTO"/>
    <n v="9518624252"/>
    <n v="19"/>
    <s v="9518624252-19"/>
    <s v="Apr'25 additional"/>
    <x v="0"/>
    <m/>
    <x v="2"/>
    <x v="3"/>
    <n v="1000"/>
    <m/>
    <x v="1"/>
    <m/>
    <m/>
    <s v="Jharkhand"/>
    <s v="TBSPL"/>
    <s v="TBL- BARA AGRICO"/>
    <s v="Coil"/>
    <n v="941597"/>
    <s v="TATA BLUESCOPE STEEL PRIVATE LIMITE"/>
    <n v="3902332"/>
    <s v="PPGL C HARD Y550PL D0C9 0.50(TPT)X1220"/>
    <m/>
    <m/>
    <m/>
    <m/>
    <s v="Wider"/>
    <s v="B18"/>
    <m/>
    <s v="D0C9"/>
    <n v="0.5"/>
    <n v="1220"/>
    <n v="0"/>
    <n v="168"/>
    <n v="0"/>
    <n v="168"/>
    <n v="168"/>
    <n v="168"/>
    <n v="16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s v="ZBTO"/>
    <n v="9518624252"/>
    <n v="15"/>
    <s v="9518624252-15"/>
    <s v="Apr'25 additional"/>
    <x v="0"/>
    <m/>
    <x v="2"/>
    <x v="3"/>
    <n v="1000"/>
    <m/>
    <x v="1"/>
    <m/>
    <m/>
    <s v="Jharkhand"/>
    <s v="TBSPL"/>
    <s v="TBL- BARA AGRICO"/>
    <s v="Coil"/>
    <n v="941597"/>
    <s v="TATA BLUESCOPE STEEL PRIVATE LIMITE"/>
    <n v="3902332"/>
    <s v="PPGL C HARD Y550PL D0C9 0.50(TPT)X1220"/>
    <m/>
    <m/>
    <m/>
    <m/>
    <s v="Wider"/>
    <s v="B18"/>
    <m/>
    <s v="D0C9"/>
    <n v="0.5"/>
    <n v="1220"/>
    <n v="0"/>
    <n v="168"/>
    <n v="0"/>
    <n v="168"/>
    <n v="168"/>
    <n v="-3.5400000000000205"/>
    <n v="168"/>
    <n v="0"/>
    <n v="143.46"/>
    <n v="28.08"/>
    <n v="0"/>
    <n v="0"/>
    <n v="0"/>
    <n v="0"/>
    <n v="0"/>
    <n v="0"/>
    <n v="0"/>
    <n v="0"/>
    <n v="0"/>
    <n v="0"/>
    <n v="0"/>
    <n v="0"/>
    <n v="0"/>
    <n v="0"/>
    <n v="0"/>
    <n v="0"/>
    <n v="171.54000000000002"/>
    <n v="171.54000000000002"/>
    <n v="0"/>
    <n v="171.54000000000002"/>
    <m/>
    <n v="0"/>
    <n v="168"/>
    <n v="168"/>
    <n v="0"/>
    <n v="0"/>
    <n v="0"/>
    <n v="0"/>
    <n v="0"/>
    <n v="0"/>
    <n v="0"/>
    <n v="0"/>
    <n v="0"/>
    <n v="0"/>
    <n v="168"/>
    <n v="0"/>
    <n v="0"/>
    <n v="0"/>
    <n v="0"/>
    <n v="0"/>
    <n v="0"/>
    <n v="0"/>
    <m/>
    <m/>
    <m/>
    <m/>
    <m/>
    <m/>
    <m/>
    <m/>
    <s v="0"/>
    <s v="1"/>
    <s v="1"/>
    <s v="1"/>
    <s v="1"/>
    <m/>
    <m/>
    <m/>
    <m/>
    <m/>
    <m/>
    <m/>
    <m/>
    <m/>
    <m/>
    <m/>
    <m/>
    <m/>
    <m/>
  </r>
  <r>
    <n v="744"/>
    <d v="2025-03-22T00:00:00"/>
    <s v="ZBTO"/>
    <n v="9518624252"/>
    <n v="14"/>
    <s v="9518624252-14"/>
    <s v="Stocks"/>
    <x v="0"/>
    <m/>
    <x v="2"/>
    <x v="3"/>
    <n v="1000"/>
    <m/>
    <x v="1"/>
    <m/>
    <m/>
    <s v="Jharkhand"/>
    <s v="TBSPL"/>
    <s v="TBL- BARA AGRICO"/>
    <s v="Coil"/>
    <n v="941597"/>
    <s v="TATA BLUESCOPE STEEL PRIVATE LIMITE"/>
    <n v="3902332"/>
    <s v="PPGL C HARD Y550PL D0C9 0.50(TPT)X1220"/>
    <m/>
    <m/>
    <m/>
    <m/>
    <s v="Wider"/>
    <s v="B18"/>
    <m/>
    <s v="D0C9"/>
    <n v="0.5"/>
    <n v="1220"/>
    <n v="0"/>
    <n v="195.99"/>
    <n v="162.22499999999999"/>
    <n v="33.765000000000001"/>
    <n v="-2.5270000000000001"/>
    <n v="0"/>
    <n v="12.664999999999999"/>
    <n v="0"/>
    <n v="0"/>
    <n v="0"/>
    <n v="0"/>
    <n v="0"/>
    <n v="0"/>
    <n v="0"/>
    <n v="0"/>
    <n v="0"/>
    <n v="1.94"/>
    <n v="0"/>
    <n v="0"/>
    <n v="0"/>
    <n v="0"/>
    <n v="0"/>
    <n v="0"/>
    <n v="0"/>
    <n v="0"/>
    <n v="8.89"/>
    <n v="10.83"/>
    <n v="10.83"/>
    <n v="0"/>
    <n v="10.83"/>
    <m/>
    <n v="3.9049999999999998"/>
    <n v="12.664999999999999"/>
    <n v="12.664999999999999"/>
    <n v="0"/>
    <n v="0"/>
    <n v="0"/>
    <n v="0"/>
    <n v="0"/>
    <n v="0"/>
    <n v="0"/>
    <n v="0"/>
    <n v="0"/>
    <n v="0"/>
    <n v="16.57"/>
    <n v="0"/>
    <n v="0"/>
    <n v="0"/>
    <n v="0"/>
    <n v="0"/>
    <n v="0"/>
    <n v="0"/>
    <m/>
    <m/>
    <m/>
    <m/>
    <m/>
    <m/>
    <m/>
    <m/>
    <s v="0"/>
    <s v="1"/>
    <s v="1"/>
    <s v="1"/>
    <s v="1"/>
    <m/>
    <m/>
    <m/>
    <m/>
    <m/>
    <m/>
    <m/>
    <m/>
    <m/>
    <m/>
    <m/>
    <m/>
    <m/>
    <m/>
  </r>
  <r>
    <n v="744"/>
    <d v="2025-03-22T00:00:00"/>
    <s v="ZBTO"/>
    <n v="9518624252"/>
    <n v="8"/>
    <s v="9518624252-8"/>
    <s v="Apr'25 additional"/>
    <x v="0"/>
    <m/>
    <x v="2"/>
    <x v="3"/>
    <n v="1000"/>
    <m/>
    <x v="1"/>
    <m/>
    <m/>
    <s v="Jharkhand"/>
    <s v="TBSPL"/>
    <s v="TBL- BARA AGRICO"/>
    <s v="Coil"/>
    <n v="941597"/>
    <s v="TATA BLUESCOPE STEEL PRIVATE LIMITE"/>
    <n v="3902332"/>
    <s v="PPGL C HARD Y550PL D0C9 0.50(TPT)X1220"/>
    <m/>
    <m/>
    <m/>
    <m/>
    <s v="Wider"/>
    <s v="B18"/>
    <m/>
    <s v="D0C9"/>
    <n v="0.5"/>
    <n v="1220"/>
    <n v="0"/>
    <n v="28"/>
    <n v="0"/>
    <n v="28"/>
    <n v="28"/>
    <n v="28"/>
    <n v="2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s v="ZBTO"/>
    <n v="9518624252"/>
    <n v="7"/>
    <s v="9518624252-7"/>
    <s v="Apr'25 additional"/>
    <x v="0"/>
    <m/>
    <x v="2"/>
    <x v="3"/>
    <n v="1000"/>
    <m/>
    <x v="1"/>
    <m/>
    <m/>
    <s v="Jharkhand"/>
    <s v="TBSPL"/>
    <s v="TBL- BARA AGRICO"/>
    <s v="Coil"/>
    <n v="941597"/>
    <s v="TATA BLUESCOPE STEEL PRIVATE LIMITE"/>
    <n v="3902332"/>
    <s v="PPGL C HARD Y550PL D0C9 0.50(TPT)X1220"/>
    <m/>
    <m/>
    <m/>
    <m/>
    <s v="Wider"/>
    <s v="B18"/>
    <m/>
    <s v="D0C9"/>
    <n v="0.5"/>
    <n v="1220"/>
    <n v="0"/>
    <n v="28"/>
    <n v="0"/>
    <n v="28"/>
    <n v="28"/>
    <n v="28"/>
    <n v="2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s v="ZBTO"/>
    <n v="9518624252"/>
    <n v="4"/>
    <s v="9518624252-4"/>
    <s v="Apr'25 additional"/>
    <x v="0"/>
    <m/>
    <x v="2"/>
    <x v="3"/>
    <n v="1000"/>
    <m/>
    <x v="1"/>
    <m/>
    <m/>
    <s v="Jharkhand"/>
    <s v="TBSPL"/>
    <s v="TBL- BARA AGRICO"/>
    <s v="Coil"/>
    <n v="941597"/>
    <s v="TATA BLUESCOPE STEEL PRIVATE LIMITE"/>
    <n v="3902332"/>
    <s v="PPGL C HARD Y550PL D0C9 0.50(TPT)X1220"/>
    <m/>
    <m/>
    <m/>
    <m/>
    <s v="Wider"/>
    <s v="B18"/>
    <m/>
    <s v="D0C9"/>
    <n v="0.5"/>
    <n v="1220"/>
    <n v="0"/>
    <n v="56"/>
    <n v="26.85"/>
    <n v="29.15"/>
    <n v="29.15"/>
    <n v="29.15"/>
    <n v="29.1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s v="ZBTO"/>
    <n v="9518624252"/>
    <n v="2"/>
    <s v="9518624252-2"/>
    <s v="Apr'25 additional"/>
    <x v="0"/>
    <m/>
    <x v="2"/>
    <x v="3"/>
    <n v="1000"/>
    <m/>
    <x v="1"/>
    <m/>
    <m/>
    <s v="Jharkhand"/>
    <s v="TBSPL"/>
    <s v="TBL- BARA AGRICO"/>
    <s v="Coil"/>
    <n v="941597"/>
    <s v="TATA BLUESCOPE STEEL PRIVATE LIMITE"/>
    <n v="3902332"/>
    <s v="PPGL C HARD Y550PL D0C9 0.50(TPT)X1220"/>
    <m/>
    <m/>
    <m/>
    <m/>
    <s v="Wider"/>
    <s v="B18"/>
    <m/>
    <s v="D0C9"/>
    <n v="0.5"/>
    <n v="1220"/>
    <n v="0"/>
    <n v="112"/>
    <n v="0"/>
    <n v="112"/>
    <n v="112"/>
    <n v="112"/>
    <n v="112"/>
    <n v="0"/>
    <n v="0"/>
    <n v="0"/>
    <n v="0"/>
    <n v="0"/>
    <n v="0"/>
    <n v="0"/>
    <n v="0"/>
    <n v="0"/>
    <n v="0"/>
    <n v="0"/>
    <n v="0"/>
    <n v="0"/>
    <n v="0"/>
    <n v="0"/>
    <n v="0"/>
    <n v="0"/>
    <n v="0"/>
    <n v="0"/>
    <n v="0"/>
    <n v="0"/>
    <n v="0"/>
    <n v="0"/>
    <m/>
    <n v="0"/>
    <n v="112"/>
    <n v="0"/>
    <n v="112"/>
    <n v="0"/>
    <n v="0"/>
    <n v="0"/>
    <n v="112"/>
    <n v="0"/>
    <n v="112"/>
    <n v="0"/>
    <n v="0"/>
    <n v="0"/>
    <n v="0"/>
    <n v="0"/>
    <n v="0"/>
    <n v="0"/>
    <n v="0"/>
    <n v="0"/>
    <n v="0"/>
    <n v="0"/>
    <m/>
    <m/>
    <m/>
    <m/>
    <m/>
    <m/>
    <m/>
    <m/>
    <s v="1"/>
    <s v="0"/>
    <s v="1"/>
    <s v="1"/>
    <s v="1"/>
    <m/>
    <m/>
    <m/>
    <m/>
    <m/>
    <m/>
    <m/>
    <m/>
    <m/>
    <m/>
    <m/>
    <m/>
    <m/>
    <m/>
  </r>
  <r>
    <n v="744"/>
    <d v="2025-03-22T00:00:00"/>
    <s v="ZBTO"/>
    <n v="9518624252"/>
    <n v="1"/>
    <s v="9518624252-1"/>
    <s v="Apr'25 additional"/>
    <x v="0"/>
    <m/>
    <x v="2"/>
    <x v="3"/>
    <n v="1000"/>
    <m/>
    <x v="1"/>
    <m/>
    <m/>
    <s v="Jharkhand"/>
    <s v="TBSPL"/>
    <s v="TBL- BARA AGRICO"/>
    <s v="Coil"/>
    <n v="941597"/>
    <s v="TATA BLUESCOPE STEEL PRIVATE LIMITE"/>
    <n v="3902332"/>
    <s v="PPGL C HARD Y550PL D0C9 0.50(TPT)X1220"/>
    <m/>
    <m/>
    <m/>
    <m/>
    <s v="Wider"/>
    <s v="B18"/>
    <m/>
    <s v="D0C9"/>
    <n v="0.5"/>
    <n v="1220"/>
    <n v="0"/>
    <n v="196"/>
    <n v="0"/>
    <n v="196"/>
    <n v="196"/>
    <n v="-2.1800000000000068"/>
    <n v="196"/>
    <n v="0"/>
    <n v="86.16"/>
    <n v="28.21"/>
    <n v="83.81"/>
    <n v="0"/>
    <n v="0"/>
    <n v="0"/>
    <n v="0"/>
    <n v="0"/>
    <n v="0"/>
    <n v="0"/>
    <n v="0"/>
    <n v="0"/>
    <n v="0"/>
    <n v="0"/>
    <n v="0"/>
    <n v="0"/>
    <n v="0"/>
    <n v="0"/>
    <n v="198.18"/>
    <n v="198.18"/>
    <n v="0"/>
    <n v="198.18"/>
    <m/>
    <n v="0"/>
    <n v="196"/>
    <n v="0"/>
    <n v="0"/>
    <n v="0"/>
    <n v="0"/>
    <n v="196"/>
    <n v="0"/>
    <n v="0"/>
    <n v="0"/>
    <n v="0"/>
    <n v="0"/>
    <n v="0"/>
    <n v="196"/>
    <n v="0"/>
    <n v="0"/>
    <n v="0"/>
    <n v="0"/>
    <n v="0"/>
    <n v="0"/>
    <n v="0"/>
    <m/>
    <m/>
    <m/>
    <m/>
    <m/>
    <m/>
    <m/>
    <m/>
    <s v="1"/>
    <s v="1"/>
    <s v="1"/>
    <s v="1"/>
    <s v="0"/>
    <m/>
    <m/>
    <m/>
    <m/>
    <m/>
    <m/>
    <m/>
    <m/>
    <m/>
    <m/>
    <m/>
    <m/>
    <m/>
    <m/>
  </r>
  <r>
    <n v="743"/>
    <d v="2025-03-25T00:00:00"/>
    <s v="ZBTT"/>
    <n v="9518634002"/>
    <n v="2"/>
    <s v="9518634002-2"/>
    <s v="No Priority"/>
    <x v="0"/>
    <m/>
    <x v="3"/>
    <x v="4"/>
    <n v="2000"/>
    <m/>
    <x v="0"/>
    <m/>
    <m/>
    <s v="Assam"/>
    <s v="East"/>
    <s v="GAUHATI"/>
    <s v="Coil"/>
    <n v="103671"/>
    <s v="BAJRANG STEEL (SALES) CORPORATION"/>
    <n v="3767487"/>
    <s v="GP COIL TATGPH GP02 0.630X1350"/>
    <m/>
    <m/>
    <m/>
    <m/>
    <s v="Wider"/>
    <s v="C05"/>
    <s v="TATGPH"/>
    <s v="GP02"/>
    <n v="0.63"/>
    <n v="1350"/>
    <n v="0"/>
    <n v="31"/>
    <n v="0"/>
    <n v="31"/>
    <n v="31"/>
    <n v="31"/>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6T00:00:00"/>
    <s v="ZBTO"/>
    <n v="9518635704"/>
    <n v="1"/>
    <s v="9518635704-1"/>
    <s v="Apr'25 additional"/>
    <x v="0"/>
    <m/>
    <x v="4"/>
    <x v="3"/>
    <n v="1000"/>
    <m/>
    <x v="1"/>
    <m/>
    <m/>
    <s v="Tamil Nadu"/>
    <s v="TBSPL"/>
    <s v="SRIPERUMBUDUR"/>
    <s v="Coil"/>
    <n v="942294"/>
    <s v="TATA BLUESCOPE STEEL PRIVATE LIMITE"/>
    <n v="3239573"/>
    <s v="GL C YS550 H6GL 0.42BMT(0.47TCT)X1220"/>
    <m/>
    <m/>
    <m/>
    <m/>
    <s v="Wider"/>
    <s v="B04"/>
    <s v="Y550GL"/>
    <s v="H6GL"/>
    <n v="0.42"/>
    <n v="1220"/>
    <n v="0"/>
    <n v="28"/>
    <n v="0"/>
    <n v="28"/>
    <n v="28"/>
    <n v="9.8500000000000014"/>
    <n v="18.555"/>
    <n v="0"/>
    <n v="0"/>
    <n v="0"/>
    <n v="0"/>
    <n v="0"/>
    <n v="0"/>
    <n v="0"/>
    <n v="13.465"/>
    <n v="0"/>
    <n v="0"/>
    <n v="0"/>
    <n v="0"/>
    <n v="0"/>
    <n v="0"/>
    <n v="0"/>
    <n v="0"/>
    <n v="0"/>
    <n v="0"/>
    <n v="4.6850000000000005"/>
    <n v="18.149999999999999"/>
    <n v="18.149999999999999"/>
    <n v="0"/>
    <n v="18.149999999999999"/>
    <m/>
    <n v="9.4450000000000003"/>
    <n v="18.555"/>
    <n v="18.555"/>
    <n v="0"/>
    <n v="0"/>
    <n v="0"/>
    <n v="0"/>
    <n v="0"/>
    <n v="0"/>
    <n v="0"/>
    <n v="0"/>
    <n v="0"/>
    <n v="0"/>
    <n v="28"/>
    <n v="0"/>
    <n v="0"/>
    <n v="0"/>
    <n v="0"/>
    <n v="0"/>
    <n v="0"/>
    <n v="0"/>
    <m/>
    <m/>
    <m/>
    <m/>
    <m/>
    <m/>
    <m/>
    <m/>
    <s v="0"/>
    <s v="1"/>
    <s v="1"/>
    <s v="1"/>
    <s v="1"/>
    <m/>
    <m/>
    <m/>
    <m/>
    <m/>
    <m/>
    <m/>
    <m/>
    <m/>
    <m/>
    <m/>
    <m/>
    <m/>
    <m/>
  </r>
  <r>
    <n v="743"/>
    <d v="2025-03-19T00:00:00"/>
    <s v="ZBTO"/>
    <n v="9518613800"/>
    <n v="1"/>
    <s v="9518613800-1"/>
    <s v="Stocks"/>
    <x v="0"/>
    <m/>
    <x v="4"/>
    <x v="3"/>
    <n v="1000"/>
    <m/>
    <x v="1"/>
    <m/>
    <m/>
    <s v="Jharkhand"/>
    <s v="TBSPL"/>
    <s v="TBL- BARA AGRICO"/>
    <s v="Coil"/>
    <n v="942283"/>
    <s v="TATA BLUESCOPE STEEL PRIVATE LIMITE"/>
    <n v="1882004"/>
    <s v="GL C YS550 H6GL 0.55BMT(0.60TCT)X1220"/>
    <m/>
    <m/>
    <m/>
    <m/>
    <s v="Wider"/>
    <s v="B04"/>
    <s v="Y550GL"/>
    <s v="H6GL"/>
    <n v="0.55000000000000004"/>
    <n v="1220"/>
    <n v="0"/>
    <n v="28"/>
    <n v="0"/>
    <n v="28"/>
    <n v="-0.95"/>
    <n v="0"/>
    <n v="0.62"/>
    <n v="0"/>
    <n v="0"/>
    <n v="0"/>
    <n v="0"/>
    <n v="0"/>
    <n v="0"/>
    <n v="0"/>
    <n v="0"/>
    <n v="0"/>
    <n v="0"/>
    <n v="0"/>
    <n v="0"/>
    <n v="0"/>
    <n v="0"/>
    <n v="0"/>
    <n v="0"/>
    <n v="0"/>
    <n v="0"/>
    <n v="0"/>
    <n v="0"/>
    <n v="0"/>
    <n v="0"/>
    <n v="0"/>
    <m/>
    <n v="27.380000000000003"/>
    <n v="0"/>
    <n v="0"/>
    <n v="0"/>
    <n v="0"/>
    <n v="0"/>
    <n v="0"/>
    <n v="0"/>
    <n v="0"/>
    <n v="0"/>
    <n v="0"/>
    <n v="0"/>
    <n v="0"/>
    <n v="27.380000000000003"/>
    <n v="0"/>
    <n v="0"/>
    <n v="0"/>
    <n v="0"/>
    <n v="0"/>
    <n v="0"/>
    <n v="0"/>
    <m/>
    <m/>
    <m/>
    <m/>
    <m/>
    <m/>
    <m/>
    <m/>
    <s v="1"/>
    <s v="1"/>
    <s v="1"/>
    <s v="1"/>
    <s v="1"/>
    <m/>
    <m/>
    <m/>
    <m/>
    <m/>
    <m/>
    <m/>
    <m/>
    <m/>
    <m/>
    <m/>
    <m/>
    <m/>
    <m/>
  </r>
  <r>
    <n v="743"/>
    <d v="2025-03-20T00:00:00"/>
    <s v="ZBTO"/>
    <n v="9518617039"/>
    <n v="2"/>
    <s v="9518617039-2"/>
    <s v="No Priority"/>
    <x v="0"/>
    <m/>
    <x v="4"/>
    <x v="3"/>
    <n v="1000"/>
    <m/>
    <x v="0"/>
    <m/>
    <m/>
    <s v="Jharkhand"/>
    <s v="TBSPL"/>
    <s v="TBL- BARA AGRICO"/>
    <s v="Coil"/>
    <n v="942283"/>
    <s v="TATA BLUESCOPE STEEL PRIVATE LIMITE"/>
    <n v="1881969"/>
    <s v="GL C YS550 H6GL 0.45BMT(0.50TCT)X1220"/>
    <m/>
    <m/>
    <m/>
    <m/>
    <s v="Wider"/>
    <s v="B04"/>
    <s v="Y550GL"/>
    <s v="H6GL"/>
    <n v="0.45"/>
    <n v="1220"/>
    <n v="0"/>
    <n v="56"/>
    <n v="0"/>
    <n v="56"/>
    <n v="0.33"/>
    <n v="0"/>
    <n v="0.9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6T00:00:00"/>
    <s v="ZBTO"/>
    <n v="9518635704"/>
    <n v="2"/>
    <s v="9518635704-2"/>
    <s v="Stocks"/>
    <x v="0"/>
    <m/>
    <x v="4"/>
    <x v="3"/>
    <n v="1000"/>
    <m/>
    <x v="1"/>
    <m/>
    <m/>
    <s v="Tamil Nadu"/>
    <s v="TBSPL"/>
    <s v="SRIPERUMBUDUR"/>
    <s v="Coil"/>
    <n v="942294"/>
    <s v="TATA BLUESCOPE STEEL PRIVATE LIMITE"/>
    <n v="1881969"/>
    <s v="GL C YS550 H6GL 0.45BMT(0.50TCT)X1220"/>
    <m/>
    <m/>
    <m/>
    <m/>
    <s v="Wider"/>
    <s v="B04"/>
    <s v="Y550GL"/>
    <s v="H6GL"/>
    <n v="0.45"/>
    <n v="1220"/>
    <n v="0"/>
    <n v="56"/>
    <n v="0"/>
    <n v="56"/>
    <n v="56"/>
    <n v="0"/>
    <n v="2.4"/>
    <n v="0"/>
    <n v="0"/>
    <n v="0"/>
    <n v="0"/>
    <n v="0"/>
    <n v="0"/>
    <n v="0"/>
    <n v="0"/>
    <n v="0"/>
    <n v="0"/>
    <n v="0"/>
    <n v="0"/>
    <n v="0"/>
    <n v="0"/>
    <n v="0"/>
    <n v="0"/>
    <n v="0"/>
    <n v="0"/>
    <n v="0"/>
    <n v="0"/>
    <n v="0"/>
    <n v="56"/>
    <n v="56"/>
    <m/>
    <n v="53.599999999999994"/>
    <n v="0"/>
    <n v="0"/>
    <n v="0"/>
    <n v="0"/>
    <n v="0"/>
    <n v="0"/>
    <n v="0"/>
    <n v="0"/>
    <n v="0"/>
    <n v="0"/>
    <n v="0"/>
    <n v="0"/>
    <n v="53.599999999999994"/>
    <n v="0"/>
    <n v="0"/>
    <n v="0"/>
    <n v="0"/>
    <n v="0"/>
    <n v="0"/>
    <n v="0"/>
    <m/>
    <m/>
    <m/>
    <m/>
    <m/>
    <m/>
    <m/>
    <m/>
    <s v="1"/>
    <s v="1"/>
    <s v="1"/>
    <s v="1"/>
    <s v="1"/>
    <m/>
    <m/>
    <m/>
    <m/>
    <m/>
    <m/>
    <m/>
    <m/>
    <m/>
    <m/>
    <m/>
    <m/>
    <m/>
    <m/>
  </r>
  <r>
    <n v="743"/>
    <d v="2025-03-20T00:00:00"/>
    <s v="ZBTO"/>
    <n v="9518617039"/>
    <n v="1"/>
    <s v="9518617039-1"/>
    <s v="No Priority"/>
    <x v="0"/>
    <m/>
    <x v="4"/>
    <x v="3"/>
    <n v="1000"/>
    <m/>
    <x v="1"/>
    <m/>
    <m/>
    <s v="Jharkhand"/>
    <s v="TBSPL"/>
    <s v="TBL- BARA AGRICO"/>
    <s v="Coil"/>
    <n v="942283"/>
    <s v="TATA BLUESCOPE STEEL PRIVATE LIMITE"/>
    <n v="1881969"/>
    <s v="GL C YS550 H6GL 0.45BMT(0.50TCT)X1220"/>
    <m/>
    <m/>
    <m/>
    <m/>
    <s v="Wider"/>
    <s v="B04"/>
    <s v="Y550GL"/>
    <s v="H6GL"/>
    <n v="0.45"/>
    <n v="1220"/>
    <n v="0"/>
    <n v="252"/>
    <n v="0"/>
    <n v="252"/>
    <n v="252"/>
    <n v="0"/>
    <n v="252"/>
    <n v="0"/>
    <n v="0"/>
    <n v="0"/>
    <n v="0"/>
    <n v="0"/>
    <n v="0"/>
    <n v="0"/>
    <n v="0"/>
    <n v="0"/>
    <n v="0"/>
    <n v="0"/>
    <n v="0"/>
    <n v="0"/>
    <n v="0"/>
    <n v="0"/>
    <n v="0"/>
    <n v="0"/>
    <n v="0"/>
    <n v="0"/>
    <n v="0"/>
    <n v="0"/>
    <n v="252"/>
    <n v="252"/>
    <m/>
    <n v="0"/>
    <n v="252"/>
    <n v="0"/>
    <n v="0"/>
    <n v="252"/>
    <n v="0"/>
    <n v="0"/>
    <n v="0"/>
    <n v="0"/>
    <n v="0"/>
    <n v="0"/>
    <n v="0"/>
    <n v="0"/>
    <n v="252"/>
    <n v="0"/>
    <n v="0"/>
    <n v="0"/>
    <n v="0"/>
    <n v="0"/>
    <n v="0"/>
    <n v="0"/>
    <m/>
    <m/>
    <m/>
    <m/>
    <m/>
    <m/>
    <m/>
    <m/>
    <s v="1"/>
    <s v="1"/>
    <s v="0"/>
    <s v="1"/>
    <s v="1"/>
    <m/>
    <m/>
    <m/>
    <m/>
    <m/>
    <m/>
    <m/>
    <m/>
    <m/>
    <m/>
    <m/>
    <m/>
    <m/>
    <m/>
  </r>
  <r>
    <n v="743"/>
    <d v="2025-03-20T00:00:00"/>
    <s v="ZBTO"/>
    <n v="9518617039"/>
    <n v="4"/>
    <s v="9518617039-4"/>
    <s v="Stocks"/>
    <x v="0"/>
    <m/>
    <x v="4"/>
    <x v="3"/>
    <n v="1000"/>
    <m/>
    <x v="1"/>
    <m/>
    <m/>
    <s v="Jharkhand"/>
    <s v="TBSPL"/>
    <s v="TBL- BARA AGRICO"/>
    <s v="Coil"/>
    <n v="942283"/>
    <s v="TATA BLUESCOPE STEEL PRIVATE LIMITE"/>
    <n v="1882004"/>
    <s v="GL C YS550 H6GL 0.55BMT(0.60TCT)X1220"/>
    <m/>
    <m/>
    <m/>
    <m/>
    <s v="Wider"/>
    <s v="B04"/>
    <s v="Y550GL"/>
    <s v="H6GL"/>
    <n v="0.55000000000000004"/>
    <n v="1220"/>
    <n v="0"/>
    <n v="112"/>
    <n v="0"/>
    <n v="112"/>
    <n v="-1.53"/>
    <n v="0"/>
    <n v="3.36"/>
    <n v="0"/>
    <n v="0"/>
    <n v="0"/>
    <n v="0"/>
    <n v="0"/>
    <n v="0"/>
    <n v="0"/>
    <n v="0"/>
    <n v="0"/>
    <n v="0"/>
    <n v="0"/>
    <n v="0"/>
    <n v="0"/>
    <n v="0"/>
    <n v="0"/>
    <n v="0"/>
    <n v="0"/>
    <n v="0"/>
    <n v="0"/>
    <n v="0"/>
    <n v="0"/>
    <n v="0"/>
    <n v="0"/>
    <m/>
    <n v="71.67"/>
    <n v="0"/>
    <n v="0"/>
    <n v="0"/>
    <n v="0"/>
    <n v="0"/>
    <n v="0"/>
    <n v="0"/>
    <n v="0"/>
    <n v="0"/>
    <n v="0"/>
    <n v="0"/>
    <n v="0"/>
    <n v="71.67"/>
    <n v="0"/>
    <n v="0"/>
    <n v="0"/>
    <n v="0"/>
    <n v="0"/>
    <n v="0"/>
    <n v="0"/>
    <m/>
    <m/>
    <m/>
    <m/>
    <m/>
    <m/>
    <m/>
    <m/>
    <s v="1"/>
    <s v="1"/>
    <s v="1"/>
    <s v="1"/>
    <s v="1"/>
    <m/>
    <m/>
    <m/>
    <m/>
    <m/>
    <m/>
    <m/>
    <m/>
    <m/>
    <m/>
    <m/>
    <m/>
    <m/>
    <m/>
  </r>
  <r>
    <n v="742"/>
    <d v="2025-03-14T00:00:00"/>
    <s v="ZBTF"/>
    <n v="4000500995"/>
    <n v="4"/>
    <s v="4000500995-4"/>
    <s v="Stocks"/>
    <x v="0"/>
    <m/>
    <x v="0"/>
    <x v="6"/>
    <n v="2000"/>
    <m/>
    <x v="1"/>
    <m/>
    <m/>
    <e v="#N/A"/>
    <s v="South"/>
    <s v="YESHWANTHPURA"/>
    <s v="Coil"/>
    <n v="600103"/>
    <s v="TATA STEEL LIMITED"/>
    <n v="1250221"/>
    <s v="HR COILS-PO IS 1079 HR2 2.50X1250"/>
    <m/>
    <m/>
    <m/>
    <m/>
    <s v="Wider"/>
    <n v="768"/>
    <s v="THR099"/>
    <s v="HR99"/>
    <n v="2.5"/>
    <n v="1250"/>
    <n v="0"/>
    <n v="200"/>
    <n v="123.21"/>
    <n v="76.790000000000006"/>
    <n v="76.790000000000006"/>
    <n v="6.7900000000000063"/>
    <n v="3.5649999999999999"/>
    <n v="0"/>
    <n v="0"/>
    <n v="0"/>
    <n v="0"/>
    <n v="0"/>
    <n v="0"/>
    <n v="0"/>
    <n v="0"/>
    <n v="0"/>
    <n v="0"/>
    <n v="0"/>
    <n v="0"/>
    <n v="0"/>
    <n v="0"/>
    <n v="0"/>
    <n v="0"/>
    <n v="0"/>
    <n v="0"/>
    <n v="0"/>
    <n v="0"/>
    <n v="0"/>
    <n v="70"/>
    <n v="70"/>
    <m/>
    <n v="48.864999999999995"/>
    <n v="0"/>
    <n v="0"/>
    <n v="0"/>
    <n v="0"/>
    <n v="0"/>
    <n v="0"/>
    <n v="0"/>
    <n v="0"/>
    <n v="0"/>
    <n v="0"/>
    <n v="0"/>
    <n v="0"/>
    <n v="48.864999999999995"/>
    <n v="0"/>
    <n v="0"/>
    <n v="0"/>
    <n v="0"/>
    <n v="0"/>
    <n v="0"/>
    <n v="0"/>
    <m/>
    <m/>
    <m/>
    <m/>
    <m/>
    <m/>
    <m/>
    <m/>
    <s v="1"/>
    <s v="1"/>
    <s v="1"/>
    <s v="1"/>
    <s v="1"/>
    <m/>
    <m/>
    <m/>
    <m/>
    <m/>
    <m/>
    <m/>
    <m/>
    <m/>
    <m/>
    <m/>
    <m/>
    <m/>
    <m/>
  </r>
  <r>
    <n v="742"/>
    <d v="2025-03-25T00:00:00"/>
    <s v="ZBTO"/>
    <n v="9518631417"/>
    <n v="4"/>
    <s v="9518631417-4"/>
    <s v="Apr'25 additional"/>
    <x v="0"/>
    <m/>
    <x v="0"/>
    <x v="0"/>
    <n v="2000"/>
    <m/>
    <x v="1"/>
    <m/>
    <m/>
    <s v="Karnataka"/>
    <s v="South"/>
    <s v="BANGALORE CITY"/>
    <s v="Coil"/>
    <n v="932179"/>
    <s v="DURGA STEEL INDUSTRIES"/>
    <n v="1210086"/>
    <s v="HR COILS-PO IS 1079 HR2 4X1250"/>
    <m/>
    <m/>
    <m/>
    <m/>
    <s v="Wider"/>
    <n v="768"/>
    <s v="THR099"/>
    <s v="HR99"/>
    <n v="4"/>
    <n v="1250"/>
    <n v="0"/>
    <n v="50"/>
    <n v="0"/>
    <n v="50"/>
    <n v="50"/>
    <n v="1.0300000000000011"/>
    <n v="50"/>
    <n v="0"/>
    <n v="0"/>
    <n v="48.97"/>
    <n v="0"/>
    <n v="0"/>
    <n v="0"/>
    <n v="0"/>
    <n v="0"/>
    <n v="0"/>
    <n v="0"/>
    <n v="0"/>
    <n v="0"/>
    <n v="0"/>
    <n v="0"/>
    <n v="0"/>
    <n v="0"/>
    <n v="0"/>
    <n v="0"/>
    <n v="0"/>
    <n v="48.97"/>
    <n v="48.97"/>
    <n v="0"/>
    <n v="48.97"/>
    <m/>
    <n v="0"/>
    <n v="50"/>
    <n v="0"/>
    <n v="50"/>
    <n v="0"/>
    <n v="0"/>
    <n v="0"/>
    <n v="50"/>
    <n v="0"/>
    <n v="50"/>
    <n v="0"/>
    <n v="0"/>
    <n v="0"/>
    <n v="0"/>
    <n v="0"/>
    <n v="0"/>
    <n v="0"/>
    <n v="0"/>
    <n v="0"/>
    <n v="0"/>
    <n v="0"/>
    <m/>
    <m/>
    <m/>
    <m/>
    <m/>
    <m/>
    <m/>
    <m/>
    <s v="1"/>
    <s v="0"/>
    <s v="1"/>
    <s v="1"/>
    <s v="1"/>
    <m/>
    <m/>
    <m/>
    <m/>
    <m/>
    <m/>
    <m/>
    <m/>
    <m/>
    <m/>
    <m/>
    <m/>
    <m/>
    <m/>
  </r>
  <r>
    <n v="744"/>
    <d v="2025-03-29T00:00:00"/>
    <s v="ZBTO"/>
    <n v="9518651680"/>
    <n v="3"/>
    <s v="9518651680-3"/>
    <s v="Stocks"/>
    <x v="0"/>
    <m/>
    <x v="2"/>
    <x v="3"/>
    <n v="1000"/>
    <m/>
    <x v="1"/>
    <m/>
    <m/>
    <s v="Jharkhand"/>
    <s v="TBSPL"/>
    <s v="GAMHARIA"/>
    <s v="Coil"/>
    <n v="940016"/>
    <s v="TATA BLUESCOPE STEEL PVT LTD."/>
    <n v="3900141"/>
    <s v="PPGL C Y550 ISC6 0.43BMT(0.48TPT)X1220"/>
    <s v="aZ70"/>
    <m/>
    <m/>
    <m/>
    <s v="Wider"/>
    <s v="B18"/>
    <s v="Y550PL"/>
    <s v="ISC6"/>
    <n v="0.43"/>
    <n v="1220"/>
    <n v="0"/>
    <n v="28"/>
    <n v="0"/>
    <n v="28"/>
    <n v="28"/>
    <n v="22.625"/>
    <n v="10.42"/>
    <n v="0"/>
    <n v="0"/>
    <n v="0"/>
    <n v="0"/>
    <n v="0"/>
    <n v="0"/>
    <n v="0"/>
    <n v="5.375"/>
    <n v="0"/>
    <n v="0"/>
    <n v="0"/>
    <n v="0"/>
    <n v="0"/>
    <n v="0"/>
    <n v="0"/>
    <n v="0"/>
    <n v="0"/>
    <n v="0"/>
    <n v="0"/>
    <n v="5.375"/>
    <n v="5.375"/>
    <n v="0"/>
    <n v="5.375"/>
    <m/>
    <n v="17.559999999999999"/>
    <n v="10.42"/>
    <n v="0"/>
    <n v="0"/>
    <n v="10.42"/>
    <n v="0"/>
    <n v="0"/>
    <n v="0"/>
    <n v="0"/>
    <n v="0"/>
    <n v="0"/>
    <n v="0"/>
    <n v="0"/>
    <n v="27.979999999999997"/>
    <n v="0"/>
    <n v="0"/>
    <n v="0"/>
    <n v="0"/>
    <n v="0"/>
    <n v="0"/>
    <n v="0"/>
    <m/>
    <m/>
    <m/>
    <m/>
    <m/>
    <m/>
    <m/>
    <m/>
    <s v="1"/>
    <s v="1"/>
    <s v="0"/>
    <s v="1"/>
    <s v="1"/>
    <m/>
    <m/>
    <m/>
    <m/>
    <m/>
    <m/>
    <m/>
    <m/>
    <m/>
    <m/>
    <m/>
    <m/>
    <m/>
    <m/>
  </r>
  <r>
    <n v="744"/>
    <d v="2025-03-13T00:00:00"/>
    <s v="ZBTO"/>
    <n v="9518598830"/>
    <n v="1"/>
    <s v="9518598830-1"/>
    <s v="Stocks"/>
    <x v="0"/>
    <m/>
    <x v="2"/>
    <x v="3"/>
    <n v="1000"/>
    <m/>
    <x v="1"/>
    <m/>
    <m/>
    <s v="Jharkhand"/>
    <s v="TBSPL"/>
    <s v="GAMHARIA"/>
    <s v="Coil"/>
    <n v="940016"/>
    <s v="TATA BLUESCOPE STEEL PVT LTD."/>
    <n v="3797658"/>
    <s v="PPGL C Y550 ISC6 0.40BMT(0.45TPT)X1220"/>
    <s v="aZ70"/>
    <m/>
    <m/>
    <m/>
    <s v="Wider"/>
    <s v="B18"/>
    <s v="Y550PL"/>
    <s v="ISC6"/>
    <n v="0.4"/>
    <n v="1220"/>
    <n v="0"/>
    <n v="112"/>
    <n v="71.814999999999998"/>
    <n v="40.185000000000002"/>
    <n v="12.455"/>
    <n v="-2.1599999999999966"/>
    <n v="33.984999999999999"/>
    <n v="0"/>
    <n v="28.81"/>
    <n v="0"/>
    <n v="0"/>
    <n v="0"/>
    <n v="0"/>
    <n v="0"/>
    <n v="13.535"/>
    <n v="0"/>
    <n v="0"/>
    <n v="0"/>
    <n v="0"/>
    <n v="0"/>
    <n v="0"/>
    <n v="0"/>
    <n v="0"/>
    <n v="0"/>
    <n v="0"/>
    <n v="0"/>
    <n v="42.344999999999999"/>
    <n v="42.344999999999999"/>
    <n v="0"/>
    <n v="42.344999999999999"/>
    <m/>
    <n v="2.6549999999999998"/>
    <n v="33.984999999999999"/>
    <n v="0"/>
    <n v="33.984999999999999"/>
    <n v="0"/>
    <n v="0"/>
    <n v="0"/>
    <n v="33.984999999999999"/>
    <n v="0"/>
    <n v="33.984999999999999"/>
    <n v="0"/>
    <n v="0"/>
    <n v="0"/>
    <n v="2.6550000000000011"/>
    <n v="59.5"/>
    <n v="0"/>
    <n v="33.984999999999999"/>
    <n v="0"/>
    <n v="0"/>
    <n v="0"/>
    <n v="25.515000000000001"/>
    <m/>
    <m/>
    <m/>
    <m/>
    <m/>
    <m/>
    <m/>
    <m/>
    <s v="1"/>
    <s v="1"/>
    <s v="1"/>
    <s v="1"/>
    <s v="1"/>
    <m/>
    <m/>
    <m/>
    <m/>
    <m/>
    <m/>
    <m/>
    <m/>
    <m/>
    <m/>
    <m/>
    <m/>
    <m/>
    <m/>
  </r>
  <r>
    <n v="744"/>
    <d v="2025-03-29T00:00:00"/>
    <s v="ZBTO"/>
    <n v="9518652226"/>
    <n v="1"/>
    <s v="9518652226-1"/>
    <s v="Stocks"/>
    <x v="0"/>
    <m/>
    <x v="2"/>
    <x v="3"/>
    <n v="1000"/>
    <m/>
    <x v="1"/>
    <m/>
    <m/>
    <s v="Jharkhand"/>
    <s v="TBSPL"/>
    <s v="GAMHARIA"/>
    <s v="Coil"/>
    <n v="940016"/>
    <s v="TATA BLUESCOPE STEEL PVT LTD."/>
    <n v="3522241"/>
    <s v="PPGL C Y550 D0C7 0.43BMT(0.47TPT)X1220"/>
    <s v="aZ70"/>
    <m/>
    <m/>
    <m/>
    <s v="Wider"/>
    <s v="B18"/>
    <s v="Y550PL"/>
    <s v="D0C7"/>
    <n v="0.43"/>
    <n v="1220"/>
    <n v="0"/>
    <n v="55.99"/>
    <n v="54.505000000000003"/>
    <n v="1.4850000000000001"/>
    <n v="-2.82"/>
    <n v="0"/>
    <n v="-3.55"/>
    <n v="0"/>
    <n v="0"/>
    <n v="0"/>
    <n v="0"/>
    <n v="0"/>
    <n v="0"/>
    <n v="0"/>
    <n v="0"/>
    <n v="0"/>
    <n v="0"/>
    <n v="0"/>
    <n v="0"/>
    <n v="0"/>
    <n v="0"/>
    <n v="0"/>
    <n v="0"/>
    <n v="0"/>
    <n v="0"/>
    <n v="0"/>
    <n v="0"/>
    <n v="0"/>
    <n v="0"/>
    <n v="0"/>
    <m/>
    <n v="28.8"/>
    <n v="0"/>
    <n v="0"/>
    <n v="0"/>
    <n v="0"/>
    <n v="0"/>
    <n v="0"/>
    <n v="0"/>
    <n v="0"/>
    <n v="0"/>
    <n v="0"/>
    <n v="0"/>
    <n v="0"/>
    <n v="28.8"/>
    <n v="49.394999999999996"/>
    <n v="0"/>
    <n v="0"/>
    <n v="0"/>
    <n v="0"/>
    <n v="0"/>
    <n v="49.394999999999996"/>
    <m/>
    <m/>
    <m/>
    <m/>
    <m/>
    <m/>
    <m/>
    <m/>
    <s v="1"/>
    <s v="1"/>
    <s v="1"/>
    <s v="1"/>
    <s v="1"/>
    <m/>
    <m/>
    <m/>
    <m/>
    <m/>
    <m/>
    <m/>
    <m/>
    <m/>
    <m/>
    <m/>
    <m/>
    <m/>
    <m/>
  </r>
  <r>
    <n v="744"/>
    <d v="2025-03-26T00:00:00"/>
    <s v="ZBTO"/>
    <n v="9518635916"/>
    <n v="2"/>
    <s v="9518635916-2"/>
    <s v="Stocks"/>
    <x v="0"/>
    <m/>
    <x v="2"/>
    <x v="3"/>
    <n v="1000"/>
    <m/>
    <x v="1"/>
    <m/>
    <m/>
    <s v="Jharkhand"/>
    <s v="TBSPL"/>
    <s v="GAMHARIA"/>
    <s v="Coil"/>
    <n v="940016"/>
    <s v="TATA BLUESCOPE STEEL PVT LTD."/>
    <n v="3522241"/>
    <s v="PPGL C Y550 D0C7 0.43BMT(0.47TPT)X1220"/>
    <s v="aZ70"/>
    <m/>
    <m/>
    <m/>
    <s v="Wider"/>
    <s v="B18"/>
    <s v="Y550PL"/>
    <s v="D0C7"/>
    <n v="0.43"/>
    <n v="1220"/>
    <n v="0"/>
    <n v="280"/>
    <n v="204.54499999999999"/>
    <n v="75.454999999999998"/>
    <n v="-1.786"/>
    <n v="0"/>
    <n v="60.405000000000001"/>
    <n v="0"/>
    <n v="0"/>
    <n v="0"/>
    <n v="0"/>
    <n v="0"/>
    <n v="0"/>
    <n v="0"/>
    <n v="0"/>
    <n v="0"/>
    <n v="0"/>
    <n v="0"/>
    <n v="0"/>
    <n v="0"/>
    <n v="0"/>
    <n v="0"/>
    <n v="26.04"/>
    <n v="0"/>
    <n v="0"/>
    <n v="0"/>
    <n v="26.04"/>
    <n v="26.04"/>
    <n v="0"/>
    <n v="26.04"/>
    <m/>
    <n v="7.5549999999999997"/>
    <n v="60.405000000000001"/>
    <n v="0"/>
    <n v="0"/>
    <n v="60.405000000000001"/>
    <n v="0"/>
    <n v="0"/>
    <n v="0"/>
    <n v="0"/>
    <n v="0"/>
    <n v="0"/>
    <n v="0"/>
    <n v="0"/>
    <n v="67.960000000000008"/>
    <n v="0"/>
    <n v="0"/>
    <n v="0"/>
    <n v="0"/>
    <n v="0"/>
    <n v="0"/>
    <n v="0"/>
    <m/>
    <m/>
    <m/>
    <m/>
    <m/>
    <m/>
    <m/>
    <m/>
    <s v="1"/>
    <s v="1"/>
    <s v="0"/>
    <s v="1"/>
    <s v="1"/>
    <m/>
    <m/>
    <m/>
    <m/>
    <m/>
    <m/>
    <m/>
    <m/>
    <m/>
    <m/>
    <m/>
    <m/>
    <m/>
    <m/>
  </r>
  <r>
    <n v="744"/>
    <d v="2025-03-29T00:00:00"/>
    <s v="ZBTO"/>
    <n v="9518651680"/>
    <n v="4"/>
    <s v="9518651680-4"/>
    <s v="No Priority"/>
    <x v="0"/>
    <m/>
    <x v="2"/>
    <x v="3"/>
    <n v="1000"/>
    <m/>
    <x v="1"/>
    <m/>
    <m/>
    <s v="Jharkhand"/>
    <s v="TBSPL"/>
    <s v="GAMHARIA"/>
    <s v="Coil"/>
    <n v="940016"/>
    <s v="TATA BLUESCOPE STEEL PVT LTD."/>
    <n v="3797658"/>
    <s v="PPGL C Y550 ISC6 0.40BMT(0.45TPT)X1220"/>
    <s v="aZ70"/>
    <m/>
    <m/>
    <m/>
    <s v="Wider"/>
    <s v="B18"/>
    <s v="Y550PL"/>
    <s v="ISC6"/>
    <n v="0.4"/>
    <n v="1220"/>
    <n v="0"/>
    <n v="28"/>
    <n v="0"/>
    <n v="28"/>
    <n v="-0.1"/>
    <n v="0"/>
    <n v="28"/>
    <n v="0"/>
    <n v="0"/>
    <n v="0"/>
    <n v="0"/>
    <n v="0"/>
    <n v="0"/>
    <n v="0"/>
    <n v="0"/>
    <n v="0"/>
    <n v="0"/>
    <n v="0"/>
    <n v="0"/>
    <n v="0"/>
    <n v="0"/>
    <n v="0"/>
    <n v="0"/>
    <n v="0"/>
    <n v="0"/>
    <n v="0"/>
    <n v="0"/>
    <n v="0"/>
    <n v="0"/>
    <n v="0"/>
    <m/>
    <n v="0"/>
    <n v="28"/>
    <n v="0"/>
    <n v="0"/>
    <n v="28"/>
    <n v="0"/>
    <n v="0"/>
    <n v="0"/>
    <n v="0"/>
    <n v="0"/>
    <n v="0"/>
    <n v="0"/>
    <n v="0"/>
    <n v="28"/>
    <n v="0"/>
    <n v="0"/>
    <n v="0"/>
    <n v="0"/>
    <n v="0"/>
    <n v="0"/>
    <n v="0"/>
    <m/>
    <m/>
    <m/>
    <m/>
    <m/>
    <m/>
    <m/>
    <m/>
    <s v="1"/>
    <s v="1"/>
    <s v="0"/>
    <s v="1"/>
    <s v="1"/>
    <m/>
    <m/>
    <m/>
    <m/>
    <m/>
    <m/>
    <m/>
    <m/>
    <m/>
    <m/>
    <m/>
    <m/>
    <m/>
    <m/>
  </r>
  <r>
    <n v="744"/>
    <d v="2025-03-29T00:00:00"/>
    <s v="ZBTO"/>
    <n v="9518651680"/>
    <n v="5"/>
    <s v="9518651680-5"/>
    <s v="Stocks"/>
    <x v="0"/>
    <m/>
    <x v="2"/>
    <x v="3"/>
    <n v="1000"/>
    <m/>
    <x v="1"/>
    <m/>
    <m/>
    <s v="Jharkhand"/>
    <s v="TBSPL"/>
    <s v="GAMHARIA"/>
    <s v="Coil"/>
    <n v="940016"/>
    <s v="TATA BLUESCOPE STEEL PVT LTD."/>
    <n v="3879501"/>
    <s v="PPGL C Y550 ISC6 0.45BMT(0.50TPT)X1220"/>
    <s v="aZ70"/>
    <m/>
    <m/>
    <m/>
    <s v="Wider"/>
    <s v="B18"/>
    <s v="Y550PL"/>
    <s v="ISC6"/>
    <n v="0.45"/>
    <n v="1220"/>
    <n v="0"/>
    <n v="84"/>
    <n v="0"/>
    <n v="84"/>
    <n v="-2.1800000000000002"/>
    <n v="0"/>
    <n v="0.32500000000000001"/>
    <n v="0"/>
    <n v="0"/>
    <n v="0"/>
    <n v="0"/>
    <n v="0"/>
    <n v="0"/>
    <n v="0"/>
    <n v="0"/>
    <n v="0"/>
    <n v="0"/>
    <n v="0"/>
    <n v="0"/>
    <n v="0"/>
    <n v="0"/>
    <n v="0"/>
    <n v="0"/>
    <n v="0"/>
    <n v="0"/>
    <n v="0"/>
    <n v="0"/>
    <n v="0"/>
    <n v="0"/>
    <n v="0"/>
    <m/>
    <n v="8.1849999999999987"/>
    <n v="0"/>
    <n v="0"/>
    <n v="0"/>
    <n v="0"/>
    <n v="0"/>
    <n v="0"/>
    <n v="0"/>
    <n v="0"/>
    <n v="0"/>
    <n v="0"/>
    <n v="0"/>
    <n v="0"/>
    <n v="8.1849999999999987"/>
    <n v="0"/>
    <n v="0"/>
    <n v="0"/>
    <n v="0"/>
    <n v="0"/>
    <n v="0"/>
    <n v="0"/>
    <m/>
    <m/>
    <m/>
    <m/>
    <m/>
    <m/>
    <m/>
    <m/>
    <s v="1"/>
    <s v="1"/>
    <s v="1"/>
    <s v="1"/>
    <s v="1"/>
    <m/>
    <m/>
    <m/>
    <m/>
    <m/>
    <m/>
    <m/>
    <m/>
    <m/>
    <m/>
    <m/>
    <m/>
    <m/>
    <m/>
  </r>
  <r>
    <n v="744"/>
    <d v="2025-03-26T00:00:00"/>
    <s v="ZBTO"/>
    <n v="9518635916"/>
    <n v="4"/>
    <s v="9518635916-4"/>
    <s v="Stocks"/>
    <x v="0"/>
    <m/>
    <x v="2"/>
    <x v="3"/>
    <n v="1000"/>
    <m/>
    <x v="1"/>
    <m/>
    <m/>
    <s v="Jharkhand"/>
    <s v="TBSPL"/>
    <s v="GAMHARIA"/>
    <s v="Coil"/>
    <n v="940016"/>
    <s v="TATA BLUESCOPE STEEL PVT LTD."/>
    <n v="3522241"/>
    <s v="PPGL C Y550 D0C7 0.43BMT(0.47TPT)X1220"/>
    <s v="aZ70"/>
    <m/>
    <m/>
    <m/>
    <s v="Wider"/>
    <s v="B18"/>
    <s v="Y550PL"/>
    <s v="D0C7"/>
    <n v="0.43"/>
    <n v="1220"/>
    <n v="0"/>
    <n v="56"/>
    <n v="27.02"/>
    <n v="28.98"/>
    <n v="28.98"/>
    <n v="24.490000000000002"/>
    <n v="10.28"/>
    <n v="0"/>
    <n v="0"/>
    <n v="0"/>
    <n v="0"/>
    <n v="0"/>
    <n v="0"/>
    <n v="0"/>
    <n v="0"/>
    <n v="0"/>
    <n v="0"/>
    <n v="0"/>
    <n v="0"/>
    <n v="0"/>
    <n v="0"/>
    <n v="0"/>
    <n v="0"/>
    <n v="0"/>
    <n v="0"/>
    <n v="4.49"/>
    <n v="4.49"/>
    <n v="4.49"/>
    <n v="0"/>
    <n v="4.49"/>
    <m/>
    <n v="14.484999999999999"/>
    <n v="0"/>
    <n v="0"/>
    <n v="0"/>
    <n v="0"/>
    <n v="0"/>
    <n v="0"/>
    <n v="0"/>
    <n v="0"/>
    <n v="0"/>
    <n v="0"/>
    <n v="0"/>
    <n v="0"/>
    <n v="14.484999999999999"/>
    <n v="0"/>
    <n v="0"/>
    <n v="0"/>
    <n v="0"/>
    <n v="0"/>
    <n v="0"/>
    <n v="0"/>
    <m/>
    <m/>
    <m/>
    <m/>
    <m/>
    <m/>
    <m/>
    <m/>
    <s v="1"/>
    <s v="1"/>
    <s v="1"/>
    <s v="1"/>
    <s v="1"/>
    <m/>
    <m/>
    <m/>
    <m/>
    <m/>
    <m/>
    <m/>
    <m/>
    <m/>
    <m/>
    <m/>
    <m/>
    <m/>
    <m/>
  </r>
  <r>
    <n v="744"/>
    <d v="2025-03-22T00:00:00"/>
    <s v="ZBTO"/>
    <n v="9518624252"/>
    <n v="11"/>
    <s v="9518624252-11"/>
    <s v="Stocks"/>
    <x v="0"/>
    <m/>
    <x v="2"/>
    <x v="3"/>
    <n v="1000"/>
    <m/>
    <x v="1"/>
    <m/>
    <m/>
    <s v="Jharkhand"/>
    <s v="TBSPL"/>
    <s v="TBL- BARA AGRICO"/>
    <s v="Coil"/>
    <n v="941597"/>
    <s v="TATA BLUESCOPE STEEL PRIVATE LIMITE"/>
    <n v="3940122"/>
    <s v="PPGL C HARD Y550PL D0C9 0.470(TPT)X1220"/>
    <s v="AZ150"/>
    <m/>
    <m/>
    <m/>
    <s v="Wider"/>
    <s v="B18"/>
    <s v="Y550PL"/>
    <s v="D0C9"/>
    <n v="0.47"/>
    <n v="1220"/>
    <n v="0"/>
    <n v="28"/>
    <n v="0"/>
    <n v="28"/>
    <n v="0.46500000000000002"/>
    <n v="0"/>
    <n v="2.27"/>
    <n v="0"/>
    <n v="0"/>
    <n v="0"/>
    <n v="0"/>
    <n v="0"/>
    <n v="0"/>
    <n v="0"/>
    <n v="0"/>
    <n v="0"/>
    <n v="0"/>
    <n v="0"/>
    <n v="0"/>
    <n v="0"/>
    <n v="0"/>
    <n v="0"/>
    <n v="0"/>
    <n v="0"/>
    <n v="0"/>
    <n v="0"/>
    <n v="0"/>
    <n v="0"/>
    <n v="0"/>
    <n v="0"/>
    <m/>
    <n v="2.76"/>
    <n v="0"/>
    <n v="0"/>
    <n v="0"/>
    <n v="0"/>
    <n v="0"/>
    <n v="0"/>
    <n v="0"/>
    <n v="0"/>
    <n v="0"/>
    <n v="0"/>
    <n v="0"/>
    <n v="0"/>
    <n v="2.76"/>
    <n v="0"/>
    <n v="0"/>
    <n v="0"/>
    <n v="0"/>
    <n v="0"/>
    <n v="0"/>
    <n v="0"/>
    <m/>
    <m/>
    <m/>
    <m/>
    <m/>
    <m/>
    <m/>
    <m/>
    <s v="1"/>
    <s v="1"/>
    <s v="1"/>
    <s v="1"/>
    <s v="1"/>
    <m/>
    <m/>
    <m/>
    <m/>
    <m/>
    <m/>
    <m/>
    <m/>
    <m/>
    <m/>
    <m/>
    <m/>
    <m/>
    <m/>
  </r>
  <r>
    <n v="744"/>
    <d v="2025-03-26T00:00:00"/>
    <s v="ZBTO"/>
    <n v="9518635916"/>
    <n v="5"/>
    <s v="9518635916-5"/>
    <s v="No Priority"/>
    <x v="0"/>
    <m/>
    <x v="2"/>
    <x v="3"/>
    <n v="1000"/>
    <m/>
    <x v="0"/>
    <m/>
    <m/>
    <s v="Jharkhand"/>
    <s v="TBSPL"/>
    <s v="GAMHARIA"/>
    <s v="Coil"/>
    <n v="940016"/>
    <s v="TATA BLUESCOPE STEEL PVT LTD."/>
    <n v="3522241"/>
    <s v="PPGL C Y550 D0C7 0.43BMT(0.47TPT)X1220"/>
    <s v="aZ70"/>
    <m/>
    <m/>
    <m/>
    <s v="Wider"/>
    <s v="B18"/>
    <s v="Y550PL"/>
    <s v="D0C7"/>
    <n v="0.43"/>
    <n v="1220"/>
    <n v="0"/>
    <n v="28"/>
    <n v="0"/>
    <n v="28"/>
    <n v="0.45"/>
    <n v="0"/>
    <n v="25.94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13T00:00:00"/>
    <s v="ZBTO"/>
    <n v="9518598962"/>
    <n v="2"/>
    <s v="9518598962-2"/>
    <s v="Apr'25 additional"/>
    <x v="0"/>
    <m/>
    <x v="2"/>
    <x v="3"/>
    <n v="1000"/>
    <m/>
    <x v="1"/>
    <m/>
    <m/>
    <s v="Jharkhand"/>
    <s v="TBSPL"/>
    <s v="TBL- BARA AGRICO"/>
    <s v="Coil"/>
    <n v="941597"/>
    <s v="TATA BLUESCOPE STEEL PRIVATE LIMITE"/>
    <n v="3902332"/>
    <s v="PPGL C HARD Y550PL D0C9 0.50(TPT)X1220"/>
    <s v="AZ150"/>
    <m/>
    <m/>
    <m/>
    <s v="Wider"/>
    <s v="B18"/>
    <s v="Y550PL"/>
    <s v="D0C9"/>
    <n v="0.5"/>
    <n v="1220"/>
    <n v="0"/>
    <n v="84"/>
    <n v="0"/>
    <n v="84"/>
    <n v="84"/>
    <n v="84"/>
    <n v="8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9T00:00:00"/>
    <s v="ZBTO"/>
    <n v="9518651680"/>
    <n v="7"/>
    <s v="9518651680-7"/>
    <s v="Apr'25 additional"/>
    <x v="0"/>
    <m/>
    <x v="2"/>
    <x v="3"/>
    <n v="1000"/>
    <m/>
    <x v="1"/>
    <m/>
    <m/>
    <s v="Jharkhand"/>
    <s v="TBSPL"/>
    <s v="GAMHARIA"/>
    <s v="Coil"/>
    <n v="940016"/>
    <s v="TATA BLUESCOPE STEEL PVT LTD."/>
    <n v="3879501"/>
    <s v="PPGL C Y550 ISC6 0.45BMT(0.50TPT)X1220"/>
    <s v="aZ70"/>
    <m/>
    <m/>
    <m/>
    <s v="Wider"/>
    <s v="B18"/>
    <s v="Y550PL"/>
    <s v="ISC6"/>
    <n v="0.45"/>
    <n v="1220"/>
    <n v="0"/>
    <n v="28"/>
    <n v="0"/>
    <n v="28"/>
    <n v="28"/>
    <n v="28"/>
    <n v="28"/>
    <n v="0"/>
    <n v="0"/>
    <n v="0"/>
    <n v="0"/>
    <n v="0"/>
    <n v="0"/>
    <n v="0"/>
    <n v="0"/>
    <n v="0"/>
    <n v="0"/>
    <n v="0"/>
    <n v="0"/>
    <n v="0"/>
    <n v="0"/>
    <n v="0"/>
    <n v="0"/>
    <n v="0"/>
    <n v="0"/>
    <n v="0"/>
    <n v="0"/>
    <n v="0"/>
    <n v="0"/>
    <n v="0"/>
    <m/>
    <n v="0"/>
    <n v="28"/>
    <n v="0"/>
    <n v="0"/>
    <n v="28"/>
    <n v="0"/>
    <n v="0"/>
    <n v="0"/>
    <n v="0"/>
    <n v="0"/>
    <n v="0"/>
    <n v="0"/>
    <n v="0"/>
    <n v="28"/>
    <n v="0"/>
    <n v="0"/>
    <n v="0"/>
    <n v="0"/>
    <n v="0"/>
    <n v="0"/>
    <n v="0"/>
    <m/>
    <m/>
    <m/>
    <m/>
    <m/>
    <m/>
    <m/>
    <m/>
    <s v="1"/>
    <s v="1"/>
    <s v="0"/>
    <s v="1"/>
    <s v="1"/>
    <m/>
    <m/>
    <m/>
    <m/>
    <m/>
    <m/>
    <m/>
    <m/>
    <m/>
    <m/>
    <m/>
    <m/>
    <m/>
    <m/>
  </r>
  <r>
    <n v="744"/>
    <d v="2025-03-22T00:00:00"/>
    <s v="ZBTO"/>
    <n v="9518624252"/>
    <n v="13"/>
    <s v="9518624252-13"/>
    <s v="Apr'25 additional"/>
    <x v="0"/>
    <m/>
    <x v="2"/>
    <x v="3"/>
    <n v="1000"/>
    <m/>
    <x v="1"/>
    <m/>
    <m/>
    <s v="Jharkhand"/>
    <s v="TBSPL"/>
    <s v="TBL- BARA AGRICO"/>
    <s v="Coil"/>
    <n v="941597"/>
    <s v="TATA BLUESCOPE STEEL PRIVATE LIMITE"/>
    <n v="3940122"/>
    <s v="PPGL C HARD Y550PL D0C9 0.470(TPT)X1220"/>
    <s v="AZ150"/>
    <m/>
    <m/>
    <m/>
    <s v="Wider"/>
    <s v="B18"/>
    <s v="Y550PL"/>
    <s v="D0C9"/>
    <n v="0.47"/>
    <n v="1220"/>
    <n v="0"/>
    <n v="28"/>
    <n v="0"/>
    <n v="28"/>
    <n v="28"/>
    <n v="28"/>
    <n v="2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08T00:00:00"/>
    <s v="ZBTO"/>
    <s v="9518585087"/>
    <s v="1"/>
    <s v="9518585087-1"/>
    <s v="Apr'25 additional"/>
    <x v="0"/>
    <m/>
    <x v="2"/>
    <x v="3"/>
    <n v="1000"/>
    <m/>
    <x v="1"/>
    <m/>
    <m/>
    <s v="Tamil Nadu"/>
    <s v="TBSPL"/>
    <s v="SRIPERUMBADUR"/>
    <s v="Coil"/>
    <n v="940074"/>
    <s v="TATA BLUESCOPE STEEL PVT LTD."/>
    <n v="3960056"/>
    <s v="PPGL C HARD Y550PL DX01 0.530X1220"/>
    <m/>
    <m/>
    <m/>
    <m/>
    <s v="Wider"/>
    <s v="B18"/>
    <m/>
    <s v="DX01"/>
    <n v="0.53"/>
    <n v="1220"/>
    <n v="0"/>
    <n v="224"/>
    <n v="0"/>
    <n v="224"/>
    <n v="224"/>
    <n v="142.55500000000001"/>
    <n v="87.52"/>
    <n v="0"/>
    <n v="28.72"/>
    <n v="0"/>
    <n v="0"/>
    <n v="0"/>
    <n v="0"/>
    <n v="0"/>
    <n v="0"/>
    <n v="0"/>
    <n v="0"/>
    <n v="0"/>
    <n v="0"/>
    <n v="0"/>
    <n v="0"/>
    <n v="0"/>
    <n v="48.125"/>
    <n v="0"/>
    <n v="0"/>
    <n v="4.6000000000000005"/>
    <n v="81.444999999999993"/>
    <n v="81.444999999999993"/>
    <n v="0"/>
    <n v="81.444999999999993"/>
    <m/>
    <n v="136.47999999999999"/>
    <n v="87.52"/>
    <n v="87.52"/>
    <n v="0"/>
    <n v="0"/>
    <n v="0"/>
    <n v="0"/>
    <n v="0"/>
    <n v="0"/>
    <n v="0"/>
    <n v="0"/>
    <n v="0"/>
    <n v="0"/>
    <n v="224"/>
    <n v="0"/>
    <n v="0"/>
    <n v="0"/>
    <n v="0"/>
    <n v="0"/>
    <n v="0"/>
    <n v="0"/>
    <m/>
    <m/>
    <m/>
    <m/>
    <m/>
    <m/>
    <m/>
    <m/>
    <s v="0"/>
    <s v="1"/>
    <s v="1"/>
    <s v="1"/>
    <s v="1"/>
    <m/>
    <m/>
    <m/>
    <m/>
    <m/>
    <m/>
    <m/>
    <m/>
    <m/>
    <m/>
    <m/>
    <m/>
    <m/>
    <m/>
  </r>
  <r>
    <n v="744"/>
    <d v="2025-03-08T00:00:00"/>
    <s v="ZBTO"/>
    <s v="9518585087"/>
    <s v="3"/>
    <s v="9518585087-3"/>
    <s v="Apr'25 additional"/>
    <x v="0"/>
    <m/>
    <x v="2"/>
    <x v="3"/>
    <n v="1000"/>
    <m/>
    <x v="1"/>
    <m/>
    <m/>
    <s v="Tamil Nadu"/>
    <s v="TBSPL"/>
    <s v="SRIPERUMBADUR"/>
    <s v="Coil"/>
    <n v="940074"/>
    <s v="TATA BLUESCOPE STEEL PVT LTD."/>
    <n v="3960056"/>
    <s v="PPGL C HARD Y550PL DX01 0.530X1220"/>
    <m/>
    <m/>
    <m/>
    <m/>
    <s v="Wider"/>
    <s v="B18"/>
    <m/>
    <s v="DX01"/>
    <n v="0.53"/>
    <n v="1220"/>
    <n v="0"/>
    <n v="84"/>
    <n v="0"/>
    <n v="84"/>
    <n v="19.690000000000001"/>
    <n v="26.104999999999997"/>
    <n v="49.41"/>
    <n v="0"/>
    <n v="0"/>
    <n v="0"/>
    <n v="0"/>
    <n v="0"/>
    <n v="0"/>
    <n v="0"/>
    <n v="0"/>
    <n v="0"/>
    <n v="4.1500000000000004"/>
    <n v="0"/>
    <n v="0"/>
    <n v="0"/>
    <n v="0"/>
    <n v="0"/>
    <n v="37.090000000000003"/>
    <n v="0"/>
    <n v="16.655000000000001"/>
    <n v="0"/>
    <n v="57.895000000000003"/>
    <n v="57.895000000000003"/>
    <n v="0"/>
    <n v="57.895000000000003"/>
    <m/>
    <n v="34.58"/>
    <n v="49.41"/>
    <n v="49.41"/>
    <n v="0"/>
    <n v="0"/>
    <n v="0"/>
    <n v="0"/>
    <n v="0"/>
    <n v="0"/>
    <n v="0"/>
    <n v="0"/>
    <n v="0"/>
    <n v="0"/>
    <n v="83.99"/>
    <n v="0"/>
    <n v="0"/>
    <n v="0"/>
    <n v="0"/>
    <n v="0"/>
    <n v="0"/>
    <n v="0"/>
    <m/>
    <m/>
    <m/>
    <m/>
    <m/>
    <m/>
    <m/>
    <m/>
    <s v="0"/>
    <s v="1"/>
    <s v="1"/>
    <s v="1"/>
    <s v="1"/>
    <m/>
    <m/>
    <m/>
    <m/>
    <m/>
    <m/>
    <m/>
    <m/>
    <m/>
    <m/>
    <m/>
    <m/>
    <m/>
    <m/>
  </r>
  <r>
    <n v="744"/>
    <d v="2025-03-21T00:00:00"/>
    <s v="ZBTO"/>
    <s v="9518621067"/>
    <s v="1"/>
    <s v="9518621067-1"/>
    <s v="Stocks"/>
    <x v="0"/>
    <m/>
    <x v="2"/>
    <x v="3"/>
    <n v="1000"/>
    <m/>
    <x v="1"/>
    <m/>
    <m/>
    <s v="Jharkhand"/>
    <s v="TBSPL"/>
    <s v="GAMHARIA"/>
    <s v="Coil"/>
    <n v="940016"/>
    <s v="TATA BLUESCOPE STEEL PVT LTD."/>
    <n v="3960056"/>
    <s v="PPGL C HARD Y550PL DX01 0.53(TPT)X1220"/>
    <m/>
    <m/>
    <m/>
    <m/>
    <s v="Wider"/>
    <s v="B18"/>
    <m/>
    <s v="DX01"/>
    <n v="0.53"/>
    <n v="1220"/>
    <n v="0"/>
    <n v="56"/>
    <n v="0"/>
    <n v="56"/>
    <n v="-1.67"/>
    <n v="0"/>
    <n v="27.024999999999999"/>
    <n v="0"/>
    <n v="28.87"/>
    <n v="0"/>
    <n v="0"/>
    <n v="0"/>
    <n v="0"/>
    <n v="0"/>
    <n v="0"/>
    <n v="0"/>
    <n v="0"/>
    <n v="0"/>
    <n v="0"/>
    <n v="0"/>
    <n v="0"/>
    <n v="0"/>
    <n v="0"/>
    <n v="0"/>
    <n v="0"/>
    <n v="0"/>
    <n v="28.87"/>
    <n v="28.87"/>
    <n v="0"/>
    <n v="28.87"/>
    <m/>
    <n v="28.975000000000001"/>
    <n v="27.024999999999999"/>
    <n v="27.024999999999999"/>
    <n v="0"/>
    <n v="0"/>
    <n v="0"/>
    <n v="0"/>
    <n v="0"/>
    <n v="0"/>
    <n v="0"/>
    <n v="0"/>
    <n v="0"/>
    <n v="0"/>
    <n v="56"/>
    <n v="0"/>
    <n v="0"/>
    <n v="0"/>
    <n v="0"/>
    <n v="0"/>
    <n v="0"/>
    <n v="0"/>
    <m/>
    <m/>
    <m/>
    <m/>
    <m/>
    <m/>
    <m/>
    <m/>
    <s v="0"/>
    <s v="1"/>
    <s v="1"/>
    <s v="1"/>
    <s v="1"/>
    <m/>
    <m/>
    <m/>
    <m/>
    <m/>
    <m/>
    <m/>
    <m/>
    <m/>
    <m/>
    <m/>
    <m/>
    <m/>
    <m/>
  </r>
  <r>
    <n v="744"/>
    <d v="2025-03-29T00:00:00"/>
    <s v="ZBTO"/>
    <s v="9518653307"/>
    <s v="2"/>
    <s v="9518653307-2"/>
    <s v="No Priority"/>
    <x v="0"/>
    <m/>
    <x v="2"/>
    <x v="3"/>
    <n v="1000"/>
    <m/>
    <x v="1"/>
    <m/>
    <m/>
    <s v="Rajasthan"/>
    <s v="TBSPL"/>
    <s v="BHIWADI"/>
    <s v="Coil"/>
    <n v="940008"/>
    <s v="TATA BLUESCOPE STEEL PVT LTD."/>
    <n v="3522241"/>
    <s v="PPGL C Y550 D0C7 0.43BMT(0.47TPT)X1220"/>
    <m/>
    <m/>
    <m/>
    <m/>
    <s v="Wider"/>
    <s v="B18"/>
    <m/>
    <s v="D0C7"/>
    <n v="0.43"/>
    <n v="1220"/>
    <n v="0"/>
    <n v="28"/>
    <n v="0"/>
    <n v="28"/>
    <n v="0.67"/>
    <n v="0"/>
    <n v="28"/>
    <n v="0"/>
    <n v="0"/>
    <n v="0"/>
    <n v="0"/>
    <n v="0"/>
    <n v="0"/>
    <n v="0"/>
    <n v="0"/>
    <n v="0"/>
    <n v="27.330000000000002"/>
    <n v="0"/>
    <n v="0"/>
    <n v="0"/>
    <n v="0"/>
    <n v="0"/>
    <n v="0"/>
    <n v="0"/>
    <n v="0"/>
    <n v="0"/>
    <n v="27.330000000000002"/>
    <n v="27.330000000000002"/>
    <n v="0"/>
    <n v="27.330000000000002"/>
    <m/>
    <n v="0"/>
    <n v="28"/>
    <n v="0"/>
    <n v="0"/>
    <n v="0"/>
    <n v="0"/>
    <n v="28"/>
    <n v="0"/>
    <n v="0"/>
    <n v="0"/>
    <n v="0"/>
    <n v="0"/>
    <n v="0"/>
    <n v="28"/>
    <n v="0"/>
    <n v="0"/>
    <n v="0"/>
    <n v="0"/>
    <n v="0"/>
    <n v="0"/>
    <n v="0"/>
    <m/>
    <m/>
    <m/>
    <m/>
    <m/>
    <m/>
    <m/>
    <m/>
    <s v="1"/>
    <s v="1"/>
    <s v="1"/>
    <s v="1"/>
    <s v="0"/>
    <m/>
    <m/>
    <m/>
    <m/>
    <m/>
    <m/>
    <m/>
    <m/>
    <m/>
    <m/>
    <m/>
    <m/>
    <m/>
    <m/>
  </r>
  <r>
    <n v="744"/>
    <d v="2025-03-29T00:00:00"/>
    <s v="ZBTO"/>
    <s v="9518653307"/>
    <s v="5"/>
    <s v="9518653307-5"/>
    <s v="No Priority"/>
    <x v="0"/>
    <m/>
    <x v="2"/>
    <x v="3"/>
    <n v="1000"/>
    <m/>
    <x v="0"/>
    <m/>
    <m/>
    <s v="Rajasthan"/>
    <s v="TBSPL"/>
    <s v="BHIWADI"/>
    <s v="Coil"/>
    <n v="940008"/>
    <s v="TATA BLUESCOPE STEEL PVT LTD."/>
    <n v="3553033"/>
    <s v="PPGL C Y550 D0C7 0.48BMT(0.52TPT)X1220"/>
    <m/>
    <m/>
    <m/>
    <m/>
    <s v="Wider"/>
    <s v="B18"/>
    <m/>
    <s v="D0C7"/>
    <n v="0.48"/>
    <n v="1220"/>
    <n v="0"/>
    <n v="28"/>
    <n v="0"/>
    <n v="28"/>
    <n v="0.28000000000000003"/>
    <n v="0"/>
    <n v="2.42"/>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19T00:00:00"/>
    <s v="ZBTO"/>
    <s v="9518614038"/>
    <s v="1"/>
    <s v="9518614038-1"/>
    <s v="No Priority"/>
    <x v="0"/>
    <m/>
    <x v="2"/>
    <x v="3"/>
    <n v="1000"/>
    <m/>
    <x v="0"/>
    <m/>
    <m/>
    <s v="Jharkhand"/>
    <s v="TBSPL"/>
    <s v="TBL- BARA AGRICO"/>
    <s v="Coil"/>
    <n v="941597"/>
    <s v="TATA BLUESCOPE STEEL PVT LTD."/>
    <n v="3974073"/>
    <s v="PPGL C HARD Y550PL SXO1 0.500X1220"/>
    <m/>
    <m/>
    <m/>
    <m/>
    <s v="Wider"/>
    <s v="B18"/>
    <m/>
    <s v="SXO1"/>
    <n v="0.5"/>
    <n v="1220"/>
    <n v="0"/>
    <n v="56"/>
    <n v="55.685000000000002"/>
    <n v="0.315"/>
    <n v="-13.75"/>
    <n v="0"/>
    <n v="0.31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s v="ZBTO"/>
    <n v="9518644656"/>
    <n v="2"/>
    <s v="9518644656-2"/>
    <s v="No Priority"/>
    <x v="0"/>
    <m/>
    <x v="1"/>
    <x v="2"/>
    <n v="2000"/>
    <m/>
    <x v="0"/>
    <m/>
    <m/>
    <s v="West Bengal"/>
    <s v="East"/>
    <s v="SILIGURI TOWN"/>
    <s v="Sheet"/>
    <n v="948783"/>
    <s v="SAGAR STEELS"/>
    <n v="3240797"/>
    <s v="CRCA SHEET TSBCRC SR15 0.700X1000X2500"/>
    <m/>
    <m/>
    <m/>
    <m/>
    <s v="Narrow"/>
    <s v="C06"/>
    <s v="TSBCRC"/>
    <s v="SR15"/>
    <n v="0.7"/>
    <n v="1000"/>
    <n v="2500"/>
    <n v="24"/>
    <n v="20.824999999999999"/>
    <n v="3.1749999999999998"/>
    <n v="2.835"/>
    <n v="0"/>
    <n v="3.174999999999999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s v="ZBTO"/>
    <n v="9518644656"/>
    <n v="3"/>
    <s v="9518644656-3"/>
    <s v="Apr'25 additional"/>
    <x v="0"/>
    <m/>
    <x v="1"/>
    <x v="2"/>
    <n v="2000"/>
    <m/>
    <x v="1"/>
    <m/>
    <m/>
    <s v="West Bengal"/>
    <s v="East"/>
    <s v="SILIGURI TOWN"/>
    <s v="Sheet"/>
    <n v="948783"/>
    <s v="SAGAR STEELS"/>
    <n v="3542989"/>
    <s v="CRCA SHEET TSBCRC SR15 0.700X1000X2000"/>
    <m/>
    <m/>
    <m/>
    <m/>
    <s v="Narrow"/>
    <s v="C06"/>
    <s v="TSBCRC"/>
    <s v="SR15"/>
    <n v="0.7"/>
    <n v="1000"/>
    <n v="2000"/>
    <n v="24"/>
    <n v="0"/>
    <n v="24"/>
    <n v="24"/>
    <n v="1.5500000000000007"/>
    <n v="24"/>
    <n v="0"/>
    <n v="0"/>
    <n v="0"/>
    <n v="0"/>
    <n v="0"/>
    <n v="0"/>
    <n v="0"/>
    <n v="0"/>
    <n v="0"/>
    <n v="0"/>
    <n v="0"/>
    <n v="0"/>
    <n v="0"/>
    <n v="22.45"/>
    <n v="0"/>
    <n v="0"/>
    <n v="0"/>
    <n v="0"/>
    <n v="0"/>
    <n v="22.45"/>
    <n v="22.45"/>
    <n v="0"/>
    <n v="22.45"/>
    <m/>
    <n v="0"/>
    <n v="24"/>
    <n v="0"/>
    <n v="24"/>
    <n v="0"/>
    <n v="0"/>
    <n v="0"/>
    <n v="24"/>
    <n v="0"/>
    <n v="24"/>
    <n v="0"/>
    <n v="0"/>
    <n v="0"/>
    <n v="0"/>
    <n v="0"/>
    <n v="0"/>
    <n v="0"/>
    <n v="0"/>
    <n v="0"/>
    <n v="0"/>
    <n v="0"/>
    <m/>
    <m/>
    <m/>
    <m/>
    <m/>
    <m/>
    <m/>
    <m/>
    <s v="1"/>
    <s v="0"/>
    <s v="1"/>
    <s v="1"/>
    <s v="1"/>
    <m/>
    <m/>
    <m/>
    <m/>
    <m/>
    <m/>
    <m/>
    <m/>
    <m/>
    <m/>
    <m/>
    <m/>
    <m/>
    <m/>
  </r>
  <r>
    <n v="742"/>
    <d v="2025-03-27T00:00:00"/>
    <s v="ZBTO"/>
    <n v="9518644656"/>
    <n v="8"/>
    <s v="9518644656-8"/>
    <s v="Apr'25 additional"/>
    <x v="0"/>
    <m/>
    <x v="1"/>
    <x v="2"/>
    <n v="2000"/>
    <m/>
    <x v="1"/>
    <m/>
    <m/>
    <s v="West Bengal"/>
    <s v="East"/>
    <s v="SILIGURI TOWN"/>
    <s v="Sheet"/>
    <n v="948783"/>
    <s v="SAGAR STEELS"/>
    <n v="3533337"/>
    <s v="CRCA SHEET TSBCRC SR15 0.700X1120X2000"/>
    <m/>
    <m/>
    <m/>
    <m/>
    <s v="Narrow"/>
    <s v="C06"/>
    <s v="TSBCRC"/>
    <s v="SR15"/>
    <n v="0.7"/>
    <n v="1120"/>
    <n v="200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s v="ZBTO"/>
    <n v="9518644656"/>
    <n v="4"/>
    <s v="9518644656-4"/>
    <s v="May'25"/>
    <x v="0"/>
    <m/>
    <x v="1"/>
    <x v="2"/>
    <n v="2000"/>
    <m/>
    <x v="1"/>
    <m/>
    <m/>
    <s v="West Bengal"/>
    <s v="East"/>
    <s v="SILIGURI TOWN"/>
    <s v="Sheet"/>
    <n v="948783"/>
    <s v="SAGAR STEELS"/>
    <n v="3240778"/>
    <s v="CRCA SHEET TSBCRC SR15 0.600X1000X2500"/>
    <m/>
    <m/>
    <m/>
    <m/>
    <s v="Narrow"/>
    <s v="C06"/>
    <s v="TSBCRC"/>
    <s v="SR15"/>
    <n v="0.6"/>
    <n v="1000"/>
    <n v="2500"/>
    <n v="24"/>
    <n v="0"/>
    <n v="24"/>
    <n v="0.84"/>
    <n v="0"/>
    <n v="24"/>
    <n v="0"/>
    <n v="0"/>
    <n v="0"/>
    <n v="0"/>
    <n v="0"/>
    <n v="0"/>
    <n v="0"/>
    <n v="0"/>
    <n v="0"/>
    <n v="0"/>
    <n v="0"/>
    <n v="0"/>
    <n v="0"/>
    <n v="22.16"/>
    <n v="0"/>
    <n v="0"/>
    <n v="0"/>
    <n v="0"/>
    <n v="0"/>
    <n v="22.16"/>
    <n v="22.16"/>
    <n v="0"/>
    <n v="22.16"/>
    <m/>
    <n v="0"/>
    <n v="24"/>
    <n v="0"/>
    <n v="24"/>
    <n v="0"/>
    <n v="0"/>
    <n v="0"/>
    <n v="24"/>
    <n v="0"/>
    <n v="24"/>
    <n v="0"/>
    <n v="0"/>
    <n v="0"/>
    <n v="0"/>
    <n v="0"/>
    <n v="0"/>
    <n v="0"/>
    <n v="0"/>
    <n v="0"/>
    <n v="0"/>
    <n v="0"/>
    <m/>
    <m/>
    <m/>
    <m/>
    <m/>
    <m/>
    <m/>
    <m/>
    <s v="1"/>
    <s v="0"/>
    <s v="1"/>
    <s v="1"/>
    <s v="1"/>
    <m/>
    <m/>
    <m/>
    <m/>
    <m/>
    <m/>
    <m/>
    <m/>
    <m/>
    <m/>
    <m/>
    <m/>
    <m/>
    <m/>
  </r>
  <r>
    <n v="742"/>
    <d v="2025-03-27T00:00:00"/>
    <s v="ZBTO"/>
    <n v="9518644656"/>
    <n v="5"/>
    <s v="9518644656-5"/>
    <s v="Stocks"/>
    <x v="0"/>
    <m/>
    <x v="1"/>
    <x v="2"/>
    <n v="2000"/>
    <m/>
    <x v="1"/>
    <m/>
    <m/>
    <s v="West Bengal"/>
    <s v="East"/>
    <s v="SILIGURI TOWN"/>
    <s v="Sheet"/>
    <n v="948783"/>
    <s v="SAGAR STEELS"/>
    <n v="3402254"/>
    <s v="CRCA SHEET TSBCRC SR15 0.600X1000X2000"/>
    <m/>
    <m/>
    <m/>
    <m/>
    <s v="Narrow"/>
    <s v="C06"/>
    <s v="TSBCRC"/>
    <s v="SR15"/>
    <n v="0.6"/>
    <n v="1000"/>
    <n v="2000"/>
    <n v="24"/>
    <n v="0"/>
    <n v="24"/>
    <n v="0.74"/>
    <n v="0"/>
    <n v="2.7650000000000001"/>
    <n v="0"/>
    <n v="0"/>
    <n v="0"/>
    <n v="0"/>
    <n v="0"/>
    <n v="0"/>
    <n v="0"/>
    <n v="0"/>
    <n v="0.185"/>
    <n v="0"/>
    <n v="0"/>
    <n v="0"/>
    <n v="0"/>
    <n v="0"/>
    <n v="0"/>
    <n v="0"/>
    <n v="0"/>
    <n v="0"/>
    <n v="0"/>
    <n v="0.185"/>
    <n v="0.185"/>
    <n v="0"/>
    <n v="0.185"/>
    <m/>
    <n v="21.234999999999999"/>
    <n v="0"/>
    <n v="0"/>
    <n v="0"/>
    <n v="0"/>
    <n v="0"/>
    <n v="0"/>
    <n v="0"/>
    <n v="0"/>
    <n v="0"/>
    <n v="0"/>
    <n v="0"/>
    <n v="0"/>
    <n v="21.234999999999999"/>
    <n v="0"/>
    <n v="0"/>
    <n v="0"/>
    <n v="0"/>
    <n v="0"/>
    <n v="0"/>
    <n v="0"/>
    <m/>
    <m/>
    <m/>
    <m/>
    <m/>
    <m/>
    <m/>
    <m/>
    <s v="1"/>
    <s v="1"/>
    <s v="1"/>
    <s v="1"/>
    <s v="1"/>
    <m/>
    <m/>
    <m/>
    <m/>
    <m/>
    <m/>
    <m/>
    <m/>
    <m/>
    <m/>
    <m/>
    <m/>
    <m/>
    <m/>
  </r>
  <r>
    <n v="742"/>
    <d v="2025-03-27T00:00:00"/>
    <s v="ZBTO"/>
    <n v="9518644656"/>
    <n v="6"/>
    <s v="9518644656-6"/>
    <s v="Stocks"/>
    <x v="0"/>
    <m/>
    <x v="1"/>
    <x v="2"/>
    <n v="2000"/>
    <m/>
    <x v="1"/>
    <m/>
    <m/>
    <s v="West Bengal"/>
    <s v="East"/>
    <s v="SILIGURI TOWN"/>
    <s v="Sheet"/>
    <n v="948783"/>
    <s v="SAGAR STEELS"/>
    <n v="3240760"/>
    <s v="CRCA SHEET TSBCRC SR15 0.500X1000X2500"/>
    <m/>
    <m/>
    <m/>
    <m/>
    <s v="Narrow"/>
    <s v="C06"/>
    <s v="TSBCRC"/>
    <s v="SR15"/>
    <n v="0.5"/>
    <n v="1000"/>
    <n v="2500"/>
    <n v="24"/>
    <n v="0"/>
    <n v="24"/>
    <n v="1.2649999999999999"/>
    <n v="0"/>
    <n v="3.3849999999999998"/>
    <n v="0"/>
    <n v="0"/>
    <n v="0"/>
    <n v="0"/>
    <n v="0"/>
    <n v="0"/>
    <n v="0"/>
    <n v="0"/>
    <n v="0"/>
    <n v="0"/>
    <n v="0"/>
    <n v="0"/>
    <n v="0"/>
    <n v="0"/>
    <n v="0"/>
    <n v="0.5"/>
    <n v="0"/>
    <n v="0"/>
    <n v="0"/>
    <n v="0.5"/>
    <n v="0.5"/>
    <n v="0"/>
    <n v="0.5"/>
    <m/>
    <n v="20.615000000000002"/>
    <n v="0"/>
    <n v="0"/>
    <n v="0"/>
    <n v="0"/>
    <n v="0"/>
    <n v="0"/>
    <n v="0"/>
    <n v="0"/>
    <n v="0"/>
    <n v="0"/>
    <n v="0"/>
    <n v="0"/>
    <n v="20.615000000000002"/>
    <n v="0"/>
    <n v="0"/>
    <n v="0"/>
    <n v="0"/>
    <n v="0"/>
    <n v="0"/>
    <n v="0"/>
    <m/>
    <m/>
    <m/>
    <m/>
    <m/>
    <m/>
    <m/>
    <m/>
    <s v="1"/>
    <s v="1"/>
    <s v="1"/>
    <s v="1"/>
    <s v="1"/>
    <m/>
    <m/>
    <m/>
    <m/>
    <m/>
    <m/>
    <m/>
    <m/>
    <m/>
    <m/>
    <m/>
    <m/>
    <m/>
    <m/>
  </r>
  <r>
    <n v="742"/>
    <d v="2025-03-27T00:00:00"/>
    <s v="ZBTO"/>
    <n v="9518644656"/>
    <n v="12"/>
    <s v="9518644656-12"/>
    <s v="Apr'25 additional"/>
    <x v="0"/>
    <m/>
    <x v="1"/>
    <x v="2"/>
    <n v="2000"/>
    <m/>
    <x v="1"/>
    <m/>
    <m/>
    <s v="West Bengal"/>
    <s v="East"/>
    <s v="SILIGURI TOWN"/>
    <s v="Sheet"/>
    <n v="948783"/>
    <s v="SAGAR STEELS"/>
    <n v="2427628"/>
    <s v="CRCA SHEET TSBCRC SR15 0.600X1120X2000"/>
    <m/>
    <m/>
    <m/>
    <m/>
    <s v="Narrow"/>
    <s v="C06"/>
    <s v="TSBCRC"/>
    <s v="SR15"/>
    <n v="0.6"/>
    <n v="1120"/>
    <n v="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s v="ZBTO"/>
    <n v="9518644656"/>
    <n v="7"/>
    <s v="9518644656-7"/>
    <s v="Stocks"/>
    <x v="0"/>
    <m/>
    <x v="1"/>
    <x v="2"/>
    <n v="2000"/>
    <m/>
    <x v="1"/>
    <m/>
    <m/>
    <s v="West Bengal"/>
    <s v="East"/>
    <s v="SILIGURI TOWN"/>
    <s v="Sheet"/>
    <n v="948783"/>
    <s v="SAGAR STEELS"/>
    <n v="3240757"/>
    <s v="CRCA SHEET TSBCRC SR15 0.500X1000X2000"/>
    <m/>
    <m/>
    <m/>
    <m/>
    <s v="Narrow"/>
    <s v="C06"/>
    <s v="TSBCRC"/>
    <s v="SR15"/>
    <n v="0.5"/>
    <n v="1000"/>
    <n v="2000"/>
    <n v="24"/>
    <n v="0"/>
    <n v="24"/>
    <n v="0.96"/>
    <n v="0"/>
    <n v="5.6050000000000004"/>
    <n v="0"/>
    <n v="0"/>
    <n v="0"/>
    <n v="0"/>
    <n v="0"/>
    <n v="0"/>
    <n v="0"/>
    <n v="0"/>
    <n v="0"/>
    <n v="0"/>
    <n v="0"/>
    <n v="0"/>
    <n v="0"/>
    <n v="0"/>
    <n v="0"/>
    <n v="0.23"/>
    <n v="0"/>
    <n v="0"/>
    <n v="0"/>
    <n v="0.23"/>
    <n v="0.23"/>
    <n v="0"/>
    <n v="0.23"/>
    <m/>
    <n v="18.395"/>
    <n v="0"/>
    <n v="0"/>
    <n v="0"/>
    <n v="0"/>
    <n v="0"/>
    <n v="0"/>
    <n v="0"/>
    <n v="0"/>
    <n v="0"/>
    <n v="0"/>
    <n v="0"/>
    <n v="0"/>
    <n v="18.395"/>
    <n v="0"/>
    <n v="0"/>
    <n v="0"/>
    <n v="0"/>
    <n v="0"/>
    <n v="0"/>
    <n v="0"/>
    <m/>
    <m/>
    <m/>
    <m/>
    <m/>
    <m/>
    <m/>
    <m/>
    <s v="1"/>
    <s v="1"/>
    <s v="1"/>
    <s v="1"/>
    <s v="1"/>
    <m/>
    <m/>
    <m/>
    <m/>
    <m/>
    <m/>
    <m/>
    <m/>
    <m/>
    <m/>
    <m/>
    <m/>
    <m/>
    <m/>
  </r>
  <r>
    <n v="742"/>
    <d v="2025-03-27T00:00:00"/>
    <s v="ZBTO"/>
    <n v="9518644656"/>
    <n v="9"/>
    <s v="9518644656-9"/>
    <s v="Apr'25 additional"/>
    <x v="0"/>
    <m/>
    <x v="1"/>
    <x v="2"/>
    <n v="2000"/>
    <m/>
    <x v="1"/>
    <m/>
    <m/>
    <s v="West Bengal"/>
    <s v="East"/>
    <s v="SILIGURI TOWN"/>
    <s v="Sheet"/>
    <n v="948783"/>
    <s v="SAGAR STEELS"/>
    <n v="3409912"/>
    <s v="CRCA SHEET TSBCRC SR15 0.500X1120X2000"/>
    <m/>
    <m/>
    <m/>
    <m/>
    <s v="Narrow"/>
    <s v="C06"/>
    <s v="TSBCRC"/>
    <s v="SR15"/>
    <n v="0.5"/>
    <n v="1120"/>
    <n v="200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1-03T00:00:00"/>
    <s v="ZBTO"/>
    <s v="9518403227"/>
    <s v="1"/>
    <s v="9518403227-1"/>
    <s v="No Priority"/>
    <x v="0"/>
    <m/>
    <x v="4"/>
    <x v="10"/>
    <n v="1000"/>
    <m/>
    <x v="0"/>
    <m/>
    <s v="No allocation for IPP"/>
    <s v="West Bengal"/>
    <s v="East"/>
    <s v="HALDIA"/>
    <s v="Coil"/>
    <n v="189406"/>
    <s v="Manaksia Steels Limited"/>
    <n v="2427834"/>
    <s v="GL COIL HARD  Y550GL H7GL 0.300X1245"/>
    <m/>
    <m/>
    <m/>
    <m/>
    <m/>
    <s v="B04"/>
    <s v="Y550GL"/>
    <s v="H7GL"/>
    <n v="0.3"/>
    <n v="1245"/>
    <m/>
    <n v="261"/>
    <n v="209.19"/>
    <n v="51.81"/>
    <n v="46.344999999999999"/>
    <n v="51.81"/>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6T00:00:00"/>
    <s v="ZBTO"/>
    <s v="9518407392"/>
    <s v="7"/>
    <s v="9518407392-7"/>
    <s v="No Priority"/>
    <x v="0"/>
    <m/>
    <x v="1"/>
    <x v="2"/>
    <n v="2000"/>
    <m/>
    <x v="0"/>
    <m/>
    <m/>
    <s v="Tamil Nadu"/>
    <s v="South"/>
    <s v="SALEM JN"/>
    <s v="Sheet"/>
    <n v="116465"/>
    <s v="SRI BALAJI STEEL TRADERS"/>
    <n v="3240757"/>
    <s v="CRCA SHEET TSBCRC SR15 0.500X1000X2000"/>
    <m/>
    <m/>
    <m/>
    <m/>
    <m/>
    <s v="C06"/>
    <s v="TSBCRC"/>
    <s v="SR15"/>
    <n v="0.5"/>
    <n v="1000"/>
    <m/>
    <n v="21"/>
    <n v="20.295000000000002"/>
    <n v="0.70499999999999996"/>
    <n v="0.70499999999999996"/>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1-06T00:00:00"/>
    <s v="ZBTT"/>
    <s v="9518409222"/>
    <s v="1"/>
    <s v="9518409222-1"/>
    <s v="No Priority"/>
    <x v="0"/>
    <m/>
    <x v="2"/>
    <x v="3"/>
    <n v="1000"/>
    <m/>
    <x v="0"/>
    <m/>
    <m/>
    <s v="Jharkhand"/>
    <s v="TBSPL"/>
    <s v="GAMHARIA"/>
    <s v="Coil"/>
    <n v="940016"/>
    <s v="TATA BLUESCOPE STEEL PRIVATE L"/>
    <n v="1632044"/>
    <s v="PPGL C YS550 PLH1 0.30BMT(0.35TPT)X1220"/>
    <m/>
    <m/>
    <m/>
    <m/>
    <m/>
    <s v="B18"/>
    <s v="Y550PL"/>
    <s v="PLH1"/>
    <n v="0.3"/>
    <n v="1220"/>
    <m/>
    <n v="28"/>
    <n v="0"/>
    <n v="28"/>
    <n v="28"/>
    <n v="2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1-06T00:00:00"/>
    <s v="ZBTT"/>
    <s v="9518409222"/>
    <s v="2"/>
    <s v="9518409222-2"/>
    <s v="No Priority"/>
    <x v="0"/>
    <m/>
    <x v="2"/>
    <x v="3"/>
    <n v="1000"/>
    <m/>
    <x v="0"/>
    <m/>
    <m/>
    <s v="Jharkhand"/>
    <s v="TBSPL"/>
    <s v="GAMHARIA"/>
    <s v="Coil"/>
    <n v="940016"/>
    <s v="TATA BLUESCOPE STEEL PRIVATE L"/>
    <n v="1640795"/>
    <s v="PPGL C YS550 PLH1 0.40BMT(0.45TPT)X1220"/>
    <m/>
    <m/>
    <m/>
    <m/>
    <m/>
    <s v="B18"/>
    <s v="Y550PL"/>
    <s v="PLH1"/>
    <n v="0.4"/>
    <n v="1220"/>
    <m/>
    <n v="27.88"/>
    <n v="0"/>
    <n v="27.88"/>
    <n v="27.88"/>
    <n v="27.8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1-06T00:00:00"/>
    <s v="ZBTT"/>
    <s v="9518409222"/>
    <s v="3"/>
    <s v="9518409222-3"/>
    <s v="No Priority"/>
    <x v="0"/>
    <s v="Yes"/>
    <x v="2"/>
    <x v="3"/>
    <n v="1000"/>
    <m/>
    <x v="0"/>
    <m/>
    <m/>
    <s v="Jharkhand"/>
    <s v="TBSPL"/>
    <s v="GAMHARIA"/>
    <s v="Coil"/>
    <n v="940016"/>
    <s v="TATA BLUESCOPE STEEL PRIVATE L"/>
    <n v="1633706"/>
    <s v="PPGL C Y550 HPL3 0.42BMT(0.50TPT)X1220"/>
    <m/>
    <m/>
    <m/>
    <m/>
    <m/>
    <s v="B18"/>
    <s v="Y550PL"/>
    <s v="HPL3"/>
    <n v="0.42"/>
    <n v="1220"/>
    <m/>
    <n v="28"/>
    <n v="0"/>
    <n v="28"/>
    <n v="28"/>
    <n v="2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1-06T00:00:00"/>
    <s v="ZBTT"/>
    <s v="9518409222"/>
    <s v="4"/>
    <s v="9518409222-4"/>
    <s v="No Priority"/>
    <x v="0"/>
    <m/>
    <x v="2"/>
    <x v="3"/>
    <n v="1000"/>
    <m/>
    <x v="0"/>
    <m/>
    <m/>
    <s v="Jharkhand"/>
    <s v="TBSPL"/>
    <s v="GAMHARIA"/>
    <s v="Coil"/>
    <n v="940016"/>
    <s v="TATA BLUESCOPE STEEL PRIVATE L"/>
    <n v="1636098"/>
    <s v="PPGL COIL HARD Y550PL HPL3 0.52X1220"/>
    <m/>
    <m/>
    <m/>
    <m/>
    <m/>
    <s v="B18"/>
    <s v="Y550PL"/>
    <s v="HPL3"/>
    <n v="0.52"/>
    <n v="1220"/>
    <m/>
    <n v="28"/>
    <n v="0"/>
    <n v="28"/>
    <n v="28"/>
    <n v="2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7T00:00:00"/>
    <s v="ZBTO"/>
    <s v="9518410223"/>
    <s v="10"/>
    <s v="9518410223-10"/>
    <s v="No Priority"/>
    <x v="0"/>
    <m/>
    <x v="1"/>
    <x v="2"/>
    <n v="2000"/>
    <m/>
    <x v="0"/>
    <m/>
    <m/>
    <s v="Uttar Pradesh"/>
    <s v="North"/>
    <s v="VARANASI"/>
    <s v="Sheet"/>
    <n v="931525"/>
    <s v="INDIA STEEL INDUSTRIES"/>
    <n v="3240851"/>
    <s v="CRCA SHEET TSBCRC SR15 1.200X1250X2500"/>
    <m/>
    <m/>
    <m/>
    <m/>
    <m/>
    <s v="C06"/>
    <s v="TSBCRC"/>
    <s v="SR15"/>
    <n v="1.2"/>
    <n v="1250"/>
    <m/>
    <n v="57"/>
    <n v="52.29"/>
    <n v="4.71"/>
    <n v="4.71"/>
    <n v="4.71"/>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7T00:00:00"/>
    <s v="ZBTO"/>
    <s v="9518410223"/>
    <s v="7"/>
    <s v="9518410223-7"/>
    <s v="No Priority"/>
    <x v="0"/>
    <m/>
    <x v="1"/>
    <x v="2"/>
    <n v="2000"/>
    <m/>
    <x v="0"/>
    <m/>
    <m/>
    <s v="Uttar Pradesh"/>
    <s v="North"/>
    <s v="VARANASI"/>
    <s v="Sheet"/>
    <n v="931525"/>
    <s v="INDIA STEEL INDUSTRIES"/>
    <n v="3240781"/>
    <s v="CRCA SHEET TSBCRC SR15 0.600X1250X2030"/>
    <m/>
    <m/>
    <m/>
    <m/>
    <m/>
    <s v="C06"/>
    <s v="TSBCRC"/>
    <s v="SR15"/>
    <n v="0.6"/>
    <n v="1250"/>
    <m/>
    <n v="30"/>
    <n v="26.454999999999998"/>
    <n v="3.5449999999999999"/>
    <n v="3.5449999999999999"/>
    <n v="3.5449999999999999"/>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7T00:00:00"/>
    <s v="ZBTO"/>
    <s v="9518410223"/>
    <s v="9"/>
    <s v="9518410223-9"/>
    <s v="No Priority"/>
    <x v="0"/>
    <m/>
    <x v="1"/>
    <x v="2"/>
    <n v="2000"/>
    <m/>
    <x v="0"/>
    <m/>
    <m/>
    <s v="Uttar Pradesh"/>
    <s v="North"/>
    <s v="VARANASI"/>
    <s v="Sheet"/>
    <n v="931525"/>
    <s v="INDIA STEEL INDUSTRIES"/>
    <n v="3240787"/>
    <s v="CRCA SHEET TSBCRC SR15 0.700X1250X1930"/>
    <m/>
    <m/>
    <m/>
    <m/>
    <m/>
    <s v="C06"/>
    <s v="TSBCRC"/>
    <s v="SR15"/>
    <n v="0.7"/>
    <n v="1250"/>
    <m/>
    <n v="57"/>
    <n v="51.87"/>
    <n v="5.13"/>
    <n v="5.13"/>
    <n v="5.13"/>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7T00:00:00"/>
    <s v="ZBTO"/>
    <s v="9518411862"/>
    <s v="1"/>
    <s v="9518411862-1"/>
    <s v="Stocks"/>
    <x v="0"/>
    <m/>
    <x v="1"/>
    <x v="0"/>
    <n v="2000"/>
    <m/>
    <x v="1"/>
    <m/>
    <m/>
    <s v="Delhi"/>
    <s v="North"/>
    <s v="NEWDELHI"/>
    <s v="Coil"/>
    <n v="184986"/>
    <s v="SWASTIK STEEL PROCESSOR LLP"/>
    <n v="2439201"/>
    <s v="CRCA COIL TSBSTA EL06 0.500X1170"/>
    <m/>
    <m/>
    <m/>
    <m/>
    <m/>
    <s v="C01"/>
    <s v="TSBSTA"/>
    <s v="EL06"/>
    <n v="0.5"/>
    <n v="1170"/>
    <m/>
    <n v="296.95999999999998"/>
    <n v="241.11"/>
    <n v="55.85"/>
    <n v="7.66"/>
    <n v="55.85"/>
    <n v="0"/>
    <n v="0"/>
    <n v="0"/>
    <n v="0"/>
    <n v="0"/>
    <n v="0"/>
    <n v="0"/>
    <n v="0"/>
    <n v="0"/>
    <n v="0"/>
    <n v="0"/>
    <n v="0"/>
    <n v="0"/>
    <n v="0"/>
    <n v="0"/>
    <n v="0"/>
    <n v="0"/>
    <n v="0"/>
    <n v="0"/>
    <n v="0"/>
    <n v="0"/>
    <n v="0"/>
    <n v="0"/>
    <n v="0"/>
    <m/>
    <n v="20.77"/>
    <n v="0"/>
    <n v="0"/>
    <n v="0"/>
    <n v="0"/>
    <n v="0"/>
    <n v="0"/>
    <n v="0"/>
    <n v="0"/>
    <n v="0"/>
    <n v="0"/>
    <n v="0"/>
    <n v="0"/>
    <n v="20.77"/>
    <n v="118.23000000000002"/>
    <n v="0"/>
    <n v="0"/>
    <n v="0"/>
    <n v="0"/>
    <n v="0"/>
    <n v="118.23000000000002"/>
    <m/>
    <m/>
    <m/>
    <m/>
    <m/>
    <m/>
    <m/>
    <m/>
    <s v="1"/>
    <s v="1"/>
    <s v="1"/>
    <s v="1"/>
    <s v="1"/>
    <m/>
    <m/>
    <m/>
    <m/>
    <m/>
    <m/>
    <m/>
    <m/>
    <m/>
    <m/>
    <m/>
    <m/>
    <m/>
    <m/>
  </r>
  <r>
    <n v="742"/>
    <d v="2025-01-07T00:00:00"/>
    <s v="ZBTO"/>
    <s v="9518411918"/>
    <s v="1"/>
    <s v="9518411918-1"/>
    <s v="Stocks"/>
    <x v="0"/>
    <m/>
    <x v="1"/>
    <x v="0"/>
    <n v="2000"/>
    <m/>
    <x v="1"/>
    <m/>
    <m/>
    <s v="Delhi"/>
    <s v="North"/>
    <s v="NEWDELHI"/>
    <s v="Coil"/>
    <n v="184986"/>
    <s v="SWASTIK STEEL PROCESSOR LLP"/>
    <n v="2439201"/>
    <s v="CRCA COIL TSBSTA EL06 0.500X1170"/>
    <m/>
    <m/>
    <m/>
    <m/>
    <m/>
    <s v="C01"/>
    <s v="TSBSTA"/>
    <s v="EL06"/>
    <n v="0.5"/>
    <n v="1170"/>
    <m/>
    <n v="296.99"/>
    <n v="201.4"/>
    <n v="95.59"/>
    <n v="-6.1449999999999996"/>
    <n v="0"/>
    <n v="0"/>
    <n v="0"/>
    <n v="0"/>
    <n v="0"/>
    <n v="0"/>
    <n v="0"/>
    <n v="0"/>
    <n v="0"/>
    <n v="0"/>
    <n v="0"/>
    <n v="0"/>
    <n v="0"/>
    <n v="0"/>
    <n v="0"/>
    <n v="0"/>
    <n v="0"/>
    <n v="0"/>
    <n v="0"/>
    <n v="0"/>
    <n v="0"/>
    <n v="0"/>
    <n v="0"/>
    <n v="0"/>
    <n v="0"/>
    <m/>
    <n v="33.82"/>
    <n v="0"/>
    <n v="0"/>
    <n v="0"/>
    <n v="0"/>
    <n v="0"/>
    <n v="0"/>
    <n v="0"/>
    <n v="0"/>
    <n v="0"/>
    <n v="0"/>
    <n v="0"/>
    <n v="0"/>
    <n v="33.82"/>
    <n v="104.065"/>
    <n v="0"/>
    <n v="0"/>
    <n v="0"/>
    <n v="0"/>
    <n v="0"/>
    <n v="104.065"/>
    <m/>
    <m/>
    <m/>
    <m/>
    <m/>
    <m/>
    <m/>
    <m/>
    <s v="1"/>
    <s v="1"/>
    <s v="1"/>
    <s v="1"/>
    <s v="1"/>
    <m/>
    <m/>
    <m/>
    <m/>
    <m/>
    <m/>
    <m/>
    <m/>
    <m/>
    <m/>
    <m/>
    <m/>
    <m/>
    <m/>
  </r>
  <r>
    <n v="742"/>
    <d v="2025-01-11T00:00:00"/>
    <s v="ZBTO"/>
    <s v="9518421446"/>
    <s v="12"/>
    <s v="9518421446-12"/>
    <s v="No Priority"/>
    <x v="0"/>
    <m/>
    <x v="1"/>
    <x v="2"/>
    <n v="2000"/>
    <m/>
    <x v="0"/>
    <m/>
    <m/>
    <s v="Jharkhand"/>
    <s v="East"/>
    <s v="BOKARO"/>
    <s v="Sheet"/>
    <n v="185794"/>
    <s v="Shree Bajrang Steel Udyog"/>
    <n v="3239548"/>
    <s v="CRCA SHEET TATCRC SR16 0.400X900X2500"/>
    <m/>
    <m/>
    <m/>
    <m/>
    <m/>
    <s v="C06"/>
    <s v="TATCRC"/>
    <s v="SR16"/>
    <n v="0.4"/>
    <n v="900"/>
    <m/>
    <n v="38.99"/>
    <n v="38.945"/>
    <n v="4.4999999999999998E-2"/>
    <n v="4.4999999999999998E-2"/>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1-13T00:00:00"/>
    <s v="ZBTO"/>
    <s v="9518424820"/>
    <s v="4"/>
    <s v="9518424820-4"/>
    <s v="No Priority"/>
    <x v="0"/>
    <m/>
    <x v="3"/>
    <x v="9"/>
    <n v="2000"/>
    <m/>
    <x v="0"/>
    <m/>
    <m/>
    <s v="West Bengal"/>
    <s v="East"/>
    <s v="SINGUR"/>
    <s v="Coil"/>
    <n v="100922"/>
    <s v="BUBNA COMMERCIAL COMPANY"/>
    <n v="1142893"/>
    <s v="GP COIL SOFT-TATXGP-GLK1-0.35X900"/>
    <m/>
    <m/>
    <m/>
    <m/>
    <m/>
    <s v="C02"/>
    <s v="TATXGP"/>
    <s v="GLK1"/>
    <n v="0.35"/>
    <n v="900"/>
    <m/>
    <n v="105"/>
    <n v="45.76"/>
    <n v="59.24"/>
    <n v="59.24"/>
    <n v="59.24"/>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22T00:00:00"/>
    <s v="ZBTO"/>
    <s v="9518451407"/>
    <s v="2"/>
    <s v="9518451407-2"/>
    <s v="No Priority"/>
    <x v="0"/>
    <m/>
    <x v="1"/>
    <x v="2"/>
    <n v="2000"/>
    <m/>
    <x v="0"/>
    <m/>
    <m/>
    <s v="Uttar Pradesh"/>
    <s v="North"/>
    <s v="CHANDAULI MAJH"/>
    <s v="Sheet"/>
    <n v="115841"/>
    <s v="O.V.S. ISPAT UDYOG"/>
    <n v="3444592"/>
    <s v="CRCA SHEET TATCRC SR16 0.450X1250X2030"/>
    <m/>
    <m/>
    <m/>
    <m/>
    <m/>
    <s v="C06"/>
    <s v="TATCRC"/>
    <s v="SR16"/>
    <n v="0.45"/>
    <n v="1250"/>
    <m/>
    <n v="30"/>
    <n v="28.42"/>
    <n v="1.58"/>
    <n v="1.58"/>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23T00:00:00"/>
    <s v="ZBTO"/>
    <s v="9518454228"/>
    <s v="3"/>
    <s v="9518454228-3"/>
    <s v="No Priority"/>
    <x v="0"/>
    <m/>
    <x v="1"/>
    <x v="2"/>
    <n v="2000"/>
    <m/>
    <x v="0"/>
    <m/>
    <m/>
    <s v="Maharashtra"/>
    <s v="West"/>
    <s v="NAGPUR"/>
    <s v="Sheet"/>
    <n v="103092"/>
    <s v="TEJRAM RAMNIWAS AGARWAL"/>
    <n v="3240895"/>
    <s v="CRCA SHEET TATXXD SR17 0.500X1250X2500"/>
    <m/>
    <m/>
    <m/>
    <m/>
    <m/>
    <s v="C06"/>
    <s v="TATXXD"/>
    <s v="SR17"/>
    <n v="0.5"/>
    <n v="1250"/>
    <m/>
    <n v="57.555"/>
    <n v="57.555"/>
    <n v="0"/>
    <n v="0"/>
    <n v="0"/>
    <n v="0"/>
    <n v="0"/>
    <n v="0"/>
    <n v="0"/>
    <n v="0"/>
    <n v="0"/>
    <n v="0"/>
    <n v="0"/>
    <n v="0"/>
    <n v="0"/>
    <n v="0"/>
    <n v="0"/>
    <n v="0"/>
    <n v="0"/>
    <n v="0"/>
    <n v="0"/>
    <n v="0"/>
    <n v="0"/>
    <n v="0"/>
    <n v="0"/>
    <n v="0"/>
    <n v="0"/>
    <n v="0"/>
    <n v="0"/>
    <m/>
    <n v="0"/>
    <n v="0"/>
    <n v="0"/>
    <n v="0"/>
    <n v="0"/>
    <n v="0"/>
    <n v="0"/>
    <n v="0"/>
    <n v="0"/>
    <n v="0"/>
    <n v="0"/>
    <n v="0"/>
    <n v="0"/>
    <n v="0"/>
    <n v="5.8949999999999996"/>
    <n v="0"/>
    <n v="0"/>
    <n v="0"/>
    <n v="0"/>
    <n v="0"/>
    <n v="5.8949999999999996"/>
    <m/>
    <m/>
    <m/>
    <m/>
    <m/>
    <m/>
    <m/>
    <m/>
    <s v="1"/>
    <s v="1"/>
    <s v="1"/>
    <s v="1"/>
    <s v="1"/>
    <m/>
    <m/>
    <m/>
    <m/>
    <m/>
    <m/>
    <m/>
    <m/>
    <m/>
    <m/>
    <m/>
    <m/>
    <m/>
    <m/>
  </r>
  <r>
    <n v="743"/>
    <d v="2025-01-25T00:00:00"/>
    <s v="ZBTO"/>
    <s v="9518459604"/>
    <s v="2"/>
    <s v="9518459604-2"/>
    <s v="No Priority"/>
    <x v="0"/>
    <m/>
    <x v="4"/>
    <x v="10"/>
    <n v="1000"/>
    <m/>
    <x v="0"/>
    <m/>
    <s v="No allocation for IPP"/>
    <s v="Andhra Pradesh"/>
    <s v="South"/>
    <s v="NELLORE"/>
    <s v="Coil"/>
    <n v="188750"/>
    <s v="Colorshine Coated Pvt.Ltd."/>
    <n v="3713960"/>
    <s v="GL COIL HARD  Y550GL H9GL 0.440X1235"/>
    <m/>
    <m/>
    <m/>
    <m/>
    <m/>
    <s v="B04"/>
    <s v="Y550GL"/>
    <s v="H9GL"/>
    <n v="0.44"/>
    <n v="1235"/>
    <m/>
    <n v="145"/>
    <n v="112.07"/>
    <n v="32.93"/>
    <n v="32.93"/>
    <n v="32.93"/>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31T00:00:00"/>
    <s v="ZBTO"/>
    <s v="9518480825"/>
    <s v="1"/>
    <s v="9518480825-1"/>
    <s v="No Priority"/>
    <x v="0"/>
    <m/>
    <x v="1"/>
    <x v="10"/>
    <n v="1000"/>
    <m/>
    <x v="0"/>
    <m/>
    <m/>
    <s v="Andhra Pradesh"/>
    <s v="South"/>
    <s v="VISHAKAPATNAM"/>
    <s v="Coil"/>
    <n v="186001"/>
    <s v="Baba Container Manufacturers"/>
    <n v="3867646"/>
    <s v="CR COIL TATXXD BT04 0.600X900"/>
    <m/>
    <m/>
    <m/>
    <m/>
    <m/>
    <s v="C01"/>
    <s v="TATXXD"/>
    <s v="BT04"/>
    <n v="0.6"/>
    <n v="900"/>
    <m/>
    <n v="125.99"/>
    <n v="109.155"/>
    <n v="16.835000000000001"/>
    <n v="-4.4749999999999996"/>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03T00:00:00"/>
    <s v="ZBTF"/>
    <s v="9518490503"/>
    <s v="1"/>
    <s v="9518490503-1"/>
    <s v="No Priority"/>
    <x v="0"/>
    <m/>
    <x v="3"/>
    <x v="0"/>
    <n v="2000"/>
    <m/>
    <x v="0"/>
    <m/>
    <m/>
    <s v="West Bengal"/>
    <s v="East"/>
    <s v="TCIL-JAMSHEDPUR"/>
    <s v="Coil"/>
    <n v="600250"/>
    <s v="TATA CENTRE"/>
    <n v="3230681"/>
    <s v="GP COIL TATXGP GLR1 0.420X1220"/>
    <m/>
    <m/>
    <m/>
    <m/>
    <m/>
    <s v="C02"/>
    <s v="TATXGP"/>
    <s v="GLR1"/>
    <n v="0.42"/>
    <n v="1220"/>
    <m/>
    <n v="251.99"/>
    <n v="234.965"/>
    <n v="17.024999999999999"/>
    <n v="17.024999999999999"/>
    <n v="17.024999999999999"/>
    <n v="17.024999999999999"/>
    <n v="0"/>
    <n v="0"/>
    <n v="0"/>
    <n v="0"/>
    <n v="0"/>
    <n v="0"/>
    <n v="0"/>
    <n v="0"/>
    <n v="0"/>
    <n v="0"/>
    <n v="0"/>
    <n v="0"/>
    <n v="0"/>
    <n v="0"/>
    <n v="0"/>
    <n v="0"/>
    <n v="0"/>
    <n v="0"/>
    <n v="0"/>
    <n v="0"/>
    <n v="0"/>
    <n v="0"/>
    <n v="0"/>
    <m/>
    <n v="0"/>
    <n v="0"/>
    <n v="0"/>
    <n v="0"/>
    <n v="0"/>
    <n v="0"/>
    <n v="0"/>
    <n v="0"/>
    <n v="0"/>
    <n v="0"/>
    <n v="0"/>
    <n v="0"/>
    <n v="0"/>
    <n v="0"/>
    <n v="5.8"/>
    <n v="0"/>
    <n v="0"/>
    <n v="0"/>
    <n v="0"/>
    <n v="0"/>
    <n v="5.8"/>
    <m/>
    <m/>
    <m/>
    <m/>
    <m/>
    <m/>
    <m/>
    <m/>
    <s v="1"/>
    <s v="1"/>
    <s v="1"/>
    <s v="1"/>
    <s v="1"/>
    <m/>
    <m/>
    <m/>
    <m/>
    <m/>
    <m/>
    <m/>
    <m/>
    <m/>
    <m/>
    <m/>
    <m/>
    <m/>
    <m/>
  </r>
  <r>
    <n v="742"/>
    <d v="2025-02-05T00:00:00"/>
    <s v="ZBTO"/>
    <s v="9518495920"/>
    <s v="10"/>
    <s v="9518495920-10"/>
    <s v="No Priority"/>
    <x v="0"/>
    <m/>
    <x v="1"/>
    <x v="2"/>
    <n v="2000"/>
    <m/>
    <x v="0"/>
    <m/>
    <m/>
    <s v="Uttar Pradesh"/>
    <s v="North"/>
    <s v="VARANASI"/>
    <s v="Sheet"/>
    <n v="931525"/>
    <s v="INDIA STEEL INDUSTRIES"/>
    <n v="3240851"/>
    <s v="CRCA SHEET TSBCRC SR15 1.200X1250X2500"/>
    <m/>
    <m/>
    <m/>
    <m/>
    <m/>
    <s v="C06"/>
    <s v="TSBCRC"/>
    <s v="SR15"/>
    <n v="1.2"/>
    <n v="1250"/>
    <m/>
    <n v="27"/>
    <n v="26.13"/>
    <n v="0.87"/>
    <n v="0.87"/>
    <n v="0"/>
    <n v="0.87"/>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05T00:00:00"/>
    <s v="ZBTO"/>
    <s v="9518495920"/>
    <s v="8"/>
    <s v="9518495920-8"/>
    <s v="Stocks"/>
    <x v="0"/>
    <m/>
    <x v="1"/>
    <x v="2"/>
    <n v="2000"/>
    <m/>
    <x v="1"/>
    <m/>
    <m/>
    <s v="Uttar Pradesh"/>
    <s v="North"/>
    <s v="VARANASI"/>
    <s v="Sheet"/>
    <n v="931525"/>
    <s v="INDIA STEEL INDUSTRIES"/>
    <n v="3765561"/>
    <s v="CRCA SHEET TSBCRC SR15 0.700X1000X1930"/>
    <m/>
    <m/>
    <m/>
    <m/>
    <m/>
    <s v="C06"/>
    <s v="TSBCRC"/>
    <s v="SR15"/>
    <n v="0.7"/>
    <n v="1000"/>
    <m/>
    <n v="27"/>
    <n v="20.315000000000001"/>
    <n v="6.6849999999999996"/>
    <n v="6.6849999999999996"/>
    <n v="6.6849999999999996"/>
    <n v="6.6849999999999996"/>
    <n v="0"/>
    <n v="0"/>
    <n v="0"/>
    <n v="0"/>
    <n v="0"/>
    <n v="0"/>
    <n v="0"/>
    <n v="0"/>
    <n v="0"/>
    <n v="0"/>
    <n v="0"/>
    <n v="0"/>
    <n v="0"/>
    <n v="0"/>
    <n v="0"/>
    <n v="0"/>
    <n v="0"/>
    <n v="0"/>
    <n v="0"/>
    <n v="0"/>
    <n v="0"/>
    <n v="0"/>
    <n v="0"/>
    <m/>
    <n v="2.59"/>
    <n v="0"/>
    <n v="0"/>
    <n v="0"/>
    <n v="0"/>
    <n v="0"/>
    <n v="0"/>
    <n v="0"/>
    <n v="0"/>
    <n v="0"/>
    <n v="0"/>
    <n v="0"/>
    <n v="0"/>
    <n v="2.59"/>
    <n v="0"/>
    <n v="0"/>
    <n v="0"/>
    <n v="0"/>
    <n v="0"/>
    <n v="0"/>
    <n v="0"/>
    <m/>
    <m/>
    <m/>
    <m/>
    <m/>
    <m/>
    <m/>
    <m/>
    <s v="1"/>
    <s v="1"/>
    <s v="1"/>
    <s v="1"/>
    <s v="1"/>
    <m/>
    <m/>
    <m/>
    <m/>
    <m/>
    <m/>
    <m/>
    <m/>
    <m/>
    <m/>
    <m/>
    <m/>
    <m/>
    <m/>
  </r>
  <r>
    <n v="742"/>
    <d v="2025-02-07T00:00:00"/>
    <s v="ZBTO"/>
    <s v="9518500318"/>
    <s v="1"/>
    <s v="9518500318-1"/>
    <s v="May'25"/>
    <x v="0"/>
    <s v="Yes"/>
    <x v="5"/>
    <x v="10"/>
    <n v="1000"/>
    <n v="500"/>
    <x v="1"/>
    <m/>
    <m/>
    <s v="Gujarat"/>
    <s v="West"/>
    <s v="KUTCH"/>
    <s v="Coil"/>
    <n v="189108"/>
    <s v="Manaksia Coated Metals &amp; Indus"/>
    <n v="2320878"/>
    <s v="CRFH COIL TATFHC TR10 0.360X1250"/>
    <m/>
    <m/>
    <m/>
    <m/>
    <m/>
    <s v="C09"/>
    <s v="TATFHC"/>
    <s v="TR10"/>
    <n v="0.36"/>
    <n v="1250"/>
    <m/>
    <n v="261"/>
    <n v="117.85"/>
    <n v="143.15"/>
    <n v="143.15"/>
    <n v="143.15"/>
    <n v="143.15"/>
    <n v="0"/>
    <n v="0"/>
    <n v="0"/>
    <n v="0"/>
    <n v="0"/>
    <n v="0"/>
    <n v="0"/>
    <n v="0"/>
    <n v="0"/>
    <n v="0"/>
    <n v="0"/>
    <n v="0"/>
    <n v="0"/>
    <n v="0"/>
    <n v="0"/>
    <n v="0"/>
    <n v="0"/>
    <n v="0"/>
    <n v="0"/>
    <n v="0"/>
    <n v="0"/>
    <n v="0"/>
    <n v="0"/>
    <m/>
    <n v="0"/>
    <n v="143.15"/>
    <n v="0"/>
    <n v="0"/>
    <n v="0"/>
    <n v="0"/>
    <n v="143.15"/>
    <n v="0"/>
    <n v="0"/>
    <n v="0"/>
    <n v="0"/>
    <n v="0"/>
    <n v="0"/>
    <n v="143.15"/>
    <n v="21.05"/>
    <n v="0"/>
    <n v="0"/>
    <n v="0"/>
    <n v="0"/>
    <n v="21.05"/>
    <n v="0"/>
    <m/>
    <m/>
    <m/>
    <m/>
    <m/>
    <m/>
    <m/>
    <m/>
    <s v="1"/>
    <s v="1"/>
    <s v="1"/>
    <s v="1"/>
    <s v="0"/>
    <m/>
    <m/>
    <m/>
    <m/>
    <m/>
    <m/>
    <m/>
    <m/>
    <m/>
    <m/>
    <m/>
    <m/>
    <m/>
    <m/>
  </r>
  <r>
    <n v="742"/>
    <d v="2025-02-11T00:00:00"/>
    <s v="ZBTO"/>
    <s v="9518510681"/>
    <s v="1"/>
    <s v="9518510681-1"/>
    <s v="No Priority"/>
    <x v="0"/>
    <m/>
    <x v="1"/>
    <x v="2"/>
    <n v="2000"/>
    <m/>
    <x v="0"/>
    <m/>
    <m/>
    <s v="Uttar Pradesh"/>
    <s v="North"/>
    <s v="KANPUR"/>
    <s v="Sheet"/>
    <n v="115841"/>
    <s v="O.V.S. ISPAT UDYOG"/>
    <n v="3444592"/>
    <s v="CRCA SHEET TATCRC SR16 0.450X1250X2030"/>
    <m/>
    <m/>
    <m/>
    <m/>
    <m/>
    <s v="C06"/>
    <s v="TATCRC"/>
    <s v="SR16"/>
    <n v="0.45"/>
    <n v="1250"/>
    <m/>
    <n v="33"/>
    <n v="31.454999999999998"/>
    <n v="1.5449999999999999"/>
    <n v="1.5449999999999999"/>
    <n v="0"/>
    <n v="1.544999999999999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3T00:00:00"/>
    <s v="ZBTO"/>
    <s v="9518516573"/>
    <s v="1"/>
    <s v="9518516573-1"/>
    <s v="No Priority"/>
    <x v="0"/>
    <m/>
    <x v="1"/>
    <x v="2"/>
    <n v="2000"/>
    <m/>
    <x v="0"/>
    <m/>
    <m/>
    <s v="West Bengal"/>
    <s v="East"/>
    <s v="HOWRAH"/>
    <s v="Sheet"/>
    <n v="925093"/>
    <s v="PSPL STEEL PROCESSORS PRIVATE"/>
    <n v="3240765"/>
    <s v="CRCA SHEET TSBCRC SR15 0.500X1250X2500"/>
    <m/>
    <m/>
    <m/>
    <m/>
    <m/>
    <s v="C06"/>
    <s v="TSBCRC"/>
    <s v="SR15"/>
    <n v="0.5"/>
    <n v="1250"/>
    <m/>
    <n v="66"/>
    <n v="65.765000000000001"/>
    <n v="0.23499999999999999"/>
    <n v="0.23499999999999999"/>
    <n v="0"/>
    <n v="0.2349999999999999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4T00:00:00"/>
    <s v="ZBTO"/>
    <s v="9518518906"/>
    <s v="5"/>
    <s v="9518518906-5"/>
    <s v="No Priority"/>
    <x v="0"/>
    <m/>
    <x v="1"/>
    <x v="2"/>
    <n v="2000"/>
    <m/>
    <x v="0"/>
    <m/>
    <m/>
    <s v="Uttar Pradesh"/>
    <s v="North"/>
    <s v="VARANASI"/>
    <s v="Sheet"/>
    <n v="931525"/>
    <s v="INDIA STEEL INDUSTRIES"/>
    <n v="3409561"/>
    <s v="CRCA SHEET TSBCRC SR15 0.600X1000X1930"/>
    <m/>
    <m/>
    <m/>
    <m/>
    <m/>
    <s v="C06"/>
    <s v="TSBCRC"/>
    <s v="SR15"/>
    <n v="0.6"/>
    <n v="1000"/>
    <m/>
    <n v="33"/>
    <n v="20.38"/>
    <n v="12.62"/>
    <n v="12.62"/>
    <n v="12.62"/>
    <n v="12.62"/>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14T00:00:00"/>
    <s v="ZBTO"/>
    <s v="9518519620"/>
    <s v="3"/>
    <s v="9518519620-3"/>
    <s v="No Priority"/>
    <x v="0"/>
    <s v="Yes"/>
    <x v="3"/>
    <x v="9"/>
    <n v="2000"/>
    <m/>
    <x v="0"/>
    <m/>
    <m/>
    <s v="Bihar"/>
    <s v="East"/>
    <s v="PATNA CITY"/>
    <s v="Coil"/>
    <n v="103227"/>
    <s v="BMW VENTURES LIMITED"/>
    <n v="1178439"/>
    <s v="GP COIL SOFT-TATXGP-GK09-0.4X900"/>
    <m/>
    <m/>
    <m/>
    <m/>
    <m/>
    <s v="C02"/>
    <s v="TATXGP"/>
    <s v="GK09"/>
    <n v="0.4"/>
    <n v="900"/>
    <m/>
    <n v="294"/>
    <n v="241.1"/>
    <n v="52.9"/>
    <n v="52.9"/>
    <n v="0"/>
    <n v="52.9"/>
    <n v="0"/>
    <n v="0"/>
    <n v="0"/>
    <n v="0"/>
    <n v="0"/>
    <n v="0"/>
    <n v="0"/>
    <n v="0"/>
    <n v="0"/>
    <n v="0"/>
    <n v="0"/>
    <n v="0"/>
    <n v="0"/>
    <n v="0"/>
    <n v="0"/>
    <n v="0"/>
    <n v="0"/>
    <n v="0"/>
    <n v="0"/>
    <n v="0"/>
    <n v="0"/>
    <n v="53"/>
    <n v="53"/>
    <m/>
    <n v="0"/>
    <n v="0"/>
    <n v="0"/>
    <n v="0"/>
    <n v="0"/>
    <n v="0"/>
    <n v="0"/>
    <n v="0"/>
    <n v="0"/>
    <n v="0"/>
    <n v="0"/>
    <n v="0"/>
    <n v="0"/>
    <n v="0"/>
    <n v="0"/>
    <n v="0"/>
    <n v="0"/>
    <n v="0"/>
    <n v="0"/>
    <n v="0"/>
    <n v="0"/>
    <m/>
    <m/>
    <m/>
    <m/>
    <m/>
    <m/>
    <m/>
    <m/>
    <s v="1"/>
    <s v="1"/>
    <s v="1"/>
    <s v="1"/>
    <s v="1"/>
    <m/>
    <m/>
    <m/>
    <m/>
    <m/>
    <m/>
    <m/>
    <m/>
    <m/>
    <m/>
    <m/>
    <m/>
    <m/>
    <m/>
  </r>
  <r>
    <n v="742"/>
    <d v="2025-02-14T00:00:00"/>
    <s v="ZBTO"/>
    <s v="9518519644"/>
    <s v="3"/>
    <s v="9518519644-3"/>
    <s v="No Priority"/>
    <x v="0"/>
    <m/>
    <x v="1"/>
    <x v="2"/>
    <n v="2000"/>
    <m/>
    <x v="0"/>
    <m/>
    <m/>
    <s v="Bihar"/>
    <s v="East"/>
    <s v="PATNA CITY"/>
    <s v="Sheet"/>
    <n v="103227"/>
    <s v="BMW VENTURES LIMITED"/>
    <n v="2441002"/>
    <s v="CRCA SHEET TATCRC SR16 0.380X1250X2500"/>
    <m/>
    <m/>
    <m/>
    <m/>
    <m/>
    <s v="C06"/>
    <s v="TATCRC"/>
    <s v="SR16"/>
    <n v="0.38"/>
    <n v="1250"/>
    <m/>
    <n v="51"/>
    <n v="48.645000000000003"/>
    <n v="2.355"/>
    <n v="2.355"/>
    <n v="0"/>
    <n v="2.35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4T00:00:00"/>
    <s v="ZBTO"/>
    <s v="9518520213"/>
    <s v="10"/>
    <s v="9518520213-10"/>
    <s v="No Priority"/>
    <x v="0"/>
    <m/>
    <x v="1"/>
    <x v="2"/>
    <n v="2000"/>
    <m/>
    <x v="0"/>
    <m/>
    <m/>
    <s v="Bihar"/>
    <s v="East"/>
    <s v="PURNEA JN."/>
    <s v="Sheet"/>
    <n v="103227"/>
    <s v="BMW VENTURES LIMITED"/>
    <n v="3446129"/>
    <s v="CRCA SHEET TATCRC SR16 0.480X1250X2500"/>
    <m/>
    <m/>
    <m/>
    <m/>
    <m/>
    <s v="C06"/>
    <s v="TATCRC"/>
    <s v="SR16"/>
    <n v="0.48"/>
    <n v="1250"/>
    <m/>
    <n v="51"/>
    <n v="49.195"/>
    <n v="1.8049999999999999"/>
    <n v="1.8049999999999999"/>
    <n v="0"/>
    <n v="1.804999999999999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8T00:00:00"/>
    <s v="ZBTO"/>
    <s v="9518529569"/>
    <s v="2"/>
    <s v="9518529569-2"/>
    <s v="No Priority"/>
    <x v="0"/>
    <m/>
    <x v="1"/>
    <x v="2"/>
    <n v="2000"/>
    <m/>
    <x v="0"/>
    <m/>
    <m/>
    <s v="Rajasthan"/>
    <s v="North"/>
    <s v="JAIPUR"/>
    <s v="Sheet"/>
    <n v="116137"/>
    <s v="PELIKAN DOSSIER PRIVATE LIMITE"/>
    <n v="3240765"/>
    <s v="CRCA SHEET TSBCRC SR15 0.500X1250X2500"/>
    <m/>
    <m/>
    <m/>
    <m/>
    <m/>
    <s v="C06"/>
    <s v="TSBCRC"/>
    <s v="SR15"/>
    <n v="0.5"/>
    <n v="1250"/>
    <m/>
    <n v="98.97"/>
    <n v="97.25"/>
    <n v="1.72"/>
    <n v="1.72"/>
    <n v="0"/>
    <n v="1.72"/>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9T00:00:00"/>
    <s v="ZBTT"/>
    <s v="9518531893"/>
    <s v="1"/>
    <s v="9518531893-1"/>
    <s v="No Priority"/>
    <x v="0"/>
    <m/>
    <x v="1"/>
    <x v="0"/>
    <n v="2000"/>
    <m/>
    <x v="0"/>
    <m/>
    <m/>
    <s v="Tamil Nadu"/>
    <s v="South"/>
    <s v="CHENNAI"/>
    <s v="Coil"/>
    <n v="122082"/>
    <s v=""/>
    <n v="3774639"/>
    <s v="CR COIL TATXHS GB03 1.500X1260"/>
    <m/>
    <m/>
    <m/>
    <m/>
    <m/>
    <s v="C01"/>
    <s v="TATXHS"/>
    <s v="GB03"/>
    <n v="1.5"/>
    <n v="1260"/>
    <m/>
    <n v="168"/>
    <n v="0"/>
    <n v="168"/>
    <n v="168"/>
    <n v="16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20T00:00:00"/>
    <s v="ZBTO"/>
    <s v="9518535833"/>
    <s v="27"/>
    <s v="9518535833-27"/>
    <s v="No Priority"/>
    <x v="0"/>
    <m/>
    <x v="1"/>
    <x v="2"/>
    <n v="2000"/>
    <m/>
    <x v="0"/>
    <m/>
    <m/>
    <s v="Tamil Nadu"/>
    <s v="South"/>
    <s v="CHENNAI"/>
    <s v="Sheet"/>
    <n v="938550"/>
    <s v="BASEER AND CO"/>
    <n v="3240837"/>
    <s v="CRCA SHEET TSBCRC SR15 1X1250X2500"/>
    <m/>
    <m/>
    <m/>
    <m/>
    <m/>
    <s v="C06"/>
    <s v="TSBCRC"/>
    <s v="SR15"/>
    <n v="1"/>
    <n v="1250"/>
    <m/>
    <n v="30"/>
    <n v="29.204999999999998"/>
    <n v="0.79500000000000004"/>
    <n v="0.79500000000000004"/>
    <n v="0"/>
    <n v="0.7950000000000000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2-20T00:00:00"/>
    <s v="ZBTO"/>
    <s v="9518536050"/>
    <s v="1"/>
    <s v="9518536050-1"/>
    <s v="No Priority"/>
    <x v="0"/>
    <m/>
    <x v="2"/>
    <x v="3"/>
    <n v="1000"/>
    <m/>
    <x v="0"/>
    <m/>
    <s v="Exp BTF &lt;17MT"/>
    <s v="Jharkhand"/>
    <s v="TBSPL"/>
    <s v="TBL- BARA AGRICO"/>
    <s v="Coil"/>
    <n v="941597"/>
    <s v="TATA BLUESCOPE STEEL PRIVATE L"/>
    <n v="3941967"/>
    <s v="PPGL C HARD Y550PL D0C9 0.60(TPT)X1220"/>
    <m/>
    <m/>
    <m/>
    <m/>
    <m/>
    <s v="B18"/>
    <s v="Y550PL"/>
    <s v="D0C9"/>
    <n v="0.6"/>
    <n v="1220"/>
    <m/>
    <n v="28"/>
    <n v="10.37"/>
    <n v="17.63"/>
    <n v="8.4700000000000006"/>
    <n v="17.63"/>
    <n v="17.6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22T00:00:00"/>
    <s v="ZBTO"/>
    <s v="9518542770"/>
    <s v="1"/>
    <s v="9518542770-1"/>
    <s v="May'25"/>
    <x v="0"/>
    <m/>
    <x v="4"/>
    <x v="3"/>
    <n v="1000"/>
    <m/>
    <x v="1"/>
    <m/>
    <m/>
    <s v="Jharkhand"/>
    <s v="TBSPL"/>
    <s v="TBL- BARA AGRICO"/>
    <s v="Coil"/>
    <n v="942283"/>
    <s v="TATA BLUESCOPE STEEL PRIVATE L"/>
    <n v="3239573"/>
    <s v="GL C YS550 H6GL 0.42BMT(0.47TCT)X1220"/>
    <m/>
    <m/>
    <m/>
    <m/>
    <m/>
    <s v="B04"/>
    <s v="Y550GL"/>
    <s v="H6GL"/>
    <n v="0.42"/>
    <n v="1220"/>
    <m/>
    <n v="140"/>
    <n v="115.1"/>
    <n v="24.9"/>
    <n v="24.9"/>
    <n v="24.9"/>
    <n v="24.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2-22T00:00:00"/>
    <s v="ZBTO"/>
    <s v="9518543125"/>
    <s v="2"/>
    <s v="9518543125-2"/>
    <s v="May'25"/>
    <x v="0"/>
    <m/>
    <x v="2"/>
    <x v="3"/>
    <n v="1000"/>
    <m/>
    <x v="1"/>
    <m/>
    <m/>
    <s v="Jharkhand"/>
    <s v="TBSPL"/>
    <s v="GAMHARIA"/>
    <s v="Coil"/>
    <n v="940016"/>
    <s v="TATA BLUESCOPE STEEL PVT LTD."/>
    <n v="3797658"/>
    <s v="PPGL C Y550 ISC6 0.40BMT(0.45TPT)X1220"/>
    <m/>
    <m/>
    <m/>
    <m/>
    <m/>
    <s v="B18"/>
    <s v="Y550PL"/>
    <s v="ISC6"/>
    <n v="0.4"/>
    <n v="1220"/>
    <m/>
    <n v="279.99"/>
    <n v="257.065"/>
    <n v="22.925000000000001"/>
    <n v="22.925000000000001"/>
    <n v="22.925000000000001"/>
    <n v="22.925000000000001"/>
    <n v="0"/>
    <n v="0"/>
    <n v="0"/>
    <n v="0"/>
    <n v="0"/>
    <n v="0"/>
    <n v="0"/>
    <n v="0"/>
    <n v="0"/>
    <n v="0"/>
    <n v="0"/>
    <n v="0"/>
    <n v="0"/>
    <n v="0"/>
    <n v="0"/>
    <n v="0"/>
    <n v="0"/>
    <n v="0"/>
    <n v="0"/>
    <n v="0"/>
    <n v="0"/>
    <n v="0"/>
    <n v="0"/>
    <m/>
    <n v="0"/>
    <n v="22.925000000000001"/>
    <n v="0"/>
    <n v="0"/>
    <n v="22.925000000000001"/>
    <n v="0"/>
    <n v="0"/>
    <n v="0"/>
    <n v="0"/>
    <n v="0"/>
    <n v="0"/>
    <n v="0"/>
    <n v="0"/>
    <n v="22.925000000000001"/>
    <n v="12.594999999999999"/>
    <n v="0"/>
    <n v="0"/>
    <n v="12.594999999999999"/>
    <n v="0"/>
    <n v="0"/>
    <n v="0"/>
    <m/>
    <m/>
    <m/>
    <m/>
    <m/>
    <m/>
    <m/>
    <m/>
    <s v="1"/>
    <s v="1"/>
    <s v="0"/>
    <s v="1"/>
    <s v="1"/>
    <m/>
    <m/>
    <m/>
    <m/>
    <m/>
    <m/>
    <m/>
    <m/>
    <m/>
    <m/>
    <m/>
    <m/>
    <m/>
    <m/>
  </r>
  <r>
    <n v="743"/>
    <d v="2025-02-25T00:00:00"/>
    <s v="ZBTO"/>
    <s v="9518550672"/>
    <s v="1"/>
    <s v="9518550672-1"/>
    <s v="No Priority"/>
    <x v="0"/>
    <m/>
    <x v="4"/>
    <x v="10"/>
    <n v="1000"/>
    <m/>
    <x v="0"/>
    <m/>
    <s v="No allocation for IPP"/>
    <s v="Andhra Pradesh"/>
    <s v="South"/>
    <s v="NELLORE"/>
    <s v="Coil"/>
    <n v="188750"/>
    <s v="Colorshine Coated Pvt.Ltd."/>
    <n v="3433440"/>
    <s v="GL COIL HARD  Y550GL H7GL 0.420X1235"/>
    <m/>
    <m/>
    <m/>
    <m/>
    <m/>
    <s v="B04"/>
    <s v="Y550GL"/>
    <s v="H7GL"/>
    <n v="0.42"/>
    <n v="1235"/>
    <m/>
    <n v="280"/>
    <n v="193.19499999999999"/>
    <n v="86.805000000000007"/>
    <n v="86.805000000000007"/>
    <n v="86.805000000000007"/>
    <n v="86.805000000000007"/>
    <n v="0"/>
    <n v="0"/>
    <n v="0"/>
    <n v="0"/>
    <n v="0"/>
    <n v="0"/>
    <n v="0"/>
    <n v="0"/>
    <n v="0"/>
    <n v="0"/>
    <n v="0"/>
    <n v="0"/>
    <n v="0"/>
    <n v="0"/>
    <n v="0"/>
    <n v="0"/>
    <n v="0"/>
    <n v="0"/>
    <n v="0"/>
    <n v="0"/>
    <n v="0"/>
    <n v="0"/>
    <n v="0"/>
    <m/>
    <n v="0"/>
    <n v="0"/>
    <n v="0"/>
    <n v="0"/>
    <n v="0"/>
    <n v="0"/>
    <n v="0"/>
    <n v="0"/>
    <n v="0"/>
    <n v="0"/>
    <n v="0"/>
    <n v="0"/>
    <n v="0"/>
    <n v="0"/>
    <n v="31.574999999999999"/>
    <n v="0"/>
    <n v="0"/>
    <n v="0"/>
    <n v="0"/>
    <n v="0"/>
    <n v="31.574999999999999"/>
    <m/>
    <m/>
    <m/>
    <m/>
    <m/>
    <m/>
    <m/>
    <m/>
    <s v="1"/>
    <s v="1"/>
    <s v="1"/>
    <s v="1"/>
    <s v="1"/>
    <m/>
    <m/>
    <m/>
    <m/>
    <m/>
    <m/>
    <m/>
    <m/>
    <m/>
    <m/>
    <m/>
    <m/>
    <m/>
    <m/>
  </r>
  <r>
    <n v="743"/>
    <d v="2025-02-27T00:00:00"/>
    <s v="ZBTO"/>
    <s v="9518561462"/>
    <s v="1"/>
    <s v="9518561462-1"/>
    <s v="May'25"/>
    <x v="0"/>
    <s v="Yes"/>
    <x v="3"/>
    <x v="4"/>
    <n v="2000"/>
    <m/>
    <x v="1"/>
    <m/>
    <m/>
    <s v="Gujarat"/>
    <s v="West"/>
    <s v="CHANGODAR"/>
    <s v="Coil"/>
    <n v="158122"/>
    <s v="WRINKLE DISTRIBUTORS PVT LTD."/>
    <n v="3708868"/>
    <s v="GP COIL TATGPH GP02 0.500X1350"/>
    <m/>
    <m/>
    <m/>
    <m/>
    <m/>
    <s v="C05"/>
    <s v="TATGPH"/>
    <s v="GP02"/>
    <n v="0.5"/>
    <n v="1350"/>
    <m/>
    <n v="217"/>
    <n v="198.41"/>
    <n v="18.59"/>
    <n v="18.59"/>
    <n v="18.59"/>
    <n v="18.59"/>
    <n v="0"/>
    <n v="0"/>
    <n v="0"/>
    <n v="0"/>
    <n v="0"/>
    <n v="0"/>
    <n v="0"/>
    <n v="0"/>
    <n v="0"/>
    <n v="0"/>
    <n v="0"/>
    <n v="0"/>
    <n v="0"/>
    <n v="0"/>
    <n v="0"/>
    <n v="0"/>
    <n v="0"/>
    <n v="0"/>
    <n v="0"/>
    <n v="0"/>
    <n v="0"/>
    <n v="0"/>
    <n v="0"/>
    <m/>
    <n v="0"/>
    <n v="18.59"/>
    <n v="0"/>
    <n v="0"/>
    <n v="18.59"/>
    <n v="0"/>
    <n v="0"/>
    <n v="0"/>
    <n v="0"/>
    <n v="0"/>
    <n v="0"/>
    <n v="0"/>
    <n v="0"/>
    <n v="18.59"/>
    <n v="0"/>
    <n v="0"/>
    <n v="0"/>
    <n v="0"/>
    <n v="0"/>
    <n v="0"/>
    <n v="0"/>
    <m/>
    <m/>
    <m/>
    <m/>
    <m/>
    <m/>
    <m/>
    <m/>
    <s v="1"/>
    <s v="1"/>
    <s v="0"/>
    <s v="1"/>
    <s v="1"/>
    <m/>
    <m/>
    <m/>
    <m/>
    <m/>
    <m/>
    <m/>
    <m/>
    <m/>
    <m/>
    <m/>
    <m/>
    <m/>
    <m/>
  </r>
  <r>
    <n v="742"/>
    <d v="2025-03-03T00:00:00"/>
    <s v="ZBTO"/>
    <s v="9518569795"/>
    <s v="17"/>
    <s v="9518569795-17"/>
    <s v="No Priority"/>
    <x v="0"/>
    <m/>
    <x v="1"/>
    <x v="2"/>
    <n v="2000"/>
    <m/>
    <x v="0"/>
    <m/>
    <m/>
    <s v="West Bengal"/>
    <s v="East"/>
    <s v="SILIGURI TOWN"/>
    <s v="Sheet"/>
    <n v="948783"/>
    <s v="SAGAR STEELS"/>
    <n v="3905150"/>
    <s v="CRCA SHEET TSBCRC SR15 0.700X900X2500"/>
    <m/>
    <m/>
    <m/>
    <m/>
    <m/>
    <s v="C06"/>
    <s v="TSBCRC"/>
    <s v="SR15"/>
    <n v="0.7"/>
    <n v="900"/>
    <m/>
    <n v="24"/>
    <n v="18.27"/>
    <n v="5.73"/>
    <n v="5.73"/>
    <n v="5.73"/>
    <n v="5.7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04T00:00:00"/>
    <s v="ZBTO"/>
    <s v="9518573555"/>
    <s v="2"/>
    <s v="9518573555-2"/>
    <s v="May'25"/>
    <x v="0"/>
    <m/>
    <x v="4"/>
    <x v="3"/>
    <n v="1000"/>
    <m/>
    <x v="1"/>
    <m/>
    <m/>
    <s v="Jharkhand"/>
    <s v="TBSPL"/>
    <s v="TBL- BARA AGRICO"/>
    <s v="Coil"/>
    <n v="942283"/>
    <s v="TATA BLUESCOPE STEEL PRIVATE L"/>
    <n v="3672140"/>
    <s v="GL C YS550 H6GL 0.85BMT(0.90TCT)X1250"/>
    <m/>
    <m/>
    <m/>
    <m/>
    <m/>
    <s v="B04"/>
    <s v="Y550GL"/>
    <s v="H6GL"/>
    <n v="0.85"/>
    <n v="1250"/>
    <m/>
    <n v="203"/>
    <n v="167.74"/>
    <n v="35.26"/>
    <n v="35.26"/>
    <n v="35.26"/>
    <n v="35.26"/>
    <n v="0"/>
    <n v="0"/>
    <n v="0"/>
    <n v="0"/>
    <n v="0"/>
    <n v="0"/>
    <n v="0"/>
    <n v="0"/>
    <n v="0"/>
    <n v="0"/>
    <n v="0"/>
    <n v="0"/>
    <n v="0"/>
    <n v="0"/>
    <n v="0"/>
    <n v="0"/>
    <n v="0"/>
    <n v="0"/>
    <n v="0"/>
    <n v="0"/>
    <n v="0"/>
    <n v="0"/>
    <n v="0"/>
    <m/>
    <n v="0"/>
    <n v="0"/>
    <n v="0"/>
    <n v="0"/>
    <n v="0"/>
    <n v="0"/>
    <n v="0"/>
    <n v="0"/>
    <n v="0"/>
    <n v="0"/>
    <n v="0"/>
    <n v="0"/>
    <n v="0"/>
    <n v="0"/>
    <n v="19.365000000000002"/>
    <n v="0"/>
    <n v="0"/>
    <n v="0"/>
    <n v="0"/>
    <n v="0"/>
    <n v="19.365000000000002"/>
    <m/>
    <m/>
    <m/>
    <m/>
    <m/>
    <m/>
    <m/>
    <m/>
    <s v="1"/>
    <s v="1"/>
    <s v="1"/>
    <s v="1"/>
    <s v="1"/>
    <m/>
    <m/>
    <m/>
    <m/>
    <m/>
    <m/>
    <m/>
    <m/>
    <m/>
    <m/>
    <m/>
    <m/>
    <m/>
    <m/>
  </r>
  <r>
    <n v="742"/>
    <d v="2025-03-04T00:00:00"/>
    <s v="ZBTO"/>
    <s v="9518573630"/>
    <s v="3"/>
    <s v="9518573630-3"/>
    <s v="No Priority"/>
    <x v="0"/>
    <m/>
    <x v="1"/>
    <x v="1"/>
    <n v="2000"/>
    <m/>
    <x v="0"/>
    <m/>
    <m/>
    <s v="Uttar Pradesh"/>
    <s v="North"/>
    <s v="KANPUR"/>
    <s v="Coil"/>
    <n v="933952"/>
    <s v="AGARWAL STEEL TRADERS"/>
    <n v="1804854"/>
    <s v="CRCA COIL-TATXXD-AU03-1.2X1250"/>
    <m/>
    <m/>
    <m/>
    <m/>
    <m/>
    <s v="C01"/>
    <s v="TATXXD"/>
    <s v="AU03"/>
    <n v="1.2"/>
    <n v="1250"/>
    <m/>
    <n v="29"/>
    <n v="9.0250000000000004"/>
    <n v="19.975000000000001"/>
    <n v="19.975000000000001"/>
    <n v="19.975000000000001"/>
    <n v="19.975000000000001"/>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5T00:00:00"/>
    <s v="ZBTO"/>
    <s v="9518576862"/>
    <s v="1"/>
    <s v="9518576862-1"/>
    <s v="No Priority"/>
    <x v="0"/>
    <m/>
    <x v="1"/>
    <x v="2"/>
    <n v="2000"/>
    <m/>
    <x v="0"/>
    <m/>
    <m/>
    <s v="Maharashtra"/>
    <s v="West"/>
    <s v="NAGPUR"/>
    <s v="Sheet"/>
    <n v="103092"/>
    <s v="TEJRAM RAMNIWAS AGARWAL"/>
    <n v="3240895"/>
    <s v="CRCA SHEET TATXXD SR17 0.500X1250X2500"/>
    <m/>
    <m/>
    <m/>
    <m/>
    <m/>
    <s v="C06"/>
    <s v="TATXXD"/>
    <s v="SR17"/>
    <n v="0.5"/>
    <n v="1250"/>
    <m/>
    <n v="43.37"/>
    <n v="43.37"/>
    <n v="0"/>
    <n v="0"/>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6T00:00:00"/>
    <s v="ZBTO"/>
    <s v="9518578381"/>
    <s v="1"/>
    <s v="9518578381-1"/>
    <s v="May'25"/>
    <x v="0"/>
    <m/>
    <x v="0"/>
    <x v="0"/>
    <n v="2000"/>
    <m/>
    <x v="1"/>
    <m/>
    <m/>
    <s v="Telangana"/>
    <s v="South"/>
    <s v="HYDERABAD"/>
    <s v="Coil"/>
    <n v="847544"/>
    <s v="G K ISPAT PRIVATE LIMITED"/>
    <n v="1250221"/>
    <s v="HR COILS-PO IS 1079 HR2 2.50X1250"/>
    <m/>
    <m/>
    <m/>
    <m/>
    <m/>
    <n v="768"/>
    <s v="THR099"/>
    <s v="HR99"/>
    <n v="2.5"/>
    <n v="1250"/>
    <m/>
    <n v="99.995000000000005"/>
    <n v="24.34"/>
    <n v="75.655000000000001"/>
    <n v="75.655000000000001"/>
    <n v="50.655000000000001"/>
    <n v="53.71"/>
    <n v="0"/>
    <n v="0"/>
    <n v="0"/>
    <n v="0"/>
    <n v="0"/>
    <n v="0"/>
    <n v="0"/>
    <n v="0"/>
    <n v="0"/>
    <n v="0"/>
    <n v="0"/>
    <n v="0"/>
    <n v="0"/>
    <n v="0"/>
    <n v="0"/>
    <n v="0"/>
    <n v="0"/>
    <n v="0"/>
    <n v="0"/>
    <n v="0"/>
    <n v="0"/>
    <n v="25"/>
    <n v="25"/>
    <m/>
    <n v="21.945"/>
    <n v="53.71"/>
    <n v="0"/>
    <n v="53.71"/>
    <n v="0"/>
    <n v="0"/>
    <n v="0"/>
    <n v="53.71"/>
    <n v="0"/>
    <n v="53.71"/>
    <n v="0"/>
    <n v="0"/>
    <n v="0"/>
    <n v="21.945"/>
    <n v="0"/>
    <n v="0"/>
    <n v="0"/>
    <n v="0"/>
    <n v="0"/>
    <n v="0"/>
    <n v="0"/>
    <m/>
    <m/>
    <m/>
    <m/>
    <m/>
    <m/>
    <m/>
    <m/>
    <s v="1"/>
    <s v="0"/>
    <s v="1"/>
    <s v="1"/>
    <s v="1"/>
    <m/>
    <m/>
    <m/>
    <m/>
    <m/>
    <m/>
    <m/>
    <m/>
    <m/>
    <m/>
    <m/>
    <m/>
    <m/>
    <m/>
  </r>
  <r>
    <n v="742"/>
    <d v="2025-03-06T00:00:00"/>
    <s v="ZBTO"/>
    <s v="9518579878"/>
    <s v="2"/>
    <s v="9518579878-2"/>
    <s v="Stocks"/>
    <x v="0"/>
    <m/>
    <x v="1"/>
    <x v="2"/>
    <n v="2000"/>
    <m/>
    <x v="1"/>
    <m/>
    <m/>
    <s v="Uttar Pradesh"/>
    <s v="North"/>
    <s v="VARANASI"/>
    <s v="Sheet"/>
    <n v="931525"/>
    <s v="INDIA STEEL INDUSTRIES"/>
    <n v="3239568"/>
    <s v="CRCA SHEET TATCRC SR16 0.450X1250X2500"/>
    <m/>
    <m/>
    <m/>
    <m/>
    <m/>
    <s v="C06"/>
    <s v="TATCRC"/>
    <s v="SR16"/>
    <n v="0.45"/>
    <n v="1250"/>
    <m/>
    <n v="54"/>
    <n v="50.51"/>
    <n v="3.49"/>
    <n v="3.49"/>
    <n v="3.49"/>
    <n v="0.77"/>
    <n v="0"/>
    <n v="0"/>
    <n v="0"/>
    <n v="0"/>
    <n v="0"/>
    <n v="0"/>
    <n v="0"/>
    <n v="0"/>
    <n v="0"/>
    <n v="0"/>
    <n v="0"/>
    <n v="0"/>
    <n v="0"/>
    <n v="0"/>
    <n v="0"/>
    <n v="0"/>
    <n v="0"/>
    <n v="0"/>
    <n v="0"/>
    <n v="0"/>
    <n v="0"/>
    <n v="0"/>
    <n v="0"/>
    <m/>
    <n v="2.72"/>
    <n v="0"/>
    <n v="0"/>
    <n v="0"/>
    <n v="0"/>
    <n v="0"/>
    <n v="0"/>
    <n v="0"/>
    <n v="0"/>
    <n v="0"/>
    <n v="0"/>
    <n v="0"/>
    <n v="0"/>
    <n v="2.72"/>
    <n v="0"/>
    <n v="0"/>
    <n v="0"/>
    <n v="0"/>
    <n v="0"/>
    <n v="0"/>
    <n v="0"/>
    <m/>
    <m/>
    <m/>
    <m/>
    <m/>
    <m/>
    <m/>
    <m/>
    <s v="1"/>
    <s v="1"/>
    <s v="1"/>
    <s v="1"/>
    <s v="1"/>
    <m/>
    <m/>
    <m/>
    <m/>
    <m/>
    <m/>
    <m/>
    <m/>
    <m/>
    <m/>
    <m/>
    <m/>
    <m/>
    <m/>
  </r>
  <r>
    <n v="742"/>
    <d v="2025-03-06T00:00:00"/>
    <s v="ZBTO"/>
    <s v="9518579878"/>
    <s v="5"/>
    <s v="9518579878-5"/>
    <s v="No Priority"/>
    <x v="0"/>
    <m/>
    <x v="1"/>
    <x v="2"/>
    <n v="2000"/>
    <m/>
    <x v="0"/>
    <m/>
    <m/>
    <s v="Uttar Pradesh"/>
    <s v="North"/>
    <s v="VARANASI"/>
    <s v="Sheet"/>
    <n v="931525"/>
    <s v="INDIA STEEL INDUSTRIES"/>
    <n v="3444592"/>
    <s v="CRCA SHEET TATCRC SR16 0.450X1250X2030"/>
    <m/>
    <m/>
    <m/>
    <m/>
    <m/>
    <s v="C06"/>
    <s v="TATCRC"/>
    <s v="SR16"/>
    <n v="0.45"/>
    <n v="1250"/>
    <m/>
    <n v="54"/>
    <n v="51.04"/>
    <n v="2.96"/>
    <n v="2.96"/>
    <n v="2.96"/>
    <n v="2.96"/>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7T00:00:00"/>
    <s v="ZBTO"/>
    <s v="9518582494"/>
    <s v="5"/>
    <s v="9518582494-5"/>
    <s v="No Priority"/>
    <x v="0"/>
    <m/>
    <x v="1"/>
    <x v="2"/>
    <n v="2000"/>
    <m/>
    <x v="0"/>
    <m/>
    <m/>
    <s v="Bihar"/>
    <s v="East"/>
    <s v="PATNA CITY"/>
    <s v="Sheet"/>
    <n v="103227"/>
    <s v="BMW VENTURES LIMITED"/>
    <n v="2441004"/>
    <s v="CRCA SHEET TATCRC SR16 0.430X1250X2500"/>
    <m/>
    <m/>
    <m/>
    <m/>
    <m/>
    <s v="C06"/>
    <s v="TATCRC"/>
    <s v="SR16"/>
    <n v="0.43"/>
    <n v="1250"/>
    <m/>
    <n v="27"/>
    <n v="26.145"/>
    <n v="0.85499999999999998"/>
    <n v="0.85499999999999998"/>
    <n v="0"/>
    <n v="0.8549999999999999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7T00:00:00"/>
    <s v="ZBTO"/>
    <s v="9518583094"/>
    <s v="4"/>
    <s v="9518583094-4"/>
    <s v="No Priority"/>
    <x v="0"/>
    <m/>
    <x v="1"/>
    <x v="2"/>
    <n v="2000"/>
    <m/>
    <x v="0"/>
    <m/>
    <m/>
    <s v="Uttar Pradesh"/>
    <s v="North"/>
    <s v="VARANASI"/>
    <s v="Sheet"/>
    <n v="931525"/>
    <s v="INDIA STEEL INDUSTRIES"/>
    <n v="3444592"/>
    <s v="CRCA SHEET TATCRC SR16 0.450X1250X2030"/>
    <m/>
    <m/>
    <m/>
    <m/>
    <m/>
    <s v="C06"/>
    <s v="TATCRC"/>
    <s v="SR16"/>
    <n v="0.45"/>
    <n v="1250"/>
    <m/>
    <n v="81"/>
    <n v="80.13"/>
    <n v="0.87"/>
    <n v="0.87"/>
    <n v="0"/>
    <n v="0.87"/>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10T00:00:00"/>
    <s v="ZBTO"/>
    <s v="9518588324"/>
    <s v="1"/>
    <s v="9518588324-1"/>
    <s v="No Priority"/>
    <x v="0"/>
    <m/>
    <x v="4"/>
    <x v="10"/>
    <n v="1000"/>
    <m/>
    <x v="0"/>
    <m/>
    <s v="No allocation for IPP"/>
    <s v="Andhra Pradesh"/>
    <s v="South"/>
    <s v="NELLORE"/>
    <s v="Coil"/>
    <n v="188750"/>
    <s v="Colorshine Coated Pvt.Ltd."/>
    <n v="3245089"/>
    <s v="GL COIL HARD  Y550GL H7GL 0.320X1245"/>
    <m/>
    <m/>
    <m/>
    <m/>
    <m/>
    <s v="B04"/>
    <s v="Y550GL"/>
    <s v="H7GL"/>
    <n v="0.32"/>
    <n v="1245"/>
    <m/>
    <n v="290"/>
    <n v="197.17500000000001"/>
    <n v="92.825000000000003"/>
    <n v="66.084999999999994"/>
    <n v="92.825000000000003"/>
    <n v="92.82500000000000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13T00:00:00"/>
    <s v="ZBTO"/>
    <s v="9518598795"/>
    <s v="4"/>
    <s v="9518598795-4"/>
    <s v="May'25"/>
    <x v="0"/>
    <s v="Yes"/>
    <x v="1"/>
    <x v="1"/>
    <n v="2000"/>
    <m/>
    <x v="1"/>
    <m/>
    <m/>
    <s v="Tamil Nadu"/>
    <s v="South"/>
    <s v="GUMMIDIPUNDI"/>
    <s v="Coil"/>
    <n v="822271"/>
    <s v="TATA STEEL DOWNSTREAM PRODUCTS"/>
    <n v="1801804"/>
    <s v="CRCA COIL-TATXXD-AU03-1X1250"/>
    <m/>
    <m/>
    <m/>
    <m/>
    <m/>
    <s v="C01"/>
    <s v="TATXXD"/>
    <s v="AU03"/>
    <n v="1"/>
    <n v="1250"/>
    <m/>
    <n v="87"/>
    <n v="48.87"/>
    <n v="38.130000000000003"/>
    <n v="38.130000000000003"/>
    <n v="10.760000000000002"/>
    <n v="38.130000000000003"/>
    <n v="0"/>
    <n v="0"/>
    <n v="0"/>
    <n v="0"/>
    <n v="0"/>
    <n v="0"/>
    <n v="0"/>
    <n v="0"/>
    <n v="0"/>
    <n v="0"/>
    <n v="0"/>
    <n v="0"/>
    <n v="0"/>
    <n v="27.37"/>
    <n v="0"/>
    <n v="0"/>
    <n v="0"/>
    <n v="0"/>
    <n v="0"/>
    <n v="27.37"/>
    <n v="27.37"/>
    <n v="0"/>
    <n v="27.37"/>
    <m/>
    <n v="0"/>
    <n v="38.130000000000003"/>
    <n v="0"/>
    <n v="38.130000000000003"/>
    <n v="0"/>
    <n v="0"/>
    <n v="0"/>
    <n v="38.130000000000003"/>
    <n v="0"/>
    <n v="38.130000000000003"/>
    <n v="0"/>
    <n v="0"/>
    <n v="0"/>
    <n v="0"/>
    <n v="0"/>
    <n v="0"/>
    <n v="0"/>
    <n v="0"/>
    <n v="0"/>
    <n v="0"/>
    <n v="0"/>
    <m/>
    <m/>
    <m/>
    <m/>
    <m/>
    <m/>
    <m/>
    <m/>
    <s v="1"/>
    <s v="0"/>
    <s v="1"/>
    <s v="1"/>
    <s v="1"/>
    <m/>
    <m/>
    <m/>
    <m/>
    <m/>
    <m/>
    <m/>
    <m/>
    <m/>
    <m/>
    <m/>
    <m/>
    <m/>
    <m/>
  </r>
  <r>
    <n v="743"/>
    <d v="2025-03-15T00:00:00"/>
    <s v="ZBTO"/>
    <s v="9518601754"/>
    <s v="1"/>
    <s v="9518601754-1"/>
    <s v="No Priority"/>
    <x v="0"/>
    <m/>
    <x v="4"/>
    <x v="10"/>
    <n v="1000"/>
    <m/>
    <x v="0"/>
    <m/>
    <s v="No allocation for IPP"/>
    <s v="Andhra Pradesh"/>
    <s v="South"/>
    <s v="NELLORE"/>
    <s v="Coil"/>
    <n v="188750"/>
    <s v="Colorshine Coated Pvt.Ltd."/>
    <n v="3965990"/>
    <s v="GL COIL HARD  Y550GL H7GL 0.320X1240"/>
    <m/>
    <m/>
    <m/>
    <m/>
    <m/>
    <s v="B04"/>
    <s v="Y550GL"/>
    <s v="H7GL"/>
    <n v="0.32"/>
    <n v="1240"/>
    <m/>
    <n v="280"/>
    <n v="253.26499999999999"/>
    <n v="26.734999999999999"/>
    <n v="26.734999999999999"/>
    <n v="26.734999999999999"/>
    <n v="26.734999999999999"/>
    <n v="0"/>
    <n v="0"/>
    <n v="0"/>
    <n v="0"/>
    <n v="0"/>
    <n v="0"/>
    <n v="0"/>
    <n v="0"/>
    <n v="0"/>
    <n v="0"/>
    <n v="0"/>
    <n v="0"/>
    <n v="0"/>
    <n v="0"/>
    <n v="0"/>
    <n v="0"/>
    <n v="0"/>
    <n v="0"/>
    <n v="0"/>
    <n v="0"/>
    <n v="0"/>
    <n v="0"/>
    <n v="0"/>
    <m/>
    <n v="0"/>
    <n v="0"/>
    <n v="0"/>
    <n v="0"/>
    <n v="0"/>
    <n v="0"/>
    <n v="0"/>
    <n v="0"/>
    <n v="0"/>
    <n v="0"/>
    <n v="0"/>
    <n v="0"/>
    <n v="0"/>
    <n v="0"/>
    <n v="22.509999999999998"/>
    <n v="0"/>
    <n v="0"/>
    <n v="0"/>
    <n v="0"/>
    <n v="0"/>
    <n v="22.509999999999998"/>
    <m/>
    <m/>
    <m/>
    <m/>
    <m/>
    <m/>
    <m/>
    <m/>
    <s v="1"/>
    <s v="1"/>
    <s v="1"/>
    <s v="1"/>
    <s v="1"/>
    <m/>
    <m/>
    <m/>
    <m/>
    <m/>
    <m/>
    <m/>
    <m/>
    <m/>
    <m/>
    <m/>
    <m/>
    <m/>
    <m/>
  </r>
  <r>
    <n v="742"/>
    <d v="2025-03-16T00:00:00"/>
    <s v="ZBTO"/>
    <s v="9518604323"/>
    <s v="16"/>
    <s v="9518604323-16"/>
    <s v="No Priority"/>
    <x v="0"/>
    <m/>
    <x v="1"/>
    <x v="2"/>
    <n v="2000"/>
    <m/>
    <x v="0"/>
    <m/>
    <m/>
    <s v="Orissa"/>
    <s v="East"/>
    <s v="CUTTACK"/>
    <s v="Sheet"/>
    <n v="117061"/>
    <s v="BHARTIA  DISTRIBUTORS PVT. LTD"/>
    <n v="3240842"/>
    <s v="CRCA SHEET TSBCRC SR15 1X1250X2500"/>
    <m/>
    <m/>
    <m/>
    <m/>
    <m/>
    <s v="C06"/>
    <s v="TSBCRC"/>
    <s v="SR15"/>
    <n v="1"/>
    <n v="1250"/>
    <m/>
    <n v="3"/>
    <n v="2.9"/>
    <n v="0.1"/>
    <n v="0.1"/>
    <n v="0"/>
    <n v="0.1"/>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17T00:00:00"/>
    <s v="ZBTO"/>
    <s v="9518607412"/>
    <s v="6"/>
    <s v="9518607412-6"/>
    <s v="May'25"/>
    <x v="0"/>
    <m/>
    <x v="3"/>
    <x v="14"/>
    <n v="2000"/>
    <m/>
    <x v="0"/>
    <m/>
    <m/>
    <s v="Rajasthan"/>
    <s v="North"/>
    <s v="JAIPUR"/>
    <s v="Coil"/>
    <n v="117583"/>
    <s v="BIHANI ENTERPRISES"/>
    <n v="1854410"/>
    <s v="GP COIL SOFT-TATXGP-GK09-0.4X1220"/>
    <m/>
    <m/>
    <m/>
    <m/>
    <m/>
    <s v="C02"/>
    <s v="TATXGP"/>
    <s v="GK09"/>
    <n v="0.4"/>
    <n v="1220"/>
    <m/>
    <n v="112"/>
    <n v="94.284999999999997"/>
    <n v="17.715"/>
    <n v="13.885999999999999"/>
    <n v="13.885999999999999"/>
    <n v="17.715"/>
    <n v="0"/>
    <n v="0"/>
    <n v="0"/>
    <n v="0"/>
    <n v="0"/>
    <n v="0"/>
    <n v="3.8290000000000002"/>
    <n v="0"/>
    <n v="0"/>
    <n v="0"/>
    <n v="0"/>
    <n v="0"/>
    <n v="0"/>
    <n v="0"/>
    <n v="0"/>
    <n v="0"/>
    <n v="0"/>
    <n v="0"/>
    <n v="0"/>
    <n v="3.8290000000000002"/>
    <n v="3.8290000000000002"/>
    <n v="0"/>
    <n v="3.8290000000000002"/>
    <m/>
    <n v="0"/>
    <n v="0"/>
    <n v="0"/>
    <n v="0"/>
    <n v="0"/>
    <n v="0"/>
    <n v="0"/>
    <n v="0"/>
    <n v="0"/>
    <n v="0"/>
    <n v="0"/>
    <n v="0"/>
    <n v="0"/>
    <n v="0"/>
    <n v="0"/>
    <n v="0"/>
    <n v="0"/>
    <n v="0"/>
    <n v="0"/>
    <n v="0"/>
    <n v="0"/>
    <m/>
    <m/>
    <m/>
    <m/>
    <m/>
    <m/>
    <m/>
    <m/>
    <s v="1"/>
    <s v="1"/>
    <s v="1"/>
    <s v="1"/>
    <s v="1"/>
    <m/>
    <m/>
    <m/>
    <m/>
    <m/>
    <m/>
    <m/>
    <m/>
    <m/>
    <m/>
    <m/>
    <m/>
    <m/>
    <m/>
  </r>
  <r>
    <n v="743"/>
    <d v="2025-03-18T00:00:00"/>
    <s v="ZBTO"/>
    <s v="9518610550"/>
    <s v="6"/>
    <s v="9518610550-6"/>
    <s v="No Priority"/>
    <x v="0"/>
    <m/>
    <x v="3"/>
    <x v="9"/>
    <n v="2000"/>
    <m/>
    <x v="0"/>
    <m/>
    <m/>
    <s v="Punjab"/>
    <s v="North"/>
    <s v="LUDHIANA"/>
    <s v="Coil"/>
    <n v="185845"/>
    <s v="Malerkotla Steel Industries"/>
    <n v="1178444"/>
    <s v="GP COIL SOFT-TATXGP-GK09-0.4X1000"/>
    <m/>
    <m/>
    <m/>
    <m/>
    <m/>
    <s v="C02"/>
    <s v="TATXGP"/>
    <s v="GK09"/>
    <n v="0.4"/>
    <n v="1000"/>
    <m/>
    <n v="23"/>
    <n v="4.75"/>
    <n v="18.25"/>
    <n v="18.25"/>
    <n v="18.25"/>
    <n v="18.2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4T00:00:00"/>
    <s v="ZBTO"/>
    <s v="9518628470"/>
    <s v="3"/>
    <s v="9518628470-3"/>
    <s v="Stocks"/>
    <x v="0"/>
    <s v="Yes"/>
    <x v="1"/>
    <x v="2"/>
    <n v="2000"/>
    <m/>
    <x v="1"/>
    <m/>
    <m/>
    <s v="Assam"/>
    <s v="East"/>
    <s v="ABHOYAPUR"/>
    <s v="Sheet"/>
    <n v="116649"/>
    <s v="SAGAR STEELS"/>
    <n v="3240790"/>
    <s v="CRCA SHEET TSBCRC SR15 0.700X1000X2500"/>
    <m/>
    <m/>
    <m/>
    <m/>
    <m/>
    <s v="C06"/>
    <s v="TSBCRC"/>
    <s v="SR15"/>
    <n v="0.7"/>
    <n v="1000"/>
    <m/>
    <n v="42"/>
    <n v="20.484999999999999"/>
    <n v="21.515000000000001"/>
    <n v="21.515000000000001"/>
    <n v="21.245000000000001"/>
    <n v="0.63"/>
    <n v="0"/>
    <n v="0"/>
    <n v="0"/>
    <n v="0"/>
    <n v="0"/>
    <n v="0"/>
    <n v="0"/>
    <n v="0"/>
    <n v="0"/>
    <n v="0"/>
    <n v="0"/>
    <n v="0"/>
    <n v="0"/>
    <n v="0"/>
    <n v="0"/>
    <n v="0.27"/>
    <n v="0"/>
    <n v="0"/>
    <n v="0"/>
    <n v="0.27"/>
    <n v="0.27"/>
    <n v="0"/>
    <n v="0.27"/>
    <m/>
    <n v="20.884999999999998"/>
    <n v="0"/>
    <n v="0"/>
    <n v="0"/>
    <n v="0"/>
    <n v="0"/>
    <n v="0"/>
    <n v="0"/>
    <n v="0"/>
    <n v="0"/>
    <n v="0"/>
    <n v="0"/>
    <n v="0"/>
    <n v="20.884999999999998"/>
    <n v="20.484999999999999"/>
    <n v="0"/>
    <n v="0"/>
    <n v="0"/>
    <n v="0"/>
    <n v="0"/>
    <n v="20.484999999999999"/>
    <m/>
    <m/>
    <m/>
    <m/>
    <m/>
    <m/>
    <m/>
    <m/>
    <s v="1"/>
    <s v="1"/>
    <s v="1"/>
    <s v="1"/>
    <s v="1"/>
    <m/>
    <m/>
    <m/>
    <m/>
    <m/>
    <m/>
    <m/>
    <m/>
    <m/>
    <m/>
    <m/>
    <m/>
    <m/>
    <m/>
  </r>
  <r>
    <n v="742"/>
    <d v="2025-03-24T00:00:00"/>
    <s v="ZBTO"/>
    <s v="9518628976"/>
    <s v="3"/>
    <s v="9518628976-3"/>
    <s v="Stocks"/>
    <x v="0"/>
    <s v="Yes"/>
    <x v="1"/>
    <x v="1"/>
    <n v="2000"/>
    <m/>
    <x v="1"/>
    <m/>
    <s v="Deprioritized as per SPA's instruction"/>
    <s v="Tamil Nadu"/>
    <s v="South"/>
    <s v="COIMBATORE"/>
    <s v="Sheet"/>
    <n v="116465"/>
    <s v="SRI BALAJI STEEL TRADERS"/>
    <n v="353956"/>
    <s v="CRCA SHEET TATXXD AU03 0.70X1250X2500"/>
    <m/>
    <m/>
    <m/>
    <m/>
    <m/>
    <s v="C06"/>
    <s v="TATXXD"/>
    <s v="AU03"/>
    <n v="0.7"/>
    <n v="1250"/>
    <m/>
    <n v="60"/>
    <n v="8.6950000000000003"/>
    <n v="51.305"/>
    <n v="51.305"/>
    <n v="51.305"/>
    <n v="51.305"/>
    <n v="0"/>
    <n v="0"/>
    <n v="0"/>
    <n v="0"/>
    <n v="0"/>
    <n v="0"/>
    <n v="0"/>
    <n v="0"/>
    <n v="0"/>
    <n v="0"/>
    <n v="0"/>
    <n v="0"/>
    <n v="0"/>
    <n v="0"/>
    <n v="0"/>
    <n v="0"/>
    <n v="0"/>
    <n v="0"/>
    <n v="0"/>
    <n v="0"/>
    <n v="0"/>
    <n v="0"/>
    <n v="0"/>
    <m/>
    <n v="2.9049999999999998"/>
    <n v="0"/>
    <n v="0"/>
    <n v="0"/>
    <n v="0"/>
    <n v="0"/>
    <n v="0"/>
    <n v="0"/>
    <n v="0"/>
    <n v="0"/>
    <n v="0"/>
    <n v="0"/>
    <n v="0"/>
    <n v="2.9049999999999998"/>
    <n v="8.6950000000000003"/>
    <n v="0"/>
    <n v="0"/>
    <n v="0"/>
    <n v="0"/>
    <n v="0"/>
    <n v="8.6950000000000003"/>
    <m/>
    <m/>
    <m/>
    <m/>
    <m/>
    <m/>
    <m/>
    <m/>
    <s v="1"/>
    <s v="1"/>
    <s v="1"/>
    <s v="1"/>
    <s v="1"/>
    <m/>
    <m/>
    <m/>
    <m/>
    <m/>
    <m/>
    <m/>
    <m/>
    <m/>
    <m/>
    <m/>
    <m/>
    <m/>
    <m/>
  </r>
  <r>
    <n v="744"/>
    <d v="2025-03-26T00:00:00"/>
    <s v="ZBTO"/>
    <s v="9518635916"/>
    <s v="3"/>
    <s v="9518635916-3"/>
    <s v="Stocks"/>
    <x v="0"/>
    <m/>
    <x v="2"/>
    <x v="3"/>
    <n v="1000"/>
    <m/>
    <x v="1"/>
    <m/>
    <s v="Exp BTF &lt;17MT"/>
    <s v="Jharkhand"/>
    <s v="TBSPL"/>
    <s v="GAMHARIA"/>
    <s v="Coil"/>
    <n v="940016"/>
    <s v="TATA BLUESCOPE STEEL PVT LTD."/>
    <n v="3522241"/>
    <s v="PPGL C Y550 D0C7 0.43BMT(0.47TPT)X1220"/>
    <m/>
    <m/>
    <m/>
    <m/>
    <m/>
    <s v="B18"/>
    <s v="Y550PL"/>
    <s v="D0C7"/>
    <n v="0.43"/>
    <n v="1220"/>
    <m/>
    <n v="168"/>
    <n v="96.16"/>
    <n v="71.84"/>
    <n v="7.2149999999999999"/>
    <n v="71.84"/>
    <n v="0.19"/>
    <n v="0"/>
    <n v="0"/>
    <n v="0"/>
    <n v="0"/>
    <n v="0"/>
    <n v="0"/>
    <n v="0"/>
    <n v="0"/>
    <n v="0"/>
    <n v="0"/>
    <n v="0"/>
    <n v="0"/>
    <n v="0"/>
    <n v="0"/>
    <n v="0"/>
    <n v="0"/>
    <n v="0"/>
    <n v="0"/>
    <n v="0"/>
    <n v="0"/>
    <n v="0"/>
    <n v="0"/>
    <n v="0"/>
    <m/>
    <n v="3.64"/>
    <n v="0"/>
    <n v="0"/>
    <n v="0"/>
    <n v="0"/>
    <n v="0"/>
    <n v="0"/>
    <n v="0"/>
    <n v="0"/>
    <n v="0"/>
    <n v="0"/>
    <n v="0"/>
    <n v="0"/>
    <n v="3.64"/>
    <n v="0"/>
    <n v="0"/>
    <n v="0"/>
    <n v="0"/>
    <n v="0"/>
    <n v="0"/>
    <n v="0"/>
    <m/>
    <m/>
    <m/>
    <m/>
    <m/>
    <m/>
    <m/>
    <m/>
    <s v="1"/>
    <s v="1"/>
    <s v="1"/>
    <s v="1"/>
    <s v="1"/>
    <m/>
    <m/>
    <m/>
    <m/>
    <m/>
    <m/>
    <m/>
    <m/>
    <m/>
    <m/>
    <m/>
    <m/>
    <m/>
    <m/>
  </r>
  <r>
    <n v="742"/>
    <d v="2025-04-03T00:00:00"/>
    <s v="ZBTF"/>
    <n v="9518665983"/>
    <n v="1"/>
    <s v="9518665983-1"/>
    <s v="Apr'25 additional"/>
    <x v="0"/>
    <m/>
    <x v="5"/>
    <x v="8"/>
    <n v="2000"/>
    <m/>
    <x v="1"/>
    <m/>
    <m/>
    <s v="Maharashtra"/>
    <s v="West"/>
    <s v="Khopoli"/>
    <s v="Coil"/>
    <n v="650783"/>
    <s v="Khopoli Wider CRM"/>
    <n v="3996848"/>
    <s v="CR COIL TATFHC TR10 0.345X1220"/>
    <m/>
    <m/>
    <m/>
    <m/>
    <m/>
    <s v="C09"/>
    <s v="TATFHC"/>
    <s v="TR10"/>
    <n v="0.34499999999999997"/>
    <n v="1220"/>
    <m/>
    <n v="56"/>
    <n v="0"/>
    <n v="56"/>
    <n v="56"/>
    <n v="56"/>
    <n v="56"/>
    <n v="0"/>
    <n v="0"/>
    <n v="0"/>
    <n v="0"/>
    <n v="0"/>
    <n v="0"/>
    <n v="0"/>
    <n v="0"/>
    <n v="0"/>
    <n v="0"/>
    <n v="0"/>
    <n v="0"/>
    <n v="0"/>
    <n v="0"/>
    <n v="0"/>
    <n v="0"/>
    <n v="0"/>
    <n v="0"/>
    <n v="0"/>
    <n v="0"/>
    <n v="0"/>
    <n v="0"/>
    <n v="0"/>
    <m/>
    <n v="0"/>
    <n v="56"/>
    <n v="0"/>
    <n v="56"/>
    <n v="0"/>
    <n v="0"/>
    <n v="0"/>
    <n v="56"/>
    <n v="0"/>
    <n v="56"/>
    <n v="0"/>
    <n v="0"/>
    <n v="0"/>
    <n v="0"/>
    <n v="0"/>
    <n v="0"/>
    <n v="0"/>
    <n v="0"/>
    <n v="0"/>
    <n v="0"/>
    <n v="0"/>
    <m/>
    <m/>
    <m/>
    <m/>
    <m/>
    <m/>
    <m/>
    <m/>
    <s v="1"/>
    <s v="0"/>
    <s v="1"/>
    <s v="1"/>
    <s v="1"/>
    <m/>
    <m/>
    <m/>
    <m/>
    <m/>
    <m/>
    <m/>
    <m/>
    <m/>
    <m/>
    <m/>
    <m/>
    <m/>
    <m/>
  </r>
  <r>
    <n v="742"/>
    <d v="2025-04-03T00:00:00"/>
    <s v="ZBTF"/>
    <n v="9518665983"/>
    <n v="2"/>
    <s v="9518665983-2"/>
    <s v="Apr'25 additional"/>
    <x v="0"/>
    <m/>
    <x v="5"/>
    <x v="8"/>
    <n v="2000"/>
    <m/>
    <x v="1"/>
    <m/>
    <m/>
    <s v="Maharashtra"/>
    <s v="West"/>
    <s v="Khopoli"/>
    <s v="Coil"/>
    <n v="650783"/>
    <s v="Khopoli Wider CRM"/>
    <n v="3996849"/>
    <s v="CR COIL TATFHC TR10 0.374X1220"/>
    <m/>
    <m/>
    <m/>
    <m/>
    <m/>
    <s v="C09"/>
    <s v="TATFHC"/>
    <s v="TR10"/>
    <n v="0.374"/>
    <n v="1220"/>
    <m/>
    <n v="196"/>
    <n v="0"/>
    <n v="196"/>
    <n v="196"/>
    <n v="196"/>
    <n v="196"/>
    <n v="0"/>
    <n v="0"/>
    <n v="0"/>
    <n v="0"/>
    <n v="0"/>
    <n v="0"/>
    <n v="0"/>
    <n v="0"/>
    <n v="0"/>
    <n v="0"/>
    <n v="0"/>
    <n v="0"/>
    <n v="0"/>
    <n v="0"/>
    <n v="0"/>
    <n v="0"/>
    <n v="0"/>
    <n v="0"/>
    <n v="0"/>
    <n v="0"/>
    <n v="0"/>
    <n v="0"/>
    <n v="0"/>
    <m/>
    <n v="0"/>
    <n v="196"/>
    <n v="0"/>
    <n v="196"/>
    <n v="0"/>
    <n v="0"/>
    <n v="0"/>
    <n v="196"/>
    <n v="0"/>
    <n v="196"/>
    <n v="0"/>
    <n v="0"/>
    <n v="0"/>
    <n v="0"/>
    <n v="0"/>
    <n v="0"/>
    <n v="0"/>
    <n v="0"/>
    <n v="0"/>
    <n v="0"/>
    <n v="0"/>
    <m/>
    <m/>
    <m/>
    <m/>
    <m/>
    <m/>
    <m/>
    <m/>
    <s v="1"/>
    <s v="0"/>
    <s v="1"/>
    <s v="1"/>
    <s v="1"/>
    <m/>
    <m/>
    <m/>
    <m/>
    <m/>
    <m/>
    <m/>
    <m/>
    <m/>
    <m/>
    <m/>
    <m/>
    <m/>
    <m/>
  </r>
  <r>
    <n v="742"/>
    <d v="2025-04-03T00:00:00"/>
    <s v="ZBTF"/>
    <n v="9518665983"/>
    <n v="3"/>
    <s v="9518665983-3"/>
    <s v="Apr'25 additional"/>
    <x v="0"/>
    <m/>
    <x v="5"/>
    <x v="8"/>
    <n v="2000"/>
    <n v="1000"/>
    <x v="1"/>
    <m/>
    <m/>
    <s v="Maharashtra"/>
    <s v="West"/>
    <s v="Khopoli"/>
    <s v="Coil"/>
    <n v="650783"/>
    <s v="Khopoli Wider CRM"/>
    <n v="3996850"/>
    <s v="CR COIL TATFHC TR10 0.445X1220"/>
    <m/>
    <m/>
    <m/>
    <m/>
    <m/>
    <s v="C09"/>
    <s v="TATFHC"/>
    <s v="TR10"/>
    <n v="0.44500000000000001"/>
    <n v="1220"/>
    <m/>
    <n v="168"/>
    <n v="0"/>
    <n v="168"/>
    <n v="168"/>
    <n v="168"/>
    <n v="168"/>
    <n v="0"/>
    <n v="0"/>
    <n v="0"/>
    <n v="0"/>
    <n v="0"/>
    <n v="0"/>
    <n v="0"/>
    <n v="0"/>
    <n v="0"/>
    <n v="0"/>
    <n v="0"/>
    <n v="0"/>
    <n v="0"/>
    <n v="0"/>
    <n v="0"/>
    <n v="0"/>
    <n v="0"/>
    <n v="0"/>
    <n v="0"/>
    <n v="0"/>
    <n v="0"/>
    <n v="0"/>
    <n v="0"/>
    <m/>
    <n v="0"/>
    <n v="168"/>
    <n v="0"/>
    <n v="168"/>
    <n v="0"/>
    <n v="0"/>
    <n v="0"/>
    <n v="168"/>
    <n v="0"/>
    <n v="168"/>
    <n v="0"/>
    <n v="0"/>
    <n v="0"/>
    <n v="0"/>
    <n v="0"/>
    <n v="0"/>
    <n v="0"/>
    <n v="0"/>
    <n v="0"/>
    <n v="0"/>
    <n v="0"/>
    <m/>
    <m/>
    <m/>
    <m/>
    <m/>
    <m/>
    <m/>
    <m/>
    <s v="1"/>
    <s v="0"/>
    <s v="1"/>
    <s v="1"/>
    <s v="1"/>
    <m/>
    <m/>
    <m/>
    <m/>
    <m/>
    <m/>
    <m/>
    <m/>
    <m/>
    <m/>
    <m/>
    <m/>
    <m/>
    <m/>
  </r>
  <r>
    <n v="742"/>
    <d v="2025-02-06T00:00:00"/>
    <s v="ZBTO"/>
    <n v="9518497626"/>
    <n v="21"/>
    <s v="9518497626-21"/>
    <s v="No Priority"/>
    <x v="0"/>
    <m/>
    <x v="1"/>
    <x v="1"/>
    <s v="2000-BPRS"/>
    <m/>
    <x v="0"/>
    <m/>
    <m/>
    <m/>
    <s v="South"/>
    <s v="VISHAKHAPATNAM"/>
    <m/>
    <n v="946077"/>
    <s v="SITARAM IRON AND STEEL PVT LTD"/>
    <n v="189866"/>
    <s v="CRSHEET TATXXD AU03 1.20X1250X2500"/>
    <s v=" "/>
    <s v=""/>
    <n v="0"/>
    <n v="0"/>
    <m/>
    <s v="C06"/>
    <s v="TATXXD"/>
    <s v="AU03"/>
    <n v="1.2"/>
    <n v="1250"/>
    <n v="2500"/>
    <n v="54"/>
    <n v="35.47"/>
    <n v="18.53"/>
    <n v="18.53"/>
    <n v="18.53"/>
    <n v="18.53"/>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7626"/>
    <n v="23"/>
    <s v="9518497626-23"/>
    <s v="No Priority"/>
    <x v="0"/>
    <m/>
    <x v="1"/>
    <x v="1"/>
    <s v="2000-BPRS"/>
    <m/>
    <x v="0"/>
    <m/>
    <m/>
    <m/>
    <s v="South"/>
    <s v="VISHAKHAPATNAM"/>
    <m/>
    <n v="946077"/>
    <s v="SITARAM IRON AND STEEL PVT LTD"/>
    <n v="281630"/>
    <s v="CRSHEET C06 TATXXD AU03 1.6X1250X2500"/>
    <s v=" "/>
    <s v=""/>
    <n v="0"/>
    <n v="3.3069999999999999"/>
    <m/>
    <s v="C06"/>
    <s v="TATXXD"/>
    <s v="AU03"/>
    <n v="1.6"/>
    <n v="1250"/>
    <n v="2500"/>
    <n v="27"/>
    <n v="21.01"/>
    <n v="5.99"/>
    <n v="5.99"/>
    <n v="5.99"/>
    <n v="5.99"/>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6887"/>
    <n v="5"/>
    <s v="9518666887-5"/>
    <s v="May'25"/>
    <x v="0"/>
    <s v="Yes"/>
    <x v="1"/>
    <x v="2"/>
    <s v="2000-BPRS"/>
    <m/>
    <x v="1"/>
    <m/>
    <m/>
    <m/>
    <s v="North"/>
    <s v="VARANASI"/>
    <m/>
    <n v="931525"/>
    <s v="INDIA STEEL INDUSTRIES"/>
    <n v="3444592"/>
    <s v="CRCA SHEET TATCRC SR16 0.450X1250X2030"/>
    <s v=" "/>
    <s v=""/>
    <n v="0"/>
    <n v="0"/>
    <m/>
    <s v="C06"/>
    <s v="TATCRC"/>
    <s v="SR16"/>
    <n v="0.45"/>
    <n v="1250"/>
    <n v="2030"/>
    <n v="27"/>
    <n v="0"/>
    <n v="27"/>
    <n v="27"/>
    <n v="-1.5199999999999996"/>
    <n v="27"/>
    <n v="0"/>
    <n v="0"/>
    <n v="0"/>
    <n v="28.52"/>
    <n v="0"/>
    <n v="0"/>
    <n v="0"/>
    <n v="0"/>
    <n v="0"/>
    <n v="0"/>
    <n v="0"/>
    <n v="0"/>
    <n v="0"/>
    <n v="0"/>
    <n v="0"/>
    <n v="0"/>
    <n v="0"/>
    <n v="0"/>
    <n v="0"/>
    <n v="28.52"/>
    <n v="28.52"/>
    <n v="0"/>
    <n v="28.52"/>
    <m/>
    <n v="0"/>
    <n v="27"/>
    <n v="0"/>
    <n v="0"/>
    <n v="27"/>
    <n v="0"/>
    <n v="0"/>
    <n v="0"/>
    <n v="0"/>
    <n v="0"/>
    <n v="0"/>
    <n v="0"/>
    <n v="0"/>
    <m/>
    <m/>
    <m/>
    <m/>
    <m/>
    <m/>
    <m/>
    <m/>
    <m/>
    <m/>
    <m/>
    <m/>
    <m/>
    <m/>
    <m/>
    <m/>
    <m/>
    <m/>
    <m/>
    <m/>
    <m/>
    <m/>
    <m/>
    <m/>
    <m/>
    <m/>
    <m/>
    <m/>
    <m/>
    <m/>
    <m/>
    <m/>
    <m/>
    <m/>
    <m/>
  </r>
  <r>
    <n v="742"/>
    <d v="2025-02-06T00:00:00"/>
    <s v="ZBTO"/>
    <n v="9518497626"/>
    <n v="16"/>
    <s v="9518497626-16"/>
    <s v="Stocks"/>
    <x v="0"/>
    <s v="Yes"/>
    <x v="1"/>
    <x v="1"/>
    <s v="2000-BPRS"/>
    <m/>
    <x v="1"/>
    <m/>
    <m/>
    <m/>
    <s v="South"/>
    <s v="VISHAKHAPATNAM"/>
    <m/>
    <n v="946077"/>
    <s v="SITARAM IRON AND STEEL PVT LTD"/>
    <n v="353957"/>
    <s v="CRCA SHEET TATXXD AU03 0.80X1250X2500"/>
    <s v=" "/>
    <s v=""/>
    <n v="0"/>
    <n v="0"/>
    <m/>
    <s v="C06"/>
    <s v="TATXXD"/>
    <s v="AU03"/>
    <n v="0.8"/>
    <n v="1250"/>
    <n v="2500"/>
    <n v="27"/>
    <n v="0"/>
    <n v="27"/>
    <n v="3.54"/>
    <n v="26.704999999999998"/>
    <n v="4.62"/>
    <n v="0"/>
    <n v="0"/>
    <n v="0"/>
    <n v="0"/>
    <n v="0"/>
    <n v="0"/>
    <n v="0"/>
    <n v="0"/>
    <n v="0.29499999999999998"/>
    <n v="0"/>
    <n v="0"/>
    <n v="0"/>
    <n v="0"/>
    <n v="0"/>
    <n v="0"/>
    <n v="0"/>
    <n v="0"/>
    <n v="0"/>
    <n v="0"/>
    <n v="0.29499999999999998"/>
    <n v="0.29499999999999998"/>
    <n v="0"/>
    <n v="0.29499999999999998"/>
    <m/>
    <n v="5.74"/>
    <n v="0"/>
    <n v="0"/>
    <n v="0"/>
    <n v="0"/>
    <n v="0"/>
    <n v="0"/>
    <n v="0"/>
    <n v="0"/>
    <n v="0"/>
    <n v="0"/>
    <n v="0"/>
    <n v="0"/>
    <m/>
    <m/>
    <m/>
    <m/>
    <m/>
    <m/>
    <m/>
    <m/>
    <m/>
    <m/>
    <m/>
    <m/>
    <m/>
    <m/>
    <m/>
    <m/>
    <m/>
    <m/>
    <m/>
    <m/>
    <m/>
    <m/>
    <m/>
    <m/>
    <m/>
    <m/>
    <m/>
    <m/>
    <m/>
    <m/>
    <m/>
    <m/>
    <m/>
    <m/>
    <m/>
  </r>
  <r>
    <n v="743"/>
    <d v="2025-03-21T00:00:00"/>
    <s v="ZBTO"/>
    <n v="9518620960"/>
    <n v="4"/>
    <s v="9518620960-4"/>
    <s v="No Priority"/>
    <x v="0"/>
    <m/>
    <x v="3"/>
    <x v="0"/>
    <s v="2000-BPRS"/>
    <m/>
    <x v="0"/>
    <m/>
    <m/>
    <m/>
    <s v="East"/>
    <s v="TATANAGAR"/>
    <m/>
    <n v="165053"/>
    <s v="SUDISA ENTERPRISES (P) LTD."/>
    <n v="2439968"/>
    <s v="GP COIL SOFT TATXGP GLR1 0.500X1220"/>
    <s v="Z80"/>
    <s v=""/>
    <n v="4"/>
    <n v="12"/>
    <m/>
    <s v="C02"/>
    <s v="TATXGP"/>
    <s v="GLR1"/>
    <n v="0.5"/>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7214"/>
    <n v="5"/>
    <s v="9518667214-5"/>
    <s v="No Priority"/>
    <x v="0"/>
    <m/>
    <x v="1"/>
    <x v="1"/>
    <s v="2000-BPRS"/>
    <m/>
    <x v="0"/>
    <m/>
    <m/>
    <m/>
    <s v="South"/>
    <s v="YESHWANTHPURA"/>
    <m/>
    <n v="801611"/>
    <s v="SHIVA FERRIC PVT LTD"/>
    <n v="1804854"/>
    <s v="CRCA COIL-TATXXD-AU03-1.2X1250"/>
    <s v=" "/>
    <s v=""/>
    <n v="15"/>
    <n v="28"/>
    <m/>
    <s v="C01"/>
    <s v="TATXXD"/>
    <s v="AU03"/>
    <n v="1.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7214"/>
    <n v="7"/>
    <s v="9518667214-7"/>
    <s v="No Priority"/>
    <x v="0"/>
    <m/>
    <x v="1"/>
    <x v="1"/>
    <s v="2000-BPRS"/>
    <m/>
    <x v="0"/>
    <m/>
    <m/>
    <m/>
    <s v="South"/>
    <s v="YESHWANTHPURA"/>
    <m/>
    <n v="801611"/>
    <s v="SHIVA FERRIC PVT LTD"/>
    <n v="1884117"/>
    <s v="CRCA COIL-TATXXD-AU03-2X1250"/>
    <s v=" "/>
    <s v=""/>
    <n v="15"/>
    <n v="28"/>
    <m/>
    <s v="C01"/>
    <s v="TATXXD"/>
    <s v="AU03"/>
    <n v="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4"/>
    <d v="2025-04-19T00:00:00"/>
    <s v="ZBTO"/>
    <n v="9518704836"/>
    <n v="1"/>
    <s v="9518704836-1"/>
    <s v="Stocks"/>
    <x v="0"/>
    <s v="Yes"/>
    <x v="2"/>
    <x v="3"/>
    <s v="1000-IPPE"/>
    <m/>
    <x v="1"/>
    <m/>
    <m/>
    <m/>
    <s v="TBSPL"/>
    <s v=" "/>
    <m/>
    <n v="941597"/>
    <s v="TATA BLUESCOPE STEEL PRIVATE LIMITE"/>
    <n v="1633706"/>
    <s v="PPGL C Y550 HPL3 0.42BMT(0.50TPT)X1220"/>
    <s v="AZ150"/>
    <s v="RAL 2003 TSL 853"/>
    <n v="3"/>
    <n v="5"/>
    <m/>
    <s v="B18"/>
    <s v="Y550PL"/>
    <s v="HPL3"/>
    <n v="0.42"/>
    <n v="1220"/>
    <n v="0"/>
    <n v="28"/>
    <n v="0"/>
    <n v="28"/>
    <n v="28"/>
    <n v="26.114999999999998"/>
    <n v="3.4849999999999999"/>
    <n v="0"/>
    <n v="0"/>
    <n v="0"/>
    <n v="0"/>
    <n v="0"/>
    <n v="0"/>
    <n v="0"/>
    <n v="0"/>
    <n v="0"/>
    <n v="0"/>
    <n v="0"/>
    <n v="0"/>
    <n v="0"/>
    <n v="0"/>
    <n v="0"/>
    <n v="1.885"/>
    <n v="0"/>
    <n v="0"/>
    <n v="0"/>
    <n v="1.885"/>
    <n v="1.885"/>
    <n v="0"/>
    <n v="1.885"/>
    <m/>
    <n v="24.515000000000001"/>
    <n v="0"/>
    <n v="0"/>
    <n v="0"/>
    <n v="0"/>
    <n v="0"/>
    <n v="0"/>
    <n v="0"/>
    <n v="0"/>
    <n v="0"/>
    <n v="0"/>
    <n v="0"/>
    <n v="0"/>
    <m/>
    <m/>
    <m/>
    <m/>
    <m/>
    <m/>
    <m/>
    <m/>
    <m/>
    <m/>
    <m/>
    <m/>
    <m/>
    <m/>
    <m/>
    <m/>
    <m/>
    <m/>
    <m/>
    <m/>
    <m/>
    <m/>
    <m/>
    <m/>
    <m/>
    <m/>
    <m/>
    <m/>
    <m/>
    <m/>
    <m/>
    <m/>
    <m/>
    <m/>
    <m/>
  </r>
  <r>
    <n v="743"/>
    <d v="2025-04-17T00:00:00"/>
    <s v="ZBTT"/>
    <n v="9518699932"/>
    <n v="1"/>
    <s v="9518699932-1"/>
    <s v="No Priority"/>
    <x v="0"/>
    <m/>
    <x v="4"/>
    <x v="10"/>
    <s v="1000-IPPE"/>
    <m/>
    <x v="0"/>
    <m/>
    <s v="No allocation for IPP"/>
    <m/>
    <s v="West"/>
    <s v="TAMBATI"/>
    <m/>
    <n v="942186"/>
    <s v="PRABHAT GLOBAL COLOURCOATED PRIVATE"/>
    <n v="3946140"/>
    <s v="GL COIL SKINPASS Y250GL SGL1 0.330X1250"/>
    <s v="aZ70"/>
    <s v=""/>
    <n v="8"/>
    <n v="12"/>
    <m/>
    <s v="B06"/>
    <s v="Y250GL"/>
    <s v="SGL1"/>
    <n v="0.33"/>
    <n v="1250"/>
    <n v="0"/>
    <n v="116"/>
    <n v="0"/>
    <n v="116"/>
    <n v="116"/>
    <n v="116"/>
    <n v="0"/>
    <n v="0"/>
    <n v="0"/>
    <n v="0"/>
    <n v="0"/>
    <n v="0"/>
    <n v="0"/>
    <n v="0"/>
    <n v="0"/>
    <n v="0"/>
    <n v="0"/>
    <n v="0"/>
    <n v="0"/>
    <n v="0"/>
    <n v="0"/>
    <n v="0"/>
    <n v="0"/>
    <n v="0"/>
    <n v="0"/>
    <n v="0"/>
    <n v="0"/>
    <n v="0"/>
    <n v="0"/>
    <n v="0"/>
    <m/>
    <n v="0"/>
    <n v="0"/>
    <n v="0"/>
    <n v="0"/>
    <n v="0"/>
    <n v="0"/>
    <n v="0"/>
    <n v="0"/>
    <n v="0"/>
    <n v="0"/>
    <n v="0"/>
    <n v="0"/>
    <n v="0"/>
    <m/>
    <m/>
    <m/>
    <m/>
    <m/>
    <m/>
    <m/>
    <m/>
    <m/>
    <m/>
    <m/>
    <m/>
    <m/>
    <m/>
    <m/>
    <m/>
    <m/>
    <m/>
    <m/>
    <m/>
    <m/>
    <m/>
    <m/>
    <m/>
    <m/>
    <m/>
    <m/>
    <m/>
    <m/>
    <m/>
    <m/>
    <m/>
    <m/>
    <m/>
    <m/>
  </r>
  <r>
    <n v="742"/>
    <d v="2025-03-14T00:00:00"/>
    <s v="ZBTF"/>
    <n v="4000500995"/>
    <n v="1"/>
    <s v="4000500995-1"/>
    <s v="May'25"/>
    <x v="0"/>
    <m/>
    <x v="0"/>
    <x v="0"/>
    <s v="2000-BPRS"/>
    <m/>
    <x v="1"/>
    <m/>
    <m/>
    <m/>
    <s v="South"/>
    <s v="YESHWANTHPURA"/>
    <m/>
    <n v="600103"/>
    <s v="TATA STEEL LIMITED"/>
    <n v="3226987"/>
    <s v="HR COILS-PO THR099 HR99 1.90X1250"/>
    <s v=" "/>
    <s v=""/>
    <n v="10"/>
    <n v="27"/>
    <m/>
    <n v="768"/>
    <s v="THR099"/>
    <s v="HR99"/>
    <n v="1.9"/>
    <n v="1250"/>
    <n v="0"/>
    <n v="250"/>
    <n v="0"/>
    <n v="250"/>
    <n v="250"/>
    <n v="150"/>
    <n v="230.27"/>
    <n v="0"/>
    <n v="0"/>
    <n v="0"/>
    <n v="0"/>
    <n v="0"/>
    <n v="0"/>
    <n v="0"/>
    <n v="0"/>
    <n v="0"/>
    <n v="0"/>
    <n v="0"/>
    <n v="0"/>
    <n v="0"/>
    <n v="0"/>
    <n v="0"/>
    <n v="0"/>
    <n v="0"/>
    <n v="0"/>
    <n v="0"/>
    <n v="0"/>
    <n v="0"/>
    <n v="100"/>
    <n v="100"/>
    <m/>
    <n v="19.73"/>
    <n v="230.27"/>
    <n v="0"/>
    <n v="0"/>
    <n v="230.27"/>
    <n v="0"/>
    <n v="0"/>
    <n v="0"/>
    <n v="0"/>
    <n v="0"/>
    <n v="0"/>
    <n v="0"/>
    <n v="0"/>
    <m/>
    <m/>
    <m/>
    <m/>
    <m/>
    <m/>
    <m/>
    <m/>
    <m/>
    <m/>
    <m/>
    <m/>
    <m/>
    <m/>
    <m/>
    <m/>
    <m/>
    <m/>
    <m/>
    <m/>
    <m/>
    <m/>
    <m/>
    <m/>
    <m/>
    <m/>
    <m/>
    <m/>
    <m/>
    <m/>
    <m/>
    <m/>
    <m/>
    <m/>
    <m/>
  </r>
  <r>
    <n v="742"/>
    <d v="2025-03-14T00:00:00"/>
    <s v="ZBTF"/>
    <n v="4000500995"/>
    <n v="2"/>
    <s v="4000500995-2"/>
    <s v="May'25"/>
    <x v="0"/>
    <m/>
    <x v="0"/>
    <x v="0"/>
    <s v="2000-BPRS"/>
    <m/>
    <x v="1"/>
    <m/>
    <m/>
    <m/>
    <s v="South"/>
    <s v="YESHWANTHPURA"/>
    <m/>
    <n v="600103"/>
    <s v="TATA STEEL LIMITED"/>
    <n v="1210083"/>
    <s v="HR COILS-PO IS 1079 HR2 2X1250"/>
    <s v=" "/>
    <s v=""/>
    <n v="10"/>
    <n v="27"/>
    <m/>
    <n v="768"/>
    <s v="THR099"/>
    <s v="HR99"/>
    <n v="2"/>
    <n v="1250"/>
    <n v="0"/>
    <n v="200"/>
    <n v="0"/>
    <n v="200"/>
    <n v="200"/>
    <n v="200"/>
    <n v="200"/>
    <n v="0"/>
    <n v="0"/>
    <n v="0"/>
    <n v="0"/>
    <n v="0"/>
    <n v="0"/>
    <n v="0"/>
    <n v="0"/>
    <n v="0"/>
    <n v="0"/>
    <n v="0"/>
    <n v="0"/>
    <n v="0"/>
    <n v="0"/>
    <n v="0"/>
    <n v="0"/>
    <n v="0"/>
    <n v="0"/>
    <n v="0"/>
    <n v="0"/>
    <n v="0"/>
    <n v="0"/>
    <n v="0"/>
    <m/>
    <n v="0"/>
    <n v="200"/>
    <n v="0"/>
    <n v="0"/>
    <n v="0"/>
    <n v="200"/>
    <n v="0"/>
    <n v="0"/>
    <n v="0"/>
    <n v="0"/>
    <n v="0"/>
    <n v="0"/>
    <n v="0"/>
    <m/>
    <m/>
    <m/>
    <m/>
    <m/>
    <m/>
    <m/>
    <m/>
    <m/>
    <m/>
    <m/>
    <m/>
    <m/>
    <m/>
    <m/>
    <m/>
    <m/>
    <m/>
    <m/>
    <m/>
    <m/>
    <m/>
    <m/>
    <m/>
    <m/>
    <m/>
    <m/>
    <m/>
    <m/>
    <m/>
    <m/>
    <m/>
    <m/>
    <m/>
    <m/>
  </r>
  <r>
    <n v="742"/>
    <d v="2025-03-14T00:00:00"/>
    <s v="ZBTF"/>
    <n v="9518600669"/>
    <n v="1"/>
    <s v="9518600669-1"/>
    <s v="May'25"/>
    <x v="0"/>
    <s v="Yes"/>
    <x v="1"/>
    <x v="6"/>
    <s v="2000-BPRS"/>
    <m/>
    <x v="1"/>
    <m/>
    <m/>
    <m/>
    <s v="South"/>
    <s v="YESHWANTHPURA"/>
    <m/>
    <n v="650742"/>
    <s v="Angul Cold Rolling Mill"/>
    <n v="3820031"/>
    <s v="CR COIL TATXHS BR45 1.600X1300"/>
    <s v=" "/>
    <s v=""/>
    <n v="10"/>
    <n v="27"/>
    <m/>
    <s v="C01"/>
    <s v="TATXHS"/>
    <s v="BR45"/>
    <n v="1.6"/>
    <n v="1300"/>
    <n v="0"/>
    <n v="180"/>
    <n v="41.24"/>
    <n v="138.76"/>
    <n v="138.76"/>
    <n v="138.76"/>
    <n v="138.76"/>
    <n v="0"/>
    <n v="0"/>
    <n v="0"/>
    <n v="0"/>
    <n v="0"/>
    <n v="0"/>
    <n v="0"/>
    <n v="0"/>
    <n v="0"/>
    <n v="0"/>
    <n v="0"/>
    <n v="0"/>
    <n v="0"/>
    <n v="0"/>
    <n v="0"/>
    <n v="0"/>
    <n v="0"/>
    <n v="0"/>
    <n v="0"/>
    <n v="0"/>
    <n v="0"/>
    <n v="0"/>
    <n v="0"/>
    <m/>
    <n v="0"/>
    <n v="138.76"/>
    <n v="0"/>
    <n v="0"/>
    <n v="138.76"/>
    <n v="0"/>
    <n v="0"/>
    <n v="0"/>
    <n v="0"/>
    <n v="0"/>
    <n v="0"/>
    <n v="0"/>
    <n v="0"/>
    <m/>
    <m/>
    <m/>
    <m/>
    <m/>
    <m/>
    <m/>
    <m/>
    <m/>
    <m/>
    <m/>
    <m/>
    <m/>
    <m/>
    <m/>
    <m/>
    <m/>
    <m/>
    <m/>
    <m/>
    <m/>
    <m/>
    <m/>
    <m/>
    <m/>
    <m/>
    <m/>
    <m/>
    <m/>
    <m/>
    <m/>
    <m/>
    <m/>
    <m/>
    <m/>
  </r>
  <r>
    <n v="742"/>
    <d v="2025-03-14T00:00:00"/>
    <s v="ZBTF"/>
    <n v="9518600669"/>
    <n v="2"/>
    <s v="9518600669-2"/>
    <s v="May'25"/>
    <x v="0"/>
    <s v="Yes"/>
    <x v="1"/>
    <x v="6"/>
    <s v="2000-BPRS"/>
    <m/>
    <x v="1"/>
    <m/>
    <m/>
    <m/>
    <s v="South"/>
    <s v="YESHWANTHPURA"/>
    <m/>
    <n v="650742"/>
    <s v="Angul Cold Rolling Mill"/>
    <n v="3820032"/>
    <s v="CR COIL TATXHS BR45 2X1300"/>
    <s v=" "/>
    <s v=""/>
    <n v="10"/>
    <n v="27"/>
    <m/>
    <s v="C01"/>
    <s v="TATXHS"/>
    <s v="BR45"/>
    <n v="2"/>
    <n v="1300"/>
    <n v="0"/>
    <n v="300"/>
    <n v="0"/>
    <n v="300"/>
    <n v="300"/>
    <n v="300"/>
    <n v="300"/>
    <n v="0"/>
    <n v="0"/>
    <n v="0"/>
    <n v="0"/>
    <n v="0"/>
    <n v="0"/>
    <n v="0"/>
    <n v="0"/>
    <n v="0"/>
    <n v="0"/>
    <n v="0"/>
    <n v="0"/>
    <n v="0"/>
    <n v="0"/>
    <n v="0"/>
    <n v="0"/>
    <n v="0"/>
    <n v="0"/>
    <n v="0"/>
    <n v="0"/>
    <n v="0"/>
    <n v="0"/>
    <n v="0"/>
    <m/>
    <n v="0"/>
    <n v="300"/>
    <n v="0"/>
    <n v="0"/>
    <n v="300"/>
    <n v="0"/>
    <n v="0"/>
    <n v="0"/>
    <n v="0"/>
    <n v="0"/>
    <n v="0"/>
    <n v="0"/>
    <n v="0"/>
    <m/>
    <m/>
    <m/>
    <m/>
    <m/>
    <m/>
    <m/>
    <m/>
    <m/>
    <m/>
    <m/>
    <m/>
    <m/>
    <m/>
    <m/>
    <m/>
    <m/>
    <m/>
    <m/>
    <m/>
    <m/>
    <m/>
    <m/>
    <m/>
    <m/>
    <m/>
    <m/>
    <m/>
    <m/>
    <m/>
    <m/>
    <m/>
    <m/>
    <m/>
    <m/>
  </r>
  <r>
    <n v="742"/>
    <d v="2025-03-14T00:00:00"/>
    <s v="ZBTF"/>
    <n v="9518600669"/>
    <n v="5"/>
    <s v="9518600669-5"/>
    <s v="May'25"/>
    <x v="0"/>
    <s v="Yes"/>
    <x v="1"/>
    <x v="6"/>
    <s v="2000-BPRS"/>
    <m/>
    <x v="1"/>
    <m/>
    <m/>
    <m/>
    <s v="South"/>
    <s v="YESHWANTHPURA"/>
    <m/>
    <n v="650742"/>
    <s v="Angul Cold Rolling Mill"/>
    <n v="2150938"/>
    <s v="CRCA COIL SA1008 TU98 1X1250"/>
    <s v=" "/>
    <s v=""/>
    <n v="10"/>
    <n v="27"/>
    <m/>
    <s v="C01"/>
    <s v="SA1008"/>
    <s v="TU98"/>
    <n v="1"/>
    <n v="1250"/>
    <n v="0"/>
    <n v="116"/>
    <n v="0"/>
    <n v="116"/>
    <n v="72.540000000000006"/>
    <n v="60.415000000000006"/>
    <n v="47.774999999999999"/>
    <n v="0"/>
    <n v="0"/>
    <n v="0"/>
    <n v="0"/>
    <n v="0"/>
    <n v="0"/>
    <n v="0"/>
    <n v="0"/>
    <n v="0"/>
    <n v="0"/>
    <n v="0"/>
    <n v="0"/>
    <n v="27.61"/>
    <n v="26.8"/>
    <n v="0"/>
    <n v="1.175"/>
    <n v="0"/>
    <n v="0"/>
    <n v="0"/>
    <n v="55.584999999999994"/>
    <n v="55.584999999999994"/>
    <n v="0"/>
    <n v="55.584999999999994"/>
    <m/>
    <n v="52.405000000000001"/>
    <n v="47.774999999999999"/>
    <n v="0"/>
    <n v="47.774999999999999"/>
    <n v="0"/>
    <n v="0"/>
    <n v="0"/>
    <n v="47.774999999999999"/>
    <n v="0"/>
    <n v="47.774999999999999"/>
    <n v="0"/>
    <n v="0"/>
    <n v="0"/>
    <m/>
    <m/>
    <m/>
    <m/>
    <m/>
    <m/>
    <m/>
    <m/>
    <m/>
    <m/>
    <m/>
    <m/>
    <m/>
    <m/>
    <m/>
    <m/>
    <m/>
    <m/>
    <m/>
    <m/>
    <m/>
    <m/>
    <m/>
    <m/>
    <m/>
    <m/>
    <m/>
    <m/>
    <m/>
    <m/>
    <m/>
    <m/>
    <m/>
    <m/>
    <m/>
  </r>
  <r>
    <n v="742"/>
    <d v="2025-03-14T00:00:00"/>
    <s v="ZBTF"/>
    <n v="9518600669"/>
    <n v="6"/>
    <s v="9518600669-6"/>
    <s v="May'25"/>
    <x v="0"/>
    <s v="Yes"/>
    <x v="1"/>
    <x v="6"/>
    <s v="2000-BPRS"/>
    <m/>
    <x v="1"/>
    <m/>
    <m/>
    <m/>
    <s v="South"/>
    <s v="YESHWANTHPURA"/>
    <m/>
    <n v="650742"/>
    <s v="Angul Cold Rolling Mill"/>
    <n v="2150940"/>
    <s v="CRCA COIL SA1008 TU98 1.200X1250"/>
    <s v=" "/>
    <s v=""/>
    <n v="10"/>
    <n v="27"/>
    <m/>
    <s v="C01"/>
    <s v="SA1008"/>
    <s v="TU98"/>
    <n v="1.2"/>
    <n v="1250"/>
    <n v="0"/>
    <n v="116"/>
    <n v="0"/>
    <n v="116"/>
    <n v="116"/>
    <n v="34.42"/>
    <n v="89.15"/>
    <n v="0"/>
    <n v="0"/>
    <n v="0"/>
    <n v="0"/>
    <n v="0"/>
    <n v="0"/>
    <n v="0"/>
    <n v="0"/>
    <n v="0"/>
    <n v="0"/>
    <n v="0"/>
    <n v="0"/>
    <n v="0"/>
    <n v="81.58"/>
    <n v="0"/>
    <n v="0"/>
    <n v="0"/>
    <n v="0"/>
    <n v="0"/>
    <n v="81.58"/>
    <n v="81.58"/>
    <n v="0"/>
    <n v="81.58"/>
    <m/>
    <n v="39.65"/>
    <n v="89.15"/>
    <n v="89.15"/>
    <n v="0"/>
    <n v="0"/>
    <n v="0"/>
    <n v="0"/>
    <n v="0"/>
    <n v="0"/>
    <n v="0"/>
    <n v="0"/>
    <n v="0"/>
    <n v="0"/>
    <m/>
    <m/>
    <m/>
    <m/>
    <m/>
    <m/>
    <m/>
    <m/>
    <m/>
    <m/>
    <m/>
    <m/>
    <m/>
    <m/>
    <m/>
    <m/>
    <m/>
    <m/>
    <m/>
    <m/>
    <m/>
    <m/>
    <m/>
    <m/>
    <m/>
    <m/>
    <m/>
    <m/>
    <m/>
    <m/>
    <m/>
    <m/>
    <m/>
    <m/>
    <m/>
  </r>
  <r>
    <n v="742"/>
    <d v="2025-03-14T00:00:00"/>
    <s v="ZBTF"/>
    <n v="9518600669"/>
    <n v="7"/>
    <s v="9518600669-7"/>
    <s v="May'25"/>
    <x v="0"/>
    <s v="Yes"/>
    <x v="1"/>
    <x v="6"/>
    <s v="2000-BPRS"/>
    <m/>
    <x v="1"/>
    <m/>
    <m/>
    <m/>
    <s v="South"/>
    <s v="YESHWANTHPURA"/>
    <m/>
    <n v="650742"/>
    <s v="Angul Cold Rolling Mill"/>
    <n v="2397430"/>
    <s v="CRCA COIL SA1008 TU98 1.400X1250"/>
    <s v=" "/>
    <s v=""/>
    <n v="10"/>
    <n v="27"/>
    <m/>
    <s v="C01"/>
    <s v="SA1008"/>
    <s v="TU98"/>
    <n v="1.4"/>
    <n v="1250"/>
    <n v="0"/>
    <n v="29"/>
    <n v="0"/>
    <n v="29"/>
    <n v="29"/>
    <n v="1.4800000000000004"/>
    <n v="29"/>
    <n v="0"/>
    <n v="0"/>
    <n v="0"/>
    <n v="0"/>
    <n v="0"/>
    <n v="0"/>
    <n v="0"/>
    <n v="0"/>
    <n v="0"/>
    <n v="0"/>
    <n v="0"/>
    <n v="0"/>
    <n v="0"/>
    <n v="27.52"/>
    <n v="0"/>
    <n v="0"/>
    <n v="0"/>
    <n v="0"/>
    <n v="0"/>
    <n v="27.52"/>
    <n v="27.52"/>
    <n v="0"/>
    <n v="27.52"/>
    <m/>
    <n v="13.1"/>
    <n v="29"/>
    <n v="29"/>
    <n v="0"/>
    <n v="0"/>
    <n v="0"/>
    <n v="0"/>
    <n v="0"/>
    <n v="0"/>
    <n v="0"/>
    <n v="0"/>
    <n v="0"/>
    <n v="0"/>
    <m/>
    <m/>
    <m/>
    <m/>
    <m/>
    <m/>
    <m/>
    <m/>
    <m/>
    <m/>
    <m/>
    <m/>
    <m/>
    <m/>
    <m/>
    <m/>
    <m/>
    <m/>
    <m/>
    <m/>
    <m/>
    <m/>
    <m/>
    <m/>
    <m/>
    <m/>
    <m/>
    <m/>
    <m/>
    <m/>
    <m/>
    <m/>
    <m/>
    <m/>
    <m/>
  </r>
  <r>
    <n v="742"/>
    <d v="2025-03-14T00:00:00"/>
    <s v="ZBTF"/>
    <n v="9518600669"/>
    <n v="8"/>
    <s v="9518600669-8"/>
    <s v="May'25"/>
    <x v="0"/>
    <s v="Yes"/>
    <x v="1"/>
    <x v="6"/>
    <s v="2000-BPRS"/>
    <m/>
    <x v="1"/>
    <m/>
    <m/>
    <m/>
    <s v="South"/>
    <s v="YESHWANTHPURA"/>
    <m/>
    <n v="650742"/>
    <s v="Angul Cold Rolling Mill"/>
    <n v="2150942"/>
    <s v="CRCA COIL SA1008 TU98 1.600X1250"/>
    <s v=" "/>
    <s v=""/>
    <n v="10"/>
    <n v="27"/>
    <m/>
    <s v="C01"/>
    <s v="SA1008"/>
    <s v="TU98"/>
    <n v="1.6"/>
    <n v="1250"/>
    <n v="0"/>
    <n v="290"/>
    <n v="106.24"/>
    <n v="183.76"/>
    <n v="154.12"/>
    <n v="45.31"/>
    <n v="130.58000000000001"/>
    <n v="0"/>
    <n v="0"/>
    <n v="0"/>
    <n v="0"/>
    <n v="0"/>
    <n v="0"/>
    <n v="0"/>
    <n v="0"/>
    <n v="0"/>
    <n v="0"/>
    <n v="0"/>
    <n v="0"/>
    <n v="0"/>
    <n v="137.6"/>
    <n v="0"/>
    <n v="0.85"/>
    <n v="0"/>
    <n v="0"/>
    <n v="0"/>
    <n v="138.44999999999999"/>
    <n v="138.44999999999999"/>
    <n v="0"/>
    <n v="138.44999999999999"/>
    <m/>
    <n v="26.63"/>
    <n v="130.58000000000001"/>
    <n v="130.58000000000001"/>
    <n v="0"/>
    <n v="0"/>
    <n v="0"/>
    <n v="0"/>
    <n v="0"/>
    <n v="0"/>
    <n v="0"/>
    <n v="0"/>
    <n v="0"/>
    <n v="0"/>
    <m/>
    <m/>
    <m/>
    <m/>
    <m/>
    <m/>
    <m/>
    <m/>
    <m/>
    <m/>
    <m/>
    <m/>
    <m/>
    <m/>
    <m/>
    <m/>
    <m/>
    <m/>
    <m/>
    <m/>
    <m/>
    <m/>
    <m/>
    <m/>
    <m/>
    <m/>
    <m/>
    <m/>
    <m/>
    <m/>
    <m/>
    <m/>
    <m/>
    <m/>
    <m/>
  </r>
  <r>
    <n v="742"/>
    <d v="2025-03-14T00:00:00"/>
    <s v="ZBTF"/>
    <n v="9518600669"/>
    <n v="9"/>
    <s v="9518600669-9"/>
    <s v="May'25"/>
    <x v="0"/>
    <s v="Yes"/>
    <x v="1"/>
    <x v="6"/>
    <s v="2000-BPRS"/>
    <m/>
    <x v="1"/>
    <m/>
    <m/>
    <m/>
    <s v="South"/>
    <s v="YESHWANTHPURA"/>
    <m/>
    <n v="650742"/>
    <s v="Angul Cold Rolling Mill"/>
    <n v="2150943"/>
    <s v="CRCA COIL SA1008 TU98 1.900X1250"/>
    <s v=" "/>
    <s v=""/>
    <n v="10"/>
    <n v="27"/>
    <m/>
    <s v="C01"/>
    <s v="SA1008"/>
    <s v="TU98"/>
    <n v="1.9"/>
    <n v="1250"/>
    <n v="0"/>
    <n v="174"/>
    <n v="26.28"/>
    <n v="147.72"/>
    <n v="92.314999999999998"/>
    <n v="118.47"/>
    <n v="121.29"/>
    <n v="0"/>
    <n v="0"/>
    <n v="0"/>
    <n v="0"/>
    <n v="0"/>
    <n v="0"/>
    <n v="0"/>
    <n v="0"/>
    <n v="0"/>
    <n v="0"/>
    <n v="0"/>
    <n v="0"/>
    <n v="0"/>
    <n v="29.25"/>
    <n v="0"/>
    <n v="0"/>
    <n v="0"/>
    <n v="0"/>
    <n v="0"/>
    <n v="29.25"/>
    <n v="29.25"/>
    <n v="0"/>
    <n v="29.25"/>
    <m/>
    <n v="0"/>
    <n v="121.29"/>
    <n v="0"/>
    <n v="0"/>
    <n v="121.29"/>
    <n v="0"/>
    <n v="0"/>
    <n v="0"/>
    <n v="0"/>
    <n v="0"/>
    <n v="0"/>
    <n v="0"/>
    <n v="0"/>
    <m/>
    <m/>
    <m/>
    <m/>
    <m/>
    <m/>
    <m/>
    <m/>
    <m/>
    <m/>
    <m/>
    <m/>
    <m/>
    <m/>
    <m/>
    <m/>
    <m/>
    <m/>
    <m/>
    <m/>
    <m/>
    <m/>
    <m/>
    <m/>
    <m/>
    <m/>
    <m/>
    <m/>
    <m/>
    <m/>
    <m/>
    <m/>
    <m/>
    <m/>
    <m/>
  </r>
  <r>
    <n v="742"/>
    <d v="2025-03-14T00:00:00"/>
    <s v="ZBTF"/>
    <n v="9518600669"/>
    <n v="10"/>
    <s v="9518600669-10"/>
    <s v="May'25"/>
    <x v="0"/>
    <s v="Yes"/>
    <x v="1"/>
    <x v="6"/>
    <s v="2000-BPRS"/>
    <m/>
    <x v="1"/>
    <m/>
    <m/>
    <m/>
    <s v="South"/>
    <s v="YESHWANTHPURA"/>
    <m/>
    <n v="650742"/>
    <s v="Angul Cold Rolling Mill"/>
    <n v="2279476"/>
    <s v="CRCA COIL TSBHSQ TU99 1.400X1270"/>
    <s v=" "/>
    <s v=""/>
    <n v="10"/>
    <n v="27"/>
    <m/>
    <s v="C01"/>
    <s v="TSBHSQ"/>
    <s v="TU99"/>
    <n v="1.4"/>
    <n v="1270"/>
    <n v="0"/>
    <n v="58"/>
    <n v="0"/>
    <n v="58"/>
    <n v="58"/>
    <n v="3.2299999999999969"/>
    <n v="58"/>
    <n v="0"/>
    <n v="0"/>
    <n v="0"/>
    <n v="0"/>
    <n v="0"/>
    <n v="0"/>
    <n v="0"/>
    <n v="0"/>
    <n v="0"/>
    <n v="0"/>
    <n v="0"/>
    <n v="0"/>
    <n v="0"/>
    <n v="41.32"/>
    <n v="0"/>
    <n v="0"/>
    <n v="0"/>
    <n v="0"/>
    <n v="13.450000000000001"/>
    <n v="54.77"/>
    <n v="54.77"/>
    <n v="0"/>
    <n v="54.77"/>
    <m/>
    <n v="0"/>
    <n v="58"/>
    <n v="58"/>
    <n v="0"/>
    <n v="0"/>
    <n v="0"/>
    <n v="0"/>
    <n v="0"/>
    <n v="0"/>
    <n v="0"/>
    <n v="0"/>
    <n v="0"/>
    <n v="0"/>
    <m/>
    <m/>
    <m/>
    <m/>
    <m/>
    <m/>
    <m/>
    <m/>
    <m/>
    <m/>
    <m/>
    <m/>
    <m/>
    <m/>
    <m/>
    <m/>
    <m/>
    <m/>
    <m/>
    <m/>
    <m/>
    <m/>
    <m/>
    <m/>
    <m/>
    <m/>
    <m/>
    <m/>
    <m/>
    <m/>
    <m/>
    <m/>
    <m/>
    <m/>
    <m/>
  </r>
  <r>
    <n v="742"/>
    <d v="2025-03-14T00:00:00"/>
    <s v="ZBTF"/>
    <n v="9518600669"/>
    <n v="11"/>
    <s v="9518600669-11"/>
    <s v="May'25"/>
    <x v="0"/>
    <s v="Yes"/>
    <x v="1"/>
    <x v="6"/>
    <s v="2000-BPRS"/>
    <m/>
    <x v="1"/>
    <m/>
    <m/>
    <m/>
    <s v="South"/>
    <s v="YESHWANTHPURA"/>
    <m/>
    <n v="650742"/>
    <s v="Angul Cold Rolling Mill"/>
    <n v="2279503"/>
    <s v="CRCA COIL TSBHSQ TU99 1.600X1270"/>
    <s v=" "/>
    <s v=""/>
    <n v="10"/>
    <n v="27"/>
    <m/>
    <s v="C01"/>
    <s v="TSBHSQ"/>
    <s v="TU99"/>
    <n v="1.6"/>
    <n v="1270"/>
    <n v="0"/>
    <n v="58"/>
    <n v="0"/>
    <n v="58"/>
    <n v="58"/>
    <n v="42.54"/>
    <n v="19.53"/>
    <n v="0"/>
    <n v="0"/>
    <n v="0"/>
    <n v="0"/>
    <n v="0"/>
    <n v="0"/>
    <n v="0"/>
    <n v="0"/>
    <n v="0"/>
    <n v="0"/>
    <n v="0"/>
    <n v="0"/>
    <n v="0"/>
    <n v="0"/>
    <n v="0"/>
    <n v="1.95"/>
    <n v="0"/>
    <n v="0"/>
    <n v="13.51"/>
    <n v="15.459999999999999"/>
    <n v="15.459999999999999"/>
    <n v="0"/>
    <n v="15.459999999999999"/>
    <m/>
    <n v="26.479999999999997"/>
    <n v="19.53"/>
    <n v="19.53"/>
    <n v="0"/>
    <n v="0"/>
    <n v="0"/>
    <n v="0"/>
    <n v="0"/>
    <n v="0"/>
    <n v="0"/>
    <n v="0"/>
    <n v="0"/>
    <n v="0"/>
    <m/>
    <m/>
    <m/>
    <m/>
    <m/>
    <m/>
    <m/>
    <m/>
    <m/>
    <m/>
    <m/>
    <m/>
    <m/>
    <m/>
    <m/>
    <m/>
    <m/>
    <m/>
    <m/>
    <m/>
    <m/>
    <m/>
    <m/>
    <m/>
    <m/>
    <m/>
    <m/>
    <m/>
    <m/>
    <m/>
    <m/>
    <m/>
    <m/>
    <m/>
    <m/>
  </r>
  <r>
    <n v="742"/>
    <d v="2025-03-14T00:00:00"/>
    <s v="ZBTF"/>
    <n v="9518600669"/>
    <n v="12"/>
    <s v="9518600669-12"/>
    <s v="May'25"/>
    <x v="0"/>
    <s v="Yes"/>
    <x v="1"/>
    <x v="6"/>
    <s v="2000-BPRS"/>
    <m/>
    <x v="1"/>
    <m/>
    <m/>
    <m/>
    <s v="South"/>
    <s v="YESHWANTHPURA"/>
    <m/>
    <n v="650742"/>
    <s v="Angul Cold Rolling Mill"/>
    <n v="2279483"/>
    <s v="CRCA COIL TSBHSQ TU99 2X1270"/>
    <s v=" "/>
    <s v=""/>
    <n v="10"/>
    <n v="27"/>
    <m/>
    <s v="C01"/>
    <s v="TSBHSQ"/>
    <s v="TU99"/>
    <n v="2"/>
    <n v="1270"/>
    <n v="0"/>
    <n v="174"/>
    <n v="0"/>
    <n v="174"/>
    <n v="174"/>
    <n v="89.28"/>
    <n v="95.075000000000003"/>
    <n v="0"/>
    <n v="0"/>
    <n v="0"/>
    <n v="0"/>
    <n v="0"/>
    <n v="0"/>
    <n v="0"/>
    <n v="0"/>
    <n v="0"/>
    <n v="0"/>
    <n v="0"/>
    <n v="0"/>
    <n v="0"/>
    <n v="54.28"/>
    <n v="0"/>
    <n v="4.67"/>
    <n v="0"/>
    <n v="0"/>
    <n v="25.77"/>
    <n v="84.72"/>
    <n v="84.72"/>
    <n v="0"/>
    <n v="84.72"/>
    <m/>
    <n v="66.63"/>
    <n v="95.075000000000003"/>
    <n v="95.075000000000003"/>
    <n v="0"/>
    <n v="0"/>
    <n v="0"/>
    <n v="0"/>
    <n v="0"/>
    <n v="0"/>
    <n v="0"/>
    <n v="0"/>
    <n v="0"/>
    <n v="0"/>
    <m/>
    <m/>
    <m/>
    <m/>
    <m/>
    <m/>
    <m/>
    <m/>
    <m/>
    <m/>
    <m/>
    <m/>
    <m/>
    <m/>
    <m/>
    <m/>
    <m/>
    <m/>
    <m/>
    <m/>
    <m/>
    <m/>
    <m/>
    <m/>
    <m/>
    <m/>
    <m/>
    <m/>
    <m/>
    <m/>
    <m/>
    <m/>
    <m/>
    <m/>
    <m/>
  </r>
  <r>
    <n v="742"/>
    <d v="2025-03-14T00:00:00"/>
    <s v="ZBTF"/>
    <n v="9518600669"/>
    <n v="13"/>
    <s v="9518600669-13"/>
    <s v="May'25"/>
    <x v="0"/>
    <s v="Yes"/>
    <x v="1"/>
    <x v="6"/>
    <s v="2000-BPRS"/>
    <n v="1300"/>
    <x v="1"/>
    <m/>
    <m/>
    <m/>
    <s v="South"/>
    <s v="YESHWANTHPURA"/>
    <m/>
    <n v="650742"/>
    <s v="Angul Cold Rolling Mill"/>
    <n v="2150942"/>
    <s v="CRCA COIL SA1008 TU98 1.600X1250"/>
    <s v=" "/>
    <s v=""/>
    <n v="10"/>
    <n v="27"/>
    <m/>
    <s v="C01"/>
    <s v="SA1008"/>
    <s v="TU98"/>
    <n v="1.6"/>
    <n v="1250"/>
    <n v="0"/>
    <n v="290"/>
    <n v="0"/>
    <n v="290"/>
    <n v="290"/>
    <n v="262.44"/>
    <n v="290"/>
    <n v="0"/>
    <n v="0"/>
    <n v="0"/>
    <n v="0"/>
    <n v="0"/>
    <n v="0"/>
    <n v="0"/>
    <n v="0"/>
    <n v="0"/>
    <n v="0"/>
    <n v="0"/>
    <n v="0"/>
    <n v="0"/>
    <n v="27.560000000000002"/>
    <n v="0"/>
    <n v="0"/>
    <n v="0"/>
    <n v="0"/>
    <n v="0"/>
    <n v="27.560000000000002"/>
    <n v="27.560000000000002"/>
    <n v="0"/>
    <n v="27.560000000000002"/>
    <m/>
    <n v="0"/>
    <n v="290"/>
    <n v="0"/>
    <n v="0"/>
    <n v="290"/>
    <n v="0"/>
    <n v="0"/>
    <n v="0"/>
    <n v="0"/>
    <n v="0"/>
    <n v="0"/>
    <n v="0"/>
    <n v="0"/>
    <m/>
    <m/>
    <m/>
    <m/>
    <m/>
    <m/>
    <m/>
    <m/>
    <m/>
    <m/>
    <m/>
    <m/>
    <m/>
    <m/>
    <m/>
    <m/>
    <m/>
    <m/>
    <m/>
    <m/>
    <m/>
    <m/>
    <m/>
    <m/>
    <m/>
    <m/>
    <m/>
    <m/>
    <m/>
    <m/>
    <m/>
    <m/>
    <m/>
    <m/>
    <m/>
  </r>
  <r>
    <n v="743"/>
    <d v="2025-04-05T00:00:00"/>
    <s v="ZBTO"/>
    <n v="9518671430"/>
    <n v="1"/>
    <s v="9518671430-1"/>
    <s v="Stocks"/>
    <x v="0"/>
    <m/>
    <x v="4"/>
    <x v="3"/>
    <s v="1000-IPPE"/>
    <m/>
    <x v="1"/>
    <m/>
    <m/>
    <m/>
    <s v="TBSPL"/>
    <s v="RAJASTHAN"/>
    <m/>
    <n v="942293"/>
    <s v="TATA BLUESCOPE STEEL PRIVATE LIMITE"/>
    <n v="3946364"/>
    <s v="GL COIL HARD Y550GL M308 0.50 (TCT)X1220"/>
    <s v="AZ150"/>
    <s v=""/>
    <n v="3"/>
    <n v="5"/>
    <m/>
    <s v="B04"/>
    <s v="Y550GL"/>
    <s v="M308"/>
    <n v="0.5"/>
    <n v="1220"/>
    <n v="0"/>
    <n v="28"/>
    <n v="0"/>
    <n v="28"/>
    <n v="28"/>
    <n v="28"/>
    <n v="0.71"/>
    <n v="0"/>
    <n v="0"/>
    <n v="0"/>
    <n v="0"/>
    <n v="0"/>
    <n v="0"/>
    <n v="0"/>
    <n v="0"/>
    <n v="0"/>
    <n v="0"/>
    <n v="0"/>
    <n v="0"/>
    <n v="0"/>
    <n v="0"/>
    <n v="0"/>
    <n v="0"/>
    <n v="0"/>
    <n v="0"/>
    <n v="0"/>
    <n v="0"/>
    <n v="0"/>
    <n v="0"/>
    <n v="0"/>
    <m/>
    <n v="4.76"/>
    <n v="0"/>
    <n v="0"/>
    <n v="0"/>
    <n v="0"/>
    <n v="0"/>
    <n v="0"/>
    <n v="0"/>
    <n v="0"/>
    <n v="0"/>
    <n v="0"/>
    <n v="0"/>
    <n v="0"/>
    <m/>
    <m/>
    <m/>
    <m/>
    <m/>
    <m/>
    <m/>
    <m/>
    <m/>
    <m/>
    <m/>
    <m/>
    <m/>
    <m/>
    <m/>
    <m/>
    <m/>
    <m/>
    <m/>
    <m/>
    <m/>
    <m/>
    <m/>
    <m/>
    <m/>
    <m/>
    <m/>
    <m/>
    <m/>
    <m/>
    <m/>
    <m/>
    <m/>
    <m/>
    <m/>
  </r>
  <r>
    <n v="743"/>
    <d v="2025-03-29T00:00:00"/>
    <s v="ZBTO"/>
    <n v="9518653333"/>
    <n v="1"/>
    <s v="9518653333-1"/>
    <s v="May'25"/>
    <x v="0"/>
    <m/>
    <x v="4"/>
    <x v="3"/>
    <s v="1000-IPPE"/>
    <m/>
    <x v="1"/>
    <m/>
    <m/>
    <m/>
    <s v="TBSPL"/>
    <s v="RAJASTHAN"/>
    <m/>
    <n v="942293"/>
    <s v="TATA BLUESCOPE STEEL PRIVATE LIMITE"/>
    <n v="3946362"/>
    <s v="GL COIL HARD Y550GL M308 0.47 (TCT)X1220"/>
    <s v="AZ150"/>
    <s v=""/>
    <n v="3"/>
    <n v="5"/>
    <m/>
    <s v="B04"/>
    <s v="Y550GL"/>
    <s v="M308"/>
    <n v="0.47"/>
    <n v="1220"/>
    <n v="0"/>
    <n v="280"/>
    <n v="23.13"/>
    <n v="256.87"/>
    <n v="224.87"/>
    <n v="214"/>
    <n v="46.395000000000003"/>
    <n v="0"/>
    <n v="0"/>
    <n v="0"/>
    <n v="0"/>
    <n v="0"/>
    <n v="0"/>
    <n v="0"/>
    <n v="29.14"/>
    <n v="0"/>
    <n v="0"/>
    <n v="0"/>
    <n v="0"/>
    <n v="0"/>
    <n v="0"/>
    <n v="0"/>
    <n v="0"/>
    <n v="0"/>
    <n v="0"/>
    <n v="13.73"/>
    <n v="42.870000000000005"/>
    <n v="42.870000000000005"/>
    <n v="0"/>
    <n v="42.870000000000005"/>
    <m/>
    <n v="146.49499999999998"/>
    <n v="46.395000000000003"/>
    <n v="0"/>
    <n v="46.395000000000003"/>
    <n v="0"/>
    <n v="0"/>
    <n v="0"/>
    <n v="46.395000000000003"/>
    <n v="0"/>
    <n v="46.395000000000003"/>
    <n v="0"/>
    <n v="0"/>
    <n v="0"/>
    <m/>
    <m/>
    <m/>
    <m/>
    <m/>
    <m/>
    <m/>
    <m/>
    <m/>
    <m/>
    <m/>
    <m/>
    <m/>
    <m/>
    <m/>
    <m/>
    <m/>
    <m/>
    <m/>
    <m/>
    <m/>
    <m/>
    <m/>
    <m/>
    <m/>
    <m/>
    <m/>
    <m/>
    <m/>
    <m/>
    <m/>
    <m/>
    <m/>
    <m/>
    <m/>
  </r>
  <r>
    <n v="743"/>
    <d v="2025-03-29T00:00:00"/>
    <s v="ZBTO"/>
    <n v="9518653333"/>
    <n v="2"/>
    <s v="9518653333-2"/>
    <s v="Stocks"/>
    <x v="0"/>
    <m/>
    <x v="4"/>
    <x v="3"/>
    <s v="1000-IPPE"/>
    <m/>
    <x v="1"/>
    <m/>
    <m/>
    <m/>
    <s v="TBSPL"/>
    <s v="RAJASTHAN"/>
    <m/>
    <n v="942293"/>
    <s v="TATA BLUESCOPE STEEL PRIVATE LIMITE"/>
    <n v="3946362"/>
    <s v="GL COIL HARD Y550GL M308 0.47 (TCT)X1220"/>
    <s v="AZ150"/>
    <s v=""/>
    <n v="3"/>
    <n v="5"/>
    <m/>
    <s v="B04"/>
    <s v="Y550GL"/>
    <s v="M308"/>
    <n v="0.47"/>
    <n v="1220"/>
    <n v="0"/>
    <n v="140"/>
    <n v="21.53"/>
    <n v="118.47"/>
    <n v="6.4980000000000002"/>
    <n v="118.47"/>
    <n v="4.3"/>
    <n v="0"/>
    <n v="0"/>
    <n v="0"/>
    <n v="0"/>
    <n v="0"/>
    <n v="0"/>
    <n v="0"/>
    <n v="0"/>
    <n v="0"/>
    <n v="0"/>
    <n v="0"/>
    <n v="0"/>
    <n v="0"/>
    <n v="0"/>
    <n v="0"/>
    <n v="0"/>
    <n v="0"/>
    <n v="0"/>
    <n v="0"/>
    <n v="0"/>
    <n v="0"/>
    <n v="0"/>
    <n v="0"/>
    <m/>
    <n v="8.6649999999999991"/>
    <n v="0"/>
    <n v="0"/>
    <n v="0"/>
    <n v="0"/>
    <n v="0"/>
    <n v="0"/>
    <n v="0"/>
    <n v="0"/>
    <n v="0"/>
    <n v="0"/>
    <n v="0"/>
    <n v="0"/>
    <m/>
    <m/>
    <m/>
    <m/>
    <m/>
    <m/>
    <m/>
    <m/>
    <m/>
    <m/>
    <m/>
    <m/>
    <m/>
    <m/>
    <m/>
    <m/>
    <m/>
    <m/>
    <m/>
    <m/>
    <m/>
    <m/>
    <m/>
    <m/>
    <m/>
    <m/>
    <m/>
    <m/>
    <m/>
    <m/>
    <m/>
    <m/>
    <m/>
    <m/>
    <m/>
  </r>
  <r>
    <n v="743"/>
    <d v="2025-03-29T00:00:00"/>
    <s v="ZBTO"/>
    <n v="9518653333"/>
    <n v="3"/>
    <s v="9518653333-3"/>
    <s v="May'25"/>
    <x v="0"/>
    <m/>
    <x v="4"/>
    <x v="3"/>
    <s v="1000-IPPE"/>
    <m/>
    <x v="1"/>
    <m/>
    <m/>
    <m/>
    <s v="TBSPL"/>
    <s v="RAJASTHAN"/>
    <m/>
    <n v="942293"/>
    <s v="TATA BLUESCOPE STEEL PRIVATE LIMITE"/>
    <n v="3946363"/>
    <s v="GL COIL HARD Y550GL M308 0.60 (TCT)X1220"/>
    <s v="AZ150"/>
    <s v=""/>
    <n v="3"/>
    <n v="5"/>
    <m/>
    <s v="B04"/>
    <s v="Y550GL"/>
    <s v="M308"/>
    <n v="0.6"/>
    <n v="1220"/>
    <n v="0"/>
    <n v="28"/>
    <n v="9.0150000000000006"/>
    <n v="18.984999999999999"/>
    <n v="18.984999999999999"/>
    <n v="18.984999999999999"/>
    <n v="18.984999999999999"/>
    <n v="0"/>
    <n v="0"/>
    <n v="0"/>
    <n v="0"/>
    <n v="0"/>
    <n v="0"/>
    <n v="0"/>
    <n v="0"/>
    <n v="0"/>
    <n v="0"/>
    <n v="0"/>
    <n v="0"/>
    <n v="0"/>
    <n v="0"/>
    <n v="0"/>
    <n v="0"/>
    <n v="0"/>
    <n v="0"/>
    <n v="0"/>
    <n v="0"/>
    <n v="0"/>
    <n v="0"/>
    <n v="0"/>
    <m/>
    <n v="0"/>
    <n v="0"/>
    <n v="0"/>
    <n v="0"/>
    <n v="0"/>
    <n v="0"/>
    <n v="0"/>
    <n v="0"/>
    <n v="0"/>
    <n v="0"/>
    <n v="0"/>
    <n v="0"/>
    <n v="0"/>
    <m/>
    <m/>
    <m/>
    <m/>
    <m/>
    <m/>
    <m/>
    <m/>
    <m/>
    <m/>
    <m/>
    <m/>
    <m/>
    <m/>
    <m/>
    <m/>
    <m/>
    <m/>
    <m/>
    <m/>
    <m/>
    <m/>
    <m/>
    <m/>
    <m/>
    <m/>
    <m/>
    <m/>
    <m/>
    <m/>
    <m/>
    <m/>
    <m/>
    <m/>
    <m/>
  </r>
  <r>
    <n v="743"/>
    <d v="2025-02-06T00:00:00"/>
    <s v="ZBTO"/>
    <n v="9518497649"/>
    <n v="2"/>
    <s v="9518497649-2"/>
    <s v="No Priority"/>
    <x v="0"/>
    <m/>
    <x v="3"/>
    <x v="0"/>
    <s v="2000-BPRS"/>
    <m/>
    <x v="0"/>
    <m/>
    <m/>
    <m/>
    <s v="East"/>
    <s v="TATANAGAR"/>
    <m/>
    <n v="165053"/>
    <s v="SUDISA ENTERPRISES (P) LTD."/>
    <n v="1852440"/>
    <s v="GP COIL SOFT-TSBXGP-T1GP-0.6X1220"/>
    <s v="Z80"/>
    <s v=""/>
    <n v="4"/>
    <n v="12"/>
    <m/>
    <s v="C02"/>
    <s v="TSBXGP"/>
    <s v="T1GP"/>
    <n v="0.6"/>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3"/>
    <d v="2025-03-27T00:00:00"/>
    <s v="ZBTO"/>
    <n v="9518643800"/>
    <n v="1"/>
    <s v="9518643800-1"/>
    <s v="May'25"/>
    <x v="0"/>
    <m/>
    <x v="4"/>
    <x v="5"/>
    <s v="1000-IPPE"/>
    <m/>
    <x v="1"/>
    <m/>
    <m/>
    <m/>
    <s v="West"/>
    <s v="SANAND"/>
    <m/>
    <n v="944226"/>
    <s v="PURSHOTAM PROFILES PRIVATE LIMITED"/>
    <n v="3889776"/>
    <s v="GL COIL HARD  Y550GL H0GL 0.900X1249"/>
    <s v="AZ150"/>
    <s v=""/>
    <n v="10"/>
    <n v="18"/>
    <m/>
    <s v="B04"/>
    <s v="Y550GL"/>
    <s v="H0GL"/>
    <n v="0.9"/>
    <n v="1249"/>
    <n v="0"/>
    <n v="232"/>
    <n v="171.435"/>
    <n v="60.564999999999998"/>
    <n v="46.62"/>
    <n v="3.0300000000000011"/>
    <n v="60.564999999999998"/>
    <n v="0"/>
    <n v="0"/>
    <n v="0"/>
    <n v="0"/>
    <n v="0"/>
    <n v="0"/>
    <n v="0"/>
    <n v="21.025000000000002"/>
    <n v="0"/>
    <n v="0"/>
    <n v="0"/>
    <n v="0"/>
    <n v="0"/>
    <n v="0"/>
    <n v="0"/>
    <n v="0"/>
    <n v="0"/>
    <n v="0"/>
    <n v="36.51"/>
    <n v="57.534999999999997"/>
    <n v="57.534999999999997"/>
    <n v="0"/>
    <n v="57.534999999999997"/>
    <m/>
    <n v="0"/>
    <n v="60.564999999999998"/>
    <n v="60.564999999999998"/>
    <n v="0"/>
    <n v="0"/>
    <n v="0"/>
    <n v="0"/>
    <n v="0"/>
    <n v="0"/>
    <n v="0"/>
    <n v="0"/>
    <n v="0"/>
    <n v="0"/>
    <m/>
    <m/>
    <m/>
    <m/>
    <m/>
    <m/>
    <m/>
    <m/>
    <m/>
    <m/>
    <m/>
    <m/>
    <m/>
    <m/>
    <m/>
    <m/>
    <m/>
    <m/>
    <m/>
    <m/>
    <m/>
    <m/>
    <m/>
    <m/>
    <m/>
    <m/>
    <m/>
    <m/>
    <m/>
    <m/>
    <m/>
    <m/>
    <m/>
    <m/>
    <m/>
  </r>
  <r>
    <n v="743"/>
    <d v="2025-03-29T00:00:00"/>
    <s v="ZBTO"/>
    <n v="9518652258"/>
    <n v="1"/>
    <s v="9518652258-1"/>
    <s v="No Priority"/>
    <x v="0"/>
    <m/>
    <x v="4"/>
    <x v="3"/>
    <s v="1000-IPPE"/>
    <m/>
    <x v="0"/>
    <m/>
    <m/>
    <m/>
    <s v="TBSPL"/>
    <s v="TATANAGAR"/>
    <m/>
    <n v="942284"/>
    <s v="TATA BLUESCOPE STEEL PRIVATE LIMITE"/>
    <n v="3946364"/>
    <s v="GL COIL HARD Y550GL M308 0.50 (TCT)X1220"/>
    <s v="AZ150"/>
    <s v=""/>
    <n v="3"/>
    <n v="5"/>
    <m/>
    <s v="B04"/>
    <s v="Y550GL"/>
    <s v="M308"/>
    <n v="0.5"/>
    <n v="1220"/>
    <n v="0"/>
    <n v="224"/>
    <n v="0"/>
    <n v="224"/>
    <n v="-24.456"/>
    <n v="0"/>
    <n v="3.395"/>
    <n v="0"/>
    <n v="0"/>
    <n v="0"/>
    <n v="0"/>
    <n v="0"/>
    <n v="0"/>
    <n v="0"/>
    <n v="0"/>
    <n v="0"/>
    <n v="0"/>
    <n v="0"/>
    <n v="0"/>
    <n v="0"/>
    <n v="0"/>
    <n v="0"/>
    <n v="0"/>
    <n v="0"/>
    <n v="0"/>
    <n v="0"/>
    <n v="0"/>
    <n v="0"/>
    <n v="0"/>
    <n v="0"/>
    <m/>
    <n v="0"/>
    <n v="0"/>
    <n v="0"/>
    <n v="0"/>
    <n v="0"/>
    <n v="0"/>
    <n v="0"/>
    <n v="0"/>
    <n v="0"/>
    <n v="0"/>
    <n v="0"/>
    <n v="0"/>
    <n v="0"/>
    <m/>
    <m/>
    <m/>
    <m/>
    <m/>
    <m/>
    <m/>
    <m/>
    <m/>
    <m/>
    <m/>
    <m/>
    <m/>
    <m/>
    <m/>
    <m/>
    <m/>
    <m/>
    <m/>
    <m/>
    <m/>
    <m/>
    <m/>
    <m/>
    <m/>
    <m/>
    <m/>
    <m/>
    <m/>
    <m/>
    <m/>
    <m/>
    <m/>
    <m/>
    <m/>
  </r>
  <r>
    <n v="743"/>
    <d v="2025-03-29T00:00:00"/>
    <s v="ZBTO"/>
    <n v="9518652258"/>
    <n v="2"/>
    <s v="9518652258-2"/>
    <s v="Stocks"/>
    <x v="0"/>
    <m/>
    <x v="4"/>
    <x v="3"/>
    <s v="1000-IPPE"/>
    <m/>
    <x v="1"/>
    <m/>
    <m/>
    <m/>
    <s v="TBSPL"/>
    <s v="TATANAGAR"/>
    <m/>
    <n v="942284"/>
    <s v="TATA BLUESCOPE STEEL PRIVATE LIMITE"/>
    <n v="3946363"/>
    <s v="GL COIL HARD Y550GL M308 0.60 (TCT)X1220"/>
    <s v="AZ150"/>
    <s v=""/>
    <n v="3"/>
    <n v="5"/>
    <m/>
    <s v="B04"/>
    <s v="Y550GL"/>
    <s v="M308"/>
    <n v="0.6"/>
    <n v="1220"/>
    <n v="0"/>
    <n v="56"/>
    <n v="0"/>
    <n v="56"/>
    <n v="1.33"/>
    <n v="0"/>
    <n v="11.4"/>
    <n v="0"/>
    <n v="0"/>
    <n v="0"/>
    <n v="0"/>
    <n v="0"/>
    <n v="0"/>
    <n v="0"/>
    <n v="0"/>
    <n v="0"/>
    <n v="0"/>
    <n v="0"/>
    <n v="0"/>
    <n v="0"/>
    <n v="0"/>
    <n v="0"/>
    <n v="0"/>
    <n v="0"/>
    <n v="0"/>
    <n v="9.15"/>
    <n v="9.15"/>
    <n v="9.15"/>
    <n v="0"/>
    <n v="9.15"/>
    <m/>
    <n v="13.43"/>
    <n v="11.4"/>
    <n v="0"/>
    <n v="11.4"/>
    <n v="0"/>
    <n v="0"/>
    <n v="0"/>
    <n v="11.4"/>
    <n v="0"/>
    <n v="11.4"/>
    <n v="0"/>
    <n v="0"/>
    <n v="0"/>
    <m/>
    <m/>
    <m/>
    <m/>
    <m/>
    <m/>
    <m/>
    <m/>
    <m/>
    <m/>
    <m/>
    <m/>
    <m/>
    <m/>
    <m/>
    <m/>
    <m/>
    <m/>
    <m/>
    <m/>
    <m/>
    <m/>
    <m/>
    <m/>
    <m/>
    <m/>
    <m/>
    <m/>
    <m/>
    <m/>
    <m/>
    <m/>
    <m/>
    <m/>
    <m/>
  </r>
  <r>
    <n v="742"/>
    <d v="2025-04-03T00:00:00"/>
    <s v="ZBTO"/>
    <n v="9518667422"/>
    <n v="1"/>
    <s v="9518667422-1"/>
    <s v="No Priority"/>
    <x v="0"/>
    <s v="Yes"/>
    <x v="1"/>
    <x v="1"/>
    <s v="2000-BPRS"/>
    <m/>
    <x v="0"/>
    <m/>
    <s v="De-prioritized due to Apr CF orders"/>
    <m/>
    <s v="South"/>
    <s v="YESHWANTHPURA"/>
    <m/>
    <n v="165992"/>
    <s v="G.K.ISPAT PVT.LTD"/>
    <n v="1800890"/>
    <s v="CRCA COIL-TATXXD-AU03-0.35X1250"/>
    <s v=" "/>
    <s v=""/>
    <n v="2"/>
    <n v="30"/>
    <m/>
    <s v="C01"/>
    <s v="TATXXD"/>
    <s v="AU03"/>
    <n v="0.35"/>
    <n v="1250"/>
    <n v="0"/>
    <n v="145"/>
    <n v="0"/>
    <n v="145"/>
    <n v="145"/>
    <n v="145"/>
    <n v="145"/>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7422"/>
    <n v="2"/>
    <s v="9518667422-2"/>
    <s v="No Priority"/>
    <x v="0"/>
    <s v="Yes"/>
    <x v="1"/>
    <x v="1"/>
    <s v="2000-BPRS"/>
    <m/>
    <x v="0"/>
    <m/>
    <m/>
    <m/>
    <s v="South"/>
    <s v="YESHWANTHPURA"/>
    <m/>
    <n v="165992"/>
    <s v="G.K.ISPAT PVT.LTD"/>
    <n v="1804772"/>
    <s v="CRCA COIL TATXXD AU03 0.4X1250"/>
    <s v=" "/>
    <s v=""/>
    <n v="2"/>
    <n v="30"/>
    <m/>
    <s v="C01"/>
    <s v="TATXXD"/>
    <s v="AU03"/>
    <n v="0.4"/>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7422"/>
    <n v="3"/>
    <s v="9518667422-3"/>
    <s v="May'25"/>
    <x v="0"/>
    <s v="Yes"/>
    <x v="1"/>
    <x v="1"/>
    <s v="2000-BPRS"/>
    <m/>
    <x v="1"/>
    <m/>
    <m/>
    <m/>
    <s v="South"/>
    <s v="YESHWANTHPURA"/>
    <m/>
    <n v="165992"/>
    <s v="G.K.ISPAT PVT.LTD"/>
    <n v="185675"/>
    <s v="CRCA COIL-TATXXD-AU03-0.5X1250"/>
    <s v=" "/>
    <s v=""/>
    <n v="2"/>
    <n v="30"/>
    <m/>
    <s v="C01"/>
    <s v="TATXXD"/>
    <s v="AU03"/>
    <n v="0.5"/>
    <n v="1250"/>
    <n v="0"/>
    <n v="58"/>
    <n v="0"/>
    <n v="58"/>
    <n v="58"/>
    <n v="34.730000000000004"/>
    <n v="33.094999999999999"/>
    <n v="0"/>
    <n v="0"/>
    <n v="0"/>
    <n v="0"/>
    <n v="0"/>
    <n v="0"/>
    <n v="0"/>
    <n v="0"/>
    <n v="0"/>
    <n v="0"/>
    <n v="0"/>
    <n v="0"/>
    <n v="0"/>
    <n v="23.27"/>
    <n v="0"/>
    <n v="0"/>
    <n v="0"/>
    <n v="0"/>
    <n v="0"/>
    <n v="23.27"/>
    <n v="23.27"/>
    <n v="0"/>
    <n v="23.27"/>
    <m/>
    <n v="0"/>
    <n v="33.094999999999999"/>
    <n v="33.094999999999999"/>
    <n v="0"/>
    <n v="0"/>
    <n v="0"/>
    <n v="0"/>
    <n v="0"/>
    <n v="0"/>
    <n v="0"/>
    <n v="0"/>
    <n v="0"/>
    <n v="0"/>
    <m/>
    <m/>
    <m/>
    <m/>
    <m/>
    <m/>
    <m/>
    <m/>
    <m/>
    <m/>
    <m/>
    <m/>
    <m/>
    <m/>
    <m/>
    <m/>
    <m/>
    <m/>
    <m/>
    <m/>
    <m/>
    <m/>
    <m/>
    <m/>
    <m/>
    <m/>
    <m/>
    <m/>
    <m/>
    <m/>
    <m/>
    <m/>
    <m/>
    <m/>
    <m/>
  </r>
  <r>
    <n v="742"/>
    <d v="2025-03-31T00:00:00"/>
    <s v="ZBTO"/>
    <n v="9518660656"/>
    <n v="2"/>
    <s v="9518660656-2"/>
    <s v="May'25"/>
    <x v="0"/>
    <s v="Yes"/>
    <x v="1"/>
    <x v="2"/>
    <s v="2000-BPRS"/>
    <m/>
    <x v="1"/>
    <m/>
    <s v="Exp BTF &lt;17MT"/>
    <m/>
    <s v="East"/>
    <s v="HOWRAH"/>
    <m/>
    <n v="101278"/>
    <s v="RAMESH COMPANY"/>
    <n v="3239548"/>
    <s v="CRCA SHEET TATCRC SR16 0.400X900X2500"/>
    <s v=" "/>
    <s v=""/>
    <n v="0"/>
    <n v="0"/>
    <m/>
    <s v="C06"/>
    <s v="TATCRC"/>
    <s v="SR16"/>
    <n v="0.4"/>
    <n v="900"/>
    <n v="2500"/>
    <n v="51"/>
    <n v="0"/>
    <n v="51"/>
    <n v="7.2"/>
    <n v="8.4699999999999989"/>
    <n v="51"/>
    <n v="0"/>
    <n v="0"/>
    <n v="0"/>
    <n v="0"/>
    <n v="0"/>
    <n v="0"/>
    <n v="0"/>
    <n v="0"/>
    <n v="0"/>
    <n v="0"/>
    <n v="0"/>
    <n v="0"/>
    <n v="0"/>
    <n v="42.53"/>
    <n v="0"/>
    <n v="0"/>
    <n v="0"/>
    <n v="0"/>
    <n v="0"/>
    <n v="42.53"/>
    <n v="42.53"/>
    <n v="0"/>
    <n v="42.53"/>
    <m/>
    <n v="0"/>
    <n v="51"/>
    <n v="0"/>
    <n v="51"/>
    <n v="0"/>
    <n v="0"/>
    <n v="0"/>
    <n v="51"/>
    <n v="0"/>
    <n v="51"/>
    <n v="0"/>
    <n v="0"/>
    <n v="0"/>
    <m/>
    <m/>
    <m/>
    <m/>
    <m/>
    <m/>
    <m/>
    <m/>
    <m/>
    <m/>
    <m/>
    <m/>
    <m/>
    <m/>
    <m/>
    <m/>
    <m/>
    <m/>
    <m/>
    <m/>
    <m/>
    <m/>
    <m/>
    <m/>
    <m/>
    <m/>
    <m/>
    <m/>
    <m/>
    <m/>
    <m/>
    <m/>
    <m/>
    <m/>
    <m/>
  </r>
  <r>
    <n v="744"/>
    <d v="2025-04-05T00:00:00"/>
    <s v="ZBTO"/>
    <n v="9518671083"/>
    <n v="1"/>
    <s v="9518671083-1"/>
    <s v="May'25"/>
    <x v="0"/>
    <s v="Yes"/>
    <x v="2"/>
    <x v="3"/>
    <s v="1000-IPPE"/>
    <m/>
    <x v="1"/>
    <m/>
    <m/>
    <m/>
    <s v="TBSPL"/>
    <s v="RAJASTHAN"/>
    <m/>
    <n v="940008"/>
    <s v="TATA BLUESCOPE STEEL PVT LTD."/>
    <n v="3522241"/>
    <s v="PPGL C Y550 D0C7 0.43BMT(0.47TPT)X1220"/>
    <s v="aZ70"/>
    <s v="NG BRIGHT GREEN TSL 2211"/>
    <n v="3"/>
    <n v="5"/>
    <m/>
    <s v="B18"/>
    <s v="Y550PL"/>
    <s v="D0C7"/>
    <n v="0.43"/>
    <n v="1220"/>
    <n v="0"/>
    <n v="83.998999999999995"/>
    <n v="0"/>
    <n v="83.998999999999995"/>
    <n v="83.998999999999995"/>
    <n v="83.998999999999995"/>
    <n v="83.998999999999995"/>
    <n v="0"/>
    <n v="0"/>
    <n v="0"/>
    <n v="0"/>
    <n v="0"/>
    <n v="0"/>
    <n v="0"/>
    <n v="0"/>
    <n v="0"/>
    <n v="0"/>
    <n v="0"/>
    <n v="0"/>
    <n v="0"/>
    <n v="0"/>
    <n v="0"/>
    <n v="0"/>
    <n v="0"/>
    <n v="0"/>
    <n v="0"/>
    <n v="0"/>
    <n v="0"/>
    <n v="0"/>
    <n v="0"/>
    <m/>
    <n v="0"/>
    <n v="83.998999999999995"/>
    <n v="0"/>
    <n v="0"/>
    <n v="0"/>
    <n v="0"/>
    <n v="83.998999999999995"/>
    <n v="0"/>
    <n v="0"/>
    <n v="0"/>
    <n v="0"/>
    <n v="0"/>
    <n v="0"/>
    <m/>
    <m/>
    <m/>
    <m/>
    <m/>
    <m/>
    <m/>
    <m/>
    <m/>
    <m/>
    <m/>
    <m/>
    <m/>
    <m/>
    <m/>
    <m/>
    <m/>
    <m/>
    <m/>
    <m/>
    <m/>
    <m/>
    <m/>
    <m/>
    <m/>
    <m/>
    <m/>
    <m/>
    <m/>
    <m/>
    <m/>
    <m/>
    <m/>
    <m/>
    <m/>
  </r>
  <r>
    <n v="744"/>
    <d v="2025-04-05T00:00:00"/>
    <s v="ZBTO"/>
    <n v="9518671083"/>
    <n v="2"/>
    <s v="9518671083-2"/>
    <s v="May'25"/>
    <x v="0"/>
    <s v="Yes"/>
    <x v="2"/>
    <x v="3"/>
    <s v="1000-IPPE"/>
    <m/>
    <x v="1"/>
    <m/>
    <m/>
    <m/>
    <s v="TBSPL"/>
    <s v="RAJASTHAN"/>
    <m/>
    <n v="940008"/>
    <s v="TATA BLUESCOPE STEEL PVT LTD."/>
    <n v="3522241"/>
    <s v="PPGL C Y550 D0C7 0.43BMT(0.47TPT)X1220"/>
    <s v="aZ70"/>
    <s v="NGP COFFEE TSL 1912"/>
    <n v="3"/>
    <n v="5"/>
    <m/>
    <s v="B18"/>
    <s v="Y550PL"/>
    <s v="D0C7"/>
    <n v="0.43"/>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4"/>
    <d v="2025-04-05T00:00:00"/>
    <s v="ZBTO"/>
    <n v="9518671083"/>
    <n v="3"/>
    <s v="9518671083-3"/>
    <s v="May'25"/>
    <x v="0"/>
    <s v="Yes"/>
    <x v="2"/>
    <x v="3"/>
    <s v="1000-IPPE"/>
    <m/>
    <x v="1"/>
    <m/>
    <m/>
    <m/>
    <s v="TBSPL"/>
    <s v="RAJASTHAN"/>
    <m/>
    <n v="940008"/>
    <s v="TATA BLUESCOPE STEEL PVT LTD."/>
    <n v="3522241"/>
    <s v="PPGL C Y550 D0C7 0.43BMT(0.47TPT)X1220"/>
    <s v="aZ70"/>
    <s v="NV BLUE TSL 1909"/>
    <n v="3"/>
    <n v="5"/>
    <m/>
    <s v="B18"/>
    <s v="Y550PL"/>
    <s v="D0C7"/>
    <n v="0.43"/>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4"/>
    <d v="2025-04-05T00:00:00"/>
    <s v="ZBTO"/>
    <n v="9518671366"/>
    <n v="1"/>
    <s v="9518671366-1"/>
    <s v="No Priority"/>
    <x v="0"/>
    <s v="Yes"/>
    <x v="2"/>
    <x v="3"/>
    <s v="1000-IPPE"/>
    <m/>
    <x v="0"/>
    <m/>
    <m/>
    <m/>
    <s v="TBSPL"/>
    <s v="GAMHARIA"/>
    <m/>
    <n v="940016"/>
    <s v="TATA BLUESCOPE STEEL PVT LTD."/>
    <n v="1640840"/>
    <s v="PPGL C Y550 HPL3 0.45BMT(0.53TPT)X1220"/>
    <s v="AZ150"/>
    <s v="ENVIRONMENTAL GREEN TSL 199"/>
    <n v="3"/>
    <n v="5"/>
    <m/>
    <s v="B18"/>
    <s v="Y550PL"/>
    <s v="HPL3"/>
    <n v="0.45"/>
    <n v="1220"/>
    <n v="0"/>
    <n v="28"/>
    <n v="0"/>
    <n v="28"/>
    <n v="28"/>
    <n v="28"/>
    <n v="0"/>
    <n v="0"/>
    <n v="0"/>
    <n v="0"/>
    <n v="0"/>
    <n v="0"/>
    <n v="0"/>
    <n v="0"/>
    <n v="0"/>
    <n v="0"/>
    <n v="0"/>
    <n v="0"/>
    <n v="0"/>
    <n v="0"/>
    <n v="0"/>
    <n v="0"/>
    <n v="0"/>
    <n v="0"/>
    <n v="0"/>
    <n v="0"/>
    <n v="0"/>
    <n v="0"/>
    <n v="0"/>
    <n v="0"/>
    <m/>
    <n v="0"/>
    <n v="0"/>
    <n v="0"/>
    <n v="0"/>
    <n v="0"/>
    <n v="0"/>
    <n v="0"/>
    <n v="0"/>
    <n v="0"/>
    <n v="0"/>
    <n v="0"/>
    <n v="0"/>
    <n v="0"/>
    <m/>
    <m/>
    <m/>
    <m/>
    <m/>
    <m/>
    <m/>
    <m/>
    <m/>
    <m/>
    <m/>
    <m/>
    <m/>
    <m/>
    <m/>
    <m/>
    <m/>
    <m/>
    <m/>
    <m/>
    <m/>
    <m/>
    <m/>
    <m/>
    <m/>
    <m/>
    <m/>
    <m/>
    <m/>
    <m/>
    <m/>
    <m/>
    <m/>
    <m/>
    <m/>
  </r>
  <r>
    <n v="744"/>
    <d v="2025-04-05T00:00:00"/>
    <s v="ZBTO"/>
    <n v="9518671366"/>
    <n v="2"/>
    <s v="9518671366-2"/>
    <s v="No Priority"/>
    <x v="0"/>
    <s v="Yes"/>
    <x v="2"/>
    <x v="3"/>
    <s v="1000-IPPE"/>
    <m/>
    <x v="0"/>
    <m/>
    <m/>
    <m/>
    <s v="TBSPL"/>
    <s v="GAMHARIA"/>
    <m/>
    <n v="940016"/>
    <s v="TATA BLUESCOPE STEEL PVT LTD."/>
    <n v="1640840"/>
    <s v="PPGL C Y550 HPL3 0.45BMT(0.53TPT)X1220"/>
    <s v="AZ150"/>
    <s v="RAL 9002 TSL 142A"/>
    <n v="3"/>
    <n v="5"/>
    <m/>
    <s v="B18"/>
    <s v="Y550PL"/>
    <s v="HPL3"/>
    <n v="0.45"/>
    <n v="1220"/>
    <n v="0"/>
    <n v="56"/>
    <n v="0"/>
    <n v="56"/>
    <n v="56"/>
    <n v="56"/>
    <n v="0"/>
    <n v="0"/>
    <n v="0"/>
    <n v="0"/>
    <n v="0"/>
    <n v="0"/>
    <n v="0"/>
    <n v="0"/>
    <n v="0"/>
    <n v="0"/>
    <n v="0"/>
    <n v="0"/>
    <n v="0"/>
    <n v="0"/>
    <n v="0"/>
    <n v="0"/>
    <n v="0"/>
    <n v="0"/>
    <n v="0"/>
    <n v="0"/>
    <n v="0"/>
    <n v="0"/>
    <n v="0"/>
    <n v="0"/>
    <m/>
    <n v="0"/>
    <n v="0"/>
    <n v="0"/>
    <n v="0"/>
    <n v="0"/>
    <n v="0"/>
    <n v="0"/>
    <n v="0"/>
    <n v="0"/>
    <n v="0"/>
    <n v="0"/>
    <n v="0"/>
    <n v="0"/>
    <m/>
    <m/>
    <m/>
    <m/>
    <m/>
    <m/>
    <m/>
    <m/>
    <m/>
    <m/>
    <m/>
    <m/>
    <m/>
    <m/>
    <m/>
    <m/>
    <m/>
    <m/>
    <m/>
    <m/>
    <m/>
    <m/>
    <m/>
    <m/>
    <m/>
    <m/>
    <m/>
    <m/>
    <m/>
    <m/>
    <m/>
    <m/>
    <m/>
    <m/>
    <m/>
  </r>
  <r>
    <n v="744"/>
    <d v="2025-04-05T00:00:00"/>
    <s v="ZBTO"/>
    <n v="9518671225"/>
    <n v="1"/>
    <s v="9518671225-1"/>
    <s v="May'25"/>
    <x v="0"/>
    <m/>
    <x v="2"/>
    <x v="3"/>
    <s v="1000-IPPE"/>
    <m/>
    <x v="1"/>
    <m/>
    <m/>
    <m/>
    <s v="TBSPL"/>
    <s v="GAMHARIA"/>
    <m/>
    <n v="940016"/>
    <s v="TATA BLUESCOPE STEEL PVT LTD."/>
    <n v="3996225"/>
    <s v="PPGL C HARD Y550PL HPL6 0.400X1220"/>
    <s v="AZ150"/>
    <s v="NUVO BLUE TSL 1903"/>
    <n v="3"/>
    <n v="5"/>
    <m/>
    <s v="B18"/>
    <s v="Y550PL"/>
    <s v="HPL6"/>
    <n v="0.4"/>
    <n v="1220"/>
    <n v="0"/>
    <n v="56"/>
    <n v="0"/>
    <n v="56"/>
    <n v="56"/>
    <n v="32.034999999999997"/>
    <n v="24.76"/>
    <n v="0"/>
    <n v="0"/>
    <n v="0"/>
    <n v="0"/>
    <n v="0"/>
    <n v="0"/>
    <n v="0"/>
    <n v="19.3"/>
    <n v="0"/>
    <n v="0"/>
    <n v="0"/>
    <n v="0"/>
    <n v="0"/>
    <n v="0"/>
    <n v="0"/>
    <n v="0"/>
    <n v="0"/>
    <n v="0"/>
    <n v="4.665"/>
    <n v="23.965"/>
    <n v="23.965"/>
    <n v="0"/>
    <n v="23.965"/>
    <m/>
    <n v="35.905000000000001"/>
    <n v="24.76"/>
    <n v="0"/>
    <n v="24.76"/>
    <n v="0"/>
    <n v="0"/>
    <n v="0"/>
    <n v="24.76"/>
    <n v="0"/>
    <n v="24.76"/>
    <n v="0"/>
    <n v="0"/>
    <n v="0"/>
    <m/>
    <m/>
    <m/>
    <m/>
    <m/>
    <m/>
    <m/>
    <m/>
    <m/>
    <m/>
    <m/>
    <m/>
    <m/>
    <m/>
    <m/>
    <m/>
    <m/>
    <m/>
    <m/>
    <m/>
    <m/>
    <m/>
    <m/>
    <m/>
    <m/>
    <m/>
    <m/>
    <m/>
    <m/>
    <m/>
    <m/>
    <m/>
    <m/>
    <m/>
    <m/>
  </r>
  <r>
    <n v="744"/>
    <d v="2025-04-05T00:00:00"/>
    <s v="ZBTO"/>
    <n v="9518671225"/>
    <n v="2"/>
    <s v="9518671225-2"/>
    <s v="May'25"/>
    <x v="0"/>
    <m/>
    <x v="2"/>
    <x v="3"/>
    <s v="1000-IPPE"/>
    <m/>
    <x v="1"/>
    <m/>
    <m/>
    <m/>
    <s v="TBSPL"/>
    <s v="GAMHARIA"/>
    <m/>
    <n v="940016"/>
    <s v="TATA BLUESCOPE STEEL PVT LTD."/>
    <n v="3996225"/>
    <s v="PPGL C HARD Y550PL HPL6 0.400X1220"/>
    <s v="AZ150"/>
    <s v="NG BRIGHT GREEN TSL 2211"/>
    <n v="3"/>
    <n v="5"/>
    <m/>
    <s v="B18"/>
    <s v="Y550PL"/>
    <s v="HPL6"/>
    <n v="0.4"/>
    <n v="1220"/>
    <n v="0"/>
    <n v="55.999000000000002"/>
    <n v="0"/>
    <n v="55.999000000000002"/>
    <n v="55.999000000000002"/>
    <n v="55.999000000000002"/>
    <n v="55.999000000000002"/>
    <n v="0"/>
    <n v="0"/>
    <n v="0"/>
    <n v="0"/>
    <n v="0"/>
    <n v="0"/>
    <n v="0"/>
    <n v="0"/>
    <n v="0"/>
    <n v="0"/>
    <n v="0"/>
    <n v="0"/>
    <n v="0"/>
    <n v="0"/>
    <n v="0"/>
    <n v="0"/>
    <n v="0"/>
    <n v="0"/>
    <n v="0"/>
    <n v="0"/>
    <n v="0"/>
    <n v="0"/>
    <n v="0"/>
    <m/>
    <n v="0"/>
    <n v="55.999000000000002"/>
    <n v="0"/>
    <n v="55.999000000000002"/>
    <n v="0"/>
    <n v="0"/>
    <n v="0"/>
    <n v="55.999000000000002"/>
    <n v="0"/>
    <n v="55.999000000000002"/>
    <n v="0"/>
    <n v="0"/>
    <n v="0"/>
    <m/>
    <m/>
    <m/>
    <m/>
    <m/>
    <m/>
    <m/>
    <m/>
    <m/>
    <m/>
    <m/>
    <m/>
    <m/>
    <m/>
    <m/>
    <m/>
    <m/>
    <m/>
    <m/>
    <m/>
    <m/>
    <m/>
    <m/>
    <m/>
    <m/>
    <m/>
    <m/>
    <m/>
    <m/>
    <m/>
    <m/>
    <m/>
    <m/>
    <m/>
    <m/>
  </r>
  <r>
    <n v="742"/>
    <d v="2025-02-19T00:00:00"/>
    <s v="ZBTO"/>
    <n v="9518533557"/>
    <n v="7"/>
    <s v="9518533557-7"/>
    <s v="May'25"/>
    <x v="0"/>
    <s v="Yes"/>
    <x v="1"/>
    <x v="2"/>
    <s v="2000-BPRS"/>
    <m/>
    <x v="1"/>
    <m/>
    <m/>
    <m/>
    <s v="East"/>
    <s v="HOWRAH"/>
    <m/>
    <n v="101278"/>
    <s v="RAMESH COMPANY"/>
    <n v="3409913"/>
    <s v="CRCA SHEET TSBCRC SR15 0.600X1120X2000"/>
    <s v=" "/>
    <s v=""/>
    <n v="2"/>
    <n v="3"/>
    <m/>
    <s v="C06"/>
    <s v="TSBCRC"/>
    <s v="SR15"/>
    <n v="0.6"/>
    <n v="1120"/>
    <n v="20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006"/>
    <n v="1"/>
    <s v="9518620006-1"/>
    <s v="May'25"/>
    <x v="0"/>
    <s v="Yes"/>
    <x v="1"/>
    <x v="2"/>
    <s v="2000-BPRS"/>
    <m/>
    <x v="1"/>
    <m/>
    <m/>
    <m/>
    <s v="East"/>
    <s v="URLA"/>
    <m/>
    <n v="931662"/>
    <s v="PRESTIGE METALLICS PRIVATE LIMITED"/>
    <n v="3239567"/>
    <s v="CRCA SHEET TATCRC SR16 0.450X1000X2500"/>
    <s v=" "/>
    <s v=""/>
    <n v="0"/>
    <n v="0"/>
    <m/>
    <s v="C06"/>
    <s v="TATCRC"/>
    <s v="SR16"/>
    <n v="0.45"/>
    <n v="1000"/>
    <n v="2500"/>
    <n v="24"/>
    <n v="0"/>
    <n v="24"/>
    <n v="24"/>
    <n v="1.5999999999999979"/>
    <n v="24"/>
    <n v="0"/>
    <n v="0"/>
    <n v="0"/>
    <n v="0"/>
    <n v="0"/>
    <n v="0"/>
    <n v="0"/>
    <n v="0"/>
    <n v="0"/>
    <n v="0"/>
    <n v="0"/>
    <n v="0"/>
    <n v="0"/>
    <n v="22.400000000000002"/>
    <n v="0"/>
    <n v="0"/>
    <n v="0"/>
    <n v="0"/>
    <n v="0"/>
    <n v="22.400000000000002"/>
    <n v="22.400000000000002"/>
    <n v="0"/>
    <n v="22.400000000000002"/>
    <m/>
    <n v="0"/>
    <n v="24"/>
    <n v="0"/>
    <n v="24"/>
    <n v="0"/>
    <n v="0"/>
    <n v="0"/>
    <n v="24"/>
    <n v="0"/>
    <n v="24"/>
    <n v="0"/>
    <n v="0"/>
    <n v="0"/>
    <m/>
    <m/>
    <m/>
    <m/>
    <m/>
    <m/>
    <m/>
    <m/>
    <m/>
    <m/>
    <m/>
    <m/>
    <m/>
    <m/>
    <m/>
    <m/>
    <m/>
    <m/>
    <m/>
    <m/>
    <m/>
    <m/>
    <m/>
    <m/>
    <m/>
    <m/>
    <m/>
    <m/>
    <m/>
    <m/>
    <m/>
    <m/>
    <m/>
    <m/>
    <m/>
  </r>
  <r>
    <n v="742"/>
    <d v="2025-03-21T00:00:00"/>
    <s v="ZBTO"/>
    <n v="9518620159"/>
    <n v="5"/>
    <s v="9518620159-5"/>
    <s v="May'25"/>
    <x v="0"/>
    <s v="Yes"/>
    <x v="1"/>
    <x v="2"/>
    <s v="2000-BPRS"/>
    <m/>
    <x v="1"/>
    <m/>
    <m/>
    <m/>
    <s v="East"/>
    <s v="URLA"/>
    <m/>
    <n v="931662"/>
    <s v="PRESTIGE METALLICS PRIVATE LIMITED"/>
    <n v="3240765"/>
    <s v="CRCA SHEET TSBCRC SR15 0.500X1250X2500"/>
    <s v=" "/>
    <s v=""/>
    <n v="0"/>
    <n v="0"/>
    <m/>
    <s v="C06"/>
    <s v="TSBCRC"/>
    <s v="SR15"/>
    <n v="0.5"/>
    <n v="1250"/>
    <n v="2500"/>
    <n v="30"/>
    <n v="0"/>
    <n v="30"/>
    <n v="2.46"/>
    <n v="0"/>
    <n v="30"/>
    <n v="0"/>
    <n v="0"/>
    <n v="0"/>
    <n v="0"/>
    <n v="0"/>
    <n v="0"/>
    <n v="0"/>
    <n v="0"/>
    <n v="27.04"/>
    <n v="0"/>
    <n v="0"/>
    <n v="0"/>
    <n v="0"/>
    <n v="0"/>
    <n v="0"/>
    <n v="0"/>
    <n v="0"/>
    <n v="0"/>
    <n v="0"/>
    <n v="27.04"/>
    <n v="27.04"/>
    <n v="0"/>
    <n v="27.04"/>
    <m/>
    <n v="0"/>
    <n v="30"/>
    <n v="30"/>
    <n v="0"/>
    <n v="0"/>
    <n v="0"/>
    <n v="0"/>
    <n v="0"/>
    <n v="0"/>
    <n v="0"/>
    <n v="0"/>
    <n v="0"/>
    <n v="0"/>
    <m/>
    <m/>
    <m/>
    <m/>
    <m/>
    <m/>
    <m/>
    <m/>
    <m/>
    <m/>
    <m/>
    <m/>
    <m/>
    <m/>
    <m/>
    <m/>
    <m/>
    <m/>
    <m/>
    <m/>
    <m/>
    <m/>
    <m/>
    <m/>
    <m/>
    <m/>
    <m/>
    <m/>
    <m/>
    <m/>
    <m/>
    <m/>
    <m/>
    <m/>
    <m/>
  </r>
  <r>
    <n v="743"/>
    <d v="2025-04-03T00:00:00"/>
    <s v="ZBTO"/>
    <n v="9518666258"/>
    <n v="1"/>
    <s v="9518666258-1"/>
    <s v="May'25"/>
    <x v="0"/>
    <s v="Yes"/>
    <x v="4"/>
    <x v="3"/>
    <s v="1000-IPPE"/>
    <m/>
    <x v="1"/>
    <m/>
    <m/>
    <m/>
    <s v="TBSPL"/>
    <s v="TATANAGAR"/>
    <m/>
    <n v="942284"/>
    <s v="TATA BLUESCOPE STEEL PRIVATE LIMITE"/>
    <n v="1881969"/>
    <s v="GL C YS550 H6GL 0.45BMT(0.50TCT)X1220"/>
    <s v="AZ150"/>
    <s v=""/>
    <n v="3"/>
    <n v="5"/>
    <m/>
    <s v="B04"/>
    <s v="Y550GL"/>
    <s v="H6GL"/>
    <n v="0.45"/>
    <n v="1220"/>
    <n v="0"/>
    <n v="280"/>
    <n v="0"/>
    <n v="280"/>
    <n v="280"/>
    <n v="251.89"/>
    <n v="24.385000000000002"/>
    <n v="0"/>
    <n v="0"/>
    <n v="0"/>
    <n v="0"/>
    <n v="0"/>
    <n v="0"/>
    <n v="0"/>
    <n v="9.7000000000000011"/>
    <n v="0"/>
    <n v="0"/>
    <n v="0"/>
    <n v="0"/>
    <n v="0"/>
    <n v="0"/>
    <n v="0"/>
    <n v="0"/>
    <n v="0"/>
    <n v="0"/>
    <n v="18.41"/>
    <n v="28.11"/>
    <n v="28.11"/>
    <n v="0"/>
    <n v="28.11"/>
    <m/>
    <n v="190.63"/>
    <n v="24.385000000000002"/>
    <n v="24.385000000000002"/>
    <n v="0"/>
    <n v="0"/>
    <n v="0"/>
    <n v="0"/>
    <n v="0"/>
    <n v="0"/>
    <n v="0"/>
    <n v="0"/>
    <n v="0"/>
    <n v="0"/>
    <m/>
    <m/>
    <m/>
    <m/>
    <m/>
    <m/>
    <m/>
    <m/>
    <m/>
    <m/>
    <m/>
    <m/>
    <m/>
    <m/>
    <m/>
    <m/>
    <m/>
    <m/>
    <m/>
    <m/>
    <m/>
    <m/>
    <m/>
    <m/>
    <m/>
    <m/>
    <m/>
    <m/>
    <m/>
    <m/>
    <m/>
    <m/>
    <m/>
    <m/>
    <m/>
  </r>
  <r>
    <n v="743"/>
    <d v="2025-04-03T00:00:00"/>
    <s v="ZBTO"/>
    <n v="9518666258"/>
    <n v="2"/>
    <s v="9518666258-2"/>
    <s v="Stocks"/>
    <x v="0"/>
    <m/>
    <x v="4"/>
    <x v="3"/>
    <s v="1000-IPPE"/>
    <m/>
    <x v="1"/>
    <m/>
    <m/>
    <m/>
    <s v="TBSPL"/>
    <s v="TATANAGAR"/>
    <m/>
    <n v="942284"/>
    <s v="TATA BLUESCOPE STEEL PRIVATE LIMITE"/>
    <n v="1881969"/>
    <s v="GL C YS550 H6GL 0.45BMT(0.50TCT)X1220"/>
    <s v="AZ150"/>
    <s v=""/>
    <n v="3"/>
    <n v="5"/>
    <m/>
    <s v="B04"/>
    <s v="Y550GL"/>
    <s v="H6GL"/>
    <n v="0.45"/>
    <n v="1220"/>
    <n v="0"/>
    <n v="84"/>
    <n v="0"/>
    <n v="84"/>
    <n v="0.57999999999999996"/>
    <n v="0"/>
    <n v="6.3250000000000002"/>
    <n v="0"/>
    <n v="0"/>
    <n v="0"/>
    <n v="0"/>
    <n v="0"/>
    <n v="0"/>
    <n v="0"/>
    <n v="0"/>
    <n v="0"/>
    <n v="0"/>
    <n v="0"/>
    <n v="0"/>
    <n v="0"/>
    <n v="0"/>
    <n v="0"/>
    <n v="0"/>
    <n v="0"/>
    <n v="0"/>
    <n v="4.42"/>
    <n v="4.42"/>
    <n v="4.42"/>
    <n v="0"/>
    <n v="4.42"/>
    <m/>
    <n v="22.410000000000004"/>
    <n v="0"/>
    <n v="0"/>
    <n v="0"/>
    <n v="0"/>
    <n v="0"/>
    <n v="0"/>
    <n v="0"/>
    <n v="0"/>
    <n v="0"/>
    <n v="0"/>
    <n v="0"/>
    <n v="0"/>
    <m/>
    <m/>
    <m/>
    <m/>
    <m/>
    <m/>
    <m/>
    <m/>
    <m/>
    <m/>
    <m/>
    <m/>
    <m/>
    <m/>
    <m/>
    <m/>
    <m/>
    <m/>
    <m/>
    <m/>
    <m/>
    <m/>
    <m/>
    <m/>
    <m/>
    <m/>
    <m/>
    <m/>
    <m/>
    <m/>
    <m/>
    <m/>
    <m/>
    <m/>
    <m/>
  </r>
  <r>
    <n v="743"/>
    <d v="2025-02-06T00:00:00"/>
    <s v="ZBTO"/>
    <n v="9518497649"/>
    <n v="3"/>
    <s v="9518497649-3"/>
    <s v="No Priority"/>
    <x v="0"/>
    <m/>
    <x v="3"/>
    <x v="0"/>
    <s v="2000-BPRS"/>
    <m/>
    <x v="0"/>
    <m/>
    <m/>
    <m/>
    <s v="East"/>
    <s v="TATANAGAR"/>
    <m/>
    <n v="165053"/>
    <s v="SUDISA ENTERPRISES (P) LTD."/>
    <n v="1852445"/>
    <s v="GP COIL SOFT-TSBXGP-T1GP-0.6X1250"/>
    <s v="Z80"/>
    <s v=""/>
    <n v="4"/>
    <n v="12"/>
    <m/>
    <s v="C02"/>
    <s v="TSBXGP"/>
    <s v="T1GP"/>
    <n v="0.6"/>
    <n v="1250"/>
    <n v="0"/>
    <n v="29"/>
    <n v="0"/>
    <n v="29"/>
    <n v="29"/>
    <n v="0"/>
    <n v="29"/>
    <n v="0"/>
    <n v="0"/>
    <n v="0"/>
    <n v="0"/>
    <n v="0"/>
    <n v="0"/>
    <n v="0"/>
    <n v="0"/>
    <n v="0"/>
    <n v="0"/>
    <n v="0"/>
    <n v="0"/>
    <n v="0"/>
    <n v="0"/>
    <n v="0"/>
    <n v="0"/>
    <n v="0"/>
    <n v="0"/>
    <n v="0"/>
    <n v="0"/>
    <n v="0"/>
    <n v="29"/>
    <n v="29"/>
    <m/>
    <n v="0"/>
    <n v="0"/>
    <n v="0"/>
    <n v="0"/>
    <n v="0"/>
    <n v="0"/>
    <n v="0"/>
    <n v="0"/>
    <n v="0"/>
    <n v="0"/>
    <n v="0"/>
    <n v="0"/>
    <n v="0"/>
    <m/>
    <m/>
    <m/>
    <m/>
    <m/>
    <m/>
    <m/>
    <m/>
    <m/>
    <m/>
    <m/>
    <m/>
    <m/>
    <m/>
    <m/>
    <m/>
    <m/>
    <m/>
    <m/>
    <m/>
    <m/>
    <m/>
    <m/>
    <m/>
    <m/>
    <m/>
    <m/>
    <m/>
    <m/>
    <m/>
    <m/>
    <m/>
    <m/>
    <m/>
    <m/>
  </r>
  <r>
    <n v="744"/>
    <d v="2025-04-05T00:00:00"/>
    <s v="ZBTO"/>
    <n v="9518671154"/>
    <n v="1"/>
    <s v="9518671154-1"/>
    <s v="No Priority"/>
    <x v="0"/>
    <m/>
    <x v="2"/>
    <x v="3"/>
    <s v="1000-IPPE"/>
    <m/>
    <x v="1"/>
    <m/>
    <m/>
    <m/>
    <s v="TBSPL"/>
    <s v="RAJASTHAN"/>
    <m/>
    <n v="940008"/>
    <s v="TATA BLUESCOPE STEEL PVT LTD."/>
    <n v="3996225"/>
    <s v="PPGL C HARD Y550PL HPL6 0.400X1220"/>
    <s v="AZ150"/>
    <s v="NUVO BLUE TSL 1903"/>
    <n v="3"/>
    <n v="5"/>
    <m/>
    <s v="B18"/>
    <s v="Y550PL"/>
    <s v="HPL6"/>
    <n v="0.4"/>
    <n v="1220"/>
    <n v="0"/>
    <n v="28"/>
    <n v="0"/>
    <n v="28"/>
    <n v="-0.89"/>
    <n v="0"/>
    <n v="28"/>
    <n v="0"/>
    <n v="0"/>
    <n v="0"/>
    <n v="0"/>
    <n v="0"/>
    <n v="0"/>
    <n v="0"/>
    <n v="28.19"/>
    <n v="0"/>
    <n v="0"/>
    <n v="0"/>
    <n v="0"/>
    <n v="0"/>
    <n v="0"/>
    <n v="0"/>
    <n v="0"/>
    <n v="0"/>
    <n v="0"/>
    <n v="0"/>
    <n v="28.19"/>
    <n v="28.19"/>
    <n v="0"/>
    <n v="28.19"/>
    <m/>
    <n v="0"/>
    <n v="28"/>
    <n v="0"/>
    <n v="28"/>
    <n v="0"/>
    <n v="0"/>
    <n v="0"/>
    <n v="28"/>
    <n v="0"/>
    <n v="28"/>
    <n v="0"/>
    <n v="0"/>
    <n v="0"/>
    <m/>
    <m/>
    <m/>
    <m/>
    <m/>
    <m/>
    <m/>
    <m/>
    <m/>
    <m/>
    <m/>
    <m/>
    <m/>
    <m/>
    <m/>
    <m/>
    <m/>
    <m/>
    <m/>
    <m/>
    <m/>
    <m/>
    <m/>
    <m/>
    <m/>
    <m/>
    <m/>
    <m/>
    <m/>
    <m/>
    <m/>
    <m/>
    <m/>
    <m/>
    <m/>
  </r>
  <r>
    <n v="744"/>
    <d v="2025-04-05T00:00:00"/>
    <s v="ZBTO"/>
    <n v="9518671154"/>
    <n v="2"/>
    <s v="9518671154-2"/>
    <s v="No Priority"/>
    <x v="0"/>
    <m/>
    <x v="2"/>
    <x v="3"/>
    <s v="1000-IPPE"/>
    <m/>
    <x v="1"/>
    <m/>
    <m/>
    <m/>
    <s v="TBSPL"/>
    <s v="RAJASTHAN"/>
    <m/>
    <n v="940008"/>
    <s v="TATA BLUESCOPE STEEL PVT LTD."/>
    <n v="3996225"/>
    <s v="PPGL C HARD Y550PL HPL6 0.400X1220"/>
    <s v="AZ150"/>
    <s v="ASIAN WHITE TSL 1901"/>
    <n v="3"/>
    <n v="5"/>
    <m/>
    <s v="B18"/>
    <s v="Y550PL"/>
    <s v="HPL6"/>
    <n v="0.4"/>
    <n v="1220"/>
    <n v="0"/>
    <n v="28"/>
    <n v="0"/>
    <n v="28"/>
    <n v="0.24"/>
    <n v="0"/>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3-29T00:00:00"/>
    <s v="ZBTO"/>
    <n v="9518653378"/>
    <n v="1"/>
    <s v="9518653378-1"/>
    <s v="No Priority"/>
    <x v="0"/>
    <m/>
    <x v="2"/>
    <x v="3"/>
    <s v="1000-IPPE"/>
    <m/>
    <x v="1"/>
    <m/>
    <m/>
    <m/>
    <s v="TBSPL"/>
    <s v="RAJASTHAN"/>
    <m/>
    <n v="940008"/>
    <s v="TATA BLUESCOPE STEEL PVT LTD."/>
    <n v="3727860"/>
    <s v="PPGL C HARD Y550PL HPL6 0.430X1220"/>
    <s v="AZ150"/>
    <s v="ASIAN WHITE TSL 1901"/>
    <n v="3"/>
    <n v="5"/>
    <m/>
    <s v="B18"/>
    <s v="Y550PL"/>
    <s v="HPL6"/>
    <n v="0.43"/>
    <n v="1220"/>
    <n v="0"/>
    <n v="56"/>
    <n v="0"/>
    <n v="56"/>
    <n v="2"/>
    <n v="0"/>
    <n v="53.99"/>
    <n v="0"/>
    <n v="0"/>
    <n v="0"/>
    <n v="0"/>
    <n v="0"/>
    <n v="0"/>
    <n v="0"/>
    <n v="0"/>
    <n v="0"/>
    <n v="18.27"/>
    <n v="0"/>
    <n v="0"/>
    <n v="0"/>
    <n v="0"/>
    <n v="0"/>
    <n v="0"/>
    <n v="0"/>
    <n v="9.51"/>
    <n v="0"/>
    <n v="27.78"/>
    <n v="27.78"/>
    <n v="0"/>
    <n v="27.78"/>
    <m/>
    <n v="0"/>
    <n v="53.99"/>
    <n v="0"/>
    <n v="0"/>
    <n v="0"/>
    <n v="53.99"/>
    <n v="0"/>
    <n v="0"/>
    <n v="0"/>
    <n v="0"/>
    <n v="0"/>
    <n v="0"/>
    <n v="0"/>
    <m/>
    <m/>
    <m/>
    <m/>
    <m/>
    <m/>
    <m/>
    <m/>
    <m/>
    <m/>
    <m/>
    <m/>
    <m/>
    <m/>
    <m/>
    <m/>
    <m/>
    <m/>
    <m/>
    <m/>
    <m/>
    <m/>
    <m/>
    <m/>
    <m/>
    <m/>
    <m/>
    <m/>
    <m/>
    <m/>
    <m/>
    <m/>
    <m/>
    <m/>
    <m/>
  </r>
  <r>
    <n v="744"/>
    <d v="2025-03-29T00:00:00"/>
    <s v="ZBTO"/>
    <n v="9518653378"/>
    <n v="2"/>
    <s v="9518653378-2"/>
    <s v="Stocks"/>
    <x v="0"/>
    <m/>
    <x v="2"/>
    <x v="3"/>
    <s v="1000-IPPE"/>
    <m/>
    <x v="1"/>
    <m/>
    <m/>
    <m/>
    <s v="TBSPL"/>
    <s v="RAJASTHAN"/>
    <m/>
    <n v="940008"/>
    <s v="TATA BLUESCOPE STEEL PVT LTD."/>
    <n v="3727860"/>
    <s v="PPGL C HARD Y550PL HPL6 0.430X1220"/>
    <s v="AZ150"/>
    <s v="NG SMART GREY TSL 1905"/>
    <n v="3"/>
    <n v="5"/>
    <m/>
    <s v="B18"/>
    <s v="Y550PL"/>
    <s v="HPL6"/>
    <n v="0.43"/>
    <n v="1220"/>
    <n v="0"/>
    <n v="28"/>
    <n v="0"/>
    <n v="28"/>
    <n v="28"/>
    <n v="20.79"/>
    <n v="0.94"/>
    <n v="0"/>
    <n v="0"/>
    <n v="0"/>
    <n v="0"/>
    <n v="0"/>
    <n v="0"/>
    <n v="0"/>
    <n v="0"/>
    <n v="0"/>
    <n v="7.21"/>
    <n v="0"/>
    <n v="0"/>
    <n v="0"/>
    <n v="0"/>
    <n v="0"/>
    <n v="0"/>
    <n v="0"/>
    <n v="0"/>
    <n v="0"/>
    <n v="7.21"/>
    <n v="7.21"/>
    <n v="0"/>
    <n v="7.21"/>
    <m/>
    <n v="4.8449999999999998"/>
    <n v="0"/>
    <n v="0"/>
    <n v="0"/>
    <n v="0"/>
    <n v="0"/>
    <n v="0"/>
    <n v="0"/>
    <n v="0"/>
    <n v="0"/>
    <n v="0"/>
    <n v="0"/>
    <n v="0"/>
    <m/>
    <m/>
    <m/>
    <m/>
    <m/>
    <m/>
    <m/>
    <m/>
    <m/>
    <m/>
    <m/>
    <m/>
    <m/>
    <m/>
    <m/>
    <m/>
    <m/>
    <m/>
    <m/>
    <m/>
    <m/>
    <m/>
    <m/>
    <m/>
    <m/>
    <m/>
    <m/>
    <m/>
    <m/>
    <m/>
    <m/>
    <m/>
    <m/>
    <m/>
    <m/>
  </r>
  <r>
    <n v="744"/>
    <d v="2025-03-31T00:00:00"/>
    <s v="ZBTO"/>
    <n v="9518660506"/>
    <n v="1"/>
    <s v="9518660506-1"/>
    <s v="Stocks"/>
    <x v="0"/>
    <m/>
    <x v="2"/>
    <x v="3"/>
    <s v="1000-IPPE"/>
    <m/>
    <x v="1"/>
    <m/>
    <m/>
    <m/>
    <s v="TBSPL"/>
    <s v="RAJASTHAN"/>
    <m/>
    <n v="940008"/>
    <s v="TATA BLUESCOPE STEEL PVT LTD."/>
    <n v="3727860"/>
    <s v="PPGL C HARD Y550PL HPL6 0.430X1220"/>
    <s v="AZ150"/>
    <s v="NUVO BLUE TSL 1903"/>
    <n v="3"/>
    <n v="5"/>
    <m/>
    <s v="B18"/>
    <s v="Y550PL"/>
    <s v="HPL6"/>
    <n v="0.43"/>
    <n v="1220"/>
    <n v="0"/>
    <n v="56"/>
    <n v="22.98"/>
    <n v="33.020000000000003"/>
    <n v="1.68"/>
    <n v="0"/>
    <n v="1.4550000000000001"/>
    <n v="0"/>
    <n v="0"/>
    <n v="0"/>
    <n v="0"/>
    <n v="0"/>
    <n v="0"/>
    <n v="0"/>
    <n v="0"/>
    <n v="0"/>
    <n v="4.5350000000000001"/>
    <n v="0"/>
    <n v="0"/>
    <n v="0"/>
    <n v="0"/>
    <n v="0"/>
    <n v="0"/>
    <n v="0"/>
    <n v="5.98"/>
    <n v="0"/>
    <n v="10.515000000000001"/>
    <n v="10.515000000000001"/>
    <n v="0"/>
    <n v="10.515000000000001"/>
    <m/>
    <n v="31.565000000000001"/>
    <n v="0"/>
    <n v="0"/>
    <n v="0"/>
    <n v="0"/>
    <n v="0"/>
    <n v="0"/>
    <n v="0"/>
    <n v="0"/>
    <n v="0"/>
    <n v="0"/>
    <n v="0"/>
    <n v="0"/>
    <m/>
    <m/>
    <m/>
    <m/>
    <m/>
    <m/>
    <m/>
    <m/>
    <m/>
    <m/>
    <m/>
    <m/>
    <m/>
    <m/>
    <m/>
    <m/>
    <m/>
    <m/>
    <m/>
    <m/>
    <m/>
    <m/>
    <m/>
    <m/>
    <m/>
    <m/>
    <m/>
    <m/>
    <m/>
    <m/>
    <m/>
    <m/>
    <m/>
    <m/>
    <m/>
  </r>
  <r>
    <n v="744"/>
    <d v="2025-03-29T00:00:00"/>
    <s v="ZBTO"/>
    <n v="9518653307"/>
    <n v="1"/>
    <s v="9518653307-1"/>
    <s v="No Priority"/>
    <x v="0"/>
    <m/>
    <x v="2"/>
    <x v="3"/>
    <s v="1000-IPPE"/>
    <m/>
    <x v="0"/>
    <m/>
    <m/>
    <m/>
    <s v="TBSPL"/>
    <s v="RAJASTHAN"/>
    <m/>
    <n v="940008"/>
    <s v="TATA BLUESCOPE STEEL PVT LTD."/>
    <n v="3522241"/>
    <s v="PPGL C Y550 D0C7 0.43BMT(0.47TPT)X1220"/>
    <s v="aZ70"/>
    <s v="NUVO BLUE TSL 1903"/>
    <n v="3"/>
    <n v="5"/>
    <m/>
    <s v="B18"/>
    <s v="Y550PL"/>
    <s v="D0C7"/>
    <n v="0.43"/>
    <n v="1220"/>
    <n v="0"/>
    <n v="56"/>
    <n v="0"/>
    <n v="56"/>
    <n v="0.5"/>
    <n v="0"/>
    <n v="2.9449999999999998"/>
    <n v="0"/>
    <n v="0"/>
    <n v="0"/>
    <n v="0"/>
    <n v="0"/>
    <n v="0"/>
    <n v="0"/>
    <n v="0"/>
    <n v="0"/>
    <n v="0"/>
    <n v="0"/>
    <n v="0"/>
    <n v="0"/>
    <n v="0"/>
    <n v="0"/>
    <n v="0"/>
    <n v="0"/>
    <n v="0"/>
    <n v="0"/>
    <n v="0"/>
    <n v="0"/>
    <n v="0"/>
    <n v="0"/>
    <m/>
    <n v="0"/>
    <n v="0"/>
    <n v="0"/>
    <n v="0"/>
    <n v="0"/>
    <n v="0"/>
    <n v="0"/>
    <n v="0"/>
    <n v="0"/>
    <n v="0"/>
    <n v="0"/>
    <n v="0"/>
    <n v="0"/>
    <m/>
    <m/>
    <m/>
    <m/>
    <m/>
    <m/>
    <m/>
    <m/>
    <m/>
    <m/>
    <m/>
    <m/>
    <m/>
    <m/>
    <m/>
    <m/>
    <m/>
    <m/>
    <m/>
    <m/>
    <m/>
    <m/>
    <m/>
    <m/>
    <m/>
    <m/>
    <m/>
    <m/>
    <m/>
    <m/>
    <m/>
    <m/>
    <m/>
    <m/>
    <m/>
  </r>
  <r>
    <n v="742"/>
    <d v="2025-03-31T00:00:00"/>
    <s v="ZBTO"/>
    <n v="9518661095"/>
    <n v="1"/>
    <s v="9518661095-1"/>
    <s v="No Priority"/>
    <x v="0"/>
    <m/>
    <x v="1"/>
    <x v="11"/>
    <s v="2000-BPRS"/>
    <m/>
    <x v="0"/>
    <m/>
    <m/>
    <s v="Maharashtra"/>
    <s v="West"/>
    <s v="BOMBAY"/>
    <m/>
    <n v="154641"/>
    <s v="TATA STEEL DOWNSTREAM PRODUCTS LIMI"/>
    <n v="2438381"/>
    <s v="CRCA COIL TATXXD AH03 0.900X1320"/>
    <s v=" "/>
    <s v=""/>
    <n v="10"/>
    <n v="15"/>
    <m/>
    <s v="C01"/>
    <s v="TATXXD"/>
    <s v="AH03"/>
    <n v="0.9"/>
    <n v="1320"/>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3"/>
    <d v="2025-03-21T00:00:00"/>
    <s v="ZBTO"/>
    <n v="9518620626"/>
    <n v="1"/>
    <s v="9518620626-1"/>
    <s v="No Priority"/>
    <x v="0"/>
    <m/>
    <x v="3"/>
    <x v="0"/>
    <s v="2000-BPRS"/>
    <m/>
    <x v="0"/>
    <m/>
    <m/>
    <m/>
    <s v="East"/>
    <s v="TATANAGAR"/>
    <m/>
    <n v="165053"/>
    <s v="SUDISA ENTERPRISES (P) LTD."/>
    <n v="1852414"/>
    <s v="GP COIL SOFT-TSBXGP-N1GP-0.6X900"/>
    <s v="Z80"/>
    <s v=""/>
    <n v="4"/>
    <n v="12"/>
    <m/>
    <s v="C02"/>
    <s v="TSBXGP"/>
    <s v="N1GP"/>
    <n v="0.6"/>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06T00:00:00"/>
    <s v="ZBTO"/>
    <n v="9518497649"/>
    <n v="1"/>
    <s v="9518497649-1"/>
    <s v="No Priority"/>
    <x v="0"/>
    <m/>
    <x v="3"/>
    <x v="0"/>
    <s v="2000-BPRS"/>
    <m/>
    <x v="0"/>
    <m/>
    <m/>
    <m/>
    <s v="East"/>
    <s v="TATANAGAR"/>
    <m/>
    <n v="165053"/>
    <s v="SUDISA ENTERPRISES (P) LTD."/>
    <n v="1852414"/>
    <s v="GP COIL SOFT-TSBXGP-N1GP-0.6X900"/>
    <s v="Z80"/>
    <s v=""/>
    <n v="4"/>
    <n v="12"/>
    <m/>
    <s v="C02"/>
    <s v="TSBXGP"/>
    <s v="N1GP"/>
    <n v="0.6"/>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25T00:00:00"/>
    <s v="ZBTO"/>
    <n v="9518632689"/>
    <n v="1"/>
    <s v="9518632689-1"/>
    <s v="May'25"/>
    <x v="0"/>
    <m/>
    <x v="4"/>
    <x v="5"/>
    <s v="1000-IPPE"/>
    <m/>
    <x v="1"/>
    <m/>
    <m/>
    <m/>
    <s v="West"/>
    <s v="SANAND"/>
    <m/>
    <n v="944226"/>
    <s v="PURSHOTAM PROFILES PRIVATE LIMITED"/>
    <n v="3889776"/>
    <s v="GL COIL HARD  Y550GL H0GL 0.900X1249"/>
    <s v="AZ150"/>
    <s v=""/>
    <n v="10"/>
    <n v="18"/>
    <m/>
    <s v="B04"/>
    <s v="Y550GL"/>
    <s v="H0GL"/>
    <n v="0.9"/>
    <n v="1249"/>
    <n v="0"/>
    <n v="290"/>
    <n v="266.60000000000002"/>
    <n v="23.4"/>
    <n v="-37.652000000000001"/>
    <n v="0"/>
    <n v="23.4"/>
    <n v="0"/>
    <n v="0"/>
    <n v="0"/>
    <n v="0"/>
    <n v="0"/>
    <n v="0"/>
    <n v="0"/>
    <n v="0.94000000000000006"/>
    <n v="0"/>
    <n v="0"/>
    <n v="0"/>
    <n v="0"/>
    <n v="0"/>
    <n v="0"/>
    <n v="0"/>
    <n v="0"/>
    <n v="0"/>
    <n v="0"/>
    <n v="0"/>
    <n v="0.94000000000000006"/>
    <n v="0.94000000000000006"/>
    <n v="0"/>
    <n v="0.94000000000000006"/>
    <m/>
    <n v="12.37"/>
    <n v="23.4"/>
    <n v="0"/>
    <n v="0"/>
    <n v="0"/>
    <n v="0"/>
    <n v="23.4"/>
    <n v="0"/>
    <n v="0"/>
    <n v="0"/>
    <n v="0"/>
    <n v="0"/>
    <n v="0"/>
    <m/>
    <m/>
    <m/>
    <m/>
    <m/>
    <m/>
    <m/>
    <m/>
    <m/>
    <m/>
    <m/>
    <m/>
    <m/>
    <m/>
    <m/>
    <m/>
    <m/>
    <m/>
    <m/>
    <m/>
    <m/>
    <m/>
    <m/>
    <m/>
    <m/>
    <m/>
    <m/>
    <m/>
    <m/>
    <m/>
    <m/>
    <m/>
    <m/>
    <m/>
    <m/>
  </r>
  <r>
    <n v="742"/>
    <d v="2025-04-02T00:00:00"/>
    <s v="ZBTO"/>
    <n v="9518665413"/>
    <n v="2"/>
    <s v="9518665413-2"/>
    <s v="May'25"/>
    <x v="0"/>
    <s v="Yes"/>
    <x v="1"/>
    <x v="2"/>
    <s v="2000-BPRS"/>
    <m/>
    <x v="1"/>
    <m/>
    <m/>
    <m/>
    <s v="East"/>
    <s v="GUWAHATI"/>
    <m/>
    <n v="116649"/>
    <s v="SAGAR STEELS"/>
    <n v="3240849"/>
    <s v="CRCA SHEET TSBCRC SR15 1.200X1250X2500"/>
    <s v=" "/>
    <s v=""/>
    <n v="2"/>
    <n v="3"/>
    <m/>
    <s v="C06"/>
    <s v="TSBCRC"/>
    <s v="SR15"/>
    <n v="1.2"/>
    <n v="1250"/>
    <n v="2500"/>
    <n v="24"/>
    <n v="0"/>
    <n v="24"/>
    <n v="24"/>
    <n v="24"/>
    <n v="21.445"/>
    <n v="0"/>
    <n v="0"/>
    <n v="0"/>
    <n v="0"/>
    <n v="0"/>
    <n v="0"/>
    <n v="0"/>
    <n v="0"/>
    <n v="0"/>
    <n v="0"/>
    <n v="0"/>
    <n v="0"/>
    <n v="0"/>
    <n v="0"/>
    <n v="0"/>
    <n v="0"/>
    <n v="0"/>
    <n v="0"/>
    <n v="0"/>
    <n v="0"/>
    <n v="0"/>
    <n v="0"/>
    <n v="0"/>
    <m/>
    <n v="0"/>
    <n v="21.445"/>
    <n v="0"/>
    <n v="0"/>
    <n v="21.445"/>
    <n v="0"/>
    <n v="0"/>
    <n v="0"/>
    <n v="0"/>
    <n v="0"/>
    <n v="0"/>
    <n v="0"/>
    <n v="0"/>
    <m/>
    <m/>
    <m/>
    <m/>
    <m/>
    <m/>
    <m/>
    <m/>
    <m/>
    <m/>
    <m/>
    <m/>
    <m/>
    <m/>
    <m/>
    <m/>
    <m/>
    <m/>
    <m/>
    <m/>
    <m/>
    <m/>
    <m/>
    <m/>
    <m/>
    <m/>
    <m/>
    <m/>
    <m/>
    <m/>
    <m/>
    <m/>
    <m/>
    <m/>
    <m/>
  </r>
  <r>
    <n v="744"/>
    <d v="2025-04-15T00:00:00"/>
    <s v="ZBTO"/>
    <n v="9518695426"/>
    <n v="1"/>
    <s v="9518695426-1"/>
    <s v="May'25"/>
    <x v="0"/>
    <s v="Yes"/>
    <x v="2"/>
    <x v="3"/>
    <s v="1000-IPPE"/>
    <m/>
    <x v="1"/>
    <m/>
    <m/>
    <m/>
    <s v="TBSPL"/>
    <s v="RAJASTHAN"/>
    <m/>
    <n v="940008"/>
    <s v="TATA BLUESCOPE STEEL PVT LTD."/>
    <n v="3522241"/>
    <s v="PPGL C Y550 D0C7 0.43BMT(0.47TPT)X1220"/>
    <s v="aZ70"/>
    <s v="NGP PEARL GREEN TSL 2213"/>
    <n v="3"/>
    <n v="5"/>
    <m/>
    <s v="B18"/>
    <s v="Y550PL"/>
    <s v="D0C7"/>
    <n v="0.43"/>
    <n v="1220"/>
    <n v="0"/>
    <n v="140"/>
    <n v="0"/>
    <n v="140"/>
    <n v="140"/>
    <n v="140"/>
    <n v="140"/>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16"/>
    <s v="9518665177-16"/>
    <s v="No Priority"/>
    <x v="0"/>
    <m/>
    <x v="1"/>
    <x v="2"/>
    <s v="2000-BPRS"/>
    <m/>
    <x v="0"/>
    <m/>
    <m/>
    <m/>
    <s v="South"/>
    <s v="COCHIN HARBOUR "/>
    <m/>
    <n v="116650"/>
    <s v="KUMMENCHERY STEELS"/>
    <n v="3239563"/>
    <s v="CRCA SHEET TATCRC SR16 0.450X1000X1910"/>
    <s v=" "/>
    <s v=""/>
    <n v="0"/>
    <n v="0"/>
    <m/>
    <s v="C06"/>
    <s v="TATCRC"/>
    <s v="SR16"/>
    <n v="0.45"/>
    <n v="1000"/>
    <n v="1910"/>
    <n v="15"/>
    <n v="0"/>
    <n v="15"/>
    <n v="15"/>
    <n v="15"/>
    <n v="15"/>
    <n v="0"/>
    <n v="0"/>
    <n v="0"/>
    <n v="0"/>
    <n v="0"/>
    <n v="0"/>
    <n v="0"/>
    <n v="0"/>
    <n v="0"/>
    <n v="0"/>
    <n v="0"/>
    <n v="0"/>
    <n v="0"/>
    <n v="0"/>
    <n v="0"/>
    <n v="0"/>
    <n v="0"/>
    <n v="0"/>
    <n v="0"/>
    <n v="0"/>
    <n v="0"/>
    <n v="0"/>
    <n v="0"/>
    <m/>
    <n v="0"/>
    <n v="0"/>
    <n v="0"/>
    <n v="0"/>
    <n v="0"/>
    <n v="0"/>
    <n v="0"/>
    <n v="0"/>
    <n v="0"/>
    <n v="0"/>
    <n v="0"/>
    <n v="0"/>
    <n v="0"/>
    <m/>
    <m/>
    <m/>
    <m/>
    <m/>
    <m/>
    <m/>
    <m/>
    <m/>
    <m/>
    <m/>
    <m/>
    <m/>
    <m/>
    <m/>
    <m/>
    <m/>
    <m/>
    <m/>
    <m/>
    <m/>
    <m/>
    <m/>
    <m/>
    <m/>
    <m/>
    <m/>
    <m/>
    <m/>
    <m/>
    <m/>
    <m/>
    <m/>
    <m/>
    <m/>
  </r>
  <r>
    <n v="744"/>
    <d v="2025-04-09T00:00:00"/>
    <s v="ZBTO"/>
    <n v="9518678816"/>
    <n v="1"/>
    <s v="9518678816-1"/>
    <s v="May'25"/>
    <x v="0"/>
    <s v="Yes"/>
    <x v="2"/>
    <x v="3"/>
    <s v="1000-IPPE"/>
    <m/>
    <x v="1"/>
    <m/>
    <m/>
    <m/>
    <s v="TBSPL"/>
    <s v=" "/>
    <m/>
    <n v="941597"/>
    <s v="TATA BLUESCOPE STEEL PRIVATE LIMITE"/>
    <n v="1633706"/>
    <s v="PPGL C Y550 HPL3 0.42BMT(0.50TPT)X1220"/>
    <s v="AZ150"/>
    <s v="RAL 7037 TSL 460"/>
    <n v="3"/>
    <n v="5"/>
    <m/>
    <s v="B18"/>
    <s v="Y550PL"/>
    <s v="HPL3"/>
    <n v="0.42"/>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4"/>
    <d v="2025-04-15T00:00:00"/>
    <s v="ZBTO"/>
    <n v="9518695426"/>
    <n v="3"/>
    <s v="9518695426-3"/>
    <s v="May'25"/>
    <x v="0"/>
    <s v="Yes"/>
    <x v="2"/>
    <x v="3"/>
    <s v="1000-IPPE"/>
    <m/>
    <x v="1"/>
    <m/>
    <m/>
    <m/>
    <s v="TBSPL"/>
    <s v="RAJASTHAN"/>
    <m/>
    <n v="940008"/>
    <s v="TATA BLUESCOPE STEEL PVT LTD."/>
    <n v="3522241"/>
    <s v="PPGL C Y550 D0C7 0.43BMT(0.47TPT)X1220"/>
    <s v="aZ70"/>
    <s v="NGP CHERRY RED TSL 2215"/>
    <n v="3"/>
    <n v="5"/>
    <m/>
    <s v="B18"/>
    <s v="Y550PL"/>
    <s v="D0C7"/>
    <n v="0.43"/>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2933"/>
    <n v="1"/>
    <s v="9518682933-1"/>
    <s v="Stocks"/>
    <x v="0"/>
    <m/>
    <x v="0"/>
    <x v="0"/>
    <s v="2000-BPRS"/>
    <m/>
    <x v="1"/>
    <m/>
    <m/>
    <m/>
    <s v="East"/>
    <s v="HOWRAH"/>
    <m/>
    <n v="154464"/>
    <s v="TATA STEEL DOWNSTREAM PRODUCTS LIMI"/>
    <n v="1252834"/>
    <s v="HR COILS-PO IS 1079 HR2 3.0X1250"/>
    <s v=" "/>
    <s v=""/>
    <n v="13"/>
    <n v="30"/>
    <m/>
    <n v="768"/>
    <s v="THR099"/>
    <s v="HR99"/>
    <n v="3"/>
    <n v="1250"/>
    <n v="0"/>
    <n v="150"/>
    <n v="45.21"/>
    <n v="104.79"/>
    <n v="81.03"/>
    <n v="104.79"/>
    <n v="10.414999999999999"/>
    <n v="0"/>
    <n v="0"/>
    <n v="0"/>
    <n v="0"/>
    <n v="0"/>
    <n v="0"/>
    <n v="0"/>
    <n v="0"/>
    <n v="0"/>
    <n v="0"/>
    <n v="0"/>
    <n v="0"/>
    <n v="0"/>
    <n v="0"/>
    <n v="0"/>
    <n v="0"/>
    <n v="0"/>
    <n v="0"/>
    <n v="0"/>
    <n v="0"/>
    <n v="0"/>
    <n v="0"/>
    <n v="0"/>
    <m/>
    <n v="94.374999999999986"/>
    <n v="0"/>
    <n v="0"/>
    <n v="0"/>
    <n v="0"/>
    <n v="0"/>
    <n v="0"/>
    <n v="0"/>
    <n v="0"/>
    <n v="0"/>
    <n v="0"/>
    <n v="0"/>
    <n v="0"/>
    <m/>
    <m/>
    <m/>
    <m/>
    <m/>
    <m/>
    <m/>
    <m/>
    <m/>
    <m/>
    <m/>
    <m/>
    <m/>
    <m/>
    <m/>
    <m/>
    <m/>
    <m/>
    <m/>
    <m/>
    <m/>
    <m/>
    <m/>
    <m/>
    <m/>
    <m/>
    <m/>
    <m/>
    <m/>
    <m/>
    <m/>
    <m/>
    <m/>
    <m/>
    <m/>
  </r>
  <r>
    <n v="742"/>
    <d v="2025-04-10T00:00:00"/>
    <s v="ZBTO"/>
    <n v="9518682933"/>
    <n v="2"/>
    <s v="9518682933-2"/>
    <s v="May'25"/>
    <x v="0"/>
    <m/>
    <x v="0"/>
    <x v="0"/>
    <s v="2000-BPRS"/>
    <m/>
    <x v="1"/>
    <m/>
    <m/>
    <m/>
    <s v="East"/>
    <s v="HOWRAH"/>
    <m/>
    <n v="154464"/>
    <s v="TATA STEEL DOWNSTREAM PRODUCTS LIMI"/>
    <n v="1250221"/>
    <s v="HR COILS-PO IS 1079 HR2 2.50X1250"/>
    <s v=" "/>
    <s v=""/>
    <n v="13"/>
    <n v="30"/>
    <m/>
    <n v="768"/>
    <s v="THR099"/>
    <s v="HR99"/>
    <n v="2.5"/>
    <n v="1250"/>
    <n v="0"/>
    <n v="75"/>
    <n v="0"/>
    <n v="75"/>
    <n v="75"/>
    <n v="75"/>
    <n v="75"/>
    <n v="0"/>
    <n v="0"/>
    <n v="0"/>
    <n v="0"/>
    <n v="0"/>
    <n v="0"/>
    <n v="0"/>
    <n v="0"/>
    <n v="0"/>
    <n v="0"/>
    <n v="0"/>
    <n v="0"/>
    <n v="0"/>
    <n v="0"/>
    <n v="0"/>
    <n v="0"/>
    <n v="0"/>
    <n v="0"/>
    <n v="0"/>
    <n v="0"/>
    <n v="0"/>
    <n v="0"/>
    <n v="0"/>
    <m/>
    <n v="0"/>
    <n v="75"/>
    <n v="0"/>
    <n v="75"/>
    <n v="0"/>
    <n v="0"/>
    <n v="0"/>
    <n v="75"/>
    <n v="0"/>
    <n v="75"/>
    <n v="0"/>
    <n v="0"/>
    <n v="0"/>
    <m/>
    <m/>
    <m/>
    <m/>
    <m/>
    <m/>
    <m/>
    <m/>
    <m/>
    <m/>
    <m/>
    <m/>
    <m/>
    <m/>
    <m/>
    <m/>
    <m/>
    <m/>
    <m/>
    <m/>
    <m/>
    <m/>
    <m/>
    <m/>
    <m/>
    <m/>
    <m/>
    <m/>
    <m/>
    <m/>
    <m/>
    <m/>
    <m/>
    <m/>
    <m/>
  </r>
  <r>
    <n v="742"/>
    <d v="2025-04-10T00:00:00"/>
    <s v="ZBTO"/>
    <n v="9518682933"/>
    <n v="3"/>
    <s v="9518682933-3"/>
    <s v="Stocks"/>
    <x v="0"/>
    <m/>
    <x v="0"/>
    <x v="0"/>
    <s v="2000-BPRS"/>
    <m/>
    <x v="1"/>
    <m/>
    <m/>
    <m/>
    <s v="East"/>
    <s v="HOWRAH"/>
    <m/>
    <n v="154464"/>
    <s v="TATA STEEL DOWNSTREAM PRODUCTS LIMI"/>
    <n v="1210083"/>
    <s v="HR COILS-PO IS 1079 HR2 2X1250"/>
    <s v=" "/>
    <s v=""/>
    <n v="13"/>
    <n v="30"/>
    <m/>
    <n v="768"/>
    <s v="THR099"/>
    <s v="HR99"/>
    <n v="2"/>
    <n v="1250"/>
    <n v="0"/>
    <n v="75"/>
    <n v="0"/>
    <n v="75"/>
    <n v="58.61"/>
    <n v="30.85"/>
    <n v="9.4849999999999994"/>
    <n v="0"/>
    <n v="0"/>
    <n v="44.15"/>
    <n v="0"/>
    <n v="0"/>
    <n v="0"/>
    <n v="0"/>
    <n v="0"/>
    <n v="0"/>
    <n v="0"/>
    <n v="0"/>
    <n v="0"/>
    <n v="0"/>
    <n v="0"/>
    <n v="0"/>
    <n v="0"/>
    <n v="0"/>
    <n v="0"/>
    <n v="0"/>
    <n v="44.15"/>
    <n v="44.15"/>
    <n v="0"/>
    <n v="44.15"/>
    <m/>
    <n v="65.514999999999986"/>
    <n v="0"/>
    <n v="0"/>
    <n v="0"/>
    <n v="0"/>
    <n v="0"/>
    <n v="0"/>
    <n v="0"/>
    <n v="0"/>
    <n v="0"/>
    <n v="0"/>
    <n v="0"/>
    <n v="0"/>
    <m/>
    <m/>
    <m/>
    <m/>
    <m/>
    <m/>
    <m/>
    <m/>
    <m/>
    <m/>
    <m/>
    <m/>
    <m/>
    <m/>
    <m/>
    <m/>
    <m/>
    <m/>
    <m/>
    <m/>
    <m/>
    <m/>
    <m/>
    <m/>
    <m/>
    <m/>
    <m/>
    <m/>
    <m/>
    <m/>
    <m/>
    <m/>
    <m/>
    <m/>
    <m/>
  </r>
  <r>
    <n v="743"/>
    <d v="2025-03-15T00:00:00"/>
    <s v="ZBTO"/>
    <n v="9518602675"/>
    <n v="1"/>
    <s v="9518602675-1"/>
    <s v="No Priority"/>
    <x v="0"/>
    <s v="Yes"/>
    <x v="3"/>
    <x v="9"/>
    <s v="2000-BPRS"/>
    <m/>
    <x v="1"/>
    <m/>
    <m/>
    <m/>
    <s v="East"/>
    <s v="WEST BOKARO"/>
    <m/>
    <n v="185794"/>
    <s v="Shree Bajrang Steel Udyog"/>
    <n v="1191955"/>
    <s v="GP COIL SOFT-TATXGP-GK09-0.3X900"/>
    <s v="Z80"/>
    <s v=""/>
    <n v="5"/>
    <n v="15"/>
    <m/>
    <s v="C02"/>
    <s v="TATXGP"/>
    <s v="GK09"/>
    <n v="0.3"/>
    <n v="900"/>
    <n v="0"/>
    <n v="105"/>
    <n v="0"/>
    <n v="105"/>
    <n v="105"/>
    <n v="0"/>
    <n v="105"/>
    <n v="0"/>
    <n v="0"/>
    <n v="0"/>
    <n v="0"/>
    <n v="0"/>
    <n v="0"/>
    <n v="0"/>
    <n v="0"/>
    <n v="0"/>
    <n v="0"/>
    <n v="0"/>
    <n v="0"/>
    <n v="0"/>
    <n v="0"/>
    <n v="0"/>
    <n v="0"/>
    <n v="0"/>
    <n v="0"/>
    <n v="0"/>
    <n v="0"/>
    <n v="0"/>
    <n v="105"/>
    <n v="105"/>
    <m/>
    <n v="0"/>
    <n v="105"/>
    <n v="0"/>
    <n v="0"/>
    <n v="0"/>
    <n v="105"/>
    <n v="0"/>
    <n v="0"/>
    <n v="0"/>
    <n v="0"/>
    <n v="0"/>
    <n v="0"/>
    <n v="0"/>
    <m/>
    <m/>
    <m/>
    <m/>
    <m/>
    <m/>
    <m/>
    <m/>
    <m/>
    <m/>
    <m/>
    <m/>
    <m/>
    <m/>
    <m/>
    <m/>
    <m/>
    <m/>
    <m/>
    <m/>
    <m/>
    <m/>
    <m/>
    <m/>
    <m/>
    <m/>
    <m/>
    <m/>
    <m/>
    <m/>
    <m/>
    <m/>
    <m/>
    <m/>
    <m/>
  </r>
  <r>
    <n v="743"/>
    <d v="2025-03-18T00:00:00"/>
    <s v="ZBTO"/>
    <n v="9518610550"/>
    <n v="2"/>
    <s v="9518610550-2"/>
    <s v="No Priority"/>
    <x v="0"/>
    <m/>
    <x v="3"/>
    <x v="9"/>
    <s v="2000-BPRS"/>
    <m/>
    <x v="0"/>
    <m/>
    <m/>
    <m/>
    <s v="North"/>
    <s v="SANHEWAL"/>
    <m/>
    <n v="185845"/>
    <s v="Malerkotla Steel Industries"/>
    <n v="1851065"/>
    <s v="GP COIL SOFT-TATXGP-GK09-0.25X900"/>
    <s v="Z80"/>
    <s v=""/>
    <n v="4"/>
    <n v="6"/>
    <m/>
    <s v="C02"/>
    <s v="TATXGP"/>
    <s v="GK09"/>
    <n v="0.2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550"/>
    <n v="3"/>
    <s v="9518610550-3"/>
    <s v="No Priority"/>
    <x v="0"/>
    <m/>
    <x v="3"/>
    <x v="9"/>
    <s v="2000-BPRS"/>
    <m/>
    <x v="0"/>
    <m/>
    <m/>
    <m/>
    <s v="North"/>
    <s v="SANHEWAL"/>
    <m/>
    <n v="185845"/>
    <s v="Malerkotla Steel Industries"/>
    <n v="1191955"/>
    <s v="GP COIL SOFT-TATXGP-GK09-0.3X900"/>
    <s v="Z80"/>
    <s v=""/>
    <n v="4"/>
    <n v="6"/>
    <m/>
    <s v="C02"/>
    <s v="TATXGP"/>
    <s v="GK09"/>
    <n v="0.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550"/>
    <n v="14"/>
    <s v="9518610550-14"/>
    <s v="No Priority"/>
    <x v="0"/>
    <m/>
    <x v="3"/>
    <x v="9"/>
    <s v="2000-BPRS"/>
    <m/>
    <x v="0"/>
    <m/>
    <m/>
    <m/>
    <s v="North"/>
    <s v="SANHEWAL"/>
    <m/>
    <n v="185845"/>
    <s v="Malerkotla Steel Industries"/>
    <n v="1854425"/>
    <s v="GP COIL SOFT-TATXGP-GK09-0.6X1000"/>
    <s v="Z80"/>
    <s v=""/>
    <n v="4"/>
    <n v="6"/>
    <m/>
    <s v="C02"/>
    <s v="TATXGP"/>
    <s v="GK09"/>
    <n v="0.6"/>
    <n v="1000"/>
    <n v="0"/>
    <n v="46"/>
    <n v="21.785"/>
    <n v="24.215"/>
    <n v="24.215"/>
    <n v="24.215"/>
    <n v="24.215"/>
    <n v="0"/>
    <n v="0"/>
    <n v="0"/>
    <n v="0"/>
    <n v="0"/>
    <n v="0"/>
    <n v="0"/>
    <n v="0"/>
    <n v="0"/>
    <n v="0"/>
    <n v="0"/>
    <n v="0"/>
    <n v="0"/>
    <n v="0"/>
    <n v="0"/>
    <n v="0"/>
    <n v="0"/>
    <n v="0"/>
    <n v="0"/>
    <n v="0"/>
    <n v="0"/>
    <n v="0"/>
    <n v="0"/>
    <m/>
    <n v="0"/>
    <n v="0"/>
    <n v="0"/>
    <n v="0"/>
    <n v="0"/>
    <n v="0"/>
    <n v="0"/>
    <n v="0"/>
    <n v="0"/>
    <n v="0"/>
    <n v="0"/>
    <n v="0"/>
    <n v="0"/>
    <m/>
    <m/>
    <m/>
    <m/>
    <m/>
    <m/>
    <m/>
    <m/>
    <m/>
    <m/>
    <m/>
    <m/>
    <m/>
    <m/>
    <m/>
    <m/>
    <m/>
    <m/>
    <m/>
    <m/>
    <m/>
    <m/>
    <m/>
    <m/>
    <m/>
    <m/>
    <m/>
    <m/>
    <m/>
    <m/>
    <m/>
    <m/>
    <m/>
    <m/>
    <m/>
  </r>
  <r>
    <n v="743"/>
    <d v="2025-03-11T00:00:00"/>
    <s v="ZBTO"/>
    <n v="9518593433"/>
    <n v="5"/>
    <s v="9518593433-5"/>
    <s v="Stocks"/>
    <x v="0"/>
    <s v="Yes"/>
    <x v="3"/>
    <x v="9"/>
    <s v="2000-BPRS"/>
    <m/>
    <x v="1"/>
    <m/>
    <m/>
    <m/>
    <s v="East"/>
    <s v=" "/>
    <m/>
    <n v="121328"/>
    <s v="R. S. BOKARO METAL (P) LTD."/>
    <n v="1854418"/>
    <s v="GP COIL SOFT-TATXGP-GK09-0.5X900"/>
    <s v="Z80"/>
    <s v=""/>
    <n v="4"/>
    <n v="12"/>
    <m/>
    <s v="C02"/>
    <s v="TATXGP"/>
    <s v="GK09"/>
    <n v="0.5"/>
    <n v="900"/>
    <n v="0"/>
    <n v="84"/>
    <n v="0"/>
    <n v="84"/>
    <n v="84"/>
    <n v="0"/>
    <n v="5.0750000000000002"/>
    <n v="0"/>
    <n v="0"/>
    <n v="0"/>
    <n v="0"/>
    <n v="0"/>
    <n v="0"/>
    <n v="0"/>
    <n v="0"/>
    <n v="0"/>
    <n v="0"/>
    <n v="0"/>
    <n v="0"/>
    <n v="0"/>
    <n v="0"/>
    <n v="0"/>
    <n v="0"/>
    <n v="0"/>
    <n v="0"/>
    <n v="0"/>
    <n v="0"/>
    <n v="0"/>
    <n v="84"/>
    <n v="84"/>
    <m/>
    <n v="9.64"/>
    <n v="0"/>
    <n v="0"/>
    <n v="0"/>
    <n v="0"/>
    <n v="0"/>
    <n v="0"/>
    <n v="0"/>
    <n v="0"/>
    <n v="0"/>
    <n v="0"/>
    <n v="0"/>
    <n v="0"/>
    <m/>
    <m/>
    <m/>
    <m/>
    <m/>
    <m/>
    <m/>
    <m/>
    <m/>
    <m/>
    <m/>
    <m/>
    <m/>
    <m/>
    <m/>
    <m/>
    <m/>
    <m/>
    <m/>
    <m/>
    <m/>
    <m/>
    <m/>
    <m/>
    <m/>
    <m/>
    <m/>
    <m/>
    <m/>
    <m/>
    <m/>
    <m/>
    <m/>
    <m/>
    <m/>
  </r>
  <r>
    <n v="743"/>
    <d v="2025-03-17T00:00:00"/>
    <s v="ZBTO"/>
    <n v="9518605811"/>
    <n v="1"/>
    <s v="9518605811-1"/>
    <s v="No Priority"/>
    <x v="0"/>
    <m/>
    <x v="3"/>
    <x v="9"/>
    <s v="2000-BPRS"/>
    <m/>
    <x v="0"/>
    <m/>
    <m/>
    <m/>
    <s v="North"/>
    <s v="UTTARKASHI"/>
    <m/>
    <n v="150962"/>
    <s v="BIHANI INTERNATIONAL PVT LTD."/>
    <n v="1191955"/>
    <s v="GP COIL SOFT-TATXGP-GK09-0.3X900"/>
    <s v="Z80"/>
    <s v=""/>
    <n v="5"/>
    <n v="7"/>
    <m/>
    <s v="C02"/>
    <s v="TATXGP"/>
    <s v="GK09"/>
    <n v="0.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7T00:00:00"/>
    <s v="ZBTO"/>
    <n v="9518607412"/>
    <n v="1"/>
    <s v="9518607412-1"/>
    <s v="No Priority"/>
    <x v="0"/>
    <m/>
    <x v="3"/>
    <x v="9"/>
    <s v="2000-BPRS"/>
    <m/>
    <x v="0"/>
    <m/>
    <m/>
    <m/>
    <s v="North"/>
    <s v="JAIPUR"/>
    <m/>
    <n v="117583"/>
    <s v="BIHANI ENTERPRISES"/>
    <n v="1326486"/>
    <s v="GP COIL SOFT-TATXGP-GK09-0.3X1000"/>
    <s v="Z80"/>
    <s v=""/>
    <n v="5"/>
    <n v="7"/>
    <m/>
    <s v="C02"/>
    <s v="TATXGP"/>
    <s v="GK09"/>
    <n v="0.3"/>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3"/>
    <d v="2025-03-17T00:00:00"/>
    <s v="ZBTO"/>
    <n v="9518607412"/>
    <n v="2"/>
    <s v="9518607412-2"/>
    <s v="No Priority"/>
    <x v="0"/>
    <m/>
    <x v="3"/>
    <x v="9"/>
    <s v="2000-BPRS"/>
    <m/>
    <x v="0"/>
    <m/>
    <m/>
    <m/>
    <s v="North"/>
    <s v="JAIPUR"/>
    <m/>
    <n v="117583"/>
    <s v="BIHANI ENTERPRISES"/>
    <n v="1326487"/>
    <s v="GP COIL SOFT-TATXGP-GK09-0.35X1000"/>
    <s v="Z80"/>
    <s v=""/>
    <n v="5"/>
    <n v="7"/>
    <m/>
    <s v="C02"/>
    <s v="TATXGP"/>
    <s v="GK09"/>
    <n v="0.35"/>
    <n v="1000"/>
    <n v="0"/>
    <n v="92"/>
    <n v="0"/>
    <n v="92"/>
    <n v="92"/>
    <n v="92"/>
    <n v="92"/>
    <n v="0"/>
    <n v="0"/>
    <n v="0"/>
    <n v="0"/>
    <n v="0"/>
    <n v="0"/>
    <n v="0"/>
    <n v="0"/>
    <n v="0"/>
    <n v="0"/>
    <n v="0"/>
    <n v="0"/>
    <n v="0"/>
    <n v="0"/>
    <n v="0"/>
    <n v="0"/>
    <n v="0"/>
    <n v="0"/>
    <n v="0"/>
    <n v="0"/>
    <n v="0"/>
    <n v="0"/>
    <n v="0"/>
    <m/>
    <n v="0"/>
    <n v="0"/>
    <n v="0"/>
    <n v="0"/>
    <n v="0"/>
    <n v="0"/>
    <n v="0"/>
    <n v="0"/>
    <n v="0"/>
    <n v="0"/>
    <n v="0"/>
    <n v="0"/>
    <n v="0"/>
    <m/>
    <m/>
    <m/>
    <m/>
    <m/>
    <m/>
    <m/>
    <m/>
    <m/>
    <m/>
    <m/>
    <m/>
    <m/>
    <m/>
    <m/>
    <m/>
    <m/>
    <m/>
    <m/>
    <m/>
    <m/>
    <m/>
    <m/>
    <m/>
    <m/>
    <m/>
    <m/>
    <m/>
    <m/>
    <m/>
    <m/>
    <m/>
    <m/>
    <m/>
    <m/>
  </r>
  <r>
    <n v="743"/>
    <d v="2025-03-17T00:00:00"/>
    <s v="ZBTO"/>
    <n v="9518607412"/>
    <n v="3"/>
    <s v="9518607412-3"/>
    <s v="No Priority"/>
    <x v="0"/>
    <m/>
    <x v="3"/>
    <x v="9"/>
    <s v="2000-BPRS"/>
    <m/>
    <x v="0"/>
    <m/>
    <m/>
    <m/>
    <s v="North"/>
    <s v="JAIPUR"/>
    <m/>
    <n v="117583"/>
    <s v="BIHANI ENTERPRISES"/>
    <n v="1178444"/>
    <s v="GP COIL SOFT-TATXGP-GK09-0.4X1000"/>
    <s v="Z80"/>
    <s v=""/>
    <n v="5"/>
    <n v="7"/>
    <m/>
    <s v="C02"/>
    <s v="TATXGP"/>
    <s v="GK09"/>
    <n v="0.4"/>
    <n v="1000"/>
    <n v="0"/>
    <n v="138"/>
    <n v="0"/>
    <n v="138"/>
    <n v="138"/>
    <n v="138"/>
    <n v="138"/>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69316"/>
    <n v="1"/>
    <s v="9518669316-1"/>
    <s v="No Priority"/>
    <x v="0"/>
    <m/>
    <x v="1"/>
    <x v="12"/>
    <s v="2000-BPRS"/>
    <m/>
    <x v="0"/>
    <m/>
    <m/>
    <m/>
    <s v="South"/>
    <s v="YESHWANTHPURA"/>
    <m/>
    <n v="939268"/>
    <s v="TATA STEEL DOWNSTREAM PRODUCTS LIMI"/>
    <n v="2439201"/>
    <s v="CRCA COIL TSBSTA EL06 0.500X1170"/>
    <s v=" "/>
    <s v=""/>
    <n v="2"/>
    <n v="30"/>
    <m/>
    <s v="C01"/>
    <s v="TSBSTA"/>
    <s v="EL06"/>
    <n v="0.5"/>
    <n v="1170"/>
    <n v="0"/>
    <n v="216"/>
    <n v="0"/>
    <n v="216"/>
    <n v="216"/>
    <n v="216"/>
    <n v="204.77"/>
    <n v="0"/>
    <n v="0"/>
    <n v="0"/>
    <n v="0"/>
    <n v="0"/>
    <n v="0"/>
    <n v="0"/>
    <n v="0"/>
    <n v="0"/>
    <n v="0"/>
    <n v="0"/>
    <n v="0"/>
    <n v="0"/>
    <n v="0"/>
    <n v="0"/>
    <n v="0"/>
    <n v="0"/>
    <n v="0"/>
    <n v="0"/>
    <n v="0"/>
    <n v="0"/>
    <n v="0"/>
    <n v="0"/>
    <m/>
    <n v="0"/>
    <n v="0"/>
    <n v="0"/>
    <n v="0"/>
    <n v="0"/>
    <n v="0"/>
    <n v="0"/>
    <n v="0"/>
    <n v="0"/>
    <n v="0"/>
    <n v="0"/>
    <n v="0"/>
    <n v="0"/>
    <m/>
    <m/>
    <m/>
    <m/>
    <m/>
    <m/>
    <m/>
    <m/>
    <m/>
    <m/>
    <m/>
    <m/>
    <m/>
    <m/>
    <m/>
    <m/>
    <m/>
    <m/>
    <m/>
    <m/>
    <m/>
    <m/>
    <m/>
    <m/>
    <m/>
    <m/>
    <m/>
    <m/>
    <m/>
    <m/>
    <m/>
    <m/>
    <m/>
    <m/>
    <m/>
  </r>
  <r>
    <n v="744"/>
    <d v="2025-04-15T00:00:00"/>
    <s v="ZBTO"/>
    <n v="9518695456"/>
    <n v="1"/>
    <s v="9518695456-1"/>
    <s v="May'25"/>
    <x v="0"/>
    <s v="Yes"/>
    <x v="2"/>
    <x v="3"/>
    <s v="1000-IPPE"/>
    <m/>
    <x v="1"/>
    <m/>
    <m/>
    <m/>
    <s v="TBSPL"/>
    <s v="GAMHARIA"/>
    <m/>
    <n v="940016"/>
    <s v="TATA BLUESCOPE STEEL PVT LTD."/>
    <n v="3522241"/>
    <s v="PPGL C Y550 D0C7 0.43BMT(0.47TPT)X1220"/>
    <s v="aZ70"/>
    <s v="PASSION RED (NG) TSL 2214"/>
    <n v="3"/>
    <n v="5"/>
    <m/>
    <s v="B18"/>
    <s v="Y550PL"/>
    <s v="D0C7"/>
    <n v="0.43"/>
    <n v="1220"/>
    <n v="0"/>
    <n v="140"/>
    <n v="0"/>
    <n v="140"/>
    <n v="140"/>
    <n v="140"/>
    <n v="140"/>
    <n v="0"/>
    <n v="0"/>
    <n v="0"/>
    <n v="0"/>
    <n v="0"/>
    <n v="0"/>
    <n v="0"/>
    <n v="0"/>
    <n v="0"/>
    <n v="0"/>
    <n v="0"/>
    <n v="0"/>
    <n v="0"/>
    <n v="0"/>
    <n v="0"/>
    <n v="0"/>
    <n v="0"/>
    <n v="0"/>
    <n v="0"/>
    <n v="0"/>
    <n v="0"/>
    <n v="0"/>
    <n v="0"/>
    <m/>
    <n v="0"/>
    <n v="140"/>
    <n v="0"/>
    <n v="0"/>
    <n v="0"/>
    <n v="140"/>
    <n v="0"/>
    <n v="0"/>
    <n v="0"/>
    <n v="0"/>
    <n v="0"/>
    <n v="0"/>
    <n v="0"/>
    <m/>
    <m/>
    <m/>
    <m/>
    <m/>
    <m/>
    <m/>
    <m/>
    <m/>
    <m/>
    <m/>
    <m/>
    <m/>
    <m/>
    <m/>
    <m/>
    <m/>
    <m/>
    <m/>
    <m/>
    <m/>
    <m/>
    <m/>
    <m/>
    <m/>
    <m/>
    <m/>
    <m/>
    <m/>
    <m/>
    <m/>
    <m/>
    <m/>
    <m/>
    <m/>
  </r>
  <r>
    <n v="743"/>
    <d v="2025-04-11T00:00:00"/>
    <s v="ZBTO"/>
    <n v="9518683949"/>
    <n v="3"/>
    <s v="9518683949-3"/>
    <s v="Stocks"/>
    <x v="0"/>
    <m/>
    <x v="3"/>
    <x v="9"/>
    <s v="2000-BPRS"/>
    <m/>
    <x v="1"/>
    <m/>
    <m/>
    <m/>
    <s v="East"/>
    <s v="WEST BENGAL"/>
    <m/>
    <n v="100922"/>
    <s v="BUBNA COMMERCIAL COMPANY"/>
    <n v="1191956"/>
    <s v="GP COIL SOFT-TATXGP-GK09-0.35X900"/>
    <s v="Z80"/>
    <s v=""/>
    <n v="5"/>
    <n v="15"/>
    <m/>
    <s v="C02"/>
    <s v="TATXGP"/>
    <s v="GK09"/>
    <n v="0.35"/>
    <n v="900"/>
    <n v="0"/>
    <n v="63"/>
    <n v="0"/>
    <n v="63"/>
    <n v="63"/>
    <n v="9.654999999999994"/>
    <n v="43.26"/>
    <n v="0"/>
    <n v="0"/>
    <n v="0"/>
    <n v="0"/>
    <n v="0"/>
    <n v="0"/>
    <n v="53.345000000000006"/>
    <n v="0"/>
    <n v="0"/>
    <n v="0"/>
    <n v="0"/>
    <n v="0"/>
    <n v="0"/>
    <n v="0"/>
    <n v="0"/>
    <n v="0"/>
    <n v="0"/>
    <n v="0"/>
    <n v="0"/>
    <n v="53.345000000000006"/>
    <n v="53.345000000000006"/>
    <n v="0"/>
    <n v="53.345000000000006"/>
    <m/>
    <n v="19.740000000000002"/>
    <n v="43.26"/>
    <n v="43.26"/>
    <n v="0"/>
    <n v="0"/>
    <n v="0"/>
    <n v="0"/>
    <n v="0"/>
    <n v="0"/>
    <n v="0"/>
    <n v="0"/>
    <n v="0"/>
    <n v="0"/>
    <m/>
    <m/>
    <m/>
    <m/>
    <m/>
    <m/>
    <m/>
    <m/>
    <m/>
    <m/>
    <m/>
    <m/>
    <m/>
    <m/>
    <m/>
    <m/>
    <m/>
    <m/>
    <m/>
    <m/>
    <m/>
    <m/>
    <m/>
    <m/>
    <m/>
    <m/>
    <m/>
    <m/>
    <m/>
    <m/>
    <m/>
    <m/>
    <m/>
    <m/>
    <m/>
  </r>
  <r>
    <n v="744"/>
    <d v="2025-04-15T00:00:00"/>
    <s v="ZBTO"/>
    <n v="9518693957"/>
    <n v="1"/>
    <s v="9518693957-1"/>
    <s v="May'25"/>
    <x v="0"/>
    <s v="Yes"/>
    <x v="2"/>
    <x v="3"/>
    <s v="1000-IPPE"/>
    <m/>
    <x v="1"/>
    <m/>
    <m/>
    <m/>
    <s v="TBSPL"/>
    <s v=" "/>
    <m/>
    <n v="941597"/>
    <s v="TATA BLUESCOPE STEEL PRIVATE LIMITE"/>
    <n v="1633706"/>
    <s v="PPGL C Y550 HPL3 0.42BMT(0.50TPT)X1220"/>
    <s v="AZ150"/>
    <s v="ENVIRONMENTAL GREEN TSL 199"/>
    <n v="3"/>
    <n v="5"/>
    <m/>
    <s v="B18"/>
    <s v="Y550PL"/>
    <s v="HPL3"/>
    <n v="0.42"/>
    <n v="1220"/>
    <n v="0"/>
    <n v="28"/>
    <n v="0"/>
    <n v="28"/>
    <n v="28"/>
    <n v="28"/>
    <n v="28"/>
    <n v="0"/>
    <n v="0"/>
    <n v="0"/>
    <n v="0"/>
    <n v="0"/>
    <n v="0"/>
    <n v="0"/>
    <n v="0"/>
    <n v="0"/>
    <n v="0"/>
    <n v="0"/>
    <n v="0"/>
    <n v="0"/>
    <n v="0"/>
    <n v="0"/>
    <n v="0"/>
    <n v="0"/>
    <n v="0"/>
    <n v="0"/>
    <n v="0"/>
    <n v="0"/>
    <n v="0"/>
    <n v="0"/>
    <m/>
    <n v="0"/>
    <n v="28"/>
    <n v="0"/>
    <n v="0"/>
    <n v="0"/>
    <n v="0"/>
    <n v="28"/>
    <n v="0"/>
    <n v="0"/>
    <n v="0"/>
    <n v="0"/>
    <n v="0"/>
    <n v="0"/>
    <m/>
    <m/>
    <m/>
    <m/>
    <m/>
    <m/>
    <m/>
    <m/>
    <m/>
    <m/>
    <m/>
    <m/>
    <m/>
    <m/>
    <m/>
    <m/>
    <m/>
    <m/>
    <m/>
    <m/>
    <m/>
    <m/>
    <m/>
    <m/>
    <m/>
    <m/>
    <m/>
    <m/>
    <m/>
    <m/>
    <m/>
    <m/>
    <m/>
    <m/>
    <m/>
  </r>
  <r>
    <n v="742"/>
    <d v="2025-04-19T00:00:00"/>
    <s v="ZBTO"/>
    <n v="9518704886"/>
    <n v="2"/>
    <s v="9518704886-2"/>
    <s v="No Priority"/>
    <x v="0"/>
    <m/>
    <x v="1"/>
    <x v="1"/>
    <s v="2000-BPRS"/>
    <m/>
    <x v="0"/>
    <m/>
    <m/>
    <m/>
    <s v="South"/>
    <s v="YESHWANTHPURA"/>
    <m/>
    <n v="100237"/>
    <s v="RAMSAROOP &amp; SONS "/>
    <n v="1804854"/>
    <s v="CRCA COIL-TATXXD-AU03-1.2X1250"/>
    <s v=" "/>
    <s v=""/>
    <n v="10"/>
    <n v="24"/>
    <m/>
    <s v="C01"/>
    <s v="TATXXD"/>
    <s v="AU03"/>
    <n v="1.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3"/>
    <s v="9518692103-3"/>
    <s v="No Priority"/>
    <x v="0"/>
    <m/>
    <x v="3"/>
    <x v="9"/>
    <s v="2000-BPRS"/>
    <m/>
    <x v="0"/>
    <m/>
    <m/>
    <m/>
    <s v="East"/>
    <s v="WEST BOKARO"/>
    <m/>
    <n v="185794"/>
    <s v="Shree Bajrang Steel Udyog"/>
    <n v="1191956"/>
    <s v="GP COIL SOFT-TATXGP-GK09-0.35X900"/>
    <s v="Z80"/>
    <s v=""/>
    <n v="4"/>
    <n v="12"/>
    <m/>
    <s v="C02"/>
    <s v="TATXGP"/>
    <s v="GK09"/>
    <n v="0.35"/>
    <n v="900"/>
    <n v="0"/>
    <n v="147"/>
    <n v="0"/>
    <n v="147"/>
    <n v="147"/>
    <n v="147"/>
    <n v="147"/>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220"/>
    <n v="12"/>
    <s v="9518692220-12"/>
    <s v="May'25"/>
    <x v="0"/>
    <m/>
    <x v="3"/>
    <x v="14"/>
    <s v="2000-BPRS"/>
    <m/>
    <x v="1"/>
    <m/>
    <m/>
    <m/>
    <s v="East"/>
    <s v=" "/>
    <m/>
    <n v="121328"/>
    <s v="R. S. BOKARO METAL (P) LTD."/>
    <n v="1854416"/>
    <s v="GP COIL SOFT-TATXGP-GLK1-0.45X1220"/>
    <s v="Z80"/>
    <s v=""/>
    <n v="4"/>
    <n v="12"/>
    <m/>
    <s v="C02"/>
    <s v="TATXGP"/>
    <s v="GLK1"/>
    <n v="0.4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3"/>
    <d v="2025-04-14T00:00:00"/>
    <s v="ZBTO"/>
    <n v="9518692220"/>
    <n v="14"/>
    <s v="9518692220-14"/>
    <s v="May'25"/>
    <x v="0"/>
    <m/>
    <x v="3"/>
    <x v="14"/>
    <s v="2000-BPRS"/>
    <n v="1200"/>
    <x v="1"/>
    <m/>
    <m/>
    <m/>
    <s v="East"/>
    <s v=" "/>
    <m/>
    <n v="121328"/>
    <s v="R. S. BOKARO METAL (P) LTD."/>
    <n v="1300227"/>
    <s v="GP COIL SOFT-TATXGP-GLK1-0.6X1220"/>
    <s v="Z80"/>
    <s v=""/>
    <n v="4"/>
    <n v="12"/>
    <m/>
    <s v="C02"/>
    <s v="TATXGP"/>
    <s v="GLK1"/>
    <n v="0.6"/>
    <n v="1220"/>
    <n v="0"/>
    <n v="56"/>
    <n v="0"/>
    <n v="56"/>
    <n v="56"/>
    <n v="56"/>
    <n v="56"/>
    <n v="0"/>
    <n v="0"/>
    <n v="0"/>
    <n v="0"/>
    <n v="0"/>
    <n v="0"/>
    <n v="0"/>
    <n v="0"/>
    <n v="0"/>
    <n v="0"/>
    <n v="0"/>
    <n v="0"/>
    <n v="0"/>
    <n v="0"/>
    <n v="0"/>
    <n v="0"/>
    <n v="0"/>
    <n v="0"/>
    <n v="0"/>
    <n v="0"/>
    <n v="0"/>
    <n v="0"/>
    <n v="0"/>
    <m/>
    <n v="0"/>
    <n v="56"/>
    <n v="0"/>
    <n v="0"/>
    <n v="56"/>
    <n v="0"/>
    <n v="0"/>
    <n v="0"/>
    <n v="0"/>
    <n v="0"/>
    <n v="0"/>
    <n v="0"/>
    <n v="0"/>
    <m/>
    <m/>
    <m/>
    <m/>
    <m/>
    <m/>
    <m/>
    <m/>
    <m/>
    <m/>
    <m/>
    <m/>
    <m/>
    <m/>
    <m/>
    <m/>
    <m/>
    <m/>
    <m/>
    <m/>
    <m/>
    <m/>
    <m/>
    <m/>
    <m/>
    <m/>
    <m/>
    <m/>
    <m/>
    <m/>
    <m/>
    <m/>
    <m/>
    <m/>
    <m/>
  </r>
  <r>
    <n v="744"/>
    <d v="2025-04-08T00:00:00"/>
    <s v="ZBTO"/>
    <n v="9518676905"/>
    <n v="7"/>
    <s v="9518676905-7"/>
    <s v="May'25"/>
    <x v="0"/>
    <m/>
    <x v="2"/>
    <x v="3"/>
    <s v="1000-IPPE"/>
    <m/>
    <x v="1"/>
    <m/>
    <m/>
    <m/>
    <s v="TBSPL"/>
    <s v=" "/>
    <m/>
    <n v="941597"/>
    <s v="TATA BLUESCOPE STEEL PRIVATE LIMITE"/>
    <n v="3941967"/>
    <s v="PPGL C HARD Y550PL D0C9 0.60(TPT)X1220"/>
    <s v="AZ150"/>
    <s v="RAL 9002 TSL 1801"/>
    <n v="3"/>
    <n v="5"/>
    <m/>
    <s v="B18"/>
    <s v="Y550PL"/>
    <s v="D0C9"/>
    <n v="0.6"/>
    <n v="1220"/>
    <n v="0"/>
    <n v="112"/>
    <n v="0"/>
    <n v="112"/>
    <n v="106.985"/>
    <n v="-11.715000000000003"/>
    <n v="106.97499999999999"/>
    <n v="0"/>
    <n v="115.05"/>
    <n v="0"/>
    <n v="0"/>
    <n v="0"/>
    <n v="0"/>
    <n v="0"/>
    <n v="0"/>
    <n v="0"/>
    <n v="8.6650000000000009"/>
    <n v="0"/>
    <n v="0"/>
    <n v="0"/>
    <n v="0"/>
    <n v="0"/>
    <n v="0"/>
    <n v="0"/>
    <n v="0"/>
    <n v="0"/>
    <n v="123.715"/>
    <n v="123.715"/>
    <n v="0"/>
    <n v="123.715"/>
    <m/>
    <n v="0"/>
    <n v="106.97499999999999"/>
    <n v="106.97499999999999"/>
    <n v="0"/>
    <n v="0"/>
    <n v="0"/>
    <n v="0"/>
    <n v="0"/>
    <n v="0"/>
    <n v="0"/>
    <n v="0"/>
    <n v="0"/>
    <n v="0"/>
    <m/>
    <m/>
    <m/>
    <m/>
    <m/>
    <m/>
    <m/>
    <m/>
    <m/>
    <m/>
    <m/>
    <m/>
    <m/>
    <m/>
    <m/>
    <m/>
    <m/>
    <m/>
    <m/>
    <m/>
    <m/>
    <m/>
    <m/>
    <m/>
    <m/>
    <m/>
    <m/>
    <m/>
    <m/>
    <m/>
    <m/>
    <m/>
    <m/>
    <m/>
    <m/>
  </r>
  <r>
    <n v="744"/>
    <d v="2025-04-09T00:00:00"/>
    <s v="ZBTO"/>
    <n v="9518679911"/>
    <n v="1"/>
    <s v="9518679911-1"/>
    <s v="Stocks"/>
    <x v="0"/>
    <m/>
    <x v="2"/>
    <x v="3"/>
    <s v="1000-IPPE"/>
    <m/>
    <x v="1"/>
    <m/>
    <m/>
    <m/>
    <s v="TBSPL"/>
    <s v=" "/>
    <m/>
    <n v="941597"/>
    <s v="TATA BLUESCOPE STEEL PRIVATE LIMITE"/>
    <n v="4001001"/>
    <s v="PPGL C HARD Y550PL D0C9 0.630X1220"/>
    <s v="AZ150"/>
    <s v="RAL 9002 TSL 1801"/>
    <n v="3"/>
    <n v="5"/>
    <m/>
    <s v="B18"/>
    <s v="Y550PL"/>
    <s v="D0C9"/>
    <n v="0.63"/>
    <n v="1220"/>
    <n v="0"/>
    <n v="84"/>
    <n v="0"/>
    <n v="84"/>
    <n v="84"/>
    <n v="80.13"/>
    <n v="8.33"/>
    <n v="0"/>
    <n v="0"/>
    <n v="0"/>
    <n v="0"/>
    <n v="0"/>
    <n v="0"/>
    <n v="0"/>
    <n v="0"/>
    <n v="0"/>
    <n v="3.87"/>
    <n v="0"/>
    <n v="0"/>
    <n v="0"/>
    <n v="0"/>
    <n v="0"/>
    <n v="0"/>
    <n v="0"/>
    <n v="0"/>
    <n v="0"/>
    <n v="3.87"/>
    <n v="3.87"/>
    <n v="0"/>
    <n v="3.87"/>
    <m/>
    <n v="23.119999999999997"/>
    <n v="8.33"/>
    <n v="8.33"/>
    <n v="0"/>
    <n v="0"/>
    <n v="0"/>
    <n v="0"/>
    <n v="0"/>
    <n v="0"/>
    <n v="0"/>
    <n v="0"/>
    <n v="0"/>
    <n v="0"/>
    <m/>
    <m/>
    <m/>
    <m/>
    <m/>
    <m/>
    <m/>
    <m/>
    <m/>
    <m/>
    <m/>
    <m/>
    <m/>
    <m/>
    <m/>
    <m/>
    <m/>
    <m/>
    <m/>
    <m/>
    <m/>
    <m/>
    <m/>
    <m/>
    <m/>
    <m/>
    <m/>
    <m/>
    <m/>
    <m/>
    <m/>
    <m/>
    <m/>
    <m/>
    <m/>
  </r>
  <r>
    <n v="743"/>
    <d v="2025-04-14T00:00:00"/>
    <s v="ZBTO"/>
    <n v="9518692103"/>
    <n v="1"/>
    <s v="9518692103-1"/>
    <s v="No Priority"/>
    <x v="0"/>
    <m/>
    <x v="3"/>
    <x v="9"/>
    <s v="2000-BPRS"/>
    <m/>
    <x v="0"/>
    <m/>
    <m/>
    <m/>
    <s v="East"/>
    <s v="WEST BOKARO"/>
    <m/>
    <n v="185794"/>
    <s v="Shree Bajrang Steel Udyog"/>
    <n v="1191955"/>
    <s v="GP COIL SOFT-TATXGP-GK09-0.3X900"/>
    <s v="Z80"/>
    <s v=""/>
    <n v="4"/>
    <n v="12"/>
    <m/>
    <s v="C02"/>
    <s v="TATXGP"/>
    <s v="GK09"/>
    <n v="0.3"/>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2"/>
    <s v="9518692103-2"/>
    <s v="No Priority"/>
    <x v="0"/>
    <m/>
    <x v="3"/>
    <x v="9"/>
    <s v="2000-BPRS"/>
    <m/>
    <x v="0"/>
    <m/>
    <m/>
    <m/>
    <s v="East"/>
    <s v="WEST BOKARO"/>
    <m/>
    <n v="185794"/>
    <s v="Shree Bajrang Steel Udyog"/>
    <n v="1191955"/>
    <s v="GP COIL SOFT-TATXGP-GK09-0.3X900"/>
    <s v="Z80"/>
    <s v=""/>
    <n v="4"/>
    <n v="12"/>
    <m/>
    <s v="C02"/>
    <s v="TATXGP"/>
    <s v="GK09"/>
    <n v="0.3"/>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220"/>
    <n v="1"/>
    <s v="9518692220-1"/>
    <s v="No Priority"/>
    <x v="0"/>
    <m/>
    <x v="3"/>
    <x v="9"/>
    <s v="2000-BPRS"/>
    <m/>
    <x v="0"/>
    <m/>
    <m/>
    <m/>
    <s v="East"/>
    <s v=" "/>
    <m/>
    <n v="121328"/>
    <s v="R. S. BOKARO METAL (P) LTD."/>
    <n v="1851065"/>
    <s v="GP COIL SOFT-TATXGP-GK09-0.25X900"/>
    <s v="Z80"/>
    <s v=""/>
    <n v="4"/>
    <n v="12"/>
    <m/>
    <s v="C02"/>
    <s v="TATXGP"/>
    <s v="GK09"/>
    <n v="0.25"/>
    <n v="900"/>
    <n v="0"/>
    <n v="21"/>
    <n v="0"/>
    <n v="21"/>
    <n v="21"/>
    <n v="0.59999999999999787"/>
    <n v="21"/>
    <n v="0"/>
    <n v="0"/>
    <n v="0"/>
    <n v="0"/>
    <n v="0"/>
    <n v="0"/>
    <n v="0"/>
    <n v="0"/>
    <n v="0"/>
    <n v="0"/>
    <n v="0"/>
    <n v="0"/>
    <n v="0"/>
    <n v="0"/>
    <n v="0"/>
    <n v="0"/>
    <n v="20.400000000000002"/>
    <n v="0"/>
    <n v="0"/>
    <n v="20.400000000000002"/>
    <n v="20.400000000000002"/>
    <n v="0"/>
    <n v="20.400000000000002"/>
    <m/>
    <n v="0"/>
    <n v="0"/>
    <n v="0"/>
    <n v="0"/>
    <n v="0"/>
    <n v="0"/>
    <n v="0"/>
    <n v="0"/>
    <n v="0"/>
    <n v="0"/>
    <n v="0"/>
    <n v="0"/>
    <n v="0"/>
    <m/>
    <m/>
    <m/>
    <m/>
    <m/>
    <m/>
    <m/>
    <m/>
    <m/>
    <m/>
    <m/>
    <m/>
    <m/>
    <m/>
    <m/>
    <m/>
    <m/>
    <m/>
    <m/>
    <m/>
    <m/>
    <m/>
    <m/>
    <m/>
    <m/>
    <m/>
    <m/>
    <m/>
    <m/>
    <m/>
    <m/>
    <m/>
    <m/>
    <m/>
    <m/>
  </r>
  <r>
    <n v="743"/>
    <d v="2025-04-14T00:00:00"/>
    <s v="ZBTO"/>
    <n v="9518692220"/>
    <n v="2"/>
    <s v="9518692220-2"/>
    <s v="No Priority"/>
    <x v="0"/>
    <m/>
    <x v="3"/>
    <x v="9"/>
    <s v="2000-BPRS"/>
    <m/>
    <x v="0"/>
    <m/>
    <m/>
    <m/>
    <s v="East"/>
    <s v=" "/>
    <m/>
    <n v="121328"/>
    <s v="R. S. BOKARO METAL (P) LTD."/>
    <n v="1191955"/>
    <s v="GP COIL SOFT-TATXGP-GK09-0.3X900"/>
    <s v="Z80"/>
    <s v=""/>
    <n v="4"/>
    <n v="12"/>
    <m/>
    <s v="C02"/>
    <s v="TATXGP"/>
    <s v="GK09"/>
    <n v="0.3"/>
    <n v="900"/>
    <n v="0"/>
    <n v="126"/>
    <n v="0"/>
    <n v="126"/>
    <n v="126"/>
    <n v="126"/>
    <n v="12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146"/>
    <n v="1"/>
    <s v="9518664146-1"/>
    <s v="May'25"/>
    <x v="0"/>
    <s v="Yes"/>
    <x v="1"/>
    <x v="2"/>
    <s v="2000-BPRS"/>
    <m/>
    <x v="1"/>
    <m/>
    <m/>
    <m/>
    <s v="East"/>
    <s v="HOWRAH"/>
    <m/>
    <n v="925093"/>
    <s v="PSPL STEEL PROCESSORS PRIVATE LIMIT"/>
    <n v="3627096"/>
    <s v="CRCA SHEET TSBCRC SR15 0.800X1120X2000"/>
    <s v=" "/>
    <s v=""/>
    <n v="2"/>
    <n v="3.5"/>
    <m/>
    <s v="C06"/>
    <s v="TSBCRC"/>
    <s v="SR15"/>
    <n v="0.8"/>
    <n v="1120"/>
    <n v="20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8553"/>
    <n v="2"/>
    <s v="9518648553-2"/>
    <s v="No Priority"/>
    <x v="0"/>
    <m/>
    <x v="1"/>
    <x v="1"/>
    <s v="2000-BPRS"/>
    <m/>
    <x v="0"/>
    <m/>
    <m/>
    <m/>
    <s v="North"/>
    <s v="ZOSOLA"/>
    <m/>
    <n v="101446"/>
    <s v="BANSAL BROTHERS "/>
    <n v="27478"/>
    <s v="CRSHEET-ICF  DQ TATXXD AU03 1.00 X 1000"/>
    <s v=" "/>
    <s v=""/>
    <n v="10"/>
    <n v="30"/>
    <m/>
    <s v="C01"/>
    <s v="TATXXD"/>
    <s v="AU03"/>
    <n v="1"/>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3-27T00:00:00"/>
    <s v="ZBTO"/>
    <n v="9518644656"/>
    <n v="1"/>
    <s v="9518644656-1"/>
    <s v="May'25"/>
    <x v="0"/>
    <s v="Yes"/>
    <x v="1"/>
    <x v="2"/>
    <s v="2000-BPRS"/>
    <m/>
    <x v="1"/>
    <m/>
    <m/>
    <m/>
    <s v="East"/>
    <s v="SILIGURI TOWN"/>
    <m/>
    <n v="948783"/>
    <s v="SAGAR STEELS"/>
    <n v="3410101"/>
    <s v="CRCA SHEET TSBCRC SR15 0.750X1000X2500"/>
    <s v=" "/>
    <s v=""/>
    <n v="2"/>
    <n v="3"/>
    <m/>
    <s v="C06"/>
    <s v="TSBCRC"/>
    <s v="SR15"/>
    <n v="0.75"/>
    <n v="1000"/>
    <n v="2500"/>
    <n v="24"/>
    <n v="0"/>
    <n v="24"/>
    <n v="24"/>
    <n v="1.4800000000000004"/>
    <n v="24"/>
    <n v="0"/>
    <n v="0"/>
    <n v="0"/>
    <n v="0"/>
    <n v="0"/>
    <n v="0"/>
    <n v="0"/>
    <n v="0"/>
    <n v="0"/>
    <n v="0"/>
    <n v="0"/>
    <n v="0"/>
    <n v="0"/>
    <n v="22.52"/>
    <n v="0"/>
    <n v="0"/>
    <n v="0"/>
    <n v="0"/>
    <n v="0"/>
    <n v="22.52"/>
    <n v="22.52"/>
    <n v="0"/>
    <n v="22.52"/>
    <m/>
    <n v="0"/>
    <n v="24"/>
    <n v="0"/>
    <n v="24"/>
    <n v="0"/>
    <n v="0"/>
    <n v="0"/>
    <n v="24"/>
    <n v="0"/>
    <n v="24"/>
    <n v="0"/>
    <n v="0"/>
    <n v="0"/>
    <m/>
    <m/>
    <m/>
    <m/>
    <m/>
    <m/>
    <m/>
    <m/>
    <m/>
    <m/>
    <m/>
    <m/>
    <m/>
    <m/>
    <m/>
    <m/>
    <m/>
    <m/>
    <m/>
    <m/>
    <m/>
    <m/>
    <m/>
    <m/>
    <m/>
    <m/>
    <m/>
    <m/>
    <m/>
    <m/>
    <m/>
    <m/>
    <m/>
    <m/>
    <m/>
  </r>
  <r>
    <n v="743"/>
    <d v="2025-03-18T00:00:00"/>
    <s v="ZBTO"/>
    <n v="9518609974"/>
    <n v="4"/>
    <s v="9518609974-4"/>
    <s v="No Priority"/>
    <x v="0"/>
    <m/>
    <x v="3"/>
    <x v="9"/>
    <s v="2000-BPRS"/>
    <m/>
    <x v="0"/>
    <m/>
    <m/>
    <m/>
    <s v="North"/>
    <s v="LONI"/>
    <m/>
    <n v="183259"/>
    <s v="Rakesh Steel Inds.(P) Ltd."/>
    <n v="1191955"/>
    <s v="GP COIL SOFT-TATXGP-GK09-0.3X900"/>
    <s v="Z80"/>
    <s v=""/>
    <n v="4"/>
    <n v="6"/>
    <m/>
    <s v="C02"/>
    <s v="TATXGP"/>
    <s v="GK09"/>
    <n v="0.3"/>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17T00:00:00"/>
    <s v="ZBTO"/>
    <n v="9518607025"/>
    <n v="5"/>
    <s v="9518607025-5"/>
    <s v="No Priority"/>
    <x v="0"/>
    <s v="Yes"/>
    <x v="3"/>
    <x v="9"/>
    <s v="2000-BPRS"/>
    <m/>
    <x v="0"/>
    <m/>
    <m/>
    <m/>
    <s v="East"/>
    <s v=" "/>
    <m/>
    <n v="121328"/>
    <s v="R. S. BOKARO METAL (P) LTD."/>
    <n v="1854424"/>
    <s v="GP COIL SOFT-TATXGP-GK09-0.6X900"/>
    <s v="Z80"/>
    <s v=""/>
    <n v="4"/>
    <n v="12"/>
    <m/>
    <s v="C02"/>
    <s v="TATXGP"/>
    <s v="GK09"/>
    <n v="0.6"/>
    <n v="900"/>
    <n v="0"/>
    <n v="21"/>
    <n v="0"/>
    <n v="21"/>
    <n v="21"/>
    <n v="21"/>
    <n v="1.32"/>
    <n v="0"/>
    <n v="0"/>
    <n v="0"/>
    <n v="0"/>
    <n v="0"/>
    <n v="0"/>
    <n v="0"/>
    <n v="0"/>
    <n v="0"/>
    <n v="0"/>
    <n v="0"/>
    <n v="0"/>
    <n v="0"/>
    <n v="0"/>
    <n v="0"/>
    <n v="0"/>
    <n v="0"/>
    <n v="0"/>
    <n v="0"/>
    <n v="0"/>
    <n v="0"/>
    <n v="0"/>
    <n v="0"/>
    <m/>
    <n v="0"/>
    <n v="0"/>
    <n v="0"/>
    <n v="0"/>
    <n v="0"/>
    <n v="0"/>
    <n v="0"/>
    <n v="0"/>
    <n v="0"/>
    <n v="0"/>
    <n v="0"/>
    <n v="0"/>
    <n v="0"/>
    <m/>
    <m/>
    <m/>
    <m/>
    <m/>
    <m/>
    <m/>
    <m/>
    <m/>
    <m/>
    <m/>
    <m/>
    <m/>
    <m/>
    <m/>
    <m/>
    <m/>
    <m/>
    <m/>
    <m/>
    <m/>
    <m/>
    <m/>
    <m/>
    <m/>
    <m/>
    <m/>
    <m/>
    <m/>
    <m/>
    <m/>
    <m/>
    <m/>
    <m/>
    <m/>
  </r>
  <r>
    <n v="743"/>
    <d v="2025-03-10T00:00:00"/>
    <s v="ZBTO"/>
    <n v="9518589716"/>
    <n v="2"/>
    <s v="9518589716-2"/>
    <s v="No Priority"/>
    <x v="0"/>
    <m/>
    <x v="3"/>
    <x v="9"/>
    <s v="2000-BPRS"/>
    <m/>
    <x v="0"/>
    <m/>
    <m/>
    <m/>
    <s v="North"/>
    <s v="KANPUR"/>
    <m/>
    <n v="933952"/>
    <s v="AGARWAL STEEL TRADERS"/>
    <n v="1191955"/>
    <s v="GP COIL SOFT-TATXGP-GK09-0.3X900"/>
    <s v="Z80"/>
    <s v=""/>
    <n v="3.2"/>
    <n v="5"/>
    <m/>
    <s v="C02"/>
    <s v="TATXGP"/>
    <s v="GK09"/>
    <n v="0.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1T00:00:00"/>
    <s v="ZBTO"/>
    <n v="9518593433"/>
    <n v="1"/>
    <s v="9518593433-1"/>
    <s v="May'25"/>
    <x v="0"/>
    <s v="Yes"/>
    <x v="3"/>
    <x v="9"/>
    <s v="2000-BPRS"/>
    <m/>
    <x v="1"/>
    <m/>
    <m/>
    <m/>
    <s v="East"/>
    <s v=" "/>
    <m/>
    <n v="121328"/>
    <s v="R. S. BOKARO METAL (P) LTD."/>
    <n v="1191955"/>
    <s v="GP COIL SOFT-TATXGP-GK09-0.3X900"/>
    <s v="Z80"/>
    <s v=""/>
    <n v="4"/>
    <n v="12"/>
    <m/>
    <s v="C02"/>
    <s v="TATXGP"/>
    <s v="GK09"/>
    <n v="0.3"/>
    <n v="900"/>
    <n v="0"/>
    <n v="21"/>
    <n v="0"/>
    <n v="21"/>
    <n v="21"/>
    <n v="2.120000000000001"/>
    <n v="21"/>
    <n v="0"/>
    <n v="0"/>
    <n v="0"/>
    <n v="0"/>
    <n v="0"/>
    <n v="0"/>
    <n v="18.88"/>
    <n v="0"/>
    <n v="0"/>
    <n v="0"/>
    <n v="0"/>
    <n v="0"/>
    <n v="0"/>
    <n v="0"/>
    <n v="0"/>
    <n v="0"/>
    <n v="0"/>
    <n v="0"/>
    <n v="0"/>
    <n v="18.88"/>
    <n v="18.88"/>
    <n v="0"/>
    <n v="18.88"/>
    <m/>
    <n v="0"/>
    <n v="21"/>
    <n v="21"/>
    <n v="0"/>
    <n v="0"/>
    <n v="0"/>
    <n v="0"/>
    <n v="0"/>
    <n v="0"/>
    <n v="0"/>
    <n v="0"/>
    <n v="0"/>
    <n v="0"/>
    <m/>
    <m/>
    <m/>
    <m/>
    <m/>
    <m/>
    <m/>
    <m/>
    <m/>
    <m/>
    <m/>
    <m/>
    <m/>
    <m/>
    <m/>
    <m/>
    <m/>
    <m/>
    <m/>
    <m/>
    <m/>
    <m/>
    <m/>
    <m/>
    <m/>
    <m/>
    <m/>
    <m/>
    <m/>
    <m/>
    <m/>
    <m/>
    <m/>
    <m/>
    <m/>
  </r>
  <r>
    <n v="742"/>
    <d v="2025-03-11T00:00:00"/>
    <s v="ZBTO"/>
    <n v="9518591774"/>
    <n v="18"/>
    <s v="9518591774-18"/>
    <s v="No Priority"/>
    <x v="0"/>
    <m/>
    <x v="1"/>
    <x v="1"/>
    <s v="2000-BPRS"/>
    <m/>
    <x v="0"/>
    <m/>
    <m/>
    <m/>
    <s v="North"/>
    <s v="ZOSOLA"/>
    <m/>
    <n v="936527"/>
    <s v="SHORI LAL KEWAL KUMAR."/>
    <n v="1804867"/>
    <s v="CRCA COIL-TATXXD-AU03-1.6X1250"/>
    <s v=" "/>
    <s v=""/>
    <n v="10"/>
    <n v="30"/>
    <m/>
    <s v="C01"/>
    <s v="TATXXD"/>
    <s v="AU03"/>
    <n v="1.6"/>
    <n v="1250"/>
    <n v="0"/>
    <n v="29"/>
    <n v="0"/>
    <n v="29"/>
    <n v="29"/>
    <n v="8.32"/>
    <n v="29"/>
    <n v="0"/>
    <n v="0"/>
    <n v="0"/>
    <n v="0"/>
    <n v="0"/>
    <n v="0"/>
    <n v="0"/>
    <n v="0"/>
    <n v="0"/>
    <n v="0"/>
    <n v="0"/>
    <n v="0"/>
    <n v="20.68"/>
    <n v="0"/>
    <n v="0"/>
    <n v="0"/>
    <n v="0"/>
    <n v="0"/>
    <n v="0"/>
    <n v="20.68"/>
    <n v="20.68"/>
    <n v="0"/>
    <n v="20.68"/>
    <m/>
    <n v="0"/>
    <n v="0"/>
    <n v="0"/>
    <n v="0"/>
    <n v="0"/>
    <n v="0"/>
    <n v="0"/>
    <n v="0"/>
    <n v="0"/>
    <n v="0"/>
    <n v="0"/>
    <n v="0"/>
    <n v="0"/>
    <m/>
    <m/>
    <m/>
    <m/>
    <m/>
    <m/>
    <m/>
    <m/>
    <m/>
    <m/>
    <m/>
    <m/>
    <m/>
    <m/>
    <m/>
    <m/>
    <m/>
    <m/>
    <m/>
    <m/>
    <m/>
    <m/>
    <m/>
    <m/>
    <m/>
    <m/>
    <m/>
    <m/>
    <m/>
    <m/>
    <m/>
    <m/>
    <m/>
    <m/>
    <m/>
  </r>
  <r>
    <n v="742"/>
    <d v="2025-02-24T00:00:00"/>
    <s v="ZBTO"/>
    <n v="9518548149"/>
    <n v="8"/>
    <s v="9518548149-8"/>
    <s v="No Priority"/>
    <x v="0"/>
    <m/>
    <x v="1"/>
    <x v="11"/>
    <s v="2000-BPRS"/>
    <m/>
    <x v="0"/>
    <m/>
    <m/>
    <m/>
    <s v="South"/>
    <s v="YESHWANTHPURA"/>
    <m/>
    <n v="932244"/>
    <s v="DURGA TRADERS"/>
    <n v="2420514"/>
    <s v="CRCA COIL TATXXD AH03 0.800X1250"/>
    <s v=" "/>
    <s v=""/>
    <n v="2"/>
    <n v="26"/>
    <m/>
    <s v="C01"/>
    <s v="TATXXD"/>
    <s v="AH03"/>
    <n v="0.8"/>
    <n v="1250"/>
    <n v="0"/>
    <n v="145"/>
    <n v="0"/>
    <n v="145"/>
    <n v="6.32"/>
    <n v="145"/>
    <n v="13.03"/>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470"/>
    <n v="1"/>
    <s v="9518628470-1"/>
    <s v="No Priority"/>
    <x v="0"/>
    <m/>
    <x v="1"/>
    <x v="2"/>
    <s v="2000-BPRS"/>
    <m/>
    <x v="0"/>
    <m/>
    <m/>
    <m/>
    <s v="East"/>
    <s v="GUWAHATI"/>
    <m/>
    <n v="116649"/>
    <s v="SAGAR STEELS"/>
    <n v="3893162"/>
    <s v="CRCA SHEET TSBCRC SR15 0.700X1120X2500"/>
    <s v=" "/>
    <s v=""/>
    <n v="2"/>
    <n v="3"/>
    <m/>
    <s v="C06"/>
    <s v="TSBCRC"/>
    <s v="SR15"/>
    <n v="0.7"/>
    <n v="1120"/>
    <n v="2500"/>
    <n v="20.99"/>
    <n v="17.600000000000001"/>
    <n v="3.39"/>
    <n v="3.39"/>
    <n v="3.39"/>
    <n v="3.39"/>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470"/>
    <n v="2"/>
    <s v="9518628470-2"/>
    <s v="May'25"/>
    <x v="0"/>
    <s v="Yes"/>
    <x v="1"/>
    <x v="2"/>
    <s v="2000-BPRS"/>
    <m/>
    <x v="1"/>
    <m/>
    <m/>
    <m/>
    <s v="East"/>
    <s v="GUWAHATI"/>
    <m/>
    <n v="116649"/>
    <s v="SAGAR STEELS"/>
    <n v="3533337"/>
    <s v="CRCA SHEET TSBCRC SR15 0.700X1120X2000"/>
    <s v=" "/>
    <s v=""/>
    <n v="2"/>
    <n v="3"/>
    <m/>
    <s v="C06"/>
    <s v="TSBCRC"/>
    <s v="SR15"/>
    <n v="0.7"/>
    <n v="1120"/>
    <n v="200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9852"/>
    <n v="1"/>
    <s v="9518629852-1"/>
    <s v="May'25"/>
    <x v="0"/>
    <s v="Yes"/>
    <x v="1"/>
    <x v="2"/>
    <s v="2000-BPRS"/>
    <m/>
    <x v="1"/>
    <m/>
    <m/>
    <s v="Maharashtra"/>
    <s v="West"/>
    <s v="NAGPUR"/>
    <m/>
    <n v="932086"/>
    <s v="ANM ISPAT PRIVATE LIMITED"/>
    <n v="3240765"/>
    <s v="CRCA SHEET TSBCRC SR15 0.500X1250X2500"/>
    <s v=" "/>
    <s v=""/>
    <n v="2.5"/>
    <n v="3.5"/>
    <m/>
    <s v="C06"/>
    <s v="TSBCRC"/>
    <s v="SR15"/>
    <n v="0.5"/>
    <n v="1250"/>
    <n v="2500"/>
    <n v="24"/>
    <n v="2.91"/>
    <n v="21.09"/>
    <n v="-7.52"/>
    <n v="0"/>
    <n v="21.09"/>
    <n v="0"/>
    <n v="0"/>
    <n v="0"/>
    <n v="0"/>
    <n v="0"/>
    <n v="0"/>
    <n v="0"/>
    <n v="0"/>
    <n v="27.305"/>
    <n v="0"/>
    <n v="0"/>
    <n v="0"/>
    <n v="0"/>
    <n v="0"/>
    <n v="0"/>
    <n v="0"/>
    <n v="0"/>
    <n v="0"/>
    <n v="0"/>
    <n v="27.305"/>
    <n v="27.305"/>
    <n v="0"/>
    <n v="27.305"/>
    <m/>
    <n v="0"/>
    <n v="21.09"/>
    <n v="21.09"/>
    <n v="0"/>
    <n v="0"/>
    <n v="0"/>
    <n v="0"/>
    <n v="0"/>
    <n v="0"/>
    <n v="0"/>
    <n v="0"/>
    <n v="0"/>
    <n v="0"/>
    <m/>
    <m/>
    <m/>
    <m/>
    <m/>
    <m/>
    <m/>
    <m/>
    <m/>
    <m/>
    <m/>
    <m/>
    <m/>
    <m/>
    <m/>
    <m/>
    <m/>
    <m/>
    <m/>
    <m/>
    <m/>
    <m/>
    <m/>
    <m/>
    <m/>
    <m/>
    <m/>
    <m/>
    <m/>
    <m/>
    <m/>
    <m/>
    <m/>
    <m/>
    <m/>
  </r>
  <r>
    <n v="742"/>
    <d v="2025-03-24T00:00:00"/>
    <s v="ZBTO"/>
    <n v="9518629852"/>
    <n v="2"/>
    <s v="9518629852-2"/>
    <s v="May'25"/>
    <x v="0"/>
    <s v="Yes"/>
    <x v="1"/>
    <x v="2"/>
    <s v="2000-BPRS"/>
    <m/>
    <x v="1"/>
    <m/>
    <m/>
    <s v="Maharashtra"/>
    <s v="West"/>
    <s v="NAGPUR"/>
    <m/>
    <n v="932086"/>
    <s v="ANM ISPAT PRIVATE LIMITED"/>
    <n v="3240785"/>
    <s v="CRCA SHEET TSBCRC SR15 0.600X1250X2500"/>
    <s v=" "/>
    <s v=""/>
    <n v="2.5"/>
    <n v="3.5"/>
    <m/>
    <s v="C06"/>
    <s v="TSBCRC"/>
    <s v="SR15"/>
    <n v="0.6"/>
    <n v="1250"/>
    <n v="2500"/>
    <n v="24"/>
    <n v="0"/>
    <n v="24"/>
    <n v="24"/>
    <n v="0.82000000000000028"/>
    <n v="24"/>
    <n v="0"/>
    <n v="0"/>
    <n v="23.18"/>
    <n v="0"/>
    <n v="0"/>
    <n v="0"/>
    <n v="0"/>
    <n v="0"/>
    <n v="0"/>
    <n v="0"/>
    <n v="0"/>
    <n v="0"/>
    <n v="0"/>
    <n v="0"/>
    <n v="0"/>
    <n v="0"/>
    <n v="0"/>
    <n v="0"/>
    <n v="0"/>
    <n v="23.18"/>
    <n v="23.18"/>
    <n v="0"/>
    <n v="23.18"/>
    <m/>
    <n v="0"/>
    <n v="24"/>
    <n v="0"/>
    <n v="0"/>
    <n v="24"/>
    <n v="0"/>
    <n v="0"/>
    <n v="0"/>
    <n v="0"/>
    <n v="0"/>
    <n v="0"/>
    <n v="0"/>
    <n v="0"/>
    <m/>
    <m/>
    <m/>
    <m/>
    <m/>
    <m/>
    <m/>
    <m/>
    <m/>
    <m/>
    <m/>
    <m/>
    <m/>
    <m/>
    <m/>
    <m/>
    <m/>
    <m/>
    <m/>
    <m/>
    <m/>
    <m/>
    <m/>
    <m/>
    <m/>
    <m/>
    <m/>
    <m/>
    <m/>
    <m/>
    <m/>
    <m/>
    <m/>
    <m/>
    <m/>
  </r>
  <r>
    <n v="742"/>
    <d v="2025-03-24T00:00:00"/>
    <s v="ZBTO"/>
    <n v="9518629852"/>
    <n v="3"/>
    <s v="9518629852-3"/>
    <s v="May'25"/>
    <x v="0"/>
    <s v="Yes"/>
    <x v="1"/>
    <x v="2"/>
    <s v="2000-BPRS"/>
    <m/>
    <x v="1"/>
    <m/>
    <m/>
    <s v="Maharashtra"/>
    <s v="West"/>
    <s v="NAGPUR"/>
    <m/>
    <n v="932086"/>
    <s v="ANM ISPAT PRIVATE LIMITED"/>
    <n v="3240786"/>
    <s v="CRCA SHEET TSBCRC SR15 0.700X1250X2500"/>
    <s v=" "/>
    <s v=""/>
    <n v="2.5"/>
    <n v="3.5"/>
    <m/>
    <s v="C06"/>
    <s v="TSBCRC"/>
    <s v="SR15"/>
    <n v="0.7"/>
    <n v="1250"/>
    <n v="2500"/>
    <n v="24"/>
    <n v="0"/>
    <n v="24"/>
    <n v="24"/>
    <n v="1.3550000000000004"/>
    <n v="24"/>
    <n v="0"/>
    <n v="0"/>
    <n v="0"/>
    <n v="0"/>
    <n v="0"/>
    <n v="0"/>
    <n v="0"/>
    <n v="0"/>
    <n v="0"/>
    <n v="0"/>
    <n v="22.645"/>
    <n v="0"/>
    <n v="0"/>
    <n v="0"/>
    <n v="0"/>
    <n v="0"/>
    <n v="0"/>
    <n v="0"/>
    <n v="0"/>
    <n v="22.645"/>
    <n v="22.645"/>
    <n v="0"/>
    <n v="22.645"/>
    <m/>
    <n v="0"/>
    <n v="24"/>
    <n v="0"/>
    <n v="0"/>
    <n v="24"/>
    <n v="0"/>
    <n v="0"/>
    <n v="0"/>
    <n v="0"/>
    <n v="0"/>
    <n v="0"/>
    <n v="0"/>
    <n v="0"/>
    <m/>
    <m/>
    <m/>
    <m/>
    <m/>
    <m/>
    <m/>
    <m/>
    <m/>
    <m/>
    <m/>
    <m/>
    <m/>
    <m/>
    <m/>
    <m/>
    <m/>
    <m/>
    <m/>
    <m/>
    <m/>
    <m/>
    <m/>
    <m/>
    <m/>
    <m/>
    <m/>
    <m/>
    <m/>
    <m/>
    <m/>
    <m/>
    <m/>
    <m/>
    <m/>
  </r>
  <r>
    <n v="742"/>
    <d v="2025-03-26T00:00:00"/>
    <s v="ZBTO"/>
    <n v="9518637097"/>
    <n v="2"/>
    <s v="9518637097-2"/>
    <s v="May'25"/>
    <x v="0"/>
    <s v="Yes"/>
    <x v="1"/>
    <x v="2"/>
    <s v="2000-BPRS"/>
    <m/>
    <x v="1"/>
    <m/>
    <m/>
    <m/>
    <s v="East"/>
    <s v="URLA"/>
    <m/>
    <n v="139336"/>
    <s v="PASA ASSOCIATES PRIVATE LIMITED"/>
    <n v="3240778"/>
    <s v="CRCA SHEET TSBCRC SR15 0.600X1000X2500"/>
    <s v=" "/>
    <s v=""/>
    <n v="1"/>
    <n v="3"/>
    <m/>
    <s v="C06"/>
    <s v="TSBCRC"/>
    <s v="SR15"/>
    <n v="0.6"/>
    <n v="1000"/>
    <n v="2500"/>
    <n v="60"/>
    <n v="18.875"/>
    <n v="41.125"/>
    <n v="41.125"/>
    <n v="-3.384999999999998"/>
    <n v="41.125"/>
    <n v="0"/>
    <n v="0"/>
    <n v="0"/>
    <n v="0"/>
    <n v="0"/>
    <n v="0"/>
    <n v="0"/>
    <n v="0"/>
    <n v="0"/>
    <n v="0"/>
    <n v="0"/>
    <n v="0"/>
    <n v="0"/>
    <n v="44.51"/>
    <n v="0"/>
    <n v="0"/>
    <n v="0"/>
    <n v="0"/>
    <n v="0"/>
    <n v="44.51"/>
    <n v="44.51"/>
    <n v="0"/>
    <n v="44.51"/>
    <m/>
    <n v="5.91"/>
    <n v="41.125"/>
    <n v="0"/>
    <n v="41.125"/>
    <n v="0"/>
    <n v="0"/>
    <n v="0"/>
    <n v="41.125"/>
    <n v="0"/>
    <n v="41.125"/>
    <n v="0"/>
    <n v="0"/>
    <n v="0"/>
    <m/>
    <m/>
    <m/>
    <m/>
    <m/>
    <m/>
    <m/>
    <m/>
    <m/>
    <m/>
    <m/>
    <m/>
    <m/>
    <m/>
    <m/>
    <m/>
    <m/>
    <m/>
    <m/>
    <m/>
    <m/>
    <m/>
    <m/>
    <m/>
    <m/>
    <m/>
    <m/>
    <m/>
    <m/>
    <m/>
    <m/>
    <m/>
    <m/>
    <m/>
    <m/>
  </r>
  <r>
    <n v="742"/>
    <d v="2025-03-24T00:00:00"/>
    <s v="ZBTO"/>
    <n v="9518629852"/>
    <n v="4"/>
    <s v="9518629852-4"/>
    <s v="May'25"/>
    <x v="0"/>
    <s v="Yes"/>
    <x v="1"/>
    <x v="2"/>
    <s v="2000-BPRS"/>
    <m/>
    <x v="1"/>
    <m/>
    <m/>
    <s v="Maharashtra"/>
    <s v="West"/>
    <s v="NAGPUR"/>
    <m/>
    <n v="932086"/>
    <s v="ANM ISPAT PRIVATE LIMITED"/>
    <n v="3240808"/>
    <s v="CRCA SHEET TSBCRC SR15 0.800X1250X2500"/>
    <s v=" "/>
    <s v=""/>
    <n v="2.5"/>
    <n v="3.5"/>
    <m/>
    <s v="C06"/>
    <s v="TSBCRC"/>
    <s v="SR15"/>
    <n v="0.8"/>
    <n v="1250"/>
    <n v="2500"/>
    <n v="48"/>
    <n v="0"/>
    <n v="48"/>
    <n v="48"/>
    <n v="48"/>
    <n v="21.92"/>
    <n v="0"/>
    <n v="0"/>
    <n v="0"/>
    <n v="0"/>
    <n v="0"/>
    <n v="0"/>
    <n v="0"/>
    <n v="0"/>
    <n v="0"/>
    <n v="0"/>
    <n v="0"/>
    <n v="0"/>
    <n v="0"/>
    <n v="0"/>
    <n v="0"/>
    <n v="0"/>
    <n v="0"/>
    <n v="0"/>
    <n v="0"/>
    <n v="0"/>
    <n v="0"/>
    <n v="0"/>
    <n v="0"/>
    <m/>
    <n v="26.08"/>
    <n v="21.92"/>
    <n v="0"/>
    <n v="0"/>
    <n v="21.92"/>
    <n v="0"/>
    <n v="0"/>
    <n v="0"/>
    <n v="0"/>
    <n v="0"/>
    <n v="0"/>
    <n v="0"/>
    <n v="0"/>
    <m/>
    <m/>
    <m/>
    <m/>
    <m/>
    <m/>
    <m/>
    <m/>
    <m/>
    <m/>
    <m/>
    <m/>
    <m/>
    <m/>
    <m/>
    <m/>
    <m/>
    <m/>
    <m/>
    <m/>
    <m/>
    <m/>
    <m/>
    <m/>
    <m/>
    <m/>
    <m/>
    <m/>
    <m/>
    <m/>
    <m/>
    <m/>
    <m/>
    <m/>
    <m/>
  </r>
  <r>
    <n v="742"/>
    <d v="2025-03-24T00:00:00"/>
    <s v="ZBTO"/>
    <n v="9518629852"/>
    <n v="5"/>
    <s v="9518629852-5"/>
    <s v="May'25"/>
    <x v="0"/>
    <s v="Yes"/>
    <x v="1"/>
    <x v="2"/>
    <s v="2000-BPRS"/>
    <m/>
    <x v="1"/>
    <m/>
    <m/>
    <s v="Maharashtra"/>
    <s v="West"/>
    <s v="NAGPUR"/>
    <m/>
    <n v="932086"/>
    <s v="ANM ISPAT PRIVATE LIMITED"/>
    <n v="3240837"/>
    <s v="CRCA SHEET TSBCRC SR15 1X1250X2500"/>
    <s v=" "/>
    <s v=""/>
    <n v="2.5"/>
    <n v="3.5"/>
    <m/>
    <s v="C06"/>
    <s v="TSBCRC"/>
    <s v="SR15"/>
    <n v="1"/>
    <n v="1250"/>
    <n v="2500"/>
    <n v="99"/>
    <n v="0"/>
    <n v="99"/>
    <n v="99"/>
    <n v="70.134999999999991"/>
    <n v="99"/>
    <n v="0"/>
    <n v="0"/>
    <n v="0"/>
    <n v="0"/>
    <n v="0"/>
    <n v="0"/>
    <n v="0"/>
    <n v="0"/>
    <n v="0"/>
    <n v="0"/>
    <n v="28.865000000000002"/>
    <n v="0"/>
    <n v="0"/>
    <n v="0"/>
    <n v="0"/>
    <n v="0"/>
    <n v="0"/>
    <n v="0"/>
    <n v="0"/>
    <n v="28.865000000000002"/>
    <n v="28.865000000000002"/>
    <n v="0"/>
    <n v="28.865000000000002"/>
    <m/>
    <n v="0"/>
    <n v="99"/>
    <n v="0"/>
    <n v="0"/>
    <n v="99"/>
    <n v="0"/>
    <n v="0"/>
    <n v="0"/>
    <n v="0"/>
    <n v="0"/>
    <n v="0"/>
    <n v="0"/>
    <n v="0"/>
    <m/>
    <m/>
    <m/>
    <m/>
    <m/>
    <m/>
    <m/>
    <m/>
    <m/>
    <m/>
    <m/>
    <m/>
    <m/>
    <m/>
    <m/>
    <m/>
    <m/>
    <m/>
    <m/>
    <m/>
    <m/>
    <m/>
    <m/>
    <m/>
    <m/>
    <m/>
    <m/>
    <m/>
    <m/>
    <m/>
    <m/>
    <m/>
    <m/>
    <m/>
    <m/>
  </r>
  <r>
    <n v="742"/>
    <d v="2025-03-24T00:00:00"/>
    <s v="ZBTO"/>
    <n v="9518629852"/>
    <n v="6"/>
    <s v="9518629852-6"/>
    <s v="May'25"/>
    <x v="0"/>
    <s v="Yes"/>
    <x v="1"/>
    <x v="2"/>
    <s v="2000-BPRS"/>
    <m/>
    <x v="1"/>
    <m/>
    <m/>
    <s v="Maharashtra"/>
    <s v="West"/>
    <s v="NAGPUR"/>
    <m/>
    <n v="932086"/>
    <s v="ANM ISPAT PRIVATE LIMITED"/>
    <n v="3240851"/>
    <s v="CRCA SHEET TSBCRC SR15 1.200X1250X2500"/>
    <s v=" "/>
    <s v=""/>
    <n v="2.5"/>
    <n v="3.5"/>
    <m/>
    <s v="C06"/>
    <s v="TSBCRC"/>
    <s v="SR15"/>
    <n v="1.2"/>
    <n v="1250"/>
    <n v="2500"/>
    <n v="99"/>
    <n v="0"/>
    <n v="99"/>
    <n v="99"/>
    <n v="70.305000000000007"/>
    <n v="99"/>
    <n v="0"/>
    <n v="0"/>
    <n v="0"/>
    <n v="0"/>
    <n v="0"/>
    <n v="0"/>
    <n v="0"/>
    <n v="0"/>
    <n v="0"/>
    <n v="0"/>
    <n v="28.695"/>
    <n v="0"/>
    <n v="0"/>
    <n v="0"/>
    <n v="0"/>
    <n v="0"/>
    <n v="0"/>
    <n v="0"/>
    <n v="0"/>
    <n v="28.695"/>
    <n v="28.695"/>
    <n v="0"/>
    <n v="28.695"/>
    <m/>
    <n v="0"/>
    <n v="99"/>
    <n v="0"/>
    <n v="0"/>
    <n v="99"/>
    <n v="0"/>
    <n v="0"/>
    <n v="0"/>
    <n v="0"/>
    <n v="0"/>
    <n v="0"/>
    <n v="0"/>
    <n v="0"/>
    <m/>
    <m/>
    <m/>
    <m/>
    <m/>
    <m/>
    <m/>
    <m/>
    <m/>
    <m/>
    <m/>
    <m/>
    <m/>
    <m/>
    <m/>
    <m/>
    <m/>
    <m/>
    <m/>
    <m/>
    <m/>
    <m/>
    <m/>
    <m/>
    <m/>
    <m/>
    <m/>
    <m/>
    <m/>
    <m/>
    <m/>
    <m/>
    <m/>
    <m/>
    <m/>
  </r>
  <r>
    <n v="742"/>
    <d v="2025-03-24T00:00:00"/>
    <s v="ZBTO"/>
    <n v="9518629852"/>
    <n v="7"/>
    <s v="9518629852-7"/>
    <s v="May'25"/>
    <x v="0"/>
    <m/>
    <x v="1"/>
    <x v="2"/>
    <s v="2000-BPRS"/>
    <m/>
    <x v="1"/>
    <m/>
    <m/>
    <s v="Maharashtra"/>
    <s v="West"/>
    <s v="NAGPUR"/>
    <m/>
    <n v="932086"/>
    <s v="ANM ISPAT PRIVATE LIMITED"/>
    <n v="3240863"/>
    <s v="CRCA SHEET TSBCRC SR15 1.500X1250X2500"/>
    <s v=" "/>
    <s v=""/>
    <n v="2.5"/>
    <n v="3.5"/>
    <m/>
    <s v="C06"/>
    <s v="TSBCRC"/>
    <s v="SR15"/>
    <n v="1.5"/>
    <n v="1250"/>
    <n v="2500"/>
    <n v="99"/>
    <n v="0"/>
    <n v="99"/>
    <n v="43.93"/>
    <n v="70.210000000000008"/>
    <n v="47.695"/>
    <n v="0"/>
    <n v="0"/>
    <n v="0"/>
    <n v="0"/>
    <n v="0"/>
    <n v="0"/>
    <n v="0"/>
    <n v="0"/>
    <n v="0"/>
    <n v="0"/>
    <n v="28.79"/>
    <n v="0"/>
    <n v="0"/>
    <n v="0"/>
    <n v="0"/>
    <n v="0"/>
    <n v="0"/>
    <n v="0"/>
    <n v="0"/>
    <n v="28.79"/>
    <n v="28.79"/>
    <n v="0"/>
    <n v="28.79"/>
    <m/>
    <n v="16.91"/>
    <n v="47.695"/>
    <n v="0"/>
    <n v="0"/>
    <n v="47.695"/>
    <n v="0"/>
    <n v="0"/>
    <n v="0"/>
    <n v="0"/>
    <n v="0"/>
    <n v="0"/>
    <n v="0"/>
    <n v="0"/>
    <m/>
    <m/>
    <m/>
    <m/>
    <m/>
    <m/>
    <m/>
    <m/>
    <m/>
    <m/>
    <m/>
    <m/>
    <m/>
    <m/>
    <m/>
    <m/>
    <m/>
    <m/>
    <m/>
    <m/>
    <m/>
    <m/>
    <m/>
    <m/>
    <m/>
    <m/>
    <m/>
    <m/>
    <m/>
    <m/>
    <m/>
    <m/>
    <m/>
    <m/>
    <m/>
  </r>
  <r>
    <n v="742"/>
    <d v="2025-03-24T00:00:00"/>
    <s v="ZBTO"/>
    <n v="9518629852"/>
    <n v="9"/>
    <s v="9518629852-9"/>
    <s v="May'25"/>
    <x v="0"/>
    <s v="Yes"/>
    <x v="1"/>
    <x v="2"/>
    <s v="2000-BPRS"/>
    <m/>
    <x v="1"/>
    <m/>
    <m/>
    <s v="Maharashtra"/>
    <s v="West"/>
    <s v="NAGPUR"/>
    <m/>
    <n v="932086"/>
    <s v="ANM ISPAT PRIVATE LIMITED"/>
    <n v="3240869"/>
    <s v="CRCA SHEET TSBCRC SR15 2X1250X2500"/>
    <s v=" "/>
    <s v=""/>
    <n v="2.5"/>
    <n v="3.5"/>
    <m/>
    <s v="C06"/>
    <s v="TSBCRC"/>
    <s v="SR15"/>
    <n v="2"/>
    <n v="1250"/>
    <n v="2500"/>
    <n v="75"/>
    <n v="0"/>
    <n v="75"/>
    <n v="75"/>
    <n v="75"/>
    <n v="75"/>
    <n v="0"/>
    <n v="0"/>
    <n v="0"/>
    <n v="0"/>
    <n v="0"/>
    <n v="0"/>
    <n v="0"/>
    <n v="0"/>
    <n v="0"/>
    <n v="0"/>
    <n v="0"/>
    <n v="0"/>
    <n v="0"/>
    <n v="0"/>
    <n v="0"/>
    <n v="0"/>
    <n v="0"/>
    <n v="0"/>
    <n v="0"/>
    <n v="0"/>
    <n v="0"/>
    <n v="0"/>
    <n v="0"/>
    <m/>
    <n v="0"/>
    <n v="75"/>
    <n v="0"/>
    <n v="0"/>
    <n v="0"/>
    <n v="75"/>
    <n v="0"/>
    <n v="0"/>
    <n v="0"/>
    <n v="0"/>
    <n v="0"/>
    <n v="0"/>
    <n v="0"/>
    <m/>
    <m/>
    <m/>
    <m/>
    <m/>
    <m/>
    <m/>
    <m/>
    <m/>
    <m/>
    <m/>
    <m/>
    <m/>
    <m/>
    <m/>
    <m/>
    <m/>
    <m/>
    <m/>
    <m/>
    <m/>
    <m/>
    <m/>
    <m/>
    <m/>
    <m/>
    <m/>
    <m/>
    <m/>
    <m/>
    <m/>
    <m/>
    <m/>
    <m/>
    <m/>
  </r>
  <r>
    <n v="742"/>
    <d v="2025-03-21T00:00:00"/>
    <s v="ZBTO"/>
    <n v="9518620548"/>
    <n v="1"/>
    <s v="9518620548-1"/>
    <s v="No Priority"/>
    <x v="0"/>
    <m/>
    <x v="1"/>
    <x v="1"/>
    <s v="2000-BPRS"/>
    <m/>
    <x v="0"/>
    <m/>
    <m/>
    <m/>
    <s v="North"/>
    <s v="DERABASSI"/>
    <m/>
    <n v="819097"/>
    <s v="BHAGWATI STEEL SALES"/>
    <n v="2355305"/>
    <s v="CRCA COIL TATXXD AU03 1.500X1320"/>
    <s v=" "/>
    <s v=""/>
    <n v="10"/>
    <n v="30"/>
    <m/>
    <s v="C01"/>
    <s v="TATXXD"/>
    <s v="AU03"/>
    <n v="1.5"/>
    <n v="1320"/>
    <n v="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3"/>
    <d v="2025-02-24T00:00:00"/>
    <s v="ZBTF"/>
    <n v="9518546063"/>
    <n v="3"/>
    <s v="9518546063-3"/>
    <s v="No Priority"/>
    <x v="0"/>
    <s v="Yes"/>
    <x v="3"/>
    <x v="9"/>
    <s v="2000-BPRS"/>
    <m/>
    <x v="1"/>
    <m/>
    <m/>
    <m/>
    <s v="East"/>
    <s v="JAMSHEDPUR"/>
    <m/>
    <n v="600250"/>
    <s v="TATA CENTER"/>
    <n v="1178439"/>
    <s v="GP COIL SOFT-TATXGP-GK09-0.4X900"/>
    <s v="Z80"/>
    <s v=""/>
    <n v="8"/>
    <n v="15"/>
    <m/>
    <s v="C02"/>
    <s v="TATXGP"/>
    <s v="GK09"/>
    <n v="0.4"/>
    <n v="900"/>
    <n v="0"/>
    <n v="420"/>
    <n v="0"/>
    <n v="420"/>
    <n v="420"/>
    <n v="0"/>
    <n v="252"/>
    <n v="0"/>
    <n v="0"/>
    <n v="0"/>
    <n v="0"/>
    <n v="0"/>
    <n v="0"/>
    <n v="0"/>
    <n v="0"/>
    <n v="0"/>
    <n v="0"/>
    <n v="0"/>
    <n v="0"/>
    <n v="0"/>
    <n v="0"/>
    <n v="0"/>
    <n v="0"/>
    <n v="0"/>
    <n v="0"/>
    <n v="0"/>
    <n v="0"/>
    <n v="0"/>
    <n v="420"/>
    <n v="420"/>
    <m/>
    <n v="0"/>
    <n v="252"/>
    <n v="0"/>
    <n v="0"/>
    <n v="0"/>
    <n v="0"/>
    <n v="252"/>
    <n v="0"/>
    <n v="0"/>
    <n v="0"/>
    <n v="0"/>
    <n v="0"/>
    <n v="0"/>
    <m/>
    <m/>
    <m/>
    <m/>
    <m/>
    <m/>
    <m/>
    <m/>
    <m/>
    <m/>
    <m/>
    <m/>
    <m/>
    <m/>
    <m/>
    <m/>
    <m/>
    <m/>
    <m/>
    <m/>
    <m/>
    <m/>
    <m/>
    <m/>
    <m/>
    <m/>
    <m/>
    <m/>
    <m/>
    <m/>
    <m/>
    <m/>
    <m/>
    <m/>
    <m/>
  </r>
  <r>
    <n v="743"/>
    <d v="2025-02-24T00:00:00"/>
    <s v="ZBTF"/>
    <n v="9518546063"/>
    <n v="4"/>
    <s v="9518546063-4"/>
    <s v="May'25"/>
    <x v="0"/>
    <s v="Yes"/>
    <x v="3"/>
    <x v="9"/>
    <s v="2000-BPRS"/>
    <m/>
    <x v="1"/>
    <m/>
    <m/>
    <m/>
    <s v="East"/>
    <s v="JAMSHEDPUR"/>
    <m/>
    <n v="600250"/>
    <s v="TATA CENTER"/>
    <n v="1854418"/>
    <s v="GP COIL SOFT-TATXGP-GK09-0.5X900"/>
    <s v="Z80"/>
    <s v=""/>
    <n v="8"/>
    <n v="15"/>
    <m/>
    <s v="C02"/>
    <s v="TATXGP"/>
    <s v="GK09"/>
    <n v="0.5"/>
    <n v="900"/>
    <n v="0"/>
    <n v="357"/>
    <n v="0"/>
    <n v="357"/>
    <n v="357"/>
    <n v="249.92000000000002"/>
    <n v="222.51"/>
    <n v="0"/>
    <n v="0"/>
    <n v="0"/>
    <n v="0"/>
    <n v="0.78500000000000003"/>
    <n v="0"/>
    <n v="57.645000000000003"/>
    <n v="0"/>
    <n v="0"/>
    <n v="0"/>
    <n v="0"/>
    <n v="0"/>
    <n v="0"/>
    <n v="0"/>
    <n v="0"/>
    <n v="0"/>
    <n v="0"/>
    <n v="0"/>
    <n v="48.65"/>
    <n v="107.08"/>
    <n v="107.08"/>
    <n v="0"/>
    <n v="107.08"/>
    <m/>
    <n v="58.519999999999996"/>
    <n v="222.51"/>
    <n v="0"/>
    <n v="222.51"/>
    <n v="0"/>
    <n v="0"/>
    <n v="0"/>
    <n v="222.51"/>
    <n v="0"/>
    <n v="222.51"/>
    <n v="0"/>
    <n v="0"/>
    <n v="0"/>
    <m/>
    <m/>
    <m/>
    <m/>
    <m/>
    <m/>
    <m/>
    <m/>
    <m/>
    <m/>
    <m/>
    <m/>
    <m/>
    <m/>
    <m/>
    <m/>
    <m/>
    <m/>
    <m/>
    <m/>
    <m/>
    <m/>
    <m/>
    <m/>
    <m/>
    <m/>
    <m/>
    <m/>
    <m/>
    <m/>
    <m/>
    <m/>
    <m/>
    <m/>
    <m/>
  </r>
  <r>
    <n v="743"/>
    <d v="2025-03-21T00:00:00"/>
    <s v="ZBTO"/>
    <n v="9518620565"/>
    <n v="6"/>
    <s v="9518620565-6"/>
    <s v="No Priority"/>
    <x v="0"/>
    <m/>
    <x v="3"/>
    <x v="0"/>
    <s v="2000-BPRS"/>
    <m/>
    <x v="0"/>
    <m/>
    <m/>
    <m/>
    <s v="East"/>
    <s v="TATANAGAR"/>
    <m/>
    <n v="165053"/>
    <s v="SUDISA ENTERPRISES (P) LTD."/>
    <n v="1852256"/>
    <s v="GP COIL SOFT-TSBXGP-N1GP-0.5X1000"/>
    <s v="Z80"/>
    <s v=""/>
    <n v="4"/>
    <n v="12"/>
    <m/>
    <s v="C02"/>
    <s v="TSBXGP"/>
    <s v="N1GP"/>
    <n v="0.5"/>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18"/>
    <s v="9518620674-18"/>
    <s v="No Priority"/>
    <x v="0"/>
    <s v="Yes"/>
    <x v="1"/>
    <x v="1"/>
    <s v="2000-BPRS"/>
    <m/>
    <x v="0"/>
    <m/>
    <s v="Depriritized as per SPA's instruction"/>
    <m/>
    <s v="South"/>
    <s v="CHENNAI"/>
    <m/>
    <n v="938550"/>
    <s v="BASEER AND CO"/>
    <n v="1804854"/>
    <s v="CRCA COIL-TATXXD-AU03-1.2X1250"/>
    <s v=" "/>
    <s v=""/>
    <n v="6"/>
    <n v="18"/>
    <m/>
    <s v="C01"/>
    <s v="TATXXD"/>
    <s v="AU03"/>
    <n v="1.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26"/>
    <s v="9518620674-26"/>
    <s v="May'25"/>
    <x v="0"/>
    <s v="Yes"/>
    <x v="1"/>
    <x v="2"/>
    <s v="2000-BPRS"/>
    <m/>
    <x v="1"/>
    <m/>
    <m/>
    <m/>
    <s v="South"/>
    <s v="CHENNAI"/>
    <m/>
    <n v="938550"/>
    <s v="BASEER AND CO"/>
    <n v="3240775"/>
    <s v="CRCA SHEET TSBCRC SR15 0.600X1000X1980"/>
    <s v=" "/>
    <s v=""/>
    <n v="0"/>
    <n v="0"/>
    <m/>
    <s v="C06"/>
    <s v="TSBCRC"/>
    <s v="SR15"/>
    <n v="0.6"/>
    <n v="1000"/>
    <n v="1980"/>
    <n v="45"/>
    <n v="0"/>
    <n v="45"/>
    <n v="45"/>
    <n v="0.51999999999999602"/>
    <n v="45"/>
    <n v="0"/>
    <n v="0"/>
    <n v="0"/>
    <n v="0"/>
    <n v="0"/>
    <n v="0"/>
    <n v="0"/>
    <n v="0"/>
    <n v="0"/>
    <n v="0"/>
    <n v="0"/>
    <n v="0"/>
    <n v="0"/>
    <n v="44.480000000000004"/>
    <n v="0"/>
    <n v="0"/>
    <n v="0"/>
    <n v="0"/>
    <n v="0"/>
    <n v="44.480000000000004"/>
    <n v="44.480000000000004"/>
    <n v="0"/>
    <n v="44.480000000000004"/>
    <m/>
    <n v="0"/>
    <n v="45"/>
    <n v="0"/>
    <n v="45"/>
    <n v="0"/>
    <n v="0"/>
    <n v="0"/>
    <n v="45"/>
    <n v="0"/>
    <n v="45"/>
    <n v="0"/>
    <n v="0"/>
    <n v="0"/>
    <m/>
    <m/>
    <m/>
    <m/>
    <m/>
    <m/>
    <m/>
    <m/>
    <m/>
    <m/>
    <m/>
    <m/>
    <m/>
    <m/>
    <m/>
    <m/>
    <m/>
    <m/>
    <m/>
    <m/>
    <m/>
    <m/>
    <m/>
    <m/>
    <m/>
    <m/>
    <m/>
    <m/>
    <m/>
    <m/>
    <m/>
    <m/>
    <m/>
    <m/>
    <m/>
  </r>
  <r>
    <n v="742"/>
    <d v="2025-03-18T00:00:00"/>
    <s v="ZBTO"/>
    <n v="9518610768"/>
    <n v="2"/>
    <s v="9518610768-2"/>
    <s v="No Priority"/>
    <x v="0"/>
    <s v="Yes"/>
    <x v="1"/>
    <x v="2"/>
    <s v="2000-BPRS"/>
    <m/>
    <x v="0"/>
    <m/>
    <m/>
    <m/>
    <s v="North"/>
    <s v="VARANASI"/>
    <m/>
    <n v="931525"/>
    <s v="INDIA STEEL INDUSTRIES"/>
    <n v="3240765"/>
    <s v="CRCA SHEET TSBCRC SR15 0.500X1250X2500"/>
    <s v=" "/>
    <s v=""/>
    <n v="0"/>
    <n v="0"/>
    <m/>
    <s v="C06"/>
    <s v="TSBCRC"/>
    <s v="SR15"/>
    <n v="0.5"/>
    <n v="1250"/>
    <n v="2500"/>
    <n v="54"/>
    <n v="0"/>
    <n v="54"/>
    <n v="-2.08"/>
    <n v="0"/>
    <n v="54"/>
    <n v="0"/>
    <n v="0"/>
    <n v="0"/>
    <n v="0"/>
    <n v="0"/>
    <n v="0"/>
    <n v="0"/>
    <n v="0"/>
    <n v="0"/>
    <n v="0"/>
    <n v="0"/>
    <n v="0"/>
    <n v="0"/>
    <n v="55.13"/>
    <n v="0"/>
    <n v="0"/>
    <n v="0"/>
    <n v="0"/>
    <n v="0"/>
    <n v="55.13"/>
    <n v="55.13"/>
    <n v="0"/>
    <n v="55.13"/>
    <m/>
    <n v="0"/>
    <n v="0"/>
    <n v="0"/>
    <n v="0"/>
    <n v="0"/>
    <n v="0"/>
    <n v="0"/>
    <n v="0"/>
    <n v="0"/>
    <n v="0"/>
    <n v="0"/>
    <n v="0"/>
    <n v="0"/>
    <m/>
    <m/>
    <m/>
    <m/>
    <m/>
    <m/>
    <m/>
    <m/>
    <m/>
    <m/>
    <m/>
    <m/>
    <m/>
    <m/>
    <m/>
    <m/>
    <m/>
    <m/>
    <m/>
    <m/>
    <m/>
    <m/>
    <m/>
    <m/>
    <m/>
    <m/>
    <m/>
    <m/>
    <m/>
    <m/>
    <m/>
    <m/>
    <m/>
    <m/>
    <m/>
  </r>
  <r>
    <n v="742"/>
    <d v="2025-03-18T00:00:00"/>
    <s v="ZBTO"/>
    <n v="9518610768"/>
    <n v="3"/>
    <s v="9518610768-3"/>
    <s v="No Priority"/>
    <x v="0"/>
    <s v="Yes"/>
    <x v="1"/>
    <x v="2"/>
    <s v="2000-BPRS"/>
    <m/>
    <x v="0"/>
    <m/>
    <m/>
    <m/>
    <s v="North"/>
    <s v="VARANASI"/>
    <m/>
    <n v="931525"/>
    <s v="INDIA STEEL INDUSTRIES"/>
    <n v="3240761"/>
    <s v="CRCA SHEET TSBCRC SR15 0.500X1250X2030"/>
    <s v=" "/>
    <s v=""/>
    <n v="0"/>
    <n v="0"/>
    <m/>
    <s v="C06"/>
    <s v="TSBCRC"/>
    <s v="SR15"/>
    <n v="0.5"/>
    <n v="1250"/>
    <n v="2030"/>
    <n v="54"/>
    <n v="0"/>
    <n v="54"/>
    <n v="-2.23"/>
    <n v="0"/>
    <n v="54"/>
    <n v="0"/>
    <n v="0"/>
    <n v="0"/>
    <n v="0"/>
    <n v="0"/>
    <n v="0"/>
    <n v="0"/>
    <n v="0"/>
    <n v="0"/>
    <n v="0"/>
    <n v="0"/>
    <n v="0"/>
    <n v="0"/>
    <n v="55.27"/>
    <n v="0"/>
    <n v="0"/>
    <n v="0"/>
    <n v="0"/>
    <n v="0"/>
    <n v="55.27"/>
    <n v="55.27"/>
    <n v="0"/>
    <n v="55.27"/>
    <m/>
    <n v="0"/>
    <n v="0"/>
    <n v="0"/>
    <n v="0"/>
    <n v="0"/>
    <n v="0"/>
    <n v="0"/>
    <n v="0"/>
    <n v="0"/>
    <n v="0"/>
    <n v="0"/>
    <n v="0"/>
    <n v="0"/>
    <m/>
    <m/>
    <m/>
    <m/>
    <m/>
    <m/>
    <m/>
    <m/>
    <m/>
    <m/>
    <m/>
    <m/>
    <m/>
    <m/>
    <m/>
    <m/>
    <m/>
    <m/>
    <m/>
    <m/>
    <m/>
    <m/>
    <m/>
    <m/>
    <m/>
    <m/>
    <m/>
    <m/>
    <m/>
    <m/>
    <m/>
    <m/>
    <m/>
    <m/>
    <m/>
  </r>
  <r>
    <n v="742"/>
    <d v="2025-03-22T00:00:00"/>
    <s v="ZBTO"/>
    <n v="9518624222"/>
    <n v="5"/>
    <s v="9518624222-5"/>
    <s v="No Priority"/>
    <x v="0"/>
    <m/>
    <x v="1"/>
    <x v="1"/>
    <s v="2000-BPRS"/>
    <m/>
    <x v="0"/>
    <m/>
    <m/>
    <m/>
    <s v="North"/>
    <s v="ZOSOLA"/>
    <m/>
    <n v="184986"/>
    <s v="SWASTIK STEEL PROCESSOR LLP"/>
    <n v="2390540"/>
    <s v="CRCA COIL TATXXD AU03 1.800X1250"/>
    <s v=" "/>
    <s v=""/>
    <n v="15"/>
    <n v="29"/>
    <m/>
    <s v="C01"/>
    <s v="TATXXD"/>
    <s v="AU03"/>
    <n v="1.8"/>
    <n v="1250"/>
    <n v="0"/>
    <n v="58"/>
    <n v="0"/>
    <n v="58"/>
    <n v="58"/>
    <n v="35.019999999999996"/>
    <n v="58"/>
    <n v="0"/>
    <n v="0"/>
    <n v="0"/>
    <n v="0"/>
    <n v="0"/>
    <n v="0"/>
    <n v="0"/>
    <n v="0"/>
    <n v="0"/>
    <n v="0"/>
    <n v="0"/>
    <n v="0"/>
    <n v="0"/>
    <n v="22.98"/>
    <n v="0"/>
    <n v="0"/>
    <n v="0"/>
    <n v="0"/>
    <n v="0"/>
    <n v="22.98"/>
    <n v="22.98"/>
    <n v="0"/>
    <n v="22.98"/>
    <m/>
    <n v="0"/>
    <n v="0"/>
    <n v="0"/>
    <n v="0"/>
    <n v="0"/>
    <n v="0"/>
    <n v="0"/>
    <n v="0"/>
    <n v="0"/>
    <n v="0"/>
    <n v="0"/>
    <n v="0"/>
    <n v="0"/>
    <m/>
    <m/>
    <m/>
    <m/>
    <m/>
    <m/>
    <m/>
    <m/>
    <m/>
    <m/>
    <m/>
    <m/>
    <m/>
    <m/>
    <m/>
    <m/>
    <m/>
    <m/>
    <m/>
    <m/>
    <m/>
    <m/>
    <m/>
    <m/>
    <m/>
    <m/>
    <m/>
    <m/>
    <m/>
    <m/>
    <m/>
    <m/>
    <m/>
    <m/>
    <m/>
  </r>
  <r>
    <n v="742"/>
    <d v="2025-03-28T00:00:00"/>
    <s v="ZBTO"/>
    <n v="9518649334"/>
    <n v="1"/>
    <s v="9518649334-1"/>
    <s v="No Priority"/>
    <x v="0"/>
    <m/>
    <x v="0"/>
    <x v="0"/>
    <s v="2000-BPRS"/>
    <m/>
    <x v="0"/>
    <m/>
    <m/>
    <m/>
    <s v="North"/>
    <s v="FARIDABAD"/>
    <m/>
    <n v="936528"/>
    <s v="SHORI LAL KEWAL KUMAR"/>
    <n v="1179966"/>
    <s v="HR COILS-PO IS 10748 GR 1 2X1250"/>
    <s v=" "/>
    <s v=""/>
    <n v="17"/>
    <n v="28.4"/>
    <m/>
    <n v="768"/>
    <s v="I09497"/>
    <s v="HG01"/>
    <n v="2"/>
    <n v="1250"/>
    <n v="0"/>
    <n v="149.99"/>
    <n v="0"/>
    <n v="149.99"/>
    <n v="121.66"/>
    <n v="121.28"/>
    <n v="-0.01"/>
    <n v="0"/>
    <n v="0"/>
    <n v="28.71"/>
    <n v="0"/>
    <n v="0"/>
    <n v="0"/>
    <n v="0"/>
    <n v="0"/>
    <n v="0"/>
    <n v="0"/>
    <n v="0"/>
    <n v="0"/>
    <n v="0"/>
    <n v="0"/>
    <n v="0"/>
    <n v="0"/>
    <n v="0"/>
    <n v="0"/>
    <n v="0"/>
    <n v="28.71"/>
    <n v="28.71"/>
    <n v="0"/>
    <n v="28.71"/>
    <m/>
    <n v="0"/>
    <n v="0"/>
    <n v="0"/>
    <n v="0"/>
    <n v="0"/>
    <n v="0"/>
    <n v="0"/>
    <n v="0"/>
    <n v="0"/>
    <n v="0"/>
    <n v="0"/>
    <n v="0"/>
    <n v="0"/>
    <m/>
    <m/>
    <m/>
    <m/>
    <m/>
    <m/>
    <m/>
    <m/>
    <m/>
    <m/>
    <m/>
    <m/>
    <m/>
    <m/>
    <m/>
    <m/>
    <m/>
    <m/>
    <m/>
    <m/>
    <m/>
    <m/>
    <m/>
    <m/>
    <m/>
    <m/>
    <m/>
    <m/>
    <m/>
    <m/>
    <m/>
    <m/>
    <m/>
    <m/>
    <m/>
  </r>
  <r>
    <n v="742"/>
    <d v="2025-03-28T00:00:00"/>
    <s v="ZBTO"/>
    <n v="9518649334"/>
    <n v="2"/>
    <s v="9518649334-2"/>
    <s v="No Priority"/>
    <x v="0"/>
    <m/>
    <x v="0"/>
    <x v="0"/>
    <s v="2000-BPRS"/>
    <m/>
    <x v="0"/>
    <m/>
    <m/>
    <m/>
    <s v="North"/>
    <s v="FARIDABAD"/>
    <m/>
    <n v="936528"/>
    <s v="SHORI LAL KEWAL KUMAR"/>
    <n v="1247912"/>
    <s v="HR COILS-PO IS 10748 GR 1 2.20X1250"/>
    <s v=" "/>
    <s v=""/>
    <n v="17"/>
    <n v="26"/>
    <m/>
    <n v="768"/>
    <s v="I09497"/>
    <s v="HG01"/>
    <n v="2.2000000000000002"/>
    <n v="1250"/>
    <n v="0"/>
    <n v="50"/>
    <n v="0"/>
    <n v="50"/>
    <n v="50"/>
    <n v="50"/>
    <n v="0"/>
    <n v="0"/>
    <n v="0"/>
    <n v="0"/>
    <n v="0"/>
    <n v="0"/>
    <n v="0"/>
    <n v="0"/>
    <n v="0"/>
    <n v="0"/>
    <n v="0"/>
    <n v="0"/>
    <n v="0"/>
    <n v="0"/>
    <n v="0"/>
    <n v="0"/>
    <n v="0"/>
    <n v="0"/>
    <n v="0"/>
    <n v="0"/>
    <n v="0"/>
    <n v="0"/>
    <n v="0"/>
    <n v="0"/>
    <m/>
    <n v="0"/>
    <n v="0"/>
    <n v="0"/>
    <n v="0"/>
    <n v="0"/>
    <n v="0"/>
    <n v="0"/>
    <n v="0"/>
    <n v="0"/>
    <n v="0"/>
    <n v="0"/>
    <n v="0"/>
    <n v="0"/>
    <m/>
    <m/>
    <m/>
    <m/>
    <m/>
    <m/>
    <m/>
    <m/>
    <m/>
    <m/>
    <m/>
    <m/>
    <m/>
    <m/>
    <m/>
    <m/>
    <m/>
    <m/>
    <m/>
    <m/>
    <m/>
    <m/>
    <m/>
    <m/>
    <m/>
    <m/>
    <m/>
    <m/>
    <m/>
    <m/>
    <m/>
    <m/>
    <m/>
    <m/>
    <m/>
  </r>
  <r>
    <n v="744"/>
    <d v="2025-03-29T00:00:00"/>
    <s v="ZBTO"/>
    <n v="9518651680"/>
    <n v="1"/>
    <s v="9518651680-1"/>
    <s v="May'25"/>
    <x v="0"/>
    <m/>
    <x v="2"/>
    <x v="3"/>
    <s v="1000-IPPE"/>
    <m/>
    <x v="1"/>
    <m/>
    <m/>
    <m/>
    <s v="TBSPL"/>
    <s v="GAMHARIA"/>
    <m/>
    <n v="940016"/>
    <s v="TATA BLUESCOPE STEEL PVT LTD."/>
    <n v="3879501"/>
    <s v="PPGL C Y550 ISC6 0.45BMT(0.50TPT)X1220"/>
    <s v="aZ70"/>
    <s v="PRO BLUE TSL 1913"/>
    <n v="3"/>
    <n v="5"/>
    <m/>
    <s v="B18"/>
    <s v="Y550PL"/>
    <s v="ISC6"/>
    <n v="0.45"/>
    <n v="1220"/>
    <n v="0"/>
    <n v="56"/>
    <n v="3.7749999999999999"/>
    <n v="52.225000000000001"/>
    <n v="52.225000000000001"/>
    <n v="52.225000000000001"/>
    <n v="52.225000000000001"/>
    <n v="0"/>
    <n v="0"/>
    <n v="0"/>
    <n v="0"/>
    <n v="0"/>
    <n v="0"/>
    <n v="0"/>
    <n v="0"/>
    <n v="0"/>
    <n v="0"/>
    <n v="0"/>
    <n v="0"/>
    <n v="0"/>
    <n v="0"/>
    <n v="0"/>
    <n v="0"/>
    <n v="0"/>
    <n v="0"/>
    <n v="0"/>
    <n v="0"/>
    <n v="0"/>
    <n v="0"/>
    <n v="0"/>
    <m/>
    <n v="0"/>
    <n v="52.225000000000001"/>
    <n v="0"/>
    <n v="0"/>
    <n v="52.225000000000001"/>
    <n v="0"/>
    <n v="0"/>
    <n v="0"/>
    <n v="0"/>
    <n v="0"/>
    <n v="0"/>
    <n v="0"/>
    <n v="0"/>
    <m/>
    <m/>
    <m/>
    <m/>
    <m/>
    <m/>
    <m/>
    <m/>
    <m/>
    <m/>
    <m/>
    <m/>
    <m/>
    <m/>
    <m/>
    <m/>
    <m/>
    <m/>
    <m/>
    <m/>
    <m/>
    <m/>
    <m/>
    <m/>
    <m/>
    <m/>
    <m/>
    <m/>
    <m/>
    <m/>
    <m/>
    <m/>
    <m/>
    <m/>
    <m/>
  </r>
  <r>
    <n v="744"/>
    <d v="2025-03-29T00:00:00"/>
    <s v="ZBTO"/>
    <n v="9518651680"/>
    <n v="2"/>
    <s v="9518651680-2"/>
    <s v="May'25"/>
    <x v="0"/>
    <m/>
    <x v="2"/>
    <x v="3"/>
    <s v="1000-IPPE"/>
    <m/>
    <x v="1"/>
    <m/>
    <m/>
    <m/>
    <s v="TBSPL"/>
    <s v="GAMHARIA"/>
    <m/>
    <n v="940016"/>
    <s v="TATA BLUESCOPE STEEL PVT LTD."/>
    <n v="3797658"/>
    <s v="PPGL C Y550 ISC6 0.40BMT(0.45TPT)X1220"/>
    <s v="aZ70"/>
    <s v="PRO BLUE TSL 1913"/>
    <n v="3"/>
    <n v="5"/>
    <m/>
    <s v="B18"/>
    <s v="Y550PL"/>
    <s v="ISC6"/>
    <n v="0.4"/>
    <n v="1220"/>
    <n v="0"/>
    <n v="224"/>
    <n v="0"/>
    <n v="224"/>
    <n v="224"/>
    <n v="155.94"/>
    <n v="21.07"/>
    <n v="0"/>
    <n v="0"/>
    <n v="0"/>
    <n v="0"/>
    <n v="0"/>
    <n v="0"/>
    <n v="0"/>
    <n v="2.2150000000000003"/>
    <n v="0"/>
    <n v="17.990000000000002"/>
    <n v="0"/>
    <n v="0"/>
    <n v="0"/>
    <n v="0"/>
    <n v="0"/>
    <n v="43.185000000000002"/>
    <n v="0"/>
    <n v="0"/>
    <n v="4.67"/>
    <n v="68.06"/>
    <n v="68.06"/>
    <n v="0"/>
    <n v="68.06"/>
    <m/>
    <n v="57.394999999999996"/>
    <n v="21.07"/>
    <n v="0"/>
    <n v="21.07"/>
    <n v="0"/>
    <n v="0"/>
    <n v="0"/>
    <n v="21.07"/>
    <n v="0"/>
    <n v="21.07"/>
    <n v="0"/>
    <n v="0"/>
    <n v="0"/>
    <m/>
    <m/>
    <m/>
    <m/>
    <m/>
    <m/>
    <m/>
    <m/>
    <m/>
    <m/>
    <m/>
    <m/>
    <m/>
    <m/>
    <m/>
    <m/>
    <m/>
    <m/>
    <m/>
    <m/>
    <m/>
    <m/>
    <m/>
    <m/>
    <m/>
    <m/>
    <m/>
    <m/>
    <m/>
    <m/>
    <m/>
    <m/>
    <m/>
    <m/>
    <m/>
  </r>
  <r>
    <n v="744"/>
    <d v="2025-04-08T00:00:00"/>
    <s v="ZBTO"/>
    <n v="9518677543"/>
    <n v="1"/>
    <s v="9518677543-1"/>
    <s v="May'25"/>
    <x v="0"/>
    <m/>
    <x v="2"/>
    <x v="3"/>
    <s v="1000-IPPE"/>
    <m/>
    <x v="1"/>
    <m/>
    <m/>
    <m/>
    <s v="TBSPL"/>
    <s v=" "/>
    <m/>
    <n v="941597"/>
    <s v="TATA BLUESCOPE STEEL PRIVATE LIMITE"/>
    <n v="3974072"/>
    <s v="PPGL C HARD Y550PL SXO1 0.53(TPT)X1220"/>
    <s v="AZ150"/>
    <s v="RAL 9002 TSL 2101"/>
    <n v="2"/>
    <n v="5"/>
    <m/>
    <s v="B18"/>
    <s v="Y550PL"/>
    <s v="SXO1"/>
    <n v="0.53"/>
    <n v="1220"/>
    <n v="0"/>
    <n v="279.99"/>
    <n v="58.45"/>
    <n v="221.54"/>
    <n v="202.72499999999999"/>
    <n v="221.54"/>
    <n v="213.255"/>
    <n v="0"/>
    <n v="0"/>
    <n v="0"/>
    <n v="0"/>
    <n v="0"/>
    <n v="0"/>
    <n v="0"/>
    <n v="0"/>
    <n v="0"/>
    <n v="0"/>
    <n v="0"/>
    <n v="0"/>
    <n v="0"/>
    <n v="0"/>
    <n v="0"/>
    <n v="0"/>
    <n v="0"/>
    <n v="0"/>
    <n v="0"/>
    <n v="0"/>
    <n v="0"/>
    <n v="0"/>
    <n v="0"/>
    <m/>
    <n v="0"/>
    <n v="213.255"/>
    <n v="0"/>
    <n v="0"/>
    <n v="213.255"/>
    <n v="0"/>
    <n v="0"/>
    <n v="0"/>
    <n v="0"/>
    <n v="0"/>
    <n v="0"/>
    <n v="0"/>
    <n v="0"/>
    <m/>
    <m/>
    <m/>
    <m/>
    <m/>
    <m/>
    <m/>
    <m/>
    <m/>
    <m/>
    <m/>
    <m/>
    <m/>
    <m/>
    <m/>
    <m/>
    <m/>
    <m/>
    <m/>
    <m/>
    <m/>
    <m/>
    <m/>
    <m/>
    <m/>
    <m/>
    <m/>
    <m/>
    <m/>
    <m/>
    <m/>
    <m/>
    <m/>
    <m/>
    <m/>
  </r>
  <r>
    <n v="743"/>
    <d v="2025-04-14T00:00:00"/>
    <s v="ZBTO"/>
    <n v="9518692220"/>
    <n v="13"/>
    <s v="9518692220-13"/>
    <s v="No Priority"/>
    <x v="0"/>
    <m/>
    <x v="3"/>
    <x v="14"/>
    <s v="2000-BPRS"/>
    <m/>
    <x v="0"/>
    <m/>
    <m/>
    <m/>
    <s v="East"/>
    <s v=" "/>
    <m/>
    <n v="121328"/>
    <s v="R. S. BOKARO METAL (P) LTD."/>
    <n v="1300228"/>
    <s v="GP COIL SOFT-TATXGP-GLK1-0.5X1220"/>
    <s v="Z80"/>
    <s v=""/>
    <n v="4"/>
    <n v="12"/>
    <m/>
    <s v="C02"/>
    <s v="TATXGP"/>
    <s v="GLK1"/>
    <n v="0.5"/>
    <n v="1220"/>
    <n v="0"/>
    <n v="84"/>
    <n v="0"/>
    <n v="84"/>
    <n v="84"/>
    <n v="0"/>
    <n v="84"/>
    <n v="0"/>
    <n v="0"/>
    <n v="0"/>
    <n v="0"/>
    <n v="0"/>
    <n v="0"/>
    <n v="0"/>
    <n v="0"/>
    <n v="0"/>
    <n v="0"/>
    <n v="0"/>
    <n v="0"/>
    <n v="0"/>
    <n v="0"/>
    <n v="0"/>
    <n v="0"/>
    <n v="0"/>
    <n v="0"/>
    <n v="0"/>
    <n v="0"/>
    <n v="0"/>
    <n v="84"/>
    <n v="84"/>
    <m/>
    <n v="0"/>
    <n v="0"/>
    <n v="0"/>
    <n v="0"/>
    <n v="0"/>
    <n v="0"/>
    <n v="0"/>
    <n v="0"/>
    <n v="0"/>
    <n v="0"/>
    <n v="0"/>
    <n v="0"/>
    <n v="0"/>
    <m/>
    <m/>
    <m/>
    <m/>
    <m/>
    <m/>
    <m/>
    <m/>
    <m/>
    <m/>
    <m/>
    <m/>
    <m/>
    <m/>
    <m/>
    <m/>
    <m/>
    <m/>
    <m/>
    <m/>
    <m/>
    <m/>
    <m/>
    <m/>
    <m/>
    <m/>
    <m/>
    <m/>
    <m/>
    <m/>
    <m/>
    <m/>
    <m/>
    <m/>
    <m/>
  </r>
  <r>
    <n v="743"/>
    <d v="2025-04-14T00:00:00"/>
    <s v="ZBTO"/>
    <n v="9518692220"/>
    <n v="6"/>
    <s v="9518692220-6"/>
    <s v="No Priority"/>
    <x v="0"/>
    <m/>
    <x v="3"/>
    <x v="9"/>
    <s v="2000-BPRS"/>
    <m/>
    <x v="1"/>
    <m/>
    <m/>
    <m/>
    <s v="East"/>
    <s v=" "/>
    <m/>
    <n v="121328"/>
    <s v="R. S. BOKARO METAL (P) LTD."/>
    <n v="1178439"/>
    <s v="GP COIL SOFT-TATXGP-GK09-0.4X900"/>
    <s v="Z80"/>
    <s v=""/>
    <n v="4"/>
    <n v="12"/>
    <m/>
    <s v="C02"/>
    <s v="TATXGP"/>
    <s v="GK09"/>
    <n v="0.4"/>
    <n v="900"/>
    <n v="0"/>
    <n v="147"/>
    <n v="0"/>
    <n v="147"/>
    <n v="147"/>
    <n v="147"/>
    <n v="147"/>
    <n v="0"/>
    <n v="0"/>
    <n v="0"/>
    <n v="0"/>
    <n v="0"/>
    <n v="0"/>
    <n v="0"/>
    <n v="0"/>
    <n v="0"/>
    <n v="0"/>
    <n v="0"/>
    <n v="0"/>
    <n v="0"/>
    <n v="0"/>
    <n v="0"/>
    <n v="0"/>
    <n v="0"/>
    <n v="0"/>
    <n v="0"/>
    <n v="0"/>
    <n v="0"/>
    <n v="0"/>
    <n v="0"/>
    <m/>
    <n v="0"/>
    <n v="147"/>
    <n v="0"/>
    <n v="0"/>
    <n v="147"/>
    <n v="0"/>
    <n v="0"/>
    <n v="0"/>
    <n v="0"/>
    <n v="0"/>
    <n v="0"/>
    <n v="0"/>
    <n v="0"/>
    <m/>
    <m/>
    <m/>
    <m/>
    <m/>
    <m/>
    <m/>
    <m/>
    <m/>
    <m/>
    <m/>
    <m/>
    <m/>
    <m/>
    <m/>
    <m/>
    <m/>
    <m/>
    <m/>
    <m/>
    <m/>
    <m/>
    <m/>
    <m/>
    <m/>
    <m/>
    <m/>
    <m/>
    <m/>
    <m/>
    <m/>
    <m/>
    <m/>
    <m/>
    <m/>
  </r>
  <r>
    <n v="743"/>
    <d v="2025-04-15T00:00:00"/>
    <s v="ZBTO"/>
    <n v="9518694054"/>
    <n v="3"/>
    <s v="9518694054-3"/>
    <s v="No Priority"/>
    <x v="0"/>
    <m/>
    <x v="3"/>
    <x v="9"/>
    <s v="2000-BPRS"/>
    <m/>
    <x v="1"/>
    <m/>
    <m/>
    <m/>
    <s v="East"/>
    <s v="PATNA"/>
    <m/>
    <n v="103227"/>
    <s v="BMW VENTURES LIMITED"/>
    <n v="1178439"/>
    <s v="GP COIL SOFT-TATXGP-GK09-0.4X900"/>
    <s v="Z80"/>
    <s v=""/>
    <n v="2"/>
    <n v="6"/>
    <m/>
    <s v="C02"/>
    <s v="TATXGP"/>
    <s v="GK09"/>
    <n v="0.4"/>
    <n v="900"/>
    <n v="0"/>
    <n v="294"/>
    <n v="0"/>
    <n v="294"/>
    <n v="294"/>
    <n v="294"/>
    <n v="294"/>
    <n v="0"/>
    <n v="0"/>
    <n v="0"/>
    <n v="0"/>
    <n v="0"/>
    <n v="0"/>
    <n v="0"/>
    <n v="0"/>
    <n v="0"/>
    <n v="0"/>
    <n v="0"/>
    <n v="0"/>
    <n v="0"/>
    <n v="0"/>
    <n v="0"/>
    <n v="0"/>
    <n v="0"/>
    <n v="0"/>
    <n v="0"/>
    <n v="0"/>
    <n v="0"/>
    <n v="0"/>
    <n v="0"/>
    <m/>
    <n v="0"/>
    <n v="294"/>
    <n v="0"/>
    <n v="0"/>
    <n v="0"/>
    <n v="0"/>
    <n v="294"/>
    <n v="0"/>
    <n v="0"/>
    <n v="0"/>
    <n v="0"/>
    <n v="0"/>
    <n v="0"/>
    <m/>
    <m/>
    <m/>
    <m/>
    <m/>
    <m/>
    <m/>
    <m/>
    <m/>
    <m/>
    <m/>
    <m/>
    <m/>
    <m/>
    <m/>
    <m/>
    <m/>
    <m/>
    <m/>
    <m/>
    <m/>
    <m/>
    <m/>
    <m/>
    <m/>
    <m/>
    <m/>
    <m/>
    <m/>
    <m/>
    <m/>
    <m/>
    <m/>
    <m/>
    <m/>
  </r>
  <r>
    <n v="743"/>
    <d v="2025-04-15T00:00:00"/>
    <s v="ZBTO"/>
    <n v="9518694174"/>
    <n v="1"/>
    <s v="9518694174-1"/>
    <s v="May'25"/>
    <x v="0"/>
    <m/>
    <x v="3"/>
    <x v="14"/>
    <s v="2000-BPRS"/>
    <m/>
    <x v="1"/>
    <m/>
    <m/>
    <m/>
    <s v="East"/>
    <s v="PATNA"/>
    <m/>
    <n v="103227"/>
    <s v="BMW VENTURES LIMITED"/>
    <n v="1854410"/>
    <s v="GP COIL SOFT-TATXGP-GK09-0.4X1220"/>
    <s v="Z80"/>
    <s v=""/>
    <n v="2"/>
    <n v="6"/>
    <m/>
    <s v="C02"/>
    <s v="TATXGP"/>
    <s v="GK09"/>
    <n v="0.4"/>
    <n v="1220"/>
    <n v="0"/>
    <n v="84"/>
    <n v="0"/>
    <n v="84"/>
    <n v="84"/>
    <n v="84"/>
    <n v="84"/>
    <n v="0"/>
    <n v="0"/>
    <n v="0"/>
    <n v="0"/>
    <n v="0"/>
    <n v="0"/>
    <n v="0"/>
    <n v="0"/>
    <n v="0"/>
    <n v="0"/>
    <n v="0"/>
    <n v="0"/>
    <n v="0"/>
    <n v="0"/>
    <n v="0"/>
    <n v="0"/>
    <n v="0"/>
    <n v="0"/>
    <n v="0"/>
    <n v="0"/>
    <n v="0"/>
    <n v="0"/>
    <n v="0"/>
    <m/>
    <n v="0"/>
    <n v="84"/>
    <n v="0"/>
    <n v="0"/>
    <n v="84"/>
    <n v="0"/>
    <n v="0"/>
    <n v="0"/>
    <n v="0"/>
    <n v="0"/>
    <n v="0"/>
    <n v="0"/>
    <n v="0"/>
    <m/>
    <m/>
    <m/>
    <m/>
    <m/>
    <m/>
    <m/>
    <m/>
    <m/>
    <m/>
    <m/>
    <m/>
    <m/>
    <m/>
    <m/>
    <m/>
    <m/>
    <m/>
    <m/>
    <m/>
    <m/>
    <m/>
    <m/>
    <m/>
    <m/>
    <m/>
    <m/>
    <m/>
    <m/>
    <m/>
    <m/>
    <m/>
    <m/>
    <m/>
    <m/>
  </r>
  <r>
    <n v="743"/>
    <d v="2025-04-15T00:00:00"/>
    <s v="ZBTO"/>
    <n v="9518694174"/>
    <n v="2"/>
    <s v="9518694174-2"/>
    <s v="May'25"/>
    <x v="0"/>
    <m/>
    <x v="3"/>
    <x v="14"/>
    <s v="2000-BPRS"/>
    <m/>
    <x v="1"/>
    <m/>
    <m/>
    <m/>
    <s v="East"/>
    <s v="PATNA"/>
    <m/>
    <n v="103227"/>
    <s v="BMW VENTURES LIMITED"/>
    <n v="1851101"/>
    <s v="GP COIL SOFT-TATXGP-GK09-0.5X1220"/>
    <s v="Z80"/>
    <s v=""/>
    <n v="2"/>
    <n v="4"/>
    <m/>
    <s v="C02"/>
    <s v="TATXGP"/>
    <s v="GK09"/>
    <n v="0.5"/>
    <n v="1220"/>
    <n v="0"/>
    <n v="112"/>
    <n v="0"/>
    <n v="112"/>
    <n v="112"/>
    <n v="112"/>
    <n v="112"/>
    <n v="0"/>
    <n v="0"/>
    <n v="0"/>
    <n v="0"/>
    <n v="0"/>
    <n v="0"/>
    <n v="0"/>
    <n v="0"/>
    <n v="0"/>
    <n v="0"/>
    <n v="0"/>
    <n v="0"/>
    <n v="0"/>
    <n v="0"/>
    <n v="0"/>
    <n v="0"/>
    <n v="0"/>
    <n v="0"/>
    <n v="0"/>
    <n v="0"/>
    <n v="0"/>
    <n v="0"/>
    <n v="0"/>
    <m/>
    <n v="0"/>
    <n v="112"/>
    <n v="0"/>
    <n v="0"/>
    <n v="112"/>
    <n v="0"/>
    <n v="0"/>
    <n v="0"/>
    <n v="0"/>
    <n v="0"/>
    <n v="0"/>
    <n v="0"/>
    <n v="0"/>
    <m/>
    <m/>
    <m/>
    <m/>
    <m/>
    <m/>
    <m/>
    <m/>
    <m/>
    <m/>
    <m/>
    <m/>
    <m/>
    <m/>
    <m/>
    <m/>
    <m/>
    <m/>
    <m/>
    <m/>
    <m/>
    <m/>
    <m/>
    <m/>
    <m/>
    <m/>
    <m/>
    <m/>
    <m/>
    <m/>
    <m/>
    <m/>
    <m/>
    <m/>
    <m/>
  </r>
  <r>
    <n v="743"/>
    <d v="2025-04-15T00:00:00"/>
    <s v="ZBTO"/>
    <n v="9518694174"/>
    <n v="3"/>
    <s v="9518694174-3"/>
    <s v="May'25"/>
    <x v="0"/>
    <m/>
    <x v="3"/>
    <x v="14"/>
    <s v="2000-BPRS"/>
    <m/>
    <x v="1"/>
    <m/>
    <m/>
    <m/>
    <s v="East"/>
    <s v="PATNA"/>
    <m/>
    <n v="103227"/>
    <s v="BMW VENTURES LIMITED"/>
    <n v="1334725"/>
    <s v="GP COIL SOFT-TATXGP-GK09-0.6X1220"/>
    <s v="Z80"/>
    <s v=""/>
    <n v="2"/>
    <n v="4"/>
    <m/>
    <s v="C02"/>
    <s v="TATXGP"/>
    <s v="GK09"/>
    <n v="0.6"/>
    <n v="1220"/>
    <n v="0"/>
    <n v="112"/>
    <n v="0"/>
    <n v="112"/>
    <n v="112"/>
    <n v="-1.9000000000000057"/>
    <n v="112"/>
    <n v="0"/>
    <n v="0"/>
    <n v="113.9"/>
    <n v="0"/>
    <n v="0"/>
    <n v="0"/>
    <n v="0"/>
    <n v="0"/>
    <n v="0"/>
    <n v="0"/>
    <n v="0"/>
    <n v="0"/>
    <n v="0"/>
    <n v="0"/>
    <n v="0"/>
    <n v="0"/>
    <n v="0"/>
    <n v="0"/>
    <n v="0"/>
    <n v="113.9"/>
    <n v="113.9"/>
    <n v="0"/>
    <n v="113.9"/>
    <m/>
    <n v="0"/>
    <n v="112"/>
    <n v="0"/>
    <n v="112"/>
    <n v="0"/>
    <n v="0"/>
    <n v="0"/>
    <n v="112"/>
    <n v="0"/>
    <n v="112"/>
    <n v="0"/>
    <n v="0"/>
    <n v="0"/>
    <m/>
    <m/>
    <m/>
    <m/>
    <m/>
    <m/>
    <m/>
    <m/>
    <m/>
    <m/>
    <m/>
    <m/>
    <m/>
    <m/>
    <m/>
    <m/>
    <m/>
    <m/>
    <m/>
    <m/>
    <m/>
    <m/>
    <m/>
    <m/>
    <m/>
    <m/>
    <m/>
    <m/>
    <m/>
    <m/>
    <m/>
    <m/>
    <m/>
    <m/>
    <m/>
  </r>
  <r>
    <n v="744"/>
    <d v="2025-03-31T00:00:00"/>
    <s v="ZBTO"/>
    <n v="9518660695"/>
    <n v="1"/>
    <s v="9518660695-1"/>
    <s v="Stocks"/>
    <x v="0"/>
    <m/>
    <x v="2"/>
    <x v="3"/>
    <s v="1000-IPPE"/>
    <m/>
    <x v="1"/>
    <m/>
    <m/>
    <m/>
    <s v="TBSPL"/>
    <s v="GAMHARIA"/>
    <m/>
    <n v="940016"/>
    <s v="TATA BLUESCOPE STEEL PVT LTD."/>
    <n v="3553033"/>
    <s v="PPGL C Y550 D0C7 0.48BMT(0.52TPT)X1220"/>
    <s v="aZ70"/>
    <s v="NUVO BLUE TSL 1903"/>
    <n v="3"/>
    <n v="5"/>
    <m/>
    <s v="B18"/>
    <s v="Y550PL"/>
    <s v="D0C7"/>
    <n v="0.48"/>
    <n v="1220"/>
    <n v="0"/>
    <n v="28"/>
    <n v="0"/>
    <n v="28"/>
    <n v="0.46"/>
    <n v="0"/>
    <n v="7.46"/>
    <n v="0"/>
    <n v="0"/>
    <n v="0"/>
    <n v="0"/>
    <n v="0"/>
    <n v="0"/>
    <n v="0"/>
    <n v="0"/>
    <n v="0"/>
    <n v="0"/>
    <n v="0"/>
    <n v="0"/>
    <n v="0"/>
    <n v="0"/>
    <n v="0"/>
    <n v="0"/>
    <n v="0"/>
    <n v="0"/>
    <n v="2.3149999999999999"/>
    <n v="2.3149999999999999"/>
    <n v="2.3149999999999999"/>
    <n v="0"/>
    <n v="2.3149999999999999"/>
    <m/>
    <n v="2.3149999999999999"/>
    <n v="0"/>
    <n v="0"/>
    <n v="0"/>
    <n v="0"/>
    <n v="0"/>
    <n v="0"/>
    <n v="0"/>
    <n v="0"/>
    <n v="0"/>
    <n v="0"/>
    <n v="0"/>
    <n v="0"/>
    <m/>
    <m/>
    <m/>
    <m/>
    <m/>
    <m/>
    <m/>
    <m/>
    <m/>
    <m/>
    <m/>
    <m/>
    <m/>
    <m/>
    <m/>
    <m/>
    <m/>
    <m/>
    <m/>
    <m/>
    <m/>
    <m/>
    <m/>
    <m/>
    <m/>
    <m/>
    <m/>
    <m/>
    <m/>
    <m/>
    <m/>
    <m/>
    <m/>
    <m/>
    <m/>
  </r>
  <r>
    <n v="742"/>
    <d v="2025-04-15T00:00:00"/>
    <s v="ZBTF"/>
    <n v="9518695452"/>
    <n v="1"/>
    <s v="9518695452-1"/>
    <s v="May'25"/>
    <x v="0"/>
    <m/>
    <x v="1"/>
    <x v="7"/>
    <s v="1000-IPPE"/>
    <m/>
    <x v="1"/>
    <m/>
    <m/>
    <m/>
    <s v="East"/>
    <s v="PILKHUWA"/>
    <m/>
    <n v="600250"/>
    <s v="TATA CENTER"/>
    <n v="3587949"/>
    <s v="CR COIL TSBSTA EL06 0.500X1250"/>
    <s v=" "/>
    <s v=""/>
    <n v="8"/>
    <n v="14"/>
    <m/>
    <s v="C01"/>
    <s v="TSBSTA"/>
    <s v="EL06"/>
    <n v="0.5"/>
    <n v="1250"/>
    <n v="0"/>
    <n v="290"/>
    <n v="0"/>
    <n v="290"/>
    <n v="290"/>
    <n v="31.090000000000032"/>
    <n v="290"/>
    <n v="0"/>
    <n v="0"/>
    <n v="201.38"/>
    <n v="57.53"/>
    <n v="0"/>
    <n v="0"/>
    <n v="0"/>
    <n v="0"/>
    <n v="0"/>
    <n v="0"/>
    <n v="0"/>
    <n v="0"/>
    <n v="0"/>
    <n v="0"/>
    <n v="0"/>
    <n v="0"/>
    <n v="0"/>
    <n v="0"/>
    <n v="0"/>
    <n v="258.90999999999997"/>
    <n v="258.90999999999997"/>
    <n v="0"/>
    <n v="258.90999999999997"/>
    <m/>
    <n v="0"/>
    <n v="290"/>
    <n v="0"/>
    <n v="0"/>
    <n v="290"/>
    <n v="0"/>
    <n v="0"/>
    <n v="0"/>
    <n v="0"/>
    <n v="0"/>
    <n v="0"/>
    <n v="0"/>
    <n v="0"/>
    <m/>
    <m/>
    <m/>
    <m/>
    <m/>
    <m/>
    <m/>
    <m/>
    <m/>
    <m/>
    <m/>
    <m/>
    <m/>
    <m/>
    <m/>
    <m/>
    <m/>
    <m/>
    <m/>
    <m/>
    <m/>
    <m/>
    <m/>
    <m/>
    <m/>
    <m/>
    <m/>
    <m/>
    <m/>
    <m/>
    <m/>
    <m/>
    <m/>
    <m/>
    <m/>
  </r>
  <r>
    <n v="743"/>
    <d v="2025-04-14T00:00:00"/>
    <s v="ZBTO"/>
    <n v="9518692103"/>
    <n v="7"/>
    <s v="9518692103-7"/>
    <s v="No Priority"/>
    <x v="0"/>
    <m/>
    <x v="3"/>
    <x v="9"/>
    <s v="2000-BPRS"/>
    <m/>
    <x v="0"/>
    <m/>
    <m/>
    <m/>
    <s v="East"/>
    <s v="WEST BOKARO"/>
    <m/>
    <n v="185794"/>
    <s v="Shree Bajrang Steel Udyog"/>
    <n v="1854413"/>
    <s v="GP COIL SOFT-TATXGP-GK09-0.45X900"/>
    <s v="Z80"/>
    <s v=""/>
    <n v="4"/>
    <n v="12"/>
    <m/>
    <s v="C02"/>
    <s v="TATXGP"/>
    <s v="GK09"/>
    <n v="0.4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13"/>
    <s v="9518692103-13"/>
    <s v="May'25"/>
    <x v="0"/>
    <m/>
    <x v="3"/>
    <x v="14"/>
    <s v="2000-BPRS"/>
    <m/>
    <x v="1"/>
    <m/>
    <m/>
    <m/>
    <s v="East"/>
    <s v="WEST BOKARO"/>
    <m/>
    <n v="185794"/>
    <s v="Shree Bajrang Steel Udyog"/>
    <n v="1300229"/>
    <s v="GP COIL SOFT-TATXGP-GLK1-0.4X1220"/>
    <s v="Z80"/>
    <s v=""/>
    <n v="4"/>
    <n v="12"/>
    <m/>
    <s v="C02"/>
    <s v="TATXGP"/>
    <s v="GLK1"/>
    <n v="0.4"/>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3"/>
    <d v="2025-04-14T00:00:00"/>
    <s v="ZBTO"/>
    <n v="9518692103"/>
    <n v="14"/>
    <s v="9518692103-14"/>
    <s v="May'25"/>
    <x v="0"/>
    <m/>
    <x v="3"/>
    <x v="14"/>
    <s v="2000-BPRS"/>
    <m/>
    <x v="1"/>
    <m/>
    <m/>
    <m/>
    <s v="East"/>
    <s v="WEST BOKARO"/>
    <m/>
    <n v="185794"/>
    <s v="Shree Bajrang Steel Udyog"/>
    <n v="1300228"/>
    <s v="GP COIL SOFT-TATXGP-GLK1-0.5X1220"/>
    <s v="Z80"/>
    <s v=""/>
    <n v="4"/>
    <n v="12"/>
    <m/>
    <s v="C02"/>
    <s v="TATXGP"/>
    <s v="GLK1"/>
    <n v="0.5"/>
    <n v="1220"/>
    <n v="0"/>
    <n v="56"/>
    <n v="0"/>
    <n v="56"/>
    <n v="56"/>
    <n v="56"/>
    <n v="56"/>
    <n v="0"/>
    <n v="0"/>
    <n v="0"/>
    <n v="0"/>
    <n v="0"/>
    <n v="0"/>
    <n v="0"/>
    <n v="0"/>
    <n v="0"/>
    <n v="0"/>
    <n v="0"/>
    <n v="0"/>
    <n v="0"/>
    <n v="0"/>
    <n v="0"/>
    <n v="0"/>
    <n v="0"/>
    <n v="0"/>
    <n v="0"/>
    <n v="0"/>
    <n v="0"/>
    <n v="0"/>
    <n v="0"/>
    <m/>
    <n v="0"/>
    <n v="56"/>
    <n v="0"/>
    <n v="0"/>
    <n v="56"/>
    <n v="0"/>
    <n v="0"/>
    <n v="0"/>
    <n v="0"/>
    <n v="0"/>
    <n v="0"/>
    <n v="0"/>
    <n v="0"/>
    <m/>
    <m/>
    <m/>
    <m/>
    <m/>
    <m/>
    <m/>
    <m/>
    <m/>
    <m/>
    <m/>
    <m/>
    <m/>
    <m/>
    <m/>
    <m/>
    <m/>
    <m/>
    <m/>
    <m/>
    <m/>
    <m/>
    <m/>
    <m/>
    <m/>
    <m/>
    <m/>
    <m/>
    <m/>
    <m/>
    <m/>
    <m/>
    <m/>
    <m/>
    <m/>
  </r>
  <r>
    <n v="743"/>
    <d v="2025-04-14T00:00:00"/>
    <s v="ZBTO"/>
    <n v="9518692103"/>
    <n v="15"/>
    <s v="9518692103-15"/>
    <s v="May'25"/>
    <x v="0"/>
    <m/>
    <x v="3"/>
    <x v="14"/>
    <s v="2000-BPRS"/>
    <m/>
    <x v="1"/>
    <m/>
    <m/>
    <m/>
    <s v="East"/>
    <s v="WEST BOKARO"/>
    <m/>
    <n v="185794"/>
    <s v="Shree Bajrang Steel Udyog"/>
    <n v="1300227"/>
    <s v="GP COIL SOFT-TATXGP-GLK1-0.6X1220"/>
    <s v="Z80"/>
    <s v=""/>
    <n v="4"/>
    <n v="12"/>
    <m/>
    <s v="C02"/>
    <s v="TATXGP"/>
    <s v="GLK1"/>
    <n v="0.6"/>
    <n v="1220"/>
    <n v="0"/>
    <n v="56"/>
    <n v="0"/>
    <n v="56"/>
    <n v="56"/>
    <n v="56"/>
    <n v="56"/>
    <n v="0"/>
    <n v="0"/>
    <n v="0"/>
    <n v="0"/>
    <n v="0"/>
    <n v="0"/>
    <n v="0"/>
    <n v="0"/>
    <n v="0"/>
    <n v="0"/>
    <n v="0"/>
    <n v="0"/>
    <n v="0"/>
    <n v="0"/>
    <n v="0"/>
    <n v="0"/>
    <n v="0"/>
    <n v="0"/>
    <n v="0"/>
    <n v="0"/>
    <n v="0"/>
    <n v="0"/>
    <n v="0"/>
    <m/>
    <n v="0"/>
    <n v="56"/>
    <n v="0"/>
    <n v="0"/>
    <n v="56"/>
    <n v="0"/>
    <n v="0"/>
    <n v="0"/>
    <n v="0"/>
    <n v="0"/>
    <n v="0"/>
    <n v="0"/>
    <n v="0"/>
    <m/>
    <m/>
    <m/>
    <m/>
    <m/>
    <m/>
    <m/>
    <m/>
    <m/>
    <m/>
    <m/>
    <m/>
    <m/>
    <m/>
    <m/>
    <m/>
    <m/>
    <m/>
    <m/>
    <m/>
    <m/>
    <m/>
    <m/>
    <m/>
    <m/>
    <m/>
    <m/>
    <m/>
    <m/>
    <m/>
    <m/>
    <m/>
    <m/>
    <m/>
    <m/>
  </r>
  <r>
    <n v="743"/>
    <d v="2025-04-15T00:00:00"/>
    <s v="ZBTO"/>
    <n v="9518694054"/>
    <n v="2"/>
    <s v="9518694054-2"/>
    <s v="No Priority"/>
    <x v="0"/>
    <m/>
    <x v="3"/>
    <x v="9"/>
    <s v="2000-BPRS"/>
    <m/>
    <x v="1"/>
    <m/>
    <m/>
    <m/>
    <s v="East"/>
    <s v="PATNA"/>
    <m/>
    <n v="103227"/>
    <s v="BMW VENTURES LIMITED"/>
    <n v="1191956"/>
    <s v="GP COIL SOFT-TATXGP-GK09-0.35X900"/>
    <s v="Z80"/>
    <s v=""/>
    <n v="2"/>
    <n v="6"/>
    <m/>
    <s v="C02"/>
    <s v="TATXGP"/>
    <s v="GK09"/>
    <n v="0.35"/>
    <n v="900"/>
    <n v="0"/>
    <n v="252"/>
    <n v="0"/>
    <n v="252"/>
    <n v="252"/>
    <n v="252"/>
    <n v="252"/>
    <n v="0"/>
    <n v="0"/>
    <n v="0"/>
    <n v="0"/>
    <n v="0"/>
    <n v="0"/>
    <n v="0"/>
    <n v="0"/>
    <n v="0"/>
    <n v="0"/>
    <n v="0"/>
    <n v="0"/>
    <n v="0"/>
    <n v="0"/>
    <n v="0"/>
    <n v="0"/>
    <n v="0"/>
    <n v="0"/>
    <n v="0"/>
    <n v="0"/>
    <n v="0"/>
    <n v="0"/>
    <n v="0"/>
    <m/>
    <n v="0"/>
    <n v="252"/>
    <n v="0"/>
    <n v="0"/>
    <n v="252"/>
    <n v="0"/>
    <n v="0"/>
    <n v="0"/>
    <n v="0"/>
    <n v="0"/>
    <n v="0"/>
    <n v="0"/>
    <n v="0"/>
    <m/>
    <m/>
    <m/>
    <m/>
    <m/>
    <m/>
    <m/>
    <m/>
    <m/>
    <m/>
    <m/>
    <m/>
    <m/>
    <m/>
    <m/>
    <m/>
    <m/>
    <m/>
    <m/>
    <m/>
    <m/>
    <m/>
    <m/>
    <m/>
    <m/>
    <m/>
    <m/>
    <m/>
    <m/>
    <m/>
    <m/>
    <m/>
    <m/>
    <m/>
    <m/>
  </r>
  <r>
    <n v="743"/>
    <d v="2025-04-15T00:00:00"/>
    <s v="ZBTO"/>
    <n v="9518694054"/>
    <n v="4"/>
    <s v="9518694054-4"/>
    <s v="No Priority"/>
    <x v="0"/>
    <m/>
    <x v="3"/>
    <x v="9"/>
    <s v="2000-BPRS"/>
    <m/>
    <x v="1"/>
    <m/>
    <m/>
    <m/>
    <s v="East"/>
    <s v="PATNA"/>
    <m/>
    <n v="103227"/>
    <s v="BMW VENTURES LIMITED"/>
    <n v="1854418"/>
    <s v="GP COIL SOFT-TATXGP-GK09-0.5X900"/>
    <s v="Z80"/>
    <s v=""/>
    <n v="2"/>
    <n v="6"/>
    <m/>
    <s v="C02"/>
    <s v="TATXGP"/>
    <s v="GK09"/>
    <n v="0.5"/>
    <n v="900"/>
    <n v="0"/>
    <n v="294"/>
    <n v="0"/>
    <n v="294"/>
    <n v="294"/>
    <n v="294"/>
    <n v="294"/>
    <n v="0"/>
    <n v="0"/>
    <n v="0"/>
    <n v="0"/>
    <n v="0"/>
    <n v="0"/>
    <n v="0"/>
    <n v="0"/>
    <n v="0"/>
    <n v="0"/>
    <n v="0"/>
    <n v="0"/>
    <n v="0"/>
    <n v="0"/>
    <n v="0"/>
    <n v="0"/>
    <n v="0"/>
    <n v="0"/>
    <n v="0"/>
    <n v="0"/>
    <n v="0"/>
    <n v="0"/>
    <n v="0"/>
    <m/>
    <n v="0"/>
    <n v="294"/>
    <n v="0"/>
    <n v="0"/>
    <n v="0"/>
    <n v="294"/>
    <n v="0"/>
    <n v="0"/>
    <n v="0"/>
    <n v="0"/>
    <n v="0"/>
    <n v="0"/>
    <n v="0"/>
    <m/>
    <m/>
    <m/>
    <m/>
    <m/>
    <m/>
    <m/>
    <m/>
    <m/>
    <m/>
    <m/>
    <m/>
    <m/>
    <m/>
    <m/>
    <m/>
    <m/>
    <m/>
    <m/>
    <m/>
    <m/>
    <m/>
    <m/>
    <m/>
    <m/>
    <m/>
    <m/>
    <m/>
    <m/>
    <m/>
    <m/>
    <m/>
    <m/>
    <m/>
    <m/>
  </r>
  <r>
    <n v="743"/>
    <d v="2025-04-11T00:00:00"/>
    <s v="ZBTO"/>
    <n v="9518683949"/>
    <n v="1"/>
    <s v="9518683949-1"/>
    <s v="May'25"/>
    <x v="0"/>
    <s v="Yes"/>
    <x v="3"/>
    <x v="9"/>
    <s v="2000-BPRS"/>
    <m/>
    <x v="1"/>
    <m/>
    <m/>
    <m/>
    <s v="East"/>
    <s v="WEST BENGAL"/>
    <m/>
    <n v="100922"/>
    <s v="BUBNA COMMERCIAL COMPANY"/>
    <n v="1851065"/>
    <s v="GP COIL SOFT-TATXGP-GK09-0.25X900"/>
    <s v="Z80"/>
    <s v=""/>
    <n v="5"/>
    <n v="15"/>
    <m/>
    <s v="C02"/>
    <s v="TATXGP"/>
    <s v="GK09"/>
    <n v="0.25"/>
    <n v="900"/>
    <n v="0"/>
    <n v="21"/>
    <n v="0"/>
    <n v="21"/>
    <n v="21"/>
    <n v="21"/>
    <n v="21"/>
    <n v="0"/>
    <n v="0"/>
    <n v="0"/>
    <n v="0"/>
    <n v="0"/>
    <n v="0"/>
    <n v="0"/>
    <n v="0"/>
    <n v="0"/>
    <n v="0"/>
    <n v="0"/>
    <n v="0"/>
    <n v="0"/>
    <n v="0"/>
    <n v="0"/>
    <n v="0"/>
    <n v="0"/>
    <n v="0"/>
    <n v="0"/>
    <n v="0"/>
    <n v="0"/>
    <n v="0"/>
    <n v="0"/>
    <m/>
    <n v="0"/>
    <n v="21"/>
    <n v="0"/>
    <n v="0"/>
    <n v="21"/>
    <n v="0"/>
    <n v="0"/>
    <n v="0"/>
    <n v="0"/>
    <n v="0"/>
    <n v="0"/>
    <n v="0"/>
    <n v="0"/>
    <m/>
    <m/>
    <m/>
    <m/>
    <m/>
    <m/>
    <m/>
    <m/>
    <m/>
    <m/>
    <m/>
    <m/>
    <m/>
    <m/>
    <m/>
    <m/>
    <m/>
    <m/>
    <m/>
    <m/>
    <m/>
    <m/>
    <m/>
    <m/>
    <m/>
    <m/>
    <m/>
    <m/>
    <m/>
    <m/>
    <m/>
    <m/>
    <m/>
    <m/>
    <m/>
  </r>
  <r>
    <n v="743"/>
    <d v="2025-04-11T00:00:00"/>
    <s v="ZBTO"/>
    <n v="9518683949"/>
    <n v="2"/>
    <s v="9518683949-2"/>
    <s v="May'25"/>
    <x v="0"/>
    <s v="Yes"/>
    <x v="3"/>
    <x v="9"/>
    <s v="2000-BPRS"/>
    <m/>
    <x v="0"/>
    <m/>
    <m/>
    <m/>
    <s v="East"/>
    <s v="WEST BENGAL"/>
    <m/>
    <n v="100922"/>
    <s v="BUBNA COMMERCIAL COMPANY"/>
    <n v="1191955"/>
    <s v="GP COIL SOFT-TATXGP-GK09-0.3X900"/>
    <s v="Z80"/>
    <s v=""/>
    <n v="5"/>
    <n v="15"/>
    <m/>
    <s v="C02"/>
    <s v="TATXGP"/>
    <s v="GK09"/>
    <n v="0.3"/>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2"/>
    <d v="2025-04-19T00:00:00"/>
    <s v="ZBTO"/>
    <n v="9518704886"/>
    <n v="1"/>
    <s v="9518704886-1"/>
    <s v="No Priority"/>
    <x v="0"/>
    <m/>
    <x v="1"/>
    <x v="1"/>
    <s v="2000-BPRS"/>
    <m/>
    <x v="0"/>
    <m/>
    <m/>
    <m/>
    <s v="South"/>
    <s v="YESHWANTHPURA"/>
    <m/>
    <n v="100237"/>
    <s v="RAMSAROOP &amp; SONS "/>
    <n v="1801804"/>
    <s v="CRCA COIL-TATXXD-AU03-1X1250"/>
    <s v=" "/>
    <s v=""/>
    <n v="10"/>
    <n v="24"/>
    <m/>
    <s v="C01"/>
    <s v="TATXXD"/>
    <s v="AU03"/>
    <n v="1"/>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80"/>
    <n v="5"/>
    <s v="9518703480-5"/>
    <s v="No Priority"/>
    <x v="0"/>
    <m/>
    <x v="1"/>
    <x v="10"/>
    <s v="1000-IPPE"/>
    <m/>
    <x v="0"/>
    <m/>
    <m/>
    <m/>
    <s v="South"/>
    <s v="VISAJHAPATNAM"/>
    <m/>
    <n v="188238"/>
    <s v="Balmer Lawrie &amp; Co. Limited"/>
    <n v="2170030"/>
    <s v="CRCA COIL TATXXD BT01 1.200X1220"/>
    <s v=" "/>
    <s v=""/>
    <n v="8"/>
    <n v="12"/>
    <m/>
    <s v="C01"/>
    <s v="TATXXD"/>
    <s v="BT01"/>
    <n v="1.2"/>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80"/>
    <n v="7"/>
    <s v="9518703480-7"/>
    <s v="May'25"/>
    <x v="0"/>
    <m/>
    <x v="1"/>
    <x v="10"/>
    <s v="1000-IPPE"/>
    <m/>
    <x v="1"/>
    <m/>
    <s v="P1-Priority for Balmer"/>
    <m/>
    <s v="South"/>
    <s v="VISAJHAPATNAM"/>
    <m/>
    <n v="188238"/>
    <s v="Balmer Lawrie &amp; Co. Limited"/>
    <n v="2279492"/>
    <s v="CRCA COIL TATXXD BT01 0.900X1220"/>
    <s v=" "/>
    <s v=""/>
    <n v="8"/>
    <n v="12"/>
    <m/>
    <s v="C01"/>
    <s v="TATXXD"/>
    <s v="BT01"/>
    <n v="0.9"/>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2"/>
    <d v="2025-04-07T00:00:00"/>
    <s v="ZBTO"/>
    <n v="9518674992"/>
    <n v="2"/>
    <s v="9518674992-2"/>
    <s v="No Priority"/>
    <x v="0"/>
    <s v="Yes"/>
    <x v="1"/>
    <x v="1"/>
    <s v="2000-BPRS"/>
    <m/>
    <x v="0"/>
    <m/>
    <s v="De-prioritized due to Apr CF orders"/>
    <m/>
    <s v="South"/>
    <s v="YESHWANTHPURA"/>
    <m/>
    <n v="939268"/>
    <s v="TATA STEEL DOWNSTREAM PRODUCTS LIMI"/>
    <n v="1804772"/>
    <s v="CRCA COIL TATXXD AU03 0.4X1250"/>
    <s v=" "/>
    <s v=""/>
    <n v="2"/>
    <n v="18"/>
    <m/>
    <s v="C01"/>
    <s v="TATXXD"/>
    <s v="AU03"/>
    <n v="0.4"/>
    <n v="1250"/>
    <n v="0"/>
    <n v="145"/>
    <n v="0"/>
    <n v="145"/>
    <n v="145"/>
    <n v="145"/>
    <n v="145"/>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7214"/>
    <n v="6"/>
    <s v="9518667214-6"/>
    <s v="No Priority"/>
    <x v="0"/>
    <s v="Yes"/>
    <x v="1"/>
    <x v="1"/>
    <s v="2000-BPRS"/>
    <m/>
    <x v="0"/>
    <m/>
    <m/>
    <m/>
    <s v="South"/>
    <s v="YESHWANTHPURA"/>
    <m/>
    <n v="801611"/>
    <s v="SHIVA FERRIC PVT LTD"/>
    <n v="2334995"/>
    <s v="CRCA COIL TATXXD AU03 1.500X1250"/>
    <s v=" "/>
    <s v=""/>
    <n v="15"/>
    <n v="28"/>
    <m/>
    <s v="C01"/>
    <s v="TATXXD"/>
    <s v="AU03"/>
    <n v="1.5"/>
    <n v="1250"/>
    <n v="0"/>
    <n v="29"/>
    <n v="0"/>
    <n v="29"/>
    <n v="0.74"/>
    <n v="0"/>
    <n v="3.3849999999999998"/>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7"/>
    <s v="9518628976-7"/>
    <s v="May'25"/>
    <x v="0"/>
    <s v="Yes"/>
    <x v="1"/>
    <x v="1"/>
    <s v="2000-BPRS"/>
    <m/>
    <x v="1"/>
    <m/>
    <m/>
    <m/>
    <s v="South"/>
    <s v="VALPARAI"/>
    <m/>
    <n v="116465"/>
    <s v="SRI BALAJI STEEL TRADERS"/>
    <n v="189866"/>
    <s v="CRSHEET TATXXD AU03 1.20X1250X2500"/>
    <s v=" "/>
    <s v=""/>
    <n v="0"/>
    <n v="0"/>
    <m/>
    <s v="C06"/>
    <s v="TATXXD"/>
    <s v="AU03"/>
    <n v="1.2"/>
    <n v="1250"/>
    <n v="2500"/>
    <n v="60"/>
    <n v="0"/>
    <n v="60"/>
    <n v="60"/>
    <n v="60"/>
    <n v="60"/>
    <n v="0"/>
    <n v="0"/>
    <n v="0"/>
    <n v="0"/>
    <n v="0"/>
    <n v="0"/>
    <n v="0"/>
    <n v="0"/>
    <n v="0"/>
    <n v="0"/>
    <n v="0"/>
    <n v="0"/>
    <n v="0"/>
    <n v="0"/>
    <n v="0"/>
    <n v="0"/>
    <n v="0"/>
    <n v="0"/>
    <n v="0"/>
    <n v="0"/>
    <n v="0"/>
    <n v="0"/>
    <n v="0"/>
    <m/>
    <n v="0"/>
    <n v="60"/>
    <n v="0"/>
    <n v="0"/>
    <n v="0"/>
    <n v="60"/>
    <n v="0"/>
    <n v="0"/>
    <n v="0"/>
    <n v="0"/>
    <n v="0"/>
    <n v="0"/>
    <n v="0"/>
    <m/>
    <m/>
    <m/>
    <m/>
    <m/>
    <m/>
    <m/>
    <m/>
    <m/>
    <m/>
    <m/>
    <m/>
    <m/>
    <m/>
    <m/>
    <m/>
    <m/>
    <m/>
    <m/>
    <m/>
    <m/>
    <m/>
    <m/>
    <m/>
    <m/>
    <m/>
    <m/>
    <m/>
    <m/>
    <m/>
    <m/>
    <m/>
    <m/>
    <m/>
    <m/>
  </r>
  <r>
    <n v="742"/>
    <d v="2025-03-24T00:00:00"/>
    <s v="ZBTO"/>
    <n v="9518628976"/>
    <n v="8"/>
    <s v="9518628976-8"/>
    <s v="No Priority"/>
    <x v="0"/>
    <m/>
    <x v="1"/>
    <x v="1"/>
    <s v="2000-BPRS"/>
    <m/>
    <x v="0"/>
    <m/>
    <m/>
    <m/>
    <s v="South"/>
    <s v="VALPARAI"/>
    <m/>
    <n v="116465"/>
    <s v="SRI BALAJI STEEL TRADERS"/>
    <n v="194544"/>
    <s v="CRSHEET TATXXD AU03 1.50X1250X2500"/>
    <s v=" "/>
    <s v=""/>
    <n v="0"/>
    <n v="0"/>
    <m/>
    <s v="C06"/>
    <s v="TATXXD"/>
    <s v="AU03"/>
    <n v="1.5"/>
    <n v="125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9"/>
    <s v="9518628976-9"/>
    <s v="No Priority"/>
    <x v="0"/>
    <m/>
    <x v="1"/>
    <x v="1"/>
    <s v="2000-BPRS"/>
    <m/>
    <x v="0"/>
    <m/>
    <m/>
    <m/>
    <s v="South"/>
    <s v="VALPARAI"/>
    <m/>
    <n v="116465"/>
    <s v="SRI BALAJI STEEL TRADERS"/>
    <n v="3533096"/>
    <s v="CRSHEET C06 TATXXD AU03 1.6X1250X2500"/>
    <s v=" "/>
    <s v=""/>
    <n v="0"/>
    <n v="0"/>
    <m/>
    <s v="C06"/>
    <s v="TATXXD"/>
    <s v="AU03"/>
    <n v="1.6"/>
    <n v="125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10"/>
    <s v="9518628976-10"/>
    <s v="No Priority"/>
    <x v="0"/>
    <m/>
    <x v="1"/>
    <x v="1"/>
    <s v="2000-BPRS"/>
    <m/>
    <x v="0"/>
    <m/>
    <m/>
    <m/>
    <s v="South"/>
    <s v="VALPARAI"/>
    <m/>
    <n v="116465"/>
    <s v="SRI BALAJI STEEL TRADERS"/>
    <n v="274376"/>
    <s v="CRSHEET C06TATXXD AU03 2.0X1250X2500"/>
    <s v=" "/>
    <s v=""/>
    <n v="0"/>
    <n v="0"/>
    <m/>
    <s v="C06"/>
    <s v="TATXXD"/>
    <s v="AU03"/>
    <n v="2"/>
    <n v="125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4"/>
    <d v="2025-04-15T00:00:00"/>
    <s v="ZBTO"/>
    <n v="9518694646"/>
    <n v="1"/>
    <s v="9518694646-1"/>
    <s v="No Priority"/>
    <x v="0"/>
    <m/>
    <x v="2"/>
    <x v="3"/>
    <s v="1000-IPPE"/>
    <m/>
    <x v="0"/>
    <m/>
    <m/>
    <m/>
    <s v="TBSPL"/>
    <s v="GAMHARIA"/>
    <m/>
    <n v="940016"/>
    <s v="TATA BLUESCOPE STEEL PVT LTD."/>
    <n v="3926984"/>
    <s v="PPGL C HARD Y550PL D0C9 0.53(TPT)X1220"/>
    <s v="AZ150"/>
    <s v="RAL 5012 TSL 1802"/>
    <n v="3"/>
    <n v="5"/>
    <m/>
    <s v="B18"/>
    <s v="Y550PL"/>
    <s v="D0C9"/>
    <n v="0.53"/>
    <n v="1220"/>
    <n v="0"/>
    <n v="56"/>
    <n v="0"/>
    <n v="56"/>
    <n v="56"/>
    <n v="48.74"/>
    <n v="14.98"/>
    <n v="0"/>
    <n v="0"/>
    <n v="0"/>
    <n v="0"/>
    <n v="0"/>
    <n v="0"/>
    <n v="0"/>
    <n v="7.26"/>
    <n v="0"/>
    <n v="0"/>
    <n v="0"/>
    <n v="0"/>
    <n v="0"/>
    <n v="0"/>
    <n v="0"/>
    <n v="0"/>
    <n v="0"/>
    <n v="0"/>
    <n v="0"/>
    <n v="7.26"/>
    <n v="7.26"/>
    <n v="0"/>
    <n v="7.26"/>
    <m/>
    <n v="0"/>
    <n v="0"/>
    <n v="0"/>
    <n v="0"/>
    <n v="0"/>
    <n v="0"/>
    <n v="0"/>
    <n v="0"/>
    <n v="0"/>
    <n v="0"/>
    <n v="0"/>
    <n v="0"/>
    <n v="0"/>
    <m/>
    <m/>
    <m/>
    <m/>
    <m/>
    <m/>
    <m/>
    <m/>
    <m/>
    <m/>
    <m/>
    <m/>
    <m/>
    <m/>
    <m/>
    <m/>
    <m/>
    <m/>
    <m/>
    <m/>
    <m/>
    <m/>
    <m/>
    <m/>
    <m/>
    <m/>
    <m/>
    <m/>
    <m/>
    <m/>
    <m/>
    <m/>
    <m/>
    <m/>
    <m/>
  </r>
  <r>
    <n v="742"/>
    <d v="2025-04-15T00:00:00"/>
    <s v="ZBTO"/>
    <n v="9518694586"/>
    <n v="1"/>
    <s v="9518694586-1"/>
    <s v="May'25"/>
    <x v="0"/>
    <m/>
    <x v="1"/>
    <x v="10"/>
    <s v="1000-IPPE"/>
    <m/>
    <x v="1"/>
    <m/>
    <m/>
    <m/>
    <s v="South"/>
    <s v="PATANCHERU"/>
    <m/>
    <n v="948926"/>
    <s v="CHANDRA CONTAINER MANUACTURERS"/>
    <n v="2426388"/>
    <s v="CRCA COIL TATXXD BT01 0.900X1320"/>
    <s v=" "/>
    <s v=""/>
    <n v="6"/>
    <n v="8"/>
    <m/>
    <s v="C01"/>
    <s v="TATXXD"/>
    <s v="BT01"/>
    <n v="0.9"/>
    <n v="1320"/>
    <n v="0"/>
    <n v="90"/>
    <n v="0"/>
    <n v="90"/>
    <n v="90"/>
    <n v="90"/>
    <n v="90"/>
    <n v="0"/>
    <n v="0"/>
    <n v="0"/>
    <n v="0"/>
    <n v="0"/>
    <n v="0"/>
    <n v="0"/>
    <n v="0"/>
    <n v="0"/>
    <n v="0"/>
    <n v="0"/>
    <n v="0"/>
    <n v="0"/>
    <n v="0"/>
    <n v="0"/>
    <n v="0"/>
    <n v="0"/>
    <n v="0"/>
    <n v="0"/>
    <n v="0"/>
    <n v="0"/>
    <n v="0"/>
    <n v="0"/>
    <m/>
    <n v="0"/>
    <n v="90"/>
    <n v="0"/>
    <n v="0"/>
    <n v="90"/>
    <n v="0"/>
    <n v="0"/>
    <n v="0"/>
    <n v="0"/>
    <n v="0"/>
    <n v="0"/>
    <n v="0"/>
    <n v="0"/>
    <m/>
    <m/>
    <m/>
    <m/>
    <m/>
    <m/>
    <m/>
    <m/>
    <m/>
    <m/>
    <m/>
    <m/>
    <m/>
    <m/>
    <m/>
    <m/>
    <m/>
    <m/>
    <m/>
    <m/>
    <m/>
    <m/>
    <m/>
    <m/>
    <m/>
    <m/>
    <m/>
    <m/>
    <m/>
    <m/>
    <m/>
    <m/>
    <m/>
    <m/>
    <m/>
  </r>
  <r>
    <n v="744"/>
    <d v="2025-04-15T00:00:00"/>
    <s v="ZBTO"/>
    <n v="9518694961"/>
    <n v="1"/>
    <s v="9518694961-1"/>
    <s v="May'25"/>
    <x v="0"/>
    <m/>
    <x v="2"/>
    <x v="3"/>
    <s v="1000-IPPE"/>
    <m/>
    <x v="1"/>
    <m/>
    <m/>
    <m/>
    <s v="TBSPL"/>
    <s v="GAMHARIA"/>
    <m/>
    <n v="940016"/>
    <s v="TATA BLUESCOPE STEEL PVT LTD."/>
    <n v="3879501"/>
    <s v="PPGL C Y550 ISC6 0.45BMT(0.50TPT)X1220"/>
    <s v="aZ70"/>
    <s v="PRO BLUE TSL 1913"/>
    <n v="3"/>
    <n v="5"/>
    <m/>
    <s v="B18"/>
    <s v="Y550PL"/>
    <s v="ISC6"/>
    <n v="0.4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2"/>
    <d v="2025-03-15T00:00:00"/>
    <s v="ZBTO"/>
    <n v="9518602390"/>
    <n v="2"/>
    <s v="9518602390-2"/>
    <s v="No Priority"/>
    <x v="0"/>
    <m/>
    <x v="1"/>
    <x v="1"/>
    <s v="2000-BPRS"/>
    <m/>
    <x v="0"/>
    <m/>
    <m/>
    <m/>
    <s v="North"/>
    <s v="JAIPUR"/>
    <m/>
    <n v="116137"/>
    <s v="PELIKAN DOSSIER (P) LTD "/>
    <n v="1801022"/>
    <s v="CRCA COIL-TATXXD-AU03-0.45X1250"/>
    <s v=" "/>
    <s v=""/>
    <n v="10"/>
    <n v="25"/>
    <m/>
    <s v="C01"/>
    <s v="TATXXD"/>
    <s v="AU03"/>
    <n v="0.4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7626"/>
    <n v="6"/>
    <s v="9518497626-6"/>
    <s v="May'25"/>
    <x v="0"/>
    <s v="Yes"/>
    <x v="1"/>
    <x v="2"/>
    <s v="2000-BPRS"/>
    <m/>
    <x v="1"/>
    <m/>
    <m/>
    <m/>
    <s v="South"/>
    <s v="VISHAKHAPATNAM"/>
    <m/>
    <n v="946077"/>
    <s v="SITARAM IRON AND STEEL PVT LTD"/>
    <n v="3239566"/>
    <s v="CRCA SHEET TATCRC SR16 0.450X1000X2440"/>
    <s v=" "/>
    <s v=""/>
    <n v="0"/>
    <n v="0"/>
    <m/>
    <s v="C06"/>
    <s v="TATCRC"/>
    <s v="SR16"/>
    <n v="0.45"/>
    <n v="1000"/>
    <n v="2440"/>
    <n v="42"/>
    <n v="0"/>
    <n v="42"/>
    <n v="42"/>
    <n v="-2.4200000000000017"/>
    <n v="42"/>
    <n v="0"/>
    <n v="0"/>
    <n v="0"/>
    <n v="0"/>
    <n v="0"/>
    <n v="0"/>
    <n v="0"/>
    <n v="0"/>
    <n v="0"/>
    <n v="0"/>
    <n v="0"/>
    <n v="0"/>
    <n v="0"/>
    <n v="44.42"/>
    <n v="0"/>
    <n v="0"/>
    <n v="0"/>
    <n v="0"/>
    <n v="0"/>
    <n v="44.42"/>
    <n v="44.42"/>
    <n v="0"/>
    <n v="44.42"/>
    <m/>
    <n v="0"/>
    <n v="42"/>
    <n v="0"/>
    <n v="42"/>
    <n v="0"/>
    <n v="0"/>
    <n v="0"/>
    <n v="42"/>
    <n v="0"/>
    <n v="42"/>
    <n v="0"/>
    <n v="0"/>
    <n v="0"/>
    <m/>
    <m/>
    <m/>
    <m/>
    <m/>
    <m/>
    <m/>
    <m/>
    <m/>
    <m/>
    <m/>
    <m/>
    <m/>
    <m/>
    <m/>
    <m/>
    <m/>
    <m/>
    <m/>
    <m/>
    <m/>
    <m/>
    <m/>
    <m/>
    <m/>
    <m/>
    <m/>
    <m/>
    <m/>
    <m/>
    <m/>
    <m/>
    <m/>
    <m/>
    <m/>
  </r>
  <r>
    <n v="743"/>
    <d v="2025-03-15T00:00:00"/>
    <s v="ZBTO"/>
    <n v="9518602675"/>
    <n v="4"/>
    <s v="9518602675-4"/>
    <s v="May'25"/>
    <x v="0"/>
    <s v="Yes"/>
    <x v="3"/>
    <x v="9"/>
    <s v="2000-BPRS"/>
    <m/>
    <x v="1"/>
    <m/>
    <m/>
    <m/>
    <s v="East"/>
    <s v="WEST BOKARO"/>
    <m/>
    <n v="185794"/>
    <s v="Shree Bajrang Steel Udyog"/>
    <n v="1854418"/>
    <s v="GP COIL SOFT-TATXGP-GK09-0.5X900"/>
    <s v="Z80"/>
    <s v=""/>
    <n v="5"/>
    <n v="15"/>
    <m/>
    <s v="C02"/>
    <s v="TATXGP"/>
    <s v="GK09"/>
    <n v="0.5"/>
    <n v="900"/>
    <n v="0"/>
    <n v="210"/>
    <n v="0"/>
    <n v="210"/>
    <n v="210"/>
    <n v="190.161"/>
    <n v="111.84"/>
    <n v="0"/>
    <n v="0"/>
    <n v="0"/>
    <n v="0"/>
    <n v="0"/>
    <n v="0"/>
    <n v="0.40400000000000003"/>
    <n v="0"/>
    <n v="0"/>
    <n v="0"/>
    <n v="0"/>
    <n v="0"/>
    <n v="0"/>
    <n v="0"/>
    <n v="0"/>
    <n v="0"/>
    <n v="0"/>
    <n v="0"/>
    <n v="19.435000000000002"/>
    <n v="19.839000000000002"/>
    <n v="19.839000000000002"/>
    <n v="0"/>
    <n v="19.839000000000002"/>
    <m/>
    <n v="42.295000000000002"/>
    <n v="111.84"/>
    <n v="0"/>
    <n v="111.84"/>
    <n v="0"/>
    <n v="0"/>
    <n v="0"/>
    <n v="111.84"/>
    <n v="0"/>
    <n v="111.84"/>
    <n v="0"/>
    <n v="0"/>
    <n v="0"/>
    <m/>
    <m/>
    <m/>
    <m/>
    <m/>
    <m/>
    <m/>
    <m/>
    <m/>
    <m/>
    <m/>
    <m/>
    <m/>
    <m/>
    <m/>
    <m/>
    <m/>
    <m/>
    <m/>
    <m/>
    <m/>
    <m/>
    <m/>
    <m/>
    <m/>
    <m/>
    <m/>
    <m/>
    <m/>
    <m/>
    <m/>
    <m/>
    <m/>
    <m/>
    <m/>
  </r>
  <r>
    <n v="743"/>
    <d v="2025-03-15T00:00:00"/>
    <s v="ZBTO"/>
    <n v="9518602675"/>
    <n v="5"/>
    <s v="9518602675-5"/>
    <s v="May'25"/>
    <x v="0"/>
    <s v="Yes"/>
    <x v="3"/>
    <x v="9"/>
    <s v="2000-BPRS"/>
    <m/>
    <x v="1"/>
    <m/>
    <m/>
    <m/>
    <s v="East"/>
    <s v="WEST BOKARO"/>
    <m/>
    <n v="185794"/>
    <s v="Shree Bajrang Steel Udyog"/>
    <n v="1854424"/>
    <s v="GP COIL SOFT-TATXGP-GK09-0.6X900"/>
    <s v="Z80"/>
    <s v=""/>
    <n v="5"/>
    <n v="15"/>
    <m/>
    <s v="C02"/>
    <s v="TATXGP"/>
    <s v="GK09"/>
    <n v="0.6"/>
    <n v="900"/>
    <n v="0"/>
    <n v="210"/>
    <n v="0"/>
    <n v="210"/>
    <n v="210"/>
    <n v="146.11500000000001"/>
    <n v="210"/>
    <n v="0"/>
    <n v="0"/>
    <n v="0"/>
    <n v="0"/>
    <n v="20.490000000000002"/>
    <n v="0"/>
    <n v="0"/>
    <n v="0"/>
    <n v="0"/>
    <n v="0"/>
    <n v="0"/>
    <n v="0"/>
    <n v="0"/>
    <n v="0"/>
    <n v="0"/>
    <n v="2.63"/>
    <n v="0"/>
    <n v="0"/>
    <n v="40.765000000000001"/>
    <n v="63.885000000000005"/>
    <n v="63.885000000000005"/>
    <n v="0"/>
    <n v="63.885000000000005"/>
    <m/>
    <n v="9.8350000000000009"/>
    <n v="210"/>
    <n v="0"/>
    <n v="210"/>
    <n v="0"/>
    <n v="0"/>
    <n v="0"/>
    <n v="210"/>
    <n v="0"/>
    <n v="210"/>
    <n v="0"/>
    <n v="0"/>
    <n v="0"/>
    <m/>
    <m/>
    <m/>
    <m/>
    <m/>
    <m/>
    <m/>
    <m/>
    <m/>
    <m/>
    <m/>
    <m/>
    <m/>
    <m/>
    <m/>
    <m/>
    <m/>
    <m/>
    <m/>
    <m/>
    <m/>
    <m/>
    <m/>
    <m/>
    <m/>
    <m/>
    <m/>
    <m/>
    <m/>
    <m/>
    <m/>
    <m/>
    <m/>
    <m/>
    <m/>
  </r>
  <r>
    <n v="742"/>
    <d v="2025-03-04T00:00:00"/>
    <s v="ZBTO"/>
    <n v="9518572111"/>
    <n v="1"/>
    <s v="9518572111-1"/>
    <s v="May'25"/>
    <x v="0"/>
    <s v="Yes"/>
    <x v="1"/>
    <x v="2"/>
    <s v="2000-BPRS"/>
    <m/>
    <x v="1"/>
    <m/>
    <m/>
    <m/>
    <s v="East"/>
    <s v="TATANAGAR"/>
    <m/>
    <n v="165053"/>
    <s v="SUDISA ENTERPRISES (P) LTD."/>
    <n v="3239567"/>
    <s v="CRCA SHEET TATCRC SR16 0.450X1000X2500"/>
    <s v=" "/>
    <s v=""/>
    <n v="2.8"/>
    <n v="3.2"/>
    <m/>
    <s v="C06"/>
    <s v="TATCRC"/>
    <s v="SR16"/>
    <n v="0.45"/>
    <n v="1000"/>
    <n v="2500"/>
    <n v="21"/>
    <n v="0"/>
    <n v="21"/>
    <n v="21"/>
    <n v="-1.1000000000000014"/>
    <n v="21"/>
    <n v="0"/>
    <n v="0"/>
    <n v="0"/>
    <n v="0"/>
    <n v="0"/>
    <n v="0"/>
    <n v="0"/>
    <n v="0"/>
    <n v="0"/>
    <n v="0"/>
    <n v="0"/>
    <n v="0"/>
    <n v="0"/>
    <n v="22.1"/>
    <n v="0"/>
    <n v="0"/>
    <n v="0"/>
    <n v="0"/>
    <n v="0"/>
    <n v="22.1"/>
    <n v="22.1"/>
    <n v="0"/>
    <n v="22.1"/>
    <m/>
    <n v="0"/>
    <n v="21"/>
    <n v="0"/>
    <n v="21"/>
    <n v="0"/>
    <n v="0"/>
    <n v="0"/>
    <n v="21"/>
    <n v="0"/>
    <n v="21"/>
    <n v="0"/>
    <n v="0"/>
    <n v="0"/>
    <m/>
    <m/>
    <m/>
    <m/>
    <m/>
    <m/>
    <m/>
    <m/>
    <m/>
    <m/>
    <m/>
    <m/>
    <m/>
    <m/>
    <m/>
    <m/>
    <m/>
    <m/>
    <m/>
    <m/>
    <m/>
    <m/>
    <m/>
    <m/>
    <m/>
    <m/>
    <m/>
    <m/>
    <m/>
    <m/>
    <m/>
    <m/>
    <m/>
    <m/>
    <m/>
  </r>
  <r>
    <n v="742"/>
    <d v="2025-03-11T00:00:00"/>
    <s v="ZBTO"/>
    <n v="9518591869"/>
    <n v="6"/>
    <s v="9518591869-6"/>
    <s v="No Priority"/>
    <x v="0"/>
    <m/>
    <x v="1"/>
    <x v="1"/>
    <s v="2000-BPRS"/>
    <m/>
    <x v="0"/>
    <m/>
    <m/>
    <m/>
    <s v="North"/>
    <s v="FARIDABAD"/>
    <m/>
    <n v="936527"/>
    <s v="SHORI LAL KEWAL KUMAR."/>
    <n v="1804814"/>
    <s v="CRCA COIL TATXXD AU03 0.8X1250"/>
    <s v=" "/>
    <s v=""/>
    <n v="10"/>
    <n v="30"/>
    <m/>
    <s v="C01"/>
    <s v="TATXXD"/>
    <s v="AU03"/>
    <n v="0.8"/>
    <n v="1250"/>
    <n v="0"/>
    <n v="58"/>
    <n v="0"/>
    <n v="58"/>
    <n v="58"/>
    <n v="58"/>
    <n v="0"/>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1869"/>
    <n v="7"/>
    <s v="9518591869-7"/>
    <s v="No Priority"/>
    <x v="0"/>
    <m/>
    <x v="1"/>
    <x v="1"/>
    <s v="2000-BPRS"/>
    <m/>
    <x v="0"/>
    <m/>
    <m/>
    <m/>
    <s v="North"/>
    <s v="FARIDABAD"/>
    <m/>
    <n v="936527"/>
    <s v="SHORI LAL KEWAL KUMAR."/>
    <n v="1804826"/>
    <s v="CRCA COIL-TATXXD-AU03-0.9X1250"/>
    <s v=" "/>
    <s v=""/>
    <n v="10"/>
    <n v="30"/>
    <m/>
    <s v="C01"/>
    <s v="TATXXD"/>
    <s v="AU03"/>
    <n v="0.9"/>
    <n v="1250"/>
    <n v="0"/>
    <n v="29"/>
    <n v="0"/>
    <n v="29"/>
    <n v="29"/>
    <n v="29"/>
    <n v="0"/>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1774"/>
    <n v="11"/>
    <s v="9518591774-11"/>
    <s v="No Priority"/>
    <x v="0"/>
    <m/>
    <x v="1"/>
    <x v="1"/>
    <s v="2000-BPRS"/>
    <m/>
    <x v="0"/>
    <m/>
    <m/>
    <m/>
    <s v="North"/>
    <s v="ZOSOLA"/>
    <m/>
    <n v="936527"/>
    <s v="SHORI LAL KEWAL KUMAR."/>
    <n v="1804814"/>
    <s v="CRCA COIL TATXXD AU03 0.8X1250"/>
    <s v=" "/>
    <s v=""/>
    <n v="10"/>
    <n v="30"/>
    <m/>
    <s v="C01"/>
    <s v="TATXXD"/>
    <s v="AU03"/>
    <n v="0.8"/>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659"/>
    <n v="1"/>
    <s v="9518612659-1"/>
    <s v="No Priority"/>
    <x v="0"/>
    <m/>
    <x v="3"/>
    <x v="9"/>
    <s v="2000-BPRS"/>
    <m/>
    <x v="0"/>
    <m/>
    <m/>
    <m/>
    <s v="North"/>
    <s v="VARANASI"/>
    <m/>
    <n v="931525"/>
    <s v="INDIA STEEL INDUSTRIES"/>
    <n v="1191955"/>
    <s v="GP COIL SOFT-TATXGP-GK09-0.3X900"/>
    <s v="Z80"/>
    <s v=""/>
    <n v="3.2"/>
    <n v="5"/>
    <m/>
    <s v="C02"/>
    <s v="TATXGP"/>
    <s v="GK09"/>
    <n v="0.3"/>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659"/>
    <n v="2"/>
    <s v="9518612659-2"/>
    <s v="No Priority"/>
    <x v="0"/>
    <m/>
    <x v="3"/>
    <x v="9"/>
    <s v="2000-BPRS"/>
    <m/>
    <x v="0"/>
    <m/>
    <m/>
    <m/>
    <s v="North"/>
    <s v="VARANASI"/>
    <m/>
    <n v="931525"/>
    <s v="INDIA STEEL INDUSTRIES"/>
    <n v="1191956"/>
    <s v="GP COIL SOFT-TATXGP-GK09-0.35X900"/>
    <s v="Z80"/>
    <s v=""/>
    <n v="3.2"/>
    <n v="5"/>
    <m/>
    <s v="C02"/>
    <s v="TATXGP"/>
    <s v="GK09"/>
    <n v="0.35"/>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659"/>
    <n v="3"/>
    <s v="9518612659-3"/>
    <s v="No Priority"/>
    <x v="0"/>
    <m/>
    <x v="3"/>
    <x v="9"/>
    <s v="2000-BPRS"/>
    <m/>
    <x v="0"/>
    <m/>
    <m/>
    <m/>
    <s v="North"/>
    <s v="VARANASI"/>
    <m/>
    <n v="931525"/>
    <s v="INDIA STEEL INDUSTRIES"/>
    <n v="1178439"/>
    <s v="GP COIL SOFT-TATXGP-GK09-0.4X900"/>
    <s v="Z80"/>
    <s v=""/>
    <n v="3.2"/>
    <n v="5"/>
    <m/>
    <s v="C02"/>
    <s v="TATXGP"/>
    <s v="GK09"/>
    <n v="0.4"/>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659"/>
    <n v="4"/>
    <s v="9518612659-4"/>
    <s v="No Priority"/>
    <x v="0"/>
    <m/>
    <x v="3"/>
    <x v="9"/>
    <s v="2000-BPRS"/>
    <m/>
    <x v="0"/>
    <m/>
    <m/>
    <m/>
    <s v="North"/>
    <s v="VARANASI"/>
    <m/>
    <n v="931525"/>
    <s v="INDIA STEEL INDUSTRIES"/>
    <n v="1854413"/>
    <s v="GP COIL SOFT-TATXGP-GK09-0.45X900"/>
    <s v="Z80"/>
    <s v=""/>
    <n v="3.2"/>
    <n v="5"/>
    <m/>
    <s v="C02"/>
    <s v="TATXGP"/>
    <s v="GK09"/>
    <n v="0.4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659"/>
    <n v="6"/>
    <s v="9518612659-6"/>
    <s v="No Priority"/>
    <x v="0"/>
    <m/>
    <x v="3"/>
    <x v="9"/>
    <s v="2000-BPRS"/>
    <m/>
    <x v="0"/>
    <m/>
    <m/>
    <m/>
    <s v="North"/>
    <s v="VARANASI"/>
    <m/>
    <n v="931525"/>
    <s v="INDIA STEEL INDUSTRIES"/>
    <n v="1854424"/>
    <s v="GP COIL SOFT-TATXGP-GK09-0.6X900"/>
    <s v="Z80"/>
    <s v=""/>
    <n v="3.2"/>
    <n v="5"/>
    <m/>
    <s v="C02"/>
    <s v="TATXGP"/>
    <s v="GK09"/>
    <n v="0.6"/>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3-13T00:00:00"/>
    <s v="ZBTO"/>
    <n v="9518598795"/>
    <n v="2"/>
    <s v="9518598795-2"/>
    <s v="Stocks"/>
    <x v="0"/>
    <s v="Yes"/>
    <x v="1"/>
    <x v="1"/>
    <s v="2000-BPRS"/>
    <m/>
    <x v="1"/>
    <m/>
    <s v="Deproritized as per SPA's instruction"/>
    <m/>
    <s v="South"/>
    <s v="GUMMIDIPOONDI"/>
    <m/>
    <n v="822271"/>
    <s v="TATA STEEL DOWNSTREAM PRODUCTS LIMI"/>
    <n v="1801456"/>
    <s v="CRCA COIL-TATXXD-AU03-0.7X1250"/>
    <s v=" "/>
    <s v=""/>
    <n v="5"/>
    <n v="29"/>
    <m/>
    <s v="C01"/>
    <s v="TATXXD"/>
    <s v="AU03"/>
    <n v="0.7"/>
    <n v="1250"/>
    <n v="0"/>
    <n v="145"/>
    <n v="8.2850000000000001"/>
    <n v="136.715"/>
    <n v="52.534999999999997"/>
    <n v="136.715"/>
    <n v="59.8"/>
    <n v="0"/>
    <n v="0"/>
    <n v="0"/>
    <n v="0"/>
    <n v="0"/>
    <n v="0"/>
    <n v="0"/>
    <n v="0"/>
    <n v="0"/>
    <n v="0"/>
    <n v="0"/>
    <n v="0"/>
    <n v="0"/>
    <n v="0"/>
    <n v="0"/>
    <n v="0"/>
    <n v="0"/>
    <n v="0"/>
    <n v="0"/>
    <n v="0"/>
    <n v="0"/>
    <n v="0"/>
    <n v="0"/>
    <m/>
    <n v="12.16"/>
    <n v="0"/>
    <n v="0"/>
    <n v="0"/>
    <n v="0"/>
    <n v="0"/>
    <n v="0"/>
    <n v="0"/>
    <n v="0"/>
    <n v="0"/>
    <n v="0"/>
    <n v="0"/>
    <n v="0"/>
    <m/>
    <m/>
    <m/>
    <m/>
    <m/>
    <m/>
    <m/>
    <m/>
    <m/>
    <m/>
    <m/>
    <m/>
    <m/>
    <m/>
    <m/>
    <m/>
    <m/>
    <m/>
    <m/>
    <m/>
    <m/>
    <m/>
    <m/>
    <m/>
    <m/>
    <m/>
    <m/>
    <m/>
    <m/>
    <m/>
    <m/>
    <m/>
    <m/>
    <m/>
    <m/>
  </r>
  <r>
    <n v="743"/>
    <d v="2025-03-19T00:00:00"/>
    <s v="ZBTO"/>
    <n v="9518614076"/>
    <n v="2"/>
    <s v="9518614076-2"/>
    <s v="No Priority"/>
    <x v="0"/>
    <m/>
    <x v="3"/>
    <x v="9"/>
    <s v="2000-BPRS"/>
    <m/>
    <x v="0"/>
    <m/>
    <m/>
    <m/>
    <s v="North"/>
    <s v="LONI"/>
    <m/>
    <n v="931235"/>
    <s v="K D J P STEELS PVT LTD"/>
    <n v="1191955"/>
    <s v="GP COIL SOFT-TATXGP-GK09-0.3X900"/>
    <s v="Z80"/>
    <s v=""/>
    <n v="4"/>
    <n v="6"/>
    <m/>
    <s v="C02"/>
    <s v="TATXGP"/>
    <s v="GK09"/>
    <n v="0.3"/>
    <n v="900"/>
    <n v="0"/>
    <n v="210"/>
    <n v="0"/>
    <n v="210"/>
    <n v="210"/>
    <n v="210"/>
    <n v="210"/>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8999"/>
    <n v="1"/>
    <s v="9518498999-1"/>
    <s v="No Priority"/>
    <x v="0"/>
    <m/>
    <x v="1"/>
    <x v="1"/>
    <s v="2000-BPRS"/>
    <m/>
    <x v="0"/>
    <m/>
    <m/>
    <m/>
    <s v="East"/>
    <s v=" "/>
    <m/>
    <n v="121328"/>
    <s v="R. S. BOKARO METAL (P) LTD."/>
    <n v="1804889"/>
    <s v="CRCA COIL-TATCRC-TR15-0.4X1000"/>
    <s v=" "/>
    <s v=""/>
    <n v="4"/>
    <n v="12"/>
    <m/>
    <s v="C01"/>
    <s v="TATCRC"/>
    <s v="TR15"/>
    <n v="0.4"/>
    <n v="1000"/>
    <n v="0"/>
    <n v="69"/>
    <n v="0"/>
    <n v="69"/>
    <n v="69"/>
    <n v="69"/>
    <n v="69"/>
    <n v="0"/>
    <n v="0"/>
    <n v="0"/>
    <n v="0"/>
    <n v="0"/>
    <n v="0"/>
    <n v="0"/>
    <n v="0"/>
    <n v="0"/>
    <n v="0"/>
    <n v="0"/>
    <n v="0"/>
    <n v="0"/>
    <n v="0"/>
    <n v="0"/>
    <n v="0"/>
    <n v="0"/>
    <n v="0"/>
    <n v="0"/>
    <n v="0"/>
    <n v="0"/>
    <n v="0"/>
    <n v="0"/>
    <m/>
    <n v="0"/>
    <n v="0"/>
    <n v="0"/>
    <n v="0"/>
    <n v="0"/>
    <n v="0"/>
    <n v="0"/>
    <n v="0"/>
    <n v="0"/>
    <n v="0"/>
    <n v="0"/>
    <n v="0"/>
    <n v="0"/>
    <m/>
    <m/>
    <m/>
    <m/>
    <m/>
    <m/>
    <m/>
    <m/>
    <m/>
    <m/>
    <m/>
    <m/>
    <m/>
    <m/>
    <m/>
    <m/>
    <m/>
    <m/>
    <m/>
    <m/>
    <m/>
    <m/>
    <m/>
    <m/>
    <m/>
    <m/>
    <m/>
    <m/>
    <m/>
    <m/>
    <m/>
    <m/>
    <m/>
    <m/>
    <m/>
  </r>
  <r>
    <n v="742"/>
    <d v="2025-03-26T00:00:00"/>
    <s v="ZBTO"/>
    <n v="9518637097"/>
    <n v="4"/>
    <s v="9518637097-4"/>
    <s v="May'25"/>
    <x v="0"/>
    <s v="Yes"/>
    <x v="1"/>
    <x v="2"/>
    <s v="2000-BPRS"/>
    <m/>
    <x v="1"/>
    <m/>
    <m/>
    <m/>
    <s v="East"/>
    <s v="URLA"/>
    <m/>
    <n v="139336"/>
    <s v="PASA ASSOCIATES PRIVATE LIMITED"/>
    <n v="3239568"/>
    <s v="CRCA SHEET TATCRC SR16 0.450X1250X2500"/>
    <s v=" "/>
    <s v=""/>
    <n v="1"/>
    <n v="3"/>
    <m/>
    <s v="C06"/>
    <s v="TATCRC"/>
    <s v="SR16"/>
    <n v="0.45"/>
    <n v="1250"/>
    <n v="2500"/>
    <n v="60"/>
    <n v="2.6150000000000002"/>
    <n v="57.384999999999998"/>
    <n v="2.875"/>
    <n v="0"/>
    <n v="31.57"/>
    <n v="0"/>
    <n v="0"/>
    <n v="0"/>
    <n v="0"/>
    <n v="0"/>
    <n v="0"/>
    <n v="0"/>
    <n v="0"/>
    <n v="0"/>
    <n v="0"/>
    <n v="0"/>
    <n v="0"/>
    <n v="0"/>
    <n v="0"/>
    <n v="26.77"/>
    <n v="0"/>
    <n v="0"/>
    <n v="0"/>
    <n v="0"/>
    <n v="26.77"/>
    <n v="26.77"/>
    <n v="0"/>
    <n v="26.77"/>
    <m/>
    <n v="2.6150000000000002"/>
    <n v="31.57"/>
    <n v="31.57"/>
    <n v="0"/>
    <n v="0"/>
    <n v="0"/>
    <n v="0"/>
    <n v="0"/>
    <n v="0"/>
    <n v="0"/>
    <n v="0"/>
    <n v="0"/>
    <n v="0"/>
    <m/>
    <m/>
    <m/>
    <m/>
    <m/>
    <m/>
    <m/>
    <m/>
    <m/>
    <m/>
    <m/>
    <m/>
    <m/>
    <m/>
    <m/>
    <m/>
    <m/>
    <m/>
    <m/>
    <m/>
    <m/>
    <m/>
    <m/>
    <m/>
    <m/>
    <m/>
    <m/>
    <m/>
    <m/>
    <m/>
    <m/>
    <m/>
    <m/>
    <m/>
    <m/>
  </r>
  <r>
    <n v="743"/>
    <d v="2025-03-19T00:00:00"/>
    <s v="ZBTO"/>
    <n v="9518614076"/>
    <n v="1"/>
    <s v="9518614076-1"/>
    <s v="No Priority"/>
    <x v="0"/>
    <m/>
    <x v="3"/>
    <x v="9"/>
    <s v="2000-BPRS"/>
    <m/>
    <x v="0"/>
    <m/>
    <m/>
    <m/>
    <s v="North"/>
    <s v="LONI"/>
    <m/>
    <n v="931235"/>
    <s v="K D J P STEELS PVT LTD"/>
    <n v="1851065"/>
    <s v="GP COIL SOFT-TATXGP-GK09-0.25X900"/>
    <s v="Z80"/>
    <s v=""/>
    <n v="4"/>
    <n v="6"/>
    <m/>
    <s v="C02"/>
    <s v="TATXGP"/>
    <s v="GK09"/>
    <n v="0.2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2-18T00:00:00"/>
    <s v="ZBTO"/>
    <n v="9518529595"/>
    <n v="5"/>
    <s v="9518529595-5"/>
    <s v="No Priority"/>
    <x v="0"/>
    <m/>
    <x v="1"/>
    <x v="11"/>
    <s v="2000-BPRS"/>
    <m/>
    <x v="0"/>
    <m/>
    <m/>
    <m/>
    <s v="South"/>
    <s v="GUMMIDIPOONDI"/>
    <m/>
    <n v="161312"/>
    <s v="GOVINDARAJA MUDALIAR SONS PVT LTD"/>
    <n v="2420512"/>
    <s v="CRCA COIL TATXXD AH03 0.700X1250"/>
    <s v=" "/>
    <s v=""/>
    <n v="5"/>
    <n v="29"/>
    <m/>
    <s v="C01"/>
    <s v="TATXXD"/>
    <s v="AH03"/>
    <n v="0.7"/>
    <n v="1250"/>
    <n v="0"/>
    <n v="29"/>
    <n v="0"/>
    <n v="29"/>
    <n v="1.45"/>
    <n v="0"/>
    <n v="2.16"/>
    <n v="0"/>
    <n v="0"/>
    <n v="0"/>
    <n v="0"/>
    <n v="0"/>
    <n v="0"/>
    <n v="0"/>
    <n v="0"/>
    <n v="0"/>
    <n v="0"/>
    <n v="0"/>
    <n v="0"/>
    <n v="0"/>
    <n v="0"/>
    <n v="0"/>
    <n v="0"/>
    <n v="0"/>
    <n v="0"/>
    <n v="0"/>
    <n v="0"/>
    <n v="0"/>
    <n v="0"/>
    <n v="0"/>
    <m/>
    <n v="0"/>
    <n v="0"/>
    <n v="0"/>
    <n v="0"/>
    <n v="0"/>
    <n v="0"/>
    <n v="0"/>
    <n v="0"/>
    <n v="0"/>
    <n v="0"/>
    <n v="0"/>
    <n v="0"/>
    <n v="0"/>
    <m/>
    <m/>
    <m/>
    <m/>
    <m/>
    <m/>
    <m/>
    <m/>
    <m/>
    <m/>
    <m/>
    <m/>
    <m/>
    <m/>
    <m/>
    <m/>
    <m/>
    <m/>
    <m/>
    <m/>
    <m/>
    <m/>
    <m/>
    <m/>
    <m/>
    <m/>
    <m/>
    <m/>
    <m/>
    <m/>
    <m/>
    <m/>
    <m/>
    <m/>
    <m/>
  </r>
  <r>
    <n v="744"/>
    <d v="2025-03-18T00:00:00"/>
    <s v="ZBTO"/>
    <n v="9518610301"/>
    <n v="7"/>
    <s v="9518610301-7"/>
    <s v="Stocks"/>
    <x v="0"/>
    <m/>
    <x v="2"/>
    <x v="3"/>
    <s v="1000-IPPE"/>
    <m/>
    <x v="1"/>
    <m/>
    <m/>
    <m/>
    <s v="TBSPL"/>
    <s v=" "/>
    <m/>
    <n v="941597"/>
    <s v="TATA BLUESCOPE STEEL PRIVATE LIMITE"/>
    <n v="3940122"/>
    <s v="PPGL C HARD Y550PL D0C9 0.470(TPT)X1220"/>
    <s v="AZ150"/>
    <s v="ROYAL BLUE TSL 1815"/>
    <n v="3"/>
    <n v="5"/>
    <m/>
    <s v="B18"/>
    <s v="Y550PL"/>
    <s v="D0C9"/>
    <n v="0.47"/>
    <n v="1220"/>
    <n v="0"/>
    <n v="28"/>
    <n v="0"/>
    <n v="28"/>
    <n v="-21.765000000000001"/>
    <n v="0"/>
    <n v="0.26500000000000001"/>
    <n v="0"/>
    <n v="0"/>
    <n v="0"/>
    <n v="0"/>
    <n v="0"/>
    <n v="0"/>
    <n v="0"/>
    <n v="0"/>
    <n v="0"/>
    <n v="0"/>
    <n v="0"/>
    <n v="0"/>
    <n v="0"/>
    <n v="0"/>
    <n v="0"/>
    <n v="0"/>
    <n v="0"/>
    <n v="0"/>
    <n v="0"/>
    <n v="0"/>
    <n v="0"/>
    <n v="0"/>
    <n v="0"/>
    <m/>
    <n v="8.7799999999999994"/>
    <n v="0"/>
    <n v="0"/>
    <n v="0"/>
    <n v="0"/>
    <n v="0"/>
    <n v="0"/>
    <n v="0"/>
    <n v="0"/>
    <n v="0"/>
    <n v="0"/>
    <n v="0"/>
    <n v="0"/>
    <m/>
    <m/>
    <m/>
    <m/>
    <m/>
    <m/>
    <m/>
    <m/>
    <m/>
    <m/>
    <m/>
    <m/>
    <m/>
    <m/>
    <m/>
    <m/>
    <m/>
    <m/>
    <m/>
    <m/>
    <m/>
    <m/>
    <m/>
    <m/>
    <m/>
    <m/>
    <m/>
    <m/>
    <m/>
    <m/>
    <m/>
    <m/>
    <m/>
    <m/>
    <m/>
  </r>
  <r>
    <n v="743"/>
    <d v="2025-03-17T00:00:00"/>
    <s v="ZBTO"/>
    <n v="9518607443"/>
    <n v="3"/>
    <s v="9518607443-3"/>
    <s v="Stocks"/>
    <x v="0"/>
    <s v="Yes"/>
    <x v="3"/>
    <x v="9"/>
    <s v="2000-BPRS"/>
    <m/>
    <x v="1"/>
    <m/>
    <m/>
    <m/>
    <s v="East"/>
    <s v=" "/>
    <m/>
    <n v="121328"/>
    <s v="R. S. BOKARO METAL (P) LTD."/>
    <n v="1854424"/>
    <s v="GP COIL SOFT-TATXGP-GK09-0.6X900"/>
    <s v="Z80"/>
    <s v=""/>
    <n v="4"/>
    <n v="12"/>
    <m/>
    <s v="C02"/>
    <s v="TATXGP"/>
    <s v="GK09"/>
    <n v="0.6"/>
    <n v="900"/>
    <n v="0"/>
    <n v="84"/>
    <n v="0"/>
    <n v="84"/>
    <n v="84"/>
    <n v="74.08"/>
    <n v="15.935"/>
    <n v="0"/>
    <n v="0"/>
    <n v="0"/>
    <n v="0"/>
    <n v="0"/>
    <n v="0"/>
    <n v="0.23500000000000001"/>
    <n v="0"/>
    <n v="0"/>
    <n v="0"/>
    <n v="0"/>
    <n v="0"/>
    <n v="0"/>
    <n v="0"/>
    <n v="0"/>
    <n v="0"/>
    <n v="0"/>
    <n v="0"/>
    <n v="9.6850000000000005"/>
    <n v="9.92"/>
    <n v="9.92"/>
    <n v="0"/>
    <n v="9.92"/>
    <m/>
    <n v="68.064999999999998"/>
    <n v="0"/>
    <n v="0"/>
    <n v="0"/>
    <n v="0"/>
    <n v="0"/>
    <n v="0"/>
    <n v="0"/>
    <n v="0"/>
    <n v="0"/>
    <n v="0"/>
    <n v="0"/>
    <n v="0"/>
    <m/>
    <m/>
    <m/>
    <m/>
    <m/>
    <m/>
    <m/>
    <m/>
    <m/>
    <m/>
    <m/>
    <m/>
    <m/>
    <m/>
    <m/>
    <m/>
    <m/>
    <m/>
    <m/>
    <m/>
    <m/>
    <m/>
    <m/>
    <m/>
    <m/>
    <m/>
    <m/>
    <m/>
    <m/>
    <m/>
    <m/>
    <m/>
    <m/>
    <m/>
    <m/>
  </r>
  <r>
    <n v="743"/>
    <d v="2025-03-19T00:00:00"/>
    <s v="ZBTO"/>
    <n v="9518612772"/>
    <n v="2"/>
    <s v="9518612772-2"/>
    <s v="No Priority"/>
    <x v="0"/>
    <m/>
    <x v="3"/>
    <x v="9"/>
    <s v="2000-BPRS"/>
    <m/>
    <x v="0"/>
    <m/>
    <m/>
    <m/>
    <s v="North"/>
    <s v="KANPUR"/>
    <m/>
    <n v="938789"/>
    <s v="JAIN STEEL DISTRIBUTORS"/>
    <n v="1854429"/>
    <s v="GP COIL SOFT-TATXGP-GK09-0.63X900"/>
    <s v="Z80"/>
    <s v=""/>
    <n v="3.2"/>
    <n v="5"/>
    <m/>
    <s v="C02"/>
    <s v="TATXGP"/>
    <s v="GK09"/>
    <n v="0.63"/>
    <n v="900"/>
    <n v="0"/>
    <n v="252"/>
    <n v="0"/>
    <n v="252"/>
    <n v="252"/>
    <n v="252"/>
    <n v="252"/>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2"/>
    <s v="9518628976-2"/>
    <s v="May'25"/>
    <x v="0"/>
    <s v="Yes"/>
    <x v="1"/>
    <x v="1"/>
    <s v="2000-BPRS"/>
    <m/>
    <x v="1"/>
    <m/>
    <m/>
    <m/>
    <s v="South"/>
    <s v="VALPARAI"/>
    <m/>
    <n v="116465"/>
    <s v="SRI BALAJI STEEL TRADERS"/>
    <n v="279230"/>
    <s v="CRSHEET TATXXD AU03 0.60X1250X2500"/>
    <s v=" "/>
    <s v=""/>
    <n v="0"/>
    <n v="0"/>
    <m/>
    <s v="C06"/>
    <s v="TATXXD"/>
    <s v="AU03"/>
    <n v="0.6"/>
    <n v="1250"/>
    <n v="2500"/>
    <n v="60"/>
    <n v="0"/>
    <n v="60"/>
    <n v="60"/>
    <n v="60"/>
    <n v="60"/>
    <n v="0"/>
    <n v="0"/>
    <n v="0"/>
    <n v="0"/>
    <n v="0"/>
    <n v="0"/>
    <n v="0"/>
    <n v="0"/>
    <n v="0"/>
    <n v="0"/>
    <n v="0"/>
    <n v="0"/>
    <n v="0"/>
    <n v="0"/>
    <n v="0"/>
    <n v="0"/>
    <n v="0"/>
    <n v="0"/>
    <n v="0"/>
    <n v="0"/>
    <n v="0"/>
    <n v="0"/>
    <n v="0"/>
    <m/>
    <n v="0"/>
    <n v="60"/>
    <n v="0"/>
    <n v="0"/>
    <n v="0"/>
    <n v="0"/>
    <n v="60"/>
    <n v="0"/>
    <n v="0"/>
    <n v="0"/>
    <n v="0"/>
    <n v="0"/>
    <n v="0"/>
    <m/>
    <m/>
    <m/>
    <m/>
    <m/>
    <m/>
    <m/>
    <m/>
    <m/>
    <m/>
    <m/>
    <m/>
    <m/>
    <m/>
    <m/>
    <m/>
    <m/>
    <m/>
    <m/>
    <m/>
    <m/>
    <m/>
    <m/>
    <m/>
    <m/>
    <m/>
    <m/>
    <m/>
    <m/>
    <m/>
    <m/>
    <m/>
    <m/>
    <m/>
    <m/>
  </r>
  <r>
    <n v="742"/>
    <d v="2025-03-26T00:00:00"/>
    <s v="ZBTO"/>
    <n v="9518637426"/>
    <n v="2"/>
    <s v="9518637426-2"/>
    <s v="May'25"/>
    <x v="0"/>
    <s v="Yes"/>
    <x v="1"/>
    <x v="1"/>
    <s v="2000-BPRS"/>
    <m/>
    <x v="1"/>
    <m/>
    <m/>
    <m/>
    <s v="East"/>
    <s v="URLA"/>
    <m/>
    <n v="139336"/>
    <s v="PASA ASSOCIATES PRIVATE LIMITED"/>
    <n v="291034"/>
    <s v="CRSHEET C06 TATCRC TR15 2X1250X2500"/>
    <s v=" "/>
    <s v=""/>
    <n v="2"/>
    <n v="3"/>
    <m/>
    <s v="C06"/>
    <s v="TATCRC"/>
    <s v="TR15"/>
    <n v="2"/>
    <n v="125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3"/>
    <d v="2025-03-20T00:00:00"/>
    <s v="ZBTO"/>
    <n v="9518617039"/>
    <n v="3"/>
    <s v="9518617039-3"/>
    <s v="May'25"/>
    <x v="0"/>
    <s v="Yes"/>
    <x v="4"/>
    <x v="3"/>
    <s v="1000-IPPE"/>
    <m/>
    <x v="1"/>
    <m/>
    <m/>
    <m/>
    <s v="TBSPL"/>
    <s v=" "/>
    <m/>
    <n v="942283"/>
    <s v="TATA BLUESCOPE STEEL PRIVATE LIMITE"/>
    <n v="1881969"/>
    <s v="GL C YS550 H6GL 0.45BMT(0.50TCT)X1220"/>
    <s v="AZ150"/>
    <s v=""/>
    <n v="3"/>
    <n v="5"/>
    <m/>
    <s v="B04"/>
    <s v="Y550GL"/>
    <s v="H6GL"/>
    <n v="0.45"/>
    <n v="1220"/>
    <n v="0"/>
    <n v="140"/>
    <n v="0"/>
    <n v="140"/>
    <n v="140"/>
    <n v="140"/>
    <n v="140"/>
    <n v="0"/>
    <n v="0"/>
    <n v="0"/>
    <n v="0"/>
    <n v="0"/>
    <n v="0"/>
    <n v="0"/>
    <n v="0"/>
    <n v="0"/>
    <n v="0"/>
    <n v="0"/>
    <n v="0"/>
    <n v="0"/>
    <n v="0"/>
    <n v="0"/>
    <n v="0"/>
    <n v="0"/>
    <n v="0"/>
    <n v="0"/>
    <n v="0"/>
    <n v="0"/>
    <n v="0"/>
    <n v="0"/>
    <m/>
    <n v="0"/>
    <n v="140"/>
    <n v="0"/>
    <n v="0"/>
    <n v="0"/>
    <n v="140"/>
    <n v="0"/>
    <n v="0"/>
    <n v="0"/>
    <n v="0"/>
    <n v="0"/>
    <n v="0"/>
    <n v="0"/>
    <m/>
    <m/>
    <m/>
    <m/>
    <m/>
    <m/>
    <m/>
    <m/>
    <m/>
    <m/>
    <m/>
    <m/>
    <m/>
    <m/>
    <m/>
    <m/>
    <m/>
    <m/>
    <m/>
    <m/>
    <m/>
    <m/>
    <m/>
    <m/>
    <m/>
    <m/>
    <m/>
    <m/>
    <m/>
    <m/>
    <m/>
    <m/>
    <m/>
    <m/>
    <m/>
  </r>
  <r>
    <n v="744"/>
    <d v="2025-03-29T00:00:00"/>
    <s v="ZBTO"/>
    <n v="9518652442"/>
    <n v="1"/>
    <s v="9518652442-1"/>
    <s v="May'25"/>
    <x v="0"/>
    <m/>
    <x v="2"/>
    <x v="3"/>
    <s v="1000-IPPE"/>
    <m/>
    <x v="1"/>
    <m/>
    <m/>
    <m/>
    <s v="TBSPL"/>
    <s v=" "/>
    <m/>
    <n v="941597"/>
    <s v="TATA BLUESCOPE STEEL PRIVATE LIMITE"/>
    <n v="3940122"/>
    <s v="PPGL C HARD Y550PL D0C9 0.470(TPT)X1220"/>
    <s v="AZ150"/>
    <s v="RAL 7015 TSL 1805"/>
    <n v="3"/>
    <n v="5"/>
    <m/>
    <s v="B18"/>
    <s v="Y550PL"/>
    <s v="D0C9"/>
    <n v="0.47"/>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2"/>
    <d v="2025-03-27T00:00:00"/>
    <s v="ZBTO"/>
    <n v="9518644656"/>
    <n v="11"/>
    <s v="9518644656-11"/>
    <s v="May'25"/>
    <x v="0"/>
    <s v="Yes"/>
    <x v="1"/>
    <x v="2"/>
    <s v="2000-BPRS"/>
    <m/>
    <x v="1"/>
    <m/>
    <m/>
    <m/>
    <s v="East"/>
    <s v="SILIGURI TOWN"/>
    <m/>
    <n v="948783"/>
    <s v="SAGAR STEELS"/>
    <n v="3240765"/>
    <s v="CRCA SHEET TSBCRC SR15 0.500X1250X2500"/>
    <s v=" "/>
    <s v=""/>
    <n v="0"/>
    <n v="0"/>
    <m/>
    <s v="C06"/>
    <s v="TSBCRC"/>
    <s v="SR15"/>
    <n v="0.5"/>
    <n v="1250"/>
    <n v="2500"/>
    <n v="24"/>
    <n v="0"/>
    <n v="24"/>
    <n v="-3.63"/>
    <n v="0"/>
    <n v="24"/>
    <n v="0"/>
    <n v="0"/>
    <n v="0"/>
    <n v="0"/>
    <n v="0"/>
    <n v="0"/>
    <n v="0"/>
    <n v="0"/>
    <n v="26.875"/>
    <n v="0"/>
    <n v="0"/>
    <n v="0"/>
    <n v="0"/>
    <n v="0"/>
    <n v="0"/>
    <n v="0"/>
    <n v="0"/>
    <n v="0"/>
    <n v="0"/>
    <n v="26.875"/>
    <n v="26.875"/>
    <n v="0"/>
    <n v="26.875"/>
    <m/>
    <n v="0"/>
    <n v="24"/>
    <n v="24"/>
    <n v="0"/>
    <n v="0"/>
    <n v="0"/>
    <n v="0"/>
    <n v="0"/>
    <n v="0"/>
    <n v="0"/>
    <n v="0"/>
    <n v="0"/>
    <n v="0"/>
    <m/>
    <m/>
    <m/>
    <m/>
    <m/>
    <m/>
    <m/>
    <m/>
    <m/>
    <m/>
    <m/>
    <m/>
    <m/>
    <m/>
    <m/>
    <m/>
    <m/>
    <m/>
    <m/>
    <m/>
    <m/>
    <m/>
    <m/>
    <m/>
    <m/>
    <m/>
    <m/>
    <m/>
    <m/>
    <m/>
    <m/>
    <m/>
    <m/>
    <m/>
    <m/>
  </r>
  <r>
    <n v="742"/>
    <d v="2025-02-20T00:00:00"/>
    <s v="ZBTO"/>
    <n v="9518535833"/>
    <n v="3"/>
    <s v="9518535833-3"/>
    <s v="No Priority"/>
    <x v="0"/>
    <m/>
    <x v="1"/>
    <x v="1"/>
    <s v="2000-BPRS"/>
    <m/>
    <x v="0"/>
    <m/>
    <m/>
    <m/>
    <s v="South"/>
    <s v="CHENNAI"/>
    <m/>
    <n v="938550"/>
    <s v="BASEER AND CO"/>
    <n v="2165170"/>
    <s v="CRCA COIL TATCRC TR15 0.400X900"/>
    <s v=" "/>
    <s v=""/>
    <n v="6"/>
    <n v="18"/>
    <m/>
    <s v="C01"/>
    <s v="TATCRC"/>
    <s v="TR15"/>
    <n v="0.4"/>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19"/>
    <s v="9518620674-19"/>
    <s v="May'25"/>
    <x v="0"/>
    <s v="Yes"/>
    <x v="1"/>
    <x v="1"/>
    <s v="2000-BPRS"/>
    <m/>
    <x v="1"/>
    <m/>
    <m/>
    <m/>
    <s v="South"/>
    <s v="CHENNAI"/>
    <m/>
    <n v="938550"/>
    <s v="BASEER AND CO"/>
    <n v="1804867"/>
    <s v="CRCA COIL-TATXXD-AU03-1.6X1250"/>
    <s v=" "/>
    <s v=""/>
    <n v="6"/>
    <n v="18"/>
    <m/>
    <s v="C01"/>
    <s v="TATXXD"/>
    <s v="AU03"/>
    <n v="1.6"/>
    <n v="1250"/>
    <n v="0"/>
    <n v="29"/>
    <n v="0"/>
    <n v="29"/>
    <n v="29"/>
    <n v="8.5300000000000011"/>
    <n v="29"/>
    <n v="0"/>
    <n v="0"/>
    <n v="0"/>
    <n v="0"/>
    <n v="0"/>
    <n v="0"/>
    <n v="0"/>
    <n v="0"/>
    <n v="0"/>
    <n v="0"/>
    <n v="0"/>
    <n v="0"/>
    <n v="0"/>
    <n v="20.47"/>
    <n v="0"/>
    <n v="0"/>
    <n v="0"/>
    <n v="0"/>
    <n v="0"/>
    <n v="20.47"/>
    <n v="20.47"/>
    <n v="0"/>
    <n v="20.47"/>
    <m/>
    <n v="0"/>
    <n v="29"/>
    <n v="29"/>
    <n v="0"/>
    <n v="0"/>
    <n v="0"/>
    <n v="0"/>
    <n v="0"/>
    <n v="0"/>
    <n v="0"/>
    <n v="0"/>
    <n v="0"/>
    <n v="0"/>
    <m/>
    <m/>
    <m/>
    <m/>
    <m/>
    <m/>
    <m/>
    <m/>
    <m/>
    <m/>
    <m/>
    <m/>
    <m/>
    <m/>
    <m/>
    <m/>
    <m/>
    <m/>
    <m/>
    <m/>
    <m/>
    <m/>
    <m/>
    <m/>
    <m/>
    <m/>
    <m/>
    <m/>
    <m/>
    <m/>
    <m/>
    <m/>
    <m/>
    <m/>
    <m/>
  </r>
  <r>
    <n v="742"/>
    <d v="2025-03-28T00:00:00"/>
    <s v="ZBTO"/>
    <n v="9518649334"/>
    <n v="4"/>
    <s v="9518649334-4"/>
    <s v="No Priority"/>
    <x v="0"/>
    <m/>
    <x v="0"/>
    <x v="0"/>
    <s v="2000-BPRS"/>
    <m/>
    <x v="0"/>
    <m/>
    <m/>
    <m/>
    <s v="North"/>
    <s v="FARIDABAD"/>
    <m/>
    <n v="936528"/>
    <s v="SHORI LAL KEWAL KUMAR"/>
    <n v="3461597"/>
    <s v="HR COILS-PO I09497 2.40X1250"/>
    <s v=" "/>
    <s v=""/>
    <n v="17"/>
    <n v="26"/>
    <m/>
    <n v="768"/>
    <s v="I09497"/>
    <s v="HG01"/>
    <n v="2.4"/>
    <n v="1250"/>
    <n v="0"/>
    <n v="50"/>
    <n v="0"/>
    <n v="50"/>
    <n v="50"/>
    <n v="50"/>
    <n v="0"/>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159"/>
    <n v="1"/>
    <s v="9518620159-1"/>
    <s v="Stocks"/>
    <x v="0"/>
    <s v="Yes"/>
    <x v="1"/>
    <x v="1"/>
    <s v="2000-BPRS"/>
    <m/>
    <x v="1"/>
    <m/>
    <m/>
    <m/>
    <s v="East"/>
    <s v="URLA"/>
    <m/>
    <n v="931662"/>
    <s v="PRESTIGE METALLICS PRIVATE LIMITED"/>
    <n v="322579"/>
    <s v="CRCA SHEET TATCRC TR15 .8X1250X2500"/>
    <s v=" "/>
    <s v=""/>
    <n v="0"/>
    <n v="0"/>
    <m/>
    <s v="C06"/>
    <s v="TATCRC"/>
    <s v="TR15"/>
    <n v="0.8"/>
    <n v="1250"/>
    <n v="2500"/>
    <n v="30"/>
    <n v="0"/>
    <n v="30"/>
    <n v="2.42"/>
    <n v="0"/>
    <n v="4.03"/>
    <n v="0"/>
    <n v="0"/>
    <n v="0"/>
    <n v="0"/>
    <n v="0"/>
    <n v="0"/>
    <n v="0"/>
    <n v="0"/>
    <n v="0"/>
    <n v="0"/>
    <n v="0"/>
    <n v="0"/>
    <n v="0"/>
    <n v="0"/>
    <n v="0"/>
    <n v="0.35000000000000003"/>
    <n v="0"/>
    <n v="0"/>
    <n v="0"/>
    <n v="0.35000000000000003"/>
    <n v="0.35000000000000003"/>
    <n v="0"/>
    <n v="0.35000000000000003"/>
    <m/>
    <n v="25.97"/>
    <n v="0"/>
    <n v="0"/>
    <n v="0"/>
    <n v="0"/>
    <n v="0"/>
    <n v="0"/>
    <n v="0"/>
    <n v="0"/>
    <n v="0"/>
    <n v="0"/>
    <n v="0"/>
    <n v="0"/>
    <m/>
    <m/>
    <m/>
    <m/>
    <m/>
    <m/>
    <m/>
    <m/>
    <m/>
    <m/>
    <m/>
    <m/>
    <m/>
    <m/>
    <m/>
    <m/>
    <m/>
    <m/>
    <m/>
    <m/>
    <m/>
    <m/>
    <m/>
    <m/>
    <m/>
    <m/>
    <m/>
    <m/>
    <m/>
    <m/>
    <m/>
    <m/>
    <m/>
    <m/>
    <m/>
  </r>
  <r>
    <n v="742"/>
    <d v="2025-04-03T00:00:00"/>
    <s v="ZBTO"/>
    <n v="9518667687"/>
    <n v="1"/>
    <s v="9518667687-1"/>
    <s v="May'25"/>
    <x v="0"/>
    <s v="Yes"/>
    <x v="1"/>
    <x v="1"/>
    <s v="2000-BPRS"/>
    <m/>
    <x v="1"/>
    <m/>
    <m/>
    <m/>
    <s v="South"/>
    <s v="YESHWANTHPURA"/>
    <m/>
    <n v="932244"/>
    <s v="DURGA TRADERS"/>
    <n v="1804814"/>
    <s v="CRCA COIL TATXXD AU03 0.8X1250"/>
    <s v=" "/>
    <s v=""/>
    <n v="10"/>
    <n v="28"/>
    <m/>
    <s v="C01"/>
    <s v="TATXXD"/>
    <s v="AU03"/>
    <n v="0.8"/>
    <n v="1250"/>
    <n v="0"/>
    <n v="145"/>
    <n v="0"/>
    <n v="145"/>
    <n v="123.85"/>
    <n v="123.53"/>
    <n v="145"/>
    <n v="0"/>
    <n v="0"/>
    <n v="0"/>
    <n v="21.47"/>
    <n v="0"/>
    <n v="0"/>
    <n v="0"/>
    <n v="0"/>
    <n v="0"/>
    <n v="0"/>
    <n v="0"/>
    <n v="0"/>
    <n v="0"/>
    <n v="0"/>
    <n v="0"/>
    <n v="0"/>
    <n v="0"/>
    <n v="0"/>
    <n v="0"/>
    <n v="21.47"/>
    <n v="21.47"/>
    <n v="0"/>
    <n v="21.47"/>
    <m/>
    <n v="0"/>
    <n v="145"/>
    <n v="0"/>
    <n v="0"/>
    <n v="0"/>
    <n v="145"/>
    <n v="0"/>
    <n v="0"/>
    <n v="0"/>
    <n v="0"/>
    <n v="0"/>
    <n v="0"/>
    <n v="0"/>
    <m/>
    <m/>
    <m/>
    <m/>
    <m/>
    <m/>
    <m/>
    <m/>
    <m/>
    <m/>
    <m/>
    <m/>
    <m/>
    <m/>
    <m/>
    <m/>
    <m/>
    <m/>
    <m/>
    <m/>
    <m/>
    <m/>
    <m/>
    <m/>
    <m/>
    <m/>
    <m/>
    <m/>
    <m/>
    <m/>
    <m/>
    <m/>
    <m/>
    <m/>
    <m/>
  </r>
  <r>
    <n v="742"/>
    <d v="2025-04-03T00:00:00"/>
    <s v="ZBTO"/>
    <n v="9518667687"/>
    <n v="3"/>
    <s v="9518667687-3"/>
    <s v="No Priority"/>
    <x v="0"/>
    <m/>
    <x v="1"/>
    <x v="1"/>
    <s v="2000-BPRS"/>
    <m/>
    <x v="0"/>
    <m/>
    <m/>
    <m/>
    <s v="South"/>
    <s v="YESHWANTHPURA"/>
    <m/>
    <n v="932244"/>
    <s v="DURGA TRADERS"/>
    <n v="2193599"/>
    <s v="CRCA COIL TATXXD AU03 1.400X1250"/>
    <s v=" "/>
    <s v=""/>
    <n v="15"/>
    <n v="28"/>
    <m/>
    <s v="C01"/>
    <s v="TATXXD"/>
    <s v="AU03"/>
    <n v="1.4"/>
    <n v="1250"/>
    <n v="0"/>
    <n v="87"/>
    <n v="0"/>
    <n v="87"/>
    <n v="87"/>
    <n v="87"/>
    <n v="87"/>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220"/>
    <n v="7"/>
    <s v="9518692220-7"/>
    <s v="No Priority"/>
    <x v="0"/>
    <m/>
    <x v="3"/>
    <x v="9"/>
    <s v="2000-BPRS"/>
    <m/>
    <x v="0"/>
    <m/>
    <m/>
    <m/>
    <s v="East"/>
    <s v=" "/>
    <m/>
    <n v="121328"/>
    <s v="R. S. BOKARO METAL (P) LTD."/>
    <n v="1178439"/>
    <s v="GP COIL SOFT-TATXGP-GK09-0.4X900"/>
    <s v="Z80"/>
    <s v=""/>
    <n v="4"/>
    <n v="12"/>
    <m/>
    <s v="C02"/>
    <s v="TATXGP"/>
    <s v="GK09"/>
    <n v="0.4"/>
    <n v="900"/>
    <n v="0"/>
    <n v="147"/>
    <n v="0"/>
    <n v="147"/>
    <n v="147"/>
    <n v="147"/>
    <n v="147"/>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F"/>
    <n v="4000503317"/>
    <n v="2"/>
    <s v="4000503317-2"/>
    <s v="No Priority"/>
    <x v="0"/>
    <m/>
    <x v="0"/>
    <x v="0"/>
    <n v="2000"/>
    <m/>
    <x v="0"/>
    <m/>
    <m/>
    <m/>
    <s v="South"/>
    <s v="YESHWANTHPURA"/>
    <m/>
    <n v="600103"/>
    <s v="TATA STEEL LIMITED"/>
    <n v="3678577"/>
    <s v="HR COILS-PO THR099 4.60X1250"/>
    <s v=" "/>
    <s v=""/>
    <n v="17"/>
    <n v="27.5"/>
    <m/>
    <n v="768"/>
    <s v="THR099"/>
    <s v="HR99"/>
    <n v="4.5999999999999996"/>
    <n v="1250"/>
    <n v="0"/>
    <n v="25"/>
    <n v="0"/>
    <n v="25"/>
    <n v="-23.77"/>
    <n v="0"/>
    <n v="0.55000000000000004"/>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7687"/>
    <n v="4"/>
    <s v="9518667687-4"/>
    <s v="No Priority"/>
    <x v="0"/>
    <s v="Yes"/>
    <x v="1"/>
    <x v="1"/>
    <s v="2000-BPRS"/>
    <m/>
    <x v="0"/>
    <m/>
    <s v="De-prioritized due to Apr CF orders"/>
    <m/>
    <s v="South"/>
    <s v="YESHWANTHPURA"/>
    <m/>
    <n v="932244"/>
    <s v="DURGA TRADERS"/>
    <n v="1884117"/>
    <s v="CRCA COIL-TATXXD-AU03-2X1250"/>
    <s v=" "/>
    <s v=""/>
    <n v="15"/>
    <n v="28"/>
    <m/>
    <s v="C01"/>
    <s v="TATXXD"/>
    <s v="AU03"/>
    <n v="2"/>
    <n v="1250"/>
    <n v="0"/>
    <n v="145"/>
    <n v="0"/>
    <n v="145"/>
    <n v="145"/>
    <n v="145"/>
    <n v="145"/>
    <n v="0"/>
    <n v="0"/>
    <n v="0"/>
    <n v="0"/>
    <n v="0"/>
    <n v="0"/>
    <n v="0"/>
    <n v="0"/>
    <n v="0"/>
    <n v="0"/>
    <n v="0"/>
    <n v="0"/>
    <n v="0"/>
    <n v="0"/>
    <n v="0"/>
    <n v="0"/>
    <n v="0"/>
    <n v="0"/>
    <n v="0"/>
    <n v="0"/>
    <n v="0"/>
    <n v="0"/>
    <n v="0"/>
    <m/>
    <n v="0"/>
    <n v="0"/>
    <n v="0"/>
    <n v="0"/>
    <n v="0"/>
    <n v="0"/>
    <n v="0"/>
    <n v="0"/>
    <n v="0"/>
    <n v="0"/>
    <n v="0"/>
    <n v="0"/>
    <n v="0"/>
    <m/>
    <m/>
    <m/>
    <m/>
    <m/>
    <m/>
    <m/>
    <m/>
    <m/>
    <m/>
    <m/>
    <m/>
    <m/>
    <m/>
    <m/>
    <m/>
    <m/>
    <m/>
    <m/>
    <m/>
    <m/>
    <m/>
    <m/>
    <m/>
    <m/>
    <m/>
    <m/>
    <m/>
    <m/>
    <m/>
    <m/>
    <m/>
    <m/>
    <m/>
    <m/>
  </r>
  <r>
    <n v="744"/>
    <d v="2025-04-08T00:00:00"/>
    <s v="ZBTO"/>
    <n v="9518677543"/>
    <n v="2"/>
    <s v="9518677543-2"/>
    <s v="May'25"/>
    <x v="0"/>
    <m/>
    <x v="2"/>
    <x v="3"/>
    <s v="1000-IPPE"/>
    <m/>
    <x v="1"/>
    <m/>
    <m/>
    <m/>
    <s v="TBSPL"/>
    <s v=" "/>
    <m/>
    <n v="941597"/>
    <s v="TATA BLUESCOPE STEEL PRIVATE LIMITE"/>
    <n v="3974072"/>
    <s v="PPGL C HARD Y550PL SXO1 0.53(TPT)X1220"/>
    <s v="AZ150"/>
    <s v="RAL 9002 TSL 2101"/>
    <n v="3"/>
    <n v="5"/>
    <m/>
    <s v="B18"/>
    <s v="Y550PL"/>
    <s v="SXO1"/>
    <n v="0.53"/>
    <n v="1220"/>
    <n v="0"/>
    <n v="28"/>
    <n v="3.0750000000000002"/>
    <n v="24.925000000000001"/>
    <n v="24.925000000000001"/>
    <n v="24.925000000000001"/>
    <n v="24.925000000000001"/>
    <n v="0"/>
    <n v="0"/>
    <n v="0"/>
    <n v="0"/>
    <n v="0"/>
    <n v="0"/>
    <n v="0"/>
    <n v="0"/>
    <n v="0"/>
    <n v="0"/>
    <n v="0"/>
    <n v="0"/>
    <n v="0"/>
    <n v="0"/>
    <n v="0"/>
    <n v="0"/>
    <n v="0"/>
    <n v="0"/>
    <n v="0"/>
    <n v="0"/>
    <n v="0"/>
    <n v="0"/>
    <n v="0"/>
    <m/>
    <n v="0"/>
    <n v="24.925000000000001"/>
    <n v="0"/>
    <n v="0"/>
    <n v="24.925000000000001"/>
    <n v="0"/>
    <n v="0"/>
    <n v="0"/>
    <n v="0"/>
    <n v="0"/>
    <n v="0"/>
    <n v="0"/>
    <n v="0"/>
    <m/>
    <m/>
    <m/>
    <m/>
    <m/>
    <m/>
    <m/>
    <m/>
    <m/>
    <m/>
    <m/>
    <m/>
    <m/>
    <m/>
    <m/>
    <m/>
    <m/>
    <m/>
    <m/>
    <m/>
    <m/>
    <m/>
    <m/>
    <m/>
    <m/>
    <m/>
    <m/>
    <m/>
    <m/>
    <m/>
    <m/>
    <m/>
    <m/>
    <m/>
    <m/>
  </r>
  <r>
    <n v="744"/>
    <d v="2025-04-17T00:00:00"/>
    <s v="ZBTO"/>
    <n v="9518700594"/>
    <n v="1"/>
    <s v="9518700594-1"/>
    <s v="May'25"/>
    <x v="0"/>
    <m/>
    <x v="2"/>
    <x v="3"/>
    <s v="1000-IPPE"/>
    <m/>
    <x v="1"/>
    <m/>
    <m/>
    <m/>
    <s v="TBSPL"/>
    <s v="GAMHARIA"/>
    <m/>
    <n v="940016"/>
    <s v="TATA BLUESCOPE STEEL PVT LTD."/>
    <n v="3941967"/>
    <s v="PPGL C HARD Y550PL D0C9 0.60(TPT)X1220"/>
    <s v="AZ150"/>
    <s v="RAL 5012 TSL 1802"/>
    <n v="3"/>
    <n v="5"/>
    <m/>
    <s v="B18"/>
    <s v="Y550PL"/>
    <s v="D0C9"/>
    <n v="0.6"/>
    <n v="1220"/>
    <n v="0"/>
    <n v="56"/>
    <n v="0"/>
    <n v="56"/>
    <n v="56"/>
    <n v="56"/>
    <n v="56"/>
    <n v="0"/>
    <n v="0"/>
    <n v="0"/>
    <n v="0"/>
    <n v="0"/>
    <n v="0"/>
    <n v="0"/>
    <n v="0"/>
    <n v="0"/>
    <n v="0"/>
    <n v="0"/>
    <n v="0"/>
    <n v="0"/>
    <n v="0"/>
    <n v="0"/>
    <n v="0"/>
    <n v="0"/>
    <n v="0"/>
    <n v="0"/>
    <n v="0"/>
    <n v="0"/>
    <n v="0"/>
    <n v="0"/>
    <m/>
    <n v="0"/>
    <n v="56"/>
    <n v="0"/>
    <n v="56"/>
    <n v="0"/>
    <n v="0"/>
    <n v="0"/>
    <n v="56"/>
    <n v="0"/>
    <n v="56"/>
    <n v="0"/>
    <n v="0"/>
    <n v="0"/>
    <m/>
    <m/>
    <m/>
    <m/>
    <m/>
    <m/>
    <m/>
    <m/>
    <m/>
    <m/>
    <m/>
    <m/>
    <m/>
    <m/>
    <m/>
    <m/>
    <m/>
    <m/>
    <m/>
    <m/>
    <m/>
    <m/>
    <m/>
    <m/>
    <m/>
    <m/>
    <m/>
    <m/>
    <m/>
    <m/>
    <m/>
    <m/>
    <m/>
    <m/>
    <m/>
  </r>
  <r>
    <n v="744"/>
    <d v="2025-04-17T00:00:00"/>
    <s v="ZBTO"/>
    <n v="9518700504"/>
    <n v="1"/>
    <s v="9518700504-1"/>
    <s v="Stocks"/>
    <x v="0"/>
    <m/>
    <x v="2"/>
    <x v="3"/>
    <s v="1000-IPPE"/>
    <m/>
    <x v="1"/>
    <m/>
    <m/>
    <m/>
    <s v="TBSPL"/>
    <s v="GAMHARIA"/>
    <m/>
    <n v="940016"/>
    <s v="TATA BLUESCOPE STEEL PVT LTD."/>
    <n v="3964963"/>
    <s v="PPGL C HARD Y550PL DX01 0.68(TPT)X1220"/>
    <s v="AZ150"/>
    <s v="RAL 5012 TSL 2002"/>
    <n v="3"/>
    <n v="5"/>
    <m/>
    <s v="B18"/>
    <s v="Y550PL"/>
    <s v="DX01"/>
    <n v="0.68"/>
    <n v="1220"/>
    <n v="0"/>
    <n v="27.998999999999999"/>
    <n v="0"/>
    <n v="27.998999999999999"/>
    <n v="27.998999999999999"/>
    <n v="27.998999999999999"/>
    <n v="2.1339999999999999"/>
    <n v="0"/>
    <n v="0"/>
    <n v="0"/>
    <n v="0"/>
    <n v="0"/>
    <n v="0"/>
    <n v="0"/>
    <n v="0"/>
    <n v="0"/>
    <n v="0"/>
    <n v="0"/>
    <n v="0"/>
    <n v="0"/>
    <n v="0"/>
    <n v="0"/>
    <n v="0"/>
    <n v="0"/>
    <n v="0"/>
    <n v="0"/>
    <n v="0"/>
    <n v="0"/>
    <n v="0"/>
    <n v="0"/>
    <m/>
    <n v="25.865000000000002"/>
    <n v="2.1339999999999999"/>
    <n v="2.1339999999999999"/>
    <n v="0"/>
    <n v="0"/>
    <n v="0"/>
    <n v="0"/>
    <n v="0"/>
    <n v="0"/>
    <n v="0"/>
    <n v="0"/>
    <n v="0"/>
    <n v="0"/>
    <m/>
    <m/>
    <m/>
    <m/>
    <m/>
    <m/>
    <m/>
    <m/>
    <m/>
    <m/>
    <m/>
    <m/>
    <m/>
    <m/>
    <m/>
    <m/>
    <m/>
    <m/>
    <m/>
    <m/>
    <m/>
    <m/>
    <m/>
    <m/>
    <m/>
    <m/>
    <m/>
    <m/>
    <m/>
    <m/>
    <m/>
    <m/>
    <m/>
    <m/>
    <m/>
  </r>
  <r>
    <n v="742"/>
    <d v="2025-04-15T00:00:00"/>
    <s v="ZBTF"/>
    <n v="9518695452"/>
    <n v="2"/>
    <s v="9518695452-2"/>
    <s v="May'25"/>
    <x v="0"/>
    <m/>
    <x v="1"/>
    <x v="7"/>
    <s v="1000-IPPE"/>
    <m/>
    <x v="1"/>
    <m/>
    <m/>
    <m/>
    <s v="East"/>
    <s v="PILKHUWA"/>
    <m/>
    <n v="600250"/>
    <s v="TATA CENTER"/>
    <n v="3587949"/>
    <s v="CR COIL TSBSTA EL06 0.500X1250"/>
    <s v=" "/>
    <s v=""/>
    <n v="8"/>
    <n v="14"/>
    <m/>
    <s v="C01"/>
    <s v="TSBSTA"/>
    <s v="EL06"/>
    <n v="0.5"/>
    <n v="1250"/>
    <n v="0"/>
    <n v="87"/>
    <n v="0"/>
    <n v="87"/>
    <n v="87"/>
    <n v="20.069999999999993"/>
    <n v="63.05"/>
    <n v="0"/>
    <n v="0"/>
    <n v="0"/>
    <n v="0"/>
    <n v="0"/>
    <n v="0"/>
    <n v="0"/>
    <n v="66.930000000000007"/>
    <n v="0"/>
    <n v="0"/>
    <n v="0"/>
    <n v="0"/>
    <n v="0"/>
    <n v="0"/>
    <n v="0"/>
    <n v="0"/>
    <n v="0"/>
    <n v="0"/>
    <n v="0"/>
    <n v="66.930000000000007"/>
    <n v="66.930000000000007"/>
    <n v="0"/>
    <n v="66.930000000000007"/>
    <m/>
    <n v="11.41"/>
    <n v="63.05"/>
    <n v="0"/>
    <n v="63.05"/>
    <n v="0"/>
    <n v="0"/>
    <n v="0"/>
    <n v="63.05"/>
    <n v="0"/>
    <n v="63.05"/>
    <n v="0"/>
    <n v="0"/>
    <n v="0"/>
    <m/>
    <m/>
    <m/>
    <m/>
    <m/>
    <m/>
    <m/>
    <m/>
    <m/>
    <m/>
    <m/>
    <m/>
    <m/>
    <m/>
    <m/>
    <m/>
    <m/>
    <m/>
    <m/>
    <m/>
    <m/>
    <m/>
    <m/>
    <m/>
    <m/>
    <m/>
    <m/>
    <m/>
    <m/>
    <m/>
    <m/>
    <m/>
    <m/>
    <m/>
    <m/>
  </r>
  <r>
    <n v="742"/>
    <d v="2025-04-15T00:00:00"/>
    <s v="ZBTF"/>
    <n v="9518695452"/>
    <n v="3"/>
    <s v="9518695452-3"/>
    <s v="May'25"/>
    <x v="0"/>
    <m/>
    <x v="1"/>
    <x v="7"/>
    <s v="1000-IPPE"/>
    <m/>
    <x v="1"/>
    <m/>
    <m/>
    <m/>
    <s v="East"/>
    <s v="PILKHUWA"/>
    <m/>
    <n v="600250"/>
    <s v="TATA CENTER"/>
    <n v="3587949"/>
    <s v="CR COIL TSBSTA EL06 0.500X1250"/>
    <s v=" "/>
    <s v=""/>
    <n v="8"/>
    <n v="14"/>
    <m/>
    <s v="C01"/>
    <s v="TSBSTA"/>
    <s v="EL06"/>
    <n v="0.5"/>
    <n v="1250"/>
    <n v="0"/>
    <n v="290"/>
    <n v="0"/>
    <n v="290"/>
    <n v="290"/>
    <n v="290"/>
    <n v="290"/>
    <n v="0"/>
    <n v="0"/>
    <n v="0"/>
    <n v="0"/>
    <n v="0"/>
    <n v="0"/>
    <n v="0"/>
    <n v="0"/>
    <n v="0"/>
    <n v="0"/>
    <n v="0"/>
    <n v="0"/>
    <n v="0"/>
    <n v="0"/>
    <n v="0"/>
    <n v="0"/>
    <n v="0"/>
    <n v="0"/>
    <n v="0"/>
    <n v="0"/>
    <n v="0"/>
    <n v="0"/>
    <n v="0"/>
    <m/>
    <n v="0"/>
    <n v="290"/>
    <n v="0"/>
    <n v="0"/>
    <n v="0"/>
    <n v="290"/>
    <n v="0"/>
    <n v="0"/>
    <n v="0"/>
    <n v="0"/>
    <n v="0"/>
    <n v="0"/>
    <n v="0"/>
    <m/>
    <m/>
    <m/>
    <m/>
    <m/>
    <m/>
    <m/>
    <m/>
    <m/>
    <m/>
    <m/>
    <m/>
    <m/>
    <m/>
    <m/>
    <m/>
    <m/>
    <m/>
    <m/>
    <m/>
    <m/>
    <m/>
    <m/>
    <m/>
    <m/>
    <m/>
    <m/>
    <m/>
    <m/>
    <m/>
    <m/>
    <m/>
    <m/>
    <m/>
    <m/>
  </r>
  <r>
    <n v="742"/>
    <d v="2025-04-15T00:00:00"/>
    <s v="ZBTF"/>
    <n v="9518695452"/>
    <n v="4"/>
    <s v="9518695452-4"/>
    <s v="May'25"/>
    <x v="0"/>
    <m/>
    <x v="1"/>
    <x v="7"/>
    <s v="1000-IPPE"/>
    <m/>
    <x v="1"/>
    <m/>
    <m/>
    <m/>
    <s v="East"/>
    <s v="PILKHUWA"/>
    <m/>
    <n v="600250"/>
    <s v="TATA CENTER"/>
    <n v="2439203"/>
    <s v="CRCA COIL TSBSTA EL06 0.500X1160"/>
    <s v=" "/>
    <s v=""/>
    <n v="8"/>
    <n v="13"/>
    <m/>
    <s v="C01"/>
    <s v="TSBSTA"/>
    <s v="EL06"/>
    <n v="0.5"/>
    <n v="1160"/>
    <n v="0"/>
    <n v="297"/>
    <n v="0"/>
    <n v="297"/>
    <n v="297"/>
    <n v="26.990000000000009"/>
    <n v="297"/>
    <n v="0"/>
    <n v="0"/>
    <n v="0"/>
    <n v="137.06"/>
    <n v="0"/>
    <n v="0"/>
    <n v="0"/>
    <n v="0"/>
    <n v="0"/>
    <n v="0"/>
    <n v="27.17"/>
    <n v="52.97"/>
    <n v="52.81"/>
    <n v="0"/>
    <n v="0"/>
    <n v="0"/>
    <n v="0"/>
    <n v="0"/>
    <n v="0"/>
    <n v="270.01"/>
    <n v="270.01"/>
    <n v="0"/>
    <n v="270.01"/>
    <m/>
    <n v="0"/>
    <n v="297"/>
    <n v="0"/>
    <n v="0"/>
    <n v="297"/>
    <n v="0"/>
    <n v="0"/>
    <n v="0"/>
    <n v="0"/>
    <n v="0"/>
    <n v="0"/>
    <n v="0"/>
    <n v="0"/>
    <m/>
    <m/>
    <m/>
    <m/>
    <m/>
    <m/>
    <m/>
    <m/>
    <m/>
    <m/>
    <m/>
    <m/>
    <m/>
    <m/>
    <m/>
    <m/>
    <m/>
    <m/>
    <m/>
    <m/>
    <m/>
    <m/>
    <m/>
    <m/>
    <m/>
    <m/>
    <m/>
    <m/>
    <m/>
    <m/>
    <m/>
    <m/>
    <m/>
    <m/>
    <m/>
  </r>
  <r>
    <n v="742"/>
    <d v="2025-04-15T00:00:00"/>
    <s v="ZBTF"/>
    <n v="9518695452"/>
    <n v="5"/>
    <s v="9518695452-5"/>
    <s v="May'25"/>
    <x v="0"/>
    <m/>
    <x v="1"/>
    <x v="7"/>
    <s v="1000-IPPE"/>
    <m/>
    <x v="1"/>
    <m/>
    <m/>
    <m/>
    <s v="East"/>
    <s v="PILKHUWA"/>
    <m/>
    <n v="600250"/>
    <s v="TATA CENTER"/>
    <n v="2439203"/>
    <s v="CRCA COIL TSBSTA EL06 0.500X1160"/>
    <s v=" "/>
    <s v=""/>
    <n v="8"/>
    <n v="13"/>
    <m/>
    <s v="C01"/>
    <s v="TSBSTA"/>
    <s v="EL06"/>
    <n v="0.5"/>
    <n v="1160"/>
    <n v="0"/>
    <n v="297"/>
    <n v="0"/>
    <n v="297"/>
    <n v="297"/>
    <n v="297"/>
    <n v="297"/>
    <n v="0"/>
    <n v="0"/>
    <n v="0"/>
    <n v="0"/>
    <n v="0"/>
    <n v="0"/>
    <n v="0"/>
    <n v="0"/>
    <n v="0"/>
    <n v="0"/>
    <n v="0"/>
    <n v="0"/>
    <n v="0"/>
    <n v="0"/>
    <n v="0"/>
    <n v="0"/>
    <n v="0"/>
    <n v="0"/>
    <n v="0"/>
    <n v="0"/>
    <n v="0"/>
    <n v="0"/>
    <n v="0"/>
    <m/>
    <n v="0"/>
    <n v="297"/>
    <n v="0"/>
    <n v="0"/>
    <n v="0"/>
    <n v="297"/>
    <n v="0"/>
    <n v="0"/>
    <n v="0"/>
    <n v="0"/>
    <n v="0"/>
    <n v="0"/>
    <n v="0"/>
    <m/>
    <m/>
    <m/>
    <m/>
    <m/>
    <m/>
    <m/>
    <m/>
    <m/>
    <m/>
    <m/>
    <m/>
    <m/>
    <m/>
    <m/>
    <m/>
    <m/>
    <m/>
    <m/>
    <m/>
    <m/>
    <m/>
    <m/>
    <m/>
    <m/>
    <m/>
    <m/>
    <m/>
    <m/>
    <m/>
    <m/>
    <m/>
    <m/>
    <m/>
    <m/>
  </r>
  <r>
    <n v="742"/>
    <d v="2025-04-18T00:00:00"/>
    <s v="ZBTO"/>
    <n v="9518703251"/>
    <n v="1"/>
    <s v="9518703251-1"/>
    <s v="May'25"/>
    <x v="0"/>
    <m/>
    <x v="1"/>
    <x v="10"/>
    <s v="1000-IPPE"/>
    <m/>
    <x v="1"/>
    <m/>
    <s v="P1-Priority for Balmer"/>
    <m/>
    <s v="West"/>
    <s v="VADODARA"/>
    <m/>
    <n v="189022"/>
    <s v="Balmer Lawrie And Company Limited"/>
    <n v="2402200"/>
    <s v="CRCA COIL TATXXD BT01 0.900X1315"/>
    <s v=" "/>
    <s v=""/>
    <n v="8"/>
    <n v="12"/>
    <m/>
    <s v="C01"/>
    <s v="TATXXD"/>
    <s v="BT01"/>
    <n v="0.9"/>
    <n v="1315"/>
    <n v="0"/>
    <n v="30"/>
    <n v="0"/>
    <n v="30"/>
    <n v="30"/>
    <n v="30"/>
    <n v="30"/>
    <n v="0"/>
    <n v="0"/>
    <n v="0"/>
    <n v="0"/>
    <n v="0"/>
    <n v="0"/>
    <n v="0"/>
    <n v="0"/>
    <n v="0"/>
    <n v="0"/>
    <n v="0"/>
    <n v="0"/>
    <n v="0"/>
    <n v="0"/>
    <n v="0"/>
    <n v="0"/>
    <n v="0"/>
    <n v="0"/>
    <n v="0"/>
    <n v="0"/>
    <n v="0"/>
    <n v="0"/>
    <n v="0"/>
    <m/>
    <n v="0"/>
    <n v="30"/>
    <n v="0"/>
    <n v="0"/>
    <n v="30"/>
    <n v="0"/>
    <n v="0"/>
    <n v="0"/>
    <n v="0"/>
    <n v="0"/>
    <n v="0"/>
    <n v="0"/>
    <n v="0"/>
    <m/>
    <m/>
    <m/>
    <m/>
    <m/>
    <m/>
    <m/>
    <m/>
    <m/>
    <m/>
    <m/>
    <m/>
    <m/>
    <m/>
    <m/>
    <m/>
    <m/>
    <m/>
    <m/>
    <m/>
    <m/>
    <m/>
    <m/>
    <m/>
    <m/>
    <m/>
    <m/>
    <m/>
    <m/>
    <m/>
    <m/>
    <m/>
    <m/>
    <m/>
    <m/>
  </r>
  <r>
    <n v="742"/>
    <d v="2025-04-18T00:00:00"/>
    <s v="ZBTO"/>
    <n v="9518703251"/>
    <n v="3"/>
    <s v="9518703251-3"/>
    <s v="May'25"/>
    <x v="0"/>
    <m/>
    <x v="1"/>
    <x v="10"/>
    <s v="1000-IPPE"/>
    <m/>
    <x v="1"/>
    <m/>
    <s v="P1-Priority for Balmer"/>
    <m/>
    <s v="West"/>
    <s v="VADODARA"/>
    <m/>
    <n v="189022"/>
    <s v="Balmer Lawrie And Company Limited"/>
    <n v="2164814"/>
    <s v="CRCA COIL TATXXD BT01 0.970X1315"/>
    <s v=" "/>
    <s v=""/>
    <n v="7"/>
    <n v="10"/>
    <m/>
    <s v="C01"/>
    <s v="TATXXD"/>
    <s v="BT01"/>
    <n v="0.97"/>
    <n v="1315"/>
    <n v="0"/>
    <n v="60"/>
    <n v="0"/>
    <n v="60"/>
    <n v="60"/>
    <n v="60"/>
    <n v="60"/>
    <n v="0"/>
    <n v="0"/>
    <n v="0"/>
    <n v="0"/>
    <n v="0"/>
    <n v="0"/>
    <n v="0"/>
    <n v="0"/>
    <n v="0"/>
    <n v="0"/>
    <n v="0"/>
    <n v="0"/>
    <n v="0"/>
    <n v="0"/>
    <n v="0"/>
    <n v="0"/>
    <n v="0"/>
    <n v="0"/>
    <n v="0"/>
    <n v="0"/>
    <n v="0"/>
    <n v="0"/>
    <n v="0"/>
    <m/>
    <n v="0"/>
    <n v="60"/>
    <n v="0"/>
    <n v="0"/>
    <n v="60"/>
    <n v="0"/>
    <n v="0"/>
    <n v="0"/>
    <n v="0"/>
    <n v="0"/>
    <n v="0"/>
    <n v="0"/>
    <n v="0"/>
    <m/>
    <m/>
    <m/>
    <m/>
    <m/>
    <m/>
    <m/>
    <m/>
    <m/>
    <m/>
    <m/>
    <m/>
    <m/>
    <m/>
    <m/>
    <m/>
    <m/>
    <m/>
    <m/>
    <m/>
    <m/>
    <m/>
    <m/>
    <m/>
    <m/>
    <m/>
    <m/>
    <m/>
    <m/>
    <m/>
    <m/>
    <m/>
    <m/>
    <m/>
    <m/>
  </r>
  <r>
    <n v="744"/>
    <d v="2025-04-10T00:00:00"/>
    <s v="ZBTO"/>
    <n v="9518682295"/>
    <n v="1"/>
    <s v="9518682295-1"/>
    <s v="May'25"/>
    <x v="0"/>
    <m/>
    <x v="2"/>
    <x v="3"/>
    <s v="1000-IPPE"/>
    <m/>
    <x v="1"/>
    <m/>
    <m/>
    <m/>
    <s v="TBSPL"/>
    <s v="GAMHARIA"/>
    <m/>
    <n v="940016"/>
    <s v="TATA BLUESCOPE STEEL PVT LTD."/>
    <n v="3960056"/>
    <s v="PPGL C HARD Y550PL DX01 0.53(TPT)X1220"/>
    <s v="AZ150"/>
    <s v="RAL 5012 TSL 2002"/>
    <n v="3"/>
    <n v="5"/>
    <m/>
    <s v="B18"/>
    <s v="Y550PL"/>
    <s v="DX01"/>
    <n v="0.53"/>
    <n v="1220"/>
    <n v="0"/>
    <n v="28"/>
    <n v="0"/>
    <n v="28"/>
    <n v="28"/>
    <n v="9.3249999999999993"/>
    <n v="19.75"/>
    <n v="0"/>
    <n v="0"/>
    <n v="0"/>
    <n v="0"/>
    <n v="0"/>
    <n v="0"/>
    <n v="0"/>
    <n v="0"/>
    <n v="0"/>
    <n v="14.8"/>
    <n v="0"/>
    <n v="0"/>
    <n v="0"/>
    <n v="0"/>
    <n v="0"/>
    <n v="3.875"/>
    <n v="0"/>
    <n v="0"/>
    <n v="0"/>
    <n v="18.675000000000001"/>
    <n v="18.675000000000001"/>
    <n v="0"/>
    <n v="18.675000000000001"/>
    <m/>
    <n v="8.25"/>
    <n v="19.75"/>
    <n v="19.75"/>
    <n v="0"/>
    <n v="0"/>
    <n v="0"/>
    <n v="0"/>
    <n v="0"/>
    <n v="0"/>
    <n v="0"/>
    <n v="0"/>
    <n v="0"/>
    <n v="0"/>
    <m/>
    <m/>
    <m/>
    <m/>
    <m/>
    <m/>
    <m/>
    <m/>
    <m/>
    <m/>
    <m/>
    <m/>
    <m/>
    <m/>
    <m/>
    <m/>
    <m/>
    <m/>
    <m/>
    <m/>
    <m/>
    <m/>
    <m/>
    <m/>
    <m/>
    <m/>
    <m/>
    <m/>
    <m/>
    <m/>
    <m/>
    <m/>
    <m/>
    <m/>
    <m/>
  </r>
  <r>
    <n v="742"/>
    <d v="2025-04-11T00:00:00"/>
    <s v="ZBTO"/>
    <n v="9518684484"/>
    <n v="10"/>
    <s v="9518684484-10"/>
    <s v="May'25"/>
    <x v="0"/>
    <m/>
    <x v="1"/>
    <x v="2"/>
    <s v="2000-BPRS"/>
    <m/>
    <x v="1"/>
    <m/>
    <s v="Exp BTF &lt;17MT"/>
    <m/>
    <s v="South"/>
    <s v="CHENNAI"/>
    <m/>
    <n v="938550"/>
    <s v="BASEER AND CO"/>
    <n v="3239548"/>
    <s v="CRCA SHEET TATCRC SR16 0.400X900X2500"/>
    <s v=" "/>
    <s v=""/>
    <n v="0"/>
    <n v="0"/>
    <m/>
    <s v="C06"/>
    <s v="TATCRC"/>
    <s v="SR16"/>
    <n v="0.4"/>
    <n v="900"/>
    <n v="2500"/>
    <n v="51"/>
    <n v="0"/>
    <n v="51"/>
    <n v="6.83"/>
    <n v="8.4399999999999977"/>
    <n v="51"/>
    <n v="0"/>
    <n v="0"/>
    <n v="0"/>
    <n v="0"/>
    <n v="0"/>
    <n v="0"/>
    <n v="0"/>
    <n v="0"/>
    <n v="0"/>
    <n v="0"/>
    <n v="0"/>
    <n v="0"/>
    <n v="21.25"/>
    <n v="21.31"/>
    <n v="0"/>
    <n v="0"/>
    <n v="0"/>
    <n v="0"/>
    <n v="0"/>
    <n v="42.56"/>
    <n v="42.56"/>
    <n v="0"/>
    <n v="42.56"/>
    <m/>
    <n v="0"/>
    <n v="51"/>
    <n v="0"/>
    <n v="51"/>
    <n v="0"/>
    <n v="0"/>
    <n v="0"/>
    <n v="51"/>
    <n v="0"/>
    <n v="51"/>
    <n v="0"/>
    <n v="0"/>
    <n v="0"/>
    <m/>
    <m/>
    <m/>
    <m/>
    <m/>
    <m/>
    <m/>
    <m/>
    <m/>
    <m/>
    <m/>
    <m/>
    <m/>
    <m/>
    <m/>
    <m/>
    <m/>
    <m/>
    <m/>
    <m/>
    <m/>
    <m/>
    <m/>
    <m/>
    <m/>
    <m/>
    <m/>
    <m/>
    <m/>
    <m/>
    <m/>
    <m/>
    <m/>
    <m/>
    <m/>
  </r>
  <r>
    <n v="742"/>
    <d v="2025-04-15T00:00:00"/>
    <s v="ZBTO"/>
    <n v="9518694613"/>
    <n v="3"/>
    <s v="9518694613-3"/>
    <s v="No Priority"/>
    <x v="0"/>
    <m/>
    <x v="1"/>
    <x v="2"/>
    <s v="2000-BPRS"/>
    <m/>
    <x v="0"/>
    <m/>
    <m/>
    <m/>
    <s v="East"/>
    <s v=" "/>
    <m/>
    <n v="121328"/>
    <s v="R. S. BOKARO METAL (P) LTD."/>
    <n v="3239548"/>
    <s v="CRCA SHEET TATCRC SR16 0.400X900X2500"/>
    <s v=" "/>
    <s v=""/>
    <n v="2.5"/>
    <n v="3.2"/>
    <m/>
    <s v="C06"/>
    <s v="TATCRC"/>
    <s v="SR16"/>
    <n v="0.4"/>
    <n v="900"/>
    <n v="2500"/>
    <n v="60"/>
    <n v="0"/>
    <n v="60"/>
    <n v="-4.5599999999999996"/>
    <n v="0"/>
    <n v="60"/>
    <n v="0"/>
    <n v="0"/>
    <n v="0"/>
    <n v="0"/>
    <n v="0"/>
    <n v="0"/>
    <n v="0"/>
    <n v="0"/>
    <n v="0"/>
    <n v="0"/>
    <n v="0"/>
    <n v="0"/>
    <n v="21.23"/>
    <n v="42.49"/>
    <n v="0"/>
    <n v="0"/>
    <n v="0"/>
    <n v="0"/>
    <n v="0"/>
    <n v="63.72"/>
    <n v="63.72"/>
    <n v="0"/>
    <n v="63.72"/>
    <m/>
    <n v="0"/>
    <n v="0"/>
    <n v="0"/>
    <n v="0"/>
    <n v="0"/>
    <n v="0"/>
    <n v="0"/>
    <n v="0"/>
    <n v="0"/>
    <n v="0"/>
    <n v="0"/>
    <n v="0"/>
    <n v="0"/>
    <m/>
    <m/>
    <m/>
    <m/>
    <m/>
    <m/>
    <m/>
    <m/>
    <m/>
    <m/>
    <m/>
    <m/>
    <m/>
    <m/>
    <m/>
    <m/>
    <m/>
    <m/>
    <m/>
    <m/>
    <m/>
    <m/>
    <m/>
    <m/>
    <m/>
    <m/>
    <m/>
    <m/>
    <m/>
    <m/>
    <m/>
    <m/>
    <m/>
    <m/>
    <m/>
  </r>
  <r>
    <n v="742"/>
    <d v="2025-04-16T00:00:00"/>
    <s v="ZBTO"/>
    <n v="9518696653"/>
    <n v="1"/>
    <s v="9518696653-1"/>
    <s v="No Priority"/>
    <x v="0"/>
    <m/>
    <x v="1"/>
    <x v="1"/>
    <s v="2000-BPRS"/>
    <m/>
    <x v="0"/>
    <m/>
    <m/>
    <m/>
    <s v="South"/>
    <s v="YESHWANTHPURA"/>
    <m/>
    <n v="100237"/>
    <s v="RAMSAROOP &amp; SONS "/>
    <n v="2334995"/>
    <s v="CRCA COIL TATXXD AU03 1.500X1250"/>
    <s v=" "/>
    <s v=""/>
    <n v="15"/>
    <n v="26"/>
    <m/>
    <s v="C01"/>
    <s v="TATXXD"/>
    <s v="AU03"/>
    <n v="1.5"/>
    <n v="1250"/>
    <n v="0"/>
    <n v="145"/>
    <n v="0"/>
    <n v="145"/>
    <n v="145"/>
    <n v="145"/>
    <n v="145"/>
    <n v="0"/>
    <n v="0"/>
    <n v="0"/>
    <n v="0"/>
    <n v="0"/>
    <n v="0"/>
    <n v="0"/>
    <n v="0"/>
    <n v="0"/>
    <n v="0"/>
    <n v="0"/>
    <n v="0"/>
    <n v="0"/>
    <n v="0"/>
    <n v="0"/>
    <n v="0"/>
    <n v="0"/>
    <n v="0"/>
    <n v="0"/>
    <n v="0"/>
    <n v="0"/>
    <n v="0"/>
    <n v="0"/>
    <m/>
    <n v="0"/>
    <n v="0"/>
    <n v="0"/>
    <n v="0"/>
    <n v="0"/>
    <n v="0"/>
    <n v="0"/>
    <n v="0"/>
    <n v="0"/>
    <n v="0"/>
    <n v="0"/>
    <n v="0"/>
    <n v="0"/>
    <m/>
    <m/>
    <m/>
    <m/>
    <m/>
    <m/>
    <m/>
    <m/>
    <m/>
    <m/>
    <m/>
    <m/>
    <m/>
    <m/>
    <m/>
    <m/>
    <m/>
    <m/>
    <m/>
    <m/>
    <m/>
    <m/>
    <m/>
    <m/>
    <m/>
    <m/>
    <m/>
    <m/>
    <m/>
    <m/>
    <m/>
    <m/>
    <m/>
    <m/>
    <m/>
  </r>
  <r>
    <n v="744"/>
    <d v="2025-04-15T00:00:00"/>
    <s v="ZBTO"/>
    <n v="9518693944"/>
    <n v="1"/>
    <s v="9518693944-1"/>
    <s v="May'25"/>
    <x v="0"/>
    <m/>
    <x v="2"/>
    <x v="3"/>
    <s v="1000-IPPE"/>
    <m/>
    <x v="1"/>
    <m/>
    <m/>
    <m/>
    <s v="TBSPL"/>
    <s v=" "/>
    <m/>
    <n v="941597"/>
    <s v="TATA BLUESCOPE STEEL PRIVATE LIMITE"/>
    <n v="3941967"/>
    <s v="PPGL C HARD Y550PL D0C9 0.60(TPT)X1220"/>
    <s v="AZ150"/>
    <s v="ROYAL BLUE TSL 1815"/>
    <n v="3"/>
    <n v="5"/>
    <m/>
    <s v="B18"/>
    <s v="Y550PL"/>
    <s v="D0C9"/>
    <n v="0.6"/>
    <n v="1220"/>
    <n v="0"/>
    <n v="28"/>
    <n v="0"/>
    <n v="28"/>
    <n v="28"/>
    <n v="28"/>
    <n v="24.63"/>
    <n v="0"/>
    <n v="0"/>
    <n v="0"/>
    <n v="0"/>
    <n v="0"/>
    <n v="0"/>
    <n v="0"/>
    <n v="0"/>
    <n v="0"/>
    <n v="0"/>
    <n v="0"/>
    <n v="0"/>
    <n v="0"/>
    <n v="0"/>
    <n v="0"/>
    <n v="0"/>
    <n v="0"/>
    <n v="0"/>
    <n v="0"/>
    <n v="0"/>
    <n v="0"/>
    <n v="0"/>
    <n v="0"/>
    <m/>
    <n v="3.37"/>
    <n v="24.63"/>
    <n v="0"/>
    <n v="0"/>
    <n v="24.63"/>
    <n v="0"/>
    <n v="0"/>
    <n v="0"/>
    <n v="0"/>
    <n v="0"/>
    <n v="0"/>
    <n v="0"/>
    <n v="0"/>
    <m/>
    <m/>
    <m/>
    <m/>
    <m/>
    <m/>
    <m/>
    <m/>
    <m/>
    <m/>
    <m/>
    <m/>
    <m/>
    <m/>
    <m/>
    <m/>
    <m/>
    <m/>
    <m/>
    <m/>
    <m/>
    <m/>
    <m/>
    <m/>
    <m/>
    <m/>
    <m/>
    <m/>
    <m/>
    <m/>
    <m/>
    <m/>
    <m/>
    <m/>
    <m/>
  </r>
  <r>
    <n v="743"/>
    <d v="2025-04-14T00:00:00"/>
    <s v="ZBTO"/>
    <n v="9518692220"/>
    <n v="3"/>
    <s v="9518692220-3"/>
    <s v="No Priority"/>
    <x v="0"/>
    <m/>
    <x v="3"/>
    <x v="9"/>
    <s v="2000-BPRS"/>
    <m/>
    <x v="0"/>
    <m/>
    <m/>
    <m/>
    <s v="East"/>
    <s v=" "/>
    <m/>
    <n v="121328"/>
    <s v="R. S. BOKARO METAL (P) LTD."/>
    <n v="1191955"/>
    <s v="GP COIL SOFT-TATXGP-GK09-0.3X900"/>
    <s v="Z80"/>
    <s v=""/>
    <n v="4"/>
    <n v="12"/>
    <m/>
    <s v="C02"/>
    <s v="TATXGP"/>
    <s v="GK09"/>
    <n v="0.3"/>
    <n v="900"/>
    <n v="0"/>
    <n v="126"/>
    <n v="0"/>
    <n v="126"/>
    <n v="126"/>
    <n v="126"/>
    <n v="126"/>
    <n v="0"/>
    <n v="0"/>
    <n v="0"/>
    <n v="0"/>
    <n v="0"/>
    <n v="0"/>
    <n v="0"/>
    <n v="0"/>
    <n v="0"/>
    <n v="0"/>
    <n v="0"/>
    <n v="0"/>
    <n v="0"/>
    <n v="0"/>
    <n v="0"/>
    <n v="0"/>
    <n v="0"/>
    <n v="0"/>
    <n v="0"/>
    <n v="0"/>
    <n v="0"/>
    <n v="0"/>
    <n v="0"/>
    <m/>
    <n v="0"/>
    <n v="0"/>
    <n v="0"/>
    <n v="0"/>
    <n v="0"/>
    <n v="0"/>
    <n v="0"/>
    <n v="0"/>
    <n v="0"/>
    <n v="0"/>
    <n v="0"/>
    <n v="0"/>
    <n v="0"/>
    <m/>
    <m/>
    <m/>
    <m/>
    <m/>
    <m/>
    <m/>
    <m/>
    <m/>
    <m/>
    <m/>
    <m/>
    <m/>
    <m/>
    <m/>
    <m/>
    <m/>
    <m/>
    <m/>
    <m/>
    <m/>
    <m/>
    <m/>
    <m/>
    <m/>
    <m/>
    <m/>
    <m/>
    <m/>
    <m/>
    <m/>
    <m/>
    <m/>
    <m/>
    <m/>
  </r>
  <r>
    <n v="743"/>
    <d v="2025-04-15T00:00:00"/>
    <s v="ZBTO"/>
    <n v="9518694054"/>
    <n v="1"/>
    <s v="9518694054-1"/>
    <s v="No Priority"/>
    <x v="0"/>
    <m/>
    <x v="3"/>
    <x v="9"/>
    <s v="2000-BPRS"/>
    <m/>
    <x v="0"/>
    <m/>
    <m/>
    <m/>
    <s v="East"/>
    <s v="PATNA"/>
    <m/>
    <n v="103227"/>
    <s v="BMW VENTURES LIMITED"/>
    <n v="1191955"/>
    <s v="GP COIL SOFT-TATXGP-GK09-0.3X900"/>
    <s v="Z80"/>
    <s v=""/>
    <n v="1.75"/>
    <n v="6"/>
    <m/>
    <s v="C02"/>
    <s v="TATXGP"/>
    <s v="GK09"/>
    <n v="0.3"/>
    <n v="900"/>
    <n v="0"/>
    <n v="252"/>
    <n v="0"/>
    <n v="252"/>
    <n v="252"/>
    <n v="252"/>
    <n v="252"/>
    <n v="0"/>
    <n v="0"/>
    <n v="0"/>
    <n v="0"/>
    <n v="0"/>
    <n v="0"/>
    <n v="0"/>
    <n v="0"/>
    <n v="0"/>
    <n v="0"/>
    <n v="0"/>
    <n v="0"/>
    <n v="0"/>
    <n v="0"/>
    <n v="0"/>
    <n v="0"/>
    <n v="0"/>
    <n v="0"/>
    <n v="0"/>
    <n v="0"/>
    <n v="0"/>
    <n v="0"/>
    <n v="0"/>
    <m/>
    <n v="0"/>
    <n v="0"/>
    <n v="0"/>
    <n v="0"/>
    <n v="0"/>
    <n v="0"/>
    <n v="0"/>
    <n v="0"/>
    <n v="0"/>
    <n v="0"/>
    <n v="0"/>
    <n v="0"/>
    <n v="0"/>
    <m/>
    <m/>
    <m/>
    <m/>
    <m/>
    <m/>
    <m/>
    <m/>
    <m/>
    <m/>
    <m/>
    <m/>
    <m/>
    <m/>
    <m/>
    <m/>
    <m/>
    <m/>
    <m/>
    <m/>
    <m/>
    <m/>
    <m/>
    <m/>
    <m/>
    <m/>
    <m/>
    <m/>
    <m/>
    <m/>
    <m/>
    <m/>
    <m/>
    <m/>
    <m/>
  </r>
  <r>
    <n v="743"/>
    <d v="2025-03-15T00:00:00"/>
    <s v="ZBTO"/>
    <n v="9518602675"/>
    <n v="3"/>
    <s v="9518602675-3"/>
    <s v="May'25"/>
    <x v="0"/>
    <s v="Yes"/>
    <x v="3"/>
    <x v="9"/>
    <s v="2000-BPRS"/>
    <m/>
    <x v="1"/>
    <m/>
    <m/>
    <m/>
    <s v="East"/>
    <s v="WEST BOKARO"/>
    <m/>
    <n v="185794"/>
    <s v="Shree Bajrang Steel Udyog"/>
    <n v="1178439"/>
    <s v="GP COIL SOFT-TATXGP-GK09-0.4X900"/>
    <s v="Z80"/>
    <s v=""/>
    <n v="5"/>
    <n v="15"/>
    <m/>
    <s v="C02"/>
    <s v="TATXGP"/>
    <s v="GK09"/>
    <n v="0.4"/>
    <n v="900"/>
    <n v="0"/>
    <n v="210"/>
    <n v="0"/>
    <n v="210"/>
    <n v="210"/>
    <n v="210"/>
    <n v="210"/>
    <n v="0"/>
    <n v="0"/>
    <n v="0"/>
    <n v="0"/>
    <n v="0"/>
    <n v="0"/>
    <n v="0"/>
    <n v="0"/>
    <n v="0"/>
    <n v="0"/>
    <n v="0"/>
    <n v="0"/>
    <n v="0"/>
    <n v="0"/>
    <n v="0"/>
    <n v="0"/>
    <n v="0"/>
    <n v="0"/>
    <n v="0"/>
    <n v="0"/>
    <n v="0"/>
    <n v="0"/>
    <n v="0"/>
    <m/>
    <n v="0"/>
    <n v="210"/>
    <n v="0"/>
    <n v="0"/>
    <n v="210"/>
    <n v="0"/>
    <n v="0"/>
    <n v="0"/>
    <n v="0"/>
    <n v="0"/>
    <n v="0"/>
    <n v="0"/>
    <n v="0"/>
    <m/>
    <m/>
    <m/>
    <m/>
    <m/>
    <m/>
    <m/>
    <m/>
    <m/>
    <m/>
    <m/>
    <m/>
    <m/>
    <m/>
    <m/>
    <m/>
    <m/>
    <m/>
    <m/>
    <m/>
    <m/>
    <m/>
    <m/>
    <m/>
    <m/>
    <m/>
    <m/>
    <m/>
    <m/>
    <m/>
    <m/>
    <m/>
    <m/>
    <m/>
    <m/>
  </r>
  <r>
    <n v="744"/>
    <d v="2025-03-18T00:00:00"/>
    <s v="ZBTO"/>
    <n v="9518610301"/>
    <n v="2"/>
    <s v="9518610301-2"/>
    <s v="Stocks"/>
    <x v="0"/>
    <m/>
    <x v="2"/>
    <x v="3"/>
    <s v="1000-IPPE"/>
    <m/>
    <x v="1"/>
    <m/>
    <m/>
    <m/>
    <s v="TBSPL"/>
    <s v=" "/>
    <m/>
    <n v="941597"/>
    <s v="TATA BLUESCOPE STEEL PRIVATE LIMITE"/>
    <n v="3940122"/>
    <s v="PPGL C HARD Y550PL D0C9 0.470(TPT)X1220"/>
    <s v="AZ150"/>
    <s v="ROYAL BLUE TSL 1815"/>
    <n v="3"/>
    <n v="5"/>
    <m/>
    <s v="B18"/>
    <s v="Y550PL"/>
    <s v="D0C9"/>
    <n v="0.47"/>
    <n v="1220"/>
    <n v="0"/>
    <n v="28"/>
    <n v="0"/>
    <n v="28"/>
    <n v="-1"/>
    <n v="0"/>
    <n v="0.34"/>
    <n v="0"/>
    <n v="0"/>
    <n v="0"/>
    <n v="0"/>
    <n v="0"/>
    <n v="0"/>
    <n v="0"/>
    <n v="0"/>
    <n v="0"/>
    <n v="0"/>
    <n v="0"/>
    <n v="0"/>
    <n v="0"/>
    <n v="0"/>
    <n v="0"/>
    <n v="0"/>
    <n v="0"/>
    <n v="0"/>
    <n v="0"/>
    <n v="0"/>
    <n v="0"/>
    <n v="0"/>
    <n v="0"/>
    <m/>
    <n v="18.264999999999997"/>
    <n v="0"/>
    <n v="0"/>
    <n v="0"/>
    <n v="0"/>
    <n v="0"/>
    <n v="0"/>
    <n v="0"/>
    <n v="0"/>
    <n v="0"/>
    <n v="0"/>
    <n v="0"/>
    <n v="0"/>
    <m/>
    <m/>
    <m/>
    <m/>
    <m/>
    <m/>
    <m/>
    <m/>
    <m/>
    <m/>
    <m/>
    <m/>
    <m/>
    <m/>
    <m/>
    <m/>
    <m/>
    <m/>
    <m/>
    <m/>
    <m/>
    <m/>
    <m/>
    <m/>
    <m/>
    <m/>
    <m/>
    <m/>
    <m/>
    <m/>
    <m/>
    <m/>
    <m/>
    <m/>
    <m/>
  </r>
  <r>
    <n v="743"/>
    <d v="2025-03-19T00:00:00"/>
    <s v="ZBTO"/>
    <n v="9518612659"/>
    <n v="5"/>
    <s v="9518612659-5"/>
    <s v="No Priority"/>
    <x v="0"/>
    <m/>
    <x v="3"/>
    <x v="9"/>
    <s v="2000-BPRS"/>
    <m/>
    <x v="0"/>
    <m/>
    <m/>
    <m/>
    <s v="North"/>
    <s v="VARANASI"/>
    <m/>
    <n v="931525"/>
    <s v="INDIA STEEL INDUSTRIES"/>
    <n v="1854418"/>
    <s v="GP COIL SOFT-TATXGP-GK09-0.5X900"/>
    <s v="Z80"/>
    <s v=""/>
    <n v="3.2"/>
    <n v="5"/>
    <m/>
    <s v="C02"/>
    <s v="TATXGP"/>
    <s v="GK09"/>
    <n v="0.5"/>
    <n v="90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659"/>
    <n v="7"/>
    <s v="9518612659-7"/>
    <s v="No Priority"/>
    <x v="0"/>
    <m/>
    <x v="3"/>
    <x v="9"/>
    <s v="2000-BPRS"/>
    <m/>
    <x v="0"/>
    <m/>
    <m/>
    <m/>
    <s v="North"/>
    <s v="VARANASI"/>
    <m/>
    <n v="931525"/>
    <s v="INDIA STEEL INDUSTRIES"/>
    <n v="1854429"/>
    <s v="GP COIL SOFT-TATXGP-GK09-0.63X900"/>
    <s v="Z80"/>
    <s v=""/>
    <n v="3.2"/>
    <n v="5"/>
    <m/>
    <s v="C02"/>
    <s v="TATXGP"/>
    <s v="GK09"/>
    <n v="0.6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391"/>
    <n v="2"/>
    <s v="9518628391-2"/>
    <s v="Stocks"/>
    <x v="0"/>
    <m/>
    <x v="1"/>
    <x v="2"/>
    <s v="2000-BPRS"/>
    <m/>
    <x v="1"/>
    <m/>
    <m/>
    <m/>
    <s v="North"/>
    <s v="KANPUR"/>
    <m/>
    <n v="115841"/>
    <s v="O.V.S. ISPAT UDYOG"/>
    <n v="3240781"/>
    <s v="CRCA SHEET TSBCRC SR15 0.600X1250X2030"/>
    <s v=" "/>
    <s v=""/>
    <n v="0"/>
    <n v="0"/>
    <m/>
    <s v="C06"/>
    <s v="TSBCRC"/>
    <s v="SR15"/>
    <n v="0.6"/>
    <n v="1250"/>
    <n v="2030"/>
    <n v="27"/>
    <n v="0"/>
    <n v="27"/>
    <n v="0.185"/>
    <n v="0"/>
    <n v="0.86499999999999999"/>
    <n v="0"/>
    <n v="0"/>
    <n v="0"/>
    <n v="0"/>
    <n v="0"/>
    <n v="0"/>
    <n v="0"/>
    <n v="0"/>
    <n v="0"/>
    <n v="0"/>
    <n v="0"/>
    <n v="0"/>
    <n v="0"/>
    <n v="0"/>
    <n v="0"/>
    <n v="0"/>
    <n v="0"/>
    <n v="0"/>
    <n v="0"/>
    <n v="0"/>
    <n v="0"/>
    <n v="0"/>
    <n v="0"/>
    <m/>
    <n v="5.8250000000000002"/>
    <n v="0"/>
    <n v="0"/>
    <n v="0"/>
    <n v="0"/>
    <n v="0"/>
    <n v="0"/>
    <n v="0"/>
    <n v="0"/>
    <n v="0"/>
    <n v="0"/>
    <n v="0"/>
    <n v="0"/>
    <m/>
    <m/>
    <m/>
    <m/>
    <m/>
    <m/>
    <m/>
    <m/>
    <m/>
    <m/>
    <m/>
    <m/>
    <m/>
    <m/>
    <m/>
    <m/>
    <m/>
    <m/>
    <m/>
    <m/>
    <m/>
    <m/>
    <m/>
    <m/>
    <m/>
    <m/>
    <m/>
    <m/>
    <m/>
    <m/>
    <m/>
    <m/>
    <m/>
    <m/>
    <m/>
  </r>
  <r>
    <n v="742"/>
    <d v="2025-03-24T00:00:00"/>
    <s v="ZBTO"/>
    <n v="9518628391"/>
    <n v="3"/>
    <s v="9518628391-3"/>
    <s v="No Priority"/>
    <x v="0"/>
    <s v="Yes"/>
    <x v="1"/>
    <x v="2"/>
    <s v="2000-BPRS"/>
    <m/>
    <x v="0"/>
    <m/>
    <m/>
    <m/>
    <s v="North"/>
    <s v="KANPUR"/>
    <m/>
    <n v="115841"/>
    <s v="O.V.S. ISPAT UDYOG"/>
    <n v="3240787"/>
    <s v="CRCA SHEET TSBCRC SR15 0.700X1250X1930"/>
    <s v=" "/>
    <s v=""/>
    <n v="0"/>
    <n v="0"/>
    <m/>
    <s v="C06"/>
    <s v="TSBCRC"/>
    <s v="SR15"/>
    <n v="0.7"/>
    <n v="1250"/>
    <n v="1930"/>
    <n v="27"/>
    <n v="0"/>
    <n v="27"/>
    <n v="-1.37"/>
    <n v="0"/>
    <n v="27"/>
    <n v="0"/>
    <n v="0"/>
    <n v="0"/>
    <n v="0"/>
    <n v="0"/>
    <n v="0"/>
    <n v="0"/>
    <n v="0"/>
    <n v="0"/>
    <n v="0"/>
    <n v="0"/>
    <n v="0"/>
    <n v="0"/>
    <n v="27.7"/>
    <n v="0"/>
    <n v="0"/>
    <n v="0"/>
    <n v="0"/>
    <n v="0"/>
    <n v="27.7"/>
    <n v="27.7"/>
    <n v="0"/>
    <n v="27.7"/>
    <m/>
    <n v="0"/>
    <n v="0"/>
    <n v="0"/>
    <n v="0"/>
    <n v="0"/>
    <n v="0"/>
    <n v="0"/>
    <n v="0"/>
    <n v="0"/>
    <n v="0"/>
    <n v="0"/>
    <n v="0"/>
    <n v="0"/>
    <m/>
    <m/>
    <m/>
    <m/>
    <m/>
    <m/>
    <m/>
    <m/>
    <m/>
    <m/>
    <m/>
    <m/>
    <m/>
    <m/>
    <m/>
    <m/>
    <m/>
    <m/>
    <m/>
    <m/>
    <m/>
    <m/>
    <m/>
    <m/>
    <m/>
    <m/>
    <m/>
    <m/>
    <m/>
    <m/>
    <m/>
    <m/>
    <m/>
    <m/>
    <m/>
  </r>
  <r>
    <n v="742"/>
    <d v="2025-03-24T00:00:00"/>
    <s v="ZBTO"/>
    <n v="9518628321"/>
    <n v="2"/>
    <s v="9518628321-2"/>
    <s v="May'25"/>
    <x v="0"/>
    <m/>
    <x v="1"/>
    <x v="2"/>
    <s v="2000-BPRS"/>
    <m/>
    <x v="1"/>
    <m/>
    <m/>
    <m/>
    <s v="North"/>
    <s v="VARANASI"/>
    <m/>
    <n v="115841"/>
    <s v="O.V.S. ISPAT UDYOG"/>
    <n v="3240761"/>
    <s v="CRCA SHEET TSBCRC SR15 0.500X1250X2030"/>
    <s v=" "/>
    <s v=""/>
    <n v="0"/>
    <n v="0"/>
    <m/>
    <s v="C06"/>
    <s v="TSBCRC"/>
    <s v="SR15"/>
    <n v="0.5"/>
    <n v="1250"/>
    <n v="2030"/>
    <n v="150"/>
    <n v="0"/>
    <n v="150"/>
    <n v="17.97"/>
    <n v="101.58500000000001"/>
    <n v="46.45"/>
    <n v="0"/>
    <n v="0"/>
    <n v="0"/>
    <n v="0"/>
    <n v="0"/>
    <n v="0"/>
    <n v="0"/>
    <n v="0"/>
    <n v="0"/>
    <n v="0"/>
    <n v="0"/>
    <n v="0"/>
    <n v="0"/>
    <n v="0"/>
    <n v="48.125"/>
    <n v="0.28999999999999998"/>
    <n v="0"/>
    <n v="0"/>
    <n v="0"/>
    <n v="48.414999999999999"/>
    <n v="48.414999999999999"/>
    <n v="0"/>
    <n v="48.414999999999999"/>
    <m/>
    <n v="43.905000000000001"/>
    <n v="46.45"/>
    <n v="46.45"/>
    <n v="0"/>
    <n v="0"/>
    <n v="0"/>
    <n v="0"/>
    <n v="0"/>
    <n v="0"/>
    <n v="0"/>
    <n v="0"/>
    <n v="0"/>
    <n v="0"/>
    <m/>
    <m/>
    <m/>
    <m/>
    <m/>
    <m/>
    <m/>
    <m/>
    <m/>
    <m/>
    <m/>
    <m/>
    <m/>
    <m/>
    <m/>
    <m/>
    <m/>
    <m/>
    <m/>
    <m/>
    <m/>
    <m/>
    <m/>
    <m/>
    <m/>
    <m/>
    <m/>
    <m/>
    <m/>
    <m/>
    <m/>
    <m/>
    <m/>
    <m/>
    <m/>
  </r>
  <r>
    <n v="742"/>
    <d v="2025-03-24T00:00:00"/>
    <s v="ZBTO"/>
    <n v="9518628321"/>
    <n v="4"/>
    <s v="9518628321-4"/>
    <s v="May'25"/>
    <x v="0"/>
    <s v="Yes"/>
    <x v="1"/>
    <x v="2"/>
    <s v="2000-BPRS"/>
    <m/>
    <x v="1"/>
    <m/>
    <m/>
    <m/>
    <s v="North"/>
    <s v="VARANASI"/>
    <m/>
    <n v="115841"/>
    <s v="O.V.S. ISPAT UDYOG"/>
    <n v="3240781"/>
    <s v="CRCA SHEET TSBCRC SR15 0.600X1250X2030"/>
    <s v=" "/>
    <s v=""/>
    <n v="0"/>
    <n v="0"/>
    <m/>
    <s v="C06"/>
    <s v="TSBCRC"/>
    <s v="SR15"/>
    <n v="0.6"/>
    <n v="1250"/>
    <n v="2030"/>
    <n v="27"/>
    <n v="0"/>
    <n v="27"/>
    <n v="27"/>
    <n v="27"/>
    <n v="27"/>
    <n v="0"/>
    <n v="0"/>
    <n v="0"/>
    <n v="0"/>
    <n v="0"/>
    <n v="0"/>
    <n v="0"/>
    <n v="0"/>
    <n v="0"/>
    <n v="0"/>
    <n v="0"/>
    <n v="0"/>
    <n v="0"/>
    <n v="0"/>
    <n v="0"/>
    <n v="0"/>
    <n v="0"/>
    <n v="0"/>
    <n v="0"/>
    <n v="0"/>
    <n v="0"/>
    <n v="0"/>
    <n v="0"/>
    <m/>
    <n v="0"/>
    <n v="27"/>
    <n v="0"/>
    <n v="0"/>
    <n v="27"/>
    <n v="0"/>
    <n v="0"/>
    <n v="0"/>
    <n v="0"/>
    <n v="0"/>
    <n v="0"/>
    <n v="0"/>
    <n v="0"/>
    <m/>
    <m/>
    <m/>
    <m/>
    <m/>
    <m/>
    <m/>
    <m/>
    <m/>
    <m/>
    <m/>
    <m/>
    <m/>
    <m/>
    <m/>
    <m/>
    <m/>
    <m/>
    <m/>
    <m/>
    <m/>
    <m/>
    <m/>
    <m/>
    <m/>
    <m/>
    <m/>
    <m/>
    <m/>
    <m/>
    <m/>
    <m/>
    <m/>
    <m/>
    <m/>
  </r>
  <r>
    <n v="742"/>
    <d v="2025-03-24T00:00:00"/>
    <s v="ZBTO"/>
    <n v="9518628321"/>
    <n v="5"/>
    <s v="9518628321-5"/>
    <s v="Stocks"/>
    <x v="0"/>
    <s v="Yes"/>
    <x v="1"/>
    <x v="2"/>
    <s v="2000-BPRS"/>
    <m/>
    <x v="1"/>
    <m/>
    <m/>
    <m/>
    <s v="North"/>
    <s v="VARANASI"/>
    <m/>
    <n v="115841"/>
    <s v="O.V.S. ISPAT UDYOG"/>
    <n v="3240787"/>
    <s v="CRCA SHEET TSBCRC SR15 0.700X1250X1930"/>
    <s v=" "/>
    <s v=""/>
    <n v="0"/>
    <n v="0"/>
    <m/>
    <s v="C06"/>
    <s v="TSBCRC"/>
    <s v="SR15"/>
    <n v="0.7"/>
    <n v="1250"/>
    <n v="1930"/>
    <n v="27"/>
    <n v="0"/>
    <n v="27"/>
    <n v="27"/>
    <n v="26.1"/>
    <n v="0.66500000000000004"/>
    <n v="0"/>
    <n v="0"/>
    <n v="0"/>
    <n v="0"/>
    <n v="0"/>
    <n v="0"/>
    <n v="0"/>
    <n v="0"/>
    <n v="0"/>
    <n v="0"/>
    <n v="0"/>
    <n v="0"/>
    <n v="0"/>
    <n v="0"/>
    <n v="0"/>
    <n v="0"/>
    <n v="0"/>
    <n v="0"/>
    <n v="0.9"/>
    <n v="0.9"/>
    <n v="0.9"/>
    <n v="0"/>
    <n v="0.9"/>
    <m/>
    <n v="26.335000000000004"/>
    <n v="0"/>
    <n v="0"/>
    <n v="0"/>
    <n v="0"/>
    <n v="0"/>
    <n v="0"/>
    <n v="0"/>
    <n v="0"/>
    <n v="0"/>
    <n v="0"/>
    <n v="0"/>
    <n v="0"/>
    <m/>
    <m/>
    <m/>
    <m/>
    <m/>
    <m/>
    <m/>
    <m/>
    <m/>
    <m/>
    <m/>
    <m/>
    <m/>
    <m/>
    <m/>
    <m/>
    <m/>
    <m/>
    <m/>
    <m/>
    <m/>
    <m/>
    <m/>
    <m/>
    <m/>
    <m/>
    <m/>
    <m/>
    <m/>
    <m/>
    <m/>
    <m/>
    <m/>
    <m/>
    <m/>
  </r>
  <r>
    <n v="743"/>
    <d v="2025-03-25T00:00:00"/>
    <s v="ZBTO"/>
    <n v="9518631278"/>
    <n v="2"/>
    <s v="9518631278-2"/>
    <s v="May'25"/>
    <x v="0"/>
    <s v="Yes"/>
    <x v="3"/>
    <x v="9"/>
    <s v="2000-BPRS"/>
    <m/>
    <x v="1"/>
    <m/>
    <m/>
    <m/>
    <s v="East"/>
    <s v="KOLKATA"/>
    <m/>
    <n v="100922"/>
    <s v="BUBNA COMMERCIAL COMPANY"/>
    <n v="1191956"/>
    <s v="GP COIL SOFT-TATXGP-GK09-0.35X900"/>
    <s v="Z80"/>
    <s v=""/>
    <n v="5"/>
    <n v="15"/>
    <m/>
    <s v="C02"/>
    <s v="TATXGP"/>
    <s v="GK09"/>
    <n v="0.35"/>
    <n v="900"/>
    <n v="0"/>
    <n v="105"/>
    <n v="0"/>
    <n v="105"/>
    <n v="105"/>
    <n v="105"/>
    <n v="105"/>
    <n v="0"/>
    <n v="0"/>
    <n v="0"/>
    <n v="0"/>
    <n v="0"/>
    <n v="0"/>
    <n v="0"/>
    <n v="0"/>
    <n v="0"/>
    <n v="0"/>
    <n v="0"/>
    <n v="0"/>
    <n v="0"/>
    <n v="0"/>
    <n v="0"/>
    <n v="0"/>
    <n v="0"/>
    <n v="0"/>
    <n v="0"/>
    <n v="0"/>
    <n v="0"/>
    <n v="0"/>
    <n v="0"/>
    <m/>
    <n v="0"/>
    <n v="105"/>
    <n v="0"/>
    <n v="105"/>
    <n v="0"/>
    <n v="0"/>
    <n v="0"/>
    <n v="105"/>
    <n v="0"/>
    <n v="105"/>
    <n v="0"/>
    <n v="0"/>
    <n v="0"/>
    <m/>
    <m/>
    <m/>
    <m/>
    <m/>
    <m/>
    <m/>
    <m/>
    <m/>
    <m/>
    <m/>
    <m/>
    <m/>
    <m/>
    <m/>
    <m/>
    <m/>
    <m/>
    <m/>
    <m/>
    <m/>
    <m/>
    <m/>
    <m/>
    <m/>
    <m/>
    <m/>
    <m/>
    <m/>
    <m/>
    <m/>
    <m/>
    <m/>
    <m/>
    <m/>
  </r>
  <r>
    <n v="743"/>
    <d v="2025-03-25T00:00:00"/>
    <s v="ZBTO"/>
    <n v="9518631278"/>
    <n v="1"/>
    <s v="9518631278-1"/>
    <s v="May'25"/>
    <x v="0"/>
    <s v="Yes"/>
    <x v="3"/>
    <x v="9"/>
    <s v="2000-BPRS"/>
    <n v="4200"/>
    <x v="1"/>
    <m/>
    <m/>
    <m/>
    <s v="East"/>
    <s v="KOLKATA"/>
    <m/>
    <n v="100922"/>
    <s v="BUBNA COMMERCIAL COMPANY"/>
    <n v="1191955"/>
    <s v="GP COIL SOFT-TATXGP-GK09-0.3X900"/>
    <s v="Z80"/>
    <s v=""/>
    <n v="5"/>
    <n v="15"/>
    <m/>
    <s v="C02"/>
    <s v="TATXGP"/>
    <s v="GK09"/>
    <n v="0.3"/>
    <n v="900"/>
    <n v="0"/>
    <n v="105"/>
    <n v="0"/>
    <n v="105"/>
    <n v="105"/>
    <n v="105"/>
    <n v="105"/>
    <n v="0"/>
    <n v="0"/>
    <n v="0"/>
    <n v="0"/>
    <n v="0"/>
    <n v="0"/>
    <n v="0"/>
    <n v="0"/>
    <n v="0"/>
    <n v="0"/>
    <n v="0"/>
    <n v="0"/>
    <n v="0"/>
    <n v="0"/>
    <n v="0"/>
    <n v="0"/>
    <n v="0"/>
    <n v="0"/>
    <n v="0"/>
    <n v="0"/>
    <n v="0"/>
    <n v="0"/>
    <n v="0"/>
    <m/>
    <n v="0"/>
    <n v="105"/>
    <n v="0"/>
    <n v="0"/>
    <n v="0"/>
    <n v="105"/>
    <n v="0"/>
    <n v="0"/>
    <n v="0"/>
    <n v="0"/>
    <n v="0"/>
    <n v="0"/>
    <n v="0"/>
    <m/>
    <m/>
    <m/>
    <m/>
    <m/>
    <m/>
    <m/>
    <m/>
    <m/>
    <m/>
    <m/>
    <m/>
    <m/>
    <m/>
    <m/>
    <m/>
    <m/>
    <m/>
    <m/>
    <m/>
    <m/>
    <m/>
    <m/>
    <m/>
    <m/>
    <m/>
    <m/>
    <m/>
    <m/>
    <m/>
    <m/>
    <m/>
    <m/>
    <m/>
    <m/>
  </r>
  <r>
    <n v="744"/>
    <d v="2025-03-26T00:00:00"/>
    <s v="ZBTO"/>
    <n v="9518637595"/>
    <n v="4"/>
    <s v="9518637595-4"/>
    <s v="May'25"/>
    <x v="0"/>
    <s v="Yes"/>
    <x v="2"/>
    <x v="3"/>
    <s v="1000-IPPE"/>
    <m/>
    <x v="1"/>
    <m/>
    <m/>
    <m/>
    <s v="TBSPL"/>
    <s v=" "/>
    <m/>
    <n v="941597"/>
    <s v="TATA BLUESCOPE STEEL PRIVATE LIMITE"/>
    <n v="3902332"/>
    <s v="PPGL C HARD Y550PL D0C9 0.50(TPT)X1220"/>
    <s v="AZ150"/>
    <s v="ROYAL BLUE TSL 1815"/>
    <n v="3"/>
    <n v="5"/>
    <m/>
    <s v="B18"/>
    <s v="Y550PL"/>
    <s v="D0C9"/>
    <n v="0.5"/>
    <n v="1220"/>
    <n v="0"/>
    <n v="280"/>
    <n v="4.72"/>
    <n v="275.27999999999997"/>
    <n v="240.26499999999999"/>
    <n v="257.60999999999996"/>
    <n v="71.694999999999993"/>
    <n v="0"/>
    <n v="0"/>
    <n v="0"/>
    <n v="0"/>
    <n v="0"/>
    <n v="0"/>
    <n v="0"/>
    <n v="0"/>
    <n v="0"/>
    <n v="0"/>
    <n v="0"/>
    <n v="0"/>
    <n v="0"/>
    <n v="0"/>
    <n v="0"/>
    <n v="17.670000000000002"/>
    <n v="0"/>
    <n v="0"/>
    <n v="0"/>
    <n v="17.670000000000002"/>
    <n v="17.670000000000002"/>
    <n v="0"/>
    <n v="17.670000000000002"/>
    <m/>
    <n v="82.894999999999996"/>
    <n v="71.694999999999993"/>
    <n v="0"/>
    <n v="0"/>
    <n v="71.694999999999993"/>
    <n v="0"/>
    <n v="0"/>
    <n v="0"/>
    <n v="0"/>
    <n v="0"/>
    <n v="0"/>
    <n v="0"/>
    <n v="0"/>
    <m/>
    <m/>
    <m/>
    <m/>
    <m/>
    <m/>
    <m/>
    <m/>
    <m/>
    <m/>
    <m/>
    <m/>
    <m/>
    <m/>
    <m/>
    <m/>
    <m/>
    <m/>
    <m/>
    <m/>
    <m/>
    <m/>
    <m/>
    <m/>
    <m/>
    <m/>
    <m/>
    <m/>
    <m/>
    <m/>
    <m/>
    <m/>
    <m/>
    <m/>
    <m/>
  </r>
  <r>
    <n v="744"/>
    <d v="2025-03-26T00:00:00"/>
    <s v="ZBTO"/>
    <n v="9518637595"/>
    <n v="5"/>
    <s v="9518637595-5"/>
    <s v="May'25"/>
    <x v="0"/>
    <m/>
    <x v="2"/>
    <x v="3"/>
    <s v="1000-IPPE"/>
    <m/>
    <x v="1"/>
    <m/>
    <m/>
    <m/>
    <s v="TBSPL"/>
    <s v=" "/>
    <m/>
    <n v="941597"/>
    <s v="TATA BLUESCOPE STEEL PRIVATE LIMITE"/>
    <n v="3902332"/>
    <s v="PPGL C HARD Y550PL D0C9 0.50(TPT)X1220"/>
    <s v="AZ150"/>
    <s v="ROYAL BLUE TSL 1815"/>
    <n v="3"/>
    <n v="5"/>
    <m/>
    <s v="B18"/>
    <s v="Y550PL"/>
    <s v="D0C9"/>
    <n v="0.5"/>
    <n v="1220"/>
    <n v="0"/>
    <n v="140"/>
    <n v="0"/>
    <n v="140"/>
    <n v="140"/>
    <n v="140"/>
    <n v="136.215"/>
    <n v="0"/>
    <n v="0"/>
    <n v="0"/>
    <n v="0"/>
    <n v="0"/>
    <n v="0"/>
    <n v="0"/>
    <n v="0"/>
    <n v="0"/>
    <n v="0"/>
    <n v="0"/>
    <n v="0"/>
    <n v="0"/>
    <n v="0"/>
    <n v="0"/>
    <n v="0"/>
    <n v="0"/>
    <n v="0"/>
    <n v="0"/>
    <n v="0"/>
    <n v="0"/>
    <n v="0"/>
    <n v="0"/>
    <m/>
    <n v="3.7850000000000001"/>
    <n v="0"/>
    <n v="0"/>
    <n v="0"/>
    <n v="0"/>
    <n v="0"/>
    <n v="0"/>
    <n v="0"/>
    <n v="0"/>
    <n v="0"/>
    <n v="0"/>
    <n v="0"/>
    <n v="0"/>
    <m/>
    <m/>
    <m/>
    <m/>
    <m/>
    <m/>
    <m/>
    <m/>
    <m/>
    <m/>
    <m/>
    <m/>
    <m/>
    <m/>
    <m/>
    <m/>
    <m/>
    <m/>
    <m/>
    <m/>
    <m/>
    <m/>
    <m/>
    <m/>
    <m/>
    <m/>
    <m/>
    <m/>
    <m/>
    <m/>
    <m/>
    <m/>
    <m/>
    <m/>
    <m/>
  </r>
  <r>
    <n v="742"/>
    <d v="2025-03-28T00:00:00"/>
    <s v="ZBTO"/>
    <n v="9518648560"/>
    <n v="1"/>
    <s v="9518648560-1"/>
    <s v="No Priority"/>
    <x v="0"/>
    <m/>
    <x v="1"/>
    <x v="7"/>
    <s v="1000-IPPE"/>
    <m/>
    <x v="0"/>
    <m/>
    <m/>
    <m/>
    <s v="East"/>
    <s v="HOWRAH"/>
    <m/>
    <n v="948173"/>
    <s v="A.G.P.ENTERPRISE"/>
    <n v="2439203"/>
    <s v="CRCA COIL TSBSTA EL06 0.500X1160"/>
    <s v=" "/>
    <s v=""/>
    <n v="12.5"/>
    <n v="13"/>
    <m/>
    <s v="C01"/>
    <s v="TSBSTA"/>
    <s v="EL06"/>
    <n v="0.5"/>
    <n v="1160"/>
    <n v="0"/>
    <n v="81"/>
    <n v="0"/>
    <n v="81"/>
    <n v="81"/>
    <n v="81"/>
    <n v="0"/>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391"/>
    <n v="1"/>
    <s v="9518628391-1"/>
    <s v="May'25"/>
    <x v="0"/>
    <s v="Yes"/>
    <x v="1"/>
    <x v="2"/>
    <s v="2000-BPRS"/>
    <m/>
    <x v="1"/>
    <m/>
    <m/>
    <m/>
    <s v="North"/>
    <s v="KANPUR"/>
    <m/>
    <n v="115841"/>
    <s v="O.V.S. ISPAT UDYOG"/>
    <n v="3444592"/>
    <s v="CRCA SHEET TATCRC SR16 0.450X1250X2030"/>
    <s v=" "/>
    <s v=""/>
    <n v="0"/>
    <n v="0"/>
    <m/>
    <s v="C06"/>
    <s v="TATCRC"/>
    <s v="SR16"/>
    <n v="0.45"/>
    <n v="1250"/>
    <n v="2030"/>
    <n v="24"/>
    <n v="0"/>
    <n v="24"/>
    <n v="24"/>
    <n v="24"/>
    <n v="24"/>
    <n v="0"/>
    <n v="0"/>
    <n v="0"/>
    <n v="0"/>
    <n v="0"/>
    <n v="0"/>
    <n v="0"/>
    <n v="0"/>
    <n v="0"/>
    <n v="0"/>
    <n v="0"/>
    <n v="0"/>
    <n v="0"/>
    <n v="0"/>
    <n v="0"/>
    <n v="0"/>
    <n v="0"/>
    <n v="0"/>
    <n v="0"/>
    <n v="0"/>
    <n v="0"/>
    <n v="0"/>
    <n v="0"/>
    <m/>
    <n v="0"/>
    <n v="24"/>
    <n v="0"/>
    <n v="0"/>
    <n v="0"/>
    <n v="24"/>
    <n v="0"/>
    <n v="0"/>
    <n v="0"/>
    <n v="0"/>
    <n v="0"/>
    <n v="0"/>
    <n v="0"/>
    <m/>
    <m/>
    <m/>
    <m/>
    <m/>
    <m/>
    <m/>
    <m/>
    <m/>
    <m/>
    <m/>
    <m/>
    <m/>
    <m/>
    <m/>
    <m/>
    <m/>
    <m/>
    <m/>
    <m/>
    <m/>
    <m/>
    <m/>
    <m/>
    <m/>
    <m/>
    <m/>
    <m/>
    <m/>
    <m/>
    <m/>
    <m/>
    <m/>
    <m/>
    <m/>
  </r>
  <r>
    <n v="742"/>
    <d v="2025-03-24T00:00:00"/>
    <s v="ZBTO"/>
    <n v="9518628321"/>
    <n v="3"/>
    <s v="9518628321-3"/>
    <s v="May'25"/>
    <x v="0"/>
    <s v="Yes"/>
    <x v="1"/>
    <x v="2"/>
    <s v="2000-BPRS"/>
    <m/>
    <x v="1"/>
    <m/>
    <m/>
    <m/>
    <s v="North"/>
    <s v="VARANASI"/>
    <m/>
    <n v="115841"/>
    <s v="O.V.S. ISPAT UDYOG"/>
    <n v="3444592"/>
    <s v="CRCA SHEET TATCRC SR16 0.450X1250X2030"/>
    <s v=" "/>
    <s v=""/>
    <n v="0"/>
    <n v="0"/>
    <m/>
    <s v="C06"/>
    <s v="TATCRC"/>
    <s v="SR16"/>
    <n v="0.45"/>
    <n v="1250"/>
    <n v="2030"/>
    <n v="27"/>
    <n v="0"/>
    <n v="27"/>
    <n v="27"/>
    <n v="27"/>
    <n v="27"/>
    <n v="0"/>
    <n v="0"/>
    <n v="0"/>
    <n v="0"/>
    <n v="0"/>
    <n v="0"/>
    <n v="0"/>
    <n v="0"/>
    <n v="0"/>
    <n v="0"/>
    <n v="0"/>
    <n v="0"/>
    <n v="0"/>
    <n v="0"/>
    <n v="0"/>
    <n v="0"/>
    <n v="0"/>
    <n v="0"/>
    <n v="0"/>
    <n v="0"/>
    <n v="0"/>
    <n v="0"/>
    <n v="0"/>
    <m/>
    <n v="0"/>
    <n v="27"/>
    <n v="0"/>
    <n v="0"/>
    <n v="0"/>
    <n v="27"/>
    <n v="0"/>
    <n v="0"/>
    <n v="0"/>
    <n v="0"/>
    <n v="0"/>
    <n v="0"/>
    <n v="0"/>
    <m/>
    <m/>
    <m/>
    <m/>
    <m/>
    <m/>
    <m/>
    <m/>
    <m/>
    <m/>
    <m/>
    <m/>
    <m/>
    <m/>
    <m/>
    <m/>
    <m/>
    <m/>
    <m/>
    <m/>
    <m/>
    <m/>
    <m/>
    <m/>
    <m/>
    <m/>
    <m/>
    <m/>
    <m/>
    <m/>
    <m/>
    <m/>
    <m/>
    <m/>
    <m/>
  </r>
  <r>
    <n v="743"/>
    <d v="2025-03-13T00:00:00"/>
    <s v="ZBTO"/>
    <n v="9518598100"/>
    <n v="6"/>
    <s v="9518598100-6"/>
    <s v="May'25"/>
    <x v="0"/>
    <s v="Yes"/>
    <x v="3"/>
    <x v="9"/>
    <s v="2000-BPRS"/>
    <m/>
    <x v="1"/>
    <m/>
    <m/>
    <m/>
    <s v="East"/>
    <s v="PATNA"/>
    <m/>
    <n v="103227"/>
    <s v="BMW VENTURES LIMITED"/>
    <n v="1854429"/>
    <s v="GP COIL SOFT-TATXGP-GK09-0.63X900"/>
    <s v="Z80"/>
    <s v=""/>
    <n v="2"/>
    <n v="6"/>
    <m/>
    <s v="C02"/>
    <s v="TATXGP"/>
    <s v="GK09"/>
    <n v="0.63"/>
    <n v="900"/>
    <n v="0"/>
    <n v="84"/>
    <n v="0"/>
    <n v="84"/>
    <n v="84"/>
    <n v="64.085000000000008"/>
    <n v="25.145"/>
    <n v="0"/>
    <n v="0"/>
    <n v="0"/>
    <n v="0"/>
    <n v="0"/>
    <n v="0"/>
    <n v="0.47000000000000003"/>
    <n v="0"/>
    <n v="0"/>
    <n v="0"/>
    <n v="0"/>
    <n v="0"/>
    <n v="0"/>
    <n v="0"/>
    <n v="0"/>
    <n v="4.7700000000000005"/>
    <n v="0"/>
    <n v="0"/>
    <n v="14.675000000000001"/>
    <n v="19.914999999999999"/>
    <n v="19.914999999999999"/>
    <n v="0"/>
    <n v="19.914999999999999"/>
    <m/>
    <n v="63.535000000000004"/>
    <n v="25.145"/>
    <n v="25.145"/>
    <n v="0"/>
    <n v="0"/>
    <n v="0"/>
    <n v="0"/>
    <n v="0"/>
    <n v="0"/>
    <n v="0"/>
    <n v="0"/>
    <n v="0"/>
    <n v="0"/>
    <m/>
    <m/>
    <m/>
    <m/>
    <m/>
    <m/>
    <m/>
    <m/>
    <m/>
    <m/>
    <m/>
    <m/>
    <m/>
    <m/>
    <m/>
    <m/>
    <m/>
    <m/>
    <m/>
    <m/>
    <m/>
    <m/>
    <m/>
    <m/>
    <m/>
    <m/>
    <m/>
    <m/>
    <m/>
    <m/>
    <m/>
    <m/>
    <m/>
    <m/>
    <m/>
  </r>
  <r>
    <n v="742"/>
    <d v="2025-03-26T00:00:00"/>
    <s v="ZBTO"/>
    <n v="9518637426"/>
    <n v="1"/>
    <s v="9518637426-1"/>
    <s v="May'25"/>
    <x v="0"/>
    <s v="Yes"/>
    <x v="1"/>
    <x v="1"/>
    <s v="2000-BPRS"/>
    <m/>
    <x v="1"/>
    <m/>
    <m/>
    <m/>
    <s v="East"/>
    <s v="URLA"/>
    <m/>
    <n v="139336"/>
    <s v="PASA ASSOCIATES PRIVATE LIMITED"/>
    <n v="322577"/>
    <s v="CRCA SHEET TATCRC TR15 1.6X1250X2500"/>
    <s v=" "/>
    <s v=""/>
    <n v="2"/>
    <n v="3"/>
    <m/>
    <s v="C06"/>
    <s v="TATCRC"/>
    <s v="TR15"/>
    <n v="1.6"/>
    <n v="1250"/>
    <n v="2500"/>
    <n v="60"/>
    <n v="0"/>
    <n v="60"/>
    <n v="60"/>
    <n v="60"/>
    <n v="60"/>
    <n v="0"/>
    <n v="0"/>
    <n v="0"/>
    <n v="0"/>
    <n v="0"/>
    <n v="0"/>
    <n v="0"/>
    <n v="0"/>
    <n v="0"/>
    <n v="0"/>
    <n v="0"/>
    <n v="0"/>
    <n v="0"/>
    <n v="0"/>
    <n v="0"/>
    <n v="0"/>
    <n v="0"/>
    <n v="0"/>
    <n v="0"/>
    <n v="0"/>
    <n v="0"/>
    <n v="0"/>
    <n v="0"/>
    <m/>
    <n v="0"/>
    <n v="60"/>
    <n v="0"/>
    <n v="0"/>
    <n v="0"/>
    <n v="60"/>
    <n v="0"/>
    <n v="0"/>
    <n v="0"/>
    <n v="0"/>
    <n v="0"/>
    <n v="0"/>
    <n v="0"/>
    <m/>
    <m/>
    <m/>
    <m/>
    <m/>
    <m/>
    <m/>
    <m/>
    <m/>
    <m/>
    <m/>
    <m/>
    <m/>
    <m/>
    <m/>
    <m/>
    <m/>
    <m/>
    <m/>
    <m/>
    <m/>
    <m/>
    <m/>
    <m/>
    <m/>
    <m/>
    <m/>
    <m/>
    <m/>
    <m/>
    <m/>
    <m/>
    <m/>
    <m/>
    <m/>
  </r>
  <r>
    <n v="743"/>
    <d v="2025-03-28T00:00:00"/>
    <s v="ZBTO"/>
    <n v="9518649687"/>
    <n v="1"/>
    <s v="9518649687-1"/>
    <s v="No Priority"/>
    <x v="0"/>
    <m/>
    <x v="3"/>
    <x v="9"/>
    <s v="2000-BPRS"/>
    <m/>
    <x v="0"/>
    <m/>
    <m/>
    <m/>
    <s v="North"/>
    <s v="VARANASI"/>
    <m/>
    <n v="931525"/>
    <s v="INDIA STEEL INDUSTRIES"/>
    <n v="1191956"/>
    <s v="GP COIL SOFT-TATXGP-GK09-0.35X900"/>
    <s v="Z80"/>
    <s v=""/>
    <n v="3.2"/>
    <n v="5"/>
    <m/>
    <s v="C02"/>
    <s v="TATXGP"/>
    <s v="GK09"/>
    <n v="0.3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28T00:00:00"/>
    <s v="ZBTO"/>
    <n v="9518649687"/>
    <n v="2"/>
    <s v="9518649687-2"/>
    <s v="No Priority"/>
    <x v="0"/>
    <m/>
    <x v="3"/>
    <x v="9"/>
    <s v="2000-BPRS"/>
    <m/>
    <x v="0"/>
    <m/>
    <m/>
    <m/>
    <s v="North"/>
    <s v="VARANASI"/>
    <m/>
    <n v="931525"/>
    <s v="INDIA STEEL INDUSTRIES"/>
    <n v="1854424"/>
    <s v="GP COIL SOFT-TATXGP-GK09-0.6X900"/>
    <s v="Z80"/>
    <s v=""/>
    <n v="3.2"/>
    <n v="5"/>
    <m/>
    <s v="C02"/>
    <s v="TATXGP"/>
    <s v="GK09"/>
    <n v="0.6"/>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006"/>
    <n v="5"/>
    <s v="9518620006-5"/>
    <s v="No Priority"/>
    <x v="0"/>
    <m/>
    <x v="1"/>
    <x v="1"/>
    <s v="2000-BPRS"/>
    <m/>
    <x v="0"/>
    <m/>
    <m/>
    <m/>
    <s v="East"/>
    <s v="URLA"/>
    <m/>
    <n v="931662"/>
    <s v="PRESTIGE METALLICS PRIVATE LIMITED"/>
    <n v="400982"/>
    <s v="CRCA SHEET TATCRC TR15 .75X1000X2500"/>
    <s v=" "/>
    <s v=""/>
    <n v="0"/>
    <n v="0"/>
    <m/>
    <s v="C06"/>
    <s v="TATCRC"/>
    <s v="TR15"/>
    <n v="0.75"/>
    <n v="10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4"/>
    <d v="2025-03-26T00:00:00"/>
    <s v="ZBTO"/>
    <n v="9518637595"/>
    <n v="3"/>
    <s v="9518637595-3"/>
    <s v="May'25"/>
    <x v="0"/>
    <s v="Yes"/>
    <x v="2"/>
    <x v="3"/>
    <s v="1000-IPPE"/>
    <m/>
    <x v="1"/>
    <m/>
    <m/>
    <m/>
    <s v="TBSPL"/>
    <s v=" "/>
    <m/>
    <n v="941597"/>
    <s v="TATA BLUESCOPE STEEL PRIVATE LIMITE"/>
    <n v="3902332"/>
    <s v="PPGL C HARD Y550PL D0C9 0.50(TPT)X1220"/>
    <s v="AZ150"/>
    <s v="RAL 7015 TSL 1805"/>
    <n v="3"/>
    <n v="5"/>
    <m/>
    <s v="B18"/>
    <s v="Y550PL"/>
    <s v="D0C9"/>
    <n v="0.5"/>
    <n v="1220"/>
    <n v="0"/>
    <n v="112"/>
    <n v="0"/>
    <n v="112"/>
    <n v="112"/>
    <n v="112"/>
    <n v="112"/>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8"/>
    <s v="9518692103-8"/>
    <s v="No Priority"/>
    <x v="0"/>
    <m/>
    <x v="3"/>
    <x v="9"/>
    <s v="2000-BPRS"/>
    <m/>
    <x v="0"/>
    <m/>
    <m/>
    <m/>
    <s v="East"/>
    <s v="WEST BOKARO"/>
    <m/>
    <n v="185794"/>
    <s v="Shree Bajrang Steel Udyog"/>
    <n v="1854418"/>
    <s v="GP COIL SOFT-TATXGP-GK09-0.5X900"/>
    <s v="Z80"/>
    <s v=""/>
    <n v="4"/>
    <n v="12"/>
    <m/>
    <s v="C02"/>
    <s v="TATXGP"/>
    <s v="GK09"/>
    <n v="0.5"/>
    <n v="900"/>
    <n v="0"/>
    <n v="189"/>
    <n v="0"/>
    <n v="189"/>
    <n v="189"/>
    <n v="189"/>
    <n v="189"/>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9"/>
    <s v="9518692103-9"/>
    <s v="No Priority"/>
    <x v="0"/>
    <m/>
    <x v="3"/>
    <x v="9"/>
    <s v="2000-BPRS"/>
    <m/>
    <x v="0"/>
    <m/>
    <m/>
    <m/>
    <s v="East"/>
    <s v="WEST BOKARO"/>
    <m/>
    <n v="185794"/>
    <s v="Shree Bajrang Steel Udyog"/>
    <n v="1854418"/>
    <s v="GP COIL SOFT-TATXGP-GK09-0.5X900"/>
    <s v="Z80"/>
    <s v=""/>
    <n v="4"/>
    <n v="12"/>
    <m/>
    <s v="C02"/>
    <s v="TATXGP"/>
    <s v="GK09"/>
    <n v="0.5"/>
    <n v="900"/>
    <n v="0"/>
    <n v="168"/>
    <n v="0"/>
    <n v="168"/>
    <n v="168"/>
    <n v="168"/>
    <n v="168"/>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220"/>
    <n v="8"/>
    <s v="9518692220-8"/>
    <s v="May'25"/>
    <x v="0"/>
    <m/>
    <x v="3"/>
    <x v="9"/>
    <s v="2000-BPRS"/>
    <m/>
    <x v="1"/>
    <m/>
    <m/>
    <m/>
    <s v="East"/>
    <s v=" "/>
    <m/>
    <n v="121328"/>
    <s v="R. S. BOKARO METAL (P) LTD."/>
    <n v="1854418"/>
    <s v="GP COIL SOFT-TATXGP-GK09-0.5X900"/>
    <s v="Z80"/>
    <s v=""/>
    <n v="4"/>
    <n v="12"/>
    <m/>
    <s v="C02"/>
    <s v="TATXGP"/>
    <s v="GK09"/>
    <n v="0.5"/>
    <n v="900"/>
    <n v="0"/>
    <n v="147"/>
    <n v="0"/>
    <n v="147"/>
    <n v="147"/>
    <n v="147"/>
    <n v="147"/>
    <n v="0"/>
    <n v="0"/>
    <n v="0"/>
    <n v="0"/>
    <n v="0"/>
    <n v="0"/>
    <n v="0"/>
    <n v="0"/>
    <n v="0"/>
    <n v="0"/>
    <n v="0"/>
    <n v="0"/>
    <n v="0"/>
    <n v="0"/>
    <n v="0"/>
    <n v="0"/>
    <n v="0"/>
    <n v="0"/>
    <n v="0"/>
    <n v="0"/>
    <n v="0"/>
    <n v="0"/>
    <n v="0"/>
    <m/>
    <n v="0"/>
    <n v="147"/>
    <n v="0"/>
    <n v="147"/>
    <n v="0"/>
    <n v="0"/>
    <n v="0"/>
    <n v="147"/>
    <n v="0"/>
    <n v="147"/>
    <n v="0"/>
    <n v="0"/>
    <n v="0"/>
    <m/>
    <m/>
    <m/>
    <m/>
    <m/>
    <m/>
    <m/>
    <m/>
    <m/>
    <m/>
    <m/>
    <m/>
    <m/>
    <m/>
    <m/>
    <m/>
    <m/>
    <m/>
    <m/>
    <m/>
    <m/>
    <m/>
    <m/>
    <m/>
    <m/>
    <m/>
    <m/>
    <m/>
    <m/>
    <m/>
    <m/>
    <m/>
    <m/>
    <m/>
    <m/>
  </r>
  <r>
    <n v="743"/>
    <d v="2025-04-14T00:00:00"/>
    <s v="ZBTO"/>
    <n v="9518692220"/>
    <n v="9"/>
    <s v="9518692220-9"/>
    <s v="No Priority"/>
    <x v="0"/>
    <m/>
    <x v="3"/>
    <x v="9"/>
    <s v="2000-BPRS"/>
    <m/>
    <x v="1"/>
    <m/>
    <m/>
    <m/>
    <s v="East"/>
    <s v=" "/>
    <m/>
    <n v="121328"/>
    <s v="R. S. BOKARO METAL (P) LTD."/>
    <n v="1854418"/>
    <s v="GP COIL SOFT-TATXGP-GK09-0.5X900"/>
    <s v="Z80"/>
    <s v=""/>
    <n v="4"/>
    <n v="12"/>
    <m/>
    <s v="C02"/>
    <s v="TATXGP"/>
    <s v="GK09"/>
    <n v="0.5"/>
    <n v="900"/>
    <n v="0"/>
    <n v="147"/>
    <n v="0"/>
    <n v="147"/>
    <n v="147"/>
    <n v="147"/>
    <n v="147"/>
    <n v="0"/>
    <n v="0"/>
    <n v="0"/>
    <n v="0"/>
    <n v="0"/>
    <n v="0"/>
    <n v="0"/>
    <n v="0"/>
    <n v="0"/>
    <n v="0"/>
    <n v="0"/>
    <n v="0"/>
    <n v="0"/>
    <n v="0"/>
    <n v="0"/>
    <n v="0"/>
    <n v="0"/>
    <n v="0"/>
    <n v="0"/>
    <n v="0"/>
    <n v="0"/>
    <n v="0"/>
    <n v="0"/>
    <m/>
    <n v="0"/>
    <n v="147"/>
    <n v="0"/>
    <n v="0"/>
    <n v="0"/>
    <n v="147"/>
    <n v="0"/>
    <n v="0"/>
    <n v="0"/>
    <n v="0"/>
    <n v="0"/>
    <n v="0"/>
    <n v="0"/>
    <m/>
    <m/>
    <m/>
    <m/>
    <m/>
    <m/>
    <m/>
    <m/>
    <m/>
    <m/>
    <m/>
    <m/>
    <m/>
    <m/>
    <m/>
    <m/>
    <m/>
    <m/>
    <m/>
    <m/>
    <m/>
    <m/>
    <m/>
    <m/>
    <m/>
    <m/>
    <m/>
    <m/>
    <m/>
    <m/>
    <m/>
    <m/>
    <m/>
    <m/>
    <m/>
  </r>
  <r>
    <n v="742"/>
    <d v="2025-04-18T00:00:00"/>
    <s v="ZBTO"/>
    <n v="9518702444"/>
    <n v="1"/>
    <s v="9518702444-1"/>
    <s v="No Priority"/>
    <x v="0"/>
    <m/>
    <x v="1"/>
    <x v="1"/>
    <s v="2000-BPRS"/>
    <m/>
    <x v="0"/>
    <m/>
    <m/>
    <m/>
    <s v="East"/>
    <s v="GUWAHATI"/>
    <m/>
    <n v="116649"/>
    <s v="SAGAR STEELS"/>
    <n v="2414175"/>
    <s v="CRCA COIL TATXXD AU03 1.100X1250"/>
    <s v=" "/>
    <s v=""/>
    <n v="4"/>
    <n v="28"/>
    <m/>
    <s v="C01"/>
    <s v="TATXXD"/>
    <s v="AU03"/>
    <n v="1.1000000000000001"/>
    <n v="1250"/>
    <n v="0"/>
    <n v="87"/>
    <n v="0"/>
    <n v="87"/>
    <n v="87"/>
    <n v="87"/>
    <n v="87"/>
    <n v="0"/>
    <n v="0"/>
    <n v="0"/>
    <n v="0"/>
    <n v="0"/>
    <n v="0"/>
    <n v="0"/>
    <n v="0"/>
    <n v="0"/>
    <n v="0"/>
    <n v="0"/>
    <n v="0"/>
    <n v="0"/>
    <n v="0"/>
    <n v="0"/>
    <n v="0"/>
    <n v="0"/>
    <n v="0"/>
    <n v="0"/>
    <n v="0"/>
    <n v="0"/>
    <n v="0"/>
    <n v="0"/>
    <m/>
    <n v="0"/>
    <n v="0"/>
    <n v="0"/>
    <n v="0"/>
    <n v="0"/>
    <n v="0"/>
    <n v="0"/>
    <n v="0"/>
    <n v="0"/>
    <n v="0"/>
    <n v="0"/>
    <n v="0"/>
    <n v="0"/>
    <m/>
    <m/>
    <m/>
    <m/>
    <m/>
    <m/>
    <m/>
    <m/>
    <m/>
    <m/>
    <m/>
    <m/>
    <m/>
    <m/>
    <m/>
    <m/>
    <m/>
    <m/>
    <m/>
    <m/>
    <m/>
    <m/>
    <m/>
    <m/>
    <m/>
    <m/>
    <m/>
    <m/>
    <m/>
    <m/>
    <m/>
    <m/>
    <m/>
    <m/>
    <m/>
  </r>
  <r>
    <n v="744"/>
    <d v="2025-03-29T00:00:00"/>
    <s v="ZBTO"/>
    <n v="9518653307"/>
    <n v="4"/>
    <s v="9518653307-4"/>
    <s v="May'25"/>
    <x v="0"/>
    <s v="Yes"/>
    <x v="2"/>
    <x v="3"/>
    <s v="1000-IPPE"/>
    <m/>
    <x v="1"/>
    <m/>
    <m/>
    <m/>
    <s v="TBSPL"/>
    <s v="RAJASTHAN"/>
    <m/>
    <n v="940008"/>
    <s v="TATA BLUESCOPE STEEL PVT LTD."/>
    <n v="3522241"/>
    <s v="PPGL C Y550 D0C7 0.43BMT(0.47TPT)X1220"/>
    <s v="aZ70"/>
    <s v="NG SMART GREY TSL 1905"/>
    <n v="3"/>
    <n v="5"/>
    <m/>
    <s v="B18"/>
    <s v="Y550PL"/>
    <s v="D0C7"/>
    <n v="0.43"/>
    <n v="1220"/>
    <n v="0"/>
    <n v="280"/>
    <n v="0"/>
    <n v="280"/>
    <n v="80.760000000000005"/>
    <n v="245.02500000000001"/>
    <n v="50.17"/>
    <n v="0"/>
    <n v="0"/>
    <n v="0"/>
    <n v="0"/>
    <n v="0"/>
    <n v="23.14"/>
    <n v="0"/>
    <n v="4.415"/>
    <n v="0"/>
    <n v="0"/>
    <n v="0"/>
    <n v="0"/>
    <n v="0"/>
    <n v="0"/>
    <n v="0"/>
    <n v="2.86"/>
    <n v="0"/>
    <n v="0"/>
    <n v="4.5600000000000005"/>
    <n v="34.975000000000001"/>
    <n v="34.975000000000001"/>
    <n v="0"/>
    <n v="34.975000000000001"/>
    <m/>
    <n v="25.11"/>
    <n v="50.17"/>
    <n v="0"/>
    <n v="0"/>
    <n v="50.17"/>
    <n v="0"/>
    <n v="0"/>
    <n v="0"/>
    <n v="0"/>
    <n v="0"/>
    <n v="0"/>
    <n v="0"/>
    <n v="0"/>
    <m/>
    <m/>
    <m/>
    <m/>
    <m/>
    <m/>
    <m/>
    <m/>
    <m/>
    <m/>
    <m/>
    <m/>
    <m/>
    <m/>
    <m/>
    <m/>
    <m/>
    <m/>
    <m/>
    <m/>
    <m/>
    <m/>
    <m/>
    <m/>
    <m/>
    <m/>
    <m/>
    <m/>
    <m/>
    <m/>
    <m/>
    <m/>
    <m/>
    <m/>
    <m/>
  </r>
  <r>
    <n v="744"/>
    <d v="2025-04-03T00:00:00"/>
    <s v="ZBTO"/>
    <n v="9518666670"/>
    <n v="1"/>
    <s v="9518666670-1"/>
    <s v="May'25"/>
    <x v="0"/>
    <m/>
    <x v="2"/>
    <x v="3"/>
    <s v="1000-IPPE"/>
    <m/>
    <x v="1"/>
    <m/>
    <m/>
    <m/>
    <s v="TBSPL"/>
    <s v=" "/>
    <m/>
    <n v="941597"/>
    <s v="TATA BLUESCOPE STEEL PRIVATE LIMITE"/>
    <n v="3940122"/>
    <s v="PPGL C HARD Y550PL D0C9 0.470(TPT)X1220"/>
    <s v="AZ150"/>
    <s v="RAL 7015 TSL 1805"/>
    <n v="3"/>
    <n v="5"/>
    <m/>
    <s v="B18"/>
    <s v="Y550PL"/>
    <s v="D0C9"/>
    <n v="0.47"/>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2"/>
    <d v="2025-04-10T00:00:00"/>
    <s v="ZBTO"/>
    <n v="9518683200"/>
    <n v="9"/>
    <s v="9518683200-9"/>
    <s v="No Priority"/>
    <x v="0"/>
    <m/>
    <x v="1"/>
    <x v="2"/>
    <s v="2000-BPRS"/>
    <m/>
    <x v="0"/>
    <m/>
    <m/>
    <m/>
    <s v="South"/>
    <s v="VISHAKHAPATNAM"/>
    <m/>
    <n v="946077"/>
    <s v="SITARAM IRON AND STEEL PVT LTD"/>
    <n v="3240771"/>
    <s v="CRCA SHEET TSBCRC SR15 0.600X900X2440"/>
    <s v=" "/>
    <s v=""/>
    <n v="0"/>
    <n v="0"/>
    <m/>
    <s v="C06"/>
    <s v="TSBCRC"/>
    <s v="SR15"/>
    <n v="0.6"/>
    <n v="900"/>
    <n v="2440"/>
    <n v="21"/>
    <n v="0"/>
    <n v="21"/>
    <n v="1.2549999999999999"/>
    <n v="0"/>
    <n v="2.1150000000000002"/>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10"/>
    <s v="9518683200-10"/>
    <s v="May'25"/>
    <x v="0"/>
    <s v="Yes"/>
    <x v="1"/>
    <x v="2"/>
    <s v="2000-BPRS"/>
    <m/>
    <x v="1"/>
    <m/>
    <m/>
    <m/>
    <s v="South"/>
    <s v="VISHAKHAPATNAM"/>
    <m/>
    <n v="946077"/>
    <s v="SITARAM IRON AND STEEL PVT LTD"/>
    <n v="3240776"/>
    <s v="CRCA SHEET TSBCRC SR15 0.600X1000X2440"/>
    <s v=" "/>
    <s v=""/>
    <n v="0"/>
    <n v="0"/>
    <m/>
    <s v="C06"/>
    <s v="TSBCRC"/>
    <s v="SR15"/>
    <n v="0.6"/>
    <n v="1000"/>
    <n v="2440"/>
    <n v="69"/>
    <n v="0"/>
    <n v="69"/>
    <n v="69"/>
    <n v="2.539999999999992"/>
    <n v="69"/>
    <n v="0"/>
    <n v="0"/>
    <n v="0"/>
    <n v="0"/>
    <n v="0"/>
    <n v="0"/>
    <n v="0"/>
    <n v="0"/>
    <n v="0"/>
    <n v="0"/>
    <n v="0"/>
    <n v="0"/>
    <n v="0"/>
    <n v="66.460000000000008"/>
    <n v="0"/>
    <n v="0"/>
    <n v="0"/>
    <n v="0"/>
    <n v="0"/>
    <n v="66.460000000000008"/>
    <n v="66.460000000000008"/>
    <n v="0"/>
    <n v="66.460000000000008"/>
    <m/>
    <n v="0"/>
    <n v="69"/>
    <n v="0"/>
    <n v="69"/>
    <n v="0"/>
    <n v="0"/>
    <n v="0"/>
    <n v="69"/>
    <n v="0"/>
    <n v="69"/>
    <n v="0"/>
    <n v="0"/>
    <n v="0"/>
    <m/>
    <m/>
    <m/>
    <m/>
    <m/>
    <m/>
    <m/>
    <m/>
    <m/>
    <m/>
    <m/>
    <m/>
    <m/>
    <m/>
    <m/>
    <m/>
    <m/>
    <m/>
    <m/>
    <m/>
    <m/>
    <m/>
    <m/>
    <m/>
    <m/>
    <m/>
    <m/>
    <m/>
    <m/>
    <m/>
    <m/>
    <m/>
    <m/>
    <m/>
    <m/>
  </r>
  <r>
    <n v="742"/>
    <d v="2025-04-10T00:00:00"/>
    <s v="ZBTO"/>
    <n v="9518683200"/>
    <n v="11"/>
    <s v="9518683200-11"/>
    <s v="Stocks"/>
    <x v="0"/>
    <m/>
    <x v="1"/>
    <x v="2"/>
    <s v="2000-BPRS"/>
    <m/>
    <x v="1"/>
    <m/>
    <m/>
    <m/>
    <s v="South"/>
    <s v="VISHAKHAPATNAM"/>
    <m/>
    <n v="946077"/>
    <s v="SITARAM IRON AND STEEL PVT LTD"/>
    <n v="3240785"/>
    <s v="CRCA SHEET TSBCRC SR15 0.600X1250X2500"/>
    <s v=" "/>
    <s v=""/>
    <n v="0"/>
    <n v="0"/>
    <m/>
    <s v="C06"/>
    <s v="TSBCRC"/>
    <s v="SR15"/>
    <n v="0.6"/>
    <n v="1250"/>
    <n v="2500"/>
    <n v="18"/>
    <n v="2.7"/>
    <n v="15.3"/>
    <n v="15.3"/>
    <n v="15.3"/>
    <n v="15.3"/>
    <n v="0"/>
    <n v="0"/>
    <n v="0"/>
    <n v="0"/>
    <n v="0"/>
    <n v="0"/>
    <n v="0"/>
    <n v="0"/>
    <n v="0"/>
    <n v="0"/>
    <n v="0"/>
    <n v="0"/>
    <n v="0"/>
    <n v="0"/>
    <n v="0"/>
    <n v="0"/>
    <n v="0"/>
    <n v="0"/>
    <n v="0"/>
    <n v="0"/>
    <n v="0"/>
    <n v="0"/>
    <n v="0"/>
    <m/>
    <n v="2.7"/>
    <n v="0"/>
    <n v="0"/>
    <n v="0"/>
    <n v="0"/>
    <n v="0"/>
    <n v="0"/>
    <n v="0"/>
    <n v="0"/>
    <n v="0"/>
    <n v="0"/>
    <n v="0"/>
    <n v="0"/>
    <m/>
    <m/>
    <m/>
    <m/>
    <m/>
    <m/>
    <m/>
    <m/>
    <m/>
    <m/>
    <m/>
    <m/>
    <m/>
    <m/>
    <m/>
    <m/>
    <m/>
    <m/>
    <m/>
    <m/>
    <m/>
    <m/>
    <m/>
    <m/>
    <m/>
    <m/>
    <m/>
    <m/>
    <m/>
    <m/>
    <m/>
    <m/>
    <m/>
    <m/>
    <m/>
  </r>
  <r>
    <n v="742"/>
    <d v="2025-04-10T00:00:00"/>
    <s v="ZBTO"/>
    <n v="9518683200"/>
    <n v="13"/>
    <s v="9518683200-13"/>
    <s v="May'25"/>
    <x v="0"/>
    <s v="Yes"/>
    <x v="1"/>
    <x v="2"/>
    <s v="2000-BPRS"/>
    <m/>
    <x v="1"/>
    <m/>
    <m/>
    <m/>
    <s v="South"/>
    <s v="VISHAKHAPATNAM"/>
    <m/>
    <n v="946077"/>
    <s v="SITARAM IRON AND STEEL PVT LTD"/>
    <n v="3240812"/>
    <s v="CRCA SHEET TSBCRC SR15 0.800X1000X2500"/>
    <s v=" "/>
    <s v=""/>
    <n v="0"/>
    <n v="0"/>
    <m/>
    <s v="C06"/>
    <s v="TSBCRC"/>
    <s v="SR15"/>
    <n v="0.8"/>
    <n v="1000"/>
    <n v="2500"/>
    <n v="24"/>
    <n v="0"/>
    <n v="24"/>
    <n v="24"/>
    <n v="1.4699999999999989"/>
    <n v="24"/>
    <n v="0"/>
    <n v="0"/>
    <n v="0"/>
    <n v="0"/>
    <n v="0"/>
    <n v="0"/>
    <n v="0"/>
    <n v="0"/>
    <n v="0"/>
    <n v="0"/>
    <n v="0"/>
    <n v="0"/>
    <n v="0"/>
    <n v="22.53"/>
    <n v="0"/>
    <n v="0"/>
    <n v="0"/>
    <n v="0"/>
    <n v="0"/>
    <n v="22.53"/>
    <n v="22.53"/>
    <n v="0"/>
    <n v="22.53"/>
    <m/>
    <n v="0"/>
    <n v="24"/>
    <n v="0"/>
    <n v="24"/>
    <n v="0"/>
    <n v="0"/>
    <n v="0"/>
    <n v="24"/>
    <n v="0"/>
    <n v="24"/>
    <n v="0"/>
    <n v="0"/>
    <n v="0"/>
    <m/>
    <m/>
    <m/>
    <m/>
    <m/>
    <m/>
    <m/>
    <m/>
    <m/>
    <m/>
    <m/>
    <m/>
    <m/>
    <m/>
    <m/>
    <m/>
    <m/>
    <m/>
    <m/>
    <m/>
    <m/>
    <m/>
    <m/>
    <m/>
    <m/>
    <m/>
    <m/>
    <m/>
    <m/>
    <m/>
    <m/>
    <m/>
    <m/>
    <m/>
    <m/>
  </r>
  <r>
    <n v="742"/>
    <d v="2025-04-10T00:00:00"/>
    <s v="ZBTO"/>
    <n v="9518683200"/>
    <n v="17"/>
    <s v="9518683200-17"/>
    <s v="No Priority"/>
    <x v="0"/>
    <s v="Yes"/>
    <x v="1"/>
    <x v="1"/>
    <s v="2000-BPRS"/>
    <m/>
    <x v="0"/>
    <m/>
    <s v="De-prioritized due to Apr CF orders"/>
    <m/>
    <s v="South"/>
    <s v="VISHAKHAPATNAM"/>
    <m/>
    <n v="946077"/>
    <s v="SITARAM IRON AND STEEL PVT LTD"/>
    <n v="189866"/>
    <s v="CRSHEET TATXXD AU03 1.20X1250X2500"/>
    <s v=" "/>
    <s v=""/>
    <n v="0"/>
    <n v="0"/>
    <m/>
    <s v="C06"/>
    <s v="TATXXD"/>
    <s v="AU03"/>
    <n v="1.2"/>
    <n v="125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4"/>
    <d v="2025-04-08T00:00:00"/>
    <s v="ZBTO"/>
    <n v="9518677599"/>
    <n v="1"/>
    <s v="9518677599-1"/>
    <s v="May'25"/>
    <x v="0"/>
    <m/>
    <x v="2"/>
    <x v="3"/>
    <s v="1000-IPPE"/>
    <m/>
    <x v="1"/>
    <m/>
    <m/>
    <m/>
    <s v="TBSPL"/>
    <s v=" "/>
    <m/>
    <n v="941597"/>
    <s v="TATA BLUESCOPE STEEL PRIVATE LIMITE"/>
    <n v="3933289"/>
    <s v="PPGL C YS550 PLH5 0.50BMT(0.60TPT)X1220"/>
    <s v="AZ200"/>
    <s v="RAL 5012 TSL 245"/>
    <n v="3"/>
    <n v="5"/>
    <m/>
    <s v="B18"/>
    <s v="Y550PL"/>
    <s v="PLH5"/>
    <n v="0.5"/>
    <n v="1220"/>
    <n v="0"/>
    <n v="28"/>
    <n v="0"/>
    <n v="28"/>
    <n v="28"/>
    <n v="28"/>
    <n v="28"/>
    <n v="0"/>
    <n v="0"/>
    <n v="0"/>
    <n v="0"/>
    <n v="0"/>
    <n v="0"/>
    <n v="0"/>
    <n v="0"/>
    <n v="0"/>
    <n v="0"/>
    <n v="0"/>
    <n v="0"/>
    <n v="0"/>
    <n v="0"/>
    <n v="0"/>
    <n v="0"/>
    <n v="0"/>
    <n v="0"/>
    <n v="0"/>
    <n v="0"/>
    <n v="0"/>
    <n v="0"/>
    <n v="0"/>
    <m/>
    <n v="0"/>
    <n v="28"/>
    <n v="0"/>
    <n v="28"/>
    <n v="0"/>
    <n v="0"/>
    <n v="0"/>
    <n v="28"/>
    <n v="0"/>
    <n v="28"/>
    <n v="0"/>
    <n v="0"/>
    <n v="0"/>
    <m/>
    <m/>
    <m/>
    <m/>
    <m/>
    <m/>
    <m/>
    <m/>
    <m/>
    <m/>
    <m/>
    <m/>
    <m/>
    <m/>
    <m/>
    <m/>
    <m/>
    <m/>
    <m/>
    <m/>
    <m/>
    <m/>
    <m/>
    <m/>
    <m/>
    <m/>
    <m/>
    <m/>
    <m/>
    <m/>
    <m/>
    <m/>
    <m/>
    <m/>
    <m/>
  </r>
  <r>
    <n v="744"/>
    <d v="2025-04-04T00:00:00"/>
    <s v="ZBTO"/>
    <n v="9518670143"/>
    <n v="1"/>
    <s v="9518670143-1"/>
    <s v="Stocks"/>
    <x v="0"/>
    <m/>
    <x v="2"/>
    <x v="3"/>
    <s v="1000-IPPE"/>
    <m/>
    <x v="1"/>
    <m/>
    <m/>
    <m/>
    <s v="TBSPL"/>
    <s v="RAJASTHAN"/>
    <m/>
    <n v="940008"/>
    <s v="TATA BLUESCOPE STEEL PVT LTD."/>
    <n v="3998148"/>
    <s v="PPGL C HARD Y550PL DX01 0.600X1220"/>
    <s v="AZ150"/>
    <s v="RAL 5012 TSL 2002"/>
    <n v="3"/>
    <n v="5"/>
    <m/>
    <s v="B18"/>
    <s v="Y550PL"/>
    <s v="DX01"/>
    <n v="0.6"/>
    <n v="1220"/>
    <n v="0"/>
    <n v="28"/>
    <n v="0"/>
    <n v="28"/>
    <n v="28"/>
    <n v="28"/>
    <n v="1.9450000000000001"/>
    <n v="0"/>
    <n v="0"/>
    <n v="0"/>
    <n v="0"/>
    <n v="0"/>
    <n v="0"/>
    <n v="0"/>
    <n v="0"/>
    <n v="0"/>
    <n v="0"/>
    <n v="0"/>
    <n v="0"/>
    <n v="0"/>
    <n v="0"/>
    <n v="0"/>
    <n v="0"/>
    <n v="0"/>
    <n v="0"/>
    <n v="0"/>
    <n v="0"/>
    <n v="0"/>
    <n v="0"/>
    <n v="0"/>
    <m/>
    <n v="26.055"/>
    <n v="1.9450000000000001"/>
    <n v="1.9450000000000001"/>
    <n v="0"/>
    <n v="0"/>
    <n v="0"/>
    <n v="0"/>
    <n v="0"/>
    <n v="0"/>
    <n v="0"/>
    <n v="0"/>
    <n v="0"/>
    <n v="0"/>
    <m/>
    <m/>
    <m/>
    <m/>
    <m/>
    <m/>
    <m/>
    <m/>
    <m/>
    <m/>
    <m/>
    <m/>
    <m/>
    <m/>
    <m/>
    <m/>
    <m/>
    <m/>
    <m/>
    <m/>
    <m/>
    <m/>
    <m/>
    <m/>
    <m/>
    <m/>
    <m/>
    <m/>
    <m/>
    <m/>
    <m/>
    <m/>
    <m/>
    <m/>
    <m/>
  </r>
  <r>
    <n v="743"/>
    <d v="2025-04-15T00:00:00"/>
    <s v="ZBTO"/>
    <n v="9518694054"/>
    <n v="6"/>
    <s v="9518694054-6"/>
    <s v="No Priority"/>
    <x v="0"/>
    <m/>
    <x v="3"/>
    <x v="9"/>
    <s v="2000-BPRS"/>
    <m/>
    <x v="0"/>
    <m/>
    <m/>
    <m/>
    <s v="East"/>
    <s v="PATNA"/>
    <m/>
    <n v="103227"/>
    <s v="BMW VENTURES LIMITED"/>
    <n v="1854429"/>
    <s v="GP COIL SOFT-TATXGP-GK09-0.63X900"/>
    <s v="Z80"/>
    <s v=""/>
    <n v="2"/>
    <n v="6"/>
    <m/>
    <s v="C02"/>
    <s v="TATXGP"/>
    <s v="GK09"/>
    <n v="0.63"/>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4-11T00:00:00"/>
    <s v="ZBTO"/>
    <n v="9518683949"/>
    <n v="7"/>
    <s v="9518683949-7"/>
    <s v="Stocks"/>
    <x v="0"/>
    <s v="Yes"/>
    <x v="3"/>
    <x v="9"/>
    <s v="2000-BPRS"/>
    <m/>
    <x v="1"/>
    <m/>
    <m/>
    <m/>
    <s v="East"/>
    <s v="WEST BENGAL"/>
    <m/>
    <n v="100922"/>
    <s v="BUBNA COMMERCIAL COMPANY"/>
    <n v="1854424"/>
    <s v="GP COIL SOFT-TATXGP-GK09-0.6X900"/>
    <s v="Z80"/>
    <s v=""/>
    <n v="5"/>
    <n v="15"/>
    <m/>
    <s v="C02"/>
    <s v="TATXGP"/>
    <s v="GK09"/>
    <n v="0.6"/>
    <n v="900"/>
    <n v="0"/>
    <n v="105"/>
    <n v="0"/>
    <n v="105"/>
    <n v="105"/>
    <n v="85.692000000000007"/>
    <n v="26.645"/>
    <n v="0"/>
    <n v="0"/>
    <n v="0"/>
    <n v="0"/>
    <n v="0"/>
    <n v="0"/>
    <n v="19.308"/>
    <n v="0"/>
    <n v="0"/>
    <n v="0"/>
    <n v="0"/>
    <n v="0"/>
    <n v="0"/>
    <n v="0"/>
    <n v="0"/>
    <n v="0"/>
    <n v="0"/>
    <n v="0"/>
    <n v="0"/>
    <n v="19.308"/>
    <n v="19.308"/>
    <n v="0"/>
    <n v="19.308"/>
    <m/>
    <n v="90.545000000000002"/>
    <n v="26.645"/>
    <n v="26.645"/>
    <n v="0"/>
    <n v="0"/>
    <n v="0"/>
    <n v="0"/>
    <n v="0"/>
    <n v="0"/>
    <n v="0"/>
    <n v="0"/>
    <n v="0"/>
    <n v="0"/>
    <m/>
    <m/>
    <m/>
    <m/>
    <m/>
    <m/>
    <m/>
    <m/>
    <m/>
    <m/>
    <m/>
    <m/>
    <m/>
    <m/>
    <m/>
    <m/>
    <m/>
    <m/>
    <m/>
    <m/>
    <m/>
    <m/>
    <m/>
    <m/>
    <m/>
    <m/>
    <m/>
    <m/>
    <m/>
    <m/>
    <m/>
    <m/>
    <m/>
    <m/>
    <m/>
  </r>
  <r>
    <n v="742"/>
    <d v="2025-04-15T00:00:00"/>
    <s v="ZBTF"/>
    <n v="9518695452"/>
    <n v="6"/>
    <s v="9518695452-6"/>
    <s v="May'25"/>
    <x v="0"/>
    <m/>
    <x v="1"/>
    <x v="7"/>
    <s v="1000-IPPE"/>
    <n v="3500"/>
    <x v="1"/>
    <m/>
    <m/>
    <m/>
    <s v="East"/>
    <s v="PILKHUWA"/>
    <m/>
    <n v="600250"/>
    <s v="TATA CENTER"/>
    <n v="2439203"/>
    <s v="CRCA COIL TSBSTA EL06 0.500X1160"/>
    <s v=" "/>
    <s v=""/>
    <n v="8"/>
    <n v="13"/>
    <m/>
    <s v="C01"/>
    <s v="TSBSTA"/>
    <s v="EL06"/>
    <n v="0.5"/>
    <n v="1160"/>
    <n v="0"/>
    <n v="297"/>
    <n v="0"/>
    <n v="297"/>
    <n v="297"/>
    <n v="297"/>
    <n v="297"/>
    <n v="0"/>
    <n v="0"/>
    <n v="0"/>
    <n v="0"/>
    <n v="0"/>
    <n v="0"/>
    <n v="0"/>
    <n v="0"/>
    <n v="0"/>
    <n v="0"/>
    <n v="0"/>
    <n v="0"/>
    <n v="0"/>
    <n v="0"/>
    <n v="0"/>
    <n v="0"/>
    <n v="0"/>
    <n v="0"/>
    <n v="0"/>
    <n v="0"/>
    <n v="0"/>
    <n v="0"/>
    <n v="0"/>
    <m/>
    <n v="0"/>
    <n v="297"/>
    <n v="0"/>
    <n v="0"/>
    <n v="0"/>
    <n v="297"/>
    <n v="0"/>
    <n v="0"/>
    <n v="0"/>
    <n v="0"/>
    <n v="0"/>
    <n v="0"/>
    <n v="0"/>
    <m/>
    <m/>
    <m/>
    <m/>
    <m/>
    <m/>
    <m/>
    <m/>
    <m/>
    <m/>
    <m/>
    <m/>
    <m/>
    <m/>
    <m/>
    <m/>
    <m/>
    <m/>
    <m/>
    <m/>
    <m/>
    <m/>
    <m/>
    <m/>
    <m/>
    <m/>
    <m/>
    <m/>
    <m/>
    <m/>
    <m/>
    <m/>
    <m/>
    <m/>
    <m/>
  </r>
  <r>
    <n v="742"/>
    <d v="2025-04-15T00:00:00"/>
    <s v="ZBTF"/>
    <n v="9518695452"/>
    <n v="7"/>
    <s v="9518695452-7"/>
    <s v="May'25"/>
    <x v="0"/>
    <m/>
    <x v="1"/>
    <x v="7"/>
    <s v="1000-IPPE"/>
    <m/>
    <x v="1"/>
    <m/>
    <m/>
    <m/>
    <s v="East"/>
    <s v="PILKHUWA"/>
    <m/>
    <n v="600250"/>
    <s v="TATA CENTER"/>
    <n v="2439203"/>
    <s v="CRCA COIL TSBSTA EL06 0.500X1160"/>
    <s v=" "/>
    <s v=""/>
    <n v="8"/>
    <n v="13"/>
    <m/>
    <s v="C01"/>
    <s v="TSBSTA"/>
    <s v="EL06"/>
    <n v="0.5"/>
    <n v="1160"/>
    <n v="0"/>
    <n v="297"/>
    <n v="0"/>
    <n v="297"/>
    <n v="297"/>
    <n v="297"/>
    <n v="297"/>
    <n v="0"/>
    <n v="0"/>
    <n v="0"/>
    <n v="0"/>
    <n v="0"/>
    <n v="0"/>
    <n v="0"/>
    <n v="0"/>
    <n v="0"/>
    <n v="0"/>
    <n v="0"/>
    <n v="0"/>
    <n v="0"/>
    <n v="0"/>
    <n v="0"/>
    <n v="0"/>
    <n v="0"/>
    <n v="0"/>
    <n v="0"/>
    <n v="0"/>
    <n v="0"/>
    <n v="0"/>
    <n v="0"/>
    <m/>
    <n v="0"/>
    <n v="297"/>
    <n v="0"/>
    <n v="0"/>
    <n v="0"/>
    <n v="297"/>
    <n v="0"/>
    <n v="0"/>
    <n v="0"/>
    <n v="0"/>
    <n v="0"/>
    <n v="0"/>
    <n v="0"/>
    <m/>
    <m/>
    <m/>
    <m/>
    <m/>
    <m/>
    <m/>
    <m/>
    <m/>
    <m/>
    <m/>
    <m/>
    <m/>
    <m/>
    <m/>
    <m/>
    <m/>
    <m/>
    <m/>
    <m/>
    <m/>
    <m/>
    <m/>
    <m/>
    <m/>
    <m/>
    <m/>
    <m/>
    <m/>
    <m/>
    <m/>
    <m/>
    <m/>
    <m/>
    <m/>
  </r>
  <r>
    <n v="742"/>
    <d v="2025-03-27T00:00:00"/>
    <s v="ZBTO"/>
    <n v="9518644656"/>
    <n v="13"/>
    <s v="9518644656-13"/>
    <s v="May'25"/>
    <x v="0"/>
    <s v="Yes"/>
    <x v="1"/>
    <x v="2"/>
    <s v="2000-BPRS"/>
    <m/>
    <x v="1"/>
    <m/>
    <m/>
    <m/>
    <s v="East"/>
    <s v="SILIGURI TOWN"/>
    <m/>
    <n v="948783"/>
    <s v="SAGAR STEELS"/>
    <n v="3914106"/>
    <s v="CRCA SHEET TSBCRC SR15 0.550X1250X2500"/>
    <s v=" "/>
    <s v=""/>
    <n v="2"/>
    <n v="3"/>
    <m/>
    <s v="C06"/>
    <s v="TSBCRC"/>
    <s v="SR15"/>
    <n v="0.55000000000000004"/>
    <n v="1250"/>
    <n v="2500"/>
    <n v="24"/>
    <n v="0"/>
    <n v="24"/>
    <n v="24"/>
    <n v="0.82000000000000028"/>
    <n v="24"/>
    <n v="0"/>
    <n v="0"/>
    <n v="23.18"/>
    <n v="0"/>
    <n v="0"/>
    <n v="0"/>
    <n v="0"/>
    <n v="0"/>
    <n v="0"/>
    <n v="0"/>
    <n v="0"/>
    <n v="0"/>
    <n v="0"/>
    <n v="0"/>
    <n v="0"/>
    <n v="0"/>
    <n v="0"/>
    <n v="0"/>
    <n v="0"/>
    <n v="23.18"/>
    <n v="23.18"/>
    <n v="0"/>
    <n v="23.18"/>
    <m/>
    <n v="0"/>
    <n v="24"/>
    <n v="0"/>
    <n v="0"/>
    <n v="24"/>
    <n v="0"/>
    <n v="0"/>
    <n v="0"/>
    <n v="0"/>
    <n v="0"/>
    <n v="0"/>
    <n v="0"/>
    <n v="0"/>
    <m/>
    <m/>
    <m/>
    <m/>
    <m/>
    <m/>
    <m/>
    <m/>
    <m/>
    <m/>
    <m/>
    <m/>
    <m/>
    <m/>
    <m/>
    <m/>
    <m/>
    <m/>
    <m/>
    <m/>
    <m/>
    <m/>
    <m/>
    <m/>
    <m/>
    <m/>
    <m/>
    <m/>
    <m/>
    <m/>
    <m/>
    <m/>
    <m/>
    <m/>
    <m/>
  </r>
  <r>
    <n v="743"/>
    <d v="2025-04-14T00:00:00"/>
    <s v="ZBTO"/>
    <n v="9518692103"/>
    <n v="4"/>
    <s v="9518692103-4"/>
    <s v="No Priority"/>
    <x v="0"/>
    <m/>
    <x v="3"/>
    <x v="9"/>
    <s v="2000-BPRS"/>
    <m/>
    <x v="0"/>
    <m/>
    <m/>
    <m/>
    <s v="East"/>
    <s v="WEST BOKARO"/>
    <m/>
    <n v="185794"/>
    <s v="Shree Bajrang Steel Udyog"/>
    <n v="1191956"/>
    <s v="GP COIL SOFT-TATXGP-GK09-0.35X900"/>
    <s v="Z80"/>
    <s v=""/>
    <n v="4"/>
    <n v="12"/>
    <m/>
    <s v="C02"/>
    <s v="TATXGP"/>
    <s v="GK09"/>
    <n v="0.35"/>
    <n v="900"/>
    <n v="0"/>
    <n v="147"/>
    <n v="0"/>
    <n v="147"/>
    <n v="147"/>
    <n v="147"/>
    <n v="147"/>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220"/>
    <n v="4"/>
    <s v="9518692220-4"/>
    <s v="No Priority"/>
    <x v="0"/>
    <m/>
    <x v="3"/>
    <x v="9"/>
    <s v="2000-BPRS"/>
    <m/>
    <x v="0"/>
    <m/>
    <m/>
    <m/>
    <s v="East"/>
    <s v=" "/>
    <m/>
    <n v="121328"/>
    <s v="R. S. BOKARO METAL (P) LTD."/>
    <n v="1191956"/>
    <s v="GP COIL SOFT-TATXGP-GK09-0.35X900"/>
    <s v="Z80"/>
    <s v=""/>
    <n v="4"/>
    <n v="12"/>
    <m/>
    <s v="C02"/>
    <s v="TATXGP"/>
    <s v="GK09"/>
    <n v="0.35"/>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595"/>
    <n v="1"/>
    <s v="9518692595-1"/>
    <s v="No Priority"/>
    <x v="0"/>
    <m/>
    <x v="3"/>
    <x v="0"/>
    <s v="2000-BPRS"/>
    <m/>
    <x v="0"/>
    <m/>
    <m/>
    <m/>
    <s v="East"/>
    <s v="TATANAGAR"/>
    <m/>
    <n v="165053"/>
    <s v="SUDISA ENTERPRISES (P) LTD."/>
    <n v="1851815"/>
    <s v="GP COIL SOFT-TSBXGP-N1GP-0.28X900"/>
    <s v="Z80"/>
    <s v=""/>
    <n v="4"/>
    <n v="12"/>
    <m/>
    <s v="C02"/>
    <s v="TSBXGP"/>
    <s v="N1GP"/>
    <n v="0.2800000000000000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595"/>
    <n v="2"/>
    <s v="9518692595-2"/>
    <s v="No Priority"/>
    <x v="0"/>
    <m/>
    <x v="3"/>
    <x v="0"/>
    <s v="2000-BPRS"/>
    <m/>
    <x v="0"/>
    <m/>
    <m/>
    <m/>
    <s v="East"/>
    <s v="TATANAGAR"/>
    <m/>
    <n v="165053"/>
    <s v="SUDISA ENTERPRISES (P) LTD."/>
    <n v="1851836"/>
    <s v="GP COIL SOFT-TSBXGP-N1GP-0.3X900"/>
    <s v="Z80"/>
    <s v=""/>
    <n v="4"/>
    <n v="12"/>
    <m/>
    <s v="C02"/>
    <s v="TSBXGP"/>
    <s v="N1GP"/>
    <n v="0.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10"/>
    <s v="9518692103-10"/>
    <s v="No Priority"/>
    <x v="0"/>
    <m/>
    <x v="3"/>
    <x v="9"/>
    <s v="2000-BPRS"/>
    <m/>
    <x v="0"/>
    <m/>
    <m/>
    <m/>
    <s v="East"/>
    <s v="WEST BOKARO"/>
    <m/>
    <n v="185794"/>
    <s v="Shree Bajrang Steel Udyog"/>
    <n v="1854424"/>
    <s v="GP COIL SOFT-TATXGP-GK09-0.6X900"/>
    <s v="Z80"/>
    <s v=""/>
    <n v="4"/>
    <n v="12"/>
    <m/>
    <s v="C02"/>
    <s v="TATXGP"/>
    <s v="GK09"/>
    <n v="0.6"/>
    <n v="900"/>
    <n v="0"/>
    <n v="147"/>
    <n v="0"/>
    <n v="147"/>
    <n v="147"/>
    <n v="147"/>
    <n v="147"/>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11"/>
    <s v="9518692103-11"/>
    <s v="No Priority"/>
    <x v="0"/>
    <m/>
    <x v="3"/>
    <x v="9"/>
    <s v="2000-BPRS"/>
    <m/>
    <x v="0"/>
    <m/>
    <m/>
    <m/>
    <s v="East"/>
    <s v="WEST BOKARO"/>
    <m/>
    <n v="185794"/>
    <s v="Shree Bajrang Steel Udyog"/>
    <n v="1854424"/>
    <s v="GP COIL SOFT-TATXGP-GK09-0.6X900"/>
    <s v="Z80"/>
    <s v=""/>
    <n v="4"/>
    <n v="12"/>
    <m/>
    <s v="C02"/>
    <s v="TATXGP"/>
    <s v="GK09"/>
    <n v="0.6"/>
    <n v="900"/>
    <n v="0"/>
    <n v="147"/>
    <n v="0"/>
    <n v="147"/>
    <n v="147"/>
    <n v="147"/>
    <n v="147"/>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12"/>
    <s v="9518692103-12"/>
    <s v="No Priority"/>
    <x v="0"/>
    <m/>
    <x v="3"/>
    <x v="9"/>
    <s v="2000-BPRS"/>
    <m/>
    <x v="0"/>
    <m/>
    <m/>
    <m/>
    <s v="East"/>
    <s v="WEST BOKARO"/>
    <m/>
    <n v="185794"/>
    <s v="Shree Bajrang Steel Udyog"/>
    <n v="1854429"/>
    <s v="GP COIL SOFT-TATXGP-GK09-0.63X900"/>
    <s v="Z80"/>
    <s v=""/>
    <n v="4"/>
    <n v="12"/>
    <m/>
    <s v="C02"/>
    <s v="TATXGP"/>
    <s v="GK09"/>
    <n v="0.6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220"/>
    <n v="10"/>
    <s v="9518692220-10"/>
    <s v="No Priority"/>
    <x v="0"/>
    <m/>
    <x v="3"/>
    <x v="9"/>
    <s v="2000-BPRS"/>
    <m/>
    <x v="0"/>
    <m/>
    <m/>
    <m/>
    <s v="East"/>
    <s v=" "/>
    <m/>
    <n v="121328"/>
    <s v="R. S. BOKARO METAL (P) LTD."/>
    <n v="1854424"/>
    <s v="GP COIL SOFT-TATXGP-GK09-0.6X900"/>
    <s v="Z80"/>
    <s v=""/>
    <n v="4"/>
    <n v="12"/>
    <m/>
    <s v="C02"/>
    <s v="TATXGP"/>
    <s v="GK09"/>
    <n v="0.6"/>
    <n v="900"/>
    <n v="0"/>
    <n v="126"/>
    <n v="0"/>
    <n v="126"/>
    <n v="126"/>
    <n v="126"/>
    <n v="126"/>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220"/>
    <n v="11"/>
    <s v="9518692220-11"/>
    <s v="No Priority"/>
    <x v="0"/>
    <m/>
    <x v="3"/>
    <x v="9"/>
    <s v="2000-BPRS"/>
    <m/>
    <x v="0"/>
    <m/>
    <m/>
    <m/>
    <s v="East"/>
    <s v=" "/>
    <m/>
    <n v="121328"/>
    <s v="R. S. BOKARO METAL (P) LTD."/>
    <n v="1854424"/>
    <s v="GP COIL SOFT-TATXGP-GK09-0.6X900"/>
    <s v="Z80"/>
    <s v=""/>
    <n v="4"/>
    <n v="12"/>
    <m/>
    <s v="C02"/>
    <s v="TATXGP"/>
    <s v="GK09"/>
    <n v="0.6"/>
    <n v="900"/>
    <n v="0"/>
    <n v="126"/>
    <n v="0"/>
    <n v="126"/>
    <n v="126"/>
    <n v="126"/>
    <n v="126"/>
    <n v="0"/>
    <n v="0"/>
    <n v="0"/>
    <n v="0"/>
    <n v="0"/>
    <n v="0"/>
    <n v="0"/>
    <n v="0"/>
    <n v="0"/>
    <n v="0"/>
    <n v="0"/>
    <n v="0"/>
    <n v="0"/>
    <n v="0"/>
    <n v="0"/>
    <n v="0"/>
    <n v="0"/>
    <n v="0"/>
    <n v="0"/>
    <n v="0"/>
    <n v="0"/>
    <n v="0"/>
    <n v="0"/>
    <m/>
    <n v="0"/>
    <n v="0"/>
    <n v="0"/>
    <n v="0"/>
    <n v="0"/>
    <n v="0"/>
    <n v="0"/>
    <n v="0"/>
    <n v="0"/>
    <n v="0"/>
    <n v="0"/>
    <n v="0"/>
    <n v="0"/>
    <m/>
    <m/>
    <m/>
    <m/>
    <m/>
    <m/>
    <m/>
    <m/>
    <m/>
    <m/>
    <m/>
    <m/>
    <m/>
    <m/>
    <m/>
    <m/>
    <m/>
    <m/>
    <m/>
    <m/>
    <m/>
    <m/>
    <m/>
    <m/>
    <m/>
    <m/>
    <m/>
    <m/>
    <m/>
    <m/>
    <m/>
    <m/>
    <m/>
    <m/>
    <m/>
  </r>
  <r>
    <n v="743"/>
    <d v="2025-04-15T00:00:00"/>
    <s v="ZBTO"/>
    <n v="9518694054"/>
    <n v="5"/>
    <s v="9518694054-5"/>
    <s v="No Priority"/>
    <x v="0"/>
    <m/>
    <x v="3"/>
    <x v="9"/>
    <s v="2000-BPRS"/>
    <m/>
    <x v="0"/>
    <m/>
    <m/>
    <m/>
    <s v="East"/>
    <s v="PATNA"/>
    <m/>
    <n v="103227"/>
    <s v="BMW VENTURES LIMITED"/>
    <n v="1854424"/>
    <s v="GP COIL SOFT-TATXGP-GK09-0.6X900"/>
    <s v="Z80"/>
    <s v=""/>
    <n v="2"/>
    <n v="6"/>
    <m/>
    <s v="C02"/>
    <s v="TATXGP"/>
    <s v="GK09"/>
    <n v="0.6"/>
    <n v="900"/>
    <n v="0"/>
    <n v="294"/>
    <n v="0"/>
    <n v="294"/>
    <n v="294"/>
    <n v="293.3"/>
    <n v="294"/>
    <n v="0"/>
    <n v="0"/>
    <n v="0"/>
    <n v="0"/>
    <n v="0.70000000000000007"/>
    <n v="0"/>
    <n v="0"/>
    <n v="0"/>
    <n v="0"/>
    <n v="0"/>
    <n v="0"/>
    <n v="0"/>
    <n v="0"/>
    <n v="0"/>
    <n v="0"/>
    <n v="0"/>
    <n v="0"/>
    <n v="0"/>
    <n v="0"/>
    <n v="0.70000000000000007"/>
    <n v="0.70000000000000007"/>
    <n v="0"/>
    <n v="0.70000000000000007"/>
    <m/>
    <n v="0"/>
    <n v="0"/>
    <n v="0"/>
    <n v="0"/>
    <n v="0"/>
    <n v="0"/>
    <n v="0"/>
    <n v="0"/>
    <n v="0"/>
    <n v="0"/>
    <n v="0"/>
    <n v="0"/>
    <n v="0"/>
    <m/>
    <m/>
    <m/>
    <m/>
    <m/>
    <m/>
    <m/>
    <m/>
    <m/>
    <m/>
    <m/>
    <m/>
    <m/>
    <m/>
    <m/>
    <m/>
    <m/>
    <m/>
    <m/>
    <m/>
    <m/>
    <m/>
    <m/>
    <m/>
    <m/>
    <m/>
    <m/>
    <m/>
    <m/>
    <m/>
    <m/>
    <m/>
    <m/>
    <m/>
    <m/>
  </r>
  <r>
    <n v="744"/>
    <d v="2025-04-15T00:00:00"/>
    <s v="ZBTO"/>
    <n v="9518693944"/>
    <n v="2"/>
    <s v="9518693944-2"/>
    <s v="May'25"/>
    <x v="0"/>
    <m/>
    <x v="2"/>
    <x v="3"/>
    <s v="1000-IPPE"/>
    <m/>
    <x v="1"/>
    <m/>
    <m/>
    <m/>
    <s v="TBSPL"/>
    <s v=" "/>
    <m/>
    <n v="941597"/>
    <s v="TATA BLUESCOPE STEEL PRIVATE LIMITE"/>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4-08T00:00:00"/>
    <s v="ZBTO"/>
    <n v="9518676905"/>
    <n v="2"/>
    <s v="9518676905-2"/>
    <s v="May'25"/>
    <x v="0"/>
    <m/>
    <x v="2"/>
    <x v="3"/>
    <s v="1000-IPPE"/>
    <m/>
    <x v="1"/>
    <m/>
    <m/>
    <m/>
    <s v="TBSPL"/>
    <s v=" "/>
    <m/>
    <n v="941597"/>
    <s v="TATA BLUESCOPE STEEL PRIVATE LIMITE"/>
    <n v="3902332"/>
    <s v="PPGL C HARD Y550PL D0C9 0.50(TPT)X1220"/>
    <s v="AZ150"/>
    <s v="RAL 6011 TSL 1810"/>
    <n v="3"/>
    <n v="5"/>
    <m/>
    <s v="B18"/>
    <s v="Y550PL"/>
    <s v="D0C9"/>
    <n v="0.5"/>
    <n v="1220"/>
    <n v="0"/>
    <n v="56"/>
    <n v="0"/>
    <n v="56"/>
    <n v="56"/>
    <n v="56"/>
    <n v="56"/>
    <n v="0"/>
    <n v="0"/>
    <n v="0"/>
    <n v="0"/>
    <n v="0"/>
    <n v="0"/>
    <n v="0"/>
    <n v="0"/>
    <n v="0"/>
    <n v="0"/>
    <n v="0"/>
    <n v="0"/>
    <n v="0"/>
    <n v="0"/>
    <n v="0"/>
    <n v="0"/>
    <n v="0"/>
    <n v="0"/>
    <n v="0"/>
    <n v="0"/>
    <n v="0"/>
    <n v="0"/>
    <n v="0"/>
    <m/>
    <n v="0"/>
    <n v="56"/>
    <n v="0"/>
    <n v="0"/>
    <n v="0"/>
    <n v="56"/>
    <n v="0"/>
    <n v="0"/>
    <n v="0"/>
    <n v="0"/>
    <n v="0"/>
    <n v="0"/>
    <n v="0"/>
    <m/>
    <m/>
    <m/>
    <m/>
    <m/>
    <m/>
    <m/>
    <m/>
    <m/>
    <m/>
    <m/>
    <m/>
    <m/>
    <m/>
    <m/>
    <m/>
    <m/>
    <m/>
    <m/>
    <m/>
    <m/>
    <m/>
    <m/>
    <m/>
    <m/>
    <m/>
    <m/>
    <m/>
    <m/>
    <m/>
    <m/>
    <m/>
    <m/>
    <m/>
    <m/>
  </r>
  <r>
    <n v="744"/>
    <d v="2025-04-08T00:00:00"/>
    <s v="ZBTO"/>
    <n v="9518676905"/>
    <n v="3"/>
    <s v="9518676905-3"/>
    <s v="May'25"/>
    <x v="0"/>
    <m/>
    <x v="2"/>
    <x v="3"/>
    <s v="1000-IPPE"/>
    <m/>
    <x v="1"/>
    <m/>
    <m/>
    <m/>
    <s v="TBSPL"/>
    <s v=" "/>
    <m/>
    <n v="941597"/>
    <s v="TATA BLUESCOPE STEEL PRIVATE LIMITE"/>
    <n v="3902332"/>
    <s v="PPGL C HARD Y550PL D0C9 0.50(TPT)X1220"/>
    <s v="AZ150"/>
    <s v="RAL 5018 TSL 1809"/>
    <n v="3"/>
    <n v="5"/>
    <m/>
    <s v="B18"/>
    <s v="Y550PL"/>
    <s v="D0C9"/>
    <n v="0.5"/>
    <n v="1220"/>
    <n v="0"/>
    <n v="84"/>
    <n v="0"/>
    <n v="84"/>
    <n v="84"/>
    <n v="84"/>
    <n v="84"/>
    <n v="0"/>
    <n v="0"/>
    <n v="0"/>
    <n v="0"/>
    <n v="0"/>
    <n v="0"/>
    <n v="0"/>
    <n v="0"/>
    <n v="0"/>
    <n v="0"/>
    <n v="0"/>
    <n v="0"/>
    <n v="0"/>
    <n v="0"/>
    <n v="0"/>
    <n v="0"/>
    <n v="0"/>
    <n v="0"/>
    <n v="0"/>
    <n v="0"/>
    <n v="0"/>
    <n v="0"/>
    <n v="0"/>
    <m/>
    <n v="0"/>
    <n v="84"/>
    <n v="0"/>
    <n v="0"/>
    <n v="0"/>
    <n v="84"/>
    <n v="0"/>
    <n v="0"/>
    <n v="0"/>
    <n v="0"/>
    <n v="0"/>
    <n v="0"/>
    <n v="0"/>
    <m/>
    <m/>
    <m/>
    <m/>
    <m/>
    <m/>
    <m/>
    <m/>
    <m/>
    <m/>
    <m/>
    <m/>
    <m/>
    <m/>
    <m/>
    <m/>
    <m/>
    <m/>
    <m/>
    <m/>
    <m/>
    <m/>
    <m/>
    <m/>
    <m/>
    <m/>
    <m/>
    <m/>
    <m/>
    <m/>
    <m/>
    <m/>
    <m/>
    <m/>
    <m/>
  </r>
  <r>
    <n v="744"/>
    <d v="2025-04-10T00:00:00"/>
    <s v="ZBTO"/>
    <n v="9518682471"/>
    <n v="1"/>
    <s v="9518682471-1"/>
    <s v="May'25"/>
    <x v="0"/>
    <m/>
    <x v="2"/>
    <x v="3"/>
    <s v="1000-IPPE"/>
    <m/>
    <x v="1"/>
    <m/>
    <m/>
    <m/>
    <s v="TBSPL"/>
    <s v=" "/>
    <m/>
    <n v="941597"/>
    <s v="TATA BLUESCOPE STEEL PRIVATE LIMITE"/>
    <n v="3902332"/>
    <s v="PPGL C HARD Y550PL D0C9 0.50(TPT)X1220"/>
    <s v="AZ150"/>
    <s v="RAL 9002 TSL 1801"/>
    <n v="3"/>
    <n v="5"/>
    <m/>
    <s v="B18"/>
    <s v="Y550PL"/>
    <s v="D0C9"/>
    <n v="0.5"/>
    <n v="1220"/>
    <n v="0"/>
    <n v="28"/>
    <n v="0"/>
    <n v="28"/>
    <n v="28"/>
    <n v="-0.57000000000000028"/>
    <n v="28"/>
    <n v="0"/>
    <n v="28.57"/>
    <n v="0"/>
    <n v="0"/>
    <n v="0"/>
    <n v="0"/>
    <n v="0"/>
    <n v="0"/>
    <n v="0"/>
    <n v="0"/>
    <n v="0"/>
    <n v="0"/>
    <n v="0"/>
    <n v="0"/>
    <n v="0"/>
    <n v="0"/>
    <n v="0"/>
    <n v="0"/>
    <n v="0"/>
    <n v="28.57"/>
    <n v="28.57"/>
    <n v="0"/>
    <n v="28.57"/>
    <m/>
    <n v="0"/>
    <n v="28"/>
    <n v="28"/>
    <n v="0"/>
    <n v="0"/>
    <n v="0"/>
    <n v="0"/>
    <n v="0"/>
    <n v="0"/>
    <n v="0"/>
    <n v="0"/>
    <n v="0"/>
    <n v="0"/>
    <m/>
    <m/>
    <m/>
    <m/>
    <m/>
    <m/>
    <m/>
    <m/>
    <m/>
    <m/>
    <m/>
    <m/>
    <m/>
    <m/>
    <m/>
    <m/>
    <m/>
    <m/>
    <m/>
    <m/>
    <m/>
    <m/>
    <m/>
    <m/>
    <m/>
    <m/>
    <m/>
    <m/>
    <m/>
    <m/>
    <m/>
    <m/>
    <m/>
    <m/>
    <m/>
  </r>
  <r>
    <n v="742"/>
    <d v="2025-04-02T00:00:00"/>
    <s v="ZBTO"/>
    <n v="9518665413"/>
    <n v="1"/>
    <s v="9518665413-1"/>
    <s v="May'25"/>
    <x v="0"/>
    <s v="Yes"/>
    <x v="1"/>
    <x v="1"/>
    <s v="2000-BPRS"/>
    <m/>
    <x v="1"/>
    <m/>
    <m/>
    <m/>
    <s v="East"/>
    <s v="GUWAHATI"/>
    <m/>
    <n v="116649"/>
    <s v="SAGAR STEELS"/>
    <n v="189866"/>
    <s v="CRSHEET TATXXD AU03 1.20X1250X2500"/>
    <s v=" "/>
    <s v=""/>
    <n v="2"/>
    <n v="3"/>
    <m/>
    <s v="C06"/>
    <s v="TATXXD"/>
    <s v="AU03"/>
    <n v="1.2"/>
    <n v="1250"/>
    <n v="2500"/>
    <n v="24"/>
    <n v="0"/>
    <n v="24"/>
    <n v="24"/>
    <n v="24"/>
    <n v="24"/>
    <n v="0"/>
    <n v="0"/>
    <n v="0"/>
    <n v="0"/>
    <n v="0"/>
    <n v="0"/>
    <n v="0"/>
    <n v="0"/>
    <n v="0"/>
    <n v="0"/>
    <n v="0"/>
    <n v="0"/>
    <n v="0"/>
    <n v="0"/>
    <n v="0"/>
    <n v="0"/>
    <n v="0"/>
    <n v="0"/>
    <n v="0"/>
    <n v="0"/>
    <n v="0"/>
    <n v="0"/>
    <n v="0"/>
    <m/>
    <n v="0"/>
    <n v="24"/>
    <n v="0"/>
    <n v="0"/>
    <n v="24"/>
    <n v="0"/>
    <n v="0"/>
    <n v="0"/>
    <n v="0"/>
    <n v="0"/>
    <n v="0"/>
    <n v="0"/>
    <n v="0"/>
    <m/>
    <m/>
    <m/>
    <m/>
    <m/>
    <m/>
    <m/>
    <m/>
    <m/>
    <m/>
    <m/>
    <m/>
    <m/>
    <m/>
    <m/>
    <m/>
    <m/>
    <m/>
    <m/>
    <m/>
    <m/>
    <m/>
    <m/>
    <m/>
    <m/>
    <m/>
    <m/>
    <m/>
    <m/>
    <m/>
    <m/>
    <m/>
    <m/>
    <m/>
    <m/>
  </r>
  <r>
    <n v="744"/>
    <d v="2025-04-05T00:00:00"/>
    <s v="ZBTO"/>
    <n v="9518671384"/>
    <n v="2"/>
    <s v="9518671384-2"/>
    <s v="May'25"/>
    <x v="0"/>
    <m/>
    <x v="2"/>
    <x v="3"/>
    <s v="1000-IPPE"/>
    <m/>
    <x v="1"/>
    <m/>
    <m/>
    <m/>
    <s v="TBSPL"/>
    <s v="GAMHARIA"/>
    <m/>
    <n v="940016"/>
    <s v="TATA BLUESCOPE STEEL PVT LTD."/>
    <n v="3941967"/>
    <s v="PPGL C HARD Y550PL D0C9 0.60(TPT)X1220"/>
    <s v="AZ150"/>
    <s v="RAL 5012 TSL 1802"/>
    <n v="3"/>
    <n v="5"/>
    <m/>
    <s v="B18"/>
    <s v="Y550PL"/>
    <s v="D0C9"/>
    <n v="0.6"/>
    <n v="1220"/>
    <n v="0"/>
    <n v="56"/>
    <n v="0"/>
    <n v="56"/>
    <n v="56"/>
    <n v="56"/>
    <n v="56"/>
    <n v="0"/>
    <n v="0"/>
    <n v="0"/>
    <n v="0"/>
    <n v="0"/>
    <n v="0"/>
    <n v="0"/>
    <n v="0"/>
    <n v="0"/>
    <n v="0"/>
    <n v="0"/>
    <n v="0"/>
    <n v="0"/>
    <n v="0"/>
    <n v="0"/>
    <n v="0"/>
    <n v="0"/>
    <n v="0"/>
    <n v="0"/>
    <n v="0"/>
    <n v="0"/>
    <n v="0"/>
    <n v="0"/>
    <m/>
    <n v="0"/>
    <n v="56"/>
    <n v="0"/>
    <n v="56"/>
    <n v="0"/>
    <n v="0"/>
    <n v="0"/>
    <n v="56"/>
    <n v="0"/>
    <n v="56"/>
    <n v="0"/>
    <n v="0"/>
    <n v="0"/>
    <m/>
    <m/>
    <m/>
    <m/>
    <m/>
    <m/>
    <m/>
    <m/>
    <m/>
    <m/>
    <m/>
    <m/>
    <m/>
    <m/>
    <m/>
    <m/>
    <m/>
    <m/>
    <m/>
    <m/>
    <m/>
    <m/>
    <m/>
    <m/>
    <m/>
    <m/>
    <m/>
    <m/>
    <m/>
    <m/>
    <m/>
    <m/>
    <m/>
    <m/>
    <m/>
  </r>
  <r>
    <n v="744"/>
    <d v="2025-04-05T00:00:00"/>
    <s v="ZBTO"/>
    <n v="9518671242"/>
    <n v="1"/>
    <s v="9518671242-1"/>
    <s v="May'25"/>
    <x v="0"/>
    <s v="Yes"/>
    <x v="2"/>
    <x v="3"/>
    <s v="1000-IPPE"/>
    <m/>
    <x v="1"/>
    <m/>
    <m/>
    <m/>
    <s v="TBSPL"/>
    <s v="GAMHARIA"/>
    <m/>
    <n v="940016"/>
    <s v="TATA BLUESCOPE STEEL PVT LTD."/>
    <n v="3522241"/>
    <s v="PPGL C Y550 D0C7 0.43BMT(0.47TPT)X1220"/>
    <s v="aZ70"/>
    <s v="NG BRIGHT GREEN TSL 2211"/>
    <n v="3"/>
    <n v="5"/>
    <m/>
    <s v="B18"/>
    <s v="Y550PL"/>
    <s v="D0C7"/>
    <n v="0.43"/>
    <n v="1220"/>
    <n v="0"/>
    <n v="27.998999999999999"/>
    <n v="0"/>
    <n v="27.998999999999999"/>
    <n v="27.998999999999999"/>
    <n v="27.998999999999999"/>
    <n v="27.998999999999999"/>
    <n v="0"/>
    <n v="0"/>
    <n v="0"/>
    <n v="0"/>
    <n v="0"/>
    <n v="0"/>
    <n v="0"/>
    <n v="0"/>
    <n v="0"/>
    <n v="0"/>
    <n v="0"/>
    <n v="0"/>
    <n v="0"/>
    <n v="0"/>
    <n v="0"/>
    <n v="0"/>
    <n v="0"/>
    <n v="0"/>
    <n v="0"/>
    <n v="0"/>
    <n v="0"/>
    <n v="0"/>
    <n v="0"/>
    <m/>
    <n v="0"/>
    <n v="27.998999999999999"/>
    <n v="0"/>
    <n v="0"/>
    <n v="27.998999999999999"/>
    <n v="0"/>
    <n v="0"/>
    <n v="0"/>
    <n v="0"/>
    <n v="0"/>
    <n v="0"/>
    <n v="0"/>
    <n v="0"/>
    <m/>
    <m/>
    <m/>
    <m/>
    <m/>
    <m/>
    <m/>
    <m/>
    <m/>
    <m/>
    <m/>
    <m/>
    <m/>
    <m/>
    <m/>
    <m/>
    <m/>
    <m/>
    <m/>
    <m/>
    <m/>
    <m/>
    <m/>
    <m/>
    <m/>
    <m/>
    <m/>
    <m/>
    <m/>
    <m/>
    <m/>
    <m/>
    <m/>
    <m/>
    <m/>
  </r>
  <r>
    <n v="744"/>
    <d v="2025-04-05T00:00:00"/>
    <s v="ZBTO"/>
    <n v="9518671209"/>
    <n v="1"/>
    <s v="9518671209-1"/>
    <s v="May'25"/>
    <x v="0"/>
    <s v="Yes"/>
    <x v="2"/>
    <x v="3"/>
    <s v="1000-IPPE"/>
    <m/>
    <x v="1"/>
    <m/>
    <m/>
    <m/>
    <s v="TBSPL"/>
    <s v="GAMHARIA"/>
    <m/>
    <n v="940016"/>
    <s v="TATA BLUESCOPE STEEL PVT LTD."/>
    <n v="3522241"/>
    <s v="PPGL C Y550 D0C7 0.43BMT(0.47TPT)X1220"/>
    <s v="aZ70"/>
    <s v="NG BRIGHT GREEN TSL 2211"/>
    <n v="3"/>
    <n v="5"/>
    <m/>
    <s v="B18"/>
    <s v="Y550PL"/>
    <s v="D0C7"/>
    <n v="0.43"/>
    <n v="1220"/>
    <n v="0"/>
    <n v="55.999000000000002"/>
    <n v="0"/>
    <n v="55.999000000000002"/>
    <n v="55.999000000000002"/>
    <n v="55.999000000000002"/>
    <n v="55.999000000000002"/>
    <n v="0"/>
    <n v="0"/>
    <n v="0"/>
    <n v="0"/>
    <n v="0"/>
    <n v="0"/>
    <n v="0"/>
    <n v="0"/>
    <n v="0"/>
    <n v="0"/>
    <n v="0"/>
    <n v="0"/>
    <n v="0"/>
    <n v="0"/>
    <n v="0"/>
    <n v="0"/>
    <n v="0"/>
    <n v="0"/>
    <n v="0"/>
    <n v="0"/>
    <n v="0"/>
    <n v="0"/>
    <n v="0"/>
    <m/>
    <n v="0"/>
    <n v="55.999000000000002"/>
    <n v="0"/>
    <n v="0"/>
    <n v="55.999000000000002"/>
    <n v="0"/>
    <n v="0"/>
    <n v="0"/>
    <n v="0"/>
    <n v="0"/>
    <n v="0"/>
    <n v="0"/>
    <n v="0"/>
    <m/>
    <m/>
    <m/>
    <m/>
    <m/>
    <m/>
    <m/>
    <m/>
    <m/>
    <m/>
    <m/>
    <m/>
    <m/>
    <m/>
    <m/>
    <m/>
    <m/>
    <m/>
    <m/>
    <m/>
    <m/>
    <m/>
    <m/>
    <m/>
    <m/>
    <m/>
    <m/>
    <m/>
    <m/>
    <m/>
    <m/>
    <m/>
    <m/>
    <m/>
    <m/>
  </r>
  <r>
    <n v="743"/>
    <d v="2025-04-02T00:00:00"/>
    <s v="ZBTO"/>
    <n v="9518664230"/>
    <n v="1"/>
    <s v="9518664230-1"/>
    <s v="No Priority"/>
    <x v="0"/>
    <m/>
    <x v="3"/>
    <x v="9"/>
    <s v="2000-BPRS"/>
    <m/>
    <x v="1"/>
    <m/>
    <m/>
    <m/>
    <s v="East"/>
    <s v="URLA"/>
    <m/>
    <n v="139336"/>
    <s v="PASA ASSOCIATES PRIVATE LIMITED"/>
    <n v="1191955"/>
    <s v="GP COIL SOFT-TATXGP-GK09-0.3X900"/>
    <s v="Z80"/>
    <s v=""/>
    <n v="3"/>
    <n v="5"/>
    <m/>
    <s v="C02"/>
    <s v="TATXGP"/>
    <s v="GK09"/>
    <n v="0.3"/>
    <n v="900"/>
    <n v="0"/>
    <n v="21"/>
    <n v="0"/>
    <n v="21"/>
    <n v="21"/>
    <n v="21"/>
    <n v="21"/>
    <n v="0"/>
    <n v="0"/>
    <n v="0"/>
    <n v="0"/>
    <n v="0"/>
    <n v="0"/>
    <n v="0"/>
    <n v="0"/>
    <n v="0"/>
    <n v="0"/>
    <n v="0"/>
    <n v="0"/>
    <n v="0"/>
    <n v="0"/>
    <n v="0"/>
    <n v="0"/>
    <n v="0"/>
    <n v="0"/>
    <n v="0"/>
    <n v="0"/>
    <n v="0"/>
    <n v="0"/>
    <n v="0"/>
    <m/>
    <n v="0"/>
    <n v="21"/>
    <n v="0"/>
    <n v="0"/>
    <n v="0"/>
    <n v="21"/>
    <n v="0"/>
    <n v="0"/>
    <n v="0"/>
    <n v="0"/>
    <n v="0"/>
    <n v="0"/>
    <n v="0"/>
    <m/>
    <m/>
    <m/>
    <m/>
    <m/>
    <m/>
    <m/>
    <m/>
    <m/>
    <m/>
    <m/>
    <m/>
    <m/>
    <m/>
    <m/>
    <m/>
    <m/>
    <m/>
    <m/>
    <m/>
    <m/>
    <m/>
    <m/>
    <m/>
    <m/>
    <m/>
    <m/>
    <m/>
    <m/>
    <m/>
    <m/>
    <m/>
    <m/>
    <m/>
    <m/>
  </r>
  <r>
    <n v="742"/>
    <d v="2025-04-10T00:00:00"/>
    <s v="ZBTO"/>
    <n v="9518683208"/>
    <n v="3"/>
    <s v="9518683208-3"/>
    <s v="No Priority"/>
    <x v="0"/>
    <m/>
    <x v="1"/>
    <x v="1"/>
    <s v="2000-BPRS"/>
    <m/>
    <x v="0"/>
    <m/>
    <m/>
    <m/>
    <s v="South"/>
    <s v="VISHAKHAPATNAM"/>
    <m/>
    <n v="946077"/>
    <s v="SITARAM IRON AND STEEL PVT LTD"/>
    <n v="1801804"/>
    <s v="CRCA COIL-TATXXD-AU03-1X1250"/>
    <s v=" "/>
    <s v=""/>
    <n v="8"/>
    <n v="29"/>
    <m/>
    <s v="C01"/>
    <s v="TATXXD"/>
    <s v="AU03"/>
    <n v="1"/>
    <n v="1250"/>
    <n v="0"/>
    <n v="29"/>
    <n v="0"/>
    <n v="29"/>
    <n v="4.5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8"/>
    <n v="4"/>
    <s v="9518683208-4"/>
    <s v="No Priority"/>
    <x v="0"/>
    <m/>
    <x v="1"/>
    <x v="1"/>
    <s v="2000-BPRS"/>
    <m/>
    <x v="0"/>
    <m/>
    <m/>
    <m/>
    <s v="South"/>
    <s v="VISHAKHAPATNAM"/>
    <m/>
    <n v="946077"/>
    <s v="SITARAM IRON AND STEEL PVT LTD"/>
    <n v="1804854"/>
    <s v="CRCA COIL-TATXXD-AU03-1.2X1250"/>
    <s v=" "/>
    <s v=""/>
    <n v="8"/>
    <n v="29"/>
    <m/>
    <s v="C01"/>
    <s v="TATXXD"/>
    <s v="AU03"/>
    <n v="1.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8"/>
    <n v="5"/>
    <s v="9518683208-5"/>
    <s v="No Priority"/>
    <x v="0"/>
    <m/>
    <x v="1"/>
    <x v="1"/>
    <s v="2000-BPRS"/>
    <m/>
    <x v="0"/>
    <m/>
    <m/>
    <m/>
    <s v="South"/>
    <s v="VISHAKHAPATNAM"/>
    <m/>
    <n v="946077"/>
    <s v="SITARAM IRON AND STEEL PVT LTD"/>
    <n v="2334995"/>
    <s v="CRCA COIL TATXXD AU03 1.500X1250"/>
    <s v=" "/>
    <s v=""/>
    <n v="8"/>
    <n v="29"/>
    <m/>
    <s v="C01"/>
    <s v="TATXXD"/>
    <s v="AU03"/>
    <n v="1.5"/>
    <n v="1250"/>
    <n v="0"/>
    <n v="29"/>
    <n v="0"/>
    <n v="29"/>
    <n v="0.84"/>
    <n v="0"/>
    <n v="3.6949999999999998"/>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8"/>
    <n v="7"/>
    <s v="9518683208-7"/>
    <s v="No Priority"/>
    <x v="0"/>
    <m/>
    <x v="1"/>
    <x v="1"/>
    <s v="2000-BPRS"/>
    <m/>
    <x v="0"/>
    <m/>
    <m/>
    <m/>
    <s v="South"/>
    <s v="VISHAKHAPATNAM"/>
    <m/>
    <n v="946077"/>
    <s v="SITARAM IRON AND STEEL PVT LTD"/>
    <n v="1884117"/>
    <s v="CRCA COIL-TATXXD-AU03-2X1250"/>
    <s v=" "/>
    <s v=""/>
    <n v="8"/>
    <n v="29"/>
    <m/>
    <s v="C01"/>
    <s v="TATXXD"/>
    <s v="AU03"/>
    <n v="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8"/>
    <n v="8"/>
    <s v="9518683208-8"/>
    <s v="No Priority"/>
    <x v="0"/>
    <m/>
    <x v="1"/>
    <x v="1"/>
    <s v="2000-BPRS"/>
    <m/>
    <x v="0"/>
    <m/>
    <m/>
    <m/>
    <s v="South"/>
    <s v="VISHAKHAPATNAM"/>
    <m/>
    <n v="946077"/>
    <s v="SITARAM IRON AND STEEL PVT LTD"/>
    <n v="2155233"/>
    <s v="CRCA COIL TATXXD AU03 2.5X1250"/>
    <s v=" "/>
    <s v=""/>
    <n v="8"/>
    <n v="29"/>
    <m/>
    <s v="C01"/>
    <s v="TATXXD"/>
    <s v="AU03"/>
    <n v="2.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4"/>
    <s v="9518620674-4"/>
    <s v="No Priority"/>
    <x v="0"/>
    <m/>
    <x v="1"/>
    <x v="1"/>
    <s v="2000-BPRS"/>
    <m/>
    <x v="0"/>
    <m/>
    <m/>
    <m/>
    <s v="South"/>
    <s v="CHENNAI"/>
    <m/>
    <n v="938550"/>
    <s v="BASEER AND CO"/>
    <n v="2165170"/>
    <s v="CRCA COIL TATCRC TR15 0.400X900"/>
    <s v=" "/>
    <s v=""/>
    <n v="6"/>
    <n v="18"/>
    <m/>
    <s v="C01"/>
    <s v="TATCRC"/>
    <s v="TR15"/>
    <n v="0.4"/>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5"/>
    <s v="9518620674-5"/>
    <s v="No Priority"/>
    <x v="0"/>
    <m/>
    <x v="1"/>
    <x v="1"/>
    <s v="2000-BPRS"/>
    <m/>
    <x v="0"/>
    <m/>
    <m/>
    <m/>
    <s v="South"/>
    <s v="CHENNAI"/>
    <m/>
    <n v="938550"/>
    <s v="BASEER AND CO"/>
    <n v="1804889"/>
    <s v="CRCA COIL-TATCRC-TR15-0.4X1000"/>
    <s v=" "/>
    <s v=""/>
    <n v="6"/>
    <n v="18"/>
    <m/>
    <s v="C01"/>
    <s v="TATCRC"/>
    <s v="TR15"/>
    <n v="0.4"/>
    <n v="1000"/>
    <n v="0"/>
    <n v="69"/>
    <n v="0"/>
    <n v="69"/>
    <n v="69"/>
    <n v="69"/>
    <n v="69"/>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595"/>
    <n v="3"/>
    <s v="9518692595-3"/>
    <s v="No Priority"/>
    <x v="0"/>
    <m/>
    <x v="3"/>
    <x v="0"/>
    <s v="2000-BPRS"/>
    <m/>
    <x v="0"/>
    <m/>
    <m/>
    <m/>
    <s v="East"/>
    <s v="TATANAGAR"/>
    <m/>
    <n v="165053"/>
    <s v="SUDISA ENTERPRISES (P) LTD."/>
    <n v="1852012"/>
    <s v="GP COIL SOFT-TSBXGP-N1GP-0.4X900"/>
    <s v="Z80"/>
    <s v=""/>
    <n v="4"/>
    <n v="12"/>
    <m/>
    <s v="C02"/>
    <s v="TSBXGP"/>
    <s v="N1GP"/>
    <n v="0.4"/>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595"/>
    <n v="4"/>
    <s v="9518692595-4"/>
    <s v="No Priority"/>
    <x v="0"/>
    <m/>
    <x v="3"/>
    <x v="0"/>
    <s v="2000-BPRS"/>
    <m/>
    <x v="0"/>
    <m/>
    <m/>
    <m/>
    <s v="East"/>
    <s v="TATANAGAR"/>
    <m/>
    <n v="165053"/>
    <s v="SUDISA ENTERPRISES (P) LTD."/>
    <n v="1852246"/>
    <s v="GP COIL SOFT-TSBXGP-N1GP-0.5X900"/>
    <s v="Z80"/>
    <s v=""/>
    <n v="4"/>
    <n v="12"/>
    <m/>
    <s v="C02"/>
    <s v="TSBXGP"/>
    <s v="N1GP"/>
    <n v="0.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595"/>
    <n v="5"/>
    <s v="9518692595-5"/>
    <s v="No Priority"/>
    <x v="0"/>
    <m/>
    <x v="3"/>
    <x v="0"/>
    <s v="2000-BPRS"/>
    <m/>
    <x v="0"/>
    <m/>
    <m/>
    <m/>
    <s v="East"/>
    <s v="TATANAGAR"/>
    <m/>
    <n v="165053"/>
    <s v="SUDISA ENTERPRISES (P) LTD."/>
    <n v="1852414"/>
    <s v="GP COIL SOFT-TSBXGP-N1GP-0.6X900"/>
    <s v="Z80"/>
    <s v=""/>
    <n v="4"/>
    <n v="12"/>
    <m/>
    <s v="C02"/>
    <s v="TSBXGP"/>
    <s v="N1GP"/>
    <n v="0.6"/>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595"/>
    <n v="6"/>
    <s v="9518692595-6"/>
    <s v="No Priority"/>
    <x v="0"/>
    <m/>
    <x v="3"/>
    <x v="0"/>
    <s v="2000-BPRS"/>
    <m/>
    <x v="0"/>
    <m/>
    <m/>
    <m/>
    <s v="East"/>
    <s v="TATANAGAR"/>
    <m/>
    <n v="165053"/>
    <s v="SUDISA ENTERPRISES (P) LTD."/>
    <n v="1852445"/>
    <s v="GP COIL SOFT-TSBXGP-T1GP-0.6X1250"/>
    <s v="Z80"/>
    <s v=""/>
    <n v="4"/>
    <n v="12"/>
    <m/>
    <s v="C02"/>
    <s v="TSBXGP"/>
    <s v="T1GP"/>
    <n v="0.6"/>
    <n v="1250"/>
    <n v="0"/>
    <n v="29"/>
    <n v="0"/>
    <n v="29"/>
    <n v="29"/>
    <n v="0"/>
    <n v="29"/>
    <n v="0"/>
    <n v="0"/>
    <n v="0"/>
    <n v="0"/>
    <n v="0"/>
    <n v="0"/>
    <n v="0"/>
    <n v="0"/>
    <n v="0"/>
    <n v="0"/>
    <n v="0"/>
    <n v="0"/>
    <n v="0"/>
    <n v="0"/>
    <n v="0"/>
    <n v="0"/>
    <n v="0"/>
    <n v="0"/>
    <n v="0"/>
    <n v="0"/>
    <n v="0"/>
    <n v="29"/>
    <n v="29"/>
    <m/>
    <n v="0"/>
    <n v="0"/>
    <n v="0"/>
    <n v="0"/>
    <n v="0"/>
    <n v="0"/>
    <n v="0"/>
    <n v="0"/>
    <n v="0"/>
    <n v="0"/>
    <n v="0"/>
    <n v="0"/>
    <n v="0"/>
    <m/>
    <m/>
    <m/>
    <m/>
    <m/>
    <m/>
    <m/>
    <m/>
    <m/>
    <m/>
    <m/>
    <m/>
    <m/>
    <m/>
    <m/>
    <m/>
    <m/>
    <m/>
    <m/>
    <m/>
    <m/>
    <m/>
    <m/>
    <m/>
    <m/>
    <m/>
    <m/>
    <m/>
    <m/>
    <m/>
    <m/>
    <m/>
    <m/>
    <m/>
    <m/>
  </r>
  <r>
    <n v="744"/>
    <d v="2025-03-13T00:00:00"/>
    <s v="ZBTO"/>
    <n v="9518599122"/>
    <n v="1"/>
    <s v="9518599122-1"/>
    <s v="May'25"/>
    <x v="0"/>
    <m/>
    <x v="2"/>
    <x v="3"/>
    <s v="1000-IPPE"/>
    <m/>
    <x v="1"/>
    <m/>
    <m/>
    <m/>
    <s v="TBSPL"/>
    <s v=" "/>
    <m/>
    <n v="941597"/>
    <s v="TATA BLUESCOPE STEEL PRIVATE LIMITE"/>
    <n v="3902332"/>
    <s v="PPGL C HARD Y550PL D0C9 0.50(TPT)X1220"/>
    <s v="AZ150"/>
    <s v="RAL 7015 TSL 1805"/>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2"/>
    <d v="2025-03-11T00:00:00"/>
    <s v="ZBTO"/>
    <n v="9518591774"/>
    <n v="2"/>
    <s v="9518591774-2"/>
    <s v="No Priority"/>
    <x v="0"/>
    <m/>
    <x v="1"/>
    <x v="1"/>
    <s v="2000-BPRS"/>
    <m/>
    <x v="0"/>
    <m/>
    <m/>
    <m/>
    <s v="North"/>
    <s v="ZOSOLA"/>
    <m/>
    <n v="936527"/>
    <s v="SHORI LAL KEWAL KUMAR."/>
    <n v="185664"/>
    <s v="CRSHEET-ICF  DQ TATXXD AU03 0.40 X 1250"/>
    <s v=" "/>
    <s v=""/>
    <n v="10"/>
    <n v="30"/>
    <m/>
    <s v="C01"/>
    <s v="TATXXD"/>
    <s v="AU03"/>
    <n v="0.4"/>
    <n v="1250"/>
    <n v="0"/>
    <n v="87"/>
    <n v="0"/>
    <n v="87"/>
    <n v="87"/>
    <n v="87"/>
    <n v="87"/>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1774"/>
    <n v="13"/>
    <s v="9518591774-13"/>
    <s v="No Priority"/>
    <x v="0"/>
    <m/>
    <x v="1"/>
    <x v="1"/>
    <s v="2000-BPRS"/>
    <m/>
    <x v="0"/>
    <m/>
    <m/>
    <m/>
    <s v="North"/>
    <s v="ZOSOLA"/>
    <m/>
    <n v="936527"/>
    <s v="SHORI LAL KEWAL KUMAR."/>
    <n v="1801804"/>
    <s v="CRCA COIL-TATXXD-AU03-1X1250"/>
    <s v=" "/>
    <s v=""/>
    <n v="10"/>
    <n v="30"/>
    <m/>
    <s v="C01"/>
    <s v="TATXXD"/>
    <s v="AU03"/>
    <n v="1"/>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1774"/>
    <n v="19"/>
    <s v="9518591774-19"/>
    <s v="May'25"/>
    <x v="0"/>
    <m/>
    <x v="1"/>
    <x v="1"/>
    <s v="2000-BPRS"/>
    <m/>
    <x v="1"/>
    <m/>
    <m/>
    <m/>
    <s v="North"/>
    <s v="ZOSOLA"/>
    <m/>
    <n v="936527"/>
    <s v="SHORI LAL KEWAL KUMAR."/>
    <n v="2390540"/>
    <s v="CRCA COIL TATXXD AU03 1.800X1250"/>
    <s v=" "/>
    <s v=""/>
    <n v="10"/>
    <n v="30"/>
    <m/>
    <s v="C01"/>
    <s v="TATXXD"/>
    <s v="AU03"/>
    <n v="1.8"/>
    <n v="1250"/>
    <n v="0"/>
    <n v="29"/>
    <n v="0"/>
    <n v="29"/>
    <n v="29"/>
    <n v="8.36"/>
    <n v="29"/>
    <n v="0"/>
    <n v="0"/>
    <n v="0"/>
    <n v="0"/>
    <n v="0"/>
    <n v="0"/>
    <n v="0"/>
    <n v="0"/>
    <n v="0"/>
    <n v="0"/>
    <n v="0"/>
    <n v="0"/>
    <n v="0"/>
    <n v="20.64"/>
    <n v="0"/>
    <n v="0"/>
    <n v="0"/>
    <n v="0"/>
    <n v="0"/>
    <n v="20.64"/>
    <n v="20.64"/>
    <n v="0"/>
    <n v="20.64"/>
    <m/>
    <n v="0"/>
    <n v="29"/>
    <n v="29"/>
    <n v="0"/>
    <n v="0"/>
    <n v="0"/>
    <n v="0"/>
    <n v="0"/>
    <n v="0"/>
    <n v="0"/>
    <n v="0"/>
    <n v="0"/>
    <n v="0"/>
    <m/>
    <m/>
    <m/>
    <m/>
    <m/>
    <m/>
    <m/>
    <m/>
    <m/>
    <m/>
    <m/>
    <m/>
    <m/>
    <m/>
    <m/>
    <m/>
    <m/>
    <m/>
    <m/>
    <m/>
    <m/>
    <m/>
    <m/>
    <m/>
    <m/>
    <m/>
    <m/>
    <m/>
    <m/>
    <m/>
    <m/>
    <m/>
    <m/>
    <m/>
    <m/>
  </r>
  <r>
    <n v="742"/>
    <d v="2025-03-25T00:00:00"/>
    <s v="ZBTO"/>
    <n v="9518633792"/>
    <n v="1"/>
    <s v="9518633792-1"/>
    <s v="May'25"/>
    <x v="0"/>
    <s v="Yes"/>
    <x v="1"/>
    <x v="1"/>
    <s v="2000-BPRS"/>
    <m/>
    <x v="1"/>
    <m/>
    <m/>
    <m/>
    <s v="South"/>
    <s v="YESHWANTHPURA"/>
    <m/>
    <n v="939268"/>
    <s v="TATA STEEL DOWNSTREAM PRODUCTS LIMI"/>
    <n v="185675"/>
    <s v="CRCA COIL-TATXXD-AU03-0.5X1250"/>
    <s v=" "/>
    <s v=""/>
    <n v="2"/>
    <n v="30"/>
    <m/>
    <s v="C01"/>
    <s v="TATXXD"/>
    <s v="AU03"/>
    <n v="0.5"/>
    <n v="1250"/>
    <n v="0"/>
    <n v="203"/>
    <n v="0"/>
    <n v="203"/>
    <n v="203"/>
    <n v="35.050000000000011"/>
    <n v="166.21"/>
    <n v="0"/>
    <n v="0"/>
    <n v="0"/>
    <n v="0"/>
    <n v="0"/>
    <n v="0"/>
    <n v="0"/>
    <n v="0"/>
    <n v="0"/>
    <n v="0"/>
    <n v="0"/>
    <n v="0"/>
    <n v="20.88"/>
    <n v="135.09"/>
    <n v="0"/>
    <n v="11.98"/>
    <n v="0"/>
    <n v="0"/>
    <n v="0"/>
    <n v="167.95"/>
    <n v="167.95"/>
    <n v="0"/>
    <n v="167.95"/>
    <m/>
    <n v="36.79"/>
    <n v="166.21"/>
    <n v="0"/>
    <n v="166.21"/>
    <n v="0"/>
    <n v="0"/>
    <n v="0"/>
    <n v="166.21"/>
    <n v="0"/>
    <n v="166.21"/>
    <n v="0"/>
    <n v="0"/>
    <n v="0"/>
    <m/>
    <m/>
    <m/>
    <m/>
    <m/>
    <m/>
    <m/>
    <m/>
    <m/>
    <m/>
    <m/>
    <m/>
    <m/>
    <m/>
    <m/>
    <m/>
    <m/>
    <m/>
    <m/>
    <m/>
    <m/>
    <m/>
    <m/>
    <m/>
    <m/>
    <m/>
    <m/>
    <m/>
    <m/>
    <m/>
    <m/>
    <m/>
    <m/>
    <m/>
    <m/>
  </r>
  <r>
    <n v="742"/>
    <d v="2025-03-11T00:00:00"/>
    <s v="ZBTO"/>
    <n v="9518591869"/>
    <n v="14"/>
    <s v="9518591869-14"/>
    <s v="No Priority"/>
    <x v="0"/>
    <m/>
    <x v="1"/>
    <x v="1"/>
    <s v="2000-BPRS"/>
    <m/>
    <x v="0"/>
    <m/>
    <m/>
    <m/>
    <s v="North"/>
    <s v="FARIDABAD"/>
    <m/>
    <n v="936527"/>
    <s v="SHORI LAL KEWAL KUMAR."/>
    <n v="2193598"/>
    <s v="CRCA COIL TATXXD AU03 1.900X1250"/>
    <s v=" "/>
    <s v=""/>
    <n v="10"/>
    <n v="30"/>
    <m/>
    <s v="C01"/>
    <s v="TATXXD"/>
    <s v="AU03"/>
    <n v="1.9"/>
    <n v="1250"/>
    <n v="0"/>
    <n v="29"/>
    <n v="0"/>
    <n v="29"/>
    <n v="29"/>
    <n v="29"/>
    <n v="0"/>
    <n v="0"/>
    <n v="0"/>
    <n v="0"/>
    <n v="0"/>
    <n v="0"/>
    <n v="0"/>
    <n v="0"/>
    <n v="0"/>
    <n v="0"/>
    <n v="0"/>
    <n v="0"/>
    <n v="0"/>
    <n v="0"/>
    <n v="0"/>
    <n v="0"/>
    <n v="0"/>
    <n v="0"/>
    <n v="0"/>
    <n v="0"/>
    <n v="0"/>
    <n v="0"/>
    <n v="0"/>
    <n v="0"/>
    <m/>
    <n v="0"/>
    <n v="0"/>
    <n v="0"/>
    <n v="0"/>
    <n v="0"/>
    <n v="0"/>
    <n v="0"/>
    <n v="0"/>
    <n v="0"/>
    <n v="0"/>
    <n v="0"/>
    <n v="0"/>
    <n v="0"/>
    <m/>
    <m/>
    <m/>
    <m/>
    <m/>
    <m/>
    <m/>
    <m/>
    <m/>
    <m/>
    <m/>
    <m/>
    <m/>
    <m/>
    <m/>
    <m/>
    <m/>
    <m/>
    <m/>
    <m/>
    <m/>
    <m/>
    <m/>
    <m/>
    <m/>
    <m/>
    <m/>
    <m/>
    <m/>
    <m/>
    <m/>
    <m/>
    <m/>
    <m/>
    <m/>
  </r>
  <r>
    <n v="742"/>
    <d v="2025-03-20T00:00:00"/>
    <s v="ZBTO"/>
    <n v="9518617286"/>
    <n v="2"/>
    <s v="9518617286-2"/>
    <s v="No Priority"/>
    <x v="0"/>
    <m/>
    <x v="1"/>
    <x v="1"/>
    <s v="2000-BPRS"/>
    <m/>
    <x v="0"/>
    <m/>
    <m/>
    <m/>
    <s v="North"/>
    <s v="ZOSOLA"/>
    <m/>
    <n v="101446"/>
    <s v="BANSAL BROTHERS "/>
    <n v="1804826"/>
    <s v="CRCA COIL-TATXXD-AU03-0.9X1250"/>
    <s v=" "/>
    <s v=""/>
    <n v="10"/>
    <n v="30"/>
    <m/>
    <s v="C01"/>
    <s v="TATXXD"/>
    <s v="AU03"/>
    <n v="0.9"/>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20T00:00:00"/>
    <s v="ZBTO"/>
    <n v="9518617286"/>
    <n v="3"/>
    <s v="9518617286-3"/>
    <s v="No Priority"/>
    <x v="0"/>
    <m/>
    <x v="1"/>
    <x v="1"/>
    <s v="2000-BPRS"/>
    <m/>
    <x v="0"/>
    <m/>
    <m/>
    <m/>
    <s v="North"/>
    <s v="ZOSOLA"/>
    <m/>
    <n v="101446"/>
    <s v="BANSAL BROTHERS "/>
    <n v="2403370"/>
    <s v="CRCA COIL TATXXD AU03 0.950X1250"/>
    <s v=" "/>
    <s v=""/>
    <n v="10"/>
    <n v="30"/>
    <m/>
    <s v="C01"/>
    <s v="TATXXD"/>
    <s v="AU03"/>
    <n v="0.95"/>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5"/>
    <s v="9518692103-5"/>
    <s v="No Priority"/>
    <x v="0"/>
    <m/>
    <x v="3"/>
    <x v="9"/>
    <s v="2000-BPRS"/>
    <m/>
    <x v="0"/>
    <m/>
    <m/>
    <m/>
    <s v="East"/>
    <s v="WEST BOKARO"/>
    <m/>
    <n v="185794"/>
    <s v="Shree Bajrang Steel Udyog"/>
    <n v="1178439"/>
    <s v="GP COIL SOFT-TATXGP-GK09-0.4X900"/>
    <s v="Z80"/>
    <s v=""/>
    <n v="4"/>
    <n v="12"/>
    <m/>
    <s v="C02"/>
    <s v="TATXGP"/>
    <s v="GK09"/>
    <n v="0.4"/>
    <n v="900"/>
    <n v="0"/>
    <n v="189"/>
    <n v="0"/>
    <n v="189"/>
    <n v="189"/>
    <n v="189"/>
    <n v="189"/>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103"/>
    <n v="6"/>
    <s v="9518692103-6"/>
    <s v="No Priority"/>
    <x v="0"/>
    <m/>
    <x v="3"/>
    <x v="9"/>
    <s v="2000-BPRS"/>
    <m/>
    <x v="0"/>
    <m/>
    <m/>
    <m/>
    <s v="East"/>
    <s v="WEST BOKARO"/>
    <m/>
    <n v="185794"/>
    <s v="Shree Bajrang Steel Udyog"/>
    <n v="1178439"/>
    <s v="GP COIL SOFT-TATXGP-GK09-0.4X900"/>
    <s v="Z80"/>
    <s v=""/>
    <n v="4"/>
    <n v="12"/>
    <m/>
    <s v="C02"/>
    <s v="TATXGP"/>
    <s v="GK09"/>
    <n v="0.4"/>
    <n v="900"/>
    <n v="0"/>
    <n v="168"/>
    <n v="0"/>
    <n v="168"/>
    <n v="168"/>
    <n v="168"/>
    <n v="168"/>
    <n v="0"/>
    <n v="0"/>
    <n v="0"/>
    <n v="0"/>
    <n v="0"/>
    <n v="0"/>
    <n v="0"/>
    <n v="0"/>
    <n v="0"/>
    <n v="0"/>
    <n v="0"/>
    <n v="0"/>
    <n v="0"/>
    <n v="0"/>
    <n v="0"/>
    <n v="0"/>
    <n v="0"/>
    <n v="0"/>
    <n v="0"/>
    <n v="0"/>
    <n v="0"/>
    <n v="0"/>
    <n v="0"/>
    <m/>
    <n v="0"/>
    <n v="0"/>
    <n v="0"/>
    <n v="0"/>
    <n v="0"/>
    <n v="0"/>
    <n v="0"/>
    <n v="0"/>
    <n v="0"/>
    <n v="0"/>
    <n v="0"/>
    <n v="0"/>
    <n v="0"/>
    <m/>
    <m/>
    <m/>
    <m/>
    <m/>
    <m/>
    <m/>
    <m/>
    <m/>
    <m/>
    <m/>
    <m/>
    <m/>
    <m/>
    <m/>
    <m/>
    <m/>
    <m/>
    <m/>
    <m/>
    <m/>
    <m/>
    <m/>
    <m/>
    <m/>
    <m/>
    <m/>
    <m/>
    <m/>
    <m/>
    <m/>
    <m/>
    <m/>
    <m/>
    <m/>
  </r>
  <r>
    <n v="743"/>
    <d v="2025-04-11T00:00:00"/>
    <s v="ZBTO"/>
    <n v="9518683949"/>
    <n v="4"/>
    <s v="9518683949-4"/>
    <s v="May'25"/>
    <x v="0"/>
    <s v="Yes"/>
    <x v="3"/>
    <x v="9"/>
    <s v="2000-BPRS"/>
    <m/>
    <x v="1"/>
    <m/>
    <m/>
    <m/>
    <s v="East"/>
    <s v="WEST BENGAL"/>
    <m/>
    <n v="100922"/>
    <s v="BUBNA COMMERCIAL COMPANY"/>
    <n v="1178439"/>
    <s v="GP COIL SOFT-TATXGP-GK09-0.4X900"/>
    <s v="Z80"/>
    <s v=""/>
    <n v="5"/>
    <n v="15"/>
    <m/>
    <s v="C02"/>
    <s v="TATXGP"/>
    <s v="GK09"/>
    <n v="0.4"/>
    <n v="900"/>
    <n v="0"/>
    <n v="147"/>
    <n v="0"/>
    <n v="147"/>
    <n v="147"/>
    <n v="12.680000000000007"/>
    <n v="147"/>
    <n v="0"/>
    <n v="0"/>
    <n v="0"/>
    <n v="0"/>
    <n v="0"/>
    <n v="0"/>
    <n v="134.32"/>
    <n v="0"/>
    <n v="0"/>
    <n v="0"/>
    <n v="0"/>
    <n v="0"/>
    <n v="0"/>
    <n v="0"/>
    <n v="0"/>
    <n v="0"/>
    <n v="0"/>
    <n v="0"/>
    <n v="0"/>
    <n v="134.32"/>
    <n v="134.32"/>
    <n v="0"/>
    <n v="134.32"/>
    <m/>
    <n v="0"/>
    <n v="147"/>
    <n v="0"/>
    <n v="147"/>
    <n v="0"/>
    <n v="0"/>
    <n v="0"/>
    <n v="147"/>
    <n v="0"/>
    <n v="147"/>
    <n v="0"/>
    <n v="0"/>
    <n v="0"/>
    <m/>
    <m/>
    <m/>
    <m/>
    <m/>
    <m/>
    <m/>
    <m/>
    <m/>
    <m/>
    <m/>
    <m/>
    <m/>
    <m/>
    <m/>
    <m/>
    <m/>
    <m/>
    <m/>
    <m/>
    <m/>
    <m/>
    <m/>
    <m/>
    <m/>
    <m/>
    <m/>
    <m/>
    <m/>
    <m/>
    <m/>
    <m/>
    <m/>
    <m/>
    <m/>
  </r>
  <r>
    <n v="744"/>
    <d v="2025-04-03T00:00:00"/>
    <s v="ZBTO"/>
    <n v="9518666670"/>
    <n v="2"/>
    <s v="9518666670-2"/>
    <s v="May'25"/>
    <x v="0"/>
    <m/>
    <x v="2"/>
    <x v="3"/>
    <s v="1000-IPPE"/>
    <m/>
    <x v="1"/>
    <m/>
    <m/>
    <m/>
    <s v="TBSPL"/>
    <s v=" "/>
    <m/>
    <n v="941597"/>
    <s v="TATA BLUESCOPE STEEL PRIVATE LIMITE"/>
    <n v="3940122"/>
    <s v="PPGL C HARD Y550PL D0C9 0.470(TPT)X1220"/>
    <s v="AZ150"/>
    <s v="RAL 7015 TSL 1805"/>
    <n v="3"/>
    <n v="5"/>
    <m/>
    <s v="B18"/>
    <s v="Y550PL"/>
    <s v="D0C9"/>
    <n v="0.47"/>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2"/>
    <d v="2025-04-10T00:00:00"/>
    <s v="ZBTO"/>
    <n v="9518683200"/>
    <n v="19"/>
    <s v="9518683200-19"/>
    <s v="Stocks"/>
    <x v="0"/>
    <s v="Yes"/>
    <x v="1"/>
    <x v="1"/>
    <s v="2000-BPRS"/>
    <m/>
    <x v="1"/>
    <m/>
    <m/>
    <m/>
    <s v="South"/>
    <s v="VISHAKHAPATNAM"/>
    <m/>
    <n v="946077"/>
    <s v="SITARAM IRON AND STEEL PVT LTD"/>
    <n v="281630"/>
    <s v="CRSHEET C06 TATXXD AU03 1.6X1250X2500"/>
    <s v=" "/>
    <s v=""/>
    <n v="0"/>
    <n v="0"/>
    <m/>
    <s v="C06"/>
    <s v="TATXXD"/>
    <s v="AU03"/>
    <n v="1.6"/>
    <n v="1250"/>
    <n v="2500"/>
    <n v="30"/>
    <n v="0"/>
    <n v="30"/>
    <n v="30"/>
    <n v="30"/>
    <n v="8.15"/>
    <n v="0"/>
    <n v="0"/>
    <n v="0"/>
    <n v="0"/>
    <n v="0"/>
    <n v="0"/>
    <n v="0"/>
    <n v="0"/>
    <n v="0"/>
    <n v="0"/>
    <n v="0"/>
    <n v="0"/>
    <n v="0"/>
    <n v="0"/>
    <n v="0"/>
    <n v="0"/>
    <n v="0"/>
    <n v="0"/>
    <n v="0"/>
    <n v="0"/>
    <n v="0"/>
    <n v="0"/>
    <n v="0"/>
    <m/>
    <n v="7.85"/>
    <n v="0"/>
    <n v="0"/>
    <n v="0"/>
    <n v="0"/>
    <n v="0"/>
    <n v="0"/>
    <n v="0"/>
    <n v="0"/>
    <n v="0"/>
    <n v="0"/>
    <n v="0"/>
    <n v="0"/>
    <m/>
    <m/>
    <m/>
    <m/>
    <m/>
    <m/>
    <m/>
    <m/>
    <m/>
    <m/>
    <m/>
    <m/>
    <m/>
    <m/>
    <m/>
    <m/>
    <m/>
    <m/>
    <m/>
    <m/>
    <m/>
    <m/>
    <m/>
    <m/>
    <m/>
    <m/>
    <m/>
    <m/>
    <m/>
    <m/>
    <m/>
    <m/>
    <m/>
    <m/>
    <m/>
  </r>
  <r>
    <n v="742"/>
    <d v="2025-04-08T00:00:00"/>
    <s v="ZBTO"/>
    <n v="9518677464"/>
    <n v="1"/>
    <s v="9518677464-1"/>
    <s v="May'25"/>
    <x v="0"/>
    <s v="Yes"/>
    <x v="1"/>
    <x v="1"/>
    <s v="2000-BPRS"/>
    <m/>
    <x v="1"/>
    <m/>
    <m/>
    <m/>
    <s v="East"/>
    <s v="GUWAHATI"/>
    <m/>
    <n v="116649"/>
    <s v="SAGAR STEELS"/>
    <n v="350229"/>
    <s v="CR COIL TATXXD AU03 .55X1250"/>
    <s v=" "/>
    <s v=""/>
    <n v="6"/>
    <n v="24"/>
    <m/>
    <s v="C01"/>
    <s v="TATXXD"/>
    <s v="AU03"/>
    <n v="0.55000000000000004"/>
    <n v="1250"/>
    <n v="0"/>
    <n v="86.99"/>
    <n v="0"/>
    <n v="86.99"/>
    <n v="86.99"/>
    <n v="5.4699999999999847"/>
    <n v="86.99"/>
    <n v="0"/>
    <n v="0"/>
    <n v="0"/>
    <n v="0"/>
    <n v="0"/>
    <n v="0"/>
    <n v="0"/>
    <n v="0"/>
    <n v="0"/>
    <n v="0"/>
    <n v="0"/>
    <n v="0"/>
    <n v="27.18"/>
    <n v="54.34"/>
    <n v="0"/>
    <n v="0"/>
    <n v="0"/>
    <n v="0"/>
    <n v="0"/>
    <n v="81.52000000000001"/>
    <n v="81.52000000000001"/>
    <n v="0"/>
    <n v="81.52000000000001"/>
    <m/>
    <n v="0"/>
    <n v="86.99"/>
    <n v="0"/>
    <n v="86.99"/>
    <n v="0"/>
    <n v="0"/>
    <n v="0"/>
    <n v="86.99"/>
    <n v="0"/>
    <n v="86.99"/>
    <n v="0"/>
    <n v="0"/>
    <n v="0"/>
    <m/>
    <m/>
    <m/>
    <m/>
    <m/>
    <m/>
    <m/>
    <m/>
    <m/>
    <m/>
    <m/>
    <m/>
    <m/>
    <m/>
    <m/>
    <m/>
    <m/>
    <m/>
    <m/>
    <m/>
    <m/>
    <m/>
    <m/>
    <m/>
    <m/>
    <m/>
    <m/>
    <m/>
    <m/>
    <m/>
    <m/>
    <m/>
    <m/>
    <m/>
    <m/>
  </r>
  <r>
    <n v="742"/>
    <d v="2025-04-08T00:00:00"/>
    <s v="ZBTO"/>
    <n v="9518677964"/>
    <n v="1"/>
    <s v="9518677964-1"/>
    <s v="No Priority"/>
    <x v="0"/>
    <m/>
    <x v="1"/>
    <x v="12"/>
    <s v="2000-BPRS"/>
    <m/>
    <x v="0"/>
    <m/>
    <m/>
    <m/>
    <s v="South"/>
    <s v="PATTANCHERY"/>
    <m/>
    <n v="847544"/>
    <s v="G K ISPAT PRIVATE LIMITED"/>
    <n v="2439203"/>
    <s v="CRCA COIL TSBSTA EL06 0.500X1160"/>
    <s v=" "/>
    <s v=""/>
    <n v="10"/>
    <n v="30"/>
    <m/>
    <s v="C01"/>
    <s v="TSBSTA"/>
    <s v="EL06"/>
    <n v="0.5"/>
    <n v="1160"/>
    <n v="0"/>
    <n v="108"/>
    <n v="0"/>
    <n v="108"/>
    <n v="108"/>
    <n v="108"/>
    <n v="107.9"/>
    <n v="0"/>
    <n v="0"/>
    <n v="0"/>
    <n v="0"/>
    <n v="0"/>
    <n v="0"/>
    <n v="0"/>
    <n v="0"/>
    <n v="0"/>
    <n v="0"/>
    <n v="0"/>
    <n v="0"/>
    <n v="0"/>
    <n v="0"/>
    <n v="0"/>
    <n v="0"/>
    <n v="0"/>
    <n v="0"/>
    <n v="0"/>
    <n v="0"/>
    <n v="0"/>
    <n v="0"/>
    <n v="0"/>
    <m/>
    <n v="0"/>
    <n v="0"/>
    <n v="0"/>
    <n v="0"/>
    <n v="0"/>
    <n v="0"/>
    <n v="0"/>
    <n v="0"/>
    <n v="0"/>
    <n v="0"/>
    <n v="0"/>
    <n v="0"/>
    <n v="0"/>
    <m/>
    <m/>
    <m/>
    <m/>
    <m/>
    <m/>
    <m/>
    <m/>
    <m/>
    <m/>
    <m/>
    <m/>
    <m/>
    <m/>
    <m/>
    <m/>
    <m/>
    <m/>
    <m/>
    <m/>
    <m/>
    <m/>
    <m/>
    <m/>
    <m/>
    <m/>
    <m/>
    <m/>
    <m/>
    <m/>
    <m/>
    <m/>
    <m/>
    <m/>
    <m/>
  </r>
  <r>
    <n v="743"/>
    <d v="2025-04-11T00:00:00"/>
    <s v="ZBTO"/>
    <n v="9518683949"/>
    <n v="5"/>
    <s v="9518683949-5"/>
    <s v="May'25"/>
    <x v="0"/>
    <m/>
    <x v="3"/>
    <x v="9"/>
    <s v="2000-BPRS"/>
    <m/>
    <x v="0"/>
    <m/>
    <m/>
    <m/>
    <s v="East"/>
    <s v="WEST BENGAL"/>
    <m/>
    <n v="100922"/>
    <s v="BUBNA COMMERCIAL COMPANY"/>
    <n v="1854413"/>
    <s v="GP COIL SOFT-TATXGP-GK09-0.45X900"/>
    <s v="Z80"/>
    <s v=""/>
    <n v="5"/>
    <n v="15"/>
    <m/>
    <s v="C02"/>
    <s v="TATXGP"/>
    <s v="GK09"/>
    <n v="0.4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F"/>
    <n v="9518695452"/>
    <n v="8"/>
    <s v="9518695452-8"/>
    <s v="May'25"/>
    <x v="0"/>
    <m/>
    <x v="1"/>
    <x v="7"/>
    <s v="1000-IPPE"/>
    <m/>
    <x v="1"/>
    <m/>
    <m/>
    <m/>
    <s v="East"/>
    <s v="PILKHUWA"/>
    <m/>
    <n v="600250"/>
    <s v="TATA CENTER"/>
    <n v="2439203"/>
    <s v="CRCA COIL TSBSTA EL06 0.500X1160"/>
    <s v=" "/>
    <s v=""/>
    <n v="8"/>
    <n v="13"/>
    <m/>
    <s v="C01"/>
    <s v="TSBSTA"/>
    <s v="EL06"/>
    <n v="0.5"/>
    <n v="1160"/>
    <n v="0"/>
    <n v="297"/>
    <n v="0"/>
    <n v="297"/>
    <n v="297"/>
    <n v="269.33"/>
    <n v="297"/>
    <n v="0"/>
    <n v="0"/>
    <n v="27.67"/>
    <n v="0"/>
    <n v="0"/>
    <n v="0"/>
    <n v="0"/>
    <n v="0"/>
    <n v="0"/>
    <n v="0"/>
    <n v="0"/>
    <n v="0"/>
    <n v="0"/>
    <n v="0"/>
    <n v="0"/>
    <n v="0"/>
    <n v="0"/>
    <n v="0"/>
    <n v="0"/>
    <n v="27.67"/>
    <n v="27.67"/>
    <n v="0"/>
    <n v="27.67"/>
    <m/>
    <n v="0"/>
    <n v="297"/>
    <n v="0"/>
    <n v="0"/>
    <n v="297"/>
    <n v="0"/>
    <n v="0"/>
    <n v="0"/>
    <n v="0"/>
    <n v="0"/>
    <n v="0"/>
    <n v="0"/>
    <n v="0"/>
    <m/>
    <m/>
    <m/>
    <m/>
    <m/>
    <m/>
    <m/>
    <m/>
    <m/>
    <m/>
    <m/>
    <m/>
    <m/>
    <m/>
    <m/>
    <m/>
    <m/>
    <m/>
    <m/>
    <m/>
    <m/>
    <m/>
    <m/>
    <m/>
    <m/>
    <m/>
    <m/>
    <m/>
    <m/>
    <m/>
    <m/>
    <m/>
    <m/>
    <m/>
    <m/>
  </r>
  <r>
    <n v="742"/>
    <d v="2025-04-03T00:00:00"/>
    <s v="ZBTO"/>
    <n v="9518666887"/>
    <n v="2"/>
    <s v="9518666887-2"/>
    <s v="Stocks"/>
    <x v="0"/>
    <s v="Yes"/>
    <x v="1"/>
    <x v="2"/>
    <s v="2000-BPRS"/>
    <m/>
    <x v="1"/>
    <m/>
    <s v="Exp BTF &lt;17MT"/>
    <m/>
    <s v="North"/>
    <s v="VARANASI"/>
    <m/>
    <n v="931525"/>
    <s v="INDIA STEEL INDUSTRIES"/>
    <n v="3239568"/>
    <s v="CRCA SHEET TATCRC SR16 0.450X1250X2500"/>
    <s v=" "/>
    <s v=""/>
    <n v="0"/>
    <n v="0"/>
    <m/>
    <s v="C06"/>
    <s v="TATCRC"/>
    <s v="SR16"/>
    <n v="0.45"/>
    <n v="1250"/>
    <n v="2500"/>
    <n v="60"/>
    <n v="0"/>
    <n v="60"/>
    <n v="5.14"/>
    <n v="59.69"/>
    <n v="8.3949999999999996"/>
    <n v="0"/>
    <n v="0"/>
    <n v="0"/>
    <n v="0"/>
    <n v="0"/>
    <n v="0"/>
    <n v="0"/>
    <n v="0"/>
    <n v="0.31"/>
    <n v="0"/>
    <n v="0"/>
    <n v="0"/>
    <n v="0"/>
    <n v="0"/>
    <n v="0"/>
    <n v="0"/>
    <n v="0"/>
    <n v="0"/>
    <n v="0"/>
    <n v="0.31"/>
    <n v="0.31"/>
    <n v="0"/>
    <n v="0.31"/>
    <m/>
    <n v="51.60499999999999"/>
    <n v="0"/>
    <n v="0"/>
    <n v="0"/>
    <n v="0"/>
    <n v="0"/>
    <n v="0"/>
    <n v="0"/>
    <n v="0"/>
    <n v="0"/>
    <n v="0"/>
    <n v="0"/>
    <n v="0"/>
    <m/>
    <m/>
    <m/>
    <m/>
    <m/>
    <m/>
    <m/>
    <m/>
    <m/>
    <m/>
    <m/>
    <m/>
    <m/>
    <m/>
    <m/>
    <m/>
    <m/>
    <m/>
    <m/>
    <m/>
    <m/>
    <m/>
    <m/>
    <m/>
    <m/>
    <m/>
    <m/>
    <m/>
    <m/>
    <m/>
    <m/>
    <m/>
    <m/>
    <m/>
    <m/>
  </r>
  <r>
    <n v="742"/>
    <d v="2025-04-03T00:00:00"/>
    <s v="ZBTO"/>
    <n v="9518666887"/>
    <n v="3"/>
    <s v="9518666887-3"/>
    <s v="No Priority"/>
    <x v="0"/>
    <m/>
    <x v="1"/>
    <x v="2"/>
    <s v="2000-BPRS"/>
    <m/>
    <x v="0"/>
    <m/>
    <m/>
    <m/>
    <s v="North"/>
    <s v="VARANASI"/>
    <m/>
    <n v="931525"/>
    <s v="INDIA STEEL INDUSTRIES"/>
    <n v="3240765"/>
    <s v="CRCA SHEET TSBCRC SR15 0.500X1250X2500"/>
    <s v=" "/>
    <s v=""/>
    <n v="0"/>
    <n v="0"/>
    <m/>
    <s v="C06"/>
    <s v="TSBCRC"/>
    <s v="SR15"/>
    <n v="0.5"/>
    <n v="1250"/>
    <n v="2500"/>
    <n v="9"/>
    <n v="0"/>
    <n v="9"/>
    <n v="9"/>
    <n v="9"/>
    <n v="9"/>
    <n v="0"/>
    <n v="0"/>
    <n v="0"/>
    <n v="0"/>
    <n v="0"/>
    <n v="0"/>
    <n v="0"/>
    <n v="0"/>
    <n v="0"/>
    <n v="0"/>
    <n v="0"/>
    <n v="0"/>
    <n v="0"/>
    <n v="0"/>
    <n v="0"/>
    <n v="0"/>
    <n v="0"/>
    <n v="0"/>
    <n v="0"/>
    <n v="0"/>
    <n v="0"/>
    <n v="0"/>
    <n v="0"/>
    <m/>
    <n v="0"/>
    <n v="0"/>
    <n v="0"/>
    <n v="0"/>
    <n v="0"/>
    <n v="0"/>
    <n v="0"/>
    <n v="0"/>
    <n v="0"/>
    <n v="0"/>
    <n v="0"/>
    <n v="0"/>
    <n v="0"/>
    <m/>
    <m/>
    <m/>
    <m/>
    <m/>
    <m/>
    <m/>
    <m/>
    <m/>
    <m/>
    <m/>
    <m/>
    <m/>
    <m/>
    <m/>
    <m/>
    <m/>
    <m/>
    <m/>
    <m/>
    <m/>
    <m/>
    <m/>
    <m/>
    <m/>
    <m/>
    <m/>
    <m/>
    <m/>
    <m/>
    <m/>
    <m/>
    <m/>
    <m/>
    <m/>
  </r>
  <r>
    <n v="744"/>
    <d v="2025-04-08T00:00:00"/>
    <s v="ZBTO"/>
    <n v="9518676905"/>
    <n v="1"/>
    <s v="9518676905-1"/>
    <s v="May'25"/>
    <x v="0"/>
    <m/>
    <x v="2"/>
    <x v="3"/>
    <s v="1000-IPPE"/>
    <m/>
    <x v="1"/>
    <m/>
    <m/>
    <m/>
    <s v="TBSPL"/>
    <s v=" "/>
    <m/>
    <n v="941597"/>
    <s v="TATA BLUESCOPE STEEL PRIVATE LIMITE"/>
    <n v="3902332"/>
    <s v="PPGL C HARD Y550PL D0C9 0.50(TPT)X1220"/>
    <s v="AZ150"/>
    <s v="RAL 9002 TSL 1801"/>
    <n v="3"/>
    <n v="5"/>
    <m/>
    <s v="B18"/>
    <s v="Y550PL"/>
    <s v="D0C9"/>
    <n v="0.5"/>
    <n v="1220"/>
    <n v="0"/>
    <n v="196"/>
    <n v="0"/>
    <n v="196"/>
    <n v="196"/>
    <n v="42.724999999999994"/>
    <n v="158.22"/>
    <n v="0"/>
    <n v="86.11"/>
    <n v="28.09"/>
    <n v="0"/>
    <n v="0"/>
    <n v="0"/>
    <n v="0"/>
    <n v="13.065000000000001"/>
    <n v="0"/>
    <n v="14.485000000000001"/>
    <n v="0"/>
    <n v="0"/>
    <n v="0"/>
    <n v="0"/>
    <n v="0"/>
    <n v="9.4600000000000009"/>
    <n v="0"/>
    <n v="0"/>
    <n v="2.0649999999999999"/>
    <n v="153.27500000000001"/>
    <n v="153.27500000000001"/>
    <n v="0"/>
    <n v="153.27500000000001"/>
    <m/>
    <n v="37.78"/>
    <n v="158.22"/>
    <n v="158.22"/>
    <n v="0"/>
    <n v="0"/>
    <n v="0"/>
    <n v="0"/>
    <n v="0"/>
    <n v="0"/>
    <n v="0"/>
    <n v="0"/>
    <n v="0"/>
    <n v="0"/>
    <m/>
    <m/>
    <m/>
    <m/>
    <m/>
    <m/>
    <m/>
    <m/>
    <m/>
    <m/>
    <m/>
    <m/>
    <m/>
    <m/>
    <m/>
    <m/>
    <m/>
    <m/>
    <m/>
    <m/>
    <m/>
    <m/>
    <m/>
    <m/>
    <m/>
    <m/>
    <m/>
    <m/>
    <m/>
    <m/>
    <m/>
    <m/>
    <m/>
    <m/>
    <m/>
  </r>
  <r>
    <n v="744"/>
    <d v="2025-04-08T00:00:00"/>
    <s v="ZBTO"/>
    <n v="9518676905"/>
    <n v="4"/>
    <s v="9518676905-4"/>
    <s v="May'25"/>
    <x v="0"/>
    <m/>
    <x v="2"/>
    <x v="3"/>
    <s v="1000-IPPE"/>
    <m/>
    <x v="1"/>
    <m/>
    <m/>
    <m/>
    <s v="TBSPL"/>
    <s v=" "/>
    <m/>
    <n v="941597"/>
    <s v="TATA BLUESCOPE STEEL PRIVATE LIMITE"/>
    <n v="3902332"/>
    <s v="PPGL C HARD Y550PL D0C9 0.50(TPT)X1220"/>
    <s v="AZ150"/>
    <s v="RAL 7015 TSL 1805"/>
    <n v="3"/>
    <n v="5"/>
    <m/>
    <s v="B18"/>
    <s v="Y550PL"/>
    <s v="D0C9"/>
    <n v="0.5"/>
    <n v="1220"/>
    <n v="0"/>
    <n v="112"/>
    <n v="0"/>
    <n v="112"/>
    <n v="112"/>
    <n v="112"/>
    <n v="112"/>
    <n v="0"/>
    <n v="0"/>
    <n v="0"/>
    <n v="0"/>
    <n v="0"/>
    <n v="0"/>
    <n v="0"/>
    <n v="0"/>
    <n v="0"/>
    <n v="0"/>
    <n v="0"/>
    <n v="0"/>
    <n v="0"/>
    <n v="0"/>
    <n v="0"/>
    <n v="0"/>
    <n v="0"/>
    <n v="0"/>
    <n v="0"/>
    <n v="0"/>
    <n v="0"/>
    <n v="0"/>
    <n v="0"/>
    <m/>
    <n v="0"/>
    <n v="112"/>
    <n v="0"/>
    <n v="112"/>
    <n v="0"/>
    <n v="0"/>
    <n v="0"/>
    <n v="112"/>
    <n v="0"/>
    <n v="112"/>
    <n v="0"/>
    <n v="0"/>
    <n v="0"/>
    <m/>
    <m/>
    <m/>
    <m/>
    <m/>
    <m/>
    <m/>
    <m/>
    <m/>
    <m/>
    <m/>
    <m/>
    <m/>
    <m/>
    <m/>
    <m/>
    <m/>
    <m/>
    <m/>
    <m/>
    <m/>
    <m/>
    <m/>
    <m/>
    <m/>
    <m/>
    <m/>
    <m/>
    <m/>
    <m/>
    <m/>
    <m/>
    <m/>
    <m/>
    <m/>
  </r>
  <r>
    <n v="744"/>
    <d v="2025-04-08T00:00:00"/>
    <s v="ZBTO"/>
    <n v="9518676905"/>
    <n v="10"/>
    <s v="9518676905-10"/>
    <s v="Stocks"/>
    <x v="0"/>
    <m/>
    <x v="2"/>
    <x v="3"/>
    <s v="1000-IPPE"/>
    <m/>
    <x v="1"/>
    <m/>
    <m/>
    <m/>
    <s v="TBSPL"/>
    <s v=" "/>
    <m/>
    <n v="941597"/>
    <s v="TATA BLUESCOPE STEEL PRIVATE LIMITE"/>
    <n v="3926984"/>
    <s v="PPGL C HARD Y550PL D0C9 0.53(TPT)X1220"/>
    <s v="AZ150"/>
    <s v="RAL 9002 TSL 1801"/>
    <n v="3"/>
    <n v="5"/>
    <m/>
    <s v="B18"/>
    <s v="Y550PL"/>
    <s v="D0C9"/>
    <n v="0.53"/>
    <n v="1220"/>
    <n v="0"/>
    <n v="84"/>
    <n v="0"/>
    <n v="84"/>
    <n v="84"/>
    <n v="84"/>
    <n v="6.2450000000000001"/>
    <n v="0"/>
    <n v="0"/>
    <n v="0"/>
    <n v="0"/>
    <n v="0"/>
    <n v="0"/>
    <n v="0"/>
    <n v="0"/>
    <n v="0"/>
    <n v="0"/>
    <n v="0"/>
    <n v="0"/>
    <n v="0"/>
    <n v="0"/>
    <n v="0"/>
    <n v="0"/>
    <n v="0"/>
    <n v="0"/>
    <n v="0"/>
    <n v="0"/>
    <n v="0"/>
    <n v="0"/>
    <n v="0"/>
    <m/>
    <n v="49.955000000000005"/>
    <n v="0"/>
    <n v="0"/>
    <n v="0"/>
    <n v="0"/>
    <n v="0"/>
    <n v="0"/>
    <n v="0"/>
    <n v="0"/>
    <n v="0"/>
    <n v="0"/>
    <n v="0"/>
    <n v="0"/>
    <m/>
    <m/>
    <m/>
    <m/>
    <m/>
    <m/>
    <m/>
    <m/>
    <m/>
    <m/>
    <m/>
    <m/>
    <m/>
    <m/>
    <m/>
    <m/>
    <m/>
    <m/>
    <m/>
    <m/>
    <m/>
    <m/>
    <m/>
    <m/>
    <m/>
    <m/>
    <m/>
    <m/>
    <m/>
    <m/>
    <m/>
    <m/>
    <m/>
    <m/>
    <m/>
  </r>
  <r>
    <n v="744"/>
    <d v="2025-04-15T00:00:00"/>
    <s v="ZBTO"/>
    <n v="9518695502"/>
    <n v="1"/>
    <s v="9518695502-1"/>
    <s v="May'25"/>
    <x v="0"/>
    <m/>
    <x v="2"/>
    <x v="3"/>
    <s v="1000-IPPE"/>
    <m/>
    <x v="1"/>
    <m/>
    <m/>
    <m/>
    <s v="TBSPL"/>
    <s v="TAMILNADU"/>
    <m/>
    <n v="940074"/>
    <s v="TATA BLUESCOPE STEEL PRIVATE LIMITE"/>
    <n v="3965294"/>
    <s v="PPGL C HARD Y550PL DX01 0.58(TPT)X1220"/>
    <s v="AZ150"/>
    <s v="RAL 5012 TSL 2002"/>
    <n v="3"/>
    <n v="5"/>
    <m/>
    <s v="B18"/>
    <s v="Y550PL"/>
    <s v="DX01"/>
    <n v="0.57999999999999996"/>
    <n v="1220"/>
    <n v="0"/>
    <n v="83.998999999999995"/>
    <n v="0"/>
    <n v="83.998999999999995"/>
    <n v="83.998999999999995"/>
    <n v="83.998999999999995"/>
    <n v="83.998999999999995"/>
    <n v="0"/>
    <n v="0"/>
    <n v="0"/>
    <n v="0"/>
    <n v="0"/>
    <n v="0"/>
    <n v="0"/>
    <n v="0"/>
    <n v="0"/>
    <n v="0"/>
    <n v="0"/>
    <n v="0"/>
    <n v="0"/>
    <n v="0"/>
    <n v="0"/>
    <n v="0"/>
    <n v="0"/>
    <n v="0"/>
    <n v="0"/>
    <n v="0"/>
    <n v="0"/>
    <n v="0"/>
    <n v="0"/>
    <m/>
    <n v="0"/>
    <n v="83.998999999999995"/>
    <n v="0"/>
    <n v="83.998999999999995"/>
    <n v="0"/>
    <n v="0"/>
    <n v="0"/>
    <n v="83.998999999999995"/>
    <n v="0"/>
    <n v="83.998999999999995"/>
    <n v="0"/>
    <n v="0"/>
    <n v="0"/>
    <m/>
    <m/>
    <m/>
    <m/>
    <m/>
    <m/>
    <m/>
    <m/>
    <m/>
    <m/>
    <m/>
    <m/>
    <m/>
    <m/>
    <m/>
    <m/>
    <m/>
    <m/>
    <m/>
    <m/>
    <m/>
    <m/>
    <m/>
    <m/>
    <m/>
    <m/>
    <m/>
    <m/>
    <m/>
    <m/>
    <m/>
    <m/>
    <m/>
    <m/>
    <m/>
  </r>
  <r>
    <n v="744"/>
    <d v="2025-04-10T00:00:00"/>
    <s v="ZBTO"/>
    <n v="9518682471"/>
    <n v="2"/>
    <s v="9518682471-2"/>
    <s v="May'25"/>
    <x v="0"/>
    <m/>
    <x v="2"/>
    <x v="3"/>
    <s v="1000-IPPE"/>
    <m/>
    <x v="1"/>
    <m/>
    <m/>
    <m/>
    <s v="TBSPL"/>
    <s v=" "/>
    <m/>
    <n v="941597"/>
    <s v="TATA BLUESCOPE STEEL PRIVATE LIMITE"/>
    <n v="3902332"/>
    <s v="PPGL C HARD Y550PL D0C9 0.50(TPT)X1220"/>
    <s v="AZ150"/>
    <s v="RAL 9002 TSL 1801"/>
    <n v="3"/>
    <n v="5"/>
    <m/>
    <s v="B18"/>
    <s v="Y550PL"/>
    <s v="D0C9"/>
    <n v="0.5"/>
    <n v="1220"/>
    <n v="0"/>
    <n v="28"/>
    <n v="0"/>
    <n v="28"/>
    <n v="28"/>
    <n v="-0.48000000000000043"/>
    <n v="28"/>
    <n v="0"/>
    <n v="28.48"/>
    <n v="0"/>
    <n v="0"/>
    <n v="0"/>
    <n v="0"/>
    <n v="0"/>
    <n v="0"/>
    <n v="0"/>
    <n v="0"/>
    <n v="0"/>
    <n v="0"/>
    <n v="0"/>
    <n v="0"/>
    <n v="0"/>
    <n v="0"/>
    <n v="0"/>
    <n v="0"/>
    <n v="0"/>
    <n v="28.48"/>
    <n v="28.48"/>
    <n v="0"/>
    <n v="28.48"/>
    <m/>
    <n v="0"/>
    <n v="28"/>
    <n v="28"/>
    <n v="0"/>
    <n v="0"/>
    <n v="0"/>
    <n v="0"/>
    <n v="0"/>
    <n v="0"/>
    <n v="0"/>
    <n v="0"/>
    <n v="0"/>
    <n v="0"/>
    <m/>
    <m/>
    <m/>
    <m/>
    <m/>
    <m/>
    <m/>
    <m/>
    <m/>
    <m/>
    <m/>
    <m/>
    <m/>
    <m/>
    <m/>
    <m/>
    <m/>
    <m/>
    <m/>
    <m/>
    <m/>
    <m/>
    <m/>
    <m/>
    <m/>
    <m/>
    <m/>
    <m/>
    <m/>
    <m/>
    <m/>
    <m/>
    <m/>
    <m/>
    <m/>
  </r>
  <r>
    <n v="744"/>
    <d v="2025-04-10T00:00:00"/>
    <s v="ZBTO"/>
    <n v="9518682471"/>
    <n v="3"/>
    <s v="9518682471-3"/>
    <s v="May'25"/>
    <x v="0"/>
    <m/>
    <x v="2"/>
    <x v="3"/>
    <s v="1000-IPPE"/>
    <m/>
    <x v="1"/>
    <m/>
    <m/>
    <m/>
    <s v="TBSPL"/>
    <s v=" "/>
    <m/>
    <n v="941597"/>
    <s v="TATA BLUESCOPE STEEL PRIVATE LIMITE"/>
    <n v="3902332"/>
    <s v="PPGL C HARD Y550PL D0C9 0.50(TPT)X1220"/>
    <s v="AZ150"/>
    <s v="RAL 5012 TSL 1802"/>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4-10T00:00:00"/>
    <s v="ZBTO"/>
    <n v="9518682471"/>
    <n v="4"/>
    <s v="9518682471-4"/>
    <s v="May'25"/>
    <x v="0"/>
    <m/>
    <x v="2"/>
    <x v="3"/>
    <s v="1000-IPPE"/>
    <m/>
    <x v="1"/>
    <m/>
    <m/>
    <m/>
    <s v="TBSPL"/>
    <s v=" "/>
    <m/>
    <n v="941597"/>
    <s v="TATA BLUESCOPE STEEL PRIVATE LIMITE"/>
    <n v="3902332"/>
    <s v="PPGL C HARD Y550PL D0C9 0.50(TPT)X1220"/>
    <s v="AZ150"/>
    <s v="RAL 5012 TSL 1802"/>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4-10T00:00:00"/>
    <s v="ZBTO"/>
    <n v="9518682471"/>
    <n v="5"/>
    <s v="9518682471-5"/>
    <s v="May'25"/>
    <x v="0"/>
    <m/>
    <x v="2"/>
    <x v="3"/>
    <s v="1000-IPPE"/>
    <m/>
    <x v="1"/>
    <m/>
    <m/>
    <m/>
    <s v="TBSPL"/>
    <s v=" "/>
    <m/>
    <n v="941597"/>
    <s v="TATA BLUESCOPE STEEL PRIVATE LIMITE"/>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4-10T00:00:00"/>
    <s v="ZBTO"/>
    <n v="9518682471"/>
    <n v="6"/>
    <s v="9518682471-6"/>
    <s v="May'25"/>
    <x v="0"/>
    <m/>
    <x v="2"/>
    <x v="3"/>
    <s v="1000-IPPE"/>
    <m/>
    <x v="1"/>
    <m/>
    <m/>
    <m/>
    <s v="TBSPL"/>
    <s v=" "/>
    <m/>
    <n v="941597"/>
    <s v="TATA BLUESCOPE STEEL PRIVATE LIMITE"/>
    <n v="3902332"/>
    <s v="PPGL C HARD Y550PL D0C9 0.50(TPT)X1220"/>
    <s v="AZ150"/>
    <s v="RAL 7024 TSL 1806"/>
    <n v="3"/>
    <n v="5"/>
    <m/>
    <s v="B18"/>
    <s v="Y550PL"/>
    <s v="D0C9"/>
    <n v="0.5"/>
    <n v="1220"/>
    <n v="0"/>
    <n v="56"/>
    <n v="0"/>
    <n v="56"/>
    <n v="56"/>
    <n v="56"/>
    <n v="56"/>
    <n v="0"/>
    <n v="0"/>
    <n v="0"/>
    <n v="0"/>
    <n v="0"/>
    <n v="0"/>
    <n v="0"/>
    <n v="0"/>
    <n v="0"/>
    <n v="0"/>
    <n v="0"/>
    <n v="0"/>
    <n v="0"/>
    <n v="0"/>
    <n v="0"/>
    <n v="0"/>
    <n v="0"/>
    <n v="0"/>
    <n v="0"/>
    <n v="0"/>
    <n v="0"/>
    <n v="0"/>
    <n v="0"/>
    <m/>
    <n v="0"/>
    <n v="56"/>
    <n v="0"/>
    <n v="0"/>
    <n v="0"/>
    <n v="56"/>
    <n v="0"/>
    <n v="0"/>
    <n v="0"/>
    <n v="0"/>
    <n v="0"/>
    <n v="0"/>
    <n v="0"/>
    <m/>
    <m/>
    <m/>
    <m/>
    <m/>
    <m/>
    <m/>
    <m/>
    <m/>
    <m/>
    <m/>
    <m/>
    <m/>
    <m/>
    <m/>
    <m/>
    <m/>
    <m/>
    <m/>
    <m/>
    <m/>
    <m/>
    <m/>
    <m/>
    <m/>
    <m/>
    <m/>
    <m/>
    <m/>
    <m/>
    <m/>
    <m/>
    <m/>
    <m/>
    <m/>
  </r>
  <r>
    <n v="744"/>
    <d v="2025-04-10T00:00:00"/>
    <s v="ZBTO"/>
    <n v="9518682471"/>
    <n v="7"/>
    <s v="9518682471-7"/>
    <s v="May'25"/>
    <x v="0"/>
    <m/>
    <x v="2"/>
    <x v="3"/>
    <s v="1000-IPPE"/>
    <m/>
    <x v="1"/>
    <m/>
    <m/>
    <m/>
    <s v="TBSPL"/>
    <s v=" "/>
    <m/>
    <n v="941597"/>
    <s v="TATA BLUESCOPE STEEL PRIVATE LIMITE"/>
    <n v="3902332"/>
    <s v="PPGL C HARD Y550PL D0C9 0.50(TPT)X1220"/>
    <s v="AZ150"/>
    <s v="SECO RED TSL 1814"/>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3"/>
    <d v="2025-04-04T00:00:00"/>
    <s v="ZBTO"/>
    <n v="9518669105"/>
    <n v="1"/>
    <s v="9518669105-1"/>
    <s v="No Priority"/>
    <x v="0"/>
    <m/>
    <x v="3"/>
    <x v="9"/>
    <s v="2000-BPRS"/>
    <m/>
    <x v="0"/>
    <m/>
    <m/>
    <m/>
    <s v="North"/>
    <s v="VARANASI"/>
    <m/>
    <n v="931525"/>
    <s v="INDIA STEEL INDUSTRIES"/>
    <n v="1191955"/>
    <s v="GP COIL SOFT-TATXGP-GK09-0.3X900"/>
    <s v="Z80"/>
    <s v=""/>
    <n v="3.2"/>
    <n v="5"/>
    <m/>
    <s v="C02"/>
    <s v="TATXGP"/>
    <s v="GK09"/>
    <n v="0.3"/>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9105"/>
    <n v="2"/>
    <s v="9518669105-2"/>
    <s v="No Priority"/>
    <x v="0"/>
    <m/>
    <x v="3"/>
    <x v="9"/>
    <s v="2000-BPRS"/>
    <m/>
    <x v="0"/>
    <m/>
    <m/>
    <m/>
    <s v="North"/>
    <s v="VARANASI"/>
    <m/>
    <n v="931525"/>
    <s v="INDIA STEEL INDUSTRIES"/>
    <n v="1191956"/>
    <s v="GP COIL SOFT-TATXGP-GK09-0.35X900"/>
    <s v="Z80"/>
    <s v=""/>
    <n v="3.2"/>
    <n v="5"/>
    <m/>
    <s v="C02"/>
    <s v="TATXGP"/>
    <s v="GK09"/>
    <n v="0.3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9105"/>
    <n v="3"/>
    <s v="9518669105-3"/>
    <s v="No Priority"/>
    <x v="0"/>
    <m/>
    <x v="3"/>
    <x v="9"/>
    <s v="2000-BPRS"/>
    <m/>
    <x v="0"/>
    <m/>
    <m/>
    <m/>
    <s v="North"/>
    <s v="VARANASI"/>
    <m/>
    <n v="931525"/>
    <s v="INDIA STEEL INDUSTRIES"/>
    <n v="1854418"/>
    <s v="GP COIL SOFT-TATXGP-GK09-0.5X900"/>
    <s v="Z80"/>
    <s v=""/>
    <n v="3.2"/>
    <n v="5"/>
    <m/>
    <s v="C02"/>
    <s v="TATXGP"/>
    <s v="GK09"/>
    <n v="0.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9105"/>
    <n v="4"/>
    <s v="9518669105-4"/>
    <s v="No Priority"/>
    <x v="0"/>
    <m/>
    <x v="3"/>
    <x v="9"/>
    <s v="2000-BPRS"/>
    <m/>
    <x v="0"/>
    <m/>
    <m/>
    <m/>
    <s v="North"/>
    <s v="VARANASI"/>
    <m/>
    <n v="931525"/>
    <s v="INDIA STEEL INDUSTRIES"/>
    <n v="1854424"/>
    <s v="GP COIL SOFT-TATXGP-GK09-0.6X900"/>
    <s v="Z80"/>
    <s v=""/>
    <n v="3.2"/>
    <n v="5"/>
    <m/>
    <s v="C02"/>
    <s v="TATXGP"/>
    <s v="GK09"/>
    <n v="0.6"/>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276"/>
    <n v="1"/>
    <s v="9518664276-1"/>
    <s v="No Priority"/>
    <x v="0"/>
    <s v="Yes"/>
    <x v="1"/>
    <x v="1"/>
    <s v="2000-BPRS"/>
    <m/>
    <x v="0"/>
    <m/>
    <s v="Exp BTF &lt;17MT"/>
    <m/>
    <s v="South"/>
    <s v="CHENNAI"/>
    <m/>
    <n v="102888"/>
    <s v="THIRUPATHY STEELS "/>
    <n v="1801804"/>
    <s v="CRCA COIL-TATXXD-AU03-1X1250"/>
    <s v=" "/>
    <s v=""/>
    <n v="6"/>
    <n v="18"/>
    <m/>
    <s v="C01"/>
    <s v="TATXXD"/>
    <s v="AU03"/>
    <n v="1"/>
    <n v="1250"/>
    <n v="0"/>
    <n v="29"/>
    <n v="0"/>
    <n v="29"/>
    <n v="4.6100000000000003"/>
    <n v="5.4899999999999984"/>
    <n v="29"/>
    <n v="0"/>
    <n v="0"/>
    <n v="0"/>
    <n v="0"/>
    <n v="0"/>
    <n v="0"/>
    <n v="0"/>
    <n v="0"/>
    <n v="0"/>
    <n v="0"/>
    <n v="0"/>
    <n v="0"/>
    <n v="0"/>
    <n v="23.51"/>
    <n v="0"/>
    <n v="0"/>
    <n v="0"/>
    <n v="0"/>
    <n v="0"/>
    <n v="23.51"/>
    <n v="23.51"/>
    <n v="0"/>
    <n v="23.51"/>
    <m/>
    <n v="0"/>
    <n v="0"/>
    <n v="0"/>
    <n v="0"/>
    <n v="0"/>
    <n v="0"/>
    <n v="0"/>
    <n v="0"/>
    <n v="0"/>
    <n v="0"/>
    <n v="0"/>
    <n v="0"/>
    <n v="0"/>
    <m/>
    <m/>
    <m/>
    <m/>
    <m/>
    <m/>
    <m/>
    <m/>
    <m/>
    <m/>
    <m/>
    <m/>
    <m/>
    <m/>
    <m/>
    <m/>
    <m/>
    <m/>
    <m/>
    <m/>
    <m/>
    <m/>
    <m/>
    <m/>
    <m/>
    <m/>
    <m/>
    <m/>
    <m/>
    <m/>
    <m/>
    <m/>
    <m/>
    <m/>
    <m/>
  </r>
  <r>
    <n v="742"/>
    <d v="2025-04-04T00:00:00"/>
    <s v="ZBTO"/>
    <n v="9518670066"/>
    <n v="5"/>
    <s v="9518670066-5"/>
    <s v="May'25"/>
    <x v="0"/>
    <s v="Yes"/>
    <x v="1"/>
    <x v="2"/>
    <s v="2000-BPRS"/>
    <m/>
    <x v="1"/>
    <m/>
    <m/>
    <m/>
    <s v="North"/>
    <s v="VARANASI"/>
    <m/>
    <n v="931525"/>
    <s v="INDIA STEEL INDUSTRIES"/>
    <n v="3444592"/>
    <s v="CRCA SHEET TATCRC SR16 0.450X1250X2030"/>
    <s v=" "/>
    <s v=""/>
    <n v="0"/>
    <n v="0"/>
    <m/>
    <s v="C06"/>
    <s v="TATCRC"/>
    <s v="SR16"/>
    <n v="0.45"/>
    <n v="1250"/>
    <n v="2030"/>
    <n v="81"/>
    <n v="0"/>
    <n v="81"/>
    <n v="81"/>
    <n v="-3.8100000000000023"/>
    <n v="81"/>
    <n v="0"/>
    <n v="0"/>
    <n v="0"/>
    <n v="84.81"/>
    <n v="0"/>
    <n v="0"/>
    <n v="0"/>
    <n v="0"/>
    <n v="0"/>
    <n v="0"/>
    <n v="0"/>
    <n v="0"/>
    <n v="0"/>
    <n v="0"/>
    <n v="0"/>
    <n v="0"/>
    <n v="0"/>
    <n v="0"/>
    <n v="0"/>
    <n v="84.81"/>
    <n v="84.81"/>
    <n v="0"/>
    <n v="84.81"/>
    <m/>
    <n v="0"/>
    <n v="81"/>
    <n v="0"/>
    <n v="0"/>
    <n v="81"/>
    <n v="0"/>
    <n v="0"/>
    <n v="0"/>
    <n v="0"/>
    <n v="0"/>
    <n v="0"/>
    <n v="0"/>
    <n v="0"/>
    <m/>
    <m/>
    <m/>
    <m/>
    <m/>
    <m/>
    <m/>
    <m/>
    <m/>
    <m/>
    <m/>
    <m/>
    <m/>
    <m/>
    <m/>
    <m/>
    <m/>
    <m/>
    <m/>
    <m/>
    <m/>
    <m/>
    <m/>
    <m/>
    <m/>
    <m/>
    <m/>
    <m/>
    <m/>
    <m/>
    <m/>
    <m/>
    <m/>
    <m/>
    <m/>
  </r>
  <r>
    <n v="742"/>
    <d v="2025-04-04T00:00:00"/>
    <s v="ZBTO"/>
    <n v="9518670119"/>
    <n v="7"/>
    <s v="9518670119-7"/>
    <s v="May'25"/>
    <x v="0"/>
    <s v="Yes"/>
    <x v="1"/>
    <x v="1"/>
    <s v="2000-BPRS"/>
    <m/>
    <x v="1"/>
    <m/>
    <m/>
    <m/>
    <s v="South"/>
    <s v="PATTANCHERY"/>
    <m/>
    <n v="939422"/>
    <s v="VIJAY VENKAT STEELS PRIVATE LIMITED"/>
    <n v="1801804"/>
    <s v="CRCA COIL-TATXXD-AU03-1X1250"/>
    <s v=" "/>
    <s v=""/>
    <n v="10"/>
    <n v="30"/>
    <m/>
    <s v="C01"/>
    <s v="TATXXD"/>
    <s v="AU03"/>
    <n v="1"/>
    <n v="1250"/>
    <n v="0"/>
    <n v="29"/>
    <n v="0"/>
    <n v="29"/>
    <n v="29"/>
    <n v="1.6400000000000006"/>
    <n v="29"/>
    <n v="0"/>
    <n v="0"/>
    <n v="0"/>
    <n v="0"/>
    <n v="0"/>
    <n v="0"/>
    <n v="0"/>
    <n v="0"/>
    <n v="0"/>
    <n v="0"/>
    <n v="0"/>
    <n v="0"/>
    <n v="27.36"/>
    <n v="0"/>
    <n v="0"/>
    <n v="0"/>
    <n v="0"/>
    <n v="0"/>
    <n v="0"/>
    <n v="27.36"/>
    <n v="27.36"/>
    <n v="0"/>
    <n v="27.36"/>
    <m/>
    <n v="0"/>
    <n v="29"/>
    <n v="0"/>
    <n v="29"/>
    <n v="0"/>
    <n v="0"/>
    <n v="0"/>
    <n v="29"/>
    <n v="0"/>
    <n v="29"/>
    <n v="0"/>
    <n v="0"/>
    <n v="0"/>
    <m/>
    <m/>
    <m/>
    <m/>
    <m/>
    <m/>
    <m/>
    <m/>
    <m/>
    <m/>
    <m/>
    <m/>
    <m/>
    <m/>
    <m/>
    <m/>
    <m/>
    <m/>
    <m/>
    <m/>
    <m/>
    <m/>
    <m/>
    <m/>
    <m/>
    <m/>
    <m/>
    <m/>
    <m/>
    <m/>
    <m/>
    <m/>
    <m/>
    <m/>
    <m/>
  </r>
  <r>
    <n v="742"/>
    <d v="2025-04-04T00:00:00"/>
    <s v="ZBTO"/>
    <n v="9518670119"/>
    <n v="12"/>
    <s v="9518670119-12"/>
    <s v="No Priority"/>
    <x v="0"/>
    <s v="Yes"/>
    <x v="1"/>
    <x v="1"/>
    <s v="2000-BPRS"/>
    <m/>
    <x v="0"/>
    <m/>
    <m/>
    <m/>
    <s v="South"/>
    <s v="PATTANCHERY"/>
    <m/>
    <n v="939422"/>
    <s v="VIJAY VENKAT STEELS PRIVATE LIMITED"/>
    <n v="2334995"/>
    <s v="CRCA COIL TATXXD AU03 1.500X1250"/>
    <s v=" "/>
    <s v=""/>
    <n v="10"/>
    <n v="30"/>
    <m/>
    <s v="C01"/>
    <s v="TATXXD"/>
    <s v="AU03"/>
    <n v="1.5"/>
    <n v="1250"/>
    <n v="0"/>
    <n v="58"/>
    <n v="0"/>
    <n v="58"/>
    <n v="58"/>
    <n v="58"/>
    <n v="6.6050000000000004"/>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5638"/>
    <n v="5"/>
    <s v="9518685638-5"/>
    <s v="No Priority"/>
    <x v="0"/>
    <m/>
    <x v="1"/>
    <x v="1"/>
    <s v="2000-BPRS"/>
    <m/>
    <x v="0"/>
    <m/>
    <m/>
    <m/>
    <s v="North"/>
    <s v="KANPUR"/>
    <m/>
    <n v="933952"/>
    <s v="AGARWAL STEEL TRADERS"/>
    <n v="1804854"/>
    <s v="CRCA COIL-TATXXD-AU03-1.2X1250"/>
    <s v=" "/>
    <s v=""/>
    <n v="7"/>
    <n v="28"/>
    <m/>
    <s v="C01"/>
    <s v="TATXXD"/>
    <s v="AU03"/>
    <n v="1.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16"/>
    <s v="9518628976-16"/>
    <s v="May'25"/>
    <x v="0"/>
    <s v="Yes"/>
    <x v="1"/>
    <x v="1"/>
    <s v="2000-BPRS"/>
    <m/>
    <x v="1"/>
    <m/>
    <m/>
    <m/>
    <s v="South"/>
    <s v="VALPARAI"/>
    <m/>
    <n v="116465"/>
    <s v="SRI BALAJI STEEL TRADERS"/>
    <n v="2155233"/>
    <s v="CRCA COIL TATXXD AU03 2.5X1250"/>
    <s v=" "/>
    <s v=""/>
    <n v="6"/>
    <n v="18"/>
    <m/>
    <s v="C01"/>
    <s v="TATXXD"/>
    <s v="AU03"/>
    <n v="2.5"/>
    <n v="1250"/>
    <n v="0"/>
    <n v="29"/>
    <n v="0"/>
    <n v="29"/>
    <n v="29"/>
    <n v="29"/>
    <n v="29"/>
    <n v="0"/>
    <n v="0"/>
    <n v="0"/>
    <n v="0"/>
    <n v="0"/>
    <n v="0"/>
    <n v="0"/>
    <n v="0"/>
    <n v="0"/>
    <n v="0"/>
    <n v="0"/>
    <n v="0"/>
    <n v="0"/>
    <n v="0"/>
    <n v="0"/>
    <n v="0"/>
    <n v="0"/>
    <n v="0"/>
    <n v="0"/>
    <n v="0"/>
    <n v="0"/>
    <n v="0"/>
    <n v="0"/>
    <m/>
    <n v="0"/>
    <n v="29"/>
    <n v="0"/>
    <n v="0"/>
    <n v="0"/>
    <n v="29"/>
    <n v="0"/>
    <n v="0"/>
    <n v="0"/>
    <n v="0"/>
    <n v="0"/>
    <n v="0"/>
    <n v="0"/>
    <m/>
    <m/>
    <m/>
    <m/>
    <m/>
    <m/>
    <m/>
    <m/>
    <m/>
    <m/>
    <m/>
    <m/>
    <m/>
    <m/>
    <m/>
    <m/>
    <m/>
    <m/>
    <m/>
    <m/>
    <m/>
    <m/>
    <m/>
    <m/>
    <m/>
    <m/>
    <m/>
    <m/>
    <m/>
    <m/>
    <m/>
    <m/>
    <m/>
    <m/>
    <m/>
  </r>
  <r>
    <n v="742"/>
    <d v="2025-04-04T00:00:00"/>
    <s v="ZBTO"/>
    <n v="9518670119"/>
    <n v="11"/>
    <s v="9518670119-11"/>
    <s v="No Priority"/>
    <x v="0"/>
    <m/>
    <x v="1"/>
    <x v="1"/>
    <s v="2000-BPRS"/>
    <m/>
    <x v="0"/>
    <m/>
    <m/>
    <m/>
    <s v="South"/>
    <s v="PATTANCHERY"/>
    <m/>
    <n v="939422"/>
    <s v="VIJAY VENKAT STEELS PRIVATE LIMITED"/>
    <n v="1804854"/>
    <s v="CRCA COIL-TATXXD-AU03-1.2X1250"/>
    <s v=" "/>
    <s v=""/>
    <n v="10"/>
    <n v="30"/>
    <m/>
    <s v="C01"/>
    <s v="TATXXD"/>
    <s v="AU03"/>
    <n v="1.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2206"/>
    <n v="2"/>
    <s v="9518592206-2"/>
    <s v="No Priority"/>
    <x v="0"/>
    <m/>
    <x v="1"/>
    <x v="1"/>
    <s v="2000-BPRS"/>
    <m/>
    <x v="0"/>
    <m/>
    <m/>
    <m/>
    <s v="South"/>
    <s v="PATTANCHERY"/>
    <m/>
    <n v="939422"/>
    <s v="VIJAY VENKAT STEELS PRIVATE LIMITED"/>
    <n v="223287"/>
    <s v="CRSHEET-ICF  DQ TATXXD AU03 1.00 X 1220"/>
    <s v=" "/>
    <s v=""/>
    <n v="10"/>
    <n v="30"/>
    <m/>
    <s v="C01"/>
    <s v="TATXXD"/>
    <s v="AU03"/>
    <n v="1"/>
    <n v="1220"/>
    <n v="0"/>
    <n v="56"/>
    <n v="0"/>
    <n v="56"/>
    <n v="56"/>
    <n v="56"/>
    <n v="56"/>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2206"/>
    <n v="3"/>
    <s v="9518592206-3"/>
    <s v="No Priority"/>
    <x v="0"/>
    <s v="Yes"/>
    <x v="1"/>
    <x v="1"/>
    <s v="2000-BPRS"/>
    <m/>
    <x v="0"/>
    <m/>
    <m/>
    <m/>
    <s v="South"/>
    <s v="PATTANCHERY"/>
    <m/>
    <n v="939422"/>
    <s v="VIJAY VENKAT STEELS PRIVATE LIMITED"/>
    <n v="2334995"/>
    <s v="CRCA COIL TATXXD AU03 1.500X1250"/>
    <s v=" "/>
    <s v=""/>
    <n v="10"/>
    <n v="30"/>
    <m/>
    <s v="C01"/>
    <s v="TATXXD"/>
    <s v="AU03"/>
    <n v="1.5"/>
    <n v="1250"/>
    <n v="0"/>
    <n v="29"/>
    <n v="0"/>
    <n v="29"/>
    <n v="0.87"/>
    <n v="0"/>
    <n v="29"/>
    <n v="0"/>
    <n v="0"/>
    <n v="0"/>
    <n v="0"/>
    <n v="0"/>
    <n v="0"/>
    <n v="0"/>
    <n v="0"/>
    <n v="0"/>
    <n v="0"/>
    <n v="0"/>
    <n v="0"/>
    <n v="0"/>
    <n v="26.96"/>
    <n v="0"/>
    <n v="0"/>
    <n v="0"/>
    <n v="0"/>
    <n v="0"/>
    <n v="26.96"/>
    <n v="26.96"/>
    <n v="0"/>
    <n v="26.96"/>
    <m/>
    <n v="0"/>
    <n v="0"/>
    <n v="0"/>
    <n v="0"/>
    <n v="0"/>
    <n v="0"/>
    <n v="0"/>
    <n v="0"/>
    <n v="0"/>
    <n v="0"/>
    <n v="0"/>
    <n v="0"/>
    <n v="0"/>
    <m/>
    <m/>
    <m/>
    <m/>
    <m/>
    <m/>
    <m/>
    <m/>
    <m/>
    <m/>
    <m/>
    <m/>
    <m/>
    <m/>
    <m/>
    <m/>
    <m/>
    <m/>
    <m/>
    <m/>
    <m/>
    <m/>
    <m/>
    <m/>
    <m/>
    <m/>
    <m/>
    <m/>
    <m/>
    <m/>
    <m/>
    <m/>
    <m/>
    <m/>
    <m/>
  </r>
  <r>
    <n v="742"/>
    <d v="2025-03-06T00:00:00"/>
    <s v="ZBTO"/>
    <n v="9518578782"/>
    <n v="13"/>
    <s v="9518578782-13"/>
    <s v="May'25"/>
    <x v="0"/>
    <s v="Yes"/>
    <x v="1"/>
    <x v="1"/>
    <s v="2000-BPRS"/>
    <m/>
    <x v="1"/>
    <m/>
    <m/>
    <m/>
    <s v="South"/>
    <s v="PATTANCHERY"/>
    <m/>
    <n v="939422"/>
    <s v="VIJAY VENKAT STEELS PRIVATE LIMITED"/>
    <n v="3855287"/>
    <s v="CR COIL TATXXD AU03 1.620X1250"/>
    <s v=" "/>
    <s v=""/>
    <n v="10"/>
    <n v="30"/>
    <m/>
    <s v="C01"/>
    <s v="TATXXD"/>
    <s v="AU03"/>
    <n v="1.62"/>
    <n v="1250"/>
    <n v="0"/>
    <n v="87"/>
    <n v="0"/>
    <n v="87"/>
    <n v="87"/>
    <n v="23.060000000000002"/>
    <n v="87"/>
    <n v="0"/>
    <n v="0"/>
    <n v="0"/>
    <n v="21.73"/>
    <n v="0"/>
    <n v="0"/>
    <n v="0"/>
    <n v="0"/>
    <n v="0"/>
    <n v="0"/>
    <n v="21.51"/>
    <n v="0"/>
    <n v="20.7"/>
    <n v="0"/>
    <n v="0"/>
    <n v="0"/>
    <n v="0"/>
    <n v="0"/>
    <n v="0"/>
    <n v="63.94"/>
    <n v="63.94"/>
    <n v="0"/>
    <n v="63.94"/>
    <m/>
    <n v="0"/>
    <n v="87"/>
    <n v="0"/>
    <n v="87"/>
    <n v="0"/>
    <n v="0"/>
    <n v="0"/>
    <n v="87"/>
    <n v="0"/>
    <n v="87"/>
    <n v="0"/>
    <n v="0"/>
    <n v="0"/>
    <m/>
    <m/>
    <m/>
    <m/>
    <m/>
    <m/>
    <m/>
    <m/>
    <m/>
    <m/>
    <m/>
    <m/>
    <m/>
    <m/>
    <m/>
    <m/>
    <m/>
    <m/>
    <m/>
    <m/>
    <m/>
    <m/>
    <m/>
    <m/>
    <m/>
    <m/>
    <m/>
    <m/>
    <m/>
    <m/>
    <m/>
    <m/>
    <m/>
    <m/>
    <m/>
  </r>
  <r>
    <n v="742"/>
    <d v="2025-03-06T00:00:00"/>
    <s v="ZBTO"/>
    <n v="9518578782"/>
    <n v="15"/>
    <s v="9518578782-15"/>
    <s v="May'25"/>
    <x v="0"/>
    <s v="Yes"/>
    <x v="1"/>
    <x v="1"/>
    <s v="2000-BPRS"/>
    <m/>
    <x v="1"/>
    <m/>
    <m/>
    <m/>
    <s v="South"/>
    <s v="PATTANCHERY"/>
    <m/>
    <n v="939422"/>
    <s v="VIJAY VENKAT STEELS PRIVATE LIMITED"/>
    <n v="1884117"/>
    <s v="CRCA COIL-TATXXD-AU03-2X1250"/>
    <s v=" "/>
    <s v=""/>
    <n v="10"/>
    <n v="30"/>
    <m/>
    <s v="C01"/>
    <s v="TATXXD"/>
    <s v="AU03"/>
    <n v="2"/>
    <n v="1250"/>
    <n v="0"/>
    <n v="58"/>
    <n v="12.47"/>
    <n v="45.53"/>
    <n v="45.53"/>
    <n v="45.53"/>
    <n v="45.53"/>
    <n v="0"/>
    <n v="0"/>
    <n v="0"/>
    <n v="0"/>
    <n v="0"/>
    <n v="0"/>
    <n v="0"/>
    <n v="0"/>
    <n v="0"/>
    <n v="0"/>
    <n v="0"/>
    <n v="0"/>
    <n v="0"/>
    <n v="0"/>
    <n v="0"/>
    <n v="0"/>
    <n v="0"/>
    <n v="0"/>
    <n v="0"/>
    <n v="0"/>
    <n v="0"/>
    <n v="0"/>
    <n v="0"/>
    <m/>
    <n v="0"/>
    <n v="45.53"/>
    <n v="0"/>
    <n v="0"/>
    <n v="0"/>
    <n v="45.53"/>
    <n v="0"/>
    <n v="0"/>
    <n v="0"/>
    <n v="0"/>
    <n v="0"/>
    <n v="0"/>
    <n v="0"/>
    <m/>
    <m/>
    <m/>
    <m/>
    <m/>
    <m/>
    <m/>
    <m/>
    <m/>
    <m/>
    <m/>
    <m/>
    <m/>
    <m/>
    <m/>
    <m/>
    <m/>
    <m/>
    <m/>
    <m/>
    <m/>
    <m/>
    <m/>
    <m/>
    <m/>
    <m/>
    <m/>
    <m/>
    <m/>
    <m/>
    <m/>
    <m/>
    <m/>
    <m/>
    <m/>
  </r>
  <r>
    <n v="742"/>
    <d v="2025-03-17T00:00:00"/>
    <s v="ZBTO"/>
    <n v="9518606704"/>
    <n v="5"/>
    <s v="9518606704-5"/>
    <s v="May'25"/>
    <x v="0"/>
    <s v="Yes"/>
    <x v="1"/>
    <x v="11"/>
    <s v="2000-BPRS"/>
    <m/>
    <x v="1"/>
    <m/>
    <m/>
    <m/>
    <s v="South"/>
    <s v="YESHWANTHPURA"/>
    <m/>
    <n v="939268"/>
    <s v="TATA STEEL DOWNSTREAM PRODUCTS LIMI"/>
    <n v="2420521"/>
    <s v="CRCA COIL TATXXD AH03 1.200X1250"/>
    <s v=" "/>
    <s v=""/>
    <n v="10"/>
    <n v="30"/>
    <m/>
    <s v="C01"/>
    <s v="TATXXD"/>
    <s v="AH03"/>
    <n v="1.2"/>
    <n v="1250"/>
    <n v="0"/>
    <n v="87"/>
    <n v="0"/>
    <n v="87"/>
    <n v="87"/>
    <n v="3.6499999999999915"/>
    <n v="87"/>
    <n v="0"/>
    <n v="0"/>
    <n v="0"/>
    <n v="0"/>
    <n v="0"/>
    <n v="0"/>
    <n v="0"/>
    <n v="0"/>
    <n v="0"/>
    <n v="0"/>
    <n v="0"/>
    <n v="0"/>
    <n v="83.350000000000009"/>
    <n v="0"/>
    <n v="0"/>
    <n v="0"/>
    <n v="0"/>
    <n v="0"/>
    <n v="0"/>
    <n v="83.350000000000009"/>
    <n v="83.350000000000009"/>
    <n v="0"/>
    <n v="83.350000000000009"/>
    <m/>
    <n v="0"/>
    <n v="87"/>
    <n v="0"/>
    <n v="87"/>
    <n v="0"/>
    <n v="0"/>
    <n v="0"/>
    <n v="87"/>
    <n v="0"/>
    <n v="87"/>
    <n v="0"/>
    <n v="0"/>
    <n v="0"/>
    <m/>
    <m/>
    <m/>
    <m/>
    <m/>
    <m/>
    <m/>
    <m/>
    <m/>
    <m/>
    <m/>
    <m/>
    <m/>
    <m/>
    <m/>
    <m/>
    <m/>
    <m/>
    <m/>
    <m/>
    <m/>
    <m/>
    <m/>
    <m/>
    <m/>
    <m/>
    <m/>
    <m/>
    <m/>
    <m/>
    <m/>
    <m/>
    <m/>
    <m/>
    <m/>
  </r>
  <r>
    <n v="742"/>
    <d v="2025-03-17T00:00:00"/>
    <s v="ZBTO"/>
    <n v="9518606704"/>
    <n v="8"/>
    <s v="9518606704-8"/>
    <s v="No Priority"/>
    <x v="0"/>
    <m/>
    <x v="1"/>
    <x v="12"/>
    <s v="2000-BPRS"/>
    <m/>
    <x v="0"/>
    <m/>
    <m/>
    <m/>
    <s v="South"/>
    <s v="YESHWANTHPURA"/>
    <m/>
    <n v="939268"/>
    <s v="TATA STEEL DOWNSTREAM PRODUCTS LIMI"/>
    <n v="2156439"/>
    <s v="CRCA COIL TSBSTA EL03 0.5X1250"/>
    <s v=" "/>
    <s v=""/>
    <n v="10"/>
    <n v="30"/>
    <m/>
    <s v="C01"/>
    <s v="TSBSTA"/>
    <s v="EL03"/>
    <n v="0.5"/>
    <n v="1250"/>
    <n v="0"/>
    <n v="203"/>
    <n v="0"/>
    <n v="203"/>
    <n v="203"/>
    <n v="203"/>
    <n v="203"/>
    <n v="0"/>
    <n v="0"/>
    <n v="0"/>
    <n v="0"/>
    <n v="0"/>
    <n v="0"/>
    <n v="0"/>
    <n v="0"/>
    <n v="0"/>
    <n v="0"/>
    <n v="0"/>
    <n v="0"/>
    <n v="0"/>
    <n v="0"/>
    <n v="0"/>
    <n v="0"/>
    <n v="0"/>
    <n v="0"/>
    <n v="0"/>
    <n v="0"/>
    <n v="0"/>
    <n v="0"/>
    <n v="0"/>
    <m/>
    <n v="0"/>
    <n v="0"/>
    <n v="0"/>
    <n v="0"/>
    <n v="0"/>
    <n v="0"/>
    <n v="0"/>
    <n v="0"/>
    <n v="0"/>
    <n v="0"/>
    <n v="0"/>
    <n v="0"/>
    <n v="0"/>
    <m/>
    <m/>
    <m/>
    <m/>
    <m/>
    <m/>
    <m/>
    <m/>
    <m/>
    <m/>
    <m/>
    <m/>
    <m/>
    <m/>
    <m/>
    <m/>
    <m/>
    <m/>
    <m/>
    <m/>
    <m/>
    <m/>
    <m/>
    <m/>
    <m/>
    <m/>
    <m/>
    <m/>
    <m/>
    <m/>
    <m/>
    <m/>
    <m/>
    <m/>
    <m/>
  </r>
  <r>
    <n v="742"/>
    <d v="2025-03-26T00:00:00"/>
    <s v="ZBTO"/>
    <n v="9518637097"/>
    <n v="5"/>
    <s v="9518637097-5"/>
    <s v="May'25"/>
    <x v="0"/>
    <s v="Yes"/>
    <x v="1"/>
    <x v="2"/>
    <s v="2000-BPRS"/>
    <m/>
    <x v="1"/>
    <m/>
    <m/>
    <m/>
    <s v="East"/>
    <s v="URLA"/>
    <m/>
    <n v="139336"/>
    <s v="PASA ASSOCIATES PRIVATE LIMITED"/>
    <n v="3240792"/>
    <s v="CRCA SHEET TSBCRC SR15 0.600X1250X2500"/>
    <s v=" "/>
    <s v=""/>
    <n v="1"/>
    <n v="3"/>
    <m/>
    <s v="C06"/>
    <s v="TSBCRC"/>
    <s v="SR15"/>
    <n v="0.6"/>
    <n v="1250"/>
    <n v="2500"/>
    <n v="60"/>
    <n v="0"/>
    <n v="60"/>
    <n v="60"/>
    <n v="60"/>
    <n v="60"/>
    <n v="0"/>
    <n v="0"/>
    <n v="0"/>
    <n v="0"/>
    <n v="0"/>
    <n v="0"/>
    <n v="0"/>
    <n v="0"/>
    <n v="0"/>
    <n v="0"/>
    <n v="0"/>
    <n v="0"/>
    <n v="0"/>
    <n v="0"/>
    <n v="0"/>
    <n v="0"/>
    <n v="0"/>
    <n v="0"/>
    <n v="0"/>
    <n v="0"/>
    <n v="0"/>
    <n v="0"/>
    <n v="0"/>
    <m/>
    <n v="0"/>
    <n v="60"/>
    <n v="0"/>
    <n v="0"/>
    <n v="60"/>
    <n v="0"/>
    <n v="0"/>
    <n v="0"/>
    <n v="0"/>
    <n v="0"/>
    <n v="0"/>
    <n v="0"/>
    <n v="0"/>
    <m/>
    <m/>
    <m/>
    <m/>
    <m/>
    <m/>
    <m/>
    <m/>
    <m/>
    <m/>
    <m/>
    <m/>
    <m/>
    <m/>
    <m/>
    <m/>
    <m/>
    <m/>
    <m/>
    <m/>
    <m/>
    <m/>
    <m/>
    <m/>
    <m/>
    <m/>
    <m/>
    <m/>
    <m/>
    <m/>
    <m/>
    <m/>
    <m/>
    <m/>
    <m/>
  </r>
  <r>
    <n v="742"/>
    <d v="2025-03-17T00:00:00"/>
    <s v="ZBTO"/>
    <n v="9518605584"/>
    <n v="1"/>
    <s v="9518605584-1"/>
    <s v="No Priority"/>
    <x v="0"/>
    <m/>
    <x v="1"/>
    <x v="1"/>
    <s v="2000-BPRS"/>
    <m/>
    <x v="0"/>
    <m/>
    <m/>
    <m/>
    <s v="North"/>
    <s v="ZOSOLA"/>
    <m/>
    <n v="184986"/>
    <s v="SWASTIK STEEL PROCESSOR LLP"/>
    <n v="185664"/>
    <s v="CRSHEET-ICF  DQ TATXXD AU03 0.40 X 1250"/>
    <s v=" "/>
    <s v=""/>
    <n v="7"/>
    <n v="29"/>
    <m/>
    <s v="C01"/>
    <s v="TATXXD"/>
    <s v="AU03"/>
    <n v="0.4"/>
    <n v="1250"/>
    <n v="0"/>
    <n v="145"/>
    <n v="0"/>
    <n v="145"/>
    <n v="145"/>
    <n v="145"/>
    <n v="145"/>
    <n v="0"/>
    <n v="0"/>
    <n v="0"/>
    <n v="0"/>
    <n v="0"/>
    <n v="0"/>
    <n v="0"/>
    <n v="0"/>
    <n v="0"/>
    <n v="0"/>
    <n v="0"/>
    <n v="0"/>
    <n v="0"/>
    <n v="0"/>
    <n v="0"/>
    <n v="0"/>
    <n v="0"/>
    <n v="0"/>
    <n v="0"/>
    <n v="0"/>
    <n v="0"/>
    <n v="0"/>
    <n v="0"/>
    <m/>
    <n v="0"/>
    <n v="0"/>
    <n v="0"/>
    <n v="0"/>
    <n v="0"/>
    <n v="0"/>
    <n v="0"/>
    <n v="0"/>
    <n v="0"/>
    <n v="0"/>
    <n v="0"/>
    <n v="0"/>
    <n v="0"/>
    <m/>
    <m/>
    <m/>
    <m/>
    <m/>
    <m/>
    <m/>
    <m/>
    <m/>
    <m/>
    <m/>
    <m/>
    <m/>
    <m/>
    <m/>
    <m/>
    <m/>
    <m/>
    <m/>
    <m/>
    <m/>
    <m/>
    <m/>
    <m/>
    <m/>
    <m/>
    <m/>
    <m/>
    <m/>
    <m/>
    <m/>
    <m/>
    <m/>
    <m/>
    <m/>
  </r>
  <r>
    <n v="742"/>
    <d v="2025-03-22T00:00:00"/>
    <s v="ZBTO"/>
    <n v="9518624222"/>
    <n v="1"/>
    <s v="9518624222-1"/>
    <s v="No Priority"/>
    <x v="0"/>
    <m/>
    <x v="1"/>
    <x v="1"/>
    <s v="2000-BPRS"/>
    <m/>
    <x v="0"/>
    <m/>
    <m/>
    <m/>
    <s v="North"/>
    <s v="ZOSOLA"/>
    <m/>
    <n v="184986"/>
    <s v="SWASTIK STEEL PROCESSOR LLP"/>
    <n v="185675"/>
    <s v="CRCA COIL-TATXXD-AU03-0.5X1250"/>
    <s v=" "/>
    <s v=""/>
    <n v="15"/>
    <n v="29"/>
    <m/>
    <s v="C01"/>
    <s v="TATXXD"/>
    <s v="AU03"/>
    <n v="0.5"/>
    <n v="1250"/>
    <n v="0"/>
    <n v="203"/>
    <n v="0"/>
    <n v="203"/>
    <n v="11.285"/>
    <n v="203"/>
    <n v="150.20500000000001"/>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18"/>
    <s v="9518569795-18"/>
    <s v="May'25"/>
    <x v="0"/>
    <s v="Yes"/>
    <x v="1"/>
    <x v="2"/>
    <s v="2000-BPRS"/>
    <m/>
    <x v="1"/>
    <m/>
    <m/>
    <m/>
    <s v="East"/>
    <s v="SILIGURI TOWN"/>
    <m/>
    <n v="948783"/>
    <s v="SAGAR STEELS"/>
    <n v="3239567"/>
    <s v="CRCA SHEET TATCRC SR16 0.450X1000X2500"/>
    <s v=" "/>
    <s v=""/>
    <n v="2"/>
    <n v="3"/>
    <m/>
    <s v="C06"/>
    <s v="TATCRC"/>
    <s v="SR16"/>
    <n v="0.45"/>
    <n v="1000"/>
    <n v="2500"/>
    <n v="24"/>
    <n v="0"/>
    <n v="24"/>
    <n v="24"/>
    <n v="2.1499999999999986"/>
    <n v="24"/>
    <n v="0"/>
    <n v="0"/>
    <n v="0"/>
    <n v="0"/>
    <n v="0"/>
    <n v="0"/>
    <n v="0"/>
    <n v="0"/>
    <n v="0"/>
    <n v="0"/>
    <n v="0"/>
    <n v="0"/>
    <n v="0"/>
    <n v="21.85"/>
    <n v="0"/>
    <n v="0"/>
    <n v="0"/>
    <n v="0"/>
    <n v="0"/>
    <n v="21.85"/>
    <n v="21.85"/>
    <n v="0"/>
    <n v="21.85"/>
    <m/>
    <n v="0"/>
    <n v="24"/>
    <n v="0"/>
    <n v="24"/>
    <n v="0"/>
    <n v="0"/>
    <n v="0"/>
    <n v="24"/>
    <n v="0"/>
    <n v="24"/>
    <n v="0"/>
    <n v="0"/>
    <n v="0"/>
    <m/>
    <m/>
    <m/>
    <m/>
    <m/>
    <m/>
    <m/>
    <m/>
    <m/>
    <m/>
    <m/>
    <m/>
    <m/>
    <m/>
    <m/>
    <m/>
    <m/>
    <m/>
    <m/>
    <m/>
    <m/>
    <m/>
    <m/>
    <m/>
    <m/>
    <m/>
    <m/>
    <m/>
    <m/>
    <m/>
    <m/>
    <m/>
    <m/>
    <m/>
    <m/>
  </r>
  <r>
    <n v="742"/>
    <d v="2025-03-24T00:00:00"/>
    <s v="ZBTO"/>
    <n v="9518628976"/>
    <n v="1"/>
    <s v="9518628976-1"/>
    <s v="No Priority"/>
    <x v="0"/>
    <m/>
    <x v="1"/>
    <x v="1"/>
    <s v="2000-BPRS"/>
    <m/>
    <x v="0"/>
    <m/>
    <m/>
    <m/>
    <s v="South"/>
    <s v="VALPARAI"/>
    <m/>
    <n v="116465"/>
    <s v="SRI BALAJI STEEL TRADERS"/>
    <n v="185675"/>
    <s v="CRCA COIL-TATXXD-AU03-0.5X1250"/>
    <s v=" "/>
    <s v=""/>
    <n v="6"/>
    <n v="18"/>
    <m/>
    <s v="C01"/>
    <s v="TATXXD"/>
    <s v="AU03"/>
    <n v="0.5"/>
    <n v="1250"/>
    <n v="0"/>
    <n v="116"/>
    <n v="24.515000000000001"/>
    <n v="91.484999999999999"/>
    <n v="91.484999999999999"/>
    <n v="91.484999999999999"/>
    <n v="91.484999999999999"/>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11"/>
    <s v="9518620674-11"/>
    <s v="May'25"/>
    <x v="0"/>
    <s v="Yes"/>
    <x v="1"/>
    <x v="1"/>
    <s v="2000-BPRS"/>
    <m/>
    <x v="1"/>
    <m/>
    <m/>
    <m/>
    <s v="South"/>
    <s v="CHENNAI"/>
    <m/>
    <n v="938550"/>
    <s v="BASEER AND CO"/>
    <n v="1801290"/>
    <s v="CRCA COIL-TATXXD-AU03-0.6X1250"/>
    <s v=" "/>
    <s v=""/>
    <n v="6"/>
    <n v="18"/>
    <m/>
    <s v="C01"/>
    <s v="TATXXD"/>
    <s v="AU03"/>
    <n v="0.6"/>
    <n v="1250"/>
    <n v="0"/>
    <n v="29"/>
    <n v="0"/>
    <n v="29"/>
    <n v="29"/>
    <n v="2.0500000000000007"/>
    <n v="29"/>
    <n v="0"/>
    <n v="0"/>
    <n v="0"/>
    <n v="0"/>
    <n v="0"/>
    <n v="0"/>
    <n v="0"/>
    <n v="0"/>
    <n v="0"/>
    <n v="0"/>
    <n v="0"/>
    <n v="0"/>
    <n v="0"/>
    <n v="26.95"/>
    <n v="0"/>
    <n v="0"/>
    <n v="0"/>
    <n v="0"/>
    <n v="0"/>
    <n v="26.95"/>
    <n v="26.95"/>
    <n v="0"/>
    <n v="26.95"/>
    <m/>
    <n v="0"/>
    <n v="29"/>
    <n v="29"/>
    <n v="0"/>
    <n v="0"/>
    <n v="0"/>
    <n v="0"/>
    <n v="0"/>
    <n v="0"/>
    <n v="0"/>
    <n v="0"/>
    <n v="0"/>
    <n v="0"/>
    <m/>
    <m/>
    <m/>
    <m/>
    <m/>
    <m/>
    <m/>
    <m/>
    <m/>
    <m/>
    <m/>
    <m/>
    <m/>
    <m/>
    <m/>
    <m/>
    <m/>
    <m/>
    <m/>
    <m/>
    <m/>
    <m/>
    <m/>
    <m/>
    <m/>
    <m/>
    <m/>
    <m/>
    <m/>
    <m/>
    <m/>
    <m/>
    <m/>
    <m/>
    <m/>
  </r>
  <r>
    <n v="742"/>
    <d v="2025-03-21T00:00:00"/>
    <s v="ZBTO"/>
    <n v="9518620674"/>
    <n v="13"/>
    <s v="9518620674-13"/>
    <s v="May'25"/>
    <x v="0"/>
    <s v="Yes"/>
    <x v="1"/>
    <x v="1"/>
    <s v="2000-BPRS"/>
    <m/>
    <x v="1"/>
    <m/>
    <m/>
    <m/>
    <s v="South"/>
    <s v="CHENNAI"/>
    <m/>
    <n v="938550"/>
    <s v="BASEER AND CO"/>
    <n v="1801456"/>
    <s v="CRCA COIL-TATXXD-AU03-0.7X1250"/>
    <s v=" "/>
    <s v=""/>
    <n v="6"/>
    <n v="18"/>
    <m/>
    <s v="C01"/>
    <s v="TATXXD"/>
    <s v="AU03"/>
    <n v="0.7"/>
    <n v="1250"/>
    <n v="0"/>
    <n v="58"/>
    <n v="0"/>
    <n v="58"/>
    <n v="58"/>
    <n v="3.1700000000000017"/>
    <n v="58"/>
    <n v="0"/>
    <n v="0"/>
    <n v="0"/>
    <n v="0"/>
    <n v="0"/>
    <n v="0"/>
    <n v="0"/>
    <n v="0"/>
    <n v="0"/>
    <n v="0"/>
    <n v="0"/>
    <n v="0"/>
    <n v="0"/>
    <n v="54.83"/>
    <n v="0"/>
    <n v="0"/>
    <n v="0"/>
    <n v="0"/>
    <n v="0"/>
    <n v="54.83"/>
    <n v="54.83"/>
    <n v="0"/>
    <n v="54.83"/>
    <m/>
    <n v="0"/>
    <n v="58"/>
    <n v="58"/>
    <n v="0"/>
    <n v="0"/>
    <n v="0"/>
    <n v="0"/>
    <n v="0"/>
    <n v="0"/>
    <n v="0"/>
    <n v="0"/>
    <n v="0"/>
    <n v="0"/>
    <m/>
    <m/>
    <m/>
    <m/>
    <m/>
    <m/>
    <m/>
    <m/>
    <m/>
    <m/>
    <m/>
    <m/>
    <m/>
    <m/>
    <m/>
    <m/>
    <m/>
    <m/>
    <m/>
    <m/>
    <m/>
    <m/>
    <m/>
    <m/>
    <m/>
    <m/>
    <m/>
    <m/>
    <m/>
    <m/>
    <m/>
    <m/>
    <m/>
    <m/>
    <m/>
  </r>
  <r>
    <n v="742"/>
    <d v="2025-03-21T00:00:00"/>
    <s v="ZBTO"/>
    <n v="9518620674"/>
    <n v="16"/>
    <s v="9518620674-16"/>
    <s v="May'25"/>
    <x v="0"/>
    <s v="Yes"/>
    <x v="1"/>
    <x v="1"/>
    <s v="2000-BPRS"/>
    <m/>
    <x v="1"/>
    <m/>
    <m/>
    <m/>
    <s v="South"/>
    <s v="CHENNAI"/>
    <m/>
    <n v="938550"/>
    <s v="BASEER AND CO"/>
    <n v="1801804"/>
    <s v="CRCA COIL-TATXXD-AU03-1X1250"/>
    <s v=" "/>
    <s v=""/>
    <n v="6"/>
    <n v="18"/>
    <m/>
    <s v="C01"/>
    <s v="TATXXD"/>
    <s v="AU03"/>
    <n v="1"/>
    <n v="1250"/>
    <n v="0"/>
    <n v="87"/>
    <n v="0"/>
    <n v="87"/>
    <n v="87"/>
    <n v="30.125"/>
    <n v="70.72"/>
    <n v="0"/>
    <n v="0"/>
    <n v="0"/>
    <n v="0"/>
    <n v="0"/>
    <n v="0"/>
    <n v="0"/>
    <n v="0"/>
    <n v="0"/>
    <n v="0"/>
    <n v="0"/>
    <n v="0"/>
    <n v="27.240000000000002"/>
    <n v="23.48"/>
    <n v="0"/>
    <n v="6.1550000000000002"/>
    <n v="0"/>
    <n v="0"/>
    <n v="0"/>
    <n v="56.875"/>
    <n v="56.875"/>
    <n v="0"/>
    <n v="56.875"/>
    <m/>
    <n v="0"/>
    <n v="70.72"/>
    <n v="0"/>
    <n v="70.72"/>
    <n v="0"/>
    <n v="0"/>
    <n v="0"/>
    <n v="70.72"/>
    <n v="0"/>
    <n v="70.72"/>
    <n v="0"/>
    <n v="0"/>
    <n v="0"/>
    <m/>
    <m/>
    <m/>
    <m/>
    <m/>
    <m/>
    <m/>
    <m/>
    <m/>
    <m/>
    <m/>
    <m/>
    <m/>
    <m/>
    <m/>
    <m/>
    <m/>
    <m/>
    <m/>
    <m/>
    <m/>
    <m/>
    <m/>
    <m/>
    <m/>
    <m/>
    <m/>
    <m/>
    <m/>
    <m/>
    <m/>
    <m/>
    <m/>
    <m/>
    <m/>
  </r>
  <r>
    <n v="744"/>
    <d v="2025-03-29T00:00:00"/>
    <s v="ZBTO"/>
    <n v="9518651680"/>
    <n v="6"/>
    <s v="9518651680-6"/>
    <s v="May'25"/>
    <x v="0"/>
    <m/>
    <x v="2"/>
    <x v="3"/>
    <s v="1000-IPPE"/>
    <m/>
    <x v="1"/>
    <m/>
    <m/>
    <m/>
    <s v="TBSPL"/>
    <s v="GAMHARIA"/>
    <m/>
    <n v="940016"/>
    <s v="TATA BLUESCOPE STEEL PVT LTD."/>
    <n v="3879501"/>
    <s v="PPGL C Y550 ISC6 0.45BMT(0.50TPT)X1220"/>
    <s v="aZ70"/>
    <s v="PRO DEN BLUE TSL 1915"/>
    <n v="3"/>
    <n v="5"/>
    <m/>
    <s v="B18"/>
    <s v="Y550PL"/>
    <s v="ISC6"/>
    <n v="0.45"/>
    <n v="1220"/>
    <n v="0"/>
    <n v="56"/>
    <n v="8.8049999999999997"/>
    <n v="47.195"/>
    <n v="47.195"/>
    <n v="47.195"/>
    <n v="47.195"/>
    <n v="0"/>
    <n v="0"/>
    <n v="0"/>
    <n v="0"/>
    <n v="0"/>
    <n v="0"/>
    <n v="0"/>
    <n v="0"/>
    <n v="0"/>
    <n v="0"/>
    <n v="0"/>
    <n v="0"/>
    <n v="0"/>
    <n v="0"/>
    <n v="0"/>
    <n v="0"/>
    <n v="0"/>
    <n v="0"/>
    <n v="0"/>
    <n v="0"/>
    <n v="0"/>
    <n v="0"/>
    <n v="0"/>
    <m/>
    <n v="0"/>
    <n v="47.195"/>
    <n v="0"/>
    <n v="0"/>
    <n v="47.195"/>
    <n v="0"/>
    <n v="0"/>
    <n v="0"/>
    <n v="0"/>
    <n v="0"/>
    <n v="0"/>
    <n v="0"/>
    <n v="0"/>
    <m/>
    <m/>
    <m/>
    <m/>
    <m/>
    <m/>
    <m/>
    <m/>
    <m/>
    <m/>
    <m/>
    <m/>
    <m/>
    <m/>
    <m/>
    <m/>
    <m/>
    <m/>
    <m/>
    <m/>
    <m/>
    <m/>
    <m/>
    <m/>
    <m/>
    <m/>
    <m/>
    <m/>
    <m/>
    <m/>
    <m/>
    <m/>
    <m/>
    <m/>
    <m/>
  </r>
  <r>
    <n v="742"/>
    <d v="2025-03-21T00:00:00"/>
    <s v="ZBTO"/>
    <n v="9518620674"/>
    <n v="17"/>
    <s v="9518620674-17"/>
    <s v="No Priority"/>
    <x v="0"/>
    <m/>
    <x v="1"/>
    <x v="1"/>
    <s v="2000-BPRS"/>
    <m/>
    <x v="0"/>
    <m/>
    <m/>
    <m/>
    <s v="South"/>
    <s v="CHENNAI"/>
    <m/>
    <n v="938550"/>
    <s v="BASEER AND CO"/>
    <n v="2398457"/>
    <s v="CRCA COIL TATXXD AU03 1X1320"/>
    <s v=" "/>
    <s v=""/>
    <n v="6"/>
    <n v="18"/>
    <m/>
    <s v="C01"/>
    <s v="TATXXD"/>
    <s v="AU03"/>
    <n v="1"/>
    <n v="1320"/>
    <n v="0"/>
    <n v="90"/>
    <n v="0"/>
    <n v="90"/>
    <n v="90"/>
    <n v="90"/>
    <n v="90"/>
    <n v="0"/>
    <n v="0"/>
    <n v="0"/>
    <n v="0"/>
    <n v="0"/>
    <n v="0"/>
    <n v="0"/>
    <n v="0"/>
    <n v="0"/>
    <n v="0"/>
    <n v="0"/>
    <n v="0"/>
    <n v="0"/>
    <n v="0"/>
    <n v="0"/>
    <n v="0"/>
    <n v="0"/>
    <n v="0"/>
    <n v="0"/>
    <n v="0"/>
    <n v="0"/>
    <n v="0"/>
    <n v="0"/>
    <m/>
    <n v="0"/>
    <n v="0"/>
    <n v="0"/>
    <n v="0"/>
    <n v="0"/>
    <n v="0"/>
    <n v="0"/>
    <n v="0"/>
    <n v="0"/>
    <n v="0"/>
    <n v="0"/>
    <n v="0"/>
    <n v="0"/>
    <m/>
    <m/>
    <m/>
    <m/>
    <m/>
    <m/>
    <m/>
    <m/>
    <m/>
    <m/>
    <m/>
    <m/>
    <m/>
    <m/>
    <m/>
    <m/>
    <m/>
    <m/>
    <m/>
    <m/>
    <m/>
    <m/>
    <m/>
    <m/>
    <m/>
    <m/>
    <m/>
    <m/>
    <m/>
    <m/>
    <m/>
    <m/>
    <m/>
    <m/>
    <m/>
  </r>
  <r>
    <n v="744"/>
    <d v="2025-03-29T00:00:00"/>
    <s v="ZBTO"/>
    <n v="9518652646"/>
    <n v="1"/>
    <s v="9518652646-1"/>
    <s v="May'25"/>
    <x v="0"/>
    <m/>
    <x v="2"/>
    <x v="3"/>
    <s v="1000-IPPE"/>
    <m/>
    <x v="1"/>
    <m/>
    <m/>
    <m/>
    <s v="TBSPL"/>
    <s v=" "/>
    <m/>
    <n v="941597"/>
    <s v="TATA BLUESCOPE STEEL PRIVATE LIMITE"/>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4"/>
    <d v="2025-03-27T00:00:00"/>
    <s v="ZBTO"/>
    <n v="9518644023"/>
    <n v="2"/>
    <s v="9518644023-2"/>
    <s v="May'25"/>
    <x v="0"/>
    <m/>
    <x v="2"/>
    <x v="3"/>
    <s v="1000-IPPE"/>
    <m/>
    <x v="1"/>
    <m/>
    <m/>
    <m/>
    <s v="TBSPL"/>
    <s v=" "/>
    <m/>
    <n v="941597"/>
    <s v="TATA BLUESCOPE STEEL PRIVATE LIMITE"/>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4"/>
    <d v="2025-03-27T00:00:00"/>
    <s v="ZBTO"/>
    <n v="9518644023"/>
    <n v="3"/>
    <s v="9518644023-3"/>
    <s v="May'25"/>
    <x v="0"/>
    <m/>
    <x v="2"/>
    <x v="3"/>
    <s v="1000-IPPE"/>
    <m/>
    <x v="1"/>
    <m/>
    <m/>
    <m/>
    <s v="TBSPL"/>
    <s v=" "/>
    <m/>
    <n v="941597"/>
    <s v="TATA BLUESCOPE STEEL PRIVATE LIMITE"/>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4"/>
    <d v="2025-03-27T00:00:00"/>
    <s v="ZBTO"/>
    <n v="9518644023"/>
    <n v="4"/>
    <s v="9518644023-4"/>
    <s v="May'25"/>
    <x v="0"/>
    <m/>
    <x v="2"/>
    <x v="3"/>
    <s v="1000-IPPE"/>
    <m/>
    <x v="1"/>
    <m/>
    <m/>
    <m/>
    <s v="TBSPL"/>
    <s v=" "/>
    <m/>
    <n v="941597"/>
    <s v="TATA BLUESCOPE STEEL PRIVATE LIMITE"/>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4"/>
    <d v="2025-03-25T00:00:00"/>
    <s v="ZBTO"/>
    <n v="9518633048"/>
    <n v="1"/>
    <s v="9518633048-1"/>
    <s v="May'25"/>
    <x v="0"/>
    <m/>
    <x v="2"/>
    <x v="3"/>
    <s v="1000-IPPE"/>
    <m/>
    <x v="1"/>
    <m/>
    <m/>
    <m/>
    <s v="TBSPL"/>
    <s v=" "/>
    <m/>
    <n v="941597"/>
    <s v="TATA BLUESCOPE STEEL PRIVATE LIMITE"/>
    <n v="3902332"/>
    <s v="PPGL C HARD Y550PL D0C9 0.50(TPT)X1220"/>
    <s v="AZ150"/>
    <s v="ROYAL BLUE TSL 1815"/>
    <n v="3"/>
    <n v="5"/>
    <m/>
    <s v="B18"/>
    <s v="Y550PL"/>
    <s v="D0C9"/>
    <n v="0.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4"/>
    <d v="2025-03-25T00:00:00"/>
    <s v="ZBTO"/>
    <n v="9518633048"/>
    <n v="2"/>
    <s v="9518633048-2"/>
    <s v="May'25"/>
    <x v="0"/>
    <m/>
    <x v="2"/>
    <x v="3"/>
    <s v="1000-IPPE"/>
    <m/>
    <x v="1"/>
    <m/>
    <m/>
    <m/>
    <s v="TBSPL"/>
    <s v=" "/>
    <m/>
    <n v="941597"/>
    <s v="TATA BLUESCOPE STEEL PRIVATE LIMITE"/>
    <n v="3902332"/>
    <s v="PPGL C HARD Y550PL D0C9 0.50(TPT)X1220"/>
    <s v="AZ150"/>
    <s v="TAURUS BLUE TSL 1813"/>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2"/>
    <d v="2025-03-20T00:00:00"/>
    <s v="ZBTO"/>
    <n v="9518617286"/>
    <n v="1"/>
    <s v="9518617286-1"/>
    <s v="No Priority"/>
    <x v="0"/>
    <m/>
    <x v="1"/>
    <x v="1"/>
    <s v="2000-BPRS"/>
    <m/>
    <x v="0"/>
    <m/>
    <m/>
    <m/>
    <s v="North"/>
    <s v="ZOSOLA"/>
    <m/>
    <n v="101446"/>
    <s v="BANSAL BROTHERS "/>
    <n v="1804814"/>
    <s v="CRCA COIL TATXXD AU03 0.8X1250"/>
    <s v=" "/>
    <s v=""/>
    <n v="10"/>
    <n v="30"/>
    <m/>
    <s v="C01"/>
    <s v="TATXXD"/>
    <s v="AU03"/>
    <n v="0.8"/>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956"/>
    <n v="2"/>
    <s v="9518664956-2"/>
    <s v="No Priority"/>
    <x v="0"/>
    <s v="Yes"/>
    <x v="1"/>
    <x v="1"/>
    <s v="2000-BPRS"/>
    <m/>
    <x v="0"/>
    <m/>
    <s v="De-prioritized due to Apr CF orders"/>
    <m/>
    <s v="South"/>
    <s v="CHENNAI"/>
    <m/>
    <n v="102888"/>
    <s v="THIRUPATHY STEELS "/>
    <n v="1801804"/>
    <s v="CRCA COIL-TATXXD-AU03-1X1250"/>
    <s v=" "/>
    <s v=""/>
    <n v="6"/>
    <n v="18"/>
    <m/>
    <s v="C01"/>
    <s v="TATXXD"/>
    <s v="AU03"/>
    <n v="1"/>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01T00:00:00"/>
    <s v="ZBTF"/>
    <n v="9518663142"/>
    <n v="2"/>
    <s v="9518663142-2"/>
    <s v="No Priority"/>
    <x v="0"/>
    <m/>
    <x v="1"/>
    <x v="10"/>
    <s v="1000-IPPE"/>
    <m/>
    <x v="0"/>
    <m/>
    <m/>
    <m/>
    <s v="East"/>
    <s v="PILKHUWA"/>
    <m/>
    <n v="600250"/>
    <s v="TATA CENTER"/>
    <n v="2170008"/>
    <s v="CRCA COIL TATXXD BT01 0.970X1220"/>
    <s v=" "/>
    <s v=""/>
    <n v="6"/>
    <n v="10"/>
    <m/>
    <s v="C01"/>
    <s v="TATXXD"/>
    <s v="BT01"/>
    <n v="0.97"/>
    <n v="1220"/>
    <n v="0"/>
    <n v="112"/>
    <n v="0"/>
    <n v="112"/>
    <n v="84.51"/>
    <n v="84.509999999999991"/>
    <n v="112"/>
    <n v="0"/>
    <n v="0"/>
    <n v="0"/>
    <n v="0"/>
    <n v="0"/>
    <n v="0"/>
    <n v="0"/>
    <n v="0"/>
    <n v="0"/>
    <n v="0"/>
    <n v="0"/>
    <n v="0"/>
    <n v="0"/>
    <n v="27.490000000000002"/>
    <n v="0"/>
    <n v="0"/>
    <n v="0"/>
    <n v="0"/>
    <n v="0"/>
    <n v="27.490000000000002"/>
    <n v="27.490000000000002"/>
    <n v="0"/>
    <n v="27.490000000000002"/>
    <m/>
    <n v="0"/>
    <n v="0"/>
    <n v="0"/>
    <n v="0"/>
    <n v="0"/>
    <n v="0"/>
    <n v="0"/>
    <n v="0"/>
    <n v="0"/>
    <n v="0"/>
    <n v="0"/>
    <n v="0"/>
    <n v="0"/>
    <m/>
    <m/>
    <m/>
    <m/>
    <m/>
    <m/>
    <m/>
    <m/>
    <m/>
    <m/>
    <m/>
    <m/>
    <m/>
    <m/>
    <m/>
    <m/>
    <m/>
    <m/>
    <m/>
    <m/>
    <m/>
    <m/>
    <m/>
    <m/>
    <m/>
    <m/>
    <m/>
    <m/>
    <m/>
    <m/>
    <m/>
    <m/>
    <m/>
    <m/>
    <m/>
  </r>
  <r>
    <n v="744"/>
    <d v="2025-04-05T00:00:00"/>
    <s v="ZBTO"/>
    <n v="9518671384"/>
    <n v="1"/>
    <s v="9518671384-1"/>
    <s v="May'25"/>
    <x v="0"/>
    <m/>
    <x v="2"/>
    <x v="3"/>
    <s v="1000-IPPE"/>
    <m/>
    <x v="1"/>
    <m/>
    <m/>
    <m/>
    <s v="TBSPL"/>
    <s v="GAMHARIA"/>
    <m/>
    <n v="940016"/>
    <s v="TATA BLUESCOPE STEEL PVT LTD."/>
    <n v="3902332"/>
    <s v="PPGL C HARD Y550PL D0C9 0.50(TPT)X1220"/>
    <s v="AZ150"/>
    <s v="RAL 7024 TSL 1806"/>
    <n v="3"/>
    <n v="5"/>
    <m/>
    <s v="B18"/>
    <s v="Y550PL"/>
    <s v="D0C9"/>
    <n v="0.5"/>
    <n v="1220"/>
    <n v="0"/>
    <n v="112"/>
    <n v="0"/>
    <n v="112"/>
    <n v="112"/>
    <n v="112"/>
    <n v="112"/>
    <n v="0"/>
    <n v="0"/>
    <n v="0"/>
    <n v="0"/>
    <n v="0"/>
    <n v="0"/>
    <n v="0"/>
    <n v="0"/>
    <n v="0"/>
    <n v="0"/>
    <n v="0"/>
    <n v="0"/>
    <n v="0"/>
    <n v="0"/>
    <n v="0"/>
    <n v="0"/>
    <n v="0"/>
    <n v="0"/>
    <n v="0"/>
    <n v="0"/>
    <n v="0"/>
    <n v="0"/>
    <n v="0"/>
    <m/>
    <n v="0"/>
    <n v="112"/>
    <n v="0"/>
    <n v="112"/>
    <n v="0"/>
    <n v="0"/>
    <n v="0"/>
    <n v="112"/>
    <n v="0"/>
    <n v="112"/>
    <n v="0"/>
    <n v="0"/>
    <n v="0"/>
    <m/>
    <m/>
    <m/>
    <m/>
    <m/>
    <m/>
    <m/>
    <m/>
    <m/>
    <m/>
    <m/>
    <m/>
    <m/>
    <m/>
    <m/>
    <m/>
    <m/>
    <m/>
    <m/>
    <m/>
    <m/>
    <m/>
    <m/>
    <m/>
    <m/>
    <m/>
    <m/>
    <m/>
    <m/>
    <m/>
    <m/>
    <m/>
    <m/>
    <m/>
    <m/>
  </r>
  <r>
    <n v="742"/>
    <d v="2025-04-04T00:00:00"/>
    <s v="ZBTO"/>
    <n v="9518670119"/>
    <n v="4"/>
    <s v="9518670119-4"/>
    <s v="No Priority"/>
    <x v="0"/>
    <s v="Yes"/>
    <x v="1"/>
    <x v="11"/>
    <s v="2000-BPRS"/>
    <m/>
    <x v="0"/>
    <m/>
    <m/>
    <m/>
    <s v="South"/>
    <s v="PATTANCHERY"/>
    <m/>
    <n v="939422"/>
    <s v="VIJAY VENKAT STEELS PRIVATE LIMITED"/>
    <n v="2420514"/>
    <s v="CRCA COIL TATXXD AH03 0.800X1250"/>
    <s v=" "/>
    <s v=""/>
    <n v="10"/>
    <n v="30"/>
    <m/>
    <s v="C01"/>
    <s v="TATXXD"/>
    <s v="AH03"/>
    <n v="0.8"/>
    <n v="1250"/>
    <n v="0"/>
    <n v="29"/>
    <n v="0"/>
    <n v="29"/>
    <n v="3.95"/>
    <n v="29"/>
    <n v="4.82"/>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586"/>
    <n v="2"/>
    <s v="9518694586-2"/>
    <s v="May'25"/>
    <x v="0"/>
    <m/>
    <x v="1"/>
    <x v="10"/>
    <s v="1000-IPPE"/>
    <m/>
    <x v="1"/>
    <m/>
    <m/>
    <m/>
    <s v="South"/>
    <s v="PATANCHERU"/>
    <m/>
    <n v="948926"/>
    <s v="CHANDRA CONTAINER MANUACTURERS"/>
    <n v="2426078"/>
    <s v="CRCA COIL TATXXD BT01 1X1320"/>
    <s v=" "/>
    <s v=""/>
    <n v="5.98"/>
    <n v="8"/>
    <m/>
    <s v="C01"/>
    <s v="TATXXD"/>
    <s v="BT01"/>
    <n v="1"/>
    <n v="1320"/>
    <n v="0"/>
    <n v="90"/>
    <n v="0"/>
    <n v="90"/>
    <n v="90"/>
    <n v="90"/>
    <n v="63.51"/>
    <n v="0"/>
    <n v="0"/>
    <n v="0"/>
    <n v="0"/>
    <n v="0"/>
    <n v="0"/>
    <n v="0"/>
    <n v="0"/>
    <n v="0"/>
    <n v="0"/>
    <n v="0"/>
    <n v="0"/>
    <n v="0"/>
    <n v="0"/>
    <n v="0"/>
    <n v="0"/>
    <n v="0"/>
    <n v="0"/>
    <n v="0"/>
    <n v="0"/>
    <n v="0"/>
    <n v="0"/>
    <n v="0"/>
    <m/>
    <n v="26.47"/>
    <n v="63.51"/>
    <n v="0"/>
    <n v="0"/>
    <n v="63.51"/>
    <n v="0"/>
    <n v="0"/>
    <n v="0"/>
    <n v="0"/>
    <n v="0"/>
    <n v="0"/>
    <n v="0"/>
    <n v="0"/>
    <m/>
    <m/>
    <m/>
    <m/>
    <m/>
    <m/>
    <m/>
    <m/>
    <m/>
    <m/>
    <m/>
    <m/>
    <m/>
    <m/>
    <m/>
    <m/>
    <m/>
    <m/>
    <m/>
    <m/>
    <m/>
    <m/>
    <m/>
    <m/>
    <m/>
    <m/>
    <m/>
    <m/>
    <m/>
    <m/>
    <m/>
    <m/>
    <m/>
    <m/>
    <m/>
  </r>
  <r>
    <n v="742"/>
    <d v="2025-03-28T00:00:00"/>
    <s v="ZBTO"/>
    <n v="9518649438"/>
    <n v="3"/>
    <s v="9518649438-3"/>
    <s v="May'25"/>
    <x v="0"/>
    <s v="Yes"/>
    <x v="1"/>
    <x v="1"/>
    <s v="2000-BPRS"/>
    <m/>
    <x v="1"/>
    <m/>
    <m/>
    <m/>
    <s v="South"/>
    <s v="CHENNAI"/>
    <m/>
    <n v="116465"/>
    <s v="SRI BALAJI STEEL TRADERS"/>
    <n v="1804867"/>
    <s v="CRCA COIL-TATXXD-AU03-1.6X1250"/>
    <s v=" "/>
    <s v=""/>
    <n v="6"/>
    <n v="18"/>
    <m/>
    <s v="C01"/>
    <s v="TATXXD"/>
    <s v="AU03"/>
    <n v="1.6"/>
    <n v="1250"/>
    <n v="0"/>
    <n v="29"/>
    <n v="0"/>
    <n v="29"/>
    <n v="29"/>
    <n v="8.2399999999999984"/>
    <n v="29"/>
    <n v="0"/>
    <n v="0"/>
    <n v="0"/>
    <n v="0"/>
    <n v="0"/>
    <n v="0"/>
    <n v="0"/>
    <n v="0"/>
    <n v="0"/>
    <n v="0"/>
    <n v="0"/>
    <n v="0"/>
    <n v="20.76"/>
    <n v="0"/>
    <n v="0"/>
    <n v="0"/>
    <n v="0"/>
    <n v="0"/>
    <n v="0"/>
    <n v="20.76"/>
    <n v="20.76"/>
    <n v="0"/>
    <n v="20.76"/>
    <m/>
    <n v="0"/>
    <n v="29"/>
    <n v="0"/>
    <n v="29"/>
    <n v="0"/>
    <n v="0"/>
    <n v="0"/>
    <n v="29"/>
    <n v="0"/>
    <n v="29"/>
    <n v="0"/>
    <n v="0"/>
    <n v="0"/>
    <m/>
    <m/>
    <m/>
    <m/>
    <m/>
    <m/>
    <m/>
    <m/>
    <m/>
    <m/>
    <m/>
    <m/>
    <m/>
    <m/>
    <m/>
    <m/>
    <m/>
    <m/>
    <m/>
    <m/>
    <m/>
    <m/>
    <m/>
    <m/>
    <m/>
    <m/>
    <m/>
    <m/>
    <m/>
    <m/>
    <m/>
    <m/>
    <m/>
    <m/>
    <m/>
  </r>
  <r>
    <n v="742"/>
    <d v="2025-03-28T00:00:00"/>
    <s v="ZBTO"/>
    <n v="9518649438"/>
    <n v="4"/>
    <s v="9518649438-4"/>
    <s v="May'25"/>
    <x v="0"/>
    <s v="Yes"/>
    <x v="1"/>
    <x v="1"/>
    <s v="2000-BPRS"/>
    <m/>
    <x v="1"/>
    <m/>
    <m/>
    <m/>
    <s v="South"/>
    <s v="CHENNAI"/>
    <m/>
    <n v="116465"/>
    <s v="SRI BALAJI STEEL TRADERS"/>
    <n v="1884117"/>
    <s v="CRCA COIL-TATXXD-AU03-2X1250"/>
    <s v=" "/>
    <s v=""/>
    <n v="6"/>
    <n v="18"/>
    <m/>
    <s v="C01"/>
    <s v="TATXXD"/>
    <s v="AU03"/>
    <n v="2"/>
    <n v="1250"/>
    <n v="0"/>
    <n v="29"/>
    <n v="0"/>
    <n v="29"/>
    <n v="29"/>
    <n v="29"/>
    <n v="29"/>
    <n v="0"/>
    <n v="0"/>
    <n v="0"/>
    <n v="0"/>
    <n v="0"/>
    <n v="0"/>
    <n v="0"/>
    <n v="0"/>
    <n v="0"/>
    <n v="0"/>
    <n v="0"/>
    <n v="0"/>
    <n v="0"/>
    <n v="0"/>
    <n v="0"/>
    <n v="0"/>
    <n v="0"/>
    <n v="0"/>
    <n v="0"/>
    <n v="0"/>
    <n v="0"/>
    <n v="0"/>
    <n v="0"/>
    <m/>
    <n v="0"/>
    <n v="29"/>
    <n v="0"/>
    <n v="0"/>
    <n v="29"/>
    <n v="0"/>
    <n v="0"/>
    <n v="0"/>
    <n v="0"/>
    <n v="0"/>
    <n v="0"/>
    <n v="0"/>
    <n v="0"/>
    <m/>
    <m/>
    <m/>
    <m/>
    <m/>
    <m/>
    <m/>
    <m/>
    <m/>
    <m/>
    <m/>
    <m/>
    <m/>
    <m/>
    <m/>
    <m/>
    <m/>
    <m/>
    <m/>
    <m/>
    <m/>
    <m/>
    <m/>
    <m/>
    <m/>
    <m/>
    <m/>
    <m/>
    <m/>
    <m/>
    <m/>
    <m/>
    <m/>
    <m/>
    <m/>
  </r>
  <r>
    <n v="742"/>
    <d v="2025-02-24T00:00:00"/>
    <s v="ZBTO"/>
    <n v="9518547667"/>
    <n v="1"/>
    <s v="9518547667-1"/>
    <s v="No Priority"/>
    <x v="0"/>
    <s v="Yes"/>
    <x v="1"/>
    <x v="10"/>
    <s v="1000-IPPE"/>
    <m/>
    <x v="0"/>
    <m/>
    <m/>
    <m/>
    <s v="South"/>
    <s v="PATANCHERU"/>
    <m/>
    <n v="948926"/>
    <s v="CHANDRA CONTAINER MANUACTURERS"/>
    <n v="2426388"/>
    <s v="CRCA COIL TATXXD BT01 0.900X1320"/>
    <s v=" "/>
    <s v=""/>
    <n v="6"/>
    <n v="8"/>
    <m/>
    <s v="C01"/>
    <s v="TATXXD"/>
    <s v="BT01"/>
    <n v="0.9"/>
    <n v="1320"/>
    <n v="0"/>
    <n v="90"/>
    <n v="0"/>
    <n v="90"/>
    <n v="90"/>
    <n v="90"/>
    <n v="0"/>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7626"/>
    <n v="13"/>
    <s v="9518497626-13"/>
    <s v="No Priority"/>
    <x v="0"/>
    <m/>
    <x v="1"/>
    <x v="2"/>
    <s v="2000-BPRS"/>
    <m/>
    <x v="0"/>
    <m/>
    <m/>
    <m/>
    <s v="South"/>
    <s v="VISHAKHAPATNAM"/>
    <m/>
    <n v="946077"/>
    <s v="SITARAM IRON AND STEEL PVT LTD"/>
    <n v="3410101"/>
    <s v="CRCA SHEET TSBCRC SR15 0.750X1000X2500"/>
    <s v=" "/>
    <s v=""/>
    <n v="0"/>
    <n v="0"/>
    <m/>
    <s v="C06"/>
    <s v="TSBCRC"/>
    <s v="SR15"/>
    <n v="0.75"/>
    <n v="1000"/>
    <n v="2500"/>
    <n v="9"/>
    <n v="0"/>
    <n v="9"/>
    <n v="9"/>
    <n v="9"/>
    <n v="9"/>
    <n v="0"/>
    <n v="0"/>
    <n v="0"/>
    <n v="0"/>
    <n v="0"/>
    <n v="0"/>
    <n v="0"/>
    <n v="0"/>
    <n v="0"/>
    <n v="0"/>
    <n v="0"/>
    <n v="0"/>
    <n v="0"/>
    <n v="0"/>
    <n v="0"/>
    <n v="0"/>
    <n v="0"/>
    <n v="0"/>
    <n v="0"/>
    <n v="0"/>
    <n v="0"/>
    <n v="0"/>
    <n v="0"/>
    <m/>
    <n v="0"/>
    <n v="0"/>
    <n v="0"/>
    <n v="0"/>
    <n v="0"/>
    <n v="0"/>
    <n v="0"/>
    <n v="0"/>
    <n v="0"/>
    <n v="0"/>
    <n v="0"/>
    <n v="0"/>
    <n v="0"/>
    <m/>
    <m/>
    <m/>
    <m/>
    <m/>
    <m/>
    <m/>
    <m/>
    <m/>
    <m/>
    <m/>
    <m/>
    <m/>
    <m/>
    <m/>
    <m/>
    <m/>
    <m/>
    <m/>
    <m/>
    <m/>
    <m/>
    <m/>
    <m/>
    <m/>
    <m/>
    <m/>
    <m/>
    <m/>
    <m/>
    <m/>
    <m/>
    <m/>
    <m/>
    <m/>
  </r>
  <r>
    <n v="742"/>
    <d v="2025-02-11T00:00:00"/>
    <s v="ZBTO"/>
    <n v="9518510371"/>
    <n v="1"/>
    <s v="9518510371-1"/>
    <s v="No Priority"/>
    <x v="0"/>
    <m/>
    <x v="1"/>
    <x v="2"/>
    <s v="2000-BPRS"/>
    <m/>
    <x v="0"/>
    <m/>
    <m/>
    <m/>
    <s v="North"/>
    <s v="GORAKHPUR"/>
    <m/>
    <n v="115841"/>
    <s v="O.V.S. ISPAT UDYOG"/>
    <n v="3240760"/>
    <s v="CRCA SHEET TSBCRC SR15 0.500X1000X2500"/>
    <s v=" "/>
    <s v=""/>
    <n v="0"/>
    <n v="0"/>
    <m/>
    <s v="C06"/>
    <s v="TSBCRC"/>
    <s v="SR15"/>
    <n v="0.5"/>
    <n v="1000"/>
    <n v="2500"/>
    <n v="33"/>
    <n v="20.274999999999999"/>
    <n v="12.725"/>
    <n v="12.725"/>
    <n v="12.725"/>
    <n v="12.725"/>
    <n v="0"/>
    <n v="0"/>
    <n v="0"/>
    <n v="0"/>
    <n v="0"/>
    <n v="0"/>
    <n v="0"/>
    <n v="0"/>
    <n v="0"/>
    <n v="0"/>
    <n v="0"/>
    <n v="0"/>
    <n v="0"/>
    <n v="0"/>
    <n v="0"/>
    <n v="0"/>
    <n v="0"/>
    <n v="0"/>
    <n v="0"/>
    <n v="0"/>
    <n v="0"/>
    <n v="0"/>
    <n v="0"/>
    <m/>
    <n v="0"/>
    <n v="0"/>
    <n v="0"/>
    <n v="0"/>
    <n v="0"/>
    <n v="0"/>
    <n v="0"/>
    <n v="0"/>
    <n v="0"/>
    <n v="0"/>
    <n v="0"/>
    <n v="0"/>
    <n v="0"/>
    <m/>
    <m/>
    <m/>
    <m/>
    <m/>
    <m/>
    <m/>
    <m/>
    <m/>
    <m/>
    <m/>
    <m/>
    <m/>
    <m/>
    <m/>
    <m/>
    <m/>
    <m/>
    <m/>
    <m/>
    <m/>
    <m/>
    <m/>
    <m/>
    <m/>
    <m/>
    <m/>
    <m/>
    <m/>
    <m/>
    <m/>
    <m/>
    <m/>
    <m/>
    <m/>
  </r>
  <r>
    <n v="744"/>
    <d v="2025-02-25T00:00:00"/>
    <s v="ZBTT"/>
    <n v="4000499447"/>
    <n v="1"/>
    <s v="4000499447-1"/>
    <s v="No Priority"/>
    <x v="0"/>
    <m/>
    <x v="2"/>
    <x v="3"/>
    <n v="1000"/>
    <m/>
    <x v="0"/>
    <m/>
    <m/>
    <m/>
    <s v="TBSPL"/>
    <s v="SADANGI"/>
    <m/>
    <n v="650744"/>
    <s v="Angul Color Coating Plant"/>
    <n v="2404802"/>
    <s v="PPGL PROF TRDHPL TRD2  0.500X1080"/>
    <s v="aZ70"/>
    <s v=""/>
    <n v="1.5"/>
    <n v="6"/>
    <m/>
    <s v="B20"/>
    <s v="TRDHPL"/>
    <s v="TRD2"/>
    <n v="0.5"/>
    <n v="1080"/>
    <n v="0"/>
    <n v="100"/>
    <n v="0"/>
    <n v="100"/>
    <n v="100"/>
    <n v="100"/>
    <n v="0"/>
    <n v="0"/>
    <n v="0"/>
    <n v="0"/>
    <n v="0"/>
    <n v="0"/>
    <n v="0"/>
    <n v="0"/>
    <n v="0"/>
    <n v="0"/>
    <n v="0"/>
    <n v="0"/>
    <n v="0"/>
    <n v="0"/>
    <n v="0"/>
    <n v="0"/>
    <n v="0"/>
    <n v="0"/>
    <n v="0"/>
    <n v="0"/>
    <n v="0"/>
    <n v="0"/>
    <n v="0"/>
    <n v="0"/>
    <m/>
    <n v="0"/>
    <n v="0"/>
    <n v="0"/>
    <n v="0"/>
    <n v="0"/>
    <n v="0"/>
    <n v="0"/>
    <n v="0"/>
    <n v="0"/>
    <n v="0"/>
    <n v="0"/>
    <n v="0"/>
    <n v="0"/>
    <m/>
    <m/>
    <m/>
    <m/>
    <m/>
    <m/>
    <m/>
    <m/>
    <m/>
    <m/>
    <m/>
    <m/>
    <m/>
    <m/>
    <m/>
    <m/>
    <m/>
    <m/>
    <m/>
    <m/>
    <m/>
    <m/>
    <m/>
    <m/>
    <m/>
    <m/>
    <m/>
    <m/>
    <m/>
    <m/>
    <m/>
    <m/>
    <m/>
    <m/>
    <m/>
  </r>
  <r>
    <n v="743"/>
    <d v="2025-02-25T00:00:00"/>
    <s v="ZBTO"/>
    <n v="9518551400"/>
    <n v="2"/>
    <s v="9518551400-2"/>
    <s v="No Priority"/>
    <x v="0"/>
    <m/>
    <x v="4"/>
    <x v="5"/>
    <s v="1000-IPPE"/>
    <m/>
    <x v="0"/>
    <m/>
    <s v="Centre slit HR not available"/>
    <m/>
    <s v="South"/>
    <s v="VALPARAI"/>
    <m/>
    <n v="947775"/>
    <s v="ZARON METAL SECTIONS"/>
    <n v="3954447"/>
    <s v="GL COIL HARD  Y550GL GL6H 0.900X1160"/>
    <s v="AZ150"/>
    <s v=""/>
    <n v="10"/>
    <n v="15"/>
    <m/>
    <s v="B04"/>
    <s v="Y550GL"/>
    <s v="GL6H"/>
    <n v="0.9"/>
    <n v="1160"/>
    <n v="0"/>
    <n v="216"/>
    <n v="0"/>
    <n v="216"/>
    <n v="216"/>
    <n v="216"/>
    <n v="216"/>
    <n v="0"/>
    <n v="0"/>
    <n v="0"/>
    <n v="0"/>
    <n v="0"/>
    <n v="0"/>
    <n v="0"/>
    <n v="0"/>
    <n v="0"/>
    <n v="0"/>
    <n v="0"/>
    <n v="0"/>
    <n v="0"/>
    <n v="0"/>
    <n v="0"/>
    <n v="0"/>
    <n v="0"/>
    <n v="0"/>
    <n v="0"/>
    <n v="0"/>
    <n v="0"/>
    <n v="0"/>
    <n v="0"/>
    <m/>
    <n v="0"/>
    <n v="0"/>
    <n v="0"/>
    <n v="0"/>
    <n v="0"/>
    <n v="0"/>
    <n v="0"/>
    <n v="0"/>
    <n v="0"/>
    <n v="0"/>
    <n v="0"/>
    <n v="0"/>
    <n v="0"/>
    <m/>
    <m/>
    <m/>
    <m/>
    <m/>
    <m/>
    <m/>
    <m/>
    <m/>
    <m/>
    <m/>
    <m/>
    <m/>
    <m/>
    <m/>
    <m/>
    <m/>
    <m/>
    <m/>
    <m/>
    <m/>
    <m/>
    <m/>
    <m/>
    <m/>
    <m/>
    <m/>
    <m/>
    <m/>
    <m/>
    <m/>
    <m/>
    <m/>
    <m/>
    <m/>
  </r>
  <r>
    <n v="743"/>
    <d v="2025-02-14T00:00:00"/>
    <s v="ZBTO"/>
    <n v="9518519230"/>
    <n v="1"/>
    <s v="9518519230-1"/>
    <s v="No Priority"/>
    <x v="0"/>
    <m/>
    <x v="3"/>
    <x v="9"/>
    <s v="2000-BPRS"/>
    <m/>
    <x v="0"/>
    <m/>
    <m/>
    <m/>
    <s v="North"/>
    <s v="SANHEWAL"/>
    <m/>
    <n v="185845"/>
    <s v="Malerkotla Steel Industries"/>
    <n v="1851054"/>
    <s v="GP COIL SOFT-TATXGP-GK09-0.2X900"/>
    <s v="Z80"/>
    <s v=""/>
    <n v="4"/>
    <n v="6"/>
    <m/>
    <s v="C02"/>
    <s v="TATXGP"/>
    <s v="GK09"/>
    <n v="0.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2-04T00:00:00"/>
    <s v="ZBTO"/>
    <n v="9518492304"/>
    <n v="3"/>
    <s v="9518492304-3"/>
    <s v="Stocks"/>
    <x v="0"/>
    <m/>
    <x v="1"/>
    <x v="0"/>
    <s v="2000-BPRS"/>
    <m/>
    <x v="1"/>
    <m/>
    <m/>
    <m/>
    <s v="West"/>
    <s v="MORIYA"/>
    <m/>
    <n v="940707"/>
    <s v="GIRIRAJ EXIM PRIVATE LIMITED"/>
    <n v="2170009"/>
    <s v="CRCA COIL TATXXD BT02 1.200X914"/>
    <s v=" "/>
    <s v=""/>
    <n v="6"/>
    <n v="10"/>
    <m/>
    <s v="C01"/>
    <s v="TATXXD"/>
    <s v="BT02"/>
    <n v="1.2"/>
    <n v="914"/>
    <n v="0"/>
    <n v="146.99"/>
    <n v="52.695"/>
    <n v="94.295000000000002"/>
    <n v="94.295000000000002"/>
    <n v="94.295000000000002"/>
    <n v="94.295000000000002"/>
    <n v="0"/>
    <n v="0"/>
    <n v="0"/>
    <n v="0"/>
    <n v="0"/>
    <n v="0"/>
    <n v="0"/>
    <n v="0"/>
    <n v="0"/>
    <n v="0"/>
    <n v="0"/>
    <n v="0"/>
    <n v="0"/>
    <n v="0"/>
    <n v="0"/>
    <n v="0"/>
    <n v="0"/>
    <n v="0"/>
    <n v="0"/>
    <n v="0"/>
    <n v="0"/>
    <n v="0"/>
    <n v="0"/>
    <m/>
    <n v="7.88"/>
    <n v="0"/>
    <n v="0"/>
    <n v="0"/>
    <n v="0"/>
    <n v="0"/>
    <n v="0"/>
    <n v="0"/>
    <n v="0"/>
    <n v="0"/>
    <n v="0"/>
    <n v="0"/>
    <n v="0"/>
    <m/>
    <m/>
    <m/>
    <m/>
    <m/>
    <m/>
    <m/>
    <m/>
    <m/>
    <m/>
    <m/>
    <m/>
    <m/>
    <m/>
    <m/>
    <m/>
    <m/>
    <m/>
    <m/>
    <m/>
    <m/>
    <m/>
    <m/>
    <m/>
    <m/>
    <m/>
    <m/>
    <m/>
    <m/>
    <m/>
    <m/>
    <m/>
    <m/>
    <m/>
    <m/>
  </r>
  <r>
    <n v="743"/>
    <d v="2025-02-25T00:00:00"/>
    <s v="ZBTO"/>
    <n v="9518550377"/>
    <n v="1"/>
    <s v="9518550377-1"/>
    <s v="No Priority"/>
    <x v="0"/>
    <m/>
    <x v="3"/>
    <x v="9"/>
    <s v="2000-BPRS"/>
    <m/>
    <x v="0"/>
    <m/>
    <m/>
    <m/>
    <s v="North"/>
    <s v="LONI"/>
    <m/>
    <n v="931234"/>
    <s v="JAI LAXMI STEELS"/>
    <n v="1851065"/>
    <s v="GP COIL SOFT-TATXGP-GK09-0.25X900"/>
    <s v="Z80"/>
    <s v=""/>
    <n v="4"/>
    <n v="6"/>
    <m/>
    <s v="C02"/>
    <s v="TATXGP"/>
    <s v="GK09"/>
    <n v="0.2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2-25T00:00:00"/>
    <s v="ZBTO"/>
    <n v="9518550377"/>
    <n v="2"/>
    <s v="9518550377-2"/>
    <s v="No Priority"/>
    <x v="0"/>
    <m/>
    <x v="3"/>
    <x v="9"/>
    <s v="2000-BPRS"/>
    <m/>
    <x v="0"/>
    <m/>
    <m/>
    <m/>
    <s v="North"/>
    <s v="LONI"/>
    <m/>
    <n v="931234"/>
    <s v="JAI LAXMI STEELS"/>
    <n v="1191955"/>
    <s v="GP COIL SOFT-TATXGP-GK09-0.3X900"/>
    <s v="Z80"/>
    <s v=""/>
    <n v="4"/>
    <n v="6"/>
    <m/>
    <s v="C02"/>
    <s v="TATXGP"/>
    <s v="GK09"/>
    <n v="0.3"/>
    <n v="900"/>
    <n v="0"/>
    <n v="147"/>
    <n v="0"/>
    <n v="147"/>
    <n v="147"/>
    <n v="147"/>
    <n v="147"/>
    <n v="0"/>
    <n v="0"/>
    <n v="0"/>
    <n v="0"/>
    <n v="0"/>
    <n v="0"/>
    <n v="0"/>
    <n v="0"/>
    <n v="0"/>
    <n v="0"/>
    <n v="0"/>
    <n v="0"/>
    <n v="0"/>
    <n v="0"/>
    <n v="0"/>
    <n v="0"/>
    <n v="0"/>
    <n v="0"/>
    <n v="0"/>
    <n v="0"/>
    <n v="0"/>
    <n v="0"/>
    <n v="0"/>
    <m/>
    <n v="0"/>
    <n v="0"/>
    <n v="0"/>
    <n v="0"/>
    <n v="0"/>
    <n v="0"/>
    <n v="0"/>
    <n v="0"/>
    <n v="0"/>
    <n v="0"/>
    <n v="0"/>
    <n v="0"/>
    <n v="0"/>
    <m/>
    <m/>
    <m/>
    <m/>
    <m/>
    <m/>
    <m/>
    <m/>
    <m/>
    <m/>
    <m/>
    <m/>
    <m/>
    <m/>
    <m/>
    <m/>
    <m/>
    <m/>
    <m/>
    <m/>
    <m/>
    <m/>
    <m/>
    <m/>
    <m/>
    <m/>
    <m/>
    <m/>
    <m/>
    <m/>
    <m/>
    <m/>
    <m/>
    <m/>
    <m/>
  </r>
  <r>
    <n v="743"/>
    <d v="2025-02-25T00:00:00"/>
    <s v="ZBTO"/>
    <n v="9518550377"/>
    <n v="3"/>
    <s v="9518550377-3"/>
    <s v="No Priority"/>
    <x v="0"/>
    <m/>
    <x v="3"/>
    <x v="9"/>
    <s v="2000-BPRS"/>
    <m/>
    <x v="0"/>
    <m/>
    <m/>
    <m/>
    <s v="North"/>
    <s v="LONI"/>
    <m/>
    <n v="931234"/>
    <s v="JAI LAXMI STEELS"/>
    <n v="1178439"/>
    <s v="GP COIL SOFT-TATXGP-GK09-0.4X900"/>
    <s v="Z80"/>
    <s v=""/>
    <n v="4"/>
    <n v="6"/>
    <m/>
    <s v="C02"/>
    <s v="TATXGP"/>
    <s v="GK09"/>
    <n v="0.4"/>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3"/>
    <d v="2025-02-20T00:00:00"/>
    <s v="ZBTO"/>
    <n v="9518534963"/>
    <n v="2"/>
    <s v="9518534963-2"/>
    <s v="No Priority"/>
    <x v="0"/>
    <m/>
    <x v="3"/>
    <x v="9"/>
    <s v="2000-BPRS"/>
    <m/>
    <x v="0"/>
    <m/>
    <m/>
    <m/>
    <s v="North"/>
    <s v="LONI"/>
    <m/>
    <n v="183259"/>
    <s v="Rakesh Steel Inds.(P) Ltd."/>
    <n v="1851054"/>
    <s v="GP COIL SOFT-TATXGP-GK09-0.2X900"/>
    <s v="Z80"/>
    <s v=""/>
    <n v="4"/>
    <n v="6"/>
    <m/>
    <s v="C02"/>
    <s v="TATXGP"/>
    <s v="GK09"/>
    <n v="0.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20T00:00:00"/>
    <s v="ZBTO"/>
    <n v="9518535035"/>
    <n v="1"/>
    <s v="9518535035-1"/>
    <s v="No Priority"/>
    <x v="0"/>
    <m/>
    <x v="3"/>
    <x v="9"/>
    <s v="2000-BPRS"/>
    <m/>
    <x v="0"/>
    <m/>
    <m/>
    <m/>
    <s v="North"/>
    <s v="ZOSOLA"/>
    <m/>
    <n v="183259"/>
    <s v="Rakesh Steel Inds.(P) Ltd."/>
    <n v="1191955"/>
    <s v="GP COIL SOFT-TATXGP-GK09-0.3X900"/>
    <s v="Z80"/>
    <s v=""/>
    <n v="4"/>
    <n v="6"/>
    <m/>
    <s v="C02"/>
    <s v="TATXGP"/>
    <s v="GK09"/>
    <n v="0.3"/>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2-17T00:00:00"/>
    <s v="ZBTO"/>
    <n v="9518527008"/>
    <n v="4"/>
    <s v="9518527008-4"/>
    <s v="No Priority"/>
    <x v="0"/>
    <m/>
    <x v="3"/>
    <x v="9"/>
    <s v="2000-BPRS"/>
    <m/>
    <x v="0"/>
    <m/>
    <m/>
    <m/>
    <s v="North"/>
    <s v="LONI"/>
    <m/>
    <n v="931234"/>
    <s v="JAI LAXMI STEELS"/>
    <n v="1854424"/>
    <s v="GP COIL SOFT-TATXGP-GK09-0.6X900"/>
    <s v="Z80"/>
    <s v=""/>
    <n v="4"/>
    <n v="6"/>
    <m/>
    <s v="C02"/>
    <s v="TATXGP"/>
    <s v="GK09"/>
    <n v="0.6"/>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704"/>
    <n v="4"/>
    <s v="9518606704-4"/>
    <s v="No Priority"/>
    <x v="0"/>
    <s v="Yes"/>
    <x v="1"/>
    <x v="11"/>
    <s v="2000-BPRS"/>
    <m/>
    <x v="0"/>
    <m/>
    <m/>
    <m/>
    <s v="South"/>
    <s v="YESHWANTHPURA"/>
    <m/>
    <n v="939268"/>
    <s v="TATA STEEL DOWNSTREAM PRODUCTS LIMI"/>
    <n v="2420514"/>
    <s v="CRCA COIL TATXXD AH03 0.800X1250"/>
    <s v=" "/>
    <s v=""/>
    <n v="10"/>
    <n v="30"/>
    <m/>
    <s v="C01"/>
    <s v="TATXXD"/>
    <s v="AH03"/>
    <n v="0.8"/>
    <n v="1250"/>
    <n v="0"/>
    <n v="58"/>
    <n v="0"/>
    <n v="58"/>
    <n v="2.5"/>
    <n v="0"/>
    <n v="4.0650000000000004"/>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1233"/>
    <n v="1"/>
    <s v="9518591233-1"/>
    <s v="No Priority"/>
    <x v="0"/>
    <s v="Yes"/>
    <x v="1"/>
    <x v="1"/>
    <s v="2000-BPRS"/>
    <m/>
    <x v="0"/>
    <m/>
    <m/>
    <m/>
    <s v="South"/>
    <s v="YESHWANTHPURA"/>
    <m/>
    <n v="932244"/>
    <s v="DURGA TRADERS"/>
    <n v="1804772"/>
    <s v="CRCA COIL TATXXD AU03 0.4X1250"/>
    <s v=" "/>
    <s v=""/>
    <n v="2"/>
    <n v="28"/>
    <m/>
    <s v="C01"/>
    <s v="TATXXD"/>
    <s v="AU03"/>
    <n v="0.4"/>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4"/>
    <d v="2025-03-22T00:00:00"/>
    <s v="ZBTO"/>
    <n v="9518624252"/>
    <n v="5"/>
    <s v="9518624252-5"/>
    <s v="May'25"/>
    <x v="0"/>
    <m/>
    <x v="2"/>
    <x v="3"/>
    <s v="1000-IPPE"/>
    <m/>
    <x v="1"/>
    <m/>
    <m/>
    <m/>
    <s v="TBSPL"/>
    <s v=" "/>
    <m/>
    <n v="941597"/>
    <s v="TATA BLUESCOPE STEEL PRIVATE LIMITE"/>
    <n v="3902332"/>
    <s v="PPGL C HARD Y550PL D0C9 0.50(TPT)X1220"/>
    <s v="AZ150"/>
    <s v="RAL 5018 TSL 1809"/>
    <n v="3"/>
    <n v="5"/>
    <m/>
    <s v="B18"/>
    <s v="Y550PL"/>
    <s v="D0C9"/>
    <n v="0.5"/>
    <n v="1220"/>
    <n v="0"/>
    <n v="84"/>
    <n v="0"/>
    <n v="84"/>
    <n v="84"/>
    <n v="84"/>
    <n v="84"/>
    <n v="0"/>
    <n v="0"/>
    <n v="0"/>
    <n v="0"/>
    <n v="0"/>
    <n v="0"/>
    <n v="0"/>
    <n v="0"/>
    <n v="0"/>
    <n v="0"/>
    <n v="0"/>
    <n v="0"/>
    <n v="0"/>
    <n v="0"/>
    <n v="0"/>
    <n v="0"/>
    <n v="0"/>
    <n v="0"/>
    <n v="0"/>
    <n v="0"/>
    <n v="0"/>
    <n v="0"/>
    <n v="0"/>
    <m/>
    <n v="0"/>
    <n v="84"/>
    <n v="0"/>
    <n v="84"/>
    <n v="0"/>
    <n v="0"/>
    <n v="0"/>
    <n v="84"/>
    <n v="0"/>
    <n v="84"/>
    <n v="0"/>
    <n v="0"/>
    <n v="0"/>
    <m/>
    <m/>
    <m/>
    <m/>
    <m/>
    <m/>
    <m/>
    <m/>
    <m/>
    <m/>
    <m/>
    <m/>
    <m/>
    <m/>
    <m/>
    <m/>
    <m/>
    <m/>
    <m/>
    <m/>
    <m/>
    <m/>
    <m/>
    <m/>
    <m/>
    <m/>
    <m/>
    <m/>
    <m/>
    <m/>
    <m/>
    <m/>
    <m/>
    <m/>
    <m/>
  </r>
  <r>
    <n v="744"/>
    <d v="2025-03-22T00:00:00"/>
    <s v="ZBTO"/>
    <n v="9518624252"/>
    <n v="20"/>
    <s v="9518624252-20"/>
    <s v="May'25"/>
    <x v="0"/>
    <m/>
    <x v="2"/>
    <x v="3"/>
    <s v="1000-IPPE"/>
    <m/>
    <x v="1"/>
    <m/>
    <m/>
    <m/>
    <s v="TBSPL"/>
    <s v=" "/>
    <m/>
    <n v="941597"/>
    <s v="TATA BLUESCOPE STEEL PRIVATE LIMITE"/>
    <n v="3902332"/>
    <s v="PPGL C HARD Y550PL D0C9 0.50(TPT)X1220"/>
    <s v="AZ150"/>
    <s v="RAL 5012 TSL 1802"/>
    <n v="3"/>
    <n v="5"/>
    <m/>
    <s v="B18"/>
    <s v="Y550PL"/>
    <s v="D0C9"/>
    <n v="0.5"/>
    <n v="122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4"/>
    <d v="2025-03-13T00:00:00"/>
    <s v="ZBTO"/>
    <n v="9518598962"/>
    <n v="1"/>
    <s v="9518598962-1"/>
    <s v="Stocks"/>
    <x v="0"/>
    <m/>
    <x v="2"/>
    <x v="3"/>
    <s v="1000-IPPE"/>
    <m/>
    <x v="1"/>
    <m/>
    <m/>
    <m/>
    <s v="TBSPL"/>
    <s v=" "/>
    <m/>
    <n v="941597"/>
    <s v="TATA BLUESCOPE STEEL PRIVATE LIMITE"/>
    <n v="3902332"/>
    <s v="PPGL C HARD Y550PL D0C9 0.50(TPT)X1220"/>
    <s v="AZ150"/>
    <s v="TAURUS BLUES TSL 1813"/>
    <n v="2"/>
    <n v="5.0999999999999996"/>
    <m/>
    <s v="B18"/>
    <s v="Y550PL"/>
    <s v="D0C9"/>
    <n v="0.5"/>
    <n v="1220"/>
    <n v="0"/>
    <n v="56"/>
    <n v="0"/>
    <n v="56"/>
    <n v="-1.51"/>
    <n v="0"/>
    <n v="30.274999999999999"/>
    <n v="0"/>
    <n v="0"/>
    <n v="0"/>
    <n v="0"/>
    <n v="15.785"/>
    <n v="0"/>
    <n v="0"/>
    <n v="0"/>
    <n v="0"/>
    <n v="0"/>
    <n v="0"/>
    <n v="0"/>
    <n v="0"/>
    <n v="0"/>
    <n v="0"/>
    <n v="0"/>
    <n v="0"/>
    <n v="0"/>
    <n v="0"/>
    <n v="15.785"/>
    <n v="15.785"/>
    <n v="0"/>
    <n v="15.785"/>
    <m/>
    <n v="17.400000000000002"/>
    <n v="30.274999999999999"/>
    <n v="0"/>
    <n v="0"/>
    <n v="30.274999999999999"/>
    <n v="0"/>
    <n v="0"/>
    <n v="0"/>
    <n v="0"/>
    <n v="0"/>
    <n v="0"/>
    <n v="0"/>
    <n v="0"/>
    <m/>
    <m/>
    <m/>
    <m/>
    <m/>
    <m/>
    <m/>
    <m/>
    <m/>
    <m/>
    <m/>
    <m/>
    <m/>
    <m/>
    <m/>
    <m/>
    <m/>
    <m/>
    <m/>
    <m/>
    <m/>
    <m/>
    <m/>
    <m/>
    <m/>
    <m/>
    <m/>
    <m/>
    <m/>
    <m/>
    <m/>
    <m/>
    <m/>
    <m/>
    <m/>
  </r>
  <r>
    <n v="744"/>
    <d v="2025-03-20T00:00:00"/>
    <s v="ZBTO"/>
    <n v="9518617046"/>
    <n v="12"/>
    <s v="9518617046-12"/>
    <s v="May'25"/>
    <x v="0"/>
    <m/>
    <x v="2"/>
    <x v="3"/>
    <s v="1000-IPPE"/>
    <m/>
    <x v="1"/>
    <m/>
    <m/>
    <m/>
    <s v="TBSPL"/>
    <s v=" "/>
    <m/>
    <n v="941597"/>
    <s v="TATA BLUESCOPE STEEL PRIVATE LIMITE"/>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3-18T00:00:00"/>
    <s v="ZBTO"/>
    <n v="9518610301"/>
    <n v="5"/>
    <s v="9518610301-5"/>
    <s v="May'25"/>
    <x v="0"/>
    <m/>
    <x v="2"/>
    <x v="3"/>
    <s v="1000-IPPE"/>
    <m/>
    <x v="1"/>
    <m/>
    <m/>
    <m/>
    <s v="TBSPL"/>
    <s v=" "/>
    <m/>
    <n v="941597"/>
    <s v="TATA BLUESCOPE STEEL PRIVATE LIMITE"/>
    <n v="3902332"/>
    <s v="PPGL C HARD Y550PL D0C9 0.50(TPT)X1220"/>
    <s v="AZ150"/>
    <s v="RAL 7015 TSL 1805"/>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2"/>
    <d v="2025-03-28T00:00:00"/>
    <s v="ZBTO"/>
    <n v="9518649334"/>
    <n v="6"/>
    <s v="9518649334-6"/>
    <s v="No Priority"/>
    <x v="0"/>
    <m/>
    <x v="0"/>
    <x v="0"/>
    <s v="2000-BPRS"/>
    <m/>
    <x v="0"/>
    <m/>
    <m/>
    <m/>
    <s v="North"/>
    <s v="FARIDABAD"/>
    <m/>
    <n v="936528"/>
    <s v="SHORI LAL KEWAL KUMAR"/>
    <n v="3211298"/>
    <s v="HR COILS-PO I09497 2.80X1250"/>
    <s v=" "/>
    <s v=""/>
    <n v="17"/>
    <n v="26"/>
    <m/>
    <n v="768"/>
    <s v="I09497"/>
    <s v="HG01"/>
    <n v="2.8"/>
    <n v="1250"/>
    <n v="0"/>
    <n v="25"/>
    <n v="0"/>
    <n v="25"/>
    <n v="25"/>
    <n v="25"/>
    <n v="0"/>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334"/>
    <n v="7"/>
    <s v="9518649334-7"/>
    <s v="May'25"/>
    <x v="0"/>
    <m/>
    <x v="0"/>
    <x v="0"/>
    <s v="2000-BPRS"/>
    <m/>
    <x v="1"/>
    <m/>
    <m/>
    <m/>
    <s v="North"/>
    <s v="FARIDABAD"/>
    <m/>
    <n v="936528"/>
    <s v="SHORI LAL KEWAL KUMAR"/>
    <n v="1422306"/>
    <s v="HR COILS-PO IS 10748 GR 1 3X1250"/>
    <s v=" "/>
    <s v=""/>
    <n v="17"/>
    <n v="26"/>
    <m/>
    <n v="768"/>
    <s v="I09497"/>
    <s v="HG01"/>
    <n v="3"/>
    <n v="1250"/>
    <n v="0"/>
    <n v="50"/>
    <n v="0"/>
    <n v="50"/>
    <n v="50"/>
    <n v="50"/>
    <n v="27.98"/>
    <n v="0"/>
    <n v="0"/>
    <n v="0"/>
    <n v="0"/>
    <n v="0"/>
    <n v="0"/>
    <n v="0"/>
    <n v="0"/>
    <n v="0"/>
    <n v="0"/>
    <n v="0"/>
    <n v="0"/>
    <n v="0"/>
    <n v="0"/>
    <n v="0"/>
    <n v="0"/>
    <n v="0"/>
    <n v="0"/>
    <n v="0"/>
    <n v="0"/>
    <n v="0"/>
    <n v="0"/>
    <n v="0"/>
    <m/>
    <n v="22.02"/>
    <n v="27.98"/>
    <n v="0"/>
    <n v="27.98"/>
    <n v="0"/>
    <n v="0"/>
    <n v="0"/>
    <n v="27.98"/>
    <n v="0"/>
    <n v="27.98"/>
    <n v="0"/>
    <n v="0"/>
    <n v="0"/>
    <m/>
    <m/>
    <m/>
    <m/>
    <m/>
    <m/>
    <m/>
    <m/>
    <m/>
    <m/>
    <m/>
    <m/>
    <m/>
    <m/>
    <m/>
    <m/>
    <m/>
    <m/>
    <m/>
    <m/>
    <m/>
    <m/>
    <m/>
    <m/>
    <m/>
    <m/>
    <m/>
    <m/>
    <m/>
    <m/>
    <m/>
    <m/>
    <m/>
    <m/>
    <m/>
  </r>
  <r>
    <n v="742"/>
    <d v="2025-03-28T00:00:00"/>
    <s v="ZBTO"/>
    <n v="9518649334"/>
    <n v="8"/>
    <s v="9518649334-8"/>
    <s v="No Priority"/>
    <x v="0"/>
    <m/>
    <x v="0"/>
    <x v="0"/>
    <s v="2000-BPRS"/>
    <m/>
    <x v="0"/>
    <m/>
    <m/>
    <m/>
    <s v="North"/>
    <s v="FARIDABAD"/>
    <m/>
    <n v="936528"/>
    <s v="SHORI LAL KEWAL KUMAR"/>
    <n v="3649329"/>
    <s v="HR COILS-PO I09497 HG01 3.50X1250"/>
    <s v=" "/>
    <s v=""/>
    <n v="17"/>
    <n v="26"/>
    <m/>
    <n v="768"/>
    <s v="I09497"/>
    <s v="HG01"/>
    <n v="3.5"/>
    <n v="1250"/>
    <n v="0"/>
    <n v="25"/>
    <n v="0"/>
    <n v="25"/>
    <n v="25"/>
    <n v="25"/>
    <n v="0"/>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334"/>
    <n v="9"/>
    <s v="9518649334-9"/>
    <s v="No Priority"/>
    <x v="0"/>
    <m/>
    <x v="0"/>
    <x v="0"/>
    <s v="2000-BPRS"/>
    <m/>
    <x v="0"/>
    <m/>
    <m/>
    <m/>
    <s v="North"/>
    <s v="FARIDABAD"/>
    <m/>
    <n v="936528"/>
    <s v="SHORI LAL KEWAL KUMAR"/>
    <n v="3187348"/>
    <s v="HR COILS-PO I09497 4X1250"/>
    <s v=" "/>
    <s v=""/>
    <n v="17"/>
    <n v="26"/>
    <m/>
    <n v="768"/>
    <s v="I09497"/>
    <s v="HG01"/>
    <n v="4"/>
    <n v="1250"/>
    <n v="0"/>
    <n v="25"/>
    <n v="0"/>
    <n v="25"/>
    <n v="25"/>
    <n v="25"/>
    <n v="3.46"/>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O"/>
    <n v="9518631220"/>
    <n v="1"/>
    <s v="9518631220-1"/>
    <s v="No Priority"/>
    <x v="0"/>
    <s v="Yes"/>
    <x v="1"/>
    <x v="1"/>
    <s v="2000-BPRS"/>
    <m/>
    <x v="0"/>
    <m/>
    <m/>
    <m/>
    <s v="South"/>
    <s v="YESHWANTHPURA"/>
    <m/>
    <n v="939268"/>
    <s v="TATA STEEL DOWNSTREAM PRODUCTS LIMI"/>
    <n v="1800890"/>
    <s v="CRCA COIL-TATXXD-AU03-0.35X1250"/>
    <s v=" "/>
    <s v=""/>
    <n v="2"/>
    <n v="30"/>
    <m/>
    <s v="C01"/>
    <s v="TATXXD"/>
    <s v="AU03"/>
    <n v="0.35"/>
    <n v="1250"/>
    <n v="0"/>
    <n v="58"/>
    <n v="38.770000000000003"/>
    <n v="19.23"/>
    <n v="19.23"/>
    <n v="19.23"/>
    <n v="19.23"/>
    <n v="0"/>
    <n v="0"/>
    <n v="0"/>
    <n v="0"/>
    <n v="0"/>
    <n v="0"/>
    <n v="0"/>
    <n v="0"/>
    <n v="0"/>
    <n v="0"/>
    <n v="0"/>
    <n v="0"/>
    <n v="0"/>
    <n v="0"/>
    <n v="0"/>
    <n v="0"/>
    <n v="0"/>
    <n v="0"/>
    <n v="0"/>
    <n v="0"/>
    <n v="0"/>
    <n v="0"/>
    <n v="0"/>
    <m/>
    <n v="0"/>
    <n v="0"/>
    <n v="0"/>
    <n v="0"/>
    <n v="0"/>
    <n v="0"/>
    <n v="0"/>
    <n v="0"/>
    <n v="0"/>
    <n v="0"/>
    <n v="0"/>
    <n v="0"/>
    <n v="0"/>
    <m/>
    <m/>
    <m/>
    <m/>
    <m/>
    <m/>
    <m/>
    <m/>
    <m/>
    <m/>
    <m/>
    <m/>
    <m/>
    <m/>
    <m/>
    <m/>
    <m/>
    <m/>
    <m/>
    <m/>
    <m/>
    <m/>
    <m/>
    <m/>
    <m/>
    <m/>
    <m/>
    <m/>
    <m/>
    <m/>
    <m/>
    <m/>
    <m/>
    <m/>
    <m/>
  </r>
  <r>
    <n v="742"/>
    <d v="2025-03-08T00:00:00"/>
    <s v="ZBTO"/>
    <n v="9518584526"/>
    <n v="1"/>
    <s v="9518584526-1"/>
    <s v="No Priority"/>
    <x v="0"/>
    <m/>
    <x v="1"/>
    <x v="12"/>
    <s v="2000-BPRS"/>
    <m/>
    <x v="0"/>
    <m/>
    <m/>
    <m/>
    <s v="South"/>
    <s v="GUMMIDIPOONDI"/>
    <m/>
    <n v="161312"/>
    <s v="GOVINDARAJA MUDALIAR SONS PVT LTD"/>
    <n v="2156439"/>
    <s v="CRCA COIL TSBSTA EL03 0.5X1250"/>
    <s v=" "/>
    <s v=""/>
    <n v="10"/>
    <n v="30"/>
    <m/>
    <s v="C01"/>
    <s v="TSBSTA"/>
    <s v="EL03"/>
    <n v="0.5"/>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513"/>
    <n v="1"/>
    <s v="9518620513-1"/>
    <s v="No Priority"/>
    <x v="0"/>
    <m/>
    <x v="1"/>
    <x v="1"/>
    <s v="2000-BPRS"/>
    <m/>
    <x v="0"/>
    <m/>
    <m/>
    <m/>
    <s v="North"/>
    <s v="SANHEWAL"/>
    <m/>
    <n v="104485"/>
    <s v="SANGEETA STEEL CORPORATION"/>
    <n v="1801456"/>
    <s v="CRCA COIL-TATXXD-AU03-0.7X1250"/>
    <s v=" "/>
    <s v=""/>
    <n v="10"/>
    <n v="30"/>
    <m/>
    <s v="C01"/>
    <s v="TATXXD"/>
    <s v="AU03"/>
    <n v="0.7"/>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3"/>
    <d v="2025-03-17T00:00:00"/>
    <s v="ZBTO"/>
    <n v="9518607479"/>
    <n v="1"/>
    <s v="9518607479-1"/>
    <s v="May'25"/>
    <x v="0"/>
    <s v="Yes"/>
    <x v="3"/>
    <x v="9"/>
    <s v="2000-BPRS"/>
    <m/>
    <x v="1"/>
    <m/>
    <m/>
    <m/>
    <s v="East"/>
    <s v=" "/>
    <m/>
    <n v="121328"/>
    <s v="R. S. BOKARO METAL (P) LTD."/>
    <n v="1191955"/>
    <s v="GP COIL SOFT-TATXGP-GK09-0.3X900"/>
    <s v="Z80"/>
    <s v=""/>
    <n v="4"/>
    <n v="12"/>
    <m/>
    <s v="C02"/>
    <s v="TATXGP"/>
    <s v="GK09"/>
    <n v="0.3"/>
    <n v="900"/>
    <n v="0"/>
    <n v="42"/>
    <n v="0"/>
    <n v="42"/>
    <n v="42"/>
    <n v="42"/>
    <n v="42"/>
    <n v="0"/>
    <n v="0"/>
    <n v="0"/>
    <n v="0"/>
    <n v="0"/>
    <n v="0"/>
    <n v="0"/>
    <n v="0"/>
    <n v="0"/>
    <n v="0"/>
    <n v="0"/>
    <n v="0"/>
    <n v="0"/>
    <n v="0"/>
    <n v="0"/>
    <n v="0"/>
    <n v="0"/>
    <n v="0"/>
    <n v="0"/>
    <n v="0"/>
    <n v="0"/>
    <n v="0"/>
    <n v="0"/>
    <m/>
    <n v="0"/>
    <n v="42"/>
    <n v="0"/>
    <n v="0"/>
    <n v="0"/>
    <n v="42"/>
    <n v="0"/>
    <n v="0"/>
    <n v="0"/>
    <n v="0"/>
    <n v="0"/>
    <n v="0"/>
    <n v="0"/>
    <m/>
    <m/>
    <m/>
    <m/>
    <m/>
    <m/>
    <m/>
    <m/>
    <m/>
    <m/>
    <m/>
    <m/>
    <m/>
    <m/>
    <m/>
    <m/>
    <m/>
    <m/>
    <m/>
    <m/>
    <m/>
    <m/>
    <m/>
    <m/>
    <m/>
    <m/>
    <m/>
    <m/>
    <m/>
    <m/>
    <m/>
    <m/>
    <m/>
    <m/>
    <m/>
  </r>
  <r>
    <n v="744"/>
    <d v="2025-02-08T00:00:00"/>
    <s v="ZBTO"/>
    <n v="9518503922"/>
    <n v="1"/>
    <s v="9518503922-1"/>
    <s v="May'25"/>
    <x v="0"/>
    <m/>
    <x v="2"/>
    <x v="3"/>
    <s v="1000-IPPE"/>
    <m/>
    <x v="1"/>
    <m/>
    <m/>
    <m/>
    <s v="TBSPL"/>
    <s v=" "/>
    <m/>
    <n v="941597"/>
    <s v="TATA BLUESCOPE STEEL PRIVATE LIMITE"/>
    <n v="3941967"/>
    <s v="PPGL C HARD Y550PL D0C9 0.60(TPT)X1220"/>
    <s v="AZ150"/>
    <s v="RAL 5012 TSL 1802"/>
    <n v="3"/>
    <n v="5"/>
    <m/>
    <s v="B18"/>
    <s v="Y550PL"/>
    <s v="D0C9"/>
    <n v="0.6"/>
    <n v="1220"/>
    <n v="0"/>
    <n v="56"/>
    <n v="0"/>
    <n v="56"/>
    <n v="56"/>
    <n v="52.454999999999998"/>
    <n v="43.43"/>
    <n v="0"/>
    <n v="0"/>
    <n v="0"/>
    <n v="0"/>
    <n v="0"/>
    <n v="0"/>
    <n v="0"/>
    <n v="0"/>
    <n v="0"/>
    <n v="0"/>
    <n v="0"/>
    <n v="0"/>
    <n v="0"/>
    <n v="0"/>
    <n v="0"/>
    <n v="0"/>
    <n v="0"/>
    <n v="0"/>
    <n v="3.5450000000000004"/>
    <n v="3.5450000000000004"/>
    <n v="3.5450000000000004"/>
    <n v="0"/>
    <n v="3.5450000000000004"/>
    <m/>
    <n v="3.5449999999999999"/>
    <n v="0"/>
    <n v="0"/>
    <n v="0"/>
    <n v="0"/>
    <n v="0"/>
    <n v="0"/>
    <n v="0"/>
    <n v="0"/>
    <n v="0"/>
    <n v="0"/>
    <n v="0"/>
    <n v="0"/>
    <m/>
    <m/>
    <m/>
    <m/>
    <m/>
    <m/>
    <m/>
    <m/>
    <m/>
    <m/>
    <m/>
    <m/>
    <m/>
    <m/>
    <m/>
    <m/>
    <m/>
    <m/>
    <m/>
    <m/>
    <m/>
    <m/>
    <m/>
    <m/>
    <m/>
    <m/>
    <m/>
    <m/>
    <m/>
    <m/>
    <m/>
    <m/>
    <m/>
    <m/>
    <m/>
  </r>
  <r>
    <n v="742"/>
    <d v="2025-03-21T00:00:00"/>
    <s v="ZBTO"/>
    <n v="9518620674"/>
    <n v="15"/>
    <s v="9518620674-15"/>
    <s v="May'25"/>
    <x v="0"/>
    <s v="Yes"/>
    <x v="1"/>
    <x v="1"/>
    <s v="2000-BPRS"/>
    <m/>
    <x v="1"/>
    <m/>
    <m/>
    <m/>
    <s v="South"/>
    <s v="CHENNAI"/>
    <m/>
    <n v="938550"/>
    <s v="BASEER AND CO"/>
    <n v="1804814"/>
    <s v="CRCA COIL TATXXD AU03 0.8X1250"/>
    <s v=" "/>
    <s v=""/>
    <n v="6"/>
    <n v="18"/>
    <m/>
    <s v="C01"/>
    <s v="TATXXD"/>
    <s v="AU03"/>
    <n v="0.8"/>
    <n v="1250"/>
    <n v="0"/>
    <n v="58"/>
    <n v="0"/>
    <n v="58"/>
    <n v="58"/>
    <n v="3.5399999999999991"/>
    <n v="58"/>
    <n v="0"/>
    <n v="0"/>
    <n v="0"/>
    <n v="0"/>
    <n v="0"/>
    <n v="0"/>
    <n v="0"/>
    <n v="0"/>
    <n v="0"/>
    <n v="0"/>
    <n v="0"/>
    <n v="0"/>
    <n v="54.46"/>
    <n v="0"/>
    <n v="0"/>
    <n v="0"/>
    <n v="0"/>
    <n v="0"/>
    <n v="0"/>
    <n v="54.46"/>
    <n v="54.46"/>
    <n v="0"/>
    <n v="54.46"/>
    <m/>
    <n v="0"/>
    <n v="58"/>
    <n v="0"/>
    <n v="58"/>
    <n v="0"/>
    <n v="0"/>
    <n v="0"/>
    <n v="58"/>
    <n v="0"/>
    <n v="58"/>
    <n v="0"/>
    <n v="0"/>
    <n v="0"/>
    <m/>
    <m/>
    <m/>
    <m/>
    <m/>
    <m/>
    <m/>
    <m/>
    <m/>
    <m/>
    <m/>
    <m/>
    <m/>
    <m/>
    <m/>
    <m/>
    <m/>
    <m/>
    <m/>
    <m/>
    <m/>
    <m/>
    <m/>
    <m/>
    <m/>
    <m/>
    <m/>
    <m/>
    <m/>
    <m/>
    <m/>
    <m/>
    <m/>
    <m/>
    <m/>
  </r>
  <r>
    <n v="742"/>
    <d v="2025-03-27T00:00:00"/>
    <s v="ZBTO"/>
    <n v="9518645033"/>
    <n v="1"/>
    <s v="9518645033-1"/>
    <s v="No Priority"/>
    <x v="0"/>
    <s v="Yes"/>
    <x v="1"/>
    <x v="1"/>
    <s v="2000-BPRS"/>
    <m/>
    <x v="0"/>
    <m/>
    <m/>
    <m/>
    <s v="South"/>
    <s v="GUMMIDIPOONDI"/>
    <m/>
    <n v="161312"/>
    <s v="GOVINDARAJA MUDALIAR SONS PVT LTD"/>
    <n v="1801456"/>
    <s v="CRCA COIL-TATXXD-AU03-0.7X1250"/>
    <s v=" "/>
    <s v=""/>
    <n v="5"/>
    <n v="29"/>
    <m/>
    <s v="C01"/>
    <s v="TATXXD"/>
    <s v="AU03"/>
    <n v="0.7"/>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27T00:00:00"/>
    <s v="ZBTO"/>
    <n v="9518645033"/>
    <n v="2"/>
    <s v="9518645033-2"/>
    <s v="May'25"/>
    <x v="0"/>
    <s v="Yes"/>
    <x v="1"/>
    <x v="1"/>
    <s v="2000-BPRS"/>
    <m/>
    <x v="1"/>
    <m/>
    <m/>
    <m/>
    <s v="South"/>
    <s v="GUMMIDIPOONDI"/>
    <m/>
    <n v="161312"/>
    <s v="GOVINDARAJA MUDALIAR SONS PVT LTD"/>
    <n v="2398456"/>
    <s v="CRCA COIL TATXXD AU03 0.800X1320"/>
    <s v=" "/>
    <s v=""/>
    <n v="5"/>
    <n v="29"/>
    <m/>
    <s v="C01"/>
    <s v="TATXXD"/>
    <s v="AU03"/>
    <n v="0.8"/>
    <n v="1320"/>
    <n v="0"/>
    <n v="30"/>
    <n v="0"/>
    <n v="30"/>
    <n v="30"/>
    <n v="1.1799999999999997"/>
    <n v="30"/>
    <n v="0"/>
    <n v="0"/>
    <n v="0"/>
    <n v="0"/>
    <n v="0"/>
    <n v="0"/>
    <n v="0"/>
    <n v="0"/>
    <n v="0"/>
    <n v="0"/>
    <n v="0"/>
    <n v="0"/>
    <n v="28.82"/>
    <n v="0"/>
    <n v="0"/>
    <n v="0"/>
    <n v="0"/>
    <n v="0"/>
    <n v="0"/>
    <n v="28.82"/>
    <n v="28.82"/>
    <n v="0"/>
    <n v="28.82"/>
    <m/>
    <n v="0"/>
    <n v="30"/>
    <n v="0"/>
    <n v="30"/>
    <n v="0"/>
    <n v="0"/>
    <n v="0"/>
    <n v="30"/>
    <n v="0"/>
    <n v="30"/>
    <n v="0"/>
    <n v="0"/>
    <n v="0"/>
    <m/>
    <m/>
    <m/>
    <m/>
    <m/>
    <m/>
    <m/>
    <m/>
    <m/>
    <m/>
    <m/>
    <m/>
    <m/>
    <m/>
    <m/>
    <m/>
    <m/>
    <m/>
    <m/>
    <m/>
    <m/>
    <m/>
    <m/>
    <m/>
    <m/>
    <m/>
    <m/>
    <m/>
    <m/>
    <m/>
    <m/>
    <m/>
    <m/>
    <m/>
    <m/>
  </r>
  <r>
    <n v="744"/>
    <d v="2025-03-29T00:00:00"/>
    <s v="ZBTO"/>
    <n v="9518651680"/>
    <n v="9"/>
    <s v="9518651680-9"/>
    <s v="May'25"/>
    <x v="0"/>
    <m/>
    <x v="2"/>
    <x v="3"/>
    <s v="1000-IPPE"/>
    <m/>
    <x v="1"/>
    <m/>
    <m/>
    <m/>
    <s v="TBSPL"/>
    <s v="GAMHARIA"/>
    <m/>
    <n v="940016"/>
    <s v="TATA BLUESCOPE STEEL PVT LTD."/>
    <n v="3879501"/>
    <s v="PPGL C Y550 ISC6 0.45BMT(0.50TPT)X1220"/>
    <s v="aZ70"/>
    <s v="PRO RED TSL 1912"/>
    <n v="3"/>
    <n v="5"/>
    <m/>
    <s v="B18"/>
    <s v="Y550PL"/>
    <s v="ISC6"/>
    <n v="0.4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4"/>
    <d v="2025-03-29T00:00:00"/>
    <s v="ZBTO"/>
    <n v="9518651680"/>
    <n v="10"/>
    <s v="9518651680-10"/>
    <s v="May'25"/>
    <x v="0"/>
    <m/>
    <x v="2"/>
    <x v="3"/>
    <s v="1000-IPPE"/>
    <m/>
    <x v="1"/>
    <m/>
    <m/>
    <m/>
    <s v="TBSPL"/>
    <s v="GAMHARIA"/>
    <m/>
    <n v="940016"/>
    <s v="TATA BLUESCOPE STEEL PVT LTD."/>
    <n v="3879501"/>
    <s v="PPGL C Y550 ISC6 0.45BMT(0.50TPT)X1220"/>
    <s v="aZ70"/>
    <s v="PRO BLUE TSL 1913"/>
    <n v="3"/>
    <n v="5"/>
    <m/>
    <s v="B18"/>
    <s v="Y550PL"/>
    <s v="ISC6"/>
    <n v="0.45"/>
    <n v="1220"/>
    <n v="0"/>
    <n v="84"/>
    <n v="5.0149999999999997"/>
    <n v="78.984999999999999"/>
    <n v="78.984999999999999"/>
    <n v="78.984999999999999"/>
    <n v="78.984999999999999"/>
    <n v="0"/>
    <n v="0"/>
    <n v="0"/>
    <n v="0"/>
    <n v="0"/>
    <n v="0"/>
    <n v="0"/>
    <n v="0"/>
    <n v="0"/>
    <n v="0"/>
    <n v="0"/>
    <n v="0"/>
    <n v="0"/>
    <n v="0"/>
    <n v="0"/>
    <n v="0"/>
    <n v="0"/>
    <n v="0"/>
    <n v="0"/>
    <n v="0"/>
    <n v="0"/>
    <n v="0"/>
    <n v="0"/>
    <m/>
    <n v="0"/>
    <n v="78.984999999999999"/>
    <n v="0"/>
    <n v="0"/>
    <n v="78.984999999999999"/>
    <n v="0"/>
    <n v="0"/>
    <n v="0"/>
    <n v="0"/>
    <n v="0"/>
    <n v="0"/>
    <n v="0"/>
    <n v="0"/>
    <m/>
    <m/>
    <m/>
    <m/>
    <m/>
    <m/>
    <m/>
    <m/>
    <m/>
    <m/>
    <m/>
    <m/>
    <m/>
    <m/>
    <m/>
    <m/>
    <m/>
    <m/>
    <m/>
    <m/>
    <m/>
    <m/>
    <m/>
    <m/>
    <m/>
    <m/>
    <m/>
    <m/>
    <m/>
    <m/>
    <m/>
    <m/>
    <m/>
    <m/>
    <m/>
  </r>
  <r>
    <n v="742"/>
    <d v="2025-03-27T00:00:00"/>
    <s v="ZBTO"/>
    <n v="9518645033"/>
    <n v="5"/>
    <s v="9518645033-5"/>
    <s v="May'25"/>
    <x v="0"/>
    <s v="Yes"/>
    <x v="1"/>
    <x v="1"/>
    <s v="2000-BPRS"/>
    <m/>
    <x v="1"/>
    <m/>
    <m/>
    <m/>
    <s v="South"/>
    <s v="GUMMIDIPOONDI"/>
    <m/>
    <n v="161312"/>
    <s v="GOVINDARAJA MUDALIAR SONS PVT LTD"/>
    <n v="2390540"/>
    <s v="CRCA COIL TATXXD AU03 1.800X1250"/>
    <s v=" "/>
    <s v=""/>
    <n v="5"/>
    <n v="29"/>
    <m/>
    <s v="C01"/>
    <s v="TATXXD"/>
    <s v="AU03"/>
    <n v="1.8"/>
    <n v="1250"/>
    <n v="0"/>
    <n v="29"/>
    <n v="0"/>
    <n v="29"/>
    <n v="29"/>
    <n v="8.1999999999999993"/>
    <n v="29"/>
    <n v="0"/>
    <n v="0"/>
    <n v="0"/>
    <n v="0"/>
    <n v="0"/>
    <n v="0"/>
    <n v="0"/>
    <n v="0"/>
    <n v="0"/>
    <n v="0"/>
    <n v="0"/>
    <n v="0"/>
    <n v="20.8"/>
    <n v="0"/>
    <n v="0"/>
    <n v="0"/>
    <n v="0"/>
    <n v="0"/>
    <n v="0"/>
    <n v="20.8"/>
    <n v="20.8"/>
    <n v="0"/>
    <n v="20.8"/>
    <m/>
    <n v="0"/>
    <n v="29"/>
    <n v="0"/>
    <n v="29"/>
    <n v="0"/>
    <n v="0"/>
    <n v="0"/>
    <n v="29"/>
    <n v="0"/>
    <n v="29"/>
    <n v="0"/>
    <n v="0"/>
    <n v="0"/>
    <m/>
    <m/>
    <m/>
    <m/>
    <m/>
    <m/>
    <m/>
    <m/>
    <m/>
    <m/>
    <m/>
    <m/>
    <m/>
    <m/>
    <m/>
    <m/>
    <m/>
    <m/>
    <m/>
    <m/>
    <m/>
    <m/>
    <m/>
    <m/>
    <m/>
    <m/>
    <m/>
    <m/>
    <m/>
    <m/>
    <m/>
    <m/>
    <m/>
    <m/>
    <m/>
  </r>
  <r>
    <n v="742"/>
    <d v="2025-03-06T00:00:00"/>
    <s v="ZBTO"/>
    <n v="9518578782"/>
    <n v="1"/>
    <s v="9518578782-1"/>
    <s v="May'25"/>
    <x v="0"/>
    <s v="Yes"/>
    <x v="1"/>
    <x v="1"/>
    <s v="2000-BPRS"/>
    <m/>
    <x v="1"/>
    <m/>
    <m/>
    <m/>
    <s v="South"/>
    <s v="PATTANCHERY"/>
    <m/>
    <n v="939422"/>
    <s v="VIJAY VENKAT STEELS PRIVATE LIMITED"/>
    <n v="185675"/>
    <s v="CRCA COIL-TATXXD-AU03-0.5X1250"/>
    <s v=" "/>
    <s v=""/>
    <n v="17"/>
    <n v="30"/>
    <m/>
    <s v="C01"/>
    <s v="TATXXD"/>
    <s v="AU03"/>
    <n v="0.5"/>
    <n v="1250"/>
    <n v="0"/>
    <n v="29"/>
    <n v="0"/>
    <n v="29"/>
    <n v="29"/>
    <n v="29"/>
    <n v="29"/>
    <n v="0"/>
    <n v="0"/>
    <n v="0"/>
    <n v="0"/>
    <n v="0"/>
    <n v="0"/>
    <n v="0"/>
    <n v="0"/>
    <n v="0"/>
    <n v="0"/>
    <n v="0"/>
    <n v="0"/>
    <n v="0"/>
    <n v="0"/>
    <n v="0"/>
    <n v="0"/>
    <n v="0"/>
    <n v="0"/>
    <n v="0"/>
    <n v="0"/>
    <n v="0"/>
    <n v="0"/>
    <n v="0"/>
    <m/>
    <n v="0"/>
    <n v="29"/>
    <n v="0"/>
    <n v="0"/>
    <n v="0"/>
    <n v="29"/>
    <n v="0"/>
    <n v="0"/>
    <n v="0"/>
    <n v="0"/>
    <n v="0"/>
    <n v="0"/>
    <n v="0"/>
    <m/>
    <m/>
    <m/>
    <m/>
    <m/>
    <m/>
    <m/>
    <m/>
    <m/>
    <m/>
    <m/>
    <m/>
    <m/>
    <m/>
    <m/>
    <m/>
    <m/>
    <m/>
    <m/>
    <m/>
    <m/>
    <m/>
    <m/>
    <m/>
    <m/>
    <m/>
    <m/>
    <m/>
    <m/>
    <m/>
    <m/>
    <m/>
    <m/>
    <m/>
    <m/>
  </r>
  <r>
    <n v="742"/>
    <d v="2025-03-10T00:00:00"/>
    <s v="ZBTO"/>
    <n v="9518588777"/>
    <n v="1"/>
    <s v="9518588777-1"/>
    <s v="No Priority"/>
    <x v="0"/>
    <m/>
    <x v="1"/>
    <x v="1"/>
    <s v="2000-BPRS"/>
    <m/>
    <x v="0"/>
    <m/>
    <m/>
    <m/>
    <s v="West"/>
    <s v="RANJANGAON"/>
    <m/>
    <n v="154641"/>
    <s v="TATA STEEL DOWNSTREAM PRODUCTS LIMI"/>
    <n v="185675"/>
    <s v="CRCA COIL-TATXXD-AU03-0.5X1250"/>
    <s v=" "/>
    <s v=""/>
    <n v="17"/>
    <n v="24"/>
    <m/>
    <s v="C01"/>
    <s v="TATXXD"/>
    <s v="AU03"/>
    <n v="0.5"/>
    <n v="1250"/>
    <n v="0"/>
    <n v="116"/>
    <n v="0"/>
    <n v="116"/>
    <n v="116"/>
    <n v="115.2"/>
    <n v="116"/>
    <n v="0"/>
    <n v="0"/>
    <n v="0"/>
    <n v="0"/>
    <n v="0"/>
    <n v="0"/>
    <n v="0"/>
    <n v="0"/>
    <n v="0"/>
    <n v="0"/>
    <n v="0"/>
    <n v="0"/>
    <n v="0"/>
    <n v="0"/>
    <n v="0.8"/>
    <n v="0"/>
    <n v="0"/>
    <n v="0"/>
    <n v="0"/>
    <n v="0.8"/>
    <n v="0.8"/>
    <n v="0"/>
    <n v="0.8"/>
    <m/>
    <n v="0"/>
    <n v="0"/>
    <n v="0"/>
    <n v="0"/>
    <n v="0"/>
    <n v="0"/>
    <n v="0"/>
    <n v="0"/>
    <n v="0"/>
    <n v="0"/>
    <n v="0"/>
    <n v="0"/>
    <n v="0"/>
    <m/>
    <m/>
    <m/>
    <m/>
    <m/>
    <m/>
    <m/>
    <m/>
    <m/>
    <m/>
    <m/>
    <m/>
    <m/>
    <m/>
    <m/>
    <m/>
    <m/>
    <m/>
    <m/>
    <m/>
    <m/>
    <m/>
    <m/>
    <m/>
    <m/>
    <m/>
    <m/>
    <m/>
    <m/>
    <m/>
    <m/>
    <m/>
    <m/>
    <m/>
    <m/>
  </r>
  <r>
    <n v="742"/>
    <d v="2025-03-25T00:00:00"/>
    <s v="ZBTO"/>
    <n v="9518631220"/>
    <n v="2"/>
    <s v="9518631220-2"/>
    <s v="No Priority"/>
    <x v="0"/>
    <m/>
    <x v="1"/>
    <x v="1"/>
    <s v="2000-BPRS"/>
    <m/>
    <x v="0"/>
    <m/>
    <m/>
    <m/>
    <s v="South"/>
    <s v="YESHWANTHPURA"/>
    <m/>
    <n v="939268"/>
    <s v="TATA STEEL DOWNSTREAM PRODUCTS LIMI"/>
    <n v="185675"/>
    <s v="CRCA COIL-TATXXD-AU03-0.5X1250"/>
    <s v=" "/>
    <s v=""/>
    <n v="2"/>
    <n v="30"/>
    <m/>
    <s v="C01"/>
    <s v="TATXXD"/>
    <s v="AU03"/>
    <n v="0.5"/>
    <n v="1250"/>
    <n v="0"/>
    <n v="87"/>
    <n v="0"/>
    <n v="87"/>
    <n v="87"/>
    <n v="87"/>
    <n v="87"/>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438"/>
    <n v="1"/>
    <s v="9518649438-1"/>
    <s v="May'25"/>
    <x v="0"/>
    <s v="Yes"/>
    <x v="1"/>
    <x v="1"/>
    <s v="2000-BPRS"/>
    <m/>
    <x v="1"/>
    <m/>
    <m/>
    <m/>
    <s v="South"/>
    <s v="CHENNAI"/>
    <m/>
    <n v="116465"/>
    <s v="SRI BALAJI STEEL TRADERS"/>
    <n v="1801804"/>
    <s v="CRCA COIL-TATXXD-AU03-1X1250"/>
    <s v=" "/>
    <s v=""/>
    <n v="6"/>
    <n v="18"/>
    <m/>
    <s v="C01"/>
    <s v="TATXXD"/>
    <s v="AU03"/>
    <n v="1"/>
    <n v="1250"/>
    <n v="0"/>
    <n v="58"/>
    <n v="0"/>
    <n v="58"/>
    <n v="58"/>
    <n v="58"/>
    <n v="58"/>
    <n v="0"/>
    <n v="0"/>
    <n v="0"/>
    <n v="0"/>
    <n v="0"/>
    <n v="0"/>
    <n v="0"/>
    <n v="0"/>
    <n v="0"/>
    <n v="0"/>
    <n v="0"/>
    <n v="0"/>
    <n v="0"/>
    <n v="0"/>
    <n v="0"/>
    <n v="0"/>
    <n v="0"/>
    <n v="0"/>
    <n v="0"/>
    <n v="0"/>
    <n v="0"/>
    <n v="0"/>
    <n v="0"/>
    <m/>
    <n v="0"/>
    <n v="58"/>
    <n v="0"/>
    <n v="0"/>
    <n v="0"/>
    <n v="58"/>
    <n v="0"/>
    <n v="0"/>
    <n v="0"/>
    <n v="0"/>
    <n v="0"/>
    <n v="0"/>
    <n v="0"/>
    <m/>
    <m/>
    <m/>
    <m/>
    <m/>
    <m/>
    <m/>
    <m/>
    <m/>
    <m/>
    <m/>
    <m/>
    <m/>
    <m/>
    <m/>
    <m/>
    <m/>
    <m/>
    <m/>
    <m/>
    <m/>
    <m/>
    <m/>
    <m/>
    <m/>
    <m/>
    <m/>
    <m/>
    <m/>
    <m/>
    <m/>
    <m/>
    <m/>
    <m/>
    <m/>
  </r>
  <r>
    <n v="742"/>
    <d v="2025-03-28T00:00:00"/>
    <s v="ZBTO"/>
    <n v="9518649334"/>
    <n v="3"/>
    <s v="9518649334-3"/>
    <s v="May'25"/>
    <x v="0"/>
    <m/>
    <x v="0"/>
    <x v="0"/>
    <s v="2000-BPRS"/>
    <m/>
    <x v="1"/>
    <m/>
    <m/>
    <m/>
    <s v="North"/>
    <s v="FARIDABAD"/>
    <m/>
    <n v="936528"/>
    <s v="SHORI LAL KEWAL KUMAR"/>
    <n v="1115279"/>
    <s v="HR COILS-PO IS 10748 GR 1 2.30X1250"/>
    <s v=" "/>
    <s v=""/>
    <n v="17"/>
    <n v="26"/>
    <m/>
    <n v="768"/>
    <s v="I09497"/>
    <s v="HG01"/>
    <n v="2.2999999999999998"/>
    <n v="1250"/>
    <n v="0"/>
    <n v="100"/>
    <n v="0"/>
    <n v="100"/>
    <n v="100"/>
    <n v="100"/>
    <n v="71.305000000000007"/>
    <n v="0"/>
    <n v="0"/>
    <n v="0"/>
    <n v="0"/>
    <n v="0"/>
    <n v="0"/>
    <n v="0"/>
    <n v="0"/>
    <n v="0"/>
    <n v="0"/>
    <n v="0"/>
    <n v="0"/>
    <n v="0"/>
    <n v="0"/>
    <n v="0"/>
    <n v="0"/>
    <n v="0"/>
    <n v="0"/>
    <n v="0"/>
    <n v="0"/>
    <n v="0"/>
    <n v="0"/>
    <n v="0"/>
    <m/>
    <n v="28.695"/>
    <n v="71.305000000000007"/>
    <n v="0"/>
    <n v="0"/>
    <n v="71.305000000000007"/>
    <n v="0"/>
    <n v="0"/>
    <n v="0"/>
    <n v="0"/>
    <n v="0"/>
    <n v="0"/>
    <n v="0"/>
    <n v="0"/>
    <m/>
    <m/>
    <m/>
    <m/>
    <m/>
    <m/>
    <m/>
    <m/>
    <m/>
    <m/>
    <m/>
    <m/>
    <m/>
    <m/>
    <m/>
    <m/>
    <m/>
    <m/>
    <m/>
    <m/>
    <m/>
    <m/>
    <m/>
    <m/>
    <m/>
    <m/>
    <m/>
    <m/>
    <m/>
    <m/>
    <m/>
    <m/>
    <m/>
    <m/>
    <m/>
  </r>
  <r>
    <n v="742"/>
    <d v="2025-03-28T00:00:00"/>
    <s v="ZBTO"/>
    <n v="9518649334"/>
    <n v="5"/>
    <s v="9518649334-5"/>
    <s v="No Priority"/>
    <x v="0"/>
    <m/>
    <x v="0"/>
    <x v="0"/>
    <s v="2000-BPRS"/>
    <m/>
    <x v="0"/>
    <m/>
    <m/>
    <m/>
    <s v="North"/>
    <s v="FARIDABAD"/>
    <m/>
    <n v="936528"/>
    <s v="SHORI LAL KEWAL KUMAR"/>
    <n v="1179967"/>
    <s v="HR COILS-PO IS 10748 GR 1 2.50X1250"/>
    <s v=" "/>
    <s v=""/>
    <n v="17"/>
    <n v="26"/>
    <m/>
    <n v="768"/>
    <s v="I09497"/>
    <s v="HG01"/>
    <n v="2.5"/>
    <n v="1250"/>
    <n v="0"/>
    <n v="25"/>
    <n v="0"/>
    <n v="25"/>
    <n v="25"/>
    <n v="25"/>
    <n v="0"/>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159"/>
    <n v="2"/>
    <s v="9518620159-2"/>
    <s v="May'25"/>
    <x v="0"/>
    <s v="Yes"/>
    <x v="1"/>
    <x v="1"/>
    <s v="2000-BPRS"/>
    <m/>
    <x v="1"/>
    <m/>
    <m/>
    <m/>
    <s v="East"/>
    <s v="URLA"/>
    <m/>
    <n v="931662"/>
    <s v="PRESTIGE METALLICS PRIVATE LIMITED"/>
    <n v="463611"/>
    <s v="CRCA SHEET TATCRC TR15 .95X1250X2500"/>
    <s v=" "/>
    <s v=""/>
    <n v="0"/>
    <n v="0"/>
    <m/>
    <s v="C06"/>
    <s v="TATCRC"/>
    <s v="TR15"/>
    <n v="0.95"/>
    <n v="1250"/>
    <n v="2500"/>
    <n v="30"/>
    <n v="0"/>
    <n v="30"/>
    <n v="30"/>
    <n v="30"/>
    <n v="30"/>
    <n v="0"/>
    <n v="0"/>
    <n v="0"/>
    <n v="0"/>
    <n v="0"/>
    <n v="0"/>
    <n v="0"/>
    <n v="0"/>
    <n v="0"/>
    <n v="0"/>
    <n v="0"/>
    <n v="0"/>
    <n v="0"/>
    <n v="0"/>
    <n v="0"/>
    <n v="0"/>
    <n v="0"/>
    <n v="0"/>
    <n v="0"/>
    <n v="0"/>
    <n v="0"/>
    <n v="0"/>
    <n v="0"/>
    <m/>
    <n v="0"/>
    <n v="30"/>
    <n v="0"/>
    <n v="0"/>
    <n v="0"/>
    <n v="30"/>
    <n v="0"/>
    <n v="0"/>
    <n v="0"/>
    <n v="0"/>
    <n v="0"/>
    <n v="0"/>
    <n v="0"/>
    <m/>
    <m/>
    <m/>
    <m/>
    <m/>
    <m/>
    <m/>
    <m/>
    <m/>
    <m/>
    <m/>
    <m/>
    <m/>
    <m/>
    <m/>
    <m/>
    <m/>
    <m/>
    <m/>
    <m/>
    <m/>
    <m/>
    <m/>
    <m/>
    <m/>
    <m/>
    <m/>
    <m/>
    <m/>
    <m/>
    <m/>
    <m/>
    <m/>
    <m/>
    <m/>
  </r>
  <r>
    <n v="742"/>
    <d v="2025-04-03T00:00:00"/>
    <s v="ZBTO"/>
    <n v="9518667687"/>
    <n v="2"/>
    <s v="9518667687-2"/>
    <s v="No Priority"/>
    <x v="0"/>
    <s v="Yes"/>
    <x v="1"/>
    <x v="1"/>
    <s v="2000-BPRS"/>
    <m/>
    <x v="0"/>
    <m/>
    <s v="De-prioritized due to Apr CF orders"/>
    <m/>
    <s v="South"/>
    <s v="YESHWANTHPURA"/>
    <m/>
    <n v="932244"/>
    <s v="DURGA TRADERS"/>
    <n v="1804854"/>
    <s v="CRCA COIL-TATXXD-AU03-1.2X1250"/>
    <s v=" "/>
    <s v=""/>
    <n v="10"/>
    <n v="28"/>
    <m/>
    <s v="C01"/>
    <s v="TATXXD"/>
    <s v="AU03"/>
    <n v="1.2"/>
    <n v="1250"/>
    <n v="0"/>
    <n v="145"/>
    <n v="0"/>
    <n v="145"/>
    <n v="145"/>
    <n v="145"/>
    <n v="145"/>
    <n v="0"/>
    <n v="0"/>
    <n v="0"/>
    <n v="0"/>
    <n v="0"/>
    <n v="0"/>
    <n v="0"/>
    <n v="0"/>
    <n v="0"/>
    <n v="0"/>
    <n v="0"/>
    <n v="0"/>
    <n v="0"/>
    <n v="0"/>
    <n v="0"/>
    <n v="0"/>
    <n v="0"/>
    <n v="0"/>
    <n v="0"/>
    <n v="0"/>
    <n v="0"/>
    <n v="0"/>
    <n v="0"/>
    <m/>
    <n v="0"/>
    <n v="0"/>
    <n v="0"/>
    <n v="0"/>
    <n v="0"/>
    <n v="0"/>
    <n v="0"/>
    <n v="0"/>
    <n v="0"/>
    <n v="0"/>
    <n v="0"/>
    <n v="0"/>
    <n v="0"/>
    <m/>
    <m/>
    <m/>
    <m/>
    <m/>
    <m/>
    <m/>
    <m/>
    <m/>
    <m/>
    <m/>
    <m/>
    <m/>
    <m/>
    <m/>
    <m/>
    <m/>
    <m/>
    <m/>
    <m/>
    <m/>
    <m/>
    <m/>
    <m/>
    <m/>
    <m/>
    <m/>
    <m/>
    <m/>
    <m/>
    <m/>
    <m/>
    <m/>
    <m/>
    <m/>
  </r>
  <r>
    <n v="743"/>
    <d v="2025-04-14T00:00:00"/>
    <s v="ZBTO"/>
    <n v="9518692220"/>
    <n v="5"/>
    <s v="9518692220-5"/>
    <s v="No Priority"/>
    <x v="0"/>
    <m/>
    <x v="3"/>
    <x v="9"/>
    <s v="2000-BPRS"/>
    <m/>
    <x v="0"/>
    <m/>
    <m/>
    <m/>
    <s v="East"/>
    <s v=" "/>
    <m/>
    <n v="121328"/>
    <s v="R. S. BOKARO METAL (P) LTD."/>
    <n v="1191956"/>
    <s v="GP COIL SOFT-TATXGP-GK09-0.35X900"/>
    <s v="Z80"/>
    <s v=""/>
    <n v="4"/>
    <n v="12"/>
    <m/>
    <s v="C02"/>
    <s v="TATXGP"/>
    <s v="GK09"/>
    <n v="0.35"/>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3"/>
    <d v="2025-03-21T00:00:00"/>
    <s v="ZBTO"/>
    <n v="9518620960"/>
    <n v="3"/>
    <s v="9518620960-3"/>
    <s v="No Priority"/>
    <x v="0"/>
    <m/>
    <x v="3"/>
    <x v="0"/>
    <s v="2000-BPRS"/>
    <m/>
    <x v="0"/>
    <m/>
    <m/>
    <m/>
    <s v="East"/>
    <s v="TATANAGAR"/>
    <m/>
    <n v="165053"/>
    <s v="SUDISA ENTERPRISES (P) LTD."/>
    <n v="2439967"/>
    <s v="GP COIL SOFT TATXGP GLR1 0.400X1220"/>
    <s v="Z80"/>
    <s v=""/>
    <n v="4"/>
    <n v="12"/>
    <m/>
    <s v="C02"/>
    <s v="TATXGP"/>
    <s v="GLR1"/>
    <n v="0.4"/>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31"/>
    <n v="3"/>
    <s v="9518703431-3"/>
    <s v="Stocks"/>
    <x v="0"/>
    <m/>
    <x v="1"/>
    <x v="10"/>
    <s v="1000-IPPE"/>
    <m/>
    <x v="1"/>
    <m/>
    <m/>
    <m/>
    <s v="North"/>
    <s v="FARIDABAD"/>
    <m/>
    <n v="189430"/>
    <s v="Balmer Lawrie &amp; Co. Ltd.,"/>
    <n v="2170008"/>
    <s v="CRCA COIL TATXXD BT01 0.970X1220"/>
    <s v=" "/>
    <s v=""/>
    <n v="7"/>
    <n v="12"/>
    <m/>
    <s v="C01"/>
    <s v="TATXXD"/>
    <s v="BT01"/>
    <n v="0.97"/>
    <n v="1220"/>
    <n v="0"/>
    <n v="168"/>
    <n v="0"/>
    <n v="168"/>
    <n v="168"/>
    <n v="168"/>
    <n v="50.13"/>
    <n v="0"/>
    <n v="0"/>
    <n v="0"/>
    <n v="0"/>
    <n v="0"/>
    <n v="0"/>
    <n v="0"/>
    <n v="0"/>
    <n v="0"/>
    <n v="0"/>
    <n v="0"/>
    <n v="0"/>
    <n v="0"/>
    <n v="0"/>
    <n v="0"/>
    <n v="0"/>
    <n v="0"/>
    <n v="0"/>
    <n v="0"/>
    <n v="0"/>
    <n v="0"/>
    <n v="0"/>
    <n v="0"/>
    <m/>
    <n v="15.775"/>
    <n v="0"/>
    <n v="0"/>
    <n v="0"/>
    <n v="0"/>
    <n v="0"/>
    <n v="0"/>
    <n v="0"/>
    <n v="0"/>
    <n v="0"/>
    <n v="0"/>
    <n v="0"/>
    <n v="0"/>
    <m/>
    <m/>
    <m/>
    <m/>
    <m/>
    <m/>
    <m/>
    <m/>
    <m/>
    <m/>
    <m/>
    <m/>
    <m/>
    <m/>
    <m/>
    <m/>
    <m/>
    <m/>
    <m/>
    <m/>
    <m/>
    <m/>
    <m/>
    <m/>
    <m/>
    <m/>
    <m/>
    <m/>
    <m/>
    <m/>
    <m/>
    <m/>
    <m/>
    <m/>
    <m/>
  </r>
  <r>
    <n v="742"/>
    <d v="2025-04-02T00:00:00"/>
    <s v="ZBTO"/>
    <n v="9518664768"/>
    <n v="1"/>
    <s v="9518664768-1"/>
    <s v="May'25"/>
    <x v="0"/>
    <s v="Yes"/>
    <x v="1"/>
    <x v="2"/>
    <s v="2000-BPRS"/>
    <m/>
    <x v="1"/>
    <m/>
    <m/>
    <m/>
    <s v="East"/>
    <s v="GUWAHATI"/>
    <m/>
    <n v="116649"/>
    <s v="SAGAR STEELS"/>
    <n v="3658709"/>
    <s v="CR COIL TSBCRC SR25 1X1250"/>
    <s v=" "/>
    <s v=""/>
    <n v="4"/>
    <n v="28"/>
    <m/>
    <s v="C01"/>
    <s v="TSBCRC"/>
    <s v="SR25"/>
    <n v="1"/>
    <n v="1250"/>
    <n v="0"/>
    <n v="29"/>
    <n v="0"/>
    <n v="29"/>
    <n v="29"/>
    <n v="1.4299999999999997"/>
    <n v="29"/>
    <n v="0"/>
    <n v="0"/>
    <n v="0"/>
    <n v="0"/>
    <n v="0"/>
    <n v="0"/>
    <n v="0"/>
    <n v="0"/>
    <n v="0"/>
    <n v="0"/>
    <n v="0"/>
    <n v="0"/>
    <n v="0"/>
    <n v="27.57"/>
    <n v="0"/>
    <n v="0"/>
    <n v="0"/>
    <n v="0"/>
    <n v="0"/>
    <n v="27.57"/>
    <n v="27.57"/>
    <n v="0"/>
    <n v="27.57"/>
    <m/>
    <n v="0"/>
    <n v="29"/>
    <n v="0"/>
    <n v="29"/>
    <n v="0"/>
    <n v="0"/>
    <n v="0"/>
    <n v="29"/>
    <n v="0"/>
    <n v="29"/>
    <n v="0"/>
    <n v="0"/>
    <n v="0"/>
    <m/>
    <m/>
    <m/>
    <m/>
    <m/>
    <m/>
    <m/>
    <m/>
    <m/>
    <m/>
    <m/>
    <m/>
    <m/>
    <m/>
    <m/>
    <m/>
    <m/>
    <m/>
    <m/>
    <m/>
    <m/>
    <m/>
    <m/>
    <m/>
    <m/>
    <m/>
    <m/>
    <m/>
    <m/>
    <m/>
    <m/>
    <m/>
    <m/>
    <m/>
    <m/>
  </r>
  <r>
    <n v="743"/>
    <d v="2025-04-11T00:00:00"/>
    <s v="ZBTO"/>
    <n v="9518683949"/>
    <n v="6"/>
    <s v="9518683949-6"/>
    <s v="May'25"/>
    <x v="0"/>
    <m/>
    <x v="3"/>
    <x v="9"/>
    <s v="2000-BPRS"/>
    <m/>
    <x v="0"/>
    <m/>
    <m/>
    <m/>
    <s v="East"/>
    <s v="WEST BENGAL"/>
    <m/>
    <n v="100922"/>
    <s v="BUBNA COMMERCIAL COMPANY"/>
    <n v="1353179"/>
    <s v="GP COIL TATXGP GK09 0.500X900"/>
    <s v="Z80"/>
    <s v=""/>
    <n v="5"/>
    <n v="15"/>
    <m/>
    <s v="C02"/>
    <s v="TATXGP"/>
    <s v="GK09"/>
    <n v="0.5"/>
    <n v="90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295"/>
    <n v="3"/>
    <s v="9518703295-3"/>
    <s v="No Priority"/>
    <x v="0"/>
    <m/>
    <x v="1"/>
    <x v="10"/>
    <s v="1000-IPPE"/>
    <m/>
    <x v="0"/>
    <m/>
    <m/>
    <m/>
    <s v="West"/>
    <s v="VADODARA"/>
    <m/>
    <n v="189022"/>
    <s v="Balmer Lawrie And Company Limited"/>
    <n v="2164814"/>
    <s v="CRCA COIL TATXXD BT01 0.970X1315"/>
    <s v=" "/>
    <s v=""/>
    <n v="7"/>
    <n v="10"/>
    <m/>
    <s v="C01"/>
    <s v="TATXXD"/>
    <s v="BT01"/>
    <n v="0.97"/>
    <n v="1315"/>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4"/>
    <d v="2025-04-08T00:00:00"/>
    <s v="ZBTO"/>
    <n v="9518676905"/>
    <n v="6"/>
    <s v="9518676905-6"/>
    <s v="May'25"/>
    <x v="0"/>
    <m/>
    <x v="2"/>
    <x v="3"/>
    <s v="1000-IPPE"/>
    <m/>
    <x v="1"/>
    <m/>
    <m/>
    <m/>
    <s v="TBSPL"/>
    <s v=" "/>
    <m/>
    <n v="941597"/>
    <s v="TATA BLUESCOPE STEEL PRIVATE LIMITE"/>
    <n v="3902332"/>
    <s v="PPGL C HARD Y550PL D0C9 0.50(TPT)X1220"/>
    <s v="AZ150"/>
    <s v="RAL 7024 TSL 1806"/>
    <n v="3"/>
    <n v="5"/>
    <m/>
    <s v="B18"/>
    <s v="Y550PL"/>
    <s v="D0C9"/>
    <n v="0.5"/>
    <n v="1220"/>
    <n v="0"/>
    <n v="56"/>
    <n v="0"/>
    <n v="56"/>
    <n v="56"/>
    <n v="56"/>
    <n v="56"/>
    <n v="0"/>
    <n v="0"/>
    <n v="0"/>
    <n v="0"/>
    <n v="0"/>
    <n v="0"/>
    <n v="0"/>
    <n v="0"/>
    <n v="0"/>
    <n v="0"/>
    <n v="0"/>
    <n v="0"/>
    <n v="0"/>
    <n v="0"/>
    <n v="0"/>
    <n v="0"/>
    <n v="0"/>
    <n v="0"/>
    <n v="0"/>
    <n v="0"/>
    <n v="0"/>
    <n v="0"/>
    <n v="0"/>
    <m/>
    <n v="0"/>
    <n v="56"/>
    <n v="0"/>
    <n v="0"/>
    <n v="0"/>
    <n v="56"/>
    <n v="0"/>
    <n v="0"/>
    <n v="0"/>
    <n v="0"/>
    <n v="0"/>
    <n v="0"/>
    <n v="0"/>
    <m/>
    <m/>
    <m/>
    <m/>
    <m/>
    <m/>
    <m/>
    <m/>
    <m/>
    <m/>
    <m/>
    <m/>
    <m/>
    <m/>
    <m/>
    <m/>
    <m/>
    <m/>
    <m/>
    <m/>
    <m/>
    <m/>
    <m/>
    <m/>
    <m/>
    <m/>
    <m/>
    <m/>
    <m/>
    <m/>
    <m/>
    <m/>
    <m/>
    <m/>
    <m/>
  </r>
  <r>
    <n v="744"/>
    <d v="2025-04-08T00:00:00"/>
    <s v="ZBTO"/>
    <n v="9518676905"/>
    <n v="8"/>
    <s v="9518676905-8"/>
    <s v="May'25"/>
    <x v="0"/>
    <m/>
    <x v="2"/>
    <x v="3"/>
    <s v="1000-IPPE"/>
    <m/>
    <x v="1"/>
    <m/>
    <m/>
    <m/>
    <s v="TBSPL"/>
    <s v=" "/>
    <m/>
    <n v="941597"/>
    <s v="TATA BLUESCOPE STEEL PRIVATE LIMITE"/>
    <n v="3902332"/>
    <s v="PPGL C HARD Y550PL D0C9 0.50(TPT)X1220"/>
    <s v="AZ150"/>
    <s v="TAURUS BLUE TSL 1813"/>
    <n v="3"/>
    <n v="5"/>
    <m/>
    <s v="B18"/>
    <s v="Y550PL"/>
    <s v="D0C9"/>
    <n v="0.5"/>
    <n v="1220"/>
    <n v="0"/>
    <n v="84"/>
    <n v="0"/>
    <n v="84"/>
    <n v="84"/>
    <n v="84"/>
    <n v="84"/>
    <n v="0"/>
    <n v="0"/>
    <n v="0"/>
    <n v="0"/>
    <n v="0"/>
    <n v="0"/>
    <n v="0"/>
    <n v="0"/>
    <n v="0"/>
    <n v="0"/>
    <n v="0"/>
    <n v="0"/>
    <n v="0"/>
    <n v="0"/>
    <n v="0"/>
    <n v="0"/>
    <n v="0"/>
    <n v="0"/>
    <n v="0"/>
    <n v="0"/>
    <n v="0"/>
    <n v="0"/>
    <n v="0"/>
    <m/>
    <n v="0"/>
    <n v="84"/>
    <n v="0"/>
    <n v="0"/>
    <n v="0"/>
    <n v="84"/>
    <n v="0"/>
    <n v="0"/>
    <n v="0"/>
    <n v="0"/>
    <n v="0"/>
    <n v="0"/>
    <n v="0"/>
    <m/>
    <m/>
    <m/>
    <m/>
    <m/>
    <m/>
    <m/>
    <m/>
    <m/>
    <m/>
    <m/>
    <m/>
    <m/>
    <m/>
    <m/>
    <m/>
    <m/>
    <m/>
    <m/>
    <m/>
    <m/>
    <m/>
    <m/>
    <m/>
    <m/>
    <m/>
    <m/>
    <m/>
    <m/>
    <m/>
    <m/>
    <m/>
    <m/>
    <m/>
    <m/>
  </r>
  <r>
    <n v="744"/>
    <d v="2025-04-08T00:00:00"/>
    <s v="ZBTO"/>
    <n v="9518676905"/>
    <n v="9"/>
    <s v="9518676905-9"/>
    <s v="May'25"/>
    <x v="0"/>
    <m/>
    <x v="2"/>
    <x v="3"/>
    <s v="1000-IPPE"/>
    <m/>
    <x v="1"/>
    <m/>
    <m/>
    <m/>
    <s v="TBSPL"/>
    <s v=" "/>
    <m/>
    <n v="941597"/>
    <s v="TATA BLUESCOPE STEEL PRIVATE LIMITE"/>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2"/>
    <d v="2025-04-08T00:00:00"/>
    <s v="ZBTO"/>
    <n v="9518675830"/>
    <n v="1"/>
    <s v="9518675830-1"/>
    <s v="No Priority"/>
    <x v="0"/>
    <s v="Yes"/>
    <x v="1"/>
    <x v="1"/>
    <s v="2000-BPRS"/>
    <m/>
    <x v="0"/>
    <m/>
    <m/>
    <m/>
    <s v="South"/>
    <s v="YESHWANTHPURA"/>
    <m/>
    <n v="932244"/>
    <s v="DURGA TRADERS"/>
    <n v="2334995"/>
    <s v="CRCA COIL TATXXD AU03 1.500X1250"/>
    <s v=" "/>
    <s v=""/>
    <n v="12"/>
    <n v="26"/>
    <m/>
    <s v="C01"/>
    <s v="TATXXD"/>
    <s v="AU03"/>
    <n v="1.5"/>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9"/>
    <s v="9518665177-9"/>
    <s v="No Priority"/>
    <x v="0"/>
    <s v="Yes"/>
    <x v="1"/>
    <x v="1"/>
    <s v="2000-BPRS"/>
    <m/>
    <x v="0"/>
    <m/>
    <m/>
    <m/>
    <s v="South"/>
    <s v="COCHIN HARBOUR "/>
    <m/>
    <n v="116650"/>
    <s v="KUMMENCHERY STEELS"/>
    <n v="1804854"/>
    <s v="CRCA COIL-TATXXD-AU03-1.2X1250"/>
    <s v=" "/>
    <s v=""/>
    <n v="6"/>
    <n v="18"/>
    <m/>
    <s v="C01"/>
    <s v="TATXXD"/>
    <s v="AU03"/>
    <n v="1.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F"/>
    <n v="9518632148"/>
    <n v="2"/>
    <s v="9518632148-2"/>
    <s v="Stocks"/>
    <x v="0"/>
    <m/>
    <x v="1"/>
    <x v="7"/>
    <s v="1000-IPPE"/>
    <m/>
    <x v="1"/>
    <m/>
    <s v="Exp BTF &lt;17MT"/>
    <m/>
    <s v="South"/>
    <s v="THIRUVALLUR"/>
    <m/>
    <n v="600250"/>
    <s v="TATA CENTER"/>
    <n v="3704262"/>
    <s v="CR COIL TSBSTA EL03 1X1250"/>
    <s v=" "/>
    <s v=""/>
    <n v="8"/>
    <n v="11"/>
    <m/>
    <s v="C01"/>
    <s v="TSBSTA"/>
    <s v="EL03"/>
    <n v="1"/>
    <n v="1250"/>
    <n v="0"/>
    <n v="87"/>
    <n v="0"/>
    <n v="87"/>
    <n v="4.09"/>
    <n v="87"/>
    <n v="9.5050000000000008"/>
    <n v="0"/>
    <n v="0"/>
    <n v="0"/>
    <n v="0"/>
    <n v="0"/>
    <n v="0"/>
    <n v="0"/>
    <n v="0"/>
    <n v="0"/>
    <n v="0"/>
    <n v="0"/>
    <n v="0"/>
    <n v="0"/>
    <n v="0"/>
    <n v="0"/>
    <n v="0"/>
    <n v="0"/>
    <n v="0"/>
    <n v="0"/>
    <n v="0"/>
    <n v="0"/>
    <n v="0"/>
    <n v="0"/>
    <m/>
    <n v="26.435000000000002"/>
    <n v="0"/>
    <n v="0"/>
    <n v="0"/>
    <n v="0"/>
    <n v="0"/>
    <n v="0"/>
    <n v="0"/>
    <n v="0"/>
    <n v="0"/>
    <n v="0"/>
    <n v="0"/>
    <n v="0"/>
    <m/>
    <m/>
    <m/>
    <m/>
    <m/>
    <m/>
    <m/>
    <m/>
    <m/>
    <m/>
    <m/>
    <m/>
    <m/>
    <m/>
    <m/>
    <m/>
    <m/>
    <m/>
    <m/>
    <m/>
    <m/>
    <m/>
    <m/>
    <m/>
    <m/>
    <m/>
    <m/>
    <m/>
    <m/>
    <m/>
    <m/>
    <m/>
    <m/>
    <m/>
    <m/>
  </r>
  <r>
    <n v="743"/>
    <d v="2025-04-04T00:00:00"/>
    <s v="ZBTO"/>
    <n v="9518668950"/>
    <n v="1"/>
    <s v="9518668950-1"/>
    <s v="No Priority"/>
    <x v="0"/>
    <m/>
    <x v="3"/>
    <x v="9"/>
    <s v="2000-BPRS"/>
    <m/>
    <x v="0"/>
    <m/>
    <m/>
    <m/>
    <s v="North"/>
    <s v="JAIPUR"/>
    <m/>
    <n v="117583"/>
    <s v="BIHANI ENTERPRISES"/>
    <n v="1191955"/>
    <s v="GP COIL SOFT-TATXGP-GK09-0.3X900"/>
    <s v="Z80"/>
    <s v=""/>
    <n v="5"/>
    <n v="7"/>
    <m/>
    <s v="C02"/>
    <s v="TATXGP"/>
    <s v="GK09"/>
    <n v="0.3"/>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2"/>
    <s v="9518668950-2"/>
    <s v="No Priority"/>
    <x v="0"/>
    <m/>
    <x v="3"/>
    <x v="9"/>
    <s v="2000-BPRS"/>
    <m/>
    <x v="0"/>
    <m/>
    <m/>
    <m/>
    <s v="North"/>
    <s v="JAIPUR"/>
    <m/>
    <n v="117583"/>
    <s v="BIHANI ENTERPRISES"/>
    <n v="1191956"/>
    <s v="GP COIL SOFT-TATXGP-GK09-0.35X900"/>
    <s v="Z80"/>
    <s v=""/>
    <n v="5"/>
    <n v="7"/>
    <m/>
    <s v="C02"/>
    <s v="TATXGP"/>
    <s v="GK09"/>
    <n v="0.35"/>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3"/>
    <s v="9518668950-3"/>
    <s v="No Priority"/>
    <x v="0"/>
    <m/>
    <x v="3"/>
    <x v="9"/>
    <s v="2000-BPRS"/>
    <m/>
    <x v="0"/>
    <m/>
    <m/>
    <m/>
    <s v="North"/>
    <s v="JAIPUR"/>
    <m/>
    <n v="117583"/>
    <s v="BIHANI ENTERPRISES"/>
    <n v="1178439"/>
    <s v="GP COIL SOFT-TATXGP-GK09-0.4X900"/>
    <s v="Z80"/>
    <s v=""/>
    <n v="5"/>
    <n v="7"/>
    <m/>
    <s v="C02"/>
    <s v="TATXGP"/>
    <s v="GK09"/>
    <n v="0.4"/>
    <n v="90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4"/>
    <s v="9518668950-4"/>
    <s v="No Priority"/>
    <x v="0"/>
    <m/>
    <x v="3"/>
    <x v="9"/>
    <s v="2000-BPRS"/>
    <m/>
    <x v="0"/>
    <m/>
    <m/>
    <m/>
    <s v="North"/>
    <s v="JAIPUR"/>
    <m/>
    <n v="117583"/>
    <s v="BIHANI ENTERPRISES"/>
    <n v="1854413"/>
    <s v="GP COIL SOFT-TATXGP-GK09-0.45X900"/>
    <s v="Z80"/>
    <s v=""/>
    <n v="5"/>
    <n v="7"/>
    <m/>
    <s v="C02"/>
    <s v="TATXGP"/>
    <s v="GK09"/>
    <n v="0.4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5"/>
    <s v="9518668950-5"/>
    <s v="No Priority"/>
    <x v="0"/>
    <m/>
    <x v="3"/>
    <x v="9"/>
    <s v="2000-BPRS"/>
    <m/>
    <x v="0"/>
    <m/>
    <m/>
    <m/>
    <s v="North"/>
    <s v="JAIPUR"/>
    <m/>
    <n v="117583"/>
    <s v="BIHANI ENTERPRISES"/>
    <n v="1854418"/>
    <s v="GP COIL SOFT-TATXGP-GK09-0.5X900"/>
    <s v="Z80"/>
    <s v=""/>
    <n v="5"/>
    <n v="7"/>
    <m/>
    <s v="C02"/>
    <s v="TATXGP"/>
    <s v="GK09"/>
    <n v="0.5"/>
    <n v="90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6"/>
    <s v="9518668950-6"/>
    <s v="No Priority"/>
    <x v="0"/>
    <m/>
    <x v="3"/>
    <x v="9"/>
    <s v="2000-BPRS"/>
    <m/>
    <x v="0"/>
    <m/>
    <m/>
    <m/>
    <s v="North"/>
    <s v="JAIPUR"/>
    <m/>
    <n v="117583"/>
    <s v="BIHANI ENTERPRISES"/>
    <n v="1854424"/>
    <s v="GP COIL SOFT-TATXGP-GK09-0.6X900"/>
    <s v="Z80"/>
    <s v=""/>
    <n v="5"/>
    <n v="7"/>
    <m/>
    <s v="C02"/>
    <s v="TATXGP"/>
    <s v="GK09"/>
    <n v="0.6"/>
    <n v="90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7"/>
    <s v="9518668950-7"/>
    <s v="No Priority"/>
    <x v="0"/>
    <m/>
    <x v="3"/>
    <x v="9"/>
    <s v="2000-BPRS"/>
    <m/>
    <x v="0"/>
    <m/>
    <m/>
    <m/>
    <s v="North"/>
    <s v="JAIPUR"/>
    <m/>
    <n v="117583"/>
    <s v="BIHANI ENTERPRISES"/>
    <n v="1326486"/>
    <s v="GP COIL SOFT-TATXGP-GK09-0.3X1000"/>
    <s v="Z80"/>
    <s v=""/>
    <n v="5"/>
    <n v="7"/>
    <m/>
    <s v="C02"/>
    <s v="TATXGP"/>
    <s v="GK09"/>
    <n v="0.3"/>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8"/>
    <s v="9518668950-8"/>
    <s v="No Priority"/>
    <x v="0"/>
    <m/>
    <x v="3"/>
    <x v="9"/>
    <s v="2000-BPRS"/>
    <m/>
    <x v="0"/>
    <m/>
    <m/>
    <m/>
    <s v="North"/>
    <s v="JAIPUR"/>
    <m/>
    <n v="117583"/>
    <s v="BIHANI ENTERPRISES"/>
    <n v="1326487"/>
    <s v="GP COIL SOFT-TATXGP-GK09-0.35X1000"/>
    <s v="Z80"/>
    <s v=""/>
    <n v="5"/>
    <n v="7"/>
    <m/>
    <s v="C02"/>
    <s v="TATXGP"/>
    <s v="GK09"/>
    <n v="0.3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9"/>
    <s v="9518668950-9"/>
    <s v="No Priority"/>
    <x v="0"/>
    <m/>
    <x v="3"/>
    <x v="9"/>
    <s v="2000-BPRS"/>
    <m/>
    <x v="0"/>
    <m/>
    <m/>
    <m/>
    <s v="North"/>
    <s v="JAIPUR"/>
    <m/>
    <n v="117583"/>
    <s v="BIHANI ENTERPRISES"/>
    <n v="1178444"/>
    <s v="GP COIL SOFT-TATXGP-GK09-0.4X1000"/>
    <s v="Z80"/>
    <s v=""/>
    <n v="5"/>
    <n v="7"/>
    <m/>
    <s v="C02"/>
    <s v="TATXGP"/>
    <s v="GK09"/>
    <n v="0.4"/>
    <n v="1000"/>
    <n v="0"/>
    <n v="69"/>
    <n v="0"/>
    <n v="69"/>
    <n v="69"/>
    <n v="69"/>
    <n v="69"/>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10"/>
    <s v="9518668950-10"/>
    <s v="No Priority"/>
    <x v="0"/>
    <m/>
    <x v="3"/>
    <x v="9"/>
    <s v="2000-BPRS"/>
    <m/>
    <x v="0"/>
    <m/>
    <m/>
    <m/>
    <s v="North"/>
    <s v="JAIPUR"/>
    <m/>
    <n v="117583"/>
    <s v="BIHANI ENTERPRISES"/>
    <n v="1854414"/>
    <s v="GP COIL SOFT-TATXGP-GK09-0.45X1000"/>
    <s v="Z80"/>
    <s v=""/>
    <n v="5"/>
    <n v="7"/>
    <m/>
    <s v="C02"/>
    <s v="TATXGP"/>
    <s v="GK09"/>
    <n v="0.4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11"/>
    <s v="9518668950-11"/>
    <s v="No Priority"/>
    <x v="0"/>
    <m/>
    <x v="3"/>
    <x v="9"/>
    <s v="2000-BPRS"/>
    <m/>
    <x v="0"/>
    <m/>
    <m/>
    <m/>
    <s v="North"/>
    <s v="JAIPUR"/>
    <m/>
    <n v="117583"/>
    <s v="BIHANI ENTERPRISES"/>
    <n v="1178446"/>
    <s v="GP COIL SOFT-TATXGP-GK09-0.5X1000"/>
    <s v="Z80"/>
    <s v=""/>
    <n v="5"/>
    <n v="7"/>
    <m/>
    <s v="C02"/>
    <s v="TATXGP"/>
    <s v="GK09"/>
    <n v="0.5"/>
    <n v="1000"/>
    <n v="0"/>
    <n v="69"/>
    <n v="0"/>
    <n v="69"/>
    <n v="69"/>
    <n v="69"/>
    <n v="69"/>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12"/>
    <s v="9518668950-12"/>
    <s v="No Priority"/>
    <x v="0"/>
    <m/>
    <x v="3"/>
    <x v="9"/>
    <s v="2000-BPRS"/>
    <m/>
    <x v="0"/>
    <m/>
    <m/>
    <m/>
    <s v="North"/>
    <s v="JAIPUR"/>
    <m/>
    <n v="117583"/>
    <s v="BIHANI ENTERPRISES"/>
    <n v="1854425"/>
    <s v="GP COIL SOFT-TATXGP-GK09-0.6X1000"/>
    <s v="Z80"/>
    <s v=""/>
    <n v="5"/>
    <n v="7"/>
    <m/>
    <s v="C02"/>
    <s v="TATXGP"/>
    <s v="GK09"/>
    <n v="0.6"/>
    <n v="1000"/>
    <n v="0"/>
    <n v="92"/>
    <n v="0"/>
    <n v="92"/>
    <n v="92"/>
    <n v="92"/>
    <n v="92"/>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14"/>
    <s v="9518668950-14"/>
    <s v="May'25"/>
    <x v="0"/>
    <m/>
    <x v="3"/>
    <x v="14"/>
    <s v="2000-BPRS"/>
    <m/>
    <x v="0"/>
    <m/>
    <m/>
    <m/>
    <s v="North"/>
    <s v="JAIPUR"/>
    <m/>
    <n v="117583"/>
    <s v="BIHANI ENTERPRISES"/>
    <n v="1854399"/>
    <s v="GP COIL SOFT-TATXGP-GK09-0.35X1220"/>
    <s v="Z80"/>
    <s v=""/>
    <n v="5"/>
    <n v="7"/>
    <m/>
    <s v="C02"/>
    <s v="TATXGP"/>
    <s v="GK09"/>
    <n v="0.35"/>
    <n v="1220"/>
    <n v="0"/>
    <n v="56"/>
    <n v="0"/>
    <n v="56"/>
    <n v="56"/>
    <n v="56"/>
    <n v="56"/>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15"/>
    <s v="9518668950-15"/>
    <s v="May'25"/>
    <x v="0"/>
    <m/>
    <x v="3"/>
    <x v="14"/>
    <s v="2000-BPRS"/>
    <m/>
    <x v="0"/>
    <m/>
    <m/>
    <m/>
    <s v="North"/>
    <s v="JAIPUR"/>
    <m/>
    <n v="117583"/>
    <s v="BIHANI ENTERPRISES"/>
    <n v="1854410"/>
    <s v="GP COIL SOFT-TATXGP-GK09-0.4X1220"/>
    <s v="Z80"/>
    <s v=""/>
    <n v="5"/>
    <n v="7"/>
    <m/>
    <s v="C02"/>
    <s v="TATXGP"/>
    <s v="GK09"/>
    <n v="0.4"/>
    <n v="1220"/>
    <n v="0"/>
    <n v="56"/>
    <n v="0"/>
    <n v="56"/>
    <n v="56"/>
    <n v="56"/>
    <n v="56"/>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16"/>
    <s v="9518668950-16"/>
    <s v="May'25"/>
    <x v="0"/>
    <m/>
    <x v="3"/>
    <x v="14"/>
    <s v="2000-BPRS"/>
    <m/>
    <x v="0"/>
    <m/>
    <m/>
    <m/>
    <s v="North"/>
    <s v="JAIPUR"/>
    <m/>
    <n v="117583"/>
    <s v="BIHANI ENTERPRISES"/>
    <n v="1851097"/>
    <s v="GP COIL SOFT-TATXGP-GK09-0.45X1220"/>
    <s v="Z80"/>
    <s v=""/>
    <n v="5"/>
    <n v="7"/>
    <m/>
    <s v="C02"/>
    <s v="TATXGP"/>
    <s v="GK09"/>
    <n v="0.45"/>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17"/>
    <s v="9518668950-17"/>
    <s v="May'25"/>
    <x v="0"/>
    <m/>
    <x v="3"/>
    <x v="14"/>
    <s v="2000-BPRS"/>
    <m/>
    <x v="0"/>
    <m/>
    <m/>
    <m/>
    <s v="North"/>
    <s v="JAIPUR"/>
    <m/>
    <n v="117583"/>
    <s v="BIHANI ENTERPRISES"/>
    <n v="1851101"/>
    <s v="GP COIL SOFT-TATXGP-GK09-0.5X1220"/>
    <s v="Z80"/>
    <s v=""/>
    <n v="5"/>
    <n v="7"/>
    <m/>
    <s v="C02"/>
    <s v="TATXGP"/>
    <s v="GK09"/>
    <n v="0.5"/>
    <n v="1220"/>
    <n v="0"/>
    <n v="56"/>
    <n v="0"/>
    <n v="56"/>
    <n v="56"/>
    <n v="56"/>
    <n v="56"/>
    <n v="0"/>
    <n v="0"/>
    <n v="0"/>
    <n v="0"/>
    <n v="0"/>
    <n v="0"/>
    <n v="0"/>
    <n v="0"/>
    <n v="0"/>
    <n v="0"/>
    <n v="0"/>
    <n v="0"/>
    <n v="0"/>
    <n v="0"/>
    <n v="0"/>
    <n v="0"/>
    <n v="0"/>
    <n v="0"/>
    <n v="0"/>
    <n v="0"/>
    <n v="0"/>
    <n v="0"/>
    <n v="0"/>
    <m/>
    <n v="0"/>
    <n v="0"/>
    <n v="0"/>
    <n v="0"/>
    <n v="0"/>
    <n v="0"/>
    <n v="0"/>
    <n v="0"/>
    <n v="0"/>
    <n v="0"/>
    <n v="0"/>
    <n v="0"/>
    <n v="0"/>
    <m/>
    <m/>
    <m/>
    <m/>
    <m/>
    <m/>
    <m/>
    <m/>
    <m/>
    <m/>
    <m/>
    <m/>
    <m/>
    <m/>
    <m/>
    <m/>
    <m/>
    <m/>
    <m/>
    <m/>
    <m/>
    <m/>
    <m/>
    <m/>
    <m/>
    <m/>
    <m/>
    <m/>
    <m/>
    <m/>
    <m/>
    <m/>
    <m/>
    <m/>
    <m/>
  </r>
  <r>
    <n v="743"/>
    <d v="2025-04-04T00:00:00"/>
    <s v="ZBTO"/>
    <n v="9518668950"/>
    <n v="18"/>
    <s v="9518668950-18"/>
    <s v="May'25"/>
    <x v="0"/>
    <m/>
    <x v="3"/>
    <x v="14"/>
    <s v="2000-BPRS"/>
    <m/>
    <x v="0"/>
    <m/>
    <m/>
    <m/>
    <s v="North"/>
    <s v="JAIPUR"/>
    <m/>
    <n v="117583"/>
    <s v="BIHANI ENTERPRISES"/>
    <n v="1334725"/>
    <s v="GP COIL SOFT-TATXGP-GK09-0.6X1220"/>
    <s v="Z80"/>
    <s v=""/>
    <n v="5"/>
    <n v="7"/>
    <m/>
    <s v="C02"/>
    <s v="TATXGP"/>
    <s v="GK09"/>
    <n v="0.6"/>
    <n v="1220"/>
    <n v="0"/>
    <n v="56"/>
    <n v="0"/>
    <n v="56"/>
    <n v="56"/>
    <n v="56"/>
    <n v="56"/>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80"/>
    <n v="4"/>
    <s v="9518703480-4"/>
    <s v="May'25"/>
    <x v="0"/>
    <m/>
    <x v="1"/>
    <x v="10"/>
    <s v="1000-IPPE"/>
    <m/>
    <x v="1"/>
    <m/>
    <s v="P1-Priority for Balmer"/>
    <m/>
    <s v="South"/>
    <s v="VISAJHAPATNAM"/>
    <m/>
    <n v="188238"/>
    <s v="Balmer Lawrie &amp; Co. Limited"/>
    <n v="2170008"/>
    <s v="CRCA COIL TATXXD BT01 0.970X1220"/>
    <s v=" "/>
    <s v=""/>
    <n v="8"/>
    <n v="12"/>
    <m/>
    <s v="C01"/>
    <s v="TATXXD"/>
    <s v="BT01"/>
    <n v="0.97"/>
    <n v="1220"/>
    <n v="0"/>
    <n v="224"/>
    <n v="0"/>
    <n v="224"/>
    <n v="224"/>
    <n v="224"/>
    <n v="224"/>
    <n v="0"/>
    <n v="0"/>
    <n v="0"/>
    <n v="0"/>
    <n v="0"/>
    <n v="0"/>
    <n v="0"/>
    <n v="0"/>
    <n v="0"/>
    <n v="0"/>
    <n v="0"/>
    <n v="0"/>
    <n v="0"/>
    <n v="0"/>
    <n v="0"/>
    <n v="0"/>
    <n v="0"/>
    <n v="0"/>
    <n v="0"/>
    <n v="0"/>
    <n v="0"/>
    <n v="0"/>
    <n v="0"/>
    <m/>
    <n v="0"/>
    <n v="224"/>
    <n v="0"/>
    <n v="0"/>
    <n v="224"/>
    <n v="0"/>
    <n v="0"/>
    <n v="0"/>
    <n v="0"/>
    <n v="0"/>
    <n v="0"/>
    <n v="0"/>
    <n v="0"/>
    <m/>
    <m/>
    <m/>
    <m/>
    <m/>
    <m/>
    <m/>
    <m/>
    <m/>
    <m/>
    <m/>
    <m/>
    <m/>
    <m/>
    <m/>
    <m/>
    <m/>
    <m/>
    <m/>
    <m/>
    <m/>
    <m/>
    <m/>
    <m/>
    <m/>
    <m/>
    <m/>
    <m/>
    <m/>
    <m/>
    <m/>
    <m/>
    <m/>
    <m/>
    <m/>
  </r>
  <r>
    <n v="742"/>
    <d v="2025-04-18T00:00:00"/>
    <s v="ZBTO"/>
    <n v="9518703480"/>
    <n v="8"/>
    <s v="9518703480-8"/>
    <s v="May'25"/>
    <x v="0"/>
    <m/>
    <x v="1"/>
    <x v="10"/>
    <s v="1000-IPPE"/>
    <m/>
    <x v="1"/>
    <m/>
    <s v="P1-Priority for Balmer"/>
    <m/>
    <s v="South"/>
    <s v="VISAJHAPATNAM"/>
    <m/>
    <n v="188238"/>
    <s v="Balmer Lawrie &amp; Co. Limited"/>
    <n v="2170008"/>
    <s v="CRCA COIL TATXXD BT01 0.970X1220"/>
    <s v=" "/>
    <s v=""/>
    <n v="8"/>
    <n v="12"/>
    <m/>
    <s v="C01"/>
    <s v="TATXXD"/>
    <s v="BT01"/>
    <n v="0.97"/>
    <n v="1220"/>
    <n v="0"/>
    <n v="280"/>
    <n v="0"/>
    <n v="280"/>
    <n v="280"/>
    <n v="280"/>
    <n v="280"/>
    <n v="0"/>
    <n v="0"/>
    <n v="0"/>
    <n v="0"/>
    <n v="0"/>
    <n v="0"/>
    <n v="0"/>
    <n v="0"/>
    <n v="0"/>
    <n v="0"/>
    <n v="0"/>
    <n v="0"/>
    <n v="0"/>
    <n v="0"/>
    <n v="0"/>
    <n v="0"/>
    <n v="0"/>
    <n v="0"/>
    <n v="0"/>
    <n v="0"/>
    <n v="0"/>
    <n v="0"/>
    <n v="0"/>
    <m/>
    <n v="0"/>
    <n v="280"/>
    <n v="0"/>
    <n v="0"/>
    <n v="280"/>
    <n v="0"/>
    <n v="0"/>
    <n v="0"/>
    <n v="0"/>
    <n v="0"/>
    <n v="0"/>
    <n v="0"/>
    <n v="0"/>
    <m/>
    <m/>
    <m/>
    <m/>
    <m/>
    <m/>
    <m/>
    <m/>
    <m/>
    <m/>
    <m/>
    <m/>
    <m/>
    <m/>
    <m/>
    <m/>
    <m/>
    <m/>
    <m/>
    <m/>
    <m/>
    <m/>
    <m/>
    <m/>
    <m/>
    <m/>
    <m/>
    <m/>
    <m/>
    <m/>
    <m/>
    <m/>
    <m/>
    <m/>
    <m/>
  </r>
  <r>
    <n v="742"/>
    <d v="2025-04-04T00:00:00"/>
    <s v="ZBTO"/>
    <n v="9518670119"/>
    <n v="8"/>
    <s v="9518670119-8"/>
    <s v="No Priority"/>
    <x v="0"/>
    <s v="Yes"/>
    <x v="1"/>
    <x v="1"/>
    <s v="2000-BPRS"/>
    <m/>
    <x v="0"/>
    <m/>
    <s v="NO HR availale in this width"/>
    <m/>
    <s v="South"/>
    <s v="PATTANCHERY"/>
    <m/>
    <n v="939422"/>
    <s v="VIJAY VENKAT STEELS PRIVATE LIMITED"/>
    <n v="223287"/>
    <s v="CR COIL-ICF  DQ TATXXD AU03 1.00 X 1220"/>
    <s v=" "/>
    <s v=""/>
    <n v="10"/>
    <n v="30"/>
    <m/>
    <s v="C01"/>
    <s v="TATXXD"/>
    <s v="AU03"/>
    <n v="1"/>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3"/>
    <d v="2025-04-02T00:00:00"/>
    <s v="ZBTO"/>
    <n v="9518664230"/>
    <n v="3"/>
    <s v="9518664230-3"/>
    <s v="No Priority"/>
    <x v="0"/>
    <m/>
    <x v="3"/>
    <x v="9"/>
    <s v="2000-BPRS"/>
    <m/>
    <x v="1"/>
    <m/>
    <m/>
    <m/>
    <s v="East"/>
    <s v="URLA"/>
    <m/>
    <n v="139336"/>
    <s v="PASA ASSOCIATES PRIVATE LIMITED"/>
    <n v="1178439"/>
    <s v="GP COIL SOFT-TATXGP-GK09-0.4X900"/>
    <s v="Z80"/>
    <s v=""/>
    <n v="3"/>
    <n v="5"/>
    <m/>
    <s v="C02"/>
    <s v="TATXGP"/>
    <s v="GK09"/>
    <n v="0.4"/>
    <n v="900"/>
    <n v="0"/>
    <n v="42"/>
    <n v="0"/>
    <n v="42"/>
    <n v="42"/>
    <n v="42"/>
    <n v="22.48"/>
    <n v="0"/>
    <n v="0"/>
    <n v="0"/>
    <n v="0"/>
    <n v="0"/>
    <n v="0"/>
    <n v="0"/>
    <n v="0"/>
    <n v="0"/>
    <n v="0"/>
    <n v="0"/>
    <n v="0"/>
    <n v="0"/>
    <n v="0"/>
    <n v="0"/>
    <n v="0"/>
    <n v="0"/>
    <n v="0"/>
    <n v="0"/>
    <n v="0"/>
    <n v="0"/>
    <n v="0"/>
    <n v="0"/>
    <m/>
    <n v="19.52"/>
    <n v="22.48"/>
    <n v="0"/>
    <n v="22.48"/>
    <n v="0"/>
    <n v="0"/>
    <n v="0"/>
    <n v="22.48"/>
    <n v="0"/>
    <n v="22.48"/>
    <n v="0"/>
    <n v="0"/>
    <n v="0"/>
    <m/>
    <m/>
    <m/>
    <m/>
    <m/>
    <m/>
    <m/>
    <m/>
    <m/>
    <m/>
    <m/>
    <m/>
    <m/>
    <m/>
    <m/>
    <m/>
    <m/>
    <m/>
    <m/>
    <m/>
    <m/>
    <m/>
    <m/>
    <m/>
    <m/>
    <m/>
    <m/>
    <m/>
    <m/>
    <m/>
    <m/>
    <m/>
    <m/>
    <m/>
    <m/>
  </r>
  <r>
    <n v="742"/>
    <d v="2025-04-19T00:00:00"/>
    <s v="ZBTO"/>
    <n v="9518703502"/>
    <n v="4"/>
    <s v="9518703502-4"/>
    <s v="No Priority"/>
    <x v="0"/>
    <m/>
    <x v="1"/>
    <x v="10"/>
    <s v="1000-IPPE"/>
    <m/>
    <x v="0"/>
    <m/>
    <m/>
    <m/>
    <s v="South"/>
    <s v="VISAJHAPATNAM"/>
    <m/>
    <n v="188238"/>
    <s v="Balmer Lawrie &amp; Co. Limited"/>
    <n v="2170008"/>
    <s v="CRCA COIL TATXXD BT01 0.970X1220"/>
    <s v=" "/>
    <s v=""/>
    <n v="8"/>
    <n v="12"/>
    <m/>
    <s v="C01"/>
    <s v="TATXXD"/>
    <s v="BT01"/>
    <n v="0.97"/>
    <n v="1220"/>
    <n v="0"/>
    <n v="56"/>
    <n v="0"/>
    <n v="56"/>
    <n v="56"/>
    <n v="56"/>
    <n v="56"/>
    <n v="0"/>
    <n v="0"/>
    <n v="0"/>
    <n v="0"/>
    <n v="0"/>
    <n v="0"/>
    <n v="0"/>
    <n v="0"/>
    <n v="0"/>
    <n v="0"/>
    <n v="0"/>
    <n v="0"/>
    <n v="0"/>
    <n v="0"/>
    <n v="0"/>
    <n v="0"/>
    <n v="0"/>
    <n v="0"/>
    <n v="0"/>
    <n v="0"/>
    <n v="0"/>
    <n v="0"/>
    <n v="0"/>
    <m/>
    <n v="0"/>
    <n v="0"/>
    <n v="0"/>
    <n v="0"/>
    <n v="0"/>
    <n v="0"/>
    <n v="0"/>
    <n v="0"/>
    <n v="0"/>
    <n v="0"/>
    <n v="0"/>
    <n v="0"/>
    <n v="0"/>
    <m/>
    <m/>
    <m/>
    <m/>
    <m/>
    <m/>
    <m/>
    <m/>
    <m/>
    <m/>
    <m/>
    <m/>
    <m/>
    <m/>
    <m/>
    <m/>
    <m/>
    <m/>
    <m/>
    <m/>
    <m/>
    <m/>
    <m/>
    <m/>
    <m/>
    <m/>
    <m/>
    <m/>
    <m/>
    <m/>
    <m/>
    <m/>
    <m/>
    <m/>
    <m/>
  </r>
  <r>
    <n v="744"/>
    <d v="2025-04-15T00:00:00"/>
    <s v="ZBTO"/>
    <n v="9518695426"/>
    <n v="2"/>
    <s v="9518695426-2"/>
    <s v="May'25"/>
    <x v="0"/>
    <s v="Yes"/>
    <x v="2"/>
    <x v="3"/>
    <s v="1000-IPPE"/>
    <m/>
    <x v="1"/>
    <m/>
    <m/>
    <m/>
    <s v="TBSPL"/>
    <s v="RAJASTHAN"/>
    <m/>
    <n v="940008"/>
    <s v="TATA BLUESCOPE STEEL PVT LTD."/>
    <n v="3522241"/>
    <s v="PPGL C Y550 D0C7 0.43BMT(0.47TPT)X1220"/>
    <s v="aZ70"/>
    <s v="PASSION RED (NG) TSL 2214"/>
    <n v="3"/>
    <n v="5"/>
    <m/>
    <s v="B18"/>
    <s v="Y550PL"/>
    <s v="D0C7"/>
    <n v="0.43"/>
    <n v="1220"/>
    <n v="0"/>
    <n v="140"/>
    <n v="0"/>
    <n v="140"/>
    <n v="140"/>
    <n v="140"/>
    <n v="140"/>
    <n v="0"/>
    <n v="0"/>
    <n v="0"/>
    <n v="0"/>
    <n v="0"/>
    <n v="0"/>
    <n v="0"/>
    <n v="0"/>
    <n v="0"/>
    <n v="0"/>
    <n v="0"/>
    <n v="0"/>
    <n v="0"/>
    <n v="0"/>
    <n v="0"/>
    <n v="0"/>
    <n v="0"/>
    <n v="0"/>
    <n v="0"/>
    <n v="0"/>
    <n v="0"/>
    <n v="0"/>
    <n v="0"/>
    <m/>
    <n v="0"/>
    <n v="140"/>
    <n v="0"/>
    <n v="0"/>
    <n v="140"/>
    <n v="0"/>
    <n v="0"/>
    <n v="0"/>
    <n v="0"/>
    <n v="0"/>
    <n v="0"/>
    <n v="0"/>
    <n v="0"/>
    <m/>
    <m/>
    <m/>
    <m/>
    <m/>
    <m/>
    <m/>
    <m/>
    <m/>
    <m/>
    <m/>
    <m/>
    <m/>
    <m/>
    <m/>
    <m/>
    <m/>
    <m/>
    <m/>
    <m/>
    <m/>
    <m/>
    <m/>
    <m/>
    <m/>
    <m/>
    <m/>
    <m/>
    <m/>
    <m/>
    <m/>
    <m/>
    <m/>
    <m/>
    <m/>
  </r>
  <r>
    <n v="742"/>
    <d v="2025-04-04T00:00:00"/>
    <s v="ZBTO"/>
    <n v="9518670119"/>
    <n v="9"/>
    <s v="9518670119-9"/>
    <s v="No Priority"/>
    <x v="0"/>
    <m/>
    <x v="1"/>
    <x v="1"/>
    <s v="2000-BPRS"/>
    <m/>
    <x v="0"/>
    <m/>
    <m/>
    <m/>
    <s v="South"/>
    <s v="PATTANCHERY"/>
    <m/>
    <n v="939422"/>
    <s v="VIJAY VENKAT STEELS PRIVATE LIMITED"/>
    <n v="2398457"/>
    <s v="CRCA COIL TATXXD AU03 1X1320"/>
    <s v=" "/>
    <s v=""/>
    <n v="10"/>
    <n v="30"/>
    <m/>
    <s v="C01"/>
    <s v="TATXXD"/>
    <s v="AU03"/>
    <n v="1"/>
    <n v="1320"/>
    <n v="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119"/>
    <n v="10"/>
    <s v="9518670119-10"/>
    <s v="No Priority"/>
    <x v="0"/>
    <m/>
    <x v="1"/>
    <x v="1"/>
    <s v="2000-BPRS"/>
    <m/>
    <x v="0"/>
    <m/>
    <m/>
    <m/>
    <s v="South"/>
    <s v="PATTANCHERY"/>
    <m/>
    <n v="939422"/>
    <s v="VIJAY VENKAT STEELS PRIVATE LIMITED"/>
    <n v="1884117"/>
    <s v="CRCA COIL-TATXXD-AU03-2X1250"/>
    <s v=" "/>
    <s v=""/>
    <n v="10"/>
    <n v="30"/>
    <m/>
    <s v="C01"/>
    <s v="TATXXD"/>
    <s v="AU03"/>
    <n v="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3"/>
    <d v="2025-02-25T00:00:00"/>
    <s v="ZBTO"/>
    <n v="9518550377"/>
    <n v="4"/>
    <s v="9518550377-4"/>
    <s v="No Priority"/>
    <x v="0"/>
    <m/>
    <x v="3"/>
    <x v="9"/>
    <s v="2000-BPRS"/>
    <m/>
    <x v="0"/>
    <m/>
    <m/>
    <m/>
    <s v="North"/>
    <s v="LONI"/>
    <m/>
    <n v="931234"/>
    <s v="JAI LAXMI STEELS"/>
    <n v="1854418"/>
    <s v="GP COIL SOFT-TATXGP-GK09-0.5X900"/>
    <s v="Z80"/>
    <s v=""/>
    <n v="4"/>
    <n v="6"/>
    <m/>
    <s v="C02"/>
    <s v="TATXGP"/>
    <s v="GK09"/>
    <n v="0.5"/>
    <n v="900"/>
    <n v="0"/>
    <n v="210"/>
    <n v="18.86"/>
    <n v="191.14"/>
    <n v="191.14"/>
    <n v="191.14"/>
    <n v="191.14"/>
    <n v="0"/>
    <n v="0"/>
    <n v="0"/>
    <n v="0"/>
    <n v="0"/>
    <n v="0"/>
    <n v="0"/>
    <n v="0"/>
    <n v="0"/>
    <n v="0"/>
    <n v="0"/>
    <n v="0"/>
    <n v="0"/>
    <n v="0"/>
    <n v="0"/>
    <n v="0"/>
    <n v="0"/>
    <n v="0"/>
    <n v="0"/>
    <n v="0"/>
    <n v="0"/>
    <n v="0"/>
    <n v="0"/>
    <m/>
    <n v="0"/>
    <n v="0"/>
    <n v="0"/>
    <n v="0"/>
    <n v="0"/>
    <n v="0"/>
    <n v="0"/>
    <n v="0"/>
    <n v="0"/>
    <n v="0"/>
    <n v="0"/>
    <n v="0"/>
    <n v="0"/>
    <m/>
    <m/>
    <m/>
    <m/>
    <m/>
    <m/>
    <m/>
    <m/>
    <m/>
    <m/>
    <m/>
    <m/>
    <m/>
    <m/>
    <m/>
    <m/>
    <m/>
    <m/>
    <m/>
    <m/>
    <m/>
    <m/>
    <m/>
    <m/>
    <m/>
    <m/>
    <m/>
    <m/>
    <m/>
    <m/>
    <m/>
    <m/>
    <m/>
    <m/>
    <m/>
  </r>
  <r>
    <n v="744"/>
    <d v="2025-02-22T00:00:00"/>
    <s v="ZBTO"/>
    <n v="9518542873"/>
    <n v="3"/>
    <s v="9518542873-3"/>
    <s v="May'25"/>
    <x v="0"/>
    <m/>
    <x v="2"/>
    <x v="3"/>
    <s v="1000-IPPE"/>
    <m/>
    <x v="1"/>
    <m/>
    <m/>
    <m/>
    <s v="TBSPL"/>
    <s v=" "/>
    <m/>
    <n v="941597"/>
    <s v="TATA BLUESCOPE STEEL PRIVATE LIMITE"/>
    <n v="3624035"/>
    <s v="PPGL C Y550 HPL3 0.39BMT(0.47TPT)X1220"/>
    <s v="AZ150"/>
    <s v="RAL 7024 TSL 560"/>
    <n v="3"/>
    <n v="5"/>
    <m/>
    <s v="B18"/>
    <s v="Y550PL"/>
    <s v="HPL3"/>
    <n v="0.39"/>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598"/>
    <n v="2"/>
    <s v="9518606598-2"/>
    <s v="May'25"/>
    <x v="0"/>
    <s v="Yes"/>
    <x v="1"/>
    <x v="1"/>
    <s v="2000-BPRS"/>
    <m/>
    <x v="1"/>
    <m/>
    <m/>
    <m/>
    <s v="South"/>
    <s v="VISHAKHAPATNAM"/>
    <m/>
    <n v="946077"/>
    <s v="SITARAM IRON AND STEEL PVT LTD"/>
    <n v="1804814"/>
    <s v="CRCA COIL TATXXD AU03 0.8X1250"/>
    <s v=" "/>
    <s v=""/>
    <n v="8"/>
    <n v="29"/>
    <m/>
    <s v="C01"/>
    <s v="TATXXD"/>
    <s v="AU03"/>
    <n v="0.8"/>
    <n v="1250"/>
    <n v="0"/>
    <n v="29"/>
    <n v="0"/>
    <n v="29"/>
    <n v="29"/>
    <n v="1.5500000000000007"/>
    <n v="29"/>
    <n v="0"/>
    <n v="0"/>
    <n v="0"/>
    <n v="0"/>
    <n v="0"/>
    <n v="0"/>
    <n v="0"/>
    <n v="0"/>
    <n v="0"/>
    <n v="0"/>
    <n v="0"/>
    <n v="0"/>
    <n v="0"/>
    <n v="27.45"/>
    <n v="0"/>
    <n v="0"/>
    <n v="0"/>
    <n v="0"/>
    <n v="0"/>
    <n v="27.45"/>
    <n v="27.45"/>
    <n v="0"/>
    <n v="27.45"/>
    <m/>
    <n v="0"/>
    <n v="29"/>
    <n v="0"/>
    <n v="29"/>
    <n v="0"/>
    <n v="0"/>
    <n v="0"/>
    <n v="29"/>
    <n v="0"/>
    <n v="29"/>
    <n v="0"/>
    <n v="0"/>
    <n v="0"/>
    <m/>
    <m/>
    <m/>
    <m/>
    <m/>
    <m/>
    <m/>
    <m/>
    <m/>
    <m/>
    <m/>
    <m/>
    <m/>
    <m/>
    <m/>
    <m/>
    <m/>
    <m/>
    <m/>
    <m/>
    <m/>
    <m/>
    <m/>
    <m/>
    <m/>
    <m/>
    <m/>
    <m/>
    <m/>
    <m/>
    <m/>
    <m/>
    <m/>
    <m/>
    <m/>
  </r>
  <r>
    <n v="742"/>
    <d v="2025-03-17T00:00:00"/>
    <s v="ZBTO"/>
    <n v="9518606598"/>
    <n v="6"/>
    <s v="9518606598-6"/>
    <s v="May'25"/>
    <x v="0"/>
    <s v="Yes"/>
    <x v="1"/>
    <x v="1"/>
    <s v="2000-BPRS"/>
    <m/>
    <x v="1"/>
    <m/>
    <m/>
    <m/>
    <s v="South"/>
    <s v="VISHAKHAPATNAM"/>
    <m/>
    <n v="946077"/>
    <s v="SITARAM IRON AND STEEL PVT LTD"/>
    <n v="1804867"/>
    <s v="CRCA COIL-TATXXD-AU03-1.6X1250"/>
    <s v=" "/>
    <s v=""/>
    <n v="8"/>
    <n v="29"/>
    <m/>
    <s v="C01"/>
    <s v="TATXXD"/>
    <s v="AU03"/>
    <n v="1.6"/>
    <n v="1250"/>
    <n v="0"/>
    <n v="29"/>
    <n v="0"/>
    <n v="29"/>
    <n v="29"/>
    <n v="7.6699999999999982"/>
    <n v="29"/>
    <n v="0"/>
    <n v="0"/>
    <n v="0"/>
    <n v="0"/>
    <n v="0"/>
    <n v="0"/>
    <n v="0"/>
    <n v="0"/>
    <n v="0"/>
    <n v="0"/>
    <n v="21.330000000000002"/>
    <n v="0"/>
    <n v="0"/>
    <n v="0"/>
    <n v="0"/>
    <n v="0"/>
    <n v="0"/>
    <n v="0"/>
    <n v="0"/>
    <n v="21.330000000000002"/>
    <n v="21.330000000000002"/>
    <n v="0"/>
    <n v="21.330000000000002"/>
    <m/>
    <n v="0"/>
    <n v="29"/>
    <n v="0"/>
    <n v="29"/>
    <n v="0"/>
    <n v="0"/>
    <n v="0"/>
    <n v="29"/>
    <n v="0"/>
    <n v="29"/>
    <n v="0"/>
    <n v="0"/>
    <n v="0"/>
    <m/>
    <m/>
    <m/>
    <m/>
    <m/>
    <m/>
    <m/>
    <m/>
    <m/>
    <m/>
    <m/>
    <m/>
    <m/>
    <m/>
    <m/>
    <m/>
    <m/>
    <m/>
    <m/>
    <m/>
    <m/>
    <m/>
    <m/>
    <m/>
    <m/>
    <m/>
    <m/>
    <m/>
    <m/>
    <m/>
    <m/>
    <m/>
    <m/>
    <m/>
    <m/>
  </r>
  <r>
    <n v="742"/>
    <d v="2025-03-17T00:00:00"/>
    <s v="ZBTO"/>
    <n v="9518606284"/>
    <n v="8"/>
    <s v="9518606284-8"/>
    <s v="No Priority"/>
    <x v="0"/>
    <s v="Yes"/>
    <x v="1"/>
    <x v="2"/>
    <s v="2000-BPRS"/>
    <m/>
    <x v="0"/>
    <m/>
    <m/>
    <m/>
    <s v="South"/>
    <s v="VISHAKHAPATNAM"/>
    <m/>
    <n v="946077"/>
    <s v="SITARAM IRON AND STEEL PVT LTD"/>
    <n v="3240765"/>
    <s v="CRCA SHEET TSBCRC SR15 0.500X1250X2500"/>
    <s v=" "/>
    <s v=""/>
    <n v="0"/>
    <n v="0"/>
    <m/>
    <s v="C06"/>
    <s v="TSBCRC"/>
    <s v="SR15"/>
    <n v="0.5"/>
    <n v="1250"/>
    <n v="2500"/>
    <n v="30"/>
    <n v="0"/>
    <n v="30"/>
    <n v="2.42"/>
    <n v="0"/>
    <n v="30"/>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284"/>
    <n v="11"/>
    <s v="9518606284-11"/>
    <s v="No Priority"/>
    <x v="0"/>
    <m/>
    <x v="1"/>
    <x v="2"/>
    <s v="2000-BPRS"/>
    <m/>
    <x v="0"/>
    <m/>
    <s v="Exp BTF &lt;17MT"/>
    <m/>
    <s v="South"/>
    <s v="VISHAKHAPATNAM"/>
    <m/>
    <n v="946077"/>
    <s v="SITARAM IRON AND STEEL PVT LTD"/>
    <n v="3240785"/>
    <s v="CRCA SHEET TSBCRC SR15 0.600X1250X2500"/>
    <s v=" "/>
    <s v=""/>
    <n v="0"/>
    <n v="0"/>
    <m/>
    <s v="C06"/>
    <s v="TSBCRC"/>
    <s v="SR15"/>
    <n v="0.6"/>
    <n v="1250"/>
    <n v="2500"/>
    <n v="30"/>
    <n v="26.164999999999999"/>
    <n v="3.835"/>
    <n v="3.5449999999999999"/>
    <n v="0.93500000000000005"/>
    <n v="3.835"/>
    <n v="0"/>
    <n v="0"/>
    <n v="0"/>
    <n v="0"/>
    <n v="0"/>
    <n v="0"/>
    <n v="0"/>
    <n v="0"/>
    <n v="0"/>
    <n v="0"/>
    <n v="0"/>
    <n v="0"/>
    <n v="0"/>
    <n v="0"/>
    <n v="0"/>
    <n v="2.9"/>
    <n v="0"/>
    <n v="0"/>
    <n v="0"/>
    <n v="2.9"/>
    <n v="2.9"/>
    <n v="0"/>
    <n v="2.9"/>
    <m/>
    <n v="0"/>
    <n v="0"/>
    <n v="0"/>
    <n v="0"/>
    <n v="0"/>
    <n v="0"/>
    <n v="0"/>
    <n v="0"/>
    <n v="0"/>
    <n v="0"/>
    <n v="0"/>
    <n v="0"/>
    <n v="0"/>
    <m/>
    <m/>
    <m/>
    <m/>
    <m/>
    <m/>
    <m/>
    <m/>
    <m/>
    <m/>
    <m/>
    <m/>
    <m/>
    <m/>
    <m/>
    <m/>
    <m/>
    <m/>
    <m/>
    <m/>
    <m/>
    <m/>
    <m/>
    <m/>
    <m/>
    <m/>
    <m/>
    <m/>
    <m/>
    <m/>
    <m/>
    <m/>
    <m/>
    <m/>
    <m/>
  </r>
  <r>
    <n v="742"/>
    <d v="2025-03-17T00:00:00"/>
    <s v="ZBTO"/>
    <n v="9518606284"/>
    <n v="16"/>
    <s v="9518606284-16"/>
    <s v="May'25"/>
    <x v="0"/>
    <s v="Yes"/>
    <x v="1"/>
    <x v="2"/>
    <s v="2000-BPRS"/>
    <m/>
    <x v="1"/>
    <m/>
    <m/>
    <m/>
    <s v="South"/>
    <s v="VISHAKHAPATNAM"/>
    <m/>
    <n v="946077"/>
    <s v="SITARAM IRON AND STEEL PVT LTD"/>
    <n v="3410102"/>
    <s v="CRCA SHEET TSBCRC SR15 0.950X1000X2500"/>
    <s v=" "/>
    <s v=""/>
    <n v="0"/>
    <n v="0"/>
    <m/>
    <s v="C06"/>
    <s v="TSBCRC"/>
    <s v="SR15"/>
    <n v="0.95"/>
    <n v="1000"/>
    <n v="2500"/>
    <n v="21"/>
    <n v="0"/>
    <n v="21"/>
    <n v="21"/>
    <n v="-1.4699999999999989"/>
    <n v="21"/>
    <n v="0"/>
    <n v="0"/>
    <n v="0"/>
    <n v="0"/>
    <n v="0"/>
    <n v="0"/>
    <n v="0"/>
    <n v="0"/>
    <n v="0"/>
    <n v="0"/>
    <n v="0"/>
    <n v="0"/>
    <n v="0"/>
    <n v="22.47"/>
    <n v="0"/>
    <n v="0"/>
    <n v="0"/>
    <n v="0"/>
    <n v="0"/>
    <n v="22.47"/>
    <n v="22.47"/>
    <n v="0"/>
    <n v="22.47"/>
    <m/>
    <n v="0"/>
    <n v="21"/>
    <n v="0"/>
    <n v="21"/>
    <n v="0"/>
    <n v="0"/>
    <n v="0"/>
    <n v="21"/>
    <n v="0"/>
    <n v="21"/>
    <n v="0"/>
    <n v="0"/>
    <n v="0"/>
    <m/>
    <m/>
    <m/>
    <m/>
    <m/>
    <m/>
    <m/>
    <m/>
    <m/>
    <m/>
    <m/>
    <m/>
    <m/>
    <m/>
    <m/>
    <m/>
    <m/>
    <m/>
    <m/>
    <m/>
    <m/>
    <m/>
    <m/>
    <m/>
    <m/>
    <m/>
    <m/>
    <m/>
    <m/>
    <m/>
    <m/>
    <m/>
    <m/>
    <m/>
    <m/>
  </r>
  <r>
    <n v="742"/>
    <d v="2025-03-17T00:00:00"/>
    <s v="ZBTO"/>
    <n v="9518606284"/>
    <n v="20"/>
    <s v="9518606284-20"/>
    <s v="May'25"/>
    <x v="0"/>
    <s v="Yes"/>
    <x v="1"/>
    <x v="2"/>
    <s v="2000-BPRS"/>
    <m/>
    <x v="1"/>
    <m/>
    <m/>
    <m/>
    <s v="South"/>
    <s v="VISHAKHAPATNAM"/>
    <m/>
    <n v="946077"/>
    <s v="SITARAM IRON AND STEEL PVT LTD"/>
    <n v="3240839"/>
    <s v="CRCA SHEET TSBCRC SR15 1.200X1000X2500"/>
    <s v=" "/>
    <s v=""/>
    <n v="0"/>
    <n v="0"/>
    <m/>
    <s v="C06"/>
    <s v="TSBCRC"/>
    <s v="SR15"/>
    <n v="1.2"/>
    <n v="1000"/>
    <n v="2500"/>
    <n v="21"/>
    <n v="0"/>
    <n v="21"/>
    <n v="21"/>
    <n v="21"/>
    <n v="21"/>
    <n v="0"/>
    <n v="0"/>
    <n v="0"/>
    <n v="0"/>
    <n v="0"/>
    <n v="0"/>
    <n v="0"/>
    <n v="0"/>
    <n v="0"/>
    <n v="0"/>
    <n v="0"/>
    <n v="0"/>
    <n v="0"/>
    <n v="0"/>
    <n v="0"/>
    <n v="0"/>
    <n v="0"/>
    <n v="0"/>
    <n v="0"/>
    <n v="0"/>
    <n v="0"/>
    <n v="0"/>
    <n v="0"/>
    <m/>
    <n v="0"/>
    <n v="21"/>
    <n v="0"/>
    <n v="0"/>
    <n v="0"/>
    <n v="21"/>
    <n v="0"/>
    <n v="0"/>
    <n v="0"/>
    <n v="0"/>
    <n v="0"/>
    <n v="0"/>
    <n v="0"/>
    <m/>
    <m/>
    <m/>
    <m/>
    <m/>
    <m/>
    <m/>
    <m/>
    <m/>
    <m/>
    <m/>
    <m/>
    <m/>
    <m/>
    <m/>
    <m/>
    <m/>
    <m/>
    <m/>
    <m/>
    <m/>
    <m/>
    <m/>
    <m/>
    <m/>
    <m/>
    <m/>
    <m/>
    <m/>
    <m/>
    <m/>
    <m/>
    <m/>
    <m/>
    <m/>
  </r>
  <r>
    <n v="742"/>
    <d v="2025-03-17T00:00:00"/>
    <s v="ZBTO"/>
    <n v="9518606284"/>
    <n v="6"/>
    <s v="9518606284-6"/>
    <s v="May'25"/>
    <x v="0"/>
    <s v="Yes"/>
    <x v="1"/>
    <x v="2"/>
    <s v="2000-BPRS"/>
    <m/>
    <x v="1"/>
    <m/>
    <m/>
    <m/>
    <s v="South"/>
    <s v="VISHAKHAPATNAM"/>
    <m/>
    <n v="946077"/>
    <s v="SITARAM IRON AND STEEL PVT LTD"/>
    <n v="3239566"/>
    <s v="CRCA SHEET TATCRC SR16 0.450X1000X2440"/>
    <s v=" "/>
    <s v=""/>
    <n v="0"/>
    <n v="0"/>
    <m/>
    <s v="C06"/>
    <s v="TATCRC"/>
    <s v="SR16"/>
    <n v="0.45"/>
    <n v="1000"/>
    <n v="2440"/>
    <n v="42"/>
    <n v="0"/>
    <n v="42"/>
    <n v="42"/>
    <n v="19.91"/>
    <n v="42"/>
    <n v="0"/>
    <n v="0"/>
    <n v="0"/>
    <n v="0"/>
    <n v="0"/>
    <n v="0"/>
    <n v="0"/>
    <n v="0"/>
    <n v="0"/>
    <n v="0"/>
    <n v="0"/>
    <n v="0"/>
    <n v="0"/>
    <n v="22.09"/>
    <n v="0"/>
    <n v="0"/>
    <n v="0"/>
    <n v="0"/>
    <n v="0"/>
    <n v="22.09"/>
    <n v="22.09"/>
    <n v="0"/>
    <n v="22.09"/>
    <m/>
    <n v="0"/>
    <n v="42"/>
    <n v="0"/>
    <n v="42"/>
    <n v="0"/>
    <n v="0"/>
    <n v="0"/>
    <n v="42"/>
    <n v="0"/>
    <n v="42"/>
    <n v="0"/>
    <n v="0"/>
    <n v="0"/>
    <m/>
    <m/>
    <m/>
    <m/>
    <m/>
    <m/>
    <m/>
    <m/>
    <m/>
    <m/>
    <m/>
    <m/>
    <m/>
    <m/>
    <m/>
    <m/>
    <m/>
    <m/>
    <m/>
    <m/>
    <m/>
    <m/>
    <m/>
    <m/>
    <m/>
    <m/>
    <m/>
    <m/>
    <m/>
    <m/>
    <m/>
    <m/>
    <m/>
    <m/>
    <m/>
  </r>
  <r>
    <n v="742"/>
    <d v="2025-03-17T00:00:00"/>
    <s v="ZBTO"/>
    <n v="9518606284"/>
    <n v="21"/>
    <s v="9518606284-21"/>
    <s v="No Priority"/>
    <x v="0"/>
    <m/>
    <x v="1"/>
    <x v="1"/>
    <s v="2000-BPRS"/>
    <m/>
    <x v="0"/>
    <m/>
    <m/>
    <m/>
    <s v="South"/>
    <s v="VISHAKHAPATNAM"/>
    <m/>
    <n v="946077"/>
    <s v="SITARAM IRON AND STEEL PVT LTD"/>
    <n v="189866"/>
    <s v="CRSHEET TATXXD AU03 1.20X1250X2500"/>
    <s v=" "/>
    <s v=""/>
    <n v="0"/>
    <n v="0"/>
    <m/>
    <s v="C06"/>
    <s v="TATXXD"/>
    <s v="AU03"/>
    <n v="1.2"/>
    <n v="125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284"/>
    <n v="22"/>
    <s v="9518606284-22"/>
    <s v="No Priority"/>
    <x v="0"/>
    <m/>
    <x v="1"/>
    <x v="1"/>
    <s v="2000-BPRS"/>
    <m/>
    <x v="0"/>
    <m/>
    <m/>
    <m/>
    <s v="South"/>
    <s v="VISHAKHAPATNAM"/>
    <m/>
    <n v="946077"/>
    <s v="SITARAM IRON AND STEEL PVT LTD"/>
    <n v="194544"/>
    <s v="CRSHEET TATXXD AU03 1.50X1250X2500"/>
    <s v=" "/>
    <s v=""/>
    <n v="0"/>
    <n v="0"/>
    <m/>
    <s v="C06"/>
    <s v="TATXXD"/>
    <s v="AU03"/>
    <n v="1.5"/>
    <n v="125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284"/>
    <n v="23"/>
    <s v="9518606284-23"/>
    <s v="No Priority"/>
    <x v="0"/>
    <m/>
    <x v="1"/>
    <x v="1"/>
    <s v="2000-BPRS"/>
    <m/>
    <x v="0"/>
    <m/>
    <m/>
    <m/>
    <s v="South"/>
    <s v="VISHAKHAPATNAM"/>
    <m/>
    <n v="946077"/>
    <s v="SITARAM IRON AND STEEL PVT LTD"/>
    <n v="281630"/>
    <s v="CRSHEET C06 TATXXD AU03 1.6X1250X2500"/>
    <s v=" "/>
    <s v=""/>
    <n v="0"/>
    <n v="0"/>
    <m/>
    <s v="C06"/>
    <s v="TATXXD"/>
    <s v="AU03"/>
    <n v="1.6"/>
    <n v="1250"/>
    <n v="2500"/>
    <n v="30"/>
    <n v="0"/>
    <n v="30"/>
    <n v="6.64"/>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284"/>
    <n v="24"/>
    <s v="9518606284-24"/>
    <s v="No Priority"/>
    <x v="0"/>
    <s v="Yes"/>
    <x v="1"/>
    <x v="1"/>
    <s v="2000-BPRS"/>
    <m/>
    <x v="0"/>
    <m/>
    <m/>
    <m/>
    <s v="South"/>
    <s v="VISHAKHAPATNAM"/>
    <m/>
    <n v="946077"/>
    <s v="SITARAM IRON AND STEEL PVT LTD"/>
    <n v="274376"/>
    <s v="CRSHEET C06TATXXD AU03 2.0X1250X2500"/>
    <s v=" "/>
    <s v=""/>
    <n v="0"/>
    <n v="0"/>
    <m/>
    <s v="C06"/>
    <s v="TATXXD"/>
    <s v="AU03"/>
    <n v="2"/>
    <n v="1250"/>
    <n v="2500"/>
    <n v="30"/>
    <n v="0"/>
    <n v="30"/>
    <n v="6.71"/>
    <n v="30"/>
    <n v="8.125"/>
    <n v="0"/>
    <n v="0"/>
    <n v="0"/>
    <n v="0"/>
    <n v="0"/>
    <n v="0"/>
    <n v="0"/>
    <n v="0"/>
    <n v="0"/>
    <n v="0"/>
    <n v="0"/>
    <n v="0"/>
    <n v="0"/>
    <n v="0"/>
    <n v="0"/>
    <n v="0"/>
    <n v="0"/>
    <n v="0"/>
    <n v="0"/>
    <n v="0"/>
    <n v="0"/>
    <n v="0"/>
    <n v="0"/>
    <m/>
    <n v="0"/>
    <n v="0"/>
    <n v="0"/>
    <n v="0"/>
    <n v="0"/>
    <n v="0"/>
    <n v="0"/>
    <n v="0"/>
    <n v="0"/>
    <n v="0"/>
    <n v="0"/>
    <n v="0"/>
    <n v="0"/>
    <m/>
    <m/>
    <m/>
    <m/>
    <m/>
    <m/>
    <m/>
    <m/>
    <m/>
    <m/>
    <m/>
    <m/>
    <m/>
    <m/>
    <m/>
    <m/>
    <m/>
    <m/>
    <m/>
    <m/>
    <m/>
    <m/>
    <m/>
    <m/>
    <m/>
    <m/>
    <m/>
    <m/>
    <m/>
    <m/>
    <m/>
    <m/>
    <m/>
    <m/>
    <m/>
  </r>
  <r>
    <n v="742"/>
    <d v="2025-03-04T00:00:00"/>
    <s v="ZBTO"/>
    <n v="9518574019"/>
    <n v="1"/>
    <s v="9518574019-1"/>
    <s v="No Priority"/>
    <x v="0"/>
    <m/>
    <x v="1"/>
    <x v="1"/>
    <s v="2000-BPRS"/>
    <m/>
    <x v="0"/>
    <m/>
    <m/>
    <m/>
    <s v="North"/>
    <s v="LONI"/>
    <m/>
    <n v="123052"/>
    <s v="G R GUPTA &amp; BROS"/>
    <n v="1804772"/>
    <s v="CRCA COIL TATXXD AU03 0.4X1250"/>
    <s v=" "/>
    <s v=""/>
    <n v="10"/>
    <n v="30"/>
    <m/>
    <s v="C01"/>
    <s v="TATXXD"/>
    <s v="AU03"/>
    <n v="0.4"/>
    <n v="1250"/>
    <n v="0"/>
    <n v="145"/>
    <n v="61.484999999999999"/>
    <n v="83.515000000000001"/>
    <n v="83.515000000000001"/>
    <n v="83.515000000000001"/>
    <n v="83.515000000000001"/>
    <n v="0"/>
    <n v="0"/>
    <n v="0"/>
    <n v="0"/>
    <n v="0"/>
    <n v="0"/>
    <n v="0"/>
    <n v="0"/>
    <n v="0"/>
    <n v="0"/>
    <n v="0"/>
    <n v="0"/>
    <n v="0"/>
    <n v="0"/>
    <n v="0"/>
    <n v="0"/>
    <n v="0"/>
    <n v="0"/>
    <n v="0"/>
    <n v="0"/>
    <n v="0"/>
    <n v="0"/>
    <n v="0"/>
    <m/>
    <n v="0"/>
    <n v="0"/>
    <n v="0"/>
    <n v="0"/>
    <n v="0"/>
    <n v="0"/>
    <n v="0"/>
    <n v="0"/>
    <n v="0"/>
    <n v="0"/>
    <n v="0"/>
    <n v="0"/>
    <n v="0"/>
    <m/>
    <m/>
    <m/>
    <m/>
    <m/>
    <m/>
    <m/>
    <m/>
    <m/>
    <m/>
    <m/>
    <m/>
    <m/>
    <m/>
    <m/>
    <m/>
    <m/>
    <m/>
    <m/>
    <m/>
    <m/>
    <m/>
    <m/>
    <m/>
    <m/>
    <m/>
    <m/>
    <m/>
    <m/>
    <m/>
    <m/>
    <m/>
    <m/>
    <m/>
    <m/>
  </r>
  <r>
    <n v="744"/>
    <d v="2025-03-22T00:00:00"/>
    <s v="ZBTO"/>
    <n v="9518624252"/>
    <n v="17"/>
    <s v="9518624252-17"/>
    <s v="May'25"/>
    <x v="0"/>
    <m/>
    <x v="2"/>
    <x v="3"/>
    <s v="1000-IPPE"/>
    <m/>
    <x v="1"/>
    <m/>
    <m/>
    <m/>
    <s v="TBSPL"/>
    <s v=" "/>
    <m/>
    <n v="941597"/>
    <s v="TATA BLUESCOPE STEEL PRIVATE LIMITE"/>
    <n v="3902332"/>
    <s v="PPGL C HARD Y550PL D0C9 0.50(TPT)X1220"/>
    <s v="AZ150"/>
    <s v="RAL 7015 TSL 1805"/>
    <n v="3"/>
    <n v="5"/>
    <m/>
    <s v="B18"/>
    <s v="Y550PL"/>
    <s v="D0C9"/>
    <n v="0.5"/>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4"/>
    <d v="2025-03-22T00:00:00"/>
    <s v="ZBTO"/>
    <n v="9518624252"/>
    <n v="18"/>
    <s v="9518624252-18"/>
    <s v="May'25"/>
    <x v="0"/>
    <m/>
    <x v="2"/>
    <x v="3"/>
    <s v="1000-IPPE"/>
    <m/>
    <x v="1"/>
    <m/>
    <m/>
    <m/>
    <s v="TBSPL"/>
    <s v=" "/>
    <m/>
    <n v="941597"/>
    <s v="TATA BLUESCOPE STEEL PRIVATE LIMITE"/>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4"/>
    <d v="2025-03-22T00:00:00"/>
    <s v="ZBTO"/>
    <n v="9518624252"/>
    <n v="22"/>
    <s v="9518624252-22"/>
    <s v="May'25"/>
    <x v="0"/>
    <m/>
    <x v="2"/>
    <x v="3"/>
    <s v="1000-IPPE"/>
    <m/>
    <x v="1"/>
    <m/>
    <m/>
    <m/>
    <s v="TBSPL"/>
    <s v=" "/>
    <m/>
    <n v="941597"/>
    <s v="TATA BLUESCOPE STEEL PRIVATE LIMITE"/>
    <n v="3902332"/>
    <s v="PPGL C HARD Y550PL D0C9 0.50(TPT)X1220"/>
    <s v="AZ150"/>
    <s v="BRICK RED TSL 1803"/>
    <n v="3"/>
    <n v="5"/>
    <m/>
    <s v="B18"/>
    <s v="Y550PL"/>
    <s v="D0C9"/>
    <n v="0.5"/>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4"/>
    <d v="2025-03-20T00:00:00"/>
    <s v="ZBTO"/>
    <n v="9518617046"/>
    <n v="10"/>
    <s v="9518617046-10"/>
    <s v="May'25"/>
    <x v="0"/>
    <m/>
    <x v="2"/>
    <x v="3"/>
    <s v="1000-IPPE"/>
    <m/>
    <x v="1"/>
    <m/>
    <m/>
    <m/>
    <s v="TBSPL"/>
    <s v=" "/>
    <m/>
    <n v="941597"/>
    <s v="TATA BLUESCOPE STEEL PRIVATE LIMITE"/>
    <n v="3902332"/>
    <s v="PPGL C HARD Y550PL D0C9 0.50(TPT)X1220"/>
    <s v="AZ150"/>
    <s v="RAL 7043 TSL 1823"/>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3-20T00:00:00"/>
    <s v="ZBTO"/>
    <n v="9518617046"/>
    <n v="11"/>
    <s v="9518617046-11"/>
    <s v="May'25"/>
    <x v="0"/>
    <m/>
    <x v="2"/>
    <x v="3"/>
    <s v="1000-IPPE"/>
    <m/>
    <x v="1"/>
    <m/>
    <m/>
    <m/>
    <s v="TBSPL"/>
    <s v=" "/>
    <m/>
    <n v="941597"/>
    <s v="TATA BLUESCOPE STEEL PRIVATE LIMITE"/>
    <n v="3902332"/>
    <s v="PPGL C HARD Y550PL D0C9 0.50(TPT)X1220"/>
    <s v="AZ150"/>
    <s v="RAL 9010 TSL 1807"/>
    <n v="3"/>
    <n v="5"/>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3-26T00:00:00"/>
    <s v="ZBTO"/>
    <n v="9518637595"/>
    <n v="6"/>
    <s v="9518637595-6"/>
    <s v="May'25"/>
    <x v="0"/>
    <m/>
    <x v="2"/>
    <x v="3"/>
    <s v="1000-IPPE"/>
    <m/>
    <x v="1"/>
    <m/>
    <m/>
    <m/>
    <s v="TBSPL"/>
    <s v=" "/>
    <m/>
    <n v="941597"/>
    <s v="TATA BLUESCOPE STEEL PRIVATE LIMITE"/>
    <n v="3941967"/>
    <s v="PPGL C HARD Y550PL D0C9 0.60(TPT)X1220"/>
    <s v="AZ150"/>
    <s v="RAL 6038 TSL 1811"/>
    <n v="3"/>
    <n v="5"/>
    <m/>
    <s v="B18"/>
    <s v="Y550PL"/>
    <s v="D0C9"/>
    <n v="0.6"/>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2"/>
    <d v="2025-03-17T00:00:00"/>
    <s v="ZBTO"/>
    <n v="9518606284"/>
    <n v="14"/>
    <s v="9518606284-14"/>
    <s v="May'25"/>
    <x v="0"/>
    <m/>
    <x v="1"/>
    <x v="1"/>
    <s v="2000-BPRS"/>
    <m/>
    <x v="1"/>
    <m/>
    <m/>
    <m/>
    <s v="South"/>
    <s v="VISHAKHAPATNAM"/>
    <m/>
    <n v="946077"/>
    <s v="SITARAM IRON AND STEEL PVT LTD"/>
    <n v="353957"/>
    <s v="CRCA SHEET TATXXD AU03 0.80X1250X2500"/>
    <s v=" "/>
    <s v=""/>
    <n v="0"/>
    <n v="0"/>
    <m/>
    <s v="C06"/>
    <s v="TATXXD"/>
    <s v="AU03"/>
    <n v="0.8"/>
    <n v="1250"/>
    <n v="2500"/>
    <n v="30"/>
    <n v="0"/>
    <n v="30"/>
    <n v="30"/>
    <n v="2.8299999999999983"/>
    <n v="30"/>
    <n v="0"/>
    <n v="0"/>
    <n v="0"/>
    <n v="0"/>
    <n v="0"/>
    <n v="0"/>
    <n v="0"/>
    <n v="0"/>
    <n v="0"/>
    <n v="0"/>
    <n v="0"/>
    <n v="0"/>
    <n v="0"/>
    <n v="27.17"/>
    <n v="0"/>
    <n v="0"/>
    <n v="0"/>
    <n v="0"/>
    <n v="0"/>
    <n v="27.17"/>
    <n v="27.17"/>
    <n v="0"/>
    <n v="27.17"/>
    <m/>
    <n v="0"/>
    <n v="30"/>
    <n v="0"/>
    <n v="30"/>
    <n v="0"/>
    <n v="0"/>
    <n v="0"/>
    <n v="30"/>
    <n v="0"/>
    <n v="30"/>
    <n v="0"/>
    <n v="0"/>
    <n v="0"/>
    <m/>
    <m/>
    <m/>
    <m/>
    <m/>
    <m/>
    <m/>
    <m/>
    <m/>
    <m/>
    <m/>
    <m/>
    <m/>
    <m/>
    <m/>
    <m/>
    <m/>
    <m/>
    <m/>
    <m/>
    <m/>
    <m/>
    <m/>
    <m/>
    <m/>
    <m/>
    <m/>
    <m/>
    <m/>
    <m/>
    <m/>
    <m/>
    <m/>
    <m/>
    <m/>
  </r>
  <r>
    <n v="742"/>
    <d v="2025-03-17T00:00:00"/>
    <s v="ZBTO"/>
    <n v="9518606284"/>
    <n v="17"/>
    <s v="9518606284-17"/>
    <s v="May'25"/>
    <x v="0"/>
    <s v="Yes"/>
    <x v="1"/>
    <x v="1"/>
    <s v="2000-BPRS"/>
    <m/>
    <x v="1"/>
    <m/>
    <m/>
    <m/>
    <s v="South"/>
    <s v="VISHAKHAPATNAM"/>
    <m/>
    <n v="946077"/>
    <s v="SITARAM IRON AND STEEL PVT LTD"/>
    <n v="1406015"/>
    <s v="CRCA SHEET TATXXD AU03 0.950X1250X2500"/>
    <s v=" "/>
    <s v=""/>
    <n v="0"/>
    <n v="0"/>
    <m/>
    <s v="C06"/>
    <s v="TATXXD"/>
    <s v="AU03"/>
    <n v="0.95"/>
    <n v="1250"/>
    <n v="2500"/>
    <n v="30"/>
    <n v="0"/>
    <n v="30"/>
    <n v="30"/>
    <n v="30"/>
    <n v="30"/>
    <n v="0"/>
    <n v="0"/>
    <n v="0"/>
    <n v="0"/>
    <n v="0"/>
    <n v="0"/>
    <n v="0"/>
    <n v="0"/>
    <n v="0"/>
    <n v="0"/>
    <n v="0"/>
    <n v="0"/>
    <n v="0"/>
    <n v="0"/>
    <n v="0"/>
    <n v="0"/>
    <n v="0"/>
    <n v="0"/>
    <n v="0"/>
    <n v="0"/>
    <n v="0"/>
    <n v="0"/>
    <n v="0"/>
    <m/>
    <n v="0"/>
    <n v="30"/>
    <n v="0"/>
    <n v="0"/>
    <n v="0"/>
    <n v="30"/>
    <n v="0"/>
    <n v="0"/>
    <n v="0"/>
    <n v="0"/>
    <n v="0"/>
    <n v="0"/>
    <n v="0"/>
    <m/>
    <m/>
    <m/>
    <m/>
    <m/>
    <m/>
    <m/>
    <m/>
    <m/>
    <m/>
    <m/>
    <m/>
    <m/>
    <m/>
    <m/>
    <m/>
    <m/>
    <m/>
    <m/>
    <m/>
    <m/>
    <m/>
    <m/>
    <m/>
    <m/>
    <m/>
    <m/>
    <m/>
    <m/>
    <m/>
    <m/>
    <m/>
    <m/>
    <m/>
    <m/>
  </r>
  <r>
    <n v="742"/>
    <d v="2025-03-18T00:00:00"/>
    <s v="ZBTO"/>
    <n v="9518610997"/>
    <n v="1"/>
    <s v="9518610997-1"/>
    <s v="May'25"/>
    <x v="0"/>
    <s v="Yes"/>
    <x v="1"/>
    <x v="1"/>
    <s v="2000-BPRS"/>
    <m/>
    <x v="1"/>
    <m/>
    <m/>
    <m/>
    <s v="South"/>
    <s v="PATTANCHERY"/>
    <m/>
    <n v="939422"/>
    <s v="VIJAY VENKAT STEELS PRIVATE LIMITED"/>
    <n v="1804826"/>
    <s v="CRCA COIL-TATXXD-AU03-0.9X1250"/>
    <s v=" "/>
    <s v=""/>
    <n v="10"/>
    <n v="30"/>
    <m/>
    <s v="C01"/>
    <s v="TATXXD"/>
    <s v="AU03"/>
    <n v="0.9"/>
    <n v="1250"/>
    <n v="0"/>
    <n v="58"/>
    <n v="0"/>
    <n v="58"/>
    <n v="58"/>
    <n v="30.31"/>
    <n v="58"/>
    <n v="0"/>
    <n v="0"/>
    <n v="0"/>
    <n v="0"/>
    <n v="0"/>
    <n v="0"/>
    <n v="0"/>
    <n v="0"/>
    <n v="0"/>
    <n v="0"/>
    <n v="0"/>
    <n v="0"/>
    <n v="0"/>
    <n v="27.69"/>
    <n v="0"/>
    <n v="0"/>
    <n v="0"/>
    <n v="0"/>
    <n v="0"/>
    <n v="27.69"/>
    <n v="27.69"/>
    <n v="0"/>
    <n v="27.69"/>
    <m/>
    <n v="0"/>
    <n v="58"/>
    <n v="0"/>
    <n v="0"/>
    <n v="58"/>
    <n v="0"/>
    <n v="0"/>
    <n v="0"/>
    <n v="0"/>
    <n v="0"/>
    <n v="0"/>
    <n v="0"/>
    <n v="0"/>
    <m/>
    <m/>
    <m/>
    <m/>
    <m/>
    <m/>
    <m/>
    <m/>
    <m/>
    <m/>
    <m/>
    <m/>
    <m/>
    <m/>
    <m/>
    <m/>
    <m/>
    <m/>
    <m/>
    <m/>
    <m/>
    <m/>
    <m/>
    <m/>
    <m/>
    <m/>
    <m/>
    <m/>
    <m/>
    <m/>
    <m/>
    <m/>
    <m/>
    <m/>
    <m/>
  </r>
  <r>
    <n v="742"/>
    <d v="2025-03-28T00:00:00"/>
    <s v="ZBTO"/>
    <n v="9518649438"/>
    <n v="11"/>
    <s v="9518649438-11"/>
    <s v="May'25"/>
    <x v="0"/>
    <s v="Yes"/>
    <x v="1"/>
    <x v="2"/>
    <s v="2000-BPRS"/>
    <m/>
    <x v="1"/>
    <m/>
    <m/>
    <m/>
    <s v="South"/>
    <s v="CHENNAI"/>
    <m/>
    <n v="116465"/>
    <s v="SRI BALAJI STEEL TRADERS"/>
    <n v="3239564"/>
    <s v="CRCA SHEET TATCRC SR16 0.450X1000X1980"/>
    <s v=" "/>
    <s v=""/>
    <n v="0"/>
    <n v="0"/>
    <m/>
    <s v="C06"/>
    <s v="TATCRC"/>
    <s v="SR16"/>
    <n v="0.45"/>
    <n v="1000"/>
    <n v="1980"/>
    <n v="21"/>
    <n v="0"/>
    <n v="21"/>
    <n v="21"/>
    <n v="-1.2199999999999989"/>
    <n v="21"/>
    <n v="0"/>
    <n v="0"/>
    <n v="0"/>
    <n v="0"/>
    <n v="0"/>
    <n v="0"/>
    <n v="0"/>
    <n v="0"/>
    <n v="0"/>
    <n v="0"/>
    <n v="0"/>
    <n v="0"/>
    <n v="0"/>
    <n v="22.22"/>
    <n v="0"/>
    <n v="0"/>
    <n v="0"/>
    <n v="0"/>
    <n v="0"/>
    <n v="22.22"/>
    <n v="22.22"/>
    <n v="0"/>
    <n v="22.22"/>
    <m/>
    <n v="0"/>
    <n v="21"/>
    <n v="0"/>
    <n v="21"/>
    <n v="0"/>
    <n v="0"/>
    <n v="0"/>
    <n v="21"/>
    <n v="0"/>
    <n v="21"/>
    <n v="0"/>
    <n v="0"/>
    <n v="0"/>
    <m/>
    <m/>
    <m/>
    <m/>
    <m/>
    <m/>
    <m/>
    <m/>
    <m/>
    <m/>
    <m/>
    <m/>
    <m/>
    <m/>
    <m/>
    <m/>
    <m/>
    <m/>
    <m/>
    <m/>
    <m/>
    <m/>
    <m/>
    <m/>
    <m/>
    <m/>
    <m/>
    <m/>
    <m/>
    <m/>
    <m/>
    <m/>
    <m/>
    <m/>
    <m/>
  </r>
  <r>
    <n v="742"/>
    <d v="2025-04-11T00:00:00"/>
    <s v="ZBTO"/>
    <n v="9518685128"/>
    <n v="1"/>
    <s v="9518685128-1"/>
    <s v="No Priority"/>
    <x v="0"/>
    <m/>
    <x v="1"/>
    <x v="12"/>
    <s v="2000-BPRS"/>
    <m/>
    <x v="0"/>
    <m/>
    <m/>
    <m/>
    <s v="South"/>
    <s v="GUMMIDIPOONDI"/>
    <m/>
    <n v="161312"/>
    <s v="GOVINDARAJA MUDALIAR SONS PVT LTD"/>
    <n v="4001376"/>
    <s v="CR COIL TSBSTA EL03 0.500X1160"/>
    <s v=" "/>
    <s v=""/>
    <n v="6"/>
    <n v="18"/>
    <m/>
    <s v="C01"/>
    <s v="TSBSTA"/>
    <s v="EL03"/>
    <n v="0.5"/>
    <n v="1160"/>
    <n v="0"/>
    <n v="270"/>
    <n v="0"/>
    <n v="270"/>
    <n v="270"/>
    <n v="270"/>
    <n v="270"/>
    <n v="0"/>
    <n v="0"/>
    <n v="0"/>
    <n v="0"/>
    <n v="0"/>
    <n v="0"/>
    <n v="0"/>
    <n v="0"/>
    <n v="0"/>
    <n v="0"/>
    <n v="0"/>
    <n v="0"/>
    <n v="0"/>
    <n v="0"/>
    <n v="0"/>
    <n v="0"/>
    <n v="0"/>
    <n v="0"/>
    <n v="0"/>
    <n v="0"/>
    <n v="0"/>
    <n v="0"/>
    <n v="0"/>
    <m/>
    <n v="0"/>
    <n v="0"/>
    <n v="0"/>
    <n v="0"/>
    <n v="0"/>
    <n v="0"/>
    <n v="0"/>
    <n v="0"/>
    <n v="0"/>
    <n v="0"/>
    <n v="0"/>
    <n v="0"/>
    <n v="0"/>
    <m/>
    <m/>
    <m/>
    <m/>
    <m/>
    <m/>
    <m/>
    <m/>
    <m/>
    <m/>
    <m/>
    <m/>
    <m/>
    <m/>
    <m/>
    <m/>
    <m/>
    <m/>
    <m/>
    <m/>
    <m/>
    <m/>
    <m/>
    <m/>
    <m/>
    <m/>
    <m/>
    <m/>
    <m/>
    <m/>
    <m/>
    <m/>
    <m/>
    <m/>
    <m/>
  </r>
  <r>
    <n v="744"/>
    <d v="2025-04-05T00:00:00"/>
    <s v="ZBTO"/>
    <n v="9518671154"/>
    <n v="3"/>
    <s v="9518671154-3"/>
    <s v="May'25"/>
    <x v="0"/>
    <m/>
    <x v="2"/>
    <x v="3"/>
    <s v="1000-IPPE"/>
    <m/>
    <x v="1"/>
    <m/>
    <m/>
    <m/>
    <s v="TBSPL"/>
    <s v="RAJASTHAN"/>
    <m/>
    <n v="940008"/>
    <s v="TATA BLUESCOPE STEEL PVT LTD."/>
    <n v="3996225"/>
    <s v="PPGL C HARD Y550PL HPL6 0.400X1220"/>
    <s v="AZ150"/>
    <s v="NG BRIGHT GREEN TSL 2211"/>
    <n v="3"/>
    <n v="5"/>
    <m/>
    <s v="B18"/>
    <s v="Y550PL"/>
    <s v="HPL6"/>
    <n v="0.4"/>
    <n v="1220"/>
    <n v="0"/>
    <n v="27.998999999999999"/>
    <n v="0"/>
    <n v="27.998999999999999"/>
    <n v="27.998999999999999"/>
    <n v="27.998999999999999"/>
    <n v="27.998999999999999"/>
    <n v="0"/>
    <n v="0"/>
    <n v="0"/>
    <n v="0"/>
    <n v="0"/>
    <n v="0"/>
    <n v="0"/>
    <n v="0"/>
    <n v="0"/>
    <n v="0"/>
    <n v="0"/>
    <n v="0"/>
    <n v="0"/>
    <n v="0"/>
    <n v="0"/>
    <n v="0"/>
    <n v="0"/>
    <n v="0"/>
    <n v="0"/>
    <n v="0"/>
    <n v="0"/>
    <n v="0"/>
    <n v="0"/>
    <m/>
    <n v="0"/>
    <n v="27.998999999999999"/>
    <n v="0"/>
    <n v="27.998999999999999"/>
    <n v="0"/>
    <n v="0"/>
    <n v="0"/>
    <n v="27.998999999999999"/>
    <n v="0"/>
    <n v="27.998999999999999"/>
    <n v="0"/>
    <n v="0"/>
    <n v="0"/>
    <m/>
    <m/>
    <m/>
    <m/>
    <m/>
    <m/>
    <m/>
    <m/>
    <m/>
    <m/>
    <m/>
    <m/>
    <m/>
    <m/>
    <m/>
    <m/>
    <m/>
    <m/>
    <m/>
    <m/>
    <m/>
    <m/>
    <m/>
    <m/>
    <m/>
    <m/>
    <m/>
    <m/>
    <m/>
    <m/>
    <m/>
    <m/>
    <m/>
    <m/>
    <m/>
  </r>
  <r>
    <n v="744"/>
    <d v="2025-04-05T00:00:00"/>
    <s v="ZBTO"/>
    <n v="9518671154"/>
    <n v="4"/>
    <s v="9518671154-4"/>
    <s v="Stocks"/>
    <x v="0"/>
    <m/>
    <x v="2"/>
    <x v="3"/>
    <s v="1000-IPPE"/>
    <m/>
    <x v="1"/>
    <m/>
    <m/>
    <m/>
    <s v="TBSPL"/>
    <s v="RAJASTHAN"/>
    <m/>
    <n v="940008"/>
    <s v="TATA BLUESCOPE STEEL PVT LTD."/>
    <n v="3996225"/>
    <s v="PPGL C HARD Y550PL HPL6 0.400X1220"/>
    <s v="AZ150"/>
    <s v="NG SMART GREY TSL 1905"/>
    <n v="3"/>
    <n v="5"/>
    <m/>
    <s v="B18"/>
    <s v="Y550PL"/>
    <s v="HPL6"/>
    <n v="0.4"/>
    <n v="1220"/>
    <n v="0"/>
    <n v="28"/>
    <n v="0"/>
    <n v="28"/>
    <n v="28"/>
    <n v="28"/>
    <n v="3.4"/>
    <n v="0"/>
    <n v="0"/>
    <n v="0"/>
    <n v="0"/>
    <n v="0"/>
    <n v="0"/>
    <n v="0"/>
    <n v="0"/>
    <n v="0"/>
    <n v="0"/>
    <n v="0"/>
    <n v="0"/>
    <n v="0"/>
    <n v="0"/>
    <n v="0"/>
    <n v="0"/>
    <n v="0"/>
    <n v="0"/>
    <n v="0"/>
    <n v="0"/>
    <n v="0"/>
    <n v="0"/>
    <n v="0"/>
    <m/>
    <n v="2.4249999999999998"/>
    <n v="0"/>
    <n v="0"/>
    <n v="0"/>
    <n v="0"/>
    <n v="0"/>
    <n v="0"/>
    <n v="0"/>
    <n v="0"/>
    <n v="0"/>
    <n v="0"/>
    <n v="0"/>
    <n v="0"/>
    <m/>
    <m/>
    <m/>
    <m/>
    <m/>
    <m/>
    <m/>
    <m/>
    <m/>
    <m/>
    <m/>
    <m/>
    <m/>
    <m/>
    <m/>
    <m/>
    <m/>
    <m/>
    <m/>
    <m/>
    <m/>
    <m/>
    <m/>
    <m/>
    <m/>
    <m/>
    <m/>
    <m/>
    <m/>
    <m/>
    <m/>
    <m/>
    <m/>
    <m/>
    <m/>
  </r>
  <r>
    <n v="742"/>
    <d v="2025-04-18T00:00:00"/>
    <s v="ZBTO"/>
    <n v="9518703423"/>
    <n v="2"/>
    <s v="9518703423-2"/>
    <s v="No Priority"/>
    <x v="0"/>
    <m/>
    <x v="1"/>
    <x v="10"/>
    <s v="1000-IPPE"/>
    <m/>
    <x v="0"/>
    <m/>
    <m/>
    <m/>
    <s v="South"/>
    <s v="CHENNAI"/>
    <m/>
    <n v="187214"/>
    <s v="BALMER LAWRIE &amp; CO. LIMITED.."/>
    <n v="2421724"/>
    <s v="CRCA COIL TATXXD BT01 0.970X1310"/>
    <s v=" "/>
    <s v=""/>
    <n v="6"/>
    <n v="12"/>
    <m/>
    <s v="C01"/>
    <s v="TATXXD"/>
    <s v="BT01"/>
    <n v="0.97"/>
    <n v="1310"/>
    <n v="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23"/>
    <n v="3"/>
    <s v="9518703423-3"/>
    <s v="No Priority"/>
    <x v="0"/>
    <m/>
    <x v="1"/>
    <x v="10"/>
    <s v="1000-IPPE"/>
    <m/>
    <x v="0"/>
    <m/>
    <m/>
    <m/>
    <s v="South"/>
    <s v="CHENNAI"/>
    <m/>
    <n v="187214"/>
    <s v="BALMER LAWRIE &amp; CO. LIMITED.."/>
    <n v="3701960"/>
    <s v="CR COIL TATXXD BT01 1.200X1310"/>
    <s v=" "/>
    <s v=""/>
    <n v="8"/>
    <n v="12"/>
    <m/>
    <s v="C01"/>
    <s v="TATXXD"/>
    <s v="BT01"/>
    <n v="1.2"/>
    <n v="1310"/>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251"/>
    <n v="2"/>
    <s v="9518703251-2"/>
    <s v="May'25"/>
    <x v="0"/>
    <m/>
    <x v="1"/>
    <x v="10"/>
    <s v="1000-IPPE"/>
    <m/>
    <x v="1"/>
    <m/>
    <s v="P1-Priority for Balmer"/>
    <m/>
    <s v="West"/>
    <s v="VADODARA"/>
    <m/>
    <n v="189022"/>
    <s v="Balmer Lawrie And Company Limited"/>
    <n v="2164807"/>
    <s v="CRCA COIL TATXXD BT01 1.200X1315"/>
    <s v=" "/>
    <s v=""/>
    <n v="8"/>
    <n v="12"/>
    <m/>
    <s v="C01"/>
    <s v="TATXXD"/>
    <s v="BT01"/>
    <n v="1.2"/>
    <n v="1315"/>
    <n v="0"/>
    <n v="60.999000000000002"/>
    <n v="0"/>
    <n v="60.999000000000002"/>
    <n v="60.999000000000002"/>
    <n v="60.999000000000002"/>
    <n v="60.999000000000002"/>
    <n v="0"/>
    <n v="0"/>
    <n v="0"/>
    <n v="0"/>
    <n v="0"/>
    <n v="0"/>
    <n v="0"/>
    <n v="0"/>
    <n v="0"/>
    <n v="0"/>
    <n v="0"/>
    <n v="0"/>
    <n v="0"/>
    <n v="0"/>
    <n v="0"/>
    <n v="0"/>
    <n v="0"/>
    <n v="0"/>
    <n v="0"/>
    <n v="0"/>
    <n v="0"/>
    <n v="0"/>
    <n v="0"/>
    <m/>
    <n v="0"/>
    <n v="60.999000000000002"/>
    <n v="0"/>
    <n v="0"/>
    <n v="60.999000000000002"/>
    <n v="0"/>
    <n v="0"/>
    <n v="0"/>
    <n v="0"/>
    <n v="0"/>
    <n v="0"/>
    <n v="0"/>
    <n v="0"/>
    <m/>
    <m/>
    <m/>
    <m/>
    <m/>
    <m/>
    <m/>
    <m/>
    <m/>
    <m/>
    <m/>
    <m/>
    <m/>
    <m/>
    <m/>
    <m/>
    <m/>
    <m/>
    <m/>
    <m/>
    <m/>
    <m/>
    <m/>
    <m/>
    <m/>
    <m/>
    <m/>
    <m/>
    <m/>
    <m/>
    <m/>
    <m/>
    <m/>
    <m/>
    <m/>
  </r>
  <r>
    <n v="742"/>
    <d v="2025-04-18T00:00:00"/>
    <s v="ZBTO"/>
    <n v="9518703428"/>
    <n v="3"/>
    <s v="9518703428-3"/>
    <s v="No Priority"/>
    <x v="0"/>
    <m/>
    <x v="1"/>
    <x v="10"/>
    <s v="1000-IPPE"/>
    <m/>
    <x v="0"/>
    <m/>
    <m/>
    <m/>
    <s v="South"/>
    <s v="CHENNAI"/>
    <m/>
    <n v="187214"/>
    <s v="BALMER LAWRIE &amp; CO. LIMITED.."/>
    <n v="3701960"/>
    <s v="CR COIL TATXXD BT01 1.200X1310"/>
    <s v=" "/>
    <s v=""/>
    <n v="8"/>
    <n v="12"/>
    <m/>
    <s v="C01"/>
    <s v="TATXXD"/>
    <s v="BT01"/>
    <n v="1.2"/>
    <n v="1310"/>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4"/>
    <d v="2025-04-08T00:00:00"/>
    <s v="ZBTO"/>
    <n v="9518676905"/>
    <n v="5"/>
    <s v="9518676905-5"/>
    <s v="May'25"/>
    <x v="0"/>
    <m/>
    <x v="2"/>
    <x v="3"/>
    <s v="1000-IPPE"/>
    <m/>
    <x v="1"/>
    <m/>
    <m/>
    <m/>
    <s v="TBSPL"/>
    <s v=" "/>
    <m/>
    <n v="941597"/>
    <s v="TATA BLUESCOPE STEEL PRIVATE LIMITE"/>
    <n v="3902332"/>
    <s v="PPGL C HARD Y550PL D0C9 0.50(TPT)X1220"/>
    <s v="AZ150"/>
    <s v="ROYAL BLUE TSL 1815"/>
    <n v="3"/>
    <n v="5"/>
    <m/>
    <s v="B18"/>
    <s v="Y550PL"/>
    <s v="D0C9"/>
    <n v="0.5"/>
    <n v="1220"/>
    <n v="0"/>
    <n v="56"/>
    <n v="0"/>
    <n v="56"/>
    <n v="56"/>
    <n v="56"/>
    <n v="22.215"/>
    <n v="0"/>
    <n v="0"/>
    <n v="0"/>
    <n v="0"/>
    <n v="0"/>
    <n v="0"/>
    <n v="0"/>
    <n v="0"/>
    <n v="0"/>
    <n v="0"/>
    <n v="0"/>
    <n v="0"/>
    <n v="0"/>
    <n v="0"/>
    <n v="0"/>
    <n v="0"/>
    <n v="0"/>
    <n v="0"/>
    <n v="0"/>
    <n v="0"/>
    <n v="0"/>
    <n v="0"/>
    <n v="0"/>
    <m/>
    <n v="33.784999999999997"/>
    <n v="22.215"/>
    <n v="0"/>
    <n v="0"/>
    <n v="0"/>
    <n v="22.215"/>
    <n v="0"/>
    <n v="0"/>
    <n v="0"/>
    <n v="0"/>
    <n v="0"/>
    <n v="0"/>
    <n v="0"/>
    <m/>
    <m/>
    <m/>
    <m/>
    <m/>
    <m/>
    <m/>
    <m/>
    <m/>
    <m/>
    <m/>
    <m/>
    <m/>
    <m/>
    <m/>
    <m/>
    <m/>
    <m/>
    <m/>
    <m/>
    <m/>
    <m/>
    <m/>
    <m/>
    <m/>
    <m/>
    <m/>
    <m/>
    <m/>
    <m/>
    <m/>
    <m/>
    <m/>
    <m/>
    <m/>
  </r>
  <r>
    <n v="743"/>
    <d v="2025-02-14T00:00:00"/>
    <s v="ZBTO"/>
    <n v="9518519865"/>
    <n v="1"/>
    <s v="9518519865-1"/>
    <s v="No Priority"/>
    <x v="0"/>
    <m/>
    <x v="4"/>
    <x v="10"/>
    <s v="1000-IPPE"/>
    <m/>
    <x v="0"/>
    <m/>
    <s v="No allocation for IPP"/>
    <m/>
    <s v="South"/>
    <s v="VINJAMURU"/>
    <m/>
    <n v="188750"/>
    <s v="Colorshine Coated Pvt.Ltd."/>
    <n v="3946807"/>
    <s v="GL COIL HARD  Y550GL H9GL 0.320X1245"/>
    <s v="AZ150"/>
    <s v=""/>
    <n v="7"/>
    <n v="20"/>
    <m/>
    <s v="B04"/>
    <s v="Y550GL"/>
    <s v="H9GL"/>
    <n v="0.32"/>
    <n v="1245"/>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2-13T00:00:00"/>
    <s v="ZBTF"/>
    <n v="9518517180"/>
    <n v="2"/>
    <s v="9518517180-2"/>
    <s v="May'25"/>
    <x v="0"/>
    <m/>
    <x v="1"/>
    <x v="7"/>
    <s v="1000-IPPE"/>
    <m/>
    <x v="1"/>
    <m/>
    <m/>
    <m/>
    <s v="East"/>
    <s v="PILKHUWA"/>
    <m/>
    <n v="600250"/>
    <s v="TATA CENTER"/>
    <n v="2439203"/>
    <s v="CRCA COIL TSBSTA EL06 0.500X1160"/>
    <s v=" "/>
    <s v=""/>
    <n v="8"/>
    <n v="13"/>
    <m/>
    <s v="C01"/>
    <s v="TSBSTA"/>
    <s v="EL06"/>
    <n v="0.5"/>
    <n v="1160"/>
    <n v="0"/>
    <n v="297"/>
    <n v="279.79500000000002"/>
    <n v="17.204999999999998"/>
    <n v="17.204999999999998"/>
    <n v="17.204999999999998"/>
    <n v="17.204999999999998"/>
    <n v="0"/>
    <n v="0"/>
    <n v="0"/>
    <n v="0"/>
    <n v="0"/>
    <n v="0"/>
    <n v="0"/>
    <n v="0"/>
    <n v="0"/>
    <n v="0"/>
    <n v="0"/>
    <n v="0"/>
    <n v="0"/>
    <n v="0"/>
    <n v="0"/>
    <n v="0"/>
    <n v="0"/>
    <n v="0"/>
    <n v="0"/>
    <n v="0"/>
    <n v="0"/>
    <n v="0"/>
    <n v="0"/>
    <m/>
    <n v="0"/>
    <n v="17.204999999999998"/>
    <n v="0"/>
    <n v="0"/>
    <n v="17.204999999999998"/>
    <n v="0"/>
    <n v="0"/>
    <n v="0"/>
    <n v="0"/>
    <n v="0"/>
    <n v="0"/>
    <n v="0"/>
    <n v="0"/>
    <m/>
    <m/>
    <m/>
    <m/>
    <m/>
    <m/>
    <m/>
    <m/>
    <m/>
    <m/>
    <m/>
    <m/>
    <m/>
    <m/>
    <m/>
    <m/>
    <m/>
    <m/>
    <m/>
    <m/>
    <m/>
    <m/>
    <m/>
    <m/>
    <m/>
    <m/>
    <m/>
    <m/>
    <m/>
    <m/>
    <m/>
    <m/>
    <m/>
    <m/>
    <m/>
  </r>
  <r>
    <n v="742"/>
    <d v="2025-02-11T00:00:00"/>
    <s v="ZBTO"/>
    <n v="9518510681"/>
    <n v="2"/>
    <s v="9518510681-2"/>
    <s v="No Priority"/>
    <x v="0"/>
    <m/>
    <x v="1"/>
    <x v="2"/>
    <s v="2000-BPRS"/>
    <m/>
    <x v="0"/>
    <m/>
    <s v="Exp BTF &lt;17MT"/>
    <m/>
    <s v="North"/>
    <s v="KANPUR"/>
    <m/>
    <n v="115841"/>
    <s v="O.V.S. ISPAT UDYOG"/>
    <n v="3240787"/>
    <s v="CRCA SHEET TSBCRC SR15 0.700X1250X1930"/>
    <s v=" "/>
    <s v=""/>
    <n v="0"/>
    <n v="0"/>
    <m/>
    <s v="C06"/>
    <s v="TSBCRC"/>
    <s v="SR15"/>
    <n v="0.7"/>
    <n v="1250"/>
    <n v="1930"/>
    <n v="33"/>
    <n v="25.87"/>
    <n v="7.13"/>
    <n v="7.13"/>
    <n v="7.13"/>
    <n v="7.13"/>
    <n v="0"/>
    <n v="0"/>
    <n v="0"/>
    <n v="0"/>
    <n v="0"/>
    <n v="0"/>
    <n v="0"/>
    <n v="0"/>
    <n v="0"/>
    <n v="0"/>
    <n v="0"/>
    <n v="0"/>
    <n v="0"/>
    <n v="0"/>
    <n v="0"/>
    <n v="0"/>
    <n v="0"/>
    <n v="0"/>
    <n v="0"/>
    <n v="0"/>
    <n v="0"/>
    <n v="0"/>
    <n v="0"/>
    <m/>
    <n v="0"/>
    <n v="0"/>
    <n v="0"/>
    <n v="0"/>
    <n v="0"/>
    <n v="0"/>
    <n v="0"/>
    <n v="0"/>
    <n v="0"/>
    <n v="0"/>
    <n v="0"/>
    <n v="0"/>
    <n v="0"/>
    <m/>
    <m/>
    <m/>
    <m/>
    <m/>
    <m/>
    <m/>
    <m/>
    <m/>
    <m/>
    <m/>
    <m/>
    <m/>
    <m/>
    <m/>
    <m/>
    <m/>
    <m/>
    <m/>
    <m/>
    <m/>
    <m/>
    <m/>
    <m/>
    <m/>
    <m/>
    <m/>
    <m/>
    <m/>
    <m/>
    <m/>
    <m/>
    <m/>
    <m/>
    <m/>
  </r>
  <r>
    <n v="742"/>
    <d v="2025-02-11T00:00:00"/>
    <s v="ZBTO"/>
    <n v="9518510371"/>
    <n v="3"/>
    <s v="9518510371-3"/>
    <s v="No Priority"/>
    <x v="0"/>
    <m/>
    <x v="1"/>
    <x v="2"/>
    <s v="2000-BPRS"/>
    <m/>
    <x v="0"/>
    <m/>
    <s v="Exp BTF &lt;17MT"/>
    <m/>
    <s v="North"/>
    <s v="GORAKHPUR"/>
    <m/>
    <n v="115841"/>
    <s v="O.V.S. ISPAT UDYOG"/>
    <n v="3240765"/>
    <s v="CRCA SHEET TSBCRC SR15 0.500X1250X2500"/>
    <s v=" "/>
    <s v=""/>
    <n v="0"/>
    <n v="0"/>
    <m/>
    <s v="C06"/>
    <s v="TSBCRC"/>
    <s v="SR15"/>
    <n v="0.5"/>
    <n v="1250"/>
    <n v="2500"/>
    <n v="39"/>
    <n v="34.869999999999997"/>
    <n v="4.13"/>
    <n v="4.13"/>
    <n v="4.13"/>
    <n v="4.13"/>
    <n v="0"/>
    <n v="0"/>
    <n v="0"/>
    <n v="0"/>
    <n v="0"/>
    <n v="0"/>
    <n v="0"/>
    <n v="0"/>
    <n v="0"/>
    <n v="0"/>
    <n v="0"/>
    <n v="0"/>
    <n v="0"/>
    <n v="0"/>
    <n v="0"/>
    <n v="0"/>
    <n v="0"/>
    <n v="0"/>
    <n v="0"/>
    <n v="0"/>
    <n v="0"/>
    <n v="0"/>
    <n v="0"/>
    <m/>
    <n v="0"/>
    <n v="0"/>
    <n v="0"/>
    <n v="0"/>
    <n v="0"/>
    <n v="0"/>
    <n v="0"/>
    <n v="0"/>
    <n v="0"/>
    <n v="0"/>
    <n v="0"/>
    <n v="0"/>
    <n v="0"/>
    <m/>
    <m/>
    <m/>
    <m/>
    <m/>
    <m/>
    <m/>
    <m/>
    <m/>
    <m/>
    <m/>
    <m/>
    <m/>
    <m/>
    <m/>
    <m/>
    <m/>
    <m/>
    <m/>
    <m/>
    <m/>
    <m/>
    <m/>
    <m/>
    <m/>
    <m/>
    <m/>
    <m/>
    <m/>
    <m/>
    <m/>
    <m/>
    <m/>
    <m/>
    <m/>
  </r>
  <r>
    <n v="743"/>
    <d v="2025-02-14T00:00:00"/>
    <s v="ZBTO"/>
    <n v="9518519620"/>
    <n v="1"/>
    <s v="9518519620-1"/>
    <s v="May'25"/>
    <x v="0"/>
    <s v="Yes"/>
    <x v="3"/>
    <x v="9"/>
    <s v="2000-BPRS"/>
    <m/>
    <x v="1"/>
    <m/>
    <m/>
    <m/>
    <s v="East"/>
    <s v="PATNA"/>
    <m/>
    <n v="103227"/>
    <s v="BMW VENTURES LIMITED"/>
    <n v="1191955"/>
    <s v="GP COIL SOFT-TATXGP-GK09-0.3X900"/>
    <s v="Z80"/>
    <s v=""/>
    <n v="1.75"/>
    <n v="6"/>
    <m/>
    <s v="C02"/>
    <s v="TATXGP"/>
    <s v="GK09"/>
    <n v="0.3"/>
    <n v="900"/>
    <n v="0"/>
    <n v="147"/>
    <n v="2.54"/>
    <n v="144.46"/>
    <n v="144.46"/>
    <n v="144.46"/>
    <n v="144.46"/>
    <n v="0"/>
    <n v="0"/>
    <n v="0"/>
    <n v="0"/>
    <n v="0"/>
    <n v="0"/>
    <n v="0"/>
    <n v="0"/>
    <n v="0"/>
    <n v="0"/>
    <n v="0"/>
    <n v="0"/>
    <n v="0"/>
    <n v="0"/>
    <n v="0"/>
    <n v="0"/>
    <n v="0"/>
    <n v="0"/>
    <n v="0"/>
    <n v="0"/>
    <n v="0"/>
    <n v="0"/>
    <n v="0"/>
    <m/>
    <n v="0"/>
    <n v="144.46"/>
    <n v="0"/>
    <n v="144.46"/>
    <n v="0"/>
    <n v="0"/>
    <n v="0"/>
    <n v="144.46"/>
    <n v="0"/>
    <n v="144.46"/>
    <n v="0"/>
    <n v="0"/>
    <n v="0"/>
    <m/>
    <m/>
    <m/>
    <m/>
    <m/>
    <m/>
    <m/>
    <m/>
    <m/>
    <m/>
    <m/>
    <m/>
    <m/>
    <m/>
    <m/>
    <m/>
    <m/>
    <m/>
    <m/>
    <m/>
    <m/>
    <m/>
    <m/>
    <m/>
    <m/>
    <m/>
    <m/>
    <m/>
    <m/>
    <m/>
    <m/>
    <m/>
    <m/>
    <m/>
    <m/>
  </r>
  <r>
    <n v="743"/>
    <d v="2025-02-10T00:00:00"/>
    <s v="ZBTO"/>
    <n v="9518508377"/>
    <n v="1"/>
    <s v="9518508377-1"/>
    <s v="May'25"/>
    <x v="0"/>
    <s v="Yes"/>
    <x v="3"/>
    <x v="9"/>
    <s v="2000-BPRS"/>
    <m/>
    <x v="1"/>
    <m/>
    <m/>
    <m/>
    <s v="East"/>
    <s v="WEST BOKARO"/>
    <m/>
    <n v="185794"/>
    <s v="Shree Bajrang Steel Udyog"/>
    <n v="1851065"/>
    <s v="GP COIL SOFT-TATXGP-GK09-0.25X900"/>
    <s v="Z80"/>
    <s v=""/>
    <n v="4"/>
    <n v="12"/>
    <m/>
    <s v="C02"/>
    <s v="TATXGP"/>
    <s v="GK09"/>
    <n v="0.25"/>
    <n v="900"/>
    <n v="0"/>
    <n v="21"/>
    <n v="0"/>
    <n v="21"/>
    <n v="21"/>
    <n v="21"/>
    <n v="21"/>
    <n v="0"/>
    <n v="0"/>
    <n v="0"/>
    <n v="0"/>
    <n v="0"/>
    <n v="0"/>
    <n v="0"/>
    <n v="0"/>
    <n v="0"/>
    <n v="0"/>
    <n v="0"/>
    <n v="0"/>
    <n v="0"/>
    <n v="0"/>
    <n v="0"/>
    <n v="0"/>
    <n v="0"/>
    <n v="0"/>
    <n v="0"/>
    <n v="0"/>
    <n v="0"/>
    <n v="0"/>
    <n v="0"/>
    <m/>
    <n v="0"/>
    <n v="21"/>
    <n v="0"/>
    <n v="0"/>
    <n v="21"/>
    <n v="0"/>
    <n v="0"/>
    <n v="0"/>
    <n v="0"/>
    <n v="0"/>
    <n v="0"/>
    <n v="0"/>
    <n v="0"/>
    <m/>
    <m/>
    <m/>
    <m/>
    <m/>
    <m/>
    <m/>
    <m/>
    <m/>
    <m/>
    <m/>
    <m/>
    <m/>
    <m/>
    <m/>
    <m/>
    <m/>
    <m/>
    <m/>
    <m/>
    <m/>
    <m/>
    <m/>
    <m/>
    <m/>
    <m/>
    <m/>
    <m/>
    <m/>
    <m/>
    <m/>
    <m/>
    <m/>
    <m/>
    <m/>
  </r>
  <r>
    <n v="743"/>
    <d v="2025-02-19T00:00:00"/>
    <s v="ZBTO"/>
    <n v="9518532816"/>
    <n v="1"/>
    <s v="9518532816-1"/>
    <s v="May'25"/>
    <x v="0"/>
    <s v="Yes"/>
    <x v="3"/>
    <x v="9"/>
    <s v="2000-BPRS"/>
    <m/>
    <x v="1"/>
    <m/>
    <m/>
    <m/>
    <s v="East"/>
    <s v=" "/>
    <m/>
    <n v="121328"/>
    <s v="R. S. BOKARO METAL (P) LTD."/>
    <n v="1191955"/>
    <s v="GP COIL SOFT-TATXGP-GK09-0.3X900"/>
    <s v="Z80"/>
    <s v=""/>
    <n v="4"/>
    <n v="12"/>
    <m/>
    <s v="C02"/>
    <s v="TATXGP"/>
    <s v="GK09"/>
    <n v="0.3"/>
    <n v="900"/>
    <n v="0"/>
    <n v="63"/>
    <n v="19.64"/>
    <n v="43.36"/>
    <n v="43.36"/>
    <n v="43.36"/>
    <n v="43.36"/>
    <n v="0"/>
    <n v="0"/>
    <n v="0"/>
    <n v="0"/>
    <n v="0"/>
    <n v="0"/>
    <n v="0"/>
    <n v="0"/>
    <n v="0"/>
    <n v="0"/>
    <n v="0"/>
    <n v="0"/>
    <n v="0"/>
    <n v="0"/>
    <n v="0"/>
    <n v="0"/>
    <n v="0"/>
    <n v="0"/>
    <n v="0"/>
    <n v="0"/>
    <n v="0"/>
    <n v="0"/>
    <n v="0"/>
    <m/>
    <n v="0"/>
    <n v="43.36"/>
    <n v="0"/>
    <n v="0"/>
    <n v="0"/>
    <n v="43.36"/>
    <n v="0"/>
    <n v="0"/>
    <n v="0"/>
    <n v="0"/>
    <n v="0"/>
    <n v="0"/>
    <n v="0"/>
    <m/>
    <m/>
    <m/>
    <m/>
    <m/>
    <m/>
    <m/>
    <m/>
    <m/>
    <m/>
    <m/>
    <m/>
    <m/>
    <m/>
    <m/>
    <m/>
    <m/>
    <m/>
    <m/>
    <m/>
    <m/>
    <m/>
    <m/>
    <m/>
    <m/>
    <m/>
    <m/>
    <m/>
    <m/>
    <m/>
    <m/>
    <m/>
    <m/>
    <m/>
    <m/>
  </r>
  <r>
    <n v="743"/>
    <d v="2025-02-10T00:00:00"/>
    <s v="ZBTO"/>
    <n v="9518508377"/>
    <n v="3"/>
    <s v="9518508377-3"/>
    <s v="May'25"/>
    <x v="0"/>
    <s v="Yes"/>
    <x v="3"/>
    <x v="9"/>
    <s v="2000-BPRS"/>
    <m/>
    <x v="1"/>
    <m/>
    <m/>
    <m/>
    <s v="East"/>
    <s v="WEST BOKARO"/>
    <m/>
    <n v="185794"/>
    <s v="Shree Bajrang Steel Udyog"/>
    <n v="1191955"/>
    <s v="GP COIL SOFT-TATXGP-GK09-0.3X900"/>
    <s v="Z80"/>
    <s v=""/>
    <n v="4"/>
    <n v="12"/>
    <m/>
    <s v="C02"/>
    <s v="TATXGP"/>
    <s v="GK09"/>
    <n v="0.3"/>
    <n v="900"/>
    <n v="0"/>
    <n v="105"/>
    <n v="0"/>
    <n v="105"/>
    <n v="105"/>
    <n v="105"/>
    <n v="105"/>
    <n v="0"/>
    <n v="0"/>
    <n v="0"/>
    <n v="0"/>
    <n v="0"/>
    <n v="0"/>
    <n v="0"/>
    <n v="0"/>
    <n v="0"/>
    <n v="0"/>
    <n v="0"/>
    <n v="0"/>
    <n v="0"/>
    <n v="0"/>
    <n v="0"/>
    <n v="0"/>
    <n v="0"/>
    <n v="0"/>
    <n v="0"/>
    <n v="0"/>
    <n v="0"/>
    <n v="0"/>
    <n v="0"/>
    <m/>
    <n v="0"/>
    <n v="105"/>
    <n v="0"/>
    <n v="0"/>
    <n v="0"/>
    <n v="105"/>
    <n v="0"/>
    <n v="0"/>
    <n v="0"/>
    <n v="0"/>
    <n v="0"/>
    <n v="0"/>
    <n v="0"/>
    <m/>
    <m/>
    <m/>
    <m/>
    <m/>
    <m/>
    <m/>
    <m/>
    <m/>
    <m/>
    <m/>
    <m/>
    <m/>
    <m/>
    <m/>
    <m/>
    <m/>
    <m/>
    <m/>
    <m/>
    <m/>
    <m/>
    <m/>
    <m/>
    <m/>
    <m/>
    <m/>
    <m/>
    <m/>
    <m/>
    <m/>
    <m/>
    <m/>
    <m/>
    <m/>
  </r>
  <r>
    <n v="742"/>
    <d v="2025-02-05T00:00:00"/>
    <s v="ZBTO"/>
    <n v="9518495920"/>
    <n v="2"/>
    <s v="9518495920-2"/>
    <s v="No Priority"/>
    <x v="0"/>
    <m/>
    <x v="1"/>
    <x v="2"/>
    <s v="2000-BPRS"/>
    <m/>
    <x v="0"/>
    <m/>
    <m/>
    <m/>
    <s v="North"/>
    <s v="VARANASI"/>
    <m/>
    <n v="931525"/>
    <s v="INDIA STEEL INDUSTRIES"/>
    <n v="3239568"/>
    <s v="CRCA SHEET TATCRC SR16 0.450X1250X2500"/>
    <s v=" "/>
    <s v=""/>
    <n v="0"/>
    <n v="0"/>
    <m/>
    <s v="C06"/>
    <s v="TATCRC"/>
    <s v="SR16"/>
    <n v="0.45"/>
    <n v="1250"/>
    <n v="2500"/>
    <n v="54"/>
    <n v="50.61"/>
    <n v="3.39"/>
    <n v="3.39"/>
    <n v="3.39"/>
    <n v="3.39"/>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50048"/>
    <n v="1"/>
    <s v="9518650048-1"/>
    <s v="No Priority"/>
    <x v="0"/>
    <m/>
    <x v="1"/>
    <x v="12"/>
    <s v="2000-BPRS"/>
    <m/>
    <x v="0"/>
    <m/>
    <m/>
    <m/>
    <s v="South"/>
    <s v="SANGAREDDY"/>
    <m/>
    <n v="947126"/>
    <s v="RAVINDRA IRON WORKS"/>
    <n v="3587949"/>
    <s v="CR COIL TSBSTA EL06 0.500X1250"/>
    <s v=" "/>
    <s v=""/>
    <n v="5"/>
    <n v="30"/>
    <m/>
    <s v="C01"/>
    <s v="TSBSTA"/>
    <s v="EL06"/>
    <n v="0.5"/>
    <n v="1250"/>
    <n v="0"/>
    <n v="87"/>
    <n v="0"/>
    <n v="87"/>
    <n v="6.21"/>
    <n v="87"/>
    <n v="12.035"/>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O"/>
    <n v="9518633147"/>
    <n v="1"/>
    <s v="9518633147-1"/>
    <s v="May'25"/>
    <x v="0"/>
    <s v="Yes"/>
    <x v="1"/>
    <x v="1"/>
    <s v="2000-BPRS"/>
    <m/>
    <x v="1"/>
    <m/>
    <m/>
    <m/>
    <s v="South"/>
    <s v="SANGAREDDY"/>
    <m/>
    <n v="947126"/>
    <s v="RAVINDRA IRON WORKS"/>
    <n v="1804814"/>
    <s v="CRCA COIL TATXXD AU03 0.8X1250"/>
    <s v=" "/>
    <s v=""/>
    <n v="5"/>
    <n v="30"/>
    <m/>
    <s v="C01"/>
    <s v="TATXXD"/>
    <s v="AU03"/>
    <n v="0.8"/>
    <n v="1250"/>
    <n v="0"/>
    <n v="58"/>
    <n v="0"/>
    <n v="58"/>
    <n v="58"/>
    <n v="36.26"/>
    <n v="38.44"/>
    <n v="0"/>
    <n v="0"/>
    <n v="0"/>
    <n v="21.740000000000002"/>
    <n v="0"/>
    <n v="0"/>
    <n v="0"/>
    <n v="0"/>
    <n v="0"/>
    <n v="0"/>
    <n v="0"/>
    <n v="0"/>
    <n v="0"/>
    <n v="0"/>
    <n v="0"/>
    <n v="0"/>
    <n v="0"/>
    <n v="0"/>
    <n v="0"/>
    <n v="21.740000000000002"/>
    <n v="21.740000000000002"/>
    <n v="0"/>
    <n v="21.740000000000002"/>
    <m/>
    <n v="0"/>
    <n v="38.44"/>
    <n v="0"/>
    <n v="38.44"/>
    <n v="0"/>
    <n v="0"/>
    <n v="0"/>
    <n v="38.44"/>
    <n v="0"/>
    <n v="38.44"/>
    <n v="0"/>
    <n v="0"/>
    <n v="0"/>
    <m/>
    <m/>
    <m/>
    <m/>
    <m/>
    <m/>
    <m/>
    <m/>
    <m/>
    <m/>
    <m/>
    <m/>
    <m/>
    <m/>
    <m/>
    <m/>
    <m/>
    <m/>
    <m/>
    <m/>
    <m/>
    <m/>
    <m/>
    <m/>
    <m/>
    <m/>
    <m/>
    <m/>
    <m/>
    <m/>
    <m/>
    <m/>
    <m/>
    <m/>
    <m/>
  </r>
  <r>
    <n v="742"/>
    <d v="2025-03-25T00:00:00"/>
    <s v="ZBTO"/>
    <n v="9518633147"/>
    <n v="2"/>
    <s v="9518633147-2"/>
    <s v="No Priority"/>
    <x v="0"/>
    <m/>
    <x v="1"/>
    <x v="1"/>
    <s v="2000-BPRS"/>
    <m/>
    <x v="0"/>
    <m/>
    <m/>
    <m/>
    <s v="South"/>
    <s v="SANGAREDDY"/>
    <m/>
    <n v="947126"/>
    <s v="RAVINDRA IRON WORKS"/>
    <n v="196233"/>
    <s v="CRSHEET-ICF  DQ TATXXD AU03 1.00 X 1270"/>
    <s v=" "/>
    <s v=""/>
    <n v="5"/>
    <n v="30"/>
    <m/>
    <s v="C01"/>
    <s v="TATXXD"/>
    <s v="AU03"/>
    <n v="1"/>
    <n v="127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O"/>
    <n v="9518633147"/>
    <n v="3"/>
    <s v="9518633147-3"/>
    <s v="No Priority"/>
    <x v="0"/>
    <s v="Yes"/>
    <x v="1"/>
    <x v="1"/>
    <s v="2000-BPRS"/>
    <m/>
    <x v="0"/>
    <m/>
    <m/>
    <m/>
    <s v="South"/>
    <s v="SANGAREDDY"/>
    <m/>
    <n v="947126"/>
    <s v="RAVINDRA IRON WORKS"/>
    <n v="1804854"/>
    <s v="CRCA COIL-TATXXD-AU03-1.2X1250"/>
    <s v=" "/>
    <s v=""/>
    <n v="5"/>
    <n v="30"/>
    <m/>
    <s v="C01"/>
    <s v="TATXXD"/>
    <s v="AU03"/>
    <n v="1.2"/>
    <n v="1250"/>
    <n v="0"/>
    <n v="29"/>
    <n v="0"/>
    <n v="29"/>
    <n v="29"/>
    <n v="29"/>
    <n v="8.89"/>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O"/>
    <n v="9518633147"/>
    <n v="4"/>
    <s v="9518633147-4"/>
    <s v="May'25"/>
    <x v="0"/>
    <s v="Yes"/>
    <x v="1"/>
    <x v="1"/>
    <s v="2000-BPRS"/>
    <m/>
    <x v="1"/>
    <m/>
    <m/>
    <m/>
    <s v="South"/>
    <s v="SANGAREDDY"/>
    <m/>
    <n v="947126"/>
    <s v="RAVINDRA IRON WORKS"/>
    <n v="2334995"/>
    <s v="CRCA COIL TATXXD AU03 1.500X1250"/>
    <s v=" "/>
    <s v=""/>
    <n v="5"/>
    <n v="30"/>
    <m/>
    <s v="C01"/>
    <s v="TATXXD"/>
    <s v="AU03"/>
    <n v="1.5"/>
    <n v="1250"/>
    <n v="0"/>
    <n v="58"/>
    <n v="0"/>
    <n v="58"/>
    <n v="58"/>
    <n v="16.22"/>
    <n v="32.659999999999997"/>
    <n v="0"/>
    <n v="0"/>
    <n v="0"/>
    <n v="0"/>
    <n v="0"/>
    <n v="0"/>
    <n v="0"/>
    <n v="0"/>
    <n v="0"/>
    <n v="0"/>
    <n v="0"/>
    <n v="0"/>
    <n v="41.78"/>
    <n v="0"/>
    <n v="0"/>
    <n v="0"/>
    <n v="0"/>
    <n v="0"/>
    <n v="0"/>
    <n v="41.78"/>
    <n v="41.78"/>
    <n v="0"/>
    <n v="41.78"/>
    <m/>
    <n v="25.34"/>
    <n v="32.659999999999997"/>
    <n v="0"/>
    <n v="32.659999999999997"/>
    <n v="0"/>
    <n v="0"/>
    <n v="0"/>
    <n v="32.659999999999997"/>
    <n v="0"/>
    <n v="32.659999999999997"/>
    <n v="0"/>
    <n v="0"/>
    <n v="0"/>
    <m/>
    <m/>
    <m/>
    <m/>
    <m/>
    <m/>
    <m/>
    <m/>
    <m/>
    <m/>
    <m/>
    <m/>
    <m/>
    <m/>
    <m/>
    <m/>
    <m/>
    <m/>
    <m/>
    <m/>
    <m/>
    <m/>
    <m/>
    <m/>
    <m/>
    <m/>
    <m/>
    <m/>
    <m/>
    <m/>
    <m/>
    <m/>
    <m/>
    <m/>
    <m/>
  </r>
  <r>
    <n v="742"/>
    <d v="2025-03-25T00:00:00"/>
    <s v="ZBTO"/>
    <n v="9518633147"/>
    <n v="6"/>
    <s v="9518633147-6"/>
    <s v="May'25"/>
    <x v="0"/>
    <s v="Yes"/>
    <x v="1"/>
    <x v="1"/>
    <s v="2000-BPRS"/>
    <m/>
    <x v="1"/>
    <m/>
    <m/>
    <m/>
    <s v="South"/>
    <s v="SANGAREDDY"/>
    <m/>
    <n v="947126"/>
    <s v="RAVINDRA IRON WORKS"/>
    <n v="1884117"/>
    <s v="CRCA COIL-TATXXD-AU03-2X1250"/>
    <s v=" "/>
    <s v=""/>
    <n v="5"/>
    <n v="30"/>
    <m/>
    <s v="C01"/>
    <s v="TATXXD"/>
    <s v="AU03"/>
    <n v="2"/>
    <n v="1250"/>
    <n v="0"/>
    <n v="29"/>
    <n v="0"/>
    <n v="29"/>
    <n v="29"/>
    <n v="29"/>
    <n v="29"/>
    <n v="0"/>
    <n v="0"/>
    <n v="0"/>
    <n v="0"/>
    <n v="0"/>
    <n v="0"/>
    <n v="0"/>
    <n v="0"/>
    <n v="0"/>
    <n v="0"/>
    <n v="0"/>
    <n v="0"/>
    <n v="0"/>
    <n v="0"/>
    <n v="0"/>
    <n v="0"/>
    <n v="0"/>
    <n v="0"/>
    <n v="0"/>
    <n v="0"/>
    <n v="0"/>
    <n v="0"/>
    <n v="0"/>
    <m/>
    <n v="0"/>
    <n v="29"/>
    <n v="0"/>
    <n v="0"/>
    <n v="0"/>
    <n v="29"/>
    <n v="0"/>
    <n v="0"/>
    <n v="0"/>
    <n v="0"/>
    <n v="0"/>
    <n v="0"/>
    <n v="0"/>
    <m/>
    <m/>
    <m/>
    <m/>
    <m/>
    <m/>
    <m/>
    <m/>
    <m/>
    <m/>
    <m/>
    <m/>
    <m/>
    <m/>
    <m/>
    <m/>
    <m/>
    <m/>
    <m/>
    <m/>
    <m/>
    <m/>
    <m/>
    <m/>
    <m/>
    <m/>
    <m/>
    <m/>
    <m/>
    <m/>
    <m/>
    <m/>
    <m/>
    <m/>
    <m/>
  </r>
  <r>
    <n v="742"/>
    <d v="2025-03-15T00:00:00"/>
    <s v="ZBTO"/>
    <n v="9518602390"/>
    <n v="4"/>
    <s v="9518602390-4"/>
    <s v="May'25"/>
    <x v="0"/>
    <m/>
    <x v="1"/>
    <x v="1"/>
    <s v="2000-BPRS"/>
    <m/>
    <x v="1"/>
    <m/>
    <m/>
    <m/>
    <s v="North"/>
    <s v="JAIPUR"/>
    <m/>
    <n v="116137"/>
    <s v="PELIKAN DOSSIER (P) LTD "/>
    <n v="1801290"/>
    <s v="CRCA COIL-TATXXD-AU03-0.6X1250"/>
    <s v=" "/>
    <s v=""/>
    <n v="10"/>
    <n v="25"/>
    <m/>
    <s v="C01"/>
    <s v="TATXXD"/>
    <s v="AU03"/>
    <n v="0.6"/>
    <n v="1250"/>
    <n v="0"/>
    <n v="58"/>
    <n v="22.475000000000001"/>
    <n v="35.524999999999999"/>
    <n v="6.9249999999999998"/>
    <n v="6.9249999999999972"/>
    <n v="35.524999999999999"/>
    <n v="0"/>
    <n v="0"/>
    <n v="28.6"/>
    <n v="0"/>
    <n v="0"/>
    <n v="0"/>
    <n v="0"/>
    <n v="0"/>
    <n v="0"/>
    <n v="0"/>
    <n v="0"/>
    <n v="0"/>
    <n v="0"/>
    <n v="0"/>
    <n v="0"/>
    <n v="0"/>
    <n v="0"/>
    <n v="0"/>
    <n v="0"/>
    <n v="28.6"/>
    <n v="28.6"/>
    <n v="0"/>
    <n v="28.6"/>
    <m/>
    <n v="0"/>
    <n v="35.524999999999999"/>
    <n v="0"/>
    <n v="35.524999999999999"/>
    <n v="0"/>
    <n v="0"/>
    <n v="0"/>
    <n v="35.524999999999999"/>
    <n v="0"/>
    <n v="35.524999999999999"/>
    <n v="0"/>
    <n v="0"/>
    <n v="0"/>
    <m/>
    <m/>
    <m/>
    <m/>
    <m/>
    <m/>
    <m/>
    <m/>
    <m/>
    <m/>
    <m/>
    <m/>
    <m/>
    <m/>
    <m/>
    <m/>
    <m/>
    <m/>
    <m/>
    <m/>
    <m/>
    <m/>
    <m/>
    <m/>
    <m/>
    <m/>
    <m/>
    <m/>
    <m/>
    <m/>
    <m/>
    <m/>
    <m/>
    <m/>
    <m/>
  </r>
  <r>
    <n v="742"/>
    <d v="2025-03-25T00:00:00"/>
    <s v="ZBTO"/>
    <n v="9518633147"/>
    <n v="5"/>
    <s v="9518633147-5"/>
    <s v="May'25"/>
    <x v="0"/>
    <s v="Yes"/>
    <x v="1"/>
    <x v="1"/>
    <s v="2000-BPRS"/>
    <m/>
    <x v="1"/>
    <m/>
    <m/>
    <m/>
    <s v="South"/>
    <s v="SANGAREDDY"/>
    <m/>
    <n v="947126"/>
    <s v="RAVINDRA IRON WORKS"/>
    <n v="187538"/>
    <s v="CRSHEET-ICF TATXXD AU03 1.60X1250"/>
    <s v=" "/>
    <s v=""/>
    <n v="5"/>
    <n v="30"/>
    <m/>
    <s v="C01"/>
    <s v="TATXXD"/>
    <s v="AU03"/>
    <n v="1.6"/>
    <n v="1250"/>
    <n v="0"/>
    <n v="87"/>
    <n v="0"/>
    <n v="87"/>
    <n v="87"/>
    <n v="24.03"/>
    <n v="87"/>
    <n v="0"/>
    <n v="0"/>
    <n v="0"/>
    <n v="0"/>
    <n v="0"/>
    <n v="0"/>
    <n v="0"/>
    <n v="0"/>
    <n v="0"/>
    <n v="0"/>
    <n v="21.48"/>
    <n v="0"/>
    <n v="41.49"/>
    <n v="0"/>
    <n v="0"/>
    <n v="0"/>
    <n v="0"/>
    <n v="0"/>
    <n v="0"/>
    <n v="62.97"/>
    <n v="62.97"/>
    <n v="0"/>
    <n v="62.97"/>
    <m/>
    <n v="0"/>
    <n v="87"/>
    <n v="0"/>
    <n v="0"/>
    <n v="87"/>
    <n v="0"/>
    <n v="0"/>
    <n v="0"/>
    <n v="0"/>
    <n v="0"/>
    <n v="0"/>
    <n v="0"/>
    <n v="0"/>
    <m/>
    <m/>
    <m/>
    <m/>
    <m/>
    <m/>
    <m/>
    <m/>
    <m/>
    <m/>
    <m/>
    <m/>
    <m/>
    <m/>
    <m/>
    <m/>
    <m/>
    <m/>
    <m/>
    <m/>
    <m/>
    <m/>
    <m/>
    <m/>
    <m/>
    <m/>
    <m/>
    <m/>
    <m/>
    <m/>
    <m/>
    <m/>
    <m/>
    <m/>
    <m/>
  </r>
  <r>
    <n v="742"/>
    <d v="2025-03-25T00:00:00"/>
    <s v="ZBTO"/>
    <n v="9518633147"/>
    <n v="7"/>
    <s v="9518633147-7"/>
    <s v="No Priority"/>
    <x v="0"/>
    <m/>
    <x v="1"/>
    <x v="1"/>
    <s v="2000-BPRS"/>
    <m/>
    <x v="0"/>
    <m/>
    <m/>
    <m/>
    <s v="South"/>
    <s v="SANGAREDDY"/>
    <m/>
    <n v="947126"/>
    <s v="RAVINDRA IRON WORKS"/>
    <n v="2155233"/>
    <s v="CRCA COIL TATXXD AU03 2.5X1250"/>
    <s v=" "/>
    <s v=""/>
    <n v="5"/>
    <n v="30"/>
    <m/>
    <s v="C01"/>
    <s v="TATXXD"/>
    <s v="AU03"/>
    <n v="2.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3"/>
    <d v="2025-02-21T00:00:00"/>
    <s v="ZBTO"/>
    <n v="9518539704"/>
    <n v="1"/>
    <s v="9518539704-1"/>
    <s v="No Priority"/>
    <x v="0"/>
    <m/>
    <x v="4"/>
    <x v="5"/>
    <s v="1000-IPPE"/>
    <m/>
    <x v="0"/>
    <m/>
    <s v="Centre slit HR not available"/>
    <m/>
    <s v="South"/>
    <s v="ZAHIRABAD"/>
    <m/>
    <n v="188152"/>
    <s v="Metalkraft Forming Industries Pvt L"/>
    <n v="3893161"/>
    <s v="GL COIL HARD  Y550GL HGL6 0.940X1160"/>
    <s v="AZ150"/>
    <s v=""/>
    <n v="8"/>
    <n v="12"/>
    <m/>
    <s v="B04"/>
    <s v="Y550GL"/>
    <s v="HGL6"/>
    <n v="0.94"/>
    <n v="1160"/>
    <n v="0"/>
    <n v="162"/>
    <n v="0"/>
    <n v="162"/>
    <n v="162"/>
    <n v="162"/>
    <n v="162"/>
    <n v="0"/>
    <n v="0"/>
    <n v="0"/>
    <n v="0"/>
    <n v="0"/>
    <n v="0"/>
    <n v="0"/>
    <n v="0"/>
    <n v="0"/>
    <n v="0"/>
    <n v="0"/>
    <n v="0"/>
    <n v="0"/>
    <n v="0"/>
    <n v="0"/>
    <n v="0"/>
    <n v="0"/>
    <n v="0"/>
    <n v="0"/>
    <n v="0"/>
    <n v="0"/>
    <n v="0"/>
    <n v="0"/>
    <m/>
    <n v="0"/>
    <n v="0"/>
    <n v="0"/>
    <n v="0"/>
    <n v="0"/>
    <n v="0"/>
    <n v="0"/>
    <n v="0"/>
    <n v="0"/>
    <n v="0"/>
    <n v="0"/>
    <n v="0"/>
    <n v="0"/>
    <m/>
    <m/>
    <m/>
    <m/>
    <m/>
    <m/>
    <m/>
    <m/>
    <m/>
    <m/>
    <m/>
    <m/>
    <m/>
    <m/>
    <m/>
    <m/>
    <m/>
    <m/>
    <m/>
    <m/>
    <m/>
    <m/>
    <m/>
    <m/>
    <m/>
    <m/>
    <m/>
    <m/>
    <m/>
    <m/>
    <m/>
    <m/>
    <m/>
    <m/>
    <m/>
  </r>
  <r>
    <n v="742"/>
    <d v="2025-03-20T00:00:00"/>
    <s v="ZBTO"/>
    <n v="9518617308"/>
    <n v="1"/>
    <s v="9518617308-1"/>
    <s v="No Priority"/>
    <x v="0"/>
    <m/>
    <x v="1"/>
    <x v="1"/>
    <s v="2000-BPRS"/>
    <m/>
    <x v="0"/>
    <m/>
    <m/>
    <m/>
    <s v="North"/>
    <s v="FARIDABAD"/>
    <m/>
    <n v="144917"/>
    <s v="BANSAL BROTHERS"/>
    <n v="1804814"/>
    <s v="CRCA COIL TATXXD AU03 0.8X1250"/>
    <s v=" "/>
    <s v=""/>
    <n v="10"/>
    <n v="30"/>
    <m/>
    <s v="C01"/>
    <s v="TATXXD"/>
    <s v="AU03"/>
    <n v="0.8"/>
    <n v="1250"/>
    <n v="0"/>
    <n v="29"/>
    <n v="0"/>
    <n v="29"/>
    <n v="29"/>
    <n v="1.5500000000000007"/>
    <n v="29"/>
    <n v="0"/>
    <n v="0"/>
    <n v="0"/>
    <n v="0"/>
    <n v="0"/>
    <n v="0"/>
    <n v="0"/>
    <n v="0"/>
    <n v="0"/>
    <n v="0"/>
    <n v="0"/>
    <n v="0"/>
    <n v="27.45"/>
    <n v="0"/>
    <n v="0"/>
    <n v="0"/>
    <n v="0"/>
    <n v="0"/>
    <n v="0"/>
    <n v="27.45"/>
    <n v="27.45"/>
    <n v="0"/>
    <n v="27.45"/>
    <m/>
    <n v="0"/>
    <n v="0"/>
    <n v="0"/>
    <n v="0"/>
    <n v="0"/>
    <n v="0"/>
    <n v="0"/>
    <n v="0"/>
    <n v="0"/>
    <n v="0"/>
    <n v="0"/>
    <n v="0"/>
    <n v="0"/>
    <m/>
    <m/>
    <m/>
    <m/>
    <m/>
    <m/>
    <m/>
    <m/>
    <m/>
    <m/>
    <m/>
    <m/>
    <m/>
    <m/>
    <m/>
    <m/>
    <m/>
    <m/>
    <m/>
    <m/>
    <m/>
    <m/>
    <m/>
    <m/>
    <m/>
    <m/>
    <m/>
    <m/>
    <m/>
    <m/>
    <m/>
    <m/>
    <m/>
    <m/>
    <m/>
  </r>
  <r>
    <n v="742"/>
    <d v="2025-03-20T00:00:00"/>
    <s v="ZBTO"/>
    <n v="9518617308"/>
    <n v="5"/>
    <s v="9518617308-5"/>
    <s v="No Priority"/>
    <x v="0"/>
    <m/>
    <x v="1"/>
    <x v="1"/>
    <s v="2000-BPRS"/>
    <m/>
    <x v="0"/>
    <m/>
    <m/>
    <m/>
    <s v="North"/>
    <s v="FARIDABAD"/>
    <m/>
    <n v="144917"/>
    <s v="BANSAL BROTHERS"/>
    <n v="1804867"/>
    <s v="CRCA COIL-TATXXD-AU03-1.6X1250"/>
    <s v=" "/>
    <s v=""/>
    <n v="10"/>
    <n v="30"/>
    <m/>
    <s v="C01"/>
    <s v="TATXXD"/>
    <s v="AU03"/>
    <n v="1.6"/>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2-19T00:00:00"/>
    <s v="ZBTO"/>
    <n v="9518533596"/>
    <n v="5"/>
    <s v="9518533596-5"/>
    <s v="May'25"/>
    <x v="0"/>
    <s v="Yes"/>
    <x v="1"/>
    <x v="11"/>
    <s v="2000-BPRS"/>
    <m/>
    <x v="1"/>
    <m/>
    <m/>
    <m/>
    <s v="East"/>
    <s v="JSR"/>
    <m/>
    <n v="155536"/>
    <s v="TATA STEEL DOWNSTREAM PRODUCTS LIMI"/>
    <n v="2420540"/>
    <s v="CRCA COIL TATXXD AH03 2.500X1250"/>
    <s v=" "/>
    <s v=""/>
    <n v="13"/>
    <n v="29"/>
    <m/>
    <s v="C01"/>
    <s v="TATXXD"/>
    <s v="AH03"/>
    <n v="2.5"/>
    <n v="1250"/>
    <n v="0"/>
    <n v="87"/>
    <n v="0"/>
    <n v="87"/>
    <n v="87"/>
    <n v="87"/>
    <n v="87"/>
    <n v="0"/>
    <n v="0"/>
    <n v="0"/>
    <n v="0"/>
    <n v="0"/>
    <n v="0"/>
    <n v="0"/>
    <n v="0"/>
    <n v="0"/>
    <n v="0"/>
    <n v="0"/>
    <n v="0"/>
    <n v="0"/>
    <n v="0"/>
    <n v="0"/>
    <n v="0"/>
    <n v="0"/>
    <n v="0"/>
    <n v="0"/>
    <n v="0"/>
    <n v="0"/>
    <n v="0"/>
    <n v="0"/>
    <m/>
    <n v="0"/>
    <n v="87"/>
    <n v="0"/>
    <n v="0"/>
    <n v="87"/>
    <n v="0"/>
    <n v="0"/>
    <n v="0"/>
    <n v="0"/>
    <n v="0"/>
    <n v="0"/>
    <n v="0"/>
    <n v="0"/>
    <m/>
    <m/>
    <m/>
    <m/>
    <m/>
    <m/>
    <m/>
    <m/>
    <m/>
    <m/>
    <m/>
    <m/>
    <m/>
    <m/>
    <m/>
    <m/>
    <m/>
    <m/>
    <m/>
    <m/>
    <m/>
    <m/>
    <m/>
    <m/>
    <m/>
    <m/>
    <m/>
    <m/>
    <m/>
    <m/>
    <m/>
    <m/>
    <m/>
    <m/>
    <m/>
  </r>
  <r>
    <n v="742"/>
    <d v="2025-03-21T00:00:00"/>
    <s v="ZBTO"/>
    <n v="9518620941"/>
    <n v="1"/>
    <s v="9518620941-1"/>
    <s v="No Priority"/>
    <x v="0"/>
    <m/>
    <x v="1"/>
    <x v="11"/>
    <s v="3000-IPPE"/>
    <m/>
    <x v="0"/>
    <m/>
    <m/>
    <m/>
    <s v="South"/>
    <s v="CHENNAI"/>
    <m/>
    <n v="934796"/>
    <s v="TATA STEEL DOWNSTREAM PRODUCTS LIMI"/>
    <n v="2420518"/>
    <s v="CRCA COIL TATXXD AH03 1X1250"/>
    <s v=" "/>
    <s v=""/>
    <n v="7"/>
    <n v="26"/>
    <m/>
    <s v="C01"/>
    <s v="TATXXD"/>
    <s v="AH03"/>
    <n v="1"/>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17"/>
    <s v="9518535833-17"/>
    <s v="May'25"/>
    <x v="0"/>
    <s v="Yes"/>
    <x v="1"/>
    <x v="1"/>
    <s v="2000-BPRS"/>
    <m/>
    <x v="1"/>
    <m/>
    <m/>
    <m/>
    <s v="South"/>
    <s v="CHENNAI"/>
    <m/>
    <n v="938550"/>
    <s v="BASEER AND CO"/>
    <n v="1804854"/>
    <s v="CRCA COIL-TATXXD-AU03-1.2X1250"/>
    <s v=" "/>
    <s v=""/>
    <n v="6"/>
    <n v="18"/>
    <m/>
    <s v="C01"/>
    <s v="TATXXD"/>
    <s v="AU03"/>
    <n v="1.2"/>
    <n v="1250"/>
    <n v="0"/>
    <n v="57.99"/>
    <n v="38.090000000000003"/>
    <n v="19.899999999999999"/>
    <n v="19.899999999999999"/>
    <n v="19.899999999999999"/>
    <n v="19.899999999999999"/>
    <n v="0"/>
    <n v="0"/>
    <n v="0"/>
    <n v="0"/>
    <n v="0"/>
    <n v="0"/>
    <n v="0"/>
    <n v="0"/>
    <n v="0"/>
    <n v="0"/>
    <n v="0"/>
    <n v="0"/>
    <n v="0"/>
    <n v="0"/>
    <n v="0"/>
    <n v="0"/>
    <n v="0"/>
    <n v="0"/>
    <n v="0"/>
    <n v="0"/>
    <n v="0"/>
    <n v="0"/>
    <n v="0"/>
    <m/>
    <n v="0"/>
    <n v="19.899999999999999"/>
    <n v="0"/>
    <n v="0"/>
    <n v="0"/>
    <n v="19.899999999999999"/>
    <n v="0"/>
    <n v="0"/>
    <n v="0"/>
    <n v="0"/>
    <n v="0"/>
    <n v="0"/>
    <n v="0"/>
    <m/>
    <m/>
    <m/>
    <m/>
    <m/>
    <m/>
    <m/>
    <m/>
    <m/>
    <m/>
    <m/>
    <m/>
    <m/>
    <m/>
    <m/>
    <m/>
    <m/>
    <m/>
    <m/>
    <m/>
    <m/>
    <m/>
    <m/>
    <m/>
    <m/>
    <m/>
    <m/>
    <m/>
    <m/>
    <m/>
    <m/>
    <m/>
    <m/>
    <m/>
    <m/>
  </r>
  <r>
    <n v="742"/>
    <d v="2025-02-13T00:00:00"/>
    <s v="ZBTO"/>
    <n v="9518517048"/>
    <n v="1"/>
    <s v="9518517048-1"/>
    <s v="May'25"/>
    <x v="0"/>
    <s v="Yes"/>
    <x v="1"/>
    <x v="1"/>
    <s v="2000-BPRS"/>
    <m/>
    <x v="1"/>
    <m/>
    <m/>
    <m/>
    <s v="East"/>
    <s v="TATANAGAR"/>
    <m/>
    <n v="165053"/>
    <s v="SUDISA ENTERPRISES (P) LTD."/>
    <n v="1804772"/>
    <s v="CRCA COIL TATXXD AU03 0.4X1250"/>
    <s v=" "/>
    <s v=""/>
    <n v="20"/>
    <n v="29"/>
    <m/>
    <s v="C01"/>
    <s v="TATXXD"/>
    <s v="AU03"/>
    <n v="0.4"/>
    <n v="1250"/>
    <n v="0"/>
    <n v="87"/>
    <n v="50.064999999999998"/>
    <n v="36.935000000000002"/>
    <n v="36.935000000000002"/>
    <n v="36.935000000000002"/>
    <n v="36.935000000000002"/>
    <n v="0"/>
    <n v="0"/>
    <n v="0"/>
    <n v="0"/>
    <n v="0"/>
    <n v="0"/>
    <n v="0"/>
    <n v="0"/>
    <n v="0"/>
    <n v="0"/>
    <n v="0"/>
    <n v="0"/>
    <n v="0"/>
    <n v="0"/>
    <n v="0"/>
    <n v="0"/>
    <n v="0"/>
    <n v="0"/>
    <n v="0"/>
    <n v="0"/>
    <n v="0"/>
    <n v="0"/>
    <n v="0"/>
    <m/>
    <n v="0"/>
    <n v="36.935000000000002"/>
    <n v="0"/>
    <n v="0"/>
    <n v="0"/>
    <n v="36.935000000000002"/>
    <n v="0"/>
    <n v="0"/>
    <n v="0"/>
    <n v="0"/>
    <n v="0"/>
    <n v="0"/>
    <n v="0"/>
    <m/>
    <m/>
    <m/>
    <m/>
    <m/>
    <m/>
    <m/>
    <m/>
    <m/>
    <m/>
    <m/>
    <m/>
    <m/>
    <m/>
    <m/>
    <m/>
    <m/>
    <m/>
    <m/>
    <m/>
    <m/>
    <m/>
    <m/>
    <m/>
    <m/>
    <m/>
    <m/>
    <m/>
    <m/>
    <m/>
    <m/>
    <m/>
    <m/>
    <m/>
    <m/>
  </r>
  <r>
    <n v="743"/>
    <d v="2025-02-13T00:00:00"/>
    <s v="ZBTO"/>
    <n v="9518516044"/>
    <n v="4"/>
    <s v="9518516044-4"/>
    <s v="No Priority"/>
    <x v="0"/>
    <m/>
    <x v="3"/>
    <x v="9"/>
    <s v="2000-BPRS"/>
    <m/>
    <x v="0"/>
    <m/>
    <m/>
    <m/>
    <s v="North"/>
    <s v="LONI"/>
    <m/>
    <n v="931235"/>
    <s v="K D J P STEELS PVT LTD"/>
    <n v="1191955"/>
    <s v="GP COIL SOFT-TATXGP-GK09-0.3X900"/>
    <s v="Z80"/>
    <s v=""/>
    <n v="4"/>
    <n v="6"/>
    <m/>
    <s v="C02"/>
    <s v="TATXGP"/>
    <s v="GK09"/>
    <n v="0.3"/>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4"/>
    <d v="2025-02-22T00:00:00"/>
    <s v="ZBTO"/>
    <n v="9518543214"/>
    <n v="9"/>
    <s v="9518543214-9"/>
    <s v="Stocks"/>
    <x v="0"/>
    <m/>
    <x v="2"/>
    <x v="3"/>
    <s v="1000-IPPE"/>
    <m/>
    <x v="1"/>
    <m/>
    <m/>
    <m/>
    <s v="TBSPL"/>
    <s v="GAMHARIA"/>
    <m/>
    <n v="940016"/>
    <s v="TATA BLUESCOPE STEEL PVT LTD."/>
    <n v="3900141"/>
    <s v="PPGL C Y550 ISC6 0.43BMT(0.48TPT)X1220"/>
    <s v="aZ70"/>
    <s v="PRO PEARL TSL 1918"/>
    <n v="3"/>
    <n v="5"/>
    <m/>
    <s v="B18"/>
    <s v="Y550PL"/>
    <s v="ISC6"/>
    <n v="0.43"/>
    <n v="1220"/>
    <n v="0"/>
    <n v="28"/>
    <n v="0"/>
    <n v="28"/>
    <n v="-0.02"/>
    <n v="0"/>
    <n v="1.0900000000000001"/>
    <n v="0"/>
    <n v="0"/>
    <n v="0"/>
    <n v="0"/>
    <n v="0"/>
    <n v="0"/>
    <n v="0"/>
    <n v="0"/>
    <n v="0"/>
    <n v="0"/>
    <n v="0"/>
    <n v="0"/>
    <n v="0"/>
    <n v="0"/>
    <n v="0"/>
    <n v="0"/>
    <n v="0"/>
    <n v="0"/>
    <n v="0"/>
    <n v="0"/>
    <n v="0"/>
    <n v="0"/>
    <n v="0"/>
    <m/>
    <n v="4.5"/>
    <n v="0"/>
    <n v="0"/>
    <n v="0"/>
    <n v="0"/>
    <n v="0"/>
    <n v="0"/>
    <n v="0"/>
    <n v="0"/>
    <n v="0"/>
    <n v="0"/>
    <n v="0"/>
    <n v="0"/>
    <m/>
    <m/>
    <m/>
    <m/>
    <m/>
    <m/>
    <m/>
    <m/>
    <m/>
    <m/>
    <m/>
    <m/>
    <m/>
    <m/>
    <m/>
    <m/>
    <m/>
    <m/>
    <m/>
    <m/>
    <m/>
    <m/>
    <m/>
    <m/>
    <m/>
    <m/>
    <m/>
    <m/>
    <m/>
    <m/>
    <m/>
    <m/>
    <m/>
    <m/>
    <m/>
  </r>
  <r>
    <n v="742"/>
    <d v="2025-02-04T00:00:00"/>
    <s v="ZBTO"/>
    <n v="9518492304"/>
    <n v="1"/>
    <s v="9518492304-1"/>
    <s v="No Priority"/>
    <x v="0"/>
    <m/>
    <x v="1"/>
    <x v="16"/>
    <s v="2000-BPRS"/>
    <m/>
    <x v="0"/>
    <m/>
    <m/>
    <m/>
    <s v="West"/>
    <s v="MORIYA"/>
    <m/>
    <n v="940707"/>
    <s v="GIRIRAJ EXIM PRIVATE LIMITED"/>
    <n v="2279429"/>
    <s v="CRCA COIL TATXXD BT02 0.900X914"/>
    <s v=" "/>
    <s v=""/>
    <n v="8"/>
    <n v="10"/>
    <m/>
    <s v="C01"/>
    <s v="TATXXD"/>
    <s v="BT02"/>
    <n v="0.9"/>
    <n v="914"/>
    <n v="0"/>
    <n v="63"/>
    <n v="18.489999999999998"/>
    <n v="44.51"/>
    <n v="44.51"/>
    <n v="44.51"/>
    <n v="44.51"/>
    <n v="0"/>
    <n v="0"/>
    <n v="0"/>
    <n v="0"/>
    <n v="0"/>
    <n v="0"/>
    <n v="0"/>
    <n v="0"/>
    <n v="0"/>
    <n v="0"/>
    <n v="0"/>
    <n v="0"/>
    <n v="0"/>
    <n v="0"/>
    <n v="0"/>
    <n v="0"/>
    <n v="0"/>
    <n v="0"/>
    <n v="0"/>
    <n v="0"/>
    <n v="0"/>
    <n v="0"/>
    <n v="0"/>
    <m/>
    <n v="0"/>
    <n v="0"/>
    <n v="0"/>
    <n v="0"/>
    <n v="0"/>
    <n v="0"/>
    <n v="0"/>
    <n v="0"/>
    <n v="0"/>
    <n v="0"/>
    <n v="0"/>
    <n v="0"/>
    <n v="0"/>
    <m/>
    <m/>
    <m/>
    <m/>
    <m/>
    <m/>
    <m/>
    <m/>
    <m/>
    <m/>
    <m/>
    <m/>
    <m/>
    <m/>
    <m/>
    <m/>
    <m/>
    <m/>
    <m/>
    <m/>
    <m/>
    <m/>
    <m/>
    <m/>
    <m/>
    <m/>
    <m/>
    <m/>
    <m/>
    <m/>
    <m/>
    <m/>
    <m/>
    <m/>
    <m/>
  </r>
  <r>
    <n v="743"/>
    <d v="2025-02-05T00:00:00"/>
    <s v="ZBTO"/>
    <n v="9518495509"/>
    <n v="5"/>
    <s v="9518495509-5"/>
    <s v="No Priority"/>
    <x v="0"/>
    <m/>
    <x v="3"/>
    <x v="9"/>
    <s v="2000-BPRS"/>
    <m/>
    <x v="0"/>
    <m/>
    <m/>
    <m/>
    <s v="North"/>
    <s v="KANPUR"/>
    <m/>
    <n v="933952"/>
    <s v="AGARWAL STEEL TRADERS"/>
    <n v="1854424"/>
    <s v="GP COIL SOFT-TATXGP-GK09-0.6X900"/>
    <s v="Z80"/>
    <s v=""/>
    <n v="3.2"/>
    <n v="5"/>
    <m/>
    <s v="C02"/>
    <s v="TATXGP"/>
    <s v="GK09"/>
    <n v="0.6"/>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3-04T00:00:00"/>
    <s v="ZBTO"/>
    <n v="9518572041"/>
    <n v="2"/>
    <s v="9518572041-2"/>
    <s v="No Priority"/>
    <x v="0"/>
    <m/>
    <x v="3"/>
    <x v="0"/>
    <s v="2000-BPRS"/>
    <m/>
    <x v="0"/>
    <m/>
    <m/>
    <m/>
    <s v="East"/>
    <s v="TATANAGAR"/>
    <m/>
    <n v="165053"/>
    <s v="SUDISA ENTERPRISES (P) LTD."/>
    <n v="1851836"/>
    <s v="GP COIL SOFT-TSBXGP-N1GP-0.3X900"/>
    <s v="Z80"/>
    <s v=""/>
    <n v="4"/>
    <n v="12"/>
    <m/>
    <s v="C02"/>
    <s v="TSBXGP"/>
    <s v="N1GP"/>
    <n v="0.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2-11T00:00:00"/>
    <s v="ZBTO"/>
    <n v="9518510093"/>
    <n v="6"/>
    <s v="9518510093-6"/>
    <s v="No Priority"/>
    <x v="0"/>
    <m/>
    <x v="1"/>
    <x v="1"/>
    <s v="2000-BPRS"/>
    <m/>
    <x v="0"/>
    <m/>
    <m/>
    <m/>
    <s v="North"/>
    <s v="LONI"/>
    <m/>
    <n v="101499"/>
    <s v="G.R. GUPTA &amp; BROS."/>
    <n v="1801456"/>
    <s v="CRCA COIL-TATXXD-AU03-0.7X1250"/>
    <s v=" "/>
    <s v=""/>
    <n v="10"/>
    <n v="30"/>
    <m/>
    <s v="C01"/>
    <s v="TATXXD"/>
    <s v="AU03"/>
    <n v="0.7"/>
    <n v="1250"/>
    <n v="0"/>
    <n v="58"/>
    <n v="13.095000000000001"/>
    <n v="44.905000000000001"/>
    <n v="44.905000000000001"/>
    <n v="44.905000000000001"/>
    <n v="44.905000000000001"/>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7626"/>
    <n v="22"/>
    <s v="9518497626-22"/>
    <s v="May'25"/>
    <x v="0"/>
    <s v="Yes"/>
    <x v="1"/>
    <x v="1"/>
    <s v="2000-BPRS"/>
    <m/>
    <x v="1"/>
    <m/>
    <m/>
    <m/>
    <s v="South"/>
    <s v="VISHAKHAPATNAM"/>
    <m/>
    <n v="946077"/>
    <s v="SITARAM IRON AND STEEL PVT LTD"/>
    <n v="194544"/>
    <s v="CRSHEET TATXXD AU03 1.50X1250X2500"/>
    <s v=" "/>
    <s v=""/>
    <n v="0"/>
    <n v="0"/>
    <m/>
    <s v="C06"/>
    <s v="TATXXD"/>
    <s v="AU03"/>
    <n v="1.5"/>
    <n v="1250"/>
    <n v="2500"/>
    <n v="27"/>
    <n v="0"/>
    <n v="27"/>
    <n v="27"/>
    <n v="27"/>
    <n v="27"/>
    <n v="0"/>
    <n v="0"/>
    <n v="0"/>
    <n v="0"/>
    <n v="0"/>
    <n v="0"/>
    <n v="0"/>
    <n v="0"/>
    <n v="0"/>
    <n v="0"/>
    <n v="0"/>
    <n v="0"/>
    <n v="0"/>
    <n v="0"/>
    <n v="0"/>
    <n v="0"/>
    <n v="0"/>
    <n v="0"/>
    <n v="0"/>
    <n v="0"/>
    <n v="0"/>
    <n v="0"/>
    <n v="0"/>
    <m/>
    <n v="0"/>
    <n v="27"/>
    <n v="0"/>
    <n v="0"/>
    <n v="0"/>
    <n v="27"/>
    <n v="0"/>
    <n v="0"/>
    <n v="0"/>
    <n v="0"/>
    <n v="0"/>
    <n v="0"/>
    <n v="0"/>
    <m/>
    <m/>
    <m/>
    <m/>
    <m/>
    <m/>
    <m/>
    <m/>
    <m/>
    <m/>
    <m/>
    <m/>
    <m/>
    <m/>
    <m/>
    <m/>
    <m/>
    <m/>
    <m/>
    <m/>
    <m/>
    <m/>
    <m/>
    <m/>
    <m/>
    <m/>
    <m/>
    <m/>
    <m/>
    <m/>
    <m/>
    <m/>
    <m/>
    <m/>
    <m/>
  </r>
  <r>
    <n v="742"/>
    <d v="2025-02-20T00:00:00"/>
    <s v="ZBTO"/>
    <n v="9518535833"/>
    <n v="9"/>
    <s v="9518535833-9"/>
    <s v="May'25"/>
    <x v="0"/>
    <s v="Yes"/>
    <x v="1"/>
    <x v="1"/>
    <s v="2000-BPRS"/>
    <m/>
    <x v="1"/>
    <m/>
    <m/>
    <m/>
    <s v="South"/>
    <s v="CHENNAI"/>
    <m/>
    <n v="938550"/>
    <s v="BASEER AND CO"/>
    <n v="1801286"/>
    <s v="CRCA COIL-TATXXD-AU03-0.6X1000"/>
    <s v=" "/>
    <s v=""/>
    <n v="6"/>
    <n v="18"/>
    <m/>
    <s v="C01"/>
    <s v="TATXXD"/>
    <s v="AU03"/>
    <n v="0.6"/>
    <n v="1000"/>
    <n v="0"/>
    <n v="46"/>
    <n v="0"/>
    <n v="46"/>
    <n v="46"/>
    <n v="46"/>
    <n v="46"/>
    <n v="0"/>
    <n v="0"/>
    <n v="0"/>
    <n v="0"/>
    <n v="0"/>
    <n v="0"/>
    <n v="0"/>
    <n v="0"/>
    <n v="0"/>
    <n v="0"/>
    <n v="0"/>
    <n v="0"/>
    <n v="0"/>
    <n v="0"/>
    <n v="0"/>
    <n v="0"/>
    <n v="0"/>
    <n v="0"/>
    <n v="0"/>
    <n v="0"/>
    <n v="0"/>
    <n v="0"/>
    <n v="0"/>
    <m/>
    <n v="0"/>
    <n v="46"/>
    <n v="0"/>
    <n v="0"/>
    <n v="0"/>
    <n v="0"/>
    <n v="46"/>
    <n v="0"/>
    <n v="0"/>
    <n v="0"/>
    <n v="0"/>
    <n v="0"/>
    <n v="0"/>
    <m/>
    <m/>
    <m/>
    <m/>
    <m/>
    <m/>
    <m/>
    <m/>
    <m/>
    <m/>
    <m/>
    <m/>
    <m/>
    <m/>
    <m/>
    <m/>
    <m/>
    <m/>
    <m/>
    <m/>
    <m/>
    <m/>
    <m/>
    <m/>
    <m/>
    <m/>
    <m/>
    <m/>
    <m/>
    <m/>
    <m/>
    <m/>
    <m/>
    <m/>
    <m/>
  </r>
  <r>
    <n v="742"/>
    <d v="2025-02-20T00:00:00"/>
    <s v="ZBTO"/>
    <n v="9518535833"/>
    <n v="11"/>
    <s v="9518535833-11"/>
    <s v="No Priority"/>
    <x v="0"/>
    <s v="Yes"/>
    <x v="1"/>
    <x v="1"/>
    <s v="2000-BPRS"/>
    <m/>
    <x v="0"/>
    <m/>
    <m/>
    <m/>
    <s v="South"/>
    <s v="CHENNAI"/>
    <m/>
    <n v="938550"/>
    <s v="BASEER AND CO"/>
    <n v="3931386"/>
    <s v="CR COIL TATXXD AU03 0.700X925"/>
    <s v=" "/>
    <s v=""/>
    <n v="6"/>
    <n v="18"/>
    <m/>
    <s v="C01"/>
    <s v="TATXXD"/>
    <s v="AU03"/>
    <n v="0.7"/>
    <n v="925"/>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12"/>
    <s v="9518535833-12"/>
    <s v="No Priority"/>
    <x v="0"/>
    <s v="Yes"/>
    <x v="1"/>
    <x v="1"/>
    <s v="2000-BPRS"/>
    <m/>
    <x v="0"/>
    <m/>
    <m/>
    <m/>
    <s v="South"/>
    <s v="CHENNAI"/>
    <m/>
    <n v="938550"/>
    <s v="BASEER AND CO"/>
    <n v="3513392"/>
    <s v="CR COIL TATXXD AU03 0.800X925"/>
    <s v=" "/>
    <s v=""/>
    <n v="6"/>
    <n v="18"/>
    <m/>
    <s v="C01"/>
    <s v="TATXXD"/>
    <s v="AU03"/>
    <n v="0.8"/>
    <n v="925"/>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2-25T00:00:00"/>
    <s v="ZBTO"/>
    <n v="9518550430"/>
    <n v="1"/>
    <s v="9518550430-1"/>
    <s v="May'25"/>
    <x v="0"/>
    <m/>
    <x v="4"/>
    <x v="3"/>
    <s v="1000-IPPE"/>
    <m/>
    <x v="1"/>
    <m/>
    <m/>
    <m/>
    <s v="TBSPL"/>
    <s v=" "/>
    <m/>
    <n v="942283"/>
    <s v="TATA BLUESCOPE STEEL PRIVATE LIMITE"/>
    <n v="1882004"/>
    <s v="GL C YS550 H6GL 0.55BMT(0.60TCT)X1220"/>
    <s v="AZ150"/>
    <s v=""/>
    <n v="3"/>
    <n v="5"/>
    <m/>
    <s v="B04"/>
    <s v="Y550GL"/>
    <s v="H6GL"/>
    <n v="0.55000000000000004"/>
    <n v="1220"/>
    <n v="0"/>
    <n v="28"/>
    <n v="0"/>
    <n v="28"/>
    <n v="28"/>
    <n v="18.91"/>
    <n v="28"/>
    <n v="0"/>
    <n v="0"/>
    <n v="0"/>
    <n v="0"/>
    <n v="0"/>
    <n v="0"/>
    <n v="0"/>
    <n v="0"/>
    <n v="0"/>
    <n v="0"/>
    <n v="0"/>
    <n v="0"/>
    <n v="0"/>
    <n v="0"/>
    <n v="0"/>
    <n v="0"/>
    <n v="0"/>
    <n v="9.09"/>
    <n v="0"/>
    <n v="9.09"/>
    <n v="9.09"/>
    <n v="0"/>
    <n v="9.09"/>
    <m/>
    <n v="0"/>
    <n v="28"/>
    <n v="0"/>
    <n v="28"/>
    <n v="0"/>
    <n v="0"/>
    <n v="0"/>
    <n v="28"/>
    <n v="0"/>
    <n v="28"/>
    <n v="0"/>
    <n v="0"/>
    <n v="0"/>
    <m/>
    <m/>
    <m/>
    <m/>
    <m/>
    <m/>
    <m/>
    <m/>
    <m/>
    <m/>
    <m/>
    <m/>
    <m/>
    <m/>
    <m/>
    <m/>
    <m/>
    <m/>
    <m/>
    <m/>
    <m/>
    <m/>
    <m/>
    <m/>
    <m/>
    <m/>
    <m/>
    <m/>
    <m/>
    <m/>
    <m/>
    <m/>
    <m/>
    <m/>
    <m/>
  </r>
  <r>
    <n v="742"/>
    <d v="2025-03-11T00:00:00"/>
    <s v="ZBTO"/>
    <n v="9518591774"/>
    <n v="15"/>
    <s v="9518591774-15"/>
    <s v="No Priority"/>
    <x v="0"/>
    <m/>
    <x v="1"/>
    <x v="1"/>
    <s v="2000-BPRS"/>
    <m/>
    <x v="0"/>
    <m/>
    <m/>
    <m/>
    <s v="North"/>
    <s v="ZOSOLA"/>
    <m/>
    <n v="936527"/>
    <s v="SHORI LAL KEWAL KUMAR."/>
    <n v="1804854"/>
    <s v="CRCA COIL-TATXXD-AU03-1.2X1250"/>
    <s v=" "/>
    <s v=""/>
    <n v="10"/>
    <n v="30"/>
    <m/>
    <s v="C01"/>
    <s v="TATXXD"/>
    <s v="AU03"/>
    <n v="1.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7626"/>
    <n v="9"/>
    <s v="9518497626-9"/>
    <s v="No Priority"/>
    <x v="0"/>
    <s v="Yes"/>
    <x v="1"/>
    <x v="2"/>
    <s v="2000-BPRS"/>
    <m/>
    <x v="0"/>
    <m/>
    <m/>
    <m/>
    <s v="South"/>
    <s v="VISHAKHAPATNAM"/>
    <m/>
    <n v="946077"/>
    <s v="SITARAM IRON AND STEEL PVT LTD"/>
    <n v="3240765"/>
    <s v="CRCA SHEET TSBCRC SR15 0.500X1250X2500"/>
    <s v=" "/>
    <s v=""/>
    <n v="0"/>
    <n v="0"/>
    <m/>
    <s v="C06"/>
    <s v="TSBCRC"/>
    <s v="SR15"/>
    <n v="0.5"/>
    <n v="1250"/>
    <n v="2500"/>
    <n v="27"/>
    <n v="0"/>
    <n v="27"/>
    <n v="-0.62"/>
    <n v="0"/>
    <n v="0.52500000000000002"/>
    <n v="0"/>
    <n v="0"/>
    <n v="0"/>
    <n v="0"/>
    <n v="0"/>
    <n v="0"/>
    <n v="0"/>
    <n v="0"/>
    <n v="0"/>
    <n v="0"/>
    <n v="0"/>
    <n v="0"/>
    <n v="0"/>
    <n v="0"/>
    <n v="0"/>
    <n v="0"/>
    <n v="0"/>
    <n v="0"/>
    <n v="0"/>
    <n v="0"/>
    <n v="0"/>
    <n v="0"/>
    <n v="0"/>
    <m/>
    <n v="0"/>
    <n v="0"/>
    <n v="0"/>
    <n v="0"/>
    <n v="0"/>
    <n v="0"/>
    <n v="0"/>
    <n v="0"/>
    <n v="0"/>
    <n v="0"/>
    <n v="0"/>
    <n v="0"/>
    <n v="0"/>
    <m/>
    <m/>
    <m/>
    <m/>
    <m/>
    <m/>
    <m/>
    <m/>
    <m/>
    <m/>
    <m/>
    <m/>
    <m/>
    <m/>
    <m/>
    <m/>
    <m/>
    <m/>
    <m/>
    <m/>
    <m/>
    <m/>
    <m/>
    <m/>
    <m/>
    <m/>
    <m/>
    <m/>
    <m/>
    <m/>
    <m/>
    <m/>
    <m/>
    <m/>
    <m/>
  </r>
  <r>
    <n v="744"/>
    <d v="2025-02-15T00:00:00"/>
    <s v="ZBTO"/>
    <n v="9518522893"/>
    <n v="2"/>
    <s v="9518522893-2"/>
    <s v="May'25"/>
    <x v="0"/>
    <s v="Yes"/>
    <x v="2"/>
    <x v="3"/>
    <s v="1000-IPPE"/>
    <m/>
    <x v="1"/>
    <m/>
    <m/>
    <m/>
    <s v="TBSPL"/>
    <s v=" "/>
    <m/>
    <n v="941597"/>
    <s v="TATA BLUESCOPE STEEL PRIVATE LIMITE"/>
    <n v="1633706"/>
    <s v="PPGL C Y550 HPL3 0.42BMT(0.50TPT)X1220"/>
    <s v="AZ150"/>
    <s v="SUPREME AGATE GREY TSL 644"/>
    <n v="3"/>
    <n v="5"/>
    <m/>
    <s v="B18"/>
    <s v="Y550PL"/>
    <s v="HPL3"/>
    <n v="0.42"/>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3"/>
    <d v="2025-02-24T00:00:00"/>
    <s v="ZBTT"/>
    <n v="9518548608"/>
    <n v="1"/>
    <s v="9518548608-1"/>
    <s v="No Priority"/>
    <x v="0"/>
    <m/>
    <x v="3"/>
    <x v="4"/>
    <s v="2000-BPRS"/>
    <m/>
    <x v="0"/>
    <m/>
    <m/>
    <m/>
    <s v="East"/>
    <s v="PURNIA"/>
    <m/>
    <n v="931671"/>
    <s v="BMW VENTURES LIMITED"/>
    <n v="3953694"/>
    <s v="GP COIL TATXGP GP2T 0.250X1350"/>
    <s v="Z120"/>
    <s v=""/>
    <n v="1"/>
    <n v="5"/>
    <m/>
    <s v="C05"/>
    <s v="TATXGP"/>
    <s v="GP2T"/>
    <n v="0.25"/>
    <n v="1350"/>
    <n v="0"/>
    <n v="31"/>
    <n v="0"/>
    <n v="31"/>
    <n v="31"/>
    <n v="31"/>
    <n v="0"/>
    <n v="0"/>
    <n v="0"/>
    <n v="0"/>
    <n v="0"/>
    <n v="0"/>
    <n v="0"/>
    <n v="0"/>
    <n v="0"/>
    <n v="0"/>
    <n v="0"/>
    <n v="0"/>
    <n v="0"/>
    <n v="0"/>
    <n v="0"/>
    <n v="0"/>
    <n v="0"/>
    <n v="0"/>
    <n v="0"/>
    <n v="0"/>
    <n v="0"/>
    <n v="0"/>
    <n v="0"/>
    <n v="0"/>
    <m/>
    <n v="0"/>
    <n v="0"/>
    <n v="0"/>
    <n v="0"/>
    <n v="0"/>
    <n v="0"/>
    <n v="0"/>
    <n v="0"/>
    <n v="0"/>
    <n v="0"/>
    <n v="0"/>
    <n v="0"/>
    <n v="0"/>
    <m/>
    <m/>
    <m/>
    <m/>
    <m/>
    <m/>
    <m/>
    <m/>
    <m/>
    <m/>
    <m/>
    <m/>
    <m/>
    <m/>
    <m/>
    <m/>
    <m/>
    <m/>
    <m/>
    <m/>
    <m/>
    <m/>
    <m/>
    <m/>
    <m/>
    <m/>
    <m/>
    <m/>
    <m/>
    <m/>
    <m/>
    <m/>
    <m/>
    <m/>
    <m/>
  </r>
  <r>
    <n v="743"/>
    <d v="2025-02-24T00:00:00"/>
    <s v="ZBTT"/>
    <n v="9518548608"/>
    <n v="2"/>
    <s v="9518548608-2"/>
    <s v="No Priority"/>
    <x v="0"/>
    <m/>
    <x v="3"/>
    <x v="4"/>
    <s v="2000-BPRS"/>
    <m/>
    <x v="0"/>
    <m/>
    <m/>
    <m/>
    <s v="East"/>
    <s v="PURNIA"/>
    <m/>
    <n v="931671"/>
    <s v="BMW VENTURES LIMITED"/>
    <n v="3953695"/>
    <s v="GP COIL TATXGP GP2T 0.300X1350"/>
    <s v="Z120"/>
    <s v=""/>
    <n v="1"/>
    <n v="5"/>
    <m/>
    <s v="C05"/>
    <s v="TATXGP"/>
    <s v="GP2T"/>
    <n v="0.3"/>
    <n v="1350"/>
    <n v="0"/>
    <n v="31"/>
    <n v="0"/>
    <n v="31"/>
    <n v="1.3"/>
    <n v="0"/>
    <n v="0"/>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4932"/>
    <n v="1"/>
    <s v="9518534932-1"/>
    <s v="No Priority"/>
    <x v="0"/>
    <s v="Yes"/>
    <x v="1"/>
    <x v="1"/>
    <s v="2000-BPRS"/>
    <m/>
    <x v="0"/>
    <m/>
    <m/>
    <m/>
    <s v="South"/>
    <s v="SANGAREDDY"/>
    <m/>
    <n v="947126"/>
    <s v="RAVINDRA IRON WORKS"/>
    <n v="2398457"/>
    <s v="CRCA COIL TATXXD AU03 1X1320"/>
    <s v=" "/>
    <s v=""/>
    <n v="5"/>
    <n v="30"/>
    <m/>
    <s v="C01"/>
    <s v="TATXXD"/>
    <s v="AU03"/>
    <n v="1"/>
    <n v="1320"/>
    <n v="0"/>
    <n v="60"/>
    <n v="25.995000000000001"/>
    <n v="34.005000000000003"/>
    <n v="34.005000000000003"/>
    <n v="34.005000000000003"/>
    <n v="34.005000000000003"/>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4128"/>
    <n v="3"/>
    <s v="9518534128-3"/>
    <s v="No Priority"/>
    <x v="0"/>
    <m/>
    <x v="1"/>
    <x v="10"/>
    <s v="1000-IPPE"/>
    <m/>
    <x v="0"/>
    <m/>
    <m/>
    <m/>
    <s v="North"/>
    <s v="FARIDABAD"/>
    <m/>
    <n v="189430"/>
    <s v="Balmer Lawrie &amp; Co. Ltd.,"/>
    <n v="2164800"/>
    <s v="CRCA COIL TATXXD BT02 0.970X913"/>
    <s v=" "/>
    <s v=""/>
    <n v="7"/>
    <n v="10"/>
    <m/>
    <s v="C01"/>
    <s v="TATXXD"/>
    <s v="BT02"/>
    <n v="0.97"/>
    <n v="913"/>
    <n v="0"/>
    <n v="130"/>
    <n v="90.875"/>
    <n v="39.125"/>
    <n v="39.125"/>
    <n v="39.125"/>
    <n v="39.125"/>
    <n v="0"/>
    <n v="0"/>
    <n v="0"/>
    <n v="0"/>
    <n v="0"/>
    <n v="0"/>
    <n v="0"/>
    <n v="0"/>
    <n v="0"/>
    <n v="0"/>
    <n v="0"/>
    <n v="0"/>
    <n v="0"/>
    <n v="0"/>
    <n v="0"/>
    <n v="0"/>
    <n v="0"/>
    <n v="0"/>
    <n v="0"/>
    <n v="0"/>
    <n v="0"/>
    <n v="0"/>
    <n v="0"/>
    <m/>
    <n v="0"/>
    <n v="0"/>
    <n v="0"/>
    <n v="0"/>
    <n v="0"/>
    <n v="0"/>
    <n v="0"/>
    <n v="0"/>
    <n v="0"/>
    <n v="0"/>
    <n v="0"/>
    <n v="0"/>
    <n v="0"/>
    <m/>
    <m/>
    <m/>
    <m/>
    <m/>
    <m/>
    <m/>
    <m/>
    <m/>
    <m/>
    <m/>
    <m/>
    <m/>
    <m/>
    <m/>
    <m/>
    <m/>
    <m/>
    <m/>
    <m/>
    <m/>
    <m/>
    <m/>
    <m/>
    <m/>
    <m/>
    <m/>
    <m/>
    <m/>
    <m/>
    <m/>
    <m/>
    <m/>
    <m/>
    <m/>
  </r>
  <r>
    <n v="743"/>
    <d v="2025-02-25T00:00:00"/>
    <s v="ZBTO"/>
    <n v="9518550672"/>
    <n v="2"/>
    <s v="9518550672-2"/>
    <s v="No Priority"/>
    <x v="0"/>
    <m/>
    <x v="4"/>
    <x v="10"/>
    <s v="1000-IPPE"/>
    <m/>
    <x v="0"/>
    <m/>
    <s v="No allocation for IPP"/>
    <m/>
    <s v="South"/>
    <s v="VINJAMURU"/>
    <m/>
    <n v="188750"/>
    <s v="Colorshine Coated Pvt.Ltd."/>
    <n v="3433440"/>
    <s v="GL COIL HARD  Y550GL H7GL 0.420X1235"/>
    <s v="aZ70"/>
    <s v=""/>
    <n v="6"/>
    <n v="20"/>
    <m/>
    <s v="B04"/>
    <s v="Y550GL"/>
    <s v="H7GL"/>
    <n v="0.42"/>
    <n v="1235"/>
    <n v="0"/>
    <n v="279.99"/>
    <n v="241.26"/>
    <n v="38.729999999999997"/>
    <n v="38.729999999999997"/>
    <n v="38.729999999999997"/>
    <n v="38.729999999999997"/>
    <n v="0"/>
    <n v="0"/>
    <n v="0"/>
    <n v="0"/>
    <n v="0"/>
    <n v="0"/>
    <n v="0"/>
    <n v="0"/>
    <n v="0"/>
    <n v="0"/>
    <n v="0"/>
    <n v="0"/>
    <n v="0"/>
    <n v="0"/>
    <n v="0"/>
    <n v="0"/>
    <n v="0"/>
    <n v="0"/>
    <n v="0"/>
    <n v="0"/>
    <n v="0"/>
    <n v="0"/>
    <n v="0"/>
    <m/>
    <n v="0"/>
    <n v="0"/>
    <n v="0"/>
    <n v="0"/>
    <n v="0"/>
    <n v="0"/>
    <n v="0"/>
    <n v="0"/>
    <n v="0"/>
    <n v="0"/>
    <n v="0"/>
    <n v="0"/>
    <n v="0"/>
    <m/>
    <m/>
    <m/>
    <m/>
    <m/>
    <m/>
    <m/>
    <m/>
    <m/>
    <m/>
    <m/>
    <m/>
    <m/>
    <m/>
    <m/>
    <m/>
    <m/>
    <m/>
    <m/>
    <m/>
    <m/>
    <m/>
    <m/>
    <m/>
    <m/>
    <m/>
    <m/>
    <m/>
    <m/>
    <m/>
    <m/>
    <m/>
    <m/>
    <m/>
    <m/>
  </r>
  <r>
    <n v="742"/>
    <d v="2025-02-24T00:00:00"/>
    <s v="ZBTF"/>
    <n v="9518546113"/>
    <n v="1"/>
    <s v="9518546113-1"/>
    <s v="May'25"/>
    <x v="0"/>
    <m/>
    <x v="1"/>
    <x v="7"/>
    <s v="1000-IPPE"/>
    <m/>
    <x v="1"/>
    <m/>
    <m/>
    <m/>
    <s v="West"/>
    <s v="SOHNA"/>
    <m/>
    <n v="600250"/>
    <s v="TATA CENTER"/>
    <n v="2439203"/>
    <s v="CRCA COIL TSBSTA EL06 0.500X1160"/>
    <s v=" "/>
    <s v=""/>
    <n v="22"/>
    <n v="30"/>
    <m/>
    <s v="C01"/>
    <s v="TSBSTA"/>
    <s v="EL06"/>
    <n v="0.5"/>
    <n v="1160"/>
    <n v="0"/>
    <n v="297"/>
    <n v="270.64999999999998"/>
    <n v="26.35"/>
    <n v="26.35"/>
    <n v="26.35"/>
    <n v="26.35"/>
    <n v="0"/>
    <n v="0"/>
    <n v="0"/>
    <n v="0"/>
    <n v="0"/>
    <n v="0"/>
    <n v="0"/>
    <n v="0"/>
    <n v="0"/>
    <n v="0"/>
    <n v="0"/>
    <n v="0"/>
    <n v="0"/>
    <n v="0"/>
    <n v="0"/>
    <n v="0"/>
    <n v="0"/>
    <n v="0"/>
    <n v="0"/>
    <n v="0"/>
    <n v="0"/>
    <n v="0"/>
    <n v="0"/>
    <m/>
    <n v="0"/>
    <n v="26.35"/>
    <n v="0"/>
    <n v="0"/>
    <n v="26.35"/>
    <n v="0"/>
    <n v="0"/>
    <n v="0"/>
    <n v="0"/>
    <n v="0"/>
    <n v="0"/>
    <n v="0"/>
    <n v="0"/>
    <m/>
    <m/>
    <m/>
    <m/>
    <m/>
    <m/>
    <m/>
    <m/>
    <m/>
    <m/>
    <m/>
    <m/>
    <m/>
    <m/>
    <m/>
    <m/>
    <m/>
    <m/>
    <m/>
    <m/>
    <m/>
    <m/>
    <m/>
    <m/>
    <m/>
    <m/>
    <m/>
    <m/>
    <m/>
    <m/>
    <m/>
    <m/>
    <m/>
    <m/>
    <m/>
  </r>
  <r>
    <n v="742"/>
    <d v="2025-02-17T00:00:00"/>
    <s v="ZBTO"/>
    <n v="9518527188"/>
    <n v="1"/>
    <s v="9518527188-1"/>
    <s v="May'25"/>
    <x v="0"/>
    <m/>
    <x v="0"/>
    <x v="0"/>
    <s v="2000-BPRS"/>
    <m/>
    <x v="1"/>
    <m/>
    <m/>
    <m/>
    <s v="South"/>
    <s v="YESHWANTHPURA"/>
    <m/>
    <n v="932179"/>
    <s v="DURGA STEEL INDUSTRIES"/>
    <n v="1250221"/>
    <s v="HR COILS-PO IS 1079 HR2 2.50X1250"/>
    <s v=" "/>
    <s v=""/>
    <n v="17"/>
    <n v="27.5"/>
    <m/>
    <n v="768"/>
    <s v="THR099"/>
    <s v="HR99"/>
    <n v="2.5"/>
    <n v="1250"/>
    <n v="0"/>
    <n v="100"/>
    <n v="0"/>
    <n v="100"/>
    <n v="100"/>
    <n v="100"/>
    <n v="100"/>
    <n v="0"/>
    <n v="0"/>
    <n v="0"/>
    <n v="0"/>
    <n v="0"/>
    <n v="0"/>
    <n v="0"/>
    <n v="0"/>
    <n v="0"/>
    <n v="0"/>
    <n v="0"/>
    <n v="0"/>
    <n v="0"/>
    <n v="0"/>
    <n v="0"/>
    <n v="0"/>
    <n v="0"/>
    <n v="0"/>
    <n v="0"/>
    <n v="0"/>
    <n v="0"/>
    <n v="0"/>
    <n v="0"/>
    <m/>
    <n v="0"/>
    <n v="100"/>
    <n v="0"/>
    <n v="0"/>
    <n v="0"/>
    <n v="0"/>
    <n v="100"/>
    <n v="0"/>
    <n v="0"/>
    <n v="0"/>
    <n v="0"/>
    <n v="0"/>
    <n v="0"/>
    <m/>
    <m/>
    <m/>
    <m/>
    <m/>
    <m/>
    <m/>
    <m/>
    <m/>
    <m/>
    <m/>
    <m/>
    <m/>
    <m/>
    <m/>
    <m/>
    <m/>
    <m/>
    <m/>
    <m/>
    <m/>
    <m/>
    <m/>
    <m/>
    <m/>
    <m/>
    <m/>
    <m/>
    <m/>
    <m/>
    <m/>
    <m/>
    <m/>
    <m/>
    <m/>
  </r>
  <r>
    <n v="742"/>
    <d v="2025-02-24T00:00:00"/>
    <s v="ZBTF"/>
    <n v="9518546113"/>
    <n v="2"/>
    <s v="9518546113-2"/>
    <s v="May'25"/>
    <x v="0"/>
    <m/>
    <x v="1"/>
    <x v="7"/>
    <s v="1000-IPPE"/>
    <m/>
    <x v="1"/>
    <m/>
    <m/>
    <m/>
    <s v="West"/>
    <s v="SOHNA"/>
    <m/>
    <n v="600250"/>
    <s v="TATA CENTER"/>
    <n v="2439203"/>
    <s v="CRCA COIL TSBSTA EL06 0.500X1160"/>
    <s v=" "/>
    <s v=""/>
    <n v="11.6"/>
    <n v="30"/>
    <m/>
    <s v="C01"/>
    <s v="TSBSTA"/>
    <s v="EL06"/>
    <n v="0.5"/>
    <n v="1160"/>
    <n v="0"/>
    <n v="296.99"/>
    <n v="185.405"/>
    <n v="111.58499999999999"/>
    <n v="111.58499999999999"/>
    <n v="-21.734999999999999"/>
    <n v="206.08"/>
    <n v="0"/>
    <n v="0"/>
    <n v="0"/>
    <n v="0"/>
    <n v="0"/>
    <n v="0"/>
    <n v="0"/>
    <n v="0"/>
    <n v="0"/>
    <n v="0"/>
    <n v="27.2"/>
    <n v="53.09"/>
    <n v="53.03"/>
    <n v="0"/>
    <n v="0"/>
    <n v="0"/>
    <n v="0"/>
    <n v="0"/>
    <n v="0"/>
    <n v="133.32"/>
    <n v="133.32"/>
    <n v="0"/>
    <n v="133.32"/>
    <m/>
    <n v="0"/>
    <n v="206.08"/>
    <n v="0"/>
    <n v="0"/>
    <n v="206.08"/>
    <n v="0"/>
    <n v="0"/>
    <n v="0"/>
    <n v="0"/>
    <n v="0"/>
    <n v="0"/>
    <n v="0"/>
    <n v="0"/>
    <m/>
    <m/>
    <m/>
    <m/>
    <m/>
    <m/>
    <m/>
    <m/>
    <m/>
    <m/>
    <m/>
    <m/>
    <m/>
    <m/>
    <m/>
    <m/>
    <m/>
    <m/>
    <m/>
    <m/>
    <m/>
    <m/>
    <m/>
    <m/>
    <m/>
    <m/>
    <m/>
    <m/>
    <m/>
    <m/>
    <m/>
    <m/>
    <m/>
    <m/>
    <m/>
  </r>
  <r>
    <n v="743"/>
    <d v="2025-02-05T00:00:00"/>
    <s v="ZBTO"/>
    <n v="9518495889"/>
    <n v="5"/>
    <s v="9518495889-5"/>
    <s v="May'25"/>
    <x v="0"/>
    <s v="Yes"/>
    <x v="3"/>
    <x v="9"/>
    <s v="2000-BPRS"/>
    <m/>
    <x v="0"/>
    <m/>
    <m/>
    <m/>
    <s v="East"/>
    <s v="KOLKATA"/>
    <m/>
    <n v="100922"/>
    <s v="BUBNA COMMERCIAL COMPANY"/>
    <n v="1854424"/>
    <s v="GP COIL SOFT-TATXGP-GK09-0.6X900"/>
    <s v="Z80"/>
    <s v=""/>
    <n v="5"/>
    <n v="15"/>
    <m/>
    <s v="C02"/>
    <s v="TATXGP"/>
    <s v="GK09"/>
    <n v="0.6"/>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8088"/>
    <n v="1"/>
    <s v="9518498088-1"/>
    <s v="May'25"/>
    <x v="0"/>
    <s v="Yes"/>
    <x v="1"/>
    <x v="1"/>
    <s v="2000-BPRS"/>
    <m/>
    <x v="1"/>
    <m/>
    <m/>
    <m/>
    <s v="South"/>
    <s v="CHENNAI"/>
    <m/>
    <n v="938550"/>
    <s v="BASEER AND CO"/>
    <n v="3931386"/>
    <s v="CR COIL TATXXD AU03 0.700X925"/>
    <s v=" "/>
    <s v=""/>
    <n v="6"/>
    <n v="18"/>
    <m/>
    <s v="C01"/>
    <s v="TATXXD"/>
    <s v="AU03"/>
    <n v="0.7"/>
    <n v="925"/>
    <n v="0"/>
    <n v="42"/>
    <n v="0"/>
    <n v="42"/>
    <n v="42"/>
    <n v="42"/>
    <n v="42"/>
    <n v="0"/>
    <n v="0"/>
    <n v="0"/>
    <n v="0"/>
    <n v="0"/>
    <n v="0"/>
    <n v="0"/>
    <n v="0"/>
    <n v="0"/>
    <n v="0"/>
    <n v="0"/>
    <n v="0"/>
    <n v="0"/>
    <n v="0"/>
    <n v="0"/>
    <n v="0"/>
    <n v="0"/>
    <n v="0"/>
    <n v="0"/>
    <n v="0"/>
    <n v="0"/>
    <n v="0"/>
    <n v="0"/>
    <m/>
    <n v="0"/>
    <n v="42"/>
    <n v="0"/>
    <n v="0"/>
    <n v="0"/>
    <n v="0"/>
    <n v="42"/>
    <n v="0"/>
    <n v="0"/>
    <n v="0"/>
    <n v="0"/>
    <n v="0"/>
    <n v="0"/>
    <m/>
    <m/>
    <m/>
    <m/>
    <m/>
    <m/>
    <m/>
    <m/>
    <m/>
    <m/>
    <m/>
    <m/>
    <m/>
    <m/>
    <m/>
    <m/>
    <m/>
    <m/>
    <m/>
    <m/>
    <m/>
    <m/>
    <m/>
    <m/>
    <m/>
    <m/>
    <m/>
    <m/>
    <m/>
    <m/>
    <m/>
    <m/>
    <m/>
    <m/>
    <m/>
  </r>
  <r>
    <n v="742"/>
    <d v="2025-02-13T00:00:00"/>
    <s v="ZBTO"/>
    <n v="9518516064"/>
    <n v="1"/>
    <s v="9518516064-1"/>
    <s v="No Priority"/>
    <x v="0"/>
    <m/>
    <x v="1"/>
    <x v="1"/>
    <s v="2000-BPRS"/>
    <m/>
    <x v="0"/>
    <m/>
    <m/>
    <m/>
    <s v="West"/>
    <s v="SIYAGANJ"/>
    <m/>
    <n v="120961"/>
    <s v="S K M STEELS LIMITED"/>
    <n v="187541"/>
    <s v="CR COIL-ICF TATXXD AU03 2.00X1250"/>
    <s v=" "/>
    <s v=""/>
    <n v="18"/>
    <n v="25"/>
    <m/>
    <s v="C01"/>
    <s v="TATXXD"/>
    <s v="AU03"/>
    <n v="2"/>
    <n v="1250"/>
    <n v="0"/>
    <n v="115.98"/>
    <n v="86.44"/>
    <n v="29.54"/>
    <n v="29.54"/>
    <n v="29.54"/>
    <n v="0"/>
    <n v="0"/>
    <n v="0"/>
    <n v="0"/>
    <n v="0"/>
    <n v="0"/>
    <n v="0"/>
    <n v="0"/>
    <n v="0"/>
    <n v="0"/>
    <n v="0"/>
    <n v="0"/>
    <n v="0"/>
    <n v="0"/>
    <n v="0"/>
    <n v="0"/>
    <n v="0"/>
    <n v="0"/>
    <n v="0"/>
    <n v="0"/>
    <n v="0"/>
    <n v="0"/>
    <n v="0"/>
    <n v="0"/>
    <m/>
    <n v="0"/>
    <n v="0"/>
    <n v="0"/>
    <n v="0"/>
    <n v="0"/>
    <n v="0"/>
    <n v="0"/>
    <n v="0"/>
    <n v="0"/>
    <n v="0"/>
    <n v="0"/>
    <n v="0"/>
    <n v="0"/>
    <m/>
    <m/>
    <m/>
    <m/>
    <m/>
    <m/>
    <m/>
    <m/>
    <m/>
    <m/>
    <m/>
    <m/>
    <m/>
    <m/>
    <m/>
    <m/>
    <m/>
    <m/>
    <m/>
    <m/>
    <m/>
    <m/>
    <m/>
    <m/>
    <m/>
    <m/>
    <m/>
    <m/>
    <m/>
    <m/>
    <m/>
    <m/>
    <m/>
    <m/>
    <m/>
  </r>
  <r>
    <n v="742"/>
    <d v="2025-02-14T00:00:00"/>
    <s v="ZBTO"/>
    <n v="9518518311"/>
    <n v="1"/>
    <s v="9518518311-1"/>
    <s v="No Priority"/>
    <x v="0"/>
    <m/>
    <x v="1"/>
    <x v="12"/>
    <s v="2000-BPRS"/>
    <m/>
    <x v="0"/>
    <m/>
    <m/>
    <m/>
    <s v="South"/>
    <s v="SANGAREDDY"/>
    <m/>
    <n v="947126"/>
    <s v="RAVINDRA IRON WORKS"/>
    <n v="3587949"/>
    <s v="CR COIL TSBSTA EL06 0.500X1250"/>
    <s v=" "/>
    <s v=""/>
    <n v="7"/>
    <n v="25"/>
    <m/>
    <s v="C01"/>
    <s v="TSBSTA"/>
    <s v="EL06"/>
    <n v="0.5"/>
    <n v="1250"/>
    <n v="0"/>
    <n v="116"/>
    <n v="0"/>
    <n v="116"/>
    <n v="7.69"/>
    <n v="116"/>
    <n v="52.234999999999999"/>
    <n v="0"/>
    <n v="0"/>
    <n v="0"/>
    <n v="0"/>
    <n v="0"/>
    <n v="0"/>
    <n v="0"/>
    <n v="0"/>
    <n v="0"/>
    <n v="0"/>
    <n v="0"/>
    <n v="0"/>
    <n v="0"/>
    <n v="0"/>
    <n v="0"/>
    <n v="0"/>
    <n v="0"/>
    <n v="0"/>
    <n v="0"/>
    <n v="0"/>
    <n v="0"/>
    <n v="0"/>
    <n v="0"/>
    <m/>
    <n v="0"/>
    <n v="0"/>
    <n v="0"/>
    <n v="0"/>
    <n v="0"/>
    <n v="0"/>
    <n v="0"/>
    <n v="0"/>
    <n v="0"/>
    <n v="0"/>
    <n v="0"/>
    <n v="0"/>
    <n v="0"/>
    <m/>
    <m/>
    <m/>
    <m/>
    <m/>
    <m/>
    <m/>
    <m/>
    <m/>
    <m/>
    <m/>
    <m/>
    <m/>
    <m/>
    <m/>
    <m/>
    <m/>
    <m/>
    <m/>
    <m/>
    <m/>
    <m/>
    <m/>
    <m/>
    <m/>
    <m/>
    <m/>
    <m/>
    <m/>
    <m/>
    <m/>
    <m/>
    <m/>
    <m/>
    <m/>
  </r>
  <r>
    <n v="742"/>
    <d v="2025-02-14T00:00:00"/>
    <s v="ZBTO"/>
    <n v="9518518311"/>
    <n v="2"/>
    <s v="9518518311-2"/>
    <s v="No Priority"/>
    <x v="0"/>
    <m/>
    <x v="1"/>
    <x v="12"/>
    <s v="2000-BPRS"/>
    <m/>
    <x v="0"/>
    <m/>
    <m/>
    <m/>
    <s v="South"/>
    <s v="SANGAREDDY"/>
    <m/>
    <n v="947126"/>
    <s v="RAVINDRA IRON WORKS"/>
    <n v="2439203"/>
    <s v="CRCA COIL TSBSTA EL06 0.500X1160"/>
    <s v=" "/>
    <s v=""/>
    <n v="7"/>
    <n v="25"/>
    <m/>
    <s v="C01"/>
    <s v="TSBSTA"/>
    <s v="EL06"/>
    <n v="0.5"/>
    <n v="1160"/>
    <n v="0"/>
    <n v="27"/>
    <n v="0"/>
    <n v="27"/>
    <n v="4.7249999999999996"/>
    <n v="27"/>
    <n v="4.7249999999999996"/>
    <n v="0"/>
    <n v="0"/>
    <n v="0"/>
    <n v="0"/>
    <n v="0"/>
    <n v="0"/>
    <n v="0"/>
    <n v="0"/>
    <n v="0"/>
    <n v="0"/>
    <n v="0"/>
    <n v="0"/>
    <n v="0"/>
    <n v="0"/>
    <n v="0"/>
    <n v="0"/>
    <n v="0"/>
    <n v="0"/>
    <n v="0"/>
    <n v="0"/>
    <n v="0"/>
    <n v="0"/>
    <n v="0"/>
    <m/>
    <n v="0"/>
    <n v="0"/>
    <n v="0"/>
    <n v="0"/>
    <n v="0"/>
    <n v="0"/>
    <n v="0"/>
    <n v="0"/>
    <n v="0"/>
    <n v="0"/>
    <n v="0"/>
    <n v="0"/>
    <n v="0"/>
    <m/>
    <m/>
    <m/>
    <m/>
    <m/>
    <m/>
    <m/>
    <m/>
    <m/>
    <m/>
    <m/>
    <m/>
    <m/>
    <m/>
    <m/>
    <m/>
    <m/>
    <m/>
    <m/>
    <m/>
    <m/>
    <m/>
    <m/>
    <m/>
    <m/>
    <m/>
    <m/>
    <m/>
    <m/>
    <m/>
    <m/>
    <m/>
    <m/>
    <m/>
    <m/>
  </r>
  <r>
    <n v="742"/>
    <d v="2025-02-11T00:00:00"/>
    <s v="ZBTO"/>
    <n v="9518510371"/>
    <n v="4"/>
    <s v="9518510371-4"/>
    <s v="May'25"/>
    <x v="0"/>
    <s v="Yes"/>
    <x v="1"/>
    <x v="2"/>
    <s v="2000-BPRS"/>
    <m/>
    <x v="1"/>
    <m/>
    <m/>
    <m/>
    <s v="North"/>
    <s v="GORAKHPUR"/>
    <m/>
    <n v="115841"/>
    <s v="O.V.S. ISPAT UDYOG"/>
    <n v="3240792"/>
    <s v="CRCA SHEET TSBCRC SR15 0.600X1250X2500"/>
    <s v=" "/>
    <s v=""/>
    <n v="0"/>
    <n v="0"/>
    <m/>
    <s v="C06"/>
    <s v="TSBCRC"/>
    <s v="SR15"/>
    <n v="0.6"/>
    <n v="1250"/>
    <n v="2500"/>
    <n v="39"/>
    <n v="0"/>
    <n v="39"/>
    <n v="39"/>
    <n v="39"/>
    <n v="39"/>
    <n v="0"/>
    <n v="0"/>
    <n v="0"/>
    <n v="0"/>
    <n v="0"/>
    <n v="0"/>
    <n v="0"/>
    <n v="0"/>
    <n v="0"/>
    <n v="0"/>
    <n v="0"/>
    <n v="0"/>
    <n v="0"/>
    <n v="0"/>
    <n v="0"/>
    <n v="0"/>
    <n v="0"/>
    <n v="0"/>
    <n v="0"/>
    <n v="0"/>
    <n v="0"/>
    <n v="0"/>
    <n v="0"/>
    <m/>
    <n v="0"/>
    <n v="39"/>
    <n v="0"/>
    <n v="0"/>
    <n v="39"/>
    <n v="0"/>
    <n v="0"/>
    <n v="0"/>
    <n v="0"/>
    <n v="0"/>
    <n v="0"/>
    <n v="0"/>
    <n v="0"/>
    <m/>
    <m/>
    <m/>
    <m/>
    <m/>
    <m/>
    <m/>
    <m/>
    <m/>
    <m/>
    <m/>
    <m/>
    <m/>
    <m/>
    <m/>
    <m/>
    <m/>
    <m/>
    <m/>
    <m/>
    <m/>
    <m/>
    <m/>
    <m/>
    <m/>
    <m/>
    <m/>
    <m/>
    <m/>
    <m/>
    <m/>
    <m/>
    <m/>
    <m/>
    <m/>
  </r>
  <r>
    <n v="742"/>
    <d v="2025-02-19T00:00:00"/>
    <s v="ZBTO"/>
    <n v="9518533557"/>
    <n v="8"/>
    <s v="9518533557-8"/>
    <s v="No Priority"/>
    <x v="0"/>
    <m/>
    <x v="1"/>
    <x v="2"/>
    <s v="2000-BPRS"/>
    <m/>
    <x v="0"/>
    <m/>
    <s v="Exp BTF &lt;17MT"/>
    <m/>
    <s v="East"/>
    <s v="HOWRAH"/>
    <m/>
    <n v="101278"/>
    <s v="RAMESH COMPANY"/>
    <n v="3239560"/>
    <s v="CRCA SHEET TATCRC SR16 0.450X900X2500"/>
    <s v=" "/>
    <s v=""/>
    <n v="0"/>
    <n v="0"/>
    <m/>
    <s v="C06"/>
    <s v="TATCRC"/>
    <s v="SR16"/>
    <n v="0.45"/>
    <n v="900"/>
    <n v="2500"/>
    <n v="24"/>
    <n v="18.52"/>
    <n v="5.48"/>
    <n v="5.48"/>
    <n v="5.48"/>
    <n v="5.48"/>
    <n v="0"/>
    <n v="0"/>
    <n v="0"/>
    <n v="0"/>
    <n v="0"/>
    <n v="0"/>
    <n v="0"/>
    <n v="0"/>
    <n v="0"/>
    <n v="0"/>
    <n v="0"/>
    <n v="0"/>
    <n v="0"/>
    <n v="0"/>
    <n v="0"/>
    <n v="0"/>
    <n v="0"/>
    <n v="0"/>
    <n v="0"/>
    <n v="0"/>
    <n v="0"/>
    <n v="0"/>
    <n v="0"/>
    <m/>
    <n v="0"/>
    <n v="0"/>
    <n v="0"/>
    <n v="0"/>
    <n v="0"/>
    <n v="0"/>
    <n v="0"/>
    <n v="0"/>
    <n v="0"/>
    <n v="0"/>
    <n v="0"/>
    <n v="0"/>
    <n v="0"/>
    <m/>
    <m/>
    <m/>
    <m/>
    <m/>
    <m/>
    <m/>
    <m/>
    <m/>
    <m/>
    <m/>
    <m/>
    <m/>
    <m/>
    <m/>
    <m/>
    <m/>
    <m/>
    <m/>
    <m/>
    <m/>
    <m/>
    <m/>
    <m/>
    <m/>
    <m/>
    <m/>
    <m/>
    <m/>
    <m/>
    <m/>
    <m/>
    <m/>
    <m/>
    <m/>
  </r>
  <r>
    <n v="742"/>
    <d v="2025-02-07T00:00:00"/>
    <s v="ZBTO"/>
    <n v="9518500267"/>
    <n v="3"/>
    <s v="9518500267-3"/>
    <s v="May'25"/>
    <x v="0"/>
    <s v="Yes"/>
    <x v="1"/>
    <x v="11"/>
    <s v="2000-BPRS"/>
    <n v="500"/>
    <x v="1"/>
    <m/>
    <m/>
    <m/>
    <s v="South"/>
    <s v="YESHWANTHPURA"/>
    <m/>
    <n v="939268"/>
    <s v="TATA STEEL DOWNSTREAM PRODUCTS LIMI"/>
    <n v="2420520"/>
    <s v="CRCA COIL TATXXD AH03 1.150X1250"/>
    <s v=" "/>
    <s v=""/>
    <n v="2"/>
    <n v="26"/>
    <m/>
    <s v="C01"/>
    <s v="TATXXD"/>
    <s v="AH03"/>
    <n v="1.1499999999999999"/>
    <n v="1250"/>
    <n v="0"/>
    <n v="29"/>
    <n v="0"/>
    <n v="29"/>
    <n v="29"/>
    <n v="29"/>
    <n v="29"/>
    <n v="0"/>
    <n v="0"/>
    <n v="0"/>
    <n v="0"/>
    <n v="0"/>
    <n v="0"/>
    <n v="0"/>
    <n v="0"/>
    <n v="0"/>
    <n v="0"/>
    <n v="0"/>
    <n v="0"/>
    <n v="0"/>
    <n v="0"/>
    <n v="0"/>
    <n v="0"/>
    <n v="0"/>
    <n v="0"/>
    <n v="0"/>
    <n v="0"/>
    <n v="0"/>
    <n v="0"/>
    <n v="0"/>
    <m/>
    <n v="0"/>
    <n v="29"/>
    <n v="0"/>
    <n v="29"/>
    <n v="0"/>
    <n v="0"/>
    <n v="0"/>
    <n v="29"/>
    <n v="0"/>
    <n v="29"/>
    <n v="0"/>
    <n v="0"/>
    <n v="0"/>
    <m/>
    <m/>
    <m/>
    <m/>
    <m/>
    <m/>
    <m/>
    <m/>
    <m/>
    <m/>
    <m/>
    <m/>
    <m/>
    <m/>
    <m/>
    <m/>
    <m/>
    <m/>
    <m/>
    <m/>
    <m/>
    <m/>
    <m/>
    <m/>
    <m/>
    <m/>
    <m/>
    <m/>
    <m/>
    <m/>
    <m/>
    <m/>
    <m/>
    <m/>
    <m/>
  </r>
  <r>
    <n v="743"/>
    <d v="2025-02-14T00:00:00"/>
    <s v="ZBTT"/>
    <n v="9518518430"/>
    <n v="1"/>
    <s v="9518518430-1"/>
    <s v="No Priority"/>
    <x v="0"/>
    <m/>
    <x v="4"/>
    <x v="10"/>
    <s v="1000-IPPE"/>
    <m/>
    <x v="0"/>
    <m/>
    <s v="No allocation for IPP"/>
    <m/>
    <s v="West"/>
    <s v="TAMBATI"/>
    <m/>
    <n v="942186"/>
    <s v="PRABHAT GLOBAL COLOURCOATED PRIVATE"/>
    <n v="3946140"/>
    <s v="GL COIL SKINPASS Y250GL SGL1 0.330X1250"/>
    <s v="aZ70"/>
    <s v=""/>
    <n v="7"/>
    <n v="15"/>
    <m/>
    <s v="B06"/>
    <s v="Y250GL"/>
    <s v="SGL1"/>
    <n v="0.33"/>
    <n v="1250"/>
    <n v="0"/>
    <n v="57.999000000000002"/>
    <n v="21.835000000000001"/>
    <n v="36.164000000000001"/>
    <n v="36.164000000000001"/>
    <n v="36.164000000000001"/>
    <n v="0"/>
    <n v="0"/>
    <n v="0"/>
    <n v="0"/>
    <n v="0"/>
    <n v="0"/>
    <n v="0"/>
    <n v="0"/>
    <n v="0"/>
    <n v="0"/>
    <n v="0"/>
    <n v="0"/>
    <n v="0"/>
    <n v="0"/>
    <n v="0"/>
    <n v="0"/>
    <n v="0"/>
    <n v="0"/>
    <n v="0"/>
    <n v="0"/>
    <n v="0"/>
    <n v="0"/>
    <n v="0"/>
    <n v="0"/>
    <m/>
    <n v="0"/>
    <n v="0"/>
    <n v="0"/>
    <n v="0"/>
    <n v="0"/>
    <n v="0"/>
    <n v="0"/>
    <n v="0"/>
    <n v="0"/>
    <n v="0"/>
    <n v="0"/>
    <n v="0"/>
    <n v="0"/>
    <m/>
    <m/>
    <m/>
    <m/>
    <m/>
    <m/>
    <m/>
    <m/>
    <m/>
    <m/>
    <m/>
    <m/>
    <m/>
    <m/>
    <m/>
    <m/>
    <m/>
    <m/>
    <m/>
    <m/>
    <m/>
    <m/>
    <m/>
    <m/>
    <m/>
    <m/>
    <m/>
    <m/>
    <m/>
    <m/>
    <m/>
    <m/>
    <m/>
    <m/>
    <m/>
  </r>
  <r>
    <n v="742"/>
    <d v="2025-02-17T00:00:00"/>
    <s v="ZBTF"/>
    <n v="9518527449"/>
    <n v="8"/>
    <s v="9518527449-8"/>
    <s v="No Priority"/>
    <x v="0"/>
    <s v="Yes"/>
    <x v="1"/>
    <x v="6"/>
    <s v="2000-BPRS"/>
    <m/>
    <x v="0"/>
    <m/>
    <m/>
    <m/>
    <s v="South"/>
    <s v="YESHWANTHPURA"/>
    <m/>
    <n v="650742"/>
    <s v="Angul Cold Rolling Mill"/>
    <n v="2279476"/>
    <s v="CRCA COIL TSBHSQ TU99 1.400X1270"/>
    <s v=" "/>
    <s v=""/>
    <n v="10"/>
    <n v="27"/>
    <m/>
    <s v="C01"/>
    <s v="TSBHSQ"/>
    <s v="TU99"/>
    <n v="1.4"/>
    <n v="1270"/>
    <n v="0"/>
    <n v="116"/>
    <n v="76.385000000000005"/>
    <n v="39.615000000000002"/>
    <n v="39.615000000000002"/>
    <n v="24.07"/>
    <n v="26.17"/>
    <n v="0"/>
    <n v="0"/>
    <n v="0"/>
    <n v="0"/>
    <n v="0"/>
    <n v="0"/>
    <n v="0"/>
    <n v="0"/>
    <n v="0"/>
    <n v="0"/>
    <n v="0"/>
    <n v="0"/>
    <n v="0"/>
    <n v="0"/>
    <n v="0"/>
    <n v="1.71"/>
    <n v="0"/>
    <n v="0"/>
    <n v="13.835000000000001"/>
    <n v="15.545000000000002"/>
    <n v="15.545000000000002"/>
    <n v="0"/>
    <n v="15.545000000000002"/>
    <m/>
    <n v="0"/>
    <n v="0"/>
    <n v="0"/>
    <n v="0"/>
    <n v="0"/>
    <n v="0"/>
    <n v="0"/>
    <n v="0"/>
    <n v="0"/>
    <n v="0"/>
    <n v="0"/>
    <n v="0"/>
    <n v="0"/>
    <m/>
    <m/>
    <m/>
    <m/>
    <m/>
    <m/>
    <m/>
    <m/>
    <m/>
    <m/>
    <m/>
    <m/>
    <m/>
    <m/>
    <m/>
    <m/>
    <m/>
    <m/>
    <m/>
    <m/>
    <m/>
    <m/>
    <m/>
    <m/>
    <m/>
    <m/>
    <m/>
    <m/>
    <m/>
    <m/>
    <m/>
    <m/>
    <m/>
    <m/>
    <m/>
  </r>
  <r>
    <n v="742"/>
    <d v="2025-02-20T00:00:00"/>
    <s v="ZBTO"/>
    <n v="9518535833"/>
    <n v="26"/>
    <s v="9518535833-26"/>
    <s v="No Priority"/>
    <x v="0"/>
    <m/>
    <x v="1"/>
    <x v="2"/>
    <s v="2000-BPRS"/>
    <m/>
    <x v="0"/>
    <m/>
    <s v="Exp BTF &lt;17MT"/>
    <m/>
    <s v="South"/>
    <s v="CHENNAI"/>
    <m/>
    <n v="938550"/>
    <s v="BASEER AND CO"/>
    <n v="3240808"/>
    <s v="CRCA SHEET TSBCRC SR15 0.800X1250X2500"/>
    <s v=" "/>
    <s v=""/>
    <n v="0"/>
    <n v="0"/>
    <m/>
    <s v="C06"/>
    <s v="TSBCRC"/>
    <s v="SR15"/>
    <n v="0.8"/>
    <n v="1250"/>
    <n v="2500"/>
    <n v="30"/>
    <n v="26.39"/>
    <n v="3.61"/>
    <n v="3.61"/>
    <n v="3.61"/>
    <n v="1.51"/>
    <n v="0"/>
    <n v="0"/>
    <n v="0"/>
    <n v="0"/>
    <n v="0"/>
    <n v="0"/>
    <n v="0"/>
    <n v="0"/>
    <n v="0"/>
    <n v="0"/>
    <n v="0"/>
    <n v="0"/>
    <n v="0"/>
    <n v="0"/>
    <n v="0"/>
    <n v="0"/>
    <n v="0"/>
    <n v="0"/>
    <n v="0"/>
    <n v="0"/>
    <n v="0"/>
    <n v="0"/>
    <n v="0"/>
    <m/>
    <n v="0"/>
    <n v="0"/>
    <n v="0"/>
    <n v="0"/>
    <n v="0"/>
    <n v="0"/>
    <n v="0"/>
    <n v="0"/>
    <n v="0"/>
    <n v="0"/>
    <n v="0"/>
    <n v="0"/>
    <n v="0"/>
    <m/>
    <m/>
    <m/>
    <m/>
    <m/>
    <m/>
    <m/>
    <m/>
    <m/>
    <m/>
    <m/>
    <m/>
    <m/>
    <m/>
    <m/>
    <m/>
    <m/>
    <m/>
    <m/>
    <m/>
    <m/>
    <m/>
    <m/>
    <m/>
    <m/>
    <m/>
    <m/>
    <m/>
    <m/>
    <m/>
    <m/>
    <m/>
    <m/>
    <m/>
    <m/>
  </r>
  <r>
    <n v="742"/>
    <d v="2025-02-14T00:00:00"/>
    <s v="ZBTO"/>
    <n v="9518520213"/>
    <n v="12"/>
    <s v="9518520213-12"/>
    <s v="No Priority"/>
    <x v="0"/>
    <m/>
    <x v="1"/>
    <x v="2"/>
    <s v="2000-BPRS"/>
    <m/>
    <x v="0"/>
    <m/>
    <s v="Exp BTF &lt;17MT"/>
    <m/>
    <s v="East"/>
    <s v="PURNIA"/>
    <m/>
    <n v="103227"/>
    <s v="BMW VENTURES LIMITED"/>
    <n v="3240778"/>
    <s v="CRCA SHEET TSBCRC SR15 0.600X1000X2500"/>
    <s v=" "/>
    <s v=""/>
    <n v="0"/>
    <n v="0"/>
    <m/>
    <s v="C06"/>
    <s v="TSBCRC"/>
    <s v="SR15"/>
    <n v="0.6"/>
    <n v="1000"/>
    <n v="2500"/>
    <n v="24"/>
    <n v="20.364999999999998"/>
    <n v="3.6349999999999998"/>
    <n v="3.6349999999999998"/>
    <n v="3.6349999999999998"/>
    <n v="3.6349999999999998"/>
    <n v="0"/>
    <n v="0"/>
    <n v="0"/>
    <n v="0"/>
    <n v="0"/>
    <n v="0"/>
    <n v="0"/>
    <n v="0"/>
    <n v="0"/>
    <n v="0"/>
    <n v="0"/>
    <n v="0"/>
    <n v="0"/>
    <n v="0"/>
    <n v="0"/>
    <n v="0"/>
    <n v="0"/>
    <n v="0"/>
    <n v="0"/>
    <n v="0"/>
    <n v="0"/>
    <n v="0"/>
    <n v="0"/>
    <m/>
    <n v="0"/>
    <n v="0"/>
    <n v="0"/>
    <n v="0"/>
    <n v="0"/>
    <n v="0"/>
    <n v="0"/>
    <n v="0"/>
    <n v="0"/>
    <n v="0"/>
    <n v="0"/>
    <n v="0"/>
    <n v="0"/>
    <m/>
    <m/>
    <m/>
    <m/>
    <m/>
    <m/>
    <m/>
    <m/>
    <m/>
    <m/>
    <m/>
    <m/>
    <m/>
    <m/>
    <m/>
    <m/>
    <m/>
    <m/>
    <m/>
    <m/>
    <m/>
    <m/>
    <m/>
    <m/>
    <m/>
    <m/>
    <m/>
    <m/>
    <m/>
    <m/>
    <m/>
    <m/>
    <m/>
    <m/>
    <m/>
  </r>
  <r>
    <n v="742"/>
    <d v="2025-02-14T00:00:00"/>
    <s v="ZBTO"/>
    <n v="9518518906"/>
    <n v="7"/>
    <s v="9518518906-7"/>
    <s v="No Priority"/>
    <x v="0"/>
    <m/>
    <x v="1"/>
    <x v="2"/>
    <s v="2000-BPRS"/>
    <m/>
    <x v="0"/>
    <m/>
    <m/>
    <m/>
    <s v="North"/>
    <s v="VARANASI"/>
    <m/>
    <n v="931525"/>
    <s v="INDIA STEEL INDUSTRIES"/>
    <n v="3912459"/>
    <s v="CRCA SHEET TSBCRC SR15 0.700X1000X1925"/>
    <s v=" "/>
    <s v=""/>
    <n v="0"/>
    <n v="0"/>
    <m/>
    <s v="C06"/>
    <s v="TSBCRC"/>
    <s v="SR15"/>
    <n v="0.7"/>
    <n v="1000"/>
    <n v="1925"/>
    <n v="33"/>
    <n v="20.765000000000001"/>
    <n v="12.234999999999999"/>
    <n v="12.234999999999999"/>
    <n v="12.234999999999999"/>
    <n v="12.234999999999999"/>
    <n v="0"/>
    <n v="0"/>
    <n v="0"/>
    <n v="0"/>
    <n v="0"/>
    <n v="0"/>
    <n v="0"/>
    <n v="0"/>
    <n v="0"/>
    <n v="0"/>
    <n v="0"/>
    <n v="0"/>
    <n v="0"/>
    <n v="0"/>
    <n v="0"/>
    <n v="0"/>
    <n v="0"/>
    <n v="0"/>
    <n v="0"/>
    <n v="0"/>
    <n v="0"/>
    <n v="0"/>
    <n v="0"/>
    <m/>
    <n v="0"/>
    <n v="0"/>
    <n v="0"/>
    <n v="0"/>
    <n v="0"/>
    <n v="0"/>
    <n v="0"/>
    <n v="0"/>
    <n v="0"/>
    <n v="0"/>
    <n v="0"/>
    <n v="0"/>
    <n v="0"/>
    <m/>
    <m/>
    <m/>
    <m/>
    <m/>
    <m/>
    <m/>
    <m/>
    <m/>
    <m/>
    <m/>
    <m/>
    <m/>
    <m/>
    <m/>
    <m/>
    <m/>
    <m/>
    <m/>
    <m/>
    <m/>
    <m/>
    <m/>
    <m/>
    <m/>
    <m/>
    <m/>
    <m/>
    <m/>
    <m/>
    <m/>
    <m/>
    <m/>
    <m/>
    <m/>
  </r>
  <r>
    <n v="742"/>
    <d v="2025-02-11T00:00:00"/>
    <s v="ZBTO"/>
    <n v="9518510681"/>
    <n v="3"/>
    <s v="9518510681-3"/>
    <s v="No Priority"/>
    <x v="0"/>
    <m/>
    <x v="1"/>
    <x v="2"/>
    <s v="2000-BPRS"/>
    <m/>
    <x v="0"/>
    <m/>
    <s v="Exp BTF &lt;17MT"/>
    <m/>
    <s v="North"/>
    <s v="KANPUR"/>
    <m/>
    <n v="115841"/>
    <s v="O.V.S. ISPAT UDYOG"/>
    <n v="3240806"/>
    <s v="CRCA SHEET TSBCRC SR15 0.800X1250X1930"/>
    <s v=" "/>
    <s v=""/>
    <n v="0"/>
    <n v="0"/>
    <m/>
    <s v="C06"/>
    <s v="TSBCRC"/>
    <s v="SR15"/>
    <n v="0.8"/>
    <n v="1250"/>
    <n v="1930"/>
    <n v="33"/>
    <n v="26.125"/>
    <n v="6.875"/>
    <n v="6.875"/>
    <n v="6.875"/>
    <n v="6.875"/>
    <n v="0"/>
    <n v="0"/>
    <n v="0"/>
    <n v="0"/>
    <n v="0"/>
    <n v="0"/>
    <n v="0"/>
    <n v="0"/>
    <n v="0"/>
    <n v="0"/>
    <n v="0"/>
    <n v="0"/>
    <n v="0"/>
    <n v="0"/>
    <n v="0"/>
    <n v="0"/>
    <n v="0"/>
    <n v="0"/>
    <n v="0"/>
    <n v="0"/>
    <n v="0"/>
    <n v="0"/>
    <n v="0"/>
    <m/>
    <n v="0"/>
    <n v="0"/>
    <n v="0"/>
    <n v="0"/>
    <n v="0"/>
    <n v="0"/>
    <n v="0"/>
    <n v="0"/>
    <n v="0"/>
    <n v="0"/>
    <n v="0"/>
    <n v="0"/>
    <n v="0"/>
    <m/>
    <m/>
    <m/>
    <m/>
    <m/>
    <m/>
    <m/>
    <m/>
    <m/>
    <m/>
    <m/>
    <m/>
    <m/>
    <m/>
    <m/>
    <m/>
    <m/>
    <m/>
    <m/>
    <m/>
    <m/>
    <m/>
    <m/>
    <m/>
    <m/>
    <m/>
    <m/>
    <m/>
    <m/>
    <m/>
    <m/>
    <m/>
    <m/>
    <m/>
    <m/>
  </r>
  <r>
    <n v="742"/>
    <d v="2025-02-03T00:00:00"/>
    <s v="ZBTO"/>
    <n v="9518490750"/>
    <n v="8"/>
    <s v="9518490750-8"/>
    <s v="No Priority"/>
    <x v="0"/>
    <m/>
    <x v="1"/>
    <x v="2"/>
    <s v="2000-BPRS"/>
    <m/>
    <x v="0"/>
    <m/>
    <m/>
    <m/>
    <s v="East"/>
    <s v="TANGI"/>
    <m/>
    <n v="117061"/>
    <s v="BHARTIA  DISTRIBUTORS PVT. LTD."/>
    <n v="3240818"/>
    <s v="CRCA SHEET TSBCRC SR15 0.900X1000X2500"/>
    <s v=" "/>
    <s v=""/>
    <n v="0.1"/>
    <n v="5"/>
    <m/>
    <s v="C06"/>
    <s v="TSBCRC"/>
    <s v="SR15"/>
    <n v="0.9"/>
    <n v="1000"/>
    <n v="2500"/>
    <n v="75"/>
    <n v="66.95"/>
    <n v="8.0500000000000007"/>
    <n v="-7.085"/>
    <n v="0"/>
    <n v="0.01"/>
    <n v="0"/>
    <n v="0"/>
    <n v="0"/>
    <n v="0"/>
    <n v="0"/>
    <n v="0"/>
    <n v="0"/>
    <n v="0"/>
    <n v="0"/>
    <n v="0"/>
    <n v="0"/>
    <n v="0"/>
    <n v="0"/>
    <n v="0"/>
    <n v="0"/>
    <n v="0"/>
    <n v="0"/>
    <n v="0"/>
    <n v="0"/>
    <n v="0"/>
    <n v="0"/>
    <n v="0"/>
    <n v="0"/>
    <m/>
    <n v="0"/>
    <n v="0"/>
    <n v="0"/>
    <n v="0"/>
    <n v="0"/>
    <n v="0"/>
    <n v="0"/>
    <n v="0"/>
    <n v="0"/>
    <n v="0"/>
    <n v="0"/>
    <n v="0"/>
    <n v="0"/>
    <m/>
    <m/>
    <m/>
    <m/>
    <m/>
    <m/>
    <m/>
    <m/>
    <m/>
    <m/>
    <m/>
    <m/>
    <m/>
    <m/>
    <m/>
    <m/>
    <m/>
    <m/>
    <m/>
    <m/>
    <m/>
    <m/>
    <m/>
    <m/>
    <m/>
    <m/>
    <m/>
    <m/>
    <m/>
    <m/>
    <m/>
    <m/>
    <m/>
    <m/>
    <m/>
  </r>
  <r>
    <n v="743"/>
    <d v="2025-02-05T00:00:00"/>
    <s v="ZBTO"/>
    <n v="9518495843"/>
    <n v="1"/>
    <s v="9518495843-1"/>
    <s v="May'25"/>
    <x v="0"/>
    <s v="Yes"/>
    <x v="3"/>
    <x v="9"/>
    <s v="2000-BPRS"/>
    <m/>
    <x v="1"/>
    <m/>
    <m/>
    <m/>
    <s v="East"/>
    <s v="KOLKATA"/>
    <m/>
    <n v="100922"/>
    <s v="BUBNA COMMERCIAL COMPANY"/>
    <n v="1851065"/>
    <s v="GP COIL SOFT-TATXGP-GK09-0.25X900"/>
    <s v="Z80"/>
    <s v=""/>
    <n v="5"/>
    <n v="15"/>
    <m/>
    <s v="C02"/>
    <s v="TATXGP"/>
    <s v="GK09"/>
    <n v="0.25"/>
    <n v="900"/>
    <n v="0"/>
    <n v="63"/>
    <n v="0"/>
    <n v="63"/>
    <n v="63"/>
    <n v="63"/>
    <n v="63"/>
    <n v="0"/>
    <n v="0"/>
    <n v="0"/>
    <n v="0"/>
    <n v="0"/>
    <n v="0"/>
    <n v="0"/>
    <n v="0"/>
    <n v="0"/>
    <n v="0"/>
    <n v="0"/>
    <n v="0"/>
    <n v="0"/>
    <n v="0"/>
    <n v="0"/>
    <n v="0"/>
    <n v="0"/>
    <n v="0"/>
    <n v="0"/>
    <n v="0"/>
    <n v="0"/>
    <n v="0"/>
    <n v="0"/>
    <m/>
    <n v="0"/>
    <n v="63"/>
    <n v="0"/>
    <n v="0"/>
    <n v="0"/>
    <n v="63"/>
    <n v="0"/>
    <n v="0"/>
    <n v="0"/>
    <n v="0"/>
    <n v="0"/>
    <n v="0"/>
    <n v="0"/>
    <m/>
    <m/>
    <m/>
    <m/>
    <m/>
    <m/>
    <m/>
    <m/>
    <m/>
    <m/>
    <m/>
    <m/>
    <m/>
    <m/>
    <m/>
    <m/>
    <m/>
    <m/>
    <m/>
    <m/>
    <m/>
    <m/>
    <m/>
    <m/>
    <m/>
    <m/>
    <m/>
    <m/>
    <m/>
    <m/>
    <m/>
    <m/>
    <m/>
    <m/>
    <m/>
  </r>
  <r>
    <n v="743"/>
    <d v="2025-02-19T00:00:00"/>
    <s v="ZBTO"/>
    <n v="9518532816"/>
    <n v="2"/>
    <s v="9518532816-2"/>
    <s v="May'25"/>
    <x v="0"/>
    <s v="Yes"/>
    <x v="3"/>
    <x v="9"/>
    <s v="2000-BPRS"/>
    <m/>
    <x v="1"/>
    <m/>
    <m/>
    <m/>
    <s v="East"/>
    <s v=" "/>
    <m/>
    <n v="121328"/>
    <s v="R. S. BOKARO METAL (P) LTD."/>
    <n v="1191956"/>
    <s v="GP COIL SOFT-TATXGP-GK09-0.35X900"/>
    <s v="Z80"/>
    <s v=""/>
    <n v="4"/>
    <n v="12"/>
    <m/>
    <s v="C02"/>
    <s v="TATXGP"/>
    <s v="GK09"/>
    <n v="0.35"/>
    <n v="900"/>
    <n v="0"/>
    <n v="147"/>
    <n v="41.344999999999999"/>
    <n v="105.655"/>
    <n v="105.655"/>
    <n v="105.655"/>
    <n v="105.655"/>
    <n v="0"/>
    <n v="0"/>
    <n v="0"/>
    <n v="0"/>
    <n v="0"/>
    <n v="0"/>
    <n v="0"/>
    <n v="0"/>
    <n v="0"/>
    <n v="0"/>
    <n v="0"/>
    <n v="0"/>
    <n v="0"/>
    <n v="0"/>
    <n v="0"/>
    <n v="0"/>
    <n v="0"/>
    <n v="0"/>
    <n v="0"/>
    <n v="0"/>
    <n v="0"/>
    <n v="0"/>
    <n v="0"/>
    <m/>
    <n v="0"/>
    <n v="105.655"/>
    <n v="0"/>
    <n v="0"/>
    <n v="105.655"/>
    <n v="0"/>
    <n v="0"/>
    <n v="0"/>
    <n v="0"/>
    <n v="0"/>
    <n v="0"/>
    <n v="0"/>
    <n v="0"/>
    <m/>
    <m/>
    <m/>
    <m/>
    <m/>
    <m/>
    <m/>
    <m/>
    <m/>
    <m/>
    <m/>
    <m/>
    <m/>
    <m/>
    <m/>
    <m/>
    <m/>
    <m/>
    <m/>
    <m/>
    <m/>
    <m/>
    <m/>
    <m/>
    <m/>
    <m/>
    <m/>
    <m/>
    <m/>
    <m/>
    <m/>
    <m/>
    <m/>
    <m/>
    <m/>
  </r>
  <r>
    <n v="742"/>
    <d v="2025-03-14T00:00:00"/>
    <s v="ZBTF"/>
    <n v="4000500995"/>
    <n v="7"/>
    <s v="4000500995-7"/>
    <s v="May'25"/>
    <x v="0"/>
    <m/>
    <x v="0"/>
    <x v="0"/>
    <s v="2000-BPRS"/>
    <m/>
    <x v="1"/>
    <m/>
    <m/>
    <m/>
    <s v="South"/>
    <s v="YESHWANTHPURA"/>
    <m/>
    <n v="600103"/>
    <s v="TATA STEEL LIMITED"/>
    <n v="3226988"/>
    <s v="HR COILS-PO THR099 HR99 3.40X1250"/>
    <s v=" "/>
    <s v=""/>
    <n v="10"/>
    <n v="27"/>
    <m/>
    <n v="768"/>
    <s v="THR099"/>
    <s v="HR99"/>
    <n v="3.4"/>
    <n v="1250"/>
    <n v="0"/>
    <n v="50"/>
    <n v="0"/>
    <n v="50"/>
    <n v="50"/>
    <n v="50"/>
    <n v="50"/>
    <n v="0"/>
    <n v="0"/>
    <n v="0"/>
    <n v="0"/>
    <n v="0"/>
    <n v="0"/>
    <n v="0"/>
    <n v="0"/>
    <n v="0"/>
    <n v="0"/>
    <n v="0"/>
    <n v="0"/>
    <n v="0"/>
    <n v="0"/>
    <n v="0"/>
    <n v="0"/>
    <n v="0"/>
    <n v="0"/>
    <n v="0"/>
    <n v="0"/>
    <n v="0"/>
    <n v="0"/>
    <n v="0"/>
    <m/>
    <n v="0"/>
    <n v="50"/>
    <n v="0"/>
    <n v="0"/>
    <n v="0"/>
    <n v="50"/>
    <n v="0"/>
    <n v="0"/>
    <n v="0"/>
    <n v="0"/>
    <n v="0"/>
    <n v="0"/>
    <n v="0"/>
    <m/>
    <m/>
    <m/>
    <m/>
    <m/>
    <m/>
    <m/>
    <m/>
    <m/>
    <m/>
    <m/>
    <m/>
    <m/>
    <m/>
    <m/>
    <m/>
    <m/>
    <m/>
    <m/>
    <m/>
    <m/>
    <m/>
    <m/>
    <m/>
    <m/>
    <m/>
    <m/>
    <m/>
    <m/>
    <m/>
    <m/>
    <m/>
    <m/>
    <m/>
    <m/>
  </r>
  <r>
    <n v="743"/>
    <d v="2025-03-28T00:00:00"/>
    <s v="ZBTO"/>
    <n v="9518649108"/>
    <n v="1"/>
    <s v="9518649108-1"/>
    <s v="May'25"/>
    <x v="0"/>
    <s v="Yes"/>
    <x v="4"/>
    <x v="5"/>
    <s v="1000-IPPE"/>
    <m/>
    <x v="1"/>
    <m/>
    <m/>
    <m/>
    <s v="West"/>
    <s v="SANAND"/>
    <m/>
    <n v="944226"/>
    <s v="PURSHOTAM PROFILES PRIVATE LIMITED"/>
    <n v="3982724"/>
    <s v="GL COIL HARD  Y550GL HGL6 0.900X1200"/>
    <s v="AZ150"/>
    <s v=""/>
    <n v="10"/>
    <n v="17"/>
    <m/>
    <s v="B04"/>
    <s v="Y550GL"/>
    <s v="HGL6"/>
    <n v="0.9"/>
    <n v="1200"/>
    <n v="0"/>
    <n v="297"/>
    <n v="0"/>
    <n v="297"/>
    <n v="297"/>
    <n v="0"/>
    <n v="297"/>
    <n v="0"/>
    <n v="0"/>
    <n v="0"/>
    <n v="0"/>
    <n v="0"/>
    <n v="0"/>
    <n v="0"/>
    <n v="0"/>
    <n v="0"/>
    <n v="0"/>
    <n v="0"/>
    <n v="0"/>
    <n v="0"/>
    <n v="0"/>
    <n v="0"/>
    <n v="0"/>
    <n v="0"/>
    <n v="0"/>
    <n v="0"/>
    <n v="0"/>
    <n v="0"/>
    <n v="297"/>
    <n v="297"/>
    <m/>
    <n v="0"/>
    <n v="297"/>
    <n v="0"/>
    <n v="0"/>
    <n v="297"/>
    <n v="0"/>
    <n v="0"/>
    <n v="0"/>
    <n v="0"/>
    <n v="0"/>
    <n v="0"/>
    <n v="0"/>
    <n v="0"/>
    <m/>
    <m/>
    <m/>
    <m/>
    <m/>
    <m/>
    <m/>
    <m/>
    <m/>
    <m/>
    <m/>
    <m/>
    <m/>
    <m/>
    <m/>
    <m/>
    <m/>
    <m/>
    <m/>
    <m/>
    <m/>
    <m/>
    <m/>
    <m/>
    <m/>
    <m/>
    <m/>
    <m/>
    <m/>
    <m/>
    <m/>
    <m/>
    <m/>
    <m/>
    <m/>
  </r>
  <r>
    <n v="743"/>
    <d v="2025-02-21T00:00:00"/>
    <s v="ZBTO"/>
    <n v="9518539704"/>
    <n v="2"/>
    <s v="9518539704-2"/>
    <s v="No Priority"/>
    <x v="0"/>
    <m/>
    <x v="4"/>
    <x v="5"/>
    <s v="1000-IPPE"/>
    <m/>
    <x v="0"/>
    <m/>
    <s v="Centre slit HR not available"/>
    <m/>
    <s v="South"/>
    <s v="ZAHIRABAD"/>
    <m/>
    <n v="188152"/>
    <s v="Metalkraft Forming Industries Pvt L"/>
    <n v="3893161"/>
    <s v="GL COIL HARD  Y550GL HGL6 0.940X1160"/>
    <s v="AZ150"/>
    <s v=""/>
    <n v="8"/>
    <n v="12"/>
    <m/>
    <s v="B04"/>
    <s v="Y550GL"/>
    <s v="HGL6"/>
    <n v="0.94"/>
    <n v="1160"/>
    <n v="0"/>
    <n v="162"/>
    <n v="0"/>
    <n v="162"/>
    <n v="162"/>
    <n v="162"/>
    <n v="162"/>
    <n v="0"/>
    <n v="0"/>
    <n v="0"/>
    <n v="0"/>
    <n v="0"/>
    <n v="0"/>
    <n v="0"/>
    <n v="0"/>
    <n v="0"/>
    <n v="0"/>
    <n v="0"/>
    <n v="0"/>
    <n v="0"/>
    <n v="0"/>
    <n v="0"/>
    <n v="0"/>
    <n v="0"/>
    <n v="0"/>
    <n v="0"/>
    <n v="0"/>
    <n v="0"/>
    <n v="0"/>
    <n v="0"/>
    <m/>
    <n v="0"/>
    <n v="0"/>
    <n v="0"/>
    <n v="0"/>
    <n v="0"/>
    <n v="0"/>
    <n v="0"/>
    <n v="0"/>
    <n v="0"/>
    <n v="0"/>
    <n v="0"/>
    <n v="0"/>
    <n v="0"/>
    <m/>
    <m/>
    <m/>
    <m/>
    <m/>
    <m/>
    <m/>
    <m/>
    <m/>
    <m/>
    <m/>
    <m/>
    <m/>
    <m/>
    <m/>
    <m/>
    <m/>
    <m/>
    <m/>
    <m/>
    <m/>
    <m/>
    <m/>
    <m/>
    <m/>
    <m/>
    <m/>
    <m/>
    <m/>
    <m/>
    <m/>
    <m/>
    <m/>
    <m/>
    <m/>
  </r>
  <r>
    <n v="742"/>
    <d v="2025-03-19T00:00:00"/>
    <s v="ZBTO"/>
    <n v="9518613530"/>
    <n v="2"/>
    <s v="9518613530-2"/>
    <s v="No Priority"/>
    <x v="0"/>
    <m/>
    <x v="1"/>
    <x v="10"/>
    <s v="1000-IPPE"/>
    <m/>
    <x v="0"/>
    <m/>
    <m/>
    <m/>
    <s v="South"/>
    <s v="VISAJHAPATNAM"/>
    <m/>
    <n v="188238"/>
    <s v="Balmer Lawrie &amp; Co. Limited"/>
    <n v="2299154"/>
    <s v="CRCA COIL TATXXD BT02 0.800X920"/>
    <s v=" "/>
    <s v=""/>
    <n v="6"/>
    <n v="10"/>
    <m/>
    <s v="C01"/>
    <s v="TATXXD"/>
    <s v="BT02"/>
    <n v="0.8"/>
    <n v="92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3-20T00:00:00"/>
    <s v="ZBTO"/>
    <n v="9518617132"/>
    <n v="3"/>
    <s v="9518617132-3"/>
    <s v="No Priority"/>
    <x v="0"/>
    <m/>
    <x v="1"/>
    <x v="2"/>
    <s v="2000-BPRS"/>
    <m/>
    <x v="0"/>
    <m/>
    <m/>
    <m/>
    <s v="East"/>
    <s v="PATNA"/>
    <m/>
    <n v="103227"/>
    <s v="BMW VENTURES LIMITED"/>
    <n v="3240778"/>
    <s v="CRCA SHEET TSBCRC SR15 0.600X1000X2500"/>
    <s v=" "/>
    <s v=""/>
    <n v="0"/>
    <n v="0"/>
    <m/>
    <s v="C06"/>
    <s v="TSBCRC"/>
    <s v="SR15"/>
    <n v="0.6"/>
    <n v="1000"/>
    <n v="2500"/>
    <n v="12"/>
    <n v="0"/>
    <n v="12"/>
    <n v="12"/>
    <n v="-10.440000000000001"/>
    <n v="12"/>
    <n v="0"/>
    <n v="0"/>
    <n v="0"/>
    <n v="0"/>
    <n v="0"/>
    <n v="0"/>
    <n v="0"/>
    <n v="0"/>
    <n v="0"/>
    <n v="0"/>
    <n v="0"/>
    <n v="0"/>
    <n v="0"/>
    <n v="22.44"/>
    <n v="0"/>
    <n v="0"/>
    <n v="0"/>
    <n v="0"/>
    <n v="0"/>
    <n v="22.44"/>
    <n v="22.44"/>
    <n v="0"/>
    <n v="22.44"/>
    <m/>
    <n v="0"/>
    <n v="0"/>
    <n v="0"/>
    <n v="0"/>
    <n v="0"/>
    <n v="0"/>
    <n v="0"/>
    <n v="0"/>
    <n v="0"/>
    <n v="0"/>
    <n v="0"/>
    <n v="0"/>
    <n v="0"/>
    <m/>
    <m/>
    <m/>
    <m/>
    <m/>
    <m/>
    <m/>
    <m/>
    <m/>
    <m/>
    <m/>
    <m/>
    <m/>
    <m/>
    <m/>
    <m/>
    <m/>
    <m/>
    <m/>
    <m/>
    <m/>
    <m/>
    <m/>
    <m/>
    <m/>
    <m/>
    <m/>
    <m/>
    <m/>
    <m/>
    <m/>
    <m/>
    <m/>
    <m/>
    <m/>
  </r>
  <r>
    <n v="742"/>
    <d v="2025-03-20T00:00:00"/>
    <s v="ZBTO"/>
    <n v="9518617132"/>
    <n v="4"/>
    <s v="9518617132-4"/>
    <s v="No Priority"/>
    <x v="0"/>
    <m/>
    <x v="1"/>
    <x v="2"/>
    <s v="2000-BPRS"/>
    <m/>
    <x v="0"/>
    <m/>
    <m/>
    <m/>
    <s v="East"/>
    <s v="PATNA"/>
    <m/>
    <n v="103227"/>
    <s v="BMW VENTURES LIMITED"/>
    <n v="3240849"/>
    <s v="CRCA SHEET TSBCRC SR15 1.200X1250X2500"/>
    <s v=" "/>
    <s v=""/>
    <n v="0"/>
    <n v="0"/>
    <m/>
    <s v="C06"/>
    <s v="TSBCRC"/>
    <s v="SR15"/>
    <n v="1.2"/>
    <n v="1250"/>
    <n v="2500"/>
    <n v="12"/>
    <n v="0"/>
    <n v="12"/>
    <n v="12"/>
    <n v="12"/>
    <n v="12"/>
    <n v="0"/>
    <n v="0"/>
    <n v="0"/>
    <n v="0"/>
    <n v="0"/>
    <n v="0"/>
    <n v="0"/>
    <n v="0"/>
    <n v="0"/>
    <n v="0"/>
    <n v="0"/>
    <n v="0"/>
    <n v="0"/>
    <n v="0"/>
    <n v="0"/>
    <n v="0"/>
    <n v="0"/>
    <n v="0"/>
    <n v="0"/>
    <n v="0"/>
    <n v="0"/>
    <n v="0"/>
    <n v="0"/>
    <m/>
    <n v="0"/>
    <n v="0"/>
    <n v="0"/>
    <n v="0"/>
    <n v="0"/>
    <n v="0"/>
    <n v="0"/>
    <n v="0"/>
    <n v="0"/>
    <n v="0"/>
    <n v="0"/>
    <n v="0"/>
    <n v="0"/>
    <m/>
    <m/>
    <m/>
    <m/>
    <m/>
    <m/>
    <m/>
    <m/>
    <m/>
    <m/>
    <m/>
    <m/>
    <m/>
    <m/>
    <m/>
    <m/>
    <m/>
    <m/>
    <m/>
    <m/>
    <m/>
    <m/>
    <m/>
    <m/>
    <m/>
    <m/>
    <m/>
    <m/>
    <m/>
    <m/>
    <m/>
    <m/>
    <m/>
    <m/>
    <m/>
  </r>
  <r>
    <n v="743"/>
    <d v="2025-03-29T00:00:00"/>
    <s v="ZBTO"/>
    <n v="9518652119"/>
    <n v="2"/>
    <s v="9518652119-2"/>
    <s v="May'25"/>
    <x v="0"/>
    <m/>
    <x v="3"/>
    <x v="14"/>
    <s v="2000-BPRS"/>
    <m/>
    <x v="1"/>
    <m/>
    <m/>
    <s v="Maharashtra"/>
    <s v="West"/>
    <s v="NAGPUR"/>
    <m/>
    <n v="930519"/>
    <s v="JAUSHNA STEELS (INDIA) PVT. LTD."/>
    <n v="1854410"/>
    <s v="GP COIL SOFT-TATXGP-GK09-0.4X1220"/>
    <s v="Z80"/>
    <s v=""/>
    <n v="4"/>
    <n v="6"/>
    <m/>
    <s v="C02"/>
    <s v="TATXGP"/>
    <s v="GK09"/>
    <n v="0.4"/>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2"/>
    <d v="2025-03-21T00:00:00"/>
    <s v="ZBTO"/>
    <n v="9518620674"/>
    <n v="20"/>
    <s v="9518620674-20"/>
    <s v="No Priority"/>
    <x v="0"/>
    <s v="Yes"/>
    <x v="1"/>
    <x v="1"/>
    <s v="2000-BPRS"/>
    <m/>
    <x v="0"/>
    <m/>
    <m/>
    <m/>
    <s v="South"/>
    <s v="CHENNAI"/>
    <m/>
    <n v="938550"/>
    <s v="BASEER AND CO"/>
    <n v="1884117"/>
    <s v="CRCA COIL-TATXXD-AU03-2X1250"/>
    <s v=" "/>
    <s v=""/>
    <n v="6"/>
    <n v="18"/>
    <m/>
    <s v="C01"/>
    <s v="TATXXD"/>
    <s v="AU03"/>
    <n v="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27T00:00:00"/>
    <s v="ZBTO"/>
    <n v="9518645033"/>
    <n v="4"/>
    <s v="9518645033-4"/>
    <s v="May'25"/>
    <x v="0"/>
    <s v="Yes"/>
    <x v="1"/>
    <x v="1"/>
    <s v="2000-BPRS"/>
    <m/>
    <x v="1"/>
    <m/>
    <m/>
    <m/>
    <s v="South"/>
    <s v="GUMMIDIPOONDI"/>
    <m/>
    <n v="161312"/>
    <s v="GOVINDARAJA MUDALIAR SONS PVT LTD"/>
    <n v="2398457"/>
    <s v="CRCA COIL TATXXD AU03 1X1320"/>
    <s v=" "/>
    <s v=""/>
    <n v="5"/>
    <n v="29"/>
    <m/>
    <s v="C01"/>
    <s v="TATXXD"/>
    <s v="AU03"/>
    <n v="1"/>
    <n v="1320"/>
    <n v="0"/>
    <n v="210"/>
    <n v="0"/>
    <n v="210"/>
    <n v="210"/>
    <n v="181.21"/>
    <n v="210"/>
    <n v="0"/>
    <n v="0"/>
    <n v="0"/>
    <n v="0"/>
    <n v="0"/>
    <n v="0"/>
    <n v="0"/>
    <n v="0"/>
    <n v="0"/>
    <n v="0"/>
    <n v="0"/>
    <n v="0"/>
    <n v="0"/>
    <n v="28.79"/>
    <n v="0"/>
    <n v="0"/>
    <n v="0"/>
    <n v="0"/>
    <n v="0"/>
    <n v="28.79"/>
    <n v="28.79"/>
    <n v="0"/>
    <n v="28.79"/>
    <m/>
    <n v="0"/>
    <n v="210"/>
    <n v="0"/>
    <n v="0"/>
    <n v="0"/>
    <n v="210"/>
    <n v="0"/>
    <n v="0"/>
    <n v="0"/>
    <n v="0"/>
    <n v="0"/>
    <n v="0"/>
    <n v="0"/>
    <m/>
    <m/>
    <m/>
    <m/>
    <m/>
    <m/>
    <m/>
    <m/>
    <m/>
    <m/>
    <m/>
    <m/>
    <m/>
    <m/>
    <m/>
    <m/>
    <m/>
    <m/>
    <m/>
    <m/>
    <m/>
    <m/>
    <m/>
    <m/>
    <m/>
    <m/>
    <m/>
    <m/>
    <m/>
    <m/>
    <m/>
    <m/>
    <m/>
    <m/>
    <m/>
  </r>
  <r>
    <n v="742"/>
    <d v="2025-03-28T00:00:00"/>
    <s v="ZBTO"/>
    <n v="9518649438"/>
    <n v="2"/>
    <s v="9518649438-2"/>
    <s v="May'25"/>
    <x v="0"/>
    <s v="Yes"/>
    <x v="1"/>
    <x v="1"/>
    <s v="2000-BPRS"/>
    <m/>
    <x v="1"/>
    <m/>
    <m/>
    <m/>
    <s v="South"/>
    <s v="CHENNAI"/>
    <m/>
    <n v="116465"/>
    <s v="SRI BALAJI STEEL TRADERS"/>
    <n v="1804854"/>
    <s v="CRCA COIL-TATXXD-AU03-1.2X1250"/>
    <s v=" "/>
    <s v=""/>
    <n v="6"/>
    <n v="18"/>
    <m/>
    <s v="C01"/>
    <s v="TATXXD"/>
    <s v="AU03"/>
    <n v="1.2"/>
    <n v="1250"/>
    <n v="0"/>
    <n v="29"/>
    <n v="0"/>
    <n v="29"/>
    <n v="29"/>
    <n v="29"/>
    <n v="29"/>
    <n v="0"/>
    <n v="0"/>
    <n v="0"/>
    <n v="0"/>
    <n v="0"/>
    <n v="0"/>
    <n v="0"/>
    <n v="0"/>
    <n v="0"/>
    <n v="0"/>
    <n v="0"/>
    <n v="0"/>
    <n v="0"/>
    <n v="0"/>
    <n v="0"/>
    <n v="0"/>
    <n v="0"/>
    <n v="0"/>
    <n v="0"/>
    <n v="0"/>
    <n v="0"/>
    <n v="0"/>
    <n v="0"/>
    <m/>
    <n v="0"/>
    <n v="29"/>
    <n v="0"/>
    <n v="0"/>
    <n v="0"/>
    <n v="29"/>
    <n v="0"/>
    <n v="0"/>
    <n v="0"/>
    <n v="0"/>
    <n v="0"/>
    <n v="0"/>
    <n v="0"/>
    <m/>
    <m/>
    <m/>
    <m/>
    <m/>
    <m/>
    <m/>
    <m/>
    <m/>
    <m/>
    <m/>
    <m/>
    <m/>
    <m/>
    <m/>
    <m/>
    <m/>
    <m/>
    <m/>
    <m/>
    <m/>
    <m/>
    <m/>
    <m/>
    <m/>
    <m/>
    <m/>
    <m/>
    <m/>
    <m/>
    <m/>
    <m/>
    <m/>
    <m/>
    <m/>
  </r>
  <r>
    <n v="742"/>
    <d v="2025-04-03T00:00:00"/>
    <s v="ZBTO"/>
    <n v="9518666879"/>
    <n v="1"/>
    <s v="9518666879-1"/>
    <s v="May'25"/>
    <x v="0"/>
    <m/>
    <x v="0"/>
    <x v="0"/>
    <s v="2000-BPRS"/>
    <n v="3600"/>
    <x v="1"/>
    <m/>
    <m/>
    <m/>
    <s v="South"/>
    <s v="CHENNAI"/>
    <m/>
    <n v="102888"/>
    <s v="THIRUPATHY STEELS "/>
    <n v="1210086"/>
    <s v="HR COILS-PO IS 1079 HR2 4X1250"/>
    <s v=" "/>
    <s v=""/>
    <n v="18"/>
    <n v="27"/>
    <m/>
    <n v="768"/>
    <s v="THR099"/>
    <s v="HR99"/>
    <n v="4"/>
    <n v="1250"/>
    <n v="0"/>
    <n v="25"/>
    <n v="0"/>
    <n v="25"/>
    <n v="25"/>
    <n v="25"/>
    <n v="25"/>
    <n v="0"/>
    <n v="0"/>
    <n v="0"/>
    <n v="0"/>
    <n v="0"/>
    <n v="0"/>
    <n v="0"/>
    <n v="0"/>
    <n v="0"/>
    <n v="0"/>
    <n v="0"/>
    <n v="0"/>
    <n v="0"/>
    <n v="0"/>
    <n v="0"/>
    <n v="0"/>
    <n v="0"/>
    <n v="0"/>
    <n v="0"/>
    <n v="0"/>
    <n v="0"/>
    <n v="0"/>
    <n v="0"/>
    <m/>
    <n v="0"/>
    <n v="25"/>
    <n v="0"/>
    <n v="0"/>
    <n v="0"/>
    <n v="25"/>
    <n v="0"/>
    <n v="0"/>
    <n v="0"/>
    <n v="0"/>
    <n v="0"/>
    <n v="0"/>
    <n v="0"/>
    <m/>
    <m/>
    <m/>
    <m/>
    <m/>
    <m/>
    <m/>
    <m/>
    <m/>
    <m/>
    <m/>
    <m/>
    <m/>
    <m/>
    <m/>
    <m/>
    <m/>
    <m/>
    <m/>
    <m/>
    <m/>
    <m/>
    <m/>
    <m/>
    <m/>
    <m/>
    <m/>
    <m/>
    <m/>
    <m/>
    <m/>
    <m/>
    <m/>
    <m/>
    <m/>
  </r>
  <r>
    <n v="742"/>
    <d v="2025-02-05T00:00:00"/>
    <s v="ZBTO"/>
    <n v="9518495920"/>
    <n v="4"/>
    <s v="9518495920-4"/>
    <s v="May'25"/>
    <x v="0"/>
    <s v="Yes"/>
    <x v="1"/>
    <x v="2"/>
    <s v="2000-BPRS"/>
    <m/>
    <x v="1"/>
    <m/>
    <m/>
    <m/>
    <s v="North"/>
    <s v="VARANASI"/>
    <m/>
    <n v="931525"/>
    <s v="INDIA STEEL INDUSTRIES"/>
    <n v="3240863"/>
    <s v="CRCA SHEET TSBCRC SR15 1.500X1250X2500"/>
    <s v=" "/>
    <s v=""/>
    <n v="0"/>
    <n v="0"/>
    <m/>
    <s v="C06"/>
    <s v="TSBCRC"/>
    <s v="SR15"/>
    <n v="1.5"/>
    <n v="1250"/>
    <n v="2500"/>
    <n v="27"/>
    <n v="0"/>
    <n v="27"/>
    <n v="27"/>
    <n v="27"/>
    <n v="27"/>
    <n v="0"/>
    <n v="0"/>
    <n v="0"/>
    <n v="0"/>
    <n v="0"/>
    <n v="0"/>
    <n v="0"/>
    <n v="0"/>
    <n v="0"/>
    <n v="0"/>
    <n v="0"/>
    <n v="0"/>
    <n v="0"/>
    <n v="0"/>
    <n v="0"/>
    <n v="0"/>
    <n v="0"/>
    <n v="0"/>
    <n v="0"/>
    <n v="0"/>
    <n v="0"/>
    <n v="0"/>
    <n v="0"/>
    <m/>
    <n v="0"/>
    <n v="27"/>
    <n v="0"/>
    <n v="0"/>
    <n v="0"/>
    <n v="27"/>
    <n v="0"/>
    <n v="0"/>
    <n v="0"/>
    <n v="0"/>
    <n v="0"/>
    <n v="0"/>
    <n v="0"/>
    <m/>
    <m/>
    <m/>
    <m/>
    <m/>
    <m/>
    <m/>
    <m/>
    <m/>
    <m/>
    <m/>
    <m/>
    <m/>
    <m/>
    <m/>
    <m/>
    <m/>
    <m/>
    <m/>
    <m/>
    <m/>
    <m/>
    <m/>
    <m/>
    <m/>
    <m/>
    <m/>
    <m/>
    <m/>
    <m/>
    <m/>
    <m/>
    <m/>
    <m/>
    <m/>
  </r>
  <r>
    <n v="742"/>
    <d v="2025-04-02T00:00:00"/>
    <s v="ZBTO"/>
    <n v="9518664956"/>
    <n v="1"/>
    <s v="9518664956-1"/>
    <s v="May'25"/>
    <x v="0"/>
    <s v="Yes"/>
    <x v="1"/>
    <x v="1"/>
    <s v="2000-BPRS"/>
    <m/>
    <x v="1"/>
    <m/>
    <m/>
    <m/>
    <s v="South"/>
    <s v="CHENNAI"/>
    <m/>
    <n v="102888"/>
    <s v="THIRUPATHY STEELS "/>
    <n v="1804814"/>
    <s v="CRCA COIL TATXXD AU03 0.8X1250"/>
    <s v=" "/>
    <s v=""/>
    <n v="6"/>
    <n v="18"/>
    <m/>
    <s v="C01"/>
    <s v="TATXXD"/>
    <s v="AU03"/>
    <n v="0.8"/>
    <n v="1250"/>
    <n v="0"/>
    <n v="29"/>
    <n v="0"/>
    <n v="29"/>
    <n v="29"/>
    <n v="1.5700000000000003"/>
    <n v="29"/>
    <n v="0"/>
    <n v="0"/>
    <n v="0"/>
    <n v="0"/>
    <n v="0"/>
    <n v="0"/>
    <n v="0"/>
    <n v="0"/>
    <n v="0"/>
    <n v="0"/>
    <n v="0"/>
    <n v="0"/>
    <n v="0"/>
    <n v="27.43"/>
    <n v="0"/>
    <n v="0"/>
    <n v="0"/>
    <n v="0"/>
    <n v="0"/>
    <n v="27.43"/>
    <n v="27.43"/>
    <n v="0"/>
    <n v="27.43"/>
    <m/>
    <n v="0"/>
    <n v="29"/>
    <n v="0"/>
    <n v="29"/>
    <n v="0"/>
    <n v="0"/>
    <n v="0"/>
    <n v="29"/>
    <n v="0"/>
    <n v="29"/>
    <n v="0"/>
    <n v="0"/>
    <n v="0"/>
    <m/>
    <m/>
    <m/>
    <m/>
    <m/>
    <m/>
    <m/>
    <m/>
    <m/>
    <m/>
    <m/>
    <m/>
    <m/>
    <m/>
    <m/>
    <m/>
    <m/>
    <m/>
    <m/>
    <m/>
    <m/>
    <m/>
    <m/>
    <m/>
    <m/>
    <m/>
    <m/>
    <m/>
    <m/>
    <m/>
    <m/>
    <m/>
    <m/>
    <m/>
    <m/>
  </r>
  <r>
    <n v="742"/>
    <d v="2025-04-02T00:00:00"/>
    <s v="ZBTO"/>
    <n v="9518664956"/>
    <n v="3"/>
    <s v="9518664956-3"/>
    <s v="No Priority"/>
    <x v="0"/>
    <s v="Yes"/>
    <x v="1"/>
    <x v="1"/>
    <s v="2000-BPRS"/>
    <m/>
    <x v="0"/>
    <m/>
    <s v="De-prioritized due to Apr CF orders"/>
    <m/>
    <s v="South"/>
    <s v="CHENNAI"/>
    <m/>
    <n v="102888"/>
    <s v="THIRUPATHY STEELS "/>
    <n v="1804854"/>
    <s v="CRCA COIL-TATXXD-AU03-1.2X1250"/>
    <s v=" "/>
    <s v=""/>
    <n v="6"/>
    <n v="18"/>
    <m/>
    <s v="C01"/>
    <s v="TATXXD"/>
    <s v="AU03"/>
    <n v="1.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3"/>
    <d v="2025-03-25T00:00:00"/>
    <s v="ZBTO"/>
    <n v="9518633224"/>
    <n v="1"/>
    <s v="9518633224-1"/>
    <s v="May'25"/>
    <x v="0"/>
    <m/>
    <x v="4"/>
    <x v="5"/>
    <s v="1000-IPPE"/>
    <m/>
    <x v="1"/>
    <m/>
    <m/>
    <m/>
    <s v="West"/>
    <s v="VADODARA"/>
    <m/>
    <n v="184591"/>
    <s v="NAKODA STEEL"/>
    <n v="3875613"/>
    <s v="GL COIL HARD  Y550GL HGL6 0.800X1250"/>
    <s v="AZ150"/>
    <s v=""/>
    <n v="8"/>
    <n v="18"/>
    <m/>
    <s v="B04"/>
    <s v="Y550GL"/>
    <s v="HGL6"/>
    <n v="0.8"/>
    <n v="1250"/>
    <n v="0"/>
    <n v="261"/>
    <n v="240.84"/>
    <n v="20.16"/>
    <n v="6.73"/>
    <n v="20.16"/>
    <n v="20.16"/>
    <n v="0"/>
    <n v="0"/>
    <n v="0"/>
    <n v="0"/>
    <n v="0"/>
    <n v="0"/>
    <n v="0"/>
    <n v="0"/>
    <n v="0"/>
    <n v="0"/>
    <n v="0"/>
    <n v="0"/>
    <n v="0"/>
    <n v="0"/>
    <n v="0"/>
    <n v="0"/>
    <n v="0"/>
    <n v="0"/>
    <n v="0"/>
    <n v="0"/>
    <n v="0"/>
    <n v="0"/>
    <n v="0"/>
    <m/>
    <n v="0"/>
    <n v="20.16"/>
    <n v="0"/>
    <n v="0"/>
    <n v="0"/>
    <n v="0"/>
    <n v="20.16"/>
    <n v="0"/>
    <n v="0"/>
    <n v="0"/>
    <n v="0"/>
    <n v="0"/>
    <n v="0"/>
    <m/>
    <m/>
    <m/>
    <m/>
    <m/>
    <m/>
    <m/>
    <m/>
    <m/>
    <m/>
    <m/>
    <m/>
    <m/>
    <m/>
    <m/>
    <m/>
    <m/>
    <m/>
    <m/>
    <m/>
    <m/>
    <m/>
    <m/>
    <m/>
    <m/>
    <m/>
    <m/>
    <m/>
    <m/>
    <m/>
    <m/>
    <m/>
    <m/>
    <m/>
    <m/>
  </r>
  <r>
    <n v="743"/>
    <d v="2025-03-25T00:00:00"/>
    <s v="ZBTO"/>
    <n v="9518633224"/>
    <n v="2"/>
    <s v="9518633224-2"/>
    <s v="May'25"/>
    <x v="0"/>
    <s v="Yes"/>
    <x v="4"/>
    <x v="5"/>
    <s v="1000-IPPE"/>
    <m/>
    <x v="1"/>
    <m/>
    <m/>
    <m/>
    <s v="West"/>
    <s v="VADODARA"/>
    <m/>
    <n v="184591"/>
    <s v="NAKODA STEEL"/>
    <n v="3875613"/>
    <s v="GL COIL HARD  Y550GL HGL6 0.800X1250"/>
    <s v="AZ150"/>
    <s v=""/>
    <n v="8"/>
    <n v="18"/>
    <m/>
    <s v="B04"/>
    <s v="Y550GL"/>
    <s v="HGL6"/>
    <n v="0.8"/>
    <n v="1250"/>
    <n v="0"/>
    <n v="261"/>
    <n v="0"/>
    <n v="261"/>
    <n v="261"/>
    <n v="261"/>
    <n v="261"/>
    <n v="0"/>
    <n v="0"/>
    <n v="0"/>
    <n v="0"/>
    <n v="0"/>
    <n v="0"/>
    <n v="0"/>
    <n v="0"/>
    <n v="0"/>
    <n v="0"/>
    <n v="0"/>
    <n v="0"/>
    <n v="0"/>
    <n v="0"/>
    <n v="0"/>
    <n v="0"/>
    <n v="0"/>
    <n v="0"/>
    <n v="0"/>
    <n v="0"/>
    <n v="0"/>
    <n v="0"/>
    <n v="0"/>
    <m/>
    <n v="0"/>
    <n v="261"/>
    <n v="0"/>
    <n v="0"/>
    <n v="0"/>
    <n v="0"/>
    <n v="261"/>
    <n v="0"/>
    <n v="0"/>
    <n v="0"/>
    <n v="0"/>
    <n v="0"/>
    <n v="0"/>
    <m/>
    <m/>
    <m/>
    <m/>
    <m/>
    <m/>
    <m/>
    <m/>
    <m/>
    <m/>
    <m/>
    <m/>
    <m/>
    <m/>
    <m/>
    <m/>
    <m/>
    <m/>
    <m/>
    <m/>
    <m/>
    <m/>
    <m/>
    <m/>
    <m/>
    <m/>
    <m/>
    <m/>
    <m/>
    <m/>
    <m/>
    <m/>
    <m/>
    <m/>
    <m/>
  </r>
  <r>
    <n v="742"/>
    <d v="2025-03-31T00:00:00"/>
    <s v="ZBTO"/>
    <n v="9518660656"/>
    <n v="6"/>
    <s v="9518660656-6"/>
    <s v="May'25"/>
    <x v="0"/>
    <s v="Yes"/>
    <x v="1"/>
    <x v="2"/>
    <s v="2000-BPRS"/>
    <m/>
    <x v="1"/>
    <m/>
    <m/>
    <m/>
    <s v="East"/>
    <s v="HOWRAH"/>
    <m/>
    <n v="101278"/>
    <s v="RAMESH COMPANY"/>
    <n v="3409912"/>
    <s v="CRCA SHEET TSBCRC SR15 0.500X1120X2000"/>
    <s v=" "/>
    <s v=""/>
    <n v="0"/>
    <n v="0"/>
    <m/>
    <s v="C06"/>
    <s v="TSBCRC"/>
    <s v="SR15"/>
    <n v="0.5"/>
    <n v="1120"/>
    <n v="20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16T00:00:00"/>
    <s v="ZBTO"/>
    <n v="9518604267"/>
    <n v="2"/>
    <s v="9518604267-2"/>
    <s v="May'25"/>
    <x v="0"/>
    <s v="Yes"/>
    <x v="5"/>
    <x v="10"/>
    <s v="1000-IPPE"/>
    <m/>
    <x v="1"/>
    <m/>
    <m/>
    <m/>
    <s v="West"/>
    <s v="VILLAGE-PRAGPAR"/>
    <m/>
    <n v="189108"/>
    <s v="Manaksia Coated Metals &amp; Industries"/>
    <n v="3577912"/>
    <s v="CR COIL TATFHC TR10 0.360X1320"/>
    <s v=" "/>
    <s v=""/>
    <n v="10"/>
    <n v="22"/>
    <m/>
    <s v="C09"/>
    <s v="TATFHC"/>
    <s v="TR10"/>
    <n v="0.36"/>
    <n v="1320"/>
    <n v="0"/>
    <n v="300"/>
    <n v="0"/>
    <n v="300"/>
    <n v="300"/>
    <n v="243.38499999999999"/>
    <n v="285.89"/>
    <n v="0"/>
    <n v="0"/>
    <n v="29.7"/>
    <n v="0"/>
    <n v="0"/>
    <n v="0"/>
    <n v="0"/>
    <n v="0"/>
    <n v="0"/>
    <n v="0"/>
    <n v="0"/>
    <n v="0"/>
    <n v="0"/>
    <n v="0"/>
    <n v="0"/>
    <n v="26.915000000000003"/>
    <n v="0"/>
    <n v="0"/>
    <n v="0"/>
    <n v="56.615000000000002"/>
    <n v="56.615000000000002"/>
    <n v="0"/>
    <n v="56.615000000000002"/>
    <m/>
    <n v="14.11"/>
    <n v="285.89"/>
    <n v="0"/>
    <n v="0"/>
    <n v="285.89"/>
    <n v="0"/>
    <n v="0"/>
    <n v="0"/>
    <n v="0"/>
    <n v="0"/>
    <n v="0"/>
    <n v="0"/>
    <n v="0"/>
    <m/>
    <m/>
    <m/>
    <m/>
    <m/>
    <m/>
    <m/>
    <m/>
    <m/>
    <m/>
    <m/>
    <m/>
    <m/>
    <m/>
    <m/>
    <m/>
    <m/>
    <m/>
    <m/>
    <m/>
    <m/>
    <m/>
    <m/>
    <m/>
    <m/>
    <m/>
    <m/>
    <m/>
    <m/>
    <m/>
    <m/>
    <m/>
    <m/>
    <m/>
    <m/>
  </r>
  <r>
    <n v="743"/>
    <d v="2025-03-19T00:00:00"/>
    <s v="ZBTO"/>
    <n v="9518613051"/>
    <n v="2"/>
    <s v="9518613051-2"/>
    <s v="No Priority"/>
    <x v="0"/>
    <m/>
    <x v="4"/>
    <x v="5"/>
    <s v="1000-IPPE"/>
    <m/>
    <x v="0"/>
    <m/>
    <s v="Centre slit HR not available"/>
    <m/>
    <s v="South"/>
    <s v="VIKARABAD"/>
    <m/>
    <n v="947959"/>
    <s v="PENNAR INDUSTRIES LIMITED"/>
    <n v="3924555"/>
    <s v="GL COIL HARD  Y550GL HGL6 0.900X1045"/>
    <s v="AZ150"/>
    <s v=""/>
    <n v="7"/>
    <n v="15"/>
    <m/>
    <s v="B04"/>
    <s v="Y550GL"/>
    <s v="HGL6"/>
    <n v="0.9"/>
    <n v="1045"/>
    <n v="0"/>
    <n v="192"/>
    <n v="130.58000000000001"/>
    <n v="61.42"/>
    <n v="61.42"/>
    <n v="61.42"/>
    <n v="61.42"/>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6216"/>
    <n v="1"/>
    <s v="9518666216-1"/>
    <s v="No Priority"/>
    <x v="0"/>
    <m/>
    <x v="1"/>
    <x v="2"/>
    <s v="2000-BPRS"/>
    <m/>
    <x v="0"/>
    <m/>
    <m/>
    <m/>
    <s v="East"/>
    <s v="HOWRAH"/>
    <m/>
    <n v="101278"/>
    <s v="RAMESH COMPANY"/>
    <n v="3239560"/>
    <s v="CRCA SHEET TATCRC SR16 0.450X900X2500"/>
    <s v=" "/>
    <s v=""/>
    <n v="0"/>
    <n v="0"/>
    <m/>
    <s v="C06"/>
    <s v="TATCRC"/>
    <s v="SR16"/>
    <n v="0.45"/>
    <n v="900"/>
    <n v="2500"/>
    <n v="27"/>
    <n v="0"/>
    <n v="27"/>
    <n v="-15.36"/>
    <n v="0"/>
    <n v="7.55"/>
    <n v="0"/>
    <n v="0"/>
    <n v="0"/>
    <n v="0"/>
    <n v="0"/>
    <n v="0"/>
    <n v="0"/>
    <n v="0"/>
    <n v="20.149999999999999"/>
    <n v="0"/>
    <n v="0"/>
    <n v="0"/>
    <n v="0"/>
    <n v="0"/>
    <n v="0"/>
    <n v="0"/>
    <n v="0"/>
    <n v="0"/>
    <n v="0"/>
    <n v="20.149999999999999"/>
    <n v="20.149999999999999"/>
    <n v="0"/>
    <n v="20.149999999999999"/>
    <m/>
    <n v="0"/>
    <n v="0"/>
    <n v="0"/>
    <n v="0"/>
    <n v="0"/>
    <n v="0"/>
    <n v="0"/>
    <n v="0"/>
    <n v="0"/>
    <n v="0"/>
    <n v="0"/>
    <n v="0"/>
    <n v="0"/>
    <m/>
    <m/>
    <m/>
    <m/>
    <m/>
    <m/>
    <m/>
    <m/>
    <m/>
    <m/>
    <m/>
    <m/>
    <m/>
    <m/>
    <m/>
    <m/>
    <m/>
    <m/>
    <m/>
    <m/>
    <m/>
    <m/>
    <m/>
    <m/>
    <m/>
    <m/>
    <m/>
    <m/>
    <m/>
    <m/>
    <m/>
    <m/>
    <m/>
    <m/>
    <m/>
  </r>
  <r>
    <n v="742"/>
    <d v="2025-04-03T00:00:00"/>
    <s v="ZBTO"/>
    <n v="9518666216"/>
    <n v="2"/>
    <s v="9518666216-2"/>
    <s v="May'25"/>
    <x v="0"/>
    <s v="Yes"/>
    <x v="1"/>
    <x v="2"/>
    <s v="2000-BPRS"/>
    <m/>
    <x v="1"/>
    <m/>
    <m/>
    <m/>
    <s v="East"/>
    <s v="HOWRAH"/>
    <m/>
    <n v="101278"/>
    <s v="RAMESH COMPANY"/>
    <n v="3239567"/>
    <s v="CRCA SHEET TATCRC SR16 0.450X1000X2500"/>
    <s v=" "/>
    <s v=""/>
    <n v="0"/>
    <n v="0"/>
    <m/>
    <s v="C06"/>
    <s v="TATCRC"/>
    <s v="SR16"/>
    <n v="0.45"/>
    <n v="1000"/>
    <n v="2500"/>
    <n v="27"/>
    <n v="0"/>
    <n v="27"/>
    <n v="27"/>
    <n v="27"/>
    <n v="27"/>
    <n v="0"/>
    <n v="0"/>
    <n v="0"/>
    <n v="0"/>
    <n v="0"/>
    <n v="0"/>
    <n v="0"/>
    <n v="0"/>
    <n v="0"/>
    <n v="0"/>
    <n v="0"/>
    <n v="0"/>
    <n v="0"/>
    <n v="0"/>
    <n v="0"/>
    <n v="0"/>
    <n v="0"/>
    <n v="0"/>
    <n v="0"/>
    <n v="0"/>
    <n v="0"/>
    <n v="0"/>
    <n v="0"/>
    <m/>
    <n v="0"/>
    <n v="27"/>
    <n v="0"/>
    <n v="0"/>
    <n v="0"/>
    <n v="27"/>
    <n v="0"/>
    <n v="0"/>
    <n v="0"/>
    <n v="0"/>
    <n v="0"/>
    <n v="0"/>
    <n v="0"/>
    <m/>
    <m/>
    <m/>
    <m/>
    <m/>
    <m/>
    <m/>
    <m/>
    <m/>
    <m/>
    <m/>
    <m/>
    <m/>
    <m/>
    <m/>
    <m/>
    <m/>
    <m/>
    <m/>
    <m/>
    <m/>
    <m/>
    <m/>
    <m/>
    <m/>
    <m/>
    <m/>
    <m/>
    <m/>
    <m/>
    <m/>
    <m/>
    <m/>
    <m/>
    <m/>
  </r>
  <r>
    <n v="742"/>
    <d v="2025-04-02T00:00:00"/>
    <s v="ZBTO"/>
    <n v="9518664276"/>
    <n v="2"/>
    <s v="9518664276-2"/>
    <s v="No Priority"/>
    <x v="0"/>
    <s v="Yes"/>
    <x v="1"/>
    <x v="1"/>
    <s v="2000-BPRS"/>
    <m/>
    <x v="0"/>
    <m/>
    <m/>
    <m/>
    <s v="South"/>
    <s v="CHENNAI"/>
    <m/>
    <n v="102888"/>
    <s v="THIRUPATHY STEELS "/>
    <n v="1804854"/>
    <s v="CRCA COIL-TATXXD-AU03-1.2X1250"/>
    <s v=" "/>
    <s v=""/>
    <n v="6"/>
    <n v="18"/>
    <m/>
    <s v="C01"/>
    <s v="TATXXD"/>
    <s v="AU03"/>
    <n v="1.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31T00:00:00"/>
    <s v="ZBTT"/>
    <n v="9518660606"/>
    <n v="1"/>
    <s v="9518660606-1"/>
    <s v="Stocks"/>
    <x v="0"/>
    <m/>
    <x v="0"/>
    <x v="15"/>
    <s v="3000-IPPE"/>
    <m/>
    <x v="1"/>
    <m/>
    <m/>
    <m/>
    <s v="South"/>
    <s v="YESHWANTHPURA"/>
    <m/>
    <n v="157491"/>
    <s v="TATA STEEL DOWNSTREAM PRODUCTS LIMI"/>
    <n v="1309819"/>
    <s v="HR COILS-PO IS 1079-HR2 3X1250"/>
    <s v=" "/>
    <s v=""/>
    <n v="17"/>
    <n v="27.5"/>
    <m/>
    <n v="768"/>
    <s v="THA058"/>
    <s v="HA58"/>
    <n v="3"/>
    <n v="1250"/>
    <n v="0"/>
    <n v="50"/>
    <n v="0"/>
    <n v="50"/>
    <n v="50"/>
    <n v="0"/>
    <n v="0"/>
    <n v="0"/>
    <n v="0"/>
    <n v="0"/>
    <n v="0"/>
    <n v="0"/>
    <n v="0"/>
    <n v="0"/>
    <n v="0"/>
    <n v="0"/>
    <n v="0"/>
    <n v="0"/>
    <n v="0"/>
    <n v="0"/>
    <n v="0"/>
    <n v="0"/>
    <n v="0"/>
    <n v="0"/>
    <n v="0"/>
    <n v="0"/>
    <n v="0"/>
    <n v="0"/>
    <n v="50"/>
    <n v="50"/>
    <m/>
    <n v="24.07"/>
    <n v="0"/>
    <n v="0"/>
    <n v="0"/>
    <n v="0"/>
    <n v="0"/>
    <n v="0"/>
    <n v="0"/>
    <n v="0"/>
    <n v="0"/>
    <n v="0"/>
    <n v="0"/>
    <n v="0"/>
    <m/>
    <m/>
    <m/>
    <m/>
    <m/>
    <m/>
    <m/>
    <m/>
    <m/>
    <m/>
    <m/>
    <m/>
    <m/>
    <m/>
    <m/>
    <m/>
    <m/>
    <m/>
    <m/>
    <m/>
    <m/>
    <m/>
    <m/>
    <m/>
    <m/>
    <m/>
    <m/>
    <m/>
    <m/>
    <m/>
    <m/>
    <m/>
    <m/>
    <m/>
    <m/>
  </r>
  <r>
    <n v="742"/>
    <d v="2025-03-31T00:00:00"/>
    <s v="ZBTT"/>
    <n v="9518660606"/>
    <n v="2"/>
    <s v="9518660606-2"/>
    <s v="Stocks"/>
    <x v="0"/>
    <m/>
    <x v="0"/>
    <x v="15"/>
    <s v="3000-IPPE"/>
    <m/>
    <x v="1"/>
    <m/>
    <m/>
    <m/>
    <s v="South"/>
    <s v="YESHWANTHPURA"/>
    <m/>
    <n v="157491"/>
    <s v="TATA STEEL DOWNSTREAM PRODUCTS LIMI"/>
    <n v="1309820"/>
    <s v="HR COILS-PO IS 1079-HR2 3.20X1250"/>
    <s v=" "/>
    <s v=""/>
    <n v="17"/>
    <n v="27.5"/>
    <m/>
    <n v="768"/>
    <s v="THA058"/>
    <s v="HA58"/>
    <n v="3.2"/>
    <n v="1250"/>
    <n v="0"/>
    <n v="50"/>
    <n v="0"/>
    <n v="50"/>
    <n v="50"/>
    <n v="0"/>
    <n v="0"/>
    <n v="0"/>
    <n v="0"/>
    <n v="0"/>
    <n v="0"/>
    <n v="0"/>
    <n v="0"/>
    <n v="0"/>
    <n v="0"/>
    <n v="0"/>
    <n v="0"/>
    <n v="0"/>
    <n v="0"/>
    <n v="0"/>
    <n v="0"/>
    <n v="0"/>
    <n v="0"/>
    <n v="0"/>
    <n v="0"/>
    <n v="0"/>
    <n v="0"/>
    <n v="0"/>
    <n v="50"/>
    <n v="50"/>
    <m/>
    <n v="48.674999999999997"/>
    <n v="0"/>
    <n v="0"/>
    <n v="0"/>
    <n v="0"/>
    <n v="0"/>
    <n v="0"/>
    <n v="0"/>
    <n v="0"/>
    <n v="0"/>
    <n v="0"/>
    <n v="0"/>
    <n v="0"/>
    <m/>
    <m/>
    <m/>
    <m/>
    <m/>
    <m/>
    <m/>
    <m/>
    <m/>
    <m/>
    <m/>
    <m/>
    <m/>
    <m/>
    <m/>
    <m/>
    <m/>
    <m/>
    <m/>
    <m/>
    <m/>
    <m/>
    <m/>
    <m/>
    <m/>
    <m/>
    <m/>
    <m/>
    <m/>
    <m/>
    <m/>
    <m/>
    <m/>
    <m/>
    <m/>
  </r>
  <r>
    <n v="742"/>
    <d v="2025-03-31T00:00:00"/>
    <s v="ZBTT"/>
    <n v="9518660606"/>
    <n v="3"/>
    <s v="9518660606-3"/>
    <s v="No Priority"/>
    <x v="0"/>
    <m/>
    <x v="0"/>
    <x v="15"/>
    <s v="3000-IPPE"/>
    <m/>
    <x v="0"/>
    <m/>
    <m/>
    <m/>
    <s v="South"/>
    <s v="YESHWANTHPURA"/>
    <m/>
    <n v="157491"/>
    <s v="TATA STEEL DOWNSTREAM PRODUCTS LIMI"/>
    <n v="1309822"/>
    <s v="HR COILS-PO IS 1079-HR2 4X1250"/>
    <s v=" "/>
    <s v=""/>
    <n v="17"/>
    <n v="27.5"/>
    <m/>
    <n v="768"/>
    <s v="THA058"/>
    <s v="HA58"/>
    <n v="4"/>
    <n v="1250"/>
    <n v="0"/>
    <n v="50"/>
    <n v="0"/>
    <n v="50"/>
    <n v="50"/>
    <n v="0"/>
    <n v="0"/>
    <n v="0"/>
    <n v="0"/>
    <n v="0"/>
    <n v="0"/>
    <n v="0"/>
    <n v="0"/>
    <n v="0"/>
    <n v="0"/>
    <n v="0"/>
    <n v="0"/>
    <n v="0"/>
    <n v="0"/>
    <n v="0"/>
    <n v="0"/>
    <n v="0"/>
    <n v="0"/>
    <n v="0"/>
    <n v="0"/>
    <n v="0"/>
    <n v="0"/>
    <n v="0"/>
    <n v="50"/>
    <n v="50"/>
    <m/>
    <n v="0"/>
    <n v="0"/>
    <n v="0"/>
    <n v="0"/>
    <n v="0"/>
    <n v="0"/>
    <n v="0"/>
    <n v="0"/>
    <n v="0"/>
    <n v="0"/>
    <n v="0"/>
    <n v="0"/>
    <n v="0"/>
    <m/>
    <m/>
    <m/>
    <m/>
    <m/>
    <m/>
    <m/>
    <m/>
    <m/>
    <m/>
    <m/>
    <m/>
    <m/>
    <m/>
    <m/>
    <m/>
    <m/>
    <m/>
    <m/>
    <m/>
    <m/>
    <m/>
    <m/>
    <m/>
    <m/>
    <m/>
    <m/>
    <m/>
    <m/>
    <m/>
    <m/>
    <m/>
    <m/>
    <m/>
    <m/>
  </r>
  <r>
    <n v="742"/>
    <d v="2025-03-31T00:00:00"/>
    <s v="ZBTT"/>
    <n v="9518660606"/>
    <n v="4"/>
    <s v="9518660606-4"/>
    <s v="No Priority"/>
    <x v="0"/>
    <m/>
    <x v="0"/>
    <x v="15"/>
    <s v="3000-IPPE"/>
    <m/>
    <x v="0"/>
    <m/>
    <m/>
    <m/>
    <s v="South"/>
    <s v="YESHWANTHPURA"/>
    <m/>
    <n v="157491"/>
    <s v="TATA STEEL DOWNSTREAM PRODUCTS LIMI"/>
    <n v="1309702"/>
    <s v="HR COILS-PO IS 1079-HR2 5X1250"/>
    <s v=" "/>
    <s v=""/>
    <n v="17"/>
    <n v="27.5"/>
    <m/>
    <n v="768"/>
    <s v="THA058"/>
    <s v="HA58"/>
    <n v="5"/>
    <n v="1250"/>
    <n v="0"/>
    <n v="50"/>
    <n v="0"/>
    <n v="50"/>
    <n v="50"/>
    <n v="0"/>
    <n v="0"/>
    <n v="0"/>
    <n v="0"/>
    <n v="0"/>
    <n v="0"/>
    <n v="0"/>
    <n v="0"/>
    <n v="0"/>
    <n v="0"/>
    <n v="0"/>
    <n v="0"/>
    <n v="0"/>
    <n v="0"/>
    <n v="0"/>
    <n v="0"/>
    <n v="0"/>
    <n v="0"/>
    <n v="0"/>
    <n v="0"/>
    <n v="0"/>
    <n v="0"/>
    <n v="0"/>
    <n v="50"/>
    <n v="50"/>
    <m/>
    <n v="0"/>
    <n v="0"/>
    <n v="0"/>
    <n v="0"/>
    <n v="0"/>
    <n v="0"/>
    <n v="0"/>
    <n v="0"/>
    <n v="0"/>
    <n v="0"/>
    <n v="0"/>
    <n v="0"/>
    <n v="0"/>
    <m/>
    <m/>
    <m/>
    <m/>
    <m/>
    <m/>
    <m/>
    <m/>
    <m/>
    <m/>
    <m/>
    <m/>
    <m/>
    <m/>
    <m/>
    <m/>
    <m/>
    <m/>
    <m/>
    <m/>
    <m/>
    <m/>
    <m/>
    <m/>
    <m/>
    <m/>
    <m/>
    <m/>
    <m/>
    <m/>
    <m/>
    <m/>
    <m/>
    <m/>
    <m/>
  </r>
  <r>
    <n v="742"/>
    <d v="2025-03-31T00:00:00"/>
    <s v="ZBTT"/>
    <n v="9518660606"/>
    <n v="5"/>
    <s v="9518660606-5"/>
    <s v="No Priority"/>
    <x v="0"/>
    <m/>
    <x v="0"/>
    <x v="15"/>
    <s v="3000-IPPE"/>
    <m/>
    <x v="0"/>
    <m/>
    <m/>
    <m/>
    <s v="South"/>
    <s v="YESHWANTHPURA"/>
    <m/>
    <n v="157491"/>
    <s v="TATA STEEL DOWNSTREAM PRODUCTS LIMI"/>
    <n v="1305553"/>
    <s v="HR COILS-PO IS 1079-HR2 6X1250"/>
    <s v=" "/>
    <s v=""/>
    <n v="17"/>
    <n v="27.5"/>
    <m/>
    <n v="768"/>
    <s v="THA058"/>
    <s v="HA58"/>
    <n v="6"/>
    <n v="1250"/>
    <n v="0"/>
    <n v="50"/>
    <n v="0"/>
    <n v="50"/>
    <n v="50"/>
    <n v="0"/>
    <n v="0"/>
    <n v="0"/>
    <n v="0"/>
    <n v="0"/>
    <n v="0"/>
    <n v="0"/>
    <n v="0"/>
    <n v="0"/>
    <n v="0"/>
    <n v="0"/>
    <n v="0"/>
    <n v="0"/>
    <n v="0"/>
    <n v="0"/>
    <n v="0"/>
    <n v="0"/>
    <n v="0"/>
    <n v="0"/>
    <n v="0"/>
    <n v="0"/>
    <n v="0"/>
    <n v="0"/>
    <n v="50"/>
    <n v="50"/>
    <m/>
    <n v="0"/>
    <n v="0"/>
    <n v="0"/>
    <n v="0"/>
    <n v="0"/>
    <n v="0"/>
    <n v="0"/>
    <n v="0"/>
    <n v="0"/>
    <n v="0"/>
    <n v="0"/>
    <n v="0"/>
    <n v="0"/>
    <m/>
    <m/>
    <m/>
    <m/>
    <m/>
    <m/>
    <m/>
    <m/>
    <m/>
    <m/>
    <m/>
    <m/>
    <m/>
    <m/>
    <m/>
    <m/>
    <m/>
    <m/>
    <m/>
    <m/>
    <m/>
    <m/>
    <m/>
    <m/>
    <m/>
    <m/>
    <m/>
    <m/>
    <m/>
    <m/>
    <m/>
    <m/>
    <m/>
    <m/>
    <m/>
  </r>
  <r>
    <n v="742"/>
    <d v="2025-03-24T00:00:00"/>
    <s v="ZBTO"/>
    <n v="9518628976"/>
    <n v="4"/>
    <s v="9518628976-4"/>
    <s v="May'25"/>
    <x v="0"/>
    <m/>
    <x v="1"/>
    <x v="1"/>
    <s v="2000-BPRS"/>
    <m/>
    <x v="1"/>
    <m/>
    <m/>
    <m/>
    <s v="South"/>
    <s v="VALPARAI"/>
    <m/>
    <n v="116465"/>
    <s v="SRI BALAJI STEEL TRADERS"/>
    <n v="353957"/>
    <s v="CRCA SHEET TATXXD AU03 0.80X1250X2500"/>
    <s v=" "/>
    <s v=""/>
    <n v="0"/>
    <n v="0"/>
    <m/>
    <s v="C06"/>
    <s v="TATXXD"/>
    <s v="AU03"/>
    <n v="0.8"/>
    <n v="1250"/>
    <n v="2500"/>
    <n v="60"/>
    <n v="0"/>
    <n v="60"/>
    <n v="60"/>
    <n v="5.5799999999999983"/>
    <n v="60"/>
    <n v="0"/>
    <n v="0"/>
    <n v="0"/>
    <n v="0"/>
    <n v="0"/>
    <n v="0"/>
    <n v="0"/>
    <n v="0"/>
    <n v="0"/>
    <n v="0"/>
    <n v="0"/>
    <n v="0"/>
    <n v="0"/>
    <n v="54.42"/>
    <n v="0"/>
    <n v="0"/>
    <n v="0"/>
    <n v="0"/>
    <n v="0"/>
    <n v="54.42"/>
    <n v="54.42"/>
    <n v="0"/>
    <n v="54.42"/>
    <m/>
    <n v="0"/>
    <n v="60"/>
    <n v="0"/>
    <n v="60"/>
    <n v="0"/>
    <n v="0"/>
    <n v="0"/>
    <n v="60"/>
    <n v="0"/>
    <n v="60"/>
    <n v="0"/>
    <n v="0"/>
    <n v="0"/>
    <m/>
    <m/>
    <m/>
    <m/>
    <m/>
    <m/>
    <m/>
    <m/>
    <m/>
    <m/>
    <m/>
    <m/>
    <m/>
    <m/>
    <m/>
    <m/>
    <m/>
    <m/>
    <m/>
    <m/>
    <m/>
    <m/>
    <m/>
    <m/>
    <m/>
    <m/>
    <m/>
    <m/>
    <m/>
    <m/>
    <m/>
    <m/>
    <m/>
    <m/>
    <m/>
  </r>
  <r>
    <n v="743"/>
    <d v="2025-02-11T00:00:00"/>
    <s v="ZBTO"/>
    <n v="9518509590"/>
    <n v="1"/>
    <s v="9518509590-1"/>
    <s v="No Priority"/>
    <x v="0"/>
    <m/>
    <x v="3"/>
    <x v="9"/>
    <s v="2000-BPRS"/>
    <m/>
    <x v="0"/>
    <m/>
    <m/>
    <m/>
    <s v="North"/>
    <s v="JAIPUR"/>
    <m/>
    <n v="117583"/>
    <s v="BIHANI ENTERPRISES"/>
    <n v="1854418"/>
    <s v="GP COIL SOFT-TATXGP-GK09-0.5X900"/>
    <s v="Z80"/>
    <s v=""/>
    <n v="5"/>
    <n v="7"/>
    <m/>
    <s v="C02"/>
    <s v="TATXGP"/>
    <s v="GK09"/>
    <n v="0.5"/>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4"/>
    <d v="2025-03-12T00:00:00"/>
    <s v="ZBTO"/>
    <n v="9518595988"/>
    <n v="1"/>
    <s v="9518595988-1"/>
    <s v="May'25"/>
    <x v="0"/>
    <s v="Yes"/>
    <x v="2"/>
    <x v="3"/>
    <s v="1000-IPPE"/>
    <m/>
    <x v="1"/>
    <m/>
    <m/>
    <m/>
    <s v="TBSPL"/>
    <s v=" "/>
    <m/>
    <n v="941597"/>
    <s v="TATA BLUESCOPE STEEL PRIVATE LIMITE"/>
    <n v="1633706"/>
    <s v="PPGL C Y550 HPL3 0.42BMT(0.50TPT)X1220"/>
    <s v="AZ150"/>
    <s v="RAL 9006 TSL 203"/>
    <n v="3"/>
    <n v="5"/>
    <m/>
    <s v="B18"/>
    <s v="Y550PL"/>
    <s v="HPL3"/>
    <n v="0.42"/>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2"/>
    <d v="2025-03-06T00:00:00"/>
    <s v="ZBTO"/>
    <n v="9518578381"/>
    <n v="2"/>
    <s v="9518578381-2"/>
    <s v="May'25"/>
    <x v="0"/>
    <m/>
    <x v="0"/>
    <x v="0"/>
    <s v="2000-BPRS"/>
    <m/>
    <x v="1"/>
    <m/>
    <m/>
    <m/>
    <s v="South"/>
    <s v="PATTANCHERY"/>
    <m/>
    <n v="847544"/>
    <s v="G K ISPAT PRIVATE LIMITED"/>
    <n v="1294719"/>
    <s v="HR COILS-POIS 1079 HR2  2.90X1250"/>
    <s v=" "/>
    <s v=""/>
    <n v="13"/>
    <n v="27"/>
    <m/>
    <n v="768"/>
    <s v="THR099"/>
    <s v="HR99"/>
    <n v="2.9"/>
    <n v="1250"/>
    <n v="0"/>
    <n v="50"/>
    <n v="24.524999999999999"/>
    <n v="25.475000000000001"/>
    <n v="25.475000000000001"/>
    <n v="0"/>
    <n v="25.475000000000001"/>
    <n v="0"/>
    <n v="0"/>
    <n v="0"/>
    <n v="0"/>
    <n v="0"/>
    <n v="0"/>
    <n v="0"/>
    <n v="0"/>
    <n v="0"/>
    <n v="0"/>
    <n v="0"/>
    <n v="0"/>
    <n v="0"/>
    <n v="0"/>
    <n v="0"/>
    <n v="0"/>
    <n v="0"/>
    <n v="0"/>
    <n v="0"/>
    <n v="0"/>
    <n v="0"/>
    <n v="25"/>
    <n v="25"/>
    <m/>
    <n v="0"/>
    <n v="25.475000000000001"/>
    <n v="0"/>
    <n v="0"/>
    <n v="0"/>
    <n v="25.475000000000001"/>
    <n v="0"/>
    <n v="0"/>
    <n v="0"/>
    <n v="0"/>
    <n v="0"/>
    <n v="0"/>
    <n v="0"/>
    <m/>
    <m/>
    <m/>
    <m/>
    <m/>
    <m/>
    <m/>
    <m/>
    <m/>
    <m/>
    <m/>
    <m/>
    <m/>
    <m/>
    <m/>
    <m/>
    <m/>
    <m/>
    <m/>
    <m/>
    <m/>
    <m/>
    <m/>
    <m/>
    <m/>
    <m/>
    <m/>
    <m/>
    <m/>
    <m/>
    <m/>
    <m/>
    <m/>
    <m/>
    <m/>
  </r>
  <r>
    <n v="743"/>
    <d v="2025-03-10T00:00:00"/>
    <s v="ZBTO"/>
    <n v="9518589716"/>
    <n v="1"/>
    <s v="9518589716-1"/>
    <s v="No Priority"/>
    <x v="0"/>
    <m/>
    <x v="3"/>
    <x v="9"/>
    <s v="2000-BPRS"/>
    <m/>
    <x v="0"/>
    <m/>
    <m/>
    <m/>
    <s v="North"/>
    <s v="KANPUR"/>
    <m/>
    <n v="933952"/>
    <s v="AGARWAL STEEL TRADERS"/>
    <n v="1851054"/>
    <s v="GP COIL SOFT-TATXGP-GK09-0.2X900"/>
    <s v="Z80"/>
    <s v=""/>
    <n v="3.2"/>
    <n v="5"/>
    <m/>
    <s v="C02"/>
    <s v="TATXGP"/>
    <s v="GK09"/>
    <n v="0.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0T00:00:00"/>
    <s v="ZBTO"/>
    <n v="9518589716"/>
    <n v="3"/>
    <s v="9518589716-3"/>
    <s v="No Priority"/>
    <x v="0"/>
    <m/>
    <x v="3"/>
    <x v="9"/>
    <s v="2000-BPRS"/>
    <m/>
    <x v="0"/>
    <m/>
    <m/>
    <m/>
    <s v="North"/>
    <s v="KANPUR"/>
    <m/>
    <n v="933952"/>
    <s v="AGARWAL STEEL TRADERS"/>
    <n v="1191956"/>
    <s v="GP COIL SOFT-TATXGP-GK09-0.35X900"/>
    <s v="Z80"/>
    <s v=""/>
    <n v="3.2"/>
    <n v="5"/>
    <m/>
    <s v="C02"/>
    <s v="TATXGP"/>
    <s v="GK09"/>
    <n v="0.35"/>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3-10T00:00:00"/>
    <s v="ZBTO"/>
    <n v="9518589716"/>
    <n v="4"/>
    <s v="9518589716-4"/>
    <s v="No Priority"/>
    <x v="0"/>
    <m/>
    <x v="3"/>
    <x v="9"/>
    <s v="2000-BPRS"/>
    <m/>
    <x v="0"/>
    <m/>
    <m/>
    <m/>
    <s v="North"/>
    <s v="KANPUR"/>
    <m/>
    <n v="933952"/>
    <s v="AGARWAL STEEL TRADERS"/>
    <n v="1178439"/>
    <s v="GP COIL SOFT-TATXGP-GK09-0.4X900"/>
    <s v="Z80"/>
    <s v=""/>
    <n v="3.2"/>
    <n v="5"/>
    <m/>
    <s v="C02"/>
    <s v="TATXGP"/>
    <s v="GK09"/>
    <n v="0.4"/>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3-10T00:00:00"/>
    <s v="ZBTO"/>
    <n v="9518589716"/>
    <n v="5"/>
    <s v="9518589716-5"/>
    <s v="No Priority"/>
    <x v="0"/>
    <m/>
    <x v="3"/>
    <x v="9"/>
    <s v="2000-BPRS"/>
    <m/>
    <x v="0"/>
    <m/>
    <m/>
    <m/>
    <s v="North"/>
    <s v="KANPUR"/>
    <m/>
    <n v="933952"/>
    <s v="AGARWAL STEEL TRADERS"/>
    <n v="1854418"/>
    <s v="GP COIL SOFT-TATXGP-GK09-0.5X900"/>
    <s v="Z80"/>
    <s v=""/>
    <n v="3.2"/>
    <n v="5"/>
    <m/>
    <s v="C02"/>
    <s v="TATXGP"/>
    <s v="GK09"/>
    <n v="0.5"/>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3-11T00:00:00"/>
    <s v="ZBTO"/>
    <n v="9518593433"/>
    <n v="2"/>
    <s v="9518593433-2"/>
    <s v="May'25"/>
    <x v="0"/>
    <s v="Yes"/>
    <x v="3"/>
    <x v="9"/>
    <s v="2000-BPRS"/>
    <m/>
    <x v="1"/>
    <m/>
    <m/>
    <m/>
    <s v="East"/>
    <s v=" "/>
    <m/>
    <n v="121328"/>
    <s v="R. S. BOKARO METAL (P) LTD."/>
    <n v="1191956"/>
    <s v="GP COIL SOFT-TATXGP-GK09-0.35X900"/>
    <s v="Z80"/>
    <s v=""/>
    <n v="4"/>
    <n v="12"/>
    <m/>
    <s v="C02"/>
    <s v="TATXGP"/>
    <s v="GK09"/>
    <n v="0.35"/>
    <n v="900"/>
    <n v="0"/>
    <n v="42"/>
    <n v="0"/>
    <n v="42"/>
    <n v="42"/>
    <n v="42"/>
    <n v="22.125"/>
    <n v="0"/>
    <n v="0"/>
    <n v="0"/>
    <n v="0"/>
    <n v="0"/>
    <n v="0"/>
    <n v="0"/>
    <n v="0"/>
    <n v="0"/>
    <n v="0"/>
    <n v="0"/>
    <n v="0"/>
    <n v="0"/>
    <n v="0"/>
    <n v="0"/>
    <n v="0"/>
    <n v="0"/>
    <n v="0"/>
    <n v="0"/>
    <n v="0"/>
    <n v="0"/>
    <n v="0"/>
    <n v="0"/>
    <m/>
    <n v="0"/>
    <n v="22.125"/>
    <n v="0"/>
    <n v="22.125"/>
    <n v="0"/>
    <n v="0"/>
    <n v="0"/>
    <n v="22.125"/>
    <n v="0"/>
    <n v="22.125"/>
    <n v="0"/>
    <n v="0"/>
    <n v="0"/>
    <m/>
    <m/>
    <m/>
    <m/>
    <m/>
    <m/>
    <m/>
    <m/>
    <m/>
    <m/>
    <m/>
    <m/>
    <m/>
    <m/>
    <m/>
    <m/>
    <m/>
    <m/>
    <m/>
    <m/>
    <m/>
    <m/>
    <m/>
    <m/>
    <m/>
    <m/>
    <m/>
    <m/>
    <m/>
    <m/>
    <m/>
    <m/>
    <m/>
    <m/>
    <m/>
  </r>
  <r>
    <n v="742"/>
    <d v="2025-03-10T00:00:00"/>
    <s v="ZBTO"/>
    <n v="9518587895"/>
    <n v="1"/>
    <s v="9518587895-1"/>
    <s v="May'25"/>
    <x v="0"/>
    <s v="Yes"/>
    <x v="1"/>
    <x v="2"/>
    <s v="2000-BPRS"/>
    <m/>
    <x v="1"/>
    <m/>
    <m/>
    <m/>
    <s v="East"/>
    <s v="GUWAHATI"/>
    <m/>
    <n v="116649"/>
    <s v="SAGAR STEELS"/>
    <n v="3515918"/>
    <s v="CR COIL TSBCRC SR25 0.550X1250"/>
    <s v=" "/>
    <s v=""/>
    <n v="15"/>
    <n v="28"/>
    <m/>
    <s v="C01"/>
    <s v="TSBCRC"/>
    <s v="SR25"/>
    <n v="0.55000000000000004"/>
    <n v="1250"/>
    <n v="0"/>
    <n v="58"/>
    <n v="0"/>
    <n v="58"/>
    <n v="58"/>
    <n v="35.200000000000003"/>
    <n v="58"/>
    <n v="0"/>
    <n v="0"/>
    <n v="0"/>
    <n v="0"/>
    <n v="0"/>
    <n v="0"/>
    <n v="0"/>
    <n v="0"/>
    <n v="0"/>
    <n v="0"/>
    <n v="0"/>
    <n v="0"/>
    <n v="0"/>
    <n v="0"/>
    <n v="0"/>
    <n v="0"/>
    <n v="22.8"/>
    <n v="0"/>
    <n v="0"/>
    <n v="22.8"/>
    <n v="22.8"/>
    <n v="0"/>
    <n v="22.8"/>
    <m/>
    <n v="0"/>
    <n v="58"/>
    <n v="0"/>
    <n v="0"/>
    <n v="58"/>
    <n v="0"/>
    <n v="0"/>
    <n v="0"/>
    <n v="0"/>
    <n v="0"/>
    <n v="0"/>
    <n v="0"/>
    <n v="0"/>
    <m/>
    <m/>
    <m/>
    <m/>
    <m/>
    <m/>
    <m/>
    <m/>
    <m/>
    <m/>
    <m/>
    <m/>
    <m/>
    <m/>
    <m/>
    <m/>
    <m/>
    <m/>
    <m/>
    <m/>
    <m/>
    <m/>
    <m/>
    <m/>
    <m/>
    <m/>
    <m/>
    <m/>
    <m/>
    <m/>
    <m/>
    <m/>
    <m/>
    <m/>
    <m/>
  </r>
  <r>
    <n v="742"/>
    <d v="2025-03-24T00:00:00"/>
    <s v="ZBTO"/>
    <n v="9518628976"/>
    <n v="12"/>
    <s v="9518628976-12"/>
    <s v="No Priority"/>
    <x v="0"/>
    <s v="Yes"/>
    <x v="1"/>
    <x v="1"/>
    <s v="2000-BPRS"/>
    <m/>
    <x v="0"/>
    <m/>
    <m/>
    <m/>
    <s v="South"/>
    <s v="VALPARAI"/>
    <m/>
    <n v="116465"/>
    <s v="SRI BALAJI STEEL TRADERS"/>
    <n v="1804854"/>
    <s v="CRCA COIL-TATXXD-AU03-1.2X1250"/>
    <s v=" "/>
    <s v=""/>
    <n v="6"/>
    <n v="18"/>
    <m/>
    <s v="C01"/>
    <s v="TATXXD"/>
    <s v="AU03"/>
    <n v="1.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13"/>
    <s v="9518628976-13"/>
    <s v="No Priority"/>
    <x v="0"/>
    <s v="Yes"/>
    <x v="1"/>
    <x v="1"/>
    <s v="2000-BPRS"/>
    <m/>
    <x v="0"/>
    <m/>
    <m/>
    <m/>
    <s v="South"/>
    <s v="VALPARAI"/>
    <m/>
    <n v="116465"/>
    <s v="SRI BALAJI STEEL TRADERS"/>
    <n v="2334995"/>
    <s v="CRCA COIL TATXXD AU03 1.500X1250"/>
    <s v=" "/>
    <s v=""/>
    <n v="6"/>
    <n v="18"/>
    <m/>
    <s v="C01"/>
    <s v="TATXXD"/>
    <s v="AU03"/>
    <n v="1.5"/>
    <n v="1250"/>
    <n v="0"/>
    <n v="29"/>
    <n v="0"/>
    <n v="29"/>
    <n v="0.74"/>
    <n v="0"/>
    <n v="9.6300000000000008"/>
    <n v="0"/>
    <n v="0"/>
    <n v="0"/>
    <n v="0"/>
    <n v="0"/>
    <n v="0"/>
    <n v="0"/>
    <n v="0"/>
    <n v="0"/>
    <n v="0"/>
    <n v="0"/>
    <n v="0"/>
    <n v="0"/>
    <n v="0"/>
    <n v="0"/>
    <n v="0"/>
    <n v="0"/>
    <n v="0"/>
    <n v="0"/>
    <n v="0"/>
    <n v="0"/>
    <n v="0"/>
    <n v="0"/>
    <m/>
    <n v="0"/>
    <n v="0"/>
    <n v="0"/>
    <n v="0"/>
    <n v="0"/>
    <n v="0"/>
    <n v="0"/>
    <n v="0"/>
    <n v="0"/>
    <n v="0"/>
    <n v="0"/>
    <n v="0"/>
    <n v="0"/>
    <m/>
    <m/>
    <m/>
    <m/>
    <m/>
    <m/>
    <m/>
    <m/>
    <m/>
    <m/>
    <m/>
    <m/>
    <m/>
    <m/>
    <m/>
    <m/>
    <m/>
    <m/>
    <m/>
    <m/>
    <m/>
    <m/>
    <m/>
    <m/>
    <m/>
    <m/>
    <m/>
    <m/>
    <m/>
    <m/>
    <m/>
    <m/>
    <m/>
    <m/>
    <m/>
  </r>
  <r>
    <n v="743"/>
    <d v="2025-03-21T00:00:00"/>
    <s v="ZBTO"/>
    <n v="9518620565"/>
    <n v="1"/>
    <s v="9518620565-1"/>
    <s v="No Priority"/>
    <x v="0"/>
    <m/>
    <x v="3"/>
    <x v="0"/>
    <s v="2000-BPRS"/>
    <m/>
    <x v="0"/>
    <m/>
    <m/>
    <m/>
    <s v="East"/>
    <s v="TATANAGAR"/>
    <m/>
    <n v="165053"/>
    <s v="SUDISA ENTERPRISES (P) LTD."/>
    <n v="1851836"/>
    <s v="GP COIL SOFT-TSBXGP-N1GP-0.3X900"/>
    <s v="Z80"/>
    <s v=""/>
    <n v="4"/>
    <n v="12"/>
    <m/>
    <s v="C02"/>
    <s v="TSBXGP"/>
    <s v="N1GP"/>
    <n v="0.3"/>
    <n v="900"/>
    <n v="0"/>
    <n v="21"/>
    <n v="0"/>
    <n v="21"/>
    <n v="21"/>
    <n v="21"/>
    <n v="10.9"/>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O"/>
    <n v="9518632737"/>
    <n v="3"/>
    <s v="9518632737-3"/>
    <s v="Stocks"/>
    <x v="0"/>
    <m/>
    <x v="1"/>
    <x v="10"/>
    <s v="1000-IPPE"/>
    <m/>
    <x v="1"/>
    <m/>
    <m/>
    <m/>
    <s v="North"/>
    <s v="FARIDABAD"/>
    <m/>
    <n v="189430"/>
    <s v="Balmer Lawrie &amp; Co. Ltd.,"/>
    <n v="2170008"/>
    <s v="CRCA COIL TATXXD BT01 0.970X1220"/>
    <s v=" "/>
    <s v=""/>
    <n v="7"/>
    <n v="12"/>
    <m/>
    <s v="C01"/>
    <s v="TATXXD"/>
    <s v="BT01"/>
    <n v="0.97"/>
    <n v="1220"/>
    <n v="0"/>
    <n v="56"/>
    <n v="0"/>
    <n v="56"/>
    <n v="56"/>
    <n v="56"/>
    <n v="5.8"/>
    <n v="0"/>
    <n v="0"/>
    <n v="0"/>
    <n v="0"/>
    <n v="0"/>
    <n v="0"/>
    <n v="0"/>
    <n v="0"/>
    <n v="0"/>
    <n v="0"/>
    <n v="0"/>
    <n v="0"/>
    <n v="0"/>
    <n v="0"/>
    <n v="0"/>
    <n v="0"/>
    <n v="0"/>
    <n v="0"/>
    <n v="0"/>
    <n v="0"/>
    <n v="0"/>
    <n v="0"/>
    <n v="0"/>
    <m/>
    <n v="8.5850000000000009"/>
    <n v="0"/>
    <n v="0"/>
    <n v="0"/>
    <n v="0"/>
    <n v="0"/>
    <n v="0"/>
    <n v="0"/>
    <n v="0"/>
    <n v="0"/>
    <n v="0"/>
    <n v="0"/>
    <n v="0"/>
    <m/>
    <m/>
    <m/>
    <m/>
    <m/>
    <m/>
    <m/>
    <m/>
    <m/>
    <m/>
    <m/>
    <m/>
    <m/>
    <m/>
    <m/>
    <m/>
    <m/>
    <m/>
    <m/>
    <m/>
    <m/>
    <m/>
    <m/>
    <m/>
    <m/>
    <m/>
    <m/>
    <m/>
    <m/>
    <m/>
    <m/>
    <m/>
    <m/>
    <m/>
    <m/>
  </r>
  <r>
    <n v="743"/>
    <d v="2025-03-29T00:00:00"/>
    <s v="ZBTO"/>
    <n v="9518652119"/>
    <n v="3"/>
    <s v="9518652119-3"/>
    <s v="May'25"/>
    <x v="0"/>
    <m/>
    <x v="3"/>
    <x v="14"/>
    <s v="2000-BPRS"/>
    <m/>
    <x v="1"/>
    <m/>
    <m/>
    <s v="Maharashtra"/>
    <s v="West"/>
    <s v="NAGPUR"/>
    <m/>
    <n v="930519"/>
    <s v="JAUSHNA STEELS (INDIA) PVT. LTD."/>
    <n v="1300227"/>
    <s v="GP COIL SOFT-TATXGP-GLK1-0.6X1220"/>
    <s v="Z80"/>
    <s v=""/>
    <n v="4"/>
    <n v="6"/>
    <m/>
    <s v="C02"/>
    <s v="TATXGP"/>
    <s v="GLK1"/>
    <n v="0.6"/>
    <n v="1220"/>
    <n v="0"/>
    <n v="112"/>
    <n v="0"/>
    <n v="112"/>
    <n v="112"/>
    <n v="112"/>
    <n v="112"/>
    <n v="0"/>
    <n v="0"/>
    <n v="0"/>
    <n v="0"/>
    <n v="0"/>
    <n v="0"/>
    <n v="0"/>
    <n v="0"/>
    <n v="0"/>
    <n v="0"/>
    <n v="0"/>
    <n v="0"/>
    <n v="0"/>
    <n v="0"/>
    <n v="0"/>
    <n v="0"/>
    <n v="0"/>
    <n v="0"/>
    <n v="0"/>
    <n v="0"/>
    <n v="0"/>
    <n v="0"/>
    <n v="0"/>
    <m/>
    <n v="0"/>
    <n v="112"/>
    <n v="0"/>
    <n v="0"/>
    <n v="112"/>
    <n v="0"/>
    <n v="0"/>
    <n v="0"/>
    <n v="0"/>
    <n v="0"/>
    <n v="0"/>
    <n v="0"/>
    <n v="0"/>
    <m/>
    <m/>
    <m/>
    <m/>
    <m/>
    <m/>
    <m/>
    <m/>
    <m/>
    <m/>
    <m/>
    <m/>
    <m/>
    <m/>
    <m/>
    <m/>
    <m/>
    <m/>
    <m/>
    <m/>
    <m/>
    <m/>
    <m/>
    <m/>
    <m/>
    <m/>
    <m/>
    <m/>
    <m/>
    <m/>
    <m/>
    <m/>
    <m/>
    <m/>
    <m/>
  </r>
  <r>
    <n v="743"/>
    <d v="2025-03-27T00:00:00"/>
    <s v="ZBTO"/>
    <n v="9518644154"/>
    <n v="1"/>
    <s v="9518644154-1"/>
    <s v="May'25"/>
    <x v="0"/>
    <m/>
    <x v="3"/>
    <x v="14"/>
    <s v="2000-BPRS"/>
    <m/>
    <x v="1"/>
    <m/>
    <m/>
    <m/>
    <s v="East"/>
    <s v=" "/>
    <m/>
    <n v="121328"/>
    <s v="R. S. BOKARO METAL (P) LTD."/>
    <n v="1300229"/>
    <s v="GP COIL SOFT-TATXGP-GLK1-0.4X1220"/>
    <s v="Z80"/>
    <s v=""/>
    <n v="4"/>
    <n v="12"/>
    <m/>
    <s v="C02"/>
    <s v="TATXGP"/>
    <s v="GLK1"/>
    <n v="0.4"/>
    <n v="1220"/>
    <n v="0"/>
    <n v="84"/>
    <n v="0"/>
    <n v="84"/>
    <n v="84"/>
    <n v="84"/>
    <n v="84"/>
    <n v="0"/>
    <n v="0"/>
    <n v="0"/>
    <n v="0"/>
    <n v="0"/>
    <n v="0"/>
    <n v="0"/>
    <n v="0"/>
    <n v="0"/>
    <n v="0"/>
    <n v="0"/>
    <n v="0"/>
    <n v="0"/>
    <n v="0"/>
    <n v="0"/>
    <n v="0"/>
    <n v="0"/>
    <n v="0"/>
    <n v="0"/>
    <n v="0"/>
    <n v="0"/>
    <n v="0"/>
    <n v="0"/>
    <m/>
    <n v="0"/>
    <n v="84"/>
    <n v="0"/>
    <n v="0"/>
    <n v="84"/>
    <n v="0"/>
    <n v="0"/>
    <n v="0"/>
    <n v="0"/>
    <n v="0"/>
    <n v="0"/>
    <n v="0"/>
    <n v="0"/>
    <m/>
    <m/>
    <m/>
    <m/>
    <m/>
    <m/>
    <m/>
    <m/>
    <m/>
    <m/>
    <m/>
    <m/>
    <m/>
    <m/>
    <m/>
    <m/>
    <m/>
    <m/>
    <m/>
    <m/>
    <m/>
    <m/>
    <m/>
    <m/>
    <m/>
    <m/>
    <m/>
    <m/>
    <m/>
    <m/>
    <m/>
    <m/>
    <m/>
    <m/>
    <m/>
  </r>
  <r>
    <n v="742"/>
    <d v="2025-03-26T00:00:00"/>
    <s v="ZBTO"/>
    <n v="9518637097"/>
    <n v="1"/>
    <s v="9518637097-1"/>
    <s v="Stocks"/>
    <x v="0"/>
    <m/>
    <x v="1"/>
    <x v="2"/>
    <s v="2000-BPRS"/>
    <m/>
    <x v="1"/>
    <m/>
    <m/>
    <m/>
    <s v="East"/>
    <s v="URLA"/>
    <m/>
    <n v="139336"/>
    <s v="PASA ASSOCIATES PRIVATE LIMITED"/>
    <n v="3239560"/>
    <s v="CRCA SHEET TATCRC SR16 0.450X900X2500"/>
    <s v=" "/>
    <s v=""/>
    <n v="1"/>
    <n v="3"/>
    <m/>
    <s v="C06"/>
    <s v="TATCRC"/>
    <s v="SR16"/>
    <n v="0.45"/>
    <n v="900"/>
    <n v="2500"/>
    <n v="60"/>
    <n v="0"/>
    <n v="60"/>
    <n v="-3.41"/>
    <n v="0"/>
    <n v="1.2150000000000001"/>
    <n v="0"/>
    <n v="0"/>
    <n v="0"/>
    <n v="0"/>
    <n v="0"/>
    <n v="0"/>
    <n v="0"/>
    <n v="0"/>
    <n v="0"/>
    <n v="0"/>
    <n v="0"/>
    <n v="0"/>
    <n v="0"/>
    <n v="0"/>
    <n v="0"/>
    <n v="0"/>
    <n v="0"/>
    <n v="0"/>
    <n v="0"/>
    <n v="0"/>
    <n v="0"/>
    <n v="0"/>
    <n v="0"/>
    <m/>
    <n v="5.57"/>
    <n v="0"/>
    <n v="0"/>
    <n v="0"/>
    <n v="0"/>
    <n v="0"/>
    <n v="0"/>
    <n v="0"/>
    <n v="0"/>
    <n v="0"/>
    <n v="0"/>
    <n v="0"/>
    <n v="0"/>
    <m/>
    <m/>
    <m/>
    <m/>
    <m/>
    <m/>
    <m/>
    <m/>
    <m/>
    <m/>
    <m/>
    <m/>
    <m/>
    <m/>
    <m/>
    <m/>
    <m/>
    <m/>
    <m/>
    <m/>
    <m/>
    <m/>
    <m/>
    <m/>
    <m/>
    <m/>
    <m/>
    <m/>
    <m/>
    <m/>
    <m/>
    <m/>
    <m/>
    <m/>
    <m/>
  </r>
  <r>
    <n v="742"/>
    <d v="2025-03-27T00:00:00"/>
    <s v="ZBTO"/>
    <n v="9518645449"/>
    <n v="1"/>
    <s v="9518645449-1"/>
    <s v="May'25"/>
    <x v="0"/>
    <s v="Yes"/>
    <x v="1"/>
    <x v="2"/>
    <s v="2000-BPRS"/>
    <m/>
    <x v="1"/>
    <m/>
    <m/>
    <m/>
    <s v="East"/>
    <s v="SILIGURI TOWN"/>
    <m/>
    <n v="948783"/>
    <s v="SAGAR STEELS"/>
    <n v="3542990"/>
    <s v="CRCA SHEET TSBCRC SR15 0.750X1120X2000"/>
    <s v=" "/>
    <s v=""/>
    <n v="2"/>
    <n v="3"/>
    <m/>
    <s v="C06"/>
    <s v="TSBCRC"/>
    <s v="SR15"/>
    <n v="0.75"/>
    <n v="1120"/>
    <n v="20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6T00:00:00"/>
    <s v="ZBTO"/>
    <n v="9518579267"/>
    <n v="1"/>
    <s v="9518579267-1"/>
    <s v="No Priority"/>
    <x v="0"/>
    <m/>
    <x v="1"/>
    <x v="12"/>
    <s v="2000-BPRS"/>
    <m/>
    <x v="0"/>
    <m/>
    <m/>
    <m/>
    <s v="South"/>
    <s v="YESHWANTHPURA"/>
    <m/>
    <n v="939268"/>
    <s v="TATA STEEL DOWNSTREAM PRODUCTS LIMI"/>
    <n v="3587949"/>
    <s v="CR COIL TSBSTA EL06 0.500X1250"/>
    <s v=" "/>
    <s v=""/>
    <n v="2"/>
    <n v="28"/>
    <m/>
    <s v="C01"/>
    <s v="TSBSTA"/>
    <s v="EL06"/>
    <n v="0.5"/>
    <n v="1250"/>
    <n v="0"/>
    <n v="58"/>
    <n v="0"/>
    <n v="58"/>
    <n v="-24.38"/>
    <n v="0"/>
    <n v="31.97"/>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19584"/>
    <n v="1"/>
    <s v="9518619584-1"/>
    <s v="No Priority"/>
    <x v="0"/>
    <m/>
    <x v="1"/>
    <x v="12"/>
    <s v="2000-BPRS"/>
    <m/>
    <x v="0"/>
    <m/>
    <m/>
    <m/>
    <s v="South"/>
    <s v="YESHWANTHPURA"/>
    <m/>
    <n v="939268"/>
    <s v="TATA STEEL DOWNSTREAM PRODUCTS LIMI"/>
    <n v="2439203"/>
    <s v="CRCA COIL TSBSTA EL06 0.500X1160"/>
    <s v=" "/>
    <s v=""/>
    <n v="2"/>
    <n v="30"/>
    <m/>
    <s v="C01"/>
    <s v="TSBSTA"/>
    <s v="EL06"/>
    <n v="0.5"/>
    <n v="1160"/>
    <n v="0"/>
    <n v="216"/>
    <n v="0"/>
    <n v="216"/>
    <n v="213.21"/>
    <n v="213.21"/>
    <n v="216"/>
    <n v="0"/>
    <n v="0"/>
    <n v="0"/>
    <n v="0"/>
    <n v="0"/>
    <n v="0"/>
    <n v="0"/>
    <n v="0"/>
    <n v="0"/>
    <n v="0"/>
    <n v="0"/>
    <n v="0"/>
    <n v="0"/>
    <n v="0"/>
    <n v="0"/>
    <n v="2.79"/>
    <n v="0"/>
    <n v="0"/>
    <n v="0"/>
    <n v="2.79"/>
    <n v="2.79"/>
    <n v="0"/>
    <n v="2.79"/>
    <m/>
    <n v="0"/>
    <n v="0"/>
    <n v="0"/>
    <n v="0"/>
    <n v="0"/>
    <n v="0"/>
    <n v="0"/>
    <n v="0"/>
    <n v="0"/>
    <n v="0"/>
    <n v="0"/>
    <n v="0"/>
    <n v="0"/>
    <m/>
    <m/>
    <m/>
    <m/>
    <m/>
    <m/>
    <m/>
    <m/>
    <m/>
    <m/>
    <m/>
    <m/>
    <m/>
    <m/>
    <m/>
    <m/>
    <m/>
    <m/>
    <m/>
    <m/>
    <m/>
    <m/>
    <m/>
    <m/>
    <m/>
    <m/>
    <m/>
    <m/>
    <m/>
    <m/>
    <m/>
    <m/>
    <m/>
    <m/>
    <m/>
  </r>
  <r>
    <n v="742"/>
    <d v="2025-03-21T00:00:00"/>
    <s v="ZBTN"/>
    <n v="9518620015"/>
    <n v="1"/>
    <s v="9518620015-1"/>
    <s v="No Priority"/>
    <x v="0"/>
    <m/>
    <x v="1"/>
    <x v="17"/>
    <s v="2000-BPRS"/>
    <m/>
    <x v="0"/>
    <m/>
    <m/>
    <m/>
    <s v="South"/>
    <s v="VISHAKHAPATNAM"/>
    <m/>
    <n v="189745"/>
    <s v="Tata International West Asia Dmcc"/>
    <n v="3532129"/>
    <s v="CRCA SHEET TATCRC EX08 0.400X1219X2438"/>
    <s v=" "/>
    <s v=""/>
    <n v="0"/>
    <n v="0"/>
    <m/>
    <s v="C06"/>
    <s v="TATCRC"/>
    <s v="EX08"/>
    <n v="0.4"/>
    <n v="1219"/>
    <n v="2438"/>
    <n v="26"/>
    <n v="0"/>
    <n v="26"/>
    <n v="-1.18"/>
    <n v="0"/>
    <n v="0.379"/>
    <n v="0"/>
    <n v="0"/>
    <n v="0"/>
    <n v="0"/>
    <n v="0"/>
    <n v="0"/>
    <n v="0"/>
    <n v="0"/>
    <n v="0"/>
    <n v="0"/>
    <n v="0"/>
    <n v="0"/>
    <n v="0"/>
    <n v="0"/>
    <n v="0"/>
    <n v="0"/>
    <n v="0"/>
    <n v="0"/>
    <n v="0"/>
    <n v="0"/>
    <n v="0"/>
    <n v="0"/>
    <n v="0"/>
    <m/>
    <n v="0"/>
    <n v="0"/>
    <n v="0"/>
    <n v="0"/>
    <n v="0"/>
    <n v="0"/>
    <n v="0"/>
    <n v="0"/>
    <n v="0"/>
    <n v="0"/>
    <n v="0"/>
    <n v="0"/>
    <n v="0"/>
    <m/>
    <m/>
    <m/>
    <m/>
    <m/>
    <m/>
    <m/>
    <m/>
    <m/>
    <m/>
    <m/>
    <m/>
    <m/>
    <m/>
    <m/>
    <m/>
    <m/>
    <m/>
    <m/>
    <m/>
    <m/>
    <m/>
    <m/>
    <m/>
    <m/>
    <m/>
    <m/>
    <m/>
    <m/>
    <m/>
    <m/>
    <m/>
    <m/>
    <m/>
    <m/>
  </r>
  <r>
    <n v="742"/>
    <d v="2025-03-14T00:00:00"/>
    <s v="ZBTF"/>
    <n v="4000500995"/>
    <n v="3"/>
    <s v="4000500995-3"/>
    <s v="May'25"/>
    <x v="0"/>
    <m/>
    <x v="0"/>
    <x v="0"/>
    <s v="2000-BPRS"/>
    <m/>
    <x v="1"/>
    <m/>
    <m/>
    <m/>
    <s v="South"/>
    <s v="YESHWANTHPURA"/>
    <m/>
    <n v="600103"/>
    <s v="TATA STEEL LIMITED"/>
    <n v="1371338"/>
    <s v="HR COILS-PO IS 1079 HR2 2.30X1250"/>
    <s v=" "/>
    <s v=""/>
    <n v="10"/>
    <n v="27"/>
    <m/>
    <n v="768"/>
    <s v="THR099"/>
    <s v="HR99"/>
    <n v="2.2999999999999998"/>
    <n v="1250"/>
    <n v="0"/>
    <n v="25"/>
    <n v="0"/>
    <n v="25"/>
    <n v="25"/>
    <n v="25"/>
    <n v="25"/>
    <n v="0"/>
    <n v="0"/>
    <n v="0"/>
    <n v="0"/>
    <n v="0"/>
    <n v="0"/>
    <n v="0"/>
    <n v="0"/>
    <n v="0"/>
    <n v="0"/>
    <n v="0"/>
    <n v="0"/>
    <n v="0"/>
    <n v="0"/>
    <n v="0"/>
    <n v="0"/>
    <n v="0"/>
    <n v="0"/>
    <n v="0"/>
    <n v="0"/>
    <n v="0"/>
    <n v="0"/>
    <n v="0"/>
    <m/>
    <n v="0"/>
    <n v="25"/>
    <n v="0"/>
    <n v="0"/>
    <n v="0"/>
    <n v="25"/>
    <n v="0"/>
    <n v="0"/>
    <n v="0"/>
    <n v="0"/>
    <n v="0"/>
    <n v="0"/>
    <n v="0"/>
    <m/>
    <m/>
    <m/>
    <m/>
    <m/>
    <m/>
    <m/>
    <m/>
    <m/>
    <m/>
    <m/>
    <m/>
    <m/>
    <m/>
    <m/>
    <m/>
    <m/>
    <m/>
    <m/>
    <m/>
    <m/>
    <m/>
    <m/>
    <m/>
    <m/>
    <m/>
    <m/>
    <m/>
    <m/>
    <m/>
    <m/>
    <m/>
    <m/>
    <m/>
    <m/>
  </r>
  <r>
    <n v="742"/>
    <d v="2025-03-15T00:00:00"/>
    <s v="ZBTO"/>
    <n v="9518602456"/>
    <n v="1"/>
    <s v="9518602456-1"/>
    <s v="No Priority"/>
    <x v="0"/>
    <m/>
    <x v="1"/>
    <x v="1"/>
    <s v="2000-BPRS"/>
    <m/>
    <x v="0"/>
    <m/>
    <m/>
    <m/>
    <s v="North"/>
    <s v="JAIPUR"/>
    <m/>
    <n v="116137"/>
    <s v="PELIKAN DOSSIER (P) LTD "/>
    <n v="508085"/>
    <s v="CRCA SHEET TATXXD AU03 0.600X1000X1000"/>
    <s v=" "/>
    <s v=""/>
    <n v="1"/>
    <n v="3"/>
    <m/>
    <s v="C06"/>
    <s v="TATXXD"/>
    <s v="AU03"/>
    <n v="0.6"/>
    <n v="1000"/>
    <n v="1000"/>
    <n v="15"/>
    <n v="0"/>
    <n v="15"/>
    <n v="15"/>
    <n v="15"/>
    <n v="15"/>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14"/>
    <s v="9518628976-14"/>
    <s v="No Priority"/>
    <x v="0"/>
    <s v="Yes"/>
    <x v="1"/>
    <x v="1"/>
    <s v="2000-BPRS"/>
    <m/>
    <x v="0"/>
    <m/>
    <m/>
    <m/>
    <s v="South"/>
    <s v="VALPARAI"/>
    <m/>
    <n v="116465"/>
    <s v="SRI BALAJI STEEL TRADERS"/>
    <n v="1804867"/>
    <s v="CRCA COIL-TATXXD-AU03-1.6X1250"/>
    <s v=" "/>
    <s v=""/>
    <n v="6"/>
    <n v="18"/>
    <m/>
    <s v="C01"/>
    <s v="TATXXD"/>
    <s v="AU03"/>
    <n v="1.6"/>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15"/>
    <s v="9518628976-15"/>
    <s v="No Priority"/>
    <x v="0"/>
    <s v="Yes"/>
    <x v="1"/>
    <x v="1"/>
    <s v="2000-BPRS"/>
    <m/>
    <x v="0"/>
    <m/>
    <m/>
    <m/>
    <s v="South"/>
    <s v="VALPARAI"/>
    <m/>
    <n v="116465"/>
    <s v="SRI BALAJI STEEL TRADERS"/>
    <n v="1884117"/>
    <s v="CRCA COIL-TATXXD-AU03-2X1250"/>
    <s v=" "/>
    <s v=""/>
    <n v="6"/>
    <n v="18"/>
    <m/>
    <s v="C01"/>
    <s v="TATXXD"/>
    <s v="AU03"/>
    <n v="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8970"/>
    <n v="1"/>
    <s v="9518648970-1"/>
    <s v="No Priority"/>
    <x v="0"/>
    <m/>
    <x v="1"/>
    <x v="1"/>
    <s v="2000-BPRS"/>
    <m/>
    <x v="0"/>
    <m/>
    <m/>
    <m/>
    <s v="North"/>
    <s v="JAIPUR"/>
    <m/>
    <n v="116137"/>
    <s v="PELIKAN DOSSIER (P) LTD "/>
    <n v="508085"/>
    <s v="CRCA SHEET TATXXD AU03 0.600X1000X1000"/>
    <s v=" "/>
    <s v=""/>
    <n v="0"/>
    <n v="0"/>
    <m/>
    <s v="C06"/>
    <s v="TATXXD"/>
    <s v="AU03"/>
    <n v="0.6"/>
    <n v="1000"/>
    <n v="1000"/>
    <n v="99"/>
    <n v="0"/>
    <n v="99"/>
    <n v="99"/>
    <n v="99"/>
    <n v="99"/>
    <n v="0"/>
    <n v="0"/>
    <n v="0"/>
    <n v="0"/>
    <n v="0"/>
    <n v="0"/>
    <n v="0"/>
    <n v="0"/>
    <n v="0"/>
    <n v="0"/>
    <n v="0"/>
    <n v="0"/>
    <n v="0"/>
    <n v="0"/>
    <n v="0"/>
    <n v="0"/>
    <n v="0"/>
    <n v="0"/>
    <n v="0"/>
    <n v="0"/>
    <n v="0"/>
    <n v="0"/>
    <n v="0"/>
    <m/>
    <n v="0"/>
    <n v="0"/>
    <n v="0"/>
    <n v="0"/>
    <n v="0"/>
    <n v="0"/>
    <n v="0"/>
    <n v="0"/>
    <n v="0"/>
    <n v="0"/>
    <n v="0"/>
    <n v="0"/>
    <n v="0"/>
    <m/>
    <m/>
    <m/>
    <m/>
    <m/>
    <m/>
    <m/>
    <m/>
    <m/>
    <m/>
    <m/>
    <m/>
    <m/>
    <m/>
    <m/>
    <m/>
    <m/>
    <m/>
    <m/>
    <m/>
    <m/>
    <m/>
    <m/>
    <m/>
    <m/>
    <m/>
    <m/>
    <m/>
    <m/>
    <m/>
    <m/>
    <m/>
    <m/>
    <m/>
    <m/>
  </r>
  <r>
    <n v="743"/>
    <d v="2025-03-21T00:00:00"/>
    <s v="ZBTO"/>
    <n v="9518620565"/>
    <n v="2"/>
    <s v="9518620565-2"/>
    <s v="No Priority"/>
    <x v="0"/>
    <m/>
    <x v="3"/>
    <x v="0"/>
    <s v="2000-BPRS"/>
    <m/>
    <x v="0"/>
    <m/>
    <m/>
    <m/>
    <s v="East"/>
    <s v="TATANAGAR"/>
    <m/>
    <n v="165053"/>
    <s v="SUDISA ENTERPRISES (P) LTD."/>
    <n v="1851909"/>
    <s v="GP COIL SOFT-TSBXGP-N1GP-0.35X900"/>
    <s v="Z80"/>
    <s v=""/>
    <n v="4"/>
    <n v="12"/>
    <m/>
    <s v="C02"/>
    <s v="TSBXGP"/>
    <s v="N1GP"/>
    <n v="0.3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O"/>
    <n v="9518631220"/>
    <n v="3"/>
    <s v="9518631220-3"/>
    <s v="No Priority"/>
    <x v="0"/>
    <s v="Yes"/>
    <x v="1"/>
    <x v="1"/>
    <s v="2000-BPRS"/>
    <m/>
    <x v="0"/>
    <m/>
    <m/>
    <m/>
    <s v="South"/>
    <s v="YESHWANTHPURA"/>
    <m/>
    <n v="939268"/>
    <s v="TATA STEEL DOWNSTREAM PRODUCTS LIMI"/>
    <n v="1804854"/>
    <s v="CRCA COIL-TATXXD-AU03-1.2X1250"/>
    <s v=" "/>
    <s v=""/>
    <n v="2"/>
    <n v="30"/>
    <m/>
    <s v="C01"/>
    <s v="TATXXD"/>
    <s v="AU03"/>
    <n v="1.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O"/>
    <n v="9518632737"/>
    <n v="4"/>
    <s v="9518632737-4"/>
    <s v="No Priority"/>
    <x v="0"/>
    <m/>
    <x v="1"/>
    <x v="10"/>
    <s v="1000-IPPE"/>
    <m/>
    <x v="0"/>
    <m/>
    <m/>
    <m/>
    <s v="North"/>
    <s v="FARIDABAD"/>
    <m/>
    <n v="189430"/>
    <s v="Balmer Lawrie &amp; Co. Ltd.,"/>
    <n v="2164803"/>
    <s v="CRCA COIL TATXXD BT02 1.200X910"/>
    <s v=" "/>
    <s v=""/>
    <n v="6"/>
    <n v="13"/>
    <m/>
    <s v="C01"/>
    <s v="TATXXD"/>
    <s v="BT02"/>
    <n v="1.2"/>
    <n v="91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10T00:00:00"/>
    <s v="ZBTN"/>
    <n v="9518587628"/>
    <n v="1"/>
    <s v="9518587628-1"/>
    <s v="Stocks"/>
    <x v="0"/>
    <m/>
    <x v="1"/>
    <x v="17"/>
    <s v="2000-BPRS"/>
    <m/>
    <x v="1"/>
    <m/>
    <m/>
    <m/>
    <s v="South"/>
    <s v="VISHAKHAPATNAM"/>
    <m/>
    <n v="189858"/>
    <s v="Jayarathne Distributors (Pvt) Ltd"/>
    <n v="3532128"/>
    <s v="CRCA SHEET TATCRC EX08 0.380X1219X2438"/>
    <s v=" "/>
    <s v=""/>
    <n v="2"/>
    <n v="3"/>
    <m/>
    <s v="C06"/>
    <s v="TATCRC"/>
    <s v="EX08"/>
    <n v="0.38"/>
    <n v="1219"/>
    <n v="2438"/>
    <n v="26"/>
    <n v="0"/>
    <n v="26"/>
    <n v="1.37"/>
    <n v="0"/>
    <n v="2.86"/>
    <n v="0"/>
    <n v="0"/>
    <n v="0"/>
    <n v="0"/>
    <n v="0"/>
    <n v="0"/>
    <n v="0"/>
    <n v="0"/>
    <n v="0"/>
    <n v="0"/>
    <n v="0"/>
    <n v="0"/>
    <n v="0"/>
    <n v="0"/>
    <n v="0"/>
    <n v="0"/>
    <n v="0"/>
    <n v="0"/>
    <n v="0"/>
    <n v="0"/>
    <n v="0"/>
    <n v="0"/>
    <n v="0"/>
    <m/>
    <n v="23.14"/>
    <n v="0"/>
    <n v="0"/>
    <n v="0"/>
    <n v="0"/>
    <n v="0"/>
    <n v="0"/>
    <n v="0"/>
    <n v="0"/>
    <n v="0"/>
    <n v="0"/>
    <n v="0"/>
    <n v="0"/>
    <m/>
    <m/>
    <m/>
    <m/>
    <m/>
    <m/>
    <m/>
    <m/>
    <m/>
    <m/>
    <m/>
    <m/>
    <m/>
    <m/>
    <m/>
    <m/>
    <m/>
    <m/>
    <m/>
    <m/>
    <m/>
    <m/>
    <m/>
    <m/>
    <m/>
    <m/>
    <m/>
    <m/>
    <m/>
    <m/>
    <m/>
    <m/>
    <m/>
    <m/>
    <m/>
  </r>
  <r>
    <n v="744"/>
    <d v="2025-02-05T00:00:00"/>
    <s v="ZBTO"/>
    <n v="9518494843"/>
    <n v="1"/>
    <s v="9518494843-1"/>
    <s v="May'25"/>
    <x v="0"/>
    <m/>
    <x v="2"/>
    <x v="3"/>
    <s v="1000-IPPE"/>
    <m/>
    <x v="1"/>
    <m/>
    <m/>
    <m/>
    <s v="TBSPL"/>
    <s v=" "/>
    <m/>
    <n v="941597"/>
    <s v="TATA BLUESCOPE STEEL PRIVATE LIMITE"/>
    <n v="3902332"/>
    <s v="PPGL C HARD Y550PL D0C9 0.50(TPT)X1220"/>
    <s v="AZ150"/>
    <s v="RAL 6011 TSL 1810 MIST GREEN"/>
    <n v="3"/>
    <n v="5"/>
    <m/>
    <s v="B18"/>
    <s v="Y550PL"/>
    <s v="D0C9"/>
    <n v="0.5"/>
    <n v="1220"/>
    <n v="0"/>
    <n v="28"/>
    <n v="4.4950000000000001"/>
    <n v="23.504999999999999"/>
    <n v="23.504999999999999"/>
    <n v="23.504999999999999"/>
    <n v="23.504999999999999"/>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T"/>
    <n v="9518630407"/>
    <n v="1"/>
    <s v="9518630407-1"/>
    <s v="No Priority"/>
    <x v="0"/>
    <m/>
    <x v="1"/>
    <x v="6"/>
    <s v="2000-BPRS"/>
    <m/>
    <x v="0"/>
    <m/>
    <m/>
    <m/>
    <s v="South"/>
    <s v="YESHWANTHPURA"/>
    <m/>
    <n v="650742"/>
    <s v="Angul Cold Rolling Mill"/>
    <n v="3959449"/>
    <s v="CR COIL TATXHS BR03 1.600X1250"/>
    <s v=" "/>
    <s v=""/>
    <n v="10"/>
    <n v="27"/>
    <m/>
    <s v="C01"/>
    <s v="TATXHS"/>
    <s v="BR03"/>
    <n v="1.6"/>
    <n v="1250"/>
    <n v="0"/>
    <n v="58"/>
    <n v="0"/>
    <n v="58"/>
    <n v="58"/>
    <n v="58"/>
    <n v="0"/>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T"/>
    <n v="9518630407"/>
    <n v="2"/>
    <s v="9518630407-2"/>
    <s v="No Priority"/>
    <x v="0"/>
    <m/>
    <x v="1"/>
    <x v="6"/>
    <s v="2000-BPRS"/>
    <m/>
    <x v="0"/>
    <m/>
    <m/>
    <m/>
    <s v="South"/>
    <s v="YESHWANTHPURA"/>
    <m/>
    <n v="650742"/>
    <s v="Angul Cold Rolling Mill"/>
    <n v="3959450"/>
    <s v="CR COIL TATXHS BR03 2X1250"/>
    <s v=" "/>
    <s v=""/>
    <n v="10"/>
    <n v="27"/>
    <m/>
    <s v="C01"/>
    <s v="TATXHS"/>
    <s v="BR03"/>
    <n v="2"/>
    <n v="1250"/>
    <n v="0"/>
    <n v="58"/>
    <n v="0"/>
    <n v="58"/>
    <n v="58"/>
    <n v="58"/>
    <n v="0"/>
    <n v="0"/>
    <n v="0"/>
    <n v="0"/>
    <n v="0"/>
    <n v="0"/>
    <n v="0"/>
    <n v="0"/>
    <n v="0"/>
    <n v="0"/>
    <n v="0"/>
    <n v="0"/>
    <n v="0"/>
    <n v="0"/>
    <n v="0"/>
    <n v="0"/>
    <n v="0"/>
    <n v="0"/>
    <n v="0"/>
    <n v="0"/>
    <n v="0"/>
    <n v="0"/>
    <n v="0"/>
    <n v="0"/>
    <m/>
    <n v="0"/>
    <n v="0"/>
    <n v="0"/>
    <n v="0"/>
    <n v="0"/>
    <n v="0"/>
    <n v="0"/>
    <n v="0"/>
    <n v="0"/>
    <n v="0"/>
    <n v="0"/>
    <n v="0"/>
    <n v="0"/>
    <m/>
    <m/>
    <m/>
    <m/>
    <m/>
    <m/>
    <m/>
    <m/>
    <m/>
    <m/>
    <m/>
    <m/>
    <m/>
    <m/>
    <m/>
    <m/>
    <m/>
    <m/>
    <m/>
    <m/>
    <m/>
    <m/>
    <m/>
    <m/>
    <m/>
    <m/>
    <m/>
    <m/>
    <m/>
    <m/>
    <m/>
    <m/>
    <m/>
    <m/>
    <m/>
  </r>
  <r>
    <n v="743"/>
    <d v="2025-03-25T00:00:00"/>
    <s v="ZBTO"/>
    <n v="9518631501"/>
    <n v="1"/>
    <s v="9518631501-1"/>
    <s v="No Priority"/>
    <x v="0"/>
    <m/>
    <x v="3"/>
    <x v="9"/>
    <s v="2000-BPRS"/>
    <m/>
    <x v="0"/>
    <m/>
    <m/>
    <m/>
    <s v="North"/>
    <s v="LONI"/>
    <m/>
    <n v="931234"/>
    <s v="JAI LAXMI STEELS"/>
    <n v="1178439"/>
    <s v="GP COIL SOFT-TATXGP-GK09-0.4X900"/>
    <s v="Z80"/>
    <s v=""/>
    <n v="4"/>
    <n v="6"/>
    <m/>
    <s v="C02"/>
    <s v="TATXGP"/>
    <s v="GK09"/>
    <n v="0.4"/>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3-25T00:00:00"/>
    <s v="ZBTO"/>
    <n v="9518631501"/>
    <n v="2"/>
    <s v="9518631501-2"/>
    <s v="No Priority"/>
    <x v="0"/>
    <m/>
    <x v="3"/>
    <x v="9"/>
    <s v="2000-BPRS"/>
    <m/>
    <x v="0"/>
    <m/>
    <m/>
    <m/>
    <s v="North"/>
    <s v="LONI"/>
    <m/>
    <n v="931234"/>
    <s v="JAI LAXMI STEELS"/>
    <n v="1854418"/>
    <s v="GP COIL SOFT-TATXGP-GK09-0.5X900"/>
    <s v="Z80"/>
    <s v=""/>
    <n v="4"/>
    <n v="6"/>
    <m/>
    <s v="C02"/>
    <s v="TATXGP"/>
    <s v="GK09"/>
    <n v="0.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F"/>
    <n v="9518632148"/>
    <n v="1"/>
    <s v="9518632148-1"/>
    <s v="May'25"/>
    <x v="0"/>
    <m/>
    <x v="1"/>
    <x v="7"/>
    <s v="1000-IPPE"/>
    <m/>
    <x v="1"/>
    <m/>
    <s v="Tempel Precisions"/>
    <m/>
    <s v="South"/>
    <s v="THIRUVALLUR"/>
    <m/>
    <n v="600250"/>
    <s v="TATA CENTER"/>
    <n v="3659268"/>
    <s v="CR COIL TSBSTA EL03 0.500X1217"/>
    <s v=" "/>
    <s v=""/>
    <n v="8"/>
    <n v="11"/>
    <m/>
    <s v="C01"/>
    <s v="TSBSTA"/>
    <s v="EL03"/>
    <n v="0.5"/>
    <n v="1217"/>
    <n v="0"/>
    <n v="140"/>
    <n v="0"/>
    <n v="140"/>
    <n v="140"/>
    <n v="140"/>
    <n v="139.99"/>
    <n v="0"/>
    <n v="0"/>
    <n v="0"/>
    <n v="0"/>
    <n v="0"/>
    <n v="0"/>
    <n v="0"/>
    <n v="0"/>
    <n v="0"/>
    <n v="0"/>
    <n v="0"/>
    <n v="0"/>
    <n v="0"/>
    <n v="0"/>
    <n v="0"/>
    <n v="0"/>
    <n v="0"/>
    <n v="0"/>
    <n v="0"/>
    <n v="0"/>
    <n v="0"/>
    <n v="0"/>
    <n v="0"/>
    <m/>
    <n v="0"/>
    <n v="139.99"/>
    <n v="0"/>
    <n v="0"/>
    <n v="0"/>
    <n v="0"/>
    <n v="139.99"/>
    <n v="0"/>
    <n v="0"/>
    <n v="0"/>
    <n v="0"/>
    <n v="0"/>
    <n v="0"/>
    <m/>
    <m/>
    <m/>
    <m/>
    <m/>
    <m/>
    <m/>
    <m/>
    <m/>
    <m/>
    <m/>
    <m/>
    <m/>
    <m/>
    <m/>
    <m/>
    <m/>
    <m/>
    <m/>
    <m/>
    <m/>
    <m/>
    <m/>
    <m/>
    <m/>
    <m/>
    <m/>
    <m/>
    <m/>
    <m/>
    <m/>
    <m/>
    <m/>
    <m/>
    <m/>
  </r>
  <r>
    <n v="743"/>
    <d v="2025-03-17T00:00:00"/>
    <s v="ZBTO"/>
    <n v="9518607443"/>
    <n v="2"/>
    <s v="9518607443-2"/>
    <s v="May'25"/>
    <x v="0"/>
    <s v="Yes"/>
    <x v="3"/>
    <x v="9"/>
    <s v="2000-BPRS"/>
    <m/>
    <x v="1"/>
    <m/>
    <m/>
    <m/>
    <s v="East"/>
    <s v=" "/>
    <m/>
    <n v="121328"/>
    <s v="R. S. BOKARO METAL (P) LTD."/>
    <n v="1854418"/>
    <s v="GP COIL SOFT-TATXGP-GK09-0.5X900"/>
    <s v="Z80"/>
    <s v=""/>
    <n v="4"/>
    <n v="12"/>
    <m/>
    <s v="C02"/>
    <s v="TATXGP"/>
    <s v="GK09"/>
    <n v="0.5"/>
    <n v="900"/>
    <n v="0"/>
    <n v="42"/>
    <n v="0"/>
    <n v="42"/>
    <n v="42"/>
    <n v="2.2299999999999969"/>
    <n v="42"/>
    <n v="0"/>
    <n v="0"/>
    <n v="0"/>
    <n v="0"/>
    <n v="20.400000000000002"/>
    <n v="0"/>
    <n v="19.37"/>
    <n v="0"/>
    <n v="0"/>
    <n v="0"/>
    <n v="0"/>
    <n v="0"/>
    <n v="0"/>
    <n v="0"/>
    <n v="0"/>
    <n v="0"/>
    <n v="0"/>
    <n v="0"/>
    <n v="0"/>
    <n v="39.770000000000003"/>
    <n v="39.770000000000003"/>
    <n v="0"/>
    <n v="39.770000000000003"/>
    <m/>
    <n v="0"/>
    <n v="42"/>
    <n v="42"/>
    <n v="0"/>
    <n v="0"/>
    <n v="0"/>
    <n v="0"/>
    <n v="0"/>
    <n v="0"/>
    <n v="0"/>
    <n v="0"/>
    <n v="0"/>
    <n v="0"/>
    <m/>
    <m/>
    <m/>
    <m/>
    <m/>
    <m/>
    <m/>
    <m/>
    <m/>
    <m/>
    <m/>
    <m/>
    <m/>
    <m/>
    <m/>
    <m/>
    <m/>
    <m/>
    <m/>
    <m/>
    <m/>
    <m/>
    <m/>
    <m/>
    <m/>
    <m/>
    <m/>
    <m/>
    <m/>
    <m/>
    <m/>
    <m/>
    <m/>
    <m/>
    <m/>
  </r>
  <r>
    <n v="743"/>
    <d v="2025-03-17T00:00:00"/>
    <s v="ZBTO"/>
    <n v="9518607406"/>
    <n v="1"/>
    <s v="9518607406-1"/>
    <s v="May'25"/>
    <x v="0"/>
    <s v="Yes"/>
    <x v="3"/>
    <x v="9"/>
    <s v="2000-BPRS"/>
    <m/>
    <x v="0"/>
    <m/>
    <m/>
    <m/>
    <s v="East"/>
    <s v="TANGI"/>
    <m/>
    <n v="117061"/>
    <s v="BHARTIA  DISTRIBUTORS PVT. LTD."/>
    <n v="1851065"/>
    <s v="GP COIL SOFT-TATXGP-GK09-0.25X900"/>
    <s v="Z80"/>
    <s v=""/>
    <n v="3.9"/>
    <n v="5"/>
    <m/>
    <s v="C02"/>
    <s v="TATXGP"/>
    <s v="GK09"/>
    <n v="0.2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17T00:00:00"/>
    <s v="ZBTO"/>
    <n v="9518607406"/>
    <n v="2"/>
    <s v="9518607406-2"/>
    <s v="Stocks"/>
    <x v="0"/>
    <s v="Yes"/>
    <x v="3"/>
    <x v="9"/>
    <s v="2000-BPRS"/>
    <m/>
    <x v="1"/>
    <m/>
    <m/>
    <m/>
    <s v="East"/>
    <s v="TANGI"/>
    <m/>
    <n v="117061"/>
    <s v="BHARTIA  DISTRIBUTORS PVT. LTD."/>
    <n v="1191955"/>
    <s v="GP COIL SOFT-TATXGP-GK09-0.3X900"/>
    <s v="Z80"/>
    <s v=""/>
    <n v="3.9"/>
    <n v="5"/>
    <m/>
    <s v="C02"/>
    <s v="TATXGP"/>
    <s v="GK09"/>
    <n v="0.3"/>
    <n v="900"/>
    <n v="0"/>
    <n v="42"/>
    <n v="0"/>
    <n v="42"/>
    <n v="42"/>
    <n v="42"/>
    <n v="2.2549999999999999"/>
    <n v="0"/>
    <n v="0"/>
    <n v="0"/>
    <n v="0"/>
    <n v="0"/>
    <n v="0"/>
    <n v="0"/>
    <n v="0"/>
    <n v="0"/>
    <n v="0"/>
    <n v="0"/>
    <n v="0"/>
    <n v="0"/>
    <n v="0"/>
    <n v="0"/>
    <n v="0"/>
    <n v="0"/>
    <n v="0"/>
    <n v="0"/>
    <n v="0"/>
    <n v="0"/>
    <n v="0"/>
    <n v="0"/>
    <m/>
    <n v="9.9700000000000006"/>
    <n v="0"/>
    <n v="0"/>
    <n v="0"/>
    <n v="0"/>
    <n v="0"/>
    <n v="0"/>
    <n v="0"/>
    <n v="0"/>
    <n v="0"/>
    <n v="0"/>
    <n v="0"/>
    <n v="0"/>
    <m/>
    <m/>
    <m/>
    <m/>
    <m/>
    <m/>
    <m/>
    <m/>
    <m/>
    <m/>
    <m/>
    <m/>
    <m/>
    <m/>
    <m/>
    <m/>
    <m/>
    <m/>
    <m/>
    <m/>
    <m/>
    <m/>
    <m/>
    <m/>
    <m/>
    <m/>
    <m/>
    <m/>
    <m/>
    <m/>
    <m/>
    <m/>
    <m/>
    <m/>
    <m/>
  </r>
  <r>
    <n v="743"/>
    <d v="2025-03-21T00:00:00"/>
    <s v="ZBTO"/>
    <n v="9518620565"/>
    <n v="3"/>
    <s v="9518620565-3"/>
    <s v="No Priority"/>
    <x v="0"/>
    <m/>
    <x v="3"/>
    <x v="0"/>
    <s v="2000-BPRS"/>
    <m/>
    <x v="0"/>
    <m/>
    <m/>
    <m/>
    <s v="East"/>
    <s v="TATANAGAR"/>
    <m/>
    <n v="165053"/>
    <s v="SUDISA ENTERPRISES (P) LTD."/>
    <n v="1852012"/>
    <s v="GP COIL SOFT-TSBXGP-N1GP-0.4X900"/>
    <s v="Z80"/>
    <s v=""/>
    <n v="4"/>
    <n v="12"/>
    <m/>
    <s v="C02"/>
    <s v="TSBXGP"/>
    <s v="N1GP"/>
    <n v="0.4"/>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21T00:00:00"/>
    <s v="ZBTO"/>
    <n v="9518620565"/>
    <n v="4"/>
    <s v="9518620565-4"/>
    <s v="No Priority"/>
    <x v="0"/>
    <m/>
    <x v="3"/>
    <x v="0"/>
    <s v="2000-BPRS"/>
    <m/>
    <x v="0"/>
    <m/>
    <m/>
    <m/>
    <s v="East"/>
    <s v="TATANAGAR"/>
    <m/>
    <n v="165053"/>
    <s v="SUDISA ENTERPRISES (P) LTD."/>
    <n v="1852246"/>
    <s v="GP COIL SOFT-TSBXGP-N1GP-0.5X900"/>
    <s v="Z80"/>
    <s v=""/>
    <n v="4"/>
    <n v="12"/>
    <m/>
    <s v="C02"/>
    <s v="TSBXGP"/>
    <s v="N1GP"/>
    <n v="0.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24T00:00:00"/>
    <s v="ZBTT"/>
    <n v="9518627969"/>
    <n v="1"/>
    <s v="9518627969-1"/>
    <s v="No Priority"/>
    <x v="0"/>
    <m/>
    <x v="4"/>
    <x v="10"/>
    <s v="1000-IPPE"/>
    <m/>
    <x v="0"/>
    <m/>
    <s v="No allocation for IPP"/>
    <m/>
    <s v="South"/>
    <s v="VINJAMURU"/>
    <m/>
    <n v="188750"/>
    <s v="Colorshine Coated Pvt.Ltd."/>
    <n v="3973124"/>
    <s v="GL COIL HARD  Y550GL HGL2 0.440X1235"/>
    <s v="AZ200"/>
    <s v=""/>
    <n v="6"/>
    <n v="20"/>
    <m/>
    <s v="B04"/>
    <s v="Y550GL"/>
    <s v="HGL2"/>
    <n v="0.44"/>
    <n v="1235"/>
    <n v="0"/>
    <n v="280"/>
    <n v="0"/>
    <n v="280"/>
    <n v="280"/>
    <n v="280"/>
    <n v="0"/>
    <n v="0"/>
    <n v="0"/>
    <n v="0"/>
    <n v="0"/>
    <n v="0"/>
    <n v="0"/>
    <n v="0"/>
    <n v="0"/>
    <n v="0"/>
    <n v="0"/>
    <n v="0"/>
    <n v="0"/>
    <n v="0"/>
    <n v="0"/>
    <n v="0"/>
    <n v="0"/>
    <n v="0"/>
    <n v="0"/>
    <n v="0"/>
    <n v="0"/>
    <n v="0"/>
    <n v="0"/>
    <n v="0"/>
    <m/>
    <n v="0"/>
    <n v="0"/>
    <n v="0"/>
    <n v="0"/>
    <n v="0"/>
    <n v="0"/>
    <n v="0"/>
    <n v="0"/>
    <n v="0"/>
    <n v="0"/>
    <n v="0"/>
    <n v="0"/>
    <n v="0"/>
    <m/>
    <m/>
    <m/>
    <m/>
    <m/>
    <m/>
    <m/>
    <m/>
    <m/>
    <m/>
    <m/>
    <m/>
    <m/>
    <m/>
    <m/>
    <m/>
    <m/>
    <m/>
    <m/>
    <m/>
    <m/>
    <m/>
    <m/>
    <m/>
    <m/>
    <m/>
    <m/>
    <m/>
    <m/>
    <m/>
    <m/>
    <m/>
    <m/>
    <m/>
    <m/>
  </r>
  <r>
    <n v="742"/>
    <d v="2025-03-16T00:00:00"/>
    <s v="ZBTO"/>
    <n v="9518604323"/>
    <n v="18"/>
    <s v="9518604323-18"/>
    <s v="May'25"/>
    <x v="0"/>
    <s v="Yes"/>
    <x v="1"/>
    <x v="2"/>
    <s v="2000-BPRS"/>
    <m/>
    <x v="1"/>
    <m/>
    <m/>
    <m/>
    <s v="East"/>
    <s v="TANGI"/>
    <m/>
    <n v="117061"/>
    <s v="BHARTIA  DISTRIBUTORS PVT. LTD."/>
    <n v="3240863"/>
    <s v="CRCA SHEET TSBCRC SR15 1.500X1250X2500"/>
    <s v=" "/>
    <s v=""/>
    <n v="0.1"/>
    <n v="5"/>
    <m/>
    <s v="C06"/>
    <s v="TSBCRC"/>
    <s v="SR15"/>
    <n v="1.5"/>
    <n v="1250"/>
    <n v="2500"/>
    <n v="75"/>
    <n v="0"/>
    <n v="75"/>
    <n v="75"/>
    <n v="75"/>
    <n v="75"/>
    <n v="0"/>
    <n v="0"/>
    <n v="0"/>
    <n v="0"/>
    <n v="0"/>
    <n v="0"/>
    <n v="0"/>
    <n v="0"/>
    <n v="0"/>
    <n v="0"/>
    <n v="0"/>
    <n v="0"/>
    <n v="0"/>
    <n v="0"/>
    <n v="0"/>
    <n v="0"/>
    <n v="0"/>
    <n v="0"/>
    <n v="0"/>
    <n v="0"/>
    <n v="0"/>
    <n v="0"/>
    <n v="0"/>
    <m/>
    <n v="0"/>
    <n v="75"/>
    <n v="0"/>
    <n v="0"/>
    <n v="0"/>
    <n v="75"/>
    <n v="0"/>
    <n v="0"/>
    <n v="0"/>
    <n v="0"/>
    <n v="0"/>
    <n v="0"/>
    <n v="0"/>
    <m/>
    <m/>
    <m/>
    <m/>
    <m/>
    <m/>
    <m/>
    <m/>
    <m/>
    <m/>
    <m/>
    <m/>
    <m/>
    <m/>
    <m/>
    <m/>
    <m/>
    <m/>
    <m/>
    <m/>
    <m/>
    <m/>
    <m/>
    <m/>
    <m/>
    <m/>
    <m/>
    <m/>
    <m/>
    <m/>
    <m/>
    <m/>
    <m/>
    <m/>
    <m/>
  </r>
  <r>
    <n v="742"/>
    <d v="2025-02-03T00:00:00"/>
    <s v="ZBTO"/>
    <n v="9518490750"/>
    <n v="15"/>
    <s v="9518490750-15"/>
    <s v="May'25"/>
    <x v="0"/>
    <s v="Yes"/>
    <x v="1"/>
    <x v="2"/>
    <s v="2000-BPRS"/>
    <n v="5500"/>
    <x v="1"/>
    <m/>
    <m/>
    <m/>
    <s v="East"/>
    <s v="TANGI"/>
    <m/>
    <n v="117061"/>
    <s v="BHARTIA  DISTRIBUTORS PVT. LTD."/>
    <n v="3240863"/>
    <s v="CRCA SHEET TSBCRC SR15 1.500X1250X2500"/>
    <s v=" "/>
    <s v=""/>
    <n v="0.1"/>
    <n v="5"/>
    <m/>
    <s v="C06"/>
    <s v="TSBCRC"/>
    <s v="SR15"/>
    <n v="1.5"/>
    <n v="1250"/>
    <n v="2500"/>
    <n v="90"/>
    <n v="0"/>
    <n v="90"/>
    <n v="90"/>
    <n v="90"/>
    <n v="90"/>
    <n v="0"/>
    <n v="0"/>
    <n v="0"/>
    <n v="0"/>
    <n v="0"/>
    <n v="0"/>
    <n v="0"/>
    <n v="0"/>
    <n v="0"/>
    <n v="0"/>
    <n v="0"/>
    <n v="0"/>
    <n v="0"/>
    <n v="0"/>
    <n v="0"/>
    <n v="0"/>
    <n v="0"/>
    <n v="0"/>
    <n v="0"/>
    <n v="0"/>
    <n v="0"/>
    <n v="0"/>
    <n v="0"/>
    <m/>
    <n v="0"/>
    <n v="90"/>
    <n v="0"/>
    <n v="0"/>
    <n v="0"/>
    <n v="90"/>
    <n v="0"/>
    <n v="0"/>
    <n v="0"/>
    <n v="0"/>
    <n v="0"/>
    <n v="0"/>
    <n v="0"/>
    <m/>
    <m/>
    <m/>
    <m/>
    <m/>
    <m/>
    <m/>
    <m/>
    <m/>
    <m/>
    <m/>
    <m/>
    <m/>
    <m/>
    <m/>
    <m/>
    <m/>
    <m/>
    <m/>
    <m/>
    <m/>
    <m/>
    <m/>
    <m/>
    <m/>
    <m/>
    <m/>
    <m/>
    <m/>
    <m/>
    <m/>
    <m/>
    <m/>
    <m/>
    <m/>
  </r>
  <r>
    <n v="743"/>
    <d v="2025-03-27T00:00:00"/>
    <s v="ZBTO"/>
    <n v="9518644652"/>
    <n v="1"/>
    <s v="9518644652-1"/>
    <s v="May'25"/>
    <x v="0"/>
    <m/>
    <x v="4"/>
    <x v="5"/>
    <s v="1000-IPPE"/>
    <m/>
    <x v="1"/>
    <m/>
    <m/>
    <m/>
    <s v="West"/>
    <s v="SANAND"/>
    <m/>
    <n v="944226"/>
    <s v="PURSHOTAM PROFILES PRIVATE LIMITED"/>
    <n v="3982724"/>
    <s v="GL COIL HARD  Y550GL HGL6 0.900X1200"/>
    <s v="AZ150"/>
    <s v=""/>
    <n v="10"/>
    <n v="17"/>
    <m/>
    <s v="B04"/>
    <s v="Y550GL"/>
    <s v="HGL6"/>
    <n v="0.9"/>
    <n v="1200"/>
    <n v="0"/>
    <n v="297"/>
    <n v="0"/>
    <n v="297"/>
    <n v="297"/>
    <n v="31.711000000000013"/>
    <n v="297"/>
    <n v="0"/>
    <n v="0"/>
    <n v="0"/>
    <n v="0"/>
    <n v="0"/>
    <n v="3.544"/>
    <n v="0"/>
    <n v="0"/>
    <n v="0"/>
    <n v="0"/>
    <n v="0"/>
    <n v="0"/>
    <n v="0"/>
    <n v="0"/>
    <n v="0"/>
    <n v="12.870000000000001"/>
    <n v="0"/>
    <n v="26.565000000000001"/>
    <n v="222.31"/>
    <n v="265.28899999999999"/>
    <n v="265.28899999999999"/>
    <n v="0"/>
    <n v="265.28899999999999"/>
    <m/>
    <n v="44.765000000000001"/>
    <n v="262.72500000000002"/>
    <n v="262.72500000000002"/>
    <n v="0"/>
    <n v="0"/>
    <n v="0"/>
    <n v="0"/>
    <n v="0"/>
    <n v="0"/>
    <n v="0"/>
    <n v="0"/>
    <n v="0"/>
    <n v="0"/>
    <m/>
    <m/>
    <m/>
    <m/>
    <m/>
    <m/>
    <m/>
    <m/>
    <m/>
    <m/>
    <m/>
    <m/>
    <m/>
    <m/>
    <m/>
    <m/>
    <m/>
    <m/>
    <m/>
    <m/>
    <m/>
    <m/>
    <m/>
    <m/>
    <m/>
    <m/>
    <m/>
    <m/>
    <m/>
    <m/>
    <m/>
    <m/>
    <m/>
    <m/>
    <m/>
  </r>
  <r>
    <n v="743"/>
    <d v="2025-03-28T00:00:00"/>
    <s v="ZBTO"/>
    <n v="9518649017"/>
    <n v="1"/>
    <s v="9518649017-1"/>
    <s v="May'25"/>
    <x v="0"/>
    <s v="Yes"/>
    <x v="4"/>
    <x v="5"/>
    <s v="1000-IPPE"/>
    <m/>
    <x v="1"/>
    <m/>
    <m/>
    <m/>
    <s v="West"/>
    <s v="SANAND"/>
    <m/>
    <n v="944226"/>
    <s v="PURSHOTAM PROFILES PRIVATE LIMITED"/>
    <n v="3982724"/>
    <s v="GL COIL HARD  Y550GL HGL6 0.900X1200"/>
    <s v="AZ150"/>
    <s v=""/>
    <n v="10"/>
    <n v="17"/>
    <m/>
    <s v="B04"/>
    <s v="Y550GL"/>
    <s v="HGL6"/>
    <n v="0.9"/>
    <n v="1200"/>
    <n v="0"/>
    <n v="270"/>
    <n v="0"/>
    <n v="270"/>
    <n v="270"/>
    <n v="0"/>
    <n v="270"/>
    <n v="0"/>
    <n v="0"/>
    <n v="0"/>
    <n v="0"/>
    <n v="0"/>
    <n v="3.0350000000000001"/>
    <n v="0"/>
    <n v="42.234999999999999"/>
    <n v="0"/>
    <n v="0"/>
    <n v="0"/>
    <n v="0"/>
    <n v="0"/>
    <n v="0"/>
    <n v="0"/>
    <n v="31.985000000000003"/>
    <n v="0"/>
    <n v="0"/>
    <n v="183.53"/>
    <n v="260.78499999999997"/>
    <n v="260.78499999999997"/>
    <n v="270"/>
    <n v="530.78499999999997"/>
    <m/>
    <n v="63.72999999999999"/>
    <n v="230.19499999999999"/>
    <n v="230.19499999999999"/>
    <n v="0"/>
    <n v="0"/>
    <n v="0"/>
    <n v="0"/>
    <n v="0"/>
    <n v="0"/>
    <n v="0"/>
    <n v="0"/>
    <n v="0"/>
    <n v="0"/>
    <m/>
    <m/>
    <m/>
    <m/>
    <m/>
    <m/>
    <m/>
    <m/>
    <m/>
    <m/>
    <m/>
    <m/>
    <m/>
    <m/>
    <m/>
    <m/>
    <m/>
    <m/>
    <m/>
    <m/>
    <m/>
    <m/>
    <m/>
    <m/>
    <m/>
    <m/>
    <m/>
    <m/>
    <m/>
    <m/>
    <m/>
    <m/>
    <m/>
    <m/>
    <m/>
  </r>
  <r>
    <n v="743"/>
    <d v="2025-03-25T00:00:00"/>
    <s v="ZBTT"/>
    <n v="9518634002"/>
    <n v="1"/>
    <s v="9518634002-1"/>
    <s v="No Priority"/>
    <x v="0"/>
    <s v="Yes"/>
    <x v="3"/>
    <x v="4"/>
    <s v="2000-BPRS"/>
    <m/>
    <x v="0"/>
    <m/>
    <m/>
    <m/>
    <s v="East"/>
    <s v="GAUHATI"/>
    <m/>
    <n v="103671"/>
    <s v="BAJRANG STEEL (SALES) CORPORATION"/>
    <n v="3710431"/>
    <s v="GP COIL TATGPH GP02 0.630X900"/>
    <s v="Z120"/>
    <s v=""/>
    <n v="1"/>
    <n v="5"/>
    <m/>
    <s v="C05"/>
    <s v="TATGPH"/>
    <s v="GP02"/>
    <n v="0.63"/>
    <n v="900"/>
    <n v="0"/>
    <n v="21"/>
    <n v="0"/>
    <n v="21"/>
    <n v="21"/>
    <n v="21"/>
    <n v="0"/>
    <n v="0"/>
    <n v="0"/>
    <n v="0"/>
    <n v="0"/>
    <n v="0"/>
    <n v="0"/>
    <n v="0"/>
    <n v="0"/>
    <n v="0"/>
    <n v="0"/>
    <n v="0"/>
    <n v="0"/>
    <n v="0"/>
    <n v="0"/>
    <n v="0"/>
    <n v="0"/>
    <n v="0"/>
    <n v="0"/>
    <n v="0"/>
    <n v="0"/>
    <n v="0"/>
    <n v="0"/>
    <n v="0"/>
    <m/>
    <n v="0"/>
    <n v="0"/>
    <n v="0"/>
    <n v="0"/>
    <n v="0"/>
    <n v="0"/>
    <n v="0"/>
    <n v="0"/>
    <n v="0"/>
    <n v="0"/>
    <n v="0"/>
    <n v="0"/>
    <n v="0"/>
    <m/>
    <m/>
    <m/>
    <m/>
    <m/>
    <m/>
    <m/>
    <m/>
    <m/>
    <m/>
    <m/>
    <m/>
    <m/>
    <m/>
    <m/>
    <m/>
    <m/>
    <m/>
    <m/>
    <m/>
    <m/>
    <m/>
    <m/>
    <m/>
    <m/>
    <m/>
    <m/>
    <m/>
    <m/>
    <m/>
    <m/>
    <m/>
    <m/>
    <m/>
    <m/>
  </r>
  <r>
    <n v="742"/>
    <d v="2025-02-25T00:00:00"/>
    <s v="ZBTO"/>
    <n v="9518550511"/>
    <n v="6"/>
    <s v="9518550511-6"/>
    <s v="May'25"/>
    <x v="0"/>
    <s v="Yes"/>
    <x v="1"/>
    <x v="11"/>
    <s v="2000-BPRS"/>
    <m/>
    <x v="1"/>
    <m/>
    <m/>
    <m/>
    <s v="South"/>
    <s v="YESHWANTHPURA"/>
    <m/>
    <n v="939268"/>
    <s v="TATA STEEL DOWNSTREAM PRODUCTS LIMI"/>
    <n v="2420525"/>
    <s v="CRCA COIL TATXXD AH03 2X1250"/>
    <s v=" "/>
    <s v=""/>
    <n v="2"/>
    <n v="28"/>
    <m/>
    <s v="C01"/>
    <s v="TATXXD"/>
    <s v="AH03"/>
    <n v="2"/>
    <n v="1250"/>
    <n v="0"/>
    <n v="203"/>
    <n v="0"/>
    <n v="203"/>
    <n v="175.09"/>
    <n v="115.83999999999999"/>
    <n v="176.81"/>
    <n v="0"/>
    <n v="0"/>
    <n v="86.01"/>
    <n v="0"/>
    <n v="0"/>
    <n v="0"/>
    <n v="0"/>
    <n v="0"/>
    <n v="0"/>
    <n v="0"/>
    <n v="0"/>
    <n v="0"/>
    <n v="0"/>
    <n v="0"/>
    <n v="0"/>
    <n v="1.1500000000000001"/>
    <n v="0"/>
    <n v="0"/>
    <n v="0"/>
    <n v="87.160000000000011"/>
    <n v="87.160000000000011"/>
    <n v="0"/>
    <n v="87.160000000000011"/>
    <m/>
    <n v="0"/>
    <n v="176.81"/>
    <n v="0"/>
    <n v="176.81"/>
    <n v="0"/>
    <n v="0"/>
    <n v="0"/>
    <n v="176.81"/>
    <n v="0"/>
    <n v="176.81"/>
    <n v="0"/>
    <n v="0"/>
    <n v="0"/>
    <m/>
    <m/>
    <m/>
    <m/>
    <m/>
    <m/>
    <m/>
    <m/>
    <m/>
    <m/>
    <m/>
    <m/>
    <m/>
    <m/>
    <m/>
    <m/>
    <m/>
    <m/>
    <m/>
    <m/>
    <m/>
    <m/>
    <m/>
    <m/>
    <m/>
    <m/>
    <m/>
    <m/>
    <m/>
    <m/>
    <m/>
    <m/>
    <m/>
    <m/>
    <m/>
  </r>
  <r>
    <n v="742"/>
    <d v="2025-02-25T00:00:00"/>
    <s v="ZBTO"/>
    <n v="9518550511"/>
    <n v="7"/>
    <s v="9518550511-7"/>
    <s v="May'25"/>
    <x v="0"/>
    <s v="Yes"/>
    <x v="1"/>
    <x v="11"/>
    <s v="2000-BPRS"/>
    <m/>
    <x v="1"/>
    <m/>
    <m/>
    <m/>
    <s v="South"/>
    <s v="YESHWANTHPURA"/>
    <m/>
    <n v="939268"/>
    <s v="TATA STEEL DOWNSTREAM PRODUCTS LIMI"/>
    <n v="2420615"/>
    <s v="CRCA COIL TATXXD AH03 2.300X1250"/>
    <s v=" "/>
    <s v=""/>
    <n v="2"/>
    <n v="28"/>
    <m/>
    <s v="C01"/>
    <s v="TATXXD"/>
    <s v="AH03"/>
    <n v="2.2999999999999998"/>
    <n v="1250"/>
    <n v="0"/>
    <n v="58"/>
    <n v="0"/>
    <n v="58"/>
    <n v="58"/>
    <n v="58"/>
    <n v="58"/>
    <n v="0"/>
    <n v="0"/>
    <n v="0"/>
    <n v="0"/>
    <n v="0"/>
    <n v="0"/>
    <n v="0"/>
    <n v="0"/>
    <n v="0"/>
    <n v="0"/>
    <n v="0"/>
    <n v="0"/>
    <n v="0"/>
    <n v="0"/>
    <n v="0"/>
    <n v="0"/>
    <n v="0"/>
    <n v="0"/>
    <n v="0"/>
    <n v="0"/>
    <n v="0"/>
    <n v="0"/>
    <n v="0"/>
    <m/>
    <n v="0"/>
    <n v="58"/>
    <n v="0"/>
    <n v="0"/>
    <n v="58"/>
    <n v="0"/>
    <n v="0"/>
    <n v="0"/>
    <n v="0"/>
    <n v="0"/>
    <n v="0"/>
    <n v="0"/>
    <n v="0"/>
    <m/>
    <m/>
    <m/>
    <m/>
    <m/>
    <m/>
    <m/>
    <m/>
    <m/>
    <m/>
    <m/>
    <m/>
    <m/>
    <m/>
    <m/>
    <m/>
    <m/>
    <m/>
    <m/>
    <m/>
    <m/>
    <m/>
    <m/>
    <m/>
    <m/>
    <m/>
    <m/>
    <m/>
    <m/>
    <m/>
    <m/>
    <m/>
    <m/>
    <m/>
    <m/>
  </r>
  <r>
    <n v="744"/>
    <d v="2025-03-26T00:00:00"/>
    <s v="ZBTO"/>
    <n v="9518637488"/>
    <n v="1"/>
    <s v="9518637488-1"/>
    <s v="May'25"/>
    <x v="0"/>
    <s v="Yes"/>
    <x v="2"/>
    <x v="3"/>
    <s v="1000-IPPE"/>
    <m/>
    <x v="1"/>
    <m/>
    <m/>
    <m/>
    <s v="TBSPL"/>
    <s v=" "/>
    <m/>
    <n v="941597"/>
    <s v="TATA BLUESCOPE STEEL PRIVATE LIMITE"/>
    <n v="1633706"/>
    <s v="PPGL C Y550 HPL3 0.42BMT(0.50TPT)X1220"/>
    <s v="AZ150"/>
    <s v="RAL 9002 TSL 142A"/>
    <n v="3"/>
    <n v="5"/>
    <m/>
    <s v="B18"/>
    <s v="Y550PL"/>
    <s v="HPL3"/>
    <n v="0.42"/>
    <n v="1220"/>
    <n v="0"/>
    <n v="56"/>
    <n v="0"/>
    <n v="56"/>
    <n v="56"/>
    <n v="56"/>
    <n v="38.395000000000003"/>
    <n v="0"/>
    <n v="0"/>
    <n v="0"/>
    <n v="0"/>
    <n v="0"/>
    <n v="0"/>
    <n v="0"/>
    <n v="0"/>
    <n v="0"/>
    <n v="0"/>
    <n v="0"/>
    <n v="0"/>
    <n v="0"/>
    <n v="0"/>
    <n v="0"/>
    <n v="0"/>
    <n v="0"/>
    <n v="0"/>
    <n v="0"/>
    <n v="0"/>
    <n v="0"/>
    <n v="0"/>
    <n v="0"/>
    <m/>
    <n v="0"/>
    <n v="0"/>
    <n v="0"/>
    <n v="0"/>
    <n v="0"/>
    <n v="0"/>
    <n v="0"/>
    <n v="0"/>
    <n v="0"/>
    <n v="0"/>
    <n v="0"/>
    <n v="0"/>
    <n v="0"/>
    <m/>
    <m/>
    <m/>
    <m/>
    <m/>
    <m/>
    <m/>
    <m/>
    <m/>
    <m/>
    <m/>
    <m/>
    <m/>
    <m/>
    <m/>
    <m/>
    <m/>
    <m/>
    <m/>
    <m/>
    <m/>
    <m/>
    <m/>
    <m/>
    <m/>
    <m/>
    <m/>
    <m/>
    <m/>
    <m/>
    <m/>
    <m/>
    <m/>
    <m/>
    <m/>
  </r>
  <r>
    <n v="743"/>
    <d v="2025-03-28T00:00:00"/>
    <s v="ZBTO"/>
    <n v="9518648408"/>
    <n v="2"/>
    <s v="9518648408-2"/>
    <s v="May'25"/>
    <x v="0"/>
    <m/>
    <x v="3"/>
    <x v="14"/>
    <s v="2000-BPRS"/>
    <m/>
    <x v="1"/>
    <m/>
    <m/>
    <s v="Maharashtra"/>
    <s v="West"/>
    <s v="NAGPUR"/>
    <m/>
    <n v="930519"/>
    <s v="JAUSHNA STEELS (INDIA) PVT. LTD."/>
    <n v="1851101"/>
    <s v="GP COIL SOFT-TATXGP-GK09-0.5X1220"/>
    <s v="Z80"/>
    <s v=""/>
    <n v="3"/>
    <n v="5"/>
    <m/>
    <s v="C02"/>
    <s v="TATXGP"/>
    <s v="GK09"/>
    <n v="0.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3"/>
    <d v="2025-03-28T00:00:00"/>
    <s v="ZBTO"/>
    <n v="9518648408"/>
    <n v="3"/>
    <s v="9518648408-3"/>
    <s v="May'25"/>
    <x v="0"/>
    <m/>
    <x v="3"/>
    <x v="14"/>
    <s v="2000-BPRS"/>
    <m/>
    <x v="1"/>
    <m/>
    <m/>
    <s v="Maharashtra"/>
    <s v="West"/>
    <s v="NAGPUR"/>
    <m/>
    <n v="930519"/>
    <s v="JAUSHNA STEELS (INDIA) PVT. LTD."/>
    <n v="1334725"/>
    <s v="GP COIL SOFT-TATXGP-GK09-0.6X1220"/>
    <s v="Z80"/>
    <s v=""/>
    <n v="3"/>
    <n v="5.4"/>
    <m/>
    <s v="C02"/>
    <s v="TATXGP"/>
    <s v="GK09"/>
    <n v="0.6"/>
    <n v="1220"/>
    <n v="0"/>
    <n v="55.99"/>
    <n v="5.3949999999999996"/>
    <n v="50.594999999999999"/>
    <n v="50.594999999999999"/>
    <n v="50.594999999999999"/>
    <n v="50.594999999999999"/>
    <n v="0"/>
    <n v="0"/>
    <n v="0"/>
    <n v="0"/>
    <n v="0"/>
    <n v="0"/>
    <n v="0"/>
    <n v="0"/>
    <n v="0"/>
    <n v="0"/>
    <n v="0"/>
    <n v="0"/>
    <n v="0"/>
    <n v="0"/>
    <n v="0"/>
    <n v="0"/>
    <n v="0"/>
    <n v="0"/>
    <n v="0"/>
    <n v="0"/>
    <n v="0"/>
    <n v="0"/>
    <n v="0"/>
    <m/>
    <n v="0"/>
    <n v="50.594999999999999"/>
    <n v="0"/>
    <n v="0"/>
    <n v="50.594999999999999"/>
    <n v="0"/>
    <n v="0"/>
    <n v="0"/>
    <n v="0"/>
    <n v="0"/>
    <n v="0"/>
    <n v="0"/>
    <n v="0"/>
    <m/>
    <m/>
    <m/>
    <m/>
    <m/>
    <m/>
    <m/>
    <m/>
    <m/>
    <m/>
    <m/>
    <m/>
    <m/>
    <m/>
    <m/>
    <m/>
    <m/>
    <m/>
    <m/>
    <m/>
    <m/>
    <m/>
    <m/>
    <m/>
    <m/>
    <m/>
    <m/>
    <m/>
    <m/>
    <m/>
    <m/>
    <m/>
    <m/>
    <m/>
    <m/>
  </r>
  <r>
    <n v="742"/>
    <d v="2025-03-14T00:00:00"/>
    <s v="ZBTF"/>
    <n v="4000500995"/>
    <n v="5"/>
    <s v="4000500995-5"/>
    <s v="May'25"/>
    <x v="0"/>
    <m/>
    <x v="0"/>
    <x v="0"/>
    <s v="2000-BPRS"/>
    <m/>
    <x v="1"/>
    <m/>
    <m/>
    <m/>
    <s v="South"/>
    <s v="YESHWANTHPURA"/>
    <m/>
    <n v="600103"/>
    <s v="TATA STEEL LIMITED"/>
    <n v="1294719"/>
    <s v="HR COILS-POIS 1079 HR2  2.90X1250"/>
    <s v=" "/>
    <s v=""/>
    <n v="10"/>
    <n v="27"/>
    <m/>
    <n v="768"/>
    <s v="THR099"/>
    <s v="HR99"/>
    <n v="2.9"/>
    <n v="1250"/>
    <n v="0"/>
    <n v="50"/>
    <n v="0"/>
    <n v="50"/>
    <n v="50"/>
    <n v="0.37000000000000455"/>
    <n v="50"/>
    <n v="0"/>
    <n v="0"/>
    <n v="24.63"/>
    <n v="0"/>
    <n v="0"/>
    <n v="0"/>
    <n v="0"/>
    <n v="0"/>
    <n v="0"/>
    <n v="0"/>
    <n v="0"/>
    <n v="0"/>
    <n v="0"/>
    <n v="0"/>
    <n v="0"/>
    <n v="0"/>
    <n v="0"/>
    <n v="0"/>
    <n v="0"/>
    <n v="24.63"/>
    <n v="24.63"/>
    <n v="25"/>
    <n v="49.629999999999995"/>
    <m/>
    <n v="0"/>
    <n v="50"/>
    <n v="0"/>
    <n v="0"/>
    <n v="0"/>
    <n v="50"/>
    <n v="0"/>
    <n v="0"/>
    <n v="0"/>
    <n v="0"/>
    <n v="0"/>
    <n v="0"/>
    <n v="0"/>
    <m/>
    <m/>
    <m/>
    <m/>
    <m/>
    <m/>
    <m/>
    <m/>
    <m/>
    <m/>
    <m/>
    <m/>
    <m/>
    <m/>
    <m/>
    <m/>
    <m/>
    <m/>
    <m/>
    <m/>
    <m/>
    <m/>
    <m/>
    <m/>
    <m/>
    <m/>
    <m/>
    <m/>
    <m/>
    <m/>
    <m/>
    <m/>
    <m/>
    <m/>
    <m/>
  </r>
  <r>
    <n v="742"/>
    <d v="2025-03-14T00:00:00"/>
    <s v="ZBTF"/>
    <n v="4000500995"/>
    <n v="6"/>
    <s v="4000500995-6"/>
    <s v="May'25"/>
    <x v="0"/>
    <m/>
    <x v="0"/>
    <x v="0"/>
    <s v="2000-BPRS"/>
    <m/>
    <x v="1"/>
    <m/>
    <m/>
    <m/>
    <s v="South"/>
    <s v="YESHWANTHPURA"/>
    <m/>
    <n v="600103"/>
    <s v="TATA STEEL LIMITED"/>
    <n v="1294722"/>
    <s v="HR COILS-PO IS 1079 HR2 3.15X1250"/>
    <s v=" "/>
    <s v=""/>
    <n v="10"/>
    <n v="27"/>
    <m/>
    <n v="768"/>
    <s v="THR099"/>
    <s v="HR99"/>
    <n v="3.15"/>
    <n v="1250"/>
    <n v="0"/>
    <n v="50"/>
    <n v="0"/>
    <n v="50"/>
    <n v="50"/>
    <n v="50"/>
    <n v="50"/>
    <n v="0"/>
    <n v="0"/>
    <n v="0"/>
    <n v="0"/>
    <n v="0"/>
    <n v="0"/>
    <n v="0"/>
    <n v="0"/>
    <n v="0"/>
    <n v="0"/>
    <n v="0"/>
    <n v="0"/>
    <n v="0"/>
    <n v="0"/>
    <n v="0"/>
    <n v="0"/>
    <n v="0"/>
    <n v="0"/>
    <n v="0"/>
    <n v="0"/>
    <n v="0"/>
    <n v="0"/>
    <n v="0"/>
    <m/>
    <n v="0"/>
    <n v="50"/>
    <n v="0"/>
    <n v="0"/>
    <n v="0"/>
    <n v="50"/>
    <n v="0"/>
    <n v="0"/>
    <n v="0"/>
    <n v="0"/>
    <n v="0"/>
    <n v="0"/>
    <n v="0"/>
    <m/>
    <m/>
    <m/>
    <m/>
    <m/>
    <m/>
    <m/>
    <m/>
    <m/>
    <m/>
    <m/>
    <m/>
    <m/>
    <m/>
    <m/>
    <m/>
    <m/>
    <m/>
    <m/>
    <m/>
    <m/>
    <m/>
    <m/>
    <m/>
    <m/>
    <m/>
    <m/>
    <m/>
    <m/>
    <m/>
    <m/>
    <m/>
    <m/>
    <m/>
    <m/>
  </r>
  <r>
    <n v="743"/>
    <d v="2025-03-04T00:00:00"/>
    <s v="ZBTO"/>
    <n v="9518572041"/>
    <n v="4"/>
    <s v="9518572041-4"/>
    <s v="No Priority"/>
    <x v="0"/>
    <m/>
    <x v="3"/>
    <x v="0"/>
    <s v="2000-BPRS"/>
    <m/>
    <x v="0"/>
    <m/>
    <m/>
    <m/>
    <s v="East"/>
    <s v="TATANAGAR"/>
    <m/>
    <n v="165053"/>
    <s v="SUDISA ENTERPRISES (P) LTD."/>
    <n v="1852246"/>
    <s v="GP COIL SOFT-TSBXGP-N1GP-0.5X900"/>
    <s v="Z80"/>
    <s v=""/>
    <n v="4"/>
    <n v="12"/>
    <m/>
    <s v="C02"/>
    <s v="TSBXGP"/>
    <s v="N1GP"/>
    <n v="0.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2-11T00:00:00"/>
    <s v="ZBTO"/>
    <n v="9518510093"/>
    <n v="10"/>
    <s v="9518510093-10"/>
    <s v="No Priority"/>
    <x v="0"/>
    <m/>
    <x v="1"/>
    <x v="1"/>
    <s v="2000-BPRS"/>
    <m/>
    <x v="0"/>
    <m/>
    <m/>
    <m/>
    <s v="North"/>
    <s v="LONI"/>
    <m/>
    <n v="101499"/>
    <s v="G.R. GUPTA &amp; BROS."/>
    <n v="1804854"/>
    <s v="CRCA COIL-TATXXD-AU03-1.2X1250"/>
    <s v=" "/>
    <s v=""/>
    <n v="10"/>
    <n v="30"/>
    <m/>
    <s v="C01"/>
    <s v="TATXXD"/>
    <s v="AU03"/>
    <n v="1.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2-11T00:00:00"/>
    <s v="ZBTO"/>
    <n v="9518510093"/>
    <n v="11"/>
    <s v="9518510093-11"/>
    <s v="Stocks"/>
    <x v="0"/>
    <m/>
    <x v="1"/>
    <x v="1"/>
    <s v="2000-BPRS"/>
    <m/>
    <x v="1"/>
    <m/>
    <m/>
    <m/>
    <s v="North"/>
    <s v="LONI"/>
    <m/>
    <n v="101499"/>
    <s v="G.R. GUPTA &amp; BROS."/>
    <n v="2334995"/>
    <s v="CRCA COIL TATXXD AU03 1.500X1250"/>
    <s v=" "/>
    <s v=""/>
    <n v="10"/>
    <n v="30"/>
    <m/>
    <s v="C01"/>
    <s v="TATXXD"/>
    <s v="AU03"/>
    <n v="1.5"/>
    <n v="1250"/>
    <n v="0"/>
    <n v="29"/>
    <n v="0"/>
    <n v="29"/>
    <n v="0.32"/>
    <n v="0"/>
    <n v="3.4550000000000001"/>
    <n v="0"/>
    <n v="0"/>
    <n v="0"/>
    <n v="0"/>
    <n v="0"/>
    <n v="0"/>
    <n v="0"/>
    <n v="0"/>
    <n v="0"/>
    <n v="0"/>
    <n v="0"/>
    <n v="0"/>
    <n v="0"/>
    <n v="0"/>
    <n v="0"/>
    <n v="0"/>
    <n v="0"/>
    <n v="0"/>
    <n v="0"/>
    <n v="0"/>
    <n v="0"/>
    <n v="0"/>
    <n v="0"/>
    <m/>
    <n v="25.545000000000002"/>
    <n v="0"/>
    <n v="0"/>
    <n v="0"/>
    <n v="0"/>
    <n v="0"/>
    <n v="0"/>
    <n v="0"/>
    <n v="0"/>
    <n v="0"/>
    <n v="0"/>
    <n v="0"/>
    <n v="0"/>
    <m/>
    <m/>
    <m/>
    <m/>
    <m/>
    <m/>
    <m/>
    <m/>
    <m/>
    <m/>
    <m/>
    <m/>
    <m/>
    <m/>
    <m/>
    <m/>
    <m/>
    <m/>
    <m/>
    <m/>
    <m/>
    <m/>
    <m/>
    <m/>
    <m/>
    <m/>
    <m/>
    <m/>
    <m/>
    <m/>
    <m/>
    <m/>
    <m/>
    <m/>
    <m/>
  </r>
  <r>
    <n v="743"/>
    <d v="2025-02-25T00:00:00"/>
    <s v="ZBTO"/>
    <n v="9518550377"/>
    <n v="5"/>
    <s v="9518550377-5"/>
    <s v="No Priority"/>
    <x v="0"/>
    <m/>
    <x v="3"/>
    <x v="9"/>
    <s v="2000-BPRS"/>
    <m/>
    <x v="0"/>
    <m/>
    <m/>
    <m/>
    <s v="North"/>
    <s v="LONI"/>
    <m/>
    <n v="931234"/>
    <s v="JAI LAXMI STEELS"/>
    <n v="1854424"/>
    <s v="GP COIL SOFT-TATXGP-GK09-0.6X900"/>
    <s v="Z80"/>
    <s v=""/>
    <n v="4"/>
    <n v="6"/>
    <m/>
    <s v="C02"/>
    <s v="TATXGP"/>
    <s v="GK09"/>
    <n v="0.6"/>
    <n v="900"/>
    <n v="0"/>
    <n v="210"/>
    <n v="0"/>
    <n v="210"/>
    <n v="210"/>
    <n v="210"/>
    <n v="210"/>
    <n v="0"/>
    <n v="0"/>
    <n v="0"/>
    <n v="0"/>
    <n v="0"/>
    <n v="0"/>
    <n v="0"/>
    <n v="0"/>
    <n v="0"/>
    <n v="0"/>
    <n v="0"/>
    <n v="0"/>
    <n v="0"/>
    <n v="0"/>
    <n v="0"/>
    <n v="0"/>
    <n v="0"/>
    <n v="0"/>
    <n v="0"/>
    <n v="0"/>
    <n v="0"/>
    <n v="0"/>
    <n v="0"/>
    <m/>
    <n v="0"/>
    <n v="0"/>
    <n v="0"/>
    <n v="0"/>
    <n v="0"/>
    <n v="0"/>
    <n v="0"/>
    <n v="0"/>
    <n v="0"/>
    <n v="0"/>
    <n v="0"/>
    <n v="0"/>
    <n v="0"/>
    <m/>
    <m/>
    <m/>
    <m/>
    <m/>
    <m/>
    <m/>
    <m/>
    <m/>
    <m/>
    <m/>
    <m/>
    <m/>
    <m/>
    <m/>
    <m/>
    <m/>
    <m/>
    <m/>
    <m/>
    <m/>
    <m/>
    <m/>
    <m/>
    <m/>
    <m/>
    <m/>
    <m/>
    <m/>
    <m/>
    <m/>
    <m/>
    <m/>
    <m/>
    <m/>
  </r>
  <r>
    <n v="743"/>
    <d v="2025-02-17T00:00:00"/>
    <s v="ZBTO"/>
    <n v="9518527008"/>
    <n v="2"/>
    <s v="9518527008-2"/>
    <s v="No Priority"/>
    <x v="0"/>
    <m/>
    <x v="3"/>
    <x v="9"/>
    <s v="2000-BPRS"/>
    <m/>
    <x v="0"/>
    <m/>
    <m/>
    <m/>
    <s v="North"/>
    <s v="LONI"/>
    <m/>
    <n v="931234"/>
    <s v="JAI LAXMI STEELS"/>
    <n v="1191955"/>
    <s v="GP COIL SOFT-TATXGP-GK09-0.3X900"/>
    <s v="Z80"/>
    <s v=""/>
    <n v="4"/>
    <n v="6"/>
    <m/>
    <s v="C02"/>
    <s v="TATXGP"/>
    <s v="GK09"/>
    <n v="0.3"/>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4"/>
    <d v="2025-02-22T00:00:00"/>
    <s v="ZBTO"/>
    <n v="9518542873"/>
    <n v="6"/>
    <s v="9518542873-6"/>
    <s v="May'25"/>
    <x v="0"/>
    <m/>
    <x v="2"/>
    <x v="3"/>
    <s v="1000-IPPE"/>
    <m/>
    <x v="1"/>
    <m/>
    <m/>
    <m/>
    <s v="TBSPL"/>
    <s v=" "/>
    <m/>
    <n v="941597"/>
    <s v="TATA BLUESCOPE STEEL PRIVATE LIMITE"/>
    <n v="3624035"/>
    <s v="PPGL C Y550 HPL3 0.39BMT(0.47TPT)X1220"/>
    <s v="AZ150"/>
    <s v="SUPREME MAROON TSL 283"/>
    <n v="3"/>
    <n v="5"/>
    <m/>
    <s v="B18"/>
    <s v="Y550PL"/>
    <s v="HPL3"/>
    <n v="0.39"/>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2"/>
    <d v="2025-02-14T00:00:00"/>
    <s v="ZBTO"/>
    <n v="9518520213"/>
    <n v="8"/>
    <s v="9518520213-8"/>
    <s v="No Priority"/>
    <x v="0"/>
    <m/>
    <x v="1"/>
    <x v="2"/>
    <s v="2000-BPRS"/>
    <m/>
    <x v="0"/>
    <m/>
    <m/>
    <m/>
    <s v="East"/>
    <s v="PURNIA"/>
    <m/>
    <n v="103227"/>
    <s v="BMW VENTURES LIMITED"/>
    <n v="3239568"/>
    <s v="CRCA SHEET TATCRC SR16 0.450X1250X2500"/>
    <s v=" "/>
    <s v=""/>
    <n v="0"/>
    <n v="0"/>
    <m/>
    <s v="C06"/>
    <s v="TATCRC"/>
    <s v="SR16"/>
    <n v="0.45"/>
    <n v="1250"/>
    <n v="2500"/>
    <n v="36"/>
    <n v="25.215"/>
    <n v="10.785"/>
    <n v="10.785"/>
    <n v="10.785"/>
    <n v="10.785"/>
    <n v="0"/>
    <n v="0"/>
    <n v="0"/>
    <n v="0"/>
    <n v="0"/>
    <n v="0"/>
    <n v="0"/>
    <n v="0"/>
    <n v="0"/>
    <n v="0"/>
    <n v="0"/>
    <n v="0"/>
    <n v="0"/>
    <n v="0"/>
    <n v="0"/>
    <n v="0"/>
    <n v="0"/>
    <n v="0"/>
    <n v="0"/>
    <n v="0"/>
    <n v="0"/>
    <n v="0"/>
    <n v="0"/>
    <m/>
    <n v="0"/>
    <n v="0"/>
    <n v="0"/>
    <n v="0"/>
    <n v="0"/>
    <n v="0"/>
    <n v="0"/>
    <n v="0"/>
    <n v="0"/>
    <n v="0"/>
    <n v="0"/>
    <n v="0"/>
    <n v="0"/>
    <m/>
    <m/>
    <m/>
    <m/>
    <m/>
    <m/>
    <m/>
    <m/>
    <m/>
    <m/>
    <m/>
    <m/>
    <m/>
    <m/>
    <m/>
    <m/>
    <m/>
    <m/>
    <m/>
    <m/>
    <m/>
    <m/>
    <m/>
    <m/>
    <m/>
    <m/>
    <m/>
    <m/>
    <m/>
    <m/>
    <m/>
    <m/>
    <m/>
    <m/>
    <m/>
  </r>
  <r>
    <n v="742"/>
    <d v="2025-03-06T00:00:00"/>
    <s v="ZBTO"/>
    <n v="9518579878"/>
    <n v="7"/>
    <s v="9518579878-7"/>
    <s v="May'25"/>
    <x v="0"/>
    <s v="Yes"/>
    <x v="1"/>
    <x v="2"/>
    <s v="2000-BPRS"/>
    <m/>
    <x v="1"/>
    <m/>
    <m/>
    <m/>
    <s v="North"/>
    <s v="VARANASI"/>
    <m/>
    <n v="931525"/>
    <s v="INDIA STEEL INDUSTRIES"/>
    <n v="3240781"/>
    <s v="CRCA SHEET TSBCRC SR15 0.600X1250X2030"/>
    <s v=" "/>
    <s v=""/>
    <n v="0"/>
    <n v="0"/>
    <m/>
    <s v="C06"/>
    <s v="TSBCRC"/>
    <s v="SR15"/>
    <n v="0.6"/>
    <n v="1250"/>
    <n v="2030"/>
    <n v="27"/>
    <n v="0"/>
    <n v="27"/>
    <n v="27"/>
    <n v="3.7699999999999996"/>
    <n v="27"/>
    <n v="0"/>
    <n v="0"/>
    <n v="23.23"/>
    <n v="0"/>
    <n v="0"/>
    <n v="0"/>
    <n v="0"/>
    <n v="0"/>
    <n v="0"/>
    <n v="0"/>
    <n v="0"/>
    <n v="0"/>
    <n v="0"/>
    <n v="0"/>
    <n v="0"/>
    <n v="0"/>
    <n v="0"/>
    <n v="0"/>
    <n v="0"/>
    <n v="23.23"/>
    <n v="23.23"/>
    <n v="0"/>
    <n v="23.23"/>
    <m/>
    <n v="0"/>
    <n v="27"/>
    <n v="0"/>
    <n v="0"/>
    <n v="27"/>
    <n v="0"/>
    <n v="0"/>
    <n v="0"/>
    <n v="0"/>
    <n v="0"/>
    <n v="0"/>
    <n v="0"/>
    <n v="0"/>
    <m/>
    <m/>
    <m/>
    <m/>
    <m/>
    <m/>
    <m/>
    <m/>
    <m/>
    <m/>
    <m/>
    <m/>
    <m/>
    <m/>
    <m/>
    <m/>
    <m/>
    <m/>
    <m/>
    <m/>
    <m/>
    <m/>
    <m/>
    <m/>
    <m/>
    <m/>
    <m/>
    <m/>
    <m/>
    <m/>
    <m/>
    <m/>
    <m/>
    <m/>
    <m/>
  </r>
  <r>
    <n v="742"/>
    <d v="2025-03-11T00:00:00"/>
    <s v="ZBTO"/>
    <n v="9518591869"/>
    <n v="10"/>
    <s v="9518591869-10"/>
    <s v="No Priority"/>
    <x v="0"/>
    <m/>
    <x v="1"/>
    <x v="1"/>
    <s v="2000-BPRS"/>
    <m/>
    <x v="0"/>
    <m/>
    <m/>
    <m/>
    <s v="North"/>
    <s v="FARIDABAD"/>
    <m/>
    <n v="936527"/>
    <s v="SHORI LAL KEWAL KUMAR."/>
    <n v="1804854"/>
    <s v="CRCA COIL-TATXXD-AU03-1.2X1250"/>
    <s v=" "/>
    <s v=""/>
    <n v="10"/>
    <n v="30"/>
    <m/>
    <s v="C01"/>
    <s v="TATXXD"/>
    <s v="AU03"/>
    <n v="1.2"/>
    <n v="1250"/>
    <n v="0"/>
    <n v="29"/>
    <n v="0"/>
    <n v="29"/>
    <n v="29"/>
    <n v="29"/>
    <n v="0"/>
    <n v="0"/>
    <n v="0"/>
    <n v="0"/>
    <n v="0"/>
    <n v="0"/>
    <n v="0"/>
    <n v="0"/>
    <n v="0"/>
    <n v="0"/>
    <n v="0"/>
    <n v="0"/>
    <n v="0"/>
    <n v="0"/>
    <n v="0"/>
    <n v="0"/>
    <n v="0"/>
    <n v="0"/>
    <n v="0"/>
    <n v="0"/>
    <n v="0"/>
    <n v="0"/>
    <n v="0"/>
    <n v="0"/>
    <m/>
    <n v="0"/>
    <n v="0"/>
    <n v="0"/>
    <n v="0"/>
    <n v="0"/>
    <n v="0"/>
    <n v="0"/>
    <n v="0"/>
    <n v="0"/>
    <n v="0"/>
    <n v="0"/>
    <n v="0"/>
    <n v="0"/>
    <m/>
    <m/>
    <m/>
    <m/>
    <m/>
    <m/>
    <m/>
    <m/>
    <m/>
    <m/>
    <m/>
    <m/>
    <m/>
    <m/>
    <m/>
    <m/>
    <m/>
    <m/>
    <m/>
    <m/>
    <m/>
    <m/>
    <m/>
    <m/>
    <m/>
    <m/>
    <m/>
    <m/>
    <m/>
    <m/>
    <m/>
    <m/>
    <m/>
    <m/>
    <m/>
  </r>
  <r>
    <n v="743"/>
    <d v="2025-03-10T00:00:00"/>
    <s v="ZBTO"/>
    <n v="9518589716"/>
    <n v="6"/>
    <s v="9518589716-6"/>
    <s v="No Priority"/>
    <x v="0"/>
    <m/>
    <x v="3"/>
    <x v="9"/>
    <s v="2000-BPRS"/>
    <m/>
    <x v="0"/>
    <m/>
    <m/>
    <m/>
    <s v="North"/>
    <s v="KANPUR"/>
    <m/>
    <n v="933952"/>
    <s v="AGARWAL STEEL TRADERS"/>
    <n v="1854424"/>
    <s v="GP COIL SOFT-TATXGP-GK09-0.6X900"/>
    <s v="Z80"/>
    <s v=""/>
    <n v="3.2"/>
    <n v="5"/>
    <m/>
    <s v="C02"/>
    <s v="TATXGP"/>
    <s v="GK09"/>
    <n v="0.6"/>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3-15T00:00:00"/>
    <s v="ZBTO"/>
    <n v="9518602675"/>
    <n v="2"/>
    <s v="9518602675-2"/>
    <s v="May'25"/>
    <x v="0"/>
    <s v="Yes"/>
    <x v="3"/>
    <x v="9"/>
    <s v="2000-BPRS"/>
    <m/>
    <x v="1"/>
    <m/>
    <m/>
    <m/>
    <s v="East"/>
    <s v="WEST BOKARO"/>
    <m/>
    <n v="185794"/>
    <s v="Shree Bajrang Steel Udyog"/>
    <n v="1191956"/>
    <s v="GP COIL SOFT-TATXGP-GK09-0.35X900"/>
    <s v="Z80"/>
    <s v=""/>
    <n v="5"/>
    <n v="15"/>
    <m/>
    <s v="C02"/>
    <s v="TATXGP"/>
    <s v="GK09"/>
    <n v="0.35"/>
    <n v="900"/>
    <n v="0"/>
    <n v="147"/>
    <n v="0"/>
    <n v="147"/>
    <n v="147"/>
    <n v="147"/>
    <n v="147"/>
    <n v="0"/>
    <n v="0"/>
    <n v="0"/>
    <n v="0"/>
    <n v="0"/>
    <n v="0"/>
    <n v="0"/>
    <n v="0"/>
    <n v="0"/>
    <n v="0"/>
    <n v="0"/>
    <n v="0"/>
    <n v="0"/>
    <n v="0"/>
    <n v="0"/>
    <n v="0"/>
    <n v="0"/>
    <n v="0"/>
    <n v="0"/>
    <n v="0"/>
    <n v="0"/>
    <n v="0"/>
    <n v="0"/>
    <m/>
    <n v="0"/>
    <n v="147"/>
    <n v="0"/>
    <n v="0"/>
    <n v="147"/>
    <n v="0"/>
    <n v="0"/>
    <n v="0"/>
    <n v="0"/>
    <n v="0"/>
    <n v="0"/>
    <n v="0"/>
    <n v="0"/>
    <m/>
    <m/>
    <m/>
    <m/>
    <m/>
    <m/>
    <m/>
    <m/>
    <m/>
    <m/>
    <m/>
    <m/>
    <m/>
    <m/>
    <m/>
    <m/>
    <m/>
    <m/>
    <m/>
    <m/>
    <m/>
    <m/>
    <m/>
    <m/>
    <m/>
    <m/>
    <m/>
    <m/>
    <m/>
    <m/>
    <m/>
    <m/>
    <m/>
    <m/>
    <m/>
  </r>
  <r>
    <n v="742"/>
    <d v="2025-03-17T00:00:00"/>
    <s v="ZBTF"/>
    <n v="9518607093"/>
    <n v="1"/>
    <s v="9518607093-1"/>
    <s v="May'25"/>
    <x v="0"/>
    <m/>
    <x v="1"/>
    <x v="7"/>
    <s v="1000-IPPE"/>
    <m/>
    <x v="1"/>
    <m/>
    <m/>
    <m/>
    <s v="East"/>
    <s v="PILKHUWA"/>
    <m/>
    <n v="600250"/>
    <s v="TATA CENTER"/>
    <n v="2439203"/>
    <s v="CRCA COIL TSBSTA EL06 0.500X1160"/>
    <s v=" "/>
    <s v=""/>
    <n v="8"/>
    <n v="13"/>
    <m/>
    <s v="C01"/>
    <s v="TSBSTA"/>
    <s v="EL06"/>
    <n v="0.5"/>
    <n v="1160"/>
    <n v="0"/>
    <n v="297"/>
    <n v="186.64"/>
    <n v="110.36"/>
    <n v="110.36"/>
    <n v="61.674999999999997"/>
    <n v="110.36"/>
    <n v="0"/>
    <n v="0"/>
    <n v="0"/>
    <n v="21.45"/>
    <n v="0"/>
    <n v="0"/>
    <n v="0"/>
    <n v="0"/>
    <n v="0"/>
    <n v="0"/>
    <n v="27.235000000000003"/>
    <n v="0"/>
    <n v="0"/>
    <n v="0"/>
    <n v="0"/>
    <n v="0"/>
    <n v="0"/>
    <n v="0"/>
    <n v="0"/>
    <n v="48.685000000000002"/>
    <n v="48.685000000000002"/>
    <n v="0"/>
    <n v="48.685000000000002"/>
    <m/>
    <n v="0"/>
    <n v="110.36"/>
    <n v="0"/>
    <n v="0"/>
    <n v="110.36"/>
    <n v="0"/>
    <n v="0"/>
    <n v="0"/>
    <n v="0"/>
    <n v="0"/>
    <n v="0"/>
    <n v="0"/>
    <n v="0"/>
    <m/>
    <m/>
    <m/>
    <m/>
    <m/>
    <m/>
    <m/>
    <m/>
    <m/>
    <m/>
    <m/>
    <m/>
    <m/>
    <m/>
    <m/>
    <m/>
    <m/>
    <m/>
    <m/>
    <m/>
    <m/>
    <m/>
    <m/>
    <m/>
    <m/>
    <m/>
    <m/>
    <m/>
    <m/>
    <m/>
    <m/>
    <m/>
    <m/>
    <m/>
    <m/>
  </r>
  <r>
    <n v="743"/>
    <d v="2025-03-18T00:00:00"/>
    <s v="ZBTO"/>
    <n v="9518610550"/>
    <n v="1"/>
    <s v="9518610550-1"/>
    <s v="No Priority"/>
    <x v="0"/>
    <m/>
    <x v="3"/>
    <x v="9"/>
    <s v="2000-BPRS"/>
    <m/>
    <x v="0"/>
    <m/>
    <m/>
    <m/>
    <s v="North"/>
    <s v="SANHEWAL"/>
    <m/>
    <n v="185845"/>
    <s v="Malerkotla Steel Industries"/>
    <n v="1851054"/>
    <s v="GP COIL SOFT-TATXGP-GK09-0.2X900"/>
    <s v="Z80"/>
    <s v=""/>
    <n v="4"/>
    <n v="6"/>
    <m/>
    <s v="C02"/>
    <s v="TATXGP"/>
    <s v="GK09"/>
    <n v="0.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550"/>
    <n v="4"/>
    <s v="9518610550-4"/>
    <s v="No Priority"/>
    <x v="0"/>
    <m/>
    <x v="3"/>
    <x v="9"/>
    <s v="2000-BPRS"/>
    <m/>
    <x v="0"/>
    <m/>
    <m/>
    <m/>
    <s v="North"/>
    <s v="SANHEWAL"/>
    <m/>
    <n v="185845"/>
    <s v="Malerkotla Steel Industries"/>
    <n v="1191956"/>
    <s v="GP COIL SOFT-TATXGP-GK09-0.35X900"/>
    <s v="Z80"/>
    <s v=""/>
    <n v="4"/>
    <n v="6"/>
    <m/>
    <s v="C02"/>
    <s v="TATXGP"/>
    <s v="GK09"/>
    <n v="0.3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550"/>
    <n v="5"/>
    <s v="9518610550-5"/>
    <s v="No Priority"/>
    <x v="0"/>
    <m/>
    <x v="3"/>
    <x v="9"/>
    <s v="2000-BPRS"/>
    <m/>
    <x v="0"/>
    <m/>
    <m/>
    <m/>
    <s v="North"/>
    <s v="SANHEWAL"/>
    <m/>
    <n v="185845"/>
    <s v="Malerkotla Steel Industries"/>
    <n v="1178439"/>
    <s v="GP COIL SOFT-TATXGP-GK09-0.4X900"/>
    <s v="Z80"/>
    <s v=""/>
    <n v="4"/>
    <n v="6"/>
    <m/>
    <s v="C02"/>
    <s v="TATXGP"/>
    <s v="GK09"/>
    <n v="0.4"/>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550"/>
    <n v="7"/>
    <s v="9518610550-7"/>
    <s v="No Priority"/>
    <x v="0"/>
    <m/>
    <x v="3"/>
    <x v="9"/>
    <s v="2000-BPRS"/>
    <m/>
    <x v="0"/>
    <m/>
    <m/>
    <m/>
    <s v="North"/>
    <s v="SANHEWAL"/>
    <m/>
    <n v="185845"/>
    <s v="Malerkotla Steel Industries"/>
    <n v="1854413"/>
    <s v="GP COIL SOFT-TATXGP-GK09-0.45X900"/>
    <s v="Z80"/>
    <s v=""/>
    <n v="4"/>
    <n v="6"/>
    <m/>
    <s v="C02"/>
    <s v="TATXGP"/>
    <s v="GK09"/>
    <n v="0.4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550"/>
    <n v="8"/>
    <s v="9518610550-8"/>
    <s v="No Priority"/>
    <x v="0"/>
    <m/>
    <x v="3"/>
    <x v="9"/>
    <s v="2000-BPRS"/>
    <m/>
    <x v="0"/>
    <m/>
    <m/>
    <m/>
    <s v="North"/>
    <s v="SANHEWAL"/>
    <m/>
    <n v="185845"/>
    <s v="Malerkotla Steel Industries"/>
    <n v="1854414"/>
    <s v="GP COIL SOFT-TATXGP-GK09-0.45X1000"/>
    <s v="Z80"/>
    <s v=""/>
    <n v="4"/>
    <n v="6"/>
    <m/>
    <s v="C02"/>
    <s v="TATXGP"/>
    <s v="GK09"/>
    <n v="0.45"/>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550"/>
    <n v="10"/>
    <s v="9518610550-10"/>
    <s v="No Priority"/>
    <x v="0"/>
    <m/>
    <x v="3"/>
    <x v="9"/>
    <s v="2000-BPRS"/>
    <m/>
    <x v="0"/>
    <m/>
    <m/>
    <m/>
    <s v="North"/>
    <s v="SANHEWAL"/>
    <m/>
    <n v="185845"/>
    <s v="Malerkotla Steel Industries"/>
    <n v="1854418"/>
    <s v="GP COIL SOFT-TATXGP-GK09-0.5X900"/>
    <s v="Z80"/>
    <s v=""/>
    <n v="4"/>
    <n v="6"/>
    <m/>
    <s v="C02"/>
    <s v="TATXGP"/>
    <s v="GK09"/>
    <n v="0.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550"/>
    <n v="11"/>
    <s v="9518610550-11"/>
    <s v="No Priority"/>
    <x v="0"/>
    <m/>
    <x v="3"/>
    <x v="9"/>
    <s v="2000-BPRS"/>
    <m/>
    <x v="0"/>
    <m/>
    <m/>
    <m/>
    <s v="North"/>
    <s v="SANHEWAL"/>
    <m/>
    <n v="185845"/>
    <s v="Malerkotla Steel Industries"/>
    <n v="1178446"/>
    <s v="GP COIL SOFT-TATXGP-GK09-0.5X1000"/>
    <s v="Z80"/>
    <s v=""/>
    <n v="4"/>
    <n v="6"/>
    <m/>
    <s v="C02"/>
    <s v="TATXGP"/>
    <s v="GK09"/>
    <n v="0.5"/>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550"/>
    <n v="13"/>
    <s v="9518610550-13"/>
    <s v="No Priority"/>
    <x v="0"/>
    <m/>
    <x v="3"/>
    <x v="9"/>
    <s v="2000-BPRS"/>
    <m/>
    <x v="0"/>
    <m/>
    <m/>
    <m/>
    <s v="North"/>
    <s v="SANHEWAL"/>
    <m/>
    <n v="185845"/>
    <s v="Malerkotla Steel Industries"/>
    <n v="1854424"/>
    <s v="GP COIL SOFT-TATXGP-GK09-0.6X900"/>
    <s v="Z80"/>
    <s v=""/>
    <n v="4"/>
    <n v="6"/>
    <m/>
    <s v="C02"/>
    <s v="TATXGP"/>
    <s v="GK09"/>
    <n v="0.6"/>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88"/>
    <n v="8"/>
    <s v="9518569788-8"/>
    <s v="May'25"/>
    <x v="0"/>
    <s v="Yes"/>
    <x v="1"/>
    <x v="1"/>
    <s v="2000-BPRS"/>
    <m/>
    <x v="1"/>
    <m/>
    <m/>
    <m/>
    <s v="East"/>
    <s v="GUWAHATI"/>
    <m/>
    <n v="116649"/>
    <s v="SAGAR STEELS"/>
    <n v="1804814"/>
    <s v="CRCA COIL TATXXD AU03 0.8X1250"/>
    <s v=" "/>
    <s v=""/>
    <n v="7"/>
    <n v="12"/>
    <m/>
    <s v="C01"/>
    <s v="TATXXD"/>
    <s v="AU03"/>
    <n v="0.8"/>
    <n v="1250"/>
    <n v="0"/>
    <n v="58"/>
    <n v="40.270000000000003"/>
    <n v="17.73"/>
    <n v="17.73"/>
    <n v="17.73"/>
    <n v="17.73"/>
    <n v="0"/>
    <n v="0"/>
    <n v="0"/>
    <n v="0"/>
    <n v="0"/>
    <n v="0"/>
    <n v="0"/>
    <n v="0"/>
    <n v="0"/>
    <n v="0"/>
    <n v="0"/>
    <n v="0"/>
    <n v="0"/>
    <n v="0"/>
    <n v="0"/>
    <n v="0"/>
    <n v="0"/>
    <n v="0"/>
    <n v="0"/>
    <n v="0"/>
    <n v="0"/>
    <n v="0"/>
    <n v="0"/>
    <m/>
    <n v="0"/>
    <n v="17.73"/>
    <n v="0"/>
    <n v="0"/>
    <n v="0"/>
    <n v="17.73"/>
    <n v="0"/>
    <n v="0"/>
    <n v="0"/>
    <n v="0"/>
    <n v="0"/>
    <n v="0"/>
    <n v="0"/>
    <m/>
    <m/>
    <m/>
    <m/>
    <m/>
    <m/>
    <m/>
    <m/>
    <m/>
    <m/>
    <m/>
    <m/>
    <m/>
    <m/>
    <m/>
    <m/>
    <m/>
    <m/>
    <m/>
    <m/>
    <m/>
    <m/>
    <m/>
    <m/>
    <m/>
    <m/>
    <m/>
    <m/>
    <m/>
    <m/>
    <m/>
    <m/>
    <m/>
    <m/>
    <m/>
  </r>
  <r>
    <n v="743"/>
    <d v="2025-03-12T00:00:00"/>
    <s v="ZBTO"/>
    <n v="9518596806"/>
    <n v="2"/>
    <s v="9518596806-2"/>
    <s v="May'25"/>
    <x v="0"/>
    <s v="Yes"/>
    <x v="3"/>
    <x v="9"/>
    <s v="2000-BPRS"/>
    <m/>
    <x v="1"/>
    <m/>
    <m/>
    <m/>
    <s v="East"/>
    <s v=" "/>
    <m/>
    <n v="121328"/>
    <s v="R. S. BOKARO METAL (P) LTD."/>
    <n v="1191956"/>
    <s v="GP COIL SOFT-TATXGP-GK09-0.35X900"/>
    <s v="Z80"/>
    <s v=""/>
    <n v="4"/>
    <n v="12"/>
    <m/>
    <s v="C02"/>
    <s v="TATXGP"/>
    <s v="GK09"/>
    <n v="0.35"/>
    <n v="900"/>
    <n v="0"/>
    <n v="42"/>
    <n v="0"/>
    <n v="42"/>
    <n v="42"/>
    <n v="42"/>
    <n v="42"/>
    <n v="0"/>
    <n v="0"/>
    <n v="0"/>
    <n v="0"/>
    <n v="0"/>
    <n v="0"/>
    <n v="0"/>
    <n v="0"/>
    <n v="0"/>
    <n v="0"/>
    <n v="0"/>
    <n v="0"/>
    <n v="0"/>
    <n v="0"/>
    <n v="0"/>
    <n v="0"/>
    <n v="0"/>
    <n v="0"/>
    <n v="0"/>
    <n v="0"/>
    <n v="0"/>
    <n v="0"/>
    <n v="0"/>
    <m/>
    <n v="0"/>
    <n v="42"/>
    <n v="0"/>
    <n v="42"/>
    <n v="0"/>
    <n v="0"/>
    <n v="0"/>
    <n v="42"/>
    <n v="0"/>
    <n v="42"/>
    <n v="0"/>
    <n v="0"/>
    <n v="0"/>
    <m/>
    <m/>
    <m/>
    <m/>
    <m/>
    <m/>
    <m/>
    <m/>
    <m/>
    <m/>
    <m/>
    <m/>
    <m/>
    <m/>
    <m/>
    <m/>
    <m/>
    <m/>
    <m/>
    <m/>
    <m/>
    <m/>
    <m/>
    <m/>
    <m/>
    <m/>
    <m/>
    <m/>
    <m/>
    <m/>
    <m/>
    <m/>
    <m/>
    <m/>
    <m/>
  </r>
  <r>
    <n v="742"/>
    <d v="2025-03-16T00:00:00"/>
    <s v="ZBTO"/>
    <n v="9518604323"/>
    <n v="17"/>
    <s v="9518604323-17"/>
    <s v="May'25"/>
    <x v="0"/>
    <s v="Yes"/>
    <x v="1"/>
    <x v="2"/>
    <s v="2000-BPRS"/>
    <m/>
    <x v="1"/>
    <m/>
    <m/>
    <m/>
    <s v="East"/>
    <s v="TANGI"/>
    <m/>
    <n v="117061"/>
    <s v="BHARTIA  DISTRIBUTORS PVT. LTD."/>
    <n v="3240851"/>
    <s v="CRCA SHEET TSBCRC SR15 1.200X1250X2500"/>
    <s v=" "/>
    <s v=""/>
    <n v="0.1"/>
    <n v="5"/>
    <m/>
    <s v="C06"/>
    <s v="TSBCRC"/>
    <s v="SR15"/>
    <n v="1.2"/>
    <n v="1250"/>
    <n v="2500"/>
    <n v="30"/>
    <n v="0"/>
    <n v="30"/>
    <n v="30"/>
    <n v="30"/>
    <n v="30"/>
    <n v="0"/>
    <n v="0"/>
    <n v="0"/>
    <n v="0"/>
    <n v="0"/>
    <n v="0"/>
    <n v="0"/>
    <n v="0"/>
    <n v="0"/>
    <n v="0"/>
    <n v="0"/>
    <n v="0"/>
    <n v="0"/>
    <n v="0"/>
    <n v="0"/>
    <n v="0"/>
    <n v="0"/>
    <n v="0"/>
    <n v="0"/>
    <n v="0"/>
    <n v="0"/>
    <n v="0"/>
    <n v="0"/>
    <m/>
    <n v="0"/>
    <n v="30"/>
    <n v="0"/>
    <n v="0"/>
    <n v="30"/>
    <n v="0"/>
    <n v="0"/>
    <n v="0"/>
    <n v="0"/>
    <n v="0"/>
    <n v="0"/>
    <n v="0"/>
    <n v="0"/>
    <m/>
    <m/>
    <m/>
    <m/>
    <m/>
    <m/>
    <m/>
    <m/>
    <m/>
    <m/>
    <m/>
    <m/>
    <m/>
    <m/>
    <m/>
    <m/>
    <m/>
    <m/>
    <m/>
    <m/>
    <m/>
    <m/>
    <m/>
    <m/>
    <m/>
    <m/>
    <m/>
    <m/>
    <m/>
    <m/>
    <m/>
    <m/>
    <m/>
    <m/>
    <m/>
  </r>
  <r>
    <n v="743"/>
    <d v="2025-03-18T00:00:00"/>
    <s v="ZBTO"/>
    <n v="9518609974"/>
    <n v="2"/>
    <s v="9518609974-2"/>
    <s v="No Priority"/>
    <x v="0"/>
    <m/>
    <x v="3"/>
    <x v="9"/>
    <s v="2000-BPRS"/>
    <m/>
    <x v="0"/>
    <m/>
    <m/>
    <m/>
    <s v="North"/>
    <s v="LONI"/>
    <m/>
    <n v="183259"/>
    <s v="Rakesh Steel Inds.(P) Ltd."/>
    <n v="1851054"/>
    <s v="GP COIL SOFT-TATXGP-GK09-0.2X900"/>
    <s v="Z80"/>
    <s v=""/>
    <n v="4"/>
    <n v="6"/>
    <m/>
    <s v="C02"/>
    <s v="TATXGP"/>
    <s v="GK09"/>
    <n v="0.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234"/>
    <n v="1"/>
    <s v="9518612234-1"/>
    <s v="No Priority"/>
    <x v="0"/>
    <m/>
    <x v="3"/>
    <x v="9"/>
    <s v="2000-BPRS"/>
    <m/>
    <x v="0"/>
    <m/>
    <m/>
    <m/>
    <s v="North"/>
    <s v="LONI"/>
    <m/>
    <n v="931234"/>
    <s v="JAI LAXMI STEELS"/>
    <n v="1851065"/>
    <s v="GP COIL SOFT-TATXGP-GK09-0.25X900"/>
    <s v="Z80"/>
    <s v=""/>
    <n v="4"/>
    <n v="6"/>
    <m/>
    <s v="C02"/>
    <s v="TATXGP"/>
    <s v="GK09"/>
    <n v="0.2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4"/>
    <d v="2025-03-19T00:00:00"/>
    <s v="ZBTO"/>
    <n v="9518612385"/>
    <n v="8"/>
    <s v="9518612385-8"/>
    <s v="May'25"/>
    <x v="0"/>
    <s v="Yes"/>
    <x v="2"/>
    <x v="3"/>
    <s v="1000-IPPE"/>
    <m/>
    <x v="1"/>
    <m/>
    <m/>
    <m/>
    <s v="TBSPL"/>
    <s v="GAMHARIA"/>
    <m/>
    <n v="940016"/>
    <s v="TATA BLUESCOPE STEEL PVT LTD."/>
    <n v="3900141"/>
    <s v="PPGL C Y550 ISC6 0.43BMT(0.48TPT)X1220"/>
    <s v="aZ70"/>
    <s v="PRO BLACK TSL 1914"/>
    <n v="3"/>
    <n v="5"/>
    <m/>
    <s v="B18"/>
    <s v="Y550PL"/>
    <s v="ISC6"/>
    <n v="0.43"/>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742"/>
    <d v="2025-03-16T00:00:00"/>
    <s v="ZBTO"/>
    <n v="9518604323"/>
    <n v="7"/>
    <s v="9518604323-7"/>
    <s v="May'25"/>
    <x v="0"/>
    <s v="Yes"/>
    <x v="1"/>
    <x v="2"/>
    <s v="2000-BPRS"/>
    <m/>
    <x v="1"/>
    <m/>
    <m/>
    <m/>
    <s v="East"/>
    <s v="TANGI"/>
    <m/>
    <n v="117061"/>
    <s v="BHARTIA  DISTRIBUTORS PVT. LTD."/>
    <n v="3240765"/>
    <s v="CRCA SHEET TSBCRC SR15 0.500X1250X2500"/>
    <s v=" "/>
    <s v=""/>
    <n v="0.1"/>
    <n v="5"/>
    <m/>
    <s v="C06"/>
    <s v="TSBCRC"/>
    <s v="SR15"/>
    <n v="0.5"/>
    <n v="1250"/>
    <n v="2500"/>
    <n v="48"/>
    <n v="0"/>
    <n v="48"/>
    <n v="48"/>
    <n v="-5.7549999999999955"/>
    <n v="48"/>
    <n v="0"/>
    <n v="0"/>
    <n v="0"/>
    <n v="0"/>
    <n v="0"/>
    <n v="0"/>
    <n v="0"/>
    <n v="0"/>
    <n v="51.204999999999998"/>
    <n v="0"/>
    <n v="0"/>
    <n v="0"/>
    <n v="0"/>
    <n v="0"/>
    <n v="0"/>
    <n v="0"/>
    <n v="0"/>
    <n v="2.5500000000000003"/>
    <n v="0"/>
    <n v="53.754999999999995"/>
    <n v="53.754999999999995"/>
    <n v="0"/>
    <n v="53.754999999999995"/>
    <m/>
    <n v="13.5"/>
    <n v="48"/>
    <n v="48"/>
    <n v="0"/>
    <n v="0"/>
    <n v="0"/>
    <n v="0"/>
    <n v="0"/>
    <n v="0"/>
    <n v="0"/>
    <n v="0"/>
    <n v="0"/>
    <n v="0"/>
    <m/>
    <m/>
    <m/>
    <m/>
    <m/>
    <m/>
    <m/>
    <m/>
    <m/>
    <m/>
    <m/>
    <m/>
    <m/>
    <m/>
    <m/>
    <m/>
    <m/>
    <m/>
    <m/>
    <m/>
    <m/>
    <m/>
    <m/>
    <m/>
    <m/>
    <m/>
    <m/>
    <m/>
    <m/>
    <m/>
    <m/>
    <m/>
    <m/>
    <m/>
    <m/>
  </r>
  <r>
    <n v="742"/>
    <d v="2025-03-16T00:00:00"/>
    <s v="ZBTO"/>
    <n v="9518604323"/>
    <n v="9"/>
    <s v="9518604323-9"/>
    <s v="No Priority"/>
    <x v="0"/>
    <m/>
    <x v="1"/>
    <x v="2"/>
    <s v="2000-BPRS"/>
    <m/>
    <x v="0"/>
    <m/>
    <m/>
    <m/>
    <s v="East"/>
    <s v="TANGI"/>
    <m/>
    <n v="117061"/>
    <s v="BHARTIA  DISTRIBUTORS PVT. LTD."/>
    <n v="3240760"/>
    <s v="CRCA SHEET TSBCRC SR15 0.500X1000X2500"/>
    <s v=" "/>
    <s v=""/>
    <n v="0.1"/>
    <n v="5"/>
    <m/>
    <s v="C06"/>
    <s v="TSBCRC"/>
    <s v="SR15"/>
    <n v="0.5"/>
    <n v="1000"/>
    <n v="2500"/>
    <n v="3"/>
    <n v="0"/>
    <n v="3"/>
    <n v="3"/>
    <n v="3"/>
    <n v="3"/>
    <n v="0"/>
    <n v="0"/>
    <n v="0"/>
    <n v="0"/>
    <n v="0"/>
    <n v="0"/>
    <n v="0"/>
    <n v="0"/>
    <n v="0"/>
    <n v="0"/>
    <n v="0"/>
    <n v="0"/>
    <n v="0"/>
    <n v="0"/>
    <n v="0"/>
    <n v="0"/>
    <n v="0"/>
    <n v="0"/>
    <n v="0"/>
    <n v="0"/>
    <n v="0"/>
    <n v="0"/>
    <n v="0"/>
    <m/>
    <n v="0"/>
    <n v="0"/>
    <n v="0"/>
    <n v="0"/>
    <n v="0"/>
    <n v="0"/>
    <n v="0"/>
    <n v="0"/>
    <n v="0"/>
    <n v="0"/>
    <n v="0"/>
    <n v="0"/>
    <n v="0"/>
    <m/>
    <m/>
    <m/>
    <m/>
    <m/>
    <m/>
    <m/>
    <m/>
    <m/>
    <m/>
    <m/>
    <m/>
    <m/>
    <m/>
    <m/>
    <m/>
    <m/>
    <m/>
    <m/>
    <m/>
    <m/>
    <m/>
    <m/>
    <m/>
    <m/>
    <m/>
    <m/>
    <m/>
    <m/>
    <m/>
    <m/>
    <m/>
    <m/>
    <m/>
    <m/>
  </r>
  <r>
    <n v="742"/>
    <d v="2025-03-16T00:00:00"/>
    <s v="ZBTO"/>
    <n v="9518604323"/>
    <n v="11"/>
    <s v="9518604323-11"/>
    <s v="May'25"/>
    <x v="0"/>
    <s v="Yes"/>
    <x v="1"/>
    <x v="2"/>
    <s v="2000-BPRS"/>
    <m/>
    <x v="1"/>
    <m/>
    <m/>
    <m/>
    <s v="East"/>
    <s v="TANGI"/>
    <m/>
    <n v="117061"/>
    <s v="BHARTIA  DISTRIBUTORS PVT. LTD."/>
    <n v="3240786"/>
    <s v="CRCA SHEET TSBCRC SR15 0.700X1250X2500"/>
    <s v=" "/>
    <s v=""/>
    <n v="0.1"/>
    <n v="5"/>
    <m/>
    <s v="C06"/>
    <s v="TSBCRC"/>
    <s v="SR15"/>
    <n v="0.7"/>
    <n v="1250"/>
    <n v="2500"/>
    <n v="24"/>
    <n v="0"/>
    <n v="24"/>
    <n v="24"/>
    <n v="24"/>
    <n v="18.21"/>
    <n v="0"/>
    <n v="0"/>
    <n v="0"/>
    <n v="0"/>
    <n v="0"/>
    <n v="0"/>
    <n v="0"/>
    <n v="0"/>
    <n v="0"/>
    <n v="0"/>
    <n v="0"/>
    <n v="0"/>
    <n v="0"/>
    <n v="0"/>
    <n v="0"/>
    <n v="0"/>
    <n v="0"/>
    <n v="0"/>
    <n v="0"/>
    <n v="0"/>
    <n v="0"/>
    <n v="0"/>
    <n v="0"/>
    <m/>
    <n v="5.7899999999999991"/>
    <n v="18.21"/>
    <n v="0"/>
    <n v="0"/>
    <n v="18.21"/>
    <n v="0"/>
    <n v="0"/>
    <n v="0"/>
    <n v="0"/>
    <n v="0"/>
    <n v="0"/>
    <n v="0"/>
    <n v="0"/>
    <m/>
    <m/>
    <m/>
    <m/>
    <m/>
    <m/>
    <m/>
    <m/>
    <m/>
    <m/>
    <m/>
    <m/>
    <m/>
    <m/>
    <m/>
    <m/>
    <m/>
    <m/>
    <m/>
    <m/>
    <m/>
    <m/>
    <m/>
    <m/>
    <m/>
    <m/>
    <m/>
    <m/>
    <m/>
    <m/>
    <m/>
    <m/>
    <m/>
    <m/>
    <m/>
  </r>
  <r>
    <n v="742"/>
    <d v="2025-02-11T00:00:00"/>
    <s v="ZBTO"/>
    <n v="9518510371"/>
    <n v="2"/>
    <s v="9518510371-2"/>
    <s v="No Priority"/>
    <x v="0"/>
    <m/>
    <x v="1"/>
    <x v="2"/>
    <s v="2000-BPRS"/>
    <m/>
    <x v="0"/>
    <m/>
    <m/>
    <m/>
    <s v="North"/>
    <s v="GORAKHPUR"/>
    <m/>
    <n v="115841"/>
    <s v="O.V.S. ISPAT UDYOG"/>
    <n v="3239543"/>
    <s v="CRCA SHEET TATCRC SR16 0.350X1250X2500"/>
    <s v=" "/>
    <s v=""/>
    <n v="0"/>
    <n v="0"/>
    <m/>
    <s v="C06"/>
    <s v="TATCRC"/>
    <s v="SR16"/>
    <n v="0.35"/>
    <n v="1250"/>
    <n v="2500"/>
    <n v="39"/>
    <n v="25.08"/>
    <n v="13.92"/>
    <n v="13.92"/>
    <n v="13.92"/>
    <n v="13.92"/>
    <n v="0"/>
    <n v="0"/>
    <n v="0"/>
    <n v="0"/>
    <n v="0"/>
    <n v="0"/>
    <n v="0"/>
    <n v="0"/>
    <n v="0"/>
    <n v="0"/>
    <n v="0"/>
    <n v="0"/>
    <n v="0"/>
    <n v="0"/>
    <n v="0"/>
    <n v="0"/>
    <n v="0"/>
    <n v="0"/>
    <n v="0"/>
    <n v="0"/>
    <n v="0"/>
    <n v="0"/>
    <n v="0"/>
    <m/>
    <n v="0"/>
    <n v="0"/>
    <n v="0"/>
    <n v="0"/>
    <n v="0"/>
    <n v="0"/>
    <n v="0"/>
    <n v="0"/>
    <n v="0"/>
    <n v="0"/>
    <n v="0"/>
    <n v="0"/>
    <n v="0"/>
    <m/>
    <m/>
    <m/>
    <m/>
    <m/>
    <m/>
    <m/>
    <m/>
    <m/>
    <m/>
    <m/>
    <m/>
    <m/>
    <m/>
    <m/>
    <m/>
    <m/>
    <m/>
    <m/>
    <m/>
    <m/>
    <m/>
    <m/>
    <m/>
    <m/>
    <m/>
    <m/>
    <m/>
    <m/>
    <m/>
    <m/>
    <m/>
    <m/>
    <m/>
    <m/>
  </r>
  <r>
    <n v="743"/>
    <d v="2025-03-10T00:00:00"/>
    <s v="ZBTO"/>
    <n v="9518588324"/>
    <n v="2"/>
    <s v="9518588324-2"/>
    <s v="No Priority"/>
    <x v="0"/>
    <m/>
    <x v="4"/>
    <x v="10"/>
    <s v="1000-IPPE"/>
    <m/>
    <x v="0"/>
    <m/>
    <s v="No allocation for IPP"/>
    <m/>
    <s v="South"/>
    <s v="VINJAMURU"/>
    <m/>
    <n v="188750"/>
    <s v="Colorshine Coated Pvt.Ltd."/>
    <n v="3245089"/>
    <s v="GL COIL HARD  Y550GL H7GL 0.320X1245"/>
    <s v="aZ70"/>
    <s v=""/>
    <n v="6"/>
    <n v="20"/>
    <m/>
    <s v="B04"/>
    <s v="Y550GL"/>
    <s v="H7GL"/>
    <n v="0.32"/>
    <n v="1245"/>
    <n v="0"/>
    <n v="290"/>
    <n v="74.525000000000006"/>
    <n v="215.47499999999999"/>
    <n v="215.47499999999999"/>
    <n v="215.47499999999999"/>
    <n v="215.47499999999999"/>
    <n v="0"/>
    <n v="0"/>
    <n v="0"/>
    <n v="0"/>
    <n v="0"/>
    <n v="0"/>
    <n v="0"/>
    <n v="0"/>
    <n v="0"/>
    <n v="0"/>
    <n v="0"/>
    <n v="0"/>
    <n v="0"/>
    <n v="0"/>
    <n v="0"/>
    <n v="0"/>
    <n v="0"/>
    <n v="0"/>
    <n v="0"/>
    <n v="0"/>
    <n v="0"/>
    <n v="0"/>
    <n v="0"/>
    <m/>
    <n v="0"/>
    <n v="0"/>
    <n v="0"/>
    <n v="0"/>
    <n v="0"/>
    <n v="0"/>
    <n v="0"/>
    <n v="0"/>
    <n v="0"/>
    <n v="0"/>
    <n v="0"/>
    <n v="0"/>
    <n v="0"/>
    <m/>
    <m/>
    <m/>
    <m/>
    <m/>
    <m/>
    <m/>
    <m/>
    <m/>
    <m/>
    <m/>
    <m/>
    <m/>
    <m/>
    <m/>
    <m/>
    <m/>
    <m/>
    <m/>
    <m/>
    <m/>
    <m/>
    <m/>
    <m/>
    <m/>
    <m/>
    <m/>
    <m/>
    <m/>
    <m/>
    <m/>
    <m/>
    <m/>
    <m/>
    <m/>
  </r>
  <r>
    <n v="743"/>
    <d v="2025-03-10T00:00:00"/>
    <s v="ZBTO"/>
    <n v="9518588324"/>
    <n v="3"/>
    <s v="9518588324-3"/>
    <s v="No Priority"/>
    <x v="0"/>
    <m/>
    <x v="4"/>
    <x v="10"/>
    <s v="1000-IPPE"/>
    <m/>
    <x v="0"/>
    <m/>
    <s v="No allocation for IPP"/>
    <m/>
    <s v="South"/>
    <s v="VINJAMURU"/>
    <m/>
    <n v="188750"/>
    <s v="Colorshine Coated Pvt.Ltd."/>
    <n v="3245089"/>
    <s v="GL COIL HARD  Y550GL H7GL 0.320X1245"/>
    <s v="aZ70"/>
    <s v=""/>
    <n v="6"/>
    <n v="20"/>
    <m/>
    <s v="B04"/>
    <s v="Y550GL"/>
    <s v="H7GL"/>
    <n v="0.32"/>
    <n v="1245"/>
    <n v="0"/>
    <n v="290"/>
    <n v="0"/>
    <n v="290"/>
    <n v="290"/>
    <n v="290"/>
    <n v="290"/>
    <n v="0"/>
    <n v="0"/>
    <n v="0"/>
    <n v="0"/>
    <n v="0"/>
    <n v="0"/>
    <n v="0"/>
    <n v="0"/>
    <n v="0"/>
    <n v="0"/>
    <n v="0"/>
    <n v="0"/>
    <n v="0"/>
    <n v="0"/>
    <n v="0"/>
    <n v="0"/>
    <n v="0"/>
    <n v="0"/>
    <n v="0"/>
    <n v="0"/>
    <n v="0"/>
    <n v="0"/>
    <n v="0"/>
    <m/>
    <n v="0"/>
    <n v="0"/>
    <n v="0"/>
    <n v="0"/>
    <n v="0"/>
    <n v="0"/>
    <n v="0"/>
    <n v="0"/>
    <n v="0"/>
    <n v="0"/>
    <n v="0"/>
    <n v="0"/>
    <n v="0"/>
    <m/>
    <m/>
    <m/>
    <m/>
    <m/>
    <m/>
    <m/>
    <m/>
    <m/>
    <m/>
    <m/>
    <m/>
    <m/>
    <m/>
    <m/>
    <m/>
    <m/>
    <m/>
    <m/>
    <m/>
    <m/>
    <m/>
    <m/>
    <m/>
    <m/>
    <m/>
    <m/>
    <m/>
    <m/>
    <m/>
    <m/>
    <m/>
    <m/>
    <m/>
    <m/>
  </r>
  <r>
    <n v="743"/>
    <d v="2025-03-10T00:00:00"/>
    <s v="ZBTO"/>
    <n v="9518588324"/>
    <n v="4"/>
    <s v="9518588324-4"/>
    <s v="No Priority"/>
    <x v="0"/>
    <m/>
    <x v="4"/>
    <x v="10"/>
    <s v="1000-IPPE"/>
    <m/>
    <x v="0"/>
    <m/>
    <s v="No allocation for IPP"/>
    <m/>
    <s v="South"/>
    <s v="VINJAMURU"/>
    <m/>
    <n v="188750"/>
    <s v="Colorshine Coated Pvt.Ltd."/>
    <n v="3245089"/>
    <s v="GL COIL HARD  Y550GL H7GL 0.320X1245"/>
    <s v="aZ70"/>
    <s v=""/>
    <n v="6"/>
    <n v="20"/>
    <m/>
    <s v="B04"/>
    <s v="Y550GL"/>
    <s v="H7GL"/>
    <n v="0.32"/>
    <n v="1245"/>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1869"/>
    <n v="5"/>
    <s v="9518591869-5"/>
    <s v="No Priority"/>
    <x v="0"/>
    <m/>
    <x v="1"/>
    <x v="1"/>
    <s v="2000-BPRS"/>
    <m/>
    <x v="0"/>
    <m/>
    <m/>
    <m/>
    <s v="North"/>
    <s v="FARIDABAD"/>
    <m/>
    <n v="936527"/>
    <s v="SHORI LAL KEWAL KUMAR."/>
    <n v="1801456"/>
    <s v="CRCA COIL-TATXXD-AU03-0.7X1250"/>
    <s v=" "/>
    <s v=""/>
    <n v="10"/>
    <n v="30"/>
    <m/>
    <s v="C01"/>
    <s v="TATXXD"/>
    <s v="AU03"/>
    <n v="0.7"/>
    <n v="1250"/>
    <n v="0"/>
    <n v="58"/>
    <n v="0"/>
    <n v="58"/>
    <n v="58"/>
    <n v="58"/>
    <n v="0"/>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1869"/>
    <n v="13"/>
    <s v="9518591869-13"/>
    <s v="No Priority"/>
    <x v="0"/>
    <m/>
    <x v="1"/>
    <x v="1"/>
    <s v="2000-BPRS"/>
    <m/>
    <x v="0"/>
    <m/>
    <m/>
    <m/>
    <s v="North"/>
    <s v="FARIDABAD"/>
    <m/>
    <n v="936527"/>
    <s v="SHORI LAL KEWAL KUMAR."/>
    <n v="1804867"/>
    <s v="CRCA COIL-TATXXD-AU03-1.6X1250"/>
    <s v=" "/>
    <s v=""/>
    <n v="10"/>
    <n v="30"/>
    <m/>
    <s v="C01"/>
    <s v="TATXXD"/>
    <s v="AU03"/>
    <n v="1.6"/>
    <n v="1250"/>
    <n v="0"/>
    <n v="29"/>
    <n v="0"/>
    <n v="29"/>
    <n v="29"/>
    <n v="29"/>
    <n v="0"/>
    <n v="0"/>
    <n v="0"/>
    <n v="0"/>
    <n v="0"/>
    <n v="0"/>
    <n v="0"/>
    <n v="0"/>
    <n v="0"/>
    <n v="0"/>
    <n v="0"/>
    <n v="0"/>
    <n v="0"/>
    <n v="0"/>
    <n v="0"/>
    <n v="0"/>
    <n v="0"/>
    <n v="0"/>
    <n v="0"/>
    <n v="0"/>
    <n v="0"/>
    <n v="0"/>
    <n v="0"/>
    <n v="0"/>
    <m/>
    <n v="0"/>
    <n v="0"/>
    <n v="0"/>
    <n v="0"/>
    <n v="0"/>
    <n v="0"/>
    <n v="0"/>
    <n v="0"/>
    <n v="0"/>
    <n v="0"/>
    <n v="0"/>
    <n v="0"/>
    <n v="0"/>
    <m/>
    <m/>
    <m/>
    <m/>
    <m/>
    <m/>
    <m/>
    <m/>
    <m/>
    <m/>
    <m/>
    <m/>
    <m/>
    <m/>
    <m/>
    <m/>
    <m/>
    <m/>
    <m/>
    <m/>
    <m/>
    <m/>
    <m/>
    <m/>
    <m/>
    <m/>
    <m/>
    <m/>
    <m/>
    <m/>
    <m/>
    <m/>
    <m/>
    <m/>
    <m/>
  </r>
  <r>
    <n v="743"/>
    <d v="2025-03-17T00:00:00"/>
    <s v="ZBTO"/>
    <n v="9518607443"/>
    <n v="1"/>
    <s v="9518607443-1"/>
    <s v="May'25"/>
    <x v="0"/>
    <s v="Yes"/>
    <x v="3"/>
    <x v="9"/>
    <s v="2000-BPRS"/>
    <m/>
    <x v="1"/>
    <m/>
    <m/>
    <m/>
    <s v="East"/>
    <s v=" "/>
    <m/>
    <n v="121328"/>
    <s v="R. S. BOKARO METAL (P) LTD."/>
    <n v="1191955"/>
    <s v="GP COIL SOFT-TATXGP-GK09-0.3X900"/>
    <s v="Z80"/>
    <s v=""/>
    <n v="4"/>
    <n v="12"/>
    <m/>
    <s v="C02"/>
    <s v="TATXGP"/>
    <s v="GK09"/>
    <n v="0.3"/>
    <n v="900"/>
    <n v="0"/>
    <n v="21"/>
    <n v="0"/>
    <n v="21"/>
    <n v="21"/>
    <n v="21"/>
    <n v="21"/>
    <n v="0"/>
    <n v="0"/>
    <n v="0"/>
    <n v="0"/>
    <n v="0"/>
    <n v="0"/>
    <n v="0"/>
    <n v="0"/>
    <n v="0"/>
    <n v="0"/>
    <n v="0"/>
    <n v="0"/>
    <n v="0"/>
    <n v="0"/>
    <n v="0"/>
    <n v="0"/>
    <n v="0"/>
    <n v="0"/>
    <n v="0"/>
    <n v="0"/>
    <n v="0"/>
    <n v="0"/>
    <n v="0"/>
    <m/>
    <n v="0"/>
    <n v="21"/>
    <n v="0"/>
    <n v="0"/>
    <n v="21"/>
    <n v="0"/>
    <n v="0"/>
    <n v="0"/>
    <n v="0"/>
    <n v="0"/>
    <n v="0"/>
    <n v="0"/>
    <n v="0"/>
    <m/>
    <m/>
    <m/>
    <m/>
    <m/>
    <m/>
    <m/>
    <m/>
    <m/>
    <m/>
    <m/>
    <m/>
    <m/>
    <m/>
    <m/>
    <m/>
    <m/>
    <m/>
    <m/>
    <m/>
    <m/>
    <m/>
    <m/>
    <m/>
    <m/>
    <m/>
    <m/>
    <m/>
    <m/>
    <m/>
    <m/>
    <m/>
    <m/>
    <m/>
    <m/>
  </r>
  <r>
    <n v="742"/>
    <d v="2025-03-11T00:00:00"/>
    <s v="ZBTO"/>
    <n v="9518591869"/>
    <n v="12"/>
    <s v="9518591869-12"/>
    <s v="No Priority"/>
    <x v="0"/>
    <m/>
    <x v="1"/>
    <x v="1"/>
    <s v="2000-BPRS"/>
    <m/>
    <x v="0"/>
    <m/>
    <m/>
    <m/>
    <s v="North"/>
    <s v="FARIDABAD"/>
    <m/>
    <n v="936527"/>
    <s v="SHORI LAL KEWAL KUMAR."/>
    <n v="2334995"/>
    <s v="CRCA COIL TATXXD AU03 1.500X1250"/>
    <s v=" "/>
    <s v=""/>
    <n v="10"/>
    <n v="30"/>
    <m/>
    <s v="C01"/>
    <s v="TATXXD"/>
    <s v="AU03"/>
    <n v="1.5"/>
    <n v="1250"/>
    <n v="0"/>
    <n v="29"/>
    <n v="0"/>
    <n v="29"/>
    <n v="0.88"/>
    <n v="0"/>
    <n v="0"/>
    <n v="0"/>
    <n v="0"/>
    <n v="0"/>
    <n v="0"/>
    <n v="0"/>
    <n v="0"/>
    <n v="0"/>
    <n v="0"/>
    <n v="0"/>
    <n v="0"/>
    <n v="0"/>
    <n v="0"/>
    <n v="0"/>
    <n v="0"/>
    <n v="0"/>
    <n v="0"/>
    <n v="0"/>
    <n v="0"/>
    <n v="0"/>
    <n v="0"/>
    <n v="0"/>
    <n v="0"/>
    <n v="0"/>
    <m/>
    <n v="0"/>
    <n v="0"/>
    <n v="0"/>
    <n v="0"/>
    <n v="0"/>
    <n v="0"/>
    <n v="0"/>
    <n v="0"/>
    <n v="0"/>
    <n v="0"/>
    <n v="0"/>
    <n v="0"/>
    <n v="0"/>
    <m/>
    <m/>
    <m/>
    <m/>
    <m/>
    <m/>
    <m/>
    <m/>
    <m/>
    <m/>
    <m/>
    <m/>
    <m/>
    <m/>
    <m/>
    <m/>
    <m/>
    <m/>
    <m/>
    <m/>
    <m/>
    <m/>
    <m/>
    <m/>
    <m/>
    <m/>
    <m/>
    <m/>
    <m/>
    <m/>
    <m/>
    <m/>
    <m/>
    <m/>
    <m/>
  </r>
  <r>
    <n v="743"/>
    <d v="2025-03-05T00:00:00"/>
    <s v="ZBTO"/>
    <n v="9518576687"/>
    <n v="1"/>
    <s v="9518576687-1"/>
    <s v="No Priority"/>
    <x v="0"/>
    <m/>
    <x v="3"/>
    <x v="9"/>
    <s v="2000-BPRS"/>
    <m/>
    <x v="0"/>
    <m/>
    <m/>
    <m/>
    <s v="North"/>
    <s v="KANPUR"/>
    <m/>
    <n v="938789"/>
    <s v="JAIN STEEL DISTRIBUTORS"/>
    <n v="1851054"/>
    <s v="GP COIL SOFT-TATXGP-GK09-0.2X900"/>
    <s v="Z80"/>
    <s v=""/>
    <n v="3.2"/>
    <n v="5"/>
    <m/>
    <s v="C02"/>
    <s v="TATXGP"/>
    <s v="GK09"/>
    <n v="0.2"/>
    <n v="90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3"/>
    <d v="2025-03-04T00:00:00"/>
    <s v="ZBTO"/>
    <n v="9518572384"/>
    <n v="2"/>
    <s v="9518572384-2"/>
    <s v="May'25"/>
    <x v="0"/>
    <s v="Yes"/>
    <x v="3"/>
    <x v="9"/>
    <s v="2000-BPRS"/>
    <m/>
    <x v="1"/>
    <m/>
    <m/>
    <m/>
    <s v="East"/>
    <s v=" "/>
    <m/>
    <n v="121328"/>
    <s v="R. S. BOKARO METAL (P) LTD."/>
    <n v="1854418"/>
    <s v="GP COIL SOFT-TATXGP-GK09-0.5X900"/>
    <s v="Z80"/>
    <s v=""/>
    <n v="4"/>
    <n v="12"/>
    <m/>
    <s v="C02"/>
    <s v="TATXGP"/>
    <s v="GK09"/>
    <n v="0.5"/>
    <n v="900"/>
    <n v="0"/>
    <n v="105"/>
    <n v="0"/>
    <n v="105"/>
    <n v="105"/>
    <n v="105"/>
    <n v="105"/>
    <n v="0"/>
    <n v="0"/>
    <n v="0"/>
    <n v="0"/>
    <n v="0"/>
    <n v="0"/>
    <n v="0"/>
    <n v="0"/>
    <n v="0"/>
    <n v="0"/>
    <n v="0"/>
    <n v="0"/>
    <n v="0"/>
    <n v="0"/>
    <n v="0"/>
    <n v="0"/>
    <n v="0"/>
    <n v="0"/>
    <n v="0"/>
    <n v="0"/>
    <n v="0"/>
    <n v="0"/>
    <n v="0"/>
    <m/>
    <n v="0"/>
    <n v="105"/>
    <n v="0"/>
    <n v="105"/>
    <n v="0"/>
    <n v="0"/>
    <n v="0"/>
    <n v="105"/>
    <n v="0"/>
    <n v="105"/>
    <n v="0"/>
    <n v="0"/>
    <n v="0"/>
    <m/>
    <m/>
    <m/>
    <m/>
    <m/>
    <m/>
    <m/>
    <m/>
    <m/>
    <m/>
    <m/>
    <m/>
    <m/>
    <m/>
    <m/>
    <m/>
    <m/>
    <m/>
    <m/>
    <m/>
    <m/>
    <m/>
    <m/>
    <m/>
    <m/>
    <m/>
    <m/>
    <m/>
    <m/>
    <m/>
    <m/>
    <m/>
    <m/>
    <m/>
    <m/>
  </r>
  <r>
    <n v="744"/>
    <d v="2025-03-06T00:00:00"/>
    <s v="ZBTO"/>
    <n v="9518579960"/>
    <n v="1"/>
    <s v="9518579960-1"/>
    <s v="May'25"/>
    <x v="0"/>
    <s v="Yes"/>
    <x v="2"/>
    <x v="3"/>
    <s v="1000-IPPE"/>
    <n v="9000"/>
    <x v="1"/>
    <m/>
    <m/>
    <m/>
    <s v="TBSPL"/>
    <s v=" "/>
    <m/>
    <n v="941597"/>
    <s v="TATA BLUESCOPE STEEL PRIVATE LIMITE"/>
    <n v="1633706"/>
    <s v="PPGL C Y550 HPL3 0.42BMT(0.50TPT)X1220"/>
    <s v="AZ150"/>
    <s v="SUPREME R BLUE TSL 141"/>
    <n v="2"/>
    <n v="5"/>
    <m/>
    <s v="B18"/>
    <s v="Y550PL"/>
    <s v="HPL3"/>
    <n v="0.42"/>
    <n v="1220"/>
    <n v="0"/>
    <n v="251.99"/>
    <n v="231.535"/>
    <n v="20.454999999999998"/>
    <n v="20.454999999999998"/>
    <n v="20.454999999999998"/>
    <n v="20.454999999999998"/>
    <n v="0"/>
    <n v="0"/>
    <n v="0"/>
    <n v="0"/>
    <n v="0"/>
    <n v="0"/>
    <n v="0"/>
    <n v="0"/>
    <n v="0"/>
    <n v="0"/>
    <n v="0"/>
    <n v="0"/>
    <n v="0"/>
    <n v="0"/>
    <n v="0"/>
    <n v="0"/>
    <n v="0"/>
    <n v="0"/>
    <n v="0"/>
    <n v="0"/>
    <n v="0"/>
    <n v="0"/>
    <n v="0"/>
    <m/>
    <n v="0"/>
    <n v="0"/>
    <n v="0"/>
    <n v="0"/>
    <n v="0"/>
    <n v="0"/>
    <n v="0"/>
    <n v="0"/>
    <n v="0"/>
    <n v="0"/>
    <n v="0"/>
    <n v="0"/>
    <n v="0"/>
    <m/>
    <m/>
    <m/>
    <m/>
    <m/>
    <m/>
    <m/>
    <m/>
    <m/>
    <m/>
    <m/>
    <m/>
    <m/>
    <m/>
    <m/>
    <m/>
    <m/>
    <m/>
    <m/>
    <m/>
    <m/>
    <m/>
    <m/>
    <m/>
    <m/>
    <m/>
    <m/>
    <m/>
    <m/>
    <m/>
    <m/>
    <m/>
    <m/>
    <m/>
    <m/>
  </r>
  <r>
    <n v="742"/>
    <d v="2025-03-06T00:00:00"/>
    <s v="ZBTF"/>
    <n v="9518578746"/>
    <n v="1"/>
    <s v="9518578746-1"/>
    <s v="May'25"/>
    <x v="0"/>
    <s v="Yes"/>
    <x v="1"/>
    <x v="10"/>
    <s v="1000-IPPE"/>
    <m/>
    <x v="1"/>
    <m/>
    <m/>
    <m/>
    <s v="North"/>
    <s v="SANHEWAL"/>
    <m/>
    <n v="600250"/>
    <s v="TATA CENTER"/>
    <n v="3741588"/>
    <s v="CR COIL SA1010 TU97 1.150X1250"/>
    <s v=" "/>
    <s v=""/>
    <n v="16"/>
    <n v="27"/>
    <m/>
    <s v="C01"/>
    <s v="SA1010"/>
    <s v="TU97"/>
    <n v="1.1499999999999999"/>
    <n v="1250"/>
    <n v="0"/>
    <n v="340"/>
    <n v="309.64499999999998"/>
    <n v="30.355"/>
    <n v="30.355"/>
    <n v="2.8049999999999997"/>
    <n v="30.355"/>
    <n v="0"/>
    <n v="0"/>
    <n v="0"/>
    <n v="0"/>
    <n v="0"/>
    <n v="0"/>
    <n v="0"/>
    <n v="0"/>
    <n v="0"/>
    <n v="0"/>
    <n v="0"/>
    <n v="0"/>
    <n v="0"/>
    <n v="27.55"/>
    <n v="0"/>
    <n v="0"/>
    <n v="0"/>
    <n v="0"/>
    <n v="0"/>
    <n v="27.55"/>
    <n v="27.55"/>
    <n v="0"/>
    <n v="27.55"/>
    <m/>
    <n v="0"/>
    <n v="0"/>
    <n v="0"/>
    <n v="0"/>
    <n v="0"/>
    <n v="0"/>
    <n v="0"/>
    <n v="0"/>
    <n v="0"/>
    <n v="0"/>
    <n v="0"/>
    <n v="0"/>
    <n v="0"/>
    <m/>
    <m/>
    <m/>
    <m/>
    <m/>
    <m/>
    <m/>
    <m/>
    <m/>
    <m/>
    <m/>
    <m/>
    <m/>
    <m/>
    <m/>
    <m/>
    <m/>
    <m/>
    <m/>
    <m/>
    <m/>
    <m/>
    <m/>
    <m/>
    <m/>
    <m/>
    <m/>
    <m/>
    <m/>
    <m/>
    <m/>
    <m/>
    <m/>
    <m/>
    <m/>
  </r>
  <r>
    <n v="744"/>
    <d v="2025-02-18T00:00:00"/>
    <s v="ZBTT"/>
    <n v="4000498803"/>
    <n v="1"/>
    <s v="4000498803-1"/>
    <s v="No Priority"/>
    <x v="0"/>
    <m/>
    <x v="2"/>
    <x v="3"/>
    <s v="1000-IPPE"/>
    <m/>
    <x v="0"/>
    <m/>
    <m/>
    <m/>
    <s v="TBSPL"/>
    <s v="SADANGI"/>
    <m/>
    <n v="650744"/>
    <s v="Angul Color Coating Plant"/>
    <n v="2420668"/>
    <s v="PPGL PROF TRDHPL TRD2 0.600X1080"/>
    <s v="aZ70"/>
    <s v=""/>
    <n v="15"/>
    <n v="35"/>
    <m/>
    <s v="B20"/>
    <s v="TRDHPL"/>
    <s v="TRD2"/>
    <n v="0.6"/>
    <n v="1080"/>
    <n v="0"/>
    <n v="50"/>
    <n v="0"/>
    <n v="50"/>
    <n v="50"/>
    <n v="50"/>
    <n v="0"/>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8155"/>
    <n v="1"/>
    <s v="9518498155-1"/>
    <s v="No Priority"/>
    <x v="0"/>
    <m/>
    <x v="1"/>
    <x v="1"/>
    <s v="2000-BPRS"/>
    <m/>
    <x v="0"/>
    <m/>
    <m/>
    <m/>
    <s v="South"/>
    <s v="VISHAKHAPATNAM"/>
    <m/>
    <n v="946077"/>
    <s v="SITARAM IRON AND STEEL PVT LTD"/>
    <n v="1804912"/>
    <s v="CRCA COIL-TATCRC-TR15-0.6X900"/>
    <s v=" "/>
    <s v=""/>
    <n v="8"/>
    <n v="29"/>
    <m/>
    <s v="C01"/>
    <s v="TATCRC"/>
    <s v="TR15"/>
    <n v="0.6"/>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07T00:00:00"/>
    <s v="ZBTO"/>
    <n v="9518500284"/>
    <n v="3"/>
    <s v="9518500284-3"/>
    <s v="No Priority"/>
    <x v="0"/>
    <m/>
    <x v="4"/>
    <x v="5"/>
    <s v="1000-IPPE"/>
    <m/>
    <x v="0"/>
    <m/>
    <s v="Centre slit HR not available"/>
    <m/>
    <s v="South"/>
    <s v="VIKARABAD"/>
    <m/>
    <n v="947959"/>
    <s v="PENNAR INDUSTRIES LIMITED"/>
    <n v="3924555"/>
    <s v="GL COIL HARD  Y550GL HGL6 0.900X1045"/>
    <s v="AZ150"/>
    <s v=""/>
    <n v="7"/>
    <n v="15"/>
    <m/>
    <s v="B04"/>
    <s v="Y550GL"/>
    <s v="HGL6"/>
    <n v="0.9"/>
    <n v="1045"/>
    <n v="0"/>
    <n v="48"/>
    <n v="25.274999999999999"/>
    <n v="22.725000000000001"/>
    <n v="22.725000000000001"/>
    <n v="22.725000000000001"/>
    <n v="22.725000000000001"/>
    <n v="0"/>
    <n v="0"/>
    <n v="0"/>
    <n v="0"/>
    <n v="0"/>
    <n v="0"/>
    <n v="0"/>
    <n v="0"/>
    <n v="0"/>
    <n v="0"/>
    <n v="0"/>
    <n v="0"/>
    <n v="0"/>
    <n v="0"/>
    <n v="0"/>
    <n v="0"/>
    <n v="0"/>
    <n v="0"/>
    <n v="0"/>
    <n v="0"/>
    <n v="0"/>
    <n v="0"/>
    <n v="0"/>
    <m/>
    <n v="0"/>
    <n v="0"/>
    <n v="0"/>
    <n v="0"/>
    <n v="0"/>
    <n v="0"/>
    <n v="0"/>
    <n v="0"/>
    <n v="0"/>
    <n v="0"/>
    <n v="0"/>
    <n v="0"/>
    <n v="0"/>
    <m/>
    <m/>
    <m/>
    <m/>
    <m/>
    <m/>
    <m/>
    <m/>
    <m/>
    <m/>
    <m/>
    <m/>
    <m/>
    <m/>
    <m/>
    <m/>
    <m/>
    <m/>
    <m/>
    <m/>
    <m/>
    <m/>
    <m/>
    <m/>
    <m/>
    <m/>
    <m/>
    <m/>
    <m/>
    <m/>
    <m/>
    <m/>
    <m/>
    <m/>
    <m/>
  </r>
  <r>
    <n v="743"/>
    <d v="2025-02-25T00:00:00"/>
    <s v="ZBTO"/>
    <n v="9518551540"/>
    <n v="3"/>
    <s v="9518551540-3"/>
    <s v="No Priority"/>
    <x v="0"/>
    <m/>
    <x v="3"/>
    <x v="0"/>
    <s v="2000-BPRS"/>
    <m/>
    <x v="0"/>
    <m/>
    <m/>
    <m/>
    <s v="East"/>
    <s v="TATANAGAR"/>
    <m/>
    <n v="165053"/>
    <s v="SUDISA ENTERPRISES (P) LTD."/>
    <n v="1852012"/>
    <s v="GP COIL SOFT-TSBXGP-N1GP-0.4X900"/>
    <s v="Z80"/>
    <s v=""/>
    <n v="4"/>
    <n v="12"/>
    <m/>
    <s v="C02"/>
    <s v="TSBXGP"/>
    <s v="N1GP"/>
    <n v="0.4"/>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25T00:00:00"/>
    <s v="ZBTO"/>
    <n v="9518551540"/>
    <n v="4"/>
    <s v="9518551540-4"/>
    <s v="No Priority"/>
    <x v="0"/>
    <m/>
    <x v="3"/>
    <x v="0"/>
    <s v="2000-BPRS"/>
    <m/>
    <x v="0"/>
    <m/>
    <m/>
    <m/>
    <s v="East"/>
    <s v="TATANAGAR"/>
    <m/>
    <n v="165053"/>
    <s v="SUDISA ENTERPRISES (P) LTD."/>
    <n v="1852246"/>
    <s v="GP COIL SOFT-TSBXGP-N1GP-0.5X900"/>
    <s v="Z80"/>
    <s v=""/>
    <n v="4"/>
    <n v="12"/>
    <m/>
    <s v="C02"/>
    <s v="TSBXGP"/>
    <s v="N1GP"/>
    <n v="0.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2-14T00:00:00"/>
    <s v="ZBTO"/>
    <n v="9518520213"/>
    <n v="11"/>
    <s v="9518520213-11"/>
    <s v="No Priority"/>
    <x v="0"/>
    <m/>
    <x v="1"/>
    <x v="2"/>
    <s v="2000-BPRS"/>
    <m/>
    <x v="0"/>
    <m/>
    <s v="Exp BTF &lt;17MT"/>
    <m/>
    <s v="East"/>
    <s v="PURNIA"/>
    <m/>
    <n v="103227"/>
    <s v="BMW VENTURES LIMITED"/>
    <n v="3240760"/>
    <s v="CRCA SHEET TSBCRC SR15 0.500X1000X2500"/>
    <s v=" "/>
    <s v=""/>
    <n v="0"/>
    <n v="0"/>
    <m/>
    <s v="C06"/>
    <s v="TSBCRC"/>
    <s v="SR15"/>
    <n v="0.5"/>
    <n v="1000"/>
    <n v="2500"/>
    <n v="24"/>
    <n v="20.41"/>
    <n v="3.59"/>
    <n v="3.59"/>
    <n v="3.59"/>
    <n v="3.59"/>
    <n v="0"/>
    <n v="0"/>
    <n v="0"/>
    <n v="0"/>
    <n v="0"/>
    <n v="0"/>
    <n v="0"/>
    <n v="0"/>
    <n v="0"/>
    <n v="0"/>
    <n v="0"/>
    <n v="0"/>
    <n v="0"/>
    <n v="0"/>
    <n v="0"/>
    <n v="0"/>
    <n v="0"/>
    <n v="0"/>
    <n v="0"/>
    <n v="0"/>
    <n v="0"/>
    <n v="0"/>
    <n v="0"/>
    <m/>
    <n v="0"/>
    <n v="0"/>
    <n v="0"/>
    <n v="0"/>
    <n v="0"/>
    <n v="0"/>
    <n v="0"/>
    <n v="0"/>
    <n v="0"/>
    <n v="0"/>
    <n v="0"/>
    <n v="0"/>
    <n v="0"/>
    <m/>
    <m/>
    <m/>
    <m/>
    <m/>
    <m/>
    <m/>
    <m/>
    <m/>
    <m/>
    <m/>
    <m/>
    <m/>
    <m/>
    <m/>
    <m/>
    <m/>
    <m/>
    <m/>
    <m/>
    <m/>
    <m/>
    <m/>
    <m/>
    <m/>
    <m/>
    <m/>
    <m/>
    <m/>
    <m/>
    <m/>
    <m/>
    <m/>
    <m/>
    <m/>
  </r>
  <r>
    <n v="742"/>
    <d v="2025-02-03T00:00:00"/>
    <s v="ZBTO"/>
    <n v="9518490862"/>
    <n v="3"/>
    <s v="9518490862-3"/>
    <s v="No Priority"/>
    <x v="0"/>
    <m/>
    <x v="1"/>
    <x v="2"/>
    <s v="2000-BPRS"/>
    <m/>
    <x v="0"/>
    <m/>
    <m/>
    <m/>
    <s v="East"/>
    <s v="HOWRAH"/>
    <m/>
    <n v="925093"/>
    <s v="PSPL STEEL PROCESSORS PRIVATE LIMIT"/>
    <n v="3240760"/>
    <s v="CRCA SHEET TSBCRC SR15 0.500X1000X2500"/>
    <s v=" "/>
    <s v=""/>
    <n v="0"/>
    <n v="0"/>
    <m/>
    <s v="C06"/>
    <s v="TSBCRC"/>
    <s v="SR15"/>
    <n v="0.5"/>
    <n v="1000"/>
    <n v="2500"/>
    <n v="24"/>
    <n v="20.585000000000001"/>
    <n v="3.415"/>
    <n v="3.415"/>
    <n v="3.415"/>
    <n v="3.415"/>
    <n v="0"/>
    <n v="0"/>
    <n v="0"/>
    <n v="0"/>
    <n v="0"/>
    <n v="0"/>
    <n v="0"/>
    <n v="0"/>
    <n v="0"/>
    <n v="0"/>
    <n v="0"/>
    <n v="0"/>
    <n v="0"/>
    <n v="0"/>
    <n v="0"/>
    <n v="0"/>
    <n v="0"/>
    <n v="0"/>
    <n v="0"/>
    <n v="0"/>
    <n v="0"/>
    <n v="0"/>
    <n v="0"/>
    <m/>
    <n v="0"/>
    <n v="0"/>
    <n v="0"/>
    <n v="0"/>
    <n v="0"/>
    <n v="0"/>
    <n v="0"/>
    <n v="0"/>
    <n v="0"/>
    <n v="0"/>
    <n v="0"/>
    <n v="0"/>
    <n v="0"/>
    <m/>
    <m/>
    <m/>
    <m/>
    <m/>
    <m/>
    <m/>
    <m/>
    <m/>
    <m/>
    <m/>
    <m/>
    <m/>
    <m/>
    <m/>
    <m/>
    <m/>
    <m/>
    <m/>
    <m/>
    <m/>
    <m/>
    <m/>
    <m/>
    <m/>
    <m/>
    <m/>
    <m/>
    <m/>
    <m/>
    <m/>
    <m/>
    <m/>
    <m/>
    <m/>
  </r>
  <r>
    <n v="743"/>
    <d v="2025-02-14T00:00:00"/>
    <s v="ZBTO"/>
    <n v="9518519230"/>
    <n v="2"/>
    <s v="9518519230-2"/>
    <s v="No Priority"/>
    <x v="0"/>
    <m/>
    <x v="3"/>
    <x v="9"/>
    <s v="2000-BPRS"/>
    <m/>
    <x v="0"/>
    <m/>
    <m/>
    <m/>
    <s v="North"/>
    <s v="SANHEWAL"/>
    <m/>
    <n v="185845"/>
    <s v="Malerkotla Steel Industries"/>
    <n v="1851065"/>
    <s v="GP COIL SOFT-TATXGP-GK09-0.25X900"/>
    <s v="Z80"/>
    <s v=""/>
    <n v="4"/>
    <n v="6"/>
    <m/>
    <s v="C02"/>
    <s v="TATXGP"/>
    <s v="GK09"/>
    <n v="0.2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14T00:00:00"/>
    <s v="ZBTO"/>
    <n v="9518519230"/>
    <n v="4"/>
    <s v="9518519230-4"/>
    <s v="No Priority"/>
    <x v="0"/>
    <m/>
    <x v="3"/>
    <x v="9"/>
    <s v="2000-BPRS"/>
    <m/>
    <x v="0"/>
    <m/>
    <m/>
    <m/>
    <s v="North"/>
    <s v="SANHEWAL"/>
    <m/>
    <n v="185845"/>
    <s v="Malerkotla Steel Industries"/>
    <n v="1191955"/>
    <s v="GP COIL SOFT-TATXGP-GK09-0.3X900"/>
    <s v="Z80"/>
    <s v=""/>
    <n v="4"/>
    <n v="6"/>
    <m/>
    <s v="C02"/>
    <s v="TATXGP"/>
    <s v="GK09"/>
    <n v="0.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13T00:00:00"/>
    <s v="ZBTO"/>
    <n v="9518516044"/>
    <n v="1"/>
    <s v="9518516044-1"/>
    <s v="No Priority"/>
    <x v="0"/>
    <m/>
    <x v="3"/>
    <x v="9"/>
    <s v="2000-BPRS"/>
    <m/>
    <x v="0"/>
    <m/>
    <m/>
    <m/>
    <s v="North"/>
    <s v="LONI"/>
    <m/>
    <n v="931235"/>
    <s v="K D J P STEELS PVT LTD"/>
    <n v="1851054"/>
    <s v="GP COIL SOFT-TATXGP-GK09-0.2X900"/>
    <s v="Z80"/>
    <s v=""/>
    <n v="4"/>
    <n v="6"/>
    <m/>
    <s v="C02"/>
    <s v="TATXGP"/>
    <s v="GK09"/>
    <n v="0.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13T00:00:00"/>
    <s v="ZBTO"/>
    <n v="9518516044"/>
    <n v="3"/>
    <s v="9518516044-3"/>
    <s v="No Priority"/>
    <x v="0"/>
    <m/>
    <x v="3"/>
    <x v="9"/>
    <s v="2000-BPRS"/>
    <m/>
    <x v="0"/>
    <m/>
    <m/>
    <m/>
    <s v="North"/>
    <s v="LONI"/>
    <m/>
    <n v="931235"/>
    <s v="K D J P STEELS PVT LTD"/>
    <n v="1851065"/>
    <s v="GP COIL SOFT-TATXGP-GK09-0.25X900"/>
    <s v="Z80"/>
    <s v=""/>
    <n v="4"/>
    <n v="6"/>
    <m/>
    <s v="C02"/>
    <s v="TATXGP"/>
    <s v="GK09"/>
    <n v="0.2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2-17T00:00:00"/>
    <s v="ZBTO"/>
    <n v="9518525385"/>
    <n v="3"/>
    <s v="9518525385-3"/>
    <s v="No Priority"/>
    <x v="0"/>
    <m/>
    <x v="3"/>
    <x v="9"/>
    <s v="2000-BPRS"/>
    <m/>
    <x v="0"/>
    <m/>
    <m/>
    <m/>
    <s v="North"/>
    <s v="KANPUR"/>
    <m/>
    <n v="938789"/>
    <s v="JAIN STEEL DISTRIBUTORS"/>
    <n v="1191955"/>
    <s v="GP COIL SOFT-TATXGP-GK09-0.3X900"/>
    <s v="Z80"/>
    <s v=""/>
    <n v="3.2"/>
    <n v="5"/>
    <m/>
    <s v="C02"/>
    <s v="TATXGP"/>
    <s v="GK09"/>
    <n v="0.3"/>
    <n v="900"/>
    <n v="0"/>
    <n v="147"/>
    <n v="0"/>
    <n v="147"/>
    <n v="147"/>
    <n v="147"/>
    <n v="147"/>
    <n v="0"/>
    <n v="0"/>
    <n v="0"/>
    <n v="0"/>
    <n v="0"/>
    <n v="0"/>
    <n v="0"/>
    <n v="0"/>
    <n v="0"/>
    <n v="0"/>
    <n v="0"/>
    <n v="0"/>
    <n v="0"/>
    <n v="0"/>
    <n v="0"/>
    <n v="0"/>
    <n v="0"/>
    <n v="0"/>
    <n v="0"/>
    <n v="0"/>
    <n v="0"/>
    <n v="0"/>
    <n v="0"/>
    <m/>
    <n v="0"/>
    <n v="0"/>
    <n v="0"/>
    <n v="0"/>
    <n v="0"/>
    <n v="0"/>
    <n v="0"/>
    <n v="0"/>
    <n v="0"/>
    <n v="0"/>
    <n v="0"/>
    <n v="0"/>
    <n v="0"/>
    <m/>
    <m/>
    <m/>
    <m/>
    <m/>
    <m/>
    <m/>
    <m/>
    <m/>
    <m/>
    <m/>
    <m/>
    <m/>
    <m/>
    <m/>
    <m/>
    <m/>
    <m/>
    <m/>
    <m/>
    <m/>
    <m/>
    <m/>
    <m/>
    <m/>
    <m/>
    <m/>
    <m/>
    <m/>
    <m/>
    <m/>
    <m/>
    <m/>
    <m/>
    <m/>
  </r>
  <r>
    <n v="743"/>
    <d v="2025-02-13T00:00:00"/>
    <s v="ZBTO"/>
    <n v="9518516505"/>
    <n v="1"/>
    <s v="9518516505-1"/>
    <s v="No Priority"/>
    <x v="0"/>
    <m/>
    <x v="3"/>
    <x v="9"/>
    <s v="2000-BPRS"/>
    <m/>
    <x v="0"/>
    <m/>
    <m/>
    <m/>
    <s v="North"/>
    <s v="LONI"/>
    <m/>
    <n v="931235"/>
    <s v="K D J P STEELS PVT LTD"/>
    <n v="2427916"/>
    <s v="GP COIL SOFT TATXGP GLK1 0.420X900"/>
    <s v="Z80"/>
    <s v=""/>
    <n v="4"/>
    <n v="6"/>
    <m/>
    <s v="C02"/>
    <s v="TATXGP"/>
    <s v="GLK1"/>
    <n v="0.4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13T00:00:00"/>
    <s v="ZBTO"/>
    <n v="9518516069"/>
    <n v="4"/>
    <s v="9518516069-4"/>
    <s v="No Priority"/>
    <x v="0"/>
    <m/>
    <x v="3"/>
    <x v="9"/>
    <s v="2000-BPRS"/>
    <m/>
    <x v="0"/>
    <m/>
    <m/>
    <m/>
    <s v="North"/>
    <s v="LONI"/>
    <m/>
    <n v="931235"/>
    <s v="K D J P STEELS PVT LTD"/>
    <n v="1854424"/>
    <s v="GP COIL SOFT-TATXGP-GK09-0.6X900"/>
    <s v="Z80"/>
    <s v=""/>
    <n v="4"/>
    <n v="6"/>
    <m/>
    <s v="C02"/>
    <s v="TATXGP"/>
    <s v="GK09"/>
    <n v="0.6"/>
    <n v="900"/>
    <n v="0"/>
    <n v="126"/>
    <n v="0"/>
    <n v="126"/>
    <n v="126"/>
    <n v="126"/>
    <n v="126"/>
    <n v="0"/>
    <n v="0"/>
    <n v="0"/>
    <n v="0"/>
    <n v="0"/>
    <n v="0"/>
    <n v="0"/>
    <n v="0"/>
    <n v="0"/>
    <n v="0"/>
    <n v="0"/>
    <n v="0"/>
    <n v="0"/>
    <n v="0"/>
    <n v="0"/>
    <n v="0"/>
    <n v="0"/>
    <n v="0"/>
    <n v="0"/>
    <n v="0"/>
    <n v="0"/>
    <n v="0"/>
    <n v="0"/>
    <m/>
    <n v="0"/>
    <n v="0"/>
    <n v="0"/>
    <n v="0"/>
    <n v="0"/>
    <n v="0"/>
    <n v="0"/>
    <n v="0"/>
    <n v="0"/>
    <n v="0"/>
    <n v="0"/>
    <n v="0"/>
    <n v="0"/>
    <m/>
    <m/>
    <m/>
    <m/>
    <m/>
    <m/>
    <m/>
    <m/>
    <m/>
    <m/>
    <m/>
    <m/>
    <m/>
    <m/>
    <m/>
    <m/>
    <m/>
    <m/>
    <m/>
    <m/>
    <m/>
    <m/>
    <m/>
    <m/>
    <m/>
    <m/>
    <m/>
    <m/>
    <m/>
    <m/>
    <m/>
    <m/>
    <m/>
    <m/>
    <m/>
  </r>
  <r>
    <n v="743"/>
    <d v="2025-02-13T00:00:00"/>
    <s v="ZBTO"/>
    <n v="9518516069"/>
    <n v="5"/>
    <s v="9518516069-5"/>
    <s v="No Priority"/>
    <x v="0"/>
    <m/>
    <x v="3"/>
    <x v="9"/>
    <s v="2000-BPRS"/>
    <m/>
    <x v="0"/>
    <m/>
    <m/>
    <m/>
    <s v="North"/>
    <s v="LONI"/>
    <m/>
    <n v="931235"/>
    <s v="K D J P STEELS PVT LTD"/>
    <n v="1854429"/>
    <s v="GP COIL SOFT-TATXGP-GK09-0.63X900"/>
    <s v="Z80"/>
    <s v=""/>
    <n v="4"/>
    <n v="6"/>
    <m/>
    <s v="C02"/>
    <s v="TATXGP"/>
    <s v="GK09"/>
    <n v="0.63"/>
    <n v="900"/>
    <n v="0"/>
    <n v="126"/>
    <n v="0"/>
    <n v="126"/>
    <n v="126"/>
    <n v="126"/>
    <n v="126"/>
    <n v="0"/>
    <n v="0"/>
    <n v="0"/>
    <n v="0"/>
    <n v="0"/>
    <n v="0"/>
    <n v="0"/>
    <n v="0"/>
    <n v="0"/>
    <n v="0"/>
    <n v="0"/>
    <n v="0"/>
    <n v="0"/>
    <n v="0"/>
    <n v="0"/>
    <n v="0"/>
    <n v="0"/>
    <n v="0"/>
    <n v="0"/>
    <n v="0"/>
    <n v="0"/>
    <n v="0"/>
    <n v="0"/>
    <m/>
    <n v="0"/>
    <n v="0"/>
    <n v="0"/>
    <n v="0"/>
    <n v="0"/>
    <n v="0"/>
    <n v="0"/>
    <n v="0"/>
    <n v="0"/>
    <n v="0"/>
    <n v="0"/>
    <n v="0"/>
    <n v="0"/>
    <m/>
    <m/>
    <m/>
    <m/>
    <m/>
    <m/>
    <m/>
    <m/>
    <m/>
    <m/>
    <m/>
    <m/>
    <m/>
    <m/>
    <m/>
    <m/>
    <m/>
    <m/>
    <m/>
    <m/>
    <m/>
    <m/>
    <m/>
    <m/>
    <m/>
    <m/>
    <m/>
    <m/>
    <m/>
    <m/>
    <m/>
    <m/>
    <m/>
    <m/>
    <m/>
  </r>
  <r>
    <n v="743"/>
    <d v="2025-02-22T00:00:00"/>
    <s v="ZBTO"/>
    <n v="9518542035"/>
    <n v="1"/>
    <s v="9518542035-1"/>
    <s v="No Priority"/>
    <x v="0"/>
    <m/>
    <x v="3"/>
    <x v="9"/>
    <s v="2000-BPRS"/>
    <m/>
    <x v="0"/>
    <m/>
    <m/>
    <m/>
    <s v="North"/>
    <s v="JAIPUR"/>
    <m/>
    <n v="117583"/>
    <s v="BIHANI ENTERPRISES"/>
    <n v="1326486"/>
    <s v="GP COIL SOFT-TATXGP-GK09-0.3X1000"/>
    <s v="Z80"/>
    <s v=""/>
    <n v="5"/>
    <n v="7"/>
    <m/>
    <s v="C02"/>
    <s v="TATXGP"/>
    <s v="GK09"/>
    <n v="0.3"/>
    <n v="1000"/>
    <n v="0"/>
    <n v="69"/>
    <n v="21.05"/>
    <n v="47.95"/>
    <n v="47.95"/>
    <n v="47.95"/>
    <n v="47.95"/>
    <n v="0"/>
    <n v="0"/>
    <n v="0"/>
    <n v="0"/>
    <n v="0"/>
    <n v="0"/>
    <n v="0"/>
    <n v="0"/>
    <n v="0"/>
    <n v="0"/>
    <n v="0"/>
    <n v="0"/>
    <n v="0"/>
    <n v="0"/>
    <n v="0"/>
    <n v="0"/>
    <n v="0"/>
    <n v="0"/>
    <n v="0"/>
    <n v="0"/>
    <n v="0"/>
    <n v="0"/>
    <n v="0"/>
    <m/>
    <n v="0"/>
    <n v="0"/>
    <n v="0"/>
    <n v="0"/>
    <n v="0"/>
    <n v="0"/>
    <n v="0"/>
    <n v="0"/>
    <n v="0"/>
    <n v="0"/>
    <n v="0"/>
    <n v="0"/>
    <n v="0"/>
    <m/>
    <m/>
    <m/>
    <m/>
    <m/>
    <m/>
    <m/>
    <m/>
    <m/>
    <m/>
    <m/>
    <m/>
    <m/>
    <m/>
    <m/>
    <m/>
    <m/>
    <m/>
    <m/>
    <m/>
    <m/>
    <m/>
    <m/>
    <m/>
    <m/>
    <m/>
    <m/>
    <m/>
    <m/>
    <m/>
    <m/>
    <m/>
    <m/>
    <m/>
    <m/>
  </r>
  <r>
    <n v="743"/>
    <d v="2025-03-04T00:00:00"/>
    <s v="ZBTO"/>
    <n v="9518572041"/>
    <n v="1"/>
    <s v="9518572041-1"/>
    <s v="No Priority"/>
    <x v="0"/>
    <s v="Yes"/>
    <x v="3"/>
    <x v="0"/>
    <s v="2000-BPRS"/>
    <m/>
    <x v="0"/>
    <m/>
    <m/>
    <m/>
    <s v="East"/>
    <s v="TATANAGAR"/>
    <m/>
    <n v="165053"/>
    <s v="SUDISA ENTERPRISES (P) LTD."/>
    <n v="1851815"/>
    <s v="GP COIL SOFT-TSBXGP-N1GP-0.28X900"/>
    <s v="Z80"/>
    <s v=""/>
    <n v="4"/>
    <n v="12"/>
    <m/>
    <s v="C02"/>
    <s v="TSBXGP"/>
    <s v="N1GP"/>
    <n v="0.2800000000000000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2-25T00:00:00"/>
    <s v="ZBTO"/>
    <n v="9518550511"/>
    <n v="4"/>
    <s v="9518550511-4"/>
    <s v="May'25"/>
    <x v="0"/>
    <s v="Yes"/>
    <x v="1"/>
    <x v="11"/>
    <s v="2000-BPRS"/>
    <m/>
    <x v="1"/>
    <m/>
    <m/>
    <m/>
    <s v="South"/>
    <s v="YESHWANTHPURA"/>
    <m/>
    <n v="939268"/>
    <s v="TATA STEEL DOWNSTREAM PRODUCTS LIMI"/>
    <n v="2420521"/>
    <s v="CRCA COIL TATXXD AH03 1.200X1250"/>
    <s v=" "/>
    <s v=""/>
    <n v="2"/>
    <n v="28"/>
    <m/>
    <s v="C01"/>
    <s v="TATXXD"/>
    <s v="AH03"/>
    <n v="1.2"/>
    <n v="1250"/>
    <n v="0"/>
    <n v="116"/>
    <n v="26.12"/>
    <n v="89.88"/>
    <n v="89.88"/>
    <n v="4.1999999999999886"/>
    <n v="89.88"/>
    <n v="0"/>
    <n v="0"/>
    <n v="85.68"/>
    <n v="0"/>
    <n v="0"/>
    <n v="0"/>
    <n v="0"/>
    <n v="0"/>
    <n v="0"/>
    <n v="0"/>
    <n v="0"/>
    <n v="0"/>
    <n v="0"/>
    <n v="0"/>
    <n v="0"/>
    <n v="0"/>
    <n v="0"/>
    <n v="0"/>
    <n v="0"/>
    <n v="85.68"/>
    <n v="85.68"/>
    <n v="0"/>
    <n v="85.68"/>
    <m/>
    <n v="0"/>
    <n v="89.88"/>
    <n v="0"/>
    <n v="89.88"/>
    <n v="0"/>
    <n v="0"/>
    <n v="0"/>
    <n v="89.88"/>
    <n v="0"/>
    <n v="89.88"/>
    <n v="0"/>
    <n v="0"/>
    <n v="0"/>
    <m/>
    <m/>
    <m/>
    <m/>
    <m/>
    <m/>
    <m/>
    <m/>
    <m/>
    <m/>
    <m/>
    <m/>
    <m/>
    <m/>
    <m/>
    <m/>
    <m/>
    <m/>
    <m/>
    <m/>
    <m/>
    <m/>
    <m/>
    <m/>
    <m/>
    <m/>
    <m/>
    <m/>
    <m/>
    <m/>
    <m/>
    <m/>
    <m/>
    <m/>
    <m/>
  </r>
  <r>
    <n v="743"/>
    <d v="2025-02-06T00:00:00"/>
    <s v="ZBTO"/>
    <n v="9518497512"/>
    <n v="1"/>
    <s v="9518497512-1"/>
    <s v="No Priority"/>
    <x v="0"/>
    <s v="Yes"/>
    <x v="3"/>
    <x v="0"/>
    <s v="2000-BPRS"/>
    <m/>
    <x v="0"/>
    <m/>
    <m/>
    <m/>
    <s v="East"/>
    <s v="TATANAGAR"/>
    <m/>
    <n v="165053"/>
    <s v="SUDISA ENTERPRISES (P) LTD."/>
    <n v="1851815"/>
    <s v="GP COIL SOFT-TSBXGP-N1GP-0.28X900"/>
    <s v="Z80"/>
    <s v=""/>
    <n v="4"/>
    <n v="12"/>
    <m/>
    <s v="C02"/>
    <s v="TSBXGP"/>
    <s v="N1GP"/>
    <n v="0.28000000000000003"/>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06T00:00:00"/>
    <s v="ZBTO"/>
    <n v="9518497512"/>
    <n v="3"/>
    <s v="9518497512-3"/>
    <s v="No Priority"/>
    <x v="0"/>
    <m/>
    <x v="3"/>
    <x v="0"/>
    <s v="2000-BPRS"/>
    <m/>
    <x v="0"/>
    <m/>
    <m/>
    <m/>
    <s v="East"/>
    <s v="TATANAGAR"/>
    <m/>
    <n v="165053"/>
    <s v="SUDISA ENTERPRISES (P) LTD."/>
    <n v="1852012"/>
    <s v="GP COIL SOFT-TSBXGP-N1GP-0.4X900"/>
    <s v="Z80"/>
    <s v=""/>
    <n v="4"/>
    <n v="12"/>
    <m/>
    <s v="C02"/>
    <s v="TSBXGP"/>
    <s v="N1GP"/>
    <n v="0.4"/>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05T00:00:00"/>
    <s v="ZBTO"/>
    <n v="9518495509"/>
    <n v="1"/>
    <s v="9518495509-1"/>
    <s v="No Priority"/>
    <x v="0"/>
    <m/>
    <x v="3"/>
    <x v="9"/>
    <s v="2000-BPRS"/>
    <m/>
    <x v="0"/>
    <m/>
    <m/>
    <m/>
    <s v="North"/>
    <s v="KANPUR"/>
    <m/>
    <n v="933952"/>
    <s v="AGARWAL STEEL TRADERS"/>
    <n v="1851054"/>
    <s v="GP COIL SOFT-TATXGP-GK09-0.2X900"/>
    <s v="Z80"/>
    <s v=""/>
    <n v="3.2"/>
    <n v="5"/>
    <m/>
    <s v="C02"/>
    <s v="TATXGP"/>
    <s v="GK09"/>
    <n v="0.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06T00:00:00"/>
    <s v="ZBTO"/>
    <n v="9518498761"/>
    <n v="6"/>
    <s v="9518498761-6"/>
    <s v="May'25"/>
    <x v="0"/>
    <s v="Yes"/>
    <x v="3"/>
    <x v="9"/>
    <s v="2000-BPRS"/>
    <m/>
    <x v="1"/>
    <m/>
    <m/>
    <m/>
    <s v="East"/>
    <s v=" "/>
    <m/>
    <n v="121328"/>
    <s v="R. S. BOKARO METAL (P) LTD."/>
    <n v="1854413"/>
    <s v="GP COIL SOFT-TATXGP-GK09-0.45X900"/>
    <s v="Z80"/>
    <s v=""/>
    <n v="4"/>
    <n v="12"/>
    <m/>
    <s v="C02"/>
    <s v="TATXGP"/>
    <s v="GK09"/>
    <n v="0.45"/>
    <n v="900"/>
    <n v="0"/>
    <n v="21"/>
    <n v="0"/>
    <n v="21"/>
    <n v="21"/>
    <n v="21"/>
    <n v="21"/>
    <n v="0"/>
    <n v="0"/>
    <n v="0"/>
    <n v="0"/>
    <n v="0"/>
    <n v="0"/>
    <n v="0"/>
    <n v="0"/>
    <n v="0"/>
    <n v="0"/>
    <n v="0"/>
    <n v="0"/>
    <n v="0"/>
    <n v="0"/>
    <n v="0"/>
    <n v="0"/>
    <n v="0"/>
    <n v="0"/>
    <n v="0"/>
    <n v="0"/>
    <n v="0"/>
    <n v="0"/>
    <n v="0"/>
    <m/>
    <n v="0"/>
    <n v="21"/>
    <n v="0"/>
    <n v="21"/>
    <n v="0"/>
    <n v="0"/>
    <n v="0"/>
    <n v="21"/>
    <n v="0"/>
    <n v="21"/>
    <n v="0"/>
    <n v="0"/>
    <n v="0"/>
    <m/>
    <m/>
    <m/>
    <m/>
    <m/>
    <m/>
    <m/>
    <m/>
    <m/>
    <m/>
    <m/>
    <m/>
    <m/>
    <m/>
    <m/>
    <m/>
    <m/>
    <m/>
    <m/>
    <m/>
    <m/>
    <m/>
    <m/>
    <m/>
    <m/>
    <m/>
    <m/>
    <m/>
    <m/>
    <m/>
    <m/>
    <m/>
    <m/>
    <m/>
    <m/>
  </r>
  <r>
    <n v="743"/>
    <d v="2025-02-13T00:00:00"/>
    <s v="ZBTO"/>
    <n v="9518516044"/>
    <n v="5"/>
    <s v="9518516044-5"/>
    <s v="No Priority"/>
    <x v="0"/>
    <m/>
    <x v="3"/>
    <x v="9"/>
    <s v="2000-BPRS"/>
    <m/>
    <x v="0"/>
    <m/>
    <m/>
    <m/>
    <s v="North"/>
    <s v="LONI"/>
    <m/>
    <n v="931235"/>
    <s v="K D J P STEELS PVT LTD"/>
    <n v="1854421"/>
    <s v="GP COIL SOFT-TATXGP-GK09-0.55X900"/>
    <s v="Z80"/>
    <s v=""/>
    <n v="4"/>
    <n v="6"/>
    <m/>
    <s v="C02"/>
    <s v="TATXGP"/>
    <s v="GK09"/>
    <n v="0.55000000000000004"/>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2-13T00:00:00"/>
    <s v="ZBTO"/>
    <n v="9518516044"/>
    <n v="6"/>
    <s v="9518516044-6"/>
    <s v="No Priority"/>
    <x v="0"/>
    <m/>
    <x v="3"/>
    <x v="9"/>
    <s v="2000-BPRS"/>
    <m/>
    <x v="0"/>
    <m/>
    <m/>
    <m/>
    <s v="North"/>
    <s v="LONI"/>
    <m/>
    <n v="931235"/>
    <s v="K D J P STEELS PVT LTD"/>
    <n v="1854413"/>
    <s v="GP COIL SOFT-TATXGP-GK09-0.45X900"/>
    <s v="Z80"/>
    <s v=""/>
    <n v="4"/>
    <n v="6"/>
    <m/>
    <s v="C02"/>
    <s v="TATXGP"/>
    <s v="GK09"/>
    <n v="0.45"/>
    <n v="90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3"/>
    <d v="2025-02-03T00:00:00"/>
    <s v="ZBTO"/>
    <n v="9518490997"/>
    <n v="2"/>
    <s v="9518490997-2"/>
    <s v="No Priority"/>
    <x v="0"/>
    <m/>
    <x v="3"/>
    <x v="9"/>
    <s v="2000-BPRS"/>
    <m/>
    <x v="0"/>
    <m/>
    <m/>
    <m/>
    <s v="North"/>
    <s v="KANPUR"/>
    <m/>
    <n v="938789"/>
    <s v="JAIN STEEL DISTRIBUTORS"/>
    <n v="1854418"/>
    <s v="GP COIL SOFT-TATXGP-GK09-0.5X900"/>
    <s v="Z80"/>
    <s v=""/>
    <n v="3.2"/>
    <n v="5"/>
    <m/>
    <s v="C02"/>
    <s v="TATXGP"/>
    <s v="GK09"/>
    <n v="0.5"/>
    <n v="900"/>
    <n v="0"/>
    <n v="210"/>
    <n v="0"/>
    <n v="210"/>
    <n v="210"/>
    <n v="210"/>
    <n v="210"/>
    <n v="0"/>
    <n v="0"/>
    <n v="0"/>
    <n v="0"/>
    <n v="0"/>
    <n v="0"/>
    <n v="0"/>
    <n v="0"/>
    <n v="0"/>
    <n v="0"/>
    <n v="0"/>
    <n v="0"/>
    <n v="0"/>
    <n v="0"/>
    <n v="0"/>
    <n v="0"/>
    <n v="0"/>
    <n v="0"/>
    <n v="0"/>
    <n v="0"/>
    <n v="0"/>
    <n v="0"/>
    <n v="0"/>
    <m/>
    <n v="0"/>
    <n v="0"/>
    <n v="0"/>
    <n v="0"/>
    <n v="0"/>
    <n v="0"/>
    <n v="0"/>
    <n v="0"/>
    <n v="0"/>
    <n v="0"/>
    <n v="0"/>
    <n v="0"/>
    <n v="0"/>
    <m/>
    <m/>
    <m/>
    <m/>
    <m/>
    <m/>
    <m/>
    <m/>
    <m/>
    <m/>
    <m/>
    <m/>
    <m/>
    <m/>
    <m/>
    <m/>
    <m/>
    <m/>
    <m/>
    <m/>
    <m/>
    <m/>
    <m/>
    <m/>
    <m/>
    <m/>
    <m/>
    <m/>
    <m/>
    <m/>
    <m/>
    <m/>
    <m/>
    <m/>
    <m/>
  </r>
  <r>
    <n v="743"/>
    <d v="2025-02-03T00:00:00"/>
    <s v="ZBTO"/>
    <n v="9518490997"/>
    <n v="3"/>
    <s v="9518490997-3"/>
    <s v="No Priority"/>
    <x v="0"/>
    <m/>
    <x v="3"/>
    <x v="9"/>
    <s v="2000-BPRS"/>
    <m/>
    <x v="0"/>
    <m/>
    <m/>
    <m/>
    <s v="North"/>
    <s v="KANPUR"/>
    <m/>
    <n v="938789"/>
    <s v="JAIN STEEL DISTRIBUTORS"/>
    <n v="1854424"/>
    <s v="GP COIL SOFT-TATXGP-GK09-0.6X900"/>
    <s v="Z80"/>
    <s v=""/>
    <n v="3.2"/>
    <n v="5"/>
    <m/>
    <s v="C02"/>
    <s v="TATXGP"/>
    <s v="GK09"/>
    <n v="0.6"/>
    <n v="900"/>
    <n v="0"/>
    <n v="210"/>
    <n v="0"/>
    <n v="210"/>
    <n v="210"/>
    <n v="210"/>
    <n v="210"/>
    <n v="0"/>
    <n v="0"/>
    <n v="0"/>
    <n v="0"/>
    <n v="0"/>
    <n v="0"/>
    <n v="0"/>
    <n v="0"/>
    <n v="0"/>
    <n v="0"/>
    <n v="0"/>
    <n v="0"/>
    <n v="0"/>
    <n v="0"/>
    <n v="0"/>
    <n v="0"/>
    <n v="0"/>
    <n v="0"/>
    <n v="0"/>
    <n v="0"/>
    <n v="0"/>
    <n v="0"/>
    <n v="0"/>
    <m/>
    <n v="0"/>
    <n v="0"/>
    <n v="0"/>
    <n v="0"/>
    <n v="0"/>
    <n v="0"/>
    <n v="0"/>
    <n v="0"/>
    <n v="0"/>
    <n v="0"/>
    <n v="0"/>
    <n v="0"/>
    <n v="0"/>
    <m/>
    <m/>
    <m/>
    <m/>
    <m/>
    <m/>
    <m/>
    <m/>
    <m/>
    <m/>
    <m/>
    <m/>
    <m/>
    <m/>
    <m/>
    <m/>
    <m/>
    <m/>
    <m/>
    <m/>
    <m/>
    <m/>
    <m/>
    <m/>
    <m/>
    <m/>
    <m/>
    <m/>
    <m/>
    <m/>
    <m/>
    <m/>
    <m/>
    <m/>
    <m/>
  </r>
  <r>
    <n v="743"/>
    <d v="2025-02-03T00:00:00"/>
    <s v="ZBTO"/>
    <n v="9518490997"/>
    <n v="4"/>
    <s v="9518490997-4"/>
    <s v="No Priority"/>
    <x v="0"/>
    <m/>
    <x v="3"/>
    <x v="9"/>
    <s v="2000-BPRS"/>
    <m/>
    <x v="0"/>
    <m/>
    <m/>
    <m/>
    <s v="North"/>
    <s v="KANPUR"/>
    <m/>
    <n v="938789"/>
    <s v="JAIN STEEL DISTRIBUTORS"/>
    <n v="1854429"/>
    <s v="GP COIL SOFT-TATXGP-GK09-0.63X900"/>
    <s v="Z80"/>
    <s v=""/>
    <n v="3.2"/>
    <n v="5"/>
    <m/>
    <s v="C02"/>
    <s v="TATXGP"/>
    <s v="GK09"/>
    <n v="0.63"/>
    <n v="900"/>
    <n v="0"/>
    <n v="105"/>
    <n v="0"/>
    <n v="105"/>
    <n v="105"/>
    <n v="105"/>
    <n v="105"/>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5638"/>
    <n v="1"/>
    <s v="9518685638-1"/>
    <s v="No Priority"/>
    <x v="0"/>
    <m/>
    <x v="1"/>
    <x v="1"/>
    <n v="2000"/>
    <m/>
    <x v="0"/>
    <m/>
    <m/>
    <s v="Uttar Pradesh"/>
    <s v="North"/>
    <m/>
    <m/>
    <n v="933952"/>
    <s v="AGARWAL STEEL TRADERS"/>
    <n v="185675"/>
    <s v="CRCA COIL-TATXXD-AU03-0.5X1250"/>
    <s v=""/>
    <m/>
    <m/>
    <m/>
    <m/>
    <s v="C01"/>
    <s v="TATXXD"/>
    <s v="AU03"/>
    <n v="0.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5638"/>
    <n v="2"/>
    <s v="9518685638-2"/>
    <s v="No Priority"/>
    <x v="0"/>
    <m/>
    <x v="1"/>
    <x v="1"/>
    <n v="2000"/>
    <m/>
    <x v="0"/>
    <m/>
    <m/>
    <s v="Uttar Pradesh"/>
    <s v="North"/>
    <m/>
    <m/>
    <n v="933952"/>
    <s v="AGARWAL STEEL TRADERS"/>
    <n v="1804814"/>
    <s v="CRCA COIL TATXXD AU03 0.8X1250"/>
    <s v=""/>
    <m/>
    <m/>
    <m/>
    <m/>
    <s v="C01"/>
    <s v="TATXXD"/>
    <s v="AU03"/>
    <n v="0.8"/>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5638"/>
    <n v="3"/>
    <s v="9518685638-3"/>
    <s v="No Priority"/>
    <x v="0"/>
    <m/>
    <x v="1"/>
    <x v="1"/>
    <n v="2000"/>
    <m/>
    <x v="0"/>
    <m/>
    <m/>
    <s v="Uttar Pradesh"/>
    <s v="North"/>
    <m/>
    <m/>
    <n v="933952"/>
    <s v="AGARWAL STEEL TRADERS"/>
    <n v="1804826"/>
    <s v="CRCA COIL-TATXXD-AU03-0.9X1250"/>
    <s v=""/>
    <m/>
    <m/>
    <m/>
    <m/>
    <s v="C01"/>
    <s v="TATXXD"/>
    <s v="AU03"/>
    <n v="0.9"/>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5638"/>
    <n v="4"/>
    <s v="9518685638-4"/>
    <s v="No Priority"/>
    <x v="0"/>
    <m/>
    <x v="1"/>
    <x v="1"/>
    <n v="2000"/>
    <m/>
    <x v="0"/>
    <m/>
    <m/>
    <s v="Uttar Pradesh"/>
    <s v="North"/>
    <m/>
    <m/>
    <n v="933952"/>
    <s v="AGARWAL STEEL TRADERS"/>
    <n v="1801804"/>
    <s v="CRCA COIL-TATXXD-AU03-1X1250"/>
    <s v=""/>
    <m/>
    <m/>
    <m/>
    <m/>
    <s v="C01"/>
    <s v="TATXXD"/>
    <s v="AU03"/>
    <n v="1"/>
    <n v="1250"/>
    <n v="0"/>
    <n v="29"/>
    <n v="0"/>
    <n v="29"/>
    <n v="29"/>
    <n v="1.759999999999998"/>
    <n v="29"/>
    <n v="0"/>
    <n v="0"/>
    <n v="0"/>
    <n v="0"/>
    <n v="0"/>
    <n v="0"/>
    <n v="0"/>
    <n v="0"/>
    <n v="0"/>
    <n v="0"/>
    <n v="0"/>
    <n v="0"/>
    <n v="27.240000000000002"/>
    <n v="0"/>
    <n v="0"/>
    <n v="0"/>
    <n v="0"/>
    <n v="0"/>
    <n v="0"/>
    <n v="27.240000000000002"/>
    <n v="27.240000000000002"/>
    <n v="0"/>
    <n v="27.240000000000002"/>
    <m/>
    <n v="0"/>
    <n v="0"/>
    <n v="0"/>
    <n v="0"/>
    <n v="0"/>
    <n v="0"/>
    <n v="0"/>
    <n v="0"/>
    <n v="0"/>
    <n v="0"/>
    <n v="0"/>
    <n v="0"/>
    <n v="0"/>
    <m/>
    <m/>
    <m/>
    <m/>
    <m/>
    <m/>
    <m/>
    <m/>
    <m/>
    <m/>
    <m/>
    <m/>
    <m/>
    <m/>
    <m/>
    <m/>
    <m/>
    <m/>
    <m/>
    <m/>
    <m/>
    <m/>
    <m/>
    <m/>
    <m/>
    <m/>
    <m/>
    <m/>
    <m/>
    <m/>
    <m/>
    <m/>
    <m/>
    <m/>
    <m/>
  </r>
  <r>
    <n v="742"/>
    <d v="2025-04-11T00:00:00"/>
    <s v="ZBTO"/>
    <n v="9518685638"/>
    <n v="6"/>
    <s v="9518685638-6"/>
    <s v="No Priority"/>
    <x v="0"/>
    <m/>
    <x v="1"/>
    <x v="1"/>
    <n v="2000"/>
    <m/>
    <x v="0"/>
    <m/>
    <m/>
    <s v="Uttar Pradesh"/>
    <s v="North"/>
    <m/>
    <m/>
    <n v="933952"/>
    <s v="AGARWAL STEEL TRADERS"/>
    <n v="1884117"/>
    <s v="CRCA COIL-TATXXD-AU03-2X1250"/>
    <s v=""/>
    <m/>
    <m/>
    <m/>
    <m/>
    <s v="C01"/>
    <s v="TATXXD"/>
    <s v="AU03"/>
    <n v="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5638"/>
    <n v="7"/>
    <s v="9518685638-7"/>
    <s v="May'25"/>
    <x v="0"/>
    <s v="Yes"/>
    <x v="1"/>
    <x v="2"/>
    <n v="2000"/>
    <m/>
    <x v="1"/>
    <m/>
    <m/>
    <s v="Uttar Pradesh"/>
    <s v="North"/>
    <m/>
    <m/>
    <n v="933952"/>
    <s v="AGARWAL STEEL TRADERS"/>
    <n v="3240761"/>
    <s v="CRCA SHEET TSBCRC SR15 0.500X1250X2030"/>
    <s v=""/>
    <m/>
    <m/>
    <m/>
    <m/>
    <s v="C06"/>
    <s v="TSBCRC"/>
    <s v="SR15"/>
    <n v="0.5"/>
    <n v="1250"/>
    <n v="2030"/>
    <n v="108"/>
    <n v="0"/>
    <n v="108"/>
    <n v="108"/>
    <n v="107.85"/>
    <n v="81.63"/>
    <n v="0"/>
    <n v="0"/>
    <n v="0"/>
    <n v="0"/>
    <n v="0"/>
    <n v="0"/>
    <n v="0"/>
    <n v="0"/>
    <n v="0"/>
    <n v="0"/>
    <n v="0"/>
    <n v="0"/>
    <n v="0"/>
    <n v="0"/>
    <n v="0"/>
    <n v="0.15"/>
    <n v="0"/>
    <n v="0"/>
    <n v="0"/>
    <n v="0.15"/>
    <n v="0.15"/>
    <n v="0"/>
    <n v="0.15"/>
    <m/>
    <n v="26.37"/>
    <n v="81.63"/>
    <n v="0"/>
    <n v="0"/>
    <n v="81.63"/>
    <n v="0"/>
    <n v="0"/>
    <n v="0"/>
    <n v="0"/>
    <n v="0"/>
    <n v="0"/>
    <n v="0"/>
    <n v="0"/>
    <m/>
    <m/>
    <m/>
    <m/>
    <m/>
    <m/>
    <m/>
    <m/>
    <m/>
    <m/>
    <m/>
    <m/>
    <m/>
    <m/>
    <m/>
    <m/>
    <m/>
    <m/>
    <m/>
    <m/>
    <m/>
    <m/>
    <m/>
    <m/>
    <m/>
    <m/>
    <m/>
    <m/>
    <m/>
    <m/>
    <m/>
    <m/>
    <m/>
    <m/>
    <m/>
  </r>
  <r>
    <n v="742"/>
    <d v="2025-03-24T00:00:00"/>
    <s v="ZBTO"/>
    <n v="9518629852"/>
    <n v="8"/>
    <s v="9518629852-8"/>
    <s v="No Priority"/>
    <x v="1"/>
    <s v="Yes"/>
    <x v="1"/>
    <x v="2"/>
    <n v="2000"/>
    <m/>
    <x v="0"/>
    <m/>
    <m/>
    <s v="Maharashtra"/>
    <s v="West"/>
    <m/>
    <m/>
    <n v="932086"/>
    <s v="ANM ISPAT PRIVATE LIMITED"/>
    <n v="3240855"/>
    <s v="CRCA SHEET TSBCRC SR15 1.600X1250X2500"/>
    <s v=""/>
    <m/>
    <m/>
    <m/>
    <m/>
    <s v="C06"/>
    <s v="TSBCRC"/>
    <s v="SR15"/>
    <n v="1.6"/>
    <n v="1250"/>
    <n v="2500"/>
    <n v="75"/>
    <n v="0"/>
    <n v="75"/>
    <n v="75"/>
    <n v="75"/>
    <n v="75"/>
    <n v="0"/>
    <n v="0"/>
    <n v="0"/>
    <n v="0"/>
    <n v="0"/>
    <n v="0"/>
    <n v="0"/>
    <n v="0"/>
    <n v="0"/>
    <n v="0"/>
    <n v="0"/>
    <n v="0"/>
    <n v="0"/>
    <n v="0"/>
    <n v="0"/>
    <n v="0"/>
    <n v="0"/>
    <n v="0"/>
    <n v="0"/>
    <n v="0"/>
    <n v="0"/>
    <n v="0"/>
    <n v="0"/>
    <m/>
    <n v="0"/>
    <n v="0"/>
    <n v="0"/>
    <n v="0"/>
    <n v="0"/>
    <n v="0"/>
    <n v="0"/>
    <n v="0"/>
    <n v="0"/>
    <n v="0"/>
    <n v="0"/>
    <n v="0"/>
    <n v="0"/>
    <m/>
    <m/>
    <m/>
    <m/>
    <m/>
    <m/>
    <m/>
    <m/>
    <m/>
    <m/>
    <m/>
    <m/>
    <m/>
    <m/>
    <m/>
    <m/>
    <m/>
    <m/>
    <m/>
    <m/>
    <m/>
    <m/>
    <m/>
    <m/>
    <m/>
    <m/>
    <m/>
    <m/>
    <m/>
    <m/>
    <m/>
    <m/>
    <m/>
    <m/>
    <m/>
  </r>
  <r>
    <n v="743"/>
    <d v="2025-04-03T00:00:00"/>
    <s v="ZBTO"/>
    <n v="9518667160"/>
    <n v="1"/>
    <s v="9518667160-1"/>
    <s v="May'25"/>
    <x v="0"/>
    <s v="Yes"/>
    <x v="3"/>
    <x v="4"/>
    <n v="2000"/>
    <m/>
    <x v="1"/>
    <m/>
    <m/>
    <s v="Assam"/>
    <s v="East"/>
    <m/>
    <m/>
    <n v="103671"/>
    <s v="BAJRANG STEEL (SALES) CORPORAT"/>
    <n v="3777535"/>
    <s v="GP COIL TATGPH GP02 0.400X900"/>
    <s v=""/>
    <m/>
    <m/>
    <m/>
    <m/>
    <s v="C05"/>
    <s v="TATGPH"/>
    <s v="GP02"/>
    <n v="0.4"/>
    <n v="900"/>
    <n v="0"/>
    <n v="21"/>
    <n v="0"/>
    <n v="21"/>
    <n v="21"/>
    <n v="21"/>
    <n v="147"/>
    <n v="0"/>
    <n v="0"/>
    <n v="0"/>
    <n v="0"/>
    <n v="0"/>
    <n v="0"/>
    <n v="0"/>
    <n v="0"/>
    <n v="0"/>
    <n v="0"/>
    <n v="0"/>
    <n v="0"/>
    <n v="0"/>
    <n v="0"/>
    <n v="0"/>
    <n v="0"/>
    <n v="0"/>
    <n v="0"/>
    <n v="0"/>
    <n v="0"/>
    <n v="0"/>
    <n v="0"/>
    <n v="0"/>
    <m/>
    <n v="0"/>
    <n v="147"/>
    <n v="0"/>
    <n v="0"/>
    <n v="0"/>
    <n v="147"/>
    <n v="0"/>
    <n v="0"/>
    <n v="0"/>
    <n v="0"/>
    <n v="0"/>
    <n v="0"/>
    <n v="0"/>
    <m/>
    <m/>
    <m/>
    <m/>
    <m/>
    <m/>
    <m/>
    <m/>
    <m/>
    <m/>
    <m/>
    <m/>
    <m/>
    <m/>
    <m/>
    <m/>
    <m/>
    <m/>
    <m/>
    <m/>
    <m/>
    <m/>
    <m/>
    <m/>
    <m/>
    <m/>
    <m/>
    <m/>
    <m/>
    <m/>
    <m/>
    <m/>
    <m/>
    <m/>
    <m/>
  </r>
  <r>
    <n v="743"/>
    <d v="2025-04-03T00:00:00"/>
    <s v="ZBTO"/>
    <n v="9518667160"/>
    <n v="2"/>
    <s v="9518667160-2"/>
    <s v="May'25"/>
    <x v="0"/>
    <s v="Yes"/>
    <x v="3"/>
    <x v="4"/>
    <n v="2000"/>
    <m/>
    <x v="1"/>
    <m/>
    <m/>
    <s v="Assam"/>
    <s v="East"/>
    <m/>
    <m/>
    <n v="103671"/>
    <s v="BAJRANG STEEL (SALES) CORPORAT"/>
    <n v="3708869"/>
    <s v="GP COIL TATGPH GP02 0.500X900"/>
    <s v=""/>
    <m/>
    <m/>
    <m/>
    <m/>
    <s v="C05"/>
    <s v="TATGPH"/>
    <s v="GP02"/>
    <n v="0.5"/>
    <n v="900"/>
    <n v="0"/>
    <n v="21"/>
    <n v="0"/>
    <n v="21"/>
    <n v="21"/>
    <n v="21"/>
    <n v="63"/>
    <n v="0"/>
    <n v="0"/>
    <n v="0"/>
    <n v="0"/>
    <n v="0"/>
    <n v="0"/>
    <n v="0"/>
    <n v="0"/>
    <n v="0"/>
    <n v="0"/>
    <n v="0"/>
    <n v="0"/>
    <n v="0"/>
    <n v="0"/>
    <n v="0"/>
    <n v="0"/>
    <n v="0"/>
    <n v="0"/>
    <n v="0"/>
    <n v="0"/>
    <n v="0"/>
    <n v="0"/>
    <n v="0"/>
    <m/>
    <n v="0"/>
    <n v="63"/>
    <n v="0"/>
    <n v="0"/>
    <n v="0"/>
    <n v="63"/>
    <n v="0"/>
    <n v="0"/>
    <n v="0"/>
    <n v="0"/>
    <n v="0"/>
    <n v="0"/>
    <n v="0"/>
    <m/>
    <m/>
    <m/>
    <m/>
    <m/>
    <m/>
    <m/>
    <m/>
    <m/>
    <m/>
    <m/>
    <m/>
    <m/>
    <m/>
    <m/>
    <m/>
    <m/>
    <m/>
    <m/>
    <m/>
    <m/>
    <m/>
    <m/>
    <m/>
    <m/>
    <m/>
    <m/>
    <m/>
    <m/>
    <m/>
    <m/>
    <m/>
    <m/>
    <m/>
    <m/>
  </r>
  <r>
    <n v="743"/>
    <d v="2025-04-03T00:00:00"/>
    <s v="ZBTO"/>
    <n v="9518667160"/>
    <n v="3"/>
    <s v="9518667160-3"/>
    <s v="May'25"/>
    <x v="0"/>
    <s v="Yes"/>
    <x v="3"/>
    <x v="4"/>
    <n v="2000"/>
    <m/>
    <x v="1"/>
    <m/>
    <m/>
    <s v="Assam"/>
    <s v="East"/>
    <m/>
    <m/>
    <n v="103671"/>
    <s v="BAJRANG STEEL (SALES) CORPORAT"/>
    <n v="3776940"/>
    <s v="GP COIL TATGPH GP02 0.350X1015"/>
    <s v=""/>
    <m/>
    <m/>
    <m/>
    <m/>
    <s v="C05"/>
    <s v="TATGPH"/>
    <s v="GP02"/>
    <n v="0.35"/>
    <n v="1015"/>
    <n v="0"/>
    <n v="46"/>
    <n v="0"/>
    <n v="46"/>
    <n v="46"/>
    <n v="46"/>
    <n v="46"/>
    <n v="0"/>
    <n v="0"/>
    <n v="0"/>
    <n v="0"/>
    <n v="0"/>
    <n v="0"/>
    <n v="0"/>
    <n v="0"/>
    <n v="0"/>
    <n v="0"/>
    <n v="0"/>
    <n v="0"/>
    <n v="0"/>
    <n v="0"/>
    <n v="0"/>
    <n v="0"/>
    <n v="0"/>
    <n v="0"/>
    <n v="0"/>
    <n v="0"/>
    <n v="0"/>
    <n v="0"/>
    <n v="0"/>
    <m/>
    <n v="0"/>
    <n v="46"/>
    <n v="0"/>
    <n v="0"/>
    <n v="0"/>
    <n v="46"/>
    <n v="0"/>
    <n v="0"/>
    <n v="0"/>
    <n v="0"/>
    <n v="0"/>
    <n v="0"/>
    <n v="0"/>
    <m/>
    <m/>
    <m/>
    <m/>
    <m/>
    <m/>
    <m/>
    <m/>
    <m/>
    <m/>
    <m/>
    <m/>
    <m/>
    <m/>
    <m/>
    <m/>
    <m/>
    <m/>
    <m/>
    <m/>
    <m/>
    <m/>
    <m/>
    <m/>
    <m/>
    <m/>
    <m/>
    <m/>
    <m/>
    <m/>
    <m/>
    <m/>
    <m/>
    <m/>
    <m/>
  </r>
  <r>
    <n v="743"/>
    <d v="2025-04-03T00:00:00"/>
    <s v="ZBTO"/>
    <n v="9518667160"/>
    <n v="4"/>
    <s v="9518667160-4"/>
    <s v="No Priority"/>
    <x v="0"/>
    <s v="Yes"/>
    <x v="3"/>
    <x v="4"/>
    <n v="2000"/>
    <m/>
    <x v="0"/>
    <m/>
    <m/>
    <s v="Assam"/>
    <s v="East"/>
    <m/>
    <m/>
    <n v="103671"/>
    <s v="BAJRANG STEEL (SALES) CORPORAT"/>
    <n v="3776939"/>
    <s v="GP COIL TATGPH GP02 0.400X1015"/>
    <s v=""/>
    <m/>
    <m/>
    <m/>
    <m/>
    <s v="C05"/>
    <s v="TATGPH"/>
    <s v="GP02"/>
    <n v="0.4"/>
    <n v="1015"/>
    <n v="0"/>
    <n v="46"/>
    <n v="0"/>
    <n v="46"/>
    <n v="46"/>
    <n v="46"/>
    <n v="0"/>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2784"/>
    <n v="1"/>
    <s v="9518692784-1"/>
    <s v="No Priority"/>
    <x v="0"/>
    <m/>
    <x v="1"/>
    <x v="10"/>
    <n v="1000"/>
    <m/>
    <x v="0"/>
    <m/>
    <m/>
    <s v="Dadra, Nagarhaveli"/>
    <s v="West"/>
    <m/>
    <m/>
    <n v="189405"/>
    <s v="Balmer Lawrie And Co. Ltd."/>
    <n v="2164800"/>
    <s v="CRCA COIL TATXXD BT02 0.970X913"/>
    <s v=""/>
    <m/>
    <m/>
    <m/>
    <m/>
    <s v="C01"/>
    <s v="TATXXD"/>
    <s v="BT02"/>
    <n v="0.97"/>
    <n v="913"/>
    <n v="0"/>
    <n v="62.99"/>
    <n v="0"/>
    <n v="62.99"/>
    <n v="62.99"/>
    <n v="62.99"/>
    <n v="63"/>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2793"/>
    <n v="3"/>
    <s v="9518692793-3"/>
    <s v="No Priority"/>
    <x v="0"/>
    <m/>
    <x v="1"/>
    <x v="10"/>
    <n v="1000"/>
    <m/>
    <x v="0"/>
    <m/>
    <m/>
    <s v="Dadra, Nagarhaveli"/>
    <s v="West"/>
    <m/>
    <m/>
    <n v="189405"/>
    <s v="Balmer Lawrie And Co. Ltd."/>
    <n v="2164803"/>
    <s v="CRCA COIL TATXXD BT02 1.200X910"/>
    <s v=""/>
    <m/>
    <m/>
    <m/>
    <m/>
    <s v="C01"/>
    <s v="TATXXD"/>
    <s v="BT02"/>
    <n v="1.2"/>
    <n v="91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8553"/>
    <n v="1"/>
    <s v="9518648553-1"/>
    <s v="No Priority"/>
    <x v="1"/>
    <m/>
    <x v="1"/>
    <x v="1"/>
    <n v="2000"/>
    <m/>
    <x v="0"/>
    <m/>
    <m/>
    <s v="Delhi"/>
    <s v="North"/>
    <m/>
    <m/>
    <n v="101446"/>
    <s v="BANSAL BROTHERS"/>
    <n v="187513"/>
    <s v="CRSHEET-ICF  DQ TATXXD AU03 0.80 X 1000"/>
    <s v=""/>
    <m/>
    <m/>
    <m/>
    <m/>
    <s v="C01"/>
    <s v="TATXXD"/>
    <s v="AU03"/>
    <n v="0.8"/>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1"/>
    <s v="9518620674-1"/>
    <s v="No Priority"/>
    <x v="1"/>
    <m/>
    <x v="1"/>
    <x v="1"/>
    <n v="2000"/>
    <m/>
    <x v="0"/>
    <m/>
    <m/>
    <s v="Tamil Nadu"/>
    <s v="South"/>
    <m/>
    <m/>
    <n v="938550"/>
    <s v="BASEER AND CO"/>
    <n v="2352643"/>
    <s v="CRCA COIL TATCRC TR15 0.350X900"/>
    <s v=""/>
    <m/>
    <m/>
    <m/>
    <m/>
    <s v="C01"/>
    <s v="TATCRC"/>
    <s v="TR15"/>
    <n v="0.3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2"/>
    <s v="9518620674-2"/>
    <s v="No Priority"/>
    <x v="1"/>
    <m/>
    <x v="1"/>
    <x v="1"/>
    <n v="2000"/>
    <m/>
    <x v="0"/>
    <m/>
    <m/>
    <s v="Tamil Nadu"/>
    <s v="South"/>
    <m/>
    <m/>
    <n v="938550"/>
    <s v="BASEER AND CO"/>
    <n v="2352644"/>
    <s v="CRCA COIL TATCRC TR15 0.350X1000"/>
    <s v=""/>
    <m/>
    <m/>
    <m/>
    <m/>
    <s v="C01"/>
    <s v="TATCRC"/>
    <s v="TR15"/>
    <n v="0.3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6"/>
    <s v="9518620674-6"/>
    <s v="No Priority"/>
    <x v="1"/>
    <m/>
    <x v="1"/>
    <x v="1"/>
    <n v="2000"/>
    <m/>
    <x v="0"/>
    <m/>
    <m/>
    <s v="Tamil Nadu"/>
    <s v="South"/>
    <m/>
    <m/>
    <n v="938550"/>
    <s v="BASEER AND CO"/>
    <n v="37862"/>
    <s v="CRCA COIL TATCRC TR15 0.4X1250"/>
    <s v=""/>
    <m/>
    <m/>
    <m/>
    <m/>
    <s v="C01"/>
    <s v="TATCRC"/>
    <s v="TR15"/>
    <n v="0.4"/>
    <n v="1250"/>
    <n v="0"/>
    <n v="87"/>
    <n v="0"/>
    <n v="87"/>
    <n v="87"/>
    <n v="87"/>
    <n v="87"/>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7"/>
    <s v="9518620674-7"/>
    <s v="No Priority"/>
    <x v="1"/>
    <m/>
    <x v="1"/>
    <x v="1"/>
    <n v="2000"/>
    <m/>
    <x v="0"/>
    <m/>
    <m/>
    <s v="Tamil Nadu"/>
    <s v="South"/>
    <m/>
    <m/>
    <n v="938550"/>
    <s v="BASEER AND CO"/>
    <n v="1804893"/>
    <s v="CRCA COIL-TATCRC-TR15-0.45X900"/>
    <s v=""/>
    <m/>
    <m/>
    <m/>
    <m/>
    <s v="C01"/>
    <s v="TATCRC"/>
    <s v="TR15"/>
    <n v="0.45"/>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8"/>
    <s v="9518620674-8"/>
    <s v="No Priority"/>
    <x v="1"/>
    <m/>
    <x v="1"/>
    <x v="1"/>
    <n v="2000"/>
    <m/>
    <x v="0"/>
    <m/>
    <m/>
    <s v="Tamil Nadu"/>
    <s v="South"/>
    <m/>
    <m/>
    <n v="938550"/>
    <s v="BASEER AND CO"/>
    <n v="1804896"/>
    <s v="CRCA COIL-TATCRC-TR15-0.45X1000"/>
    <s v=""/>
    <m/>
    <m/>
    <m/>
    <m/>
    <s v="C01"/>
    <s v="TATCRC"/>
    <s v="TR15"/>
    <n v="0.45"/>
    <n v="1000"/>
    <n v="0"/>
    <n v="69"/>
    <n v="0"/>
    <n v="69"/>
    <n v="69"/>
    <n v="69"/>
    <n v="69"/>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9"/>
    <s v="9518620674-9"/>
    <s v="No Priority"/>
    <x v="1"/>
    <m/>
    <x v="1"/>
    <x v="1"/>
    <n v="2000"/>
    <m/>
    <x v="0"/>
    <m/>
    <m/>
    <s v="Tamil Nadu"/>
    <s v="South"/>
    <m/>
    <m/>
    <n v="938550"/>
    <s v="BASEER AND CO"/>
    <n v="1804905"/>
    <s v="CRCA COIL-TATCRC-TR15-0.5X1000"/>
    <s v=""/>
    <m/>
    <m/>
    <m/>
    <m/>
    <s v="C01"/>
    <s v="TATCRC"/>
    <s v="TR15"/>
    <n v="0.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10"/>
    <s v="9518620674-10"/>
    <s v="No Priority"/>
    <x v="1"/>
    <m/>
    <x v="1"/>
    <x v="1"/>
    <n v="2000"/>
    <m/>
    <x v="0"/>
    <m/>
    <m/>
    <s v="Tamil Nadu"/>
    <s v="South"/>
    <m/>
    <m/>
    <n v="938550"/>
    <s v="BASEER AND CO"/>
    <n v="1804914"/>
    <s v="CRCA COIL TATCRC TR15 0.6X1000"/>
    <s v=""/>
    <m/>
    <m/>
    <m/>
    <m/>
    <s v="C01"/>
    <s v="TATCRC"/>
    <s v="TR15"/>
    <n v="0.6"/>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12"/>
    <s v="9518620674-12"/>
    <s v="No Priority"/>
    <x v="1"/>
    <m/>
    <x v="1"/>
    <x v="1"/>
    <n v="2000"/>
    <m/>
    <x v="0"/>
    <m/>
    <m/>
    <s v="Tamil Nadu"/>
    <s v="South"/>
    <m/>
    <m/>
    <n v="938550"/>
    <s v="BASEER AND CO"/>
    <n v="3931386"/>
    <s v="CR COIL TATXXD AU03 0.700X925"/>
    <s v=""/>
    <m/>
    <m/>
    <m/>
    <m/>
    <s v="C01"/>
    <s v="TATXXD"/>
    <s v="AU03"/>
    <n v="0.7"/>
    <n v="925"/>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14"/>
    <s v="9518620674-14"/>
    <s v="No Priority"/>
    <x v="1"/>
    <m/>
    <x v="1"/>
    <x v="1"/>
    <n v="2000"/>
    <m/>
    <x v="0"/>
    <m/>
    <m/>
    <s v="Tamil Nadu"/>
    <s v="South"/>
    <m/>
    <m/>
    <n v="938550"/>
    <s v="BASEER AND CO"/>
    <n v="1801562"/>
    <s v="CRCA COIL-TATXXD-AU03-0.8X1000"/>
    <s v=""/>
    <m/>
    <m/>
    <m/>
    <m/>
    <s v="C01"/>
    <s v="TATXXD"/>
    <s v="AU03"/>
    <n v="0.8"/>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21"/>
    <s v="9518620674-21"/>
    <s v="May'25"/>
    <x v="0"/>
    <s v="Yes"/>
    <x v="1"/>
    <x v="2"/>
    <n v="2000"/>
    <m/>
    <x v="1"/>
    <m/>
    <m/>
    <s v="Tamil Nadu"/>
    <s v="South"/>
    <m/>
    <m/>
    <n v="938550"/>
    <s v="BASEER AND CO"/>
    <n v="3239536"/>
    <s v="CRCA SHEET TATCRC SR16 0.350X900X2500"/>
    <s v=""/>
    <m/>
    <m/>
    <m/>
    <m/>
    <s v="C06"/>
    <s v="TATCRC"/>
    <s v="SR16"/>
    <n v="0.35"/>
    <n v="900"/>
    <n v="2500"/>
    <n v="42"/>
    <n v="0"/>
    <n v="42"/>
    <n v="42"/>
    <n v="-0.56000000000000227"/>
    <n v="42"/>
    <n v="0"/>
    <n v="0"/>
    <n v="0"/>
    <n v="0"/>
    <n v="0"/>
    <n v="0"/>
    <n v="0"/>
    <n v="0"/>
    <n v="0"/>
    <n v="0"/>
    <n v="0"/>
    <n v="0"/>
    <n v="0"/>
    <n v="21.21"/>
    <n v="21.35"/>
    <n v="0"/>
    <n v="0"/>
    <n v="0"/>
    <n v="0"/>
    <n v="42.56"/>
    <n v="42.56"/>
    <n v="0"/>
    <n v="42.56"/>
    <m/>
    <n v="0"/>
    <n v="42"/>
    <n v="0"/>
    <n v="42"/>
    <n v="0"/>
    <n v="0"/>
    <n v="0"/>
    <n v="42"/>
    <n v="0"/>
    <n v="42"/>
    <n v="0"/>
    <n v="0"/>
    <n v="0"/>
    <m/>
    <m/>
    <m/>
    <m/>
    <m/>
    <m/>
    <m/>
    <m/>
    <m/>
    <m/>
    <m/>
    <m/>
    <m/>
    <m/>
    <m/>
    <m/>
    <m/>
    <m/>
    <m/>
    <m/>
    <m/>
    <m/>
    <m/>
    <m/>
    <m/>
    <m/>
    <m/>
    <m/>
    <m/>
    <m/>
    <m/>
    <m/>
    <m/>
    <m/>
    <m/>
  </r>
  <r>
    <n v="742"/>
    <d v="2025-03-21T00:00:00"/>
    <s v="ZBTO"/>
    <n v="9518620674"/>
    <n v="22"/>
    <s v="9518620674-22"/>
    <s v="No Priority"/>
    <x v="1"/>
    <m/>
    <x v="1"/>
    <x v="2"/>
    <n v="2000"/>
    <m/>
    <x v="0"/>
    <m/>
    <m/>
    <s v="Tamil Nadu"/>
    <s v="South"/>
    <m/>
    <m/>
    <n v="938550"/>
    <s v="BASEER AND CO"/>
    <n v="3239548"/>
    <s v="CRCA SHEET TATCRC SR16 0.400X900X2500"/>
    <s v=""/>
    <m/>
    <m/>
    <m/>
    <m/>
    <s v="C06"/>
    <s v="TATCRC"/>
    <s v="SR16"/>
    <n v="0.4"/>
    <n v="900"/>
    <n v="250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674"/>
    <n v="23"/>
    <s v="9518620674-23"/>
    <s v="May'25"/>
    <x v="0"/>
    <s v="Yes"/>
    <x v="1"/>
    <x v="2"/>
    <n v="2000"/>
    <m/>
    <x v="1"/>
    <m/>
    <m/>
    <s v="Tamil Nadu"/>
    <s v="South"/>
    <m/>
    <m/>
    <n v="938550"/>
    <s v="BASEER AND CO"/>
    <n v="3239552"/>
    <s v="CRCA SHEET TATCRC SR16 0.400X1000X1980"/>
    <s v=""/>
    <m/>
    <m/>
    <m/>
    <m/>
    <s v="C06"/>
    <s v="TATCRC"/>
    <s v="SR16"/>
    <n v="0.4"/>
    <n v="1000"/>
    <n v="1980"/>
    <n v="45"/>
    <n v="0"/>
    <n v="45"/>
    <n v="45"/>
    <n v="45"/>
    <n v="45"/>
    <n v="0"/>
    <n v="0"/>
    <n v="0"/>
    <n v="0"/>
    <n v="0"/>
    <n v="0"/>
    <n v="0"/>
    <n v="0"/>
    <n v="0"/>
    <n v="0"/>
    <n v="0"/>
    <n v="0"/>
    <n v="0"/>
    <n v="0"/>
    <n v="0"/>
    <n v="0"/>
    <n v="0"/>
    <n v="0"/>
    <n v="0"/>
    <n v="0"/>
    <n v="0"/>
    <n v="0"/>
    <n v="0"/>
    <m/>
    <n v="0"/>
    <n v="45"/>
    <n v="0"/>
    <n v="0"/>
    <n v="0"/>
    <n v="45"/>
    <n v="0"/>
    <n v="0"/>
    <n v="0"/>
    <n v="0"/>
    <n v="0"/>
    <n v="0"/>
    <n v="0"/>
    <m/>
    <m/>
    <m/>
    <m/>
    <m/>
    <m/>
    <m/>
    <m/>
    <m/>
    <m/>
    <m/>
    <m/>
    <m/>
    <m/>
    <m/>
    <m/>
    <m/>
    <m/>
    <m/>
    <m/>
    <m/>
    <m/>
    <m/>
    <m/>
    <m/>
    <m/>
    <m/>
    <m/>
    <m/>
    <m/>
    <m/>
    <m/>
    <m/>
    <m/>
    <m/>
  </r>
  <r>
    <n v="742"/>
    <d v="2025-03-21T00:00:00"/>
    <s v="ZBTO"/>
    <n v="9518620674"/>
    <n v="25"/>
    <s v="9518620674-25"/>
    <s v="May'25"/>
    <x v="0"/>
    <s v="Yes"/>
    <x v="1"/>
    <x v="2"/>
    <n v="2000"/>
    <m/>
    <x v="1"/>
    <m/>
    <m/>
    <s v="Tamil Nadu"/>
    <s v="South"/>
    <m/>
    <m/>
    <n v="938550"/>
    <s v="BASEER AND CO"/>
    <n v="3239564"/>
    <s v="CRCA SHEET TATCRC SR16 0.450X1000X1980"/>
    <s v=""/>
    <m/>
    <m/>
    <m/>
    <m/>
    <s v="C06"/>
    <s v="TATCRC"/>
    <s v="SR16"/>
    <n v="0.45"/>
    <n v="1000"/>
    <n v="1980"/>
    <n v="45"/>
    <n v="0"/>
    <n v="45"/>
    <n v="45"/>
    <n v="0.11999999999999744"/>
    <n v="45"/>
    <n v="0"/>
    <n v="0"/>
    <n v="0"/>
    <n v="0"/>
    <n v="0"/>
    <n v="0"/>
    <n v="0"/>
    <n v="0"/>
    <n v="0"/>
    <n v="0"/>
    <n v="0"/>
    <n v="0"/>
    <n v="0"/>
    <n v="44.88"/>
    <n v="0"/>
    <n v="0"/>
    <n v="0"/>
    <n v="0"/>
    <n v="0"/>
    <n v="44.88"/>
    <n v="44.88"/>
    <n v="0"/>
    <n v="44.88"/>
    <m/>
    <n v="0"/>
    <n v="45"/>
    <n v="0"/>
    <n v="45"/>
    <n v="0"/>
    <n v="0"/>
    <n v="0"/>
    <n v="45"/>
    <n v="0"/>
    <n v="45"/>
    <n v="0"/>
    <n v="0"/>
    <n v="0"/>
    <m/>
    <m/>
    <m/>
    <m/>
    <m/>
    <m/>
    <m/>
    <m/>
    <m/>
    <m/>
    <m/>
    <m/>
    <m/>
    <m/>
    <m/>
    <m/>
    <m/>
    <m/>
    <m/>
    <m/>
    <m/>
    <m/>
    <m/>
    <m/>
    <m/>
    <m/>
    <m/>
    <m/>
    <m/>
    <m/>
    <m/>
    <m/>
    <m/>
    <m/>
    <m/>
  </r>
  <r>
    <n v="742"/>
    <d v="2025-04-11T00:00:00"/>
    <s v="ZBTO"/>
    <n v="9518684484"/>
    <n v="1"/>
    <s v="9518684484-1"/>
    <s v="No Priority"/>
    <x v="1"/>
    <m/>
    <x v="1"/>
    <x v="11"/>
    <n v="2000"/>
    <m/>
    <x v="0"/>
    <m/>
    <m/>
    <s v="Tamil Nadu"/>
    <s v="South"/>
    <m/>
    <m/>
    <n v="938550"/>
    <s v="BASEER AND CO"/>
    <n v="2420540"/>
    <s v="CRCA COIL TATXXD AH03 2.500X1250"/>
    <s v=""/>
    <m/>
    <m/>
    <m/>
    <m/>
    <s v="C01"/>
    <s v="TATXXD"/>
    <s v="AH03"/>
    <n v="2.5"/>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484"/>
    <n v="2"/>
    <s v="9518684484-2"/>
    <s v="No Priority"/>
    <x v="1"/>
    <m/>
    <x v="1"/>
    <x v="1"/>
    <n v="2000"/>
    <m/>
    <x v="0"/>
    <m/>
    <m/>
    <s v="Tamil Nadu"/>
    <s v="South"/>
    <m/>
    <m/>
    <n v="938550"/>
    <s v="BASEER AND CO"/>
    <n v="3931386"/>
    <s v="CR COIL TATXXD AU03 0.700X925"/>
    <s v=""/>
    <m/>
    <m/>
    <m/>
    <m/>
    <s v="C01"/>
    <s v="TATXXD"/>
    <s v="AU03"/>
    <n v="0.7"/>
    <n v="925"/>
    <n v="0"/>
    <n v="210"/>
    <n v="0"/>
    <n v="210"/>
    <n v="210"/>
    <n v="210"/>
    <n v="210"/>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484"/>
    <n v="3"/>
    <s v="9518684484-3"/>
    <s v="No Priority"/>
    <x v="1"/>
    <m/>
    <x v="1"/>
    <x v="1"/>
    <n v="2000"/>
    <m/>
    <x v="0"/>
    <m/>
    <m/>
    <s v="Tamil Nadu"/>
    <s v="South"/>
    <m/>
    <m/>
    <n v="938550"/>
    <s v="BASEER AND CO"/>
    <n v="2165170"/>
    <s v="CRCA COIL TATCRC TR15 0.400X900"/>
    <s v=""/>
    <m/>
    <m/>
    <m/>
    <m/>
    <s v="C01"/>
    <s v="TATCRC"/>
    <s v="TR15"/>
    <n v="0.4"/>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484"/>
    <n v="4"/>
    <s v="9518684484-4"/>
    <s v="No Priority"/>
    <x v="1"/>
    <m/>
    <x v="1"/>
    <x v="1"/>
    <n v="2000"/>
    <m/>
    <x v="0"/>
    <m/>
    <m/>
    <s v="Tamil Nadu"/>
    <s v="South"/>
    <m/>
    <m/>
    <n v="938550"/>
    <s v="BASEER AND CO"/>
    <n v="1804893"/>
    <s v="CRCA COIL-TATCRC-TR15-0.45X900"/>
    <s v=""/>
    <m/>
    <m/>
    <m/>
    <m/>
    <s v="C01"/>
    <s v="TATCRC"/>
    <s v="TR15"/>
    <n v="0.45"/>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484"/>
    <n v="5"/>
    <s v="9518684484-5"/>
    <s v="No Priority"/>
    <x v="1"/>
    <m/>
    <x v="1"/>
    <x v="1"/>
    <n v="2000"/>
    <m/>
    <x v="0"/>
    <m/>
    <m/>
    <s v="Tamil Nadu"/>
    <s v="South"/>
    <m/>
    <m/>
    <n v="938550"/>
    <s v="BASEER AND CO"/>
    <n v="1804896"/>
    <s v="CRCA COIL-TATCRC-TR15-0.45X1000"/>
    <s v=""/>
    <m/>
    <m/>
    <m/>
    <m/>
    <s v="C01"/>
    <s v="TATCRC"/>
    <s v="TR15"/>
    <n v="0.4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484"/>
    <n v="6"/>
    <s v="9518684484-6"/>
    <s v="No Priority"/>
    <x v="1"/>
    <m/>
    <x v="1"/>
    <x v="1"/>
    <n v="2000"/>
    <m/>
    <x v="0"/>
    <m/>
    <m/>
    <s v="Tamil Nadu"/>
    <s v="South"/>
    <m/>
    <m/>
    <n v="938550"/>
    <s v="BASEER AND CO"/>
    <n v="1155509"/>
    <s v="CRCA SHEET TATCRC TR15 0.600X1000X2000"/>
    <s v=""/>
    <m/>
    <m/>
    <m/>
    <m/>
    <s v="C06"/>
    <s v="TATCRC"/>
    <s v="TR15"/>
    <n v="0.6"/>
    <n v="1000"/>
    <n v="2000"/>
    <n v="51"/>
    <n v="0"/>
    <n v="51"/>
    <n v="51"/>
    <n v="51"/>
    <n v="51"/>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484"/>
    <n v="7"/>
    <s v="9518684484-7"/>
    <s v="May'25"/>
    <x v="0"/>
    <m/>
    <x v="1"/>
    <x v="1"/>
    <n v="2000"/>
    <m/>
    <x v="1"/>
    <m/>
    <m/>
    <s v="Tamil Nadu"/>
    <s v="South"/>
    <m/>
    <m/>
    <n v="938550"/>
    <s v="BASEER AND CO"/>
    <n v="322578"/>
    <s v="CRCA SHEET TATCRC TR15 .5X1250X2500"/>
    <s v=""/>
    <m/>
    <m/>
    <m/>
    <m/>
    <s v="C06"/>
    <s v="TATCRC"/>
    <s v="TR15"/>
    <n v="0.5"/>
    <n v="1250"/>
    <n v="0"/>
    <n v="51"/>
    <n v="0"/>
    <n v="51"/>
    <n v="51"/>
    <n v="-2.9699999999999989"/>
    <n v="51"/>
    <n v="0"/>
    <n v="0"/>
    <n v="0"/>
    <n v="0"/>
    <n v="0"/>
    <n v="0"/>
    <n v="0"/>
    <n v="0"/>
    <n v="0"/>
    <n v="0"/>
    <n v="0"/>
    <n v="0"/>
    <n v="0"/>
    <n v="53.97"/>
    <n v="0"/>
    <n v="0"/>
    <n v="0"/>
    <n v="0"/>
    <n v="0"/>
    <n v="53.97"/>
    <n v="53.97"/>
    <n v="0"/>
    <n v="53.97"/>
    <m/>
    <n v="0"/>
    <n v="51"/>
    <n v="51"/>
    <n v="0"/>
    <n v="0"/>
    <n v="0"/>
    <n v="0"/>
    <n v="0"/>
    <n v="0"/>
    <n v="0"/>
    <n v="0"/>
    <n v="0"/>
    <n v="0"/>
    <m/>
    <m/>
    <m/>
    <m/>
    <m/>
    <m/>
    <m/>
    <m/>
    <m/>
    <m/>
    <m/>
    <m/>
    <m/>
    <m/>
    <m/>
    <m/>
    <m/>
    <m/>
    <m/>
    <m/>
    <m/>
    <m/>
    <m/>
    <m/>
    <m/>
    <m/>
    <m/>
    <m/>
    <m/>
    <m/>
    <m/>
    <m/>
    <m/>
    <m/>
    <m/>
  </r>
  <r>
    <n v="742"/>
    <d v="2025-04-11T00:00:00"/>
    <s v="ZBTO"/>
    <n v="9518684484"/>
    <n v="8"/>
    <s v="9518684484-8"/>
    <s v="No Priority"/>
    <x v="0"/>
    <m/>
    <x v="1"/>
    <x v="1"/>
    <n v="2000"/>
    <m/>
    <x v="0"/>
    <m/>
    <m/>
    <s v="Tamil Nadu"/>
    <s v="South"/>
    <m/>
    <m/>
    <n v="938550"/>
    <s v="BASEER AND CO"/>
    <n v="279229"/>
    <s v="CRSHEET TATXXD AU03 0.50X1250X2500"/>
    <s v=""/>
    <m/>
    <m/>
    <m/>
    <m/>
    <s v="C06"/>
    <s v="TATXXD"/>
    <s v="AU03"/>
    <n v="0.5"/>
    <n v="1250"/>
    <n v="0"/>
    <n v="51"/>
    <n v="0"/>
    <n v="51"/>
    <n v="51"/>
    <n v="51"/>
    <n v="51"/>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484"/>
    <n v="9"/>
    <s v="9518684484-9"/>
    <s v="May'25"/>
    <x v="0"/>
    <s v="Yes"/>
    <x v="1"/>
    <x v="2"/>
    <n v="2000"/>
    <m/>
    <x v="1"/>
    <m/>
    <m/>
    <s v="Tamil Nadu"/>
    <s v="South"/>
    <m/>
    <m/>
    <n v="938550"/>
    <s v="BASEER AND CO"/>
    <n v="3239536"/>
    <s v="CRCA SHEET TATCRC SR16 0.350X900X2500"/>
    <s v=""/>
    <m/>
    <m/>
    <m/>
    <m/>
    <s v="C06"/>
    <s v="TATCRC"/>
    <s v="SR16"/>
    <n v="0.35"/>
    <n v="900"/>
    <n v="2500"/>
    <n v="51"/>
    <n v="0"/>
    <n v="51"/>
    <n v="51"/>
    <n v="8.4200000000000017"/>
    <n v="51"/>
    <n v="0"/>
    <n v="0"/>
    <n v="0"/>
    <n v="0"/>
    <n v="0"/>
    <n v="0"/>
    <n v="0"/>
    <n v="0"/>
    <n v="0"/>
    <n v="0"/>
    <n v="0"/>
    <n v="0"/>
    <n v="0"/>
    <n v="21.2"/>
    <n v="21.38"/>
    <n v="0"/>
    <n v="0"/>
    <n v="0"/>
    <n v="0"/>
    <n v="42.58"/>
    <n v="42.58"/>
    <n v="0"/>
    <n v="42.58"/>
    <m/>
    <n v="0"/>
    <n v="51"/>
    <n v="0"/>
    <n v="51"/>
    <n v="0"/>
    <n v="0"/>
    <n v="0"/>
    <n v="51"/>
    <n v="0"/>
    <n v="51"/>
    <n v="0"/>
    <n v="0"/>
    <n v="0"/>
    <m/>
    <m/>
    <m/>
    <m/>
    <m/>
    <m/>
    <m/>
    <m/>
    <m/>
    <m/>
    <m/>
    <m/>
    <m/>
    <m/>
    <m/>
    <m/>
    <m/>
    <m/>
    <m/>
    <m/>
    <m/>
    <m/>
    <m/>
    <m/>
    <m/>
    <m/>
    <m/>
    <m/>
    <m/>
    <m/>
    <m/>
    <m/>
    <m/>
    <m/>
    <m/>
  </r>
  <r>
    <n v="742"/>
    <d v="2025-04-11T00:00:00"/>
    <s v="ZBTO"/>
    <n v="9518684484"/>
    <n v="11"/>
    <s v="9518684484-11"/>
    <s v="May'25"/>
    <x v="0"/>
    <s v="Yes"/>
    <x v="1"/>
    <x v="2"/>
    <n v="2000"/>
    <m/>
    <x v="1"/>
    <m/>
    <m/>
    <s v="Tamil Nadu"/>
    <s v="South"/>
    <m/>
    <m/>
    <n v="938550"/>
    <s v="BASEER AND CO"/>
    <n v="3239552"/>
    <s v="CRCA SHEET TATCRC SR16 0.400X1000X1980"/>
    <s v=""/>
    <m/>
    <m/>
    <m/>
    <m/>
    <s v="C06"/>
    <s v="TATCRC"/>
    <s v="SR16"/>
    <n v="0.4"/>
    <n v="1000"/>
    <n v="1980"/>
    <n v="75"/>
    <n v="0"/>
    <n v="75"/>
    <n v="75"/>
    <n v="75"/>
    <n v="75"/>
    <n v="0"/>
    <n v="0"/>
    <n v="0"/>
    <n v="0"/>
    <n v="0"/>
    <n v="0"/>
    <n v="0"/>
    <n v="0"/>
    <n v="0"/>
    <n v="0"/>
    <n v="0"/>
    <n v="0"/>
    <n v="0"/>
    <n v="0"/>
    <n v="0"/>
    <n v="0"/>
    <n v="0"/>
    <n v="0"/>
    <n v="0"/>
    <n v="0"/>
    <n v="0"/>
    <n v="0"/>
    <n v="0"/>
    <m/>
    <n v="0"/>
    <n v="75"/>
    <n v="0"/>
    <n v="0"/>
    <n v="0"/>
    <n v="0"/>
    <n v="75"/>
    <n v="0"/>
    <n v="0"/>
    <n v="0"/>
    <n v="0"/>
    <n v="0"/>
    <n v="0"/>
    <m/>
    <m/>
    <m/>
    <m/>
    <m/>
    <m/>
    <m/>
    <m/>
    <m/>
    <m/>
    <m/>
    <m/>
    <m/>
    <m/>
    <m/>
    <m/>
    <m/>
    <m/>
    <m/>
    <m/>
    <m/>
    <m/>
    <m/>
    <m/>
    <m/>
    <m/>
    <m/>
    <m/>
    <m/>
    <m/>
    <m/>
    <m/>
    <m/>
    <m/>
    <m/>
  </r>
  <r>
    <n v="742"/>
    <d v="2025-04-11T00:00:00"/>
    <s v="ZBTO"/>
    <n v="9518684484"/>
    <n v="12"/>
    <s v="9518684484-12"/>
    <s v="May'25"/>
    <x v="0"/>
    <s v="Yes"/>
    <x v="1"/>
    <x v="2"/>
    <n v="2000"/>
    <m/>
    <x v="1"/>
    <m/>
    <m/>
    <s v="Tamil Nadu"/>
    <s v="South"/>
    <m/>
    <m/>
    <n v="938550"/>
    <s v="BASEER AND CO"/>
    <n v="3239564"/>
    <s v="CRCA SHEET TATCRC SR16 0.450X1000X1980"/>
    <s v=""/>
    <m/>
    <m/>
    <m/>
    <m/>
    <s v="C06"/>
    <s v="TATCRC"/>
    <s v="SR16"/>
    <n v="0.45"/>
    <n v="1000"/>
    <n v="1980"/>
    <n v="60"/>
    <n v="0"/>
    <n v="60"/>
    <n v="60"/>
    <n v="37.870000000000005"/>
    <n v="60"/>
    <n v="0"/>
    <n v="0"/>
    <n v="0"/>
    <n v="0"/>
    <n v="0"/>
    <n v="0"/>
    <n v="0"/>
    <n v="0"/>
    <n v="0"/>
    <n v="0"/>
    <n v="0"/>
    <n v="0"/>
    <n v="0"/>
    <n v="0"/>
    <n v="22.13"/>
    <n v="0"/>
    <n v="0"/>
    <n v="0"/>
    <n v="0"/>
    <n v="22.13"/>
    <n v="22.13"/>
    <n v="0"/>
    <n v="22.13"/>
    <m/>
    <n v="0"/>
    <n v="60"/>
    <n v="0"/>
    <n v="0"/>
    <n v="60"/>
    <n v="0"/>
    <n v="0"/>
    <n v="0"/>
    <n v="0"/>
    <n v="0"/>
    <n v="0"/>
    <n v="0"/>
    <n v="0"/>
    <m/>
    <m/>
    <m/>
    <m/>
    <m/>
    <m/>
    <m/>
    <m/>
    <m/>
    <m/>
    <m/>
    <m/>
    <m/>
    <m/>
    <m/>
    <m/>
    <m/>
    <m/>
    <m/>
    <m/>
    <m/>
    <m/>
    <m/>
    <m/>
    <m/>
    <m/>
    <m/>
    <m/>
    <m/>
    <m/>
    <m/>
    <m/>
    <m/>
    <m/>
    <m/>
  </r>
  <r>
    <n v="742"/>
    <d v="2025-04-11T00:00:00"/>
    <s v="ZBTO"/>
    <n v="9518684484"/>
    <n v="13"/>
    <s v="9518684484-13"/>
    <s v="May'25"/>
    <x v="0"/>
    <m/>
    <x v="1"/>
    <x v="2"/>
    <n v="2000"/>
    <m/>
    <x v="1"/>
    <m/>
    <m/>
    <s v="Tamil Nadu"/>
    <s v="South"/>
    <m/>
    <m/>
    <n v="938550"/>
    <s v="BASEER AND CO"/>
    <n v="3533339"/>
    <s v="CRCA SHEET TATCRC SR16 0.450X1000X2000"/>
    <s v=""/>
    <m/>
    <m/>
    <m/>
    <m/>
    <s v="C06"/>
    <s v="TATCRC"/>
    <s v="SR16"/>
    <n v="0.45"/>
    <n v="1000"/>
    <n v="2000"/>
    <n v="24"/>
    <n v="0"/>
    <n v="24"/>
    <n v="24"/>
    <n v="1"/>
    <n v="24"/>
    <n v="0"/>
    <n v="0"/>
    <n v="0"/>
    <n v="23"/>
    <n v="0"/>
    <n v="0"/>
    <n v="0"/>
    <n v="0"/>
    <n v="0"/>
    <n v="0"/>
    <n v="0"/>
    <n v="0"/>
    <n v="0"/>
    <n v="0"/>
    <n v="0"/>
    <n v="0"/>
    <n v="0"/>
    <n v="0"/>
    <n v="0"/>
    <n v="23"/>
    <n v="23"/>
    <n v="0"/>
    <n v="23"/>
    <m/>
    <n v="0"/>
    <n v="24"/>
    <n v="0"/>
    <n v="0"/>
    <n v="24"/>
    <n v="0"/>
    <n v="0"/>
    <n v="0"/>
    <n v="0"/>
    <n v="0"/>
    <n v="0"/>
    <n v="0"/>
    <n v="0"/>
    <m/>
    <m/>
    <m/>
    <m/>
    <m/>
    <m/>
    <m/>
    <m/>
    <m/>
    <m/>
    <m/>
    <m/>
    <m/>
    <m/>
    <m/>
    <m/>
    <m/>
    <m/>
    <m/>
    <m/>
    <m/>
    <m/>
    <m/>
    <m/>
    <m/>
    <m/>
    <m/>
    <m/>
    <m/>
    <m/>
    <m/>
    <m/>
    <m/>
    <m/>
    <m/>
  </r>
  <r>
    <n v="742"/>
    <d v="2025-04-11T00:00:00"/>
    <s v="ZBTO"/>
    <n v="9518684484"/>
    <n v="14"/>
    <s v="9518684484-14"/>
    <s v="May'25"/>
    <x v="0"/>
    <s v="Yes"/>
    <x v="1"/>
    <x v="2"/>
    <n v="2000"/>
    <m/>
    <x v="1"/>
    <m/>
    <m/>
    <s v="Tamil Nadu"/>
    <s v="South"/>
    <m/>
    <m/>
    <n v="938550"/>
    <s v="BASEER AND CO"/>
    <n v="3239539"/>
    <s v="CRCA SHEET TATCRC SR16 0.350X1000X1980"/>
    <s v=""/>
    <m/>
    <m/>
    <m/>
    <m/>
    <s v="C06"/>
    <s v="TATCRC"/>
    <s v="SR16"/>
    <n v="0.35"/>
    <n v="1000"/>
    <n v="1980"/>
    <n v="51"/>
    <n v="0"/>
    <n v="51"/>
    <n v="51"/>
    <n v="51"/>
    <n v="51"/>
    <n v="0"/>
    <n v="0"/>
    <n v="0"/>
    <n v="0"/>
    <n v="0"/>
    <n v="0"/>
    <n v="0"/>
    <n v="0"/>
    <n v="0"/>
    <n v="0"/>
    <n v="0"/>
    <n v="0"/>
    <n v="0"/>
    <n v="0"/>
    <n v="0"/>
    <n v="0"/>
    <n v="0"/>
    <n v="0"/>
    <n v="0"/>
    <n v="0"/>
    <n v="0"/>
    <n v="0"/>
    <n v="0"/>
    <m/>
    <n v="0"/>
    <n v="51"/>
    <n v="0"/>
    <n v="0"/>
    <n v="0"/>
    <n v="51"/>
    <n v="0"/>
    <n v="0"/>
    <n v="0"/>
    <n v="0"/>
    <n v="0"/>
    <n v="0"/>
    <n v="0"/>
    <m/>
    <m/>
    <m/>
    <m/>
    <m/>
    <m/>
    <m/>
    <m/>
    <m/>
    <m/>
    <m/>
    <m/>
    <m/>
    <m/>
    <m/>
    <m/>
    <m/>
    <m/>
    <m/>
    <m/>
    <m/>
    <m/>
    <m/>
    <m/>
    <m/>
    <m/>
    <m/>
    <m/>
    <m/>
    <m/>
    <m/>
    <m/>
    <m/>
    <m/>
    <m/>
  </r>
  <r>
    <n v="742"/>
    <d v="2025-04-11T00:00:00"/>
    <s v="ZBTO"/>
    <n v="9518684957"/>
    <n v="1"/>
    <s v="9518684957-1"/>
    <s v="No Priority"/>
    <x v="1"/>
    <m/>
    <x v="1"/>
    <x v="1"/>
    <n v="2000"/>
    <m/>
    <x v="0"/>
    <m/>
    <m/>
    <s v="Tamil Nadu"/>
    <s v="South"/>
    <m/>
    <m/>
    <n v="938550"/>
    <s v="BASEER AND CO"/>
    <n v="2165172"/>
    <s v="CRCA COIL TATCRC TR15 0.700X1000"/>
    <s v=""/>
    <m/>
    <m/>
    <m/>
    <m/>
    <s v="C01"/>
    <s v="TATCRC"/>
    <s v="TR15"/>
    <n v="0.7"/>
    <n v="1000"/>
    <n v="0"/>
    <n v="115"/>
    <n v="0"/>
    <n v="115"/>
    <n v="115"/>
    <n v="115"/>
    <n v="115"/>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957"/>
    <n v="2"/>
    <s v="9518684957-2"/>
    <s v="No Priority"/>
    <x v="1"/>
    <m/>
    <x v="1"/>
    <x v="1"/>
    <n v="2000"/>
    <m/>
    <x v="0"/>
    <m/>
    <m/>
    <s v="Tamil Nadu"/>
    <s v="South"/>
    <m/>
    <m/>
    <n v="938550"/>
    <s v="BASEER AND CO"/>
    <n v="1801159"/>
    <s v="CRCA COIL-TATXXD-AU03-0.5X1000"/>
    <s v=""/>
    <m/>
    <m/>
    <m/>
    <m/>
    <s v="C01"/>
    <s v="TATXXD"/>
    <s v="AU03"/>
    <n v="0.5"/>
    <n v="1000"/>
    <n v="0"/>
    <n v="69"/>
    <n v="0"/>
    <n v="69"/>
    <n v="69"/>
    <n v="69"/>
    <n v="69"/>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957"/>
    <n v="3"/>
    <s v="9518684957-3"/>
    <s v="No Priority"/>
    <x v="1"/>
    <m/>
    <x v="1"/>
    <x v="1"/>
    <n v="2000"/>
    <m/>
    <x v="0"/>
    <m/>
    <m/>
    <s v="Tamil Nadu"/>
    <s v="South"/>
    <m/>
    <m/>
    <n v="938550"/>
    <s v="BASEER AND CO"/>
    <n v="1804905"/>
    <s v="CRCA COIL-TATCRC-TR15-0.5X1000"/>
    <s v=""/>
    <m/>
    <m/>
    <m/>
    <m/>
    <s v="C01"/>
    <s v="TATCRC"/>
    <s v="TR15"/>
    <n v="0.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4957"/>
    <n v="4"/>
    <s v="9518684957-4"/>
    <s v="No Priority"/>
    <x v="1"/>
    <m/>
    <x v="1"/>
    <x v="1"/>
    <n v="2000"/>
    <m/>
    <x v="0"/>
    <m/>
    <m/>
    <s v="Tamil Nadu"/>
    <s v="South"/>
    <m/>
    <m/>
    <n v="938550"/>
    <s v="BASEER AND CO"/>
    <n v="2378009"/>
    <s v="CRCA COIL TATXXD AU03 0.700X1000"/>
    <s v=""/>
    <m/>
    <m/>
    <m/>
    <m/>
    <s v="C01"/>
    <s v="TATXXD"/>
    <s v="AU03"/>
    <n v="0.7"/>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1"/>
    <s v="9518665177-1"/>
    <s v="No Priority"/>
    <x v="1"/>
    <m/>
    <x v="1"/>
    <x v="1"/>
    <n v="2000"/>
    <m/>
    <x v="0"/>
    <m/>
    <m/>
    <s v="Kerala"/>
    <s v="South"/>
    <m/>
    <m/>
    <n v="116650"/>
    <s v="BESTEEL KUMMENCHERY,"/>
    <n v="1804905"/>
    <s v="CRCA COIL-TATCRC-TR15-0.5X1000"/>
    <s v=""/>
    <m/>
    <m/>
    <m/>
    <m/>
    <s v="C01"/>
    <s v="TATCRC"/>
    <s v="TR15"/>
    <n v="0.5"/>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2"/>
    <s v="9518665177-2"/>
    <s v="No Priority"/>
    <x v="1"/>
    <m/>
    <x v="1"/>
    <x v="1"/>
    <n v="2000"/>
    <m/>
    <x v="0"/>
    <m/>
    <m/>
    <s v="Kerala"/>
    <s v="South"/>
    <m/>
    <m/>
    <n v="116650"/>
    <s v="BESTEEL KUMMENCHERY,"/>
    <n v="1804914"/>
    <s v="CRCA COIL TATCRC TR15 0.6X1000"/>
    <s v=""/>
    <m/>
    <m/>
    <m/>
    <m/>
    <s v="C01"/>
    <s v="TATCRC"/>
    <s v="TR15"/>
    <n v="0.6"/>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3"/>
    <s v="9518665177-3"/>
    <s v="No Priority"/>
    <x v="1"/>
    <m/>
    <x v="1"/>
    <x v="1"/>
    <n v="2000"/>
    <m/>
    <x v="0"/>
    <m/>
    <m/>
    <s v="Kerala"/>
    <s v="South"/>
    <m/>
    <m/>
    <n v="116650"/>
    <s v="BESTEEL KUMMENCHERY,"/>
    <n v="2165172"/>
    <s v="CRCA COIL TATCRC TR15 0.700X1000"/>
    <s v=""/>
    <m/>
    <m/>
    <m/>
    <m/>
    <s v="C01"/>
    <s v="TATCRC"/>
    <s v="TR15"/>
    <n v="0.7"/>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4"/>
    <s v="9518665177-4"/>
    <s v="No Priority"/>
    <x v="1"/>
    <m/>
    <x v="1"/>
    <x v="1"/>
    <n v="2000"/>
    <m/>
    <x v="0"/>
    <m/>
    <m/>
    <s v="Kerala"/>
    <s v="South"/>
    <m/>
    <m/>
    <n v="116650"/>
    <s v="BESTEEL KUMMENCHERY,"/>
    <n v="1804927"/>
    <s v="CRCA COIL-TATCRC-TR15-0.8X1000"/>
    <s v=""/>
    <m/>
    <m/>
    <m/>
    <m/>
    <s v="C01"/>
    <s v="TATCRC"/>
    <s v="TR15"/>
    <n v="0.8"/>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5"/>
    <s v="9518665177-5"/>
    <s v="No Priority"/>
    <x v="1"/>
    <m/>
    <x v="1"/>
    <x v="1"/>
    <n v="2000"/>
    <m/>
    <x v="0"/>
    <m/>
    <m/>
    <s v="Kerala"/>
    <s v="South"/>
    <m/>
    <m/>
    <n v="116650"/>
    <s v="BESTEEL KUMMENCHERY,"/>
    <n v="2390329"/>
    <s v="CRCA COIL TATXXD AU03 0.900X1000"/>
    <s v=""/>
    <m/>
    <m/>
    <m/>
    <m/>
    <s v="C01"/>
    <s v="TATXXD"/>
    <s v="AU03"/>
    <n v="0.9"/>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8"/>
    <s v="9518665177-8"/>
    <s v="No Priority"/>
    <x v="0"/>
    <m/>
    <x v="1"/>
    <x v="1"/>
    <n v="2000"/>
    <m/>
    <x v="0"/>
    <m/>
    <m/>
    <s v="Kerala"/>
    <s v="South"/>
    <m/>
    <m/>
    <n v="116650"/>
    <s v="BESTEEL KUMMENCHERY,"/>
    <n v="1804826"/>
    <s v="CRCA COIL-TATXXD-AU03-0.9X1250"/>
    <s v=""/>
    <m/>
    <m/>
    <m/>
    <m/>
    <s v="C01"/>
    <s v="TATXXD"/>
    <s v="AU03"/>
    <n v="0.9"/>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10"/>
    <s v="9518665177-10"/>
    <s v="No Priority"/>
    <x v="1"/>
    <m/>
    <x v="1"/>
    <x v="1"/>
    <n v="2000"/>
    <m/>
    <x v="0"/>
    <m/>
    <m/>
    <s v="Kerala"/>
    <s v="South"/>
    <m/>
    <m/>
    <n v="116650"/>
    <s v="BESTEEL KUMMENCHERY,"/>
    <n v="1804870"/>
    <s v="CRCA COIL-TATXXD-AU03-2X1000"/>
    <s v=""/>
    <m/>
    <m/>
    <m/>
    <m/>
    <s v="C01"/>
    <s v="TATXXD"/>
    <s v="AU03"/>
    <n v="2"/>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12"/>
    <s v="9518665177-12"/>
    <s v="No Priority"/>
    <x v="1"/>
    <m/>
    <x v="1"/>
    <x v="2"/>
    <n v="2000"/>
    <m/>
    <x v="0"/>
    <m/>
    <m/>
    <s v="Kerala"/>
    <s v="South"/>
    <m/>
    <m/>
    <n v="116650"/>
    <s v="BESTEEL KUMMENCHERY,"/>
    <n v="3239538"/>
    <s v="CRCA SHEET TATCRC SR16 0.350X1000X1910"/>
    <s v=""/>
    <m/>
    <m/>
    <m/>
    <m/>
    <s v="C06"/>
    <s v="TATCRC"/>
    <s v="SR16"/>
    <n v="0.35"/>
    <n v="1000"/>
    <n v="1910"/>
    <n v="27"/>
    <n v="0"/>
    <n v="27"/>
    <n v="27"/>
    <n v="27"/>
    <n v="27"/>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5177"/>
    <n v="14"/>
    <s v="9518665177-14"/>
    <s v="No Priority"/>
    <x v="1"/>
    <m/>
    <x v="1"/>
    <x v="2"/>
    <n v="2000"/>
    <m/>
    <x v="0"/>
    <m/>
    <m/>
    <s v="Kerala"/>
    <s v="South"/>
    <m/>
    <m/>
    <n v="116650"/>
    <s v="BESTEEL KUMMENCHERY,"/>
    <n v="3239551"/>
    <s v="CRCA SHEET TATCRC SR16 0.400X1000X1910"/>
    <s v=""/>
    <m/>
    <m/>
    <m/>
    <m/>
    <s v="C06"/>
    <s v="TATCRC"/>
    <s v="SR16"/>
    <n v="0.4"/>
    <n v="1000"/>
    <n v="191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4-09T00:00:00"/>
    <s v="ZBTO"/>
    <n v="9518679420"/>
    <n v="1"/>
    <s v="9518679420-1"/>
    <s v="No Priority"/>
    <x v="1"/>
    <m/>
    <x v="1"/>
    <x v="1"/>
    <n v="2000"/>
    <m/>
    <x v="0"/>
    <m/>
    <m/>
    <s v="Punjab"/>
    <s v="North"/>
    <m/>
    <m/>
    <n v="819097"/>
    <s v="BHAGWATI STEEL SALES"/>
    <n v="1804908"/>
    <s v="CRCA COIL TATCRC TR15 0.5X1250"/>
    <s v=""/>
    <m/>
    <m/>
    <m/>
    <m/>
    <s v="C01"/>
    <s v="TATCRC"/>
    <s v="TR15"/>
    <n v="0.5"/>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3-16T00:00:00"/>
    <s v="ZBTO"/>
    <n v="9518604323"/>
    <n v="1"/>
    <s v="9518604323-1"/>
    <s v="May'25"/>
    <x v="0"/>
    <s v="Yes"/>
    <x v="1"/>
    <x v="2"/>
    <n v="2000"/>
    <m/>
    <x v="1"/>
    <m/>
    <m/>
    <s v="Orissa"/>
    <s v="East"/>
    <m/>
    <m/>
    <n v="117061"/>
    <s v="BHARTIA  DISTRIBUTORS PVT. LTD"/>
    <n v="3239536"/>
    <s v="CRCA SHEET TATCRC SR16 0.350X900X2500"/>
    <s v=""/>
    <m/>
    <m/>
    <m/>
    <m/>
    <s v="C06"/>
    <s v="TATCRC"/>
    <s v="SR16"/>
    <n v="0.35"/>
    <n v="900"/>
    <n v="2500"/>
    <n v="21"/>
    <n v="0"/>
    <n v="21"/>
    <n v="21"/>
    <n v="-0.12000000000000099"/>
    <n v="21"/>
    <n v="0"/>
    <n v="0"/>
    <n v="0"/>
    <n v="0"/>
    <n v="0"/>
    <n v="0"/>
    <n v="0"/>
    <n v="0"/>
    <n v="0"/>
    <n v="0"/>
    <n v="0"/>
    <n v="0"/>
    <n v="0"/>
    <n v="0"/>
    <n v="21.12"/>
    <n v="0"/>
    <n v="0"/>
    <n v="0"/>
    <n v="0"/>
    <n v="21.12"/>
    <n v="21.12"/>
    <n v="0"/>
    <n v="21.12"/>
    <m/>
    <n v="0"/>
    <n v="21"/>
    <n v="21"/>
    <n v="0"/>
    <n v="0"/>
    <n v="0"/>
    <n v="0"/>
    <n v="0"/>
    <n v="0"/>
    <n v="0"/>
    <n v="0"/>
    <n v="0"/>
    <n v="0"/>
    <m/>
    <m/>
    <m/>
    <m/>
    <m/>
    <m/>
    <m/>
    <m/>
    <m/>
    <m/>
    <m/>
    <m/>
    <m/>
    <m/>
    <m/>
    <m/>
    <m/>
    <m/>
    <m/>
    <m/>
    <m/>
    <m/>
    <m/>
    <m/>
    <m/>
    <m/>
    <m/>
    <m/>
    <m/>
    <m/>
    <m/>
    <m/>
    <m/>
    <m/>
    <m/>
  </r>
  <r>
    <n v="742"/>
    <d v="2025-03-16T00:00:00"/>
    <s v="ZBTO"/>
    <n v="9518604323"/>
    <n v="2"/>
    <s v="9518604323-2"/>
    <s v="No Priority"/>
    <x v="1"/>
    <s v="Yes"/>
    <x v="1"/>
    <x v="2"/>
    <n v="2000"/>
    <m/>
    <x v="0"/>
    <m/>
    <m/>
    <s v="Orissa"/>
    <s v="East"/>
    <m/>
    <m/>
    <n v="117061"/>
    <s v="BHARTIA  DISTRIBUTORS PVT. LTD"/>
    <n v="3239542"/>
    <s v="CRCA SHEET TATCRC SR16 0.350X1000X2500"/>
    <s v=""/>
    <m/>
    <m/>
    <m/>
    <m/>
    <s v="C06"/>
    <s v="TATCRC"/>
    <s v="SR16"/>
    <n v="0.35"/>
    <n v="1000"/>
    <n v="2500"/>
    <n v="75"/>
    <n v="0"/>
    <n v="75"/>
    <n v="75"/>
    <n v="75"/>
    <n v="75"/>
    <n v="0"/>
    <n v="0"/>
    <n v="0"/>
    <n v="0"/>
    <n v="0"/>
    <n v="0"/>
    <n v="0"/>
    <n v="0"/>
    <n v="0"/>
    <n v="0"/>
    <n v="0"/>
    <n v="0"/>
    <n v="0"/>
    <n v="0"/>
    <n v="0"/>
    <n v="0"/>
    <n v="0"/>
    <n v="0"/>
    <n v="0"/>
    <n v="0"/>
    <n v="0"/>
    <n v="0"/>
    <n v="0"/>
    <m/>
    <n v="0"/>
    <n v="0"/>
    <n v="0"/>
    <n v="0"/>
    <n v="0"/>
    <n v="0"/>
    <n v="0"/>
    <n v="0"/>
    <n v="0"/>
    <n v="0"/>
    <n v="0"/>
    <n v="0"/>
    <n v="0"/>
    <m/>
    <m/>
    <m/>
    <m/>
    <m/>
    <m/>
    <m/>
    <m/>
    <m/>
    <m/>
    <m/>
    <m/>
    <m/>
    <m/>
    <m/>
    <m/>
    <m/>
    <m/>
    <m/>
    <m/>
    <m/>
    <m/>
    <m/>
    <m/>
    <m/>
    <m/>
    <m/>
    <m/>
    <m/>
    <m/>
    <m/>
    <m/>
    <m/>
    <m/>
    <m/>
  </r>
  <r>
    <n v="742"/>
    <d v="2025-03-16T00:00:00"/>
    <s v="ZBTO"/>
    <n v="9518604323"/>
    <n v="3"/>
    <s v="9518604323-3"/>
    <s v="May'25"/>
    <x v="0"/>
    <s v="Yes"/>
    <x v="1"/>
    <x v="2"/>
    <n v="2000"/>
    <m/>
    <x v="1"/>
    <m/>
    <m/>
    <s v="Orissa"/>
    <s v="East"/>
    <m/>
    <m/>
    <n v="117061"/>
    <s v="BHARTIA  DISTRIBUTORS PVT. LTD"/>
    <n v="3239554"/>
    <s v="CRCA SHEET TATCRC SR16 0.400X1000X2500"/>
    <s v=""/>
    <m/>
    <m/>
    <m/>
    <m/>
    <s v="C06"/>
    <s v="TATCRC"/>
    <s v="SR16"/>
    <n v="0.4"/>
    <n v="1000"/>
    <n v="2500"/>
    <n v="75"/>
    <n v="0"/>
    <n v="75"/>
    <n v="75"/>
    <n v="75"/>
    <n v="75"/>
    <n v="0"/>
    <n v="0"/>
    <n v="0"/>
    <n v="0"/>
    <n v="0"/>
    <n v="0"/>
    <n v="0"/>
    <n v="0"/>
    <n v="0"/>
    <n v="0"/>
    <n v="0"/>
    <n v="0"/>
    <n v="0"/>
    <n v="0"/>
    <n v="0"/>
    <n v="0"/>
    <n v="0"/>
    <n v="0"/>
    <n v="0"/>
    <n v="0"/>
    <n v="0"/>
    <n v="0"/>
    <n v="0"/>
    <m/>
    <n v="0"/>
    <n v="75"/>
    <n v="0"/>
    <n v="0"/>
    <n v="0"/>
    <n v="0"/>
    <n v="75"/>
    <n v="0"/>
    <n v="0"/>
    <n v="0"/>
    <n v="0"/>
    <n v="0"/>
    <n v="0"/>
    <m/>
    <m/>
    <m/>
    <m/>
    <m/>
    <m/>
    <m/>
    <m/>
    <m/>
    <m/>
    <m/>
    <m/>
    <m/>
    <m/>
    <m/>
    <m/>
    <m/>
    <m/>
    <m/>
    <m/>
    <m/>
    <m/>
    <m/>
    <m/>
    <m/>
    <m/>
    <m/>
    <m/>
    <m/>
    <m/>
    <m/>
    <m/>
    <m/>
    <m/>
    <m/>
  </r>
  <r>
    <n v="743"/>
    <d v="2025-03-17T00:00:00"/>
    <s v="ZBTO"/>
    <n v="9518605386"/>
    <n v="2"/>
    <s v="9518605386-2"/>
    <s v="No Priority"/>
    <x v="1"/>
    <s v="Yes"/>
    <x v="3"/>
    <x v="9"/>
    <n v="2000"/>
    <m/>
    <x v="0"/>
    <m/>
    <m/>
    <s v="Orissa"/>
    <s v="East"/>
    <m/>
    <m/>
    <n v="117061"/>
    <s v="BHARTIA  DISTRIBUTORS PVT. LTD"/>
    <n v="3484325"/>
    <s v="GP SH SOFT TATXGP GK09 0.350X900X2500"/>
    <n v="80"/>
    <m/>
    <m/>
    <m/>
    <m/>
    <s v="B11"/>
    <s v="TATXGP"/>
    <s v="GK09"/>
    <n v="0.35"/>
    <n v="900"/>
    <n v="0"/>
    <n v="80"/>
    <n v="0"/>
    <n v="80"/>
    <n v="80"/>
    <n v="80"/>
    <n v="80"/>
    <n v="0"/>
    <n v="0"/>
    <n v="0"/>
    <n v="0"/>
    <n v="0"/>
    <n v="0"/>
    <n v="0"/>
    <n v="0"/>
    <n v="0"/>
    <n v="0"/>
    <n v="0"/>
    <n v="0"/>
    <n v="0"/>
    <n v="0"/>
    <n v="0"/>
    <n v="0"/>
    <n v="0"/>
    <n v="0"/>
    <n v="0"/>
    <n v="0"/>
    <n v="0"/>
    <n v="0"/>
    <n v="0"/>
    <m/>
    <n v="0"/>
    <n v="0"/>
    <n v="0"/>
    <n v="0"/>
    <n v="0"/>
    <n v="0"/>
    <n v="0"/>
    <n v="0"/>
    <n v="0"/>
    <n v="0"/>
    <n v="0"/>
    <n v="0"/>
    <n v="0"/>
    <m/>
    <m/>
    <m/>
    <m/>
    <m/>
    <m/>
    <m/>
    <m/>
    <m/>
    <m/>
    <m/>
    <m/>
    <m/>
    <m/>
    <m/>
    <m/>
    <m/>
    <m/>
    <m/>
    <m/>
    <m/>
    <m/>
    <m/>
    <m/>
    <m/>
    <m/>
    <m/>
    <m/>
    <m/>
    <m/>
    <m/>
    <m/>
    <m/>
    <m/>
    <m/>
  </r>
  <r>
    <n v="743"/>
    <d v="2025-03-17T00:00:00"/>
    <s v="ZBTO"/>
    <n v="9518605386"/>
    <n v="3"/>
    <s v="9518605386-3"/>
    <s v="No Priority"/>
    <x v="1"/>
    <s v="Yes"/>
    <x v="3"/>
    <x v="9"/>
    <n v="2000"/>
    <m/>
    <x v="0"/>
    <m/>
    <m/>
    <s v="Orissa"/>
    <s v="East"/>
    <m/>
    <m/>
    <n v="117061"/>
    <s v="BHARTIA  DISTRIBUTORS PVT. LTD"/>
    <n v="3484326"/>
    <s v="GP SH SOFT TATXGP GK09 0.400X900X2500"/>
    <n v="80"/>
    <m/>
    <m/>
    <m/>
    <m/>
    <s v="B11"/>
    <s v="TATXGP"/>
    <s v="GK09"/>
    <n v="0.4"/>
    <n v="900"/>
    <n v="0"/>
    <n v="80"/>
    <n v="0"/>
    <n v="80"/>
    <n v="80"/>
    <n v="80"/>
    <n v="80"/>
    <n v="0"/>
    <n v="0"/>
    <n v="0"/>
    <n v="0"/>
    <n v="0"/>
    <n v="0"/>
    <n v="0"/>
    <n v="0"/>
    <n v="0"/>
    <n v="0"/>
    <n v="0"/>
    <n v="0"/>
    <n v="0"/>
    <n v="0"/>
    <n v="0"/>
    <n v="0"/>
    <n v="0"/>
    <n v="0"/>
    <n v="0"/>
    <n v="0"/>
    <n v="0"/>
    <n v="0"/>
    <n v="0"/>
    <m/>
    <n v="0"/>
    <n v="0"/>
    <n v="0"/>
    <n v="0"/>
    <n v="0"/>
    <n v="0"/>
    <n v="0"/>
    <n v="0"/>
    <n v="0"/>
    <n v="0"/>
    <n v="0"/>
    <n v="0"/>
    <n v="0"/>
    <m/>
    <m/>
    <m/>
    <m/>
    <m/>
    <m/>
    <m/>
    <m/>
    <m/>
    <m/>
    <m/>
    <m/>
    <m/>
    <m/>
    <m/>
    <m/>
    <m/>
    <m/>
    <m/>
    <m/>
    <m/>
    <m/>
    <m/>
    <m/>
    <m/>
    <m/>
    <m/>
    <m/>
    <m/>
    <m/>
    <m/>
    <m/>
    <m/>
    <m/>
    <m/>
  </r>
  <r>
    <n v="743"/>
    <d v="2025-03-17T00:00:00"/>
    <s v="ZBTO"/>
    <n v="9518605386"/>
    <n v="4"/>
    <s v="9518605386-4"/>
    <s v="May'25"/>
    <x v="1"/>
    <s v="Yes"/>
    <x v="3"/>
    <x v="9"/>
    <n v="2000"/>
    <m/>
    <x v="1"/>
    <m/>
    <m/>
    <s v="Orissa"/>
    <s v="East"/>
    <m/>
    <m/>
    <n v="117061"/>
    <s v="BHARTIA  DISTRIBUTORS PVT. LTD"/>
    <n v="3484328"/>
    <s v="GP SH SOFT TATXGP GK09 0.500X900X2500"/>
    <n v="80"/>
    <m/>
    <m/>
    <m/>
    <m/>
    <s v="B11"/>
    <s v="TATXGP"/>
    <s v="GK09"/>
    <n v="0.5"/>
    <n v="900"/>
    <n v="0"/>
    <n v="80"/>
    <n v="0"/>
    <n v="80"/>
    <n v="80"/>
    <n v="80"/>
    <n v="80"/>
    <n v="0"/>
    <n v="0"/>
    <n v="0"/>
    <n v="0"/>
    <n v="0"/>
    <n v="0"/>
    <n v="0"/>
    <n v="0"/>
    <n v="0"/>
    <n v="0"/>
    <n v="0"/>
    <n v="0"/>
    <n v="0"/>
    <n v="0"/>
    <n v="0"/>
    <n v="0"/>
    <n v="0"/>
    <n v="0"/>
    <n v="0"/>
    <n v="0"/>
    <n v="0"/>
    <n v="0"/>
    <n v="0"/>
    <m/>
    <n v="0"/>
    <n v="80"/>
    <n v="0"/>
    <n v="80"/>
    <n v="0"/>
    <n v="0"/>
    <n v="0"/>
    <n v="80"/>
    <n v="0"/>
    <n v="80"/>
    <n v="0"/>
    <n v="0"/>
    <n v="0"/>
    <m/>
    <m/>
    <m/>
    <m/>
    <m/>
    <m/>
    <m/>
    <m/>
    <m/>
    <m/>
    <m/>
    <m/>
    <m/>
    <m/>
    <m/>
    <m/>
    <m/>
    <m/>
    <m/>
    <m/>
    <m/>
    <m/>
    <m/>
    <m/>
    <m/>
    <m/>
    <m/>
    <m/>
    <m/>
    <m/>
    <m/>
    <m/>
    <m/>
    <m/>
    <m/>
  </r>
  <r>
    <n v="743"/>
    <d v="2025-03-17T00:00:00"/>
    <s v="ZBTO"/>
    <n v="9518605386"/>
    <n v="5"/>
    <s v="9518605386-5"/>
    <s v="May'25"/>
    <x v="1"/>
    <s v="Yes"/>
    <x v="3"/>
    <x v="9"/>
    <n v="2000"/>
    <m/>
    <x v="1"/>
    <m/>
    <m/>
    <s v="Orissa"/>
    <s v="East"/>
    <m/>
    <m/>
    <n v="117061"/>
    <s v="BHARTIA  DISTRIBUTORS PVT. LTD"/>
    <n v="3484329"/>
    <s v="GP SH SOFT TATXGP GK09 0.600X900X2500"/>
    <n v="80"/>
    <m/>
    <m/>
    <m/>
    <m/>
    <s v="B11"/>
    <s v="TATXGP"/>
    <s v="GK09"/>
    <n v="0.6"/>
    <n v="900"/>
    <n v="2500"/>
    <n v="40"/>
    <n v="0"/>
    <n v="40"/>
    <n v="40"/>
    <n v="40"/>
    <n v="40"/>
    <n v="0"/>
    <n v="0"/>
    <n v="0"/>
    <n v="0"/>
    <n v="0"/>
    <n v="0"/>
    <n v="0"/>
    <n v="0"/>
    <n v="0"/>
    <n v="0"/>
    <n v="0"/>
    <n v="0"/>
    <n v="0"/>
    <n v="0"/>
    <n v="0"/>
    <n v="0"/>
    <n v="0"/>
    <n v="0"/>
    <n v="0"/>
    <n v="0"/>
    <n v="0"/>
    <n v="0"/>
    <n v="0"/>
    <m/>
    <n v="0"/>
    <n v="40"/>
    <n v="0"/>
    <n v="40"/>
    <n v="0"/>
    <n v="0"/>
    <n v="0"/>
    <n v="40"/>
    <n v="0"/>
    <n v="40"/>
    <n v="0"/>
    <n v="0"/>
    <n v="0"/>
    <m/>
    <m/>
    <m/>
    <m/>
    <m/>
    <m/>
    <m/>
    <m/>
    <m/>
    <m/>
    <m/>
    <m/>
    <m/>
    <m/>
    <m/>
    <m/>
    <m/>
    <m/>
    <m/>
    <m/>
    <m/>
    <m/>
    <m/>
    <m/>
    <m/>
    <m/>
    <m/>
    <m/>
    <m/>
    <m/>
    <m/>
    <m/>
    <m/>
    <m/>
    <m/>
  </r>
  <r>
    <n v="743"/>
    <d v="2025-03-19T00:00:00"/>
    <s v="ZBTO"/>
    <n v="9518613250"/>
    <n v="1"/>
    <s v="9518613250-1"/>
    <s v="May'25"/>
    <x v="1"/>
    <s v="Yes"/>
    <x v="3"/>
    <x v="9"/>
    <n v="2000"/>
    <m/>
    <x v="1"/>
    <m/>
    <m/>
    <s v="Orissa"/>
    <s v="East"/>
    <m/>
    <m/>
    <n v="117061"/>
    <s v="BHARTIA  DISTRIBUTORS PVT. LTD"/>
    <n v="3484324"/>
    <s v="GP SH SOFT TATXGP GK09 0.300X900X2500"/>
    <n v="80"/>
    <m/>
    <m/>
    <m/>
    <m/>
    <s v="B11"/>
    <s v="TATXGP"/>
    <s v="GK09"/>
    <n v="0.3"/>
    <n v="900"/>
    <n v="2500"/>
    <n v="80"/>
    <n v="0"/>
    <n v="80"/>
    <n v="80"/>
    <n v="80"/>
    <n v="80"/>
    <n v="0"/>
    <n v="0"/>
    <n v="0"/>
    <n v="0"/>
    <n v="0"/>
    <n v="0"/>
    <n v="0"/>
    <n v="0"/>
    <n v="0"/>
    <n v="0"/>
    <n v="0"/>
    <n v="0"/>
    <n v="0"/>
    <n v="0"/>
    <n v="0"/>
    <n v="0"/>
    <n v="0"/>
    <n v="0"/>
    <n v="0"/>
    <n v="0"/>
    <n v="0"/>
    <n v="0"/>
    <n v="0"/>
    <m/>
    <n v="0"/>
    <n v="80"/>
    <n v="0"/>
    <n v="0"/>
    <n v="0"/>
    <n v="80"/>
    <n v="0"/>
    <n v="0"/>
    <n v="0"/>
    <n v="0"/>
    <n v="0"/>
    <n v="0"/>
    <n v="0"/>
    <m/>
    <m/>
    <m/>
    <m/>
    <m/>
    <m/>
    <m/>
    <m/>
    <m/>
    <m/>
    <m/>
    <m/>
    <m/>
    <m/>
    <m/>
    <m/>
    <m/>
    <m/>
    <m/>
    <m/>
    <m/>
    <m/>
    <m/>
    <m/>
    <m/>
    <m/>
    <m/>
    <m/>
    <m/>
    <m/>
    <m/>
    <m/>
    <m/>
    <m/>
    <m/>
  </r>
  <r>
    <n v="742"/>
    <d v="2025-03-07T00:00:00"/>
    <s v="ZBTO"/>
    <n v="9518582494"/>
    <n v="1"/>
    <s v="9518582494-1"/>
    <s v="No Priority"/>
    <x v="1"/>
    <m/>
    <x v="1"/>
    <x v="2"/>
    <n v="2000"/>
    <m/>
    <x v="0"/>
    <m/>
    <m/>
    <s v="Bihar"/>
    <s v="East"/>
    <m/>
    <m/>
    <n v="103227"/>
    <s v="BMW VENTURES LIMITED"/>
    <n v="2427612"/>
    <s v="CRCA SHEET TATCRC SR16 0.300X900"/>
    <s v=""/>
    <m/>
    <m/>
    <m/>
    <m/>
    <s v="C06"/>
    <s v="TATCRC"/>
    <s v="SR16"/>
    <n v="0.3"/>
    <n v="900"/>
    <n v="2500"/>
    <n v="3"/>
    <n v="0"/>
    <n v="3"/>
    <n v="3"/>
    <n v="3"/>
    <n v="3"/>
    <n v="0"/>
    <n v="0"/>
    <n v="0"/>
    <n v="0"/>
    <n v="0"/>
    <n v="0"/>
    <n v="0"/>
    <n v="0"/>
    <n v="0"/>
    <n v="0"/>
    <n v="0"/>
    <n v="0"/>
    <n v="0"/>
    <n v="0"/>
    <n v="0"/>
    <n v="0"/>
    <n v="0"/>
    <n v="0"/>
    <n v="0"/>
    <n v="0"/>
    <n v="0"/>
    <n v="0"/>
    <n v="0"/>
    <m/>
    <n v="0"/>
    <n v="0"/>
    <n v="0"/>
    <n v="0"/>
    <n v="0"/>
    <n v="0"/>
    <n v="0"/>
    <n v="0"/>
    <n v="0"/>
    <n v="0"/>
    <n v="0"/>
    <n v="0"/>
    <n v="0"/>
    <m/>
    <m/>
    <m/>
    <m/>
    <m/>
    <m/>
    <m/>
    <m/>
    <m/>
    <m/>
    <m/>
    <m/>
    <m/>
    <m/>
    <m/>
    <m/>
    <m/>
    <m/>
    <m/>
    <m/>
    <m/>
    <m/>
    <m/>
    <m/>
    <m/>
    <m/>
    <m/>
    <m/>
    <m/>
    <m/>
    <m/>
    <m/>
    <m/>
    <m/>
    <m/>
  </r>
  <r>
    <n v="743"/>
    <d v="2025-03-13T00:00:00"/>
    <s v="ZBTO"/>
    <n v="9518598143"/>
    <n v="6"/>
    <s v="9518598143-6"/>
    <s v="May'25"/>
    <x v="1"/>
    <s v="Yes"/>
    <x v="3"/>
    <x v="9"/>
    <n v="2000"/>
    <m/>
    <x v="0"/>
    <m/>
    <m/>
    <s v="Bihar"/>
    <s v="East"/>
    <m/>
    <m/>
    <n v="103227"/>
    <s v="BMW VENTURES LIMITED"/>
    <n v="3633498"/>
    <s v="GP SH SOFT TATXGP GK09 0.630X900X2370"/>
    <n v="80"/>
    <m/>
    <m/>
    <m/>
    <m/>
    <s v="B11"/>
    <s v="TATXGP"/>
    <s v="GK09"/>
    <n v="0.63"/>
    <n v="900"/>
    <n v="237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4-10T00:00:00"/>
    <s v="ZBTO"/>
    <n v="9518681493"/>
    <n v="1"/>
    <s v="9518681493-1"/>
    <s v="Stocks"/>
    <x v="0"/>
    <s v="Yes"/>
    <x v="3"/>
    <x v="4"/>
    <n v="2000"/>
    <m/>
    <x v="1"/>
    <m/>
    <m/>
    <s v="Bihar"/>
    <s v="East"/>
    <m/>
    <m/>
    <n v="931671"/>
    <s v="BMW VENTURES LIMITED"/>
    <n v="3907468"/>
    <s v="GP COIL TATXGP GP02 0.350X1350"/>
    <s v=""/>
    <m/>
    <m/>
    <m/>
    <m/>
    <s v="C05"/>
    <s v="TATXGP"/>
    <s v="GP02"/>
    <n v="0.35"/>
    <n v="1350"/>
    <n v="0"/>
    <n v="62"/>
    <n v="0"/>
    <n v="62"/>
    <n v="62"/>
    <n v="56.22"/>
    <n v="8.2050000000000001"/>
    <n v="0"/>
    <n v="0"/>
    <n v="0"/>
    <n v="0"/>
    <n v="0"/>
    <n v="0"/>
    <n v="5.78"/>
    <n v="0"/>
    <n v="0"/>
    <n v="0"/>
    <n v="0"/>
    <n v="0"/>
    <n v="0"/>
    <n v="0"/>
    <n v="0"/>
    <n v="0"/>
    <n v="0"/>
    <n v="0"/>
    <n v="0"/>
    <n v="5.78"/>
    <n v="5.78"/>
    <n v="0"/>
    <n v="5.78"/>
    <m/>
    <n v="13.909999999999998"/>
    <n v="0"/>
    <n v="0"/>
    <n v="0"/>
    <n v="0"/>
    <n v="0"/>
    <n v="0"/>
    <n v="0"/>
    <n v="0"/>
    <n v="0"/>
    <n v="0"/>
    <n v="0"/>
    <n v="0"/>
    <m/>
    <m/>
    <m/>
    <m/>
    <m/>
    <m/>
    <m/>
    <m/>
    <m/>
    <m/>
    <m/>
    <m/>
    <m/>
    <m/>
    <m/>
    <m/>
    <m/>
    <m/>
    <m/>
    <m/>
    <m/>
    <m/>
    <m/>
    <m/>
    <m/>
    <m/>
    <m/>
    <m/>
    <m/>
    <m/>
    <m/>
    <m/>
    <m/>
    <m/>
    <m/>
  </r>
  <r>
    <n v="743"/>
    <d v="2025-04-10T00:00:00"/>
    <s v="ZBTO"/>
    <n v="9518681493"/>
    <n v="2"/>
    <s v="9518681493-2"/>
    <s v="May'25"/>
    <x v="0"/>
    <s v="Yes"/>
    <x v="3"/>
    <x v="4"/>
    <n v="2000"/>
    <m/>
    <x v="1"/>
    <m/>
    <m/>
    <s v="Bihar"/>
    <s v="East"/>
    <m/>
    <m/>
    <n v="931671"/>
    <s v="BMW VENTURES LIMITED"/>
    <n v="3767014"/>
    <s v="GP COIL TATGPH GP02 0.400X1350"/>
    <s v=""/>
    <m/>
    <m/>
    <m/>
    <m/>
    <s v="C05"/>
    <s v="TATGPH"/>
    <s v="GP02"/>
    <n v="0.4"/>
    <n v="1350"/>
    <n v="0"/>
    <n v="93"/>
    <n v="0"/>
    <n v="93"/>
    <n v="93"/>
    <n v="93"/>
    <n v="93"/>
    <n v="0"/>
    <n v="0"/>
    <n v="0"/>
    <n v="0"/>
    <n v="0"/>
    <n v="0"/>
    <n v="0"/>
    <n v="0"/>
    <n v="0"/>
    <n v="0"/>
    <n v="0"/>
    <n v="0"/>
    <n v="0"/>
    <n v="0"/>
    <n v="0"/>
    <n v="0"/>
    <n v="0"/>
    <n v="0"/>
    <n v="0"/>
    <n v="0"/>
    <n v="0"/>
    <n v="0"/>
    <n v="0"/>
    <m/>
    <n v="0"/>
    <n v="93"/>
    <n v="0"/>
    <n v="0"/>
    <n v="0"/>
    <n v="93"/>
    <n v="0"/>
    <n v="0"/>
    <n v="0"/>
    <n v="0"/>
    <n v="0"/>
    <n v="0"/>
    <n v="0"/>
    <m/>
    <m/>
    <m/>
    <m/>
    <m/>
    <m/>
    <m/>
    <m/>
    <m/>
    <m/>
    <m/>
    <m/>
    <m/>
    <m/>
    <m/>
    <m/>
    <m/>
    <m/>
    <m/>
    <m/>
    <m/>
    <m/>
    <m/>
    <m/>
    <m/>
    <m/>
    <m/>
    <m/>
    <m/>
    <m/>
    <m/>
    <m/>
    <m/>
    <m/>
    <m/>
  </r>
  <r>
    <n v="743"/>
    <d v="2025-04-10T00:00:00"/>
    <s v="ZBTO"/>
    <n v="9518681493"/>
    <n v="3"/>
    <s v="9518681493-3"/>
    <s v="May'25"/>
    <x v="0"/>
    <s v="Yes"/>
    <x v="3"/>
    <x v="4"/>
    <n v="2000"/>
    <m/>
    <x v="1"/>
    <m/>
    <m/>
    <s v="Bihar"/>
    <s v="East"/>
    <m/>
    <m/>
    <n v="931671"/>
    <s v="BMW VENTURES LIMITED"/>
    <n v="3774103"/>
    <s v="GP COIL TATXGP GP02 0.450X1350"/>
    <s v=""/>
    <m/>
    <m/>
    <m/>
    <m/>
    <s v="C05"/>
    <s v="TATXGP"/>
    <s v="GP02"/>
    <n v="0.45"/>
    <n v="1350"/>
    <n v="0"/>
    <n v="93"/>
    <n v="0"/>
    <n v="93"/>
    <n v="93"/>
    <n v="93"/>
    <n v="93"/>
    <n v="0"/>
    <n v="0"/>
    <n v="0"/>
    <n v="0"/>
    <n v="0"/>
    <n v="0"/>
    <n v="0"/>
    <n v="0"/>
    <n v="0"/>
    <n v="0"/>
    <n v="0"/>
    <n v="0"/>
    <n v="0"/>
    <n v="0"/>
    <n v="0"/>
    <n v="0"/>
    <n v="0"/>
    <n v="0"/>
    <n v="0"/>
    <n v="0"/>
    <n v="0"/>
    <n v="0"/>
    <n v="0"/>
    <m/>
    <n v="0"/>
    <n v="93"/>
    <n v="0"/>
    <n v="0"/>
    <n v="0"/>
    <n v="93"/>
    <n v="0"/>
    <n v="0"/>
    <n v="0"/>
    <n v="0"/>
    <n v="0"/>
    <n v="0"/>
    <n v="0"/>
    <m/>
    <m/>
    <m/>
    <m/>
    <m/>
    <m/>
    <m/>
    <m/>
    <m/>
    <m/>
    <m/>
    <m/>
    <m/>
    <m/>
    <m/>
    <m/>
    <m/>
    <m/>
    <m/>
    <m/>
    <m/>
    <m/>
    <m/>
    <m/>
    <m/>
    <m/>
    <m/>
    <m/>
    <m/>
    <m/>
    <m/>
    <m/>
    <m/>
    <m/>
    <m/>
  </r>
  <r>
    <n v="743"/>
    <d v="2025-04-10T00:00:00"/>
    <s v="ZBTO"/>
    <n v="9518681493"/>
    <n v="4"/>
    <s v="9518681493-4"/>
    <s v="May'25"/>
    <x v="0"/>
    <s v="Yes"/>
    <x v="3"/>
    <x v="4"/>
    <n v="2000"/>
    <m/>
    <x v="1"/>
    <m/>
    <m/>
    <s v="Bihar"/>
    <s v="East"/>
    <m/>
    <m/>
    <n v="931671"/>
    <s v="BMW VENTURES LIMITED"/>
    <n v="3708868"/>
    <s v="GP COIL TATGPH GP02 0.500X1350"/>
    <s v=""/>
    <m/>
    <m/>
    <m/>
    <m/>
    <s v="C05"/>
    <s v="TATGPH"/>
    <s v="GP02"/>
    <n v="0.5"/>
    <n v="1350"/>
    <n v="0"/>
    <n v="62"/>
    <n v="0"/>
    <n v="62"/>
    <n v="62"/>
    <n v="62"/>
    <n v="62"/>
    <n v="0"/>
    <n v="0"/>
    <n v="0"/>
    <n v="0"/>
    <n v="0"/>
    <n v="0"/>
    <n v="0"/>
    <n v="0"/>
    <n v="0"/>
    <n v="0"/>
    <n v="0"/>
    <n v="0"/>
    <n v="0"/>
    <n v="0"/>
    <n v="0"/>
    <n v="0"/>
    <n v="0"/>
    <n v="0"/>
    <n v="0"/>
    <n v="0"/>
    <n v="0"/>
    <n v="0"/>
    <n v="0"/>
    <m/>
    <n v="0"/>
    <n v="62"/>
    <n v="0"/>
    <n v="0"/>
    <n v="62"/>
    <n v="0"/>
    <n v="0"/>
    <n v="0"/>
    <n v="0"/>
    <n v="0"/>
    <n v="0"/>
    <n v="0"/>
    <n v="0"/>
    <m/>
    <m/>
    <m/>
    <m/>
    <m/>
    <m/>
    <m/>
    <m/>
    <m/>
    <m/>
    <m/>
    <m/>
    <m/>
    <m/>
    <m/>
    <m/>
    <m/>
    <m/>
    <m/>
    <m/>
    <m/>
    <m/>
    <m/>
    <m/>
    <m/>
    <m/>
    <m/>
    <m/>
    <m/>
    <m/>
    <m/>
    <m/>
    <m/>
    <m/>
    <m/>
  </r>
  <r>
    <n v="743"/>
    <d v="2025-04-10T00:00:00"/>
    <s v="ZBTO"/>
    <n v="9518681493"/>
    <n v="5"/>
    <s v="9518681493-5"/>
    <s v="May'25"/>
    <x v="0"/>
    <s v="Yes"/>
    <x v="3"/>
    <x v="4"/>
    <n v="2000"/>
    <m/>
    <x v="1"/>
    <m/>
    <m/>
    <s v="Bihar"/>
    <s v="East"/>
    <m/>
    <m/>
    <n v="931671"/>
    <s v="BMW VENTURES LIMITED"/>
    <n v="3708867"/>
    <s v="GP COIL TATGPH GP02 0.300X900"/>
    <s v=""/>
    <m/>
    <m/>
    <m/>
    <m/>
    <s v="C05"/>
    <s v="TATGPH"/>
    <s v="GP02"/>
    <n v="0.3"/>
    <n v="900"/>
    <n v="0"/>
    <n v="63"/>
    <n v="0"/>
    <n v="63"/>
    <n v="63"/>
    <n v="63"/>
    <n v="63"/>
    <n v="0"/>
    <n v="0"/>
    <n v="0"/>
    <n v="0"/>
    <n v="0"/>
    <n v="0"/>
    <n v="0"/>
    <n v="0"/>
    <n v="0"/>
    <n v="0"/>
    <n v="0"/>
    <n v="0"/>
    <n v="0"/>
    <n v="0"/>
    <n v="0"/>
    <n v="0"/>
    <n v="0"/>
    <n v="0"/>
    <n v="0"/>
    <n v="0"/>
    <n v="0"/>
    <n v="0"/>
    <n v="0"/>
    <m/>
    <n v="0"/>
    <n v="63"/>
    <n v="0"/>
    <n v="0"/>
    <n v="0"/>
    <n v="63"/>
    <n v="0"/>
    <n v="0"/>
    <n v="0"/>
    <n v="0"/>
    <n v="0"/>
    <n v="0"/>
    <n v="0"/>
    <m/>
    <m/>
    <m/>
    <m/>
    <m/>
    <m/>
    <m/>
    <m/>
    <m/>
    <m/>
    <m/>
    <m/>
    <m/>
    <m/>
    <m/>
    <m/>
    <m/>
    <m/>
    <m/>
    <m/>
    <m/>
    <m/>
    <m/>
    <m/>
    <m/>
    <m/>
    <m/>
    <m/>
    <m/>
    <m/>
    <m/>
    <m/>
    <m/>
    <m/>
    <m/>
  </r>
  <r>
    <n v="743"/>
    <d v="2025-04-10T00:00:00"/>
    <s v="ZBTO"/>
    <n v="9518681493"/>
    <n v="6"/>
    <s v="9518681493-6"/>
    <s v="May'25"/>
    <x v="0"/>
    <s v="Yes"/>
    <x v="3"/>
    <x v="4"/>
    <n v="2000"/>
    <m/>
    <x v="1"/>
    <m/>
    <m/>
    <s v="Bihar"/>
    <s v="East"/>
    <m/>
    <m/>
    <n v="931671"/>
    <s v="BMW VENTURES LIMITED"/>
    <n v="3768542"/>
    <s v="GP COIL TATGPH GP02 0.350X900"/>
    <s v=""/>
    <m/>
    <m/>
    <m/>
    <m/>
    <s v="C05"/>
    <s v="TATGPH"/>
    <s v="GP02"/>
    <n v="0.35"/>
    <n v="900"/>
    <n v="0"/>
    <n v="105"/>
    <n v="0"/>
    <n v="105"/>
    <n v="105"/>
    <n v="105"/>
    <n v="105"/>
    <n v="0"/>
    <n v="0"/>
    <n v="0"/>
    <n v="0"/>
    <n v="0"/>
    <n v="0"/>
    <n v="0"/>
    <n v="0"/>
    <n v="0"/>
    <n v="0"/>
    <n v="0"/>
    <n v="0"/>
    <n v="0"/>
    <n v="0"/>
    <n v="0"/>
    <n v="0"/>
    <n v="0"/>
    <n v="0"/>
    <n v="0"/>
    <n v="0"/>
    <n v="0"/>
    <n v="0"/>
    <n v="0"/>
    <m/>
    <n v="0"/>
    <n v="105"/>
    <n v="0"/>
    <n v="0"/>
    <n v="0"/>
    <n v="105"/>
    <n v="0"/>
    <n v="0"/>
    <n v="0"/>
    <n v="0"/>
    <n v="0"/>
    <n v="0"/>
    <n v="0"/>
    <m/>
    <m/>
    <m/>
    <m/>
    <m/>
    <m/>
    <m/>
    <m/>
    <m/>
    <m/>
    <m/>
    <m/>
    <m/>
    <m/>
    <m/>
    <m/>
    <m/>
    <m/>
    <m/>
    <m/>
    <m/>
    <m/>
    <m/>
    <m/>
    <m/>
    <m/>
    <m/>
    <m/>
    <m/>
    <m/>
    <m/>
    <m/>
    <m/>
    <m/>
    <m/>
  </r>
  <r>
    <n v="743"/>
    <d v="2025-04-10T00:00:00"/>
    <s v="ZBTO"/>
    <n v="9518681493"/>
    <n v="7"/>
    <s v="9518681493-7"/>
    <s v="May'25"/>
    <x v="0"/>
    <s v="Yes"/>
    <x v="3"/>
    <x v="4"/>
    <n v="2000"/>
    <m/>
    <x v="1"/>
    <m/>
    <m/>
    <s v="Bihar"/>
    <s v="East"/>
    <m/>
    <m/>
    <n v="931671"/>
    <s v="BMW VENTURES LIMITED"/>
    <n v="3777535"/>
    <s v="GP COIL TATGPH GP02 0.400X900"/>
    <s v=""/>
    <m/>
    <m/>
    <m/>
    <m/>
    <s v="C05"/>
    <s v="TATGPH"/>
    <s v="GP02"/>
    <n v="0.4"/>
    <n v="900"/>
    <n v="0"/>
    <n v="105"/>
    <n v="0"/>
    <n v="105"/>
    <n v="105"/>
    <n v="105"/>
    <n v="105"/>
    <n v="0"/>
    <n v="0"/>
    <n v="0"/>
    <n v="0"/>
    <n v="0"/>
    <n v="0"/>
    <n v="0"/>
    <n v="0"/>
    <n v="0"/>
    <n v="0"/>
    <n v="0"/>
    <n v="0"/>
    <n v="0"/>
    <n v="0"/>
    <n v="0"/>
    <n v="0"/>
    <n v="0"/>
    <n v="0"/>
    <n v="0"/>
    <n v="0"/>
    <n v="0"/>
    <n v="0"/>
    <n v="0"/>
    <m/>
    <n v="0"/>
    <n v="105"/>
    <n v="0"/>
    <n v="0"/>
    <n v="0"/>
    <n v="105"/>
    <n v="0"/>
    <n v="0"/>
    <n v="0"/>
    <n v="0"/>
    <n v="0"/>
    <n v="0"/>
    <n v="0"/>
    <m/>
    <m/>
    <m/>
    <m/>
    <m/>
    <m/>
    <m/>
    <m/>
    <m/>
    <m/>
    <m/>
    <m/>
    <m/>
    <m/>
    <m/>
    <m/>
    <m/>
    <m/>
    <m/>
    <m/>
    <m/>
    <m/>
    <m/>
    <m/>
    <m/>
    <m/>
    <m/>
    <m/>
    <m/>
    <m/>
    <m/>
    <m/>
    <m/>
    <m/>
    <m/>
  </r>
  <r>
    <n v="742"/>
    <d v="2025-04-15T00:00:00"/>
    <s v="ZBTO"/>
    <n v="9518694924"/>
    <n v="1"/>
    <s v="9518694924-1"/>
    <s v="No Priority"/>
    <x v="1"/>
    <m/>
    <x v="1"/>
    <x v="2"/>
    <n v="2000"/>
    <m/>
    <x v="0"/>
    <m/>
    <m/>
    <s v="Bihar"/>
    <s v="East"/>
    <m/>
    <m/>
    <n v="103227"/>
    <s v="BMW VENTURES LIMITED"/>
    <n v="2427612"/>
    <s v="CRCA SHEET TATCRC SR16 0.300X900"/>
    <s v=""/>
    <m/>
    <m/>
    <m/>
    <m/>
    <s v="C06"/>
    <s v="TATCRC"/>
    <s v="SR16"/>
    <n v="0.3"/>
    <n v="900"/>
    <n v="2500"/>
    <n v="39"/>
    <n v="0"/>
    <n v="39"/>
    <n v="39"/>
    <n v="39"/>
    <n v="39"/>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924"/>
    <n v="5"/>
    <s v="9518694924-5"/>
    <s v="No Priority"/>
    <x v="1"/>
    <m/>
    <x v="1"/>
    <x v="2"/>
    <n v="2000"/>
    <m/>
    <x v="0"/>
    <m/>
    <m/>
    <s v="Bihar"/>
    <s v="East"/>
    <m/>
    <m/>
    <n v="103227"/>
    <s v="BMW VENTURES LIMITED"/>
    <n v="2441002"/>
    <s v="CRCA SHEET TATCRC SR16 0.380X1250X2500"/>
    <s v=""/>
    <m/>
    <m/>
    <m/>
    <m/>
    <s v="C06"/>
    <s v="TATCRC"/>
    <s v="SR16"/>
    <n v="0.38"/>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924"/>
    <n v="6"/>
    <s v="9518694924-6"/>
    <s v="No Priority"/>
    <x v="1"/>
    <m/>
    <x v="1"/>
    <x v="2"/>
    <n v="2000"/>
    <m/>
    <x v="0"/>
    <m/>
    <m/>
    <s v="Bihar"/>
    <s v="East"/>
    <m/>
    <m/>
    <n v="103227"/>
    <s v="BMW VENTURES LIMITED"/>
    <n v="3239557"/>
    <s v="CRCA SHEET TATCRC SR16 0.400X1250X2500"/>
    <s v=""/>
    <m/>
    <m/>
    <m/>
    <m/>
    <s v="C06"/>
    <s v="TATCRC"/>
    <s v="SR16"/>
    <n v="0.4"/>
    <n v="1250"/>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924"/>
    <n v="7"/>
    <s v="9518694924-7"/>
    <s v="No Priority"/>
    <x v="0"/>
    <m/>
    <x v="1"/>
    <x v="2"/>
    <n v="2000"/>
    <m/>
    <x v="0"/>
    <m/>
    <m/>
    <s v="Bihar"/>
    <s v="East"/>
    <m/>
    <m/>
    <n v="103227"/>
    <s v="BMW VENTURES LIMITED"/>
    <n v="3239568"/>
    <s v="CRCA SHEET TATCRC SR16 0.450X1250X2500"/>
    <s v=""/>
    <m/>
    <m/>
    <m/>
    <m/>
    <s v="C06"/>
    <s v="TATCRC"/>
    <s v="SR16"/>
    <n v="0.45"/>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924"/>
    <n v="8"/>
    <s v="9518694924-8"/>
    <s v="No Priority"/>
    <x v="0"/>
    <m/>
    <x v="1"/>
    <x v="2"/>
    <n v="2000"/>
    <m/>
    <x v="0"/>
    <m/>
    <m/>
    <s v="Bihar"/>
    <s v="East"/>
    <m/>
    <m/>
    <n v="103227"/>
    <s v="BMW VENTURES LIMITED"/>
    <n v="2441006"/>
    <s v="CRCA SHEET TATCRC SR16 0.480X1250X2500"/>
    <s v=""/>
    <m/>
    <m/>
    <m/>
    <m/>
    <s v="C06"/>
    <s v="TATCRC"/>
    <s v="SR16"/>
    <n v="0.48"/>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924"/>
    <n v="9"/>
    <s v="9518694924-9"/>
    <s v="May'25"/>
    <x v="0"/>
    <m/>
    <x v="1"/>
    <x v="2"/>
    <n v="2000"/>
    <m/>
    <x v="1"/>
    <m/>
    <m/>
    <s v="Bihar"/>
    <s v="East"/>
    <m/>
    <m/>
    <n v="103227"/>
    <s v="BMW VENTURES LIMITED"/>
    <n v="3240778"/>
    <s v="CRCA SHEET TSBCRC SR15 0.600X1000X2500"/>
    <s v=""/>
    <m/>
    <m/>
    <m/>
    <m/>
    <s v="C06"/>
    <s v="TSBCRC"/>
    <s v="SR15"/>
    <n v="0.6"/>
    <n v="1000"/>
    <n v="2500"/>
    <n v="24"/>
    <n v="0"/>
    <n v="24"/>
    <n v="24"/>
    <n v="1.5199999999999996"/>
    <n v="24"/>
    <n v="0"/>
    <n v="0"/>
    <n v="0"/>
    <n v="0"/>
    <n v="0"/>
    <n v="0"/>
    <n v="0"/>
    <n v="0"/>
    <n v="0"/>
    <n v="0"/>
    <n v="0"/>
    <n v="0"/>
    <n v="0"/>
    <n v="22.48"/>
    <n v="0"/>
    <n v="0"/>
    <n v="0"/>
    <n v="0"/>
    <n v="0"/>
    <n v="22.48"/>
    <n v="22.48"/>
    <n v="0"/>
    <n v="22.48"/>
    <m/>
    <n v="0"/>
    <n v="24"/>
    <n v="0"/>
    <n v="24"/>
    <n v="0"/>
    <n v="0"/>
    <n v="0"/>
    <n v="24"/>
    <n v="0"/>
    <n v="24"/>
    <n v="0"/>
    <n v="0"/>
    <n v="0"/>
    <m/>
    <m/>
    <m/>
    <m/>
    <m/>
    <m/>
    <m/>
    <m/>
    <m/>
    <m/>
    <m/>
    <m/>
    <m/>
    <m/>
    <m/>
    <m/>
    <m/>
    <m/>
    <m/>
    <m/>
    <m/>
    <m/>
    <m/>
    <m/>
    <m/>
    <m/>
    <m/>
    <m/>
    <m/>
    <m/>
    <m/>
    <m/>
    <m/>
    <m/>
    <m/>
  </r>
  <r>
    <n v="742"/>
    <d v="2025-04-15T00:00:00"/>
    <s v="ZBTO"/>
    <n v="9518694924"/>
    <n v="10"/>
    <s v="9518694924-10"/>
    <s v="No Priority"/>
    <x v="0"/>
    <m/>
    <x v="1"/>
    <x v="2"/>
    <n v="2000"/>
    <m/>
    <x v="0"/>
    <m/>
    <m/>
    <s v="Bihar"/>
    <s v="East"/>
    <m/>
    <m/>
    <n v="103227"/>
    <s v="BMW VENTURES LIMITED"/>
    <n v="3240849"/>
    <s v="CRCA SHEET TSBCRC SR15 1.200X1250X2500"/>
    <s v=""/>
    <m/>
    <m/>
    <m/>
    <m/>
    <s v="C06"/>
    <s v="TSBCRC"/>
    <s v="SR15"/>
    <n v="1.2"/>
    <n v="1250"/>
    <n v="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5139"/>
    <n v="1"/>
    <s v="9518695139-1"/>
    <s v="No Priority"/>
    <x v="1"/>
    <m/>
    <x v="1"/>
    <x v="2"/>
    <n v="2000"/>
    <m/>
    <x v="0"/>
    <m/>
    <m/>
    <s v="Bihar"/>
    <s v="East"/>
    <m/>
    <m/>
    <n v="103227"/>
    <s v="BMW VENTURES LIMITED"/>
    <n v="2427612"/>
    <s v="CRCA SHEET TATCRC SR16 0.300X900"/>
    <s v=""/>
    <m/>
    <m/>
    <m/>
    <m/>
    <s v="C06"/>
    <s v="TATCRC"/>
    <s v="SR16"/>
    <n v="0.3"/>
    <n v="900"/>
    <n v="2500"/>
    <n v="39"/>
    <n v="0"/>
    <n v="39"/>
    <n v="39"/>
    <n v="39"/>
    <n v="39"/>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5139"/>
    <n v="4"/>
    <s v="9518695139-4"/>
    <s v="No Priority"/>
    <x v="1"/>
    <m/>
    <x v="1"/>
    <x v="2"/>
    <n v="2000"/>
    <m/>
    <x v="0"/>
    <m/>
    <m/>
    <s v="Bihar"/>
    <s v="East"/>
    <m/>
    <m/>
    <n v="103227"/>
    <s v="BMW VENTURES LIMITED"/>
    <n v="2441002"/>
    <s v="CRCA SHEET TATCRC SR16 0.380X1250X2500"/>
    <s v=""/>
    <m/>
    <m/>
    <m/>
    <m/>
    <s v="C06"/>
    <s v="TATCRC"/>
    <s v="SR16"/>
    <n v="0.38"/>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5139"/>
    <n v="5"/>
    <s v="9518695139-5"/>
    <s v="No Priority"/>
    <x v="1"/>
    <m/>
    <x v="1"/>
    <x v="2"/>
    <n v="2000"/>
    <m/>
    <x v="0"/>
    <m/>
    <m/>
    <s v="Bihar"/>
    <s v="East"/>
    <m/>
    <m/>
    <n v="103227"/>
    <s v="BMW VENTURES LIMITED"/>
    <n v="3239557"/>
    <s v="CRCA SHEET TATCRC SR16 0.400X1250X2500"/>
    <s v=""/>
    <m/>
    <m/>
    <m/>
    <m/>
    <s v="C06"/>
    <s v="TATCRC"/>
    <s v="SR16"/>
    <n v="0.4"/>
    <n v="1250"/>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5139"/>
    <n v="6"/>
    <s v="9518695139-6"/>
    <s v="No Priority"/>
    <x v="0"/>
    <m/>
    <x v="1"/>
    <x v="2"/>
    <n v="2000"/>
    <m/>
    <x v="0"/>
    <m/>
    <m/>
    <s v="Bihar"/>
    <s v="East"/>
    <m/>
    <m/>
    <n v="103227"/>
    <s v="BMW VENTURES LIMITED"/>
    <n v="3239568"/>
    <s v="CRCA SHEET TATCRC SR16 0.450X1250X2500"/>
    <s v=""/>
    <m/>
    <m/>
    <m/>
    <m/>
    <s v="C06"/>
    <s v="TATCRC"/>
    <s v="SR16"/>
    <n v="0.45"/>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5139"/>
    <n v="7"/>
    <s v="9518695139-7"/>
    <s v="No Priority"/>
    <x v="0"/>
    <m/>
    <x v="1"/>
    <x v="2"/>
    <n v="2000"/>
    <m/>
    <x v="0"/>
    <m/>
    <m/>
    <s v="Bihar"/>
    <s v="East"/>
    <m/>
    <m/>
    <n v="103227"/>
    <s v="BMW VENTURES LIMITED"/>
    <n v="2441006"/>
    <s v="CRCA SHEET TATCRC SR16 0.480X1250X2500"/>
    <s v=""/>
    <m/>
    <m/>
    <m/>
    <m/>
    <s v="C06"/>
    <s v="TATCRC"/>
    <s v="SR16"/>
    <n v="0.48"/>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5139"/>
    <n v="8"/>
    <s v="9518695139-8"/>
    <s v="No Priority"/>
    <x v="0"/>
    <m/>
    <x v="1"/>
    <x v="2"/>
    <n v="2000"/>
    <m/>
    <x v="0"/>
    <m/>
    <m/>
    <s v="Bihar"/>
    <s v="East"/>
    <m/>
    <m/>
    <n v="103227"/>
    <s v="BMW VENTURES LIMITED"/>
    <n v="3240778"/>
    <s v="CRCA SHEET TSBCRC SR15 0.600X1000X2500"/>
    <s v=""/>
    <m/>
    <m/>
    <m/>
    <m/>
    <s v="C06"/>
    <s v="TSBCRC"/>
    <s v="SR15"/>
    <n v="0.6"/>
    <n v="1000"/>
    <n v="2500"/>
    <n v="24"/>
    <n v="0"/>
    <n v="24"/>
    <n v="24"/>
    <n v="1.5599999999999987"/>
    <n v="24"/>
    <n v="0"/>
    <n v="0"/>
    <n v="0"/>
    <n v="0"/>
    <n v="0"/>
    <n v="0"/>
    <n v="0"/>
    <n v="0"/>
    <n v="0"/>
    <n v="0"/>
    <n v="0"/>
    <n v="0"/>
    <n v="0"/>
    <n v="22.44"/>
    <n v="0"/>
    <n v="0"/>
    <n v="0"/>
    <n v="0"/>
    <n v="0"/>
    <n v="22.44"/>
    <n v="22.44"/>
    <n v="0"/>
    <n v="22.44"/>
    <m/>
    <n v="0"/>
    <n v="0"/>
    <n v="0"/>
    <n v="0"/>
    <n v="0"/>
    <n v="0"/>
    <n v="0"/>
    <n v="0"/>
    <n v="0"/>
    <n v="0"/>
    <n v="0"/>
    <n v="0"/>
    <n v="0"/>
    <m/>
    <m/>
    <m/>
    <m/>
    <m/>
    <m/>
    <m/>
    <m/>
    <m/>
    <m/>
    <m/>
    <m/>
    <m/>
    <m/>
    <m/>
    <m/>
    <m/>
    <m/>
    <m/>
    <m/>
    <m/>
    <m/>
    <m/>
    <m/>
    <m/>
    <m/>
    <m/>
    <m/>
    <m/>
    <m/>
    <m/>
    <m/>
    <m/>
    <m/>
    <m/>
  </r>
  <r>
    <n v="742"/>
    <d v="2025-04-15T00:00:00"/>
    <s v="ZBTO"/>
    <n v="9518695139"/>
    <n v="9"/>
    <s v="9518695139-9"/>
    <s v="No Priority"/>
    <x v="0"/>
    <m/>
    <x v="1"/>
    <x v="2"/>
    <n v="2000"/>
    <m/>
    <x v="0"/>
    <m/>
    <m/>
    <s v="Bihar"/>
    <s v="East"/>
    <m/>
    <m/>
    <n v="103227"/>
    <s v="BMW VENTURES LIMITED"/>
    <n v="3240849"/>
    <s v="CRCA SHEET TSBCRC SR15 1.200X1250X2500"/>
    <s v=""/>
    <m/>
    <m/>
    <m/>
    <m/>
    <s v="C06"/>
    <s v="TSBCRC"/>
    <s v="SR15"/>
    <n v="1.2"/>
    <n v="1250"/>
    <n v="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3"/>
    <d v="2025-03-25T00:00:00"/>
    <s v="ZBTO"/>
    <n v="9518631278"/>
    <n v="4"/>
    <s v="9518631278-4"/>
    <s v="May'25"/>
    <x v="0"/>
    <s v="Yes"/>
    <x v="3"/>
    <x v="9"/>
    <n v="2000"/>
    <m/>
    <x v="0"/>
    <m/>
    <m/>
    <s v="West Bengal"/>
    <s v="East"/>
    <m/>
    <m/>
    <n v="100922"/>
    <s v="BUBNA COMMERCIAL COMPANY"/>
    <n v="1853143"/>
    <s v="GP COIL SOFT-TATXGP-GLK1-0.4X900"/>
    <s v=""/>
    <m/>
    <m/>
    <m/>
    <m/>
    <s v="C02"/>
    <s v="TATXGP"/>
    <s v="GLK1"/>
    <n v="0.4"/>
    <n v="900"/>
    <n v="0"/>
    <n v="147"/>
    <n v="0"/>
    <n v="147"/>
    <n v="147"/>
    <n v="147"/>
    <n v="147"/>
    <n v="0"/>
    <n v="0"/>
    <n v="0"/>
    <n v="0"/>
    <n v="0"/>
    <n v="0"/>
    <n v="0"/>
    <n v="0"/>
    <n v="0"/>
    <n v="0"/>
    <n v="0"/>
    <n v="0"/>
    <n v="0"/>
    <n v="0"/>
    <n v="0"/>
    <n v="0"/>
    <n v="0"/>
    <n v="0"/>
    <n v="0"/>
    <n v="0"/>
    <n v="0"/>
    <n v="0"/>
    <n v="0"/>
    <m/>
    <n v="0"/>
    <n v="0"/>
    <n v="0"/>
    <n v="0"/>
    <n v="0"/>
    <n v="0"/>
    <n v="0"/>
    <n v="0"/>
    <n v="0"/>
    <n v="0"/>
    <n v="0"/>
    <n v="0"/>
    <n v="0"/>
    <m/>
    <m/>
    <m/>
    <m/>
    <m/>
    <m/>
    <m/>
    <m/>
    <m/>
    <m/>
    <m/>
    <m/>
    <m/>
    <m/>
    <m/>
    <m/>
    <m/>
    <m/>
    <m/>
    <m/>
    <m/>
    <m/>
    <m/>
    <m/>
    <m/>
    <m/>
    <m/>
    <m/>
    <m/>
    <m/>
    <m/>
    <m/>
    <m/>
    <m/>
    <m/>
  </r>
  <r>
    <n v="743"/>
    <d v="2025-03-25T00:00:00"/>
    <s v="ZBTO"/>
    <n v="9518631278"/>
    <n v="5"/>
    <s v="9518631278-5"/>
    <s v="May'25"/>
    <x v="0"/>
    <s v="Yes"/>
    <x v="3"/>
    <x v="9"/>
    <n v="2000"/>
    <m/>
    <x v="0"/>
    <m/>
    <m/>
    <s v="West Bengal"/>
    <s v="East"/>
    <m/>
    <m/>
    <n v="100922"/>
    <s v="BUBNA COMMERCIAL COMPANY"/>
    <n v="1142895"/>
    <s v="GP COIL SOFT-TATXGP-GLK1-0.5X900"/>
    <s v=""/>
    <m/>
    <m/>
    <m/>
    <m/>
    <s v="C02"/>
    <s v="TATXGP"/>
    <s v="GLK1"/>
    <n v="0.5"/>
    <n v="900"/>
    <n v="0"/>
    <n v="147"/>
    <n v="0"/>
    <n v="147"/>
    <n v="147"/>
    <n v="147"/>
    <n v="147"/>
    <n v="0"/>
    <n v="0"/>
    <n v="0"/>
    <n v="0"/>
    <n v="0"/>
    <n v="0"/>
    <n v="0"/>
    <n v="0"/>
    <n v="0"/>
    <n v="0"/>
    <n v="0"/>
    <n v="0"/>
    <n v="0"/>
    <n v="0"/>
    <n v="0"/>
    <n v="0"/>
    <n v="0"/>
    <n v="0"/>
    <n v="0"/>
    <n v="0"/>
    <n v="0"/>
    <n v="0"/>
    <n v="0"/>
    <m/>
    <n v="0"/>
    <n v="0"/>
    <n v="0"/>
    <n v="0"/>
    <n v="0"/>
    <n v="0"/>
    <n v="0"/>
    <n v="0"/>
    <n v="0"/>
    <n v="0"/>
    <n v="0"/>
    <n v="0"/>
    <n v="0"/>
    <m/>
    <m/>
    <m/>
    <m/>
    <m/>
    <m/>
    <m/>
    <m/>
    <m/>
    <m/>
    <m/>
    <m/>
    <m/>
    <m/>
    <m/>
    <m/>
    <m/>
    <m/>
    <m/>
    <m/>
    <m/>
    <m/>
    <m/>
    <m/>
    <m/>
    <m/>
    <m/>
    <m/>
    <m/>
    <m/>
    <m/>
    <m/>
    <m/>
    <m/>
    <m/>
  </r>
  <r>
    <n v="743"/>
    <d v="2025-03-25T00:00:00"/>
    <s v="ZBTO"/>
    <n v="9518631278"/>
    <n v="6"/>
    <s v="9518631278-6"/>
    <s v="May'25"/>
    <x v="0"/>
    <s v="Yes"/>
    <x v="3"/>
    <x v="9"/>
    <n v="2000"/>
    <m/>
    <x v="1"/>
    <m/>
    <m/>
    <s v="West Bengal"/>
    <s v="East"/>
    <m/>
    <m/>
    <n v="100922"/>
    <s v="BUBNA COMMERCIAL COMPANY"/>
    <n v="3215894"/>
    <s v="GP COIL SOFT-TATXGP-GLK1-0.6X900"/>
    <s v=""/>
    <m/>
    <m/>
    <m/>
    <m/>
    <s v="C02"/>
    <s v="TATXGP"/>
    <s v="GLK1"/>
    <n v="0.6"/>
    <n v="900"/>
    <n v="0"/>
    <n v="105"/>
    <n v="0"/>
    <n v="105"/>
    <n v="105"/>
    <n v="6.2299999999999898"/>
    <n v="105"/>
    <n v="0"/>
    <n v="0"/>
    <n v="0"/>
    <n v="20.61"/>
    <n v="20.54"/>
    <n v="0"/>
    <n v="57.620000000000005"/>
    <n v="0"/>
    <n v="0"/>
    <n v="0"/>
    <n v="0"/>
    <n v="0"/>
    <n v="0"/>
    <n v="0"/>
    <n v="0"/>
    <n v="0"/>
    <n v="0"/>
    <n v="0"/>
    <n v="0"/>
    <n v="98.77000000000001"/>
    <n v="98.77000000000001"/>
    <n v="0"/>
    <n v="98.77000000000001"/>
    <m/>
    <n v="0"/>
    <n v="105"/>
    <n v="105"/>
    <n v="0"/>
    <n v="0"/>
    <n v="0"/>
    <n v="0"/>
    <n v="0"/>
    <n v="0"/>
    <n v="0"/>
    <n v="0"/>
    <n v="0"/>
    <n v="0"/>
    <m/>
    <m/>
    <m/>
    <m/>
    <m/>
    <m/>
    <m/>
    <m/>
    <m/>
    <m/>
    <m/>
    <m/>
    <m/>
    <m/>
    <m/>
    <m/>
    <m/>
    <m/>
    <m/>
    <m/>
    <m/>
    <m/>
    <m/>
    <m/>
    <m/>
    <m/>
    <m/>
    <m/>
    <m/>
    <m/>
    <m/>
    <m/>
    <m/>
    <m/>
    <m/>
  </r>
  <r>
    <n v="742"/>
    <d v="2025-04-15T00:00:00"/>
    <s v="ZBTO"/>
    <n v="9518694569"/>
    <n v="1"/>
    <s v="9518694569-1"/>
    <s v="May'25"/>
    <x v="0"/>
    <m/>
    <x v="1"/>
    <x v="10"/>
    <n v="1000"/>
    <m/>
    <x v="1"/>
    <m/>
    <m/>
    <s v="Andhra Pradesh"/>
    <s v="South"/>
    <m/>
    <m/>
    <n v="948853"/>
    <s v="CHANDRA CONTAINER MANUACTURERS"/>
    <n v="3945230"/>
    <s v="CRCA SHEET TATXXD BT02 0.800X920X1805"/>
    <s v=""/>
    <m/>
    <m/>
    <m/>
    <m/>
    <s v="C06"/>
    <s v="TATXXD"/>
    <s v="BT02"/>
    <n v="0.8"/>
    <n v="920"/>
    <n v="0"/>
    <n v="270"/>
    <n v="0"/>
    <n v="270"/>
    <n v="270"/>
    <n v="248.95"/>
    <n v="270"/>
    <n v="0"/>
    <n v="0"/>
    <n v="0"/>
    <n v="21.05"/>
    <n v="0"/>
    <n v="0"/>
    <n v="0"/>
    <n v="0"/>
    <n v="0"/>
    <n v="0"/>
    <n v="0"/>
    <n v="0"/>
    <n v="0"/>
    <n v="0"/>
    <n v="0"/>
    <n v="0"/>
    <n v="0"/>
    <n v="0"/>
    <n v="0"/>
    <n v="21.05"/>
    <n v="21.05"/>
    <n v="0"/>
    <n v="21.05"/>
    <m/>
    <n v="0"/>
    <n v="270"/>
    <n v="0"/>
    <n v="0"/>
    <n v="0"/>
    <n v="0"/>
    <n v="270"/>
    <n v="0"/>
    <n v="0"/>
    <n v="0"/>
    <n v="0"/>
    <n v="0"/>
    <n v="0"/>
    <m/>
    <m/>
    <m/>
    <m/>
    <m/>
    <m/>
    <m/>
    <m/>
    <m/>
    <m/>
    <m/>
    <m/>
    <m/>
    <m/>
    <m/>
    <m/>
    <m/>
    <m/>
    <m/>
    <m/>
    <m/>
    <m/>
    <m/>
    <m/>
    <m/>
    <m/>
    <m/>
    <m/>
    <m/>
    <m/>
    <m/>
    <m/>
    <m/>
    <m/>
    <m/>
  </r>
  <r>
    <n v="743"/>
    <d v="2025-03-19T00:00:00"/>
    <s v="ZBTO"/>
    <n v="9518613228"/>
    <n v="1"/>
    <s v="9518613228-1"/>
    <s v="No Priority"/>
    <x v="1"/>
    <m/>
    <x v="3"/>
    <x v="9"/>
    <n v="2000"/>
    <m/>
    <x v="0"/>
    <m/>
    <m/>
    <s v="Haryana"/>
    <s v="North"/>
    <m/>
    <m/>
    <n v="185408"/>
    <s v="DS STEEL"/>
    <n v="2270690"/>
    <s v="GP COIL SOFT TATXGP GLK1 0.25X1000"/>
    <n v="80"/>
    <m/>
    <m/>
    <m/>
    <m/>
    <s v="C02"/>
    <s v="TATXGP"/>
    <s v="GLK1"/>
    <n v="0.25"/>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4-09T00:00:00"/>
    <s v="ZBTO"/>
    <n v="9518680501"/>
    <n v="2"/>
    <s v="9518680501-2"/>
    <s v="May'25"/>
    <x v="0"/>
    <s v="Yes"/>
    <x v="0"/>
    <x v="0"/>
    <n v="2000"/>
    <m/>
    <x v="1"/>
    <m/>
    <m/>
    <s v="Karnataka"/>
    <s v="South"/>
    <m/>
    <m/>
    <n v="932179"/>
    <s v="DURGA STEEL INDUSTRIES"/>
    <n v="1250221"/>
    <s v="HR COILS-PO IS 1079 HR2 2.50X1250"/>
    <s v=""/>
    <m/>
    <m/>
    <m/>
    <m/>
    <n v="768"/>
    <s v="THR099"/>
    <s v="HR99"/>
    <n v="0"/>
    <n v="0"/>
    <n v="0"/>
    <n v="100"/>
    <n v="0"/>
    <n v="100"/>
    <n v="100"/>
    <n v="100"/>
    <n v="100"/>
    <n v="0"/>
    <n v="0"/>
    <n v="0"/>
    <n v="0"/>
    <n v="0"/>
    <n v="0"/>
    <n v="0"/>
    <n v="0"/>
    <n v="0"/>
    <n v="0"/>
    <n v="0"/>
    <n v="0"/>
    <n v="0"/>
    <n v="0"/>
    <n v="0"/>
    <n v="0"/>
    <n v="0"/>
    <n v="0"/>
    <n v="0"/>
    <n v="0"/>
    <n v="0"/>
    <n v="0"/>
    <n v="0"/>
    <m/>
    <n v="0"/>
    <n v="100"/>
    <n v="0"/>
    <n v="0"/>
    <n v="0"/>
    <n v="0"/>
    <n v="100"/>
    <n v="0"/>
    <n v="0"/>
    <n v="0"/>
    <n v="0"/>
    <n v="0"/>
    <n v="0"/>
    <m/>
    <m/>
    <m/>
    <m/>
    <m/>
    <m/>
    <m/>
    <m/>
    <m/>
    <m/>
    <m/>
    <m/>
    <m/>
    <m/>
    <m/>
    <m/>
    <m/>
    <m/>
    <m/>
    <m/>
    <m/>
    <m/>
    <m/>
    <m/>
    <m/>
    <m/>
    <m/>
    <m/>
    <m/>
    <m/>
    <m/>
    <m/>
    <m/>
    <m/>
    <m/>
  </r>
  <r>
    <n v="742"/>
    <d v="2025-04-09T00:00:00"/>
    <s v="ZBTO"/>
    <n v="9518680501"/>
    <n v="3"/>
    <s v="9518680501-3"/>
    <s v="May'25"/>
    <x v="0"/>
    <s v="Yes"/>
    <x v="0"/>
    <x v="0"/>
    <n v="2000"/>
    <m/>
    <x v="1"/>
    <m/>
    <m/>
    <s v="Karnataka"/>
    <s v="South"/>
    <m/>
    <m/>
    <n v="932179"/>
    <s v="DURGA STEEL INDUSTRIES"/>
    <n v="1252834"/>
    <s v="HR COILS-PO IS 1079 HR2 3.0X1250"/>
    <s v=""/>
    <m/>
    <m/>
    <m/>
    <m/>
    <n v="768"/>
    <s v="THR099"/>
    <s v="HR99"/>
    <n v="3"/>
    <n v="1250"/>
    <n v="0"/>
    <n v="75"/>
    <n v="0"/>
    <n v="75"/>
    <n v="75"/>
    <n v="75"/>
    <n v="75"/>
    <n v="0"/>
    <n v="0"/>
    <n v="0"/>
    <n v="0"/>
    <n v="0"/>
    <n v="0"/>
    <n v="0"/>
    <n v="0"/>
    <n v="0"/>
    <n v="0"/>
    <n v="0"/>
    <n v="0"/>
    <n v="0"/>
    <n v="0"/>
    <n v="0"/>
    <n v="0"/>
    <n v="0"/>
    <n v="0"/>
    <n v="0"/>
    <n v="0"/>
    <n v="0"/>
    <n v="0"/>
    <n v="0"/>
    <m/>
    <n v="0"/>
    <n v="75"/>
    <n v="0"/>
    <n v="75"/>
    <n v="0"/>
    <n v="0"/>
    <n v="0"/>
    <n v="75"/>
    <n v="0"/>
    <n v="75"/>
    <n v="0"/>
    <n v="0"/>
    <n v="0"/>
    <m/>
    <m/>
    <m/>
    <m/>
    <m/>
    <m/>
    <m/>
    <m/>
    <m/>
    <m/>
    <m/>
    <m/>
    <m/>
    <m/>
    <m/>
    <m/>
    <m/>
    <m/>
    <m/>
    <m/>
    <m/>
    <m/>
    <m/>
    <m/>
    <m/>
    <m/>
    <m/>
    <m/>
    <m/>
    <m/>
    <m/>
    <m/>
    <m/>
    <m/>
    <m/>
  </r>
  <r>
    <n v="742"/>
    <d v="2025-04-09T00:00:00"/>
    <s v="ZBTO"/>
    <n v="9518680501"/>
    <n v="4"/>
    <s v="9518680501-4"/>
    <s v="May'25"/>
    <x v="0"/>
    <s v="Yes"/>
    <x v="0"/>
    <x v="0"/>
    <n v="2000"/>
    <m/>
    <x v="1"/>
    <m/>
    <m/>
    <s v="Karnataka"/>
    <s v="South"/>
    <m/>
    <m/>
    <n v="932179"/>
    <s v="DURGA STEEL INDUSTRIES"/>
    <n v="1210086"/>
    <s v="HR COILS-PO IS 1079 HR2 4X1250"/>
    <s v=""/>
    <m/>
    <m/>
    <m/>
    <m/>
    <n v="768"/>
    <s v="THR099"/>
    <s v="HR99"/>
    <n v="4"/>
    <n v="1250"/>
    <n v="0"/>
    <n v="75"/>
    <n v="0"/>
    <n v="75"/>
    <n v="75"/>
    <n v="75"/>
    <n v="75"/>
    <n v="0"/>
    <n v="0"/>
    <n v="0"/>
    <n v="0"/>
    <n v="0"/>
    <n v="0"/>
    <n v="0"/>
    <n v="0"/>
    <n v="0"/>
    <n v="0"/>
    <n v="0"/>
    <n v="0"/>
    <n v="0"/>
    <n v="0"/>
    <n v="0"/>
    <n v="0"/>
    <n v="0"/>
    <n v="0"/>
    <n v="0"/>
    <n v="0"/>
    <n v="0"/>
    <n v="0"/>
    <n v="0"/>
    <m/>
    <n v="0"/>
    <n v="75"/>
    <n v="0"/>
    <n v="75"/>
    <n v="0"/>
    <n v="0"/>
    <n v="0"/>
    <n v="75"/>
    <n v="0"/>
    <n v="75"/>
    <n v="0"/>
    <n v="0"/>
    <n v="0"/>
    <m/>
    <m/>
    <m/>
    <m/>
    <m/>
    <m/>
    <m/>
    <m/>
    <m/>
    <m/>
    <m/>
    <m/>
    <m/>
    <m/>
    <m/>
    <m/>
    <m/>
    <m/>
    <m/>
    <m/>
    <m/>
    <m/>
    <m/>
    <m/>
    <m/>
    <m/>
    <m/>
    <m/>
    <m/>
    <m/>
    <m/>
    <m/>
    <m/>
    <m/>
    <m/>
  </r>
  <r>
    <n v="742"/>
    <d v="2025-04-09T00:00:00"/>
    <s v="ZBTO"/>
    <n v="9518680501"/>
    <n v="5"/>
    <s v="9518680501-5"/>
    <s v="May'25"/>
    <x v="0"/>
    <s v="Yes"/>
    <x v="0"/>
    <x v="0"/>
    <n v="2000"/>
    <m/>
    <x v="1"/>
    <m/>
    <m/>
    <s v="Karnataka"/>
    <s v="South"/>
    <m/>
    <m/>
    <n v="932179"/>
    <s v="DURGA STEEL INDUSTRIES"/>
    <n v="1210097"/>
    <s v="HR COILS-PO IS 1079 HR2 5X1250"/>
    <s v=""/>
    <m/>
    <m/>
    <m/>
    <m/>
    <n v="768"/>
    <s v="THR099"/>
    <s v="HR99"/>
    <n v="5"/>
    <n v="1250"/>
    <n v="0"/>
    <n v="75"/>
    <n v="0"/>
    <n v="75"/>
    <n v="75"/>
    <n v="75"/>
    <n v="75"/>
    <n v="0"/>
    <n v="0"/>
    <n v="0"/>
    <n v="0"/>
    <n v="0"/>
    <n v="0"/>
    <n v="0"/>
    <n v="0"/>
    <n v="0"/>
    <n v="0"/>
    <n v="0"/>
    <n v="0"/>
    <n v="0"/>
    <n v="0"/>
    <n v="0"/>
    <n v="0"/>
    <n v="0"/>
    <n v="0"/>
    <n v="0"/>
    <n v="0"/>
    <n v="0"/>
    <n v="0"/>
    <n v="0"/>
    <m/>
    <n v="0"/>
    <n v="87"/>
    <n v="0"/>
    <n v="87"/>
    <n v="0"/>
    <n v="0"/>
    <n v="0"/>
    <n v="87"/>
    <n v="0"/>
    <n v="87"/>
    <n v="0"/>
    <n v="0"/>
    <n v="0"/>
    <m/>
    <m/>
    <m/>
    <m/>
    <m/>
    <m/>
    <m/>
    <m/>
    <m/>
    <m/>
    <m/>
    <m/>
    <m/>
    <m/>
    <m/>
    <m/>
    <m/>
    <m/>
    <m/>
    <m/>
    <m/>
    <m/>
    <m/>
    <m/>
    <m/>
    <m/>
    <m/>
    <m/>
    <m/>
    <m/>
    <m/>
    <m/>
    <m/>
    <m/>
    <m/>
  </r>
  <r>
    <n v="742"/>
    <d v="2025-04-09T00:00:00"/>
    <s v="ZBTO"/>
    <n v="9518680501"/>
    <n v="6"/>
    <s v="9518680501-6"/>
    <s v="May'25"/>
    <x v="0"/>
    <s v="Yes"/>
    <x v="0"/>
    <x v="0"/>
    <n v="2000"/>
    <m/>
    <x v="1"/>
    <m/>
    <m/>
    <s v="Karnataka"/>
    <s v="South"/>
    <m/>
    <m/>
    <n v="932179"/>
    <s v="DURGA STEEL INDUSTRIES"/>
    <n v="1210083"/>
    <s v="HR COILS-PO IS 1079 HR2 2X1250"/>
    <s v=""/>
    <m/>
    <m/>
    <m/>
    <m/>
    <n v="768"/>
    <s v="THR099"/>
    <s v="HR99"/>
    <n v="2"/>
    <n v="1250"/>
    <n v="0"/>
    <n v="75"/>
    <n v="0"/>
    <n v="75"/>
    <n v="75"/>
    <n v="75"/>
    <n v="75"/>
    <n v="0"/>
    <n v="0"/>
    <n v="0"/>
    <n v="0"/>
    <n v="0"/>
    <n v="0"/>
    <n v="0"/>
    <n v="0"/>
    <n v="0"/>
    <n v="0"/>
    <n v="0"/>
    <n v="0"/>
    <n v="0"/>
    <n v="0"/>
    <n v="0"/>
    <n v="0"/>
    <n v="0"/>
    <n v="0"/>
    <n v="0"/>
    <n v="0"/>
    <n v="0"/>
    <n v="0"/>
    <n v="0"/>
    <m/>
    <n v="0"/>
    <n v="75"/>
    <n v="0"/>
    <n v="0"/>
    <n v="0"/>
    <n v="75"/>
    <n v="0"/>
    <n v="0"/>
    <n v="0"/>
    <n v="0"/>
    <n v="0"/>
    <n v="0"/>
    <n v="0"/>
    <m/>
    <m/>
    <m/>
    <m/>
    <m/>
    <m/>
    <m/>
    <m/>
    <m/>
    <m/>
    <m/>
    <m/>
    <m/>
    <m/>
    <m/>
    <m/>
    <m/>
    <m/>
    <m/>
    <m/>
    <m/>
    <m/>
    <m/>
    <m/>
    <m/>
    <m/>
    <m/>
    <m/>
    <m/>
    <m/>
    <m/>
    <m/>
    <m/>
    <m/>
    <m/>
  </r>
  <r>
    <n v="742"/>
    <d v="2025-04-10T00:00:00"/>
    <s v="ZBTO"/>
    <n v="9518681889"/>
    <n v="2"/>
    <s v="9518681889-2"/>
    <s v="Stocks"/>
    <x v="0"/>
    <m/>
    <x v="1"/>
    <x v="1"/>
    <n v="2000"/>
    <m/>
    <x v="1"/>
    <m/>
    <m/>
    <s v="Karnataka"/>
    <s v="South"/>
    <m/>
    <m/>
    <n v="932244"/>
    <s v="DURGA TRADERS"/>
    <n v="3238263"/>
    <s v="CRCA SHEET TATXXD AU03 0.400X1250X2500"/>
    <s v=""/>
    <m/>
    <m/>
    <m/>
    <m/>
    <s v="C06"/>
    <s v="TATXXD"/>
    <s v="AU03"/>
    <n v="0.4"/>
    <n v="1250"/>
    <n v="2500"/>
    <n v="51"/>
    <n v="0"/>
    <n v="51"/>
    <n v="51"/>
    <n v="50.81"/>
    <n v="11.335000000000001"/>
    <n v="0"/>
    <n v="0"/>
    <n v="0"/>
    <n v="0"/>
    <n v="0"/>
    <n v="0"/>
    <n v="0"/>
    <n v="0"/>
    <n v="0.19"/>
    <n v="0"/>
    <n v="0"/>
    <n v="0"/>
    <n v="0"/>
    <n v="0"/>
    <n v="0"/>
    <n v="0"/>
    <n v="0"/>
    <n v="0"/>
    <n v="0"/>
    <n v="0.19"/>
    <n v="0.19"/>
    <n v="0"/>
    <n v="0.19"/>
    <m/>
    <n v="2.0550000000000002"/>
    <n v="0"/>
    <n v="0"/>
    <n v="0"/>
    <n v="0"/>
    <n v="0"/>
    <n v="0"/>
    <n v="0"/>
    <n v="0"/>
    <n v="0"/>
    <n v="0"/>
    <n v="0"/>
    <n v="0"/>
    <m/>
    <m/>
    <m/>
    <m/>
    <m/>
    <m/>
    <m/>
    <m/>
    <m/>
    <m/>
    <m/>
    <m/>
    <m/>
    <m/>
    <m/>
    <m/>
    <m/>
    <m/>
    <m/>
    <m/>
    <m/>
    <m/>
    <m/>
    <m/>
    <m/>
    <m/>
    <m/>
    <m/>
    <m/>
    <m/>
    <m/>
    <m/>
    <m/>
    <m/>
    <m/>
  </r>
  <r>
    <n v="742"/>
    <d v="2025-04-10T00:00:00"/>
    <s v="ZBTO"/>
    <n v="9518682481"/>
    <n v="7"/>
    <s v="9518682481-7"/>
    <s v="No Priority"/>
    <x v="0"/>
    <m/>
    <x v="1"/>
    <x v="1"/>
    <n v="2000"/>
    <m/>
    <x v="0"/>
    <m/>
    <m/>
    <s v="Karnataka"/>
    <s v="South"/>
    <m/>
    <m/>
    <n v="932244"/>
    <s v="DURGA TRADERS"/>
    <n v="274376"/>
    <s v="CRSHEET C06TATXXD AU03 2.0X1250X2500"/>
    <s v=""/>
    <m/>
    <m/>
    <m/>
    <m/>
    <s v="C06"/>
    <s v="TATXXD"/>
    <s v="AU03"/>
    <n v="2"/>
    <n v="1250"/>
    <n v="2500"/>
    <n v="102"/>
    <n v="0"/>
    <n v="102"/>
    <n v="102"/>
    <n v="102"/>
    <n v="102"/>
    <n v="0"/>
    <n v="0"/>
    <n v="0"/>
    <n v="0"/>
    <n v="0"/>
    <n v="0"/>
    <n v="0"/>
    <n v="0"/>
    <n v="0"/>
    <n v="0"/>
    <n v="0"/>
    <n v="0"/>
    <n v="0"/>
    <n v="0"/>
    <n v="0"/>
    <n v="0"/>
    <n v="0"/>
    <n v="0"/>
    <n v="0"/>
    <n v="0"/>
    <n v="0"/>
    <n v="0"/>
    <n v="0"/>
    <m/>
    <n v="0"/>
    <n v="0"/>
    <n v="0"/>
    <n v="0"/>
    <n v="0"/>
    <n v="0"/>
    <n v="0"/>
    <n v="0"/>
    <n v="0"/>
    <n v="0"/>
    <n v="0"/>
    <n v="0"/>
    <n v="0"/>
    <m/>
    <m/>
    <m/>
    <m/>
    <m/>
    <m/>
    <m/>
    <m/>
    <m/>
    <m/>
    <m/>
    <m/>
    <m/>
    <m/>
    <m/>
    <m/>
    <m/>
    <m/>
    <m/>
    <m/>
    <m/>
    <m/>
    <m/>
    <m/>
    <m/>
    <m/>
    <m/>
    <m/>
    <m/>
    <m/>
    <m/>
    <m/>
    <m/>
    <m/>
    <m/>
  </r>
  <r>
    <n v="742"/>
    <d v="2025-03-08T00:00:00"/>
    <s v="ZBTO"/>
    <n v="9518584477"/>
    <n v="1"/>
    <s v="9518584477-1"/>
    <s v="No Priority"/>
    <x v="1"/>
    <m/>
    <x v="1"/>
    <x v="1"/>
    <n v="2000"/>
    <m/>
    <x v="0"/>
    <m/>
    <m/>
    <s v="Telangana"/>
    <s v="South"/>
    <m/>
    <m/>
    <n v="847544"/>
    <s v="G K ISPAT PRIVATE LIMITED"/>
    <n v="185675"/>
    <s v="CRCA COIL-TATXXD-AU03-0.5X1250"/>
    <s v=""/>
    <m/>
    <m/>
    <m/>
    <m/>
    <s v="C01"/>
    <s v="TATXXD"/>
    <s v="AU03"/>
    <n v="0.5"/>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7T00:00:00"/>
    <s v="ZBTO"/>
    <n v="9518698491"/>
    <n v="1"/>
    <s v="9518698491-1"/>
    <s v="May'25"/>
    <x v="0"/>
    <m/>
    <x v="1"/>
    <x v="7"/>
    <n v="1000"/>
    <m/>
    <x v="1"/>
    <m/>
    <m/>
    <s v="Gujarat"/>
    <s v="West"/>
    <m/>
    <m/>
    <n v="188891"/>
    <s v="Galaxy Stamping Pvt. Ltd."/>
    <n v="2439203"/>
    <s v="CRCA COIL TSBSTA EL06 0.500X1160"/>
    <s v=""/>
    <m/>
    <m/>
    <m/>
    <m/>
    <s v="C01"/>
    <s v="TSBSTA"/>
    <s v="EL06"/>
    <n v="0.5"/>
    <n v="1160"/>
    <n v="0"/>
    <n v="54"/>
    <n v="0"/>
    <n v="54"/>
    <n v="54"/>
    <n v="54"/>
    <n v="54"/>
    <n v="0"/>
    <n v="0"/>
    <n v="0"/>
    <n v="0"/>
    <n v="0"/>
    <n v="0"/>
    <n v="0"/>
    <n v="0"/>
    <n v="0"/>
    <n v="0"/>
    <n v="0"/>
    <n v="0"/>
    <n v="0"/>
    <n v="0"/>
    <n v="0"/>
    <n v="0"/>
    <n v="0"/>
    <n v="0"/>
    <n v="0"/>
    <n v="0"/>
    <n v="0"/>
    <n v="0"/>
    <n v="0"/>
    <m/>
    <n v="0"/>
    <n v="54"/>
    <n v="0"/>
    <n v="0"/>
    <n v="0"/>
    <n v="54"/>
    <n v="0"/>
    <n v="0"/>
    <n v="0"/>
    <n v="0"/>
    <n v="0"/>
    <n v="0"/>
    <n v="0"/>
    <m/>
    <m/>
    <m/>
    <m/>
    <m/>
    <m/>
    <m/>
    <m/>
    <m/>
    <m/>
    <m/>
    <m/>
    <m/>
    <m/>
    <m/>
    <m/>
    <m/>
    <m/>
    <m/>
    <m/>
    <m/>
    <m/>
    <m/>
    <m/>
    <m/>
    <m/>
    <m/>
    <m/>
    <m/>
    <m/>
    <m/>
    <m/>
    <m/>
    <m/>
    <m/>
  </r>
  <r>
    <n v="742"/>
    <d v="2025-04-17T00:00:00"/>
    <s v="ZBTO"/>
    <n v="9518699641"/>
    <n v="2"/>
    <s v="9518699641-2"/>
    <s v="No Priority"/>
    <x v="1"/>
    <m/>
    <x v="1"/>
    <x v="1"/>
    <n v="2000"/>
    <m/>
    <x v="0"/>
    <m/>
    <m/>
    <s v="Tamil Nadu"/>
    <s v="South"/>
    <m/>
    <m/>
    <n v="161312"/>
    <s v="GOVINDARAJA MUDALIAR SONS PVT"/>
    <n v="2390540"/>
    <s v="CRCA COIL TATXXD AU03 1.800X1250"/>
    <s v=""/>
    <m/>
    <m/>
    <m/>
    <m/>
    <s v="C01"/>
    <s v="TATXXD"/>
    <s v="AU03"/>
    <n v="1.8"/>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6887"/>
    <n v="1"/>
    <s v="9518666887-1"/>
    <s v="May'25"/>
    <x v="0"/>
    <s v="Yes"/>
    <x v="1"/>
    <x v="2"/>
    <n v="2000"/>
    <m/>
    <x v="1"/>
    <m/>
    <m/>
    <s v="Uttar Pradesh"/>
    <s v="North"/>
    <m/>
    <m/>
    <n v="931525"/>
    <s v="INDIA STEEL INDUSTRIES"/>
    <n v="3239543"/>
    <s v="CRCA SHEET TATCRC SR16 0.350X1250X2500"/>
    <s v=""/>
    <m/>
    <m/>
    <m/>
    <m/>
    <s v="C06"/>
    <s v="TATCRC"/>
    <s v="SR16"/>
    <n v="0.35"/>
    <n v="1250"/>
    <n v="0"/>
    <n v="27"/>
    <n v="0"/>
    <n v="27"/>
    <n v="27"/>
    <n v="27"/>
    <n v="27"/>
    <n v="0"/>
    <n v="0"/>
    <n v="0"/>
    <n v="0"/>
    <n v="0"/>
    <n v="0"/>
    <n v="0"/>
    <n v="0"/>
    <n v="0"/>
    <n v="0"/>
    <n v="0"/>
    <n v="0"/>
    <n v="0"/>
    <n v="0"/>
    <n v="0"/>
    <n v="0"/>
    <n v="0"/>
    <n v="0"/>
    <n v="0"/>
    <n v="0"/>
    <n v="0"/>
    <n v="0"/>
    <n v="0"/>
    <m/>
    <n v="0"/>
    <n v="27"/>
    <n v="0"/>
    <n v="0"/>
    <n v="0"/>
    <n v="27"/>
    <n v="0"/>
    <n v="0"/>
    <n v="0"/>
    <n v="0"/>
    <n v="0"/>
    <n v="0"/>
    <n v="0"/>
    <m/>
    <m/>
    <m/>
    <m/>
    <m/>
    <m/>
    <m/>
    <m/>
    <m/>
    <m/>
    <m/>
    <m/>
    <m/>
    <m/>
    <m/>
    <m/>
    <m/>
    <m/>
    <m/>
    <m/>
    <m/>
    <m/>
    <m/>
    <m/>
    <m/>
    <m/>
    <m/>
    <m/>
    <m/>
    <m/>
    <m/>
    <m/>
    <m/>
    <m/>
    <m/>
  </r>
  <r>
    <n v="742"/>
    <d v="2025-04-03T00:00:00"/>
    <s v="ZBTO"/>
    <n v="9518666887"/>
    <n v="4"/>
    <s v="9518666887-4"/>
    <s v="No Priority"/>
    <x v="1"/>
    <s v="Yes"/>
    <x v="1"/>
    <x v="2"/>
    <n v="2000"/>
    <m/>
    <x v="0"/>
    <m/>
    <m/>
    <s v="Uttar Pradesh"/>
    <s v="North"/>
    <m/>
    <m/>
    <n v="931525"/>
    <s v="INDIA STEEL INDUSTRIES"/>
    <n v="3437524"/>
    <s v="CRCA SHEET TATCRC SR16 0.400X1250X2030"/>
    <s v=""/>
    <m/>
    <m/>
    <m/>
    <m/>
    <s v="C06"/>
    <s v="TATCRC"/>
    <s v="SR16"/>
    <n v="0.4"/>
    <n v="1250"/>
    <n v="2030"/>
    <n v="108"/>
    <n v="0"/>
    <n v="108"/>
    <n v="108"/>
    <n v="108"/>
    <n v="108"/>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6887"/>
    <n v="6"/>
    <s v="9518666887-6"/>
    <s v="No Priority"/>
    <x v="0"/>
    <s v="Yes"/>
    <x v="1"/>
    <x v="2"/>
    <n v="2000"/>
    <m/>
    <x v="0"/>
    <m/>
    <m/>
    <s v="Uttar Pradesh"/>
    <s v="North"/>
    <m/>
    <m/>
    <n v="931525"/>
    <s v="INDIA STEEL INDUSTRIES"/>
    <n v="3240761"/>
    <s v="CRCA SHEET TSBCRC SR15 0.500X1250X2030"/>
    <s v=""/>
    <m/>
    <m/>
    <m/>
    <m/>
    <s v="C06"/>
    <s v="TSBCRC"/>
    <s v="SR15"/>
    <n v="0.5"/>
    <n v="1250"/>
    <n v="2030"/>
    <n v="81"/>
    <n v="0"/>
    <n v="81"/>
    <n v="81"/>
    <n v="81"/>
    <n v="81"/>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6887"/>
    <n v="7"/>
    <s v="9518666887-7"/>
    <s v="No Priority"/>
    <x v="0"/>
    <s v="Yes"/>
    <x v="1"/>
    <x v="2"/>
    <n v="2000"/>
    <m/>
    <x v="0"/>
    <m/>
    <m/>
    <s v="Uttar Pradesh"/>
    <s v="North"/>
    <m/>
    <m/>
    <n v="931525"/>
    <s v="INDIA STEEL INDUSTRIES"/>
    <n v="3240781"/>
    <s v="CRCA SHEET TSBCRC SR15 0.600X1250X2030"/>
    <s v=""/>
    <m/>
    <m/>
    <m/>
    <m/>
    <s v="C06"/>
    <s v="TSBCRC"/>
    <s v="SR15"/>
    <n v="0.6"/>
    <n v="1250"/>
    <n v="2030"/>
    <n v="27"/>
    <n v="0"/>
    <n v="27"/>
    <n v="27"/>
    <n v="27"/>
    <n v="27"/>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6887"/>
    <n v="8"/>
    <s v="9518666887-8"/>
    <s v="May'25"/>
    <x v="0"/>
    <s v="Yes"/>
    <x v="1"/>
    <x v="2"/>
    <n v="2000"/>
    <m/>
    <x v="1"/>
    <m/>
    <m/>
    <s v="Uttar Pradesh"/>
    <s v="North"/>
    <m/>
    <m/>
    <n v="931525"/>
    <s v="INDIA STEEL INDUSTRIES"/>
    <n v="3409561"/>
    <s v="CRCA SHEET TSBCRC SR15 0.600X1000X1930"/>
    <s v=""/>
    <m/>
    <m/>
    <m/>
    <m/>
    <s v="C06"/>
    <s v="TSBCRC"/>
    <s v="SR15"/>
    <n v="0.6"/>
    <n v="1000"/>
    <n v="1930"/>
    <n v="27"/>
    <n v="0"/>
    <n v="27"/>
    <n v="27"/>
    <n v="4.5799999999999983"/>
    <n v="27"/>
    <n v="0"/>
    <n v="0"/>
    <n v="0"/>
    <n v="0"/>
    <n v="0"/>
    <n v="0"/>
    <n v="0"/>
    <n v="0"/>
    <n v="0"/>
    <n v="0"/>
    <n v="0"/>
    <n v="0"/>
    <n v="0"/>
    <n v="22.42"/>
    <n v="0"/>
    <n v="0"/>
    <n v="0"/>
    <n v="0"/>
    <n v="0"/>
    <n v="22.42"/>
    <n v="22.42"/>
    <n v="0"/>
    <n v="22.42"/>
    <m/>
    <n v="0"/>
    <n v="27"/>
    <n v="0"/>
    <n v="27"/>
    <n v="0"/>
    <n v="0"/>
    <n v="0"/>
    <n v="27"/>
    <n v="0"/>
    <n v="27"/>
    <n v="0"/>
    <n v="0"/>
    <n v="0"/>
    <m/>
    <m/>
    <m/>
    <m/>
    <m/>
    <m/>
    <m/>
    <m/>
    <m/>
    <m/>
    <m/>
    <m/>
    <m/>
    <m/>
    <m/>
    <m/>
    <m/>
    <m/>
    <m/>
    <m/>
    <m/>
    <m/>
    <m/>
    <m/>
    <m/>
    <m/>
    <m/>
    <m/>
    <m/>
    <m/>
    <m/>
    <m/>
    <m/>
    <m/>
    <m/>
  </r>
  <r>
    <n v="742"/>
    <d v="2025-04-03T00:00:00"/>
    <s v="ZBTO"/>
    <n v="9518666887"/>
    <n v="9"/>
    <s v="9518666887-9"/>
    <s v="May'25"/>
    <x v="0"/>
    <s v="Yes"/>
    <x v="1"/>
    <x v="2"/>
    <n v="2000"/>
    <m/>
    <x v="1"/>
    <m/>
    <m/>
    <s v="Uttar Pradesh"/>
    <s v="North"/>
    <m/>
    <m/>
    <n v="931525"/>
    <s v="INDIA STEEL INDUSTRIES"/>
    <n v="3240781"/>
    <s v="CRCA SHEET TSBCRC SR15 0.600X1250X2030"/>
    <s v=""/>
    <m/>
    <m/>
    <m/>
    <m/>
    <s v="C06"/>
    <s v="TSBCRC"/>
    <s v="SR15"/>
    <n v="0.6"/>
    <n v="1250"/>
    <n v="2030"/>
    <n v="27"/>
    <n v="0"/>
    <n v="27"/>
    <n v="27"/>
    <n v="27"/>
    <n v="27"/>
    <n v="0"/>
    <n v="0"/>
    <n v="0"/>
    <n v="0"/>
    <n v="0"/>
    <n v="0"/>
    <n v="0"/>
    <n v="0"/>
    <n v="0"/>
    <n v="0"/>
    <n v="0"/>
    <n v="0"/>
    <n v="0"/>
    <n v="0"/>
    <n v="0"/>
    <n v="0"/>
    <n v="0"/>
    <n v="0"/>
    <n v="0"/>
    <n v="0"/>
    <n v="0"/>
    <n v="0"/>
    <n v="0"/>
    <m/>
    <n v="0"/>
    <n v="27"/>
    <n v="0"/>
    <n v="0"/>
    <n v="27"/>
    <n v="0"/>
    <n v="0"/>
    <n v="0"/>
    <n v="0"/>
    <n v="0"/>
    <n v="0"/>
    <n v="0"/>
    <n v="0"/>
    <m/>
    <m/>
    <m/>
    <m/>
    <m/>
    <m/>
    <m/>
    <m/>
    <m/>
    <m/>
    <m/>
    <m/>
    <m/>
    <m/>
    <m/>
    <m/>
    <m/>
    <m/>
    <m/>
    <m/>
    <m/>
    <m/>
    <m/>
    <m/>
    <m/>
    <m/>
    <m/>
    <m/>
    <m/>
    <m/>
    <m/>
    <m/>
    <m/>
    <m/>
    <m/>
  </r>
  <r>
    <n v="742"/>
    <d v="2025-04-04T00:00:00"/>
    <s v="ZBTO"/>
    <n v="9518670066"/>
    <n v="1"/>
    <s v="9518670066-1"/>
    <s v="May'25"/>
    <x v="0"/>
    <s v="Yes"/>
    <x v="1"/>
    <x v="2"/>
    <n v="2000"/>
    <m/>
    <x v="1"/>
    <m/>
    <m/>
    <s v="Uttar Pradesh"/>
    <s v="North"/>
    <m/>
    <m/>
    <n v="931525"/>
    <s v="INDIA STEEL INDUSTRIES"/>
    <n v="3239536"/>
    <s v="CRCA SHEET TATCRC SR16 0.350X900X2500"/>
    <s v=""/>
    <m/>
    <m/>
    <m/>
    <m/>
    <s v="C06"/>
    <s v="TATCRC"/>
    <s v="SR16"/>
    <n v="0.35"/>
    <n v="900"/>
    <n v="2500"/>
    <n v="27"/>
    <n v="0"/>
    <n v="27"/>
    <n v="27"/>
    <n v="5.8999999999999986"/>
    <n v="27"/>
    <n v="0"/>
    <n v="0"/>
    <n v="0"/>
    <n v="0"/>
    <n v="0"/>
    <n v="0"/>
    <n v="0"/>
    <n v="0"/>
    <n v="0"/>
    <n v="0"/>
    <n v="0"/>
    <n v="0"/>
    <n v="0"/>
    <n v="0"/>
    <n v="21.1"/>
    <n v="0"/>
    <n v="0"/>
    <n v="0"/>
    <n v="0"/>
    <n v="21.1"/>
    <n v="21.1"/>
    <n v="0"/>
    <n v="21.1"/>
    <m/>
    <n v="0"/>
    <n v="27"/>
    <n v="27"/>
    <n v="0"/>
    <n v="0"/>
    <n v="0"/>
    <n v="0"/>
    <n v="0"/>
    <n v="0"/>
    <n v="0"/>
    <n v="0"/>
    <n v="0"/>
    <n v="0"/>
    <m/>
    <m/>
    <m/>
    <m/>
    <m/>
    <m/>
    <m/>
    <m/>
    <m/>
    <m/>
    <m/>
    <m/>
    <m/>
    <m/>
    <m/>
    <m/>
    <m/>
    <m/>
    <m/>
    <m/>
    <m/>
    <m/>
    <m/>
    <m/>
    <m/>
    <m/>
    <m/>
    <m/>
    <m/>
    <m/>
    <m/>
    <m/>
    <m/>
    <m/>
    <m/>
  </r>
  <r>
    <n v="742"/>
    <d v="2025-04-04T00:00:00"/>
    <s v="ZBTO"/>
    <n v="9518670066"/>
    <n v="2"/>
    <s v="9518670066-2"/>
    <s v="May'25"/>
    <x v="0"/>
    <s v="Yes"/>
    <x v="1"/>
    <x v="2"/>
    <n v="2000"/>
    <m/>
    <x v="1"/>
    <m/>
    <m/>
    <s v="Uttar Pradesh"/>
    <s v="North"/>
    <m/>
    <m/>
    <n v="931525"/>
    <s v="INDIA STEEL INDUSTRIES"/>
    <n v="3239548"/>
    <s v="CRCA SHEET TATCRC SR16 0.400X900X2500"/>
    <s v=""/>
    <m/>
    <m/>
    <m/>
    <m/>
    <s v="C06"/>
    <s v="TATCRC"/>
    <s v="SR16"/>
    <n v="0.4"/>
    <n v="900"/>
    <n v="2500"/>
    <n v="27"/>
    <n v="0"/>
    <n v="27"/>
    <n v="27"/>
    <n v="-15.519999999999996"/>
    <n v="27"/>
    <n v="0"/>
    <n v="0"/>
    <n v="0"/>
    <n v="0"/>
    <n v="0"/>
    <n v="0"/>
    <n v="0"/>
    <n v="0"/>
    <n v="0"/>
    <n v="0"/>
    <n v="0"/>
    <n v="0"/>
    <n v="21.23"/>
    <n v="21.29"/>
    <n v="0"/>
    <n v="0"/>
    <n v="0"/>
    <n v="0"/>
    <n v="0"/>
    <n v="42.519999999999996"/>
    <n v="42.519999999999996"/>
    <n v="0"/>
    <n v="42.519999999999996"/>
    <m/>
    <n v="0"/>
    <n v="27"/>
    <n v="0"/>
    <n v="27"/>
    <n v="0"/>
    <n v="0"/>
    <n v="0"/>
    <n v="27"/>
    <n v="0"/>
    <n v="27"/>
    <n v="0"/>
    <n v="0"/>
    <n v="0"/>
    <m/>
    <m/>
    <m/>
    <m/>
    <m/>
    <m/>
    <m/>
    <m/>
    <m/>
    <m/>
    <m/>
    <m/>
    <m/>
    <m/>
    <m/>
    <m/>
    <m/>
    <m/>
    <m/>
    <m/>
    <m/>
    <m/>
    <m/>
    <m/>
    <m/>
    <m/>
    <m/>
    <m/>
    <m/>
    <m/>
    <m/>
    <m/>
    <m/>
    <m/>
    <m/>
  </r>
  <r>
    <n v="742"/>
    <d v="2025-04-04T00:00:00"/>
    <s v="ZBTO"/>
    <n v="9518670066"/>
    <n v="4"/>
    <s v="9518670066-4"/>
    <s v="No Priority"/>
    <x v="1"/>
    <s v="Yes"/>
    <x v="1"/>
    <x v="2"/>
    <n v="2000"/>
    <m/>
    <x v="0"/>
    <m/>
    <m/>
    <s v="Uttar Pradesh"/>
    <s v="North"/>
    <m/>
    <m/>
    <n v="931525"/>
    <s v="INDIA STEEL INDUSTRIES"/>
    <n v="3437524"/>
    <s v="CRCA SHEET TATCRC SR16 0.400X1250X2030"/>
    <s v=""/>
    <m/>
    <m/>
    <m/>
    <m/>
    <s v="C06"/>
    <s v="TATCRC"/>
    <s v="SR16"/>
    <n v="0.4"/>
    <n v="1250"/>
    <n v="2030"/>
    <n v="108"/>
    <n v="0"/>
    <n v="108"/>
    <n v="108"/>
    <n v="108"/>
    <n v="108"/>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066"/>
    <n v="6"/>
    <s v="9518670066-6"/>
    <s v="May'25"/>
    <x v="0"/>
    <s v="Yes"/>
    <x v="1"/>
    <x v="2"/>
    <n v="2000"/>
    <m/>
    <x v="1"/>
    <m/>
    <m/>
    <s v="Uttar Pradesh"/>
    <s v="North"/>
    <m/>
    <m/>
    <n v="931525"/>
    <s v="INDIA STEEL INDUSTRIES"/>
    <n v="3240761"/>
    <s v="CRCA SHEET TSBCRC SR15 0.500X1250X2030"/>
    <s v=""/>
    <m/>
    <m/>
    <m/>
    <m/>
    <s v="C06"/>
    <s v="TSBCRC"/>
    <s v="SR15"/>
    <n v="0.5"/>
    <n v="1250"/>
    <n v="2030"/>
    <n v="108"/>
    <n v="0"/>
    <n v="108"/>
    <n v="108"/>
    <n v="108"/>
    <n v="108"/>
    <n v="0"/>
    <n v="0"/>
    <n v="0"/>
    <n v="0"/>
    <n v="0"/>
    <n v="0"/>
    <n v="0"/>
    <n v="0"/>
    <n v="0"/>
    <n v="0"/>
    <n v="0"/>
    <n v="0"/>
    <n v="0"/>
    <n v="0"/>
    <n v="0"/>
    <n v="0"/>
    <n v="0"/>
    <n v="0"/>
    <n v="0"/>
    <n v="0"/>
    <n v="0"/>
    <n v="0"/>
    <n v="0"/>
    <m/>
    <n v="0"/>
    <n v="108"/>
    <n v="0"/>
    <n v="0"/>
    <n v="108"/>
    <n v="0"/>
    <n v="0"/>
    <n v="0"/>
    <n v="0"/>
    <n v="0"/>
    <n v="0"/>
    <n v="0"/>
    <n v="0"/>
    <m/>
    <m/>
    <m/>
    <m/>
    <m/>
    <m/>
    <m/>
    <m/>
    <m/>
    <m/>
    <m/>
    <m/>
    <m/>
    <m/>
    <m/>
    <m/>
    <m/>
    <m/>
    <m/>
    <m/>
    <m/>
    <m/>
    <m/>
    <m/>
    <m/>
    <m/>
    <m/>
    <m/>
    <m/>
    <m/>
    <m/>
    <m/>
    <m/>
    <m/>
    <m/>
  </r>
  <r>
    <n v="742"/>
    <d v="2025-04-04T00:00:00"/>
    <s v="ZBTO"/>
    <n v="9518670066"/>
    <n v="7"/>
    <s v="9518670066-7"/>
    <s v="May'25"/>
    <x v="0"/>
    <s v="Yes"/>
    <x v="1"/>
    <x v="2"/>
    <n v="2000"/>
    <m/>
    <x v="1"/>
    <m/>
    <m/>
    <s v="Uttar Pradesh"/>
    <s v="North"/>
    <m/>
    <m/>
    <n v="931525"/>
    <s v="INDIA STEEL INDUSTRIES"/>
    <n v="3247971"/>
    <s v="CRCA SHEET TSBCRC SR15 0.500X1250X2020"/>
    <s v=""/>
    <m/>
    <m/>
    <m/>
    <m/>
    <s v="C06"/>
    <s v="TSBCRC"/>
    <s v="SR15"/>
    <n v="0.5"/>
    <n v="1250"/>
    <n v="2020"/>
    <n v="54"/>
    <n v="0"/>
    <n v="54"/>
    <n v="54"/>
    <n v="54"/>
    <n v="54"/>
    <n v="0"/>
    <n v="0"/>
    <n v="0"/>
    <n v="0"/>
    <n v="0"/>
    <n v="0"/>
    <n v="0"/>
    <n v="0"/>
    <n v="0"/>
    <n v="0"/>
    <n v="0"/>
    <n v="0"/>
    <n v="0"/>
    <n v="0"/>
    <n v="0"/>
    <n v="0"/>
    <n v="0"/>
    <n v="0"/>
    <n v="0"/>
    <n v="0"/>
    <n v="0"/>
    <n v="0"/>
    <n v="0"/>
    <m/>
    <n v="0"/>
    <n v="54"/>
    <n v="0"/>
    <n v="0"/>
    <n v="54"/>
    <n v="0"/>
    <n v="0"/>
    <n v="0"/>
    <n v="0"/>
    <n v="0"/>
    <n v="0"/>
    <n v="0"/>
    <n v="0"/>
    <m/>
    <m/>
    <m/>
    <m/>
    <m/>
    <m/>
    <m/>
    <m/>
    <m/>
    <m/>
    <m/>
    <m/>
    <m/>
    <m/>
    <m/>
    <m/>
    <m/>
    <m/>
    <m/>
    <m/>
    <m/>
    <m/>
    <m/>
    <m/>
    <m/>
    <m/>
    <m/>
    <m/>
    <m/>
    <m/>
    <m/>
    <m/>
    <m/>
    <m/>
    <m/>
  </r>
  <r>
    <n v="742"/>
    <d v="2025-04-04T00:00:00"/>
    <s v="ZBTO"/>
    <n v="9518670066"/>
    <n v="8"/>
    <s v="9518670066-8"/>
    <s v="May'25"/>
    <x v="0"/>
    <s v="Yes"/>
    <x v="1"/>
    <x v="2"/>
    <n v="2000"/>
    <m/>
    <x v="1"/>
    <m/>
    <m/>
    <s v="Uttar Pradesh"/>
    <s v="North"/>
    <m/>
    <m/>
    <n v="931525"/>
    <s v="INDIA STEEL INDUSTRIES"/>
    <n v="3247972"/>
    <s v="CRCA SHEET TSBCRC SR15 0.600X1250X2020"/>
    <s v=""/>
    <m/>
    <m/>
    <m/>
    <m/>
    <s v="C06"/>
    <s v="TSBCRC"/>
    <s v="SR15"/>
    <n v="0.6"/>
    <n v="1250"/>
    <n v="2020"/>
    <n v="54"/>
    <n v="0"/>
    <n v="54"/>
    <n v="54"/>
    <n v="54"/>
    <n v="54"/>
    <n v="0"/>
    <n v="0"/>
    <n v="0"/>
    <n v="0"/>
    <n v="0"/>
    <n v="0"/>
    <n v="0"/>
    <n v="0"/>
    <n v="0"/>
    <n v="0"/>
    <n v="0"/>
    <n v="0"/>
    <n v="0"/>
    <n v="0"/>
    <n v="0"/>
    <n v="0"/>
    <n v="0"/>
    <n v="0"/>
    <n v="0"/>
    <n v="0"/>
    <n v="0"/>
    <n v="0"/>
    <n v="0"/>
    <m/>
    <n v="0"/>
    <n v="54"/>
    <n v="0"/>
    <n v="0"/>
    <n v="54"/>
    <n v="0"/>
    <n v="0"/>
    <n v="0"/>
    <n v="0"/>
    <n v="0"/>
    <n v="0"/>
    <n v="0"/>
    <n v="0"/>
    <m/>
    <m/>
    <m/>
    <m/>
    <m/>
    <m/>
    <m/>
    <m/>
    <m/>
    <m/>
    <m/>
    <m/>
    <m/>
    <m/>
    <m/>
    <m/>
    <m/>
    <m/>
    <m/>
    <m/>
    <m/>
    <m/>
    <m/>
    <m/>
    <m/>
    <m/>
    <m/>
    <m/>
    <m/>
    <m/>
    <m/>
    <m/>
    <m/>
    <m/>
    <m/>
  </r>
  <r>
    <n v="742"/>
    <d v="2025-04-04T00:00:00"/>
    <s v="ZBTO"/>
    <n v="9518670066"/>
    <n v="9"/>
    <s v="9518670066-9"/>
    <s v="May'25"/>
    <x v="0"/>
    <s v="Yes"/>
    <x v="1"/>
    <x v="2"/>
    <n v="2000"/>
    <m/>
    <x v="1"/>
    <m/>
    <m/>
    <s v="Uttar Pradesh"/>
    <s v="North"/>
    <m/>
    <m/>
    <n v="931525"/>
    <s v="INDIA STEEL INDUSTRIES"/>
    <n v="3240781"/>
    <s v="CRCA SHEET TSBCRC SR15 0.600X1250X2030"/>
    <s v=""/>
    <m/>
    <m/>
    <m/>
    <m/>
    <s v="C06"/>
    <s v="TSBCRC"/>
    <s v="SR15"/>
    <n v="0.6"/>
    <n v="1250"/>
    <n v="2030"/>
    <n v="54"/>
    <n v="0"/>
    <n v="54"/>
    <n v="54"/>
    <n v="54"/>
    <n v="54"/>
    <n v="0"/>
    <n v="0"/>
    <n v="0"/>
    <n v="0"/>
    <n v="0"/>
    <n v="0"/>
    <n v="0"/>
    <n v="0"/>
    <n v="0"/>
    <n v="0"/>
    <n v="0"/>
    <n v="0"/>
    <n v="0"/>
    <n v="0"/>
    <n v="0"/>
    <n v="0"/>
    <n v="0"/>
    <n v="0"/>
    <n v="0"/>
    <n v="0"/>
    <n v="0"/>
    <n v="0"/>
    <n v="0"/>
    <m/>
    <n v="0"/>
    <n v="54"/>
    <n v="0"/>
    <n v="0"/>
    <n v="54"/>
    <n v="0"/>
    <n v="0"/>
    <n v="0"/>
    <n v="0"/>
    <n v="0"/>
    <n v="0"/>
    <n v="0"/>
    <n v="0"/>
    <m/>
    <m/>
    <m/>
    <m/>
    <m/>
    <m/>
    <m/>
    <m/>
    <m/>
    <m/>
    <m/>
    <m/>
    <m/>
    <m/>
    <m/>
    <m/>
    <m/>
    <m/>
    <m/>
    <m/>
    <m/>
    <m/>
    <m/>
    <m/>
    <m/>
    <m/>
    <m/>
    <m/>
    <m/>
    <m/>
    <m/>
    <m/>
    <m/>
    <m/>
    <m/>
  </r>
  <r>
    <n v="742"/>
    <d v="2025-04-04T00:00:00"/>
    <s v="ZBTO"/>
    <n v="9518670066"/>
    <n v="12"/>
    <s v="9518670066-12"/>
    <s v="May'25"/>
    <x v="0"/>
    <s v="Yes"/>
    <x v="1"/>
    <x v="2"/>
    <n v="2000"/>
    <m/>
    <x v="1"/>
    <m/>
    <m/>
    <s v="Uttar Pradesh"/>
    <s v="North"/>
    <m/>
    <m/>
    <n v="931525"/>
    <s v="INDIA STEEL INDUSTRIES"/>
    <n v="3240863"/>
    <s v="CRCA SHEET TSBCRC SR15 1.500X1250X2500"/>
    <s v=""/>
    <m/>
    <m/>
    <m/>
    <m/>
    <s v="C06"/>
    <s v="TSBCRC"/>
    <s v="SR15"/>
    <n v="1.5"/>
    <n v="1250"/>
    <n v="0"/>
    <n v="27"/>
    <n v="0"/>
    <n v="27"/>
    <n v="27"/>
    <n v="27"/>
    <n v="27"/>
    <n v="0"/>
    <n v="0"/>
    <n v="0"/>
    <n v="0"/>
    <n v="0"/>
    <n v="0"/>
    <n v="0"/>
    <n v="0"/>
    <n v="0"/>
    <n v="0"/>
    <n v="0"/>
    <n v="0"/>
    <n v="0"/>
    <n v="0"/>
    <n v="0"/>
    <n v="0"/>
    <n v="0"/>
    <n v="0"/>
    <n v="0"/>
    <n v="0"/>
    <n v="0"/>
    <n v="0"/>
    <n v="0"/>
    <m/>
    <n v="0"/>
    <n v="27"/>
    <n v="0"/>
    <n v="0"/>
    <n v="0"/>
    <n v="27"/>
    <n v="0"/>
    <n v="0"/>
    <n v="0"/>
    <n v="0"/>
    <n v="0"/>
    <n v="0"/>
    <n v="0"/>
    <m/>
    <m/>
    <m/>
    <m/>
    <m/>
    <m/>
    <m/>
    <m/>
    <m/>
    <m/>
    <m/>
    <m/>
    <m/>
    <m/>
    <m/>
    <m/>
    <m/>
    <m/>
    <m/>
    <m/>
    <m/>
    <m/>
    <m/>
    <m/>
    <m/>
    <m/>
    <m/>
    <m/>
    <m/>
    <m/>
    <m/>
    <m/>
    <m/>
    <m/>
    <m/>
  </r>
  <r>
    <n v="742"/>
    <d v="2025-04-04T00:00:00"/>
    <s v="ZBTO"/>
    <n v="9518670085"/>
    <n v="2"/>
    <s v="9518670085-2"/>
    <s v="No Priority"/>
    <x v="1"/>
    <m/>
    <x v="1"/>
    <x v="1"/>
    <n v="2000"/>
    <m/>
    <x v="0"/>
    <m/>
    <m/>
    <s v="Uttar Pradesh"/>
    <s v="North"/>
    <m/>
    <m/>
    <n v="931525"/>
    <s v="INDIA STEEL INDUSTRIES"/>
    <n v="1804914"/>
    <s v="CRCA COIL TATCRC TR15 0.6X1000"/>
    <s v=""/>
    <m/>
    <m/>
    <m/>
    <m/>
    <s v="C01"/>
    <s v="TATCRC"/>
    <s v="TR15"/>
    <n v="0.6"/>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234"/>
    <n v="2"/>
    <s v="9518612234-2"/>
    <s v="No Priority"/>
    <x v="1"/>
    <m/>
    <x v="3"/>
    <x v="9"/>
    <n v="2000"/>
    <m/>
    <x v="0"/>
    <m/>
    <m/>
    <s v="Uttar Pradesh"/>
    <s v="North"/>
    <m/>
    <m/>
    <n v="931234"/>
    <s v="JAI LAXMI STEELS"/>
    <n v="1319275"/>
    <s v="GP COIL SOFT-TATXGP-GLK1-0.2X900"/>
    <n v="80"/>
    <m/>
    <m/>
    <m/>
    <m/>
    <s v="C02"/>
    <s v="TATXGP"/>
    <s v="GLK1"/>
    <n v="0.2"/>
    <n v="90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234"/>
    <n v="3"/>
    <s v="9518612234-3"/>
    <s v="No Priority"/>
    <x v="1"/>
    <m/>
    <x v="3"/>
    <x v="9"/>
    <n v="2000"/>
    <m/>
    <x v="0"/>
    <m/>
    <m/>
    <s v="Uttar Pradesh"/>
    <s v="North"/>
    <m/>
    <m/>
    <n v="931234"/>
    <s v="JAI LAXMI STEELS"/>
    <n v="1854363"/>
    <s v="GP COIL SOFT-TATXGP-GLK1-0.22X900"/>
    <n v="80"/>
    <m/>
    <m/>
    <m/>
    <m/>
    <s v="C02"/>
    <s v="TATXGP"/>
    <s v="GLK1"/>
    <n v="0.22"/>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234"/>
    <n v="4"/>
    <s v="9518612234-4"/>
    <s v="No Priority"/>
    <x v="1"/>
    <m/>
    <x v="3"/>
    <x v="9"/>
    <n v="2000"/>
    <m/>
    <x v="0"/>
    <m/>
    <m/>
    <s v="Uttar Pradesh"/>
    <s v="North"/>
    <m/>
    <m/>
    <n v="931234"/>
    <s v="JAI LAXMI STEELS"/>
    <n v="1851066"/>
    <s v="GP COIL SOFT-TATXGP-GLK1-0.25X900"/>
    <n v="80"/>
    <m/>
    <m/>
    <m/>
    <m/>
    <s v="C02"/>
    <s v="TATXGP"/>
    <s v="GLK1"/>
    <n v="0.2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2234"/>
    <n v="5"/>
    <s v="9518612234-5"/>
    <s v="No Priority"/>
    <x v="1"/>
    <m/>
    <x v="3"/>
    <x v="9"/>
    <n v="2000"/>
    <m/>
    <x v="0"/>
    <m/>
    <m/>
    <s v="Uttar Pradesh"/>
    <s v="North"/>
    <m/>
    <m/>
    <n v="931234"/>
    <s v="JAI LAXMI STEELS"/>
    <n v="2270690"/>
    <s v="GP COIL SOFT TATXGP GLK1 0.25X1000"/>
    <n v="80"/>
    <m/>
    <m/>
    <m/>
    <m/>
    <s v="C02"/>
    <s v="TATXGP"/>
    <s v="GLK1"/>
    <n v="0.2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2009"/>
    <n v="1"/>
    <s v="9518692009-1"/>
    <s v="May'25"/>
    <x v="0"/>
    <m/>
    <x v="0"/>
    <x v="0"/>
    <n v="2000"/>
    <m/>
    <x v="1"/>
    <m/>
    <m/>
    <s v="Telangana"/>
    <s v="South"/>
    <m/>
    <m/>
    <n v="946441"/>
    <s v="MKT STEELS PRIVATE LIMITED"/>
    <n v="1210086"/>
    <s v="HR COILS-PO IS 1079 HR2 4X1250"/>
    <s v=""/>
    <m/>
    <m/>
    <m/>
    <m/>
    <n v="768"/>
    <s v="THR099"/>
    <s v="HR99"/>
    <n v="4"/>
    <n v="1250"/>
    <n v="0"/>
    <n v="25"/>
    <n v="0"/>
    <n v="25"/>
    <n v="25"/>
    <n v="25"/>
    <n v="25"/>
    <n v="0"/>
    <n v="0"/>
    <n v="0"/>
    <n v="0"/>
    <n v="0"/>
    <n v="0"/>
    <n v="0"/>
    <n v="0"/>
    <n v="0"/>
    <n v="0"/>
    <n v="0"/>
    <n v="0"/>
    <n v="0"/>
    <n v="0"/>
    <n v="0"/>
    <n v="0"/>
    <n v="0"/>
    <n v="0"/>
    <n v="0"/>
    <n v="0"/>
    <n v="0"/>
    <n v="0"/>
    <n v="0"/>
    <m/>
    <n v="0"/>
    <n v="25"/>
    <n v="0"/>
    <n v="0"/>
    <n v="0"/>
    <n v="25"/>
    <n v="0"/>
    <n v="0"/>
    <n v="0"/>
    <n v="0"/>
    <n v="0"/>
    <n v="0"/>
    <n v="0"/>
    <m/>
    <m/>
    <m/>
    <m/>
    <m/>
    <m/>
    <m/>
    <m/>
    <m/>
    <m/>
    <m/>
    <m/>
    <m/>
    <m/>
    <m/>
    <m/>
    <m/>
    <m/>
    <m/>
    <m/>
    <m/>
    <m/>
    <m/>
    <m/>
    <m/>
    <m/>
    <m/>
    <m/>
    <m/>
    <m/>
    <m/>
    <m/>
    <m/>
    <m/>
    <m/>
  </r>
  <r>
    <n v="742"/>
    <d v="2025-03-24T00:00:00"/>
    <s v="ZBTO"/>
    <n v="9518628321"/>
    <n v="1"/>
    <s v="9518628321-1"/>
    <s v="May'25"/>
    <x v="0"/>
    <s v="Yes"/>
    <x v="1"/>
    <x v="2"/>
    <n v="2000"/>
    <m/>
    <x v="1"/>
    <m/>
    <m/>
    <s v="Uttar Pradesh"/>
    <s v="North"/>
    <m/>
    <m/>
    <n v="115841"/>
    <s v="O.V.S. ISPAT UDYOG"/>
    <n v="3437524"/>
    <s v="CRCA SHEET TATCRC SR16 0.400X1250X2030"/>
    <s v=""/>
    <m/>
    <m/>
    <m/>
    <m/>
    <s v="C06"/>
    <s v="TATCRC"/>
    <s v="SR16"/>
    <n v="0.4"/>
    <n v="1250"/>
    <n v="2030"/>
    <n v="75"/>
    <n v="0"/>
    <n v="75"/>
    <n v="75"/>
    <n v="75"/>
    <n v="75"/>
    <n v="0"/>
    <n v="0"/>
    <n v="0"/>
    <n v="0"/>
    <n v="0"/>
    <n v="0"/>
    <n v="0"/>
    <n v="0"/>
    <n v="0"/>
    <n v="0"/>
    <n v="0"/>
    <n v="0"/>
    <n v="0"/>
    <n v="0"/>
    <n v="0"/>
    <n v="0"/>
    <n v="0"/>
    <n v="0"/>
    <n v="0"/>
    <n v="0"/>
    <n v="0"/>
    <n v="0"/>
    <n v="0"/>
    <m/>
    <n v="0"/>
    <n v="75"/>
    <n v="0"/>
    <n v="0"/>
    <n v="0"/>
    <n v="75"/>
    <n v="0"/>
    <n v="0"/>
    <n v="0"/>
    <n v="0"/>
    <n v="0"/>
    <n v="0"/>
    <n v="0"/>
    <m/>
    <m/>
    <m/>
    <m/>
    <m/>
    <m/>
    <m/>
    <m/>
    <m/>
    <m/>
    <m/>
    <m/>
    <m/>
    <m/>
    <m/>
    <m/>
    <m/>
    <m/>
    <m/>
    <m/>
    <m/>
    <m/>
    <m/>
    <m/>
    <m/>
    <m/>
    <m/>
    <m/>
    <m/>
    <m/>
    <m/>
    <m/>
    <m/>
    <m/>
    <m/>
  </r>
  <r>
    <n v="742"/>
    <d v="2025-03-26T00:00:00"/>
    <s v="ZBTO"/>
    <n v="9518636289"/>
    <n v="1"/>
    <s v="9518636289-1"/>
    <s v="No Priority"/>
    <x v="1"/>
    <m/>
    <x v="1"/>
    <x v="1"/>
    <n v="2000"/>
    <m/>
    <x v="0"/>
    <m/>
    <m/>
    <s v="Uttar Pradesh"/>
    <s v="North"/>
    <m/>
    <m/>
    <n v="115841"/>
    <s v="O.V.S. ISPAT UDYOG"/>
    <n v="1804940"/>
    <s v="CRCA COIL-TATCRC-TR15-1X1250"/>
    <s v=""/>
    <m/>
    <m/>
    <m/>
    <m/>
    <s v="C01"/>
    <s v="TATCRC"/>
    <s v="TR15"/>
    <n v="1"/>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26T00:00:00"/>
    <s v="ZBTO"/>
    <n v="9518636289"/>
    <n v="2"/>
    <s v="9518636289-2"/>
    <s v="No Priority"/>
    <x v="1"/>
    <m/>
    <x v="1"/>
    <x v="1"/>
    <n v="2000"/>
    <m/>
    <x v="0"/>
    <m/>
    <m/>
    <s v="Uttar Pradesh"/>
    <s v="North"/>
    <m/>
    <m/>
    <n v="115841"/>
    <s v="O.V.S. ISPAT UDYOG"/>
    <n v="1804946"/>
    <s v="CRCA COIL-TATCRC-TR15-1.5X1250"/>
    <s v=""/>
    <m/>
    <m/>
    <m/>
    <m/>
    <s v="C01"/>
    <s v="TATCRC"/>
    <s v="TR15"/>
    <n v="1.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886"/>
    <n v="1"/>
    <s v="9518696886-1"/>
    <s v="No Priority"/>
    <x v="1"/>
    <m/>
    <x v="1"/>
    <x v="2"/>
    <n v="2000"/>
    <m/>
    <x v="0"/>
    <m/>
    <m/>
    <s v="Uttar Pradesh"/>
    <s v="North"/>
    <m/>
    <m/>
    <n v="115841"/>
    <s v="O.V.S. ISPAT UDYOG"/>
    <n v="3239554"/>
    <s v="CRCA SHEET TATCRC SR16 0.400X1000X2500"/>
    <s v=""/>
    <m/>
    <m/>
    <m/>
    <m/>
    <s v="C06"/>
    <s v="TATCRC"/>
    <s v="SR16"/>
    <n v="0.4"/>
    <n v="100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886"/>
    <n v="3"/>
    <s v="9518696886-3"/>
    <s v="No Priority"/>
    <x v="0"/>
    <m/>
    <x v="1"/>
    <x v="2"/>
    <n v="2000"/>
    <m/>
    <x v="0"/>
    <m/>
    <m/>
    <s v="Uttar Pradesh"/>
    <s v="North"/>
    <m/>
    <m/>
    <n v="115841"/>
    <s v="O.V.S. ISPAT UDYOG"/>
    <n v="3240765"/>
    <s v="CRCA SHEET TSBCRC SR15 0.500X1250X2500"/>
    <s v=""/>
    <m/>
    <m/>
    <m/>
    <m/>
    <s v="C06"/>
    <s v="TSBCRC"/>
    <s v="SR15"/>
    <n v="0.5"/>
    <n v="1250"/>
    <n v="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886"/>
    <n v="4"/>
    <s v="9518696886-4"/>
    <s v="No Priority"/>
    <x v="0"/>
    <m/>
    <x v="1"/>
    <x v="2"/>
    <n v="2000"/>
    <m/>
    <x v="0"/>
    <m/>
    <m/>
    <s v="Uttar Pradesh"/>
    <s v="North"/>
    <m/>
    <m/>
    <n v="115841"/>
    <s v="O.V.S. ISPAT UDYOG"/>
    <n v="3240792"/>
    <s v="CRCA SHEET TSBCRC SR15 0.600X1250X2500"/>
    <s v=""/>
    <m/>
    <m/>
    <m/>
    <m/>
    <s v="C06"/>
    <s v="TSBCRC"/>
    <s v="SR15"/>
    <n v="0.6"/>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886"/>
    <n v="5"/>
    <s v="9518696886-5"/>
    <s v="May'25"/>
    <x v="0"/>
    <m/>
    <x v="1"/>
    <x v="1"/>
    <n v="2000"/>
    <m/>
    <x v="1"/>
    <m/>
    <m/>
    <s v="Uttar Pradesh"/>
    <s v="North"/>
    <m/>
    <m/>
    <n v="115841"/>
    <s v="O.V.S. ISPAT UDYOG"/>
    <n v="322575"/>
    <s v="CRCA SHEET TATCRC TR15 .7X1250X2500"/>
    <s v=""/>
    <m/>
    <m/>
    <m/>
    <m/>
    <s v="C06"/>
    <s v="TATCRC"/>
    <s v="TR15"/>
    <n v="0.7"/>
    <n v="1250"/>
    <n v="0"/>
    <n v="33"/>
    <n v="0"/>
    <n v="33"/>
    <n v="33"/>
    <n v="5.7800000000000011"/>
    <n v="33"/>
    <n v="0"/>
    <n v="0"/>
    <n v="0"/>
    <n v="0"/>
    <n v="0"/>
    <n v="0"/>
    <n v="0"/>
    <n v="0"/>
    <n v="0"/>
    <n v="0"/>
    <n v="0"/>
    <n v="0"/>
    <n v="0"/>
    <n v="27.22"/>
    <n v="0"/>
    <n v="0"/>
    <n v="0"/>
    <n v="0"/>
    <n v="0"/>
    <n v="27.22"/>
    <n v="27.22"/>
    <n v="0"/>
    <n v="27.22"/>
    <m/>
    <n v="0"/>
    <n v="33"/>
    <n v="33"/>
    <n v="0"/>
    <n v="0"/>
    <n v="0"/>
    <n v="0"/>
    <n v="0"/>
    <n v="0"/>
    <n v="0"/>
    <n v="0"/>
    <n v="0"/>
    <n v="0"/>
    <m/>
    <m/>
    <m/>
    <m/>
    <m/>
    <m/>
    <m/>
    <m/>
    <m/>
    <m/>
    <m/>
    <m/>
    <m/>
    <m/>
    <m/>
    <m/>
    <m/>
    <m/>
    <m/>
    <m/>
    <m/>
    <m/>
    <m/>
    <m/>
    <m/>
    <m/>
    <m/>
    <m/>
    <m/>
    <m/>
    <m/>
    <m/>
    <m/>
    <m/>
    <m/>
  </r>
  <r>
    <n v="742"/>
    <d v="2025-04-16T00:00:00"/>
    <s v="ZBTO"/>
    <n v="9518696886"/>
    <n v="6"/>
    <s v="9518696886-6"/>
    <s v="No Priority"/>
    <x v="0"/>
    <m/>
    <x v="1"/>
    <x v="1"/>
    <n v="2000"/>
    <m/>
    <x v="0"/>
    <m/>
    <m/>
    <s v="Uttar Pradesh"/>
    <s v="North"/>
    <m/>
    <m/>
    <n v="115841"/>
    <s v="O.V.S. ISPAT UDYOG"/>
    <n v="322585"/>
    <s v="CRCA SHEET TATCRC TR15 .9X1250X2500"/>
    <s v=""/>
    <m/>
    <m/>
    <m/>
    <m/>
    <s v="C06"/>
    <s v="TATCRC"/>
    <s v="TR15"/>
    <n v="0.9"/>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886"/>
    <n v="7"/>
    <s v="9518696886-7"/>
    <s v="No Priority"/>
    <x v="1"/>
    <m/>
    <x v="1"/>
    <x v="1"/>
    <n v="2000"/>
    <m/>
    <x v="0"/>
    <m/>
    <m/>
    <s v="Uttar Pradesh"/>
    <s v="North"/>
    <m/>
    <m/>
    <n v="115841"/>
    <s v="O.V.S. ISPAT UDYOG"/>
    <n v="322580"/>
    <s v="CRCA SHEET TATCRC TR15 1.2X1250X2500"/>
    <s v=""/>
    <m/>
    <m/>
    <m/>
    <m/>
    <s v="C06"/>
    <s v="TATCRC"/>
    <s v="TR15"/>
    <n v="1.2"/>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3-26T00:00:00"/>
    <s v="ZBTO"/>
    <n v="9518637097"/>
    <n v="3"/>
    <s v="9518637097-3"/>
    <s v="May'25"/>
    <x v="0"/>
    <s v="Yes"/>
    <x v="1"/>
    <x v="2"/>
    <n v="2000"/>
    <m/>
    <x v="1"/>
    <m/>
    <m/>
    <s v="Chhattisgarh"/>
    <s v="East"/>
    <m/>
    <m/>
    <n v="139336"/>
    <s v="PASA ASSOCIATES PRIVATE LIMITE"/>
    <n v="3239557"/>
    <s v="CRCA SHEET TATCRC SR16 0.400X1250X2500"/>
    <s v=""/>
    <m/>
    <m/>
    <m/>
    <m/>
    <s v="C06"/>
    <s v="TATCRC"/>
    <s v="SR16"/>
    <n v="0.4"/>
    <n v="1250"/>
    <n v="0"/>
    <n v="30"/>
    <n v="0"/>
    <n v="30"/>
    <n v="30"/>
    <n v="30"/>
    <n v="30"/>
    <n v="0"/>
    <n v="0"/>
    <n v="0"/>
    <n v="0"/>
    <n v="0"/>
    <n v="0"/>
    <n v="0"/>
    <n v="0"/>
    <n v="0"/>
    <n v="0"/>
    <n v="0"/>
    <n v="0"/>
    <n v="0"/>
    <n v="0"/>
    <n v="0"/>
    <n v="0"/>
    <n v="0"/>
    <n v="0"/>
    <n v="0"/>
    <n v="0"/>
    <n v="0"/>
    <n v="0"/>
    <n v="0"/>
    <m/>
    <n v="0"/>
    <n v="30"/>
    <n v="0"/>
    <n v="0"/>
    <n v="0"/>
    <n v="30"/>
    <n v="0"/>
    <n v="0"/>
    <n v="0"/>
    <n v="0"/>
    <n v="0"/>
    <n v="0"/>
    <n v="0"/>
    <m/>
    <m/>
    <m/>
    <m/>
    <m/>
    <m/>
    <m/>
    <m/>
    <m/>
    <m/>
    <m/>
    <m/>
    <m/>
    <m/>
    <m/>
    <m/>
    <m/>
    <m/>
    <m/>
    <m/>
    <m/>
    <m/>
    <m/>
    <m/>
    <m/>
    <m/>
    <m/>
    <m/>
    <m/>
    <m/>
    <m/>
    <m/>
    <m/>
    <m/>
    <m/>
  </r>
  <r>
    <n v="743"/>
    <d v="2025-03-27T00:00:00"/>
    <s v="ZBTO"/>
    <n v="9518644745"/>
    <n v="1"/>
    <s v="9518644745-1"/>
    <s v="No Priority"/>
    <x v="0"/>
    <m/>
    <x v="4"/>
    <x v="10"/>
    <n v="1000"/>
    <m/>
    <x v="0"/>
    <m/>
    <s v="No allocation for IPP"/>
    <s v="Maharashtra"/>
    <s v="West"/>
    <m/>
    <m/>
    <n v="942186"/>
    <s v="PRABHAT GLOBAL COLOURCOATED PR"/>
    <n v="1882436"/>
    <s v="GL COIL HARD -Y550GL-H7GL-0.37X1220"/>
    <n v="70"/>
    <m/>
    <m/>
    <m/>
    <m/>
    <s v="B04"/>
    <s v="Y550GL"/>
    <s v="H7GL"/>
    <n v="0.37"/>
    <n v="1220"/>
    <n v="0"/>
    <n v="168"/>
    <n v="0"/>
    <n v="168"/>
    <n v="168"/>
    <n v="168"/>
    <n v="168"/>
    <n v="0"/>
    <n v="0"/>
    <n v="0"/>
    <n v="0"/>
    <n v="0"/>
    <n v="0"/>
    <n v="0"/>
    <n v="0"/>
    <n v="0"/>
    <n v="0"/>
    <n v="0"/>
    <n v="0"/>
    <n v="0"/>
    <n v="0"/>
    <n v="0"/>
    <n v="0"/>
    <n v="0"/>
    <n v="0"/>
    <n v="0"/>
    <n v="0"/>
    <n v="0"/>
    <n v="0"/>
    <n v="0"/>
    <m/>
    <n v="0"/>
    <n v="0"/>
    <n v="0"/>
    <n v="0"/>
    <n v="0"/>
    <n v="0"/>
    <n v="0"/>
    <n v="0"/>
    <n v="0"/>
    <n v="0"/>
    <n v="0"/>
    <n v="0"/>
    <n v="0"/>
    <m/>
    <m/>
    <m/>
    <m/>
    <m/>
    <m/>
    <m/>
    <m/>
    <m/>
    <m/>
    <m/>
    <m/>
    <m/>
    <m/>
    <m/>
    <m/>
    <m/>
    <m/>
    <m/>
    <m/>
    <m/>
    <m/>
    <m/>
    <m/>
    <m/>
    <m/>
    <m/>
    <m/>
    <m/>
    <m/>
    <m/>
    <m/>
    <m/>
    <m/>
    <m/>
  </r>
  <r>
    <n v="743"/>
    <d v="2025-03-27T00:00:00"/>
    <s v="ZBTO"/>
    <n v="9518644745"/>
    <n v="2"/>
    <s v="9518644745-2"/>
    <s v="Stocks"/>
    <x v="0"/>
    <m/>
    <x v="4"/>
    <x v="10"/>
    <n v="1000"/>
    <m/>
    <x v="1"/>
    <m/>
    <s v="No allocation for IPP"/>
    <s v="Maharashtra"/>
    <s v="West"/>
    <m/>
    <m/>
    <n v="942186"/>
    <s v="PRABHAT GLOBAL COLOURCOATED PR"/>
    <n v="1707170"/>
    <s v="GL COIL HARD -Y550GL-H7GL-0.42X1220"/>
    <n v="70"/>
    <m/>
    <m/>
    <m/>
    <m/>
    <s v="B04"/>
    <s v="Y550GL"/>
    <s v="H7GL"/>
    <n v="0.42"/>
    <n v="1220"/>
    <n v="0"/>
    <n v="112"/>
    <n v="0"/>
    <n v="112"/>
    <n v="112"/>
    <n v="112"/>
    <n v="63.45"/>
    <n v="0"/>
    <n v="0"/>
    <n v="0"/>
    <n v="0"/>
    <n v="0"/>
    <n v="0"/>
    <n v="0"/>
    <n v="0"/>
    <n v="0"/>
    <n v="0"/>
    <n v="0"/>
    <n v="0"/>
    <n v="0"/>
    <n v="0"/>
    <n v="0"/>
    <n v="0"/>
    <n v="0"/>
    <n v="0"/>
    <n v="0"/>
    <n v="0"/>
    <n v="0"/>
    <n v="0"/>
    <n v="0"/>
    <m/>
    <n v="48.55"/>
    <n v="0"/>
    <n v="0"/>
    <n v="0"/>
    <n v="0"/>
    <n v="0"/>
    <n v="0"/>
    <n v="0"/>
    <n v="0"/>
    <n v="0"/>
    <n v="0"/>
    <n v="0"/>
    <n v="0"/>
    <m/>
    <m/>
    <m/>
    <m/>
    <m/>
    <m/>
    <m/>
    <m/>
    <m/>
    <m/>
    <m/>
    <m/>
    <m/>
    <m/>
    <m/>
    <m/>
    <m/>
    <m/>
    <m/>
    <m/>
    <m/>
    <m/>
    <m/>
    <m/>
    <m/>
    <m/>
    <m/>
    <m/>
    <m/>
    <m/>
    <m/>
    <m/>
    <m/>
    <m/>
    <m/>
  </r>
  <r>
    <n v="743"/>
    <d v="2025-03-27T00:00:00"/>
    <s v="ZBTO"/>
    <n v="9518644745"/>
    <n v="3"/>
    <s v="9518644745-3"/>
    <s v="No Priority"/>
    <x v="0"/>
    <m/>
    <x v="4"/>
    <x v="10"/>
    <n v="1000"/>
    <m/>
    <x v="0"/>
    <m/>
    <s v="No allocation for IPP"/>
    <s v="Maharashtra"/>
    <s v="West"/>
    <m/>
    <m/>
    <n v="942186"/>
    <s v="PRABHAT GLOBAL COLOURCOATED PR"/>
    <n v="2258434"/>
    <s v="GL COIL HARD  Y550GL H7GL 0.47X1220"/>
    <n v="70"/>
    <m/>
    <m/>
    <m/>
    <m/>
    <s v="B04"/>
    <s v="Y550GL"/>
    <s v="H7GL"/>
    <n v="0.47"/>
    <n v="1220"/>
    <n v="0"/>
    <n v="252"/>
    <n v="0"/>
    <n v="252"/>
    <n v="252"/>
    <n v="252"/>
    <n v="252"/>
    <n v="0"/>
    <n v="0"/>
    <n v="0"/>
    <n v="0"/>
    <n v="0"/>
    <n v="0"/>
    <n v="0"/>
    <n v="0"/>
    <n v="0"/>
    <n v="0"/>
    <n v="0"/>
    <n v="0"/>
    <n v="0"/>
    <n v="0"/>
    <n v="0"/>
    <n v="0"/>
    <n v="0"/>
    <n v="0"/>
    <n v="0"/>
    <n v="0"/>
    <n v="0"/>
    <n v="0"/>
    <n v="0"/>
    <m/>
    <n v="0"/>
    <n v="0"/>
    <n v="0"/>
    <n v="0"/>
    <n v="0"/>
    <n v="0"/>
    <n v="0"/>
    <n v="0"/>
    <n v="0"/>
    <n v="0"/>
    <n v="0"/>
    <n v="0"/>
    <n v="0"/>
    <m/>
    <m/>
    <m/>
    <m/>
    <m/>
    <m/>
    <m/>
    <m/>
    <m/>
    <m/>
    <m/>
    <m/>
    <m/>
    <m/>
    <m/>
    <m/>
    <m/>
    <m/>
    <m/>
    <m/>
    <m/>
    <m/>
    <m/>
    <m/>
    <m/>
    <m/>
    <m/>
    <m/>
    <m/>
    <m/>
    <m/>
    <m/>
    <m/>
    <m/>
    <m/>
  </r>
  <r>
    <n v="742"/>
    <d v="2025-03-21T00:00:00"/>
    <s v="ZBTO"/>
    <n v="9518620159"/>
    <n v="4"/>
    <s v="9518620159-4"/>
    <s v="May'25"/>
    <x v="0"/>
    <s v="Yes"/>
    <x v="1"/>
    <x v="2"/>
    <n v="2000"/>
    <m/>
    <x v="1"/>
    <m/>
    <m/>
    <s v="Chhattisgarh"/>
    <s v="East"/>
    <m/>
    <m/>
    <n v="931662"/>
    <s v="PRESTIGE METALLICS PRIVATE LIM"/>
    <n v="3239557"/>
    <s v="CRCA SHEET TATCRC SR16 0.400X1250X2500"/>
    <s v=""/>
    <m/>
    <m/>
    <m/>
    <m/>
    <s v="C06"/>
    <s v="TATCRC"/>
    <s v="SR16"/>
    <n v="0.4"/>
    <n v="1250"/>
    <n v="0"/>
    <n v="30"/>
    <n v="0"/>
    <n v="30"/>
    <n v="30"/>
    <n v="30"/>
    <n v="30"/>
    <n v="0"/>
    <n v="0"/>
    <n v="0"/>
    <n v="0"/>
    <n v="0"/>
    <n v="0"/>
    <n v="0"/>
    <n v="0"/>
    <n v="0"/>
    <n v="0"/>
    <n v="0"/>
    <n v="0"/>
    <n v="0"/>
    <n v="0"/>
    <n v="0"/>
    <n v="0"/>
    <n v="0"/>
    <n v="0"/>
    <n v="0"/>
    <n v="0"/>
    <n v="0"/>
    <n v="0"/>
    <n v="0"/>
    <m/>
    <n v="0"/>
    <n v="30"/>
    <n v="0"/>
    <n v="0"/>
    <n v="0"/>
    <n v="30"/>
    <n v="0"/>
    <n v="0"/>
    <n v="0"/>
    <n v="0"/>
    <n v="0"/>
    <n v="0"/>
    <n v="0"/>
    <m/>
    <m/>
    <m/>
    <m/>
    <m/>
    <m/>
    <m/>
    <m/>
    <m/>
    <m/>
    <m/>
    <m/>
    <m/>
    <m/>
    <m/>
    <m/>
    <m/>
    <m/>
    <m/>
    <m/>
    <m/>
    <m/>
    <m/>
    <m/>
    <m/>
    <m/>
    <m/>
    <m/>
    <m/>
    <m/>
    <m/>
    <m/>
    <m/>
    <m/>
    <m/>
  </r>
  <r>
    <n v="742"/>
    <d v="2025-04-02T00:00:00"/>
    <s v="ZBTO"/>
    <n v="9518664146"/>
    <n v="2"/>
    <s v="9518664146-2"/>
    <s v="May'25"/>
    <x v="0"/>
    <s v="Yes"/>
    <x v="1"/>
    <x v="2"/>
    <n v="2000"/>
    <m/>
    <x v="1"/>
    <m/>
    <m/>
    <s v="West Bengal"/>
    <s v="East"/>
    <m/>
    <m/>
    <n v="925093"/>
    <s v="PSPL STEEL PROCESSORS PRIVATE"/>
    <n v="2440959"/>
    <s v="CRCA SHEET TATCRC SR16 0.330X900X2500"/>
    <s v=""/>
    <m/>
    <m/>
    <m/>
    <m/>
    <s v="C06"/>
    <s v="TATCRC"/>
    <s v="SR16"/>
    <n v="0.33"/>
    <n v="900"/>
    <n v="2500"/>
    <n v="24"/>
    <n v="0"/>
    <n v="24"/>
    <n v="24"/>
    <n v="24"/>
    <n v="24"/>
    <n v="0"/>
    <n v="0"/>
    <n v="0"/>
    <n v="0"/>
    <n v="0"/>
    <n v="0"/>
    <n v="0"/>
    <n v="0"/>
    <n v="0"/>
    <n v="0"/>
    <n v="0"/>
    <n v="0"/>
    <n v="0"/>
    <n v="0"/>
    <n v="0"/>
    <n v="0"/>
    <n v="0"/>
    <n v="0"/>
    <n v="0"/>
    <n v="0"/>
    <n v="0"/>
    <n v="0"/>
    <n v="0"/>
    <m/>
    <n v="0"/>
    <n v="24"/>
    <n v="0"/>
    <n v="0"/>
    <n v="0"/>
    <n v="0"/>
    <n v="24"/>
    <n v="0"/>
    <n v="0"/>
    <n v="0"/>
    <n v="0"/>
    <n v="0"/>
    <n v="0"/>
    <m/>
    <m/>
    <m/>
    <m/>
    <m/>
    <m/>
    <m/>
    <m/>
    <m/>
    <m/>
    <m/>
    <m/>
    <m/>
    <m/>
    <m/>
    <m/>
    <m/>
    <m/>
    <m/>
    <m/>
    <m/>
    <m/>
    <m/>
    <m/>
    <m/>
    <m/>
    <m/>
    <m/>
    <m/>
    <m/>
    <m/>
    <m/>
    <m/>
    <m/>
    <m/>
  </r>
  <r>
    <n v="742"/>
    <d v="2025-04-02T00:00:00"/>
    <s v="ZBTO"/>
    <n v="9518664146"/>
    <n v="3"/>
    <s v="9518664146-3"/>
    <s v="May'25"/>
    <x v="0"/>
    <s v="Yes"/>
    <x v="1"/>
    <x v="2"/>
    <n v="2000"/>
    <m/>
    <x v="1"/>
    <m/>
    <m/>
    <s v="West Bengal"/>
    <s v="East"/>
    <m/>
    <m/>
    <n v="925093"/>
    <s v="PSPL STEEL PROCESSORS PRIVATE"/>
    <n v="3239548"/>
    <s v="CRCA SHEET TATCRC SR16 0.400X900X2500"/>
    <s v=""/>
    <m/>
    <m/>
    <m/>
    <m/>
    <s v="C06"/>
    <s v="TATCRC"/>
    <s v="SR16"/>
    <n v="0.4"/>
    <n v="900"/>
    <n v="2500"/>
    <n v="24"/>
    <n v="0"/>
    <n v="24"/>
    <n v="24"/>
    <n v="2.8000000000000007"/>
    <n v="24"/>
    <n v="0"/>
    <n v="0"/>
    <n v="0"/>
    <n v="0"/>
    <n v="0"/>
    <n v="0"/>
    <n v="0"/>
    <n v="0"/>
    <n v="0"/>
    <n v="0"/>
    <n v="0"/>
    <n v="0"/>
    <n v="0"/>
    <n v="21.2"/>
    <n v="0"/>
    <n v="0"/>
    <n v="0"/>
    <n v="0"/>
    <n v="0"/>
    <n v="21.2"/>
    <n v="21.2"/>
    <n v="0"/>
    <n v="21.2"/>
    <m/>
    <n v="0"/>
    <n v="24"/>
    <n v="0"/>
    <n v="24"/>
    <n v="0"/>
    <n v="0"/>
    <n v="0"/>
    <n v="24"/>
    <n v="0"/>
    <n v="24"/>
    <n v="0"/>
    <n v="0"/>
    <n v="0"/>
    <m/>
    <m/>
    <m/>
    <m/>
    <m/>
    <m/>
    <m/>
    <m/>
    <m/>
    <m/>
    <m/>
    <m/>
    <m/>
    <m/>
    <m/>
    <m/>
    <m/>
    <m/>
    <m/>
    <m/>
    <m/>
    <m/>
    <m/>
    <m/>
    <m/>
    <m/>
    <m/>
    <m/>
    <m/>
    <m/>
    <m/>
    <m/>
    <m/>
    <m/>
    <m/>
  </r>
  <r>
    <n v="742"/>
    <d v="2025-04-16T00:00:00"/>
    <s v="ZBTO"/>
    <n v="9518697298"/>
    <n v="1"/>
    <s v="9518697298-1"/>
    <s v="No Priority"/>
    <x v="1"/>
    <m/>
    <x v="1"/>
    <x v="2"/>
    <n v="2000"/>
    <m/>
    <x v="0"/>
    <m/>
    <m/>
    <s v="West Bengal"/>
    <s v="East"/>
    <m/>
    <m/>
    <n v="925093"/>
    <s v="PSPL STEEL PROCESSORS PRIVATE"/>
    <n v="3239548"/>
    <s v="CRCA SHEET TATCRC SR16 0.400X900X2500"/>
    <s v=""/>
    <m/>
    <m/>
    <m/>
    <m/>
    <s v="C06"/>
    <s v="TATCRC"/>
    <s v="SR16"/>
    <n v="0.4"/>
    <n v="9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7298"/>
    <n v="2"/>
    <s v="9518697298-2"/>
    <s v="No Priority"/>
    <x v="0"/>
    <m/>
    <x v="1"/>
    <x v="2"/>
    <n v="2000"/>
    <m/>
    <x v="0"/>
    <m/>
    <m/>
    <s v="West Bengal"/>
    <s v="East"/>
    <m/>
    <m/>
    <n v="925093"/>
    <s v="PSPL STEEL PROCESSORS PRIVATE"/>
    <n v="3240760"/>
    <s v="CRCA SHEET TSBCRC SR15 0.500X1000X2500"/>
    <s v=""/>
    <m/>
    <m/>
    <m/>
    <m/>
    <s v="C06"/>
    <s v="TSBCRC"/>
    <s v="SR15"/>
    <n v="0.5"/>
    <n v="1000"/>
    <n v="2500"/>
    <n v="24"/>
    <n v="0"/>
    <n v="24"/>
    <n v="24"/>
    <n v="24"/>
    <n v="9"/>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7298"/>
    <n v="3"/>
    <s v="9518697298-3"/>
    <s v="No Priority"/>
    <x v="1"/>
    <m/>
    <x v="1"/>
    <x v="2"/>
    <n v="2000"/>
    <m/>
    <x v="0"/>
    <m/>
    <m/>
    <s v="West Bengal"/>
    <s v="East"/>
    <m/>
    <m/>
    <n v="925093"/>
    <s v="PSPL STEEL PROCESSORS PRIVATE"/>
    <n v="3446127"/>
    <s v="CRCA SHEET TATCRC SR16 0.330X900X2500"/>
    <s v=""/>
    <m/>
    <m/>
    <m/>
    <m/>
    <s v="C06"/>
    <s v="TATCRC"/>
    <s v="SR16"/>
    <n v="0.33"/>
    <n v="9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3349"/>
    <n v="1"/>
    <s v="9518593349-1"/>
    <s v="No Priority"/>
    <x v="1"/>
    <m/>
    <x v="1"/>
    <x v="1"/>
    <n v="2000"/>
    <m/>
    <x v="0"/>
    <m/>
    <m/>
    <s v="Jharkhand"/>
    <s v="East"/>
    <m/>
    <m/>
    <n v="121328"/>
    <s v="R. S. BOKARO METAL (P) LTD."/>
    <n v="1804908"/>
    <s v="CRCA COIL TATCRC TR15 0.5X1250"/>
    <s v=""/>
    <m/>
    <m/>
    <m/>
    <m/>
    <s v="C01"/>
    <s v="TATCRC"/>
    <s v="TR15"/>
    <n v="0.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3412"/>
    <n v="1"/>
    <s v="9518593412-1"/>
    <s v="No Priority"/>
    <x v="0"/>
    <s v="Yes"/>
    <x v="1"/>
    <x v="2"/>
    <n v="2000"/>
    <m/>
    <x v="0"/>
    <m/>
    <m/>
    <s v="Jharkhand"/>
    <s v="East"/>
    <m/>
    <m/>
    <n v="121328"/>
    <s v="R. S. BOKARO METAL (P) LTD."/>
    <n v="3239408"/>
    <s v="CRCA SHEET TATCRC SR16 0.300X900X2500"/>
    <s v=""/>
    <m/>
    <m/>
    <m/>
    <m/>
    <s v="C06"/>
    <s v="TATCRC"/>
    <s v="SR16"/>
    <n v="0.3"/>
    <n v="9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3412"/>
    <n v="2"/>
    <s v="9518593412-2"/>
    <s v="No Priority"/>
    <x v="0"/>
    <s v="Yes"/>
    <x v="1"/>
    <x v="2"/>
    <n v="2000"/>
    <m/>
    <x v="0"/>
    <m/>
    <m/>
    <s v="Jharkhand"/>
    <s v="East"/>
    <m/>
    <m/>
    <n v="121328"/>
    <s v="R. S. BOKARO METAL (P) LTD."/>
    <n v="3446127"/>
    <s v="CRCA SHEET TATCRC SR16 0.330X900X2500"/>
    <s v=""/>
    <m/>
    <m/>
    <m/>
    <m/>
    <s v="C06"/>
    <s v="TATCRC"/>
    <s v="SR16"/>
    <n v="0.33"/>
    <n v="900"/>
    <n v="2500"/>
    <n v="39"/>
    <n v="0"/>
    <n v="39"/>
    <n v="39"/>
    <n v="39"/>
    <n v="39"/>
    <n v="0"/>
    <n v="0"/>
    <n v="0"/>
    <n v="0"/>
    <n v="0"/>
    <n v="0"/>
    <n v="0"/>
    <n v="0"/>
    <n v="0"/>
    <n v="0"/>
    <n v="0"/>
    <n v="0"/>
    <n v="0"/>
    <n v="0"/>
    <n v="0"/>
    <n v="0"/>
    <n v="0"/>
    <n v="0"/>
    <n v="0"/>
    <n v="0"/>
    <n v="0"/>
    <n v="0"/>
    <n v="0"/>
    <m/>
    <n v="0"/>
    <n v="0"/>
    <n v="0"/>
    <n v="0"/>
    <n v="0"/>
    <n v="0"/>
    <n v="0"/>
    <n v="0"/>
    <n v="0"/>
    <n v="0"/>
    <n v="0"/>
    <n v="0"/>
    <n v="0"/>
    <m/>
    <m/>
    <m/>
    <m/>
    <m/>
    <m/>
    <m/>
    <m/>
    <m/>
    <m/>
    <m/>
    <m/>
    <m/>
    <m/>
    <m/>
    <m/>
    <m/>
    <m/>
    <m/>
    <m/>
    <m/>
    <m/>
    <m/>
    <m/>
    <m/>
    <m/>
    <m/>
    <m/>
    <m/>
    <m/>
    <m/>
    <m/>
    <m/>
    <m/>
    <m/>
  </r>
  <r>
    <n v="742"/>
    <d v="2025-03-11T00:00:00"/>
    <s v="ZBTO"/>
    <n v="9518593412"/>
    <n v="3"/>
    <s v="9518593412-3"/>
    <s v="May'25"/>
    <x v="0"/>
    <s v="Yes"/>
    <x v="1"/>
    <x v="2"/>
    <n v="2000"/>
    <m/>
    <x v="1"/>
    <m/>
    <m/>
    <s v="Jharkhand"/>
    <s v="East"/>
    <m/>
    <m/>
    <n v="121328"/>
    <s v="R. S. BOKARO METAL (P) LTD."/>
    <n v="3152198"/>
    <s v="CRCA SHEET TATCRC SR16 0.380X1000X2500"/>
    <s v=""/>
    <m/>
    <m/>
    <m/>
    <m/>
    <s v="C06"/>
    <s v="TATCRC"/>
    <s v="SR16"/>
    <n v="0.38"/>
    <n v="1000"/>
    <n v="2500"/>
    <n v="30"/>
    <n v="0"/>
    <n v="30"/>
    <n v="30"/>
    <n v="30"/>
    <n v="30"/>
    <n v="0"/>
    <n v="0"/>
    <n v="0"/>
    <n v="0"/>
    <n v="0"/>
    <n v="0"/>
    <n v="0"/>
    <n v="0"/>
    <n v="0"/>
    <n v="0"/>
    <n v="0"/>
    <n v="0"/>
    <n v="0"/>
    <n v="0"/>
    <n v="0"/>
    <n v="0"/>
    <n v="0"/>
    <n v="0"/>
    <n v="0"/>
    <n v="0"/>
    <n v="0"/>
    <n v="0"/>
    <n v="0"/>
    <m/>
    <n v="0"/>
    <n v="30"/>
    <n v="0"/>
    <n v="0"/>
    <n v="0"/>
    <n v="30"/>
    <n v="0"/>
    <n v="0"/>
    <n v="0"/>
    <n v="0"/>
    <n v="0"/>
    <n v="0"/>
    <n v="0"/>
    <m/>
    <m/>
    <m/>
    <m/>
    <m/>
    <m/>
    <m/>
    <m/>
    <m/>
    <m/>
    <m/>
    <m/>
    <m/>
    <m/>
    <m/>
    <m/>
    <m/>
    <m/>
    <m/>
    <m/>
    <m/>
    <m/>
    <m/>
    <m/>
    <m/>
    <m/>
    <m/>
    <m/>
    <m/>
    <m/>
    <m/>
    <m/>
    <m/>
    <m/>
    <m/>
  </r>
  <r>
    <n v="742"/>
    <d v="2025-04-15T00:00:00"/>
    <s v="ZBTO"/>
    <n v="9518694370"/>
    <n v="1"/>
    <s v="9518694370-1"/>
    <s v="No Priority"/>
    <x v="1"/>
    <m/>
    <x v="1"/>
    <x v="2"/>
    <n v="2000"/>
    <m/>
    <x v="0"/>
    <m/>
    <m/>
    <s v="Jharkhand"/>
    <s v="East"/>
    <m/>
    <m/>
    <n v="121328"/>
    <s v="R. S. BOKARO METAL (P) LTD."/>
    <n v="3134045"/>
    <s v="CRCA SHEET TATCRC SR16 0.280X900X2500"/>
    <s v=""/>
    <m/>
    <m/>
    <m/>
    <m/>
    <s v="C06"/>
    <s v="TATCRC"/>
    <s v="SR16"/>
    <n v="0.28000000000000003"/>
    <n v="900"/>
    <n v="250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370"/>
    <n v="2"/>
    <s v="9518694370-2"/>
    <s v="No Priority"/>
    <x v="1"/>
    <m/>
    <x v="1"/>
    <x v="2"/>
    <n v="2000"/>
    <m/>
    <x v="0"/>
    <m/>
    <m/>
    <s v="Jharkhand"/>
    <s v="East"/>
    <m/>
    <m/>
    <n v="121328"/>
    <s v="R. S. BOKARO METAL (P) LTD."/>
    <n v="3239408"/>
    <s v="CRCA SHEET TATCRC SR16 0.300X900X2500"/>
    <s v=""/>
    <m/>
    <m/>
    <m/>
    <m/>
    <s v="C06"/>
    <s v="TATCRC"/>
    <s v="SR16"/>
    <n v="0.3"/>
    <n v="900"/>
    <n v="2500"/>
    <n v="81"/>
    <n v="0"/>
    <n v="81"/>
    <n v="81"/>
    <n v="81"/>
    <n v="81"/>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13"/>
    <n v="1"/>
    <s v="9518694613-1"/>
    <s v="No Priority"/>
    <x v="1"/>
    <m/>
    <x v="1"/>
    <x v="2"/>
    <n v="2000"/>
    <m/>
    <x v="0"/>
    <m/>
    <m/>
    <s v="Jharkhand"/>
    <s v="East"/>
    <m/>
    <m/>
    <n v="121328"/>
    <s v="R. S. BOKARO METAL (P) LTD."/>
    <n v="3239536"/>
    <s v="CRCA SHEET TATCRC SR16 0.350X900X2500"/>
    <s v=""/>
    <m/>
    <m/>
    <m/>
    <m/>
    <s v="C06"/>
    <s v="TATCRC"/>
    <s v="SR16"/>
    <n v="0.35"/>
    <n v="900"/>
    <n v="2500"/>
    <n v="81"/>
    <n v="0"/>
    <n v="81"/>
    <n v="81"/>
    <n v="81"/>
    <n v="81"/>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13"/>
    <n v="2"/>
    <s v="9518694613-2"/>
    <s v="No Priority"/>
    <x v="1"/>
    <m/>
    <x v="1"/>
    <x v="2"/>
    <n v="2000"/>
    <m/>
    <x v="0"/>
    <m/>
    <m/>
    <s v="Jharkhand"/>
    <s v="East"/>
    <m/>
    <m/>
    <n v="121328"/>
    <s v="R. S. BOKARO METAL (P) LTD."/>
    <n v="3239542"/>
    <s v="CRCA SHEET TATCRC SR16 0.350X1000X2500"/>
    <s v=""/>
    <m/>
    <m/>
    <m/>
    <m/>
    <s v="C06"/>
    <s v="TATCRC"/>
    <s v="SR16"/>
    <n v="0.35"/>
    <n v="100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13"/>
    <n v="4"/>
    <s v="9518694613-4"/>
    <s v="No Priority"/>
    <x v="1"/>
    <m/>
    <x v="1"/>
    <x v="2"/>
    <n v="2000"/>
    <m/>
    <x v="0"/>
    <m/>
    <m/>
    <s v="Jharkhand"/>
    <s v="East"/>
    <m/>
    <m/>
    <n v="121328"/>
    <s v="R. S. BOKARO METAL (P) LTD."/>
    <n v="3239554"/>
    <s v="CRCA SHEET TATCRC SR16 0.400X1000X2500"/>
    <s v=""/>
    <m/>
    <m/>
    <m/>
    <m/>
    <s v="C06"/>
    <s v="TATCRC"/>
    <s v="SR16"/>
    <n v="0.4"/>
    <n v="100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13"/>
    <n v="5"/>
    <s v="9518694613-5"/>
    <s v="No Priority"/>
    <x v="0"/>
    <m/>
    <x v="1"/>
    <x v="2"/>
    <n v="2000"/>
    <m/>
    <x v="0"/>
    <m/>
    <m/>
    <s v="Jharkhand"/>
    <s v="East"/>
    <m/>
    <m/>
    <n v="121328"/>
    <s v="R. S. BOKARO METAL (P) LTD."/>
    <n v="3239567"/>
    <s v="CRCA SHEET TATCRC SR16 0.450X1000X2500"/>
    <s v=""/>
    <m/>
    <m/>
    <m/>
    <m/>
    <s v="C06"/>
    <s v="TATCRC"/>
    <s v="SR16"/>
    <n v="0.45"/>
    <n v="1000"/>
    <n v="250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44"/>
    <n v="1"/>
    <s v="9518694644-1"/>
    <s v="No Priority"/>
    <x v="1"/>
    <m/>
    <x v="1"/>
    <x v="1"/>
    <n v="2000"/>
    <m/>
    <x v="0"/>
    <m/>
    <m/>
    <s v="Jharkhand"/>
    <s v="East"/>
    <m/>
    <m/>
    <n v="121328"/>
    <s v="R. S. BOKARO METAL (P) LTD."/>
    <n v="1804889"/>
    <s v="CRCA COIL-TATCRC-TR15-0.4X1000"/>
    <s v=""/>
    <m/>
    <m/>
    <m/>
    <m/>
    <s v="C01"/>
    <s v="TATCRC"/>
    <s v="TR15"/>
    <n v="0.4"/>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44"/>
    <n v="2"/>
    <s v="9518694644-2"/>
    <s v="No Priority"/>
    <x v="1"/>
    <m/>
    <x v="1"/>
    <x v="1"/>
    <n v="2000"/>
    <m/>
    <x v="0"/>
    <m/>
    <m/>
    <s v="Jharkhand"/>
    <s v="East"/>
    <m/>
    <m/>
    <n v="121328"/>
    <s v="R. S. BOKARO METAL (P) LTD."/>
    <n v="1804896"/>
    <s v="CRCA COIL-TATCRC-TR15-0.45X1000"/>
    <s v=""/>
    <m/>
    <m/>
    <m/>
    <m/>
    <s v="C01"/>
    <s v="TATCRC"/>
    <s v="TR15"/>
    <n v="0.4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44"/>
    <n v="3"/>
    <s v="9518694644-3"/>
    <s v="No Priority"/>
    <x v="1"/>
    <m/>
    <x v="1"/>
    <x v="1"/>
    <n v="2000"/>
    <m/>
    <x v="0"/>
    <m/>
    <m/>
    <s v="Jharkhand"/>
    <s v="East"/>
    <m/>
    <m/>
    <n v="121328"/>
    <s v="R. S. BOKARO METAL (P) LTD."/>
    <n v="1804905"/>
    <s v="CRCA COIL-TATCRC-TR15-0.5X1000"/>
    <s v=""/>
    <m/>
    <m/>
    <m/>
    <m/>
    <s v="C01"/>
    <s v="TATCRC"/>
    <s v="TR15"/>
    <n v="0.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44"/>
    <n v="4"/>
    <s v="9518694644-4"/>
    <s v="No Priority"/>
    <x v="1"/>
    <m/>
    <x v="1"/>
    <x v="1"/>
    <n v="2000"/>
    <m/>
    <x v="0"/>
    <m/>
    <m/>
    <s v="Jharkhand"/>
    <s v="East"/>
    <m/>
    <m/>
    <n v="121328"/>
    <s v="R. S. BOKARO METAL (P) LTD."/>
    <n v="38098"/>
    <s v="CR COIL-ICF C01 TATCRC TR15 0.75 X 1000"/>
    <s v=""/>
    <m/>
    <m/>
    <m/>
    <m/>
    <s v="C01"/>
    <s v="TATCRC"/>
    <s v="TR15"/>
    <n v="0.75"/>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44"/>
    <n v="5"/>
    <s v="9518694644-5"/>
    <s v="No Priority"/>
    <x v="1"/>
    <m/>
    <x v="1"/>
    <x v="1"/>
    <n v="2000"/>
    <m/>
    <x v="0"/>
    <m/>
    <m/>
    <s v="Jharkhand"/>
    <s v="East"/>
    <m/>
    <m/>
    <n v="121328"/>
    <s v="R. S. BOKARO METAL (P) LTD."/>
    <n v="1804908"/>
    <s v="CRCA COIL TATCRC TR15 0.5X1250"/>
    <s v=""/>
    <m/>
    <m/>
    <m/>
    <m/>
    <s v="C01"/>
    <s v="TATCRC"/>
    <s v="TR15"/>
    <n v="0.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09974"/>
    <n v="1"/>
    <s v="9518609974-1"/>
    <s v="No Priority"/>
    <x v="0"/>
    <m/>
    <x v="3"/>
    <x v="9"/>
    <n v="2000"/>
    <m/>
    <x v="0"/>
    <m/>
    <m/>
    <s v="Delhi"/>
    <s v="North"/>
    <m/>
    <m/>
    <n v="183259"/>
    <s v="Rakesh Steel Inds.(P) Ltd."/>
    <n v="1319275"/>
    <s v="GP COIL SOFT-TATXGP-GLK1-0.2X900"/>
    <n v="80"/>
    <m/>
    <m/>
    <m/>
    <m/>
    <s v="C02"/>
    <s v="TATXGP"/>
    <s v="GLK1"/>
    <n v="0.2"/>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09974"/>
    <n v="3"/>
    <s v="9518609974-3"/>
    <s v="No Priority"/>
    <x v="1"/>
    <m/>
    <x v="3"/>
    <x v="9"/>
    <n v="2000"/>
    <m/>
    <x v="0"/>
    <m/>
    <m/>
    <s v="Delhi"/>
    <s v="North"/>
    <m/>
    <m/>
    <n v="183259"/>
    <s v="Rakesh Steel Inds.(P) Ltd."/>
    <n v="1854363"/>
    <s v="GP COIL SOFT-TATXGP-GLK1-0.22X900"/>
    <n v="80"/>
    <m/>
    <m/>
    <m/>
    <m/>
    <s v="C02"/>
    <s v="TATXGP"/>
    <s v="GLK1"/>
    <n v="0.2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31T00:00:00"/>
    <s v="ZBTO"/>
    <n v="9518660656"/>
    <n v="1"/>
    <s v="9518660656-1"/>
    <s v="No Priority"/>
    <x v="0"/>
    <s v="Yes"/>
    <x v="1"/>
    <x v="2"/>
    <n v="2000"/>
    <m/>
    <x v="0"/>
    <m/>
    <m/>
    <s v="West Bengal"/>
    <s v="East"/>
    <m/>
    <m/>
    <n v="101278"/>
    <s v="RAMESH COMPANY"/>
    <n v="3239536"/>
    <s v="CRCA SHEET TATCRC SR16 0.350X900X2500"/>
    <s v=""/>
    <m/>
    <m/>
    <m/>
    <m/>
    <s v="C06"/>
    <s v="TATCRC"/>
    <s v="SR16"/>
    <n v="0.35"/>
    <n v="900"/>
    <n v="2500"/>
    <n v="51"/>
    <n v="0"/>
    <n v="51"/>
    <n v="51"/>
    <n v="51"/>
    <n v="51"/>
    <n v="0"/>
    <n v="0"/>
    <n v="0"/>
    <n v="0"/>
    <n v="0"/>
    <n v="0"/>
    <n v="0"/>
    <n v="0"/>
    <n v="0"/>
    <n v="0"/>
    <n v="0"/>
    <n v="0"/>
    <n v="0"/>
    <n v="0"/>
    <n v="0"/>
    <n v="0"/>
    <n v="0"/>
    <n v="0"/>
    <n v="0"/>
    <n v="0"/>
    <n v="0"/>
    <n v="0"/>
    <n v="0"/>
    <m/>
    <n v="0"/>
    <n v="0"/>
    <n v="0"/>
    <n v="0"/>
    <n v="0"/>
    <n v="0"/>
    <n v="0"/>
    <n v="0"/>
    <n v="0"/>
    <n v="0"/>
    <n v="0"/>
    <n v="0"/>
    <n v="0"/>
    <m/>
    <m/>
    <m/>
    <m/>
    <m/>
    <m/>
    <m/>
    <m/>
    <m/>
    <m/>
    <m/>
    <m/>
    <m/>
    <m/>
    <m/>
    <m/>
    <m/>
    <m/>
    <m/>
    <m/>
    <m/>
    <m/>
    <m/>
    <m/>
    <m/>
    <m/>
    <m/>
    <m/>
    <m/>
    <m/>
    <m/>
    <m/>
    <m/>
    <m/>
    <m/>
  </r>
  <r>
    <n v="742"/>
    <d v="2025-03-31T00:00:00"/>
    <s v="ZBTO"/>
    <n v="9518660656"/>
    <n v="3"/>
    <s v="9518660656-3"/>
    <s v="No Priority"/>
    <x v="0"/>
    <s v="Yes"/>
    <x v="1"/>
    <x v="2"/>
    <n v="2000"/>
    <m/>
    <x v="0"/>
    <m/>
    <m/>
    <s v="West Bengal"/>
    <s v="East"/>
    <m/>
    <m/>
    <n v="101278"/>
    <s v="RAMESH COMPANY"/>
    <n v="3239554"/>
    <s v="CRCA SHEET TATCRC SR16 0.400X1000X2500"/>
    <s v=""/>
    <m/>
    <m/>
    <m/>
    <m/>
    <s v="C06"/>
    <s v="TATCRC"/>
    <s v="SR16"/>
    <n v="0.4"/>
    <n v="1000"/>
    <n v="2500"/>
    <n v="99"/>
    <n v="0"/>
    <n v="99"/>
    <n v="99"/>
    <n v="99"/>
    <n v="99"/>
    <n v="0"/>
    <n v="0"/>
    <n v="0"/>
    <n v="0"/>
    <n v="0"/>
    <n v="0"/>
    <n v="0"/>
    <n v="0"/>
    <n v="0"/>
    <n v="0"/>
    <n v="0"/>
    <n v="0"/>
    <n v="0"/>
    <n v="0"/>
    <n v="0"/>
    <n v="0"/>
    <n v="0"/>
    <n v="0"/>
    <n v="0"/>
    <n v="0"/>
    <n v="0"/>
    <n v="0"/>
    <n v="0"/>
    <m/>
    <n v="0"/>
    <n v="0"/>
    <n v="0"/>
    <n v="0"/>
    <n v="0"/>
    <n v="0"/>
    <n v="0"/>
    <n v="0"/>
    <n v="0"/>
    <n v="0"/>
    <n v="0"/>
    <n v="0"/>
    <n v="0"/>
    <m/>
    <m/>
    <m/>
    <m/>
    <m/>
    <m/>
    <m/>
    <m/>
    <m/>
    <m/>
    <m/>
    <m/>
    <m/>
    <m/>
    <m/>
    <m/>
    <m/>
    <m/>
    <m/>
    <m/>
    <m/>
    <m/>
    <m/>
    <m/>
    <m/>
    <m/>
    <m/>
    <m/>
    <m/>
    <m/>
    <m/>
    <m/>
    <m/>
    <m/>
    <m/>
  </r>
  <r>
    <n v="742"/>
    <d v="2025-03-31T00:00:00"/>
    <s v="ZBTO"/>
    <n v="9518660656"/>
    <n v="4"/>
    <s v="9518660656-4"/>
    <s v="No Priority"/>
    <x v="0"/>
    <s v="Yes"/>
    <x v="1"/>
    <x v="2"/>
    <n v="2000"/>
    <m/>
    <x v="0"/>
    <m/>
    <m/>
    <s v="West Bengal"/>
    <s v="East"/>
    <m/>
    <m/>
    <n v="101278"/>
    <s v="RAMESH COMPANY"/>
    <n v="3239557"/>
    <s v="CRCA SHEET TATCRC SR16 0.400X1250X2500"/>
    <s v=""/>
    <m/>
    <m/>
    <m/>
    <m/>
    <s v="C06"/>
    <s v="TATCRC"/>
    <s v="SR16"/>
    <n v="0.4"/>
    <n v="1250"/>
    <n v="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50048"/>
    <n v="2"/>
    <s v="9518650048-2"/>
    <s v="No Priority"/>
    <x v="0"/>
    <m/>
    <x v="1"/>
    <x v="11"/>
    <n v="2000"/>
    <m/>
    <x v="0"/>
    <m/>
    <m/>
    <s v="Telangana"/>
    <s v="South"/>
    <m/>
    <m/>
    <n v="947126"/>
    <s v="RAVINDRA IRON WORKS"/>
    <n v="3727801"/>
    <s v="CR COIL TATXXD AH03 0.800X1320"/>
    <s v=""/>
    <m/>
    <m/>
    <m/>
    <m/>
    <s v="C01"/>
    <s v="TATXXD"/>
    <s v="AH03"/>
    <n v="0.8"/>
    <n v="1320"/>
    <n v="0"/>
    <n v="90"/>
    <n v="0"/>
    <n v="90"/>
    <n v="90"/>
    <n v="90"/>
    <n v="90"/>
    <n v="0"/>
    <n v="0"/>
    <n v="0"/>
    <n v="0"/>
    <n v="0"/>
    <n v="0"/>
    <n v="0"/>
    <n v="0"/>
    <n v="0"/>
    <n v="0"/>
    <n v="0"/>
    <n v="0"/>
    <n v="0"/>
    <n v="0"/>
    <n v="0"/>
    <n v="0"/>
    <n v="0"/>
    <n v="0"/>
    <n v="0"/>
    <n v="0"/>
    <n v="0"/>
    <n v="0"/>
    <n v="0"/>
    <m/>
    <n v="0"/>
    <n v="0"/>
    <n v="0"/>
    <n v="0"/>
    <n v="0"/>
    <n v="0"/>
    <n v="0"/>
    <n v="0"/>
    <n v="0"/>
    <n v="0"/>
    <n v="0"/>
    <n v="0"/>
    <n v="0"/>
    <m/>
    <m/>
    <m/>
    <m/>
    <m/>
    <m/>
    <m/>
    <m/>
    <m/>
    <m/>
    <m/>
    <m/>
    <m/>
    <m/>
    <m/>
    <m/>
    <m/>
    <m/>
    <m/>
    <m/>
    <m/>
    <m/>
    <m/>
    <m/>
    <m/>
    <m/>
    <m/>
    <m/>
    <m/>
    <m/>
    <m/>
    <m/>
    <m/>
    <m/>
    <m/>
  </r>
  <r>
    <n v="743"/>
    <d v="2025-03-01T00:00:00"/>
    <s v="ZBTO"/>
    <n v="9518567465"/>
    <n v="1"/>
    <s v="9518567465-1"/>
    <s v="May'25"/>
    <x v="1"/>
    <s v="Yes"/>
    <x v="3"/>
    <x v="9"/>
    <n v="2000"/>
    <m/>
    <x v="0"/>
    <m/>
    <m/>
    <s v="Assam"/>
    <s v="East"/>
    <m/>
    <m/>
    <n v="116649"/>
    <s v="SAGAR STEELS"/>
    <n v="1142893"/>
    <s v="GP COIL SOFT-TATXGP-GLK1-0.35X900"/>
    <s v=""/>
    <m/>
    <m/>
    <m/>
    <m/>
    <s v="C02"/>
    <s v="TATXGP"/>
    <s v="GLK1"/>
    <n v="0.3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01T00:00:00"/>
    <s v="ZBTO"/>
    <n v="9518567477"/>
    <n v="1"/>
    <s v="9518567477-1"/>
    <s v="May'25"/>
    <x v="0"/>
    <s v="Yes"/>
    <x v="3"/>
    <x v="9"/>
    <n v="2000"/>
    <m/>
    <x v="1"/>
    <m/>
    <m/>
    <s v="Assam"/>
    <s v="East"/>
    <m/>
    <m/>
    <n v="116649"/>
    <s v="SAGAR STEELS"/>
    <n v="1854363"/>
    <s v="GP COIL SOFT-TATXGP-GLK1-0.22X900"/>
    <s v=""/>
    <m/>
    <m/>
    <m/>
    <m/>
    <s v="C02"/>
    <s v="TATXGP"/>
    <s v="GLK1"/>
    <n v="0.22"/>
    <n v="900"/>
    <n v="0"/>
    <n v="21"/>
    <n v="0"/>
    <n v="21"/>
    <n v="21"/>
    <n v="21"/>
    <n v="21"/>
    <n v="0"/>
    <n v="0"/>
    <n v="0"/>
    <n v="0"/>
    <n v="0"/>
    <n v="0"/>
    <n v="0"/>
    <n v="0"/>
    <n v="0"/>
    <n v="0"/>
    <n v="0"/>
    <n v="0"/>
    <n v="0"/>
    <n v="0"/>
    <n v="0"/>
    <n v="0"/>
    <n v="0"/>
    <n v="0"/>
    <n v="0"/>
    <n v="0"/>
    <n v="0"/>
    <n v="0"/>
    <n v="0"/>
    <m/>
    <n v="0"/>
    <n v="21"/>
    <n v="0"/>
    <n v="0"/>
    <n v="21"/>
    <n v="0"/>
    <n v="0"/>
    <n v="0"/>
    <n v="0"/>
    <n v="0"/>
    <n v="0"/>
    <n v="0"/>
    <n v="0"/>
    <m/>
    <m/>
    <m/>
    <m/>
    <m/>
    <m/>
    <m/>
    <m/>
    <m/>
    <m/>
    <m/>
    <m/>
    <m/>
    <m/>
    <m/>
    <m/>
    <m/>
    <m/>
    <m/>
    <m/>
    <m/>
    <m/>
    <m/>
    <m/>
    <m/>
    <m/>
    <m/>
    <m/>
    <m/>
    <m/>
    <m/>
    <m/>
    <m/>
    <m/>
    <m/>
  </r>
  <r>
    <n v="743"/>
    <d v="2025-03-01T00:00:00"/>
    <s v="ZBTO"/>
    <n v="9518567477"/>
    <n v="2"/>
    <s v="9518567477-2"/>
    <s v="No Priority"/>
    <x v="0"/>
    <s v="Yes"/>
    <x v="3"/>
    <x v="9"/>
    <n v="2000"/>
    <m/>
    <x v="0"/>
    <m/>
    <m/>
    <s v="Assam"/>
    <s v="East"/>
    <m/>
    <m/>
    <n v="116649"/>
    <s v="SAGAR STEELS"/>
    <n v="1319275"/>
    <s v="GP COIL SOFT-TATXGP-GLK1-0.2X900"/>
    <s v=""/>
    <m/>
    <m/>
    <m/>
    <m/>
    <s v="C02"/>
    <s v="TATXGP"/>
    <s v="GLK1"/>
    <n v="0.2"/>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88"/>
    <n v="6"/>
    <s v="9518569788-6"/>
    <s v="No Priority"/>
    <x v="0"/>
    <m/>
    <x v="1"/>
    <x v="2"/>
    <n v="2000"/>
    <m/>
    <x v="0"/>
    <m/>
    <m/>
    <s v="Assam"/>
    <s v="East"/>
    <m/>
    <m/>
    <n v="116649"/>
    <s v="SAGAR STEELS"/>
    <n v="3958363"/>
    <s v="CRCA SHEET TATCRC SR18 0.700X1000X2500"/>
    <s v=""/>
    <m/>
    <m/>
    <m/>
    <m/>
    <s v="C06"/>
    <s v="TATCRC"/>
    <s v="SR18"/>
    <n v="0.7"/>
    <n v="10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1"/>
    <s v="9518569795-1"/>
    <s v="No Priority"/>
    <x v="1"/>
    <m/>
    <x v="1"/>
    <x v="2"/>
    <n v="2000"/>
    <m/>
    <x v="0"/>
    <m/>
    <m/>
    <s v="West Bengal"/>
    <s v="East"/>
    <m/>
    <m/>
    <n v="948783"/>
    <s v="SAGAR STEELS"/>
    <n v="3958364"/>
    <s v="CRCA SHEET TATCRC SR18 0.750X1000X2500"/>
    <s v=""/>
    <m/>
    <m/>
    <m/>
    <m/>
    <s v="C06"/>
    <s v="TATCRC"/>
    <s v="SR18"/>
    <n v="0.75"/>
    <n v="10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2"/>
    <s v="9518569795-2"/>
    <s v="No Priority"/>
    <x v="1"/>
    <m/>
    <x v="1"/>
    <x v="2"/>
    <n v="2000"/>
    <m/>
    <x v="0"/>
    <m/>
    <m/>
    <s v="West Bengal"/>
    <s v="East"/>
    <m/>
    <m/>
    <n v="948783"/>
    <s v="SAGAR STEELS"/>
    <n v="3958363"/>
    <s v="CRCA SHEET TATCRC SR18 0.700X1000X2500"/>
    <s v=""/>
    <m/>
    <m/>
    <m/>
    <m/>
    <s v="C06"/>
    <s v="TATCRC"/>
    <s v="SR18"/>
    <n v="0.7"/>
    <n v="10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3"/>
    <s v="9518569795-3"/>
    <s v="No Priority"/>
    <x v="1"/>
    <m/>
    <x v="1"/>
    <x v="2"/>
    <n v="2000"/>
    <m/>
    <x v="0"/>
    <m/>
    <m/>
    <s v="West Bengal"/>
    <s v="East"/>
    <m/>
    <m/>
    <n v="948783"/>
    <s v="SAGAR STEELS"/>
    <n v="3958365"/>
    <s v="CRCA SHEET TATCRC SR18 0.700X1000X2000"/>
    <s v=""/>
    <m/>
    <m/>
    <m/>
    <m/>
    <s v="C06"/>
    <s v="TATCRC"/>
    <s v="SR18"/>
    <n v="0.7"/>
    <n v="1000"/>
    <n v="20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4"/>
    <s v="9518569795-4"/>
    <s v="No Priority"/>
    <x v="1"/>
    <m/>
    <x v="1"/>
    <x v="2"/>
    <n v="2000"/>
    <m/>
    <x v="0"/>
    <m/>
    <m/>
    <s v="West Bengal"/>
    <s v="East"/>
    <m/>
    <m/>
    <n v="948783"/>
    <s v="SAGAR STEELS"/>
    <n v="3958366"/>
    <s v="CRCA SHEET TATCRC SR18 0.600X1000X2500"/>
    <s v=""/>
    <m/>
    <m/>
    <m/>
    <m/>
    <s v="C06"/>
    <s v="TATCRC"/>
    <s v="SR18"/>
    <n v="0.6"/>
    <n v="10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5"/>
    <s v="9518569795-5"/>
    <s v="No Priority"/>
    <x v="1"/>
    <m/>
    <x v="1"/>
    <x v="2"/>
    <n v="2000"/>
    <m/>
    <x v="0"/>
    <m/>
    <m/>
    <s v="West Bengal"/>
    <s v="East"/>
    <m/>
    <m/>
    <n v="948783"/>
    <s v="SAGAR STEELS"/>
    <n v="3887877"/>
    <s v="CRCA SHEET TATCRC SR18 0.600X1000X2000"/>
    <s v=""/>
    <m/>
    <m/>
    <m/>
    <m/>
    <s v="C06"/>
    <s v="TATCRC"/>
    <s v="SR18"/>
    <n v="0.6"/>
    <n v="1000"/>
    <n v="20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6"/>
    <s v="9518569795-6"/>
    <s v="No Priority"/>
    <x v="1"/>
    <m/>
    <x v="1"/>
    <x v="2"/>
    <n v="2000"/>
    <m/>
    <x v="0"/>
    <m/>
    <m/>
    <s v="West Bengal"/>
    <s v="East"/>
    <m/>
    <m/>
    <n v="948783"/>
    <s v="SAGAR STEELS"/>
    <n v="3883539"/>
    <s v="CRCA SHEET TATCRC SR18 0.500X1000X2500"/>
    <s v=""/>
    <m/>
    <m/>
    <m/>
    <m/>
    <s v="C06"/>
    <s v="TATCRC"/>
    <s v="SR18"/>
    <n v="0.5"/>
    <n v="10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7"/>
    <s v="9518569795-7"/>
    <s v="No Priority"/>
    <x v="1"/>
    <m/>
    <x v="1"/>
    <x v="2"/>
    <n v="2000"/>
    <m/>
    <x v="0"/>
    <m/>
    <m/>
    <s v="West Bengal"/>
    <s v="East"/>
    <m/>
    <m/>
    <n v="948783"/>
    <s v="SAGAR STEELS"/>
    <n v="3878040"/>
    <s v="CRCA SHEET TATCRC SR18 0.500X1000X2000"/>
    <s v=""/>
    <m/>
    <m/>
    <m/>
    <m/>
    <s v="C06"/>
    <s v="TATCRC"/>
    <s v="SR18"/>
    <n v="0.5"/>
    <n v="1000"/>
    <n v="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15"/>
    <s v="9518569795-15"/>
    <s v="No Priority"/>
    <x v="1"/>
    <m/>
    <x v="1"/>
    <x v="2"/>
    <n v="2000"/>
    <m/>
    <x v="0"/>
    <m/>
    <m/>
    <s v="West Bengal"/>
    <s v="East"/>
    <m/>
    <m/>
    <n v="948783"/>
    <s v="SAGAR STEELS"/>
    <n v="3958370"/>
    <s v="CRCA SHEET TATCRC SR18 0.550X1250X2500"/>
    <s v=""/>
    <m/>
    <m/>
    <m/>
    <m/>
    <s v="C06"/>
    <s v="TATCRC"/>
    <s v="SR18"/>
    <n v="0.55000000000000004"/>
    <n v="125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3-03T00:00:00"/>
    <s v="ZBTO"/>
    <n v="9518569795"/>
    <n v="16"/>
    <s v="9518569795-16"/>
    <s v="No Priority"/>
    <x v="1"/>
    <m/>
    <x v="1"/>
    <x v="2"/>
    <n v="2000"/>
    <m/>
    <x v="0"/>
    <m/>
    <m/>
    <s v="West Bengal"/>
    <s v="East"/>
    <m/>
    <m/>
    <n v="948783"/>
    <s v="SAGAR STEELS"/>
    <n v="3952437"/>
    <s v="CRCA SHEET TATCRC SR18 0.500X1250X2500"/>
    <s v=""/>
    <m/>
    <m/>
    <m/>
    <m/>
    <s v="C06"/>
    <s v="TATCRC"/>
    <s v="SR18"/>
    <n v="0.5"/>
    <n v="125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3"/>
    <d v="2025-03-07T00:00:00"/>
    <s v="ZBTO"/>
    <n v="9518583256"/>
    <n v="1"/>
    <s v="9518583256-1"/>
    <s v="May'25"/>
    <x v="0"/>
    <s v="Yes"/>
    <x v="3"/>
    <x v="9"/>
    <n v="2000"/>
    <m/>
    <x v="1"/>
    <m/>
    <m/>
    <s v="Assam"/>
    <s v="East"/>
    <m/>
    <m/>
    <n v="116649"/>
    <s v="SAGAR STEELS"/>
    <n v="1142895"/>
    <s v="GP COIL SOFT-TATXGP-GLK1-0.5X900"/>
    <s v=""/>
    <m/>
    <m/>
    <m/>
    <m/>
    <s v="C02"/>
    <s v="TATXGP"/>
    <s v="GLK1"/>
    <n v="0.5"/>
    <n v="900"/>
    <n v="0"/>
    <n v="42"/>
    <n v="0"/>
    <n v="42"/>
    <n v="42"/>
    <n v="2.0300000000000011"/>
    <n v="42"/>
    <n v="0"/>
    <n v="0"/>
    <n v="0"/>
    <n v="20.77"/>
    <n v="0"/>
    <n v="0"/>
    <n v="19.2"/>
    <n v="0"/>
    <n v="0"/>
    <n v="0"/>
    <n v="0"/>
    <n v="0"/>
    <n v="0"/>
    <n v="0"/>
    <n v="0"/>
    <n v="0"/>
    <n v="0"/>
    <n v="0"/>
    <n v="0"/>
    <n v="39.97"/>
    <n v="39.97"/>
    <n v="0"/>
    <n v="39.97"/>
    <m/>
    <n v="0"/>
    <n v="42"/>
    <n v="42"/>
    <n v="0"/>
    <n v="0"/>
    <n v="0"/>
    <n v="0"/>
    <n v="0"/>
    <n v="0"/>
    <n v="0"/>
    <n v="0"/>
    <n v="0"/>
    <n v="0"/>
    <m/>
    <m/>
    <m/>
    <m/>
    <m/>
    <m/>
    <m/>
    <m/>
    <m/>
    <m/>
    <m/>
    <m/>
    <m/>
    <m/>
    <m/>
    <m/>
    <m/>
    <m/>
    <m/>
    <m/>
    <m/>
    <m/>
    <m/>
    <m/>
    <m/>
    <m/>
    <m/>
    <m/>
    <m/>
    <m/>
    <m/>
    <m/>
    <m/>
    <m/>
    <m/>
  </r>
  <r>
    <n v="743"/>
    <d v="2025-03-22T00:00:00"/>
    <s v="ZBTO"/>
    <n v="9518623643"/>
    <n v="1"/>
    <s v="9518623643-1"/>
    <s v="May'25"/>
    <x v="0"/>
    <s v="Yes"/>
    <x v="3"/>
    <x v="9"/>
    <n v="2000"/>
    <m/>
    <x v="1"/>
    <m/>
    <m/>
    <s v="Assam"/>
    <s v="East"/>
    <m/>
    <m/>
    <n v="116649"/>
    <s v="SAGAR STEELS"/>
    <n v="1851074"/>
    <s v="GP COIL SOFT-TATXGP-GLK1-0.28X900"/>
    <s v=""/>
    <m/>
    <m/>
    <m/>
    <m/>
    <s v="C02"/>
    <s v="TATXGP"/>
    <s v="GLK1"/>
    <n v="0.28000000000000003"/>
    <n v="900"/>
    <n v="0"/>
    <n v="63"/>
    <n v="0"/>
    <n v="63"/>
    <n v="63"/>
    <n v="63"/>
    <n v="63"/>
    <n v="0"/>
    <n v="0"/>
    <n v="0"/>
    <n v="0"/>
    <n v="0"/>
    <n v="0"/>
    <n v="0"/>
    <n v="0"/>
    <n v="0"/>
    <n v="0"/>
    <n v="0"/>
    <n v="0"/>
    <n v="0"/>
    <n v="0"/>
    <n v="0"/>
    <n v="0"/>
    <n v="0"/>
    <n v="0"/>
    <n v="0"/>
    <n v="0"/>
    <n v="0"/>
    <n v="0"/>
    <n v="0"/>
    <m/>
    <n v="0"/>
    <n v="63"/>
    <n v="0"/>
    <n v="0"/>
    <n v="0"/>
    <n v="63"/>
    <n v="0"/>
    <n v="0"/>
    <n v="0"/>
    <n v="0"/>
    <n v="0"/>
    <n v="0"/>
    <n v="0"/>
    <m/>
    <m/>
    <m/>
    <m/>
    <m/>
    <m/>
    <m/>
    <m/>
    <m/>
    <m/>
    <m/>
    <m/>
    <m/>
    <m/>
    <m/>
    <m/>
    <m/>
    <m/>
    <m/>
    <m/>
    <m/>
    <m/>
    <m/>
    <m/>
    <m/>
    <m/>
    <m/>
    <m/>
    <m/>
    <m/>
    <m/>
    <m/>
    <m/>
    <m/>
    <m/>
  </r>
  <r>
    <n v="743"/>
    <d v="2025-03-22T00:00:00"/>
    <s v="ZBTO"/>
    <n v="9518623643"/>
    <n v="2"/>
    <s v="9518623643-2"/>
    <s v="May'25"/>
    <x v="0"/>
    <s v="Yes"/>
    <x v="3"/>
    <x v="9"/>
    <n v="2000"/>
    <m/>
    <x v="0"/>
    <m/>
    <m/>
    <s v="Assam"/>
    <s v="East"/>
    <m/>
    <m/>
    <n v="116649"/>
    <s v="SAGAR STEELS"/>
    <n v="1142792"/>
    <s v="GP COIL SOFT-TATXGP-GLK1-0.3X900"/>
    <s v=""/>
    <m/>
    <m/>
    <m/>
    <m/>
    <s v="C02"/>
    <s v="TATXGP"/>
    <s v="GLK1"/>
    <n v="0.3"/>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22T00:00:00"/>
    <s v="ZBTO"/>
    <n v="9518623643"/>
    <n v="3"/>
    <s v="9518623643-3"/>
    <s v="May'25"/>
    <x v="0"/>
    <s v="Yes"/>
    <x v="3"/>
    <x v="9"/>
    <n v="2000"/>
    <m/>
    <x v="0"/>
    <m/>
    <m/>
    <s v="Assam"/>
    <s v="East"/>
    <m/>
    <m/>
    <n v="116649"/>
    <s v="SAGAR STEELS"/>
    <n v="1854380"/>
    <s v="GP COIL SOFT-TATXGP-GLK1-0.26X900"/>
    <s v=""/>
    <m/>
    <m/>
    <m/>
    <m/>
    <s v="C02"/>
    <s v="TATXGP"/>
    <s v="GLK1"/>
    <n v="0.26"/>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470"/>
    <n v="5"/>
    <s v="9518628470-5"/>
    <s v="May'25"/>
    <x v="0"/>
    <s v="Yes"/>
    <x v="1"/>
    <x v="2"/>
    <n v="2000"/>
    <m/>
    <x v="1"/>
    <m/>
    <m/>
    <s v="Assam"/>
    <s v="East"/>
    <m/>
    <m/>
    <n v="116649"/>
    <s v="SAGAR STEELS"/>
    <n v="3516002"/>
    <s v="CR COIL TSBCRC SR25 0.600X900"/>
    <s v=""/>
    <m/>
    <m/>
    <m/>
    <m/>
    <s v="C01"/>
    <s v="TSBCRC"/>
    <s v="SR25"/>
    <n v="0.6"/>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31T00:00:00"/>
    <s v="ZBTO"/>
    <n v="9518658807"/>
    <n v="2"/>
    <s v="9518658807-2"/>
    <s v="May'25"/>
    <x v="0"/>
    <s v="Yes"/>
    <x v="3"/>
    <x v="9"/>
    <n v="2000"/>
    <m/>
    <x v="0"/>
    <m/>
    <m/>
    <s v="Assam"/>
    <s v="East"/>
    <m/>
    <m/>
    <n v="116649"/>
    <s v="SAGAR STEELS"/>
    <n v="1853143"/>
    <s v="GP COIL SOFT-TATXGP-GLK1-0.4X900"/>
    <s v=""/>
    <m/>
    <m/>
    <m/>
    <m/>
    <s v="C02"/>
    <s v="TATXGP"/>
    <s v="GLK1"/>
    <n v="0.4"/>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31T00:00:00"/>
    <s v="ZBTO"/>
    <n v="9518658807"/>
    <n v="3"/>
    <s v="9518658807-3"/>
    <s v="May'25"/>
    <x v="0"/>
    <s v="Yes"/>
    <x v="3"/>
    <x v="9"/>
    <n v="2000"/>
    <m/>
    <x v="0"/>
    <m/>
    <m/>
    <s v="Assam"/>
    <s v="East"/>
    <m/>
    <m/>
    <n v="116649"/>
    <s v="SAGAR STEELS"/>
    <n v="1142792"/>
    <s v="GP COIL SOFT-TATXGP-GLK1-0.3X900"/>
    <s v=""/>
    <m/>
    <m/>
    <m/>
    <m/>
    <s v="C02"/>
    <s v="TATXGP"/>
    <s v="GLK1"/>
    <n v="0.3"/>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209"/>
    <n v="1"/>
    <s v="9518664209-1"/>
    <s v="No Priority"/>
    <x v="0"/>
    <m/>
    <x v="1"/>
    <x v="1"/>
    <n v="2000"/>
    <m/>
    <x v="0"/>
    <m/>
    <m/>
    <s v="Assam"/>
    <s v="East"/>
    <m/>
    <m/>
    <n v="116649"/>
    <s v="SAGAR STEELS"/>
    <n v="2390329"/>
    <s v="CRCA COIL TATXXD AU03 0.900X1000"/>
    <s v=""/>
    <m/>
    <m/>
    <m/>
    <m/>
    <s v="C01"/>
    <s v="TATXXD"/>
    <s v="AU03"/>
    <n v="0.9"/>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209"/>
    <n v="2"/>
    <s v="9518664209-2"/>
    <s v="No Priority"/>
    <x v="0"/>
    <m/>
    <x v="1"/>
    <x v="2"/>
    <n v="2000"/>
    <m/>
    <x v="0"/>
    <m/>
    <m/>
    <s v="Assam"/>
    <s v="East"/>
    <m/>
    <m/>
    <n v="116649"/>
    <s v="SAGAR STEELS"/>
    <n v="2427610"/>
    <s v="CRCA SHEET TATCRC SR16 0.250X900X2500"/>
    <s v=""/>
    <m/>
    <m/>
    <m/>
    <m/>
    <s v="C06"/>
    <s v="TATCRC"/>
    <s v="SR16"/>
    <n v="0.25"/>
    <n v="9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209"/>
    <n v="3"/>
    <s v="9518664209-3"/>
    <s v="No Priority"/>
    <x v="0"/>
    <m/>
    <x v="1"/>
    <x v="2"/>
    <n v="2000"/>
    <m/>
    <x v="0"/>
    <m/>
    <m/>
    <s v="Assam"/>
    <s v="East"/>
    <m/>
    <m/>
    <n v="116649"/>
    <s v="SAGAR STEELS"/>
    <n v="3134045"/>
    <s v="CRCA SHEET TATCRC SR16 0.280X900X2500"/>
    <s v=""/>
    <m/>
    <m/>
    <m/>
    <m/>
    <s v="C06"/>
    <s v="TATCRC"/>
    <s v="SR16"/>
    <n v="0.28000000000000003"/>
    <n v="900"/>
    <n v="250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3"/>
    <d v="2025-03-07T00:00:00"/>
    <s v="ZBTO"/>
    <n v="9518583291"/>
    <n v="1"/>
    <s v="9518583291-1"/>
    <s v="May'25"/>
    <x v="0"/>
    <s v="Yes"/>
    <x v="3"/>
    <x v="9"/>
    <n v="2000"/>
    <m/>
    <x v="0"/>
    <m/>
    <m/>
    <s v="Assam"/>
    <s v="East"/>
    <m/>
    <m/>
    <n v="936511"/>
    <s v="SAGAR STEELS PROCESSING &amp; MANU"/>
    <n v="1142895"/>
    <s v="GP COIL SOFT-TATXGP-GLK1-0.5X900"/>
    <s v=""/>
    <m/>
    <m/>
    <m/>
    <m/>
    <s v="C02"/>
    <s v="TATXGP"/>
    <s v="GLK1"/>
    <n v="0.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3-22T00:00:00"/>
    <s v="ZBTO"/>
    <n v="9518623659"/>
    <n v="1"/>
    <s v="9518623659-1"/>
    <s v="May'25"/>
    <x v="0"/>
    <s v="Yes"/>
    <x v="3"/>
    <x v="9"/>
    <n v="2000"/>
    <m/>
    <x v="0"/>
    <m/>
    <m/>
    <s v="Assam"/>
    <s v="East"/>
    <m/>
    <m/>
    <n v="936511"/>
    <s v="SAGAR STEELS PROCESSING &amp; MANU"/>
    <n v="1329070"/>
    <s v="GP COIL SOFT-TATXGP-GLK1-0.32X900"/>
    <s v=""/>
    <m/>
    <m/>
    <m/>
    <m/>
    <s v="C02"/>
    <s v="TATXGP"/>
    <s v="GLK1"/>
    <n v="0.32"/>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22T00:00:00"/>
    <s v="ZBTO"/>
    <n v="9518623659"/>
    <n v="2"/>
    <s v="9518623659-2"/>
    <s v="May'25"/>
    <x v="0"/>
    <s v="Yes"/>
    <x v="3"/>
    <x v="9"/>
    <n v="2000"/>
    <m/>
    <x v="0"/>
    <m/>
    <m/>
    <s v="Assam"/>
    <s v="East"/>
    <m/>
    <m/>
    <n v="936511"/>
    <s v="SAGAR STEELS PROCESSING &amp; MANU"/>
    <n v="1851074"/>
    <s v="GP COIL SOFT-TATXGP-GLK1-0.28X900"/>
    <s v=""/>
    <m/>
    <m/>
    <m/>
    <m/>
    <s v="C02"/>
    <s v="TATXGP"/>
    <s v="GLK1"/>
    <n v="0.28000000000000003"/>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22T00:00:00"/>
    <s v="ZBTO"/>
    <n v="9518623659"/>
    <n v="3"/>
    <s v="9518623659-3"/>
    <s v="May'25"/>
    <x v="0"/>
    <s v="Yes"/>
    <x v="3"/>
    <x v="9"/>
    <n v="2000"/>
    <m/>
    <x v="0"/>
    <m/>
    <m/>
    <s v="Assam"/>
    <s v="East"/>
    <m/>
    <m/>
    <n v="936511"/>
    <s v="SAGAR STEELS PROCESSING &amp; MANU"/>
    <n v="1142792"/>
    <s v="GP COIL SOFT-TATXGP-GLK1-0.3X900"/>
    <s v=""/>
    <m/>
    <m/>
    <m/>
    <m/>
    <s v="C02"/>
    <s v="TATXGP"/>
    <s v="GLK1"/>
    <n v="0.3"/>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3-22T00:00:00"/>
    <s v="ZBTO"/>
    <n v="9518623659"/>
    <n v="4"/>
    <s v="9518623659-4"/>
    <s v="May'25"/>
    <x v="0"/>
    <s v="Yes"/>
    <x v="3"/>
    <x v="9"/>
    <n v="2000"/>
    <m/>
    <x v="0"/>
    <m/>
    <m/>
    <s v="Assam"/>
    <s v="East"/>
    <m/>
    <m/>
    <n v="936511"/>
    <s v="SAGAR STEELS PROCESSING &amp; MANU"/>
    <n v="1854380"/>
    <s v="GP COIL SOFT-TATXGP-GLK1-0.26X900"/>
    <s v=""/>
    <m/>
    <m/>
    <m/>
    <m/>
    <s v="C02"/>
    <s v="TATXGP"/>
    <s v="GLK1"/>
    <n v="0.26"/>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3-25T00:00:00"/>
    <s v="ZBTO"/>
    <n v="9518631268"/>
    <n v="1"/>
    <s v="9518631268-1"/>
    <s v="Stocks"/>
    <x v="0"/>
    <m/>
    <x v="1"/>
    <x v="1"/>
    <n v="2000"/>
    <m/>
    <x v="1"/>
    <m/>
    <m/>
    <s v="Assam"/>
    <s v="East"/>
    <m/>
    <m/>
    <n v="936511"/>
    <s v="SAGAR STEELS PROCESSING &amp; MANU"/>
    <n v="206969"/>
    <s v="CRCA COIL TATXXD AU03 0.400X1220"/>
    <s v=""/>
    <m/>
    <m/>
    <m/>
    <m/>
    <s v="C01"/>
    <s v="TATXXD"/>
    <s v="AU03"/>
    <n v="0.4"/>
    <n v="1220"/>
    <n v="0"/>
    <n v="56"/>
    <n v="0"/>
    <n v="56"/>
    <n v="56"/>
    <n v="56"/>
    <n v="16.920000000000002"/>
    <n v="0"/>
    <n v="0"/>
    <n v="0"/>
    <n v="0"/>
    <n v="0"/>
    <n v="0"/>
    <n v="0"/>
    <n v="0"/>
    <n v="0"/>
    <n v="0"/>
    <n v="0"/>
    <n v="0"/>
    <n v="0"/>
    <n v="0"/>
    <n v="0"/>
    <n v="0"/>
    <n v="0"/>
    <n v="0"/>
    <n v="0"/>
    <n v="0"/>
    <n v="0"/>
    <n v="0"/>
    <n v="0"/>
    <m/>
    <n v="11.08"/>
    <n v="0"/>
    <n v="0"/>
    <n v="0"/>
    <n v="0"/>
    <n v="0"/>
    <n v="0"/>
    <n v="0"/>
    <n v="0"/>
    <n v="0"/>
    <n v="0"/>
    <n v="0"/>
    <n v="0"/>
    <m/>
    <m/>
    <m/>
    <m/>
    <m/>
    <m/>
    <m/>
    <m/>
    <m/>
    <m/>
    <m/>
    <m/>
    <m/>
    <m/>
    <m/>
    <m/>
    <m/>
    <m/>
    <m/>
    <m/>
    <m/>
    <m/>
    <m/>
    <m/>
    <m/>
    <m/>
    <m/>
    <m/>
    <m/>
    <m/>
    <m/>
    <m/>
    <m/>
    <m/>
    <m/>
  </r>
  <r>
    <n v="742"/>
    <d v="2025-04-03T00:00:00"/>
    <s v="ZBTO"/>
    <n v="9518667214"/>
    <n v="2"/>
    <s v="9518667214-2"/>
    <s v="No Priority"/>
    <x v="0"/>
    <m/>
    <x v="1"/>
    <x v="1"/>
    <n v="2000"/>
    <m/>
    <x v="0"/>
    <m/>
    <m/>
    <s v="Karnataka"/>
    <s v="South"/>
    <m/>
    <m/>
    <n v="801611"/>
    <s v="SHIVA FERRIC PVT LTD"/>
    <n v="185675"/>
    <s v="CRCA COIL-TATXXD-AU03-0.5X1250"/>
    <s v=""/>
    <m/>
    <m/>
    <m/>
    <m/>
    <s v="C01"/>
    <s v="TATXXD"/>
    <s v="AU03"/>
    <n v="0.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03T00:00:00"/>
    <s v="ZBTO"/>
    <n v="9518667214"/>
    <n v="4"/>
    <s v="9518667214-4"/>
    <s v="No Priority"/>
    <x v="0"/>
    <m/>
    <x v="1"/>
    <x v="1"/>
    <n v="2000"/>
    <m/>
    <x v="0"/>
    <m/>
    <m/>
    <s v="Karnataka"/>
    <s v="South"/>
    <m/>
    <m/>
    <n v="801611"/>
    <s v="SHIVA FERRIC PVT LTD"/>
    <n v="1804814"/>
    <s v="CRCA COIL TATXXD AU03 0.8X1250"/>
    <s v=""/>
    <m/>
    <m/>
    <m/>
    <m/>
    <s v="C01"/>
    <s v="TATXXD"/>
    <s v="AU03"/>
    <n v="0.8"/>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3"/>
    <d v="2025-03-18T00:00:00"/>
    <s v="ZBTO"/>
    <n v="9518610170"/>
    <n v="1"/>
    <s v="9518610170-1"/>
    <s v="No Priority"/>
    <x v="0"/>
    <m/>
    <x v="3"/>
    <x v="0"/>
    <n v="2200"/>
    <m/>
    <x v="1"/>
    <m/>
    <m/>
    <s v="Haryana"/>
    <s v="North"/>
    <m/>
    <m/>
    <n v="936528"/>
    <s v="SHORI LAL KEWAL KUMAR"/>
    <n v="3859860"/>
    <s v="GP COIL XXXGPH GH12 0.500X1220"/>
    <n v="80"/>
    <m/>
    <m/>
    <m/>
    <m/>
    <s v="C05"/>
    <s v="XXXGPH"/>
    <s v="GH12"/>
    <n v="0.5"/>
    <n v="1220"/>
    <n v="0"/>
    <n v="252"/>
    <n v="0"/>
    <n v="252"/>
    <n v="252"/>
    <n v="252"/>
    <n v="252"/>
    <n v="0"/>
    <n v="0"/>
    <n v="0"/>
    <n v="0"/>
    <n v="0"/>
    <n v="0"/>
    <n v="0"/>
    <n v="0"/>
    <n v="0"/>
    <n v="0"/>
    <n v="0"/>
    <n v="0"/>
    <n v="0"/>
    <n v="0"/>
    <n v="0"/>
    <n v="0"/>
    <n v="0"/>
    <n v="0"/>
    <n v="0"/>
    <n v="0"/>
    <n v="0"/>
    <n v="0"/>
    <n v="0"/>
    <m/>
    <n v="0"/>
    <n v="252"/>
    <n v="0"/>
    <n v="252"/>
    <n v="0"/>
    <n v="0"/>
    <n v="0"/>
    <n v="252"/>
    <n v="0"/>
    <n v="252"/>
    <n v="0"/>
    <n v="0"/>
    <n v="0"/>
    <m/>
    <m/>
    <m/>
    <m/>
    <m/>
    <m/>
    <m/>
    <m/>
    <m/>
    <m/>
    <m/>
    <m/>
    <m/>
    <m/>
    <m/>
    <m/>
    <m/>
    <m/>
    <m/>
    <m/>
    <m/>
    <m/>
    <m/>
    <m/>
    <m/>
    <m/>
    <m/>
    <m/>
    <m/>
    <m/>
    <m/>
    <m/>
    <m/>
    <m/>
    <m/>
  </r>
  <r>
    <n v="743"/>
    <d v="2025-03-18T00:00:00"/>
    <s v="ZBTO"/>
    <n v="9518610170"/>
    <n v="2"/>
    <s v="9518610170-2"/>
    <s v="No Priority"/>
    <x v="0"/>
    <m/>
    <x v="3"/>
    <x v="0"/>
    <n v="2200"/>
    <m/>
    <x v="1"/>
    <m/>
    <m/>
    <s v="Haryana"/>
    <s v="North"/>
    <m/>
    <m/>
    <n v="936528"/>
    <s v="SHORI LAL KEWAL KUMAR"/>
    <n v="3859860"/>
    <s v="GP COIL XXXGPH GH12 0.500X1220"/>
    <n v="80"/>
    <m/>
    <m/>
    <m/>
    <m/>
    <s v="C05"/>
    <s v="XXXGPH"/>
    <s v="GH12"/>
    <n v="0.5"/>
    <n v="1220"/>
    <n v="0"/>
    <n v="252"/>
    <n v="0"/>
    <n v="252"/>
    <n v="252"/>
    <n v="252"/>
    <n v="252"/>
    <n v="0"/>
    <n v="0"/>
    <n v="0"/>
    <n v="0"/>
    <n v="0"/>
    <n v="0"/>
    <n v="0"/>
    <n v="0"/>
    <n v="0"/>
    <n v="0"/>
    <n v="0"/>
    <n v="0"/>
    <n v="0"/>
    <n v="0"/>
    <n v="0"/>
    <n v="0"/>
    <n v="0"/>
    <n v="0"/>
    <n v="0"/>
    <n v="0"/>
    <n v="0"/>
    <n v="0"/>
    <n v="0"/>
    <m/>
    <n v="0"/>
    <n v="252"/>
    <n v="0"/>
    <n v="252"/>
    <n v="0"/>
    <n v="0"/>
    <n v="0"/>
    <n v="252"/>
    <n v="0"/>
    <n v="252"/>
    <n v="0"/>
    <n v="0"/>
    <n v="0"/>
    <m/>
    <m/>
    <m/>
    <m/>
    <m/>
    <m/>
    <m/>
    <m/>
    <m/>
    <m/>
    <m/>
    <m/>
    <m/>
    <m/>
    <m/>
    <m/>
    <m/>
    <m/>
    <m/>
    <m/>
    <m/>
    <m/>
    <m/>
    <m/>
    <m/>
    <m/>
    <m/>
    <m/>
    <m/>
    <m/>
    <m/>
    <m/>
    <m/>
    <m/>
    <m/>
  </r>
  <r>
    <n v="742"/>
    <d v="2025-03-11T00:00:00"/>
    <s v="ZBTO"/>
    <n v="9518591774"/>
    <n v="5"/>
    <s v="9518591774-5"/>
    <s v="No Priority"/>
    <x v="1"/>
    <m/>
    <x v="1"/>
    <x v="1"/>
    <n v="2000"/>
    <m/>
    <x v="0"/>
    <m/>
    <m/>
    <s v="Delhi"/>
    <s v="North"/>
    <m/>
    <m/>
    <n v="936527"/>
    <s v="SHORI LAL KEWAL KUMAR."/>
    <n v="1801159"/>
    <s v="CRCA COIL-TATXXD-AU03-0.5X1000"/>
    <s v=""/>
    <m/>
    <m/>
    <m/>
    <m/>
    <s v="C01"/>
    <s v="TATXXD"/>
    <s v="AU03"/>
    <n v="0.5"/>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1"/>
    <s v="9518691600-1"/>
    <s v="No Priority"/>
    <x v="1"/>
    <m/>
    <x v="1"/>
    <x v="2"/>
    <n v="2000"/>
    <m/>
    <x v="0"/>
    <m/>
    <m/>
    <s v="Jharkhand"/>
    <s v="East"/>
    <m/>
    <m/>
    <n v="185794"/>
    <s v="Shree Bajrang Steel Udyog"/>
    <n v="3239408"/>
    <s v="CRCA SHEET TATCRC SR16 0.300X900X2500"/>
    <s v=""/>
    <m/>
    <m/>
    <m/>
    <m/>
    <s v="C06"/>
    <s v="TATCRC"/>
    <s v="SR16"/>
    <n v="0.3"/>
    <n v="90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2"/>
    <s v="9518691600-2"/>
    <s v="No Priority"/>
    <x v="1"/>
    <m/>
    <x v="1"/>
    <x v="2"/>
    <n v="2000"/>
    <m/>
    <x v="0"/>
    <m/>
    <m/>
    <s v="Jharkhand"/>
    <s v="East"/>
    <m/>
    <m/>
    <n v="185794"/>
    <s v="Shree Bajrang Steel Udyog"/>
    <n v="3239536"/>
    <s v="CRCA SHEET TATCRC SR16 0.350X900X2500"/>
    <s v=""/>
    <m/>
    <m/>
    <m/>
    <m/>
    <s v="C06"/>
    <s v="TATCRC"/>
    <s v="SR16"/>
    <n v="0.35"/>
    <n v="90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3"/>
    <s v="9518691600-3"/>
    <s v="No Priority"/>
    <x v="1"/>
    <m/>
    <x v="1"/>
    <x v="2"/>
    <n v="2000"/>
    <m/>
    <x v="0"/>
    <m/>
    <m/>
    <s v="Jharkhand"/>
    <s v="East"/>
    <m/>
    <m/>
    <n v="185794"/>
    <s v="Shree Bajrang Steel Udyog"/>
    <n v="3239548"/>
    <s v="CRCA SHEET TATCRC SR16 0.400X900X2500"/>
    <s v=""/>
    <m/>
    <m/>
    <m/>
    <m/>
    <s v="C06"/>
    <s v="TATCRC"/>
    <s v="SR16"/>
    <n v="0.4"/>
    <n v="90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4"/>
    <s v="9518691600-4"/>
    <s v="No Priority"/>
    <x v="1"/>
    <m/>
    <x v="1"/>
    <x v="2"/>
    <n v="2000"/>
    <m/>
    <x v="0"/>
    <m/>
    <m/>
    <s v="Jharkhand"/>
    <s v="East"/>
    <m/>
    <m/>
    <n v="185794"/>
    <s v="Shree Bajrang Steel Udyog"/>
    <n v="3239554"/>
    <s v="CRCA SHEET TATCRC SR16 0.400X1000X2500"/>
    <s v=""/>
    <m/>
    <m/>
    <m/>
    <m/>
    <s v="C06"/>
    <s v="TATCRC"/>
    <s v="SR16"/>
    <n v="0.4"/>
    <n v="100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5"/>
    <s v="9518691600-5"/>
    <s v="No Priority"/>
    <x v="1"/>
    <m/>
    <x v="1"/>
    <x v="2"/>
    <n v="2000"/>
    <m/>
    <x v="0"/>
    <m/>
    <m/>
    <s v="Jharkhand"/>
    <s v="East"/>
    <m/>
    <m/>
    <n v="185794"/>
    <s v="Shree Bajrang Steel Udyog"/>
    <n v="3239557"/>
    <s v="CRCA SHEET TATCRC SR16 0.400X1250X2500"/>
    <s v=""/>
    <m/>
    <m/>
    <m/>
    <m/>
    <s v="C06"/>
    <s v="TATCRC"/>
    <s v="SR16"/>
    <n v="0.4"/>
    <n v="1250"/>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6"/>
    <s v="9518691600-6"/>
    <s v="No Priority"/>
    <x v="0"/>
    <m/>
    <x v="1"/>
    <x v="2"/>
    <n v="2000"/>
    <m/>
    <x v="0"/>
    <m/>
    <m/>
    <s v="Jharkhand"/>
    <s v="East"/>
    <m/>
    <m/>
    <n v="185794"/>
    <s v="Shree Bajrang Steel Udyog"/>
    <n v="3239567"/>
    <s v="CRCA SHEET TATCRC SR16 0.450X1000X2500"/>
    <s v=""/>
    <m/>
    <m/>
    <m/>
    <m/>
    <s v="C06"/>
    <s v="TATCRC"/>
    <s v="SR16"/>
    <n v="0.45"/>
    <n v="100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7"/>
    <s v="9518691600-7"/>
    <s v="No Priority"/>
    <x v="0"/>
    <m/>
    <x v="1"/>
    <x v="2"/>
    <n v="2000"/>
    <m/>
    <x v="0"/>
    <m/>
    <m/>
    <s v="Jharkhand"/>
    <s v="East"/>
    <m/>
    <m/>
    <n v="185794"/>
    <s v="Shree Bajrang Steel Udyog"/>
    <n v="3239568"/>
    <s v="CRCA SHEET TATCRC SR16 0.450X1250X2500"/>
    <s v=""/>
    <m/>
    <m/>
    <m/>
    <m/>
    <s v="C06"/>
    <s v="TATCRC"/>
    <s v="SR16"/>
    <n v="0.45"/>
    <n v="1250"/>
    <n v="250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8"/>
    <s v="9518691600-8"/>
    <s v="May'25"/>
    <x v="0"/>
    <m/>
    <x v="1"/>
    <x v="2"/>
    <n v="2000"/>
    <m/>
    <x v="1"/>
    <m/>
    <m/>
    <s v="Jharkhand"/>
    <s v="East"/>
    <m/>
    <m/>
    <n v="185794"/>
    <s v="Shree Bajrang Steel Udyog"/>
    <n v="3240760"/>
    <s v="CRCA SHEET TSBCRC SR15 0.500X1000X2500"/>
    <s v=""/>
    <m/>
    <m/>
    <m/>
    <m/>
    <s v="C06"/>
    <s v="TSBCRC"/>
    <s v="SR15"/>
    <n v="0.5"/>
    <n v="1000"/>
    <n v="2500"/>
    <n v="42"/>
    <n v="0"/>
    <n v="42"/>
    <n v="42"/>
    <n v="-2.6700000000000017"/>
    <n v="42"/>
    <n v="0"/>
    <n v="0"/>
    <n v="0"/>
    <n v="0"/>
    <n v="0"/>
    <n v="0"/>
    <n v="0"/>
    <n v="0"/>
    <n v="0"/>
    <n v="0"/>
    <n v="0"/>
    <n v="0"/>
    <n v="0"/>
    <n v="44.67"/>
    <n v="0"/>
    <n v="0"/>
    <n v="0"/>
    <n v="0"/>
    <n v="0"/>
    <n v="44.67"/>
    <n v="44.67"/>
    <n v="0"/>
    <n v="44.67"/>
    <m/>
    <n v="0"/>
    <n v="42"/>
    <n v="0"/>
    <n v="42"/>
    <n v="0"/>
    <n v="0"/>
    <n v="0"/>
    <n v="42"/>
    <n v="0"/>
    <n v="42"/>
    <n v="0"/>
    <n v="0"/>
    <n v="0"/>
    <m/>
    <m/>
    <m/>
    <m/>
    <m/>
    <m/>
    <m/>
    <m/>
    <m/>
    <m/>
    <m/>
    <m/>
    <m/>
    <m/>
    <m/>
    <m/>
    <m/>
    <m/>
    <m/>
    <m/>
    <m/>
    <m/>
    <m/>
    <m/>
    <m/>
    <m/>
    <m/>
    <m/>
    <m/>
    <m/>
    <m/>
    <m/>
    <m/>
    <m/>
    <m/>
  </r>
  <r>
    <n v="742"/>
    <d v="2025-04-14T00:00:00"/>
    <s v="ZBTO"/>
    <n v="9518691600"/>
    <n v="9"/>
    <s v="9518691600-9"/>
    <s v="No Priority"/>
    <x v="0"/>
    <m/>
    <x v="1"/>
    <x v="2"/>
    <n v="2000"/>
    <m/>
    <x v="0"/>
    <m/>
    <m/>
    <s v="Jharkhand"/>
    <s v="East"/>
    <m/>
    <m/>
    <n v="185794"/>
    <s v="Shree Bajrang Steel Udyog"/>
    <n v="3240761"/>
    <s v="CRCA SHEET TSBCRC SR15 0.500X1250X2030"/>
    <s v=""/>
    <m/>
    <m/>
    <m/>
    <m/>
    <s v="C06"/>
    <s v="TSBCRC"/>
    <s v="SR15"/>
    <n v="0.5"/>
    <n v="1250"/>
    <n v="2030"/>
    <n v="30"/>
    <n v="0"/>
    <n v="30"/>
    <n v="30"/>
    <n v="30"/>
    <n v="27.204999999999998"/>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10"/>
    <s v="9518691600-10"/>
    <s v="No Priority"/>
    <x v="0"/>
    <m/>
    <x v="1"/>
    <x v="2"/>
    <n v="2000"/>
    <m/>
    <x v="0"/>
    <m/>
    <m/>
    <s v="Jharkhand"/>
    <s v="East"/>
    <m/>
    <m/>
    <n v="185794"/>
    <s v="Shree Bajrang Steel Udyog"/>
    <n v="3240765"/>
    <s v="CRCA SHEET TSBCRC SR15 0.500X1250X2500"/>
    <s v=""/>
    <m/>
    <m/>
    <m/>
    <m/>
    <s v="C06"/>
    <s v="TSBCRC"/>
    <s v="SR15"/>
    <n v="0.5"/>
    <n v="1250"/>
    <n v="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14T00:00:00"/>
    <s v="ZBTO"/>
    <n v="9518691600"/>
    <n v="11"/>
    <s v="9518691600-11"/>
    <s v="May'25"/>
    <x v="0"/>
    <m/>
    <x v="1"/>
    <x v="2"/>
    <n v="2000"/>
    <m/>
    <x v="1"/>
    <m/>
    <m/>
    <s v="Jharkhand"/>
    <s v="East"/>
    <m/>
    <m/>
    <n v="185794"/>
    <s v="Shree Bajrang Steel Udyog"/>
    <n v="3240778"/>
    <s v="CRCA SHEET TSBCRC SR15 0.600X1000X2500"/>
    <s v=""/>
    <m/>
    <m/>
    <m/>
    <m/>
    <s v="C06"/>
    <s v="TSBCRC"/>
    <s v="SR15"/>
    <n v="0.6"/>
    <n v="1000"/>
    <n v="2500"/>
    <n v="60"/>
    <n v="0"/>
    <n v="60"/>
    <n v="60"/>
    <n v="-6.2199999999999989"/>
    <n v="60"/>
    <n v="0"/>
    <n v="0"/>
    <n v="0"/>
    <n v="0"/>
    <n v="0"/>
    <n v="0"/>
    <n v="0"/>
    <n v="0"/>
    <n v="0"/>
    <n v="0"/>
    <n v="0"/>
    <n v="0"/>
    <n v="0"/>
    <n v="66.22"/>
    <n v="0"/>
    <n v="0"/>
    <n v="0"/>
    <n v="0"/>
    <n v="0"/>
    <n v="66.22"/>
    <n v="66.22"/>
    <n v="0"/>
    <n v="66.22"/>
    <m/>
    <n v="0"/>
    <n v="60"/>
    <n v="0"/>
    <n v="60"/>
    <n v="0"/>
    <n v="0"/>
    <n v="0"/>
    <n v="60"/>
    <n v="0"/>
    <n v="60"/>
    <n v="0"/>
    <n v="0"/>
    <n v="0"/>
    <m/>
    <m/>
    <m/>
    <m/>
    <m/>
    <m/>
    <m/>
    <m/>
    <m/>
    <m/>
    <m/>
    <m/>
    <m/>
    <m/>
    <m/>
    <m/>
    <m/>
    <m/>
    <m/>
    <m/>
    <m/>
    <m/>
    <m/>
    <m/>
    <m/>
    <m/>
    <m/>
    <m/>
    <m/>
    <m/>
    <m/>
    <m/>
    <m/>
    <m/>
    <m/>
  </r>
  <r>
    <n v="742"/>
    <d v="2025-03-17T00:00:00"/>
    <s v="ZBTO"/>
    <n v="9518606284"/>
    <n v="1"/>
    <s v="9518606284-1"/>
    <s v="No Priority"/>
    <x v="0"/>
    <s v="Yes"/>
    <x v="1"/>
    <x v="2"/>
    <n v="2000"/>
    <m/>
    <x v="0"/>
    <m/>
    <m/>
    <s v="Andhra Pradesh"/>
    <s v="South"/>
    <m/>
    <m/>
    <n v="946077"/>
    <s v="SITARAM IRON AND STEEL PVT LTD"/>
    <n v="3239535"/>
    <s v="CRCA SHEET TATCRC SR16 0.350X900X2440"/>
    <s v=""/>
    <m/>
    <m/>
    <m/>
    <m/>
    <s v="C06"/>
    <s v="TATCRC"/>
    <s v="SR16"/>
    <n v="0.35"/>
    <n v="900"/>
    <n v="244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284"/>
    <n v="2"/>
    <s v="9518606284-2"/>
    <s v="No Priority"/>
    <x v="0"/>
    <s v="Yes"/>
    <x v="1"/>
    <x v="2"/>
    <n v="2000"/>
    <m/>
    <x v="0"/>
    <m/>
    <m/>
    <s v="Andhra Pradesh"/>
    <s v="South"/>
    <m/>
    <m/>
    <n v="946077"/>
    <s v="SITARAM IRON AND STEEL PVT LTD"/>
    <n v="3239540"/>
    <s v="CRCA SHEET TATCRC SR16 0.350X1000X2440"/>
    <s v=""/>
    <m/>
    <m/>
    <m/>
    <m/>
    <s v="C06"/>
    <s v="TATCRC"/>
    <s v="SR16"/>
    <n v="0.35"/>
    <n v="1000"/>
    <n v="244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284"/>
    <n v="3"/>
    <s v="9518606284-3"/>
    <s v="No Priority"/>
    <x v="0"/>
    <s v="Yes"/>
    <x v="1"/>
    <x v="2"/>
    <n v="2000"/>
    <m/>
    <x v="0"/>
    <m/>
    <m/>
    <s v="Andhra Pradesh"/>
    <s v="South"/>
    <m/>
    <m/>
    <n v="946077"/>
    <s v="SITARAM IRON AND STEEL PVT LTD"/>
    <n v="3239549"/>
    <s v="CRCA SHEET TATCRC SR16 0.400X900X2440"/>
    <s v=""/>
    <m/>
    <m/>
    <m/>
    <m/>
    <s v="C06"/>
    <s v="TATCRC"/>
    <s v="SR16"/>
    <n v="0.4"/>
    <n v="900"/>
    <n v="244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284"/>
    <n v="4"/>
    <s v="9518606284-4"/>
    <s v="No Priority"/>
    <x v="0"/>
    <s v="Yes"/>
    <x v="1"/>
    <x v="2"/>
    <n v="2000"/>
    <m/>
    <x v="0"/>
    <m/>
    <m/>
    <s v="Andhra Pradesh"/>
    <s v="South"/>
    <m/>
    <m/>
    <n v="946077"/>
    <s v="SITARAM IRON AND STEEL PVT LTD"/>
    <n v="3239555"/>
    <s v="CRCA SHEET TATCRC SR16 0.400X1000X2440"/>
    <s v=""/>
    <m/>
    <m/>
    <m/>
    <m/>
    <s v="C06"/>
    <s v="TATCRC"/>
    <s v="SR16"/>
    <n v="0.4"/>
    <n v="1000"/>
    <n v="244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284"/>
    <n v="19"/>
    <s v="9518606284-19"/>
    <s v="No Priority"/>
    <x v="0"/>
    <m/>
    <x v="1"/>
    <x v="1"/>
    <n v="2000"/>
    <m/>
    <x v="0"/>
    <m/>
    <m/>
    <s v="Andhra Pradesh"/>
    <s v="South"/>
    <m/>
    <m/>
    <n v="946077"/>
    <s v="SITARAM IRON AND STEEL PVT LTD"/>
    <n v="189865"/>
    <s v="CRSHEET TATXXD AU03 1.0X1250X2500"/>
    <s v=""/>
    <m/>
    <m/>
    <m/>
    <m/>
    <s v="C06"/>
    <s v="TATXXD"/>
    <s v="AU03"/>
    <n v="1"/>
    <n v="125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3-17T00:00:00"/>
    <s v="ZBTO"/>
    <n v="9518606598"/>
    <n v="1"/>
    <s v="9518606598-1"/>
    <s v="No Priority"/>
    <x v="1"/>
    <m/>
    <x v="1"/>
    <x v="1"/>
    <n v="2000"/>
    <m/>
    <x v="0"/>
    <m/>
    <m/>
    <s v="Andhra Pradesh"/>
    <s v="South"/>
    <m/>
    <m/>
    <n v="946077"/>
    <s v="SITARAM IRON AND STEEL PVT LTD"/>
    <n v="1801562"/>
    <s v="CRCA COIL-TATXXD-AU03-0.8X1000"/>
    <s v=""/>
    <m/>
    <m/>
    <m/>
    <m/>
    <s v="C01"/>
    <s v="TATXXD"/>
    <s v="AU03"/>
    <n v="0.8"/>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1"/>
    <s v="9518683200-1"/>
    <s v="No Priority"/>
    <x v="0"/>
    <s v="Yes"/>
    <x v="1"/>
    <x v="2"/>
    <n v="2000"/>
    <m/>
    <x v="0"/>
    <m/>
    <m/>
    <s v="Andhra Pradesh"/>
    <s v="South"/>
    <m/>
    <m/>
    <n v="946077"/>
    <s v="SITARAM IRON AND STEEL PVT LTD"/>
    <n v="3239535"/>
    <s v="CRCA SHEET TATCRC SR16 0.350X900X2440"/>
    <s v=""/>
    <m/>
    <m/>
    <m/>
    <m/>
    <s v="C06"/>
    <s v="TATCRC"/>
    <s v="SR16"/>
    <n v="0.35"/>
    <n v="900"/>
    <n v="244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2"/>
    <s v="9518683200-2"/>
    <s v="No Priority"/>
    <x v="0"/>
    <s v="Yes"/>
    <x v="1"/>
    <x v="2"/>
    <n v="2000"/>
    <m/>
    <x v="0"/>
    <m/>
    <m/>
    <s v="Andhra Pradesh"/>
    <s v="South"/>
    <m/>
    <m/>
    <n v="946077"/>
    <s v="SITARAM IRON AND STEEL PVT LTD"/>
    <n v="3239540"/>
    <s v="CRCA SHEET TATCRC SR16 0.350X1000X2440"/>
    <s v=""/>
    <m/>
    <m/>
    <m/>
    <m/>
    <s v="C06"/>
    <s v="TATCRC"/>
    <s v="SR16"/>
    <n v="0.35"/>
    <n v="1000"/>
    <n v="2440"/>
    <n v="45"/>
    <n v="0"/>
    <n v="45"/>
    <n v="45"/>
    <n v="45"/>
    <n v="45"/>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3"/>
    <s v="9518683200-3"/>
    <s v="No Priority"/>
    <x v="0"/>
    <s v="Yes"/>
    <x v="1"/>
    <x v="2"/>
    <n v="2000"/>
    <m/>
    <x v="0"/>
    <m/>
    <m/>
    <s v="Andhra Pradesh"/>
    <s v="South"/>
    <m/>
    <m/>
    <n v="946077"/>
    <s v="SITARAM IRON AND STEEL PVT LTD"/>
    <n v="3239549"/>
    <s v="CRCA SHEET TATCRC SR16 0.400X900X2440"/>
    <s v=""/>
    <m/>
    <m/>
    <m/>
    <m/>
    <s v="C06"/>
    <s v="TATCRC"/>
    <s v="SR16"/>
    <n v="0.4"/>
    <n v="900"/>
    <n v="244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4"/>
    <s v="9518683200-4"/>
    <s v="No Priority"/>
    <x v="0"/>
    <s v="Yes"/>
    <x v="1"/>
    <x v="2"/>
    <n v="2000"/>
    <m/>
    <x v="0"/>
    <m/>
    <m/>
    <s v="Andhra Pradesh"/>
    <s v="South"/>
    <m/>
    <m/>
    <n v="946077"/>
    <s v="SITARAM IRON AND STEEL PVT LTD"/>
    <n v="3239555"/>
    <s v="CRCA SHEET TATCRC SR16 0.400X1000X2440"/>
    <s v=""/>
    <m/>
    <m/>
    <m/>
    <m/>
    <s v="C06"/>
    <s v="TATCRC"/>
    <s v="SR16"/>
    <n v="0.4"/>
    <n v="1000"/>
    <n v="2440"/>
    <n v="45"/>
    <n v="0"/>
    <n v="45"/>
    <n v="45"/>
    <n v="45"/>
    <n v="45"/>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5"/>
    <s v="9518683200-5"/>
    <s v="May'25"/>
    <x v="0"/>
    <s v="Yes"/>
    <x v="1"/>
    <x v="2"/>
    <n v="2000"/>
    <m/>
    <x v="1"/>
    <m/>
    <m/>
    <s v="Andhra Pradesh"/>
    <s v="South"/>
    <m/>
    <m/>
    <n v="946077"/>
    <s v="SITARAM IRON AND STEEL PVT LTD"/>
    <n v="3239559"/>
    <s v="CRCA SHEET TATCRC SR16 0.450X900X2440"/>
    <s v=""/>
    <m/>
    <m/>
    <m/>
    <m/>
    <s v="C06"/>
    <s v="TATCRC"/>
    <s v="SR16"/>
    <n v="0.45"/>
    <n v="900"/>
    <n v="2440"/>
    <n v="42"/>
    <n v="0"/>
    <n v="42"/>
    <n v="42"/>
    <n v="20.7"/>
    <n v="42"/>
    <n v="0"/>
    <n v="0"/>
    <n v="0"/>
    <n v="0"/>
    <n v="0"/>
    <n v="0"/>
    <n v="0"/>
    <n v="0"/>
    <n v="0"/>
    <n v="0"/>
    <n v="21.3"/>
    <n v="0"/>
    <n v="0"/>
    <n v="0"/>
    <n v="0"/>
    <n v="0"/>
    <n v="0"/>
    <n v="0"/>
    <n v="0"/>
    <n v="21.3"/>
    <n v="21.3"/>
    <n v="0"/>
    <n v="21.3"/>
    <m/>
    <n v="0"/>
    <n v="42"/>
    <n v="0"/>
    <n v="42"/>
    <n v="0"/>
    <n v="0"/>
    <n v="0"/>
    <n v="42"/>
    <n v="0"/>
    <n v="42"/>
    <n v="0"/>
    <n v="0"/>
    <n v="0"/>
    <m/>
    <m/>
    <m/>
    <m/>
    <m/>
    <m/>
    <m/>
    <m/>
    <m/>
    <m/>
    <m/>
    <m/>
    <m/>
    <m/>
    <m/>
    <m/>
    <m/>
    <m/>
    <m/>
    <m/>
    <m/>
    <m/>
    <m/>
    <m/>
    <m/>
    <m/>
    <m/>
    <m/>
    <m/>
    <m/>
    <m/>
    <m/>
    <m/>
    <m/>
    <m/>
  </r>
  <r>
    <n v="742"/>
    <d v="2025-04-10T00:00:00"/>
    <s v="ZBTO"/>
    <n v="9518683200"/>
    <n v="6"/>
    <s v="9518683200-6"/>
    <s v="No Priority"/>
    <x v="0"/>
    <s v="Yes"/>
    <x v="1"/>
    <x v="2"/>
    <n v="2000"/>
    <m/>
    <x v="0"/>
    <m/>
    <m/>
    <s v="Andhra Pradesh"/>
    <s v="South"/>
    <m/>
    <m/>
    <n v="946077"/>
    <s v="SITARAM IRON AND STEEL PVT LTD"/>
    <n v="3239566"/>
    <s v="CRCA SHEET TATCRC SR16 0.450X1000X2440"/>
    <s v=""/>
    <m/>
    <m/>
    <m/>
    <m/>
    <s v="C06"/>
    <s v="TATCRC"/>
    <s v="SR16"/>
    <n v="0.45"/>
    <n v="1000"/>
    <n v="2440"/>
    <n v="45"/>
    <n v="0"/>
    <n v="45"/>
    <n v="45"/>
    <n v="45"/>
    <n v="45"/>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7"/>
    <s v="9518683200-7"/>
    <s v="May'25"/>
    <x v="0"/>
    <s v="Yes"/>
    <x v="1"/>
    <x v="2"/>
    <n v="2000"/>
    <m/>
    <x v="1"/>
    <m/>
    <m/>
    <s v="Andhra Pradesh"/>
    <s v="South"/>
    <m/>
    <m/>
    <n v="946077"/>
    <s v="SITARAM IRON AND STEEL PVT LTD"/>
    <n v="3240759"/>
    <s v="CRCA SHEET TSBCRC SR15 0.500X1000X2440"/>
    <s v=""/>
    <m/>
    <m/>
    <m/>
    <m/>
    <s v="C06"/>
    <s v="TSBCRC"/>
    <s v="SR15"/>
    <n v="0.5"/>
    <n v="1000"/>
    <n v="2440"/>
    <n v="45"/>
    <n v="0"/>
    <n v="45"/>
    <n v="45"/>
    <n v="0.54999999999999716"/>
    <n v="45"/>
    <n v="0"/>
    <n v="0"/>
    <n v="0"/>
    <n v="0"/>
    <n v="0"/>
    <n v="0"/>
    <n v="0"/>
    <n v="0"/>
    <n v="0"/>
    <n v="0"/>
    <n v="0"/>
    <n v="0"/>
    <n v="0"/>
    <n v="44.45"/>
    <n v="0"/>
    <n v="0"/>
    <n v="0"/>
    <n v="0"/>
    <n v="0"/>
    <n v="44.45"/>
    <n v="44.45"/>
    <n v="0"/>
    <n v="44.45"/>
    <m/>
    <n v="0"/>
    <n v="45"/>
    <n v="0"/>
    <n v="45"/>
    <n v="0"/>
    <n v="0"/>
    <n v="0"/>
    <n v="45"/>
    <n v="0"/>
    <n v="45"/>
    <n v="0"/>
    <n v="0"/>
    <n v="0"/>
    <m/>
    <m/>
    <m/>
    <m/>
    <m/>
    <m/>
    <m/>
    <m/>
    <m/>
    <m/>
    <m/>
    <m/>
    <m/>
    <m/>
    <m/>
    <m/>
    <m/>
    <m/>
    <m/>
    <m/>
    <m/>
    <m/>
    <m/>
    <m/>
    <m/>
    <m/>
    <m/>
    <m/>
    <m/>
    <m/>
    <m/>
    <m/>
    <m/>
    <m/>
    <m/>
  </r>
  <r>
    <n v="742"/>
    <d v="2025-04-10T00:00:00"/>
    <s v="ZBTO"/>
    <n v="9518683200"/>
    <n v="8"/>
    <s v="9518683200-8"/>
    <s v="May'25"/>
    <x v="0"/>
    <s v="Yes"/>
    <x v="1"/>
    <x v="2"/>
    <n v="2000"/>
    <m/>
    <x v="1"/>
    <m/>
    <m/>
    <s v="Andhra Pradesh"/>
    <s v="South"/>
    <m/>
    <m/>
    <n v="946077"/>
    <s v="SITARAM IRON AND STEEL PVT LTD"/>
    <n v="3240765"/>
    <s v="CRCA SHEET TSBCRC SR15 0.500X1250X2500"/>
    <s v=""/>
    <m/>
    <m/>
    <m/>
    <m/>
    <s v="C06"/>
    <s v="TSBCRC"/>
    <s v="SR15"/>
    <n v="0.5"/>
    <n v="1250"/>
    <n v="0"/>
    <n v="30"/>
    <n v="0"/>
    <n v="30"/>
    <n v="30"/>
    <n v="3.0450000000000017"/>
    <n v="30"/>
    <n v="0"/>
    <n v="0"/>
    <n v="0"/>
    <n v="0"/>
    <n v="0"/>
    <n v="0"/>
    <n v="0"/>
    <n v="0"/>
    <n v="26.954999999999998"/>
    <n v="0"/>
    <n v="0"/>
    <n v="0"/>
    <n v="0"/>
    <n v="0"/>
    <n v="0"/>
    <n v="0"/>
    <n v="0"/>
    <n v="0"/>
    <n v="0"/>
    <n v="26.954999999999998"/>
    <n v="26.954999999999998"/>
    <n v="0"/>
    <n v="26.954999999999998"/>
    <m/>
    <n v="0"/>
    <n v="30"/>
    <n v="30"/>
    <n v="0"/>
    <n v="0"/>
    <n v="0"/>
    <n v="0"/>
    <n v="0"/>
    <n v="0"/>
    <n v="0"/>
    <n v="0"/>
    <n v="0"/>
    <n v="0"/>
    <m/>
    <m/>
    <m/>
    <m/>
    <m/>
    <m/>
    <m/>
    <m/>
    <m/>
    <m/>
    <m/>
    <m/>
    <m/>
    <m/>
    <m/>
    <m/>
    <m/>
    <m/>
    <m/>
    <m/>
    <m/>
    <m/>
    <m/>
    <m/>
    <m/>
    <m/>
    <m/>
    <m/>
    <m/>
    <m/>
    <m/>
    <m/>
    <m/>
    <m/>
    <m/>
  </r>
  <r>
    <n v="742"/>
    <d v="2025-04-10T00:00:00"/>
    <s v="ZBTO"/>
    <n v="9518683200"/>
    <n v="12"/>
    <s v="9518683200-12"/>
    <s v="May'25"/>
    <x v="0"/>
    <s v="Yes"/>
    <x v="1"/>
    <x v="2"/>
    <n v="2000"/>
    <m/>
    <x v="1"/>
    <m/>
    <m/>
    <s v="Andhra Pradesh"/>
    <s v="South"/>
    <m/>
    <m/>
    <n v="946077"/>
    <s v="SITARAM IRON AND STEEL PVT LTD"/>
    <n v="3410101"/>
    <s v="CRCA SHEET TSBCRC SR15 0.750X1000X2500"/>
    <s v=""/>
    <m/>
    <m/>
    <m/>
    <m/>
    <s v="C06"/>
    <s v="TSBCRC"/>
    <s v="SR15"/>
    <n v="0.75"/>
    <n v="1000"/>
    <n v="2500"/>
    <n v="24"/>
    <n v="0"/>
    <n v="24"/>
    <n v="24"/>
    <n v="1.6600000000000001"/>
    <n v="24"/>
    <n v="0"/>
    <n v="0"/>
    <n v="0"/>
    <n v="0"/>
    <n v="0"/>
    <n v="0"/>
    <n v="0"/>
    <n v="0"/>
    <n v="0"/>
    <n v="0"/>
    <n v="0"/>
    <n v="0"/>
    <n v="0"/>
    <n v="22.34"/>
    <n v="0"/>
    <n v="0"/>
    <n v="0"/>
    <n v="0"/>
    <n v="0"/>
    <n v="22.34"/>
    <n v="22.34"/>
    <n v="0"/>
    <n v="22.34"/>
    <m/>
    <n v="0"/>
    <n v="24"/>
    <n v="0"/>
    <n v="24"/>
    <n v="0"/>
    <n v="0"/>
    <n v="0"/>
    <n v="24"/>
    <n v="0"/>
    <n v="24"/>
    <n v="0"/>
    <n v="0"/>
    <n v="0"/>
    <m/>
    <m/>
    <m/>
    <m/>
    <m/>
    <m/>
    <m/>
    <m/>
    <m/>
    <m/>
    <m/>
    <m/>
    <m/>
    <m/>
    <m/>
    <m/>
    <m/>
    <m/>
    <m/>
    <m/>
    <m/>
    <m/>
    <m/>
    <m/>
    <m/>
    <m/>
    <m/>
    <m/>
    <m/>
    <m/>
    <m/>
    <m/>
    <m/>
    <m/>
    <m/>
  </r>
  <r>
    <n v="742"/>
    <d v="2025-04-10T00:00:00"/>
    <s v="ZBTO"/>
    <n v="9518683200"/>
    <n v="14"/>
    <s v="9518683200-14"/>
    <s v="No Priority"/>
    <x v="0"/>
    <m/>
    <x v="1"/>
    <x v="1"/>
    <n v="2000"/>
    <m/>
    <x v="0"/>
    <m/>
    <m/>
    <s v="Andhra Pradesh"/>
    <s v="South"/>
    <m/>
    <m/>
    <n v="946077"/>
    <s v="SITARAM IRON AND STEEL PVT LTD"/>
    <n v="353957"/>
    <s v="CRCA SHEET TATXXD AU03 0.80X1250X2500"/>
    <s v=""/>
    <m/>
    <m/>
    <m/>
    <m/>
    <s v="C06"/>
    <s v="TATXXD"/>
    <s v="AU03"/>
    <n v="0.8"/>
    <n v="125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15"/>
    <s v="9518683200-15"/>
    <s v="May'25"/>
    <x v="0"/>
    <m/>
    <x v="1"/>
    <x v="2"/>
    <n v="2000"/>
    <m/>
    <x v="1"/>
    <m/>
    <m/>
    <s v="Andhra Pradesh"/>
    <s v="South"/>
    <m/>
    <m/>
    <n v="946077"/>
    <s v="SITARAM IRON AND STEEL PVT LTD"/>
    <n v="3410102"/>
    <s v="CRCA SHEET TSBCRC SR15 0.950X1000X2500"/>
    <s v=""/>
    <m/>
    <m/>
    <m/>
    <m/>
    <s v="C06"/>
    <s v="TSBCRC"/>
    <s v="SR15"/>
    <n v="0.95"/>
    <n v="1000"/>
    <n v="2500"/>
    <n v="24"/>
    <n v="0"/>
    <n v="24"/>
    <n v="24"/>
    <n v="1.509999999999998"/>
    <n v="24"/>
    <n v="0"/>
    <n v="0"/>
    <n v="0"/>
    <n v="0"/>
    <n v="0"/>
    <n v="0"/>
    <n v="0"/>
    <n v="0"/>
    <n v="0"/>
    <n v="0"/>
    <n v="0"/>
    <n v="0"/>
    <n v="22.490000000000002"/>
    <n v="0"/>
    <n v="0"/>
    <n v="0"/>
    <n v="0"/>
    <n v="0"/>
    <n v="0"/>
    <n v="22.490000000000002"/>
    <n v="22.490000000000002"/>
    <n v="0"/>
    <n v="22.490000000000002"/>
    <m/>
    <n v="0"/>
    <n v="24"/>
    <n v="0"/>
    <n v="24"/>
    <n v="0"/>
    <n v="0"/>
    <n v="0"/>
    <n v="24"/>
    <n v="0"/>
    <n v="24"/>
    <n v="0"/>
    <n v="0"/>
    <n v="0"/>
    <m/>
    <m/>
    <m/>
    <m/>
    <m/>
    <m/>
    <m/>
    <m/>
    <m/>
    <m/>
    <m/>
    <m/>
    <m/>
    <m/>
    <m/>
    <m/>
    <m/>
    <m/>
    <m/>
    <m/>
    <m/>
    <m/>
    <m/>
    <m/>
    <m/>
    <m/>
    <m/>
    <m/>
    <m/>
    <m/>
    <m/>
    <m/>
    <m/>
    <m/>
    <m/>
  </r>
  <r>
    <n v="742"/>
    <d v="2025-04-10T00:00:00"/>
    <s v="ZBTO"/>
    <n v="9518683200"/>
    <n v="16"/>
    <s v="9518683200-16"/>
    <s v="No Priority"/>
    <x v="0"/>
    <m/>
    <x v="1"/>
    <x v="1"/>
    <n v="2000"/>
    <m/>
    <x v="0"/>
    <m/>
    <m/>
    <s v="Andhra Pradesh"/>
    <s v="South"/>
    <m/>
    <m/>
    <n v="946077"/>
    <s v="SITARAM IRON AND STEEL PVT LTD"/>
    <n v="1406015"/>
    <s v="CRCA SHEET TATXXD AU03 0.950X1250X2500"/>
    <s v=""/>
    <m/>
    <m/>
    <m/>
    <m/>
    <s v="C06"/>
    <s v="TATXXD"/>
    <s v="AU03"/>
    <n v="0.95"/>
    <n v="125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18"/>
    <s v="9518683200-18"/>
    <s v="No Priority"/>
    <x v="0"/>
    <m/>
    <x v="1"/>
    <x v="1"/>
    <n v="2000"/>
    <m/>
    <x v="0"/>
    <m/>
    <m/>
    <s v="Andhra Pradesh"/>
    <s v="South"/>
    <m/>
    <m/>
    <n v="946077"/>
    <s v="SITARAM IRON AND STEEL PVT LTD"/>
    <n v="194544"/>
    <s v="CRSHEET TATXXD AU03 1.50X1250X2500"/>
    <s v=""/>
    <m/>
    <m/>
    <m/>
    <m/>
    <s v="C06"/>
    <s v="TATXXD"/>
    <s v="AU03"/>
    <n v="1.5"/>
    <n v="125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0"/>
    <n v="20"/>
    <s v="9518683200-20"/>
    <s v="No Priority"/>
    <x v="0"/>
    <m/>
    <x v="1"/>
    <x v="1"/>
    <n v="2000"/>
    <m/>
    <x v="0"/>
    <m/>
    <m/>
    <s v="Andhra Pradesh"/>
    <s v="South"/>
    <m/>
    <m/>
    <n v="946077"/>
    <s v="SITARAM IRON AND STEEL PVT LTD"/>
    <n v="274376"/>
    <s v="CRSHEET C06TATXXD AU03 2.0X1250X2500"/>
    <s v=""/>
    <m/>
    <m/>
    <m/>
    <m/>
    <s v="C06"/>
    <s v="TATXXD"/>
    <s v="AU03"/>
    <n v="2"/>
    <n v="125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8"/>
    <n v="2"/>
    <s v="9518683208-2"/>
    <s v="No Priority"/>
    <x v="1"/>
    <m/>
    <x v="1"/>
    <x v="1"/>
    <n v="2000"/>
    <m/>
    <x v="0"/>
    <m/>
    <m/>
    <s v="Andhra Pradesh"/>
    <s v="South"/>
    <m/>
    <m/>
    <n v="946077"/>
    <s v="SITARAM IRON AND STEEL PVT LTD"/>
    <n v="1804912"/>
    <s v="CRCA COIL-TATCRC-TR15-0.6X900"/>
    <s v=""/>
    <m/>
    <m/>
    <m/>
    <m/>
    <s v="C01"/>
    <s v="TATCRC"/>
    <s v="TR15"/>
    <n v="0.6"/>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3208"/>
    <n v="6"/>
    <s v="9518683208-6"/>
    <s v="No Priority"/>
    <x v="0"/>
    <m/>
    <x v="1"/>
    <x v="1"/>
    <n v="2000"/>
    <m/>
    <x v="0"/>
    <m/>
    <m/>
    <s v="Andhra Pradesh"/>
    <s v="South"/>
    <m/>
    <m/>
    <n v="946077"/>
    <s v="SITARAM IRON AND STEEL PVT LTD"/>
    <n v="1804867"/>
    <s v="CRCA COIL-TATXXD-AU03-1.6X1250"/>
    <s v=""/>
    <m/>
    <m/>
    <m/>
    <m/>
    <s v="C01"/>
    <s v="TATXXD"/>
    <s v="AU03"/>
    <n v="1.6"/>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980"/>
    <n v="1"/>
    <s v="9518694980-1"/>
    <s v="No Priority"/>
    <x v="1"/>
    <m/>
    <x v="5"/>
    <x v="0"/>
    <n v="2200"/>
    <m/>
    <x v="0"/>
    <m/>
    <m/>
    <s v="Maharashtra"/>
    <s v="West"/>
    <m/>
    <m/>
    <n v="120612"/>
    <s v="SKM STEELS LIMITED(CRCADIVISIO"/>
    <n v="3924669"/>
    <s v="CR COIL TATFHC RE02 0.350X1220"/>
    <s v=""/>
    <m/>
    <m/>
    <m/>
    <m/>
    <s v="C09"/>
    <s v="TATFHC"/>
    <s v="RE02"/>
    <n v="0.35"/>
    <n v="1220"/>
    <n v="0"/>
    <n v="196"/>
    <n v="0"/>
    <n v="196"/>
    <n v="196"/>
    <n v="196"/>
    <n v="196"/>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5"/>
    <s v="9518628976-5"/>
    <s v="No Priority"/>
    <x v="0"/>
    <m/>
    <x v="1"/>
    <x v="1"/>
    <n v="2000"/>
    <m/>
    <x v="0"/>
    <m/>
    <m/>
    <s v="Tamil Nadu"/>
    <s v="South"/>
    <m/>
    <m/>
    <n v="116465"/>
    <s v="SRI BALAJI STEEL TRADERS"/>
    <n v="353958"/>
    <s v="CRCA SHEET TATXXD AU03 0.90X1250X2500"/>
    <s v=""/>
    <m/>
    <m/>
    <m/>
    <m/>
    <s v="C06"/>
    <s v="TATXXD"/>
    <s v="AU03"/>
    <n v="0.9"/>
    <n v="1250"/>
    <n v="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6"/>
    <s v="9518628976-6"/>
    <s v="No Priority"/>
    <x v="0"/>
    <m/>
    <x v="1"/>
    <x v="1"/>
    <n v="2000"/>
    <m/>
    <x v="0"/>
    <m/>
    <m/>
    <s v="Tamil Nadu"/>
    <s v="South"/>
    <m/>
    <m/>
    <n v="116465"/>
    <s v="SRI BALAJI STEEL TRADERS"/>
    <n v="189865"/>
    <s v="CRSHEET TATXXD AU03 1.0X1250X2500"/>
    <s v=""/>
    <m/>
    <m/>
    <m/>
    <m/>
    <s v="C06"/>
    <s v="TATXXD"/>
    <s v="AU03"/>
    <n v="1"/>
    <n v="125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3-24T00:00:00"/>
    <s v="ZBTO"/>
    <n v="9518628976"/>
    <n v="11"/>
    <s v="9518628976-11"/>
    <s v="No Priority"/>
    <x v="0"/>
    <m/>
    <x v="1"/>
    <x v="1"/>
    <n v="2000"/>
    <m/>
    <x v="0"/>
    <m/>
    <m/>
    <s v="Tamil Nadu"/>
    <s v="South"/>
    <m/>
    <m/>
    <n v="116465"/>
    <s v="SRI BALAJI STEEL TRADERS"/>
    <n v="325986"/>
    <s v="CRCA SHEET TATXXD AU03 2.5X1250X2500"/>
    <s v=""/>
    <m/>
    <m/>
    <m/>
    <m/>
    <s v="C06"/>
    <s v="TATXXD"/>
    <s v="AU03"/>
    <n v="2.5"/>
    <n v="125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438"/>
    <n v="5"/>
    <s v="9518649438-5"/>
    <s v="No Priority"/>
    <x v="0"/>
    <s v="Yes"/>
    <x v="1"/>
    <x v="2"/>
    <n v="2000"/>
    <m/>
    <x v="0"/>
    <m/>
    <m/>
    <s v="Tamil Nadu"/>
    <s v="South"/>
    <m/>
    <m/>
    <n v="116465"/>
    <s v="SRI BALAJI STEEL TRADERS"/>
    <n v="3239408"/>
    <s v="CRCA SHEET TATCRC SR16 0.300X900X2500"/>
    <s v=""/>
    <m/>
    <m/>
    <m/>
    <m/>
    <s v="C06"/>
    <s v="TATCRC"/>
    <s v="SR16"/>
    <n v="0.3"/>
    <n v="900"/>
    <n v="250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438"/>
    <n v="7"/>
    <s v="9518649438-7"/>
    <s v="No Priority"/>
    <x v="1"/>
    <s v="Yes"/>
    <x v="1"/>
    <x v="2"/>
    <n v="2000"/>
    <m/>
    <x v="0"/>
    <m/>
    <m/>
    <s v="Tamil Nadu"/>
    <s v="South"/>
    <m/>
    <m/>
    <n v="116465"/>
    <s v="SRI BALAJI STEEL TRADERS"/>
    <n v="3239539"/>
    <s v="CRCA SHEET TATCRC SR16 0.350X1000X1980"/>
    <s v=""/>
    <m/>
    <m/>
    <m/>
    <m/>
    <s v="C06"/>
    <s v="TATCRC"/>
    <s v="SR16"/>
    <n v="0.35"/>
    <n v="1000"/>
    <n v="198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438"/>
    <n v="8"/>
    <s v="9518649438-8"/>
    <s v="No Priority"/>
    <x v="0"/>
    <s v="Yes"/>
    <x v="1"/>
    <x v="2"/>
    <n v="2000"/>
    <m/>
    <x v="0"/>
    <m/>
    <m/>
    <s v="Tamil Nadu"/>
    <s v="South"/>
    <m/>
    <m/>
    <n v="116465"/>
    <s v="SRI BALAJI STEEL TRADERS"/>
    <n v="3239548"/>
    <s v="CRCA SHEET TATCRC SR16 0.400X900X2500"/>
    <s v=""/>
    <m/>
    <m/>
    <m/>
    <m/>
    <s v="C06"/>
    <s v="TATCRC"/>
    <s v="SR16"/>
    <n v="0.4"/>
    <n v="900"/>
    <n v="250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438"/>
    <n v="9"/>
    <s v="9518649438-9"/>
    <s v="No Priority"/>
    <x v="0"/>
    <s v="Yes"/>
    <x v="1"/>
    <x v="2"/>
    <n v="2000"/>
    <m/>
    <x v="0"/>
    <m/>
    <m/>
    <s v="Tamil Nadu"/>
    <s v="South"/>
    <m/>
    <m/>
    <n v="116465"/>
    <s v="SRI BALAJI STEEL TRADERS"/>
    <n v="3239552"/>
    <s v="CRCA SHEET TATCRC SR16 0.400X1000X1980"/>
    <s v=""/>
    <m/>
    <m/>
    <m/>
    <m/>
    <s v="C06"/>
    <s v="TATCRC"/>
    <s v="SR16"/>
    <n v="0.4"/>
    <n v="1000"/>
    <n v="198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438"/>
    <n v="10"/>
    <s v="9518649438-10"/>
    <s v="No Priority"/>
    <x v="0"/>
    <s v="Yes"/>
    <x v="1"/>
    <x v="2"/>
    <n v="2000"/>
    <m/>
    <x v="0"/>
    <m/>
    <m/>
    <s v="Tamil Nadu"/>
    <s v="South"/>
    <m/>
    <m/>
    <n v="116465"/>
    <s v="SRI BALAJI STEEL TRADERS"/>
    <n v="3239557"/>
    <s v="CRCA SHEET TATCRC SR16 0.400X1250X2500"/>
    <s v=""/>
    <m/>
    <m/>
    <m/>
    <m/>
    <s v="C06"/>
    <s v="TATCRC"/>
    <s v="SR16"/>
    <n v="0.4"/>
    <n v="1250"/>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521"/>
    <n v="1"/>
    <s v="9518649521-1"/>
    <s v="No Priority"/>
    <x v="1"/>
    <m/>
    <x v="1"/>
    <x v="2"/>
    <n v="2000"/>
    <m/>
    <x v="0"/>
    <m/>
    <m/>
    <s v="Tamil Nadu"/>
    <s v="South"/>
    <m/>
    <m/>
    <n v="116465"/>
    <s v="SRI BALAJI STEEL TRADERS"/>
    <n v="3239539"/>
    <s v="CRCA SHEET TATCRC SR16 0.350X1000X1980"/>
    <s v=""/>
    <m/>
    <m/>
    <m/>
    <m/>
    <s v="C06"/>
    <s v="TATCRC"/>
    <s v="SR16"/>
    <n v="0.35"/>
    <n v="1000"/>
    <n v="1980"/>
    <n v="15"/>
    <n v="0"/>
    <n v="15"/>
    <n v="15"/>
    <n v="15"/>
    <n v="15"/>
    <n v="0"/>
    <n v="0"/>
    <n v="0"/>
    <n v="0"/>
    <n v="0"/>
    <n v="0"/>
    <n v="0"/>
    <n v="0"/>
    <n v="0"/>
    <n v="0"/>
    <n v="0"/>
    <n v="0"/>
    <n v="0"/>
    <n v="0"/>
    <n v="0"/>
    <n v="0"/>
    <n v="0"/>
    <n v="0"/>
    <n v="0"/>
    <n v="0"/>
    <n v="0"/>
    <n v="0"/>
    <n v="0"/>
    <m/>
    <n v="0"/>
    <n v="0"/>
    <n v="0"/>
    <n v="0"/>
    <n v="0"/>
    <n v="0"/>
    <n v="0"/>
    <n v="0"/>
    <n v="0"/>
    <n v="0"/>
    <n v="0"/>
    <n v="0"/>
    <n v="0"/>
    <m/>
    <m/>
    <m/>
    <m/>
    <m/>
    <m/>
    <m/>
    <m/>
    <m/>
    <m/>
    <m/>
    <m/>
    <m/>
    <m/>
    <m/>
    <m/>
    <m/>
    <m/>
    <m/>
    <m/>
    <m/>
    <m/>
    <m/>
    <m/>
    <m/>
    <m/>
    <m/>
    <m/>
    <m/>
    <m/>
    <m/>
    <m/>
    <m/>
    <m/>
    <m/>
  </r>
  <r>
    <n v="742"/>
    <d v="2025-03-28T00:00:00"/>
    <s v="ZBTO"/>
    <n v="9518649521"/>
    <n v="2"/>
    <s v="9518649521-2"/>
    <s v="No Priority"/>
    <x v="1"/>
    <m/>
    <x v="1"/>
    <x v="2"/>
    <n v="2000"/>
    <m/>
    <x v="0"/>
    <m/>
    <m/>
    <s v="Tamil Nadu"/>
    <s v="South"/>
    <m/>
    <m/>
    <n v="116465"/>
    <s v="SRI BALAJI STEEL TRADERS"/>
    <n v="3239557"/>
    <s v="CRCA SHEET TATCRC SR16 0.400X1250X2500"/>
    <s v=""/>
    <m/>
    <m/>
    <m/>
    <m/>
    <s v="C06"/>
    <s v="TATCRC"/>
    <s v="SR16"/>
    <n v="0.4"/>
    <n v="1250"/>
    <n v="0"/>
    <n v="24"/>
    <n v="0"/>
    <n v="24"/>
    <n v="24"/>
    <n v="24"/>
    <n v="24"/>
    <n v="0"/>
    <n v="0"/>
    <n v="0"/>
    <n v="0"/>
    <n v="0"/>
    <n v="0"/>
    <n v="0"/>
    <n v="0"/>
    <n v="0"/>
    <n v="0"/>
    <n v="0"/>
    <n v="0"/>
    <n v="0"/>
    <n v="0"/>
    <n v="0"/>
    <n v="0"/>
    <n v="0"/>
    <n v="0"/>
    <n v="0"/>
    <n v="0"/>
    <n v="0"/>
    <n v="0"/>
    <n v="0"/>
    <m/>
    <n v="0"/>
    <n v="0"/>
    <n v="0"/>
    <n v="0"/>
    <n v="0"/>
    <n v="0"/>
    <n v="0"/>
    <n v="0"/>
    <n v="0"/>
    <n v="0"/>
    <n v="0"/>
    <n v="0"/>
    <n v="0"/>
    <m/>
    <m/>
    <m/>
    <m/>
    <m/>
    <m/>
    <m/>
    <m/>
    <m/>
    <m/>
    <m/>
    <m/>
    <m/>
    <m/>
    <m/>
    <m/>
    <m/>
    <m/>
    <m/>
    <m/>
    <m/>
    <m/>
    <m/>
    <m/>
    <m/>
    <m/>
    <m/>
    <m/>
    <m/>
    <m/>
    <m/>
    <m/>
    <m/>
    <m/>
    <m/>
  </r>
  <r>
    <n v="743"/>
    <d v="2025-03-19T00:00:00"/>
    <s v="ZBTO"/>
    <n v="9518613800"/>
    <n v="2"/>
    <s v="9518613800-2"/>
    <s v="May'25"/>
    <x v="0"/>
    <m/>
    <x v="4"/>
    <x v="3"/>
    <n v="1000"/>
    <m/>
    <x v="1"/>
    <m/>
    <m/>
    <s v="Jharkhand"/>
    <s v="TBSPL"/>
    <m/>
    <m/>
    <n v="942283"/>
    <s v="TATA BLUESCOPE STEEL PRIVATE L"/>
    <n v="2193752"/>
    <s v="GL C YS550 H6GL 0.75BMT(0.80TCT)X1220"/>
    <n v="150"/>
    <m/>
    <m/>
    <m/>
    <m/>
    <s v="B04"/>
    <s v="Y550GL"/>
    <s v="H6GL"/>
    <n v="0.75"/>
    <n v="1220"/>
    <n v="0"/>
    <n v="28"/>
    <n v="0"/>
    <n v="28"/>
    <n v="28"/>
    <n v="-0.40000000000000213"/>
    <n v="28"/>
    <n v="0"/>
    <n v="0"/>
    <n v="0"/>
    <n v="0"/>
    <n v="0"/>
    <n v="14.135000000000002"/>
    <n v="0"/>
    <n v="0"/>
    <n v="0"/>
    <n v="0"/>
    <n v="0"/>
    <n v="0"/>
    <n v="0"/>
    <n v="0"/>
    <n v="0"/>
    <n v="14.265000000000001"/>
    <n v="0"/>
    <n v="0"/>
    <n v="0"/>
    <n v="28.400000000000002"/>
    <n v="28.400000000000002"/>
    <n v="0"/>
    <n v="28.400000000000002"/>
    <m/>
    <n v="0"/>
    <n v="28"/>
    <n v="0"/>
    <n v="28"/>
    <n v="0"/>
    <n v="0"/>
    <n v="0"/>
    <n v="28"/>
    <n v="0"/>
    <n v="28"/>
    <n v="0"/>
    <n v="0"/>
    <n v="0"/>
    <m/>
    <m/>
    <m/>
    <m/>
    <m/>
    <m/>
    <m/>
    <m/>
    <m/>
    <m/>
    <m/>
    <m/>
    <m/>
    <m/>
    <m/>
    <m/>
    <m/>
    <m/>
    <m/>
    <m/>
    <m/>
    <m/>
    <m/>
    <m/>
    <m/>
    <m/>
    <m/>
    <m/>
    <m/>
    <m/>
    <m/>
    <m/>
    <m/>
    <m/>
    <m/>
  </r>
  <r>
    <n v="743"/>
    <d v="2025-03-29T00:00:00"/>
    <s v="ZBTO"/>
    <n v="9518652242"/>
    <n v="1"/>
    <s v="9518652242-1"/>
    <s v="May'25"/>
    <x v="0"/>
    <m/>
    <x v="4"/>
    <x v="3"/>
    <n v="1000"/>
    <m/>
    <x v="1"/>
    <m/>
    <m/>
    <s v="Jharkhand"/>
    <s v="TBSPL"/>
    <m/>
    <m/>
    <n v="942284"/>
    <s v="TATA BLUESCOPE STEEL PRIVATE L"/>
    <n v="3931932"/>
    <s v="GL COIL HARD  Y550GL M306 0.350X900"/>
    <n v="70"/>
    <m/>
    <m/>
    <m/>
    <m/>
    <s v="B04"/>
    <s v="Y550GL"/>
    <s v="M306"/>
    <n v="0.3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4-08T00:00:00"/>
    <s v="ZBTO"/>
    <n v="9518677562"/>
    <n v="1"/>
    <s v="9518677562-1"/>
    <s v="May'25"/>
    <x v="0"/>
    <m/>
    <x v="4"/>
    <x v="3"/>
    <n v="1000"/>
    <m/>
    <x v="1"/>
    <m/>
    <m/>
    <s v="Jharkhand"/>
    <s v="TBSPL"/>
    <m/>
    <m/>
    <n v="942283"/>
    <s v="TATA BLUESCOPE STEEL PRIVATE L"/>
    <n v="1882004"/>
    <s v="GL C YS550 H6GL 0.55BMT(0.60TCT)X1220"/>
    <n v="150"/>
    <m/>
    <m/>
    <m/>
    <m/>
    <s v="B04"/>
    <s v="Y550GL"/>
    <s v="H6GL"/>
    <n v="0.55000000000000004"/>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3"/>
    <d v="2025-04-08T00:00:00"/>
    <s v="ZBTO"/>
    <n v="9518677562"/>
    <n v="2"/>
    <s v="9518677562-2"/>
    <s v="May'25"/>
    <x v="0"/>
    <s v="Yes"/>
    <x v="4"/>
    <x v="3"/>
    <n v="1000"/>
    <m/>
    <x v="1"/>
    <m/>
    <m/>
    <s v="Jharkhand"/>
    <s v="TBSPL"/>
    <m/>
    <m/>
    <n v="942283"/>
    <s v="TATA BLUESCOPE STEEL PRIVATE L"/>
    <n v="1881969"/>
    <s v="GL C YS550 H6GL 0.45BMT(0.50TCT)X1220"/>
    <n v="150"/>
    <m/>
    <m/>
    <m/>
    <m/>
    <s v="B04"/>
    <s v="Y550GL"/>
    <s v="H6GL"/>
    <n v="0.45"/>
    <n v="1220"/>
    <n v="0"/>
    <n v="280"/>
    <n v="0"/>
    <n v="280"/>
    <n v="280"/>
    <n v="280"/>
    <n v="280"/>
    <n v="0"/>
    <n v="0"/>
    <n v="0"/>
    <n v="0"/>
    <n v="0"/>
    <n v="0"/>
    <n v="0"/>
    <n v="0"/>
    <n v="0"/>
    <n v="0"/>
    <n v="0"/>
    <n v="0"/>
    <n v="0"/>
    <n v="0"/>
    <n v="0"/>
    <n v="0"/>
    <n v="0"/>
    <n v="0"/>
    <n v="0"/>
    <n v="0"/>
    <n v="0"/>
    <n v="0"/>
    <n v="0"/>
    <m/>
    <n v="0"/>
    <n v="280"/>
    <n v="0"/>
    <n v="0"/>
    <n v="0"/>
    <n v="0"/>
    <n v="280"/>
    <n v="0"/>
    <n v="0"/>
    <n v="0"/>
    <n v="0"/>
    <n v="0"/>
    <n v="0"/>
    <m/>
    <m/>
    <m/>
    <m/>
    <m/>
    <m/>
    <m/>
    <m/>
    <m/>
    <m/>
    <m/>
    <m/>
    <m/>
    <m/>
    <m/>
    <m/>
    <m/>
    <m/>
    <m/>
    <m/>
    <m/>
    <m/>
    <m/>
    <m/>
    <m/>
    <m/>
    <m/>
    <m/>
    <m/>
    <m/>
    <m/>
    <m/>
    <m/>
    <m/>
    <m/>
  </r>
  <r>
    <n v="743"/>
    <d v="2025-04-08T00:00:00"/>
    <s v="ZBTO"/>
    <n v="9518677562"/>
    <n v="3"/>
    <s v="9518677562-3"/>
    <s v="May'25"/>
    <x v="0"/>
    <s v="Yes"/>
    <x v="4"/>
    <x v="3"/>
    <n v="1000"/>
    <m/>
    <x v="1"/>
    <m/>
    <m/>
    <s v="Jharkhand"/>
    <s v="TBSPL"/>
    <m/>
    <m/>
    <n v="942283"/>
    <s v="TATA BLUESCOPE STEEL PRIVATE L"/>
    <n v="1881969"/>
    <s v="GL C YS550 H6GL 0.45BMT(0.50TCT)X1220"/>
    <n v="150"/>
    <m/>
    <m/>
    <m/>
    <m/>
    <s v="B04"/>
    <s v="Y550GL"/>
    <s v="H6GL"/>
    <n v="0.45"/>
    <n v="1220"/>
    <n v="0"/>
    <n v="28"/>
    <n v="0"/>
    <n v="28"/>
    <n v="28"/>
    <n v="28"/>
    <n v="28"/>
    <n v="0"/>
    <n v="0"/>
    <n v="0"/>
    <n v="0"/>
    <n v="0"/>
    <n v="0"/>
    <n v="0"/>
    <n v="0"/>
    <n v="0"/>
    <n v="0"/>
    <n v="0"/>
    <n v="0"/>
    <n v="0"/>
    <n v="0"/>
    <n v="0"/>
    <n v="0"/>
    <n v="0"/>
    <n v="0"/>
    <n v="0"/>
    <n v="0"/>
    <n v="0"/>
    <n v="0"/>
    <n v="0"/>
    <m/>
    <n v="0"/>
    <n v="0"/>
    <n v="0"/>
    <n v="0"/>
    <n v="0"/>
    <n v="0"/>
    <n v="0"/>
    <n v="0"/>
    <n v="0"/>
    <n v="0"/>
    <n v="0"/>
    <n v="0"/>
    <n v="0"/>
    <m/>
    <m/>
    <m/>
    <m/>
    <m/>
    <m/>
    <m/>
    <m/>
    <m/>
    <m/>
    <m/>
    <m/>
    <m/>
    <m/>
    <m/>
    <m/>
    <m/>
    <m/>
    <m/>
    <m/>
    <m/>
    <m/>
    <m/>
    <m/>
    <m/>
    <m/>
    <m/>
    <m/>
    <m/>
    <m/>
    <m/>
    <m/>
    <m/>
    <m/>
    <m/>
  </r>
  <r>
    <n v="743"/>
    <d v="2025-04-10T00:00:00"/>
    <s v="ZBTO"/>
    <n v="9518682605"/>
    <n v="1"/>
    <s v="9518682605-1"/>
    <s v="May'25"/>
    <x v="0"/>
    <s v="Yes"/>
    <x v="4"/>
    <x v="3"/>
    <n v="1000"/>
    <m/>
    <x v="1"/>
    <m/>
    <m/>
    <s v="Jharkhand"/>
    <s v="TBSPL"/>
    <m/>
    <m/>
    <n v="942283"/>
    <s v="TATA BLUESCOPE STEEL PRIVATE L"/>
    <n v="1881969"/>
    <s v="GL C YS550 H6GL 0.45BMT(0.50TCT)X1220"/>
    <n v="150"/>
    <m/>
    <m/>
    <m/>
    <m/>
    <s v="B04"/>
    <s v="Y550GL"/>
    <s v="H6GL"/>
    <n v="0.45"/>
    <n v="1220"/>
    <n v="0"/>
    <n v="56"/>
    <n v="0"/>
    <n v="56"/>
    <n v="56"/>
    <n v="56"/>
    <n v="56"/>
    <n v="0"/>
    <n v="0"/>
    <n v="0"/>
    <n v="0"/>
    <n v="0"/>
    <n v="0"/>
    <n v="0"/>
    <n v="0"/>
    <n v="0"/>
    <n v="0"/>
    <n v="0"/>
    <n v="0"/>
    <n v="0"/>
    <n v="0"/>
    <n v="0"/>
    <n v="0"/>
    <n v="0"/>
    <n v="0"/>
    <n v="0"/>
    <n v="0"/>
    <n v="0"/>
    <n v="0"/>
    <n v="0"/>
    <m/>
    <n v="0"/>
    <n v="0"/>
    <n v="0"/>
    <n v="0"/>
    <n v="0"/>
    <n v="0"/>
    <n v="0"/>
    <n v="0"/>
    <n v="0"/>
    <n v="0"/>
    <n v="0"/>
    <n v="0"/>
    <n v="0"/>
    <m/>
    <m/>
    <m/>
    <m/>
    <m/>
    <m/>
    <m/>
    <m/>
    <m/>
    <m/>
    <m/>
    <m/>
    <m/>
    <m/>
    <m/>
    <m/>
    <m/>
    <m/>
    <m/>
    <m/>
    <m/>
    <m/>
    <m/>
    <m/>
    <m/>
    <m/>
    <m/>
    <m/>
    <m/>
    <m/>
    <m/>
    <m/>
    <m/>
    <m/>
    <m/>
  </r>
  <r>
    <n v="744"/>
    <d v="2025-04-17T00:00:00"/>
    <s v="ZBTO"/>
    <n v="9518699134"/>
    <n v="1"/>
    <s v="9518699134-1"/>
    <s v="May'25"/>
    <x v="0"/>
    <m/>
    <x v="2"/>
    <x v="3"/>
    <n v="1000"/>
    <m/>
    <x v="1"/>
    <m/>
    <m/>
    <s v="Jharkhand"/>
    <s v="TBSPL"/>
    <m/>
    <m/>
    <n v="941597"/>
    <s v="TATA BLUESCOPE STEEL PRIVATE L"/>
    <n v="3902332"/>
    <s v="PPGL C HARD Y550PL D0C9 0.50(TPT)X1220"/>
    <n v="150"/>
    <m/>
    <m/>
    <m/>
    <m/>
    <s v="B18"/>
    <s v="Y550PL"/>
    <s v="D0C9"/>
    <n v="0.5"/>
    <n v="1220"/>
    <n v="0"/>
    <n v="56"/>
    <n v="0"/>
    <n v="56"/>
    <n v="56"/>
    <n v="56"/>
    <n v="56"/>
    <n v="0"/>
    <n v="0"/>
    <n v="0"/>
    <n v="0"/>
    <n v="0"/>
    <n v="0"/>
    <n v="0"/>
    <n v="0"/>
    <n v="0"/>
    <n v="0"/>
    <n v="0"/>
    <n v="0"/>
    <n v="0"/>
    <n v="0"/>
    <n v="0"/>
    <n v="0"/>
    <n v="0"/>
    <n v="0"/>
    <n v="0"/>
    <n v="0"/>
    <n v="0"/>
    <n v="0"/>
    <n v="0"/>
    <m/>
    <n v="0"/>
    <n v="56"/>
    <n v="0"/>
    <n v="0"/>
    <n v="0"/>
    <n v="56"/>
    <n v="0"/>
    <n v="0"/>
    <n v="0"/>
    <n v="0"/>
    <n v="0"/>
    <n v="0"/>
    <n v="0"/>
    <m/>
    <m/>
    <m/>
    <m/>
    <m/>
    <m/>
    <m/>
    <m/>
    <m/>
    <m/>
    <m/>
    <m/>
    <m/>
    <m/>
    <m/>
    <m/>
    <m/>
    <m/>
    <m/>
    <m/>
    <m/>
    <m/>
    <m/>
    <m/>
    <m/>
    <m/>
    <m/>
    <m/>
    <m/>
    <m/>
    <m/>
    <m/>
    <m/>
    <m/>
    <m/>
  </r>
  <r>
    <n v="744"/>
    <d v="2025-04-15T00:00:00"/>
    <s v="ZBTO"/>
    <n v="9518694961"/>
    <n v="2"/>
    <s v="9518694961-2"/>
    <s v="May'25"/>
    <x v="0"/>
    <m/>
    <x v="2"/>
    <x v="3"/>
    <n v="1000"/>
    <m/>
    <x v="1"/>
    <m/>
    <m/>
    <s v="Jharkhand"/>
    <s v="TBSPL"/>
    <m/>
    <m/>
    <n v="940016"/>
    <s v="TATA BLUESCOPE STEEL PVT LTD."/>
    <n v="3930916"/>
    <s v="PPGL C Y550 ISC6 0.35BMT(0.40TPT)X1220"/>
    <n v="70"/>
    <m/>
    <m/>
    <m/>
    <m/>
    <s v="B18"/>
    <s v="Y550PL"/>
    <s v="ISC6"/>
    <n v="0.35"/>
    <n v="1220"/>
    <n v="0"/>
    <n v="56"/>
    <n v="0"/>
    <n v="56"/>
    <n v="56"/>
    <n v="56"/>
    <n v="56"/>
    <n v="0"/>
    <n v="0"/>
    <n v="0"/>
    <n v="0"/>
    <n v="0"/>
    <n v="0"/>
    <n v="0"/>
    <n v="0"/>
    <n v="0"/>
    <n v="0"/>
    <n v="0"/>
    <n v="0"/>
    <n v="0"/>
    <n v="0"/>
    <n v="0"/>
    <n v="0"/>
    <n v="0"/>
    <n v="0"/>
    <n v="0"/>
    <n v="0"/>
    <n v="0"/>
    <n v="0"/>
    <n v="0"/>
    <m/>
    <n v="0"/>
    <n v="56"/>
    <n v="0"/>
    <n v="56"/>
    <n v="0"/>
    <n v="0"/>
    <n v="0"/>
    <n v="56"/>
    <n v="0"/>
    <n v="56"/>
    <n v="0"/>
    <n v="0"/>
    <n v="0"/>
    <m/>
    <m/>
    <m/>
    <m/>
    <m/>
    <m/>
    <m/>
    <m/>
    <m/>
    <m/>
    <m/>
    <m/>
    <m/>
    <m/>
    <m/>
    <m/>
    <m/>
    <m/>
    <m/>
    <m/>
    <m/>
    <m/>
    <m/>
    <m/>
    <m/>
    <m/>
    <m/>
    <m/>
    <m/>
    <m/>
    <m/>
    <m/>
    <m/>
    <m/>
    <m/>
  </r>
  <r>
    <n v="4210"/>
    <d v="2025-03-26T00:00:00"/>
    <s v="ZBTF"/>
    <n v="9518635433"/>
    <n v="2"/>
    <s v="9518635433-2"/>
    <s v="No Priority"/>
    <x v="0"/>
    <m/>
    <x v="1"/>
    <x v="10"/>
    <n v="1000"/>
    <m/>
    <x v="0"/>
    <m/>
    <s v="Deprioritized after SPA's instruction"/>
    <s v="West Bengal"/>
    <s v="East"/>
    <m/>
    <m/>
    <n v="600250"/>
    <s v="TATA CENTRE"/>
    <n v="3855004"/>
    <s v="CR COIL TATXHS GB03 1.500X1250"/>
    <s v=""/>
    <m/>
    <m/>
    <m/>
    <m/>
    <s v="C01"/>
    <s v="TATXHS"/>
    <s v="GB03"/>
    <n v="1.5"/>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4310"/>
    <d v="2025-03-26T00:00:00"/>
    <s v="ZBTF"/>
    <n v="9518637257"/>
    <n v="2"/>
    <s v="9518637257-2"/>
    <s v="No Priority"/>
    <x v="1"/>
    <m/>
    <x v="1"/>
    <x v="10"/>
    <n v="1000"/>
    <m/>
    <x v="0"/>
    <m/>
    <m/>
    <s v="West Bengal"/>
    <s v="East"/>
    <m/>
    <m/>
    <n v="600250"/>
    <s v="TATA CENTRE"/>
    <n v="2355296"/>
    <s v="CRCA COIL SA1010 TU97 1.180X1250"/>
    <s v=""/>
    <m/>
    <m/>
    <m/>
    <m/>
    <s v="C01"/>
    <s v="SA1010"/>
    <s v="TU97"/>
    <n v="1.18"/>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4310"/>
    <d v="2025-03-26T00:00:00"/>
    <s v="ZBTF"/>
    <n v="9518637257"/>
    <n v="3"/>
    <s v="9518637257-3"/>
    <s v="No Priority"/>
    <x v="1"/>
    <m/>
    <x v="1"/>
    <x v="10"/>
    <n v="1000"/>
    <m/>
    <x v="0"/>
    <m/>
    <m/>
    <s v="West Bengal"/>
    <s v="East"/>
    <m/>
    <m/>
    <n v="600250"/>
    <s v="TATA CENTRE"/>
    <n v="3547683"/>
    <s v="CR COIL SA1010 TU97 1.450X1250"/>
    <s v=""/>
    <m/>
    <m/>
    <m/>
    <m/>
    <s v="C01"/>
    <s v="SA1010"/>
    <s v="TU97"/>
    <n v="1.45"/>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4310"/>
    <d v="2025-03-26T00:00:00"/>
    <s v="ZBTF"/>
    <n v="9518637257"/>
    <n v="4"/>
    <s v="9518637257-4"/>
    <s v="No Priority"/>
    <x v="1"/>
    <m/>
    <x v="1"/>
    <x v="10"/>
    <n v="1000"/>
    <m/>
    <x v="0"/>
    <m/>
    <m/>
    <s v="West Bengal"/>
    <s v="East"/>
    <m/>
    <m/>
    <n v="600250"/>
    <s v="TATA CENTRE"/>
    <n v="2355414"/>
    <s v="CRCA COIL SA1010 TU97 1.530X1250"/>
    <s v=""/>
    <m/>
    <m/>
    <m/>
    <m/>
    <s v="C01"/>
    <s v="SA1010"/>
    <s v="TU97"/>
    <n v="1.53"/>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8214"/>
    <d v="2025-04-03T00:00:00"/>
    <s v="ZBTF"/>
    <n v="9518667402"/>
    <n v="1"/>
    <s v="9518667402-1"/>
    <s v="No Priority"/>
    <x v="1"/>
    <m/>
    <x v="1"/>
    <x v="10"/>
    <n v="1000"/>
    <m/>
    <x v="0"/>
    <m/>
    <m/>
    <s v="West Bengal"/>
    <s v="East"/>
    <m/>
    <m/>
    <n v="600250"/>
    <s v="TATA CENTRE"/>
    <n v="3482687"/>
    <s v="CRCA SHEET TATXXD AH12 1.550X1250X2500"/>
    <s v=""/>
    <m/>
    <m/>
    <m/>
    <m/>
    <s v="C06"/>
    <s v="TATXXD"/>
    <s v="AH12"/>
    <n v="1.55"/>
    <n v="1250"/>
    <n v="2500"/>
    <n v="27"/>
    <n v="0"/>
    <n v="27"/>
    <n v="27"/>
    <n v="27"/>
    <n v="27"/>
    <n v="0"/>
    <n v="0"/>
    <n v="0"/>
    <n v="0"/>
    <n v="0"/>
    <n v="0"/>
    <n v="0"/>
    <n v="0"/>
    <n v="0"/>
    <n v="0"/>
    <n v="0"/>
    <n v="0"/>
    <n v="0"/>
    <n v="0"/>
    <n v="0"/>
    <n v="0"/>
    <n v="0"/>
    <n v="0"/>
    <n v="0"/>
    <n v="0"/>
    <n v="0"/>
    <n v="0"/>
    <n v="0"/>
    <m/>
    <n v="0"/>
    <n v="0"/>
    <n v="0"/>
    <n v="0"/>
    <n v="0"/>
    <n v="0"/>
    <n v="0"/>
    <n v="0"/>
    <n v="0"/>
    <n v="0"/>
    <n v="0"/>
    <n v="0"/>
    <n v="0"/>
    <m/>
    <m/>
    <m/>
    <m/>
    <m/>
    <m/>
    <m/>
    <m/>
    <m/>
    <m/>
    <m/>
    <m/>
    <m/>
    <m/>
    <m/>
    <m/>
    <m/>
    <m/>
    <m/>
    <m/>
    <m/>
    <m/>
    <m/>
    <m/>
    <m/>
    <m/>
    <m/>
    <m/>
    <m/>
    <m/>
    <m/>
    <m/>
    <m/>
    <m/>
    <m/>
  </r>
  <r>
    <n v="742"/>
    <d v="2025-03-31T00:00:00"/>
    <s v="ZBTO"/>
    <n v="9518661095"/>
    <n v="2"/>
    <s v="9518661095-2"/>
    <s v="No Priority"/>
    <x v="0"/>
    <m/>
    <x v="1"/>
    <x v="11"/>
    <n v="2000"/>
    <m/>
    <x v="0"/>
    <m/>
    <m/>
    <s v="Maharashtra"/>
    <s v="West"/>
    <m/>
    <m/>
    <n v="154641"/>
    <s v="TATA STEEL DOWNSTREAM PRODUCTS"/>
    <n v="3532322"/>
    <s v="CR COIL TATXXD AH03 1X1320"/>
    <s v=""/>
    <m/>
    <m/>
    <m/>
    <m/>
    <s v="C01"/>
    <s v="TATXXD"/>
    <s v="AH03"/>
    <n v="1"/>
    <n v="1320"/>
    <n v="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3-31T00:00:00"/>
    <s v="ZBTO"/>
    <n v="9518661103"/>
    <n v="1"/>
    <s v="9518661103-1"/>
    <s v="No Priority"/>
    <x v="0"/>
    <m/>
    <x v="1"/>
    <x v="11"/>
    <n v="2000"/>
    <m/>
    <x v="0"/>
    <m/>
    <m/>
    <s v="Maharashtra"/>
    <s v="West"/>
    <m/>
    <m/>
    <n v="154641"/>
    <s v="TATA STEEL DOWNSTREAM PRODUCTS"/>
    <n v="3532323"/>
    <s v="CR COIL TATXXD AH03 1.200X1320"/>
    <s v=""/>
    <m/>
    <m/>
    <m/>
    <m/>
    <s v="C01"/>
    <s v="TATXXD"/>
    <s v="AH03"/>
    <n v="1.2"/>
    <n v="1320"/>
    <n v="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4-07T00:00:00"/>
    <s v="ZBTO"/>
    <n v="9518674992"/>
    <n v="3"/>
    <s v="9518674992-3"/>
    <s v="No Priority"/>
    <x v="0"/>
    <m/>
    <x v="1"/>
    <x v="1"/>
    <n v="2000"/>
    <m/>
    <x v="0"/>
    <m/>
    <m/>
    <s v="Karnataka"/>
    <s v="South"/>
    <m/>
    <m/>
    <n v="939268"/>
    <s v="TATA STEEL DOWNSTREAM PRODUCTS"/>
    <n v="1801022"/>
    <s v="CRCA COIL-TATXXD-AU03-0.45X1250"/>
    <s v=""/>
    <m/>
    <m/>
    <m/>
    <m/>
    <s v="C01"/>
    <s v="TATXXD"/>
    <s v="AU03"/>
    <n v="0.45"/>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4-08T00:00:00"/>
    <s v="ZBTO"/>
    <n v="9518677311"/>
    <n v="1"/>
    <s v="9518677311-1"/>
    <s v="No Priority"/>
    <x v="0"/>
    <m/>
    <x v="1"/>
    <x v="15"/>
    <n v="3000"/>
    <m/>
    <x v="0"/>
    <m/>
    <m/>
    <s v="Tamil Nadu"/>
    <s v="South"/>
    <m/>
    <m/>
    <n v="157501"/>
    <s v="TATA STEEL DOWNSTREAM PRODUCTS"/>
    <n v="1804701"/>
    <s v="CRCA COIL-TATXXD-AU14-1.6X1250"/>
    <s v=""/>
    <m/>
    <m/>
    <m/>
    <m/>
    <s v="C01"/>
    <s v="TATXXD"/>
    <s v="AU14"/>
    <n v="1.6"/>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4-08T00:00:00"/>
    <s v="ZBTO"/>
    <n v="9518677311"/>
    <n v="2"/>
    <s v="9518677311-2"/>
    <s v="No Priority"/>
    <x v="0"/>
    <m/>
    <x v="1"/>
    <x v="15"/>
    <n v="3000"/>
    <m/>
    <x v="0"/>
    <m/>
    <m/>
    <s v="Tamil Nadu"/>
    <s v="South"/>
    <m/>
    <m/>
    <n v="157501"/>
    <s v="TATA STEEL DOWNSTREAM PRODUCTS"/>
    <n v="26120"/>
    <s v="CRCOIL C01 DQ TATXXD AU14 2.50 X 1250"/>
    <s v=""/>
    <m/>
    <m/>
    <m/>
    <m/>
    <s v="C01"/>
    <s v="TATXXD"/>
    <s v="AU14"/>
    <n v="2.5"/>
    <n v="1250"/>
    <n v="0"/>
    <n v="290"/>
    <n v="0"/>
    <n v="290"/>
    <n v="290"/>
    <n v="290"/>
    <n v="290"/>
    <n v="0"/>
    <n v="0"/>
    <n v="0"/>
    <n v="0"/>
    <n v="0"/>
    <n v="0"/>
    <n v="0"/>
    <n v="0"/>
    <n v="0"/>
    <n v="0"/>
    <n v="0"/>
    <n v="0"/>
    <n v="0"/>
    <n v="0"/>
    <n v="0"/>
    <n v="0"/>
    <n v="0"/>
    <n v="0"/>
    <n v="0"/>
    <n v="0"/>
    <n v="0"/>
    <n v="0"/>
    <n v="0"/>
    <m/>
    <n v="0"/>
    <n v="0"/>
    <n v="0"/>
    <n v="0"/>
    <n v="0"/>
    <n v="0"/>
    <n v="0"/>
    <n v="0"/>
    <n v="0"/>
    <n v="0"/>
    <n v="0"/>
    <n v="0"/>
    <n v="0"/>
    <m/>
    <m/>
    <m/>
    <m/>
    <m/>
    <m/>
    <m/>
    <m/>
    <m/>
    <m/>
    <m/>
    <m/>
    <m/>
    <m/>
    <m/>
    <m/>
    <m/>
    <m/>
    <m/>
    <m/>
    <m/>
    <m/>
    <m/>
    <m/>
    <m/>
    <m/>
    <m/>
    <m/>
    <m/>
    <m/>
    <m/>
    <m/>
    <m/>
    <m/>
    <m/>
  </r>
  <r>
    <n v="742"/>
    <d v="2025-04-11T00:00:00"/>
    <s v="ZBTO"/>
    <n v="9518685272"/>
    <n v="1"/>
    <s v="9518685272-1"/>
    <s v="No Priority"/>
    <x v="0"/>
    <m/>
    <x v="1"/>
    <x v="1"/>
    <n v="2000"/>
    <m/>
    <x v="0"/>
    <m/>
    <m/>
    <s v="Karnataka"/>
    <s v="South"/>
    <m/>
    <m/>
    <n v="939268"/>
    <s v="TATA STEEL DOWNSTREAM PRODUCTS"/>
    <n v="185675"/>
    <s v="CRCA COIL-TATXXD-AU03-0.5X1250"/>
    <s v=""/>
    <m/>
    <m/>
    <m/>
    <m/>
    <s v="C01"/>
    <s v="TATXXD"/>
    <s v="AU03"/>
    <n v="0.5"/>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382"/>
    <n v="1"/>
    <s v="9518696382-1"/>
    <s v="No Priority"/>
    <x v="1"/>
    <m/>
    <x v="1"/>
    <x v="1"/>
    <n v="2000"/>
    <m/>
    <x v="0"/>
    <m/>
    <m/>
    <s v="West Bengal"/>
    <s v="East"/>
    <m/>
    <m/>
    <n v="155536"/>
    <s v="TATA STEEL DOWNSTREAM PRODUCTS"/>
    <n v="2396820"/>
    <s v="CRCA COIL TATCRC TR15 0.700X1120"/>
    <s v=""/>
    <m/>
    <m/>
    <m/>
    <m/>
    <s v="C01"/>
    <s v="TATCRC"/>
    <s v="TR15"/>
    <n v="0.7"/>
    <n v="1120"/>
    <n v="0"/>
    <n v="26"/>
    <n v="0"/>
    <n v="26"/>
    <n v="26"/>
    <n v="26"/>
    <n v="26"/>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382"/>
    <n v="2"/>
    <s v="9518696382-2"/>
    <s v="No Priority"/>
    <x v="1"/>
    <m/>
    <x v="1"/>
    <x v="1"/>
    <n v="2000"/>
    <m/>
    <x v="0"/>
    <m/>
    <m/>
    <s v="West Bengal"/>
    <s v="East"/>
    <m/>
    <m/>
    <n v="155536"/>
    <s v="TATA STEEL DOWNSTREAM PRODUCTS"/>
    <n v="1804907"/>
    <s v="CRCA COIL-TATCRC-TR15-0.5X1120"/>
    <s v=""/>
    <m/>
    <m/>
    <m/>
    <m/>
    <s v="C01"/>
    <s v="TATCRC"/>
    <s v="TR15"/>
    <n v="0.5"/>
    <n v="1120"/>
    <n v="0"/>
    <n v="52"/>
    <n v="0"/>
    <n v="52"/>
    <n v="52"/>
    <n v="52"/>
    <n v="52"/>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382"/>
    <n v="3"/>
    <s v="9518696382-3"/>
    <s v="No Priority"/>
    <x v="1"/>
    <m/>
    <x v="1"/>
    <x v="1"/>
    <n v="2000"/>
    <m/>
    <x v="0"/>
    <m/>
    <m/>
    <s v="West Bengal"/>
    <s v="East"/>
    <m/>
    <m/>
    <n v="155536"/>
    <s v="TATA STEEL DOWNSTREAM PRODUCTS"/>
    <n v="2396817"/>
    <s v="CRCA COIL TATCRC TR15 0.600X1120"/>
    <s v=""/>
    <m/>
    <m/>
    <m/>
    <m/>
    <s v="C01"/>
    <s v="TATCRC"/>
    <s v="TR15"/>
    <n v="0.6"/>
    <n v="1120"/>
    <n v="0"/>
    <n v="52"/>
    <n v="0"/>
    <n v="52"/>
    <n v="52"/>
    <n v="52"/>
    <n v="52"/>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382"/>
    <n v="4"/>
    <s v="9518696382-4"/>
    <s v="May'25"/>
    <x v="0"/>
    <m/>
    <x v="1"/>
    <x v="1"/>
    <n v="2000"/>
    <m/>
    <x v="1"/>
    <m/>
    <m/>
    <s v="West Bengal"/>
    <s v="East"/>
    <m/>
    <m/>
    <n v="155536"/>
    <s v="TATA STEEL DOWNSTREAM PRODUCTS"/>
    <n v="187518"/>
    <s v="CR COIL-ICF  DQ TATXXD AU03 0.90 X 1250"/>
    <s v=""/>
    <m/>
    <m/>
    <m/>
    <m/>
    <s v="C01"/>
    <s v="TATXXD"/>
    <s v="AU03"/>
    <n v="0"/>
    <n v="0"/>
    <n v="0"/>
    <n v="58"/>
    <n v="0"/>
    <n v="58"/>
    <n v="58"/>
    <n v="3.2399999999999949"/>
    <n v="58"/>
    <n v="0"/>
    <n v="0"/>
    <n v="0"/>
    <n v="0"/>
    <n v="0"/>
    <n v="0"/>
    <n v="0"/>
    <n v="0"/>
    <n v="0"/>
    <n v="0"/>
    <n v="0"/>
    <n v="0"/>
    <n v="27.28"/>
    <n v="27.48"/>
    <n v="0"/>
    <n v="0"/>
    <n v="0"/>
    <n v="0"/>
    <n v="0"/>
    <n v="54.760000000000005"/>
    <n v="54.760000000000005"/>
    <n v="0"/>
    <n v="54.760000000000005"/>
    <m/>
    <n v="0"/>
    <n v="58"/>
    <n v="0"/>
    <n v="58"/>
    <n v="0"/>
    <n v="0"/>
    <n v="0"/>
    <n v="58"/>
    <n v="0"/>
    <n v="58"/>
    <n v="0"/>
    <n v="0"/>
    <n v="0"/>
    <m/>
    <m/>
    <m/>
    <m/>
    <m/>
    <m/>
    <m/>
    <m/>
    <m/>
    <m/>
    <m/>
    <m/>
    <m/>
    <m/>
    <m/>
    <m/>
    <m/>
    <m/>
    <m/>
    <m/>
    <m/>
    <m/>
    <m/>
    <m/>
    <m/>
    <m/>
    <m/>
    <m/>
    <m/>
    <m/>
    <m/>
    <m/>
    <m/>
    <m/>
    <m/>
  </r>
  <r>
    <n v="742"/>
    <d v="2025-04-16T00:00:00"/>
    <s v="ZBTO"/>
    <n v="9518696382"/>
    <n v="5"/>
    <s v="9518696382-5"/>
    <s v="No Priority"/>
    <x v="0"/>
    <m/>
    <x v="1"/>
    <x v="1"/>
    <n v="2000"/>
    <m/>
    <x v="0"/>
    <m/>
    <m/>
    <s v="West Bengal"/>
    <s v="East"/>
    <m/>
    <m/>
    <n v="155536"/>
    <s v="TATA STEEL DOWNSTREAM PRODUCTS"/>
    <n v="185675"/>
    <s v="CRCA COIL-TATXXD-AU03-0.5X1250"/>
    <s v=""/>
    <m/>
    <m/>
    <m/>
    <m/>
    <s v="C01"/>
    <s v="TATXXD"/>
    <s v="AU03"/>
    <n v="0.5"/>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382"/>
    <n v="6"/>
    <s v="9518696382-6"/>
    <s v="No Priority"/>
    <x v="0"/>
    <m/>
    <x v="1"/>
    <x v="11"/>
    <n v="2000"/>
    <m/>
    <x v="0"/>
    <m/>
    <m/>
    <s v="West Bengal"/>
    <s v="East"/>
    <m/>
    <m/>
    <n v="155536"/>
    <s v="TATA STEEL DOWNSTREAM PRODUCTS"/>
    <n v="2420522"/>
    <s v="CRCA COIL TATXXD AH03 1.500X1250"/>
    <s v=""/>
    <m/>
    <m/>
    <m/>
    <m/>
    <s v="C01"/>
    <s v="TATXXD"/>
    <s v="AH03"/>
    <n v="1.5"/>
    <n v="1250"/>
    <n v="0"/>
    <n v="116"/>
    <n v="0"/>
    <n v="116"/>
    <n v="116"/>
    <n v="116"/>
    <n v="89.474999999999994"/>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382"/>
    <n v="7"/>
    <s v="9518696382-7"/>
    <s v="No Priority"/>
    <x v="1"/>
    <m/>
    <x v="1"/>
    <x v="11"/>
    <n v="2000"/>
    <m/>
    <x v="0"/>
    <m/>
    <m/>
    <s v="West Bengal"/>
    <s v="East"/>
    <m/>
    <m/>
    <n v="155536"/>
    <s v="TATA STEEL DOWNSTREAM PRODUCTS"/>
    <n v="2420525"/>
    <s v="CRCA COIL TATXXD AH03 2X1250"/>
    <s v=""/>
    <m/>
    <m/>
    <m/>
    <m/>
    <s v="C01"/>
    <s v="TATXXD"/>
    <s v="AH03"/>
    <n v="2"/>
    <n v="1250"/>
    <n v="0"/>
    <n v="145"/>
    <n v="0"/>
    <n v="145"/>
    <n v="145"/>
    <n v="145"/>
    <n v="145"/>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382"/>
    <n v="8"/>
    <s v="9518696382-8"/>
    <s v="No Priority"/>
    <x v="1"/>
    <m/>
    <x v="1"/>
    <x v="11"/>
    <n v="2000"/>
    <m/>
    <x v="0"/>
    <m/>
    <m/>
    <s v="West Bengal"/>
    <s v="East"/>
    <m/>
    <m/>
    <n v="155536"/>
    <s v="TATA STEEL DOWNSTREAM PRODUCTS"/>
    <n v="2420540"/>
    <s v="CRCA COIL TATXXD AH03 2.500X1250"/>
    <s v=""/>
    <m/>
    <m/>
    <m/>
    <m/>
    <s v="C01"/>
    <s v="TATXXD"/>
    <s v="AH03"/>
    <n v="2.5"/>
    <n v="1250"/>
    <n v="0"/>
    <n v="145"/>
    <n v="0"/>
    <n v="145"/>
    <n v="145"/>
    <n v="145"/>
    <n v="145"/>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382"/>
    <n v="9"/>
    <s v="9518696382-9"/>
    <s v="No Priority"/>
    <x v="0"/>
    <m/>
    <x v="1"/>
    <x v="11"/>
    <n v="2000"/>
    <m/>
    <x v="0"/>
    <m/>
    <m/>
    <s v="West Bengal"/>
    <s v="East"/>
    <m/>
    <m/>
    <n v="155536"/>
    <s v="TATA STEEL DOWNSTREAM PRODUCTS"/>
    <n v="2420521"/>
    <s v="CRCA COIL TATXXD AH03 1.200X1250"/>
    <s v=""/>
    <m/>
    <m/>
    <m/>
    <m/>
    <s v="C01"/>
    <s v="TATXXD"/>
    <s v="AH03"/>
    <n v="1.2"/>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6382"/>
    <n v="10"/>
    <s v="9518696382-10"/>
    <s v="No Priority"/>
    <x v="0"/>
    <m/>
    <x v="1"/>
    <x v="11"/>
    <n v="2000"/>
    <m/>
    <x v="0"/>
    <m/>
    <m/>
    <s v="West Bengal"/>
    <s v="East"/>
    <m/>
    <m/>
    <n v="155536"/>
    <s v="TATA STEEL DOWNSTREAM PRODUCTS"/>
    <n v="2420516"/>
    <s v="CRCA COIL TATXXD AH03 0.900X1250"/>
    <s v=""/>
    <m/>
    <m/>
    <m/>
    <m/>
    <s v="C01"/>
    <s v="TATXXD"/>
    <s v="AH03"/>
    <n v="0.9"/>
    <n v="1250"/>
    <n v="0"/>
    <n v="58"/>
    <n v="0"/>
    <n v="58"/>
    <n v="58"/>
    <n v="30.419999999999998"/>
    <n v="58"/>
    <n v="0"/>
    <n v="0"/>
    <n v="0"/>
    <n v="0"/>
    <n v="0"/>
    <n v="0"/>
    <n v="0"/>
    <n v="0"/>
    <n v="0"/>
    <n v="0"/>
    <n v="0"/>
    <n v="0"/>
    <n v="27.580000000000002"/>
    <n v="0"/>
    <n v="0"/>
    <n v="0"/>
    <n v="0"/>
    <n v="0"/>
    <n v="0"/>
    <n v="27.580000000000002"/>
    <n v="27.580000000000002"/>
    <n v="0"/>
    <n v="27.580000000000002"/>
    <m/>
    <n v="0"/>
    <n v="0"/>
    <n v="0"/>
    <n v="0"/>
    <n v="0"/>
    <n v="0"/>
    <n v="0"/>
    <n v="0"/>
    <n v="0"/>
    <n v="0"/>
    <n v="0"/>
    <n v="0"/>
    <n v="0"/>
    <m/>
    <m/>
    <m/>
    <m/>
    <m/>
    <m/>
    <m/>
    <m/>
    <m/>
    <m/>
    <m/>
    <m/>
    <m/>
    <m/>
    <m/>
    <m/>
    <m/>
    <m/>
    <m/>
    <m/>
    <m/>
    <m/>
    <m/>
    <m/>
    <m/>
    <m/>
    <m/>
    <m/>
    <m/>
    <m/>
    <m/>
    <m/>
    <m/>
    <m/>
    <m/>
  </r>
  <r>
    <n v="742"/>
    <d v="2025-04-16T00:00:00"/>
    <s v="ZBTO"/>
    <n v="9518696382"/>
    <n v="11"/>
    <s v="9518696382-11"/>
    <s v="No Priority"/>
    <x v="1"/>
    <m/>
    <x v="1"/>
    <x v="11"/>
    <n v="2000"/>
    <m/>
    <x v="0"/>
    <m/>
    <m/>
    <s v="West Bengal"/>
    <s v="East"/>
    <m/>
    <m/>
    <n v="155536"/>
    <s v="TATA STEEL DOWNSTREAM PRODUCTS"/>
    <n v="2420523"/>
    <s v="CRCA COIL TATXXD AH03 1.600X1250"/>
    <s v=""/>
    <m/>
    <m/>
    <m/>
    <m/>
    <s v="C01"/>
    <s v="TATXXD"/>
    <s v="AH03"/>
    <n v="1.6"/>
    <n v="1250"/>
    <n v="0"/>
    <n v="87"/>
    <n v="0"/>
    <n v="87"/>
    <n v="87"/>
    <n v="87"/>
    <n v="87"/>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7965"/>
    <n v="1"/>
    <s v="9518697965-1"/>
    <s v="May'25"/>
    <x v="0"/>
    <m/>
    <x v="0"/>
    <x v="0"/>
    <n v="2000"/>
    <m/>
    <x v="1"/>
    <m/>
    <m/>
    <s v="Karnataka"/>
    <s v="South"/>
    <m/>
    <m/>
    <n v="939268"/>
    <s v="TATA STEEL DOWNSTREAM PRODUCTS"/>
    <n v="1210083"/>
    <s v="HR COILS-PO IS 1079 HR2 2X1250"/>
    <s v=""/>
    <m/>
    <m/>
    <m/>
    <m/>
    <n v="768"/>
    <s v="THR099"/>
    <s v="HR99"/>
    <n v="2"/>
    <n v="1250"/>
    <n v="0"/>
    <n v="125"/>
    <n v="0"/>
    <n v="125"/>
    <n v="125"/>
    <n v="125"/>
    <n v="106.69499999999999"/>
    <n v="0"/>
    <n v="0"/>
    <n v="0"/>
    <n v="0"/>
    <n v="0"/>
    <n v="0"/>
    <n v="0"/>
    <n v="0"/>
    <n v="0"/>
    <n v="0"/>
    <n v="0"/>
    <n v="0"/>
    <n v="0"/>
    <n v="0"/>
    <n v="0"/>
    <n v="0"/>
    <n v="0"/>
    <n v="0"/>
    <n v="0"/>
    <n v="0"/>
    <n v="0"/>
    <n v="0"/>
    <n v="0"/>
    <m/>
    <n v="18.305"/>
    <n v="106.69499999999999"/>
    <n v="0"/>
    <n v="0"/>
    <n v="106.69499999999999"/>
    <n v="0"/>
    <n v="0"/>
    <n v="0"/>
    <n v="0"/>
    <n v="0"/>
    <n v="0"/>
    <n v="0"/>
    <n v="0"/>
    <m/>
    <m/>
    <m/>
    <m/>
    <m/>
    <m/>
    <m/>
    <m/>
    <m/>
    <m/>
    <m/>
    <m/>
    <m/>
    <m/>
    <m/>
    <m/>
    <m/>
    <m/>
    <m/>
    <m/>
    <m/>
    <m/>
    <m/>
    <m/>
    <m/>
    <m/>
    <m/>
    <m/>
    <m/>
    <m/>
    <m/>
    <m/>
    <m/>
    <m/>
    <m/>
  </r>
  <r>
    <n v="742"/>
    <d v="2025-04-16T00:00:00"/>
    <s v="ZBTO"/>
    <n v="9518697965"/>
    <n v="2"/>
    <s v="9518697965-2"/>
    <s v="May'25"/>
    <x v="0"/>
    <m/>
    <x v="0"/>
    <x v="0"/>
    <n v="2000"/>
    <m/>
    <x v="1"/>
    <m/>
    <m/>
    <s v="Karnataka"/>
    <s v="South"/>
    <m/>
    <m/>
    <n v="939268"/>
    <s v="TATA STEEL DOWNSTREAM PRODUCTS"/>
    <n v="1371338"/>
    <s v="HR COILS-PO IS 1079 HR2 2.30X1250"/>
    <s v=""/>
    <m/>
    <m/>
    <m/>
    <m/>
    <n v="768"/>
    <s v="THR099"/>
    <s v="HR99"/>
    <n v="2.2999999999999998"/>
    <n v="1250"/>
    <n v="0"/>
    <n v="50"/>
    <n v="0"/>
    <n v="50"/>
    <n v="50"/>
    <n v="50"/>
    <n v="50"/>
    <n v="0"/>
    <n v="0"/>
    <n v="0"/>
    <n v="0"/>
    <n v="0"/>
    <n v="0"/>
    <n v="0"/>
    <n v="0"/>
    <n v="0"/>
    <n v="0"/>
    <n v="0"/>
    <n v="0"/>
    <n v="0"/>
    <n v="0"/>
    <n v="0"/>
    <n v="0"/>
    <n v="0"/>
    <n v="0"/>
    <n v="0"/>
    <n v="0"/>
    <n v="0"/>
    <n v="0"/>
    <n v="0"/>
    <m/>
    <n v="0"/>
    <n v="50"/>
    <n v="0"/>
    <n v="0"/>
    <n v="0"/>
    <n v="50"/>
    <n v="0"/>
    <n v="0"/>
    <n v="0"/>
    <n v="0"/>
    <n v="0"/>
    <n v="0"/>
    <n v="0"/>
    <m/>
    <m/>
    <m/>
    <m/>
    <m/>
    <m/>
    <m/>
    <m/>
    <m/>
    <m/>
    <m/>
    <m/>
    <m/>
    <m/>
    <m/>
    <m/>
    <m/>
    <m/>
    <m/>
    <m/>
    <m/>
    <m/>
    <m/>
    <m/>
    <m/>
    <m/>
    <m/>
    <m/>
    <m/>
    <m/>
    <m/>
    <m/>
    <m/>
    <m/>
    <m/>
  </r>
  <r>
    <n v="742"/>
    <d v="2025-04-16T00:00:00"/>
    <s v="ZBTO"/>
    <n v="9518697965"/>
    <n v="3"/>
    <s v="9518697965-3"/>
    <s v="May'25"/>
    <x v="0"/>
    <m/>
    <x v="0"/>
    <x v="0"/>
    <n v="2000"/>
    <m/>
    <x v="1"/>
    <m/>
    <m/>
    <s v="Karnataka"/>
    <s v="South"/>
    <m/>
    <m/>
    <n v="939268"/>
    <s v="TATA STEEL DOWNSTREAM PRODUCTS"/>
    <n v="1250221"/>
    <s v="HR COILS-PO IS 1079 HR2 2.50X1250"/>
    <s v=""/>
    <m/>
    <m/>
    <m/>
    <m/>
    <n v="768"/>
    <s v="THR099"/>
    <s v="HR99"/>
    <n v="0"/>
    <n v="0"/>
    <n v="0"/>
    <n v="25"/>
    <n v="0"/>
    <n v="25"/>
    <n v="25"/>
    <n v="25"/>
    <n v="25"/>
    <n v="0"/>
    <n v="0"/>
    <n v="0"/>
    <n v="0"/>
    <n v="0"/>
    <n v="0"/>
    <n v="0"/>
    <n v="0"/>
    <n v="0"/>
    <n v="0"/>
    <n v="0"/>
    <n v="0"/>
    <n v="0"/>
    <n v="0"/>
    <n v="0"/>
    <n v="0"/>
    <n v="0"/>
    <n v="0"/>
    <n v="0"/>
    <n v="0"/>
    <n v="0"/>
    <n v="0"/>
    <n v="0"/>
    <m/>
    <n v="0"/>
    <n v="25"/>
    <n v="0"/>
    <n v="25"/>
    <n v="0"/>
    <n v="0"/>
    <n v="0"/>
    <n v="25"/>
    <n v="0"/>
    <n v="25"/>
    <n v="0"/>
    <n v="0"/>
    <n v="0"/>
    <m/>
    <m/>
    <m/>
    <m/>
    <m/>
    <m/>
    <m/>
    <m/>
    <m/>
    <m/>
    <m/>
    <m/>
    <m/>
    <m/>
    <m/>
    <m/>
    <m/>
    <m/>
    <m/>
    <m/>
    <m/>
    <m/>
    <m/>
    <m/>
    <m/>
    <m/>
    <m/>
    <m/>
    <m/>
    <m/>
    <m/>
    <m/>
    <m/>
    <m/>
    <m/>
  </r>
  <r>
    <n v="742"/>
    <d v="2025-04-16T00:00:00"/>
    <s v="ZBTO"/>
    <n v="9518697965"/>
    <n v="5"/>
    <s v="9518697965-5"/>
    <s v="May'25"/>
    <x v="0"/>
    <m/>
    <x v="0"/>
    <x v="0"/>
    <n v="2000"/>
    <m/>
    <x v="1"/>
    <m/>
    <m/>
    <s v="Karnataka"/>
    <s v="South"/>
    <m/>
    <m/>
    <n v="939268"/>
    <s v="TATA STEEL DOWNSTREAM PRODUCTS"/>
    <n v="1294719"/>
    <s v="HR COILS-POIS 1079 HR2  2.90X1250"/>
    <s v=""/>
    <m/>
    <m/>
    <m/>
    <m/>
    <n v="768"/>
    <s v="THR099"/>
    <s v="HR99"/>
    <n v="2.9"/>
    <n v="1250"/>
    <n v="0"/>
    <n v="50"/>
    <n v="0"/>
    <n v="50"/>
    <n v="50"/>
    <n v="50"/>
    <n v="50"/>
    <n v="0"/>
    <n v="0"/>
    <n v="0"/>
    <n v="0"/>
    <n v="0"/>
    <n v="0"/>
    <n v="0"/>
    <n v="0"/>
    <n v="0"/>
    <n v="0"/>
    <n v="0"/>
    <n v="0"/>
    <n v="0"/>
    <n v="0"/>
    <n v="0"/>
    <n v="0"/>
    <n v="0"/>
    <n v="0"/>
    <n v="0"/>
    <n v="0"/>
    <n v="0"/>
    <n v="0"/>
    <n v="0"/>
    <m/>
    <n v="0"/>
    <n v="50"/>
    <n v="0"/>
    <n v="0"/>
    <n v="0"/>
    <n v="50"/>
    <n v="0"/>
    <n v="0"/>
    <n v="0"/>
    <n v="0"/>
    <n v="0"/>
    <n v="0"/>
    <n v="0"/>
    <m/>
    <m/>
    <m/>
    <m/>
    <m/>
    <m/>
    <m/>
    <m/>
    <m/>
    <m/>
    <m/>
    <m/>
    <m/>
    <m/>
    <m/>
    <m/>
    <m/>
    <m/>
    <m/>
    <m/>
    <m/>
    <m/>
    <m/>
    <m/>
    <m/>
    <m/>
    <m/>
    <m/>
    <m/>
    <m/>
    <m/>
    <m/>
    <m/>
    <m/>
    <m/>
  </r>
  <r>
    <n v="742"/>
    <d v="2025-04-16T00:00:00"/>
    <s v="ZBTO"/>
    <n v="9518697965"/>
    <n v="6"/>
    <s v="9518697965-6"/>
    <s v="May'25"/>
    <x v="0"/>
    <m/>
    <x v="0"/>
    <x v="0"/>
    <n v="2000"/>
    <m/>
    <x v="1"/>
    <m/>
    <m/>
    <s v="Karnataka"/>
    <s v="South"/>
    <m/>
    <m/>
    <n v="939268"/>
    <s v="TATA STEEL DOWNSTREAM PRODUCTS"/>
    <n v="1252834"/>
    <s v="HR COILS-PO IS 1079 HR2 3.0X1250"/>
    <s v=""/>
    <m/>
    <m/>
    <m/>
    <m/>
    <n v="768"/>
    <s v="THR099"/>
    <s v="HR99"/>
    <n v="3"/>
    <n v="1250"/>
    <n v="0"/>
    <n v="75"/>
    <n v="0"/>
    <n v="75"/>
    <n v="75"/>
    <n v="9.0600000000000023"/>
    <n v="75"/>
    <n v="0"/>
    <n v="0"/>
    <n v="65.94"/>
    <n v="0"/>
    <n v="0"/>
    <n v="0"/>
    <n v="0"/>
    <n v="0"/>
    <n v="0"/>
    <n v="0"/>
    <n v="0"/>
    <n v="0"/>
    <n v="0"/>
    <n v="0"/>
    <n v="0"/>
    <n v="0"/>
    <n v="0"/>
    <n v="0"/>
    <n v="0"/>
    <n v="65.94"/>
    <n v="65.94"/>
    <n v="0"/>
    <n v="65.94"/>
    <m/>
    <n v="0"/>
    <n v="75"/>
    <n v="75"/>
    <n v="0"/>
    <n v="0"/>
    <n v="0"/>
    <n v="0"/>
    <n v="0"/>
    <n v="0"/>
    <n v="0"/>
    <n v="0"/>
    <n v="0"/>
    <n v="0"/>
    <m/>
    <m/>
    <m/>
    <m/>
    <m/>
    <m/>
    <m/>
    <m/>
    <m/>
    <m/>
    <m/>
    <m/>
    <m/>
    <m/>
    <m/>
    <m/>
    <m/>
    <m/>
    <m/>
    <m/>
    <m/>
    <m/>
    <m/>
    <m/>
    <m/>
    <m/>
    <m/>
    <m/>
    <m/>
    <m/>
    <m/>
    <m/>
    <m/>
    <m/>
    <m/>
  </r>
  <r>
    <n v="742"/>
    <d v="2025-04-16T00:00:00"/>
    <s v="ZBTO"/>
    <n v="9518698036"/>
    <n v="1"/>
    <s v="9518698036-1"/>
    <s v="No Priority"/>
    <x v="0"/>
    <m/>
    <x v="1"/>
    <x v="1"/>
    <n v="2000"/>
    <m/>
    <x v="0"/>
    <m/>
    <m/>
    <s v="Tamil Nadu"/>
    <s v="South"/>
    <m/>
    <m/>
    <n v="822271"/>
    <s v="TATA STEEL DOWNSTREAM PRODUCTS"/>
    <n v="1804772"/>
    <s v="CRCA COIL TATXXD AU03 0.4X1250"/>
    <s v=""/>
    <m/>
    <m/>
    <m/>
    <m/>
    <s v="C01"/>
    <s v="TATXXD"/>
    <s v="AU03"/>
    <n v="0.4"/>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8036"/>
    <n v="3"/>
    <s v="9518698036-3"/>
    <s v="No Priority"/>
    <x v="0"/>
    <m/>
    <x v="1"/>
    <x v="1"/>
    <n v="2000"/>
    <m/>
    <x v="0"/>
    <m/>
    <m/>
    <s v="Tamil Nadu"/>
    <s v="South"/>
    <m/>
    <m/>
    <n v="822271"/>
    <s v="TATA STEEL DOWNSTREAM PRODUCTS"/>
    <n v="185675"/>
    <s v="CRCA COIL-TATXXD-AU03-0.5X1250"/>
    <s v=""/>
    <m/>
    <m/>
    <m/>
    <m/>
    <s v="C01"/>
    <s v="TATXXD"/>
    <s v="AU03"/>
    <n v="0.5"/>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8036"/>
    <n v="4"/>
    <s v="9518698036-4"/>
    <s v="No Priority"/>
    <x v="0"/>
    <m/>
    <x v="1"/>
    <x v="1"/>
    <n v="2000"/>
    <m/>
    <x v="0"/>
    <m/>
    <m/>
    <s v="Tamil Nadu"/>
    <s v="South"/>
    <m/>
    <m/>
    <n v="822271"/>
    <s v="TATA STEEL DOWNSTREAM PRODUCTS"/>
    <n v="1804814"/>
    <s v="CRCA COIL TATXXD AU03 0.8X1250"/>
    <s v=""/>
    <m/>
    <m/>
    <m/>
    <m/>
    <s v="C01"/>
    <s v="TATXXD"/>
    <s v="AU03"/>
    <n v="0.8"/>
    <n v="1250"/>
    <n v="0"/>
    <n v="116"/>
    <n v="0"/>
    <n v="116"/>
    <n v="116"/>
    <n v="94.13"/>
    <n v="116"/>
    <n v="0"/>
    <n v="0"/>
    <n v="21.87"/>
    <n v="0"/>
    <n v="0"/>
    <n v="0"/>
    <n v="0"/>
    <n v="0"/>
    <n v="0"/>
    <n v="0"/>
    <n v="0"/>
    <n v="0"/>
    <n v="0"/>
    <n v="0"/>
    <n v="0"/>
    <n v="0"/>
    <n v="0"/>
    <n v="0"/>
    <n v="0"/>
    <n v="21.87"/>
    <n v="21.87"/>
    <n v="0"/>
    <n v="21.87"/>
    <m/>
    <n v="0"/>
    <n v="0"/>
    <n v="0"/>
    <n v="0"/>
    <n v="0"/>
    <n v="0"/>
    <n v="0"/>
    <n v="0"/>
    <n v="0"/>
    <n v="0"/>
    <n v="0"/>
    <n v="0"/>
    <n v="0"/>
    <m/>
    <m/>
    <m/>
    <m/>
    <m/>
    <m/>
    <m/>
    <m/>
    <m/>
    <m/>
    <m/>
    <m/>
    <m/>
    <m/>
    <m/>
    <m/>
    <m/>
    <m/>
    <m/>
    <m/>
    <m/>
    <m/>
    <m/>
    <m/>
    <m/>
    <m/>
    <m/>
    <m/>
    <m/>
    <m/>
    <m/>
    <m/>
    <m/>
    <m/>
    <m/>
  </r>
  <r>
    <n v="742"/>
    <d v="2025-04-16T00:00:00"/>
    <s v="ZBTO"/>
    <n v="9518698036"/>
    <n v="5"/>
    <s v="9518698036-5"/>
    <s v="No Priority"/>
    <x v="0"/>
    <m/>
    <x v="1"/>
    <x v="1"/>
    <n v="2000"/>
    <m/>
    <x v="0"/>
    <m/>
    <m/>
    <s v="Tamil Nadu"/>
    <s v="South"/>
    <m/>
    <m/>
    <n v="822271"/>
    <s v="TATA STEEL DOWNSTREAM PRODUCTS"/>
    <n v="1884117"/>
    <s v="CRCA COIL-TATXXD-AU03-2X1250"/>
    <s v=""/>
    <m/>
    <m/>
    <m/>
    <m/>
    <s v="C01"/>
    <s v="TATXXD"/>
    <s v="AU03"/>
    <n v="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8036"/>
    <n v="6"/>
    <s v="9518698036-6"/>
    <s v="No Priority"/>
    <x v="0"/>
    <m/>
    <x v="1"/>
    <x v="1"/>
    <n v="2000"/>
    <m/>
    <x v="0"/>
    <m/>
    <m/>
    <s v="Tamil Nadu"/>
    <s v="South"/>
    <m/>
    <m/>
    <n v="822271"/>
    <s v="TATA STEEL DOWNSTREAM PRODUCTS"/>
    <n v="2155233"/>
    <s v="CRCA COIL TATXXD AU03 2.5X1250"/>
    <s v=""/>
    <m/>
    <m/>
    <m/>
    <m/>
    <s v="C01"/>
    <s v="TATXXD"/>
    <s v="AU03"/>
    <n v="2.5"/>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8036"/>
    <n v="7"/>
    <s v="9518698036-7"/>
    <s v="No Priority"/>
    <x v="0"/>
    <m/>
    <x v="1"/>
    <x v="0"/>
    <n v="2000"/>
    <m/>
    <x v="0"/>
    <m/>
    <m/>
    <s v="Tamil Nadu"/>
    <s v="South"/>
    <m/>
    <m/>
    <n v="822271"/>
    <s v="TATA STEEL DOWNSTREAM PRODUCTS"/>
    <n v="2156439"/>
    <s v="CRCA COIL TSBSTA EL03 0.5X1250"/>
    <s v=""/>
    <m/>
    <m/>
    <m/>
    <m/>
    <s v="C01"/>
    <s v="TSBSTA"/>
    <s v="EL03"/>
    <n v="0.5"/>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8036"/>
    <n v="12"/>
    <s v="9518698036-12"/>
    <s v="No Priority"/>
    <x v="0"/>
    <m/>
    <x v="1"/>
    <x v="1"/>
    <n v="2000"/>
    <m/>
    <x v="0"/>
    <m/>
    <m/>
    <s v="Tamil Nadu"/>
    <s v="South"/>
    <m/>
    <m/>
    <n v="822271"/>
    <s v="TATA STEEL DOWNSTREAM PRODUCTS"/>
    <n v="2229968"/>
    <s v="CRCA COIL TATXXD AU03 0.750X1250"/>
    <s v=""/>
    <m/>
    <m/>
    <m/>
    <m/>
    <s v="C01"/>
    <s v="TATXXD"/>
    <s v="AU03"/>
    <n v="0.75"/>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7T00:00:00"/>
    <s v="ZBTO"/>
    <n v="9518699625"/>
    <n v="1"/>
    <s v="9518699625-1"/>
    <s v="No Priority"/>
    <x v="1"/>
    <m/>
    <x v="1"/>
    <x v="1"/>
    <n v="2000"/>
    <m/>
    <x v="0"/>
    <m/>
    <m/>
    <s v="West Bengal"/>
    <s v="East"/>
    <m/>
    <m/>
    <n v="155536"/>
    <s v="TATA STEEL DOWNSTREAM PRODUCTS"/>
    <n v="2390329"/>
    <s v="CRCA COIL TATXXD AU03 0.900X1000"/>
    <s v=""/>
    <m/>
    <m/>
    <m/>
    <m/>
    <s v="C01"/>
    <s v="TATXXD"/>
    <s v="AU03"/>
    <n v="0.9"/>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17T00:00:00"/>
    <s v="ZBTO"/>
    <n v="9518699625"/>
    <n v="2"/>
    <s v="9518699625-2"/>
    <s v="No Priority"/>
    <x v="1"/>
    <m/>
    <x v="1"/>
    <x v="1"/>
    <n v="2000"/>
    <m/>
    <x v="0"/>
    <m/>
    <m/>
    <s v="West Bengal"/>
    <s v="East"/>
    <m/>
    <m/>
    <n v="155536"/>
    <s v="TATA STEEL DOWNSTREAM PRODUCTS"/>
    <n v="1801587"/>
    <s v="CRCA COIL-TATXXD-AU03-0.9X900"/>
    <s v=""/>
    <m/>
    <m/>
    <m/>
    <m/>
    <s v="C01"/>
    <s v="TATXXD"/>
    <s v="AU03"/>
    <n v="0.9"/>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17T00:00:00"/>
    <s v="ZBTO"/>
    <n v="9518699625"/>
    <n v="3"/>
    <s v="9518699625-3"/>
    <s v="No Priority"/>
    <x v="0"/>
    <m/>
    <x v="1"/>
    <x v="1"/>
    <n v="2000"/>
    <m/>
    <x v="0"/>
    <m/>
    <m/>
    <s v="West Bengal"/>
    <s v="East"/>
    <m/>
    <m/>
    <n v="155536"/>
    <s v="TATA STEEL DOWNSTREAM PRODUCTS"/>
    <n v="2403370"/>
    <s v="CRCA COIL TATXXD AU03 0.950X1250"/>
    <s v=""/>
    <m/>
    <m/>
    <m/>
    <m/>
    <s v="C01"/>
    <s v="TATXXD"/>
    <s v="AU03"/>
    <n v="0.95"/>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809"/>
    <n v="2"/>
    <s v="9518664809-2"/>
    <s v="No Priority"/>
    <x v="0"/>
    <s v="Yes"/>
    <x v="1"/>
    <x v="2"/>
    <n v="2000"/>
    <m/>
    <x v="0"/>
    <m/>
    <m/>
    <s v="Maharashtra"/>
    <s v="West"/>
    <m/>
    <m/>
    <n v="103092"/>
    <s v="TEJRAM RAMNIWAS AGARWAL"/>
    <n v="3239568"/>
    <s v="CRCA SHEET TATCRC SR16 0.450X1250X2500"/>
    <s v=""/>
    <m/>
    <m/>
    <m/>
    <m/>
    <s v="C06"/>
    <s v="TATCRC"/>
    <s v="SR16"/>
    <n v="0.45"/>
    <n v="1250"/>
    <n v="2500"/>
    <n v="48"/>
    <n v="0"/>
    <n v="48"/>
    <n v="48"/>
    <n v="48"/>
    <n v="48"/>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809"/>
    <n v="3"/>
    <s v="9518664809-3"/>
    <s v="No Priority"/>
    <x v="1"/>
    <s v="Yes"/>
    <x v="1"/>
    <x v="2"/>
    <n v="2000"/>
    <m/>
    <x v="0"/>
    <m/>
    <m/>
    <s v="Maharashtra"/>
    <s v="West"/>
    <m/>
    <m/>
    <n v="103092"/>
    <s v="TEJRAM RAMNIWAS AGARWAL"/>
    <n v="3240895"/>
    <s v="CRCA SHEET TATXXD SR17 0.500X1250X2500"/>
    <s v=""/>
    <m/>
    <m/>
    <m/>
    <m/>
    <s v="C06"/>
    <s v="TATXXD"/>
    <s v="SR17"/>
    <n v="0.5"/>
    <n v="1250"/>
    <n v="2500"/>
    <n v="48"/>
    <n v="0"/>
    <n v="48"/>
    <n v="48"/>
    <n v="48"/>
    <n v="48"/>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351"/>
    <n v="1"/>
    <s v="9518664351-1"/>
    <s v="No Priority"/>
    <x v="0"/>
    <m/>
    <x v="1"/>
    <x v="1"/>
    <n v="2000"/>
    <m/>
    <x v="0"/>
    <m/>
    <m/>
    <s v="Tamil Nadu"/>
    <s v="South"/>
    <m/>
    <m/>
    <n v="102888"/>
    <s v="THIRUPATHY STEELS"/>
    <n v="189865"/>
    <s v="CRSHEET TATXXD AU03 1.0X1250X2500"/>
    <s v=""/>
    <m/>
    <m/>
    <m/>
    <m/>
    <s v="C06"/>
    <s v="TATXXD"/>
    <s v="AU03"/>
    <n v="1"/>
    <n v="1250"/>
    <n v="2500"/>
    <n v="15"/>
    <n v="0"/>
    <n v="15"/>
    <n v="15"/>
    <n v="15"/>
    <n v="15"/>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351"/>
    <n v="2"/>
    <s v="9518664351-2"/>
    <s v="No Priority"/>
    <x v="0"/>
    <m/>
    <x v="1"/>
    <x v="1"/>
    <n v="2000"/>
    <m/>
    <x v="0"/>
    <m/>
    <m/>
    <s v="Tamil Nadu"/>
    <s v="South"/>
    <m/>
    <m/>
    <n v="102888"/>
    <s v="THIRUPATHY STEELS"/>
    <n v="353957"/>
    <s v="CRCA SHEET TATXXD AU03 0.80X1250X2500"/>
    <s v=""/>
    <m/>
    <m/>
    <m/>
    <m/>
    <s v="C06"/>
    <s v="TATXXD"/>
    <s v="AU03"/>
    <n v="0.8"/>
    <n v="1250"/>
    <n v="2500"/>
    <n v="12"/>
    <n v="0"/>
    <n v="12"/>
    <n v="12"/>
    <n v="12"/>
    <n v="12"/>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351"/>
    <n v="3"/>
    <s v="9518664351-3"/>
    <s v="No Priority"/>
    <x v="0"/>
    <m/>
    <x v="1"/>
    <x v="1"/>
    <n v="2000"/>
    <m/>
    <x v="0"/>
    <m/>
    <m/>
    <s v="Tamil Nadu"/>
    <s v="South"/>
    <m/>
    <m/>
    <n v="102888"/>
    <s v="THIRUPATHY STEELS"/>
    <n v="3533096"/>
    <s v="CRSHEET C06 TATXXD AU03 1.6X1250X2500"/>
    <s v=""/>
    <m/>
    <m/>
    <m/>
    <m/>
    <s v="C06"/>
    <s v="TATXXD"/>
    <s v="AU03"/>
    <n v="1.6"/>
    <n v="1250"/>
    <n v="2500"/>
    <n v="12"/>
    <n v="0"/>
    <n v="12"/>
    <n v="12"/>
    <n v="12"/>
    <n v="12"/>
    <n v="0"/>
    <n v="0"/>
    <n v="0"/>
    <n v="0"/>
    <n v="0"/>
    <n v="0"/>
    <n v="0"/>
    <n v="0"/>
    <n v="0"/>
    <n v="0"/>
    <n v="0"/>
    <n v="0"/>
    <n v="0"/>
    <n v="0"/>
    <n v="0"/>
    <n v="0"/>
    <n v="0"/>
    <n v="0"/>
    <n v="0"/>
    <n v="0"/>
    <n v="0"/>
    <n v="0"/>
    <n v="0"/>
    <m/>
    <n v="0"/>
    <n v="0"/>
    <n v="0"/>
    <n v="0"/>
    <n v="0"/>
    <n v="0"/>
    <n v="0"/>
    <n v="0"/>
    <n v="0"/>
    <n v="0"/>
    <n v="0"/>
    <n v="0"/>
    <n v="0"/>
    <m/>
    <m/>
    <m/>
    <m/>
    <m/>
    <m/>
    <m/>
    <m/>
    <m/>
    <m/>
    <m/>
    <m/>
    <m/>
    <m/>
    <m/>
    <m/>
    <m/>
    <m/>
    <m/>
    <m/>
    <m/>
    <m/>
    <m/>
    <m/>
    <m/>
    <m/>
    <m/>
    <m/>
    <m/>
    <m/>
    <m/>
    <m/>
    <m/>
    <m/>
    <m/>
  </r>
  <r>
    <n v="742"/>
    <d v="2025-03-06T00:00:00"/>
    <s v="ZBTO"/>
    <n v="9518578782"/>
    <n v="2"/>
    <s v="9518578782-2"/>
    <s v="No Priority"/>
    <x v="1"/>
    <m/>
    <x v="1"/>
    <x v="1"/>
    <n v="2000"/>
    <m/>
    <x v="0"/>
    <m/>
    <m/>
    <s v="Telangana"/>
    <s v="South"/>
    <m/>
    <m/>
    <n v="939422"/>
    <s v="VIJAY VENKAT STEELS PRIVATE LI"/>
    <n v="1804908"/>
    <s v="CRCA COIL TATCRC TR15 0.5X1250"/>
    <s v=""/>
    <m/>
    <m/>
    <m/>
    <m/>
    <s v="C01"/>
    <s v="TATCRC"/>
    <s v="TR15"/>
    <n v="0.5"/>
    <n v="1250"/>
    <n v="0"/>
    <n v="87"/>
    <n v="0"/>
    <n v="87"/>
    <n v="87"/>
    <n v="87"/>
    <n v="87"/>
    <n v="0"/>
    <n v="0"/>
    <n v="0"/>
    <n v="0"/>
    <n v="0"/>
    <n v="0"/>
    <n v="0"/>
    <n v="0"/>
    <n v="0"/>
    <n v="0"/>
    <n v="0"/>
    <n v="0"/>
    <n v="0"/>
    <n v="0"/>
    <n v="0"/>
    <n v="0"/>
    <n v="0"/>
    <n v="0"/>
    <n v="0"/>
    <n v="0"/>
    <n v="0"/>
    <n v="0"/>
    <n v="0"/>
    <m/>
    <n v="0"/>
    <n v="0"/>
    <n v="0"/>
    <n v="0"/>
    <n v="0"/>
    <n v="0"/>
    <n v="0"/>
    <n v="0"/>
    <n v="0"/>
    <n v="0"/>
    <n v="0"/>
    <n v="0"/>
    <n v="0"/>
    <m/>
    <m/>
    <m/>
    <m/>
    <m/>
    <m/>
    <m/>
    <m/>
    <m/>
    <m/>
    <m/>
    <m/>
    <m/>
    <m/>
    <m/>
    <m/>
    <m/>
    <m/>
    <m/>
    <m/>
    <m/>
    <m/>
    <m/>
    <m/>
    <m/>
    <m/>
    <m/>
    <m/>
    <m/>
    <m/>
    <m/>
    <m/>
    <m/>
    <m/>
    <m/>
  </r>
  <r>
    <n v="742"/>
    <d v="2025-03-06T00:00:00"/>
    <s v="ZBTO"/>
    <n v="9518578782"/>
    <n v="3"/>
    <s v="9518578782-3"/>
    <s v="No Priority"/>
    <x v="1"/>
    <m/>
    <x v="1"/>
    <x v="1"/>
    <n v="2000"/>
    <m/>
    <x v="0"/>
    <m/>
    <m/>
    <s v="Telangana"/>
    <s v="South"/>
    <m/>
    <m/>
    <n v="939422"/>
    <s v="VIJAY VENKAT STEELS PRIVATE LI"/>
    <n v="1804914"/>
    <s v="CRCA COIL TATCRC TR15 0.6X1000"/>
    <s v=""/>
    <m/>
    <m/>
    <m/>
    <m/>
    <s v="C01"/>
    <s v="TATCRC"/>
    <s v="TR15"/>
    <n v="0.6"/>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3-06T00:00:00"/>
    <s v="ZBTO"/>
    <n v="9518578782"/>
    <n v="4"/>
    <s v="9518578782-4"/>
    <s v="No Priority"/>
    <x v="1"/>
    <m/>
    <x v="1"/>
    <x v="1"/>
    <n v="2000"/>
    <m/>
    <x v="0"/>
    <m/>
    <m/>
    <s v="Telangana"/>
    <s v="South"/>
    <m/>
    <m/>
    <n v="939422"/>
    <s v="VIJAY VENKAT STEELS PRIVATE LI"/>
    <n v="2229967"/>
    <s v="CRCA COIL TATCRC TR15 0.700X1250"/>
    <s v=""/>
    <m/>
    <m/>
    <m/>
    <m/>
    <s v="C01"/>
    <s v="TATCRC"/>
    <s v="TR15"/>
    <n v="0.7"/>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119"/>
    <n v="1"/>
    <s v="9518670119-1"/>
    <s v="Stocks"/>
    <x v="0"/>
    <m/>
    <x v="1"/>
    <x v="1"/>
    <n v="2000"/>
    <m/>
    <x v="1"/>
    <m/>
    <m/>
    <s v="Telangana"/>
    <s v="South"/>
    <m/>
    <m/>
    <n v="939422"/>
    <s v="VIJAY VENKAT STEELS PRIVATE LI"/>
    <n v="185675"/>
    <s v="CRCA COIL-TATXXD-AU03-0.5X1250"/>
    <s v=""/>
    <m/>
    <m/>
    <m/>
    <m/>
    <s v="C01"/>
    <s v="TATXXD"/>
    <s v="AU03"/>
    <n v="0.5"/>
    <n v="1250"/>
    <n v="0"/>
    <n v="58"/>
    <n v="0"/>
    <n v="58"/>
    <n v="58"/>
    <n v="58"/>
    <n v="33.83"/>
    <n v="0"/>
    <n v="0"/>
    <n v="0"/>
    <n v="0"/>
    <n v="0"/>
    <n v="0"/>
    <n v="0"/>
    <n v="0"/>
    <n v="0"/>
    <n v="0"/>
    <n v="0"/>
    <n v="0"/>
    <n v="0"/>
    <n v="0"/>
    <n v="0"/>
    <n v="0"/>
    <n v="0"/>
    <n v="0"/>
    <n v="0"/>
    <n v="0"/>
    <n v="0"/>
    <n v="0"/>
    <n v="0"/>
    <m/>
    <n v="24.17"/>
    <n v="0"/>
    <n v="0"/>
    <n v="0"/>
    <n v="0"/>
    <n v="0"/>
    <n v="0"/>
    <n v="0"/>
    <n v="0"/>
    <n v="0"/>
    <n v="0"/>
    <n v="0"/>
    <n v="0"/>
    <m/>
    <m/>
    <m/>
    <m/>
    <m/>
    <m/>
    <m/>
    <m/>
    <m/>
    <m/>
    <m/>
    <m/>
    <m/>
    <m/>
    <m/>
    <m/>
    <m/>
    <m/>
    <m/>
    <m/>
    <m/>
    <m/>
    <m/>
    <m/>
    <m/>
    <m/>
    <m/>
    <m/>
    <m/>
    <m/>
    <m/>
    <m/>
    <m/>
    <m/>
    <m/>
  </r>
  <r>
    <n v="742"/>
    <d v="2025-04-04T00:00:00"/>
    <s v="ZBTO"/>
    <n v="9518670119"/>
    <n v="2"/>
    <s v="9518670119-2"/>
    <s v="No Priority"/>
    <x v="1"/>
    <m/>
    <x v="1"/>
    <x v="1"/>
    <n v="2000"/>
    <m/>
    <x v="0"/>
    <m/>
    <m/>
    <s v="Telangana"/>
    <s v="South"/>
    <m/>
    <m/>
    <n v="939422"/>
    <s v="VIJAY VENKAT STEELS PRIVATE LI"/>
    <n v="1804914"/>
    <s v="CRCA COIL TATCRC TR15 0.6X1000"/>
    <s v=""/>
    <m/>
    <m/>
    <m/>
    <m/>
    <s v="C01"/>
    <s v="TATCRC"/>
    <s v="TR15"/>
    <n v="0.6"/>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119"/>
    <n v="3"/>
    <s v="9518670119-3"/>
    <s v="No Priority"/>
    <x v="1"/>
    <m/>
    <x v="1"/>
    <x v="1"/>
    <n v="2000"/>
    <m/>
    <x v="0"/>
    <m/>
    <m/>
    <s v="Telangana"/>
    <s v="South"/>
    <m/>
    <m/>
    <n v="939422"/>
    <s v="VIJAY VENKAT STEELS PRIVATE LI"/>
    <n v="2229967"/>
    <s v="CRCA COIL TATCRC TR15 0.700X1250"/>
    <s v=""/>
    <m/>
    <m/>
    <m/>
    <m/>
    <s v="C01"/>
    <s v="TATCRC"/>
    <s v="TR15"/>
    <n v="0.7"/>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119"/>
    <n v="5"/>
    <s v="9518670119-5"/>
    <s v="No Priority"/>
    <x v="0"/>
    <m/>
    <x v="1"/>
    <x v="1"/>
    <n v="2000"/>
    <m/>
    <x v="0"/>
    <m/>
    <m/>
    <s v="Telangana"/>
    <s v="South"/>
    <m/>
    <m/>
    <n v="939422"/>
    <s v="VIJAY VENKAT STEELS PRIVATE LI"/>
    <n v="1804826"/>
    <s v="CRCA COIL-TATXXD-AU03-0.9X1250"/>
    <s v=""/>
    <m/>
    <m/>
    <m/>
    <m/>
    <s v="C01"/>
    <s v="TATXXD"/>
    <s v="AU03"/>
    <n v="0.9"/>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119"/>
    <n v="6"/>
    <s v="9518670119-6"/>
    <s v="No Priority"/>
    <x v="0"/>
    <m/>
    <x v="1"/>
    <x v="1"/>
    <n v="2000"/>
    <m/>
    <x v="0"/>
    <m/>
    <m/>
    <s v="Telangana"/>
    <s v="South"/>
    <m/>
    <m/>
    <n v="939422"/>
    <s v="VIJAY VENKAT STEELS PRIVATE LI"/>
    <n v="215066"/>
    <s v="CRSHEET-ICF  DQ TATXXD AU03 0.90 X 1220"/>
    <s v=""/>
    <m/>
    <m/>
    <m/>
    <m/>
    <s v="C01"/>
    <s v="TATXXD"/>
    <s v="AU03"/>
    <n v="0.9"/>
    <n v="1220"/>
    <n v="0"/>
    <n v="84"/>
    <n v="0"/>
    <n v="84"/>
    <n v="84"/>
    <n v="84"/>
    <n v="84"/>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119"/>
    <n v="13"/>
    <s v="9518670119-13"/>
    <s v="No Priority"/>
    <x v="0"/>
    <m/>
    <x v="1"/>
    <x v="1"/>
    <n v="2000"/>
    <m/>
    <x v="0"/>
    <m/>
    <m/>
    <s v="Telangana"/>
    <s v="South"/>
    <m/>
    <m/>
    <n v="939422"/>
    <s v="VIJAY VENKAT STEELS PRIVATE LI"/>
    <n v="1804867"/>
    <s v="CRCA COIL-TATXXD-AU03-1.6X1250"/>
    <s v=""/>
    <m/>
    <m/>
    <m/>
    <m/>
    <s v="C01"/>
    <s v="TATXXD"/>
    <s v="AU03"/>
    <n v="1.6"/>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119"/>
    <n v="14"/>
    <s v="9518670119-14"/>
    <s v="No Priority"/>
    <x v="0"/>
    <m/>
    <x v="1"/>
    <x v="1"/>
    <n v="2000"/>
    <m/>
    <x v="0"/>
    <m/>
    <m/>
    <s v="Telangana"/>
    <s v="South"/>
    <m/>
    <m/>
    <n v="939422"/>
    <s v="VIJAY VENKAT STEELS PRIVATE LI"/>
    <n v="3855287"/>
    <s v="CR COIL TATXXD AU03 1.620X1250"/>
    <s v=""/>
    <m/>
    <m/>
    <m/>
    <m/>
    <s v="C01"/>
    <s v="TATXXD"/>
    <s v="AU03"/>
    <n v="1.6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119"/>
    <n v="15"/>
    <s v="9518670119-15"/>
    <s v="No Priority"/>
    <x v="0"/>
    <m/>
    <x v="1"/>
    <x v="1"/>
    <n v="2000"/>
    <m/>
    <x v="0"/>
    <m/>
    <m/>
    <s v="Telangana"/>
    <s v="South"/>
    <m/>
    <m/>
    <n v="939422"/>
    <s v="VIJAY VENKAT STEELS PRIVATE LI"/>
    <n v="2390540"/>
    <s v="CRCA COIL TATXXD AU03 1.800X1250"/>
    <s v=""/>
    <m/>
    <m/>
    <m/>
    <m/>
    <s v="C01"/>
    <s v="TATXXD"/>
    <s v="AU03"/>
    <n v="1.8"/>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04T00:00:00"/>
    <s v="ZBTO"/>
    <n v="9518670119"/>
    <n v="16"/>
    <s v="9518670119-16"/>
    <s v="No Priority"/>
    <x v="0"/>
    <m/>
    <x v="1"/>
    <x v="1"/>
    <n v="2000"/>
    <m/>
    <x v="0"/>
    <m/>
    <m/>
    <s v="Telangana"/>
    <s v="South"/>
    <m/>
    <m/>
    <n v="939422"/>
    <s v="VIJAY VENKAT STEELS PRIVATE LI"/>
    <n v="292577"/>
    <s v="CRSHEET-ICF  DQ TATXXD AU03 2.02X1250"/>
    <s v=""/>
    <m/>
    <m/>
    <m/>
    <m/>
    <s v="C01"/>
    <s v="TATXXD"/>
    <s v="AU03"/>
    <n v="2.0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1"/>
    <s v="9518535833-1"/>
    <s v="No Priority"/>
    <x v="1"/>
    <m/>
    <x v="1"/>
    <x v="1"/>
    <n v="2000"/>
    <m/>
    <x v="0"/>
    <m/>
    <m/>
    <s v="Tamil Nadu"/>
    <s v="South"/>
    <m/>
    <m/>
    <n v="938550"/>
    <s v="BASEER AND CO"/>
    <n v="2352643"/>
    <s v="CRCA COIL TATCRC TR15 0.350X900"/>
    <m/>
    <m/>
    <m/>
    <m/>
    <m/>
    <s v="C01"/>
    <s v="TATCRC"/>
    <s v="TR15"/>
    <n v="0.35"/>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2"/>
    <s v="9518535833-2"/>
    <s v="No Priority"/>
    <x v="1"/>
    <m/>
    <x v="1"/>
    <x v="1"/>
    <n v="2000"/>
    <m/>
    <x v="0"/>
    <m/>
    <m/>
    <s v="Tamil Nadu"/>
    <s v="South"/>
    <m/>
    <m/>
    <n v="938550"/>
    <s v="BASEER AND CO"/>
    <n v="2352644"/>
    <s v="CRCA COIL TATCRC TR15 0.350X1000"/>
    <m/>
    <m/>
    <m/>
    <m/>
    <m/>
    <s v="C01"/>
    <s v="TATCRC"/>
    <s v="TR15"/>
    <n v="0.3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4"/>
    <s v="9518535833-4"/>
    <s v="No Priority"/>
    <x v="1"/>
    <m/>
    <x v="1"/>
    <x v="1"/>
    <n v="2000"/>
    <m/>
    <x v="0"/>
    <m/>
    <m/>
    <s v="Tamil Nadu"/>
    <s v="South"/>
    <m/>
    <m/>
    <n v="938550"/>
    <s v="BASEER AND CO"/>
    <n v="1804889"/>
    <s v="CRCA COIL-TATCRC-TR15-0.4X1000"/>
    <m/>
    <m/>
    <m/>
    <m/>
    <m/>
    <s v="C01"/>
    <s v="TATCRC"/>
    <s v="TR15"/>
    <n v="0.4"/>
    <n v="1000"/>
    <n v="0"/>
    <n v="69"/>
    <n v="0"/>
    <n v="69"/>
    <n v="69"/>
    <n v="69"/>
    <n v="69"/>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5"/>
    <s v="9518535833-5"/>
    <s v="No Priority"/>
    <x v="1"/>
    <m/>
    <x v="1"/>
    <x v="1"/>
    <n v="2000"/>
    <m/>
    <x v="0"/>
    <m/>
    <m/>
    <s v="Tamil Nadu"/>
    <s v="South"/>
    <m/>
    <m/>
    <n v="938550"/>
    <s v="BASEER AND CO"/>
    <n v="37862"/>
    <s v="CRCA COIL TATCRC TR15 0.4X1250"/>
    <m/>
    <m/>
    <m/>
    <m/>
    <m/>
    <s v="C01"/>
    <s v="TATCRC"/>
    <s v="TR15"/>
    <n v="0.4"/>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6"/>
    <s v="9518535833-6"/>
    <s v="No Priority"/>
    <x v="1"/>
    <m/>
    <x v="1"/>
    <x v="1"/>
    <n v="2000"/>
    <m/>
    <x v="0"/>
    <m/>
    <m/>
    <s v="Tamil Nadu"/>
    <s v="South"/>
    <m/>
    <m/>
    <n v="938550"/>
    <s v="BASEER AND CO"/>
    <n v="1804893"/>
    <s v="CRCA COIL-TATCRC-TR15-0.45X900"/>
    <m/>
    <m/>
    <m/>
    <m/>
    <m/>
    <s v="C01"/>
    <s v="TATCRC"/>
    <s v="TR15"/>
    <n v="0.45"/>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7"/>
    <s v="9518535833-7"/>
    <s v="No Priority"/>
    <x v="1"/>
    <m/>
    <x v="1"/>
    <x v="1"/>
    <n v="2000"/>
    <m/>
    <x v="0"/>
    <m/>
    <m/>
    <s v="Tamil Nadu"/>
    <s v="South"/>
    <m/>
    <m/>
    <n v="938550"/>
    <s v="BASEER AND CO"/>
    <n v="1804896"/>
    <s v="CRCA COIL-TATCRC-TR15-0.45X1000"/>
    <m/>
    <m/>
    <m/>
    <m/>
    <m/>
    <s v="C01"/>
    <s v="TATCRC"/>
    <s v="TR15"/>
    <n v="0.45"/>
    <n v="1000"/>
    <n v="0"/>
    <n v="69"/>
    <n v="0"/>
    <n v="69"/>
    <n v="69"/>
    <n v="69"/>
    <n v="69"/>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8"/>
    <s v="9518535833-8"/>
    <s v="No Priority"/>
    <x v="1"/>
    <m/>
    <x v="1"/>
    <x v="1"/>
    <n v="2000"/>
    <m/>
    <x v="0"/>
    <m/>
    <m/>
    <s v="Tamil Nadu"/>
    <s v="South"/>
    <m/>
    <m/>
    <n v="938550"/>
    <s v="BASEER AND CO"/>
    <n v="1804905"/>
    <s v="CRCA COIL-TATCRC-TR15-0.5X1000"/>
    <m/>
    <m/>
    <m/>
    <m/>
    <m/>
    <s v="C01"/>
    <s v="TATCRC"/>
    <s v="TR15"/>
    <n v="0.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20"/>
    <s v="9518535833-20"/>
    <s v="May'25"/>
    <x v="0"/>
    <s v="Yes"/>
    <x v="1"/>
    <x v="2"/>
    <n v="2000"/>
    <m/>
    <x v="1"/>
    <m/>
    <m/>
    <s v="Tamil Nadu"/>
    <s v="South"/>
    <m/>
    <m/>
    <n v="938550"/>
    <s v="BASEER AND CO"/>
    <n v="3239536"/>
    <s v="CRCA SHEET TATCRC SR16 0.350X900X2500"/>
    <m/>
    <m/>
    <m/>
    <m/>
    <m/>
    <s v="C06"/>
    <s v="TATCRC"/>
    <s v="SR16"/>
    <n v="0.35"/>
    <n v="900"/>
    <n v="2500"/>
    <n v="21"/>
    <n v="0"/>
    <n v="21"/>
    <n v="21"/>
    <n v="21"/>
    <n v="21"/>
    <n v="0"/>
    <n v="0"/>
    <n v="0"/>
    <n v="0"/>
    <n v="0"/>
    <n v="0"/>
    <n v="0"/>
    <n v="0"/>
    <n v="0"/>
    <n v="0"/>
    <n v="0"/>
    <n v="0"/>
    <n v="0"/>
    <n v="0"/>
    <n v="0"/>
    <n v="0"/>
    <n v="0"/>
    <n v="0"/>
    <n v="0"/>
    <n v="0"/>
    <n v="0"/>
    <n v="0"/>
    <n v="0"/>
    <m/>
    <n v="0"/>
    <n v="21"/>
    <n v="0"/>
    <n v="0"/>
    <n v="0"/>
    <n v="0"/>
    <n v="21"/>
    <n v="0"/>
    <n v="0"/>
    <n v="0"/>
    <n v="0"/>
    <n v="0"/>
    <n v="0"/>
    <m/>
    <m/>
    <m/>
    <m/>
    <m/>
    <m/>
    <m/>
    <m/>
    <m/>
    <m/>
    <m/>
    <m/>
    <m/>
    <m/>
    <m/>
    <m/>
    <m/>
    <m/>
    <m/>
    <m/>
    <m/>
    <m/>
    <m/>
    <m/>
    <m/>
    <m/>
    <m/>
    <m/>
    <m/>
    <m/>
    <m/>
    <m/>
    <m/>
    <m/>
    <m/>
  </r>
  <r>
    <n v="742"/>
    <d v="2025-02-20T00:00:00"/>
    <s v="ZBTO"/>
    <n v="9518535833"/>
    <n v="21"/>
    <s v="9518535833-21"/>
    <s v="No Priority"/>
    <x v="1"/>
    <m/>
    <x v="1"/>
    <x v="2"/>
    <n v="2000"/>
    <m/>
    <x v="0"/>
    <m/>
    <m/>
    <s v="Tamil Nadu"/>
    <s v="South"/>
    <m/>
    <m/>
    <n v="938550"/>
    <s v="BASEER AND CO"/>
    <n v="3239548"/>
    <s v="CRCA SHEET TATCRC SR16 0.400X900X2500"/>
    <m/>
    <m/>
    <m/>
    <m/>
    <m/>
    <s v="C06"/>
    <s v="TATCRC"/>
    <s v="SR16"/>
    <n v="0.4"/>
    <n v="900"/>
    <n v="250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2"/>
    <d v="2025-02-20T00:00:00"/>
    <s v="ZBTO"/>
    <n v="9518535833"/>
    <n v="22"/>
    <s v="9518535833-22"/>
    <s v="May'25"/>
    <x v="0"/>
    <s v="Yes"/>
    <x v="1"/>
    <x v="2"/>
    <n v="2000"/>
    <m/>
    <x v="1"/>
    <m/>
    <m/>
    <s v="Tamil Nadu"/>
    <s v="South"/>
    <m/>
    <m/>
    <n v="938550"/>
    <s v="BASEER AND CO"/>
    <n v="3239552"/>
    <s v="CRCA SHEET TATCRC SR16 0.400X1000X1980"/>
    <m/>
    <m/>
    <m/>
    <m/>
    <m/>
    <s v="C06"/>
    <s v="TATCRC"/>
    <s v="SR16"/>
    <n v="0.4"/>
    <n v="1000"/>
    <n v="1980"/>
    <n v="45"/>
    <n v="0"/>
    <n v="45"/>
    <n v="45"/>
    <n v="45"/>
    <n v="45"/>
    <n v="0"/>
    <n v="0"/>
    <n v="0"/>
    <n v="0"/>
    <n v="0"/>
    <n v="0"/>
    <n v="0"/>
    <n v="0"/>
    <n v="0"/>
    <n v="0"/>
    <n v="0"/>
    <n v="0"/>
    <n v="0"/>
    <n v="0"/>
    <n v="0"/>
    <n v="0"/>
    <n v="0"/>
    <n v="0"/>
    <n v="0"/>
    <n v="0"/>
    <n v="0"/>
    <n v="0"/>
    <n v="0"/>
    <m/>
    <n v="0"/>
    <n v="45"/>
    <n v="0"/>
    <n v="0"/>
    <n v="0"/>
    <n v="45"/>
    <n v="0"/>
    <n v="0"/>
    <n v="0"/>
    <n v="0"/>
    <n v="0"/>
    <n v="0"/>
    <n v="0"/>
    <m/>
    <m/>
    <m/>
    <m/>
    <m/>
    <m/>
    <m/>
    <m/>
    <m/>
    <m/>
    <m/>
    <m/>
    <m/>
    <m/>
    <m/>
    <m/>
    <m/>
    <m/>
    <m/>
    <m/>
    <m/>
    <m/>
    <m/>
    <m/>
    <m/>
    <m/>
    <m/>
    <m/>
    <m/>
    <m/>
    <m/>
    <m/>
    <m/>
    <m/>
    <m/>
  </r>
  <r>
    <n v="742"/>
    <d v="2025-02-20T00:00:00"/>
    <s v="ZBTO"/>
    <n v="9518535833"/>
    <n v="28"/>
    <s v="9518535833-28"/>
    <s v="No Priority"/>
    <x v="0"/>
    <m/>
    <x v="1"/>
    <x v="2"/>
    <n v="2000"/>
    <m/>
    <x v="0"/>
    <m/>
    <m/>
    <s v="Tamil Nadu"/>
    <s v="South"/>
    <m/>
    <m/>
    <n v="938550"/>
    <s v="BASEER AND CO"/>
    <n v="3240863"/>
    <s v="CRCA SHEET TSBCRC SR15 1.500X1250X2500"/>
    <m/>
    <m/>
    <m/>
    <m/>
    <m/>
    <s v="C06"/>
    <s v="TSBCRC"/>
    <s v="SR15"/>
    <n v="1.5"/>
    <n v="1250"/>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2-03T00:00:00"/>
    <s v="ZBTO"/>
    <n v="9518490750"/>
    <n v="1"/>
    <s v="9518490750-1"/>
    <s v="No Priority"/>
    <x v="1"/>
    <s v="Yes"/>
    <x v="1"/>
    <x v="2"/>
    <n v="2000"/>
    <m/>
    <x v="0"/>
    <m/>
    <s v="Exp BTF &lt;17MT"/>
    <s v="Orissa"/>
    <s v="East"/>
    <m/>
    <m/>
    <n v="117061"/>
    <s v="BHARTIA  DISTRIBUTORS PVT. LTD"/>
    <n v="3239536"/>
    <s v="CRCA SHEET TATCRC SR16 0.350X900X2500"/>
    <m/>
    <m/>
    <m/>
    <m/>
    <m/>
    <s v="C06"/>
    <s v="TATCRC"/>
    <s v="SR16"/>
    <n v="0.35"/>
    <n v="900"/>
    <n v="2500"/>
    <n v="9"/>
    <n v="0"/>
    <n v="9"/>
    <n v="9"/>
    <n v="9"/>
    <n v="9"/>
    <n v="0"/>
    <n v="0"/>
    <n v="0"/>
    <n v="0"/>
    <n v="0"/>
    <n v="0"/>
    <n v="0"/>
    <n v="0"/>
    <n v="0"/>
    <n v="0"/>
    <n v="0"/>
    <n v="0"/>
    <n v="0"/>
    <n v="0"/>
    <n v="0"/>
    <n v="0"/>
    <n v="0"/>
    <n v="0"/>
    <n v="0"/>
    <n v="0"/>
    <n v="0"/>
    <n v="0"/>
    <n v="0"/>
    <m/>
    <n v="0"/>
    <n v="0"/>
    <n v="0"/>
    <n v="0"/>
    <n v="0"/>
    <n v="0"/>
    <n v="0"/>
    <n v="0"/>
    <n v="0"/>
    <n v="0"/>
    <n v="0"/>
    <n v="0"/>
    <n v="0"/>
    <m/>
    <m/>
    <m/>
    <m/>
    <m/>
    <m/>
    <m/>
    <m/>
    <m/>
    <m/>
    <m/>
    <m/>
    <m/>
    <m/>
    <m/>
    <m/>
    <m/>
    <m/>
    <m/>
    <m/>
    <m/>
    <m/>
    <m/>
    <m/>
    <m/>
    <m/>
    <m/>
    <m/>
    <m/>
    <m/>
    <m/>
    <m/>
    <m/>
    <m/>
    <m/>
  </r>
  <r>
    <n v="742"/>
    <d v="2025-02-03T00:00:00"/>
    <s v="ZBTO"/>
    <n v="9518490750"/>
    <n v="3"/>
    <s v="9518490750-3"/>
    <s v="May'25"/>
    <x v="0"/>
    <s v="Yes"/>
    <x v="1"/>
    <x v="2"/>
    <n v="2000"/>
    <m/>
    <x v="1"/>
    <m/>
    <m/>
    <s v="Orissa"/>
    <s v="East"/>
    <m/>
    <m/>
    <n v="117061"/>
    <s v="BHARTIA  DISTRIBUTORS PVT. LTD"/>
    <n v="3239542"/>
    <s v="CRCA SHEET TATCRC SR16 0.350X1000X2500"/>
    <m/>
    <m/>
    <m/>
    <m/>
    <m/>
    <s v="C06"/>
    <s v="TATCRC"/>
    <s v="SR16"/>
    <n v="0.35"/>
    <n v="1000"/>
    <n v="2500"/>
    <n v="75"/>
    <n v="0"/>
    <n v="75"/>
    <n v="75"/>
    <n v="75"/>
    <n v="75"/>
    <n v="0"/>
    <n v="0"/>
    <n v="0"/>
    <n v="0"/>
    <n v="0"/>
    <n v="0"/>
    <n v="0"/>
    <n v="0"/>
    <n v="0"/>
    <n v="0"/>
    <n v="0"/>
    <n v="0"/>
    <n v="0"/>
    <n v="0"/>
    <n v="0"/>
    <n v="0"/>
    <n v="0"/>
    <n v="0"/>
    <n v="0"/>
    <n v="0"/>
    <n v="0"/>
    <n v="0"/>
    <n v="0"/>
    <m/>
    <n v="0"/>
    <n v="75"/>
    <n v="0"/>
    <n v="0"/>
    <n v="0"/>
    <n v="0"/>
    <n v="75"/>
    <n v="0"/>
    <n v="0"/>
    <n v="0"/>
    <n v="0"/>
    <n v="0"/>
    <n v="0"/>
    <m/>
    <m/>
    <m/>
    <m/>
    <m/>
    <m/>
    <m/>
    <m/>
    <m/>
    <m/>
    <m/>
    <m/>
    <m/>
    <m/>
    <m/>
    <m/>
    <m/>
    <m/>
    <m/>
    <m/>
    <m/>
    <m/>
    <m/>
    <m/>
    <m/>
    <m/>
    <m/>
    <m/>
    <m/>
    <m/>
    <m/>
    <m/>
    <m/>
    <m/>
    <m/>
  </r>
  <r>
    <n v="742"/>
    <d v="2025-02-03T00:00:00"/>
    <s v="ZBTO"/>
    <n v="9518490750"/>
    <n v="4"/>
    <s v="9518490750-4"/>
    <s v="May'25"/>
    <x v="0"/>
    <s v="Yes"/>
    <x v="1"/>
    <x v="2"/>
    <n v="2000"/>
    <m/>
    <x v="1"/>
    <m/>
    <m/>
    <s v="Orissa"/>
    <s v="East"/>
    <m/>
    <m/>
    <n v="117061"/>
    <s v="BHARTIA  DISTRIBUTORS PVT. LTD"/>
    <n v="3239554"/>
    <s v="CRCA SHEET TATCRC SR16 0.400X1000X2500"/>
    <m/>
    <m/>
    <m/>
    <m/>
    <m/>
    <s v="C06"/>
    <s v="TATCRC"/>
    <s v="SR16"/>
    <n v="0.4"/>
    <n v="1000"/>
    <n v="2500"/>
    <n v="75"/>
    <n v="0"/>
    <n v="75"/>
    <n v="75"/>
    <n v="75"/>
    <n v="75"/>
    <n v="0"/>
    <n v="0"/>
    <n v="0"/>
    <n v="0"/>
    <n v="0"/>
    <n v="0"/>
    <n v="0"/>
    <n v="0"/>
    <n v="0"/>
    <n v="0"/>
    <n v="0"/>
    <n v="0"/>
    <n v="0"/>
    <n v="0"/>
    <n v="0"/>
    <n v="0"/>
    <n v="0"/>
    <n v="0"/>
    <n v="0"/>
    <n v="0"/>
    <n v="0"/>
    <n v="0"/>
    <n v="0"/>
    <m/>
    <n v="0"/>
    <n v="75"/>
    <n v="0"/>
    <n v="0"/>
    <n v="0"/>
    <n v="0"/>
    <n v="75"/>
    <n v="0"/>
    <n v="0"/>
    <n v="0"/>
    <n v="0"/>
    <n v="0"/>
    <n v="0"/>
    <m/>
    <m/>
    <m/>
    <m/>
    <m/>
    <m/>
    <m/>
    <m/>
    <m/>
    <m/>
    <m/>
    <m/>
    <m/>
    <m/>
    <m/>
    <m/>
    <m/>
    <m/>
    <m/>
    <m/>
    <m/>
    <m/>
    <m/>
    <m/>
    <m/>
    <m/>
    <m/>
    <m/>
    <m/>
    <m/>
    <m/>
    <m/>
    <m/>
    <m/>
    <m/>
  </r>
  <r>
    <n v="743"/>
    <d v="2025-02-04T00:00:00"/>
    <s v="ZBTO"/>
    <n v="9518493782"/>
    <n v="1"/>
    <s v="9518493782-1"/>
    <s v="May'25"/>
    <x v="1"/>
    <s v="Yes"/>
    <x v="3"/>
    <x v="9"/>
    <n v="2000"/>
    <m/>
    <x v="1"/>
    <m/>
    <m/>
    <s v="Orissa"/>
    <s v="East"/>
    <m/>
    <m/>
    <n v="117061"/>
    <s v="BHARTIA  DISTRIBUTORS PVT. LTD"/>
    <n v="3484324"/>
    <s v="GP SH SOFT TATXGP GK09 0.300X900X2500"/>
    <m/>
    <m/>
    <m/>
    <m/>
    <m/>
    <s v="B11"/>
    <s v="TATXGP"/>
    <s v="GK09"/>
    <n v="0.3"/>
    <n v="900"/>
    <n v="2500"/>
    <n v="80"/>
    <n v="0"/>
    <n v="80"/>
    <n v="80"/>
    <n v="80"/>
    <n v="80"/>
    <n v="0"/>
    <n v="0"/>
    <n v="0"/>
    <n v="0"/>
    <n v="0"/>
    <n v="0"/>
    <n v="0"/>
    <n v="0"/>
    <n v="0"/>
    <n v="0"/>
    <n v="0"/>
    <n v="0"/>
    <n v="0"/>
    <n v="0"/>
    <n v="0"/>
    <n v="0"/>
    <n v="0"/>
    <n v="0"/>
    <n v="0"/>
    <n v="0"/>
    <n v="0"/>
    <n v="0"/>
    <n v="0"/>
    <m/>
    <n v="0"/>
    <n v="80"/>
    <n v="0"/>
    <n v="0"/>
    <n v="0"/>
    <n v="80"/>
    <n v="0"/>
    <n v="0"/>
    <n v="0"/>
    <n v="0"/>
    <n v="0"/>
    <n v="0"/>
    <n v="0"/>
    <m/>
    <m/>
    <m/>
    <m/>
    <m/>
    <m/>
    <m/>
    <m/>
    <m/>
    <m/>
    <m/>
    <m/>
    <m/>
    <m/>
    <m/>
    <m/>
    <m/>
    <m/>
    <m/>
    <m/>
    <m/>
    <m/>
    <m/>
    <m/>
    <m/>
    <m/>
    <m/>
    <m/>
    <m/>
    <m/>
    <m/>
    <m/>
    <m/>
    <m/>
    <m/>
  </r>
  <r>
    <n v="743"/>
    <d v="2025-02-04T00:00:00"/>
    <s v="ZBTO"/>
    <n v="9518493782"/>
    <n v="2"/>
    <s v="9518493782-2"/>
    <s v="May'25"/>
    <x v="1"/>
    <s v="Yes"/>
    <x v="3"/>
    <x v="9"/>
    <n v="2000"/>
    <m/>
    <x v="0"/>
    <m/>
    <m/>
    <s v="Orissa"/>
    <s v="East"/>
    <m/>
    <m/>
    <n v="117061"/>
    <s v="BHARTIA  DISTRIBUTORS PVT. LTD"/>
    <n v="3484325"/>
    <s v="GP SH SOFT TATXGP GK09 0.350X900X2500"/>
    <m/>
    <m/>
    <m/>
    <m/>
    <m/>
    <s v="B11"/>
    <s v="TATXGP"/>
    <s v="GK09"/>
    <n v="0.35"/>
    <n v="900"/>
    <n v="0"/>
    <n v="80"/>
    <n v="0"/>
    <n v="80"/>
    <n v="80"/>
    <n v="80"/>
    <n v="80"/>
    <n v="0"/>
    <n v="0"/>
    <n v="0"/>
    <n v="0"/>
    <n v="0"/>
    <n v="0"/>
    <n v="0"/>
    <n v="0"/>
    <n v="0"/>
    <n v="0"/>
    <n v="0"/>
    <n v="0"/>
    <n v="0"/>
    <n v="0"/>
    <n v="0"/>
    <n v="0"/>
    <n v="0"/>
    <n v="0"/>
    <n v="0"/>
    <n v="0"/>
    <n v="0"/>
    <n v="0"/>
    <n v="0"/>
    <m/>
    <n v="0"/>
    <n v="0"/>
    <n v="0"/>
    <n v="0"/>
    <n v="0"/>
    <n v="0"/>
    <n v="0"/>
    <n v="0"/>
    <n v="0"/>
    <n v="0"/>
    <n v="0"/>
    <n v="0"/>
    <n v="0"/>
    <m/>
    <m/>
    <m/>
    <m/>
    <m/>
    <m/>
    <m/>
    <m/>
    <m/>
    <m/>
    <m/>
    <m/>
    <m/>
    <m/>
    <m/>
    <m/>
    <m/>
    <m/>
    <m/>
    <m/>
    <m/>
    <m/>
    <m/>
    <m/>
    <m/>
    <m/>
    <m/>
    <m/>
    <m/>
    <m/>
    <m/>
    <m/>
    <m/>
    <m/>
    <m/>
  </r>
  <r>
    <n v="743"/>
    <d v="2025-02-04T00:00:00"/>
    <s v="ZBTO"/>
    <n v="9518493782"/>
    <n v="3"/>
    <s v="9518493782-3"/>
    <s v="May'25"/>
    <x v="1"/>
    <s v="Yes"/>
    <x v="3"/>
    <x v="9"/>
    <n v="2000"/>
    <m/>
    <x v="0"/>
    <m/>
    <m/>
    <s v="Orissa"/>
    <s v="East"/>
    <m/>
    <m/>
    <n v="117061"/>
    <s v="BHARTIA  DISTRIBUTORS PVT. LTD"/>
    <n v="3484326"/>
    <s v="GP SH SOFT TATXGP GK09 0.400X900X2500"/>
    <m/>
    <m/>
    <m/>
    <m/>
    <m/>
    <s v="B11"/>
    <s v="TATXGP"/>
    <s v="GK09"/>
    <n v="0.4"/>
    <n v="900"/>
    <n v="0"/>
    <n v="80"/>
    <n v="0"/>
    <n v="80"/>
    <n v="80"/>
    <n v="80"/>
    <n v="80"/>
    <n v="0"/>
    <n v="0"/>
    <n v="0"/>
    <n v="0"/>
    <n v="0"/>
    <n v="0"/>
    <n v="0"/>
    <n v="0"/>
    <n v="0"/>
    <n v="0"/>
    <n v="0"/>
    <n v="0"/>
    <n v="0"/>
    <n v="0"/>
    <n v="0"/>
    <n v="0"/>
    <n v="0"/>
    <n v="0"/>
    <n v="0"/>
    <n v="0"/>
    <n v="0"/>
    <n v="0"/>
    <n v="0"/>
    <m/>
    <n v="0"/>
    <n v="0"/>
    <n v="0"/>
    <n v="0"/>
    <n v="0"/>
    <n v="0"/>
    <n v="0"/>
    <n v="0"/>
    <n v="0"/>
    <n v="0"/>
    <n v="0"/>
    <n v="0"/>
    <n v="0"/>
    <m/>
    <m/>
    <m/>
    <m/>
    <m/>
    <m/>
    <m/>
    <m/>
    <m/>
    <m/>
    <m/>
    <m/>
    <m/>
    <m/>
    <m/>
    <m/>
    <m/>
    <m/>
    <m/>
    <m/>
    <m/>
    <m/>
    <m/>
    <m/>
    <m/>
    <m/>
    <m/>
    <m/>
    <m/>
    <m/>
    <m/>
    <m/>
    <m/>
    <m/>
    <m/>
  </r>
  <r>
    <n v="743"/>
    <d v="2025-02-04T00:00:00"/>
    <s v="ZBTO"/>
    <n v="9518493782"/>
    <n v="4"/>
    <s v="9518493782-4"/>
    <s v="May'25"/>
    <x v="1"/>
    <s v="Yes"/>
    <x v="3"/>
    <x v="9"/>
    <n v="2000"/>
    <m/>
    <x v="0"/>
    <m/>
    <m/>
    <s v="Orissa"/>
    <s v="East"/>
    <m/>
    <m/>
    <n v="117061"/>
    <s v="BHARTIA  DISTRIBUTORS PVT. LTD"/>
    <n v="3484328"/>
    <s v="GP SH SOFT TATXGP GK09 0.500X900X2500"/>
    <m/>
    <m/>
    <m/>
    <m/>
    <m/>
    <s v="B11"/>
    <s v="TATXGP"/>
    <s v="GK09"/>
    <n v="0.5"/>
    <n v="900"/>
    <n v="0"/>
    <n v="80"/>
    <n v="0"/>
    <n v="80"/>
    <n v="80"/>
    <n v="80"/>
    <n v="80"/>
    <n v="0"/>
    <n v="0"/>
    <n v="0"/>
    <n v="0"/>
    <n v="0"/>
    <n v="0"/>
    <n v="0"/>
    <n v="0"/>
    <n v="0"/>
    <n v="0"/>
    <n v="0"/>
    <n v="0"/>
    <n v="0"/>
    <n v="0"/>
    <n v="0"/>
    <n v="0"/>
    <n v="0"/>
    <n v="0"/>
    <n v="0"/>
    <n v="0"/>
    <n v="0"/>
    <n v="0"/>
    <n v="0"/>
    <m/>
    <n v="0"/>
    <n v="0"/>
    <n v="0"/>
    <n v="0"/>
    <n v="0"/>
    <n v="0"/>
    <n v="0"/>
    <n v="0"/>
    <n v="0"/>
    <n v="0"/>
    <n v="0"/>
    <n v="0"/>
    <n v="0"/>
    <m/>
    <m/>
    <m/>
    <m/>
    <m/>
    <m/>
    <m/>
    <m/>
    <m/>
    <m/>
    <m/>
    <m/>
    <m/>
    <m/>
    <m/>
    <m/>
    <m/>
    <m/>
    <m/>
    <m/>
    <m/>
    <m/>
    <m/>
    <m/>
    <m/>
    <m/>
    <m/>
    <m/>
    <m/>
    <m/>
    <m/>
    <m/>
    <m/>
    <m/>
    <m/>
  </r>
  <r>
    <n v="742"/>
    <d v="2025-02-14T00:00:00"/>
    <s v="ZBTO"/>
    <n v="9518519644"/>
    <n v="2"/>
    <s v="9518519644-2"/>
    <s v="May'25"/>
    <x v="0"/>
    <s v="Yes"/>
    <x v="1"/>
    <x v="2"/>
    <n v="2000"/>
    <m/>
    <x v="1"/>
    <m/>
    <m/>
    <s v="Bihar"/>
    <s v="East"/>
    <m/>
    <m/>
    <n v="103227"/>
    <s v="BMW VENTURES LIMITED"/>
    <n v="2440959"/>
    <s v="CRCA SHEET TATCRC SR16 0.330X900X2500"/>
    <m/>
    <m/>
    <m/>
    <m/>
    <m/>
    <s v="C06"/>
    <s v="TATCRC"/>
    <s v="SR16"/>
    <n v="0.33"/>
    <n v="900"/>
    <n v="2500"/>
    <n v="51"/>
    <n v="0"/>
    <n v="51"/>
    <n v="51"/>
    <n v="51"/>
    <n v="51"/>
    <n v="0"/>
    <n v="0"/>
    <n v="0"/>
    <n v="0"/>
    <n v="0"/>
    <n v="0"/>
    <n v="0"/>
    <n v="0"/>
    <n v="0"/>
    <n v="0"/>
    <n v="0"/>
    <n v="0"/>
    <n v="0"/>
    <n v="0"/>
    <n v="0"/>
    <n v="0"/>
    <n v="0"/>
    <n v="0"/>
    <n v="0"/>
    <n v="0"/>
    <n v="0"/>
    <n v="0"/>
    <n v="0"/>
    <m/>
    <n v="0"/>
    <n v="51"/>
    <n v="0"/>
    <n v="0"/>
    <n v="0"/>
    <n v="0"/>
    <n v="51"/>
    <n v="0"/>
    <n v="0"/>
    <n v="0"/>
    <n v="0"/>
    <n v="0"/>
    <n v="0"/>
    <m/>
    <m/>
    <m/>
    <m/>
    <m/>
    <m/>
    <m/>
    <m/>
    <m/>
    <m/>
    <m/>
    <m/>
    <m/>
    <m/>
    <m/>
    <m/>
    <m/>
    <m/>
    <m/>
    <m/>
    <m/>
    <m/>
    <m/>
    <m/>
    <m/>
    <m/>
    <m/>
    <m/>
    <m/>
    <m/>
    <m/>
    <m/>
    <m/>
    <m/>
    <m/>
  </r>
  <r>
    <n v="742"/>
    <d v="2025-02-14T00:00:00"/>
    <s v="ZBTO"/>
    <n v="9518519644"/>
    <n v="4"/>
    <s v="9518519644-4"/>
    <s v="May'25"/>
    <x v="0"/>
    <s v="Yes"/>
    <x v="1"/>
    <x v="2"/>
    <n v="2000"/>
    <m/>
    <x v="1"/>
    <m/>
    <m/>
    <s v="Bihar"/>
    <s v="East"/>
    <m/>
    <m/>
    <n v="103227"/>
    <s v="BMW VENTURES LIMITED"/>
    <n v="3239536"/>
    <s v="CRCA SHEET TATCRC SR16 0.350X900X2500"/>
    <m/>
    <m/>
    <m/>
    <m/>
    <m/>
    <s v="C06"/>
    <s v="TATCRC"/>
    <s v="SR16"/>
    <n v="0.35"/>
    <n v="900"/>
    <n v="2500"/>
    <n v="51"/>
    <n v="0"/>
    <n v="51"/>
    <n v="51"/>
    <n v="51"/>
    <n v="51"/>
    <n v="0"/>
    <n v="0"/>
    <n v="0"/>
    <n v="0"/>
    <n v="0"/>
    <n v="0"/>
    <n v="0"/>
    <n v="0"/>
    <n v="0"/>
    <n v="0"/>
    <n v="0"/>
    <n v="0"/>
    <n v="0"/>
    <n v="0"/>
    <n v="0"/>
    <n v="0"/>
    <n v="0"/>
    <n v="0"/>
    <n v="0"/>
    <n v="0"/>
    <n v="0"/>
    <n v="0"/>
    <n v="0"/>
    <m/>
    <n v="0"/>
    <n v="51"/>
    <n v="0"/>
    <n v="0"/>
    <n v="0"/>
    <n v="0"/>
    <n v="51"/>
    <n v="0"/>
    <n v="0"/>
    <n v="0"/>
    <n v="0"/>
    <n v="0"/>
    <n v="0"/>
    <m/>
    <m/>
    <m/>
    <m/>
    <m/>
    <m/>
    <m/>
    <m/>
    <m/>
    <m/>
    <m/>
    <m/>
    <m/>
    <m/>
    <m/>
    <m/>
    <m/>
    <m/>
    <m/>
    <m/>
    <m/>
    <m/>
    <m/>
    <m/>
    <m/>
    <m/>
    <m/>
    <m/>
    <m/>
    <m/>
    <m/>
    <m/>
    <m/>
    <m/>
    <m/>
  </r>
  <r>
    <n v="742"/>
    <d v="2025-02-14T00:00:00"/>
    <s v="ZBTO"/>
    <n v="9518520213"/>
    <n v="1"/>
    <s v="9518520213-1"/>
    <s v="May'25"/>
    <x v="0"/>
    <s v="Yes"/>
    <x v="1"/>
    <x v="2"/>
    <n v="2000"/>
    <m/>
    <x v="1"/>
    <m/>
    <m/>
    <s v="Bihar"/>
    <s v="East"/>
    <m/>
    <m/>
    <n v="103227"/>
    <s v="BMW VENTURES LIMITED"/>
    <n v="3239408"/>
    <s v="CRCA SHEET TATCRC SR16 0.300X900X2500"/>
    <m/>
    <m/>
    <m/>
    <m/>
    <m/>
    <s v="C06"/>
    <s v="TATCRC"/>
    <s v="SR16"/>
    <n v="0.3"/>
    <n v="900"/>
    <n v="2500"/>
    <n v="51"/>
    <n v="0"/>
    <n v="51"/>
    <n v="51"/>
    <n v="51"/>
    <n v="51"/>
    <n v="0"/>
    <n v="0"/>
    <n v="0"/>
    <n v="0"/>
    <n v="0"/>
    <n v="0"/>
    <n v="0"/>
    <n v="0"/>
    <n v="0"/>
    <n v="0"/>
    <n v="0"/>
    <n v="0"/>
    <n v="0"/>
    <n v="0"/>
    <n v="0"/>
    <n v="0"/>
    <n v="0"/>
    <n v="0"/>
    <n v="0"/>
    <n v="0"/>
    <n v="0"/>
    <n v="0"/>
    <n v="0"/>
    <m/>
    <n v="0"/>
    <n v="51"/>
    <n v="0"/>
    <n v="0"/>
    <n v="0"/>
    <n v="0"/>
    <n v="51"/>
    <n v="0"/>
    <n v="0"/>
    <n v="0"/>
    <n v="0"/>
    <n v="0"/>
    <n v="0"/>
    <m/>
    <m/>
    <m/>
    <m/>
    <m/>
    <m/>
    <m/>
    <m/>
    <m/>
    <m/>
    <m/>
    <m/>
    <m/>
    <m/>
    <m/>
    <m/>
    <m/>
    <m/>
    <m/>
    <m/>
    <m/>
    <m/>
    <m/>
    <m/>
    <m/>
    <m/>
    <m/>
    <m/>
    <m/>
    <m/>
    <m/>
    <m/>
    <m/>
    <m/>
    <m/>
  </r>
  <r>
    <n v="743"/>
    <d v="2025-02-05T00:00:00"/>
    <s v="ZBTO"/>
    <n v="9518495843"/>
    <n v="4"/>
    <s v="9518495843-4"/>
    <s v="May'25"/>
    <x v="1"/>
    <s v="Yes"/>
    <x v="3"/>
    <x v="9"/>
    <n v="2000"/>
    <m/>
    <x v="0"/>
    <m/>
    <m/>
    <s v="West Bengal"/>
    <s v="East"/>
    <m/>
    <m/>
    <n v="100922"/>
    <s v="BUBNA COMMERCIAL COMPANY"/>
    <n v="1142414"/>
    <s v="GP COIL SOFT-TATXGP-GLK1-0.45X900"/>
    <m/>
    <m/>
    <m/>
    <m/>
    <m/>
    <s v="C02"/>
    <s v="TATXGP"/>
    <s v="GLK1"/>
    <n v="0.45"/>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3"/>
    <d v="2025-02-05T00:00:00"/>
    <s v="ZBTO"/>
    <n v="9518495843"/>
    <n v="6"/>
    <s v="9518495843-6"/>
    <s v="May'25"/>
    <x v="0"/>
    <s v="Yes"/>
    <x v="3"/>
    <x v="9"/>
    <n v="2000"/>
    <m/>
    <x v="0"/>
    <m/>
    <m/>
    <s v="West Bengal"/>
    <s v="East"/>
    <m/>
    <m/>
    <n v="100922"/>
    <s v="BUBNA COMMERCIAL COMPANY"/>
    <n v="1142897"/>
    <s v="GP COIL SOFT-TATXGP-GLK1-0.6X900"/>
    <m/>
    <m/>
    <m/>
    <m/>
    <m/>
    <s v="C02"/>
    <s v="TATXGP"/>
    <s v="GLK1"/>
    <n v="0.6"/>
    <n v="900"/>
    <n v="0"/>
    <n v="63"/>
    <n v="0"/>
    <n v="63"/>
    <n v="63"/>
    <n v="63"/>
    <n v="63"/>
    <n v="0"/>
    <n v="0"/>
    <n v="0"/>
    <n v="0"/>
    <n v="0"/>
    <n v="0"/>
    <n v="0"/>
    <n v="0"/>
    <n v="0"/>
    <n v="0"/>
    <n v="0"/>
    <n v="0"/>
    <n v="0"/>
    <n v="0"/>
    <n v="0"/>
    <n v="0"/>
    <n v="0"/>
    <n v="0"/>
    <n v="0"/>
    <n v="0"/>
    <n v="0"/>
    <n v="0"/>
    <n v="0"/>
    <m/>
    <n v="0"/>
    <n v="0"/>
    <n v="0"/>
    <n v="0"/>
    <n v="0"/>
    <n v="0"/>
    <n v="0"/>
    <n v="0"/>
    <n v="0"/>
    <n v="0"/>
    <n v="0"/>
    <n v="0"/>
    <n v="0"/>
    <m/>
    <m/>
    <m/>
    <m/>
    <m/>
    <m/>
    <m/>
    <m/>
    <m/>
    <m/>
    <m/>
    <m/>
    <m/>
    <m/>
    <m/>
    <m/>
    <m/>
    <m/>
    <m/>
    <m/>
    <m/>
    <m/>
    <m/>
    <m/>
    <m/>
    <m/>
    <m/>
    <m/>
    <m/>
    <m/>
    <m/>
    <m/>
    <m/>
    <m/>
    <m/>
  </r>
  <r>
    <n v="742"/>
    <d v="2025-02-10T00:00:00"/>
    <s v="ZBTO"/>
    <n v="9518506597"/>
    <n v="1"/>
    <s v="9518506597-1"/>
    <s v="No Priority"/>
    <x v="0"/>
    <m/>
    <x v="1"/>
    <x v="10"/>
    <n v="1000"/>
    <m/>
    <x v="0"/>
    <m/>
    <m/>
    <s v="Tamil Nadu"/>
    <s v="South"/>
    <m/>
    <m/>
    <n v="122082"/>
    <s v="GODREJ AND BOYCE MANUFACTURING"/>
    <n v="3870547"/>
    <s v="CR COIL TATXHS GB03 1.500X1258"/>
    <m/>
    <m/>
    <m/>
    <m/>
    <m/>
    <s v="C01"/>
    <s v="TATXHS"/>
    <s v="GB03"/>
    <n v="1.5"/>
    <n v="1258"/>
    <n v="0"/>
    <n v="261"/>
    <n v="0"/>
    <n v="261"/>
    <n v="261"/>
    <n v="261"/>
    <n v="261"/>
    <n v="0"/>
    <n v="0"/>
    <n v="0"/>
    <n v="0"/>
    <n v="0"/>
    <n v="0"/>
    <n v="0"/>
    <n v="0"/>
    <n v="0"/>
    <n v="0"/>
    <n v="0"/>
    <n v="0"/>
    <n v="0"/>
    <n v="0"/>
    <n v="0"/>
    <n v="0"/>
    <n v="0"/>
    <n v="0"/>
    <n v="0"/>
    <n v="0"/>
    <n v="0"/>
    <n v="0"/>
    <n v="0"/>
    <m/>
    <n v="0"/>
    <n v="0"/>
    <n v="0"/>
    <n v="0"/>
    <n v="0"/>
    <n v="0"/>
    <n v="0"/>
    <n v="0"/>
    <n v="0"/>
    <n v="0"/>
    <n v="0"/>
    <n v="0"/>
    <n v="0"/>
    <m/>
    <m/>
    <m/>
    <m/>
    <m/>
    <m/>
    <m/>
    <m/>
    <m/>
    <m/>
    <m/>
    <m/>
    <m/>
    <m/>
    <m/>
    <m/>
    <m/>
    <m/>
    <m/>
    <m/>
    <m/>
    <m/>
    <m/>
    <m/>
    <m/>
    <m/>
    <m/>
    <m/>
    <m/>
    <m/>
    <m/>
    <m/>
    <m/>
    <m/>
    <m/>
  </r>
  <r>
    <n v="742"/>
    <d v="2025-02-05T00:00:00"/>
    <s v="ZBTO"/>
    <n v="9518495920"/>
    <n v="1"/>
    <s v="9518495920-1"/>
    <s v="No Priority"/>
    <x v="1"/>
    <s v="Yes"/>
    <x v="1"/>
    <x v="2"/>
    <n v="2000"/>
    <m/>
    <x v="0"/>
    <m/>
    <m/>
    <s v="Uttar Pradesh"/>
    <s v="North"/>
    <m/>
    <m/>
    <n v="931525"/>
    <s v="INDIA STEEL INDUSTRIES"/>
    <n v="3239557"/>
    <s v="CRCA SHEET TATCRC SR16 0.400X1250X2500"/>
    <m/>
    <m/>
    <m/>
    <m/>
    <m/>
    <s v="C06"/>
    <s v="TATCRC"/>
    <s v="SR16"/>
    <n v="0.4"/>
    <n v="1250"/>
    <n v="0"/>
    <n v="27"/>
    <n v="0"/>
    <n v="27"/>
    <n v="27"/>
    <n v="27"/>
    <n v="27"/>
    <n v="0"/>
    <n v="0"/>
    <n v="0"/>
    <n v="0"/>
    <n v="0"/>
    <n v="0"/>
    <n v="0"/>
    <n v="0"/>
    <n v="0"/>
    <n v="0"/>
    <n v="0"/>
    <n v="0"/>
    <n v="0"/>
    <n v="0"/>
    <n v="0"/>
    <n v="0"/>
    <n v="0"/>
    <n v="0"/>
    <n v="0"/>
    <n v="0"/>
    <n v="0"/>
    <n v="0"/>
    <n v="0"/>
    <m/>
    <n v="0"/>
    <n v="0"/>
    <n v="0"/>
    <n v="0"/>
    <n v="0"/>
    <n v="0"/>
    <n v="0"/>
    <n v="0"/>
    <n v="0"/>
    <n v="0"/>
    <n v="0"/>
    <n v="0"/>
    <n v="0"/>
    <m/>
    <m/>
    <m/>
    <m/>
    <m/>
    <m/>
    <m/>
    <m/>
    <m/>
    <m/>
    <m/>
    <m/>
    <m/>
    <m/>
    <m/>
    <m/>
    <m/>
    <m/>
    <m/>
    <m/>
    <m/>
    <m/>
    <m/>
    <m/>
    <m/>
    <m/>
    <m/>
    <m/>
    <m/>
    <m/>
    <m/>
    <m/>
    <m/>
    <m/>
    <m/>
  </r>
  <r>
    <n v="742"/>
    <d v="2025-02-05T00:00:00"/>
    <s v="ZBTO"/>
    <n v="9518495920"/>
    <n v="5"/>
    <s v="9518495920-5"/>
    <s v="No Priority"/>
    <x v="0"/>
    <s v="Yes"/>
    <x v="1"/>
    <x v="2"/>
    <n v="2000"/>
    <m/>
    <x v="0"/>
    <m/>
    <m/>
    <s v="Uttar Pradesh"/>
    <s v="North"/>
    <m/>
    <m/>
    <n v="931525"/>
    <s v="INDIA STEEL INDUSTRIES"/>
    <n v="3437524"/>
    <s v="CRCA SHEET TATCRC SR16 0.400X1250X2030"/>
    <m/>
    <m/>
    <m/>
    <m/>
    <m/>
    <s v="C06"/>
    <s v="TATCRC"/>
    <s v="SR16"/>
    <n v="0.4"/>
    <n v="1250"/>
    <n v="2030"/>
    <n v="27"/>
    <n v="0"/>
    <n v="27"/>
    <n v="27"/>
    <n v="27"/>
    <n v="27"/>
    <n v="0"/>
    <n v="0"/>
    <n v="0"/>
    <n v="0"/>
    <n v="0"/>
    <n v="0"/>
    <n v="0"/>
    <n v="0"/>
    <n v="0"/>
    <n v="0"/>
    <n v="0"/>
    <n v="0"/>
    <n v="0"/>
    <n v="0"/>
    <n v="0"/>
    <n v="0"/>
    <n v="0"/>
    <n v="0"/>
    <n v="0"/>
    <n v="0"/>
    <n v="0"/>
    <n v="0"/>
    <n v="0"/>
    <m/>
    <n v="0"/>
    <n v="0"/>
    <n v="0"/>
    <n v="0"/>
    <n v="0"/>
    <n v="0"/>
    <n v="0"/>
    <n v="0"/>
    <n v="0"/>
    <n v="0"/>
    <n v="0"/>
    <n v="0"/>
    <n v="0"/>
    <m/>
    <m/>
    <m/>
    <m/>
    <m/>
    <m/>
    <m/>
    <m/>
    <m/>
    <m/>
    <m/>
    <m/>
    <m/>
    <m/>
    <m/>
    <m/>
    <m/>
    <m/>
    <m/>
    <m/>
    <m/>
    <m/>
    <m/>
    <m/>
    <m/>
    <m/>
    <m/>
    <m/>
    <m/>
    <m/>
    <m/>
    <m/>
    <m/>
    <m/>
    <m/>
  </r>
  <r>
    <n v="743"/>
    <d v="2025-02-17T00:00:00"/>
    <s v="ZBTO"/>
    <n v="9518527008"/>
    <n v="1"/>
    <s v="9518527008-1"/>
    <s v="No Priority"/>
    <x v="1"/>
    <m/>
    <x v="3"/>
    <x v="9"/>
    <n v="2000"/>
    <m/>
    <x v="0"/>
    <m/>
    <m/>
    <s v="Uttar Pradesh"/>
    <s v="North"/>
    <m/>
    <m/>
    <n v="931234"/>
    <s v="JAI LAXMI STEELS"/>
    <n v="1319275"/>
    <s v="GP COIL SOFT-TATXGP-GLK1-0.2X900"/>
    <m/>
    <m/>
    <m/>
    <m/>
    <m/>
    <s v="C02"/>
    <s v="TATXGP"/>
    <s v="GLK1"/>
    <n v="0.2"/>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2-17T00:00:00"/>
    <s v="ZBTO"/>
    <n v="9518527008"/>
    <n v="5"/>
    <s v="9518527008-5"/>
    <s v="No Priority"/>
    <x v="1"/>
    <m/>
    <x v="3"/>
    <x v="9"/>
    <n v="2000"/>
    <m/>
    <x v="0"/>
    <m/>
    <m/>
    <s v="Uttar Pradesh"/>
    <s v="North"/>
    <m/>
    <m/>
    <n v="931234"/>
    <s v="JAI LAXMI STEELS"/>
    <n v="2270690"/>
    <s v="GP COIL SOFT TATXGP GLK1 0.25X1000"/>
    <m/>
    <m/>
    <m/>
    <m/>
    <m/>
    <s v="C02"/>
    <s v="TATXGP"/>
    <s v="GLK1"/>
    <n v="0.25"/>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3"/>
    <d v="2025-02-18T00:00:00"/>
    <s v="ZBTO"/>
    <n v="9518529960"/>
    <n v="3"/>
    <s v="9518529960-3"/>
    <s v="May'25"/>
    <x v="0"/>
    <m/>
    <x v="4"/>
    <x v="5"/>
    <n v="1000"/>
    <m/>
    <x v="1"/>
    <m/>
    <m/>
    <s v="Telangana"/>
    <s v="South"/>
    <m/>
    <m/>
    <n v="188152"/>
    <s v="Metalkraft Forming Industries"/>
    <n v="3903395"/>
    <s v="GL COIL HARD  Y550GL GL6H 0.900X1220"/>
    <m/>
    <m/>
    <m/>
    <m/>
    <m/>
    <s v="B04"/>
    <s v="Y550GL"/>
    <s v="GL6H"/>
    <n v="0.9"/>
    <n v="1220"/>
    <n v="0"/>
    <n v="196"/>
    <n v="0"/>
    <n v="196"/>
    <n v="196"/>
    <n v="138.76999999999998"/>
    <n v="177.61500000000001"/>
    <n v="0"/>
    <n v="0"/>
    <n v="0"/>
    <n v="0"/>
    <n v="0"/>
    <n v="0"/>
    <n v="0"/>
    <n v="24.945"/>
    <n v="0"/>
    <n v="0"/>
    <n v="0"/>
    <n v="0"/>
    <n v="0"/>
    <n v="0"/>
    <n v="0"/>
    <n v="0"/>
    <n v="0"/>
    <n v="0"/>
    <n v="32.285000000000004"/>
    <n v="57.230000000000004"/>
    <n v="57.230000000000004"/>
    <n v="0"/>
    <n v="57.230000000000004"/>
    <m/>
    <n v="10.73"/>
    <n v="177.61500000000001"/>
    <n v="0"/>
    <n v="0"/>
    <n v="177.61500000000001"/>
    <n v="0"/>
    <n v="0"/>
    <n v="0"/>
    <n v="0"/>
    <n v="0"/>
    <n v="0"/>
    <n v="0"/>
    <n v="0"/>
    <m/>
    <m/>
    <m/>
    <m/>
    <m/>
    <m/>
    <m/>
    <m/>
    <m/>
    <m/>
    <m/>
    <m/>
    <m/>
    <m/>
    <m/>
    <m/>
    <m/>
    <m/>
    <m/>
    <m/>
    <m/>
    <m/>
    <m/>
    <m/>
    <m/>
    <m/>
    <m/>
    <m/>
    <m/>
    <m/>
    <m/>
    <m/>
    <m/>
    <m/>
    <m/>
  </r>
  <r>
    <n v="743"/>
    <d v="2025-02-19T00:00:00"/>
    <s v="ZBTO"/>
    <n v="9518531619"/>
    <n v="1"/>
    <s v="9518531619-1"/>
    <s v="No Priority"/>
    <x v="0"/>
    <m/>
    <x v="4"/>
    <x v="5"/>
    <n v="1000"/>
    <m/>
    <x v="0"/>
    <m/>
    <s v="Centre slit HR not available"/>
    <s v="Telangana"/>
    <s v="South"/>
    <m/>
    <m/>
    <n v="188152"/>
    <s v="Metalkraft Forming Industries"/>
    <n v="3951358"/>
    <s v="GL COIL HARD  Y550GL GL6H 0.900X1050"/>
    <m/>
    <m/>
    <m/>
    <m/>
    <m/>
    <s v="B04"/>
    <s v="Y550GL"/>
    <s v="GL6H"/>
    <n v="0.9"/>
    <n v="1050"/>
    <n v="0"/>
    <n v="243"/>
    <n v="0"/>
    <n v="243"/>
    <n v="243"/>
    <n v="243"/>
    <n v="240"/>
    <n v="0"/>
    <n v="0"/>
    <n v="0"/>
    <n v="0"/>
    <n v="0"/>
    <n v="0"/>
    <n v="0"/>
    <n v="0"/>
    <n v="0"/>
    <n v="0"/>
    <n v="0"/>
    <n v="0"/>
    <n v="0"/>
    <n v="0"/>
    <n v="0"/>
    <n v="0"/>
    <n v="0"/>
    <n v="0"/>
    <n v="0"/>
    <n v="0"/>
    <n v="0"/>
    <n v="0"/>
    <n v="0"/>
    <m/>
    <n v="0"/>
    <n v="0"/>
    <n v="0"/>
    <n v="0"/>
    <n v="0"/>
    <n v="0"/>
    <n v="0"/>
    <n v="0"/>
    <n v="0"/>
    <n v="0"/>
    <n v="0"/>
    <n v="0"/>
    <n v="0"/>
    <m/>
    <m/>
    <m/>
    <m/>
    <m/>
    <m/>
    <m/>
    <m/>
    <m/>
    <m/>
    <m/>
    <m/>
    <m/>
    <m/>
    <m/>
    <m/>
    <m/>
    <m/>
    <m/>
    <m/>
    <m/>
    <m/>
    <m/>
    <m/>
    <m/>
    <m/>
    <m/>
    <m/>
    <m/>
    <m/>
    <m/>
    <m/>
    <m/>
    <m/>
    <m/>
  </r>
  <r>
    <n v="743"/>
    <d v="2025-02-19T00:00:00"/>
    <s v="ZBTO"/>
    <n v="9518531619"/>
    <n v="2"/>
    <s v="9518531619-2"/>
    <s v="No Priority"/>
    <x v="0"/>
    <m/>
    <x v="4"/>
    <x v="5"/>
    <n v="1000"/>
    <m/>
    <x v="0"/>
    <m/>
    <s v="Centre slit HR not available"/>
    <s v="Telangana"/>
    <s v="South"/>
    <m/>
    <m/>
    <n v="188152"/>
    <s v="Metalkraft Forming Industries"/>
    <n v="3951358"/>
    <s v="GL COIL HARD  Y550GL GL6H 0.900X1050"/>
    <m/>
    <m/>
    <m/>
    <m/>
    <m/>
    <s v="B04"/>
    <s v="Y550GL"/>
    <s v="GL6H"/>
    <n v="0.9"/>
    <n v="1050"/>
    <n v="0"/>
    <n v="242"/>
    <n v="0"/>
    <n v="242"/>
    <n v="242"/>
    <n v="242"/>
    <n v="240"/>
    <n v="0"/>
    <n v="0"/>
    <n v="0"/>
    <n v="0"/>
    <n v="0"/>
    <n v="0"/>
    <n v="0"/>
    <n v="0"/>
    <n v="0"/>
    <n v="0"/>
    <n v="0"/>
    <n v="0"/>
    <n v="0"/>
    <n v="0"/>
    <n v="0"/>
    <n v="0"/>
    <n v="0"/>
    <n v="0"/>
    <n v="0"/>
    <n v="0"/>
    <n v="0"/>
    <n v="0"/>
    <n v="0"/>
    <m/>
    <n v="0"/>
    <n v="0"/>
    <n v="0"/>
    <n v="0"/>
    <n v="0"/>
    <n v="0"/>
    <n v="0"/>
    <n v="0"/>
    <n v="0"/>
    <n v="0"/>
    <n v="0"/>
    <n v="0"/>
    <n v="0"/>
    <m/>
    <m/>
    <m/>
    <m/>
    <m/>
    <m/>
    <m/>
    <m/>
    <m/>
    <m/>
    <m/>
    <m/>
    <m/>
    <m/>
    <m/>
    <m/>
    <m/>
    <m/>
    <m/>
    <m/>
    <m/>
    <m/>
    <m/>
    <m/>
    <m/>
    <m/>
    <m/>
    <m/>
    <m/>
    <m/>
    <m/>
    <m/>
    <m/>
    <m/>
    <m/>
  </r>
  <r>
    <n v="743"/>
    <d v="2025-02-19T00:00:00"/>
    <s v="ZBTO"/>
    <n v="9518531619"/>
    <n v="3"/>
    <s v="9518531619-3"/>
    <s v="No Priority"/>
    <x v="0"/>
    <m/>
    <x v="4"/>
    <x v="5"/>
    <n v="1000"/>
    <m/>
    <x v="0"/>
    <m/>
    <s v="Centre slit HR not available"/>
    <s v="Telangana"/>
    <s v="South"/>
    <m/>
    <m/>
    <n v="188152"/>
    <s v="Metalkraft Forming Industries"/>
    <n v="3951358"/>
    <s v="GL COIL HARD  Y550GL GL6H 0.900X1050"/>
    <m/>
    <m/>
    <m/>
    <m/>
    <m/>
    <s v="B04"/>
    <s v="Y550GL"/>
    <s v="GL6H"/>
    <n v="0.9"/>
    <n v="1050"/>
    <n v="0"/>
    <n v="75"/>
    <n v="0"/>
    <n v="75"/>
    <n v="75"/>
    <n v="75"/>
    <n v="72"/>
    <n v="0"/>
    <n v="0"/>
    <n v="0"/>
    <n v="0"/>
    <n v="0"/>
    <n v="0"/>
    <n v="0"/>
    <n v="0"/>
    <n v="0"/>
    <n v="0"/>
    <n v="0"/>
    <n v="0"/>
    <n v="0"/>
    <n v="0"/>
    <n v="0"/>
    <n v="0"/>
    <n v="0"/>
    <n v="0"/>
    <n v="0"/>
    <n v="0"/>
    <n v="0"/>
    <n v="0"/>
    <n v="0"/>
    <m/>
    <n v="0"/>
    <n v="0"/>
    <n v="0"/>
    <n v="0"/>
    <n v="0"/>
    <n v="0"/>
    <n v="0"/>
    <n v="0"/>
    <n v="0"/>
    <n v="0"/>
    <n v="0"/>
    <n v="0"/>
    <n v="0"/>
    <m/>
    <m/>
    <m/>
    <m/>
    <m/>
    <m/>
    <m/>
    <m/>
    <m/>
    <m/>
    <m/>
    <m/>
    <m/>
    <m/>
    <m/>
    <m/>
    <m/>
    <m/>
    <m/>
    <m/>
    <m/>
    <m/>
    <m/>
    <m/>
    <m/>
    <m/>
    <m/>
    <m/>
    <m/>
    <m/>
    <m/>
    <m/>
    <m/>
    <m/>
    <m/>
  </r>
  <r>
    <n v="742"/>
    <d v="2025-02-11T00:00:00"/>
    <s v="ZBTO"/>
    <n v="9518510371"/>
    <n v="6"/>
    <s v="9518510371-6"/>
    <s v="No Priority"/>
    <x v="0"/>
    <m/>
    <x v="1"/>
    <x v="1"/>
    <n v="2000"/>
    <m/>
    <x v="0"/>
    <m/>
    <m/>
    <s v="Uttar Pradesh"/>
    <s v="North"/>
    <m/>
    <m/>
    <n v="115841"/>
    <s v="O.V.S. ISPAT UDYOG"/>
    <n v="322585"/>
    <s v="CRCA SHEET TATCRC TR15 .9X1250X2500"/>
    <m/>
    <m/>
    <m/>
    <m/>
    <m/>
    <s v="C06"/>
    <s v="TATCRC"/>
    <s v="TR15"/>
    <n v="0.9"/>
    <n v="1250"/>
    <n v="2500"/>
    <n v="33"/>
    <n v="0"/>
    <n v="33"/>
    <n v="33"/>
    <n v="33"/>
    <n v="33"/>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8999"/>
    <n v="2"/>
    <s v="9518498999-2"/>
    <s v="No Priority"/>
    <x v="1"/>
    <m/>
    <x v="1"/>
    <x v="1"/>
    <n v="2000"/>
    <m/>
    <x v="0"/>
    <m/>
    <m/>
    <s v="Jharkhand"/>
    <s v="East"/>
    <m/>
    <m/>
    <n v="121328"/>
    <s v="R. S. BOKARO METAL (P) LTD."/>
    <n v="1804896"/>
    <s v="CRCA COIL-TATCRC-TR15-0.45X1000"/>
    <m/>
    <m/>
    <m/>
    <m/>
    <m/>
    <s v="C01"/>
    <s v="TATCRC"/>
    <s v="TR15"/>
    <n v="0.45"/>
    <n v="1000"/>
    <n v="0"/>
    <n v="92"/>
    <n v="0"/>
    <n v="92"/>
    <n v="92"/>
    <n v="92"/>
    <n v="92"/>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8999"/>
    <n v="3"/>
    <s v="9518498999-3"/>
    <s v="No Priority"/>
    <x v="1"/>
    <m/>
    <x v="1"/>
    <x v="1"/>
    <n v="2000"/>
    <m/>
    <x v="0"/>
    <m/>
    <m/>
    <s v="Jharkhand"/>
    <s v="East"/>
    <m/>
    <m/>
    <n v="121328"/>
    <s v="R. S. BOKARO METAL (P) LTD."/>
    <n v="1804905"/>
    <s v="CRCA COIL-TATCRC-TR15-0.5X1000"/>
    <m/>
    <m/>
    <m/>
    <m/>
    <m/>
    <s v="C01"/>
    <s v="TATCRC"/>
    <s v="TR15"/>
    <n v="0.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8999"/>
    <n v="4"/>
    <s v="9518498999-4"/>
    <s v="No Priority"/>
    <x v="1"/>
    <m/>
    <x v="1"/>
    <x v="1"/>
    <n v="2000"/>
    <m/>
    <x v="0"/>
    <m/>
    <m/>
    <s v="Jharkhand"/>
    <s v="East"/>
    <m/>
    <m/>
    <n v="121328"/>
    <s v="R. S. BOKARO METAL (P) LTD."/>
    <n v="1804914"/>
    <s v="CRCA COIL TATCRC TR15 0.6X1000"/>
    <m/>
    <m/>
    <m/>
    <m/>
    <m/>
    <s v="C01"/>
    <s v="TATCRC"/>
    <s v="TR15"/>
    <n v="0.6"/>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8999"/>
    <n v="5"/>
    <s v="9518498999-5"/>
    <s v="No Priority"/>
    <x v="1"/>
    <m/>
    <x v="1"/>
    <x v="1"/>
    <n v="2000"/>
    <m/>
    <x v="0"/>
    <m/>
    <m/>
    <s v="Jharkhand"/>
    <s v="East"/>
    <m/>
    <m/>
    <n v="121328"/>
    <s v="R. S. BOKARO METAL (P) LTD."/>
    <n v="38098"/>
    <s v="CRSHEET-ICF C01 TATCRC TR15 0.75 X 1000"/>
    <m/>
    <m/>
    <m/>
    <m/>
    <m/>
    <s v="C01"/>
    <s v="TATCRC"/>
    <s v="TR15"/>
    <n v="0.75"/>
    <n v="1000"/>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9138"/>
    <n v="1"/>
    <s v="9518499138-1"/>
    <s v="May'25"/>
    <x v="0"/>
    <s v="Yes"/>
    <x v="1"/>
    <x v="2"/>
    <n v="2000"/>
    <m/>
    <x v="1"/>
    <m/>
    <m/>
    <s v="Jharkhand"/>
    <s v="East"/>
    <m/>
    <m/>
    <n v="121328"/>
    <s v="R. S. BOKARO METAL (P) LTD."/>
    <n v="3239408"/>
    <s v="CRCA SHEET TATCRC SR16 0.300X900X2500"/>
    <m/>
    <m/>
    <m/>
    <m/>
    <m/>
    <s v="C06"/>
    <s v="TATCRC"/>
    <s v="SR16"/>
    <n v="0.3"/>
    <n v="900"/>
    <n v="2500"/>
    <n v="81"/>
    <n v="0"/>
    <n v="81"/>
    <n v="81"/>
    <n v="81"/>
    <n v="81"/>
    <n v="0"/>
    <n v="0"/>
    <n v="0"/>
    <n v="0"/>
    <n v="0"/>
    <n v="0"/>
    <n v="0"/>
    <n v="0"/>
    <n v="0"/>
    <n v="0"/>
    <n v="0"/>
    <n v="0"/>
    <n v="0"/>
    <n v="0"/>
    <n v="0"/>
    <n v="0"/>
    <n v="0"/>
    <n v="0"/>
    <n v="0"/>
    <n v="0"/>
    <n v="0"/>
    <n v="0"/>
    <n v="0"/>
    <m/>
    <n v="0"/>
    <n v="81"/>
    <n v="0"/>
    <n v="0"/>
    <n v="0"/>
    <n v="0"/>
    <n v="81"/>
    <n v="0"/>
    <n v="0"/>
    <n v="0"/>
    <n v="0"/>
    <n v="0"/>
    <n v="0"/>
    <m/>
    <m/>
    <m/>
    <m/>
    <m/>
    <m/>
    <m/>
    <m/>
    <m/>
    <m/>
    <m/>
    <m/>
    <m/>
    <m/>
    <m/>
    <m/>
    <m/>
    <m/>
    <m/>
    <m/>
    <m/>
    <m/>
    <m/>
    <m/>
    <m/>
    <m/>
    <m/>
    <m/>
    <m/>
    <m/>
    <m/>
    <m/>
    <m/>
    <m/>
    <m/>
  </r>
  <r>
    <n v="742"/>
    <d v="2025-02-06T00:00:00"/>
    <s v="ZBTO"/>
    <n v="9518499138"/>
    <n v="2"/>
    <s v="9518499138-2"/>
    <s v="May'25"/>
    <x v="0"/>
    <s v="Yes"/>
    <x v="1"/>
    <x v="2"/>
    <n v="2000"/>
    <m/>
    <x v="1"/>
    <m/>
    <m/>
    <s v="Jharkhand"/>
    <s v="East"/>
    <m/>
    <m/>
    <n v="121328"/>
    <s v="R. S. BOKARO METAL (P) LTD."/>
    <n v="2440959"/>
    <s v="CRCA SHEET TATCRC SR16 0.330X900X2500"/>
    <m/>
    <m/>
    <m/>
    <m/>
    <m/>
    <s v="C06"/>
    <s v="TATCRC"/>
    <s v="SR16"/>
    <n v="0.33"/>
    <n v="900"/>
    <n v="2500"/>
    <n v="60"/>
    <n v="0"/>
    <n v="60"/>
    <n v="60"/>
    <n v="60"/>
    <n v="60"/>
    <n v="0"/>
    <n v="0"/>
    <n v="0"/>
    <n v="0"/>
    <n v="0"/>
    <n v="0"/>
    <n v="0"/>
    <n v="0"/>
    <n v="0"/>
    <n v="0"/>
    <n v="0"/>
    <n v="0"/>
    <n v="0"/>
    <n v="0"/>
    <n v="0"/>
    <n v="0"/>
    <n v="0"/>
    <n v="0"/>
    <n v="0"/>
    <n v="0"/>
    <n v="0"/>
    <n v="0"/>
    <n v="0"/>
    <m/>
    <n v="0"/>
    <n v="60"/>
    <n v="0"/>
    <n v="0"/>
    <n v="0"/>
    <n v="0"/>
    <n v="60"/>
    <n v="0"/>
    <n v="0"/>
    <n v="0"/>
    <n v="0"/>
    <n v="0"/>
    <n v="0"/>
    <m/>
    <m/>
    <m/>
    <m/>
    <m/>
    <m/>
    <m/>
    <m/>
    <m/>
    <m/>
    <m/>
    <m/>
    <m/>
    <m/>
    <m/>
    <m/>
    <m/>
    <m/>
    <m/>
    <m/>
    <m/>
    <m/>
    <m/>
    <m/>
    <m/>
    <m/>
    <m/>
    <m/>
    <m/>
    <m/>
    <m/>
    <m/>
    <m/>
    <m/>
    <m/>
  </r>
  <r>
    <n v="742"/>
    <d v="2025-02-06T00:00:00"/>
    <s v="ZBTO"/>
    <n v="9518499138"/>
    <n v="3"/>
    <s v="9518499138-3"/>
    <s v="May'25"/>
    <x v="0"/>
    <s v="Yes"/>
    <x v="1"/>
    <x v="2"/>
    <n v="2000"/>
    <m/>
    <x v="1"/>
    <m/>
    <m/>
    <s v="Jharkhand"/>
    <s v="East"/>
    <m/>
    <m/>
    <n v="121328"/>
    <s v="R. S. BOKARO METAL (P) LTD."/>
    <n v="3152197"/>
    <s v="CRCA SHEET TATCRC SR16 0.330X1000X2500"/>
    <m/>
    <m/>
    <m/>
    <m/>
    <m/>
    <s v="C06"/>
    <s v="TATCRC"/>
    <s v="SR16"/>
    <n v="0.33"/>
    <n v="1000"/>
    <n v="2500"/>
    <n v="60"/>
    <n v="0"/>
    <n v="60"/>
    <n v="60"/>
    <n v="60"/>
    <n v="60"/>
    <n v="0"/>
    <n v="0"/>
    <n v="0"/>
    <n v="0"/>
    <n v="0"/>
    <n v="0"/>
    <n v="0"/>
    <n v="0"/>
    <n v="0"/>
    <n v="0"/>
    <n v="0"/>
    <n v="0"/>
    <n v="0"/>
    <n v="0"/>
    <n v="0"/>
    <n v="0"/>
    <n v="0"/>
    <n v="0"/>
    <n v="0"/>
    <n v="0"/>
    <n v="0"/>
    <n v="0"/>
    <n v="0"/>
    <m/>
    <n v="0"/>
    <n v="60"/>
    <n v="0"/>
    <n v="0"/>
    <n v="0"/>
    <n v="0"/>
    <n v="60"/>
    <n v="0"/>
    <n v="0"/>
    <n v="0"/>
    <n v="0"/>
    <n v="0"/>
    <n v="0"/>
    <m/>
    <m/>
    <m/>
    <m/>
    <m/>
    <m/>
    <m/>
    <m/>
    <m/>
    <m/>
    <m/>
    <m/>
    <m/>
    <m/>
    <m/>
    <m/>
    <m/>
    <m/>
    <m/>
    <m/>
    <m/>
    <m/>
    <m/>
    <m/>
    <m/>
    <m/>
    <m/>
    <m/>
    <m/>
    <m/>
    <m/>
    <m/>
    <m/>
    <m/>
    <m/>
  </r>
  <r>
    <n v="742"/>
    <d v="2025-02-06T00:00:00"/>
    <s v="ZBTO"/>
    <n v="9518499138"/>
    <n v="4"/>
    <s v="9518499138-4"/>
    <s v="No Priority"/>
    <x v="1"/>
    <s v="Yes"/>
    <x v="1"/>
    <x v="2"/>
    <n v="2000"/>
    <m/>
    <x v="0"/>
    <m/>
    <m/>
    <s v="Jharkhand"/>
    <s v="East"/>
    <m/>
    <m/>
    <n v="121328"/>
    <s v="R. S. BOKARO METAL (P) LTD."/>
    <n v="2441001"/>
    <s v="CRCA SHEET TATCRC SR16 0.380X900X2500"/>
    <m/>
    <m/>
    <m/>
    <m/>
    <m/>
    <s v="C06"/>
    <s v="TATCRC"/>
    <s v="SR16"/>
    <n v="0.38"/>
    <n v="900"/>
    <n v="2500"/>
    <n v="39"/>
    <n v="0"/>
    <n v="39"/>
    <n v="39"/>
    <n v="39"/>
    <n v="39"/>
    <n v="0"/>
    <n v="0"/>
    <n v="0"/>
    <n v="0"/>
    <n v="0"/>
    <n v="0"/>
    <n v="0"/>
    <n v="0"/>
    <n v="0"/>
    <n v="0"/>
    <n v="0"/>
    <n v="0"/>
    <n v="0"/>
    <n v="0"/>
    <n v="0"/>
    <n v="0"/>
    <n v="0"/>
    <n v="0"/>
    <n v="0"/>
    <n v="0"/>
    <n v="0"/>
    <n v="0"/>
    <n v="0"/>
    <m/>
    <n v="0"/>
    <n v="0"/>
    <n v="0"/>
    <n v="0"/>
    <n v="0"/>
    <n v="0"/>
    <n v="0"/>
    <n v="0"/>
    <n v="0"/>
    <n v="0"/>
    <n v="0"/>
    <n v="0"/>
    <n v="0"/>
    <m/>
    <m/>
    <m/>
    <m/>
    <m/>
    <m/>
    <m/>
    <m/>
    <m/>
    <m/>
    <m/>
    <m/>
    <m/>
    <m/>
    <m/>
    <m/>
    <m/>
    <m/>
    <m/>
    <m/>
    <m/>
    <m/>
    <m/>
    <m/>
    <m/>
    <m/>
    <m/>
    <m/>
    <m/>
    <m/>
    <m/>
    <m/>
    <m/>
    <m/>
    <m/>
  </r>
  <r>
    <n v="742"/>
    <d v="2025-02-06T00:00:00"/>
    <s v="ZBTO"/>
    <n v="9518499138"/>
    <n v="5"/>
    <s v="9518499138-5"/>
    <s v="No Priority"/>
    <x v="1"/>
    <s v="Yes"/>
    <x v="1"/>
    <x v="2"/>
    <n v="2000"/>
    <m/>
    <x v="0"/>
    <m/>
    <m/>
    <s v="Jharkhand"/>
    <s v="East"/>
    <m/>
    <m/>
    <n v="121328"/>
    <s v="R. S. BOKARO METAL (P) LTD."/>
    <n v="3152198"/>
    <s v="CRCA SHEET TATCRC SR16 0.380X1000X2500"/>
    <m/>
    <m/>
    <m/>
    <m/>
    <m/>
    <s v="C06"/>
    <s v="TATCRC"/>
    <s v="SR16"/>
    <n v="0.38"/>
    <n v="1000"/>
    <n v="2500"/>
    <n v="60"/>
    <n v="0"/>
    <n v="60"/>
    <n v="60"/>
    <n v="60"/>
    <n v="60"/>
    <n v="0"/>
    <n v="0"/>
    <n v="0"/>
    <n v="0"/>
    <n v="0"/>
    <n v="0"/>
    <n v="0"/>
    <n v="0"/>
    <n v="0"/>
    <n v="0"/>
    <n v="0"/>
    <n v="0"/>
    <n v="0"/>
    <n v="0"/>
    <n v="0"/>
    <n v="0"/>
    <n v="0"/>
    <n v="0"/>
    <n v="0"/>
    <n v="0"/>
    <n v="0"/>
    <n v="0"/>
    <n v="0"/>
    <m/>
    <n v="0"/>
    <n v="0"/>
    <n v="0"/>
    <n v="0"/>
    <n v="0"/>
    <n v="0"/>
    <n v="0"/>
    <n v="0"/>
    <n v="0"/>
    <n v="0"/>
    <n v="0"/>
    <n v="0"/>
    <n v="0"/>
    <m/>
    <m/>
    <m/>
    <m/>
    <m/>
    <m/>
    <m/>
    <m/>
    <m/>
    <m/>
    <m/>
    <m/>
    <m/>
    <m/>
    <m/>
    <m/>
    <m/>
    <m/>
    <m/>
    <m/>
    <m/>
    <m/>
    <m/>
    <m/>
    <m/>
    <m/>
    <m/>
    <m/>
    <m/>
    <m/>
    <m/>
    <m/>
    <m/>
    <m/>
    <m/>
  </r>
  <r>
    <n v="742"/>
    <d v="2025-02-21T00:00:00"/>
    <s v="ZBTO"/>
    <n v="9518540139"/>
    <n v="1"/>
    <s v="9518540139-1"/>
    <s v="May'25"/>
    <x v="0"/>
    <s v="Yes"/>
    <x v="1"/>
    <x v="2"/>
    <n v="2000"/>
    <m/>
    <x v="1"/>
    <m/>
    <m/>
    <s v="Jharkhand"/>
    <s v="East"/>
    <m/>
    <m/>
    <n v="121328"/>
    <s v="R. S. BOKARO METAL (P) LTD."/>
    <n v="3952438"/>
    <s v="CRCA SHEET TATCRC SR18 0.600X1250X2500"/>
    <m/>
    <m/>
    <m/>
    <m/>
    <m/>
    <s v="C06"/>
    <s v="TATCRC"/>
    <s v="SR18"/>
    <n v="0.6"/>
    <n v="1250"/>
    <n v="2500"/>
    <n v="27"/>
    <n v="0"/>
    <n v="27"/>
    <n v="27"/>
    <n v="27"/>
    <n v="27"/>
    <n v="0"/>
    <n v="0"/>
    <n v="0"/>
    <n v="0"/>
    <n v="0"/>
    <n v="0"/>
    <n v="0"/>
    <n v="0"/>
    <n v="0"/>
    <n v="0"/>
    <n v="0"/>
    <n v="0"/>
    <n v="0"/>
    <n v="0"/>
    <n v="0"/>
    <n v="0"/>
    <n v="0"/>
    <n v="0"/>
    <n v="0"/>
    <n v="0"/>
    <n v="0"/>
    <n v="0"/>
    <n v="0"/>
    <m/>
    <n v="0"/>
    <n v="0"/>
    <n v="0"/>
    <n v="0"/>
    <n v="0"/>
    <n v="0"/>
    <n v="0"/>
    <n v="0"/>
    <n v="0"/>
    <n v="0"/>
    <n v="0"/>
    <n v="0"/>
    <n v="0"/>
    <m/>
    <m/>
    <m/>
    <m/>
    <m/>
    <m/>
    <m/>
    <m/>
    <m/>
    <m/>
    <m/>
    <m/>
    <m/>
    <m/>
    <m/>
    <m/>
    <m/>
    <m/>
    <m/>
    <m/>
    <m/>
    <m/>
    <m/>
    <m/>
    <m/>
    <m/>
    <m/>
    <m/>
    <m/>
    <m/>
    <m/>
    <m/>
    <m/>
    <m/>
    <m/>
  </r>
  <r>
    <n v="742"/>
    <d v="2025-02-17T00:00:00"/>
    <s v="ZBTO"/>
    <n v="9518526126"/>
    <n v="1"/>
    <s v="9518526126-1"/>
    <s v="No Priority"/>
    <x v="0"/>
    <m/>
    <x v="1"/>
    <x v="1"/>
    <n v="2000"/>
    <m/>
    <x v="0"/>
    <m/>
    <m/>
    <s v="Uttar Pradesh"/>
    <s v="North"/>
    <m/>
    <m/>
    <n v="116734"/>
    <s v="R.S. STEELS"/>
    <n v="1801022"/>
    <s v="CRCA COIL-TATXXD-AU03-0.45X1250"/>
    <m/>
    <m/>
    <m/>
    <m/>
    <m/>
    <s v="C01"/>
    <s v="TATXXD"/>
    <s v="AU03"/>
    <n v="0.4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3"/>
    <d v="2025-02-20T00:00:00"/>
    <s v="ZBTO"/>
    <n v="9518534963"/>
    <n v="1"/>
    <s v="9518534963-1"/>
    <s v="No Priority"/>
    <x v="0"/>
    <m/>
    <x v="3"/>
    <x v="9"/>
    <n v="2000"/>
    <m/>
    <x v="0"/>
    <m/>
    <m/>
    <s v="Delhi"/>
    <s v="North"/>
    <m/>
    <m/>
    <n v="183259"/>
    <s v="Rakesh Steel Inds.(P) Ltd."/>
    <n v="1319275"/>
    <s v="GP COIL SOFT-TATXGP-GLK1-0.2X900"/>
    <m/>
    <m/>
    <m/>
    <m/>
    <m/>
    <s v="C02"/>
    <s v="TATXGP"/>
    <s v="GLK1"/>
    <n v="0.2"/>
    <n v="90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3"/>
    <d v="2025-02-20T00:00:00"/>
    <s v="ZBTO"/>
    <n v="9518534963"/>
    <n v="4"/>
    <s v="9518534963-4"/>
    <s v="No Priority"/>
    <x v="0"/>
    <m/>
    <x v="3"/>
    <x v="9"/>
    <n v="2000"/>
    <m/>
    <x v="0"/>
    <m/>
    <m/>
    <s v="Delhi"/>
    <s v="North"/>
    <m/>
    <m/>
    <n v="183259"/>
    <s v="Rakesh Steel Inds.(P) Ltd."/>
    <n v="2270690"/>
    <s v="GP COIL SOFT TATXGP GLK1 0.25X1000"/>
    <m/>
    <m/>
    <m/>
    <m/>
    <m/>
    <s v="C02"/>
    <s v="TATXGP"/>
    <s v="GLK1"/>
    <n v="0.25"/>
    <n v="1000"/>
    <n v="0"/>
    <n v="46"/>
    <n v="0"/>
    <n v="46"/>
    <n v="46"/>
    <n v="46"/>
    <n v="46"/>
    <n v="0"/>
    <n v="0"/>
    <n v="0"/>
    <n v="0"/>
    <n v="0"/>
    <n v="0"/>
    <n v="0"/>
    <n v="0"/>
    <n v="0"/>
    <n v="0"/>
    <n v="0"/>
    <n v="0"/>
    <n v="0"/>
    <n v="0"/>
    <n v="0"/>
    <n v="0"/>
    <n v="0"/>
    <n v="0"/>
    <n v="0"/>
    <n v="0"/>
    <n v="0"/>
    <n v="0"/>
    <n v="0"/>
    <m/>
    <n v="0"/>
    <n v="0"/>
    <n v="0"/>
    <n v="0"/>
    <n v="0"/>
    <n v="0"/>
    <n v="0"/>
    <n v="0"/>
    <n v="0"/>
    <n v="0"/>
    <n v="0"/>
    <n v="0"/>
    <n v="0"/>
    <m/>
    <m/>
    <m/>
    <m/>
    <m/>
    <m/>
    <m/>
    <m/>
    <m/>
    <m/>
    <m/>
    <m/>
    <m/>
    <m/>
    <m/>
    <m/>
    <m/>
    <m/>
    <m/>
    <m/>
    <m/>
    <m/>
    <m/>
    <m/>
    <m/>
    <m/>
    <m/>
    <m/>
    <m/>
    <m/>
    <m/>
    <m/>
    <m/>
    <m/>
    <m/>
  </r>
  <r>
    <n v="743"/>
    <d v="2025-02-20T00:00:00"/>
    <s v="ZBTO"/>
    <n v="9518534963"/>
    <n v="5"/>
    <s v="9518534963-5"/>
    <s v="No Priority"/>
    <x v="0"/>
    <m/>
    <x v="3"/>
    <x v="9"/>
    <n v="2000"/>
    <m/>
    <x v="0"/>
    <m/>
    <m/>
    <s v="Delhi"/>
    <s v="North"/>
    <m/>
    <m/>
    <n v="183259"/>
    <s v="Rakesh Steel Inds.(P) Ltd."/>
    <n v="1851066"/>
    <s v="GP COIL SOFT-TATXGP-GLK1-0.25X900"/>
    <m/>
    <m/>
    <m/>
    <m/>
    <m/>
    <s v="C02"/>
    <s v="TATXGP"/>
    <s v="GLK1"/>
    <n v="0.25"/>
    <n v="900"/>
    <n v="0"/>
    <n v="21"/>
    <n v="0"/>
    <n v="21"/>
    <n v="21"/>
    <n v="21"/>
    <n v="21"/>
    <n v="0"/>
    <n v="0"/>
    <n v="0"/>
    <n v="0"/>
    <n v="0"/>
    <n v="0"/>
    <n v="0"/>
    <n v="0"/>
    <n v="0"/>
    <n v="0"/>
    <n v="0"/>
    <n v="0"/>
    <n v="0"/>
    <n v="0"/>
    <n v="0"/>
    <n v="0"/>
    <n v="0"/>
    <n v="0"/>
    <n v="0"/>
    <n v="0"/>
    <n v="0"/>
    <n v="0"/>
    <n v="0"/>
    <m/>
    <n v="0"/>
    <n v="0"/>
    <n v="0"/>
    <n v="0"/>
    <n v="0"/>
    <n v="0"/>
    <n v="0"/>
    <n v="0"/>
    <n v="0"/>
    <n v="0"/>
    <n v="0"/>
    <n v="0"/>
    <n v="0"/>
    <m/>
    <m/>
    <m/>
    <m/>
    <m/>
    <m/>
    <m/>
    <m/>
    <m/>
    <m/>
    <m/>
    <m/>
    <m/>
    <m/>
    <m/>
    <m/>
    <m/>
    <m/>
    <m/>
    <m/>
    <m/>
    <m/>
    <m/>
    <m/>
    <m/>
    <m/>
    <m/>
    <m/>
    <m/>
    <m/>
    <m/>
    <m/>
    <m/>
    <m/>
    <m/>
  </r>
  <r>
    <n v="743"/>
    <d v="2025-02-14T00:00:00"/>
    <s v="ZBTO"/>
    <n v="9518519921"/>
    <n v="1"/>
    <s v="9518519921-1"/>
    <s v="May'25"/>
    <x v="1"/>
    <m/>
    <x v="3"/>
    <x v="0"/>
    <n v="2000"/>
    <n v="800"/>
    <x v="1"/>
    <m/>
    <m/>
    <s v="Jammu &amp; Kashmir"/>
    <s v="North"/>
    <m/>
    <m/>
    <n v="115190"/>
    <s v="SHEYRUB AGENCIES"/>
    <n v="3897427"/>
    <s v="GP COIL XXXGPH GPH3 0.250X900"/>
    <m/>
    <m/>
    <m/>
    <m/>
    <m/>
    <s v="C05"/>
    <s v="XXXGPH"/>
    <s v="GPH3"/>
    <n v="0.25"/>
    <n v="900"/>
    <n v="0"/>
    <n v="21"/>
    <n v="0"/>
    <n v="21"/>
    <n v="21"/>
    <n v="21"/>
    <n v="21"/>
    <n v="0"/>
    <n v="0"/>
    <n v="0"/>
    <n v="0"/>
    <n v="0"/>
    <n v="0"/>
    <n v="0"/>
    <n v="0"/>
    <n v="0"/>
    <n v="0"/>
    <n v="0"/>
    <n v="0"/>
    <n v="0"/>
    <n v="0"/>
    <n v="0"/>
    <n v="0"/>
    <n v="0"/>
    <n v="0"/>
    <n v="0"/>
    <n v="0"/>
    <n v="0"/>
    <n v="0"/>
    <n v="0"/>
    <m/>
    <n v="0"/>
    <n v="21"/>
    <n v="0"/>
    <n v="0"/>
    <n v="21"/>
    <n v="0"/>
    <n v="0"/>
    <n v="0"/>
    <n v="0"/>
    <n v="0"/>
    <n v="0"/>
    <n v="0"/>
    <n v="0"/>
    <m/>
    <m/>
    <m/>
    <m/>
    <m/>
    <m/>
    <m/>
    <m/>
    <m/>
    <m/>
    <m/>
    <m/>
    <m/>
    <m/>
    <m/>
    <m/>
    <m/>
    <m/>
    <m/>
    <m/>
    <m/>
    <m/>
    <m/>
    <m/>
    <m/>
    <m/>
    <m/>
    <m/>
    <m/>
    <m/>
    <m/>
    <m/>
    <m/>
    <m/>
    <m/>
  </r>
  <r>
    <n v="743"/>
    <d v="2025-02-14T00:00:00"/>
    <s v="ZBTO"/>
    <n v="9518519921"/>
    <n v="2"/>
    <s v="9518519921-2"/>
    <s v="May'25"/>
    <x v="1"/>
    <m/>
    <x v="3"/>
    <x v="0"/>
    <n v="2000"/>
    <m/>
    <x v="1"/>
    <m/>
    <m/>
    <s v="Jammu &amp; Kashmir"/>
    <s v="North"/>
    <m/>
    <m/>
    <n v="115190"/>
    <s v="SHEYRUB AGENCIES"/>
    <n v="3897428"/>
    <s v="GP COIL XXXGPH GPH3 0.300X900"/>
    <m/>
    <m/>
    <m/>
    <m/>
    <m/>
    <s v="C05"/>
    <s v="XXXGPH"/>
    <s v="GPH3"/>
    <n v="0.3"/>
    <n v="900"/>
    <n v="0"/>
    <n v="21"/>
    <n v="0"/>
    <n v="21"/>
    <n v="21"/>
    <n v="21"/>
    <n v="21"/>
    <n v="0"/>
    <n v="0"/>
    <n v="0"/>
    <n v="0"/>
    <n v="0"/>
    <n v="0"/>
    <n v="0"/>
    <n v="0"/>
    <n v="0"/>
    <n v="0"/>
    <n v="0"/>
    <n v="0"/>
    <n v="0"/>
    <n v="0"/>
    <n v="0"/>
    <n v="0"/>
    <n v="0"/>
    <n v="0"/>
    <n v="0"/>
    <n v="0"/>
    <n v="0"/>
    <n v="0"/>
    <n v="0"/>
    <m/>
    <n v="0"/>
    <n v="21"/>
    <n v="0"/>
    <n v="0"/>
    <n v="21"/>
    <n v="0"/>
    <n v="0"/>
    <n v="0"/>
    <n v="0"/>
    <n v="0"/>
    <n v="0"/>
    <n v="0"/>
    <n v="0"/>
    <m/>
    <m/>
    <m/>
    <m/>
    <m/>
    <m/>
    <m/>
    <m/>
    <m/>
    <m/>
    <m/>
    <m/>
    <m/>
    <m/>
    <m/>
    <m/>
    <m/>
    <m/>
    <m/>
    <m/>
    <m/>
    <m/>
    <m/>
    <m/>
    <m/>
    <m/>
    <m/>
    <m/>
    <m/>
    <m/>
    <m/>
    <m/>
    <m/>
    <m/>
    <m/>
  </r>
  <r>
    <n v="743"/>
    <d v="2025-02-14T00:00:00"/>
    <s v="ZBTO"/>
    <n v="9518519921"/>
    <n v="3"/>
    <s v="9518519921-3"/>
    <s v="May'25"/>
    <x v="1"/>
    <m/>
    <x v="3"/>
    <x v="0"/>
    <n v="2000"/>
    <m/>
    <x v="1"/>
    <m/>
    <m/>
    <s v="Jammu &amp; Kashmir"/>
    <s v="North"/>
    <m/>
    <m/>
    <n v="115190"/>
    <s v="SHEYRUB AGENCIES"/>
    <n v="3897429"/>
    <s v="GP COIL XXXGPH GPH3 0.350X900"/>
    <m/>
    <m/>
    <m/>
    <m/>
    <m/>
    <s v="C05"/>
    <s v="XXXGPH"/>
    <s v="GPH3"/>
    <n v="0.35"/>
    <n v="900"/>
    <n v="0"/>
    <n v="42"/>
    <n v="0"/>
    <n v="42"/>
    <n v="42"/>
    <n v="42"/>
    <n v="42"/>
    <n v="0"/>
    <n v="0"/>
    <n v="0"/>
    <n v="0"/>
    <n v="0"/>
    <n v="0"/>
    <n v="0"/>
    <n v="0"/>
    <n v="0"/>
    <n v="0"/>
    <n v="0"/>
    <n v="0"/>
    <n v="0"/>
    <n v="0"/>
    <n v="0"/>
    <n v="0"/>
    <n v="0"/>
    <n v="0"/>
    <n v="0"/>
    <n v="0"/>
    <n v="0"/>
    <n v="0"/>
    <n v="0"/>
    <m/>
    <n v="0"/>
    <n v="42"/>
    <n v="0"/>
    <n v="0"/>
    <n v="42"/>
    <n v="0"/>
    <n v="0"/>
    <n v="0"/>
    <n v="0"/>
    <n v="0"/>
    <n v="0"/>
    <n v="0"/>
    <n v="0"/>
    <m/>
    <m/>
    <m/>
    <m/>
    <m/>
    <m/>
    <m/>
    <m/>
    <m/>
    <m/>
    <m/>
    <m/>
    <m/>
    <m/>
    <m/>
    <m/>
    <m/>
    <m/>
    <m/>
    <m/>
    <m/>
    <m/>
    <m/>
    <m/>
    <m/>
    <m/>
    <m/>
    <m/>
    <m/>
    <m/>
    <m/>
    <m/>
    <m/>
    <m/>
    <m/>
  </r>
  <r>
    <n v="743"/>
    <d v="2025-02-14T00:00:00"/>
    <s v="ZBTO"/>
    <n v="9518519921"/>
    <n v="4"/>
    <s v="9518519921-4"/>
    <s v="May'25"/>
    <x v="1"/>
    <m/>
    <x v="3"/>
    <x v="0"/>
    <n v="2000"/>
    <m/>
    <x v="1"/>
    <m/>
    <m/>
    <s v="Jammu &amp; Kashmir"/>
    <s v="North"/>
    <m/>
    <m/>
    <n v="115190"/>
    <s v="SHEYRUB AGENCIES"/>
    <n v="3897430"/>
    <s v="GP COIL XXXGPH GPH3 0.400X900"/>
    <m/>
    <m/>
    <m/>
    <m/>
    <m/>
    <s v="C05"/>
    <s v="XXXGPH"/>
    <s v="GPH3"/>
    <n v="0.4"/>
    <n v="900"/>
    <n v="0"/>
    <n v="42"/>
    <n v="0"/>
    <n v="42"/>
    <n v="42"/>
    <n v="42"/>
    <n v="42"/>
    <n v="0"/>
    <n v="0"/>
    <n v="0"/>
    <n v="0"/>
    <n v="0"/>
    <n v="0"/>
    <n v="0"/>
    <n v="0"/>
    <n v="0"/>
    <n v="0"/>
    <n v="0"/>
    <n v="0"/>
    <n v="0"/>
    <n v="0"/>
    <n v="0"/>
    <n v="0"/>
    <n v="0"/>
    <n v="0"/>
    <n v="0"/>
    <n v="0"/>
    <n v="0"/>
    <n v="0"/>
    <n v="0"/>
    <m/>
    <n v="0"/>
    <n v="42"/>
    <n v="42"/>
    <n v="0"/>
    <n v="0"/>
    <n v="0"/>
    <n v="0"/>
    <n v="0"/>
    <n v="0"/>
    <n v="0"/>
    <n v="0"/>
    <n v="0"/>
    <n v="0"/>
    <m/>
    <m/>
    <m/>
    <m/>
    <m/>
    <m/>
    <m/>
    <m/>
    <m/>
    <m/>
    <m/>
    <m/>
    <m/>
    <m/>
    <m/>
    <m/>
    <m/>
    <m/>
    <m/>
    <m/>
    <m/>
    <m/>
    <m/>
    <m/>
    <m/>
    <m/>
    <m/>
    <m/>
    <m/>
    <m/>
    <m/>
    <m/>
    <m/>
    <m/>
    <m/>
  </r>
  <r>
    <n v="743"/>
    <d v="2025-02-14T00:00:00"/>
    <s v="ZBTO"/>
    <n v="9518519921"/>
    <n v="5"/>
    <s v="9518519921-5"/>
    <s v="May'25"/>
    <x v="1"/>
    <m/>
    <x v="3"/>
    <x v="0"/>
    <n v="2000"/>
    <m/>
    <x v="1"/>
    <m/>
    <m/>
    <s v="Jammu &amp; Kashmir"/>
    <s v="North"/>
    <m/>
    <m/>
    <n v="115190"/>
    <s v="SHEYRUB AGENCIES"/>
    <n v="3897501"/>
    <s v="GP COIL XXXGPH GPH3 0.500X900"/>
    <m/>
    <m/>
    <m/>
    <m/>
    <m/>
    <s v="C05"/>
    <s v="XXXGPH"/>
    <s v="GPH3"/>
    <n v="0.5"/>
    <n v="900"/>
    <n v="0"/>
    <n v="42"/>
    <n v="0"/>
    <n v="42"/>
    <n v="42"/>
    <n v="42"/>
    <n v="42"/>
    <n v="0"/>
    <n v="0"/>
    <n v="0"/>
    <n v="0"/>
    <n v="0"/>
    <n v="0"/>
    <n v="0"/>
    <n v="0"/>
    <n v="0"/>
    <n v="0"/>
    <n v="0"/>
    <n v="0"/>
    <n v="0"/>
    <n v="0"/>
    <n v="0"/>
    <n v="0"/>
    <n v="0"/>
    <n v="0"/>
    <n v="0"/>
    <n v="0"/>
    <n v="0"/>
    <n v="0"/>
    <n v="0"/>
    <m/>
    <n v="0"/>
    <n v="42"/>
    <n v="42"/>
    <n v="0"/>
    <n v="0"/>
    <n v="0"/>
    <n v="0"/>
    <n v="0"/>
    <n v="0"/>
    <n v="0"/>
    <n v="0"/>
    <n v="0"/>
    <n v="0"/>
    <m/>
    <m/>
    <m/>
    <m/>
    <m/>
    <m/>
    <m/>
    <m/>
    <m/>
    <m/>
    <m/>
    <m/>
    <m/>
    <m/>
    <m/>
    <m/>
    <m/>
    <m/>
    <m/>
    <m/>
    <m/>
    <m/>
    <m/>
    <m/>
    <m/>
    <m/>
    <m/>
    <m/>
    <m/>
    <m/>
    <m/>
    <m/>
    <m/>
    <m/>
    <m/>
  </r>
  <r>
    <n v="742"/>
    <d v="2025-02-24T00:00:00"/>
    <s v="ZBTO"/>
    <n v="9518548227"/>
    <n v="1"/>
    <s v="9518548227-1"/>
    <s v="May'25"/>
    <x v="0"/>
    <s v="Yes"/>
    <x v="1"/>
    <x v="2"/>
    <n v="2000"/>
    <m/>
    <x v="1"/>
    <m/>
    <m/>
    <s v="Jharkhand"/>
    <s v="East"/>
    <m/>
    <m/>
    <n v="185794"/>
    <s v="Shree Bajrang Steel Udyog"/>
    <n v="3952438"/>
    <s v="CRCA SHEET TATCRC SR18 0.600X1250X2500"/>
    <m/>
    <m/>
    <m/>
    <m/>
    <m/>
    <s v="C06"/>
    <s v="TATCRC"/>
    <s v="SR18"/>
    <n v="0.6"/>
    <n v="1250"/>
    <n v="250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2-19T00:00:00"/>
    <s v="ZBTO"/>
    <n v="9518533596"/>
    <n v="3"/>
    <s v="9518533596-3"/>
    <s v="No Priority"/>
    <x v="1"/>
    <m/>
    <x v="1"/>
    <x v="11"/>
    <n v="2000"/>
    <m/>
    <x v="0"/>
    <m/>
    <m/>
    <s v="West Bengal"/>
    <s v="East"/>
    <m/>
    <m/>
    <n v="155536"/>
    <s v="TATA STEEL DOWNSTREAM PRODUCTS"/>
    <n v="2420523"/>
    <s v="CRCA COIL TATXXD AH03 1.600X1250"/>
    <m/>
    <m/>
    <m/>
    <m/>
    <m/>
    <s v="C01"/>
    <s v="TATXXD"/>
    <s v="AH03"/>
    <n v="1.6"/>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2-25T00:00:00"/>
    <s v="ZBTO"/>
    <n v="9518550511"/>
    <n v="5"/>
    <s v="9518550511-5"/>
    <s v="No Priority"/>
    <x v="0"/>
    <m/>
    <x v="1"/>
    <x v="11"/>
    <n v="2000"/>
    <m/>
    <x v="0"/>
    <m/>
    <m/>
    <s v="Karnataka"/>
    <s v="South"/>
    <m/>
    <m/>
    <n v="939268"/>
    <s v="TATA STEEL DOWNSTREAM PRODUCTS"/>
    <n v="2420602"/>
    <s v="CRCA COIL TATXXD AH03 1.400X1250"/>
    <m/>
    <m/>
    <m/>
    <m/>
    <m/>
    <s v="C01"/>
    <s v="TATXXD"/>
    <s v="AH03"/>
    <n v="1.4"/>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3-14T00:00:00"/>
    <s v="ZBTF"/>
    <n v="9518600669"/>
    <n v="3"/>
    <s v="9518600669-3"/>
    <s v="No Priority"/>
    <x v="0"/>
    <m/>
    <x v="5"/>
    <x v="6"/>
    <s v="2000-BPRS"/>
    <m/>
    <x v="0"/>
    <m/>
    <m/>
    <m/>
    <s v="South"/>
    <s v="YESHWANTHPURA"/>
    <m/>
    <n v="650742"/>
    <s v="Angul Cold Rolling Mill"/>
    <n v="2324172"/>
    <s v="CRFH COIL TATFHC RE03 1X1250"/>
    <s v=" "/>
    <m/>
    <n v="10"/>
    <n v="27"/>
    <m/>
    <s v="C09"/>
    <s v="TATFHC"/>
    <s v="RE03"/>
    <n v="1"/>
    <n v="1250"/>
    <n v="0"/>
    <n v="220"/>
    <n v="167.44499999999999"/>
    <n v="52.555"/>
    <n v="116"/>
    <n v="52.555"/>
    <n v="11.015000000000001"/>
    <n v="0"/>
    <n v="0"/>
    <n v="0"/>
    <n v="0"/>
    <n v="0"/>
    <n v="0"/>
    <n v="0"/>
    <n v="0"/>
    <n v="0"/>
    <n v="0"/>
    <n v="0"/>
    <n v="0"/>
    <n v="0"/>
    <n v="0"/>
    <n v="0"/>
    <n v="0"/>
    <n v="0"/>
    <n v="0"/>
    <n v="0"/>
    <n v="0"/>
    <n v="0"/>
    <n v="0"/>
    <n v="0"/>
    <m/>
    <n v="0"/>
    <n v="0"/>
    <n v="0"/>
    <n v="0"/>
    <n v="0"/>
    <n v="0"/>
    <n v="0"/>
    <n v="0"/>
    <n v="0"/>
    <n v="0"/>
    <n v="0"/>
    <n v="0"/>
    <n v="0"/>
    <m/>
    <m/>
    <m/>
    <m/>
    <m/>
    <m/>
    <m/>
    <m/>
    <m/>
    <m/>
    <m/>
    <m/>
    <m/>
    <m/>
    <m/>
    <m/>
    <m/>
    <m/>
    <m/>
    <m/>
    <m/>
    <m/>
    <m/>
    <m/>
    <m/>
    <m/>
    <m/>
    <m/>
    <m/>
    <m/>
    <m/>
    <m/>
    <m/>
    <m/>
    <m/>
  </r>
  <r>
    <n v="743"/>
    <d v="2025-03-15T00:00:00"/>
    <s v="ZBTO"/>
    <n v="9518602675"/>
    <n v="10"/>
    <s v="9518602675-10"/>
    <s v="May'25"/>
    <x v="0"/>
    <m/>
    <x v="3"/>
    <x v="9"/>
    <s v="2000-BPRS"/>
    <m/>
    <x v="1"/>
    <m/>
    <m/>
    <m/>
    <s v="East"/>
    <s v="WEST BOKARO"/>
    <m/>
    <n v="185794"/>
    <s v="Shree Bajrang Steel Udyog"/>
    <n v="1854424"/>
    <s v="GP COIL SOFT-TATXGP-GK09-0.6X900"/>
    <s v="Z80"/>
    <m/>
    <n v="5"/>
    <n v="15"/>
    <m/>
    <s v="C02"/>
    <s v="TATXGP"/>
    <s v="GK09"/>
    <n v="0.6"/>
    <n v="900"/>
    <n v="0"/>
    <n v="147"/>
    <n v="123.97499999999999"/>
    <n v="23.024999999999999"/>
    <n v="116"/>
    <n v="3.6049999999999969"/>
    <n v="23.024999999999999"/>
    <n v="0"/>
    <n v="0"/>
    <n v="0"/>
    <n v="0"/>
    <n v="0"/>
    <n v="0"/>
    <n v="0"/>
    <n v="0"/>
    <n v="0"/>
    <n v="0"/>
    <n v="0"/>
    <n v="0"/>
    <n v="0"/>
    <n v="0"/>
    <n v="0"/>
    <n v="0"/>
    <n v="0"/>
    <n v="0"/>
    <n v="19.420000000000002"/>
    <n v="19.420000000000002"/>
    <n v="19.420000000000002"/>
    <n v="0"/>
    <n v="19.420000000000002"/>
    <m/>
    <n v="0"/>
    <n v="23.024999999999999"/>
    <n v="23.024999999999999"/>
    <n v="0"/>
    <n v="0"/>
    <n v="0"/>
    <n v="0"/>
    <n v="0"/>
    <n v="0"/>
    <n v="0"/>
    <n v="0"/>
    <n v="0"/>
    <n v="0"/>
    <m/>
    <m/>
    <m/>
    <m/>
    <m/>
    <m/>
    <m/>
    <m/>
    <m/>
    <m/>
    <m/>
    <m/>
    <m/>
    <m/>
    <m/>
    <m/>
    <m/>
    <m/>
    <m/>
    <m/>
    <m/>
    <m/>
    <m/>
    <m/>
    <m/>
    <m/>
    <m/>
    <m/>
    <m/>
    <m/>
    <m/>
    <m/>
    <m/>
    <m/>
    <m/>
  </r>
  <r>
    <n v="743"/>
    <d v="2025-04-21T00:00:00"/>
    <s v="ZBTO"/>
    <n v="9518708857"/>
    <n v="7"/>
    <s v="9518708857-7"/>
    <s v="No Priority"/>
    <x v="0"/>
    <m/>
    <x v="3"/>
    <x v="14"/>
    <s v="2000-BPRS"/>
    <m/>
    <x v="0"/>
    <m/>
    <m/>
    <m/>
    <s v="South"/>
    <s v="YESHWANTHPURA"/>
    <m/>
    <n v="942923"/>
    <s v="S C SHETTAR and SONS PRIVATE LIMITED"/>
    <n v="1854427"/>
    <s v="GP COIL SOFT-TATXGP-GLK1-0.6X1250"/>
    <s v="Z80"/>
    <m/>
    <n v="2"/>
    <n v="30"/>
    <m/>
    <s v="C02"/>
    <s v="TATXGP"/>
    <s v="GLK1"/>
    <n v="0.6"/>
    <n v="1250"/>
    <n v="0"/>
    <n v="29"/>
    <n v="0"/>
    <n v="29"/>
    <n v="116"/>
    <n v="0"/>
    <n v="29"/>
    <n v="0"/>
    <n v="0"/>
    <n v="0"/>
    <n v="0"/>
    <n v="0"/>
    <n v="0"/>
    <n v="0"/>
    <n v="0"/>
    <n v="0"/>
    <n v="0"/>
    <n v="0"/>
    <n v="0"/>
    <n v="0"/>
    <n v="0"/>
    <n v="0"/>
    <n v="0"/>
    <n v="0"/>
    <n v="0"/>
    <n v="0"/>
    <n v="0"/>
    <n v="0"/>
    <n v="29"/>
    <n v="29"/>
    <m/>
    <n v="0"/>
    <n v="0"/>
    <n v="0"/>
    <n v="0"/>
    <n v="0"/>
    <n v="0"/>
    <n v="0"/>
    <n v="0"/>
    <n v="0"/>
    <n v="0"/>
    <n v="0"/>
    <n v="0"/>
    <n v="0"/>
    <m/>
    <m/>
    <m/>
    <m/>
    <m/>
    <m/>
    <m/>
    <m/>
    <m/>
    <m/>
    <m/>
    <m/>
    <m/>
    <m/>
    <m/>
    <m/>
    <m/>
    <m/>
    <m/>
    <m/>
    <m/>
    <m/>
    <m/>
    <m/>
    <m/>
    <m/>
    <m/>
    <m/>
    <m/>
    <m/>
    <m/>
    <m/>
    <m/>
    <m/>
    <m/>
  </r>
  <r>
    <n v="743"/>
    <d v="2025-04-21T00:00:00"/>
    <s v="ZBTO"/>
    <n v="9518708857"/>
    <n v="8"/>
    <s v="9518708857-8"/>
    <s v="No Priority"/>
    <x v="0"/>
    <m/>
    <x v="3"/>
    <x v="14"/>
    <s v="2000-BPRS"/>
    <m/>
    <x v="0"/>
    <m/>
    <m/>
    <m/>
    <s v="South"/>
    <s v="YESHWANTHPURA"/>
    <m/>
    <n v="942923"/>
    <s v="S C SHETTAR and SONS PRIVATE LIMITED"/>
    <n v="1854427"/>
    <s v="GP COIL SOFT-TATXGP-GLK1-0.6X1250"/>
    <s v="Z80"/>
    <m/>
    <n v="2"/>
    <n v="30"/>
    <m/>
    <s v="C02"/>
    <s v="TATXGP"/>
    <s v="GLK1"/>
    <n v="0.6"/>
    <n v="1250"/>
    <n v="0"/>
    <n v="29"/>
    <n v="0"/>
    <n v="29"/>
    <n v="116"/>
    <n v="0"/>
    <n v="29"/>
    <n v="0"/>
    <n v="0"/>
    <n v="0"/>
    <n v="0"/>
    <n v="0"/>
    <n v="0"/>
    <n v="0"/>
    <n v="0"/>
    <n v="0"/>
    <n v="0"/>
    <n v="0"/>
    <n v="0"/>
    <n v="0"/>
    <n v="0"/>
    <n v="0"/>
    <n v="0"/>
    <n v="0"/>
    <n v="0"/>
    <n v="0"/>
    <n v="0"/>
    <n v="0"/>
    <n v="29"/>
    <n v="29"/>
    <m/>
    <n v="0"/>
    <n v="0"/>
    <n v="0"/>
    <n v="0"/>
    <n v="0"/>
    <n v="0"/>
    <n v="0"/>
    <n v="0"/>
    <n v="0"/>
    <n v="0"/>
    <n v="0"/>
    <n v="0"/>
    <n v="0"/>
    <m/>
    <m/>
    <m/>
    <m/>
    <m/>
    <m/>
    <m/>
    <m/>
    <m/>
    <m/>
    <m/>
    <m/>
    <m/>
    <m/>
    <m/>
    <m/>
    <m/>
    <m/>
    <m/>
    <m/>
    <m/>
    <m/>
    <m/>
    <m/>
    <m/>
    <m/>
    <m/>
    <m/>
    <m/>
    <m/>
    <m/>
    <m/>
    <m/>
    <m/>
    <m/>
  </r>
  <r>
    <n v="743"/>
    <d v="2025-04-19T00:00:00"/>
    <s v="ZBTO"/>
    <n v="9518704427"/>
    <n v="1"/>
    <s v="9518704427-1"/>
    <s v="May'25"/>
    <x v="0"/>
    <m/>
    <x v="3"/>
    <x v="0"/>
    <s v="2200-BPRS"/>
    <m/>
    <x v="1"/>
    <m/>
    <m/>
    <m/>
    <s v="South"/>
    <s v="CHENNAI"/>
    <m/>
    <n v="822271"/>
    <s v="TATA STEEL DOWNSTREAM PRODUCTS LIMI"/>
    <n v="1851832"/>
    <s v="GP COIL SOFT-TSBXGP-T1GP-0.3X900"/>
    <s v="Z80"/>
    <m/>
    <n v="3"/>
    <n v="5"/>
    <m/>
    <s v="C02"/>
    <s v="TSBXGP"/>
    <s v="T1GP"/>
    <n v="0.3"/>
    <n v="900"/>
    <n v="0"/>
    <n v="168"/>
    <n v="0"/>
    <n v="168"/>
    <n v="116"/>
    <n v="100.69"/>
    <n v="133.69"/>
    <n v="0"/>
    <n v="0"/>
    <n v="0"/>
    <n v="0"/>
    <n v="62.1"/>
    <n v="0"/>
    <n v="0"/>
    <n v="0"/>
    <n v="0"/>
    <n v="0"/>
    <n v="0"/>
    <n v="0"/>
    <n v="0"/>
    <n v="0"/>
    <n v="0"/>
    <n v="0"/>
    <n v="0"/>
    <n v="0"/>
    <n v="5.21"/>
    <n v="67.31"/>
    <n v="67.31"/>
    <n v="0"/>
    <n v="67.31"/>
    <m/>
    <n v="14.684999999999999"/>
    <n v="133.69"/>
    <n v="133.69"/>
    <n v="0"/>
    <n v="0"/>
    <n v="0"/>
    <n v="0"/>
    <n v="0"/>
    <n v="0"/>
    <n v="0"/>
    <n v="0"/>
    <n v="0"/>
    <n v="0"/>
    <m/>
    <m/>
    <m/>
    <m/>
    <m/>
    <m/>
    <m/>
    <m/>
    <m/>
    <m/>
    <m/>
    <m/>
    <m/>
    <m/>
    <m/>
    <m/>
    <m/>
    <m/>
    <m/>
    <m/>
    <m/>
    <m/>
    <m/>
    <m/>
    <m/>
    <m/>
    <m/>
    <m/>
    <m/>
    <m/>
    <m/>
    <m/>
    <m/>
    <m/>
    <m/>
  </r>
  <r>
    <n v="742"/>
    <d v="2025-04-03T00:00:00"/>
    <s v="ZBTO"/>
    <n v="9518667214"/>
    <n v="3"/>
    <s v="9518667214-3"/>
    <s v="May'25"/>
    <x v="0"/>
    <m/>
    <x v="1"/>
    <x v="1"/>
    <s v="2000-BPRS"/>
    <m/>
    <x v="1"/>
    <m/>
    <m/>
    <m/>
    <s v="South"/>
    <s v="YESHWANTHPURA"/>
    <m/>
    <n v="801611"/>
    <s v="SHIVA FERRIC PVT LTD"/>
    <n v="1801290"/>
    <s v="CRCA COIL-TATXXD-AU03-0.6X1250"/>
    <s v=" "/>
    <m/>
    <n v="15"/>
    <n v="28"/>
    <m/>
    <s v="C01"/>
    <s v="TATXXD"/>
    <s v="AU03"/>
    <n v="0.6"/>
    <n v="1250"/>
    <n v="0"/>
    <n v="29"/>
    <n v="0"/>
    <n v="29"/>
    <n v="116"/>
    <n v="1.3000000000000007"/>
    <n v="29"/>
    <n v="0"/>
    <n v="0"/>
    <n v="0"/>
    <n v="0"/>
    <n v="0"/>
    <n v="0"/>
    <n v="0"/>
    <n v="0"/>
    <n v="0"/>
    <n v="0"/>
    <n v="0"/>
    <n v="0"/>
    <n v="0"/>
    <n v="27.7"/>
    <n v="0"/>
    <n v="0"/>
    <n v="0"/>
    <n v="0"/>
    <n v="0"/>
    <n v="27.7"/>
    <n v="27.7"/>
    <n v="0"/>
    <n v="27.7"/>
    <m/>
    <n v="0"/>
    <n v="29"/>
    <n v="29"/>
    <n v="0"/>
    <n v="0"/>
    <n v="0"/>
    <n v="0"/>
    <n v="0"/>
    <n v="0"/>
    <n v="0"/>
    <n v="0"/>
    <n v="0"/>
    <n v="0"/>
    <m/>
    <m/>
    <m/>
    <m/>
    <m/>
    <m/>
    <m/>
    <m/>
    <m/>
    <m/>
    <m/>
    <m/>
    <m/>
    <m/>
    <m/>
    <m/>
    <m/>
    <m/>
    <m/>
    <m/>
    <m/>
    <m/>
    <m/>
    <m/>
    <m/>
    <m/>
    <m/>
    <m/>
    <m/>
    <m/>
    <m/>
    <m/>
    <m/>
    <m/>
    <m/>
  </r>
  <r>
    <n v="742"/>
    <d v="2025-04-01T00:00:00"/>
    <s v="ZBTF"/>
    <n v="9518663142"/>
    <n v="4"/>
    <s v="9518663142-4"/>
    <s v="No Priority"/>
    <x v="0"/>
    <m/>
    <x v="1"/>
    <x v="10"/>
    <s v="1000-IPPE"/>
    <m/>
    <x v="0"/>
    <m/>
    <m/>
    <m/>
    <s v="North"/>
    <s v="PILKHUWA"/>
    <m/>
    <n v="600250"/>
    <s v="TATA CENTER"/>
    <n v="2170030"/>
    <s v="CRCA COIL TATXXD BT01 1.200X1220"/>
    <s v=" "/>
    <m/>
    <n v="6"/>
    <n v="10"/>
    <m/>
    <s v="C01"/>
    <s v="TATXXD"/>
    <s v="BT01"/>
    <n v="1.2"/>
    <n v="1220"/>
    <n v="0"/>
    <n v="28"/>
    <n v="0"/>
    <n v="28"/>
    <n v="116"/>
    <n v="28"/>
    <n v="28"/>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80"/>
    <n v="1"/>
    <s v="9518703480-1"/>
    <s v="No Priority"/>
    <x v="0"/>
    <m/>
    <x v="1"/>
    <x v="10"/>
    <n v="1000"/>
    <m/>
    <x v="0"/>
    <m/>
    <m/>
    <s v="Andhra Pradesh"/>
    <s v="South"/>
    <m/>
    <m/>
    <n v="188238"/>
    <s v="Balmer Lawrie &amp; Co. Limited"/>
    <n v="3781084"/>
    <s v="CR COIL TATXXD BT02 0.970X1005"/>
    <m/>
    <s v=""/>
    <m/>
    <m/>
    <m/>
    <s v="C01"/>
    <s v="TATXXD"/>
    <s v="BT02"/>
    <n v="0.97"/>
    <n v="1005"/>
    <n v="0"/>
    <n v="23"/>
    <n v="0"/>
    <n v="23"/>
    <n v="23"/>
    <n v="23"/>
    <n v="23"/>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80"/>
    <n v="2"/>
    <s v="9518703480-2"/>
    <s v="No Priority"/>
    <x v="0"/>
    <m/>
    <x v="1"/>
    <x v="10"/>
    <n v="1000"/>
    <m/>
    <x v="0"/>
    <m/>
    <m/>
    <s v="Andhra Pradesh"/>
    <s v="South"/>
    <m/>
    <m/>
    <n v="188238"/>
    <s v="Balmer Lawrie &amp; Co. Limited"/>
    <n v="2164800"/>
    <s v="CRCA COIL TATXXD BT02 0.970X913"/>
    <m/>
    <s v=""/>
    <m/>
    <m/>
    <m/>
    <s v="C01"/>
    <s v="TATXXD"/>
    <s v="BT02"/>
    <n v="0.97"/>
    <n v="913"/>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80"/>
    <n v="3"/>
    <s v="9518703480-3"/>
    <s v="No Priority"/>
    <x v="0"/>
    <m/>
    <x v="1"/>
    <x v="10"/>
    <n v="1000"/>
    <m/>
    <x v="0"/>
    <m/>
    <m/>
    <s v="Andhra Pradesh"/>
    <s v="South"/>
    <m/>
    <m/>
    <n v="188238"/>
    <s v="Balmer Lawrie &amp; Co. Limited"/>
    <n v="2170009"/>
    <s v="CRCA COIL TATXXD BT02 1.200X914"/>
    <m/>
    <s v=""/>
    <m/>
    <m/>
    <m/>
    <s v="C01"/>
    <s v="TATXXD"/>
    <s v="BT02"/>
    <n v="1.2"/>
    <n v="914"/>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80"/>
    <n v="6"/>
    <s v="9518703480-6"/>
    <s v="No Priority"/>
    <x v="0"/>
    <m/>
    <x v="1"/>
    <x v="10"/>
    <n v="1000"/>
    <m/>
    <x v="0"/>
    <m/>
    <m/>
    <s v="Andhra Pradesh"/>
    <s v="South"/>
    <m/>
    <m/>
    <n v="188238"/>
    <s v="Balmer Lawrie &amp; Co. Limited"/>
    <n v="3767518"/>
    <s v="CR COIL TATXXD BT02 0.630X920"/>
    <m/>
    <s v=""/>
    <m/>
    <m/>
    <m/>
    <s v="C01"/>
    <s v="TATXXD"/>
    <s v="BT02"/>
    <n v="0.63"/>
    <n v="920"/>
    <n v="0"/>
    <n v="21"/>
    <n v="0"/>
    <n v="21"/>
    <n v="21"/>
    <n v="21"/>
    <n v="0"/>
    <n v="0"/>
    <n v="0"/>
    <n v="0"/>
    <n v="0"/>
    <n v="0"/>
    <n v="0"/>
    <n v="0"/>
    <n v="0"/>
    <n v="0"/>
    <n v="0"/>
    <n v="0"/>
    <n v="0"/>
    <n v="0"/>
    <n v="0"/>
    <n v="0"/>
    <n v="0"/>
    <n v="0"/>
    <n v="0"/>
    <n v="0"/>
    <n v="0"/>
    <n v="0"/>
    <n v="0"/>
    <n v="0"/>
    <m/>
    <n v="0"/>
    <n v="0"/>
    <n v="0"/>
    <n v="0"/>
    <n v="0"/>
    <n v="0"/>
    <n v="0"/>
    <n v="0"/>
    <n v="0"/>
    <n v="0"/>
    <n v="0"/>
    <n v="0"/>
    <n v="0"/>
    <m/>
    <m/>
    <m/>
    <m/>
    <m/>
    <m/>
    <m/>
    <m/>
    <m/>
    <m/>
    <m/>
    <m/>
    <m/>
    <m/>
    <m/>
    <m/>
    <m/>
    <m/>
    <m/>
    <m/>
    <m/>
    <m/>
    <m/>
    <m/>
    <m/>
    <m/>
    <m/>
    <m/>
    <m/>
    <m/>
    <m/>
    <m/>
    <m/>
    <m/>
    <m/>
  </r>
  <r>
    <n v="742"/>
    <d v="2025-04-19T00:00:00"/>
    <s v="ZBTO"/>
    <n v="9518703509"/>
    <n v="1"/>
    <s v="9518703509-1"/>
    <s v="May'25"/>
    <x v="0"/>
    <m/>
    <x v="1"/>
    <x v="10"/>
    <n v="1000"/>
    <m/>
    <x v="1"/>
    <m/>
    <s v="P1-Priority for Balmer"/>
    <s v="Andhra Pradesh"/>
    <s v="South"/>
    <m/>
    <m/>
    <n v="188238"/>
    <s v="Balmer Lawrie &amp; Co. Limited"/>
    <n v="2421723"/>
    <s v="CRCA COIL TATXXD BT02 0.770X920"/>
    <m/>
    <s v=""/>
    <m/>
    <m/>
    <m/>
    <s v="C01"/>
    <s v="TATXXD"/>
    <s v="BT02"/>
    <n v="0.77"/>
    <n v="920"/>
    <n v="0"/>
    <n v="273"/>
    <n v="0"/>
    <n v="273"/>
    <n v="273"/>
    <n v="273"/>
    <n v="273"/>
    <n v="0"/>
    <n v="0"/>
    <n v="0"/>
    <n v="0"/>
    <n v="0"/>
    <n v="0"/>
    <n v="0"/>
    <n v="0"/>
    <n v="0"/>
    <n v="0"/>
    <n v="0"/>
    <n v="0"/>
    <n v="0"/>
    <n v="0"/>
    <n v="0"/>
    <n v="0"/>
    <n v="0"/>
    <n v="0"/>
    <n v="0"/>
    <n v="0"/>
    <n v="0"/>
    <n v="0"/>
    <n v="0"/>
    <m/>
    <n v="0"/>
    <n v="273"/>
    <n v="0"/>
    <n v="0"/>
    <n v="0"/>
    <n v="273"/>
    <n v="0"/>
    <n v="0"/>
    <n v="0"/>
    <n v="0"/>
    <n v="0"/>
    <n v="0"/>
    <n v="0"/>
    <m/>
    <m/>
    <m/>
    <m/>
    <m/>
    <m/>
    <m/>
    <m/>
    <m/>
    <m/>
    <m/>
    <m/>
    <m/>
    <m/>
    <m/>
    <m/>
    <m/>
    <m/>
    <m/>
    <m/>
    <m/>
    <m/>
    <m/>
    <m/>
    <m/>
    <m/>
    <m/>
    <m/>
    <m/>
    <m/>
    <m/>
    <m/>
    <m/>
    <m/>
    <m/>
  </r>
  <r>
    <n v="742"/>
    <d v="2025-04-19T00:00:00"/>
    <s v="ZBTO"/>
    <n v="9518703509"/>
    <n v="2"/>
    <s v="9518703509-2"/>
    <s v="May'25"/>
    <x v="0"/>
    <m/>
    <x v="1"/>
    <x v="10"/>
    <n v="1000"/>
    <m/>
    <x v="1"/>
    <m/>
    <s v="P1-Priority for Balmer"/>
    <s v="Andhra Pradesh"/>
    <s v="South"/>
    <m/>
    <m/>
    <n v="188238"/>
    <s v="Balmer Lawrie &amp; Co. Limited"/>
    <n v="2421723"/>
    <s v="CRCA COIL TATXXD BT02 0.770X920"/>
    <m/>
    <s v=""/>
    <m/>
    <m/>
    <m/>
    <s v="C01"/>
    <s v="TATXXD"/>
    <s v="BT02"/>
    <n v="0.77"/>
    <n v="920"/>
    <n v="0"/>
    <n v="273"/>
    <n v="0"/>
    <n v="273"/>
    <n v="273"/>
    <n v="273"/>
    <n v="273"/>
    <n v="0"/>
    <n v="0"/>
    <n v="0"/>
    <n v="0"/>
    <n v="0"/>
    <n v="0"/>
    <n v="0"/>
    <n v="0"/>
    <n v="0"/>
    <n v="0"/>
    <n v="0"/>
    <n v="0"/>
    <n v="0"/>
    <n v="0"/>
    <n v="0"/>
    <n v="0"/>
    <n v="0"/>
    <n v="0"/>
    <n v="0"/>
    <n v="0"/>
    <n v="0"/>
    <n v="0"/>
    <n v="0"/>
    <m/>
    <n v="0"/>
    <n v="273"/>
    <n v="0"/>
    <n v="0"/>
    <n v="0"/>
    <n v="273"/>
    <n v="0"/>
    <n v="0"/>
    <n v="0"/>
    <n v="0"/>
    <n v="0"/>
    <n v="0"/>
    <n v="0"/>
    <m/>
    <m/>
    <m/>
    <m/>
    <m/>
    <m/>
    <m/>
    <m/>
    <m/>
    <m/>
    <m/>
    <m/>
    <m/>
    <m/>
    <m/>
    <m/>
    <m/>
    <m/>
    <m/>
    <m/>
    <m/>
    <m/>
    <m/>
    <m/>
    <m/>
    <m/>
    <m/>
    <m/>
    <m/>
    <m/>
    <m/>
    <m/>
    <m/>
    <m/>
    <m/>
  </r>
  <r>
    <n v="742"/>
    <d v="2025-04-19T00:00:00"/>
    <s v="ZBTO"/>
    <n v="9518703509"/>
    <n v="3"/>
    <s v="9518703509-3"/>
    <s v="No Priority"/>
    <x v="0"/>
    <m/>
    <x v="1"/>
    <x v="10"/>
    <n v="1000"/>
    <m/>
    <x v="0"/>
    <m/>
    <m/>
    <s v="Andhra Pradesh"/>
    <s v="South"/>
    <m/>
    <m/>
    <n v="188238"/>
    <s v="Balmer Lawrie &amp; Co. Limited"/>
    <n v="2417293"/>
    <s v="CRCA COIL TATXXD BT02 0.770X925"/>
    <m/>
    <s v=""/>
    <m/>
    <m/>
    <m/>
    <s v="C01"/>
    <s v="TATXXD"/>
    <s v="BT02"/>
    <n v="0.77"/>
    <n v="925"/>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19T00:00:00"/>
    <s v="ZBTO"/>
    <n v="9518703509"/>
    <n v="4"/>
    <s v="9518703509-4"/>
    <s v="No Priority"/>
    <x v="0"/>
    <m/>
    <x v="1"/>
    <x v="10"/>
    <n v="1000"/>
    <m/>
    <x v="0"/>
    <m/>
    <m/>
    <s v="Andhra Pradesh"/>
    <s v="South"/>
    <m/>
    <m/>
    <n v="188238"/>
    <s v="Balmer Lawrie &amp; Co. Limited"/>
    <n v="2405215"/>
    <s v="CRCA COIL TATXXD BT02 0.700X920"/>
    <m/>
    <s v=""/>
    <m/>
    <m/>
    <m/>
    <s v="C01"/>
    <s v="TATXXD"/>
    <s v="BT02"/>
    <n v="0.7"/>
    <n v="920"/>
    <n v="0"/>
    <n v="42"/>
    <n v="0"/>
    <n v="42"/>
    <n v="42"/>
    <n v="42"/>
    <n v="42"/>
    <n v="0"/>
    <n v="0"/>
    <n v="0"/>
    <n v="0"/>
    <n v="0"/>
    <n v="0"/>
    <n v="0"/>
    <n v="0"/>
    <n v="0"/>
    <n v="0"/>
    <n v="0"/>
    <n v="0"/>
    <n v="0"/>
    <n v="0"/>
    <n v="0"/>
    <n v="0"/>
    <n v="0"/>
    <n v="0"/>
    <n v="0"/>
    <n v="0"/>
    <n v="0"/>
    <n v="0"/>
    <n v="0"/>
    <m/>
    <n v="0"/>
    <n v="0"/>
    <n v="0"/>
    <n v="0"/>
    <n v="0"/>
    <n v="0"/>
    <n v="0"/>
    <n v="0"/>
    <n v="0"/>
    <n v="0"/>
    <n v="0"/>
    <n v="0"/>
    <n v="0"/>
    <m/>
    <m/>
    <m/>
    <m/>
    <m/>
    <m/>
    <m/>
    <m/>
    <m/>
    <m/>
    <m/>
    <m/>
    <m/>
    <m/>
    <m/>
    <m/>
    <m/>
    <m/>
    <m/>
    <m/>
    <m/>
    <m/>
    <m/>
    <m/>
    <m/>
    <m/>
    <m/>
    <m/>
    <m/>
    <m/>
    <m/>
    <m/>
    <m/>
    <m/>
    <m/>
  </r>
  <r>
    <n v="742"/>
    <d v="2025-04-18T00:00:00"/>
    <s v="ZBTO"/>
    <n v="9518703423"/>
    <n v="1"/>
    <s v="9518703423-1"/>
    <s v="May'25"/>
    <x v="0"/>
    <m/>
    <x v="1"/>
    <x v="10"/>
    <n v="1000"/>
    <m/>
    <x v="1"/>
    <m/>
    <s v="P1-Priority for Balmer"/>
    <s v="Tamil Nadu"/>
    <s v="South"/>
    <m/>
    <m/>
    <n v="187214"/>
    <s v="BALMER LAWRIE &amp; CO. LIMITED.."/>
    <n v="2164800"/>
    <s v="CRCA COIL TATXXD BT02 0.970X913"/>
    <m/>
    <s v=""/>
    <m/>
    <m/>
    <m/>
    <s v="C01"/>
    <s v="TATXXD"/>
    <s v="BT02"/>
    <n v="0.97"/>
    <n v="913"/>
    <n v="0"/>
    <n v="210"/>
    <n v="0"/>
    <n v="210"/>
    <n v="210"/>
    <n v="210"/>
    <n v="210"/>
    <n v="0"/>
    <n v="0"/>
    <n v="0"/>
    <n v="0"/>
    <n v="0"/>
    <n v="0"/>
    <n v="0"/>
    <n v="0"/>
    <n v="0"/>
    <n v="0"/>
    <n v="0"/>
    <n v="0"/>
    <n v="0"/>
    <n v="0"/>
    <n v="0"/>
    <n v="0"/>
    <n v="0"/>
    <n v="0"/>
    <n v="0"/>
    <n v="0"/>
    <n v="0"/>
    <n v="0"/>
    <n v="0"/>
    <m/>
    <n v="0"/>
    <n v="210"/>
    <n v="0"/>
    <n v="0"/>
    <n v="0"/>
    <n v="210"/>
    <n v="0"/>
    <n v="0"/>
    <n v="0"/>
    <n v="0"/>
    <n v="0"/>
    <n v="0"/>
    <n v="0"/>
    <m/>
    <m/>
    <m/>
    <m/>
    <m/>
    <m/>
    <m/>
    <m/>
    <m/>
    <m/>
    <m/>
    <m/>
    <m/>
    <m/>
    <m/>
    <m/>
    <m/>
    <m/>
    <m/>
    <m/>
    <m/>
    <m/>
    <m/>
    <m/>
    <m/>
    <m/>
    <m/>
    <m/>
    <m/>
    <m/>
    <m/>
    <m/>
    <m/>
    <m/>
    <m/>
  </r>
  <r>
    <n v="742"/>
    <d v="2025-04-18T00:00:00"/>
    <s v="ZBTO"/>
    <n v="9518703431"/>
    <n v="1"/>
    <s v="9518703431-1"/>
    <s v="May'25"/>
    <x v="0"/>
    <m/>
    <x v="1"/>
    <x v="10"/>
    <n v="1000"/>
    <m/>
    <x v="1"/>
    <m/>
    <s v="P1-Priority for Balmer"/>
    <s v="Haryana"/>
    <s v="North"/>
    <m/>
    <m/>
    <n v="189430"/>
    <s v="Balmer Lawrie &amp; Co. Ltd.,"/>
    <n v="2164792"/>
    <s v="CRCA COIL TATXXD BT02 0.900X913"/>
    <m/>
    <s v=""/>
    <m/>
    <m/>
    <m/>
    <s v="C01"/>
    <s v="TATXXD"/>
    <s v="BT02"/>
    <n v="0.9"/>
    <n v="913"/>
    <n v="0"/>
    <n v="126"/>
    <n v="0"/>
    <n v="126"/>
    <n v="126"/>
    <n v="126"/>
    <n v="126"/>
    <n v="0"/>
    <n v="0"/>
    <n v="0"/>
    <n v="0"/>
    <n v="0"/>
    <n v="0"/>
    <n v="0"/>
    <n v="0"/>
    <n v="0"/>
    <n v="0"/>
    <n v="0"/>
    <n v="0"/>
    <n v="0"/>
    <n v="0"/>
    <n v="0"/>
    <n v="0"/>
    <n v="0"/>
    <n v="0"/>
    <n v="0"/>
    <n v="0"/>
    <n v="0"/>
    <n v="0"/>
    <n v="0"/>
    <m/>
    <n v="0"/>
    <n v="126"/>
    <n v="0"/>
    <n v="0"/>
    <n v="0"/>
    <n v="126"/>
    <n v="0"/>
    <n v="0"/>
    <n v="0"/>
    <n v="0"/>
    <n v="0"/>
    <n v="0"/>
    <n v="0"/>
    <m/>
    <m/>
    <m/>
    <m/>
    <m/>
    <m/>
    <m/>
    <m/>
    <m/>
    <m/>
    <m/>
    <m/>
    <m/>
    <m/>
    <m/>
    <m/>
    <m/>
    <m/>
    <m/>
    <m/>
    <m/>
    <m/>
    <m/>
    <m/>
    <m/>
    <m/>
    <m/>
    <m/>
    <m/>
    <m/>
    <m/>
    <m/>
    <m/>
    <m/>
    <m/>
  </r>
  <r>
    <n v="742"/>
    <d v="2025-04-18T00:00:00"/>
    <s v="ZBTO"/>
    <n v="9518703431"/>
    <n v="2"/>
    <s v="9518703431-2"/>
    <s v="May'25"/>
    <x v="0"/>
    <m/>
    <x v="1"/>
    <x v="10"/>
    <n v="1000"/>
    <m/>
    <x v="1"/>
    <m/>
    <s v="P1-Priority for Balmer"/>
    <s v="Haryana"/>
    <s v="North"/>
    <m/>
    <m/>
    <n v="189430"/>
    <s v="Balmer Lawrie &amp; Co. Ltd.,"/>
    <n v="2164800"/>
    <s v="CRCA COIL TATXXD BT02 0.970X913"/>
    <m/>
    <s v=""/>
    <m/>
    <m/>
    <m/>
    <s v="C01"/>
    <s v="TATXXD"/>
    <s v="BT02"/>
    <n v="0.97"/>
    <n v="913"/>
    <n v="0"/>
    <n v="252"/>
    <n v="0"/>
    <n v="252"/>
    <n v="252"/>
    <n v="252"/>
    <n v="252"/>
    <n v="0"/>
    <n v="0"/>
    <n v="0"/>
    <n v="0"/>
    <n v="0"/>
    <n v="0"/>
    <n v="0"/>
    <n v="0"/>
    <n v="0"/>
    <n v="0"/>
    <n v="0"/>
    <n v="0"/>
    <n v="0"/>
    <n v="0"/>
    <n v="0"/>
    <n v="0"/>
    <n v="0"/>
    <n v="0"/>
    <n v="0"/>
    <n v="0"/>
    <n v="0"/>
    <n v="0"/>
    <n v="0"/>
    <m/>
    <n v="0"/>
    <n v="252"/>
    <n v="0"/>
    <n v="0"/>
    <n v="0"/>
    <n v="252"/>
    <n v="0"/>
    <n v="0"/>
    <n v="0"/>
    <n v="0"/>
    <n v="0"/>
    <n v="0"/>
    <n v="0"/>
    <m/>
    <m/>
    <m/>
    <m/>
    <m/>
    <m/>
    <m/>
    <m/>
    <m/>
    <m/>
    <m/>
    <m/>
    <m/>
    <m/>
    <m/>
    <m/>
    <m/>
    <m/>
    <m/>
    <m/>
    <m/>
    <m/>
    <m/>
    <m/>
    <m/>
    <m/>
    <m/>
    <m/>
    <m/>
    <m/>
    <m/>
    <m/>
    <m/>
    <m/>
    <m/>
  </r>
  <r>
    <n v="742"/>
    <d v="2025-04-18T00:00:00"/>
    <s v="ZBTO"/>
    <n v="9518703431"/>
    <n v="4"/>
    <s v="9518703431-4"/>
    <s v="May'25"/>
    <x v="0"/>
    <m/>
    <x v="1"/>
    <x v="10"/>
    <n v="1000"/>
    <m/>
    <x v="1"/>
    <m/>
    <s v="P1-Priority for Balmer"/>
    <s v="Haryana"/>
    <s v="North"/>
    <m/>
    <m/>
    <n v="189430"/>
    <s v="Balmer Lawrie &amp; Co. Ltd.,"/>
    <n v="2164803"/>
    <s v="CRCA COIL TATXXD BT02 1.200X910"/>
    <m/>
    <s v=""/>
    <m/>
    <m/>
    <m/>
    <s v="C01"/>
    <s v="TATXXD"/>
    <s v="BT02"/>
    <n v="1.2"/>
    <n v="910"/>
    <n v="0"/>
    <n v="42"/>
    <n v="0"/>
    <n v="42"/>
    <n v="42"/>
    <n v="42"/>
    <n v="42"/>
    <n v="0"/>
    <n v="0"/>
    <n v="0"/>
    <n v="0"/>
    <n v="0"/>
    <n v="0"/>
    <n v="0"/>
    <n v="0"/>
    <n v="0"/>
    <n v="0"/>
    <n v="0"/>
    <n v="0"/>
    <n v="0"/>
    <n v="0"/>
    <n v="0"/>
    <n v="0"/>
    <n v="0"/>
    <n v="0"/>
    <n v="0"/>
    <n v="0"/>
    <n v="0"/>
    <n v="0"/>
    <n v="0"/>
    <m/>
    <n v="0"/>
    <n v="42"/>
    <n v="0"/>
    <n v="0"/>
    <n v="0"/>
    <n v="0"/>
    <n v="42"/>
    <n v="0"/>
    <n v="0"/>
    <n v="0"/>
    <n v="0"/>
    <n v="0"/>
    <n v="0"/>
    <m/>
    <m/>
    <m/>
    <m/>
    <m/>
    <m/>
    <m/>
    <m/>
    <m/>
    <m/>
    <m/>
    <m/>
    <m/>
    <m/>
    <m/>
    <m/>
    <m/>
    <m/>
    <m/>
    <m/>
    <m/>
    <m/>
    <m/>
    <m/>
    <m/>
    <m/>
    <m/>
    <m/>
    <m/>
    <m/>
    <m/>
    <m/>
    <m/>
    <m/>
    <m/>
  </r>
  <r>
    <n v="742"/>
    <d v="2025-04-19T00:00:00"/>
    <s v="ZBTO"/>
    <n v="9518704091"/>
    <n v="1"/>
    <s v="9518704091-1"/>
    <s v="May'25"/>
    <x v="0"/>
    <m/>
    <x v="1"/>
    <x v="10"/>
    <n v="1000"/>
    <m/>
    <x v="1"/>
    <m/>
    <s v="P1-Priority for Balmer"/>
    <s v="Dadra, Nagarhaveli"/>
    <s v="West"/>
    <m/>
    <m/>
    <n v="189405"/>
    <s v="Balmer Lawrie And Co. Ltd."/>
    <n v="2164800"/>
    <s v="CRCA COIL TATXXD BT02 0.970X913"/>
    <m/>
    <s v=""/>
    <m/>
    <m/>
    <m/>
    <s v="C01"/>
    <s v="TATXXD"/>
    <s v="BT02"/>
    <n v="0.97"/>
    <n v="913"/>
    <n v="0"/>
    <n v="273"/>
    <n v="0"/>
    <n v="273"/>
    <n v="273"/>
    <n v="273"/>
    <n v="273"/>
    <n v="0"/>
    <n v="0"/>
    <n v="0"/>
    <n v="0"/>
    <n v="0"/>
    <n v="0"/>
    <n v="0"/>
    <n v="0"/>
    <n v="0"/>
    <n v="0"/>
    <n v="0"/>
    <n v="0"/>
    <n v="0"/>
    <n v="0"/>
    <n v="0"/>
    <n v="0"/>
    <n v="0"/>
    <n v="0"/>
    <n v="0"/>
    <n v="0"/>
    <n v="0"/>
    <n v="0"/>
    <n v="0"/>
    <m/>
    <n v="0"/>
    <n v="273"/>
    <n v="0"/>
    <n v="0"/>
    <n v="0"/>
    <n v="273"/>
    <n v="0"/>
    <n v="0"/>
    <n v="0"/>
    <n v="0"/>
    <n v="0"/>
    <n v="0"/>
    <n v="0"/>
    <m/>
    <m/>
    <m/>
    <m/>
    <m/>
    <m/>
    <m/>
    <m/>
    <m/>
    <m/>
    <m/>
    <m/>
    <m/>
    <m/>
    <m/>
    <m/>
    <m/>
    <m/>
    <m/>
    <m/>
    <m/>
    <m/>
    <m/>
    <m/>
    <m/>
    <m/>
    <m/>
    <m/>
    <m/>
    <m/>
    <m/>
    <m/>
    <m/>
    <m/>
    <m/>
  </r>
  <r>
    <n v="742"/>
    <d v="2025-04-19T00:00:00"/>
    <s v="ZBTO"/>
    <n v="9518704091"/>
    <n v="2"/>
    <s v="9518704091-2"/>
    <s v="May'25"/>
    <x v="0"/>
    <m/>
    <x v="1"/>
    <x v="10"/>
    <n v="1000"/>
    <m/>
    <x v="1"/>
    <m/>
    <s v="P1-Priority for Balmer"/>
    <s v="Dadra, Nagarhaveli"/>
    <s v="West"/>
    <m/>
    <m/>
    <n v="189405"/>
    <s v="Balmer Lawrie And Co. Ltd."/>
    <n v="2164803"/>
    <s v="CRCA COIL TATXXD BT02 1.200X910"/>
    <m/>
    <s v=""/>
    <m/>
    <m/>
    <m/>
    <s v="C01"/>
    <s v="TATXXD"/>
    <s v="BT02"/>
    <n v="1.2"/>
    <n v="910"/>
    <n v="0"/>
    <n v="273"/>
    <n v="0"/>
    <n v="273"/>
    <n v="273"/>
    <n v="273"/>
    <n v="273"/>
    <n v="0"/>
    <n v="0"/>
    <n v="0"/>
    <n v="0"/>
    <n v="0"/>
    <n v="0"/>
    <n v="0"/>
    <n v="0"/>
    <n v="0"/>
    <n v="0"/>
    <n v="0"/>
    <n v="0"/>
    <n v="0"/>
    <n v="0"/>
    <n v="0"/>
    <n v="0"/>
    <n v="0"/>
    <n v="0"/>
    <n v="0"/>
    <n v="0"/>
    <n v="0"/>
    <n v="0"/>
    <n v="0"/>
    <m/>
    <n v="0"/>
    <n v="273"/>
    <n v="0"/>
    <n v="0"/>
    <n v="0"/>
    <n v="0"/>
    <n v="273"/>
    <n v="0"/>
    <n v="0"/>
    <n v="0"/>
    <n v="0"/>
    <n v="0"/>
    <n v="0"/>
    <m/>
    <m/>
    <m/>
    <m/>
    <m/>
    <m/>
    <m/>
    <m/>
    <m/>
    <m/>
    <m/>
    <m/>
    <m/>
    <m/>
    <m/>
    <m/>
    <m/>
    <m/>
    <m/>
    <m/>
    <m/>
    <m/>
    <m/>
    <m/>
    <m/>
    <m/>
    <m/>
    <m/>
    <m/>
    <m/>
    <m/>
    <m/>
    <m/>
    <m/>
    <m/>
  </r>
  <r>
    <n v="742"/>
    <d v="2025-04-19T00:00:00"/>
    <s v="ZBTO"/>
    <n v="9518704091"/>
    <n v="3"/>
    <s v="9518704091-3"/>
    <s v="No Priority"/>
    <x v="0"/>
    <m/>
    <x v="1"/>
    <x v="10"/>
    <n v="1000"/>
    <m/>
    <x v="0"/>
    <m/>
    <m/>
    <s v="Dadra, Nagarhaveli"/>
    <s v="West"/>
    <m/>
    <m/>
    <n v="189405"/>
    <s v="Balmer Lawrie And Co. Ltd."/>
    <n v="2164800"/>
    <s v="CRCA COIL TATXXD BT02 0.970X913"/>
    <m/>
    <s v=""/>
    <m/>
    <m/>
    <m/>
    <s v="C01"/>
    <s v="TATXXD"/>
    <s v="BT02"/>
    <n v="0.97"/>
    <n v="913"/>
    <n v="0"/>
    <n v="168"/>
    <n v="0"/>
    <n v="168"/>
    <n v="168"/>
    <n v="168"/>
    <n v="168"/>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209"/>
    <n v="1"/>
    <s v="9518694209-1"/>
    <s v="May'25"/>
    <x v="0"/>
    <m/>
    <x v="1"/>
    <x v="1"/>
    <n v="2000"/>
    <m/>
    <x v="1"/>
    <m/>
    <m/>
    <s v="Delhi"/>
    <s v="North"/>
    <m/>
    <m/>
    <n v="101499"/>
    <s v="G.R. GUPTA &amp; BROS."/>
    <n v="1801456"/>
    <s v="CRCA COIL-TATXXD-AU03-0.7X1250"/>
    <m/>
    <s v=""/>
    <m/>
    <m/>
    <m/>
    <s v="C01"/>
    <s v="TATXXD"/>
    <s v="AU03"/>
    <n v="0.7"/>
    <n v="1250"/>
    <n v="0"/>
    <n v="29"/>
    <n v="0"/>
    <n v="29"/>
    <n v="29"/>
    <n v="7.9199999999999982"/>
    <n v="29"/>
    <n v="0"/>
    <n v="0"/>
    <n v="0"/>
    <n v="0"/>
    <n v="0"/>
    <n v="0"/>
    <n v="0"/>
    <n v="0"/>
    <n v="0"/>
    <n v="0"/>
    <n v="0"/>
    <n v="0"/>
    <n v="0"/>
    <n v="21.080000000000002"/>
    <n v="0"/>
    <n v="0"/>
    <n v="0"/>
    <n v="0"/>
    <n v="0"/>
    <n v="21.080000000000002"/>
    <n v="21.080000000000002"/>
    <n v="0"/>
    <n v="21.080000000000002"/>
    <m/>
    <n v="0"/>
    <n v="29"/>
    <n v="29"/>
    <n v="0"/>
    <n v="0"/>
    <n v="0"/>
    <n v="0"/>
    <n v="0"/>
    <n v="0"/>
    <n v="0"/>
    <n v="0"/>
    <n v="0"/>
    <n v="0"/>
    <m/>
    <m/>
    <m/>
    <m/>
    <m/>
    <m/>
    <m/>
    <m/>
    <m/>
    <m/>
    <m/>
    <m/>
    <m/>
    <m/>
    <m/>
    <m/>
    <m/>
    <m/>
    <m/>
    <m/>
    <m/>
    <m/>
    <m/>
    <m/>
    <m/>
    <m/>
    <m/>
    <m/>
    <m/>
    <m/>
    <m/>
    <m/>
    <m/>
    <m/>
    <m/>
  </r>
  <r>
    <n v="742"/>
    <d v="2025-04-15T00:00:00"/>
    <s v="ZBTO"/>
    <n v="9518694209"/>
    <n v="2"/>
    <s v="9518694209-2"/>
    <s v="No Priority"/>
    <x v="0"/>
    <m/>
    <x v="1"/>
    <x v="1"/>
    <n v="2000"/>
    <m/>
    <x v="0"/>
    <m/>
    <m/>
    <s v="Delhi"/>
    <s v="North"/>
    <m/>
    <m/>
    <n v="101499"/>
    <s v="G.R. GUPTA &amp; BROS."/>
    <n v="1804814"/>
    <s v="CRCA COIL TATXXD AU03 0.8X1250"/>
    <m/>
    <s v=""/>
    <m/>
    <m/>
    <m/>
    <s v="C01"/>
    <s v="TATXXD"/>
    <s v="AU03"/>
    <n v="0.8"/>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209"/>
    <n v="3"/>
    <s v="9518694209-3"/>
    <s v="No Priority"/>
    <x v="0"/>
    <m/>
    <x v="1"/>
    <x v="1"/>
    <n v="2000"/>
    <m/>
    <x v="0"/>
    <m/>
    <m/>
    <s v="Delhi"/>
    <s v="North"/>
    <m/>
    <m/>
    <n v="101499"/>
    <s v="G.R. GUPTA &amp; BROS."/>
    <n v="1801804"/>
    <s v="CRCA COIL-TATXXD-AU03-1X1250"/>
    <m/>
    <s v=""/>
    <m/>
    <m/>
    <m/>
    <s v="C01"/>
    <s v="TATXXD"/>
    <s v="AU03"/>
    <n v="1"/>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209"/>
    <n v="4"/>
    <s v="9518694209-4"/>
    <s v="No Priority"/>
    <x v="0"/>
    <m/>
    <x v="1"/>
    <x v="1"/>
    <n v="2000"/>
    <m/>
    <x v="0"/>
    <m/>
    <m/>
    <s v="Delhi"/>
    <s v="North"/>
    <m/>
    <m/>
    <n v="101499"/>
    <s v="G.R. GUPTA &amp; BROS."/>
    <n v="1804854"/>
    <s v="CRCA COIL-TATXXD-AU03-1.2X1250"/>
    <m/>
    <s v=""/>
    <m/>
    <m/>
    <m/>
    <s v="C01"/>
    <s v="TATXXD"/>
    <s v="AU03"/>
    <n v="1.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209"/>
    <n v="6"/>
    <s v="9518694209-6"/>
    <s v="No Priority"/>
    <x v="0"/>
    <m/>
    <x v="1"/>
    <x v="1"/>
    <n v="2000"/>
    <m/>
    <x v="0"/>
    <m/>
    <m/>
    <s v="Delhi"/>
    <s v="North"/>
    <m/>
    <m/>
    <n v="101499"/>
    <s v="G.R. GUPTA &amp; BROS."/>
    <n v="1884117"/>
    <s v="CRCA COIL-TATXXD-AU03-2X1250"/>
    <m/>
    <s v=""/>
    <m/>
    <m/>
    <m/>
    <s v="C01"/>
    <s v="TATXXD"/>
    <s v="AU03"/>
    <n v="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209"/>
    <n v="7"/>
    <s v="9518694209-7"/>
    <s v="May'25"/>
    <x v="0"/>
    <m/>
    <x v="1"/>
    <x v="1"/>
    <n v="2000"/>
    <m/>
    <x v="1"/>
    <m/>
    <m/>
    <s v="Delhi"/>
    <s v="North"/>
    <m/>
    <m/>
    <n v="101499"/>
    <s v="G.R. GUPTA &amp; BROS."/>
    <n v="2193599"/>
    <s v="CRCA COIL TATXXD AU03 1.400X1250"/>
    <m/>
    <s v=""/>
    <m/>
    <m/>
    <m/>
    <s v="C01"/>
    <s v="TATXXD"/>
    <s v="AU03"/>
    <n v="1.4"/>
    <n v="1250"/>
    <n v="0"/>
    <n v="29"/>
    <n v="0"/>
    <n v="29"/>
    <n v="29"/>
    <n v="9.879999999999999"/>
    <n v="29"/>
    <n v="0"/>
    <n v="0"/>
    <n v="0"/>
    <n v="0"/>
    <n v="0"/>
    <n v="0"/>
    <n v="0"/>
    <n v="0"/>
    <n v="0"/>
    <n v="0"/>
    <n v="0"/>
    <n v="0"/>
    <n v="0"/>
    <n v="0"/>
    <n v="0"/>
    <n v="19.12"/>
    <n v="0"/>
    <n v="0"/>
    <n v="0"/>
    <n v="19.12"/>
    <n v="19.12"/>
    <n v="0"/>
    <n v="19.12"/>
    <m/>
    <n v="0"/>
    <n v="29"/>
    <n v="0"/>
    <n v="29"/>
    <n v="0"/>
    <n v="0"/>
    <n v="0"/>
    <n v="29"/>
    <n v="0"/>
    <n v="29"/>
    <n v="0"/>
    <n v="0"/>
    <n v="0"/>
    <m/>
    <m/>
    <m/>
    <m/>
    <m/>
    <m/>
    <m/>
    <m/>
    <m/>
    <m/>
    <m/>
    <m/>
    <m/>
    <m/>
    <m/>
    <m/>
    <m/>
    <m/>
    <m/>
    <m/>
    <m/>
    <m/>
    <m/>
    <m/>
    <m/>
    <m/>
    <m/>
    <m/>
    <m/>
    <m/>
    <m/>
    <m/>
    <m/>
    <m/>
    <m/>
  </r>
  <r>
    <n v="742"/>
    <d v="2025-04-15T00:00:00"/>
    <s v="ZBTO"/>
    <n v="9518694209"/>
    <n v="8"/>
    <s v="9518694209-8"/>
    <s v="No Priority"/>
    <x v="0"/>
    <m/>
    <x v="1"/>
    <x v="1"/>
    <n v="2000"/>
    <m/>
    <x v="0"/>
    <m/>
    <m/>
    <s v="Delhi"/>
    <s v="North"/>
    <m/>
    <m/>
    <n v="101499"/>
    <s v="G.R. GUPTA &amp; BROS."/>
    <n v="2334995"/>
    <s v="CRCA COIL TATXXD AU03 1.500X1250"/>
    <m/>
    <s v=""/>
    <m/>
    <m/>
    <m/>
    <s v="C01"/>
    <s v="TATXXD"/>
    <s v="AU03"/>
    <n v="1.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209"/>
    <n v="9"/>
    <s v="9518694209-9"/>
    <s v="No Priority"/>
    <x v="0"/>
    <m/>
    <x v="1"/>
    <x v="1"/>
    <n v="2000"/>
    <m/>
    <x v="0"/>
    <m/>
    <m/>
    <s v="Delhi"/>
    <s v="North"/>
    <m/>
    <m/>
    <n v="101499"/>
    <s v="G.R. GUPTA &amp; BROS."/>
    <n v="2155233"/>
    <s v="CRCA COIL TATXXD AU03 2.5X1250"/>
    <m/>
    <s v=""/>
    <m/>
    <m/>
    <m/>
    <s v="C01"/>
    <s v="TATXXD"/>
    <s v="AU03"/>
    <n v="2.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209"/>
    <n v="10"/>
    <s v="9518694209-10"/>
    <s v="No Priority"/>
    <x v="0"/>
    <m/>
    <x v="1"/>
    <x v="1"/>
    <n v="2000"/>
    <m/>
    <x v="0"/>
    <m/>
    <m/>
    <s v="Delhi"/>
    <s v="North"/>
    <m/>
    <m/>
    <n v="101499"/>
    <s v="G.R. GUPTA &amp; BROS."/>
    <n v="1801290"/>
    <s v="CRCA COIL-TATXXD-AU03-0.6X1250"/>
    <m/>
    <s v=""/>
    <m/>
    <m/>
    <m/>
    <s v="C01"/>
    <s v="TATXXD"/>
    <s v="AU03"/>
    <n v="0.6"/>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9T00:00:00"/>
    <s v="ZBTO"/>
    <n v="9518704147"/>
    <n v="1"/>
    <s v="9518704147-1"/>
    <s v="May'25"/>
    <x v="0"/>
    <m/>
    <x v="1"/>
    <x v="10"/>
    <n v="1000"/>
    <m/>
    <x v="1"/>
    <m/>
    <m/>
    <s v="Tamil Nadu"/>
    <s v="South"/>
    <m/>
    <m/>
    <n v="122082"/>
    <s v="GODREJ AND BOYCE MANUFACTURING"/>
    <n v="3774639"/>
    <s v="CR COIL TATXHS GB03 1.500X1260"/>
    <m/>
    <s v=""/>
    <m/>
    <m/>
    <m/>
    <s v="C01"/>
    <s v="TATXHS"/>
    <s v="GB03"/>
    <n v="1.5"/>
    <n v="1260"/>
    <n v="0"/>
    <n v="290"/>
    <n v="0"/>
    <n v="290"/>
    <n v="290"/>
    <n v="290"/>
    <n v="290"/>
    <n v="0"/>
    <n v="0"/>
    <n v="0"/>
    <n v="0"/>
    <n v="0"/>
    <n v="0"/>
    <n v="0"/>
    <n v="0"/>
    <n v="0"/>
    <n v="0"/>
    <n v="0"/>
    <n v="0"/>
    <n v="0"/>
    <n v="0"/>
    <n v="0"/>
    <n v="0"/>
    <n v="0"/>
    <n v="0"/>
    <n v="0"/>
    <n v="0"/>
    <n v="0"/>
    <n v="0"/>
    <n v="0"/>
    <m/>
    <n v="0"/>
    <n v="290"/>
    <n v="0"/>
    <n v="0"/>
    <n v="0"/>
    <n v="0"/>
    <n v="290"/>
    <n v="0"/>
    <n v="0"/>
    <n v="0"/>
    <n v="0"/>
    <n v="0"/>
    <n v="0"/>
    <m/>
    <m/>
    <m/>
    <m/>
    <m/>
    <m/>
    <m/>
    <m/>
    <m/>
    <m/>
    <m/>
    <m/>
    <m/>
    <m/>
    <m/>
    <m/>
    <m/>
    <m/>
    <m/>
    <m/>
    <m/>
    <m/>
    <m/>
    <m/>
    <m/>
    <m/>
    <m/>
    <m/>
    <m/>
    <m/>
    <m/>
    <m/>
    <m/>
    <m/>
    <m/>
  </r>
  <r>
    <n v="742"/>
    <d v="2025-04-19T00:00:00"/>
    <s v="ZBTO"/>
    <n v="9518704147"/>
    <n v="3"/>
    <s v="9518704147-3"/>
    <s v="May'25"/>
    <x v="0"/>
    <m/>
    <x v="1"/>
    <x v="10"/>
    <n v="1000"/>
    <m/>
    <x v="1"/>
    <m/>
    <m/>
    <s v="Tamil Nadu"/>
    <s v="South"/>
    <m/>
    <m/>
    <n v="122082"/>
    <s v="GODREJ AND BOYCE MANUFACTURING"/>
    <n v="3774639"/>
    <s v="CR COIL TATXHS GB03 1.500X1260"/>
    <m/>
    <s v=""/>
    <m/>
    <m/>
    <m/>
    <s v="C01"/>
    <s v="TATXHS"/>
    <s v="GB03"/>
    <n v="1.5"/>
    <n v="1260"/>
    <n v="0"/>
    <n v="290"/>
    <n v="0"/>
    <n v="290"/>
    <n v="290"/>
    <n v="290"/>
    <n v="290"/>
    <n v="0"/>
    <n v="0"/>
    <n v="0"/>
    <n v="0"/>
    <n v="0"/>
    <n v="0"/>
    <n v="0"/>
    <n v="0"/>
    <n v="0"/>
    <n v="0"/>
    <n v="0"/>
    <n v="0"/>
    <n v="0"/>
    <n v="0"/>
    <n v="0"/>
    <n v="0"/>
    <n v="0"/>
    <n v="0"/>
    <n v="0"/>
    <n v="0"/>
    <n v="0"/>
    <n v="0"/>
    <n v="0"/>
    <m/>
    <n v="0"/>
    <n v="290"/>
    <n v="0"/>
    <n v="0"/>
    <n v="0"/>
    <n v="0"/>
    <n v="290"/>
    <n v="0"/>
    <n v="0"/>
    <n v="0"/>
    <n v="0"/>
    <n v="0"/>
    <n v="0"/>
    <m/>
    <m/>
    <m/>
    <m/>
    <m/>
    <m/>
    <m/>
    <m/>
    <m/>
    <m/>
    <m/>
    <m/>
    <m/>
    <m/>
    <m/>
    <m/>
    <m/>
    <m/>
    <m/>
    <m/>
    <m/>
    <m/>
    <m/>
    <m/>
    <m/>
    <m/>
    <m/>
    <m/>
    <m/>
    <m/>
    <m/>
    <m/>
    <m/>
    <m/>
    <m/>
  </r>
  <r>
    <n v="743"/>
    <d v="2025-04-17T00:00:00"/>
    <s v="ZBTO"/>
    <n v="9518701085"/>
    <n v="1"/>
    <s v="9518701085-1"/>
    <s v="May'25"/>
    <x v="0"/>
    <m/>
    <x v="4"/>
    <x v="5"/>
    <n v="1000"/>
    <m/>
    <x v="1"/>
    <m/>
    <m/>
    <s v="Gujarat"/>
    <s v="West"/>
    <m/>
    <m/>
    <n v="949285"/>
    <s v="NAKODA POWER GREEN ENERGY LIMI"/>
    <n v="3884496"/>
    <s v="GL COIL HARD  Y550GL HGL6 0.900X1220"/>
    <m/>
    <s v=""/>
    <m/>
    <m/>
    <m/>
    <s v="B04"/>
    <s v="Y550GL"/>
    <s v="HGL6"/>
    <n v="0.9"/>
    <n v="1220"/>
    <n v="0"/>
    <n v="300.99900000000002"/>
    <n v="0"/>
    <n v="300.99900000000002"/>
    <n v="300.99900000000002"/>
    <n v="249.38900000000001"/>
    <n v="308"/>
    <n v="0"/>
    <n v="0"/>
    <n v="0"/>
    <n v="0"/>
    <n v="0"/>
    <n v="0"/>
    <n v="0"/>
    <n v="26.89"/>
    <n v="0"/>
    <n v="0"/>
    <n v="0"/>
    <n v="0"/>
    <n v="0"/>
    <n v="0"/>
    <n v="0"/>
    <n v="0"/>
    <n v="0"/>
    <n v="0"/>
    <n v="24.72"/>
    <n v="51.61"/>
    <n v="51.61"/>
    <n v="0"/>
    <n v="51.61"/>
    <m/>
    <n v="0"/>
    <n v="308"/>
    <n v="0"/>
    <n v="0"/>
    <n v="308"/>
    <n v="0"/>
    <n v="0"/>
    <n v="0"/>
    <n v="0"/>
    <n v="0"/>
    <n v="0"/>
    <n v="0"/>
    <n v="0"/>
    <m/>
    <m/>
    <m/>
    <m/>
    <m/>
    <m/>
    <m/>
    <m/>
    <m/>
    <m/>
    <m/>
    <m/>
    <m/>
    <m/>
    <m/>
    <m/>
    <m/>
    <m/>
    <m/>
    <m/>
    <m/>
    <m/>
    <m/>
    <m/>
    <m/>
    <m/>
    <m/>
    <m/>
    <m/>
    <m/>
    <m/>
    <m/>
    <m/>
    <m/>
    <m/>
  </r>
  <r>
    <n v="743"/>
    <d v="2025-04-17T00:00:00"/>
    <s v="ZBTO"/>
    <n v="9518701085"/>
    <n v="2"/>
    <s v="9518701085-2"/>
    <s v="May'25"/>
    <x v="0"/>
    <m/>
    <x v="4"/>
    <x v="5"/>
    <n v="1000"/>
    <m/>
    <x v="1"/>
    <m/>
    <m/>
    <s v="Gujarat"/>
    <s v="West"/>
    <m/>
    <m/>
    <n v="949285"/>
    <s v="NAKODA POWER GREEN ENERGY LIMI"/>
    <n v="3884496"/>
    <s v="GL COIL HARD  Y550GL HGL6 0.900X1220"/>
    <m/>
    <s v=""/>
    <m/>
    <m/>
    <m/>
    <s v="B04"/>
    <s v="Y550GL"/>
    <s v="HGL6"/>
    <n v="0.9"/>
    <n v="1220"/>
    <n v="0"/>
    <n v="300.99900000000002"/>
    <n v="0"/>
    <n v="300.99900000000002"/>
    <n v="300.99900000000002"/>
    <n v="300.99900000000002"/>
    <n v="308"/>
    <n v="0"/>
    <n v="0"/>
    <n v="0"/>
    <n v="0"/>
    <n v="0"/>
    <n v="0"/>
    <n v="0"/>
    <n v="0"/>
    <n v="0"/>
    <n v="0"/>
    <n v="0"/>
    <n v="0"/>
    <n v="0"/>
    <n v="0"/>
    <n v="0"/>
    <n v="0"/>
    <n v="0"/>
    <n v="0"/>
    <n v="0"/>
    <n v="0"/>
    <n v="0"/>
    <n v="0"/>
    <n v="0"/>
    <m/>
    <n v="0"/>
    <n v="308"/>
    <n v="0"/>
    <n v="0"/>
    <n v="308"/>
    <n v="0"/>
    <n v="0"/>
    <n v="0"/>
    <n v="0"/>
    <n v="0"/>
    <n v="0"/>
    <n v="0"/>
    <n v="0"/>
    <m/>
    <m/>
    <m/>
    <m/>
    <m/>
    <m/>
    <m/>
    <m/>
    <m/>
    <m/>
    <m/>
    <m/>
    <m/>
    <m/>
    <m/>
    <m/>
    <m/>
    <m/>
    <m/>
    <m/>
    <m/>
    <m/>
    <m/>
    <m/>
    <m/>
    <m/>
    <m/>
    <m/>
    <m/>
    <m/>
    <m/>
    <m/>
    <m/>
    <m/>
    <m/>
  </r>
  <r>
    <n v="743"/>
    <d v="2025-04-21T00:00:00"/>
    <s v="ZBTO"/>
    <n v="9518709108"/>
    <n v="1"/>
    <s v="9518709108-1"/>
    <s v="May'25"/>
    <x v="0"/>
    <m/>
    <x v="4"/>
    <x v="5"/>
    <n v="1000"/>
    <m/>
    <x v="1"/>
    <m/>
    <m/>
    <s v="Gujarat"/>
    <s v="West"/>
    <m/>
    <m/>
    <n v="944226"/>
    <s v="PURSHOTAM PROFILES PRIVATE LIM"/>
    <n v="3889776"/>
    <s v="GL COIL HARD  Y550GL H0GL 0.900X1249"/>
    <m/>
    <s v=""/>
    <m/>
    <m/>
    <m/>
    <s v="B04"/>
    <s v="Y550GL"/>
    <s v="H0GL"/>
    <n v="0.9"/>
    <n v="1249"/>
    <n v="0"/>
    <n v="290"/>
    <n v="0"/>
    <n v="290"/>
    <n v="290"/>
    <n v="290"/>
    <n v="290"/>
    <n v="0"/>
    <n v="0"/>
    <n v="0"/>
    <n v="0"/>
    <n v="0"/>
    <n v="0"/>
    <n v="0"/>
    <n v="0"/>
    <n v="0"/>
    <n v="0"/>
    <n v="0"/>
    <n v="0"/>
    <n v="0"/>
    <n v="0"/>
    <n v="0"/>
    <n v="0"/>
    <n v="0"/>
    <n v="0"/>
    <n v="0"/>
    <n v="0"/>
    <n v="0"/>
    <n v="0"/>
    <n v="0"/>
    <m/>
    <n v="0"/>
    <n v="290"/>
    <n v="0"/>
    <n v="0"/>
    <n v="0"/>
    <n v="0"/>
    <n v="290"/>
    <n v="0"/>
    <n v="0"/>
    <n v="0"/>
    <n v="0"/>
    <n v="0"/>
    <n v="0"/>
    <m/>
    <m/>
    <m/>
    <m/>
    <m/>
    <m/>
    <m/>
    <m/>
    <m/>
    <m/>
    <m/>
    <m/>
    <m/>
    <m/>
    <m/>
    <m/>
    <m/>
    <m/>
    <m/>
    <m/>
    <m/>
    <m/>
    <m/>
    <m/>
    <m/>
    <m/>
    <m/>
    <m/>
    <m/>
    <m/>
    <m/>
    <m/>
    <m/>
    <m/>
    <m/>
  </r>
  <r>
    <n v="742"/>
    <d v="2025-04-19T00:00:00"/>
    <s v="ZBTO"/>
    <n v="9518704234"/>
    <n v="1"/>
    <s v="9518704234-1"/>
    <s v="No Priority"/>
    <x v="0"/>
    <m/>
    <x v="1"/>
    <x v="1"/>
    <n v="2000"/>
    <m/>
    <x v="0"/>
    <m/>
    <m/>
    <s v="Haryana"/>
    <s v="North"/>
    <m/>
    <m/>
    <n v="116735"/>
    <s v="RAKESH STEELS"/>
    <n v="1804854"/>
    <s v="CRCA COIL-TATXXD-AU03-1.2X1250"/>
    <m/>
    <s v=""/>
    <m/>
    <m/>
    <m/>
    <s v="C01"/>
    <s v="TATXXD"/>
    <s v="AU03"/>
    <n v="1.2"/>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742"/>
    <d v="2025-04-19T00:00:00"/>
    <s v="ZBTO"/>
    <n v="9518704234"/>
    <n v="2"/>
    <s v="9518704234-2"/>
    <s v="No Priority"/>
    <x v="0"/>
    <m/>
    <x v="1"/>
    <x v="1"/>
    <n v="2000"/>
    <m/>
    <x v="0"/>
    <m/>
    <m/>
    <s v="Haryana"/>
    <s v="North"/>
    <m/>
    <m/>
    <n v="116735"/>
    <s v="RAKESH STEELS"/>
    <n v="1884117"/>
    <s v="CRCA COIL-TATXXD-AU03-2X1250"/>
    <m/>
    <s v=""/>
    <m/>
    <m/>
    <m/>
    <s v="C01"/>
    <s v="TATXXD"/>
    <s v="AU03"/>
    <n v="2"/>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19T00:00:00"/>
    <s v="ZBTO"/>
    <n v="9518704249"/>
    <n v="1"/>
    <s v="9518704249-1"/>
    <s v="No Priority"/>
    <x v="0"/>
    <m/>
    <x v="1"/>
    <x v="1"/>
    <n v="2000"/>
    <m/>
    <x v="0"/>
    <m/>
    <m/>
    <s v="Haryana"/>
    <s v="North"/>
    <m/>
    <m/>
    <n v="116735"/>
    <s v="RAKESH STEELS"/>
    <n v="1801804"/>
    <s v="CRCA COIL-TATXXD-AU03-1X1250"/>
    <m/>
    <s v=""/>
    <m/>
    <m/>
    <m/>
    <s v="C01"/>
    <s v="TATXXD"/>
    <s v="AU03"/>
    <n v="1"/>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3"/>
    <d v="2025-04-21T00:00:00"/>
    <s v="ZBTO"/>
    <n v="9518708769"/>
    <n v="1"/>
    <s v="9518708769-1"/>
    <s v="May'25"/>
    <x v="0"/>
    <m/>
    <x v="3"/>
    <x v="4"/>
    <n v="2000"/>
    <m/>
    <x v="1"/>
    <m/>
    <m/>
    <s v="Karnataka"/>
    <s v="South"/>
    <m/>
    <m/>
    <n v="942923"/>
    <s v="S C SHETTAR &amp; SONS PRIVATE LIM"/>
    <n v="3708868"/>
    <s v="GP COIL TATGPH GP02 0.500X1350"/>
    <m/>
    <s v=""/>
    <m/>
    <m/>
    <m/>
    <s v="C05"/>
    <s v="TATGPH"/>
    <s v="GP02"/>
    <n v="0.5"/>
    <n v="1350"/>
    <n v="0"/>
    <n v="93"/>
    <n v="0"/>
    <n v="93"/>
    <n v="93"/>
    <n v="93"/>
    <n v="93"/>
    <n v="0"/>
    <n v="0"/>
    <n v="0"/>
    <n v="0"/>
    <n v="0"/>
    <n v="0"/>
    <n v="0"/>
    <n v="0"/>
    <n v="0"/>
    <n v="0"/>
    <n v="0"/>
    <n v="0"/>
    <n v="0"/>
    <n v="0"/>
    <n v="0"/>
    <n v="0"/>
    <n v="0"/>
    <n v="0"/>
    <n v="0"/>
    <n v="0"/>
    <n v="0"/>
    <n v="0"/>
    <n v="0"/>
    <m/>
    <n v="0"/>
    <n v="93"/>
    <n v="0"/>
    <n v="0"/>
    <n v="0"/>
    <n v="93"/>
    <n v="0"/>
    <n v="0"/>
    <n v="0"/>
    <n v="0"/>
    <n v="0"/>
    <n v="0"/>
    <n v="0"/>
    <m/>
    <m/>
    <m/>
    <m/>
    <m/>
    <m/>
    <m/>
    <m/>
    <m/>
    <m/>
    <m/>
    <m/>
    <m/>
    <m/>
    <m/>
    <m/>
    <m/>
    <m/>
    <m/>
    <m/>
    <m/>
    <m/>
    <m/>
    <m/>
    <m/>
    <m/>
    <m/>
    <m/>
    <m/>
    <m/>
    <m/>
    <m/>
    <m/>
    <m/>
    <m/>
  </r>
  <r>
    <n v="744"/>
    <d v="2025-04-19T00:00:00"/>
    <s v="ZBTO"/>
    <n v="9518704714"/>
    <n v="1"/>
    <s v="9518704714-1"/>
    <s v="May'25"/>
    <x v="0"/>
    <m/>
    <x v="2"/>
    <x v="3"/>
    <n v="1000"/>
    <m/>
    <x v="1"/>
    <m/>
    <m/>
    <s v="Jharkhand"/>
    <s v="East"/>
    <m/>
    <m/>
    <n v="941597"/>
    <s v="TATA BLUESCOPE STEEL PRIVATE L"/>
    <n v="3902332"/>
    <s v="PPGL C HARD Y550PL D0C9 0.50(TPT)X1220"/>
    <m/>
    <s v="RAL 9002 TSL 1801"/>
    <m/>
    <m/>
    <m/>
    <s v="B18"/>
    <s v="Y550PL"/>
    <s v="D0C9"/>
    <n v="0.5"/>
    <n v="1220"/>
    <n v="0"/>
    <n v="84"/>
    <n v="0"/>
    <n v="84"/>
    <n v="84"/>
    <n v="-2.1800000000000068"/>
    <n v="84"/>
    <n v="0"/>
    <n v="86.18"/>
    <n v="0"/>
    <n v="0"/>
    <n v="0"/>
    <n v="0"/>
    <n v="0"/>
    <n v="0"/>
    <n v="0"/>
    <n v="0"/>
    <n v="0"/>
    <n v="0"/>
    <n v="0"/>
    <n v="0"/>
    <n v="0"/>
    <n v="0"/>
    <n v="0"/>
    <n v="0"/>
    <n v="0"/>
    <n v="86.18"/>
    <n v="86.18"/>
    <n v="0"/>
    <n v="86.18"/>
    <m/>
    <n v="0"/>
    <n v="84"/>
    <n v="84"/>
    <n v="0"/>
    <n v="0"/>
    <n v="0"/>
    <n v="0"/>
    <n v="0"/>
    <n v="0"/>
    <n v="0"/>
    <n v="0"/>
    <n v="0"/>
    <n v="0"/>
    <m/>
    <m/>
    <m/>
    <m/>
    <m/>
    <m/>
    <m/>
    <m/>
    <m/>
    <m/>
    <m/>
    <m/>
    <m/>
    <m/>
    <m/>
    <m/>
    <m/>
    <m/>
    <m/>
    <m/>
    <m/>
    <m/>
    <m/>
    <m/>
    <m/>
    <m/>
    <m/>
    <m/>
    <m/>
    <m/>
    <m/>
    <m/>
    <m/>
    <m/>
    <m/>
  </r>
  <r>
    <n v="744"/>
    <d v="2025-04-19T00:00:00"/>
    <s v="ZBTO"/>
    <n v="9518704714"/>
    <n v="2"/>
    <s v="9518704714-2"/>
    <s v="May'25"/>
    <x v="0"/>
    <m/>
    <x v="2"/>
    <x v="3"/>
    <n v="1000"/>
    <m/>
    <x v="1"/>
    <m/>
    <m/>
    <s v="Jharkhand"/>
    <s v="East"/>
    <m/>
    <m/>
    <n v="941597"/>
    <s v="TATA BLUESCOPE STEEL PRIVATE L"/>
    <n v="3902332"/>
    <s v="PPGL C HARD Y550PL D0C9 0.50(TPT)X1220"/>
    <m/>
    <s v="BRICK RED TSL 1803"/>
    <m/>
    <m/>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4-19T00:00:00"/>
    <s v="ZBTO"/>
    <n v="9518704714"/>
    <n v="3"/>
    <s v="9518704714-3"/>
    <s v="Stocks"/>
    <x v="0"/>
    <m/>
    <x v="2"/>
    <x v="3"/>
    <n v="1000"/>
    <m/>
    <x v="1"/>
    <m/>
    <m/>
    <s v="Jharkhand"/>
    <s v="East"/>
    <m/>
    <m/>
    <n v="941597"/>
    <s v="TATA BLUESCOPE STEEL PRIVATE L"/>
    <n v="3902332"/>
    <s v="PPGL C HARD Y550PL D0C9 0.50(TPT)X1220"/>
    <m/>
    <s v="RAL 9002 TSL 1801"/>
    <m/>
    <m/>
    <m/>
    <s v="B18"/>
    <s v="Y550PL"/>
    <s v="D0C9"/>
    <n v="0.5"/>
    <n v="1220"/>
    <n v="0"/>
    <n v="28"/>
    <n v="0"/>
    <n v="28"/>
    <n v="28"/>
    <n v="14.04"/>
    <n v="11.16"/>
    <n v="0"/>
    <n v="0"/>
    <n v="0"/>
    <n v="0"/>
    <n v="0"/>
    <n v="0"/>
    <n v="0"/>
    <n v="0"/>
    <n v="0"/>
    <n v="9.74"/>
    <n v="0"/>
    <n v="0"/>
    <n v="0"/>
    <n v="0"/>
    <n v="0"/>
    <n v="0"/>
    <n v="0"/>
    <n v="0"/>
    <n v="4.22"/>
    <n v="13.96"/>
    <n v="13.96"/>
    <n v="0"/>
    <n v="13.96"/>
    <m/>
    <n v="16.84"/>
    <n v="11.16"/>
    <n v="11.16"/>
    <n v="0"/>
    <n v="0"/>
    <n v="0"/>
    <n v="0"/>
    <n v="0"/>
    <n v="0"/>
    <n v="0"/>
    <n v="0"/>
    <n v="0"/>
    <n v="0"/>
    <m/>
    <m/>
    <m/>
    <m/>
    <m/>
    <m/>
    <m/>
    <m/>
    <m/>
    <m/>
    <m/>
    <m/>
    <m/>
    <m/>
    <m/>
    <m/>
    <m/>
    <m/>
    <m/>
    <m/>
    <m/>
    <m/>
    <m/>
    <m/>
    <m/>
    <m/>
    <m/>
    <m/>
    <m/>
    <m/>
    <m/>
    <m/>
    <m/>
    <m/>
    <m/>
  </r>
  <r>
    <n v="744"/>
    <d v="2025-04-19T00:00:00"/>
    <s v="ZBTO"/>
    <n v="9518704714"/>
    <n v="4"/>
    <s v="9518704714-4"/>
    <s v="May'25"/>
    <x v="0"/>
    <m/>
    <x v="2"/>
    <x v="3"/>
    <n v="1000"/>
    <m/>
    <x v="1"/>
    <m/>
    <m/>
    <s v="Jharkhand"/>
    <s v="East"/>
    <m/>
    <m/>
    <n v="941597"/>
    <s v="TATA BLUESCOPE STEEL PRIVATE L"/>
    <n v="3902332"/>
    <s v="PPGL C HARD Y550PL D0C9 0.50(TPT)X1220"/>
    <m/>
    <s v="RAL 9002 TSL 1801"/>
    <m/>
    <m/>
    <m/>
    <s v="B18"/>
    <s v="Y550PL"/>
    <s v="D0C9"/>
    <n v="0.5"/>
    <n v="1220"/>
    <n v="0"/>
    <n v="28"/>
    <n v="0"/>
    <n v="28"/>
    <n v="28"/>
    <n v="-0.67000000000000171"/>
    <n v="28"/>
    <n v="0"/>
    <n v="28.67"/>
    <n v="0"/>
    <n v="0"/>
    <n v="0"/>
    <n v="0"/>
    <n v="0"/>
    <n v="0"/>
    <n v="0"/>
    <n v="0"/>
    <n v="0"/>
    <n v="0"/>
    <n v="0"/>
    <n v="0"/>
    <n v="0"/>
    <n v="0"/>
    <n v="0"/>
    <n v="0"/>
    <n v="0"/>
    <n v="28.67"/>
    <n v="28.67"/>
    <n v="0"/>
    <n v="28.67"/>
    <m/>
    <n v="0"/>
    <n v="28"/>
    <n v="28"/>
    <n v="0"/>
    <n v="0"/>
    <n v="0"/>
    <n v="0"/>
    <n v="0"/>
    <n v="0"/>
    <n v="0"/>
    <n v="0"/>
    <n v="0"/>
    <n v="0"/>
    <m/>
    <m/>
    <m/>
    <m/>
    <m/>
    <m/>
    <m/>
    <m/>
    <m/>
    <m/>
    <m/>
    <m/>
    <m/>
    <m/>
    <m/>
    <m/>
    <m/>
    <m/>
    <m/>
    <m/>
    <m/>
    <m/>
    <m/>
    <m/>
    <m/>
    <m/>
    <m/>
    <m/>
    <m/>
    <m/>
    <m/>
    <m/>
    <m/>
    <m/>
    <m/>
  </r>
  <r>
    <n v="744"/>
    <d v="2025-04-19T00:00:00"/>
    <s v="ZBTO"/>
    <n v="9518704714"/>
    <n v="5"/>
    <s v="9518704714-5"/>
    <s v="May'25"/>
    <x v="0"/>
    <m/>
    <x v="2"/>
    <x v="3"/>
    <n v="1000"/>
    <m/>
    <x v="1"/>
    <m/>
    <m/>
    <s v="Jharkhand"/>
    <s v="East"/>
    <m/>
    <m/>
    <n v="941597"/>
    <s v="TATA BLUESCOPE STEEL PRIVATE L"/>
    <n v="3902332"/>
    <s v="PPGL C HARD Y550PL D0C9 0.50(TPT)X1220"/>
    <m/>
    <s v="RAL 6011 TSL 1810"/>
    <m/>
    <m/>
    <m/>
    <s v="B18"/>
    <s v="Y550PL"/>
    <s v="D0C9"/>
    <n v="0.5"/>
    <n v="1220"/>
    <n v="0"/>
    <n v="28"/>
    <n v="0"/>
    <n v="28"/>
    <n v="28"/>
    <n v="28"/>
    <n v="28"/>
    <n v="0"/>
    <n v="0"/>
    <n v="0"/>
    <n v="0"/>
    <n v="0"/>
    <n v="0"/>
    <n v="0"/>
    <n v="0"/>
    <n v="0"/>
    <n v="0"/>
    <n v="0"/>
    <n v="0"/>
    <n v="0"/>
    <n v="0"/>
    <n v="0"/>
    <n v="0"/>
    <n v="0"/>
    <n v="0"/>
    <n v="0"/>
    <n v="0"/>
    <n v="0"/>
    <n v="0"/>
    <n v="0"/>
    <m/>
    <n v="0"/>
    <n v="28"/>
    <n v="0"/>
    <n v="0"/>
    <n v="0"/>
    <n v="28"/>
    <n v="0"/>
    <n v="0"/>
    <n v="0"/>
    <n v="0"/>
    <n v="0"/>
    <n v="0"/>
    <n v="0"/>
    <m/>
    <m/>
    <m/>
    <m/>
    <m/>
    <m/>
    <m/>
    <m/>
    <m/>
    <m/>
    <m/>
    <m/>
    <m/>
    <m/>
    <m/>
    <m/>
    <m/>
    <m/>
    <m/>
    <m/>
    <m/>
    <m/>
    <m/>
    <m/>
    <m/>
    <m/>
    <m/>
    <m/>
    <m/>
    <m/>
    <m/>
    <m/>
    <m/>
    <m/>
    <m/>
  </r>
  <r>
    <n v="744"/>
    <d v="2025-04-19T00:00:00"/>
    <s v="ZBTO"/>
    <n v="9518704714"/>
    <n v="6"/>
    <s v="9518704714-6"/>
    <s v="May'25"/>
    <x v="0"/>
    <m/>
    <x v="2"/>
    <x v="3"/>
    <n v="1000"/>
    <m/>
    <x v="1"/>
    <m/>
    <m/>
    <s v="Jharkhand"/>
    <s v="East"/>
    <m/>
    <m/>
    <n v="941597"/>
    <s v="TATA BLUESCOPE STEEL PRIVATE L"/>
    <n v="3902332"/>
    <s v="PPGL C HARD Y550PL D0C9 0.50(TPT)X1220"/>
    <m/>
    <s v="ROYAL BLUE TSL 1815"/>
    <m/>
    <m/>
    <m/>
    <s v="B18"/>
    <s v="Y550PL"/>
    <s v="D0C9"/>
    <n v="0.5"/>
    <n v="1220"/>
    <n v="0"/>
    <n v="28"/>
    <n v="0"/>
    <n v="28"/>
    <n v="28"/>
    <n v="28"/>
    <n v="28"/>
    <n v="0"/>
    <n v="0"/>
    <n v="0"/>
    <n v="0"/>
    <n v="0"/>
    <n v="0"/>
    <n v="0"/>
    <n v="0"/>
    <n v="0"/>
    <n v="0"/>
    <n v="0"/>
    <n v="0"/>
    <n v="0"/>
    <n v="0"/>
    <n v="0"/>
    <n v="0"/>
    <n v="0"/>
    <n v="0"/>
    <n v="0"/>
    <n v="0"/>
    <n v="0"/>
    <n v="0"/>
    <n v="0"/>
    <m/>
    <n v="0"/>
    <n v="28"/>
    <n v="0"/>
    <n v="0"/>
    <n v="28"/>
    <n v="0"/>
    <n v="0"/>
    <n v="0"/>
    <n v="0"/>
    <n v="0"/>
    <n v="0"/>
    <n v="0"/>
    <n v="0"/>
    <m/>
    <m/>
    <m/>
    <m/>
    <m/>
    <m/>
    <m/>
    <m/>
    <m/>
    <m/>
    <m/>
    <m/>
    <m/>
    <m/>
    <m/>
    <m/>
    <m/>
    <m/>
    <m/>
    <m/>
    <m/>
    <m/>
    <m/>
    <m/>
    <m/>
    <m/>
    <m/>
    <m/>
    <m/>
    <m/>
    <m/>
    <m/>
    <m/>
    <m/>
    <m/>
  </r>
  <r>
    <n v="2341"/>
    <d v="2025-04-17T00:00:00"/>
    <s v="ZBTF"/>
    <n v="9518700593"/>
    <n v="1"/>
    <s v="9518700593-1"/>
    <s v="No Priority"/>
    <x v="1"/>
    <m/>
    <x v="1"/>
    <x v="10"/>
    <n v="1000"/>
    <m/>
    <x v="0"/>
    <m/>
    <m/>
    <s v="Punjab"/>
    <s v="North"/>
    <m/>
    <m/>
    <n v="925428"/>
    <s v="TUBE INVESTMENTS OF INDIA LIMI"/>
    <n v="3741588"/>
    <s v="CR COIL SA1010 TU97 1.150X1250"/>
    <m/>
    <s v=""/>
    <m/>
    <m/>
    <m/>
    <s v="C01"/>
    <s v="SA1010"/>
    <s v="TU97"/>
    <n v="1.1499999999999999"/>
    <n v="1250"/>
    <n v="0"/>
    <n v="290"/>
    <n v="0"/>
    <n v="290"/>
    <n v="290"/>
    <n v="290"/>
    <n v="290"/>
    <n v="0"/>
    <n v="0"/>
    <n v="0"/>
    <n v="0"/>
    <n v="0"/>
    <n v="0"/>
    <n v="0"/>
    <n v="0"/>
    <n v="0"/>
    <n v="0"/>
    <n v="0"/>
    <n v="0"/>
    <n v="0"/>
    <n v="0"/>
    <n v="0"/>
    <n v="0"/>
    <n v="0"/>
    <n v="0"/>
    <n v="0"/>
    <n v="0"/>
    <n v="0"/>
    <n v="0"/>
    <n v="0"/>
    <m/>
    <n v="0"/>
    <n v="0"/>
    <n v="0"/>
    <n v="0"/>
    <n v="0"/>
    <n v="0"/>
    <n v="0"/>
    <n v="0"/>
    <n v="0"/>
    <n v="0"/>
    <n v="0"/>
    <n v="0"/>
    <n v="0"/>
    <m/>
    <m/>
    <m/>
    <m/>
    <m/>
    <m/>
    <m/>
    <m/>
    <m/>
    <m/>
    <m/>
    <m/>
    <m/>
    <m/>
    <m/>
    <m/>
    <m/>
    <m/>
    <m/>
    <m/>
    <m/>
    <m/>
    <m/>
    <m/>
    <m/>
    <m/>
    <m/>
    <m/>
    <m/>
    <m/>
    <m/>
    <m/>
    <m/>
    <m/>
    <m/>
  </r>
  <r>
    <n v="2341"/>
    <d v="2025-04-17T00:00:00"/>
    <s v="ZBTF"/>
    <n v="9518700593"/>
    <n v="2"/>
    <s v="9518700593-2"/>
    <s v="No Priority"/>
    <x v="1"/>
    <m/>
    <x v="1"/>
    <x v="10"/>
    <n v="1000"/>
    <m/>
    <x v="0"/>
    <m/>
    <m/>
    <s v="Punjab"/>
    <s v="North"/>
    <m/>
    <m/>
    <n v="925428"/>
    <s v="TUBE INVESTMENTS OF INDIA LIMI"/>
    <n v="3741589"/>
    <s v="CR COIL SA1010 TU97 1.500X1250"/>
    <m/>
    <s v=""/>
    <m/>
    <m/>
    <m/>
    <s v="C01"/>
    <s v="SA1010"/>
    <s v="TU97"/>
    <n v="1.5"/>
    <n v="1250"/>
    <n v="0"/>
    <n v="290"/>
    <n v="0"/>
    <n v="290"/>
    <n v="290"/>
    <n v="290"/>
    <n v="290"/>
    <n v="0"/>
    <n v="0"/>
    <n v="0"/>
    <n v="0"/>
    <n v="0"/>
    <n v="0"/>
    <n v="0"/>
    <n v="0"/>
    <n v="0"/>
    <n v="0"/>
    <n v="0"/>
    <n v="0"/>
    <n v="0"/>
    <n v="0"/>
    <n v="0"/>
    <n v="0"/>
    <n v="0"/>
    <n v="0"/>
    <n v="0"/>
    <n v="0"/>
    <n v="0"/>
    <n v="0"/>
    <n v="0"/>
    <m/>
    <n v="0"/>
    <n v="0"/>
    <n v="0"/>
    <n v="0"/>
    <n v="0"/>
    <n v="0"/>
    <n v="0"/>
    <n v="0"/>
    <n v="0"/>
    <n v="0"/>
    <n v="0"/>
    <n v="0"/>
    <n v="0"/>
    <m/>
    <m/>
    <m/>
    <m/>
    <m/>
    <m/>
    <m/>
    <m/>
    <m/>
    <m/>
    <m/>
    <m/>
    <m/>
    <m/>
    <m/>
    <m/>
    <m/>
    <m/>
    <m/>
    <m/>
    <m/>
    <m/>
    <m/>
    <m/>
    <m/>
    <m/>
    <m/>
    <m/>
    <m/>
    <m/>
    <m/>
    <m/>
    <m/>
    <m/>
    <m/>
  </r>
  <r>
    <n v="2341"/>
    <d v="2025-04-17T00:00:00"/>
    <s v="ZBTF"/>
    <n v="9518700638"/>
    <n v="1"/>
    <s v="9518700638-1"/>
    <s v="No Priority"/>
    <x v="1"/>
    <m/>
    <x v="1"/>
    <x v="10"/>
    <n v="1000"/>
    <m/>
    <x v="0"/>
    <m/>
    <m/>
    <s v="Punjab"/>
    <s v="North"/>
    <m/>
    <m/>
    <n v="925428"/>
    <s v="TUBE INVESTMENTS OF INDIA LIMI"/>
    <n v="3741588"/>
    <s v="CR COIL SA1010 TU97 1.150X1250"/>
    <m/>
    <s v=""/>
    <m/>
    <m/>
    <m/>
    <s v="C01"/>
    <s v="SA1010"/>
    <s v="TU97"/>
    <n v="1.1499999999999999"/>
    <n v="1250"/>
    <n v="0"/>
    <n v="116"/>
    <n v="0"/>
    <n v="116"/>
    <n v="116"/>
    <n v="116"/>
    <n v="116"/>
    <n v="0"/>
    <n v="0"/>
    <n v="0"/>
    <n v="0"/>
    <n v="0"/>
    <n v="0"/>
    <n v="0"/>
    <n v="0"/>
    <n v="0"/>
    <n v="0"/>
    <n v="0"/>
    <n v="0"/>
    <n v="0"/>
    <n v="0"/>
    <n v="0"/>
    <n v="0"/>
    <n v="0"/>
    <n v="0"/>
    <n v="0"/>
    <n v="0"/>
    <n v="0"/>
    <n v="0"/>
    <n v="0"/>
    <m/>
    <n v="0"/>
    <n v="0"/>
    <n v="0"/>
    <n v="0"/>
    <n v="0"/>
    <n v="0"/>
    <n v="0"/>
    <n v="0"/>
    <n v="0"/>
    <n v="0"/>
    <n v="0"/>
    <n v="0"/>
    <n v="0"/>
    <m/>
    <m/>
    <m/>
    <m/>
    <m/>
    <m/>
    <m/>
    <m/>
    <m/>
    <m/>
    <m/>
    <m/>
    <m/>
    <m/>
    <m/>
    <m/>
    <m/>
    <m/>
    <m/>
    <m/>
    <m/>
    <m/>
    <m/>
    <m/>
    <m/>
    <m/>
    <m/>
    <m/>
    <m/>
    <m/>
    <m/>
    <m/>
    <m/>
    <m/>
    <m/>
  </r>
  <r>
    <n v="2341"/>
    <d v="2025-04-17T00:00:00"/>
    <s v="ZBTF"/>
    <n v="9518700638"/>
    <n v="2"/>
    <s v="9518700638-2"/>
    <s v="No Priority"/>
    <x v="0"/>
    <m/>
    <x v="1"/>
    <x v="10"/>
    <n v="1000"/>
    <m/>
    <x v="0"/>
    <m/>
    <m/>
    <s v="Punjab"/>
    <s v="North"/>
    <m/>
    <m/>
    <n v="925428"/>
    <s v="TUBE INVESTMENTS OF INDIA LIMI"/>
    <n v="3741589"/>
    <s v="CR COIL SA1010 TU97 1.500X1250"/>
    <m/>
    <s v=""/>
    <m/>
    <m/>
    <m/>
    <s v="C01"/>
    <s v="SA1010"/>
    <s v="TU97"/>
    <n v="1.5"/>
    <n v="1250"/>
    <n v="0"/>
    <n v="116"/>
    <n v="0"/>
    <n v="116"/>
    <n v="116"/>
    <n v="116"/>
    <n v="0"/>
    <n v="0"/>
    <n v="0"/>
    <n v="0"/>
    <n v="0"/>
    <n v="0"/>
    <n v="0"/>
    <n v="0"/>
    <n v="0"/>
    <n v="0"/>
    <n v="0"/>
    <n v="0"/>
    <n v="0"/>
    <n v="0"/>
    <n v="0"/>
    <n v="0"/>
    <n v="0"/>
    <n v="0"/>
    <n v="0"/>
    <n v="0"/>
    <n v="0"/>
    <n v="0"/>
    <n v="0"/>
    <n v="0"/>
    <m/>
    <n v="0"/>
    <n v="0"/>
    <n v="0"/>
    <n v="0"/>
    <n v="0"/>
    <n v="0"/>
    <n v="0"/>
    <n v="0"/>
    <n v="0"/>
    <n v="0"/>
    <n v="0"/>
    <n v="0"/>
    <n v="0"/>
    <m/>
    <m/>
    <m/>
    <m/>
    <m/>
    <m/>
    <m/>
    <m/>
    <m/>
    <m/>
    <m/>
    <m/>
    <m/>
    <m/>
    <m/>
    <m/>
    <m/>
    <m/>
    <m/>
    <m/>
    <m/>
    <m/>
    <m/>
    <m/>
    <m/>
    <m/>
    <m/>
    <m/>
    <m/>
    <m/>
    <m/>
    <m/>
    <m/>
    <m/>
    <m/>
  </r>
  <r>
    <n v="743"/>
    <d v="2025-02-18T00:00:00"/>
    <s v="ZBTO"/>
    <n v="9518529960"/>
    <n v="2"/>
    <s v="9518529960-2"/>
    <s v="No Priority"/>
    <x v="0"/>
    <m/>
    <x v="4"/>
    <x v="5"/>
    <s v="1000-IPPE"/>
    <m/>
    <x v="0"/>
    <m/>
    <m/>
    <m/>
    <m/>
    <s v="ZAHIRABAD"/>
    <m/>
    <n v="188152"/>
    <s v="Metalkraft Forming Industries Pvt L"/>
    <n v="3903395"/>
    <s v="GL COIL HARD  Y550GL GL6H 0.900X1220"/>
    <s v="AZ150"/>
    <s v=""/>
    <n v="7.6550000000000002"/>
    <n v="12"/>
    <m/>
    <s v="B04"/>
    <s v="Y550GL"/>
    <s v="GL6H"/>
    <n v="0.9"/>
    <n v="1220"/>
    <n v="0"/>
    <n v="273"/>
    <n v="244.995"/>
    <n v="28.004999999999999"/>
    <n v="-4.2699999999999996"/>
    <n v="4.1449999999999996"/>
    <n v="9.0050000000000008"/>
    <n v="0"/>
    <n v="0"/>
    <n v="0"/>
    <n v="0"/>
    <n v="0"/>
    <n v="0"/>
    <n v="0"/>
    <n v="15.24"/>
    <n v="0"/>
    <n v="0"/>
    <n v="0"/>
    <n v="0"/>
    <n v="0"/>
    <n v="0"/>
    <n v="0"/>
    <n v="0"/>
    <n v="0"/>
    <n v="0"/>
    <n v="8.620000000000001"/>
    <n v="23.86"/>
    <n v="23.86"/>
    <n v="0"/>
    <n v="23.86"/>
    <m/>
    <n v="0"/>
    <n v="0"/>
    <n v="0"/>
    <n v="0"/>
    <n v="0"/>
    <n v="0"/>
    <n v="0"/>
    <n v="0"/>
    <n v="0"/>
    <n v="0"/>
    <n v="0"/>
    <n v="0"/>
    <n v="0"/>
    <m/>
    <m/>
    <m/>
    <m/>
    <m/>
    <m/>
    <m/>
    <m/>
    <m/>
    <m/>
    <m/>
    <m/>
    <m/>
    <m/>
    <m/>
    <m/>
    <m/>
    <m/>
    <m/>
    <m/>
    <m/>
    <m/>
    <m/>
    <m/>
    <m/>
    <m/>
    <m/>
    <m/>
    <m/>
    <m/>
    <m/>
    <m/>
    <m/>
    <m/>
    <m/>
  </r>
  <r>
    <n v="744"/>
    <d v="2025-04-22T00:00:00"/>
    <s v="ZBTO"/>
    <n v="9518710417"/>
    <n v="1"/>
    <s v="9518710417-1"/>
    <s v="May'25"/>
    <x v="0"/>
    <m/>
    <x v="2"/>
    <x v="3"/>
    <s v="1000-IPPE"/>
    <m/>
    <x v="1"/>
    <m/>
    <m/>
    <m/>
    <m/>
    <s v="RAJASTHAN"/>
    <m/>
    <n v="940008"/>
    <s v="TATA BLUESCOPE STEEL PVT LTD."/>
    <n v="3941967"/>
    <s v="PPGL C HARD Y550PL D0C9 0.60(TPT)X1220"/>
    <s v="AZ150"/>
    <s v="RAL 9002 TSL 142A"/>
    <n v="3"/>
    <n v="5"/>
    <m/>
    <s v="B18"/>
    <s v="Y550PL"/>
    <s v="D0C9"/>
    <n v="0.6"/>
    <n v="1220"/>
    <n v="0"/>
    <n v="56"/>
    <n v="0"/>
    <n v="56"/>
    <n v="56"/>
    <n v="56"/>
    <n v="55.99"/>
    <n v="0"/>
    <n v="0"/>
    <n v="0"/>
    <n v="0"/>
    <n v="0"/>
    <n v="0"/>
    <n v="0"/>
    <n v="0"/>
    <n v="0"/>
    <n v="0"/>
    <n v="0"/>
    <n v="0"/>
    <n v="0"/>
    <n v="0"/>
    <n v="0"/>
    <n v="0"/>
    <n v="0"/>
    <n v="0"/>
    <n v="0"/>
    <n v="0"/>
    <n v="0"/>
    <n v="0"/>
    <n v="0"/>
    <m/>
    <n v="0"/>
    <n v="55.99"/>
    <n v="0"/>
    <n v="55.99"/>
    <n v="0"/>
    <n v="0"/>
    <n v="0"/>
    <n v="55.99"/>
    <n v="0"/>
    <n v="55.99"/>
    <n v="0"/>
    <n v="0"/>
    <n v="0"/>
    <m/>
    <m/>
    <m/>
    <m/>
    <m/>
    <m/>
    <m/>
    <m/>
    <m/>
    <m/>
    <m/>
    <m/>
    <m/>
    <m/>
    <m/>
    <m/>
    <m/>
    <m/>
    <m/>
    <m/>
    <m/>
    <m/>
    <m/>
    <m/>
    <m/>
    <m/>
    <m/>
    <m/>
    <m/>
    <m/>
    <m/>
    <m/>
    <m/>
    <m/>
    <m/>
  </r>
  <r>
    <n v="742"/>
    <d v="2025-04-15T00:00:00"/>
    <s v="ZBTO"/>
    <n v="9518694209"/>
    <n v="11"/>
    <s v="9518694209-11"/>
    <s v="May'25"/>
    <x v="0"/>
    <m/>
    <x v="1"/>
    <x v="1"/>
    <s v="2000-BPRS"/>
    <m/>
    <x v="1"/>
    <m/>
    <m/>
    <m/>
    <m/>
    <s v="LONI"/>
    <m/>
    <n v="101499"/>
    <s v="G.R. GUPTA &amp; BROS."/>
    <n v="1804917"/>
    <s v="CRCA COIL TATCRC TR15 0.6X1250"/>
    <s v=" "/>
    <s v=""/>
    <n v="10"/>
    <n v="30"/>
    <m/>
    <s v="C01"/>
    <s v="TATCRC"/>
    <s v="TR15"/>
    <n v="0.6"/>
    <n v="1250"/>
    <n v="0"/>
    <n v="29"/>
    <n v="0"/>
    <n v="29"/>
    <n v="29"/>
    <n v="1.620000000000001"/>
    <n v="29"/>
    <n v="0"/>
    <n v="0"/>
    <n v="0"/>
    <n v="0"/>
    <n v="0"/>
    <n v="0"/>
    <n v="0"/>
    <n v="0"/>
    <n v="0"/>
    <n v="0"/>
    <n v="0"/>
    <n v="0"/>
    <n v="0"/>
    <n v="27.38"/>
    <n v="0"/>
    <n v="0"/>
    <n v="0"/>
    <n v="0"/>
    <n v="0"/>
    <n v="27.38"/>
    <n v="27.38"/>
    <n v="0"/>
    <n v="27.38"/>
    <m/>
    <n v="0"/>
    <n v="29"/>
    <n v="29"/>
    <n v="0"/>
    <n v="0"/>
    <n v="0"/>
    <n v="0"/>
    <n v="0"/>
    <n v="0"/>
    <n v="0"/>
    <n v="0"/>
    <n v="0"/>
    <n v="0"/>
    <m/>
    <m/>
    <m/>
    <m/>
    <m/>
    <m/>
    <m/>
    <m/>
    <m/>
    <m/>
    <m/>
    <m/>
    <m/>
    <m/>
    <m/>
    <m/>
    <m/>
    <m/>
    <m/>
    <m/>
    <m/>
    <m/>
    <m/>
    <m/>
    <m/>
    <m/>
    <m/>
    <m/>
    <m/>
    <m/>
    <m/>
    <m/>
    <m/>
    <m/>
    <m/>
  </r>
  <r>
    <n v="744"/>
    <d v="2025-04-15T00:00:00"/>
    <s v="ZBTO"/>
    <n v="9518695380"/>
    <n v="1"/>
    <s v="9518695380-1"/>
    <s v="May'25"/>
    <x v="0"/>
    <m/>
    <x v="2"/>
    <x v="3"/>
    <s v="1000-IPPE"/>
    <m/>
    <x v="1"/>
    <m/>
    <m/>
    <m/>
    <m/>
    <s v="TAMILNADU"/>
    <m/>
    <n v="940074"/>
    <s v="TATA BLUESCOPE STEEL PRIVATE LIMITE"/>
    <n v="4005315"/>
    <s v="PPGL C HARD Y550PL DX04 0.530X1220"/>
    <s v="AZ150"/>
    <s v="RAL 9010 TSL 2007"/>
    <n v="3"/>
    <n v="5"/>
    <m/>
    <s v="B18"/>
    <s v="Y550PL"/>
    <s v="DX04"/>
    <n v="0.53"/>
    <n v="1220"/>
    <n v="0"/>
    <n v="28"/>
    <n v="0"/>
    <n v="28"/>
    <n v="28"/>
    <n v="0.18999999999999773"/>
    <n v="28"/>
    <n v="0"/>
    <n v="0"/>
    <n v="0"/>
    <n v="0"/>
    <n v="0"/>
    <n v="0"/>
    <n v="0"/>
    <n v="0"/>
    <n v="0"/>
    <n v="27.810000000000002"/>
    <n v="0"/>
    <n v="0"/>
    <n v="0"/>
    <n v="0"/>
    <n v="0"/>
    <n v="0"/>
    <n v="0"/>
    <n v="0"/>
    <n v="0"/>
    <n v="27.810000000000002"/>
    <n v="27.810000000000002"/>
    <n v="0"/>
    <n v="27.810000000000002"/>
    <m/>
    <n v="0"/>
    <n v="28"/>
    <n v="28"/>
    <n v="0"/>
    <n v="0"/>
    <n v="0"/>
    <n v="0"/>
    <n v="0"/>
    <n v="0"/>
    <n v="0"/>
    <n v="0"/>
    <n v="0"/>
    <n v="0"/>
    <m/>
    <m/>
    <m/>
    <m/>
    <m/>
    <m/>
    <m/>
    <m/>
    <m/>
    <m/>
    <m/>
    <m/>
    <m/>
    <m/>
    <m/>
    <m/>
    <m/>
    <m/>
    <m/>
    <m/>
    <m/>
    <m/>
    <m/>
    <m/>
    <m/>
    <m/>
    <m/>
    <m/>
    <m/>
    <m/>
    <m/>
    <m/>
    <m/>
    <m/>
    <m/>
  </r>
  <r>
    <n v="744"/>
    <d v="2025-04-15T00:00:00"/>
    <s v="ZBTO"/>
    <n v="9518695418"/>
    <n v="1"/>
    <s v="9518695418-1"/>
    <s v="May'25"/>
    <x v="0"/>
    <m/>
    <x v="2"/>
    <x v="3"/>
    <s v="1000-IPPE"/>
    <m/>
    <x v="1"/>
    <m/>
    <m/>
    <m/>
    <m/>
    <s v="GAMHARIA"/>
    <m/>
    <n v="940016"/>
    <s v="TATA BLUESCOPE STEEL PVT LTD."/>
    <n v="4005316"/>
    <s v="PPGL C HARD Y550PL DX04 0.630X1220"/>
    <s v="AZ150"/>
    <s v="RAL 5012 TSL 2002"/>
    <n v="3"/>
    <n v="5"/>
    <m/>
    <s v="B18"/>
    <s v="Y550PL"/>
    <s v="DX04"/>
    <n v="0.63"/>
    <n v="1220"/>
    <n v="0"/>
    <n v="280"/>
    <n v="0"/>
    <n v="280"/>
    <n v="280"/>
    <n v="280"/>
    <n v="280"/>
    <n v="0"/>
    <n v="0"/>
    <n v="0"/>
    <n v="0"/>
    <n v="0"/>
    <n v="0"/>
    <n v="0"/>
    <n v="0"/>
    <n v="0"/>
    <n v="0"/>
    <n v="0"/>
    <n v="0"/>
    <n v="0"/>
    <n v="0"/>
    <n v="0"/>
    <n v="0"/>
    <n v="0"/>
    <n v="0"/>
    <n v="0"/>
    <n v="0"/>
    <n v="0"/>
    <n v="0"/>
    <n v="0"/>
    <m/>
    <n v="0"/>
    <n v="280"/>
    <n v="0"/>
    <n v="280"/>
    <n v="0"/>
    <n v="0"/>
    <n v="0"/>
    <n v="280"/>
    <n v="0"/>
    <n v="280"/>
    <n v="0"/>
    <n v="0"/>
    <n v="0"/>
    <m/>
    <m/>
    <m/>
    <m/>
    <m/>
    <m/>
    <m/>
    <m/>
    <m/>
    <m/>
    <m/>
    <m/>
    <m/>
    <m/>
    <m/>
    <m/>
    <m/>
    <m/>
    <m/>
    <m/>
    <m/>
    <m/>
    <m/>
    <m/>
    <m/>
    <m/>
    <m/>
    <m/>
    <m/>
    <m/>
    <m/>
    <m/>
    <m/>
    <m/>
    <m/>
  </r>
  <r>
    <n v="744"/>
    <d v="2025-04-15T00:00:00"/>
    <s v="ZBTO"/>
    <n v="9518695418"/>
    <n v="2"/>
    <s v="9518695418-2"/>
    <s v="May'25"/>
    <x v="0"/>
    <m/>
    <x v="2"/>
    <x v="3"/>
    <s v="1000-IPPE"/>
    <m/>
    <x v="1"/>
    <m/>
    <m/>
    <m/>
    <m/>
    <s v="GAMHARIA"/>
    <m/>
    <n v="940016"/>
    <s v="TATA BLUESCOPE STEEL PVT LTD."/>
    <n v="4005316"/>
    <s v="PPGL C HARD Y550PL DX04 0.630X1220"/>
    <s v="AZ150"/>
    <s v="RAL 5012 TSL 2002"/>
    <n v="3"/>
    <n v="5"/>
    <m/>
    <s v="B18"/>
    <s v="Y550PL"/>
    <s v="DX04"/>
    <n v="0.63"/>
    <n v="1220"/>
    <n v="0"/>
    <n v="112"/>
    <n v="0"/>
    <n v="112"/>
    <n v="112"/>
    <n v="112"/>
    <n v="112"/>
    <n v="0"/>
    <n v="0"/>
    <n v="0"/>
    <n v="0"/>
    <n v="0"/>
    <n v="0"/>
    <n v="0"/>
    <n v="0"/>
    <n v="0"/>
    <n v="0"/>
    <n v="0"/>
    <n v="0"/>
    <n v="0"/>
    <n v="0"/>
    <n v="0"/>
    <n v="0"/>
    <n v="0"/>
    <n v="0"/>
    <n v="0"/>
    <n v="0"/>
    <n v="0"/>
    <n v="0"/>
    <n v="0"/>
    <m/>
    <n v="0"/>
    <n v="112"/>
    <n v="0"/>
    <n v="0"/>
    <n v="112"/>
    <n v="0"/>
    <n v="0"/>
    <n v="0"/>
    <n v="0"/>
    <n v="0"/>
    <n v="0"/>
    <n v="0"/>
    <n v="0"/>
    <m/>
    <m/>
    <m/>
    <m/>
    <m/>
    <m/>
    <m/>
    <m/>
    <m/>
    <m/>
    <m/>
    <m/>
    <m/>
    <m/>
    <m/>
    <m/>
    <m/>
    <m/>
    <m/>
    <m/>
    <m/>
    <m/>
    <m/>
    <m/>
    <m/>
    <m/>
    <m/>
    <m/>
    <m/>
    <m/>
    <m/>
    <m/>
    <m/>
    <m/>
    <m/>
  </r>
  <r>
    <n v="742"/>
    <d v="2025-04-15T00:00:00"/>
    <s v="ZBTO"/>
    <n v="9518694941"/>
    <n v="5"/>
    <s v="9518694941-5"/>
    <s v="No Priority"/>
    <x v="0"/>
    <m/>
    <x v="1"/>
    <x v="10"/>
    <s v="1000-IPPE"/>
    <m/>
    <x v="0"/>
    <m/>
    <s v="Deprioritized after SPA's instruction"/>
    <m/>
    <m/>
    <s v="PATTANCHERY"/>
    <m/>
    <n v="947865"/>
    <s v="CHANDRA CONTAINER MANUFACTURERS"/>
    <n v="4006905"/>
    <s v="CR COIL TATXXD BT04 0.450X848"/>
    <s v=" "/>
    <s v=""/>
    <n v="4"/>
    <n v="7"/>
    <m/>
    <s v="C01"/>
    <s v="TATXXD"/>
    <s v="BT04"/>
    <n v="0.45"/>
    <n v="848"/>
    <n v="0"/>
    <n v="200"/>
    <n v="0"/>
    <n v="200"/>
    <n v="200"/>
    <n v="200"/>
    <n v="200"/>
    <n v="0"/>
    <n v="0"/>
    <n v="0"/>
    <n v="0"/>
    <n v="0"/>
    <n v="0"/>
    <n v="0"/>
    <n v="0"/>
    <n v="0"/>
    <n v="0"/>
    <n v="0"/>
    <n v="0"/>
    <n v="0"/>
    <n v="0"/>
    <n v="0"/>
    <n v="0"/>
    <n v="0"/>
    <n v="0"/>
    <n v="0"/>
    <n v="0"/>
    <n v="0"/>
    <n v="0"/>
    <n v="0"/>
    <m/>
    <n v="0"/>
    <n v="0"/>
    <n v="0"/>
    <n v="0"/>
    <n v="0"/>
    <n v="0"/>
    <n v="0"/>
    <n v="0"/>
    <n v="0"/>
    <n v="0"/>
    <n v="0"/>
    <n v="0"/>
    <n v="0"/>
    <m/>
    <m/>
    <m/>
    <m/>
    <m/>
    <m/>
    <m/>
    <m/>
    <m/>
    <m/>
    <m/>
    <m/>
    <m/>
    <m/>
    <m/>
    <m/>
    <m/>
    <m/>
    <m/>
    <m/>
    <m/>
    <m/>
    <m/>
    <m/>
    <m/>
    <m/>
    <m/>
    <m/>
    <m/>
    <m/>
    <m/>
    <m/>
    <m/>
    <m/>
    <m/>
  </r>
  <r>
    <n v="742"/>
    <d v="2025-04-10T00:00:00"/>
    <s v="ZBTO"/>
    <n v="9518682481"/>
    <n v="6"/>
    <s v="9518682481-6"/>
    <s v="No Priority"/>
    <x v="0"/>
    <m/>
    <x v="1"/>
    <x v="1"/>
    <s v="2000-BPRS"/>
    <m/>
    <x v="0"/>
    <m/>
    <m/>
    <m/>
    <m/>
    <s v="YESHWANTHPURA"/>
    <m/>
    <n v="932244"/>
    <s v="DURGA TRADERS"/>
    <n v="194544"/>
    <s v="CRSHEET TATXXD AU03 1.50X1250X2500"/>
    <s v=" "/>
    <s v=""/>
    <n v="2"/>
    <n v="3"/>
    <m/>
    <s v="C06"/>
    <s v="TATXXD"/>
    <s v="AU03"/>
    <n v="1.5"/>
    <n v="1250"/>
    <n v="2500"/>
    <n v="102"/>
    <n v="0"/>
    <n v="102"/>
    <n v="102"/>
    <n v="102"/>
    <n v="102"/>
    <n v="0"/>
    <n v="0"/>
    <n v="0"/>
    <n v="0"/>
    <n v="0"/>
    <n v="0"/>
    <n v="0"/>
    <n v="0"/>
    <n v="0"/>
    <n v="0"/>
    <n v="0"/>
    <n v="0"/>
    <n v="0"/>
    <n v="0"/>
    <n v="0"/>
    <n v="0"/>
    <n v="0"/>
    <n v="0"/>
    <n v="0"/>
    <n v="0"/>
    <n v="0"/>
    <n v="0"/>
    <n v="0"/>
    <m/>
    <n v="0"/>
    <n v="0"/>
    <n v="0"/>
    <n v="0"/>
    <n v="0"/>
    <n v="0"/>
    <n v="0"/>
    <n v="0"/>
    <n v="0"/>
    <n v="0"/>
    <n v="0"/>
    <n v="0"/>
    <n v="0"/>
    <m/>
    <m/>
    <m/>
    <m/>
    <m/>
    <m/>
    <m/>
    <m/>
    <m/>
    <m/>
    <m/>
    <m/>
    <m/>
    <m/>
    <m/>
    <m/>
    <m/>
    <m/>
    <m/>
    <m/>
    <m/>
    <m/>
    <m/>
    <m/>
    <m/>
    <m/>
    <m/>
    <m/>
    <m/>
    <m/>
    <m/>
    <m/>
    <m/>
    <m/>
    <m/>
  </r>
  <r>
    <n v="742"/>
    <d v="2025-04-15T00:00:00"/>
    <s v="ZBTO"/>
    <n v="9518694613"/>
    <n v="6"/>
    <s v="9518694613-6"/>
    <s v="May'25"/>
    <x v="0"/>
    <m/>
    <x v="1"/>
    <x v="2"/>
    <s v="2000-BPRS"/>
    <m/>
    <x v="1"/>
    <m/>
    <m/>
    <m/>
    <s v="East"/>
    <s v=" "/>
    <m/>
    <n v="121328"/>
    <s v="R. S. BOKARO METAL (P) LTD."/>
    <n v="3240760"/>
    <s v="CRCA SHEET TSBCRC SR15 0.500X1000X2500"/>
    <s v=" "/>
    <s v=""/>
    <n v="2.5"/>
    <n v="3.2"/>
    <m/>
    <s v="C06"/>
    <s v="TSBCRC"/>
    <s v="SR15"/>
    <n v="0.5"/>
    <n v="1000"/>
    <n v="2500"/>
    <n v="42"/>
    <n v="0"/>
    <n v="42"/>
    <n v="42"/>
    <n v="-1.5500000000000043"/>
    <n v="42"/>
    <n v="0"/>
    <n v="0"/>
    <n v="0"/>
    <n v="0"/>
    <n v="0"/>
    <n v="0"/>
    <n v="0"/>
    <n v="0"/>
    <n v="0"/>
    <n v="0"/>
    <n v="0"/>
    <n v="0"/>
    <n v="0"/>
    <n v="43.550000000000004"/>
    <n v="0"/>
    <n v="0"/>
    <n v="0"/>
    <n v="0"/>
    <n v="0"/>
    <n v="43.550000000000004"/>
    <n v="43.550000000000004"/>
    <n v="0"/>
    <n v="43.550000000000004"/>
    <m/>
    <n v="0"/>
    <n v="42"/>
    <n v="0"/>
    <n v="42"/>
    <n v="0"/>
    <n v="0"/>
    <n v="0"/>
    <n v="42"/>
    <n v="0"/>
    <n v="42"/>
    <n v="0"/>
    <n v="0"/>
    <n v="0"/>
    <m/>
    <m/>
    <m/>
    <m/>
    <m/>
    <m/>
    <m/>
    <m/>
    <m/>
    <m/>
    <m/>
    <m/>
    <m/>
    <m/>
    <m/>
    <m/>
    <m/>
    <m/>
    <m/>
    <m/>
    <m/>
    <m/>
    <m/>
    <m/>
    <m/>
    <m/>
    <m/>
    <m/>
    <m/>
    <m/>
    <m/>
    <m/>
    <m/>
    <m/>
    <m/>
  </r>
  <r>
    <n v="742"/>
    <d v="2025-04-10T00:00:00"/>
    <s v="ZBTO"/>
    <n v="9518681889"/>
    <n v="1"/>
    <s v="9518681889-1"/>
    <s v="May'25"/>
    <x v="0"/>
    <m/>
    <x v="1"/>
    <x v="1"/>
    <s v="2000-BPRS"/>
    <m/>
    <x v="1"/>
    <m/>
    <m/>
    <m/>
    <m/>
    <s v="YESHWANTHPURA"/>
    <m/>
    <n v="932244"/>
    <s v="DURGA TRADERS"/>
    <n v="3435197"/>
    <s v="CRCA SHEET TATXXD AU03 0.350X1250X2500"/>
    <s v=" "/>
    <s v=""/>
    <n v="0"/>
    <n v="0"/>
    <m/>
    <s v="C06"/>
    <s v="TATXXD"/>
    <s v="AU03"/>
    <n v="0.35"/>
    <n v="1250"/>
    <n v="2500"/>
    <n v="51"/>
    <n v="0"/>
    <n v="51"/>
    <n v="13.79"/>
    <n v="26.614999999999998"/>
    <n v="38.344999999999999"/>
    <n v="0"/>
    <n v="0"/>
    <n v="0"/>
    <n v="0"/>
    <n v="0"/>
    <n v="0"/>
    <n v="0"/>
    <n v="0"/>
    <n v="24.385000000000002"/>
    <n v="0"/>
    <n v="0"/>
    <n v="0"/>
    <n v="0"/>
    <n v="0"/>
    <n v="0"/>
    <n v="0"/>
    <n v="0"/>
    <n v="0"/>
    <n v="0"/>
    <n v="24.385000000000002"/>
    <n v="24.385000000000002"/>
    <n v="0"/>
    <n v="24.385000000000002"/>
    <m/>
    <n v="0"/>
    <n v="38.344999999999999"/>
    <n v="0"/>
    <n v="38.344999999999999"/>
    <n v="0"/>
    <n v="0"/>
    <n v="0"/>
    <n v="38.344999999999999"/>
    <n v="0"/>
    <n v="38.344999999999999"/>
    <n v="0"/>
    <n v="0"/>
    <n v="0"/>
    <m/>
    <m/>
    <m/>
    <m/>
    <m/>
    <m/>
    <m/>
    <m/>
    <m/>
    <m/>
    <m/>
    <m/>
    <m/>
    <m/>
    <m/>
    <m/>
    <m/>
    <m/>
    <m/>
    <m/>
    <m/>
    <m/>
    <m/>
    <m/>
    <m/>
    <m/>
    <m/>
    <m/>
    <m/>
    <m/>
    <m/>
    <m/>
    <m/>
    <m/>
    <m/>
  </r>
  <r>
    <n v="744"/>
    <d v="2025-04-22T00:00:00"/>
    <s v="ZBTO"/>
    <n v="9518711420"/>
    <n v="2"/>
    <s v="9518711420-2"/>
    <s v="May'25"/>
    <x v="0"/>
    <m/>
    <x v="2"/>
    <x v="3"/>
    <s v="1000-IPPE"/>
    <m/>
    <x v="1"/>
    <m/>
    <m/>
    <m/>
    <m/>
    <s v="TAMILNADU"/>
    <m/>
    <n v="940074"/>
    <s v="TATA BLUESCOPE STEEL PRIVATE LIMITE"/>
    <n v="3996225"/>
    <s v="PPGL C HARD Y550PL HPL6 0.400X1220"/>
    <s v="AZ150"/>
    <s v="NUVO BLUE TSL 1903"/>
    <n v="3"/>
    <n v="5"/>
    <m/>
    <s v="B18"/>
    <s v="Y550PL"/>
    <s v="HPL6"/>
    <n v="0.4"/>
    <n v="1220"/>
    <n v="0"/>
    <n v="140"/>
    <n v="0"/>
    <n v="140"/>
    <n v="140"/>
    <n v="140"/>
    <n v="140"/>
    <n v="0"/>
    <n v="0"/>
    <n v="0"/>
    <n v="0"/>
    <n v="0"/>
    <n v="0"/>
    <n v="0"/>
    <n v="0"/>
    <n v="0"/>
    <n v="0"/>
    <n v="0"/>
    <n v="0"/>
    <n v="0"/>
    <n v="0"/>
    <n v="0"/>
    <n v="0"/>
    <n v="0"/>
    <n v="0"/>
    <n v="0"/>
    <n v="0"/>
    <n v="0"/>
    <n v="0"/>
    <n v="0"/>
    <m/>
    <n v="0"/>
    <n v="140"/>
    <n v="0"/>
    <n v="140"/>
    <n v="0"/>
    <n v="0"/>
    <n v="0"/>
    <n v="140"/>
    <n v="0"/>
    <n v="140"/>
    <n v="0"/>
    <n v="0"/>
    <n v="0"/>
    <m/>
    <m/>
    <m/>
    <m/>
    <m/>
    <m/>
    <m/>
    <m/>
    <m/>
    <m/>
    <m/>
    <m/>
    <m/>
    <m/>
    <m/>
    <m/>
    <m/>
    <m/>
    <m/>
    <m/>
    <m/>
    <m/>
    <m/>
    <m/>
    <m/>
    <m/>
    <m/>
    <m/>
    <m/>
    <m/>
    <m/>
    <m/>
    <m/>
    <m/>
    <m/>
  </r>
  <r>
    <n v="744"/>
    <d v="2025-04-22T00:00:00"/>
    <s v="ZBTO"/>
    <n v="9518711241"/>
    <n v="4"/>
    <s v="9518711241-4"/>
    <s v="May'25"/>
    <x v="0"/>
    <s v="Yes"/>
    <x v="2"/>
    <x v="3"/>
    <s v="1000-IPPE"/>
    <m/>
    <x v="1"/>
    <m/>
    <m/>
    <m/>
    <m/>
    <s v="GAMHARIA"/>
    <m/>
    <n v="940016"/>
    <s v="TATA BLUESCOPE STEEL PVT LTD."/>
    <n v="3522241"/>
    <s v="PPGL C Y550 D0C7 0.43BMT(0.47TPT)X1220"/>
    <s v="aZ70"/>
    <s v="NUVO BLUE TSL 1903"/>
    <n v="3"/>
    <n v="5"/>
    <m/>
    <s v="B18"/>
    <s v="Y550PL"/>
    <s v="D0C7"/>
    <n v="0.43"/>
    <n v="1220"/>
    <n v="0"/>
    <n v="84"/>
    <n v="0"/>
    <n v="84"/>
    <n v="84"/>
    <n v="84"/>
    <n v="84"/>
    <n v="0"/>
    <n v="0"/>
    <n v="0"/>
    <n v="0"/>
    <n v="0"/>
    <n v="0"/>
    <n v="0"/>
    <n v="0"/>
    <n v="0"/>
    <n v="0"/>
    <n v="0"/>
    <n v="0"/>
    <n v="0"/>
    <n v="0"/>
    <n v="0"/>
    <n v="0"/>
    <n v="0"/>
    <n v="0"/>
    <n v="0"/>
    <n v="0"/>
    <n v="0"/>
    <n v="0"/>
    <n v="0"/>
    <m/>
    <n v="0"/>
    <n v="84"/>
    <n v="0"/>
    <n v="0"/>
    <n v="0"/>
    <n v="84"/>
    <n v="0"/>
    <n v="0"/>
    <n v="0"/>
    <n v="0"/>
    <n v="0"/>
    <n v="0"/>
    <n v="0"/>
    <m/>
    <m/>
    <m/>
    <m/>
    <m/>
    <m/>
    <m/>
    <m/>
    <m/>
    <m/>
    <m/>
    <m/>
    <m/>
    <m/>
    <m/>
    <m/>
    <m/>
    <m/>
    <m/>
    <m/>
    <m/>
    <m/>
    <m/>
    <m/>
    <m/>
    <m/>
    <m/>
    <m/>
    <m/>
    <m/>
    <m/>
    <m/>
    <m/>
    <m/>
    <m/>
  </r>
  <r>
    <n v="744"/>
    <d v="2025-04-22T00:00:00"/>
    <s v="ZBTO"/>
    <n v="9518711241"/>
    <n v="5"/>
    <s v="9518711241-5"/>
    <s v="May'25"/>
    <x v="0"/>
    <s v="Yes"/>
    <x v="2"/>
    <x v="3"/>
    <s v="1000-IPPE"/>
    <m/>
    <x v="1"/>
    <m/>
    <m/>
    <m/>
    <m/>
    <s v="GAMHARIA"/>
    <m/>
    <n v="940016"/>
    <s v="TATA BLUESCOPE STEEL PVT LTD."/>
    <n v="3522241"/>
    <s v="PPGL C Y550 D0C7 0.43BMT(0.47TPT)X1220"/>
    <s v="aZ70"/>
    <s v="CASTLE RED TSL 1904"/>
    <n v="3"/>
    <n v="5"/>
    <m/>
    <s v="B18"/>
    <s v="Y550PL"/>
    <s v="D0C7"/>
    <n v="0.43"/>
    <n v="1220"/>
    <n v="0"/>
    <n v="56"/>
    <n v="0"/>
    <n v="56"/>
    <n v="56"/>
    <n v="56"/>
    <n v="51.755000000000003"/>
    <n v="0"/>
    <n v="0"/>
    <n v="0"/>
    <n v="0"/>
    <n v="0"/>
    <n v="0"/>
    <n v="0"/>
    <n v="0"/>
    <n v="0"/>
    <n v="0"/>
    <n v="0"/>
    <n v="0"/>
    <n v="0"/>
    <n v="0"/>
    <n v="0"/>
    <n v="0"/>
    <n v="0"/>
    <n v="0"/>
    <n v="0"/>
    <n v="0"/>
    <n v="0"/>
    <n v="0"/>
    <n v="0"/>
    <m/>
    <n v="4.2450000000000001"/>
    <n v="51.755000000000003"/>
    <n v="0"/>
    <n v="0"/>
    <n v="0"/>
    <n v="0"/>
    <n v="51.755000000000003"/>
    <n v="0"/>
    <n v="0"/>
    <n v="0"/>
    <n v="0"/>
    <n v="0"/>
    <n v="0"/>
    <m/>
    <m/>
    <m/>
    <m/>
    <m/>
    <m/>
    <m/>
    <m/>
    <m/>
    <m/>
    <m/>
    <m/>
    <m/>
    <m/>
    <m/>
    <m/>
    <m/>
    <m/>
    <m/>
    <m/>
    <m/>
    <m/>
    <m/>
    <m/>
    <m/>
    <m/>
    <m/>
    <m/>
    <m/>
    <m/>
    <m/>
    <m/>
    <m/>
    <m/>
    <m/>
  </r>
  <r>
    <n v="744"/>
    <d v="2025-04-22T00:00:00"/>
    <s v="ZBTO"/>
    <n v="9518712059"/>
    <n v="1"/>
    <s v="9518712059-1"/>
    <s v="May'25"/>
    <x v="0"/>
    <m/>
    <x v="2"/>
    <x v="3"/>
    <s v="1000-IPPE"/>
    <m/>
    <x v="1"/>
    <m/>
    <m/>
    <m/>
    <m/>
    <s v=" "/>
    <m/>
    <n v="941597"/>
    <s v="TATA BLUESCOPE STEEL PRIVATE LIMITE"/>
    <n v="3902332"/>
    <s v="PPGL C HARD Y550PL D0C9 0.50(TPT)X1220"/>
    <s v="AZ150"/>
    <s v="RAL 9002 TSL 1801"/>
    <n v="3"/>
    <n v="5"/>
    <m/>
    <s v="B18"/>
    <s v="Y550PL"/>
    <s v="D0C9"/>
    <n v="0.5"/>
    <n v="1220"/>
    <n v="0"/>
    <n v="280"/>
    <n v="0"/>
    <n v="280"/>
    <n v="280"/>
    <n v="280"/>
    <n v="280"/>
    <n v="0"/>
    <n v="0"/>
    <n v="0"/>
    <n v="0"/>
    <n v="0"/>
    <n v="0"/>
    <n v="0"/>
    <n v="0"/>
    <n v="0"/>
    <n v="0"/>
    <n v="0"/>
    <n v="0"/>
    <n v="0"/>
    <n v="0"/>
    <n v="0"/>
    <n v="0"/>
    <n v="0"/>
    <n v="0"/>
    <n v="0"/>
    <n v="0"/>
    <n v="0"/>
    <n v="0"/>
    <n v="0"/>
    <m/>
    <n v="0"/>
    <n v="0"/>
    <n v="0"/>
    <n v="0"/>
    <n v="0"/>
    <n v="0"/>
    <n v="0"/>
    <n v="0"/>
    <n v="0"/>
    <n v="0"/>
    <n v="0"/>
    <n v="0"/>
    <n v="0"/>
    <m/>
    <m/>
    <m/>
    <m/>
    <m/>
    <m/>
    <m/>
    <m/>
    <m/>
    <m/>
    <m/>
    <m/>
    <m/>
    <m/>
    <m/>
    <m/>
    <m/>
    <m/>
    <m/>
    <m/>
    <m/>
    <m/>
    <m/>
    <m/>
    <m/>
    <m/>
    <m/>
    <m/>
    <m/>
    <m/>
    <m/>
    <m/>
    <m/>
    <m/>
    <m/>
  </r>
  <r>
    <n v="744"/>
    <d v="2025-04-22T00:00:00"/>
    <s v="ZBTO"/>
    <n v="9518712059"/>
    <n v="3"/>
    <s v="9518712059-3"/>
    <s v="May'25"/>
    <x v="0"/>
    <m/>
    <x v="2"/>
    <x v="3"/>
    <s v="1000-IPPE"/>
    <m/>
    <x v="1"/>
    <m/>
    <m/>
    <m/>
    <m/>
    <s v=" "/>
    <m/>
    <n v="941597"/>
    <s v="TATA BLUESCOPE STEEL PRIVATE LIMITE"/>
    <n v="3902332"/>
    <s v="PPGL C HARD Y550PL D0C9 0.50(TPT)X1220"/>
    <s v="AZ150"/>
    <s v="RAL 7024 TSL 1806"/>
    <n v="3"/>
    <n v="5"/>
    <m/>
    <s v="B18"/>
    <s v="Y550PL"/>
    <s v="D0C9"/>
    <n v="0.5"/>
    <n v="1220"/>
    <n v="0"/>
    <n v="56"/>
    <n v="0"/>
    <n v="56"/>
    <n v="56"/>
    <n v="56"/>
    <n v="56"/>
    <n v="0"/>
    <n v="0"/>
    <n v="0"/>
    <n v="0"/>
    <n v="0"/>
    <n v="0"/>
    <n v="0"/>
    <n v="0"/>
    <n v="0"/>
    <n v="0"/>
    <n v="0"/>
    <n v="0"/>
    <n v="0"/>
    <n v="0"/>
    <n v="0"/>
    <n v="0"/>
    <n v="0"/>
    <n v="0"/>
    <n v="0"/>
    <n v="0"/>
    <n v="0"/>
    <n v="0"/>
    <n v="0"/>
    <m/>
    <n v="0"/>
    <n v="0"/>
    <n v="0"/>
    <n v="0"/>
    <n v="0"/>
    <n v="0"/>
    <n v="0"/>
    <n v="0"/>
    <n v="0"/>
    <n v="0"/>
    <n v="0"/>
    <n v="0"/>
    <n v="0"/>
    <m/>
    <m/>
    <m/>
    <m/>
    <m/>
    <m/>
    <m/>
    <m/>
    <m/>
    <m/>
    <m/>
    <m/>
    <m/>
    <m/>
    <m/>
    <m/>
    <m/>
    <m/>
    <m/>
    <m/>
    <m/>
    <m/>
    <m/>
    <m/>
    <m/>
    <m/>
    <m/>
    <m/>
    <m/>
    <m/>
    <m/>
    <m/>
    <m/>
    <m/>
    <m/>
  </r>
  <r>
    <n v="744"/>
    <d v="2025-04-22T00:00:00"/>
    <s v="ZBTO"/>
    <n v="9518711241"/>
    <n v="1"/>
    <s v="9518711241-1"/>
    <s v="May'25"/>
    <x v="0"/>
    <s v="Yes"/>
    <x v="2"/>
    <x v="3"/>
    <s v="1000-IPPE"/>
    <m/>
    <x v="1"/>
    <m/>
    <m/>
    <m/>
    <m/>
    <s v="GAMHARIA"/>
    <m/>
    <n v="940016"/>
    <s v="TATA BLUESCOPE STEEL PVT LTD."/>
    <n v="3522241"/>
    <s v="PPGL C Y550 D0C7 0.43BMT(0.47TPT)X1220"/>
    <s v="aZ70"/>
    <s v="NUVO BLUE TSL 1903"/>
    <n v="3"/>
    <n v="5"/>
    <m/>
    <s v="B18"/>
    <s v="Y550PL"/>
    <s v="D0C7"/>
    <n v="0.43"/>
    <n v="1220"/>
    <n v="0"/>
    <n v="280"/>
    <n v="0"/>
    <n v="280"/>
    <n v="280"/>
    <n v="280"/>
    <n v="280"/>
    <n v="0"/>
    <n v="0"/>
    <n v="0"/>
    <n v="0"/>
    <n v="0"/>
    <n v="0"/>
    <n v="0"/>
    <n v="0"/>
    <n v="0"/>
    <n v="0"/>
    <n v="0"/>
    <n v="0"/>
    <n v="0"/>
    <n v="0"/>
    <n v="0"/>
    <n v="0"/>
    <n v="0"/>
    <n v="0"/>
    <n v="0"/>
    <n v="0"/>
    <n v="0"/>
    <n v="0"/>
    <n v="0"/>
    <m/>
    <n v="0"/>
    <n v="0"/>
    <n v="0"/>
    <n v="0"/>
    <n v="0"/>
    <n v="0"/>
    <n v="0"/>
    <n v="0"/>
    <n v="0"/>
    <n v="0"/>
    <n v="0"/>
    <n v="0"/>
    <n v="0"/>
    <m/>
    <m/>
    <m/>
    <m/>
    <m/>
    <m/>
    <m/>
    <m/>
    <m/>
    <m/>
    <m/>
    <m/>
    <m/>
    <m/>
    <m/>
    <m/>
    <m/>
    <m/>
    <m/>
    <m/>
    <m/>
    <m/>
    <m/>
    <m/>
    <m/>
    <m/>
    <m/>
    <m/>
    <m/>
    <m/>
    <m/>
    <m/>
    <m/>
    <m/>
    <m/>
  </r>
  <r>
    <n v="744"/>
    <d v="2025-04-22T00:00:00"/>
    <s v="ZBTO"/>
    <n v="9518711241"/>
    <n v="6"/>
    <s v="9518711241-6"/>
    <s v="May'25"/>
    <x v="0"/>
    <s v="Yes"/>
    <x v="2"/>
    <x v="3"/>
    <s v="1000-IPPE"/>
    <m/>
    <x v="1"/>
    <m/>
    <m/>
    <m/>
    <m/>
    <s v="GAMHARIA"/>
    <m/>
    <n v="940016"/>
    <s v="TATA BLUESCOPE STEEL PVT LTD."/>
    <n v="3522241"/>
    <s v="PPGL C Y550 D0C7 0.43BMT(0.47TPT)X1220"/>
    <s v="aZ70"/>
    <s v="ASIAN WHITE TSL 1901"/>
    <n v="3"/>
    <n v="5"/>
    <m/>
    <s v="B18"/>
    <s v="Y550PL"/>
    <s v="D0C7"/>
    <n v="0.43"/>
    <n v="1220"/>
    <n v="0"/>
    <n v="28"/>
    <n v="0"/>
    <n v="28"/>
    <n v="28"/>
    <n v="28"/>
    <n v="28"/>
    <n v="0"/>
    <n v="0"/>
    <n v="0"/>
    <n v="0"/>
    <n v="0"/>
    <n v="0"/>
    <n v="0"/>
    <n v="0"/>
    <n v="0"/>
    <n v="0"/>
    <n v="0"/>
    <n v="0"/>
    <n v="0"/>
    <n v="0"/>
    <n v="0"/>
    <n v="0"/>
    <n v="0"/>
    <n v="0"/>
    <n v="0"/>
    <n v="0"/>
    <n v="0"/>
    <n v="0"/>
    <n v="0"/>
    <m/>
    <n v="0"/>
    <n v="28"/>
    <n v="0"/>
    <n v="0"/>
    <n v="0"/>
    <n v="0"/>
    <n v="28"/>
    <n v="0"/>
    <n v="0"/>
    <n v="0"/>
    <n v="0"/>
    <n v="0"/>
    <n v="0"/>
    <m/>
    <m/>
    <m/>
    <m/>
    <m/>
    <m/>
    <m/>
    <m/>
    <m/>
    <m/>
    <m/>
    <m/>
    <m/>
    <m/>
    <m/>
    <m/>
    <m/>
    <m/>
    <m/>
    <m/>
    <m/>
    <m/>
    <m/>
    <m/>
    <m/>
    <m/>
    <m/>
    <m/>
    <m/>
    <m/>
    <m/>
    <m/>
    <m/>
    <m/>
    <m/>
  </r>
  <r>
    <n v="744"/>
    <d v="2025-04-22T00:00:00"/>
    <s v="ZBTO"/>
    <n v="9518712059"/>
    <n v="2"/>
    <s v="9518712059-2"/>
    <s v="May'25"/>
    <x v="0"/>
    <m/>
    <x v="2"/>
    <x v="3"/>
    <s v="1000-IPPE"/>
    <m/>
    <x v="1"/>
    <m/>
    <m/>
    <m/>
    <m/>
    <s v=" "/>
    <m/>
    <n v="941597"/>
    <s v="TATA BLUESCOPE STEEL PRIVATE LIMITE"/>
    <n v="3902332"/>
    <s v="PPGL C HARD Y550PL D0C9 0.50(TPT)X1220"/>
    <s v="AZ150"/>
    <s v="RAL 5012 TSL 1802"/>
    <n v="3"/>
    <n v="5"/>
    <m/>
    <s v="B18"/>
    <s v="Y550PL"/>
    <s v="D0C9"/>
    <n v="0.5"/>
    <n v="1220"/>
    <n v="0"/>
    <n v="112"/>
    <n v="0"/>
    <n v="112"/>
    <n v="112"/>
    <n v="112"/>
    <n v="112"/>
    <n v="0"/>
    <n v="0"/>
    <n v="0"/>
    <n v="0"/>
    <n v="0"/>
    <n v="0"/>
    <n v="0"/>
    <n v="0"/>
    <n v="0"/>
    <n v="0"/>
    <n v="0"/>
    <n v="0"/>
    <n v="0"/>
    <n v="0"/>
    <n v="0"/>
    <n v="0"/>
    <n v="0"/>
    <n v="0"/>
    <n v="0"/>
    <n v="0"/>
    <n v="0"/>
    <n v="0"/>
    <n v="0"/>
    <m/>
    <n v="0"/>
    <n v="0"/>
    <n v="0"/>
    <n v="0"/>
    <n v="0"/>
    <n v="0"/>
    <n v="0"/>
    <n v="0"/>
    <n v="0"/>
    <n v="0"/>
    <n v="0"/>
    <n v="0"/>
    <n v="0"/>
    <m/>
    <m/>
    <m/>
    <m/>
    <m/>
    <m/>
    <m/>
    <m/>
    <m/>
    <m/>
    <m/>
    <m/>
    <m/>
    <m/>
    <m/>
    <m/>
    <m/>
    <m/>
    <m/>
    <m/>
    <m/>
    <m/>
    <m/>
    <m/>
    <m/>
    <m/>
    <m/>
    <m/>
    <m/>
    <m/>
    <m/>
    <m/>
    <m/>
    <m/>
    <m/>
  </r>
  <r>
    <n v="744"/>
    <d v="2025-04-22T00:00:00"/>
    <s v="ZBTO"/>
    <n v="9518711420"/>
    <n v="1"/>
    <s v="9518711420-1"/>
    <s v="May'25"/>
    <x v="0"/>
    <m/>
    <x v="2"/>
    <x v="3"/>
    <s v="1000-IPPE"/>
    <m/>
    <x v="1"/>
    <m/>
    <m/>
    <m/>
    <m/>
    <s v="TAMILNADU"/>
    <m/>
    <n v="940074"/>
    <s v="TATA BLUESCOPE STEEL PRIVATE LIMITE"/>
    <n v="3996225"/>
    <s v="PPGL C HARD Y550PL HPL6 0.400X1220"/>
    <s v="AZ150"/>
    <s v="NUVO BLUE TSL 1903"/>
    <n v="3"/>
    <n v="5"/>
    <m/>
    <s v="B18"/>
    <s v="Y550PL"/>
    <s v="HPL6"/>
    <n v="0.4"/>
    <n v="1220"/>
    <n v="0"/>
    <n v="280"/>
    <n v="0"/>
    <n v="280"/>
    <n v="280"/>
    <n v="280"/>
    <n v="280"/>
    <n v="0"/>
    <n v="0"/>
    <n v="0"/>
    <n v="0"/>
    <n v="0"/>
    <n v="0"/>
    <n v="0"/>
    <n v="0"/>
    <n v="0"/>
    <n v="0"/>
    <n v="0"/>
    <n v="0"/>
    <n v="0"/>
    <n v="0"/>
    <n v="0"/>
    <n v="0"/>
    <n v="0"/>
    <n v="0"/>
    <n v="0"/>
    <n v="0"/>
    <n v="0"/>
    <n v="0"/>
    <n v="0"/>
    <m/>
    <n v="0"/>
    <n v="280"/>
    <n v="0"/>
    <n v="280"/>
    <n v="0"/>
    <n v="0"/>
    <n v="0"/>
    <n v="280"/>
    <n v="0"/>
    <n v="280"/>
    <n v="0"/>
    <n v="0"/>
    <n v="0"/>
    <m/>
    <m/>
    <m/>
    <m/>
    <m/>
    <m/>
    <m/>
    <m/>
    <m/>
    <m/>
    <m/>
    <m/>
    <m/>
    <m/>
    <m/>
    <m/>
    <m/>
    <m/>
    <m/>
    <m/>
    <m/>
    <m/>
    <m/>
    <m/>
    <m/>
    <m/>
    <m/>
    <m/>
    <m/>
    <m/>
    <m/>
    <m/>
    <m/>
    <m/>
    <m/>
  </r>
  <r>
    <n v="744"/>
    <d v="2025-04-22T00:00:00"/>
    <s v="ZBTO"/>
    <n v="9518711318"/>
    <n v="1"/>
    <s v="9518711318-1"/>
    <s v="May'25"/>
    <x v="0"/>
    <s v="Yes"/>
    <x v="2"/>
    <x v="3"/>
    <s v="1000-IPPE"/>
    <m/>
    <x v="1"/>
    <m/>
    <m/>
    <m/>
    <m/>
    <s v="GAMHARIA"/>
    <m/>
    <n v="940016"/>
    <s v="TATA BLUESCOPE STEEL PVT LTD."/>
    <n v="3522241"/>
    <s v="PPGL C Y550 D0C7 0.43BMT(0.47TPT)X1220"/>
    <s v="aZ70"/>
    <s v="NG SMART GREY TSL 1905"/>
    <n v="3"/>
    <n v="5"/>
    <m/>
    <s v="B18"/>
    <s v="Y550PL"/>
    <s v="D0C7"/>
    <n v="0.43"/>
    <n v="1220"/>
    <n v="0"/>
    <n v="28"/>
    <n v="0"/>
    <n v="28"/>
    <n v="28"/>
    <n v="28"/>
    <n v="21.465"/>
    <n v="0"/>
    <n v="0"/>
    <n v="0"/>
    <n v="0"/>
    <n v="0"/>
    <n v="0"/>
    <n v="0"/>
    <n v="0"/>
    <n v="0"/>
    <n v="0"/>
    <n v="0"/>
    <n v="0"/>
    <n v="0"/>
    <n v="0"/>
    <n v="0"/>
    <n v="0"/>
    <n v="0"/>
    <n v="0"/>
    <n v="0"/>
    <n v="0"/>
    <n v="0"/>
    <n v="0"/>
    <n v="0"/>
    <m/>
    <n v="6.5350000000000001"/>
    <n v="0"/>
    <n v="0"/>
    <n v="0"/>
    <n v="0"/>
    <n v="0"/>
    <n v="0"/>
    <n v="0"/>
    <n v="0"/>
    <n v="0"/>
    <n v="0"/>
    <n v="0"/>
    <n v="0"/>
    <m/>
    <m/>
    <m/>
    <m/>
    <m/>
    <m/>
    <m/>
    <m/>
    <m/>
    <m/>
    <m/>
    <m/>
    <m/>
    <m/>
    <m/>
    <m/>
    <m/>
    <m/>
    <m/>
    <m/>
    <m/>
    <m/>
    <m/>
    <m/>
    <m/>
    <m/>
    <m/>
    <m/>
    <m/>
    <m/>
    <m/>
    <m/>
    <m/>
    <m/>
    <m/>
  </r>
  <r>
    <n v="744"/>
    <d v="2025-04-22T00:00:00"/>
    <s v="ZBTO"/>
    <n v="9518711241"/>
    <n v="2"/>
    <s v="9518711241-2"/>
    <s v="May'25"/>
    <x v="0"/>
    <s v="Yes"/>
    <x v="2"/>
    <x v="3"/>
    <s v="1000-IPPE"/>
    <m/>
    <x v="1"/>
    <m/>
    <m/>
    <m/>
    <m/>
    <s v="GAMHARIA"/>
    <m/>
    <n v="940016"/>
    <s v="TATA BLUESCOPE STEEL PVT LTD."/>
    <n v="3522241"/>
    <s v="PPGL C Y550 D0C7 0.43BMT(0.47TPT)X1220"/>
    <s v="aZ70"/>
    <s v="NUVO BLUE TSL 1903"/>
    <n v="2.57"/>
    <n v="5"/>
    <m/>
    <s v="B18"/>
    <s v="Y550PL"/>
    <s v="D0C7"/>
    <n v="0.43"/>
    <n v="1220"/>
    <n v="0"/>
    <n v="280"/>
    <n v="0"/>
    <n v="280"/>
    <n v="280"/>
    <n v="280"/>
    <n v="280"/>
    <n v="0"/>
    <n v="0"/>
    <n v="0"/>
    <n v="0"/>
    <n v="0"/>
    <n v="0"/>
    <n v="0"/>
    <n v="0"/>
    <n v="0"/>
    <n v="0"/>
    <n v="0"/>
    <n v="0"/>
    <n v="0"/>
    <n v="0"/>
    <n v="0"/>
    <n v="0"/>
    <n v="0"/>
    <n v="0"/>
    <n v="0"/>
    <n v="0"/>
    <n v="0"/>
    <n v="0"/>
    <n v="0"/>
    <m/>
    <n v="0"/>
    <n v="0"/>
    <n v="0"/>
    <n v="0"/>
    <n v="0"/>
    <n v="0"/>
    <n v="0"/>
    <n v="0"/>
    <n v="0"/>
    <n v="0"/>
    <n v="0"/>
    <n v="0"/>
    <n v="0"/>
    <m/>
    <m/>
    <m/>
    <m/>
    <m/>
    <m/>
    <m/>
    <m/>
    <m/>
    <m/>
    <m/>
    <m/>
    <m/>
    <m/>
    <m/>
    <m/>
    <m/>
    <m/>
    <m/>
    <m/>
    <m/>
    <m/>
    <m/>
    <m/>
    <m/>
    <m/>
    <m/>
    <m/>
    <m/>
    <m/>
    <m/>
    <m/>
    <m/>
    <m/>
    <m/>
  </r>
  <r>
    <n v="744"/>
    <d v="2025-04-22T00:00:00"/>
    <s v="ZBTO"/>
    <n v="9518711241"/>
    <n v="3"/>
    <s v="9518711241-3"/>
    <s v="May'25"/>
    <x v="0"/>
    <s v="Yes"/>
    <x v="2"/>
    <x v="3"/>
    <s v="1000-IPPE"/>
    <m/>
    <x v="1"/>
    <m/>
    <m/>
    <m/>
    <m/>
    <s v="GAMHARIA"/>
    <m/>
    <n v="940016"/>
    <s v="TATA BLUESCOPE STEEL PVT LTD."/>
    <n v="3522241"/>
    <s v="PPGL C Y550 D0C7 0.43BMT(0.47TPT)X1220"/>
    <s v="aZ70"/>
    <s v="NUVO BLUE TSL 1903"/>
    <n v="3"/>
    <n v="5"/>
    <m/>
    <s v="B18"/>
    <s v="Y550PL"/>
    <s v="D0C7"/>
    <n v="0.43"/>
    <n v="1220"/>
    <n v="0"/>
    <n v="280"/>
    <n v="0"/>
    <n v="280"/>
    <n v="280"/>
    <n v="280"/>
    <n v="280"/>
    <n v="0"/>
    <n v="0"/>
    <n v="0"/>
    <n v="0"/>
    <n v="0"/>
    <n v="0"/>
    <n v="0"/>
    <n v="0"/>
    <n v="0"/>
    <n v="0"/>
    <n v="0"/>
    <n v="0"/>
    <n v="0"/>
    <n v="0"/>
    <n v="0"/>
    <n v="0"/>
    <n v="0"/>
    <n v="0"/>
    <n v="0"/>
    <n v="0"/>
    <n v="0"/>
    <n v="0"/>
    <n v="0"/>
    <m/>
    <n v="0"/>
    <n v="0"/>
    <n v="0"/>
    <n v="0"/>
    <n v="0"/>
    <n v="0"/>
    <n v="0"/>
    <n v="0"/>
    <n v="0"/>
    <n v="0"/>
    <n v="0"/>
    <n v="0"/>
    <n v="0"/>
    <m/>
    <m/>
    <m/>
    <m/>
    <m/>
    <m/>
    <m/>
    <m/>
    <m/>
    <m/>
    <m/>
    <m/>
    <m/>
    <m/>
    <m/>
    <m/>
    <m/>
    <m/>
    <m/>
    <m/>
    <m/>
    <m/>
    <m/>
    <m/>
    <m/>
    <m/>
    <m/>
    <m/>
    <m/>
    <m/>
    <m/>
    <m/>
    <m/>
    <m/>
    <m/>
  </r>
  <r>
    <n v="744"/>
    <d v="2025-04-22T00:00:00"/>
    <s v="ZBTO"/>
    <n v="9518712059"/>
    <n v="4"/>
    <s v="9518712059-4"/>
    <s v="May'25"/>
    <x v="0"/>
    <m/>
    <x v="2"/>
    <x v="3"/>
    <s v="1000-IPPE"/>
    <m/>
    <x v="1"/>
    <m/>
    <m/>
    <m/>
    <m/>
    <s v=" "/>
    <m/>
    <n v="941597"/>
    <s v="TATA BLUESCOPE STEEL PRIVATE LIMITE"/>
    <n v="3902332"/>
    <s v="PPGL C HARD Y550PL D0C9 0.50(TPT)X1220"/>
    <s v="AZ150"/>
    <s v="RAL 7015 TSL 1805"/>
    <n v="3"/>
    <n v="5"/>
    <m/>
    <s v="B18"/>
    <s v="Y550PL"/>
    <s v="D0C9"/>
    <n v="0.5"/>
    <n v="1220"/>
    <n v="0"/>
    <n v="56"/>
    <n v="0"/>
    <n v="56"/>
    <n v="56"/>
    <n v="56"/>
    <n v="56"/>
    <n v="0"/>
    <n v="0"/>
    <n v="0"/>
    <n v="0"/>
    <n v="0"/>
    <n v="0"/>
    <n v="0"/>
    <n v="0"/>
    <n v="0"/>
    <n v="0"/>
    <n v="0"/>
    <n v="0"/>
    <n v="0"/>
    <n v="0"/>
    <n v="0"/>
    <n v="0"/>
    <n v="0"/>
    <n v="0"/>
    <n v="0"/>
    <n v="0"/>
    <n v="0"/>
    <n v="0"/>
    <n v="0"/>
    <m/>
    <n v="0"/>
    <n v="0"/>
    <n v="0"/>
    <n v="0"/>
    <n v="0"/>
    <n v="0"/>
    <n v="0"/>
    <n v="0"/>
    <n v="0"/>
    <n v="0"/>
    <n v="0"/>
    <n v="0"/>
    <n v="0"/>
    <m/>
    <m/>
    <m/>
    <m/>
    <m/>
    <m/>
    <m/>
    <m/>
    <m/>
    <m/>
    <m/>
    <m/>
    <m/>
    <m/>
    <m/>
    <m/>
    <m/>
    <m/>
    <m/>
    <m/>
    <m/>
    <m/>
    <m/>
    <m/>
    <m/>
    <m/>
    <m/>
    <m/>
    <m/>
    <m/>
    <m/>
    <m/>
    <m/>
    <m/>
    <m/>
  </r>
  <r>
    <n v="742"/>
    <d v="2025-04-02T00:00:00"/>
    <s v="ZBTO"/>
    <n v="9518664276"/>
    <n v="3"/>
    <s v="9518664276-3"/>
    <s v="No Priority"/>
    <x v="0"/>
    <m/>
    <x v="1"/>
    <x v="1"/>
    <s v="2000-BPRS"/>
    <m/>
    <x v="0"/>
    <m/>
    <m/>
    <m/>
    <m/>
    <s v="CHENNAI"/>
    <m/>
    <n v="102888"/>
    <s v="THIRUPATHY STEELS "/>
    <n v="325986"/>
    <s v="CRCA SHEET TATXXD AU03 2.5X1250X2500"/>
    <s v=" "/>
    <s v=""/>
    <n v="0"/>
    <n v="0"/>
    <m/>
    <s v="C06"/>
    <s v="TATXXD"/>
    <s v="AU03"/>
    <n v="2.5"/>
    <n v="1250"/>
    <n v="2500"/>
    <n v="27"/>
    <n v="0"/>
    <n v="27"/>
    <n v="27"/>
    <n v="27"/>
    <n v="27"/>
    <n v="0"/>
    <n v="0"/>
    <n v="0"/>
    <n v="0"/>
    <n v="0"/>
    <n v="0"/>
    <n v="0"/>
    <n v="0"/>
    <n v="0"/>
    <n v="0"/>
    <n v="0"/>
    <n v="0"/>
    <n v="0"/>
    <n v="0"/>
    <n v="0"/>
    <n v="0"/>
    <n v="0"/>
    <n v="0"/>
    <n v="0"/>
    <n v="0"/>
    <n v="0"/>
    <n v="0"/>
    <n v="0"/>
    <m/>
    <n v="0"/>
    <n v="0"/>
    <n v="0"/>
    <n v="0"/>
    <n v="0"/>
    <n v="0"/>
    <n v="0"/>
    <n v="0"/>
    <n v="0"/>
    <n v="0"/>
    <n v="0"/>
    <n v="0"/>
    <n v="0"/>
    <m/>
    <m/>
    <m/>
    <m/>
    <m/>
    <m/>
    <m/>
    <m/>
    <m/>
    <m/>
    <m/>
    <m/>
    <m/>
    <m/>
    <m/>
    <m/>
    <m/>
    <m/>
    <m/>
    <m/>
    <m/>
    <m/>
    <m/>
    <m/>
    <m/>
    <m/>
    <m/>
    <m/>
    <m/>
    <m/>
    <m/>
    <m/>
    <m/>
    <m/>
    <m/>
  </r>
  <r>
    <n v="742"/>
    <d v="2025-04-16T00:00:00"/>
    <s v="ZBTO"/>
    <n v="9518698036"/>
    <n v="2"/>
    <s v="9518698036-2"/>
    <s v="No Priority"/>
    <x v="0"/>
    <m/>
    <x v="1"/>
    <x v="1"/>
    <s v="2000-BPRS"/>
    <m/>
    <x v="0"/>
    <m/>
    <m/>
    <m/>
    <m/>
    <s v="GUMMIDIPOONDI"/>
    <m/>
    <n v="822271"/>
    <s v="TATA STEEL DOWNSTREAM PRODUCTS LIMI"/>
    <n v="1801022"/>
    <s v="CRCA COIL-TATXXD-AU03-0.45X1250"/>
    <s v=" "/>
    <s v=""/>
    <n v="5"/>
    <n v="29"/>
    <m/>
    <s v="C01"/>
    <s v="TATXXD"/>
    <s v="AU03"/>
    <n v="0.45"/>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22T00:00:00"/>
    <s v="ZBTO"/>
    <n v="9518710180"/>
    <n v="1"/>
    <s v="9518710180-1"/>
    <s v="No Priority"/>
    <x v="0"/>
    <m/>
    <x v="1"/>
    <x v="1"/>
    <s v="2000-BPRS"/>
    <m/>
    <x v="0"/>
    <m/>
    <m/>
    <m/>
    <m/>
    <s v="PATNA"/>
    <m/>
    <n v="103227"/>
    <s v="BMW VENTURES LIMITED"/>
    <n v="1801804"/>
    <s v="CRCA COIL-TATXXD-AU03-1X1250"/>
    <s v=" "/>
    <s v=""/>
    <n v="5"/>
    <n v="28"/>
    <m/>
    <s v="C01"/>
    <s v="TATXXD"/>
    <s v="AU03"/>
    <n v="1"/>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22T00:00:00"/>
    <s v="ZBTO"/>
    <n v="9518712564"/>
    <n v="3"/>
    <s v="9518712564-3"/>
    <s v="No Priority"/>
    <x v="0"/>
    <m/>
    <x v="1"/>
    <x v="10"/>
    <s v="1000-IPPE"/>
    <m/>
    <x v="0"/>
    <m/>
    <m/>
    <m/>
    <m/>
    <s v="CHENNAI"/>
    <m/>
    <n v="187214"/>
    <s v="BALMER LAWRIE &amp; CO. LIMITED.."/>
    <n v="3701960"/>
    <s v="CR COIL TATXXD BT01 1.200X1310"/>
    <s v=" "/>
    <s v=""/>
    <n v="8"/>
    <n v="12"/>
    <m/>
    <s v="C01"/>
    <s v="TATXXD"/>
    <s v="BT01"/>
    <n v="1.2"/>
    <n v="1310"/>
    <n v="0"/>
    <n v="30"/>
    <n v="0"/>
    <n v="30"/>
    <n v="30"/>
    <n v="30"/>
    <n v="30"/>
    <n v="0"/>
    <n v="0"/>
    <n v="0"/>
    <n v="0"/>
    <n v="0"/>
    <n v="0"/>
    <n v="0"/>
    <n v="0"/>
    <n v="0"/>
    <n v="0"/>
    <n v="0"/>
    <n v="0"/>
    <n v="0"/>
    <n v="0"/>
    <n v="0"/>
    <n v="0"/>
    <n v="0"/>
    <n v="0"/>
    <n v="0"/>
    <n v="0"/>
    <n v="0"/>
    <n v="0"/>
    <n v="0"/>
    <m/>
    <n v="0"/>
    <n v="0"/>
    <n v="0"/>
    <n v="0"/>
    <n v="0"/>
    <n v="0"/>
    <n v="0"/>
    <n v="0"/>
    <n v="0"/>
    <n v="0"/>
    <n v="0"/>
    <n v="0"/>
    <n v="0"/>
    <m/>
    <m/>
    <m/>
    <m/>
    <m/>
    <m/>
    <m/>
    <m/>
    <m/>
    <m/>
    <m/>
    <m/>
    <m/>
    <m/>
    <m/>
    <m/>
    <m/>
    <m/>
    <m/>
    <m/>
    <m/>
    <m/>
    <m/>
    <m/>
    <m/>
    <m/>
    <m/>
    <m/>
    <m/>
    <m/>
    <m/>
    <m/>
    <m/>
    <m/>
    <m/>
  </r>
  <r>
    <n v="742"/>
    <d v="2025-04-22T00:00:00"/>
    <s v="ZBTO"/>
    <n v="9518712061"/>
    <n v="2"/>
    <s v="9518712061-2"/>
    <s v="No Priority"/>
    <x v="0"/>
    <m/>
    <x v="1"/>
    <x v="1"/>
    <s v="2000-BPRS"/>
    <m/>
    <x v="0"/>
    <m/>
    <m/>
    <m/>
    <m/>
    <s v="CHENNAI"/>
    <m/>
    <n v="116465"/>
    <s v="SRI BALAJI STEEL TRADERS"/>
    <n v="1801804"/>
    <s v="CRCA COIL-TATXXD-AU03-1X1250"/>
    <s v=" "/>
    <s v=""/>
    <n v="6"/>
    <n v="18"/>
    <m/>
    <s v="C01"/>
    <s v="TATXXD"/>
    <s v="AU03"/>
    <n v="1"/>
    <n v="1250"/>
    <n v="0"/>
    <n v="58"/>
    <n v="0"/>
    <n v="58"/>
    <n v="58"/>
    <n v="58"/>
    <n v="58"/>
    <n v="0"/>
    <n v="0"/>
    <n v="0"/>
    <n v="0"/>
    <n v="0"/>
    <n v="0"/>
    <n v="0"/>
    <n v="0"/>
    <n v="0"/>
    <n v="0"/>
    <n v="0"/>
    <n v="0"/>
    <n v="0"/>
    <n v="0"/>
    <n v="0"/>
    <n v="0"/>
    <n v="0"/>
    <n v="0"/>
    <n v="0"/>
    <n v="0"/>
    <n v="0"/>
    <n v="0"/>
    <n v="0"/>
    <m/>
    <n v="0"/>
    <n v="0"/>
    <n v="0"/>
    <n v="0"/>
    <n v="0"/>
    <n v="0"/>
    <n v="0"/>
    <n v="0"/>
    <n v="0"/>
    <n v="0"/>
    <n v="0"/>
    <n v="0"/>
    <n v="0"/>
    <m/>
    <m/>
    <m/>
    <m/>
    <m/>
    <m/>
    <m/>
    <m/>
    <m/>
    <m/>
    <m/>
    <m/>
    <m/>
    <m/>
    <m/>
    <m/>
    <m/>
    <m/>
    <m/>
    <m/>
    <m/>
    <m/>
    <m/>
    <m/>
    <m/>
    <m/>
    <m/>
    <m/>
    <m/>
    <m/>
    <m/>
    <m/>
    <m/>
    <m/>
    <m/>
  </r>
  <r>
    <n v="742"/>
    <d v="2025-04-22T00:00:00"/>
    <s v="ZBTO"/>
    <n v="9518712061"/>
    <n v="3"/>
    <s v="9518712061-3"/>
    <s v="No Priority"/>
    <x v="0"/>
    <m/>
    <x v="1"/>
    <x v="1"/>
    <s v="2000-BPRS"/>
    <m/>
    <x v="0"/>
    <m/>
    <m/>
    <m/>
    <m/>
    <s v="CHENNAI"/>
    <m/>
    <n v="116465"/>
    <s v="SRI BALAJI STEEL TRADERS"/>
    <n v="1804854"/>
    <s v="CRCA COIL-TATXXD-AU03-1.2X1250"/>
    <s v=" "/>
    <s v=""/>
    <n v="6"/>
    <n v="18"/>
    <m/>
    <s v="C01"/>
    <s v="TATXXD"/>
    <s v="AU03"/>
    <n v="1.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22T00:00:00"/>
    <s v="ZBTO"/>
    <n v="9518712061"/>
    <n v="4"/>
    <s v="9518712061-4"/>
    <s v="No Priority"/>
    <x v="0"/>
    <m/>
    <x v="1"/>
    <x v="1"/>
    <s v="2000-BPRS"/>
    <m/>
    <x v="0"/>
    <m/>
    <m/>
    <m/>
    <m/>
    <s v="CHENNAI"/>
    <m/>
    <n v="116465"/>
    <s v="SRI BALAJI STEEL TRADERS"/>
    <n v="1804867"/>
    <s v="CRCA COIL-TATXXD-AU03-1.6X1250"/>
    <s v=" "/>
    <s v=""/>
    <n v="6"/>
    <n v="18"/>
    <m/>
    <s v="C01"/>
    <s v="TATXXD"/>
    <s v="AU03"/>
    <n v="1.6"/>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2"/>
    <d v="2025-04-22T00:00:00"/>
    <s v="ZBTO"/>
    <n v="9518712061"/>
    <n v="5"/>
    <s v="9518712061-5"/>
    <s v="No Priority"/>
    <x v="0"/>
    <m/>
    <x v="1"/>
    <x v="1"/>
    <s v="2000-BPRS"/>
    <m/>
    <x v="0"/>
    <m/>
    <m/>
    <m/>
    <m/>
    <s v="CHENNAI"/>
    <m/>
    <n v="116465"/>
    <s v="SRI BALAJI STEEL TRADERS"/>
    <n v="1884117"/>
    <s v="CRCA COIL-TATXXD-AU03-2X1250"/>
    <s v=" "/>
    <s v=""/>
    <n v="6"/>
    <n v="18"/>
    <m/>
    <s v="C01"/>
    <s v="TATXXD"/>
    <s v="AU03"/>
    <n v="2"/>
    <n v="1250"/>
    <n v="0"/>
    <n v="29"/>
    <n v="0"/>
    <n v="29"/>
    <n v="29"/>
    <n v="29"/>
    <n v="29"/>
    <n v="0"/>
    <n v="0"/>
    <n v="0"/>
    <n v="0"/>
    <n v="0"/>
    <n v="0"/>
    <n v="0"/>
    <n v="0"/>
    <n v="0"/>
    <n v="0"/>
    <n v="0"/>
    <n v="0"/>
    <n v="0"/>
    <n v="0"/>
    <n v="0"/>
    <n v="0"/>
    <n v="0"/>
    <n v="0"/>
    <n v="0"/>
    <n v="0"/>
    <n v="0"/>
    <n v="0"/>
    <n v="0"/>
    <m/>
    <n v="0"/>
    <n v="0"/>
    <n v="0"/>
    <n v="0"/>
    <n v="0"/>
    <n v="0"/>
    <n v="0"/>
    <n v="0"/>
    <n v="0"/>
    <n v="0"/>
    <n v="0"/>
    <n v="0"/>
    <n v="0"/>
    <m/>
    <m/>
    <m/>
    <m/>
    <m/>
    <m/>
    <m/>
    <m/>
    <m/>
    <m/>
    <m/>
    <m/>
    <m/>
    <m/>
    <m/>
    <m/>
    <m/>
    <m/>
    <m/>
    <m/>
    <m/>
    <m/>
    <m/>
    <m/>
    <m/>
    <m/>
    <m/>
    <m/>
    <m/>
    <m/>
    <m/>
    <m/>
    <m/>
    <m/>
    <m/>
  </r>
  <r>
    <n v="744"/>
    <d v="2025-04-22T00:00:00"/>
    <s v="ZBTO"/>
    <n v="9518711318"/>
    <n v="2"/>
    <s v="9518711318-2"/>
    <s v="May'25"/>
    <x v="0"/>
    <s v="Yes"/>
    <x v="2"/>
    <x v="3"/>
    <s v="1000-IPPE"/>
    <m/>
    <x v="1"/>
    <m/>
    <m/>
    <m/>
    <m/>
    <s v="GAMHARIA"/>
    <m/>
    <n v="940016"/>
    <s v="TATA BLUESCOPE STEEL PVT LTD."/>
    <n v="3522241"/>
    <s v="PPGL C Y550 D0C7 0.43BMT(0.47TPT)X1220"/>
    <s v="aZ70"/>
    <s v="NUVO BLUE TSL 1903"/>
    <n v="3"/>
    <n v="5"/>
    <m/>
    <s v="B18"/>
    <s v="Y550PL"/>
    <s v="D0C7"/>
    <n v="0.43"/>
    <n v="1220"/>
    <n v="0"/>
    <n v="84"/>
    <n v="0"/>
    <n v="84"/>
    <n v="84"/>
    <n v="84"/>
    <n v="84"/>
    <n v="0"/>
    <n v="0"/>
    <n v="0"/>
    <n v="0"/>
    <n v="0"/>
    <n v="0"/>
    <n v="0"/>
    <n v="0"/>
    <n v="0"/>
    <n v="0"/>
    <n v="0"/>
    <n v="0"/>
    <n v="0"/>
    <n v="0"/>
    <n v="0"/>
    <n v="0"/>
    <n v="0"/>
    <n v="0"/>
    <n v="0"/>
    <n v="0"/>
    <n v="0"/>
    <n v="0"/>
    <n v="0"/>
    <m/>
    <n v="0"/>
    <n v="84"/>
    <n v="0"/>
    <n v="0"/>
    <n v="0"/>
    <n v="84"/>
    <n v="0"/>
    <n v="0"/>
    <n v="0"/>
    <n v="0"/>
    <n v="0"/>
    <n v="0"/>
    <n v="0"/>
    <m/>
    <m/>
    <m/>
    <m/>
    <m/>
    <m/>
    <m/>
    <m/>
    <m/>
    <m/>
    <m/>
    <m/>
    <m/>
    <m/>
    <m/>
    <m/>
    <m/>
    <m/>
    <m/>
    <m/>
    <m/>
    <m/>
    <m/>
    <m/>
    <m/>
    <m/>
    <m/>
    <m/>
    <m/>
    <m/>
    <m/>
    <m/>
    <m/>
    <m/>
    <m/>
  </r>
  <r>
    <n v="743"/>
    <d v="2025-04-23T00:00:00"/>
    <s v="ZBTO"/>
    <n v="9518710703"/>
    <n v="1"/>
    <s v="9518710703-1"/>
    <s v="May'25"/>
    <x v="0"/>
    <m/>
    <x v="4"/>
    <x v="3"/>
    <s v="1000-IPPE"/>
    <m/>
    <x v="1"/>
    <m/>
    <m/>
    <m/>
    <s v="TBSPL"/>
    <s v="RAJASTHAN"/>
    <m/>
    <n v="942293"/>
    <s v="TATA BLUESCOPE STEEL PRIVATE LIMITE"/>
    <n v="3946362"/>
    <s v="GL COIL HARD Y550GL M308 0.47 (TCT)X1220"/>
    <m/>
    <m/>
    <m/>
    <m/>
    <m/>
    <s v="B04"/>
    <s v="Y550GL"/>
    <s v="M308"/>
    <n v="0.47"/>
    <n v="1220"/>
    <n v="0"/>
    <n v="224"/>
    <n v="0"/>
    <n v="224"/>
    <n v="224"/>
    <n v="224"/>
    <n v="224"/>
    <n v="0"/>
    <n v="0"/>
    <n v="0"/>
    <n v="0"/>
    <n v="0"/>
    <n v="0"/>
    <n v="0"/>
    <n v="0"/>
    <n v="0"/>
    <n v="0"/>
    <n v="0"/>
    <n v="0"/>
    <n v="0"/>
    <n v="0"/>
    <n v="0"/>
    <n v="0"/>
    <n v="0"/>
    <n v="0"/>
    <n v="0"/>
    <n v="0"/>
    <n v="0"/>
    <n v="0"/>
    <n v="0"/>
    <m/>
    <n v="0"/>
    <n v="224"/>
    <n v="0"/>
    <n v="0"/>
    <n v="224"/>
    <n v="0"/>
    <n v="0"/>
    <n v="0"/>
    <n v="0"/>
    <n v="0"/>
    <n v="0"/>
    <n v="0"/>
    <n v="0"/>
    <m/>
    <m/>
    <m/>
    <m/>
    <m/>
    <m/>
    <m/>
    <m/>
    <m/>
    <m/>
    <m/>
    <m/>
    <m/>
    <m/>
    <m/>
    <m/>
    <m/>
    <m/>
    <m/>
    <m/>
    <m/>
    <m/>
    <m/>
    <m/>
    <m/>
    <m/>
    <m/>
    <m/>
    <m/>
    <m/>
    <m/>
    <m/>
    <m/>
    <m/>
    <m/>
  </r>
  <r>
    <n v="742"/>
    <d v="2025-04-21T00:00:00"/>
    <s v="ZBTO"/>
    <n v="9518708445"/>
    <n v="4"/>
    <s v="9518708445-4"/>
    <s v="May'25"/>
    <x v="0"/>
    <m/>
    <x v="1"/>
    <x v="15"/>
    <s v="3000-IPPE"/>
    <m/>
    <x v="1"/>
    <m/>
    <m/>
    <m/>
    <m/>
    <s v="YESHWANTHPURA"/>
    <m/>
    <n v="157491"/>
    <s v="TATA STEEL DOWNSTREAM PRODUCTS LIMI"/>
    <n v="2420514"/>
    <s v="CRCA COIL TATXXD AH03 0.800X1250"/>
    <m/>
    <m/>
    <m/>
    <m/>
    <m/>
    <s v="C01"/>
    <s v="TATXXD"/>
    <s v="AH03"/>
    <n v="0.8"/>
    <n v="1250"/>
    <n v="0"/>
    <n v="261"/>
    <n v="0"/>
    <n v="261"/>
    <n v="261"/>
    <n v="233.32"/>
    <n v="261"/>
    <n v="0"/>
    <n v="0"/>
    <n v="0"/>
    <n v="0"/>
    <n v="0"/>
    <n v="0"/>
    <n v="0"/>
    <n v="0"/>
    <n v="0"/>
    <n v="0"/>
    <n v="0"/>
    <n v="0"/>
    <n v="27.68"/>
    <n v="0"/>
    <n v="0"/>
    <n v="0"/>
    <n v="0"/>
    <n v="0"/>
    <n v="0"/>
    <n v="27.68"/>
    <n v="27.68"/>
    <n v="0"/>
    <n v="27.68"/>
    <m/>
    <n v="0"/>
    <n v="261"/>
    <n v="0"/>
    <n v="0"/>
    <n v="0"/>
    <n v="0"/>
    <n v="261"/>
    <n v="0"/>
    <n v="0"/>
    <n v="0"/>
    <n v="0"/>
    <n v="0"/>
    <n v="0"/>
    <m/>
    <m/>
    <m/>
    <m/>
    <m/>
    <m/>
    <m/>
    <m/>
    <m/>
    <m/>
    <m/>
    <m/>
    <m/>
    <m/>
    <m/>
    <m/>
    <m/>
    <m/>
    <m/>
    <m/>
    <m/>
    <m/>
    <m/>
    <m/>
    <m/>
    <m/>
    <m/>
    <m/>
    <m/>
    <m/>
    <m/>
    <m/>
    <m/>
    <m/>
    <m/>
  </r>
  <r>
    <n v="742"/>
    <d v="2025-04-21T00:00:00"/>
    <s v="ZBTO"/>
    <n v="9518708445"/>
    <n v="5"/>
    <s v="9518708445-5"/>
    <s v="May'25"/>
    <x v="0"/>
    <m/>
    <x v="1"/>
    <x v="15"/>
    <s v="3000-IPPE"/>
    <m/>
    <x v="1"/>
    <m/>
    <m/>
    <m/>
    <m/>
    <s v="YESHWANTHPURA"/>
    <m/>
    <n v="157491"/>
    <s v="TATA STEEL DOWNSTREAM PRODUCTS LIMI"/>
    <n v="2420518"/>
    <s v="CRCA COIL TATXXD AH03 1X1250"/>
    <m/>
    <m/>
    <m/>
    <m/>
    <m/>
    <s v="C01"/>
    <s v="TATXXD"/>
    <s v="AH03"/>
    <n v="1"/>
    <n v="1250"/>
    <n v="0"/>
    <n v="261"/>
    <n v="0"/>
    <n v="261"/>
    <n v="261"/>
    <n v="261"/>
    <n v="261"/>
    <n v="0"/>
    <n v="0"/>
    <n v="0"/>
    <n v="0"/>
    <n v="0"/>
    <n v="0"/>
    <n v="0"/>
    <n v="0"/>
    <n v="0"/>
    <n v="0"/>
    <n v="0"/>
    <n v="0"/>
    <n v="0"/>
    <n v="0"/>
    <n v="0"/>
    <n v="0"/>
    <n v="0"/>
    <n v="0"/>
    <n v="0"/>
    <n v="0"/>
    <n v="0"/>
    <n v="0"/>
    <n v="0"/>
    <m/>
    <n v="0"/>
    <n v="261"/>
    <n v="0"/>
    <n v="0"/>
    <n v="0"/>
    <n v="0"/>
    <n v="261"/>
    <n v="0"/>
    <n v="0"/>
    <n v="0"/>
    <n v="0"/>
    <n v="0"/>
    <n v="0"/>
    <m/>
    <m/>
    <m/>
    <m/>
    <m/>
    <m/>
    <m/>
    <m/>
    <m/>
    <m/>
    <m/>
    <m/>
    <m/>
    <m/>
    <m/>
    <m/>
    <m/>
    <m/>
    <m/>
    <m/>
    <m/>
    <m/>
    <m/>
    <m/>
    <m/>
    <m/>
    <m/>
    <m/>
    <m/>
    <m/>
    <m/>
    <m/>
    <m/>
    <m/>
    <m/>
  </r>
  <r>
    <n v="742"/>
    <d v="2025-04-21T00:00:00"/>
    <s v="ZBTO"/>
    <n v="9518708445"/>
    <n v="6"/>
    <s v="9518708445-6"/>
    <s v="May'25"/>
    <x v="0"/>
    <m/>
    <x v="1"/>
    <x v="15"/>
    <s v="3000-IPPE"/>
    <m/>
    <x v="1"/>
    <m/>
    <m/>
    <m/>
    <m/>
    <s v="YESHWANTHPURA"/>
    <m/>
    <n v="157491"/>
    <s v="TATA STEEL DOWNSTREAM PRODUCTS LIMI"/>
    <n v="2420521"/>
    <s v="CRCA COIL TATXXD AH03 1.200X1250"/>
    <m/>
    <m/>
    <m/>
    <m/>
    <m/>
    <s v="C01"/>
    <s v="TATXXD"/>
    <s v="AH03"/>
    <n v="1.2"/>
    <n v="1250"/>
    <n v="0"/>
    <n v="145"/>
    <n v="0"/>
    <n v="145"/>
    <n v="145"/>
    <n v="145"/>
    <n v="145"/>
    <n v="0"/>
    <n v="0"/>
    <n v="0"/>
    <n v="0"/>
    <n v="0"/>
    <n v="0"/>
    <n v="0"/>
    <n v="0"/>
    <n v="0"/>
    <n v="0"/>
    <n v="0"/>
    <n v="0"/>
    <n v="0"/>
    <n v="0"/>
    <n v="0"/>
    <n v="0"/>
    <n v="0"/>
    <n v="0"/>
    <n v="0"/>
    <n v="0"/>
    <n v="0"/>
    <n v="0"/>
    <n v="0"/>
    <m/>
    <n v="0"/>
    <n v="145"/>
    <n v="0"/>
    <n v="0"/>
    <n v="0"/>
    <n v="0"/>
    <n v="145"/>
    <n v="0"/>
    <n v="0"/>
    <n v="0"/>
    <n v="0"/>
    <n v="0"/>
    <n v="0"/>
    <m/>
    <m/>
    <m/>
    <m/>
    <m/>
    <m/>
    <m/>
    <m/>
    <m/>
    <m/>
    <m/>
    <m/>
    <m/>
    <m/>
    <m/>
    <m/>
    <m/>
    <m/>
    <m/>
    <m/>
    <m/>
    <m/>
    <m/>
    <m/>
    <m/>
    <m/>
    <m/>
    <m/>
    <m/>
    <m/>
    <m/>
    <m/>
    <m/>
    <m/>
    <m/>
  </r>
  <r>
    <n v="742"/>
    <d v="2025-04-21T00:00:00"/>
    <s v="ZBTO"/>
    <n v="9518708445"/>
    <n v="7"/>
    <s v="9518708445-7"/>
    <s v="May'25"/>
    <x v="0"/>
    <m/>
    <x v="1"/>
    <x v="15"/>
    <s v="3000-IPPE"/>
    <m/>
    <x v="1"/>
    <m/>
    <m/>
    <m/>
    <m/>
    <s v="YESHWANTHPURA"/>
    <m/>
    <n v="157491"/>
    <s v="TATA STEEL DOWNSTREAM PRODUCTS LIMI"/>
    <n v="2420522"/>
    <s v="CRCA COIL TATXXD AH03 1.500X1250"/>
    <m/>
    <m/>
    <m/>
    <m/>
    <m/>
    <s v="C01"/>
    <s v="TATXXD"/>
    <s v="AH03"/>
    <n v="1.5"/>
    <n v="1250"/>
    <n v="0"/>
    <n v="145"/>
    <n v="0"/>
    <n v="145"/>
    <n v="145"/>
    <n v="13.099999999999994"/>
    <n v="145"/>
    <n v="0"/>
    <n v="0"/>
    <n v="28.73"/>
    <n v="0"/>
    <n v="0"/>
    <n v="0"/>
    <n v="0"/>
    <n v="0"/>
    <n v="0"/>
    <n v="0"/>
    <n v="0"/>
    <n v="0"/>
    <n v="103.17"/>
    <n v="0"/>
    <n v="0"/>
    <n v="0"/>
    <n v="0"/>
    <n v="0"/>
    <n v="0"/>
    <n v="131.9"/>
    <n v="131.9"/>
    <n v="0"/>
    <n v="131.9"/>
    <m/>
    <n v="0"/>
    <n v="145"/>
    <n v="145"/>
    <n v="0"/>
    <n v="0"/>
    <n v="0"/>
    <n v="0"/>
    <n v="0"/>
    <n v="0"/>
    <n v="0"/>
    <n v="0"/>
    <n v="0"/>
    <n v="0"/>
    <m/>
    <m/>
    <m/>
    <m/>
    <m/>
    <m/>
    <m/>
    <m/>
    <m/>
    <m/>
    <m/>
    <m/>
    <m/>
    <m/>
    <m/>
    <m/>
    <m/>
    <m/>
    <m/>
    <m/>
    <m/>
    <m/>
    <m/>
    <m/>
    <m/>
    <m/>
    <m/>
    <m/>
    <m/>
    <m/>
    <m/>
    <m/>
    <m/>
    <m/>
    <m/>
  </r>
  <r>
    <n v="742"/>
    <d v="2025-04-21T00:00:00"/>
    <s v="ZBTF"/>
    <n v="9518709004"/>
    <n v="1"/>
    <s v="9518709004-1"/>
    <s v="May'25"/>
    <x v="0"/>
    <m/>
    <x v="1"/>
    <x v="7"/>
    <s v="1000-IPPE"/>
    <m/>
    <x v="1"/>
    <m/>
    <s v="Tempel Precisions"/>
    <m/>
    <m/>
    <s v="WEST BENGAL"/>
    <m/>
    <n v="600250"/>
    <s v="TATA CENTRE"/>
    <n v="3659268"/>
    <s v="CR COIL TSBSTA EL03 0.500X1217"/>
    <m/>
    <m/>
    <m/>
    <m/>
    <m/>
    <s v="C01"/>
    <s v="TSBSTA"/>
    <s v="EL03"/>
    <n v="0.5"/>
    <n v="1217"/>
    <n v="0"/>
    <n v="168"/>
    <n v="0"/>
    <n v="168"/>
    <n v="168"/>
    <n v="168"/>
    <n v="168"/>
    <n v="0"/>
    <n v="0"/>
    <n v="0"/>
    <n v="0"/>
    <n v="0"/>
    <n v="0"/>
    <n v="0"/>
    <n v="0"/>
    <n v="0"/>
    <n v="0"/>
    <n v="0"/>
    <n v="0"/>
    <n v="0"/>
    <n v="0"/>
    <n v="0"/>
    <n v="0"/>
    <n v="0"/>
    <n v="0"/>
    <n v="0"/>
    <n v="0"/>
    <m/>
    <m/>
    <m/>
    <m/>
    <n v="0"/>
    <n v="168"/>
    <n v="0"/>
    <n v="0"/>
    <n v="168"/>
    <n v="0"/>
    <n v="0"/>
    <n v="0"/>
    <n v="0"/>
    <n v="0"/>
    <n v="0"/>
    <n v="0"/>
    <n v="0"/>
    <m/>
    <m/>
    <m/>
    <m/>
    <m/>
    <m/>
    <m/>
    <m/>
    <m/>
    <m/>
    <m/>
    <m/>
    <m/>
    <m/>
    <m/>
    <m/>
    <m/>
    <m/>
    <m/>
    <m/>
    <m/>
    <m/>
    <m/>
    <m/>
    <m/>
    <m/>
    <m/>
    <m/>
    <m/>
    <m/>
    <m/>
    <m/>
    <m/>
    <m/>
    <m/>
  </r>
  <r>
    <n v="742"/>
    <d v="2025-04-21T00:00:00"/>
    <s v="ZBTF"/>
    <n v="9518709004"/>
    <n v="2"/>
    <s v="9518709004-2"/>
    <s v="May'25"/>
    <x v="0"/>
    <m/>
    <x v="1"/>
    <x v="7"/>
    <s v="1000-IPPE"/>
    <m/>
    <x v="1"/>
    <m/>
    <s v="Tempel Precisions"/>
    <m/>
    <m/>
    <s v="WEST BENGAL"/>
    <m/>
    <n v="600250"/>
    <s v="TATA CENTRE"/>
    <n v="3704262"/>
    <s v="CR COIL TSBSTA EL03 1X1250"/>
    <m/>
    <m/>
    <m/>
    <m/>
    <m/>
    <s v="C01"/>
    <s v="TSBSTA"/>
    <s v="EL03"/>
    <n v="1"/>
    <n v="1250"/>
    <n v="0"/>
    <n v="58"/>
    <n v="0"/>
    <n v="58"/>
    <n v="58"/>
    <n v="58"/>
    <n v="58"/>
    <n v="0"/>
    <n v="0"/>
    <n v="0"/>
    <n v="0"/>
    <n v="0"/>
    <n v="0"/>
    <n v="0"/>
    <n v="0"/>
    <n v="0"/>
    <n v="0"/>
    <n v="0"/>
    <n v="0"/>
    <n v="0"/>
    <n v="0"/>
    <n v="0"/>
    <n v="0"/>
    <n v="0"/>
    <n v="0"/>
    <n v="0"/>
    <n v="0"/>
    <m/>
    <m/>
    <m/>
    <m/>
    <n v="0"/>
    <n v="58"/>
    <n v="0"/>
    <n v="0"/>
    <n v="0"/>
    <n v="0"/>
    <n v="58"/>
    <n v="0"/>
    <n v="0"/>
    <n v="0"/>
    <n v="0"/>
    <n v="0"/>
    <n v="0"/>
    <m/>
    <m/>
    <m/>
    <m/>
    <m/>
    <m/>
    <m/>
    <m/>
    <m/>
    <m/>
    <m/>
    <m/>
    <m/>
    <m/>
    <m/>
    <m/>
    <m/>
    <m/>
    <m/>
    <m/>
    <m/>
    <m/>
    <m/>
    <m/>
    <m/>
    <m/>
    <m/>
    <m/>
    <m/>
    <m/>
    <m/>
    <m/>
    <m/>
    <m/>
    <m/>
  </r>
  <r>
    <n v="743"/>
    <d v="2025-04-23T00:00:00"/>
    <s v="ZBTO"/>
    <n v="9518715051"/>
    <n v="2"/>
    <s v="9518715051-2"/>
    <s v="May'25"/>
    <x v="0"/>
    <m/>
    <x v="3"/>
    <x v="14"/>
    <n v="2000"/>
    <m/>
    <x v="1"/>
    <m/>
    <m/>
    <s v="Assam"/>
    <m/>
    <m/>
    <m/>
    <n v="116649"/>
    <s v="SAGAR STEELS"/>
    <n v="1300229"/>
    <s v="GP COIL SOFT-TATXGP-GLK1-0.4X1220"/>
    <s v=""/>
    <s v=""/>
    <m/>
    <m/>
    <m/>
    <s v="C02"/>
    <s v="TATXGP"/>
    <s v="GLK1"/>
    <n v="0.4"/>
    <n v="1220"/>
    <n v="0"/>
    <n v="84"/>
    <n v="0"/>
    <n v="84"/>
    <n v="84"/>
    <n v="84"/>
    <n v="84"/>
    <n v="0"/>
    <n v="0"/>
    <n v="0"/>
    <n v="0"/>
    <n v="0"/>
    <n v="0"/>
    <n v="0"/>
    <n v="0"/>
    <n v="0"/>
    <n v="0"/>
    <n v="0"/>
    <n v="0"/>
    <n v="0"/>
    <n v="0"/>
    <n v="0"/>
    <n v="0"/>
    <n v="0"/>
    <n v="0"/>
    <n v="0"/>
    <n v="0"/>
    <m/>
    <m/>
    <m/>
    <m/>
    <n v="0"/>
    <n v="84"/>
    <n v="0"/>
    <n v="0"/>
    <n v="84"/>
    <n v="0"/>
    <n v="0"/>
    <n v="0"/>
    <n v="0"/>
    <n v="0"/>
    <n v="0"/>
    <n v="0"/>
    <n v="0"/>
    <m/>
    <m/>
    <m/>
    <m/>
    <m/>
    <m/>
    <m/>
    <m/>
    <m/>
    <m/>
    <m/>
    <m/>
    <m/>
    <m/>
    <m/>
    <m/>
    <m/>
    <m/>
    <m/>
    <m/>
    <m/>
    <m/>
    <m/>
    <m/>
    <m/>
    <m/>
    <m/>
    <m/>
    <m/>
    <m/>
    <m/>
    <m/>
    <m/>
    <m/>
    <m/>
  </r>
  <r>
    <n v="743"/>
    <d v="2025-04-23T00:00:00"/>
    <s v="ZBTO"/>
    <n v="9518715051"/>
    <n v="3"/>
    <s v="9518715051-3"/>
    <s v="May'25"/>
    <x v="0"/>
    <m/>
    <x v="3"/>
    <x v="14"/>
    <n v="2000"/>
    <m/>
    <x v="1"/>
    <m/>
    <m/>
    <s v="Assam"/>
    <m/>
    <m/>
    <m/>
    <n v="116649"/>
    <s v="SAGAR STEELS"/>
    <n v="2233645"/>
    <s v="GP COIL SOFT TATXGP GLK1 0.35X1220"/>
    <s v=""/>
    <s v=""/>
    <m/>
    <m/>
    <m/>
    <s v="C02"/>
    <s v="TATXGP"/>
    <s v="GLK1"/>
    <n v="0.35"/>
    <n v="1220"/>
    <n v="0"/>
    <n v="84"/>
    <n v="0"/>
    <n v="84"/>
    <n v="84"/>
    <n v="84"/>
    <n v="84"/>
    <n v="0"/>
    <n v="0"/>
    <n v="0"/>
    <n v="0"/>
    <n v="0"/>
    <n v="0"/>
    <n v="0"/>
    <n v="0"/>
    <n v="0"/>
    <n v="0"/>
    <n v="0"/>
    <n v="0"/>
    <n v="0"/>
    <n v="0"/>
    <n v="0"/>
    <n v="0"/>
    <n v="0"/>
    <n v="0"/>
    <n v="0"/>
    <n v="0"/>
    <m/>
    <m/>
    <m/>
    <m/>
    <n v="0"/>
    <n v="84"/>
    <n v="0"/>
    <n v="0"/>
    <n v="84"/>
    <n v="0"/>
    <n v="0"/>
    <n v="0"/>
    <n v="0"/>
    <n v="0"/>
    <n v="0"/>
    <n v="0"/>
    <n v="0"/>
    <m/>
    <m/>
    <m/>
    <m/>
    <m/>
    <m/>
    <m/>
    <m/>
    <m/>
    <m/>
    <m/>
    <m/>
    <m/>
    <m/>
    <m/>
    <m/>
    <m/>
    <m/>
    <m/>
    <m/>
    <m/>
    <m/>
    <m/>
    <m/>
    <m/>
    <m/>
    <m/>
    <m/>
    <m/>
    <m/>
    <m/>
    <m/>
    <m/>
    <m/>
    <m/>
  </r>
  <r>
    <n v="743"/>
    <d v="2025-04-22T00:00:00"/>
    <s v="ZBTO"/>
    <n v="9518710703"/>
    <n v="2"/>
    <s v="9518710703-2"/>
    <s v="May'25"/>
    <x v="0"/>
    <m/>
    <x v="4"/>
    <x v="3"/>
    <n v="1000"/>
    <m/>
    <x v="1"/>
    <m/>
    <m/>
    <s v="Rajasthan"/>
    <m/>
    <m/>
    <m/>
    <n v="942293"/>
    <s v="TATA BLUESCOPE STEEL PRIVATE L"/>
    <n v="3946364"/>
    <s v="GL COIL HARD Y550GL M308 0.50 (TCT)X1220"/>
    <n v="150"/>
    <s v=""/>
    <m/>
    <m/>
    <m/>
    <s v="B04"/>
    <s v="Y550GL"/>
    <s v="M308"/>
    <n v="0.5"/>
    <n v="1220"/>
    <n v="0"/>
    <n v="84"/>
    <n v="0"/>
    <n v="84"/>
    <n v="84"/>
    <n v="84"/>
    <n v="84"/>
    <n v="0"/>
    <n v="0"/>
    <n v="0"/>
    <n v="0"/>
    <n v="0"/>
    <n v="0"/>
    <n v="0"/>
    <n v="0"/>
    <n v="0"/>
    <n v="0"/>
    <n v="0"/>
    <n v="0"/>
    <n v="0"/>
    <n v="0"/>
    <n v="0"/>
    <n v="0"/>
    <n v="0"/>
    <n v="0"/>
    <n v="0"/>
    <n v="0"/>
    <m/>
    <m/>
    <m/>
    <m/>
    <n v="0"/>
    <n v="84"/>
    <n v="0"/>
    <n v="0"/>
    <n v="84"/>
    <n v="0"/>
    <n v="0"/>
    <n v="0"/>
    <n v="0"/>
    <n v="0"/>
    <n v="0"/>
    <n v="0"/>
    <n v="0"/>
    <m/>
    <m/>
    <m/>
    <m/>
    <m/>
    <m/>
    <m/>
    <m/>
    <m/>
    <m/>
    <m/>
    <m/>
    <m/>
    <m/>
    <m/>
    <m/>
    <m/>
    <m/>
    <m/>
    <m/>
    <m/>
    <m/>
    <m/>
    <m/>
    <m/>
    <m/>
    <m/>
    <m/>
    <m/>
    <m/>
    <m/>
    <m/>
    <m/>
    <m/>
    <m/>
  </r>
  <r>
    <n v="744"/>
    <d v="2025-04-22T00:00:00"/>
    <s v="ZBTO"/>
    <n v="9518711554"/>
    <n v="1"/>
    <s v="9518711554-1"/>
    <s v="May'25"/>
    <x v="0"/>
    <m/>
    <x v="2"/>
    <x v="3"/>
    <n v="1000"/>
    <m/>
    <x v="1"/>
    <m/>
    <m/>
    <s v="Tamil Nadu"/>
    <m/>
    <m/>
    <m/>
    <n v="940074"/>
    <s v="TATA BLUESCOPE STEEL PRIVATE L"/>
    <n v="3522241"/>
    <s v="PPGL C Y550 D0C7 0.43BMT(0.47TPT)X1220"/>
    <n v="70"/>
    <s v="NG SMART GREY TSL 1905"/>
    <m/>
    <m/>
    <m/>
    <s v="B18"/>
    <s v="Y550PL"/>
    <s v="D0C7"/>
    <n v="0.43"/>
    <n v="1220"/>
    <n v="0"/>
    <n v="140"/>
    <n v="0"/>
    <n v="140"/>
    <n v="140"/>
    <n v="140"/>
    <n v="140"/>
    <n v="0"/>
    <n v="0"/>
    <n v="0"/>
    <n v="0"/>
    <n v="0"/>
    <n v="0"/>
    <n v="0"/>
    <n v="0"/>
    <n v="0"/>
    <n v="0"/>
    <n v="0"/>
    <n v="0"/>
    <n v="0"/>
    <n v="0"/>
    <n v="0"/>
    <n v="0"/>
    <n v="0"/>
    <n v="0"/>
    <n v="0"/>
    <n v="0"/>
    <m/>
    <m/>
    <m/>
    <m/>
    <n v="0"/>
    <n v="0"/>
    <n v="0"/>
    <n v="0"/>
    <n v="0"/>
    <n v="0"/>
    <n v="0"/>
    <n v="0"/>
    <n v="0"/>
    <n v="0"/>
    <n v="0"/>
    <n v="0"/>
    <n v="0"/>
    <m/>
    <m/>
    <m/>
    <m/>
    <m/>
    <m/>
    <m/>
    <m/>
    <m/>
    <m/>
    <m/>
    <m/>
    <m/>
    <m/>
    <m/>
    <m/>
    <m/>
    <m/>
    <m/>
    <m/>
    <m/>
    <m/>
    <m/>
    <m/>
    <m/>
    <m/>
    <m/>
    <m/>
    <m/>
    <m/>
    <m/>
    <m/>
    <m/>
    <m/>
    <m/>
  </r>
  <r>
    <n v="743"/>
    <d v="2025-04-22T00:00:00"/>
    <s v="ZBTO"/>
    <n v="9518712210"/>
    <n v="1"/>
    <s v="9518712210-1"/>
    <s v="May'25"/>
    <x v="0"/>
    <m/>
    <x v="4"/>
    <x v="3"/>
    <n v="1000"/>
    <m/>
    <x v="1"/>
    <m/>
    <m/>
    <s v="Jharkhand"/>
    <m/>
    <m/>
    <m/>
    <n v="942283"/>
    <s v="TATA BLUESCOPE STEEL PRIVATE L"/>
    <n v="3239573"/>
    <s v="GL C YS550 H6GL 0.42BMT(0.47TCT)X1220"/>
    <n v="150"/>
    <s v=""/>
    <m/>
    <m/>
    <m/>
    <s v="B04"/>
    <s v="Y550GL"/>
    <s v="H6GL"/>
    <n v="0.42"/>
    <n v="1220"/>
    <n v="0"/>
    <n v="196"/>
    <n v="0"/>
    <n v="196"/>
    <n v="196"/>
    <n v="196"/>
    <n v="196"/>
    <n v="0"/>
    <n v="0"/>
    <n v="0"/>
    <n v="0"/>
    <n v="0"/>
    <n v="0"/>
    <n v="0"/>
    <n v="0"/>
    <n v="0"/>
    <n v="0"/>
    <n v="0"/>
    <n v="0"/>
    <n v="0"/>
    <n v="0"/>
    <n v="0"/>
    <n v="0"/>
    <n v="0"/>
    <n v="0"/>
    <n v="0"/>
    <n v="0"/>
    <m/>
    <m/>
    <m/>
    <m/>
    <n v="0"/>
    <n v="0"/>
    <n v="0"/>
    <n v="0"/>
    <n v="0"/>
    <n v="0"/>
    <n v="0"/>
    <n v="0"/>
    <n v="0"/>
    <n v="0"/>
    <n v="0"/>
    <n v="0"/>
    <n v="0"/>
    <m/>
    <m/>
    <m/>
    <m/>
    <m/>
    <m/>
    <m/>
    <m/>
    <m/>
    <m/>
    <m/>
    <m/>
    <m/>
    <m/>
    <m/>
    <m/>
    <m/>
    <m/>
    <m/>
    <m/>
    <m/>
    <m/>
    <m/>
    <m/>
    <m/>
    <m/>
    <m/>
    <m/>
    <m/>
    <m/>
    <m/>
    <m/>
    <m/>
    <m/>
    <m/>
  </r>
  <r>
    <n v="743"/>
    <d v="2025-04-22T00:00:00"/>
    <s v="ZBTO"/>
    <n v="9518712210"/>
    <n v="3"/>
    <s v="9518712210-3"/>
    <s v="May'25"/>
    <x v="0"/>
    <m/>
    <x v="4"/>
    <x v="3"/>
    <n v="1000"/>
    <m/>
    <x v="1"/>
    <m/>
    <m/>
    <s v="Jharkhand"/>
    <m/>
    <m/>
    <m/>
    <n v="942283"/>
    <s v="TATA BLUESCOPE STEEL PRIVATE L"/>
    <n v="3239573"/>
    <s v="GL C YS550 H6GL 0.42BMT(0.47TCT)X1220"/>
    <n v="150"/>
    <s v=""/>
    <m/>
    <m/>
    <m/>
    <s v="B04"/>
    <s v="Y550GL"/>
    <s v="H6GL"/>
    <n v="0.42"/>
    <n v="1220"/>
    <n v="0"/>
    <n v="280"/>
    <n v="0"/>
    <n v="280"/>
    <n v="280"/>
    <n v="280"/>
    <n v="280"/>
    <n v="0"/>
    <n v="0"/>
    <n v="0"/>
    <n v="0"/>
    <n v="0"/>
    <n v="0"/>
    <n v="0"/>
    <n v="0"/>
    <n v="0"/>
    <n v="0"/>
    <n v="0"/>
    <n v="0"/>
    <n v="0"/>
    <n v="0"/>
    <n v="0"/>
    <n v="0"/>
    <n v="0"/>
    <n v="0"/>
    <n v="0"/>
    <n v="0"/>
    <m/>
    <m/>
    <m/>
    <m/>
    <n v="0"/>
    <n v="0"/>
    <n v="0"/>
    <n v="0"/>
    <n v="0"/>
    <n v="0"/>
    <n v="0"/>
    <n v="0"/>
    <n v="0"/>
    <n v="0"/>
    <n v="0"/>
    <n v="0"/>
    <n v="0"/>
    <m/>
    <m/>
    <m/>
    <m/>
    <m/>
    <m/>
    <m/>
    <m/>
    <m/>
    <m/>
    <m/>
    <m/>
    <m/>
    <m/>
    <m/>
    <m/>
    <m/>
    <m/>
    <m/>
    <m/>
    <m/>
    <m/>
    <m/>
    <m/>
    <m/>
    <m/>
    <m/>
    <m/>
    <m/>
    <m/>
    <m/>
    <m/>
    <m/>
    <m/>
    <m/>
  </r>
  <r>
    <n v="743"/>
    <d v="2025-04-22T00:00:00"/>
    <s v="ZBTO"/>
    <n v="9518712210"/>
    <n v="6"/>
    <s v="9518712210-6"/>
    <s v="May'25"/>
    <x v="0"/>
    <m/>
    <x v="4"/>
    <x v="3"/>
    <n v="1000"/>
    <m/>
    <x v="1"/>
    <m/>
    <m/>
    <s v="Jharkhand"/>
    <m/>
    <m/>
    <m/>
    <n v="942283"/>
    <s v="TATA BLUESCOPE STEEL PRIVATE L"/>
    <n v="3239573"/>
    <s v="GL C YS550 H6GL 0.42BMT(0.47TCT)X1220"/>
    <n v="150"/>
    <s v=""/>
    <m/>
    <m/>
    <m/>
    <s v="B04"/>
    <s v="Y550GL"/>
    <s v="H6GL"/>
    <n v="0.42"/>
    <n v="1220"/>
    <n v="0"/>
    <n v="140"/>
    <n v="0"/>
    <n v="140"/>
    <n v="140"/>
    <n v="140"/>
    <n v="140"/>
    <n v="0"/>
    <n v="0"/>
    <n v="0"/>
    <n v="0"/>
    <n v="0"/>
    <n v="0"/>
    <n v="0"/>
    <n v="0"/>
    <n v="0"/>
    <n v="0"/>
    <n v="0"/>
    <n v="0"/>
    <n v="0"/>
    <n v="0"/>
    <n v="0"/>
    <n v="0"/>
    <n v="0"/>
    <n v="0"/>
    <n v="0"/>
    <n v="0"/>
    <m/>
    <m/>
    <m/>
    <m/>
    <n v="0"/>
    <n v="0"/>
    <n v="0"/>
    <n v="0"/>
    <n v="0"/>
    <n v="0"/>
    <n v="0"/>
    <n v="0"/>
    <n v="0"/>
    <n v="0"/>
    <n v="0"/>
    <n v="0"/>
    <n v="0"/>
    <m/>
    <m/>
    <m/>
    <m/>
    <m/>
    <m/>
    <m/>
    <m/>
    <m/>
    <m/>
    <m/>
    <m/>
    <m/>
    <m/>
    <m/>
    <m/>
    <m/>
    <m/>
    <m/>
    <m/>
    <m/>
    <m/>
    <m/>
    <m/>
    <m/>
    <m/>
    <m/>
    <m/>
    <m/>
    <m/>
    <m/>
    <m/>
    <m/>
    <m/>
    <m/>
  </r>
  <r>
    <n v="744"/>
    <d v="2025-04-23T00:00:00"/>
    <s v="ZBTO"/>
    <n v="9518714453"/>
    <n v="9"/>
    <s v="9518714453-9"/>
    <s v="May'25"/>
    <x v="0"/>
    <m/>
    <x v="2"/>
    <x v="3"/>
    <n v="1000"/>
    <m/>
    <x v="1"/>
    <m/>
    <m/>
    <s v="Jharkhand"/>
    <m/>
    <m/>
    <m/>
    <n v="941597"/>
    <s v="TATA BLUESCOPE STEEL PRIVATE L"/>
    <n v="3974226"/>
    <s v="PPGL C HARD Y550PL D0C9 0.80(TPT)X1220"/>
    <n v="150"/>
    <s v="LIGHT BLUE TSL 1802"/>
    <m/>
    <m/>
    <m/>
    <s v="B18"/>
    <s v="Y550PL"/>
    <s v="D0C9"/>
    <n v="0.8"/>
    <n v="1220"/>
    <n v="0"/>
    <n v="112"/>
    <n v="0"/>
    <n v="112"/>
    <n v="112"/>
    <n v="112"/>
    <n v="112"/>
    <n v="0"/>
    <n v="0"/>
    <n v="0"/>
    <n v="0"/>
    <n v="0"/>
    <n v="0"/>
    <n v="0"/>
    <n v="0"/>
    <n v="0"/>
    <n v="0"/>
    <n v="0"/>
    <n v="0"/>
    <n v="0"/>
    <n v="0"/>
    <n v="0"/>
    <n v="0"/>
    <n v="0"/>
    <n v="0"/>
    <n v="0"/>
    <n v="0"/>
    <m/>
    <m/>
    <m/>
    <m/>
    <n v="0"/>
    <n v="0"/>
    <n v="0"/>
    <n v="0"/>
    <n v="0"/>
    <n v="0"/>
    <n v="0"/>
    <n v="0"/>
    <n v="0"/>
    <n v="0"/>
    <n v="0"/>
    <n v="0"/>
    <n v="0"/>
    <m/>
    <m/>
    <m/>
    <m/>
    <m/>
    <m/>
    <m/>
    <m/>
    <m/>
    <m/>
    <m/>
    <m/>
    <m/>
    <m/>
    <m/>
    <m/>
    <m/>
    <m/>
    <m/>
    <m/>
    <m/>
    <m/>
    <m/>
    <m/>
    <m/>
    <m/>
    <m/>
    <m/>
    <m/>
    <m/>
    <m/>
    <m/>
    <m/>
    <m/>
    <m/>
  </r>
  <r>
    <n v="743"/>
    <d v="2025-04-23T00:00:00"/>
    <s v="ZBTO"/>
    <n v="9518715386"/>
    <n v="2"/>
    <s v="9518715386-2"/>
    <s v="May'25"/>
    <x v="0"/>
    <m/>
    <x v="4"/>
    <x v="3"/>
    <n v="1000"/>
    <m/>
    <x v="1"/>
    <m/>
    <m/>
    <s v="Jharkhand"/>
    <m/>
    <m/>
    <m/>
    <n v="942284"/>
    <s v="TATA BLUESCOPE STEEL PRIVATE L"/>
    <n v="3931932"/>
    <s v="GL C YS550 M306 0.35BMT(0.37TCT)X900"/>
    <n v="70"/>
    <s v=""/>
    <m/>
    <m/>
    <m/>
    <s v="B04"/>
    <s v="Y550GL"/>
    <s v="M306"/>
    <n v="0.35"/>
    <n v="900"/>
    <n v="0"/>
    <n v="21"/>
    <n v="0"/>
    <n v="21"/>
    <n v="21"/>
    <n v="21"/>
    <n v="21"/>
    <n v="0"/>
    <n v="0"/>
    <n v="0"/>
    <n v="0"/>
    <n v="0"/>
    <n v="0"/>
    <n v="0"/>
    <n v="0"/>
    <n v="0"/>
    <n v="0"/>
    <n v="0"/>
    <n v="0"/>
    <n v="0"/>
    <n v="0"/>
    <n v="0"/>
    <n v="0"/>
    <n v="0"/>
    <n v="0"/>
    <n v="0"/>
    <n v="0"/>
    <m/>
    <m/>
    <m/>
    <m/>
    <n v="0"/>
    <n v="0"/>
    <n v="0"/>
    <n v="0"/>
    <n v="0"/>
    <n v="0"/>
    <n v="0"/>
    <n v="0"/>
    <n v="0"/>
    <n v="0"/>
    <n v="0"/>
    <n v="0"/>
    <n v="0"/>
    <m/>
    <m/>
    <m/>
    <m/>
    <m/>
    <m/>
    <m/>
    <m/>
    <m/>
    <m/>
    <m/>
    <m/>
    <m/>
    <m/>
    <m/>
    <m/>
    <m/>
    <m/>
    <m/>
    <m/>
    <m/>
    <m/>
    <m/>
    <m/>
    <m/>
    <m/>
    <m/>
    <m/>
    <m/>
    <m/>
    <m/>
    <m/>
    <m/>
    <m/>
    <m/>
  </r>
  <r>
    <n v="743"/>
    <d v="2025-04-23T00:00:00"/>
    <s v="ZBTO"/>
    <n v="9518715401"/>
    <n v="2"/>
    <s v="9518715401-2"/>
    <s v="May'25"/>
    <x v="0"/>
    <m/>
    <x v="4"/>
    <x v="3"/>
    <n v="1000"/>
    <m/>
    <x v="1"/>
    <m/>
    <m/>
    <s v="Jharkhand"/>
    <m/>
    <m/>
    <m/>
    <n v="942284"/>
    <s v="TATA BLUESCOPE STEEL PRIVATE L"/>
    <n v="3946364"/>
    <s v="GL COIL HARD Y550GL M308 0.50 (TCT)X1220"/>
    <n v="150"/>
    <s v=""/>
    <m/>
    <m/>
    <m/>
    <s v="B04"/>
    <s v="Y550GL"/>
    <s v="M308"/>
    <n v="0.5"/>
    <n v="1220"/>
    <n v="0"/>
    <n v="84"/>
    <n v="0"/>
    <n v="84"/>
    <n v="84"/>
    <n v="84"/>
    <n v="84"/>
    <n v="0"/>
    <n v="0"/>
    <n v="0"/>
    <n v="0"/>
    <n v="0"/>
    <n v="0"/>
    <n v="0"/>
    <n v="0"/>
    <n v="0"/>
    <n v="0"/>
    <n v="0"/>
    <n v="0"/>
    <n v="0"/>
    <n v="0"/>
    <n v="0"/>
    <n v="0"/>
    <n v="0"/>
    <n v="0"/>
    <n v="0"/>
    <n v="0"/>
    <m/>
    <m/>
    <m/>
    <m/>
    <n v="0"/>
    <n v="84"/>
    <n v="0"/>
    <n v="0"/>
    <n v="0"/>
    <n v="0"/>
    <n v="84"/>
    <n v="0"/>
    <n v="0"/>
    <n v="0"/>
    <n v="0"/>
    <n v="0"/>
    <n v="0"/>
    <m/>
    <m/>
    <m/>
    <m/>
    <m/>
    <m/>
    <m/>
    <m/>
    <m/>
    <m/>
    <m/>
    <m/>
    <m/>
    <m/>
    <m/>
    <m/>
    <m/>
    <m/>
    <m/>
    <m/>
    <m/>
    <m/>
    <m/>
    <m/>
    <m/>
    <m/>
    <m/>
    <m/>
    <m/>
    <m/>
    <m/>
    <m/>
    <m/>
    <m/>
    <m/>
  </r>
  <r>
    <n v="743"/>
    <d v="2025-04-23T00:00:00"/>
    <s v="ZBTO"/>
    <n v="9518715401"/>
    <n v="3"/>
    <s v="9518715401-3"/>
    <s v="May'25"/>
    <x v="0"/>
    <m/>
    <x v="4"/>
    <x v="3"/>
    <n v="1000"/>
    <m/>
    <x v="1"/>
    <m/>
    <m/>
    <s v="Jharkhand"/>
    <m/>
    <m/>
    <m/>
    <n v="942284"/>
    <s v="TATA BLUESCOPE STEEL PRIVATE L"/>
    <n v="3946362"/>
    <s v="GL COIL HARD Y550GL M308 0.47 (TCT)X1220"/>
    <n v="150"/>
    <s v=""/>
    <m/>
    <m/>
    <m/>
    <s v="B04"/>
    <s v="Y550GL"/>
    <s v="M308"/>
    <n v="0.47"/>
    <n v="1220"/>
    <n v="0"/>
    <n v="224"/>
    <n v="0"/>
    <n v="224"/>
    <n v="224"/>
    <n v="224"/>
    <n v="224"/>
    <n v="0"/>
    <n v="0"/>
    <n v="0"/>
    <n v="0"/>
    <n v="0"/>
    <n v="0"/>
    <n v="0"/>
    <n v="0"/>
    <n v="0"/>
    <n v="0"/>
    <n v="0"/>
    <n v="0"/>
    <n v="0"/>
    <n v="0"/>
    <n v="0"/>
    <n v="0"/>
    <n v="0"/>
    <n v="0"/>
    <n v="0"/>
    <n v="0"/>
    <m/>
    <m/>
    <m/>
    <m/>
    <n v="0"/>
    <n v="224"/>
    <n v="0"/>
    <n v="0"/>
    <n v="0"/>
    <n v="224"/>
    <n v="0"/>
    <n v="0"/>
    <n v="0"/>
    <n v="0"/>
    <n v="0"/>
    <n v="0"/>
    <n v="0"/>
    <m/>
    <m/>
    <m/>
    <m/>
    <m/>
    <m/>
    <m/>
    <m/>
    <m/>
    <m/>
    <m/>
    <m/>
    <m/>
    <m/>
    <m/>
    <m/>
    <m/>
    <m/>
    <m/>
    <m/>
    <m/>
    <m/>
    <m/>
    <m/>
    <m/>
    <m/>
    <m/>
    <m/>
    <m/>
    <m/>
    <m/>
    <m/>
    <m/>
    <m/>
    <m/>
  </r>
  <r>
    <n v="743"/>
    <d v="2025-04-23T00:00:00"/>
    <s v="ZBTO"/>
    <n v="9518715401"/>
    <n v="4"/>
    <s v="9518715401-4"/>
    <s v="May'25"/>
    <x v="0"/>
    <m/>
    <x v="4"/>
    <x v="3"/>
    <n v="1000"/>
    <m/>
    <x v="1"/>
    <m/>
    <m/>
    <s v="Jharkhand"/>
    <m/>
    <m/>
    <m/>
    <n v="942284"/>
    <s v="TATA BLUESCOPE STEEL PRIVATE L"/>
    <n v="3946364"/>
    <s v="GL COIL HARD Y550GL M308 0.50 (TCT)X1220"/>
    <n v="150"/>
    <s v=""/>
    <m/>
    <m/>
    <m/>
    <s v="B04"/>
    <s v="Y550GL"/>
    <s v="M308"/>
    <n v="0.5"/>
    <n v="1220"/>
    <n v="0"/>
    <n v="84"/>
    <n v="0"/>
    <n v="84"/>
    <n v="84"/>
    <n v="84"/>
    <n v="84"/>
    <n v="0"/>
    <n v="0"/>
    <n v="0"/>
    <n v="0"/>
    <n v="0"/>
    <n v="0"/>
    <n v="0"/>
    <n v="0"/>
    <n v="0"/>
    <n v="0"/>
    <n v="0"/>
    <n v="0"/>
    <n v="0"/>
    <n v="0"/>
    <n v="0"/>
    <n v="0"/>
    <n v="0"/>
    <n v="0"/>
    <n v="0"/>
    <n v="0"/>
    <m/>
    <m/>
    <m/>
    <m/>
    <n v="0"/>
    <n v="84"/>
    <n v="0"/>
    <n v="0"/>
    <n v="84"/>
    <n v="0"/>
    <n v="0"/>
    <n v="0"/>
    <n v="0"/>
    <n v="0"/>
    <n v="0"/>
    <n v="0"/>
    <n v="0"/>
    <m/>
    <m/>
    <m/>
    <m/>
    <m/>
    <m/>
    <m/>
    <m/>
    <m/>
    <m/>
    <m/>
    <m/>
    <m/>
    <m/>
    <m/>
    <m/>
    <m/>
    <m/>
    <m/>
    <m/>
    <m/>
    <m/>
    <m/>
    <m/>
    <m/>
    <m/>
    <m/>
    <m/>
    <m/>
    <m/>
    <m/>
    <m/>
    <m/>
    <m/>
    <m/>
  </r>
  <r>
    <n v="744"/>
    <d v="2025-04-23T00:00:00"/>
    <s v="ZBTO"/>
    <n v="9518715371"/>
    <n v="3"/>
    <s v="9518715371-3"/>
    <s v="May'25"/>
    <x v="0"/>
    <m/>
    <x v="2"/>
    <x v="3"/>
    <n v="1000"/>
    <m/>
    <x v="1"/>
    <m/>
    <m/>
    <s v="Jharkhand"/>
    <m/>
    <m/>
    <m/>
    <n v="940016"/>
    <s v="TATA BLUESCOPE STEEL PVT LTD."/>
    <n v="3522241"/>
    <s v="PPGL C Y550 D0C7 0.43BMT(0.47TPT)X1220"/>
    <n v="70"/>
    <s v="NUVO BLUE TSL 1903"/>
    <m/>
    <m/>
    <m/>
    <s v="B18"/>
    <s v="Y550PL"/>
    <s v="D0C7"/>
    <n v="0.43"/>
    <n v="1220"/>
    <n v="0"/>
    <n v="280"/>
    <n v="0"/>
    <n v="280"/>
    <n v="280"/>
    <n v="280"/>
    <n v="280"/>
    <n v="0"/>
    <n v="0"/>
    <n v="0"/>
    <n v="0"/>
    <n v="0"/>
    <n v="0"/>
    <n v="0"/>
    <n v="0"/>
    <n v="0"/>
    <n v="0"/>
    <n v="0"/>
    <n v="0"/>
    <n v="0"/>
    <n v="0"/>
    <n v="0"/>
    <n v="0"/>
    <n v="0"/>
    <n v="0"/>
    <n v="0"/>
    <n v="0"/>
    <m/>
    <m/>
    <m/>
    <m/>
    <n v="0"/>
    <n v="280"/>
    <n v="0"/>
    <n v="0"/>
    <n v="0"/>
    <n v="0"/>
    <n v="280"/>
    <n v="0"/>
    <n v="0"/>
    <n v="0"/>
    <n v="0"/>
    <n v="0"/>
    <n v="0"/>
    <m/>
    <m/>
    <m/>
    <m/>
    <m/>
    <m/>
    <m/>
    <m/>
    <m/>
    <m/>
    <m/>
    <m/>
    <m/>
    <m/>
    <m/>
    <m/>
    <m/>
    <m/>
    <m/>
    <m/>
    <m/>
    <m/>
    <m/>
    <m/>
    <m/>
    <m/>
    <m/>
    <m/>
    <m/>
    <m/>
    <m/>
    <m/>
    <m/>
    <m/>
    <m/>
  </r>
  <r>
    <n v="744"/>
    <d v="2025-04-23T00:00:00"/>
    <s v="ZBTO"/>
    <n v="9518715371"/>
    <n v="4"/>
    <s v="9518715371-4"/>
    <s v="May'25"/>
    <x v="0"/>
    <m/>
    <x v="2"/>
    <x v="3"/>
    <n v="1000"/>
    <m/>
    <x v="1"/>
    <m/>
    <m/>
    <s v="Jharkhand"/>
    <m/>
    <m/>
    <m/>
    <n v="940016"/>
    <s v="TATA BLUESCOPE STEEL PVT LTD."/>
    <n v="3522241"/>
    <s v="PPGL C Y550 D0C7 0.43BMT(0.47TPT)X1220"/>
    <n v="70"/>
    <s v="NUVO BLUE TSL 1903"/>
    <m/>
    <m/>
    <m/>
    <s v="B18"/>
    <s v="Y550PL"/>
    <s v="D0C7"/>
    <n v="0.43"/>
    <n v="1220"/>
    <n v="0"/>
    <n v="280"/>
    <n v="0"/>
    <n v="280"/>
    <n v="280"/>
    <n v="280"/>
    <n v="280"/>
    <n v="0"/>
    <n v="0"/>
    <n v="0"/>
    <n v="0"/>
    <n v="0"/>
    <n v="0"/>
    <n v="0"/>
    <n v="0"/>
    <n v="0"/>
    <n v="0"/>
    <n v="0"/>
    <n v="0"/>
    <n v="0"/>
    <n v="0"/>
    <n v="0"/>
    <n v="0"/>
    <n v="0"/>
    <n v="0"/>
    <n v="0"/>
    <n v="0"/>
    <m/>
    <m/>
    <m/>
    <m/>
    <n v="0"/>
    <n v="280"/>
    <n v="0"/>
    <n v="0"/>
    <n v="0"/>
    <n v="0"/>
    <n v="280"/>
    <n v="0"/>
    <n v="0"/>
    <n v="0"/>
    <n v="0"/>
    <n v="0"/>
    <n v="0"/>
    <m/>
    <m/>
    <m/>
    <m/>
    <m/>
    <m/>
    <m/>
    <m/>
    <m/>
    <m/>
    <m/>
    <m/>
    <m/>
    <m/>
    <m/>
    <m/>
    <m/>
    <m/>
    <m/>
    <m/>
    <m/>
    <m/>
    <m/>
    <m/>
    <m/>
    <m/>
    <m/>
    <m/>
    <m/>
    <m/>
    <m/>
    <m/>
    <m/>
    <m/>
    <m/>
  </r>
  <r>
    <n v="744"/>
    <d v="2025-04-23T00:00:00"/>
    <s v="ZBTO"/>
    <n v="9518715371"/>
    <n v="5"/>
    <s v="9518715371-5"/>
    <s v="May'25"/>
    <x v="0"/>
    <m/>
    <x v="2"/>
    <x v="3"/>
    <n v="1000"/>
    <m/>
    <x v="1"/>
    <m/>
    <m/>
    <s v="Jharkhand"/>
    <m/>
    <m/>
    <m/>
    <n v="940016"/>
    <s v="TATA BLUESCOPE STEEL PVT LTD."/>
    <n v="3522241"/>
    <s v="PPGL C Y550 D0C7 0.43BMT(0.47TPT)X1220"/>
    <n v="70"/>
    <s v="NUVO BLUE TSL 1903"/>
    <m/>
    <m/>
    <m/>
    <s v="B18"/>
    <s v="Y550PL"/>
    <s v="D0C7"/>
    <n v="0.43"/>
    <n v="1220"/>
    <n v="0"/>
    <n v="280"/>
    <n v="0"/>
    <n v="280"/>
    <n v="280"/>
    <n v="280"/>
    <n v="280"/>
    <n v="0"/>
    <n v="0"/>
    <n v="0"/>
    <n v="0"/>
    <n v="0"/>
    <n v="0"/>
    <n v="0"/>
    <n v="0"/>
    <n v="0"/>
    <n v="0"/>
    <n v="0"/>
    <n v="0"/>
    <n v="0"/>
    <n v="0"/>
    <n v="0"/>
    <n v="0"/>
    <n v="0"/>
    <n v="0"/>
    <n v="0"/>
    <n v="0"/>
    <m/>
    <m/>
    <m/>
    <m/>
    <n v="0"/>
    <n v="0"/>
    <n v="0"/>
    <n v="0"/>
    <n v="0"/>
    <n v="0"/>
    <n v="0"/>
    <n v="0"/>
    <n v="0"/>
    <n v="0"/>
    <n v="0"/>
    <n v="0"/>
    <n v="0"/>
    <m/>
    <m/>
    <m/>
    <m/>
    <m/>
    <m/>
    <m/>
    <m/>
    <m/>
    <m/>
    <m/>
    <m/>
    <m/>
    <m/>
    <m/>
    <m/>
    <m/>
    <m/>
    <m/>
    <m/>
    <m/>
    <m/>
    <m/>
    <m/>
    <m/>
    <m/>
    <m/>
    <m/>
    <m/>
    <m/>
    <m/>
    <m/>
    <m/>
    <m/>
    <m/>
  </r>
  <r>
    <n v="744"/>
    <d v="2025-04-23T00:00:00"/>
    <s v="ZBTO"/>
    <n v="9518715371"/>
    <n v="6"/>
    <s v="9518715371-6"/>
    <s v="May'25"/>
    <x v="0"/>
    <m/>
    <x v="2"/>
    <x v="3"/>
    <n v="1000"/>
    <m/>
    <x v="1"/>
    <m/>
    <m/>
    <s v="Jharkhand"/>
    <m/>
    <m/>
    <m/>
    <n v="940016"/>
    <s v="TATA BLUESCOPE STEEL PVT LTD."/>
    <n v="3522241"/>
    <s v="PPGL C Y550 D0C7 0.43BMT(0.47TPT)X1220"/>
    <n v="70"/>
    <s v="NG SMART GREY TSL 1905"/>
    <m/>
    <m/>
    <m/>
    <s v="B18"/>
    <s v="Y550PL"/>
    <s v="D0C7"/>
    <n v="0.43"/>
    <n v="1220"/>
    <n v="0"/>
    <n v="56"/>
    <n v="0"/>
    <n v="56"/>
    <n v="56"/>
    <n v="56"/>
    <n v="56"/>
    <n v="0"/>
    <n v="0"/>
    <n v="0"/>
    <n v="0"/>
    <n v="0"/>
    <n v="0"/>
    <n v="0"/>
    <n v="0"/>
    <n v="0"/>
    <n v="0"/>
    <n v="0"/>
    <n v="0"/>
    <n v="0"/>
    <n v="0"/>
    <n v="0"/>
    <n v="0"/>
    <n v="0"/>
    <n v="0"/>
    <n v="0"/>
    <n v="0"/>
    <m/>
    <m/>
    <m/>
    <m/>
    <n v="0"/>
    <n v="56"/>
    <n v="0"/>
    <n v="0"/>
    <n v="0"/>
    <n v="0"/>
    <n v="56"/>
    <n v="0"/>
    <n v="0"/>
    <n v="0"/>
    <n v="0"/>
    <n v="0"/>
    <n v="0"/>
    <m/>
    <m/>
    <m/>
    <m/>
    <m/>
    <m/>
    <m/>
    <m/>
    <m/>
    <m/>
    <m/>
    <m/>
    <m/>
    <m/>
    <m/>
    <m/>
    <m/>
    <m/>
    <m/>
    <m/>
    <m/>
    <m/>
    <m/>
    <m/>
    <m/>
    <m/>
    <m/>
    <m/>
    <m/>
    <m/>
    <m/>
    <m/>
    <m/>
    <m/>
    <m/>
  </r>
  <r>
    <n v="743"/>
    <d v="2025-04-23T00:00:00"/>
    <s v="ZBTO"/>
    <n v="9518714995"/>
    <n v="1"/>
    <s v="9518714995-1"/>
    <s v="May'25"/>
    <x v="0"/>
    <m/>
    <x v="4"/>
    <x v="13"/>
    <n v="1000"/>
    <m/>
    <x v="1"/>
    <m/>
    <m/>
    <s v="West Bengal"/>
    <m/>
    <m/>
    <m/>
    <n v="101122"/>
    <s v="JINDAL INDIA LIMITED"/>
    <n v="3988091"/>
    <s v="GL COIL HARD  Y550GL H7GL 0.440X1240"/>
    <n v="70"/>
    <m/>
    <m/>
    <m/>
    <m/>
    <s v="B04"/>
    <s v="Y550GL"/>
    <s v="H7GL"/>
    <n v="0.44"/>
    <n v="1240"/>
    <n v="0"/>
    <n v="252"/>
    <n v="0"/>
    <n v="252"/>
    <n v="252"/>
    <n v="252"/>
    <n v="100.69"/>
    <n v="0"/>
    <n v="0"/>
    <n v="0"/>
    <n v="0"/>
    <n v="0"/>
    <n v="0"/>
    <n v="0"/>
    <n v="0"/>
    <n v="0"/>
    <n v="0"/>
    <n v="0"/>
    <n v="0"/>
    <n v="0"/>
    <n v="0"/>
    <n v="0"/>
    <n v="0"/>
    <n v="0"/>
    <n v="0"/>
    <n v="97.850000000000009"/>
    <n v="97.850000000000009"/>
    <m/>
    <m/>
    <m/>
    <m/>
    <n v="207.50499999999997"/>
    <n v="100.69"/>
    <n v="100.69"/>
    <n v="0"/>
    <n v="0"/>
    <n v="0"/>
    <n v="0"/>
    <n v="0"/>
    <n v="0"/>
    <n v="0"/>
    <n v="0"/>
    <n v="0"/>
    <n v="0"/>
    <m/>
    <m/>
    <m/>
    <m/>
    <m/>
    <m/>
    <m/>
    <m/>
    <m/>
    <m/>
    <m/>
    <m/>
    <m/>
    <m/>
    <m/>
    <m/>
    <m/>
    <m/>
    <m/>
    <m/>
    <m/>
    <m/>
    <m/>
    <m/>
    <m/>
    <m/>
    <m/>
    <m/>
    <m/>
    <m/>
    <m/>
    <m/>
    <m/>
    <m/>
    <m/>
  </r>
  <r>
    <n v="743"/>
    <d v="2025-04-23T00:00:00"/>
    <s v="ZBTO"/>
    <n v="9518714995"/>
    <n v="2"/>
    <s v="9518714995-2"/>
    <s v="May'25"/>
    <x v="0"/>
    <m/>
    <x v="4"/>
    <x v="13"/>
    <n v="1000"/>
    <m/>
    <x v="1"/>
    <m/>
    <m/>
    <s v="West Bengal"/>
    <m/>
    <m/>
    <m/>
    <n v="101122"/>
    <s v="JINDAL INDIA LIMITED"/>
    <n v="3988091"/>
    <s v="GL COIL HARD  Y550GL H7GL 0.440X1240"/>
    <n v="70"/>
    <m/>
    <m/>
    <m/>
    <m/>
    <s v="B04"/>
    <s v="Y550GL"/>
    <s v="H7GL"/>
    <n v="0.44"/>
    <n v="1240"/>
    <n v="0"/>
    <n v="252"/>
    <n v="0"/>
    <n v="252"/>
    <n v="252"/>
    <n v="252"/>
    <n v="172.565"/>
    <n v="0"/>
    <n v="0"/>
    <n v="0"/>
    <n v="24.6"/>
    <n v="0"/>
    <n v="48.9"/>
    <n v="0"/>
    <n v="13.67"/>
    <n v="0"/>
    <n v="0"/>
    <n v="0"/>
    <n v="0"/>
    <n v="0"/>
    <n v="0"/>
    <n v="0"/>
    <n v="0"/>
    <n v="0"/>
    <n v="0"/>
    <n v="90.545000000000002"/>
    <n v="177.715"/>
    <m/>
    <m/>
    <m/>
    <m/>
    <n v="107.34"/>
    <n v="172.565"/>
    <n v="172.565"/>
    <n v="0"/>
    <n v="0"/>
    <n v="0"/>
    <n v="0"/>
    <n v="0"/>
    <n v="0"/>
    <n v="0"/>
    <n v="0"/>
    <n v="0"/>
    <n v="0"/>
    <m/>
    <m/>
    <m/>
    <m/>
    <m/>
    <m/>
    <m/>
    <m/>
    <m/>
    <m/>
    <m/>
    <m/>
    <m/>
    <m/>
    <m/>
    <m/>
    <m/>
    <m/>
    <m/>
    <m/>
    <m/>
    <m/>
    <m/>
    <m/>
    <m/>
    <m/>
    <m/>
    <m/>
    <m/>
    <m/>
    <m/>
    <m/>
    <m/>
    <m/>
    <m/>
  </r>
  <r>
    <n v="743"/>
    <d v="2025-04-23T00:00:00"/>
    <s v="ZBTO"/>
    <n v="9518714995"/>
    <n v="3"/>
    <s v="9518714995-3"/>
    <s v="May'25"/>
    <x v="0"/>
    <m/>
    <x v="4"/>
    <x v="13"/>
    <n v="1000"/>
    <n v="1400"/>
    <x v="1"/>
    <m/>
    <m/>
    <s v="West Bengal"/>
    <m/>
    <m/>
    <m/>
    <n v="101122"/>
    <s v="JINDAL INDIA LIMITED"/>
    <n v="3988091"/>
    <s v="GL COIL HARD  Y550GL H7GL 0.440X1240"/>
    <n v="70"/>
    <m/>
    <m/>
    <m/>
    <m/>
    <s v="B04"/>
    <s v="Y550GL"/>
    <s v="H7GL"/>
    <n v="0.44"/>
    <n v="1240"/>
    <n v="0"/>
    <n v="252"/>
    <n v="0"/>
    <n v="252"/>
    <n v="252"/>
    <n v="252"/>
    <n v="252"/>
    <n v="0"/>
    <n v="0"/>
    <n v="28.81"/>
    <n v="28.68"/>
    <n v="0"/>
    <n v="0"/>
    <n v="0"/>
    <n v="6.0200000000000005"/>
    <n v="0"/>
    <n v="0"/>
    <n v="0"/>
    <n v="0"/>
    <n v="0"/>
    <n v="0"/>
    <n v="0"/>
    <n v="0"/>
    <n v="0"/>
    <n v="0"/>
    <n v="26.76"/>
    <n v="90.27"/>
    <m/>
    <m/>
    <m/>
    <m/>
    <n v="13.29"/>
    <n v="252"/>
    <n v="0"/>
    <n v="252"/>
    <n v="0"/>
    <n v="0"/>
    <n v="0"/>
    <n v="252"/>
    <n v="0"/>
    <n v="252"/>
    <n v="0"/>
    <n v="0"/>
    <n v="0"/>
    <m/>
    <m/>
    <m/>
    <m/>
    <m/>
    <m/>
    <m/>
    <m/>
    <m/>
    <m/>
    <m/>
    <m/>
    <m/>
    <m/>
    <m/>
    <m/>
    <m/>
    <m/>
    <m/>
    <m/>
    <m/>
    <m/>
    <m/>
    <m/>
    <m/>
    <m/>
    <m/>
    <m/>
    <m/>
    <m/>
    <m/>
    <m/>
    <m/>
    <m/>
    <m/>
  </r>
  <r>
    <n v="743"/>
    <d v="2025-04-23T00:00:00"/>
    <s v="ZBTO"/>
    <n v="9518714995"/>
    <n v="4"/>
    <s v="9518714995-4"/>
    <s v="May'25"/>
    <x v="0"/>
    <m/>
    <x v="4"/>
    <x v="13"/>
    <n v="1000"/>
    <m/>
    <x v="1"/>
    <m/>
    <m/>
    <s v="West Bengal"/>
    <m/>
    <m/>
    <m/>
    <n v="101122"/>
    <s v="JINDAL INDIA LIMITED"/>
    <n v="3988091"/>
    <s v="GL COIL HARD  Y550GL H7GL 0.440X1240"/>
    <n v="70"/>
    <m/>
    <m/>
    <m/>
    <m/>
    <s v="B04"/>
    <s v="Y550GL"/>
    <s v="H7GL"/>
    <n v="0.44"/>
    <n v="1240"/>
    <n v="0"/>
    <n v="252"/>
    <n v="0"/>
    <n v="252"/>
    <n v="252"/>
    <n v="252"/>
    <n v="252"/>
    <n v="0"/>
    <n v="0"/>
    <n v="0"/>
    <n v="0"/>
    <n v="0"/>
    <n v="0"/>
    <n v="0"/>
    <n v="0"/>
    <n v="0"/>
    <n v="0"/>
    <n v="0"/>
    <n v="0"/>
    <n v="0"/>
    <n v="0"/>
    <n v="0"/>
    <n v="0"/>
    <n v="0"/>
    <n v="0"/>
    <n v="0"/>
    <n v="0"/>
    <m/>
    <m/>
    <m/>
    <m/>
    <n v="0"/>
    <n v="252"/>
    <n v="0"/>
    <n v="252"/>
    <n v="0"/>
    <n v="0"/>
    <n v="0"/>
    <n v="252"/>
    <n v="0"/>
    <n v="252"/>
    <n v="0"/>
    <n v="0"/>
    <n v="0"/>
    <m/>
    <m/>
    <m/>
    <m/>
    <m/>
    <m/>
    <m/>
    <m/>
    <m/>
    <m/>
    <m/>
    <m/>
    <m/>
    <m/>
    <m/>
    <m/>
    <m/>
    <m/>
    <m/>
    <m/>
    <m/>
    <m/>
    <m/>
    <m/>
    <m/>
    <m/>
    <m/>
    <m/>
    <m/>
    <m/>
    <m/>
    <m/>
    <m/>
    <m/>
    <m/>
  </r>
  <r>
    <n v="743"/>
    <d v="2025-04-23T00:00:00"/>
    <s v="ZBTO"/>
    <n v="9518714995"/>
    <n v="5"/>
    <s v="9518714995-5"/>
    <s v="May'25"/>
    <x v="0"/>
    <m/>
    <x v="4"/>
    <x v="13"/>
    <n v="1000"/>
    <m/>
    <x v="1"/>
    <m/>
    <m/>
    <s v="West Bengal"/>
    <m/>
    <m/>
    <m/>
    <n v="101122"/>
    <s v="JINDAL INDIA LIMITED"/>
    <n v="3988091"/>
    <s v="GL COIL HARD  Y550GL H7GL 0.440X1240"/>
    <n v="70"/>
    <m/>
    <m/>
    <m/>
    <m/>
    <s v="B04"/>
    <s v="Y550GL"/>
    <s v="H7GL"/>
    <n v="0.44"/>
    <n v="1240"/>
    <n v="0"/>
    <n v="252"/>
    <n v="0"/>
    <n v="252"/>
    <n v="252"/>
    <n v="252"/>
    <n v="252"/>
    <n v="0"/>
    <n v="0"/>
    <n v="0"/>
    <n v="0"/>
    <n v="0"/>
    <n v="0"/>
    <n v="0"/>
    <n v="0"/>
    <n v="0"/>
    <n v="0"/>
    <n v="0"/>
    <n v="0"/>
    <n v="0"/>
    <n v="0"/>
    <n v="0"/>
    <n v="0"/>
    <n v="0"/>
    <n v="0"/>
    <n v="0"/>
    <n v="0"/>
    <m/>
    <m/>
    <m/>
    <m/>
    <n v="0"/>
    <n v="252"/>
    <n v="0"/>
    <n v="0"/>
    <n v="0"/>
    <n v="252"/>
    <n v="0"/>
    <n v="0"/>
    <n v="0"/>
    <n v="0"/>
    <n v="0"/>
    <n v="0"/>
    <n v="0"/>
    <m/>
    <m/>
    <m/>
    <m/>
    <m/>
    <m/>
    <m/>
    <m/>
    <m/>
    <m/>
    <m/>
    <m/>
    <m/>
    <m/>
    <m/>
    <m/>
    <m/>
    <m/>
    <m/>
    <m/>
    <m/>
    <m/>
    <m/>
    <m/>
    <m/>
    <m/>
    <m/>
    <m/>
    <m/>
    <m/>
    <m/>
    <m/>
    <m/>
    <m/>
    <m/>
  </r>
  <r>
    <n v="743"/>
    <d v="2025-04-23T00:00:00"/>
    <s v="ZBTO"/>
    <n v="9518714995"/>
    <n v="6"/>
    <s v="9518714995-6"/>
    <s v="May'25"/>
    <x v="0"/>
    <m/>
    <x v="4"/>
    <x v="13"/>
    <n v="1000"/>
    <m/>
    <x v="1"/>
    <m/>
    <m/>
    <s v="West Bengal"/>
    <m/>
    <m/>
    <m/>
    <n v="101122"/>
    <s v="JINDAL INDIA LIMITED"/>
    <n v="3988091"/>
    <s v="GL COIL HARD  Y550GL H7GL 0.440X1240"/>
    <n v="70"/>
    <m/>
    <m/>
    <m/>
    <m/>
    <s v="B04"/>
    <s v="Y550GL"/>
    <s v="H7GL"/>
    <n v="0.44"/>
    <n v="1240"/>
    <n v="0"/>
    <n v="252"/>
    <n v="0"/>
    <n v="252"/>
    <n v="252"/>
    <n v="252"/>
    <n v="252"/>
    <n v="0"/>
    <n v="0"/>
    <n v="0"/>
    <n v="0"/>
    <n v="0"/>
    <n v="0"/>
    <n v="0"/>
    <n v="0"/>
    <n v="0"/>
    <n v="0"/>
    <n v="0"/>
    <n v="0"/>
    <n v="0"/>
    <n v="0"/>
    <n v="0"/>
    <n v="0"/>
    <n v="0"/>
    <n v="0"/>
    <n v="0"/>
    <n v="0"/>
    <m/>
    <m/>
    <m/>
    <m/>
    <n v="0"/>
    <n v="252"/>
    <n v="0"/>
    <n v="0"/>
    <n v="0"/>
    <n v="0"/>
    <n v="252"/>
    <n v="0"/>
    <n v="0"/>
    <n v="0"/>
    <n v="0"/>
    <n v="0"/>
    <n v="0"/>
    <m/>
    <m/>
    <m/>
    <m/>
    <m/>
    <m/>
    <m/>
    <m/>
    <m/>
    <m/>
    <m/>
    <m/>
    <m/>
    <m/>
    <m/>
    <m/>
    <m/>
    <m/>
    <m/>
    <m/>
    <m/>
    <m/>
    <m/>
    <m/>
    <m/>
    <m/>
    <m/>
    <m/>
    <m/>
    <m/>
    <m/>
    <m/>
    <m/>
    <m/>
    <m/>
  </r>
  <r>
    <n v="743"/>
    <d v="2025-04-23T00:00:00"/>
    <s v="ZBTO"/>
    <n v="9518714995"/>
    <n v="7"/>
    <s v="9518714995-7"/>
    <s v="No Priority"/>
    <x v="0"/>
    <m/>
    <x v="4"/>
    <x v="13"/>
    <n v="1000"/>
    <m/>
    <x v="0"/>
    <m/>
    <m/>
    <s v="West Bengal"/>
    <m/>
    <m/>
    <m/>
    <n v="101122"/>
    <s v="JINDAL INDIA LIMITED"/>
    <n v="3988091"/>
    <s v="GL COIL HARD  Y550GL H7GL 0.440X1240"/>
    <n v="70"/>
    <m/>
    <m/>
    <m/>
    <m/>
    <s v="B04"/>
    <s v="Y550GL"/>
    <s v="H7GL"/>
    <n v="0.44"/>
    <n v="1240"/>
    <n v="0"/>
    <n v="252"/>
    <n v="0"/>
    <n v="252"/>
    <n v="252"/>
    <n v="252"/>
    <n v="252"/>
    <n v="0"/>
    <n v="0"/>
    <n v="0"/>
    <n v="0"/>
    <n v="0"/>
    <n v="0"/>
    <n v="0"/>
    <n v="0"/>
    <n v="0"/>
    <n v="0"/>
    <n v="0"/>
    <n v="0"/>
    <n v="0"/>
    <n v="0"/>
    <n v="0"/>
    <n v="0"/>
    <n v="0"/>
    <n v="0"/>
    <n v="0"/>
    <n v="0"/>
    <m/>
    <m/>
    <m/>
    <m/>
    <n v="0"/>
    <n v="0"/>
    <n v="0"/>
    <n v="0"/>
    <n v="0"/>
    <n v="0"/>
    <n v="0"/>
    <n v="0"/>
    <n v="0"/>
    <n v="0"/>
    <n v="0"/>
    <n v="0"/>
    <n v="0"/>
    <m/>
    <m/>
    <m/>
    <m/>
    <m/>
    <m/>
    <m/>
    <m/>
    <m/>
    <m/>
    <m/>
    <m/>
    <m/>
    <m/>
    <m/>
    <m/>
    <m/>
    <m/>
    <m/>
    <m/>
    <m/>
    <m/>
    <m/>
    <m/>
    <m/>
    <m/>
    <m/>
    <m/>
    <m/>
    <m/>
    <m/>
    <m/>
    <m/>
    <m/>
    <m/>
  </r>
  <r>
    <n v="743"/>
    <d v="2025-04-23T00:00:00"/>
    <s v="ZBTO"/>
    <n v="9518714995"/>
    <n v="8"/>
    <s v="9518714995-8"/>
    <s v="No Priority"/>
    <x v="0"/>
    <m/>
    <x v="4"/>
    <x v="13"/>
    <n v="1000"/>
    <m/>
    <x v="0"/>
    <m/>
    <m/>
    <s v="West Bengal"/>
    <m/>
    <m/>
    <m/>
    <n v="101122"/>
    <s v="JINDAL INDIA LIMITED"/>
    <n v="3988091"/>
    <s v="GL COIL HARD  Y550GL H7GL 0.440X1240"/>
    <n v="70"/>
    <m/>
    <m/>
    <m/>
    <m/>
    <s v="B04"/>
    <s v="Y550GL"/>
    <s v="H7GL"/>
    <n v="0.44"/>
    <n v="1240"/>
    <n v="0"/>
    <n v="252"/>
    <n v="0"/>
    <n v="252"/>
    <n v="252"/>
    <n v="252"/>
    <n v="252"/>
    <n v="0"/>
    <n v="0"/>
    <n v="0"/>
    <n v="0"/>
    <n v="0"/>
    <n v="0"/>
    <n v="0"/>
    <n v="0"/>
    <n v="0"/>
    <n v="0"/>
    <n v="0"/>
    <n v="0"/>
    <n v="0"/>
    <n v="0"/>
    <n v="0"/>
    <n v="0"/>
    <n v="0"/>
    <n v="0"/>
    <n v="0"/>
    <n v="0"/>
    <m/>
    <m/>
    <m/>
    <m/>
    <n v="0"/>
    <n v="0"/>
    <n v="0"/>
    <n v="0"/>
    <n v="0"/>
    <n v="0"/>
    <n v="0"/>
    <n v="0"/>
    <n v="0"/>
    <n v="0"/>
    <n v="0"/>
    <n v="0"/>
    <n v="0"/>
    <m/>
    <m/>
    <m/>
    <m/>
    <m/>
    <m/>
    <m/>
    <m/>
    <m/>
    <m/>
    <m/>
    <m/>
    <m/>
    <m/>
    <m/>
    <m/>
    <m/>
    <m/>
    <m/>
    <m/>
    <m/>
    <m/>
    <m/>
    <m/>
    <m/>
    <m/>
    <m/>
    <m/>
    <m/>
    <m/>
    <m/>
    <m/>
    <m/>
    <m/>
    <m/>
  </r>
  <r>
    <n v="743"/>
    <d v="2025-04-23T00:00:00"/>
    <s v="ZBTO"/>
    <n v="9518714995"/>
    <n v="9"/>
    <s v="9518714995-9"/>
    <s v="No Priority"/>
    <x v="0"/>
    <m/>
    <x v="4"/>
    <x v="13"/>
    <n v="1000"/>
    <m/>
    <x v="0"/>
    <m/>
    <m/>
    <s v="West Bengal"/>
    <m/>
    <m/>
    <m/>
    <n v="101122"/>
    <s v="JINDAL INDIA LIMITED"/>
    <n v="3988091"/>
    <s v="GL COIL HARD  Y550GL H7GL 0.440X1240"/>
    <n v="70"/>
    <m/>
    <m/>
    <m/>
    <m/>
    <s v="B04"/>
    <s v="Y550GL"/>
    <s v="H7GL"/>
    <n v="0.44"/>
    <n v="1240"/>
    <n v="0"/>
    <n v="252"/>
    <n v="0"/>
    <n v="252"/>
    <n v="252"/>
    <n v="252"/>
    <n v="252"/>
    <n v="0"/>
    <n v="0"/>
    <n v="0"/>
    <n v="0"/>
    <n v="0"/>
    <n v="0"/>
    <n v="0"/>
    <n v="0"/>
    <n v="0"/>
    <n v="0"/>
    <n v="0"/>
    <n v="0"/>
    <n v="0"/>
    <n v="0"/>
    <n v="0"/>
    <n v="0"/>
    <n v="0"/>
    <n v="0"/>
    <n v="0"/>
    <n v="0"/>
    <m/>
    <m/>
    <m/>
    <m/>
    <n v="0"/>
    <n v="0"/>
    <n v="0"/>
    <n v="0"/>
    <n v="0"/>
    <n v="0"/>
    <n v="0"/>
    <n v="0"/>
    <n v="0"/>
    <n v="0"/>
    <n v="0"/>
    <n v="0"/>
    <n v="0"/>
    <m/>
    <m/>
    <m/>
    <m/>
    <m/>
    <m/>
    <m/>
    <m/>
    <m/>
    <m/>
    <m/>
    <m/>
    <m/>
    <m/>
    <m/>
    <m/>
    <m/>
    <m/>
    <m/>
    <m/>
    <m/>
    <m/>
    <m/>
    <m/>
    <m/>
    <m/>
    <m/>
    <m/>
    <m/>
    <m/>
    <m/>
    <m/>
    <m/>
    <m/>
    <m/>
  </r>
  <r>
    <n v="743"/>
    <d v="2025-04-23T00:00:00"/>
    <s v="ZBTO"/>
    <n v="9518714995"/>
    <n v="10"/>
    <s v="9518714995-10"/>
    <s v="No Priority"/>
    <x v="0"/>
    <m/>
    <x v="4"/>
    <x v="13"/>
    <n v="1000"/>
    <m/>
    <x v="0"/>
    <m/>
    <m/>
    <s v="West Bengal"/>
    <m/>
    <m/>
    <m/>
    <n v="101122"/>
    <s v="JINDAL INDIA LIMITED"/>
    <n v="3988091"/>
    <s v="GL COIL HARD  Y550GL H7GL 0.440X1240"/>
    <n v="70"/>
    <m/>
    <m/>
    <m/>
    <m/>
    <s v="B04"/>
    <s v="Y550GL"/>
    <s v="H7GL"/>
    <n v="0.44"/>
    <n v="1240"/>
    <n v="0"/>
    <n v="252"/>
    <n v="0"/>
    <n v="252"/>
    <n v="252"/>
    <n v="252"/>
    <n v="252"/>
    <n v="0"/>
    <n v="0"/>
    <n v="0"/>
    <n v="0"/>
    <n v="0"/>
    <n v="0"/>
    <n v="0"/>
    <n v="0"/>
    <n v="0"/>
    <n v="0"/>
    <n v="0"/>
    <n v="0"/>
    <n v="0"/>
    <n v="0"/>
    <n v="0"/>
    <n v="0"/>
    <n v="0"/>
    <n v="0"/>
    <n v="0"/>
    <n v="0"/>
    <m/>
    <m/>
    <m/>
    <m/>
    <n v="0"/>
    <n v="0"/>
    <n v="0"/>
    <n v="0"/>
    <n v="0"/>
    <n v="0"/>
    <n v="0"/>
    <n v="0"/>
    <n v="0"/>
    <n v="0"/>
    <n v="0"/>
    <n v="0"/>
    <n v="0"/>
    <m/>
    <m/>
    <m/>
    <m/>
    <m/>
    <m/>
    <m/>
    <m/>
    <m/>
    <m/>
    <m/>
    <m/>
    <m/>
    <m/>
    <m/>
    <m/>
    <m/>
    <m/>
    <m/>
    <m/>
    <m/>
    <m/>
    <m/>
    <m/>
    <m/>
    <m/>
    <m/>
    <m/>
    <m/>
    <m/>
    <m/>
    <m/>
    <m/>
    <m/>
    <m/>
  </r>
  <r>
    <n v="743"/>
    <d v="2025-04-23T00:00:00"/>
    <s v="ZBTO"/>
    <n v="9518714995"/>
    <n v="11"/>
    <s v="9518714995-11"/>
    <s v="No Priority"/>
    <x v="0"/>
    <m/>
    <x v="4"/>
    <x v="13"/>
    <n v="1000"/>
    <m/>
    <x v="0"/>
    <m/>
    <m/>
    <s v="West Bengal"/>
    <m/>
    <m/>
    <m/>
    <n v="101122"/>
    <s v="JINDAL INDIA LIMITED"/>
    <n v="3988091"/>
    <s v="GL COIL HARD  Y550GL H7GL 0.440X1240"/>
    <n v="70"/>
    <m/>
    <m/>
    <m/>
    <m/>
    <s v="B04"/>
    <s v="Y550GL"/>
    <s v="H7GL"/>
    <n v="0.44"/>
    <n v="1240"/>
    <n v="0"/>
    <n v="252"/>
    <n v="0"/>
    <n v="252"/>
    <n v="252"/>
    <n v="252"/>
    <n v="252"/>
    <n v="0"/>
    <n v="0"/>
    <n v="0"/>
    <n v="0"/>
    <n v="0"/>
    <n v="0"/>
    <n v="0"/>
    <n v="0"/>
    <n v="0"/>
    <n v="0"/>
    <n v="0"/>
    <n v="0"/>
    <n v="0"/>
    <n v="0"/>
    <n v="0"/>
    <n v="0"/>
    <n v="0"/>
    <n v="0"/>
    <n v="0"/>
    <n v="0"/>
    <m/>
    <m/>
    <m/>
    <m/>
    <n v="0"/>
    <n v="0"/>
    <n v="0"/>
    <n v="0"/>
    <n v="0"/>
    <n v="0"/>
    <n v="0"/>
    <n v="0"/>
    <n v="0"/>
    <n v="0"/>
    <n v="0"/>
    <n v="0"/>
    <n v="0"/>
    <m/>
    <m/>
    <m/>
    <m/>
    <m/>
    <m/>
    <m/>
    <m/>
    <m/>
    <m/>
    <m/>
    <m/>
    <m/>
    <m/>
    <m/>
    <m/>
    <m/>
    <m/>
    <m/>
    <m/>
    <m/>
    <m/>
    <m/>
    <m/>
    <m/>
    <m/>
    <m/>
    <m/>
    <m/>
    <m/>
    <m/>
    <m/>
    <m/>
    <m/>
    <m/>
  </r>
  <r>
    <n v="743"/>
    <d v="2025-04-23T00:00:00"/>
    <s v="ZBTO"/>
    <n v="9518714995"/>
    <n v="12"/>
    <s v="9518714995-12"/>
    <s v="No Priority"/>
    <x v="0"/>
    <m/>
    <x v="4"/>
    <x v="13"/>
    <n v="1000"/>
    <m/>
    <x v="0"/>
    <m/>
    <m/>
    <s v="West Bengal"/>
    <m/>
    <m/>
    <m/>
    <n v="101122"/>
    <s v="JINDAL INDIA LIMITED"/>
    <n v="3988091"/>
    <s v="GL COIL HARD  Y550GL H7GL 0.440X1240"/>
    <n v="70"/>
    <m/>
    <m/>
    <m/>
    <m/>
    <s v="B04"/>
    <s v="Y550GL"/>
    <s v="H7GL"/>
    <n v="0.44"/>
    <n v="1240"/>
    <n v="0"/>
    <n v="252"/>
    <n v="0"/>
    <n v="252"/>
    <n v="252"/>
    <n v="252"/>
    <n v="252"/>
    <n v="0"/>
    <n v="0"/>
    <n v="0"/>
    <n v="0"/>
    <n v="0"/>
    <n v="0"/>
    <n v="0"/>
    <n v="0"/>
    <n v="0"/>
    <n v="0"/>
    <n v="0"/>
    <n v="0"/>
    <n v="0"/>
    <n v="0"/>
    <n v="0"/>
    <n v="0"/>
    <n v="0"/>
    <n v="0"/>
    <n v="0"/>
    <n v="0"/>
    <m/>
    <m/>
    <m/>
    <m/>
    <n v="0"/>
    <n v="0"/>
    <n v="0"/>
    <n v="0"/>
    <n v="0"/>
    <n v="0"/>
    <n v="0"/>
    <n v="0"/>
    <n v="0"/>
    <n v="0"/>
    <n v="0"/>
    <n v="0"/>
    <n v="0"/>
    <m/>
    <m/>
    <m/>
    <m/>
    <m/>
    <m/>
    <m/>
    <m/>
    <m/>
    <m/>
    <m/>
    <m/>
    <m/>
    <m/>
    <m/>
    <m/>
    <m/>
    <m/>
    <m/>
    <m/>
    <m/>
    <m/>
    <m/>
    <m/>
    <m/>
    <m/>
    <m/>
    <m/>
    <m/>
    <m/>
    <m/>
    <m/>
    <m/>
    <m/>
    <m/>
  </r>
  <r>
    <n v="742"/>
    <m/>
    <m/>
    <m/>
    <m/>
    <m/>
    <s v="May'25"/>
    <x v="2"/>
    <m/>
    <x v="1"/>
    <x v="18"/>
    <n v="1000"/>
    <n v="500"/>
    <x v="1"/>
    <m/>
    <m/>
    <m/>
    <m/>
    <m/>
    <m/>
    <m/>
    <m/>
    <m/>
    <m/>
    <m/>
    <m/>
    <m/>
    <m/>
    <m/>
    <m/>
    <m/>
    <m/>
    <m/>
    <m/>
    <m/>
    <m/>
    <m/>
    <m/>
    <m/>
    <m/>
    <n v="500"/>
    <m/>
    <n v="0"/>
    <n v="0"/>
    <n v="0"/>
    <n v="0"/>
    <n v="0"/>
    <n v="0"/>
    <n v="0"/>
    <n v="0"/>
    <n v="0"/>
    <n v="0"/>
    <n v="0"/>
    <n v="0"/>
    <n v="0"/>
    <n v="0"/>
    <n v="0"/>
    <n v="0"/>
    <n v="0"/>
    <n v="0"/>
    <n v="0"/>
    <m/>
    <m/>
    <m/>
    <m/>
    <n v="0"/>
    <n v="300"/>
    <n v="0"/>
    <n v="0"/>
    <n v="0"/>
    <n v="0"/>
    <n v="300"/>
    <n v="0"/>
    <n v="0"/>
    <n v="0"/>
    <n v="0"/>
    <n v="0"/>
    <n v="0"/>
    <m/>
    <m/>
    <m/>
    <m/>
    <m/>
    <m/>
    <m/>
    <m/>
    <m/>
    <m/>
    <m/>
    <m/>
    <m/>
    <m/>
    <m/>
    <m/>
    <m/>
    <m/>
    <m/>
    <m/>
    <m/>
    <m/>
    <m/>
    <m/>
    <m/>
    <m/>
    <m/>
    <m/>
    <m/>
    <m/>
    <m/>
    <m/>
    <m/>
    <m/>
    <m/>
  </r>
  <r>
    <n v="743"/>
    <d v="2025-04-24T00:00:00"/>
    <s v="ZBTO"/>
    <n v="9518716203"/>
    <n v="1"/>
    <s v="9518716203-1"/>
    <s v="May'25"/>
    <x v="0"/>
    <m/>
    <x v="3"/>
    <x v="14"/>
    <s v="2000-BPRS"/>
    <m/>
    <x v="1"/>
    <m/>
    <m/>
    <s v="AHMEDABAD"/>
    <m/>
    <m/>
    <m/>
    <n v="931911"/>
    <s v="Hitkar Enterprises"/>
    <n v="1854410"/>
    <s v="GP COIL SOFT-TATXGP-GK09-0.4X1220"/>
    <m/>
    <m/>
    <m/>
    <m/>
    <m/>
    <s v="C02"/>
    <s v="TATXGP"/>
    <s v="GK09"/>
    <n v="0.4"/>
    <n v="1220"/>
    <n v="0"/>
    <n v="28"/>
    <n v="0"/>
    <n v="28"/>
    <n v="28"/>
    <n v="28"/>
    <n v="28"/>
    <n v="0"/>
    <n v="0"/>
    <n v="0"/>
    <n v="0"/>
    <n v="0"/>
    <n v="0"/>
    <n v="0"/>
    <n v="0"/>
    <n v="0"/>
    <n v="0"/>
    <n v="0"/>
    <n v="0"/>
    <n v="0"/>
    <n v="0"/>
    <n v="0"/>
    <n v="0"/>
    <n v="0"/>
    <n v="0"/>
    <n v="0"/>
    <n v="0"/>
    <m/>
    <m/>
    <m/>
    <m/>
    <n v="0"/>
    <n v="28"/>
    <n v="0"/>
    <n v="0"/>
    <n v="28"/>
    <n v="0"/>
    <n v="0"/>
    <n v="0"/>
    <n v="0"/>
    <n v="0"/>
    <n v="0"/>
    <n v="0"/>
    <n v="0"/>
    <m/>
    <m/>
    <m/>
    <m/>
    <m/>
    <m/>
    <m/>
    <m/>
    <m/>
    <m/>
    <m/>
    <m/>
    <m/>
    <m/>
    <m/>
    <m/>
    <m/>
    <m/>
    <m/>
    <m/>
    <m/>
    <m/>
    <m/>
    <m/>
    <m/>
    <m/>
    <m/>
    <m/>
    <m/>
    <m/>
    <m/>
    <m/>
    <m/>
    <m/>
    <m/>
  </r>
  <r>
    <n v="743"/>
    <d v="2025-04-24T00:00:00"/>
    <s v="ZBTO"/>
    <n v="9518716203"/>
    <n v="2"/>
    <s v="9518716203-2"/>
    <s v="May'25"/>
    <x v="0"/>
    <m/>
    <x v="3"/>
    <x v="14"/>
    <s v="2000-BPRS"/>
    <m/>
    <x v="1"/>
    <m/>
    <m/>
    <s v="AHMEDABAD"/>
    <m/>
    <m/>
    <m/>
    <n v="931911"/>
    <s v="Hitkar Enterprises"/>
    <n v="1851097"/>
    <s v="GP COIL SOFT-TATXGP-GK09-0.45X1220"/>
    <m/>
    <m/>
    <m/>
    <m/>
    <m/>
    <s v="C02"/>
    <s v="TATXGP"/>
    <s v="GK09"/>
    <n v="0.45"/>
    <n v="1220"/>
    <n v="0"/>
    <n v="28"/>
    <n v="0"/>
    <n v="28"/>
    <n v="28"/>
    <n v="28"/>
    <n v="28"/>
    <n v="0"/>
    <n v="0"/>
    <n v="0"/>
    <n v="0"/>
    <n v="0"/>
    <n v="0"/>
    <n v="0"/>
    <n v="0"/>
    <n v="0"/>
    <n v="0"/>
    <n v="0"/>
    <n v="0"/>
    <n v="0"/>
    <n v="0"/>
    <n v="0"/>
    <n v="0"/>
    <n v="0"/>
    <n v="0"/>
    <n v="0"/>
    <n v="0"/>
    <m/>
    <m/>
    <m/>
    <m/>
    <n v="0"/>
    <n v="28"/>
    <n v="0"/>
    <n v="0"/>
    <n v="28"/>
    <n v="0"/>
    <n v="0"/>
    <n v="0"/>
    <n v="0"/>
    <n v="0"/>
    <n v="0"/>
    <n v="0"/>
    <n v="0"/>
    <m/>
    <m/>
    <m/>
    <m/>
    <m/>
    <m/>
    <m/>
    <m/>
    <m/>
    <m/>
    <m/>
    <m/>
    <m/>
    <m/>
    <m/>
    <m/>
    <m/>
    <m/>
    <m/>
    <m/>
    <m/>
    <m/>
    <m/>
    <m/>
    <m/>
    <m/>
    <m/>
    <m/>
    <m/>
    <m/>
    <m/>
    <m/>
    <m/>
    <m/>
    <m/>
  </r>
  <r>
    <n v="743"/>
    <d v="2025-04-24T00:00:00"/>
    <s v="ZBTO"/>
    <n v="9518716203"/>
    <n v="3"/>
    <s v="9518716203-3"/>
    <s v="May'25"/>
    <x v="0"/>
    <m/>
    <x v="3"/>
    <x v="14"/>
    <s v="2000-BPRS"/>
    <m/>
    <x v="1"/>
    <m/>
    <m/>
    <s v="AHMEDABAD"/>
    <m/>
    <m/>
    <m/>
    <n v="931911"/>
    <s v="Hitkar Enterprises"/>
    <n v="1851101"/>
    <s v="GP COIL SOFT-TATXGP-GK09-0.5X1220"/>
    <m/>
    <m/>
    <m/>
    <m/>
    <m/>
    <s v="C02"/>
    <s v="TATXGP"/>
    <s v="GK09"/>
    <n v="0.5"/>
    <n v="1220"/>
    <n v="0"/>
    <n v="28"/>
    <n v="0"/>
    <n v="28"/>
    <n v="28"/>
    <n v="28"/>
    <n v="28"/>
    <n v="0"/>
    <n v="0"/>
    <n v="0"/>
    <n v="0"/>
    <n v="0"/>
    <n v="0"/>
    <n v="0"/>
    <n v="0"/>
    <n v="0"/>
    <n v="0"/>
    <n v="0"/>
    <n v="0"/>
    <n v="0"/>
    <n v="0"/>
    <n v="0"/>
    <n v="0"/>
    <n v="0"/>
    <n v="0"/>
    <n v="0"/>
    <n v="0"/>
    <m/>
    <m/>
    <m/>
    <m/>
    <n v="0"/>
    <n v="28"/>
    <n v="0"/>
    <n v="0"/>
    <n v="28"/>
    <n v="0"/>
    <n v="0"/>
    <n v="0"/>
    <n v="0"/>
    <n v="0"/>
    <n v="0"/>
    <n v="0"/>
    <n v="0"/>
    <m/>
    <m/>
    <m/>
    <m/>
    <m/>
    <m/>
    <m/>
    <m/>
    <m/>
    <m/>
    <m/>
    <m/>
    <m/>
    <m/>
    <m/>
    <m/>
    <m/>
    <m/>
    <m/>
    <m/>
    <m/>
    <m/>
    <m/>
    <m/>
    <m/>
    <m/>
    <m/>
    <m/>
    <m/>
    <m/>
    <m/>
    <m/>
    <m/>
    <m/>
    <m/>
  </r>
  <r>
    <n v="743"/>
    <d v="2025-04-24T00:00:00"/>
    <s v="ZBTO"/>
    <n v="9518716203"/>
    <n v="4"/>
    <s v="9518716203-4"/>
    <s v="May'25"/>
    <x v="0"/>
    <m/>
    <x v="3"/>
    <x v="14"/>
    <s v="2000-BPRS"/>
    <m/>
    <x v="1"/>
    <m/>
    <m/>
    <s v="AHMEDABAD"/>
    <m/>
    <m/>
    <m/>
    <n v="931911"/>
    <s v="Hitkar Enterprises"/>
    <n v="1334725"/>
    <s v="GP COIL SOFT-TATXGP-GK09-0.6X1220"/>
    <m/>
    <m/>
    <m/>
    <m/>
    <m/>
    <s v="C02"/>
    <s v="TATXGP"/>
    <s v="GK09"/>
    <n v="0.6"/>
    <n v="1220"/>
    <n v="0"/>
    <n v="28"/>
    <n v="0"/>
    <n v="28"/>
    <n v="28"/>
    <n v="28"/>
    <n v="28"/>
    <n v="0"/>
    <n v="0"/>
    <n v="0"/>
    <n v="0"/>
    <n v="0"/>
    <n v="0"/>
    <n v="0"/>
    <n v="0"/>
    <n v="0"/>
    <n v="0"/>
    <n v="0"/>
    <n v="0"/>
    <n v="0"/>
    <n v="0"/>
    <n v="0"/>
    <n v="0"/>
    <n v="0"/>
    <n v="0"/>
    <n v="0"/>
    <n v="0"/>
    <m/>
    <m/>
    <m/>
    <m/>
    <n v="0"/>
    <n v="28"/>
    <n v="0"/>
    <n v="0"/>
    <n v="28"/>
    <n v="0"/>
    <n v="0"/>
    <n v="0"/>
    <n v="0"/>
    <n v="0"/>
    <n v="0"/>
    <n v="0"/>
    <n v="0"/>
    <m/>
    <m/>
    <m/>
    <m/>
    <m/>
    <m/>
    <m/>
    <m/>
    <m/>
    <m/>
    <m/>
    <m/>
    <m/>
    <m/>
    <m/>
    <m/>
    <m/>
    <m/>
    <m/>
    <m/>
    <m/>
    <m/>
    <m/>
    <m/>
    <m/>
    <m/>
    <m/>
    <m/>
    <m/>
    <m/>
    <m/>
    <m/>
    <m/>
    <m/>
    <m/>
  </r>
  <r>
    <n v="743"/>
    <d v="2025-04-22T00:00:00"/>
    <s v="ZBTO"/>
    <n v="9518712210"/>
    <n v="7"/>
    <s v="9518712210-7"/>
    <s v="May'25 additional"/>
    <x v="0"/>
    <s v="Yes"/>
    <x v="4"/>
    <x v="3"/>
    <s v="1000-IPPE"/>
    <m/>
    <x v="1"/>
    <m/>
    <m/>
    <m/>
    <m/>
    <s v=" "/>
    <m/>
    <n v="942283"/>
    <s v="TATA BLUESCOPE STEEL PRIVATE LIMITE"/>
    <n v="1881969"/>
    <s v="GL C YS550 H6GL 0.45BMT(0.50TCT)X1220"/>
    <s v="AZ150"/>
    <m/>
    <n v="3"/>
    <n v="5"/>
    <m/>
    <s v="B04"/>
    <s v="Y550GL"/>
    <s v="H6GL"/>
    <n v="0.45"/>
    <n v="1220"/>
    <n v="0"/>
    <n v="196"/>
    <n v="0"/>
    <n v="196"/>
    <n v="196"/>
    <n v="196"/>
    <n v="196"/>
    <n v="0"/>
    <n v="0"/>
    <n v="0"/>
    <n v="0"/>
    <n v="0"/>
    <n v="0"/>
    <n v="0"/>
    <n v="0"/>
    <n v="0"/>
    <n v="0"/>
    <n v="0"/>
    <n v="0"/>
    <n v="0"/>
    <n v="0"/>
    <n v="0"/>
    <n v="0"/>
    <n v="0"/>
    <n v="0"/>
    <n v="0"/>
    <n v="0"/>
    <m/>
    <m/>
    <m/>
    <m/>
    <n v="0"/>
    <n v="196"/>
    <n v="0"/>
    <n v="0"/>
    <n v="0"/>
    <n v="196"/>
    <n v="0"/>
    <n v="0"/>
    <n v="0"/>
    <n v="0"/>
    <n v="0"/>
    <n v="0"/>
    <n v="0"/>
    <m/>
    <m/>
    <m/>
    <m/>
    <m/>
    <m/>
    <m/>
    <m/>
    <m/>
    <m/>
    <m/>
    <m/>
    <m/>
    <m/>
    <m/>
    <m/>
    <m/>
    <m/>
    <m/>
    <m/>
    <m/>
    <m/>
    <m/>
    <m/>
    <m/>
    <m/>
    <m/>
    <m/>
    <m/>
    <m/>
    <m/>
    <m/>
    <m/>
    <m/>
    <m/>
  </r>
  <r>
    <n v="743"/>
    <d v="2025-04-22T00:00:00"/>
    <s v="ZBTO"/>
    <n v="9518712491"/>
    <n v="1"/>
    <s v="9518712491-1"/>
    <s v="May'25 additional"/>
    <x v="0"/>
    <m/>
    <x v="4"/>
    <x v="5"/>
    <s v="1000-IPPE"/>
    <m/>
    <x v="1"/>
    <m/>
    <m/>
    <m/>
    <m/>
    <s v="VALPARAI"/>
    <m/>
    <n v="947775"/>
    <s v="ZARON METAL SECTIONS"/>
    <n v="3886090"/>
    <s v="GL COIL HARD  Y550GL GL6H 0.900X1250"/>
    <s v="AZ150"/>
    <m/>
    <n v="10"/>
    <n v="25"/>
    <m/>
    <s v="B04"/>
    <s v="Y550GL"/>
    <s v="GL6H"/>
    <n v="0.9"/>
    <n v="1250"/>
    <n v="0"/>
    <n v="116"/>
    <n v="0"/>
    <n v="116"/>
    <n v="116"/>
    <n v="116"/>
    <n v="116"/>
    <n v="0"/>
    <n v="0"/>
    <n v="0"/>
    <n v="0"/>
    <n v="0"/>
    <n v="0"/>
    <n v="0"/>
    <n v="0"/>
    <n v="0"/>
    <n v="0"/>
    <n v="0"/>
    <n v="0"/>
    <n v="0"/>
    <n v="0"/>
    <n v="0"/>
    <n v="0"/>
    <n v="0"/>
    <n v="0"/>
    <n v="0"/>
    <n v="0"/>
    <m/>
    <m/>
    <m/>
    <m/>
    <n v="0"/>
    <n v="116"/>
    <n v="0"/>
    <n v="0"/>
    <n v="0"/>
    <n v="0"/>
    <n v="116"/>
    <n v="0"/>
    <n v="0"/>
    <n v="0"/>
    <n v="0"/>
    <n v="0"/>
    <n v="0"/>
    <m/>
    <m/>
    <m/>
    <m/>
    <m/>
    <m/>
    <m/>
    <m/>
    <m/>
    <m/>
    <m/>
    <m/>
    <m/>
    <m/>
    <m/>
    <m/>
    <m/>
    <m/>
    <m/>
    <m/>
    <m/>
    <m/>
    <m/>
    <m/>
    <m/>
    <m/>
    <m/>
    <m/>
    <m/>
    <m/>
    <m/>
    <m/>
    <m/>
    <m/>
    <m/>
  </r>
  <r>
    <n v="743"/>
    <d v="2025-04-22T00:00:00"/>
    <s v="ZBTO"/>
    <n v="9518711518"/>
    <n v="1"/>
    <s v="9518711518-1"/>
    <s v="No Priority"/>
    <x v="0"/>
    <m/>
    <x v="4"/>
    <x v="3"/>
    <s v="1000-IPPE"/>
    <m/>
    <x v="1"/>
    <m/>
    <m/>
    <m/>
    <m/>
    <s v="TAMILNADU"/>
    <m/>
    <n v="942294"/>
    <s v="TATA BLUESCOPE STEEL PRIVATE LIMITE"/>
    <n v="3946362"/>
    <s v="GL COIL HARD Y550GL M308 0.47 (TCT)X1220"/>
    <s v="AZ150"/>
    <m/>
    <n v="3"/>
    <n v="5"/>
    <m/>
    <s v="B04"/>
    <s v="Y550GL"/>
    <s v="M308"/>
    <n v="0.47"/>
    <n v="1220"/>
    <n v="0"/>
    <n v="280"/>
    <n v="0"/>
    <n v="280"/>
    <n v="280"/>
    <n v="280"/>
    <n v="280"/>
    <n v="0"/>
    <n v="0"/>
    <n v="0"/>
    <n v="0"/>
    <n v="0"/>
    <n v="0"/>
    <n v="0"/>
    <n v="0"/>
    <n v="0"/>
    <n v="0"/>
    <n v="0"/>
    <n v="0"/>
    <n v="0"/>
    <n v="0"/>
    <n v="0"/>
    <n v="0"/>
    <n v="0"/>
    <n v="0"/>
    <n v="0"/>
    <n v="0"/>
    <m/>
    <m/>
    <m/>
    <m/>
    <n v="0"/>
    <n v="280"/>
    <n v="0"/>
    <n v="0"/>
    <n v="0"/>
    <n v="280"/>
    <n v="0"/>
    <n v="0"/>
    <n v="0"/>
    <n v="0"/>
    <n v="0"/>
    <n v="0"/>
    <n v="0"/>
    <m/>
    <m/>
    <m/>
    <m/>
    <m/>
    <m/>
    <m/>
    <m/>
    <m/>
    <m/>
    <m/>
    <m/>
    <m/>
    <m/>
    <m/>
    <m/>
    <m/>
    <m/>
    <m/>
    <m/>
    <m/>
    <m/>
    <m/>
    <m/>
    <m/>
    <m/>
    <m/>
    <m/>
    <m/>
    <m/>
    <m/>
    <m/>
    <m/>
    <m/>
    <m/>
  </r>
  <r>
    <n v="742"/>
    <d v="2025-04-17T00:00:00"/>
    <s v="ZBTF"/>
    <n v="4000504653"/>
    <n v="2"/>
    <s v="4000504653-2"/>
    <s v="May'25 additional"/>
    <x v="0"/>
    <m/>
    <x v="0"/>
    <x v="6"/>
    <s v="2000-BPRS"/>
    <m/>
    <x v="1"/>
    <m/>
    <m/>
    <m/>
    <m/>
    <s v="YESHWANTHPURA"/>
    <m/>
    <n v="650789"/>
    <s v="Hosur Tube Plant"/>
    <n v="3226987"/>
    <s v="HR COILS-PO THR099 HR99 1.90X1250"/>
    <s v=" "/>
    <m/>
    <n v="10"/>
    <n v="27"/>
    <m/>
    <n v="768"/>
    <s v="THR099"/>
    <s v="HR99"/>
    <n v="1.9"/>
    <n v="1250"/>
    <n v="0"/>
    <n v="250"/>
    <n v="0"/>
    <n v="200"/>
    <n v="200"/>
    <n v="200"/>
    <n v="250"/>
    <n v="0"/>
    <n v="0"/>
    <n v="0"/>
    <n v="0"/>
    <n v="0"/>
    <n v="0"/>
    <n v="0"/>
    <n v="0"/>
    <n v="0"/>
    <n v="0"/>
    <n v="0"/>
    <n v="0"/>
    <n v="0"/>
    <n v="0"/>
    <n v="0"/>
    <n v="0"/>
    <n v="0"/>
    <n v="0"/>
    <n v="0"/>
    <n v="0"/>
    <m/>
    <m/>
    <m/>
    <m/>
    <n v="0"/>
    <n v="250"/>
    <n v="0"/>
    <n v="0"/>
    <n v="0"/>
    <n v="250"/>
    <n v="0"/>
    <n v="0"/>
    <n v="0"/>
    <n v="0"/>
    <n v="0"/>
    <n v="0"/>
    <n v="0"/>
    <m/>
    <m/>
    <m/>
    <m/>
    <m/>
    <m/>
    <m/>
    <m/>
    <m/>
    <m/>
    <m/>
    <m/>
    <m/>
    <m/>
    <m/>
    <m/>
    <m/>
    <m/>
    <m/>
    <m/>
    <m/>
    <m/>
    <m/>
    <m/>
    <m/>
    <m/>
    <m/>
    <m/>
    <m/>
    <m/>
    <m/>
    <m/>
    <m/>
    <m/>
    <m/>
  </r>
  <r>
    <n v="742"/>
    <d v="2025-04-17T00:00:00"/>
    <s v="ZBTF"/>
    <n v="4000504653"/>
    <n v="3"/>
    <s v="4000504653-3"/>
    <s v="May'25 additional"/>
    <x v="0"/>
    <m/>
    <x v="0"/>
    <x v="6"/>
    <s v="2000-BPRS"/>
    <m/>
    <x v="1"/>
    <m/>
    <m/>
    <m/>
    <m/>
    <s v="YESHWANTHPURA"/>
    <m/>
    <n v="650789"/>
    <s v="Hosur Tube Plant"/>
    <n v="1210083"/>
    <s v="HR COILS-PO IS 1079 HR2 2X1250"/>
    <s v=" "/>
    <m/>
    <n v="10"/>
    <n v="27"/>
    <m/>
    <n v="768"/>
    <s v="THR099"/>
    <s v="HR99"/>
    <n v="2"/>
    <n v="1250"/>
    <n v="0"/>
    <n v="200"/>
    <n v="0"/>
    <n v="100"/>
    <n v="100"/>
    <n v="100"/>
    <n v="200"/>
    <n v="0"/>
    <n v="0"/>
    <n v="0"/>
    <n v="0"/>
    <n v="0"/>
    <n v="0"/>
    <n v="0"/>
    <n v="0"/>
    <n v="0"/>
    <n v="0"/>
    <n v="0"/>
    <n v="0"/>
    <n v="0"/>
    <n v="0"/>
    <n v="0"/>
    <n v="0"/>
    <n v="0"/>
    <n v="0"/>
    <n v="0"/>
    <n v="0"/>
    <m/>
    <m/>
    <m/>
    <m/>
    <n v="0"/>
    <n v="200"/>
    <n v="0"/>
    <n v="200"/>
    <n v="0"/>
    <n v="0"/>
    <n v="0"/>
    <n v="200"/>
    <n v="0"/>
    <n v="200"/>
    <n v="0"/>
    <n v="0"/>
    <n v="0"/>
    <m/>
    <m/>
    <m/>
    <m/>
    <m/>
    <m/>
    <m/>
    <m/>
    <m/>
    <m/>
    <m/>
    <m/>
    <m/>
    <m/>
    <m/>
    <m/>
    <m/>
    <m/>
    <m/>
    <m/>
    <m/>
    <m/>
    <m/>
    <m/>
    <m/>
    <m/>
    <m/>
    <m/>
    <m/>
    <m/>
    <m/>
    <m/>
    <m/>
    <m/>
    <m/>
  </r>
  <r>
    <n v="742"/>
    <d v="2025-04-17T00:00:00"/>
    <s v="ZBTF"/>
    <n v="4000504653"/>
    <n v="4"/>
    <s v="4000504653-4"/>
    <s v="May'25 additional"/>
    <x v="0"/>
    <m/>
    <x v="0"/>
    <x v="6"/>
    <s v="2000-BPRS"/>
    <n v="700"/>
    <x v="1"/>
    <m/>
    <m/>
    <m/>
    <m/>
    <s v="YESHWANTHPURA"/>
    <m/>
    <n v="650789"/>
    <s v="Hosur Tube Plant"/>
    <n v="1371338"/>
    <s v="HR COILS-PO IS 1079 HR2 2.30X1250"/>
    <s v=" "/>
    <m/>
    <n v="10"/>
    <n v="27"/>
    <m/>
    <n v="768"/>
    <s v="THR099"/>
    <s v="HR99"/>
    <n v="2.2999999999999998"/>
    <n v="1250"/>
    <n v="0"/>
    <n v="200"/>
    <n v="0"/>
    <n v="200"/>
    <n v="200"/>
    <n v="200"/>
    <n v="200"/>
    <n v="0"/>
    <n v="0"/>
    <n v="0"/>
    <n v="0"/>
    <n v="0"/>
    <n v="0"/>
    <n v="0"/>
    <n v="0"/>
    <n v="0"/>
    <n v="0"/>
    <n v="0"/>
    <n v="0"/>
    <n v="0"/>
    <n v="0"/>
    <n v="0"/>
    <n v="0"/>
    <n v="0"/>
    <n v="0"/>
    <n v="0"/>
    <n v="0"/>
    <m/>
    <m/>
    <m/>
    <m/>
    <n v="0"/>
    <n v="200"/>
    <n v="0"/>
    <n v="0"/>
    <n v="200"/>
    <n v="0"/>
    <n v="0"/>
    <n v="0"/>
    <n v="0"/>
    <n v="0"/>
    <n v="0"/>
    <n v="0"/>
    <n v="0"/>
    <m/>
    <m/>
    <m/>
    <m/>
    <m/>
    <m/>
    <m/>
    <m/>
    <m/>
    <m/>
    <m/>
    <m/>
    <m/>
    <m/>
    <m/>
    <m/>
    <m/>
    <m/>
    <m/>
    <m/>
    <m/>
    <m/>
    <m/>
    <m/>
    <m/>
    <m/>
    <m/>
    <m/>
    <m/>
    <m/>
    <m/>
    <m/>
    <m/>
    <m/>
    <m/>
  </r>
  <r>
    <n v="742"/>
    <d v="2025-04-17T00:00:00"/>
    <s v="ZBTF"/>
    <n v="4000504653"/>
    <n v="5"/>
    <s v="4000504653-5"/>
    <s v="May'25 additional"/>
    <x v="0"/>
    <m/>
    <x v="0"/>
    <x v="6"/>
    <s v="2000-BPRS"/>
    <m/>
    <x v="1"/>
    <m/>
    <m/>
    <m/>
    <m/>
    <s v="YESHWANTHPURA"/>
    <m/>
    <n v="650789"/>
    <s v="Hosur Tube Plant"/>
    <n v="1250221"/>
    <s v="HR COILS-PO IS 1079 HR2 2.50X1250"/>
    <s v=" "/>
    <m/>
    <n v="10"/>
    <n v="25"/>
    <m/>
    <n v="768"/>
    <s v="THR099"/>
    <s v="HR99"/>
    <n v="2.5"/>
    <n v="1250"/>
    <n v="0"/>
    <n v="300"/>
    <n v="0"/>
    <n v="250"/>
    <n v="250"/>
    <n v="250"/>
    <n v="300"/>
    <n v="0"/>
    <n v="0"/>
    <n v="0"/>
    <n v="0"/>
    <n v="0"/>
    <n v="0"/>
    <n v="0"/>
    <n v="0"/>
    <n v="0"/>
    <n v="0"/>
    <n v="0"/>
    <n v="0"/>
    <n v="0"/>
    <n v="0"/>
    <n v="0"/>
    <n v="0"/>
    <n v="0"/>
    <n v="0"/>
    <n v="0"/>
    <n v="0"/>
    <m/>
    <m/>
    <m/>
    <m/>
    <n v="0"/>
    <n v="300"/>
    <n v="0"/>
    <n v="0"/>
    <n v="300"/>
    <n v="0"/>
    <n v="0"/>
    <n v="0"/>
    <n v="0"/>
    <n v="0"/>
    <n v="0"/>
    <n v="0"/>
    <n v="0"/>
    <m/>
    <m/>
    <m/>
    <m/>
    <m/>
    <m/>
    <m/>
    <m/>
    <m/>
    <m/>
    <m/>
    <m/>
    <m/>
    <m/>
    <m/>
    <m/>
    <m/>
    <m/>
    <m/>
    <m/>
    <m/>
    <m/>
    <m/>
    <m/>
    <m/>
    <m/>
    <m/>
    <m/>
    <m/>
    <m/>
    <m/>
    <m/>
    <m/>
    <m/>
    <m/>
  </r>
  <r>
    <n v="742"/>
    <d v="2025-04-17T00:00:00"/>
    <s v="ZBTF"/>
    <n v="4000504653"/>
    <n v="6"/>
    <s v="4000504653-6"/>
    <s v="No Priority"/>
    <x v="0"/>
    <m/>
    <x v="0"/>
    <x v="6"/>
    <s v="2000-BPRS"/>
    <m/>
    <x v="0"/>
    <m/>
    <m/>
    <m/>
    <m/>
    <s v="YESHWANTHPURA"/>
    <m/>
    <n v="650789"/>
    <s v="Hosur Tube Plant"/>
    <n v="1294719"/>
    <s v="HR COILS-POIS 1079 HR2  2.90X1250"/>
    <s v=" "/>
    <m/>
    <n v="10"/>
    <n v="27"/>
    <m/>
    <n v="768"/>
    <s v="THR099"/>
    <s v="HR99"/>
    <n v="2.9"/>
    <n v="1250"/>
    <n v="0"/>
    <n v="50"/>
    <n v="0"/>
    <n v="50"/>
    <n v="50"/>
    <n v="50"/>
    <n v="50"/>
    <n v="0"/>
    <n v="0"/>
    <n v="0"/>
    <n v="0"/>
    <n v="0"/>
    <n v="0"/>
    <n v="0"/>
    <n v="0"/>
    <n v="0"/>
    <n v="0"/>
    <n v="0"/>
    <n v="0"/>
    <n v="0"/>
    <n v="0"/>
    <n v="0"/>
    <n v="0"/>
    <n v="0"/>
    <n v="0"/>
    <n v="0"/>
    <n v="0"/>
    <m/>
    <m/>
    <m/>
    <m/>
    <n v="0"/>
    <n v="0"/>
    <n v="0"/>
    <n v="0"/>
    <n v="0"/>
    <n v="0"/>
    <n v="0"/>
    <n v="0"/>
    <n v="0"/>
    <n v="0"/>
    <n v="0"/>
    <n v="0"/>
    <n v="0"/>
    <m/>
    <m/>
    <m/>
    <m/>
    <m/>
    <m/>
    <m/>
    <m/>
    <m/>
    <m/>
    <m/>
    <m/>
    <m/>
    <m/>
    <m/>
    <m/>
    <m/>
    <m/>
    <m/>
    <m/>
    <m/>
    <m/>
    <m/>
    <m/>
    <m/>
    <m/>
    <m/>
    <m/>
    <m/>
    <m/>
    <m/>
    <m/>
    <m/>
    <m/>
    <m/>
  </r>
  <r>
    <n v="742"/>
    <d v="2025-04-17T00:00:00"/>
    <s v="ZBTF"/>
    <n v="4000504653"/>
    <n v="7"/>
    <s v="4000504653-7"/>
    <s v="No Priority"/>
    <x v="0"/>
    <m/>
    <x v="0"/>
    <x v="6"/>
    <s v="2000-BPRS"/>
    <m/>
    <x v="0"/>
    <m/>
    <m/>
    <m/>
    <m/>
    <s v="YESHWANTHPURA"/>
    <m/>
    <n v="650789"/>
    <s v="Hosur Tube Plant"/>
    <n v="1294722"/>
    <s v="HR COILS-PO IS 1079 HR2 3.15X1250"/>
    <s v=" "/>
    <m/>
    <n v="10"/>
    <n v="27"/>
    <m/>
    <n v="768"/>
    <s v="THR099"/>
    <s v="HR99"/>
    <n v="3.15"/>
    <n v="1250"/>
    <n v="0"/>
    <n v="50"/>
    <n v="0"/>
    <n v="50"/>
    <n v="50"/>
    <n v="50"/>
    <n v="50"/>
    <n v="0"/>
    <n v="0"/>
    <n v="0"/>
    <n v="0"/>
    <n v="0"/>
    <n v="0"/>
    <n v="0"/>
    <n v="0"/>
    <n v="0"/>
    <n v="0"/>
    <n v="0"/>
    <n v="0"/>
    <n v="0"/>
    <n v="0"/>
    <n v="0"/>
    <n v="0"/>
    <n v="0"/>
    <n v="0"/>
    <n v="0"/>
    <n v="0"/>
    <m/>
    <m/>
    <m/>
    <m/>
    <n v="0"/>
    <n v="0"/>
    <n v="0"/>
    <n v="0"/>
    <n v="0"/>
    <n v="0"/>
    <n v="0"/>
    <n v="0"/>
    <n v="0"/>
    <n v="0"/>
    <n v="0"/>
    <n v="0"/>
    <n v="0"/>
    <m/>
    <m/>
    <m/>
    <m/>
    <m/>
    <m/>
    <m/>
    <m/>
    <m/>
    <m/>
    <m/>
    <m/>
    <m/>
    <m/>
    <m/>
    <m/>
    <m/>
    <m/>
    <m/>
    <m/>
    <m/>
    <m/>
    <m/>
    <m/>
    <m/>
    <m/>
    <m/>
    <m/>
    <m/>
    <m/>
    <m/>
    <m/>
    <m/>
    <m/>
    <m/>
  </r>
  <r>
    <n v="742"/>
    <d v="2025-04-17T00:00:00"/>
    <s v="ZBTF"/>
    <n v="4000504653"/>
    <n v="8"/>
    <s v="4000504653-8"/>
    <s v="No Priority"/>
    <x v="0"/>
    <m/>
    <x v="0"/>
    <x v="6"/>
    <s v="2000-BPRS"/>
    <m/>
    <x v="0"/>
    <m/>
    <m/>
    <m/>
    <m/>
    <s v="YESHWANTHPURA"/>
    <m/>
    <n v="650789"/>
    <s v="Hosur Tube Plant"/>
    <n v="3226988"/>
    <s v="HR COILS-PO THR099 HR99 3.40X1250"/>
    <s v=" "/>
    <m/>
    <n v="10"/>
    <n v="27"/>
    <m/>
    <n v="768"/>
    <s v="THR099"/>
    <s v="HR99"/>
    <n v="3.4"/>
    <n v="1250"/>
    <n v="0"/>
    <n v="100"/>
    <n v="0"/>
    <n v="100"/>
    <n v="100"/>
    <n v="100"/>
    <n v="100"/>
    <n v="0"/>
    <n v="0"/>
    <n v="0"/>
    <n v="0"/>
    <n v="0"/>
    <n v="0"/>
    <n v="0"/>
    <n v="0"/>
    <n v="0"/>
    <n v="0"/>
    <n v="0"/>
    <n v="0"/>
    <n v="0"/>
    <n v="0"/>
    <n v="0"/>
    <n v="0"/>
    <n v="0"/>
    <n v="0"/>
    <n v="0"/>
    <n v="0"/>
    <m/>
    <m/>
    <m/>
    <m/>
    <n v="0"/>
    <n v="0"/>
    <n v="0"/>
    <n v="0"/>
    <n v="0"/>
    <n v="0"/>
    <n v="0"/>
    <n v="0"/>
    <n v="0"/>
    <n v="0"/>
    <n v="0"/>
    <n v="0"/>
    <n v="0"/>
    <m/>
    <m/>
    <m/>
    <m/>
    <m/>
    <m/>
    <m/>
    <m/>
    <m/>
    <m/>
    <m/>
    <m/>
    <m/>
    <m/>
    <m/>
    <m/>
    <m/>
    <m/>
    <m/>
    <m/>
    <m/>
    <m/>
    <m/>
    <m/>
    <m/>
    <m/>
    <m/>
    <m/>
    <m/>
    <m/>
    <m/>
    <m/>
    <m/>
    <m/>
    <m/>
  </r>
  <r>
    <n v="742"/>
    <d v="2025-04-21T00:00:00"/>
    <s v="ZBTF"/>
    <n v="9518709061"/>
    <n v="3"/>
    <s v="9518709061-3"/>
    <s v="May'25 additional"/>
    <x v="0"/>
    <m/>
    <x v="5"/>
    <x v="6"/>
    <s v="2000-BPRS"/>
    <n v="400"/>
    <x v="1"/>
    <m/>
    <m/>
    <m/>
    <m/>
    <s v="YESHWANTHPURA"/>
    <m/>
    <n v="650742"/>
    <s v="Angul Cold Rolling Mill"/>
    <n v="2324172"/>
    <s v="CRFH COIL TATFHC RE03 1X1250"/>
    <s v=" "/>
    <m/>
    <n v="10"/>
    <n v="27"/>
    <m/>
    <s v="C09"/>
    <s v="TATFHC"/>
    <s v="RE03"/>
    <n v="1"/>
    <n v="1250"/>
    <n v="0"/>
    <n v="116"/>
    <n v="0"/>
    <n v="116"/>
    <n v="116"/>
    <n v="116"/>
    <n v="116"/>
    <n v="0"/>
    <n v="0"/>
    <n v="0"/>
    <n v="0"/>
    <n v="0"/>
    <n v="0"/>
    <n v="0"/>
    <n v="0"/>
    <n v="0"/>
    <n v="0"/>
    <n v="0"/>
    <n v="0"/>
    <n v="0"/>
    <n v="0"/>
    <n v="0"/>
    <n v="0"/>
    <n v="0"/>
    <n v="0"/>
    <n v="0"/>
    <n v="0"/>
    <m/>
    <m/>
    <m/>
    <m/>
    <n v="0"/>
    <n v="116"/>
    <n v="0"/>
    <n v="0"/>
    <n v="116"/>
    <n v="0"/>
    <n v="0"/>
    <n v="0"/>
    <n v="0"/>
    <n v="0"/>
    <n v="0"/>
    <n v="0"/>
    <n v="0"/>
    <m/>
    <m/>
    <m/>
    <m/>
    <m/>
    <m/>
    <m/>
    <m/>
    <m/>
    <m/>
    <m/>
    <m/>
    <m/>
    <m/>
    <m/>
    <m/>
    <m/>
    <m/>
    <m/>
    <m/>
    <m/>
    <m/>
    <m/>
    <m/>
    <m/>
    <m/>
    <m/>
    <m/>
    <m/>
    <m/>
    <m/>
    <m/>
    <m/>
    <m/>
    <m/>
  </r>
  <r>
    <n v="742"/>
    <d v="2025-04-21T00:00:00"/>
    <s v="ZBTF"/>
    <n v="9518709061"/>
    <n v="4"/>
    <s v="9518709061-4"/>
    <s v="May'25 additional"/>
    <x v="0"/>
    <m/>
    <x v="5"/>
    <x v="6"/>
    <s v="2000-BPRS"/>
    <m/>
    <x v="1"/>
    <m/>
    <m/>
    <m/>
    <m/>
    <s v="YESHWANTHPURA"/>
    <m/>
    <n v="650742"/>
    <s v="Angul Cold Rolling Mill"/>
    <n v="2324181"/>
    <s v="CRFH COIL TATFHC RE03 1.200X1250"/>
    <s v=" "/>
    <m/>
    <n v="10"/>
    <n v="27"/>
    <m/>
    <s v="C09"/>
    <s v="TATFHC"/>
    <s v="RE03"/>
    <n v="1.2"/>
    <n v="1250"/>
    <n v="0"/>
    <n v="290"/>
    <n v="0"/>
    <n v="290"/>
    <n v="290"/>
    <n v="290"/>
    <n v="290"/>
    <n v="0"/>
    <n v="0"/>
    <n v="0"/>
    <n v="0"/>
    <n v="0"/>
    <n v="0"/>
    <n v="0"/>
    <n v="0"/>
    <n v="0"/>
    <n v="0"/>
    <n v="0"/>
    <n v="0"/>
    <n v="0"/>
    <n v="0"/>
    <n v="0"/>
    <n v="0"/>
    <n v="0"/>
    <n v="0"/>
    <n v="0"/>
    <n v="0"/>
    <m/>
    <m/>
    <m/>
    <m/>
    <n v="0"/>
    <n v="290"/>
    <n v="0"/>
    <n v="0"/>
    <n v="290"/>
    <n v="0"/>
    <n v="0"/>
    <n v="0"/>
    <n v="0"/>
    <n v="0"/>
    <n v="0"/>
    <n v="0"/>
    <n v="0"/>
    <m/>
    <m/>
    <m/>
    <m/>
    <m/>
    <m/>
    <m/>
    <m/>
    <m/>
    <m/>
    <m/>
    <m/>
    <m/>
    <m/>
    <m/>
    <m/>
    <m/>
    <m/>
    <m/>
    <m/>
    <m/>
    <m/>
    <m/>
    <m/>
    <m/>
    <m/>
    <m/>
    <m/>
    <m/>
    <m/>
    <m/>
    <m/>
    <m/>
    <m/>
    <m/>
  </r>
  <r>
    <n v="743"/>
    <d v="2025-04-22T00:00:00"/>
    <s v="ZBTO"/>
    <n v="9518712210"/>
    <n v="2"/>
    <s v="9518712210-2"/>
    <s v="May'25 additional"/>
    <x v="0"/>
    <s v="Yes"/>
    <x v="4"/>
    <x v="3"/>
    <s v="1000-IPPE"/>
    <m/>
    <x v="1"/>
    <m/>
    <m/>
    <m/>
    <m/>
    <s v=" "/>
    <m/>
    <n v="942283"/>
    <s v="TATA BLUESCOPE STEEL PRIVATE LIMITE"/>
    <n v="1881969"/>
    <s v="GL C YS550 H6GL 0.45BMT(0.50TCT)X1220"/>
    <s v="AZ150"/>
    <m/>
    <n v="3"/>
    <n v="5"/>
    <m/>
    <s v="B04"/>
    <s v="Y550GL"/>
    <s v="H6GL"/>
    <n v="0.45"/>
    <n v="1220"/>
    <n v="0"/>
    <n v="112"/>
    <n v="0"/>
    <n v="112"/>
    <n v="112"/>
    <n v="112"/>
    <n v="112"/>
    <n v="0"/>
    <n v="0"/>
    <n v="0"/>
    <n v="0"/>
    <n v="0"/>
    <n v="0"/>
    <n v="0"/>
    <n v="0"/>
    <n v="0"/>
    <n v="0"/>
    <n v="0"/>
    <n v="0"/>
    <n v="0"/>
    <n v="0"/>
    <n v="0"/>
    <n v="0"/>
    <n v="0"/>
    <n v="0"/>
    <n v="0"/>
    <n v="0"/>
    <m/>
    <m/>
    <m/>
    <m/>
    <n v="0"/>
    <n v="0"/>
    <n v="0"/>
    <n v="0"/>
    <n v="0"/>
    <n v="0"/>
    <n v="0"/>
    <n v="0"/>
    <n v="0"/>
    <n v="0"/>
    <n v="0"/>
    <n v="0"/>
    <n v="0"/>
    <m/>
    <m/>
    <m/>
    <m/>
    <m/>
    <m/>
    <m/>
    <m/>
    <m/>
    <m/>
    <m/>
    <m/>
    <m/>
    <m/>
    <m/>
    <m/>
    <m/>
    <m/>
    <m/>
    <m/>
    <m/>
    <m/>
    <m/>
    <m/>
    <m/>
    <m/>
    <m/>
    <m/>
    <m/>
    <m/>
    <m/>
    <m/>
    <m/>
    <m/>
    <m/>
  </r>
  <r>
    <n v="743"/>
    <d v="2025-04-22T00:00:00"/>
    <s v="ZBTO"/>
    <n v="9518712210"/>
    <n v="4"/>
    <s v="9518712210-4"/>
    <s v="No Priority"/>
    <x v="0"/>
    <m/>
    <x v="4"/>
    <x v="3"/>
    <s v="1000-IPPE"/>
    <m/>
    <x v="0"/>
    <m/>
    <m/>
    <m/>
    <m/>
    <s v=" "/>
    <m/>
    <n v="942283"/>
    <s v="TATA BLUESCOPE STEEL PRIVATE LIMITE"/>
    <n v="1882004"/>
    <s v="GL C YS550 H6GL 0.55BMT(0.60TCT)X1220"/>
    <s v="AZ150"/>
    <m/>
    <n v="3"/>
    <n v="5"/>
    <m/>
    <s v="B04"/>
    <s v="Y550GL"/>
    <s v="H6GL"/>
    <n v="0.55000000000000004"/>
    <n v="1220"/>
    <n v="0"/>
    <n v="28"/>
    <n v="0"/>
    <n v="28"/>
    <n v="28"/>
    <n v="28"/>
    <n v="28"/>
    <n v="0"/>
    <n v="0"/>
    <n v="0"/>
    <n v="0"/>
    <n v="0"/>
    <n v="0"/>
    <n v="0"/>
    <n v="0"/>
    <n v="0"/>
    <n v="0"/>
    <n v="0"/>
    <n v="0"/>
    <n v="0"/>
    <n v="0"/>
    <n v="0"/>
    <n v="0"/>
    <n v="0"/>
    <n v="0"/>
    <n v="0"/>
    <n v="0"/>
    <m/>
    <m/>
    <m/>
    <m/>
    <n v="0"/>
    <n v="0"/>
    <n v="0"/>
    <n v="0"/>
    <n v="0"/>
    <n v="0"/>
    <n v="0"/>
    <n v="0"/>
    <n v="0"/>
    <n v="0"/>
    <n v="0"/>
    <n v="0"/>
    <n v="0"/>
    <m/>
    <m/>
    <m/>
    <m/>
    <m/>
    <m/>
    <m/>
    <m/>
    <m/>
    <m/>
    <m/>
    <m/>
    <m/>
    <m/>
    <m/>
    <m/>
    <m/>
    <m/>
    <m/>
    <m/>
    <m/>
    <m/>
    <m/>
    <m/>
    <m/>
    <m/>
    <m/>
    <m/>
    <m/>
    <m/>
    <m/>
    <m/>
    <m/>
    <m/>
    <m/>
  </r>
  <r>
    <n v="743"/>
    <d v="2025-04-22T00:00:00"/>
    <s v="ZBTO"/>
    <n v="9518712210"/>
    <n v="5"/>
    <s v="9518712210-5"/>
    <s v="May'25 additional"/>
    <x v="0"/>
    <s v="Yes"/>
    <x v="4"/>
    <x v="3"/>
    <s v="1000-IPPE"/>
    <m/>
    <x v="1"/>
    <m/>
    <m/>
    <m/>
    <m/>
    <s v=" "/>
    <m/>
    <n v="942283"/>
    <s v="TATA BLUESCOPE STEEL PRIVATE LIMITE"/>
    <n v="1881969"/>
    <s v="GL C YS550 H6GL 0.45BMT(0.50TCT)X1220"/>
    <s v="AZ150"/>
    <m/>
    <n v="3"/>
    <n v="5"/>
    <m/>
    <s v="B04"/>
    <s v="Y550GL"/>
    <s v="H6GL"/>
    <n v="0.45"/>
    <n v="1220"/>
    <n v="0"/>
    <n v="280"/>
    <n v="0"/>
    <n v="280"/>
    <n v="280"/>
    <n v="280"/>
    <n v="280"/>
    <n v="0"/>
    <n v="0"/>
    <n v="0"/>
    <n v="0"/>
    <n v="0"/>
    <n v="0"/>
    <n v="0"/>
    <n v="0"/>
    <n v="0"/>
    <n v="0"/>
    <n v="0"/>
    <n v="0"/>
    <n v="0"/>
    <n v="0"/>
    <n v="0"/>
    <n v="0"/>
    <n v="0"/>
    <n v="0"/>
    <n v="0"/>
    <n v="0"/>
    <m/>
    <m/>
    <m/>
    <m/>
    <n v="0"/>
    <n v="0"/>
    <n v="0"/>
    <n v="0"/>
    <n v="0"/>
    <n v="0"/>
    <n v="0"/>
    <n v="0"/>
    <n v="0"/>
    <n v="0"/>
    <n v="0"/>
    <n v="0"/>
    <n v="0"/>
    <m/>
    <m/>
    <m/>
    <m/>
    <m/>
    <m/>
    <m/>
    <m/>
    <m/>
    <m/>
    <m/>
    <m/>
    <m/>
    <m/>
    <m/>
    <m/>
    <m/>
    <m/>
    <m/>
    <m/>
    <m/>
    <m/>
    <m/>
    <m/>
    <m/>
    <m/>
    <m/>
    <m/>
    <m/>
    <m/>
    <m/>
    <m/>
    <m/>
    <m/>
    <m/>
  </r>
  <r>
    <n v="743"/>
    <d v="2025-04-26T00:00:00"/>
    <s v="ZBTO"/>
    <n v="9518724444"/>
    <n v="1"/>
    <s v="9518724444-1"/>
    <s v="May'25 additional"/>
    <x v="0"/>
    <m/>
    <x v="3"/>
    <x v="14"/>
    <s v="2000-BPRS"/>
    <m/>
    <x v="1"/>
    <m/>
    <m/>
    <m/>
    <m/>
    <s v="JABALPUR"/>
    <m/>
    <n v="929931"/>
    <s v="BMW VYAPAR PRIVATE LIMITED"/>
    <n v="2428450"/>
    <s v="GP COIL SOFT TATXGP GK09 0.350X1250"/>
    <s v="Z80"/>
    <m/>
    <n v="4"/>
    <n v="6"/>
    <m/>
    <s v="C02"/>
    <s v="TATXGP"/>
    <s v="GK09"/>
    <n v="0.35"/>
    <n v="1250"/>
    <n v="0"/>
    <n v="29"/>
    <n v="0"/>
    <n v="29"/>
    <n v="29"/>
    <n v="29"/>
    <n v="29"/>
    <n v="0"/>
    <n v="0"/>
    <n v="0"/>
    <n v="0"/>
    <n v="0"/>
    <n v="0"/>
    <n v="0"/>
    <n v="0"/>
    <n v="0"/>
    <n v="0"/>
    <n v="0"/>
    <n v="0"/>
    <n v="0"/>
    <n v="0"/>
    <n v="0"/>
    <n v="0"/>
    <n v="0"/>
    <n v="0"/>
    <n v="0"/>
    <n v="0"/>
    <m/>
    <m/>
    <m/>
    <m/>
    <n v="0"/>
    <n v="29"/>
    <n v="0"/>
    <n v="0"/>
    <n v="29"/>
    <n v="0"/>
    <n v="0"/>
    <n v="0"/>
    <n v="0"/>
    <n v="0"/>
    <n v="0"/>
    <n v="0"/>
    <n v="0"/>
    <m/>
    <m/>
    <m/>
    <m/>
    <m/>
    <m/>
    <m/>
    <m/>
    <m/>
    <m/>
    <m/>
    <m/>
    <m/>
    <m/>
    <m/>
    <m/>
    <m/>
    <m/>
    <m/>
    <m/>
    <m/>
    <m/>
    <m/>
    <m/>
    <m/>
    <m/>
    <m/>
    <m/>
    <m/>
    <m/>
    <m/>
    <m/>
    <m/>
    <m/>
    <m/>
  </r>
  <r>
    <n v="743"/>
    <d v="2025-04-26T00:00:00"/>
    <s v="ZBTO"/>
    <n v="9518724444"/>
    <n v="2"/>
    <s v="9518724444-2"/>
    <s v="May'25 additional"/>
    <x v="0"/>
    <m/>
    <x v="3"/>
    <x v="14"/>
    <s v="2000-BPRS"/>
    <m/>
    <x v="1"/>
    <m/>
    <m/>
    <m/>
    <m/>
    <s v="JABALPUR"/>
    <m/>
    <n v="929931"/>
    <s v="BMW VYAPAR PRIVATE LIMITED"/>
    <n v="1851091"/>
    <s v="GP COIL SOFT-TATXGP-GK09-0.4X1250"/>
    <s v="Z80"/>
    <m/>
    <n v="4"/>
    <n v="6"/>
    <m/>
    <s v="C02"/>
    <s v="TATXGP"/>
    <s v="GK09"/>
    <n v="0.4"/>
    <n v="1250"/>
    <n v="0"/>
    <n v="29"/>
    <n v="0"/>
    <n v="29"/>
    <n v="29"/>
    <n v="29"/>
    <n v="29"/>
    <n v="0"/>
    <n v="0"/>
    <n v="28.52"/>
    <n v="0"/>
    <n v="0"/>
    <n v="0"/>
    <n v="0"/>
    <n v="0"/>
    <n v="0"/>
    <n v="0"/>
    <n v="0"/>
    <n v="0"/>
    <n v="0"/>
    <n v="0"/>
    <n v="0"/>
    <n v="0"/>
    <n v="0"/>
    <n v="0"/>
    <n v="0"/>
    <n v="28.52"/>
    <m/>
    <m/>
    <m/>
    <m/>
    <n v="0"/>
    <n v="29"/>
    <n v="0"/>
    <n v="29"/>
    <n v="0"/>
    <n v="0"/>
    <n v="0"/>
    <n v="29"/>
    <n v="0"/>
    <n v="29"/>
    <n v="0"/>
    <n v="0"/>
    <n v="0"/>
    <m/>
    <m/>
    <m/>
    <m/>
    <m/>
    <m/>
    <m/>
    <m/>
    <m/>
    <m/>
    <m/>
    <m/>
    <m/>
    <m/>
    <m/>
    <m/>
    <m/>
    <m/>
    <m/>
    <m/>
    <m/>
    <m/>
    <m/>
    <m/>
    <m/>
    <m/>
    <m/>
    <m/>
    <m/>
    <m/>
    <m/>
    <m/>
    <m/>
    <m/>
    <m/>
  </r>
  <r>
    <n v="743"/>
    <d v="2025-04-26T00:00:00"/>
    <s v="ZBTO"/>
    <n v="9518724444"/>
    <n v="3"/>
    <s v="9518724444-3"/>
    <s v="May'25 additional"/>
    <x v="0"/>
    <m/>
    <x v="3"/>
    <x v="14"/>
    <s v="2000-BPRS"/>
    <m/>
    <x v="1"/>
    <m/>
    <m/>
    <m/>
    <m/>
    <s v="JABALPUR"/>
    <m/>
    <n v="929931"/>
    <s v="BMW VYAPAR PRIVATE LIMITED"/>
    <n v="1367614"/>
    <s v="GP COIL TATXGP GK09 0.450X1250"/>
    <s v="Z80"/>
    <m/>
    <n v="4"/>
    <n v="6"/>
    <m/>
    <s v="C02"/>
    <s v="TATXGP"/>
    <s v="GK09"/>
    <n v="0.45"/>
    <n v="1250"/>
    <n v="0"/>
    <n v="29"/>
    <n v="0"/>
    <n v="29"/>
    <n v="29"/>
    <n v="29"/>
    <n v="29"/>
    <n v="0"/>
    <n v="0"/>
    <n v="28.55"/>
    <n v="0"/>
    <n v="0"/>
    <n v="0"/>
    <n v="0"/>
    <n v="0"/>
    <n v="0"/>
    <n v="0"/>
    <n v="0"/>
    <n v="0"/>
    <n v="0"/>
    <n v="0"/>
    <n v="0"/>
    <n v="0"/>
    <n v="0"/>
    <n v="0"/>
    <n v="0"/>
    <n v="28.55"/>
    <m/>
    <m/>
    <m/>
    <m/>
    <n v="0"/>
    <n v="29"/>
    <n v="0"/>
    <n v="29"/>
    <n v="0"/>
    <n v="0"/>
    <n v="0"/>
    <n v="29"/>
    <n v="0"/>
    <n v="29"/>
    <n v="0"/>
    <n v="0"/>
    <n v="0"/>
    <m/>
    <m/>
    <m/>
    <m/>
    <m/>
    <m/>
    <m/>
    <m/>
    <m/>
    <m/>
    <m/>
    <m/>
    <m/>
    <m/>
    <m/>
    <m/>
    <m/>
    <m/>
    <m/>
    <m/>
    <m/>
    <m/>
    <m/>
    <m/>
    <m/>
    <m/>
    <m/>
    <m/>
    <m/>
    <m/>
    <m/>
    <m/>
    <m/>
    <m/>
    <m/>
  </r>
  <r>
    <n v="743"/>
    <d v="2025-04-26T00:00:00"/>
    <s v="ZBTO"/>
    <n v="9518724444"/>
    <n v="4"/>
    <s v="9518724444-4"/>
    <s v="May'25 additional"/>
    <x v="0"/>
    <m/>
    <x v="3"/>
    <x v="14"/>
    <s v="2000-BPRS"/>
    <m/>
    <x v="1"/>
    <m/>
    <m/>
    <m/>
    <m/>
    <s v="JABALPUR"/>
    <m/>
    <n v="929931"/>
    <s v="BMW VYAPAR PRIVATE LIMITED"/>
    <n v="1851102"/>
    <s v="GP COIL SOFT-TATXGP-GK09-0.5X1250"/>
    <s v="Z80"/>
    <m/>
    <n v="4"/>
    <n v="6"/>
    <m/>
    <s v="C02"/>
    <s v="TATXGP"/>
    <s v="GK09"/>
    <n v="0.5"/>
    <n v="1250"/>
    <n v="0"/>
    <n v="29"/>
    <n v="0"/>
    <n v="29"/>
    <n v="29"/>
    <n v="29"/>
    <n v="29"/>
    <n v="0"/>
    <n v="0"/>
    <n v="28.59"/>
    <n v="0"/>
    <n v="0"/>
    <n v="0"/>
    <n v="0"/>
    <n v="0"/>
    <n v="0"/>
    <n v="0"/>
    <n v="0"/>
    <n v="0"/>
    <n v="0"/>
    <n v="0"/>
    <n v="0"/>
    <n v="0"/>
    <n v="0"/>
    <n v="0"/>
    <n v="0"/>
    <n v="28.59"/>
    <m/>
    <m/>
    <m/>
    <m/>
    <n v="0"/>
    <n v="29"/>
    <n v="0"/>
    <n v="29"/>
    <n v="0"/>
    <n v="0"/>
    <n v="0"/>
    <n v="29"/>
    <n v="0"/>
    <n v="29"/>
    <n v="0"/>
    <n v="0"/>
    <n v="0"/>
    <m/>
    <m/>
    <m/>
    <m/>
    <m/>
    <m/>
    <m/>
    <m/>
    <m/>
    <m/>
    <m/>
    <m/>
    <m/>
    <m/>
    <m/>
    <m/>
    <m/>
    <m/>
    <m/>
    <m/>
    <m/>
    <m/>
    <m/>
    <m/>
    <m/>
    <m/>
    <m/>
    <m/>
    <m/>
    <m/>
    <m/>
    <m/>
    <m/>
    <m/>
    <m/>
  </r>
  <r>
    <n v="743"/>
    <d v="2025-04-26T00:00:00"/>
    <s v="ZBTO"/>
    <n v="9518724444"/>
    <n v="5"/>
    <s v="9518724444-5"/>
    <s v="May'25 additional"/>
    <x v="0"/>
    <m/>
    <x v="3"/>
    <x v="14"/>
    <s v="2000-BPRS"/>
    <m/>
    <x v="1"/>
    <m/>
    <m/>
    <m/>
    <m/>
    <s v="JABALPUR"/>
    <m/>
    <n v="929931"/>
    <s v="BMW VYAPAR PRIVATE LIMITED"/>
    <n v="1851106"/>
    <s v="GP COIL SOFT-TATXGP-GK09-0.6X1250"/>
    <s v="Z80"/>
    <m/>
    <n v="4"/>
    <n v="6"/>
    <m/>
    <s v="C02"/>
    <s v="TATXGP"/>
    <s v="GK09"/>
    <n v="0.6"/>
    <n v="1250"/>
    <n v="0"/>
    <n v="29"/>
    <n v="0"/>
    <n v="29"/>
    <n v="29"/>
    <n v="29"/>
    <n v="29"/>
    <n v="0"/>
    <n v="0"/>
    <n v="28.52"/>
    <n v="0"/>
    <n v="0"/>
    <n v="0"/>
    <n v="0"/>
    <n v="0"/>
    <n v="0"/>
    <n v="0"/>
    <n v="0"/>
    <n v="0"/>
    <n v="0"/>
    <n v="0"/>
    <n v="0"/>
    <n v="0"/>
    <n v="0"/>
    <n v="0"/>
    <n v="0"/>
    <n v="28.52"/>
    <m/>
    <m/>
    <m/>
    <m/>
    <n v="0"/>
    <n v="29"/>
    <n v="0"/>
    <n v="29"/>
    <n v="0"/>
    <n v="0"/>
    <n v="0"/>
    <n v="29"/>
    <n v="0"/>
    <n v="29"/>
    <n v="0"/>
    <n v="0"/>
    <n v="0"/>
    <m/>
    <m/>
    <m/>
    <m/>
    <m/>
    <m/>
    <m/>
    <m/>
    <m/>
    <m/>
    <m/>
    <m/>
    <m/>
    <m/>
    <m/>
    <m/>
    <m/>
    <m/>
    <m/>
    <m/>
    <m/>
    <m/>
    <m/>
    <m/>
    <m/>
    <m/>
    <m/>
    <m/>
    <m/>
    <m/>
    <m/>
    <m/>
    <m/>
    <m/>
    <m/>
  </r>
  <r>
    <n v="742"/>
    <d v="2025-04-23T00:00:00"/>
    <s v="ZBTT"/>
    <n v="9518714046"/>
    <n v="1"/>
    <s v="9518714046-1"/>
    <s v="No Priority"/>
    <x v="0"/>
    <m/>
    <x v="5"/>
    <x v="19"/>
    <s v="1000-IPPE"/>
    <m/>
    <x v="0"/>
    <m/>
    <m/>
    <m/>
    <m/>
    <s v="RAILAPUR"/>
    <m/>
    <n v="943931"/>
    <s v="GRIP STRAPPING TECHNOLOGIES PVT. LT"/>
    <n v="4011917"/>
    <s v="CR COIL TATFHM TR88 0.650X1200"/>
    <s v=" "/>
    <m/>
    <n v="20"/>
    <n v="22"/>
    <m/>
    <s v="C09"/>
    <s v="TATFHM"/>
    <s v="TR88"/>
    <n v="0.65"/>
    <n v="1200"/>
    <n v="0"/>
    <n v="66"/>
    <n v="0"/>
    <n v="66"/>
    <n v="66"/>
    <n v="66"/>
    <n v="0"/>
    <n v="0"/>
    <n v="0"/>
    <n v="0"/>
    <n v="0"/>
    <n v="0"/>
    <n v="0"/>
    <n v="0"/>
    <n v="0"/>
    <n v="0"/>
    <n v="0"/>
    <n v="0"/>
    <n v="0"/>
    <n v="0"/>
    <n v="0"/>
    <n v="0"/>
    <n v="0"/>
    <n v="0"/>
    <n v="0"/>
    <n v="0"/>
    <n v="0"/>
    <m/>
    <m/>
    <m/>
    <m/>
    <n v="0"/>
    <n v="0"/>
    <n v="0"/>
    <n v="0"/>
    <n v="0"/>
    <n v="0"/>
    <n v="0"/>
    <n v="0"/>
    <n v="0"/>
    <n v="0"/>
    <n v="0"/>
    <n v="0"/>
    <n v="0"/>
    <m/>
    <m/>
    <m/>
    <m/>
    <m/>
    <m/>
    <m/>
    <m/>
    <m/>
    <m/>
    <m/>
    <m/>
    <m/>
    <m/>
    <m/>
    <m/>
    <m/>
    <m/>
    <m/>
    <m/>
    <m/>
    <m/>
    <m/>
    <m/>
    <m/>
    <m/>
    <m/>
    <m/>
    <m/>
    <m/>
    <m/>
    <m/>
    <m/>
    <m/>
    <m/>
  </r>
  <r>
    <n v="742"/>
    <d v="2025-04-23T00:00:00"/>
    <s v="ZBTT"/>
    <n v="9518714046"/>
    <n v="2"/>
    <s v="9518714046-2"/>
    <s v="No Priority"/>
    <x v="0"/>
    <m/>
    <x v="5"/>
    <x v="19"/>
    <s v="1000-IPPE"/>
    <m/>
    <x v="0"/>
    <m/>
    <m/>
    <m/>
    <m/>
    <s v="RAILAPUR"/>
    <m/>
    <n v="943931"/>
    <s v="GRIP STRAPPING TECHNOLOGIES PVT. LT"/>
    <n v="4011918"/>
    <s v="CR COIL TATFHM TR88 0.780X1200"/>
    <s v=" "/>
    <m/>
    <n v="20"/>
    <n v="22"/>
    <m/>
    <s v="C09"/>
    <s v="TATFHM"/>
    <s v="TR88"/>
    <n v="0.78"/>
    <n v="1200"/>
    <n v="0"/>
    <n v="66"/>
    <n v="0"/>
    <n v="66"/>
    <n v="66"/>
    <n v="66"/>
    <n v="0"/>
    <n v="0"/>
    <n v="0"/>
    <n v="0"/>
    <n v="0"/>
    <n v="0"/>
    <n v="0"/>
    <n v="0"/>
    <n v="0"/>
    <n v="0"/>
    <n v="0"/>
    <n v="0"/>
    <n v="0"/>
    <n v="0"/>
    <n v="0"/>
    <n v="0"/>
    <n v="0"/>
    <n v="0"/>
    <n v="0"/>
    <n v="0"/>
    <n v="0"/>
    <m/>
    <m/>
    <m/>
    <m/>
    <n v="0"/>
    <n v="0"/>
    <n v="0"/>
    <n v="0"/>
    <n v="0"/>
    <n v="0"/>
    <n v="0"/>
    <n v="0"/>
    <n v="0"/>
    <n v="0"/>
    <n v="0"/>
    <n v="0"/>
    <n v="0"/>
    <m/>
    <m/>
    <m/>
    <m/>
    <m/>
    <m/>
    <m/>
    <m/>
    <m/>
    <m/>
    <m/>
    <m/>
    <m/>
    <m/>
    <m/>
    <m/>
    <m/>
    <m/>
    <m/>
    <m/>
    <m/>
    <m/>
    <m/>
    <m/>
    <m/>
    <m/>
    <m/>
    <m/>
    <m/>
    <m/>
    <m/>
    <m/>
    <m/>
    <m/>
    <m/>
  </r>
  <r>
    <n v="742"/>
    <d v="2025-04-23T00:00:00"/>
    <s v="ZBTT"/>
    <n v="9518714046"/>
    <n v="3"/>
    <s v="9518714046-3"/>
    <s v="No Priority"/>
    <x v="0"/>
    <m/>
    <x v="5"/>
    <x v="19"/>
    <s v="1000-IPPE"/>
    <m/>
    <x v="0"/>
    <m/>
    <m/>
    <m/>
    <m/>
    <s v="RAILAPUR"/>
    <m/>
    <n v="943931"/>
    <s v="GRIP STRAPPING TECHNOLOGIES PVT. LT"/>
    <n v="3993937"/>
    <s v="CR COIL TATFHM TR88 0.900X1200"/>
    <s v=" "/>
    <m/>
    <n v="20"/>
    <n v="22"/>
    <m/>
    <s v="C09"/>
    <s v="TATFHM"/>
    <s v="TR88"/>
    <n v="0.9"/>
    <n v="1200"/>
    <n v="0"/>
    <n v="66"/>
    <n v="0"/>
    <n v="66"/>
    <n v="66"/>
    <n v="66"/>
    <n v="0"/>
    <n v="0"/>
    <n v="0"/>
    <n v="0"/>
    <n v="0"/>
    <n v="0"/>
    <n v="0"/>
    <n v="0"/>
    <n v="0"/>
    <n v="0"/>
    <n v="0"/>
    <n v="0"/>
    <n v="0"/>
    <n v="0"/>
    <n v="0"/>
    <n v="0"/>
    <n v="0"/>
    <n v="0"/>
    <n v="0"/>
    <n v="0"/>
    <n v="0"/>
    <m/>
    <m/>
    <m/>
    <m/>
    <n v="0"/>
    <n v="0"/>
    <n v="0"/>
    <n v="0"/>
    <n v="0"/>
    <n v="0"/>
    <n v="0"/>
    <n v="0"/>
    <n v="0"/>
    <n v="0"/>
    <n v="0"/>
    <n v="0"/>
    <n v="0"/>
    <m/>
    <m/>
    <m/>
    <m/>
    <m/>
    <m/>
    <m/>
    <m/>
    <m/>
    <m/>
    <m/>
    <m/>
    <m/>
    <m/>
    <m/>
    <m/>
    <m/>
    <m/>
    <m/>
    <m/>
    <m/>
    <m/>
    <m/>
    <m/>
    <m/>
    <m/>
    <m/>
    <m/>
    <m/>
    <m/>
    <m/>
    <m/>
    <m/>
    <m/>
    <m/>
  </r>
  <r>
    <n v="742"/>
    <d v="2025-04-25T00:00:00"/>
    <s v="ZBTO"/>
    <n v="9518721133"/>
    <n v="2"/>
    <s v="9518721133-2"/>
    <s v="May'25 additional"/>
    <x v="0"/>
    <m/>
    <x v="0"/>
    <x v="0"/>
    <s v="2200-BPRS"/>
    <m/>
    <x v="1"/>
    <m/>
    <m/>
    <m/>
    <m/>
    <s v="KOLAR"/>
    <m/>
    <n v="801611"/>
    <s v="SHIVA FERRIC PVT LTD"/>
    <n v="1252836"/>
    <s v="HR COILS-PO IS 1079 HR2 3.50X1250"/>
    <s v=" "/>
    <m/>
    <n v="18"/>
    <n v="25"/>
    <m/>
    <n v="768"/>
    <s v="THR099"/>
    <s v="HR99"/>
    <n v="3.5"/>
    <n v="1250"/>
    <n v="0"/>
    <n v="50"/>
    <n v="0"/>
    <n v="50"/>
    <n v="50"/>
    <n v="50"/>
    <n v="50"/>
    <n v="0"/>
    <n v="0"/>
    <n v="0"/>
    <n v="0"/>
    <n v="0"/>
    <n v="0"/>
    <n v="0"/>
    <n v="0"/>
    <n v="0"/>
    <n v="0"/>
    <n v="0"/>
    <n v="0"/>
    <n v="0"/>
    <n v="0"/>
    <n v="0"/>
    <n v="0"/>
    <n v="0"/>
    <n v="0"/>
    <n v="0"/>
    <n v="0"/>
    <m/>
    <m/>
    <m/>
    <m/>
    <n v="0"/>
    <n v="50"/>
    <n v="0"/>
    <n v="0"/>
    <n v="0"/>
    <n v="0"/>
    <n v="50"/>
    <n v="0"/>
    <n v="0"/>
    <n v="0"/>
    <n v="0"/>
    <n v="0"/>
    <n v="0"/>
    <m/>
    <m/>
    <m/>
    <m/>
    <m/>
    <m/>
    <m/>
    <m/>
    <m/>
    <m/>
    <m/>
    <m/>
    <m/>
    <m/>
    <m/>
    <m/>
    <m/>
    <m/>
    <m/>
    <m/>
    <m/>
    <m/>
    <m/>
    <m/>
    <m/>
    <m/>
    <m/>
    <m/>
    <m/>
    <m/>
    <m/>
    <m/>
    <m/>
    <m/>
    <m/>
  </r>
  <r>
    <n v="743"/>
    <d v="2025-04-22T00:00:00"/>
    <s v="ZBTO"/>
    <n v="9518711518"/>
    <n v="2"/>
    <s v="9518711518-2"/>
    <s v="No Priority"/>
    <x v="0"/>
    <m/>
    <x v="4"/>
    <x v="3"/>
    <s v="1000-IPPE"/>
    <m/>
    <x v="1"/>
    <m/>
    <m/>
    <m/>
    <m/>
    <s v="TAMILNADU"/>
    <m/>
    <n v="942294"/>
    <s v="TATA BLUESCOPE STEEL PRIVATE LIMITE"/>
    <n v="3946362"/>
    <s v="GL COIL HARD Y550GL M308 0.47 (TCT)X1220"/>
    <s v="AZ150"/>
    <m/>
    <n v="3"/>
    <n v="5"/>
    <m/>
    <s v="B04"/>
    <s v="Y550GL"/>
    <s v="M308"/>
    <n v="0.47"/>
    <n v="1220"/>
    <n v="0"/>
    <n v="168"/>
    <n v="0"/>
    <n v="168"/>
    <n v="168"/>
    <n v="168"/>
    <n v="168"/>
    <n v="0"/>
    <n v="0"/>
    <n v="0"/>
    <n v="0"/>
    <n v="0"/>
    <n v="0"/>
    <n v="0"/>
    <n v="0"/>
    <n v="0"/>
    <n v="0"/>
    <n v="0"/>
    <n v="0"/>
    <n v="0"/>
    <n v="0"/>
    <n v="0"/>
    <n v="0"/>
    <n v="0"/>
    <n v="0"/>
    <n v="0"/>
    <n v="0"/>
    <m/>
    <m/>
    <m/>
    <m/>
    <n v="0"/>
    <n v="168"/>
    <n v="0"/>
    <n v="0"/>
    <n v="168"/>
    <n v="0"/>
    <n v="0"/>
    <n v="0"/>
    <n v="0"/>
    <n v="0"/>
    <n v="0"/>
    <n v="0"/>
    <n v="0"/>
    <m/>
    <m/>
    <m/>
    <m/>
    <m/>
    <m/>
    <m/>
    <m/>
    <m/>
    <m/>
    <m/>
    <m/>
    <m/>
    <m/>
    <m/>
    <m/>
    <m/>
    <m/>
    <m/>
    <m/>
    <m/>
    <m/>
    <m/>
    <m/>
    <m/>
    <m/>
    <m/>
    <m/>
    <m/>
    <m/>
    <m/>
    <m/>
    <m/>
    <m/>
    <m/>
  </r>
  <r>
    <n v="743"/>
    <d v="2025-04-22T00:00:00"/>
    <s v="ZBTO"/>
    <n v="9518711518"/>
    <n v="3"/>
    <s v="9518711518-3"/>
    <s v="No Priority"/>
    <x v="0"/>
    <m/>
    <x v="4"/>
    <x v="3"/>
    <s v="1000-IPPE"/>
    <m/>
    <x v="1"/>
    <m/>
    <m/>
    <m/>
    <m/>
    <s v="TAMILNADU"/>
    <m/>
    <n v="942294"/>
    <s v="TATA BLUESCOPE STEEL PRIVATE LIMITE"/>
    <n v="3946364"/>
    <s v="GL COIL HARD Y550GL M308 0.50 (TCT)X1220"/>
    <s v="AZ150"/>
    <m/>
    <n v="3"/>
    <n v="5"/>
    <m/>
    <s v="B04"/>
    <s v="Y550GL"/>
    <s v="M308"/>
    <n v="0.5"/>
    <n v="1220"/>
    <n v="0"/>
    <n v="28"/>
    <n v="0"/>
    <n v="28"/>
    <n v="28"/>
    <n v="28"/>
    <n v="28"/>
    <n v="0"/>
    <n v="0"/>
    <n v="0"/>
    <n v="0"/>
    <n v="0"/>
    <n v="0"/>
    <n v="0"/>
    <n v="0"/>
    <n v="0"/>
    <n v="0"/>
    <n v="0"/>
    <n v="0"/>
    <n v="0"/>
    <n v="0"/>
    <n v="0"/>
    <n v="0"/>
    <n v="0"/>
    <n v="8.6750000000000007"/>
    <n v="0"/>
    <n v="8.6750000000000007"/>
    <m/>
    <m/>
    <m/>
    <m/>
    <n v="0"/>
    <n v="28"/>
    <n v="0"/>
    <n v="28"/>
    <n v="0"/>
    <n v="0"/>
    <n v="0"/>
    <n v="28"/>
    <n v="0"/>
    <n v="28"/>
    <n v="0"/>
    <n v="0"/>
    <n v="0"/>
    <m/>
    <m/>
    <m/>
    <m/>
    <m/>
    <m/>
    <m/>
    <m/>
    <m/>
    <m/>
    <m/>
    <m/>
    <m/>
    <m/>
    <m/>
    <m/>
    <m/>
    <m/>
    <m/>
    <m/>
    <m/>
    <m/>
    <m/>
    <m/>
    <m/>
    <m/>
    <m/>
    <m/>
    <m/>
    <m/>
    <m/>
    <m/>
    <m/>
    <m/>
    <m/>
  </r>
  <r>
    <n v="743"/>
    <d v="2025-04-23T00:00:00"/>
    <s v="ZBTO"/>
    <n v="9518715401"/>
    <n v="1"/>
    <s v="9518715401-1"/>
    <s v="No Priority"/>
    <x v="0"/>
    <m/>
    <x v="4"/>
    <x v="3"/>
    <s v="1000-IPPE"/>
    <m/>
    <x v="1"/>
    <m/>
    <m/>
    <m/>
    <m/>
    <s v="TATANAGAR"/>
    <m/>
    <n v="942284"/>
    <s v="TATA BLUESCOPE STEEL PRIVATE LIMITE"/>
    <n v="3946364"/>
    <s v="GL COIL HARD Y550GL M308 0.50 (TCT)X1220"/>
    <s v="AZ150"/>
    <m/>
    <n v="3"/>
    <n v="5"/>
    <m/>
    <s v="B04"/>
    <s v="Y550GL"/>
    <s v="M308"/>
    <n v="0.5"/>
    <n v="1220"/>
    <n v="0"/>
    <n v="280"/>
    <n v="0"/>
    <n v="280"/>
    <n v="280"/>
    <n v="280"/>
    <n v="280"/>
    <n v="0"/>
    <n v="0"/>
    <n v="0"/>
    <n v="0"/>
    <n v="0"/>
    <n v="0"/>
    <n v="0"/>
    <n v="0"/>
    <n v="0"/>
    <n v="0"/>
    <n v="0"/>
    <n v="0"/>
    <n v="0"/>
    <n v="0"/>
    <n v="0"/>
    <n v="0"/>
    <n v="0"/>
    <n v="0"/>
    <n v="0"/>
    <n v="0"/>
    <m/>
    <m/>
    <m/>
    <m/>
    <n v="0"/>
    <n v="280"/>
    <n v="0"/>
    <n v="0"/>
    <n v="280"/>
    <n v="0"/>
    <n v="0"/>
    <n v="0"/>
    <n v="0"/>
    <n v="0"/>
    <n v="0"/>
    <n v="0"/>
    <n v="0"/>
    <m/>
    <m/>
    <m/>
    <m/>
    <m/>
    <m/>
    <m/>
    <m/>
    <m/>
    <m/>
    <m/>
    <m/>
    <m/>
    <m/>
    <m/>
    <m/>
    <m/>
    <m/>
    <m/>
    <m/>
    <m/>
    <m/>
    <m/>
    <m/>
    <m/>
    <m/>
    <m/>
    <m/>
    <m/>
    <m/>
    <m/>
    <m/>
    <m/>
    <m/>
    <m/>
  </r>
  <r>
    <n v="742"/>
    <d v="2025-04-25T00:00:00"/>
    <s v="ZBTO"/>
    <n v="9518721781"/>
    <n v="1"/>
    <s v="9518721781-1"/>
    <s v="No Priority"/>
    <x v="0"/>
    <m/>
    <x v="5"/>
    <x v="10"/>
    <s v="1000-IPPE"/>
    <m/>
    <x v="0"/>
    <m/>
    <m/>
    <m/>
    <m/>
    <s v="VILLAGE-PRAGPAR"/>
    <m/>
    <n v="189108"/>
    <s v="Manaksia Coated Metals &amp; Industries"/>
    <n v="2306858"/>
    <s v="CRFH COIL TATFHC TR10 0.420X1235"/>
    <s v=" "/>
    <m/>
    <n v="10"/>
    <n v="20"/>
    <m/>
    <s v="C09"/>
    <s v="TATFHC"/>
    <s v="TR10"/>
    <n v="0.42"/>
    <n v="1235"/>
    <n v="0"/>
    <n v="280"/>
    <n v="0"/>
    <n v="280"/>
    <n v="280"/>
    <n v="280"/>
    <n v="0"/>
    <n v="0"/>
    <n v="0"/>
    <n v="0"/>
    <n v="0"/>
    <n v="0"/>
    <n v="0"/>
    <n v="0"/>
    <n v="0"/>
    <n v="0"/>
    <n v="0"/>
    <n v="0"/>
    <n v="0"/>
    <n v="0"/>
    <n v="0"/>
    <n v="0"/>
    <n v="0"/>
    <n v="0"/>
    <n v="0"/>
    <n v="0"/>
    <n v="0"/>
    <m/>
    <m/>
    <m/>
    <m/>
    <n v="0"/>
    <n v="0"/>
    <n v="0"/>
    <n v="0"/>
    <n v="0"/>
    <n v="0"/>
    <n v="0"/>
    <n v="0"/>
    <n v="0"/>
    <n v="0"/>
    <n v="0"/>
    <n v="0"/>
    <n v="0"/>
    <m/>
    <m/>
    <m/>
    <m/>
    <m/>
    <m/>
    <m/>
    <m/>
    <m/>
    <m/>
    <m/>
    <m/>
    <m/>
    <m/>
    <m/>
    <m/>
    <m/>
    <m/>
    <m/>
    <m/>
    <m/>
    <m/>
    <m/>
    <m/>
    <m/>
    <m/>
    <m/>
    <m/>
    <m/>
    <m/>
    <m/>
    <m/>
    <m/>
    <m/>
    <m/>
  </r>
  <r>
    <n v="743"/>
    <d v="2025-04-24T00:00:00"/>
    <s v="ZBTO"/>
    <n v="9518717365"/>
    <n v="1"/>
    <s v="9518717365-1"/>
    <s v="May'25 additional"/>
    <x v="0"/>
    <m/>
    <x v="3"/>
    <x v="4"/>
    <n v="2000"/>
    <m/>
    <x v="1"/>
    <m/>
    <m/>
    <s v="Assam"/>
    <m/>
    <m/>
    <m/>
    <n v="103671"/>
    <s v="BAJRANG STEEL (SALES) CORPORAT"/>
    <n v="3768542"/>
    <s v="GP COIL TATGPH GP02 0.350X900"/>
    <s v=""/>
    <m/>
    <m/>
    <m/>
    <m/>
    <s v="C05"/>
    <s v="TATGPH"/>
    <s v="GP02"/>
    <n v="0.35"/>
    <n v="900"/>
    <n v="0"/>
    <n v="63"/>
    <n v="0"/>
    <n v="63"/>
    <n v="63"/>
    <n v="63"/>
    <n v="21"/>
    <n v="0"/>
    <n v="0"/>
    <n v="0"/>
    <n v="0"/>
    <n v="0"/>
    <n v="0"/>
    <n v="0"/>
    <n v="0"/>
    <n v="0"/>
    <n v="0"/>
    <n v="0"/>
    <n v="0"/>
    <n v="0"/>
    <n v="0"/>
    <n v="0"/>
    <n v="0"/>
    <n v="0"/>
    <n v="0"/>
    <n v="0"/>
    <n v="0"/>
    <m/>
    <m/>
    <m/>
    <m/>
    <n v="0"/>
    <n v="21"/>
    <n v="0"/>
    <n v="0"/>
    <n v="0"/>
    <n v="21"/>
    <n v="0"/>
    <n v="0"/>
    <n v="0"/>
    <n v="0"/>
    <n v="0"/>
    <n v="0"/>
    <n v="0"/>
    <m/>
    <m/>
    <m/>
    <m/>
    <m/>
    <m/>
    <m/>
    <m/>
    <m/>
    <m/>
    <m/>
    <m/>
    <m/>
    <m/>
    <m/>
    <m/>
    <m/>
    <m/>
    <m/>
    <m/>
    <m/>
    <m/>
    <m/>
    <m/>
    <m/>
    <m/>
    <m/>
    <m/>
    <m/>
    <m/>
    <m/>
    <m/>
    <m/>
    <m/>
    <m/>
  </r>
  <r>
    <n v="743"/>
    <d v="2025-04-24T00:00:00"/>
    <s v="ZBTO"/>
    <n v="9518717365"/>
    <n v="2"/>
    <s v="9518717365-2"/>
    <s v="May'25 additional"/>
    <x v="0"/>
    <m/>
    <x v="3"/>
    <x v="4"/>
    <n v="2000"/>
    <m/>
    <x v="1"/>
    <m/>
    <m/>
    <s v="Assam"/>
    <m/>
    <m/>
    <m/>
    <n v="103671"/>
    <s v="BAJRANG STEEL (SALES) CORPORAT"/>
    <n v="3710431"/>
    <s v="GP COIL TATGPH GP02 0.630X900"/>
    <s v=""/>
    <m/>
    <m/>
    <m/>
    <m/>
    <s v="C05"/>
    <s v="TATGPH"/>
    <s v="GP02"/>
    <n v="0.63"/>
    <n v="900"/>
    <n v="0"/>
    <n v="42"/>
    <n v="0"/>
    <n v="42"/>
    <n v="42"/>
    <n v="42"/>
    <n v="42"/>
    <n v="0"/>
    <n v="0"/>
    <n v="0"/>
    <n v="0"/>
    <n v="0"/>
    <n v="0"/>
    <n v="0"/>
    <n v="0"/>
    <n v="0"/>
    <n v="0"/>
    <n v="0"/>
    <n v="0"/>
    <n v="0"/>
    <n v="0"/>
    <n v="0"/>
    <n v="0"/>
    <n v="0"/>
    <n v="0"/>
    <n v="0"/>
    <n v="0"/>
    <m/>
    <m/>
    <m/>
    <m/>
    <n v="0"/>
    <n v="42"/>
    <n v="0"/>
    <n v="0"/>
    <n v="0"/>
    <n v="42"/>
    <n v="0"/>
    <n v="0"/>
    <n v="0"/>
    <n v="0"/>
    <n v="0"/>
    <n v="0"/>
    <n v="0"/>
    <m/>
    <m/>
    <m/>
    <m/>
    <m/>
    <m/>
    <m/>
    <m/>
    <m/>
    <m/>
    <m/>
    <m/>
    <m/>
    <m/>
    <m/>
    <m/>
    <m/>
    <m/>
    <m/>
    <m/>
    <m/>
    <m/>
    <m/>
    <m/>
    <m/>
    <m/>
    <m/>
    <m/>
    <m/>
    <m/>
    <m/>
    <m/>
    <m/>
    <m/>
    <m/>
  </r>
  <r>
    <n v="743"/>
    <d v="2025-04-24T00:00:00"/>
    <s v="ZBTO"/>
    <n v="9518717365"/>
    <n v="3"/>
    <s v="9518717365-3"/>
    <s v="May'25 additional"/>
    <x v="0"/>
    <m/>
    <x v="3"/>
    <x v="4"/>
    <n v="2000"/>
    <m/>
    <x v="1"/>
    <m/>
    <m/>
    <s v="Assam"/>
    <m/>
    <m/>
    <m/>
    <n v="103671"/>
    <s v="BAJRANG STEEL (SALES) CORPORAT"/>
    <n v="3767487"/>
    <s v="GP COIL TATGPH GP02 0.630X1350"/>
    <s v=""/>
    <m/>
    <m/>
    <m/>
    <m/>
    <s v="C05"/>
    <s v="TATGPH"/>
    <s v="GP02"/>
    <n v="0.63"/>
    <n v="1350"/>
    <n v="0"/>
    <n v="31"/>
    <n v="0"/>
    <n v="31"/>
    <n v="31"/>
    <n v="31"/>
    <n v="31"/>
    <n v="0"/>
    <n v="0"/>
    <n v="0"/>
    <n v="0"/>
    <n v="0"/>
    <n v="0"/>
    <n v="0"/>
    <n v="0"/>
    <n v="0"/>
    <n v="0"/>
    <n v="0"/>
    <n v="0"/>
    <n v="0"/>
    <n v="0"/>
    <n v="0"/>
    <n v="0"/>
    <n v="0"/>
    <n v="0"/>
    <n v="0"/>
    <n v="0"/>
    <m/>
    <m/>
    <m/>
    <m/>
    <n v="0"/>
    <n v="31"/>
    <n v="0"/>
    <n v="0"/>
    <n v="31"/>
    <n v="0"/>
    <n v="0"/>
    <n v="0"/>
    <n v="0"/>
    <n v="0"/>
    <n v="0"/>
    <n v="0"/>
    <n v="0"/>
    <m/>
    <m/>
    <m/>
    <m/>
    <m/>
    <m/>
    <m/>
    <m/>
    <m/>
    <m/>
    <m/>
    <m/>
    <m/>
    <m/>
    <m/>
    <m/>
    <m/>
    <m/>
    <m/>
    <m/>
    <m/>
    <m/>
    <m/>
    <m/>
    <m/>
    <m/>
    <m/>
    <m/>
    <m/>
    <m/>
    <m/>
    <m/>
    <m/>
    <m/>
    <m/>
  </r>
  <r>
    <n v="742"/>
    <d v="2025-04-25T00:00:00"/>
    <s v="ZBTO"/>
    <n v="9518721781"/>
    <n v="2"/>
    <s v="9518721781-2"/>
    <s v="No Priority"/>
    <x v="1"/>
    <m/>
    <x v="5"/>
    <x v="10"/>
    <n v="1000"/>
    <m/>
    <x v="0"/>
    <m/>
    <m/>
    <s v="Gujarat"/>
    <m/>
    <m/>
    <m/>
    <n v="189108"/>
    <s v="Manaksia Coated Metals &amp; Indus"/>
    <n v="2306858"/>
    <s v="CRFH COIL TATFHC TR10 0.420X1235"/>
    <s v=""/>
    <m/>
    <m/>
    <m/>
    <m/>
    <s v="C09"/>
    <s v="TATFHC"/>
    <s v="TR10"/>
    <n v="0.42"/>
    <n v="1235"/>
    <n v="0"/>
    <n v="196"/>
    <n v="0"/>
    <n v="196"/>
    <n v="196"/>
    <n v="196"/>
    <n v="196"/>
    <n v="0"/>
    <n v="0"/>
    <n v="0"/>
    <n v="0"/>
    <n v="0"/>
    <n v="0"/>
    <n v="0"/>
    <n v="0"/>
    <n v="0"/>
    <n v="0"/>
    <n v="0"/>
    <n v="0"/>
    <n v="0"/>
    <n v="0"/>
    <n v="0"/>
    <n v="0"/>
    <n v="0"/>
    <n v="0"/>
    <n v="0"/>
    <n v="0"/>
    <m/>
    <m/>
    <m/>
    <m/>
    <n v="0"/>
    <n v="0"/>
    <n v="0"/>
    <n v="0"/>
    <n v="0"/>
    <n v="0"/>
    <n v="0"/>
    <n v="0"/>
    <n v="0"/>
    <n v="0"/>
    <n v="0"/>
    <n v="0"/>
    <n v="0"/>
    <m/>
    <m/>
    <m/>
    <m/>
    <m/>
    <m/>
    <m/>
    <m/>
    <m/>
    <m/>
    <m/>
    <m/>
    <m/>
    <m/>
    <m/>
    <m/>
    <m/>
    <m/>
    <m/>
    <m/>
    <m/>
    <m/>
    <m/>
    <m/>
    <m/>
    <m/>
    <m/>
    <m/>
    <m/>
    <m/>
    <m/>
    <m/>
    <m/>
    <m/>
    <m/>
  </r>
  <r>
    <n v="742"/>
    <d v="2025-04-26T00:00:00"/>
    <s v="ZBTO"/>
    <n v="9518722662"/>
    <n v="1"/>
    <s v="9518722662-1"/>
    <s v="No Priority"/>
    <x v="1"/>
    <m/>
    <x v="5"/>
    <x v="10"/>
    <n v="1000"/>
    <m/>
    <x v="0"/>
    <m/>
    <m/>
    <s v="Gujarat"/>
    <m/>
    <m/>
    <m/>
    <n v="189108"/>
    <s v="Manaksia Coated Metals &amp; Indus"/>
    <n v="4015694"/>
    <s v="CR COIL TATFHC TR10 0.410X1320"/>
    <s v=""/>
    <m/>
    <m/>
    <m/>
    <m/>
    <s v="C09"/>
    <s v="TATFHC"/>
    <s v="TR10"/>
    <n v="0.41"/>
    <n v="1320"/>
    <n v="0"/>
    <n v="210"/>
    <n v="0"/>
    <n v="210"/>
    <n v="210"/>
    <n v="210"/>
    <n v="210"/>
    <n v="0"/>
    <n v="0"/>
    <n v="0"/>
    <n v="0"/>
    <n v="0"/>
    <n v="0"/>
    <n v="0"/>
    <n v="0"/>
    <n v="0"/>
    <n v="0"/>
    <n v="0"/>
    <n v="0"/>
    <n v="0"/>
    <n v="0"/>
    <n v="0"/>
    <n v="0"/>
    <n v="0"/>
    <n v="0"/>
    <n v="0"/>
    <n v="0"/>
    <m/>
    <m/>
    <m/>
    <m/>
    <n v="0"/>
    <n v="0"/>
    <n v="0"/>
    <n v="0"/>
    <n v="0"/>
    <n v="0"/>
    <n v="0"/>
    <n v="0"/>
    <n v="0"/>
    <n v="0"/>
    <n v="0"/>
    <n v="0"/>
    <n v="0"/>
    <m/>
    <m/>
    <m/>
    <m/>
    <m/>
    <m/>
    <m/>
    <m/>
    <m/>
    <m/>
    <m/>
    <m/>
    <m/>
    <m/>
    <m/>
    <m/>
    <m/>
    <m/>
    <m/>
    <m/>
    <m/>
    <m/>
    <m/>
    <m/>
    <m/>
    <m/>
    <m/>
    <m/>
    <m/>
    <m/>
    <m/>
    <m/>
    <m/>
    <m/>
    <m/>
  </r>
  <r>
    <n v="742"/>
    <d v="2025-04-26T00:00:00"/>
    <s v="ZBTO"/>
    <n v="9518722662"/>
    <n v="2"/>
    <s v="9518722662-2"/>
    <s v="No Priority"/>
    <x v="1"/>
    <m/>
    <x v="5"/>
    <x v="10"/>
    <n v="1000"/>
    <m/>
    <x v="0"/>
    <m/>
    <m/>
    <s v="Gujarat"/>
    <m/>
    <m/>
    <m/>
    <n v="189108"/>
    <s v="Manaksia Coated Metals &amp; Indus"/>
    <n v="4015694"/>
    <s v="CR COIL TATFHC TR10 0.410X1320"/>
    <s v=""/>
    <m/>
    <m/>
    <m/>
    <m/>
    <s v="C09"/>
    <s v="TATFHC"/>
    <s v="TR10"/>
    <n v="0.41"/>
    <n v="1320"/>
    <n v="0"/>
    <n v="210"/>
    <n v="0"/>
    <n v="210"/>
    <n v="210"/>
    <n v="210"/>
    <n v="210"/>
    <n v="0"/>
    <n v="0"/>
    <n v="0"/>
    <n v="0"/>
    <n v="0"/>
    <n v="0"/>
    <n v="0"/>
    <n v="0"/>
    <n v="0"/>
    <n v="0"/>
    <n v="0"/>
    <n v="0"/>
    <n v="0"/>
    <n v="0"/>
    <n v="0"/>
    <n v="0"/>
    <n v="0"/>
    <n v="0"/>
    <n v="0"/>
    <n v="0"/>
    <m/>
    <m/>
    <m/>
    <m/>
    <n v="0"/>
    <n v="0"/>
    <n v="0"/>
    <n v="0"/>
    <n v="0"/>
    <n v="0"/>
    <n v="0"/>
    <n v="0"/>
    <n v="0"/>
    <n v="0"/>
    <n v="0"/>
    <n v="0"/>
    <n v="0"/>
    <m/>
    <m/>
    <m/>
    <m/>
    <m/>
    <m/>
    <m/>
    <m/>
    <m/>
    <m/>
    <m/>
    <m/>
    <m/>
    <m/>
    <m/>
    <m/>
    <m/>
    <m/>
    <m/>
    <m/>
    <m/>
    <m/>
    <m/>
    <m/>
    <m/>
    <m/>
    <m/>
    <m/>
    <m/>
    <m/>
    <m/>
    <m/>
    <m/>
    <m/>
    <m/>
  </r>
  <r>
    <n v="743"/>
    <d v="2025-04-21T00:00:00"/>
    <s v="ZBTO"/>
    <n v="9518709112"/>
    <n v="1"/>
    <s v="9518709112-1"/>
    <s v="May'25 additional"/>
    <x v="0"/>
    <m/>
    <x v="4"/>
    <x v="5"/>
    <n v="1000"/>
    <m/>
    <x v="1"/>
    <m/>
    <m/>
    <s v="Gujarat"/>
    <m/>
    <m/>
    <m/>
    <n v="944226"/>
    <s v="PURSHOTAM PROFILES PRIVATE LIM"/>
    <n v="3889776"/>
    <s v="GL COIL HARD  Y550GL H0GL 0.900X1249"/>
    <n v="150"/>
    <m/>
    <m/>
    <m/>
    <m/>
    <s v="B04"/>
    <s v="Y550GL"/>
    <s v="H0GL"/>
    <n v="0.9"/>
    <n v="1249"/>
    <n v="0"/>
    <n v="290"/>
    <n v="0"/>
    <n v="290"/>
    <n v="290"/>
    <n v="290"/>
    <n v="290"/>
    <n v="0"/>
    <n v="0"/>
    <n v="0"/>
    <n v="0"/>
    <n v="0"/>
    <n v="0"/>
    <n v="0"/>
    <n v="0"/>
    <n v="0"/>
    <n v="0"/>
    <n v="0"/>
    <n v="0"/>
    <n v="0"/>
    <n v="0"/>
    <n v="0"/>
    <n v="0"/>
    <n v="0"/>
    <n v="0"/>
    <n v="0"/>
    <n v="0"/>
    <m/>
    <m/>
    <m/>
    <m/>
    <n v="0"/>
    <n v="290"/>
    <n v="0"/>
    <n v="0"/>
    <n v="0"/>
    <n v="0"/>
    <n v="290"/>
    <n v="0"/>
    <n v="0"/>
    <n v="0"/>
    <n v="0"/>
    <n v="0"/>
    <n v="0"/>
    <m/>
    <m/>
    <m/>
    <m/>
    <m/>
    <m/>
    <m/>
    <m/>
    <m/>
    <m/>
    <m/>
    <m/>
    <m/>
    <m/>
    <m/>
    <m/>
    <m/>
    <m/>
    <m/>
    <m/>
    <m/>
    <m/>
    <m/>
    <m/>
    <m/>
    <m/>
    <m/>
    <m/>
    <m/>
    <m/>
    <m/>
    <m/>
    <m/>
    <m/>
    <m/>
  </r>
  <r>
    <n v="743"/>
    <d v="2025-04-21T00:00:00"/>
    <s v="ZBTO"/>
    <n v="9518709169"/>
    <n v="1"/>
    <s v="9518709169-1"/>
    <s v="May'25 additional"/>
    <x v="0"/>
    <m/>
    <x v="4"/>
    <x v="5"/>
    <n v="1000"/>
    <m/>
    <x v="1"/>
    <m/>
    <m/>
    <s v="Gujarat"/>
    <m/>
    <m/>
    <m/>
    <n v="944226"/>
    <s v="PURSHOTAM PROFILES PRIVATE LIM"/>
    <n v="3889776"/>
    <s v="GL COIL HARD  Y550GL H0GL 0.900X1249"/>
    <n v="150"/>
    <m/>
    <m/>
    <m/>
    <m/>
    <s v="B04"/>
    <s v="Y550GL"/>
    <s v="H0GL"/>
    <n v="0.9"/>
    <n v="1249"/>
    <n v="0"/>
    <n v="29"/>
    <n v="0"/>
    <n v="29"/>
    <n v="29"/>
    <n v="29"/>
    <n v="29"/>
    <n v="0"/>
    <n v="0"/>
    <n v="0"/>
    <n v="0"/>
    <n v="0"/>
    <n v="0"/>
    <n v="0"/>
    <n v="0"/>
    <n v="0"/>
    <n v="0"/>
    <n v="0"/>
    <n v="0"/>
    <n v="0"/>
    <n v="0"/>
    <n v="0"/>
    <n v="0"/>
    <n v="0"/>
    <n v="0"/>
    <n v="0"/>
    <n v="0"/>
    <m/>
    <m/>
    <m/>
    <m/>
    <n v="0"/>
    <n v="29"/>
    <n v="0"/>
    <n v="0"/>
    <n v="0"/>
    <n v="0"/>
    <n v="29"/>
    <n v="0"/>
    <n v="0"/>
    <n v="0"/>
    <n v="0"/>
    <n v="0"/>
    <n v="0"/>
    <m/>
    <m/>
    <m/>
    <m/>
    <m/>
    <m/>
    <m/>
    <m/>
    <m/>
    <m/>
    <m/>
    <m/>
    <m/>
    <m/>
    <m/>
    <m/>
    <m/>
    <m/>
    <m/>
    <m/>
    <m/>
    <m/>
    <m/>
    <m/>
    <m/>
    <m/>
    <m/>
    <m/>
    <m/>
    <m/>
    <m/>
    <m/>
    <m/>
    <m/>
    <m/>
  </r>
  <r>
    <n v="743"/>
    <d v="2025-04-23T00:00:00"/>
    <s v="ZBTO"/>
    <n v="9518713333"/>
    <n v="1"/>
    <s v="9518713333-1"/>
    <s v="May'25 additional"/>
    <x v="0"/>
    <m/>
    <x v="4"/>
    <x v="5"/>
    <n v="1000"/>
    <m/>
    <x v="1"/>
    <m/>
    <m/>
    <s v="Uttar Pradesh"/>
    <m/>
    <m/>
    <m/>
    <n v="188916"/>
    <s v="Purshotam Profiles Pvt. Ltd."/>
    <n v="3865176"/>
    <s v="GL COIL HARD  Y550GL HGL6 0.900X1250"/>
    <n v="150"/>
    <m/>
    <m/>
    <m/>
    <m/>
    <s v="B04"/>
    <s v="Y550GL"/>
    <s v="HGL6"/>
    <n v="0.9"/>
    <n v="1250"/>
    <n v="0"/>
    <n v="290"/>
    <n v="0"/>
    <n v="290"/>
    <n v="290"/>
    <n v="290"/>
    <n v="290"/>
    <n v="0"/>
    <n v="0"/>
    <n v="0"/>
    <n v="0"/>
    <n v="0"/>
    <n v="0"/>
    <n v="0"/>
    <n v="0"/>
    <n v="0"/>
    <n v="0"/>
    <n v="0"/>
    <n v="0"/>
    <n v="0"/>
    <n v="0"/>
    <n v="0"/>
    <n v="0"/>
    <n v="0"/>
    <n v="0"/>
    <n v="0"/>
    <n v="0"/>
    <m/>
    <m/>
    <m/>
    <m/>
    <n v="0"/>
    <n v="290"/>
    <n v="0"/>
    <n v="0"/>
    <n v="0"/>
    <n v="0"/>
    <n v="290"/>
    <n v="0"/>
    <n v="0"/>
    <n v="0"/>
    <n v="0"/>
    <n v="0"/>
    <n v="0"/>
    <m/>
    <m/>
    <m/>
    <m/>
    <m/>
    <m/>
    <m/>
    <m/>
    <m/>
    <m/>
    <m/>
    <m/>
    <m/>
    <m/>
    <m/>
    <m/>
    <m/>
    <m/>
    <m/>
    <m/>
    <m/>
    <m/>
    <m/>
    <m/>
    <m/>
    <m/>
    <m/>
    <m/>
    <m/>
    <m/>
    <m/>
    <m/>
    <m/>
    <m/>
    <m/>
  </r>
  <r>
    <n v="743"/>
    <d v="2025-04-23T00:00:00"/>
    <s v="ZBTO"/>
    <n v="9518713406"/>
    <n v="1"/>
    <s v="9518713406-1"/>
    <s v="May'25 additional"/>
    <x v="0"/>
    <m/>
    <x v="4"/>
    <x v="5"/>
    <n v="1000"/>
    <m/>
    <x v="1"/>
    <m/>
    <m/>
    <s v="Uttar Pradesh"/>
    <m/>
    <m/>
    <m/>
    <n v="188916"/>
    <s v="Purshotam Profiles Pvt. Ltd."/>
    <n v="3865176"/>
    <s v="GL COIL HARD  Y550GL HGL6 0.900X1250"/>
    <n v="150"/>
    <m/>
    <m/>
    <m/>
    <m/>
    <s v="B04"/>
    <s v="Y550GL"/>
    <s v="HGL6"/>
    <n v="0.9"/>
    <n v="1250"/>
    <n v="0"/>
    <n v="290"/>
    <n v="0"/>
    <n v="290"/>
    <n v="290"/>
    <n v="290"/>
    <n v="290"/>
    <n v="0"/>
    <n v="0"/>
    <n v="0"/>
    <n v="0"/>
    <n v="0"/>
    <n v="0"/>
    <n v="0"/>
    <n v="0"/>
    <n v="0"/>
    <n v="0"/>
    <n v="0"/>
    <n v="0"/>
    <n v="0"/>
    <n v="0"/>
    <n v="0"/>
    <n v="0"/>
    <n v="0"/>
    <n v="0"/>
    <n v="0"/>
    <n v="0"/>
    <m/>
    <m/>
    <m/>
    <m/>
    <n v="0"/>
    <n v="290"/>
    <n v="0"/>
    <n v="0"/>
    <n v="0"/>
    <n v="0"/>
    <n v="290"/>
    <n v="0"/>
    <n v="0"/>
    <n v="0"/>
    <n v="0"/>
    <n v="0"/>
    <n v="0"/>
    <m/>
    <m/>
    <m/>
    <m/>
    <m/>
    <m/>
    <m/>
    <m/>
    <m/>
    <m/>
    <m/>
    <m/>
    <m/>
    <m/>
    <m/>
    <m/>
    <m/>
    <m/>
    <m/>
    <m/>
    <m/>
    <m/>
    <m/>
    <m/>
    <m/>
    <m/>
    <m/>
    <m/>
    <m/>
    <m/>
    <m/>
    <m/>
    <m/>
    <m/>
    <m/>
  </r>
  <r>
    <n v="743"/>
    <d v="2025-04-26T00:00:00"/>
    <s v="ZBTO"/>
    <n v="9518724466"/>
    <n v="1"/>
    <s v="9518724466-1"/>
    <s v="May'25 additional"/>
    <x v="0"/>
    <m/>
    <x v="3"/>
    <x v="4"/>
    <n v="2000"/>
    <m/>
    <x v="1"/>
    <m/>
    <m/>
    <s v="Karnataka"/>
    <m/>
    <m/>
    <m/>
    <n v="942923"/>
    <s v="S C SHETTAR &amp; SONS PRIVATE LIM"/>
    <n v="304874"/>
    <s v="GPCOIL TATXGP GP02 0.25X1015"/>
    <s v=""/>
    <m/>
    <m/>
    <m/>
    <m/>
    <s v="C05"/>
    <s v="TATXGP"/>
    <s v="GP02"/>
    <n v="0.25"/>
    <n v="1015"/>
    <n v="0"/>
    <n v="23"/>
    <n v="0"/>
    <n v="23"/>
    <n v="23"/>
    <n v="23"/>
    <n v="23"/>
    <n v="0"/>
    <n v="0"/>
    <n v="0"/>
    <n v="0"/>
    <n v="0"/>
    <n v="0"/>
    <n v="0"/>
    <n v="0"/>
    <n v="0"/>
    <n v="0"/>
    <n v="0"/>
    <n v="0"/>
    <n v="0"/>
    <n v="0"/>
    <n v="0"/>
    <n v="0"/>
    <n v="0"/>
    <n v="0"/>
    <n v="0"/>
    <n v="0"/>
    <m/>
    <m/>
    <m/>
    <m/>
    <n v="0"/>
    <n v="23"/>
    <n v="0"/>
    <n v="0"/>
    <n v="0"/>
    <n v="23"/>
    <n v="0"/>
    <n v="0"/>
    <n v="0"/>
    <n v="0"/>
    <n v="0"/>
    <n v="0"/>
    <n v="0"/>
    <m/>
    <m/>
    <m/>
    <m/>
    <m/>
    <m/>
    <m/>
    <m/>
    <m/>
    <m/>
    <m/>
    <m/>
    <m/>
    <m/>
    <m/>
    <m/>
    <m/>
    <m/>
    <m/>
    <m/>
    <m/>
    <m/>
    <m/>
    <m/>
    <m/>
    <m/>
    <m/>
    <m/>
    <m/>
    <m/>
    <m/>
    <m/>
    <m/>
    <m/>
    <m/>
  </r>
  <r>
    <n v="743"/>
    <d v="2025-04-26T00:00:00"/>
    <s v="ZBTO"/>
    <n v="9518724466"/>
    <n v="5"/>
    <s v="9518724466-5"/>
    <s v="May'25 additional"/>
    <x v="0"/>
    <m/>
    <x v="3"/>
    <x v="4"/>
    <n v="2000"/>
    <m/>
    <x v="1"/>
    <m/>
    <m/>
    <s v="Karnataka"/>
    <m/>
    <m/>
    <m/>
    <n v="942923"/>
    <s v="S C SHETTAR &amp; SONS PRIVATE LIM"/>
    <n v="3767014"/>
    <s v="GP COIL TATGPH GP02 0.400X1350"/>
    <s v=""/>
    <m/>
    <m/>
    <m/>
    <m/>
    <s v="C05"/>
    <s v="TATGPH"/>
    <s v="GP02"/>
    <n v="0.4"/>
    <n v="1350"/>
    <n v="0"/>
    <n v="31"/>
    <n v="0"/>
    <n v="31"/>
    <n v="31"/>
    <n v="31"/>
    <n v="31"/>
    <n v="0"/>
    <n v="0"/>
    <n v="0"/>
    <n v="0"/>
    <n v="0"/>
    <n v="0"/>
    <n v="0"/>
    <n v="0"/>
    <n v="0"/>
    <n v="0"/>
    <n v="0"/>
    <n v="0"/>
    <n v="0"/>
    <n v="0"/>
    <n v="0"/>
    <n v="0"/>
    <n v="0"/>
    <n v="0"/>
    <n v="0"/>
    <n v="0"/>
    <m/>
    <m/>
    <m/>
    <m/>
    <n v="0"/>
    <n v="31"/>
    <n v="0"/>
    <n v="0"/>
    <n v="31"/>
    <n v="0"/>
    <n v="0"/>
    <n v="0"/>
    <n v="0"/>
    <n v="0"/>
    <n v="0"/>
    <n v="0"/>
    <n v="0"/>
    <m/>
    <m/>
    <m/>
    <m/>
    <m/>
    <m/>
    <m/>
    <m/>
    <m/>
    <m/>
    <m/>
    <m/>
    <m/>
    <m/>
    <m/>
    <m/>
    <m/>
    <m/>
    <m/>
    <m/>
    <m/>
    <m/>
    <m/>
    <m/>
    <m/>
    <m/>
    <m/>
    <m/>
    <m/>
    <m/>
    <m/>
    <m/>
    <m/>
    <m/>
    <m/>
  </r>
  <r>
    <n v="743"/>
    <d v="2025-04-26T00:00:00"/>
    <s v="ZBTO"/>
    <n v="9518724466"/>
    <n v="7"/>
    <s v="9518724466-7"/>
    <s v="May'25 additional"/>
    <x v="0"/>
    <m/>
    <x v="3"/>
    <x v="4"/>
    <n v="2000"/>
    <m/>
    <x v="1"/>
    <m/>
    <m/>
    <s v="Karnataka"/>
    <m/>
    <m/>
    <m/>
    <n v="942923"/>
    <s v="S C SHETTAR &amp; SONS PRIVATE LIM"/>
    <n v="3708868"/>
    <s v="GP COIL TATGPH GP02 0.500X1350"/>
    <s v=""/>
    <m/>
    <m/>
    <m/>
    <m/>
    <s v="C05"/>
    <s v="TATGPH"/>
    <s v="GP02"/>
    <n v="0.5"/>
    <n v="1350"/>
    <n v="0"/>
    <n v="93"/>
    <n v="0"/>
    <n v="93"/>
    <n v="93"/>
    <n v="93"/>
    <n v="93"/>
    <n v="0"/>
    <n v="0"/>
    <n v="0"/>
    <n v="0"/>
    <n v="0"/>
    <n v="0"/>
    <n v="0"/>
    <n v="0"/>
    <n v="0"/>
    <n v="0"/>
    <n v="0"/>
    <n v="0"/>
    <n v="0"/>
    <n v="0"/>
    <n v="0"/>
    <n v="0"/>
    <n v="0"/>
    <n v="0"/>
    <n v="0"/>
    <n v="0"/>
    <m/>
    <m/>
    <m/>
    <m/>
    <n v="0"/>
    <n v="93"/>
    <n v="0"/>
    <n v="0"/>
    <n v="0"/>
    <n v="0"/>
    <n v="93"/>
    <n v="0"/>
    <n v="0"/>
    <n v="0"/>
    <n v="0"/>
    <n v="0"/>
    <n v="0"/>
    <m/>
    <m/>
    <m/>
    <m/>
    <m/>
    <m/>
    <m/>
    <m/>
    <m/>
    <m/>
    <m/>
    <m/>
    <m/>
    <m/>
    <m/>
    <m/>
    <m/>
    <m/>
    <m/>
    <m/>
    <m/>
    <m/>
    <m/>
    <m/>
    <m/>
    <m/>
    <m/>
    <m/>
    <m/>
    <m/>
    <m/>
    <m/>
    <m/>
    <m/>
    <m/>
  </r>
  <r>
    <n v="743"/>
    <d v="2025-04-26T00:00:00"/>
    <s v="ZBTO"/>
    <n v="9518724466"/>
    <n v="8"/>
    <s v="9518724466-8"/>
    <s v="May'25 additional"/>
    <x v="0"/>
    <m/>
    <x v="3"/>
    <x v="4"/>
    <n v="2000"/>
    <m/>
    <x v="1"/>
    <m/>
    <m/>
    <s v="Karnataka"/>
    <m/>
    <m/>
    <m/>
    <n v="942923"/>
    <s v="S C SHETTAR &amp; SONS PRIVATE LIM"/>
    <n v="3767015"/>
    <s v="GP COIL TATGPH GP02 0.600X1350"/>
    <s v=""/>
    <m/>
    <m/>
    <m/>
    <m/>
    <s v="C05"/>
    <s v="TATGPH"/>
    <s v="GP02"/>
    <n v="0.6"/>
    <n v="1350"/>
    <n v="0"/>
    <n v="31"/>
    <n v="0"/>
    <n v="31"/>
    <n v="31"/>
    <n v="31"/>
    <n v="31"/>
    <n v="0"/>
    <n v="0"/>
    <n v="0"/>
    <n v="0"/>
    <n v="0"/>
    <n v="0"/>
    <n v="0"/>
    <n v="0"/>
    <n v="0"/>
    <n v="0"/>
    <n v="0"/>
    <n v="0"/>
    <n v="0"/>
    <n v="0"/>
    <n v="0"/>
    <n v="0"/>
    <n v="0"/>
    <n v="0"/>
    <n v="0"/>
    <n v="0"/>
    <m/>
    <m/>
    <m/>
    <m/>
    <n v="0"/>
    <n v="31"/>
    <n v="0"/>
    <n v="0"/>
    <n v="31"/>
    <n v="0"/>
    <n v="0"/>
    <n v="0"/>
    <n v="0"/>
    <n v="0"/>
    <n v="0"/>
    <n v="0"/>
    <n v="0"/>
    <m/>
    <m/>
    <m/>
    <m/>
    <m/>
    <m/>
    <m/>
    <m/>
    <m/>
    <m/>
    <m/>
    <m/>
    <m/>
    <m/>
    <m/>
    <m/>
    <m/>
    <m/>
    <m/>
    <m/>
    <m/>
    <m/>
    <m/>
    <m/>
    <m/>
    <m/>
    <m/>
    <m/>
    <m/>
    <m/>
    <m/>
    <m/>
    <m/>
    <m/>
    <m/>
  </r>
  <r>
    <n v="743"/>
    <d v="2025-04-24T00:00:00"/>
    <s v="ZBTO"/>
    <n v="9518718466"/>
    <n v="1"/>
    <s v="9518718466-1"/>
    <s v="May'25 additional"/>
    <x v="0"/>
    <m/>
    <x v="4"/>
    <x v="3"/>
    <n v="1000"/>
    <m/>
    <x v="1"/>
    <m/>
    <m/>
    <s v="Jharkhand"/>
    <m/>
    <m/>
    <m/>
    <n v="942283"/>
    <s v="TATA BLUESCOPE STEEL PRIVATE L"/>
    <n v="1881969"/>
    <s v="GL C YS550 H6GL 0.45BMT(0.50TCT)X1220"/>
    <n v="150"/>
    <m/>
    <m/>
    <m/>
    <m/>
    <s v="B04"/>
    <s v="Y550GL"/>
    <s v="H6GL"/>
    <n v="0.45"/>
    <n v="1220"/>
    <n v="0"/>
    <n v="196"/>
    <n v="0"/>
    <n v="196"/>
    <n v="196"/>
    <n v="196"/>
    <n v="196"/>
    <n v="0"/>
    <n v="0"/>
    <n v="0"/>
    <n v="0"/>
    <n v="0"/>
    <n v="0"/>
    <n v="0"/>
    <n v="0"/>
    <n v="0"/>
    <n v="0"/>
    <n v="0"/>
    <n v="0"/>
    <n v="0"/>
    <n v="0"/>
    <n v="0"/>
    <n v="0"/>
    <n v="0"/>
    <n v="0"/>
    <n v="0"/>
    <n v="0"/>
    <m/>
    <m/>
    <m/>
    <m/>
    <n v="0"/>
    <n v="196"/>
    <n v="0"/>
    <n v="0"/>
    <n v="0"/>
    <n v="196"/>
    <n v="0"/>
    <n v="0"/>
    <n v="0"/>
    <n v="0"/>
    <n v="0"/>
    <n v="0"/>
    <n v="0"/>
    <m/>
    <m/>
    <m/>
    <m/>
    <m/>
    <m/>
    <m/>
    <m/>
    <m/>
    <m/>
    <m/>
    <m/>
    <m/>
    <m/>
    <m/>
    <m/>
    <m/>
    <m/>
    <m/>
    <m/>
    <m/>
    <m/>
    <m/>
    <m/>
    <m/>
    <m/>
    <m/>
    <m/>
    <m/>
    <m/>
    <m/>
    <m/>
    <m/>
    <m/>
    <m/>
  </r>
  <r>
    <n v="742"/>
    <d v="2025-04-22T00:00:00"/>
    <s v="ZBTO"/>
    <n v="9518712653"/>
    <n v="1"/>
    <s v="9518712653-1"/>
    <s v="May'25 additional"/>
    <x v="0"/>
    <m/>
    <x v="1"/>
    <x v="10"/>
    <n v="1000"/>
    <m/>
    <x v="1"/>
    <m/>
    <m/>
    <m/>
    <m/>
    <m/>
    <m/>
    <m/>
    <s v="Balmer Lawrie &amp; Co. Limited"/>
    <n v="2421723"/>
    <s v="CRCA COIL TATXXD BT02 0.770X920"/>
    <m/>
    <m/>
    <m/>
    <m/>
    <m/>
    <s v="C01"/>
    <s v="TATXXD"/>
    <s v="BT02"/>
    <n v="0.77"/>
    <n v="920"/>
    <n v="0"/>
    <n v="273"/>
    <n v="0"/>
    <n v="273"/>
    <n v="273"/>
    <n v="273"/>
    <n v="273"/>
    <m/>
    <n v="0"/>
    <n v="0"/>
    <n v="0"/>
    <n v="0"/>
    <n v="0"/>
    <n v="0"/>
    <n v="0"/>
    <n v="0"/>
    <n v="0"/>
    <n v="0"/>
    <n v="0"/>
    <n v="0"/>
    <n v="0"/>
    <n v="0"/>
    <n v="0"/>
    <n v="0"/>
    <n v="0"/>
    <n v="0"/>
    <n v="0"/>
    <m/>
    <m/>
    <m/>
    <m/>
    <n v="0"/>
    <n v="273"/>
    <n v="0"/>
    <n v="0"/>
    <n v="0"/>
    <n v="0"/>
    <n v="273"/>
    <n v="0"/>
    <n v="0"/>
    <n v="0"/>
    <n v="0"/>
    <n v="0"/>
    <n v="0"/>
    <m/>
    <m/>
    <m/>
    <m/>
    <m/>
    <m/>
    <m/>
    <m/>
    <m/>
    <m/>
    <m/>
    <m/>
    <m/>
    <m/>
    <m/>
    <m/>
    <m/>
    <m/>
    <m/>
    <m/>
    <m/>
    <m/>
    <m/>
    <m/>
    <m/>
    <m/>
    <m/>
    <m/>
    <m/>
    <m/>
    <m/>
    <m/>
    <m/>
    <m/>
    <m/>
  </r>
  <r>
    <n v="742"/>
    <d v="2025-04-22T00:00:00"/>
    <s v="ZBTO"/>
    <n v="9518712672"/>
    <n v="7"/>
    <s v="9518712672-7"/>
    <s v="May'25 additional"/>
    <x v="0"/>
    <m/>
    <x v="1"/>
    <x v="10"/>
    <n v="1000"/>
    <m/>
    <x v="1"/>
    <m/>
    <m/>
    <m/>
    <m/>
    <m/>
    <m/>
    <m/>
    <s v="Balmer Lawrie &amp; Co. Limited"/>
    <n v="2279492"/>
    <s v="CRCA COIL TATXXD BT01 0.900X1220"/>
    <m/>
    <m/>
    <m/>
    <m/>
    <m/>
    <s v="C01"/>
    <s v="TATXXD"/>
    <s v="BT01"/>
    <n v="0.9"/>
    <n v="1220"/>
    <n v="0"/>
    <n v="28"/>
    <n v="0"/>
    <n v="28"/>
    <n v="28"/>
    <n v="28"/>
    <n v="28"/>
    <m/>
    <n v="0"/>
    <n v="0"/>
    <n v="0"/>
    <n v="0"/>
    <n v="0"/>
    <n v="0"/>
    <n v="0"/>
    <n v="0"/>
    <n v="0"/>
    <n v="0"/>
    <n v="0"/>
    <n v="0"/>
    <n v="0"/>
    <n v="0"/>
    <n v="0"/>
    <n v="0"/>
    <n v="0"/>
    <n v="0"/>
    <n v="0"/>
    <m/>
    <m/>
    <m/>
    <m/>
    <n v="0"/>
    <n v="28"/>
    <n v="0"/>
    <n v="0"/>
    <n v="28"/>
    <n v="0"/>
    <n v="0"/>
    <n v="0"/>
    <n v="0"/>
    <n v="0"/>
    <n v="0"/>
    <n v="0"/>
    <n v="0"/>
    <m/>
    <m/>
    <m/>
    <m/>
    <m/>
    <m/>
    <m/>
    <m/>
    <m/>
    <m/>
    <m/>
    <m/>
    <m/>
    <m/>
    <m/>
    <m/>
    <m/>
    <m/>
    <m/>
    <m/>
    <m/>
    <m/>
    <m/>
    <m/>
    <m/>
    <m/>
    <m/>
    <m/>
    <m/>
    <m/>
    <m/>
    <m/>
    <m/>
    <m/>
    <m/>
  </r>
  <r>
    <n v="742"/>
    <d v="2025-04-22T00:00:00"/>
    <s v="ZBTO"/>
    <n v="9518712677"/>
    <n v="2"/>
    <s v="9518712677-2"/>
    <s v="May'25 additional"/>
    <x v="0"/>
    <m/>
    <x v="1"/>
    <x v="10"/>
    <n v="1000"/>
    <m/>
    <x v="1"/>
    <m/>
    <m/>
    <m/>
    <m/>
    <m/>
    <m/>
    <m/>
    <s v="Balmer Lawrie &amp; Co. Limited"/>
    <n v="2299154"/>
    <s v="CRCA COIL TATXXD BT02 0.800X920"/>
    <m/>
    <m/>
    <m/>
    <m/>
    <m/>
    <s v="C01"/>
    <s v="TATXXD"/>
    <s v="BT02"/>
    <n v="0.8"/>
    <n v="920"/>
    <n v="0"/>
    <n v="84"/>
    <n v="0"/>
    <n v="84"/>
    <n v="84"/>
    <n v="84"/>
    <n v="84"/>
    <m/>
    <n v="0"/>
    <n v="0"/>
    <n v="0"/>
    <n v="0"/>
    <n v="0"/>
    <n v="0"/>
    <n v="0"/>
    <n v="0"/>
    <n v="0"/>
    <n v="0"/>
    <n v="0"/>
    <n v="0"/>
    <n v="0"/>
    <n v="0"/>
    <n v="0"/>
    <n v="0"/>
    <n v="0"/>
    <n v="0"/>
    <n v="0"/>
    <m/>
    <m/>
    <m/>
    <m/>
    <n v="0"/>
    <n v="84"/>
    <n v="0"/>
    <n v="0"/>
    <n v="0"/>
    <n v="0"/>
    <n v="84"/>
    <n v="0"/>
    <n v="0"/>
    <n v="0"/>
    <n v="0"/>
    <n v="0"/>
    <n v="0"/>
    <m/>
    <m/>
    <m/>
    <m/>
    <m/>
    <m/>
    <m/>
    <m/>
    <m/>
    <m/>
    <m/>
    <m/>
    <m/>
    <m/>
    <m/>
    <m/>
    <m/>
    <m/>
    <m/>
    <m/>
    <m/>
    <m/>
    <m/>
    <m/>
    <m/>
    <m/>
    <m/>
    <m/>
    <m/>
    <m/>
    <m/>
    <m/>
    <m/>
    <m/>
    <m/>
  </r>
  <r>
    <n v="742"/>
    <d v="2025-04-22T00:00:00"/>
    <s v="ZBTO"/>
    <n v="9518712674"/>
    <n v="4"/>
    <s v="9518712674-4"/>
    <s v="May'25 additional"/>
    <x v="0"/>
    <m/>
    <x v="1"/>
    <x v="10"/>
    <n v="1000"/>
    <m/>
    <x v="1"/>
    <m/>
    <m/>
    <m/>
    <m/>
    <m/>
    <m/>
    <m/>
    <s v="Balmer Lawrie &amp; Co. Limited"/>
    <n v="2170008"/>
    <s v="CRCA COIL TATXXD BT01 0.970X1220"/>
    <m/>
    <m/>
    <m/>
    <m/>
    <m/>
    <s v="C01"/>
    <s v="TATXXD"/>
    <s v="BT01"/>
    <n v="0.97"/>
    <n v="1220"/>
    <n v="0"/>
    <n v="196"/>
    <n v="0"/>
    <n v="196"/>
    <n v="196"/>
    <n v="196"/>
    <n v="196"/>
    <m/>
    <n v="0"/>
    <n v="0"/>
    <n v="0"/>
    <n v="0"/>
    <n v="0"/>
    <n v="0"/>
    <n v="0"/>
    <n v="0"/>
    <n v="0"/>
    <n v="0"/>
    <n v="0"/>
    <n v="0"/>
    <n v="0"/>
    <n v="0"/>
    <n v="0"/>
    <n v="0"/>
    <n v="0"/>
    <n v="0"/>
    <n v="0"/>
    <m/>
    <m/>
    <m/>
    <m/>
    <n v="0"/>
    <n v="196"/>
    <n v="0"/>
    <n v="0"/>
    <n v="196"/>
    <n v="0"/>
    <n v="0"/>
    <n v="0"/>
    <n v="0"/>
    <n v="0"/>
    <n v="0"/>
    <n v="0"/>
    <n v="0"/>
    <m/>
    <m/>
    <m/>
    <m/>
    <m/>
    <m/>
    <m/>
    <m/>
    <m/>
    <m/>
    <m/>
    <m/>
    <m/>
    <m/>
    <m/>
    <m/>
    <m/>
    <m/>
    <m/>
    <m/>
    <m/>
    <m/>
    <m/>
    <m/>
    <m/>
    <m/>
    <m/>
    <m/>
    <m/>
    <m/>
    <m/>
    <m/>
    <m/>
    <m/>
    <m/>
  </r>
  <r>
    <n v="742"/>
    <d v="2025-04-28T00:00:00"/>
    <s v="ZBTO"/>
    <n v="9518729315"/>
    <n v="2"/>
    <s v="9518729315-2"/>
    <s v="May'25 additional"/>
    <x v="0"/>
    <m/>
    <x v="1"/>
    <x v="10"/>
    <n v="1000"/>
    <m/>
    <x v="1"/>
    <m/>
    <m/>
    <m/>
    <m/>
    <m/>
    <m/>
    <m/>
    <s v="Balmer Lawrie And Co. Ltd."/>
    <n v="2403240"/>
    <s v="CRCA COIL TATXXD BT02 0.800X925"/>
    <m/>
    <m/>
    <m/>
    <m/>
    <m/>
    <s v="C01"/>
    <s v="TATXXD"/>
    <s v="BT02"/>
    <n v="0.8"/>
    <n v="925"/>
    <n v="0"/>
    <n v="105"/>
    <n v="0"/>
    <n v="105"/>
    <n v="105"/>
    <n v="105"/>
    <n v="105"/>
    <m/>
    <n v="0"/>
    <n v="0"/>
    <n v="0"/>
    <n v="0"/>
    <n v="0"/>
    <n v="0"/>
    <n v="0"/>
    <n v="0"/>
    <n v="0"/>
    <n v="0"/>
    <n v="0"/>
    <n v="0"/>
    <n v="0"/>
    <n v="0"/>
    <n v="0"/>
    <n v="0"/>
    <n v="0"/>
    <n v="0"/>
    <n v="0"/>
    <m/>
    <m/>
    <m/>
    <m/>
    <n v="0"/>
    <n v="105"/>
    <n v="0"/>
    <n v="0"/>
    <n v="0"/>
    <n v="0"/>
    <n v="105"/>
    <n v="0"/>
    <n v="0"/>
    <n v="0"/>
    <n v="0"/>
    <n v="0"/>
    <n v="0"/>
    <m/>
    <m/>
    <m/>
    <m/>
    <m/>
    <m/>
    <m/>
    <m/>
    <m/>
    <m/>
    <m/>
    <m/>
    <m/>
    <m/>
    <m/>
    <m/>
    <m/>
    <m/>
    <m/>
    <m/>
    <m/>
    <m/>
    <m/>
    <m/>
    <m/>
    <m/>
    <m/>
    <m/>
    <m/>
    <m/>
    <m/>
    <m/>
    <m/>
    <m/>
    <m/>
  </r>
  <r>
    <n v="742"/>
    <d v="2025-04-22T00:00:00"/>
    <s v="ZBTO"/>
    <n v="9518712127"/>
    <n v="9"/>
    <s v="9518712127-9"/>
    <s v="May'25"/>
    <x v="0"/>
    <m/>
    <x v="1"/>
    <x v="1"/>
    <s v="2000-BPRS"/>
    <m/>
    <x v="1"/>
    <m/>
    <m/>
    <m/>
    <m/>
    <s v="SALEM"/>
    <m/>
    <n v="116465"/>
    <s v="SRI BALAJI STEEL TRADERS"/>
    <n v="1801290"/>
    <s v="CRCA COIL-TATXXD-AU03-0.6X1250"/>
    <m/>
    <m/>
    <n v="6"/>
    <n v="18"/>
    <m/>
    <s v="C01"/>
    <s v="TATXXD"/>
    <s v="AU03"/>
    <n v="0.6"/>
    <n v="1250"/>
    <n v="0"/>
    <n v="29"/>
    <n v="0"/>
    <n v="29"/>
    <m/>
    <m/>
    <n v="29"/>
    <m/>
    <n v="0"/>
    <n v="0"/>
    <n v="0"/>
    <n v="0"/>
    <n v="0"/>
    <n v="0"/>
    <n v="0"/>
    <n v="0"/>
    <n v="0"/>
    <n v="0"/>
    <n v="0"/>
    <n v="0"/>
    <n v="26.71"/>
    <n v="0"/>
    <n v="0"/>
    <n v="0"/>
    <n v="0"/>
    <n v="0"/>
    <n v="26.71"/>
    <m/>
    <m/>
    <m/>
    <m/>
    <n v="0"/>
    <n v="29"/>
    <n v="29"/>
    <n v="0"/>
    <n v="0"/>
    <n v="0"/>
    <n v="0"/>
    <n v="0"/>
    <n v="0"/>
    <n v="0"/>
    <n v="0"/>
    <n v="0"/>
    <n v="0"/>
    <m/>
    <m/>
    <m/>
    <m/>
    <m/>
    <m/>
    <m/>
    <m/>
    <m/>
    <m/>
    <m/>
    <m/>
    <m/>
    <m/>
    <m/>
    <m/>
    <m/>
    <m/>
    <m/>
    <m/>
    <m/>
    <m/>
    <m/>
    <m/>
    <m/>
    <m/>
    <m/>
    <m/>
    <m/>
    <m/>
    <m/>
    <m/>
    <m/>
    <m/>
    <m/>
  </r>
  <r>
    <n v="742"/>
    <d v="2025-04-22T00:00:00"/>
    <s v="ZBTO"/>
    <n v="9518712127"/>
    <n v="10"/>
    <s v="9518712127-10"/>
    <s v="May'25"/>
    <x v="0"/>
    <m/>
    <x v="1"/>
    <x v="1"/>
    <s v="2000-BPRS"/>
    <m/>
    <x v="1"/>
    <m/>
    <m/>
    <m/>
    <m/>
    <s v="SALEM"/>
    <m/>
    <n v="116465"/>
    <s v="SRI BALAJI STEEL TRADERS"/>
    <n v="1801456"/>
    <s v="CRCA COIL-TATXXD-AU03-0.7X1250"/>
    <m/>
    <m/>
    <n v="6"/>
    <n v="18"/>
    <m/>
    <s v="C01"/>
    <s v="TATXXD"/>
    <s v="AU03"/>
    <n v="0.7"/>
    <n v="1250"/>
    <n v="0"/>
    <n v="29"/>
    <n v="0"/>
    <n v="29"/>
    <m/>
    <m/>
    <n v="29"/>
    <m/>
    <n v="0"/>
    <n v="0"/>
    <n v="0"/>
    <n v="0"/>
    <n v="0"/>
    <n v="0"/>
    <n v="0"/>
    <n v="0"/>
    <n v="0"/>
    <n v="0"/>
    <n v="0"/>
    <n v="0"/>
    <n v="27.55"/>
    <n v="0"/>
    <n v="0"/>
    <n v="0"/>
    <n v="0"/>
    <n v="0"/>
    <n v="27.55"/>
    <m/>
    <m/>
    <m/>
    <m/>
    <n v="0"/>
    <n v="29"/>
    <n v="29"/>
    <n v="0"/>
    <n v="0"/>
    <n v="0"/>
    <n v="0"/>
    <n v="0"/>
    <n v="0"/>
    <n v="0"/>
    <n v="0"/>
    <n v="0"/>
    <n v="0"/>
    <m/>
    <m/>
    <m/>
    <m/>
    <m/>
    <m/>
    <m/>
    <m/>
    <m/>
    <m/>
    <m/>
    <m/>
    <m/>
    <m/>
    <m/>
    <m/>
    <m/>
    <m/>
    <m/>
    <m/>
    <m/>
    <m/>
    <m/>
    <m/>
    <m/>
    <m/>
    <m/>
    <m/>
    <m/>
    <m/>
    <m/>
    <m/>
    <m/>
    <m/>
    <m/>
  </r>
  <r>
    <n v="742"/>
    <d v="2025-04-17T00:00:00"/>
    <s v="ZBTO"/>
    <n v="9518699641"/>
    <n v="1"/>
    <s v="9518699641-1"/>
    <s v="May'25"/>
    <x v="0"/>
    <m/>
    <x v="1"/>
    <x v="1"/>
    <s v="2000-BPRS"/>
    <m/>
    <x v="1"/>
    <m/>
    <m/>
    <m/>
    <m/>
    <s v="GUMMIDIPOONDI"/>
    <m/>
    <n v="161312"/>
    <s v="GOVINDARAJA MUDALIAR SONS PVT LTD"/>
    <n v="1801456"/>
    <s v="CRCA COIL-TATXXD-AU03-0.7X1250"/>
    <m/>
    <m/>
    <n v="5"/>
    <n v="29"/>
    <m/>
    <s v="C01"/>
    <s v="TATXXD"/>
    <s v="AU03"/>
    <n v="0.7"/>
    <n v="1250"/>
    <n v="0"/>
    <n v="29"/>
    <n v="0"/>
    <n v="29"/>
    <m/>
    <m/>
    <n v="29"/>
    <m/>
    <n v="0"/>
    <n v="0"/>
    <n v="0"/>
    <n v="0"/>
    <n v="0"/>
    <n v="0"/>
    <n v="0"/>
    <n v="0"/>
    <n v="0"/>
    <n v="0"/>
    <n v="0"/>
    <n v="0"/>
    <n v="27.46"/>
    <n v="0"/>
    <n v="0"/>
    <n v="0"/>
    <n v="0"/>
    <n v="0"/>
    <n v="27.46"/>
    <m/>
    <m/>
    <m/>
    <m/>
    <n v="0"/>
    <n v="29"/>
    <n v="29"/>
    <n v="0"/>
    <n v="0"/>
    <n v="0"/>
    <n v="0"/>
    <n v="0"/>
    <n v="0"/>
    <n v="0"/>
    <n v="0"/>
    <n v="0"/>
    <n v="0"/>
    <m/>
    <m/>
    <m/>
    <m/>
    <m/>
    <m/>
    <m/>
    <m/>
    <m/>
    <m/>
    <m/>
    <m/>
    <m/>
    <m/>
    <m/>
    <m/>
    <m/>
    <m/>
    <m/>
    <m/>
    <m/>
    <m/>
    <m/>
    <m/>
    <m/>
    <m/>
    <m/>
    <m/>
    <m/>
    <m/>
    <m/>
    <m/>
    <m/>
    <m/>
    <m/>
  </r>
  <r>
    <n v="742"/>
    <d v="2025-04-16T00:00:00"/>
    <s v="ZBTO"/>
    <n v="9518696886"/>
    <n v="2"/>
    <s v="9518696886-2"/>
    <s v="May'25"/>
    <x v="0"/>
    <m/>
    <x v="1"/>
    <x v="2"/>
    <s v="2000-BPRS"/>
    <m/>
    <x v="1"/>
    <m/>
    <m/>
    <m/>
    <m/>
    <s v="GORAKHPUR"/>
    <m/>
    <n v="115841"/>
    <s v="O.V.S. ISPAT UDYOG"/>
    <n v="3240760"/>
    <s v="CRCA SHEET TSBCRC SR15 0.500X1000X2500"/>
    <m/>
    <m/>
    <n v="0"/>
    <n v="0"/>
    <m/>
    <s v="C06"/>
    <s v="TSBCRC"/>
    <s v="SR15"/>
    <n v="0.5"/>
    <n v="1000"/>
    <n v="2500"/>
    <n v="30"/>
    <n v="0"/>
    <n v="30"/>
    <m/>
    <m/>
    <n v="30"/>
    <m/>
    <n v="0"/>
    <n v="0"/>
    <n v="0"/>
    <n v="0"/>
    <n v="0"/>
    <n v="0"/>
    <n v="0"/>
    <n v="0"/>
    <n v="0"/>
    <n v="0"/>
    <n v="0"/>
    <n v="22.26"/>
    <n v="0"/>
    <n v="0"/>
    <n v="0"/>
    <n v="0"/>
    <n v="0"/>
    <n v="0"/>
    <n v="22.26"/>
    <m/>
    <m/>
    <m/>
    <m/>
    <n v="0"/>
    <n v="30"/>
    <n v="0"/>
    <n v="30"/>
    <n v="0"/>
    <n v="0"/>
    <n v="0"/>
    <n v="30"/>
    <n v="0"/>
    <n v="30"/>
    <n v="0"/>
    <n v="0"/>
    <n v="0"/>
    <m/>
    <m/>
    <m/>
    <m/>
    <m/>
    <m/>
    <m/>
    <m/>
    <m/>
    <m/>
    <m/>
    <m/>
    <m/>
    <m/>
    <m/>
    <m/>
    <m/>
    <m/>
    <m/>
    <m/>
    <m/>
    <m/>
    <m/>
    <m/>
    <m/>
    <m/>
    <m/>
    <m/>
    <m/>
    <m/>
    <m/>
    <m/>
    <m/>
    <m/>
    <m/>
  </r>
  <r>
    <n v="742"/>
    <d v="2025-04-24T00:00:00"/>
    <s v="ZBTN"/>
    <n v="9518716588"/>
    <n v="1"/>
    <s v="9518716588-1"/>
    <s v="May'25"/>
    <x v="0"/>
    <m/>
    <x v="1"/>
    <x v="17"/>
    <s v="2000-BPRS"/>
    <m/>
    <x v="1"/>
    <m/>
    <m/>
    <m/>
    <m/>
    <s v="VISHAKHAPATNAM"/>
    <m/>
    <n v="189881"/>
    <s v="Magni Steel Pvt Ltd"/>
    <n v="3532124"/>
    <s v="CRCA SHEET TATCRC EX08 0.300X1219X2438"/>
    <m/>
    <m/>
    <n v="2"/>
    <n v="3"/>
    <m/>
    <s v="C06"/>
    <s v="TATCRC"/>
    <s v="EX08"/>
    <n v="0.3"/>
    <n v="1219"/>
    <n v="2438"/>
    <n v="52"/>
    <n v="0"/>
    <n v="52"/>
    <m/>
    <m/>
    <n v="52"/>
    <m/>
    <n v="52.88"/>
    <n v="0"/>
    <n v="0"/>
    <n v="0"/>
    <n v="0"/>
    <n v="0"/>
    <n v="0"/>
    <n v="0"/>
    <n v="0"/>
    <n v="0"/>
    <n v="0"/>
    <n v="0"/>
    <n v="0"/>
    <n v="0"/>
    <n v="0"/>
    <n v="0"/>
    <n v="0"/>
    <n v="0"/>
    <n v="52.88"/>
    <m/>
    <m/>
    <m/>
    <m/>
    <n v="0"/>
    <n v="52"/>
    <n v="0"/>
    <n v="0"/>
    <n v="52"/>
    <n v="0"/>
    <n v="0"/>
    <n v="0"/>
    <n v="0"/>
    <n v="0"/>
    <n v="0"/>
    <n v="0"/>
    <n v="0"/>
    <m/>
    <m/>
    <m/>
    <m/>
    <m/>
    <m/>
    <m/>
    <m/>
    <m/>
    <m/>
    <m/>
    <m/>
    <m/>
    <m/>
    <m/>
    <m/>
    <m/>
    <m/>
    <m/>
    <m/>
    <m/>
    <m/>
    <m/>
    <m/>
    <m/>
    <m/>
    <m/>
    <m/>
    <m/>
    <m/>
    <m/>
    <m/>
    <m/>
    <m/>
    <m/>
  </r>
  <r>
    <n v="742"/>
    <d v="2025-04-23T00:00:00"/>
    <s v="ZBTO"/>
    <n v="9518715119"/>
    <n v="3"/>
    <s v="9518715119-3"/>
    <s v="May'25"/>
    <x v="0"/>
    <m/>
    <x v="1"/>
    <x v="2"/>
    <s v="2000-BPRS"/>
    <m/>
    <x v="1"/>
    <m/>
    <m/>
    <m/>
    <m/>
    <s v="URLA"/>
    <m/>
    <n v="931662"/>
    <s v="PRESTIGE METALLICS PRIVATE LIMITED"/>
    <n v="3240760"/>
    <s v="CRCA SHEET TSBCRC SR15 0.500X1000X2500"/>
    <m/>
    <m/>
    <n v="1"/>
    <n v="5"/>
    <m/>
    <s v="C06"/>
    <s v="TSBCRC"/>
    <s v="SR15"/>
    <n v="0.5"/>
    <n v="1000"/>
    <n v="2500"/>
    <n v="24"/>
    <n v="0"/>
    <n v="24"/>
    <m/>
    <m/>
    <n v="24"/>
    <m/>
    <n v="0"/>
    <n v="0"/>
    <n v="0"/>
    <n v="0"/>
    <n v="0"/>
    <n v="0"/>
    <n v="0"/>
    <n v="0"/>
    <n v="0"/>
    <n v="0"/>
    <n v="0"/>
    <n v="0"/>
    <n v="21.86"/>
    <n v="0"/>
    <n v="0"/>
    <n v="0"/>
    <n v="0"/>
    <n v="0"/>
    <n v="21.86"/>
    <m/>
    <m/>
    <m/>
    <m/>
    <n v="0"/>
    <n v="24"/>
    <n v="0"/>
    <n v="24"/>
    <n v="0"/>
    <n v="0"/>
    <n v="0"/>
    <n v="24"/>
    <n v="0"/>
    <n v="24"/>
    <n v="0"/>
    <n v="0"/>
    <n v="0"/>
    <m/>
    <m/>
    <m/>
    <m/>
    <m/>
    <m/>
    <m/>
    <m/>
    <m/>
    <m/>
    <m/>
    <m/>
    <m/>
    <m/>
    <m/>
    <m/>
    <m/>
    <m/>
    <m/>
    <m/>
    <m/>
    <m/>
    <m/>
    <m/>
    <m/>
    <m/>
    <m/>
    <m/>
    <m/>
    <m/>
    <m/>
    <m/>
    <m/>
    <m/>
    <m/>
  </r>
  <r>
    <n v="742"/>
    <d v="2025-04-21T00:00:00"/>
    <s v="ZBTF"/>
    <n v="9518709061"/>
    <n v="13"/>
    <s v="9518709061-13"/>
    <s v="No Priority"/>
    <x v="0"/>
    <m/>
    <x v="1"/>
    <x v="6"/>
    <s v="2000-BPRS"/>
    <m/>
    <x v="0"/>
    <m/>
    <m/>
    <m/>
    <s v="South"/>
    <s v="YESHWANTHPURA"/>
    <m/>
    <n v="650742"/>
    <s v="Angul Cold Rolling Mill"/>
    <n v="2279483"/>
    <s v="CRCA COIL TSBHSQ TU99 2X1270"/>
    <m/>
    <m/>
    <n v="10"/>
    <n v="27"/>
    <m/>
    <s v="C01"/>
    <s v="TSBHSQ"/>
    <s v="TU99"/>
    <n v="2"/>
    <n v="1270"/>
    <n v="0"/>
    <n v="58"/>
    <n v="0"/>
    <n v="58"/>
    <m/>
    <m/>
    <n v="58"/>
    <m/>
    <n v="0"/>
    <n v="0"/>
    <n v="28.42"/>
    <n v="0"/>
    <n v="0"/>
    <n v="0"/>
    <n v="0"/>
    <n v="0"/>
    <n v="0"/>
    <n v="0"/>
    <n v="0"/>
    <n v="0"/>
    <n v="27.14"/>
    <n v="0"/>
    <n v="0"/>
    <n v="0"/>
    <n v="0"/>
    <n v="0"/>
    <n v="55.56"/>
    <m/>
    <m/>
    <m/>
    <m/>
    <n v="0"/>
    <n v="0"/>
    <n v="0"/>
    <n v="0"/>
    <n v="0"/>
    <n v="0"/>
    <n v="0"/>
    <n v="0"/>
    <n v="0"/>
    <n v="0"/>
    <n v="0"/>
    <n v="0"/>
    <n v="0"/>
    <m/>
    <m/>
    <m/>
    <m/>
    <m/>
    <m/>
    <m/>
    <m/>
    <m/>
    <m/>
    <m/>
    <m/>
    <m/>
    <m/>
    <m/>
    <m/>
    <m/>
    <m/>
    <m/>
    <m/>
    <m/>
    <m/>
    <m/>
    <m/>
    <m/>
    <m/>
    <m/>
    <m/>
    <m/>
    <m/>
    <m/>
    <m/>
    <m/>
    <m/>
    <m/>
  </r>
  <r>
    <n v="742"/>
    <d v="2025-04-21T00:00:00"/>
    <s v="ZBTF"/>
    <n v="9518709061"/>
    <n v="11"/>
    <s v="9518709061-11"/>
    <s v="No Priority"/>
    <x v="0"/>
    <m/>
    <x v="1"/>
    <x v="6"/>
    <s v="2000-BPRS"/>
    <m/>
    <x v="0"/>
    <m/>
    <m/>
    <m/>
    <s v="South"/>
    <s v="YESHWANTHPURA"/>
    <m/>
    <n v="650742"/>
    <s v="Angul Cold Rolling Mill"/>
    <n v="2279476"/>
    <s v="CRCA COIL TSBHSQ TU99 1.400X1270"/>
    <m/>
    <m/>
    <n v="10"/>
    <n v="27"/>
    <m/>
    <s v="C01"/>
    <s v="TSBHSQ"/>
    <s v="TU99"/>
    <n v="1.4"/>
    <n v="1270"/>
    <n v="0"/>
    <n v="58"/>
    <n v="0"/>
    <n v="58"/>
    <m/>
    <m/>
    <n v="58"/>
    <m/>
    <n v="0"/>
    <n v="0"/>
    <n v="0"/>
    <n v="0"/>
    <n v="0"/>
    <n v="0"/>
    <n v="0"/>
    <n v="0"/>
    <n v="0"/>
    <n v="0"/>
    <n v="0"/>
    <n v="20.420000000000002"/>
    <n v="27.42"/>
    <n v="0"/>
    <n v="0"/>
    <n v="0"/>
    <n v="0"/>
    <n v="0"/>
    <n v="47.84"/>
    <m/>
    <m/>
    <m/>
    <m/>
    <n v="0"/>
    <n v="0"/>
    <n v="0"/>
    <n v="0"/>
    <n v="0"/>
    <n v="0"/>
    <n v="0"/>
    <n v="0"/>
    <n v="0"/>
    <n v="0"/>
    <n v="0"/>
    <n v="0"/>
    <n v="0"/>
    <m/>
    <m/>
    <m/>
    <m/>
    <m/>
    <m/>
    <m/>
    <m/>
    <m/>
    <m/>
    <m/>
    <m/>
    <m/>
    <m/>
    <m/>
    <m/>
    <m/>
    <m/>
    <m/>
    <m/>
    <m/>
    <m/>
    <m/>
    <m/>
    <m/>
    <m/>
    <m/>
    <m/>
    <m/>
    <m/>
    <m/>
    <m/>
    <m/>
    <m/>
    <m/>
  </r>
  <r>
    <n v="742"/>
    <d v="2025-04-21T00:00:00"/>
    <s v="ZBTF"/>
    <n v="9518709061"/>
    <n v="12"/>
    <s v="9518709061-12"/>
    <s v="No Priority"/>
    <x v="0"/>
    <m/>
    <x v="1"/>
    <x v="6"/>
    <s v="2000-BPRS"/>
    <m/>
    <x v="0"/>
    <m/>
    <m/>
    <m/>
    <s v="South"/>
    <s v="YESHWANTHPURA"/>
    <m/>
    <n v="650742"/>
    <s v="Angul Cold Rolling Mill"/>
    <n v="2279503"/>
    <s v="CRCA COIL TSBHSQ TU99 1.600X1270"/>
    <m/>
    <m/>
    <n v="10"/>
    <n v="27"/>
    <m/>
    <s v="C01"/>
    <s v="TSBHSQ"/>
    <s v="TU99"/>
    <n v="1.6"/>
    <n v="1270"/>
    <n v="0"/>
    <n v="87"/>
    <n v="0"/>
    <n v="87"/>
    <m/>
    <m/>
    <n v="87"/>
    <m/>
    <n v="0"/>
    <n v="0"/>
    <n v="0"/>
    <n v="0"/>
    <n v="0"/>
    <n v="0"/>
    <n v="0"/>
    <n v="0"/>
    <n v="0"/>
    <n v="0"/>
    <n v="0"/>
    <n v="0"/>
    <n v="80.260000000000005"/>
    <n v="0"/>
    <n v="0"/>
    <n v="0"/>
    <n v="0"/>
    <n v="0"/>
    <n v="80.260000000000005"/>
    <m/>
    <m/>
    <m/>
    <m/>
    <n v="0"/>
    <n v="0"/>
    <n v="0"/>
    <n v="0"/>
    <n v="0"/>
    <n v="0"/>
    <n v="0"/>
    <n v="0"/>
    <n v="0"/>
    <n v="0"/>
    <n v="0"/>
    <n v="0"/>
    <n v="0"/>
    <m/>
    <m/>
    <m/>
    <m/>
    <m/>
    <m/>
    <m/>
    <m/>
    <m/>
    <m/>
    <m/>
    <m/>
    <m/>
    <m/>
    <m/>
    <m/>
    <m/>
    <m/>
    <m/>
    <m/>
    <m/>
    <m/>
    <m/>
    <m/>
    <m/>
    <m/>
    <m/>
    <m/>
    <m/>
    <m/>
    <m/>
    <m/>
    <m/>
    <m/>
    <m/>
  </r>
  <r>
    <n v="742"/>
    <d v="2025-04-21T00:00:00"/>
    <s v="ZBTF"/>
    <n v="9518709061"/>
    <n v="5"/>
    <s v="9518709061-5"/>
    <s v="No Priority"/>
    <x v="0"/>
    <m/>
    <x v="1"/>
    <x v="6"/>
    <s v="2000-BPRS"/>
    <m/>
    <x v="0"/>
    <m/>
    <m/>
    <m/>
    <s v="South"/>
    <s v="YESHWANTHPURA"/>
    <m/>
    <n v="650742"/>
    <s v="Angul Cold Rolling Mill"/>
    <n v="2150938"/>
    <s v="CRCA COIL SA1008 TU98 1X1250"/>
    <m/>
    <m/>
    <n v="10"/>
    <n v="27"/>
    <m/>
    <s v="C01"/>
    <s v="SA1008"/>
    <s v="TU98"/>
    <n v="1"/>
    <n v="1250"/>
    <n v="0"/>
    <n v="58"/>
    <n v="0"/>
    <n v="58"/>
    <m/>
    <m/>
    <n v="58"/>
    <m/>
    <n v="0"/>
    <n v="28.42"/>
    <n v="0"/>
    <n v="0"/>
    <n v="0"/>
    <n v="0"/>
    <n v="0"/>
    <n v="0"/>
    <n v="0"/>
    <n v="0"/>
    <n v="0"/>
    <n v="27.5"/>
    <n v="0"/>
    <n v="0"/>
    <n v="0"/>
    <n v="0"/>
    <n v="0"/>
    <n v="0"/>
    <n v="55.92"/>
    <m/>
    <m/>
    <m/>
    <m/>
    <n v="0"/>
    <n v="0"/>
    <n v="0"/>
    <n v="0"/>
    <n v="0"/>
    <n v="0"/>
    <n v="0"/>
    <n v="0"/>
    <n v="0"/>
    <n v="0"/>
    <n v="0"/>
    <n v="0"/>
    <n v="0"/>
    <m/>
    <m/>
    <m/>
    <m/>
    <m/>
    <m/>
    <m/>
    <m/>
    <m/>
    <m/>
    <m/>
    <m/>
    <m/>
    <m/>
    <m/>
    <m/>
    <m/>
    <m/>
    <m/>
    <m/>
    <m/>
    <m/>
    <m/>
    <m/>
    <m/>
    <m/>
    <m/>
    <m/>
    <m/>
    <m/>
    <m/>
    <m/>
    <m/>
    <m/>
    <m/>
  </r>
  <r>
    <n v="742"/>
    <d v="2025-04-16T00:00:00"/>
    <s v="ZBTO"/>
    <n v="9518697965"/>
    <n v="7"/>
    <s v="9518697965-7"/>
    <s v="May'25 additional"/>
    <x v="0"/>
    <m/>
    <x v="0"/>
    <x v="0"/>
    <s v="2000-BPRS"/>
    <m/>
    <x v="1"/>
    <m/>
    <m/>
    <m/>
    <m/>
    <s v="YESHWANTHPURA"/>
    <m/>
    <n v="939268"/>
    <s v="TATA STEEL DOWNSTREAM PRODUCTS LIMI"/>
    <n v="1252835"/>
    <s v="HR COILS-PO IS 1079 HR2 3.20X1250"/>
    <m/>
    <m/>
    <n v="17"/>
    <n v="27.5"/>
    <m/>
    <n v="768"/>
    <s v="THR099"/>
    <s v="HR99"/>
    <n v="3.2"/>
    <n v="1250"/>
    <n v="0"/>
    <n v="58"/>
    <n v="0"/>
    <m/>
    <m/>
    <m/>
    <n v="58"/>
    <m/>
    <m/>
    <m/>
    <m/>
    <m/>
    <m/>
    <m/>
    <m/>
    <m/>
    <m/>
    <m/>
    <m/>
    <m/>
    <m/>
    <m/>
    <m/>
    <m/>
    <m/>
    <m/>
    <n v="0"/>
    <m/>
    <m/>
    <m/>
    <m/>
    <n v="0"/>
    <n v="58"/>
    <n v="0"/>
    <n v="0"/>
    <n v="58"/>
    <n v="0"/>
    <n v="0"/>
    <n v="0"/>
    <n v="0"/>
    <n v="0"/>
    <n v="0"/>
    <n v="0"/>
    <n v="0"/>
    <m/>
    <m/>
    <m/>
    <m/>
    <m/>
    <m/>
    <m/>
    <m/>
    <m/>
    <m/>
    <m/>
    <m/>
    <m/>
    <m/>
    <m/>
    <m/>
    <m/>
    <m/>
    <m/>
    <m/>
    <m/>
    <m/>
    <m/>
    <m/>
    <m/>
    <m/>
    <m/>
    <m/>
    <m/>
    <m/>
    <m/>
    <m/>
    <m/>
    <m/>
    <m/>
  </r>
  <r>
    <n v="742"/>
    <d v="2025-04-16T00:00:00"/>
    <s v="ZBTO"/>
    <n v="9518697965"/>
    <n v="8"/>
    <s v="9518697965-8"/>
    <s v="May'25 additional"/>
    <x v="0"/>
    <m/>
    <x v="0"/>
    <x v="0"/>
    <s v="2000-BPRS"/>
    <m/>
    <x v="1"/>
    <m/>
    <m/>
    <m/>
    <m/>
    <s v="YESHWANTHPURA"/>
    <m/>
    <n v="939268"/>
    <s v="TATA STEEL DOWNSTREAM PRODUCTS LIMI"/>
    <n v="1252836"/>
    <s v="HR COILS-PO IS 1079 HR2 3.50X1250"/>
    <m/>
    <m/>
    <n v="17"/>
    <n v="27.5"/>
    <m/>
    <n v="768"/>
    <s v="THR099"/>
    <s v="HR99"/>
    <n v="3.5"/>
    <n v="1250"/>
    <n v="0"/>
    <n v="29"/>
    <n v="0"/>
    <m/>
    <m/>
    <m/>
    <n v="29"/>
    <m/>
    <m/>
    <m/>
    <m/>
    <m/>
    <m/>
    <m/>
    <m/>
    <m/>
    <m/>
    <m/>
    <m/>
    <m/>
    <m/>
    <m/>
    <m/>
    <m/>
    <m/>
    <m/>
    <n v="0"/>
    <m/>
    <m/>
    <m/>
    <m/>
    <n v="0"/>
    <n v="29"/>
    <n v="0"/>
    <n v="0"/>
    <n v="0"/>
    <n v="0"/>
    <n v="29"/>
    <n v="0"/>
    <n v="0"/>
    <n v="0"/>
    <n v="0"/>
    <n v="0"/>
    <n v="0"/>
    <m/>
    <m/>
    <m/>
    <m/>
    <m/>
    <m/>
    <m/>
    <m/>
    <m/>
    <m/>
    <m/>
    <m/>
    <m/>
    <m/>
    <m/>
    <m/>
    <m/>
    <m/>
    <m/>
    <m/>
    <m/>
    <m/>
    <m/>
    <m/>
    <m/>
    <m/>
    <m/>
    <m/>
    <m/>
    <m/>
    <m/>
    <m/>
    <m/>
    <m/>
    <m/>
  </r>
  <r>
    <n v="742"/>
    <d v="2025-04-16T00:00:00"/>
    <s v="ZBTO"/>
    <n v="9518697965"/>
    <n v="4"/>
    <s v="9518697965-4"/>
    <s v="May'25 additional"/>
    <x v="0"/>
    <m/>
    <x v="0"/>
    <x v="0"/>
    <s v="2000-BPRS"/>
    <m/>
    <x v="1"/>
    <m/>
    <m/>
    <m/>
    <m/>
    <s v="YESHWANTHPURA"/>
    <m/>
    <n v="939268"/>
    <s v="TATA STEEL DOWNSTREAM PRODUCTS LIMI"/>
    <n v="1272343"/>
    <s v="HR COILS-PO IS 1079 HR2 2.60X1250"/>
    <m/>
    <m/>
    <n v="17"/>
    <n v="27.5"/>
    <m/>
    <n v="768"/>
    <s v="THR099"/>
    <s v="HR99"/>
    <n v="2.6"/>
    <n v="1250"/>
    <n v="0"/>
    <n v="25"/>
    <n v="0"/>
    <m/>
    <m/>
    <m/>
    <n v="25"/>
    <m/>
    <m/>
    <m/>
    <m/>
    <m/>
    <m/>
    <m/>
    <m/>
    <m/>
    <m/>
    <m/>
    <m/>
    <m/>
    <m/>
    <m/>
    <m/>
    <m/>
    <m/>
    <m/>
    <n v="0"/>
    <m/>
    <m/>
    <m/>
    <m/>
    <n v="0"/>
    <n v="25"/>
    <n v="0"/>
    <n v="0"/>
    <n v="0"/>
    <n v="0"/>
    <n v="25"/>
    <n v="0"/>
    <n v="0"/>
    <n v="0"/>
    <n v="0"/>
    <n v="0"/>
    <n v="0"/>
    <m/>
    <m/>
    <m/>
    <m/>
    <m/>
    <m/>
    <m/>
    <m/>
    <m/>
    <m/>
    <m/>
    <m/>
    <m/>
    <m/>
    <m/>
    <m/>
    <m/>
    <m/>
    <m/>
    <m/>
    <m/>
    <m/>
    <m/>
    <m/>
    <m/>
    <m/>
    <m/>
    <m/>
    <m/>
    <m/>
    <m/>
    <m/>
    <m/>
    <m/>
    <m/>
  </r>
  <r>
    <n v="742"/>
    <d v="2025-04-03T00:00:00"/>
    <s v="ZBTO"/>
    <n v="9518666879"/>
    <n v="2"/>
    <s v="9518666879-2"/>
    <s v="May'25 additional"/>
    <x v="0"/>
    <m/>
    <x v="0"/>
    <x v="0"/>
    <s v="2000-BPRS"/>
    <m/>
    <x v="1"/>
    <m/>
    <m/>
    <m/>
    <m/>
    <s v="CHENNAI"/>
    <m/>
    <n v="102888"/>
    <s v="THIRUPATHY STEELS "/>
    <n v="1251304"/>
    <s v="HR COILS-PO IS 1079 HR2 4.50X1250"/>
    <m/>
    <m/>
    <n v="18"/>
    <n v="27"/>
    <m/>
    <n v="768"/>
    <s v="THR099"/>
    <s v="HR99"/>
    <n v="4.5"/>
    <n v="1250"/>
    <n v="0"/>
    <n v="29"/>
    <n v="0"/>
    <m/>
    <m/>
    <m/>
    <n v="29"/>
    <m/>
    <m/>
    <m/>
    <m/>
    <m/>
    <m/>
    <m/>
    <m/>
    <m/>
    <m/>
    <m/>
    <m/>
    <m/>
    <m/>
    <m/>
    <m/>
    <m/>
    <m/>
    <m/>
    <n v="0"/>
    <m/>
    <m/>
    <m/>
    <m/>
    <n v="0"/>
    <n v="29"/>
    <n v="0"/>
    <n v="0"/>
    <n v="0"/>
    <n v="0"/>
    <n v="29"/>
    <n v="0"/>
    <n v="0"/>
    <n v="0"/>
    <n v="0"/>
    <n v="0"/>
    <n v="0"/>
    <m/>
    <m/>
    <m/>
    <m/>
    <m/>
    <m/>
    <m/>
    <m/>
    <m/>
    <m/>
    <m/>
    <m/>
    <m/>
    <m/>
    <m/>
    <m/>
    <m/>
    <m/>
    <m/>
    <m/>
    <m/>
    <m/>
    <m/>
    <m/>
    <m/>
    <m/>
    <m/>
    <m/>
    <m/>
    <m/>
    <m/>
    <m/>
    <m/>
    <m/>
    <m/>
  </r>
  <r>
    <n v="742"/>
    <d v="2025-04-29T00:00:00"/>
    <s v="ZBTO"/>
    <n v="9518731229"/>
    <n v="2"/>
    <s v="9518731229-2"/>
    <s v="May'25 additional"/>
    <x v="0"/>
    <m/>
    <x v="0"/>
    <x v="0"/>
    <s v="2000-BPRS"/>
    <m/>
    <x v="1"/>
    <m/>
    <m/>
    <m/>
    <m/>
    <s v="HOWRAH"/>
    <m/>
    <n v="154464"/>
    <s v="TATA STEEL DOWNSTREAM PRODUCTS LIMI"/>
    <n v="1250221"/>
    <s v="HR COILS-PO IS 1079 HR2 2.50X1250"/>
    <m/>
    <m/>
    <n v="16"/>
    <n v="34"/>
    <m/>
    <n v="768"/>
    <s v="THR099"/>
    <s v="HR99"/>
    <n v="2.5"/>
    <n v="1250"/>
    <n v="0"/>
    <n v="115.9"/>
    <n v="0"/>
    <m/>
    <m/>
    <m/>
    <n v="115.9"/>
    <m/>
    <m/>
    <m/>
    <m/>
    <m/>
    <m/>
    <m/>
    <m/>
    <m/>
    <m/>
    <m/>
    <m/>
    <m/>
    <m/>
    <m/>
    <m/>
    <m/>
    <m/>
    <m/>
    <n v="0"/>
    <m/>
    <m/>
    <m/>
    <m/>
    <n v="0"/>
    <n v="115.9"/>
    <n v="0"/>
    <n v="0"/>
    <n v="0"/>
    <n v="115.9"/>
    <n v="0"/>
    <n v="0"/>
    <n v="0"/>
    <n v="0"/>
    <n v="0"/>
    <n v="0"/>
    <n v="0"/>
    <m/>
    <m/>
    <m/>
    <m/>
    <m/>
    <m/>
    <m/>
    <m/>
    <m/>
    <m/>
    <m/>
    <m/>
    <m/>
    <m/>
    <m/>
    <m/>
    <m/>
    <m/>
    <m/>
    <m/>
    <m/>
    <m/>
    <m/>
    <m/>
    <m/>
    <m/>
    <m/>
    <m/>
    <m/>
    <m/>
    <m/>
    <m/>
    <m/>
    <m/>
    <m/>
  </r>
  <r>
    <n v="742"/>
    <d v="2025-04-29T00:00:00"/>
    <s v="ZBTO"/>
    <n v="9518731229"/>
    <n v="3"/>
    <s v="9518731229-3"/>
    <s v="May'25 additional"/>
    <x v="0"/>
    <m/>
    <x v="0"/>
    <x v="0"/>
    <s v="2000-BPRS"/>
    <m/>
    <x v="1"/>
    <m/>
    <m/>
    <m/>
    <m/>
    <s v="HOWRAH"/>
    <m/>
    <n v="154464"/>
    <s v="TATA STEEL DOWNSTREAM PRODUCTS LIMI"/>
    <n v="1252834"/>
    <s v="HR COILS-PO IS 1079 HR2 3.0X1250"/>
    <m/>
    <m/>
    <n v="16"/>
    <n v="34"/>
    <m/>
    <n v="768"/>
    <s v="THR099"/>
    <s v="HR99"/>
    <n v="3"/>
    <n v="1250"/>
    <n v="0"/>
    <n v="115.9"/>
    <n v="0"/>
    <m/>
    <m/>
    <m/>
    <n v="115.9"/>
    <m/>
    <m/>
    <m/>
    <m/>
    <m/>
    <m/>
    <m/>
    <m/>
    <m/>
    <m/>
    <m/>
    <m/>
    <m/>
    <m/>
    <m/>
    <m/>
    <m/>
    <m/>
    <m/>
    <n v="0"/>
    <m/>
    <m/>
    <m/>
    <m/>
    <n v="0"/>
    <n v="115.9"/>
    <n v="0"/>
    <n v="115.9"/>
    <n v="0"/>
    <n v="0"/>
    <n v="0"/>
    <n v="115.9"/>
    <n v="0"/>
    <n v="115.9"/>
    <n v="0"/>
    <n v="0"/>
    <n v="0"/>
    <m/>
    <m/>
    <m/>
    <m/>
    <m/>
    <m/>
    <m/>
    <m/>
    <m/>
    <m/>
    <m/>
    <m/>
    <m/>
    <m/>
    <m/>
    <m/>
    <m/>
    <m/>
    <m/>
    <m/>
    <m/>
    <m/>
    <m/>
    <m/>
    <m/>
    <m/>
    <m/>
    <m/>
    <m/>
    <m/>
    <m/>
    <m/>
    <m/>
    <m/>
    <m/>
  </r>
  <r>
    <n v="742"/>
    <d v="2025-04-21T00:00:00"/>
    <s v="ZBTO"/>
    <n v="9518708683"/>
    <n v="1"/>
    <s v="9518708683-1"/>
    <s v="May'25 additional"/>
    <x v="0"/>
    <m/>
    <x v="0"/>
    <x v="0"/>
    <s v="2200-BPRS"/>
    <m/>
    <x v="1"/>
    <m/>
    <m/>
    <m/>
    <m/>
    <s v="KOLAR"/>
    <m/>
    <n v="801611"/>
    <s v="SHIVA FERRIC PVT LTD"/>
    <n v="1424552"/>
    <s v="HR COILS-PO IS 1079 HR2 2.01X1250"/>
    <m/>
    <m/>
    <n v="15"/>
    <n v="25"/>
    <m/>
    <n v="768"/>
    <s v="THR099"/>
    <s v="HR99"/>
    <n v="2.0099999999999998"/>
    <n v="1250"/>
    <n v="0"/>
    <n v="145"/>
    <n v="0"/>
    <m/>
    <m/>
    <m/>
    <n v="145"/>
    <m/>
    <m/>
    <m/>
    <m/>
    <m/>
    <m/>
    <m/>
    <m/>
    <m/>
    <m/>
    <m/>
    <m/>
    <m/>
    <m/>
    <m/>
    <m/>
    <m/>
    <m/>
    <m/>
    <n v="0"/>
    <m/>
    <m/>
    <m/>
    <m/>
    <n v="0"/>
    <n v="145"/>
    <n v="0"/>
    <n v="0"/>
    <n v="0"/>
    <n v="0"/>
    <n v="145"/>
    <n v="0"/>
    <n v="0"/>
    <n v="0"/>
    <n v="0"/>
    <n v="0"/>
    <n v="0"/>
    <m/>
    <m/>
    <m/>
    <m/>
    <m/>
    <m/>
    <m/>
    <m/>
    <m/>
    <m/>
    <m/>
    <m/>
    <m/>
    <m/>
    <m/>
    <m/>
    <m/>
    <m/>
    <m/>
    <m/>
    <m/>
    <m/>
    <m/>
    <m/>
    <m/>
    <m/>
    <m/>
    <m/>
    <m/>
    <m/>
    <m/>
    <m/>
    <m/>
    <m/>
    <m/>
  </r>
  <r>
    <n v="742"/>
    <d v="2025-04-29T00:00:00"/>
    <s v="ZBTO"/>
    <n v="9518731229"/>
    <n v="1"/>
    <s v="9518731229-1"/>
    <s v="May'25 additional"/>
    <x v="0"/>
    <m/>
    <x v="0"/>
    <x v="0"/>
    <s v="2000-BPRS"/>
    <m/>
    <x v="1"/>
    <m/>
    <m/>
    <m/>
    <m/>
    <s v="HOWRAH"/>
    <m/>
    <n v="154464"/>
    <s v="TATA STEEL DOWNSTREAM PRODUCTS LIMI"/>
    <n v="1210083"/>
    <s v="HR COILS-PO IS 1079 HR2 2X1250"/>
    <m/>
    <m/>
    <n v="16"/>
    <n v="34"/>
    <m/>
    <n v="768"/>
    <s v="THR099"/>
    <s v="HR99"/>
    <n v="2"/>
    <n v="1250"/>
    <n v="0"/>
    <n v="115.9"/>
    <n v="0"/>
    <m/>
    <m/>
    <m/>
    <n v="115.9"/>
    <m/>
    <m/>
    <m/>
    <m/>
    <m/>
    <m/>
    <m/>
    <m/>
    <m/>
    <m/>
    <m/>
    <m/>
    <m/>
    <m/>
    <m/>
    <m/>
    <m/>
    <m/>
    <m/>
    <n v="0"/>
    <m/>
    <m/>
    <m/>
    <m/>
    <n v="0"/>
    <n v="115.9"/>
    <n v="0"/>
    <n v="0"/>
    <n v="0"/>
    <n v="0"/>
    <n v="115.9"/>
    <n v="0"/>
    <n v="0"/>
    <n v="0"/>
    <n v="0"/>
    <n v="0"/>
    <n v="0"/>
    <m/>
    <m/>
    <m/>
    <m/>
    <m/>
    <m/>
    <m/>
    <m/>
    <m/>
    <m/>
    <m/>
    <m/>
    <m/>
    <m/>
    <m/>
    <m/>
    <m/>
    <m/>
    <m/>
    <m/>
    <m/>
    <m/>
    <m/>
    <m/>
    <m/>
    <m/>
    <m/>
    <m/>
    <m/>
    <m/>
    <m/>
    <m/>
    <m/>
    <m/>
    <m/>
  </r>
  <r>
    <n v="743"/>
    <d v="2025-04-26T00:00:00"/>
    <s v="ZBTO"/>
    <n v="9518724466"/>
    <n v="3"/>
    <s v="9518724466-3"/>
    <s v="May'25 additional"/>
    <x v="0"/>
    <m/>
    <x v="3"/>
    <x v="4"/>
    <n v="2000"/>
    <m/>
    <x v="1"/>
    <m/>
    <m/>
    <m/>
    <m/>
    <s v="YESHWANTHPURA"/>
    <m/>
    <n v="942923"/>
    <s v="S C SHETTAR and SONS PRIVATE LIMITED"/>
    <n v="3777532"/>
    <s v="GP COIL TATGPH GP02 0.450X1015"/>
    <s v="Z120"/>
    <m/>
    <n v="1"/>
    <n v="5"/>
    <m/>
    <s v="C05"/>
    <s v="TATGPH"/>
    <s v="GP02"/>
    <n v="0.45"/>
    <n v="1015"/>
    <n v="0"/>
    <n v="23"/>
    <n v="0"/>
    <m/>
    <m/>
    <m/>
    <n v="23"/>
    <m/>
    <m/>
    <m/>
    <m/>
    <m/>
    <m/>
    <m/>
    <m/>
    <m/>
    <m/>
    <m/>
    <m/>
    <m/>
    <m/>
    <m/>
    <m/>
    <m/>
    <m/>
    <m/>
    <n v="0"/>
    <m/>
    <m/>
    <m/>
    <m/>
    <n v="0"/>
    <n v="23"/>
    <n v="0"/>
    <n v="0"/>
    <n v="0"/>
    <n v="23"/>
    <n v="0"/>
    <n v="0"/>
    <n v="0"/>
    <n v="0"/>
    <n v="0"/>
    <n v="0"/>
    <n v="0"/>
    <m/>
    <m/>
    <m/>
    <m/>
    <m/>
    <m/>
    <m/>
    <m/>
    <m/>
    <m/>
    <m/>
    <m/>
    <m/>
    <m/>
    <m/>
    <m/>
    <m/>
    <m/>
    <m/>
    <m/>
    <m/>
    <m/>
    <m/>
    <m/>
    <m/>
    <m/>
    <m/>
    <m/>
    <m/>
    <m/>
    <m/>
    <m/>
    <m/>
    <m/>
    <m/>
  </r>
  <r>
    <n v="743"/>
    <d v="2025-04-26T00:00:00"/>
    <s v="ZBTO"/>
    <n v="9518724466"/>
    <n v="4"/>
    <s v="9518724466-4"/>
    <s v="May'25 additional"/>
    <x v="0"/>
    <m/>
    <x v="3"/>
    <x v="4"/>
    <n v="2000"/>
    <m/>
    <x v="1"/>
    <m/>
    <m/>
    <m/>
    <m/>
    <s v="YESHWANTHPURA"/>
    <m/>
    <n v="942923"/>
    <s v="S C SHETTAR and SONS PRIVATE LIMITED"/>
    <n v="3777533"/>
    <s v="GP COIL TATGPH GP02 0.500X1015"/>
    <s v="Z120"/>
    <m/>
    <n v="1"/>
    <n v="5"/>
    <m/>
    <s v="C05"/>
    <s v="TATGPH"/>
    <s v="GP02"/>
    <n v="0.5"/>
    <n v="1015"/>
    <n v="0"/>
    <n v="23"/>
    <n v="0"/>
    <m/>
    <m/>
    <m/>
    <n v="23"/>
    <m/>
    <m/>
    <m/>
    <m/>
    <m/>
    <m/>
    <m/>
    <m/>
    <m/>
    <m/>
    <m/>
    <m/>
    <m/>
    <m/>
    <m/>
    <m/>
    <m/>
    <m/>
    <m/>
    <n v="0"/>
    <m/>
    <m/>
    <m/>
    <m/>
    <n v="0"/>
    <n v="23"/>
    <n v="0"/>
    <n v="0"/>
    <n v="0"/>
    <n v="23"/>
    <n v="0"/>
    <n v="0"/>
    <n v="0"/>
    <n v="0"/>
    <n v="0"/>
    <n v="0"/>
    <n v="0"/>
    <m/>
    <m/>
    <m/>
    <m/>
    <m/>
    <m/>
    <m/>
    <m/>
    <m/>
    <m/>
    <m/>
    <m/>
    <m/>
    <m/>
    <m/>
    <m/>
    <m/>
    <m/>
    <m/>
    <m/>
    <m/>
    <m/>
    <m/>
    <m/>
    <m/>
    <m/>
    <m/>
    <m/>
    <m/>
    <m/>
    <m/>
    <m/>
    <m/>
    <m/>
    <m/>
  </r>
  <r>
    <n v="743"/>
    <d v="2025-04-26T00:00:00"/>
    <s v="ZBTO"/>
    <n v="9518724466"/>
    <n v="2"/>
    <s v="9518724466-2"/>
    <s v="May'25 additional"/>
    <x v="0"/>
    <m/>
    <x v="3"/>
    <x v="4"/>
    <n v="2000"/>
    <m/>
    <x v="1"/>
    <m/>
    <m/>
    <m/>
    <m/>
    <s v="YESHWANTHPURA"/>
    <m/>
    <n v="942923"/>
    <s v="S C SHETTAR and SONS PRIVATE LIMITED"/>
    <n v="3776939"/>
    <s v="GP COIL TATGPH GP02 0.400X1015"/>
    <s v="Z120"/>
    <m/>
    <n v="1"/>
    <n v="5"/>
    <m/>
    <s v="C05"/>
    <s v="TATGPH"/>
    <s v="GP02"/>
    <n v="0.4"/>
    <n v="1015"/>
    <n v="0"/>
    <n v="23"/>
    <n v="0"/>
    <m/>
    <m/>
    <m/>
    <n v="23"/>
    <m/>
    <m/>
    <m/>
    <m/>
    <m/>
    <m/>
    <m/>
    <m/>
    <m/>
    <m/>
    <m/>
    <m/>
    <m/>
    <m/>
    <m/>
    <m/>
    <m/>
    <m/>
    <m/>
    <n v="0"/>
    <m/>
    <m/>
    <m/>
    <m/>
    <n v="0"/>
    <n v="23"/>
    <n v="0"/>
    <n v="0"/>
    <n v="0"/>
    <n v="23"/>
    <n v="0"/>
    <n v="0"/>
    <n v="0"/>
    <n v="0"/>
    <n v="0"/>
    <n v="0"/>
    <n v="0"/>
    <m/>
    <m/>
    <m/>
    <m/>
    <m/>
    <m/>
    <m/>
    <m/>
    <m/>
    <m/>
    <m/>
    <m/>
    <m/>
    <m/>
    <m/>
    <m/>
    <m/>
    <m/>
    <m/>
    <m/>
    <m/>
    <m/>
    <m/>
    <m/>
    <m/>
    <m/>
    <m/>
    <m/>
    <m/>
    <m/>
    <m/>
    <m/>
    <m/>
    <m/>
    <m/>
  </r>
  <r>
    <n v="743"/>
    <m/>
    <s v="ZBTF"/>
    <m/>
    <m/>
    <m/>
    <s v="May'25 additional"/>
    <x v="3"/>
    <m/>
    <x v="3"/>
    <x v="20"/>
    <n v="2000"/>
    <n v="1100"/>
    <x v="1"/>
    <m/>
    <m/>
    <m/>
    <m/>
    <m/>
    <m/>
    <m/>
    <s v="Sanfab"/>
    <m/>
    <m/>
    <m/>
    <m/>
    <m/>
    <m/>
    <m/>
    <s v="C05"/>
    <s v="TATGPH"/>
    <s v="GP02"/>
    <n v="0.5"/>
    <n v="1350"/>
    <n v="0"/>
    <n v="600"/>
    <n v="0"/>
    <m/>
    <m/>
    <m/>
    <n v="600"/>
    <m/>
    <m/>
    <m/>
    <m/>
    <m/>
    <m/>
    <m/>
    <m/>
    <m/>
    <m/>
    <m/>
    <m/>
    <m/>
    <m/>
    <m/>
    <m/>
    <m/>
    <m/>
    <m/>
    <n v="0"/>
    <m/>
    <m/>
    <m/>
    <m/>
    <n v="0"/>
    <n v="300"/>
    <n v="0"/>
    <n v="0"/>
    <n v="0"/>
    <n v="0"/>
    <n v="300"/>
    <n v="0"/>
    <n v="0"/>
    <n v="0"/>
    <n v="0"/>
    <n v="0"/>
    <n v="0"/>
    <m/>
    <m/>
    <m/>
    <m/>
    <m/>
    <m/>
    <m/>
    <m/>
    <m/>
    <m/>
    <m/>
    <m/>
    <m/>
    <m/>
    <m/>
    <m/>
    <m/>
    <m/>
    <m/>
    <m/>
    <m/>
    <m/>
    <m/>
    <m/>
    <m/>
    <m/>
    <m/>
    <m/>
    <m/>
    <m/>
    <m/>
    <m/>
    <m/>
    <m/>
    <m/>
  </r>
  <r>
    <n v="743"/>
    <m/>
    <s v="ZBTF"/>
    <m/>
    <m/>
    <m/>
    <s v="May'25 additional"/>
    <x v="3"/>
    <m/>
    <x v="3"/>
    <x v="20"/>
    <n v="2000"/>
    <m/>
    <x v="1"/>
    <m/>
    <m/>
    <m/>
    <m/>
    <m/>
    <m/>
    <m/>
    <s v="NCPL"/>
    <m/>
    <m/>
    <m/>
    <m/>
    <m/>
    <m/>
    <m/>
    <s v="C05"/>
    <s v="TATGPH"/>
    <s v="GP02"/>
    <n v="0.35"/>
    <n v="1015"/>
    <n v="0"/>
    <n v="240"/>
    <n v="0"/>
    <m/>
    <m/>
    <m/>
    <n v="240"/>
    <m/>
    <m/>
    <m/>
    <m/>
    <m/>
    <m/>
    <m/>
    <m/>
    <m/>
    <m/>
    <m/>
    <m/>
    <m/>
    <m/>
    <m/>
    <m/>
    <m/>
    <m/>
    <m/>
    <n v="0"/>
    <m/>
    <m/>
    <m/>
    <m/>
    <n v="0"/>
    <n v="300"/>
    <n v="0"/>
    <n v="0"/>
    <n v="0"/>
    <n v="0"/>
    <n v="300"/>
    <n v="0"/>
    <n v="0"/>
    <n v="0"/>
    <n v="0"/>
    <n v="0"/>
    <n v="0"/>
    <m/>
    <m/>
    <m/>
    <m/>
    <m/>
    <m/>
    <m/>
    <m/>
    <m/>
    <m/>
    <m/>
    <m/>
    <m/>
    <m/>
    <m/>
    <m/>
    <m/>
    <m/>
    <m/>
    <m/>
    <m/>
    <m/>
    <m/>
    <m/>
    <m/>
    <m/>
    <m/>
    <m/>
    <m/>
    <m/>
    <m/>
    <m/>
    <m/>
    <m/>
    <m/>
  </r>
  <r>
    <n v="743"/>
    <m/>
    <s v="ZBTF"/>
    <m/>
    <m/>
    <m/>
    <s v="May'25 additional"/>
    <x v="3"/>
    <m/>
    <x v="3"/>
    <x v="20"/>
    <n v="2000"/>
    <m/>
    <x v="1"/>
    <m/>
    <m/>
    <m/>
    <m/>
    <m/>
    <m/>
    <m/>
    <s v="NCPL"/>
    <m/>
    <m/>
    <m/>
    <m/>
    <m/>
    <m/>
    <m/>
    <s v="C05"/>
    <s v="TATGPH"/>
    <s v="GP02"/>
    <n v="0.3"/>
    <n v="1015"/>
    <n v="0"/>
    <n v="240"/>
    <n v="0"/>
    <m/>
    <m/>
    <m/>
    <n v="240"/>
    <m/>
    <m/>
    <m/>
    <m/>
    <m/>
    <m/>
    <m/>
    <m/>
    <m/>
    <m/>
    <m/>
    <m/>
    <m/>
    <m/>
    <m/>
    <m/>
    <m/>
    <m/>
    <m/>
    <n v="0"/>
    <m/>
    <m/>
    <m/>
    <m/>
    <n v="0"/>
    <n v="300"/>
    <n v="0"/>
    <n v="0"/>
    <n v="0"/>
    <n v="0"/>
    <n v="300"/>
    <n v="0"/>
    <n v="0"/>
    <n v="0"/>
    <n v="0"/>
    <n v="0"/>
    <n v="0"/>
    <m/>
    <m/>
    <m/>
    <m/>
    <m/>
    <m/>
    <m/>
    <m/>
    <m/>
    <m/>
    <m/>
    <m/>
    <m/>
    <m/>
    <m/>
    <m/>
    <m/>
    <m/>
    <m/>
    <m/>
    <m/>
    <m/>
    <m/>
    <m/>
    <m/>
    <m/>
    <m/>
    <m/>
    <m/>
    <m/>
    <m/>
    <m/>
    <m/>
    <m/>
    <m/>
  </r>
  <r>
    <n v="743"/>
    <m/>
    <s v="ZBTT"/>
    <m/>
    <m/>
    <m/>
    <s v="May'25 additional"/>
    <x v="3"/>
    <m/>
    <x v="3"/>
    <x v="4"/>
    <n v="2000"/>
    <m/>
    <x v="1"/>
    <m/>
    <m/>
    <m/>
    <m/>
    <m/>
    <m/>
    <m/>
    <m/>
    <m/>
    <m/>
    <m/>
    <m/>
    <m/>
    <m/>
    <m/>
    <s v="C05"/>
    <s v="TATGPH"/>
    <s v="GP02"/>
    <n v="0.3"/>
    <n v="1350"/>
    <n v="0"/>
    <n v="210"/>
    <n v="0"/>
    <m/>
    <m/>
    <m/>
    <n v="210"/>
    <m/>
    <m/>
    <m/>
    <m/>
    <m/>
    <m/>
    <m/>
    <m/>
    <m/>
    <m/>
    <m/>
    <m/>
    <m/>
    <m/>
    <m/>
    <m/>
    <m/>
    <m/>
    <m/>
    <n v="0"/>
    <m/>
    <m/>
    <m/>
    <m/>
    <n v="0"/>
    <n v="300"/>
    <n v="0"/>
    <n v="0"/>
    <n v="0"/>
    <n v="0"/>
    <n v="300"/>
    <n v="0"/>
    <n v="0"/>
    <n v="0"/>
    <n v="0"/>
    <n v="0"/>
    <n v="0"/>
    <m/>
    <m/>
    <m/>
    <m/>
    <m/>
    <m/>
    <m/>
    <m/>
    <m/>
    <m/>
    <m/>
    <m/>
    <m/>
    <m/>
    <m/>
    <m/>
    <m/>
    <m/>
    <m/>
    <m/>
    <m/>
    <m/>
    <m/>
    <m/>
    <m/>
    <m/>
    <m/>
    <m/>
    <m/>
    <m/>
    <m/>
    <m/>
    <m/>
    <m/>
    <m/>
  </r>
  <r>
    <n v="742"/>
    <m/>
    <s v=""/>
    <m/>
    <m/>
    <s v="60893680-1"/>
    <s v="Stocks"/>
    <x v="4"/>
    <m/>
    <x v="1"/>
    <x v="10"/>
    <n v="1000"/>
    <m/>
    <x v="1"/>
    <m/>
    <m/>
    <m/>
    <s v=""/>
    <m/>
    <m/>
    <m/>
    <s v="Pilkhuwa Depot"/>
    <n v="2164800"/>
    <s v="CRCA COIL TATXXD BT02 0.970X913"/>
    <m/>
    <m/>
    <m/>
    <m/>
    <m/>
    <s v="C01"/>
    <s v="TATXXD"/>
    <s v="BT02"/>
    <n v="0.97"/>
    <n v="913"/>
    <m/>
    <m/>
    <m/>
    <m/>
    <m/>
    <m/>
    <m/>
    <m/>
    <m/>
    <m/>
    <m/>
    <m/>
    <m/>
    <m/>
    <m/>
    <m/>
    <m/>
    <m/>
    <m/>
    <m/>
    <m/>
    <m/>
    <m/>
    <m/>
    <m/>
    <m/>
    <m/>
    <m/>
    <m/>
    <m/>
    <m/>
    <n v="8.07"/>
    <n v="0"/>
    <n v="0"/>
    <n v="0"/>
    <n v="0"/>
    <n v="0"/>
    <n v="0"/>
    <n v="0"/>
    <n v="0"/>
    <n v="0"/>
    <n v="0"/>
    <n v="0"/>
    <n v="0"/>
    <m/>
    <m/>
    <m/>
    <m/>
    <m/>
    <m/>
    <m/>
    <m/>
    <m/>
    <m/>
    <m/>
    <m/>
    <m/>
    <m/>
    <m/>
    <m/>
    <m/>
    <m/>
    <m/>
    <m/>
    <m/>
    <m/>
    <m/>
    <m/>
    <m/>
    <m/>
    <m/>
    <m/>
    <m/>
    <m/>
    <m/>
    <m/>
    <m/>
    <m/>
    <m/>
  </r>
  <r>
    <n v="743"/>
    <m/>
    <s v=""/>
    <m/>
    <m/>
    <s v="60895201-22"/>
    <s v="Stocks"/>
    <x v="4"/>
    <m/>
    <x v="3"/>
    <x v="14"/>
    <n v="2000"/>
    <m/>
    <x v="1"/>
    <m/>
    <m/>
    <m/>
    <s v=""/>
    <m/>
    <m/>
    <m/>
    <s v="Pilkhuwa Depot"/>
    <n v="1851145"/>
    <s v="GP SHEET SOFT-TATXGP-GK09-0.5X1220"/>
    <m/>
    <m/>
    <m/>
    <m/>
    <m/>
    <s v="B11"/>
    <s v="TATXGP"/>
    <s v="GK09"/>
    <n v="0.5"/>
    <n v="1220"/>
    <m/>
    <m/>
    <m/>
    <m/>
    <m/>
    <m/>
    <m/>
    <m/>
    <m/>
    <m/>
    <m/>
    <m/>
    <m/>
    <m/>
    <m/>
    <m/>
    <m/>
    <m/>
    <m/>
    <m/>
    <m/>
    <m/>
    <m/>
    <m/>
    <m/>
    <m/>
    <m/>
    <m/>
    <m/>
    <m/>
    <m/>
    <n v="3.4849999999999999"/>
    <n v="0"/>
    <n v="0"/>
    <n v="0"/>
    <n v="0"/>
    <n v="0"/>
    <n v="0"/>
    <n v="0"/>
    <n v="0"/>
    <n v="0"/>
    <n v="0"/>
    <n v="0"/>
    <n v="0"/>
    <m/>
    <m/>
    <m/>
    <m/>
    <m/>
    <m/>
    <m/>
    <m/>
    <m/>
    <m/>
    <m/>
    <m/>
    <m/>
    <m/>
    <m/>
    <m/>
    <m/>
    <m/>
    <m/>
    <m/>
    <m/>
    <m/>
    <m/>
    <m/>
    <m/>
    <m/>
    <m/>
    <m/>
    <m/>
    <m/>
    <m/>
    <m/>
    <m/>
    <m/>
    <m/>
  </r>
  <r>
    <n v="743"/>
    <m/>
    <s v=""/>
    <m/>
    <m/>
    <s v="60897511-39"/>
    <s v="Stocks"/>
    <x v="4"/>
    <m/>
    <x v="4"/>
    <x v="10"/>
    <n v="1000"/>
    <m/>
    <x v="1"/>
    <m/>
    <m/>
    <m/>
    <s v=""/>
    <m/>
    <m/>
    <m/>
    <s v="Pilkhuwa Depot"/>
    <n v="3782152"/>
    <s v="GL COIL HARD  Y550GL H7GL 0.460X1240"/>
    <m/>
    <m/>
    <m/>
    <m/>
    <m/>
    <s v="B04"/>
    <s v="Y550GL"/>
    <s v="H7GL"/>
    <n v="0.46"/>
    <n v="1240"/>
    <m/>
    <m/>
    <m/>
    <m/>
    <m/>
    <m/>
    <m/>
    <m/>
    <m/>
    <m/>
    <m/>
    <m/>
    <m/>
    <m/>
    <m/>
    <m/>
    <m/>
    <m/>
    <m/>
    <m/>
    <m/>
    <m/>
    <m/>
    <m/>
    <m/>
    <m/>
    <m/>
    <m/>
    <m/>
    <m/>
    <m/>
    <n v="8.0850000000000009"/>
    <n v="0"/>
    <n v="0"/>
    <n v="0"/>
    <n v="0"/>
    <n v="0"/>
    <n v="0"/>
    <n v="0"/>
    <n v="0"/>
    <n v="0"/>
    <n v="0"/>
    <n v="0"/>
    <n v="0"/>
    <m/>
    <m/>
    <m/>
    <m/>
    <m/>
    <m/>
    <m/>
    <m/>
    <m/>
    <m/>
    <m/>
    <m/>
    <m/>
    <m/>
    <m/>
    <m/>
    <m/>
    <m/>
    <m/>
    <m/>
    <m/>
    <m/>
    <m/>
    <m/>
    <m/>
    <m/>
    <m/>
    <m/>
    <m/>
    <m/>
    <m/>
    <m/>
    <m/>
    <m/>
    <m/>
  </r>
  <r>
    <n v="742"/>
    <m/>
    <s v=""/>
    <m/>
    <m/>
    <s v="60907770-11"/>
    <s v="Stocks"/>
    <x v="4"/>
    <m/>
    <x v="1"/>
    <x v="2"/>
    <n v="2000"/>
    <m/>
    <x v="1"/>
    <m/>
    <m/>
    <m/>
    <s v=""/>
    <m/>
    <m/>
    <m/>
    <s v="Pilkhuwa Depot"/>
    <n v="3239410"/>
    <s v="CRCA SHEET TATCRC SR16 0.300X1000X1910"/>
    <m/>
    <m/>
    <m/>
    <m/>
    <m/>
    <s v="C06"/>
    <s v="TATCRC"/>
    <s v="SR16"/>
    <n v="0.3"/>
    <n v="1000"/>
    <m/>
    <m/>
    <m/>
    <m/>
    <m/>
    <m/>
    <m/>
    <m/>
    <m/>
    <m/>
    <m/>
    <m/>
    <m/>
    <m/>
    <m/>
    <m/>
    <m/>
    <m/>
    <m/>
    <m/>
    <m/>
    <m/>
    <m/>
    <m/>
    <m/>
    <m/>
    <m/>
    <m/>
    <m/>
    <m/>
    <m/>
    <n v="9.1999999999999993"/>
    <n v="0"/>
    <n v="0"/>
    <n v="0"/>
    <n v="0"/>
    <n v="0"/>
    <n v="0"/>
    <n v="0"/>
    <n v="0"/>
    <n v="0"/>
    <n v="0"/>
    <n v="0"/>
    <n v="0"/>
    <m/>
    <m/>
    <m/>
    <m/>
    <m/>
    <m/>
    <m/>
    <m/>
    <m/>
    <m/>
    <m/>
    <m/>
    <m/>
    <m/>
    <m/>
    <m/>
    <m/>
    <m/>
    <m/>
    <m/>
    <m/>
    <m/>
    <m/>
    <m/>
    <m/>
    <m/>
    <m/>
    <m/>
    <m/>
    <m/>
    <m/>
    <m/>
    <m/>
    <m/>
    <m/>
  </r>
  <r>
    <n v="742"/>
    <m/>
    <s v=""/>
    <m/>
    <m/>
    <s v="60907770-12"/>
    <s v="Stocks"/>
    <x v="4"/>
    <m/>
    <x v="1"/>
    <x v="2"/>
    <n v="2000"/>
    <m/>
    <x v="1"/>
    <m/>
    <m/>
    <m/>
    <s v=""/>
    <m/>
    <m/>
    <m/>
    <s v="Pilkhuwa Depot"/>
    <n v="3239551"/>
    <s v="CRCA SHEET TATCRC SR16 0.400X1000X1910"/>
    <m/>
    <m/>
    <m/>
    <m/>
    <m/>
    <s v="C06"/>
    <s v="TATCRC"/>
    <s v="SR16"/>
    <n v="0.4"/>
    <n v="1000"/>
    <m/>
    <m/>
    <m/>
    <m/>
    <m/>
    <m/>
    <m/>
    <m/>
    <m/>
    <m/>
    <m/>
    <m/>
    <m/>
    <m/>
    <m/>
    <m/>
    <m/>
    <m/>
    <m/>
    <m/>
    <m/>
    <m/>
    <m/>
    <m/>
    <m/>
    <m/>
    <m/>
    <m/>
    <m/>
    <m/>
    <m/>
    <n v="6.02"/>
    <n v="0"/>
    <n v="0"/>
    <n v="0"/>
    <n v="0"/>
    <n v="0"/>
    <n v="0"/>
    <n v="0"/>
    <n v="0"/>
    <n v="0"/>
    <n v="0"/>
    <n v="0"/>
    <n v="0"/>
    <m/>
    <m/>
    <m/>
    <m/>
    <m/>
    <m/>
    <m/>
    <m/>
    <m/>
    <m/>
    <m/>
    <m/>
    <m/>
    <m/>
    <m/>
    <m/>
    <m/>
    <m/>
    <m/>
    <m/>
    <m/>
    <m/>
    <m/>
    <m/>
    <m/>
    <m/>
    <m/>
    <m/>
    <m/>
    <m/>
    <m/>
    <m/>
    <m/>
    <m/>
    <m/>
  </r>
  <r>
    <n v="742"/>
    <m/>
    <s v=""/>
    <m/>
    <m/>
    <s v="60907770-9"/>
    <s v="Stocks"/>
    <x v="4"/>
    <m/>
    <x v="1"/>
    <x v="2"/>
    <n v="2000"/>
    <m/>
    <x v="1"/>
    <m/>
    <m/>
    <m/>
    <s v=""/>
    <m/>
    <m/>
    <m/>
    <s v="Pilkhuwa Depot"/>
    <n v="3239564"/>
    <s v="CRCA SHEET TATCRC SR16 0.450X1000X1980"/>
    <m/>
    <m/>
    <m/>
    <m/>
    <m/>
    <s v="C06"/>
    <s v="TATCRC"/>
    <s v="SR16"/>
    <n v="0.45"/>
    <n v="1000"/>
    <m/>
    <m/>
    <m/>
    <m/>
    <m/>
    <m/>
    <m/>
    <m/>
    <m/>
    <m/>
    <m/>
    <m/>
    <m/>
    <m/>
    <m/>
    <m/>
    <m/>
    <m/>
    <m/>
    <m/>
    <m/>
    <m/>
    <m/>
    <m/>
    <m/>
    <m/>
    <m/>
    <m/>
    <m/>
    <m/>
    <m/>
    <n v="2.4249999999999998"/>
    <n v="0"/>
    <n v="0"/>
    <n v="0"/>
    <n v="0"/>
    <n v="0"/>
    <n v="0"/>
    <n v="0"/>
    <n v="0"/>
    <n v="0"/>
    <n v="0"/>
    <n v="0"/>
    <n v="0"/>
    <m/>
    <m/>
    <m/>
    <m/>
    <m/>
    <m/>
    <m/>
    <m/>
    <m/>
    <m/>
    <m/>
    <m/>
    <m/>
    <m/>
    <m/>
    <m/>
    <m/>
    <m/>
    <m/>
    <m/>
    <m/>
    <m/>
    <m/>
    <m/>
    <m/>
    <m/>
    <m/>
    <m/>
    <m/>
    <m/>
    <m/>
    <m/>
    <m/>
    <m/>
    <m/>
  </r>
  <r>
    <n v="743"/>
    <m/>
    <s v=""/>
    <m/>
    <m/>
    <s v="60907771-14"/>
    <s v="Stocks"/>
    <x v="4"/>
    <m/>
    <x v="4"/>
    <x v="10"/>
    <n v="1000"/>
    <m/>
    <x v="1"/>
    <m/>
    <m/>
    <m/>
    <s v=""/>
    <m/>
    <m/>
    <m/>
    <s v="Pilkhuwa Depot"/>
    <n v="3865176"/>
    <s v="GL COIL HARD  Y550GL HGL6 0.900X1250"/>
    <m/>
    <m/>
    <m/>
    <m/>
    <m/>
    <s v="B04"/>
    <s v="Y550GL"/>
    <s v="HGL6"/>
    <n v="0.9"/>
    <n v="1250"/>
    <m/>
    <m/>
    <m/>
    <m/>
    <m/>
    <m/>
    <m/>
    <m/>
    <m/>
    <m/>
    <m/>
    <m/>
    <m/>
    <m/>
    <m/>
    <m/>
    <m/>
    <m/>
    <m/>
    <m/>
    <m/>
    <m/>
    <m/>
    <m/>
    <m/>
    <m/>
    <m/>
    <m/>
    <m/>
    <m/>
    <m/>
    <n v="2.79"/>
    <n v="0"/>
    <n v="0"/>
    <n v="0"/>
    <n v="0"/>
    <n v="0"/>
    <n v="0"/>
    <n v="0"/>
    <n v="0"/>
    <n v="0"/>
    <n v="0"/>
    <n v="0"/>
    <n v="0"/>
    <m/>
    <m/>
    <m/>
    <m/>
    <m/>
    <m/>
    <m/>
    <m/>
    <m/>
    <m/>
    <m/>
    <m/>
    <m/>
    <m/>
    <m/>
    <m/>
    <m/>
    <m/>
    <m/>
    <m/>
    <m/>
    <m/>
    <m/>
    <m/>
    <m/>
    <m/>
    <m/>
    <m/>
    <m/>
    <m/>
    <m/>
    <m/>
    <m/>
    <m/>
    <m/>
  </r>
  <r>
    <n v="742"/>
    <m/>
    <s v=""/>
    <m/>
    <m/>
    <s v="60917805-11"/>
    <s v="Stocks"/>
    <x v="4"/>
    <m/>
    <x v="1"/>
    <x v="10"/>
    <n v="1000"/>
    <m/>
    <x v="1"/>
    <m/>
    <m/>
    <m/>
    <s v=""/>
    <m/>
    <m/>
    <m/>
    <s v="Pilkhuwa Depot"/>
    <n v="3403890"/>
    <s v="CRCA SHEET TATXXD BT02 0.700X920X1798"/>
    <m/>
    <m/>
    <m/>
    <m/>
    <m/>
    <s v="C06"/>
    <s v="TATXXD"/>
    <s v="BT02"/>
    <n v="0.7"/>
    <n v="920"/>
    <m/>
    <m/>
    <m/>
    <m/>
    <m/>
    <m/>
    <m/>
    <m/>
    <m/>
    <m/>
    <m/>
    <m/>
    <m/>
    <m/>
    <m/>
    <m/>
    <m/>
    <m/>
    <m/>
    <m/>
    <m/>
    <m/>
    <m/>
    <m/>
    <m/>
    <m/>
    <m/>
    <m/>
    <m/>
    <m/>
    <m/>
    <n v="8.8249999999999993"/>
    <n v="0"/>
    <n v="0"/>
    <n v="0"/>
    <n v="0"/>
    <n v="0"/>
    <n v="0"/>
    <n v="0"/>
    <n v="0"/>
    <n v="0"/>
    <n v="0"/>
    <n v="0"/>
    <n v="0"/>
    <m/>
    <m/>
    <m/>
    <m/>
    <m/>
    <m/>
    <m/>
    <m/>
    <m/>
    <m/>
    <m/>
    <m/>
    <m/>
    <m/>
    <m/>
    <m/>
    <m/>
    <m/>
    <m/>
    <m/>
    <m/>
    <m/>
    <m/>
    <m/>
    <m/>
    <m/>
    <m/>
    <m/>
    <m/>
    <m/>
    <m/>
    <m/>
    <m/>
    <m/>
    <m/>
  </r>
  <r>
    <n v="742"/>
    <m/>
    <s v=""/>
    <m/>
    <m/>
    <s v="60917805-9"/>
    <s v="Stocks"/>
    <x v="4"/>
    <m/>
    <x v="1"/>
    <x v="10"/>
    <n v="1000"/>
    <m/>
    <x v="1"/>
    <m/>
    <m/>
    <m/>
    <s v=""/>
    <m/>
    <m/>
    <m/>
    <s v="Pilkhuwa Depot"/>
    <n v="3202438"/>
    <s v="CRCA SHEET TATXXD BT02 0.770X925X1798"/>
    <m/>
    <m/>
    <m/>
    <m/>
    <m/>
    <s v="C06"/>
    <s v="TATXXD"/>
    <s v="BT02"/>
    <n v="0.77"/>
    <n v="925"/>
    <m/>
    <m/>
    <m/>
    <m/>
    <m/>
    <m/>
    <m/>
    <m/>
    <m/>
    <m/>
    <m/>
    <m/>
    <m/>
    <m/>
    <m/>
    <m/>
    <m/>
    <m/>
    <m/>
    <m/>
    <m/>
    <m/>
    <m/>
    <m/>
    <m/>
    <m/>
    <m/>
    <m/>
    <m/>
    <m/>
    <m/>
    <n v="2.0699999999999998"/>
    <n v="0"/>
    <n v="0"/>
    <n v="0"/>
    <n v="0"/>
    <n v="0"/>
    <n v="0"/>
    <n v="0"/>
    <n v="0"/>
    <n v="0"/>
    <n v="0"/>
    <n v="0"/>
    <n v="0"/>
    <m/>
    <m/>
    <m/>
    <m/>
    <m/>
    <m/>
    <m/>
    <m/>
    <m/>
    <m/>
    <m/>
    <m/>
    <m/>
    <m/>
    <m/>
    <m/>
    <m/>
    <m/>
    <m/>
    <m/>
    <m/>
    <m/>
    <m/>
    <m/>
    <m/>
    <m/>
    <m/>
    <m/>
    <m/>
    <m/>
    <m/>
    <m/>
    <m/>
    <m/>
    <m/>
  </r>
  <r>
    <n v="742"/>
    <m/>
    <s v=""/>
    <m/>
    <m/>
    <s v="60917917-1"/>
    <s v="Stocks"/>
    <x v="4"/>
    <m/>
    <x v="1"/>
    <x v="10"/>
    <n v="1000"/>
    <m/>
    <x v="1"/>
    <m/>
    <m/>
    <m/>
    <s v=""/>
    <m/>
    <m/>
    <m/>
    <s v="Pilkhuwa Depot"/>
    <n v="3403911"/>
    <s v="CRCA SHEET TATXXD BT02 0.770X920X1798"/>
    <m/>
    <m/>
    <m/>
    <m/>
    <m/>
    <s v="C06"/>
    <s v="TATXXD"/>
    <s v="BT02"/>
    <n v="0.77"/>
    <n v="920"/>
    <m/>
    <m/>
    <m/>
    <m/>
    <m/>
    <m/>
    <m/>
    <m/>
    <m/>
    <m/>
    <m/>
    <m/>
    <m/>
    <m/>
    <m/>
    <m/>
    <m/>
    <m/>
    <m/>
    <m/>
    <m/>
    <m/>
    <m/>
    <m/>
    <m/>
    <m/>
    <m/>
    <m/>
    <m/>
    <m/>
    <m/>
    <n v="2.14"/>
    <n v="0"/>
    <n v="0"/>
    <n v="0"/>
    <n v="0"/>
    <n v="0"/>
    <n v="0"/>
    <n v="0"/>
    <n v="0"/>
    <n v="0"/>
    <n v="0"/>
    <n v="0"/>
    <n v="0"/>
    <m/>
    <m/>
    <m/>
    <m/>
    <m/>
    <m/>
    <m/>
    <m/>
    <m/>
    <m/>
    <m/>
    <m/>
    <m/>
    <m/>
    <m/>
    <m/>
    <m/>
    <m/>
    <m/>
    <m/>
    <m/>
    <m/>
    <m/>
    <m/>
    <m/>
    <m/>
    <m/>
    <m/>
    <m/>
    <m/>
    <m/>
    <m/>
    <m/>
    <m/>
    <m/>
  </r>
  <r>
    <n v="743"/>
    <m/>
    <s v=""/>
    <m/>
    <m/>
    <s v="60917918-9"/>
    <s v="Stocks"/>
    <x v="4"/>
    <m/>
    <x v="4"/>
    <x v="10"/>
    <n v="1000"/>
    <m/>
    <x v="1"/>
    <m/>
    <m/>
    <m/>
    <s v=""/>
    <m/>
    <m/>
    <m/>
    <s v="Pilkhuwa Depot"/>
    <n v="3789964"/>
    <s v="GL C YS550 H6GL 0.60BMT(0.65TCT)X1250"/>
    <m/>
    <m/>
    <m/>
    <m/>
    <m/>
    <s v="B04"/>
    <s v="Y550GL"/>
    <s v="H6GL"/>
    <n v="0.6"/>
    <n v="1250"/>
    <m/>
    <m/>
    <m/>
    <m/>
    <m/>
    <m/>
    <m/>
    <m/>
    <m/>
    <m/>
    <m/>
    <m/>
    <m/>
    <m/>
    <m/>
    <m/>
    <m/>
    <m/>
    <m/>
    <m/>
    <m/>
    <m/>
    <m/>
    <m/>
    <m/>
    <m/>
    <m/>
    <m/>
    <m/>
    <m/>
    <m/>
    <n v="9.875"/>
    <n v="0"/>
    <n v="0"/>
    <n v="0"/>
    <n v="0"/>
    <n v="0"/>
    <n v="0"/>
    <n v="0"/>
    <n v="0"/>
    <n v="0"/>
    <n v="0"/>
    <n v="0"/>
    <n v="0"/>
    <m/>
    <m/>
    <m/>
    <m/>
    <m/>
    <m/>
    <m/>
    <m/>
    <m/>
    <m/>
    <m/>
    <m/>
    <m/>
    <m/>
    <m/>
    <m/>
    <m/>
    <m/>
    <m/>
    <m/>
    <m/>
    <m/>
    <m/>
    <m/>
    <m/>
    <m/>
    <m/>
    <m/>
    <m/>
    <m/>
    <m/>
    <m/>
    <m/>
    <m/>
    <m/>
  </r>
  <r>
    <n v="743"/>
    <m/>
    <s v=""/>
    <m/>
    <m/>
    <s v="60921211-5"/>
    <s v="Stocks"/>
    <x v="4"/>
    <m/>
    <x v="4"/>
    <x v="10"/>
    <n v="1000"/>
    <m/>
    <x v="1"/>
    <m/>
    <m/>
    <m/>
    <s v=""/>
    <m/>
    <m/>
    <m/>
    <s v="Pilkhuwa Depot"/>
    <n v="2165893"/>
    <s v="GL COIL SKINPASS Y300GL SGL2 0.47X1220"/>
    <m/>
    <m/>
    <m/>
    <m/>
    <m/>
    <s v="B06"/>
    <s v="Y300GL"/>
    <s v="SGL2"/>
    <n v="0.47"/>
    <n v="1220"/>
    <m/>
    <m/>
    <m/>
    <m/>
    <m/>
    <m/>
    <m/>
    <m/>
    <m/>
    <m/>
    <m/>
    <m/>
    <m/>
    <m/>
    <m/>
    <m/>
    <m/>
    <m/>
    <m/>
    <m/>
    <m/>
    <m/>
    <m/>
    <m/>
    <m/>
    <m/>
    <m/>
    <m/>
    <m/>
    <m/>
    <m/>
    <n v="9.7200000000000006"/>
    <n v="0"/>
    <n v="0"/>
    <n v="0"/>
    <n v="0"/>
    <n v="0"/>
    <n v="0"/>
    <n v="0"/>
    <n v="0"/>
    <n v="0"/>
    <n v="0"/>
    <n v="0"/>
    <n v="0"/>
    <m/>
    <m/>
    <m/>
    <m/>
    <m/>
    <m/>
    <m/>
    <m/>
    <m/>
    <m/>
    <m/>
    <m/>
    <m/>
    <m/>
    <m/>
    <m/>
    <m/>
    <m/>
    <m/>
    <m/>
    <m/>
    <m/>
    <m/>
    <m/>
    <m/>
    <m/>
    <m/>
    <m/>
    <m/>
    <m/>
    <m/>
    <m/>
    <m/>
    <m/>
    <m/>
  </r>
  <r>
    <n v="743"/>
    <m/>
    <s v=""/>
    <m/>
    <m/>
    <s v="60922649-1"/>
    <s v="Stocks"/>
    <x v="4"/>
    <m/>
    <x v="3"/>
    <x v="0"/>
    <n v="2000"/>
    <m/>
    <x v="1"/>
    <m/>
    <m/>
    <m/>
    <s v=""/>
    <m/>
    <m/>
    <m/>
    <s v="Ludhiana - CA"/>
    <n v="3897428"/>
    <s v="GP COIL XXXGPH GPH3 0.300X900"/>
    <m/>
    <m/>
    <m/>
    <m/>
    <m/>
    <s v="C05"/>
    <s v="XXXGPH"/>
    <s v="GPH3"/>
    <n v="0.3"/>
    <n v="900"/>
    <m/>
    <m/>
    <m/>
    <m/>
    <m/>
    <m/>
    <m/>
    <m/>
    <m/>
    <m/>
    <m/>
    <m/>
    <m/>
    <m/>
    <m/>
    <m/>
    <m/>
    <m/>
    <m/>
    <m/>
    <m/>
    <m/>
    <m/>
    <m/>
    <m/>
    <m/>
    <m/>
    <m/>
    <m/>
    <m/>
    <m/>
    <n v="10.74"/>
    <n v="0"/>
    <n v="0"/>
    <n v="0"/>
    <n v="0"/>
    <n v="0"/>
    <n v="0"/>
    <n v="0"/>
    <n v="0"/>
    <n v="0"/>
    <n v="0"/>
    <n v="0"/>
    <n v="0"/>
    <m/>
    <m/>
    <m/>
    <m/>
    <m/>
    <m/>
    <m/>
    <m/>
    <m/>
    <m/>
    <m/>
    <m/>
    <m/>
    <m/>
    <m/>
    <m/>
    <m/>
    <m/>
    <m/>
    <m/>
    <m/>
    <m/>
    <m/>
    <m/>
    <m/>
    <m/>
    <m/>
    <m/>
    <m/>
    <m/>
    <m/>
    <m/>
    <m/>
    <m/>
    <m/>
  </r>
  <r>
    <n v="743"/>
    <m/>
    <s v=""/>
    <m/>
    <m/>
    <s v="60922850-1"/>
    <s v="Stocks"/>
    <x v="4"/>
    <m/>
    <x v="3"/>
    <x v="0"/>
    <n v="2000"/>
    <m/>
    <x v="1"/>
    <m/>
    <m/>
    <m/>
    <s v=""/>
    <m/>
    <m/>
    <m/>
    <s v="Ludhiana - CA"/>
    <n v="3897501"/>
    <s v="GP COIL XXXGPH GPH3 0.500X900"/>
    <m/>
    <m/>
    <m/>
    <m/>
    <m/>
    <s v="C05"/>
    <s v="XXXGPH"/>
    <s v="GPH3"/>
    <n v="0.5"/>
    <n v="900"/>
    <m/>
    <m/>
    <m/>
    <m/>
    <m/>
    <m/>
    <m/>
    <m/>
    <m/>
    <m/>
    <m/>
    <m/>
    <m/>
    <m/>
    <m/>
    <m/>
    <m/>
    <m/>
    <m/>
    <m/>
    <m/>
    <m/>
    <m/>
    <m/>
    <m/>
    <m/>
    <m/>
    <m/>
    <m/>
    <m/>
    <m/>
    <n v="39.07"/>
    <n v="0"/>
    <n v="0"/>
    <n v="0"/>
    <n v="0"/>
    <n v="0"/>
    <n v="0"/>
    <n v="0"/>
    <n v="0"/>
    <n v="0"/>
    <n v="0"/>
    <n v="0"/>
    <n v="0"/>
    <m/>
    <m/>
    <m/>
    <m/>
    <m/>
    <m/>
    <m/>
    <m/>
    <m/>
    <m/>
    <m/>
    <m/>
    <m/>
    <m/>
    <m/>
    <m/>
    <m/>
    <m/>
    <m/>
    <m/>
    <m/>
    <m/>
    <m/>
    <m/>
    <m/>
    <m/>
    <m/>
    <m/>
    <m/>
    <m/>
    <m/>
    <m/>
    <m/>
    <m/>
    <m/>
  </r>
  <r>
    <n v="743"/>
    <m/>
    <s v=""/>
    <m/>
    <m/>
    <s v="621282475-1"/>
    <s v="Stocks"/>
    <x v="4"/>
    <m/>
    <x v="4"/>
    <x v="10"/>
    <n v="1000"/>
    <m/>
    <x v="1"/>
    <m/>
    <m/>
    <m/>
    <s v=""/>
    <m/>
    <m/>
    <m/>
    <m/>
    <n v="2427835"/>
    <s v="GL COIL HARD  Y550GL H7GL 0.350X1245"/>
    <m/>
    <m/>
    <m/>
    <m/>
    <m/>
    <s v="B04"/>
    <s v="Y550GL"/>
    <s v="H7GL"/>
    <n v="0.35"/>
    <n v="1245"/>
    <m/>
    <m/>
    <m/>
    <m/>
    <m/>
    <m/>
    <m/>
    <m/>
    <m/>
    <m/>
    <m/>
    <m/>
    <m/>
    <m/>
    <m/>
    <m/>
    <m/>
    <m/>
    <m/>
    <m/>
    <m/>
    <m/>
    <m/>
    <m/>
    <m/>
    <m/>
    <m/>
    <m/>
    <m/>
    <m/>
    <m/>
    <n v="9.51"/>
    <n v="0"/>
    <n v="0"/>
    <n v="0"/>
    <n v="0"/>
    <n v="0"/>
    <n v="0"/>
    <n v="0"/>
    <n v="0"/>
    <n v="0"/>
    <n v="0"/>
    <n v="0"/>
    <n v="0"/>
    <m/>
    <m/>
    <m/>
    <m/>
    <m/>
    <m/>
    <m/>
    <m/>
    <m/>
    <m/>
    <m/>
    <m/>
    <m/>
    <m/>
    <m/>
    <m/>
    <m/>
    <m/>
    <m/>
    <m/>
    <m/>
    <m/>
    <m/>
    <m/>
    <m/>
    <m/>
    <m/>
    <m/>
    <m/>
    <m/>
    <m/>
    <m/>
    <m/>
    <m/>
    <m/>
  </r>
  <r>
    <n v="743"/>
    <m/>
    <s v="ZBTC"/>
    <m/>
    <m/>
    <s v="9517427639-3"/>
    <s v="Stocks"/>
    <x v="4"/>
    <m/>
    <x v="3"/>
    <x v="9"/>
    <n v="2000"/>
    <m/>
    <x v="1"/>
    <m/>
    <m/>
    <m/>
    <s v="East"/>
    <m/>
    <m/>
    <m/>
    <s v="Shree Bajrang Steel Udyog"/>
    <n v="1854424"/>
    <s v="GP COIL SOFT-TATXGP-GK09-0.6X900"/>
    <m/>
    <m/>
    <m/>
    <m/>
    <m/>
    <s v="C02"/>
    <s v="TATXGP"/>
    <s v="GK09"/>
    <n v="0.6"/>
    <n v="900"/>
    <m/>
    <m/>
    <m/>
    <m/>
    <m/>
    <m/>
    <m/>
    <m/>
    <m/>
    <m/>
    <m/>
    <m/>
    <m/>
    <m/>
    <m/>
    <m/>
    <m/>
    <m/>
    <m/>
    <m/>
    <m/>
    <m/>
    <m/>
    <m/>
    <m/>
    <m/>
    <m/>
    <m/>
    <m/>
    <m/>
    <m/>
    <n v="4.84"/>
    <n v="0"/>
    <n v="0"/>
    <n v="0"/>
    <n v="0"/>
    <n v="0"/>
    <n v="0"/>
    <n v="0"/>
    <n v="0"/>
    <n v="0"/>
    <n v="0"/>
    <n v="0"/>
    <n v="0"/>
    <m/>
    <m/>
    <m/>
    <m/>
    <m/>
    <m/>
    <m/>
    <m/>
    <m/>
    <m/>
    <m/>
    <m/>
    <m/>
    <m/>
    <m/>
    <m/>
    <m/>
    <m/>
    <m/>
    <m/>
    <m/>
    <m/>
    <m/>
    <m/>
    <m/>
    <m/>
    <m/>
    <m/>
    <m/>
    <m/>
    <m/>
    <m/>
    <m/>
    <m/>
    <m/>
  </r>
  <r>
    <n v="742"/>
    <m/>
    <s v="ZBTO"/>
    <m/>
    <m/>
    <s v="9517771144-8"/>
    <s v="Stocks"/>
    <x v="4"/>
    <m/>
    <x v="1"/>
    <x v="2"/>
    <n v="2000"/>
    <m/>
    <x v="1"/>
    <m/>
    <m/>
    <m/>
    <s v="East"/>
    <m/>
    <m/>
    <m/>
    <s v="PSPL STEEL PROCESSORS PRIVATE"/>
    <n v="3533338"/>
    <s v="CRCA SHEET TATCRC SR16 0.400X1000X2000"/>
    <m/>
    <m/>
    <m/>
    <m/>
    <m/>
    <s v="C06"/>
    <s v="TATCRC"/>
    <s v="SR16"/>
    <n v="0.4"/>
    <n v="1000"/>
    <m/>
    <m/>
    <m/>
    <m/>
    <m/>
    <m/>
    <m/>
    <m/>
    <m/>
    <m/>
    <m/>
    <m/>
    <m/>
    <m/>
    <m/>
    <m/>
    <m/>
    <m/>
    <m/>
    <m/>
    <m/>
    <m/>
    <m/>
    <m/>
    <m/>
    <m/>
    <m/>
    <m/>
    <m/>
    <m/>
    <m/>
    <n v="2.8450000000000002"/>
    <n v="0"/>
    <n v="0"/>
    <n v="0"/>
    <n v="0"/>
    <n v="0"/>
    <n v="0"/>
    <n v="0"/>
    <n v="0"/>
    <n v="0"/>
    <n v="0"/>
    <n v="0"/>
    <n v="0"/>
    <m/>
    <m/>
    <m/>
    <m/>
    <m/>
    <m/>
    <m/>
    <m/>
    <m/>
    <m/>
    <m/>
    <m/>
    <m/>
    <m/>
    <m/>
    <m/>
    <m/>
    <m/>
    <m/>
    <m/>
    <m/>
    <m/>
    <m/>
    <m/>
    <m/>
    <m/>
    <m/>
    <m/>
    <m/>
    <m/>
    <m/>
    <m/>
    <m/>
    <m/>
    <m/>
  </r>
  <r>
    <n v="742"/>
    <m/>
    <s v="ZBTO"/>
    <m/>
    <m/>
    <s v="9517928529-1"/>
    <s v="Stocks"/>
    <x v="4"/>
    <m/>
    <x v="1"/>
    <x v="2"/>
    <n v="2000"/>
    <m/>
    <x v="1"/>
    <m/>
    <m/>
    <m/>
    <s v="East"/>
    <m/>
    <m/>
    <m/>
    <s v="PSPL STEEL PROCESSORS PRIVATE"/>
    <n v="3240765"/>
    <s v="CRCA SHEET TSBCRC SR15 0.500X1250X2500"/>
    <m/>
    <m/>
    <m/>
    <m/>
    <m/>
    <s v="C06"/>
    <s v="TSBCRC"/>
    <s v="SR15"/>
    <n v="0.5"/>
    <n v="1250"/>
    <m/>
    <m/>
    <m/>
    <m/>
    <m/>
    <m/>
    <m/>
    <m/>
    <m/>
    <m/>
    <m/>
    <m/>
    <m/>
    <m/>
    <m/>
    <m/>
    <m/>
    <m/>
    <m/>
    <m/>
    <m/>
    <m/>
    <m/>
    <m/>
    <m/>
    <m/>
    <m/>
    <m/>
    <m/>
    <m/>
    <m/>
    <n v="5.7650000000000006"/>
    <n v="0"/>
    <n v="0"/>
    <n v="0"/>
    <n v="0"/>
    <n v="0"/>
    <n v="0"/>
    <n v="0"/>
    <n v="0"/>
    <n v="0"/>
    <n v="0"/>
    <n v="0"/>
    <n v="0"/>
    <m/>
    <m/>
    <m/>
    <m/>
    <m/>
    <m/>
    <m/>
    <m/>
    <m/>
    <m/>
    <m/>
    <m/>
    <m/>
    <m/>
    <m/>
    <m/>
    <m/>
    <m/>
    <m/>
    <m/>
    <m/>
    <m/>
    <m/>
    <m/>
    <m/>
    <m/>
    <m/>
    <m/>
    <m/>
    <m/>
    <m/>
    <m/>
    <m/>
    <m/>
    <m/>
  </r>
  <r>
    <n v="742"/>
    <m/>
    <s v="ZBTC"/>
    <m/>
    <m/>
    <s v="9517952959-8"/>
    <s v="Stocks"/>
    <x v="4"/>
    <m/>
    <x v="1"/>
    <x v="2"/>
    <n v="2000"/>
    <m/>
    <x v="1"/>
    <m/>
    <m/>
    <m/>
    <s v="North"/>
    <m/>
    <m/>
    <m/>
    <s v="G.R. GUPTA &amp; BROS."/>
    <n v="3402254"/>
    <s v="CRCA SHEET TSBCRC SR15 0.600X1000X2000"/>
    <m/>
    <m/>
    <m/>
    <m/>
    <m/>
    <s v="C06"/>
    <s v="TSBCRC"/>
    <s v="SR15"/>
    <n v="0.6"/>
    <n v="1000"/>
    <m/>
    <m/>
    <m/>
    <m/>
    <m/>
    <m/>
    <m/>
    <m/>
    <m/>
    <m/>
    <m/>
    <m/>
    <m/>
    <m/>
    <m/>
    <m/>
    <m/>
    <m/>
    <m/>
    <m/>
    <m/>
    <m/>
    <m/>
    <m/>
    <m/>
    <m/>
    <m/>
    <m/>
    <m/>
    <m/>
    <m/>
    <n v="2.4700000000000002"/>
    <n v="0"/>
    <n v="0"/>
    <n v="0"/>
    <n v="0"/>
    <n v="0"/>
    <n v="0"/>
    <n v="0"/>
    <n v="0"/>
    <n v="0"/>
    <n v="0"/>
    <n v="0"/>
    <n v="0"/>
    <m/>
    <m/>
    <m/>
    <m/>
    <m/>
    <m/>
    <m/>
    <m/>
    <m/>
    <m/>
    <m/>
    <m/>
    <m/>
    <m/>
    <m/>
    <m/>
    <m/>
    <m/>
    <m/>
    <m/>
    <m/>
    <m/>
    <m/>
    <m/>
    <m/>
    <m/>
    <m/>
    <m/>
    <m/>
    <m/>
    <m/>
    <m/>
    <m/>
    <m/>
    <m/>
  </r>
  <r>
    <n v="744"/>
    <m/>
    <s v="ZBTC"/>
    <m/>
    <m/>
    <s v="9517976774-28"/>
    <s v="Stocks"/>
    <x v="4"/>
    <m/>
    <x v="2"/>
    <x v="3"/>
    <n v="1000"/>
    <m/>
    <x v="1"/>
    <m/>
    <m/>
    <m/>
    <s v="East"/>
    <m/>
    <m/>
    <m/>
    <s v="TATA BLUESCOPE STEEL PRIVATE L"/>
    <n v="1637522"/>
    <s v="PPGL COIL HARD-Y550PL-HPL3-0.7X1220"/>
    <m/>
    <m/>
    <m/>
    <m/>
    <m/>
    <s v="B18"/>
    <s v="Y550PL"/>
    <s v="HPL3"/>
    <n v="0.7"/>
    <n v="1220"/>
    <m/>
    <m/>
    <m/>
    <m/>
    <m/>
    <m/>
    <m/>
    <m/>
    <m/>
    <m/>
    <m/>
    <m/>
    <m/>
    <m/>
    <m/>
    <m/>
    <m/>
    <m/>
    <m/>
    <m/>
    <m/>
    <m/>
    <m/>
    <m/>
    <m/>
    <m/>
    <m/>
    <m/>
    <m/>
    <m/>
    <m/>
    <n v="11.920000000000002"/>
    <n v="0"/>
    <n v="0"/>
    <n v="0"/>
    <n v="0"/>
    <n v="0"/>
    <n v="0"/>
    <n v="0"/>
    <n v="0"/>
    <n v="0"/>
    <n v="0"/>
    <n v="0"/>
    <n v="0"/>
    <m/>
    <m/>
    <m/>
    <m/>
    <m/>
    <m/>
    <m/>
    <m/>
    <m/>
    <m/>
    <m/>
    <m/>
    <m/>
    <m/>
    <m/>
    <m/>
    <m/>
    <m/>
    <m/>
    <m/>
    <m/>
    <m/>
    <m/>
    <m/>
    <m/>
    <m/>
    <m/>
    <m/>
    <m/>
    <m/>
    <m/>
    <m/>
    <m/>
    <m/>
    <m/>
  </r>
  <r>
    <n v="744"/>
    <m/>
    <s v="ZBTC"/>
    <m/>
    <m/>
    <s v="9517976774-42"/>
    <s v="Stocks"/>
    <x v="4"/>
    <m/>
    <x v="2"/>
    <x v="3"/>
    <n v="1000"/>
    <m/>
    <x v="1"/>
    <m/>
    <m/>
    <m/>
    <s v="East"/>
    <m/>
    <m/>
    <m/>
    <s v="TATA BLUESCOPE STEEL PRIVATE L"/>
    <n v="1641099"/>
    <s v="PPGL C Y550 HPL3 0.60BMT(0.68TPT)X1220"/>
    <m/>
    <m/>
    <m/>
    <m/>
    <m/>
    <s v="B18"/>
    <s v="Y550PL"/>
    <s v="HPL3"/>
    <n v="0.6"/>
    <n v="1220"/>
    <m/>
    <m/>
    <m/>
    <m/>
    <m/>
    <m/>
    <m/>
    <m/>
    <m/>
    <m/>
    <m/>
    <m/>
    <m/>
    <m/>
    <m/>
    <m/>
    <m/>
    <m/>
    <m/>
    <m/>
    <m/>
    <m/>
    <m/>
    <m/>
    <m/>
    <m/>
    <m/>
    <m/>
    <m/>
    <m/>
    <m/>
    <n v="5.8250000000000002"/>
    <n v="0"/>
    <n v="0"/>
    <n v="0"/>
    <n v="0"/>
    <n v="0"/>
    <n v="0"/>
    <n v="0"/>
    <n v="0"/>
    <n v="0"/>
    <n v="0"/>
    <n v="0"/>
    <n v="0"/>
    <m/>
    <m/>
    <m/>
    <m/>
    <m/>
    <m/>
    <m/>
    <m/>
    <m/>
    <m/>
    <m/>
    <m/>
    <m/>
    <m/>
    <m/>
    <m/>
    <m/>
    <m/>
    <m/>
    <m/>
    <m/>
    <m/>
    <m/>
    <m/>
    <m/>
    <m/>
    <m/>
    <m/>
    <m/>
    <m/>
    <m/>
    <m/>
    <m/>
    <m/>
    <m/>
  </r>
  <r>
    <n v="744"/>
    <m/>
    <s v="ZBTC"/>
    <m/>
    <m/>
    <s v="9518037772-13"/>
    <s v="Stocks"/>
    <x v="4"/>
    <m/>
    <x v="2"/>
    <x v="3"/>
    <n v="1000"/>
    <m/>
    <x v="1"/>
    <m/>
    <m/>
    <m/>
    <s v="East"/>
    <m/>
    <m/>
    <m/>
    <s v="TATA BLUESCOPE STEEL PRIVATE L"/>
    <n v="1636510"/>
    <s v="PPGL COIL HARD-Y550PL-HPL3-0.55X1220"/>
    <m/>
    <m/>
    <m/>
    <m/>
    <m/>
    <s v="B18"/>
    <s v="Y550PL"/>
    <s v="HPL3"/>
    <n v="0.55000000000000004"/>
    <n v="1220"/>
    <m/>
    <m/>
    <m/>
    <m/>
    <m/>
    <m/>
    <m/>
    <m/>
    <m/>
    <m/>
    <m/>
    <m/>
    <m/>
    <m/>
    <m/>
    <m/>
    <m/>
    <m/>
    <m/>
    <m/>
    <m/>
    <m/>
    <m/>
    <m/>
    <m/>
    <m/>
    <m/>
    <m/>
    <m/>
    <m/>
    <m/>
    <n v="8.61"/>
    <n v="0"/>
    <n v="0"/>
    <n v="0"/>
    <n v="0"/>
    <n v="0"/>
    <n v="0"/>
    <n v="0"/>
    <n v="0"/>
    <n v="0"/>
    <n v="0"/>
    <n v="0"/>
    <n v="0"/>
    <m/>
    <m/>
    <m/>
    <m/>
    <m/>
    <m/>
    <m/>
    <m/>
    <m/>
    <m/>
    <m/>
    <m/>
    <m/>
    <m/>
    <m/>
    <m/>
    <m/>
    <m/>
    <m/>
    <m/>
    <m/>
    <m/>
    <m/>
    <m/>
    <m/>
    <m/>
    <m/>
    <m/>
    <m/>
    <m/>
    <m/>
    <m/>
    <m/>
    <m/>
    <m/>
  </r>
  <r>
    <n v="744"/>
    <m/>
    <s v="ZBTC"/>
    <m/>
    <m/>
    <s v="9518037772-18"/>
    <s v="Stocks"/>
    <x v="4"/>
    <m/>
    <x v="2"/>
    <x v="3"/>
    <n v="1000"/>
    <m/>
    <x v="1"/>
    <m/>
    <m/>
    <m/>
    <s v="East"/>
    <m/>
    <m/>
    <m/>
    <s v="TATA BLUESCOPE STEEL PRIVATE L"/>
    <n v="1640840"/>
    <s v="PPGL C Y550 HPL3 0.45BMT(0.53TPT)X1220"/>
    <m/>
    <m/>
    <m/>
    <m/>
    <m/>
    <s v="B18"/>
    <s v="Y550PL"/>
    <s v="HPL3"/>
    <n v="0.45"/>
    <n v="1220"/>
    <m/>
    <m/>
    <m/>
    <m/>
    <m/>
    <m/>
    <m/>
    <m/>
    <m/>
    <m/>
    <m/>
    <m/>
    <m/>
    <m/>
    <m/>
    <m/>
    <m/>
    <m/>
    <m/>
    <m/>
    <m/>
    <m/>
    <m/>
    <m/>
    <m/>
    <m/>
    <m/>
    <m/>
    <m/>
    <m/>
    <m/>
    <n v="3.37"/>
    <n v="0"/>
    <n v="0"/>
    <n v="0"/>
    <n v="0"/>
    <n v="0"/>
    <n v="0"/>
    <n v="0"/>
    <n v="0"/>
    <n v="0"/>
    <n v="0"/>
    <n v="0"/>
    <n v="0"/>
    <m/>
    <m/>
    <m/>
    <m/>
    <m/>
    <m/>
    <m/>
    <m/>
    <m/>
    <m/>
    <m/>
    <m/>
    <m/>
    <m/>
    <m/>
    <m/>
    <m/>
    <m/>
    <m/>
    <m/>
    <m/>
    <m/>
    <m/>
    <m/>
    <m/>
    <m/>
    <m/>
    <m/>
    <m/>
    <m/>
    <m/>
    <m/>
    <m/>
    <m/>
    <m/>
  </r>
  <r>
    <n v="743"/>
    <m/>
    <s v="ZBTO"/>
    <m/>
    <m/>
    <s v="9518125554-3"/>
    <s v="Stocks"/>
    <x v="4"/>
    <m/>
    <x v="3"/>
    <x v="9"/>
    <n v="2000"/>
    <m/>
    <x v="1"/>
    <m/>
    <m/>
    <m/>
    <s v="East"/>
    <m/>
    <m/>
    <m/>
    <s v="BMW VENTURES LIMITED"/>
    <n v="1851133"/>
    <s v="GP SHEET SOFT-TATXGP-GK09-0.35X900"/>
    <m/>
    <m/>
    <m/>
    <m/>
    <m/>
    <s v="B11"/>
    <s v="TATXGP"/>
    <s v="GK09"/>
    <n v="0.35"/>
    <n v="900"/>
    <m/>
    <m/>
    <m/>
    <m/>
    <m/>
    <m/>
    <m/>
    <m/>
    <m/>
    <m/>
    <m/>
    <m/>
    <m/>
    <m/>
    <m/>
    <m/>
    <m/>
    <m/>
    <m/>
    <m/>
    <m/>
    <m/>
    <m/>
    <m/>
    <m/>
    <m/>
    <m/>
    <m/>
    <m/>
    <m/>
    <m/>
    <n v="3.03"/>
    <n v="0"/>
    <n v="0"/>
    <n v="0"/>
    <n v="0"/>
    <n v="0"/>
    <n v="0"/>
    <n v="0"/>
    <n v="0"/>
    <n v="0"/>
    <n v="0"/>
    <n v="0"/>
    <n v="0"/>
    <m/>
    <m/>
    <m/>
    <m/>
    <m/>
    <m/>
    <m/>
    <m/>
    <m/>
    <m/>
    <m/>
    <m/>
    <m/>
    <m/>
    <m/>
    <m/>
    <m/>
    <m/>
    <m/>
    <m/>
    <m/>
    <m/>
    <m/>
    <m/>
    <m/>
    <m/>
    <m/>
    <m/>
    <m/>
    <m/>
    <m/>
    <m/>
    <m/>
    <m/>
    <m/>
  </r>
  <r>
    <n v="743"/>
    <m/>
    <s v="ZBTO"/>
    <m/>
    <m/>
    <s v="9518136786-6"/>
    <s v="Stocks"/>
    <x v="4"/>
    <m/>
    <x v="4"/>
    <x v="3"/>
    <n v="1000"/>
    <m/>
    <x v="1"/>
    <m/>
    <m/>
    <m/>
    <s v="East"/>
    <m/>
    <m/>
    <m/>
    <s v="TATA BLUESCOPE STEEL PRIVATE L"/>
    <n v="3856039"/>
    <s v="GL C YS550 M306 0.38BMT(0.40TCT)X1000"/>
    <m/>
    <m/>
    <m/>
    <m/>
    <m/>
    <s v="B04"/>
    <s v="Y550GL"/>
    <s v="M306"/>
    <n v="0.38"/>
    <n v="1000"/>
    <m/>
    <m/>
    <m/>
    <m/>
    <m/>
    <m/>
    <m/>
    <m/>
    <m/>
    <m/>
    <m/>
    <m/>
    <m/>
    <m/>
    <m/>
    <m/>
    <m/>
    <m/>
    <m/>
    <m/>
    <m/>
    <m/>
    <m/>
    <m/>
    <m/>
    <m/>
    <m/>
    <m/>
    <m/>
    <m/>
    <m/>
    <n v="7.3650000000000002"/>
    <n v="0"/>
    <n v="0"/>
    <n v="0"/>
    <n v="0"/>
    <n v="0"/>
    <n v="0"/>
    <n v="0"/>
    <n v="0"/>
    <n v="0"/>
    <n v="0"/>
    <n v="0"/>
    <n v="0"/>
    <m/>
    <m/>
    <m/>
    <m/>
    <m/>
    <m/>
    <m/>
    <m/>
    <m/>
    <m/>
    <m/>
    <m/>
    <m/>
    <m/>
    <m/>
    <m/>
    <m/>
    <m/>
    <m/>
    <m/>
    <m/>
    <m/>
    <m/>
    <m/>
    <m/>
    <m/>
    <m/>
    <m/>
    <m/>
    <m/>
    <m/>
    <m/>
    <m/>
    <m/>
    <m/>
  </r>
  <r>
    <n v="743"/>
    <m/>
    <s v="ZBTO"/>
    <m/>
    <m/>
    <s v="9518150929-2"/>
    <s v="Stocks"/>
    <x v="4"/>
    <m/>
    <x v="3"/>
    <x v="14"/>
    <n v="2000"/>
    <m/>
    <x v="1"/>
    <m/>
    <m/>
    <m/>
    <s v="West"/>
    <m/>
    <m/>
    <m/>
    <s v="ANM ISPAT PRIVATE LIMITED"/>
    <n v="1851106"/>
    <s v="GP COIL SOFT-TATXGP-GK09-0.6X1250"/>
    <m/>
    <m/>
    <m/>
    <m/>
    <m/>
    <s v="C02"/>
    <s v="TATXGP"/>
    <s v="GK09"/>
    <n v="0.6"/>
    <n v="1250"/>
    <m/>
    <m/>
    <m/>
    <m/>
    <m/>
    <m/>
    <m/>
    <m/>
    <m/>
    <m/>
    <m/>
    <m/>
    <m/>
    <m/>
    <m/>
    <m/>
    <m/>
    <m/>
    <m/>
    <m/>
    <m/>
    <m/>
    <m/>
    <m/>
    <m/>
    <m/>
    <m/>
    <m/>
    <m/>
    <m/>
    <m/>
    <n v="3.89"/>
    <n v="0"/>
    <n v="0"/>
    <n v="0"/>
    <n v="0"/>
    <n v="0"/>
    <n v="0"/>
    <n v="0"/>
    <n v="0"/>
    <n v="0"/>
    <n v="0"/>
    <n v="0"/>
    <n v="0"/>
    <m/>
    <m/>
    <m/>
    <m/>
    <m/>
    <m/>
    <m/>
    <m/>
    <m/>
    <m/>
    <m/>
    <m/>
    <m/>
    <m/>
    <m/>
    <m/>
    <m/>
    <m/>
    <m/>
    <m/>
    <m/>
    <m/>
    <m/>
    <m/>
    <m/>
    <m/>
    <m/>
    <m/>
    <m/>
    <m/>
    <m/>
    <m/>
    <m/>
    <m/>
    <m/>
  </r>
  <r>
    <n v="742"/>
    <m/>
    <s v="ZBTO"/>
    <m/>
    <m/>
    <s v="9518188607-1"/>
    <s v="Stocks"/>
    <x v="4"/>
    <m/>
    <x v="1"/>
    <x v="2"/>
    <n v="2000"/>
    <m/>
    <x v="1"/>
    <m/>
    <m/>
    <m/>
    <s v="West"/>
    <m/>
    <m/>
    <m/>
    <s v="ROHIT &amp; COMPANY"/>
    <n v="3870145"/>
    <s v="CRCA SHEET TATCRC SR16 0.400X1250X1980"/>
    <m/>
    <m/>
    <m/>
    <m/>
    <m/>
    <s v="C06"/>
    <s v="TATCRC"/>
    <s v="SR16"/>
    <n v="0.4"/>
    <n v="1250"/>
    <m/>
    <m/>
    <m/>
    <m/>
    <m/>
    <m/>
    <m/>
    <m/>
    <m/>
    <m/>
    <m/>
    <m/>
    <m/>
    <m/>
    <m/>
    <m/>
    <m/>
    <m/>
    <m/>
    <m/>
    <m/>
    <m/>
    <m/>
    <m/>
    <m/>
    <m/>
    <m/>
    <m/>
    <m/>
    <m/>
    <m/>
    <n v="2.84"/>
    <n v="0"/>
    <n v="0"/>
    <n v="0"/>
    <n v="0"/>
    <n v="0"/>
    <n v="0"/>
    <n v="0"/>
    <n v="0"/>
    <n v="0"/>
    <n v="0"/>
    <n v="0"/>
    <n v="0"/>
    <m/>
    <m/>
    <m/>
    <m/>
    <m/>
    <m/>
    <m/>
    <m/>
    <m/>
    <m/>
    <m/>
    <m/>
    <m/>
    <m/>
    <m/>
    <m/>
    <m/>
    <m/>
    <m/>
    <m/>
    <m/>
    <m/>
    <m/>
    <m/>
    <m/>
    <m/>
    <m/>
    <m/>
    <m/>
    <m/>
    <m/>
    <m/>
    <m/>
    <m/>
    <m/>
  </r>
  <r>
    <n v="743"/>
    <m/>
    <s v="ZBTC"/>
    <m/>
    <m/>
    <s v="9518188688-8"/>
    <s v="Stocks"/>
    <x v="4"/>
    <m/>
    <x v="3"/>
    <x v="14"/>
    <n v="2000"/>
    <m/>
    <x v="1"/>
    <m/>
    <m/>
    <m/>
    <s v="South"/>
    <m/>
    <m/>
    <m/>
    <s v="AASHRAY ENTERPRISES"/>
    <n v="1854410"/>
    <s v="GP COIL SOFT-TATXGP-GK09-0.4X1220"/>
    <m/>
    <m/>
    <m/>
    <m/>
    <m/>
    <s v="C02"/>
    <s v="TATXGP"/>
    <s v="GK09"/>
    <n v="0.4"/>
    <n v="1220"/>
    <m/>
    <m/>
    <m/>
    <m/>
    <m/>
    <m/>
    <m/>
    <m/>
    <m/>
    <m/>
    <m/>
    <m/>
    <m/>
    <m/>
    <m/>
    <m/>
    <m/>
    <m/>
    <m/>
    <m/>
    <m/>
    <m/>
    <m/>
    <m/>
    <m/>
    <m/>
    <m/>
    <m/>
    <m/>
    <m/>
    <m/>
    <n v="10.375"/>
    <n v="0"/>
    <n v="0"/>
    <n v="0"/>
    <n v="0"/>
    <n v="0"/>
    <n v="0"/>
    <n v="0"/>
    <n v="0"/>
    <n v="0"/>
    <n v="0"/>
    <n v="0"/>
    <n v="0"/>
    <m/>
    <m/>
    <m/>
    <m/>
    <m/>
    <m/>
    <m/>
    <m/>
    <m/>
    <m/>
    <m/>
    <m/>
    <m/>
    <m/>
    <m/>
    <m/>
    <m/>
    <m/>
    <m/>
    <m/>
    <m/>
    <m/>
    <m/>
    <m/>
    <m/>
    <m/>
    <m/>
    <m/>
    <m/>
    <m/>
    <m/>
    <m/>
    <m/>
    <m/>
    <m/>
  </r>
  <r>
    <n v="742"/>
    <m/>
    <s v="ZBTO"/>
    <m/>
    <m/>
    <s v="9518197222-2"/>
    <s v="Stocks"/>
    <x v="4"/>
    <m/>
    <x v="1"/>
    <x v="2"/>
    <n v="2000"/>
    <m/>
    <x v="1"/>
    <m/>
    <m/>
    <m/>
    <s v="West"/>
    <m/>
    <m/>
    <m/>
    <s v="S K M STEELS LIMITED"/>
    <n v="3240765"/>
    <s v="CRCA SHEET TSBCRC SR15 0.500X1250X2500"/>
    <m/>
    <m/>
    <m/>
    <m/>
    <m/>
    <s v="C06"/>
    <s v="TSBCRC"/>
    <s v="SR15"/>
    <n v="0.5"/>
    <n v="1250"/>
    <m/>
    <m/>
    <m/>
    <m/>
    <m/>
    <m/>
    <m/>
    <m/>
    <m/>
    <m/>
    <m/>
    <m/>
    <m/>
    <m/>
    <m/>
    <m/>
    <m/>
    <m/>
    <m/>
    <m/>
    <m/>
    <m/>
    <m/>
    <m/>
    <m/>
    <m/>
    <m/>
    <m/>
    <m/>
    <m/>
    <m/>
    <n v="2.855"/>
    <n v="0"/>
    <n v="0"/>
    <n v="0"/>
    <n v="0"/>
    <n v="0"/>
    <n v="0"/>
    <n v="0"/>
    <n v="0"/>
    <n v="0"/>
    <n v="0"/>
    <n v="0"/>
    <n v="0"/>
    <m/>
    <m/>
    <m/>
    <m/>
    <m/>
    <m/>
    <m/>
    <m/>
    <m/>
    <m/>
    <m/>
    <m/>
    <m/>
    <m/>
    <m/>
    <m/>
    <m/>
    <m/>
    <m/>
    <m/>
    <m/>
    <m/>
    <m/>
    <m/>
    <m/>
    <m/>
    <m/>
    <m/>
    <m/>
    <m/>
    <m/>
    <m/>
    <m/>
    <m/>
    <m/>
  </r>
  <r>
    <n v="743"/>
    <m/>
    <s v="ZBTC"/>
    <m/>
    <m/>
    <s v="9518202440-2"/>
    <s v="Stocks"/>
    <x v="4"/>
    <m/>
    <x v="3"/>
    <x v="9"/>
    <n v="2000"/>
    <m/>
    <x v="1"/>
    <m/>
    <m/>
    <m/>
    <s v="West"/>
    <m/>
    <m/>
    <m/>
    <s v="ANM ISPAT PRIVATE LIMITED"/>
    <n v="1851133"/>
    <s v="GP SHEET SOFT-TATXGP-GK09-0.35X900"/>
    <m/>
    <m/>
    <m/>
    <m/>
    <m/>
    <s v="B11"/>
    <s v="TATXGP"/>
    <s v="GK09"/>
    <n v="0.35"/>
    <n v="900"/>
    <m/>
    <m/>
    <m/>
    <m/>
    <m/>
    <m/>
    <m/>
    <m/>
    <m/>
    <m/>
    <m/>
    <m/>
    <m/>
    <m/>
    <m/>
    <m/>
    <m/>
    <m/>
    <m/>
    <m/>
    <m/>
    <m/>
    <m/>
    <m/>
    <m/>
    <m/>
    <m/>
    <m/>
    <m/>
    <m/>
    <m/>
    <n v="10.719999999999999"/>
    <n v="0"/>
    <n v="0"/>
    <n v="0"/>
    <n v="0"/>
    <n v="0"/>
    <n v="0"/>
    <n v="0"/>
    <n v="0"/>
    <n v="0"/>
    <n v="0"/>
    <n v="0"/>
    <n v="0"/>
    <m/>
    <m/>
    <m/>
    <m/>
    <m/>
    <m/>
    <m/>
    <m/>
    <m/>
    <m/>
    <m/>
    <m/>
    <m/>
    <m/>
    <m/>
    <m/>
    <m/>
    <m/>
    <m/>
    <m/>
    <m/>
    <m/>
    <m/>
    <m/>
    <m/>
    <m/>
    <m/>
    <m/>
    <m/>
    <m/>
    <m/>
    <m/>
    <m/>
    <m/>
    <m/>
  </r>
  <r>
    <n v="743"/>
    <m/>
    <s v="ZBTO"/>
    <m/>
    <m/>
    <s v="9518202725-2"/>
    <s v="Stocks"/>
    <x v="4"/>
    <m/>
    <x v="4"/>
    <x v="5"/>
    <n v="1000"/>
    <m/>
    <x v="1"/>
    <m/>
    <m/>
    <m/>
    <s v="West"/>
    <m/>
    <m/>
    <m/>
    <s v="MTE STRUCTURES LIMITED"/>
    <n v="3865176"/>
    <s v="GL COIL HARD  Y550GL HGL6 0.900X1250"/>
    <m/>
    <m/>
    <m/>
    <m/>
    <m/>
    <s v="B04"/>
    <s v="Y550GL"/>
    <s v="HGL6"/>
    <n v="0.9"/>
    <n v="1250"/>
    <m/>
    <m/>
    <m/>
    <m/>
    <m/>
    <m/>
    <m/>
    <m/>
    <m/>
    <m/>
    <m/>
    <m/>
    <m/>
    <m/>
    <m/>
    <m/>
    <m/>
    <m/>
    <m/>
    <m/>
    <m/>
    <m/>
    <m/>
    <m/>
    <m/>
    <m/>
    <m/>
    <m/>
    <m/>
    <m/>
    <m/>
    <n v="16.02"/>
    <n v="0"/>
    <n v="0"/>
    <n v="0"/>
    <n v="0"/>
    <n v="0"/>
    <n v="0"/>
    <n v="0"/>
    <n v="0"/>
    <n v="0"/>
    <n v="0"/>
    <n v="0"/>
    <n v="0"/>
    <m/>
    <m/>
    <m/>
    <m/>
    <m/>
    <m/>
    <m/>
    <m/>
    <m/>
    <m/>
    <m/>
    <m/>
    <m/>
    <m/>
    <m/>
    <m/>
    <m/>
    <m/>
    <m/>
    <m/>
    <m/>
    <m/>
    <m/>
    <m/>
    <m/>
    <m/>
    <m/>
    <m/>
    <m/>
    <m/>
    <m/>
    <m/>
    <m/>
    <m/>
    <m/>
  </r>
  <r>
    <n v="743"/>
    <m/>
    <s v="ZBTO"/>
    <m/>
    <m/>
    <s v="9518235044-5"/>
    <s v="Stocks"/>
    <x v="4"/>
    <m/>
    <x v="3"/>
    <x v="9"/>
    <n v="2000"/>
    <m/>
    <x v="1"/>
    <m/>
    <m/>
    <m/>
    <s v="East"/>
    <m/>
    <m/>
    <m/>
    <s v="BHARTIA  DISTRIBUTORS PVT. LTD"/>
    <n v="3484329"/>
    <s v="GP SH SOFT TATXGP GK09 0.600X900X2500"/>
    <m/>
    <m/>
    <m/>
    <m/>
    <m/>
    <s v="B11"/>
    <s v="TATXGP"/>
    <s v="GK09"/>
    <n v="0.6"/>
    <n v="900"/>
    <m/>
    <m/>
    <m/>
    <m/>
    <m/>
    <m/>
    <m/>
    <m/>
    <m/>
    <m/>
    <m/>
    <m/>
    <m/>
    <m/>
    <m/>
    <m/>
    <m/>
    <m/>
    <m/>
    <m/>
    <m/>
    <m/>
    <m/>
    <m/>
    <m/>
    <m/>
    <m/>
    <m/>
    <m/>
    <m/>
    <m/>
    <n v="2.8849999999999998"/>
    <n v="0"/>
    <n v="0"/>
    <n v="0"/>
    <n v="0"/>
    <n v="0"/>
    <n v="0"/>
    <n v="0"/>
    <n v="0"/>
    <n v="0"/>
    <n v="0"/>
    <n v="0"/>
    <n v="0"/>
    <m/>
    <m/>
    <m/>
    <m/>
    <m/>
    <m/>
    <m/>
    <m/>
    <m/>
    <m/>
    <m/>
    <m/>
    <m/>
    <m/>
    <m/>
    <m/>
    <m/>
    <m/>
    <m/>
    <m/>
    <m/>
    <m/>
    <m/>
    <m/>
    <m/>
    <m/>
    <m/>
    <m/>
    <m/>
    <m/>
    <m/>
    <m/>
    <m/>
    <m/>
    <m/>
  </r>
  <r>
    <n v="744"/>
    <m/>
    <s v="ZBTC"/>
    <m/>
    <m/>
    <s v="9518253010-1"/>
    <s v="Stocks"/>
    <x v="4"/>
    <m/>
    <x v="2"/>
    <x v="3"/>
    <n v="1000"/>
    <m/>
    <x v="1"/>
    <m/>
    <m/>
    <m/>
    <s v="East"/>
    <m/>
    <m/>
    <m/>
    <s v="TATA BLUESCOPE STEEL PVT LTD."/>
    <n v="3724432"/>
    <s v="PPGL C HARD Y550PL PLH1 0.430X1020"/>
    <m/>
    <m/>
    <m/>
    <m/>
    <m/>
    <s v="B18"/>
    <s v="Y550PL"/>
    <s v="PLH1"/>
    <n v="0.43"/>
    <n v="1020"/>
    <m/>
    <m/>
    <m/>
    <m/>
    <m/>
    <m/>
    <m/>
    <m/>
    <m/>
    <m/>
    <m/>
    <m/>
    <m/>
    <m/>
    <m/>
    <m/>
    <m/>
    <m/>
    <m/>
    <m/>
    <m/>
    <m/>
    <m/>
    <m/>
    <m/>
    <m/>
    <m/>
    <m/>
    <m/>
    <m/>
    <m/>
    <n v="13.125"/>
    <n v="0"/>
    <n v="0"/>
    <n v="0"/>
    <n v="0"/>
    <n v="0"/>
    <n v="0"/>
    <n v="0"/>
    <n v="0"/>
    <n v="0"/>
    <n v="0"/>
    <n v="0"/>
    <n v="0"/>
    <m/>
    <m/>
    <m/>
    <m/>
    <m/>
    <m/>
    <m/>
    <m/>
    <m/>
    <m/>
    <m/>
    <m/>
    <m/>
    <m/>
    <m/>
    <m/>
    <m/>
    <m/>
    <m/>
    <m/>
    <m/>
    <m/>
    <m/>
    <m/>
    <m/>
    <m/>
    <m/>
    <m/>
    <m/>
    <m/>
    <m/>
    <m/>
    <m/>
    <m/>
    <m/>
  </r>
  <r>
    <n v="742"/>
    <m/>
    <s v="ZBTO"/>
    <m/>
    <m/>
    <s v="9518275934-2"/>
    <s v="Stocks"/>
    <x v="4"/>
    <m/>
    <x v="1"/>
    <x v="10"/>
    <n v="1000"/>
    <m/>
    <x v="1"/>
    <m/>
    <m/>
    <m/>
    <s v="South"/>
    <m/>
    <m/>
    <m/>
    <s v="Baba Container Manufacturers"/>
    <n v="3867647"/>
    <s v="CR COIL TATXXD BT03 0.600X1120"/>
    <m/>
    <m/>
    <m/>
    <m/>
    <m/>
    <s v="C01"/>
    <s v="TATXXD"/>
    <s v="BT03"/>
    <n v="0.6"/>
    <n v="1120"/>
    <m/>
    <m/>
    <m/>
    <m/>
    <m/>
    <m/>
    <m/>
    <m/>
    <m/>
    <m/>
    <m/>
    <m/>
    <m/>
    <m/>
    <m/>
    <m/>
    <m/>
    <m/>
    <m/>
    <m/>
    <m/>
    <m/>
    <m/>
    <m/>
    <m/>
    <m/>
    <m/>
    <m/>
    <m/>
    <m/>
    <m/>
    <n v="110.69500000000001"/>
    <n v="0"/>
    <n v="0"/>
    <n v="0"/>
    <n v="0"/>
    <n v="0"/>
    <n v="0"/>
    <n v="0"/>
    <n v="0"/>
    <n v="0"/>
    <n v="0"/>
    <n v="0"/>
    <n v="0"/>
    <m/>
    <m/>
    <m/>
    <m/>
    <m/>
    <m/>
    <m/>
    <m/>
    <m/>
    <m/>
    <m/>
    <m/>
    <m/>
    <m/>
    <m/>
    <m/>
    <m/>
    <m/>
    <m/>
    <m/>
    <m/>
    <m/>
    <m/>
    <m/>
    <m/>
    <m/>
    <m/>
    <m/>
    <m/>
    <m/>
    <m/>
    <m/>
    <m/>
    <m/>
    <m/>
  </r>
  <r>
    <n v="744"/>
    <m/>
    <s v="ZBTO"/>
    <m/>
    <m/>
    <s v="9518281414-1"/>
    <s v="Stocks"/>
    <x v="4"/>
    <m/>
    <x v="2"/>
    <x v="3"/>
    <n v="1000"/>
    <m/>
    <x v="1"/>
    <m/>
    <m/>
    <m/>
    <s v="East"/>
    <m/>
    <m/>
    <m/>
    <s v="TATA BLUESCOPE STEEL PVT LTD."/>
    <n v="3521298"/>
    <s v="PPGL C Y550 D0C7 0.33BMT(0.37TPT)X1220"/>
    <m/>
    <m/>
    <m/>
    <m/>
    <m/>
    <s v="B18"/>
    <s v="Y550PL"/>
    <s v="D0C7"/>
    <n v="0.33"/>
    <n v="1220"/>
    <m/>
    <m/>
    <m/>
    <m/>
    <m/>
    <m/>
    <m/>
    <m/>
    <m/>
    <m/>
    <m/>
    <m/>
    <m/>
    <m/>
    <m/>
    <m/>
    <m/>
    <m/>
    <m/>
    <m/>
    <m/>
    <m/>
    <m/>
    <m/>
    <m/>
    <m/>
    <m/>
    <m/>
    <m/>
    <m/>
    <m/>
    <n v="4.92"/>
    <n v="0"/>
    <n v="0"/>
    <n v="0"/>
    <n v="0"/>
    <n v="0"/>
    <n v="0"/>
    <n v="0"/>
    <n v="0"/>
    <n v="0"/>
    <n v="0"/>
    <n v="0"/>
    <n v="0"/>
    <m/>
    <m/>
    <m/>
    <m/>
    <m/>
    <m/>
    <m/>
    <m/>
    <m/>
    <m/>
    <m/>
    <m/>
    <m/>
    <m/>
    <m/>
    <m/>
    <m/>
    <m/>
    <m/>
    <m/>
    <m/>
    <m/>
    <m/>
    <m/>
    <m/>
    <m/>
    <m/>
    <m/>
    <m/>
    <m/>
    <m/>
    <m/>
    <m/>
    <m/>
    <m/>
  </r>
  <r>
    <n v="743"/>
    <m/>
    <s v="ZBTC"/>
    <m/>
    <m/>
    <s v="9518294311-1"/>
    <s v="Stocks"/>
    <x v="4"/>
    <m/>
    <x v="4"/>
    <x v="5"/>
    <n v="1000"/>
    <m/>
    <x v="1"/>
    <m/>
    <m/>
    <m/>
    <s v="West"/>
    <m/>
    <m/>
    <m/>
    <s v="PURSHOTAM PROFILES PRIVATE LIM"/>
    <n v="3865176"/>
    <s v="GL COIL HARD  Y550GL HGL6 0.900X1250"/>
    <m/>
    <m/>
    <m/>
    <m/>
    <m/>
    <s v="B04"/>
    <s v="Y550GL"/>
    <s v="HGL6"/>
    <n v="0.9"/>
    <n v="1250"/>
    <m/>
    <m/>
    <m/>
    <m/>
    <m/>
    <m/>
    <m/>
    <m/>
    <m/>
    <m/>
    <m/>
    <m/>
    <m/>
    <m/>
    <m/>
    <m/>
    <m/>
    <m/>
    <m/>
    <m/>
    <m/>
    <m/>
    <m/>
    <m/>
    <m/>
    <m/>
    <m/>
    <m/>
    <m/>
    <m/>
    <m/>
    <n v="6.2050000000000001"/>
    <n v="0"/>
    <n v="0"/>
    <n v="0"/>
    <n v="0"/>
    <n v="0"/>
    <n v="0"/>
    <n v="0"/>
    <n v="0"/>
    <n v="0"/>
    <n v="0"/>
    <n v="0"/>
    <n v="0"/>
    <m/>
    <m/>
    <m/>
    <m/>
    <m/>
    <m/>
    <m/>
    <m/>
    <m/>
    <m/>
    <m/>
    <m/>
    <m/>
    <m/>
    <m/>
    <m/>
    <m/>
    <m/>
    <m/>
    <m/>
    <m/>
    <m/>
    <m/>
    <m/>
    <m/>
    <m/>
    <m/>
    <m/>
    <m/>
    <m/>
    <m/>
    <m/>
    <m/>
    <m/>
    <m/>
  </r>
  <r>
    <n v="743"/>
    <m/>
    <s v="ZBTO"/>
    <m/>
    <m/>
    <s v="9518326942-10"/>
    <s v="Stocks"/>
    <x v="4"/>
    <m/>
    <x v="4"/>
    <x v="3"/>
    <n v="1000"/>
    <m/>
    <x v="1"/>
    <m/>
    <m/>
    <m/>
    <s v="East"/>
    <m/>
    <m/>
    <m/>
    <s v="TATA BLUESCOPE STEEL PRIVATE L"/>
    <n v="3856040"/>
    <s v="GL C YS550 M306 0.43BMT(0.45TCT)X900"/>
    <m/>
    <m/>
    <m/>
    <m/>
    <m/>
    <s v="B04"/>
    <s v="Y550GL"/>
    <s v="M306"/>
    <n v="0.43"/>
    <n v="900"/>
    <m/>
    <m/>
    <m/>
    <m/>
    <m/>
    <m/>
    <m/>
    <m/>
    <m/>
    <m/>
    <m/>
    <m/>
    <m/>
    <m/>
    <m/>
    <m/>
    <m/>
    <m/>
    <m/>
    <m/>
    <m/>
    <m/>
    <m/>
    <m/>
    <m/>
    <m/>
    <m/>
    <m/>
    <m/>
    <m/>
    <m/>
    <n v="4.09"/>
    <n v="0"/>
    <n v="0"/>
    <n v="0"/>
    <n v="0"/>
    <n v="0"/>
    <n v="0"/>
    <n v="0"/>
    <n v="0"/>
    <n v="0"/>
    <n v="0"/>
    <n v="0"/>
    <n v="0"/>
    <m/>
    <m/>
    <m/>
    <m/>
    <m/>
    <m/>
    <m/>
    <m/>
    <m/>
    <m/>
    <m/>
    <m/>
    <m/>
    <m/>
    <m/>
    <m/>
    <m/>
    <m/>
    <m/>
    <m/>
    <m/>
    <m/>
    <m/>
    <m/>
    <m/>
    <m/>
    <m/>
    <m/>
    <m/>
    <m/>
    <m/>
    <m/>
    <m/>
    <m/>
    <m/>
  </r>
  <r>
    <n v="743"/>
    <m/>
    <s v="ZBTO"/>
    <m/>
    <m/>
    <s v="9518326942-8"/>
    <s v="Stocks"/>
    <x v="4"/>
    <m/>
    <x v="4"/>
    <x v="3"/>
    <n v="1000"/>
    <m/>
    <x v="1"/>
    <m/>
    <m/>
    <m/>
    <s v="East"/>
    <m/>
    <m/>
    <m/>
    <s v="TATA BLUESCOPE STEEL PRIVATE L"/>
    <n v="3856039"/>
    <s v="GL C YS550 M306 0.38BMT(0.40TCT)X1000"/>
    <m/>
    <m/>
    <m/>
    <m/>
    <m/>
    <s v="B04"/>
    <s v="Y550GL"/>
    <s v="M306"/>
    <n v="0.38"/>
    <n v="1000"/>
    <m/>
    <m/>
    <m/>
    <m/>
    <m/>
    <m/>
    <m/>
    <m/>
    <m/>
    <m/>
    <m/>
    <m/>
    <m/>
    <m/>
    <m/>
    <m/>
    <m/>
    <m/>
    <m/>
    <m/>
    <m/>
    <m/>
    <m/>
    <m/>
    <m/>
    <m/>
    <m/>
    <m/>
    <m/>
    <m/>
    <m/>
    <n v="16.684999999999999"/>
    <n v="94.525000000000006"/>
    <n v="0"/>
    <n v="94.525000000000006"/>
    <n v="0"/>
    <n v="0"/>
    <n v="0"/>
    <n v="94.525000000000006"/>
    <n v="0"/>
    <n v="94.525000000000006"/>
    <n v="0"/>
    <n v="0"/>
    <n v="0"/>
    <m/>
    <m/>
    <m/>
    <m/>
    <m/>
    <m/>
    <m/>
    <m/>
    <m/>
    <m/>
    <m/>
    <m/>
    <m/>
    <m/>
    <m/>
    <m/>
    <m/>
    <m/>
    <m/>
    <m/>
    <m/>
    <m/>
    <m/>
    <m/>
    <m/>
    <m/>
    <m/>
    <m/>
    <m/>
    <m/>
    <m/>
    <m/>
    <m/>
    <m/>
    <m/>
  </r>
  <r>
    <n v="743"/>
    <m/>
    <s v="ZBTO"/>
    <m/>
    <m/>
    <s v="9518326942-9"/>
    <s v="Stocks"/>
    <x v="4"/>
    <m/>
    <x v="4"/>
    <x v="3"/>
    <n v="1000"/>
    <m/>
    <x v="1"/>
    <m/>
    <m/>
    <m/>
    <s v="East"/>
    <m/>
    <m/>
    <m/>
    <s v="TATA BLUESCOPE STEEL PRIVATE L"/>
    <n v="3856039"/>
    <s v="GL C YS550 M306 0.38BMT(0.40TCT)X1000"/>
    <m/>
    <m/>
    <m/>
    <m/>
    <m/>
    <s v="B04"/>
    <s v="Y550GL"/>
    <s v="M306"/>
    <n v="0.38"/>
    <n v="1000"/>
    <m/>
    <m/>
    <m/>
    <m/>
    <m/>
    <m/>
    <m/>
    <m/>
    <m/>
    <m/>
    <m/>
    <m/>
    <m/>
    <m/>
    <m/>
    <m/>
    <m/>
    <m/>
    <m/>
    <m/>
    <m/>
    <m/>
    <m/>
    <m/>
    <m/>
    <m/>
    <m/>
    <m/>
    <m/>
    <m/>
    <m/>
    <n v="3.72"/>
    <n v="0"/>
    <n v="0"/>
    <n v="0"/>
    <n v="0"/>
    <n v="0"/>
    <n v="0"/>
    <n v="0"/>
    <n v="0"/>
    <n v="0"/>
    <n v="0"/>
    <n v="0"/>
    <n v="0"/>
    <m/>
    <m/>
    <m/>
    <m/>
    <m/>
    <m/>
    <m/>
    <m/>
    <m/>
    <m/>
    <m/>
    <m/>
    <m/>
    <m/>
    <m/>
    <m/>
    <m/>
    <m/>
    <m/>
    <m/>
    <m/>
    <m/>
    <m/>
    <m/>
    <m/>
    <m/>
    <m/>
    <m/>
    <m/>
    <m/>
    <m/>
    <m/>
    <m/>
    <m/>
    <m/>
  </r>
  <r>
    <n v="742"/>
    <m/>
    <s v="ZBTO"/>
    <m/>
    <m/>
    <s v="9518341335-8"/>
    <s v="Stocks"/>
    <x v="4"/>
    <m/>
    <x v="1"/>
    <x v="2"/>
    <n v="2000"/>
    <m/>
    <x v="1"/>
    <m/>
    <m/>
    <m/>
    <s v="East"/>
    <m/>
    <m/>
    <m/>
    <s v="BHARTIA  DISTRIBUTORS PVT. LTD"/>
    <n v="3240818"/>
    <s v="CRCA SHEET TSBCRC SR15 0.900X1000X2500"/>
    <m/>
    <m/>
    <m/>
    <m/>
    <m/>
    <s v="C06"/>
    <s v="TSBCRC"/>
    <s v="SR15"/>
    <n v="0.9"/>
    <n v="1000"/>
    <m/>
    <m/>
    <m/>
    <m/>
    <m/>
    <m/>
    <m/>
    <m/>
    <m/>
    <m/>
    <m/>
    <m/>
    <m/>
    <m/>
    <m/>
    <m/>
    <m/>
    <m/>
    <m/>
    <m/>
    <m/>
    <m/>
    <m/>
    <m/>
    <m/>
    <m/>
    <m/>
    <m/>
    <m/>
    <m/>
    <m/>
    <n v="2.68"/>
    <n v="0"/>
    <n v="0"/>
    <n v="0"/>
    <n v="0"/>
    <n v="0"/>
    <n v="0"/>
    <n v="0"/>
    <n v="0"/>
    <n v="0"/>
    <n v="0"/>
    <n v="0"/>
    <n v="0"/>
    <m/>
    <m/>
    <m/>
    <m/>
    <m/>
    <m/>
    <m/>
    <m/>
    <m/>
    <m/>
    <m/>
    <m/>
    <m/>
    <m/>
    <m/>
    <m/>
    <m/>
    <m/>
    <m/>
    <m/>
    <m/>
    <m/>
    <m/>
    <m/>
    <m/>
    <m/>
    <m/>
    <m/>
    <m/>
    <m/>
    <m/>
    <m/>
    <m/>
    <m/>
    <m/>
  </r>
  <r>
    <n v="743"/>
    <m/>
    <s v="ZBTF"/>
    <m/>
    <m/>
    <s v="9518341433-2"/>
    <s v="Stocks"/>
    <x v="4"/>
    <m/>
    <x v="3"/>
    <x v="9"/>
    <n v="2000"/>
    <m/>
    <x v="1"/>
    <m/>
    <m/>
    <m/>
    <s v="East"/>
    <m/>
    <m/>
    <m/>
    <s v="TATA CENTRE"/>
    <n v="1854424"/>
    <s v="GP COIL SOFT-TATXGP-GK09-0.6X900"/>
    <m/>
    <m/>
    <m/>
    <m/>
    <m/>
    <s v="C02"/>
    <s v="TATXGP"/>
    <s v="GK09"/>
    <n v="0.6"/>
    <n v="900"/>
    <m/>
    <m/>
    <m/>
    <m/>
    <m/>
    <m/>
    <m/>
    <m/>
    <m/>
    <m/>
    <m/>
    <m/>
    <m/>
    <m/>
    <m/>
    <m/>
    <m/>
    <m/>
    <m/>
    <m/>
    <m/>
    <m/>
    <m/>
    <m/>
    <m/>
    <m/>
    <m/>
    <m/>
    <m/>
    <m/>
    <m/>
    <n v="9.5399999999999991"/>
    <n v="0"/>
    <n v="0"/>
    <n v="0"/>
    <n v="0"/>
    <n v="0"/>
    <n v="0"/>
    <n v="0"/>
    <n v="0"/>
    <n v="0"/>
    <n v="0"/>
    <n v="0"/>
    <n v="0"/>
    <m/>
    <m/>
    <m/>
    <m/>
    <m/>
    <m/>
    <m/>
    <m/>
    <m/>
    <m/>
    <m/>
    <m/>
    <m/>
    <m/>
    <m/>
    <m/>
    <m/>
    <m/>
    <m/>
    <m/>
    <m/>
    <m/>
    <m/>
    <m/>
    <m/>
    <m/>
    <m/>
    <m/>
    <m/>
    <m/>
    <m/>
    <m/>
    <m/>
    <m/>
    <m/>
  </r>
  <r>
    <n v="744"/>
    <m/>
    <s v="ZBTO"/>
    <m/>
    <m/>
    <s v="9518404985-1"/>
    <s v="Stocks"/>
    <x v="4"/>
    <m/>
    <x v="2"/>
    <x v="3"/>
    <n v="1000"/>
    <m/>
    <x v="1"/>
    <m/>
    <m/>
    <m/>
    <s v="East"/>
    <m/>
    <m/>
    <m/>
    <s v="TATA BLUESCOPE STEEL PVT LTD."/>
    <n v="1640840"/>
    <s v="PPGL C Y550 HPL3 0.45BMT(0.53TPT)X1220"/>
    <m/>
    <m/>
    <m/>
    <m/>
    <m/>
    <s v="B18"/>
    <s v="Y550PL"/>
    <s v="HPL3"/>
    <n v="0.45"/>
    <n v="1220"/>
    <m/>
    <m/>
    <m/>
    <m/>
    <m/>
    <m/>
    <m/>
    <m/>
    <m/>
    <m/>
    <m/>
    <m/>
    <m/>
    <m/>
    <m/>
    <m/>
    <m/>
    <m/>
    <m/>
    <m/>
    <m/>
    <m/>
    <m/>
    <m/>
    <m/>
    <m/>
    <m/>
    <m/>
    <m/>
    <m/>
    <m/>
    <n v="4.42"/>
    <n v="0"/>
    <n v="0"/>
    <n v="0"/>
    <n v="0"/>
    <n v="0"/>
    <n v="0"/>
    <n v="0"/>
    <n v="0"/>
    <n v="0"/>
    <n v="0"/>
    <n v="0"/>
    <n v="0"/>
    <m/>
    <m/>
    <m/>
    <m/>
    <m/>
    <m/>
    <m/>
    <m/>
    <m/>
    <m/>
    <m/>
    <m/>
    <m/>
    <m/>
    <m/>
    <m/>
    <m/>
    <m/>
    <m/>
    <m/>
    <m/>
    <m/>
    <m/>
    <m/>
    <m/>
    <m/>
    <m/>
    <m/>
    <m/>
    <m/>
    <m/>
    <m/>
    <m/>
    <m/>
    <m/>
  </r>
  <r>
    <n v="743"/>
    <m/>
    <s v="ZBTC"/>
    <m/>
    <m/>
    <s v="9518419193-2"/>
    <s v="Stocks"/>
    <x v="4"/>
    <m/>
    <x v="4"/>
    <x v="3"/>
    <n v="1000"/>
    <m/>
    <x v="1"/>
    <m/>
    <m/>
    <m/>
    <s v="North"/>
    <m/>
    <m/>
    <m/>
    <s v="TATA BLUESCOPE STEEL PVT LTD"/>
    <n v="3239573"/>
    <s v="GL C YS550 H6GL 0.42BMT(0.47TCT)X1220"/>
    <m/>
    <m/>
    <m/>
    <m/>
    <m/>
    <s v="B04"/>
    <s v="Y550GL"/>
    <s v="H6GL"/>
    <n v="0.42"/>
    <n v="1220"/>
    <m/>
    <m/>
    <m/>
    <m/>
    <m/>
    <m/>
    <m/>
    <m/>
    <m/>
    <m/>
    <m/>
    <m/>
    <m/>
    <m/>
    <m/>
    <m/>
    <m/>
    <m/>
    <m/>
    <m/>
    <m/>
    <m/>
    <m/>
    <m/>
    <m/>
    <m/>
    <m/>
    <m/>
    <m/>
    <m/>
    <m/>
    <n v="5.04"/>
    <n v="0"/>
    <n v="0"/>
    <n v="0"/>
    <n v="0"/>
    <n v="0"/>
    <n v="0"/>
    <n v="0"/>
    <n v="0"/>
    <n v="0"/>
    <n v="0"/>
    <n v="0"/>
    <n v="0"/>
    <m/>
    <m/>
    <m/>
    <m/>
    <m/>
    <m/>
    <m/>
    <m/>
    <m/>
    <m/>
    <m/>
    <m/>
    <m/>
    <m/>
    <m/>
    <m/>
    <m/>
    <m/>
    <m/>
    <m/>
    <m/>
    <m/>
    <m/>
    <m/>
    <m/>
    <m/>
    <m/>
    <m/>
    <m/>
    <m/>
    <m/>
    <m/>
    <m/>
    <m/>
    <m/>
  </r>
  <r>
    <n v="743"/>
    <m/>
    <s v="ZBTO"/>
    <m/>
    <m/>
    <s v="9518419841-2"/>
    <s v="Stocks"/>
    <x v="4"/>
    <m/>
    <x v="4"/>
    <x v="3"/>
    <n v="1000"/>
    <m/>
    <x v="1"/>
    <m/>
    <m/>
    <m/>
    <s v="East"/>
    <m/>
    <m/>
    <m/>
    <s v="TATA BLUESCOPE STEEL PRIVATE L"/>
    <n v="2193752"/>
    <s v="GL C YS550 H6GL 0.75BMT(0.80TCT)X1220"/>
    <m/>
    <m/>
    <m/>
    <m/>
    <m/>
    <s v="B04"/>
    <s v="Y550GL"/>
    <s v="H6GL"/>
    <n v="0.75"/>
    <n v="1220"/>
    <m/>
    <m/>
    <m/>
    <m/>
    <m/>
    <m/>
    <m/>
    <m/>
    <m/>
    <m/>
    <m/>
    <m/>
    <m/>
    <m/>
    <m/>
    <m/>
    <m/>
    <m/>
    <m/>
    <m/>
    <m/>
    <m/>
    <m/>
    <m/>
    <m/>
    <m/>
    <m/>
    <m/>
    <m/>
    <m/>
    <m/>
    <n v="11.87"/>
    <n v="0"/>
    <n v="0"/>
    <n v="0"/>
    <n v="0"/>
    <n v="0"/>
    <n v="0"/>
    <n v="0"/>
    <n v="0"/>
    <n v="0"/>
    <n v="0"/>
    <n v="0"/>
    <n v="0"/>
    <m/>
    <m/>
    <m/>
    <m/>
    <m/>
    <m/>
    <m/>
    <m/>
    <m/>
    <m/>
    <m/>
    <m/>
    <m/>
    <m/>
    <m/>
    <m/>
    <m/>
    <m/>
    <m/>
    <m/>
    <m/>
    <m/>
    <m/>
    <m/>
    <m/>
    <m/>
    <m/>
    <m/>
    <m/>
    <m/>
    <m/>
    <m/>
    <m/>
    <m/>
    <m/>
  </r>
  <r>
    <n v="743"/>
    <m/>
    <s v="ZBTO"/>
    <m/>
    <m/>
    <s v="9518420533-5"/>
    <s v="Stocks"/>
    <x v="4"/>
    <m/>
    <x v="3"/>
    <x v="9"/>
    <n v="2000"/>
    <m/>
    <x v="1"/>
    <m/>
    <m/>
    <m/>
    <s v="East"/>
    <m/>
    <m/>
    <m/>
    <s v="Shree Bajrang Steel Udyog"/>
    <n v="1178439"/>
    <s v="GP COIL SOFT-TATXGP-GK09-0.4X900"/>
    <m/>
    <m/>
    <m/>
    <m/>
    <m/>
    <s v="C02"/>
    <s v="TATXGP"/>
    <s v="GK09"/>
    <n v="0.4"/>
    <n v="900"/>
    <m/>
    <m/>
    <m/>
    <m/>
    <m/>
    <m/>
    <m/>
    <m/>
    <m/>
    <m/>
    <m/>
    <m/>
    <m/>
    <m/>
    <m/>
    <m/>
    <m/>
    <m/>
    <m/>
    <m/>
    <m/>
    <m/>
    <m/>
    <m/>
    <m/>
    <m/>
    <m/>
    <m/>
    <m/>
    <m/>
    <m/>
    <n v="6.09"/>
    <n v="0"/>
    <n v="0"/>
    <n v="0"/>
    <n v="0"/>
    <n v="0"/>
    <n v="0"/>
    <n v="0"/>
    <n v="0"/>
    <n v="0"/>
    <n v="0"/>
    <n v="0"/>
    <n v="0"/>
    <m/>
    <m/>
    <m/>
    <m/>
    <m/>
    <m/>
    <m/>
    <m/>
    <m/>
    <m/>
    <m/>
    <m/>
    <m/>
    <m/>
    <m/>
    <m/>
    <m/>
    <m/>
    <m/>
    <m/>
    <m/>
    <m/>
    <m/>
    <m/>
    <m/>
    <m/>
    <m/>
    <m/>
    <m/>
    <m/>
    <m/>
    <m/>
    <m/>
    <m/>
    <m/>
  </r>
  <r>
    <n v="742"/>
    <m/>
    <s v="ZBTO"/>
    <m/>
    <m/>
    <s v="9518429066-8"/>
    <s v="Stocks"/>
    <x v="4"/>
    <m/>
    <x v="1"/>
    <x v="2"/>
    <n v="2000"/>
    <m/>
    <x v="1"/>
    <m/>
    <m/>
    <m/>
    <s v="East"/>
    <m/>
    <m/>
    <m/>
    <s v="BHARTIA  DISTRIBUTORS PVT. LTD"/>
    <n v="3240818"/>
    <s v="CRCA SHEET TSBCRC SR15 0.900X1000X2500"/>
    <m/>
    <m/>
    <m/>
    <m/>
    <m/>
    <s v="C06"/>
    <s v="TSBCRC"/>
    <s v="SR15"/>
    <n v="0.9"/>
    <n v="1000"/>
    <m/>
    <m/>
    <m/>
    <m/>
    <m/>
    <m/>
    <m/>
    <m/>
    <m/>
    <m/>
    <m/>
    <m/>
    <m/>
    <m/>
    <m/>
    <m/>
    <m/>
    <m/>
    <m/>
    <m/>
    <m/>
    <m/>
    <m/>
    <m/>
    <m/>
    <m/>
    <m/>
    <m/>
    <m/>
    <m/>
    <m/>
    <n v="2.9750000000000001"/>
    <n v="0"/>
    <n v="0"/>
    <n v="0"/>
    <n v="0"/>
    <n v="0"/>
    <n v="0"/>
    <n v="0"/>
    <n v="0"/>
    <n v="0"/>
    <n v="0"/>
    <n v="0"/>
    <n v="0"/>
    <m/>
    <m/>
    <m/>
    <m/>
    <m/>
    <m/>
    <m/>
    <m/>
    <m/>
    <m/>
    <m/>
    <m/>
    <m/>
    <m/>
    <m/>
    <m/>
    <m/>
    <m/>
    <m/>
    <m/>
    <m/>
    <m/>
    <m/>
    <m/>
    <m/>
    <m/>
    <m/>
    <m/>
    <m/>
    <m/>
    <m/>
    <m/>
    <m/>
    <m/>
    <m/>
  </r>
  <r>
    <n v="744"/>
    <m/>
    <s v="ZBTC"/>
    <m/>
    <m/>
    <s v="9518434780-3"/>
    <s v="Stocks"/>
    <x v="4"/>
    <m/>
    <x v="2"/>
    <x v="3"/>
    <n v="1000"/>
    <m/>
    <x v="1"/>
    <m/>
    <m/>
    <m/>
    <s v="East"/>
    <m/>
    <m/>
    <m/>
    <s v="TATA BLUESCOPE STEEL PRIVATE L"/>
    <n v="3837004"/>
    <s v="PPGL C YS550 HPL8 0.40BMT(0.45TPT)X1220"/>
    <m/>
    <m/>
    <m/>
    <m/>
    <m/>
    <s v="B18"/>
    <s v="Y550PL"/>
    <s v="HPL8"/>
    <n v="0.4"/>
    <n v="1220"/>
    <m/>
    <m/>
    <m/>
    <m/>
    <m/>
    <m/>
    <m/>
    <m/>
    <m/>
    <m/>
    <m/>
    <m/>
    <m/>
    <m/>
    <m/>
    <m/>
    <m/>
    <m/>
    <m/>
    <m/>
    <m/>
    <m/>
    <m/>
    <m/>
    <m/>
    <m/>
    <m/>
    <m/>
    <m/>
    <m/>
    <m/>
    <n v="4.585"/>
    <n v="0"/>
    <n v="0"/>
    <n v="0"/>
    <n v="0"/>
    <n v="0"/>
    <n v="0"/>
    <n v="0"/>
    <n v="0"/>
    <n v="0"/>
    <n v="0"/>
    <n v="0"/>
    <n v="0"/>
    <m/>
    <m/>
    <m/>
    <m/>
    <m/>
    <m/>
    <m/>
    <m/>
    <m/>
    <m/>
    <m/>
    <m/>
    <m/>
    <m/>
    <m/>
    <m/>
    <m/>
    <m/>
    <m/>
    <m/>
    <m/>
    <m/>
    <m/>
    <m/>
    <m/>
    <m/>
    <m/>
    <m/>
    <m/>
    <m/>
    <m/>
    <m/>
    <m/>
    <m/>
    <m/>
  </r>
  <r>
    <n v="743"/>
    <m/>
    <s v="ZBTO"/>
    <m/>
    <m/>
    <s v="9518450786-3"/>
    <s v="Stocks"/>
    <x v="4"/>
    <m/>
    <x v="3"/>
    <x v="4"/>
    <n v="2000"/>
    <m/>
    <x v="1"/>
    <m/>
    <m/>
    <m/>
    <s v="East"/>
    <m/>
    <m/>
    <m/>
    <s v="BMW VENTURES LIMITED"/>
    <n v="3774103"/>
    <s v="GP COIL TATXGP GP02 0.450X1350"/>
    <m/>
    <m/>
    <m/>
    <m/>
    <m/>
    <s v="C05"/>
    <s v="TATXGP"/>
    <s v="GP02"/>
    <n v="0.45"/>
    <n v="1350"/>
    <m/>
    <m/>
    <m/>
    <m/>
    <m/>
    <m/>
    <m/>
    <m/>
    <m/>
    <m/>
    <m/>
    <m/>
    <m/>
    <m/>
    <m/>
    <m/>
    <m/>
    <m/>
    <m/>
    <m/>
    <m/>
    <m/>
    <m/>
    <m/>
    <m/>
    <m/>
    <m/>
    <m/>
    <m/>
    <m/>
    <m/>
    <n v="4.58"/>
    <n v="0"/>
    <n v="0"/>
    <n v="0"/>
    <n v="0"/>
    <n v="0"/>
    <n v="0"/>
    <n v="0"/>
    <n v="0"/>
    <n v="0"/>
    <n v="0"/>
    <n v="0"/>
    <n v="0"/>
    <m/>
    <m/>
    <m/>
    <m/>
    <m/>
    <m/>
    <m/>
    <m/>
    <m/>
    <m/>
    <m/>
    <m/>
    <m/>
    <m/>
    <m/>
    <m/>
    <m/>
    <m/>
    <m/>
    <m/>
    <m/>
    <m/>
    <m/>
    <m/>
    <m/>
    <m/>
    <m/>
    <m/>
    <m/>
    <m/>
    <m/>
    <m/>
    <m/>
    <m/>
    <m/>
  </r>
  <r>
    <n v="742"/>
    <m/>
    <s v="ZBTO"/>
    <m/>
    <m/>
    <s v="9518451356-16"/>
    <s v="Stocks"/>
    <x v="4"/>
    <m/>
    <x v="1"/>
    <x v="11"/>
    <n v="2000"/>
    <m/>
    <x v="1"/>
    <m/>
    <m/>
    <m/>
    <s v="South"/>
    <m/>
    <m/>
    <m/>
    <s v="DURGA TRADERS"/>
    <n v="2420609"/>
    <s v="CRCA COIL TATXXD AH03 1.900X1250"/>
    <m/>
    <m/>
    <m/>
    <m/>
    <m/>
    <s v="C01"/>
    <s v="TATXXD"/>
    <s v="AH03"/>
    <n v="1.9"/>
    <n v="1250"/>
    <m/>
    <m/>
    <m/>
    <m/>
    <m/>
    <m/>
    <m/>
    <m/>
    <m/>
    <m/>
    <m/>
    <m/>
    <m/>
    <m/>
    <m/>
    <m/>
    <m/>
    <m/>
    <m/>
    <m/>
    <m/>
    <m/>
    <m/>
    <m/>
    <m/>
    <m/>
    <m/>
    <m/>
    <m/>
    <m/>
    <m/>
    <n v="26.425000000000001"/>
    <n v="0"/>
    <n v="0"/>
    <n v="0"/>
    <n v="0"/>
    <n v="0"/>
    <n v="0"/>
    <n v="0"/>
    <n v="0"/>
    <n v="0"/>
    <n v="0"/>
    <n v="0"/>
    <n v="0"/>
    <m/>
    <m/>
    <m/>
    <m/>
    <m/>
    <m/>
    <m/>
    <m/>
    <m/>
    <m/>
    <m/>
    <m/>
    <m/>
    <m/>
    <m/>
    <m/>
    <m/>
    <m/>
    <m/>
    <m/>
    <m/>
    <m/>
    <m/>
    <m/>
    <m/>
    <m/>
    <m/>
    <m/>
    <m/>
    <m/>
    <m/>
    <m/>
    <m/>
    <m/>
    <m/>
  </r>
  <r>
    <n v="744"/>
    <m/>
    <s v="ZBTO"/>
    <m/>
    <m/>
    <s v="9518453202-1"/>
    <s v="Stocks"/>
    <x v="4"/>
    <m/>
    <x v="2"/>
    <x v="3"/>
    <n v="1000"/>
    <m/>
    <x v="1"/>
    <m/>
    <m/>
    <m/>
    <s v="East"/>
    <m/>
    <m/>
    <m/>
    <s v="TATA BLUESCOPE STEEL PVT LTD."/>
    <n v="3522241"/>
    <s v="PPGL C Y550 D0C7 0.43BMT(0.47TPT)X1220"/>
    <m/>
    <m/>
    <m/>
    <m/>
    <m/>
    <s v="B18"/>
    <s v="Y550PL"/>
    <s v="D0C7"/>
    <n v="0.43"/>
    <n v="1220"/>
    <m/>
    <m/>
    <m/>
    <m/>
    <m/>
    <m/>
    <m/>
    <m/>
    <m/>
    <m/>
    <m/>
    <m/>
    <m/>
    <m/>
    <m/>
    <m/>
    <m/>
    <m/>
    <m/>
    <m/>
    <m/>
    <m/>
    <m/>
    <m/>
    <m/>
    <m/>
    <m/>
    <m/>
    <m/>
    <m/>
    <m/>
    <n v="2.4900000000000002"/>
    <n v="0"/>
    <n v="0"/>
    <n v="0"/>
    <n v="0"/>
    <n v="0"/>
    <n v="0"/>
    <n v="0"/>
    <n v="0"/>
    <n v="0"/>
    <n v="0"/>
    <n v="0"/>
    <n v="0"/>
    <m/>
    <m/>
    <m/>
    <m/>
    <m/>
    <m/>
    <m/>
    <m/>
    <m/>
    <m/>
    <m/>
    <m/>
    <m/>
    <m/>
    <m/>
    <m/>
    <m/>
    <m/>
    <m/>
    <m/>
    <m/>
    <m/>
    <m/>
    <m/>
    <m/>
    <m/>
    <m/>
    <m/>
    <m/>
    <m/>
    <m/>
    <m/>
    <m/>
    <m/>
    <m/>
  </r>
  <r>
    <n v="744"/>
    <m/>
    <s v="ZBTO"/>
    <m/>
    <m/>
    <s v="9518453202-2"/>
    <s v="Stocks"/>
    <x v="4"/>
    <m/>
    <x v="2"/>
    <x v="3"/>
    <n v="1000"/>
    <m/>
    <x v="1"/>
    <m/>
    <m/>
    <m/>
    <s v="East"/>
    <m/>
    <m/>
    <m/>
    <s v="TATA BLUESCOPE STEEL PVT LTD."/>
    <n v="3522241"/>
    <s v="PPGL C Y550 D0C7 0.43BMT(0.47TPT)X1220"/>
    <m/>
    <m/>
    <m/>
    <m/>
    <m/>
    <s v="B18"/>
    <s v="Y550PL"/>
    <s v="D0C7"/>
    <n v="0.43"/>
    <n v="1220"/>
    <m/>
    <m/>
    <m/>
    <m/>
    <m/>
    <m/>
    <m/>
    <m/>
    <m/>
    <m/>
    <m/>
    <m/>
    <m/>
    <m/>
    <m/>
    <m/>
    <m/>
    <m/>
    <m/>
    <m/>
    <m/>
    <m/>
    <m/>
    <m/>
    <m/>
    <m/>
    <m/>
    <m/>
    <m/>
    <m/>
    <m/>
    <n v="2.31"/>
    <n v="0"/>
    <n v="0"/>
    <n v="0"/>
    <n v="0"/>
    <n v="0"/>
    <n v="0"/>
    <n v="0"/>
    <n v="0"/>
    <n v="0"/>
    <n v="0"/>
    <n v="0"/>
    <n v="0"/>
    <m/>
    <m/>
    <m/>
    <m/>
    <m/>
    <m/>
    <m/>
    <m/>
    <m/>
    <m/>
    <m/>
    <m/>
    <m/>
    <m/>
    <m/>
    <m/>
    <m/>
    <m/>
    <m/>
    <m/>
    <m/>
    <m/>
    <m/>
    <m/>
    <m/>
    <m/>
    <m/>
    <m/>
    <m/>
    <m/>
    <m/>
    <m/>
    <m/>
    <m/>
    <m/>
  </r>
  <r>
    <n v="744"/>
    <m/>
    <s v="ZBTO"/>
    <m/>
    <m/>
    <s v="9518453235-4"/>
    <s v="Stocks"/>
    <x v="4"/>
    <m/>
    <x v="2"/>
    <x v="3"/>
    <n v="1000"/>
    <m/>
    <x v="1"/>
    <m/>
    <m/>
    <m/>
    <s v="East"/>
    <m/>
    <m/>
    <m/>
    <s v="TATA BLUESCOPE STEEL PVT LTD."/>
    <n v="3883538"/>
    <s v="PPGL C Y550 ISC6 0.30BMT(0.35TPT)X1220"/>
    <m/>
    <m/>
    <m/>
    <m/>
    <m/>
    <s v="B18"/>
    <s v="Y550PL"/>
    <s v="ISC6"/>
    <n v="0.3"/>
    <n v="1220"/>
    <m/>
    <m/>
    <m/>
    <m/>
    <m/>
    <m/>
    <m/>
    <m/>
    <m/>
    <m/>
    <m/>
    <m/>
    <m/>
    <m/>
    <m/>
    <m/>
    <m/>
    <m/>
    <m/>
    <m/>
    <m/>
    <m/>
    <m/>
    <m/>
    <m/>
    <m/>
    <m/>
    <m/>
    <m/>
    <m/>
    <m/>
    <n v="9.9649999999999999"/>
    <n v="0.255"/>
    <n v="0"/>
    <n v="0"/>
    <n v="0.255"/>
    <n v="0"/>
    <n v="0"/>
    <n v="0"/>
    <n v="0"/>
    <n v="0"/>
    <n v="0"/>
    <n v="0"/>
    <n v="0"/>
    <m/>
    <m/>
    <m/>
    <m/>
    <m/>
    <m/>
    <m/>
    <m/>
    <m/>
    <m/>
    <m/>
    <m/>
    <m/>
    <m/>
    <m/>
    <m/>
    <m/>
    <m/>
    <m/>
    <m/>
    <m/>
    <m/>
    <m/>
    <m/>
    <m/>
    <m/>
    <m/>
    <m/>
    <m/>
    <m/>
    <m/>
    <m/>
    <m/>
    <m/>
    <m/>
  </r>
  <r>
    <n v="742"/>
    <m/>
    <s v="ZBTO"/>
    <m/>
    <m/>
    <s v="9518454228-2"/>
    <s v="Stocks"/>
    <x v="4"/>
    <m/>
    <x v="1"/>
    <x v="2"/>
    <n v="2000"/>
    <m/>
    <x v="1"/>
    <m/>
    <m/>
    <m/>
    <s v="West"/>
    <m/>
    <m/>
    <m/>
    <s v="TEJRAM RAMNIWAS AGARWAL"/>
    <n v="3239568"/>
    <s v="CRCA SHEET TATCRC SR16 0.450X1250X2500"/>
    <m/>
    <m/>
    <m/>
    <m/>
    <m/>
    <s v="C06"/>
    <s v="TATCRC"/>
    <s v="SR16"/>
    <n v="0.45"/>
    <n v="1250"/>
    <m/>
    <m/>
    <m/>
    <m/>
    <m/>
    <m/>
    <m/>
    <m/>
    <m/>
    <m/>
    <m/>
    <m/>
    <m/>
    <m/>
    <m/>
    <m/>
    <m/>
    <m/>
    <m/>
    <m/>
    <m/>
    <m/>
    <m/>
    <m/>
    <m/>
    <m/>
    <m/>
    <m/>
    <m/>
    <m/>
    <m/>
    <n v="2.87"/>
    <n v="0"/>
    <n v="0"/>
    <n v="0"/>
    <n v="0"/>
    <n v="0"/>
    <n v="0"/>
    <n v="0"/>
    <n v="0"/>
    <n v="0"/>
    <n v="0"/>
    <n v="0"/>
    <n v="0"/>
    <m/>
    <m/>
    <m/>
    <m/>
    <m/>
    <m/>
    <m/>
    <m/>
    <m/>
    <m/>
    <m/>
    <m/>
    <m/>
    <m/>
    <m/>
    <m/>
    <m/>
    <m/>
    <m/>
    <m/>
    <m/>
    <m/>
    <m/>
    <m/>
    <m/>
    <m/>
    <m/>
    <m/>
    <m/>
    <m/>
    <m/>
    <m/>
    <m/>
    <m/>
    <m/>
  </r>
  <r>
    <n v="742"/>
    <m/>
    <s v="ZBTO"/>
    <m/>
    <m/>
    <s v="9518456733-3"/>
    <s v="Stocks"/>
    <x v="4"/>
    <m/>
    <x v="1"/>
    <x v="2"/>
    <n v="2000"/>
    <m/>
    <x v="1"/>
    <m/>
    <m/>
    <m/>
    <s v="East"/>
    <m/>
    <m/>
    <m/>
    <s v="PASA ASSOCIATES PRIVATE LIMITE"/>
    <n v="3239560"/>
    <s v="CRCA SHEET TATCRC SR16 0.450X900X2500"/>
    <m/>
    <m/>
    <m/>
    <m/>
    <m/>
    <s v="C06"/>
    <s v="TATCRC"/>
    <s v="SR16"/>
    <n v="0.45"/>
    <n v="900"/>
    <m/>
    <m/>
    <m/>
    <m/>
    <m/>
    <m/>
    <m/>
    <m/>
    <m/>
    <m/>
    <m/>
    <m/>
    <m/>
    <m/>
    <m/>
    <m/>
    <m/>
    <m/>
    <m/>
    <m/>
    <m/>
    <m/>
    <m/>
    <m/>
    <m/>
    <m/>
    <m/>
    <m/>
    <m/>
    <m/>
    <m/>
    <n v="5.26"/>
    <n v="0"/>
    <n v="0"/>
    <n v="0"/>
    <n v="0"/>
    <n v="0"/>
    <n v="0"/>
    <n v="0"/>
    <n v="0"/>
    <n v="0"/>
    <n v="0"/>
    <n v="0"/>
    <n v="0"/>
    <m/>
    <m/>
    <m/>
    <m/>
    <m/>
    <m/>
    <m/>
    <m/>
    <m/>
    <m/>
    <m/>
    <m/>
    <m/>
    <m/>
    <m/>
    <m/>
    <m/>
    <m/>
    <m/>
    <m/>
    <m/>
    <m/>
    <m/>
    <m/>
    <m/>
    <m/>
    <m/>
    <m/>
    <m/>
    <m/>
    <m/>
    <m/>
    <m/>
    <m/>
    <m/>
  </r>
  <r>
    <n v="743"/>
    <m/>
    <s v="ZBTO"/>
    <m/>
    <m/>
    <s v="9518457019-4"/>
    <s v="Stocks"/>
    <x v="4"/>
    <m/>
    <x v="4"/>
    <x v="5"/>
    <n v="1000"/>
    <m/>
    <x v="1"/>
    <m/>
    <m/>
    <m/>
    <s v="South"/>
    <m/>
    <m/>
    <m/>
    <s v="PENNAR INDUSTRIES LIMITED"/>
    <n v="3924555"/>
    <s v="GL COIL HARD  Y550GL HGL6 0.900X1045"/>
    <m/>
    <m/>
    <m/>
    <m/>
    <m/>
    <s v="B04"/>
    <s v="Y550GL"/>
    <s v="HGL6"/>
    <n v="0.9"/>
    <n v="1045"/>
    <m/>
    <m/>
    <m/>
    <m/>
    <m/>
    <m/>
    <m/>
    <m/>
    <m/>
    <m/>
    <m/>
    <m/>
    <m/>
    <m/>
    <m/>
    <m/>
    <m/>
    <m/>
    <m/>
    <m/>
    <m/>
    <m/>
    <m/>
    <m/>
    <m/>
    <m/>
    <m/>
    <m/>
    <m/>
    <m/>
    <m/>
    <n v="8.9600000000000009"/>
    <n v="0"/>
    <n v="0"/>
    <n v="0"/>
    <n v="0"/>
    <n v="0"/>
    <n v="0"/>
    <n v="0"/>
    <n v="0"/>
    <n v="0"/>
    <n v="0"/>
    <n v="0"/>
    <n v="0"/>
    <m/>
    <m/>
    <m/>
    <m/>
    <m/>
    <m/>
    <m/>
    <m/>
    <m/>
    <m/>
    <m/>
    <m/>
    <m/>
    <m/>
    <m/>
    <m/>
    <m/>
    <m/>
    <m/>
    <m/>
    <m/>
    <m/>
    <m/>
    <m/>
    <m/>
    <m/>
    <m/>
    <m/>
    <m/>
    <m/>
    <m/>
    <m/>
    <m/>
    <m/>
    <m/>
  </r>
  <r>
    <n v="742"/>
    <m/>
    <s v="ZBTC"/>
    <m/>
    <m/>
    <s v="9518468791-1"/>
    <s v="Stocks"/>
    <x v="4"/>
    <m/>
    <x v="1"/>
    <x v="10"/>
    <n v="1000"/>
    <m/>
    <x v="1"/>
    <m/>
    <m/>
    <m/>
    <s v="West"/>
    <m/>
    <m/>
    <m/>
    <s v="Balmer Lawrie And Company Limi"/>
    <n v="2164800"/>
    <s v="CRCA COIL TATXXD BT02 0.970X913"/>
    <m/>
    <m/>
    <m/>
    <m/>
    <m/>
    <s v="C01"/>
    <s v="TATXXD"/>
    <s v="BT02"/>
    <n v="0.97"/>
    <n v="913"/>
    <m/>
    <m/>
    <m/>
    <m/>
    <m/>
    <m/>
    <m/>
    <m/>
    <m/>
    <m/>
    <m/>
    <m/>
    <m/>
    <m/>
    <m/>
    <m/>
    <m/>
    <m/>
    <m/>
    <m/>
    <m/>
    <m/>
    <m/>
    <m/>
    <m/>
    <m/>
    <m/>
    <m/>
    <m/>
    <m/>
    <m/>
    <n v="9.0500000000000007"/>
    <n v="0"/>
    <n v="0"/>
    <n v="0"/>
    <n v="0"/>
    <n v="0"/>
    <n v="0"/>
    <n v="0"/>
    <n v="0"/>
    <n v="0"/>
    <n v="0"/>
    <n v="0"/>
    <n v="0"/>
    <m/>
    <m/>
    <m/>
    <m/>
    <m/>
    <m/>
    <m/>
    <m/>
    <m/>
    <m/>
    <m/>
    <m/>
    <m/>
    <m/>
    <m/>
    <m/>
    <m/>
    <m/>
    <m/>
    <m/>
    <m/>
    <m/>
    <m/>
    <m/>
    <m/>
    <m/>
    <m/>
    <m/>
    <m/>
    <m/>
    <m/>
    <m/>
    <m/>
    <m/>
    <m/>
  </r>
  <r>
    <n v="743"/>
    <m/>
    <s v="ZBTO"/>
    <m/>
    <m/>
    <s v="9518483138-2"/>
    <s v="Stocks"/>
    <x v="4"/>
    <m/>
    <x v="4"/>
    <x v="10"/>
    <n v="1000"/>
    <m/>
    <x v="1"/>
    <m/>
    <m/>
    <m/>
    <s v="East"/>
    <m/>
    <m/>
    <m/>
    <s v="Manaksia Steels Limited"/>
    <n v="2427833"/>
    <s v="GL COIL HARD  Y550GL H7GL 0.450X1245"/>
    <m/>
    <m/>
    <m/>
    <m/>
    <m/>
    <s v="B04"/>
    <s v="Y550GL"/>
    <s v="H7GL"/>
    <n v="0.45"/>
    <n v="1245"/>
    <m/>
    <m/>
    <m/>
    <m/>
    <m/>
    <m/>
    <m/>
    <m/>
    <m/>
    <m/>
    <m/>
    <m/>
    <m/>
    <m/>
    <m/>
    <m/>
    <m/>
    <m/>
    <m/>
    <m/>
    <m/>
    <m/>
    <m/>
    <m/>
    <m/>
    <m/>
    <m/>
    <m/>
    <m/>
    <m/>
    <m/>
    <n v="14.005000000000001"/>
    <n v="0"/>
    <n v="0"/>
    <n v="0"/>
    <n v="0"/>
    <n v="0"/>
    <n v="0"/>
    <n v="0"/>
    <n v="0"/>
    <n v="0"/>
    <n v="0"/>
    <n v="0"/>
    <n v="0"/>
    <m/>
    <m/>
    <m/>
    <m/>
    <m/>
    <m/>
    <m/>
    <m/>
    <m/>
    <m/>
    <m/>
    <m/>
    <m/>
    <m/>
    <m/>
    <m/>
    <m/>
    <m/>
    <m/>
    <m/>
    <m/>
    <m/>
    <m/>
    <m/>
    <m/>
    <m/>
    <m/>
    <m/>
    <m/>
    <m/>
    <m/>
    <m/>
    <m/>
    <m/>
    <m/>
  </r>
  <r>
    <n v="744"/>
    <m/>
    <s v="ZBTO"/>
    <m/>
    <m/>
    <s v="9518483493-1"/>
    <s v="Stocks"/>
    <x v="4"/>
    <m/>
    <x v="2"/>
    <x v="3"/>
    <n v="1000"/>
    <m/>
    <x v="1"/>
    <m/>
    <m/>
    <m/>
    <s v="East"/>
    <m/>
    <m/>
    <m/>
    <s v="TATA BLUESCOPE STEEL PVT LTD."/>
    <n v="3797658"/>
    <s v="PPGL C Y550 ISC6 0.40BMT(0.45TPT)X1220"/>
    <m/>
    <m/>
    <m/>
    <m/>
    <m/>
    <s v="B18"/>
    <s v="Y550PL"/>
    <s v="ISC6"/>
    <n v="0.4"/>
    <n v="1220"/>
    <m/>
    <m/>
    <m/>
    <m/>
    <m/>
    <m/>
    <m/>
    <m/>
    <m/>
    <m/>
    <m/>
    <m/>
    <m/>
    <m/>
    <m/>
    <m/>
    <m/>
    <m/>
    <m/>
    <m/>
    <m/>
    <m/>
    <m/>
    <m/>
    <m/>
    <m/>
    <m/>
    <m/>
    <m/>
    <m/>
    <m/>
    <n v="2.5550000000000002"/>
    <n v="0"/>
    <n v="0"/>
    <n v="0"/>
    <n v="0"/>
    <n v="0"/>
    <n v="0"/>
    <n v="0"/>
    <n v="0"/>
    <n v="0"/>
    <n v="0"/>
    <n v="0"/>
    <n v="0"/>
    <m/>
    <m/>
    <m/>
    <m/>
    <m/>
    <m/>
    <m/>
    <m/>
    <m/>
    <m/>
    <m/>
    <m/>
    <m/>
    <m/>
    <m/>
    <m/>
    <m/>
    <m/>
    <m/>
    <m/>
    <m/>
    <m/>
    <m/>
    <m/>
    <m/>
    <m/>
    <m/>
    <m/>
    <m/>
    <m/>
    <m/>
    <m/>
    <m/>
    <m/>
    <m/>
  </r>
  <r>
    <n v="743"/>
    <m/>
    <s v="ZBTC"/>
    <m/>
    <m/>
    <s v="9518493528-7"/>
    <s v="Stocks"/>
    <x v="4"/>
    <m/>
    <x v="3"/>
    <x v="9"/>
    <n v="2000"/>
    <m/>
    <x v="1"/>
    <m/>
    <m/>
    <m/>
    <s v="North"/>
    <m/>
    <m/>
    <m/>
    <s v="JAIN STEEL DISTRIBUTORS"/>
    <n v="3661684"/>
    <s v="GP COIL TATXGP GK09 0.630X1000"/>
    <m/>
    <m/>
    <m/>
    <m/>
    <m/>
    <s v="C02"/>
    <s v="TATXGP"/>
    <s v="GK09"/>
    <n v="0.63"/>
    <n v="1000"/>
    <m/>
    <m/>
    <m/>
    <m/>
    <m/>
    <m/>
    <m/>
    <m/>
    <m/>
    <m/>
    <m/>
    <m/>
    <m/>
    <m/>
    <m/>
    <m/>
    <m/>
    <m/>
    <m/>
    <m/>
    <m/>
    <m/>
    <m/>
    <m/>
    <m/>
    <m/>
    <m/>
    <m/>
    <m/>
    <m/>
    <m/>
    <n v="4.9349999999999996"/>
    <n v="0"/>
    <n v="0"/>
    <n v="0"/>
    <n v="0"/>
    <n v="0"/>
    <n v="0"/>
    <n v="0"/>
    <n v="0"/>
    <n v="0"/>
    <n v="0"/>
    <n v="0"/>
    <n v="0"/>
    <m/>
    <m/>
    <m/>
    <m/>
    <m/>
    <m/>
    <m/>
    <m/>
    <m/>
    <m/>
    <m/>
    <m/>
    <m/>
    <m/>
    <m/>
    <m/>
    <m/>
    <m/>
    <m/>
    <m/>
    <m/>
    <m/>
    <m/>
    <m/>
    <m/>
    <m/>
    <m/>
    <m/>
    <m/>
    <m/>
    <m/>
    <m/>
    <m/>
    <m/>
    <m/>
  </r>
  <r>
    <n v="744"/>
    <m/>
    <s v="ZBTO"/>
    <m/>
    <m/>
    <s v="9518494750-1"/>
    <s v="Stocks"/>
    <x v="4"/>
    <m/>
    <x v="2"/>
    <x v="3"/>
    <n v="1000"/>
    <m/>
    <x v="1"/>
    <m/>
    <m/>
    <m/>
    <s v="East"/>
    <m/>
    <m/>
    <m/>
    <s v="TATA BLUESCOPE STEEL PRIVATE L"/>
    <n v="3902332"/>
    <s v="PPGL C HARD Y550PL D0C9 0.50(TPT)X1220"/>
    <m/>
    <m/>
    <m/>
    <m/>
    <m/>
    <s v="B18"/>
    <s v="Y550PL"/>
    <s v="D0C9"/>
    <n v="0.5"/>
    <n v="1220"/>
    <m/>
    <m/>
    <m/>
    <m/>
    <m/>
    <m/>
    <m/>
    <m/>
    <m/>
    <m/>
    <m/>
    <m/>
    <m/>
    <m/>
    <m/>
    <m/>
    <m/>
    <m/>
    <m/>
    <m/>
    <m/>
    <m/>
    <m/>
    <m/>
    <m/>
    <m/>
    <m/>
    <m/>
    <m/>
    <m/>
    <m/>
    <n v="2.37"/>
    <n v="0"/>
    <n v="0"/>
    <n v="0"/>
    <n v="0"/>
    <n v="0"/>
    <n v="0"/>
    <n v="0"/>
    <n v="0"/>
    <n v="0"/>
    <n v="0"/>
    <n v="0"/>
    <n v="0"/>
    <m/>
    <m/>
    <m/>
    <m/>
    <m/>
    <m/>
    <m/>
    <m/>
    <m/>
    <m/>
    <m/>
    <m/>
    <m/>
    <m/>
    <m/>
    <m/>
    <m/>
    <m/>
    <m/>
    <m/>
    <m/>
    <m/>
    <m/>
    <m/>
    <m/>
    <m/>
    <m/>
    <m/>
    <m/>
    <m/>
    <m/>
    <m/>
    <m/>
    <m/>
    <m/>
  </r>
  <r>
    <n v="743"/>
    <m/>
    <s v="ZBTO"/>
    <m/>
    <m/>
    <s v="9518496230-2"/>
    <s v="Stocks"/>
    <x v="4"/>
    <m/>
    <x v="4"/>
    <x v="10"/>
    <n v="1000"/>
    <m/>
    <x v="1"/>
    <m/>
    <m/>
    <m/>
    <s v="East"/>
    <m/>
    <m/>
    <m/>
    <s v="Manaksia Steels Limited"/>
    <n v="2427832"/>
    <s v="GL COIL HARD  Y550GL H7GL 0.400X1245"/>
    <m/>
    <m/>
    <m/>
    <m/>
    <m/>
    <s v="B04"/>
    <s v="Y550GL"/>
    <s v="H7GL"/>
    <n v="0.4"/>
    <n v="1245"/>
    <m/>
    <m/>
    <m/>
    <m/>
    <m/>
    <m/>
    <m/>
    <m/>
    <m/>
    <m/>
    <m/>
    <m/>
    <m/>
    <m/>
    <m/>
    <m/>
    <m/>
    <m/>
    <m/>
    <m/>
    <m/>
    <m/>
    <m/>
    <m/>
    <m/>
    <m/>
    <m/>
    <m/>
    <m/>
    <m/>
    <m/>
    <n v="7.4"/>
    <n v="0"/>
    <n v="0"/>
    <n v="0"/>
    <n v="0"/>
    <n v="0"/>
    <n v="0"/>
    <n v="0"/>
    <n v="0"/>
    <n v="0"/>
    <n v="0"/>
    <n v="0"/>
    <n v="0"/>
    <m/>
    <m/>
    <m/>
    <m/>
    <m/>
    <m/>
    <m/>
    <m/>
    <m/>
    <m/>
    <m/>
    <m/>
    <m/>
    <m/>
    <m/>
    <m/>
    <m/>
    <m/>
    <m/>
    <m/>
    <m/>
    <m/>
    <m/>
    <m/>
    <m/>
    <m/>
    <m/>
    <m/>
    <m/>
    <m/>
    <m/>
    <m/>
    <m/>
    <m/>
    <m/>
  </r>
  <r>
    <n v="742"/>
    <m/>
    <s v="ZBTO"/>
    <m/>
    <m/>
    <s v="9518499138-8"/>
    <s v="Stocks"/>
    <x v="4"/>
    <m/>
    <x v="1"/>
    <x v="2"/>
    <n v="2000"/>
    <m/>
    <x v="1"/>
    <m/>
    <m/>
    <m/>
    <s v="East"/>
    <m/>
    <m/>
    <m/>
    <s v="R. S. BOKARO METAL (P) LTD."/>
    <n v="2441004"/>
    <s v="CRCA SHEET TATCRC SR16 0.430X1250X2500"/>
    <m/>
    <m/>
    <m/>
    <m/>
    <m/>
    <s v="C06"/>
    <s v="TATCRC"/>
    <s v="SR16"/>
    <n v="0.43"/>
    <n v="1250"/>
    <m/>
    <m/>
    <m/>
    <m/>
    <m/>
    <m/>
    <m/>
    <m/>
    <m/>
    <m/>
    <m/>
    <m/>
    <m/>
    <m/>
    <m/>
    <m/>
    <m/>
    <m/>
    <m/>
    <m/>
    <m/>
    <m/>
    <m/>
    <m/>
    <m/>
    <m/>
    <m/>
    <m/>
    <m/>
    <m/>
    <m/>
    <n v="5.65"/>
    <n v="0"/>
    <n v="0"/>
    <n v="0"/>
    <n v="0"/>
    <n v="0"/>
    <n v="0"/>
    <n v="0"/>
    <n v="0"/>
    <n v="0"/>
    <n v="0"/>
    <n v="0"/>
    <n v="0"/>
    <m/>
    <m/>
    <m/>
    <m/>
    <m/>
    <m/>
    <m/>
    <m/>
    <m/>
    <m/>
    <m/>
    <m/>
    <m/>
    <m/>
    <m/>
    <m/>
    <m/>
    <m/>
    <m/>
    <m/>
    <m/>
    <m/>
    <m/>
    <m/>
    <m/>
    <m/>
    <m/>
    <m/>
    <m/>
    <m/>
    <m/>
    <m/>
    <m/>
    <m/>
    <m/>
  </r>
  <r>
    <n v="742"/>
    <m/>
    <s v="ZBTO"/>
    <m/>
    <m/>
    <s v="9518500349-2"/>
    <s v="Stocks"/>
    <x v="4"/>
    <m/>
    <x v="5"/>
    <x v="10"/>
    <n v="1000"/>
    <m/>
    <x v="1"/>
    <m/>
    <m/>
    <m/>
    <s v="West"/>
    <m/>
    <m/>
    <m/>
    <s v="Manaksia Coated Metals &amp; Indus"/>
    <n v="3577912"/>
    <s v="CR COIL TATFHC TR10 0.360X1320"/>
    <m/>
    <m/>
    <m/>
    <m/>
    <m/>
    <s v="C09"/>
    <s v="TATFHC"/>
    <s v="TR10"/>
    <n v="0.36"/>
    <n v="1320"/>
    <m/>
    <m/>
    <m/>
    <m/>
    <m/>
    <m/>
    <m/>
    <m/>
    <m/>
    <m/>
    <m/>
    <m/>
    <m/>
    <m/>
    <m/>
    <m/>
    <m/>
    <m/>
    <m/>
    <m/>
    <m/>
    <m/>
    <m/>
    <m/>
    <m/>
    <m/>
    <m/>
    <m/>
    <m/>
    <m/>
    <m/>
    <n v="13.78"/>
    <n v="0"/>
    <n v="0"/>
    <n v="0"/>
    <n v="0"/>
    <n v="0"/>
    <n v="0"/>
    <n v="0"/>
    <n v="0"/>
    <n v="0"/>
    <n v="0"/>
    <n v="0"/>
    <n v="0"/>
    <m/>
    <m/>
    <m/>
    <m/>
    <m/>
    <m/>
    <m/>
    <m/>
    <m/>
    <m/>
    <m/>
    <m/>
    <m/>
    <m/>
    <m/>
    <m/>
    <m/>
    <m/>
    <m/>
    <m/>
    <m/>
    <m/>
    <m/>
    <m/>
    <m/>
    <m/>
    <m/>
    <m/>
    <m/>
    <m/>
    <m/>
    <m/>
    <m/>
    <m/>
    <m/>
  </r>
  <r>
    <n v="742"/>
    <m/>
    <s v="ZBTO"/>
    <m/>
    <m/>
    <s v="9518506961-2"/>
    <s v="Stocks"/>
    <x v="4"/>
    <m/>
    <x v="1"/>
    <x v="1"/>
    <n v="2000"/>
    <m/>
    <x v="1"/>
    <m/>
    <m/>
    <m/>
    <s v="North"/>
    <m/>
    <m/>
    <m/>
    <s v="FERRO STEEL SOLUTIONS"/>
    <n v="1804908"/>
    <s v="CRCA COIL TATCRC TR15 0.5X1250"/>
    <m/>
    <m/>
    <m/>
    <m/>
    <m/>
    <s v="C01"/>
    <s v="TATCRC"/>
    <s v="TR15"/>
    <n v="0.5"/>
    <n v="1250"/>
    <m/>
    <m/>
    <m/>
    <m/>
    <m/>
    <m/>
    <m/>
    <m/>
    <m/>
    <m/>
    <m/>
    <m/>
    <m/>
    <m/>
    <m/>
    <m/>
    <m/>
    <m/>
    <m/>
    <m/>
    <m/>
    <m/>
    <m/>
    <m/>
    <m/>
    <m/>
    <m/>
    <m/>
    <m/>
    <m/>
    <m/>
    <n v="25.38"/>
    <n v="0"/>
    <n v="0"/>
    <n v="0"/>
    <n v="0"/>
    <n v="0"/>
    <n v="0"/>
    <n v="0"/>
    <n v="0"/>
    <n v="0"/>
    <n v="0"/>
    <n v="0"/>
    <n v="0"/>
    <m/>
    <m/>
    <m/>
    <m/>
    <m/>
    <m/>
    <m/>
    <m/>
    <m/>
    <m/>
    <m/>
    <m/>
    <m/>
    <m/>
    <m/>
    <m/>
    <m/>
    <m/>
    <m/>
    <m/>
    <m/>
    <m/>
    <m/>
    <m/>
    <m/>
    <m/>
    <m/>
    <m/>
    <m/>
    <m/>
    <m/>
    <m/>
    <m/>
    <m/>
    <m/>
  </r>
  <r>
    <n v="742"/>
    <m/>
    <s v="ZBTF"/>
    <m/>
    <m/>
    <s v="9518517180-5"/>
    <s v="Stocks"/>
    <x v="4"/>
    <m/>
    <x v="1"/>
    <x v="7"/>
    <n v="1000"/>
    <m/>
    <x v="1"/>
    <m/>
    <m/>
    <m/>
    <s v="East"/>
    <m/>
    <m/>
    <m/>
    <s v="TATA CENTRE"/>
    <n v="3587949"/>
    <s v="CR COIL TSBSTA EL06 0.500X1250"/>
    <m/>
    <m/>
    <m/>
    <m/>
    <m/>
    <s v="C01"/>
    <s v="TSBSTA"/>
    <s v="EL06"/>
    <n v="0.5"/>
    <n v="1250"/>
    <m/>
    <m/>
    <m/>
    <m/>
    <m/>
    <m/>
    <m/>
    <m/>
    <m/>
    <m/>
    <m/>
    <m/>
    <m/>
    <m/>
    <m/>
    <m/>
    <m/>
    <m/>
    <m/>
    <m/>
    <m/>
    <m/>
    <m/>
    <m/>
    <m/>
    <m/>
    <m/>
    <m/>
    <m/>
    <m/>
    <m/>
    <n v="51.835000000000001"/>
    <n v="0"/>
    <n v="0"/>
    <n v="0"/>
    <n v="0"/>
    <n v="0"/>
    <n v="0"/>
    <n v="0"/>
    <n v="0"/>
    <n v="0"/>
    <n v="0"/>
    <n v="0"/>
    <n v="0"/>
    <m/>
    <m/>
    <m/>
    <m/>
    <m/>
    <m/>
    <m/>
    <m/>
    <m/>
    <m/>
    <m/>
    <m/>
    <m/>
    <m/>
    <m/>
    <m/>
    <m/>
    <m/>
    <m/>
    <m/>
    <m/>
    <m/>
    <m/>
    <m/>
    <m/>
    <m/>
    <m/>
    <m/>
    <m/>
    <m/>
    <m/>
    <m/>
    <m/>
    <m/>
    <m/>
  </r>
  <r>
    <n v="743"/>
    <m/>
    <s v="ZBTC"/>
    <m/>
    <m/>
    <s v="9518519364-1"/>
    <s v="Stocks"/>
    <x v="4"/>
    <m/>
    <x v="4"/>
    <x v="5"/>
    <n v="1000"/>
    <m/>
    <x v="1"/>
    <m/>
    <m/>
    <m/>
    <s v="South"/>
    <m/>
    <m/>
    <m/>
    <s v="R.K .Metal Roofings Private Li"/>
    <n v="3884496"/>
    <s v="GL COIL HARD  Y550GL HGL6 0.900X1220"/>
    <m/>
    <m/>
    <m/>
    <m/>
    <m/>
    <s v="B04"/>
    <s v="Y550GL"/>
    <s v="HGL6"/>
    <n v="0.9"/>
    <n v="1220"/>
    <m/>
    <m/>
    <m/>
    <m/>
    <m/>
    <m/>
    <m/>
    <m/>
    <m/>
    <m/>
    <m/>
    <m/>
    <m/>
    <m/>
    <m/>
    <m/>
    <m/>
    <m/>
    <m/>
    <m/>
    <m/>
    <m/>
    <m/>
    <m/>
    <m/>
    <m/>
    <m/>
    <m/>
    <m/>
    <m/>
    <m/>
    <n v="10.86"/>
    <n v="0"/>
    <n v="0"/>
    <n v="0"/>
    <n v="0"/>
    <n v="0"/>
    <n v="0"/>
    <n v="0"/>
    <n v="0"/>
    <n v="0"/>
    <n v="0"/>
    <n v="0"/>
    <n v="0"/>
    <m/>
    <m/>
    <m/>
    <m/>
    <m/>
    <m/>
    <m/>
    <m/>
    <m/>
    <m/>
    <m/>
    <m/>
    <m/>
    <m/>
    <m/>
    <m/>
    <m/>
    <m/>
    <m/>
    <m/>
    <m/>
    <m/>
    <m/>
    <m/>
    <m/>
    <m/>
    <m/>
    <m/>
    <m/>
    <m/>
    <m/>
    <m/>
    <m/>
    <m/>
    <m/>
  </r>
  <r>
    <n v="742"/>
    <m/>
    <s v="ZBTC"/>
    <m/>
    <m/>
    <s v="9518522829-8"/>
    <s v="Stocks"/>
    <x v="4"/>
    <m/>
    <x v="1"/>
    <x v="2"/>
    <n v="2000"/>
    <m/>
    <x v="1"/>
    <m/>
    <m/>
    <m/>
    <s v="East"/>
    <m/>
    <m/>
    <m/>
    <s v="R. S. BOKARO METAL (P) LTD."/>
    <n v="3411571"/>
    <s v="CRCA SHEET TSBCRC SR15 0.500X900X2440"/>
    <m/>
    <m/>
    <m/>
    <m/>
    <m/>
    <s v="C06"/>
    <s v="TSBCRC"/>
    <s v="SR15"/>
    <n v="0.5"/>
    <n v="900"/>
    <m/>
    <m/>
    <m/>
    <m/>
    <m/>
    <m/>
    <m/>
    <m/>
    <m/>
    <m/>
    <m/>
    <m/>
    <m/>
    <m/>
    <m/>
    <m/>
    <m/>
    <m/>
    <m/>
    <m/>
    <m/>
    <m/>
    <m/>
    <m/>
    <m/>
    <m/>
    <m/>
    <m/>
    <m/>
    <m/>
    <m/>
    <n v="2.64"/>
    <n v="0"/>
    <n v="0"/>
    <n v="0"/>
    <n v="0"/>
    <n v="0"/>
    <n v="0"/>
    <n v="0"/>
    <n v="0"/>
    <n v="0"/>
    <n v="0"/>
    <n v="0"/>
    <n v="0"/>
    <m/>
    <m/>
    <m/>
    <m/>
    <m/>
    <m/>
    <m/>
    <m/>
    <m/>
    <m/>
    <m/>
    <m/>
    <m/>
    <m/>
    <m/>
    <m/>
    <m/>
    <m/>
    <m/>
    <m/>
    <m/>
    <m/>
    <m/>
    <m/>
    <m/>
    <m/>
    <m/>
    <m/>
    <m/>
    <m/>
    <m/>
    <m/>
    <m/>
    <m/>
    <m/>
  </r>
  <r>
    <n v="742"/>
    <m/>
    <s v="ZBTC"/>
    <m/>
    <m/>
    <s v="9518525587-1"/>
    <s v="Stocks"/>
    <x v="4"/>
    <m/>
    <x v="1"/>
    <x v="2"/>
    <n v="2000"/>
    <m/>
    <x v="1"/>
    <m/>
    <m/>
    <m/>
    <s v="East"/>
    <m/>
    <m/>
    <m/>
    <s v="PASA ASSOCIATES PRIVATE LIMITE"/>
    <n v="3240793"/>
    <s v="CRCA SHEET TSBCRC SR15 0.700X1250X2500"/>
    <m/>
    <m/>
    <m/>
    <m/>
    <m/>
    <s v="C06"/>
    <s v="TSBCRC"/>
    <s v="SR15"/>
    <n v="0.7"/>
    <n v="1250"/>
    <m/>
    <m/>
    <m/>
    <m/>
    <m/>
    <m/>
    <m/>
    <m/>
    <m/>
    <m/>
    <m/>
    <m/>
    <m/>
    <m/>
    <m/>
    <m/>
    <m/>
    <m/>
    <m/>
    <m/>
    <m/>
    <m/>
    <m/>
    <m/>
    <m/>
    <m/>
    <m/>
    <m/>
    <m/>
    <m/>
    <m/>
    <n v="2.9249999999999998"/>
    <n v="0"/>
    <n v="0"/>
    <n v="0"/>
    <n v="0"/>
    <n v="0"/>
    <n v="0"/>
    <n v="0"/>
    <n v="0"/>
    <n v="0"/>
    <n v="0"/>
    <n v="0"/>
    <n v="0"/>
    <m/>
    <m/>
    <m/>
    <m/>
    <m/>
    <m/>
    <m/>
    <m/>
    <m/>
    <m/>
    <m/>
    <m/>
    <m/>
    <m/>
    <m/>
    <m/>
    <m/>
    <m/>
    <m/>
    <m/>
    <m/>
    <m/>
    <m/>
    <m/>
    <m/>
    <m/>
    <m/>
    <m/>
    <m/>
    <m/>
    <m/>
    <m/>
    <m/>
    <m/>
    <m/>
  </r>
  <r>
    <n v="743"/>
    <m/>
    <s v="ZBTO"/>
    <m/>
    <m/>
    <s v="9518527008-3"/>
    <s v="Stocks"/>
    <x v="4"/>
    <m/>
    <x v="3"/>
    <x v="9"/>
    <n v="2000"/>
    <m/>
    <x v="1"/>
    <m/>
    <m/>
    <m/>
    <s v="North"/>
    <m/>
    <m/>
    <m/>
    <s v="JAI LAXMI STEELS"/>
    <n v="1854418"/>
    <s v="GP COIL SOFT-TATXGP-GK09-0.5X900"/>
    <m/>
    <m/>
    <m/>
    <m/>
    <m/>
    <s v="C02"/>
    <s v="TATXGP"/>
    <s v="GK09"/>
    <n v="0.5"/>
    <n v="900"/>
    <m/>
    <m/>
    <m/>
    <m/>
    <m/>
    <m/>
    <m/>
    <m/>
    <m/>
    <m/>
    <m/>
    <m/>
    <m/>
    <m/>
    <m/>
    <m/>
    <m/>
    <m/>
    <m/>
    <m/>
    <m/>
    <m/>
    <m/>
    <m/>
    <m/>
    <m/>
    <m/>
    <m/>
    <m/>
    <m/>
    <m/>
    <n v="4.91"/>
    <n v="0"/>
    <n v="0"/>
    <n v="0"/>
    <n v="0"/>
    <n v="0"/>
    <n v="0"/>
    <n v="0"/>
    <n v="0"/>
    <n v="0"/>
    <n v="0"/>
    <n v="0"/>
    <n v="0"/>
    <m/>
    <m/>
    <m/>
    <m/>
    <m/>
    <m/>
    <m/>
    <m/>
    <m/>
    <m/>
    <m/>
    <m/>
    <m/>
    <m/>
    <m/>
    <m/>
    <m/>
    <m/>
    <m/>
    <m/>
    <m/>
    <m/>
    <m/>
    <m/>
    <m/>
    <m/>
    <m/>
    <m/>
    <m/>
    <m/>
    <m/>
    <m/>
    <m/>
    <m/>
    <m/>
  </r>
  <r>
    <n v="742"/>
    <m/>
    <s v="ZBTO"/>
    <m/>
    <m/>
    <s v="9518527640-1"/>
    <s v="Stocks"/>
    <x v="4"/>
    <m/>
    <x v="1"/>
    <x v="1"/>
    <n v="2000"/>
    <m/>
    <x v="1"/>
    <m/>
    <m/>
    <m/>
    <s v="South"/>
    <m/>
    <m/>
    <m/>
    <s v="RAVINDRA IRON WORKS"/>
    <n v="1804908"/>
    <s v="CRCA COIL TATCRC TR15 0.5X1250"/>
    <m/>
    <m/>
    <m/>
    <m/>
    <m/>
    <s v="C01"/>
    <s v="TATCRC"/>
    <s v="TR15"/>
    <n v="0.5"/>
    <n v="1250"/>
    <m/>
    <m/>
    <m/>
    <m/>
    <m/>
    <m/>
    <m/>
    <m/>
    <m/>
    <m/>
    <m/>
    <m/>
    <m/>
    <m/>
    <m/>
    <m/>
    <m/>
    <m/>
    <m/>
    <m/>
    <m/>
    <m/>
    <m/>
    <m/>
    <m/>
    <m/>
    <m/>
    <m/>
    <m/>
    <m/>
    <m/>
    <n v="12.99"/>
    <n v="0"/>
    <n v="0"/>
    <n v="0"/>
    <n v="0"/>
    <n v="0"/>
    <n v="0"/>
    <n v="0"/>
    <n v="0"/>
    <n v="0"/>
    <n v="0"/>
    <n v="0"/>
    <n v="0"/>
    <m/>
    <m/>
    <m/>
    <m/>
    <m/>
    <m/>
    <m/>
    <m/>
    <m/>
    <m/>
    <m/>
    <m/>
    <m/>
    <m/>
    <m/>
    <m/>
    <m/>
    <m/>
    <m/>
    <m/>
    <m/>
    <m/>
    <m/>
    <m/>
    <m/>
    <m/>
    <m/>
    <m/>
    <m/>
    <m/>
    <m/>
    <m/>
    <m/>
    <m/>
    <m/>
  </r>
  <r>
    <n v="743"/>
    <m/>
    <s v="ZBTO"/>
    <m/>
    <m/>
    <s v="9518529910-2"/>
    <s v="Stocks"/>
    <x v="4"/>
    <m/>
    <x v="4"/>
    <x v="5"/>
    <n v="1000"/>
    <m/>
    <x v="1"/>
    <m/>
    <m/>
    <m/>
    <s v="South"/>
    <m/>
    <m/>
    <m/>
    <s v="Metalkraft Forming Industries"/>
    <n v="3903395"/>
    <s v="GL COIL HARD  Y550GL GL6H 0.900X1220"/>
    <m/>
    <m/>
    <m/>
    <m/>
    <m/>
    <s v="B04"/>
    <s v="Y550GL"/>
    <s v="GL6H"/>
    <n v="0.9"/>
    <n v="1220"/>
    <m/>
    <m/>
    <m/>
    <m/>
    <m/>
    <m/>
    <m/>
    <m/>
    <m/>
    <m/>
    <m/>
    <m/>
    <m/>
    <m/>
    <m/>
    <m/>
    <m/>
    <m/>
    <m/>
    <m/>
    <m/>
    <m/>
    <m/>
    <m/>
    <m/>
    <m/>
    <m/>
    <m/>
    <m/>
    <m/>
    <m/>
    <n v="27.55"/>
    <n v="0"/>
    <n v="0"/>
    <n v="0"/>
    <n v="0"/>
    <n v="0"/>
    <n v="0"/>
    <n v="0"/>
    <n v="0"/>
    <n v="0"/>
    <n v="0"/>
    <n v="0"/>
    <n v="0"/>
    <m/>
    <m/>
    <m/>
    <m/>
    <m/>
    <m/>
    <m/>
    <m/>
    <m/>
    <m/>
    <m/>
    <m/>
    <m/>
    <m/>
    <m/>
    <m/>
    <m/>
    <m/>
    <m/>
    <m/>
    <m/>
    <m/>
    <m/>
    <m/>
    <m/>
    <m/>
    <m/>
    <m/>
    <m/>
    <m/>
    <m/>
    <m/>
    <m/>
    <m/>
    <m/>
  </r>
  <r>
    <n v="742"/>
    <m/>
    <s v="ZBTC"/>
    <m/>
    <m/>
    <s v="9518535497-1"/>
    <s v="Stocks"/>
    <x v="4"/>
    <m/>
    <x v="1"/>
    <x v="1"/>
    <n v="2000"/>
    <m/>
    <x v="1"/>
    <m/>
    <m/>
    <m/>
    <s v="West"/>
    <m/>
    <m/>
    <m/>
    <s v="ANM ISPAT PRIVATE LIMITED"/>
    <n v="1804870"/>
    <s v="CRCA COIL-TATXXD-AU03-2X1000"/>
    <m/>
    <m/>
    <m/>
    <m/>
    <m/>
    <s v="C01"/>
    <s v="TATXXD"/>
    <s v="AU03"/>
    <n v="2"/>
    <n v="1000"/>
    <m/>
    <m/>
    <m/>
    <m/>
    <m/>
    <m/>
    <m/>
    <m/>
    <m/>
    <m/>
    <m/>
    <m/>
    <m/>
    <m/>
    <m/>
    <m/>
    <m/>
    <m/>
    <m/>
    <m/>
    <m/>
    <m/>
    <m/>
    <m/>
    <m/>
    <m/>
    <m/>
    <m/>
    <m/>
    <m/>
    <m/>
    <n v="39.9"/>
    <n v="0"/>
    <n v="0"/>
    <n v="0"/>
    <n v="0"/>
    <n v="0"/>
    <n v="0"/>
    <n v="0"/>
    <n v="0"/>
    <n v="0"/>
    <n v="0"/>
    <n v="0"/>
    <n v="0"/>
    <m/>
    <m/>
    <m/>
    <m/>
    <m/>
    <m/>
    <m/>
    <m/>
    <m/>
    <m/>
    <m/>
    <m/>
    <m/>
    <m/>
    <m/>
    <m/>
    <m/>
    <m/>
    <m/>
    <m/>
    <m/>
    <m/>
    <m/>
    <m/>
    <m/>
    <m/>
    <m/>
    <m/>
    <m/>
    <m/>
    <m/>
    <m/>
    <m/>
    <m/>
    <m/>
  </r>
  <r>
    <n v="744"/>
    <m/>
    <s v="ZBTO"/>
    <m/>
    <m/>
    <s v="9518543214-10"/>
    <s v="Stocks"/>
    <x v="4"/>
    <m/>
    <x v="2"/>
    <x v="3"/>
    <n v="1000"/>
    <m/>
    <x v="1"/>
    <m/>
    <m/>
    <m/>
    <s v="East"/>
    <m/>
    <m/>
    <m/>
    <s v="TATA BLUESCOPE STEEL PVT LTD."/>
    <n v="3900141"/>
    <s v="PPGL C Y550 ISC6 0.43BMT(0.48TPT)X1220"/>
    <m/>
    <m/>
    <m/>
    <m/>
    <m/>
    <s v="B18"/>
    <s v="Y550PL"/>
    <s v="ISC6"/>
    <n v="0.43"/>
    <n v="1220"/>
    <m/>
    <m/>
    <m/>
    <m/>
    <m/>
    <m/>
    <m/>
    <m/>
    <m/>
    <m/>
    <m/>
    <m/>
    <m/>
    <m/>
    <m/>
    <m/>
    <m/>
    <m/>
    <m/>
    <m/>
    <m/>
    <m/>
    <m/>
    <m/>
    <m/>
    <m/>
    <m/>
    <m/>
    <m/>
    <m/>
    <m/>
    <n v="8.01"/>
    <n v="0"/>
    <n v="0"/>
    <n v="0"/>
    <n v="0"/>
    <n v="0"/>
    <n v="0"/>
    <n v="0"/>
    <n v="0"/>
    <n v="0"/>
    <n v="0"/>
    <n v="0"/>
    <n v="0"/>
    <m/>
    <m/>
    <m/>
    <m/>
    <m/>
    <m/>
    <m/>
    <m/>
    <m/>
    <m/>
    <m/>
    <m/>
    <m/>
    <m/>
    <m/>
    <m/>
    <m/>
    <m/>
    <m/>
    <m/>
    <m/>
    <m/>
    <m/>
    <m/>
    <m/>
    <m/>
    <m/>
    <m/>
    <m/>
    <m/>
    <m/>
    <m/>
    <m/>
    <m/>
    <m/>
  </r>
  <r>
    <n v="742"/>
    <m/>
    <s v="ZBTO"/>
    <m/>
    <m/>
    <s v="9518547699-1"/>
    <s v="Stocks"/>
    <x v="4"/>
    <m/>
    <x v="1"/>
    <x v="10"/>
    <n v="1000"/>
    <m/>
    <x v="1"/>
    <m/>
    <m/>
    <m/>
    <s v="South"/>
    <m/>
    <m/>
    <m/>
    <s v="CHANDRA CONTAINER MANUACTURERS"/>
    <n v="2426078"/>
    <s v="CRCA COIL TATXXD BT01 1X1320"/>
    <m/>
    <m/>
    <m/>
    <m/>
    <m/>
    <s v="C01"/>
    <s v="TATXXD"/>
    <s v="BT01"/>
    <n v="1"/>
    <n v="1320"/>
    <m/>
    <m/>
    <m/>
    <m/>
    <m/>
    <m/>
    <m/>
    <m/>
    <m/>
    <m/>
    <m/>
    <m/>
    <m/>
    <m/>
    <m/>
    <m/>
    <m/>
    <m/>
    <m/>
    <m/>
    <m/>
    <m/>
    <m/>
    <m/>
    <m/>
    <m/>
    <m/>
    <m/>
    <m/>
    <m/>
    <m/>
    <n v="38.825000000000003"/>
    <n v="0"/>
    <n v="0"/>
    <n v="0"/>
    <n v="0"/>
    <n v="0"/>
    <n v="0"/>
    <n v="0"/>
    <n v="0"/>
    <n v="0"/>
    <n v="0"/>
    <n v="0"/>
    <n v="0"/>
    <m/>
    <m/>
    <m/>
    <m/>
    <m/>
    <m/>
    <m/>
    <m/>
    <m/>
    <m/>
    <m/>
    <m/>
    <m/>
    <m/>
    <m/>
    <m/>
    <m/>
    <m/>
    <m/>
    <m/>
    <m/>
    <m/>
    <m/>
    <m/>
    <m/>
    <m/>
    <m/>
    <m/>
    <m/>
    <m/>
    <m/>
    <m/>
    <m/>
    <m/>
    <m/>
  </r>
  <r>
    <n v="743"/>
    <m/>
    <s v="ZBTO"/>
    <m/>
    <m/>
    <s v="9518550672-4"/>
    <s v="Stocks"/>
    <x v="4"/>
    <m/>
    <x v="4"/>
    <x v="10"/>
    <n v="1000"/>
    <m/>
    <x v="1"/>
    <m/>
    <m/>
    <m/>
    <s v="South"/>
    <m/>
    <m/>
    <m/>
    <s v="Colorshine Coated Pvt.Ltd."/>
    <n v="3200143"/>
    <s v="GL COIL HARD  Y550GL H7GL 0.370X1245"/>
    <m/>
    <m/>
    <m/>
    <m/>
    <m/>
    <s v="B04"/>
    <s v="Y550GL"/>
    <s v="H7GL"/>
    <n v="0.37"/>
    <n v="1245"/>
    <m/>
    <m/>
    <m/>
    <m/>
    <m/>
    <m/>
    <m/>
    <m/>
    <m/>
    <m/>
    <m/>
    <m/>
    <m/>
    <m/>
    <m/>
    <m/>
    <m/>
    <m/>
    <m/>
    <m/>
    <m/>
    <m/>
    <m/>
    <m/>
    <m/>
    <m/>
    <m/>
    <m/>
    <m/>
    <m/>
    <m/>
    <n v="12.63"/>
    <n v="0"/>
    <n v="0"/>
    <n v="0"/>
    <n v="0"/>
    <n v="0"/>
    <n v="0"/>
    <n v="0"/>
    <n v="0"/>
    <n v="0"/>
    <n v="0"/>
    <n v="0"/>
    <n v="0"/>
    <m/>
    <m/>
    <m/>
    <m/>
    <m/>
    <m/>
    <m/>
    <m/>
    <m/>
    <m/>
    <m/>
    <m/>
    <m/>
    <m/>
    <m/>
    <m/>
    <m/>
    <m/>
    <m/>
    <m/>
    <m/>
    <m/>
    <m/>
    <m/>
    <m/>
    <m/>
    <m/>
    <m/>
    <m/>
    <m/>
    <m/>
    <m/>
    <m/>
    <m/>
    <m/>
  </r>
  <r>
    <n v="744"/>
    <m/>
    <s v="ZBTC"/>
    <m/>
    <m/>
    <s v="9518563487-11"/>
    <s v="Stocks"/>
    <x v="4"/>
    <m/>
    <x v="2"/>
    <x v="3"/>
    <n v="1000"/>
    <m/>
    <x v="1"/>
    <m/>
    <m/>
    <m/>
    <s v="East"/>
    <m/>
    <m/>
    <m/>
    <s v="TATA BLUESCOPE STEEL PRIVATE L"/>
    <n v="1640840"/>
    <s v="PPGL C Y550 HPL3 0.45BMT(0.53TPT)X1220"/>
    <m/>
    <m/>
    <m/>
    <m/>
    <m/>
    <s v="B18"/>
    <s v="Y550PL"/>
    <s v="HPL3"/>
    <n v="0.45"/>
    <n v="1220"/>
    <m/>
    <m/>
    <m/>
    <m/>
    <m/>
    <m/>
    <m/>
    <m/>
    <m/>
    <m/>
    <m/>
    <m/>
    <m/>
    <m/>
    <m/>
    <m/>
    <m/>
    <m/>
    <m/>
    <m/>
    <m/>
    <m/>
    <m/>
    <m/>
    <m/>
    <m/>
    <m/>
    <m/>
    <m/>
    <m/>
    <m/>
    <n v="4.4050000000000002"/>
    <n v="0"/>
    <n v="0"/>
    <n v="0"/>
    <n v="0"/>
    <n v="0"/>
    <n v="0"/>
    <n v="0"/>
    <n v="0"/>
    <n v="0"/>
    <n v="0"/>
    <n v="0"/>
    <n v="0"/>
    <m/>
    <m/>
    <m/>
    <m/>
    <m/>
    <m/>
    <m/>
    <m/>
    <m/>
    <m/>
    <m/>
    <m/>
    <m/>
    <m/>
    <m/>
    <m/>
    <m/>
    <m/>
    <m/>
    <m/>
    <m/>
    <m/>
    <m/>
    <m/>
    <m/>
    <m/>
    <m/>
    <m/>
    <m/>
    <m/>
    <m/>
    <m/>
    <m/>
    <m/>
    <m/>
  </r>
  <r>
    <n v="744"/>
    <m/>
    <s v="ZBTC"/>
    <m/>
    <m/>
    <s v="9518563487-13"/>
    <s v="Stocks"/>
    <x v="4"/>
    <m/>
    <x v="2"/>
    <x v="3"/>
    <n v="1000"/>
    <m/>
    <x v="1"/>
    <m/>
    <m/>
    <m/>
    <s v="East"/>
    <m/>
    <m/>
    <m/>
    <s v="TATA BLUESCOPE STEEL PRIVATE L"/>
    <n v="1640840"/>
    <s v="PPGL C Y550 HPL3 0.45BMT(0.53TPT)X1220"/>
    <m/>
    <m/>
    <m/>
    <m/>
    <m/>
    <s v="B18"/>
    <s v="Y550PL"/>
    <s v="HPL3"/>
    <n v="0.45"/>
    <n v="1220"/>
    <m/>
    <m/>
    <m/>
    <m/>
    <m/>
    <m/>
    <m/>
    <m/>
    <m/>
    <m/>
    <m/>
    <m/>
    <m/>
    <m/>
    <m/>
    <m/>
    <m/>
    <m/>
    <m/>
    <m/>
    <m/>
    <m/>
    <m/>
    <m/>
    <m/>
    <m/>
    <m/>
    <m/>
    <m/>
    <m/>
    <m/>
    <n v="4.91"/>
    <n v="0"/>
    <n v="0"/>
    <n v="0"/>
    <n v="0"/>
    <n v="0"/>
    <n v="0"/>
    <n v="0"/>
    <n v="0"/>
    <n v="0"/>
    <n v="0"/>
    <n v="0"/>
    <n v="0"/>
    <m/>
    <m/>
    <m/>
    <m/>
    <m/>
    <m/>
    <m/>
    <m/>
    <m/>
    <m/>
    <m/>
    <m/>
    <m/>
    <m/>
    <m/>
    <m/>
    <m/>
    <m/>
    <m/>
    <m/>
    <m/>
    <m/>
    <m/>
    <m/>
    <m/>
    <m/>
    <m/>
    <m/>
    <m/>
    <m/>
    <m/>
    <m/>
    <m/>
    <m/>
    <m/>
  </r>
  <r>
    <n v="744"/>
    <m/>
    <s v="ZBTC"/>
    <m/>
    <m/>
    <s v="9518563487-14"/>
    <s v="Stocks"/>
    <x v="4"/>
    <m/>
    <x v="2"/>
    <x v="3"/>
    <n v="1000"/>
    <m/>
    <x v="1"/>
    <m/>
    <m/>
    <m/>
    <s v="East"/>
    <m/>
    <m/>
    <m/>
    <s v="TATA BLUESCOPE STEEL PRIVATE L"/>
    <n v="1641099"/>
    <s v="PPGL C Y550 HPL3 0.60BMT(0.68TPT)X1220"/>
    <m/>
    <m/>
    <m/>
    <m/>
    <m/>
    <s v="B18"/>
    <s v="Y550PL"/>
    <s v="HPL3"/>
    <n v="0.6"/>
    <n v="1220"/>
    <m/>
    <m/>
    <m/>
    <m/>
    <m/>
    <m/>
    <m/>
    <m/>
    <m/>
    <m/>
    <m/>
    <m/>
    <m/>
    <m/>
    <m/>
    <m/>
    <m/>
    <m/>
    <m/>
    <m/>
    <m/>
    <m/>
    <m/>
    <m/>
    <m/>
    <m/>
    <m/>
    <m/>
    <m/>
    <m/>
    <m/>
    <n v="4.08"/>
    <n v="0"/>
    <n v="0"/>
    <n v="0"/>
    <n v="0"/>
    <n v="0"/>
    <n v="0"/>
    <n v="0"/>
    <n v="0"/>
    <n v="0"/>
    <n v="0"/>
    <n v="0"/>
    <n v="0"/>
    <m/>
    <m/>
    <m/>
    <m/>
    <m/>
    <m/>
    <m/>
    <m/>
    <m/>
    <m/>
    <m/>
    <m/>
    <m/>
    <m/>
    <m/>
    <m/>
    <m/>
    <m/>
    <m/>
    <m/>
    <m/>
    <m/>
    <m/>
    <m/>
    <m/>
    <m/>
    <m/>
    <m/>
    <m/>
    <m/>
    <m/>
    <m/>
    <m/>
    <m/>
    <m/>
  </r>
  <r>
    <n v="744"/>
    <m/>
    <s v="ZBTC"/>
    <m/>
    <m/>
    <s v="9518563487-15"/>
    <s v="Stocks"/>
    <x v="4"/>
    <m/>
    <x v="2"/>
    <x v="3"/>
    <n v="1000"/>
    <m/>
    <x v="1"/>
    <m/>
    <m/>
    <m/>
    <s v="East"/>
    <m/>
    <m/>
    <m/>
    <s v="TATA BLUESCOPE STEEL PRIVATE L"/>
    <n v="1641131"/>
    <s v="PPGL COIL HARD-Y550PL-HPL3-0.65X1220"/>
    <m/>
    <m/>
    <m/>
    <m/>
    <m/>
    <s v="B18"/>
    <s v="Y550PL"/>
    <s v="HPL3"/>
    <n v="0.65"/>
    <n v="1220"/>
    <m/>
    <m/>
    <m/>
    <m/>
    <m/>
    <m/>
    <m/>
    <m/>
    <m/>
    <m/>
    <m/>
    <m/>
    <m/>
    <m/>
    <m/>
    <m/>
    <m/>
    <m/>
    <m/>
    <m/>
    <m/>
    <m/>
    <m/>
    <m/>
    <m/>
    <m/>
    <m/>
    <m/>
    <m/>
    <m/>
    <m/>
    <n v="4.24"/>
    <n v="0"/>
    <n v="0"/>
    <n v="0"/>
    <n v="0"/>
    <n v="0"/>
    <n v="0"/>
    <n v="0"/>
    <n v="0"/>
    <n v="0"/>
    <n v="0"/>
    <n v="0"/>
    <n v="0"/>
    <m/>
    <m/>
    <m/>
    <m/>
    <m/>
    <m/>
    <m/>
    <m/>
    <m/>
    <m/>
    <m/>
    <m/>
    <m/>
    <m/>
    <m/>
    <m/>
    <m/>
    <m/>
    <m/>
    <m/>
    <m/>
    <m/>
    <m/>
    <m/>
    <m/>
    <m/>
    <m/>
    <m/>
    <m/>
    <m/>
    <m/>
    <m/>
    <m/>
    <m/>
    <m/>
  </r>
  <r>
    <n v="744"/>
    <m/>
    <s v="ZBTC"/>
    <m/>
    <m/>
    <s v="9518563487-17"/>
    <s v="Stocks"/>
    <x v="4"/>
    <m/>
    <x v="2"/>
    <x v="3"/>
    <n v="1000"/>
    <m/>
    <x v="1"/>
    <m/>
    <m/>
    <m/>
    <s v="East"/>
    <m/>
    <m/>
    <m/>
    <s v="TATA BLUESCOPE STEEL PRIVATE L"/>
    <n v="3408372"/>
    <s v="PPGL C Y550 HPL3 0.72BMT(0.80TPT)X1220"/>
    <m/>
    <m/>
    <m/>
    <m/>
    <m/>
    <s v="B18"/>
    <s v="Y550PL"/>
    <s v="HPL3"/>
    <n v="0.72"/>
    <n v="1220"/>
    <m/>
    <m/>
    <m/>
    <m/>
    <m/>
    <m/>
    <m/>
    <m/>
    <m/>
    <m/>
    <m/>
    <m/>
    <m/>
    <m/>
    <m/>
    <m/>
    <m/>
    <m/>
    <m/>
    <m/>
    <m/>
    <m/>
    <m/>
    <m/>
    <m/>
    <m/>
    <m/>
    <m/>
    <m/>
    <m/>
    <m/>
    <n v="4.63"/>
    <n v="0"/>
    <n v="0"/>
    <n v="0"/>
    <n v="0"/>
    <n v="0"/>
    <n v="0"/>
    <n v="0"/>
    <n v="0"/>
    <n v="0"/>
    <n v="0"/>
    <n v="0"/>
    <n v="0"/>
    <m/>
    <m/>
    <m/>
    <m/>
    <m/>
    <m/>
    <m/>
    <m/>
    <m/>
    <m/>
    <m/>
    <m/>
    <m/>
    <m/>
    <m/>
    <m/>
    <m/>
    <m/>
    <m/>
    <m/>
    <m/>
    <m/>
    <m/>
    <m/>
    <m/>
    <m/>
    <m/>
    <m/>
    <m/>
    <m/>
    <m/>
    <m/>
    <m/>
    <m/>
    <m/>
  </r>
  <r>
    <n v="744"/>
    <m/>
    <s v="ZBTC"/>
    <m/>
    <m/>
    <s v="9518563487-18"/>
    <s v="Stocks"/>
    <x v="4"/>
    <m/>
    <x v="2"/>
    <x v="3"/>
    <n v="1000"/>
    <m/>
    <x v="1"/>
    <m/>
    <m/>
    <m/>
    <s v="East"/>
    <m/>
    <m/>
    <m/>
    <s v="TATA BLUESCOPE STEEL PRIVATE L"/>
    <n v="3440211"/>
    <s v="PPGL C Y550 HPL3 0.32BMT(0.40TPT)X1220"/>
    <m/>
    <m/>
    <m/>
    <m/>
    <m/>
    <s v="B18"/>
    <s v="Y550PL"/>
    <s v="HPL3"/>
    <n v="0.32"/>
    <n v="1220"/>
    <m/>
    <m/>
    <m/>
    <m/>
    <m/>
    <m/>
    <m/>
    <m/>
    <m/>
    <m/>
    <m/>
    <m/>
    <m/>
    <m/>
    <m/>
    <m/>
    <m/>
    <m/>
    <m/>
    <m/>
    <m/>
    <m/>
    <m/>
    <m/>
    <m/>
    <m/>
    <m/>
    <m/>
    <m/>
    <m/>
    <m/>
    <n v="12.555"/>
    <n v="0"/>
    <n v="0"/>
    <n v="0"/>
    <n v="0"/>
    <n v="0"/>
    <n v="0"/>
    <n v="0"/>
    <n v="0"/>
    <n v="0"/>
    <n v="0"/>
    <n v="0"/>
    <n v="0"/>
    <m/>
    <m/>
    <m/>
    <m/>
    <m/>
    <m/>
    <m/>
    <m/>
    <m/>
    <m/>
    <m/>
    <m/>
    <m/>
    <m/>
    <m/>
    <m/>
    <m/>
    <m/>
    <m/>
    <m/>
    <m/>
    <m/>
    <m/>
    <m/>
    <m/>
    <m/>
    <m/>
    <m/>
    <m/>
    <m/>
    <m/>
    <m/>
    <m/>
    <m/>
    <m/>
  </r>
  <r>
    <n v="744"/>
    <m/>
    <s v="ZBTO"/>
    <m/>
    <m/>
    <s v="9518579911-4"/>
    <s v="Stocks"/>
    <x v="4"/>
    <m/>
    <x v="2"/>
    <x v="3"/>
    <n v="1000"/>
    <m/>
    <x v="1"/>
    <m/>
    <m/>
    <m/>
    <s v="East"/>
    <m/>
    <m/>
    <m/>
    <s v="TATA BLUESCOPE STEEL PRIVATE L"/>
    <n v="3960726"/>
    <s v="PPGL C HARD Y550PL D0C9 0.450(TPT)X1220"/>
    <m/>
    <m/>
    <m/>
    <m/>
    <m/>
    <s v="B18"/>
    <s v="Y550PL"/>
    <s v="D0C9"/>
    <n v="0.45"/>
    <n v="1220"/>
    <m/>
    <m/>
    <m/>
    <m/>
    <m/>
    <m/>
    <m/>
    <m/>
    <m/>
    <m/>
    <m/>
    <m/>
    <m/>
    <m/>
    <m/>
    <m/>
    <m/>
    <m/>
    <m/>
    <m/>
    <m/>
    <m/>
    <m/>
    <m/>
    <m/>
    <m/>
    <m/>
    <m/>
    <m/>
    <m/>
    <m/>
    <n v="4.1950000000000003"/>
    <n v="0"/>
    <n v="0"/>
    <n v="0"/>
    <n v="0"/>
    <n v="0"/>
    <n v="0"/>
    <n v="0"/>
    <n v="0"/>
    <n v="0"/>
    <n v="0"/>
    <n v="0"/>
    <n v="0"/>
    <m/>
    <m/>
    <m/>
    <m/>
    <m/>
    <m/>
    <m/>
    <m/>
    <m/>
    <m/>
    <m/>
    <m/>
    <m/>
    <m/>
    <m/>
    <m/>
    <m/>
    <m/>
    <m/>
    <m/>
    <m/>
    <m/>
    <m/>
    <m/>
    <m/>
    <m/>
    <m/>
    <m/>
    <m/>
    <m/>
    <m/>
    <m/>
    <m/>
    <m/>
    <m/>
  </r>
  <r>
    <n v="744"/>
    <m/>
    <s v="ZBTO"/>
    <m/>
    <m/>
    <s v="9518579911-9"/>
    <s v="Stocks"/>
    <x v="4"/>
    <m/>
    <x v="2"/>
    <x v="3"/>
    <n v="1000"/>
    <m/>
    <x v="1"/>
    <m/>
    <m/>
    <m/>
    <s v="East"/>
    <m/>
    <m/>
    <m/>
    <s v="TATA BLUESCOPE STEEL PRIVATE L"/>
    <n v="3902332"/>
    <s v="PPGL C HARD Y550PL D0C9 0.50(TPT)X1220"/>
    <m/>
    <m/>
    <m/>
    <m/>
    <m/>
    <s v="B18"/>
    <s v="Y550PL"/>
    <s v="D0C9"/>
    <n v="0.5"/>
    <n v="1220"/>
    <m/>
    <m/>
    <m/>
    <m/>
    <m/>
    <m/>
    <m/>
    <m/>
    <m/>
    <m/>
    <m/>
    <m/>
    <m/>
    <m/>
    <m/>
    <m/>
    <m/>
    <m/>
    <m/>
    <m/>
    <m/>
    <m/>
    <m/>
    <m/>
    <m/>
    <m/>
    <m/>
    <m/>
    <m/>
    <m/>
    <m/>
    <n v="4.3949999999999996"/>
    <n v="0"/>
    <n v="0"/>
    <n v="0"/>
    <n v="0"/>
    <n v="0"/>
    <n v="0"/>
    <n v="0"/>
    <n v="0"/>
    <n v="0"/>
    <n v="0"/>
    <n v="0"/>
    <n v="0"/>
    <m/>
    <m/>
    <m/>
    <m/>
    <m/>
    <m/>
    <m/>
    <m/>
    <m/>
    <m/>
    <m/>
    <m/>
    <m/>
    <m/>
    <m/>
    <m/>
    <m/>
    <m/>
    <m/>
    <m/>
    <m/>
    <m/>
    <m/>
    <m/>
    <m/>
    <m/>
    <m/>
    <m/>
    <m/>
    <m/>
    <m/>
    <m/>
    <m/>
    <m/>
    <m/>
  </r>
  <r>
    <n v="742"/>
    <m/>
    <s v="ZBTC"/>
    <m/>
    <m/>
    <s v="9518587830-1"/>
    <s v="Stocks"/>
    <x v="4"/>
    <m/>
    <x v="1"/>
    <x v="0"/>
    <n v="2000"/>
    <m/>
    <x v="1"/>
    <m/>
    <m/>
    <m/>
    <s v="West"/>
    <m/>
    <m/>
    <m/>
    <s v="TATA STEEL DOWNSTREAM PRODUCTS"/>
    <n v="3867647"/>
    <s v="CR COIL TATXXD BT03 0.600X1120"/>
    <m/>
    <m/>
    <m/>
    <m/>
    <m/>
    <s v="C01"/>
    <s v="TATXXD"/>
    <s v="BT03"/>
    <n v="0.6"/>
    <n v="1120"/>
    <m/>
    <m/>
    <m/>
    <m/>
    <m/>
    <m/>
    <m/>
    <m/>
    <m/>
    <m/>
    <m/>
    <m/>
    <m/>
    <m/>
    <m/>
    <m/>
    <m/>
    <m/>
    <m/>
    <m/>
    <m/>
    <m/>
    <m/>
    <m/>
    <m/>
    <m/>
    <m/>
    <m/>
    <m/>
    <m/>
    <m/>
    <n v="5.31"/>
    <n v="0"/>
    <n v="0"/>
    <n v="0"/>
    <n v="0"/>
    <n v="0"/>
    <n v="0"/>
    <n v="0"/>
    <n v="0"/>
    <n v="0"/>
    <n v="0"/>
    <n v="0"/>
    <n v="0"/>
    <m/>
    <m/>
    <m/>
    <m/>
    <m/>
    <m/>
    <m/>
    <m/>
    <m/>
    <m/>
    <m/>
    <m/>
    <m/>
    <m/>
    <m/>
    <m/>
    <m/>
    <m/>
    <m/>
    <m/>
    <m/>
    <m/>
    <m/>
    <m/>
    <m/>
    <m/>
    <m/>
    <m/>
    <m/>
    <m/>
    <m/>
    <m/>
    <m/>
    <m/>
    <m/>
  </r>
  <r>
    <n v="742"/>
    <m/>
    <s v="ZBTO"/>
    <m/>
    <m/>
    <s v="9518591869-3"/>
    <s v="Stocks"/>
    <x v="4"/>
    <m/>
    <x v="1"/>
    <x v="1"/>
    <n v="2000"/>
    <m/>
    <x v="1"/>
    <m/>
    <m/>
    <m/>
    <s v="North"/>
    <m/>
    <m/>
    <m/>
    <s v="SHORI LAL KEWAL KUMAR."/>
    <n v="185675"/>
    <s v="CRCA COIL-TATXXD-AU03-0.5X1250"/>
    <m/>
    <m/>
    <m/>
    <m/>
    <m/>
    <s v="C01"/>
    <s v="TATXXD"/>
    <s v="AU03"/>
    <n v="0.5"/>
    <n v="1250"/>
    <m/>
    <m/>
    <m/>
    <m/>
    <m/>
    <m/>
    <m/>
    <m/>
    <m/>
    <m/>
    <m/>
    <m/>
    <m/>
    <m/>
    <m/>
    <m/>
    <m/>
    <m/>
    <m/>
    <m/>
    <m/>
    <m/>
    <m/>
    <m/>
    <m/>
    <m/>
    <m/>
    <m/>
    <m/>
    <m/>
    <m/>
    <n v="25.75"/>
    <n v="0"/>
    <n v="0"/>
    <n v="0"/>
    <n v="0"/>
    <n v="0"/>
    <n v="0"/>
    <n v="0"/>
    <n v="0"/>
    <n v="0"/>
    <n v="0"/>
    <n v="0"/>
    <n v="0"/>
    <m/>
    <m/>
    <m/>
    <m/>
    <m/>
    <m/>
    <m/>
    <m/>
    <m/>
    <m/>
    <m/>
    <m/>
    <m/>
    <m/>
    <m/>
    <m/>
    <m/>
    <m/>
    <m/>
    <m/>
    <m/>
    <m/>
    <m/>
    <m/>
    <m/>
    <m/>
    <m/>
    <m/>
    <m/>
    <m/>
    <m/>
    <m/>
    <m/>
    <m/>
    <m/>
  </r>
  <r>
    <n v="743"/>
    <m/>
    <s v="ZBTO"/>
    <m/>
    <m/>
    <s v="9518591982-2"/>
    <s v="Stocks"/>
    <x v="4"/>
    <m/>
    <x v="3"/>
    <x v="14"/>
    <n v="2000"/>
    <m/>
    <x v="1"/>
    <m/>
    <m/>
    <m/>
    <s v="West"/>
    <m/>
    <m/>
    <m/>
    <s v="Hitkar Enterprises"/>
    <n v="1854410"/>
    <s v="GP COIL SOFT-TATXGP-GK09-0.4X1220"/>
    <m/>
    <m/>
    <m/>
    <m/>
    <m/>
    <s v="C02"/>
    <s v="TATXGP"/>
    <s v="GK09"/>
    <n v="0.4"/>
    <n v="1220"/>
    <m/>
    <m/>
    <m/>
    <m/>
    <m/>
    <m/>
    <m/>
    <m/>
    <m/>
    <m/>
    <m/>
    <m/>
    <m/>
    <m/>
    <m/>
    <m/>
    <m/>
    <m/>
    <m/>
    <m/>
    <m/>
    <m/>
    <m/>
    <m/>
    <m/>
    <m/>
    <m/>
    <m/>
    <m/>
    <m/>
    <m/>
    <n v="5.2750000000000004"/>
    <n v="0"/>
    <n v="0"/>
    <n v="0"/>
    <n v="0"/>
    <n v="0"/>
    <n v="0"/>
    <n v="0"/>
    <n v="0"/>
    <n v="0"/>
    <n v="0"/>
    <n v="0"/>
    <n v="0"/>
    <m/>
    <m/>
    <m/>
    <m/>
    <m/>
    <m/>
    <m/>
    <m/>
    <m/>
    <m/>
    <m/>
    <m/>
    <m/>
    <m/>
    <m/>
    <m/>
    <m/>
    <m/>
    <m/>
    <m/>
    <m/>
    <m/>
    <m/>
    <m/>
    <m/>
    <m/>
    <m/>
    <m/>
    <m/>
    <m/>
    <m/>
    <m/>
    <m/>
    <m/>
    <m/>
  </r>
  <r>
    <n v="742"/>
    <m/>
    <s v="ZBTF"/>
    <m/>
    <m/>
    <s v="9518607093-5"/>
    <s v="Stocks"/>
    <x v="4"/>
    <m/>
    <x v="1"/>
    <x v="7"/>
    <n v="1000"/>
    <m/>
    <x v="1"/>
    <m/>
    <m/>
    <m/>
    <s v="East"/>
    <m/>
    <m/>
    <m/>
    <s v="TATA CENTRE"/>
    <n v="2439203"/>
    <s v="CRCA COIL TSBSTA EL06 0.500X1160"/>
    <m/>
    <m/>
    <m/>
    <m/>
    <m/>
    <s v="C01"/>
    <s v="TSBSTA"/>
    <s v="EL06"/>
    <n v="0.5"/>
    <n v="1160"/>
    <m/>
    <m/>
    <m/>
    <m/>
    <m/>
    <m/>
    <m/>
    <m/>
    <m/>
    <m/>
    <m/>
    <m/>
    <m/>
    <m/>
    <m/>
    <m/>
    <m/>
    <m/>
    <m/>
    <m/>
    <m/>
    <m/>
    <m/>
    <m/>
    <m/>
    <m/>
    <m/>
    <m/>
    <m/>
    <m/>
    <m/>
    <n v="12.515000000000001"/>
    <n v="0"/>
    <n v="0"/>
    <n v="0"/>
    <n v="0"/>
    <n v="0"/>
    <n v="0"/>
    <n v="0"/>
    <n v="0"/>
    <n v="0"/>
    <n v="0"/>
    <n v="0"/>
    <n v="0"/>
    <m/>
    <m/>
    <m/>
    <m/>
    <m/>
    <m/>
    <m/>
    <m/>
    <m/>
    <m/>
    <m/>
    <m/>
    <m/>
    <m/>
    <m/>
    <m/>
    <m/>
    <m/>
    <m/>
    <m/>
    <m/>
    <m/>
    <m/>
    <m/>
    <m/>
    <m/>
    <m/>
    <m/>
    <m/>
    <m/>
    <m/>
    <m/>
    <m/>
    <m/>
    <m/>
  </r>
  <r>
    <n v="743"/>
    <m/>
    <s v="ZBTO"/>
    <m/>
    <m/>
    <s v="9518607406-3"/>
    <s v="Stocks"/>
    <x v="4"/>
    <m/>
    <x v="3"/>
    <x v="9"/>
    <n v="2000"/>
    <m/>
    <x v="1"/>
    <m/>
    <m/>
    <m/>
    <s v="East"/>
    <m/>
    <m/>
    <m/>
    <s v="BHARTIA  DISTRIBUTORS PVT. LTD"/>
    <n v="1178439"/>
    <s v="GP COIL SOFT-TATXGP-GK09-0.4X900"/>
    <m/>
    <m/>
    <m/>
    <m/>
    <m/>
    <s v="C02"/>
    <s v="TATXGP"/>
    <s v="GK09"/>
    <n v="0.4"/>
    <n v="900"/>
    <m/>
    <m/>
    <m/>
    <m/>
    <m/>
    <m/>
    <m/>
    <m/>
    <m/>
    <m/>
    <m/>
    <m/>
    <m/>
    <m/>
    <m/>
    <m/>
    <m/>
    <m/>
    <m/>
    <m/>
    <m/>
    <m/>
    <m/>
    <m/>
    <m/>
    <m/>
    <m/>
    <m/>
    <m/>
    <m/>
    <m/>
    <n v="3.94"/>
    <n v="0"/>
    <n v="0"/>
    <n v="0"/>
    <n v="0"/>
    <n v="0"/>
    <n v="0"/>
    <n v="0"/>
    <n v="0"/>
    <n v="0"/>
    <n v="0"/>
    <n v="0"/>
    <n v="0"/>
    <m/>
    <m/>
    <m/>
    <m/>
    <m/>
    <m/>
    <m/>
    <m/>
    <m/>
    <m/>
    <m/>
    <m/>
    <m/>
    <m/>
    <m/>
    <m/>
    <m/>
    <m/>
    <m/>
    <m/>
    <m/>
    <m/>
    <m/>
    <m/>
    <m/>
    <m/>
    <m/>
    <m/>
    <m/>
    <m/>
    <m/>
    <m/>
    <m/>
    <m/>
    <m/>
  </r>
  <r>
    <n v="744"/>
    <m/>
    <s v="ZBTO"/>
    <m/>
    <m/>
    <s v="9518609830-3"/>
    <s v="Stocks"/>
    <x v="4"/>
    <m/>
    <x v="2"/>
    <x v="3"/>
    <n v="1000"/>
    <m/>
    <x v="1"/>
    <m/>
    <m/>
    <m/>
    <s v="East"/>
    <m/>
    <m/>
    <m/>
    <s v="TATA BLUESCOPE STEEL PVT LTD."/>
    <n v="3930916"/>
    <s v="PPGL C Y550 ISC6 0.35BMT(0.40TPT)X1220"/>
    <m/>
    <m/>
    <m/>
    <m/>
    <m/>
    <s v="B18"/>
    <s v="Y550PL"/>
    <s v="ISC6"/>
    <n v="0.35"/>
    <n v="1220"/>
    <m/>
    <m/>
    <m/>
    <m/>
    <m/>
    <m/>
    <m/>
    <m/>
    <m/>
    <m/>
    <m/>
    <m/>
    <m/>
    <m/>
    <m/>
    <m/>
    <m/>
    <m/>
    <m/>
    <m/>
    <m/>
    <m/>
    <m/>
    <m/>
    <m/>
    <m/>
    <m/>
    <m/>
    <m/>
    <m/>
    <m/>
    <n v="2.8149999999999999"/>
    <n v="0"/>
    <n v="0"/>
    <n v="0"/>
    <n v="0"/>
    <n v="0"/>
    <n v="0"/>
    <n v="0"/>
    <n v="0"/>
    <n v="0"/>
    <n v="0"/>
    <n v="0"/>
    <n v="0"/>
    <m/>
    <m/>
    <m/>
    <m/>
    <m/>
    <m/>
    <m/>
    <m/>
    <m/>
    <m/>
    <m/>
    <m/>
    <m/>
    <m/>
    <m/>
    <m/>
    <m/>
    <m/>
    <m/>
    <m/>
    <m/>
    <m/>
    <m/>
    <m/>
    <m/>
    <m/>
    <m/>
    <m/>
    <m/>
    <m/>
    <m/>
    <m/>
    <m/>
    <m/>
    <m/>
  </r>
  <r>
    <n v="743"/>
    <m/>
    <s v="ZBTO"/>
    <m/>
    <m/>
    <s v="9518612961-1"/>
    <s v="Stocks"/>
    <x v="4"/>
    <m/>
    <x v="4"/>
    <x v="5"/>
    <n v="1000"/>
    <m/>
    <x v="1"/>
    <m/>
    <m/>
    <m/>
    <s v="South"/>
    <m/>
    <m/>
    <m/>
    <s v="PENNAR INDUSTRIES LIMITED"/>
    <n v="3924555"/>
    <s v="GL COIL HARD  Y550GL HGL6 0.900X1045"/>
    <m/>
    <m/>
    <m/>
    <m/>
    <m/>
    <s v="B04"/>
    <s v="Y550GL"/>
    <s v="HGL6"/>
    <n v="0.9"/>
    <n v="1045"/>
    <m/>
    <m/>
    <m/>
    <m/>
    <m/>
    <m/>
    <m/>
    <m/>
    <m/>
    <m/>
    <m/>
    <m/>
    <m/>
    <m/>
    <m/>
    <m/>
    <m/>
    <m/>
    <m/>
    <m/>
    <m/>
    <m/>
    <m/>
    <m/>
    <m/>
    <m/>
    <m/>
    <m/>
    <m/>
    <m/>
    <m/>
    <n v="9.74"/>
    <n v="0"/>
    <n v="0"/>
    <n v="0"/>
    <n v="0"/>
    <n v="0"/>
    <n v="0"/>
    <n v="0"/>
    <n v="0"/>
    <n v="0"/>
    <n v="0"/>
    <n v="0"/>
    <n v="0"/>
    <m/>
    <m/>
    <m/>
    <m/>
    <m/>
    <m/>
    <m/>
    <m/>
    <m/>
    <m/>
    <m/>
    <m/>
    <m/>
    <m/>
    <m/>
    <m/>
    <m/>
    <m/>
    <m/>
    <m/>
    <m/>
    <m/>
    <m/>
    <m/>
    <m/>
    <m/>
    <m/>
    <m/>
    <m/>
    <m/>
    <m/>
    <m/>
    <m/>
    <m/>
    <m/>
  </r>
  <r>
    <n v="744"/>
    <m/>
    <s v="ZBTO"/>
    <m/>
    <m/>
    <s v="9518616405-1"/>
    <s v="Stocks"/>
    <x v="4"/>
    <m/>
    <x v="2"/>
    <x v="3"/>
    <n v="1000"/>
    <m/>
    <x v="1"/>
    <m/>
    <m/>
    <m/>
    <s v="West"/>
    <m/>
    <m/>
    <m/>
    <s v="TATA BLUESCOPE STEEL PVT LTD"/>
    <n v="3522241"/>
    <s v="PPGL C Y550 D0C7 0.43BMT(0.47TPT)X1220"/>
    <m/>
    <m/>
    <m/>
    <m/>
    <m/>
    <s v="B18"/>
    <s v="Y550PL"/>
    <s v="D0C7"/>
    <n v="0.43"/>
    <n v="1220"/>
    <m/>
    <m/>
    <m/>
    <m/>
    <m/>
    <m/>
    <m/>
    <m/>
    <m/>
    <m/>
    <m/>
    <m/>
    <m/>
    <m/>
    <m/>
    <m/>
    <m/>
    <m/>
    <m/>
    <m/>
    <m/>
    <m/>
    <m/>
    <m/>
    <m/>
    <m/>
    <m/>
    <m/>
    <m/>
    <m/>
    <m/>
    <n v="3.08"/>
    <n v="0"/>
    <n v="0"/>
    <n v="0"/>
    <n v="0"/>
    <n v="0"/>
    <n v="0"/>
    <n v="0"/>
    <n v="0"/>
    <n v="0"/>
    <n v="0"/>
    <n v="0"/>
    <n v="0"/>
    <m/>
    <m/>
    <m/>
    <m/>
    <m/>
    <m/>
    <m/>
    <m/>
    <m/>
    <m/>
    <m/>
    <m/>
    <m/>
    <m/>
    <m/>
    <m/>
    <m/>
    <m/>
    <m/>
    <m/>
    <m/>
    <m/>
    <m/>
    <m/>
    <m/>
    <m/>
    <m/>
    <m/>
    <m/>
    <m/>
    <m/>
    <m/>
    <m/>
    <m/>
    <m/>
  </r>
  <r>
    <n v="744"/>
    <m/>
    <s v="ZBTO"/>
    <m/>
    <m/>
    <s v="9518617046-8"/>
    <s v="Stocks"/>
    <x v="4"/>
    <m/>
    <x v="2"/>
    <x v="3"/>
    <n v="1000"/>
    <m/>
    <x v="1"/>
    <m/>
    <m/>
    <m/>
    <s v="East"/>
    <m/>
    <m/>
    <m/>
    <s v="TATA BLUESCOPE STEEL PRIVATE L"/>
    <n v="3941967"/>
    <s v="PPGL C HARD Y550PL D0C9 0.60(TPT)X1220"/>
    <m/>
    <m/>
    <m/>
    <m/>
    <m/>
    <s v="B18"/>
    <s v="Y550PL"/>
    <s v="D0C9"/>
    <n v="0.6"/>
    <n v="1220"/>
    <m/>
    <m/>
    <m/>
    <m/>
    <m/>
    <m/>
    <m/>
    <m/>
    <m/>
    <m/>
    <m/>
    <m/>
    <m/>
    <m/>
    <m/>
    <m/>
    <m/>
    <m/>
    <m/>
    <m/>
    <m/>
    <m/>
    <m/>
    <m/>
    <m/>
    <m/>
    <m/>
    <m/>
    <m/>
    <m/>
    <m/>
    <n v="7.15"/>
    <n v="0"/>
    <n v="0"/>
    <n v="0"/>
    <n v="0"/>
    <n v="0"/>
    <n v="0"/>
    <n v="0"/>
    <n v="0"/>
    <n v="0"/>
    <n v="0"/>
    <n v="0"/>
    <n v="0"/>
    <m/>
    <m/>
    <m/>
    <m/>
    <m/>
    <m/>
    <m/>
    <m/>
    <m/>
    <m/>
    <m/>
    <m/>
    <m/>
    <m/>
    <m/>
    <m/>
    <m/>
    <m/>
    <m/>
    <m/>
    <m/>
    <m/>
    <m/>
    <m/>
    <m/>
    <m/>
    <m/>
    <m/>
    <m/>
    <m/>
    <m/>
    <m/>
    <m/>
    <m/>
    <m/>
  </r>
  <r>
    <n v="743"/>
    <m/>
    <s v="ZBTO"/>
    <m/>
    <m/>
    <s v="9518619803-3"/>
    <s v="Stocks"/>
    <x v="4"/>
    <m/>
    <x v="3"/>
    <x v="14"/>
    <n v="2000"/>
    <m/>
    <x v="1"/>
    <m/>
    <m/>
    <m/>
    <s v="West"/>
    <m/>
    <m/>
    <m/>
    <s v="ANM ISPAT PRIVATE LIMITED"/>
    <n v="1851106"/>
    <s v="GP COIL SOFT-TATXGP-GK09-0.6X1250"/>
    <m/>
    <m/>
    <m/>
    <m/>
    <m/>
    <s v="C02"/>
    <s v="TATXGP"/>
    <s v="GK09"/>
    <n v="0.6"/>
    <n v="1250"/>
    <m/>
    <m/>
    <m/>
    <m/>
    <m/>
    <m/>
    <m/>
    <m/>
    <m/>
    <m/>
    <m/>
    <m/>
    <m/>
    <m/>
    <m/>
    <m/>
    <m/>
    <m/>
    <m/>
    <m/>
    <m/>
    <m/>
    <m/>
    <m/>
    <m/>
    <m/>
    <m/>
    <m/>
    <m/>
    <m/>
    <m/>
    <n v="18.305"/>
    <n v="0"/>
    <n v="0"/>
    <n v="0"/>
    <n v="0"/>
    <n v="0"/>
    <n v="0"/>
    <n v="0"/>
    <n v="0"/>
    <n v="0"/>
    <n v="0"/>
    <n v="0"/>
    <n v="0"/>
    <m/>
    <m/>
    <m/>
    <m/>
    <m/>
    <m/>
    <m/>
    <m/>
    <m/>
    <m/>
    <m/>
    <m/>
    <m/>
    <m/>
    <m/>
    <m/>
    <m/>
    <m/>
    <m/>
    <m/>
    <m/>
    <m/>
    <m/>
    <m/>
    <m/>
    <m/>
    <m/>
    <m/>
    <m/>
    <m/>
    <m/>
    <m/>
    <m/>
    <m/>
    <m/>
  </r>
  <r>
    <n v="742"/>
    <m/>
    <s v="ZBTC"/>
    <m/>
    <m/>
    <s v="9518620199-1"/>
    <s v="Stocks"/>
    <x v="4"/>
    <m/>
    <x v="1"/>
    <x v="1"/>
    <n v="2000"/>
    <m/>
    <x v="1"/>
    <m/>
    <m/>
    <m/>
    <s v="South"/>
    <m/>
    <m/>
    <m/>
    <s v="GOVINDARAJA MUDALIAR SONS PVT"/>
    <n v="1206324"/>
    <s v="CRCA SHEET TATXXD AU03 0.750X1250X2500"/>
    <m/>
    <m/>
    <m/>
    <m/>
    <m/>
    <s v="C06"/>
    <s v="TATXXD"/>
    <s v="AU03"/>
    <n v="0.75"/>
    <n v="1250"/>
    <m/>
    <m/>
    <m/>
    <m/>
    <m/>
    <m/>
    <m/>
    <m/>
    <m/>
    <m/>
    <m/>
    <m/>
    <m/>
    <m/>
    <m/>
    <m/>
    <m/>
    <m/>
    <m/>
    <m/>
    <m/>
    <m/>
    <m/>
    <m/>
    <m/>
    <m/>
    <m/>
    <m/>
    <m/>
    <m/>
    <m/>
    <n v="2.9049999999999998"/>
    <n v="0"/>
    <n v="0"/>
    <n v="0"/>
    <n v="0"/>
    <n v="0"/>
    <n v="0"/>
    <n v="0"/>
    <n v="0"/>
    <n v="0"/>
    <n v="0"/>
    <n v="0"/>
    <n v="0"/>
    <m/>
    <m/>
    <m/>
    <m/>
    <m/>
    <m/>
    <m/>
    <m/>
    <m/>
    <m/>
    <m/>
    <m/>
    <m/>
    <m/>
    <m/>
    <m/>
    <m/>
    <m/>
    <m/>
    <m/>
    <m/>
    <m/>
    <m/>
    <m/>
    <m/>
    <m/>
    <m/>
    <m/>
    <m/>
    <m/>
    <m/>
    <m/>
    <m/>
    <m/>
    <m/>
  </r>
  <r>
    <n v="743"/>
    <m/>
    <s v="ZBTO"/>
    <m/>
    <m/>
    <s v="9518635063-1"/>
    <s v="Stocks"/>
    <x v="4"/>
    <m/>
    <x v="4"/>
    <x v="5"/>
    <n v="1000"/>
    <m/>
    <x v="1"/>
    <m/>
    <m/>
    <m/>
    <s v="South"/>
    <m/>
    <m/>
    <m/>
    <s v="Metalkraft Forming Industries"/>
    <n v="3903395"/>
    <s v="GL COIL HARD  Y550GL GL6H 0.900X1220"/>
    <m/>
    <m/>
    <m/>
    <m/>
    <m/>
    <s v="B04"/>
    <s v="Y550GL"/>
    <s v="GL6H"/>
    <n v="0.9"/>
    <n v="1220"/>
    <m/>
    <m/>
    <m/>
    <m/>
    <m/>
    <m/>
    <m/>
    <m/>
    <m/>
    <m/>
    <m/>
    <m/>
    <m/>
    <m/>
    <m/>
    <m/>
    <m/>
    <m/>
    <m/>
    <m/>
    <m/>
    <m/>
    <m/>
    <m/>
    <m/>
    <m/>
    <m/>
    <m/>
    <m/>
    <m/>
    <m/>
    <n v="124.99500000000002"/>
    <n v="0"/>
    <n v="0"/>
    <n v="0"/>
    <n v="0"/>
    <n v="0"/>
    <n v="0"/>
    <n v="0"/>
    <n v="0"/>
    <n v="0"/>
    <n v="0"/>
    <n v="0"/>
    <n v="0"/>
    <m/>
    <m/>
    <m/>
    <m/>
    <m/>
    <m/>
    <m/>
    <m/>
    <m/>
    <m/>
    <m/>
    <m/>
    <m/>
    <m/>
    <m/>
    <m/>
    <m/>
    <m/>
    <m/>
    <m/>
    <m/>
    <m/>
    <m/>
    <m/>
    <m/>
    <m/>
    <m/>
    <m/>
    <m/>
    <m/>
    <m/>
    <m/>
    <m/>
    <m/>
    <m/>
  </r>
  <r>
    <n v="743"/>
    <m/>
    <s v="ZBTC"/>
    <m/>
    <m/>
    <s v="9518636685-1"/>
    <s v="Stocks"/>
    <x v="4"/>
    <m/>
    <x v="4"/>
    <x v="10"/>
    <n v="1000"/>
    <m/>
    <x v="1"/>
    <m/>
    <m/>
    <m/>
    <s v="West"/>
    <m/>
    <m/>
    <m/>
    <s v="PRABHAT GLOBAL COLOURCOATED PR"/>
    <n v="3946140"/>
    <s v="GL COIL SKINPASS Y250GL SGL1 0.330X1250"/>
    <m/>
    <m/>
    <m/>
    <m/>
    <m/>
    <s v="B06"/>
    <s v="Y250GL"/>
    <s v="SGL1"/>
    <n v="0.33"/>
    <n v="1250"/>
    <m/>
    <m/>
    <m/>
    <m/>
    <m/>
    <m/>
    <m/>
    <m/>
    <m/>
    <m/>
    <m/>
    <m/>
    <m/>
    <m/>
    <m/>
    <m/>
    <m/>
    <m/>
    <m/>
    <m/>
    <m/>
    <m/>
    <m/>
    <m/>
    <m/>
    <m/>
    <m/>
    <m/>
    <m/>
    <m/>
    <m/>
    <n v="10.914999999999999"/>
    <n v="0"/>
    <n v="0"/>
    <n v="0"/>
    <n v="0"/>
    <n v="0"/>
    <n v="0"/>
    <n v="0"/>
    <n v="0"/>
    <n v="0"/>
    <n v="0"/>
    <n v="0"/>
    <n v="0"/>
    <m/>
    <m/>
    <m/>
    <m/>
    <m/>
    <m/>
    <m/>
    <m/>
    <m/>
    <m/>
    <m/>
    <m/>
    <m/>
    <m/>
    <m/>
    <m/>
    <m/>
    <m/>
    <m/>
    <m/>
    <m/>
    <m/>
    <m/>
    <m/>
    <m/>
    <m/>
    <m/>
    <m/>
    <m/>
    <m/>
    <m/>
    <m/>
    <m/>
    <m/>
    <m/>
  </r>
  <r>
    <n v="743"/>
    <m/>
    <s v="ZBTC"/>
    <m/>
    <m/>
    <s v="9518658444-3"/>
    <s v="Stocks"/>
    <x v="4"/>
    <m/>
    <x v="3"/>
    <x v="9"/>
    <n v="2000"/>
    <m/>
    <x v="1"/>
    <m/>
    <m/>
    <m/>
    <s v="East"/>
    <m/>
    <m/>
    <m/>
    <s v="SAGAR STEELS"/>
    <n v="1851066"/>
    <s v="GP COIL SOFT-TATXGP-GLK1-0.25X900"/>
    <m/>
    <m/>
    <m/>
    <m/>
    <m/>
    <s v="C02"/>
    <s v="TATXGP"/>
    <s v="GLK1"/>
    <n v="0.25"/>
    <n v="900"/>
    <m/>
    <m/>
    <m/>
    <m/>
    <m/>
    <m/>
    <m/>
    <m/>
    <m/>
    <m/>
    <m/>
    <m/>
    <m/>
    <m/>
    <m/>
    <m/>
    <m/>
    <m/>
    <m/>
    <m/>
    <m/>
    <m/>
    <m/>
    <m/>
    <m/>
    <m/>
    <m/>
    <m/>
    <m/>
    <m/>
    <m/>
    <n v="11.11"/>
    <n v="0"/>
    <n v="0"/>
    <n v="0"/>
    <n v="0"/>
    <n v="0"/>
    <n v="0"/>
    <n v="0"/>
    <n v="0"/>
    <n v="0"/>
    <n v="0"/>
    <n v="0"/>
    <n v="0"/>
    <m/>
    <m/>
    <m/>
    <m/>
    <m/>
    <m/>
    <m/>
    <m/>
    <m/>
    <m/>
    <m/>
    <m/>
    <m/>
    <m/>
    <m/>
    <m/>
    <m/>
    <m/>
    <m/>
    <m/>
    <m/>
    <m/>
    <m/>
    <m/>
    <m/>
    <m/>
    <m/>
    <m/>
    <m/>
    <m/>
    <m/>
    <m/>
    <m/>
    <m/>
    <m/>
  </r>
  <r>
    <n v="744"/>
    <m/>
    <s v="ZBTO"/>
    <m/>
    <m/>
    <s v="9518660802-1"/>
    <s v="Stocks"/>
    <x v="4"/>
    <m/>
    <x v="2"/>
    <x v="3"/>
    <n v="1000"/>
    <m/>
    <x v="1"/>
    <m/>
    <m/>
    <m/>
    <s v="East"/>
    <m/>
    <m/>
    <m/>
    <s v="TATA BLUESCOPE STEEL PVT LTD."/>
    <n v="3522241"/>
    <s v="PPGL C Y550 D0C7 0.43BMT(0.47TPT)X1220"/>
    <m/>
    <m/>
    <m/>
    <m/>
    <m/>
    <s v="B18"/>
    <s v="Y550PL"/>
    <s v="D0C7"/>
    <n v="0.43"/>
    <n v="1220"/>
    <m/>
    <m/>
    <m/>
    <m/>
    <m/>
    <m/>
    <m/>
    <m/>
    <m/>
    <m/>
    <m/>
    <m/>
    <m/>
    <m/>
    <m/>
    <m/>
    <m/>
    <m/>
    <m/>
    <m/>
    <m/>
    <m/>
    <m/>
    <m/>
    <m/>
    <m/>
    <m/>
    <m/>
    <m/>
    <m/>
    <m/>
    <n v="4.5350000000000001"/>
    <n v="112"/>
    <n v="0"/>
    <n v="0"/>
    <n v="0"/>
    <n v="0"/>
    <n v="112"/>
    <n v="0"/>
    <n v="0"/>
    <n v="0"/>
    <n v="0"/>
    <n v="0"/>
    <n v="0"/>
    <m/>
    <m/>
    <m/>
    <m/>
    <m/>
    <m/>
    <m/>
    <m/>
    <m/>
    <m/>
    <m/>
    <m/>
    <m/>
    <m/>
    <m/>
    <m/>
    <m/>
    <m/>
    <m/>
    <m/>
    <m/>
    <m/>
    <m/>
    <m/>
    <m/>
    <m/>
    <m/>
    <m/>
    <m/>
    <m/>
    <m/>
    <m/>
    <m/>
    <m/>
    <m/>
  </r>
  <r>
    <n v="742"/>
    <m/>
    <s v="ZBTO"/>
    <m/>
    <m/>
    <s v="9518664809-5"/>
    <s v="Stocks"/>
    <x v="4"/>
    <m/>
    <x v="1"/>
    <x v="2"/>
    <n v="2000"/>
    <m/>
    <x v="1"/>
    <m/>
    <m/>
    <m/>
    <s v="West"/>
    <m/>
    <m/>
    <m/>
    <s v="TEJRAM RAMNIWAS AGARWAL"/>
    <n v="3240786"/>
    <s v="CRCA SHEET TSBCRC SR15 0.700X1250X2500"/>
    <m/>
    <m/>
    <m/>
    <m/>
    <m/>
    <s v="C06"/>
    <s v="TSBCRC"/>
    <s v="SR15"/>
    <n v="0.7"/>
    <n v="1250"/>
    <m/>
    <m/>
    <m/>
    <m/>
    <m/>
    <m/>
    <m/>
    <m/>
    <m/>
    <m/>
    <m/>
    <m/>
    <m/>
    <m/>
    <m/>
    <m/>
    <m/>
    <m/>
    <m/>
    <m/>
    <m/>
    <m/>
    <m/>
    <m/>
    <m/>
    <m/>
    <m/>
    <m/>
    <m/>
    <m/>
    <m/>
    <n v="22.785000000000004"/>
    <n v="0"/>
    <n v="0"/>
    <n v="0"/>
    <n v="0"/>
    <n v="0"/>
    <n v="0"/>
    <n v="0"/>
    <n v="0"/>
    <n v="0"/>
    <n v="0"/>
    <n v="0"/>
    <n v="0"/>
    <m/>
    <m/>
    <m/>
    <m/>
    <m/>
    <m/>
    <m/>
    <m/>
    <m/>
    <m/>
    <m/>
    <m/>
    <m/>
    <m/>
    <m/>
    <m/>
    <m/>
    <m/>
    <m/>
    <m/>
    <m/>
    <m/>
    <m/>
    <m/>
    <m/>
    <m/>
    <m/>
    <m/>
    <m/>
    <m/>
    <m/>
    <m/>
    <m/>
    <m/>
    <m/>
  </r>
  <r>
    <n v="742"/>
    <m/>
    <s v="ZBTO"/>
    <m/>
    <m/>
    <s v="9518667615-4"/>
    <s v="Stocks"/>
    <x v="4"/>
    <m/>
    <x v="1"/>
    <x v="10"/>
    <n v="1000"/>
    <m/>
    <x v="1"/>
    <m/>
    <m/>
    <m/>
    <s v="West"/>
    <m/>
    <m/>
    <m/>
    <s v="Balmer Lawrie And Co. Ltd."/>
    <n v="2164803"/>
    <s v="CRCA COIL TATXXD BT02 1.200X910"/>
    <m/>
    <m/>
    <m/>
    <m/>
    <m/>
    <s v="C01"/>
    <s v="TATXXD"/>
    <s v="BT02"/>
    <n v="1.2"/>
    <n v="910"/>
    <m/>
    <m/>
    <m/>
    <m/>
    <m/>
    <m/>
    <m/>
    <m/>
    <m/>
    <m/>
    <m/>
    <m/>
    <m/>
    <m/>
    <m/>
    <m/>
    <m/>
    <m/>
    <m/>
    <m/>
    <m/>
    <m/>
    <m/>
    <m/>
    <m/>
    <m/>
    <m/>
    <m/>
    <m/>
    <m/>
    <m/>
    <n v="9.66"/>
    <n v="0"/>
    <n v="0"/>
    <n v="0"/>
    <n v="0"/>
    <n v="0"/>
    <n v="0"/>
    <n v="0"/>
    <n v="0"/>
    <n v="0"/>
    <n v="0"/>
    <n v="0"/>
    <n v="0"/>
    <m/>
    <m/>
    <m/>
    <m/>
    <m/>
    <m/>
    <m/>
    <m/>
    <m/>
    <m/>
    <m/>
    <m/>
    <m/>
    <m/>
    <m/>
    <m/>
    <m/>
    <m/>
    <m/>
    <m/>
    <m/>
    <m/>
    <m/>
    <m/>
    <m/>
    <m/>
    <m/>
    <m/>
    <m/>
    <m/>
    <m/>
    <m/>
    <m/>
    <m/>
    <m/>
  </r>
  <r>
    <n v="743"/>
    <m/>
    <s v="ZBTC"/>
    <m/>
    <m/>
    <s v="9518676248-1"/>
    <s v="Stocks"/>
    <x v="4"/>
    <m/>
    <x v="3"/>
    <x v="9"/>
    <n v="2000"/>
    <m/>
    <x v="1"/>
    <m/>
    <m/>
    <m/>
    <s v="East"/>
    <m/>
    <m/>
    <m/>
    <s v="SAGAR STEELS"/>
    <n v="2399771"/>
    <s v="GP COIL SOFT TATXGP GK09 0.220X900"/>
    <m/>
    <m/>
    <m/>
    <m/>
    <m/>
    <s v="C02"/>
    <s v="TATXGP"/>
    <s v="GK09"/>
    <n v="0.22"/>
    <n v="900"/>
    <m/>
    <m/>
    <m/>
    <m/>
    <m/>
    <m/>
    <m/>
    <m/>
    <m/>
    <m/>
    <m/>
    <m/>
    <m/>
    <m/>
    <m/>
    <m/>
    <m/>
    <m/>
    <m/>
    <m/>
    <m/>
    <m/>
    <m/>
    <m/>
    <m/>
    <m/>
    <m/>
    <m/>
    <m/>
    <m/>
    <m/>
    <n v="3.6"/>
    <n v="0"/>
    <n v="0"/>
    <n v="0"/>
    <n v="0"/>
    <n v="0"/>
    <n v="0"/>
    <n v="0"/>
    <n v="0"/>
    <n v="0"/>
    <n v="0"/>
    <n v="0"/>
    <n v="0"/>
    <m/>
    <m/>
    <m/>
    <m/>
    <m/>
    <m/>
    <m/>
    <m/>
    <m/>
    <m/>
    <m/>
    <m/>
    <m/>
    <m/>
    <m/>
    <m/>
    <m/>
    <m/>
    <m/>
    <m/>
    <m/>
    <m/>
    <m/>
    <m/>
    <m/>
    <m/>
    <m/>
    <m/>
    <m/>
    <m/>
    <m/>
    <m/>
    <m/>
    <m/>
    <m/>
  </r>
  <r>
    <n v="744"/>
    <m/>
    <s v="ZBTC"/>
    <m/>
    <m/>
    <s v="9518681853-2"/>
    <s v="Stocks"/>
    <x v="4"/>
    <m/>
    <x v="2"/>
    <x v="3"/>
    <n v="1000"/>
    <m/>
    <x v="1"/>
    <m/>
    <m/>
    <m/>
    <s v="East"/>
    <m/>
    <m/>
    <m/>
    <s v="TATA BLUESCOPE STEEL PRIVATE L"/>
    <n v="3902332"/>
    <s v="PPGL C HARD Y550PL D0C9 0.50(TPT)X1220"/>
    <m/>
    <m/>
    <m/>
    <m/>
    <m/>
    <s v="B18"/>
    <s v="Y550PL"/>
    <s v="D0C9"/>
    <n v="0.5"/>
    <n v="1220"/>
    <m/>
    <m/>
    <m/>
    <m/>
    <m/>
    <m/>
    <m/>
    <m/>
    <m/>
    <m/>
    <m/>
    <m/>
    <m/>
    <m/>
    <m/>
    <m/>
    <m/>
    <m/>
    <m/>
    <m/>
    <m/>
    <m/>
    <m/>
    <m/>
    <m/>
    <m/>
    <m/>
    <m/>
    <m/>
    <m/>
    <m/>
    <n v="9.8550000000000004"/>
    <n v="0"/>
    <n v="0"/>
    <n v="0"/>
    <n v="0"/>
    <n v="0"/>
    <n v="0"/>
    <n v="0"/>
    <n v="0"/>
    <n v="0"/>
    <n v="0"/>
    <n v="0"/>
    <n v="0"/>
    <m/>
    <m/>
    <m/>
    <m/>
    <m/>
    <m/>
    <m/>
    <m/>
    <m/>
    <m/>
    <m/>
    <m/>
    <m/>
    <m/>
    <m/>
    <m/>
    <m/>
    <m/>
    <m/>
    <m/>
    <m/>
    <m/>
    <m/>
    <m/>
    <m/>
    <m/>
    <m/>
    <m/>
    <m/>
    <m/>
    <m/>
    <m/>
    <m/>
    <m/>
    <m/>
  </r>
  <r>
    <n v="742"/>
    <m/>
    <s v="ZBTC"/>
    <m/>
    <m/>
    <s v="9518682512-1"/>
    <s v="Stocks"/>
    <x v="4"/>
    <m/>
    <x v="1"/>
    <x v="10"/>
    <n v="1000"/>
    <m/>
    <x v="1"/>
    <m/>
    <m/>
    <m/>
    <s v="South"/>
    <m/>
    <m/>
    <m/>
    <s v="CHANDRA CONTAINER MANUACTURERS"/>
    <n v="3945230"/>
    <s v="CRCA SHEET TATXXD BT02 0.800X920X1805"/>
    <m/>
    <m/>
    <m/>
    <m/>
    <m/>
    <s v="C06"/>
    <s v="TATXXD"/>
    <s v="BT02"/>
    <n v="0.8"/>
    <n v="920"/>
    <m/>
    <m/>
    <m/>
    <m/>
    <m/>
    <m/>
    <m/>
    <m/>
    <m/>
    <m/>
    <m/>
    <m/>
    <m/>
    <m/>
    <m/>
    <m/>
    <m/>
    <m/>
    <m/>
    <m/>
    <m/>
    <m/>
    <m/>
    <m/>
    <m/>
    <m/>
    <m/>
    <m/>
    <m/>
    <m/>
    <m/>
    <n v="5.0350000000000001"/>
    <n v="0"/>
    <n v="0"/>
    <n v="0"/>
    <n v="0"/>
    <n v="0"/>
    <n v="0"/>
    <n v="0"/>
    <n v="0"/>
    <n v="0"/>
    <n v="0"/>
    <n v="0"/>
    <n v="0"/>
    <m/>
    <m/>
    <m/>
    <m/>
    <m/>
    <m/>
    <m/>
    <m/>
    <m/>
    <m/>
    <m/>
    <m/>
    <m/>
    <m/>
    <m/>
    <m/>
    <m/>
    <m/>
    <m/>
    <m/>
    <m/>
    <m/>
    <m/>
    <m/>
    <m/>
    <m/>
    <m/>
    <m/>
    <m/>
    <m/>
    <m/>
    <m/>
    <m/>
    <m/>
    <m/>
  </r>
  <r>
    <n v="742"/>
    <m/>
    <s v="ZBTC"/>
    <m/>
    <m/>
    <s v="9518682547-1"/>
    <s v="Stocks"/>
    <x v="4"/>
    <m/>
    <x v="1"/>
    <x v="10"/>
    <n v="1000"/>
    <m/>
    <x v="1"/>
    <m/>
    <m/>
    <m/>
    <s v="South"/>
    <m/>
    <m/>
    <m/>
    <s v="CHANDRA CONTAINER MANUACTURERS"/>
    <n v="2426388"/>
    <s v="CRCA COIL TATXXD BT01 0.900X1320"/>
    <m/>
    <m/>
    <m/>
    <m/>
    <m/>
    <s v="C01"/>
    <s v="TATXXD"/>
    <s v="BT01"/>
    <n v="0.9"/>
    <n v="1320"/>
    <m/>
    <m/>
    <m/>
    <m/>
    <m/>
    <m/>
    <m/>
    <m/>
    <m/>
    <m/>
    <m/>
    <m/>
    <m/>
    <m/>
    <m/>
    <m/>
    <m/>
    <m/>
    <m/>
    <m/>
    <m/>
    <m/>
    <m/>
    <m/>
    <m/>
    <m/>
    <m/>
    <m/>
    <m/>
    <m/>
    <m/>
    <n v="24.195"/>
    <n v="0"/>
    <n v="0"/>
    <n v="0"/>
    <n v="0"/>
    <n v="0"/>
    <n v="0"/>
    <n v="0"/>
    <n v="0"/>
    <n v="0"/>
    <n v="0"/>
    <n v="0"/>
    <n v="0"/>
    <m/>
    <m/>
    <m/>
    <m/>
    <m/>
    <m/>
    <m/>
    <m/>
    <m/>
    <m/>
    <m/>
    <m/>
    <m/>
    <m/>
    <m/>
    <m/>
    <m/>
    <m/>
    <m/>
    <m/>
    <m/>
    <m/>
    <m/>
    <m/>
    <m/>
    <m/>
    <m/>
    <m/>
    <m/>
    <m/>
    <m/>
    <m/>
    <m/>
    <m/>
    <m/>
  </r>
  <r>
    <n v="742"/>
    <m/>
    <s v="ZBTC"/>
    <m/>
    <m/>
    <s v="9518682547-2"/>
    <s v="Stocks"/>
    <x v="4"/>
    <m/>
    <x v="1"/>
    <x v="10"/>
    <n v="1000"/>
    <m/>
    <x v="1"/>
    <m/>
    <m/>
    <m/>
    <s v="South"/>
    <m/>
    <m/>
    <m/>
    <s v="CHANDRA CONTAINER MANUACTURERS"/>
    <n v="2426078"/>
    <s v="CRCA COIL TATXXD BT01 1X1320"/>
    <m/>
    <m/>
    <m/>
    <m/>
    <m/>
    <s v="C01"/>
    <s v="TATXXD"/>
    <s v="BT01"/>
    <n v="1"/>
    <n v="1320"/>
    <m/>
    <m/>
    <m/>
    <m/>
    <m/>
    <m/>
    <m/>
    <m/>
    <m/>
    <m/>
    <m/>
    <m/>
    <m/>
    <m/>
    <m/>
    <m/>
    <m/>
    <m/>
    <m/>
    <m/>
    <m/>
    <m/>
    <m/>
    <m/>
    <m/>
    <m/>
    <m/>
    <m/>
    <m/>
    <m/>
    <m/>
    <n v="6.29"/>
    <n v="0"/>
    <n v="0"/>
    <n v="0"/>
    <n v="0"/>
    <n v="0"/>
    <n v="0"/>
    <n v="0"/>
    <n v="0"/>
    <n v="0"/>
    <n v="0"/>
    <n v="0"/>
    <n v="0"/>
    <m/>
    <m/>
    <m/>
    <m/>
    <m/>
    <m/>
    <m/>
    <m/>
    <m/>
    <m/>
    <m/>
    <m/>
    <m/>
    <m/>
    <m/>
    <m/>
    <m/>
    <m/>
    <m/>
    <m/>
    <m/>
    <m/>
    <m/>
    <m/>
    <m/>
    <m/>
    <m/>
    <m/>
    <m/>
    <m/>
    <m/>
    <m/>
    <m/>
    <m/>
    <m/>
  </r>
  <r>
    <n v="742"/>
    <m/>
    <s v="ZBTC"/>
    <m/>
    <m/>
    <s v="9518685736-1"/>
    <s v="Stocks"/>
    <x v="4"/>
    <m/>
    <x v="1"/>
    <x v="1"/>
    <n v="2000"/>
    <m/>
    <x v="1"/>
    <m/>
    <m/>
    <m/>
    <s v="South"/>
    <m/>
    <m/>
    <m/>
    <s v="SITARAM IRON AND STEEL PVT LTD"/>
    <n v="1801804"/>
    <s v="CRCA COIL-TATXXD-AU03-1X1250"/>
    <m/>
    <m/>
    <m/>
    <m/>
    <m/>
    <s v="C01"/>
    <s v="TATXXD"/>
    <s v="AU03"/>
    <n v="1"/>
    <n v="1250"/>
    <m/>
    <m/>
    <m/>
    <m/>
    <m/>
    <m/>
    <m/>
    <m/>
    <m/>
    <m/>
    <m/>
    <m/>
    <m/>
    <m/>
    <m/>
    <m/>
    <m/>
    <m/>
    <m/>
    <m/>
    <m/>
    <m/>
    <m/>
    <m/>
    <m/>
    <m/>
    <m/>
    <m/>
    <m/>
    <m/>
    <m/>
    <n v="10.5"/>
    <n v="0"/>
    <n v="0"/>
    <n v="0"/>
    <n v="0"/>
    <n v="0"/>
    <n v="0"/>
    <n v="0"/>
    <n v="0"/>
    <n v="0"/>
    <n v="0"/>
    <n v="0"/>
    <n v="0"/>
    <m/>
    <m/>
    <m/>
    <m/>
    <m/>
    <m/>
    <m/>
    <m/>
    <m/>
    <m/>
    <m/>
    <m/>
    <m/>
    <m/>
    <m/>
    <m/>
    <m/>
    <m/>
    <m/>
    <m/>
    <m/>
    <m/>
    <m/>
    <m/>
    <m/>
    <m/>
    <m/>
    <m/>
    <m/>
    <m/>
    <m/>
    <m/>
    <m/>
    <m/>
    <m/>
  </r>
  <r>
    <n v="744"/>
    <m/>
    <s v="ZBTC"/>
    <m/>
    <m/>
    <s v="9518700032-1"/>
    <s v="Stocks"/>
    <x v="4"/>
    <m/>
    <x v="2"/>
    <x v="3"/>
    <n v="1000"/>
    <m/>
    <x v="1"/>
    <m/>
    <m/>
    <m/>
    <s v="East"/>
    <m/>
    <m/>
    <m/>
    <s v="TATA BLUESCOPE STEEL PRIVATE L"/>
    <n v="3879501"/>
    <s v="PPGL C Y550 ISC6 0.45BMT(0.50TPT)X1220"/>
    <m/>
    <m/>
    <m/>
    <m/>
    <m/>
    <s v="B18"/>
    <s v="Y550PL"/>
    <s v="ISC6"/>
    <n v="0.45"/>
    <n v="1220"/>
    <m/>
    <m/>
    <m/>
    <m/>
    <m/>
    <m/>
    <m/>
    <m/>
    <m/>
    <m/>
    <m/>
    <m/>
    <m/>
    <m/>
    <m/>
    <m/>
    <m/>
    <m/>
    <m/>
    <m/>
    <m/>
    <m/>
    <m/>
    <m/>
    <m/>
    <m/>
    <m/>
    <m/>
    <m/>
    <m/>
    <m/>
    <n v="9.5399999999999991"/>
    <n v="0"/>
    <n v="0"/>
    <n v="0"/>
    <n v="0"/>
    <n v="0"/>
    <n v="0"/>
    <n v="0"/>
    <n v="0"/>
    <n v="0"/>
    <n v="0"/>
    <n v="0"/>
    <n v="0"/>
    <m/>
    <m/>
    <m/>
    <m/>
    <m/>
    <m/>
    <m/>
    <m/>
    <m/>
    <m/>
    <m/>
    <m/>
    <m/>
    <m/>
    <m/>
    <m/>
    <m/>
    <m/>
    <m/>
    <m/>
    <m/>
    <m/>
    <m/>
    <m/>
    <m/>
    <m/>
    <m/>
    <m/>
    <m/>
    <m/>
    <m/>
    <m/>
    <m/>
    <m/>
    <m/>
  </r>
  <r>
    <n v="744"/>
    <m/>
    <s v="ZBTC"/>
    <m/>
    <m/>
    <s v="9518700032-3"/>
    <s v="Stocks"/>
    <x v="4"/>
    <m/>
    <x v="2"/>
    <x v="3"/>
    <n v="1000"/>
    <m/>
    <x v="1"/>
    <m/>
    <m/>
    <m/>
    <s v="East"/>
    <m/>
    <m/>
    <m/>
    <s v="TATA BLUESCOPE STEEL PRIVATE L"/>
    <n v="3879501"/>
    <s v="PPGL C Y550 ISC6 0.45BMT(0.50TPT)X1220"/>
    <m/>
    <m/>
    <m/>
    <m/>
    <m/>
    <s v="B18"/>
    <s v="Y550PL"/>
    <s v="ISC6"/>
    <n v="0.45"/>
    <n v="1220"/>
    <m/>
    <m/>
    <m/>
    <m/>
    <m/>
    <m/>
    <m/>
    <m/>
    <m/>
    <m/>
    <m/>
    <m/>
    <m/>
    <m/>
    <m/>
    <m/>
    <m/>
    <m/>
    <m/>
    <m/>
    <m/>
    <m/>
    <m/>
    <m/>
    <m/>
    <m/>
    <m/>
    <m/>
    <m/>
    <m/>
    <m/>
    <n v="3.3149999999999999"/>
    <n v="0"/>
    <n v="0"/>
    <n v="0"/>
    <n v="0"/>
    <n v="0"/>
    <n v="0"/>
    <n v="0"/>
    <n v="0"/>
    <n v="0"/>
    <n v="0"/>
    <n v="0"/>
    <n v="0"/>
    <m/>
    <m/>
    <m/>
    <m/>
    <m/>
    <m/>
    <m/>
    <m/>
    <m/>
    <m/>
    <m/>
    <m/>
    <m/>
    <m/>
    <m/>
    <m/>
    <m/>
    <m/>
    <m/>
    <m/>
    <m/>
    <m/>
    <m/>
    <m/>
    <m/>
    <m/>
    <m/>
    <m/>
    <m/>
    <m/>
    <m/>
    <m/>
    <m/>
    <m/>
    <m/>
  </r>
  <r>
    <n v="742"/>
    <m/>
    <s v="ZBTC"/>
    <m/>
    <m/>
    <s v="9518703160-1"/>
    <s v="Stocks"/>
    <x v="4"/>
    <m/>
    <x v="1"/>
    <x v="2"/>
    <n v="2000"/>
    <m/>
    <x v="1"/>
    <m/>
    <m/>
    <m/>
    <s v="East"/>
    <m/>
    <m/>
    <m/>
    <s v="SAGAR STEELS"/>
    <n v="3240753"/>
    <s v="CRCA SHEET TSBCRC SR15 0.500X900X2500"/>
    <m/>
    <m/>
    <m/>
    <m/>
    <m/>
    <s v="C06"/>
    <s v="TSBCRC"/>
    <s v="SR15"/>
    <n v="0.5"/>
    <n v="900"/>
    <m/>
    <m/>
    <m/>
    <m/>
    <m/>
    <m/>
    <m/>
    <m/>
    <m/>
    <m/>
    <m/>
    <m/>
    <m/>
    <m/>
    <m/>
    <m/>
    <m/>
    <m/>
    <m/>
    <m/>
    <m/>
    <m/>
    <m/>
    <m/>
    <m/>
    <m/>
    <m/>
    <m/>
    <m/>
    <m/>
    <m/>
    <n v="13.365"/>
    <n v="0"/>
    <n v="0"/>
    <n v="0"/>
    <n v="0"/>
    <n v="0"/>
    <n v="0"/>
    <n v="0"/>
    <n v="0"/>
    <n v="0"/>
    <n v="0"/>
    <n v="0"/>
    <n v="0"/>
    <m/>
    <m/>
    <m/>
    <m/>
    <m/>
    <m/>
    <m/>
    <m/>
    <m/>
    <m/>
    <m/>
    <m/>
    <m/>
    <m/>
    <m/>
    <m/>
    <m/>
    <m/>
    <m/>
    <m/>
    <m/>
    <m/>
    <m/>
    <m/>
    <m/>
    <m/>
    <m/>
    <m/>
    <m/>
    <m/>
    <m/>
    <m/>
    <m/>
    <m/>
    <m/>
  </r>
  <r>
    <n v="742"/>
    <m/>
    <s v="ZBTO"/>
    <m/>
    <m/>
    <s v="9518713816-5"/>
    <s v="Stocks"/>
    <x v="4"/>
    <m/>
    <x v="1"/>
    <x v="1"/>
    <n v="2000"/>
    <m/>
    <x v="1"/>
    <m/>
    <m/>
    <m/>
    <s v="South"/>
    <m/>
    <m/>
    <m/>
    <s v="SRI BALAJI STEEL TRADERS"/>
    <n v="2334995"/>
    <s v="CRCA COIL TATXXD AU03 1.500X1250"/>
    <m/>
    <m/>
    <m/>
    <m/>
    <m/>
    <s v="C01"/>
    <s v="TATXXD"/>
    <s v="AU03"/>
    <n v="1.5"/>
    <n v="1250"/>
    <m/>
    <m/>
    <m/>
    <m/>
    <m/>
    <m/>
    <m/>
    <m/>
    <m/>
    <m/>
    <m/>
    <m/>
    <m/>
    <m/>
    <m/>
    <m/>
    <m/>
    <m/>
    <m/>
    <m/>
    <m/>
    <m/>
    <m/>
    <m/>
    <m/>
    <m/>
    <m/>
    <m/>
    <m/>
    <m/>
    <m/>
    <n v="9.6950000000000003"/>
    <n v="0"/>
    <n v="0"/>
    <n v="0"/>
    <n v="0"/>
    <n v="0"/>
    <n v="0"/>
    <n v="0"/>
    <n v="0"/>
    <n v="0"/>
    <n v="0"/>
    <n v="0"/>
    <n v="0"/>
    <m/>
    <m/>
    <m/>
    <m/>
    <m/>
    <m/>
    <m/>
    <m/>
    <m/>
    <m/>
    <m/>
    <m/>
    <m/>
    <m/>
    <m/>
    <m/>
    <m/>
    <m/>
    <m/>
    <m/>
    <m/>
    <m/>
    <m/>
    <m/>
    <m/>
    <m/>
    <m/>
    <m/>
    <m/>
    <m/>
    <m/>
    <m/>
    <m/>
    <m/>
    <m/>
  </r>
  <r>
    <n v="742"/>
    <m/>
    <s v="ZBTC"/>
    <m/>
    <m/>
    <s v="9518717040-22"/>
    <s v="Stocks"/>
    <x v="4"/>
    <m/>
    <x v="1"/>
    <x v="2"/>
    <n v="2000"/>
    <m/>
    <x v="1"/>
    <m/>
    <m/>
    <m/>
    <s v="East"/>
    <m/>
    <m/>
    <m/>
    <s v="BHARTIA  DISTRIBUTORS PVT. LTD"/>
    <n v="3240792"/>
    <s v="CRCA SHEET TSBCRC SR15 0.600X1250X2500"/>
    <m/>
    <m/>
    <m/>
    <m/>
    <m/>
    <s v="C06"/>
    <s v="TSBCRC"/>
    <s v="SR15"/>
    <n v="0.6"/>
    <n v="1250"/>
    <m/>
    <m/>
    <m/>
    <m/>
    <m/>
    <m/>
    <m/>
    <m/>
    <m/>
    <m/>
    <m/>
    <m/>
    <m/>
    <m/>
    <m/>
    <m/>
    <m/>
    <m/>
    <m/>
    <m/>
    <m/>
    <m/>
    <m/>
    <m/>
    <m/>
    <m/>
    <m/>
    <m/>
    <m/>
    <m/>
    <m/>
    <n v="2.7"/>
    <n v="0"/>
    <n v="0"/>
    <n v="0"/>
    <n v="0"/>
    <n v="0"/>
    <n v="0"/>
    <n v="0"/>
    <n v="0"/>
    <n v="0"/>
    <n v="0"/>
    <n v="0"/>
    <n v="0"/>
    <m/>
    <m/>
    <m/>
    <m/>
    <m/>
    <m/>
    <m/>
    <m/>
    <m/>
    <m/>
    <m/>
    <m/>
    <m/>
    <m/>
    <m/>
    <m/>
    <m/>
    <m/>
    <m/>
    <m/>
    <m/>
    <m/>
    <m/>
    <m/>
    <m/>
    <m/>
    <m/>
    <m/>
    <m/>
    <m/>
    <m/>
    <m/>
    <m/>
    <m/>
    <m/>
  </r>
  <r>
    <n v="742"/>
    <m/>
    <s v="ZBTC"/>
    <m/>
    <m/>
    <s v="9518717040-3"/>
    <s v="Stocks"/>
    <x v="4"/>
    <m/>
    <x v="1"/>
    <x v="1"/>
    <n v="2000"/>
    <m/>
    <x v="1"/>
    <m/>
    <m/>
    <m/>
    <s v="East"/>
    <m/>
    <m/>
    <m/>
    <s v="BHARTIA  DISTRIBUTORS PVT. LTD"/>
    <n v="274376"/>
    <s v="CRSHEET C06TATXXD AU03 2.0X1250X2500"/>
    <m/>
    <m/>
    <m/>
    <m/>
    <m/>
    <s v="C06"/>
    <s v="TATXXD"/>
    <s v="AU03"/>
    <n v="2"/>
    <n v="1250"/>
    <m/>
    <m/>
    <m/>
    <m/>
    <m/>
    <m/>
    <m/>
    <m/>
    <m/>
    <m/>
    <m/>
    <m/>
    <m/>
    <m/>
    <m/>
    <m/>
    <m/>
    <m/>
    <m/>
    <m/>
    <m/>
    <m/>
    <m/>
    <m/>
    <m/>
    <m/>
    <m/>
    <m/>
    <m/>
    <m/>
    <m/>
    <n v="2.93"/>
    <n v="0"/>
    <n v="0"/>
    <n v="0"/>
    <n v="0"/>
    <n v="0"/>
    <n v="0"/>
    <n v="0"/>
    <n v="0"/>
    <n v="0"/>
    <n v="0"/>
    <n v="0"/>
    <n v="0"/>
    <m/>
    <m/>
    <m/>
    <m/>
    <m/>
    <m/>
    <m/>
    <m/>
    <m/>
    <m/>
    <m/>
    <m/>
    <m/>
    <m/>
    <m/>
    <m/>
    <m/>
    <m/>
    <m/>
    <m/>
    <m/>
    <m/>
    <m/>
    <m/>
    <m/>
    <m/>
    <m/>
    <m/>
    <m/>
    <m/>
    <m/>
    <m/>
    <m/>
    <m/>
    <m/>
  </r>
  <r>
    <n v="742"/>
    <m/>
    <s v="ZBTC"/>
    <m/>
    <m/>
    <s v="9518717040-6"/>
    <s v="Stocks"/>
    <x v="4"/>
    <m/>
    <x v="1"/>
    <x v="1"/>
    <n v="2000"/>
    <m/>
    <x v="1"/>
    <m/>
    <m/>
    <m/>
    <s v="East"/>
    <m/>
    <m/>
    <m/>
    <s v="BHARTIA  DISTRIBUTORS PVT. LTD"/>
    <n v="1206324"/>
    <s v="CRCA SHEET TATXXD AU03 0.750X1250X2500"/>
    <m/>
    <m/>
    <m/>
    <m/>
    <m/>
    <s v="C06"/>
    <s v="TATXXD"/>
    <s v="AU03"/>
    <n v="0.75"/>
    <n v="1250"/>
    <m/>
    <m/>
    <m/>
    <m/>
    <m/>
    <m/>
    <m/>
    <m/>
    <m/>
    <m/>
    <m/>
    <m/>
    <m/>
    <m/>
    <m/>
    <m/>
    <m/>
    <m/>
    <m/>
    <m/>
    <m/>
    <m/>
    <m/>
    <m/>
    <m/>
    <m/>
    <m/>
    <m/>
    <m/>
    <m/>
    <m/>
    <n v="2.895"/>
    <n v="0"/>
    <n v="0"/>
    <n v="0"/>
    <n v="0"/>
    <n v="0"/>
    <n v="0"/>
    <n v="0"/>
    <n v="0"/>
    <n v="0"/>
    <n v="0"/>
    <n v="0"/>
    <n v="0"/>
    <m/>
    <m/>
    <m/>
    <m/>
    <m/>
    <m/>
    <m/>
    <m/>
    <m/>
    <m/>
    <m/>
    <m/>
    <m/>
    <m/>
    <m/>
    <m/>
    <m/>
    <m/>
    <m/>
    <m/>
    <m/>
    <m/>
    <m/>
    <m/>
    <m/>
    <m/>
    <m/>
    <m/>
    <m/>
    <m/>
    <m/>
    <m/>
    <m/>
    <m/>
    <m/>
  </r>
  <r>
    <n v="743"/>
    <m/>
    <s v="ZBTC"/>
    <m/>
    <m/>
    <s v="9518717476-13"/>
    <s v="Stocks"/>
    <x v="4"/>
    <m/>
    <x v="3"/>
    <x v="9"/>
    <n v="2000"/>
    <m/>
    <x v="1"/>
    <m/>
    <m/>
    <m/>
    <s v="East"/>
    <m/>
    <m/>
    <m/>
    <s v="BHARTIA  DISTRIBUTORS PVT. LTD"/>
    <n v="3484326"/>
    <s v="GP SH SOFT TATXGP GK09 0.400X900X2500"/>
    <m/>
    <m/>
    <m/>
    <m/>
    <m/>
    <s v="B11"/>
    <s v="TATXGP"/>
    <s v="GK09"/>
    <n v="0.4"/>
    <n v="900"/>
    <m/>
    <m/>
    <m/>
    <m/>
    <m/>
    <m/>
    <m/>
    <m/>
    <m/>
    <m/>
    <m/>
    <m/>
    <m/>
    <m/>
    <m/>
    <m/>
    <m/>
    <m/>
    <m/>
    <m/>
    <m/>
    <m/>
    <m/>
    <m/>
    <m/>
    <m/>
    <m/>
    <m/>
    <m/>
    <m/>
    <m/>
    <n v="3.16"/>
    <n v="0"/>
    <n v="0"/>
    <n v="0"/>
    <n v="0"/>
    <n v="0"/>
    <n v="0"/>
    <n v="0"/>
    <n v="0"/>
    <n v="0"/>
    <n v="0"/>
    <n v="0"/>
    <n v="0"/>
    <m/>
    <m/>
    <m/>
    <m/>
    <m/>
    <m/>
    <m/>
    <m/>
    <m/>
    <m/>
    <m/>
    <m/>
    <m/>
    <m/>
    <m/>
    <m/>
    <m/>
    <m/>
    <m/>
    <m/>
    <m/>
    <m/>
    <m/>
    <m/>
    <m/>
    <m/>
    <m/>
    <m/>
    <m/>
    <m/>
    <m/>
    <m/>
    <m/>
    <m/>
    <m/>
  </r>
  <r>
    <n v="743"/>
    <m/>
    <s v="ZBTC"/>
    <m/>
    <m/>
    <s v="9518717476-18"/>
    <s v="Stocks"/>
    <x v="4"/>
    <m/>
    <x v="3"/>
    <x v="9"/>
    <n v="2000"/>
    <m/>
    <x v="1"/>
    <m/>
    <m/>
    <m/>
    <s v="East"/>
    <m/>
    <m/>
    <m/>
    <s v="BHARTIA  DISTRIBUTORS PVT. LTD"/>
    <n v="1851133"/>
    <s v="GP SHEET SOFT-TATXGP-GK09-0.35X900"/>
    <m/>
    <m/>
    <m/>
    <m/>
    <m/>
    <s v="B11"/>
    <s v="TATXGP"/>
    <s v="GK09"/>
    <n v="0.35"/>
    <n v="900"/>
    <m/>
    <m/>
    <m/>
    <m/>
    <m/>
    <m/>
    <m/>
    <m/>
    <m/>
    <m/>
    <m/>
    <m/>
    <m/>
    <m/>
    <m/>
    <m/>
    <m/>
    <m/>
    <m/>
    <m/>
    <m/>
    <m/>
    <m/>
    <m/>
    <m/>
    <m/>
    <m/>
    <m/>
    <m/>
    <m/>
    <m/>
    <n v="2.6150000000000002"/>
    <n v="0"/>
    <n v="0"/>
    <n v="0"/>
    <n v="0"/>
    <n v="0"/>
    <n v="0"/>
    <n v="0"/>
    <n v="0"/>
    <n v="0"/>
    <n v="0"/>
    <n v="0"/>
    <n v="0"/>
    <m/>
    <m/>
    <m/>
    <m/>
    <m/>
    <m/>
    <m/>
    <m/>
    <m/>
    <m/>
    <m/>
    <m/>
    <m/>
    <m/>
    <m/>
    <m/>
    <m/>
    <m/>
    <m/>
    <m/>
    <m/>
    <m/>
    <m/>
    <m/>
    <m/>
    <m/>
    <m/>
    <m/>
    <m/>
    <m/>
    <m/>
    <m/>
    <m/>
    <m/>
    <m/>
  </r>
  <r>
    <n v="743"/>
    <m/>
    <s v="ZBTC"/>
    <m/>
    <m/>
    <s v="9518717476-20"/>
    <s v="Stocks"/>
    <x v="4"/>
    <m/>
    <x v="3"/>
    <x v="9"/>
    <n v="2000"/>
    <m/>
    <x v="1"/>
    <m/>
    <m/>
    <m/>
    <s v="East"/>
    <m/>
    <m/>
    <m/>
    <s v="BHARTIA  DISTRIBUTORS PVT. LTD"/>
    <n v="1851133"/>
    <s v="GP SHEET SOFT-TATXGP-GK09-0.35X900"/>
    <m/>
    <m/>
    <m/>
    <m/>
    <m/>
    <s v="B11"/>
    <s v="TATXGP"/>
    <s v="GK09"/>
    <n v="0.35"/>
    <n v="900"/>
    <m/>
    <m/>
    <m/>
    <m/>
    <m/>
    <m/>
    <m/>
    <m/>
    <m/>
    <m/>
    <m/>
    <m/>
    <m/>
    <m/>
    <m/>
    <m/>
    <m/>
    <m/>
    <m/>
    <m/>
    <m/>
    <m/>
    <m/>
    <m/>
    <m/>
    <m/>
    <m/>
    <m/>
    <m/>
    <m/>
    <m/>
    <n v="3.2450000000000001"/>
    <n v="0"/>
    <n v="0"/>
    <n v="0"/>
    <n v="0"/>
    <n v="0"/>
    <n v="0"/>
    <n v="0"/>
    <n v="0"/>
    <n v="0"/>
    <n v="0"/>
    <n v="0"/>
    <n v="0"/>
    <m/>
    <m/>
    <m/>
    <m/>
    <m/>
    <m/>
    <m/>
    <m/>
    <m/>
    <m/>
    <m/>
    <m/>
    <m/>
    <m/>
    <m/>
    <m/>
    <m/>
    <m/>
    <m/>
    <m/>
    <m/>
    <m/>
    <m/>
    <m/>
    <m/>
    <m/>
    <m/>
    <m/>
    <m/>
    <m/>
    <m/>
    <m/>
    <m/>
    <m/>
    <m/>
  </r>
  <r>
    <n v="743"/>
    <m/>
    <s v="ZBTC"/>
    <m/>
    <m/>
    <s v="9518717476-21"/>
    <s v="Stocks"/>
    <x v="4"/>
    <m/>
    <x v="3"/>
    <x v="9"/>
    <n v="2000"/>
    <m/>
    <x v="1"/>
    <m/>
    <m/>
    <m/>
    <s v="East"/>
    <m/>
    <m/>
    <m/>
    <s v="BHARTIA  DISTRIBUTORS PVT. LTD"/>
    <n v="1851133"/>
    <s v="GP SHEET SOFT-TATXGP-GK09-0.35X900"/>
    <m/>
    <m/>
    <m/>
    <m/>
    <m/>
    <s v="B11"/>
    <s v="TATXGP"/>
    <s v="GK09"/>
    <n v="0.35"/>
    <n v="900"/>
    <m/>
    <m/>
    <m/>
    <m/>
    <m/>
    <m/>
    <m/>
    <m/>
    <m/>
    <m/>
    <m/>
    <m/>
    <m/>
    <m/>
    <m/>
    <m/>
    <m/>
    <m/>
    <m/>
    <m/>
    <m/>
    <m/>
    <m/>
    <m/>
    <m/>
    <m/>
    <m/>
    <m/>
    <m/>
    <m/>
    <m/>
    <n v="3.25"/>
    <n v="0"/>
    <n v="0"/>
    <n v="0"/>
    <n v="0"/>
    <n v="0"/>
    <n v="0"/>
    <n v="0"/>
    <n v="0"/>
    <n v="0"/>
    <n v="0"/>
    <n v="0"/>
    <n v="0"/>
    <m/>
    <m/>
    <m/>
    <m/>
    <m/>
    <m/>
    <m/>
    <m/>
    <m/>
    <m/>
    <m/>
    <m/>
    <m/>
    <m/>
    <m/>
    <m/>
    <m/>
    <m/>
    <m/>
    <m/>
    <m/>
    <m/>
    <m/>
    <m/>
    <m/>
    <m/>
    <m/>
    <m/>
    <m/>
    <m/>
    <m/>
    <m/>
    <m/>
    <m/>
    <m/>
  </r>
  <r>
    <n v="743"/>
    <m/>
    <s v="ZBTC"/>
    <m/>
    <m/>
    <s v="9518717476-4"/>
    <s v="Stocks"/>
    <x v="4"/>
    <m/>
    <x v="3"/>
    <x v="9"/>
    <n v="2000"/>
    <m/>
    <x v="1"/>
    <m/>
    <m/>
    <m/>
    <s v="East"/>
    <m/>
    <m/>
    <m/>
    <s v="BHARTIA  DISTRIBUTORS PVT. LTD"/>
    <n v="1854424"/>
    <s v="GP COIL SOFT-TATXGP-GK09-0.6X900"/>
    <m/>
    <m/>
    <m/>
    <m/>
    <m/>
    <s v="C02"/>
    <s v="TATXGP"/>
    <s v="GK09"/>
    <n v="0.6"/>
    <n v="900"/>
    <m/>
    <m/>
    <m/>
    <m/>
    <m/>
    <m/>
    <m/>
    <m/>
    <m/>
    <m/>
    <m/>
    <m/>
    <m/>
    <m/>
    <m/>
    <m/>
    <m/>
    <m/>
    <m/>
    <m/>
    <m/>
    <m/>
    <m/>
    <m/>
    <m/>
    <m/>
    <m/>
    <m/>
    <m/>
    <m/>
    <m/>
    <n v="8.43"/>
    <n v="0"/>
    <n v="0"/>
    <n v="0"/>
    <n v="0"/>
    <n v="0"/>
    <n v="0"/>
    <n v="0"/>
    <n v="0"/>
    <n v="0"/>
    <n v="0"/>
    <n v="0"/>
    <n v="0"/>
    <m/>
    <m/>
    <m/>
    <m/>
    <m/>
    <m/>
    <m/>
    <m/>
    <m/>
    <m/>
    <m/>
    <m/>
    <m/>
    <m/>
    <m/>
    <m/>
    <m/>
    <m/>
    <m/>
    <m/>
    <m/>
    <m/>
    <m/>
    <m/>
    <m/>
    <m/>
    <m/>
    <m/>
    <m/>
    <m/>
    <m/>
    <m/>
    <m/>
    <m/>
    <m/>
  </r>
  <r>
    <n v="743"/>
    <m/>
    <s v="ZBTC"/>
    <m/>
    <m/>
    <s v="9518717476-5"/>
    <s v="Stocks"/>
    <x v="4"/>
    <m/>
    <x v="3"/>
    <x v="9"/>
    <n v="2000"/>
    <m/>
    <x v="1"/>
    <m/>
    <m/>
    <m/>
    <s v="East"/>
    <m/>
    <m/>
    <m/>
    <s v="BHARTIA  DISTRIBUTORS PVT. LTD"/>
    <n v="1854424"/>
    <s v="GP COIL SOFT-TATXGP-GK09-0.6X900"/>
    <m/>
    <m/>
    <m/>
    <m/>
    <m/>
    <s v="C02"/>
    <s v="TATXGP"/>
    <s v="GK09"/>
    <n v="0.6"/>
    <n v="900"/>
    <m/>
    <m/>
    <m/>
    <m/>
    <m/>
    <m/>
    <m/>
    <m/>
    <m/>
    <m/>
    <m/>
    <m/>
    <m/>
    <m/>
    <m/>
    <m/>
    <m/>
    <m/>
    <m/>
    <m/>
    <m/>
    <m/>
    <m/>
    <m/>
    <m/>
    <m/>
    <m/>
    <m/>
    <m/>
    <m/>
    <m/>
    <n v="9.6349999999999998"/>
    <n v="0"/>
    <n v="0"/>
    <n v="0"/>
    <n v="0"/>
    <n v="0"/>
    <n v="0"/>
    <n v="0"/>
    <n v="0"/>
    <n v="0"/>
    <n v="0"/>
    <n v="0"/>
    <n v="0"/>
    <m/>
    <m/>
    <m/>
    <m/>
    <m/>
    <m/>
    <m/>
    <m/>
    <m/>
    <m/>
    <m/>
    <m/>
    <m/>
    <m/>
    <m/>
    <m/>
    <m/>
    <m/>
    <m/>
    <m/>
    <m/>
    <m/>
    <m/>
    <m/>
    <m/>
    <m/>
    <m/>
    <m/>
    <m/>
    <m/>
    <m/>
    <m/>
    <m/>
    <m/>
    <m/>
  </r>
  <r>
    <n v="743"/>
    <m/>
    <s v="ZBTC"/>
    <m/>
    <m/>
    <s v="9518717476-7"/>
    <s v="Stocks"/>
    <x v="4"/>
    <m/>
    <x v="3"/>
    <x v="9"/>
    <n v="2000"/>
    <m/>
    <x v="1"/>
    <m/>
    <m/>
    <m/>
    <s v="East"/>
    <m/>
    <m/>
    <m/>
    <s v="BHARTIA  DISTRIBUTORS PVT. LTD"/>
    <n v="1854424"/>
    <s v="GP COIL SOFT-TATXGP-GK09-0.6X900"/>
    <m/>
    <m/>
    <m/>
    <m/>
    <m/>
    <s v="C02"/>
    <s v="TATXGP"/>
    <s v="GK09"/>
    <n v="0.6"/>
    <n v="900"/>
    <m/>
    <m/>
    <m/>
    <m/>
    <m/>
    <m/>
    <m/>
    <m/>
    <m/>
    <m/>
    <m/>
    <m/>
    <m/>
    <m/>
    <m/>
    <m/>
    <m/>
    <m/>
    <m/>
    <m/>
    <m/>
    <m/>
    <m/>
    <m/>
    <m/>
    <m/>
    <m/>
    <m/>
    <m/>
    <m/>
    <m/>
    <n v="9.52"/>
    <n v="0"/>
    <n v="0"/>
    <n v="0"/>
    <n v="0"/>
    <n v="0"/>
    <n v="0"/>
    <n v="0"/>
    <n v="0"/>
    <n v="0"/>
    <n v="0"/>
    <n v="0"/>
    <n v="0"/>
    <m/>
    <m/>
    <m/>
    <m/>
    <m/>
    <m/>
    <m/>
    <m/>
    <m/>
    <m/>
    <m/>
    <m/>
    <m/>
    <m/>
    <m/>
    <m/>
    <m/>
    <m/>
    <m/>
    <m/>
    <m/>
    <m/>
    <m/>
    <m/>
    <m/>
    <m/>
    <m/>
    <m/>
    <m/>
    <m/>
    <m/>
    <m/>
    <m/>
    <m/>
    <m/>
  </r>
  <r>
    <n v="743"/>
    <m/>
    <s v="ZBTC"/>
    <m/>
    <m/>
    <s v="9518717476-8"/>
    <s v="Stocks"/>
    <x v="4"/>
    <m/>
    <x v="3"/>
    <x v="9"/>
    <n v="2000"/>
    <m/>
    <x v="1"/>
    <m/>
    <m/>
    <m/>
    <s v="East"/>
    <m/>
    <m/>
    <m/>
    <s v="BHARTIA  DISTRIBUTORS PVT. LTD"/>
    <n v="1854424"/>
    <s v="GP COIL SOFT-TATXGP-GK09-0.6X900"/>
    <m/>
    <m/>
    <m/>
    <m/>
    <m/>
    <s v="C02"/>
    <s v="TATXGP"/>
    <s v="GK09"/>
    <n v="0.6"/>
    <n v="900"/>
    <m/>
    <m/>
    <m/>
    <m/>
    <m/>
    <m/>
    <m/>
    <m/>
    <m/>
    <m/>
    <m/>
    <m/>
    <m/>
    <m/>
    <m/>
    <m/>
    <m/>
    <m/>
    <m/>
    <m/>
    <m/>
    <m/>
    <m/>
    <m/>
    <m/>
    <m/>
    <m/>
    <m/>
    <m/>
    <m/>
    <m/>
    <n v="9.5150000000000006"/>
    <n v="0"/>
    <n v="0"/>
    <n v="0"/>
    <n v="0"/>
    <n v="0"/>
    <n v="0"/>
    <n v="0"/>
    <n v="0"/>
    <n v="0"/>
    <n v="0"/>
    <n v="0"/>
    <n v="0"/>
    <m/>
    <m/>
    <m/>
    <m/>
    <m/>
    <m/>
    <m/>
    <m/>
    <m/>
    <m/>
    <m/>
    <m/>
    <m/>
    <m/>
    <m/>
    <m/>
    <m/>
    <m/>
    <m/>
    <m/>
    <m/>
    <m/>
    <m/>
    <m/>
    <m/>
    <m/>
    <m/>
    <m/>
    <m/>
    <m/>
    <m/>
    <m/>
    <m/>
    <m/>
    <m/>
  </r>
  <r>
    <n v="742"/>
    <m/>
    <s v="ZBTC"/>
    <m/>
    <m/>
    <s v="9518719583-1"/>
    <s v="Stocks"/>
    <x v="4"/>
    <m/>
    <x v="1"/>
    <x v="2"/>
    <n v="2000"/>
    <m/>
    <x v="1"/>
    <m/>
    <m/>
    <m/>
    <s v="East"/>
    <m/>
    <m/>
    <m/>
    <s v="SAGAR STEELS"/>
    <n v="3240849"/>
    <s v="CRCA SHEET TSBCRC SR15 1.200X1250X2500"/>
    <m/>
    <m/>
    <m/>
    <m/>
    <m/>
    <s v="C06"/>
    <s v="TSBCRC"/>
    <s v="SR15"/>
    <n v="1.2"/>
    <n v="1250"/>
    <m/>
    <m/>
    <m/>
    <m/>
    <m/>
    <m/>
    <m/>
    <m/>
    <m/>
    <m/>
    <m/>
    <m/>
    <m/>
    <m/>
    <m/>
    <m/>
    <m/>
    <m/>
    <m/>
    <m/>
    <m/>
    <m/>
    <m/>
    <m/>
    <m/>
    <m/>
    <m/>
    <m/>
    <m/>
    <m/>
    <m/>
    <n v="2.7450000000000001"/>
    <n v="0"/>
    <n v="0"/>
    <n v="0"/>
    <n v="0"/>
    <n v="0"/>
    <n v="0"/>
    <n v="0"/>
    <n v="0"/>
    <n v="0"/>
    <n v="0"/>
    <n v="0"/>
    <n v="0"/>
    <m/>
    <m/>
    <m/>
    <m/>
    <m/>
    <m/>
    <m/>
    <m/>
    <m/>
    <m/>
    <m/>
    <m/>
    <m/>
    <m/>
    <m/>
    <m/>
    <m/>
    <m/>
    <m/>
    <m/>
    <m/>
    <m/>
    <m/>
    <m/>
    <m/>
    <m/>
    <m/>
    <m/>
    <m/>
    <m/>
    <m/>
    <m/>
    <m/>
    <m/>
    <m/>
  </r>
  <r>
    <n v="742"/>
    <m/>
    <s v="ZBTC"/>
    <m/>
    <m/>
    <s v="9518719583-2"/>
    <s v="Stocks"/>
    <x v="4"/>
    <m/>
    <x v="1"/>
    <x v="2"/>
    <n v="2000"/>
    <m/>
    <x v="1"/>
    <m/>
    <m/>
    <m/>
    <s v="East"/>
    <m/>
    <m/>
    <m/>
    <s v="SAGAR STEELS"/>
    <n v="3240851"/>
    <s v="CRCA SHEET TSBCRC SR15 1.200X1250X2500"/>
    <m/>
    <m/>
    <m/>
    <m/>
    <m/>
    <s v="C06"/>
    <s v="TSBCRC"/>
    <s v="SR15"/>
    <n v="1.2"/>
    <n v="1250"/>
    <m/>
    <m/>
    <m/>
    <m/>
    <m/>
    <m/>
    <m/>
    <m/>
    <m/>
    <m/>
    <m/>
    <m/>
    <m/>
    <m/>
    <m/>
    <m/>
    <m/>
    <m/>
    <m/>
    <m/>
    <m/>
    <m/>
    <m/>
    <m/>
    <m/>
    <m/>
    <m/>
    <m/>
    <m/>
    <m/>
    <m/>
    <n v="2.76"/>
    <n v="0"/>
    <n v="0"/>
    <n v="0"/>
    <n v="0"/>
    <n v="0"/>
    <n v="0"/>
    <n v="0"/>
    <n v="0"/>
    <n v="0"/>
    <n v="0"/>
    <n v="0"/>
    <n v="0"/>
    <m/>
    <m/>
    <m/>
    <m/>
    <m/>
    <m/>
    <m/>
    <m/>
    <m/>
    <m/>
    <m/>
    <m/>
    <m/>
    <m/>
    <m/>
    <m/>
    <m/>
    <m/>
    <m/>
    <m/>
    <m/>
    <m/>
    <m/>
    <m/>
    <m/>
    <m/>
    <m/>
    <m/>
    <m/>
    <m/>
    <m/>
    <m/>
    <m/>
    <m/>
    <m/>
  </r>
  <r>
    <n v="742"/>
    <m/>
    <s v="ZBTC"/>
    <m/>
    <m/>
    <s v="9518729536-1"/>
    <s v="Stocks"/>
    <x v="4"/>
    <m/>
    <x v="1"/>
    <x v="1"/>
    <n v="2000"/>
    <m/>
    <x v="1"/>
    <m/>
    <m/>
    <m/>
    <s v="South"/>
    <m/>
    <m/>
    <m/>
    <s v="G K ISPAT PRIVATE LIMITED"/>
    <n v="1804908"/>
    <s v="CRCA COIL TATCRC TR15 0.5X1250"/>
    <m/>
    <m/>
    <m/>
    <m/>
    <m/>
    <s v="C01"/>
    <s v="TATCRC"/>
    <s v="TR15"/>
    <n v="0.5"/>
    <n v="1250"/>
    <m/>
    <m/>
    <m/>
    <m/>
    <m/>
    <m/>
    <m/>
    <m/>
    <m/>
    <m/>
    <m/>
    <m/>
    <m/>
    <m/>
    <m/>
    <m/>
    <m/>
    <m/>
    <m/>
    <m/>
    <m/>
    <m/>
    <m/>
    <m/>
    <m/>
    <m/>
    <m/>
    <m/>
    <m/>
    <m/>
    <m/>
    <n v="21.954999999999998"/>
    <n v="0"/>
    <n v="0"/>
    <n v="0"/>
    <n v="0"/>
    <n v="0"/>
    <n v="0"/>
    <n v="0"/>
    <n v="0"/>
    <n v="0"/>
    <n v="0"/>
    <n v="0"/>
    <n v="0"/>
    <m/>
    <m/>
    <m/>
    <m/>
    <m/>
    <m/>
    <m/>
    <m/>
    <m/>
    <m/>
    <m/>
    <m/>
    <m/>
    <m/>
    <m/>
    <m/>
    <m/>
    <m/>
    <m/>
    <m/>
    <m/>
    <m/>
    <m/>
    <m/>
    <m/>
    <m/>
    <m/>
    <m/>
    <m/>
    <m/>
    <m/>
    <m/>
    <m/>
    <m/>
    <m/>
  </r>
  <r>
    <n v="743"/>
    <m/>
    <s v="ZBTC"/>
    <m/>
    <m/>
    <s v="9518731172-2"/>
    <s v="Stocks"/>
    <x v="4"/>
    <m/>
    <x v="3"/>
    <x v="0"/>
    <n v="2000"/>
    <m/>
    <x v="1"/>
    <m/>
    <m/>
    <m/>
    <s v="North"/>
    <m/>
    <m/>
    <m/>
    <s v="SHEYRUB AGENCIES"/>
    <n v="3897429"/>
    <s v="GP COIL XXXGPH GPH3 0.350X900"/>
    <m/>
    <m/>
    <m/>
    <m/>
    <m/>
    <s v="C05"/>
    <s v="XXXGPH"/>
    <s v="GPH3"/>
    <n v="0.35"/>
    <n v="900"/>
    <m/>
    <m/>
    <m/>
    <m/>
    <m/>
    <m/>
    <m/>
    <m/>
    <m/>
    <m/>
    <m/>
    <m/>
    <m/>
    <m/>
    <m/>
    <m/>
    <m/>
    <m/>
    <m/>
    <m/>
    <m/>
    <m/>
    <m/>
    <m/>
    <m/>
    <m/>
    <m/>
    <m/>
    <m/>
    <m/>
    <m/>
    <n v="4.1399999999999997"/>
    <n v="0"/>
    <n v="0"/>
    <n v="0"/>
    <n v="0"/>
    <n v="0"/>
    <n v="0"/>
    <n v="0"/>
    <n v="0"/>
    <n v="0"/>
    <n v="0"/>
    <n v="0"/>
    <n v="0"/>
    <m/>
    <m/>
    <m/>
    <m/>
    <m/>
    <m/>
    <m/>
    <m/>
    <m/>
    <m/>
    <m/>
    <m/>
    <m/>
    <m/>
    <m/>
    <m/>
    <m/>
    <m/>
    <m/>
    <m/>
    <m/>
    <m/>
    <m/>
    <m/>
    <m/>
    <m/>
    <m/>
    <m/>
    <m/>
    <m/>
    <m/>
    <m/>
    <m/>
    <m/>
    <m/>
  </r>
  <r>
    <n v="743"/>
    <m/>
    <s v="ZBTC"/>
    <m/>
    <m/>
    <s v="9518731172-3"/>
    <s v="Stocks"/>
    <x v="4"/>
    <m/>
    <x v="3"/>
    <x v="0"/>
    <n v="2000"/>
    <m/>
    <x v="1"/>
    <m/>
    <m/>
    <m/>
    <s v="North"/>
    <m/>
    <m/>
    <m/>
    <s v="SHEYRUB AGENCIES"/>
    <n v="3897430"/>
    <s v="GP COIL XXXGPH GPH3 0.400X900"/>
    <m/>
    <m/>
    <m/>
    <m/>
    <m/>
    <s v="C05"/>
    <s v="XXXGPH"/>
    <s v="GPH3"/>
    <n v="0.4"/>
    <n v="900"/>
    <m/>
    <m/>
    <m/>
    <m/>
    <m/>
    <m/>
    <m/>
    <m/>
    <m/>
    <m/>
    <m/>
    <m/>
    <m/>
    <m/>
    <m/>
    <m/>
    <m/>
    <m/>
    <m/>
    <m/>
    <m/>
    <m/>
    <m/>
    <m/>
    <m/>
    <m/>
    <m/>
    <m/>
    <m/>
    <m/>
    <m/>
    <n v="14.9"/>
    <n v="0"/>
    <n v="0"/>
    <n v="0"/>
    <n v="0"/>
    <n v="0"/>
    <n v="0"/>
    <n v="0"/>
    <n v="0"/>
    <n v="0"/>
    <n v="0"/>
    <n v="0"/>
    <n v="0"/>
    <m/>
    <m/>
    <m/>
    <m/>
    <m/>
    <m/>
    <m/>
    <m/>
    <m/>
    <m/>
    <m/>
    <m/>
    <m/>
    <m/>
    <m/>
    <m/>
    <m/>
    <m/>
    <m/>
    <m/>
    <m/>
    <m/>
    <m/>
    <m/>
    <m/>
    <m/>
    <m/>
    <m/>
    <m/>
    <m/>
    <m/>
    <m/>
    <m/>
    <m/>
    <m/>
  </r>
  <r>
    <n v="743"/>
    <m/>
    <s v="ZBTC"/>
    <m/>
    <m/>
    <s v="9518731172-4"/>
    <s v="Stocks"/>
    <x v="4"/>
    <m/>
    <x v="3"/>
    <x v="0"/>
    <n v="2000"/>
    <m/>
    <x v="1"/>
    <m/>
    <m/>
    <m/>
    <s v="North"/>
    <m/>
    <m/>
    <m/>
    <s v="SHEYRUB AGENCIES"/>
    <n v="3897501"/>
    <s v="GP COIL XXXGPH GPH3 0.500X900"/>
    <m/>
    <m/>
    <m/>
    <m/>
    <m/>
    <s v="C05"/>
    <s v="XXXGPH"/>
    <s v="GPH3"/>
    <n v="0.5"/>
    <n v="900"/>
    <m/>
    <m/>
    <m/>
    <m/>
    <m/>
    <m/>
    <m/>
    <m/>
    <m/>
    <m/>
    <m/>
    <m/>
    <m/>
    <m/>
    <m/>
    <m/>
    <m/>
    <m/>
    <m/>
    <m/>
    <m/>
    <m/>
    <m/>
    <m/>
    <m/>
    <m/>
    <m/>
    <m/>
    <m/>
    <m/>
    <m/>
    <n v="14.57"/>
    <n v="0"/>
    <n v="0"/>
    <n v="0"/>
    <n v="0"/>
    <n v="0"/>
    <n v="0"/>
    <n v="0"/>
    <n v="0"/>
    <n v="0"/>
    <n v="0"/>
    <n v="0"/>
    <n v="0"/>
    <m/>
    <m/>
    <m/>
    <m/>
    <m/>
    <m/>
    <m/>
    <m/>
    <m/>
    <m/>
    <m/>
    <m/>
    <m/>
    <m/>
    <m/>
    <m/>
    <m/>
    <m/>
    <m/>
    <m/>
    <m/>
    <m/>
    <m/>
    <m/>
    <m/>
    <m/>
    <m/>
    <m/>
    <m/>
    <m/>
    <m/>
    <m/>
    <m/>
    <m/>
    <m/>
  </r>
  <r>
    <n v="744"/>
    <m/>
    <s v="ZBTC"/>
    <m/>
    <m/>
    <s v="9518733658-2"/>
    <s v="Stocks"/>
    <x v="4"/>
    <m/>
    <x v="2"/>
    <x v="3"/>
    <n v="1000"/>
    <m/>
    <x v="1"/>
    <m/>
    <m/>
    <m/>
    <s v="East"/>
    <m/>
    <m/>
    <m/>
    <s v="TATA BLUESCOPE STEEL PRIVATE L"/>
    <n v="3837002"/>
    <s v="PPGL C YS550 HPL8 0.30BMT(0.35TPT)X1220"/>
    <m/>
    <m/>
    <m/>
    <m/>
    <m/>
    <s v="B18"/>
    <s v="Y550PL"/>
    <s v="HPL8"/>
    <n v="0.3"/>
    <n v="1220"/>
    <m/>
    <m/>
    <m/>
    <m/>
    <m/>
    <m/>
    <m/>
    <m/>
    <m/>
    <m/>
    <m/>
    <m/>
    <m/>
    <m/>
    <m/>
    <m/>
    <m/>
    <m/>
    <m/>
    <m/>
    <m/>
    <m/>
    <m/>
    <m/>
    <m/>
    <m/>
    <m/>
    <m/>
    <m/>
    <m/>
    <m/>
    <n v="4.585"/>
    <n v="0"/>
    <n v="0"/>
    <n v="0"/>
    <n v="0"/>
    <n v="0"/>
    <n v="0"/>
    <n v="0"/>
    <n v="0"/>
    <n v="0"/>
    <n v="0"/>
    <n v="0"/>
    <n v="0"/>
    <m/>
    <m/>
    <m/>
    <m/>
    <m/>
    <m/>
    <m/>
    <m/>
    <m/>
    <m/>
    <m/>
    <m/>
    <m/>
    <m/>
    <m/>
    <m/>
    <m/>
    <m/>
    <m/>
    <m/>
    <m/>
    <m/>
    <m/>
    <m/>
    <m/>
    <m/>
    <m/>
    <m/>
    <m/>
    <m/>
    <m/>
    <m/>
    <m/>
    <m/>
    <m/>
  </r>
  <r>
    <n v="744"/>
    <m/>
    <s v="ZBTC"/>
    <m/>
    <m/>
    <s v="9518733658-3"/>
    <s v="Stocks"/>
    <x v="4"/>
    <m/>
    <x v="2"/>
    <x v="3"/>
    <n v="1000"/>
    <m/>
    <x v="1"/>
    <m/>
    <m/>
    <m/>
    <s v="East"/>
    <m/>
    <m/>
    <m/>
    <s v="TATA BLUESCOPE STEEL PRIVATE L"/>
    <n v="1640840"/>
    <s v="PPGL C Y550 HPL3 0.45BMT(0.53TPT)X1220"/>
    <m/>
    <m/>
    <m/>
    <m/>
    <m/>
    <s v="B18"/>
    <s v="Y550PL"/>
    <s v="HPL3"/>
    <n v="0.45"/>
    <n v="1220"/>
    <m/>
    <m/>
    <m/>
    <m/>
    <m/>
    <m/>
    <m/>
    <m/>
    <m/>
    <m/>
    <m/>
    <m/>
    <m/>
    <m/>
    <m/>
    <m/>
    <m/>
    <m/>
    <m/>
    <m/>
    <m/>
    <m/>
    <m/>
    <m/>
    <m/>
    <m/>
    <m/>
    <m/>
    <m/>
    <m/>
    <m/>
    <n v="9.68"/>
    <n v="0"/>
    <n v="0"/>
    <n v="0"/>
    <n v="0"/>
    <n v="0"/>
    <n v="0"/>
    <n v="0"/>
    <n v="0"/>
    <n v="0"/>
    <n v="0"/>
    <n v="0"/>
    <n v="0"/>
    <m/>
    <m/>
    <m/>
    <m/>
    <m/>
    <m/>
    <m/>
    <m/>
    <m/>
    <m/>
    <m/>
    <m/>
    <m/>
    <m/>
    <m/>
    <m/>
    <m/>
    <m/>
    <m/>
    <m/>
    <m/>
    <m/>
    <m/>
    <m/>
    <m/>
    <m/>
    <m/>
    <m/>
    <m/>
    <m/>
    <m/>
    <m/>
    <m/>
    <m/>
    <m/>
  </r>
  <r>
    <n v="742"/>
    <m/>
    <s v="ZBTC"/>
    <m/>
    <m/>
    <s v="9518733687-1"/>
    <s v="Stocks"/>
    <x v="4"/>
    <m/>
    <x v="1"/>
    <x v="1"/>
    <n v="2000"/>
    <m/>
    <x v="1"/>
    <m/>
    <m/>
    <m/>
    <s v="South"/>
    <m/>
    <m/>
    <m/>
    <s v="RAVINDRA IRON WORKS"/>
    <n v="2334995"/>
    <s v="CRCA COIL TATXXD AU03 1.500X1250"/>
    <m/>
    <m/>
    <m/>
    <m/>
    <m/>
    <s v="C01"/>
    <s v="TATXXD"/>
    <s v="AU03"/>
    <n v="1.5"/>
    <n v="1250"/>
    <m/>
    <m/>
    <m/>
    <m/>
    <m/>
    <m/>
    <m/>
    <m/>
    <m/>
    <m/>
    <m/>
    <m/>
    <m/>
    <m/>
    <m/>
    <m/>
    <m/>
    <m/>
    <m/>
    <m/>
    <m/>
    <m/>
    <m/>
    <m/>
    <m/>
    <m/>
    <m/>
    <m/>
    <m/>
    <m/>
    <m/>
    <n v="25.91"/>
    <n v="0"/>
    <n v="0"/>
    <n v="0"/>
    <n v="0"/>
    <n v="0"/>
    <n v="0"/>
    <n v="0"/>
    <n v="0"/>
    <n v="0"/>
    <n v="0"/>
    <n v="0"/>
    <n v="0"/>
    <m/>
    <m/>
    <m/>
    <m/>
    <m/>
    <m/>
    <m/>
    <m/>
    <m/>
    <m/>
    <m/>
    <m/>
    <m/>
    <m/>
    <m/>
    <m/>
    <m/>
    <m/>
    <m/>
    <m/>
    <m/>
    <m/>
    <m/>
    <m/>
    <m/>
    <m/>
    <m/>
    <m/>
    <m/>
    <m/>
    <m/>
    <m/>
    <m/>
    <m/>
    <m/>
  </r>
  <r>
    <n v="743"/>
    <m/>
    <s v="ZBTC"/>
    <m/>
    <m/>
    <s v="9518737119-1"/>
    <s v="Stocks"/>
    <x v="4"/>
    <m/>
    <x v="3"/>
    <x v="4"/>
    <n v="2000"/>
    <m/>
    <x v="1"/>
    <m/>
    <m/>
    <m/>
    <s v="East"/>
    <m/>
    <m/>
    <m/>
    <s v="BAJRANG STEEL (SALES) CORPORAT"/>
    <n v="3767487"/>
    <s v="GP COIL TATGPH GP02 0.630X1350"/>
    <m/>
    <m/>
    <m/>
    <m/>
    <m/>
    <s v="C05"/>
    <s v="TATGPH"/>
    <s v="GP02"/>
    <n v="0.63"/>
    <n v="1350"/>
    <m/>
    <m/>
    <m/>
    <m/>
    <m/>
    <m/>
    <m/>
    <m/>
    <m/>
    <m/>
    <m/>
    <m/>
    <m/>
    <m/>
    <m/>
    <m/>
    <m/>
    <m/>
    <m/>
    <m/>
    <m/>
    <m/>
    <m/>
    <m/>
    <m/>
    <m/>
    <m/>
    <m/>
    <m/>
    <m/>
    <m/>
    <n v="29.68"/>
    <n v="0"/>
    <n v="0"/>
    <n v="0"/>
    <n v="0"/>
    <n v="0"/>
    <n v="0"/>
    <n v="0"/>
    <n v="0"/>
    <n v="0"/>
    <n v="0"/>
    <n v="0"/>
    <n v="0"/>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80">
  <r>
    <n v="742"/>
    <d v="2025-01-06T00:00:00"/>
    <x v="0"/>
    <n v="9518407181"/>
    <n v="3"/>
    <s v="9518407181-3"/>
    <s v="No Priority"/>
    <x v="0"/>
    <m/>
    <x v="0"/>
    <x v="0"/>
    <x v="0"/>
    <m/>
    <x v="0"/>
    <m/>
    <m/>
    <s v="Maharashtra"/>
    <s v="West"/>
    <s v="NAGPUR"/>
    <x v="0"/>
    <x v="0"/>
    <x v="0"/>
    <x v="0"/>
    <s v="HR COILS-PO IS 1079 HR2 3.0X1250"/>
    <s v=" "/>
    <s v=""/>
    <n v="25"/>
    <n v="35"/>
    <s v="Wider"/>
    <x v="0"/>
    <x v="0"/>
    <s v="HR99"/>
    <x v="0"/>
    <x v="0"/>
    <x v="0"/>
    <n v="260.99"/>
    <n v="219.78"/>
    <n v="41.21"/>
    <n v="-7.47"/>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8T00:00:00"/>
    <x v="0"/>
    <n v="9518413981"/>
    <n v="1"/>
    <s v="9518413981-1"/>
    <s v="No Priority"/>
    <x v="0"/>
    <m/>
    <x v="1"/>
    <x v="1"/>
    <x v="0"/>
    <m/>
    <x v="0"/>
    <m/>
    <m/>
    <s v="Punjab"/>
    <s v="North"/>
    <s v="DERABASSI"/>
    <x v="0"/>
    <x v="1"/>
    <x v="1"/>
    <x v="1"/>
    <s v="CRCA COIL TATCRC TR15 0.5X1250"/>
    <s v=" "/>
    <s v=""/>
    <n v="7"/>
    <n v="14"/>
    <s v="Wider"/>
    <x v="1"/>
    <x v="1"/>
    <s v="TR15"/>
    <x v="1"/>
    <x v="0"/>
    <x v="0"/>
    <n v="290"/>
    <n v="240.48500000000001"/>
    <n v="49.515000000000001"/>
    <n v="-3.72"/>
    <n v="0"/>
    <n v="0"/>
    <n v="0"/>
    <n v="0"/>
    <n v="0"/>
    <n v="0"/>
    <n v="0"/>
    <n v="0"/>
    <n v="0"/>
    <n v="0"/>
    <n v="0"/>
    <n v="0"/>
    <n v="0"/>
    <n v="0"/>
    <n v="0"/>
    <n v="0"/>
    <n v="0"/>
    <n v="0"/>
    <n v="0"/>
    <n v="0"/>
    <n v="0"/>
    <n v="0"/>
    <n v="0"/>
    <n v="0"/>
    <n v="0"/>
    <n v="0"/>
    <n v="0"/>
    <n v="0"/>
    <n v="0"/>
    <n v="0"/>
    <n v="0"/>
    <n v="0"/>
    <n v="0"/>
    <n v="0"/>
    <n v="0"/>
    <n v="0"/>
    <n v="0"/>
    <n v="0"/>
    <n v="0"/>
    <n v="0"/>
    <n v="215.93999999999997"/>
    <n v="0"/>
    <n v="0"/>
    <n v="0"/>
    <n v="0"/>
    <n v="0"/>
    <n v="215.93999999999997"/>
    <m/>
    <m/>
    <m/>
    <m/>
    <m/>
    <m/>
    <m/>
    <m/>
    <s v="1"/>
    <s v="1"/>
    <s v="1"/>
    <s v="1"/>
    <s v="1"/>
    <m/>
    <m/>
    <m/>
    <m/>
    <m/>
    <m/>
    <m/>
    <m/>
    <m/>
    <m/>
    <m/>
    <m/>
    <m/>
    <m/>
  </r>
  <r>
    <n v="742"/>
    <d v="2025-01-07T00:00:00"/>
    <x v="0"/>
    <n v="9518410318"/>
    <n v="2"/>
    <s v="9518410318-2"/>
    <s v="No Priority"/>
    <x v="0"/>
    <m/>
    <x v="1"/>
    <x v="1"/>
    <x v="0"/>
    <m/>
    <x v="0"/>
    <m/>
    <s v="Exp BTF &lt;17MT"/>
    <s v="Uttar Pradesh"/>
    <s v="North"/>
    <s v="VARANASI"/>
    <x v="0"/>
    <x v="2"/>
    <x v="2"/>
    <x v="1"/>
    <s v="CRCA COIL TATCRC TR15 0.5X1250"/>
    <s v=" "/>
    <s v=""/>
    <n v="7"/>
    <n v="14"/>
    <s v="Wider"/>
    <x v="1"/>
    <x v="1"/>
    <s v="TR15"/>
    <x v="1"/>
    <x v="0"/>
    <x v="0"/>
    <n v="58"/>
    <n v="25.524999999999999"/>
    <n v="32.475000000000001"/>
    <n v="6.3849999999999998"/>
    <n v="32.475000000000001"/>
    <n v="0"/>
    <n v="0"/>
    <n v="0"/>
    <n v="0"/>
    <n v="0"/>
    <n v="0"/>
    <n v="0"/>
    <n v="0"/>
    <n v="0"/>
    <n v="0"/>
    <n v="0"/>
    <n v="0"/>
    <n v="0"/>
    <n v="0"/>
    <n v="0"/>
    <n v="0"/>
    <n v="0"/>
    <n v="0"/>
    <n v="0"/>
    <n v="0"/>
    <n v="0"/>
    <n v="0"/>
    <n v="0"/>
    <n v="0"/>
    <n v="0"/>
    <n v="0"/>
    <n v="0"/>
    <n v="0"/>
    <n v="0"/>
    <n v="0"/>
    <n v="0"/>
    <n v="0"/>
    <n v="0"/>
    <n v="0"/>
    <n v="0"/>
    <n v="0"/>
    <n v="0"/>
    <n v="0"/>
    <n v="0"/>
    <n v="25.524999999999999"/>
    <n v="0"/>
    <n v="0"/>
    <n v="0"/>
    <n v="0"/>
    <n v="0"/>
    <n v="25.524999999999999"/>
    <m/>
    <m/>
    <m/>
    <m/>
    <m/>
    <m/>
    <m/>
    <m/>
    <s v="1"/>
    <s v="1"/>
    <s v="1"/>
    <s v="1"/>
    <s v="1"/>
    <m/>
    <m/>
    <m/>
    <m/>
    <m/>
    <m/>
    <m/>
    <m/>
    <m/>
    <m/>
    <m/>
    <m/>
    <m/>
    <m/>
  </r>
  <r>
    <n v="742"/>
    <d v="2025-01-03T00:00:00"/>
    <x v="0"/>
    <n v="9518401782"/>
    <n v="3"/>
    <s v="9518401782-3"/>
    <s v="No Priority"/>
    <x v="0"/>
    <m/>
    <x v="1"/>
    <x v="1"/>
    <x v="0"/>
    <m/>
    <x v="0"/>
    <m/>
    <s v="Exp BTF &lt;17MT"/>
    <s v="Uttar Pradesh"/>
    <s v="North"/>
    <s v="LONI"/>
    <x v="0"/>
    <x v="3"/>
    <x v="3"/>
    <x v="2"/>
    <s v="CRSHEET-ICF  DQ TATXXD AU03 0.40 X 1250"/>
    <s v=" "/>
    <s v=""/>
    <n v="10"/>
    <n v="30"/>
    <s v="Wider"/>
    <x v="1"/>
    <x v="2"/>
    <s v="AU03"/>
    <x v="2"/>
    <x v="0"/>
    <x v="0"/>
    <n v="115.99"/>
    <n v="87.424999999999997"/>
    <n v="28.565000000000001"/>
    <n v="11.28"/>
    <n v="28.565000000000001"/>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7T00:00:00"/>
    <x v="0"/>
    <n v="9518410223"/>
    <n v="3"/>
    <s v="9518410223-3"/>
    <s v="No Priority"/>
    <x v="0"/>
    <m/>
    <x v="1"/>
    <x v="2"/>
    <x v="1"/>
    <m/>
    <x v="0"/>
    <m/>
    <m/>
    <s v="Uttar Pradesh"/>
    <s v="North"/>
    <s v="VARANASI"/>
    <x v="1"/>
    <x v="2"/>
    <x v="2"/>
    <x v="3"/>
    <s v="CRCA SHEET TATCRC SR16 0.400X1250X2030"/>
    <s v=""/>
    <s v=""/>
    <m/>
    <m/>
    <s v="Wider"/>
    <x v="2"/>
    <x v="1"/>
    <s v="SR16"/>
    <x v="2"/>
    <x v="0"/>
    <x v="1"/>
    <n v="87"/>
    <n v="85.825000000000003"/>
    <n v="1.175"/>
    <n v="0.95499999999999996"/>
    <n v="0"/>
    <n v="0"/>
    <n v="0"/>
    <n v="0"/>
    <n v="0"/>
    <n v="0"/>
    <n v="0"/>
    <n v="0"/>
    <n v="0"/>
    <n v="0"/>
    <n v="0"/>
    <n v="0"/>
    <n v="0"/>
    <n v="0"/>
    <n v="0"/>
    <n v="0"/>
    <n v="0"/>
    <n v="0"/>
    <n v="0"/>
    <n v="0"/>
    <n v="0"/>
    <n v="0"/>
    <n v="0"/>
    <n v="0"/>
    <n v="0"/>
    <n v="0"/>
    <n v="0"/>
    <n v="0"/>
    <n v="0"/>
    <n v="0"/>
    <n v="0"/>
    <n v="0"/>
    <n v="0"/>
    <n v="0"/>
    <n v="0"/>
    <n v="0"/>
    <n v="0"/>
    <n v="0"/>
    <n v="0"/>
    <n v="0"/>
    <n v="22.64"/>
    <n v="0"/>
    <n v="0"/>
    <n v="0"/>
    <n v="0"/>
    <n v="0"/>
    <n v="22.64"/>
    <m/>
    <m/>
    <m/>
    <m/>
    <m/>
    <m/>
    <m/>
    <m/>
    <s v="1"/>
    <s v="1"/>
    <s v="1"/>
    <s v="1"/>
    <s v="1"/>
    <m/>
    <m/>
    <m/>
    <m/>
    <m/>
    <m/>
    <m/>
    <m/>
    <m/>
    <m/>
    <m/>
    <m/>
    <m/>
    <m/>
  </r>
  <r>
    <n v="742"/>
    <d v="2025-01-16T00:00:00"/>
    <x v="0"/>
    <n v="9518433421"/>
    <n v="5"/>
    <s v="9518433421-5"/>
    <s v="No Priority"/>
    <x v="0"/>
    <m/>
    <x v="1"/>
    <x v="1"/>
    <x v="0"/>
    <m/>
    <x v="0"/>
    <m/>
    <s v="Exp BTF &lt;17MT"/>
    <s v="Tamil Nadu"/>
    <s v="South"/>
    <s v="CHENNAI"/>
    <x v="0"/>
    <x v="4"/>
    <x v="4"/>
    <x v="4"/>
    <s v="CRCA COIL TATCRC TR15 0.4X1250"/>
    <s v=" "/>
    <s v=""/>
    <n v="6"/>
    <n v="18"/>
    <s v="Wider"/>
    <x v="1"/>
    <x v="1"/>
    <s v="TR15"/>
    <x v="2"/>
    <x v="0"/>
    <x v="0"/>
    <n v="58"/>
    <n v="25.175000000000001"/>
    <n v="32.825000000000003"/>
    <n v="5.0750000000000002"/>
    <n v="32.825000000000003"/>
    <n v="0"/>
    <n v="0"/>
    <n v="0"/>
    <n v="0"/>
    <n v="0"/>
    <n v="0"/>
    <n v="0"/>
    <n v="0"/>
    <n v="0"/>
    <n v="0"/>
    <n v="0"/>
    <n v="0"/>
    <n v="0"/>
    <n v="0"/>
    <n v="0"/>
    <n v="0"/>
    <n v="0"/>
    <n v="0"/>
    <n v="0"/>
    <n v="0"/>
    <n v="0"/>
    <n v="0"/>
    <n v="0"/>
    <n v="0"/>
    <n v="0"/>
    <n v="0"/>
    <n v="0"/>
    <n v="0"/>
    <n v="0"/>
    <n v="0"/>
    <n v="0"/>
    <n v="0"/>
    <n v="0"/>
    <n v="0"/>
    <n v="0"/>
    <n v="0"/>
    <n v="0"/>
    <n v="0"/>
    <n v="0"/>
    <n v="25.174999999999997"/>
    <n v="0"/>
    <n v="0"/>
    <n v="0"/>
    <n v="0"/>
    <n v="0"/>
    <n v="25.174999999999997"/>
    <m/>
    <m/>
    <m/>
    <m/>
    <m/>
    <m/>
    <m/>
    <m/>
    <s v="1"/>
    <s v="1"/>
    <s v="1"/>
    <s v="1"/>
    <s v="1"/>
    <m/>
    <m/>
    <m/>
    <m/>
    <m/>
    <m/>
    <m/>
    <m/>
    <m/>
    <m/>
    <m/>
    <m/>
    <m/>
    <m/>
  </r>
  <r>
    <n v="742"/>
    <d v="2025-01-13T00:00:00"/>
    <x v="0"/>
    <n v="9518425868"/>
    <n v="1"/>
    <s v="9518425868-1"/>
    <s v="No Priority"/>
    <x v="0"/>
    <m/>
    <x v="1"/>
    <x v="1"/>
    <x v="0"/>
    <m/>
    <x v="0"/>
    <m/>
    <m/>
    <s v="Jharkhand"/>
    <s v="East"/>
    <s v="TATANAGAR"/>
    <x v="0"/>
    <x v="5"/>
    <x v="5"/>
    <x v="5"/>
    <s v="CRCA COIL TATXXD AU03 0.4X1250"/>
    <s v=" "/>
    <s v=""/>
    <n v="20"/>
    <n v="29"/>
    <s v="Wider"/>
    <x v="1"/>
    <x v="2"/>
    <s v="AU03"/>
    <x v="2"/>
    <x v="0"/>
    <x v="0"/>
    <n v="58"/>
    <n v="25.76"/>
    <n v="32.24"/>
    <n v="3.36"/>
    <n v="32.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1-23T00:00:00"/>
    <x v="0"/>
    <n v="9518454162"/>
    <n v="2"/>
    <s v="9518454162-2"/>
    <s v="May'25"/>
    <x v="0"/>
    <m/>
    <x v="2"/>
    <x v="3"/>
    <x v="2"/>
    <m/>
    <x v="1"/>
    <m/>
    <m/>
    <s v="Jharkhand"/>
    <s v="TBSPL"/>
    <s v="TBL- BARA AGRICO"/>
    <x v="0"/>
    <x v="6"/>
    <x v="6"/>
    <x v="6"/>
    <s v="PPGL C Y550 HPL3 0.42BMT(0.50TPT)X1220"/>
    <s v="AZ150"/>
    <s v="RAL 5017 TSL 411"/>
    <n v="3"/>
    <n v="5"/>
    <s v="Wider"/>
    <x v="3"/>
    <x v="3"/>
    <s v="HPL3"/>
    <x v="3"/>
    <x v="1"/>
    <x v="0"/>
    <n v="140"/>
    <n v="115.745"/>
    <n v="24.254999999999999"/>
    <n v="12.61"/>
    <n v="24.254999999999999"/>
    <n v="0"/>
    <n v="0"/>
    <n v="0"/>
    <n v="0"/>
    <n v="0"/>
    <n v="0"/>
    <n v="0"/>
    <n v="0"/>
    <n v="0"/>
    <n v="0"/>
    <n v="0"/>
    <n v="0"/>
    <n v="0"/>
    <n v="0"/>
    <n v="0"/>
    <n v="0"/>
    <n v="0"/>
    <n v="0"/>
    <n v="0"/>
    <n v="0"/>
    <n v="0"/>
    <n v="0"/>
    <n v="0"/>
    <n v="0"/>
    <n v="0"/>
    <n v="0"/>
    <n v="24.254999999999999"/>
    <n v="0"/>
    <n v="0"/>
    <n v="24.254999999999999"/>
    <n v="0"/>
    <n v="0"/>
    <n v="24.254999999999999"/>
    <n v="0"/>
    <n v="0"/>
    <n v="24.254999999999999"/>
    <n v="0"/>
    <n v="0"/>
    <n v="0"/>
    <n v="9.2949999999999999"/>
    <n v="0"/>
    <n v="0"/>
    <n v="9.2949999999999999"/>
    <n v="0"/>
    <n v="0"/>
    <n v="0"/>
    <m/>
    <m/>
    <m/>
    <m/>
    <m/>
    <m/>
    <m/>
    <m/>
    <s v="1"/>
    <s v="1"/>
    <s v="0"/>
    <s v="1"/>
    <s v="1"/>
    <m/>
    <m/>
    <m/>
    <m/>
    <m/>
    <m/>
    <m/>
    <m/>
    <m/>
    <m/>
    <m/>
    <m/>
    <m/>
    <m/>
  </r>
  <r>
    <n v="742"/>
    <d v="2025-02-11T00:00:00"/>
    <x v="0"/>
    <n v="9518510820"/>
    <n v="1"/>
    <s v="9518510820-1"/>
    <s v="No Priority"/>
    <x v="0"/>
    <m/>
    <x v="1"/>
    <x v="2"/>
    <x v="1"/>
    <m/>
    <x v="0"/>
    <m/>
    <m/>
    <s v="Uttar Pradesh"/>
    <s v="North"/>
    <s v="VARANASI"/>
    <x v="1"/>
    <x v="7"/>
    <x v="7"/>
    <x v="3"/>
    <s v="CRCA SHEET TATCRC SR16 0.400X1250X2030"/>
    <s v=""/>
    <s v=""/>
    <m/>
    <m/>
    <s v="Wider"/>
    <x v="2"/>
    <x v="1"/>
    <s v="SR16"/>
    <x v="2"/>
    <x v="0"/>
    <x v="1"/>
    <n v="69"/>
    <n v="67.72"/>
    <n v="1.28"/>
    <n v="1.28"/>
    <n v="0"/>
    <n v="1.28"/>
    <n v="0"/>
    <n v="0"/>
    <n v="0"/>
    <n v="0"/>
    <n v="0"/>
    <n v="0"/>
    <n v="0"/>
    <n v="0"/>
    <n v="0"/>
    <n v="0"/>
    <n v="0"/>
    <n v="0"/>
    <n v="0"/>
    <n v="0"/>
    <n v="0"/>
    <n v="0"/>
    <n v="0"/>
    <n v="0"/>
    <n v="0"/>
    <n v="0"/>
    <n v="0"/>
    <n v="0"/>
    <n v="0"/>
    <n v="0"/>
    <n v="0"/>
    <n v="0"/>
    <n v="0"/>
    <n v="0"/>
    <n v="0"/>
    <n v="0"/>
    <n v="0"/>
    <n v="0"/>
    <n v="0"/>
    <n v="0"/>
    <n v="0"/>
    <n v="0"/>
    <n v="0"/>
    <n v="0"/>
    <n v="16.855"/>
    <n v="0"/>
    <n v="0"/>
    <n v="0"/>
    <n v="0"/>
    <n v="0"/>
    <n v="16.855"/>
    <m/>
    <m/>
    <m/>
    <m/>
    <m/>
    <m/>
    <m/>
    <m/>
    <s v="1"/>
    <s v="1"/>
    <s v="1"/>
    <s v="1"/>
    <s v="1"/>
    <m/>
    <m/>
    <m/>
    <m/>
    <m/>
    <m/>
    <m/>
    <m/>
    <m/>
    <m/>
    <m/>
    <m/>
    <m/>
    <m/>
  </r>
  <r>
    <n v="742"/>
    <d v="2025-01-22T00:00:00"/>
    <x v="0"/>
    <n v="9518451407"/>
    <n v="3"/>
    <s v="9518451407-3"/>
    <s v="No Priority"/>
    <x v="0"/>
    <m/>
    <x v="1"/>
    <x v="2"/>
    <x v="1"/>
    <m/>
    <x v="0"/>
    <m/>
    <m/>
    <s v="Uttar Pradesh"/>
    <s v="North"/>
    <s v="VARANASI"/>
    <x v="1"/>
    <x v="7"/>
    <x v="7"/>
    <x v="7"/>
    <s v="CRCA SHEET TSBCRC SR15 0.700X1000X1930"/>
    <s v=" "/>
    <m/>
    <n v="0"/>
    <n v="0"/>
    <s v="Narrow"/>
    <x v="2"/>
    <x v="4"/>
    <s v="SR15"/>
    <x v="4"/>
    <x v="2"/>
    <x v="2"/>
    <n v="48"/>
    <n v="23.954999999999998"/>
    <n v="24.045000000000002"/>
    <n v="2.145"/>
    <n v="0"/>
    <n v="0"/>
    <n v="0"/>
    <n v="0"/>
    <n v="0"/>
    <n v="0"/>
    <n v="0"/>
    <n v="0"/>
    <n v="0"/>
    <n v="0"/>
    <n v="0"/>
    <n v="0"/>
    <n v="0"/>
    <n v="0"/>
    <n v="0"/>
    <n v="0"/>
    <n v="0"/>
    <n v="0"/>
    <n v="0"/>
    <n v="0"/>
    <n v="0"/>
    <n v="0"/>
    <n v="0"/>
    <n v="0"/>
    <n v="0"/>
    <n v="0"/>
    <n v="0"/>
    <n v="0"/>
    <n v="0"/>
    <n v="0"/>
    <n v="0"/>
    <n v="0"/>
    <n v="0"/>
    <n v="0"/>
    <n v="0"/>
    <n v="0"/>
    <n v="0"/>
    <n v="0"/>
    <n v="0"/>
    <n v="0"/>
    <n v="21.015000000000001"/>
    <n v="0"/>
    <n v="0"/>
    <n v="0"/>
    <n v="0"/>
    <n v="0"/>
    <n v="21.015000000000001"/>
    <m/>
    <m/>
    <m/>
    <m/>
    <m/>
    <m/>
    <m/>
    <m/>
    <s v="1"/>
    <s v="1"/>
    <s v="1"/>
    <s v="1"/>
    <s v="1"/>
    <m/>
    <m/>
    <m/>
    <m/>
    <m/>
    <m/>
    <m/>
    <m/>
    <m/>
    <m/>
    <m/>
    <m/>
    <m/>
    <m/>
  </r>
  <r>
    <n v="742"/>
    <d v="2025-01-13T00:00:00"/>
    <x v="0"/>
    <n v="9518425909"/>
    <n v="17"/>
    <s v="9518425909-17"/>
    <s v="No Priority"/>
    <x v="0"/>
    <m/>
    <x v="1"/>
    <x v="2"/>
    <x v="1"/>
    <m/>
    <x v="0"/>
    <m/>
    <s v="Exp BTF &lt;17MT"/>
    <s v="Andhra Pradesh"/>
    <s v="South"/>
    <s v="VISHAKHAPATNAM"/>
    <x v="1"/>
    <x v="8"/>
    <x v="8"/>
    <x v="8"/>
    <s v="CRCA SHEET TSBCRC SR15 0.800X1000X2500"/>
    <s v=" "/>
    <m/>
    <n v="0"/>
    <n v="0"/>
    <s v="Narrow"/>
    <x v="2"/>
    <x v="4"/>
    <s v="SR15"/>
    <x v="5"/>
    <x v="2"/>
    <x v="3"/>
    <n v="24"/>
    <n v="20.414999999999999"/>
    <n v="3.585"/>
    <n v="3.585"/>
    <n v="3.585"/>
    <n v="0"/>
    <n v="0"/>
    <n v="0"/>
    <n v="0"/>
    <n v="0"/>
    <n v="0"/>
    <n v="0"/>
    <n v="0"/>
    <n v="0"/>
    <n v="0"/>
    <n v="0"/>
    <n v="0"/>
    <n v="0"/>
    <n v="0"/>
    <n v="0"/>
    <n v="0"/>
    <n v="0"/>
    <n v="0"/>
    <n v="0"/>
    <n v="0"/>
    <n v="0"/>
    <n v="0"/>
    <n v="0"/>
    <n v="0"/>
    <n v="0"/>
    <n v="0"/>
    <n v="0"/>
    <n v="0"/>
    <n v="0"/>
    <n v="0"/>
    <n v="0"/>
    <n v="0"/>
    <n v="0"/>
    <n v="0"/>
    <n v="0"/>
    <n v="0"/>
    <n v="0"/>
    <n v="0"/>
    <n v="0"/>
    <n v="20.414999999999999"/>
    <n v="0"/>
    <n v="0"/>
    <n v="0"/>
    <n v="0"/>
    <n v="0"/>
    <n v="20.414999999999999"/>
    <m/>
    <m/>
    <m/>
    <m/>
    <m/>
    <m/>
    <m/>
    <m/>
    <s v="1"/>
    <s v="1"/>
    <s v="1"/>
    <s v="1"/>
    <s v="1"/>
    <m/>
    <m/>
    <m/>
    <m/>
    <m/>
    <m/>
    <m/>
    <m/>
    <m/>
    <m/>
    <m/>
    <m/>
    <m/>
    <m/>
  </r>
  <r>
    <n v="742"/>
    <d v="2025-01-16T00:00:00"/>
    <x v="0"/>
    <n v="9518433421"/>
    <n v="18"/>
    <s v="9518433421-18"/>
    <s v="No Priority"/>
    <x v="0"/>
    <m/>
    <x v="1"/>
    <x v="2"/>
    <x v="1"/>
    <m/>
    <x v="0"/>
    <m/>
    <m/>
    <s v="Tamil Nadu"/>
    <s v="South"/>
    <s v="CHENNAI"/>
    <x v="1"/>
    <x v="4"/>
    <x v="4"/>
    <x v="9"/>
    <s v="CRCA SHEET TATCRC SR16 0.350X1000X1980"/>
    <s v=""/>
    <m/>
    <m/>
    <m/>
    <s v="Narrow"/>
    <x v="2"/>
    <x v="1"/>
    <s v="SR16"/>
    <x v="6"/>
    <x v="2"/>
    <x v="4"/>
    <n v="90"/>
    <n v="0"/>
    <n v="90"/>
    <n v="90"/>
    <n v="9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6T00:00:00"/>
    <x v="0"/>
    <n v="9518433421"/>
    <n v="19"/>
    <s v="9518433421-19"/>
    <s v="No Priority"/>
    <x v="0"/>
    <m/>
    <x v="1"/>
    <x v="2"/>
    <x v="1"/>
    <m/>
    <x v="0"/>
    <m/>
    <m/>
    <s v="Tamil Nadu"/>
    <s v="South"/>
    <s v="CHENNAI"/>
    <x v="1"/>
    <x v="4"/>
    <x v="4"/>
    <x v="10"/>
    <s v="CRCA SHEET TATCRC SR16 0.400X1000X1980"/>
    <s v=""/>
    <m/>
    <m/>
    <m/>
    <s v="Narrow"/>
    <x v="2"/>
    <x v="1"/>
    <s v="SR16"/>
    <x v="2"/>
    <x v="2"/>
    <x v="4"/>
    <n v="69"/>
    <n v="0"/>
    <n v="69"/>
    <n v="69"/>
    <n v="69"/>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2T00:00:00"/>
    <x v="0"/>
    <n v="9518400614"/>
    <n v="9"/>
    <s v="9518400614-9"/>
    <s v="No Priority"/>
    <x v="0"/>
    <m/>
    <x v="1"/>
    <x v="2"/>
    <x v="1"/>
    <m/>
    <x v="0"/>
    <m/>
    <m/>
    <s v="Kerala"/>
    <s v="South"/>
    <s v="COCHIN HARBOUR "/>
    <x v="1"/>
    <x v="9"/>
    <x v="9"/>
    <x v="11"/>
    <s v="CRCA SHEET TATCRC SR16 0.350X1000X1910"/>
    <s v=""/>
    <m/>
    <m/>
    <m/>
    <s v="Narrow"/>
    <x v="2"/>
    <x v="1"/>
    <s v="SR16"/>
    <x v="6"/>
    <x v="2"/>
    <x v="5"/>
    <n v="21"/>
    <n v="0"/>
    <n v="21"/>
    <n v="-2.2200000000000002"/>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2T00:00:00"/>
    <x v="0"/>
    <n v="9518400614"/>
    <n v="10"/>
    <s v="9518400614-10"/>
    <s v="No Priority"/>
    <x v="0"/>
    <m/>
    <x v="1"/>
    <x v="2"/>
    <x v="1"/>
    <m/>
    <x v="0"/>
    <m/>
    <m/>
    <s v="Kerala"/>
    <s v="South"/>
    <s v="COCHIN HARBOUR "/>
    <x v="1"/>
    <x v="9"/>
    <x v="9"/>
    <x v="12"/>
    <s v="CRCA SHEET TATCRC SR16 0.400X1000X1910"/>
    <s v=""/>
    <m/>
    <m/>
    <m/>
    <s v="Narrow"/>
    <x v="2"/>
    <x v="1"/>
    <s v="SR16"/>
    <x v="2"/>
    <x v="2"/>
    <x v="5"/>
    <n v="21"/>
    <n v="0"/>
    <n v="21"/>
    <n v="-19.420000000000002"/>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3T00:00:00"/>
    <x v="0"/>
    <n v="9518403237"/>
    <n v="4"/>
    <s v="9518403237-4"/>
    <s v="No Priority"/>
    <x v="0"/>
    <m/>
    <x v="1"/>
    <x v="2"/>
    <x v="1"/>
    <m/>
    <x v="0"/>
    <m/>
    <m/>
    <s v="Jharkhand"/>
    <s v="East"/>
    <s v="BOKARO STEEL CY"/>
    <x v="1"/>
    <x v="10"/>
    <x v="10"/>
    <x v="13"/>
    <s v="CRCA SHEET TATCRC SR16 0.380X1000X2500"/>
    <s v=""/>
    <m/>
    <m/>
    <m/>
    <s v="Narrow"/>
    <x v="2"/>
    <x v="1"/>
    <s v="SR16"/>
    <x v="7"/>
    <x v="2"/>
    <x v="3"/>
    <n v="24"/>
    <n v="0"/>
    <n v="24"/>
    <n v="24"/>
    <n v="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3T00:00:00"/>
    <x v="0"/>
    <n v="9518403237"/>
    <n v="8"/>
    <s v="9518403237-8"/>
    <s v="Stocks"/>
    <x v="0"/>
    <m/>
    <x v="1"/>
    <x v="2"/>
    <x v="1"/>
    <m/>
    <x v="1"/>
    <m/>
    <m/>
    <s v="Jharkhand"/>
    <s v="East"/>
    <s v="BOKARO STEEL CY"/>
    <x v="1"/>
    <x v="10"/>
    <x v="10"/>
    <x v="14"/>
    <s v="CRCA SHEET TATCRC SR16 0.480X1000X2500"/>
    <s v=""/>
    <m/>
    <m/>
    <m/>
    <s v="Narrow"/>
    <x v="2"/>
    <x v="1"/>
    <s v="SR16"/>
    <x v="8"/>
    <x v="2"/>
    <x v="3"/>
    <n v="24"/>
    <n v="0"/>
    <n v="24"/>
    <n v="-8.18"/>
    <n v="0"/>
    <n v="0"/>
    <n v="0"/>
    <n v="0"/>
    <n v="0"/>
    <n v="0"/>
    <n v="0"/>
    <n v="0"/>
    <n v="0"/>
    <n v="0"/>
    <n v="0"/>
    <n v="0"/>
    <n v="0"/>
    <n v="0"/>
    <n v="0"/>
    <n v="0"/>
    <n v="0"/>
    <n v="0"/>
    <n v="0"/>
    <n v="0"/>
    <n v="0"/>
    <n v="0"/>
    <n v="0"/>
    <n v="0"/>
    <n v="0"/>
    <n v="0"/>
    <n v="2.8849999999999998"/>
    <n v="0"/>
    <n v="0"/>
    <n v="0"/>
    <n v="0"/>
    <n v="0"/>
    <n v="0"/>
    <n v="2.8849999999999998"/>
    <n v="2.8849999999999998"/>
    <n v="0"/>
    <n v="0"/>
    <n v="0"/>
    <n v="0"/>
    <n v="0"/>
    <n v="0"/>
    <n v="0"/>
    <n v="0"/>
    <n v="0"/>
    <n v="0"/>
    <n v="0"/>
    <n v="0"/>
    <m/>
    <m/>
    <m/>
    <m/>
    <m/>
    <m/>
    <m/>
    <m/>
    <s v="1"/>
    <s v="1"/>
    <s v="1"/>
    <s v="1"/>
    <s v="1"/>
    <m/>
    <m/>
    <m/>
    <m/>
    <m/>
    <m/>
    <m/>
    <m/>
    <m/>
    <m/>
    <m/>
    <m/>
    <m/>
    <m/>
  </r>
  <r>
    <n v="742"/>
    <d v="2025-01-21T00:00:00"/>
    <x v="0"/>
    <n v="9518447967"/>
    <n v="1"/>
    <s v="9518447967-1"/>
    <s v="No Priority"/>
    <x v="0"/>
    <m/>
    <x v="1"/>
    <x v="2"/>
    <x v="1"/>
    <m/>
    <x v="0"/>
    <m/>
    <s v="Exp BTF &lt;17MT"/>
    <s v="West Bengal"/>
    <s v="East"/>
    <s v="HOWRAH"/>
    <x v="1"/>
    <x v="11"/>
    <x v="11"/>
    <x v="15"/>
    <s v="CRCA SHEET TATCRC SR16 0.330X900X2500"/>
    <s v=""/>
    <m/>
    <m/>
    <m/>
    <s v="Narrow"/>
    <x v="2"/>
    <x v="1"/>
    <s v="SR16"/>
    <x v="9"/>
    <x v="3"/>
    <x v="3"/>
    <n v="27"/>
    <n v="19.305"/>
    <n v="7.6950000000000003"/>
    <n v="7.6950000000000003"/>
    <n v="7.6950000000000003"/>
    <n v="0"/>
    <n v="0"/>
    <n v="0"/>
    <n v="0"/>
    <n v="0"/>
    <n v="0"/>
    <n v="0"/>
    <n v="0"/>
    <n v="0"/>
    <n v="0"/>
    <n v="0"/>
    <n v="0"/>
    <n v="0"/>
    <n v="0"/>
    <n v="0"/>
    <n v="0"/>
    <n v="0"/>
    <n v="0"/>
    <n v="0"/>
    <n v="0"/>
    <n v="0"/>
    <n v="0"/>
    <n v="0"/>
    <n v="0"/>
    <n v="0"/>
    <n v="0"/>
    <n v="0"/>
    <n v="0"/>
    <n v="0"/>
    <n v="0"/>
    <n v="0"/>
    <n v="0"/>
    <n v="0"/>
    <n v="0"/>
    <n v="0"/>
    <n v="0"/>
    <n v="0"/>
    <n v="0"/>
    <n v="0"/>
    <n v="19.305"/>
    <n v="0"/>
    <n v="0"/>
    <n v="0"/>
    <n v="0"/>
    <n v="0"/>
    <n v="19.305"/>
    <m/>
    <m/>
    <m/>
    <m/>
    <m/>
    <m/>
    <m/>
    <m/>
    <s v="1"/>
    <s v="1"/>
    <s v="1"/>
    <s v="1"/>
    <s v="1"/>
    <m/>
    <m/>
    <m/>
    <m/>
    <m/>
    <m/>
    <m/>
    <m/>
    <m/>
    <m/>
    <m/>
    <m/>
    <m/>
    <m/>
  </r>
  <r>
    <n v="742"/>
    <d v="2025-01-21T00:00:00"/>
    <x v="0"/>
    <n v="9518447967"/>
    <n v="4"/>
    <s v="9518447967-4"/>
    <s v="No Priority"/>
    <x v="0"/>
    <m/>
    <x v="1"/>
    <x v="2"/>
    <x v="1"/>
    <m/>
    <x v="0"/>
    <m/>
    <m/>
    <s v="West Bengal"/>
    <s v="East"/>
    <s v="HOWRAH"/>
    <x v="1"/>
    <x v="11"/>
    <x v="11"/>
    <x v="16"/>
    <s v="CRCA SHEET TATCRC SR16 0.400X1000X2500"/>
    <s v=""/>
    <m/>
    <m/>
    <m/>
    <s v="Narrow"/>
    <x v="2"/>
    <x v="1"/>
    <s v="SR16"/>
    <x v="2"/>
    <x v="2"/>
    <x v="3"/>
    <n v="27"/>
    <n v="0"/>
    <n v="27"/>
    <n v="27"/>
    <n v="27"/>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1T00:00:00"/>
    <x v="0"/>
    <n v="9518421446"/>
    <n v="5"/>
    <s v="9518421446-5"/>
    <s v="No Priority"/>
    <x v="0"/>
    <m/>
    <x v="1"/>
    <x v="2"/>
    <x v="1"/>
    <m/>
    <x v="0"/>
    <m/>
    <m/>
    <s v="Jharkhand"/>
    <s v="East"/>
    <s v="WEST BOKARO"/>
    <x v="1"/>
    <x v="12"/>
    <x v="12"/>
    <x v="17"/>
    <s v="CRCA SHEET TATCRC SR16 0.450X1000X2500"/>
    <s v=""/>
    <m/>
    <m/>
    <m/>
    <s v="Narrow"/>
    <x v="2"/>
    <x v="1"/>
    <s v="SR16"/>
    <x v="10"/>
    <x v="2"/>
    <x v="3"/>
    <n v="51"/>
    <n v="0"/>
    <n v="51"/>
    <n v="28.7"/>
    <n v="51"/>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6T00:00:00"/>
    <x v="0"/>
    <n v="9518407284"/>
    <n v="6"/>
    <s v="9518407284-6"/>
    <s v="No Priority"/>
    <x v="0"/>
    <m/>
    <x v="1"/>
    <x v="2"/>
    <x v="1"/>
    <m/>
    <x v="0"/>
    <m/>
    <m/>
    <s v="Tamil Nadu"/>
    <s v="South"/>
    <s v="CHENNAI"/>
    <x v="1"/>
    <x v="13"/>
    <x v="13"/>
    <x v="10"/>
    <s v="CRCA SHEET TATCRC SR16 0.400X1000X1980"/>
    <s v=""/>
    <m/>
    <m/>
    <m/>
    <s v="Narrow"/>
    <x v="2"/>
    <x v="1"/>
    <s v="SR16"/>
    <x v="2"/>
    <x v="2"/>
    <x v="4"/>
    <n v="24"/>
    <n v="0"/>
    <n v="24"/>
    <n v="24"/>
    <n v="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6T00:00:00"/>
    <x v="0"/>
    <n v="9518407284"/>
    <n v="8"/>
    <s v="9518407284-8"/>
    <s v="No Priority"/>
    <x v="0"/>
    <m/>
    <x v="1"/>
    <x v="2"/>
    <x v="1"/>
    <m/>
    <x v="0"/>
    <m/>
    <m/>
    <s v="Tamil Nadu"/>
    <s v="South"/>
    <s v="CHENNAI"/>
    <x v="1"/>
    <x v="13"/>
    <x v="13"/>
    <x v="18"/>
    <s v="CRCA SHEET TATCRC SR16 0.450X1000X1980"/>
    <s v=""/>
    <m/>
    <m/>
    <m/>
    <s v="Narrow"/>
    <x v="2"/>
    <x v="1"/>
    <s v="SR16"/>
    <x v="10"/>
    <x v="2"/>
    <x v="4"/>
    <n v="24"/>
    <n v="0"/>
    <n v="24"/>
    <n v="24"/>
    <n v="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6T00:00:00"/>
    <x v="0"/>
    <n v="9518407392"/>
    <n v="1"/>
    <s v="9518407392-1"/>
    <s v="No Priority"/>
    <x v="0"/>
    <m/>
    <x v="1"/>
    <x v="2"/>
    <x v="1"/>
    <m/>
    <x v="0"/>
    <m/>
    <m/>
    <s v="Tamil Nadu"/>
    <s v="South"/>
    <s v="SALEM"/>
    <x v="1"/>
    <x v="13"/>
    <x v="13"/>
    <x v="19"/>
    <s v="CRCA SHEET TATCRC SR16 0.300X900X2500"/>
    <s v=""/>
    <m/>
    <m/>
    <m/>
    <s v="Narrow"/>
    <x v="2"/>
    <x v="1"/>
    <s v="SR16"/>
    <x v="11"/>
    <x v="3"/>
    <x v="3"/>
    <n v="21"/>
    <n v="18.440000000000001"/>
    <n v="2.56"/>
    <n v="2.56"/>
    <n v="0"/>
    <n v="0"/>
    <n v="0"/>
    <n v="0"/>
    <n v="0"/>
    <n v="0"/>
    <n v="0"/>
    <n v="0"/>
    <n v="0"/>
    <n v="0"/>
    <n v="0"/>
    <n v="0"/>
    <n v="0"/>
    <n v="0"/>
    <n v="0"/>
    <n v="0"/>
    <n v="0"/>
    <n v="0"/>
    <n v="0"/>
    <n v="0"/>
    <n v="0"/>
    <n v="0"/>
    <n v="0"/>
    <n v="0"/>
    <n v="0"/>
    <n v="0"/>
    <n v="0"/>
    <n v="0"/>
    <n v="0"/>
    <n v="0"/>
    <n v="0"/>
    <n v="0"/>
    <n v="0"/>
    <n v="0"/>
    <n v="0"/>
    <n v="0"/>
    <n v="0"/>
    <n v="0"/>
    <n v="0"/>
    <n v="0"/>
    <n v="18.440000000000001"/>
    <n v="0"/>
    <n v="0"/>
    <n v="0"/>
    <n v="0"/>
    <n v="0"/>
    <n v="18.440000000000001"/>
    <m/>
    <m/>
    <m/>
    <m/>
    <m/>
    <m/>
    <m/>
    <m/>
    <s v="1"/>
    <s v="1"/>
    <s v="1"/>
    <s v="1"/>
    <s v="1"/>
    <m/>
    <m/>
    <m/>
    <m/>
    <m/>
    <m/>
    <m/>
    <m/>
    <m/>
    <m/>
    <m/>
    <m/>
    <m/>
    <m/>
  </r>
  <r>
    <n v="742"/>
    <d v="2025-01-06T00:00:00"/>
    <x v="0"/>
    <n v="9518407392"/>
    <n v="6"/>
    <s v="9518407392-6"/>
    <s v="No Priority"/>
    <x v="0"/>
    <m/>
    <x v="1"/>
    <x v="2"/>
    <x v="1"/>
    <m/>
    <x v="0"/>
    <m/>
    <m/>
    <s v="Tamil Nadu"/>
    <s v="South"/>
    <s v="SALEM"/>
    <x v="1"/>
    <x v="13"/>
    <x v="13"/>
    <x v="18"/>
    <s v="CRCA SHEET TATCRC SR16 0.450X1000X1980"/>
    <s v=""/>
    <m/>
    <m/>
    <m/>
    <s v="Narrow"/>
    <x v="2"/>
    <x v="1"/>
    <s v="SR16"/>
    <x v="10"/>
    <x v="2"/>
    <x v="4"/>
    <n v="21"/>
    <n v="0"/>
    <n v="21"/>
    <n v="-1.1200000000000001"/>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0T00:00:00"/>
    <x v="0"/>
    <n v="9518419878"/>
    <n v="1"/>
    <s v="9518419878-1"/>
    <s v="No Priority"/>
    <x v="0"/>
    <m/>
    <x v="1"/>
    <x v="2"/>
    <x v="1"/>
    <m/>
    <x v="0"/>
    <m/>
    <m/>
    <s v="Jharkhand"/>
    <s v="East"/>
    <s v="TATANAGAR"/>
    <x v="1"/>
    <x v="5"/>
    <x v="5"/>
    <x v="19"/>
    <s v="CRCA SHEET TATCRC SR16 0.300X900X2500"/>
    <s v=""/>
    <m/>
    <m/>
    <m/>
    <s v="Narrow"/>
    <x v="2"/>
    <x v="1"/>
    <s v="SR16"/>
    <x v="11"/>
    <x v="3"/>
    <x v="3"/>
    <n v="20.99"/>
    <n v="18.465"/>
    <n v="2.5249999999999999"/>
    <n v="2.5249999999999999"/>
    <n v="0"/>
    <n v="0"/>
    <n v="0"/>
    <n v="0"/>
    <n v="0"/>
    <n v="0"/>
    <n v="0"/>
    <n v="0"/>
    <n v="0"/>
    <n v="0"/>
    <n v="0"/>
    <n v="0"/>
    <n v="0"/>
    <n v="0"/>
    <n v="0"/>
    <n v="0"/>
    <n v="0"/>
    <n v="0"/>
    <n v="0"/>
    <n v="0"/>
    <n v="0"/>
    <n v="0"/>
    <n v="0"/>
    <n v="0"/>
    <n v="0"/>
    <n v="0"/>
    <n v="0"/>
    <n v="0"/>
    <n v="0"/>
    <n v="0"/>
    <n v="0"/>
    <n v="0"/>
    <n v="0"/>
    <n v="0"/>
    <n v="0"/>
    <n v="0"/>
    <n v="0"/>
    <n v="0"/>
    <n v="0"/>
    <n v="0"/>
    <n v="18.465"/>
    <n v="0"/>
    <n v="0"/>
    <n v="0"/>
    <n v="0"/>
    <n v="0"/>
    <n v="18.465"/>
    <m/>
    <m/>
    <m/>
    <m/>
    <m/>
    <m/>
    <m/>
    <m/>
    <s v="1"/>
    <s v="1"/>
    <s v="1"/>
    <s v="1"/>
    <s v="1"/>
    <m/>
    <m/>
    <m/>
    <m/>
    <m/>
    <m/>
    <m/>
    <m/>
    <m/>
    <m/>
    <m/>
    <m/>
    <m/>
    <m/>
  </r>
  <r>
    <n v="742"/>
    <d v="2025-01-10T00:00:00"/>
    <x v="0"/>
    <n v="9518419878"/>
    <n v="3"/>
    <s v="9518419878-3"/>
    <s v="No Priority"/>
    <x v="0"/>
    <m/>
    <x v="1"/>
    <x v="2"/>
    <x v="1"/>
    <m/>
    <x v="0"/>
    <m/>
    <m/>
    <s v="Jharkhand"/>
    <s v="East"/>
    <s v="TATANAGAR"/>
    <x v="1"/>
    <x v="5"/>
    <x v="5"/>
    <x v="20"/>
    <s v="CRCA SHEET TATCRC SR16 0.330X1000X2500"/>
    <s v=""/>
    <m/>
    <m/>
    <m/>
    <s v="Narrow"/>
    <x v="2"/>
    <x v="1"/>
    <s v="SR16"/>
    <x v="9"/>
    <x v="2"/>
    <x v="3"/>
    <n v="42"/>
    <n v="0"/>
    <n v="42"/>
    <n v="42"/>
    <n v="42"/>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1-06T00:00:00"/>
    <x v="0"/>
    <n v="9518408527"/>
    <n v="1"/>
    <s v="9518408527-1"/>
    <s v="No Priority"/>
    <x v="0"/>
    <m/>
    <x v="3"/>
    <x v="4"/>
    <x v="1"/>
    <m/>
    <x v="0"/>
    <m/>
    <m/>
    <s v="Karnataka"/>
    <s v="South"/>
    <s v="YESHWANTHPURA"/>
    <x v="0"/>
    <x v="14"/>
    <x v="14"/>
    <x v="21"/>
    <s v="GPCOIL TATXGP GP02 0.25X1015"/>
    <m/>
    <m/>
    <m/>
    <m/>
    <s v="Narrow"/>
    <x v="4"/>
    <x v="5"/>
    <s v="GP02"/>
    <x v="12"/>
    <x v="4"/>
    <x v="0"/>
    <n v="46"/>
    <n v="0"/>
    <n v="46"/>
    <n v="46"/>
    <n v="46"/>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1-06T00:00:00"/>
    <x v="0"/>
    <n v="9518408527"/>
    <n v="2"/>
    <s v="9518408527-2"/>
    <s v="No Priority"/>
    <x v="0"/>
    <m/>
    <x v="3"/>
    <x v="4"/>
    <x v="1"/>
    <m/>
    <x v="0"/>
    <m/>
    <m/>
    <s v="Karnataka"/>
    <s v="South"/>
    <s v="YESHWANTHPURA"/>
    <x v="0"/>
    <x v="14"/>
    <x v="14"/>
    <x v="22"/>
    <s v="GP COIL TATGPH GP02 0.300X1015"/>
    <m/>
    <m/>
    <m/>
    <m/>
    <s v="Narrow"/>
    <x v="4"/>
    <x v="6"/>
    <s v="GP02"/>
    <x v="11"/>
    <x v="4"/>
    <x v="0"/>
    <n v="92"/>
    <n v="0"/>
    <n v="92"/>
    <n v="92"/>
    <n v="92"/>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1-23T00:00:00"/>
    <x v="0"/>
    <n v="9518453235"/>
    <n v="7"/>
    <s v="9518453235-7"/>
    <s v="May'25"/>
    <x v="0"/>
    <m/>
    <x v="2"/>
    <x v="3"/>
    <x v="3"/>
    <m/>
    <x v="1"/>
    <m/>
    <m/>
    <s v="Jharkhand"/>
    <s v="East"/>
    <s v="GAMHARIA"/>
    <x v="0"/>
    <x v="15"/>
    <x v="15"/>
    <x v="23"/>
    <s v="PPGL C HARD Y550PL ISC6 0.300X1220"/>
    <n v="70"/>
    <s v="PRO GREY TSL 1916"/>
    <m/>
    <m/>
    <s v="Wider"/>
    <x v="3"/>
    <x v="3"/>
    <s v="ISC6"/>
    <x v="11"/>
    <x v="1"/>
    <x v="0"/>
    <n v="28"/>
    <n v="0"/>
    <n v="28"/>
    <n v="-26.295000000000002"/>
    <n v="0"/>
    <n v="0"/>
    <n v="0"/>
    <n v="0"/>
    <n v="0"/>
    <n v="0"/>
    <n v="0"/>
    <n v="0"/>
    <n v="0"/>
    <n v="0"/>
    <n v="0"/>
    <n v="0"/>
    <n v="0"/>
    <n v="0"/>
    <n v="0"/>
    <n v="0"/>
    <n v="0"/>
    <n v="0"/>
    <n v="0"/>
    <n v="0"/>
    <n v="0"/>
    <n v="0"/>
    <n v="0"/>
    <n v="0"/>
    <n v="0"/>
    <n v="0"/>
    <n v="0"/>
    <n v="28"/>
    <n v="0"/>
    <n v="0"/>
    <n v="28"/>
    <n v="0"/>
    <n v="0"/>
    <n v="28"/>
    <n v="0"/>
    <n v="0"/>
    <n v="28"/>
    <n v="0"/>
    <n v="0"/>
    <n v="0"/>
    <n v="0"/>
    <n v="0"/>
    <n v="0"/>
    <n v="0"/>
    <n v="0"/>
    <n v="0"/>
    <n v="0"/>
    <m/>
    <m/>
    <m/>
    <m/>
    <m/>
    <m/>
    <m/>
    <m/>
    <s v="1"/>
    <s v="1"/>
    <s v="0"/>
    <s v="1"/>
    <s v="1"/>
    <m/>
    <m/>
    <m/>
    <m/>
    <m/>
    <m/>
    <m/>
    <m/>
    <m/>
    <m/>
    <m/>
    <m/>
    <m/>
    <m/>
  </r>
  <r>
    <n v="744"/>
    <d v="2025-02-22T00:00:00"/>
    <x v="0"/>
    <n v="9518543125"/>
    <n v="6"/>
    <s v="9518543125-6"/>
    <s v="May'25"/>
    <x v="0"/>
    <m/>
    <x v="2"/>
    <x v="3"/>
    <x v="2"/>
    <m/>
    <x v="1"/>
    <m/>
    <m/>
    <s v="Jharkhand"/>
    <s v="East"/>
    <s v="GAMHARIA"/>
    <x v="0"/>
    <x v="15"/>
    <x v="15"/>
    <x v="23"/>
    <s v="PPGL C HARD Y550PL ISC6 0.300X1220"/>
    <s v="aZ70"/>
    <s v="PRO ROSY RED TSL 1920"/>
    <n v="3"/>
    <n v="5"/>
    <s v="Wider"/>
    <x v="3"/>
    <x v="3"/>
    <s v="ISC6"/>
    <x v="11"/>
    <x v="1"/>
    <x v="0"/>
    <n v="28"/>
    <n v="0"/>
    <n v="28"/>
    <n v="1.23"/>
    <n v="0"/>
    <n v="28"/>
    <n v="0"/>
    <n v="0"/>
    <n v="0"/>
    <n v="0"/>
    <n v="0"/>
    <n v="26.77"/>
    <n v="0"/>
    <n v="0"/>
    <n v="0"/>
    <n v="0"/>
    <n v="0"/>
    <n v="0"/>
    <n v="0"/>
    <n v="0"/>
    <n v="0"/>
    <n v="0"/>
    <n v="0"/>
    <n v="0"/>
    <n v="0"/>
    <n v="26.77"/>
    <n v="26.77"/>
    <n v="0"/>
    <n v="26.77"/>
    <n v="0"/>
    <n v="0"/>
    <n v="28"/>
    <n v="0"/>
    <n v="0"/>
    <n v="28"/>
    <n v="0"/>
    <n v="0"/>
    <n v="28"/>
    <n v="0"/>
    <n v="0"/>
    <n v="28"/>
    <n v="0"/>
    <n v="0"/>
    <n v="0"/>
    <n v="0"/>
    <n v="0"/>
    <n v="0"/>
    <n v="0"/>
    <n v="0"/>
    <n v="0"/>
    <n v="0"/>
    <m/>
    <m/>
    <m/>
    <m/>
    <m/>
    <m/>
    <m/>
    <m/>
    <s v="1"/>
    <s v="1"/>
    <s v="0"/>
    <s v="1"/>
    <s v="1"/>
    <m/>
    <m/>
    <m/>
    <m/>
    <m/>
    <m/>
    <m/>
    <m/>
    <m/>
    <m/>
    <m/>
    <m/>
    <m/>
    <m/>
  </r>
  <r>
    <n v="743"/>
    <d v="2025-02-03T00:00:00"/>
    <x v="0"/>
    <n v="9518489859"/>
    <n v="3"/>
    <s v="9518489859-3"/>
    <s v="Feb'25"/>
    <x v="0"/>
    <m/>
    <x v="3"/>
    <x v="4"/>
    <x v="0"/>
    <m/>
    <x v="1"/>
    <m/>
    <m/>
    <s v="Karnataka"/>
    <s v="South"/>
    <s v="YESHWANTHPURA"/>
    <x v="0"/>
    <x v="14"/>
    <x v="16"/>
    <x v="24"/>
    <s v="GP COIL TATGPH GP02 0.450X1015"/>
    <s v="Z120"/>
    <s v=""/>
    <m/>
    <m/>
    <s v="Narrow"/>
    <x v="4"/>
    <x v="6"/>
    <s v="GP02"/>
    <x v="10"/>
    <x v="4"/>
    <x v="0"/>
    <n v="23"/>
    <n v="0"/>
    <n v="23"/>
    <n v="23"/>
    <n v="23"/>
    <n v="23"/>
    <n v="0"/>
    <n v="0"/>
    <n v="0"/>
    <n v="0"/>
    <n v="0"/>
    <n v="0"/>
    <n v="0"/>
    <n v="0"/>
    <n v="0"/>
    <n v="0"/>
    <n v="0"/>
    <n v="0"/>
    <n v="0"/>
    <n v="0"/>
    <n v="0"/>
    <n v="0"/>
    <n v="0"/>
    <n v="0"/>
    <n v="0"/>
    <n v="0"/>
    <n v="0"/>
    <n v="0"/>
    <n v="0"/>
    <n v="0"/>
    <n v="0"/>
    <n v="23"/>
    <n v="0"/>
    <n v="0"/>
    <n v="0"/>
    <n v="23"/>
    <n v="0"/>
    <n v="23"/>
    <n v="0"/>
    <n v="0"/>
    <n v="0"/>
    <n v="23"/>
    <n v="0"/>
    <n v="0"/>
    <n v="0"/>
    <n v="0"/>
    <n v="0"/>
    <n v="0"/>
    <n v="0"/>
    <n v="0"/>
    <n v="0"/>
    <m/>
    <m/>
    <m/>
    <m/>
    <m/>
    <m/>
    <m/>
    <m/>
    <s v="1"/>
    <s v="1"/>
    <s v="1"/>
    <s v="0"/>
    <s v="1"/>
    <m/>
    <m/>
    <m/>
    <m/>
    <m/>
    <m/>
    <m/>
    <m/>
    <m/>
    <m/>
    <m/>
    <m/>
    <m/>
    <m/>
  </r>
  <r>
    <n v="743"/>
    <d v="2025-02-06T00:00:00"/>
    <x v="0"/>
    <n v="9518498429"/>
    <n v="1"/>
    <s v="9518498429-1"/>
    <s v="Feb'25"/>
    <x v="0"/>
    <m/>
    <x v="3"/>
    <x v="4"/>
    <x v="0"/>
    <m/>
    <x v="1"/>
    <m/>
    <m/>
    <s v="Assam"/>
    <s v="East"/>
    <s v="GAUHATI"/>
    <x v="0"/>
    <x v="16"/>
    <x v="17"/>
    <x v="25"/>
    <s v="GP COIL TATGPH GP02 0.400X1015"/>
    <s v="Z120"/>
    <s v=""/>
    <m/>
    <m/>
    <s v="Narrow"/>
    <x v="4"/>
    <x v="6"/>
    <s v="GP02"/>
    <x v="2"/>
    <x v="4"/>
    <x v="0"/>
    <n v="23"/>
    <n v="0"/>
    <n v="23"/>
    <n v="23"/>
    <n v="23"/>
    <n v="23"/>
    <n v="0"/>
    <n v="0"/>
    <n v="0"/>
    <n v="0"/>
    <n v="0"/>
    <n v="0"/>
    <n v="0"/>
    <n v="0"/>
    <n v="0"/>
    <n v="0"/>
    <n v="0"/>
    <n v="0"/>
    <n v="0"/>
    <n v="0"/>
    <n v="0"/>
    <n v="0"/>
    <n v="0"/>
    <n v="0"/>
    <n v="0"/>
    <n v="0"/>
    <n v="0"/>
    <n v="0"/>
    <n v="0"/>
    <n v="0"/>
    <n v="0"/>
    <n v="23"/>
    <n v="0"/>
    <n v="0"/>
    <n v="0"/>
    <n v="23"/>
    <n v="0"/>
    <n v="23"/>
    <n v="0"/>
    <n v="0"/>
    <n v="0"/>
    <n v="23"/>
    <n v="0"/>
    <n v="0"/>
    <n v="0"/>
    <n v="0"/>
    <n v="0"/>
    <n v="0"/>
    <n v="0"/>
    <n v="0"/>
    <n v="0"/>
    <m/>
    <m/>
    <m/>
    <m/>
    <m/>
    <m/>
    <m/>
    <m/>
    <s v="1"/>
    <s v="1"/>
    <s v="1"/>
    <s v="0"/>
    <s v="1"/>
    <m/>
    <m/>
    <m/>
    <m/>
    <m/>
    <m/>
    <m/>
    <m/>
    <m/>
    <m/>
    <m/>
    <m/>
    <m/>
    <m/>
  </r>
  <r>
    <n v="743"/>
    <d v="2025-02-04T00:00:00"/>
    <x v="0"/>
    <n v="9518493932"/>
    <n v="1"/>
    <s v="9518493932-1"/>
    <s v="May'25"/>
    <x v="0"/>
    <m/>
    <x v="4"/>
    <x v="5"/>
    <x v="2"/>
    <m/>
    <x v="1"/>
    <m/>
    <m/>
    <s v="Gujarat"/>
    <s v="West"/>
    <s v="VADODARA"/>
    <x v="0"/>
    <x v="17"/>
    <x v="18"/>
    <x v="26"/>
    <s v="GL COIL HARD  Y550GL HGL6 0.900X1220"/>
    <s v="AZ150"/>
    <m/>
    <n v="7"/>
    <n v="15"/>
    <s v="Wider"/>
    <x v="5"/>
    <x v="7"/>
    <s v="HGL6"/>
    <x v="13"/>
    <x v="1"/>
    <x v="0"/>
    <n v="252"/>
    <n v="219.09"/>
    <n v="32.909999999999997"/>
    <n v="-5.28"/>
    <n v="0"/>
    <n v="32.909999999999997"/>
    <n v="0"/>
    <n v="0"/>
    <n v="0"/>
    <n v="0"/>
    <n v="0"/>
    <n v="0"/>
    <n v="0"/>
    <n v="0"/>
    <n v="0"/>
    <n v="0"/>
    <n v="0"/>
    <n v="0"/>
    <n v="0"/>
    <n v="0"/>
    <n v="0"/>
    <n v="0"/>
    <n v="0"/>
    <n v="0"/>
    <n v="0"/>
    <n v="0"/>
    <n v="0"/>
    <n v="0"/>
    <n v="0"/>
    <n v="0"/>
    <n v="0"/>
    <n v="32.909999999999997"/>
    <n v="0"/>
    <n v="0"/>
    <n v="32.909999999999997"/>
    <n v="0"/>
    <n v="0"/>
    <n v="32.909999999999997"/>
    <n v="0"/>
    <n v="0"/>
    <n v="32.909999999999997"/>
    <n v="0"/>
    <n v="0"/>
    <n v="0"/>
    <n v="0"/>
    <n v="0"/>
    <n v="0"/>
    <n v="0"/>
    <n v="0"/>
    <n v="0"/>
    <n v="0"/>
    <m/>
    <m/>
    <m/>
    <m/>
    <m/>
    <m/>
    <m/>
    <m/>
    <s v="1"/>
    <s v="1"/>
    <s v="0"/>
    <s v="1"/>
    <s v="1"/>
    <m/>
    <m/>
    <m/>
    <m/>
    <m/>
    <m/>
    <m/>
    <m/>
    <m/>
    <m/>
    <m/>
    <m/>
    <m/>
    <m/>
  </r>
  <r>
    <n v="743"/>
    <d v="2025-02-12T00:00:00"/>
    <x v="0"/>
    <n v="9518514116"/>
    <n v="2"/>
    <s v="9518514116-2"/>
    <s v="Stocks"/>
    <x v="0"/>
    <m/>
    <x v="4"/>
    <x v="3"/>
    <x v="2"/>
    <m/>
    <x v="1"/>
    <m/>
    <m/>
    <s v="Maharashtra"/>
    <s v="West"/>
    <s v="RAJGURUNAGAR"/>
    <x v="0"/>
    <x v="18"/>
    <x v="6"/>
    <x v="27"/>
    <s v="GL COIL HARD Y550GL M308 0.47 (TCT)X1220"/>
    <s v="AZ150"/>
    <m/>
    <n v="3"/>
    <n v="5"/>
    <s v="Wider"/>
    <x v="5"/>
    <x v="7"/>
    <s v="M308"/>
    <x v="14"/>
    <x v="1"/>
    <x v="0"/>
    <n v="224"/>
    <n v="153.11500000000001"/>
    <n v="70.885000000000005"/>
    <n v="-32.854999999999997"/>
    <n v="0"/>
    <n v="4.0549999999999997"/>
    <n v="0"/>
    <n v="0"/>
    <n v="0"/>
    <n v="0"/>
    <n v="0"/>
    <n v="0"/>
    <n v="0"/>
    <n v="0"/>
    <n v="0"/>
    <n v="0"/>
    <n v="0"/>
    <n v="0"/>
    <n v="0"/>
    <n v="0"/>
    <n v="0"/>
    <n v="0"/>
    <n v="0"/>
    <n v="0"/>
    <n v="0"/>
    <n v="0"/>
    <n v="0"/>
    <n v="0"/>
    <n v="0"/>
    <n v="0"/>
    <n v="39.250000000000007"/>
    <n v="0"/>
    <n v="0"/>
    <n v="0"/>
    <n v="0"/>
    <n v="0"/>
    <n v="0"/>
    <n v="39.250000000000007"/>
    <n v="39.250000000000007"/>
    <n v="0"/>
    <n v="0"/>
    <n v="0"/>
    <n v="0"/>
    <n v="0"/>
    <n v="0"/>
    <n v="0"/>
    <n v="0"/>
    <n v="0"/>
    <n v="0"/>
    <n v="0"/>
    <n v="0"/>
    <m/>
    <m/>
    <m/>
    <m/>
    <m/>
    <m/>
    <m/>
    <m/>
    <s v="1"/>
    <s v="1"/>
    <s v="1"/>
    <s v="1"/>
    <s v="1"/>
    <m/>
    <m/>
    <m/>
    <m/>
    <m/>
    <m/>
    <m/>
    <m/>
    <m/>
    <m/>
    <m/>
    <m/>
    <m/>
    <m/>
  </r>
  <r>
    <n v="742"/>
    <d v="2025-02-03T00:00:00"/>
    <x v="0"/>
    <n v="9518490750"/>
    <n v="9"/>
    <s v="9518490750-9"/>
    <s v="No Priority"/>
    <x v="0"/>
    <m/>
    <x v="1"/>
    <x v="2"/>
    <x v="1"/>
    <m/>
    <x v="0"/>
    <m/>
    <m/>
    <s v="Orissa"/>
    <s v="East"/>
    <s v="TANGI"/>
    <x v="1"/>
    <x v="19"/>
    <x v="19"/>
    <x v="28"/>
    <s v="CRCA SHEET TSBCRC SR15 0.500X1250X2500"/>
    <s v=""/>
    <s v=""/>
    <m/>
    <m/>
    <s v="Wider"/>
    <x v="2"/>
    <x v="4"/>
    <s v="SR15"/>
    <x v="1"/>
    <x v="0"/>
    <x v="0"/>
    <n v="75"/>
    <n v="72.515000000000001"/>
    <n v="2.4849999999999999"/>
    <n v="2.1850000000000001"/>
    <n v="0"/>
    <n v="2.48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2-12T00:00:00"/>
    <x v="0"/>
    <n v="9518513319"/>
    <n v="4"/>
    <s v="9518513319-4"/>
    <s v="Stocks"/>
    <x v="0"/>
    <m/>
    <x v="2"/>
    <x v="3"/>
    <x v="2"/>
    <m/>
    <x v="1"/>
    <m/>
    <m/>
    <s v="Jharkhand"/>
    <s v="East"/>
    <s v="TBL- BARA AGRICO"/>
    <x v="0"/>
    <x v="6"/>
    <x v="6"/>
    <x v="6"/>
    <s v="PPGL C Y550 HPL3 0.42BMT(0.50TPT)X1220"/>
    <s v="AZ150"/>
    <s v="RAL 9003 TSL 241"/>
    <n v="3"/>
    <n v="5"/>
    <s v="Wider"/>
    <x v="3"/>
    <x v="3"/>
    <s v="HPL3"/>
    <x v="3"/>
    <x v="1"/>
    <x v="0"/>
    <n v="28"/>
    <n v="23.27"/>
    <n v="4.7300000000000004"/>
    <n v="0.31"/>
    <n v="0"/>
    <n v="4.7300000000000004"/>
    <n v="0"/>
    <n v="0"/>
    <n v="0"/>
    <n v="0"/>
    <n v="0"/>
    <n v="0"/>
    <n v="0"/>
    <n v="0"/>
    <n v="0"/>
    <n v="0"/>
    <n v="0"/>
    <n v="0"/>
    <n v="0"/>
    <n v="0"/>
    <n v="0"/>
    <n v="0"/>
    <n v="0"/>
    <n v="0"/>
    <n v="0"/>
    <n v="0"/>
    <n v="0"/>
    <n v="0"/>
    <n v="0"/>
    <n v="0"/>
    <n v="23.27"/>
    <n v="0"/>
    <n v="0"/>
    <n v="0"/>
    <n v="0"/>
    <n v="0"/>
    <n v="0"/>
    <n v="23.27"/>
    <n v="23.27"/>
    <n v="0"/>
    <n v="0"/>
    <n v="0"/>
    <n v="0"/>
    <n v="0"/>
    <n v="0"/>
    <n v="0"/>
    <n v="0"/>
    <n v="0"/>
    <n v="0"/>
    <n v="0"/>
    <n v="0"/>
    <m/>
    <m/>
    <m/>
    <m/>
    <m/>
    <m/>
    <m/>
    <m/>
    <s v="1"/>
    <s v="1"/>
    <s v="1"/>
    <s v="1"/>
    <s v="1"/>
    <m/>
    <m/>
    <m/>
    <m/>
    <m/>
    <m/>
    <m/>
    <m/>
    <m/>
    <m/>
    <m/>
    <m/>
    <m/>
    <m/>
  </r>
  <r>
    <n v="742"/>
    <d v="2025-02-17T00:00:00"/>
    <x v="0"/>
    <n v="9518525571"/>
    <n v="1"/>
    <s v="9518525571-1"/>
    <s v="No Priority"/>
    <x v="0"/>
    <m/>
    <x v="1"/>
    <x v="2"/>
    <x v="0"/>
    <m/>
    <x v="0"/>
    <m/>
    <m/>
    <s v="West Bengal"/>
    <s v="East"/>
    <s v="HOWRAH"/>
    <x v="1"/>
    <x v="20"/>
    <x v="20"/>
    <x v="19"/>
    <s v="CRCA SHEET TATCRC SR16 0.300X900X2500"/>
    <s v=" "/>
    <s v=""/>
    <n v="2"/>
    <n v="3"/>
    <s v="Narrow"/>
    <x v="2"/>
    <x v="1"/>
    <s v="SR16"/>
    <x v="11"/>
    <x v="3"/>
    <x v="3"/>
    <n v="24"/>
    <n v="21.32"/>
    <n v="2.68"/>
    <n v="2.68"/>
    <n v="0"/>
    <n v="2.68"/>
    <n v="0"/>
    <n v="0"/>
    <n v="0"/>
    <n v="0"/>
    <n v="0"/>
    <n v="0"/>
    <n v="0"/>
    <n v="0"/>
    <n v="0"/>
    <n v="0"/>
    <n v="0"/>
    <n v="0"/>
    <n v="0"/>
    <n v="0"/>
    <n v="0"/>
    <n v="0"/>
    <n v="0"/>
    <n v="0"/>
    <n v="0"/>
    <n v="0"/>
    <n v="0"/>
    <n v="0"/>
    <n v="0"/>
    <n v="0"/>
    <n v="0"/>
    <n v="0"/>
    <n v="0"/>
    <n v="0"/>
    <n v="0"/>
    <n v="0"/>
    <n v="0"/>
    <n v="0"/>
    <n v="0"/>
    <n v="0"/>
    <n v="0"/>
    <n v="0"/>
    <n v="0"/>
    <n v="0"/>
    <n v="18.68"/>
    <n v="0"/>
    <n v="0"/>
    <n v="0"/>
    <n v="0"/>
    <n v="0"/>
    <n v="18.68"/>
    <m/>
    <m/>
    <m/>
    <m/>
    <m/>
    <m/>
    <m/>
    <m/>
    <s v="1"/>
    <s v="1"/>
    <s v="1"/>
    <s v="1"/>
    <s v="1"/>
    <m/>
    <m/>
    <m/>
    <m/>
    <m/>
    <m/>
    <m/>
    <m/>
    <m/>
    <m/>
    <m/>
    <m/>
    <m/>
    <m/>
  </r>
  <r>
    <n v="742"/>
    <d v="2025-02-06T00:00:00"/>
    <x v="0"/>
    <n v="9518497626"/>
    <n v="15"/>
    <s v="9518497626-15"/>
    <s v="No Priority"/>
    <x v="0"/>
    <m/>
    <x v="1"/>
    <x v="2"/>
    <x v="0"/>
    <m/>
    <x v="0"/>
    <m/>
    <m/>
    <s v="Andhra Pradesh"/>
    <s v="South"/>
    <s v="VISHAKHAPATNAM"/>
    <x v="1"/>
    <x v="8"/>
    <x v="8"/>
    <x v="8"/>
    <s v="CRCA SHEET TSBCRC SR15 0.800X1000X2500"/>
    <s v=" "/>
    <s v=""/>
    <n v="0"/>
    <n v="0"/>
    <s v="Narrow"/>
    <x v="2"/>
    <x v="4"/>
    <s v="SR15"/>
    <x v="5"/>
    <x v="2"/>
    <x v="3"/>
    <n v="21"/>
    <n v="20.454999999999998"/>
    <n v="0.54500000000000004"/>
    <n v="0.54500000000000004"/>
    <n v="0"/>
    <n v="0.54500000000000004"/>
    <n v="0"/>
    <n v="0"/>
    <n v="0"/>
    <n v="0"/>
    <n v="0"/>
    <n v="0"/>
    <n v="0"/>
    <n v="0"/>
    <n v="0"/>
    <n v="0"/>
    <n v="0"/>
    <n v="0"/>
    <n v="0"/>
    <n v="0"/>
    <n v="0"/>
    <n v="0"/>
    <n v="0"/>
    <n v="0"/>
    <n v="0"/>
    <n v="0"/>
    <n v="0"/>
    <n v="0"/>
    <n v="0"/>
    <n v="0"/>
    <n v="0"/>
    <n v="0"/>
    <n v="0"/>
    <n v="0"/>
    <n v="0"/>
    <n v="0"/>
    <n v="0"/>
    <n v="0"/>
    <n v="0"/>
    <n v="0"/>
    <n v="0"/>
    <n v="0"/>
    <n v="0"/>
    <n v="0"/>
    <n v="20.455000000000002"/>
    <n v="0"/>
    <n v="0"/>
    <n v="0"/>
    <n v="0"/>
    <n v="0"/>
    <n v="20.455000000000002"/>
    <m/>
    <m/>
    <m/>
    <m/>
    <m/>
    <m/>
    <m/>
    <m/>
    <s v="1"/>
    <s v="1"/>
    <s v="1"/>
    <s v="1"/>
    <s v="1"/>
    <m/>
    <m/>
    <m/>
    <m/>
    <m/>
    <m/>
    <m/>
    <m/>
    <m/>
    <m/>
    <m/>
    <m/>
    <m/>
    <m/>
  </r>
  <r>
    <n v="742"/>
    <d v="2025-01-03T00:00:00"/>
    <x v="1"/>
    <n v="9518403770"/>
    <n v="1"/>
    <s v="9518403770-1"/>
    <s v="Stocks"/>
    <x v="0"/>
    <m/>
    <x v="1"/>
    <x v="6"/>
    <x v="0"/>
    <m/>
    <x v="1"/>
    <m/>
    <m/>
    <s v="Karnataka"/>
    <s v="South"/>
    <s v="YESHWANTHPURA"/>
    <x v="0"/>
    <x v="21"/>
    <x v="21"/>
    <x v="29"/>
    <s v="CR COIL TATXHS BR45 2X1300"/>
    <s v=" "/>
    <s v=""/>
    <n v="10"/>
    <n v="27"/>
    <s v="Wider"/>
    <x v="1"/>
    <x v="8"/>
    <s v="BR45"/>
    <x v="15"/>
    <x v="5"/>
    <x v="0"/>
    <n v="240"/>
    <n v="212.97499999999999"/>
    <n v="27.024999999999999"/>
    <n v="27.024999999999999"/>
    <n v="27.024999999999999"/>
    <n v="0"/>
    <n v="0"/>
    <n v="0"/>
    <n v="0"/>
    <n v="0"/>
    <n v="0"/>
    <n v="0"/>
    <n v="0"/>
    <n v="0"/>
    <n v="0"/>
    <n v="0"/>
    <n v="0"/>
    <n v="0"/>
    <n v="0"/>
    <n v="0"/>
    <n v="0"/>
    <n v="0"/>
    <n v="0"/>
    <n v="0"/>
    <n v="0"/>
    <n v="0"/>
    <n v="0"/>
    <n v="0"/>
    <n v="0"/>
    <n v="0"/>
    <n v="78.600000000000009"/>
    <n v="0"/>
    <n v="0"/>
    <n v="0"/>
    <n v="0"/>
    <n v="0"/>
    <n v="0"/>
    <n v="78.600000000000009"/>
    <n v="78.600000000000009"/>
    <n v="0"/>
    <n v="0"/>
    <n v="0"/>
    <n v="0"/>
    <n v="0"/>
    <n v="187.41500000000002"/>
    <n v="0"/>
    <n v="0"/>
    <n v="0"/>
    <n v="0"/>
    <n v="0"/>
    <n v="187.41500000000002"/>
    <m/>
    <m/>
    <m/>
    <m/>
    <m/>
    <m/>
    <m/>
    <m/>
    <s v="1"/>
    <s v="1"/>
    <s v="1"/>
    <s v="1"/>
    <s v="1"/>
    <m/>
    <m/>
    <m/>
    <m/>
    <m/>
    <m/>
    <m/>
    <m/>
    <m/>
    <m/>
    <m/>
    <m/>
    <m/>
    <m/>
  </r>
  <r>
    <n v="742"/>
    <d v="2025-02-05T00:00:00"/>
    <x v="0"/>
    <n v="9518495920"/>
    <n v="7"/>
    <s v="9518495920-7"/>
    <s v="Stocks"/>
    <x v="0"/>
    <m/>
    <x v="1"/>
    <x v="2"/>
    <x v="1"/>
    <m/>
    <x v="1"/>
    <m/>
    <m/>
    <s v="Uttar Pradesh"/>
    <s v="North"/>
    <s v="VARANASI"/>
    <x v="1"/>
    <x v="2"/>
    <x v="2"/>
    <x v="30"/>
    <s v="CRCA SHEET TSBCRC SR15 0.500X1250X2030"/>
    <s v=""/>
    <s v=""/>
    <m/>
    <m/>
    <s v="Wider"/>
    <x v="2"/>
    <x v="4"/>
    <s v="SR15"/>
    <x v="1"/>
    <x v="0"/>
    <x v="1"/>
    <n v="27"/>
    <n v="10.005000000000001"/>
    <n v="16.995000000000001"/>
    <n v="0.71"/>
    <n v="0"/>
    <n v="1.6"/>
    <n v="0"/>
    <n v="0"/>
    <n v="0"/>
    <n v="0"/>
    <n v="0"/>
    <n v="0"/>
    <n v="0"/>
    <n v="0"/>
    <n v="0"/>
    <n v="0"/>
    <n v="0"/>
    <n v="0"/>
    <n v="0"/>
    <n v="0"/>
    <n v="0"/>
    <n v="0"/>
    <n v="0"/>
    <n v="0"/>
    <n v="0"/>
    <n v="0"/>
    <n v="0"/>
    <n v="0"/>
    <n v="0"/>
    <n v="0"/>
    <n v="13.105"/>
    <n v="0"/>
    <n v="0"/>
    <n v="0"/>
    <n v="0"/>
    <n v="0"/>
    <n v="0"/>
    <n v="13.105"/>
    <n v="13.105"/>
    <n v="0"/>
    <n v="0"/>
    <n v="0"/>
    <n v="0"/>
    <n v="0"/>
    <n v="0"/>
    <n v="0"/>
    <n v="0"/>
    <n v="0"/>
    <n v="0"/>
    <n v="0"/>
    <n v="0"/>
    <m/>
    <m/>
    <m/>
    <m/>
    <m/>
    <m/>
    <m/>
    <m/>
    <s v="1"/>
    <s v="1"/>
    <s v="1"/>
    <s v="1"/>
    <s v="1"/>
    <m/>
    <m/>
    <m/>
    <m/>
    <m/>
    <m/>
    <m/>
    <m/>
    <m/>
    <m/>
    <m/>
    <m/>
    <m/>
    <m/>
  </r>
  <r>
    <n v="742"/>
    <d v="2025-02-06T00:00:00"/>
    <x v="0"/>
    <n v="9518497626"/>
    <n v="17"/>
    <s v="9518497626-17"/>
    <s v="No Priority"/>
    <x v="0"/>
    <m/>
    <x v="1"/>
    <x v="2"/>
    <x v="0"/>
    <m/>
    <x v="0"/>
    <m/>
    <m/>
    <s v="Andhra Pradesh"/>
    <s v="South"/>
    <s v="VISHAKHAPATNAM"/>
    <x v="1"/>
    <x v="8"/>
    <x v="8"/>
    <x v="31"/>
    <s v="CRCA SHEET TSBCRC SR15 0.950X1000X2500"/>
    <s v=" "/>
    <s v=""/>
    <n v="0"/>
    <n v="0"/>
    <s v="Narrow"/>
    <x v="2"/>
    <x v="4"/>
    <s v="SR15"/>
    <x v="16"/>
    <x v="2"/>
    <x v="3"/>
    <n v="21"/>
    <n v="19.594999999999999"/>
    <n v="1.405"/>
    <n v="1.405"/>
    <n v="0"/>
    <n v="1.405"/>
    <n v="0"/>
    <n v="0"/>
    <n v="0"/>
    <n v="0"/>
    <n v="0"/>
    <n v="0"/>
    <n v="0"/>
    <n v="0"/>
    <n v="0"/>
    <n v="0"/>
    <n v="0"/>
    <n v="0"/>
    <n v="0"/>
    <n v="0"/>
    <n v="0"/>
    <n v="0"/>
    <n v="0"/>
    <n v="0"/>
    <n v="0"/>
    <n v="0"/>
    <n v="0"/>
    <n v="0"/>
    <n v="0"/>
    <n v="0"/>
    <n v="0"/>
    <n v="0"/>
    <n v="0"/>
    <n v="0"/>
    <n v="0"/>
    <n v="0"/>
    <n v="0"/>
    <n v="0"/>
    <n v="0"/>
    <n v="0"/>
    <n v="0"/>
    <n v="0"/>
    <n v="0"/>
    <n v="0"/>
    <n v="14.265000000000001"/>
    <n v="0"/>
    <n v="0"/>
    <n v="0"/>
    <n v="0"/>
    <n v="0"/>
    <n v="14.265000000000001"/>
    <m/>
    <m/>
    <m/>
    <m/>
    <m/>
    <m/>
    <m/>
    <m/>
    <s v="1"/>
    <s v="1"/>
    <s v="1"/>
    <s v="1"/>
    <s v="1"/>
    <m/>
    <m/>
    <m/>
    <m/>
    <m/>
    <m/>
    <m/>
    <m/>
    <m/>
    <m/>
    <m/>
    <m/>
    <m/>
    <m/>
  </r>
  <r>
    <n v="742"/>
    <d v="2025-02-06T00:00:00"/>
    <x v="0"/>
    <n v="9518497626"/>
    <n v="19"/>
    <s v="9518497626-19"/>
    <s v="No Priority"/>
    <x v="0"/>
    <m/>
    <x v="1"/>
    <x v="2"/>
    <x v="0"/>
    <m/>
    <x v="0"/>
    <m/>
    <m/>
    <s v="Andhra Pradesh"/>
    <s v="South"/>
    <s v="VISHAKHAPATNAM"/>
    <x v="1"/>
    <x v="8"/>
    <x v="8"/>
    <x v="32"/>
    <s v="CRCA SHEET TSBCRC SR15 1X1000X2500"/>
    <s v=" "/>
    <s v=""/>
    <n v="0"/>
    <n v="0"/>
    <s v="Narrow"/>
    <x v="2"/>
    <x v="4"/>
    <s v="SR15"/>
    <x v="17"/>
    <x v="2"/>
    <x v="3"/>
    <n v="20.99"/>
    <n v="20.495000000000001"/>
    <n v="0.495"/>
    <n v="0.495"/>
    <n v="0"/>
    <n v="0.495"/>
    <n v="0"/>
    <n v="0"/>
    <n v="0"/>
    <n v="0"/>
    <n v="0"/>
    <n v="0"/>
    <n v="0"/>
    <n v="0"/>
    <n v="0"/>
    <n v="0"/>
    <n v="0"/>
    <n v="0"/>
    <n v="0"/>
    <n v="0"/>
    <n v="0"/>
    <n v="0"/>
    <n v="0"/>
    <n v="0"/>
    <n v="0"/>
    <n v="0"/>
    <n v="0"/>
    <n v="0"/>
    <n v="0"/>
    <n v="0"/>
    <n v="0"/>
    <n v="0"/>
    <n v="0"/>
    <n v="0"/>
    <n v="0"/>
    <n v="0"/>
    <n v="0"/>
    <n v="0"/>
    <n v="0"/>
    <n v="0"/>
    <n v="0"/>
    <n v="0"/>
    <n v="0"/>
    <n v="0"/>
    <n v="20.495000000000001"/>
    <n v="0"/>
    <n v="0"/>
    <n v="0"/>
    <n v="0"/>
    <n v="0"/>
    <n v="20.495000000000001"/>
    <m/>
    <m/>
    <m/>
    <m/>
    <m/>
    <m/>
    <m/>
    <m/>
    <s v="1"/>
    <s v="1"/>
    <s v="1"/>
    <s v="1"/>
    <s v="1"/>
    <m/>
    <m/>
    <m/>
    <m/>
    <m/>
    <m/>
    <m/>
    <m/>
    <m/>
    <m/>
    <m/>
    <m/>
    <m/>
    <m/>
  </r>
  <r>
    <n v="743"/>
    <d v="2025-02-20T00:00:00"/>
    <x v="0"/>
    <n v="9518535988"/>
    <n v="2"/>
    <s v="9518535988-2"/>
    <s v="Stocks"/>
    <x v="0"/>
    <m/>
    <x v="4"/>
    <x v="3"/>
    <x v="2"/>
    <m/>
    <x v="1"/>
    <m/>
    <m/>
    <s v="Jharkhand"/>
    <s v="East"/>
    <s v="TBL- BARA AGRICO"/>
    <x v="0"/>
    <x v="22"/>
    <x v="6"/>
    <x v="33"/>
    <s v="GL C YS550 H6GL 0.50BMT(0.55TCT)X1220"/>
    <s v="AZ150"/>
    <s v=""/>
    <n v="3"/>
    <n v="5"/>
    <s v="Wider"/>
    <x v="5"/>
    <x v="7"/>
    <s v="H6GL"/>
    <x v="1"/>
    <x v="1"/>
    <x v="0"/>
    <n v="28"/>
    <n v="0"/>
    <n v="28"/>
    <n v="0.04"/>
    <n v="0"/>
    <n v="0.53500000000000003"/>
    <n v="0"/>
    <n v="0"/>
    <n v="0"/>
    <n v="0"/>
    <n v="0"/>
    <n v="0"/>
    <n v="0"/>
    <n v="0"/>
    <n v="0"/>
    <n v="0"/>
    <n v="0"/>
    <n v="0"/>
    <n v="0"/>
    <n v="0"/>
    <n v="0"/>
    <n v="0"/>
    <n v="0"/>
    <n v="0"/>
    <n v="0"/>
    <n v="0"/>
    <n v="0"/>
    <n v="0"/>
    <n v="0"/>
    <n v="0"/>
    <n v="27.465"/>
    <n v="0"/>
    <n v="0"/>
    <n v="0"/>
    <n v="0"/>
    <n v="0"/>
    <n v="0"/>
    <n v="27.465"/>
    <n v="27.465"/>
    <n v="0"/>
    <n v="0"/>
    <n v="0"/>
    <n v="0"/>
    <n v="0"/>
    <n v="0"/>
    <n v="0"/>
    <n v="0"/>
    <n v="0"/>
    <n v="0"/>
    <n v="0"/>
    <n v="0"/>
    <m/>
    <m/>
    <m/>
    <m/>
    <m/>
    <m/>
    <m/>
    <m/>
    <s v="1"/>
    <s v="1"/>
    <s v="1"/>
    <s v="1"/>
    <s v="1"/>
    <m/>
    <m/>
    <m/>
    <m/>
    <m/>
    <m/>
    <m/>
    <m/>
    <m/>
    <m/>
    <m/>
    <m/>
    <m/>
    <m/>
  </r>
  <r>
    <n v="743"/>
    <d v="2025-02-20T00:00:00"/>
    <x v="0"/>
    <n v="9518535988"/>
    <n v="3"/>
    <s v="9518535988-3"/>
    <s v="Stocks"/>
    <x v="0"/>
    <m/>
    <x v="4"/>
    <x v="3"/>
    <x v="2"/>
    <m/>
    <x v="1"/>
    <m/>
    <m/>
    <s v="Jharkhand"/>
    <s v="East"/>
    <s v="TBL- BARA AGRICO"/>
    <x v="0"/>
    <x v="22"/>
    <x v="6"/>
    <x v="34"/>
    <s v="GL C YS550 H6GL 0.55BMT(0.60TCT)X1220"/>
    <s v="AZ150"/>
    <s v=""/>
    <n v="3"/>
    <n v="5"/>
    <s v="Wider"/>
    <x v="5"/>
    <x v="7"/>
    <s v="H6GL"/>
    <x v="18"/>
    <x v="1"/>
    <x v="0"/>
    <n v="28"/>
    <n v="9.3699999999999992"/>
    <n v="18.63"/>
    <n v="-9.4700000000000006"/>
    <n v="0"/>
    <n v="0.82"/>
    <n v="0"/>
    <n v="0"/>
    <n v="0"/>
    <n v="0"/>
    <n v="0"/>
    <n v="0"/>
    <n v="0"/>
    <n v="0"/>
    <n v="0"/>
    <n v="0"/>
    <n v="0"/>
    <n v="0"/>
    <n v="0"/>
    <n v="0"/>
    <n v="0"/>
    <n v="0"/>
    <n v="0"/>
    <n v="0"/>
    <n v="0"/>
    <n v="0"/>
    <n v="0"/>
    <n v="0"/>
    <n v="0"/>
    <n v="0"/>
    <n v="9.0250000000000004"/>
    <n v="0"/>
    <n v="0"/>
    <n v="0"/>
    <n v="0"/>
    <n v="0"/>
    <n v="0"/>
    <n v="9.0250000000000004"/>
    <n v="9.0250000000000004"/>
    <n v="0"/>
    <n v="0"/>
    <n v="0"/>
    <n v="0"/>
    <n v="0"/>
    <n v="9.370000000000001"/>
    <n v="0"/>
    <n v="0"/>
    <n v="0"/>
    <n v="0"/>
    <n v="0"/>
    <n v="9.370000000000001"/>
    <m/>
    <m/>
    <m/>
    <m/>
    <m/>
    <m/>
    <m/>
    <m/>
    <s v="1"/>
    <s v="1"/>
    <s v="1"/>
    <s v="1"/>
    <s v="1"/>
    <m/>
    <m/>
    <m/>
    <m/>
    <m/>
    <m/>
    <m/>
    <m/>
    <m/>
    <m/>
    <m/>
    <m/>
    <m/>
    <m/>
  </r>
  <r>
    <n v="743"/>
    <d v="2025-02-20T00:00:00"/>
    <x v="0"/>
    <n v="9518535988"/>
    <n v="4"/>
    <s v="9518535988-4"/>
    <s v="No Priority"/>
    <x v="0"/>
    <m/>
    <x v="4"/>
    <x v="3"/>
    <x v="2"/>
    <m/>
    <x v="0"/>
    <m/>
    <m/>
    <s v="Jharkhand"/>
    <s v="East"/>
    <s v="TBL- BARA AGRICO"/>
    <x v="0"/>
    <x v="22"/>
    <x v="6"/>
    <x v="35"/>
    <s v="GL C YS550 H6GL 0.45BMT(0.50TCT)X1220"/>
    <s v="AZ150"/>
    <s v=""/>
    <n v="3"/>
    <n v="5"/>
    <s v="Wider"/>
    <x v="5"/>
    <x v="7"/>
    <s v="H6GL"/>
    <x v="10"/>
    <x v="1"/>
    <x v="0"/>
    <n v="252"/>
    <n v="231.405"/>
    <n v="20.594999999999999"/>
    <n v="20.594999999999999"/>
    <n v="20.594999999999999"/>
    <n v="20.594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30T00:00:00"/>
    <x v="0"/>
    <n v="9518477709"/>
    <n v="1"/>
    <s v="9518477709-1"/>
    <s v="No Priority"/>
    <x v="0"/>
    <m/>
    <x v="1"/>
    <x v="1"/>
    <x v="0"/>
    <m/>
    <x v="0"/>
    <m/>
    <m/>
    <s v="Telangana"/>
    <s v="South"/>
    <s v="SANGAREDDY"/>
    <x v="0"/>
    <x v="23"/>
    <x v="22"/>
    <x v="36"/>
    <s v="CRSHEET-ICF  DQ TATXXD AU03 1.20 X 1270"/>
    <s v=" "/>
    <s v=""/>
    <n v="5"/>
    <n v="30"/>
    <s v="Wider"/>
    <x v="1"/>
    <x v="2"/>
    <s v="AU03"/>
    <x v="19"/>
    <x v="6"/>
    <x v="0"/>
    <n v="87"/>
    <n v="26.2"/>
    <n v="60.8"/>
    <n v="60.8"/>
    <n v="60.8"/>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3T00:00:00"/>
    <x v="1"/>
    <n v="9518517180"/>
    <n v="6"/>
    <s v="9518517180-6"/>
    <s v="Stocks"/>
    <x v="0"/>
    <m/>
    <x v="1"/>
    <x v="7"/>
    <x v="2"/>
    <m/>
    <x v="1"/>
    <m/>
    <s v="Exp BTF &lt;17MT"/>
    <s v="Uttar Pradesh"/>
    <s v="North"/>
    <s v="PILKHUWA"/>
    <x v="0"/>
    <x v="24"/>
    <x v="23"/>
    <x v="37"/>
    <s v="CR COIL TSBSTA EL06 0.500X1250"/>
    <s v=" "/>
    <s v=""/>
    <n v="8"/>
    <n v="14"/>
    <s v="Wider"/>
    <x v="1"/>
    <x v="9"/>
    <s v="EL06"/>
    <x v="1"/>
    <x v="0"/>
    <x v="0"/>
    <n v="290"/>
    <n v="255.79499999999999"/>
    <n v="34.204999999999998"/>
    <n v="6.4850000000000003"/>
    <n v="34.204999999999998"/>
    <n v="9.06"/>
    <n v="0"/>
    <n v="0"/>
    <n v="0"/>
    <n v="0"/>
    <n v="0"/>
    <n v="0"/>
    <n v="0"/>
    <n v="0"/>
    <n v="0"/>
    <n v="0"/>
    <n v="0"/>
    <n v="0"/>
    <n v="0"/>
    <n v="0"/>
    <n v="0"/>
    <n v="0"/>
    <n v="0"/>
    <n v="0"/>
    <n v="0"/>
    <n v="0"/>
    <n v="0"/>
    <n v="0"/>
    <n v="0"/>
    <n v="0"/>
    <n v="24.47"/>
    <n v="0"/>
    <n v="0"/>
    <n v="0"/>
    <n v="0"/>
    <n v="0"/>
    <n v="0"/>
    <n v="24.47"/>
    <n v="24.47"/>
    <n v="0"/>
    <n v="0"/>
    <n v="0"/>
    <n v="0"/>
    <n v="0"/>
    <n v="178.50000000000003"/>
    <n v="0"/>
    <n v="0"/>
    <n v="0"/>
    <n v="0"/>
    <n v="0"/>
    <n v="178.50000000000003"/>
    <m/>
    <m/>
    <m/>
    <m/>
    <m/>
    <m/>
    <m/>
    <m/>
    <s v="1"/>
    <s v="1"/>
    <s v="1"/>
    <s v="1"/>
    <s v="1"/>
    <m/>
    <m/>
    <m/>
    <m/>
    <m/>
    <m/>
    <m/>
    <m/>
    <m/>
    <m/>
    <m/>
    <m/>
    <m/>
    <m/>
  </r>
  <r>
    <n v="742"/>
    <d v="2025-02-13T00:00:00"/>
    <x v="1"/>
    <n v="9518517180"/>
    <n v="7"/>
    <s v="9518517180-7"/>
    <s v="Stocks"/>
    <x v="0"/>
    <m/>
    <x v="1"/>
    <x v="7"/>
    <x v="2"/>
    <m/>
    <x v="1"/>
    <m/>
    <s v="Exp BTF &lt;17MT"/>
    <s v="Uttar Pradesh"/>
    <s v="North"/>
    <s v="PILKHUWA"/>
    <x v="0"/>
    <x v="24"/>
    <x v="23"/>
    <x v="37"/>
    <s v="CR COIL TSBSTA EL06 0.500X1250"/>
    <s v=" "/>
    <s v=""/>
    <n v="8"/>
    <n v="14"/>
    <s v="Wider"/>
    <x v="1"/>
    <x v="9"/>
    <s v="EL06"/>
    <x v="1"/>
    <x v="0"/>
    <x v="0"/>
    <n v="290"/>
    <n v="242.87"/>
    <n v="47.13"/>
    <n v="8.1649999999999991"/>
    <n v="47.13"/>
    <n v="9.75"/>
    <n v="0"/>
    <n v="0"/>
    <n v="0"/>
    <n v="0"/>
    <n v="0"/>
    <n v="0"/>
    <n v="0"/>
    <n v="0"/>
    <n v="0"/>
    <n v="0"/>
    <n v="0"/>
    <n v="0"/>
    <n v="0"/>
    <n v="0"/>
    <n v="0"/>
    <n v="0"/>
    <n v="0"/>
    <n v="0"/>
    <n v="0"/>
    <n v="0"/>
    <n v="0"/>
    <n v="0"/>
    <n v="0"/>
    <n v="0"/>
    <n v="24.975000000000001"/>
    <n v="0"/>
    <n v="0"/>
    <n v="0"/>
    <n v="0"/>
    <n v="0"/>
    <n v="0"/>
    <n v="24.975000000000001"/>
    <n v="24.975000000000001"/>
    <n v="0"/>
    <n v="0"/>
    <n v="0"/>
    <n v="0"/>
    <n v="0"/>
    <n v="76.55"/>
    <n v="0"/>
    <n v="0"/>
    <n v="0"/>
    <n v="0"/>
    <n v="0"/>
    <n v="76.55"/>
    <m/>
    <m/>
    <m/>
    <m/>
    <m/>
    <m/>
    <m/>
    <m/>
    <s v="1"/>
    <s v="1"/>
    <s v="1"/>
    <s v="1"/>
    <s v="1"/>
    <m/>
    <m/>
    <m/>
    <m/>
    <m/>
    <m/>
    <m/>
    <m/>
    <m/>
    <m/>
    <m/>
    <m/>
    <m/>
    <m/>
  </r>
  <r>
    <n v="742"/>
    <d v="2025-02-10T00:00:00"/>
    <x v="0"/>
    <n v="9518507657"/>
    <n v="9"/>
    <s v="9518507657-9"/>
    <s v="No Priority"/>
    <x v="0"/>
    <m/>
    <x v="1"/>
    <x v="2"/>
    <x v="0"/>
    <m/>
    <x v="0"/>
    <m/>
    <m/>
    <s v="Assam"/>
    <s v="East"/>
    <s v="GUWAHATI"/>
    <x v="1"/>
    <x v="25"/>
    <x v="24"/>
    <x v="38"/>
    <s v="CRCA SHEET TSBCRC SR15 0.700X1000X2500"/>
    <s v=" "/>
    <s v=""/>
    <n v="2"/>
    <n v="3"/>
    <s v="Narrow"/>
    <x v="2"/>
    <x v="4"/>
    <s v="SR15"/>
    <x v="4"/>
    <x v="2"/>
    <x v="3"/>
    <n v="21"/>
    <n v="20.43"/>
    <n v="0.56999999999999995"/>
    <n v="0.56999999999999995"/>
    <n v="0"/>
    <n v="0.56999999999999995"/>
    <n v="0"/>
    <n v="0"/>
    <n v="0"/>
    <n v="0"/>
    <n v="0"/>
    <n v="0"/>
    <n v="0"/>
    <n v="0"/>
    <n v="0"/>
    <n v="0"/>
    <n v="0"/>
    <n v="0"/>
    <n v="0"/>
    <n v="0"/>
    <n v="0"/>
    <n v="0"/>
    <n v="0"/>
    <n v="0"/>
    <n v="0"/>
    <n v="0"/>
    <n v="0"/>
    <n v="0"/>
    <n v="0"/>
    <n v="0"/>
    <n v="0"/>
    <n v="0"/>
    <n v="0"/>
    <n v="0"/>
    <n v="0"/>
    <n v="0"/>
    <n v="0"/>
    <n v="0"/>
    <n v="0"/>
    <n v="0"/>
    <n v="0"/>
    <n v="0"/>
    <n v="0"/>
    <n v="0"/>
    <n v="20.43"/>
    <n v="0"/>
    <n v="0"/>
    <n v="0"/>
    <n v="0"/>
    <n v="0"/>
    <n v="20.43"/>
    <m/>
    <m/>
    <m/>
    <m/>
    <m/>
    <m/>
    <m/>
    <m/>
    <s v="1"/>
    <s v="1"/>
    <s v="1"/>
    <s v="1"/>
    <s v="1"/>
    <m/>
    <m/>
    <m/>
    <m/>
    <m/>
    <m/>
    <m/>
    <m/>
    <m/>
    <m/>
    <m/>
    <m/>
    <m/>
    <m/>
  </r>
  <r>
    <n v="742"/>
    <d v="2025-02-06T00:00:00"/>
    <x v="0"/>
    <n v="9518498155"/>
    <n v="5"/>
    <s v="9518498155-5"/>
    <s v="Mar'25"/>
    <x v="0"/>
    <m/>
    <x v="1"/>
    <x v="1"/>
    <x v="0"/>
    <m/>
    <x v="1"/>
    <m/>
    <m/>
    <s v="Andhra Pradesh"/>
    <s v="South"/>
    <s v="VISHAKHAPATNAM"/>
    <x v="0"/>
    <x v="8"/>
    <x v="8"/>
    <x v="39"/>
    <s v="CRCA COIL-TATXXD-AU03-1X900"/>
    <s v=" "/>
    <s v=""/>
    <n v="8"/>
    <n v="29"/>
    <s v="Narrow"/>
    <x v="1"/>
    <x v="2"/>
    <s v="AU03"/>
    <x v="17"/>
    <x v="3"/>
    <x v="0"/>
    <n v="21"/>
    <n v="0"/>
    <n v="21"/>
    <n v="21"/>
    <n v="21"/>
    <n v="21"/>
    <n v="0"/>
    <n v="0"/>
    <n v="0"/>
    <n v="0"/>
    <n v="0"/>
    <n v="0"/>
    <n v="0"/>
    <n v="0"/>
    <n v="0"/>
    <n v="0"/>
    <n v="0"/>
    <n v="0"/>
    <n v="0"/>
    <n v="0"/>
    <n v="0"/>
    <n v="0"/>
    <n v="0"/>
    <n v="0"/>
    <n v="0"/>
    <n v="0"/>
    <n v="0"/>
    <n v="0"/>
    <n v="0"/>
    <n v="0"/>
    <n v="0"/>
    <n v="21"/>
    <n v="0"/>
    <n v="0"/>
    <n v="0"/>
    <n v="0"/>
    <n v="21"/>
    <n v="0"/>
    <n v="0"/>
    <n v="0"/>
    <n v="0"/>
    <n v="0"/>
    <n v="0"/>
    <n v="21"/>
    <n v="0"/>
    <n v="0"/>
    <n v="0"/>
    <n v="0"/>
    <n v="0"/>
    <n v="0"/>
    <n v="0"/>
    <m/>
    <m/>
    <m/>
    <m/>
    <m/>
    <m/>
    <m/>
    <m/>
    <s v="1"/>
    <s v="1"/>
    <s v="1"/>
    <s v="1"/>
    <s v="0"/>
    <m/>
    <m/>
    <m/>
    <m/>
    <m/>
    <m/>
    <m/>
    <m/>
    <m/>
    <m/>
    <m/>
    <m/>
    <m/>
    <m/>
  </r>
  <r>
    <n v="744"/>
    <d v="2025-02-20T00:00:00"/>
    <x v="0"/>
    <n v="9518536065"/>
    <n v="1"/>
    <s v="9518536065-1"/>
    <s v="Apr'25 "/>
    <x v="0"/>
    <m/>
    <x v="2"/>
    <x v="3"/>
    <x v="2"/>
    <m/>
    <x v="1"/>
    <m/>
    <m/>
    <s v="Jharkhand"/>
    <s v="East"/>
    <s v="TBL- BARA AGRICO"/>
    <x v="0"/>
    <x v="6"/>
    <x v="6"/>
    <x v="40"/>
    <s v="PPGL C Y550 HPL3 0.45BMT(0.53TPT)X1220"/>
    <s v="AZ150"/>
    <s v="RAL 9006 TSL 203"/>
    <n v="3"/>
    <n v="5"/>
    <s v="Wider"/>
    <x v="3"/>
    <x v="3"/>
    <s v="HPL3"/>
    <x v="10"/>
    <x v="1"/>
    <x v="0"/>
    <n v="55.99"/>
    <n v="37.11"/>
    <n v="18.88"/>
    <n v="18.88"/>
    <n v="18.88"/>
    <n v="18.8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3T00:00:00"/>
    <x v="0"/>
    <n v="9518490750"/>
    <n v="7"/>
    <s v="9518490750-7"/>
    <s v="No Priority"/>
    <x v="0"/>
    <m/>
    <x v="1"/>
    <x v="2"/>
    <x v="0"/>
    <m/>
    <x v="0"/>
    <m/>
    <m/>
    <s v="Orissa"/>
    <s v="East"/>
    <s v="TANGI"/>
    <x v="1"/>
    <x v="19"/>
    <x v="25"/>
    <x v="38"/>
    <s v="CRCA SHEET TSBCRC SR15 0.700X1000X2500"/>
    <s v=" "/>
    <s v=""/>
    <n v="0.1"/>
    <n v="5"/>
    <s v="Narrow"/>
    <x v="2"/>
    <x v="4"/>
    <s v="SR15"/>
    <x v="4"/>
    <x v="2"/>
    <x v="3"/>
    <n v="75"/>
    <n v="62.06"/>
    <n v="12.94"/>
    <n v="12.94"/>
    <n v="12.94"/>
    <n v="12.94"/>
    <n v="0"/>
    <n v="0"/>
    <n v="0"/>
    <n v="0"/>
    <n v="0"/>
    <n v="0"/>
    <n v="0"/>
    <n v="0"/>
    <n v="0"/>
    <n v="0"/>
    <n v="0"/>
    <n v="0"/>
    <n v="0"/>
    <n v="0"/>
    <n v="0"/>
    <n v="0"/>
    <n v="0"/>
    <n v="0"/>
    <n v="0"/>
    <n v="0"/>
    <n v="0"/>
    <n v="0"/>
    <n v="0"/>
    <n v="0"/>
    <n v="0"/>
    <n v="0"/>
    <n v="0"/>
    <n v="0"/>
    <n v="0"/>
    <n v="0"/>
    <n v="0"/>
    <n v="0"/>
    <n v="0"/>
    <n v="0"/>
    <n v="0"/>
    <n v="0"/>
    <n v="0"/>
    <n v="0"/>
    <n v="20.715"/>
    <n v="0"/>
    <n v="0"/>
    <n v="0"/>
    <n v="0"/>
    <n v="0"/>
    <n v="20.715"/>
    <m/>
    <m/>
    <m/>
    <m/>
    <m/>
    <m/>
    <m/>
    <m/>
    <s v="1"/>
    <s v="1"/>
    <s v="1"/>
    <s v="1"/>
    <s v="1"/>
    <m/>
    <m/>
    <m/>
    <m/>
    <m/>
    <m/>
    <m/>
    <m/>
    <m/>
    <m/>
    <m/>
    <m/>
    <m/>
    <m/>
  </r>
  <r>
    <n v="742"/>
    <d v="2025-02-03T00:00:00"/>
    <x v="0"/>
    <n v="9518490750"/>
    <n v="10"/>
    <s v="9518490750-10"/>
    <s v="No Priority"/>
    <x v="0"/>
    <m/>
    <x v="1"/>
    <x v="2"/>
    <x v="1"/>
    <m/>
    <x v="0"/>
    <m/>
    <m/>
    <s v="Orissa"/>
    <s v="East"/>
    <s v="TANGI"/>
    <x v="1"/>
    <x v="19"/>
    <x v="19"/>
    <x v="41"/>
    <s v="CRCA SHEET TSBCRC SR15 0.600X1250X2500"/>
    <s v=""/>
    <s v=""/>
    <m/>
    <m/>
    <s v="Wider"/>
    <x v="2"/>
    <x v="4"/>
    <s v="SR15"/>
    <x v="20"/>
    <x v="0"/>
    <x v="0"/>
    <n v="75"/>
    <n v="72.92"/>
    <n v="2.08"/>
    <n v="2.08"/>
    <n v="0"/>
    <n v="2.0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0T00:00:00"/>
    <x v="0"/>
    <n v="9518507185"/>
    <n v="12"/>
    <s v="9518507185-12"/>
    <s v="May'25"/>
    <x v="0"/>
    <m/>
    <x v="1"/>
    <x v="2"/>
    <x v="1"/>
    <m/>
    <x v="1"/>
    <m/>
    <m/>
    <s v="Jharkhand"/>
    <s v="East"/>
    <s v="WEST BOKARO"/>
    <x v="1"/>
    <x v="12"/>
    <x v="12"/>
    <x v="42"/>
    <s v="CRCA SHEET TSBCRC SR15 0.600X1250X2500"/>
    <s v=""/>
    <s v=""/>
    <m/>
    <m/>
    <s v="Wider"/>
    <x v="2"/>
    <x v="4"/>
    <s v="SR15"/>
    <x v="20"/>
    <x v="0"/>
    <x v="3"/>
    <n v="39"/>
    <n v="19.82"/>
    <n v="19.18"/>
    <n v="13.535"/>
    <n v="19.18"/>
    <n v="14.32"/>
    <n v="0"/>
    <n v="0"/>
    <n v="0"/>
    <n v="0"/>
    <n v="0"/>
    <n v="0"/>
    <n v="0"/>
    <n v="0"/>
    <n v="0"/>
    <n v="0"/>
    <n v="0"/>
    <n v="0"/>
    <n v="0"/>
    <n v="0"/>
    <n v="0"/>
    <n v="0"/>
    <n v="0"/>
    <n v="0"/>
    <n v="0"/>
    <n v="0"/>
    <n v="0"/>
    <n v="0"/>
    <n v="0"/>
    <n v="0"/>
    <n v="0"/>
    <n v="14.32"/>
    <n v="0"/>
    <n v="0"/>
    <n v="14.32"/>
    <n v="0"/>
    <n v="0"/>
    <n v="14.32"/>
    <n v="0"/>
    <n v="0"/>
    <n v="14.32"/>
    <n v="0"/>
    <n v="0"/>
    <n v="0"/>
    <n v="0"/>
    <n v="0"/>
    <n v="0"/>
    <n v="0"/>
    <n v="0"/>
    <n v="0"/>
    <n v="0"/>
    <m/>
    <m/>
    <m/>
    <m/>
    <m/>
    <m/>
    <m/>
    <m/>
    <s v="1"/>
    <s v="1"/>
    <s v="0"/>
    <s v="1"/>
    <s v="1"/>
    <m/>
    <m/>
    <m/>
    <m/>
    <m/>
    <m/>
    <m/>
    <m/>
    <m/>
    <m/>
    <m/>
    <m/>
    <m/>
    <m/>
  </r>
  <r>
    <n v="742"/>
    <d v="2025-01-13T00:00:00"/>
    <x v="0"/>
    <n v="9518425909"/>
    <n v="13"/>
    <s v="9518425909-13"/>
    <s v="No Priority"/>
    <x v="0"/>
    <m/>
    <x v="1"/>
    <x v="2"/>
    <x v="1"/>
    <m/>
    <x v="0"/>
    <m/>
    <m/>
    <s v="Andhra Pradesh"/>
    <s v="South"/>
    <s v="VISHAKHAPATNAM"/>
    <x v="1"/>
    <x v="8"/>
    <x v="8"/>
    <x v="41"/>
    <s v="CRCA SHEET TSBCRC SR15 0.600X1250X2500"/>
    <s v=""/>
    <s v=""/>
    <m/>
    <m/>
    <s v="Wider"/>
    <x v="2"/>
    <x v="4"/>
    <s v="SR15"/>
    <x v="20"/>
    <x v="0"/>
    <x v="0"/>
    <n v="27"/>
    <n v="0"/>
    <n v="27"/>
    <n v="-0.54"/>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6T00:00:00"/>
    <x v="0"/>
    <n v="9518497626"/>
    <n v="12"/>
    <s v="9518497626-12"/>
    <s v="No Priority"/>
    <x v="0"/>
    <m/>
    <x v="1"/>
    <x v="2"/>
    <x v="1"/>
    <m/>
    <x v="0"/>
    <m/>
    <m/>
    <s v="Andhra Pradesh"/>
    <s v="South"/>
    <s v="VISHAKHAPATNAM"/>
    <x v="1"/>
    <x v="8"/>
    <x v="8"/>
    <x v="41"/>
    <s v="CRCA SHEET TSBCRC SR15 0.600X1250X2500"/>
    <s v=""/>
    <s v=""/>
    <m/>
    <m/>
    <s v="Wider"/>
    <x v="2"/>
    <x v="4"/>
    <s v="SR15"/>
    <x v="20"/>
    <x v="0"/>
    <x v="0"/>
    <n v="27"/>
    <n v="25.934999999999999"/>
    <n v="1.0649999999999999"/>
    <n v="0.78500000000000003"/>
    <n v="0"/>
    <n v="1.06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9T00:00:00"/>
    <x v="1"/>
    <n v="9518440980"/>
    <n v="2"/>
    <s v="9518440980-2"/>
    <s v="No Priority"/>
    <x v="0"/>
    <m/>
    <x v="1"/>
    <x v="6"/>
    <x v="0"/>
    <m/>
    <x v="0"/>
    <m/>
    <m/>
    <s v="Orissa"/>
    <s v="East"/>
    <s v="YESHWANTHPURA"/>
    <x v="0"/>
    <x v="26"/>
    <x v="26"/>
    <x v="29"/>
    <s v="CR COIL TATXHS BR45 2X1300"/>
    <s v=" "/>
    <s v=""/>
    <n v="10"/>
    <n v="27"/>
    <s v="Wider"/>
    <x v="1"/>
    <x v="8"/>
    <s v="BR45"/>
    <x v="15"/>
    <x v="5"/>
    <x v="0"/>
    <n v="240"/>
    <n v="186.345"/>
    <n v="53.655000000000001"/>
    <n v="53.655000000000001"/>
    <n v="53.655000000000001"/>
    <n v="0"/>
    <n v="0"/>
    <n v="0"/>
    <n v="0"/>
    <n v="0"/>
    <n v="0"/>
    <n v="0"/>
    <n v="0"/>
    <n v="0"/>
    <n v="0"/>
    <n v="0"/>
    <n v="0"/>
    <n v="0"/>
    <n v="0"/>
    <n v="0"/>
    <n v="0"/>
    <n v="0"/>
    <n v="0"/>
    <n v="0"/>
    <n v="0"/>
    <n v="0"/>
    <n v="0"/>
    <n v="0"/>
    <n v="0"/>
    <n v="0"/>
    <n v="0"/>
    <n v="0"/>
    <n v="0"/>
    <n v="0"/>
    <n v="0"/>
    <n v="0"/>
    <n v="0"/>
    <n v="0"/>
    <n v="0"/>
    <n v="0"/>
    <n v="0"/>
    <n v="0"/>
    <n v="0"/>
    <n v="0"/>
    <n v="172.89500000000001"/>
    <n v="0"/>
    <n v="0"/>
    <n v="0"/>
    <n v="0"/>
    <n v="0"/>
    <n v="172.89500000000001"/>
    <m/>
    <m/>
    <m/>
    <m/>
    <m/>
    <m/>
    <m/>
    <m/>
    <s v="1"/>
    <s v="1"/>
    <s v="1"/>
    <s v="1"/>
    <s v="1"/>
    <m/>
    <m/>
    <m/>
    <m/>
    <m/>
    <m/>
    <m/>
    <m/>
    <m/>
    <m/>
    <m/>
    <m/>
    <m/>
    <m/>
  </r>
  <r>
    <n v="742"/>
    <d v="2025-01-11T00:00:00"/>
    <x v="0"/>
    <n v="9518421446"/>
    <n v="2"/>
    <s v="9518421446-2"/>
    <s v="No Priority"/>
    <x v="0"/>
    <m/>
    <x v="1"/>
    <x v="2"/>
    <x v="0"/>
    <m/>
    <x v="0"/>
    <m/>
    <m/>
    <s v="Jharkhand"/>
    <s v="East"/>
    <s v="WEST BOKARO"/>
    <x v="1"/>
    <x v="12"/>
    <x v="12"/>
    <x v="43"/>
    <s v="CRCA SHEET TATCRC SR16 0.350X1000X2500"/>
    <s v=" "/>
    <s v=""/>
    <n v="2.8"/>
    <n v="3.2"/>
    <s v="Narrow"/>
    <x v="2"/>
    <x v="1"/>
    <s v="SR16"/>
    <x v="6"/>
    <x v="2"/>
    <x v="3"/>
    <n v="24"/>
    <n v="0"/>
    <n v="24"/>
    <n v="24"/>
    <n v="24"/>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24T00:00:00"/>
    <x v="1"/>
    <n v="4000495825"/>
    <n v="1"/>
    <s v="4000495825-1"/>
    <s v="Stocks"/>
    <x v="0"/>
    <m/>
    <x v="0"/>
    <x v="6"/>
    <x v="0"/>
    <m/>
    <x v="1"/>
    <m/>
    <m/>
    <s v="Karnataka"/>
    <s v="South"/>
    <s v="YESHWANTHPURA"/>
    <x v="0"/>
    <x v="21"/>
    <x v="21"/>
    <x v="44"/>
    <s v="HR COILS-PO THR099 4.10X1250"/>
    <s v=" "/>
    <s v=""/>
    <n v="17"/>
    <n v="27.5"/>
    <s v="Wider"/>
    <x v="0"/>
    <x v="0"/>
    <s v="HR99"/>
    <x v="21"/>
    <x v="0"/>
    <x v="0"/>
    <n v="75"/>
    <n v="24.76"/>
    <n v="50.24"/>
    <n v="0.7"/>
    <n v="0"/>
    <n v="0"/>
    <n v="0"/>
    <n v="0"/>
    <n v="0"/>
    <n v="0"/>
    <n v="0"/>
    <n v="0"/>
    <n v="0"/>
    <n v="0"/>
    <n v="0"/>
    <n v="0"/>
    <n v="0"/>
    <n v="0"/>
    <n v="0"/>
    <n v="0"/>
    <n v="0"/>
    <n v="0"/>
    <n v="0"/>
    <n v="0"/>
    <n v="0"/>
    <n v="0"/>
    <n v="0"/>
    <n v="0"/>
    <n v="0"/>
    <n v="0"/>
    <n v="24.51"/>
    <n v="0"/>
    <n v="0"/>
    <n v="0"/>
    <n v="0"/>
    <n v="0"/>
    <n v="0"/>
    <n v="24.51"/>
    <n v="24.51"/>
    <n v="0"/>
    <n v="0"/>
    <n v="0"/>
    <n v="0"/>
    <n v="0"/>
    <n v="0"/>
    <n v="0"/>
    <n v="0"/>
    <n v="0"/>
    <n v="0"/>
    <n v="0"/>
    <n v="0"/>
    <m/>
    <m/>
    <m/>
    <m/>
    <m/>
    <m/>
    <m/>
    <m/>
    <s v="1"/>
    <s v="1"/>
    <s v="1"/>
    <s v="1"/>
    <s v="1"/>
    <m/>
    <m/>
    <m/>
    <m/>
    <m/>
    <m/>
    <m/>
    <m/>
    <m/>
    <m/>
    <m/>
    <m/>
    <m/>
    <m/>
  </r>
  <r>
    <n v="742"/>
    <d v="2025-02-17T00:00:00"/>
    <x v="1"/>
    <n v="9518527449"/>
    <n v="9"/>
    <s v="9518527449-9"/>
    <s v="Apr'25 "/>
    <x v="0"/>
    <m/>
    <x v="1"/>
    <x v="6"/>
    <x v="0"/>
    <m/>
    <x v="1"/>
    <m/>
    <m/>
    <s v="Orissa"/>
    <s v="East"/>
    <s v="YESHWANTHPURA"/>
    <x v="0"/>
    <x v="26"/>
    <x v="26"/>
    <x v="45"/>
    <s v="CRCA COIL TSBHSQ TU99 1.600X1270"/>
    <s v=" "/>
    <s v=""/>
    <n v="10"/>
    <n v="27"/>
    <s v="Wider"/>
    <x v="1"/>
    <x v="10"/>
    <s v="TU99"/>
    <x v="22"/>
    <x v="6"/>
    <x v="0"/>
    <n v="200"/>
    <n v="179.79499999999999"/>
    <n v="20.204999999999998"/>
    <n v="20.204999999999998"/>
    <n v="-0.50500000000000256"/>
    <n v="20.204999999999998"/>
    <n v="0"/>
    <n v="0"/>
    <n v="0"/>
    <n v="0"/>
    <n v="0"/>
    <n v="0"/>
    <n v="0"/>
    <n v="0"/>
    <n v="0"/>
    <n v="0"/>
    <n v="0"/>
    <n v="0"/>
    <n v="20.71"/>
    <n v="0"/>
    <n v="0"/>
    <n v="0"/>
    <n v="0"/>
    <n v="0"/>
    <n v="0"/>
    <n v="20.71"/>
    <n v="20.71"/>
    <n v="0"/>
    <n v="20.71"/>
    <n v="0"/>
    <n v="0"/>
    <n v="20.204999999999998"/>
    <n v="0"/>
    <n v="20.204999999999998"/>
    <n v="0"/>
    <n v="0"/>
    <n v="0"/>
    <n v="20.204999999999998"/>
    <n v="0"/>
    <n v="20.204999999999998"/>
    <n v="0"/>
    <n v="0"/>
    <n v="0"/>
    <n v="0"/>
    <n v="66.025000000000006"/>
    <n v="0"/>
    <n v="20.204999999999998"/>
    <n v="0"/>
    <n v="0"/>
    <n v="0"/>
    <n v="45.820000000000007"/>
    <m/>
    <m/>
    <m/>
    <m/>
    <m/>
    <m/>
    <m/>
    <m/>
    <s v="1"/>
    <s v="1"/>
    <s v="1"/>
    <s v="1"/>
    <s v="1"/>
    <m/>
    <m/>
    <m/>
    <m/>
    <m/>
    <m/>
    <m/>
    <m/>
    <m/>
    <m/>
    <m/>
    <m/>
    <m/>
    <m/>
  </r>
  <r>
    <n v="742"/>
    <d v="2025-01-13T00:00:00"/>
    <x v="0"/>
    <n v="9518425909"/>
    <n v="11"/>
    <s v="9518425909-11"/>
    <s v="No Priority"/>
    <x v="0"/>
    <m/>
    <x v="1"/>
    <x v="2"/>
    <x v="0"/>
    <m/>
    <x v="0"/>
    <m/>
    <s v="Exp BTF &lt;17MT"/>
    <s v="Andhra Pradesh"/>
    <s v="South"/>
    <s v="VISHAKHAPATNAM"/>
    <x v="1"/>
    <x v="8"/>
    <x v="8"/>
    <x v="46"/>
    <s v="CRCA SHEET TSBCRC SR15 0.600X1000X2440"/>
    <s v=" "/>
    <s v=""/>
    <n v="0"/>
    <n v="0"/>
    <s v="Narrow"/>
    <x v="2"/>
    <x v="4"/>
    <s v="SR15"/>
    <x v="20"/>
    <x v="2"/>
    <x v="6"/>
    <n v="68.989999999999995"/>
    <n v="62.08"/>
    <n v="6.91"/>
    <n v="6.91"/>
    <n v="6.91"/>
    <n v="0"/>
    <n v="0"/>
    <n v="0"/>
    <n v="0"/>
    <n v="0"/>
    <n v="0"/>
    <n v="0"/>
    <n v="0"/>
    <n v="0"/>
    <n v="0"/>
    <n v="0"/>
    <n v="0"/>
    <n v="0"/>
    <n v="0"/>
    <n v="0"/>
    <n v="0"/>
    <n v="0"/>
    <n v="0"/>
    <n v="0"/>
    <n v="0"/>
    <n v="0"/>
    <n v="0"/>
    <n v="0"/>
    <n v="0"/>
    <n v="0"/>
    <n v="0"/>
    <n v="0"/>
    <n v="0"/>
    <n v="0"/>
    <n v="0"/>
    <n v="0"/>
    <n v="0"/>
    <n v="0"/>
    <n v="0"/>
    <n v="0"/>
    <n v="0"/>
    <n v="0"/>
    <n v="0"/>
    <n v="0"/>
    <n v="20.56"/>
    <n v="0"/>
    <n v="0"/>
    <n v="0"/>
    <n v="0"/>
    <n v="0"/>
    <n v="20.56"/>
    <m/>
    <m/>
    <m/>
    <m/>
    <m/>
    <m/>
    <m/>
    <m/>
    <s v="1"/>
    <s v="1"/>
    <s v="1"/>
    <s v="1"/>
    <s v="1"/>
    <m/>
    <m/>
    <m/>
    <m/>
    <m/>
    <m/>
    <m/>
    <m/>
    <m/>
    <m/>
    <m/>
    <m/>
    <m/>
    <m/>
  </r>
  <r>
    <n v="742"/>
    <d v="2025-02-14T00:00:00"/>
    <x v="0"/>
    <n v="9518519534"/>
    <n v="1"/>
    <s v="9518519534-1"/>
    <s v="No Priority"/>
    <x v="0"/>
    <m/>
    <x v="0"/>
    <x v="0"/>
    <x v="0"/>
    <m/>
    <x v="0"/>
    <m/>
    <m/>
    <s v="Maharashtra"/>
    <s v="West"/>
    <s v="BOMBAY"/>
    <x v="0"/>
    <x v="27"/>
    <x v="27"/>
    <x v="47"/>
    <s v="HR COILS-PO IS 1079 HR2 2X1250"/>
    <s v=" "/>
    <s v=""/>
    <n v="16"/>
    <n v="32"/>
    <s v="Wider"/>
    <x v="0"/>
    <x v="0"/>
    <s v="HR99"/>
    <x v="15"/>
    <x v="0"/>
    <x v="0"/>
    <n v="50"/>
    <n v="23.55"/>
    <n v="26.45"/>
    <n v="26.45"/>
    <n v="26.45"/>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4T00:00:00"/>
    <x v="0"/>
    <n v="9518519621"/>
    <n v="1"/>
    <s v="9518519621-1"/>
    <s v="No Priority"/>
    <x v="0"/>
    <m/>
    <x v="0"/>
    <x v="0"/>
    <x v="0"/>
    <m/>
    <x v="0"/>
    <m/>
    <m/>
    <s v="Maharashtra"/>
    <s v="West"/>
    <s v="BOMBAY"/>
    <x v="0"/>
    <x v="28"/>
    <x v="28"/>
    <x v="48"/>
    <s v="HR COILS-PO IS 10748 GR 1 2X1250"/>
    <s v=" "/>
    <s v=""/>
    <n v="16"/>
    <n v="32"/>
    <s v="Wider"/>
    <x v="0"/>
    <x v="11"/>
    <s v="HG01"/>
    <x v="15"/>
    <x v="0"/>
    <x v="0"/>
    <n v="75"/>
    <n v="56.854999999999997"/>
    <n v="18.145"/>
    <n v="18.145"/>
    <n v="-3.9349999999999987"/>
    <n v="0"/>
    <n v="0"/>
    <n v="0"/>
    <n v="22.08"/>
    <n v="0"/>
    <n v="0"/>
    <n v="0"/>
    <n v="0"/>
    <n v="0"/>
    <n v="0"/>
    <n v="0"/>
    <n v="0"/>
    <n v="0"/>
    <n v="0"/>
    <n v="0"/>
    <n v="0"/>
    <n v="0"/>
    <n v="0"/>
    <n v="0"/>
    <n v="0"/>
    <n v="22.08"/>
    <n v="22.08"/>
    <n v="0"/>
    <n v="22.08"/>
    <n v="0"/>
    <n v="0"/>
    <n v="0"/>
    <n v="0"/>
    <n v="0"/>
    <n v="0"/>
    <n v="0"/>
    <n v="0"/>
    <n v="0"/>
    <n v="0"/>
    <n v="0"/>
    <n v="0"/>
    <n v="0"/>
    <n v="0"/>
    <n v="0"/>
    <n v="0"/>
    <n v="0"/>
    <n v="0"/>
    <n v="0"/>
    <n v="0"/>
    <n v="0"/>
    <n v="0"/>
    <m/>
    <m/>
    <m/>
    <m/>
    <m/>
    <m/>
    <m/>
    <m/>
    <s v="1"/>
    <s v="1"/>
    <s v="1"/>
    <s v="1"/>
    <s v="1"/>
    <m/>
    <m/>
    <m/>
    <m/>
    <m/>
    <m/>
    <m/>
    <m/>
    <m/>
    <m/>
    <m/>
    <m/>
    <m/>
    <m/>
  </r>
  <r>
    <n v="742"/>
    <d v="2025-02-17T00:00:00"/>
    <x v="1"/>
    <n v="9518526154"/>
    <n v="3"/>
    <s v="9518526154-3"/>
    <s v="Apr'25 "/>
    <x v="0"/>
    <m/>
    <x v="5"/>
    <x v="8"/>
    <x v="0"/>
    <m/>
    <x v="1"/>
    <m/>
    <m/>
    <s v="Punjab"/>
    <s v="North"/>
    <s v="KHOPOLI"/>
    <x v="0"/>
    <x v="29"/>
    <x v="29"/>
    <x v="49"/>
    <s v="CRFH COIL TATFHC TR10 0.570X1235"/>
    <s v=" "/>
    <s v=""/>
    <n v="22"/>
    <n v="25"/>
    <s v="Wider"/>
    <x v="6"/>
    <x v="12"/>
    <s v="TR10"/>
    <x v="23"/>
    <x v="7"/>
    <x v="0"/>
    <n v="280"/>
    <n v="260.31"/>
    <n v="19.690000000000001"/>
    <n v="19.690000000000001"/>
    <n v="19.690000000000001"/>
    <n v="19.66"/>
    <n v="0"/>
    <n v="0"/>
    <n v="0"/>
    <n v="0"/>
    <n v="0"/>
    <n v="0"/>
    <n v="0"/>
    <n v="0"/>
    <n v="0"/>
    <n v="0"/>
    <n v="0"/>
    <n v="0"/>
    <n v="0"/>
    <n v="0"/>
    <n v="0"/>
    <n v="0"/>
    <n v="0"/>
    <n v="0"/>
    <n v="0"/>
    <n v="0"/>
    <n v="0"/>
    <n v="0"/>
    <n v="0"/>
    <n v="0"/>
    <n v="0"/>
    <n v="19.66"/>
    <n v="0"/>
    <n v="19.66"/>
    <n v="0"/>
    <n v="0"/>
    <n v="0"/>
    <n v="19.66"/>
    <n v="0"/>
    <n v="19.66"/>
    <n v="0"/>
    <n v="0"/>
    <n v="0"/>
    <n v="0"/>
    <n v="0"/>
    <n v="0"/>
    <n v="0"/>
    <n v="0"/>
    <n v="0"/>
    <n v="0"/>
    <n v="0"/>
    <m/>
    <m/>
    <m/>
    <m/>
    <m/>
    <m/>
    <m/>
    <m/>
    <s v="1"/>
    <s v="0"/>
    <s v="1"/>
    <s v="1"/>
    <s v="1"/>
    <m/>
    <m/>
    <m/>
    <m/>
    <m/>
    <m/>
    <m/>
    <m/>
    <m/>
    <m/>
    <m/>
    <m/>
    <m/>
    <m/>
  </r>
  <r>
    <n v="742"/>
    <d v="2025-02-17T00:00:00"/>
    <x v="1"/>
    <n v="9518526154"/>
    <n v="4"/>
    <s v="9518526154-4"/>
    <s v="Stocks"/>
    <x v="0"/>
    <m/>
    <x v="5"/>
    <x v="8"/>
    <x v="0"/>
    <m/>
    <x v="1"/>
    <m/>
    <m/>
    <s v="Punjab"/>
    <s v="North"/>
    <s v="KHOPOLI"/>
    <x v="0"/>
    <x v="29"/>
    <x v="29"/>
    <x v="49"/>
    <s v="CRFH COIL TATFHC TR10 0.570X1235"/>
    <s v=" "/>
    <s v=""/>
    <n v="22"/>
    <n v="25"/>
    <s v="Wider"/>
    <x v="6"/>
    <x v="12"/>
    <s v="TR10"/>
    <x v="23"/>
    <x v="7"/>
    <x v="0"/>
    <n v="168"/>
    <n v="152.58500000000001"/>
    <n v="15.414999999999999"/>
    <n v="-3.55"/>
    <n v="0"/>
    <n v="15.305"/>
    <n v="0"/>
    <n v="0"/>
    <n v="0"/>
    <n v="0"/>
    <n v="0"/>
    <n v="0"/>
    <n v="0"/>
    <n v="0"/>
    <n v="0"/>
    <n v="0"/>
    <n v="0"/>
    <n v="0"/>
    <n v="0"/>
    <n v="0"/>
    <n v="0"/>
    <n v="0"/>
    <n v="0"/>
    <n v="0"/>
    <n v="0"/>
    <n v="0"/>
    <n v="0"/>
    <n v="0"/>
    <n v="0"/>
    <n v="0"/>
    <n v="20.52"/>
    <n v="0"/>
    <n v="0"/>
    <n v="0"/>
    <n v="0"/>
    <n v="0"/>
    <n v="0"/>
    <n v="20.52"/>
    <n v="20.52"/>
    <n v="0"/>
    <n v="0"/>
    <n v="0"/>
    <n v="0"/>
    <n v="0"/>
    <n v="0"/>
    <n v="0"/>
    <n v="0"/>
    <n v="0"/>
    <n v="0"/>
    <n v="0"/>
    <n v="0"/>
    <m/>
    <m/>
    <m/>
    <m/>
    <m/>
    <m/>
    <m/>
    <m/>
    <s v="1"/>
    <s v="1"/>
    <s v="1"/>
    <s v="1"/>
    <s v="1"/>
    <m/>
    <m/>
    <m/>
    <m/>
    <m/>
    <m/>
    <m/>
    <m/>
    <m/>
    <m/>
    <m/>
    <m/>
    <m/>
    <m/>
  </r>
  <r>
    <n v="742"/>
    <d v="2025-02-17T00:00:00"/>
    <x v="1"/>
    <n v="9518526154"/>
    <n v="5"/>
    <s v="9518526154-5"/>
    <s v="No Priority"/>
    <x v="0"/>
    <m/>
    <x v="5"/>
    <x v="8"/>
    <x v="0"/>
    <m/>
    <x v="0"/>
    <m/>
    <m/>
    <s v="Punjab"/>
    <s v="North"/>
    <s v="KHOPOLI"/>
    <x v="0"/>
    <x v="29"/>
    <x v="29"/>
    <x v="50"/>
    <s v="CRFH COIL TATFHC TR10 0.470X1235"/>
    <s v=" "/>
    <s v=""/>
    <n v="22"/>
    <n v="25"/>
    <s v="Wider"/>
    <x v="6"/>
    <x v="12"/>
    <s v="TR10"/>
    <x v="14"/>
    <x v="7"/>
    <x v="0"/>
    <n v="28"/>
    <n v="0"/>
    <n v="28"/>
    <n v="3.8650000000000002"/>
    <n v="28"/>
    <n v="4.769999999999999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2-06T00:00:00"/>
    <x v="0"/>
    <n v="9518498761"/>
    <n v="2"/>
    <s v="9518498761-2"/>
    <s v="Stocks"/>
    <x v="0"/>
    <m/>
    <x v="3"/>
    <x v="9"/>
    <x v="1"/>
    <m/>
    <x v="1"/>
    <m/>
    <s v="Exp BTF &lt;17MT"/>
    <s v="Jharkhand"/>
    <s v="East"/>
    <s v="BOKARO STEEL CY"/>
    <x v="0"/>
    <x v="10"/>
    <x v="10"/>
    <x v="51"/>
    <s v="GP COIL SOFT-TATXGP-GK09-0.3X900"/>
    <n v="80"/>
    <s v=""/>
    <m/>
    <m/>
    <s v="Narrow"/>
    <x v="7"/>
    <x v="5"/>
    <s v="GK09"/>
    <x v="11"/>
    <x v="3"/>
    <x v="0"/>
    <n v="105"/>
    <n v="38.814999999999998"/>
    <n v="66.185000000000002"/>
    <n v="7.0350000000000001"/>
    <n v="64.515000000000001"/>
    <n v="7.4249999999999998"/>
    <n v="0"/>
    <n v="0"/>
    <n v="0"/>
    <n v="0"/>
    <n v="0"/>
    <n v="0"/>
    <n v="1.67"/>
    <n v="0"/>
    <n v="0"/>
    <n v="0"/>
    <n v="0"/>
    <n v="0"/>
    <n v="0"/>
    <n v="0"/>
    <n v="0"/>
    <n v="0"/>
    <n v="0"/>
    <n v="0"/>
    <n v="0"/>
    <n v="1.67"/>
    <n v="1.67"/>
    <n v="0"/>
    <n v="1.67"/>
    <n v="0"/>
    <n v="5.915"/>
    <n v="0"/>
    <n v="0"/>
    <n v="0"/>
    <n v="0"/>
    <n v="0"/>
    <n v="0"/>
    <n v="5.915"/>
    <n v="5.915"/>
    <n v="0"/>
    <n v="0"/>
    <n v="0"/>
    <n v="0"/>
    <n v="0"/>
    <n v="0"/>
    <n v="0"/>
    <n v="0"/>
    <n v="0"/>
    <n v="0"/>
    <n v="0"/>
    <n v="0"/>
    <m/>
    <m/>
    <m/>
    <m/>
    <m/>
    <m/>
    <m/>
    <m/>
    <s v="1"/>
    <s v="1"/>
    <s v="1"/>
    <s v="1"/>
    <s v="1"/>
    <m/>
    <m/>
    <m/>
    <m/>
    <m/>
    <m/>
    <m/>
    <m/>
    <m/>
    <m/>
    <m/>
    <m/>
    <m/>
    <m/>
  </r>
  <r>
    <n v="742"/>
    <d v="2025-02-20T00:00:00"/>
    <x v="0"/>
    <n v="9518534103"/>
    <n v="3"/>
    <s v="9518534103-3"/>
    <s v="No Priority"/>
    <x v="0"/>
    <m/>
    <x v="1"/>
    <x v="10"/>
    <x v="3"/>
    <m/>
    <x v="0"/>
    <m/>
    <m/>
    <s v="Tamil Nadu"/>
    <s v="South"/>
    <s v="CHENNAI"/>
    <x v="0"/>
    <x v="30"/>
    <x v="30"/>
    <x v="52"/>
    <s v="CRCA COIL TATXXD BT02 0.970X913"/>
    <s v=""/>
    <s v=""/>
    <m/>
    <m/>
    <s v="Narrow"/>
    <x v="1"/>
    <x v="2"/>
    <s v="BT02"/>
    <x v="24"/>
    <x v="8"/>
    <x v="0"/>
    <n v="147"/>
    <n v="79.959999999999994"/>
    <n v="67.040000000000006"/>
    <n v="67.040000000000006"/>
    <n v="67.040000000000006"/>
    <n v="31.35"/>
    <n v="0"/>
    <n v="0"/>
    <n v="0"/>
    <n v="0"/>
    <n v="0"/>
    <n v="0"/>
    <n v="0"/>
    <n v="0"/>
    <n v="0"/>
    <n v="0"/>
    <n v="0"/>
    <n v="0"/>
    <n v="0"/>
    <n v="0"/>
    <n v="0"/>
    <n v="0"/>
    <n v="0"/>
    <n v="0"/>
    <n v="0"/>
    <n v="0"/>
    <n v="0"/>
    <n v="0"/>
    <n v="0"/>
    <n v="0"/>
    <n v="0"/>
    <n v="0"/>
    <n v="0"/>
    <n v="0"/>
    <n v="0"/>
    <n v="0"/>
    <n v="0"/>
    <n v="0"/>
    <n v="0"/>
    <n v="0"/>
    <n v="0"/>
    <n v="0"/>
    <n v="0"/>
    <n v="0"/>
    <n v="8.64"/>
    <n v="0"/>
    <n v="0"/>
    <n v="0"/>
    <n v="0"/>
    <n v="0"/>
    <n v="8.64"/>
    <m/>
    <m/>
    <m/>
    <m/>
    <m/>
    <m/>
    <m/>
    <m/>
    <s v="1"/>
    <s v="1"/>
    <s v="1"/>
    <s v="1"/>
    <s v="1"/>
    <m/>
    <m/>
    <m/>
    <m/>
    <m/>
    <m/>
    <m/>
    <m/>
    <m/>
    <m/>
    <m/>
    <m/>
    <m/>
    <m/>
  </r>
  <r>
    <n v="742"/>
    <d v="2025-01-14T00:00:00"/>
    <x v="0"/>
    <n v="9518429066"/>
    <n v="16"/>
    <s v="9518429066-16"/>
    <s v="No Priority"/>
    <x v="0"/>
    <m/>
    <x v="1"/>
    <x v="2"/>
    <x v="1"/>
    <m/>
    <x v="0"/>
    <m/>
    <m/>
    <s v="Orissa"/>
    <s v="East"/>
    <s v="TANGI"/>
    <x v="1"/>
    <x v="19"/>
    <x v="19"/>
    <x v="32"/>
    <s v="CRCA SHEET TSBCRC SR15 1X1000X2500"/>
    <s v=""/>
    <s v=""/>
    <m/>
    <m/>
    <s v="Narrow"/>
    <x v="2"/>
    <x v="4"/>
    <s v="SR15"/>
    <x v="17"/>
    <x v="2"/>
    <x v="3"/>
    <n v="23.785"/>
    <n v="23.785"/>
    <n v="0"/>
    <n v="0"/>
    <n v="0"/>
    <n v="0"/>
    <n v="0"/>
    <n v="0"/>
    <n v="0"/>
    <n v="0"/>
    <n v="0"/>
    <n v="0"/>
    <n v="0"/>
    <n v="0"/>
    <n v="0"/>
    <n v="0"/>
    <n v="0"/>
    <n v="0"/>
    <n v="0"/>
    <n v="0"/>
    <n v="0"/>
    <n v="0"/>
    <n v="0"/>
    <n v="0"/>
    <n v="0"/>
    <n v="0"/>
    <n v="0"/>
    <n v="0"/>
    <n v="0"/>
    <n v="0"/>
    <n v="0"/>
    <n v="0"/>
    <n v="0"/>
    <n v="0"/>
    <n v="0"/>
    <n v="0"/>
    <n v="0"/>
    <n v="0"/>
    <n v="0"/>
    <n v="0"/>
    <n v="0"/>
    <n v="0"/>
    <n v="0"/>
    <n v="0"/>
    <n v="23.785"/>
    <n v="0"/>
    <n v="0"/>
    <n v="0"/>
    <n v="0"/>
    <n v="0"/>
    <n v="23.785"/>
    <m/>
    <m/>
    <m/>
    <m/>
    <m/>
    <m/>
    <m/>
    <m/>
    <s v="1"/>
    <s v="1"/>
    <s v="1"/>
    <s v="1"/>
    <s v="1"/>
    <m/>
    <m/>
    <m/>
    <m/>
    <m/>
    <m/>
    <m/>
    <m/>
    <m/>
    <m/>
    <m/>
    <m/>
    <m/>
    <m/>
  </r>
  <r>
    <n v="742"/>
    <d v="2025-02-03T00:00:00"/>
    <x v="0"/>
    <n v="9518490750"/>
    <n v="5"/>
    <s v="9518490750-5"/>
    <s v="May'25"/>
    <x v="0"/>
    <m/>
    <x v="1"/>
    <x v="2"/>
    <x v="1"/>
    <m/>
    <x v="1"/>
    <m/>
    <s v="Exp BTF &lt;17MT"/>
    <s v="Orissa"/>
    <s v="East"/>
    <s v="TANGI"/>
    <x v="1"/>
    <x v="19"/>
    <x v="19"/>
    <x v="17"/>
    <s v="CRCA SHEET TATCRC SR16 0.450X1000X2500"/>
    <s v=""/>
    <s v=""/>
    <m/>
    <m/>
    <s v="Narrow"/>
    <x v="2"/>
    <x v="1"/>
    <s v="SR16"/>
    <x v="10"/>
    <x v="2"/>
    <x v="3"/>
    <n v="75"/>
    <n v="0"/>
    <n v="75"/>
    <n v="8.61"/>
    <n v="53.370000000000005"/>
    <n v="33.155000000000001"/>
    <n v="0"/>
    <n v="0"/>
    <n v="0"/>
    <n v="0"/>
    <n v="0"/>
    <n v="0"/>
    <n v="0"/>
    <n v="0"/>
    <n v="21.63"/>
    <n v="0"/>
    <n v="0"/>
    <n v="0"/>
    <n v="0"/>
    <n v="0"/>
    <n v="0"/>
    <n v="0"/>
    <n v="0"/>
    <n v="0"/>
    <n v="0"/>
    <n v="21.63"/>
    <n v="21.63"/>
    <n v="0"/>
    <n v="21.63"/>
    <n v="0"/>
    <n v="26.539999999999996"/>
    <n v="33.155000000000001"/>
    <n v="33.155000000000001"/>
    <n v="0"/>
    <n v="0"/>
    <n v="0"/>
    <n v="0"/>
    <n v="59.694999999999993"/>
    <n v="0"/>
    <n v="59.694999999999993"/>
    <n v="0"/>
    <n v="0"/>
    <n v="0"/>
    <n v="0"/>
    <n v="0"/>
    <n v="0"/>
    <n v="0"/>
    <n v="0"/>
    <n v="0"/>
    <n v="0"/>
    <n v="0"/>
    <m/>
    <m/>
    <m/>
    <m/>
    <m/>
    <m/>
    <m/>
    <m/>
    <s v="0"/>
    <s v="1"/>
    <s v="1"/>
    <s v="1"/>
    <s v="1"/>
    <m/>
    <m/>
    <m/>
    <m/>
    <m/>
    <m/>
    <m/>
    <m/>
    <m/>
    <m/>
    <m/>
    <m/>
    <m/>
    <m/>
  </r>
  <r>
    <n v="742"/>
    <d v="2025-02-14T00:00:00"/>
    <x v="0"/>
    <n v="9518518906"/>
    <n v="6"/>
    <s v="9518518906-6"/>
    <s v="Mar'25"/>
    <x v="0"/>
    <m/>
    <x v="1"/>
    <x v="2"/>
    <x v="0"/>
    <m/>
    <x v="1"/>
    <m/>
    <m/>
    <s v="Uttar Pradesh"/>
    <s v="North"/>
    <s v="VARANASI"/>
    <x v="1"/>
    <x v="2"/>
    <x v="2"/>
    <x v="53"/>
    <s v="CRCA SHEET TSBCRC SR15 0.700X1250X1925"/>
    <s v=" "/>
    <s v=""/>
    <n v="0"/>
    <n v="0"/>
    <s v="Wider"/>
    <x v="2"/>
    <x v="4"/>
    <s v="SR15"/>
    <x v="4"/>
    <x v="0"/>
    <x v="7"/>
    <n v="33"/>
    <n v="0"/>
    <n v="33"/>
    <n v="33"/>
    <n v="33"/>
    <n v="33"/>
    <n v="0"/>
    <n v="0"/>
    <n v="0"/>
    <n v="0"/>
    <n v="0"/>
    <n v="0"/>
    <n v="0"/>
    <n v="0"/>
    <n v="0"/>
    <n v="0"/>
    <n v="0"/>
    <n v="0"/>
    <n v="0"/>
    <n v="0"/>
    <n v="0"/>
    <n v="0"/>
    <n v="0"/>
    <n v="0"/>
    <n v="0"/>
    <n v="0"/>
    <n v="0"/>
    <n v="0"/>
    <n v="0"/>
    <n v="0"/>
    <n v="0"/>
    <n v="33"/>
    <n v="0"/>
    <n v="0"/>
    <n v="33"/>
    <n v="0"/>
    <n v="0"/>
    <n v="33"/>
    <n v="0"/>
    <n v="0"/>
    <n v="33"/>
    <n v="0"/>
    <n v="0"/>
    <n v="0"/>
    <n v="0"/>
    <n v="0"/>
    <n v="0"/>
    <n v="0"/>
    <n v="0"/>
    <n v="0"/>
    <n v="0"/>
    <m/>
    <m/>
    <m/>
    <m/>
    <m/>
    <m/>
    <m/>
    <m/>
    <s v="1"/>
    <s v="1"/>
    <s v="0"/>
    <s v="1"/>
    <s v="1"/>
    <m/>
    <m/>
    <m/>
    <m/>
    <m/>
    <m/>
    <m/>
    <m/>
    <m/>
    <m/>
    <m/>
    <m/>
    <m/>
    <m/>
  </r>
  <r>
    <n v="742"/>
    <d v="2025-02-03T00:00:00"/>
    <x v="0"/>
    <n v="9518490750"/>
    <n v="16"/>
    <s v="9518490750-16"/>
    <s v="May'25"/>
    <x v="0"/>
    <m/>
    <x v="1"/>
    <x v="2"/>
    <x v="1"/>
    <m/>
    <x v="1"/>
    <m/>
    <m/>
    <s v="Orissa"/>
    <s v="East"/>
    <s v="TANGI"/>
    <x v="1"/>
    <x v="19"/>
    <x v="19"/>
    <x v="32"/>
    <s v="CRCA SHEET TSBCRC SR15 1X1000X2500"/>
    <s v=""/>
    <s v=""/>
    <m/>
    <m/>
    <s v="Narrow"/>
    <x v="2"/>
    <x v="4"/>
    <s v="SR15"/>
    <x v="17"/>
    <x v="2"/>
    <x v="3"/>
    <n v="75"/>
    <n v="20.545000000000002"/>
    <n v="54.454999999999998"/>
    <n v="-13.055"/>
    <n v="0"/>
    <n v="33.21"/>
    <n v="0"/>
    <n v="0"/>
    <n v="0"/>
    <n v="0"/>
    <n v="0"/>
    <n v="0"/>
    <n v="0"/>
    <n v="0"/>
    <n v="0"/>
    <n v="0"/>
    <n v="0"/>
    <n v="0"/>
    <n v="0"/>
    <n v="44.89"/>
    <n v="0"/>
    <n v="0"/>
    <n v="0"/>
    <n v="0"/>
    <n v="0"/>
    <n v="44.89"/>
    <n v="44.89"/>
    <n v="0"/>
    <n v="44.89"/>
    <n v="0"/>
    <n v="0"/>
    <n v="33.21"/>
    <n v="0"/>
    <n v="33.21"/>
    <n v="0"/>
    <n v="0"/>
    <n v="0"/>
    <n v="33.21"/>
    <n v="0"/>
    <n v="33.21"/>
    <n v="0"/>
    <n v="0"/>
    <n v="0"/>
    <n v="0"/>
    <n v="0"/>
    <n v="0"/>
    <n v="0"/>
    <n v="0"/>
    <n v="0"/>
    <n v="0"/>
    <n v="0"/>
    <m/>
    <m/>
    <m/>
    <m/>
    <m/>
    <m/>
    <m/>
    <m/>
    <s v="1"/>
    <s v="0"/>
    <s v="1"/>
    <s v="1"/>
    <s v="1"/>
    <m/>
    <m/>
    <m/>
    <m/>
    <m/>
    <m/>
    <m/>
    <m/>
    <m/>
    <m/>
    <m/>
    <m/>
    <m/>
    <m/>
  </r>
  <r>
    <n v="742"/>
    <d v="2025-02-14T00:00:00"/>
    <x v="0"/>
    <n v="9518519644"/>
    <n v="7"/>
    <s v="9518519644-7"/>
    <s v="Mar'25"/>
    <x v="0"/>
    <m/>
    <x v="1"/>
    <x v="2"/>
    <x v="1"/>
    <m/>
    <x v="1"/>
    <m/>
    <m/>
    <s v="Bihar"/>
    <s v="East"/>
    <s v="PATNA"/>
    <x v="1"/>
    <x v="31"/>
    <x v="31"/>
    <x v="17"/>
    <s v="CRCA SHEET TATCRC SR16 0.450X1000X2500"/>
    <s v=""/>
    <s v=""/>
    <m/>
    <m/>
    <s v="Narrow"/>
    <x v="2"/>
    <x v="1"/>
    <s v="SR16"/>
    <x v="10"/>
    <x v="2"/>
    <x v="3"/>
    <n v="51"/>
    <n v="0"/>
    <n v="51"/>
    <n v="28.655000000000001"/>
    <n v="28.66"/>
    <n v="30.13"/>
    <n v="0"/>
    <n v="0"/>
    <n v="0"/>
    <n v="0"/>
    <n v="0"/>
    <n v="0"/>
    <n v="0"/>
    <n v="0"/>
    <n v="0.21"/>
    <n v="0"/>
    <n v="0"/>
    <n v="0"/>
    <n v="0"/>
    <n v="22.13"/>
    <n v="0"/>
    <n v="0"/>
    <n v="0"/>
    <n v="0"/>
    <n v="0"/>
    <n v="22.34"/>
    <n v="22.34"/>
    <n v="0"/>
    <n v="22.34"/>
    <n v="0"/>
    <n v="20.87"/>
    <n v="30.13"/>
    <n v="0"/>
    <n v="30.13"/>
    <n v="0"/>
    <n v="0"/>
    <n v="0"/>
    <n v="51"/>
    <n v="0"/>
    <n v="0"/>
    <n v="51"/>
    <n v="0"/>
    <n v="0"/>
    <n v="0"/>
    <n v="0"/>
    <n v="0"/>
    <n v="0"/>
    <n v="0"/>
    <n v="0"/>
    <n v="0"/>
    <n v="0"/>
    <m/>
    <m/>
    <m/>
    <m/>
    <m/>
    <m/>
    <m/>
    <m/>
    <s v="1"/>
    <s v="0"/>
    <s v="1"/>
    <s v="1"/>
    <s v="1"/>
    <m/>
    <m/>
    <m/>
    <m/>
    <m/>
    <m/>
    <m/>
    <m/>
    <m/>
    <m/>
    <m/>
    <m/>
    <m/>
    <m/>
  </r>
  <r>
    <n v="742"/>
    <d v="2025-02-14T00:00:00"/>
    <x v="0"/>
    <n v="9518519644"/>
    <n v="9"/>
    <s v="9518519644-9"/>
    <s v="Stocks"/>
    <x v="0"/>
    <m/>
    <x v="1"/>
    <x v="2"/>
    <x v="1"/>
    <m/>
    <x v="1"/>
    <m/>
    <m/>
    <s v="Bihar"/>
    <s v="East"/>
    <s v="PATNA"/>
    <x v="1"/>
    <x v="31"/>
    <x v="31"/>
    <x v="14"/>
    <s v="CRCA SHEET TATCRC SR16 0.480X1000X2500"/>
    <s v=""/>
    <s v=""/>
    <m/>
    <m/>
    <s v="Narrow"/>
    <x v="2"/>
    <x v="1"/>
    <s v="SR16"/>
    <x v="8"/>
    <x v="2"/>
    <x v="3"/>
    <n v="24"/>
    <n v="0"/>
    <n v="24"/>
    <n v="-9.2100000000000009"/>
    <n v="0"/>
    <n v="3.74"/>
    <n v="0"/>
    <n v="0"/>
    <n v="0"/>
    <n v="0"/>
    <n v="0"/>
    <n v="0"/>
    <n v="0"/>
    <n v="0"/>
    <n v="0.22"/>
    <n v="0"/>
    <n v="0"/>
    <n v="0"/>
    <n v="0"/>
    <n v="0"/>
    <n v="0"/>
    <n v="0"/>
    <n v="0"/>
    <n v="0"/>
    <n v="0"/>
    <n v="0.22"/>
    <n v="0.22"/>
    <n v="0"/>
    <n v="0.22"/>
    <n v="0"/>
    <n v="20.259999999999998"/>
    <n v="0"/>
    <n v="0"/>
    <n v="0"/>
    <n v="0"/>
    <n v="0"/>
    <n v="0"/>
    <n v="20.259999999999998"/>
    <n v="20.259999999999998"/>
    <n v="0"/>
    <n v="0"/>
    <n v="0"/>
    <n v="0"/>
    <n v="0"/>
    <n v="0"/>
    <n v="0"/>
    <n v="0"/>
    <n v="0"/>
    <n v="0"/>
    <n v="0"/>
    <n v="0"/>
    <m/>
    <m/>
    <m/>
    <m/>
    <m/>
    <m/>
    <m/>
    <m/>
    <s v="1"/>
    <s v="1"/>
    <s v="1"/>
    <s v="1"/>
    <s v="1"/>
    <m/>
    <m/>
    <m/>
    <m/>
    <m/>
    <m/>
    <m/>
    <m/>
    <m/>
    <m/>
    <m/>
    <m/>
    <m/>
    <m/>
  </r>
  <r>
    <n v="742"/>
    <d v="2025-02-14T00:00:00"/>
    <x v="0"/>
    <n v="9518519644"/>
    <n v="11"/>
    <s v="9518519644-11"/>
    <s v="No Priority"/>
    <x v="0"/>
    <m/>
    <x v="1"/>
    <x v="2"/>
    <x v="1"/>
    <m/>
    <x v="0"/>
    <m/>
    <s v="Exp BTF &lt;17MT"/>
    <s v="Bihar"/>
    <s v="East"/>
    <s v="PATNA"/>
    <x v="1"/>
    <x v="31"/>
    <x v="31"/>
    <x v="54"/>
    <s v="CRCA SHEET TSBCRC SR15 0.500X1000X2500"/>
    <s v=""/>
    <s v=""/>
    <m/>
    <m/>
    <s v="Narrow"/>
    <x v="2"/>
    <x v="4"/>
    <s v="SR15"/>
    <x v="1"/>
    <x v="2"/>
    <x v="3"/>
    <n v="24"/>
    <n v="20.175000000000001"/>
    <n v="3.8250000000000002"/>
    <n v="3.8250000000000002"/>
    <n v="3.8250000000000002"/>
    <n v="3.8250000000000002"/>
    <n v="0"/>
    <n v="0"/>
    <n v="0"/>
    <n v="0"/>
    <n v="0"/>
    <n v="0"/>
    <n v="0"/>
    <n v="0"/>
    <n v="0"/>
    <n v="0"/>
    <n v="0"/>
    <n v="0"/>
    <n v="0"/>
    <n v="0"/>
    <n v="0"/>
    <n v="0"/>
    <n v="0"/>
    <n v="0"/>
    <n v="0"/>
    <n v="0"/>
    <n v="0"/>
    <n v="0"/>
    <n v="0"/>
    <n v="0"/>
    <n v="0"/>
    <n v="0"/>
    <n v="0"/>
    <n v="0"/>
    <n v="0"/>
    <n v="0"/>
    <n v="0"/>
    <n v="0"/>
    <n v="0"/>
    <n v="0"/>
    <n v="0"/>
    <n v="0"/>
    <n v="0"/>
    <n v="0"/>
    <n v="20.175000000000001"/>
    <n v="0"/>
    <n v="0"/>
    <n v="0"/>
    <n v="0"/>
    <n v="0"/>
    <n v="20.175000000000001"/>
    <m/>
    <m/>
    <m/>
    <m/>
    <m/>
    <m/>
    <m/>
    <m/>
    <s v="1"/>
    <s v="1"/>
    <s v="1"/>
    <s v="1"/>
    <s v="1"/>
    <m/>
    <m/>
    <m/>
    <m/>
    <m/>
    <m/>
    <m/>
    <m/>
    <m/>
    <m/>
    <m/>
    <m/>
    <m/>
    <m/>
  </r>
  <r>
    <n v="742"/>
    <d v="2025-02-14T00:00:00"/>
    <x v="0"/>
    <n v="9518520213"/>
    <n v="7"/>
    <s v="9518520213-7"/>
    <s v="Stocks"/>
    <x v="0"/>
    <m/>
    <x v="1"/>
    <x v="2"/>
    <x v="1"/>
    <m/>
    <x v="1"/>
    <m/>
    <s v="Exp BTF &lt;17MT"/>
    <s v="Bihar"/>
    <s v="East"/>
    <s v="PURNIA"/>
    <x v="1"/>
    <x v="31"/>
    <x v="31"/>
    <x v="17"/>
    <s v="CRCA SHEET TATCRC SR16 0.450X1000X2500"/>
    <s v=""/>
    <s v=""/>
    <m/>
    <m/>
    <s v="Narrow"/>
    <x v="2"/>
    <x v="1"/>
    <s v="SR16"/>
    <x v="10"/>
    <x v="2"/>
    <x v="3"/>
    <n v="51"/>
    <n v="0"/>
    <n v="51"/>
    <n v="6.63"/>
    <n v="50.76"/>
    <n v="8.92"/>
    <n v="0"/>
    <n v="0"/>
    <n v="0"/>
    <n v="0"/>
    <n v="0"/>
    <n v="0"/>
    <n v="0"/>
    <n v="0"/>
    <n v="0"/>
    <n v="0"/>
    <n v="0"/>
    <n v="0"/>
    <n v="0"/>
    <n v="0"/>
    <n v="0"/>
    <n v="0.24"/>
    <n v="0"/>
    <n v="0"/>
    <n v="0"/>
    <n v="0.24"/>
    <n v="0.24"/>
    <n v="0"/>
    <n v="0.24"/>
    <n v="0"/>
    <n v="42.079999999999991"/>
    <n v="0"/>
    <n v="0"/>
    <n v="0"/>
    <n v="0"/>
    <n v="0"/>
    <n v="0"/>
    <n v="42.079999999999991"/>
    <n v="42.079999999999991"/>
    <n v="0"/>
    <n v="0"/>
    <n v="0"/>
    <n v="0"/>
    <n v="0"/>
    <n v="0"/>
    <n v="0"/>
    <n v="0"/>
    <n v="0"/>
    <n v="0"/>
    <n v="0"/>
    <n v="0"/>
    <m/>
    <m/>
    <m/>
    <m/>
    <m/>
    <m/>
    <m/>
    <m/>
    <s v="1"/>
    <s v="1"/>
    <s v="1"/>
    <s v="1"/>
    <s v="1"/>
    <m/>
    <m/>
    <m/>
    <m/>
    <m/>
    <m/>
    <m/>
    <m/>
    <m/>
    <m/>
    <m/>
    <m/>
    <m/>
    <m/>
  </r>
  <r>
    <n v="742"/>
    <d v="2025-02-14T00:00:00"/>
    <x v="0"/>
    <n v="9518520213"/>
    <n v="9"/>
    <s v="9518520213-9"/>
    <s v="May'25"/>
    <x v="0"/>
    <m/>
    <x v="1"/>
    <x v="2"/>
    <x v="1"/>
    <m/>
    <x v="1"/>
    <m/>
    <m/>
    <s v="Bihar"/>
    <s v="East"/>
    <s v="PURNIA"/>
    <x v="1"/>
    <x v="31"/>
    <x v="31"/>
    <x v="14"/>
    <s v="CRCA SHEET TATCRC SR16 0.480X1000X2500"/>
    <s v=""/>
    <s v=""/>
    <m/>
    <m/>
    <s v="Narrow"/>
    <x v="2"/>
    <x v="1"/>
    <s v="SR16"/>
    <x v="8"/>
    <x v="2"/>
    <x v="3"/>
    <n v="24"/>
    <n v="0"/>
    <n v="24"/>
    <n v="-8.4"/>
    <n v="0"/>
    <n v="24"/>
    <n v="0"/>
    <n v="0"/>
    <n v="0"/>
    <n v="0"/>
    <n v="0"/>
    <n v="0"/>
    <n v="0"/>
    <n v="0"/>
    <n v="0"/>
    <n v="0"/>
    <n v="0"/>
    <n v="0"/>
    <n v="0"/>
    <n v="0"/>
    <n v="0"/>
    <n v="0.22"/>
    <n v="0"/>
    <n v="20.595000000000002"/>
    <n v="0"/>
    <n v="20.815000000000001"/>
    <n v="20.815000000000001"/>
    <n v="0"/>
    <n v="20.815000000000001"/>
    <n v="0"/>
    <n v="20.595000000000002"/>
    <n v="24"/>
    <n v="24"/>
    <n v="0"/>
    <n v="0"/>
    <n v="0"/>
    <n v="0"/>
    <n v="44.594999999999999"/>
    <n v="0"/>
    <n v="44.594999999999999"/>
    <n v="0"/>
    <n v="0"/>
    <n v="0"/>
    <n v="0"/>
    <n v="0"/>
    <n v="0"/>
    <n v="0"/>
    <n v="0"/>
    <n v="0"/>
    <n v="0"/>
    <n v="0"/>
    <m/>
    <m/>
    <m/>
    <m/>
    <m/>
    <m/>
    <m/>
    <m/>
    <s v="0"/>
    <s v="1"/>
    <s v="1"/>
    <s v="1"/>
    <s v="1"/>
    <m/>
    <m/>
    <m/>
    <m/>
    <m/>
    <m/>
    <m/>
    <m/>
    <m/>
    <m/>
    <m/>
    <m/>
    <m/>
    <m/>
  </r>
  <r>
    <n v="743"/>
    <d v="2025-02-06T00:00:00"/>
    <x v="0"/>
    <n v="9518498761"/>
    <n v="3"/>
    <s v="9518498761-3"/>
    <s v="Stocks"/>
    <x v="0"/>
    <m/>
    <x v="3"/>
    <x v="9"/>
    <x v="1"/>
    <m/>
    <x v="1"/>
    <m/>
    <s v="Exp BTF &lt;17MT"/>
    <s v="Jharkhand"/>
    <s v="East"/>
    <s v="BOKARO STEEL CY"/>
    <x v="0"/>
    <x v="10"/>
    <x v="10"/>
    <x v="55"/>
    <s v="GP COIL SOFT-TATXGP-GK09-0.35X900"/>
    <n v="80"/>
    <s v=""/>
    <m/>
    <m/>
    <s v="Narrow"/>
    <x v="7"/>
    <x v="5"/>
    <s v="GK09"/>
    <x v="6"/>
    <x v="3"/>
    <x v="0"/>
    <n v="105"/>
    <n v="0"/>
    <n v="105"/>
    <n v="4.4800000000000004"/>
    <n v="103.235"/>
    <n v="7.1150000000000002"/>
    <n v="0"/>
    <n v="0"/>
    <n v="0"/>
    <n v="0"/>
    <n v="0"/>
    <n v="0"/>
    <n v="1.7650000000000001"/>
    <n v="0"/>
    <n v="0"/>
    <n v="0"/>
    <n v="0"/>
    <n v="0"/>
    <n v="0"/>
    <n v="0"/>
    <n v="0"/>
    <n v="0"/>
    <n v="0"/>
    <n v="0"/>
    <n v="0"/>
    <n v="1.7650000000000001"/>
    <n v="1.7650000000000001"/>
    <n v="0"/>
    <n v="1.7650000000000001"/>
    <n v="0"/>
    <n v="6.4550000000000001"/>
    <n v="0"/>
    <n v="0"/>
    <n v="0"/>
    <n v="0"/>
    <n v="0"/>
    <n v="0"/>
    <n v="6.4550000000000001"/>
    <n v="6.4550000000000001"/>
    <n v="0"/>
    <n v="0"/>
    <n v="0"/>
    <n v="0"/>
    <n v="0"/>
    <n v="0"/>
    <n v="0"/>
    <n v="0"/>
    <n v="0"/>
    <n v="0"/>
    <n v="0"/>
    <n v="0"/>
    <m/>
    <m/>
    <m/>
    <m/>
    <m/>
    <m/>
    <m/>
    <m/>
    <s v="1"/>
    <s v="1"/>
    <s v="1"/>
    <s v="1"/>
    <s v="1"/>
    <m/>
    <m/>
    <m/>
    <m/>
    <m/>
    <m/>
    <m/>
    <m/>
    <m/>
    <m/>
    <m/>
    <m/>
    <m/>
    <m/>
  </r>
  <r>
    <n v="743"/>
    <d v="2025-02-13T00:00:00"/>
    <x v="0"/>
    <n v="9518516069"/>
    <n v="1"/>
    <s v="9518516069-1"/>
    <s v="No Priority"/>
    <x v="0"/>
    <m/>
    <x v="3"/>
    <x v="9"/>
    <x v="1"/>
    <m/>
    <x v="0"/>
    <m/>
    <s v="Exp BTF &lt;17MT"/>
    <s v="Uttar Pradesh"/>
    <s v="North"/>
    <s v="LONI"/>
    <x v="0"/>
    <x v="32"/>
    <x v="32"/>
    <x v="55"/>
    <s v="GP COIL SOFT-TATXGP-GK09-0.35X900"/>
    <n v="80"/>
    <s v=""/>
    <m/>
    <m/>
    <s v="Narrow"/>
    <x v="7"/>
    <x v="5"/>
    <s v="GK09"/>
    <x v="6"/>
    <x v="3"/>
    <x v="0"/>
    <n v="105"/>
    <n v="91.49"/>
    <n v="13.51"/>
    <n v="8.92"/>
    <n v="13.51"/>
    <n v="8.92"/>
    <n v="0"/>
    <n v="0"/>
    <n v="0"/>
    <n v="0"/>
    <n v="0"/>
    <n v="0"/>
    <n v="0"/>
    <n v="0"/>
    <n v="0"/>
    <n v="0"/>
    <n v="0"/>
    <n v="0"/>
    <n v="0"/>
    <n v="0"/>
    <n v="0"/>
    <n v="0"/>
    <n v="0"/>
    <n v="0"/>
    <n v="0"/>
    <n v="0"/>
    <n v="0"/>
    <n v="0"/>
    <n v="0"/>
    <n v="0"/>
    <n v="0"/>
    <n v="0"/>
    <n v="0"/>
    <n v="0"/>
    <n v="0"/>
    <n v="0"/>
    <n v="0"/>
    <n v="0"/>
    <n v="0"/>
    <n v="0"/>
    <n v="0"/>
    <n v="0"/>
    <n v="0"/>
    <n v="0"/>
    <n v="91.49"/>
    <n v="0"/>
    <n v="0"/>
    <n v="0"/>
    <n v="0"/>
    <n v="0"/>
    <n v="91.49"/>
    <m/>
    <m/>
    <m/>
    <m/>
    <m/>
    <m/>
    <m/>
    <m/>
    <s v="1"/>
    <s v="1"/>
    <s v="1"/>
    <s v="1"/>
    <s v="1"/>
    <m/>
    <m/>
    <m/>
    <m/>
    <m/>
    <m/>
    <m/>
    <m/>
    <m/>
    <m/>
    <m/>
    <m/>
    <m/>
    <m/>
  </r>
  <r>
    <n v="743"/>
    <d v="2025-02-10T00:00:00"/>
    <x v="0"/>
    <n v="9518508377"/>
    <n v="8"/>
    <s v="9518508377-8"/>
    <s v="No Priority"/>
    <x v="0"/>
    <m/>
    <x v="3"/>
    <x v="9"/>
    <x v="1"/>
    <m/>
    <x v="0"/>
    <m/>
    <s v="Exp BTF &lt;17MT"/>
    <s v="Jharkhand"/>
    <s v="East"/>
    <s v="WEST BOKARO"/>
    <x v="0"/>
    <x v="12"/>
    <x v="12"/>
    <x v="56"/>
    <s v="GP COIL SOFT-TATXGP-GK09-0.4X900"/>
    <n v="80"/>
    <s v=""/>
    <m/>
    <m/>
    <s v="Narrow"/>
    <x v="7"/>
    <x v="5"/>
    <s v="GK09"/>
    <x v="2"/>
    <x v="3"/>
    <x v="0"/>
    <n v="105"/>
    <n v="56.5"/>
    <n v="48.5"/>
    <n v="5.7"/>
    <n v="39.24"/>
    <n v="14.145"/>
    <n v="0"/>
    <n v="0"/>
    <n v="0"/>
    <n v="0"/>
    <n v="0"/>
    <n v="0"/>
    <n v="0"/>
    <n v="0"/>
    <n v="0"/>
    <n v="0"/>
    <n v="0"/>
    <n v="0"/>
    <n v="0"/>
    <n v="0"/>
    <n v="0"/>
    <n v="0"/>
    <n v="0"/>
    <n v="0"/>
    <n v="9.26"/>
    <n v="9.26"/>
    <n v="9.26"/>
    <n v="0"/>
    <n v="9.26"/>
    <n v="0"/>
    <n v="0"/>
    <n v="0"/>
    <n v="0"/>
    <n v="0"/>
    <n v="0"/>
    <n v="0"/>
    <n v="0"/>
    <n v="0"/>
    <n v="0"/>
    <n v="0"/>
    <n v="0"/>
    <n v="0"/>
    <n v="0"/>
    <n v="0"/>
    <n v="0"/>
    <n v="0"/>
    <n v="0"/>
    <n v="0"/>
    <n v="0"/>
    <n v="0"/>
    <n v="0"/>
    <m/>
    <m/>
    <m/>
    <m/>
    <m/>
    <m/>
    <m/>
    <m/>
    <s v="1"/>
    <s v="1"/>
    <s v="1"/>
    <s v="1"/>
    <s v="1"/>
    <m/>
    <m/>
    <m/>
    <m/>
    <m/>
    <m/>
    <m/>
    <m/>
    <m/>
    <m/>
    <m/>
    <m/>
    <m/>
    <m/>
  </r>
  <r>
    <n v="742"/>
    <d v="2025-02-10T00:00:00"/>
    <x v="0"/>
    <n v="9518506961"/>
    <n v="1"/>
    <s v="9518506961-1"/>
    <s v="Stocks"/>
    <x v="0"/>
    <m/>
    <x v="1"/>
    <x v="1"/>
    <x v="1"/>
    <m/>
    <x v="1"/>
    <m/>
    <m/>
    <s v="Haryana"/>
    <s v="North"/>
    <s v="FARIDABAD"/>
    <x v="0"/>
    <x v="33"/>
    <x v="33"/>
    <x v="1"/>
    <s v="CRCA COIL TATCRC TR15 0.5X1250"/>
    <s v=""/>
    <s v=""/>
    <m/>
    <m/>
    <s v="Wider"/>
    <x v="1"/>
    <x v="1"/>
    <s v="TR15"/>
    <x v="1"/>
    <x v="0"/>
    <x v="0"/>
    <n v="261"/>
    <n v="238.05500000000001"/>
    <n v="22.945"/>
    <n v="-3.7"/>
    <n v="0"/>
    <n v="1.56"/>
    <n v="0"/>
    <n v="0"/>
    <n v="0"/>
    <n v="0"/>
    <n v="0"/>
    <n v="0"/>
    <n v="0"/>
    <n v="0"/>
    <n v="0"/>
    <n v="0"/>
    <n v="0"/>
    <n v="0"/>
    <n v="0"/>
    <n v="0"/>
    <n v="0"/>
    <n v="0"/>
    <n v="0"/>
    <n v="0"/>
    <n v="0"/>
    <n v="0"/>
    <n v="0"/>
    <n v="0"/>
    <n v="0"/>
    <n v="0"/>
    <n v="12.98"/>
    <n v="0"/>
    <n v="0"/>
    <n v="0"/>
    <n v="0"/>
    <n v="0"/>
    <n v="0"/>
    <n v="12.98"/>
    <n v="12.98"/>
    <n v="0"/>
    <n v="0"/>
    <n v="0"/>
    <n v="0"/>
    <n v="0"/>
    <n v="212.10999999999999"/>
    <n v="0"/>
    <n v="0"/>
    <n v="0"/>
    <n v="0"/>
    <n v="0"/>
    <n v="212.10999999999999"/>
    <m/>
    <m/>
    <m/>
    <m/>
    <m/>
    <m/>
    <m/>
    <m/>
    <s v="1"/>
    <s v="1"/>
    <s v="1"/>
    <s v="1"/>
    <s v="1"/>
    <m/>
    <m/>
    <m/>
    <m/>
    <m/>
    <m/>
    <m/>
    <m/>
    <m/>
    <m/>
    <m/>
    <m/>
    <m/>
    <m/>
  </r>
  <r>
    <n v="742"/>
    <d v="2025-02-10T00:00:00"/>
    <x v="0"/>
    <n v="9518506961"/>
    <n v="3"/>
    <s v="9518506961-3"/>
    <s v="Stocks"/>
    <x v="0"/>
    <m/>
    <x v="1"/>
    <x v="1"/>
    <x v="1"/>
    <m/>
    <x v="1"/>
    <m/>
    <m/>
    <s v="Haryana"/>
    <s v="North"/>
    <s v="FARIDABAD"/>
    <x v="0"/>
    <x v="33"/>
    <x v="33"/>
    <x v="1"/>
    <s v="CRCA COIL TATCRC TR15 0.5X1250"/>
    <s v=""/>
    <s v=""/>
    <m/>
    <m/>
    <s v="Wider"/>
    <x v="1"/>
    <x v="1"/>
    <s v="TR15"/>
    <x v="1"/>
    <x v="0"/>
    <x v="0"/>
    <n v="261"/>
    <n v="232.95500000000001"/>
    <n v="28.045000000000002"/>
    <n v="0.53500000000000003"/>
    <n v="0"/>
    <n v="2.5150000000000001"/>
    <n v="0"/>
    <n v="0"/>
    <n v="0"/>
    <n v="0"/>
    <n v="0"/>
    <n v="0"/>
    <n v="0"/>
    <n v="0"/>
    <n v="0"/>
    <n v="0"/>
    <n v="0"/>
    <n v="0"/>
    <n v="0"/>
    <n v="0"/>
    <n v="0"/>
    <n v="0"/>
    <n v="0"/>
    <n v="0"/>
    <n v="0"/>
    <n v="0"/>
    <n v="0"/>
    <n v="0"/>
    <n v="0"/>
    <n v="0"/>
    <n v="12.27"/>
    <n v="0"/>
    <n v="0"/>
    <n v="0"/>
    <n v="0"/>
    <n v="0"/>
    <n v="0"/>
    <n v="12.27"/>
    <n v="12.27"/>
    <n v="0"/>
    <n v="0"/>
    <n v="0"/>
    <n v="0"/>
    <n v="0"/>
    <n v="0"/>
    <n v="0"/>
    <n v="0"/>
    <n v="0"/>
    <n v="0"/>
    <n v="0"/>
    <n v="0"/>
    <m/>
    <m/>
    <m/>
    <m/>
    <m/>
    <m/>
    <m/>
    <m/>
    <s v="1"/>
    <s v="1"/>
    <s v="1"/>
    <s v="1"/>
    <s v="1"/>
    <m/>
    <m/>
    <m/>
    <m/>
    <m/>
    <m/>
    <m/>
    <m/>
    <m/>
    <m/>
    <m/>
    <m/>
    <m/>
    <m/>
  </r>
  <r>
    <n v="742"/>
    <d v="2025-02-10T00:00:00"/>
    <x v="0"/>
    <n v="9518506961"/>
    <n v="4"/>
    <s v="9518506961-4"/>
    <s v="No Priority"/>
    <x v="0"/>
    <m/>
    <x v="1"/>
    <x v="1"/>
    <x v="1"/>
    <m/>
    <x v="0"/>
    <m/>
    <m/>
    <s v="Haryana"/>
    <s v="North"/>
    <s v="FARIDABAD"/>
    <x v="0"/>
    <x v="33"/>
    <x v="33"/>
    <x v="1"/>
    <s v="CRCA COIL TATCRC TR15 0.5X1250"/>
    <s v=""/>
    <s v=""/>
    <m/>
    <m/>
    <s v="Wider"/>
    <x v="1"/>
    <x v="1"/>
    <s v="TR15"/>
    <x v="1"/>
    <x v="0"/>
    <x v="0"/>
    <n v="261"/>
    <n v="231.86500000000001"/>
    <n v="29.135000000000002"/>
    <n v="1.7649999999999999"/>
    <n v="0"/>
    <n v="3.1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5T00:00:00"/>
    <x v="0"/>
    <n v="9518495920"/>
    <n v="9"/>
    <s v="9518495920-9"/>
    <s v="No Priority"/>
    <x v="0"/>
    <m/>
    <x v="1"/>
    <x v="2"/>
    <x v="1"/>
    <m/>
    <x v="0"/>
    <m/>
    <s v="Exp BTF &lt;17MT"/>
    <s v="Uttar Pradesh"/>
    <s v="North"/>
    <s v="VARANASI"/>
    <x v="1"/>
    <x v="2"/>
    <x v="2"/>
    <x v="57"/>
    <s v="CRCA SHEET TSBCRC SR15 0.600X1000X1930"/>
    <s v=""/>
    <s v=""/>
    <m/>
    <m/>
    <s v="Narrow"/>
    <x v="2"/>
    <x v="4"/>
    <s v="SR15"/>
    <x v="20"/>
    <x v="2"/>
    <x v="2"/>
    <n v="27"/>
    <n v="20.22"/>
    <n v="6.78"/>
    <n v="6.78"/>
    <n v="6.78"/>
    <n v="6.78"/>
    <n v="0"/>
    <n v="0"/>
    <n v="0"/>
    <n v="0"/>
    <n v="0"/>
    <n v="0"/>
    <n v="0"/>
    <n v="0"/>
    <n v="0"/>
    <n v="0"/>
    <n v="0"/>
    <n v="0"/>
    <n v="0"/>
    <n v="0"/>
    <n v="0"/>
    <n v="0"/>
    <n v="0"/>
    <n v="0"/>
    <n v="0"/>
    <n v="0"/>
    <n v="0"/>
    <n v="0"/>
    <n v="0"/>
    <n v="0"/>
    <n v="0"/>
    <n v="0"/>
    <n v="0"/>
    <n v="0"/>
    <n v="0"/>
    <n v="0"/>
    <n v="0"/>
    <n v="0"/>
    <n v="0"/>
    <n v="0"/>
    <n v="0"/>
    <n v="0"/>
    <n v="0"/>
    <n v="0"/>
    <n v="20.22"/>
    <n v="0"/>
    <n v="0"/>
    <n v="0"/>
    <n v="0"/>
    <n v="0"/>
    <n v="20.22"/>
    <m/>
    <m/>
    <m/>
    <m/>
    <m/>
    <m/>
    <m/>
    <m/>
    <s v="1"/>
    <s v="1"/>
    <s v="1"/>
    <s v="1"/>
    <s v="1"/>
    <m/>
    <m/>
    <m/>
    <m/>
    <m/>
    <m/>
    <m/>
    <m/>
    <m/>
    <m/>
    <m/>
    <m/>
    <m/>
    <m/>
  </r>
  <r>
    <n v="742"/>
    <d v="2025-01-22T00:00:00"/>
    <x v="0"/>
    <n v="9518451356"/>
    <n v="11"/>
    <s v="9518451356-11"/>
    <s v="No Priority"/>
    <x v="0"/>
    <m/>
    <x v="1"/>
    <x v="11"/>
    <x v="0"/>
    <m/>
    <x v="0"/>
    <m/>
    <m/>
    <s v="Karnataka"/>
    <s v="South"/>
    <s v="YESHWANTHPURA"/>
    <x v="0"/>
    <x v="34"/>
    <x v="34"/>
    <x v="58"/>
    <s v="CRCA COIL TATXXD AH03 1.200X1250"/>
    <s v=" "/>
    <s v=""/>
    <n v="2"/>
    <n v="26"/>
    <s v="Wider"/>
    <x v="1"/>
    <x v="2"/>
    <s v="AH03"/>
    <x v="19"/>
    <x v="0"/>
    <x v="0"/>
    <n v="145"/>
    <n v="119.47499999999999"/>
    <n v="25.524999999999999"/>
    <n v="25.524999999999999"/>
    <n v="25.524999999999999"/>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1T00:00:00"/>
    <x v="0"/>
    <n v="9518510371"/>
    <n v="5"/>
    <s v="9518510371-5"/>
    <s v="No Priority"/>
    <x v="0"/>
    <m/>
    <x v="1"/>
    <x v="1"/>
    <x v="1"/>
    <m/>
    <x v="0"/>
    <m/>
    <m/>
    <s v="Uttar Pradesh"/>
    <s v="North"/>
    <s v="GORAKHPUR"/>
    <x v="1"/>
    <x v="7"/>
    <x v="7"/>
    <x v="59"/>
    <s v="CRCA SHEET TATCRC TR15 .7X1250X2500"/>
    <s v=""/>
    <s v=""/>
    <m/>
    <m/>
    <s v="Wider"/>
    <x v="2"/>
    <x v="1"/>
    <s v="TR15"/>
    <x v="4"/>
    <x v="0"/>
    <x v="3"/>
    <n v="39"/>
    <n v="26.484999999999999"/>
    <n v="12.515000000000001"/>
    <n v="12.515000000000001"/>
    <n v="12.515000000000001"/>
    <n v="12.515000000000001"/>
    <n v="0"/>
    <n v="0"/>
    <n v="0"/>
    <n v="0"/>
    <n v="0"/>
    <n v="0"/>
    <n v="0"/>
    <n v="0"/>
    <n v="0"/>
    <n v="0"/>
    <n v="0"/>
    <n v="0"/>
    <n v="0"/>
    <n v="0"/>
    <n v="0"/>
    <n v="0"/>
    <n v="0"/>
    <n v="0"/>
    <n v="0"/>
    <n v="0"/>
    <n v="0"/>
    <n v="0"/>
    <n v="0"/>
    <n v="0"/>
    <n v="0"/>
    <n v="0"/>
    <n v="0"/>
    <n v="0"/>
    <n v="0"/>
    <n v="0"/>
    <n v="0"/>
    <n v="0"/>
    <n v="0"/>
    <n v="0"/>
    <n v="0"/>
    <n v="0"/>
    <n v="0"/>
    <n v="0"/>
    <n v="26.485000000000003"/>
    <n v="0"/>
    <n v="0"/>
    <n v="0"/>
    <n v="0"/>
    <n v="0"/>
    <n v="26.485000000000003"/>
    <m/>
    <m/>
    <m/>
    <m/>
    <m/>
    <m/>
    <m/>
    <m/>
    <s v="1"/>
    <s v="1"/>
    <s v="1"/>
    <s v="1"/>
    <s v="1"/>
    <m/>
    <m/>
    <m/>
    <m/>
    <m/>
    <m/>
    <m/>
    <m/>
    <m/>
    <m/>
    <m/>
    <m/>
    <m/>
    <m/>
  </r>
  <r>
    <n v="742"/>
    <d v="2025-02-09T00:00:00"/>
    <x v="0"/>
    <n v="9518505599"/>
    <n v="4"/>
    <s v="9518505599-4"/>
    <s v="No Priority"/>
    <x v="0"/>
    <m/>
    <x v="1"/>
    <x v="1"/>
    <x v="0"/>
    <m/>
    <x v="0"/>
    <m/>
    <s v="De-prioritized due to narrow HR unavailability"/>
    <s v="Telangana"/>
    <s v="South"/>
    <s v="PATTANCHERY"/>
    <x v="0"/>
    <x v="35"/>
    <x v="35"/>
    <x v="60"/>
    <s v="CRSHEET-ICF  DQ TATXXD AU03 0.90 X 1220"/>
    <s v=" "/>
    <s v=""/>
    <n v="18"/>
    <n v="30"/>
    <s v="Wider"/>
    <x v="1"/>
    <x v="2"/>
    <s v="AU03"/>
    <x v="13"/>
    <x v="1"/>
    <x v="0"/>
    <n v="56"/>
    <n v="20.79"/>
    <n v="35.21"/>
    <n v="35.21"/>
    <n v="35.21"/>
    <n v="35.2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03T00:00:00"/>
    <x v="0"/>
    <n v="9518403237"/>
    <n v="6"/>
    <s v="9518403237-6"/>
    <s v="No Priority"/>
    <x v="0"/>
    <m/>
    <x v="1"/>
    <x v="2"/>
    <x v="1"/>
    <m/>
    <x v="0"/>
    <m/>
    <m/>
    <s v="Jharkhand"/>
    <s v="East"/>
    <s v="BOKARO STEEL CY"/>
    <x v="1"/>
    <x v="10"/>
    <x v="10"/>
    <x v="61"/>
    <s v="CRCA SHEET TATCRC SR16 0.430X1000X2500"/>
    <s v=""/>
    <s v=""/>
    <m/>
    <m/>
    <s v="Narrow"/>
    <x v="2"/>
    <x v="1"/>
    <s v="SR16"/>
    <x v="25"/>
    <x v="2"/>
    <x v="3"/>
    <n v="23"/>
    <n v="0"/>
    <n v="23"/>
    <n v="0.25"/>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6T00:00:00"/>
    <x v="0"/>
    <n v="9518499138"/>
    <n v="7"/>
    <s v="9518499138-7"/>
    <s v="May'25"/>
    <x v="0"/>
    <m/>
    <x v="1"/>
    <x v="2"/>
    <x v="1"/>
    <m/>
    <x v="1"/>
    <m/>
    <m/>
    <s v="Jharkhand"/>
    <s v="East"/>
    <s v="BOKARO STEEL CY"/>
    <x v="1"/>
    <x v="10"/>
    <x v="10"/>
    <x v="61"/>
    <s v="CRCA SHEET TATCRC SR16 0.430X1000X2500"/>
    <s v=""/>
    <s v=""/>
    <m/>
    <m/>
    <s v="Narrow"/>
    <x v="2"/>
    <x v="1"/>
    <s v="SR16"/>
    <x v="25"/>
    <x v="2"/>
    <x v="3"/>
    <n v="60"/>
    <n v="0"/>
    <n v="60"/>
    <n v="-6.94"/>
    <n v="0"/>
    <n v="39.590000000000003"/>
    <n v="0"/>
    <n v="0"/>
    <n v="0"/>
    <n v="0"/>
    <n v="0"/>
    <n v="0"/>
    <n v="0"/>
    <n v="0"/>
    <n v="0"/>
    <n v="0"/>
    <n v="0"/>
    <n v="0"/>
    <n v="0"/>
    <n v="0"/>
    <n v="43.88"/>
    <n v="0"/>
    <n v="0"/>
    <n v="0"/>
    <n v="0"/>
    <n v="43.88"/>
    <n v="43.88"/>
    <n v="0"/>
    <n v="43.88"/>
    <n v="0"/>
    <n v="0"/>
    <n v="39.590000000000003"/>
    <n v="39.590000000000003"/>
    <n v="0"/>
    <n v="0"/>
    <n v="0"/>
    <n v="0"/>
    <n v="39.590000000000003"/>
    <n v="0"/>
    <n v="39.590000000000003"/>
    <n v="0"/>
    <n v="0"/>
    <n v="0"/>
    <n v="0"/>
    <n v="0"/>
    <n v="0"/>
    <n v="0"/>
    <n v="0"/>
    <n v="0"/>
    <n v="0"/>
    <n v="0"/>
    <m/>
    <m/>
    <m/>
    <m/>
    <m/>
    <m/>
    <m/>
    <m/>
    <s v="0"/>
    <s v="1"/>
    <s v="1"/>
    <s v="1"/>
    <s v="1"/>
    <m/>
    <m/>
    <m/>
    <m/>
    <m/>
    <m/>
    <m/>
    <m/>
    <m/>
    <m/>
    <m/>
    <m/>
    <m/>
    <m/>
  </r>
  <r>
    <n v="743"/>
    <d v="2025-02-14T00:00:00"/>
    <x v="0"/>
    <n v="9518519620"/>
    <n v="5"/>
    <s v="9518519620-5"/>
    <s v="Stocks"/>
    <x v="0"/>
    <m/>
    <x v="3"/>
    <x v="9"/>
    <x v="1"/>
    <m/>
    <x v="1"/>
    <m/>
    <m/>
    <s v="Bihar"/>
    <s v="East"/>
    <s v="PATNA"/>
    <x v="0"/>
    <x v="31"/>
    <x v="31"/>
    <x v="62"/>
    <s v="GP COIL SOFT-TATXGP-GK09-0.6X900"/>
    <n v="80"/>
    <s v=""/>
    <m/>
    <m/>
    <s v="Narrow"/>
    <x v="7"/>
    <x v="5"/>
    <s v="GK09"/>
    <x v="20"/>
    <x v="3"/>
    <x v="0"/>
    <n v="210"/>
    <n v="0"/>
    <n v="210"/>
    <n v="210"/>
    <n v="0"/>
    <n v="16.295000000000002"/>
    <n v="0"/>
    <n v="0"/>
    <n v="0"/>
    <n v="0"/>
    <n v="0"/>
    <n v="0"/>
    <n v="0.99"/>
    <n v="0"/>
    <n v="0"/>
    <n v="0"/>
    <n v="0"/>
    <n v="0"/>
    <n v="0"/>
    <n v="0"/>
    <n v="0"/>
    <n v="0"/>
    <n v="0"/>
    <n v="0"/>
    <n v="0"/>
    <n v="0.99"/>
    <n v="0.99"/>
    <n v="210"/>
    <n v="210.99"/>
    <n v="0"/>
    <n v="51.834999999999994"/>
    <n v="0"/>
    <n v="0"/>
    <n v="0"/>
    <n v="0"/>
    <n v="0"/>
    <n v="0"/>
    <n v="51.834999999999994"/>
    <n v="51.834999999999994"/>
    <n v="0"/>
    <n v="0"/>
    <n v="0"/>
    <n v="0"/>
    <n v="0"/>
    <n v="0"/>
    <n v="0"/>
    <n v="0"/>
    <n v="0"/>
    <n v="0"/>
    <n v="0"/>
    <n v="0"/>
    <m/>
    <m/>
    <m/>
    <m/>
    <m/>
    <m/>
    <m/>
    <m/>
    <s v="1"/>
    <s v="1"/>
    <s v="1"/>
    <s v="1"/>
    <s v="1"/>
    <m/>
    <m/>
    <m/>
    <m/>
    <m/>
    <m/>
    <m/>
    <m/>
    <m/>
    <m/>
    <m/>
    <m/>
    <m/>
    <m/>
  </r>
  <r>
    <n v="743"/>
    <d v="2025-01-13T00:00:00"/>
    <x v="0"/>
    <n v="9518424820"/>
    <n v="7"/>
    <s v="9518424820-7"/>
    <s v="Stocks"/>
    <x v="0"/>
    <m/>
    <x v="3"/>
    <x v="9"/>
    <x v="1"/>
    <m/>
    <x v="1"/>
    <m/>
    <m/>
    <s v="West Bengal"/>
    <s v="East"/>
    <s v="KOLKATA"/>
    <x v="0"/>
    <x v="36"/>
    <x v="36"/>
    <x v="63"/>
    <s v="GP COIL SOFT-TATXGP-GLK1-0.6X900"/>
    <s v=""/>
    <s v=""/>
    <m/>
    <m/>
    <s v="Narrow"/>
    <x v="7"/>
    <x v="5"/>
    <s v="GLK1"/>
    <x v="20"/>
    <x v="3"/>
    <x v="0"/>
    <n v="105"/>
    <n v="15.17"/>
    <n v="89.83"/>
    <n v="2.9249999999999998"/>
    <n v="89.83"/>
    <n v="0"/>
    <n v="0"/>
    <n v="0"/>
    <n v="0"/>
    <n v="0"/>
    <n v="0"/>
    <n v="0"/>
    <n v="0"/>
    <n v="0"/>
    <n v="0"/>
    <n v="0"/>
    <n v="0"/>
    <n v="0"/>
    <n v="0"/>
    <n v="0"/>
    <n v="0"/>
    <n v="0"/>
    <n v="0"/>
    <n v="0"/>
    <n v="0"/>
    <n v="0"/>
    <n v="0"/>
    <n v="0"/>
    <n v="0"/>
    <n v="0"/>
    <n v="31.17"/>
    <n v="0"/>
    <n v="0"/>
    <n v="0"/>
    <n v="0"/>
    <n v="0"/>
    <n v="0"/>
    <n v="31.17"/>
    <n v="31.17"/>
    <n v="0"/>
    <n v="0"/>
    <n v="0"/>
    <n v="0"/>
    <n v="0"/>
    <n v="0"/>
    <n v="0"/>
    <n v="0"/>
    <n v="0"/>
    <n v="0"/>
    <n v="0"/>
    <n v="0"/>
    <m/>
    <m/>
    <m/>
    <m/>
    <m/>
    <m/>
    <m/>
    <m/>
    <s v="1"/>
    <s v="1"/>
    <s v="1"/>
    <s v="1"/>
    <s v="1"/>
    <m/>
    <m/>
    <m/>
    <m/>
    <m/>
    <m/>
    <m/>
    <m/>
    <m/>
    <m/>
    <m/>
    <m/>
    <m/>
    <m/>
  </r>
  <r>
    <n v="742"/>
    <d v="2025-02-14T00:00:00"/>
    <x v="0"/>
    <n v="9518518311"/>
    <n v="3"/>
    <s v="9518518311-3"/>
    <s v="May'25"/>
    <x v="0"/>
    <m/>
    <x v="1"/>
    <x v="1"/>
    <x v="1"/>
    <m/>
    <x v="1"/>
    <m/>
    <s v="Exp BTF &lt;17MT"/>
    <s v="Telangana"/>
    <s v="South"/>
    <s v="SANGAREDDY"/>
    <x v="0"/>
    <x v="23"/>
    <x v="22"/>
    <x v="1"/>
    <s v="CRCA COIL TATCRC TR15 0.5X1250"/>
    <s v=""/>
    <s v=""/>
    <m/>
    <m/>
    <s v="Wider"/>
    <x v="1"/>
    <x v="1"/>
    <s v="TR15"/>
    <x v="1"/>
    <x v="0"/>
    <x v="0"/>
    <n v="87"/>
    <n v="0"/>
    <n v="87"/>
    <n v="4.82"/>
    <n v="32.129999999999995"/>
    <n v="61.61"/>
    <n v="0"/>
    <n v="0"/>
    <n v="0"/>
    <n v="0"/>
    <n v="0"/>
    <n v="0"/>
    <n v="0"/>
    <n v="0"/>
    <n v="0"/>
    <n v="0"/>
    <n v="0"/>
    <n v="0"/>
    <n v="54.870000000000005"/>
    <n v="0"/>
    <n v="0"/>
    <n v="0"/>
    <n v="0"/>
    <n v="0"/>
    <n v="0"/>
    <n v="54.870000000000005"/>
    <n v="54.870000000000005"/>
    <n v="0"/>
    <n v="54.870000000000005"/>
    <n v="0"/>
    <n v="0"/>
    <n v="61.61"/>
    <n v="0"/>
    <n v="61.61"/>
    <n v="0"/>
    <n v="0"/>
    <n v="0"/>
    <n v="61.61"/>
    <n v="0"/>
    <n v="61.61"/>
    <n v="0"/>
    <n v="0"/>
    <n v="0"/>
    <n v="0"/>
    <n v="0"/>
    <n v="0"/>
    <n v="0"/>
    <n v="0"/>
    <n v="0"/>
    <n v="0"/>
    <n v="0"/>
    <m/>
    <m/>
    <m/>
    <m/>
    <m/>
    <m/>
    <m/>
    <m/>
    <s v="1"/>
    <s v="0"/>
    <s v="1"/>
    <s v="1"/>
    <s v="1"/>
    <m/>
    <m/>
    <m/>
    <m/>
    <m/>
    <m/>
    <m/>
    <m/>
    <m/>
    <m/>
    <m/>
    <m/>
    <m/>
    <m/>
  </r>
  <r>
    <n v="742"/>
    <d v="2025-02-14T00:00:00"/>
    <x v="0"/>
    <n v="9518518311"/>
    <n v="7"/>
    <s v="9518518311-7"/>
    <s v="Mar'25"/>
    <x v="0"/>
    <m/>
    <x v="1"/>
    <x v="1"/>
    <x v="1"/>
    <m/>
    <x v="1"/>
    <m/>
    <m/>
    <s v="Telangana"/>
    <s v="South"/>
    <s v="SANGAREDDY"/>
    <x v="0"/>
    <x v="23"/>
    <x v="22"/>
    <x v="64"/>
    <s v="CRCA COIL TATXXD AU03 1X1320"/>
    <s v=""/>
    <s v=""/>
    <m/>
    <m/>
    <s v="Wider"/>
    <x v="1"/>
    <x v="2"/>
    <s v="AU03"/>
    <x v="17"/>
    <x v="9"/>
    <x v="0"/>
    <n v="210"/>
    <n v="184.95"/>
    <n v="25.05"/>
    <n v="25.05"/>
    <n v="-3.7800000000000011"/>
    <n v="25.05"/>
    <n v="0"/>
    <n v="0"/>
    <n v="0"/>
    <n v="0"/>
    <n v="0"/>
    <n v="0"/>
    <n v="0"/>
    <n v="0"/>
    <n v="0"/>
    <n v="0"/>
    <n v="0"/>
    <n v="0"/>
    <n v="28.830000000000002"/>
    <n v="0"/>
    <n v="0"/>
    <n v="0"/>
    <n v="0"/>
    <n v="0"/>
    <n v="0"/>
    <n v="28.830000000000002"/>
    <n v="28.830000000000002"/>
    <n v="0"/>
    <n v="28.830000000000002"/>
    <n v="0"/>
    <n v="0"/>
    <n v="25.05"/>
    <n v="0"/>
    <n v="25.05"/>
    <n v="0"/>
    <n v="0"/>
    <n v="0"/>
    <n v="25.05"/>
    <n v="0"/>
    <n v="25.05"/>
    <n v="0"/>
    <n v="0"/>
    <n v="0"/>
    <n v="0"/>
    <n v="0"/>
    <n v="0"/>
    <n v="0"/>
    <n v="0"/>
    <n v="0"/>
    <n v="0"/>
    <n v="0"/>
    <m/>
    <m/>
    <m/>
    <m/>
    <m/>
    <m/>
    <m/>
    <m/>
    <s v="1"/>
    <s v="0"/>
    <s v="1"/>
    <s v="1"/>
    <s v="1"/>
    <m/>
    <m/>
    <m/>
    <m/>
    <m/>
    <m/>
    <m/>
    <m/>
    <m/>
    <m/>
    <m/>
    <m/>
    <m/>
    <m/>
  </r>
  <r>
    <n v="742"/>
    <d v="2025-02-10T00:00:00"/>
    <x v="0"/>
    <n v="9518507185"/>
    <n v="6"/>
    <s v="9518507185-6"/>
    <s v="Mar'25"/>
    <x v="0"/>
    <m/>
    <x v="1"/>
    <x v="2"/>
    <x v="1"/>
    <m/>
    <x v="1"/>
    <m/>
    <m/>
    <s v="Jharkhand"/>
    <s v="East"/>
    <s v="WEST BOKARO"/>
    <x v="1"/>
    <x v="12"/>
    <x v="12"/>
    <x v="17"/>
    <s v="CRCA SHEET TATCRC SR16 0.450X1000X2500"/>
    <s v=""/>
    <s v=""/>
    <m/>
    <m/>
    <s v="Narrow"/>
    <x v="2"/>
    <x v="1"/>
    <s v="SR16"/>
    <x v="10"/>
    <x v="2"/>
    <x v="3"/>
    <n v="39"/>
    <n v="0"/>
    <n v="39"/>
    <n v="16.739999999999998"/>
    <n v="16.599999999999998"/>
    <n v="18.18"/>
    <n v="0"/>
    <n v="0"/>
    <n v="0"/>
    <n v="0"/>
    <n v="0"/>
    <n v="0"/>
    <n v="0"/>
    <n v="0"/>
    <n v="0"/>
    <n v="0"/>
    <n v="0"/>
    <n v="0"/>
    <n v="0"/>
    <n v="22.400000000000002"/>
    <n v="0"/>
    <n v="0"/>
    <n v="0"/>
    <n v="0"/>
    <n v="0"/>
    <n v="22.400000000000002"/>
    <n v="22.400000000000002"/>
    <n v="0"/>
    <n v="22.400000000000002"/>
    <n v="0"/>
    <n v="2.97"/>
    <n v="18.18"/>
    <n v="0"/>
    <n v="18.18"/>
    <n v="0"/>
    <n v="0"/>
    <n v="0"/>
    <n v="21.15"/>
    <n v="0"/>
    <n v="0"/>
    <n v="21.15"/>
    <n v="0"/>
    <n v="0"/>
    <n v="0"/>
    <n v="0"/>
    <n v="0"/>
    <n v="0"/>
    <n v="0"/>
    <n v="0"/>
    <n v="0"/>
    <n v="0"/>
    <m/>
    <m/>
    <m/>
    <m/>
    <m/>
    <m/>
    <m/>
    <m/>
    <s v="1"/>
    <s v="0"/>
    <s v="1"/>
    <s v="1"/>
    <s v="1"/>
    <m/>
    <m/>
    <m/>
    <m/>
    <m/>
    <m/>
    <m/>
    <m/>
    <m/>
    <m/>
    <m/>
    <m/>
    <m/>
    <m/>
  </r>
  <r>
    <n v="743"/>
    <d v="2025-02-10T00:00:00"/>
    <x v="0"/>
    <n v="9518508377"/>
    <n v="13"/>
    <s v="9518508377-13"/>
    <s v="No Priority"/>
    <x v="0"/>
    <m/>
    <x v="3"/>
    <x v="9"/>
    <x v="1"/>
    <m/>
    <x v="0"/>
    <m/>
    <m/>
    <s v="Jharkhand"/>
    <s v="East"/>
    <s v="WEST BOKARO"/>
    <x v="0"/>
    <x v="12"/>
    <x v="12"/>
    <x v="62"/>
    <s v="GP COIL SOFT-TATXGP-GK09-0.6X900"/>
    <n v="80"/>
    <s v=""/>
    <m/>
    <m/>
    <s v="Narrow"/>
    <x v="7"/>
    <x v="5"/>
    <s v="GK09"/>
    <x v="20"/>
    <x v="3"/>
    <x v="0"/>
    <n v="168"/>
    <n v="14.46"/>
    <n v="153.54"/>
    <n v="91.94"/>
    <n v="0"/>
    <n v="2.5249999999999999"/>
    <n v="0"/>
    <n v="0"/>
    <n v="0"/>
    <n v="0"/>
    <n v="0"/>
    <n v="0"/>
    <n v="0"/>
    <n v="0"/>
    <n v="0"/>
    <n v="0"/>
    <n v="0"/>
    <n v="0"/>
    <n v="0"/>
    <n v="0"/>
    <n v="0"/>
    <n v="0"/>
    <n v="0"/>
    <n v="0"/>
    <n v="0"/>
    <n v="0"/>
    <n v="0"/>
    <n v="92"/>
    <n v="92"/>
    <n v="0"/>
    <n v="0"/>
    <n v="0"/>
    <n v="0"/>
    <n v="0"/>
    <n v="0"/>
    <n v="0"/>
    <n v="0"/>
    <n v="0"/>
    <n v="0"/>
    <n v="0"/>
    <n v="0"/>
    <n v="0"/>
    <n v="0"/>
    <n v="0"/>
    <n v="0"/>
    <n v="0"/>
    <n v="0"/>
    <n v="0"/>
    <n v="0"/>
    <n v="0"/>
    <n v="0"/>
    <m/>
    <m/>
    <m/>
    <m/>
    <m/>
    <m/>
    <m/>
    <m/>
    <s v="1"/>
    <s v="1"/>
    <s v="1"/>
    <s v="1"/>
    <s v="1"/>
    <m/>
    <m/>
    <m/>
    <m/>
    <m/>
    <m/>
    <m/>
    <m/>
    <m/>
    <m/>
    <m/>
    <m/>
    <m/>
    <m/>
  </r>
  <r>
    <n v="743"/>
    <d v="2025-02-14T00:00:00"/>
    <x v="0"/>
    <n v="9518519620"/>
    <n v="6"/>
    <s v="9518519620-6"/>
    <s v="No Priority"/>
    <x v="0"/>
    <m/>
    <x v="3"/>
    <x v="9"/>
    <x v="1"/>
    <m/>
    <x v="0"/>
    <m/>
    <m/>
    <s v="Bihar"/>
    <s v="East"/>
    <s v="PATNA"/>
    <x v="0"/>
    <x v="31"/>
    <x v="31"/>
    <x v="65"/>
    <s v="GP COIL SOFT-TATXGP-GK09-0.63X900"/>
    <n v="80"/>
    <s v=""/>
    <m/>
    <m/>
    <s v="Narrow"/>
    <x v="7"/>
    <x v="5"/>
    <s v="GK09"/>
    <x v="26"/>
    <x v="3"/>
    <x v="0"/>
    <n v="84"/>
    <n v="0"/>
    <n v="84"/>
    <n v="84"/>
    <n v="0"/>
    <n v="6.25"/>
    <n v="0"/>
    <n v="0"/>
    <n v="0"/>
    <n v="0"/>
    <n v="0"/>
    <n v="0"/>
    <n v="0"/>
    <n v="0"/>
    <n v="0"/>
    <n v="0"/>
    <n v="0"/>
    <n v="0"/>
    <n v="0"/>
    <n v="0"/>
    <n v="0"/>
    <n v="0"/>
    <n v="0"/>
    <n v="0"/>
    <n v="0"/>
    <n v="0"/>
    <n v="0"/>
    <n v="84"/>
    <n v="84"/>
    <n v="0"/>
    <n v="0"/>
    <n v="0"/>
    <n v="0"/>
    <n v="0"/>
    <n v="0"/>
    <n v="0"/>
    <n v="0"/>
    <n v="0"/>
    <n v="0"/>
    <n v="0"/>
    <n v="0"/>
    <n v="0"/>
    <n v="0"/>
    <n v="0"/>
    <n v="0"/>
    <n v="0"/>
    <n v="0"/>
    <n v="0"/>
    <n v="0"/>
    <n v="0"/>
    <n v="0"/>
    <m/>
    <m/>
    <m/>
    <m/>
    <m/>
    <m/>
    <m/>
    <m/>
    <s v="1"/>
    <s v="1"/>
    <s v="1"/>
    <s v="1"/>
    <s v="1"/>
    <m/>
    <m/>
    <m/>
    <m/>
    <m/>
    <m/>
    <m/>
    <m/>
    <m/>
    <m/>
    <m/>
    <m/>
    <m/>
    <m/>
  </r>
  <r>
    <n v="742"/>
    <d v="2025-01-13T00:00:00"/>
    <x v="0"/>
    <n v="9518425909"/>
    <n v="5"/>
    <s v="9518425909-5"/>
    <s v="No Priority"/>
    <x v="0"/>
    <m/>
    <x v="1"/>
    <x v="2"/>
    <x v="1"/>
    <m/>
    <x v="0"/>
    <m/>
    <m/>
    <s v="Andhra Pradesh"/>
    <s v="South"/>
    <s v="VISHAKHAPATNAM"/>
    <x v="1"/>
    <x v="8"/>
    <x v="8"/>
    <x v="66"/>
    <s v="CRCA SHEET TATCRC SR16 0.450X900X2440"/>
    <s v=""/>
    <s v=""/>
    <m/>
    <m/>
    <s v="Narrow"/>
    <x v="2"/>
    <x v="1"/>
    <s v="SR16"/>
    <x v="10"/>
    <x v="3"/>
    <x v="6"/>
    <n v="21"/>
    <n v="18.434999999999999"/>
    <n v="2.5649999999999999"/>
    <n v="2.5649999999999999"/>
    <n v="0"/>
    <n v="0"/>
    <n v="0"/>
    <n v="0"/>
    <n v="0"/>
    <n v="0"/>
    <n v="0"/>
    <n v="0"/>
    <n v="0"/>
    <n v="0"/>
    <n v="0"/>
    <n v="0"/>
    <n v="0"/>
    <n v="0"/>
    <n v="0"/>
    <n v="0"/>
    <n v="0"/>
    <n v="0"/>
    <n v="0"/>
    <n v="0"/>
    <n v="0"/>
    <n v="0"/>
    <n v="0"/>
    <n v="0"/>
    <n v="0"/>
    <n v="0"/>
    <n v="0"/>
    <n v="0"/>
    <n v="0"/>
    <n v="0"/>
    <n v="0"/>
    <n v="0"/>
    <n v="0"/>
    <n v="0"/>
    <n v="0"/>
    <n v="0"/>
    <n v="0"/>
    <n v="0"/>
    <n v="0"/>
    <n v="0"/>
    <n v="18.435000000000002"/>
    <n v="0"/>
    <n v="0"/>
    <n v="0"/>
    <n v="0"/>
    <n v="0"/>
    <n v="18.435000000000002"/>
    <m/>
    <m/>
    <m/>
    <m/>
    <m/>
    <m/>
    <m/>
    <m/>
    <s v="1"/>
    <s v="1"/>
    <s v="1"/>
    <s v="1"/>
    <s v="1"/>
    <m/>
    <m/>
    <m/>
    <m/>
    <m/>
    <m/>
    <m/>
    <m/>
    <m/>
    <m/>
    <m/>
    <m/>
    <m/>
    <m/>
  </r>
  <r>
    <n v="742"/>
    <d v="2025-02-06T00:00:00"/>
    <x v="0"/>
    <n v="9518497626"/>
    <n v="5"/>
    <s v="9518497626-5"/>
    <s v="No Priority"/>
    <x v="0"/>
    <m/>
    <x v="1"/>
    <x v="2"/>
    <x v="1"/>
    <m/>
    <x v="0"/>
    <m/>
    <s v="Exp BTF &lt;17MT"/>
    <s v="Andhra Pradesh"/>
    <s v="South"/>
    <s v="VISHAKHAPATNAM"/>
    <x v="1"/>
    <x v="8"/>
    <x v="8"/>
    <x v="66"/>
    <s v="CRCA SHEET TATCRC SR16 0.450X900X2440"/>
    <s v=""/>
    <s v=""/>
    <m/>
    <m/>
    <s v="Narrow"/>
    <x v="2"/>
    <x v="1"/>
    <s v="SR16"/>
    <x v="10"/>
    <x v="3"/>
    <x v="6"/>
    <n v="42"/>
    <n v="37.575000000000003"/>
    <n v="4.4249999999999998"/>
    <n v="4.4249999999999998"/>
    <n v="4.4249999999999998"/>
    <n v="4.4249999999999998"/>
    <n v="0"/>
    <n v="0"/>
    <n v="0"/>
    <n v="0"/>
    <n v="0"/>
    <n v="0"/>
    <n v="0"/>
    <n v="0"/>
    <n v="0"/>
    <n v="0"/>
    <n v="0"/>
    <n v="0"/>
    <n v="0"/>
    <n v="0"/>
    <n v="0"/>
    <n v="0"/>
    <n v="0"/>
    <n v="0"/>
    <n v="0"/>
    <n v="0"/>
    <n v="0"/>
    <n v="0"/>
    <n v="0"/>
    <n v="0"/>
    <n v="0"/>
    <n v="0"/>
    <n v="0"/>
    <n v="0"/>
    <n v="0"/>
    <n v="0"/>
    <n v="0"/>
    <n v="0"/>
    <n v="0"/>
    <n v="0"/>
    <n v="0"/>
    <n v="0"/>
    <n v="0"/>
    <n v="0"/>
    <n v="37.574999999999996"/>
    <n v="0"/>
    <n v="0"/>
    <n v="0"/>
    <n v="0"/>
    <n v="0"/>
    <n v="37.574999999999996"/>
    <m/>
    <m/>
    <m/>
    <m/>
    <m/>
    <m/>
    <m/>
    <m/>
    <s v="1"/>
    <s v="1"/>
    <s v="1"/>
    <s v="1"/>
    <s v="1"/>
    <m/>
    <m/>
    <m/>
    <m/>
    <m/>
    <m/>
    <m/>
    <m/>
    <m/>
    <m/>
    <m/>
    <m/>
    <m/>
    <m/>
  </r>
  <r>
    <n v="742"/>
    <d v="2025-02-06T00:00:00"/>
    <x v="0"/>
    <n v="9518497626"/>
    <n v="7"/>
    <s v="9518497626-7"/>
    <s v="No Priority"/>
    <x v="0"/>
    <m/>
    <x v="1"/>
    <x v="2"/>
    <x v="1"/>
    <m/>
    <x v="0"/>
    <m/>
    <m/>
    <s v="Andhra Pradesh"/>
    <s v="South"/>
    <s v="VISHAKHAPATNAM"/>
    <x v="1"/>
    <x v="8"/>
    <x v="8"/>
    <x v="67"/>
    <s v="CRCA SHEET TSBCRC SR15 0.500X900X2440"/>
    <s v=""/>
    <s v=""/>
    <m/>
    <m/>
    <s v="Narrow"/>
    <x v="2"/>
    <x v="4"/>
    <s v="SR15"/>
    <x v="1"/>
    <x v="3"/>
    <x v="6"/>
    <n v="21"/>
    <n v="17.79"/>
    <n v="3.21"/>
    <n v="3.21"/>
    <n v="3.21"/>
    <n v="3.21"/>
    <n v="0"/>
    <n v="0"/>
    <n v="0"/>
    <n v="0"/>
    <n v="0"/>
    <n v="0"/>
    <n v="0"/>
    <n v="0"/>
    <n v="0"/>
    <n v="0"/>
    <n v="0"/>
    <n v="0"/>
    <n v="0"/>
    <n v="0"/>
    <n v="0"/>
    <n v="0"/>
    <n v="0"/>
    <n v="0"/>
    <n v="0"/>
    <n v="0"/>
    <n v="0"/>
    <n v="0"/>
    <n v="0"/>
    <n v="0"/>
    <n v="0"/>
    <n v="0"/>
    <n v="0"/>
    <n v="0"/>
    <n v="0"/>
    <n v="0"/>
    <n v="0"/>
    <n v="0"/>
    <n v="0"/>
    <n v="0"/>
    <n v="0"/>
    <n v="0"/>
    <n v="0"/>
    <n v="0"/>
    <n v="17.790000000000003"/>
    <n v="0"/>
    <n v="0"/>
    <n v="0"/>
    <n v="0"/>
    <n v="0"/>
    <n v="17.790000000000003"/>
    <m/>
    <m/>
    <m/>
    <m/>
    <m/>
    <m/>
    <m/>
    <m/>
    <s v="1"/>
    <s v="1"/>
    <s v="1"/>
    <s v="1"/>
    <s v="1"/>
    <m/>
    <m/>
    <m/>
    <m/>
    <m/>
    <m/>
    <m/>
    <m/>
    <m/>
    <m/>
    <m/>
    <m/>
    <m/>
    <m/>
  </r>
  <r>
    <n v="742"/>
    <d v="2025-02-06T00:00:00"/>
    <x v="0"/>
    <n v="9518497626"/>
    <n v="8"/>
    <s v="9518497626-8"/>
    <s v="No Priority"/>
    <x v="0"/>
    <m/>
    <x v="1"/>
    <x v="2"/>
    <x v="1"/>
    <m/>
    <x v="0"/>
    <m/>
    <m/>
    <s v="Andhra Pradesh"/>
    <s v="South"/>
    <s v="VISHAKHAPATNAM"/>
    <x v="1"/>
    <x v="8"/>
    <x v="8"/>
    <x v="68"/>
    <s v="CRCA SHEET TSBCRC SR15 0.500X1000X2440"/>
    <s v=""/>
    <s v=""/>
    <m/>
    <m/>
    <s v="Narrow"/>
    <x v="2"/>
    <x v="4"/>
    <s v="SR15"/>
    <x v="1"/>
    <x v="2"/>
    <x v="6"/>
    <n v="21"/>
    <n v="20.215"/>
    <n v="0.78500000000000003"/>
    <n v="0.78500000000000003"/>
    <n v="0"/>
    <n v="0.78500000000000003"/>
    <n v="0"/>
    <n v="0"/>
    <n v="0"/>
    <n v="0"/>
    <n v="0"/>
    <n v="0"/>
    <n v="0"/>
    <n v="0"/>
    <n v="0"/>
    <n v="0"/>
    <n v="0"/>
    <n v="0"/>
    <n v="0"/>
    <n v="0"/>
    <n v="0"/>
    <n v="0"/>
    <n v="0"/>
    <n v="0"/>
    <n v="0"/>
    <n v="0"/>
    <n v="0"/>
    <n v="0"/>
    <n v="0"/>
    <n v="0"/>
    <n v="0"/>
    <n v="0"/>
    <n v="0"/>
    <n v="0"/>
    <n v="0"/>
    <n v="0"/>
    <n v="0"/>
    <n v="0"/>
    <n v="0"/>
    <n v="0"/>
    <n v="0"/>
    <n v="0"/>
    <n v="0"/>
    <n v="0"/>
    <n v="20.215"/>
    <n v="0"/>
    <n v="0"/>
    <n v="0"/>
    <n v="0"/>
    <n v="0"/>
    <n v="20.215"/>
    <m/>
    <m/>
    <m/>
    <m/>
    <m/>
    <m/>
    <m/>
    <m/>
    <s v="1"/>
    <s v="1"/>
    <s v="1"/>
    <s v="1"/>
    <s v="1"/>
    <m/>
    <m/>
    <m/>
    <m/>
    <m/>
    <m/>
    <m/>
    <m/>
    <m/>
    <m/>
    <m/>
    <m/>
    <m/>
    <m/>
  </r>
  <r>
    <n v="742"/>
    <d v="2025-02-06T00:00:00"/>
    <x v="0"/>
    <n v="9518497626"/>
    <n v="11"/>
    <s v="9518497626-11"/>
    <s v="No Priority"/>
    <x v="0"/>
    <m/>
    <x v="1"/>
    <x v="2"/>
    <x v="1"/>
    <m/>
    <x v="0"/>
    <m/>
    <s v="De-prioritized due to narrow HR unavailability"/>
    <s v="Andhra Pradesh"/>
    <s v="South"/>
    <s v="VISHAKHAPATNAM"/>
    <x v="1"/>
    <x v="8"/>
    <x v="8"/>
    <x v="46"/>
    <s v="CRCA SHEET TSBCRC SR15 0.600X1000X2440"/>
    <s v=""/>
    <s v=""/>
    <m/>
    <m/>
    <s v="Narrow"/>
    <x v="2"/>
    <x v="4"/>
    <s v="SR15"/>
    <x v="20"/>
    <x v="2"/>
    <x v="6"/>
    <n v="21"/>
    <n v="20.32"/>
    <n v="0.68"/>
    <n v="0.68"/>
    <n v="0"/>
    <n v="0.68"/>
    <n v="0"/>
    <n v="0"/>
    <n v="0"/>
    <n v="0"/>
    <n v="0"/>
    <n v="0"/>
    <n v="0"/>
    <n v="0"/>
    <n v="0"/>
    <n v="0"/>
    <n v="0"/>
    <n v="0"/>
    <n v="0"/>
    <n v="0"/>
    <n v="0"/>
    <n v="0"/>
    <n v="0"/>
    <n v="0"/>
    <n v="0"/>
    <n v="0"/>
    <n v="0"/>
    <n v="0"/>
    <n v="0"/>
    <n v="0"/>
    <n v="0"/>
    <n v="0"/>
    <n v="0"/>
    <n v="0"/>
    <n v="0"/>
    <n v="0"/>
    <n v="0"/>
    <n v="0"/>
    <n v="0"/>
    <n v="0"/>
    <n v="0"/>
    <n v="0"/>
    <n v="0"/>
    <n v="0"/>
    <n v="20.32"/>
    <n v="0"/>
    <n v="0"/>
    <n v="0"/>
    <n v="0"/>
    <n v="0"/>
    <n v="20.32"/>
    <m/>
    <m/>
    <m/>
    <m/>
    <m/>
    <m/>
    <m/>
    <m/>
    <s v="1"/>
    <s v="1"/>
    <s v="1"/>
    <s v="1"/>
    <s v="1"/>
    <m/>
    <m/>
    <m/>
    <m/>
    <m/>
    <m/>
    <m/>
    <m/>
    <m/>
    <m/>
    <m/>
    <m/>
    <m/>
    <m/>
  </r>
  <r>
    <n v="742"/>
    <d v="2025-02-05T00:00:00"/>
    <x v="0"/>
    <n v="9518494668"/>
    <n v="4"/>
    <s v="9518494668-4"/>
    <s v="No Priority"/>
    <x v="0"/>
    <m/>
    <x v="1"/>
    <x v="1"/>
    <x v="1"/>
    <m/>
    <x v="0"/>
    <m/>
    <m/>
    <s v="Maharashtra"/>
    <s v="West"/>
    <s v="BOMBAY"/>
    <x v="0"/>
    <x v="37"/>
    <x v="37"/>
    <x v="69"/>
    <s v="CRCA COIL TATXXD AU03 1.500X1250"/>
    <s v=""/>
    <s v=""/>
    <m/>
    <m/>
    <s v="Wider"/>
    <x v="1"/>
    <x v="2"/>
    <s v="AU03"/>
    <x v="27"/>
    <x v="0"/>
    <x v="0"/>
    <n v="145"/>
    <n v="117.52"/>
    <n v="27.48"/>
    <n v="-19.87"/>
    <n v="0"/>
    <n v="27.4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9T00:00:00"/>
    <x v="0"/>
    <n v="9518533596"/>
    <n v="6"/>
    <s v="9518533596-6"/>
    <s v="No Priority"/>
    <x v="0"/>
    <m/>
    <x v="1"/>
    <x v="1"/>
    <x v="1"/>
    <m/>
    <x v="0"/>
    <m/>
    <m/>
    <s v="West Bengal"/>
    <s v="East"/>
    <s v="JSR"/>
    <x v="0"/>
    <x v="38"/>
    <x v="38"/>
    <x v="70"/>
    <s v="CRSHEET-ICF TATXXD AU03 1.60X1250"/>
    <s v=""/>
    <s v=""/>
    <m/>
    <m/>
    <s v="Wider"/>
    <x v="1"/>
    <x v="2"/>
    <s v="AU03"/>
    <x v="22"/>
    <x v="0"/>
    <x v="0"/>
    <n v="116"/>
    <n v="72.56"/>
    <n v="43.44"/>
    <n v="-12.17"/>
    <n v="0"/>
    <n v="17.234999999999999"/>
    <n v="0"/>
    <n v="0"/>
    <n v="0"/>
    <n v="0"/>
    <n v="0"/>
    <n v="0"/>
    <n v="0"/>
    <n v="0"/>
    <n v="0"/>
    <n v="0"/>
    <n v="0"/>
    <n v="0"/>
    <n v="0"/>
    <n v="0"/>
    <n v="0"/>
    <n v="0"/>
    <n v="0"/>
    <n v="0"/>
    <n v="0"/>
    <n v="0"/>
    <n v="0"/>
    <n v="0"/>
    <n v="0"/>
    <n v="0"/>
    <n v="0"/>
    <n v="0"/>
    <n v="0"/>
    <n v="0"/>
    <n v="0"/>
    <n v="0"/>
    <n v="0"/>
    <n v="0"/>
    <n v="0"/>
    <n v="0"/>
    <n v="0"/>
    <n v="0"/>
    <n v="0"/>
    <n v="0"/>
    <n v="24.85"/>
    <n v="0"/>
    <n v="0"/>
    <n v="0"/>
    <n v="0"/>
    <n v="0"/>
    <n v="24.85"/>
    <m/>
    <m/>
    <m/>
    <m/>
    <m/>
    <m/>
    <m/>
    <m/>
    <s v="1"/>
    <s v="1"/>
    <s v="1"/>
    <s v="1"/>
    <s v="1"/>
    <m/>
    <m/>
    <m/>
    <m/>
    <m/>
    <m/>
    <m/>
    <m/>
    <m/>
    <m/>
    <m/>
    <m/>
    <m/>
    <m/>
  </r>
  <r>
    <n v="742"/>
    <d v="2025-02-05T00:00:00"/>
    <x v="0"/>
    <n v="9518495161"/>
    <n v="1"/>
    <s v="9518495161-1"/>
    <s v="Stocks"/>
    <x v="0"/>
    <m/>
    <x v="1"/>
    <x v="2"/>
    <x v="1"/>
    <m/>
    <x v="1"/>
    <m/>
    <m/>
    <s v="Jharkhand"/>
    <s v="East"/>
    <s v="TATANAGAR"/>
    <x v="1"/>
    <x v="5"/>
    <x v="5"/>
    <x v="17"/>
    <s v="CRCA SHEET TATCRC SR16 0.450X1000X2500"/>
    <s v=""/>
    <s v=""/>
    <m/>
    <m/>
    <s v="Narrow"/>
    <x v="2"/>
    <x v="1"/>
    <s v="SR16"/>
    <x v="10"/>
    <x v="2"/>
    <x v="3"/>
    <n v="21"/>
    <n v="0"/>
    <n v="21"/>
    <n v="-1.1100000000000001"/>
    <n v="0"/>
    <n v="0.14499999999999999"/>
    <n v="0"/>
    <n v="0"/>
    <n v="0"/>
    <n v="0"/>
    <n v="0"/>
    <n v="0"/>
    <n v="0"/>
    <n v="0"/>
    <n v="0"/>
    <n v="0"/>
    <n v="0"/>
    <n v="0"/>
    <n v="0"/>
    <n v="0"/>
    <n v="0"/>
    <n v="0"/>
    <n v="0"/>
    <n v="0"/>
    <n v="0"/>
    <n v="0"/>
    <n v="0"/>
    <n v="0"/>
    <n v="0"/>
    <n v="0"/>
    <n v="20.855"/>
    <n v="0"/>
    <n v="0"/>
    <n v="0"/>
    <n v="0"/>
    <n v="0"/>
    <n v="0"/>
    <n v="20.855"/>
    <n v="20.855"/>
    <n v="0"/>
    <n v="0"/>
    <n v="0"/>
    <n v="0"/>
    <n v="0"/>
    <n v="0"/>
    <n v="0"/>
    <n v="0"/>
    <n v="0"/>
    <n v="0"/>
    <n v="0"/>
    <n v="0"/>
    <m/>
    <m/>
    <m/>
    <m/>
    <m/>
    <m/>
    <m/>
    <m/>
    <s v="1"/>
    <s v="1"/>
    <s v="1"/>
    <s v="1"/>
    <s v="1"/>
    <m/>
    <m/>
    <m/>
    <m/>
    <m/>
    <m/>
    <m/>
    <m/>
    <m/>
    <m/>
    <m/>
    <m/>
    <m/>
    <m/>
  </r>
  <r>
    <n v="742"/>
    <d v="2025-02-05T00:00:00"/>
    <x v="0"/>
    <n v="9518495161"/>
    <n v="3"/>
    <s v="9518495161-3"/>
    <s v="No Priority"/>
    <x v="0"/>
    <m/>
    <x v="1"/>
    <x v="2"/>
    <x v="1"/>
    <m/>
    <x v="0"/>
    <m/>
    <m/>
    <s v="Jharkhand"/>
    <s v="East"/>
    <s v="TATANAGAR"/>
    <x v="1"/>
    <x v="5"/>
    <x v="5"/>
    <x v="71"/>
    <s v="CRCA SHEET TSBCRC SR15 0.750X1000X2500"/>
    <s v=""/>
    <s v=""/>
    <m/>
    <m/>
    <s v="Narrow"/>
    <x v="2"/>
    <x v="4"/>
    <s v="SR15"/>
    <x v="28"/>
    <x v="2"/>
    <x v="3"/>
    <n v="21"/>
    <n v="20.555"/>
    <n v="0.44500000000000001"/>
    <n v="0.44500000000000001"/>
    <n v="0"/>
    <n v="0.44500000000000001"/>
    <n v="0"/>
    <n v="0"/>
    <n v="0"/>
    <n v="0"/>
    <n v="0"/>
    <n v="0"/>
    <n v="0"/>
    <n v="0"/>
    <n v="0"/>
    <n v="0"/>
    <n v="0"/>
    <n v="0"/>
    <n v="0"/>
    <n v="0"/>
    <n v="0"/>
    <n v="0"/>
    <n v="0"/>
    <n v="0"/>
    <n v="0"/>
    <n v="0"/>
    <n v="0"/>
    <n v="0"/>
    <n v="0"/>
    <n v="0"/>
    <n v="0"/>
    <n v="0"/>
    <n v="0"/>
    <n v="0"/>
    <n v="0"/>
    <n v="0"/>
    <n v="0"/>
    <n v="0"/>
    <n v="0"/>
    <n v="0"/>
    <n v="0"/>
    <n v="0"/>
    <n v="0"/>
    <n v="0"/>
    <n v="20.555000000000003"/>
    <n v="0"/>
    <n v="0"/>
    <n v="0"/>
    <n v="0"/>
    <n v="0"/>
    <n v="20.555000000000003"/>
    <m/>
    <m/>
    <m/>
    <m/>
    <m/>
    <m/>
    <m/>
    <m/>
    <s v="1"/>
    <s v="1"/>
    <s v="1"/>
    <s v="1"/>
    <s v="1"/>
    <m/>
    <m/>
    <m/>
    <m/>
    <m/>
    <m/>
    <m/>
    <m/>
    <m/>
    <m/>
    <m/>
    <m/>
    <m/>
    <m/>
  </r>
  <r>
    <n v="743"/>
    <d v="2025-02-06T00:00:00"/>
    <x v="0"/>
    <n v="9518497512"/>
    <n v="2"/>
    <s v="9518497512-2"/>
    <s v="No Priority"/>
    <x v="0"/>
    <m/>
    <x v="3"/>
    <x v="0"/>
    <x v="1"/>
    <m/>
    <x v="0"/>
    <m/>
    <m/>
    <s v="Jharkhand"/>
    <s v="East"/>
    <s v="TATANAGAR"/>
    <x v="0"/>
    <x v="5"/>
    <x v="5"/>
    <x v="72"/>
    <s v="GP COIL SOFT-TSBXGP-N1GP-0.3X900"/>
    <s v=""/>
    <s v=""/>
    <m/>
    <m/>
    <s v="Narrow"/>
    <x v="7"/>
    <x v="13"/>
    <s v="N1GP"/>
    <x v="11"/>
    <x v="3"/>
    <x v="0"/>
    <n v="21"/>
    <n v="0"/>
    <n v="21"/>
    <n v="0.56999999999999995"/>
    <n v="0"/>
    <n v="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2-06T00:00:00"/>
    <x v="0"/>
    <n v="9518497512"/>
    <n v="4"/>
    <s v="9518497512-4"/>
    <s v="No Priority"/>
    <x v="0"/>
    <m/>
    <x v="3"/>
    <x v="0"/>
    <x v="1"/>
    <m/>
    <x v="0"/>
    <m/>
    <m/>
    <s v="Jharkhand"/>
    <s v="East"/>
    <s v="TATANAGAR"/>
    <x v="0"/>
    <x v="5"/>
    <x v="5"/>
    <x v="73"/>
    <s v="GP COIL SOFT-TSBXGP-N1GP-0.5X900"/>
    <s v=""/>
    <s v=""/>
    <m/>
    <m/>
    <s v="Narrow"/>
    <x v="7"/>
    <x v="13"/>
    <s v="N1GP"/>
    <x v="1"/>
    <x v="3"/>
    <x v="0"/>
    <n v="21"/>
    <n v="0"/>
    <n v="21"/>
    <n v="0.24"/>
    <n v="0"/>
    <n v="1.445000000000000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1-23T00:00:00"/>
    <x v="0"/>
    <n v="9518453367"/>
    <n v="1"/>
    <s v="9518453367-1"/>
    <s v="No Priority"/>
    <x v="0"/>
    <m/>
    <x v="4"/>
    <x v="3"/>
    <x v="3"/>
    <m/>
    <x v="0"/>
    <m/>
    <m/>
    <s v="Jharkhand"/>
    <s v="East"/>
    <s v="TATANAGAR"/>
    <x v="0"/>
    <x v="39"/>
    <x v="39"/>
    <x v="74"/>
    <s v="GL COIL HARD  Y550GL M306 0.350X1000"/>
    <n v="70"/>
    <s v=""/>
    <m/>
    <m/>
    <s v="Narrow"/>
    <x v="5"/>
    <x v="7"/>
    <s v="M306"/>
    <x v="6"/>
    <x v="2"/>
    <x v="0"/>
    <n v="23"/>
    <n v="0"/>
    <n v="23"/>
    <n v="23"/>
    <n v="23"/>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07T00:00:00"/>
    <x v="0"/>
    <n v="9518500267"/>
    <n v="6"/>
    <s v="9518500267-6"/>
    <s v="No Priority"/>
    <x v="0"/>
    <m/>
    <x v="1"/>
    <x v="11"/>
    <x v="0"/>
    <m/>
    <x v="0"/>
    <m/>
    <m/>
    <s v="Karnataka"/>
    <s v="South"/>
    <s v="YESHWANTHPURA"/>
    <x v="0"/>
    <x v="40"/>
    <x v="0"/>
    <x v="75"/>
    <s v="CRCA COIL TATXXD AH03 2.450X1250"/>
    <s v=" "/>
    <s v=""/>
    <n v="2"/>
    <n v="26"/>
    <s v="Wider"/>
    <x v="1"/>
    <x v="2"/>
    <s v="AH03"/>
    <x v="29"/>
    <x v="0"/>
    <x v="0"/>
    <n v="29"/>
    <n v="0"/>
    <n v="29"/>
    <n v="1.97"/>
    <n v="0"/>
    <n v="5.625"/>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2-19T00:00:00"/>
    <x v="0"/>
    <n v="9518532816"/>
    <n v="7"/>
    <s v="9518532816-7"/>
    <s v="May'25"/>
    <x v="0"/>
    <m/>
    <x v="3"/>
    <x v="9"/>
    <x v="1"/>
    <m/>
    <x v="1"/>
    <m/>
    <m/>
    <s v="Jharkhand"/>
    <s v="East"/>
    <s v="BOKARO STEEL CY"/>
    <x v="0"/>
    <x v="10"/>
    <x v="10"/>
    <x v="65"/>
    <s v="GP COIL SOFT-TATXGP-GK09-0.63X900"/>
    <n v="80"/>
    <s v=""/>
    <m/>
    <m/>
    <s v="Narrow"/>
    <x v="7"/>
    <x v="5"/>
    <s v="GK09"/>
    <x v="26"/>
    <x v="3"/>
    <x v="0"/>
    <n v="21"/>
    <n v="0"/>
    <n v="21"/>
    <n v="21"/>
    <n v="0"/>
    <n v="21"/>
    <n v="0"/>
    <n v="0"/>
    <n v="0"/>
    <n v="0"/>
    <n v="0"/>
    <n v="0"/>
    <n v="0"/>
    <n v="0"/>
    <n v="0"/>
    <n v="0"/>
    <n v="0"/>
    <n v="0"/>
    <n v="0"/>
    <n v="0"/>
    <n v="0"/>
    <n v="0"/>
    <n v="0"/>
    <n v="0"/>
    <n v="0"/>
    <n v="0"/>
    <n v="0"/>
    <n v="21"/>
    <n v="21"/>
    <n v="0"/>
    <n v="0"/>
    <n v="21"/>
    <n v="0"/>
    <n v="21"/>
    <n v="0"/>
    <n v="0"/>
    <n v="0"/>
    <n v="21"/>
    <n v="0"/>
    <n v="21"/>
    <n v="0"/>
    <n v="0"/>
    <n v="0"/>
    <n v="0"/>
    <n v="0"/>
    <n v="0"/>
    <n v="0"/>
    <n v="0"/>
    <n v="0"/>
    <n v="0"/>
    <n v="0"/>
    <m/>
    <m/>
    <m/>
    <m/>
    <m/>
    <m/>
    <m/>
    <m/>
    <s v="1"/>
    <s v="0"/>
    <s v="1"/>
    <s v="1"/>
    <s v="1"/>
    <m/>
    <m/>
    <m/>
    <m/>
    <m/>
    <m/>
    <m/>
    <m/>
    <m/>
    <m/>
    <m/>
    <m/>
    <m/>
    <m/>
  </r>
  <r>
    <n v="744"/>
    <d v="2025-02-22T00:00:00"/>
    <x v="0"/>
    <n v="9518543125"/>
    <n v="5"/>
    <s v="9518543125-5"/>
    <s v="Apr'25 "/>
    <x v="0"/>
    <m/>
    <x v="2"/>
    <x v="3"/>
    <x v="2"/>
    <m/>
    <x v="1"/>
    <m/>
    <m/>
    <s v="Jharkhand"/>
    <s v="East"/>
    <s v="GAMHARIA"/>
    <x v="0"/>
    <x v="15"/>
    <x v="15"/>
    <x v="76"/>
    <s v="PPGL C HARD Y550PL ISC6 0.430X1220"/>
    <s v="aZ70"/>
    <s v="PRO ROSY RED TSL 1920"/>
    <n v="3"/>
    <n v="5"/>
    <s v="Wider"/>
    <x v="3"/>
    <x v="3"/>
    <s v="ISC6"/>
    <x v="25"/>
    <x v="1"/>
    <x v="0"/>
    <n v="112"/>
    <n v="0"/>
    <n v="112"/>
    <n v="91.11"/>
    <n v="78.11"/>
    <n v="47.685000000000002"/>
    <n v="0"/>
    <n v="0"/>
    <n v="0"/>
    <n v="0"/>
    <n v="0"/>
    <n v="0"/>
    <n v="0"/>
    <n v="8.75"/>
    <n v="0"/>
    <n v="14.34"/>
    <n v="0"/>
    <n v="0"/>
    <n v="0"/>
    <n v="0"/>
    <n v="0"/>
    <n v="0"/>
    <n v="0"/>
    <n v="10.8"/>
    <n v="0"/>
    <n v="33.89"/>
    <n v="33.89"/>
    <n v="0"/>
    <n v="33.89"/>
    <n v="0"/>
    <n v="3.7450000000000001"/>
    <n v="47.685000000000002"/>
    <n v="0"/>
    <n v="0"/>
    <n v="47.685000000000002"/>
    <n v="0"/>
    <n v="0"/>
    <n v="51.43"/>
    <n v="0"/>
    <n v="0"/>
    <n v="0"/>
    <n v="51.43"/>
    <n v="0"/>
    <n v="0"/>
    <n v="0"/>
    <n v="0"/>
    <n v="0"/>
    <n v="0"/>
    <n v="0"/>
    <n v="0"/>
    <n v="0"/>
    <m/>
    <m/>
    <m/>
    <m/>
    <m/>
    <m/>
    <m/>
    <m/>
    <s v="1"/>
    <s v="1"/>
    <s v="0"/>
    <s v="1"/>
    <s v="1"/>
    <m/>
    <m/>
    <m/>
    <m/>
    <m/>
    <m/>
    <m/>
    <m/>
    <m/>
    <m/>
    <m/>
    <m/>
    <m/>
    <m/>
  </r>
  <r>
    <n v="742"/>
    <d v="2025-02-20T00:00:00"/>
    <x v="0"/>
    <n v="9518534103"/>
    <n v="1"/>
    <s v="9518534103-1"/>
    <s v="No Priority"/>
    <x v="0"/>
    <m/>
    <x v="1"/>
    <x v="10"/>
    <x v="2"/>
    <m/>
    <x v="0"/>
    <m/>
    <m/>
    <s v="Tamil Nadu"/>
    <s v="South"/>
    <s v="CHENNAI"/>
    <x v="0"/>
    <x v="30"/>
    <x v="30"/>
    <x v="77"/>
    <s v="CRCA COIL TATXXD BT01 0.900X1315"/>
    <s v=" "/>
    <s v=""/>
    <n v="8"/>
    <n v="12"/>
    <s v="Wider"/>
    <x v="1"/>
    <x v="2"/>
    <s v="BT01"/>
    <x v="13"/>
    <x v="10"/>
    <x v="0"/>
    <n v="59.97"/>
    <n v="27.68"/>
    <n v="32.29"/>
    <n v="3.6"/>
    <n v="32.29"/>
    <n v="5.8049999999999997"/>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2-22T00:00:00"/>
    <x v="0"/>
    <n v="9518543125"/>
    <n v="3"/>
    <s v="9518543125-3"/>
    <s v="May'25"/>
    <x v="0"/>
    <m/>
    <x v="2"/>
    <x v="3"/>
    <x v="2"/>
    <m/>
    <x v="1"/>
    <m/>
    <m/>
    <s v="Jharkhand"/>
    <s v="East"/>
    <s v="GAMHARIA"/>
    <x v="0"/>
    <x v="15"/>
    <x v="15"/>
    <x v="78"/>
    <s v="PPGL C Y550 ISC6 0.40BMT(0.45TPT)X1220"/>
    <s v="aZ70"/>
    <s v="PRO BLUE TSL 1913"/>
    <n v="3"/>
    <n v="5"/>
    <s v="Wider"/>
    <x v="3"/>
    <x v="3"/>
    <s v="ISC6"/>
    <x v="2"/>
    <x v="1"/>
    <x v="0"/>
    <n v="195.99"/>
    <n v="165.41499999999999"/>
    <n v="30.574999999999999"/>
    <n v="1.2949999999999999"/>
    <n v="0"/>
    <n v="28.98"/>
    <n v="0"/>
    <n v="0"/>
    <n v="0"/>
    <n v="0"/>
    <n v="0"/>
    <n v="0"/>
    <n v="0"/>
    <n v="20.865000000000002"/>
    <n v="0"/>
    <n v="0"/>
    <n v="0"/>
    <n v="0"/>
    <n v="0"/>
    <n v="0"/>
    <n v="0"/>
    <n v="0"/>
    <n v="0"/>
    <n v="0"/>
    <n v="0"/>
    <n v="20.865000000000002"/>
    <n v="20.865000000000002"/>
    <n v="0"/>
    <n v="20.865000000000002"/>
    <n v="0"/>
    <n v="0"/>
    <n v="28.98"/>
    <n v="0"/>
    <n v="28.98"/>
    <n v="0"/>
    <n v="0"/>
    <n v="0"/>
    <n v="28.98"/>
    <n v="0"/>
    <n v="28.98"/>
    <n v="0"/>
    <n v="0"/>
    <n v="0"/>
    <n v="0"/>
    <n v="33.224999999999994"/>
    <n v="0"/>
    <n v="28.98"/>
    <n v="0"/>
    <n v="0"/>
    <n v="0"/>
    <n v="4.2449999999999939"/>
    <m/>
    <m/>
    <m/>
    <m/>
    <m/>
    <m/>
    <m/>
    <m/>
    <s v="1"/>
    <s v="1"/>
    <s v="1"/>
    <s v="1"/>
    <s v="1"/>
    <m/>
    <m/>
    <m/>
    <m/>
    <m/>
    <m/>
    <m/>
    <m/>
    <m/>
    <m/>
    <m/>
    <m/>
    <m/>
    <m/>
  </r>
  <r>
    <n v="744"/>
    <d v="2025-02-22T00:00:00"/>
    <x v="0"/>
    <n v="9518543125"/>
    <n v="4"/>
    <s v="9518543125-4"/>
    <s v="Stocks"/>
    <x v="0"/>
    <m/>
    <x v="2"/>
    <x v="3"/>
    <x v="2"/>
    <m/>
    <x v="1"/>
    <m/>
    <m/>
    <s v="Jharkhand"/>
    <s v="East"/>
    <s v="GAMHARIA"/>
    <x v="0"/>
    <x v="15"/>
    <x v="15"/>
    <x v="78"/>
    <s v="PPGL C Y550 ISC6 0.40BMT(0.45TPT)X1220"/>
    <s v="aZ70"/>
    <s v="PRO ROSY RED TSL 1920"/>
    <n v="3"/>
    <n v="5"/>
    <s v="Wider"/>
    <x v="3"/>
    <x v="3"/>
    <s v="ISC6"/>
    <x v="2"/>
    <x v="1"/>
    <x v="0"/>
    <n v="252"/>
    <n v="121.72"/>
    <n v="130.28"/>
    <n v="-8.0280000000000005"/>
    <n v="0"/>
    <n v="15.49"/>
    <n v="0"/>
    <n v="0"/>
    <n v="0"/>
    <n v="0"/>
    <n v="0"/>
    <n v="0"/>
    <n v="0"/>
    <n v="0"/>
    <n v="0"/>
    <n v="4.415"/>
    <n v="0"/>
    <n v="0"/>
    <n v="0"/>
    <n v="0"/>
    <n v="0"/>
    <n v="0"/>
    <n v="0"/>
    <n v="0"/>
    <n v="0"/>
    <n v="4.415"/>
    <n v="4.415"/>
    <n v="0"/>
    <n v="4.415"/>
    <n v="0"/>
    <n v="10.039999999999999"/>
    <n v="15.49"/>
    <n v="0"/>
    <n v="0"/>
    <n v="15.49"/>
    <n v="0"/>
    <n v="0"/>
    <n v="25.53"/>
    <n v="0"/>
    <n v="0"/>
    <n v="0"/>
    <n v="25.53"/>
    <n v="0"/>
    <n v="0"/>
    <n v="4.41"/>
    <n v="0"/>
    <n v="0"/>
    <n v="4.41"/>
    <n v="0"/>
    <n v="0"/>
    <n v="0"/>
    <m/>
    <m/>
    <m/>
    <m/>
    <m/>
    <m/>
    <m/>
    <m/>
    <s v="1"/>
    <s v="1"/>
    <s v="0"/>
    <s v="1"/>
    <s v="1"/>
    <m/>
    <m/>
    <m/>
    <m/>
    <m/>
    <m/>
    <m/>
    <m/>
    <m/>
    <m/>
    <m/>
    <m/>
    <m/>
    <m/>
  </r>
  <r>
    <n v="742"/>
    <d v="2025-02-19T00:00:00"/>
    <x v="0"/>
    <n v="9518534079"/>
    <n v="3"/>
    <s v="9518534079-3"/>
    <s v="No Priority"/>
    <x v="0"/>
    <m/>
    <x v="1"/>
    <x v="10"/>
    <x v="2"/>
    <m/>
    <x v="0"/>
    <m/>
    <m/>
    <s v="Andhra Pradesh"/>
    <s v="South"/>
    <s v="VISAJHAPATNAM"/>
    <x v="0"/>
    <x v="41"/>
    <x v="40"/>
    <x v="79"/>
    <s v="CRCA COIL TATXXD BT01 0.970X1220"/>
    <s v=" "/>
    <s v=""/>
    <n v="8"/>
    <n v="12"/>
    <s v="Wider"/>
    <x v="1"/>
    <x v="2"/>
    <s v="BT01"/>
    <x v="24"/>
    <x v="1"/>
    <x v="0"/>
    <n v="168"/>
    <n v="46.034999999999997"/>
    <n v="121.965"/>
    <n v="10.455"/>
    <n v="121.965"/>
    <n v="18.1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20T00:00:00"/>
    <x v="0"/>
    <n v="9518534103"/>
    <n v="5"/>
    <s v="9518534103-5"/>
    <s v="No Priority"/>
    <x v="0"/>
    <m/>
    <x v="1"/>
    <x v="10"/>
    <x v="2"/>
    <m/>
    <x v="0"/>
    <m/>
    <m/>
    <s v="Tamil Nadu"/>
    <s v="South"/>
    <s v="CHENNAI"/>
    <x v="0"/>
    <x v="30"/>
    <x v="30"/>
    <x v="80"/>
    <s v="CRCA COIL TATXXD BT01 0.970X1310"/>
    <s v=" "/>
    <s v=""/>
    <n v="6"/>
    <n v="12"/>
    <s v="Wider"/>
    <x v="1"/>
    <x v="2"/>
    <s v="BT01"/>
    <x v="24"/>
    <x v="11"/>
    <x v="0"/>
    <n v="89.97"/>
    <n v="54.24"/>
    <n v="35.729999999999997"/>
    <n v="6.88"/>
    <n v="35.729999999999997"/>
    <n v="8.8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20T00:00:00"/>
    <x v="0"/>
    <n v="9518534128"/>
    <n v="2"/>
    <s v="9518534128-2"/>
    <s v="No Priority"/>
    <x v="0"/>
    <m/>
    <x v="1"/>
    <x v="10"/>
    <x v="2"/>
    <m/>
    <x v="0"/>
    <m/>
    <m/>
    <s v="Haryana"/>
    <s v="North"/>
    <s v="FARIDABAD"/>
    <x v="0"/>
    <x v="42"/>
    <x v="41"/>
    <x v="79"/>
    <s v="CRCA COIL TATXXD BT01 0.970X1220"/>
    <s v=" "/>
    <s v=""/>
    <n v="8"/>
    <n v="12"/>
    <s v="Wider"/>
    <x v="1"/>
    <x v="2"/>
    <s v="BT01"/>
    <x v="24"/>
    <x v="1"/>
    <x v="0"/>
    <n v="83.98"/>
    <n v="75.459999999999994"/>
    <n v="8.52"/>
    <n v="-74.14"/>
    <n v="0"/>
    <n v="0.67"/>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22T00:00:00"/>
    <x v="0"/>
    <n v="9518542152"/>
    <n v="1"/>
    <s v="9518542152-1"/>
    <s v="Stocks"/>
    <x v="0"/>
    <m/>
    <x v="1"/>
    <x v="10"/>
    <x v="3"/>
    <m/>
    <x v="1"/>
    <m/>
    <m/>
    <s v="Dadra, Nagarhaveli"/>
    <s v="West"/>
    <s v="VILLAGE DADRA"/>
    <x v="0"/>
    <x v="43"/>
    <x v="42"/>
    <x v="52"/>
    <s v="CRCA COIL TATXXD BT02 0.970X913"/>
    <m/>
    <m/>
    <m/>
    <m/>
    <s v="Narrow"/>
    <x v="1"/>
    <x v="2"/>
    <s v="BT02"/>
    <x v="24"/>
    <x v="8"/>
    <x v="0"/>
    <n v="209.999"/>
    <n v="172.685"/>
    <n v="37.314"/>
    <n v="-2.2160000000000002"/>
    <n v="0"/>
    <n v="3.2839999999999998"/>
    <n v="0"/>
    <n v="0"/>
    <n v="0"/>
    <n v="0"/>
    <n v="0"/>
    <n v="0"/>
    <n v="0"/>
    <n v="0"/>
    <n v="0"/>
    <n v="0"/>
    <n v="0"/>
    <n v="0"/>
    <n v="0"/>
    <n v="0"/>
    <n v="0"/>
    <n v="0"/>
    <n v="0"/>
    <n v="0"/>
    <n v="0"/>
    <n v="0"/>
    <n v="0"/>
    <n v="0"/>
    <n v="0"/>
    <n v="0"/>
    <n v="7.32"/>
    <n v="0"/>
    <n v="0"/>
    <n v="0"/>
    <n v="0"/>
    <n v="0"/>
    <n v="0"/>
    <n v="7.32"/>
    <n v="7.32"/>
    <n v="0"/>
    <n v="0"/>
    <n v="0"/>
    <n v="0"/>
    <n v="0"/>
    <n v="0"/>
    <n v="0"/>
    <n v="0"/>
    <n v="0"/>
    <n v="0"/>
    <n v="0"/>
    <n v="0"/>
    <m/>
    <m/>
    <m/>
    <m/>
    <m/>
    <m/>
    <m/>
    <m/>
    <s v="1"/>
    <s v="1"/>
    <s v="1"/>
    <s v="1"/>
    <s v="1"/>
    <m/>
    <m/>
    <m/>
    <m/>
    <m/>
    <m/>
    <m/>
    <m/>
    <m/>
    <m/>
    <m/>
    <m/>
    <m/>
    <m/>
  </r>
  <r>
    <n v="742"/>
    <d v="2025-02-22T00:00:00"/>
    <x v="0"/>
    <n v="9518542152"/>
    <n v="3"/>
    <s v="9518542152-3"/>
    <s v="May'25"/>
    <x v="0"/>
    <m/>
    <x v="1"/>
    <x v="10"/>
    <x v="3"/>
    <m/>
    <x v="1"/>
    <m/>
    <m/>
    <s v="Dadra, Nagarhaveli"/>
    <s v="West"/>
    <s v="VILLAGE DADRA"/>
    <x v="0"/>
    <x v="43"/>
    <x v="42"/>
    <x v="81"/>
    <s v="CRCA COIL TATXXD BT02 1.200X910"/>
    <m/>
    <m/>
    <m/>
    <m/>
    <s v="Narrow"/>
    <x v="1"/>
    <x v="2"/>
    <s v="BT02"/>
    <x v="19"/>
    <x v="12"/>
    <x v="0"/>
    <n v="294"/>
    <n v="245.136"/>
    <n v="48.863999999999997"/>
    <n v="28.864000000000001"/>
    <n v="29.993999999999996"/>
    <n v="31.724"/>
    <n v="0"/>
    <n v="0"/>
    <n v="18.87"/>
    <n v="0"/>
    <n v="0"/>
    <n v="0"/>
    <n v="0"/>
    <n v="0"/>
    <n v="0"/>
    <n v="0"/>
    <n v="0"/>
    <n v="0"/>
    <n v="0"/>
    <n v="0"/>
    <n v="0"/>
    <n v="0"/>
    <n v="0"/>
    <n v="0"/>
    <n v="0"/>
    <n v="18.87"/>
    <n v="18.87"/>
    <n v="0"/>
    <n v="18.87"/>
    <n v="0"/>
    <n v="35.950000000000003"/>
    <n v="31.724"/>
    <n v="0"/>
    <n v="31.724"/>
    <n v="0"/>
    <n v="0"/>
    <n v="0"/>
    <n v="67.674000000000007"/>
    <n v="0"/>
    <n v="0"/>
    <n v="67.674000000000007"/>
    <n v="0"/>
    <n v="0"/>
    <n v="0"/>
    <n v="0"/>
    <n v="0"/>
    <n v="0"/>
    <n v="0"/>
    <n v="0"/>
    <n v="0"/>
    <n v="0"/>
    <m/>
    <m/>
    <m/>
    <m/>
    <m/>
    <m/>
    <m/>
    <m/>
    <s v="1"/>
    <s v="0"/>
    <s v="1"/>
    <s v="1"/>
    <s v="1"/>
    <m/>
    <m/>
    <m/>
    <m/>
    <m/>
    <m/>
    <m/>
    <m/>
    <m/>
    <m/>
    <m/>
    <m/>
    <m/>
    <m/>
  </r>
  <r>
    <n v="742"/>
    <d v="2025-02-22T00:00:00"/>
    <x v="0"/>
    <n v="9518542152"/>
    <n v="4"/>
    <s v="9518542152-4"/>
    <s v="No Priority"/>
    <x v="0"/>
    <m/>
    <x v="1"/>
    <x v="10"/>
    <x v="3"/>
    <m/>
    <x v="0"/>
    <m/>
    <m/>
    <s v="Dadra, Nagarhaveli"/>
    <s v="West"/>
    <s v="VILLAGE DADRA"/>
    <x v="0"/>
    <x v="43"/>
    <x v="42"/>
    <x v="81"/>
    <s v="CRCA COIL TATXXD BT02 1.200X910"/>
    <m/>
    <m/>
    <m/>
    <m/>
    <s v="Narrow"/>
    <x v="1"/>
    <x v="2"/>
    <s v="BT02"/>
    <x v="19"/>
    <x v="12"/>
    <x v="0"/>
    <n v="105"/>
    <n v="0"/>
    <n v="105"/>
    <n v="105"/>
    <n v="6.4300000000000068"/>
    <n v="105"/>
    <n v="0"/>
    <n v="0"/>
    <n v="98.57"/>
    <n v="0"/>
    <n v="0"/>
    <n v="0"/>
    <n v="0"/>
    <n v="0"/>
    <n v="0"/>
    <n v="0"/>
    <n v="0"/>
    <n v="0"/>
    <n v="0"/>
    <n v="0"/>
    <n v="0"/>
    <n v="0"/>
    <n v="0"/>
    <n v="0"/>
    <n v="0"/>
    <n v="98.57"/>
    <n v="98.57"/>
    <n v="0"/>
    <n v="98.57"/>
    <n v="0"/>
    <n v="0"/>
    <n v="0"/>
    <n v="0"/>
    <n v="0"/>
    <n v="0"/>
    <n v="0"/>
    <n v="0"/>
    <n v="0"/>
    <n v="0"/>
    <n v="0"/>
    <n v="0"/>
    <n v="0"/>
    <n v="0"/>
    <n v="0"/>
    <n v="0"/>
    <n v="0"/>
    <n v="0"/>
    <n v="0"/>
    <n v="0"/>
    <n v="0"/>
    <n v="0"/>
    <m/>
    <m/>
    <m/>
    <m/>
    <m/>
    <m/>
    <m/>
    <m/>
    <s v="1"/>
    <s v="1"/>
    <s v="1"/>
    <s v="1"/>
    <s v="1"/>
    <m/>
    <m/>
    <m/>
    <m/>
    <m/>
    <m/>
    <m/>
    <m/>
    <m/>
    <m/>
    <m/>
    <m/>
    <m/>
    <m/>
  </r>
  <r>
    <n v="742"/>
    <d v="2025-02-21T00:00:00"/>
    <x v="0"/>
    <n v="9518539501"/>
    <n v="2"/>
    <s v="9518539501-2"/>
    <s v="No Priority"/>
    <x v="0"/>
    <m/>
    <x v="1"/>
    <x v="10"/>
    <x v="3"/>
    <m/>
    <x v="0"/>
    <m/>
    <m/>
    <s v="Gujarat"/>
    <s v="West"/>
    <s v="VADODARA"/>
    <x v="0"/>
    <x v="44"/>
    <x v="43"/>
    <x v="82"/>
    <s v="CRCA COIL TATXXD BT01 0.970X1315"/>
    <m/>
    <m/>
    <m/>
    <m/>
    <s v="Wider"/>
    <x v="1"/>
    <x v="2"/>
    <s v="BT01"/>
    <x v="24"/>
    <x v="10"/>
    <x v="0"/>
    <n v="29.97"/>
    <n v="5.43"/>
    <n v="24.54"/>
    <n v="16.045000000000002"/>
    <n v="24.54"/>
    <n v="24.54"/>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2-19T00:00:00"/>
    <x v="0"/>
    <n v="9518532380"/>
    <n v="1"/>
    <s v="9518532380-1"/>
    <s v="Apr'25 additional"/>
    <x v="0"/>
    <m/>
    <x v="4"/>
    <x v="5"/>
    <x v="3"/>
    <m/>
    <x v="1"/>
    <m/>
    <m/>
    <s v="Gujarat"/>
    <s v="West"/>
    <s v="SANAND"/>
    <x v="0"/>
    <x v="45"/>
    <x v="44"/>
    <x v="83"/>
    <s v="GL COIL HARD  Y550GL HGL6 0.900X1250"/>
    <m/>
    <m/>
    <m/>
    <m/>
    <s v="Wider"/>
    <x v="5"/>
    <x v="7"/>
    <s v="HGL6"/>
    <x v="13"/>
    <x v="0"/>
    <x v="0"/>
    <n v="289.99"/>
    <n v="248.51"/>
    <n v="41.48"/>
    <n v="18.835000000000001"/>
    <n v="18.259999999999998"/>
    <n v="41.48"/>
    <n v="0"/>
    <n v="0"/>
    <n v="0"/>
    <n v="0"/>
    <n v="0"/>
    <n v="0"/>
    <n v="0"/>
    <n v="9.3450000000000006"/>
    <n v="0"/>
    <n v="0"/>
    <n v="0"/>
    <n v="0"/>
    <n v="0"/>
    <n v="0"/>
    <n v="0"/>
    <n v="0"/>
    <n v="0"/>
    <n v="13.875"/>
    <n v="0"/>
    <n v="23.22"/>
    <n v="23.22"/>
    <n v="0"/>
    <n v="23.22"/>
    <n v="0"/>
    <n v="0"/>
    <n v="41.48"/>
    <n v="0"/>
    <n v="0"/>
    <n v="0"/>
    <n v="0"/>
    <n v="41.48"/>
    <n v="41.48"/>
    <n v="0"/>
    <n v="0"/>
    <n v="0"/>
    <n v="0"/>
    <n v="41.48"/>
    <n v="0"/>
    <n v="11.53"/>
    <n v="0"/>
    <n v="0"/>
    <n v="0"/>
    <n v="0"/>
    <n v="11.53"/>
    <n v="0"/>
    <m/>
    <m/>
    <m/>
    <m/>
    <m/>
    <m/>
    <m/>
    <m/>
    <s v="1"/>
    <s v="1"/>
    <s v="1"/>
    <s v="1"/>
    <s v="0"/>
    <m/>
    <m/>
    <m/>
    <m/>
    <m/>
    <m/>
    <m/>
    <m/>
    <m/>
    <m/>
    <m/>
    <m/>
    <m/>
    <m/>
  </r>
  <r>
    <n v="743"/>
    <d v="2025-02-19T00:00:00"/>
    <x v="0"/>
    <n v="9518532383"/>
    <n v="1"/>
    <s v="9518532383-1"/>
    <s v="Apr'25 additional"/>
    <x v="0"/>
    <m/>
    <x v="4"/>
    <x v="5"/>
    <x v="3"/>
    <n v="4800"/>
    <x v="1"/>
    <m/>
    <m/>
    <s v="Gujarat"/>
    <s v="West"/>
    <s v="SANAND"/>
    <x v="0"/>
    <x v="45"/>
    <x v="44"/>
    <x v="83"/>
    <s v="GL COIL HARD  Y550GL HGL6 0.900X1250"/>
    <m/>
    <m/>
    <m/>
    <m/>
    <s v="Wider"/>
    <x v="5"/>
    <x v="7"/>
    <s v="HGL6"/>
    <x v="13"/>
    <x v="0"/>
    <x v="0"/>
    <n v="290"/>
    <n v="0"/>
    <n v="290"/>
    <n v="290"/>
    <n v="207.292"/>
    <n v="290"/>
    <n v="0"/>
    <n v="0"/>
    <n v="0"/>
    <n v="0"/>
    <n v="0"/>
    <n v="29.378"/>
    <n v="0"/>
    <n v="0"/>
    <n v="0"/>
    <n v="0"/>
    <n v="0"/>
    <n v="0"/>
    <n v="0"/>
    <n v="0"/>
    <n v="0"/>
    <n v="0"/>
    <n v="0"/>
    <n v="26.925000000000001"/>
    <n v="26.405000000000001"/>
    <n v="82.707999999999998"/>
    <n v="82.707999999999998"/>
    <n v="0"/>
    <n v="82.707999999999998"/>
    <n v="0"/>
    <n v="26.564999999999998"/>
    <n v="290"/>
    <n v="0"/>
    <n v="0"/>
    <n v="290"/>
    <n v="0"/>
    <n v="0"/>
    <n v="316.565"/>
    <n v="0"/>
    <n v="0"/>
    <n v="0"/>
    <n v="316.565"/>
    <n v="0"/>
    <n v="0"/>
    <n v="0"/>
    <n v="0"/>
    <n v="0"/>
    <n v="0"/>
    <n v="0"/>
    <n v="0"/>
    <n v="0"/>
    <m/>
    <m/>
    <m/>
    <m/>
    <m/>
    <m/>
    <m/>
    <m/>
    <s v="1"/>
    <s v="1"/>
    <s v="0"/>
    <s v="1"/>
    <s v="1"/>
    <m/>
    <m/>
    <m/>
    <m/>
    <m/>
    <m/>
    <m/>
    <m/>
    <m/>
    <m/>
    <m/>
    <m/>
    <m/>
    <m/>
  </r>
  <r>
    <n v="743"/>
    <d v="2025-02-19T00:00:00"/>
    <x v="0"/>
    <n v="9518532386"/>
    <n v="1"/>
    <s v="9518532386-1"/>
    <s v="Apr'25 additional"/>
    <x v="0"/>
    <m/>
    <x v="4"/>
    <x v="5"/>
    <x v="3"/>
    <m/>
    <x v="1"/>
    <m/>
    <m/>
    <s v="Gujarat"/>
    <s v="West"/>
    <s v="SANAND"/>
    <x v="0"/>
    <x v="45"/>
    <x v="44"/>
    <x v="83"/>
    <s v="GL COIL HARD  Y550GL HGL6 0.900X1250"/>
    <m/>
    <m/>
    <m/>
    <m/>
    <s v="Wider"/>
    <x v="5"/>
    <x v="7"/>
    <s v="HGL6"/>
    <x v="13"/>
    <x v="0"/>
    <x v="0"/>
    <n v="290"/>
    <n v="0"/>
    <n v="290"/>
    <n v="290"/>
    <n v="180.25900000000001"/>
    <n v="290"/>
    <n v="0"/>
    <n v="0"/>
    <n v="0"/>
    <n v="0"/>
    <n v="0"/>
    <n v="15.006"/>
    <n v="0"/>
    <n v="0"/>
    <n v="0"/>
    <n v="0"/>
    <n v="0"/>
    <n v="0"/>
    <n v="0"/>
    <n v="0"/>
    <n v="0"/>
    <n v="0"/>
    <n v="0"/>
    <n v="26.965"/>
    <n v="67.77"/>
    <n v="109.741"/>
    <n v="109.741"/>
    <n v="0"/>
    <n v="109.741"/>
    <n v="0"/>
    <n v="0"/>
    <n v="290"/>
    <n v="0"/>
    <n v="0"/>
    <n v="290"/>
    <n v="0"/>
    <n v="0"/>
    <n v="290"/>
    <n v="0"/>
    <n v="0"/>
    <n v="290"/>
    <n v="0"/>
    <n v="0"/>
    <n v="0"/>
    <n v="0"/>
    <n v="0"/>
    <n v="0"/>
    <n v="0"/>
    <n v="0"/>
    <n v="0"/>
    <n v="0"/>
    <m/>
    <m/>
    <m/>
    <m/>
    <m/>
    <m/>
    <m/>
    <m/>
    <s v="1"/>
    <s v="1"/>
    <s v="0"/>
    <s v="1"/>
    <s v="1"/>
    <m/>
    <m/>
    <m/>
    <m/>
    <m/>
    <m/>
    <m/>
    <m/>
    <m/>
    <m/>
    <m/>
    <m/>
    <m/>
    <m/>
  </r>
  <r>
    <n v="744"/>
    <d v="2025-02-22T00:00:00"/>
    <x v="0"/>
    <n v="9518542994"/>
    <n v="7"/>
    <s v="9518542994-7"/>
    <s v="Mar'25"/>
    <x v="0"/>
    <m/>
    <x v="2"/>
    <x v="3"/>
    <x v="3"/>
    <m/>
    <x v="1"/>
    <m/>
    <m/>
    <s v="Jharkhand"/>
    <s v="East"/>
    <s v="TBL- BARA AGRICO"/>
    <x v="0"/>
    <x v="6"/>
    <x v="39"/>
    <x v="84"/>
    <s v="PPGL C HARD Y550PL D0C9 0.50(TPT)X1220"/>
    <m/>
    <m/>
    <m/>
    <m/>
    <s v="Wider"/>
    <x v="3"/>
    <x v="3"/>
    <s v="D0C9"/>
    <x v="1"/>
    <x v="1"/>
    <x v="0"/>
    <n v="83.99"/>
    <n v="0"/>
    <n v="83.99"/>
    <n v="83.99"/>
    <n v="83.99"/>
    <n v="83.99"/>
    <n v="0"/>
    <n v="0"/>
    <n v="0"/>
    <n v="0"/>
    <n v="0"/>
    <n v="0"/>
    <n v="0"/>
    <n v="0"/>
    <n v="0"/>
    <n v="0"/>
    <n v="0"/>
    <n v="0"/>
    <n v="0"/>
    <n v="0"/>
    <n v="0"/>
    <n v="0"/>
    <n v="0"/>
    <n v="0"/>
    <n v="0"/>
    <n v="0"/>
    <n v="0"/>
    <n v="0"/>
    <n v="0"/>
    <n v="0"/>
    <n v="0"/>
    <n v="83.99"/>
    <n v="0"/>
    <n v="83.99"/>
    <n v="0"/>
    <n v="0"/>
    <n v="0"/>
    <n v="83.99"/>
    <n v="0"/>
    <n v="83.99"/>
    <n v="0"/>
    <n v="0"/>
    <n v="0"/>
    <n v="0"/>
    <n v="0"/>
    <n v="0"/>
    <n v="0"/>
    <n v="0"/>
    <n v="0"/>
    <n v="0"/>
    <n v="0"/>
    <m/>
    <m/>
    <m/>
    <m/>
    <m/>
    <m/>
    <m/>
    <m/>
    <s v="1"/>
    <s v="0"/>
    <s v="1"/>
    <s v="1"/>
    <s v="1"/>
    <m/>
    <m/>
    <m/>
    <m/>
    <m/>
    <m/>
    <m/>
    <m/>
    <m/>
    <m/>
    <m/>
    <m/>
    <m/>
    <m/>
  </r>
  <r>
    <n v="744"/>
    <d v="2025-02-22T00:00:00"/>
    <x v="0"/>
    <n v="9518543125"/>
    <n v="7"/>
    <s v="9518543125-7"/>
    <s v="May'25"/>
    <x v="0"/>
    <m/>
    <x v="2"/>
    <x v="3"/>
    <x v="3"/>
    <m/>
    <x v="1"/>
    <m/>
    <m/>
    <s v="Jharkhand"/>
    <s v="East"/>
    <s v="GAMHARIA"/>
    <x v="0"/>
    <x v="15"/>
    <x v="15"/>
    <x v="85"/>
    <s v="PPGL C HARD Y550PL ISC6 0.350X1220"/>
    <m/>
    <m/>
    <m/>
    <m/>
    <s v="Wider"/>
    <x v="3"/>
    <x v="3"/>
    <s v="ISC6"/>
    <x v="6"/>
    <x v="1"/>
    <x v="0"/>
    <n v="56"/>
    <n v="37.26"/>
    <n v="18.739999999999998"/>
    <n v="7.42"/>
    <n v="18.739999999999998"/>
    <n v="18.739999999999998"/>
    <n v="0"/>
    <n v="0"/>
    <n v="0"/>
    <n v="0"/>
    <n v="0"/>
    <n v="0"/>
    <n v="0"/>
    <n v="0"/>
    <n v="0"/>
    <n v="0"/>
    <n v="0"/>
    <n v="0"/>
    <n v="0"/>
    <n v="0"/>
    <n v="0"/>
    <n v="0"/>
    <n v="0"/>
    <n v="0"/>
    <n v="0"/>
    <n v="0"/>
    <n v="0"/>
    <n v="0"/>
    <n v="0"/>
    <n v="0"/>
    <n v="0"/>
    <n v="18.739999999999998"/>
    <n v="0"/>
    <n v="0"/>
    <n v="18.739999999999998"/>
    <n v="0"/>
    <n v="0"/>
    <n v="18.739999999999998"/>
    <n v="0"/>
    <n v="0"/>
    <n v="18.739999999999998"/>
    <n v="0"/>
    <n v="0"/>
    <n v="0"/>
    <n v="0"/>
    <n v="0"/>
    <n v="0"/>
    <n v="0"/>
    <n v="0"/>
    <n v="0"/>
    <n v="0"/>
    <m/>
    <m/>
    <m/>
    <m/>
    <m/>
    <m/>
    <m/>
    <m/>
    <s v="1"/>
    <s v="1"/>
    <s v="0"/>
    <s v="1"/>
    <s v="1"/>
    <m/>
    <m/>
    <m/>
    <m/>
    <m/>
    <m/>
    <m/>
    <m/>
    <m/>
    <m/>
    <m/>
    <m/>
    <m/>
    <m/>
  </r>
  <r>
    <n v="744"/>
    <d v="2025-02-22T00:00:00"/>
    <x v="0"/>
    <n v="9518543214"/>
    <n v="6"/>
    <s v="9518543214-6"/>
    <s v="Apr'25 "/>
    <x v="0"/>
    <m/>
    <x v="2"/>
    <x v="3"/>
    <x v="3"/>
    <m/>
    <x v="1"/>
    <m/>
    <m/>
    <s v="Jharkhand"/>
    <s v="East"/>
    <s v="GAMHARIA"/>
    <x v="0"/>
    <x v="15"/>
    <x v="15"/>
    <x v="76"/>
    <s v="PPGL C HARD Y550PL ISC6 0.430X1220"/>
    <m/>
    <m/>
    <m/>
    <m/>
    <s v="Wider"/>
    <x v="3"/>
    <x v="3"/>
    <s v="ISC6"/>
    <x v="25"/>
    <x v="1"/>
    <x v="0"/>
    <n v="28"/>
    <n v="0"/>
    <n v="28"/>
    <n v="28"/>
    <n v="28"/>
    <n v="28"/>
    <n v="0"/>
    <n v="0"/>
    <n v="0"/>
    <n v="0"/>
    <n v="0"/>
    <n v="0"/>
    <n v="0"/>
    <n v="0"/>
    <n v="0"/>
    <n v="0"/>
    <n v="0"/>
    <n v="0"/>
    <n v="0"/>
    <n v="0"/>
    <n v="0"/>
    <n v="0"/>
    <n v="0"/>
    <n v="0"/>
    <n v="0"/>
    <n v="0"/>
    <n v="0"/>
    <n v="0"/>
    <n v="0"/>
    <n v="0"/>
    <n v="0"/>
    <n v="28"/>
    <n v="0"/>
    <n v="0"/>
    <n v="28"/>
    <n v="0"/>
    <n v="0"/>
    <n v="28"/>
    <n v="0"/>
    <n v="0"/>
    <n v="28"/>
    <n v="0"/>
    <n v="0"/>
    <n v="0"/>
    <n v="0"/>
    <n v="0"/>
    <n v="0"/>
    <n v="0"/>
    <n v="0"/>
    <n v="0"/>
    <n v="0"/>
    <m/>
    <m/>
    <m/>
    <m/>
    <m/>
    <m/>
    <m/>
    <m/>
    <s v="1"/>
    <s v="1"/>
    <s v="0"/>
    <s v="1"/>
    <s v="1"/>
    <m/>
    <m/>
    <m/>
    <m/>
    <m/>
    <m/>
    <m/>
    <m/>
    <m/>
    <m/>
    <m/>
    <m/>
    <m/>
    <m/>
  </r>
  <r>
    <n v="744"/>
    <d v="2025-02-22T00:00:00"/>
    <x v="0"/>
    <n v="9518543214"/>
    <n v="7"/>
    <s v="9518543214-7"/>
    <s v="Stocks"/>
    <x v="0"/>
    <m/>
    <x v="2"/>
    <x v="3"/>
    <x v="3"/>
    <m/>
    <x v="1"/>
    <m/>
    <m/>
    <s v="Jharkhand"/>
    <s v="East"/>
    <s v="GAMHARIA"/>
    <x v="0"/>
    <x v="15"/>
    <x v="15"/>
    <x v="76"/>
    <s v="PPGL C HARD Y550PL ISC6 0.430X1220"/>
    <m/>
    <m/>
    <m/>
    <m/>
    <s v="Wider"/>
    <x v="3"/>
    <x v="3"/>
    <s v="ISC6"/>
    <x v="25"/>
    <x v="1"/>
    <x v="0"/>
    <n v="28"/>
    <n v="17.59"/>
    <n v="10.41"/>
    <n v="3.63"/>
    <n v="5.7750000000000004"/>
    <n v="8.2550000000000008"/>
    <n v="0"/>
    <n v="0"/>
    <n v="0"/>
    <n v="0"/>
    <n v="0"/>
    <n v="0"/>
    <n v="0"/>
    <n v="0"/>
    <n v="0"/>
    <n v="4.6349999999999998"/>
    <n v="0"/>
    <n v="0"/>
    <n v="0"/>
    <n v="0"/>
    <n v="0"/>
    <n v="0"/>
    <n v="0"/>
    <n v="0"/>
    <n v="0"/>
    <n v="4.6349999999999998"/>
    <n v="4.6349999999999998"/>
    <n v="0"/>
    <n v="4.6349999999999998"/>
    <n v="0"/>
    <n v="19.734999999999999"/>
    <n v="0"/>
    <n v="0"/>
    <n v="0"/>
    <n v="0"/>
    <n v="0"/>
    <n v="0"/>
    <n v="19.734999999999999"/>
    <n v="19.734999999999999"/>
    <n v="0"/>
    <n v="0"/>
    <n v="0"/>
    <n v="0"/>
    <n v="0"/>
    <n v="0"/>
    <n v="0"/>
    <n v="0"/>
    <n v="0"/>
    <n v="0"/>
    <n v="0"/>
    <n v="0"/>
    <m/>
    <m/>
    <m/>
    <m/>
    <m/>
    <m/>
    <m/>
    <m/>
    <s v="1"/>
    <s v="1"/>
    <s v="1"/>
    <s v="1"/>
    <s v="1"/>
    <m/>
    <m/>
    <m/>
    <m/>
    <m/>
    <m/>
    <m/>
    <m/>
    <m/>
    <m/>
    <m/>
    <m/>
    <m/>
    <m/>
  </r>
  <r>
    <n v="744"/>
    <d v="2025-02-22T00:00:00"/>
    <x v="0"/>
    <n v="9518543307"/>
    <n v="1"/>
    <s v="9518543307-1"/>
    <s v="No Priority"/>
    <x v="0"/>
    <m/>
    <x v="2"/>
    <x v="3"/>
    <x v="3"/>
    <m/>
    <x v="0"/>
    <m/>
    <m/>
    <s v="Jharkhand"/>
    <s v="East"/>
    <s v="GAMHARIA"/>
    <x v="0"/>
    <x v="15"/>
    <x v="15"/>
    <x v="86"/>
    <s v="PPGL C HARD Y550PL ISC6 0.450X1220"/>
    <m/>
    <m/>
    <m/>
    <m/>
    <s v="Wider"/>
    <x v="3"/>
    <x v="3"/>
    <s v="ISC6"/>
    <x v="10"/>
    <x v="1"/>
    <x v="0"/>
    <n v="112"/>
    <n v="106.21"/>
    <n v="5.79"/>
    <n v="-3.5459999999999998"/>
    <n v="0"/>
    <n v="5.79"/>
    <n v="0"/>
    <n v="0"/>
    <n v="0"/>
    <n v="0"/>
    <n v="0"/>
    <n v="0"/>
    <n v="0"/>
    <n v="5.15"/>
    <n v="0"/>
    <n v="0"/>
    <n v="0"/>
    <n v="0"/>
    <n v="0"/>
    <n v="0"/>
    <n v="0"/>
    <n v="0"/>
    <n v="0"/>
    <n v="0"/>
    <n v="0"/>
    <n v="5.15"/>
    <n v="5.15"/>
    <n v="0"/>
    <n v="5.15"/>
    <n v="0"/>
    <n v="0"/>
    <n v="0"/>
    <n v="0"/>
    <n v="0"/>
    <n v="0"/>
    <n v="0"/>
    <n v="0"/>
    <n v="0"/>
    <n v="0"/>
    <n v="0"/>
    <n v="0"/>
    <n v="0"/>
    <n v="0"/>
    <n v="0"/>
    <n v="4.51"/>
    <n v="0"/>
    <n v="0"/>
    <n v="0"/>
    <n v="0"/>
    <n v="0"/>
    <n v="4.51"/>
    <m/>
    <m/>
    <m/>
    <m/>
    <m/>
    <m/>
    <m/>
    <m/>
    <s v="1"/>
    <s v="1"/>
    <s v="1"/>
    <s v="1"/>
    <s v="1"/>
    <m/>
    <m/>
    <m/>
    <m/>
    <m/>
    <m/>
    <m/>
    <m/>
    <m/>
    <m/>
    <m/>
    <m/>
    <m/>
    <m/>
  </r>
  <r>
    <n v="742"/>
    <d v="2025-01-10T00:00:00"/>
    <x v="0"/>
    <n v="9518419100"/>
    <n v="7"/>
    <s v="9518419100-7"/>
    <s v="Stocks"/>
    <x v="0"/>
    <m/>
    <x v="0"/>
    <x v="0"/>
    <x v="1"/>
    <m/>
    <x v="1"/>
    <m/>
    <m/>
    <s v="Karnataka"/>
    <s v="South"/>
    <s v="YESHWANTHPURA"/>
    <x v="0"/>
    <x v="46"/>
    <x v="45"/>
    <x v="87"/>
    <s v="HR COILS-PO IS 1079 HR2 3.15X1250"/>
    <m/>
    <m/>
    <m/>
    <m/>
    <s v="Wider"/>
    <x v="0"/>
    <x v="0"/>
    <s v="HR99"/>
    <x v="30"/>
    <x v="0"/>
    <x v="0"/>
    <n v="50"/>
    <n v="24.75"/>
    <n v="25.25"/>
    <n v="0.59"/>
    <n v="0"/>
    <n v="0"/>
    <n v="0"/>
    <n v="0"/>
    <n v="0"/>
    <n v="0"/>
    <n v="0"/>
    <n v="0"/>
    <n v="0"/>
    <n v="0"/>
    <n v="0"/>
    <n v="0"/>
    <n v="0"/>
    <n v="0"/>
    <n v="0"/>
    <n v="0"/>
    <n v="0"/>
    <n v="0"/>
    <n v="0"/>
    <n v="0"/>
    <n v="0"/>
    <n v="0"/>
    <n v="0"/>
    <n v="0"/>
    <n v="0"/>
    <n v="0"/>
    <n v="24.37"/>
    <n v="0"/>
    <n v="0"/>
    <n v="0"/>
    <n v="0"/>
    <n v="0"/>
    <n v="0"/>
    <n v="24.37"/>
    <n v="24.37"/>
    <n v="0"/>
    <n v="0"/>
    <n v="0"/>
    <n v="0"/>
    <n v="0"/>
    <n v="0"/>
    <n v="0"/>
    <n v="0"/>
    <n v="0"/>
    <n v="0"/>
    <n v="0"/>
    <n v="0"/>
    <m/>
    <m/>
    <m/>
    <m/>
    <m/>
    <m/>
    <m/>
    <m/>
    <s v="1"/>
    <s v="1"/>
    <s v="1"/>
    <s v="1"/>
    <s v="1"/>
    <m/>
    <m/>
    <m/>
    <m/>
    <m/>
    <m/>
    <m/>
    <m/>
    <m/>
    <m/>
    <m/>
    <m/>
    <m/>
    <m/>
  </r>
  <r>
    <n v="742"/>
    <d v="2025-01-10T00:00:00"/>
    <x v="0"/>
    <n v="9518419100"/>
    <n v="9"/>
    <s v="9518419100-8"/>
    <s v="No Priority"/>
    <x v="0"/>
    <m/>
    <x v="0"/>
    <x v="0"/>
    <x v="1"/>
    <m/>
    <x v="0"/>
    <m/>
    <m/>
    <s v="Karnataka"/>
    <s v="South"/>
    <s v="YESHWANTHPURA"/>
    <x v="0"/>
    <x v="46"/>
    <x v="45"/>
    <x v="88"/>
    <s v="HR COILS-PO IS 1079 HR2 4X1250"/>
    <m/>
    <m/>
    <m/>
    <m/>
    <s v="Wider"/>
    <x v="0"/>
    <x v="0"/>
    <s v="HR99"/>
    <x v="31"/>
    <x v="0"/>
    <x v="0"/>
    <n v="50"/>
    <n v="0"/>
    <n v="50"/>
    <n v="50"/>
    <n v="0"/>
    <n v="0"/>
    <n v="0"/>
    <n v="0"/>
    <n v="0"/>
    <n v="0"/>
    <n v="0"/>
    <n v="0"/>
    <n v="0"/>
    <n v="0"/>
    <n v="0"/>
    <n v="0"/>
    <n v="0"/>
    <n v="0"/>
    <n v="0"/>
    <n v="0"/>
    <n v="0"/>
    <n v="0"/>
    <n v="0"/>
    <n v="0"/>
    <n v="0"/>
    <n v="0"/>
    <n v="0"/>
    <n v="50"/>
    <n v="50"/>
    <n v="0"/>
    <n v="0"/>
    <n v="0"/>
    <n v="0"/>
    <n v="0"/>
    <n v="0"/>
    <n v="0"/>
    <n v="0"/>
    <n v="0"/>
    <n v="0"/>
    <n v="0"/>
    <n v="0"/>
    <n v="0"/>
    <n v="0"/>
    <n v="0"/>
    <n v="0"/>
    <n v="0"/>
    <n v="0"/>
    <n v="0"/>
    <n v="0"/>
    <n v="0"/>
    <n v="0"/>
    <m/>
    <m/>
    <m/>
    <m/>
    <m/>
    <m/>
    <m/>
    <m/>
    <s v="1"/>
    <s v="1"/>
    <s v="1"/>
    <s v="1"/>
    <s v="1"/>
    <m/>
    <m/>
    <m/>
    <m/>
    <m/>
    <m/>
    <m/>
    <m/>
    <m/>
    <m/>
    <m/>
    <m/>
    <m/>
    <m/>
  </r>
  <r>
    <n v="742"/>
    <d v="2025-02-26T00:00:00"/>
    <x v="0"/>
    <n v="9518554428"/>
    <n v="2"/>
    <s v="9518554428-2"/>
    <s v="No Priority"/>
    <x v="0"/>
    <m/>
    <x v="1"/>
    <x v="10"/>
    <x v="2"/>
    <m/>
    <x v="0"/>
    <m/>
    <m/>
    <s v="Andhra Pradesh"/>
    <s v="South"/>
    <s v="PATANCHERU"/>
    <x v="0"/>
    <x v="47"/>
    <x v="46"/>
    <x v="89"/>
    <s v="CRCA COIL TATXXD BT01 1X1320"/>
    <s v=" "/>
    <m/>
    <n v="6"/>
    <n v="8"/>
    <s v="Wider"/>
    <x v="1"/>
    <x v="2"/>
    <s v="BT01"/>
    <x v="17"/>
    <x v="9"/>
    <x v="0"/>
    <n v="89.99"/>
    <n v="57.5"/>
    <n v="32.49"/>
    <n v="3.92"/>
    <n v="32.49"/>
    <n v="0"/>
    <n v="0"/>
    <n v="0"/>
    <n v="0"/>
    <n v="0"/>
    <n v="0"/>
    <n v="0"/>
    <n v="0"/>
    <n v="0"/>
    <n v="0"/>
    <n v="0"/>
    <n v="0"/>
    <n v="0"/>
    <n v="0"/>
    <n v="0"/>
    <n v="0"/>
    <n v="0"/>
    <n v="0"/>
    <n v="0"/>
    <n v="0"/>
    <n v="0"/>
    <n v="0"/>
    <n v="0"/>
    <n v="0"/>
    <n v="0"/>
    <n v="0"/>
    <n v="0"/>
    <n v="0"/>
    <n v="0"/>
    <n v="0"/>
    <n v="0"/>
    <n v="0"/>
    <n v="0"/>
    <n v="0"/>
    <n v="0"/>
    <n v="0"/>
    <n v="0"/>
    <n v="0"/>
    <n v="0"/>
    <n v="39.22"/>
    <n v="0"/>
    <n v="0"/>
    <n v="0"/>
    <n v="0"/>
    <n v="0"/>
    <n v="39.22"/>
    <m/>
    <m/>
    <m/>
    <m/>
    <m/>
    <m/>
    <m/>
    <m/>
    <s v="1"/>
    <s v="1"/>
    <s v="1"/>
    <s v="1"/>
    <s v="1"/>
    <m/>
    <m/>
    <m/>
    <m/>
    <m/>
    <m/>
    <m/>
    <m/>
    <m/>
    <m/>
    <m/>
    <m/>
    <m/>
    <m/>
  </r>
  <r>
    <n v="742"/>
    <d v="2025-02-27T00:00:00"/>
    <x v="1"/>
    <n v="9518559566"/>
    <n v="2"/>
    <s v="9518559566-2"/>
    <s v="No Priority"/>
    <x v="0"/>
    <m/>
    <x v="1"/>
    <x v="10"/>
    <x v="2"/>
    <m/>
    <x v="0"/>
    <m/>
    <m/>
    <s v="West Bengal"/>
    <s v="East"/>
    <s v="THIRUVALLUR"/>
    <x v="0"/>
    <x v="24"/>
    <x v="23"/>
    <x v="90"/>
    <s v="CR COIL TSBSTA EL03 1X1250"/>
    <s v=" "/>
    <s v=""/>
    <n v="8"/>
    <n v="11"/>
    <s v="Wider"/>
    <x v="1"/>
    <x v="9"/>
    <s v="EL03"/>
    <x v="17"/>
    <x v="0"/>
    <x v="0"/>
    <n v="29"/>
    <n v="0"/>
    <n v="29"/>
    <n v="1.33"/>
    <n v="0"/>
    <n v="3.21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2-27T00:00:00"/>
    <x v="0"/>
    <n v="9518560278"/>
    <n v="5"/>
    <s v="9518560278-5"/>
    <s v="May'25"/>
    <x v="0"/>
    <m/>
    <x v="2"/>
    <x v="3"/>
    <x v="2"/>
    <m/>
    <x v="1"/>
    <m/>
    <m/>
    <s v="Jharkhand"/>
    <s v="East"/>
    <s v="TBL- BARA AGRICO"/>
    <x v="0"/>
    <x v="6"/>
    <x v="15"/>
    <x v="6"/>
    <s v="PPGL C Y550 HPL3 0.42BMT(0.50TPT)X1220"/>
    <s v="AZ150"/>
    <m/>
    <m/>
    <m/>
    <s v="Wider"/>
    <x v="3"/>
    <x v="3"/>
    <s v="HPL3"/>
    <x v="3"/>
    <x v="1"/>
    <x v="0"/>
    <n v="28"/>
    <n v="0"/>
    <n v="28"/>
    <n v="0.34499999999999997"/>
    <n v="0"/>
    <n v="28"/>
    <n v="0"/>
    <n v="28.63"/>
    <n v="0"/>
    <n v="0"/>
    <n v="0"/>
    <n v="0"/>
    <n v="0"/>
    <n v="0"/>
    <n v="0"/>
    <n v="0"/>
    <n v="0"/>
    <n v="0"/>
    <n v="0"/>
    <n v="0"/>
    <n v="0"/>
    <n v="0"/>
    <n v="0"/>
    <n v="0"/>
    <n v="0"/>
    <n v="28.63"/>
    <n v="28.63"/>
    <n v="0"/>
    <n v="28.63"/>
    <n v="0"/>
    <n v="0"/>
    <n v="28"/>
    <n v="28"/>
    <n v="0"/>
    <n v="0"/>
    <n v="0"/>
    <n v="0"/>
    <n v="28"/>
    <n v="0"/>
    <n v="28"/>
    <n v="0"/>
    <n v="0"/>
    <n v="0"/>
    <n v="0"/>
    <n v="0"/>
    <n v="0"/>
    <n v="0"/>
    <n v="0"/>
    <n v="0"/>
    <n v="0"/>
    <n v="0"/>
    <m/>
    <m/>
    <m/>
    <m/>
    <m/>
    <m/>
    <m/>
    <m/>
    <s v="0"/>
    <s v="1"/>
    <s v="1"/>
    <s v="1"/>
    <s v="1"/>
    <m/>
    <m/>
    <m/>
    <m/>
    <m/>
    <m/>
    <m/>
    <m/>
    <m/>
    <m/>
    <m/>
    <m/>
    <m/>
    <m/>
  </r>
  <r>
    <n v="744"/>
    <d v="2025-02-27T00:00:00"/>
    <x v="0"/>
    <n v="9518560278"/>
    <n v="3"/>
    <s v="9518560278-3"/>
    <s v="No Priority"/>
    <x v="0"/>
    <m/>
    <x v="2"/>
    <x v="3"/>
    <x v="2"/>
    <m/>
    <x v="0"/>
    <m/>
    <m/>
    <s v="Jharkhand"/>
    <s v="East"/>
    <s v="TBL- BARA AGRICO"/>
    <x v="0"/>
    <x v="6"/>
    <x v="15"/>
    <x v="6"/>
    <s v="PPGL C Y550 HPL3 0.42BMT(0.50TPT)X1220"/>
    <s v="AZ150"/>
    <m/>
    <m/>
    <m/>
    <s v="Wider"/>
    <x v="3"/>
    <x v="3"/>
    <s v="HPL3"/>
    <x v="3"/>
    <x v="1"/>
    <x v="0"/>
    <n v="28"/>
    <n v="0"/>
    <n v="28"/>
    <n v="0.68"/>
    <n v="0"/>
    <n v="28"/>
    <n v="0"/>
    <n v="0"/>
    <n v="0"/>
    <n v="0"/>
    <n v="0"/>
    <n v="0"/>
    <n v="0"/>
    <n v="0"/>
    <n v="0"/>
    <n v="27.29"/>
    <n v="0"/>
    <n v="0"/>
    <n v="0"/>
    <n v="0"/>
    <n v="0"/>
    <n v="0"/>
    <n v="0"/>
    <n v="0"/>
    <n v="0"/>
    <n v="27.29"/>
    <n v="27.29"/>
    <n v="0"/>
    <n v="27.29"/>
    <n v="0"/>
    <n v="0"/>
    <n v="0"/>
    <n v="0"/>
    <n v="0"/>
    <n v="0"/>
    <n v="0"/>
    <n v="0"/>
    <n v="0"/>
    <n v="0"/>
    <n v="0"/>
    <n v="0"/>
    <n v="0"/>
    <n v="0"/>
    <n v="0"/>
    <n v="0"/>
    <n v="0"/>
    <n v="0"/>
    <n v="0"/>
    <n v="0"/>
    <n v="0"/>
    <n v="0"/>
    <m/>
    <m/>
    <m/>
    <m/>
    <m/>
    <m/>
    <m/>
    <m/>
    <s v="1"/>
    <s v="1"/>
    <s v="1"/>
    <s v="1"/>
    <s v="1"/>
    <m/>
    <m/>
    <m/>
    <m/>
    <m/>
    <m/>
    <m/>
    <m/>
    <m/>
    <m/>
    <m/>
    <m/>
    <m/>
    <m/>
  </r>
  <r>
    <n v="743"/>
    <d v="2025-03-01T00:00:00"/>
    <x v="0"/>
    <n v="9518567053"/>
    <n v="1"/>
    <s v="9518567053-1"/>
    <s v="No Priority"/>
    <x v="0"/>
    <m/>
    <x v="4"/>
    <x v="3"/>
    <x v="2"/>
    <m/>
    <x v="0"/>
    <m/>
    <m/>
    <s v="Jharkhand"/>
    <s v="East"/>
    <s v="TBL- BARA AGRICO"/>
    <x v="0"/>
    <x v="22"/>
    <x v="6"/>
    <x v="34"/>
    <s v="GL C YS550 H6GL 0.55BMT(0.60TCT)X1220"/>
    <m/>
    <m/>
    <m/>
    <m/>
    <s v="Wider"/>
    <x v="5"/>
    <x v="7"/>
    <s v="H6GL"/>
    <x v="18"/>
    <x v="1"/>
    <x v="0"/>
    <n v="28"/>
    <n v="9.0649999999999995"/>
    <n v="18.934999999999999"/>
    <n v="1.125"/>
    <n v="0"/>
    <n v="1.2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25T00:00:00"/>
    <x v="1"/>
    <n v="4000499688"/>
    <n v="4"/>
    <s v="4000499688-4"/>
    <s v="No Priority"/>
    <x v="0"/>
    <m/>
    <x v="0"/>
    <x v="6"/>
    <x v="0"/>
    <m/>
    <x v="0"/>
    <m/>
    <m/>
    <s v="Karnataka"/>
    <s v="South"/>
    <s v="YESHWANTHPURA"/>
    <x v="0"/>
    <x v="21"/>
    <x v="21"/>
    <x v="91"/>
    <s v="HR COILS-PO THR099 HR99 3.40X1250"/>
    <m/>
    <m/>
    <m/>
    <m/>
    <s v="Wider"/>
    <x v="0"/>
    <x v="0"/>
    <s v="HR99"/>
    <x v="32"/>
    <x v="0"/>
    <x v="0"/>
    <n v="50"/>
    <n v="24.53"/>
    <n v="25.47"/>
    <n v="25.47"/>
    <n v="0"/>
    <n v="0.93"/>
    <n v="0"/>
    <n v="0"/>
    <n v="0"/>
    <n v="0"/>
    <n v="0"/>
    <n v="0"/>
    <n v="0"/>
    <n v="0"/>
    <n v="0"/>
    <n v="0"/>
    <n v="0"/>
    <n v="0"/>
    <n v="0"/>
    <n v="0"/>
    <n v="0"/>
    <n v="0"/>
    <n v="0"/>
    <n v="0"/>
    <n v="0"/>
    <n v="0"/>
    <n v="0"/>
    <n v="25"/>
    <n v="25"/>
    <n v="0"/>
    <n v="0"/>
    <n v="0"/>
    <n v="0"/>
    <n v="0"/>
    <n v="0"/>
    <n v="0"/>
    <n v="0"/>
    <n v="0"/>
    <n v="0"/>
    <n v="0"/>
    <n v="0"/>
    <n v="0"/>
    <n v="0"/>
    <n v="0"/>
    <n v="0"/>
    <n v="0"/>
    <n v="0"/>
    <n v="0"/>
    <n v="0"/>
    <n v="0"/>
    <n v="0"/>
    <m/>
    <m/>
    <m/>
    <m/>
    <m/>
    <m/>
    <m/>
    <m/>
    <s v="1"/>
    <s v="1"/>
    <s v="1"/>
    <s v="1"/>
    <s v="1"/>
    <m/>
    <m/>
    <m/>
    <m/>
    <m/>
    <m/>
    <m/>
    <m/>
    <m/>
    <m/>
    <m/>
    <m/>
    <m/>
    <m/>
  </r>
  <r>
    <n v="744"/>
    <d v="2025-03-01T00:00:00"/>
    <x v="0"/>
    <n v="9518567119"/>
    <n v="1"/>
    <s v="9518567119-1"/>
    <s v="Stocks"/>
    <x v="0"/>
    <m/>
    <x v="2"/>
    <x v="3"/>
    <x v="2"/>
    <m/>
    <x v="1"/>
    <m/>
    <m/>
    <s v="Jharkhand"/>
    <s v="East"/>
    <s v="TBL- BARA AGRICO"/>
    <x v="0"/>
    <x v="6"/>
    <x v="6"/>
    <x v="92"/>
    <s v="PPGL COIL HARD-Y550PL-HPL3-0.55X1220"/>
    <m/>
    <m/>
    <m/>
    <m/>
    <s v="Wider"/>
    <x v="3"/>
    <x v="3"/>
    <s v="HPL3"/>
    <x v="18"/>
    <x v="1"/>
    <x v="0"/>
    <n v="196"/>
    <n v="174.685"/>
    <n v="21.315000000000001"/>
    <n v="-8.32"/>
    <n v="0"/>
    <n v="21.315000000000001"/>
    <n v="0"/>
    <n v="28.59"/>
    <n v="0"/>
    <n v="0"/>
    <n v="0"/>
    <n v="0"/>
    <n v="0"/>
    <n v="0"/>
    <n v="0"/>
    <n v="0"/>
    <n v="0"/>
    <n v="0"/>
    <n v="0"/>
    <n v="0"/>
    <n v="0"/>
    <n v="2.0499999999999998"/>
    <n v="0"/>
    <n v="0"/>
    <n v="0"/>
    <n v="30.64"/>
    <n v="30.64"/>
    <n v="0"/>
    <n v="30.64"/>
    <n v="0"/>
    <n v="3.3050000000000002"/>
    <n v="21.315000000000001"/>
    <n v="21.315000000000001"/>
    <n v="0"/>
    <n v="0"/>
    <n v="0"/>
    <n v="0"/>
    <n v="24.62"/>
    <n v="0"/>
    <n v="24.62"/>
    <n v="0"/>
    <n v="0"/>
    <n v="0"/>
    <n v="0"/>
    <n v="132.33000000000001"/>
    <n v="21.315000000000001"/>
    <n v="0"/>
    <n v="0"/>
    <n v="0"/>
    <n v="0"/>
    <n v="111.01500000000001"/>
    <m/>
    <m/>
    <m/>
    <m/>
    <m/>
    <m/>
    <m/>
    <m/>
    <s v="1"/>
    <s v="1"/>
    <s v="1"/>
    <s v="1"/>
    <s v="1"/>
    <m/>
    <m/>
    <m/>
    <m/>
    <m/>
    <m/>
    <m/>
    <m/>
    <m/>
    <m/>
    <m/>
    <m/>
    <m/>
    <m/>
  </r>
  <r>
    <n v="742"/>
    <d v="2025-01-15T00:00:00"/>
    <x v="0"/>
    <n v="9518430653"/>
    <n v="1"/>
    <s v="9518430653-1"/>
    <s v="No Priority"/>
    <x v="0"/>
    <m/>
    <x v="1"/>
    <x v="7"/>
    <x v="2"/>
    <m/>
    <x v="0"/>
    <m/>
    <m/>
    <s v="Gujarat"/>
    <s v="West"/>
    <s v="RAJKOT"/>
    <x v="0"/>
    <x v="48"/>
    <x v="47"/>
    <x v="93"/>
    <s v="CRCA COIL TSBSTA EL06 0.500X1160"/>
    <m/>
    <m/>
    <m/>
    <m/>
    <s v="Narrow"/>
    <x v="1"/>
    <x v="9"/>
    <s v="EL06"/>
    <x v="1"/>
    <x v="13"/>
    <x v="0"/>
    <n v="215.99"/>
    <n v="174.04499999999999"/>
    <n v="41.945"/>
    <n v="-10.205"/>
    <n v="0"/>
    <n v="0"/>
    <n v="0"/>
    <n v="0"/>
    <n v="0"/>
    <n v="0"/>
    <n v="0"/>
    <n v="0"/>
    <n v="0"/>
    <n v="0"/>
    <n v="0"/>
    <n v="0"/>
    <n v="0"/>
    <n v="0"/>
    <n v="0"/>
    <n v="0"/>
    <n v="0"/>
    <n v="0"/>
    <n v="0"/>
    <n v="0"/>
    <n v="0"/>
    <n v="0"/>
    <n v="0"/>
    <n v="0"/>
    <n v="0"/>
    <n v="0"/>
    <n v="0"/>
    <n v="0"/>
    <n v="0"/>
    <n v="0"/>
    <n v="0"/>
    <n v="0"/>
    <n v="0"/>
    <n v="0"/>
    <n v="0"/>
    <n v="0"/>
    <n v="0"/>
    <n v="0"/>
    <n v="0"/>
    <n v="0"/>
    <n v="62.004999999999995"/>
    <n v="0"/>
    <n v="0"/>
    <n v="0"/>
    <n v="0"/>
    <n v="0"/>
    <n v="62.004999999999995"/>
    <m/>
    <m/>
    <m/>
    <m/>
    <m/>
    <m/>
    <m/>
    <m/>
    <s v="1"/>
    <s v="1"/>
    <s v="1"/>
    <s v="1"/>
    <s v="1"/>
    <m/>
    <m/>
    <m/>
    <m/>
    <m/>
    <m/>
    <m/>
    <m/>
    <m/>
    <m/>
    <m/>
    <m/>
    <m/>
    <m/>
  </r>
  <r>
    <n v="742"/>
    <d v="2025-02-27T00:00:00"/>
    <x v="1"/>
    <n v="9518560055"/>
    <n v="1"/>
    <s v="9518560055-1"/>
    <s v="May'25"/>
    <x v="0"/>
    <m/>
    <x v="5"/>
    <x v="8"/>
    <x v="1"/>
    <m/>
    <x v="1"/>
    <m/>
    <m/>
    <s v="Punjab"/>
    <s v="North"/>
    <s v="KHOPOLI"/>
    <x v="0"/>
    <x v="29"/>
    <x v="29"/>
    <x v="94"/>
    <s v="CRFH COIL TATFHC TR10 0.320X1245"/>
    <m/>
    <m/>
    <m/>
    <m/>
    <s v="Wider"/>
    <x v="6"/>
    <x v="12"/>
    <s v="TR10"/>
    <x v="33"/>
    <x v="14"/>
    <x v="0"/>
    <n v="290"/>
    <n v="0"/>
    <n v="290"/>
    <n v="290"/>
    <n v="0"/>
    <n v="262.31"/>
    <n v="0"/>
    <n v="0"/>
    <n v="28.76"/>
    <n v="0"/>
    <n v="0"/>
    <n v="0"/>
    <n v="0"/>
    <n v="0"/>
    <n v="0"/>
    <n v="0"/>
    <n v="0"/>
    <n v="0"/>
    <n v="0"/>
    <n v="0"/>
    <n v="0"/>
    <n v="39.315000000000005"/>
    <n v="0"/>
    <n v="13.05"/>
    <n v="52.705000000000005"/>
    <n v="133.83000000000001"/>
    <n v="133.83000000000001"/>
    <n v="290"/>
    <n v="423.83000000000004"/>
    <n v="0"/>
    <n v="53.404999999999994"/>
    <n v="262.31"/>
    <n v="0"/>
    <n v="0"/>
    <n v="0"/>
    <n v="262.31"/>
    <n v="0"/>
    <n v="315.71499999999997"/>
    <n v="0"/>
    <n v="0"/>
    <n v="0"/>
    <n v="0"/>
    <n v="315.71499999999997"/>
    <n v="0"/>
    <n v="0"/>
    <n v="0"/>
    <n v="0"/>
    <n v="0"/>
    <n v="0"/>
    <n v="0"/>
    <n v="0"/>
    <m/>
    <m/>
    <m/>
    <m/>
    <m/>
    <m/>
    <m/>
    <m/>
    <s v="1"/>
    <s v="1"/>
    <s v="1"/>
    <s v="0"/>
    <s v="1"/>
    <m/>
    <m/>
    <m/>
    <m/>
    <m/>
    <m/>
    <m/>
    <m/>
    <m/>
    <m/>
    <m/>
    <m/>
    <m/>
    <m/>
  </r>
  <r>
    <n v="742"/>
    <d v="2025-02-05T00:00:00"/>
    <x v="0"/>
    <n v="9518494668"/>
    <n v="3"/>
    <s v="9518494668-3"/>
    <s v="No Priority"/>
    <x v="0"/>
    <m/>
    <x v="1"/>
    <x v="1"/>
    <x v="1"/>
    <m/>
    <x v="0"/>
    <m/>
    <s v="Exp BTF &lt;17MT"/>
    <s v="Maharashtra"/>
    <s v="West"/>
    <s v="BOMBAY"/>
    <x v="0"/>
    <x v="37"/>
    <x v="37"/>
    <x v="95"/>
    <s v="CRCA COIL-TATXXD-AU03-1.2X1250"/>
    <m/>
    <m/>
    <m/>
    <m/>
    <s v="Wider"/>
    <x v="1"/>
    <x v="14"/>
    <s v="AU03"/>
    <x v="19"/>
    <x v="0"/>
    <x v="0"/>
    <n v="87"/>
    <n v="25.78"/>
    <n v="61.22"/>
    <n v="6.32"/>
    <n v="61.22"/>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4T00:00:00"/>
    <x v="0"/>
    <n v="9518574020"/>
    <n v="1"/>
    <s v="9518574020-1"/>
    <s v="No Priority"/>
    <x v="0"/>
    <m/>
    <x v="1"/>
    <x v="1"/>
    <x v="1"/>
    <m/>
    <x v="0"/>
    <m/>
    <s v="Exp BTF &lt;17MT"/>
    <s v="Delhi"/>
    <s v="North"/>
    <s v="ZOSOLA"/>
    <x v="0"/>
    <x v="49"/>
    <x v="48"/>
    <x v="96"/>
    <s v="CRCA COIL-TATXXD-AU03-0.35X1250"/>
    <m/>
    <m/>
    <m/>
    <m/>
    <s v="Wider"/>
    <x v="1"/>
    <x v="2"/>
    <s v="AU03"/>
    <x v="6"/>
    <x v="0"/>
    <x v="0"/>
    <n v="116"/>
    <n v="64.150000000000006"/>
    <n v="51.85"/>
    <n v="14.64"/>
    <n v="51.85"/>
    <n v="51.85"/>
    <n v="0"/>
    <n v="0"/>
    <n v="0"/>
    <n v="0"/>
    <n v="0"/>
    <n v="0"/>
    <n v="0"/>
    <n v="0"/>
    <n v="0"/>
    <n v="0"/>
    <n v="0"/>
    <n v="0"/>
    <n v="0"/>
    <n v="0"/>
    <n v="0"/>
    <n v="0"/>
    <n v="0"/>
    <n v="0"/>
    <n v="0"/>
    <n v="0"/>
    <n v="0"/>
    <n v="0"/>
    <n v="0"/>
    <n v="0"/>
    <n v="0"/>
    <n v="0"/>
    <n v="0"/>
    <n v="0"/>
    <n v="0"/>
    <n v="0"/>
    <n v="0"/>
    <n v="0"/>
    <n v="0"/>
    <n v="0"/>
    <n v="0"/>
    <n v="0"/>
    <n v="0"/>
    <n v="0"/>
    <n v="64.150000000000006"/>
    <n v="0"/>
    <n v="0"/>
    <n v="0"/>
    <n v="0"/>
    <n v="0"/>
    <n v="64.150000000000006"/>
    <m/>
    <m/>
    <m/>
    <m/>
    <m/>
    <m/>
    <m/>
    <m/>
    <s v="1"/>
    <s v="1"/>
    <s v="1"/>
    <s v="1"/>
    <s v="1"/>
    <m/>
    <m/>
    <m/>
    <m/>
    <m/>
    <m/>
    <m/>
    <m/>
    <m/>
    <m/>
    <m/>
    <m/>
    <m/>
    <m/>
  </r>
  <r>
    <n v="742"/>
    <d v="2025-03-07T00:00:00"/>
    <x v="0"/>
    <n v="9518583094"/>
    <n v="3"/>
    <s v="9518583094-3"/>
    <s v="Stocks"/>
    <x v="0"/>
    <m/>
    <x v="1"/>
    <x v="2"/>
    <x v="1"/>
    <m/>
    <x v="1"/>
    <m/>
    <s v="Exp BTF &lt;17MT"/>
    <s v="Uttar Pradesh"/>
    <s v="North"/>
    <s v="VARANASI"/>
    <x v="1"/>
    <x v="2"/>
    <x v="2"/>
    <x v="3"/>
    <s v="CRCA SHEET TATCRC SR16 0.400X1250X2030"/>
    <m/>
    <m/>
    <m/>
    <m/>
    <s v="Wider"/>
    <x v="2"/>
    <x v="1"/>
    <s v="SR16"/>
    <x v="2"/>
    <x v="0"/>
    <x v="1"/>
    <n v="108"/>
    <n v="71.95"/>
    <n v="36.049999999999997"/>
    <n v="9.1199999999999992"/>
    <n v="36.049999999999997"/>
    <n v="10.47"/>
    <n v="0"/>
    <n v="0"/>
    <n v="0"/>
    <n v="0"/>
    <n v="0"/>
    <n v="0"/>
    <n v="0"/>
    <n v="0"/>
    <n v="0"/>
    <n v="0"/>
    <n v="0"/>
    <n v="0"/>
    <n v="0"/>
    <n v="0"/>
    <n v="0"/>
    <n v="0"/>
    <n v="0"/>
    <n v="0"/>
    <n v="0"/>
    <n v="0"/>
    <n v="0"/>
    <n v="0"/>
    <n v="0"/>
    <n v="0"/>
    <n v="2.7250000000000001"/>
    <n v="0"/>
    <n v="0"/>
    <n v="0"/>
    <n v="0"/>
    <n v="0"/>
    <n v="0"/>
    <n v="2.7250000000000001"/>
    <n v="2.7250000000000001"/>
    <n v="0"/>
    <n v="0"/>
    <n v="0"/>
    <n v="0"/>
    <n v="0"/>
    <n v="33.9"/>
    <n v="0"/>
    <n v="0"/>
    <n v="0"/>
    <n v="0"/>
    <n v="0"/>
    <n v="33.9"/>
    <m/>
    <m/>
    <m/>
    <m/>
    <m/>
    <m/>
    <m/>
    <m/>
    <s v="1"/>
    <s v="1"/>
    <s v="1"/>
    <s v="1"/>
    <s v="1"/>
    <m/>
    <m/>
    <m/>
    <m/>
    <m/>
    <m/>
    <m/>
    <m/>
    <m/>
    <m/>
    <m/>
    <m/>
    <m/>
    <m/>
  </r>
  <r>
    <n v="742"/>
    <d v="2025-02-14T00:00:00"/>
    <x v="0"/>
    <n v="9518518906"/>
    <n v="2"/>
    <s v="9518518906-2"/>
    <s v="No Priority"/>
    <x v="0"/>
    <m/>
    <x v="1"/>
    <x v="2"/>
    <x v="1"/>
    <m/>
    <x v="0"/>
    <m/>
    <s v="Exp BTF &lt;17MT"/>
    <s v="Uttar Pradesh"/>
    <s v="North"/>
    <s v="VARANASI"/>
    <x v="1"/>
    <x v="2"/>
    <x v="2"/>
    <x v="3"/>
    <s v="CRCA SHEET TATCRC SR16 0.400X1250X2030"/>
    <m/>
    <m/>
    <m/>
    <m/>
    <s v="Wider"/>
    <x v="2"/>
    <x v="1"/>
    <s v="SR16"/>
    <x v="2"/>
    <x v="0"/>
    <x v="1"/>
    <n v="99"/>
    <n v="92.825000000000003"/>
    <n v="6.1749999999999998"/>
    <n v="6.1749999999999998"/>
    <n v="6.1749999999999998"/>
    <n v="6.1749999999999998"/>
    <n v="0"/>
    <n v="0"/>
    <n v="0"/>
    <n v="0"/>
    <n v="0"/>
    <n v="0"/>
    <n v="0"/>
    <n v="0"/>
    <n v="0"/>
    <n v="0"/>
    <n v="0"/>
    <n v="0"/>
    <n v="0"/>
    <n v="0"/>
    <n v="0"/>
    <n v="0"/>
    <n v="0"/>
    <n v="0"/>
    <n v="0"/>
    <n v="0"/>
    <n v="0"/>
    <n v="0"/>
    <n v="0"/>
    <n v="0"/>
    <n v="0"/>
    <n v="0"/>
    <n v="0"/>
    <n v="0"/>
    <n v="0"/>
    <n v="0"/>
    <n v="0"/>
    <n v="0"/>
    <n v="0"/>
    <n v="0"/>
    <n v="0"/>
    <n v="0"/>
    <n v="0"/>
    <n v="0"/>
    <n v="31.200000000000003"/>
    <n v="0"/>
    <n v="0"/>
    <n v="0"/>
    <n v="0"/>
    <n v="0"/>
    <n v="31.200000000000003"/>
    <m/>
    <m/>
    <m/>
    <m/>
    <m/>
    <m/>
    <m/>
    <m/>
    <s v="1"/>
    <s v="1"/>
    <s v="1"/>
    <s v="1"/>
    <s v="1"/>
    <m/>
    <m/>
    <m/>
    <m/>
    <m/>
    <m/>
    <m/>
    <m/>
    <m/>
    <m/>
    <m/>
    <m/>
    <m/>
    <m/>
  </r>
  <r>
    <n v="742"/>
    <d v="2025-03-07T00:00:00"/>
    <x v="0"/>
    <n v="9518583177"/>
    <n v="1"/>
    <s v="9518583177-1"/>
    <s v="No Priority"/>
    <x v="0"/>
    <m/>
    <x v="1"/>
    <x v="1"/>
    <x v="1"/>
    <m/>
    <x v="0"/>
    <m/>
    <s v="Exp BTF &lt;17MT"/>
    <s v="Delhi"/>
    <s v="North"/>
    <s v="ZOSOLA"/>
    <x v="0"/>
    <x v="50"/>
    <x v="49"/>
    <x v="2"/>
    <s v="CRSHEET-ICF  DQ TATXXD AU03 0.40 X 1250"/>
    <m/>
    <m/>
    <m/>
    <m/>
    <s v="Wider"/>
    <x v="1"/>
    <x v="2"/>
    <s v="AU03"/>
    <x v="2"/>
    <x v="0"/>
    <x v="0"/>
    <n v="174"/>
    <n v="110.875"/>
    <n v="63.125"/>
    <n v="13.04"/>
    <n v="63.125"/>
    <n v="63.125"/>
    <n v="0"/>
    <n v="0"/>
    <n v="0"/>
    <n v="0"/>
    <n v="0"/>
    <n v="0"/>
    <n v="0"/>
    <n v="0"/>
    <n v="0"/>
    <n v="0"/>
    <n v="0"/>
    <n v="0"/>
    <n v="0"/>
    <n v="0"/>
    <n v="0"/>
    <n v="0"/>
    <n v="0"/>
    <n v="0"/>
    <n v="0"/>
    <n v="0"/>
    <n v="0"/>
    <n v="0"/>
    <n v="0"/>
    <n v="0"/>
    <n v="0"/>
    <n v="0"/>
    <n v="0"/>
    <n v="0"/>
    <n v="0"/>
    <n v="0"/>
    <n v="0"/>
    <n v="0"/>
    <n v="0"/>
    <n v="0"/>
    <n v="0"/>
    <n v="0"/>
    <n v="0"/>
    <n v="0"/>
    <n v="86.575000000000017"/>
    <n v="0"/>
    <n v="0"/>
    <n v="0"/>
    <n v="0"/>
    <n v="0"/>
    <n v="86.575000000000017"/>
    <m/>
    <m/>
    <m/>
    <m/>
    <m/>
    <m/>
    <m/>
    <m/>
    <s v="1"/>
    <s v="1"/>
    <s v="1"/>
    <s v="1"/>
    <s v="1"/>
    <m/>
    <m/>
    <m/>
    <m/>
    <m/>
    <m/>
    <m/>
    <m/>
    <m/>
    <m/>
    <m/>
    <m/>
    <m/>
    <m/>
  </r>
  <r>
    <n v="743"/>
    <d v="2025-03-01T00:00:00"/>
    <x v="0"/>
    <n v="9518567404"/>
    <n v="1"/>
    <s v="9518567404-1"/>
    <s v="No Priority"/>
    <x v="0"/>
    <m/>
    <x v="4"/>
    <x v="3"/>
    <x v="3"/>
    <m/>
    <x v="0"/>
    <m/>
    <m/>
    <s v="Rajasthan"/>
    <s v="TBSPL"/>
    <s v="RAJASTHAN"/>
    <x v="0"/>
    <x v="51"/>
    <x v="6"/>
    <x v="27"/>
    <s v="GL COIL HARD Y550GL M308 0.47 (TCT)X1220"/>
    <s v="AZ150"/>
    <m/>
    <n v="3"/>
    <n v="5"/>
    <s v="Wider"/>
    <x v="5"/>
    <x v="7"/>
    <s v="M308"/>
    <x v="14"/>
    <x v="1"/>
    <x v="0"/>
    <n v="252"/>
    <n v="223.86500000000001"/>
    <n v="28.135000000000002"/>
    <n v="0.41"/>
    <n v="0"/>
    <n v="0.54500000000000004"/>
    <n v="0"/>
    <n v="0"/>
    <n v="0"/>
    <n v="0"/>
    <n v="0"/>
    <n v="0"/>
    <n v="0"/>
    <n v="0"/>
    <n v="0"/>
    <n v="0"/>
    <n v="0"/>
    <n v="0"/>
    <n v="0"/>
    <n v="0"/>
    <n v="0"/>
    <n v="0"/>
    <n v="0"/>
    <n v="0"/>
    <n v="0"/>
    <n v="0"/>
    <n v="0"/>
    <n v="0"/>
    <n v="0"/>
    <n v="0"/>
    <n v="0"/>
    <n v="0"/>
    <n v="0"/>
    <n v="0"/>
    <n v="0"/>
    <n v="0"/>
    <n v="0"/>
    <n v="0"/>
    <n v="0"/>
    <n v="0"/>
    <n v="0"/>
    <n v="0"/>
    <n v="0"/>
    <n v="0"/>
    <n v="113.64999999999999"/>
    <n v="0"/>
    <n v="0"/>
    <n v="0"/>
    <n v="0"/>
    <n v="0"/>
    <n v="113.64999999999999"/>
    <m/>
    <m/>
    <m/>
    <m/>
    <m/>
    <m/>
    <m/>
    <m/>
    <s v="1"/>
    <s v="1"/>
    <s v="1"/>
    <s v="1"/>
    <s v="1"/>
    <m/>
    <m/>
    <m/>
    <m/>
    <m/>
    <m/>
    <m/>
    <m/>
    <m/>
    <m/>
    <m/>
    <m/>
    <m/>
    <m/>
  </r>
  <r>
    <n v="744"/>
    <d v="2025-03-06T00:00:00"/>
    <x v="0"/>
    <n v="9518578543"/>
    <n v="1"/>
    <s v="9518578543-1"/>
    <s v="Stocks"/>
    <x v="0"/>
    <m/>
    <x v="2"/>
    <x v="3"/>
    <x v="2"/>
    <m/>
    <x v="1"/>
    <m/>
    <m/>
    <s v="Tamil Nadu"/>
    <s v="South"/>
    <s v="TAMILNADU"/>
    <x v="0"/>
    <x v="52"/>
    <x v="6"/>
    <x v="97"/>
    <s v="PPGL C HARD Y550PL DX01 0.53(TPT)X1220"/>
    <s v="AZ150"/>
    <s v="RAL 5012 TSL 2002"/>
    <n v="3"/>
    <n v="5"/>
    <s v="Wider"/>
    <x v="3"/>
    <x v="3"/>
    <s v="DX01"/>
    <x v="34"/>
    <x v="1"/>
    <x v="0"/>
    <n v="56"/>
    <n v="0"/>
    <n v="56"/>
    <n v="20.885000000000002"/>
    <n v="56"/>
    <n v="3.1349999999999998"/>
    <n v="0"/>
    <n v="0"/>
    <n v="0"/>
    <n v="0"/>
    <n v="0"/>
    <n v="0"/>
    <n v="0"/>
    <n v="0"/>
    <n v="0"/>
    <n v="0"/>
    <n v="0"/>
    <n v="0"/>
    <n v="0"/>
    <n v="0"/>
    <n v="0"/>
    <n v="0"/>
    <n v="0"/>
    <n v="0"/>
    <n v="0"/>
    <n v="0"/>
    <n v="0"/>
    <n v="0"/>
    <n v="0"/>
    <n v="0"/>
    <n v="52.864999999999995"/>
    <n v="3.1349999999999998"/>
    <n v="3.1349999999999998"/>
    <n v="0"/>
    <n v="0"/>
    <n v="0"/>
    <n v="0"/>
    <n v="55.999999999999993"/>
    <n v="0"/>
    <n v="55.999999999999993"/>
    <n v="0"/>
    <n v="0"/>
    <n v="0"/>
    <n v="0"/>
    <n v="0"/>
    <n v="0"/>
    <n v="0"/>
    <n v="0"/>
    <n v="0"/>
    <n v="0"/>
    <n v="0"/>
    <m/>
    <m/>
    <m/>
    <m/>
    <m/>
    <m/>
    <m/>
    <m/>
    <s v="0"/>
    <s v="1"/>
    <s v="1"/>
    <s v="1"/>
    <s v="1"/>
    <m/>
    <m/>
    <m/>
    <m/>
    <m/>
    <m/>
    <m/>
    <m/>
    <m/>
    <m/>
    <m/>
    <m/>
    <m/>
    <m/>
  </r>
  <r>
    <n v="744"/>
    <d v="2025-03-08T00:00:00"/>
    <x v="0"/>
    <n v="9518585087"/>
    <n v="2"/>
    <s v="9518585087-2"/>
    <s v="May'25"/>
    <x v="0"/>
    <m/>
    <x v="2"/>
    <x v="3"/>
    <x v="2"/>
    <m/>
    <x v="1"/>
    <m/>
    <m/>
    <s v="Tamil Nadu"/>
    <s v="South"/>
    <s v="TAMILNADU"/>
    <x v="0"/>
    <x v="52"/>
    <x v="6"/>
    <x v="97"/>
    <s v="PPGL C HARD Y550PL DX01 0.53(TPT)X1220"/>
    <s v="AZ150"/>
    <s v="RAL 9010 TSL 2007"/>
    <n v="3"/>
    <n v="5"/>
    <s v="Wider"/>
    <x v="3"/>
    <x v="3"/>
    <s v="DX01"/>
    <x v="34"/>
    <x v="1"/>
    <x v="0"/>
    <n v="223.98"/>
    <n v="208.31"/>
    <n v="15.67"/>
    <n v="0.47"/>
    <n v="0"/>
    <n v="15.67"/>
    <n v="0"/>
    <n v="0"/>
    <n v="0"/>
    <n v="0"/>
    <n v="0"/>
    <n v="0"/>
    <n v="0"/>
    <n v="0"/>
    <n v="0"/>
    <n v="0"/>
    <n v="0"/>
    <n v="0"/>
    <n v="0"/>
    <n v="0"/>
    <n v="0"/>
    <n v="32.774999999999999"/>
    <n v="0"/>
    <n v="0"/>
    <n v="0"/>
    <n v="32.774999999999999"/>
    <n v="32.774999999999999"/>
    <n v="0"/>
    <n v="32.774999999999999"/>
    <n v="0"/>
    <n v="0"/>
    <n v="15.67"/>
    <n v="0"/>
    <n v="0"/>
    <n v="15.67"/>
    <n v="0"/>
    <n v="0"/>
    <n v="15.67"/>
    <n v="0"/>
    <n v="0"/>
    <n v="15.67"/>
    <n v="0"/>
    <n v="0"/>
    <n v="0"/>
    <n v="2.8849999999999998"/>
    <n v="0"/>
    <n v="0"/>
    <n v="2.8849999999999998"/>
    <n v="0"/>
    <n v="0"/>
    <n v="0"/>
    <m/>
    <m/>
    <m/>
    <m/>
    <m/>
    <m/>
    <m/>
    <m/>
    <s v="1"/>
    <s v="1"/>
    <s v="0"/>
    <s v="1"/>
    <s v="1"/>
    <m/>
    <m/>
    <m/>
    <m/>
    <m/>
    <m/>
    <m/>
    <m/>
    <m/>
    <m/>
    <m/>
    <m/>
    <m/>
    <m/>
  </r>
  <r>
    <n v="742"/>
    <d v="2025-02-26T00:00:00"/>
    <x v="0"/>
    <n v="9518554461"/>
    <n v="1"/>
    <s v="9518554461-1"/>
    <s v="No Priority"/>
    <x v="0"/>
    <m/>
    <x v="1"/>
    <x v="10"/>
    <x v="2"/>
    <m/>
    <x v="0"/>
    <m/>
    <m/>
    <s v="Andhra Pradesh"/>
    <s v="South"/>
    <s v="VISAJHAPATNAM"/>
    <x v="1"/>
    <x v="47"/>
    <x v="46"/>
    <x v="98"/>
    <s v="CRCA SHEET TATXXD BT02 0.800X920X1805"/>
    <s v=" "/>
    <s v=""/>
    <n v="1"/>
    <n v="3"/>
    <s v="Narrow"/>
    <x v="2"/>
    <x v="2"/>
    <s v="BT02"/>
    <x v="5"/>
    <x v="15"/>
    <x v="8"/>
    <n v="270"/>
    <n v="252.81"/>
    <n v="17.190000000000001"/>
    <n v="17.190000000000001"/>
    <n v="17.190000000000001"/>
    <n v="0"/>
    <n v="0"/>
    <n v="0"/>
    <n v="0"/>
    <n v="0"/>
    <n v="0"/>
    <n v="0"/>
    <n v="0"/>
    <n v="0"/>
    <n v="0"/>
    <n v="0"/>
    <n v="0"/>
    <n v="0"/>
    <n v="0"/>
    <n v="0"/>
    <n v="0"/>
    <n v="0"/>
    <n v="0"/>
    <n v="0"/>
    <n v="0"/>
    <n v="0"/>
    <n v="0"/>
    <n v="0"/>
    <n v="0"/>
    <n v="0"/>
    <n v="0"/>
    <n v="0"/>
    <n v="0"/>
    <n v="0"/>
    <n v="0"/>
    <n v="0"/>
    <n v="0"/>
    <n v="0"/>
    <n v="0"/>
    <n v="0"/>
    <n v="0"/>
    <n v="0"/>
    <n v="0"/>
    <n v="0"/>
    <n v="95.02"/>
    <n v="0"/>
    <n v="0"/>
    <n v="0"/>
    <n v="0"/>
    <n v="0"/>
    <n v="95.02"/>
    <m/>
    <m/>
    <m/>
    <m/>
    <m/>
    <m/>
    <m/>
    <m/>
    <s v="1"/>
    <s v="1"/>
    <s v="1"/>
    <s v="1"/>
    <s v="1"/>
    <m/>
    <m/>
    <m/>
    <m/>
    <m/>
    <m/>
    <m/>
    <m/>
    <m/>
    <m/>
    <m/>
    <m/>
    <m/>
    <m/>
  </r>
  <r>
    <n v="744"/>
    <d v="2025-03-11T00:00:00"/>
    <x v="0"/>
    <n v="9518593369"/>
    <n v="1"/>
    <s v="9518593369-1"/>
    <s v="Stocks"/>
    <x v="0"/>
    <m/>
    <x v="2"/>
    <x v="3"/>
    <x v="2"/>
    <m/>
    <x v="1"/>
    <m/>
    <m/>
    <s v="Jharkhand"/>
    <s v="East"/>
    <s v="GAMHARIA"/>
    <x v="0"/>
    <x v="15"/>
    <x v="15"/>
    <x v="99"/>
    <s v="PPGL C HARD Y550PL DX01 0.68(TPT)X1220"/>
    <s v="AZ150"/>
    <s v="RAL 5012 TSL 2002"/>
    <n v="3"/>
    <n v="5"/>
    <s v="Wider"/>
    <x v="3"/>
    <x v="3"/>
    <s v="DX01"/>
    <x v="35"/>
    <x v="1"/>
    <x v="0"/>
    <n v="28"/>
    <n v="0"/>
    <n v="28"/>
    <n v="9.0449999999999999"/>
    <n v="0.71499999999999986"/>
    <n v="9.2799999999999994"/>
    <n v="0"/>
    <n v="0"/>
    <n v="0"/>
    <n v="0"/>
    <n v="0"/>
    <n v="0"/>
    <n v="0"/>
    <n v="0"/>
    <n v="0"/>
    <n v="27.285"/>
    <n v="0"/>
    <n v="0"/>
    <n v="0"/>
    <n v="0"/>
    <n v="0"/>
    <n v="0"/>
    <n v="0"/>
    <n v="0"/>
    <n v="0"/>
    <n v="27.285"/>
    <n v="27.285"/>
    <n v="0"/>
    <n v="27.285"/>
    <n v="0"/>
    <n v="18.720000000000002"/>
    <n v="9.2799999999999994"/>
    <n v="9.2799999999999994"/>
    <n v="0"/>
    <n v="0"/>
    <n v="0"/>
    <n v="0"/>
    <n v="28"/>
    <n v="0"/>
    <n v="28"/>
    <n v="0"/>
    <n v="0"/>
    <n v="0"/>
    <n v="0"/>
    <n v="0"/>
    <n v="0"/>
    <n v="0"/>
    <n v="0"/>
    <n v="0"/>
    <n v="0"/>
    <n v="0"/>
    <m/>
    <m/>
    <m/>
    <m/>
    <m/>
    <m/>
    <m/>
    <m/>
    <s v="0"/>
    <s v="1"/>
    <s v="1"/>
    <s v="1"/>
    <s v="1"/>
    <m/>
    <m/>
    <m/>
    <m/>
    <m/>
    <m/>
    <m/>
    <m/>
    <m/>
    <m/>
    <m/>
    <m/>
    <m/>
    <m/>
  </r>
  <r>
    <n v="743"/>
    <d v="2025-03-11T00:00:00"/>
    <x v="0"/>
    <n v="9518593433"/>
    <n v="6"/>
    <s v="9518593433-6"/>
    <s v="No Priority"/>
    <x v="0"/>
    <m/>
    <x v="3"/>
    <x v="9"/>
    <x v="0"/>
    <m/>
    <x v="0"/>
    <m/>
    <m/>
    <s v="Jharkhand"/>
    <s v="East"/>
    <s v="BOKARO STEEL CY"/>
    <x v="0"/>
    <x v="10"/>
    <x v="10"/>
    <x v="62"/>
    <s v="GP COIL SOFT-TATXGP-GK09-0.6X900"/>
    <s v="Z80"/>
    <s v=""/>
    <n v="4"/>
    <n v="12"/>
    <s v="Narrow"/>
    <x v="7"/>
    <x v="5"/>
    <s v="GK09"/>
    <x v="20"/>
    <x v="3"/>
    <x v="0"/>
    <n v="84"/>
    <n v="77.599999999999994"/>
    <n v="6.4"/>
    <n v="-1.835"/>
    <n v="0"/>
    <n v="6.4"/>
    <n v="0"/>
    <n v="0"/>
    <n v="0"/>
    <n v="0"/>
    <n v="0"/>
    <n v="0"/>
    <n v="0"/>
    <n v="8.2350000000000012"/>
    <n v="0"/>
    <n v="0"/>
    <n v="0"/>
    <n v="0"/>
    <n v="0"/>
    <n v="0"/>
    <n v="0"/>
    <n v="0"/>
    <n v="0"/>
    <n v="0"/>
    <n v="0"/>
    <n v="8.2350000000000012"/>
    <n v="8.2350000000000012"/>
    <n v="0"/>
    <n v="8.2350000000000012"/>
    <n v="0"/>
    <n v="0"/>
    <n v="0"/>
    <n v="0"/>
    <n v="0"/>
    <n v="0"/>
    <n v="0"/>
    <n v="0"/>
    <n v="0"/>
    <n v="0"/>
    <n v="0"/>
    <n v="0"/>
    <n v="0"/>
    <n v="0"/>
    <n v="0"/>
    <n v="57.86"/>
    <n v="0"/>
    <n v="0"/>
    <n v="0"/>
    <n v="0"/>
    <n v="0"/>
    <n v="57.86"/>
    <m/>
    <m/>
    <m/>
    <m/>
    <m/>
    <m/>
    <m/>
    <m/>
    <s v="1"/>
    <s v="1"/>
    <s v="1"/>
    <s v="1"/>
    <s v="1"/>
    <m/>
    <m/>
    <m/>
    <m/>
    <m/>
    <m/>
    <m/>
    <m/>
    <m/>
    <m/>
    <m/>
    <m/>
    <m/>
    <m/>
  </r>
  <r>
    <n v="742"/>
    <d v="2025-03-17T00:00:00"/>
    <x v="1"/>
    <n v="9518607093"/>
    <n v="6"/>
    <s v="9518607093-6"/>
    <s v="Apr'25 "/>
    <x v="0"/>
    <m/>
    <x v="1"/>
    <x v="7"/>
    <x v="2"/>
    <m/>
    <x v="1"/>
    <m/>
    <m/>
    <s v="Uttar Pradesh"/>
    <s v="North"/>
    <s v="PILKHUWA"/>
    <x v="0"/>
    <x v="24"/>
    <x v="23"/>
    <x v="93"/>
    <s v="CRCA COIL TSBSTA EL06 0.500X1160"/>
    <s v=" "/>
    <s v=""/>
    <n v="8"/>
    <n v="13"/>
    <s v="Narrow"/>
    <x v="1"/>
    <x v="9"/>
    <s v="EL06"/>
    <x v="1"/>
    <x v="13"/>
    <x v="0"/>
    <n v="297"/>
    <n v="230.85"/>
    <n v="66.150000000000006"/>
    <n v="18.555"/>
    <n v="66.150000000000006"/>
    <n v="31.06"/>
    <n v="0"/>
    <n v="0"/>
    <n v="0"/>
    <n v="0"/>
    <n v="0"/>
    <n v="0"/>
    <n v="0"/>
    <n v="0"/>
    <n v="0"/>
    <n v="0"/>
    <n v="0"/>
    <n v="0"/>
    <n v="0"/>
    <n v="0"/>
    <n v="0"/>
    <n v="0"/>
    <n v="0"/>
    <n v="0"/>
    <n v="0"/>
    <n v="0"/>
    <n v="0"/>
    <n v="0"/>
    <n v="0"/>
    <n v="0"/>
    <n v="24.535"/>
    <n v="31.06"/>
    <n v="0"/>
    <n v="0"/>
    <n v="31.06"/>
    <n v="0"/>
    <n v="0"/>
    <n v="55.594999999999999"/>
    <n v="0"/>
    <n v="0"/>
    <n v="0"/>
    <n v="55.594999999999999"/>
    <n v="0"/>
    <n v="0"/>
    <n v="148.435"/>
    <n v="0"/>
    <n v="0"/>
    <n v="31.06"/>
    <n v="0"/>
    <n v="0"/>
    <n v="117.375"/>
    <m/>
    <m/>
    <m/>
    <m/>
    <m/>
    <m/>
    <m/>
    <m/>
    <s v="1"/>
    <s v="1"/>
    <s v="1"/>
    <s v="1"/>
    <s v="1"/>
    <m/>
    <m/>
    <m/>
    <m/>
    <m/>
    <m/>
    <m/>
    <m/>
    <m/>
    <m/>
    <m/>
    <m/>
    <m/>
    <m/>
  </r>
  <r>
    <n v="742"/>
    <d v="2025-03-06T00:00:00"/>
    <x v="0"/>
    <n v="9518578859"/>
    <n v="1"/>
    <s v="9518578859-1"/>
    <s v="Stocks"/>
    <x v="0"/>
    <m/>
    <x v="1"/>
    <x v="2"/>
    <x v="0"/>
    <m/>
    <x v="1"/>
    <m/>
    <m/>
    <s v="Uttar Pradesh"/>
    <s v="North"/>
    <s v="KANPUR"/>
    <x v="1"/>
    <x v="53"/>
    <x v="50"/>
    <x v="30"/>
    <s v="CRCA SHEET TSBCRC SR15 0.500X1250X2030"/>
    <s v=" "/>
    <s v=""/>
    <n v="0"/>
    <n v="0"/>
    <s v="Wider"/>
    <x v="2"/>
    <x v="4"/>
    <s v="SR15"/>
    <x v="1"/>
    <x v="0"/>
    <x v="1"/>
    <n v="108"/>
    <n v="38.72"/>
    <n v="69.28"/>
    <n v="1.105"/>
    <n v="0"/>
    <n v="7.5149999999999997"/>
    <n v="0"/>
    <n v="0"/>
    <n v="0"/>
    <n v="0"/>
    <n v="0"/>
    <n v="0"/>
    <n v="0"/>
    <n v="0"/>
    <n v="0"/>
    <n v="0"/>
    <n v="0"/>
    <n v="0"/>
    <n v="0"/>
    <n v="0"/>
    <n v="0"/>
    <n v="0"/>
    <n v="0"/>
    <n v="0"/>
    <n v="0"/>
    <n v="0"/>
    <n v="0"/>
    <n v="0"/>
    <n v="0"/>
    <n v="0"/>
    <n v="9.48"/>
    <n v="0"/>
    <n v="0"/>
    <n v="0"/>
    <n v="0"/>
    <n v="0"/>
    <n v="0"/>
    <n v="9.48"/>
    <n v="9.48"/>
    <n v="0"/>
    <n v="0"/>
    <n v="0"/>
    <n v="0"/>
    <n v="0"/>
    <n v="0"/>
    <n v="0"/>
    <n v="0"/>
    <n v="0"/>
    <n v="0"/>
    <n v="0"/>
    <n v="0"/>
    <m/>
    <m/>
    <m/>
    <m/>
    <m/>
    <m/>
    <m/>
    <m/>
    <s v="1"/>
    <s v="1"/>
    <s v="1"/>
    <s v="1"/>
    <s v="1"/>
    <m/>
    <m/>
    <m/>
    <m/>
    <m/>
    <m/>
    <m/>
    <m/>
    <m/>
    <m/>
    <m/>
    <m/>
    <m/>
    <m/>
  </r>
  <r>
    <n v="742"/>
    <d v="2025-03-06T00:00:00"/>
    <x v="0"/>
    <n v="9518578859"/>
    <n v="3"/>
    <s v="9518578859-3"/>
    <s v="No Priority"/>
    <x v="0"/>
    <m/>
    <x v="1"/>
    <x v="2"/>
    <x v="0"/>
    <m/>
    <x v="0"/>
    <m/>
    <m/>
    <s v="Uttar Pradesh"/>
    <s v="North"/>
    <s v="KANPUR"/>
    <x v="1"/>
    <x v="53"/>
    <x v="50"/>
    <x v="100"/>
    <s v="CRCA SHEET TSBCRC SR15 0.700X1250X1930"/>
    <s v=" "/>
    <s v=""/>
    <n v="0"/>
    <n v="0"/>
    <s v="Wider"/>
    <x v="2"/>
    <x v="4"/>
    <s v="SR15"/>
    <x v="4"/>
    <x v="0"/>
    <x v="2"/>
    <n v="27"/>
    <n v="0"/>
    <n v="27"/>
    <n v="1.2050000000000001"/>
    <n v="0"/>
    <n v="1.63"/>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6T00:00:00"/>
    <x v="0"/>
    <n v="9518579878"/>
    <n v="6"/>
    <s v="9518579878-6"/>
    <s v="No Priority"/>
    <x v="0"/>
    <m/>
    <x v="1"/>
    <x v="2"/>
    <x v="0"/>
    <m/>
    <x v="0"/>
    <m/>
    <s v="Exp BTF &lt;17MT"/>
    <s v="Uttar Pradesh"/>
    <s v="North"/>
    <s v="VARANASI"/>
    <x v="1"/>
    <x v="2"/>
    <x v="2"/>
    <x v="30"/>
    <s v="CRCA SHEET TSBCRC SR15 0.500X1250X2030"/>
    <s v=" "/>
    <s v=""/>
    <n v="0"/>
    <n v="0"/>
    <s v="Wider"/>
    <x v="2"/>
    <x v="4"/>
    <s v="SR15"/>
    <x v="1"/>
    <x v="0"/>
    <x v="1"/>
    <n v="108"/>
    <n v="102.61499999999999"/>
    <n v="5.3849999999999998"/>
    <n v="3.6549999999999998"/>
    <n v="5.3849999999999998"/>
    <n v="5.384999999999999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4T00:00:00"/>
    <x v="0"/>
    <n v="9518572111"/>
    <n v="3"/>
    <s v="9518572111-3"/>
    <s v="No Priority"/>
    <x v="0"/>
    <m/>
    <x v="1"/>
    <x v="2"/>
    <x v="0"/>
    <m/>
    <x v="0"/>
    <m/>
    <m/>
    <s v="Jharkhand"/>
    <s v="East"/>
    <s v="TATANAGAR"/>
    <x v="1"/>
    <x v="5"/>
    <x v="5"/>
    <x v="71"/>
    <s v="CRCA SHEET TSBCRC SR15 0.750X1000X2500"/>
    <s v=" "/>
    <s v=""/>
    <n v="2.8"/>
    <n v="3.2"/>
    <s v="Narrow"/>
    <x v="2"/>
    <x v="4"/>
    <s v="SR15"/>
    <x v="28"/>
    <x v="2"/>
    <x v="3"/>
    <n v="20.99"/>
    <n v="19.940000000000001"/>
    <n v="1.05"/>
    <n v="1.05"/>
    <n v="0"/>
    <n v="1.05"/>
    <n v="0"/>
    <n v="0"/>
    <n v="0"/>
    <n v="0"/>
    <n v="0"/>
    <n v="0"/>
    <n v="0"/>
    <n v="0"/>
    <n v="0"/>
    <n v="0"/>
    <n v="0"/>
    <n v="0"/>
    <n v="0"/>
    <n v="0"/>
    <n v="0"/>
    <n v="0"/>
    <n v="0"/>
    <n v="0"/>
    <n v="0"/>
    <n v="0"/>
    <n v="0"/>
    <n v="0"/>
    <n v="0"/>
    <n v="0"/>
    <n v="0"/>
    <n v="0"/>
    <n v="0"/>
    <n v="0"/>
    <n v="0"/>
    <n v="0"/>
    <n v="0"/>
    <n v="0"/>
    <n v="0"/>
    <n v="0"/>
    <n v="0"/>
    <n v="0"/>
    <n v="0"/>
    <n v="0"/>
    <n v="17.57"/>
    <n v="0"/>
    <n v="0"/>
    <n v="0"/>
    <n v="0"/>
    <n v="0"/>
    <n v="17.57"/>
    <m/>
    <m/>
    <m/>
    <m/>
    <m/>
    <m/>
    <m/>
    <m/>
    <s v="1"/>
    <s v="1"/>
    <s v="1"/>
    <s v="1"/>
    <s v="1"/>
    <m/>
    <m/>
    <m/>
    <m/>
    <m/>
    <m/>
    <m/>
    <m/>
    <m/>
    <m/>
    <m/>
    <m/>
    <m/>
    <m/>
  </r>
  <r>
    <n v="742"/>
    <d v="2025-03-07T00:00:00"/>
    <x v="0"/>
    <n v="9518583094"/>
    <n v="5"/>
    <s v="9518583094-5"/>
    <s v="No Priority"/>
    <x v="0"/>
    <m/>
    <x v="1"/>
    <x v="2"/>
    <x v="0"/>
    <m/>
    <x v="0"/>
    <m/>
    <m/>
    <s v="Uttar Pradesh"/>
    <s v="North"/>
    <s v="VARANASI"/>
    <x v="1"/>
    <x v="2"/>
    <x v="2"/>
    <x v="30"/>
    <s v="CRCA SHEET TSBCRC SR15 0.500X1250X2030"/>
    <s v=" "/>
    <s v=""/>
    <n v="0"/>
    <n v="0"/>
    <s v="Wider"/>
    <x v="2"/>
    <x v="4"/>
    <s v="SR15"/>
    <x v="1"/>
    <x v="0"/>
    <x v="1"/>
    <n v="54"/>
    <n v="25.745000000000001"/>
    <n v="28.254999999999999"/>
    <n v="1.135"/>
    <n v="0"/>
    <n v="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7T00:00:00"/>
    <x v="0"/>
    <n v="9518583094"/>
    <n v="6"/>
    <s v="9518583094-6"/>
    <s v="No Priority"/>
    <x v="0"/>
    <m/>
    <x v="1"/>
    <x v="2"/>
    <x v="0"/>
    <m/>
    <x v="0"/>
    <m/>
    <m/>
    <s v="Uttar Pradesh"/>
    <s v="North"/>
    <s v="VARANASI"/>
    <x v="1"/>
    <x v="2"/>
    <x v="2"/>
    <x v="101"/>
    <s v="CRCA SHEET TSBCRC SR15 0.500X1250X2020"/>
    <s v=" "/>
    <s v=""/>
    <n v="0"/>
    <n v="0"/>
    <s v="Wider"/>
    <x v="2"/>
    <x v="4"/>
    <s v="SR15"/>
    <x v="1"/>
    <x v="0"/>
    <x v="9"/>
    <n v="54"/>
    <n v="25.954999999999998"/>
    <n v="28.045000000000002"/>
    <n v="-5.0000000000000001E-3"/>
    <n v="0"/>
    <n v="1.65"/>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3T00:00:00"/>
    <x v="0"/>
    <n v="9518598795"/>
    <n v="5"/>
    <s v="9518598795-5"/>
    <s v="Apr'25 "/>
    <x v="0"/>
    <m/>
    <x v="1"/>
    <x v="1"/>
    <x v="0"/>
    <m/>
    <x v="1"/>
    <m/>
    <m/>
    <s v="Tamil Nadu"/>
    <s v="South"/>
    <s v="GUMMIDIPOONDI"/>
    <x v="0"/>
    <x v="54"/>
    <x v="0"/>
    <x v="102"/>
    <s v="CRCA COIL-TATXXD-AU03-1.6X1250"/>
    <s v=" "/>
    <s v=""/>
    <n v="5"/>
    <n v="29"/>
    <s v="Wider"/>
    <x v="1"/>
    <x v="2"/>
    <s v="AU03"/>
    <x v="22"/>
    <x v="0"/>
    <x v="0"/>
    <n v="87"/>
    <n v="69.715000000000003"/>
    <n v="17.285"/>
    <n v="17.285"/>
    <n v="-3.3949999999999996"/>
    <n v="17.285"/>
    <n v="0"/>
    <n v="0"/>
    <n v="0"/>
    <n v="0"/>
    <n v="0"/>
    <n v="0"/>
    <n v="0"/>
    <n v="0"/>
    <n v="0"/>
    <n v="0"/>
    <n v="0"/>
    <n v="0"/>
    <n v="0"/>
    <n v="20.68"/>
    <n v="0"/>
    <n v="0"/>
    <n v="0"/>
    <n v="0"/>
    <n v="0"/>
    <n v="20.68"/>
    <n v="20.68"/>
    <n v="0"/>
    <n v="20.68"/>
    <n v="0"/>
    <n v="0"/>
    <n v="17.285"/>
    <n v="17.285"/>
    <n v="0"/>
    <n v="0"/>
    <n v="0"/>
    <n v="0"/>
    <n v="17.285"/>
    <n v="0"/>
    <n v="17.285"/>
    <n v="0"/>
    <n v="0"/>
    <n v="0"/>
    <n v="0"/>
    <n v="18.989999999999998"/>
    <n v="17.285"/>
    <n v="0"/>
    <n v="0"/>
    <n v="0"/>
    <n v="0"/>
    <n v="1.7049999999999983"/>
    <m/>
    <m/>
    <m/>
    <m/>
    <m/>
    <m/>
    <m/>
    <m/>
    <s v="1"/>
    <s v="1"/>
    <s v="1"/>
    <s v="1"/>
    <s v="1"/>
    <m/>
    <m/>
    <m/>
    <m/>
    <m/>
    <m/>
    <m/>
    <m/>
    <m/>
    <m/>
    <m/>
    <m/>
    <m/>
    <m/>
  </r>
  <r>
    <n v="742"/>
    <d v="2025-03-06T00:00:00"/>
    <x v="0"/>
    <n v="9518579878"/>
    <n v="3"/>
    <s v="9518579878-3"/>
    <s v="Stocks"/>
    <x v="0"/>
    <m/>
    <x v="1"/>
    <x v="2"/>
    <x v="0"/>
    <m/>
    <x v="1"/>
    <m/>
    <m/>
    <s v="Uttar Pradesh"/>
    <s v="North"/>
    <s v="VARANASI"/>
    <x v="1"/>
    <x v="2"/>
    <x v="2"/>
    <x v="28"/>
    <s v="CRCA SHEET TSBCRC SR15 0.500X1250X2500"/>
    <s v=" "/>
    <s v=""/>
    <n v="0"/>
    <n v="0"/>
    <s v="Wider"/>
    <x v="2"/>
    <x v="4"/>
    <s v="SR15"/>
    <x v="1"/>
    <x v="0"/>
    <x v="3"/>
    <n v="27"/>
    <n v="0"/>
    <n v="27"/>
    <n v="0.495"/>
    <n v="0"/>
    <n v="1.9750000000000001"/>
    <n v="0"/>
    <n v="0"/>
    <n v="0"/>
    <n v="0"/>
    <n v="0"/>
    <n v="0"/>
    <n v="0"/>
    <n v="0"/>
    <n v="0"/>
    <n v="0"/>
    <n v="0"/>
    <n v="0"/>
    <n v="0"/>
    <n v="0"/>
    <n v="0"/>
    <n v="0"/>
    <n v="0"/>
    <n v="0"/>
    <n v="0"/>
    <n v="0"/>
    <n v="0"/>
    <n v="0"/>
    <n v="0"/>
    <n v="0"/>
    <n v="2.585"/>
    <n v="0"/>
    <n v="0"/>
    <n v="0"/>
    <n v="0"/>
    <n v="0"/>
    <n v="0"/>
    <n v="2.585"/>
    <n v="2.585"/>
    <n v="0"/>
    <n v="0"/>
    <n v="0"/>
    <n v="0"/>
    <n v="0"/>
    <n v="0"/>
    <n v="0"/>
    <n v="0"/>
    <n v="0"/>
    <n v="0"/>
    <n v="0"/>
    <n v="0"/>
    <m/>
    <m/>
    <m/>
    <m/>
    <m/>
    <m/>
    <m/>
    <m/>
    <s v="1"/>
    <s v="1"/>
    <s v="1"/>
    <s v="1"/>
    <s v="1"/>
    <m/>
    <m/>
    <m/>
    <m/>
    <m/>
    <m/>
    <m/>
    <m/>
    <m/>
    <m/>
    <m/>
    <m/>
    <m/>
    <m/>
  </r>
  <r>
    <n v="742"/>
    <d v="2025-03-06T00:00:00"/>
    <x v="0"/>
    <n v="9518579878"/>
    <n v="8"/>
    <s v="9518579878-8"/>
    <s v="No Priority"/>
    <x v="0"/>
    <m/>
    <x v="1"/>
    <x v="2"/>
    <x v="0"/>
    <m/>
    <x v="0"/>
    <m/>
    <s v="Exp BTF &lt;17MT"/>
    <s v="Uttar Pradesh"/>
    <s v="North"/>
    <s v="VARANASI"/>
    <x v="1"/>
    <x v="2"/>
    <x v="2"/>
    <x v="7"/>
    <s v="CRCA SHEET TSBCRC SR15 0.700X1000X1930"/>
    <s v=" "/>
    <s v=""/>
    <n v="0"/>
    <n v="0"/>
    <s v="Narrow"/>
    <x v="2"/>
    <x v="4"/>
    <s v="SR15"/>
    <x v="4"/>
    <x v="2"/>
    <x v="2"/>
    <n v="27"/>
    <n v="20.190000000000001"/>
    <n v="6.81"/>
    <n v="6.81"/>
    <n v="6.81"/>
    <n v="6.81"/>
    <n v="0"/>
    <n v="0"/>
    <n v="0"/>
    <n v="0"/>
    <n v="0"/>
    <n v="0"/>
    <n v="0"/>
    <n v="0"/>
    <n v="0"/>
    <n v="0"/>
    <n v="0"/>
    <n v="0"/>
    <n v="0"/>
    <n v="0"/>
    <n v="0"/>
    <n v="0"/>
    <n v="0"/>
    <n v="0"/>
    <n v="0"/>
    <n v="0"/>
    <n v="0"/>
    <n v="0"/>
    <n v="0"/>
    <n v="0"/>
    <n v="0"/>
    <n v="0"/>
    <n v="0"/>
    <n v="0"/>
    <n v="0"/>
    <n v="0"/>
    <n v="0"/>
    <n v="0"/>
    <n v="0"/>
    <n v="0"/>
    <n v="0"/>
    <n v="0"/>
    <n v="0"/>
    <n v="0"/>
    <n v="20.189999999999998"/>
    <n v="0"/>
    <n v="0"/>
    <n v="0"/>
    <n v="0"/>
    <n v="0"/>
    <n v="20.189999999999998"/>
    <m/>
    <m/>
    <m/>
    <m/>
    <m/>
    <m/>
    <m/>
    <m/>
    <s v="1"/>
    <s v="1"/>
    <s v="1"/>
    <s v="1"/>
    <s v="1"/>
    <m/>
    <m/>
    <m/>
    <m/>
    <m/>
    <m/>
    <m/>
    <m/>
    <m/>
    <m/>
    <m/>
    <m/>
    <m/>
    <m/>
  </r>
  <r>
    <n v="742"/>
    <d v="2025-03-06T00:00:00"/>
    <x v="0"/>
    <n v="9518579878"/>
    <n v="9"/>
    <s v="9518579878-9"/>
    <s v="No Priority"/>
    <x v="0"/>
    <m/>
    <x v="1"/>
    <x v="2"/>
    <x v="0"/>
    <m/>
    <x v="0"/>
    <m/>
    <s v="Exp BTF &lt;17MT"/>
    <s v="Uttar Pradesh"/>
    <s v="North"/>
    <s v="VARANASI"/>
    <x v="1"/>
    <x v="2"/>
    <x v="2"/>
    <x v="57"/>
    <s v="CRCA SHEET TSBCRC SR15 0.600X1000X1930"/>
    <s v=" "/>
    <s v=""/>
    <n v="0"/>
    <n v="0"/>
    <s v="Narrow"/>
    <x v="2"/>
    <x v="4"/>
    <s v="SR15"/>
    <x v="20"/>
    <x v="2"/>
    <x v="2"/>
    <n v="27"/>
    <n v="20.329999999999998"/>
    <n v="6.67"/>
    <n v="6.67"/>
    <n v="6.67"/>
    <n v="6.67"/>
    <n v="0"/>
    <n v="0"/>
    <n v="0"/>
    <n v="0"/>
    <n v="0"/>
    <n v="0"/>
    <n v="0"/>
    <n v="0"/>
    <n v="0"/>
    <n v="0"/>
    <n v="0"/>
    <n v="0"/>
    <n v="0"/>
    <n v="0"/>
    <n v="0"/>
    <n v="0"/>
    <n v="0"/>
    <n v="0"/>
    <n v="0"/>
    <n v="0"/>
    <n v="0"/>
    <n v="0"/>
    <n v="0"/>
    <n v="0"/>
    <n v="0"/>
    <n v="0"/>
    <n v="0"/>
    <n v="0"/>
    <n v="0"/>
    <n v="0"/>
    <n v="0"/>
    <n v="0"/>
    <n v="0"/>
    <n v="0"/>
    <n v="0"/>
    <n v="0"/>
    <n v="0"/>
    <n v="0"/>
    <n v="20.330000000000002"/>
    <n v="0"/>
    <n v="0"/>
    <n v="0"/>
    <n v="0"/>
    <n v="0"/>
    <n v="20.330000000000002"/>
    <m/>
    <m/>
    <m/>
    <m/>
    <m/>
    <m/>
    <m/>
    <m/>
    <s v="1"/>
    <s v="1"/>
    <s v="1"/>
    <s v="1"/>
    <s v="1"/>
    <m/>
    <m/>
    <m/>
    <m/>
    <m/>
    <m/>
    <m/>
    <m/>
    <m/>
    <m/>
    <m/>
    <m/>
    <m/>
    <m/>
  </r>
  <r>
    <n v="742"/>
    <d v="2025-03-07T00:00:00"/>
    <x v="0"/>
    <n v="9518583094"/>
    <n v="7"/>
    <s v="9518583094-7"/>
    <s v="Stocks"/>
    <x v="0"/>
    <m/>
    <x v="1"/>
    <x v="2"/>
    <x v="0"/>
    <m/>
    <x v="1"/>
    <m/>
    <m/>
    <s v="Uttar Pradesh"/>
    <s v="North"/>
    <s v="VARANASI"/>
    <x v="1"/>
    <x v="2"/>
    <x v="2"/>
    <x v="103"/>
    <s v="CRCA SHEET TSBCRC SR15 0.600X1250X2020"/>
    <s v=" "/>
    <s v=""/>
    <n v="0"/>
    <n v="0"/>
    <s v="Wider"/>
    <x v="2"/>
    <x v="4"/>
    <s v="SR15"/>
    <x v="20"/>
    <x v="0"/>
    <x v="9"/>
    <n v="54"/>
    <n v="2.875"/>
    <n v="51.125"/>
    <n v="0.36499999999999999"/>
    <n v="0"/>
    <n v="3.26"/>
    <n v="0"/>
    <n v="0"/>
    <n v="0"/>
    <n v="0"/>
    <n v="0"/>
    <n v="0"/>
    <n v="0"/>
    <n v="0"/>
    <n v="0"/>
    <n v="0"/>
    <n v="0"/>
    <n v="0"/>
    <n v="0"/>
    <n v="0"/>
    <n v="0"/>
    <n v="0"/>
    <n v="0"/>
    <n v="0"/>
    <n v="0"/>
    <n v="0"/>
    <n v="0"/>
    <n v="0"/>
    <n v="0"/>
    <n v="0"/>
    <n v="2.5499999999999998"/>
    <n v="0"/>
    <n v="0"/>
    <n v="0"/>
    <n v="0"/>
    <n v="0"/>
    <n v="0"/>
    <n v="2.5499999999999998"/>
    <n v="2.5499999999999998"/>
    <n v="0"/>
    <n v="0"/>
    <n v="0"/>
    <n v="0"/>
    <n v="0"/>
    <n v="0"/>
    <n v="0"/>
    <n v="0"/>
    <n v="0"/>
    <n v="0"/>
    <n v="0"/>
    <n v="0"/>
    <m/>
    <m/>
    <m/>
    <m/>
    <m/>
    <m/>
    <m/>
    <m/>
    <s v="1"/>
    <s v="1"/>
    <s v="1"/>
    <s v="1"/>
    <s v="1"/>
    <m/>
    <m/>
    <m/>
    <m/>
    <m/>
    <m/>
    <m/>
    <m/>
    <m/>
    <m/>
    <m/>
    <m/>
    <m/>
    <m/>
  </r>
  <r>
    <n v="742"/>
    <d v="2025-03-07T00:00:00"/>
    <x v="0"/>
    <n v="9518583094"/>
    <n v="8"/>
    <s v="9518583094-8"/>
    <s v="No Priority"/>
    <x v="0"/>
    <m/>
    <x v="1"/>
    <x v="2"/>
    <x v="0"/>
    <m/>
    <x v="0"/>
    <m/>
    <s v="Exp BTF &lt;17MT"/>
    <s v="Uttar Pradesh"/>
    <s v="North"/>
    <s v="VARANASI"/>
    <x v="1"/>
    <x v="2"/>
    <x v="2"/>
    <x v="7"/>
    <s v="CRCA SHEET TSBCRC SR15 0.700X1000X1930"/>
    <s v=" "/>
    <s v=""/>
    <n v="0"/>
    <n v="0"/>
    <s v="Narrow"/>
    <x v="2"/>
    <x v="4"/>
    <s v="SR15"/>
    <x v="4"/>
    <x v="2"/>
    <x v="2"/>
    <n v="27"/>
    <n v="19.79"/>
    <n v="7.21"/>
    <n v="7.21"/>
    <n v="7.21"/>
    <n v="7.21"/>
    <n v="0"/>
    <n v="0"/>
    <n v="0"/>
    <n v="0"/>
    <n v="0"/>
    <n v="0"/>
    <n v="0"/>
    <n v="0"/>
    <n v="0"/>
    <n v="0"/>
    <n v="0"/>
    <n v="0"/>
    <n v="0"/>
    <n v="0"/>
    <n v="0"/>
    <n v="0"/>
    <n v="0"/>
    <n v="0"/>
    <n v="0"/>
    <n v="0"/>
    <n v="0"/>
    <n v="0"/>
    <n v="0"/>
    <n v="0"/>
    <n v="0"/>
    <n v="0"/>
    <n v="0"/>
    <n v="0"/>
    <n v="0"/>
    <n v="0"/>
    <n v="0"/>
    <n v="0"/>
    <n v="0"/>
    <n v="0"/>
    <n v="0"/>
    <n v="0"/>
    <n v="0"/>
    <n v="0"/>
    <n v="19.79"/>
    <n v="0"/>
    <n v="0"/>
    <n v="0"/>
    <n v="0"/>
    <n v="0"/>
    <n v="19.79"/>
    <m/>
    <m/>
    <m/>
    <m/>
    <m/>
    <m/>
    <m/>
    <m/>
    <s v="1"/>
    <s v="1"/>
    <s v="1"/>
    <s v="1"/>
    <s v="1"/>
    <m/>
    <m/>
    <m/>
    <m/>
    <m/>
    <m/>
    <m/>
    <m/>
    <m/>
    <m/>
    <m/>
    <m/>
    <m/>
    <m/>
  </r>
  <r>
    <n v="742"/>
    <d v="2025-02-14T00:00:00"/>
    <x v="0"/>
    <n v="9518519930"/>
    <n v="2"/>
    <s v="9518519930-2"/>
    <s v="Apr'25 "/>
    <x v="0"/>
    <m/>
    <x v="1"/>
    <x v="1"/>
    <x v="0"/>
    <m/>
    <x v="1"/>
    <m/>
    <m/>
    <s v="Punjab"/>
    <s v="North"/>
    <s v="SANHEWAL"/>
    <x v="0"/>
    <x v="55"/>
    <x v="51"/>
    <x v="39"/>
    <s v="CRCA COIL-TATXXD-AU03-1X900"/>
    <s v=" "/>
    <s v=""/>
    <n v="10"/>
    <n v="28"/>
    <s v="Narrow"/>
    <x v="1"/>
    <x v="2"/>
    <s v="AU03"/>
    <x v="17"/>
    <x v="3"/>
    <x v="0"/>
    <n v="42"/>
    <n v="0"/>
    <n v="42"/>
    <n v="42"/>
    <n v="42"/>
    <n v="42"/>
    <n v="0"/>
    <n v="0"/>
    <n v="0"/>
    <n v="0"/>
    <n v="0"/>
    <n v="0"/>
    <n v="0"/>
    <n v="0"/>
    <n v="0"/>
    <n v="0"/>
    <n v="0"/>
    <n v="0"/>
    <n v="0"/>
    <n v="0"/>
    <n v="0"/>
    <n v="0"/>
    <n v="0"/>
    <n v="0"/>
    <n v="0"/>
    <n v="0"/>
    <n v="0"/>
    <n v="0"/>
    <n v="0"/>
    <n v="0"/>
    <n v="0"/>
    <n v="42"/>
    <n v="0"/>
    <n v="0"/>
    <n v="0"/>
    <n v="0"/>
    <n v="42"/>
    <n v="0"/>
    <n v="0"/>
    <n v="0"/>
    <n v="0"/>
    <n v="0"/>
    <n v="0"/>
    <n v="42"/>
    <n v="0"/>
    <n v="0"/>
    <n v="0"/>
    <n v="0"/>
    <n v="0"/>
    <n v="0"/>
    <n v="0"/>
    <m/>
    <m/>
    <m/>
    <m/>
    <m/>
    <m/>
    <m/>
    <m/>
    <s v="1"/>
    <s v="1"/>
    <s v="1"/>
    <s v="1"/>
    <s v="0"/>
    <m/>
    <m/>
    <m/>
    <m/>
    <m/>
    <m/>
    <m/>
    <m/>
    <m/>
    <m/>
    <m/>
    <m/>
    <m/>
    <m/>
  </r>
  <r>
    <n v="742"/>
    <d v="2025-02-20T00:00:00"/>
    <x v="0"/>
    <n v="9518535833"/>
    <n v="25"/>
    <s v="9518535833-25"/>
    <s v="No Priority"/>
    <x v="0"/>
    <m/>
    <x v="1"/>
    <x v="2"/>
    <x v="0"/>
    <m/>
    <x v="0"/>
    <m/>
    <s v="Exp BTF &lt;17MT"/>
    <s v="Tamil Nadu"/>
    <s v="South"/>
    <s v="CHENNAI"/>
    <x v="1"/>
    <x v="4"/>
    <x v="4"/>
    <x v="104"/>
    <s v="CRCA SHEET TSBCRC SR15 0.600X1000X1980"/>
    <s v=" "/>
    <s v=""/>
    <n v="0"/>
    <n v="0"/>
    <s v="Narrow"/>
    <x v="2"/>
    <x v="4"/>
    <s v="SR15"/>
    <x v="20"/>
    <x v="2"/>
    <x v="4"/>
    <n v="45"/>
    <n v="37.9"/>
    <n v="7.1"/>
    <n v="7.1"/>
    <n v="7.1"/>
    <n v="7.1"/>
    <n v="0"/>
    <n v="0"/>
    <n v="0"/>
    <n v="0"/>
    <n v="0"/>
    <n v="0"/>
    <n v="0"/>
    <n v="0"/>
    <n v="0"/>
    <n v="0"/>
    <n v="0"/>
    <n v="0"/>
    <n v="0"/>
    <n v="0"/>
    <n v="0"/>
    <n v="0"/>
    <n v="0"/>
    <n v="0"/>
    <n v="0"/>
    <n v="0"/>
    <n v="0"/>
    <n v="0"/>
    <n v="0"/>
    <n v="0"/>
    <n v="0"/>
    <n v="0"/>
    <n v="0"/>
    <n v="0"/>
    <n v="0"/>
    <n v="0"/>
    <n v="0"/>
    <n v="0"/>
    <n v="0"/>
    <n v="0"/>
    <n v="0"/>
    <n v="0"/>
    <n v="0"/>
    <n v="0"/>
    <n v="37.899999999999991"/>
    <n v="0"/>
    <n v="0"/>
    <n v="0"/>
    <n v="0"/>
    <n v="0"/>
    <n v="37.899999999999991"/>
    <m/>
    <m/>
    <m/>
    <m/>
    <m/>
    <m/>
    <m/>
    <m/>
    <s v="1"/>
    <s v="1"/>
    <s v="1"/>
    <s v="1"/>
    <s v="1"/>
    <m/>
    <m/>
    <m/>
    <m/>
    <m/>
    <m/>
    <m/>
    <m/>
    <m/>
    <m/>
    <m/>
    <m/>
    <m/>
    <m/>
  </r>
  <r>
    <n v="742"/>
    <d v="2025-02-27T00:00:00"/>
    <x v="1"/>
    <n v="9518560055"/>
    <n v="2"/>
    <s v="9518560055-2"/>
    <s v="May'25"/>
    <x v="0"/>
    <m/>
    <x v="5"/>
    <x v="8"/>
    <x v="0"/>
    <m/>
    <x v="1"/>
    <m/>
    <m/>
    <s v="Maharashtra"/>
    <s v="West"/>
    <s v="KHOPOLI"/>
    <x v="0"/>
    <x v="29"/>
    <x v="29"/>
    <x v="94"/>
    <s v="CRFH COIL TATFHC TR10 0.320X1245"/>
    <s v=" "/>
    <s v=""/>
    <n v="20"/>
    <n v="25"/>
    <s v="Wider"/>
    <x v="6"/>
    <x v="12"/>
    <s v="TR10"/>
    <x v="33"/>
    <x v="14"/>
    <x v="0"/>
    <n v="232"/>
    <n v="24.22"/>
    <n v="207.78"/>
    <n v="207.78"/>
    <n v="-71.984999999999985"/>
    <n v="153.505"/>
    <n v="0"/>
    <n v="0"/>
    <n v="0"/>
    <n v="0"/>
    <n v="0"/>
    <n v="0"/>
    <n v="0"/>
    <n v="0"/>
    <n v="0"/>
    <n v="0"/>
    <n v="0"/>
    <n v="0"/>
    <n v="0"/>
    <n v="0"/>
    <n v="0"/>
    <n v="0"/>
    <n v="0"/>
    <n v="26.580000000000002"/>
    <n v="53.185000000000002"/>
    <n v="79.765000000000001"/>
    <n v="79.765000000000001"/>
    <n v="200"/>
    <n v="279.76499999999999"/>
    <n v="0"/>
    <n v="54.699999999999996"/>
    <n v="153.505"/>
    <n v="0"/>
    <n v="0"/>
    <n v="0"/>
    <n v="153.505"/>
    <n v="0"/>
    <n v="208.20499999999998"/>
    <n v="0"/>
    <n v="0"/>
    <n v="0"/>
    <n v="0"/>
    <n v="208.20499999999998"/>
    <n v="0"/>
    <n v="0"/>
    <n v="0"/>
    <n v="0"/>
    <n v="0"/>
    <n v="0"/>
    <n v="0"/>
    <n v="0"/>
    <m/>
    <m/>
    <m/>
    <m/>
    <m/>
    <m/>
    <m/>
    <m/>
    <s v="1"/>
    <s v="1"/>
    <s v="1"/>
    <s v="0"/>
    <s v="1"/>
    <m/>
    <m/>
    <m/>
    <m/>
    <m/>
    <m/>
    <m/>
    <m/>
    <m/>
    <m/>
    <m/>
    <m/>
    <m/>
    <m/>
  </r>
  <r>
    <n v="743"/>
    <d v="2025-03-04T00:00:00"/>
    <x v="0"/>
    <n v="9518572041"/>
    <n v="3"/>
    <s v="9518572041-3"/>
    <s v="No Priority"/>
    <x v="0"/>
    <m/>
    <x v="3"/>
    <x v="0"/>
    <x v="0"/>
    <m/>
    <x v="0"/>
    <m/>
    <m/>
    <s v="Jharkhand"/>
    <s v="East"/>
    <s v="TATANAGAR"/>
    <x v="0"/>
    <x v="5"/>
    <x v="5"/>
    <x v="105"/>
    <s v="GP COIL SOFT-TSBXGP-N1GP-0.4X900"/>
    <s v="Z80"/>
    <s v=""/>
    <n v="4"/>
    <n v="12"/>
    <s v="Narrow"/>
    <x v="7"/>
    <x v="13"/>
    <s v="N1GP"/>
    <x v="2"/>
    <x v="3"/>
    <x v="0"/>
    <n v="21"/>
    <n v="0"/>
    <n v="21"/>
    <n v="1.75"/>
    <n v="0"/>
    <n v="1.33"/>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7T00:00:00"/>
    <x v="1"/>
    <n v="9518607093"/>
    <n v="2"/>
    <s v="9518607093-2"/>
    <s v="Apr'25 "/>
    <x v="0"/>
    <m/>
    <x v="1"/>
    <x v="7"/>
    <x v="2"/>
    <m/>
    <x v="1"/>
    <m/>
    <m/>
    <s v="Uttar Pradesh"/>
    <s v="North"/>
    <s v="PILKHUWA"/>
    <x v="0"/>
    <x v="24"/>
    <x v="23"/>
    <x v="93"/>
    <s v="CRCA COIL TSBSTA EL06 0.500X1160"/>
    <s v=" "/>
    <s v=""/>
    <n v="8"/>
    <n v="13"/>
    <s v="Narrow"/>
    <x v="1"/>
    <x v="9"/>
    <s v="EL06"/>
    <x v="1"/>
    <x v="13"/>
    <x v="0"/>
    <n v="297"/>
    <n v="263.22500000000002"/>
    <n v="33.774999999999999"/>
    <n v="21.46"/>
    <n v="33.774999999999999"/>
    <n v="22.15"/>
    <n v="0"/>
    <n v="0"/>
    <n v="0"/>
    <n v="0"/>
    <n v="0"/>
    <n v="0"/>
    <n v="0"/>
    <n v="0"/>
    <n v="0"/>
    <n v="0"/>
    <n v="0"/>
    <n v="0"/>
    <n v="0"/>
    <n v="0"/>
    <n v="0"/>
    <n v="0"/>
    <n v="0"/>
    <n v="0"/>
    <n v="0"/>
    <n v="0"/>
    <n v="0"/>
    <n v="0"/>
    <n v="0"/>
    <n v="0"/>
    <n v="0"/>
    <n v="22.15"/>
    <n v="0"/>
    <n v="0"/>
    <n v="22.15"/>
    <n v="0"/>
    <n v="0"/>
    <n v="22.15"/>
    <n v="0"/>
    <n v="0"/>
    <n v="22.15"/>
    <n v="0"/>
    <n v="0"/>
    <n v="0"/>
    <n v="182.69"/>
    <n v="0"/>
    <n v="0"/>
    <n v="22.15"/>
    <n v="0"/>
    <n v="0"/>
    <n v="160.54"/>
    <m/>
    <m/>
    <m/>
    <m/>
    <m/>
    <m/>
    <m/>
    <m/>
    <s v="1"/>
    <s v="1"/>
    <s v="1"/>
    <s v="1"/>
    <s v="1"/>
    <m/>
    <m/>
    <m/>
    <m/>
    <m/>
    <m/>
    <m/>
    <m/>
    <m/>
    <m/>
    <m/>
    <m/>
    <m/>
    <m/>
  </r>
  <r>
    <n v="742"/>
    <d v="2025-03-17T00:00:00"/>
    <x v="1"/>
    <n v="9518607093"/>
    <n v="7"/>
    <s v="9518607093-7"/>
    <s v="Apr'25 "/>
    <x v="0"/>
    <m/>
    <x v="1"/>
    <x v="7"/>
    <x v="2"/>
    <m/>
    <x v="1"/>
    <m/>
    <m/>
    <s v="Uttar Pradesh"/>
    <s v="North"/>
    <s v="PILKHUWA"/>
    <x v="0"/>
    <x v="24"/>
    <x v="23"/>
    <x v="93"/>
    <s v="CRCA COIL TSBSTA EL06 0.500X1160"/>
    <s v=" "/>
    <s v=""/>
    <n v="8"/>
    <n v="13"/>
    <s v="Narrow"/>
    <x v="1"/>
    <x v="9"/>
    <s v="EL06"/>
    <x v="1"/>
    <x v="13"/>
    <x v="0"/>
    <n v="297"/>
    <n v="98.6"/>
    <n v="198.4"/>
    <n v="21.09"/>
    <n v="145.24"/>
    <n v="51.02"/>
    <n v="0"/>
    <n v="0"/>
    <n v="0"/>
    <n v="0"/>
    <n v="0"/>
    <n v="0"/>
    <n v="0"/>
    <n v="0"/>
    <n v="0"/>
    <n v="0"/>
    <n v="0"/>
    <n v="0"/>
    <n v="53.160000000000004"/>
    <n v="0"/>
    <n v="0"/>
    <n v="0"/>
    <n v="0"/>
    <n v="0"/>
    <n v="0"/>
    <n v="53.160000000000004"/>
    <n v="53.160000000000004"/>
    <n v="0"/>
    <n v="53.160000000000004"/>
    <n v="0"/>
    <n v="86.044999999999987"/>
    <n v="51.02"/>
    <n v="0"/>
    <n v="51.02"/>
    <n v="0"/>
    <n v="0"/>
    <n v="0"/>
    <n v="137.065"/>
    <n v="0"/>
    <n v="0"/>
    <n v="137.065"/>
    <n v="0"/>
    <n v="0"/>
    <n v="0"/>
    <n v="0"/>
    <n v="0"/>
    <n v="0"/>
    <n v="0"/>
    <n v="0"/>
    <n v="0"/>
    <n v="0"/>
    <m/>
    <m/>
    <m/>
    <m/>
    <m/>
    <m/>
    <m/>
    <m/>
    <s v="1"/>
    <s v="0"/>
    <s v="1"/>
    <s v="1"/>
    <s v="1"/>
    <m/>
    <m/>
    <m/>
    <m/>
    <m/>
    <m/>
    <m/>
    <m/>
    <m/>
    <m/>
    <m/>
    <m/>
    <m/>
    <m/>
  </r>
  <r>
    <n v="742"/>
    <d v="2025-03-17T00:00:00"/>
    <x v="1"/>
    <n v="9518607093"/>
    <n v="8"/>
    <s v="9518607093-8"/>
    <s v="May'25"/>
    <x v="0"/>
    <m/>
    <x v="1"/>
    <x v="7"/>
    <x v="2"/>
    <m/>
    <x v="1"/>
    <m/>
    <s v="Exp BTF &lt;17MT"/>
    <s v="Uttar Pradesh"/>
    <s v="North"/>
    <s v="PILKHUWA"/>
    <x v="0"/>
    <x v="24"/>
    <x v="23"/>
    <x v="93"/>
    <s v="CRCA COIL TSBSTA EL06 0.500X1160"/>
    <s v=" "/>
    <s v=""/>
    <n v="8"/>
    <n v="13"/>
    <s v="Narrow"/>
    <x v="1"/>
    <x v="9"/>
    <s v="EL06"/>
    <x v="1"/>
    <x v="13"/>
    <x v="0"/>
    <n v="297"/>
    <n v="270.15499999999997"/>
    <n v="26.844999999999999"/>
    <n v="-0.435"/>
    <n v="0"/>
    <n v="26.844999999999999"/>
    <n v="0"/>
    <n v="0"/>
    <n v="0"/>
    <n v="0"/>
    <n v="0"/>
    <n v="0"/>
    <n v="0"/>
    <n v="0"/>
    <n v="0"/>
    <n v="0"/>
    <n v="0"/>
    <n v="0"/>
    <n v="26.5"/>
    <n v="0"/>
    <n v="0"/>
    <n v="0"/>
    <n v="0"/>
    <n v="0"/>
    <n v="0"/>
    <n v="26.5"/>
    <n v="26.5"/>
    <n v="0"/>
    <n v="26.5"/>
    <n v="0"/>
    <n v="0"/>
    <n v="26.844999999999999"/>
    <n v="0"/>
    <n v="26.844999999999999"/>
    <n v="0"/>
    <n v="0"/>
    <n v="0"/>
    <n v="26.844999999999999"/>
    <n v="0"/>
    <n v="26.844999999999999"/>
    <n v="0"/>
    <n v="0"/>
    <n v="0"/>
    <n v="0"/>
    <n v="0"/>
    <n v="0"/>
    <n v="0"/>
    <n v="0"/>
    <n v="0"/>
    <n v="0"/>
    <n v="0"/>
    <m/>
    <m/>
    <m/>
    <m/>
    <m/>
    <m/>
    <m/>
    <m/>
    <s v="1"/>
    <s v="0"/>
    <s v="1"/>
    <s v="1"/>
    <s v="1"/>
    <m/>
    <m/>
    <m/>
    <m/>
    <m/>
    <m/>
    <m/>
    <m/>
    <m/>
    <m/>
    <m/>
    <m/>
    <m/>
    <m/>
  </r>
  <r>
    <n v="742"/>
    <d v="2025-03-17T00:00:00"/>
    <x v="1"/>
    <n v="9518607093"/>
    <n v="9"/>
    <s v="9518607093-9"/>
    <s v="May'25"/>
    <x v="0"/>
    <m/>
    <x v="1"/>
    <x v="7"/>
    <x v="2"/>
    <m/>
    <x v="1"/>
    <m/>
    <s v="Exp BTF &lt;17MT"/>
    <s v="Uttar Pradesh"/>
    <s v="North"/>
    <s v="PILKHUWA"/>
    <x v="0"/>
    <x v="24"/>
    <x v="23"/>
    <x v="93"/>
    <s v="CRCA COIL TSBSTA EL06 0.500X1160"/>
    <s v=" "/>
    <s v=""/>
    <n v="8"/>
    <n v="13"/>
    <s v="Narrow"/>
    <x v="1"/>
    <x v="9"/>
    <s v="EL06"/>
    <x v="1"/>
    <x v="13"/>
    <x v="0"/>
    <n v="297"/>
    <n v="231.64"/>
    <n v="65.36"/>
    <n v="12.22"/>
    <n v="38.76"/>
    <n v="40.630000000000003"/>
    <n v="0"/>
    <n v="0"/>
    <n v="0"/>
    <n v="0"/>
    <n v="0"/>
    <n v="0"/>
    <n v="0"/>
    <n v="0"/>
    <n v="0"/>
    <n v="0"/>
    <n v="0"/>
    <n v="0"/>
    <n v="26.6"/>
    <n v="0"/>
    <n v="0"/>
    <n v="0"/>
    <n v="0"/>
    <n v="0"/>
    <n v="0"/>
    <n v="26.6"/>
    <n v="26.6"/>
    <n v="0"/>
    <n v="26.6"/>
    <n v="0"/>
    <n v="36.344999999999999"/>
    <n v="40.630000000000003"/>
    <n v="0"/>
    <n v="40.630000000000003"/>
    <n v="0"/>
    <n v="0"/>
    <n v="0"/>
    <n v="76.974999999999994"/>
    <n v="0"/>
    <n v="0"/>
    <n v="76.974999999999994"/>
    <n v="0"/>
    <n v="0"/>
    <n v="0"/>
    <n v="0"/>
    <n v="0"/>
    <n v="0"/>
    <n v="0"/>
    <n v="0"/>
    <n v="0"/>
    <n v="0"/>
    <m/>
    <m/>
    <m/>
    <m/>
    <m/>
    <m/>
    <m/>
    <m/>
    <s v="1"/>
    <s v="0"/>
    <s v="1"/>
    <s v="1"/>
    <s v="1"/>
    <m/>
    <m/>
    <m/>
    <m/>
    <m/>
    <m/>
    <m/>
    <m/>
    <m/>
    <m/>
    <m/>
    <m/>
    <m/>
    <m/>
  </r>
  <r>
    <n v="742"/>
    <d v="2025-03-17T00:00:00"/>
    <x v="1"/>
    <n v="9518607093"/>
    <n v="10"/>
    <s v="9518607093-10"/>
    <s v="May'25"/>
    <x v="0"/>
    <m/>
    <x v="1"/>
    <x v="7"/>
    <x v="2"/>
    <m/>
    <x v="1"/>
    <m/>
    <s v="Exp BTF &lt;17MT"/>
    <s v="Uttar Pradesh"/>
    <s v="North"/>
    <s v="PILKHUWA"/>
    <x v="0"/>
    <x v="24"/>
    <x v="23"/>
    <x v="93"/>
    <s v="CRCA COIL TSBSTA EL06 0.500X1160"/>
    <s v=" "/>
    <s v=""/>
    <n v="8"/>
    <n v="13"/>
    <s v="Narrow"/>
    <x v="1"/>
    <x v="9"/>
    <s v="EL06"/>
    <x v="1"/>
    <x v="13"/>
    <x v="0"/>
    <n v="297"/>
    <n v="209.22499999999999"/>
    <n v="87.775000000000006"/>
    <n v="9.6449999999999996"/>
    <n v="8.1150000000000091"/>
    <n v="75.405000000000001"/>
    <n v="0"/>
    <n v="0"/>
    <n v="0"/>
    <n v="0"/>
    <n v="0"/>
    <n v="0"/>
    <n v="0"/>
    <n v="0"/>
    <n v="0"/>
    <n v="0"/>
    <n v="0"/>
    <n v="0"/>
    <n v="79.66"/>
    <n v="0"/>
    <n v="0"/>
    <n v="0"/>
    <n v="0"/>
    <n v="0"/>
    <n v="0"/>
    <n v="79.66"/>
    <n v="79.66"/>
    <n v="0"/>
    <n v="79.66"/>
    <n v="0"/>
    <n v="36.564999999999998"/>
    <n v="75.405000000000001"/>
    <n v="0"/>
    <n v="75.405000000000001"/>
    <n v="0"/>
    <n v="0"/>
    <n v="0"/>
    <n v="111.97"/>
    <n v="0"/>
    <n v="0"/>
    <n v="111.97"/>
    <n v="0"/>
    <n v="0"/>
    <n v="0"/>
    <n v="0"/>
    <n v="0"/>
    <n v="0"/>
    <n v="0"/>
    <n v="0"/>
    <n v="0"/>
    <n v="0"/>
    <m/>
    <m/>
    <m/>
    <m/>
    <m/>
    <m/>
    <m/>
    <m/>
    <s v="1"/>
    <s v="0"/>
    <s v="1"/>
    <s v="1"/>
    <s v="1"/>
    <m/>
    <m/>
    <m/>
    <m/>
    <m/>
    <m/>
    <m/>
    <m/>
    <m/>
    <m/>
    <m/>
    <m/>
    <m/>
    <m/>
  </r>
  <r>
    <n v="742"/>
    <d v="2025-03-04T00:00:00"/>
    <x v="1"/>
    <n v="4000500393"/>
    <n v="1"/>
    <s v="4000500393-1"/>
    <s v="Stocks"/>
    <x v="0"/>
    <m/>
    <x v="0"/>
    <x v="6"/>
    <x v="0"/>
    <m/>
    <x v="1"/>
    <m/>
    <m/>
    <s v="Karnataka"/>
    <s v="South"/>
    <s v="YESHWANTHPURA"/>
    <x v="0"/>
    <x v="21"/>
    <x v="21"/>
    <x v="106"/>
    <s v="HR COILS-PO IS 1079 HR2 2.01X1250"/>
    <s v=" "/>
    <s v=""/>
    <n v="17"/>
    <n v="25"/>
    <s v="Wider"/>
    <x v="0"/>
    <x v="0"/>
    <s v="HR99"/>
    <x v="36"/>
    <x v="0"/>
    <x v="0"/>
    <n v="75"/>
    <n v="22.79"/>
    <n v="52.21"/>
    <n v="52.21"/>
    <n v="0"/>
    <n v="8.39"/>
    <n v="0"/>
    <n v="0"/>
    <n v="21.99"/>
    <n v="0"/>
    <n v="0"/>
    <n v="0"/>
    <n v="0"/>
    <n v="0"/>
    <n v="0"/>
    <n v="0"/>
    <n v="0"/>
    <n v="0"/>
    <n v="0"/>
    <n v="0"/>
    <n v="0"/>
    <n v="0"/>
    <n v="0"/>
    <n v="0"/>
    <n v="0"/>
    <n v="21.99"/>
    <n v="21.99"/>
    <n v="52"/>
    <n v="73.989999999999995"/>
    <n v="0"/>
    <n v="21.85"/>
    <n v="0"/>
    <n v="0"/>
    <n v="0"/>
    <n v="0"/>
    <n v="0"/>
    <n v="0"/>
    <n v="21.85"/>
    <n v="21.85"/>
    <n v="0"/>
    <n v="0"/>
    <n v="0"/>
    <n v="0"/>
    <n v="0"/>
    <n v="0"/>
    <n v="0"/>
    <n v="0"/>
    <n v="0"/>
    <n v="0"/>
    <n v="0"/>
    <n v="0"/>
    <m/>
    <m/>
    <m/>
    <m/>
    <m/>
    <m/>
    <m/>
    <m/>
    <s v="1"/>
    <s v="1"/>
    <s v="1"/>
    <s v="1"/>
    <s v="1"/>
    <m/>
    <m/>
    <m/>
    <m/>
    <m/>
    <m/>
    <m/>
    <m/>
    <m/>
    <m/>
    <m/>
    <m/>
    <m/>
    <m/>
  </r>
  <r>
    <n v="742"/>
    <d v="2025-02-10T00:00:00"/>
    <x v="0"/>
    <n v="9518507185"/>
    <n v="9"/>
    <s v="9518507185-9"/>
    <s v="No Priority"/>
    <x v="0"/>
    <m/>
    <x v="1"/>
    <x v="2"/>
    <x v="0"/>
    <m/>
    <x v="0"/>
    <m/>
    <m/>
    <s v="Jharkhand"/>
    <s v="East"/>
    <s v="WEST BOKARO"/>
    <x v="1"/>
    <x v="12"/>
    <x v="12"/>
    <x v="30"/>
    <s v="CRCA SHEET TSBCRC SR15 0.500X1250X2030"/>
    <s v=" "/>
    <s v=""/>
    <n v="2.8"/>
    <n v="3.2"/>
    <s v="Wider"/>
    <x v="2"/>
    <x v="4"/>
    <s v="SR15"/>
    <x v="1"/>
    <x v="0"/>
    <x v="1"/>
    <n v="30"/>
    <n v="0"/>
    <n v="30"/>
    <n v="2.62"/>
    <n v="0"/>
    <n v="6.8250000000000002"/>
    <n v="0"/>
    <n v="0"/>
    <n v="0"/>
    <n v="0"/>
    <n v="0"/>
    <n v="0"/>
    <n v="0"/>
    <n v="0"/>
    <n v="0.24"/>
    <n v="0"/>
    <n v="0"/>
    <n v="0"/>
    <n v="0"/>
    <n v="0"/>
    <n v="0"/>
    <n v="0"/>
    <n v="0"/>
    <n v="0"/>
    <n v="0"/>
    <n v="0.24"/>
    <n v="0.24"/>
    <n v="0"/>
    <n v="0.24"/>
    <n v="0"/>
    <n v="0"/>
    <n v="0"/>
    <n v="0"/>
    <n v="0"/>
    <n v="0"/>
    <n v="0"/>
    <n v="0"/>
    <n v="0"/>
    <n v="0"/>
    <n v="0"/>
    <n v="0"/>
    <n v="0"/>
    <n v="0"/>
    <n v="0"/>
    <n v="0"/>
    <n v="0"/>
    <n v="0"/>
    <n v="0"/>
    <n v="0"/>
    <n v="0"/>
    <n v="0"/>
    <m/>
    <m/>
    <m/>
    <m/>
    <m/>
    <m/>
    <m/>
    <m/>
    <s v="1"/>
    <s v="1"/>
    <s v="1"/>
    <s v="1"/>
    <s v="1"/>
    <m/>
    <m/>
    <m/>
    <m/>
    <m/>
    <m/>
    <m/>
    <m/>
    <m/>
    <m/>
    <m/>
    <m/>
    <m/>
    <m/>
  </r>
  <r>
    <n v="742"/>
    <d v="2025-03-11T00:00:00"/>
    <x v="0"/>
    <n v="9518591774"/>
    <n v="16"/>
    <s v="9518591774-16"/>
    <s v="May'25"/>
    <x v="0"/>
    <m/>
    <x v="1"/>
    <x v="1"/>
    <x v="0"/>
    <m/>
    <x v="1"/>
    <m/>
    <s v="Exp BTF &lt;17MT"/>
    <s v="Delhi"/>
    <s v="North"/>
    <s v="ZOSOLA"/>
    <x v="0"/>
    <x v="56"/>
    <x v="52"/>
    <x v="107"/>
    <s v="CRCA COIL TATXXD AU03 1.400X1250"/>
    <s v=" "/>
    <s v=""/>
    <n v="10"/>
    <n v="30"/>
    <s v="Wider"/>
    <x v="1"/>
    <x v="2"/>
    <s v="AU03"/>
    <x v="37"/>
    <x v="0"/>
    <x v="0"/>
    <n v="29"/>
    <n v="0"/>
    <n v="29"/>
    <n v="7.08"/>
    <n v="8.11"/>
    <n v="29"/>
    <n v="0"/>
    <n v="0"/>
    <n v="0"/>
    <n v="0"/>
    <n v="0"/>
    <n v="0"/>
    <n v="0"/>
    <n v="0"/>
    <n v="0"/>
    <n v="0"/>
    <n v="0"/>
    <n v="0"/>
    <n v="0"/>
    <n v="20.89"/>
    <n v="0"/>
    <n v="0"/>
    <n v="0"/>
    <n v="0"/>
    <n v="0"/>
    <n v="20.89"/>
    <n v="20.89"/>
    <n v="0"/>
    <n v="20.89"/>
    <n v="0"/>
    <n v="0"/>
    <n v="29"/>
    <n v="29"/>
    <n v="0"/>
    <n v="0"/>
    <n v="0"/>
    <n v="0"/>
    <n v="29"/>
    <n v="0"/>
    <n v="29"/>
    <n v="0"/>
    <n v="0"/>
    <n v="0"/>
    <n v="0"/>
    <n v="0"/>
    <n v="0"/>
    <n v="0"/>
    <n v="0"/>
    <n v="0"/>
    <n v="0"/>
    <n v="0"/>
    <m/>
    <m/>
    <m/>
    <m/>
    <m/>
    <m/>
    <m/>
    <m/>
    <s v="0"/>
    <s v="1"/>
    <s v="1"/>
    <s v="1"/>
    <s v="1"/>
    <m/>
    <m/>
    <m/>
    <m/>
    <m/>
    <m/>
    <m/>
    <m/>
    <m/>
    <m/>
    <m/>
    <m/>
    <m/>
    <m/>
  </r>
  <r>
    <n v="743"/>
    <d v="2025-03-17T00:00:00"/>
    <x v="0"/>
    <n v="9518607025"/>
    <n v="2"/>
    <s v="9518607025-2"/>
    <s v="No Priority"/>
    <x v="0"/>
    <m/>
    <x v="3"/>
    <x v="9"/>
    <x v="0"/>
    <m/>
    <x v="0"/>
    <m/>
    <s v="Exp BTF &lt;17MT"/>
    <s v="Jharkhand"/>
    <s v="East"/>
    <s v="BOKARO STEEL CY"/>
    <x v="0"/>
    <x v="10"/>
    <x v="10"/>
    <x v="55"/>
    <s v="GP COIL SOFT-TATXGP-GK09-0.35X900"/>
    <s v="Z80"/>
    <s v=""/>
    <n v="4"/>
    <n v="12"/>
    <s v="Narrow"/>
    <x v="7"/>
    <x v="5"/>
    <s v="GK09"/>
    <x v="6"/>
    <x v="3"/>
    <x v="0"/>
    <n v="105"/>
    <n v="92.64"/>
    <n v="12.36"/>
    <n v="3.58"/>
    <n v="3.58"/>
    <n v="12.36"/>
    <n v="0"/>
    <n v="0"/>
    <n v="0"/>
    <n v="0"/>
    <n v="0"/>
    <n v="0"/>
    <n v="0"/>
    <n v="8.7799999999999994"/>
    <n v="0"/>
    <n v="0"/>
    <n v="0"/>
    <n v="0"/>
    <n v="0"/>
    <n v="0"/>
    <n v="0"/>
    <n v="0"/>
    <n v="0"/>
    <n v="0"/>
    <n v="0"/>
    <n v="8.7799999999999994"/>
    <n v="8.7799999999999994"/>
    <n v="0"/>
    <n v="8.7799999999999994"/>
    <n v="0"/>
    <n v="0"/>
    <n v="0"/>
    <n v="0"/>
    <n v="0"/>
    <n v="0"/>
    <n v="0"/>
    <n v="0"/>
    <n v="0"/>
    <n v="0"/>
    <n v="0"/>
    <n v="0"/>
    <n v="0"/>
    <n v="0"/>
    <n v="0"/>
    <n v="92.64"/>
    <n v="0"/>
    <n v="0"/>
    <n v="0"/>
    <n v="0"/>
    <n v="0"/>
    <n v="92.64"/>
    <m/>
    <m/>
    <m/>
    <m/>
    <m/>
    <m/>
    <m/>
    <m/>
    <s v="1"/>
    <s v="1"/>
    <s v="1"/>
    <s v="1"/>
    <s v="1"/>
    <m/>
    <m/>
    <m/>
    <m/>
    <m/>
    <m/>
    <m/>
    <m/>
    <m/>
    <m/>
    <m/>
    <m/>
    <m/>
    <m/>
  </r>
  <r>
    <n v="742"/>
    <d v="2025-03-17T00:00:00"/>
    <x v="0"/>
    <n v="9518605539"/>
    <n v="4"/>
    <s v="9518605539-4"/>
    <s v="No Priority"/>
    <x v="0"/>
    <m/>
    <x v="1"/>
    <x v="2"/>
    <x v="0"/>
    <m/>
    <x v="0"/>
    <m/>
    <s v="Exp BTF &lt;17MT"/>
    <s v="West Bengal"/>
    <s v="East"/>
    <s v="HOWRAH"/>
    <x v="1"/>
    <x v="20"/>
    <x v="20"/>
    <x v="108"/>
    <s v="CRCA SHEET TSBCRC SR15 0.500X1000X2000"/>
    <s v=" "/>
    <s v=""/>
    <n v="2"/>
    <n v="3"/>
    <s v="Narrow"/>
    <x v="2"/>
    <x v="4"/>
    <s v="SR15"/>
    <x v="1"/>
    <x v="2"/>
    <x v="10"/>
    <n v="24"/>
    <n v="20.440000000000001"/>
    <n v="3.56"/>
    <n v="3.56"/>
    <n v="3.56"/>
    <n v="3.56"/>
    <n v="0"/>
    <n v="0"/>
    <n v="0"/>
    <n v="0"/>
    <n v="0"/>
    <n v="0"/>
    <n v="0"/>
    <n v="0"/>
    <n v="0"/>
    <n v="0"/>
    <n v="0"/>
    <n v="0"/>
    <n v="0"/>
    <n v="0"/>
    <n v="0"/>
    <n v="0"/>
    <n v="0"/>
    <n v="0"/>
    <n v="0"/>
    <n v="0"/>
    <n v="0"/>
    <n v="0"/>
    <n v="0"/>
    <n v="0"/>
    <n v="0"/>
    <n v="0"/>
    <n v="0"/>
    <n v="0"/>
    <n v="0"/>
    <n v="0"/>
    <n v="0"/>
    <n v="0"/>
    <n v="0"/>
    <n v="0"/>
    <n v="0"/>
    <n v="0"/>
    <n v="0"/>
    <n v="0"/>
    <n v="20.440000000000001"/>
    <n v="0"/>
    <n v="0"/>
    <n v="0"/>
    <n v="0"/>
    <n v="0"/>
    <n v="20.440000000000001"/>
    <m/>
    <m/>
    <m/>
    <m/>
    <m/>
    <m/>
    <m/>
    <m/>
    <s v="1"/>
    <s v="1"/>
    <s v="1"/>
    <s v="1"/>
    <s v="1"/>
    <m/>
    <m/>
    <m/>
    <m/>
    <m/>
    <m/>
    <m/>
    <m/>
    <m/>
    <m/>
    <m/>
    <m/>
    <m/>
    <m/>
  </r>
  <r>
    <n v="742"/>
    <d v="2025-03-17T00:00:00"/>
    <x v="0"/>
    <n v="9518605539"/>
    <n v="5"/>
    <s v="9518605539-5"/>
    <s v="No Priority"/>
    <x v="0"/>
    <m/>
    <x v="1"/>
    <x v="2"/>
    <x v="0"/>
    <m/>
    <x v="0"/>
    <m/>
    <m/>
    <s v="West Bengal"/>
    <s v="East"/>
    <s v="HOWRAH"/>
    <x v="1"/>
    <x v="20"/>
    <x v="20"/>
    <x v="54"/>
    <s v="CRCA SHEET TSBCRC SR15 0.500X1000X2500"/>
    <s v=" "/>
    <s v=""/>
    <n v="2"/>
    <n v="3"/>
    <s v="Narrow"/>
    <x v="2"/>
    <x v="4"/>
    <s v="SR15"/>
    <x v="1"/>
    <x v="2"/>
    <x v="3"/>
    <n v="36"/>
    <n v="20.100000000000001"/>
    <n v="15.9"/>
    <n v="-7.23"/>
    <n v="0"/>
    <n v="15.9"/>
    <n v="0"/>
    <n v="0"/>
    <n v="0"/>
    <n v="0"/>
    <n v="0"/>
    <n v="0"/>
    <n v="0"/>
    <n v="0"/>
    <n v="0"/>
    <n v="0"/>
    <n v="0"/>
    <n v="0"/>
    <n v="0"/>
    <n v="22.21"/>
    <n v="0"/>
    <n v="0"/>
    <n v="0"/>
    <n v="0"/>
    <n v="0"/>
    <n v="22.21"/>
    <n v="22.21"/>
    <n v="0"/>
    <n v="22.21"/>
    <n v="0"/>
    <n v="0"/>
    <n v="0"/>
    <n v="0"/>
    <n v="0"/>
    <n v="0"/>
    <n v="0"/>
    <n v="0"/>
    <n v="0"/>
    <n v="0"/>
    <n v="0"/>
    <n v="0"/>
    <n v="0"/>
    <n v="0"/>
    <n v="0"/>
    <n v="20.100000000000001"/>
    <n v="0"/>
    <n v="0"/>
    <n v="0"/>
    <n v="0"/>
    <n v="0"/>
    <n v="20.100000000000001"/>
    <m/>
    <m/>
    <m/>
    <m/>
    <m/>
    <m/>
    <m/>
    <m/>
    <s v="1"/>
    <s v="1"/>
    <s v="1"/>
    <s v="1"/>
    <s v="1"/>
    <m/>
    <m/>
    <m/>
    <m/>
    <m/>
    <m/>
    <m/>
    <m/>
    <m/>
    <m/>
    <m/>
    <m/>
    <m/>
    <m/>
  </r>
  <r>
    <n v="742"/>
    <d v="2025-03-17T00:00:00"/>
    <x v="0"/>
    <n v="9518605539"/>
    <n v="6"/>
    <s v="9518605539-6"/>
    <s v="No Priority"/>
    <x v="0"/>
    <m/>
    <x v="1"/>
    <x v="2"/>
    <x v="0"/>
    <m/>
    <x v="0"/>
    <m/>
    <s v="Exp BTF &lt;17MT"/>
    <s v="West Bengal"/>
    <s v="East"/>
    <s v="HOWRAH"/>
    <x v="1"/>
    <x v="20"/>
    <x v="20"/>
    <x v="109"/>
    <s v="CRCA SHEET TSBCRC SR15 0.600X1000X2000"/>
    <s v=" "/>
    <s v=""/>
    <n v="2"/>
    <n v="3"/>
    <s v="Narrow"/>
    <x v="2"/>
    <x v="4"/>
    <s v="SR15"/>
    <x v="20"/>
    <x v="2"/>
    <x v="10"/>
    <n v="24"/>
    <n v="20.29"/>
    <n v="3.71"/>
    <n v="3.71"/>
    <n v="3.71"/>
    <n v="3.71"/>
    <n v="0"/>
    <n v="0"/>
    <n v="0"/>
    <n v="0"/>
    <n v="0"/>
    <n v="0"/>
    <n v="0"/>
    <n v="0"/>
    <n v="0"/>
    <n v="0"/>
    <n v="0"/>
    <n v="0"/>
    <n v="0"/>
    <n v="0"/>
    <n v="0"/>
    <n v="0"/>
    <n v="0"/>
    <n v="0"/>
    <n v="0"/>
    <n v="0"/>
    <n v="0"/>
    <n v="0"/>
    <n v="0"/>
    <n v="0"/>
    <n v="0"/>
    <n v="0"/>
    <n v="0"/>
    <n v="0"/>
    <n v="0"/>
    <n v="0"/>
    <n v="0"/>
    <n v="0"/>
    <n v="0"/>
    <n v="0"/>
    <n v="0"/>
    <n v="0"/>
    <n v="0"/>
    <n v="0"/>
    <n v="20.29"/>
    <n v="0"/>
    <n v="0"/>
    <n v="0"/>
    <n v="0"/>
    <n v="0"/>
    <n v="20.29"/>
    <m/>
    <m/>
    <m/>
    <m/>
    <m/>
    <m/>
    <m/>
    <m/>
    <s v="1"/>
    <s v="1"/>
    <s v="1"/>
    <s v="1"/>
    <s v="1"/>
    <m/>
    <m/>
    <m/>
    <m/>
    <m/>
    <m/>
    <m/>
    <m/>
    <m/>
    <m/>
    <m/>
    <m/>
    <m/>
    <m/>
  </r>
  <r>
    <n v="742"/>
    <d v="2025-03-16T00:00:00"/>
    <x v="0"/>
    <n v="9518604323"/>
    <n v="6"/>
    <s v="9518604323-6"/>
    <s v="May'25"/>
    <x v="0"/>
    <m/>
    <x v="1"/>
    <x v="2"/>
    <x v="1"/>
    <m/>
    <x v="1"/>
    <m/>
    <s v="Exp BTF &lt;17MT"/>
    <s v="Orissa"/>
    <s v="East"/>
    <s v="TANGI"/>
    <x v="1"/>
    <x v="19"/>
    <x v="25"/>
    <x v="54"/>
    <s v="CRCA SHEET TSBCRC SR15 0.500X1000X2500"/>
    <s v=" "/>
    <s v=""/>
    <n v="0.1"/>
    <n v="5"/>
    <s v="Narrow"/>
    <x v="2"/>
    <x v="4"/>
    <s v="SR15"/>
    <x v="1"/>
    <x v="2"/>
    <x v="3"/>
    <n v="30"/>
    <n v="0"/>
    <n v="30"/>
    <n v="6.87"/>
    <n v="7.9699999999999989"/>
    <n v="30"/>
    <n v="0"/>
    <n v="0"/>
    <n v="0"/>
    <n v="0"/>
    <n v="0"/>
    <n v="0"/>
    <n v="0"/>
    <n v="0"/>
    <n v="0"/>
    <n v="0"/>
    <n v="0"/>
    <n v="0"/>
    <n v="0"/>
    <n v="22.03"/>
    <n v="0"/>
    <n v="0"/>
    <n v="0"/>
    <n v="0"/>
    <n v="0"/>
    <n v="22.03"/>
    <n v="22.03"/>
    <n v="0"/>
    <n v="22.03"/>
    <n v="0"/>
    <n v="0"/>
    <n v="30"/>
    <n v="0"/>
    <n v="30"/>
    <n v="0"/>
    <n v="0"/>
    <n v="0"/>
    <n v="30"/>
    <n v="0"/>
    <n v="30"/>
    <n v="0"/>
    <n v="0"/>
    <n v="0"/>
    <n v="0"/>
    <n v="0"/>
    <n v="0"/>
    <n v="0"/>
    <n v="0"/>
    <n v="0"/>
    <n v="0"/>
    <n v="0"/>
    <m/>
    <m/>
    <m/>
    <m/>
    <m/>
    <m/>
    <m/>
    <m/>
    <s v="1"/>
    <s v="0"/>
    <s v="1"/>
    <s v="1"/>
    <s v="1"/>
    <m/>
    <m/>
    <m/>
    <m/>
    <m/>
    <m/>
    <m/>
    <m/>
    <m/>
    <m/>
    <m/>
    <m/>
    <m/>
    <m/>
  </r>
  <r>
    <n v="742"/>
    <d v="2025-03-16T00:00:00"/>
    <x v="0"/>
    <n v="9518604323"/>
    <n v="8"/>
    <s v="9518604323-8"/>
    <s v="No Priority"/>
    <x v="0"/>
    <m/>
    <x v="1"/>
    <x v="2"/>
    <x v="1"/>
    <m/>
    <x v="0"/>
    <m/>
    <m/>
    <s v="Orissa"/>
    <s v="East"/>
    <s v="TANGI"/>
    <x v="1"/>
    <x v="19"/>
    <x v="25"/>
    <x v="110"/>
    <s v="CRCA SHEET TSBCRC SR15 0.600X1000X2500"/>
    <s v=" "/>
    <s v=""/>
    <n v="0.1"/>
    <n v="5"/>
    <s v="Narrow"/>
    <x v="2"/>
    <x v="4"/>
    <s v="SR15"/>
    <x v="20"/>
    <x v="2"/>
    <x v="3"/>
    <n v="30"/>
    <n v="20.414999999999999"/>
    <n v="9.5850000000000009"/>
    <n v="9.5850000000000009"/>
    <n v="9.5850000000000009"/>
    <n v="9.5850000000000009"/>
    <n v="0"/>
    <n v="0"/>
    <n v="0"/>
    <n v="0"/>
    <n v="0"/>
    <n v="0"/>
    <n v="0"/>
    <n v="0"/>
    <n v="0"/>
    <n v="0"/>
    <n v="0"/>
    <n v="0"/>
    <n v="0"/>
    <n v="0"/>
    <n v="0"/>
    <n v="0"/>
    <n v="0"/>
    <n v="0"/>
    <n v="0"/>
    <n v="0"/>
    <n v="0"/>
    <n v="0"/>
    <n v="0"/>
    <n v="0"/>
    <n v="0"/>
    <n v="0"/>
    <n v="0"/>
    <n v="0"/>
    <n v="0"/>
    <n v="0"/>
    <n v="0"/>
    <n v="0"/>
    <n v="0"/>
    <n v="0"/>
    <n v="0"/>
    <n v="0"/>
    <n v="0"/>
    <n v="0"/>
    <n v="20.414999999999999"/>
    <n v="0"/>
    <n v="0"/>
    <n v="0"/>
    <n v="0"/>
    <n v="0"/>
    <n v="20.414999999999999"/>
    <m/>
    <m/>
    <m/>
    <m/>
    <m/>
    <m/>
    <m/>
    <m/>
    <s v="1"/>
    <s v="1"/>
    <s v="1"/>
    <s v="1"/>
    <s v="1"/>
    <m/>
    <m/>
    <m/>
    <m/>
    <m/>
    <m/>
    <m/>
    <m/>
    <m/>
    <m/>
    <m/>
    <m/>
    <m/>
    <m/>
  </r>
  <r>
    <n v="742"/>
    <d v="2025-03-16T00:00:00"/>
    <x v="0"/>
    <n v="9518604323"/>
    <n v="10"/>
    <s v="9518604323-10"/>
    <s v="No Priority"/>
    <x v="0"/>
    <m/>
    <x v="1"/>
    <x v="2"/>
    <x v="1"/>
    <m/>
    <x v="0"/>
    <m/>
    <s v="Exp BTF &lt;17MT"/>
    <s v="Orissa"/>
    <s v="East"/>
    <s v="TANGI"/>
    <x v="1"/>
    <x v="19"/>
    <x v="25"/>
    <x v="38"/>
    <s v="CRCA SHEET TSBCRC SR15 0.700X1000X2500"/>
    <s v=" "/>
    <s v=""/>
    <n v="0.1"/>
    <n v="5"/>
    <s v="Narrow"/>
    <x v="2"/>
    <x v="4"/>
    <s v="SR15"/>
    <x v="4"/>
    <x v="2"/>
    <x v="3"/>
    <n v="30"/>
    <n v="20.934999999999999"/>
    <n v="9.0649999999999995"/>
    <n v="9.0649999999999995"/>
    <n v="9.0649999999999995"/>
    <n v="9.0649999999999995"/>
    <n v="0"/>
    <n v="0"/>
    <n v="0"/>
    <n v="0"/>
    <n v="0"/>
    <n v="0"/>
    <n v="0"/>
    <n v="0"/>
    <n v="0"/>
    <n v="0"/>
    <n v="0"/>
    <n v="0"/>
    <n v="0"/>
    <n v="0"/>
    <n v="0"/>
    <n v="0"/>
    <n v="0"/>
    <n v="0"/>
    <n v="0"/>
    <n v="0"/>
    <n v="0"/>
    <n v="0"/>
    <n v="0"/>
    <n v="0"/>
    <n v="0"/>
    <n v="0"/>
    <n v="0"/>
    <n v="0"/>
    <n v="0"/>
    <n v="0"/>
    <n v="0"/>
    <n v="0"/>
    <n v="0"/>
    <n v="0"/>
    <n v="0"/>
    <n v="0"/>
    <n v="0"/>
    <n v="0"/>
    <n v="20.934999999999999"/>
    <n v="0"/>
    <n v="0"/>
    <n v="0"/>
    <n v="0"/>
    <n v="0"/>
    <n v="20.934999999999999"/>
    <m/>
    <m/>
    <m/>
    <m/>
    <m/>
    <m/>
    <m/>
    <m/>
    <s v="1"/>
    <s v="1"/>
    <s v="1"/>
    <s v="1"/>
    <s v="1"/>
    <m/>
    <m/>
    <m/>
    <m/>
    <m/>
    <m/>
    <m/>
    <m/>
    <m/>
    <m/>
    <m/>
    <m/>
    <m/>
    <m/>
  </r>
  <r>
    <n v="742"/>
    <d v="2025-03-16T00:00:00"/>
    <x v="0"/>
    <n v="9518604323"/>
    <n v="13"/>
    <s v="9518604323-13"/>
    <s v="No Priority"/>
    <x v="0"/>
    <m/>
    <x v="1"/>
    <x v="2"/>
    <x v="1"/>
    <m/>
    <x v="0"/>
    <m/>
    <m/>
    <s v="Orissa"/>
    <s v="East"/>
    <s v="TANGI"/>
    <x v="1"/>
    <x v="19"/>
    <x v="25"/>
    <x v="111"/>
    <s v="CRCA SHEET TSBCRC SR15 0.800X1250X2500"/>
    <s v=" "/>
    <s v=""/>
    <n v="0.1"/>
    <n v="5"/>
    <s v="Wider"/>
    <x v="2"/>
    <x v="4"/>
    <s v="SR15"/>
    <x v="5"/>
    <x v="0"/>
    <x v="3"/>
    <n v="24"/>
    <n v="0"/>
    <n v="24"/>
    <n v="-2.77"/>
    <n v="0"/>
    <n v="1.81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6T00:00:00"/>
    <x v="0"/>
    <n v="9518604323"/>
    <n v="14"/>
    <s v="9518604323-14"/>
    <s v="Stocks"/>
    <x v="0"/>
    <m/>
    <x v="1"/>
    <x v="2"/>
    <x v="1"/>
    <m/>
    <x v="1"/>
    <m/>
    <s v="Exp BTF &lt;17MT"/>
    <s v="Orissa"/>
    <s v="East"/>
    <s v="TANGI"/>
    <x v="1"/>
    <x v="19"/>
    <x v="25"/>
    <x v="112"/>
    <s v="CRCA SHEET TSBCRC SR15 0.900X1000X2500"/>
    <s v=" "/>
    <s v=""/>
    <n v="0.1"/>
    <n v="5"/>
    <s v="Narrow"/>
    <x v="2"/>
    <x v="4"/>
    <s v="SR15"/>
    <x v="13"/>
    <x v="2"/>
    <x v="3"/>
    <n v="24"/>
    <n v="20.335000000000001"/>
    <n v="3.665"/>
    <n v="3.665"/>
    <n v="3.665"/>
    <n v="-1.9350000000000001"/>
    <n v="0"/>
    <n v="0"/>
    <n v="0"/>
    <n v="0"/>
    <n v="0"/>
    <n v="0"/>
    <n v="0"/>
    <n v="0"/>
    <n v="0"/>
    <n v="0"/>
    <n v="0"/>
    <n v="0"/>
    <n v="0"/>
    <n v="0"/>
    <n v="0"/>
    <n v="0"/>
    <n v="0"/>
    <n v="0"/>
    <n v="0"/>
    <n v="0"/>
    <n v="0"/>
    <n v="0"/>
    <n v="0"/>
    <n v="0"/>
    <n v="2.61"/>
    <n v="0"/>
    <n v="0"/>
    <n v="0"/>
    <n v="0"/>
    <n v="0"/>
    <n v="0"/>
    <n v="2.61"/>
    <n v="2.61"/>
    <n v="0"/>
    <n v="0"/>
    <n v="0"/>
    <n v="0"/>
    <n v="0"/>
    <n v="20.335000000000001"/>
    <n v="0"/>
    <n v="0"/>
    <n v="0"/>
    <n v="0"/>
    <n v="0"/>
    <n v="20.335000000000001"/>
    <m/>
    <m/>
    <m/>
    <m/>
    <m/>
    <m/>
    <m/>
    <m/>
    <s v="1"/>
    <s v="1"/>
    <s v="1"/>
    <s v="1"/>
    <s v="1"/>
    <m/>
    <m/>
    <m/>
    <m/>
    <m/>
    <m/>
    <m/>
    <m/>
    <m/>
    <m/>
    <m/>
    <m/>
    <m/>
    <m/>
  </r>
  <r>
    <n v="742"/>
    <d v="2025-03-16T00:00:00"/>
    <x v="0"/>
    <n v="9518604323"/>
    <n v="15"/>
    <s v="9518604323-15"/>
    <s v="No Priority"/>
    <x v="0"/>
    <m/>
    <x v="1"/>
    <x v="2"/>
    <x v="1"/>
    <m/>
    <x v="0"/>
    <m/>
    <m/>
    <s v="Orissa"/>
    <s v="East"/>
    <s v="TANGI"/>
    <x v="1"/>
    <x v="19"/>
    <x v="25"/>
    <x v="32"/>
    <s v="CRCA SHEET TSBCRC SR15 1X1000X2500"/>
    <s v=" "/>
    <s v=""/>
    <n v="0.1"/>
    <n v="5"/>
    <s v="Narrow"/>
    <x v="2"/>
    <x v="4"/>
    <s v="SR15"/>
    <x v="17"/>
    <x v="2"/>
    <x v="3"/>
    <n v="24"/>
    <n v="20.53"/>
    <n v="3.47"/>
    <n v="3.47"/>
    <n v="3.47"/>
    <n v="3.47"/>
    <n v="0"/>
    <n v="0"/>
    <n v="0"/>
    <n v="0"/>
    <n v="0"/>
    <n v="0"/>
    <n v="0"/>
    <n v="0"/>
    <n v="0"/>
    <n v="0"/>
    <n v="0"/>
    <n v="0"/>
    <n v="0"/>
    <n v="0"/>
    <n v="0"/>
    <n v="0"/>
    <n v="0"/>
    <n v="0"/>
    <n v="0"/>
    <n v="0"/>
    <n v="0"/>
    <n v="0"/>
    <n v="0"/>
    <n v="0"/>
    <n v="0"/>
    <n v="0"/>
    <n v="0"/>
    <n v="0"/>
    <n v="0"/>
    <n v="0"/>
    <n v="0"/>
    <n v="0"/>
    <n v="0"/>
    <n v="0"/>
    <n v="0"/>
    <n v="0"/>
    <n v="0"/>
    <n v="0"/>
    <n v="20.53"/>
    <n v="0"/>
    <n v="0"/>
    <n v="0"/>
    <n v="0"/>
    <n v="0"/>
    <n v="20.53"/>
    <m/>
    <m/>
    <m/>
    <m/>
    <m/>
    <m/>
    <m/>
    <m/>
    <s v="1"/>
    <s v="1"/>
    <s v="1"/>
    <s v="1"/>
    <s v="1"/>
    <m/>
    <m/>
    <m/>
    <m/>
    <m/>
    <m/>
    <m/>
    <m/>
    <m/>
    <m/>
    <m/>
    <m/>
    <m/>
    <m/>
  </r>
  <r>
    <n v="742"/>
    <d v="2025-03-11T00:00:00"/>
    <x v="0"/>
    <n v="9518591774"/>
    <n v="6"/>
    <s v="9518591774-6"/>
    <s v="May'25"/>
    <x v="0"/>
    <m/>
    <x v="1"/>
    <x v="1"/>
    <x v="0"/>
    <m/>
    <x v="1"/>
    <m/>
    <m/>
    <s v="Delhi"/>
    <s v="North"/>
    <s v="ZOSOLA"/>
    <x v="0"/>
    <x v="56"/>
    <x v="52"/>
    <x v="113"/>
    <s v="CRCA COIL-TATXXD-AU03-0.6X1250"/>
    <s v=" "/>
    <s v=""/>
    <n v="10"/>
    <n v="30"/>
    <s v="Wider"/>
    <x v="1"/>
    <x v="2"/>
    <s v="AU03"/>
    <x v="20"/>
    <x v="0"/>
    <x v="0"/>
    <n v="58"/>
    <n v="38.869999999999997"/>
    <n v="19.13"/>
    <n v="-5.37"/>
    <n v="0"/>
    <n v="19.13"/>
    <n v="0"/>
    <n v="0"/>
    <n v="0"/>
    <n v="0"/>
    <n v="0"/>
    <n v="0"/>
    <n v="0"/>
    <n v="0"/>
    <n v="0"/>
    <n v="0"/>
    <n v="0"/>
    <n v="0"/>
    <n v="0"/>
    <n v="23.35"/>
    <n v="0"/>
    <n v="0"/>
    <n v="0"/>
    <n v="0"/>
    <n v="0"/>
    <n v="23.35"/>
    <n v="23.35"/>
    <n v="0"/>
    <n v="23.35"/>
    <n v="0"/>
    <n v="0"/>
    <n v="19.13"/>
    <n v="19.13"/>
    <n v="0"/>
    <n v="0"/>
    <n v="0"/>
    <n v="0"/>
    <n v="19.13"/>
    <n v="0"/>
    <n v="19.13"/>
    <n v="0"/>
    <n v="0"/>
    <n v="0"/>
    <n v="0"/>
    <n v="26"/>
    <n v="19.13"/>
    <n v="0"/>
    <n v="0"/>
    <n v="0"/>
    <n v="0"/>
    <n v="6.870000000000001"/>
    <m/>
    <m/>
    <m/>
    <m/>
    <m/>
    <m/>
    <m/>
    <m/>
    <s v="1"/>
    <s v="1"/>
    <s v="1"/>
    <s v="1"/>
    <s v="1"/>
    <m/>
    <m/>
    <m/>
    <m/>
    <m/>
    <m/>
    <m/>
    <m/>
    <m/>
    <m/>
    <m/>
    <m/>
    <m/>
    <m/>
  </r>
  <r>
    <n v="742"/>
    <d v="2025-03-11T00:00:00"/>
    <x v="0"/>
    <n v="9518591774"/>
    <n v="12"/>
    <s v="9518591774-12"/>
    <s v="No Priority"/>
    <x v="0"/>
    <m/>
    <x v="1"/>
    <x v="1"/>
    <x v="0"/>
    <m/>
    <x v="0"/>
    <m/>
    <m/>
    <s v="Delhi"/>
    <s v="North"/>
    <s v="ZOSOLA"/>
    <x v="0"/>
    <x v="56"/>
    <x v="52"/>
    <x v="114"/>
    <s v="CRCA COIL-TATXXD-AU03-0.9X1250"/>
    <s v=" "/>
    <s v=""/>
    <n v="10"/>
    <n v="30"/>
    <s v="Wider"/>
    <x v="1"/>
    <x v="2"/>
    <s v="AU03"/>
    <x v="13"/>
    <x v="0"/>
    <x v="0"/>
    <n v="29"/>
    <n v="0"/>
    <n v="29"/>
    <n v="1.6"/>
    <n v="0"/>
    <n v="3.34"/>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4T00:00:00"/>
    <x v="0"/>
    <n v="9518572111"/>
    <n v="2"/>
    <s v="9518572111-2"/>
    <s v="No Priority"/>
    <x v="0"/>
    <m/>
    <x v="1"/>
    <x v="2"/>
    <x v="0"/>
    <m/>
    <x v="0"/>
    <m/>
    <s v="Exp BTF &lt;17MT"/>
    <s v="Jharkhand"/>
    <s v="East"/>
    <s v="TATANAGAR"/>
    <x v="1"/>
    <x v="5"/>
    <x v="5"/>
    <x v="28"/>
    <s v="CRCA SHEET TSBCRC SR15 0.500X1250X2500"/>
    <s v=" "/>
    <s v=""/>
    <n v="2.8"/>
    <n v="3.2"/>
    <s v="Wider"/>
    <x v="2"/>
    <x v="4"/>
    <s v="SR15"/>
    <x v="1"/>
    <x v="0"/>
    <x v="3"/>
    <n v="30"/>
    <n v="26.41"/>
    <n v="3.59"/>
    <n v="3.59"/>
    <n v="3.59"/>
    <n v="3.5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3T00:00:00"/>
    <x v="0"/>
    <n v="9518598795"/>
    <n v="9"/>
    <s v="9518598795-9"/>
    <s v="No Priority"/>
    <x v="0"/>
    <m/>
    <x v="1"/>
    <x v="1"/>
    <x v="0"/>
    <m/>
    <x v="0"/>
    <m/>
    <s v="Exp BTF &lt;17MT"/>
    <s v="Tamil Nadu"/>
    <s v="South"/>
    <s v="GUMMIDIPOONDI"/>
    <x v="0"/>
    <x v="54"/>
    <x v="0"/>
    <x v="107"/>
    <s v="CRCA COIL TATXXD AU03 1.400X1250"/>
    <s v=" "/>
    <s v=""/>
    <n v="5"/>
    <n v="29"/>
    <s v="Wider"/>
    <x v="1"/>
    <x v="2"/>
    <s v="AU03"/>
    <x v="37"/>
    <x v="0"/>
    <x v="0"/>
    <n v="29"/>
    <n v="0"/>
    <n v="29"/>
    <n v="7.4"/>
    <n v="29"/>
    <n v="10.414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3T00:00:00"/>
    <x v="0"/>
    <n v="9518598795"/>
    <n v="3"/>
    <s v="9518598795-3"/>
    <s v="Apr'25 "/>
    <x v="0"/>
    <m/>
    <x v="1"/>
    <x v="1"/>
    <x v="0"/>
    <m/>
    <x v="1"/>
    <m/>
    <m/>
    <s v="Tamil Nadu"/>
    <s v="South"/>
    <s v="GUMMIDIPOONDI"/>
    <x v="0"/>
    <x v="54"/>
    <x v="0"/>
    <x v="115"/>
    <s v="CRCA COIL TATXXD AU03 2.5X1250"/>
    <s v=" "/>
    <s v=""/>
    <n v="5"/>
    <n v="29"/>
    <s v="Wider"/>
    <x v="1"/>
    <x v="2"/>
    <s v="AU03"/>
    <x v="38"/>
    <x v="0"/>
    <x v="0"/>
    <n v="58"/>
    <n v="27.545000000000002"/>
    <n v="30.454999999999998"/>
    <n v="30.454999999999998"/>
    <n v="7.504999999999999"/>
    <n v="30.454999999999998"/>
    <n v="0"/>
    <n v="0"/>
    <n v="0"/>
    <n v="0"/>
    <n v="0"/>
    <n v="0"/>
    <n v="0"/>
    <n v="0"/>
    <n v="0"/>
    <n v="0"/>
    <n v="0"/>
    <n v="0"/>
    <n v="0"/>
    <n v="22.95"/>
    <n v="0"/>
    <n v="0"/>
    <n v="0"/>
    <n v="0"/>
    <n v="0"/>
    <n v="22.95"/>
    <n v="22.95"/>
    <n v="0"/>
    <n v="22.95"/>
    <n v="0"/>
    <n v="0"/>
    <n v="30.454999999999998"/>
    <n v="30.454999999999998"/>
    <n v="0"/>
    <n v="0"/>
    <n v="0"/>
    <n v="0"/>
    <n v="30.454999999999998"/>
    <n v="0"/>
    <n v="30.454999999999998"/>
    <n v="0"/>
    <n v="0"/>
    <n v="0"/>
    <n v="0"/>
    <n v="27.545000000000002"/>
    <n v="27.545000000000002"/>
    <n v="0"/>
    <n v="0"/>
    <n v="0"/>
    <n v="0"/>
    <n v="0"/>
    <m/>
    <m/>
    <m/>
    <m/>
    <m/>
    <m/>
    <m/>
    <m/>
    <s v="1"/>
    <s v="1"/>
    <s v="1"/>
    <s v="1"/>
    <s v="1"/>
    <m/>
    <m/>
    <m/>
    <m/>
    <m/>
    <m/>
    <m/>
    <m/>
    <m/>
    <m/>
    <m/>
    <m/>
    <m/>
    <m/>
  </r>
  <r>
    <n v="742"/>
    <d v="2025-03-13T00:00:00"/>
    <x v="0"/>
    <n v="9518598795"/>
    <n v="6"/>
    <s v="9518598795-6"/>
    <s v="No Priority"/>
    <x v="0"/>
    <m/>
    <x v="1"/>
    <x v="1"/>
    <x v="0"/>
    <m/>
    <x v="0"/>
    <m/>
    <m/>
    <s v="Tamil Nadu"/>
    <s v="South"/>
    <s v="GUMMIDIPOONDI"/>
    <x v="0"/>
    <x v="54"/>
    <x v="0"/>
    <x v="116"/>
    <s v="CRCA COIL-TATXXD-AU03-2X1250"/>
    <s v=" "/>
    <s v=""/>
    <n v="5"/>
    <n v="29"/>
    <s v="Wider"/>
    <x v="1"/>
    <x v="2"/>
    <s v="AU03"/>
    <x v="15"/>
    <x v="0"/>
    <x v="0"/>
    <n v="29"/>
    <n v="0"/>
    <n v="29"/>
    <n v="0.88"/>
    <n v="0"/>
    <n v="3.8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3T00:00:00"/>
    <x v="0"/>
    <n v="9518598795"/>
    <n v="7"/>
    <s v="9518598795-7"/>
    <s v="Apr'25 "/>
    <x v="0"/>
    <m/>
    <x v="1"/>
    <x v="1"/>
    <x v="0"/>
    <n v="3200"/>
    <x v="1"/>
    <m/>
    <m/>
    <s v="Tamil Nadu"/>
    <s v="South"/>
    <s v="GUMMIDIPOONDI"/>
    <x v="0"/>
    <x v="54"/>
    <x v="0"/>
    <x v="117"/>
    <s v="CRCA COIL-TATXXD-AU03-2.3X1250"/>
    <s v=" "/>
    <s v=""/>
    <n v="5"/>
    <n v="29"/>
    <s v="Wider"/>
    <x v="1"/>
    <x v="2"/>
    <s v="AU03"/>
    <x v="39"/>
    <x v="0"/>
    <x v="0"/>
    <n v="29"/>
    <n v="0"/>
    <n v="29"/>
    <n v="29"/>
    <n v="8.36"/>
    <n v="29"/>
    <n v="0"/>
    <n v="0"/>
    <n v="0"/>
    <n v="0"/>
    <n v="0"/>
    <n v="0"/>
    <n v="0"/>
    <n v="0"/>
    <n v="0"/>
    <n v="0"/>
    <n v="0"/>
    <n v="0"/>
    <n v="0"/>
    <n v="20.64"/>
    <n v="0"/>
    <n v="0"/>
    <n v="0"/>
    <n v="0"/>
    <n v="0"/>
    <n v="20.64"/>
    <n v="20.64"/>
    <n v="0"/>
    <n v="20.64"/>
    <n v="0"/>
    <n v="0"/>
    <n v="29"/>
    <n v="29"/>
    <n v="0"/>
    <n v="0"/>
    <n v="0"/>
    <n v="0"/>
    <n v="29"/>
    <n v="0"/>
    <n v="29"/>
    <n v="0"/>
    <n v="0"/>
    <n v="0"/>
    <n v="0"/>
    <n v="0"/>
    <n v="0"/>
    <n v="0"/>
    <n v="0"/>
    <n v="0"/>
    <n v="0"/>
    <n v="0"/>
    <m/>
    <m/>
    <m/>
    <m/>
    <m/>
    <m/>
    <m/>
    <m/>
    <s v="0"/>
    <s v="1"/>
    <s v="1"/>
    <s v="1"/>
    <s v="1"/>
    <m/>
    <m/>
    <m/>
    <m/>
    <m/>
    <m/>
    <m/>
    <m/>
    <m/>
    <m/>
    <m/>
    <m/>
    <m/>
    <m/>
  </r>
  <r>
    <n v="742"/>
    <d v="2025-03-11T00:00:00"/>
    <x v="0"/>
    <n v="9518591869"/>
    <n v="15"/>
    <s v="9518591869-15"/>
    <s v="Stocks"/>
    <x v="0"/>
    <m/>
    <x v="1"/>
    <x v="1"/>
    <x v="0"/>
    <m/>
    <x v="1"/>
    <m/>
    <s v="Exp BTF &lt;17MT"/>
    <s v="Haryana"/>
    <s v="North"/>
    <s v="FARIDABAD"/>
    <x v="0"/>
    <x v="56"/>
    <x v="52"/>
    <x v="118"/>
    <s v="CR COIL-ICF TATXXD AU03 2.00X1250"/>
    <s v=" "/>
    <s v=""/>
    <n v="10"/>
    <n v="30"/>
    <s v="Wider"/>
    <x v="1"/>
    <x v="2"/>
    <s v="AU03"/>
    <x v="15"/>
    <x v="0"/>
    <x v="0"/>
    <n v="29"/>
    <n v="0"/>
    <n v="29"/>
    <n v="5.95"/>
    <n v="29"/>
    <n v="7.45"/>
    <n v="0"/>
    <n v="0"/>
    <n v="0"/>
    <n v="0"/>
    <n v="0"/>
    <n v="0"/>
    <n v="0"/>
    <n v="0"/>
    <n v="0"/>
    <n v="0"/>
    <n v="0"/>
    <n v="0"/>
    <n v="0"/>
    <n v="0"/>
    <n v="0"/>
    <n v="0"/>
    <n v="0"/>
    <n v="0"/>
    <n v="0"/>
    <n v="0"/>
    <n v="0"/>
    <n v="0"/>
    <n v="0"/>
    <n v="0"/>
    <n v="21.55"/>
    <n v="0"/>
    <n v="0"/>
    <n v="0"/>
    <n v="0"/>
    <n v="0"/>
    <n v="0"/>
    <n v="21.55"/>
    <n v="21.55"/>
    <n v="0"/>
    <n v="0"/>
    <n v="0"/>
    <n v="0"/>
    <n v="0"/>
    <n v="0"/>
    <n v="0"/>
    <n v="0"/>
    <n v="0"/>
    <n v="0"/>
    <n v="0"/>
    <n v="0"/>
    <m/>
    <m/>
    <m/>
    <m/>
    <m/>
    <m/>
    <m/>
    <m/>
    <s v="1"/>
    <s v="1"/>
    <s v="1"/>
    <s v="1"/>
    <s v="1"/>
    <m/>
    <m/>
    <m/>
    <m/>
    <m/>
    <m/>
    <m/>
    <m/>
    <m/>
    <m/>
    <m/>
    <m/>
    <m/>
    <m/>
  </r>
  <r>
    <n v="743"/>
    <d v="2025-03-13T00:00:00"/>
    <x v="0"/>
    <n v="9518598100"/>
    <n v="3"/>
    <s v="9518598100-3"/>
    <s v="No Priority"/>
    <x v="0"/>
    <m/>
    <x v="3"/>
    <x v="9"/>
    <x v="0"/>
    <m/>
    <x v="0"/>
    <m/>
    <m/>
    <s v="Bihar"/>
    <s v="East"/>
    <s v="PATNA"/>
    <x v="0"/>
    <x v="31"/>
    <x v="31"/>
    <x v="56"/>
    <s v="GP COIL SOFT-TATXGP-GK09-0.4X900"/>
    <s v="Z80"/>
    <s v=""/>
    <n v="2"/>
    <n v="6"/>
    <s v="Narrow"/>
    <x v="7"/>
    <x v="5"/>
    <s v="GK09"/>
    <x v="2"/>
    <x v="3"/>
    <x v="0"/>
    <n v="294"/>
    <n v="285.80500000000001"/>
    <n v="8.1950000000000003"/>
    <n v="-0.95"/>
    <n v="0"/>
    <n v="8.1950000000000003"/>
    <n v="0"/>
    <n v="0"/>
    <n v="0"/>
    <n v="0"/>
    <n v="0"/>
    <n v="0"/>
    <n v="0.76"/>
    <n v="3.6950000000000003"/>
    <n v="0"/>
    <n v="0"/>
    <n v="0"/>
    <n v="0"/>
    <n v="0"/>
    <n v="0"/>
    <n v="0"/>
    <n v="0"/>
    <n v="0"/>
    <n v="0"/>
    <n v="0"/>
    <n v="4.4550000000000001"/>
    <n v="4.4550000000000001"/>
    <n v="0"/>
    <n v="4.4550000000000001"/>
    <n v="0"/>
    <n v="0"/>
    <n v="0"/>
    <n v="0"/>
    <n v="0"/>
    <n v="0"/>
    <n v="0"/>
    <n v="0"/>
    <n v="0"/>
    <n v="0"/>
    <n v="0"/>
    <n v="0"/>
    <n v="0"/>
    <n v="0"/>
    <n v="0"/>
    <n v="0"/>
    <n v="0"/>
    <n v="0"/>
    <n v="0"/>
    <n v="0"/>
    <n v="0"/>
    <n v="0"/>
    <m/>
    <m/>
    <m/>
    <m/>
    <m/>
    <m/>
    <m/>
    <m/>
    <s v="1"/>
    <s v="1"/>
    <s v="1"/>
    <s v="1"/>
    <s v="1"/>
    <m/>
    <m/>
    <m/>
    <m/>
    <m/>
    <m/>
    <m/>
    <m/>
    <m/>
    <m/>
    <m/>
    <m/>
    <m/>
    <m/>
  </r>
  <r>
    <n v="744"/>
    <d v="2025-03-06T00:00:00"/>
    <x v="0"/>
    <n v="9518579911"/>
    <n v="6"/>
    <s v="9518579911-6"/>
    <s v="May'25"/>
    <x v="0"/>
    <m/>
    <x v="2"/>
    <x v="3"/>
    <x v="2"/>
    <m/>
    <x v="1"/>
    <m/>
    <m/>
    <s v="TBSPL"/>
    <s v="TBSPL"/>
    <s v="TBSPL"/>
    <x v="0"/>
    <x v="6"/>
    <x v="6"/>
    <x v="119"/>
    <s v="PPGL C HARD Y550PL D0C9 0.450X1220"/>
    <s v="AZ150"/>
    <s v="SECO RED TSL 1814"/>
    <n v="3"/>
    <n v="5"/>
    <s v="Wider"/>
    <x v="3"/>
    <x v="3"/>
    <s v="D0C9"/>
    <x v="10"/>
    <x v="1"/>
    <x v="0"/>
    <n v="28"/>
    <n v="0"/>
    <n v="28"/>
    <n v="4.16"/>
    <n v="4.16"/>
    <n v="28"/>
    <n v="0"/>
    <n v="0"/>
    <n v="0"/>
    <n v="0"/>
    <n v="0"/>
    <n v="0"/>
    <n v="0"/>
    <n v="4.1100000000000003"/>
    <n v="0"/>
    <n v="19.73"/>
    <n v="0"/>
    <n v="0"/>
    <n v="0"/>
    <n v="0"/>
    <n v="0"/>
    <n v="0"/>
    <n v="0"/>
    <n v="0"/>
    <n v="0"/>
    <n v="23.84"/>
    <n v="23.84"/>
    <n v="0"/>
    <n v="23.84"/>
    <n v="0"/>
    <n v="0"/>
    <n v="28"/>
    <n v="28"/>
    <n v="0"/>
    <n v="0"/>
    <n v="0"/>
    <n v="0"/>
    <n v="28"/>
    <n v="0"/>
    <n v="28"/>
    <n v="0"/>
    <n v="0"/>
    <n v="0"/>
    <n v="0"/>
    <n v="0"/>
    <n v="0"/>
    <n v="0"/>
    <n v="0"/>
    <n v="0"/>
    <n v="0"/>
    <n v="0"/>
    <m/>
    <m/>
    <m/>
    <m/>
    <m/>
    <m/>
    <m/>
    <m/>
    <s v="0"/>
    <s v="1"/>
    <s v="1"/>
    <s v="1"/>
    <s v="1"/>
    <m/>
    <m/>
    <m/>
    <m/>
    <m/>
    <m/>
    <m/>
    <m/>
    <m/>
    <m/>
    <m/>
    <m/>
    <m/>
    <m/>
  </r>
  <r>
    <n v="742"/>
    <d v="2025-02-20T00:00:00"/>
    <x v="0"/>
    <n v="9518535833"/>
    <n v="24"/>
    <s v="9518535833-24"/>
    <s v="May'25"/>
    <x v="0"/>
    <m/>
    <x v="1"/>
    <x v="2"/>
    <x v="0"/>
    <m/>
    <x v="1"/>
    <m/>
    <m/>
    <s v="Tamil Nadu"/>
    <s v="South"/>
    <s v="CHENNAI"/>
    <x v="1"/>
    <x v="4"/>
    <x v="4"/>
    <x v="18"/>
    <s v="CRCA SHEET TATCRC SR16 0.450X1000X1980"/>
    <s v=" "/>
    <s v=""/>
    <n v="0"/>
    <n v="0"/>
    <s v="Narrow"/>
    <x v="2"/>
    <x v="1"/>
    <s v="SR16"/>
    <x v="10"/>
    <x v="2"/>
    <x v="4"/>
    <n v="45"/>
    <n v="0"/>
    <n v="45"/>
    <n v="1.64"/>
    <n v="0"/>
    <n v="45"/>
    <n v="0"/>
    <n v="0"/>
    <n v="0"/>
    <n v="0"/>
    <n v="0"/>
    <n v="0"/>
    <n v="0"/>
    <n v="0"/>
    <n v="0"/>
    <n v="0"/>
    <n v="0"/>
    <n v="0"/>
    <n v="0"/>
    <n v="0"/>
    <n v="42.730000000000004"/>
    <n v="0"/>
    <n v="0"/>
    <n v="0"/>
    <n v="0"/>
    <n v="42.730000000000004"/>
    <n v="42.730000000000004"/>
    <n v="0"/>
    <n v="42.730000000000004"/>
    <n v="0"/>
    <n v="0"/>
    <n v="45"/>
    <n v="45"/>
    <n v="0"/>
    <n v="0"/>
    <n v="0"/>
    <n v="0"/>
    <n v="45"/>
    <n v="0"/>
    <n v="45"/>
    <n v="0"/>
    <n v="0"/>
    <n v="0"/>
    <n v="0"/>
    <n v="0"/>
    <n v="0"/>
    <n v="0"/>
    <n v="0"/>
    <n v="0"/>
    <n v="0"/>
    <n v="0"/>
    <m/>
    <m/>
    <m/>
    <m/>
    <m/>
    <m/>
    <m/>
    <m/>
    <s v="0"/>
    <s v="1"/>
    <s v="1"/>
    <s v="1"/>
    <s v="1"/>
    <m/>
    <m/>
    <m/>
    <m/>
    <m/>
    <m/>
    <m/>
    <m/>
    <m/>
    <m/>
    <m/>
    <m/>
    <m/>
    <m/>
  </r>
  <r>
    <n v="742"/>
    <d v="2025-03-13T00:00:00"/>
    <x v="0"/>
    <n v="9518598795"/>
    <n v="8"/>
    <s v="9518598795-8"/>
    <s v="Stocks"/>
    <x v="0"/>
    <m/>
    <x v="1"/>
    <x v="1"/>
    <x v="0"/>
    <m/>
    <x v="1"/>
    <m/>
    <m/>
    <s v="Tamil Nadu"/>
    <s v="South"/>
    <s v="GUMMIDIPOONDI"/>
    <x v="0"/>
    <x v="54"/>
    <x v="0"/>
    <x v="95"/>
    <s v="CRCA COIL-TATXXD-AU03-1.2X1250"/>
    <s v=" "/>
    <s v=""/>
    <n v="5"/>
    <n v="29"/>
    <s v="Wider"/>
    <x v="1"/>
    <x v="2"/>
    <s v="AU03"/>
    <x v="19"/>
    <x v="0"/>
    <x v="0"/>
    <n v="203"/>
    <n v="0"/>
    <n v="203"/>
    <n v="1.4"/>
    <n v="0"/>
    <n v="33.07"/>
    <n v="0"/>
    <n v="0"/>
    <n v="0"/>
    <n v="0"/>
    <n v="0"/>
    <n v="0"/>
    <n v="0"/>
    <n v="0"/>
    <n v="0"/>
    <n v="0"/>
    <n v="0"/>
    <n v="0"/>
    <n v="0"/>
    <n v="0"/>
    <n v="0"/>
    <n v="0"/>
    <n v="0"/>
    <n v="0"/>
    <n v="0"/>
    <n v="0"/>
    <n v="0"/>
    <n v="0"/>
    <n v="0"/>
    <n v="0"/>
    <n v="63.55"/>
    <n v="0"/>
    <n v="0"/>
    <n v="0"/>
    <n v="0"/>
    <n v="0"/>
    <n v="0"/>
    <n v="63.55"/>
    <n v="63.55"/>
    <n v="0"/>
    <n v="0"/>
    <n v="0"/>
    <n v="0"/>
    <n v="0"/>
    <n v="0"/>
    <n v="0"/>
    <n v="0"/>
    <n v="0"/>
    <n v="0"/>
    <n v="0"/>
    <n v="0"/>
    <m/>
    <m/>
    <m/>
    <m/>
    <m/>
    <m/>
    <m/>
    <m/>
    <s v="1"/>
    <s v="1"/>
    <s v="1"/>
    <s v="1"/>
    <s v="1"/>
    <m/>
    <m/>
    <m/>
    <m/>
    <m/>
    <m/>
    <m/>
    <m/>
    <m/>
    <m/>
    <m/>
    <m/>
    <m/>
    <m/>
  </r>
  <r>
    <n v="742"/>
    <d v="2025-03-03T00:00:00"/>
    <x v="0"/>
    <n v="9518569788"/>
    <n v="7"/>
    <s v="9518569788-7"/>
    <s v="May'25"/>
    <x v="0"/>
    <m/>
    <x v="1"/>
    <x v="2"/>
    <x v="0"/>
    <m/>
    <x v="1"/>
    <m/>
    <m/>
    <s v="Assam"/>
    <s v="East"/>
    <s v="GUWAHATI"/>
    <x v="0"/>
    <x v="25"/>
    <x v="24"/>
    <x v="120"/>
    <s v="CR COIL TSBCRC SR25 0.800X1250"/>
    <s v=" "/>
    <s v=""/>
    <n v="13"/>
    <n v="29"/>
    <s v="Wider"/>
    <x v="1"/>
    <x v="4"/>
    <s v="SR25"/>
    <x v="5"/>
    <x v="0"/>
    <x v="0"/>
    <n v="58"/>
    <n v="0"/>
    <n v="58"/>
    <n v="2.73"/>
    <n v="0"/>
    <n v="32.72"/>
    <n v="0"/>
    <n v="0"/>
    <n v="0"/>
    <n v="0"/>
    <n v="0"/>
    <n v="0"/>
    <n v="0"/>
    <n v="0"/>
    <n v="0"/>
    <n v="0"/>
    <n v="0"/>
    <n v="0"/>
    <n v="0"/>
    <n v="28.47"/>
    <n v="0"/>
    <n v="0"/>
    <n v="0"/>
    <n v="0"/>
    <n v="0"/>
    <n v="28.47"/>
    <n v="28.47"/>
    <n v="0"/>
    <n v="28.47"/>
    <n v="0"/>
    <n v="0"/>
    <n v="32.72"/>
    <n v="0"/>
    <n v="32.72"/>
    <n v="0"/>
    <n v="0"/>
    <n v="0"/>
    <n v="32.72"/>
    <n v="0"/>
    <n v="32.72"/>
    <n v="0"/>
    <n v="0"/>
    <n v="0"/>
    <n v="0"/>
    <n v="0"/>
    <n v="0"/>
    <n v="0"/>
    <n v="0"/>
    <n v="0"/>
    <n v="0"/>
    <n v="0"/>
    <m/>
    <m/>
    <m/>
    <m/>
    <m/>
    <m/>
    <m/>
    <m/>
    <s v="1"/>
    <s v="0"/>
    <s v="1"/>
    <s v="1"/>
    <s v="1"/>
    <m/>
    <m/>
    <m/>
    <m/>
    <m/>
    <m/>
    <m/>
    <m/>
    <m/>
    <m/>
    <m/>
    <m/>
    <m/>
    <m/>
  </r>
  <r>
    <n v="743"/>
    <d v="2025-03-15T00:00:00"/>
    <x v="0"/>
    <n v="9518602675"/>
    <n v="9"/>
    <s v="9518602675-9"/>
    <s v="No Priority"/>
    <x v="0"/>
    <m/>
    <x v="3"/>
    <x v="9"/>
    <x v="0"/>
    <m/>
    <x v="0"/>
    <m/>
    <m/>
    <s v="Jharkhand"/>
    <s v="East"/>
    <s v="WEST BOKARO"/>
    <x v="0"/>
    <x v="12"/>
    <x v="12"/>
    <x v="121"/>
    <s v="GP COIL SOFT-TATXGP-GK09-0.5X900"/>
    <s v="Z80"/>
    <s v=""/>
    <n v="5"/>
    <n v="15"/>
    <s v="Narrow"/>
    <x v="7"/>
    <x v="5"/>
    <s v="GK09"/>
    <x v="1"/>
    <x v="3"/>
    <x v="0"/>
    <n v="147"/>
    <n v="130.5"/>
    <n v="16.5"/>
    <n v="-4.43"/>
    <n v="0"/>
    <n v="6.81"/>
    <n v="0"/>
    <n v="0"/>
    <n v="0"/>
    <n v="0"/>
    <n v="0"/>
    <n v="0"/>
    <n v="0"/>
    <n v="0"/>
    <n v="0"/>
    <n v="0"/>
    <n v="0"/>
    <n v="0"/>
    <n v="0"/>
    <n v="0"/>
    <n v="0"/>
    <n v="0"/>
    <n v="0"/>
    <n v="0"/>
    <n v="0"/>
    <n v="0"/>
    <n v="0"/>
    <n v="0"/>
    <n v="0"/>
    <n v="0"/>
    <n v="0"/>
    <n v="0"/>
    <n v="0"/>
    <n v="0"/>
    <n v="0"/>
    <n v="0"/>
    <n v="0"/>
    <n v="0"/>
    <n v="0"/>
    <n v="0"/>
    <n v="0"/>
    <n v="0"/>
    <n v="0"/>
    <n v="0"/>
    <n v="15.27"/>
    <n v="0"/>
    <n v="0"/>
    <n v="0"/>
    <n v="0"/>
    <n v="0"/>
    <n v="15.27"/>
    <m/>
    <m/>
    <m/>
    <m/>
    <m/>
    <m/>
    <m/>
    <m/>
    <s v="1"/>
    <s v="1"/>
    <s v="1"/>
    <s v="1"/>
    <s v="1"/>
    <m/>
    <m/>
    <m/>
    <m/>
    <m/>
    <m/>
    <m/>
    <m/>
    <m/>
    <m/>
    <m/>
    <m/>
    <m/>
    <m/>
  </r>
  <r>
    <n v="744"/>
    <d v="2025-03-18T00:00:00"/>
    <x v="0"/>
    <n v="9518609830"/>
    <n v="5"/>
    <s v="9518609830-5"/>
    <s v="May'25"/>
    <x v="0"/>
    <m/>
    <x v="2"/>
    <x v="3"/>
    <x v="2"/>
    <m/>
    <x v="1"/>
    <m/>
    <m/>
    <s v="Jharkhand"/>
    <s v="East"/>
    <s v="GAMHARIA"/>
    <x v="0"/>
    <x v="15"/>
    <x v="15"/>
    <x v="86"/>
    <s v="PPGL C Y550 ISC6 0.45BMT(0.50TPT)X1220"/>
    <s v="aZ70"/>
    <s v="PRO GREEN TSL 1911"/>
    <n v="3"/>
    <n v="5"/>
    <s v="Wider"/>
    <x v="3"/>
    <x v="3"/>
    <s v="ISC6"/>
    <x v="10"/>
    <x v="1"/>
    <x v="0"/>
    <n v="28"/>
    <n v="0"/>
    <n v="28"/>
    <n v="1.976"/>
    <n v="0"/>
    <n v="28"/>
    <n v="0"/>
    <n v="0"/>
    <n v="0"/>
    <n v="0"/>
    <n v="0"/>
    <n v="0"/>
    <n v="0"/>
    <n v="0"/>
    <n v="0"/>
    <n v="12.33"/>
    <n v="0"/>
    <n v="0"/>
    <n v="0"/>
    <n v="0"/>
    <n v="0"/>
    <n v="0"/>
    <n v="0"/>
    <n v="0"/>
    <n v="0"/>
    <n v="12.33"/>
    <n v="12.33"/>
    <n v="0"/>
    <n v="12.33"/>
    <n v="0"/>
    <n v="0"/>
    <n v="28"/>
    <n v="0"/>
    <n v="0"/>
    <n v="28"/>
    <n v="0"/>
    <n v="0"/>
    <n v="28"/>
    <n v="0"/>
    <n v="0"/>
    <n v="28"/>
    <n v="0"/>
    <n v="0"/>
    <n v="0"/>
    <n v="0"/>
    <n v="0"/>
    <n v="0"/>
    <n v="0"/>
    <n v="0"/>
    <n v="0"/>
    <n v="0"/>
    <m/>
    <m/>
    <m/>
    <m/>
    <m/>
    <m/>
    <m/>
    <m/>
    <s v="1"/>
    <s v="1"/>
    <s v="0"/>
    <s v="1"/>
    <s v="1"/>
    <m/>
    <m/>
    <m/>
    <m/>
    <m/>
    <m/>
    <m/>
    <m/>
    <m/>
    <m/>
    <m/>
    <m/>
    <m/>
    <m/>
  </r>
  <r>
    <n v="742"/>
    <d v="2025-03-16T00:00:00"/>
    <x v="0"/>
    <n v="9518604323"/>
    <n v="4"/>
    <s v="9518604323-4"/>
    <s v="Stocks"/>
    <x v="0"/>
    <m/>
    <x v="1"/>
    <x v="2"/>
    <x v="1"/>
    <m/>
    <x v="1"/>
    <m/>
    <m/>
    <s v="Orissa"/>
    <s v="East"/>
    <s v="TANGI"/>
    <x v="1"/>
    <x v="19"/>
    <x v="25"/>
    <x v="17"/>
    <s v="CRCA SHEET TATCRC SR16 0.450X1000X2500"/>
    <s v=" "/>
    <s v=""/>
    <n v="0.1"/>
    <n v="5"/>
    <s v="Narrow"/>
    <x v="2"/>
    <x v="1"/>
    <s v="SR16"/>
    <x v="10"/>
    <x v="2"/>
    <x v="3"/>
    <n v="21"/>
    <n v="0"/>
    <n v="21"/>
    <n v="-1.08"/>
    <n v="0"/>
    <n v="0.30499999999999999"/>
    <n v="0"/>
    <n v="0"/>
    <n v="0"/>
    <n v="0"/>
    <n v="0"/>
    <n v="0"/>
    <n v="0"/>
    <n v="0"/>
    <n v="0"/>
    <n v="0"/>
    <n v="0"/>
    <n v="0"/>
    <n v="0"/>
    <n v="0"/>
    <n v="0"/>
    <n v="0.28999999999999998"/>
    <n v="0"/>
    <n v="0"/>
    <n v="0"/>
    <n v="0.28999999999999998"/>
    <n v="0.28999999999999998"/>
    <n v="0"/>
    <n v="0.28999999999999998"/>
    <n v="0"/>
    <n v="20.695"/>
    <n v="0"/>
    <n v="0"/>
    <n v="0"/>
    <n v="0"/>
    <n v="0"/>
    <n v="0"/>
    <n v="20.695"/>
    <n v="20.695"/>
    <n v="0"/>
    <n v="0"/>
    <n v="0"/>
    <n v="0"/>
    <n v="0"/>
    <n v="0"/>
    <n v="0"/>
    <n v="0"/>
    <n v="0"/>
    <n v="0"/>
    <n v="0"/>
    <n v="0"/>
    <m/>
    <m/>
    <m/>
    <m/>
    <m/>
    <m/>
    <m/>
    <m/>
    <s v="1"/>
    <s v="1"/>
    <s v="1"/>
    <s v="1"/>
    <s v="1"/>
    <m/>
    <m/>
    <m/>
    <m/>
    <m/>
    <m/>
    <m/>
    <m/>
    <m/>
    <m/>
    <m/>
    <m/>
    <m/>
    <m/>
  </r>
  <r>
    <n v="744"/>
    <d v="2025-03-12T00:00:00"/>
    <x v="0"/>
    <n v="9518596024"/>
    <n v="1"/>
    <s v="9518596024-1"/>
    <s v="Apr'25 "/>
    <x v="0"/>
    <m/>
    <x v="2"/>
    <x v="3"/>
    <x v="2"/>
    <m/>
    <x v="1"/>
    <m/>
    <m/>
    <s v="TBSPL"/>
    <s v="TBSPL"/>
    <s v="TBSPL"/>
    <x v="0"/>
    <x v="6"/>
    <x v="6"/>
    <x v="122"/>
    <s v="PPGL C Y550 HPL9 0.45BMT(0.57TPT)X1220"/>
    <s v="AZ200"/>
    <s v="ELITE STONE BLUE TSL 1688"/>
    <n v="3"/>
    <n v="5"/>
    <s v="Wider"/>
    <x v="3"/>
    <x v="3"/>
    <s v="HPL9"/>
    <x v="10"/>
    <x v="1"/>
    <x v="0"/>
    <n v="56"/>
    <n v="0"/>
    <n v="56"/>
    <n v="56"/>
    <n v="-1.3400000000000034"/>
    <n v="56"/>
    <n v="0"/>
    <n v="57.34"/>
    <n v="0"/>
    <n v="0"/>
    <n v="0"/>
    <n v="0"/>
    <n v="0"/>
    <n v="0"/>
    <n v="0"/>
    <n v="0"/>
    <n v="0"/>
    <n v="0"/>
    <n v="0"/>
    <n v="0"/>
    <n v="0"/>
    <n v="0"/>
    <n v="0"/>
    <n v="0"/>
    <n v="0"/>
    <n v="57.34"/>
    <n v="57.34"/>
    <n v="0"/>
    <n v="57.34"/>
    <n v="0"/>
    <n v="0"/>
    <n v="56"/>
    <n v="56"/>
    <n v="0"/>
    <n v="0"/>
    <n v="0"/>
    <n v="0"/>
    <n v="56"/>
    <n v="0"/>
    <n v="56"/>
    <n v="0"/>
    <n v="0"/>
    <n v="0"/>
    <n v="0"/>
    <n v="0"/>
    <n v="0"/>
    <n v="0"/>
    <n v="0"/>
    <n v="0"/>
    <n v="0"/>
    <n v="0"/>
    <m/>
    <m/>
    <m/>
    <m/>
    <m/>
    <m/>
    <m/>
    <m/>
    <s v="0"/>
    <s v="1"/>
    <s v="1"/>
    <s v="1"/>
    <s v="1"/>
    <m/>
    <m/>
    <m/>
    <m/>
    <m/>
    <m/>
    <m/>
    <m/>
    <m/>
    <m/>
    <m/>
    <m/>
    <m/>
    <m/>
  </r>
  <r>
    <n v="742"/>
    <d v="2025-03-11T00:00:00"/>
    <x v="0"/>
    <n v="9518591774"/>
    <n v="17"/>
    <s v="9518591774-17"/>
    <s v="Stocks"/>
    <x v="0"/>
    <m/>
    <x v="1"/>
    <x v="1"/>
    <x v="0"/>
    <m/>
    <x v="1"/>
    <m/>
    <s v="Exp BTF &lt;17MT"/>
    <s v="Delhi"/>
    <s v="North"/>
    <s v="ZOSOLA"/>
    <x v="0"/>
    <x v="56"/>
    <x v="52"/>
    <x v="69"/>
    <s v="CRCA COIL TATXXD AU03 1.500X1250"/>
    <s v=" "/>
    <s v=""/>
    <n v="10"/>
    <n v="30"/>
    <s v="Wider"/>
    <x v="1"/>
    <x v="2"/>
    <s v="AU03"/>
    <x v="27"/>
    <x v="0"/>
    <x v="0"/>
    <n v="29"/>
    <n v="0"/>
    <n v="29"/>
    <n v="3.8"/>
    <n v="29"/>
    <n v="3.8"/>
    <n v="0"/>
    <n v="0"/>
    <n v="0"/>
    <n v="0"/>
    <n v="0"/>
    <n v="0"/>
    <n v="0"/>
    <n v="0"/>
    <n v="0"/>
    <n v="0"/>
    <n v="0"/>
    <n v="0"/>
    <n v="0"/>
    <n v="0"/>
    <n v="0"/>
    <n v="0"/>
    <n v="0"/>
    <n v="0"/>
    <n v="0"/>
    <n v="0"/>
    <n v="0"/>
    <n v="0"/>
    <n v="0"/>
    <n v="0"/>
    <n v="12.414999999999999"/>
    <n v="0"/>
    <n v="0"/>
    <n v="0"/>
    <n v="0"/>
    <n v="0"/>
    <n v="0"/>
    <n v="12.414999999999999"/>
    <n v="12.414999999999999"/>
    <n v="0"/>
    <n v="0"/>
    <n v="0"/>
    <n v="0"/>
    <n v="0"/>
    <n v="0"/>
    <n v="0"/>
    <n v="0"/>
    <n v="0"/>
    <n v="0"/>
    <n v="0"/>
    <n v="0"/>
    <m/>
    <m/>
    <m/>
    <m/>
    <m/>
    <m/>
    <m/>
    <m/>
    <s v="1"/>
    <s v="1"/>
    <s v="1"/>
    <s v="1"/>
    <s v="1"/>
    <m/>
    <m/>
    <m/>
    <m/>
    <m/>
    <m/>
    <m/>
    <m/>
    <m/>
    <m/>
    <m/>
    <m/>
    <m/>
    <m/>
  </r>
  <r>
    <n v="742"/>
    <d v="2025-02-25T00:00:00"/>
    <x v="0"/>
    <n v="9518551511"/>
    <n v="1"/>
    <s v="9518551511-1"/>
    <s v="No Priority"/>
    <x v="0"/>
    <m/>
    <x v="1"/>
    <x v="1"/>
    <x v="0"/>
    <m/>
    <x v="0"/>
    <m/>
    <m/>
    <s v="Tamil Nadu"/>
    <s v="South"/>
    <s v="PATTANCHERY"/>
    <x v="0"/>
    <x v="35"/>
    <x v="35"/>
    <x v="123"/>
    <s v="CR COIL TATXXD AU03 1.620X1250"/>
    <s v=" "/>
    <s v=""/>
    <n v="17"/>
    <n v="30"/>
    <s v="Wider"/>
    <x v="1"/>
    <x v="2"/>
    <s v="AU03"/>
    <x v="40"/>
    <x v="0"/>
    <x v="0"/>
    <n v="29"/>
    <n v="0"/>
    <n v="29"/>
    <n v="1.1599999999999999"/>
    <n v="0"/>
    <n v="4.6900000000000004"/>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3-18T00:00:00"/>
    <x v="0"/>
    <n v="9518609830"/>
    <n v="6"/>
    <s v="9518609830-6"/>
    <s v="No Priority"/>
    <x v="0"/>
    <m/>
    <x v="2"/>
    <x v="3"/>
    <x v="2"/>
    <m/>
    <x v="0"/>
    <m/>
    <m/>
    <s v="Jharkhand"/>
    <s v="East"/>
    <s v="GAMHARIA"/>
    <x v="0"/>
    <x v="15"/>
    <x v="15"/>
    <x v="86"/>
    <s v="PPGL C Y550 ISC6 0.45BMT(0.50TPT)X1220"/>
    <s v="aZ70"/>
    <s v="PRO RED TSL 1912"/>
    <n v="3"/>
    <n v="5"/>
    <s v="Wider"/>
    <x v="3"/>
    <x v="3"/>
    <s v="ISC6"/>
    <x v="10"/>
    <x v="1"/>
    <x v="0"/>
    <n v="28"/>
    <n v="15.62"/>
    <n v="12.38"/>
    <n v="4.1909999999999998"/>
    <n v="12.38"/>
    <n v="8.9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4"/>
    <d v="2025-03-19T00:00:00"/>
    <x v="0"/>
    <n v="9518612364"/>
    <n v="2"/>
    <s v="9518612364-2"/>
    <s v="Apr'25 "/>
    <x v="0"/>
    <m/>
    <x v="2"/>
    <x v="3"/>
    <x v="2"/>
    <m/>
    <x v="1"/>
    <m/>
    <m/>
    <s v="Jharkhand"/>
    <s v="East"/>
    <s v="GAMHARIA"/>
    <x v="0"/>
    <x v="15"/>
    <x v="15"/>
    <x v="23"/>
    <s v="PPGL C Y550 ISC6 0.30BMT(0.35TPT)X1220"/>
    <s v="aZ70"/>
    <s v="PRO BLUE TSL 1913"/>
    <n v="3.5"/>
    <n v="5"/>
    <s v="Wider"/>
    <x v="3"/>
    <x v="3"/>
    <s v="ISC6"/>
    <x v="11"/>
    <x v="1"/>
    <x v="0"/>
    <n v="56"/>
    <n v="0"/>
    <n v="56"/>
    <n v="51.465000000000003"/>
    <n v="-5.9849999999999994"/>
    <n v="56"/>
    <n v="0"/>
    <n v="57.45"/>
    <n v="0"/>
    <n v="0"/>
    <n v="0"/>
    <n v="0"/>
    <n v="0"/>
    <n v="4.5350000000000001"/>
    <n v="0"/>
    <n v="0"/>
    <n v="0"/>
    <n v="0"/>
    <n v="0"/>
    <n v="0"/>
    <n v="0"/>
    <n v="0"/>
    <n v="0"/>
    <n v="0"/>
    <n v="0"/>
    <n v="61.984999999999999"/>
    <n v="61.984999999999999"/>
    <n v="0"/>
    <n v="61.984999999999999"/>
    <n v="0"/>
    <n v="0"/>
    <n v="56"/>
    <n v="0"/>
    <n v="56"/>
    <n v="0"/>
    <n v="0"/>
    <n v="0"/>
    <n v="56"/>
    <n v="0"/>
    <n v="56"/>
    <n v="0"/>
    <n v="0"/>
    <n v="0"/>
    <n v="0"/>
    <n v="0"/>
    <n v="0"/>
    <n v="0"/>
    <n v="0"/>
    <n v="0"/>
    <n v="0"/>
    <n v="0"/>
    <m/>
    <m/>
    <m/>
    <m/>
    <m/>
    <m/>
    <m/>
    <m/>
    <s v="1"/>
    <s v="0"/>
    <s v="1"/>
    <s v="1"/>
    <s v="1"/>
    <m/>
    <m/>
    <m/>
    <m/>
    <m/>
    <m/>
    <m/>
    <m/>
    <m/>
    <m/>
    <m/>
    <m/>
    <m/>
    <m/>
  </r>
  <r>
    <n v="742"/>
    <d v="2025-03-16T00:00:00"/>
    <x v="0"/>
    <n v="9518604323"/>
    <n v="12"/>
    <s v="9518604323-12"/>
    <s v="No Priority"/>
    <x v="0"/>
    <m/>
    <x v="1"/>
    <x v="2"/>
    <x v="1"/>
    <m/>
    <x v="0"/>
    <m/>
    <m/>
    <s v="Orissa"/>
    <s v="East"/>
    <s v="TANGI"/>
    <x v="1"/>
    <x v="19"/>
    <x v="25"/>
    <x v="124"/>
    <s v="CRCA SHEET TSBCRC SR15 0.750X1250X2500"/>
    <s v=" "/>
    <s v=""/>
    <n v="0.1"/>
    <n v="5"/>
    <s v="Wider"/>
    <x v="2"/>
    <x v="4"/>
    <s v="SR15"/>
    <x v="28"/>
    <x v="0"/>
    <x v="3"/>
    <n v="24"/>
    <n v="22.99"/>
    <n v="1.01"/>
    <n v="0.61"/>
    <n v="0"/>
    <n v="1.0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3-13T00:00:00"/>
    <x v="0"/>
    <n v="9518598100"/>
    <n v="1"/>
    <s v="9518598100-1"/>
    <s v="No Priority"/>
    <x v="0"/>
    <m/>
    <x v="3"/>
    <x v="9"/>
    <x v="0"/>
    <m/>
    <x v="0"/>
    <m/>
    <m/>
    <s v="Bihar"/>
    <s v="East"/>
    <s v="PATNA"/>
    <x v="0"/>
    <x v="31"/>
    <x v="31"/>
    <x v="51"/>
    <s v="GP COIL SOFT-TATXGP-GK09-0.3X900"/>
    <s v="Z80"/>
    <s v=""/>
    <n v="1.75"/>
    <n v="6"/>
    <s v="Narrow"/>
    <x v="7"/>
    <x v="5"/>
    <s v="GK09"/>
    <x v="11"/>
    <x v="3"/>
    <x v="0"/>
    <n v="210"/>
    <n v="117.02500000000001"/>
    <n v="92.974999999999994"/>
    <n v="-3.54"/>
    <n v="0"/>
    <n v="0.53"/>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3"/>
    <d v="2025-03-13T00:00:00"/>
    <x v="0"/>
    <n v="9518598100"/>
    <n v="5"/>
    <s v="9518598100-5"/>
    <s v="Stocks"/>
    <x v="0"/>
    <m/>
    <x v="3"/>
    <x v="9"/>
    <x v="0"/>
    <m/>
    <x v="1"/>
    <m/>
    <s v="Exp BTF &lt;17MT"/>
    <s v="Bihar"/>
    <s v="East"/>
    <s v="PATNA"/>
    <x v="0"/>
    <x v="31"/>
    <x v="31"/>
    <x v="62"/>
    <s v="GP COIL SOFT-TATXGP-GK09-0.6X900"/>
    <s v="Z80"/>
    <s v=""/>
    <n v="2"/>
    <n v="6"/>
    <s v="Narrow"/>
    <x v="7"/>
    <x v="5"/>
    <s v="GK09"/>
    <x v="20"/>
    <x v="3"/>
    <x v="0"/>
    <n v="210"/>
    <n v="14.654999999999999"/>
    <n v="195.345"/>
    <n v="3.7349999999999999"/>
    <n v="194.035"/>
    <n v="11.34"/>
    <n v="0"/>
    <n v="0"/>
    <n v="0"/>
    <n v="0"/>
    <n v="0"/>
    <n v="0"/>
    <n v="1.31"/>
    <n v="0"/>
    <n v="0"/>
    <n v="0"/>
    <n v="0"/>
    <n v="0"/>
    <n v="0"/>
    <n v="0"/>
    <n v="0"/>
    <n v="0"/>
    <n v="0"/>
    <n v="0"/>
    <n v="0"/>
    <n v="1.31"/>
    <n v="1.31"/>
    <n v="0"/>
    <n v="1.31"/>
    <n v="0"/>
    <n v="19.5"/>
    <n v="0"/>
    <n v="0"/>
    <n v="0"/>
    <n v="0"/>
    <n v="0"/>
    <n v="0"/>
    <n v="19.5"/>
    <n v="19.5"/>
    <n v="0"/>
    <n v="0"/>
    <n v="0"/>
    <n v="0"/>
    <n v="0"/>
    <n v="0"/>
    <n v="0"/>
    <n v="0"/>
    <n v="0"/>
    <n v="0"/>
    <n v="0"/>
    <n v="0"/>
    <m/>
    <m/>
    <m/>
    <m/>
    <m/>
    <m/>
    <m/>
    <m/>
    <s v="1"/>
    <s v="1"/>
    <s v="1"/>
    <s v="1"/>
    <s v="1"/>
    <m/>
    <m/>
    <m/>
    <m/>
    <m/>
    <m/>
    <m/>
    <m/>
    <m/>
    <m/>
    <m/>
    <m/>
    <m/>
    <m/>
  </r>
  <r>
    <n v="742"/>
    <d v="2025-03-11T00:00:00"/>
    <x v="0"/>
    <n v="9518592206"/>
    <n v="1"/>
    <s v="9518592206-1"/>
    <s v="No Priority"/>
    <x v="0"/>
    <m/>
    <x v="1"/>
    <x v="1"/>
    <x v="0"/>
    <m/>
    <x v="0"/>
    <m/>
    <m/>
    <s v="Tamil Nadu"/>
    <s v="South"/>
    <s v="PATTANCHERY"/>
    <x v="0"/>
    <x v="35"/>
    <x v="35"/>
    <x v="1"/>
    <s v="CRCA COIL TATCRC TR15 0.5X1250"/>
    <s v=" "/>
    <s v=""/>
    <n v="10"/>
    <n v="30"/>
    <s v="Wider"/>
    <x v="1"/>
    <x v="1"/>
    <s v="TR15"/>
    <x v="1"/>
    <x v="0"/>
    <x v="0"/>
    <n v="58"/>
    <n v="0"/>
    <n v="58"/>
    <n v="-20.77"/>
    <n v="0"/>
    <n v="10.50500000000000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1T00:00:00"/>
    <x v="0"/>
    <n v="9518592206"/>
    <n v="4"/>
    <s v="9518592206-4"/>
    <s v="No Priority"/>
    <x v="0"/>
    <m/>
    <x v="1"/>
    <x v="1"/>
    <x v="0"/>
    <m/>
    <x v="0"/>
    <m/>
    <s v="Exp BTF &lt;17MT"/>
    <s v="Tamil Nadu"/>
    <s v="South"/>
    <s v="PATTANCHERY"/>
    <x v="0"/>
    <x v="35"/>
    <x v="35"/>
    <x v="125"/>
    <s v="CRCA COIL TATXXD AU03 1.800X1250"/>
    <s v=" "/>
    <s v=""/>
    <n v="10"/>
    <n v="30"/>
    <s v="Wider"/>
    <x v="1"/>
    <x v="2"/>
    <s v="AU03"/>
    <x v="41"/>
    <x v="0"/>
    <x v="0"/>
    <n v="58"/>
    <n v="21.48"/>
    <n v="36.520000000000003"/>
    <n v="14.82"/>
    <n v="36.520000000000003"/>
    <n v="17.489999999999998"/>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06T00:00:00"/>
    <x v="0"/>
    <n v="9518578782"/>
    <n v="5"/>
    <s v="9518578782-5"/>
    <s v="No Priority"/>
    <x v="0"/>
    <m/>
    <x v="1"/>
    <x v="11"/>
    <x v="0"/>
    <m/>
    <x v="0"/>
    <m/>
    <m/>
    <s v="Tamil Nadu"/>
    <s v="South"/>
    <s v="PATTANCHERY"/>
    <x v="0"/>
    <x v="35"/>
    <x v="35"/>
    <x v="126"/>
    <s v="CRCA COIL TATXXD AH03 0.800X1250"/>
    <s v=" "/>
    <s v=""/>
    <n v="17"/>
    <n v="30"/>
    <s v="Wider"/>
    <x v="1"/>
    <x v="2"/>
    <s v="AH03"/>
    <x v="5"/>
    <x v="0"/>
    <x v="0"/>
    <n v="29"/>
    <n v="0"/>
    <n v="29"/>
    <n v="0.24"/>
    <n v="0"/>
    <n v="2.4550000000000001"/>
    <n v="0"/>
    <n v="0"/>
    <n v="0"/>
    <n v="0"/>
    <n v="0"/>
    <n v="0"/>
    <n v="0"/>
    <n v="0"/>
    <n v="0"/>
    <n v="0"/>
    <n v="0"/>
    <n v="0"/>
    <n v="0"/>
    <n v="1"/>
    <n v="0"/>
    <n v="0"/>
    <n v="0"/>
    <n v="0"/>
    <n v="0"/>
    <n v="1"/>
    <n v="1"/>
    <n v="0"/>
    <n v="1"/>
    <n v="0"/>
    <n v="0"/>
    <n v="0"/>
    <n v="0"/>
    <n v="0"/>
    <n v="0"/>
    <n v="0"/>
    <n v="0"/>
    <n v="0"/>
    <n v="0"/>
    <n v="0"/>
    <n v="0"/>
    <n v="0"/>
    <n v="0"/>
    <n v="0"/>
    <n v="0"/>
    <n v="0"/>
    <n v="0"/>
    <n v="0"/>
    <n v="0"/>
    <n v="0"/>
    <n v="0"/>
    <m/>
    <m/>
    <m/>
    <m/>
    <m/>
    <m/>
    <m/>
    <m/>
    <s v="1"/>
    <s v="1"/>
    <s v="1"/>
    <s v="1"/>
    <s v="1"/>
    <m/>
    <m/>
    <m/>
    <m/>
    <m/>
    <m/>
    <m/>
    <m/>
    <m/>
    <m/>
    <m/>
    <m/>
    <m/>
    <m/>
  </r>
  <r>
    <n v="742"/>
    <d v="2025-03-06T00:00:00"/>
    <x v="0"/>
    <n v="9518578782"/>
    <n v="7"/>
    <s v="9518578782-7"/>
    <s v="May'25"/>
    <x v="0"/>
    <m/>
    <x v="1"/>
    <x v="1"/>
    <x v="0"/>
    <m/>
    <x v="1"/>
    <m/>
    <s v="Exp BTF &lt;17MT"/>
    <s v="Tamil Nadu"/>
    <s v="South"/>
    <s v="PATTANCHERY"/>
    <x v="0"/>
    <x v="35"/>
    <x v="35"/>
    <x v="114"/>
    <s v="CRCA COIL-TATXXD-AU03-0.9X1250"/>
    <s v=" "/>
    <s v=""/>
    <n v="17"/>
    <n v="30"/>
    <s v="Wider"/>
    <x v="1"/>
    <x v="2"/>
    <s v="AU03"/>
    <x v="13"/>
    <x v="0"/>
    <x v="0"/>
    <n v="29"/>
    <n v="0"/>
    <n v="29"/>
    <n v="11.685"/>
    <n v="1.8399999999999999"/>
    <n v="29"/>
    <n v="0"/>
    <n v="0"/>
    <n v="0"/>
    <n v="0"/>
    <n v="0"/>
    <n v="0"/>
    <n v="0"/>
    <n v="0"/>
    <n v="0"/>
    <n v="0"/>
    <n v="0"/>
    <n v="0"/>
    <n v="0"/>
    <n v="27.16"/>
    <n v="0"/>
    <n v="0"/>
    <n v="0"/>
    <n v="0"/>
    <n v="0"/>
    <n v="27.16"/>
    <n v="27.16"/>
    <n v="0"/>
    <n v="27.16"/>
    <n v="0"/>
    <n v="0"/>
    <n v="29"/>
    <n v="29"/>
    <n v="0"/>
    <n v="0"/>
    <n v="0"/>
    <n v="0"/>
    <n v="29"/>
    <n v="0"/>
    <n v="29"/>
    <n v="0"/>
    <n v="0"/>
    <n v="0"/>
    <n v="0"/>
    <n v="0"/>
    <n v="0"/>
    <n v="0"/>
    <n v="0"/>
    <n v="0"/>
    <n v="0"/>
    <n v="0"/>
    <m/>
    <m/>
    <m/>
    <m/>
    <m/>
    <m/>
    <m/>
    <m/>
    <s v="0"/>
    <s v="1"/>
    <s v="1"/>
    <s v="1"/>
    <s v="1"/>
    <m/>
    <m/>
    <m/>
    <m/>
    <m/>
    <m/>
    <m/>
    <m/>
    <m/>
    <m/>
    <m/>
    <m/>
    <m/>
    <m/>
  </r>
  <r>
    <n v="742"/>
    <d v="2025-03-06T00:00:00"/>
    <x v="0"/>
    <n v="9518578782"/>
    <n v="12"/>
    <s v="9518578782-12"/>
    <s v="No Priority"/>
    <x v="0"/>
    <m/>
    <x v="1"/>
    <x v="1"/>
    <x v="0"/>
    <m/>
    <x v="0"/>
    <m/>
    <s v="Exp BTF &lt;17MT"/>
    <s v="Tamil Nadu"/>
    <s v="South"/>
    <s v="PATTANCHERY"/>
    <x v="0"/>
    <x v="35"/>
    <x v="35"/>
    <x v="102"/>
    <s v="CRCA COIL-TATXXD-AU03-1.6X1250"/>
    <s v=" "/>
    <s v=""/>
    <n v="17"/>
    <n v="30"/>
    <s v="Wider"/>
    <x v="1"/>
    <x v="2"/>
    <s v="AU03"/>
    <x v="22"/>
    <x v="0"/>
    <x v="0"/>
    <n v="58"/>
    <n v="0"/>
    <n v="58"/>
    <n v="11.7"/>
    <n v="58"/>
    <n v="1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1T00:00:00"/>
    <x v="0"/>
    <n v="9518592206"/>
    <n v="5"/>
    <s v="9518592206-5"/>
    <s v="No Priority"/>
    <x v="0"/>
    <m/>
    <x v="1"/>
    <x v="1"/>
    <x v="0"/>
    <m/>
    <x v="0"/>
    <m/>
    <m/>
    <s v="Tamil Nadu"/>
    <s v="South"/>
    <s v="PATTANCHERY"/>
    <x v="0"/>
    <x v="35"/>
    <x v="35"/>
    <x v="116"/>
    <s v="CRCA COIL-TATXXD-AU03-2X1250"/>
    <s v=" "/>
    <s v=""/>
    <n v="10"/>
    <n v="30"/>
    <s v="Wider"/>
    <x v="1"/>
    <x v="2"/>
    <s v="AU03"/>
    <x v="15"/>
    <x v="0"/>
    <x v="0"/>
    <n v="29"/>
    <n v="0"/>
    <n v="29"/>
    <n v="1.48"/>
    <n v="0"/>
    <n v="4.615000000000000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1T00:00:00"/>
    <x v="0"/>
    <n v="9518592206"/>
    <n v="6"/>
    <s v="9518592206-6"/>
    <s v="Stocks"/>
    <x v="0"/>
    <m/>
    <x v="1"/>
    <x v="1"/>
    <x v="0"/>
    <m/>
    <x v="1"/>
    <m/>
    <m/>
    <s v="Tamil Nadu"/>
    <s v="South"/>
    <s v="PATTANCHERY"/>
    <x v="0"/>
    <x v="35"/>
    <x v="35"/>
    <x v="127"/>
    <s v="CRSHEET-ICF  DQ TATXXD AU03 2.02X1250"/>
    <s v=" "/>
    <s v=""/>
    <n v="10"/>
    <n v="30"/>
    <s v="Wider"/>
    <x v="1"/>
    <x v="2"/>
    <s v="AU03"/>
    <x v="42"/>
    <x v="0"/>
    <x v="0"/>
    <n v="29"/>
    <n v="0"/>
    <n v="29"/>
    <n v="0.76"/>
    <n v="0"/>
    <n v="4.1100000000000003"/>
    <n v="0"/>
    <n v="0"/>
    <n v="0"/>
    <n v="0"/>
    <n v="0"/>
    <n v="0"/>
    <n v="0"/>
    <n v="0"/>
    <n v="0"/>
    <n v="0"/>
    <n v="0"/>
    <n v="0"/>
    <n v="0"/>
    <n v="0"/>
    <n v="0"/>
    <n v="0"/>
    <n v="0"/>
    <n v="0"/>
    <n v="0"/>
    <n v="0"/>
    <n v="0"/>
    <n v="0"/>
    <n v="0"/>
    <n v="0"/>
    <n v="24.89"/>
    <n v="0"/>
    <n v="0"/>
    <n v="0"/>
    <n v="0"/>
    <n v="0"/>
    <n v="0"/>
    <n v="24.89"/>
    <n v="24.89"/>
    <n v="0"/>
    <n v="0"/>
    <n v="0"/>
    <n v="0"/>
    <n v="0"/>
    <n v="0"/>
    <n v="0"/>
    <n v="0"/>
    <n v="0"/>
    <n v="0"/>
    <n v="0"/>
    <n v="0"/>
    <m/>
    <m/>
    <m/>
    <m/>
    <m/>
    <m/>
    <m/>
    <m/>
    <s v="1"/>
    <s v="1"/>
    <s v="1"/>
    <s v="1"/>
    <s v="1"/>
    <m/>
    <m/>
    <m/>
    <m/>
    <m/>
    <m/>
    <m/>
    <m/>
    <m/>
    <m/>
    <m/>
    <m/>
    <m/>
    <m/>
  </r>
  <r>
    <n v="742"/>
    <d v="2025-03-06T00:00:00"/>
    <x v="0"/>
    <n v="9518578782"/>
    <n v="16"/>
    <s v="9518578782-16"/>
    <s v="Stocks"/>
    <x v="0"/>
    <m/>
    <x v="1"/>
    <x v="1"/>
    <x v="0"/>
    <m/>
    <x v="1"/>
    <m/>
    <m/>
    <s v="Tamil Nadu"/>
    <s v="South"/>
    <s v="PATTANCHERY"/>
    <x v="0"/>
    <x v="35"/>
    <x v="35"/>
    <x v="127"/>
    <s v="CRSHEET-ICF  DQ TATXXD AU03 2.02X1250"/>
    <s v=" "/>
    <s v=""/>
    <n v="17"/>
    <n v="30"/>
    <s v="Wider"/>
    <x v="1"/>
    <x v="2"/>
    <s v="AU03"/>
    <x v="42"/>
    <x v="0"/>
    <x v="0"/>
    <n v="29"/>
    <n v="0"/>
    <n v="29"/>
    <n v="0.97"/>
    <n v="0"/>
    <n v="4.1050000000000004"/>
    <n v="0"/>
    <n v="0"/>
    <n v="0"/>
    <n v="0"/>
    <n v="0"/>
    <n v="0"/>
    <n v="0"/>
    <n v="0"/>
    <n v="0"/>
    <n v="0"/>
    <n v="0"/>
    <n v="0"/>
    <n v="0"/>
    <n v="0"/>
    <n v="0"/>
    <n v="0"/>
    <n v="0"/>
    <n v="0"/>
    <n v="0"/>
    <n v="0"/>
    <n v="0"/>
    <n v="0"/>
    <n v="0"/>
    <n v="0"/>
    <n v="24.895"/>
    <n v="0"/>
    <n v="0"/>
    <n v="0"/>
    <n v="0"/>
    <n v="0"/>
    <n v="0"/>
    <n v="24.895"/>
    <n v="24.895"/>
    <n v="0"/>
    <n v="0"/>
    <n v="0"/>
    <n v="0"/>
    <n v="0"/>
    <n v="0"/>
    <n v="0"/>
    <n v="0"/>
    <n v="0"/>
    <n v="0"/>
    <n v="0"/>
    <n v="0"/>
    <m/>
    <m/>
    <m/>
    <m/>
    <m/>
    <m/>
    <m/>
    <m/>
    <s v="1"/>
    <s v="1"/>
    <s v="1"/>
    <s v="1"/>
    <s v="1"/>
    <m/>
    <m/>
    <m/>
    <m/>
    <m/>
    <m/>
    <m/>
    <m/>
    <m/>
    <m/>
    <m/>
    <m/>
    <m/>
    <m/>
  </r>
  <r>
    <n v="742"/>
    <d v="2025-03-13T00:00:00"/>
    <x v="0"/>
    <n v="9518599347"/>
    <n v="1"/>
    <s v="9518599347-1"/>
    <s v="Apr'25 "/>
    <x v="0"/>
    <m/>
    <x v="1"/>
    <x v="1"/>
    <x v="0"/>
    <m/>
    <x v="1"/>
    <m/>
    <m/>
    <s v="Tamil Nadu"/>
    <s v="South"/>
    <s v="PATTANCHERY"/>
    <x v="0"/>
    <x v="35"/>
    <x v="35"/>
    <x v="128"/>
    <s v="CRCA COIL TATXXD AU03 1.100X1320"/>
    <s v=" "/>
    <s v=""/>
    <n v="10"/>
    <n v="30"/>
    <s v="Wider"/>
    <x v="1"/>
    <x v="2"/>
    <s v="AU03"/>
    <x v="43"/>
    <x v="9"/>
    <x v="0"/>
    <n v="60"/>
    <n v="0"/>
    <n v="60"/>
    <n v="60"/>
    <n v="2.519999999999996"/>
    <n v="60"/>
    <n v="0"/>
    <n v="0"/>
    <n v="0"/>
    <n v="0"/>
    <n v="0"/>
    <n v="0"/>
    <n v="0"/>
    <n v="0"/>
    <n v="0"/>
    <n v="0"/>
    <n v="0"/>
    <n v="0"/>
    <n v="0"/>
    <n v="57.480000000000004"/>
    <n v="0"/>
    <n v="0"/>
    <n v="0"/>
    <n v="0"/>
    <n v="0"/>
    <n v="57.480000000000004"/>
    <n v="57.480000000000004"/>
    <n v="0"/>
    <n v="57.480000000000004"/>
    <n v="0"/>
    <n v="0"/>
    <n v="60"/>
    <n v="60"/>
    <n v="0"/>
    <n v="0"/>
    <n v="0"/>
    <n v="0"/>
    <n v="60"/>
    <n v="0"/>
    <n v="60"/>
    <n v="0"/>
    <n v="0"/>
    <n v="0"/>
    <n v="0"/>
    <n v="0"/>
    <n v="0"/>
    <n v="0"/>
    <n v="0"/>
    <n v="0"/>
    <n v="0"/>
    <n v="0"/>
    <m/>
    <m/>
    <m/>
    <m/>
    <m/>
    <m/>
    <m/>
    <m/>
    <s v="0"/>
    <s v="1"/>
    <s v="1"/>
    <s v="1"/>
    <s v="1"/>
    <m/>
    <m/>
    <m/>
    <m/>
    <m/>
    <m/>
    <m/>
    <m/>
    <m/>
    <m/>
    <m/>
    <m/>
    <m/>
    <m/>
  </r>
  <r>
    <n v="742"/>
    <d v="2025-03-17T00:00:00"/>
    <x v="0"/>
    <n v="9518606284"/>
    <n v="9"/>
    <s v="9518606284-9"/>
    <s v="No Priority"/>
    <x v="0"/>
    <m/>
    <x v="1"/>
    <x v="2"/>
    <x v="1"/>
    <m/>
    <x v="0"/>
    <m/>
    <s v="Exp BTF &lt;17MT"/>
    <s v="Andhra Pradesh"/>
    <s v="South"/>
    <s v="VISHAKHAPATNAM"/>
    <x v="1"/>
    <x v="8"/>
    <x v="8"/>
    <x v="129"/>
    <s v="CRCA SHEET TSBCRC SR15 0.600X900X2440"/>
    <s v=" "/>
    <s v=""/>
    <n v="0"/>
    <n v="0"/>
    <s v="Narrow"/>
    <x v="2"/>
    <x v="4"/>
    <s v="SR15"/>
    <x v="20"/>
    <x v="3"/>
    <x v="6"/>
    <n v="42"/>
    <n v="17.664999999999999"/>
    <n v="24.335000000000001"/>
    <n v="5.18"/>
    <n v="24.335000000000001"/>
    <n v="5.64"/>
    <n v="0"/>
    <n v="0"/>
    <n v="0"/>
    <n v="0"/>
    <n v="0"/>
    <n v="0"/>
    <n v="0"/>
    <n v="0"/>
    <n v="0"/>
    <n v="0"/>
    <n v="0"/>
    <n v="0"/>
    <n v="0"/>
    <n v="0"/>
    <n v="0"/>
    <n v="0"/>
    <n v="0"/>
    <n v="0"/>
    <n v="0"/>
    <n v="0"/>
    <n v="0"/>
    <n v="0"/>
    <n v="0"/>
    <n v="0"/>
    <n v="0"/>
    <n v="0"/>
    <n v="0"/>
    <n v="0"/>
    <n v="0"/>
    <n v="0"/>
    <n v="0"/>
    <n v="0"/>
    <n v="0"/>
    <n v="0"/>
    <n v="0"/>
    <n v="0"/>
    <n v="0"/>
    <n v="0"/>
    <n v="17.664999999999999"/>
    <n v="0"/>
    <n v="0"/>
    <n v="0"/>
    <n v="0"/>
    <n v="0"/>
    <n v="17.664999999999999"/>
    <m/>
    <m/>
    <m/>
    <m/>
    <m/>
    <m/>
    <m/>
    <m/>
    <s v="1"/>
    <s v="1"/>
    <s v="1"/>
    <s v="1"/>
    <s v="1"/>
    <m/>
    <m/>
    <m/>
    <m/>
    <m/>
    <m/>
    <m/>
    <m/>
    <m/>
    <m/>
    <m/>
    <m/>
    <m/>
    <m/>
  </r>
  <r>
    <n v="742"/>
    <d v="2025-03-17T00:00:00"/>
    <x v="0"/>
    <n v="9518606284"/>
    <n v="10"/>
    <s v="9518606284-10"/>
    <s v="No Priority"/>
    <x v="0"/>
    <m/>
    <x v="1"/>
    <x v="2"/>
    <x v="1"/>
    <m/>
    <x v="0"/>
    <m/>
    <s v="Exp BTF &lt;17MT"/>
    <s v="Andhra Pradesh"/>
    <s v="South"/>
    <s v="VISHAKHAPATNAM"/>
    <x v="1"/>
    <x v="8"/>
    <x v="8"/>
    <x v="46"/>
    <s v="CRCA SHEET TSBCRC SR15 0.600X1000X2440"/>
    <s v=" "/>
    <s v=""/>
    <n v="0"/>
    <n v="0"/>
    <s v="Narrow"/>
    <x v="2"/>
    <x v="4"/>
    <s v="SR15"/>
    <x v="20"/>
    <x v="2"/>
    <x v="6"/>
    <n v="27"/>
    <n v="20.335000000000001"/>
    <n v="6.665"/>
    <n v="6.665"/>
    <n v="6.665"/>
    <n v="6.665"/>
    <n v="0"/>
    <n v="0"/>
    <n v="0"/>
    <n v="0"/>
    <n v="0"/>
    <n v="0"/>
    <n v="0"/>
    <n v="0"/>
    <n v="0"/>
    <n v="0"/>
    <n v="0"/>
    <n v="0"/>
    <n v="0"/>
    <n v="0"/>
    <n v="0"/>
    <n v="0"/>
    <n v="0"/>
    <n v="0"/>
    <n v="0"/>
    <n v="0"/>
    <n v="0"/>
    <n v="0"/>
    <n v="0"/>
    <n v="0"/>
    <n v="0"/>
    <n v="0"/>
    <n v="0"/>
    <n v="0"/>
    <n v="0"/>
    <n v="0"/>
    <n v="0"/>
    <n v="0"/>
    <n v="0"/>
    <n v="0"/>
    <n v="0"/>
    <n v="0"/>
    <n v="0"/>
    <n v="0"/>
    <n v="20.334999999999997"/>
    <n v="0"/>
    <n v="0"/>
    <n v="0"/>
    <n v="0"/>
    <n v="0"/>
    <n v="20.334999999999997"/>
    <m/>
    <m/>
    <m/>
    <m/>
    <m/>
    <m/>
    <m/>
    <m/>
    <s v="1"/>
    <s v="1"/>
    <s v="1"/>
    <s v="1"/>
    <s v="1"/>
    <m/>
    <m/>
    <m/>
    <m/>
    <m/>
    <m/>
    <m/>
    <m/>
    <m/>
    <m/>
    <m/>
    <m/>
    <m/>
    <m/>
  </r>
  <r>
    <n v="742"/>
    <d v="2025-03-17T00:00:00"/>
    <x v="0"/>
    <n v="9518606284"/>
    <n v="12"/>
    <s v="9518606284-12"/>
    <s v="Apr'25 "/>
    <x v="0"/>
    <m/>
    <x v="1"/>
    <x v="2"/>
    <x v="1"/>
    <m/>
    <x v="1"/>
    <m/>
    <m/>
    <s v="Andhra Pradesh"/>
    <s v="South"/>
    <s v="VISHAKHAPATNAM"/>
    <x v="1"/>
    <x v="8"/>
    <x v="8"/>
    <x v="71"/>
    <s v="CRCA SHEET TSBCRC SR15 0.750X1000X2500"/>
    <s v=" "/>
    <s v=""/>
    <n v="0"/>
    <n v="0"/>
    <s v="Narrow"/>
    <x v="2"/>
    <x v="4"/>
    <s v="SR15"/>
    <x v="28"/>
    <x v="2"/>
    <x v="3"/>
    <n v="21"/>
    <n v="0"/>
    <n v="21"/>
    <n v="21"/>
    <n v="-1.4499999999999993"/>
    <n v="21"/>
    <n v="0"/>
    <n v="0"/>
    <n v="0"/>
    <n v="0"/>
    <n v="0"/>
    <n v="0"/>
    <n v="0"/>
    <n v="0"/>
    <n v="0"/>
    <n v="0"/>
    <n v="0"/>
    <n v="0"/>
    <n v="0"/>
    <n v="22.45"/>
    <n v="0"/>
    <n v="0"/>
    <n v="0"/>
    <n v="0"/>
    <n v="0"/>
    <n v="22.45"/>
    <n v="22.45"/>
    <n v="0"/>
    <n v="22.45"/>
    <n v="0"/>
    <n v="0"/>
    <n v="21"/>
    <n v="0"/>
    <n v="21"/>
    <n v="0"/>
    <n v="0"/>
    <n v="0"/>
    <n v="21"/>
    <n v="0"/>
    <n v="21"/>
    <n v="0"/>
    <n v="0"/>
    <n v="0"/>
    <n v="0"/>
    <n v="0"/>
    <n v="0"/>
    <n v="0"/>
    <n v="0"/>
    <n v="0"/>
    <n v="0"/>
    <n v="0"/>
    <m/>
    <m/>
    <m/>
    <m/>
    <m/>
    <m/>
    <m/>
    <m/>
    <s v="1"/>
    <s v="0"/>
    <s v="1"/>
    <s v="1"/>
    <s v="1"/>
    <m/>
    <m/>
    <m/>
    <m/>
    <m/>
    <m/>
    <m/>
    <m/>
    <m/>
    <m/>
    <m/>
    <m/>
    <m/>
    <m/>
  </r>
  <r>
    <n v="742"/>
    <d v="2025-03-17T00:00:00"/>
    <x v="0"/>
    <n v="9518606284"/>
    <n v="15"/>
    <s v="9518606284-15"/>
    <s v="Apr'25 "/>
    <x v="0"/>
    <m/>
    <x v="1"/>
    <x v="2"/>
    <x v="1"/>
    <m/>
    <x v="1"/>
    <m/>
    <m/>
    <s v="Andhra Pradesh"/>
    <s v="South"/>
    <s v="VISHAKHAPATNAM"/>
    <x v="1"/>
    <x v="8"/>
    <x v="8"/>
    <x v="130"/>
    <s v="CRCA SHEET TSBCRC SR15 0.800X1000X2500"/>
    <s v=" "/>
    <s v=""/>
    <n v="0"/>
    <n v="0"/>
    <s v="Narrow"/>
    <x v="2"/>
    <x v="4"/>
    <s v="SR15"/>
    <x v="5"/>
    <x v="2"/>
    <x v="3"/>
    <n v="21"/>
    <n v="0"/>
    <n v="21"/>
    <n v="21"/>
    <n v="-1.3300000000000018"/>
    <n v="21"/>
    <n v="0"/>
    <n v="0"/>
    <n v="0"/>
    <n v="0"/>
    <n v="0"/>
    <n v="0"/>
    <n v="0"/>
    <n v="0"/>
    <n v="0"/>
    <n v="0"/>
    <n v="0"/>
    <n v="0"/>
    <n v="0"/>
    <n v="22.330000000000002"/>
    <n v="0"/>
    <n v="0"/>
    <n v="0"/>
    <n v="0"/>
    <n v="0"/>
    <n v="22.330000000000002"/>
    <n v="22.330000000000002"/>
    <n v="0"/>
    <n v="22.330000000000002"/>
    <n v="0"/>
    <n v="0"/>
    <n v="21"/>
    <n v="0"/>
    <n v="21"/>
    <n v="0"/>
    <n v="0"/>
    <n v="0"/>
    <n v="21"/>
    <n v="0"/>
    <n v="21"/>
    <n v="0"/>
    <n v="0"/>
    <n v="0"/>
    <n v="0"/>
    <n v="0"/>
    <n v="0"/>
    <n v="0"/>
    <n v="0"/>
    <n v="0"/>
    <n v="0"/>
    <n v="0"/>
    <m/>
    <m/>
    <m/>
    <m/>
    <m/>
    <m/>
    <m/>
    <m/>
    <s v="1"/>
    <s v="0"/>
    <s v="1"/>
    <s v="1"/>
    <s v="1"/>
    <m/>
    <m/>
    <m/>
    <m/>
    <m/>
    <m/>
    <m/>
    <m/>
    <m/>
    <m/>
    <m/>
    <m/>
    <m/>
    <m/>
  </r>
  <r>
    <n v="742"/>
    <d v="2025-03-17T00:00:00"/>
    <x v="0"/>
    <n v="9518606598"/>
    <n v="4"/>
    <s v="9518606598-4"/>
    <s v="No Priority"/>
    <x v="0"/>
    <m/>
    <x v="1"/>
    <x v="1"/>
    <x v="0"/>
    <m/>
    <x v="0"/>
    <m/>
    <m/>
    <s v="Andhra Pradesh"/>
    <s v="South"/>
    <s v="VISHAKHAPATNAM"/>
    <x v="0"/>
    <x v="8"/>
    <x v="8"/>
    <x v="95"/>
    <s v="CRCA COIL-TATXXD-AU03-1.2X1250"/>
    <s v=" "/>
    <s v=""/>
    <n v="8"/>
    <n v="29"/>
    <s v="Wider"/>
    <x v="1"/>
    <x v="2"/>
    <s v="AU03"/>
    <x v="19"/>
    <x v="0"/>
    <x v="0"/>
    <n v="29"/>
    <n v="0"/>
    <n v="29"/>
    <n v="1.49"/>
    <n v="0"/>
    <n v="3.2650000000000001"/>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7T00:00:00"/>
    <x v="0"/>
    <n v="9518606598"/>
    <n v="5"/>
    <s v="9518606598-5"/>
    <s v="Stocks"/>
    <x v="0"/>
    <m/>
    <x v="1"/>
    <x v="1"/>
    <x v="0"/>
    <m/>
    <x v="1"/>
    <m/>
    <s v="Exp BTF &lt;17MT"/>
    <s v="Andhra Pradesh"/>
    <s v="South"/>
    <s v="VISHAKHAPATNAM"/>
    <x v="0"/>
    <x v="8"/>
    <x v="8"/>
    <x v="69"/>
    <s v="CRCA COIL TATXXD AU03 1.500X1250"/>
    <s v=" "/>
    <s v=""/>
    <n v="8"/>
    <n v="29"/>
    <s v="Wider"/>
    <x v="1"/>
    <x v="2"/>
    <s v="AU03"/>
    <x v="27"/>
    <x v="0"/>
    <x v="0"/>
    <n v="29"/>
    <n v="0"/>
    <n v="29"/>
    <n v="4.72"/>
    <n v="29"/>
    <n v="7.38"/>
    <n v="0"/>
    <n v="0"/>
    <n v="0"/>
    <n v="0"/>
    <n v="0"/>
    <n v="0"/>
    <n v="0"/>
    <n v="0"/>
    <n v="0"/>
    <n v="0"/>
    <n v="0"/>
    <n v="0"/>
    <n v="0"/>
    <n v="0"/>
    <n v="0"/>
    <n v="0"/>
    <n v="0"/>
    <n v="0"/>
    <n v="0"/>
    <n v="0"/>
    <n v="0"/>
    <n v="0"/>
    <n v="0"/>
    <n v="0"/>
    <n v="21.62"/>
    <n v="0"/>
    <n v="0"/>
    <n v="0"/>
    <n v="0"/>
    <n v="0"/>
    <n v="0"/>
    <n v="21.62"/>
    <n v="21.62"/>
    <n v="0"/>
    <n v="0"/>
    <n v="0"/>
    <n v="0"/>
    <n v="0"/>
    <n v="0"/>
    <n v="0"/>
    <n v="0"/>
    <n v="0"/>
    <n v="0"/>
    <n v="0"/>
    <n v="0"/>
    <m/>
    <m/>
    <m/>
    <m/>
    <m/>
    <m/>
    <m/>
    <m/>
    <s v="1"/>
    <s v="1"/>
    <s v="1"/>
    <s v="1"/>
    <s v="1"/>
    <m/>
    <m/>
    <m/>
    <m/>
    <m/>
    <m/>
    <m/>
    <m/>
    <m/>
    <m/>
    <m/>
    <m/>
    <m/>
    <m/>
  </r>
  <r>
    <n v="743"/>
    <d v="2025-03-04T00:00:00"/>
    <x v="0"/>
    <n v="9518572384"/>
    <n v="1"/>
    <s v="9518572384-1"/>
    <s v="Stocks"/>
    <x v="0"/>
    <m/>
    <x v="3"/>
    <x v="9"/>
    <x v="0"/>
    <m/>
    <x v="1"/>
    <m/>
    <m/>
    <s v="Jharkhand"/>
    <s v="East"/>
    <s v="BOKARO STEEL CY"/>
    <x v="0"/>
    <x v="10"/>
    <x v="10"/>
    <x v="56"/>
    <s v="GP COIL SOFT-TATXGP-GK09-0.4X900"/>
    <s v="Z80"/>
    <s v=""/>
    <n v="4"/>
    <n v="12"/>
    <s v="Narrow"/>
    <x v="7"/>
    <x v="5"/>
    <s v="GK09"/>
    <x v="2"/>
    <x v="3"/>
    <x v="0"/>
    <n v="84"/>
    <n v="0"/>
    <n v="84"/>
    <n v="3.0449999999999999"/>
    <n v="83.5"/>
    <n v="8.4"/>
    <n v="0"/>
    <n v="0"/>
    <n v="0"/>
    <n v="0"/>
    <n v="0"/>
    <n v="0"/>
    <n v="0.5"/>
    <n v="0"/>
    <n v="0"/>
    <n v="0"/>
    <n v="0"/>
    <n v="0"/>
    <n v="0"/>
    <n v="0"/>
    <n v="0"/>
    <n v="0"/>
    <n v="0"/>
    <n v="0"/>
    <n v="0"/>
    <n v="0.5"/>
    <n v="0.5"/>
    <n v="0"/>
    <n v="0.5"/>
    <n v="0"/>
    <n v="8.9700000000000006"/>
    <n v="0"/>
    <n v="0"/>
    <n v="0"/>
    <n v="0"/>
    <n v="0"/>
    <n v="0"/>
    <n v="8.9700000000000006"/>
    <n v="8.9700000000000006"/>
    <n v="0"/>
    <n v="0"/>
    <n v="0"/>
    <n v="0"/>
    <n v="0"/>
    <n v="0"/>
    <n v="0"/>
    <n v="0"/>
    <n v="0"/>
    <n v="0"/>
    <n v="0"/>
    <n v="0"/>
    <m/>
    <m/>
    <m/>
    <m/>
    <m/>
    <m/>
    <m/>
    <m/>
    <s v="1"/>
    <s v="1"/>
    <s v="1"/>
    <s v="1"/>
    <s v="1"/>
    <m/>
    <m/>
    <m/>
    <m/>
    <m/>
    <m/>
    <m/>
    <m/>
    <m/>
    <m/>
    <m/>
    <m/>
    <m/>
    <m/>
  </r>
  <r>
    <n v="742"/>
    <d v="2025-03-06T00:00:00"/>
    <x v="0"/>
    <n v="9518578782"/>
    <n v="6"/>
    <s v="9518578782-6"/>
    <s v="Apr'25 "/>
    <x v="0"/>
    <m/>
    <x v="1"/>
    <x v="1"/>
    <x v="0"/>
    <m/>
    <x v="1"/>
    <m/>
    <m/>
    <s v="Tamil Nadu"/>
    <s v="South"/>
    <s v="PATTANCHERY"/>
    <x v="0"/>
    <x v="35"/>
    <x v="35"/>
    <x v="60"/>
    <s v="CRSHEET-ICF  DQ TATXXD AU03 0.90 X 1220"/>
    <s v=" "/>
    <s v=""/>
    <n v="10"/>
    <n v="30"/>
    <s v="Wider"/>
    <x v="1"/>
    <x v="2"/>
    <s v="AU03"/>
    <x v="13"/>
    <x v="1"/>
    <x v="0"/>
    <n v="28"/>
    <n v="0"/>
    <n v="28"/>
    <n v="28"/>
    <n v="28"/>
    <n v="28"/>
    <n v="0"/>
    <n v="0"/>
    <n v="0"/>
    <n v="0"/>
    <n v="0"/>
    <n v="0"/>
    <n v="0"/>
    <n v="0"/>
    <n v="0"/>
    <n v="0"/>
    <n v="0"/>
    <n v="0"/>
    <n v="0"/>
    <n v="0"/>
    <n v="0"/>
    <n v="0"/>
    <n v="0"/>
    <n v="0"/>
    <n v="0"/>
    <n v="0"/>
    <n v="0"/>
    <n v="0"/>
    <n v="0"/>
    <n v="0"/>
    <n v="0"/>
    <n v="28"/>
    <n v="0"/>
    <n v="0"/>
    <n v="0"/>
    <n v="28"/>
    <n v="0"/>
    <n v="28"/>
    <n v="0"/>
    <n v="0"/>
    <n v="0"/>
    <n v="28"/>
    <n v="0"/>
    <n v="0"/>
    <n v="0"/>
    <n v="0"/>
    <n v="0"/>
    <n v="0"/>
    <n v="0"/>
    <n v="0"/>
    <n v="0"/>
    <m/>
    <m/>
    <m/>
    <m/>
    <m/>
    <m/>
    <m/>
    <m/>
    <s v="1"/>
    <s v="1"/>
    <s v="1"/>
    <s v="0"/>
    <s v="1"/>
    <m/>
    <m/>
    <m/>
    <m/>
    <m/>
    <m/>
    <m/>
    <m/>
    <m/>
    <m/>
    <m/>
    <m/>
    <m/>
    <m/>
  </r>
  <r>
    <n v="742"/>
    <d v="2025-03-06T00:00:00"/>
    <x v="0"/>
    <n v="9518578782"/>
    <n v="8"/>
    <s v="9518578782-8"/>
    <s v="Apr'25 "/>
    <x v="0"/>
    <m/>
    <x v="1"/>
    <x v="1"/>
    <x v="0"/>
    <m/>
    <x v="1"/>
    <m/>
    <m/>
    <s v="Tamil Nadu"/>
    <s v="South"/>
    <s v="PATTANCHERY"/>
    <x v="0"/>
    <x v="35"/>
    <x v="35"/>
    <x v="131"/>
    <s v="CRSHEET-ICF  DQ TATXXD AU03 1.00 X 1220"/>
    <s v=" "/>
    <s v=""/>
    <n v="10"/>
    <n v="30"/>
    <s v="Wider"/>
    <x v="1"/>
    <x v="2"/>
    <s v="AU03"/>
    <x v="17"/>
    <x v="1"/>
    <x v="0"/>
    <n v="56"/>
    <n v="0"/>
    <n v="56"/>
    <n v="56"/>
    <n v="56"/>
    <n v="56"/>
    <n v="0"/>
    <n v="0"/>
    <n v="0"/>
    <n v="0"/>
    <n v="0"/>
    <n v="0"/>
    <n v="0"/>
    <n v="0"/>
    <n v="0"/>
    <n v="0"/>
    <n v="0"/>
    <n v="0"/>
    <n v="0"/>
    <n v="0"/>
    <n v="0"/>
    <n v="0"/>
    <n v="0"/>
    <n v="0"/>
    <n v="0"/>
    <n v="0"/>
    <n v="0"/>
    <n v="0"/>
    <n v="0"/>
    <n v="0"/>
    <n v="0"/>
    <n v="56"/>
    <n v="0"/>
    <n v="0"/>
    <n v="0"/>
    <n v="56"/>
    <n v="0"/>
    <n v="56"/>
    <n v="0"/>
    <n v="0"/>
    <n v="0"/>
    <n v="56"/>
    <n v="0"/>
    <n v="0"/>
    <n v="0"/>
    <n v="0"/>
    <n v="0"/>
    <n v="0"/>
    <n v="0"/>
    <n v="0"/>
    <n v="0"/>
    <m/>
    <m/>
    <m/>
    <m/>
    <m/>
    <m/>
    <m/>
    <m/>
    <s v="1"/>
    <s v="1"/>
    <s v="1"/>
    <s v="0"/>
    <s v="1"/>
    <m/>
    <m/>
    <m/>
    <m/>
    <m/>
    <m/>
    <m/>
    <m/>
    <m/>
    <m/>
    <m/>
    <m/>
    <m/>
    <m/>
  </r>
  <r>
    <n v="744"/>
    <d v="2025-03-06T00:00:00"/>
    <x v="0"/>
    <n v="9518579956"/>
    <n v="1"/>
    <s v="9518579956-1"/>
    <s v="Apr'25 "/>
    <x v="0"/>
    <m/>
    <x v="2"/>
    <x v="3"/>
    <x v="2"/>
    <m/>
    <x v="1"/>
    <m/>
    <m/>
    <s v="TBSPL"/>
    <s v="TBSPL"/>
    <s v="TBSPL"/>
    <x v="0"/>
    <x v="6"/>
    <x v="6"/>
    <x v="122"/>
    <s v="PPGL C Y550 HPL9 0.45BMT(0.57TPT)X1220"/>
    <s v="AZ200"/>
    <s v="ELITE STONE BLUE TSL 1688"/>
    <n v="3"/>
    <n v="5"/>
    <s v="Wider"/>
    <x v="3"/>
    <x v="3"/>
    <s v="HPL9"/>
    <x v="10"/>
    <x v="1"/>
    <x v="0"/>
    <n v="56"/>
    <n v="0"/>
    <n v="56"/>
    <n v="56"/>
    <n v="-1.3299999999999983"/>
    <n v="56"/>
    <n v="0"/>
    <n v="57.33"/>
    <n v="0"/>
    <n v="0"/>
    <n v="0"/>
    <n v="0"/>
    <n v="0"/>
    <n v="0"/>
    <n v="0"/>
    <n v="0"/>
    <n v="0"/>
    <n v="0"/>
    <n v="0"/>
    <n v="0"/>
    <n v="0"/>
    <n v="0"/>
    <n v="0"/>
    <n v="0"/>
    <n v="0"/>
    <n v="57.33"/>
    <n v="57.33"/>
    <n v="0"/>
    <n v="57.33"/>
    <n v="0"/>
    <n v="0"/>
    <n v="56"/>
    <n v="56"/>
    <n v="0"/>
    <n v="0"/>
    <n v="0"/>
    <n v="0"/>
    <n v="56"/>
    <n v="0"/>
    <n v="56"/>
    <n v="0"/>
    <n v="0"/>
    <n v="0"/>
    <n v="0"/>
    <n v="0"/>
    <n v="0"/>
    <n v="0"/>
    <n v="0"/>
    <n v="0"/>
    <n v="0"/>
    <n v="0"/>
    <m/>
    <m/>
    <m/>
    <m/>
    <m/>
    <m/>
    <m/>
    <m/>
    <s v="0"/>
    <s v="1"/>
    <s v="1"/>
    <s v="1"/>
    <s v="1"/>
    <m/>
    <m/>
    <m/>
    <m/>
    <m/>
    <m/>
    <m/>
    <m/>
    <m/>
    <m/>
    <m/>
    <m/>
    <m/>
    <m/>
  </r>
  <r>
    <n v="742"/>
    <d v="2025-02-14T00:00:00"/>
    <x v="0"/>
    <n v="9518519930"/>
    <n v="6"/>
    <s v="9518519930-6"/>
    <s v="Apr'25 "/>
    <x v="0"/>
    <m/>
    <x v="1"/>
    <x v="1"/>
    <x v="0"/>
    <m/>
    <x v="1"/>
    <m/>
    <m/>
    <s v="Punjab"/>
    <s v="North"/>
    <s v="SANHEWAL"/>
    <x v="0"/>
    <x v="55"/>
    <x v="51"/>
    <x v="132"/>
    <s v="CRCA COIL TATXXD AU03 1.200X900"/>
    <s v=" "/>
    <s v=""/>
    <n v="10"/>
    <n v="28"/>
    <s v="Narrow"/>
    <x v="1"/>
    <x v="2"/>
    <s v="AU03"/>
    <x v="19"/>
    <x v="3"/>
    <x v="0"/>
    <n v="21"/>
    <n v="0"/>
    <n v="21"/>
    <n v="21"/>
    <n v="21"/>
    <n v="21"/>
    <n v="0"/>
    <n v="0"/>
    <n v="0"/>
    <n v="0"/>
    <n v="0"/>
    <n v="0"/>
    <n v="0"/>
    <n v="0"/>
    <n v="0"/>
    <n v="0"/>
    <n v="0"/>
    <n v="0"/>
    <n v="0"/>
    <n v="0"/>
    <n v="0"/>
    <n v="0"/>
    <n v="0"/>
    <n v="0"/>
    <n v="0"/>
    <n v="0"/>
    <n v="0"/>
    <n v="0"/>
    <n v="0"/>
    <n v="0"/>
    <n v="0"/>
    <n v="21"/>
    <n v="0"/>
    <n v="0"/>
    <n v="0"/>
    <n v="0"/>
    <n v="21"/>
    <n v="0"/>
    <n v="0"/>
    <n v="0"/>
    <n v="0"/>
    <n v="0"/>
    <n v="0"/>
    <n v="21"/>
    <n v="0"/>
    <n v="0"/>
    <n v="0"/>
    <n v="0"/>
    <n v="0"/>
    <n v="0"/>
    <n v="0"/>
    <m/>
    <m/>
    <m/>
    <m/>
    <m/>
    <m/>
    <m/>
    <m/>
    <s v="1"/>
    <s v="1"/>
    <s v="1"/>
    <s v="1"/>
    <s v="0"/>
    <m/>
    <m/>
    <m/>
    <m/>
    <m/>
    <m/>
    <m/>
    <m/>
    <m/>
    <m/>
    <m/>
    <m/>
    <m/>
    <m/>
  </r>
  <r>
    <n v="742"/>
    <d v="2025-02-14T00:00:00"/>
    <x v="0"/>
    <n v="9518519688"/>
    <n v="1"/>
    <s v="9518519688-1"/>
    <s v="No Priority"/>
    <x v="0"/>
    <m/>
    <x v="0"/>
    <x v="0"/>
    <x v="0"/>
    <m/>
    <x v="0"/>
    <m/>
    <m/>
    <s v="Karnataka"/>
    <s v="South"/>
    <s v="YESHWANTHPURA"/>
    <x v="0"/>
    <x v="46"/>
    <x v="45"/>
    <x v="106"/>
    <s v="HR COILS-PO IS 1079 HR2 2.01X1250"/>
    <s v=" "/>
    <s v=""/>
    <n v="17"/>
    <n v="27.5"/>
    <s v="Wider"/>
    <x v="0"/>
    <x v="0"/>
    <s v="HR99"/>
    <x v="36"/>
    <x v="0"/>
    <x v="0"/>
    <n v="75"/>
    <n v="0"/>
    <n v="75"/>
    <n v="75"/>
    <n v="0"/>
    <n v="9.44"/>
    <n v="0"/>
    <n v="0"/>
    <n v="0"/>
    <n v="0"/>
    <n v="0"/>
    <n v="0"/>
    <n v="0"/>
    <n v="0"/>
    <n v="0"/>
    <n v="0"/>
    <n v="0"/>
    <n v="0"/>
    <n v="0"/>
    <n v="0"/>
    <n v="0"/>
    <n v="0"/>
    <n v="0"/>
    <n v="0"/>
    <n v="0"/>
    <n v="0"/>
    <n v="0"/>
    <n v="75"/>
    <n v="75"/>
    <n v="0"/>
    <n v="0"/>
    <n v="0"/>
    <n v="0"/>
    <n v="0"/>
    <n v="0"/>
    <n v="0"/>
    <n v="0"/>
    <n v="0"/>
    <n v="0"/>
    <n v="0"/>
    <n v="0"/>
    <n v="0"/>
    <n v="0"/>
    <n v="0"/>
    <n v="0"/>
    <n v="0"/>
    <n v="0"/>
    <n v="0"/>
    <n v="0"/>
    <n v="0"/>
    <n v="0"/>
    <m/>
    <m/>
    <m/>
    <m/>
    <m/>
    <m/>
    <m/>
    <m/>
    <s v="1"/>
    <s v="1"/>
    <s v="1"/>
    <s v="1"/>
    <s v="1"/>
    <m/>
    <m/>
    <m/>
    <m/>
    <m/>
    <m/>
    <m/>
    <m/>
    <m/>
    <m/>
    <m/>
    <m/>
    <m/>
    <m/>
  </r>
  <r>
    <n v="742"/>
    <d v="2025-01-27T00:00:00"/>
    <x v="0"/>
    <n v="9518467189"/>
    <n v="2"/>
    <s v="9518467189-2"/>
    <s v="No Priority"/>
    <x v="0"/>
    <m/>
    <x v="0"/>
    <x v="0"/>
    <x v="0"/>
    <m/>
    <x v="0"/>
    <m/>
    <m/>
    <s v="Karnataka"/>
    <s v="South"/>
    <s v="YESHWANTHPURA"/>
    <x v="0"/>
    <x v="46"/>
    <x v="45"/>
    <x v="133"/>
    <s v="HR COILS-PO IS 1079 HR2 3X1500"/>
    <s v=" "/>
    <s v=""/>
    <n v="15"/>
    <n v="35"/>
    <s v="Wider"/>
    <x v="0"/>
    <x v="0"/>
    <s v="HR99"/>
    <x v="0"/>
    <x v="16"/>
    <x v="0"/>
    <n v="60"/>
    <n v="0"/>
    <n v="60"/>
    <n v="60"/>
    <n v="6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27T00:00:00"/>
    <x v="0"/>
    <n v="9518467189"/>
    <n v="3"/>
    <s v="9518467189-3"/>
    <s v="No Priority"/>
    <x v="0"/>
    <m/>
    <x v="0"/>
    <x v="0"/>
    <x v="0"/>
    <m/>
    <x v="0"/>
    <m/>
    <m/>
    <s v="Karnataka"/>
    <s v="South"/>
    <s v="YESHWANTHPURA"/>
    <x v="0"/>
    <x v="46"/>
    <x v="45"/>
    <x v="134"/>
    <s v="HR COILS-PO IS 1079 HR2 3.15X1500"/>
    <s v=" "/>
    <s v=""/>
    <n v="15"/>
    <n v="35"/>
    <s v="Wider"/>
    <x v="0"/>
    <x v="0"/>
    <s v="HR99"/>
    <x v="30"/>
    <x v="16"/>
    <x v="0"/>
    <n v="60"/>
    <n v="0"/>
    <n v="60"/>
    <n v="60"/>
    <n v="10"/>
    <n v="0"/>
    <n v="0"/>
    <n v="0"/>
    <n v="0"/>
    <n v="0"/>
    <n v="0"/>
    <n v="0"/>
    <n v="0"/>
    <n v="0"/>
    <n v="0"/>
    <n v="0"/>
    <n v="0"/>
    <n v="0"/>
    <n v="0"/>
    <n v="0"/>
    <n v="0"/>
    <n v="0"/>
    <n v="0"/>
    <n v="0"/>
    <n v="0"/>
    <n v="0"/>
    <n v="50"/>
    <n v="0"/>
    <n v="50"/>
    <n v="-50"/>
    <n v="0"/>
    <n v="0"/>
    <n v="0"/>
    <n v="0"/>
    <n v="0"/>
    <n v="0"/>
    <n v="0"/>
    <n v="0"/>
    <n v="0"/>
    <n v="0"/>
    <n v="0"/>
    <n v="0"/>
    <n v="0"/>
    <n v="0"/>
    <n v="0"/>
    <n v="0"/>
    <n v="0"/>
    <n v="0"/>
    <n v="0"/>
    <n v="0"/>
    <n v="0"/>
    <m/>
    <m/>
    <m/>
    <m/>
    <m/>
    <m/>
    <m/>
    <m/>
    <s v="1"/>
    <s v="1"/>
    <s v="1"/>
    <s v="1"/>
    <s v="1"/>
    <m/>
    <m/>
    <m/>
    <m/>
    <m/>
    <m/>
    <m/>
    <m/>
    <m/>
    <m/>
    <m/>
    <m/>
    <m/>
    <m/>
  </r>
  <r>
    <n v="742"/>
    <d v="2025-03-11T00:00:00"/>
    <x v="0"/>
    <n v="9518591869"/>
    <n v="11"/>
    <s v="9518591869-11"/>
    <s v="No Priority"/>
    <x v="0"/>
    <m/>
    <x v="1"/>
    <x v="1"/>
    <x v="0"/>
    <m/>
    <x v="0"/>
    <m/>
    <s v="Exp BTF &lt;17MT"/>
    <s v="Delhi"/>
    <s v="North"/>
    <s v="FARIDABAD"/>
    <x v="0"/>
    <x v="56"/>
    <x v="52"/>
    <x v="107"/>
    <s v="CRCA COIL TATXXD AU03 1.400X1250"/>
    <s v=" "/>
    <s v=""/>
    <n v="10"/>
    <n v="30"/>
    <s v="Wider"/>
    <x v="1"/>
    <x v="2"/>
    <s v="AU03"/>
    <x v="37"/>
    <x v="0"/>
    <x v="0"/>
    <n v="58"/>
    <n v="0"/>
    <n v="58"/>
    <n v="8.4700000000000006"/>
    <n v="58"/>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0T00:00:00"/>
    <x v="0"/>
    <n v="9518420076"/>
    <n v="1"/>
    <s v="9518420076-1"/>
    <s v="Stocks"/>
    <x v="0"/>
    <m/>
    <x v="0"/>
    <x v="0"/>
    <x v="0"/>
    <m/>
    <x v="1"/>
    <m/>
    <m/>
    <s v="Telangana"/>
    <s v="South"/>
    <s v="PATTANCHERY"/>
    <x v="0"/>
    <x v="57"/>
    <x v="53"/>
    <x v="0"/>
    <s v="HR COILS-PO IS 1079 HR2 3.0X1250"/>
    <s v=" "/>
    <s v=""/>
    <n v="17"/>
    <n v="27.5"/>
    <s v="Wider"/>
    <x v="0"/>
    <x v="0"/>
    <s v="HR99"/>
    <x v="0"/>
    <x v="0"/>
    <x v="0"/>
    <n v="25"/>
    <n v="0"/>
    <n v="25"/>
    <n v="0.19"/>
    <n v="0"/>
    <n v="0"/>
    <n v="0"/>
    <n v="0"/>
    <n v="0"/>
    <n v="0"/>
    <n v="0"/>
    <n v="0"/>
    <n v="0"/>
    <n v="0"/>
    <n v="0"/>
    <n v="0"/>
    <n v="0"/>
    <n v="0"/>
    <n v="0"/>
    <n v="0"/>
    <n v="0"/>
    <n v="0"/>
    <n v="0"/>
    <n v="0"/>
    <n v="0"/>
    <n v="0"/>
    <n v="0"/>
    <n v="0"/>
    <n v="0"/>
    <n v="0"/>
    <n v="24.56"/>
    <n v="0"/>
    <n v="0"/>
    <n v="0"/>
    <n v="0"/>
    <n v="0"/>
    <n v="0"/>
    <n v="24.56"/>
    <n v="24.56"/>
    <n v="0"/>
    <n v="0"/>
    <n v="0"/>
    <n v="0"/>
    <n v="0"/>
    <n v="0"/>
    <n v="0"/>
    <n v="0"/>
    <n v="0"/>
    <n v="0"/>
    <n v="0"/>
    <n v="0"/>
    <m/>
    <m/>
    <m/>
    <m/>
    <m/>
    <m/>
    <m/>
    <m/>
    <s v="1"/>
    <s v="1"/>
    <s v="1"/>
    <s v="1"/>
    <s v="1"/>
    <m/>
    <m/>
    <m/>
    <m/>
    <m/>
    <m/>
    <m/>
    <m/>
    <m/>
    <m/>
    <m/>
    <m/>
    <m/>
    <m/>
  </r>
  <r>
    <n v="742"/>
    <d v="2025-01-06T00:00:00"/>
    <x v="0"/>
    <n v="9518407284"/>
    <n v="10"/>
    <s v="9518407284-10"/>
    <s v="No Priority"/>
    <x v="0"/>
    <m/>
    <x v="1"/>
    <x v="2"/>
    <x v="0"/>
    <m/>
    <x v="0"/>
    <m/>
    <m/>
    <s v="Tamil Nadu"/>
    <s v="South"/>
    <s v="CHENNAI"/>
    <x v="1"/>
    <x v="13"/>
    <x v="13"/>
    <x v="135"/>
    <s v="CRCA SHEET TSBCRC SR15 0.500X1000X1980"/>
    <s v=" "/>
    <s v=""/>
    <n v="0"/>
    <n v="0"/>
    <s v="Narrow"/>
    <x v="2"/>
    <x v="4"/>
    <s v="SR15"/>
    <x v="1"/>
    <x v="2"/>
    <x v="4"/>
    <n v="24"/>
    <n v="0"/>
    <n v="24"/>
    <n v="0.85"/>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21T00:00:00"/>
    <x v="0"/>
    <n v="9518446197"/>
    <n v="1"/>
    <s v="9518446197-1"/>
    <s v="No Priority"/>
    <x v="0"/>
    <m/>
    <x v="1"/>
    <x v="12"/>
    <x v="0"/>
    <m/>
    <x v="0"/>
    <m/>
    <m/>
    <s v="Telangana"/>
    <s v="South"/>
    <s v="SANGAREDDY"/>
    <x v="0"/>
    <x v="23"/>
    <x v="22"/>
    <x v="37"/>
    <s v="CR COIL TSBSTA EL06 0.500X1250"/>
    <s v=" "/>
    <s v=""/>
    <n v="18"/>
    <n v="30"/>
    <s v="Wider"/>
    <x v="1"/>
    <x v="9"/>
    <s v="EL06"/>
    <x v="1"/>
    <x v="0"/>
    <x v="0"/>
    <n v="87"/>
    <n v="25.734999999999999"/>
    <n v="61.265000000000001"/>
    <n v="8.5850000000000009"/>
    <n v="61.265000000000001"/>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8T00:00:00"/>
    <x v="0"/>
    <n v="9518610746"/>
    <n v="2"/>
    <s v="9518610746-2"/>
    <s v="No Priority"/>
    <x v="0"/>
    <m/>
    <x v="1"/>
    <x v="1"/>
    <x v="0"/>
    <m/>
    <x v="0"/>
    <m/>
    <s v="Exp BTF &lt;17MT"/>
    <s v="Punjab"/>
    <s v="North"/>
    <s v="SANHEWAL"/>
    <x v="0"/>
    <x v="55"/>
    <x v="51"/>
    <x v="114"/>
    <s v="CRCA COIL-TATXXD-AU03-0.9X1250"/>
    <s v=" "/>
    <s v=""/>
    <n v="15"/>
    <n v="30"/>
    <s v="Wider"/>
    <x v="1"/>
    <x v="2"/>
    <s v="AU03"/>
    <x v="13"/>
    <x v="0"/>
    <x v="0"/>
    <n v="58"/>
    <n v="25.9"/>
    <n v="32.1"/>
    <n v="4.5199999999999996"/>
    <n v="32.1"/>
    <n v="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6T00:00:00"/>
    <x v="0"/>
    <n v="9518433421"/>
    <n v="20"/>
    <s v="9518433421-20"/>
    <s v="Stocks"/>
    <x v="0"/>
    <m/>
    <x v="1"/>
    <x v="2"/>
    <x v="0"/>
    <m/>
    <x v="1"/>
    <m/>
    <m/>
    <s v="Tamil Nadu"/>
    <s v="South"/>
    <s v="CHENNAI"/>
    <x v="1"/>
    <x v="4"/>
    <x v="4"/>
    <x v="18"/>
    <s v="CRCA SHEET TATCRC SR16 0.450X1000X1980"/>
    <s v=" "/>
    <s v=""/>
    <n v="0"/>
    <n v="0"/>
    <s v="Narrow"/>
    <x v="2"/>
    <x v="1"/>
    <s v="SR16"/>
    <x v="10"/>
    <x v="2"/>
    <x v="4"/>
    <n v="90"/>
    <n v="0"/>
    <n v="90"/>
    <n v="-33.32"/>
    <n v="0"/>
    <n v="0"/>
    <n v="0"/>
    <n v="0"/>
    <n v="0"/>
    <n v="0"/>
    <n v="0"/>
    <n v="0"/>
    <n v="0"/>
    <n v="0"/>
    <n v="0"/>
    <n v="0"/>
    <n v="0"/>
    <n v="0"/>
    <n v="0"/>
    <n v="0"/>
    <n v="0"/>
    <n v="0"/>
    <n v="0"/>
    <n v="0"/>
    <n v="0"/>
    <n v="0"/>
    <n v="0"/>
    <n v="0"/>
    <n v="0"/>
    <n v="0"/>
    <n v="2.59"/>
    <n v="0"/>
    <n v="0"/>
    <n v="0"/>
    <n v="0"/>
    <n v="0"/>
    <n v="0"/>
    <n v="2.59"/>
    <n v="2.59"/>
    <n v="0"/>
    <n v="0"/>
    <n v="0"/>
    <n v="0"/>
    <n v="0"/>
    <n v="0"/>
    <n v="0"/>
    <n v="0"/>
    <n v="0"/>
    <n v="0"/>
    <n v="0"/>
    <n v="0"/>
    <m/>
    <m/>
    <m/>
    <m/>
    <m/>
    <m/>
    <m/>
    <m/>
    <s v="1"/>
    <s v="1"/>
    <s v="1"/>
    <s v="1"/>
    <s v="1"/>
    <m/>
    <m/>
    <m/>
    <m/>
    <m/>
    <m/>
    <m/>
    <m/>
    <m/>
    <m/>
    <m/>
    <m/>
    <m/>
    <m/>
  </r>
  <r>
    <n v="742"/>
    <d v="2025-02-06T00:00:00"/>
    <x v="0"/>
    <n v="9518499138"/>
    <n v="9"/>
    <s v="9518499138-9"/>
    <s v="May'25"/>
    <x v="0"/>
    <m/>
    <x v="1"/>
    <x v="2"/>
    <x v="0"/>
    <m/>
    <x v="1"/>
    <m/>
    <m/>
    <s v="Jharkhand"/>
    <s v="East"/>
    <s v="BOKARO STEEL CY"/>
    <x v="1"/>
    <x v="10"/>
    <x v="10"/>
    <x v="14"/>
    <s v="CRCA SHEET TATCRC SR16 0.480X1000X2500"/>
    <s v=" "/>
    <s v=""/>
    <n v="2.8"/>
    <n v="3.2"/>
    <s v="Narrow"/>
    <x v="2"/>
    <x v="1"/>
    <s v="SR16"/>
    <x v="8"/>
    <x v="2"/>
    <x v="3"/>
    <n v="24"/>
    <n v="0"/>
    <n v="24"/>
    <n v="1.71"/>
    <n v="0"/>
    <n v="24"/>
    <n v="0"/>
    <n v="0"/>
    <n v="0"/>
    <n v="0"/>
    <n v="0"/>
    <n v="0"/>
    <n v="0"/>
    <n v="0"/>
    <n v="0"/>
    <n v="0"/>
    <n v="0"/>
    <n v="0"/>
    <n v="0"/>
    <n v="0"/>
    <n v="22.27"/>
    <n v="0"/>
    <n v="0"/>
    <n v="0"/>
    <n v="0"/>
    <n v="22.27"/>
    <n v="22.27"/>
    <n v="0"/>
    <n v="22.27"/>
    <n v="0"/>
    <n v="0"/>
    <n v="24"/>
    <n v="24"/>
    <n v="0"/>
    <n v="0"/>
    <n v="0"/>
    <n v="0"/>
    <n v="24"/>
    <n v="0"/>
    <n v="24"/>
    <n v="0"/>
    <n v="0"/>
    <n v="0"/>
    <n v="0"/>
    <n v="0"/>
    <n v="0"/>
    <n v="0"/>
    <n v="0"/>
    <n v="0"/>
    <n v="0"/>
    <n v="0"/>
    <m/>
    <m/>
    <m/>
    <m/>
    <m/>
    <m/>
    <m/>
    <m/>
    <s v="0"/>
    <s v="1"/>
    <s v="1"/>
    <s v="1"/>
    <s v="1"/>
    <m/>
    <m/>
    <m/>
    <m/>
    <m/>
    <m/>
    <m/>
    <m/>
    <m/>
    <m/>
    <m/>
    <m/>
    <m/>
    <m/>
  </r>
  <r>
    <n v="742"/>
    <d v="2025-03-16T00:00:00"/>
    <x v="0"/>
    <n v="9518604323"/>
    <n v="5"/>
    <s v="9518604323-5"/>
    <s v="No Priority"/>
    <x v="0"/>
    <m/>
    <x v="1"/>
    <x v="2"/>
    <x v="0"/>
    <m/>
    <x v="0"/>
    <m/>
    <m/>
    <s v="Orissa"/>
    <s v="East"/>
    <s v="TANGI"/>
    <x v="1"/>
    <x v="19"/>
    <x v="25"/>
    <x v="136"/>
    <s v="CRCA SHEET TATCRC SR16 0.450X1250X2500"/>
    <s v=" "/>
    <s v=""/>
    <n v="0.1"/>
    <n v="5"/>
    <s v="Wider"/>
    <x v="2"/>
    <x v="1"/>
    <s v="SR16"/>
    <x v="10"/>
    <x v="0"/>
    <x v="3"/>
    <n v="24"/>
    <n v="23.015000000000001"/>
    <n v="0.98499999999999999"/>
    <n v="0.98499999999999999"/>
    <n v="0"/>
    <n v="0.98499999999999999"/>
    <n v="0"/>
    <n v="0"/>
    <n v="0"/>
    <n v="0"/>
    <n v="0"/>
    <n v="0"/>
    <n v="0"/>
    <n v="0"/>
    <n v="0"/>
    <n v="0"/>
    <n v="0"/>
    <n v="0"/>
    <n v="0"/>
    <n v="0"/>
    <n v="0"/>
    <n v="0"/>
    <n v="0"/>
    <n v="0"/>
    <n v="0"/>
    <n v="0"/>
    <n v="0"/>
    <n v="0"/>
    <n v="0"/>
    <n v="0"/>
    <n v="0"/>
    <n v="0"/>
    <n v="0"/>
    <n v="0"/>
    <n v="0"/>
    <n v="0"/>
    <n v="0"/>
    <n v="0"/>
    <n v="0"/>
    <n v="0"/>
    <n v="0"/>
    <n v="0"/>
    <n v="0"/>
    <n v="0"/>
    <n v="23.014999999999993"/>
    <n v="0"/>
    <n v="0"/>
    <n v="0"/>
    <n v="0"/>
    <n v="0"/>
    <n v="23.014999999999993"/>
    <m/>
    <m/>
    <m/>
    <m/>
    <m/>
    <m/>
    <m/>
    <m/>
    <s v="1"/>
    <s v="1"/>
    <s v="1"/>
    <s v="1"/>
    <s v="1"/>
    <m/>
    <m/>
    <m/>
    <m/>
    <m/>
    <m/>
    <m/>
    <m/>
    <m/>
    <m/>
    <m/>
    <m/>
    <m/>
    <m/>
  </r>
  <r>
    <n v="742"/>
    <d v="2025-02-18T00:00:00"/>
    <x v="0"/>
    <n v="9518529595"/>
    <n v="4"/>
    <s v="9518529595-4"/>
    <s v="No Priority"/>
    <x v="0"/>
    <m/>
    <x v="1"/>
    <x v="11"/>
    <x v="0"/>
    <m/>
    <x v="0"/>
    <m/>
    <m/>
    <s v="Tamil Nadu"/>
    <s v="South"/>
    <s v="GUMMIDIPOONDI"/>
    <x v="0"/>
    <x v="58"/>
    <x v="54"/>
    <x v="126"/>
    <s v="CRCA COIL TATXXD AH03 0.800X1250"/>
    <s v=" "/>
    <s v=""/>
    <n v="5"/>
    <n v="29"/>
    <s v="Wider"/>
    <x v="1"/>
    <x v="2"/>
    <s v="AH03"/>
    <x v="5"/>
    <x v="0"/>
    <x v="0"/>
    <n v="29"/>
    <n v="0"/>
    <n v="29"/>
    <n v="1.35"/>
    <n v="0"/>
    <n v="2.0649999999999999"/>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2-18T00:00:00"/>
    <x v="0"/>
    <n v="9518529595"/>
    <n v="6"/>
    <s v="9518529595-6"/>
    <s v="May'25"/>
    <x v="0"/>
    <m/>
    <x v="1"/>
    <x v="1"/>
    <x v="0"/>
    <m/>
    <x v="1"/>
    <m/>
    <m/>
    <s v="Tamil Nadu"/>
    <s v="South"/>
    <s v="GUMMIDIPOONDI"/>
    <x v="0"/>
    <x v="58"/>
    <x v="54"/>
    <x v="125"/>
    <s v="CRCA COIL TATXXD AU03 1.800X1250"/>
    <s v=" "/>
    <s v=""/>
    <n v="5"/>
    <n v="29"/>
    <s v="Wider"/>
    <x v="1"/>
    <x v="2"/>
    <s v="AU03"/>
    <x v="41"/>
    <x v="0"/>
    <x v="0"/>
    <n v="29"/>
    <n v="0"/>
    <n v="29"/>
    <n v="0.9"/>
    <n v="0"/>
    <n v="29"/>
    <n v="0"/>
    <n v="0"/>
    <n v="0"/>
    <n v="0"/>
    <n v="0"/>
    <n v="0"/>
    <n v="0"/>
    <n v="0"/>
    <n v="0"/>
    <n v="0"/>
    <n v="0"/>
    <n v="0"/>
    <n v="0"/>
    <n v="26.89"/>
    <n v="0"/>
    <n v="0"/>
    <n v="0"/>
    <n v="0"/>
    <n v="0"/>
    <n v="26.89"/>
    <n v="26.89"/>
    <n v="0"/>
    <n v="26.89"/>
    <n v="0"/>
    <n v="0"/>
    <n v="29"/>
    <n v="29"/>
    <n v="0"/>
    <n v="0"/>
    <n v="0"/>
    <n v="0"/>
    <n v="29"/>
    <n v="0"/>
    <n v="29"/>
    <n v="0"/>
    <n v="0"/>
    <n v="0"/>
    <n v="0"/>
    <n v="0"/>
    <n v="0"/>
    <n v="0"/>
    <n v="0"/>
    <n v="0"/>
    <n v="0"/>
    <n v="0"/>
    <m/>
    <m/>
    <m/>
    <m/>
    <m/>
    <m/>
    <m/>
    <m/>
    <s v="0"/>
    <s v="1"/>
    <s v="1"/>
    <s v="1"/>
    <s v="1"/>
    <m/>
    <m/>
    <m/>
    <m/>
    <m/>
    <m/>
    <m/>
    <m/>
    <m/>
    <m/>
    <m/>
    <m/>
    <m/>
    <m/>
  </r>
  <r>
    <n v="744"/>
    <d v="2025-03-18T00:00:00"/>
    <x v="0"/>
    <n v="9518610301"/>
    <n v="6"/>
    <s v="9518610301-6"/>
    <s v="May'25"/>
    <x v="0"/>
    <m/>
    <x v="2"/>
    <x v="3"/>
    <x v="2"/>
    <m/>
    <x v="1"/>
    <m/>
    <m/>
    <s v="Jharkhand"/>
    <s v="TBSPL"/>
    <s v="TBL- BARA AGRICO"/>
    <x v="0"/>
    <x v="6"/>
    <x v="6"/>
    <x v="137"/>
    <s v="PPGL C HARD Y550PL D0C9 0.470(TPT)X1220"/>
    <s v="AZ150"/>
    <s v="BRICK RED TSL 1803"/>
    <n v="3"/>
    <n v="5"/>
    <s v="Wider"/>
    <x v="3"/>
    <x v="3"/>
    <s v="D0C9"/>
    <x v="14"/>
    <x v="1"/>
    <x v="0"/>
    <n v="28"/>
    <n v="0"/>
    <n v="28"/>
    <n v="28"/>
    <n v="20.22"/>
    <n v="28"/>
    <n v="0"/>
    <n v="0"/>
    <n v="0"/>
    <n v="0"/>
    <n v="0"/>
    <n v="0"/>
    <n v="0"/>
    <n v="7.78"/>
    <n v="0"/>
    <n v="0"/>
    <n v="0"/>
    <n v="0"/>
    <n v="0"/>
    <n v="0"/>
    <n v="0"/>
    <n v="0"/>
    <n v="0"/>
    <n v="0"/>
    <n v="0"/>
    <n v="7.78"/>
    <n v="7.78"/>
    <n v="0"/>
    <n v="7.78"/>
    <n v="0"/>
    <n v="0"/>
    <n v="28"/>
    <n v="0"/>
    <n v="0"/>
    <n v="0"/>
    <n v="28"/>
    <n v="0"/>
    <n v="28"/>
    <n v="0"/>
    <n v="0"/>
    <n v="0"/>
    <n v="28"/>
    <n v="0"/>
    <n v="0"/>
    <n v="0"/>
    <n v="0"/>
    <n v="0"/>
    <n v="0"/>
    <n v="0"/>
    <n v="0"/>
    <n v="0"/>
    <m/>
    <m/>
    <m/>
    <m/>
    <m/>
    <m/>
    <m/>
    <m/>
    <s v="1"/>
    <s v="1"/>
    <s v="1"/>
    <s v="0"/>
    <s v="1"/>
    <m/>
    <m/>
    <m/>
    <m/>
    <m/>
    <m/>
    <m/>
    <m/>
    <m/>
    <m/>
    <m/>
    <m/>
    <m/>
    <m/>
  </r>
  <r>
    <n v="742"/>
    <d v="2025-03-17T00:00:00"/>
    <x v="0"/>
    <n v="9518606284"/>
    <n v="5"/>
    <s v="9518606284-5"/>
    <s v="No Priority"/>
    <x v="0"/>
    <m/>
    <x v="1"/>
    <x v="2"/>
    <x v="0"/>
    <m/>
    <x v="0"/>
    <m/>
    <s v="Exp BTF &lt;17MT"/>
    <s v="Andhra Pradesh"/>
    <s v="South"/>
    <s v="VISHAKHAPATNAM"/>
    <x v="1"/>
    <x v="8"/>
    <x v="8"/>
    <x v="66"/>
    <s v="CRCA SHEET TATCRC SR16 0.450X900X2440"/>
    <s v=" "/>
    <s v=""/>
    <n v="0"/>
    <n v="0"/>
    <s v="Narrow"/>
    <x v="2"/>
    <x v="1"/>
    <s v="SR16"/>
    <x v="10"/>
    <x v="3"/>
    <x v="6"/>
    <n v="42"/>
    <n v="37.44"/>
    <n v="4.5599999999999996"/>
    <n v="4.5599999999999996"/>
    <n v="4.5599999999999996"/>
    <n v="4.5599999999999996"/>
    <n v="0"/>
    <n v="0"/>
    <n v="0"/>
    <n v="0"/>
    <n v="0"/>
    <n v="0"/>
    <n v="0"/>
    <n v="0"/>
    <n v="0"/>
    <n v="0"/>
    <n v="0"/>
    <n v="0"/>
    <n v="0"/>
    <n v="0"/>
    <n v="0"/>
    <n v="0"/>
    <n v="0"/>
    <n v="0"/>
    <n v="0"/>
    <n v="0"/>
    <n v="0"/>
    <n v="0"/>
    <n v="0"/>
    <n v="0"/>
    <n v="0"/>
    <n v="0"/>
    <n v="0"/>
    <n v="0"/>
    <n v="0"/>
    <n v="0"/>
    <n v="0"/>
    <n v="0"/>
    <n v="0"/>
    <n v="0"/>
    <n v="0"/>
    <n v="0"/>
    <n v="0"/>
    <n v="0"/>
    <n v="37.44"/>
    <n v="0"/>
    <n v="0"/>
    <n v="0"/>
    <n v="0"/>
    <n v="0"/>
    <n v="37.44"/>
    <m/>
    <m/>
    <m/>
    <m/>
    <m/>
    <m/>
    <m/>
    <m/>
    <s v="1"/>
    <s v="1"/>
    <s v="1"/>
    <s v="1"/>
    <s v="1"/>
    <m/>
    <m/>
    <m/>
    <m/>
    <m/>
    <m/>
    <m/>
    <m/>
    <m/>
    <m/>
    <m/>
    <m/>
    <m/>
    <m/>
  </r>
  <r>
    <n v="742"/>
    <d v="2025-01-16T00:00:00"/>
    <x v="0"/>
    <n v="9518433421"/>
    <n v="21"/>
    <s v="9518433421-21"/>
    <s v="Stocks"/>
    <x v="0"/>
    <m/>
    <x v="1"/>
    <x v="2"/>
    <x v="0"/>
    <m/>
    <x v="1"/>
    <m/>
    <m/>
    <s v="Tamil Nadu"/>
    <s v="South"/>
    <s v="CHENNAI"/>
    <x v="1"/>
    <x v="4"/>
    <x v="4"/>
    <x v="135"/>
    <s v="CRCA SHEET TSBCRC SR15 0.500X1000X1980"/>
    <s v=" "/>
    <s v=""/>
    <n v="0"/>
    <n v="0"/>
    <s v="Narrow"/>
    <x v="2"/>
    <x v="4"/>
    <s v="SR15"/>
    <x v="1"/>
    <x v="2"/>
    <x v="4"/>
    <n v="69"/>
    <n v="0"/>
    <n v="69"/>
    <n v="0.115"/>
    <n v="0"/>
    <n v="0"/>
    <n v="0"/>
    <n v="0"/>
    <n v="0"/>
    <n v="0"/>
    <n v="0"/>
    <n v="0"/>
    <n v="0"/>
    <n v="0"/>
    <n v="0"/>
    <n v="0"/>
    <n v="0"/>
    <n v="0"/>
    <n v="0"/>
    <n v="0"/>
    <n v="0"/>
    <n v="0"/>
    <n v="0"/>
    <n v="0"/>
    <n v="0"/>
    <n v="0"/>
    <n v="0"/>
    <n v="0"/>
    <n v="0"/>
    <n v="0"/>
    <n v="31.75"/>
    <n v="0"/>
    <n v="0"/>
    <n v="0"/>
    <n v="0"/>
    <n v="0"/>
    <n v="0"/>
    <n v="31.75"/>
    <n v="31.75"/>
    <n v="0"/>
    <n v="0"/>
    <n v="0"/>
    <n v="0"/>
    <n v="0"/>
    <n v="0"/>
    <n v="0"/>
    <n v="0"/>
    <n v="0"/>
    <n v="0"/>
    <n v="0"/>
    <n v="0"/>
    <m/>
    <m/>
    <m/>
    <m/>
    <m/>
    <m/>
    <m/>
    <m/>
    <s v="1"/>
    <s v="1"/>
    <s v="1"/>
    <s v="1"/>
    <s v="1"/>
    <m/>
    <m/>
    <m/>
    <m/>
    <m/>
    <m/>
    <m/>
    <m/>
    <m/>
    <m/>
    <m/>
    <m/>
    <m/>
    <m/>
  </r>
  <r>
    <n v="742"/>
    <d v="2025-01-21T00:00:00"/>
    <x v="0"/>
    <n v="9518447967"/>
    <n v="7"/>
    <s v="9518447967-7"/>
    <s v="No Priority"/>
    <x v="0"/>
    <m/>
    <x v="1"/>
    <x v="2"/>
    <x v="0"/>
    <m/>
    <x v="0"/>
    <m/>
    <s v="Exp BTF &lt;17MT"/>
    <s v="West Bengal"/>
    <s v="East"/>
    <s v="HOWRAH"/>
    <x v="1"/>
    <x v="11"/>
    <x v="11"/>
    <x v="108"/>
    <s v="CRCA SHEET TSBCRC SR15 0.500X1000X2000"/>
    <s v=" "/>
    <s v=""/>
    <n v="2"/>
    <n v="3"/>
    <s v="Narrow"/>
    <x v="2"/>
    <x v="4"/>
    <s v="SR15"/>
    <x v="1"/>
    <x v="2"/>
    <x v="10"/>
    <n v="27"/>
    <n v="20.195"/>
    <n v="6.8049999999999997"/>
    <n v="6.8049999999999997"/>
    <n v="6.8049999999999997"/>
    <n v="0"/>
    <n v="0"/>
    <n v="0"/>
    <n v="0"/>
    <n v="0"/>
    <n v="0"/>
    <n v="0"/>
    <n v="0"/>
    <n v="0"/>
    <n v="0"/>
    <n v="0"/>
    <n v="0"/>
    <n v="0"/>
    <n v="0"/>
    <n v="0"/>
    <n v="0"/>
    <n v="0"/>
    <n v="0"/>
    <n v="0"/>
    <n v="0"/>
    <n v="0"/>
    <n v="0"/>
    <n v="0"/>
    <n v="0"/>
    <n v="0"/>
    <n v="0"/>
    <n v="0"/>
    <n v="0"/>
    <n v="0"/>
    <n v="0"/>
    <n v="0"/>
    <n v="0"/>
    <n v="0"/>
    <n v="0"/>
    <n v="0"/>
    <n v="0"/>
    <n v="0"/>
    <n v="0"/>
    <n v="0"/>
    <n v="20.195"/>
    <n v="0"/>
    <n v="0"/>
    <n v="0"/>
    <n v="0"/>
    <n v="0"/>
    <n v="20.195"/>
    <m/>
    <m/>
    <m/>
    <m/>
    <m/>
    <m/>
    <m/>
    <m/>
    <s v="1"/>
    <s v="1"/>
    <s v="1"/>
    <s v="1"/>
    <s v="1"/>
    <m/>
    <m/>
    <m/>
    <m/>
    <m/>
    <m/>
    <m/>
    <m/>
    <m/>
    <m/>
    <m/>
    <m/>
    <m/>
    <m/>
  </r>
  <r>
    <n v="742"/>
    <d v="2025-01-02T00:00:00"/>
    <x v="0"/>
    <n v="9518400614"/>
    <n v="11"/>
    <s v="9518400614-11"/>
    <s v="No Priority"/>
    <x v="0"/>
    <m/>
    <x v="1"/>
    <x v="2"/>
    <x v="0"/>
    <m/>
    <x v="0"/>
    <m/>
    <m/>
    <s v="Kerala"/>
    <s v="South"/>
    <s v="COCHIN HARBOUR "/>
    <x v="1"/>
    <x v="9"/>
    <x v="55"/>
    <x v="138"/>
    <s v="CRCA SHEET TATCRC SR16 0.450X1000X1910"/>
    <s v=" "/>
    <s v=""/>
    <n v="0"/>
    <n v="0"/>
    <s v="Narrow"/>
    <x v="2"/>
    <x v="1"/>
    <s v="SR16"/>
    <x v="10"/>
    <x v="2"/>
    <x v="5"/>
    <n v="24"/>
    <n v="0"/>
    <n v="24"/>
    <n v="1.75"/>
    <n v="0"/>
    <n v="0"/>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1-16T00:00:00"/>
    <x v="0"/>
    <n v="9518433421"/>
    <n v="22"/>
    <s v="9518433421-22"/>
    <s v="No Priority"/>
    <x v="0"/>
    <m/>
    <x v="1"/>
    <x v="2"/>
    <x v="0"/>
    <m/>
    <x v="0"/>
    <m/>
    <s v="Exp BTF &lt;17MT"/>
    <s v="Tamil Nadu"/>
    <s v="South"/>
    <s v="CHENNAI"/>
    <x v="1"/>
    <x v="4"/>
    <x v="4"/>
    <x v="104"/>
    <s v="CRCA SHEET TSBCRC SR15 0.600X1000X1980"/>
    <s v=" "/>
    <s v=""/>
    <n v="0"/>
    <n v="0"/>
    <s v="Narrow"/>
    <x v="2"/>
    <x v="4"/>
    <s v="SR15"/>
    <x v="20"/>
    <x v="2"/>
    <x v="4"/>
    <n v="90"/>
    <n v="81.09"/>
    <n v="8.91"/>
    <n v="8.91"/>
    <n v="8.91"/>
    <n v="0"/>
    <n v="0"/>
    <n v="0"/>
    <n v="0"/>
    <n v="0"/>
    <n v="0"/>
    <n v="0"/>
    <n v="0"/>
    <n v="0"/>
    <n v="0"/>
    <n v="0"/>
    <n v="0"/>
    <n v="0"/>
    <n v="0"/>
    <n v="0"/>
    <n v="0"/>
    <n v="0"/>
    <n v="0"/>
    <n v="0"/>
    <n v="0"/>
    <n v="0"/>
    <n v="0"/>
    <n v="0"/>
    <n v="0"/>
    <n v="0"/>
    <n v="0"/>
    <n v="0"/>
    <n v="0"/>
    <n v="0"/>
    <n v="0"/>
    <n v="0"/>
    <n v="0"/>
    <n v="0"/>
    <n v="0"/>
    <n v="0"/>
    <n v="0"/>
    <n v="0"/>
    <n v="0"/>
    <n v="0"/>
    <n v="20.149999999999999"/>
    <n v="0"/>
    <n v="0"/>
    <n v="0"/>
    <n v="0"/>
    <n v="0"/>
    <n v="20.149999999999999"/>
    <m/>
    <m/>
    <m/>
    <m/>
    <m/>
    <m/>
    <m/>
    <m/>
    <s v="1"/>
    <s v="1"/>
    <s v="1"/>
    <s v="1"/>
    <s v="1"/>
    <m/>
    <m/>
    <m/>
    <m/>
    <m/>
    <m/>
    <m/>
    <m/>
    <m/>
    <m/>
    <m/>
    <m/>
    <m/>
    <m/>
  </r>
  <r>
    <n v="744"/>
    <d v="2025-03-20T00:00:00"/>
    <x v="0"/>
    <n v="9518615345"/>
    <n v="1"/>
    <s v="9518615345-1"/>
    <s v="No Priority"/>
    <x v="0"/>
    <m/>
    <x v="2"/>
    <x v="3"/>
    <x v="2"/>
    <m/>
    <x v="0"/>
    <m/>
    <m/>
    <s v="Jharkhand"/>
    <s v="TBSPL"/>
    <s v="TBL- BARA AGRICO"/>
    <x v="0"/>
    <x v="6"/>
    <x v="6"/>
    <x v="139"/>
    <s v="PPGL C HARD Y550PL D0C9 0.800X1220"/>
    <s v="AZ150"/>
    <s v="LIGHT BLUE TSL 1802"/>
    <n v="3"/>
    <n v="5"/>
    <s v="Wider"/>
    <x v="3"/>
    <x v="3"/>
    <s v="D0C9"/>
    <x v="5"/>
    <x v="1"/>
    <x v="0"/>
    <n v="139.989"/>
    <n v="121.325"/>
    <n v="18.664000000000001"/>
    <n v="4.4740000000000002"/>
    <n v="18.664000000000001"/>
    <n v="4.7939999999999996"/>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9T00:00:00"/>
    <x v="0"/>
    <n v="9518613877"/>
    <n v="4"/>
    <s v="9518613877-4"/>
    <s v="Stocks"/>
    <x v="0"/>
    <m/>
    <x v="0"/>
    <x v="0"/>
    <x v="0"/>
    <m/>
    <x v="1"/>
    <m/>
    <m/>
    <s v="Karnataka"/>
    <s v="South"/>
    <s v="YESHWANTHPURA"/>
    <x v="0"/>
    <x v="59"/>
    <x v="56"/>
    <x v="48"/>
    <s v="HR COILS-PO IS 10748 GR 1 2X1250"/>
    <s v=" "/>
    <s v=""/>
    <n v="15"/>
    <n v="25"/>
    <s v="Wider"/>
    <x v="0"/>
    <x v="11"/>
    <s v="HG01"/>
    <x v="15"/>
    <x v="0"/>
    <x v="0"/>
    <n v="30"/>
    <n v="0"/>
    <n v="30"/>
    <n v="30"/>
    <n v="0"/>
    <n v="3.95"/>
    <n v="0"/>
    <n v="0"/>
    <n v="0"/>
    <n v="0"/>
    <n v="0"/>
    <n v="0"/>
    <n v="0"/>
    <n v="0"/>
    <n v="0"/>
    <n v="0"/>
    <n v="0"/>
    <n v="0"/>
    <n v="0"/>
    <n v="0"/>
    <n v="0"/>
    <n v="0"/>
    <n v="0"/>
    <n v="0"/>
    <n v="0"/>
    <n v="0"/>
    <n v="0"/>
    <n v="0"/>
    <n v="0"/>
    <n v="0"/>
    <n v="26.04"/>
    <n v="0"/>
    <n v="0"/>
    <n v="0"/>
    <n v="0"/>
    <n v="0"/>
    <n v="0"/>
    <n v="26.04"/>
    <n v="26.04"/>
    <n v="0"/>
    <n v="0"/>
    <n v="0"/>
    <n v="0"/>
    <n v="0"/>
    <n v="0"/>
    <n v="0"/>
    <n v="0"/>
    <n v="0"/>
    <n v="0"/>
    <n v="0"/>
    <n v="0"/>
    <m/>
    <m/>
    <m/>
    <m/>
    <m/>
    <m/>
    <m/>
    <m/>
    <s v="1"/>
    <s v="1"/>
    <s v="1"/>
    <s v="1"/>
    <s v="1"/>
    <m/>
    <m/>
    <m/>
    <m/>
    <m/>
    <m/>
    <m/>
    <m/>
    <m/>
    <m/>
    <m/>
    <m/>
    <m/>
    <m/>
  </r>
  <r>
    <n v="742"/>
    <d v="2025-03-19T00:00:00"/>
    <x v="0"/>
    <n v="9518613873"/>
    <n v="1"/>
    <s v="9518613873-1"/>
    <s v="No Priority"/>
    <x v="0"/>
    <m/>
    <x v="0"/>
    <x v="0"/>
    <x v="0"/>
    <m/>
    <x v="0"/>
    <m/>
    <m/>
    <s v="Karnataka"/>
    <s v="South"/>
    <s v="YESHWANTHPURA"/>
    <x v="0"/>
    <x v="60"/>
    <x v="57"/>
    <x v="140"/>
    <s v="HR COILS-PO IS 1079 HR2 2.30X1250"/>
    <s v=" "/>
    <s v=""/>
    <n v="15"/>
    <n v="25"/>
    <s v="Wider"/>
    <x v="0"/>
    <x v="0"/>
    <s v="HR99"/>
    <x v="39"/>
    <x v="0"/>
    <x v="0"/>
    <n v="50"/>
    <n v="22.08"/>
    <n v="27.92"/>
    <n v="3.96"/>
    <n v="27.92"/>
    <n v="4.12"/>
    <n v="0"/>
    <n v="0"/>
    <n v="0"/>
    <n v="0"/>
    <n v="0"/>
    <n v="0"/>
    <n v="0"/>
    <n v="0"/>
    <n v="0"/>
    <n v="0"/>
    <n v="0"/>
    <n v="0"/>
    <n v="0"/>
    <n v="0"/>
    <n v="0"/>
    <n v="0"/>
    <n v="0"/>
    <n v="0"/>
    <n v="0"/>
    <n v="0"/>
    <n v="0"/>
    <n v="0"/>
    <n v="0"/>
    <n v="0"/>
    <n v="0"/>
    <n v="0"/>
    <n v="0"/>
    <n v="0"/>
    <n v="0"/>
    <n v="0"/>
    <n v="0"/>
    <n v="0"/>
    <n v="0"/>
    <n v="0"/>
    <n v="0"/>
    <n v="0"/>
    <n v="0"/>
    <n v="0"/>
    <n v="0"/>
    <n v="0"/>
    <n v="0"/>
    <n v="0"/>
    <n v="0"/>
    <n v="0"/>
    <n v="0"/>
    <m/>
    <m/>
    <m/>
    <m/>
    <m/>
    <m/>
    <m/>
    <m/>
    <s v="1"/>
    <s v="1"/>
    <s v="1"/>
    <s v="1"/>
    <s v="1"/>
    <m/>
    <m/>
    <m/>
    <m/>
    <m/>
    <m/>
    <m/>
    <m/>
    <m/>
    <m/>
    <m/>
    <m/>
    <m/>
    <m/>
  </r>
  <r>
    <n v="742"/>
    <d v="2025-03-19T00:00:00"/>
    <x v="0"/>
    <n v="9518613858"/>
    <n v="1"/>
    <s v="9518613858-1"/>
    <s v="Apr'25 "/>
    <x v="0"/>
    <m/>
    <x v="0"/>
    <x v="0"/>
    <x v="0"/>
    <m/>
    <x v="1"/>
    <m/>
    <m/>
    <s v="Karnataka"/>
    <s v="South"/>
    <s v="YESHWANTHPURA"/>
    <x v="0"/>
    <x v="46"/>
    <x v="45"/>
    <x v="140"/>
    <s v="HR COILS-PO IS 1079 HR2 2.30X1250"/>
    <s v=" "/>
    <s v=""/>
    <n v="15"/>
    <n v="25"/>
    <s v="Wider"/>
    <x v="0"/>
    <x v="0"/>
    <s v="HR99"/>
    <x v="39"/>
    <x v="0"/>
    <x v="0"/>
    <n v="50"/>
    <n v="24.41"/>
    <n v="25.59"/>
    <n v="25.59"/>
    <n v="25.59"/>
    <n v="25.59"/>
    <n v="0"/>
    <n v="0"/>
    <n v="0"/>
    <n v="0"/>
    <n v="0"/>
    <n v="0"/>
    <n v="0"/>
    <n v="0"/>
    <n v="0"/>
    <n v="0"/>
    <n v="0"/>
    <n v="0"/>
    <n v="0"/>
    <n v="0"/>
    <n v="0"/>
    <n v="0"/>
    <n v="0"/>
    <n v="0"/>
    <n v="0"/>
    <n v="0"/>
    <n v="0"/>
    <n v="0"/>
    <n v="0"/>
    <n v="0"/>
    <n v="0"/>
    <n v="25.59"/>
    <n v="0"/>
    <n v="0"/>
    <n v="0"/>
    <n v="25.59"/>
    <n v="0"/>
    <n v="25.59"/>
    <n v="0"/>
    <n v="0"/>
    <n v="0"/>
    <n v="25.59"/>
    <n v="0"/>
    <n v="0"/>
    <n v="0"/>
    <n v="0"/>
    <n v="0"/>
    <n v="0"/>
    <n v="0"/>
    <n v="0"/>
    <n v="0"/>
    <m/>
    <m/>
    <m/>
    <m/>
    <m/>
    <m/>
    <m/>
    <m/>
    <s v="1"/>
    <s v="1"/>
    <s v="1"/>
    <s v="0"/>
    <s v="1"/>
    <m/>
    <m/>
    <m/>
    <m/>
    <m/>
    <m/>
    <m/>
    <m/>
    <m/>
    <m/>
    <m/>
    <m/>
    <m/>
    <m/>
  </r>
  <r>
    <n v="742"/>
    <d v="2025-03-19T00:00:00"/>
    <x v="0"/>
    <n v="9518613858"/>
    <n v="3"/>
    <s v="9518613858-3"/>
    <s v="No Priority"/>
    <x v="0"/>
    <m/>
    <x v="0"/>
    <x v="0"/>
    <x v="0"/>
    <m/>
    <x v="0"/>
    <m/>
    <m/>
    <s v="Karnataka"/>
    <s v="South"/>
    <s v="YESHWANTHPURA"/>
    <x v="0"/>
    <x v="46"/>
    <x v="45"/>
    <x v="88"/>
    <s v="HR COILS-PO IS 1079 HR2 4X1250"/>
    <s v=" "/>
    <s v=""/>
    <n v="15"/>
    <n v="25"/>
    <s v="Wider"/>
    <x v="0"/>
    <x v="0"/>
    <s v="HR99"/>
    <x v="31"/>
    <x v="0"/>
    <x v="0"/>
    <n v="125"/>
    <n v="98.144999999999996"/>
    <n v="26.855"/>
    <n v="26.855"/>
    <n v="0"/>
    <n v="2.605"/>
    <n v="0"/>
    <n v="0"/>
    <n v="0"/>
    <n v="0"/>
    <n v="0"/>
    <n v="0"/>
    <n v="0"/>
    <n v="0"/>
    <n v="0"/>
    <n v="0"/>
    <n v="0"/>
    <n v="0"/>
    <n v="0"/>
    <n v="0"/>
    <n v="0"/>
    <n v="0"/>
    <n v="0"/>
    <n v="0"/>
    <n v="0"/>
    <n v="0"/>
    <n v="0"/>
    <n v="25"/>
    <n v="25"/>
    <n v="0"/>
    <n v="0"/>
    <n v="0"/>
    <n v="0"/>
    <n v="0"/>
    <n v="0"/>
    <n v="0"/>
    <n v="0"/>
    <n v="0"/>
    <n v="0"/>
    <n v="0"/>
    <n v="0"/>
    <n v="0"/>
    <n v="0"/>
    <n v="0"/>
    <n v="0"/>
    <n v="0"/>
    <n v="0"/>
    <n v="0"/>
    <n v="0"/>
    <n v="0"/>
    <n v="0"/>
    <m/>
    <m/>
    <m/>
    <m/>
    <m/>
    <m/>
    <m/>
    <m/>
    <s v="1"/>
    <s v="1"/>
    <s v="1"/>
    <s v="1"/>
    <s v="1"/>
    <m/>
    <m/>
    <m/>
    <m/>
    <m/>
    <m/>
    <m/>
    <m/>
    <m/>
    <m/>
    <m/>
    <m/>
    <m/>
    <m/>
  </r>
  <r>
    <n v="742"/>
    <d v="2025-03-19T00:00:00"/>
    <x v="0"/>
    <n v="9518613858"/>
    <n v="4"/>
    <s v="9518613858-4"/>
    <s v="Apr'25 "/>
    <x v="0"/>
    <m/>
    <x v="0"/>
    <x v="0"/>
    <x v="0"/>
    <m/>
    <x v="1"/>
    <m/>
    <m/>
    <s v="Karnataka"/>
    <s v="South"/>
    <s v="YESHWANTHPURA"/>
    <x v="0"/>
    <x v="46"/>
    <x v="45"/>
    <x v="48"/>
    <s v="HR COILS-PO IS 10748 GR 1 2X1250"/>
    <s v=" "/>
    <s v=""/>
    <n v="15"/>
    <n v="25"/>
    <s v="Wider"/>
    <x v="0"/>
    <x v="11"/>
    <s v="HG01"/>
    <x v="15"/>
    <x v="0"/>
    <x v="0"/>
    <n v="25"/>
    <n v="0"/>
    <n v="25"/>
    <n v="25"/>
    <n v="-1.0899999999999999"/>
    <n v="25"/>
    <n v="0"/>
    <n v="0"/>
    <n v="0"/>
    <n v="0"/>
    <n v="0"/>
    <n v="0"/>
    <n v="0"/>
    <n v="0"/>
    <n v="0"/>
    <n v="0"/>
    <n v="0"/>
    <n v="0"/>
    <n v="0"/>
    <n v="0"/>
    <n v="0"/>
    <n v="0"/>
    <n v="0"/>
    <n v="0"/>
    <n v="26.09"/>
    <n v="26.09"/>
    <n v="26.09"/>
    <n v="0"/>
    <n v="26.09"/>
    <n v="0"/>
    <n v="0"/>
    <n v="25"/>
    <n v="0"/>
    <n v="25"/>
    <n v="0"/>
    <n v="0"/>
    <n v="0"/>
    <n v="25"/>
    <n v="0"/>
    <n v="25"/>
    <n v="0"/>
    <n v="0"/>
    <n v="0"/>
    <n v="0"/>
    <n v="0"/>
    <n v="0"/>
    <n v="0"/>
    <n v="0"/>
    <n v="0"/>
    <n v="0"/>
    <n v="0"/>
    <m/>
    <m/>
    <m/>
    <m/>
    <m/>
    <m/>
    <m/>
    <m/>
    <s v="1"/>
    <s v="0"/>
    <s v="1"/>
    <s v="1"/>
    <s v="1"/>
    <m/>
    <m/>
    <m/>
    <m/>
    <m/>
    <m/>
    <m/>
    <m/>
    <m/>
    <m/>
    <m/>
    <m/>
    <m/>
    <m/>
  </r>
  <r>
    <n v="742"/>
    <d v="2025-03-19T00:00:00"/>
    <x v="0"/>
    <n v="9518613349"/>
    <n v="1"/>
    <s v="9518613349-1"/>
    <s v="Stocks"/>
    <x v="0"/>
    <m/>
    <x v="1"/>
    <x v="2"/>
    <x v="0"/>
    <m/>
    <x v="1"/>
    <m/>
    <m/>
    <s v="Orissa"/>
    <s v="East"/>
    <s v="TANGI"/>
    <x v="1"/>
    <x v="19"/>
    <x v="25"/>
    <x v="41"/>
    <s v="CRCA SHEET TSBCRC SR15 0.600X1250X2500"/>
    <s v=" "/>
    <s v=""/>
    <n v="0.1"/>
    <n v="5"/>
    <s v="Wider"/>
    <x v="2"/>
    <x v="4"/>
    <s v="SR15"/>
    <x v="20"/>
    <x v="0"/>
    <x v="3"/>
    <n v="50"/>
    <n v="5.7"/>
    <n v="44.3"/>
    <n v="-9.1850000000000005"/>
    <n v="0"/>
    <n v="0.97499999999999998"/>
    <n v="0"/>
    <n v="0"/>
    <n v="0"/>
    <n v="0"/>
    <n v="0"/>
    <n v="0"/>
    <n v="0"/>
    <n v="0"/>
    <n v="0"/>
    <n v="0"/>
    <n v="0"/>
    <n v="0"/>
    <n v="0"/>
    <n v="0"/>
    <n v="0"/>
    <n v="0"/>
    <n v="0"/>
    <n v="0"/>
    <n v="0"/>
    <n v="0"/>
    <n v="0"/>
    <n v="0"/>
    <n v="0"/>
    <n v="0"/>
    <n v="2.84"/>
    <n v="0"/>
    <n v="0"/>
    <n v="0"/>
    <n v="0"/>
    <n v="0"/>
    <n v="0"/>
    <n v="2.84"/>
    <n v="2.84"/>
    <n v="0"/>
    <n v="0"/>
    <n v="0"/>
    <n v="0"/>
    <n v="0"/>
    <n v="0"/>
    <n v="0"/>
    <n v="0"/>
    <n v="0"/>
    <n v="0"/>
    <n v="0"/>
    <n v="0"/>
    <m/>
    <m/>
    <m/>
    <m/>
    <m/>
    <m/>
    <m/>
    <m/>
    <s v="1"/>
    <s v="1"/>
    <s v="1"/>
    <s v="1"/>
    <s v="1"/>
    <m/>
    <m/>
    <m/>
    <m/>
    <m/>
    <m/>
    <m/>
    <m/>
    <m/>
    <m/>
    <m/>
    <m/>
    <m/>
    <m/>
  </r>
  <r>
    <n v="743"/>
    <d v="2025-03-26T00:00:00"/>
    <x v="0"/>
    <n v="9518636677"/>
    <n v="1"/>
    <s v="9518636677-1"/>
    <s v="Stocks"/>
    <x v="0"/>
    <m/>
    <x v="4"/>
    <x v="13"/>
    <x v="3"/>
    <m/>
    <x v="1"/>
    <m/>
    <m/>
    <s v="West Bengal"/>
    <s v="East"/>
    <s v="PANCHALA"/>
    <x v="0"/>
    <x v="61"/>
    <x v="58"/>
    <x v="141"/>
    <s v="GL COIL HARD  Y550GL H7GL 0.440X1240"/>
    <n v="70"/>
    <m/>
    <n v="7.0010000000000003"/>
    <n v="15"/>
    <s v="Wider"/>
    <x v="5"/>
    <x v="7"/>
    <s v="H7GL"/>
    <x v="44"/>
    <x v="17"/>
    <x v="0"/>
    <n v="560"/>
    <n v="476.56"/>
    <n v="83.44"/>
    <n v="-0.08"/>
    <n v="0"/>
    <n v="1.2050000000000001"/>
    <n v="0"/>
    <n v="0"/>
    <n v="0"/>
    <n v="0"/>
    <n v="0"/>
    <n v="0"/>
    <n v="0"/>
    <n v="0"/>
    <n v="0"/>
    <n v="0"/>
    <n v="0"/>
    <n v="0"/>
    <n v="0"/>
    <n v="0"/>
    <n v="0"/>
    <n v="0"/>
    <n v="0"/>
    <n v="0"/>
    <n v="0"/>
    <n v="0"/>
    <n v="0"/>
    <n v="0"/>
    <n v="0"/>
    <m/>
    <n v="13.69"/>
    <n v="0"/>
    <n v="0"/>
    <n v="0"/>
    <n v="0"/>
    <n v="0"/>
    <n v="0"/>
    <n v="13.69"/>
    <n v="13.69"/>
    <n v="0"/>
    <n v="0"/>
    <n v="0"/>
    <n v="0"/>
    <n v="0"/>
    <n v="174.14"/>
    <n v="0"/>
    <n v="0"/>
    <n v="0"/>
    <n v="0"/>
    <n v="0"/>
    <n v="174.14"/>
    <m/>
    <m/>
    <m/>
    <m/>
    <m/>
    <m/>
    <m/>
    <m/>
    <s v="1"/>
    <s v="1"/>
    <s v="1"/>
    <s v="1"/>
    <s v="1"/>
    <m/>
    <m/>
    <m/>
    <m/>
    <m/>
    <m/>
    <m/>
    <m/>
    <m/>
    <m/>
    <m/>
    <m/>
    <m/>
    <m/>
  </r>
  <r>
    <n v="743"/>
    <d v="2025-03-26T00:00:00"/>
    <x v="0"/>
    <n v="9518636677"/>
    <n v="2"/>
    <s v="9518636677-2"/>
    <s v="Stocks"/>
    <x v="0"/>
    <m/>
    <x v="4"/>
    <x v="13"/>
    <x v="3"/>
    <m/>
    <x v="1"/>
    <m/>
    <m/>
    <s v="West Bengal"/>
    <s v="East"/>
    <s v="PANCHALA"/>
    <x v="0"/>
    <x v="61"/>
    <x v="58"/>
    <x v="141"/>
    <s v="GL COIL HARD  Y550GL H7GL 0.440X1240"/>
    <n v="70"/>
    <m/>
    <n v="7.0010000000000003"/>
    <n v="15"/>
    <s v="Wider"/>
    <x v="5"/>
    <x v="7"/>
    <s v="H7GL"/>
    <x v="44"/>
    <x v="17"/>
    <x v="0"/>
    <n v="560"/>
    <n v="490.19499999999999"/>
    <n v="69.805000000000007"/>
    <n v="14.629"/>
    <n v="69.805000000000007"/>
    <n v="17.844999999999999"/>
    <n v="0"/>
    <n v="0"/>
    <n v="0"/>
    <n v="0"/>
    <n v="0"/>
    <n v="0"/>
    <n v="0"/>
    <n v="0"/>
    <n v="0"/>
    <n v="0"/>
    <n v="0"/>
    <n v="0"/>
    <n v="0"/>
    <n v="0"/>
    <n v="0"/>
    <n v="0"/>
    <n v="0"/>
    <n v="0"/>
    <n v="0"/>
    <n v="0"/>
    <n v="0"/>
    <n v="0"/>
    <n v="0"/>
    <m/>
    <n v="26.92"/>
    <n v="0"/>
    <n v="0"/>
    <n v="0"/>
    <n v="0"/>
    <n v="0"/>
    <n v="0"/>
    <n v="26.92"/>
    <n v="26.92"/>
    <n v="0"/>
    <n v="0"/>
    <n v="0"/>
    <n v="0"/>
    <n v="0"/>
    <n v="0"/>
    <n v="0"/>
    <n v="0"/>
    <n v="0"/>
    <n v="0"/>
    <n v="0"/>
    <n v="0"/>
    <m/>
    <m/>
    <m/>
    <m/>
    <m/>
    <m/>
    <m/>
    <m/>
    <s v="1"/>
    <s v="1"/>
    <s v="1"/>
    <s v="1"/>
    <s v="1"/>
    <m/>
    <m/>
    <m/>
    <m/>
    <m/>
    <m/>
    <m/>
    <m/>
    <m/>
    <m/>
    <m/>
    <m/>
    <m/>
    <m/>
  </r>
  <r>
    <n v="743"/>
    <d v="2025-03-26T00:00:00"/>
    <x v="0"/>
    <n v="9518636677"/>
    <n v="3"/>
    <s v="9518636677-3"/>
    <s v="Stocks"/>
    <x v="0"/>
    <m/>
    <x v="4"/>
    <x v="13"/>
    <x v="3"/>
    <m/>
    <x v="1"/>
    <m/>
    <m/>
    <s v="West Bengal"/>
    <s v="East"/>
    <s v="PANCHALA"/>
    <x v="0"/>
    <x v="61"/>
    <x v="58"/>
    <x v="141"/>
    <s v="GL COIL HARD  Y550GL H7GL 0.440X1240"/>
    <n v="70"/>
    <m/>
    <n v="7.0010000000000003"/>
    <n v="15"/>
    <s v="Wider"/>
    <x v="5"/>
    <x v="7"/>
    <s v="H7GL"/>
    <x v="44"/>
    <x v="17"/>
    <x v="0"/>
    <n v="560"/>
    <n v="436.78500000000003"/>
    <n v="123.215"/>
    <n v="3.0739999999999998"/>
    <n v="113.9"/>
    <n v="7.42"/>
    <n v="0"/>
    <n v="0"/>
    <n v="0"/>
    <n v="0"/>
    <n v="0"/>
    <n v="0"/>
    <n v="0"/>
    <n v="1.5250000000000001"/>
    <n v="0"/>
    <n v="0"/>
    <n v="0"/>
    <n v="0"/>
    <n v="0"/>
    <n v="0"/>
    <n v="0"/>
    <n v="0"/>
    <n v="0"/>
    <n v="0"/>
    <n v="7.79"/>
    <n v="9.3149999999999995"/>
    <n v="9.3149999999999995"/>
    <n v="0"/>
    <n v="9.3149999999999995"/>
    <m/>
    <n v="22.495000000000001"/>
    <n v="0"/>
    <n v="0"/>
    <n v="0"/>
    <n v="0"/>
    <n v="0"/>
    <n v="0"/>
    <n v="22.495000000000001"/>
    <n v="22.495000000000001"/>
    <n v="0"/>
    <n v="0"/>
    <n v="0"/>
    <n v="0"/>
    <n v="0"/>
    <n v="0"/>
    <n v="0"/>
    <n v="0"/>
    <n v="0"/>
    <n v="0"/>
    <n v="0"/>
    <n v="0"/>
    <m/>
    <m/>
    <m/>
    <m/>
    <m/>
    <m/>
    <m/>
    <m/>
    <s v="1"/>
    <s v="1"/>
    <s v="1"/>
    <s v="1"/>
    <s v="1"/>
    <m/>
    <m/>
    <m/>
    <m/>
    <m/>
    <m/>
    <m/>
    <m/>
    <m/>
    <m/>
    <m/>
    <m/>
    <m/>
    <m/>
  </r>
  <r>
    <n v="743"/>
    <d v="2025-03-26T00:00:00"/>
    <x v="0"/>
    <n v="9518636677"/>
    <n v="4"/>
    <s v="9518636677-4"/>
    <s v="May'25"/>
    <x v="0"/>
    <m/>
    <x v="4"/>
    <x v="13"/>
    <x v="3"/>
    <m/>
    <x v="1"/>
    <m/>
    <m/>
    <s v="West Bengal"/>
    <s v="East"/>
    <s v="PANCHALA"/>
    <x v="0"/>
    <x v="61"/>
    <x v="58"/>
    <x v="141"/>
    <s v="GL COIL HARD  Y550GL H7GL 0.440X1240"/>
    <n v="70"/>
    <m/>
    <n v="7.0010000000000003"/>
    <n v="15"/>
    <s v="Wider"/>
    <x v="5"/>
    <x v="7"/>
    <s v="H7GL"/>
    <x v="44"/>
    <x v="17"/>
    <x v="0"/>
    <n v="560"/>
    <n v="97.635000000000005"/>
    <n v="462.36500000000001"/>
    <n v="-22.663"/>
    <n v="0"/>
    <n v="42.74"/>
    <n v="0"/>
    <n v="0"/>
    <n v="0"/>
    <n v="0"/>
    <n v="0"/>
    <n v="0"/>
    <n v="0"/>
    <n v="13.540000000000001"/>
    <n v="0"/>
    <n v="0"/>
    <n v="0"/>
    <n v="0"/>
    <n v="0"/>
    <n v="0"/>
    <n v="0"/>
    <n v="0"/>
    <n v="0"/>
    <n v="0"/>
    <n v="0"/>
    <n v="13.540000000000001"/>
    <n v="13.540000000000001"/>
    <n v="0"/>
    <n v="13.540000000000001"/>
    <m/>
    <n v="22.97"/>
    <n v="42.74"/>
    <n v="0"/>
    <n v="0"/>
    <n v="0"/>
    <n v="0"/>
    <n v="42.74"/>
    <n v="65.710000000000008"/>
    <n v="0"/>
    <n v="0"/>
    <n v="0"/>
    <n v="0"/>
    <n v="65.710000000000008"/>
    <n v="0"/>
    <n v="0"/>
    <n v="0"/>
    <n v="0"/>
    <n v="0"/>
    <n v="0"/>
    <n v="0"/>
    <n v="0"/>
    <m/>
    <m/>
    <m/>
    <m/>
    <m/>
    <m/>
    <m/>
    <m/>
    <s v="1"/>
    <s v="1"/>
    <s v="1"/>
    <s v="1"/>
    <s v="0"/>
    <m/>
    <m/>
    <m/>
    <m/>
    <m/>
    <m/>
    <m/>
    <m/>
    <m/>
    <m/>
    <m/>
    <m/>
    <m/>
    <m/>
  </r>
  <r>
    <n v="743"/>
    <d v="2025-03-26T00:00:00"/>
    <x v="0"/>
    <n v="9518636677"/>
    <n v="5"/>
    <s v="9518636677-5"/>
    <s v="May'25"/>
    <x v="0"/>
    <m/>
    <x v="4"/>
    <x v="13"/>
    <x v="3"/>
    <m/>
    <x v="1"/>
    <m/>
    <m/>
    <s v="West Bengal"/>
    <s v="East"/>
    <s v="PANCHALA"/>
    <x v="0"/>
    <x v="61"/>
    <x v="58"/>
    <x v="141"/>
    <s v="GL COIL HARD  Y550GL H7GL 0.440X1240"/>
    <n v="70"/>
    <m/>
    <n v="7.0010000000000003"/>
    <n v="15"/>
    <s v="Wider"/>
    <x v="5"/>
    <x v="7"/>
    <s v="H7GL"/>
    <x v="44"/>
    <x v="17"/>
    <x v="0"/>
    <n v="560"/>
    <n v="0"/>
    <n v="560"/>
    <n v="333.31"/>
    <n v="0"/>
    <n v="49.354999999999997"/>
    <n v="0"/>
    <n v="0"/>
    <n v="0"/>
    <n v="0"/>
    <n v="0"/>
    <n v="24.6"/>
    <n v="0"/>
    <n v="0"/>
    <n v="0"/>
    <n v="0"/>
    <n v="0"/>
    <n v="0"/>
    <n v="0"/>
    <n v="0"/>
    <n v="0"/>
    <n v="0"/>
    <n v="0"/>
    <n v="0"/>
    <n v="13.84"/>
    <n v="38.44"/>
    <n v="38.44"/>
    <n v="333"/>
    <n v="371.44"/>
    <m/>
    <n v="51.29"/>
    <n v="49.354999999999997"/>
    <n v="0"/>
    <n v="49.354999999999997"/>
    <n v="0"/>
    <n v="0"/>
    <n v="0"/>
    <n v="100.645"/>
    <n v="0"/>
    <n v="0"/>
    <n v="100.645"/>
    <n v="0"/>
    <n v="0"/>
    <n v="0"/>
    <n v="0"/>
    <n v="0"/>
    <n v="0"/>
    <n v="0"/>
    <n v="0"/>
    <n v="0"/>
    <n v="0"/>
    <m/>
    <m/>
    <m/>
    <m/>
    <m/>
    <m/>
    <m/>
    <m/>
    <s v="1"/>
    <s v="0"/>
    <s v="1"/>
    <s v="1"/>
    <s v="1"/>
    <m/>
    <m/>
    <m/>
    <m/>
    <m/>
    <m/>
    <m/>
    <m/>
    <m/>
    <m/>
    <m/>
    <m/>
    <m/>
    <m/>
  </r>
  <r>
    <n v="743"/>
    <d v="2025-03-26T00:00:00"/>
    <x v="0"/>
    <n v="9518636677"/>
    <n v="6"/>
    <s v="9518636677-6"/>
    <s v="May'25"/>
    <x v="0"/>
    <m/>
    <x v="4"/>
    <x v="13"/>
    <x v="3"/>
    <m/>
    <x v="1"/>
    <m/>
    <m/>
    <s v="West Bengal"/>
    <s v="East"/>
    <s v="PANCHALA"/>
    <x v="0"/>
    <x v="61"/>
    <x v="58"/>
    <x v="141"/>
    <s v="GL COIL HARD  Y550GL H7GL 0.440X1240"/>
    <n v="70"/>
    <m/>
    <n v="7.0010000000000003"/>
    <n v="15"/>
    <s v="Wider"/>
    <x v="5"/>
    <x v="7"/>
    <s v="H7GL"/>
    <x v="44"/>
    <x v="17"/>
    <x v="0"/>
    <n v="224"/>
    <n v="0"/>
    <n v="224"/>
    <n v="224"/>
    <n v="0"/>
    <n v="36.884999999999998"/>
    <n v="0"/>
    <n v="0"/>
    <n v="0"/>
    <n v="0"/>
    <n v="0"/>
    <n v="28.3"/>
    <n v="0"/>
    <n v="6.2350000000000003"/>
    <n v="0"/>
    <n v="0"/>
    <n v="0"/>
    <n v="0"/>
    <n v="0"/>
    <n v="0"/>
    <n v="0"/>
    <n v="0"/>
    <n v="0"/>
    <n v="0"/>
    <n v="0"/>
    <n v="34.535000000000004"/>
    <n v="34.535000000000004"/>
    <n v="224"/>
    <n v="258.53500000000003"/>
    <m/>
    <n v="13.984999999999999"/>
    <n v="36.884999999999998"/>
    <n v="36.884999999999998"/>
    <n v="0"/>
    <n v="0"/>
    <n v="0"/>
    <n v="0"/>
    <n v="50.87"/>
    <n v="0"/>
    <n v="50.87"/>
    <n v="0"/>
    <n v="0"/>
    <n v="0"/>
    <n v="0"/>
    <n v="0"/>
    <n v="0"/>
    <n v="0"/>
    <n v="0"/>
    <n v="0"/>
    <n v="0"/>
    <n v="0"/>
    <m/>
    <m/>
    <m/>
    <m/>
    <m/>
    <m/>
    <m/>
    <m/>
    <s v="0"/>
    <s v="1"/>
    <s v="1"/>
    <s v="1"/>
    <s v="1"/>
    <m/>
    <m/>
    <m/>
    <m/>
    <m/>
    <m/>
    <m/>
    <m/>
    <m/>
    <m/>
    <m/>
    <m/>
    <m/>
    <m/>
  </r>
  <r>
    <n v="742"/>
    <d v="2025-01-03T00:00:00"/>
    <x v="0"/>
    <n v="9518403237"/>
    <n v="1"/>
    <s v="9518403237-1"/>
    <s v="No Priority"/>
    <x v="0"/>
    <m/>
    <x v="1"/>
    <x v="2"/>
    <x v="1"/>
    <m/>
    <x v="0"/>
    <m/>
    <m/>
    <s v="Jharkhand"/>
    <s v="East"/>
    <s v="BOKARO STEEL CY"/>
    <x v="1"/>
    <x v="10"/>
    <x v="10"/>
    <x v="142"/>
    <s v="CRCA SHEET TATCRC SR16 0.330X900X2500"/>
    <m/>
    <m/>
    <m/>
    <m/>
    <s v="Narrow"/>
    <x v="2"/>
    <x v="1"/>
    <s v="SR16"/>
    <x v="9"/>
    <x v="3"/>
    <x v="3"/>
    <n v="42"/>
    <n v="0"/>
    <n v="42"/>
    <n v="42"/>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3T00:00:00"/>
    <x v="0"/>
    <n v="9518403237"/>
    <n v="2"/>
    <s v="9518403237-2"/>
    <s v="No Priority"/>
    <x v="0"/>
    <m/>
    <x v="1"/>
    <x v="2"/>
    <x v="1"/>
    <m/>
    <x v="0"/>
    <m/>
    <m/>
    <s v="Jharkhand"/>
    <s v="East"/>
    <s v="BOKARO STEEL CY"/>
    <x v="1"/>
    <x v="10"/>
    <x v="10"/>
    <x v="20"/>
    <s v="CRCA SHEET TATCRC SR16 0.330X1000X2500"/>
    <m/>
    <m/>
    <m/>
    <m/>
    <s v="Narrow"/>
    <x v="2"/>
    <x v="1"/>
    <s v="SR16"/>
    <x v="9"/>
    <x v="2"/>
    <x v="3"/>
    <n v="45"/>
    <n v="0"/>
    <n v="45"/>
    <n v="-1"/>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3T00:00:00"/>
    <x v="0"/>
    <n v="9518403237"/>
    <n v="3"/>
    <s v="9518403237-3"/>
    <s v="No Priority"/>
    <x v="0"/>
    <m/>
    <x v="1"/>
    <x v="2"/>
    <x v="1"/>
    <m/>
    <x v="0"/>
    <m/>
    <m/>
    <s v="Jharkhand"/>
    <s v="East"/>
    <s v="BOKARO STEEL CY"/>
    <x v="1"/>
    <x v="10"/>
    <x v="10"/>
    <x v="143"/>
    <s v="CRCA SHEET TATCRC SR16 0.380X900X2500"/>
    <m/>
    <m/>
    <m/>
    <m/>
    <s v="Narrow"/>
    <x v="2"/>
    <x v="1"/>
    <s v="SR16"/>
    <x v="7"/>
    <x v="3"/>
    <x v="3"/>
    <n v="42"/>
    <n v="0"/>
    <n v="42"/>
    <n v="-0.32"/>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6T00:00:00"/>
    <x v="0"/>
    <n v="9518407284"/>
    <n v="3"/>
    <s v="9518407284-3"/>
    <s v="No Priority"/>
    <x v="0"/>
    <m/>
    <x v="1"/>
    <x v="2"/>
    <x v="1"/>
    <m/>
    <x v="0"/>
    <m/>
    <m/>
    <s v="Tamil Nadu"/>
    <s v="South"/>
    <s v="CHENNAI"/>
    <x v="1"/>
    <x v="13"/>
    <x v="13"/>
    <x v="9"/>
    <s v="CRCA SHEET TATCRC SR16 0.350X1000X1980"/>
    <m/>
    <m/>
    <m/>
    <m/>
    <s v="Narrow"/>
    <x v="2"/>
    <x v="1"/>
    <s v="SR16"/>
    <x v="6"/>
    <x v="2"/>
    <x v="4"/>
    <n v="24"/>
    <n v="0"/>
    <n v="24"/>
    <n v="0.71"/>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6T00:00:00"/>
    <x v="0"/>
    <n v="9518407392"/>
    <n v="4"/>
    <s v="9518407392-4"/>
    <s v="Stocks"/>
    <x v="0"/>
    <m/>
    <x v="1"/>
    <x v="2"/>
    <x v="1"/>
    <m/>
    <x v="1"/>
    <m/>
    <m/>
    <s v="Tamil Nadu"/>
    <s v="South"/>
    <s v="SALEM JN"/>
    <x v="1"/>
    <x v="13"/>
    <x v="13"/>
    <x v="144"/>
    <s v="CRCA SHEET TATCRC SR16 0.400X900X2500"/>
    <m/>
    <m/>
    <m/>
    <m/>
    <s v="Narrow"/>
    <x v="2"/>
    <x v="1"/>
    <s v="SR16"/>
    <x v="2"/>
    <x v="3"/>
    <x v="3"/>
    <n v="21"/>
    <n v="0"/>
    <n v="21"/>
    <n v="-0.2"/>
    <n v="0"/>
    <n v="0"/>
    <n v="0"/>
    <n v="0"/>
    <n v="0"/>
    <n v="0"/>
    <n v="0"/>
    <n v="0"/>
    <n v="0"/>
    <n v="0"/>
    <n v="0"/>
    <n v="0"/>
    <n v="0"/>
    <n v="0"/>
    <n v="0"/>
    <n v="0"/>
    <n v="0"/>
    <n v="0"/>
    <n v="0"/>
    <n v="0"/>
    <n v="0"/>
    <n v="0"/>
    <n v="0"/>
    <n v="0"/>
    <n v="0"/>
    <m/>
    <n v="2.7349999999999999"/>
    <n v="0"/>
    <n v="0"/>
    <n v="0"/>
    <n v="0"/>
    <n v="0"/>
    <n v="0"/>
    <n v="2.7349999999999999"/>
    <n v="2.7349999999999999"/>
    <n v="0"/>
    <n v="0"/>
    <n v="0"/>
    <n v="0"/>
    <n v="0"/>
    <n v="0"/>
    <n v="0"/>
    <n v="0"/>
    <n v="0"/>
    <n v="0"/>
    <n v="0"/>
    <n v="0"/>
    <m/>
    <m/>
    <m/>
    <m/>
    <m/>
    <m/>
    <m/>
    <m/>
    <s v="1"/>
    <s v="1"/>
    <s v="1"/>
    <s v="1"/>
    <s v="1"/>
    <m/>
    <m/>
    <m/>
    <m/>
    <m/>
    <m/>
    <m/>
    <m/>
    <m/>
    <m/>
    <m/>
    <m/>
    <m/>
    <m/>
  </r>
  <r>
    <n v="742"/>
    <d v="2025-01-06T00:00:00"/>
    <x v="0"/>
    <n v="9518407392"/>
    <n v="5"/>
    <s v="9518407392-5"/>
    <s v="No Priority"/>
    <x v="0"/>
    <m/>
    <x v="1"/>
    <x v="2"/>
    <x v="1"/>
    <m/>
    <x v="0"/>
    <m/>
    <m/>
    <s v="Tamil Nadu"/>
    <s v="South"/>
    <s v="SALEM JN"/>
    <x v="1"/>
    <x v="13"/>
    <x v="13"/>
    <x v="10"/>
    <s v="CRCA SHEET TATCRC SR16 0.400X1000X1980"/>
    <m/>
    <m/>
    <m/>
    <m/>
    <s v="Narrow"/>
    <x v="2"/>
    <x v="1"/>
    <s v="SR16"/>
    <x v="2"/>
    <x v="2"/>
    <x v="4"/>
    <n v="21"/>
    <n v="0"/>
    <n v="21"/>
    <n v="-2.11"/>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11T00:00:00"/>
    <x v="0"/>
    <n v="9518421413"/>
    <n v="1"/>
    <s v="9518421413-1"/>
    <s v="No Priority"/>
    <x v="0"/>
    <m/>
    <x v="1"/>
    <x v="2"/>
    <x v="1"/>
    <m/>
    <x v="0"/>
    <m/>
    <m/>
    <s v="Jharkhand"/>
    <s v="East"/>
    <s v="BOKARO"/>
    <x v="1"/>
    <x v="12"/>
    <x v="12"/>
    <x v="19"/>
    <s v="CRCA SHEET TATCRC SR16 0.300X900X2500"/>
    <m/>
    <m/>
    <m/>
    <m/>
    <s v="Narrow"/>
    <x v="2"/>
    <x v="1"/>
    <s v="SR16"/>
    <x v="11"/>
    <x v="3"/>
    <x v="3"/>
    <n v="74.98"/>
    <n v="37.049999999999997"/>
    <n v="37.93"/>
    <n v="-1.25"/>
    <n v="0"/>
    <n v="0"/>
    <n v="0"/>
    <n v="0"/>
    <n v="0"/>
    <n v="0"/>
    <n v="0"/>
    <n v="0"/>
    <n v="0"/>
    <n v="0"/>
    <n v="0"/>
    <n v="0"/>
    <n v="0"/>
    <n v="0"/>
    <n v="0"/>
    <n v="0"/>
    <n v="0"/>
    <n v="0"/>
    <n v="0"/>
    <n v="0"/>
    <n v="0"/>
    <n v="0"/>
    <n v="0"/>
    <n v="0"/>
    <n v="0"/>
    <m/>
    <n v="0"/>
    <n v="0"/>
    <n v="0"/>
    <n v="0"/>
    <n v="0"/>
    <n v="0"/>
    <n v="0"/>
    <n v="0"/>
    <n v="0"/>
    <n v="0"/>
    <n v="0"/>
    <n v="0"/>
    <n v="0"/>
    <n v="0"/>
    <n v="30.230000000000004"/>
    <n v="0"/>
    <n v="0"/>
    <n v="0"/>
    <n v="0"/>
    <n v="0"/>
    <n v="30.230000000000004"/>
    <m/>
    <m/>
    <m/>
    <m/>
    <m/>
    <m/>
    <m/>
    <m/>
    <s v="1"/>
    <s v="1"/>
    <s v="1"/>
    <s v="1"/>
    <s v="1"/>
    <m/>
    <m/>
    <m/>
    <m/>
    <m/>
    <m/>
    <m/>
    <m/>
    <m/>
    <m/>
    <m/>
    <m/>
    <m/>
    <m/>
  </r>
  <r>
    <n v="742"/>
    <d v="2025-01-21T00:00:00"/>
    <x v="0"/>
    <n v="9518447967"/>
    <n v="3"/>
    <s v="9518447967-3"/>
    <s v="No Priority"/>
    <x v="0"/>
    <m/>
    <x v="1"/>
    <x v="2"/>
    <x v="1"/>
    <m/>
    <x v="0"/>
    <m/>
    <m/>
    <s v="West Bengal"/>
    <s v="East"/>
    <s v="HOWRAH"/>
    <x v="1"/>
    <x v="11"/>
    <x v="11"/>
    <x v="144"/>
    <s v="CRCA SHEET TATCRC SR16 0.400X900X2500"/>
    <m/>
    <m/>
    <m/>
    <m/>
    <s v="Narrow"/>
    <x v="2"/>
    <x v="1"/>
    <s v="SR16"/>
    <x v="2"/>
    <x v="3"/>
    <x v="3"/>
    <n v="51"/>
    <n v="0"/>
    <n v="51"/>
    <n v="-13.07"/>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23T00:00:00"/>
    <x v="0"/>
    <n v="9518454228"/>
    <n v="1"/>
    <s v="9518454228-1"/>
    <s v="Stocks"/>
    <x v="0"/>
    <m/>
    <x v="1"/>
    <x v="2"/>
    <x v="1"/>
    <m/>
    <x v="1"/>
    <m/>
    <s v="Exp BTF &lt;17MT"/>
    <s v="Maharashtra"/>
    <s v="North"/>
    <s v="NAGPUR"/>
    <x v="1"/>
    <x v="62"/>
    <x v="59"/>
    <x v="145"/>
    <s v="CRCA SHEET TATCRC SR16 0.400X1250X2500"/>
    <m/>
    <m/>
    <m/>
    <m/>
    <s v="Wider"/>
    <x v="2"/>
    <x v="1"/>
    <s v="SR16"/>
    <x v="2"/>
    <x v="0"/>
    <x v="0"/>
    <n v="60"/>
    <n v="0"/>
    <n v="60"/>
    <n v="5.59"/>
    <n v="60"/>
    <n v="0"/>
    <n v="0"/>
    <n v="0"/>
    <n v="0"/>
    <n v="0"/>
    <n v="0"/>
    <n v="0"/>
    <n v="0"/>
    <n v="0"/>
    <n v="0"/>
    <n v="0"/>
    <n v="0"/>
    <n v="0"/>
    <n v="0"/>
    <n v="0"/>
    <n v="0"/>
    <n v="0"/>
    <n v="0"/>
    <n v="0"/>
    <n v="0"/>
    <n v="0"/>
    <n v="0"/>
    <n v="0"/>
    <n v="0"/>
    <m/>
    <n v="34.164999999999999"/>
    <n v="0"/>
    <n v="0"/>
    <n v="0"/>
    <n v="0"/>
    <n v="0"/>
    <n v="0"/>
    <n v="34.164999999999999"/>
    <n v="34.164999999999999"/>
    <n v="0"/>
    <n v="0"/>
    <n v="0"/>
    <n v="0"/>
    <n v="0"/>
    <n v="0"/>
    <n v="0"/>
    <n v="0"/>
    <n v="0"/>
    <n v="0"/>
    <n v="0"/>
    <n v="0"/>
    <m/>
    <m/>
    <m/>
    <m/>
    <m/>
    <m/>
    <m/>
    <m/>
    <s v="1"/>
    <s v="1"/>
    <s v="1"/>
    <s v="1"/>
    <s v="1"/>
    <m/>
    <m/>
    <m/>
    <m/>
    <m/>
    <m/>
    <m/>
    <m/>
    <m/>
    <m/>
    <m/>
    <m/>
    <m/>
    <m/>
  </r>
  <r>
    <n v="743"/>
    <d v="2025-01-25T00:00:00"/>
    <x v="0"/>
    <n v="9518461407"/>
    <n v="1"/>
    <s v="9518461407-1"/>
    <s v="No Priority"/>
    <x v="0"/>
    <m/>
    <x v="4"/>
    <x v="3"/>
    <x v="3"/>
    <m/>
    <x v="0"/>
    <m/>
    <m/>
    <s v="Jharkhand"/>
    <s v="TBSPL"/>
    <s v="ADITYAPUR"/>
    <x v="0"/>
    <x v="39"/>
    <x v="39"/>
    <x v="146"/>
    <s v="GL COIL HARD  Y550GL M306 0.350X900"/>
    <m/>
    <m/>
    <m/>
    <m/>
    <s v="Narrow"/>
    <x v="5"/>
    <x v="7"/>
    <s v="M306"/>
    <x v="6"/>
    <x v="3"/>
    <x v="0"/>
    <n v="21"/>
    <n v="0"/>
    <n v="21"/>
    <n v="21"/>
    <n v="21"/>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10T00:00:00"/>
    <x v="0"/>
    <n v="9518507116"/>
    <n v="2"/>
    <s v="9518507116-2"/>
    <s v="No Priority"/>
    <x v="0"/>
    <m/>
    <x v="3"/>
    <x v="9"/>
    <x v="1"/>
    <m/>
    <x v="0"/>
    <m/>
    <m/>
    <s v="Assam"/>
    <s v="East"/>
    <s v="ABHOYAPUR"/>
    <x v="0"/>
    <x v="25"/>
    <x v="24"/>
    <x v="147"/>
    <s v="GP COIL SOFT-TATXGP-GLK1-0.26X900"/>
    <m/>
    <m/>
    <m/>
    <m/>
    <s v="Narrow"/>
    <x v="7"/>
    <x v="5"/>
    <s v="GLK1"/>
    <x v="45"/>
    <x v="3"/>
    <x v="0"/>
    <n v="63"/>
    <n v="49.94"/>
    <n v="13.06"/>
    <n v="-6.3550000000000004"/>
    <n v="0"/>
    <n v="3.05"/>
    <n v="0"/>
    <n v="0"/>
    <n v="0"/>
    <n v="0"/>
    <n v="0"/>
    <n v="0"/>
    <n v="0"/>
    <n v="0"/>
    <n v="0"/>
    <n v="0"/>
    <n v="0"/>
    <n v="0"/>
    <n v="0"/>
    <n v="0"/>
    <n v="0"/>
    <n v="0"/>
    <n v="0"/>
    <n v="0"/>
    <n v="0"/>
    <n v="0"/>
    <n v="0"/>
    <n v="0"/>
    <n v="0"/>
    <m/>
    <n v="0"/>
    <n v="0"/>
    <n v="0"/>
    <n v="0"/>
    <n v="0"/>
    <n v="0"/>
    <n v="0"/>
    <n v="0"/>
    <n v="0"/>
    <n v="0"/>
    <n v="0"/>
    <n v="0"/>
    <n v="0"/>
    <n v="0"/>
    <n v="49.94"/>
    <n v="0"/>
    <n v="0"/>
    <n v="0"/>
    <n v="0"/>
    <n v="0"/>
    <n v="49.94"/>
    <m/>
    <m/>
    <m/>
    <m/>
    <m/>
    <m/>
    <m/>
    <m/>
    <s v="1"/>
    <s v="1"/>
    <s v="1"/>
    <s v="1"/>
    <s v="1"/>
    <m/>
    <m/>
    <m/>
    <m/>
    <m/>
    <m/>
    <m/>
    <m/>
    <m/>
    <m/>
    <m/>
    <m/>
    <m/>
    <m/>
  </r>
  <r>
    <n v="743"/>
    <d v="2025-02-10T00:00:00"/>
    <x v="0"/>
    <n v="9518507131"/>
    <n v="4"/>
    <s v="9518507131-4"/>
    <s v="No Priority"/>
    <x v="0"/>
    <m/>
    <x v="3"/>
    <x v="9"/>
    <x v="1"/>
    <m/>
    <x v="0"/>
    <m/>
    <m/>
    <s v="Assam"/>
    <s v="East"/>
    <s v="ABHOYAPUR"/>
    <x v="0"/>
    <x v="63"/>
    <x v="60"/>
    <x v="148"/>
    <s v="GP COIL SOFT-TATXGP-GLK1-0.55X900"/>
    <m/>
    <m/>
    <m/>
    <m/>
    <s v="Narrow"/>
    <x v="7"/>
    <x v="5"/>
    <s v="GLK1"/>
    <x v="18"/>
    <x v="3"/>
    <x v="0"/>
    <n v="21"/>
    <n v="0"/>
    <n v="21"/>
    <n v="21"/>
    <n v="0"/>
    <n v="1.57"/>
    <n v="0"/>
    <n v="0"/>
    <n v="0"/>
    <n v="0"/>
    <n v="0"/>
    <n v="0"/>
    <n v="0"/>
    <n v="0"/>
    <n v="0"/>
    <n v="0"/>
    <n v="0"/>
    <n v="0"/>
    <n v="0"/>
    <n v="0"/>
    <n v="0"/>
    <n v="0"/>
    <n v="0"/>
    <n v="0"/>
    <n v="0"/>
    <n v="0"/>
    <n v="0"/>
    <n v="21"/>
    <n v="21"/>
    <m/>
    <n v="0"/>
    <n v="0"/>
    <n v="0"/>
    <n v="0"/>
    <n v="0"/>
    <n v="0"/>
    <n v="0"/>
    <n v="0"/>
    <n v="0"/>
    <n v="0"/>
    <n v="0"/>
    <n v="0"/>
    <n v="0"/>
    <n v="0"/>
    <n v="0"/>
    <n v="0"/>
    <n v="0"/>
    <n v="0"/>
    <n v="0"/>
    <n v="0"/>
    <n v="0"/>
    <m/>
    <m/>
    <m/>
    <m/>
    <m/>
    <m/>
    <m/>
    <m/>
    <s v="1"/>
    <s v="1"/>
    <s v="1"/>
    <s v="1"/>
    <s v="1"/>
    <m/>
    <m/>
    <m/>
    <m/>
    <m/>
    <m/>
    <m/>
    <m/>
    <m/>
    <m/>
    <m/>
    <m/>
    <m/>
    <m/>
  </r>
  <r>
    <n v="742"/>
    <d v="2025-02-10T00:00:00"/>
    <x v="0"/>
    <n v="9518507185"/>
    <n v="1"/>
    <s v="9518507185-1"/>
    <s v="May'25"/>
    <x v="0"/>
    <m/>
    <x v="1"/>
    <x v="2"/>
    <x v="1"/>
    <m/>
    <x v="1"/>
    <m/>
    <m/>
    <s v="Jharkhand"/>
    <s v="East"/>
    <s v="BOKARO"/>
    <x v="1"/>
    <x v="12"/>
    <x v="12"/>
    <x v="19"/>
    <s v="CRCA SHEET TATCRC SR16 0.300X900X2500"/>
    <m/>
    <m/>
    <m/>
    <m/>
    <s v="Narrow"/>
    <x v="2"/>
    <x v="1"/>
    <s v="SR16"/>
    <x v="11"/>
    <x v="3"/>
    <x v="3"/>
    <n v="60"/>
    <n v="0"/>
    <n v="60"/>
    <n v="0.94"/>
    <n v="0"/>
    <n v="43.854999999999997"/>
    <n v="0"/>
    <n v="0"/>
    <n v="0"/>
    <n v="0"/>
    <n v="0"/>
    <n v="0"/>
    <n v="0"/>
    <n v="0"/>
    <n v="0.19"/>
    <n v="0"/>
    <n v="0"/>
    <n v="0"/>
    <n v="0"/>
    <n v="0"/>
    <n v="19.62"/>
    <n v="0"/>
    <n v="0"/>
    <n v="0"/>
    <n v="0"/>
    <n v="19.810000000000002"/>
    <n v="19.810000000000002"/>
    <n v="0"/>
    <n v="19.810000000000002"/>
    <m/>
    <n v="0"/>
    <n v="43.854999999999997"/>
    <n v="0"/>
    <n v="0"/>
    <n v="43.854999999999997"/>
    <n v="0"/>
    <n v="0"/>
    <n v="43.854999999999997"/>
    <n v="0"/>
    <n v="0"/>
    <n v="43.854999999999997"/>
    <n v="0"/>
    <n v="0"/>
    <n v="0"/>
    <n v="0"/>
    <n v="0"/>
    <n v="0"/>
    <n v="0"/>
    <n v="0"/>
    <n v="0"/>
    <n v="0"/>
    <m/>
    <m/>
    <m/>
    <m/>
    <m/>
    <m/>
    <m/>
    <m/>
    <s v="1"/>
    <s v="1"/>
    <s v="0"/>
    <s v="1"/>
    <s v="1"/>
    <m/>
    <m/>
    <m/>
    <m/>
    <m/>
    <m/>
    <m/>
    <m/>
    <m/>
    <m/>
    <m/>
    <m/>
    <m/>
    <m/>
  </r>
  <r>
    <n v="742"/>
    <d v="2025-02-10T00:00:00"/>
    <x v="0"/>
    <n v="9518507185"/>
    <n v="2"/>
    <s v="9518507185-2"/>
    <s v="No Priority"/>
    <x v="0"/>
    <m/>
    <x v="1"/>
    <x v="2"/>
    <x v="1"/>
    <m/>
    <x v="0"/>
    <m/>
    <s v="Exp BTF &lt;17MT"/>
    <s v="Jharkhand"/>
    <s v="East"/>
    <s v="BOKARO"/>
    <x v="1"/>
    <x v="12"/>
    <x v="12"/>
    <x v="149"/>
    <s v="CRCA SHEET TATCRC SR16 0.350X900X2500"/>
    <m/>
    <m/>
    <m/>
    <m/>
    <s v="Narrow"/>
    <x v="2"/>
    <x v="1"/>
    <s v="SR16"/>
    <x v="6"/>
    <x v="3"/>
    <x v="3"/>
    <n v="59.99"/>
    <n v="56.064999999999998"/>
    <n v="3.9249999999999998"/>
    <n v="3.9249999999999998"/>
    <n v="3.9249999999999998"/>
    <n v="3.9249999999999998"/>
    <n v="0"/>
    <n v="0"/>
    <n v="0"/>
    <n v="0"/>
    <n v="0"/>
    <n v="0"/>
    <n v="0"/>
    <n v="0"/>
    <n v="0"/>
    <n v="0"/>
    <n v="0"/>
    <n v="0"/>
    <n v="0"/>
    <n v="0"/>
    <n v="0"/>
    <n v="0"/>
    <n v="0"/>
    <n v="0"/>
    <n v="0"/>
    <n v="0"/>
    <n v="0"/>
    <n v="0"/>
    <n v="0"/>
    <m/>
    <n v="0"/>
    <n v="0"/>
    <n v="0"/>
    <n v="0"/>
    <n v="0"/>
    <n v="0"/>
    <n v="0"/>
    <n v="0"/>
    <n v="0"/>
    <n v="0"/>
    <n v="0"/>
    <n v="0"/>
    <n v="0"/>
    <n v="0"/>
    <n v="56.065000000000005"/>
    <n v="0"/>
    <n v="0"/>
    <n v="0"/>
    <n v="0"/>
    <n v="0"/>
    <n v="56.065000000000005"/>
    <m/>
    <m/>
    <m/>
    <m/>
    <m/>
    <m/>
    <m/>
    <m/>
    <s v="1"/>
    <s v="1"/>
    <s v="1"/>
    <s v="1"/>
    <s v="1"/>
    <m/>
    <m/>
    <m/>
    <m/>
    <m/>
    <m/>
    <m/>
    <m/>
    <m/>
    <m/>
    <m/>
    <m/>
    <m/>
    <m/>
  </r>
  <r>
    <n v="742"/>
    <d v="2025-02-10T00:00:00"/>
    <x v="0"/>
    <n v="9518507185"/>
    <n v="3"/>
    <s v="9518507185-3"/>
    <s v="May'25"/>
    <x v="0"/>
    <m/>
    <x v="1"/>
    <x v="2"/>
    <x v="1"/>
    <m/>
    <x v="1"/>
    <m/>
    <m/>
    <s v="Jharkhand"/>
    <s v="East"/>
    <s v="BOKARO"/>
    <x v="1"/>
    <x v="12"/>
    <x v="12"/>
    <x v="43"/>
    <s v="CRCA SHEET TATCRC SR16 0.350X1000X2500"/>
    <m/>
    <m/>
    <m/>
    <m/>
    <s v="Narrow"/>
    <x v="2"/>
    <x v="1"/>
    <s v="SR16"/>
    <x v="6"/>
    <x v="2"/>
    <x v="3"/>
    <n v="21"/>
    <n v="0"/>
    <n v="21"/>
    <n v="-2.16"/>
    <n v="0"/>
    <n v="21"/>
    <n v="0"/>
    <n v="0"/>
    <n v="0"/>
    <n v="0"/>
    <n v="0"/>
    <n v="0"/>
    <n v="0"/>
    <n v="0"/>
    <n v="0"/>
    <n v="0"/>
    <n v="0"/>
    <n v="0"/>
    <n v="0"/>
    <n v="22.34"/>
    <n v="0"/>
    <n v="0"/>
    <n v="0"/>
    <n v="0"/>
    <n v="0"/>
    <n v="22.34"/>
    <n v="22.34"/>
    <n v="0"/>
    <n v="22.34"/>
    <m/>
    <n v="0"/>
    <n v="21"/>
    <n v="0"/>
    <n v="21"/>
    <n v="0"/>
    <n v="0"/>
    <n v="0"/>
    <n v="21"/>
    <n v="0"/>
    <n v="21"/>
    <n v="0"/>
    <n v="0"/>
    <n v="0"/>
    <n v="0"/>
    <n v="0"/>
    <n v="0"/>
    <n v="0"/>
    <n v="0"/>
    <n v="0"/>
    <n v="0"/>
    <n v="0"/>
    <m/>
    <m/>
    <m/>
    <m/>
    <m/>
    <m/>
    <m/>
    <m/>
    <s v="1"/>
    <s v="0"/>
    <s v="1"/>
    <s v="1"/>
    <s v="1"/>
    <m/>
    <m/>
    <m/>
    <m/>
    <m/>
    <m/>
    <m/>
    <m/>
    <m/>
    <m/>
    <m/>
    <m/>
    <m/>
    <m/>
  </r>
  <r>
    <n v="742"/>
    <d v="2025-02-10T00:00:00"/>
    <x v="0"/>
    <n v="9518507185"/>
    <n v="4"/>
    <s v="9518507185-4"/>
    <s v="May'25"/>
    <x v="0"/>
    <m/>
    <x v="1"/>
    <x v="2"/>
    <x v="1"/>
    <m/>
    <x v="1"/>
    <m/>
    <m/>
    <s v="Jharkhand"/>
    <s v="East"/>
    <s v="BOKARO"/>
    <x v="1"/>
    <x v="12"/>
    <x v="12"/>
    <x v="144"/>
    <s v="CRCA SHEET TATCRC SR16 0.400X900X2500"/>
    <m/>
    <m/>
    <m/>
    <m/>
    <s v="Narrow"/>
    <x v="2"/>
    <x v="1"/>
    <s v="SR16"/>
    <x v="2"/>
    <x v="3"/>
    <x v="3"/>
    <n v="30"/>
    <n v="0"/>
    <n v="30"/>
    <n v="-13.25"/>
    <n v="0"/>
    <n v="30"/>
    <n v="0"/>
    <n v="0"/>
    <n v="0"/>
    <n v="0"/>
    <n v="0"/>
    <n v="0"/>
    <n v="0"/>
    <n v="0"/>
    <n v="20.355"/>
    <n v="0"/>
    <n v="0"/>
    <n v="0"/>
    <n v="0"/>
    <n v="21.26"/>
    <n v="0"/>
    <n v="0"/>
    <n v="0"/>
    <n v="0"/>
    <n v="0"/>
    <n v="41.615000000000002"/>
    <n v="41.615000000000002"/>
    <n v="0"/>
    <n v="41.615000000000002"/>
    <m/>
    <n v="8.4750000000000014"/>
    <n v="30"/>
    <n v="30"/>
    <n v="0"/>
    <n v="0"/>
    <n v="0"/>
    <n v="0"/>
    <n v="38.475000000000001"/>
    <n v="0"/>
    <n v="38.475000000000001"/>
    <n v="0"/>
    <n v="0"/>
    <n v="0"/>
    <n v="0"/>
    <n v="0"/>
    <n v="0"/>
    <n v="0"/>
    <n v="0"/>
    <n v="0"/>
    <n v="0"/>
    <n v="0"/>
    <m/>
    <m/>
    <m/>
    <m/>
    <m/>
    <m/>
    <m/>
    <m/>
    <s v="0"/>
    <s v="1"/>
    <s v="1"/>
    <s v="1"/>
    <s v="1"/>
    <m/>
    <m/>
    <m/>
    <m/>
    <m/>
    <m/>
    <m/>
    <m/>
    <m/>
    <m/>
    <m/>
    <m/>
    <m/>
    <m/>
  </r>
  <r>
    <n v="742"/>
    <d v="2025-02-10T00:00:00"/>
    <x v="0"/>
    <n v="9518507185"/>
    <n v="5"/>
    <s v="9518507185-5"/>
    <s v="No Priority"/>
    <x v="0"/>
    <m/>
    <x v="1"/>
    <x v="2"/>
    <x v="1"/>
    <m/>
    <x v="0"/>
    <m/>
    <m/>
    <s v="Jharkhand"/>
    <s v="East"/>
    <s v="BOKARO"/>
    <x v="1"/>
    <x v="12"/>
    <x v="12"/>
    <x v="145"/>
    <s v="CRCA SHEET TATCRC SR16 0.400X1250X2500"/>
    <m/>
    <m/>
    <m/>
    <m/>
    <s v="Wider"/>
    <x v="2"/>
    <x v="1"/>
    <s v="SR16"/>
    <x v="2"/>
    <x v="0"/>
    <x v="0"/>
    <n v="30"/>
    <n v="0"/>
    <n v="30"/>
    <n v="2.79"/>
    <n v="0"/>
    <n v="4.2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0T00:00:00"/>
    <x v="0"/>
    <n v="9518507657"/>
    <n v="4"/>
    <s v="9518507657-4"/>
    <s v="Apr'25 "/>
    <x v="0"/>
    <m/>
    <x v="1"/>
    <x v="2"/>
    <x v="1"/>
    <m/>
    <x v="1"/>
    <m/>
    <m/>
    <s v="Assam"/>
    <s v="East"/>
    <s v="ABHOYAPUR"/>
    <x v="0"/>
    <x v="25"/>
    <x v="24"/>
    <x v="150"/>
    <s v="CR COIL TSBCRC SR25 0.600X1000"/>
    <m/>
    <m/>
    <m/>
    <m/>
    <s v="Narrow"/>
    <x v="1"/>
    <x v="4"/>
    <s v="SR25"/>
    <x v="20"/>
    <x v="2"/>
    <x v="0"/>
    <n v="46"/>
    <n v="0"/>
    <n v="46"/>
    <n v="46"/>
    <n v="23.77"/>
    <n v="25.055"/>
    <n v="0"/>
    <n v="0"/>
    <n v="0"/>
    <n v="0"/>
    <n v="0"/>
    <n v="0"/>
    <n v="0"/>
    <n v="0"/>
    <n v="0"/>
    <n v="0"/>
    <n v="0"/>
    <n v="0"/>
    <n v="0"/>
    <n v="22.23"/>
    <n v="0"/>
    <n v="0"/>
    <n v="0"/>
    <n v="0"/>
    <n v="0"/>
    <n v="22.23"/>
    <n v="22.23"/>
    <n v="0"/>
    <n v="22.23"/>
    <m/>
    <n v="20.945"/>
    <n v="25.055"/>
    <n v="0"/>
    <n v="25.055"/>
    <n v="0"/>
    <n v="0"/>
    <n v="0"/>
    <n v="46"/>
    <n v="0"/>
    <n v="0"/>
    <n v="46"/>
    <n v="0"/>
    <n v="0"/>
    <n v="0"/>
    <n v="0"/>
    <n v="0"/>
    <n v="0"/>
    <n v="0"/>
    <n v="0"/>
    <n v="0"/>
    <n v="0"/>
    <m/>
    <m/>
    <m/>
    <m/>
    <m/>
    <m/>
    <m/>
    <m/>
    <s v="1"/>
    <s v="0"/>
    <s v="1"/>
    <s v="1"/>
    <s v="1"/>
    <m/>
    <m/>
    <m/>
    <m/>
    <m/>
    <m/>
    <m/>
    <m/>
    <m/>
    <m/>
    <m/>
    <m/>
    <m/>
    <m/>
  </r>
  <r>
    <n v="742"/>
    <d v="2025-02-10T00:00:00"/>
    <x v="0"/>
    <n v="9518507657"/>
    <n v="5"/>
    <s v="9518507657-5"/>
    <s v="Apr'25 "/>
    <x v="0"/>
    <m/>
    <x v="1"/>
    <x v="2"/>
    <x v="1"/>
    <m/>
    <x v="1"/>
    <m/>
    <m/>
    <s v="Assam"/>
    <s v="East"/>
    <s v="ABHOYAPUR"/>
    <x v="0"/>
    <x v="25"/>
    <x v="24"/>
    <x v="151"/>
    <s v="CR COIL TATCRC SR26 0.400X1250"/>
    <m/>
    <m/>
    <m/>
    <m/>
    <s v="Wider"/>
    <x v="1"/>
    <x v="1"/>
    <s v="SR26"/>
    <x v="2"/>
    <x v="0"/>
    <x v="0"/>
    <n v="58"/>
    <n v="0"/>
    <n v="58"/>
    <n v="58"/>
    <n v="58"/>
    <n v="58"/>
    <n v="0"/>
    <n v="0"/>
    <n v="0"/>
    <n v="0"/>
    <n v="0"/>
    <n v="0"/>
    <n v="0"/>
    <n v="0"/>
    <n v="0"/>
    <n v="0"/>
    <n v="0"/>
    <n v="0"/>
    <n v="0"/>
    <n v="0"/>
    <n v="0"/>
    <n v="0"/>
    <n v="0"/>
    <n v="0"/>
    <n v="0"/>
    <n v="0"/>
    <n v="0"/>
    <n v="0"/>
    <n v="0"/>
    <m/>
    <n v="0"/>
    <n v="58"/>
    <n v="0"/>
    <n v="0"/>
    <n v="0"/>
    <n v="58"/>
    <n v="0"/>
    <n v="58"/>
    <n v="0"/>
    <n v="0"/>
    <n v="0"/>
    <n v="58"/>
    <n v="0"/>
    <n v="0"/>
    <n v="0"/>
    <n v="0"/>
    <n v="0"/>
    <n v="0"/>
    <n v="0"/>
    <n v="0"/>
    <n v="0"/>
    <m/>
    <m/>
    <m/>
    <m/>
    <m/>
    <m/>
    <m/>
    <m/>
    <s v="1"/>
    <s v="1"/>
    <s v="1"/>
    <s v="0"/>
    <s v="1"/>
    <m/>
    <m/>
    <m/>
    <m/>
    <m/>
    <m/>
    <m/>
    <m/>
    <m/>
    <m/>
    <m/>
    <m/>
    <m/>
    <m/>
  </r>
  <r>
    <n v="742"/>
    <d v="2025-02-10T00:00:00"/>
    <x v="0"/>
    <n v="9518507657"/>
    <n v="6"/>
    <s v="9518507657-6"/>
    <s v="Apr'25 "/>
    <x v="0"/>
    <m/>
    <x v="1"/>
    <x v="2"/>
    <x v="1"/>
    <m/>
    <x v="1"/>
    <m/>
    <m/>
    <s v="Assam"/>
    <s v="East"/>
    <s v="ABHOYAPUR"/>
    <x v="0"/>
    <x v="25"/>
    <x v="24"/>
    <x v="152"/>
    <s v="CR COIL TATCRC SR26 0.350X1000"/>
    <m/>
    <m/>
    <m/>
    <m/>
    <s v="Narrow"/>
    <x v="1"/>
    <x v="1"/>
    <s v="SR26"/>
    <x v="6"/>
    <x v="2"/>
    <x v="0"/>
    <n v="23"/>
    <n v="0"/>
    <n v="23"/>
    <n v="23"/>
    <n v="23"/>
    <n v="23"/>
    <n v="0"/>
    <n v="0"/>
    <n v="0"/>
    <n v="0"/>
    <n v="0"/>
    <n v="0"/>
    <n v="0"/>
    <n v="0"/>
    <n v="0"/>
    <n v="0"/>
    <n v="0"/>
    <n v="0"/>
    <n v="0"/>
    <n v="0"/>
    <n v="0"/>
    <n v="0"/>
    <n v="0"/>
    <n v="0"/>
    <n v="0"/>
    <n v="0"/>
    <n v="0"/>
    <n v="0"/>
    <n v="0"/>
    <m/>
    <n v="0"/>
    <n v="23"/>
    <n v="0"/>
    <n v="0"/>
    <n v="0"/>
    <n v="23"/>
    <n v="0"/>
    <n v="23"/>
    <n v="0"/>
    <n v="0"/>
    <n v="0"/>
    <n v="23"/>
    <n v="0"/>
    <n v="0"/>
    <n v="0"/>
    <n v="0"/>
    <n v="0"/>
    <n v="0"/>
    <n v="0"/>
    <n v="0"/>
    <n v="0"/>
    <m/>
    <m/>
    <m/>
    <m/>
    <m/>
    <m/>
    <m/>
    <m/>
    <s v="1"/>
    <s v="1"/>
    <s v="1"/>
    <s v="0"/>
    <s v="1"/>
    <m/>
    <m/>
    <m/>
    <m/>
    <m/>
    <m/>
    <m/>
    <m/>
    <m/>
    <m/>
    <m/>
    <m/>
    <m/>
    <m/>
  </r>
  <r>
    <n v="742"/>
    <d v="2025-02-10T00:00:00"/>
    <x v="0"/>
    <n v="9518507657"/>
    <n v="7"/>
    <s v="9518507657-7"/>
    <s v="May'25"/>
    <x v="0"/>
    <m/>
    <x v="1"/>
    <x v="2"/>
    <x v="1"/>
    <m/>
    <x v="1"/>
    <m/>
    <m/>
    <s v="Assam"/>
    <s v="East"/>
    <s v="ABHOYAPUR"/>
    <x v="1"/>
    <x v="25"/>
    <x v="24"/>
    <x v="145"/>
    <s v="CRCA SHEET TATCRC SR16 0.400X1250X2500"/>
    <m/>
    <m/>
    <m/>
    <m/>
    <s v="Wider"/>
    <x v="2"/>
    <x v="1"/>
    <s v="SR16"/>
    <x v="2"/>
    <x v="0"/>
    <x v="0"/>
    <n v="54"/>
    <n v="0"/>
    <n v="54"/>
    <n v="-0.95"/>
    <n v="0"/>
    <n v="19.850000000000001"/>
    <n v="0"/>
    <n v="0"/>
    <n v="0"/>
    <n v="0"/>
    <n v="0"/>
    <n v="0"/>
    <n v="0"/>
    <n v="0"/>
    <n v="0"/>
    <n v="0"/>
    <n v="0"/>
    <n v="0"/>
    <n v="0"/>
    <n v="24.035"/>
    <n v="0"/>
    <n v="0"/>
    <n v="0"/>
    <n v="0"/>
    <n v="0"/>
    <n v="24.035"/>
    <n v="24.035"/>
    <n v="0"/>
    <n v="24.035"/>
    <m/>
    <n v="5.7750000000000004"/>
    <n v="19.850000000000001"/>
    <n v="0"/>
    <n v="19.850000000000001"/>
    <n v="0"/>
    <n v="0"/>
    <n v="0"/>
    <n v="25.625"/>
    <n v="0"/>
    <n v="0"/>
    <n v="25.625"/>
    <n v="0"/>
    <n v="0"/>
    <n v="0"/>
    <n v="0"/>
    <n v="0"/>
    <n v="0"/>
    <n v="0"/>
    <n v="0"/>
    <n v="0"/>
    <n v="0"/>
    <m/>
    <m/>
    <m/>
    <m/>
    <m/>
    <m/>
    <m/>
    <m/>
    <s v="1"/>
    <s v="0"/>
    <s v="1"/>
    <s v="1"/>
    <s v="1"/>
    <m/>
    <m/>
    <m/>
    <m/>
    <m/>
    <m/>
    <m/>
    <m/>
    <m/>
    <m/>
    <m/>
    <m/>
    <m/>
    <m/>
  </r>
  <r>
    <n v="742"/>
    <d v="2025-02-14T00:00:00"/>
    <x v="0"/>
    <n v="9518519567"/>
    <n v="1"/>
    <s v="9518519567-1"/>
    <s v="Apr'25 "/>
    <x v="0"/>
    <m/>
    <x v="1"/>
    <x v="2"/>
    <x v="1"/>
    <m/>
    <x v="1"/>
    <m/>
    <m/>
    <s v="West Bengal"/>
    <s v="East"/>
    <s v="HOWRAH"/>
    <x v="1"/>
    <x v="20"/>
    <x v="61"/>
    <x v="19"/>
    <s v="CRCA SHEET TATCRC SR16 0.300X900X2500"/>
    <m/>
    <m/>
    <m/>
    <m/>
    <s v="Narrow"/>
    <x v="2"/>
    <x v="1"/>
    <s v="SR16"/>
    <x v="11"/>
    <x v="3"/>
    <x v="3"/>
    <n v="48"/>
    <n v="0"/>
    <n v="48"/>
    <n v="48"/>
    <n v="25.86"/>
    <n v="48"/>
    <n v="0"/>
    <n v="0"/>
    <n v="0"/>
    <n v="0"/>
    <n v="0"/>
    <n v="0"/>
    <n v="0"/>
    <n v="0"/>
    <n v="0"/>
    <n v="0"/>
    <n v="0"/>
    <n v="0"/>
    <n v="0"/>
    <n v="0"/>
    <n v="0"/>
    <n v="0"/>
    <n v="22.14"/>
    <n v="0"/>
    <n v="0"/>
    <n v="22.14"/>
    <n v="22.14"/>
    <n v="0"/>
    <n v="22.14"/>
    <m/>
    <n v="0"/>
    <n v="48"/>
    <n v="0"/>
    <n v="0"/>
    <n v="48"/>
    <n v="0"/>
    <n v="0"/>
    <n v="48"/>
    <n v="0"/>
    <n v="0"/>
    <n v="48"/>
    <n v="0"/>
    <n v="0"/>
    <n v="0"/>
    <n v="0"/>
    <n v="0"/>
    <n v="0"/>
    <n v="0"/>
    <n v="0"/>
    <n v="0"/>
    <n v="0"/>
    <m/>
    <m/>
    <m/>
    <m/>
    <m/>
    <m/>
    <m/>
    <m/>
    <s v="1"/>
    <s v="1"/>
    <s v="0"/>
    <s v="1"/>
    <s v="1"/>
    <m/>
    <m/>
    <m/>
    <m/>
    <m/>
    <m/>
    <m/>
    <m/>
    <m/>
    <m/>
    <m/>
    <m/>
    <m/>
    <m/>
  </r>
  <r>
    <n v="742"/>
    <d v="2025-02-14T00:00:00"/>
    <x v="0"/>
    <n v="9518519644"/>
    <n v="1"/>
    <s v="9518519644-1"/>
    <s v="No Priority"/>
    <x v="0"/>
    <m/>
    <x v="1"/>
    <x v="2"/>
    <x v="1"/>
    <m/>
    <x v="0"/>
    <m/>
    <m/>
    <s v="Bihar"/>
    <s v="East"/>
    <s v="PATNA CITY"/>
    <x v="1"/>
    <x v="31"/>
    <x v="31"/>
    <x v="19"/>
    <s v="CRCA SHEET TATCRC SR16 0.300X900X2500"/>
    <m/>
    <m/>
    <m/>
    <m/>
    <s v="Narrow"/>
    <x v="2"/>
    <x v="1"/>
    <s v="SR16"/>
    <x v="11"/>
    <x v="3"/>
    <x v="3"/>
    <n v="51"/>
    <n v="50.58"/>
    <n v="0.42"/>
    <n v="-1.08"/>
    <n v="0"/>
    <n v="0.42"/>
    <n v="0"/>
    <n v="0"/>
    <n v="0"/>
    <n v="0"/>
    <n v="0"/>
    <n v="0"/>
    <n v="0"/>
    <n v="0"/>
    <n v="0"/>
    <n v="0"/>
    <n v="0"/>
    <n v="0"/>
    <n v="0"/>
    <n v="0"/>
    <n v="0"/>
    <n v="0"/>
    <n v="0"/>
    <n v="0"/>
    <n v="0"/>
    <n v="0"/>
    <n v="0"/>
    <n v="0"/>
    <n v="0"/>
    <m/>
    <n v="0"/>
    <n v="0"/>
    <n v="0"/>
    <n v="0"/>
    <n v="0"/>
    <n v="0"/>
    <n v="0"/>
    <n v="0"/>
    <n v="0"/>
    <n v="0"/>
    <n v="0"/>
    <n v="0"/>
    <n v="0"/>
    <n v="0"/>
    <n v="35.915000000000006"/>
    <n v="0"/>
    <n v="0"/>
    <n v="0"/>
    <n v="0"/>
    <n v="0"/>
    <n v="35.915000000000006"/>
    <m/>
    <m/>
    <m/>
    <m/>
    <m/>
    <m/>
    <m/>
    <m/>
    <s v="1"/>
    <s v="1"/>
    <s v="1"/>
    <s v="1"/>
    <s v="1"/>
    <m/>
    <m/>
    <m/>
    <m/>
    <m/>
    <m/>
    <m/>
    <m/>
    <m/>
    <m/>
    <m/>
    <m/>
    <m/>
    <m/>
  </r>
  <r>
    <n v="742"/>
    <d v="2025-02-14T00:00:00"/>
    <x v="0"/>
    <n v="9518519644"/>
    <n v="5"/>
    <s v="9518519644-5"/>
    <s v="May'25"/>
    <x v="0"/>
    <m/>
    <x v="1"/>
    <x v="2"/>
    <x v="1"/>
    <m/>
    <x v="1"/>
    <m/>
    <s v="Exp BTF &lt;17MT"/>
    <s v="Bihar"/>
    <s v="East"/>
    <s v="PATNA CITY"/>
    <x v="1"/>
    <x v="31"/>
    <x v="31"/>
    <x v="43"/>
    <s v="CRCA SHEET TATCRC SR16 0.350X1000X2500"/>
    <m/>
    <m/>
    <m/>
    <m/>
    <s v="Narrow"/>
    <x v="2"/>
    <x v="1"/>
    <s v="SR16"/>
    <x v="6"/>
    <x v="2"/>
    <x v="3"/>
    <n v="51"/>
    <n v="0"/>
    <n v="51"/>
    <n v="5.01"/>
    <n v="6.5"/>
    <n v="51"/>
    <n v="0"/>
    <n v="0"/>
    <n v="0"/>
    <n v="0"/>
    <n v="0"/>
    <n v="0"/>
    <n v="0"/>
    <n v="0"/>
    <n v="0"/>
    <n v="0"/>
    <n v="0"/>
    <n v="0"/>
    <n v="0"/>
    <n v="22.28"/>
    <n v="22.22"/>
    <n v="0"/>
    <n v="0"/>
    <n v="0"/>
    <n v="0"/>
    <n v="44.5"/>
    <n v="44.5"/>
    <n v="0"/>
    <n v="44.5"/>
    <m/>
    <n v="0"/>
    <n v="51"/>
    <n v="0"/>
    <n v="51"/>
    <n v="0"/>
    <n v="0"/>
    <n v="0"/>
    <n v="51"/>
    <n v="0"/>
    <n v="51"/>
    <n v="0"/>
    <n v="0"/>
    <n v="0"/>
    <n v="0"/>
    <n v="0"/>
    <n v="0"/>
    <n v="0"/>
    <n v="0"/>
    <n v="0"/>
    <n v="0"/>
    <n v="0"/>
    <m/>
    <m/>
    <m/>
    <m/>
    <m/>
    <m/>
    <m/>
    <m/>
    <s v="1"/>
    <s v="0"/>
    <s v="1"/>
    <s v="1"/>
    <s v="1"/>
    <m/>
    <m/>
    <m/>
    <m/>
    <m/>
    <m/>
    <m/>
    <m/>
    <m/>
    <m/>
    <m/>
    <m/>
    <m/>
    <m/>
  </r>
  <r>
    <n v="742"/>
    <d v="2025-02-14T00:00:00"/>
    <x v="0"/>
    <n v="9518519644"/>
    <n v="6"/>
    <s v="9518519644-6"/>
    <s v="Apr'25 "/>
    <x v="0"/>
    <m/>
    <x v="1"/>
    <x v="2"/>
    <x v="1"/>
    <m/>
    <x v="1"/>
    <m/>
    <m/>
    <s v="Bihar"/>
    <s v="East"/>
    <s v="PATNA CITY"/>
    <x v="1"/>
    <x v="31"/>
    <x v="31"/>
    <x v="16"/>
    <s v="CRCA SHEET TATCRC SR16 0.400X1000X2500"/>
    <m/>
    <m/>
    <m/>
    <m/>
    <s v="Narrow"/>
    <x v="2"/>
    <x v="1"/>
    <s v="SR16"/>
    <x v="2"/>
    <x v="2"/>
    <x v="3"/>
    <n v="36"/>
    <n v="0"/>
    <n v="36"/>
    <n v="12.83"/>
    <n v="13.7"/>
    <n v="36"/>
    <n v="0"/>
    <n v="0"/>
    <n v="0"/>
    <n v="0"/>
    <n v="0"/>
    <n v="0"/>
    <n v="0"/>
    <n v="0"/>
    <n v="0"/>
    <n v="0"/>
    <n v="0"/>
    <n v="0"/>
    <n v="0"/>
    <n v="0"/>
    <n v="22.3"/>
    <n v="0"/>
    <n v="0"/>
    <n v="0"/>
    <n v="0"/>
    <n v="22.3"/>
    <n v="22.3"/>
    <n v="0"/>
    <n v="22.3"/>
    <m/>
    <n v="0"/>
    <n v="36"/>
    <n v="0"/>
    <n v="0"/>
    <n v="36"/>
    <n v="0"/>
    <n v="0"/>
    <n v="36"/>
    <n v="0"/>
    <n v="0"/>
    <n v="36"/>
    <n v="0"/>
    <n v="0"/>
    <n v="0"/>
    <n v="0"/>
    <n v="0"/>
    <n v="0"/>
    <n v="0"/>
    <n v="0"/>
    <n v="0"/>
    <n v="0"/>
    <m/>
    <m/>
    <m/>
    <m/>
    <m/>
    <m/>
    <m/>
    <m/>
    <s v="1"/>
    <s v="1"/>
    <s v="0"/>
    <s v="1"/>
    <s v="1"/>
    <m/>
    <m/>
    <m/>
    <m/>
    <m/>
    <m/>
    <m/>
    <m/>
    <m/>
    <m/>
    <m/>
    <m/>
    <m/>
    <m/>
  </r>
  <r>
    <n v="742"/>
    <d v="2025-02-14T00:00:00"/>
    <x v="0"/>
    <n v="9518520213"/>
    <n v="2"/>
    <s v="9518520213-2"/>
    <s v="No Priority"/>
    <x v="0"/>
    <m/>
    <x v="1"/>
    <x v="2"/>
    <x v="1"/>
    <m/>
    <x v="0"/>
    <m/>
    <m/>
    <s v="Bihar"/>
    <s v="East"/>
    <s v="PURNEA JN."/>
    <x v="1"/>
    <x v="31"/>
    <x v="31"/>
    <x v="142"/>
    <s v="CRCA SHEET TATCRC SR16 0.330X900X2500"/>
    <m/>
    <m/>
    <m/>
    <m/>
    <s v="Narrow"/>
    <x v="2"/>
    <x v="1"/>
    <s v="SR16"/>
    <x v="9"/>
    <x v="3"/>
    <x v="3"/>
    <n v="51"/>
    <n v="0"/>
    <n v="51"/>
    <n v="51"/>
    <n v="0"/>
    <n v="51"/>
    <n v="0"/>
    <n v="0"/>
    <n v="0"/>
    <n v="0"/>
    <n v="0"/>
    <n v="0"/>
    <n v="0"/>
    <n v="0"/>
    <n v="0"/>
    <n v="0"/>
    <n v="0"/>
    <n v="0"/>
    <n v="0"/>
    <n v="0"/>
    <n v="0"/>
    <n v="0"/>
    <n v="66.27"/>
    <n v="0"/>
    <n v="0"/>
    <n v="66.27"/>
    <n v="66.27"/>
    <n v="0"/>
    <n v="66.27"/>
    <m/>
    <n v="0"/>
    <n v="0"/>
    <n v="0"/>
    <n v="0"/>
    <n v="0"/>
    <n v="0"/>
    <n v="0"/>
    <n v="0"/>
    <n v="0"/>
    <n v="0"/>
    <n v="0"/>
    <n v="0"/>
    <n v="0"/>
    <n v="0"/>
    <n v="0"/>
    <n v="0"/>
    <n v="0"/>
    <n v="0"/>
    <n v="0"/>
    <n v="0"/>
    <n v="0"/>
    <m/>
    <m/>
    <m/>
    <m/>
    <m/>
    <m/>
    <m/>
    <m/>
    <s v="1"/>
    <s v="1"/>
    <s v="1"/>
    <s v="1"/>
    <s v="1"/>
    <m/>
    <m/>
    <m/>
    <m/>
    <m/>
    <m/>
    <m/>
    <m/>
    <m/>
    <m/>
    <m/>
    <m/>
    <m/>
    <m/>
  </r>
  <r>
    <n v="742"/>
    <d v="2025-02-14T00:00:00"/>
    <x v="0"/>
    <n v="9518520213"/>
    <n v="4"/>
    <s v="9518520213-4"/>
    <s v="May'25"/>
    <x v="0"/>
    <m/>
    <x v="1"/>
    <x v="2"/>
    <x v="1"/>
    <m/>
    <x v="1"/>
    <m/>
    <m/>
    <s v="Bihar"/>
    <s v="East"/>
    <s v="PURNEA JN."/>
    <x v="1"/>
    <x v="31"/>
    <x v="31"/>
    <x v="149"/>
    <s v="CRCA SHEET TATCRC SR16 0.350X900X2500"/>
    <m/>
    <m/>
    <m/>
    <m/>
    <s v="Narrow"/>
    <x v="2"/>
    <x v="1"/>
    <s v="SR16"/>
    <x v="6"/>
    <x v="3"/>
    <x v="3"/>
    <n v="51"/>
    <n v="0"/>
    <n v="51"/>
    <n v="-13.7"/>
    <n v="0"/>
    <n v="51"/>
    <n v="0"/>
    <n v="0"/>
    <n v="0"/>
    <n v="0"/>
    <n v="0"/>
    <n v="0"/>
    <n v="0"/>
    <n v="0"/>
    <n v="0"/>
    <n v="0"/>
    <n v="0"/>
    <n v="0"/>
    <n v="0"/>
    <n v="21.29"/>
    <n v="42.69"/>
    <n v="0"/>
    <n v="0"/>
    <n v="0"/>
    <n v="0"/>
    <n v="63.98"/>
    <n v="63.98"/>
    <n v="0"/>
    <n v="63.98"/>
    <m/>
    <n v="0"/>
    <n v="51"/>
    <n v="0"/>
    <n v="51"/>
    <n v="0"/>
    <n v="0"/>
    <n v="0"/>
    <n v="51"/>
    <n v="0"/>
    <n v="51"/>
    <n v="0"/>
    <n v="0"/>
    <n v="0"/>
    <n v="0"/>
    <n v="0"/>
    <n v="0"/>
    <n v="0"/>
    <n v="0"/>
    <n v="0"/>
    <n v="0"/>
    <n v="0"/>
    <m/>
    <m/>
    <m/>
    <m/>
    <m/>
    <m/>
    <m/>
    <m/>
    <s v="1"/>
    <s v="0"/>
    <s v="1"/>
    <s v="1"/>
    <s v="1"/>
    <m/>
    <m/>
    <m/>
    <m/>
    <m/>
    <m/>
    <m/>
    <m/>
    <m/>
    <m/>
    <m/>
    <m/>
    <m/>
    <m/>
  </r>
  <r>
    <n v="742"/>
    <d v="2025-02-14T00:00:00"/>
    <x v="0"/>
    <n v="9518520213"/>
    <n v="5"/>
    <s v="9518520213-5"/>
    <s v="May'25"/>
    <x v="0"/>
    <m/>
    <x v="1"/>
    <x v="2"/>
    <x v="1"/>
    <m/>
    <x v="1"/>
    <m/>
    <s v="Exp BTF &lt;17MT"/>
    <s v="Bihar"/>
    <s v="East"/>
    <s v="PURNEA JN."/>
    <x v="1"/>
    <x v="31"/>
    <x v="31"/>
    <x v="43"/>
    <s v="CRCA SHEET TATCRC SR16 0.350X1000X2500"/>
    <m/>
    <m/>
    <m/>
    <m/>
    <s v="Narrow"/>
    <x v="2"/>
    <x v="1"/>
    <s v="SR16"/>
    <x v="6"/>
    <x v="2"/>
    <x v="3"/>
    <n v="51"/>
    <n v="0"/>
    <n v="51"/>
    <n v="4.84"/>
    <n v="6.4600000000000009"/>
    <n v="51"/>
    <n v="0"/>
    <n v="0"/>
    <n v="0"/>
    <n v="0"/>
    <n v="0"/>
    <n v="0"/>
    <n v="0"/>
    <n v="0"/>
    <n v="0"/>
    <n v="0"/>
    <n v="0"/>
    <n v="0"/>
    <n v="0"/>
    <n v="22.36"/>
    <n v="22.18"/>
    <n v="0"/>
    <n v="0"/>
    <n v="0"/>
    <n v="0"/>
    <n v="44.54"/>
    <n v="44.54"/>
    <n v="0"/>
    <n v="44.54"/>
    <m/>
    <n v="0"/>
    <n v="51"/>
    <n v="0"/>
    <n v="51"/>
    <n v="0"/>
    <n v="0"/>
    <n v="0"/>
    <n v="51"/>
    <n v="0"/>
    <n v="51"/>
    <n v="0"/>
    <n v="0"/>
    <n v="0"/>
    <n v="0"/>
    <n v="0"/>
    <n v="0"/>
    <n v="0"/>
    <n v="0"/>
    <n v="0"/>
    <n v="0"/>
    <n v="0"/>
    <m/>
    <m/>
    <m/>
    <m/>
    <m/>
    <m/>
    <m/>
    <m/>
    <s v="1"/>
    <s v="0"/>
    <s v="1"/>
    <s v="1"/>
    <s v="1"/>
    <m/>
    <m/>
    <m/>
    <m/>
    <m/>
    <m/>
    <m/>
    <m/>
    <m/>
    <m/>
    <m/>
    <m/>
    <m/>
    <m/>
  </r>
  <r>
    <n v="742"/>
    <d v="2025-02-14T00:00:00"/>
    <x v="0"/>
    <n v="9518520213"/>
    <n v="6"/>
    <s v="9518520213-6"/>
    <s v="Apr'25 "/>
    <x v="0"/>
    <m/>
    <x v="1"/>
    <x v="2"/>
    <x v="1"/>
    <m/>
    <x v="1"/>
    <m/>
    <m/>
    <s v="Bihar"/>
    <s v="East"/>
    <s v="PURNEA JN."/>
    <x v="1"/>
    <x v="31"/>
    <x v="31"/>
    <x v="16"/>
    <s v="CRCA SHEET TATCRC SR16 0.400X1000X2500"/>
    <m/>
    <m/>
    <m/>
    <m/>
    <s v="Narrow"/>
    <x v="2"/>
    <x v="1"/>
    <s v="SR16"/>
    <x v="2"/>
    <x v="2"/>
    <x v="3"/>
    <n v="36"/>
    <n v="0"/>
    <n v="36"/>
    <n v="36"/>
    <n v="36"/>
    <n v="36"/>
    <n v="0"/>
    <n v="0"/>
    <n v="0"/>
    <n v="0"/>
    <n v="0"/>
    <n v="0"/>
    <n v="0"/>
    <n v="0"/>
    <n v="0"/>
    <n v="0"/>
    <n v="0"/>
    <n v="0"/>
    <n v="0"/>
    <n v="0"/>
    <n v="0"/>
    <n v="0"/>
    <n v="0"/>
    <n v="0"/>
    <n v="0"/>
    <n v="0"/>
    <n v="0"/>
    <n v="0"/>
    <n v="0"/>
    <m/>
    <n v="0"/>
    <n v="36"/>
    <n v="0"/>
    <n v="0"/>
    <n v="0"/>
    <n v="36"/>
    <n v="0"/>
    <n v="36"/>
    <n v="0"/>
    <n v="0"/>
    <n v="0"/>
    <n v="36"/>
    <n v="0"/>
    <n v="0"/>
    <n v="0"/>
    <n v="0"/>
    <n v="0"/>
    <n v="0"/>
    <n v="0"/>
    <n v="0"/>
    <n v="0"/>
    <m/>
    <m/>
    <m/>
    <m/>
    <m/>
    <m/>
    <m/>
    <m/>
    <s v="1"/>
    <s v="1"/>
    <s v="1"/>
    <s v="0"/>
    <s v="1"/>
    <m/>
    <m/>
    <m/>
    <m/>
    <m/>
    <m/>
    <m/>
    <m/>
    <m/>
    <m/>
    <m/>
    <m/>
    <m/>
    <m/>
  </r>
  <r>
    <n v="744"/>
    <d v="2025-02-15T00:00:00"/>
    <x v="0"/>
    <n v="9518522888"/>
    <n v="1"/>
    <s v="9518522888-1"/>
    <s v="Apr'25 "/>
    <x v="0"/>
    <m/>
    <x v="2"/>
    <x v="3"/>
    <x v="3"/>
    <m/>
    <x v="1"/>
    <m/>
    <m/>
    <s v="Jharkhand"/>
    <s v="TBSPL"/>
    <s v="TBL- BARA AGRICO"/>
    <x v="0"/>
    <x v="6"/>
    <x v="39"/>
    <x v="84"/>
    <s v="PPGL C HARD Y550PL D0C9 0.50(TPT)X1220"/>
    <m/>
    <m/>
    <m/>
    <m/>
    <s v="Wider"/>
    <x v="3"/>
    <x v="3"/>
    <s v="D0C9"/>
    <x v="1"/>
    <x v="1"/>
    <x v="0"/>
    <n v="28"/>
    <n v="0"/>
    <n v="28"/>
    <n v="28"/>
    <n v="28"/>
    <n v="28"/>
    <n v="0"/>
    <n v="0"/>
    <n v="0"/>
    <n v="0"/>
    <n v="0"/>
    <n v="0"/>
    <n v="0"/>
    <n v="0"/>
    <n v="0"/>
    <n v="0"/>
    <n v="0"/>
    <n v="0"/>
    <n v="0"/>
    <n v="0"/>
    <n v="0"/>
    <n v="0"/>
    <n v="0"/>
    <n v="0"/>
    <n v="0"/>
    <n v="0"/>
    <n v="0"/>
    <n v="0"/>
    <n v="0"/>
    <m/>
    <n v="0"/>
    <n v="28"/>
    <n v="0"/>
    <n v="0"/>
    <n v="0"/>
    <n v="28"/>
    <n v="0"/>
    <n v="28"/>
    <n v="0"/>
    <n v="0"/>
    <n v="0"/>
    <n v="28"/>
    <n v="0"/>
    <n v="0"/>
    <n v="0"/>
    <n v="0"/>
    <n v="0"/>
    <n v="0"/>
    <n v="0"/>
    <n v="0"/>
    <n v="0"/>
    <m/>
    <m/>
    <m/>
    <m/>
    <m/>
    <m/>
    <m/>
    <m/>
    <s v="1"/>
    <s v="1"/>
    <s v="1"/>
    <s v="0"/>
    <s v="1"/>
    <m/>
    <m/>
    <m/>
    <m/>
    <m/>
    <m/>
    <m/>
    <m/>
    <m/>
    <m/>
    <m/>
    <m/>
    <m/>
    <m/>
  </r>
  <r>
    <n v="743"/>
    <d v="2025-02-18T00:00:00"/>
    <x v="0"/>
    <n v="9518528325"/>
    <n v="6"/>
    <s v="9518528325-6"/>
    <s v="Stocks"/>
    <x v="0"/>
    <m/>
    <x v="3"/>
    <x v="9"/>
    <x v="1"/>
    <m/>
    <x v="1"/>
    <m/>
    <s v="Exp BTF &lt;17MT"/>
    <s v="West Bengal"/>
    <s v="East"/>
    <s v="SINGUR"/>
    <x v="0"/>
    <x v="36"/>
    <x v="36"/>
    <x v="153"/>
    <s v="GP COIL SOFT-TATXGP-GLK1-0.6X900"/>
    <m/>
    <m/>
    <m/>
    <m/>
    <s v="Narrow"/>
    <x v="7"/>
    <x v="5"/>
    <s v="GLK1"/>
    <x v="20"/>
    <x v="3"/>
    <x v="0"/>
    <n v="105"/>
    <n v="92.66"/>
    <n v="12.34"/>
    <n v="7.7249999999999996"/>
    <n v="12.34"/>
    <n v="7.87"/>
    <n v="0"/>
    <n v="0"/>
    <n v="0"/>
    <n v="0"/>
    <n v="0"/>
    <n v="0"/>
    <n v="0"/>
    <n v="0"/>
    <n v="0"/>
    <n v="0"/>
    <n v="0"/>
    <n v="0"/>
    <n v="0"/>
    <n v="0"/>
    <n v="0"/>
    <n v="0"/>
    <n v="0"/>
    <n v="0"/>
    <n v="0"/>
    <n v="0"/>
    <n v="0"/>
    <n v="0"/>
    <n v="0"/>
    <m/>
    <n v="11.5"/>
    <n v="0"/>
    <n v="0"/>
    <n v="0"/>
    <n v="0"/>
    <n v="0"/>
    <n v="0"/>
    <n v="11.5"/>
    <n v="11.5"/>
    <n v="0"/>
    <n v="0"/>
    <n v="0"/>
    <n v="0"/>
    <n v="0"/>
    <n v="0"/>
    <n v="0"/>
    <n v="0"/>
    <n v="0"/>
    <n v="0"/>
    <n v="0"/>
    <n v="0"/>
    <m/>
    <m/>
    <m/>
    <m/>
    <m/>
    <m/>
    <m/>
    <m/>
    <s v="1"/>
    <s v="1"/>
    <s v="1"/>
    <s v="1"/>
    <s v="1"/>
    <m/>
    <m/>
    <m/>
    <m/>
    <m/>
    <m/>
    <m/>
    <m/>
    <m/>
    <m/>
    <m/>
    <m/>
    <m/>
    <m/>
  </r>
  <r>
    <n v="742"/>
    <d v="2025-02-18T00:00:00"/>
    <x v="0"/>
    <n v="9518529569"/>
    <n v="1"/>
    <s v="9518529569-1"/>
    <s v="Stocks"/>
    <x v="0"/>
    <m/>
    <x v="1"/>
    <x v="2"/>
    <x v="1"/>
    <m/>
    <x v="1"/>
    <m/>
    <m/>
    <s v="Rajasthan"/>
    <s v="North"/>
    <s v="JAIPUR"/>
    <x v="1"/>
    <x v="64"/>
    <x v="62"/>
    <x v="145"/>
    <s v="CRCA SHEET TATCRC SR16 0.400X1250X2500"/>
    <m/>
    <m/>
    <m/>
    <m/>
    <s v="Wider"/>
    <x v="2"/>
    <x v="1"/>
    <s v="SR16"/>
    <x v="2"/>
    <x v="0"/>
    <x v="0"/>
    <n v="48"/>
    <n v="0"/>
    <n v="48"/>
    <n v="-6.18"/>
    <n v="0"/>
    <n v="2.1800000000000002"/>
    <n v="0"/>
    <n v="0"/>
    <n v="0"/>
    <n v="0"/>
    <n v="0"/>
    <n v="0"/>
    <n v="0"/>
    <n v="0"/>
    <n v="0"/>
    <n v="0"/>
    <n v="0"/>
    <n v="0"/>
    <n v="0"/>
    <n v="0"/>
    <n v="0"/>
    <n v="0"/>
    <n v="0"/>
    <n v="0"/>
    <n v="0"/>
    <n v="0"/>
    <n v="0"/>
    <n v="0"/>
    <n v="0"/>
    <m/>
    <n v="20.040000000000003"/>
    <n v="0"/>
    <n v="0"/>
    <n v="0"/>
    <n v="0"/>
    <n v="0"/>
    <n v="0"/>
    <n v="20.040000000000003"/>
    <n v="20.040000000000003"/>
    <n v="0"/>
    <n v="0"/>
    <n v="0"/>
    <n v="0"/>
    <n v="0"/>
    <n v="0"/>
    <n v="0"/>
    <n v="0"/>
    <n v="0"/>
    <n v="0"/>
    <n v="0"/>
    <n v="0"/>
    <m/>
    <m/>
    <m/>
    <m/>
    <m/>
    <m/>
    <m/>
    <m/>
    <s v="1"/>
    <s v="1"/>
    <s v="1"/>
    <s v="1"/>
    <s v="1"/>
    <m/>
    <m/>
    <m/>
    <m/>
    <m/>
    <m/>
    <m/>
    <m/>
    <m/>
    <m/>
    <m/>
    <m/>
    <m/>
    <m/>
  </r>
  <r>
    <n v="742"/>
    <d v="2025-02-18T00:00:00"/>
    <x v="0"/>
    <n v="9518529688"/>
    <n v="1"/>
    <s v="9518529688-1"/>
    <s v="May'25"/>
    <x v="0"/>
    <m/>
    <x v="1"/>
    <x v="2"/>
    <x v="1"/>
    <m/>
    <x v="1"/>
    <m/>
    <m/>
    <s v="Rajasthan"/>
    <s v="North"/>
    <s v="JAIPUR"/>
    <x v="1"/>
    <x v="64"/>
    <x v="62"/>
    <x v="154"/>
    <s v="CRCA SHEET TATCRC SR16 0.350X1250X2500"/>
    <m/>
    <m/>
    <m/>
    <m/>
    <s v="Wider"/>
    <x v="2"/>
    <x v="1"/>
    <s v="SR16"/>
    <x v="6"/>
    <x v="0"/>
    <x v="0"/>
    <n v="24"/>
    <n v="0"/>
    <n v="24"/>
    <n v="-3.24"/>
    <n v="0"/>
    <n v="24"/>
    <n v="0"/>
    <n v="0"/>
    <n v="0"/>
    <n v="0"/>
    <n v="0"/>
    <n v="0"/>
    <n v="0"/>
    <n v="0"/>
    <n v="0"/>
    <n v="0"/>
    <n v="0"/>
    <n v="0"/>
    <n v="0"/>
    <n v="0"/>
    <n v="26.73"/>
    <n v="0"/>
    <n v="0"/>
    <n v="0"/>
    <n v="0"/>
    <n v="26.73"/>
    <n v="26.73"/>
    <n v="0"/>
    <n v="26.73"/>
    <m/>
    <n v="0"/>
    <n v="24"/>
    <n v="24"/>
    <n v="0"/>
    <n v="0"/>
    <n v="0"/>
    <n v="0"/>
    <n v="24"/>
    <n v="0"/>
    <n v="24"/>
    <n v="0"/>
    <n v="0"/>
    <n v="0"/>
    <n v="0"/>
    <n v="0"/>
    <n v="0"/>
    <n v="0"/>
    <n v="0"/>
    <n v="0"/>
    <n v="0"/>
    <n v="0"/>
    <m/>
    <m/>
    <m/>
    <m/>
    <m/>
    <m/>
    <m/>
    <m/>
    <s v="0"/>
    <s v="1"/>
    <s v="1"/>
    <s v="1"/>
    <s v="1"/>
    <m/>
    <m/>
    <m/>
    <m/>
    <m/>
    <m/>
    <m/>
    <m/>
    <m/>
    <m/>
    <m/>
    <m/>
    <m/>
    <m/>
  </r>
  <r>
    <n v="742"/>
    <d v="2025-02-19T00:00:00"/>
    <x v="0"/>
    <n v="9518533557"/>
    <n v="1"/>
    <s v="9518533557-1"/>
    <s v="No Priority"/>
    <x v="0"/>
    <m/>
    <x v="1"/>
    <x v="2"/>
    <x v="1"/>
    <m/>
    <x v="0"/>
    <m/>
    <m/>
    <s v="West Bengal"/>
    <s v="East"/>
    <s v="HOWRAH"/>
    <x v="1"/>
    <x v="11"/>
    <x v="11"/>
    <x v="19"/>
    <s v="CRCA SHEET TATCRC SR16 0.300X900X2500"/>
    <m/>
    <m/>
    <m/>
    <m/>
    <s v="Narrow"/>
    <x v="2"/>
    <x v="1"/>
    <s v="SR16"/>
    <x v="11"/>
    <x v="3"/>
    <x v="3"/>
    <n v="30"/>
    <n v="0"/>
    <n v="30"/>
    <n v="10.25"/>
    <n v="10.25"/>
    <n v="11.744999999999999"/>
    <n v="0"/>
    <n v="0"/>
    <n v="0"/>
    <n v="0"/>
    <n v="0"/>
    <n v="0"/>
    <n v="0"/>
    <n v="0"/>
    <n v="0"/>
    <n v="0"/>
    <n v="0"/>
    <n v="0"/>
    <n v="0"/>
    <n v="0"/>
    <n v="19.75"/>
    <n v="0"/>
    <n v="0"/>
    <n v="0"/>
    <n v="0"/>
    <n v="19.75"/>
    <n v="19.75"/>
    <n v="0"/>
    <n v="19.75"/>
    <m/>
    <n v="0"/>
    <n v="0"/>
    <n v="0"/>
    <n v="0"/>
    <n v="0"/>
    <n v="0"/>
    <n v="0"/>
    <n v="0"/>
    <n v="0"/>
    <n v="0"/>
    <n v="0"/>
    <n v="0"/>
    <n v="0"/>
    <n v="0"/>
    <n v="0"/>
    <n v="0"/>
    <n v="0"/>
    <n v="0"/>
    <n v="0"/>
    <n v="0"/>
    <n v="0"/>
    <m/>
    <m/>
    <m/>
    <m/>
    <m/>
    <m/>
    <m/>
    <m/>
    <s v="1"/>
    <s v="1"/>
    <s v="1"/>
    <s v="1"/>
    <s v="1"/>
    <m/>
    <m/>
    <m/>
    <m/>
    <m/>
    <m/>
    <m/>
    <m/>
    <m/>
    <m/>
    <m/>
    <m/>
    <m/>
    <m/>
  </r>
  <r>
    <n v="742"/>
    <d v="2025-02-19T00:00:00"/>
    <x v="0"/>
    <n v="9518533557"/>
    <n v="2"/>
    <s v="9518533557-2"/>
    <s v="May'25"/>
    <x v="0"/>
    <m/>
    <x v="1"/>
    <x v="2"/>
    <x v="1"/>
    <m/>
    <x v="1"/>
    <m/>
    <m/>
    <s v="West Bengal"/>
    <s v="East"/>
    <s v="HOWRAH"/>
    <x v="1"/>
    <x v="11"/>
    <x v="11"/>
    <x v="155"/>
    <s v="CRCA SHEET TATCRC SR16 0.330X1250X2500"/>
    <m/>
    <m/>
    <m/>
    <m/>
    <s v="Wider"/>
    <x v="2"/>
    <x v="1"/>
    <s v="SR16"/>
    <x v="9"/>
    <x v="0"/>
    <x v="3"/>
    <n v="30"/>
    <n v="0"/>
    <n v="30"/>
    <n v="2.35"/>
    <n v="0"/>
    <n v="30"/>
    <n v="0"/>
    <n v="0"/>
    <n v="0"/>
    <n v="0"/>
    <n v="0"/>
    <n v="0"/>
    <n v="0"/>
    <n v="0"/>
    <n v="25.1"/>
    <n v="0"/>
    <n v="0"/>
    <n v="0"/>
    <n v="0"/>
    <n v="0"/>
    <n v="0"/>
    <n v="1.9750000000000001"/>
    <n v="0"/>
    <n v="0"/>
    <n v="0"/>
    <n v="27.075000000000003"/>
    <n v="27.075000000000003"/>
    <n v="0"/>
    <n v="27.075000000000003"/>
    <m/>
    <n v="0"/>
    <n v="30"/>
    <n v="30"/>
    <n v="0"/>
    <n v="0"/>
    <n v="0"/>
    <n v="0"/>
    <n v="30"/>
    <n v="0"/>
    <n v="30"/>
    <n v="0"/>
    <n v="0"/>
    <n v="0"/>
    <n v="0"/>
    <n v="0"/>
    <n v="0"/>
    <n v="0"/>
    <n v="0"/>
    <n v="0"/>
    <n v="0"/>
    <n v="0"/>
    <m/>
    <m/>
    <m/>
    <m/>
    <m/>
    <m/>
    <m/>
    <m/>
    <s v="0"/>
    <s v="1"/>
    <s v="1"/>
    <s v="1"/>
    <s v="1"/>
    <m/>
    <m/>
    <m/>
    <m/>
    <m/>
    <m/>
    <m/>
    <m/>
    <m/>
    <m/>
    <m/>
    <m/>
    <m/>
    <m/>
  </r>
  <r>
    <n v="742"/>
    <d v="2025-02-19T00:00:00"/>
    <x v="0"/>
    <n v="9518533557"/>
    <n v="3"/>
    <s v="9518533557-3"/>
    <s v="May'25"/>
    <x v="0"/>
    <m/>
    <x v="1"/>
    <x v="2"/>
    <x v="1"/>
    <m/>
    <x v="1"/>
    <m/>
    <s v="Exp BTF &lt;17MT"/>
    <s v="West Bengal"/>
    <s v="East"/>
    <s v="HOWRAH"/>
    <x v="1"/>
    <x v="11"/>
    <x v="11"/>
    <x v="149"/>
    <s v="CRCA SHEET TATCRC SR16 0.350X900X2500"/>
    <m/>
    <m/>
    <m/>
    <m/>
    <s v="Narrow"/>
    <x v="2"/>
    <x v="1"/>
    <s v="SR16"/>
    <x v="6"/>
    <x v="3"/>
    <x v="3"/>
    <n v="60"/>
    <n v="36.69"/>
    <n v="23.31"/>
    <n v="3.57"/>
    <n v="3.5699999999999967"/>
    <n v="23.31"/>
    <n v="0"/>
    <n v="0"/>
    <n v="0"/>
    <n v="0"/>
    <n v="0"/>
    <n v="0"/>
    <n v="0"/>
    <n v="0"/>
    <n v="0"/>
    <n v="0"/>
    <n v="0"/>
    <n v="0"/>
    <n v="0"/>
    <n v="0"/>
    <n v="19.740000000000002"/>
    <n v="0"/>
    <n v="0"/>
    <n v="0"/>
    <n v="0"/>
    <n v="19.740000000000002"/>
    <n v="19.740000000000002"/>
    <n v="0"/>
    <n v="19.740000000000002"/>
    <m/>
    <n v="0"/>
    <n v="23.31"/>
    <n v="23.31"/>
    <n v="0"/>
    <n v="0"/>
    <n v="0"/>
    <n v="0"/>
    <n v="23.31"/>
    <n v="0"/>
    <n v="23.31"/>
    <n v="0"/>
    <n v="0"/>
    <n v="0"/>
    <n v="0"/>
    <n v="36.69"/>
    <n v="23.31"/>
    <n v="0"/>
    <n v="0"/>
    <n v="0"/>
    <n v="0"/>
    <n v="13.379999999999999"/>
    <m/>
    <m/>
    <m/>
    <m/>
    <m/>
    <m/>
    <m/>
    <m/>
    <s v="1"/>
    <s v="1"/>
    <s v="1"/>
    <s v="1"/>
    <s v="1"/>
    <m/>
    <m/>
    <m/>
    <m/>
    <m/>
    <m/>
    <m/>
    <m/>
    <m/>
    <m/>
    <m/>
    <m/>
    <m/>
    <m/>
  </r>
  <r>
    <n v="742"/>
    <d v="2025-02-19T00:00:00"/>
    <x v="0"/>
    <n v="9518533557"/>
    <n v="4"/>
    <s v="9518533557-4"/>
    <s v="Stocks"/>
    <x v="0"/>
    <m/>
    <x v="1"/>
    <x v="2"/>
    <x v="1"/>
    <m/>
    <x v="1"/>
    <m/>
    <s v="Exp BTF &lt;17MT"/>
    <s v="West Bengal"/>
    <s v="East"/>
    <s v="HOWRAH"/>
    <x v="1"/>
    <x v="11"/>
    <x v="11"/>
    <x v="144"/>
    <s v="CRCA SHEET TATCRC SR16 0.400X900X2500"/>
    <m/>
    <m/>
    <m/>
    <m/>
    <s v="Narrow"/>
    <x v="2"/>
    <x v="1"/>
    <s v="SR16"/>
    <x v="2"/>
    <x v="3"/>
    <x v="3"/>
    <n v="30"/>
    <n v="0"/>
    <n v="30"/>
    <n v="8.7899999999999991"/>
    <n v="30"/>
    <n v="10.74"/>
    <n v="0"/>
    <n v="0"/>
    <n v="0"/>
    <n v="0"/>
    <n v="0"/>
    <n v="0"/>
    <n v="0"/>
    <n v="0"/>
    <n v="0"/>
    <n v="0"/>
    <n v="0"/>
    <n v="0"/>
    <n v="0"/>
    <n v="0"/>
    <n v="0"/>
    <n v="0"/>
    <n v="0"/>
    <n v="0"/>
    <n v="0"/>
    <n v="0"/>
    <n v="0"/>
    <n v="0"/>
    <n v="0"/>
    <m/>
    <n v="19.260000000000002"/>
    <n v="0"/>
    <n v="0"/>
    <n v="0"/>
    <n v="0"/>
    <n v="0"/>
    <n v="0"/>
    <n v="19.260000000000002"/>
    <n v="19.260000000000002"/>
    <n v="0"/>
    <n v="0"/>
    <n v="0"/>
    <n v="0"/>
    <n v="0"/>
    <n v="0"/>
    <n v="0"/>
    <n v="0"/>
    <n v="0"/>
    <n v="0"/>
    <n v="0"/>
    <n v="0"/>
    <m/>
    <m/>
    <m/>
    <m/>
    <m/>
    <m/>
    <m/>
    <m/>
    <s v="1"/>
    <s v="1"/>
    <s v="1"/>
    <s v="1"/>
    <s v="1"/>
    <m/>
    <m/>
    <m/>
    <m/>
    <m/>
    <m/>
    <m/>
    <m/>
    <m/>
    <m/>
    <m/>
    <m/>
    <m/>
    <m/>
  </r>
  <r>
    <n v="742"/>
    <d v="2025-02-19T00:00:00"/>
    <x v="0"/>
    <n v="9518533557"/>
    <n v="5"/>
    <s v="9518533557-5"/>
    <s v="Apr'25 "/>
    <x v="0"/>
    <m/>
    <x v="1"/>
    <x v="2"/>
    <x v="1"/>
    <m/>
    <x v="1"/>
    <m/>
    <m/>
    <s v="West Bengal"/>
    <s v="East"/>
    <s v="HOWRAH"/>
    <x v="1"/>
    <x v="11"/>
    <x v="11"/>
    <x v="145"/>
    <s v="CRCA SHEET TATCRC SR16 0.400X1250X2500"/>
    <m/>
    <m/>
    <m/>
    <m/>
    <s v="Wider"/>
    <x v="2"/>
    <x v="1"/>
    <s v="SR16"/>
    <x v="2"/>
    <x v="0"/>
    <x v="0"/>
    <n v="30"/>
    <n v="0"/>
    <n v="30"/>
    <n v="30"/>
    <n v="30"/>
    <n v="30"/>
    <n v="0"/>
    <n v="0"/>
    <n v="0"/>
    <n v="0"/>
    <n v="0"/>
    <n v="0"/>
    <n v="0"/>
    <n v="0"/>
    <n v="0"/>
    <n v="0"/>
    <n v="0"/>
    <n v="0"/>
    <n v="0"/>
    <n v="0"/>
    <n v="0"/>
    <n v="0"/>
    <n v="0"/>
    <n v="0"/>
    <n v="0"/>
    <n v="0"/>
    <n v="0"/>
    <n v="0"/>
    <n v="0"/>
    <m/>
    <n v="0"/>
    <n v="30"/>
    <n v="0"/>
    <n v="0"/>
    <n v="0"/>
    <n v="30"/>
    <n v="0"/>
    <n v="30"/>
    <n v="0"/>
    <n v="0"/>
    <n v="0"/>
    <n v="30"/>
    <n v="0"/>
    <n v="0"/>
    <n v="0"/>
    <n v="0"/>
    <n v="0"/>
    <n v="0"/>
    <n v="0"/>
    <n v="0"/>
    <n v="0"/>
    <m/>
    <m/>
    <m/>
    <m/>
    <m/>
    <m/>
    <m/>
    <m/>
    <s v="1"/>
    <s v="1"/>
    <s v="1"/>
    <s v="0"/>
    <s v="1"/>
    <m/>
    <m/>
    <m/>
    <m/>
    <m/>
    <m/>
    <m/>
    <m/>
    <m/>
    <m/>
    <m/>
    <m/>
    <m/>
    <m/>
  </r>
  <r>
    <n v="743"/>
    <d v="2025-02-22T00:00:00"/>
    <x v="0"/>
    <n v="9518542770"/>
    <n v="7"/>
    <s v="9518542770-7"/>
    <s v="Apr'25 "/>
    <x v="0"/>
    <m/>
    <x v="4"/>
    <x v="3"/>
    <x v="3"/>
    <n v="4000"/>
    <x v="1"/>
    <m/>
    <m/>
    <s v="Jharkhand"/>
    <s v="TBSPL"/>
    <s v="TBL- BARA AGRICO"/>
    <x v="0"/>
    <x v="22"/>
    <x v="39"/>
    <x v="156"/>
    <s v="GL C YS550 H6GL 0.42BMT(0.47TCT)X1220"/>
    <m/>
    <m/>
    <m/>
    <m/>
    <s v="Wider"/>
    <x v="5"/>
    <x v="7"/>
    <s v="H6GL"/>
    <x v="3"/>
    <x v="1"/>
    <x v="0"/>
    <n v="56"/>
    <n v="0"/>
    <n v="56"/>
    <n v="56"/>
    <n v="0.57499999999999574"/>
    <n v="56"/>
    <n v="0"/>
    <n v="0"/>
    <n v="0"/>
    <n v="0"/>
    <n v="0"/>
    <n v="0"/>
    <n v="0"/>
    <n v="55.425000000000004"/>
    <n v="0"/>
    <n v="0"/>
    <n v="0"/>
    <n v="0"/>
    <n v="0"/>
    <n v="0"/>
    <n v="0"/>
    <n v="0"/>
    <n v="0"/>
    <n v="0"/>
    <n v="0"/>
    <n v="55.425000000000004"/>
    <n v="55.425000000000004"/>
    <n v="0"/>
    <n v="55.425000000000004"/>
    <m/>
    <n v="0"/>
    <n v="56"/>
    <n v="0"/>
    <n v="56"/>
    <n v="0"/>
    <n v="0"/>
    <n v="0"/>
    <n v="56"/>
    <n v="0"/>
    <n v="0"/>
    <n v="56"/>
    <n v="0"/>
    <n v="0"/>
    <n v="0"/>
    <n v="0"/>
    <n v="0"/>
    <n v="0"/>
    <n v="0"/>
    <n v="0"/>
    <n v="0"/>
    <n v="0"/>
    <m/>
    <m/>
    <m/>
    <m/>
    <m/>
    <m/>
    <m/>
    <m/>
    <s v="1"/>
    <s v="0"/>
    <s v="1"/>
    <s v="1"/>
    <s v="1"/>
    <m/>
    <m/>
    <m/>
    <m/>
    <m/>
    <m/>
    <m/>
    <m/>
    <m/>
    <m/>
    <m/>
    <m/>
    <m/>
    <m/>
  </r>
  <r>
    <n v="743"/>
    <d v="2025-02-22T00:00:00"/>
    <x v="0"/>
    <n v="9518543325"/>
    <n v="1"/>
    <s v="9518543325-1"/>
    <s v="No Priority"/>
    <x v="0"/>
    <m/>
    <x v="4"/>
    <x v="3"/>
    <x v="3"/>
    <m/>
    <x v="0"/>
    <m/>
    <m/>
    <s v="Jharkhand"/>
    <s v="TBSPL"/>
    <s v="ADITYAPUR"/>
    <x v="0"/>
    <x v="39"/>
    <x v="39"/>
    <x v="146"/>
    <s v="GL COIL HARD  Y550GL M306 0.350X900"/>
    <m/>
    <m/>
    <m/>
    <m/>
    <s v="Narrow"/>
    <x v="5"/>
    <x v="7"/>
    <s v="M306"/>
    <x v="6"/>
    <x v="3"/>
    <x v="0"/>
    <n v="21"/>
    <n v="0"/>
    <n v="21"/>
    <n v="21"/>
    <n v="21"/>
    <n v="21"/>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24T00:00:00"/>
    <x v="0"/>
    <n v="9518546801"/>
    <n v="2"/>
    <s v="9518546801-2"/>
    <s v="Apr'25 "/>
    <x v="0"/>
    <m/>
    <x v="3"/>
    <x v="4"/>
    <x v="1"/>
    <n v="1700"/>
    <x v="1"/>
    <m/>
    <m/>
    <s v="Karnataka"/>
    <s v="South"/>
    <s v="HUBLI"/>
    <x v="0"/>
    <x v="14"/>
    <x v="14"/>
    <x v="157"/>
    <s v="GPCOIL TATXGP GP02 0.30X1015"/>
    <m/>
    <m/>
    <m/>
    <m/>
    <s v="Narrow"/>
    <x v="4"/>
    <x v="5"/>
    <s v="GP02"/>
    <x v="11"/>
    <x v="4"/>
    <x v="0"/>
    <n v="207"/>
    <n v="0"/>
    <n v="207"/>
    <n v="207"/>
    <n v="207"/>
    <n v="207"/>
    <n v="0"/>
    <n v="0"/>
    <n v="0"/>
    <n v="0"/>
    <n v="0"/>
    <n v="0"/>
    <n v="0"/>
    <n v="0"/>
    <n v="0"/>
    <n v="0"/>
    <n v="0"/>
    <n v="0"/>
    <n v="0"/>
    <n v="0"/>
    <n v="0"/>
    <n v="0"/>
    <n v="0"/>
    <n v="0"/>
    <n v="0"/>
    <n v="0"/>
    <n v="0"/>
    <n v="0"/>
    <n v="0"/>
    <m/>
    <n v="0"/>
    <n v="207"/>
    <n v="0"/>
    <n v="0"/>
    <n v="0"/>
    <n v="0"/>
    <n v="207"/>
    <n v="207"/>
    <n v="0"/>
    <n v="0"/>
    <n v="0"/>
    <n v="0"/>
    <n v="207"/>
    <n v="0"/>
    <n v="0"/>
    <n v="0"/>
    <n v="0"/>
    <n v="0"/>
    <n v="0"/>
    <n v="0"/>
    <n v="0"/>
    <m/>
    <m/>
    <m/>
    <m/>
    <m/>
    <m/>
    <m/>
    <m/>
    <s v="1"/>
    <s v="1"/>
    <s v="1"/>
    <s v="1"/>
    <s v="0"/>
    <m/>
    <m/>
    <m/>
    <m/>
    <m/>
    <m/>
    <m/>
    <m/>
    <m/>
    <m/>
    <m/>
    <m/>
    <m/>
    <m/>
  </r>
  <r>
    <n v="742"/>
    <d v="2025-02-25T00:00:00"/>
    <x v="0"/>
    <n v="9518550511"/>
    <n v="8"/>
    <s v="9518550511-8"/>
    <s v="Apr'25 "/>
    <x v="0"/>
    <m/>
    <x v="1"/>
    <x v="11"/>
    <x v="1"/>
    <m/>
    <x v="1"/>
    <m/>
    <m/>
    <s v="Karnataka"/>
    <s v="South"/>
    <s v="BIDADI"/>
    <x v="0"/>
    <x v="40"/>
    <x v="38"/>
    <x v="158"/>
    <s v="CRCA COIL TATXXD AH03 2.500X1250"/>
    <m/>
    <m/>
    <m/>
    <m/>
    <s v="Wider"/>
    <x v="1"/>
    <x v="2"/>
    <s v="AH03"/>
    <x v="38"/>
    <x v="0"/>
    <x v="0"/>
    <n v="116"/>
    <n v="90.424999999999997"/>
    <n v="25.574999999999999"/>
    <n v="25.574999999999999"/>
    <n v="25.574999999999999"/>
    <n v="25.574999999999999"/>
    <n v="0"/>
    <n v="0"/>
    <n v="0"/>
    <n v="0"/>
    <n v="0"/>
    <n v="0"/>
    <n v="0"/>
    <n v="0"/>
    <n v="0"/>
    <n v="0"/>
    <n v="0"/>
    <n v="0"/>
    <n v="0"/>
    <n v="0"/>
    <n v="0"/>
    <n v="0"/>
    <n v="0"/>
    <n v="0"/>
    <n v="0"/>
    <n v="0"/>
    <n v="0"/>
    <n v="0"/>
    <n v="0"/>
    <m/>
    <n v="0"/>
    <n v="25.574999999999999"/>
    <n v="0"/>
    <n v="0"/>
    <n v="25.574999999999999"/>
    <n v="0"/>
    <n v="0"/>
    <n v="25.574999999999999"/>
    <n v="0"/>
    <n v="0"/>
    <n v="25.574999999999999"/>
    <n v="0"/>
    <n v="0"/>
    <n v="0"/>
    <n v="64.319999999999993"/>
    <n v="0"/>
    <n v="0"/>
    <n v="25.574999999999999"/>
    <n v="0"/>
    <n v="0"/>
    <n v="38.74499999999999"/>
    <m/>
    <m/>
    <m/>
    <m/>
    <m/>
    <m/>
    <m/>
    <m/>
    <s v="1"/>
    <s v="1"/>
    <s v="1"/>
    <s v="1"/>
    <s v="1"/>
    <m/>
    <m/>
    <m/>
    <m/>
    <m/>
    <m/>
    <m/>
    <m/>
    <m/>
    <m/>
    <m/>
    <m/>
    <m/>
    <m/>
  </r>
  <r>
    <n v="4310"/>
    <d v="2025-02-27T00:00:00"/>
    <x v="1"/>
    <n v="9518559566"/>
    <n v="1"/>
    <s v="9518559566-1"/>
    <s v="Stocks"/>
    <x v="0"/>
    <m/>
    <x v="1"/>
    <x v="7"/>
    <x v="3"/>
    <m/>
    <x v="1"/>
    <m/>
    <s v="Exp BTF &lt;17MT"/>
    <s v="West Bengal"/>
    <s v="East"/>
    <s v="TIRUNINRAVUR"/>
    <x v="0"/>
    <x v="24"/>
    <x v="63"/>
    <x v="159"/>
    <s v="CR COIL TSBSTA EL03 0.500X1217"/>
    <m/>
    <m/>
    <m/>
    <m/>
    <s v="Wider"/>
    <x v="1"/>
    <x v="9"/>
    <s v="EL03"/>
    <x v="1"/>
    <x v="18"/>
    <x v="0"/>
    <n v="140"/>
    <n v="0"/>
    <n v="140"/>
    <n v="2.64"/>
    <n v="0"/>
    <n v="15.63"/>
    <n v="0"/>
    <n v="0"/>
    <n v="0"/>
    <n v="0"/>
    <n v="0"/>
    <n v="0"/>
    <n v="0"/>
    <n v="0"/>
    <n v="0"/>
    <n v="0"/>
    <n v="0"/>
    <n v="0"/>
    <n v="0"/>
    <n v="0"/>
    <n v="0"/>
    <n v="0"/>
    <n v="0"/>
    <n v="0"/>
    <n v="0"/>
    <n v="0"/>
    <n v="0"/>
    <n v="0"/>
    <n v="0"/>
    <m/>
    <n v="41.314999999999998"/>
    <n v="0"/>
    <n v="0"/>
    <n v="0"/>
    <n v="0"/>
    <n v="0"/>
    <n v="0"/>
    <n v="41.314999999999998"/>
    <n v="41.314999999999998"/>
    <n v="0"/>
    <n v="0"/>
    <n v="0"/>
    <n v="0"/>
    <n v="0"/>
    <n v="0"/>
    <n v="0"/>
    <n v="0"/>
    <n v="0"/>
    <n v="0"/>
    <n v="0"/>
    <n v="0"/>
    <m/>
    <m/>
    <m/>
    <m/>
    <m/>
    <m/>
    <m/>
    <m/>
    <s v="1"/>
    <s v="1"/>
    <s v="1"/>
    <s v="1"/>
    <s v="1"/>
    <m/>
    <m/>
    <m/>
    <m/>
    <m/>
    <m/>
    <m/>
    <m/>
    <m/>
    <m/>
    <m/>
    <m/>
    <m/>
    <m/>
  </r>
  <r>
    <n v="743"/>
    <d v="2025-03-01T00:00:00"/>
    <x v="0"/>
    <n v="9518567465"/>
    <n v="2"/>
    <s v="9518567465-2"/>
    <s v="No Priority"/>
    <x v="0"/>
    <m/>
    <x v="3"/>
    <x v="9"/>
    <x v="1"/>
    <m/>
    <x v="0"/>
    <m/>
    <m/>
    <s v="Assam"/>
    <s v="East"/>
    <s v="ABHOYAPUR"/>
    <x v="0"/>
    <x v="25"/>
    <x v="24"/>
    <x v="63"/>
    <s v="GP COIL SOFT-TATXGP-GLK1-0.6X900"/>
    <m/>
    <m/>
    <m/>
    <m/>
    <s v="Narrow"/>
    <x v="7"/>
    <x v="5"/>
    <s v="GLK1"/>
    <x v="20"/>
    <x v="3"/>
    <x v="0"/>
    <n v="21"/>
    <n v="0"/>
    <n v="21"/>
    <n v="21"/>
    <n v="0"/>
    <n v="1.385"/>
    <n v="0"/>
    <n v="0"/>
    <n v="0"/>
    <n v="0"/>
    <n v="0"/>
    <n v="0"/>
    <n v="0"/>
    <n v="0"/>
    <n v="0"/>
    <n v="0"/>
    <n v="0"/>
    <n v="0"/>
    <n v="0"/>
    <n v="0"/>
    <n v="0"/>
    <n v="0"/>
    <n v="0"/>
    <n v="0"/>
    <n v="0"/>
    <n v="0"/>
    <n v="0"/>
    <n v="21"/>
    <n v="21"/>
    <m/>
    <n v="0"/>
    <n v="0"/>
    <n v="0"/>
    <n v="0"/>
    <n v="0"/>
    <n v="0"/>
    <n v="0"/>
    <n v="0"/>
    <n v="0"/>
    <n v="0"/>
    <n v="0"/>
    <n v="0"/>
    <n v="0"/>
    <n v="0"/>
    <n v="0"/>
    <n v="0"/>
    <n v="0"/>
    <n v="0"/>
    <n v="0"/>
    <n v="0"/>
    <n v="0"/>
    <m/>
    <m/>
    <m/>
    <m/>
    <m/>
    <m/>
    <m/>
    <m/>
    <s v="1"/>
    <s v="1"/>
    <s v="1"/>
    <s v="1"/>
    <s v="1"/>
    <m/>
    <m/>
    <m/>
    <m/>
    <m/>
    <m/>
    <m/>
    <m/>
    <m/>
    <m/>
    <m/>
    <m/>
    <m/>
    <m/>
  </r>
  <r>
    <n v="742"/>
    <d v="2025-03-03T00:00:00"/>
    <x v="0"/>
    <n v="9518569788"/>
    <n v="1"/>
    <s v="9518569788-1"/>
    <s v="Apr'25 "/>
    <x v="0"/>
    <m/>
    <x v="1"/>
    <x v="2"/>
    <x v="1"/>
    <m/>
    <x v="1"/>
    <m/>
    <m/>
    <s v="Assam"/>
    <s v="East"/>
    <s v="ABHOYAPUR"/>
    <x v="1"/>
    <x v="25"/>
    <x v="24"/>
    <x v="43"/>
    <s v="CRCA SHEET TATCRC SR16 0.350X1000X2500"/>
    <m/>
    <m/>
    <m/>
    <m/>
    <s v="Narrow"/>
    <x v="2"/>
    <x v="1"/>
    <s v="SR16"/>
    <x v="6"/>
    <x v="2"/>
    <x v="3"/>
    <n v="24"/>
    <n v="0"/>
    <n v="24"/>
    <n v="24"/>
    <n v="24"/>
    <n v="24"/>
    <n v="0"/>
    <n v="0"/>
    <n v="0"/>
    <n v="0"/>
    <n v="0"/>
    <n v="0"/>
    <n v="0"/>
    <n v="0"/>
    <n v="0"/>
    <n v="0"/>
    <n v="0"/>
    <n v="0"/>
    <n v="0"/>
    <n v="0"/>
    <n v="0"/>
    <n v="0"/>
    <n v="0"/>
    <n v="0"/>
    <n v="0"/>
    <n v="0"/>
    <n v="0"/>
    <n v="0"/>
    <n v="0"/>
    <m/>
    <n v="0"/>
    <n v="24"/>
    <n v="0"/>
    <n v="0"/>
    <n v="0"/>
    <n v="24"/>
    <n v="0"/>
    <n v="24"/>
    <n v="0"/>
    <n v="0"/>
    <n v="0"/>
    <n v="24"/>
    <n v="0"/>
    <n v="0"/>
    <n v="0"/>
    <n v="0"/>
    <n v="0"/>
    <n v="0"/>
    <n v="0"/>
    <n v="0"/>
    <n v="0"/>
    <m/>
    <m/>
    <m/>
    <m/>
    <m/>
    <m/>
    <m/>
    <m/>
    <s v="1"/>
    <s v="1"/>
    <s v="1"/>
    <s v="0"/>
    <s v="1"/>
    <m/>
    <m/>
    <m/>
    <m/>
    <m/>
    <m/>
    <m/>
    <m/>
    <m/>
    <m/>
    <m/>
    <m/>
    <m/>
    <m/>
  </r>
  <r>
    <n v="743"/>
    <d v="2025-03-08T00:00:00"/>
    <x v="0"/>
    <n v="9518584468"/>
    <n v="1"/>
    <s v="9518584468-1"/>
    <s v="Stocks"/>
    <x v="0"/>
    <m/>
    <x v="4"/>
    <x v="3"/>
    <x v="3"/>
    <m/>
    <x v="1"/>
    <m/>
    <m/>
    <s v="Tamil Nadu"/>
    <s v="TBSPL"/>
    <s v="SRIPERUMBUDUR"/>
    <x v="0"/>
    <x v="65"/>
    <x v="39"/>
    <x v="27"/>
    <s v="GL COIL HARD Y550GL M308 0.47 (TCT)X1220"/>
    <m/>
    <m/>
    <m/>
    <m/>
    <s v="Wider"/>
    <x v="5"/>
    <x v="7"/>
    <s v="M308"/>
    <x v="14"/>
    <x v="1"/>
    <x v="0"/>
    <n v="168"/>
    <n v="114.02"/>
    <n v="53.98"/>
    <n v="11.805"/>
    <n v="53.98"/>
    <n v="0.17499999999999999"/>
    <n v="0"/>
    <n v="0"/>
    <n v="0"/>
    <n v="0"/>
    <n v="0"/>
    <n v="0"/>
    <n v="0"/>
    <n v="0"/>
    <n v="0"/>
    <n v="0"/>
    <n v="0"/>
    <n v="0"/>
    <n v="0"/>
    <n v="0"/>
    <n v="0"/>
    <n v="0"/>
    <n v="0"/>
    <n v="0"/>
    <n v="0"/>
    <n v="0"/>
    <n v="0"/>
    <n v="0"/>
    <n v="0"/>
    <m/>
    <n v="11.31"/>
    <n v="0"/>
    <n v="0"/>
    <n v="0"/>
    <n v="0"/>
    <n v="0"/>
    <n v="0"/>
    <n v="11.31"/>
    <n v="11.31"/>
    <n v="0"/>
    <n v="0"/>
    <n v="0"/>
    <n v="0"/>
    <n v="0"/>
    <n v="27.695"/>
    <n v="0"/>
    <n v="0"/>
    <n v="0"/>
    <n v="0"/>
    <n v="0"/>
    <n v="27.695"/>
    <m/>
    <m/>
    <m/>
    <m/>
    <m/>
    <m/>
    <m/>
    <m/>
    <s v="1"/>
    <s v="1"/>
    <s v="1"/>
    <s v="1"/>
    <s v="1"/>
    <m/>
    <m/>
    <m/>
    <m/>
    <m/>
    <m/>
    <m/>
    <m/>
    <m/>
    <m/>
    <m/>
    <m/>
    <m/>
    <m/>
  </r>
  <r>
    <n v="742"/>
    <d v="2025-03-08T00:00:00"/>
    <x v="0"/>
    <n v="9518585068"/>
    <n v="1"/>
    <s v="9518585068-1"/>
    <s v="May'25"/>
    <x v="0"/>
    <m/>
    <x v="1"/>
    <x v="2"/>
    <x v="1"/>
    <m/>
    <x v="1"/>
    <m/>
    <s v="Exp BTF &lt;17MT"/>
    <s v="Assam"/>
    <s v="East"/>
    <s v="ABHOYAPUR"/>
    <x v="0"/>
    <x v="25"/>
    <x v="24"/>
    <x v="160"/>
    <s v="CR COIL TSBCRC SR25 0.700X1250"/>
    <m/>
    <m/>
    <m/>
    <m/>
    <s v="Wider"/>
    <x v="1"/>
    <x v="4"/>
    <s v="SR25"/>
    <x v="4"/>
    <x v="0"/>
    <x v="0"/>
    <n v="87"/>
    <n v="0"/>
    <n v="87"/>
    <n v="3.88"/>
    <n v="32.9"/>
    <n v="60.71"/>
    <n v="0"/>
    <n v="0"/>
    <n v="0"/>
    <n v="0"/>
    <n v="0"/>
    <n v="0"/>
    <n v="0"/>
    <n v="0"/>
    <n v="0"/>
    <n v="0"/>
    <n v="0"/>
    <n v="0"/>
    <n v="26.830000000000002"/>
    <n v="27.27"/>
    <n v="0"/>
    <n v="0"/>
    <n v="0"/>
    <n v="0"/>
    <n v="0"/>
    <n v="54.1"/>
    <n v="54.1"/>
    <n v="0"/>
    <n v="54.1"/>
    <m/>
    <n v="0"/>
    <n v="60.71"/>
    <n v="0"/>
    <n v="60.71"/>
    <n v="0"/>
    <n v="0"/>
    <n v="0"/>
    <n v="60.71"/>
    <n v="0"/>
    <n v="60.71"/>
    <n v="0"/>
    <n v="0"/>
    <n v="0"/>
    <n v="0"/>
    <n v="0"/>
    <n v="0"/>
    <n v="0"/>
    <n v="0"/>
    <n v="0"/>
    <n v="0"/>
    <n v="0"/>
    <m/>
    <m/>
    <m/>
    <m/>
    <m/>
    <m/>
    <m/>
    <m/>
    <s v="1"/>
    <s v="0"/>
    <s v="1"/>
    <s v="1"/>
    <s v="1"/>
    <m/>
    <m/>
    <m/>
    <m/>
    <m/>
    <m/>
    <m/>
    <m/>
    <m/>
    <m/>
    <m/>
    <m/>
    <m/>
    <m/>
  </r>
  <r>
    <n v="742"/>
    <d v="2025-03-11T00:00:00"/>
    <x v="0"/>
    <n v="9518592268"/>
    <n v="1"/>
    <s v="9518592268-1"/>
    <s v="Apr'25 "/>
    <x v="0"/>
    <m/>
    <x v="1"/>
    <x v="2"/>
    <x v="1"/>
    <m/>
    <x v="1"/>
    <m/>
    <m/>
    <s v="West Bengal"/>
    <s v="East"/>
    <s v="SILIGURI TOWN"/>
    <x v="1"/>
    <x v="66"/>
    <x v="24"/>
    <x v="145"/>
    <s v="CRCA SHEET TATCRC SR16 0.400X1250X2500"/>
    <m/>
    <m/>
    <m/>
    <m/>
    <s v="Wider"/>
    <x v="2"/>
    <x v="1"/>
    <s v="SR16"/>
    <x v="2"/>
    <x v="0"/>
    <x v="0"/>
    <n v="27"/>
    <n v="0"/>
    <n v="27"/>
    <n v="27"/>
    <n v="27"/>
    <n v="27"/>
    <n v="0"/>
    <n v="0"/>
    <n v="0"/>
    <n v="0"/>
    <n v="0"/>
    <n v="0"/>
    <n v="0"/>
    <n v="0"/>
    <n v="0"/>
    <n v="0"/>
    <n v="0"/>
    <n v="0"/>
    <n v="0"/>
    <n v="0"/>
    <n v="0"/>
    <n v="0"/>
    <n v="0"/>
    <n v="0"/>
    <n v="0"/>
    <n v="0"/>
    <n v="0"/>
    <n v="0"/>
    <n v="0"/>
    <m/>
    <n v="0"/>
    <n v="27"/>
    <n v="0"/>
    <n v="0"/>
    <n v="0"/>
    <n v="27"/>
    <n v="0"/>
    <n v="27"/>
    <n v="0"/>
    <n v="0"/>
    <n v="0"/>
    <n v="27"/>
    <n v="0"/>
    <n v="0"/>
    <n v="0"/>
    <n v="0"/>
    <n v="0"/>
    <n v="0"/>
    <n v="0"/>
    <n v="0"/>
    <n v="0"/>
    <m/>
    <m/>
    <m/>
    <m/>
    <m/>
    <m/>
    <m/>
    <m/>
    <s v="1"/>
    <s v="1"/>
    <s v="1"/>
    <s v="0"/>
    <s v="1"/>
    <m/>
    <m/>
    <m/>
    <m/>
    <m/>
    <m/>
    <m/>
    <m/>
    <m/>
    <m/>
    <m/>
    <m/>
    <m/>
    <m/>
  </r>
  <r>
    <n v="744"/>
    <d v="2025-03-13T00:00:00"/>
    <x v="0"/>
    <n v="9518599122"/>
    <n v="3"/>
    <s v="9518599122-3"/>
    <s v="Apr'25 "/>
    <x v="0"/>
    <m/>
    <x v="2"/>
    <x v="3"/>
    <x v="3"/>
    <m/>
    <x v="1"/>
    <m/>
    <m/>
    <s v="Jharkhand"/>
    <s v="TBSPL"/>
    <s v="TBL- BARA AGRICO"/>
    <x v="0"/>
    <x v="6"/>
    <x v="39"/>
    <x v="84"/>
    <s v="PPGL C HARD Y550PL D0C9 0.50(TPT)X1220"/>
    <m/>
    <m/>
    <m/>
    <m/>
    <s v="Wider"/>
    <x v="3"/>
    <x v="3"/>
    <s v="D0C9"/>
    <x v="1"/>
    <x v="1"/>
    <x v="0"/>
    <n v="28"/>
    <n v="0"/>
    <n v="28"/>
    <n v="28"/>
    <n v="28"/>
    <n v="28"/>
    <n v="0"/>
    <n v="0"/>
    <n v="0"/>
    <n v="0"/>
    <n v="0"/>
    <n v="0"/>
    <n v="0"/>
    <n v="0"/>
    <n v="0"/>
    <n v="0"/>
    <n v="0"/>
    <n v="0"/>
    <n v="0"/>
    <n v="0"/>
    <n v="0"/>
    <n v="0"/>
    <n v="0"/>
    <n v="0"/>
    <n v="0"/>
    <n v="0"/>
    <n v="0"/>
    <n v="0"/>
    <n v="0"/>
    <m/>
    <n v="0"/>
    <n v="28"/>
    <n v="0"/>
    <n v="0"/>
    <n v="0"/>
    <n v="28"/>
    <n v="0"/>
    <n v="28"/>
    <n v="0"/>
    <n v="0"/>
    <n v="0"/>
    <n v="28"/>
    <n v="0"/>
    <n v="0"/>
    <n v="0"/>
    <n v="0"/>
    <n v="0"/>
    <n v="0"/>
    <n v="0"/>
    <n v="0"/>
    <n v="0"/>
    <m/>
    <m/>
    <m/>
    <m/>
    <m/>
    <m/>
    <m/>
    <m/>
    <s v="1"/>
    <s v="1"/>
    <s v="1"/>
    <s v="0"/>
    <s v="1"/>
    <m/>
    <m/>
    <m/>
    <m/>
    <m/>
    <m/>
    <m/>
    <m/>
    <m/>
    <m/>
    <m/>
    <m/>
    <m/>
    <m/>
  </r>
  <r>
    <n v="743"/>
    <d v="2025-03-13T00:00:00"/>
    <x v="0"/>
    <n v="9518599613"/>
    <n v="1"/>
    <s v="9518599613-1"/>
    <s v="No Priority"/>
    <x v="0"/>
    <m/>
    <x v="4"/>
    <x v="3"/>
    <x v="3"/>
    <m/>
    <x v="0"/>
    <m/>
    <m/>
    <s v="Jharkhand"/>
    <s v="TBSPL"/>
    <s v="TBL- BARA AGRICO"/>
    <x v="0"/>
    <x v="22"/>
    <x v="39"/>
    <x v="161"/>
    <s v="GL C YS550 H6GL 0.85BMT(0.90TCT)X1220"/>
    <m/>
    <m/>
    <m/>
    <m/>
    <s v="Wider"/>
    <x v="5"/>
    <x v="7"/>
    <s v="H6GL"/>
    <x v="46"/>
    <x v="1"/>
    <x v="0"/>
    <n v="56"/>
    <n v="47.704999999999998"/>
    <n v="8.2949999999999999"/>
    <n v="3.6549999999999998"/>
    <n v="3.6550000000000002"/>
    <n v="8.2949999999999999"/>
    <n v="0"/>
    <n v="0"/>
    <n v="0"/>
    <n v="0"/>
    <n v="0"/>
    <n v="0"/>
    <n v="0"/>
    <n v="4.6399999999999997"/>
    <n v="0"/>
    <n v="0"/>
    <n v="0"/>
    <n v="0"/>
    <n v="0"/>
    <n v="0"/>
    <n v="0"/>
    <n v="0"/>
    <n v="0"/>
    <n v="0"/>
    <n v="0"/>
    <n v="4.6399999999999997"/>
    <n v="4.6399999999999997"/>
    <n v="0"/>
    <n v="4.6399999999999997"/>
    <m/>
    <n v="0"/>
    <n v="0"/>
    <n v="0"/>
    <n v="0"/>
    <n v="0"/>
    <n v="0"/>
    <n v="0"/>
    <n v="0"/>
    <n v="0"/>
    <n v="0"/>
    <n v="0"/>
    <n v="0"/>
    <n v="0"/>
    <n v="0"/>
    <n v="47.704999999999998"/>
    <n v="0"/>
    <n v="0"/>
    <n v="0"/>
    <n v="0"/>
    <n v="0"/>
    <n v="47.704999999999998"/>
    <m/>
    <m/>
    <m/>
    <m/>
    <m/>
    <m/>
    <m/>
    <m/>
    <s v="1"/>
    <s v="1"/>
    <s v="1"/>
    <s v="1"/>
    <s v="1"/>
    <m/>
    <m/>
    <m/>
    <m/>
    <m/>
    <m/>
    <m/>
    <m/>
    <m/>
    <m/>
    <m/>
    <m/>
    <m/>
    <m/>
  </r>
  <r>
    <n v="742"/>
    <d v="2025-03-16T00:00:00"/>
    <x v="0"/>
    <n v="9518604267"/>
    <n v="1"/>
    <s v="9518604267-1"/>
    <s v="Apr'25 "/>
    <x v="0"/>
    <m/>
    <x v="5"/>
    <x v="10"/>
    <x v="3"/>
    <m/>
    <x v="1"/>
    <m/>
    <m/>
    <s v="Gujarat"/>
    <s v="West"/>
    <s v="KUTCH"/>
    <x v="0"/>
    <x v="67"/>
    <x v="64"/>
    <x v="162"/>
    <s v="CR COIL TATFHC TR10 0.360X1320"/>
    <m/>
    <m/>
    <m/>
    <m/>
    <s v="Wider"/>
    <x v="6"/>
    <x v="12"/>
    <s v="TR10"/>
    <x v="47"/>
    <x v="9"/>
    <x v="0"/>
    <n v="300"/>
    <n v="0"/>
    <n v="300"/>
    <n v="270.04000000000002"/>
    <n v="257.34500000000003"/>
    <n v="65.415000000000006"/>
    <n v="0"/>
    <n v="0"/>
    <n v="0"/>
    <n v="0"/>
    <n v="29.335000000000001"/>
    <n v="0"/>
    <n v="0"/>
    <n v="0"/>
    <n v="0"/>
    <n v="0"/>
    <n v="0"/>
    <n v="0"/>
    <n v="0"/>
    <n v="0"/>
    <n v="0"/>
    <n v="13.32"/>
    <n v="0"/>
    <n v="0"/>
    <n v="0"/>
    <n v="42.655000000000001"/>
    <n v="42.655000000000001"/>
    <n v="0"/>
    <n v="42.655000000000001"/>
    <m/>
    <n v="55.954999999999998"/>
    <n v="65.415000000000006"/>
    <n v="0"/>
    <n v="65.415000000000006"/>
    <n v="0"/>
    <n v="0"/>
    <n v="0"/>
    <n v="121.37"/>
    <n v="0"/>
    <n v="0"/>
    <n v="121.37"/>
    <n v="0"/>
    <n v="0"/>
    <n v="0"/>
    <n v="0"/>
    <n v="0"/>
    <n v="0"/>
    <n v="0"/>
    <n v="0"/>
    <n v="0"/>
    <n v="0"/>
    <m/>
    <m/>
    <m/>
    <m/>
    <m/>
    <m/>
    <m/>
    <m/>
    <s v="1"/>
    <s v="0"/>
    <s v="1"/>
    <s v="1"/>
    <s v="1"/>
    <m/>
    <m/>
    <m/>
    <m/>
    <m/>
    <m/>
    <m/>
    <m/>
    <m/>
    <m/>
    <m/>
    <m/>
    <m/>
    <m/>
  </r>
  <r>
    <n v="742"/>
    <d v="2025-03-16T00:00:00"/>
    <x v="0"/>
    <n v="9518604267"/>
    <n v="3"/>
    <s v="9518604267-3"/>
    <s v="Apr'25 "/>
    <x v="0"/>
    <m/>
    <x v="5"/>
    <x v="10"/>
    <x v="3"/>
    <m/>
    <x v="1"/>
    <m/>
    <m/>
    <s v="Gujarat"/>
    <s v="West"/>
    <s v="KUTCH"/>
    <x v="0"/>
    <x v="67"/>
    <x v="64"/>
    <x v="162"/>
    <s v="CR COIL TATFHC TR10 0.360X1320"/>
    <m/>
    <m/>
    <m/>
    <m/>
    <s v="Wider"/>
    <x v="6"/>
    <x v="12"/>
    <s v="TR10"/>
    <x v="47"/>
    <x v="9"/>
    <x v="0"/>
    <n v="270"/>
    <n v="0"/>
    <n v="270"/>
    <n v="270"/>
    <n v="228.18"/>
    <n v="63.314999999999998"/>
    <n v="0"/>
    <n v="0"/>
    <n v="0"/>
    <n v="0"/>
    <n v="32.020000000000003"/>
    <n v="0"/>
    <n v="0"/>
    <n v="0"/>
    <n v="0"/>
    <n v="0"/>
    <n v="0"/>
    <n v="0"/>
    <n v="0"/>
    <n v="0"/>
    <n v="0"/>
    <n v="0"/>
    <n v="0"/>
    <n v="0"/>
    <n v="9.8000000000000007"/>
    <n v="41.820000000000007"/>
    <n v="41.820000000000007"/>
    <n v="0"/>
    <n v="41.820000000000007"/>
    <m/>
    <n v="125.26499999999999"/>
    <n v="63.314999999999998"/>
    <n v="0"/>
    <n v="63.314999999999998"/>
    <n v="0"/>
    <n v="0"/>
    <n v="0"/>
    <n v="188.57999999999998"/>
    <n v="0"/>
    <n v="0"/>
    <n v="188.57999999999998"/>
    <n v="0"/>
    <n v="0"/>
    <n v="0"/>
    <n v="0"/>
    <n v="0"/>
    <n v="0"/>
    <n v="0"/>
    <n v="0"/>
    <n v="0"/>
    <n v="0"/>
    <m/>
    <m/>
    <m/>
    <m/>
    <m/>
    <m/>
    <m/>
    <m/>
    <s v="1"/>
    <s v="0"/>
    <s v="1"/>
    <s v="1"/>
    <s v="1"/>
    <m/>
    <m/>
    <m/>
    <m/>
    <m/>
    <m/>
    <m/>
    <m/>
    <m/>
    <m/>
    <m/>
    <m/>
    <m/>
    <m/>
  </r>
  <r>
    <n v="742"/>
    <d v="2025-03-17T00:00:00"/>
    <x v="0"/>
    <n v="9518605539"/>
    <n v="1"/>
    <s v="9518605539-1"/>
    <s v="No Priority"/>
    <x v="0"/>
    <m/>
    <x v="1"/>
    <x v="2"/>
    <x v="1"/>
    <m/>
    <x v="0"/>
    <m/>
    <m/>
    <s v="West Bengal"/>
    <s v="East"/>
    <s v="HOWRAH"/>
    <x v="1"/>
    <x v="20"/>
    <x v="61"/>
    <x v="142"/>
    <s v="CRCA SHEET TATCRC SR16 0.330X900X2500"/>
    <m/>
    <m/>
    <m/>
    <m/>
    <s v="Narrow"/>
    <x v="2"/>
    <x v="1"/>
    <s v="SR16"/>
    <x v="9"/>
    <x v="3"/>
    <x v="3"/>
    <n v="24"/>
    <n v="0"/>
    <n v="24"/>
    <n v="24"/>
    <n v="0"/>
    <n v="24"/>
    <n v="0"/>
    <n v="0"/>
    <n v="0"/>
    <n v="0"/>
    <n v="0"/>
    <n v="0"/>
    <n v="0"/>
    <n v="0"/>
    <n v="0"/>
    <n v="0"/>
    <n v="0"/>
    <n v="0"/>
    <n v="0"/>
    <n v="0"/>
    <n v="0"/>
    <n v="0"/>
    <n v="22.09"/>
    <n v="0"/>
    <n v="0"/>
    <n v="22.09"/>
    <n v="22.09"/>
    <n v="0"/>
    <n v="22.09"/>
    <m/>
    <n v="0"/>
    <n v="0"/>
    <n v="0"/>
    <n v="0"/>
    <n v="0"/>
    <n v="0"/>
    <n v="0"/>
    <n v="0"/>
    <n v="0"/>
    <n v="0"/>
    <n v="0"/>
    <n v="0"/>
    <n v="0"/>
    <n v="0"/>
    <n v="0"/>
    <n v="0"/>
    <n v="0"/>
    <n v="0"/>
    <n v="0"/>
    <n v="0"/>
    <n v="0"/>
    <m/>
    <m/>
    <m/>
    <m/>
    <m/>
    <m/>
    <m/>
    <m/>
    <s v="1"/>
    <s v="1"/>
    <s v="1"/>
    <s v="1"/>
    <s v="1"/>
    <m/>
    <m/>
    <m/>
    <m/>
    <m/>
    <m/>
    <m/>
    <m/>
    <m/>
    <m/>
    <m/>
    <m/>
    <m/>
    <m/>
  </r>
  <r>
    <n v="742"/>
    <d v="2025-03-17T00:00:00"/>
    <x v="0"/>
    <n v="9518605539"/>
    <n v="2"/>
    <s v="9518605539-2"/>
    <s v="No Priority"/>
    <x v="0"/>
    <m/>
    <x v="1"/>
    <x v="2"/>
    <x v="1"/>
    <m/>
    <x v="0"/>
    <m/>
    <s v="Exp BTF &lt;17MT"/>
    <s v="West Bengal"/>
    <s v="East"/>
    <s v="HOWRAH"/>
    <x v="1"/>
    <x v="20"/>
    <x v="61"/>
    <x v="149"/>
    <s v="CRCA SHEET TATCRC SR16 0.350X900X2500"/>
    <m/>
    <m/>
    <m/>
    <m/>
    <s v="Narrow"/>
    <x v="2"/>
    <x v="1"/>
    <s v="SR16"/>
    <x v="6"/>
    <x v="3"/>
    <x v="3"/>
    <n v="24"/>
    <n v="18.22"/>
    <n v="5.78"/>
    <n v="5.78"/>
    <n v="5.78"/>
    <n v="5.78"/>
    <n v="0"/>
    <n v="0"/>
    <n v="0"/>
    <n v="0"/>
    <n v="0"/>
    <n v="0"/>
    <n v="0"/>
    <n v="0"/>
    <n v="0"/>
    <n v="0"/>
    <n v="0"/>
    <n v="0"/>
    <n v="0"/>
    <n v="0"/>
    <n v="0"/>
    <n v="0"/>
    <n v="0"/>
    <n v="0"/>
    <n v="0"/>
    <n v="0"/>
    <n v="0"/>
    <n v="0"/>
    <n v="0"/>
    <m/>
    <n v="0"/>
    <n v="0"/>
    <n v="0"/>
    <n v="0"/>
    <n v="0"/>
    <n v="0"/>
    <n v="0"/>
    <n v="0"/>
    <n v="0"/>
    <n v="0"/>
    <n v="0"/>
    <n v="0"/>
    <n v="0"/>
    <n v="0"/>
    <n v="18.22"/>
    <n v="0"/>
    <n v="0"/>
    <n v="0"/>
    <n v="0"/>
    <n v="0"/>
    <n v="18.22"/>
    <m/>
    <m/>
    <m/>
    <m/>
    <m/>
    <m/>
    <m/>
    <m/>
    <s v="1"/>
    <s v="1"/>
    <s v="1"/>
    <s v="1"/>
    <s v="1"/>
    <m/>
    <m/>
    <m/>
    <m/>
    <m/>
    <m/>
    <m/>
    <m/>
    <m/>
    <m/>
    <m/>
    <m/>
    <m/>
    <m/>
  </r>
  <r>
    <n v="742"/>
    <d v="2025-03-17T00:00:00"/>
    <x v="0"/>
    <n v="9518605539"/>
    <n v="3"/>
    <s v="9518605539-3"/>
    <s v="Stocks"/>
    <x v="0"/>
    <m/>
    <x v="1"/>
    <x v="2"/>
    <x v="1"/>
    <m/>
    <x v="1"/>
    <m/>
    <m/>
    <s v="West Bengal"/>
    <s v="East"/>
    <s v="HOWRAH"/>
    <x v="1"/>
    <x v="20"/>
    <x v="61"/>
    <x v="144"/>
    <s v="CRCA SHEET TATCRC SR16 0.400X900X2500"/>
    <m/>
    <m/>
    <m/>
    <m/>
    <s v="Narrow"/>
    <x v="2"/>
    <x v="1"/>
    <s v="SR16"/>
    <x v="2"/>
    <x v="3"/>
    <x v="3"/>
    <n v="24"/>
    <n v="0"/>
    <n v="24"/>
    <n v="2.72"/>
    <n v="0"/>
    <n v="4.3449999999999998"/>
    <n v="0"/>
    <n v="0"/>
    <n v="0"/>
    <n v="0"/>
    <n v="0"/>
    <n v="0"/>
    <n v="0"/>
    <n v="0"/>
    <n v="0"/>
    <n v="0"/>
    <n v="0"/>
    <n v="0"/>
    <n v="0"/>
    <n v="0"/>
    <n v="0"/>
    <n v="0"/>
    <n v="0"/>
    <n v="0"/>
    <n v="0"/>
    <n v="0"/>
    <n v="0"/>
    <n v="0"/>
    <n v="0"/>
    <m/>
    <n v="19.654999999999998"/>
    <n v="0"/>
    <n v="0"/>
    <n v="0"/>
    <n v="0"/>
    <n v="0"/>
    <n v="0"/>
    <n v="19.654999999999998"/>
    <n v="19.654999999999998"/>
    <n v="0"/>
    <n v="0"/>
    <n v="0"/>
    <n v="0"/>
    <n v="0"/>
    <n v="0"/>
    <n v="0"/>
    <n v="0"/>
    <n v="0"/>
    <n v="0"/>
    <n v="0"/>
    <n v="0"/>
    <m/>
    <m/>
    <m/>
    <m/>
    <m/>
    <m/>
    <m/>
    <m/>
    <s v="1"/>
    <s v="1"/>
    <s v="1"/>
    <s v="1"/>
    <s v="1"/>
    <m/>
    <m/>
    <m/>
    <m/>
    <m/>
    <m/>
    <m/>
    <m/>
    <m/>
    <m/>
    <m/>
    <m/>
    <m/>
    <m/>
  </r>
  <r>
    <n v="743"/>
    <d v="2025-03-18T00:00:00"/>
    <x v="0"/>
    <n v="9518609826"/>
    <n v="2"/>
    <s v="9518609826-2"/>
    <s v="Stocks"/>
    <x v="0"/>
    <m/>
    <x v="4"/>
    <x v="3"/>
    <x v="3"/>
    <m/>
    <x v="1"/>
    <m/>
    <m/>
    <s v="Jharkhand"/>
    <s v="TBSPL"/>
    <s v="ADITYAPUR"/>
    <x v="0"/>
    <x v="39"/>
    <x v="39"/>
    <x v="163"/>
    <s v="GL COIL HARD Y550GL M308 0.50 (TCT)X1220"/>
    <m/>
    <m/>
    <m/>
    <m/>
    <s v="Wider"/>
    <x v="5"/>
    <x v="7"/>
    <s v="M308"/>
    <x v="1"/>
    <x v="1"/>
    <x v="0"/>
    <n v="112"/>
    <n v="26.84"/>
    <n v="85.16"/>
    <n v="5.3029999999999999"/>
    <n v="85.16"/>
    <n v="1.9750000000000001"/>
    <n v="0"/>
    <n v="0"/>
    <n v="0"/>
    <n v="0"/>
    <n v="0"/>
    <n v="0"/>
    <n v="0"/>
    <n v="0"/>
    <n v="0"/>
    <n v="0"/>
    <n v="0"/>
    <n v="0"/>
    <n v="0"/>
    <n v="0"/>
    <n v="0"/>
    <n v="0"/>
    <n v="0"/>
    <n v="0"/>
    <n v="0"/>
    <n v="0"/>
    <n v="0"/>
    <n v="0"/>
    <n v="0"/>
    <m/>
    <n v="9.32"/>
    <n v="0"/>
    <n v="0"/>
    <n v="0"/>
    <n v="0"/>
    <n v="0"/>
    <n v="0"/>
    <n v="9.32"/>
    <n v="9.32"/>
    <n v="0"/>
    <n v="0"/>
    <n v="0"/>
    <n v="0"/>
    <n v="0"/>
    <n v="0"/>
    <n v="0"/>
    <n v="0"/>
    <n v="0"/>
    <n v="0"/>
    <n v="0"/>
    <n v="0"/>
    <m/>
    <m/>
    <m/>
    <m/>
    <m/>
    <m/>
    <m/>
    <m/>
    <s v="1"/>
    <s v="1"/>
    <s v="1"/>
    <s v="1"/>
    <s v="1"/>
    <m/>
    <m/>
    <m/>
    <m/>
    <m/>
    <m/>
    <m/>
    <m/>
    <m/>
    <m/>
    <m/>
    <m/>
    <m/>
    <m/>
  </r>
  <r>
    <n v="743"/>
    <d v="2025-03-19T00:00:00"/>
    <x v="0"/>
    <n v="9518613003"/>
    <n v="1"/>
    <s v="9518613003-1"/>
    <s v="Apr'25 "/>
    <x v="0"/>
    <m/>
    <x v="4"/>
    <x v="5"/>
    <x v="3"/>
    <m/>
    <x v="1"/>
    <m/>
    <m/>
    <s v="Telangana"/>
    <s v="South"/>
    <s v="VIKARABAD"/>
    <x v="0"/>
    <x v="68"/>
    <x v="65"/>
    <x v="164"/>
    <s v="GL COIL HARD  Y550GL HGL6 0.900X1242"/>
    <m/>
    <m/>
    <m/>
    <m/>
    <s v="Wider"/>
    <x v="5"/>
    <x v="7"/>
    <s v="HGL6"/>
    <x v="13"/>
    <x v="19"/>
    <x v="0"/>
    <n v="224"/>
    <n v="80.319999999999993"/>
    <n v="143.68"/>
    <n v="143.68"/>
    <n v="143.68"/>
    <n v="143.68"/>
    <n v="0"/>
    <n v="0"/>
    <n v="0"/>
    <n v="0"/>
    <n v="0"/>
    <n v="0"/>
    <n v="0"/>
    <n v="0"/>
    <n v="0"/>
    <n v="0"/>
    <n v="0"/>
    <n v="0"/>
    <n v="0"/>
    <n v="0"/>
    <n v="0"/>
    <n v="0"/>
    <n v="0"/>
    <n v="0"/>
    <n v="0"/>
    <n v="0"/>
    <n v="0"/>
    <n v="0"/>
    <n v="0"/>
    <m/>
    <n v="13.3"/>
    <n v="143.68"/>
    <n v="0"/>
    <n v="0"/>
    <n v="0"/>
    <n v="0"/>
    <n v="143.68"/>
    <n v="156.98000000000002"/>
    <n v="0"/>
    <n v="0"/>
    <n v="0"/>
    <n v="0"/>
    <n v="156.98000000000002"/>
    <n v="0"/>
    <n v="0"/>
    <n v="0"/>
    <n v="0"/>
    <n v="0"/>
    <n v="0"/>
    <n v="0"/>
    <n v="0"/>
    <m/>
    <m/>
    <m/>
    <m/>
    <m/>
    <m/>
    <m/>
    <m/>
    <s v="1"/>
    <s v="1"/>
    <s v="1"/>
    <s v="1"/>
    <s v="0"/>
    <m/>
    <m/>
    <m/>
    <m/>
    <m/>
    <m/>
    <m/>
    <m/>
    <m/>
    <m/>
    <m/>
    <m/>
    <m/>
    <m/>
  </r>
  <r>
    <n v="743"/>
    <d v="2025-03-19T00:00:00"/>
    <x v="0"/>
    <n v="9518613003"/>
    <n v="2"/>
    <s v="9518613003-2"/>
    <s v="Apr'25 "/>
    <x v="0"/>
    <m/>
    <x v="4"/>
    <x v="5"/>
    <x v="3"/>
    <m/>
    <x v="1"/>
    <m/>
    <m/>
    <s v="Telangana"/>
    <s v="South"/>
    <s v="VIKARABAD"/>
    <x v="0"/>
    <x v="68"/>
    <x v="65"/>
    <x v="164"/>
    <s v="GL COIL HARD  Y550GL HGL6 0.900X1242"/>
    <m/>
    <m/>
    <m/>
    <m/>
    <s v="Wider"/>
    <x v="5"/>
    <x v="7"/>
    <s v="HGL6"/>
    <x v="13"/>
    <x v="19"/>
    <x v="0"/>
    <n v="112"/>
    <n v="10.210000000000001"/>
    <n v="101.79"/>
    <n v="101.79"/>
    <n v="101.79"/>
    <n v="101.79"/>
    <n v="0"/>
    <n v="0"/>
    <n v="0"/>
    <n v="0"/>
    <n v="0"/>
    <n v="0"/>
    <n v="0"/>
    <n v="0"/>
    <n v="0"/>
    <n v="0"/>
    <n v="0"/>
    <n v="0"/>
    <n v="0"/>
    <n v="0"/>
    <n v="0"/>
    <n v="0"/>
    <n v="0"/>
    <n v="0"/>
    <n v="0"/>
    <n v="0"/>
    <n v="0"/>
    <n v="0"/>
    <n v="0"/>
    <m/>
    <n v="10.210000000000001"/>
    <n v="101.79"/>
    <n v="0"/>
    <n v="0"/>
    <n v="0"/>
    <n v="0"/>
    <n v="101.79"/>
    <n v="112"/>
    <n v="0"/>
    <n v="0"/>
    <n v="0"/>
    <n v="0"/>
    <n v="112"/>
    <n v="0"/>
    <n v="0"/>
    <n v="0"/>
    <n v="0"/>
    <n v="0"/>
    <n v="0"/>
    <n v="0"/>
    <n v="0"/>
    <m/>
    <m/>
    <m/>
    <m/>
    <m/>
    <m/>
    <m/>
    <m/>
    <s v="1"/>
    <s v="1"/>
    <s v="1"/>
    <s v="1"/>
    <s v="0"/>
    <m/>
    <m/>
    <m/>
    <m/>
    <m/>
    <m/>
    <m/>
    <m/>
    <m/>
    <m/>
    <m/>
    <m/>
    <m/>
    <m/>
  </r>
  <r>
    <n v="743"/>
    <d v="2025-03-19T00:00:00"/>
    <x v="0"/>
    <n v="9518613067"/>
    <n v="1"/>
    <s v="9518613067-1"/>
    <s v="Apr'25 "/>
    <x v="0"/>
    <m/>
    <x v="4"/>
    <x v="5"/>
    <x v="3"/>
    <m/>
    <x v="1"/>
    <m/>
    <m/>
    <s v="Telangana"/>
    <s v="South"/>
    <s v="VIKARABAD"/>
    <x v="0"/>
    <x v="68"/>
    <x v="65"/>
    <x v="164"/>
    <s v="GL COIL HARD  Y550GL HGL6 0.900X1242"/>
    <m/>
    <m/>
    <m/>
    <m/>
    <s v="Wider"/>
    <x v="5"/>
    <x v="7"/>
    <s v="HGL6"/>
    <x v="13"/>
    <x v="19"/>
    <x v="0"/>
    <n v="168"/>
    <n v="19.829999999999998"/>
    <n v="148.16999999999999"/>
    <n v="148.16999999999999"/>
    <n v="27.064999999999984"/>
    <n v="134.41499999999999"/>
    <n v="0"/>
    <n v="0"/>
    <n v="0"/>
    <n v="0"/>
    <n v="0"/>
    <n v="0.62"/>
    <n v="0"/>
    <n v="12.98"/>
    <n v="0"/>
    <n v="0"/>
    <n v="0"/>
    <n v="0"/>
    <n v="0"/>
    <n v="0"/>
    <n v="0"/>
    <n v="0"/>
    <n v="0"/>
    <n v="0"/>
    <n v="107.50500000000001"/>
    <n v="121.105"/>
    <n v="121.105"/>
    <n v="0"/>
    <n v="121.105"/>
    <m/>
    <n v="40.675000000000004"/>
    <n v="120.68"/>
    <n v="120.68"/>
    <n v="0"/>
    <n v="0"/>
    <n v="0"/>
    <n v="0"/>
    <n v="161.35500000000002"/>
    <n v="0"/>
    <n v="161.35500000000002"/>
    <n v="0"/>
    <n v="0"/>
    <n v="0"/>
    <n v="0"/>
    <n v="0"/>
    <n v="0"/>
    <n v="0"/>
    <n v="0"/>
    <n v="0"/>
    <n v="0"/>
    <n v="0"/>
    <m/>
    <m/>
    <m/>
    <m/>
    <m/>
    <m/>
    <m/>
    <m/>
    <s v="0"/>
    <s v="1"/>
    <s v="1"/>
    <s v="1"/>
    <s v="1"/>
    <m/>
    <m/>
    <m/>
    <m/>
    <m/>
    <m/>
    <m/>
    <m/>
    <m/>
    <m/>
    <m/>
    <m/>
    <m/>
    <m/>
  </r>
  <r>
    <n v="743"/>
    <d v="2025-03-19T00:00:00"/>
    <x v="0"/>
    <n v="9518613067"/>
    <n v="2"/>
    <s v="9518613067-2"/>
    <s v="Apr'25 "/>
    <x v="0"/>
    <m/>
    <x v="4"/>
    <x v="5"/>
    <x v="3"/>
    <m/>
    <x v="1"/>
    <m/>
    <m/>
    <s v="Telangana"/>
    <s v="South"/>
    <s v="VIKARABAD"/>
    <x v="0"/>
    <x v="68"/>
    <x v="65"/>
    <x v="164"/>
    <s v="GL COIL HARD  Y550GL HGL6 0.900X1242"/>
    <m/>
    <m/>
    <m/>
    <m/>
    <s v="Wider"/>
    <x v="5"/>
    <x v="7"/>
    <s v="HGL6"/>
    <x v="13"/>
    <x v="19"/>
    <x v="0"/>
    <n v="140"/>
    <n v="0"/>
    <n v="140"/>
    <n v="140"/>
    <n v="29.97"/>
    <n v="140"/>
    <n v="0"/>
    <n v="0"/>
    <n v="0"/>
    <n v="0"/>
    <n v="0"/>
    <n v="110.03"/>
    <n v="0"/>
    <n v="0"/>
    <n v="0"/>
    <n v="0"/>
    <n v="0"/>
    <n v="0"/>
    <n v="0"/>
    <n v="0"/>
    <n v="0"/>
    <n v="0"/>
    <n v="0"/>
    <n v="0"/>
    <n v="0"/>
    <n v="110.03"/>
    <n v="110.03"/>
    <n v="0"/>
    <n v="110.03"/>
    <m/>
    <n v="0"/>
    <n v="140"/>
    <n v="0"/>
    <n v="0"/>
    <n v="0"/>
    <n v="0"/>
    <n v="140"/>
    <n v="140"/>
    <n v="0"/>
    <n v="0"/>
    <n v="0"/>
    <n v="0"/>
    <n v="140"/>
    <n v="0"/>
    <n v="0"/>
    <n v="0"/>
    <n v="0"/>
    <n v="0"/>
    <n v="0"/>
    <n v="0"/>
    <n v="0"/>
    <m/>
    <m/>
    <m/>
    <m/>
    <m/>
    <m/>
    <m/>
    <m/>
    <s v="1"/>
    <s v="1"/>
    <s v="1"/>
    <s v="1"/>
    <s v="0"/>
    <m/>
    <m/>
    <m/>
    <m/>
    <m/>
    <m/>
    <m/>
    <m/>
    <m/>
    <m/>
    <m/>
    <m/>
    <m/>
    <m/>
  </r>
  <r>
    <n v="742"/>
    <d v="2025-03-19T00:00:00"/>
    <x v="0"/>
    <n v="9518613413"/>
    <n v="1"/>
    <s v="9518613413-1"/>
    <s v="No Priority"/>
    <x v="0"/>
    <m/>
    <x v="1"/>
    <x v="10"/>
    <x v="3"/>
    <m/>
    <x v="0"/>
    <m/>
    <m/>
    <s v="Andhra Pradesh"/>
    <s v="South"/>
    <s v="CHITTOOR"/>
    <x v="0"/>
    <x v="41"/>
    <x v="40"/>
    <x v="52"/>
    <s v="CRCA COIL TATXXD BT02 0.970X913"/>
    <m/>
    <m/>
    <m/>
    <m/>
    <s v="Narrow"/>
    <x v="1"/>
    <x v="2"/>
    <s v="BT02"/>
    <x v="24"/>
    <x v="8"/>
    <x v="0"/>
    <n v="84"/>
    <n v="0"/>
    <n v="84"/>
    <n v="84"/>
    <n v="84"/>
    <n v="8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19T00:00:00"/>
    <x v="0"/>
    <n v="9518613530"/>
    <n v="1"/>
    <s v="9518613530-1"/>
    <s v="May'25"/>
    <x v="0"/>
    <m/>
    <x v="1"/>
    <x v="10"/>
    <x v="3"/>
    <m/>
    <x v="1"/>
    <m/>
    <m/>
    <s v="Andhra Pradesh"/>
    <s v="South"/>
    <s v="CHITTOOR"/>
    <x v="0"/>
    <x v="41"/>
    <x v="40"/>
    <x v="165"/>
    <s v="CRCA COIL TATXXD BT02 0.770X920"/>
    <m/>
    <m/>
    <m/>
    <m/>
    <s v="Narrow"/>
    <x v="1"/>
    <x v="2"/>
    <s v="BT02"/>
    <x v="48"/>
    <x v="15"/>
    <x v="0"/>
    <n v="273"/>
    <n v="0"/>
    <n v="273"/>
    <n v="83.99"/>
    <n v="169.47"/>
    <n v="99.71"/>
    <n v="0"/>
    <n v="0"/>
    <n v="41.87"/>
    <n v="61.660000000000004"/>
    <n v="0"/>
    <n v="0"/>
    <n v="0"/>
    <n v="0"/>
    <n v="0"/>
    <n v="0"/>
    <n v="0"/>
    <n v="0"/>
    <n v="0"/>
    <n v="0"/>
    <n v="0"/>
    <n v="0"/>
    <n v="0"/>
    <n v="0"/>
    <n v="0"/>
    <n v="103.53"/>
    <n v="103.53"/>
    <n v="0"/>
    <n v="103.53"/>
    <m/>
    <n v="0"/>
    <n v="99.71"/>
    <n v="0"/>
    <n v="99.71"/>
    <n v="0"/>
    <n v="0"/>
    <n v="0"/>
    <n v="99.71"/>
    <n v="0"/>
    <n v="0"/>
    <n v="99.71"/>
    <n v="0"/>
    <n v="0"/>
    <n v="0"/>
    <n v="0"/>
    <n v="0"/>
    <n v="0"/>
    <n v="0"/>
    <n v="0"/>
    <n v="0"/>
    <n v="0"/>
    <m/>
    <m/>
    <m/>
    <m/>
    <m/>
    <m/>
    <m/>
    <m/>
    <s v="1"/>
    <s v="0"/>
    <s v="1"/>
    <s v="1"/>
    <s v="1"/>
    <m/>
    <m/>
    <m/>
    <m/>
    <m/>
    <m/>
    <m/>
    <m/>
    <m/>
    <m/>
    <m/>
    <m/>
    <m/>
    <m/>
  </r>
  <r>
    <n v="742"/>
    <d v="2025-03-19T00:00:00"/>
    <x v="0"/>
    <n v="9518613638"/>
    <n v="1"/>
    <s v="9518613638-1"/>
    <s v="No Priority"/>
    <x v="0"/>
    <m/>
    <x v="1"/>
    <x v="10"/>
    <x v="3"/>
    <m/>
    <x v="0"/>
    <m/>
    <m/>
    <s v="Tamil Nadu"/>
    <s v="South"/>
    <s v="CHENNAI"/>
    <x v="0"/>
    <x v="30"/>
    <x v="30"/>
    <x v="52"/>
    <s v="CRCA COIL TATXXD BT02 0.970X913"/>
    <m/>
    <m/>
    <m/>
    <m/>
    <s v="Narrow"/>
    <x v="1"/>
    <x v="2"/>
    <s v="BT02"/>
    <x v="24"/>
    <x v="8"/>
    <x v="0"/>
    <n v="105"/>
    <n v="0"/>
    <n v="105"/>
    <n v="105"/>
    <n v="105"/>
    <n v="10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19T00:00:00"/>
    <x v="0"/>
    <n v="9518613638"/>
    <n v="2"/>
    <s v="9518613638-2"/>
    <s v="Stocks"/>
    <x v="0"/>
    <m/>
    <x v="1"/>
    <x v="10"/>
    <x v="3"/>
    <m/>
    <x v="1"/>
    <m/>
    <m/>
    <s v="Tamil Nadu"/>
    <s v="South"/>
    <s v="CHENNAI"/>
    <x v="0"/>
    <x v="30"/>
    <x v="30"/>
    <x v="80"/>
    <s v="CRCA COIL TATXXD BT01 0.970X1310"/>
    <m/>
    <m/>
    <m/>
    <m/>
    <s v="Wider"/>
    <x v="1"/>
    <x v="2"/>
    <s v="BT01"/>
    <x v="24"/>
    <x v="11"/>
    <x v="0"/>
    <n v="30"/>
    <n v="0"/>
    <n v="30"/>
    <n v="2.1"/>
    <n v="0"/>
    <n v="5.2850000000000001"/>
    <n v="0"/>
    <n v="0"/>
    <n v="0"/>
    <n v="0"/>
    <n v="0"/>
    <n v="0"/>
    <n v="0"/>
    <n v="0"/>
    <n v="0"/>
    <n v="0"/>
    <n v="0"/>
    <n v="0"/>
    <n v="0"/>
    <n v="0"/>
    <n v="0"/>
    <n v="0"/>
    <n v="0"/>
    <n v="0"/>
    <n v="0"/>
    <n v="0"/>
    <n v="0"/>
    <n v="0"/>
    <n v="0"/>
    <m/>
    <n v="24.715000000000003"/>
    <n v="0"/>
    <n v="0"/>
    <n v="0"/>
    <n v="0"/>
    <n v="0"/>
    <n v="0"/>
    <n v="24.715000000000003"/>
    <n v="24.715000000000003"/>
    <n v="0"/>
    <n v="0"/>
    <n v="0"/>
    <n v="0"/>
    <n v="0"/>
    <n v="0"/>
    <n v="0"/>
    <n v="0"/>
    <n v="0"/>
    <n v="0"/>
    <n v="0"/>
    <n v="0"/>
    <m/>
    <m/>
    <m/>
    <m/>
    <m/>
    <m/>
    <m/>
    <m/>
    <s v="1"/>
    <s v="1"/>
    <s v="1"/>
    <s v="1"/>
    <s v="1"/>
    <m/>
    <m/>
    <m/>
    <m/>
    <m/>
    <m/>
    <m/>
    <m/>
    <m/>
    <m/>
    <m/>
    <m/>
    <m/>
    <m/>
  </r>
  <r>
    <n v="742"/>
    <d v="2025-03-19T00:00:00"/>
    <x v="0"/>
    <n v="9518613638"/>
    <n v="3"/>
    <s v="9518613638-3"/>
    <s v="May'25"/>
    <x v="0"/>
    <m/>
    <x v="1"/>
    <x v="10"/>
    <x v="3"/>
    <n v="4500"/>
    <x v="1"/>
    <m/>
    <m/>
    <s v="Tamil Nadu"/>
    <s v="South"/>
    <s v="CHENNAI"/>
    <x v="0"/>
    <x v="30"/>
    <x v="30"/>
    <x v="81"/>
    <s v="CRCA COIL TATXXD BT02 1.200X910"/>
    <m/>
    <m/>
    <m/>
    <m/>
    <s v="Narrow"/>
    <x v="1"/>
    <x v="2"/>
    <s v="BT02"/>
    <x v="19"/>
    <x v="12"/>
    <x v="0"/>
    <n v="42"/>
    <n v="0"/>
    <n v="42"/>
    <n v="1.97"/>
    <n v="0"/>
    <n v="24.36"/>
    <n v="0"/>
    <n v="0"/>
    <n v="0"/>
    <n v="0"/>
    <n v="0"/>
    <n v="0"/>
    <n v="0"/>
    <n v="0"/>
    <n v="0"/>
    <n v="0"/>
    <n v="0"/>
    <n v="0"/>
    <n v="0"/>
    <n v="18.09"/>
    <n v="0"/>
    <n v="0"/>
    <n v="0"/>
    <n v="0"/>
    <n v="0"/>
    <n v="18.09"/>
    <n v="18.09"/>
    <n v="0"/>
    <n v="18.09"/>
    <m/>
    <n v="0"/>
    <n v="24.36"/>
    <n v="24.36"/>
    <n v="0"/>
    <n v="0"/>
    <n v="0"/>
    <n v="0"/>
    <n v="24.36"/>
    <n v="0"/>
    <n v="24.36"/>
    <n v="0"/>
    <n v="0"/>
    <n v="0"/>
    <n v="0"/>
    <n v="0"/>
    <n v="0"/>
    <n v="0"/>
    <n v="0"/>
    <n v="0"/>
    <n v="0"/>
    <n v="0"/>
    <m/>
    <m/>
    <m/>
    <m/>
    <m/>
    <m/>
    <m/>
    <m/>
    <s v="0"/>
    <s v="1"/>
    <s v="1"/>
    <s v="1"/>
    <s v="1"/>
    <m/>
    <m/>
    <m/>
    <m/>
    <m/>
    <m/>
    <m/>
    <m/>
    <m/>
    <m/>
    <m/>
    <m/>
    <m/>
    <m/>
  </r>
  <r>
    <n v="742"/>
    <d v="2025-03-19T00:00:00"/>
    <x v="0"/>
    <n v="9518613638"/>
    <n v="4"/>
    <s v="9518613638-4"/>
    <s v="No Priority"/>
    <x v="0"/>
    <m/>
    <x v="1"/>
    <x v="10"/>
    <x v="3"/>
    <m/>
    <x v="0"/>
    <m/>
    <m/>
    <s v="Tamil Nadu"/>
    <s v="South"/>
    <s v="CHENNAI"/>
    <x v="0"/>
    <x v="30"/>
    <x v="30"/>
    <x v="166"/>
    <s v="CR COIL TATXXD BT01 1.200X1310"/>
    <m/>
    <m/>
    <m/>
    <m/>
    <s v="Wider"/>
    <x v="1"/>
    <x v="2"/>
    <s v="BT01"/>
    <x v="19"/>
    <x v="11"/>
    <x v="0"/>
    <n v="29.99"/>
    <n v="0"/>
    <n v="29.99"/>
    <n v="1.26"/>
    <n v="0"/>
    <n v="4.195000000000000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19T00:00:00"/>
    <x v="0"/>
    <n v="9518613644"/>
    <n v="2"/>
    <s v="9518613644-2"/>
    <s v="No Priority"/>
    <x v="0"/>
    <m/>
    <x v="1"/>
    <x v="10"/>
    <x v="3"/>
    <m/>
    <x v="0"/>
    <m/>
    <m/>
    <s v="Gujarat"/>
    <s v="West"/>
    <s v="VADODARA"/>
    <x v="0"/>
    <x v="44"/>
    <x v="43"/>
    <x v="82"/>
    <s v="CRCA COIL TATXXD BT01 0.970X1315"/>
    <m/>
    <m/>
    <m/>
    <m/>
    <s v="Wider"/>
    <x v="1"/>
    <x v="2"/>
    <s v="BT01"/>
    <x v="24"/>
    <x v="10"/>
    <x v="0"/>
    <n v="30"/>
    <n v="0"/>
    <n v="30"/>
    <n v="30"/>
    <n v="30"/>
    <n v="3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2341"/>
    <d v="2025-03-20T00:00:00"/>
    <x v="1"/>
    <n v="9518615307"/>
    <n v="1"/>
    <s v="9518615307-1"/>
    <s v="No Priority"/>
    <x v="0"/>
    <m/>
    <x v="1"/>
    <x v="10"/>
    <x v="3"/>
    <m/>
    <x v="0"/>
    <m/>
    <m/>
    <s v="Punjab"/>
    <s v="North"/>
    <s v="LUDHIANA"/>
    <x v="0"/>
    <x v="69"/>
    <x v="66"/>
    <x v="167"/>
    <s v="CR COIL SA1010 TU97 1.150X1250"/>
    <m/>
    <m/>
    <m/>
    <m/>
    <s v="Wider"/>
    <x v="1"/>
    <x v="15"/>
    <s v="TU97"/>
    <x v="49"/>
    <x v="0"/>
    <x v="0"/>
    <n v="290"/>
    <n v="0"/>
    <n v="290"/>
    <n v="13.24"/>
    <n v="290"/>
    <n v="32.52000000000000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2341"/>
    <d v="2025-03-20T00:00:00"/>
    <x v="1"/>
    <n v="9518615307"/>
    <n v="2"/>
    <s v="9518615307-2"/>
    <s v="Stocks"/>
    <x v="0"/>
    <m/>
    <x v="1"/>
    <x v="10"/>
    <x v="3"/>
    <m/>
    <x v="1"/>
    <m/>
    <m/>
    <s v="Punjab"/>
    <s v="North"/>
    <s v="LUDHIANA"/>
    <x v="0"/>
    <x v="69"/>
    <x v="66"/>
    <x v="168"/>
    <s v="CR COIL SA1010 TU97 1.500X1250"/>
    <m/>
    <m/>
    <m/>
    <m/>
    <s v="Wider"/>
    <x v="1"/>
    <x v="15"/>
    <s v="TU97"/>
    <x v="27"/>
    <x v="0"/>
    <x v="0"/>
    <n v="290"/>
    <n v="24.85"/>
    <n v="265.14999999999998"/>
    <n v="-9.69"/>
    <n v="0"/>
    <n v="12.94"/>
    <n v="0"/>
    <n v="0"/>
    <n v="0"/>
    <n v="0"/>
    <n v="0"/>
    <n v="0"/>
    <n v="0"/>
    <n v="0"/>
    <n v="0"/>
    <n v="0"/>
    <n v="0"/>
    <n v="0"/>
    <n v="0"/>
    <n v="0"/>
    <n v="0"/>
    <n v="0"/>
    <n v="0"/>
    <n v="0"/>
    <n v="0"/>
    <n v="0"/>
    <n v="0"/>
    <n v="0"/>
    <n v="0"/>
    <m/>
    <n v="24.77"/>
    <n v="0"/>
    <n v="0"/>
    <n v="0"/>
    <n v="0"/>
    <n v="0"/>
    <n v="0"/>
    <n v="24.77"/>
    <n v="24.77"/>
    <n v="0"/>
    <n v="0"/>
    <n v="0"/>
    <n v="0"/>
    <n v="0"/>
    <n v="24.85"/>
    <n v="0"/>
    <n v="0"/>
    <n v="0"/>
    <n v="0"/>
    <n v="0"/>
    <n v="24.85"/>
    <m/>
    <m/>
    <m/>
    <m/>
    <m/>
    <m/>
    <m/>
    <m/>
    <s v="1"/>
    <s v="1"/>
    <s v="1"/>
    <s v="1"/>
    <s v="1"/>
    <m/>
    <m/>
    <m/>
    <m/>
    <m/>
    <m/>
    <m/>
    <m/>
    <m/>
    <m/>
    <m/>
    <m/>
    <m/>
    <m/>
  </r>
  <r>
    <n v="743"/>
    <d v="2025-02-24T00:00:00"/>
    <x v="1"/>
    <n v="9518546063"/>
    <n v="5"/>
    <s v="9518546063-5"/>
    <s v="May'25"/>
    <x v="0"/>
    <m/>
    <x v="3"/>
    <x v="9"/>
    <x v="1"/>
    <m/>
    <x v="1"/>
    <m/>
    <m/>
    <s v="West Bengal"/>
    <s v="East"/>
    <s v="JSR WORKS PLANTTRY"/>
    <x v="0"/>
    <x v="24"/>
    <x v="63"/>
    <x v="62"/>
    <s v="GP COIL SOFT-TATXGP-GK09-0.6X900"/>
    <n v="80"/>
    <m/>
    <m/>
    <m/>
    <s v="Narrow"/>
    <x v="7"/>
    <x v="5"/>
    <s v="GK09"/>
    <x v="20"/>
    <x v="3"/>
    <x v="0"/>
    <n v="294"/>
    <n v="187.24"/>
    <n v="106.76"/>
    <n v="27.53"/>
    <n v="0"/>
    <n v="65.06"/>
    <n v="0"/>
    <n v="0"/>
    <n v="0"/>
    <n v="0"/>
    <n v="0"/>
    <n v="0"/>
    <n v="0.23500000000000001"/>
    <n v="0"/>
    <n v="0"/>
    <n v="0"/>
    <n v="0"/>
    <n v="0"/>
    <n v="0"/>
    <n v="0"/>
    <n v="0"/>
    <n v="0"/>
    <n v="0"/>
    <n v="0"/>
    <n v="0"/>
    <n v="0.23500000000000001"/>
    <n v="0.23500000000000001"/>
    <n v="28"/>
    <n v="28.234999999999999"/>
    <m/>
    <n v="92.054999999999993"/>
    <n v="65.06"/>
    <n v="0"/>
    <n v="65.06"/>
    <n v="0"/>
    <n v="0"/>
    <n v="0"/>
    <n v="157.11500000000001"/>
    <n v="0"/>
    <n v="0"/>
    <n v="157.11500000000001"/>
    <n v="0"/>
    <n v="0"/>
    <n v="0"/>
    <n v="0"/>
    <n v="0"/>
    <n v="0"/>
    <n v="0"/>
    <n v="0"/>
    <n v="0"/>
    <n v="0"/>
    <m/>
    <m/>
    <m/>
    <m/>
    <m/>
    <m/>
    <m/>
    <m/>
    <s v="1"/>
    <s v="0"/>
    <s v="1"/>
    <s v="1"/>
    <s v="1"/>
    <m/>
    <m/>
    <m/>
    <m/>
    <m/>
    <m/>
    <m/>
    <m/>
    <m/>
    <m/>
    <m/>
    <m/>
    <m/>
    <m/>
  </r>
  <r>
    <n v="742"/>
    <d v="2025-03-21T00:00:00"/>
    <x v="0"/>
    <n v="9518619441"/>
    <n v="1"/>
    <s v="9518619441-1"/>
    <s v="Apr'25 "/>
    <x v="0"/>
    <m/>
    <x v="0"/>
    <x v="0"/>
    <x v="0"/>
    <m/>
    <x v="1"/>
    <m/>
    <m/>
    <s v="Haryana"/>
    <s v="North"/>
    <s v="FARIDABAD"/>
    <x v="0"/>
    <x v="70"/>
    <x v="67"/>
    <x v="169"/>
    <s v="HR COILS-PO I09497 2.01X1250"/>
    <s v=" "/>
    <s v=""/>
    <n v="17"/>
    <n v="28"/>
    <s v="Wider"/>
    <x v="0"/>
    <x v="11"/>
    <s v="HG01"/>
    <x v="36"/>
    <x v="0"/>
    <x v="0"/>
    <n v="100"/>
    <n v="0"/>
    <n v="100"/>
    <n v="100"/>
    <n v="100"/>
    <n v="99.99"/>
    <n v="0"/>
    <n v="0"/>
    <n v="0"/>
    <n v="0"/>
    <n v="0"/>
    <n v="0"/>
    <n v="0"/>
    <n v="0"/>
    <n v="0"/>
    <n v="0"/>
    <n v="0"/>
    <n v="0"/>
    <n v="0"/>
    <n v="0"/>
    <n v="0"/>
    <n v="0"/>
    <n v="0"/>
    <n v="0"/>
    <n v="0"/>
    <n v="0"/>
    <n v="0"/>
    <n v="0"/>
    <n v="0"/>
    <m/>
    <n v="0"/>
    <n v="99.99"/>
    <n v="0"/>
    <n v="0"/>
    <n v="99.99"/>
    <n v="0"/>
    <n v="0"/>
    <n v="99.99"/>
    <n v="0"/>
    <n v="0"/>
    <n v="0"/>
    <n v="99.99"/>
    <n v="0"/>
    <n v="0"/>
    <n v="0"/>
    <n v="0"/>
    <n v="0"/>
    <n v="0"/>
    <n v="0"/>
    <n v="0"/>
    <n v="0"/>
    <m/>
    <m/>
    <m/>
    <m/>
    <m/>
    <m/>
    <m/>
    <m/>
    <s v="1"/>
    <s v="1"/>
    <s v="0"/>
    <s v="1"/>
    <s v="1"/>
    <m/>
    <m/>
    <m/>
    <m/>
    <m/>
    <m/>
    <m/>
    <m/>
    <m/>
    <m/>
    <m/>
    <m/>
    <m/>
    <m/>
  </r>
  <r>
    <n v="742"/>
    <d v="2025-03-21T00:00:00"/>
    <x v="0"/>
    <n v="9518619441"/>
    <n v="2"/>
    <s v="9518619441-2"/>
    <s v="Apr'25 "/>
    <x v="0"/>
    <m/>
    <x v="0"/>
    <x v="0"/>
    <x v="0"/>
    <m/>
    <x v="1"/>
    <m/>
    <m/>
    <s v="Haryana"/>
    <s v="North"/>
    <s v="FARIDABAD"/>
    <x v="0"/>
    <x v="70"/>
    <x v="67"/>
    <x v="169"/>
    <s v="HR COILS-PO I09497 2.01X1250"/>
    <s v=" "/>
    <s v=""/>
    <n v="17"/>
    <n v="28"/>
    <s v="Wider"/>
    <x v="0"/>
    <x v="11"/>
    <s v="HG01"/>
    <x v="36"/>
    <x v="0"/>
    <x v="0"/>
    <n v="25"/>
    <n v="0"/>
    <n v="25"/>
    <n v="25"/>
    <n v="25"/>
    <n v="24.99"/>
    <n v="0"/>
    <n v="0"/>
    <n v="0"/>
    <n v="0"/>
    <n v="0"/>
    <n v="0"/>
    <n v="0"/>
    <n v="0"/>
    <n v="0"/>
    <n v="0"/>
    <n v="0"/>
    <n v="0"/>
    <n v="0"/>
    <n v="0"/>
    <n v="0"/>
    <n v="0"/>
    <n v="0"/>
    <n v="0"/>
    <n v="0"/>
    <n v="0"/>
    <n v="0"/>
    <n v="0"/>
    <n v="0"/>
    <m/>
    <n v="0"/>
    <n v="24.99"/>
    <n v="0"/>
    <n v="24.99"/>
    <n v="0"/>
    <n v="0"/>
    <n v="0"/>
    <n v="24.99"/>
    <n v="0"/>
    <n v="24.99"/>
    <n v="0"/>
    <n v="0"/>
    <n v="0"/>
    <n v="0"/>
    <n v="0"/>
    <n v="0"/>
    <n v="0"/>
    <n v="0"/>
    <n v="0"/>
    <n v="0"/>
    <n v="0"/>
    <m/>
    <m/>
    <m/>
    <m/>
    <m/>
    <m/>
    <m/>
    <m/>
    <s v="1"/>
    <s v="0"/>
    <s v="1"/>
    <s v="1"/>
    <s v="1"/>
    <m/>
    <m/>
    <m/>
    <m/>
    <m/>
    <m/>
    <m/>
    <m/>
    <m/>
    <m/>
    <m/>
    <m/>
    <m/>
    <m/>
  </r>
  <r>
    <n v="744"/>
    <d v="2025-03-13T00:00:00"/>
    <x v="0"/>
    <n v="9518598728"/>
    <n v="1"/>
    <s v="9518598728-1"/>
    <s v="Stocks"/>
    <x v="0"/>
    <m/>
    <x v="2"/>
    <x v="3"/>
    <x v="2"/>
    <m/>
    <x v="1"/>
    <m/>
    <m/>
    <s v="Rajasthan"/>
    <s v="TBSPL"/>
    <s v="RAJASTHAN"/>
    <x v="0"/>
    <x v="71"/>
    <x v="15"/>
    <x v="170"/>
    <s v="PPGL C HARD Y550PL DX01 0.63(TPT)X1220"/>
    <s v="AZ150"/>
    <s v="RAL9002 TSL 2001"/>
    <n v="3"/>
    <n v="5"/>
    <s v="Wider"/>
    <x v="3"/>
    <x v="3"/>
    <s v="DX01"/>
    <x v="26"/>
    <x v="1"/>
    <x v="0"/>
    <n v="83.99"/>
    <n v="31.885000000000002"/>
    <n v="52.104999999999997"/>
    <n v="8.0050000000000008"/>
    <n v="38.164999999999992"/>
    <n v="12.775"/>
    <n v="0"/>
    <n v="0"/>
    <n v="0"/>
    <n v="0"/>
    <n v="0"/>
    <n v="0"/>
    <n v="0"/>
    <n v="6.13"/>
    <n v="0"/>
    <n v="7.8100000000000005"/>
    <n v="0"/>
    <n v="0"/>
    <n v="0"/>
    <n v="0"/>
    <n v="0"/>
    <n v="0"/>
    <n v="0"/>
    <n v="0"/>
    <n v="0"/>
    <n v="13.940000000000001"/>
    <n v="13.940000000000001"/>
    <n v="0"/>
    <n v="13.940000000000001"/>
    <m/>
    <n v="27.604999999999997"/>
    <n v="12.775"/>
    <n v="0"/>
    <n v="0"/>
    <n v="12.775"/>
    <n v="0"/>
    <n v="0"/>
    <n v="40.379999999999995"/>
    <n v="0"/>
    <n v="0"/>
    <n v="0"/>
    <n v="40.379999999999995"/>
    <n v="0"/>
    <n v="0"/>
    <n v="0"/>
    <n v="0"/>
    <n v="0"/>
    <n v="0"/>
    <n v="0"/>
    <n v="0"/>
    <n v="0"/>
    <m/>
    <m/>
    <m/>
    <m/>
    <m/>
    <m/>
    <m/>
    <m/>
    <s v="1"/>
    <s v="1"/>
    <s v="0"/>
    <s v="1"/>
    <s v="1"/>
    <m/>
    <m/>
    <m/>
    <m/>
    <m/>
    <m/>
    <m/>
    <m/>
    <m/>
    <m/>
    <m/>
    <m/>
    <m/>
    <m/>
  </r>
  <r>
    <n v="744"/>
    <d v="2025-03-13T00:00:00"/>
    <x v="0"/>
    <n v="9518598806"/>
    <n v="1"/>
    <s v="9518598806-1"/>
    <s v="Apr'25 "/>
    <x v="0"/>
    <m/>
    <x v="2"/>
    <x v="3"/>
    <x v="2"/>
    <m/>
    <x v="1"/>
    <m/>
    <m/>
    <s v="Jharkhand"/>
    <s v="TBSPL"/>
    <s v="TBL- BARA AGRICO"/>
    <x v="0"/>
    <x v="6"/>
    <x v="6"/>
    <x v="171"/>
    <s v="PPGL C HARD Y550PL D0C9 0.70(TPT)X1220"/>
    <s v="AZ150"/>
    <s v="RAL 5012 TSL 1802"/>
    <n v="3"/>
    <n v="5"/>
    <s v="Wider"/>
    <x v="3"/>
    <x v="3"/>
    <s v="D0C9"/>
    <x v="4"/>
    <x v="1"/>
    <x v="0"/>
    <n v="56"/>
    <n v="38.204999999999998"/>
    <n v="17.795000000000002"/>
    <n v="13.984999999999999"/>
    <n v="14.040000000000001"/>
    <n v="17.795000000000002"/>
    <n v="0"/>
    <n v="0"/>
    <n v="0"/>
    <n v="0"/>
    <n v="0"/>
    <n v="0"/>
    <n v="0"/>
    <n v="0"/>
    <n v="0"/>
    <n v="3.7550000000000003"/>
    <n v="0"/>
    <n v="0"/>
    <n v="0"/>
    <n v="0"/>
    <n v="0"/>
    <n v="0"/>
    <n v="0"/>
    <n v="0"/>
    <n v="0"/>
    <n v="3.7550000000000003"/>
    <n v="3.7550000000000003"/>
    <n v="0"/>
    <n v="3.7550000000000003"/>
    <m/>
    <n v="0"/>
    <n v="17.795000000000002"/>
    <n v="17.795000000000002"/>
    <n v="0"/>
    <n v="0"/>
    <n v="0"/>
    <n v="0"/>
    <n v="17.795000000000002"/>
    <n v="0"/>
    <n v="17.795000000000002"/>
    <n v="0"/>
    <n v="0"/>
    <n v="0"/>
    <n v="0"/>
    <n v="9.0250000000000004"/>
    <n v="9.0250000000000004"/>
    <n v="0"/>
    <n v="0"/>
    <n v="0"/>
    <n v="0"/>
    <n v="0"/>
    <m/>
    <m/>
    <m/>
    <m/>
    <m/>
    <m/>
    <m/>
    <m/>
    <s v="0"/>
    <s v="1"/>
    <s v="1"/>
    <s v="1"/>
    <s v="1"/>
    <m/>
    <m/>
    <m/>
    <m/>
    <m/>
    <m/>
    <m/>
    <m/>
    <m/>
    <m/>
    <m/>
    <m/>
    <m/>
    <m/>
  </r>
  <r>
    <n v="744"/>
    <d v="2025-03-13T00:00:00"/>
    <x v="0"/>
    <n v="9518598889"/>
    <n v="1"/>
    <s v="9518598889-1"/>
    <s v="Apr'25 "/>
    <x v="0"/>
    <m/>
    <x v="2"/>
    <x v="3"/>
    <x v="2"/>
    <m/>
    <x v="1"/>
    <m/>
    <m/>
    <s v="Jharkhand"/>
    <s v="TBSPL"/>
    <s v="TBL- BARA AGRICO"/>
    <x v="0"/>
    <x v="6"/>
    <x v="6"/>
    <x v="84"/>
    <s v="PPGL C HARD Y550PL D0C9 0.50(TPT)X1220"/>
    <s v="AZ150"/>
    <s v="RAL 9002 TSL 1801"/>
    <n v="2"/>
    <n v="5.0999999999999996"/>
    <s v="Wider"/>
    <x v="3"/>
    <x v="3"/>
    <s v="D0C9"/>
    <x v="1"/>
    <x v="1"/>
    <x v="0"/>
    <n v="140"/>
    <n v="122.02500000000001"/>
    <n v="17.975000000000001"/>
    <n v="15.28"/>
    <n v="17.975000000000001"/>
    <n v="17.975000000000001"/>
    <n v="0"/>
    <n v="0"/>
    <n v="0"/>
    <n v="0"/>
    <n v="0"/>
    <n v="0"/>
    <n v="0"/>
    <n v="0"/>
    <n v="0"/>
    <n v="0"/>
    <n v="0"/>
    <n v="0"/>
    <n v="0"/>
    <n v="0"/>
    <n v="0"/>
    <n v="0"/>
    <n v="0"/>
    <n v="0"/>
    <n v="0"/>
    <n v="0"/>
    <n v="0"/>
    <n v="0"/>
    <n v="0"/>
    <m/>
    <n v="0"/>
    <n v="0"/>
    <n v="0"/>
    <n v="0"/>
    <n v="0"/>
    <n v="0"/>
    <n v="0"/>
    <n v="0"/>
    <n v="0"/>
    <n v="0"/>
    <n v="0"/>
    <n v="0"/>
    <n v="0"/>
    <n v="0"/>
    <n v="35.864999999999995"/>
    <n v="0"/>
    <n v="0"/>
    <n v="0"/>
    <n v="0"/>
    <n v="0"/>
    <n v="35.864999999999995"/>
    <m/>
    <m/>
    <m/>
    <m/>
    <m/>
    <m/>
    <m/>
    <m/>
    <s v="1"/>
    <s v="1"/>
    <s v="1"/>
    <s v="1"/>
    <s v="1"/>
    <m/>
    <m/>
    <m/>
    <m/>
    <m/>
    <m/>
    <m/>
    <m/>
    <m/>
    <m/>
    <m/>
    <m/>
    <m/>
    <m/>
  </r>
  <r>
    <n v="742"/>
    <d v="2025-03-20T00:00:00"/>
    <x v="2"/>
    <n v="9518615777"/>
    <n v="1"/>
    <s v="9518615777-1"/>
    <s v="No Priority"/>
    <x v="0"/>
    <m/>
    <x v="1"/>
    <x v="10"/>
    <x v="2"/>
    <m/>
    <x v="0"/>
    <m/>
    <m/>
    <s v="Punjab"/>
    <s v="North"/>
    <s v="SANHEWAL"/>
    <x v="0"/>
    <x v="69"/>
    <x v="68"/>
    <x v="172"/>
    <s v="CR COIL TATXXD AU14 0.980X1250"/>
    <s v=" "/>
    <s v=""/>
    <n v="12"/>
    <n v="27"/>
    <s v="Wider"/>
    <x v="1"/>
    <x v="2"/>
    <s v="AU14"/>
    <x v="50"/>
    <x v="0"/>
    <x v="0"/>
    <n v="100"/>
    <n v="77.394999999999996"/>
    <n v="22.605"/>
    <n v="22.605"/>
    <n v="22.605"/>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x v="2"/>
    <n v="9518615777"/>
    <n v="2"/>
    <s v="9518615777-2"/>
    <s v="No Priority"/>
    <x v="0"/>
    <m/>
    <x v="1"/>
    <x v="10"/>
    <x v="2"/>
    <m/>
    <x v="0"/>
    <m/>
    <m/>
    <s v="Punjab"/>
    <s v="North"/>
    <s v="SANHEWAL"/>
    <x v="0"/>
    <x v="69"/>
    <x v="68"/>
    <x v="173"/>
    <s v="CRCOIL C01 DQ TATXXD AU14 1.15 X 1250"/>
    <s v=" "/>
    <s v=""/>
    <n v="12"/>
    <n v="27"/>
    <s v="Wider"/>
    <x v="1"/>
    <x v="2"/>
    <s v="AU14"/>
    <x v="49"/>
    <x v="0"/>
    <x v="0"/>
    <n v="100"/>
    <n v="25.64"/>
    <n v="74.36"/>
    <n v="74.36"/>
    <n v="74.36"/>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1T00:00:00"/>
    <x v="0"/>
    <n v="9518620006"/>
    <n v="2"/>
    <s v="9518620006-2"/>
    <s v="No Priority"/>
    <x v="0"/>
    <m/>
    <x v="1"/>
    <x v="2"/>
    <x v="0"/>
    <m/>
    <x v="0"/>
    <m/>
    <s v="Exp BTF &lt;17MT"/>
    <s v="Chhattisgarh"/>
    <s v="East"/>
    <s v="URLA"/>
    <x v="1"/>
    <x v="72"/>
    <x v="69"/>
    <x v="110"/>
    <s v="CRCA SHEET TSBCRC SR15 0.600X1000X2500"/>
    <s v=" "/>
    <s v=""/>
    <n v="0"/>
    <n v="0"/>
    <s v="Narrow"/>
    <x v="2"/>
    <x v="4"/>
    <s v="SR15"/>
    <x v="20"/>
    <x v="2"/>
    <x v="3"/>
    <n v="48"/>
    <n v="40.549999999999997"/>
    <n v="7.45"/>
    <n v="7.45"/>
    <n v="7.45"/>
    <n v="7.45"/>
    <n v="0"/>
    <n v="0"/>
    <n v="0"/>
    <n v="0"/>
    <n v="0"/>
    <n v="0"/>
    <n v="0"/>
    <n v="0"/>
    <n v="0"/>
    <n v="0"/>
    <n v="0"/>
    <n v="0"/>
    <n v="0"/>
    <n v="0"/>
    <n v="0"/>
    <n v="0"/>
    <n v="0"/>
    <n v="0"/>
    <n v="0"/>
    <n v="0"/>
    <n v="0"/>
    <n v="0"/>
    <n v="0"/>
    <m/>
    <n v="0"/>
    <n v="0"/>
    <n v="0"/>
    <n v="0"/>
    <n v="0"/>
    <n v="0"/>
    <n v="0"/>
    <n v="0"/>
    <n v="0"/>
    <n v="0"/>
    <n v="0"/>
    <n v="0"/>
    <n v="0"/>
    <n v="0"/>
    <n v="40.549999999999997"/>
    <n v="0"/>
    <n v="0"/>
    <n v="0"/>
    <n v="0"/>
    <n v="0"/>
    <n v="40.549999999999997"/>
    <m/>
    <m/>
    <m/>
    <m/>
    <m/>
    <m/>
    <m/>
    <m/>
    <s v="1"/>
    <s v="1"/>
    <s v="1"/>
    <s v="1"/>
    <s v="1"/>
    <m/>
    <m/>
    <m/>
    <m/>
    <m/>
    <m/>
    <m/>
    <m/>
    <m/>
    <m/>
    <m/>
    <m/>
    <m/>
    <m/>
  </r>
  <r>
    <n v="742"/>
    <d v="2025-03-22T00:00:00"/>
    <x v="0"/>
    <n v="9518624222"/>
    <n v="6"/>
    <s v="9518624222-6"/>
    <s v="No Priority"/>
    <x v="0"/>
    <m/>
    <x v="1"/>
    <x v="1"/>
    <x v="0"/>
    <m/>
    <x v="0"/>
    <m/>
    <m/>
    <s v="Delhi"/>
    <s v="North"/>
    <s v="ZOSOLA"/>
    <x v="0"/>
    <x v="50"/>
    <x v="49"/>
    <x v="116"/>
    <s v="CRCA COIL-TATXXD-AU03-2X1250"/>
    <s v=" "/>
    <s v=""/>
    <n v="15"/>
    <n v="29"/>
    <s v="Wider"/>
    <x v="1"/>
    <x v="2"/>
    <s v="AU03"/>
    <x v="15"/>
    <x v="0"/>
    <x v="0"/>
    <n v="29"/>
    <n v="0"/>
    <n v="29"/>
    <n v="1.77"/>
    <n v="0"/>
    <n v="3.36"/>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2T00:00:00"/>
    <x v="0"/>
    <n v="9518624222"/>
    <n v="2"/>
    <s v="9518624222-2"/>
    <s v="Stocks"/>
    <x v="0"/>
    <m/>
    <x v="1"/>
    <x v="11"/>
    <x v="0"/>
    <m/>
    <x v="1"/>
    <m/>
    <m/>
    <s v="Delhi"/>
    <s v="North"/>
    <s v="ZOSOLA"/>
    <x v="0"/>
    <x v="50"/>
    <x v="49"/>
    <x v="174"/>
    <s v="CRCA COIL TATXXD AH03 0.500X1250"/>
    <s v=" "/>
    <s v=""/>
    <n v="15"/>
    <n v="29"/>
    <s v="Wider"/>
    <x v="1"/>
    <x v="2"/>
    <s v="AH03"/>
    <x v="1"/>
    <x v="0"/>
    <x v="0"/>
    <n v="116"/>
    <n v="75.22"/>
    <n v="40.78"/>
    <n v="9.25"/>
    <n v="40.78"/>
    <n v="14.44"/>
    <n v="0"/>
    <n v="0"/>
    <n v="0"/>
    <n v="0"/>
    <n v="0"/>
    <n v="0"/>
    <n v="0"/>
    <n v="0"/>
    <n v="0"/>
    <n v="0"/>
    <n v="0"/>
    <n v="0"/>
    <n v="0"/>
    <n v="0"/>
    <n v="0"/>
    <n v="0"/>
    <n v="0"/>
    <n v="0"/>
    <n v="0"/>
    <n v="0"/>
    <n v="0"/>
    <n v="0"/>
    <n v="0"/>
    <m/>
    <n v="23.234999999999999"/>
    <n v="0"/>
    <n v="0"/>
    <n v="0"/>
    <n v="0"/>
    <n v="0"/>
    <n v="0"/>
    <n v="23.234999999999999"/>
    <n v="23.234999999999999"/>
    <n v="0"/>
    <n v="0"/>
    <n v="0"/>
    <n v="0"/>
    <n v="0"/>
    <n v="26.97"/>
    <n v="0"/>
    <n v="0"/>
    <n v="0"/>
    <n v="0"/>
    <n v="0"/>
    <n v="26.97"/>
    <m/>
    <m/>
    <m/>
    <m/>
    <m/>
    <m/>
    <m/>
    <m/>
    <s v="1"/>
    <s v="1"/>
    <s v="1"/>
    <s v="1"/>
    <s v="1"/>
    <m/>
    <m/>
    <m/>
    <m/>
    <m/>
    <m/>
    <m/>
    <m/>
    <m/>
    <m/>
    <m/>
    <m/>
    <m/>
    <m/>
  </r>
  <r>
    <n v="742"/>
    <d v="2025-03-22T00:00:00"/>
    <x v="0"/>
    <n v="9518624222"/>
    <n v="3"/>
    <s v="9518624222-3"/>
    <s v="No Priority"/>
    <x v="0"/>
    <m/>
    <x v="1"/>
    <x v="1"/>
    <x v="0"/>
    <m/>
    <x v="0"/>
    <m/>
    <m/>
    <s v="Delhi"/>
    <s v="North"/>
    <s v="ZOSOLA"/>
    <x v="0"/>
    <x v="50"/>
    <x v="49"/>
    <x v="175"/>
    <s v="CRCA COIL TATCRC TR15 0.6X1250"/>
    <s v=" "/>
    <s v=""/>
    <n v="15"/>
    <n v="29"/>
    <s v="Wider"/>
    <x v="1"/>
    <x v="1"/>
    <s v="TR15"/>
    <x v="20"/>
    <x v="0"/>
    <x v="0"/>
    <n v="29"/>
    <n v="0"/>
    <n v="29"/>
    <n v="2.9649999999999999"/>
    <n v="29"/>
    <n v="4.605000000000000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x v="0"/>
    <n v="9518617137"/>
    <n v="5"/>
    <s v="9518617137-5"/>
    <s v="No Priority"/>
    <x v="0"/>
    <m/>
    <x v="1"/>
    <x v="2"/>
    <x v="0"/>
    <m/>
    <x v="0"/>
    <m/>
    <m/>
    <s v="Bihar"/>
    <s v="East"/>
    <s v="PURNIA"/>
    <x v="1"/>
    <x v="31"/>
    <x v="31"/>
    <x v="136"/>
    <s v="CRCA SHEET TATCRC SR16 0.450X1250X2500"/>
    <s v=" "/>
    <s v=""/>
    <n v="0"/>
    <n v="0"/>
    <s v="Wider"/>
    <x v="2"/>
    <x v="1"/>
    <s v="SR16"/>
    <x v="10"/>
    <x v="0"/>
    <x v="3"/>
    <n v="21"/>
    <n v="20.43"/>
    <n v="0.56999999999999995"/>
    <n v="0.3"/>
    <n v="0"/>
    <n v="0.56999999999999995"/>
    <n v="0"/>
    <n v="0"/>
    <n v="0"/>
    <n v="0"/>
    <n v="0"/>
    <n v="0"/>
    <n v="0"/>
    <n v="0"/>
    <n v="0"/>
    <n v="0"/>
    <n v="0"/>
    <n v="0"/>
    <n v="0"/>
    <n v="0"/>
    <n v="0"/>
    <n v="0"/>
    <n v="0"/>
    <n v="0"/>
    <n v="0"/>
    <n v="0"/>
    <n v="0"/>
    <n v="0"/>
    <n v="0"/>
    <m/>
    <n v="0"/>
    <n v="0"/>
    <n v="0"/>
    <n v="0"/>
    <n v="0"/>
    <n v="0"/>
    <n v="0"/>
    <n v="0"/>
    <n v="0"/>
    <n v="0"/>
    <n v="0"/>
    <n v="0"/>
    <n v="0"/>
    <n v="0"/>
    <n v="20.43"/>
    <n v="0"/>
    <n v="0"/>
    <n v="0"/>
    <n v="0"/>
    <n v="0"/>
    <n v="20.43"/>
    <m/>
    <m/>
    <m/>
    <m/>
    <m/>
    <m/>
    <m/>
    <m/>
    <s v="1"/>
    <s v="1"/>
    <s v="1"/>
    <s v="1"/>
    <s v="1"/>
    <m/>
    <m/>
    <m/>
    <m/>
    <m/>
    <m/>
    <m/>
    <m/>
    <m/>
    <m/>
    <m/>
    <m/>
    <m/>
    <m/>
  </r>
  <r>
    <n v="742"/>
    <d v="2025-03-21T00:00:00"/>
    <x v="0"/>
    <n v="9518619991"/>
    <n v="3"/>
    <s v="9518619991-3"/>
    <s v="Stocks"/>
    <x v="0"/>
    <m/>
    <x v="1"/>
    <x v="2"/>
    <x v="0"/>
    <m/>
    <x v="1"/>
    <m/>
    <s v="Exp BTF &lt;17MT"/>
    <s v="Chhattisgarh"/>
    <s v="East"/>
    <s v="URLA"/>
    <x v="1"/>
    <x v="72"/>
    <x v="69"/>
    <x v="176"/>
    <s v="CRCA SHEET TATCRC SR16 0.450X900X2500"/>
    <s v=" "/>
    <s v=""/>
    <n v="0"/>
    <n v="0"/>
    <s v="Narrow"/>
    <x v="2"/>
    <x v="1"/>
    <s v="SR16"/>
    <x v="10"/>
    <x v="3"/>
    <x v="3"/>
    <n v="42"/>
    <n v="36.71"/>
    <n v="5.29"/>
    <n v="5.29"/>
    <n v="5.29"/>
    <n v="5.29"/>
    <n v="0"/>
    <n v="0"/>
    <n v="0"/>
    <n v="0"/>
    <n v="0"/>
    <n v="0"/>
    <n v="0"/>
    <n v="0"/>
    <n v="0"/>
    <n v="0"/>
    <n v="0"/>
    <n v="0"/>
    <n v="0"/>
    <n v="0"/>
    <n v="0"/>
    <n v="0"/>
    <n v="0"/>
    <n v="0"/>
    <n v="0"/>
    <n v="0"/>
    <n v="0"/>
    <n v="0"/>
    <n v="0"/>
    <m/>
    <n v="2.6"/>
    <n v="0"/>
    <n v="0"/>
    <n v="0"/>
    <n v="0"/>
    <n v="0"/>
    <n v="0"/>
    <n v="2.6"/>
    <n v="2.6"/>
    <n v="0"/>
    <n v="0"/>
    <n v="0"/>
    <n v="0"/>
    <n v="0"/>
    <n v="36.709999999999994"/>
    <n v="0"/>
    <n v="0"/>
    <n v="0"/>
    <n v="0"/>
    <n v="0"/>
    <n v="36.709999999999994"/>
    <m/>
    <m/>
    <m/>
    <m/>
    <m/>
    <m/>
    <m/>
    <m/>
    <s v="1"/>
    <s v="1"/>
    <s v="1"/>
    <s v="1"/>
    <s v="1"/>
    <m/>
    <m/>
    <m/>
    <m/>
    <m/>
    <m/>
    <m/>
    <m/>
    <m/>
    <m/>
    <m/>
    <m/>
    <m/>
    <m/>
  </r>
  <r>
    <n v="744"/>
    <d v="2025-03-22T00:00:00"/>
    <x v="0"/>
    <n v="9518623514"/>
    <n v="1"/>
    <s v="9518623514-1"/>
    <s v="Apr'25 "/>
    <x v="0"/>
    <m/>
    <x v="2"/>
    <x v="3"/>
    <x v="2"/>
    <m/>
    <x v="1"/>
    <m/>
    <m/>
    <s v="Jharkhand"/>
    <s v="TBSPL"/>
    <s v="TBL- BARA AGRICO"/>
    <x v="0"/>
    <x v="6"/>
    <x v="6"/>
    <x v="177"/>
    <s v="PPGL C HARD Y550PL HPL5 0.450X1220"/>
    <s v="AZ150"/>
    <s v="ELITE LIGHT BLUE TSL 1687"/>
    <n v="3"/>
    <n v="5"/>
    <s v="Wider"/>
    <x v="3"/>
    <x v="3"/>
    <s v="HPL5"/>
    <x v="10"/>
    <x v="1"/>
    <x v="0"/>
    <n v="140"/>
    <n v="0"/>
    <n v="140"/>
    <n v="140"/>
    <n v="140"/>
    <n v="140"/>
    <n v="0"/>
    <n v="0"/>
    <n v="0"/>
    <n v="0"/>
    <n v="0"/>
    <n v="0"/>
    <n v="0"/>
    <n v="0"/>
    <n v="0"/>
    <n v="0"/>
    <n v="0"/>
    <n v="0"/>
    <n v="0"/>
    <n v="0"/>
    <n v="0"/>
    <n v="0"/>
    <n v="0"/>
    <n v="0"/>
    <n v="0"/>
    <n v="0"/>
    <n v="0"/>
    <n v="0"/>
    <n v="0"/>
    <m/>
    <n v="0"/>
    <n v="140"/>
    <n v="0"/>
    <n v="0"/>
    <n v="140"/>
    <n v="0"/>
    <n v="0"/>
    <n v="140"/>
    <n v="0"/>
    <n v="0"/>
    <n v="140"/>
    <n v="0"/>
    <n v="0"/>
    <n v="0"/>
    <n v="0"/>
    <n v="0"/>
    <n v="0"/>
    <n v="0"/>
    <n v="0"/>
    <n v="0"/>
    <n v="0"/>
    <m/>
    <m/>
    <m/>
    <m/>
    <m/>
    <m/>
    <m/>
    <m/>
    <s v="1"/>
    <s v="1"/>
    <s v="0"/>
    <s v="1"/>
    <s v="1"/>
    <m/>
    <m/>
    <m/>
    <m/>
    <m/>
    <m/>
    <m/>
    <m/>
    <m/>
    <m/>
    <m/>
    <m/>
    <m/>
    <m/>
  </r>
  <r>
    <n v="742"/>
    <d v="2025-03-19T00:00:00"/>
    <x v="0"/>
    <n v="9518613413"/>
    <n v="2"/>
    <s v="9518613413-2"/>
    <s v="No Priority"/>
    <x v="0"/>
    <m/>
    <x v="1"/>
    <x v="10"/>
    <x v="3"/>
    <m/>
    <x v="0"/>
    <m/>
    <m/>
    <s v="Andhra Pradesh"/>
    <s v="South"/>
    <s v="CHITTOOR"/>
    <x v="0"/>
    <x v="41"/>
    <x v="40"/>
    <x v="79"/>
    <s v="CRCA COIL TATXXD BT01 0.970X1220"/>
    <s v=""/>
    <s v=""/>
    <m/>
    <m/>
    <s v="Wider"/>
    <x v="1"/>
    <x v="2"/>
    <s v="BT01"/>
    <x v="24"/>
    <x v="1"/>
    <x v="0"/>
    <n v="280"/>
    <n v="0"/>
    <n v="280"/>
    <n v="-25.48"/>
    <n v="0"/>
    <n v="23.3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x v="0"/>
    <n v="9518617308"/>
    <n v="3"/>
    <s v="9518617308-3"/>
    <s v="No Priority"/>
    <x v="0"/>
    <m/>
    <x v="1"/>
    <x v="1"/>
    <x v="1"/>
    <m/>
    <x v="0"/>
    <m/>
    <m/>
    <s v="Haryana"/>
    <s v="North"/>
    <s v="FARIDABAD"/>
    <x v="0"/>
    <x v="73"/>
    <x v="70"/>
    <x v="95"/>
    <s v="CRCA COIL-TATXXD-AU03-1.2X1250"/>
    <s v=""/>
    <s v=""/>
    <m/>
    <m/>
    <s v="Wider"/>
    <x v="1"/>
    <x v="2"/>
    <s v="AU03"/>
    <x v="19"/>
    <x v="0"/>
    <x v="0"/>
    <n v="29"/>
    <n v="0"/>
    <n v="29"/>
    <n v="1.25"/>
    <n v="0"/>
    <n v="2.87"/>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x v="0"/>
    <n v="9518617308"/>
    <n v="6"/>
    <s v="9518617308-6"/>
    <s v="No Priority"/>
    <x v="0"/>
    <m/>
    <x v="1"/>
    <x v="1"/>
    <x v="1"/>
    <m/>
    <x v="0"/>
    <m/>
    <m/>
    <s v="Haryana"/>
    <s v="North"/>
    <s v="FARIDABAD"/>
    <x v="0"/>
    <x v="73"/>
    <x v="70"/>
    <x v="116"/>
    <s v="CRCA COIL-TATXXD-AU03-2X1250"/>
    <s v=""/>
    <s v=""/>
    <m/>
    <m/>
    <s v="Wider"/>
    <x v="1"/>
    <x v="2"/>
    <s v="AU03"/>
    <x v="15"/>
    <x v="0"/>
    <x v="0"/>
    <n v="29"/>
    <n v="0"/>
    <n v="29"/>
    <n v="0.36"/>
    <n v="0"/>
    <n v="2.9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0T00:00:00"/>
    <x v="0"/>
    <n v="9518616273"/>
    <n v="1"/>
    <s v="9518616273-1"/>
    <s v="No Priority"/>
    <x v="0"/>
    <m/>
    <x v="3"/>
    <x v="4"/>
    <x v="1"/>
    <m/>
    <x v="0"/>
    <m/>
    <m/>
    <s v="Bihar"/>
    <s v="East"/>
    <s v="PURNEA JN."/>
    <x v="0"/>
    <x v="74"/>
    <x v="31"/>
    <x v="178"/>
    <s v="GP COIL TATGPH GP02 0.350X900"/>
    <s v=""/>
    <s v=""/>
    <m/>
    <m/>
    <s v="Narrow"/>
    <x v="4"/>
    <x v="6"/>
    <s v="GP02"/>
    <x v="6"/>
    <x v="3"/>
    <x v="0"/>
    <n v="21"/>
    <n v="0"/>
    <n v="21"/>
    <n v="-0.5"/>
    <n v="0"/>
    <n v="21"/>
    <n v="0"/>
    <n v="0"/>
    <n v="0"/>
    <n v="0"/>
    <n v="0"/>
    <n v="0"/>
    <n v="0"/>
    <n v="0"/>
    <n v="0"/>
    <n v="0"/>
    <n v="0"/>
    <n v="0"/>
    <n v="0"/>
    <n v="0"/>
    <n v="0"/>
    <n v="0"/>
    <n v="21.5"/>
    <n v="0"/>
    <n v="0"/>
    <n v="21.5"/>
    <n v="21.5"/>
    <n v="0"/>
    <n v="21.5"/>
    <m/>
    <n v="0"/>
    <n v="0"/>
    <n v="0"/>
    <n v="0"/>
    <n v="0"/>
    <n v="0"/>
    <n v="0"/>
    <n v="0"/>
    <n v="0"/>
    <n v="0"/>
    <n v="0"/>
    <n v="0"/>
    <n v="0"/>
    <n v="0"/>
    <n v="0"/>
    <n v="0"/>
    <n v="0"/>
    <n v="0"/>
    <n v="0"/>
    <n v="0"/>
    <n v="0"/>
    <m/>
    <m/>
    <m/>
    <m/>
    <m/>
    <m/>
    <m/>
    <m/>
    <s v="1"/>
    <s v="1"/>
    <s v="1"/>
    <s v="1"/>
    <s v="1"/>
    <m/>
    <m/>
    <m/>
    <m/>
    <m/>
    <m/>
    <m/>
    <m/>
    <m/>
    <m/>
    <m/>
    <m/>
    <m/>
    <m/>
  </r>
  <r>
    <n v="743"/>
    <d v="2025-03-20T00:00:00"/>
    <x v="0"/>
    <n v="9518616273"/>
    <n v="2"/>
    <s v="9518616273-2"/>
    <s v="Stocks"/>
    <x v="0"/>
    <m/>
    <x v="3"/>
    <x v="4"/>
    <x v="1"/>
    <m/>
    <x v="1"/>
    <m/>
    <m/>
    <s v="Bihar"/>
    <s v="East"/>
    <s v="PURNEA JN."/>
    <x v="0"/>
    <x v="74"/>
    <x v="31"/>
    <x v="179"/>
    <s v="GP COIL TATGPH GP02 0.400X900"/>
    <s v=""/>
    <s v=""/>
    <m/>
    <m/>
    <s v="Narrow"/>
    <x v="4"/>
    <x v="6"/>
    <s v="GP02"/>
    <x v="2"/>
    <x v="3"/>
    <x v="0"/>
    <n v="126"/>
    <n v="0"/>
    <n v="126"/>
    <n v="26.16"/>
    <n v="0"/>
    <n v="61.82"/>
    <n v="0"/>
    <n v="0"/>
    <n v="0"/>
    <n v="0"/>
    <n v="0"/>
    <n v="0"/>
    <n v="2.4"/>
    <n v="0"/>
    <n v="0"/>
    <n v="0"/>
    <n v="0"/>
    <n v="0"/>
    <n v="0"/>
    <n v="0"/>
    <n v="0"/>
    <n v="0"/>
    <n v="0"/>
    <n v="0"/>
    <n v="3.43"/>
    <n v="5.83"/>
    <n v="5.83"/>
    <n v="26"/>
    <n v="31.83"/>
    <m/>
    <n v="4.0599999999999996"/>
    <n v="0"/>
    <n v="0"/>
    <n v="0"/>
    <n v="0"/>
    <n v="0"/>
    <n v="0"/>
    <n v="4.0599999999999996"/>
    <n v="4.0599999999999996"/>
    <n v="0"/>
    <n v="0"/>
    <n v="0"/>
    <n v="0"/>
    <n v="0"/>
    <n v="0"/>
    <n v="0"/>
    <n v="0"/>
    <n v="0"/>
    <n v="0"/>
    <n v="0"/>
    <n v="0"/>
    <m/>
    <m/>
    <m/>
    <m/>
    <m/>
    <m/>
    <m/>
    <m/>
    <s v="1"/>
    <s v="1"/>
    <s v="1"/>
    <s v="1"/>
    <s v="1"/>
    <m/>
    <m/>
    <m/>
    <m/>
    <m/>
    <m/>
    <m/>
    <m/>
    <m/>
    <m/>
    <m/>
    <m/>
    <m/>
    <m/>
  </r>
  <r>
    <n v="743"/>
    <d v="2025-03-20T00:00:00"/>
    <x v="0"/>
    <n v="9518616273"/>
    <n v="3"/>
    <s v="9518616273-3"/>
    <s v="Stocks"/>
    <x v="0"/>
    <m/>
    <x v="3"/>
    <x v="4"/>
    <x v="1"/>
    <m/>
    <x v="1"/>
    <m/>
    <m/>
    <s v="Bihar"/>
    <s v="East"/>
    <s v="PURNEA JN."/>
    <x v="0"/>
    <x v="74"/>
    <x v="31"/>
    <x v="180"/>
    <s v="GP COIL TATGPH GP02 0.400X1350"/>
    <s v=""/>
    <s v=""/>
    <m/>
    <m/>
    <s v="Wider"/>
    <x v="4"/>
    <x v="6"/>
    <s v="GP02"/>
    <x v="2"/>
    <x v="20"/>
    <x v="0"/>
    <n v="124"/>
    <n v="0"/>
    <n v="124"/>
    <n v="35.1"/>
    <n v="0"/>
    <n v="9.7149999999999999"/>
    <n v="0"/>
    <n v="0"/>
    <n v="0"/>
    <n v="0"/>
    <n v="0"/>
    <n v="0"/>
    <n v="5.5170000000000003"/>
    <n v="0"/>
    <n v="0"/>
    <n v="0"/>
    <n v="0"/>
    <n v="0"/>
    <n v="0"/>
    <n v="0"/>
    <n v="0"/>
    <n v="0"/>
    <n v="0"/>
    <n v="0"/>
    <n v="0"/>
    <n v="5.5170000000000003"/>
    <n v="5.5170000000000003"/>
    <n v="35"/>
    <n v="40.517000000000003"/>
    <m/>
    <n v="74.62"/>
    <n v="0"/>
    <n v="0"/>
    <n v="0"/>
    <n v="0"/>
    <n v="0"/>
    <n v="0"/>
    <n v="74.62"/>
    <n v="74.62"/>
    <n v="0"/>
    <n v="0"/>
    <n v="0"/>
    <n v="0"/>
    <n v="0"/>
    <n v="0"/>
    <n v="0"/>
    <n v="0"/>
    <n v="0"/>
    <n v="0"/>
    <n v="0"/>
    <n v="0"/>
    <m/>
    <m/>
    <m/>
    <m/>
    <m/>
    <m/>
    <m/>
    <m/>
    <s v="1"/>
    <s v="1"/>
    <s v="1"/>
    <s v="1"/>
    <s v="1"/>
    <m/>
    <m/>
    <m/>
    <m/>
    <m/>
    <m/>
    <m/>
    <m/>
    <m/>
    <m/>
    <m/>
    <m/>
    <m/>
    <m/>
  </r>
  <r>
    <n v="743"/>
    <d v="2025-03-20T00:00:00"/>
    <x v="0"/>
    <n v="9518616273"/>
    <n v="4"/>
    <s v="9518616273-4"/>
    <s v="Stocks"/>
    <x v="0"/>
    <m/>
    <x v="3"/>
    <x v="4"/>
    <x v="1"/>
    <m/>
    <x v="1"/>
    <m/>
    <m/>
    <s v="Bihar"/>
    <s v="East"/>
    <s v="PURNEA JN."/>
    <x v="0"/>
    <x v="74"/>
    <x v="31"/>
    <x v="181"/>
    <s v="GP COIL TATXGP GP02 0.450X1350"/>
    <s v=""/>
    <s v=""/>
    <m/>
    <m/>
    <s v="Wider"/>
    <x v="4"/>
    <x v="5"/>
    <s v="GP02"/>
    <x v="10"/>
    <x v="20"/>
    <x v="0"/>
    <n v="124"/>
    <n v="0"/>
    <n v="124"/>
    <n v="94.43"/>
    <n v="0"/>
    <n v="11.89"/>
    <n v="0"/>
    <n v="0"/>
    <n v="0"/>
    <n v="0"/>
    <n v="0"/>
    <n v="0"/>
    <n v="7.4119999999999999"/>
    <n v="0"/>
    <n v="0"/>
    <n v="0"/>
    <n v="0"/>
    <n v="0"/>
    <n v="0"/>
    <n v="0"/>
    <n v="0"/>
    <n v="0"/>
    <n v="0"/>
    <n v="0"/>
    <n v="0"/>
    <n v="7.4119999999999999"/>
    <n v="7.4119999999999999"/>
    <n v="94"/>
    <n v="101.41200000000001"/>
    <m/>
    <n v="81.194999999999993"/>
    <n v="0"/>
    <n v="0"/>
    <n v="0"/>
    <n v="0"/>
    <n v="0"/>
    <n v="0"/>
    <n v="81.194999999999993"/>
    <n v="81.194999999999993"/>
    <n v="0"/>
    <n v="0"/>
    <n v="0"/>
    <n v="0"/>
    <n v="0"/>
    <n v="0"/>
    <n v="0"/>
    <n v="0"/>
    <n v="0"/>
    <n v="0"/>
    <n v="0"/>
    <n v="0"/>
    <m/>
    <m/>
    <m/>
    <m/>
    <m/>
    <m/>
    <m/>
    <m/>
    <s v="1"/>
    <s v="1"/>
    <s v="1"/>
    <s v="1"/>
    <s v="1"/>
    <m/>
    <m/>
    <m/>
    <m/>
    <m/>
    <m/>
    <m/>
    <m/>
    <m/>
    <m/>
    <m/>
    <m/>
    <m/>
    <m/>
  </r>
  <r>
    <n v="742"/>
    <d v="2025-03-20T00:00:00"/>
    <x v="0"/>
    <n v="9518617132"/>
    <n v="2"/>
    <s v="9518617132-2"/>
    <s v="Apr'25 "/>
    <x v="0"/>
    <m/>
    <x v="1"/>
    <x v="2"/>
    <x v="1"/>
    <m/>
    <x v="1"/>
    <m/>
    <m/>
    <s v="Bihar"/>
    <s v="East"/>
    <s v="PATNA CITY"/>
    <x v="1"/>
    <x v="31"/>
    <x v="31"/>
    <x v="145"/>
    <s v="CRCA SHEET TATCRC SR16 0.400X1250X2500"/>
    <s v=""/>
    <s v=""/>
    <m/>
    <m/>
    <s v="Wider"/>
    <x v="2"/>
    <x v="1"/>
    <s v="SR16"/>
    <x v="2"/>
    <x v="0"/>
    <x v="0"/>
    <n v="24"/>
    <n v="0"/>
    <n v="24"/>
    <n v="24"/>
    <n v="24"/>
    <n v="24"/>
    <n v="0"/>
    <n v="0"/>
    <n v="0"/>
    <n v="0"/>
    <n v="0"/>
    <n v="0"/>
    <n v="0"/>
    <n v="0"/>
    <n v="0"/>
    <n v="0"/>
    <n v="0"/>
    <n v="0"/>
    <n v="0"/>
    <n v="0"/>
    <n v="0"/>
    <n v="0"/>
    <n v="0"/>
    <n v="0"/>
    <n v="0"/>
    <n v="0"/>
    <n v="0"/>
    <n v="0"/>
    <n v="0"/>
    <m/>
    <n v="0"/>
    <n v="24"/>
    <n v="0"/>
    <n v="0"/>
    <n v="0"/>
    <n v="24"/>
    <n v="0"/>
    <n v="24"/>
    <n v="0"/>
    <n v="0"/>
    <n v="0"/>
    <n v="24"/>
    <n v="0"/>
    <n v="0"/>
    <n v="0"/>
    <n v="0"/>
    <n v="0"/>
    <n v="0"/>
    <n v="0"/>
    <n v="0"/>
    <n v="0"/>
    <m/>
    <m/>
    <m/>
    <m/>
    <m/>
    <m/>
    <m/>
    <m/>
    <s v="1"/>
    <s v="1"/>
    <s v="1"/>
    <s v="0"/>
    <s v="1"/>
    <m/>
    <m/>
    <m/>
    <m/>
    <m/>
    <m/>
    <m/>
    <m/>
    <m/>
    <m/>
    <m/>
    <m/>
    <m/>
    <m/>
  </r>
  <r>
    <n v="742"/>
    <d v="2025-03-20T00:00:00"/>
    <x v="0"/>
    <n v="9518617137"/>
    <n v="2"/>
    <s v="9518617137-2"/>
    <s v="No Priority"/>
    <x v="0"/>
    <m/>
    <x v="1"/>
    <x v="2"/>
    <x v="1"/>
    <m/>
    <x v="0"/>
    <m/>
    <m/>
    <s v="Bihar"/>
    <s v="East"/>
    <s v="PURNEA JN."/>
    <x v="1"/>
    <x v="31"/>
    <x v="31"/>
    <x v="145"/>
    <s v="CRCA SHEET TATCRC SR16 0.400X1250X2500"/>
    <s v=""/>
    <s v=""/>
    <m/>
    <m/>
    <s v="Wider"/>
    <x v="2"/>
    <x v="1"/>
    <s v="SR16"/>
    <x v="2"/>
    <x v="0"/>
    <x v="0"/>
    <n v="24"/>
    <n v="0"/>
    <n v="24"/>
    <n v="-3.22"/>
    <n v="0"/>
    <n v="0.96"/>
    <n v="0"/>
    <n v="0"/>
    <n v="0"/>
    <n v="0"/>
    <n v="0"/>
    <n v="0"/>
    <n v="0"/>
    <n v="0"/>
    <n v="0.15"/>
    <n v="0"/>
    <n v="0"/>
    <n v="0"/>
    <n v="0"/>
    <n v="0"/>
    <n v="0"/>
    <n v="0"/>
    <n v="0"/>
    <n v="0"/>
    <n v="0"/>
    <n v="0.15"/>
    <n v="0.15"/>
    <n v="0"/>
    <n v="0.15"/>
    <m/>
    <n v="0"/>
    <n v="0"/>
    <n v="0"/>
    <n v="0"/>
    <n v="0"/>
    <n v="0"/>
    <n v="0"/>
    <n v="0"/>
    <n v="0"/>
    <n v="0"/>
    <n v="0"/>
    <n v="0"/>
    <n v="0"/>
    <n v="0"/>
    <n v="0"/>
    <n v="0"/>
    <n v="0"/>
    <n v="0"/>
    <n v="0"/>
    <n v="0"/>
    <n v="0"/>
    <m/>
    <m/>
    <m/>
    <m/>
    <m/>
    <m/>
    <m/>
    <m/>
    <s v="1"/>
    <s v="1"/>
    <s v="1"/>
    <s v="1"/>
    <s v="1"/>
    <m/>
    <m/>
    <m/>
    <m/>
    <m/>
    <m/>
    <m/>
    <m/>
    <m/>
    <m/>
    <m/>
    <m/>
    <m/>
    <m/>
  </r>
  <r>
    <n v="742"/>
    <d v="2025-03-20T00:00:00"/>
    <x v="0"/>
    <n v="9518617137"/>
    <n v="3"/>
    <s v="9518617137-3"/>
    <s v="No Priority"/>
    <x v="0"/>
    <m/>
    <x v="1"/>
    <x v="2"/>
    <x v="1"/>
    <m/>
    <x v="0"/>
    <m/>
    <m/>
    <s v="Bihar"/>
    <s v="East"/>
    <s v="PURNEA JN."/>
    <x v="1"/>
    <x v="31"/>
    <x v="31"/>
    <x v="110"/>
    <s v="CRCA SHEET TSBCRC SR15 0.600X1000X2500"/>
    <s v=""/>
    <s v=""/>
    <m/>
    <m/>
    <s v="Narrow"/>
    <x v="2"/>
    <x v="4"/>
    <s v="SR15"/>
    <x v="20"/>
    <x v="2"/>
    <x v="3"/>
    <n v="24"/>
    <n v="23.465"/>
    <n v="0.53500000000000003"/>
    <n v="0.53500000000000003"/>
    <n v="0"/>
    <n v="0.53500000000000003"/>
    <n v="0"/>
    <n v="0"/>
    <n v="0"/>
    <n v="0"/>
    <n v="0"/>
    <n v="0"/>
    <n v="0"/>
    <n v="0"/>
    <n v="0"/>
    <n v="0"/>
    <n v="0"/>
    <n v="0"/>
    <n v="0"/>
    <n v="0"/>
    <n v="0"/>
    <n v="0"/>
    <n v="0"/>
    <n v="0"/>
    <n v="0"/>
    <n v="0"/>
    <n v="0"/>
    <n v="0"/>
    <n v="0"/>
    <m/>
    <n v="0"/>
    <n v="0"/>
    <n v="0"/>
    <n v="0"/>
    <n v="0"/>
    <n v="0"/>
    <n v="0"/>
    <n v="0"/>
    <n v="0"/>
    <n v="0"/>
    <n v="0"/>
    <n v="0"/>
    <n v="0"/>
    <n v="0"/>
    <n v="23.465"/>
    <n v="0"/>
    <n v="0"/>
    <n v="0"/>
    <n v="0"/>
    <n v="0"/>
    <n v="23.465"/>
    <m/>
    <m/>
    <m/>
    <m/>
    <m/>
    <m/>
    <m/>
    <m/>
    <s v="1"/>
    <s v="1"/>
    <s v="1"/>
    <s v="1"/>
    <s v="1"/>
    <m/>
    <m/>
    <m/>
    <m/>
    <m/>
    <m/>
    <m/>
    <m/>
    <m/>
    <m/>
    <m/>
    <m/>
    <m/>
    <m/>
  </r>
  <r>
    <n v="742"/>
    <d v="2025-03-20T00:00:00"/>
    <x v="0"/>
    <n v="9518617137"/>
    <n v="4"/>
    <s v="9518617137-4"/>
    <s v="No Priority"/>
    <x v="0"/>
    <m/>
    <x v="1"/>
    <x v="2"/>
    <x v="1"/>
    <m/>
    <x v="0"/>
    <m/>
    <m/>
    <s v="Bihar"/>
    <s v="East"/>
    <s v="PURNEA JN."/>
    <x v="1"/>
    <x v="31"/>
    <x v="31"/>
    <x v="182"/>
    <s v="CRCA SHEET TSBCRC SR15 1.200X1250X2500"/>
    <s v=""/>
    <s v=""/>
    <m/>
    <m/>
    <s v="Wider"/>
    <x v="2"/>
    <x v="4"/>
    <s v="SR15"/>
    <x v="19"/>
    <x v="0"/>
    <x v="0"/>
    <n v="24"/>
    <n v="0"/>
    <n v="24"/>
    <n v="-2.9750000000000001"/>
    <n v="0"/>
    <n v="0.43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3T00:00:00"/>
    <x v="0"/>
    <n v="9518625201"/>
    <n v="1"/>
    <s v="9518625201-1"/>
    <s v="Apr'25 "/>
    <x v="0"/>
    <m/>
    <x v="1"/>
    <x v="7"/>
    <x v="3"/>
    <m/>
    <x v="1"/>
    <m/>
    <m/>
    <s v="Gujarat"/>
    <s v="West"/>
    <s v="RAJKOT"/>
    <x v="0"/>
    <x v="48"/>
    <x v="47"/>
    <x v="93"/>
    <s v="CRCA COIL TSBSTA EL06 0.500X1160"/>
    <s v=""/>
    <s v=""/>
    <m/>
    <m/>
    <s v="Narrow"/>
    <x v="1"/>
    <x v="9"/>
    <s v="EL06"/>
    <x v="1"/>
    <x v="13"/>
    <x v="0"/>
    <n v="296.99"/>
    <n v="147.345"/>
    <n v="149.64500000000001"/>
    <n v="123.645"/>
    <n v="123.00500000000001"/>
    <n v="33.344999999999999"/>
    <n v="0"/>
    <n v="0"/>
    <n v="0"/>
    <n v="0"/>
    <n v="0"/>
    <n v="0"/>
    <n v="0"/>
    <n v="0"/>
    <n v="0"/>
    <n v="0"/>
    <n v="0"/>
    <n v="0"/>
    <n v="26.64"/>
    <n v="0"/>
    <n v="0"/>
    <n v="0"/>
    <n v="0"/>
    <n v="0"/>
    <n v="0"/>
    <n v="26.64"/>
    <n v="26.64"/>
    <n v="0"/>
    <n v="26.64"/>
    <m/>
    <n v="18.625"/>
    <n v="33.344999999999999"/>
    <n v="0"/>
    <n v="33.344999999999999"/>
    <n v="0"/>
    <n v="0"/>
    <n v="0"/>
    <n v="51.97"/>
    <n v="0"/>
    <n v="0"/>
    <n v="51.97"/>
    <n v="0"/>
    <n v="0"/>
    <n v="0"/>
    <n v="18.02"/>
    <n v="0"/>
    <n v="18.02"/>
    <n v="0"/>
    <n v="0"/>
    <n v="0"/>
    <n v="0"/>
    <m/>
    <m/>
    <m/>
    <m/>
    <m/>
    <m/>
    <m/>
    <m/>
    <s v="1"/>
    <s v="0"/>
    <s v="1"/>
    <s v="1"/>
    <s v="1"/>
    <m/>
    <m/>
    <m/>
    <m/>
    <m/>
    <m/>
    <m/>
    <m/>
    <m/>
    <m/>
    <m/>
    <m/>
    <m/>
    <m/>
  </r>
  <r>
    <n v="742"/>
    <d v="2025-03-21T00:00:00"/>
    <x v="0"/>
    <n v="9518619991"/>
    <n v="1"/>
    <s v="9518619991-1"/>
    <s v="No Priority"/>
    <x v="0"/>
    <m/>
    <x v="1"/>
    <x v="2"/>
    <x v="1"/>
    <m/>
    <x v="0"/>
    <m/>
    <s v="Exp BTF &lt;17MT"/>
    <s v="Chhattisgarh"/>
    <s v="East"/>
    <s v="RAIPUR"/>
    <x v="1"/>
    <x v="72"/>
    <x v="71"/>
    <x v="149"/>
    <s v="CRCA SHEET TATCRC SR16 0.350X900X2500"/>
    <s v=""/>
    <s v=""/>
    <m/>
    <m/>
    <s v="Narrow"/>
    <x v="2"/>
    <x v="1"/>
    <s v="SR16"/>
    <x v="6"/>
    <x v="3"/>
    <x v="3"/>
    <n v="42"/>
    <n v="37.71"/>
    <n v="4.29"/>
    <n v="4.29"/>
    <n v="4.29"/>
    <n v="4.29"/>
    <n v="0"/>
    <n v="0"/>
    <n v="0"/>
    <n v="0"/>
    <n v="0"/>
    <n v="0"/>
    <n v="0"/>
    <n v="0"/>
    <n v="0"/>
    <n v="0"/>
    <n v="0"/>
    <n v="0"/>
    <n v="0"/>
    <n v="0"/>
    <n v="0"/>
    <n v="0"/>
    <n v="0"/>
    <n v="0"/>
    <n v="0"/>
    <n v="0"/>
    <n v="0"/>
    <n v="0"/>
    <n v="0"/>
    <m/>
    <n v="0"/>
    <n v="0"/>
    <n v="0"/>
    <n v="0"/>
    <n v="0"/>
    <n v="0"/>
    <n v="0"/>
    <n v="0"/>
    <n v="0"/>
    <n v="0"/>
    <n v="0"/>
    <n v="0"/>
    <n v="0"/>
    <n v="0"/>
    <n v="37.709999999999994"/>
    <n v="0"/>
    <n v="0"/>
    <n v="0"/>
    <n v="0"/>
    <n v="0"/>
    <n v="37.709999999999994"/>
    <m/>
    <m/>
    <m/>
    <m/>
    <m/>
    <m/>
    <m/>
    <m/>
    <s v="1"/>
    <s v="1"/>
    <s v="1"/>
    <s v="1"/>
    <s v="1"/>
    <m/>
    <m/>
    <m/>
    <m/>
    <m/>
    <m/>
    <m/>
    <m/>
    <m/>
    <m/>
    <m/>
    <m/>
    <m/>
    <m/>
  </r>
  <r>
    <n v="742"/>
    <d v="2025-03-21T00:00:00"/>
    <x v="0"/>
    <n v="9518619991"/>
    <n v="2"/>
    <s v="9518619991-2"/>
    <s v="Stocks"/>
    <x v="0"/>
    <m/>
    <x v="1"/>
    <x v="2"/>
    <x v="1"/>
    <m/>
    <x v="1"/>
    <m/>
    <m/>
    <s v="Chhattisgarh"/>
    <s v="East"/>
    <s v="RAIPUR"/>
    <x v="1"/>
    <x v="72"/>
    <x v="71"/>
    <x v="144"/>
    <s v="CRCA SHEET TATCRC SR16 0.400X900X2500"/>
    <s v=""/>
    <s v=""/>
    <m/>
    <m/>
    <s v="Narrow"/>
    <x v="2"/>
    <x v="1"/>
    <s v="SR16"/>
    <x v="2"/>
    <x v="3"/>
    <x v="3"/>
    <n v="21"/>
    <n v="0"/>
    <n v="21"/>
    <n v="-0.38"/>
    <n v="0"/>
    <n v="1.21"/>
    <n v="0"/>
    <n v="0"/>
    <n v="0"/>
    <n v="0"/>
    <n v="0"/>
    <n v="0"/>
    <n v="0"/>
    <n v="0"/>
    <n v="0"/>
    <n v="0"/>
    <n v="0"/>
    <n v="0"/>
    <n v="0"/>
    <n v="0"/>
    <n v="0"/>
    <n v="0"/>
    <n v="0"/>
    <n v="0"/>
    <n v="0"/>
    <n v="0"/>
    <n v="0"/>
    <n v="0"/>
    <n v="0"/>
    <m/>
    <n v="8.4849999999999994"/>
    <n v="0"/>
    <n v="0"/>
    <n v="0"/>
    <n v="0"/>
    <n v="0"/>
    <n v="0"/>
    <n v="8.4849999999999994"/>
    <n v="8.4849999999999994"/>
    <n v="0"/>
    <n v="0"/>
    <n v="0"/>
    <n v="0"/>
    <n v="0"/>
    <n v="0"/>
    <n v="0"/>
    <n v="0"/>
    <n v="0"/>
    <n v="0"/>
    <n v="0"/>
    <n v="0"/>
    <m/>
    <m/>
    <m/>
    <m/>
    <m/>
    <m/>
    <m/>
    <m/>
    <s v="1"/>
    <s v="1"/>
    <s v="1"/>
    <s v="1"/>
    <s v="1"/>
    <m/>
    <m/>
    <m/>
    <m/>
    <m/>
    <m/>
    <m/>
    <m/>
    <m/>
    <m/>
    <m/>
    <m/>
    <m/>
    <m/>
  </r>
  <r>
    <n v="743"/>
    <d v="2025-03-18T00:00:00"/>
    <x v="0"/>
    <n v="9518610691"/>
    <n v="2"/>
    <s v="9518610691-2"/>
    <s v="No Priority"/>
    <x v="0"/>
    <m/>
    <x v="3"/>
    <x v="0"/>
    <x v="1"/>
    <m/>
    <x v="0"/>
    <m/>
    <m/>
    <s v="Jammu &amp; Kashmir"/>
    <s v="North"/>
    <s v="SRINAGAR O.A."/>
    <x v="0"/>
    <x v="75"/>
    <x v="72"/>
    <x v="183"/>
    <s v="GP COIL XXXGPH GPH3 0.300X900"/>
    <s v=""/>
    <s v=""/>
    <m/>
    <m/>
    <s v="Narrow"/>
    <x v="4"/>
    <x v="16"/>
    <s v="GPH3"/>
    <x v="11"/>
    <x v="3"/>
    <x v="0"/>
    <n v="84"/>
    <n v="17.77"/>
    <n v="66.23"/>
    <n v="66.23"/>
    <n v="0"/>
    <n v="8.6349999999999998"/>
    <n v="0"/>
    <n v="0"/>
    <n v="0"/>
    <n v="0"/>
    <n v="0"/>
    <n v="0"/>
    <n v="0"/>
    <n v="0"/>
    <n v="0"/>
    <n v="0"/>
    <n v="0"/>
    <n v="0"/>
    <n v="0"/>
    <n v="0"/>
    <n v="0"/>
    <n v="0"/>
    <n v="0"/>
    <n v="0"/>
    <n v="0"/>
    <n v="0"/>
    <n v="0"/>
    <n v="66"/>
    <n v="66"/>
    <m/>
    <n v="0"/>
    <n v="0"/>
    <n v="0"/>
    <n v="0"/>
    <n v="0"/>
    <n v="0"/>
    <n v="0"/>
    <n v="0"/>
    <n v="0"/>
    <n v="0"/>
    <n v="0"/>
    <n v="0"/>
    <n v="0"/>
    <n v="0"/>
    <n v="0"/>
    <n v="0"/>
    <n v="0"/>
    <n v="0"/>
    <n v="0"/>
    <n v="0"/>
    <n v="0"/>
    <m/>
    <m/>
    <m/>
    <m/>
    <m/>
    <m/>
    <m/>
    <m/>
    <s v="1"/>
    <s v="1"/>
    <s v="1"/>
    <s v="1"/>
    <s v="1"/>
    <m/>
    <m/>
    <m/>
    <m/>
    <m/>
    <m/>
    <m/>
    <m/>
    <m/>
    <m/>
    <m/>
    <m/>
    <m/>
    <m/>
  </r>
  <r>
    <n v="743"/>
    <d v="2025-03-18T00:00:00"/>
    <x v="0"/>
    <n v="9518610691"/>
    <n v="3"/>
    <s v="9518610691-3"/>
    <s v="Stocks"/>
    <x v="0"/>
    <m/>
    <x v="3"/>
    <x v="0"/>
    <x v="1"/>
    <m/>
    <x v="1"/>
    <m/>
    <m/>
    <s v="Jammu &amp; Kashmir"/>
    <s v="North"/>
    <s v="SRINAGAR O.A."/>
    <x v="0"/>
    <x v="75"/>
    <x v="72"/>
    <x v="184"/>
    <s v="GP COIL XXXGPH GPH3 0.350X900"/>
    <s v=""/>
    <s v=""/>
    <m/>
    <m/>
    <s v="Narrow"/>
    <x v="4"/>
    <x v="16"/>
    <s v="GPH3"/>
    <x v="6"/>
    <x v="3"/>
    <x v="0"/>
    <n v="126"/>
    <n v="0"/>
    <n v="126"/>
    <n v="126"/>
    <n v="0"/>
    <n v="9.5350000000000001"/>
    <n v="0"/>
    <n v="0"/>
    <n v="0"/>
    <n v="0"/>
    <n v="0"/>
    <n v="0"/>
    <n v="0"/>
    <n v="0"/>
    <n v="0"/>
    <n v="0"/>
    <n v="0"/>
    <n v="0"/>
    <n v="0"/>
    <n v="0"/>
    <n v="0"/>
    <n v="0"/>
    <n v="0"/>
    <n v="0"/>
    <n v="2.5649999999999999"/>
    <n v="2.5649999999999999"/>
    <n v="2.5649999999999999"/>
    <n v="126"/>
    <n v="128.565"/>
    <m/>
    <n v="43.215000000000003"/>
    <n v="0"/>
    <n v="0"/>
    <n v="0"/>
    <n v="0"/>
    <n v="0"/>
    <n v="0"/>
    <n v="43.215000000000003"/>
    <n v="43.215000000000003"/>
    <n v="0"/>
    <n v="0"/>
    <n v="0"/>
    <n v="0"/>
    <n v="0"/>
    <n v="0"/>
    <n v="0"/>
    <n v="0"/>
    <n v="0"/>
    <n v="0"/>
    <n v="0"/>
    <n v="0"/>
    <m/>
    <m/>
    <m/>
    <m/>
    <m/>
    <m/>
    <m/>
    <m/>
    <s v="1"/>
    <s v="1"/>
    <s v="1"/>
    <s v="1"/>
    <s v="1"/>
    <m/>
    <m/>
    <m/>
    <m/>
    <m/>
    <m/>
    <m/>
    <m/>
    <m/>
    <m/>
    <m/>
    <m/>
    <m/>
    <m/>
  </r>
  <r>
    <n v="743"/>
    <d v="2025-03-18T00:00:00"/>
    <x v="0"/>
    <n v="9518610691"/>
    <n v="4"/>
    <s v="9518610691-4"/>
    <s v="Stocks"/>
    <x v="0"/>
    <m/>
    <x v="3"/>
    <x v="0"/>
    <x v="1"/>
    <m/>
    <x v="1"/>
    <m/>
    <m/>
    <s v="Jammu &amp; Kashmir"/>
    <s v="North"/>
    <s v="SRINAGAR O.A."/>
    <x v="0"/>
    <x v="75"/>
    <x v="72"/>
    <x v="185"/>
    <s v="GP COIL XXXGPH GPH3 0.400X900"/>
    <s v=""/>
    <s v=""/>
    <m/>
    <m/>
    <s v="Narrow"/>
    <x v="4"/>
    <x v="16"/>
    <s v="GPH3"/>
    <x v="2"/>
    <x v="3"/>
    <x v="0"/>
    <n v="126"/>
    <n v="0"/>
    <n v="126"/>
    <n v="126"/>
    <n v="0"/>
    <n v="6.0549999999999997"/>
    <n v="0"/>
    <n v="0"/>
    <n v="0"/>
    <n v="0"/>
    <n v="0"/>
    <n v="0"/>
    <n v="0"/>
    <n v="0"/>
    <n v="0"/>
    <n v="0"/>
    <n v="0"/>
    <n v="0"/>
    <n v="0"/>
    <n v="0"/>
    <n v="0"/>
    <n v="0"/>
    <n v="0"/>
    <n v="0"/>
    <n v="0"/>
    <n v="0"/>
    <n v="0"/>
    <n v="126"/>
    <n v="126"/>
    <m/>
    <n v="59.179999999999986"/>
    <n v="0"/>
    <n v="0"/>
    <n v="0"/>
    <n v="0"/>
    <n v="0"/>
    <n v="0"/>
    <n v="59.179999999999986"/>
    <n v="59.179999999999986"/>
    <n v="0"/>
    <n v="0"/>
    <n v="0"/>
    <n v="0"/>
    <n v="0"/>
    <n v="0"/>
    <n v="0"/>
    <n v="0"/>
    <n v="0"/>
    <n v="0"/>
    <n v="0"/>
    <n v="0"/>
    <m/>
    <m/>
    <m/>
    <m/>
    <m/>
    <m/>
    <m/>
    <m/>
    <s v="1"/>
    <s v="1"/>
    <s v="1"/>
    <s v="1"/>
    <s v="1"/>
    <m/>
    <m/>
    <m/>
    <m/>
    <m/>
    <m/>
    <m/>
    <m/>
    <m/>
    <m/>
    <m/>
    <m/>
    <m/>
    <m/>
  </r>
  <r>
    <n v="743"/>
    <d v="2025-03-18T00:00:00"/>
    <x v="0"/>
    <n v="9518610691"/>
    <n v="5"/>
    <s v="9518610691-5"/>
    <s v="May'25"/>
    <x v="0"/>
    <m/>
    <x v="3"/>
    <x v="0"/>
    <x v="1"/>
    <m/>
    <x v="1"/>
    <m/>
    <m/>
    <s v="Jammu &amp; Kashmir"/>
    <s v="North"/>
    <s v="SRINAGAR O.A."/>
    <x v="0"/>
    <x v="75"/>
    <x v="72"/>
    <x v="186"/>
    <s v="GP COIL XXXGPH GPH3 0.500X900"/>
    <s v=""/>
    <s v=""/>
    <m/>
    <m/>
    <s v="Narrow"/>
    <x v="4"/>
    <x v="16"/>
    <s v="GPH3"/>
    <x v="1"/>
    <x v="3"/>
    <x v="0"/>
    <n v="126"/>
    <n v="0"/>
    <n v="126"/>
    <n v="126"/>
    <n v="0"/>
    <n v="28.67"/>
    <n v="0"/>
    <n v="0"/>
    <n v="0"/>
    <n v="0"/>
    <n v="0"/>
    <n v="0"/>
    <n v="20.03"/>
    <n v="0"/>
    <n v="0"/>
    <n v="0"/>
    <n v="0"/>
    <n v="0"/>
    <n v="0"/>
    <n v="0"/>
    <n v="0"/>
    <n v="0"/>
    <n v="0"/>
    <n v="0"/>
    <n v="0"/>
    <n v="20.03"/>
    <n v="20.03"/>
    <n v="126"/>
    <n v="146.03"/>
    <m/>
    <n v="0"/>
    <n v="28.67"/>
    <n v="28.67"/>
    <n v="0"/>
    <n v="0"/>
    <n v="0"/>
    <n v="0"/>
    <n v="28.67"/>
    <n v="0"/>
    <n v="28.67"/>
    <n v="0"/>
    <n v="0"/>
    <n v="0"/>
    <n v="0"/>
    <n v="0"/>
    <n v="0"/>
    <n v="0"/>
    <n v="0"/>
    <n v="0"/>
    <n v="0"/>
    <n v="0"/>
    <m/>
    <m/>
    <m/>
    <m/>
    <m/>
    <m/>
    <m/>
    <m/>
    <s v="0"/>
    <s v="1"/>
    <s v="1"/>
    <s v="1"/>
    <s v="1"/>
    <m/>
    <m/>
    <m/>
    <m/>
    <m/>
    <m/>
    <m/>
    <m/>
    <m/>
    <m/>
    <m/>
    <m/>
    <m/>
    <m/>
  </r>
  <r>
    <n v="742"/>
    <d v="2025-03-22T00:00:00"/>
    <x v="0"/>
    <n v="9518624222"/>
    <n v="4"/>
    <s v="9518624222-4"/>
    <s v="Apr'25 "/>
    <x v="0"/>
    <m/>
    <x v="1"/>
    <x v="1"/>
    <x v="1"/>
    <m/>
    <x v="1"/>
    <m/>
    <m/>
    <s v="Delhi"/>
    <s v="North"/>
    <s v="NEWDELHI"/>
    <x v="0"/>
    <x v="50"/>
    <x v="49"/>
    <x v="5"/>
    <s v="CRCA COIL TATXXD AU03 0.4X1250"/>
    <s v=""/>
    <s v=""/>
    <m/>
    <m/>
    <s v="Wider"/>
    <x v="1"/>
    <x v="2"/>
    <s v="AU03"/>
    <x v="2"/>
    <x v="0"/>
    <x v="0"/>
    <n v="87"/>
    <n v="0"/>
    <n v="87"/>
    <n v="73.819999999999993"/>
    <n v="87"/>
    <n v="87"/>
    <n v="0"/>
    <n v="0"/>
    <n v="0"/>
    <n v="0"/>
    <n v="0"/>
    <n v="0"/>
    <n v="0"/>
    <n v="0"/>
    <n v="0"/>
    <n v="0"/>
    <n v="0"/>
    <n v="0"/>
    <n v="0"/>
    <n v="0"/>
    <n v="0"/>
    <n v="0"/>
    <n v="0"/>
    <n v="0"/>
    <n v="0"/>
    <n v="0"/>
    <n v="0"/>
    <n v="0"/>
    <n v="0"/>
    <m/>
    <n v="0"/>
    <n v="87"/>
    <n v="0"/>
    <n v="0"/>
    <n v="0"/>
    <n v="87"/>
    <n v="0"/>
    <n v="87"/>
    <n v="0"/>
    <n v="0"/>
    <n v="0"/>
    <n v="87"/>
    <n v="0"/>
    <n v="0"/>
    <n v="0"/>
    <n v="0"/>
    <n v="0"/>
    <n v="0"/>
    <n v="0"/>
    <n v="0"/>
    <n v="0"/>
    <m/>
    <m/>
    <m/>
    <m/>
    <m/>
    <m/>
    <m/>
    <m/>
    <s v="1"/>
    <s v="1"/>
    <s v="1"/>
    <s v="0"/>
    <s v="1"/>
    <m/>
    <m/>
    <m/>
    <m/>
    <m/>
    <m/>
    <m/>
    <m/>
    <m/>
    <m/>
    <m/>
    <m/>
    <m/>
    <m/>
  </r>
  <r>
    <n v="744"/>
    <d v="2025-03-13T00:00:00"/>
    <x v="0"/>
    <n v="9518598889"/>
    <n v="2"/>
    <s v="9518598889-2"/>
    <s v="Apr'25 "/>
    <x v="0"/>
    <m/>
    <x v="2"/>
    <x v="3"/>
    <x v="3"/>
    <m/>
    <x v="1"/>
    <m/>
    <m/>
    <s v="Jharkhand"/>
    <s v="TBSPL"/>
    <s v="TBL- BARA AGRICO"/>
    <x v="0"/>
    <x v="6"/>
    <x v="39"/>
    <x v="84"/>
    <s v="PPGL C HARD Y550PL D0C9 0.50(TPT)X1220"/>
    <n v="150"/>
    <s v="RAL 7015 TSL 1805"/>
    <m/>
    <m/>
    <s v="Wider"/>
    <x v="3"/>
    <x v="3"/>
    <s v="D0C9"/>
    <x v="1"/>
    <x v="1"/>
    <x v="0"/>
    <n v="84"/>
    <n v="0"/>
    <n v="84"/>
    <n v="84"/>
    <n v="84"/>
    <n v="8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0T00:00:00"/>
    <x v="0"/>
    <n v="9518617046"/>
    <n v="1"/>
    <s v="9518617046-1"/>
    <s v="May'25"/>
    <x v="0"/>
    <m/>
    <x v="2"/>
    <x v="3"/>
    <x v="3"/>
    <m/>
    <x v="1"/>
    <m/>
    <m/>
    <s v="Jharkhand"/>
    <s v="TBSPL"/>
    <s v="TBL- BARA AGRICO"/>
    <x v="0"/>
    <x v="6"/>
    <x v="39"/>
    <x v="84"/>
    <s v="PPGL C HARD Y550PL D0C9 0.50(TPT)X1220"/>
    <n v="150"/>
    <s v="RAL 7024 TSL 1806"/>
    <m/>
    <m/>
    <s v="Wider"/>
    <x v="3"/>
    <x v="3"/>
    <s v="D0C9"/>
    <x v="1"/>
    <x v="1"/>
    <x v="0"/>
    <n v="56"/>
    <n v="0"/>
    <n v="56"/>
    <n v="56"/>
    <n v="0"/>
    <n v="13.135"/>
    <n v="0"/>
    <n v="0"/>
    <n v="0"/>
    <n v="0"/>
    <n v="0"/>
    <n v="0"/>
    <n v="0"/>
    <n v="6.3050000000000006"/>
    <n v="0"/>
    <n v="0"/>
    <n v="0"/>
    <n v="0"/>
    <n v="0"/>
    <n v="0"/>
    <n v="0"/>
    <n v="0"/>
    <n v="0"/>
    <n v="0"/>
    <n v="0"/>
    <n v="6.3050000000000006"/>
    <n v="6.3050000000000006"/>
    <n v="0"/>
    <n v="6.3050000000000006"/>
    <m/>
    <n v="0"/>
    <n v="13.135"/>
    <n v="0"/>
    <n v="0"/>
    <n v="13.135"/>
    <n v="0"/>
    <n v="0"/>
    <n v="13.135"/>
    <n v="0"/>
    <n v="0"/>
    <n v="13.135"/>
    <n v="0"/>
    <n v="0"/>
    <n v="0"/>
    <n v="0"/>
    <n v="0"/>
    <n v="0"/>
    <n v="0"/>
    <n v="0"/>
    <n v="0"/>
    <n v="0"/>
    <m/>
    <m/>
    <m/>
    <m/>
    <m/>
    <m/>
    <m/>
    <m/>
    <s v="1"/>
    <s v="1"/>
    <s v="0"/>
    <s v="1"/>
    <s v="1"/>
    <m/>
    <m/>
    <m/>
    <m/>
    <m/>
    <m/>
    <m/>
    <m/>
    <m/>
    <m/>
    <m/>
    <m/>
    <m/>
    <m/>
  </r>
  <r>
    <n v="744"/>
    <d v="2025-03-20T00:00:00"/>
    <x v="0"/>
    <n v="9518617046"/>
    <n v="2"/>
    <s v="9518617046-2"/>
    <s v="Apr'25 "/>
    <x v="0"/>
    <m/>
    <x v="2"/>
    <x v="3"/>
    <x v="3"/>
    <m/>
    <x v="1"/>
    <m/>
    <m/>
    <s v="Jharkhand"/>
    <s v="TBSPL"/>
    <s v="TBL- BARA AGRICO"/>
    <x v="0"/>
    <x v="6"/>
    <x v="39"/>
    <x v="84"/>
    <s v="PPGL C HARD Y550PL D0C9 0.50(TPT)X1220"/>
    <n v="150"/>
    <s v="RAL 6011 TSL 1810"/>
    <m/>
    <m/>
    <s v="Wider"/>
    <x v="3"/>
    <x v="3"/>
    <s v="D0C9"/>
    <x v="1"/>
    <x v="1"/>
    <x v="0"/>
    <n v="28"/>
    <n v="0"/>
    <n v="28"/>
    <n v="28"/>
    <n v="28"/>
    <n v="28"/>
    <n v="0"/>
    <n v="0"/>
    <n v="0"/>
    <n v="0"/>
    <n v="0"/>
    <n v="0"/>
    <n v="0"/>
    <n v="0"/>
    <n v="0"/>
    <n v="0"/>
    <n v="0"/>
    <n v="0"/>
    <n v="0"/>
    <n v="0"/>
    <n v="0"/>
    <n v="0"/>
    <n v="0"/>
    <n v="0"/>
    <n v="0"/>
    <n v="0"/>
    <n v="0"/>
    <n v="0"/>
    <n v="0"/>
    <m/>
    <n v="0"/>
    <n v="28"/>
    <n v="0"/>
    <n v="0"/>
    <n v="0"/>
    <n v="28"/>
    <n v="0"/>
    <n v="28"/>
    <n v="0"/>
    <n v="0"/>
    <n v="0"/>
    <n v="28"/>
    <n v="0"/>
    <n v="0"/>
    <n v="0"/>
    <n v="0"/>
    <n v="0"/>
    <n v="0"/>
    <n v="0"/>
    <n v="0"/>
    <n v="0"/>
    <m/>
    <m/>
    <m/>
    <m/>
    <m/>
    <m/>
    <m/>
    <m/>
    <s v="1"/>
    <s v="1"/>
    <s v="1"/>
    <s v="0"/>
    <s v="1"/>
    <m/>
    <m/>
    <m/>
    <m/>
    <m/>
    <m/>
    <m/>
    <m/>
    <m/>
    <m/>
    <m/>
    <m/>
    <m/>
    <m/>
  </r>
  <r>
    <n v="744"/>
    <d v="2025-03-20T00:00:00"/>
    <x v="0"/>
    <n v="9518617046"/>
    <n v="3"/>
    <s v="9518617046-3"/>
    <s v="No Priority"/>
    <x v="0"/>
    <m/>
    <x v="2"/>
    <x v="3"/>
    <x v="3"/>
    <m/>
    <x v="0"/>
    <m/>
    <m/>
    <s v="Jharkhand"/>
    <s v="TBSPL"/>
    <s v="TBL- BARA AGRICO"/>
    <x v="0"/>
    <x v="6"/>
    <x v="39"/>
    <x v="84"/>
    <s v="PPGL C HARD Y550PL D0C9 0.50(TPT)X1220"/>
    <n v="150"/>
    <s v="RAL 9002 TSL 1801"/>
    <m/>
    <m/>
    <s v="Wider"/>
    <x v="3"/>
    <x v="3"/>
    <s v="D0C9"/>
    <x v="1"/>
    <x v="1"/>
    <x v="0"/>
    <n v="168"/>
    <n v="155.405"/>
    <n v="12.595000000000001"/>
    <n v="-0.88600000000000001"/>
    <n v="0"/>
    <n v="12.595000000000001"/>
    <n v="0"/>
    <n v="0"/>
    <n v="0"/>
    <n v="0"/>
    <n v="0"/>
    <n v="0"/>
    <n v="0"/>
    <n v="0"/>
    <n v="0"/>
    <n v="0"/>
    <n v="0"/>
    <n v="0"/>
    <n v="0"/>
    <n v="0"/>
    <n v="0"/>
    <n v="0"/>
    <n v="0"/>
    <n v="0"/>
    <n v="0"/>
    <n v="0"/>
    <n v="0"/>
    <n v="0"/>
    <n v="0"/>
    <m/>
    <n v="0"/>
    <n v="0"/>
    <n v="0"/>
    <n v="0"/>
    <n v="0"/>
    <n v="0"/>
    <n v="0"/>
    <n v="0"/>
    <n v="0"/>
    <n v="0"/>
    <n v="0"/>
    <n v="0"/>
    <n v="0"/>
    <n v="0"/>
    <n v="108.00500000000001"/>
    <n v="0"/>
    <n v="0"/>
    <n v="0"/>
    <n v="0"/>
    <n v="0"/>
    <n v="108.00500000000001"/>
    <m/>
    <m/>
    <m/>
    <m/>
    <m/>
    <m/>
    <m/>
    <m/>
    <s v="1"/>
    <s v="1"/>
    <s v="1"/>
    <s v="1"/>
    <s v="1"/>
    <m/>
    <m/>
    <m/>
    <m/>
    <m/>
    <m/>
    <m/>
    <m/>
    <m/>
    <m/>
    <m/>
    <m/>
    <m/>
    <m/>
  </r>
  <r>
    <n v="744"/>
    <d v="2025-03-20T00:00:00"/>
    <x v="0"/>
    <n v="9518617046"/>
    <n v="4"/>
    <s v="9518617046-4"/>
    <s v="No Priority"/>
    <x v="0"/>
    <m/>
    <x v="2"/>
    <x v="3"/>
    <x v="3"/>
    <m/>
    <x v="0"/>
    <m/>
    <m/>
    <s v="Jharkhand"/>
    <s v="TBSPL"/>
    <s v="TBL- BARA AGRICO"/>
    <x v="0"/>
    <x v="6"/>
    <x v="39"/>
    <x v="84"/>
    <s v="PPGL C HARD Y550PL D0C9 0.50(TPT)X1220"/>
    <n v="150"/>
    <s v="RAL 7024 TSL 1806"/>
    <m/>
    <m/>
    <s v="Wider"/>
    <x v="3"/>
    <x v="3"/>
    <s v="D0C9"/>
    <x v="1"/>
    <x v="1"/>
    <x v="0"/>
    <n v="56"/>
    <n v="8.89"/>
    <n v="47.11"/>
    <n v="45.71"/>
    <n v="47.11"/>
    <n v="2.87"/>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2T00:00:00"/>
    <x v="0"/>
    <n v="9518624203"/>
    <n v="1"/>
    <s v="9518624203-1"/>
    <s v="Stocks"/>
    <x v="0"/>
    <m/>
    <x v="4"/>
    <x v="3"/>
    <x v="3"/>
    <m/>
    <x v="1"/>
    <m/>
    <m/>
    <s v="Jharkhand"/>
    <s v="TBSPL"/>
    <s v="TBL- BARA AGRICO"/>
    <x v="0"/>
    <x v="22"/>
    <x v="39"/>
    <x v="156"/>
    <s v="GL C YS550 H6GL 0.42BMT(0.47TCT)X1220"/>
    <n v="150"/>
    <s v=""/>
    <m/>
    <m/>
    <s v="Wider"/>
    <x v="5"/>
    <x v="7"/>
    <s v="H6GL"/>
    <x v="3"/>
    <x v="1"/>
    <x v="0"/>
    <n v="84"/>
    <n v="50.41"/>
    <n v="33.590000000000003"/>
    <n v="5.9649999999999999"/>
    <n v="33.590000000000003"/>
    <n v="6.1"/>
    <n v="0"/>
    <n v="0"/>
    <n v="0"/>
    <n v="0"/>
    <n v="0"/>
    <n v="0"/>
    <n v="0"/>
    <n v="0"/>
    <n v="0"/>
    <n v="0"/>
    <n v="0"/>
    <n v="0"/>
    <n v="0"/>
    <n v="0"/>
    <n v="0"/>
    <n v="0"/>
    <n v="0"/>
    <n v="0"/>
    <n v="0"/>
    <n v="0"/>
    <n v="0"/>
    <n v="0"/>
    <n v="0"/>
    <m/>
    <n v="14.204999999999998"/>
    <n v="0"/>
    <n v="0"/>
    <n v="0"/>
    <n v="0"/>
    <n v="0"/>
    <n v="0"/>
    <n v="14.204999999999998"/>
    <n v="14.204999999999998"/>
    <n v="0"/>
    <n v="0"/>
    <n v="0"/>
    <n v="0"/>
    <n v="0"/>
    <n v="27.29"/>
    <n v="0"/>
    <n v="0"/>
    <n v="0"/>
    <n v="0"/>
    <n v="0"/>
    <n v="27.29"/>
    <m/>
    <m/>
    <m/>
    <m/>
    <m/>
    <m/>
    <m/>
    <m/>
    <s v="1"/>
    <s v="1"/>
    <s v="1"/>
    <s v="1"/>
    <s v="1"/>
    <m/>
    <m/>
    <m/>
    <m/>
    <m/>
    <m/>
    <m/>
    <m/>
    <m/>
    <m/>
    <m/>
    <m/>
    <m/>
    <m/>
  </r>
  <r>
    <n v="743"/>
    <d v="2025-03-22T00:00:00"/>
    <x v="0"/>
    <n v="9518624203"/>
    <n v="3"/>
    <s v="9518624203-3"/>
    <s v="May'25"/>
    <x v="0"/>
    <m/>
    <x v="4"/>
    <x v="3"/>
    <x v="3"/>
    <m/>
    <x v="1"/>
    <m/>
    <m/>
    <s v="Jharkhand"/>
    <s v="TBSPL"/>
    <s v="TBL- BARA AGRICO"/>
    <x v="0"/>
    <x v="22"/>
    <x v="39"/>
    <x v="156"/>
    <s v="GL C YS550 H6GL 0.42BMT(0.47TCT)X1220"/>
    <n v="150"/>
    <s v=""/>
    <m/>
    <m/>
    <s v="Wider"/>
    <x v="5"/>
    <x v="7"/>
    <s v="H6GL"/>
    <x v="3"/>
    <x v="1"/>
    <x v="0"/>
    <n v="224"/>
    <n v="163.405"/>
    <n v="60.594999999999999"/>
    <n v="3.1749999999999998"/>
    <n v="32.534999999999997"/>
    <n v="29.75"/>
    <n v="0"/>
    <n v="0"/>
    <n v="0"/>
    <n v="0"/>
    <n v="0"/>
    <n v="0"/>
    <n v="0"/>
    <n v="28.060000000000002"/>
    <n v="0"/>
    <n v="0"/>
    <n v="0"/>
    <n v="0"/>
    <n v="0"/>
    <n v="0"/>
    <n v="0"/>
    <n v="0"/>
    <n v="0"/>
    <n v="0"/>
    <n v="0"/>
    <n v="28.060000000000002"/>
    <n v="28.060000000000002"/>
    <n v="0"/>
    <n v="28.060000000000002"/>
    <m/>
    <n v="23.12"/>
    <n v="29.75"/>
    <n v="0"/>
    <n v="29.75"/>
    <n v="0"/>
    <n v="0"/>
    <n v="0"/>
    <n v="52.870000000000005"/>
    <n v="0"/>
    <n v="0"/>
    <n v="52.870000000000005"/>
    <n v="0"/>
    <n v="0"/>
    <n v="0"/>
    <n v="64.415000000000006"/>
    <n v="0"/>
    <n v="29.75"/>
    <n v="0"/>
    <n v="0"/>
    <n v="0"/>
    <n v="34.665000000000006"/>
    <m/>
    <m/>
    <m/>
    <m/>
    <m/>
    <m/>
    <m/>
    <m/>
    <s v="1"/>
    <s v="1"/>
    <s v="1"/>
    <s v="1"/>
    <s v="1"/>
    <m/>
    <m/>
    <m/>
    <m/>
    <m/>
    <m/>
    <m/>
    <m/>
    <m/>
    <m/>
    <m/>
    <m/>
    <m/>
    <m/>
  </r>
  <r>
    <n v="743"/>
    <d v="2025-03-22T00:00:00"/>
    <x v="0"/>
    <n v="9518624203"/>
    <n v="4"/>
    <s v="9518624203-4"/>
    <s v="Apr'25 "/>
    <x v="0"/>
    <m/>
    <x v="4"/>
    <x v="3"/>
    <x v="3"/>
    <m/>
    <x v="1"/>
    <m/>
    <m/>
    <s v="Jharkhand"/>
    <s v="TBSPL"/>
    <s v="TBL- BARA AGRICO"/>
    <x v="0"/>
    <x v="22"/>
    <x v="39"/>
    <x v="35"/>
    <s v="GL C YS550 H6GL 0.45BMT(0.50TCT)X1220"/>
    <n v="150"/>
    <s v=""/>
    <m/>
    <m/>
    <s v="Wider"/>
    <x v="5"/>
    <x v="7"/>
    <s v="H6GL"/>
    <x v="10"/>
    <x v="1"/>
    <x v="0"/>
    <n v="224"/>
    <n v="21.66"/>
    <n v="202.34"/>
    <n v="174.33"/>
    <n v="152.66500000000002"/>
    <n v="60.524999999999999"/>
    <n v="0"/>
    <n v="0"/>
    <n v="0"/>
    <n v="0"/>
    <n v="0"/>
    <n v="0"/>
    <n v="0"/>
    <n v="18.05"/>
    <n v="0"/>
    <n v="0"/>
    <n v="0"/>
    <n v="0"/>
    <n v="0"/>
    <n v="0"/>
    <n v="0"/>
    <n v="0"/>
    <n v="0"/>
    <n v="0"/>
    <n v="31.625"/>
    <n v="49.674999999999997"/>
    <n v="49.674999999999997"/>
    <n v="0"/>
    <n v="49.674999999999997"/>
    <m/>
    <n v="113.91499999999999"/>
    <n v="60.524999999999999"/>
    <n v="60.524999999999999"/>
    <n v="0"/>
    <n v="0"/>
    <n v="0"/>
    <n v="0"/>
    <n v="174.44"/>
    <n v="0"/>
    <n v="174.44"/>
    <n v="0"/>
    <n v="0"/>
    <n v="0"/>
    <n v="0"/>
    <n v="21.66"/>
    <n v="21.66"/>
    <n v="0"/>
    <n v="0"/>
    <n v="0"/>
    <n v="0"/>
    <n v="0"/>
    <m/>
    <m/>
    <m/>
    <m/>
    <m/>
    <m/>
    <m/>
    <m/>
    <s v="0"/>
    <s v="1"/>
    <s v="1"/>
    <s v="1"/>
    <s v="1"/>
    <m/>
    <m/>
    <m/>
    <m/>
    <m/>
    <m/>
    <m/>
    <m/>
    <m/>
    <m/>
    <m/>
    <m/>
    <m/>
    <m/>
  </r>
  <r>
    <n v="743"/>
    <d v="2025-03-22T00:00:00"/>
    <x v="0"/>
    <n v="9518624203"/>
    <n v="5"/>
    <s v="9518624203-5"/>
    <s v="Apr'25 "/>
    <x v="0"/>
    <m/>
    <x v="4"/>
    <x v="3"/>
    <x v="3"/>
    <m/>
    <x v="1"/>
    <m/>
    <m/>
    <s v="Jharkhand"/>
    <s v="TBSPL"/>
    <s v="TBL- BARA AGRICO"/>
    <x v="0"/>
    <x v="22"/>
    <x v="39"/>
    <x v="35"/>
    <s v="GL C YS550 H6GL 0.45BMT(0.50TCT)X1220"/>
    <n v="150"/>
    <s v=""/>
    <m/>
    <m/>
    <s v="Wider"/>
    <x v="5"/>
    <x v="7"/>
    <s v="H6GL"/>
    <x v="10"/>
    <x v="1"/>
    <x v="0"/>
    <n v="224"/>
    <n v="0"/>
    <n v="224"/>
    <n v="224"/>
    <n v="197"/>
    <n v="224"/>
    <n v="0"/>
    <n v="0"/>
    <n v="0"/>
    <n v="0"/>
    <n v="0"/>
    <n v="0"/>
    <n v="0"/>
    <n v="11.84"/>
    <n v="0"/>
    <n v="0"/>
    <n v="0"/>
    <n v="0"/>
    <n v="0"/>
    <n v="0"/>
    <n v="0"/>
    <n v="0"/>
    <n v="0"/>
    <n v="0"/>
    <n v="15.16"/>
    <n v="27"/>
    <n v="27"/>
    <n v="0"/>
    <n v="27"/>
    <m/>
    <n v="0"/>
    <n v="224"/>
    <n v="0"/>
    <n v="224"/>
    <n v="0"/>
    <n v="0"/>
    <n v="0"/>
    <n v="224"/>
    <n v="0"/>
    <n v="0"/>
    <n v="224"/>
    <n v="0"/>
    <n v="0"/>
    <n v="0"/>
    <n v="0"/>
    <n v="0"/>
    <n v="0"/>
    <n v="0"/>
    <n v="0"/>
    <n v="0"/>
    <n v="0"/>
    <m/>
    <m/>
    <m/>
    <m/>
    <m/>
    <m/>
    <m/>
    <m/>
    <s v="1"/>
    <s v="0"/>
    <s v="1"/>
    <s v="1"/>
    <s v="1"/>
    <m/>
    <m/>
    <m/>
    <m/>
    <m/>
    <m/>
    <m/>
    <m/>
    <m/>
    <m/>
    <m/>
    <m/>
    <m/>
    <m/>
  </r>
  <r>
    <n v="743"/>
    <d v="2025-03-22T00:00:00"/>
    <x v="0"/>
    <n v="9518624203"/>
    <n v="6"/>
    <s v="9518624203-6"/>
    <s v="Apr'25 "/>
    <x v="0"/>
    <m/>
    <x v="4"/>
    <x v="3"/>
    <x v="3"/>
    <m/>
    <x v="1"/>
    <m/>
    <m/>
    <s v="Jharkhand"/>
    <s v="TBSPL"/>
    <s v="TBL- BARA AGRICO"/>
    <x v="0"/>
    <x v="22"/>
    <x v="39"/>
    <x v="156"/>
    <s v="GL C YS550 H6GL 0.42BMT(0.47TCT)X1220"/>
    <n v="150"/>
    <s v=""/>
    <m/>
    <m/>
    <s v="Wider"/>
    <x v="5"/>
    <x v="7"/>
    <s v="H6GL"/>
    <x v="3"/>
    <x v="1"/>
    <x v="0"/>
    <n v="196"/>
    <n v="0"/>
    <n v="196"/>
    <n v="196"/>
    <n v="196"/>
    <n v="196"/>
    <n v="0"/>
    <n v="0"/>
    <n v="0"/>
    <n v="0"/>
    <n v="0"/>
    <n v="0"/>
    <n v="0"/>
    <n v="0"/>
    <n v="0"/>
    <n v="0"/>
    <n v="0"/>
    <n v="0"/>
    <n v="0"/>
    <n v="0"/>
    <n v="0"/>
    <n v="0"/>
    <n v="0"/>
    <n v="0"/>
    <n v="0"/>
    <n v="0"/>
    <n v="0"/>
    <n v="0"/>
    <n v="0"/>
    <m/>
    <n v="0"/>
    <n v="196"/>
    <n v="0"/>
    <n v="0"/>
    <n v="0"/>
    <n v="196"/>
    <n v="0"/>
    <n v="196"/>
    <n v="0"/>
    <n v="0"/>
    <n v="0"/>
    <n v="196"/>
    <n v="0"/>
    <n v="0"/>
    <n v="0"/>
    <n v="0"/>
    <n v="0"/>
    <n v="0"/>
    <n v="0"/>
    <n v="0"/>
    <n v="0"/>
    <m/>
    <m/>
    <m/>
    <m/>
    <m/>
    <m/>
    <m/>
    <m/>
    <s v="1"/>
    <s v="1"/>
    <s v="1"/>
    <s v="0"/>
    <s v="1"/>
    <m/>
    <m/>
    <m/>
    <m/>
    <m/>
    <m/>
    <m/>
    <m/>
    <m/>
    <m/>
    <m/>
    <m/>
    <m/>
    <m/>
  </r>
  <r>
    <n v="743"/>
    <d v="2025-03-22T00:00:00"/>
    <x v="0"/>
    <n v="9518624203"/>
    <n v="7"/>
    <s v="9518624203-7"/>
    <s v="Apr'25 "/>
    <x v="0"/>
    <m/>
    <x v="4"/>
    <x v="3"/>
    <x v="3"/>
    <m/>
    <x v="1"/>
    <m/>
    <m/>
    <s v="Jharkhand"/>
    <s v="TBSPL"/>
    <s v="TBL- BARA AGRICO"/>
    <x v="0"/>
    <x v="22"/>
    <x v="39"/>
    <x v="35"/>
    <s v="GL C YS550 H6GL 0.45BMT(0.50TCT)X1220"/>
    <n v="150"/>
    <s v=""/>
    <m/>
    <m/>
    <s v="Wider"/>
    <x v="5"/>
    <x v="7"/>
    <s v="H6GL"/>
    <x v="10"/>
    <x v="1"/>
    <x v="0"/>
    <n v="224"/>
    <n v="0"/>
    <n v="224"/>
    <n v="224"/>
    <n v="224"/>
    <n v="224"/>
    <n v="0"/>
    <n v="0"/>
    <n v="0"/>
    <n v="0"/>
    <n v="0"/>
    <n v="0"/>
    <n v="0"/>
    <n v="0"/>
    <n v="0"/>
    <n v="0"/>
    <n v="0"/>
    <n v="0"/>
    <n v="0"/>
    <n v="0"/>
    <n v="0"/>
    <n v="0"/>
    <n v="0"/>
    <n v="0"/>
    <n v="0"/>
    <n v="0"/>
    <n v="0"/>
    <n v="0"/>
    <n v="0"/>
    <m/>
    <n v="0"/>
    <n v="224"/>
    <n v="0"/>
    <n v="224"/>
    <n v="0"/>
    <n v="0"/>
    <n v="0"/>
    <n v="224"/>
    <n v="0"/>
    <n v="0"/>
    <n v="224"/>
    <n v="0"/>
    <n v="0"/>
    <n v="0"/>
    <n v="0"/>
    <n v="0"/>
    <n v="0"/>
    <n v="0"/>
    <n v="0"/>
    <n v="0"/>
    <n v="0"/>
    <m/>
    <m/>
    <m/>
    <m/>
    <m/>
    <m/>
    <m/>
    <m/>
    <s v="1"/>
    <s v="0"/>
    <s v="1"/>
    <s v="1"/>
    <s v="1"/>
    <m/>
    <m/>
    <m/>
    <m/>
    <m/>
    <m/>
    <m/>
    <m/>
    <m/>
    <m/>
    <m/>
    <m/>
    <m/>
    <m/>
  </r>
  <r>
    <n v="743"/>
    <d v="2025-03-22T00:00:00"/>
    <x v="0"/>
    <n v="9518624203"/>
    <n v="8"/>
    <s v="9518624203-8"/>
    <s v="No Priority"/>
    <x v="0"/>
    <m/>
    <x v="4"/>
    <x v="3"/>
    <x v="3"/>
    <m/>
    <x v="0"/>
    <m/>
    <m/>
    <s v="Jharkhand"/>
    <s v="TBSPL"/>
    <s v="TBL- BARA AGRICO"/>
    <x v="0"/>
    <x v="22"/>
    <x v="39"/>
    <x v="35"/>
    <s v="GL C YS550 H6GL 0.45BMT(0.50TCT)X1220"/>
    <n v="150"/>
    <s v=""/>
    <m/>
    <m/>
    <s v="Wider"/>
    <x v="5"/>
    <x v="7"/>
    <s v="H6GL"/>
    <x v="10"/>
    <x v="1"/>
    <x v="0"/>
    <n v="224"/>
    <n v="0"/>
    <n v="224"/>
    <n v="224"/>
    <n v="224"/>
    <n v="2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2T00:00:00"/>
    <x v="0"/>
    <n v="9518624203"/>
    <n v="9"/>
    <s v="9518624203-9"/>
    <s v="Stocks"/>
    <x v="0"/>
    <m/>
    <x v="4"/>
    <x v="3"/>
    <x v="3"/>
    <m/>
    <x v="1"/>
    <m/>
    <m/>
    <s v="Jharkhand"/>
    <s v="TBSPL"/>
    <s v="TBL- BARA AGRICO"/>
    <x v="0"/>
    <x v="22"/>
    <x v="39"/>
    <x v="35"/>
    <s v="GL C YS550 H6GL 0.45BMT(0.50TCT)X1220"/>
    <n v="150"/>
    <s v=""/>
    <m/>
    <m/>
    <s v="Wider"/>
    <x v="5"/>
    <x v="7"/>
    <s v="H6GL"/>
    <x v="10"/>
    <x v="1"/>
    <x v="0"/>
    <n v="224"/>
    <n v="153.74"/>
    <n v="70.260000000000005"/>
    <n v="14.71"/>
    <n v="70.260000000000005"/>
    <n v="16.02"/>
    <n v="0"/>
    <n v="0"/>
    <n v="0"/>
    <n v="0"/>
    <n v="0"/>
    <n v="0"/>
    <n v="0"/>
    <n v="0"/>
    <n v="0"/>
    <n v="0"/>
    <n v="0"/>
    <n v="0"/>
    <n v="0"/>
    <n v="0"/>
    <n v="0"/>
    <n v="0"/>
    <n v="0"/>
    <n v="0"/>
    <n v="0"/>
    <n v="0"/>
    <n v="0"/>
    <n v="0"/>
    <n v="0"/>
    <m/>
    <n v="4.17"/>
    <n v="0"/>
    <n v="0"/>
    <n v="0"/>
    <n v="0"/>
    <n v="0"/>
    <n v="0"/>
    <n v="4.17"/>
    <n v="4.17"/>
    <n v="0"/>
    <n v="0"/>
    <n v="0"/>
    <n v="0"/>
    <n v="0"/>
    <n v="0"/>
    <n v="0"/>
    <n v="0"/>
    <n v="0"/>
    <n v="0"/>
    <n v="0"/>
    <n v="0"/>
    <m/>
    <m/>
    <m/>
    <m/>
    <m/>
    <m/>
    <m/>
    <m/>
    <s v="1"/>
    <s v="1"/>
    <s v="1"/>
    <s v="1"/>
    <s v="1"/>
    <m/>
    <m/>
    <m/>
    <m/>
    <m/>
    <m/>
    <m/>
    <m/>
    <m/>
    <m/>
    <m/>
    <m/>
    <m/>
    <m/>
  </r>
  <r>
    <n v="743"/>
    <d v="2025-03-22T00:00:00"/>
    <x v="0"/>
    <n v="9518624203"/>
    <n v="10"/>
    <s v="9518624203-10"/>
    <s v="No Priority"/>
    <x v="0"/>
    <m/>
    <x v="4"/>
    <x v="3"/>
    <x v="3"/>
    <m/>
    <x v="0"/>
    <m/>
    <m/>
    <s v="Jharkhand"/>
    <s v="TBSPL"/>
    <s v="TBL- BARA AGRICO"/>
    <x v="0"/>
    <x v="22"/>
    <x v="39"/>
    <x v="156"/>
    <s v="GL C YS550 H6GL 0.42BMT(0.47TCT)X1220"/>
    <n v="150"/>
    <s v=""/>
    <m/>
    <m/>
    <s v="Wider"/>
    <x v="5"/>
    <x v="7"/>
    <s v="H6GL"/>
    <x v="3"/>
    <x v="1"/>
    <x v="0"/>
    <n v="140"/>
    <n v="0"/>
    <n v="140"/>
    <n v="140"/>
    <n v="140"/>
    <n v="14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2T00:00:00"/>
    <x v="0"/>
    <n v="9518624203"/>
    <n v="12"/>
    <s v="9518624203-12"/>
    <s v="May'25"/>
    <x v="0"/>
    <m/>
    <x v="4"/>
    <x v="3"/>
    <x v="3"/>
    <m/>
    <x v="1"/>
    <m/>
    <m/>
    <s v="Jharkhand"/>
    <s v="TBSPL"/>
    <s v="TBL- BARA AGRICO"/>
    <x v="0"/>
    <x v="22"/>
    <x v="39"/>
    <x v="34"/>
    <s v="GL C YS550 H6GL 0.55BMT(0.60TCT)X1220"/>
    <n v="150"/>
    <s v=""/>
    <m/>
    <m/>
    <s v="Wider"/>
    <x v="5"/>
    <x v="7"/>
    <s v="H6GL"/>
    <x v="18"/>
    <x v="1"/>
    <x v="0"/>
    <n v="28"/>
    <n v="0"/>
    <n v="28"/>
    <n v="28"/>
    <n v="0"/>
    <n v="28"/>
    <n v="0"/>
    <n v="0"/>
    <n v="0"/>
    <n v="0"/>
    <n v="0"/>
    <n v="13.370000000000001"/>
    <n v="0"/>
    <n v="14.09"/>
    <n v="0"/>
    <n v="0"/>
    <n v="0"/>
    <n v="0"/>
    <n v="0"/>
    <n v="0"/>
    <n v="0"/>
    <n v="0"/>
    <n v="0"/>
    <n v="0"/>
    <n v="0"/>
    <n v="27.46"/>
    <n v="27.46"/>
    <n v="28"/>
    <n v="55.46"/>
    <m/>
    <n v="0"/>
    <n v="28"/>
    <n v="0"/>
    <n v="28"/>
    <n v="0"/>
    <n v="0"/>
    <n v="0"/>
    <n v="28"/>
    <n v="0"/>
    <n v="0"/>
    <n v="28"/>
    <n v="0"/>
    <n v="0"/>
    <n v="0"/>
    <n v="0"/>
    <n v="0"/>
    <n v="0"/>
    <n v="0"/>
    <n v="0"/>
    <n v="0"/>
    <n v="0"/>
    <m/>
    <m/>
    <m/>
    <m/>
    <m/>
    <m/>
    <m/>
    <m/>
    <s v="1"/>
    <s v="0"/>
    <s v="1"/>
    <s v="1"/>
    <s v="1"/>
    <m/>
    <m/>
    <m/>
    <m/>
    <m/>
    <m/>
    <m/>
    <m/>
    <m/>
    <m/>
    <m/>
    <m/>
    <m/>
    <m/>
  </r>
  <r>
    <n v="743"/>
    <d v="2025-03-22T00:00:00"/>
    <x v="0"/>
    <n v="9518624203"/>
    <n v="13"/>
    <s v="9518624203-13"/>
    <s v="May'25"/>
    <x v="0"/>
    <m/>
    <x v="4"/>
    <x v="3"/>
    <x v="3"/>
    <m/>
    <x v="1"/>
    <m/>
    <m/>
    <s v="Jharkhand"/>
    <s v="TBSPL"/>
    <s v="TBL- BARA AGRICO"/>
    <x v="0"/>
    <x v="22"/>
    <x v="39"/>
    <x v="35"/>
    <s v="GL C YS550 H6GL 0.45BMT(0.50TCT)X1220"/>
    <n v="150"/>
    <s v=""/>
    <m/>
    <m/>
    <s v="Wider"/>
    <x v="5"/>
    <x v="7"/>
    <s v="H6GL"/>
    <x v="10"/>
    <x v="1"/>
    <x v="0"/>
    <n v="196"/>
    <n v="0"/>
    <n v="196"/>
    <n v="196"/>
    <n v="0"/>
    <n v="82"/>
    <n v="0"/>
    <n v="0"/>
    <n v="0"/>
    <n v="0"/>
    <n v="0"/>
    <n v="0"/>
    <n v="0"/>
    <n v="19.305"/>
    <n v="0"/>
    <n v="0"/>
    <n v="0"/>
    <n v="0"/>
    <n v="0"/>
    <n v="0"/>
    <n v="0"/>
    <n v="0"/>
    <n v="0"/>
    <n v="0"/>
    <n v="18.43"/>
    <n v="37.734999999999999"/>
    <n v="37.734999999999999"/>
    <n v="168"/>
    <n v="205.73500000000001"/>
    <m/>
    <n v="81.77000000000001"/>
    <n v="82"/>
    <n v="82"/>
    <n v="0"/>
    <n v="0"/>
    <n v="0"/>
    <n v="0"/>
    <n v="163.77000000000001"/>
    <n v="0"/>
    <n v="163.77000000000001"/>
    <n v="0"/>
    <n v="0"/>
    <n v="0"/>
    <n v="0"/>
    <n v="0"/>
    <n v="0"/>
    <n v="0"/>
    <n v="0"/>
    <n v="0"/>
    <n v="0"/>
    <n v="0"/>
    <m/>
    <m/>
    <m/>
    <m/>
    <m/>
    <m/>
    <m/>
    <m/>
    <s v="0"/>
    <s v="1"/>
    <s v="1"/>
    <s v="1"/>
    <s v="1"/>
    <m/>
    <m/>
    <m/>
    <m/>
    <m/>
    <m/>
    <m/>
    <m/>
    <m/>
    <m/>
    <m/>
    <m/>
    <m/>
    <m/>
  </r>
  <r>
    <n v="742"/>
    <d v="2025-03-25T00:00:00"/>
    <x v="0"/>
    <n v="9518632737"/>
    <n v="1"/>
    <s v="9518632737-1"/>
    <s v="May'25"/>
    <x v="0"/>
    <m/>
    <x v="1"/>
    <x v="10"/>
    <x v="3"/>
    <m/>
    <x v="1"/>
    <m/>
    <m/>
    <s v="Haryana"/>
    <s v="North"/>
    <s v="FARIDABAD"/>
    <x v="0"/>
    <x v="42"/>
    <x v="41"/>
    <x v="187"/>
    <s v="CRCA COIL TATXXD BT02 0.900X913"/>
    <m/>
    <m/>
    <m/>
    <m/>
    <s v="Narrow"/>
    <x v="1"/>
    <x v="2"/>
    <s v="BT02"/>
    <x v="13"/>
    <x v="8"/>
    <x v="0"/>
    <n v="63"/>
    <n v="0"/>
    <n v="63"/>
    <n v="63"/>
    <n v="42.69"/>
    <n v="63"/>
    <n v="0"/>
    <n v="0"/>
    <n v="0"/>
    <n v="20.309999999999999"/>
    <n v="0"/>
    <n v="0"/>
    <n v="0"/>
    <n v="0"/>
    <n v="0"/>
    <n v="0"/>
    <n v="0"/>
    <n v="0"/>
    <n v="0"/>
    <n v="0"/>
    <n v="0"/>
    <n v="0"/>
    <n v="0"/>
    <n v="0"/>
    <n v="0"/>
    <n v="20.309999999999999"/>
    <n v="20.309999999999999"/>
    <n v="0"/>
    <n v="20.309999999999999"/>
    <m/>
    <n v="0"/>
    <n v="63"/>
    <n v="0"/>
    <n v="63"/>
    <n v="0"/>
    <n v="0"/>
    <n v="0"/>
    <n v="63"/>
    <n v="0"/>
    <n v="0"/>
    <n v="63"/>
    <n v="0"/>
    <n v="0"/>
    <n v="0"/>
    <n v="0"/>
    <n v="0"/>
    <n v="0"/>
    <n v="0"/>
    <n v="0"/>
    <n v="0"/>
    <n v="0"/>
    <m/>
    <m/>
    <m/>
    <m/>
    <m/>
    <m/>
    <m/>
    <m/>
    <s v="1"/>
    <s v="0"/>
    <s v="1"/>
    <s v="1"/>
    <s v="1"/>
    <m/>
    <m/>
    <m/>
    <m/>
    <m/>
    <m/>
    <m/>
    <m/>
    <m/>
    <m/>
    <m/>
    <m/>
    <m/>
    <m/>
  </r>
  <r>
    <n v="742"/>
    <d v="2025-03-25T00:00:00"/>
    <x v="0"/>
    <n v="9518632737"/>
    <n v="2"/>
    <s v="9518632737-2"/>
    <s v="May'25"/>
    <x v="0"/>
    <m/>
    <x v="1"/>
    <x v="10"/>
    <x v="3"/>
    <m/>
    <x v="1"/>
    <m/>
    <m/>
    <s v="Haryana"/>
    <s v="North"/>
    <s v="FARIDABAD"/>
    <x v="0"/>
    <x v="42"/>
    <x v="41"/>
    <x v="52"/>
    <s v="CRCA COIL TATXXD BT02 0.970X913"/>
    <m/>
    <m/>
    <m/>
    <m/>
    <s v="Narrow"/>
    <x v="1"/>
    <x v="2"/>
    <s v="BT02"/>
    <x v="24"/>
    <x v="8"/>
    <x v="0"/>
    <n v="63"/>
    <n v="0"/>
    <n v="63"/>
    <n v="63"/>
    <n v="21.450000000000003"/>
    <n v="63"/>
    <n v="0"/>
    <n v="0"/>
    <n v="20.78"/>
    <n v="20.77"/>
    <n v="0"/>
    <n v="0"/>
    <n v="0"/>
    <n v="0"/>
    <n v="0"/>
    <n v="0"/>
    <n v="0"/>
    <n v="0"/>
    <n v="0"/>
    <n v="0"/>
    <n v="0"/>
    <n v="0"/>
    <n v="0"/>
    <n v="0"/>
    <n v="0"/>
    <n v="41.55"/>
    <n v="41.55"/>
    <n v="0"/>
    <n v="41.55"/>
    <m/>
    <n v="0"/>
    <n v="63"/>
    <n v="0"/>
    <n v="63"/>
    <n v="0"/>
    <n v="0"/>
    <n v="0"/>
    <n v="63"/>
    <n v="0"/>
    <n v="0"/>
    <n v="63"/>
    <n v="0"/>
    <n v="0"/>
    <n v="0"/>
    <n v="0"/>
    <n v="0"/>
    <n v="0"/>
    <n v="0"/>
    <n v="0"/>
    <n v="0"/>
    <n v="0"/>
    <m/>
    <m/>
    <m/>
    <m/>
    <m/>
    <m/>
    <m/>
    <m/>
    <s v="1"/>
    <s v="0"/>
    <s v="1"/>
    <s v="1"/>
    <s v="1"/>
    <m/>
    <m/>
    <m/>
    <m/>
    <m/>
    <m/>
    <m/>
    <m/>
    <m/>
    <m/>
    <m/>
    <m/>
    <m/>
    <m/>
  </r>
  <r>
    <n v="743"/>
    <d v="2025-03-22T00:00:00"/>
    <x v="0"/>
    <n v="9518623643"/>
    <n v="8"/>
    <s v="9518623643-8"/>
    <s v="No Priority"/>
    <x v="0"/>
    <m/>
    <x v="3"/>
    <x v="14"/>
    <x v="0"/>
    <m/>
    <x v="0"/>
    <m/>
    <m/>
    <s v="Assam"/>
    <s v="East"/>
    <s v="GUWAHATI"/>
    <x v="0"/>
    <x v="25"/>
    <x v="24"/>
    <x v="188"/>
    <s v="GP COIL SOFT-TATXGP-GLK1-0.55X1220"/>
    <s v="Z80"/>
    <s v=""/>
    <n v="8"/>
    <n v="24"/>
    <s v="Wider"/>
    <x v="7"/>
    <x v="5"/>
    <s v="GLK1"/>
    <x v="18"/>
    <x v="1"/>
    <x v="0"/>
    <n v="28"/>
    <n v="20.84"/>
    <n v="7.16"/>
    <n v="2.17"/>
    <n v="0"/>
    <n v="7.16"/>
    <n v="0"/>
    <n v="0"/>
    <n v="0"/>
    <n v="0"/>
    <n v="0"/>
    <n v="0"/>
    <n v="0"/>
    <n v="0"/>
    <n v="0"/>
    <n v="0"/>
    <n v="0"/>
    <n v="0"/>
    <n v="0"/>
    <n v="0"/>
    <n v="0"/>
    <n v="0"/>
    <n v="0"/>
    <n v="0"/>
    <n v="0"/>
    <n v="0"/>
    <n v="0"/>
    <n v="0"/>
    <n v="0"/>
    <m/>
    <n v="0"/>
    <n v="0"/>
    <n v="0"/>
    <n v="0"/>
    <n v="0"/>
    <n v="0"/>
    <n v="0"/>
    <n v="0"/>
    <n v="0"/>
    <n v="0"/>
    <n v="0"/>
    <n v="0"/>
    <n v="0"/>
    <n v="0"/>
    <n v="20.840000000000003"/>
    <n v="0"/>
    <n v="0"/>
    <n v="0"/>
    <n v="0"/>
    <n v="0"/>
    <n v="20.840000000000003"/>
    <m/>
    <m/>
    <m/>
    <m/>
    <m/>
    <m/>
    <m/>
    <m/>
    <s v="1"/>
    <s v="1"/>
    <s v="1"/>
    <s v="1"/>
    <s v="1"/>
    <m/>
    <m/>
    <m/>
    <m/>
    <m/>
    <m/>
    <m/>
    <m/>
    <m/>
    <m/>
    <m/>
    <m/>
    <m/>
    <m/>
  </r>
  <r>
    <n v="742"/>
    <d v="2025-03-21T00:00:00"/>
    <x v="0"/>
    <n v="9518620375"/>
    <n v="1"/>
    <s v="9518620375-1"/>
    <s v="No Priority"/>
    <x v="0"/>
    <m/>
    <x v="1"/>
    <x v="15"/>
    <x v="4"/>
    <m/>
    <x v="0"/>
    <m/>
    <m/>
    <s v="Karnataka"/>
    <s v="South"/>
    <s v="BIDADI"/>
    <x v="0"/>
    <x v="76"/>
    <x v="38"/>
    <x v="126"/>
    <s v="CRCA COIL TATXXD AH03 0.800X1250"/>
    <m/>
    <m/>
    <m/>
    <m/>
    <s v="Wider"/>
    <x v="1"/>
    <x v="2"/>
    <s v="AH03"/>
    <x v="5"/>
    <x v="0"/>
    <x v="0"/>
    <n v="261"/>
    <n v="211.12"/>
    <n v="49.88"/>
    <n v="-8.1999999999999993"/>
    <n v="0"/>
    <n v="1.38"/>
    <n v="0"/>
    <n v="0"/>
    <n v="0"/>
    <n v="0"/>
    <n v="0"/>
    <n v="0"/>
    <n v="0"/>
    <n v="0"/>
    <n v="0"/>
    <n v="0"/>
    <n v="0"/>
    <n v="0"/>
    <n v="0"/>
    <n v="0"/>
    <n v="0"/>
    <n v="0"/>
    <n v="0"/>
    <n v="0"/>
    <n v="0"/>
    <n v="0"/>
    <n v="0"/>
    <n v="0"/>
    <n v="0"/>
    <m/>
    <n v="0"/>
    <n v="0"/>
    <n v="0"/>
    <n v="0"/>
    <n v="0"/>
    <n v="0"/>
    <n v="0"/>
    <n v="0"/>
    <n v="0"/>
    <n v="0"/>
    <n v="0"/>
    <n v="0"/>
    <n v="0"/>
    <n v="0"/>
    <n v="158.91999999999996"/>
    <n v="0"/>
    <n v="0"/>
    <n v="0"/>
    <n v="0"/>
    <n v="0"/>
    <n v="158.91999999999996"/>
    <m/>
    <m/>
    <m/>
    <m/>
    <m/>
    <m/>
    <m/>
    <m/>
    <s v="1"/>
    <s v="1"/>
    <s v="1"/>
    <s v="1"/>
    <s v="1"/>
    <m/>
    <m/>
    <m/>
    <m/>
    <m/>
    <m/>
    <m/>
    <m/>
    <m/>
    <m/>
    <m/>
    <m/>
    <m/>
    <m/>
  </r>
  <r>
    <n v="742"/>
    <d v="2025-03-21T00:00:00"/>
    <x v="0"/>
    <n v="9518620375"/>
    <n v="2"/>
    <s v="9518620375-2"/>
    <s v="Apr'25 "/>
    <x v="0"/>
    <m/>
    <x v="1"/>
    <x v="15"/>
    <x v="4"/>
    <n v="1000"/>
    <x v="1"/>
    <m/>
    <m/>
    <s v="Karnataka"/>
    <s v="South"/>
    <s v="BIDADI"/>
    <x v="0"/>
    <x v="76"/>
    <x v="38"/>
    <x v="189"/>
    <s v="CRCA COIL TATXXD AH03 1X1250"/>
    <m/>
    <m/>
    <m/>
    <m/>
    <s v="Wider"/>
    <x v="1"/>
    <x v="2"/>
    <s v="AH03"/>
    <x v="17"/>
    <x v="0"/>
    <x v="0"/>
    <n v="261"/>
    <n v="20.76"/>
    <n v="240.24"/>
    <n v="240.24"/>
    <n v="240.24"/>
    <n v="240.24"/>
    <n v="0"/>
    <n v="0"/>
    <n v="0"/>
    <n v="0"/>
    <n v="0"/>
    <n v="0"/>
    <n v="0"/>
    <n v="0"/>
    <n v="0"/>
    <n v="0"/>
    <n v="0"/>
    <n v="0"/>
    <n v="0"/>
    <n v="0"/>
    <n v="0"/>
    <n v="0"/>
    <n v="0"/>
    <n v="0"/>
    <n v="0"/>
    <n v="0"/>
    <n v="0"/>
    <n v="0"/>
    <n v="0"/>
    <m/>
    <n v="0"/>
    <n v="240.24"/>
    <n v="0"/>
    <n v="0"/>
    <n v="0"/>
    <n v="0"/>
    <n v="240.24"/>
    <n v="240.24"/>
    <n v="0"/>
    <n v="0"/>
    <n v="0"/>
    <n v="0"/>
    <n v="240.24"/>
    <n v="0"/>
    <n v="20.76"/>
    <n v="0"/>
    <n v="0"/>
    <n v="0"/>
    <n v="0"/>
    <n v="20.76"/>
    <n v="0"/>
    <m/>
    <m/>
    <m/>
    <m/>
    <m/>
    <m/>
    <m/>
    <m/>
    <s v="1"/>
    <s v="1"/>
    <s v="1"/>
    <s v="1"/>
    <s v="0"/>
    <m/>
    <m/>
    <m/>
    <m/>
    <m/>
    <m/>
    <m/>
    <m/>
    <m/>
    <m/>
    <m/>
    <m/>
    <m/>
    <m/>
  </r>
  <r>
    <n v="742"/>
    <d v="2025-03-21T00:00:00"/>
    <x v="0"/>
    <n v="9518620375"/>
    <n v="4"/>
    <s v="9518620375-4"/>
    <s v="No Priority"/>
    <x v="0"/>
    <m/>
    <x v="1"/>
    <x v="15"/>
    <x v="4"/>
    <m/>
    <x v="0"/>
    <m/>
    <m/>
    <s v="Karnataka"/>
    <s v="South"/>
    <s v="BIDADI"/>
    <x v="0"/>
    <x v="76"/>
    <x v="38"/>
    <x v="190"/>
    <s v="CRCA COIL TATXXD AH03 1.500X1250"/>
    <m/>
    <m/>
    <m/>
    <m/>
    <s v="Wider"/>
    <x v="1"/>
    <x v="2"/>
    <s v="AH03"/>
    <x v="27"/>
    <x v="0"/>
    <x v="0"/>
    <n v="145"/>
    <n v="42.034999999999997"/>
    <n v="102.965"/>
    <n v="-7.1550000000000002"/>
    <n v="0"/>
    <n v="23.585000000000001"/>
    <n v="0"/>
    <n v="0"/>
    <n v="0"/>
    <n v="0"/>
    <n v="0"/>
    <n v="0"/>
    <n v="0"/>
    <n v="0"/>
    <n v="0"/>
    <n v="0"/>
    <n v="0"/>
    <n v="0"/>
    <n v="0"/>
    <n v="0"/>
    <n v="0"/>
    <n v="0"/>
    <n v="0"/>
    <n v="0"/>
    <n v="0"/>
    <n v="0"/>
    <n v="0"/>
    <n v="0"/>
    <n v="0"/>
    <m/>
    <n v="0"/>
    <n v="0"/>
    <n v="0"/>
    <n v="0"/>
    <n v="0"/>
    <n v="0"/>
    <n v="0"/>
    <n v="0"/>
    <n v="0"/>
    <n v="0"/>
    <n v="0"/>
    <n v="0"/>
    <n v="0"/>
    <n v="0"/>
    <n v="15.465"/>
    <n v="0"/>
    <n v="0"/>
    <n v="0"/>
    <n v="0"/>
    <n v="0"/>
    <n v="15.465"/>
    <m/>
    <m/>
    <m/>
    <m/>
    <m/>
    <m/>
    <m/>
    <m/>
    <s v="1"/>
    <s v="1"/>
    <s v="1"/>
    <s v="1"/>
    <s v="1"/>
    <m/>
    <m/>
    <m/>
    <m/>
    <m/>
    <m/>
    <m/>
    <m/>
    <m/>
    <m/>
    <m/>
    <m/>
    <m/>
    <m/>
  </r>
  <r>
    <n v="742"/>
    <d v="2025-01-07T00:00:00"/>
    <x v="0"/>
    <n v="9518410921"/>
    <n v="1"/>
    <s v="9518410921-1"/>
    <s v="No Priority"/>
    <x v="0"/>
    <m/>
    <x v="1"/>
    <x v="2"/>
    <x v="1"/>
    <m/>
    <x v="0"/>
    <m/>
    <m/>
    <s v="West Bengal"/>
    <s v="East"/>
    <s v="SILIGURI TOWN"/>
    <x v="1"/>
    <x v="66"/>
    <x v="24"/>
    <x v="136"/>
    <s v="CRCA SHEET TATCRC SR16 0.450X1250X2500"/>
    <m/>
    <m/>
    <m/>
    <m/>
    <s v="Wider"/>
    <x v="2"/>
    <x v="1"/>
    <s v="SR16"/>
    <x v="10"/>
    <x v="0"/>
    <x v="3"/>
    <n v="36"/>
    <n v="35.770000000000003"/>
    <n v="0.23"/>
    <n v="-5.1449999999999996"/>
    <n v="0"/>
    <n v="0"/>
    <n v="0"/>
    <n v="0"/>
    <n v="0"/>
    <n v="0"/>
    <n v="0"/>
    <n v="0"/>
    <n v="0"/>
    <n v="0"/>
    <n v="0"/>
    <n v="0"/>
    <n v="0"/>
    <n v="0"/>
    <n v="0"/>
    <n v="0"/>
    <n v="0"/>
    <n v="0"/>
    <n v="0"/>
    <n v="0"/>
    <n v="0"/>
    <n v="0"/>
    <n v="0"/>
    <n v="0"/>
    <n v="0"/>
    <m/>
    <n v="0"/>
    <n v="0"/>
    <n v="0"/>
    <n v="0"/>
    <n v="0"/>
    <n v="0"/>
    <n v="0"/>
    <n v="0"/>
    <n v="0"/>
    <n v="0"/>
    <n v="0"/>
    <n v="0"/>
    <n v="0"/>
    <n v="0"/>
    <n v="35.770000000000003"/>
    <n v="0"/>
    <n v="0"/>
    <n v="0"/>
    <n v="0"/>
    <n v="0"/>
    <n v="35.770000000000003"/>
    <m/>
    <m/>
    <m/>
    <m/>
    <m/>
    <m/>
    <m/>
    <m/>
    <s v="1"/>
    <s v="1"/>
    <s v="1"/>
    <s v="1"/>
    <s v="1"/>
    <m/>
    <m/>
    <m/>
    <m/>
    <m/>
    <m/>
    <m/>
    <m/>
    <m/>
    <m/>
    <m/>
    <m/>
    <m/>
    <m/>
  </r>
  <r>
    <n v="742"/>
    <d v="2025-03-03T00:00:00"/>
    <x v="0"/>
    <n v="9518569795"/>
    <n v="19"/>
    <s v="9518569795-19"/>
    <s v="No Priority"/>
    <x v="0"/>
    <m/>
    <x v="1"/>
    <x v="2"/>
    <x v="1"/>
    <m/>
    <x v="0"/>
    <m/>
    <m/>
    <s v="West Bengal"/>
    <s v="East"/>
    <s v="SILIGURI TOWN"/>
    <x v="1"/>
    <x v="66"/>
    <x v="24"/>
    <x v="191"/>
    <s v="CRCA SHEET TATCRC SR16 0.400X1120X2000"/>
    <m/>
    <m/>
    <m/>
    <m/>
    <s v="Narrow"/>
    <x v="2"/>
    <x v="1"/>
    <s v="SR16"/>
    <x v="2"/>
    <x v="21"/>
    <x v="1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3T00:00:00"/>
    <x v="0"/>
    <n v="9518569795"/>
    <n v="20"/>
    <s v="9518569795-20"/>
    <s v="Apr'25 "/>
    <x v="0"/>
    <m/>
    <x v="1"/>
    <x v="2"/>
    <x v="1"/>
    <m/>
    <x v="1"/>
    <m/>
    <m/>
    <s v="West Bengal"/>
    <s v="East"/>
    <s v="SILIGURI TOWN"/>
    <x v="1"/>
    <x v="66"/>
    <x v="24"/>
    <x v="16"/>
    <s v="CRCA SHEET TATCRC SR16 0.400X1000X2500"/>
    <m/>
    <m/>
    <m/>
    <m/>
    <s v="Narrow"/>
    <x v="2"/>
    <x v="1"/>
    <s v="SR16"/>
    <x v="2"/>
    <x v="2"/>
    <x v="3"/>
    <n v="24"/>
    <n v="0"/>
    <n v="24"/>
    <n v="24"/>
    <n v="24"/>
    <n v="24"/>
    <n v="0"/>
    <n v="0"/>
    <n v="0"/>
    <n v="0"/>
    <n v="0"/>
    <n v="0"/>
    <n v="0"/>
    <n v="0"/>
    <n v="0"/>
    <n v="0"/>
    <n v="0"/>
    <n v="0"/>
    <n v="0"/>
    <n v="0"/>
    <n v="0"/>
    <n v="0"/>
    <n v="0"/>
    <n v="0"/>
    <n v="0"/>
    <n v="0"/>
    <n v="0"/>
    <n v="0"/>
    <n v="0"/>
    <m/>
    <n v="0"/>
    <n v="24"/>
    <n v="0"/>
    <n v="0"/>
    <n v="0"/>
    <n v="24"/>
    <n v="0"/>
    <n v="24"/>
    <n v="0"/>
    <n v="0"/>
    <n v="0"/>
    <n v="24"/>
    <n v="0"/>
    <n v="0"/>
    <n v="0"/>
    <n v="0"/>
    <n v="0"/>
    <n v="0"/>
    <n v="0"/>
    <n v="0"/>
    <n v="0"/>
    <m/>
    <m/>
    <m/>
    <m/>
    <m/>
    <m/>
    <m/>
    <m/>
    <s v="1"/>
    <s v="1"/>
    <s v="1"/>
    <s v="0"/>
    <s v="1"/>
    <m/>
    <m/>
    <m/>
    <m/>
    <m/>
    <m/>
    <m/>
    <m/>
    <m/>
    <m/>
    <m/>
    <m/>
    <m/>
    <m/>
  </r>
  <r>
    <n v="744"/>
    <d v="2025-03-26T00:00:00"/>
    <x v="0"/>
    <n v="9518636039"/>
    <n v="1"/>
    <s v="9518636039-1"/>
    <s v="May'25"/>
    <x v="0"/>
    <m/>
    <x v="2"/>
    <x v="3"/>
    <x v="2"/>
    <m/>
    <x v="1"/>
    <m/>
    <m/>
    <s v="Jharkhand"/>
    <s v="TBSPL"/>
    <s v="GAMHARIA"/>
    <x v="0"/>
    <x v="15"/>
    <x v="15"/>
    <x v="78"/>
    <s v="PPGL C Y550 ISC6 0.40BMT(0.45TPT)X1220"/>
    <m/>
    <m/>
    <m/>
    <m/>
    <s v="Wider"/>
    <x v="3"/>
    <x v="3"/>
    <s v="ISC6"/>
    <x v="2"/>
    <x v="1"/>
    <x v="0"/>
    <n v="134"/>
    <n v="71.564999999999998"/>
    <n v="62.435000000000002"/>
    <n v="-5.5549999999999997"/>
    <n v="0"/>
    <n v="62.435000000000002"/>
    <n v="0"/>
    <n v="0"/>
    <n v="0"/>
    <n v="0"/>
    <n v="0"/>
    <n v="0"/>
    <n v="0"/>
    <n v="0"/>
    <n v="0"/>
    <n v="0"/>
    <n v="0"/>
    <n v="0"/>
    <n v="0"/>
    <n v="0"/>
    <n v="0"/>
    <n v="0"/>
    <n v="0"/>
    <n v="0"/>
    <n v="0"/>
    <n v="0"/>
    <n v="0"/>
    <n v="0"/>
    <n v="0"/>
    <m/>
    <n v="0"/>
    <n v="62.435000000000002"/>
    <n v="0"/>
    <n v="0"/>
    <n v="62.435000000000002"/>
    <n v="0"/>
    <n v="0"/>
    <n v="62.435000000000002"/>
    <n v="0"/>
    <n v="0"/>
    <n v="62.435000000000002"/>
    <n v="0"/>
    <n v="0"/>
    <n v="0"/>
    <n v="0"/>
    <n v="0"/>
    <n v="0"/>
    <n v="0"/>
    <n v="0"/>
    <n v="0"/>
    <n v="0"/>
    <m/>
    <m/>
    <m/>
    <m/>
    <m/>
    <m/>
    <m/>
    <m/>
    <s v="1"/>
    <s v="1"/>
    <s v="0"/>
    <s v="1"/>
    <s v="1"/>
    <m/>
    <m/>
    <m/>
    <m/>
    <m/>
    <m/>
    <m/>
    <m/>
    <m/>
    <m/>
    <m/>
    <m/>
    <m/>
    <m/>
  </r>
  <r>
    <n v="744"/>
    <d v="2025-03-26T00:00:00"/>
    <x v="0"/>
    <n v="9518636039"/>
    <n v="2"/>
    <s v="9518636039-2"/>
    <s v="Stocks"/>
    <x v="0"/>
    <m/>
    <x v="2"/>
    <x v="3"/>
    <x v="2"/>
    <m/>
    <x v="1"/>
    <m/>
    <m/>
    <s v="Jharkhand"/>
    <s v="TBSPL"/>
    <s v="GAMHARIA"/>
    <x v="0"/>
    <x v="15"/>
    <x v="15"/>
    <x v="78"/>
    <s v="PPGL C Y550 ISC6 0.40BMT(0.45TPT)X1220"/>
    <m/>
    <m/>
    <m/>
    <m/>
    <s v="Wider"/>
    <x v="3"/>
    <x v="3"/>
    <s v="ISC6"/>
    <x v="2"/>
    <x v="1"/>
    <x v="0"/>
    <n v="168"/>
    <n v="109.99"/>
    <n v="58.01"/>
    <n v="-3.92"/>
    <n v="0"/>
    <n v="12.895"/>
    <n v="0"/>
    <n v="0"/>
    <n v="0"/>
    <n v="0"/>
    <n v="0"/>
    <n v="0"/>
    <n v="0"/>
    <n v="3.395"/>
    <n v="0"/>
    <n v="0"/>
    <n v="0"/>
    <n v="0"/>
    <n v="0"/>
    <n v="0"/>
    <n v="0"/>
    <n v="0"/>
    <n v="0"/>
    <n v="0"/>
    <n v="4.0049999999999999"/>
    <n v="7.4"/>
    <n v="7.4"/>
    <n v="0"/>
    <n v="7.4"/>
    <m/>
    <n v="4.915"/>
    <n v="12.895"/>
    <n v="0"/>
    <n v="12.895"/>
    <n v="0"/>
    <n v="0"/>
    <n v="0"/>
    <n v="17.809999999999999"/>
    <n v="0"/>
    <n v="0"/>
    <n v="17.809999999999999"/>
    <n v="0"/>
    <n v="0"/>
    <n v="0"/>
    <n v="97.18"/>
    <n v="0"/>
    <n v="12.895"/>
    <n v="0"/>
    <n v="0"/>
    <n v="0"/>
    <n v="84.285000000000011"/>
    <m/>
    <m/>
    <m/>
    <m/>
    <m/>
    <m/>
    <m/>
    <m/>
    <s v="1"/>
    <s v="1"/>
    <s v="1"/>
    <s v="1"/>
    <s v="1"/>
    <m/>
    <m/>
    <m/>
    <m/>
    <m/>
    <m/>
    <m/>
    <m/>
    <m/>
    <m/>
    <m/>
    <m/>
    <m/>
    <m/>
  </r>
  <r>
    <n v="744"/>
    <d v="2025-03-26T00:00:00"/>
    <x v="0"/>
    <n v="9518636039"/>
    <n v="3"/>
    <s v="9518636039-3"/>
    <s v="Apr'25 additional"/>
    <x v="0"/>
    <m/>
    <x v="2"/>
    <x v="3"/>
    <x v="2"/>
    <m/>
    <x v="1"/>
    <m/>
    <m/>
    <s v="Jharkhand"/>
    <s v="TBSPL"/>
    <s v="GAMHARIA"/>
    <x v="0"/>
    <x v="15"/>
    <x v="15"/>
    <x v="23"/>
    <s v="PPGL C Y550 ISC6 0.30BMT(0.35TPT)X1220"/>
    <m/>
    <m/>
    <m/>
    <m/>
    <s v="Wider"/>
    <x v="3"/>
    <x v="3"/>
    <s v="ISC6"/>
    <x v="11"/>
    <x v="1"/>
    <x v="0"/>
    <n v="56"/>
    <n v="4.5949999999999998"/>
    <n v="51.405000000000001"/>
    <n v="31.375"/>
    <n v="31.375"/>
    <n v="51.405000000000001"/>
    <n v="0"/>
    <n v="0"/>
    <n v="0"/>
    <n v="0"/>
    <n v="0"/>
    <n v="8.2200000000000006"/>
    <n v="0"/>
    <n v="11.81"/>
    <n v="0"/>
    <n v="0"/>
    <n v="0"/>
    <n v="0"/>
    <n v="0"/>
    <n v="0"/>
    <n v="0"/>
    <n v="0"/>
    <n v="0"/>
    <n v="0"/>
    <n v="0"/>
    <n v="20.03"/>
    <n v="20.03"/>
    <n v="0"/>
    <n v="20.03"/>
    <m/>
    <n v="0"/>
    <n v="51.405000000000001"/>
    <n v="0"/>
    <n v="51.405000000000001"/>
    <n v="0"/>
    <n v="0"/>
    <n v="0"/>
    <n v="51.405000000000001"/>
    <n v="0"/>
    <n v="51.405000000000001"/>
    <n v="0"/>
    <n v="0"/>
    <n v="0"/>
    <n v="0"/>
    <n v="0"/>
    <n v="0"/>
    <n v="0"/>
    <n v="0"/>
    <n v="0"/>
    <n v="0"/>
    <n v="0"/>
    <m/>
    <m/>
    <m/>
    <m/>
    <m/>
    <m/>
    <m/>
    <m/>
    <s v="1"/>
    <s v="0"/>
    <s v="1"/>
    <s v="1"/>
    <s v="1"/>
    <m/>
    <m/>
    <m/>
    <m/>
    <m/>
    <m/>
    <m/>
    <m/>
    <m/>
    <m/>
    <m/>
    <m/>
    <m/>
    <m/>
  </r>
  <r>
    <n v="744"/>
    <d v="2025-03-26T00:00:00"/>
    <x v="0"/>
    <n v="9518635916"/>
    <n v="1"/>
    <s v="9518635916-1"/>
    <s v="No Priority"/>
    <x v="0"/>
    <m/>
    <x v="2"/>
    <x v="3"/>
    <x v="2"/>
    <m/>
    <x v="0"/>
    <m/>
    <m/>
    <s v="Jharkhand"/>
    <s v="TBSPL"/>
    <s v="GAMHARIA"/>
    <x v="0"/>
    <x v="15"/>
    <x v="15"/>
    <x v="192"/>
    <s v="PPGL C Y550 D0C7 0.43BMT(0.47TPT)X1220"/>
    <m/>
    <m/>
    <m/>
    <m/>
    <s v="Wider"/>
    <x v="3"/>
    <x v="3"/>
    <s v="D0C7"/>
    <x v="25"/>
    <x v="1"/>
    <x v="0"/>
    <n v="280"/>
    <n v="228.78"/>
    <n v="51.22"/>
    <n v="39.145000000000003"/>
    <n v="51.22"/>
    <n v="0.75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0T00:00:00"/>
    <x v="0"/>
    <n v="9518617583"/>
    <n v="1"/>
    <s v="9518617583-1"/>
    <s v="Apr'25 additional"/>
    <x v="0"/>
    <m/>
    <x v="1"/>
    <x v="7"/>
    <x v="2"/>
    <m/>
    <x v="1"/>
    <m/>
    <m/>
    <s v="Gujarat"/>
    <s v="West"/>
    <s v="RAJKOT"/>
    <x v="0"/>
    <x v="48"/>
    <x v="47"/>
    <x v="93"/>
    <s v="CRCA COIL TSBSTA EL06 0.500X1160"/>
    <m/>
    <m/>
    <m/>
    <m/>
    <s v="Narrow"/>
    <x v="1"/>
    <x v="9"/>
    <s v="EL06"/>
    <x v="1"/>
    <x v="13"/>
    <x v="0"/>
    <n v="297"/>
    <n v="0"/>
    <n v="297"/>
    <n v="297"/>
    <n v="4.6100000000000136"/>
    <n v="297"/>
    <n v="0"/>
    <n v="0"/>
    <n v="0"/>
    <n v="27.14"/>
    <n v="0"/>
    <n v="0"/>
    <n v="0"/>
    <n v="0"/>
    <n v="0"/>
    <n v="0"/>
    <n v="0"/>
    <n v="26.51"/>
    <n v="238.74"/>
    <n v="0"/>
    <n v="0"/>
    <n v="0"/>
    <n v="0"/>
    <n v="0"/>
    <n v="0"/>
    <n v="292.39"/>
    <n v="292.39"/>
    <n v="0"/>
    <n v="292.39"/>
    <m/>
    <n v="0"/>
    <n v="297"/>
    <n v="0"/>
    <n v="297"/>
    <n v="0"/>
    <n v="0"/>
    <n v="0"/>
    <n v="297"/>
    <n v="0"/>
    <n v="297"/>
    <n v="0"/>
    <n v="0"/>
    <n v="0"/>
    <n v="0"/>
    <n v="0"/>
    <n v="0"/>
    <n v="0"/>
    <n v="0"/>
    <n v="0"/>
    <n v="0"/>
    <n v="0"/>
    <m/>
    <m/>
    <m/>
    <m/>
    <m/>
    <m/>
    <m/>
    <m/>
    <s v="1"/>
    <s v="0"/>
    <s v="1"/>
    <s v="1"/>
    <s v="1"/>
    <m/>
    <m/>
    <m/>
    <m/>
    <m/>
    <m/>
    <m/>
    <m/>
    <m/>
    <m/>
    <m/>
    <m/>
    <m/>
    <m/>
  </r>
  <r>
    <n v="743"/>
    <d v="2025-03-24T00:00:00"/>
    <x v="0"/>
    <n v="9518634000"/>
    <n v="3"/>
    <s v="9518634000-3"/>
    <s v="No Priority"/>
    <x v="0"/>
    <m/>
    <x v="4"/>
    <x v="5"/>
    <x v="2"/>
    <m/>
    <x v="0"/>
    <m/>
    <m/>
    <s v="Gujarat"/>
    <s v="West"/>
    <s v="VADODARA"/>
    <x v="0"/>
    <x v="77"/>
    <x v="73"/>
    <x v="193"/>
    <s v="GL COIL HARD  Y550GL HGL6 0.800X1250"/>
    <m/>
    <m/>
    <m/>
    <m/>
    <s v="Wider"/>
    <x v="5"/>
    <x v="7"/>
    <s v="HGL6"/>
    <x v="5"/>
    <x v="0"/>
    <x v="0"/>
    <n v="203"/>
    <n v="201.57499999999999"/>
    <n v="1.425"/>
    <n v="-9.64"/>
    <n v="0"/>
    <n v="1.425"/>
    <n v="0"/>
    <n v="0"/>
    <n v="0"/>
    <n v="0"/>
    <n v="0"/>
    <n v="0"/>
    <n v="0"/>
    <n v="11.065000000000001"/>
    <n v="0"/>
    <n v="0"/>
    <n v="0"/>
    <n v="0"/>
    <n v="0"/>
    <n v="0"/>
    <n v="0"/>
    <n v="0"/>
    <n v="0"/>
    <n v="0"/>
    <n v="0"/>
    <n v="11.065000000000001"/>
    <n v="11.065000000000001"/>
    <n v="0"/>
    <n v="11.065000000000001"/>
    <m/>
    <n v="0"/>
    <n v="0"/>
    <n v="0"/>
    <n v="0"/>
    <n v="0"/>
    <n v="0"/>
    <n v="0"/>
    <n v="0"/>
    <n v="0"/>
    <n v="0"/>
    <n v="0"/>
    <n v="0"/>
    <n v="0"/>
    <n v="0"/>
    <n v="0"/>
    <n v="0"/>
    <n v="0"/>
    <n v="0"/>
    <n v="0"/>
    <n v="0"/>
    <n v="0"/>
    <m/>
    <m/>
    <m/>
    <m/>
    <m/>
    <m/>
    <m/>
    <m/>
    <s v="1"/>
    <s v="1"/>
    <s v="1"/>
    <s v="1"/>
    <s v="1"/>
    <m/>
    <m/>
    <m/>
    <m/>
    <m/>
    <m/>
    <m/>
    <m/>
    <m/>
    <m/>
    <m/>
    <m/>
    <m/>
    <m/>
  </r>
  <r>
    <n v="743"/>
    <d v="2025-03-24T00:00:00"/>
    <x v="0"/>
    <n v="9518634000"/>
    <n v="2"/>
    <s v="9518634000-2"/>
    <s v="Apr'25 "/>
    <x v="0"/>
    <m/>
    <x v="4"/>
    <x v="5"/>
    <x v="2"/>
    <m/>
    <x v="1"/>
    <m/>
    <m/>
    <s v="Gujarat"/>
    <s v="West"/>
    <s v="VADODARA"/>
    <x v="0"/>
    <x v="77"/>
    <x v="73"/>
    <x v="193"/>
    <s v="GL COIL HARD  Y550GL HGL6 0.800X1250"/>
    <m/>
    <m/>
    <m/>
    <m/>
    <s v="Wider"/>
    <x v="5"/>
    <x v="7"/>
    <s v="HGL6"/>
    <x v="5"/>
    <x v="0"/>
    <x v="0"/>
    <n v="261"/>
    <n v="126.7"/>
    <n v="134.30000000000001"/>
    <n v="106.09"/>
    <n v="92.660000000000011"/>
    <n v="134.30000000000001"/>
    <n v="0"/>
    <n v="0"/>
    <n v="0"/>
    <n v="0"/>
    <n v="0"/>
    <n v="0"/>
    <n v="0"/>
    <n v="28.21"/>
    <n v="0"/>
    <n v="0"/>
    <n v="0"/>
    <n v="0"/>
    <n v="0"/>
    <n v="0"/>
    <n v="0"/>
    <n v="0"/>
    <n v="0"/>
    <n v="0"/>
    <n v="13.43"/>
    <n v="41.64"/>
    <n v="41.64"/>
    <n v="0"/>
    <n v="41.64"/>
    <m/>
    <n v="27.6"/>
    <n v="134.30000000000001"/>
    <n v="0"/>
    <n v="0"/>
    <n v="134.30000000000001"/>
    <n v="0"/>
    <n v="0"/>
    <n v="161.9"/>
    <n v="0"/>
    <n v="0"/>
    <n v="0"/>
    <n v="161.9"/>
    <n v="0"/>
    <n v="0"/>
    <n v="0"/>
    <n v="0"/>
    <n v="0"/>
    <n v="0"/>
    <n v="0"/>
    <n v="0"/>
    <n v="0"/>
    <m/>
    <m/>
    <m/>
    <m/>
    <m/>
    <m/>
    <m/>
    <m/>
    <s v="1"/>
    <s v="1"/>
    <s v="0"/>
    <s v="1"/>
    <s v="1"/>
    <m/>
    <m/>
    <m/>
    <m/>
    <m/>
    <m/>
    <m/>
    <m/>
    <m/>
    <m/>
    <m/>
    <m/>
    <m/>
    <m/>
  </r>
  <r>
    <n v="743"/>
    <d v="2025-03-24T00:00:00"/>
    <x v="0"/>
    <n v="9518634000"/>
    <n v="1"/>
    <s v="9518634000-1"/>
    <s v="Apr'25 "/>
    <x v="0"/>
    <m/>
    <x v="4"/>
    <x v="5"/>
    <x v="2"/>
    <m/>
    <x v="1"/>
    <m/>
    <m/>
    <s v="Gujarat"/>
    <s v="West"/>
    <s v="VADODARA"/>
    <x v="0"/>
    <x v="77"/>
    <x v="73"/>
    <x v="193"/>
    <s v="GL COIL HARD  Y550GL HGL6 0.800X1250"/>
    <m/>
    <m/>
    <m/>
    <m/>
    <s v="Wider"/>
    <x v="5"/>
    <x v="7"/>
    <s v="HGL6"/>
    <x v="5"/>
    <x v="0"/>
    <x v="0"/>
    <n v="261"/>
    <n v="88.71"/>
    <n v="172.29"/>
    <n v="168.69"/>
    <n v="172.29"/>
    <n v="172.29"/>
    <n v="0"/>
    <n v="0"/>
    <n v="0"/>
    <n v="0"/>
    <n v="0"/>
    <n v="0"/>
    <n v="0"/>
    <n v="0"/>
    <n v="0"/>
    <n v="0"/>
    <n v="0"/>
    <n v="0"/>
    <n v="0"/>
    <n v="0"/>
    <n v="0"/>
    <n v="0"/>
    <n v="0"/>
    <n v="0"/>
    <n v="0"/>
    <n v="0"/>
    <n v="0"/>
    <n v="0"/>
    <n v="0"/>
    <m/>
    <n v="0"/>
    <n v="172.29"/>
    <n v="0"/>
    <n v="0"/>
    <n v="0"/>
    <n v="0"/>
    <n v="172.29"/>
    <n v="172.29"/>
    <n v="0"/>
    <n v="0"/>
    <n v="0"/>
    <n v="0"/>
    <n v="172.29"/>
    <n v="0"/>
    <n v="0"/>
    <n v="0"/>
    <n v="0"/>
    <n v="0"/>
    <n v="0"/>
    <n v="0"/>
    <n v="0"/>
    <m/>
    <m/>
    <m/>
    <m/>
    <m/>
    <m/>
    <m/>
    <m/>
    <s v="1"/>
    <s v="1"/>
    <s v="1"/>
    <s v="1"/>
    <s v="0"/>
    <m/>
    <m/>
    <m/>
    <m/>
    <m/>
    <m/>
    <m/>
    <m/>
    <m/>
    <m/>
    <m/>
    <m/>
    <m/>
    <m/>
  </r>
  <r>
    <n v="743"/>
    <m/>
    <x v="0"/>
    <n v="9518497466"/>
    <n v="1"/>
    <s v="9518497466-1"/>
    <s v="Stocks"/>
    <x v="0"/>
    <m/>
    <x v="3"/>
    <x v="4"/>
    <x v="1"/>
    <m/>
    <x v="1"/>
    <m/>
    <m/>
    <s v="Karnataka"/>
    <s v="South"/>
    <s v="HUBLI"/>
    <x v="0"/>
    <x v="14"/>
    <x v="74"/>
    <x v="194"/>
    <m/>
    <m/>
    <m/>
    <m/>
    <m/>
    <s v="Wider"/>
    <x v="4"/>
    <x v="14"/>
    <s v="GP02"/>
    <x v="1"/>
    <x v="20"/>
    <x v="0"/>
    <n v="93"/>
    <n v="0"/>
    <n v="93"/>
    <n v="93"/>
    <n v="92.38"/>
    <n v="4.4800000000000004"/>
    <n v="0"/>
    <n v="0"/>
    <n v="0"/>
    <n v="0"/>
    <n v="0"/>
    <n v="0"/>
    <n v="0.62"/>
    <n v="0"/>
    <n v="0"/>
    <n v="0"/>
    <n v="0"/>
    <n v="0"/>
    <n v="0"/>
    <n v="0"/>
    <n v="0"/>
    <n v="0"/>
    <n v="0"/>
    <n v="0"/>
    <n v="0"/>
    <n v="0.62"/>
    <n v="0.62"/>
    <n v="0"/>
    <n v="0.62"/>
    <m/>
    <n v="28.869999999999997"/>
    <n v="0"/>
    <n v="0"/>
    <n v="0"/>
    <n v="0"/>
    <n v="0"/>
    <n v="0"/>
    <n v="28.869999999999997"/>
    <n v="28.869999999999997"/>
    <n v="0"/>
    <n v="0"/>
    <n v="0"/>
    <n v="0"/>
    <n v="0"/>
    <n v="0"/>
    <n v="0"/>
    <n v="0"/>
    <n v="0"/>
    <n v="0"/>
    <n v="0"/>
    <n v="0"/>
    <m/>
    <m/>
    <m/>
    <m/>
    <m/>
    <m/>
    <m/>
    <m/>
    <s v="1"/>
    <s v="1"/>
    <s v="1"/>
    <s v="1"/>
    <s v="1"/>
    <m/>
    <m/>
    <m/>
    <m/>
    <m/>
    <m/>
    <m/>
    <m/>
    <m/>
    <m/>
    <m/>
    <m/>
    <m/>
    <m/>
  </r>
  <r>
    <n v="742"/>
    <d v="2025-03-25T00:00:00"/>
    <x v="0"/>
    <n v="9518631417"/>
    <n v="1"/>
    <s v="9518631417-1"/>
    <s v="Apr'25 additional"/>
    <x v="0"/>
    <m/>
    <x v="0"/>
    <x v="0"/>
    <x v="1"/>
    <m/>
    <x v="1"/>
    <m/>
    <m/>
    <s v="Karnataka"/>
    <s v="South"/>
    <s v="BANGALORE CITY"/>
    <x v="0"/>
    <x v="46"/>
    <x v="45"/>
    <x v="47"/>
    <s v="HR COILS-PO IS 1079 HR2 2X1250"/>
    <m/>
    <m/>
    <m/>
    <m/>
    <s v="Wider"/>
    <x v="0"/>
    <x v="0"/>
    <s v="HR99"/>
    <x v="15"/>
    <x v="0"/>
    <x v="0"/>
    <n v="75"/>
    <n v="0"/>
    <n v="75"/>
    <n v="75"/>
    <n v="75"/>
    <n v="75"/>
    <n v="0"/>
    <n v="0"/>
    <n v="0"/>
    <n v="0"/>
    <n v="0"/>
    <n v="0"/>
    <n v="0"/>
    <n v="0"/>
    <n v="0"/>
    <n v="0"/>
    <n v="0"/>
    <n v="0"/>
    <n v="0"/>
    <n v="0"/>
    <n v="0"/>
    <n v="0"/>
    <n v="0"/>
    <n v="0"/>
    <n v="0"/>
    <n v="0"/>
    <n v="0"/>
    <n v="0"/>
    <n v="0"/>
    <m/>
    <n v="0"/>
    <n v="75"/>
    <n v="0"/>
    <n v="0"/>
    <n v="0"/>
    <n v="75"/>
    <n v="0"/>
    <n v="75"/>
    <n v="0"/>
    <n v="0"/>
    <n v="0"/>
    <n v="75"/>
    <n v="0"/>
    <n v="0"/>
    <n v="0"/>
    <n v="0"/>
    <n v="0"/>
    <n v="0"/>
    <n v="0"/>
    <n v="0"/>
    <n v="0"/>
    <m/>
    <m/>
    <m/>
    <m/>
    <m/>
    <m/>
    <m/>
    <m/>
    <s v="1"/>
    <s v="1"/>
    <s v="1"/>
    <s v="0"/>
    <s v="1"/>
    <m/>
    <m/>
    <m/>
    <m/>
    <m/>
    <m/>
    <m/>
    <m/>
    <m/>
    <m/>
    <m/>
    <m/>
    <m/>
    <m/>
  </r>
  <r>
    <n v="742"/>
    <d v="2025-03-25T00:00:00"/>
    <x v="0"/>
    <n v="9518631459"/>
    <n v="2"/>
    <s v="9518631459-2"/>
    <s v="No Priority"/>
    <x v="0"/>
    <m/>
    <x v="0"/>
    <x v="0"/>
    <x v="1"/>
    <m/>
    <x v="0"/>
    <m/>
    <m/>
    <s v="Karnataka"/>
    <s v="South"/>
    <s v="BIDADI"/>
    <x v="0"/>
    <x v="40"/>
    <x v="38"/>
    <x v="47"/>
    <s v="HR COILS-PO IS 1079 HR2 2X1250"/>
    <m/>
    <m/>
    <m/>
    <m/>
    <s v="Wider"/>
    <x v="0"/>
    <x v="0"/>
    <s v="HR99"/>
    <x v="15"/>
    <x v="0"/>
    <x v="0"/>
    <n v="75"/>
    <n v="0"/>
    <n v="75"/>
    <n v="75"/>
    <n v="71.319999999999993"/>
    <n v="9.4849999999999994"/>
    <n v="0"/>
    <n v="0"/>
    <n v="3.68"/>
    <n v="0"/>
    <n v="0"/>
    <n v="0"/>
    <n v="0"/>
    <n v="0"/>
    <n v="0"/>
    <n v="0"/>
    <n v="0"/>
    <n v="0"/>
    <n v="0"/>
    <n v="0"/>
    <n v="0"/>
    <n v="0"/>
    <n v="0"/>
    <n v="0"/>
    <n v="0"/>
    <n v="3.68"/>
    <n v="3.68"/>
    <n v="0"/>
    <n v="3.68"/>
    <m/>
    <n v="0"/>
    <n v="0"/>
    <n v="0"/>
    <n v="0"/>
    <n v="0"/>
    <n v="0"/>
    <n v="0"/>
    <n v="0"/>
    <n v="0"/>
    <n v="0"/>
    <n v="0"/>
    <n v="0"/>
    <n v="0"/>
    <n v="0"/>
    <n v="0"/>
    <n v="0"/>
    <n v="0"/>
    <n v="0"/>
    <n v="0"/>
    <n v="0"/>
    <n v="0"/>
    <m/>
    <m/>
    <m/>
    <m/>
    <m/>
    <m/>
    <m/>
    <m/>
    <s v="1"/>
    <s v="1"/>
    <s v="1"/>
    <s v="1"/>
    <s v="1"/>
    <m/>
    <m/>
    <m/>
    <m/>
    <m/>
    <m/>
    <m/>
    <m/>
    <m/>
    <m/>
    <m/>
    <m/>
    <m/>
    <m/>
  </r>
  <r>
    <n v="744"/>
    <d v="2025-03-19T00:00:00"/>
    <x v="0"/>
    <n v="9518613727"/>
    <n v="1"/>
    <s v="9518613727-1"/>
    <s v="Stocks"/>
    <x v="0"/>
    <m/>
    <x v="2"/>
    <x v="3"/>
    <x v="3"/>
    <m/>
    <x v="1"/>
    <m/>
    <m/>
    <s v="Jharkhand"/>
    <s v="TBSPL"/>
    <s v="TBL- BARA AGRICO"/>
    <x v="0"/>
    <x v="6"/>
    <x v="6"/>
    <x v="195"/>
    <s v="PPGL C HARD Y550PL D0C9 0.60(TPT)X1220"/>
    <m/>
    <m/>
    <m/>
    <m/>
    <s v="Wider"/>
    <x v="3"/>
    <x v="14"/>
    <s v="D0C9"/>
    <x v="20"/>
    <x v="1"/>
    <x v="0"/>
    <n v="112"/>
    <n v="92.275000000000006"/>
    <n v="19.725000000000001"/>
    <n v="10.65"/>
    <n v="13.675000000000001"/>
    <n v="8.2349999999999994"/>
    <n v="0"/>
    <n v="0"/>
    <n v="0"/>
    <n v="0"/>
    <n v="0"/>
    <n v="0"/>
    <n v="0"/>
    <n v="0"/>
    <n v="0"/>
    <n v="0"/>
    <n v="0"/>
    <n v="0"/>
    <n v="0"/>
    <n v="0"/>
    <n v="0"/>
    <n v="6.05"/>
    <n v="0"/>
    <n v="0"/>
    <n v="0"/>
    <n v="6.05"/>
    <n v="6.05"/>
    <n v="0"/>
    <n v="6.05"/>
    <m/>
    <n v="26.47"/>
    <n v="0"/>
    <n v="0"/>
    <n v="0"/>
    <n v="0"/>
    <n v="0"/>
    <n v="0"/>
    <n v="26.47"/>
    <n v="26.47"/>
    <n v="0"/>
    <n v="0"/>
    <n v="0"/>
    <n v="0"/>
    <n v="0"/>
    <n v="39.635000000000005"/>
    <n v="0"/>
    <n v="0"/>
    <n v="0"/>
    <n v="0"/>
    <n v="0"/>
    <n v="39.635000000000005"/>
    <m/>
    <m/>
    <m/>
    <m/>
    <m/>
    <m/>
    <m/>
    <m/>
    <s v="1"/>
    <s v="1"/>
    <s v="1"/>
    <s v="1"/>
    <s v="1"/>
    <m/>
    <m/>
    <m/>
    <m/>
    <m/>
    <m/>
    <m/>
    <m/>
    <m/>
    <m/>
    <m/>
    <m/>
    <m/>
    <m/>
  </r>
  <r>
    <n v="744"/>
    <d v="2025-03-20T00:00:00"/>
    <x v="0"/>
    <n v="9518617046"/>
    <n v="9"/>
    <s v="9518617046-9"/>
    <s v="Stocks"/>
    <x v="0"/>
    <m/>
    <x v="2"/>
    <x v="3"/>
    <x v="3"/>
    <m/>
    <x v="1"/>
    <m/>
    <m/>
    <s v="Jharkhand"/>
    <s v="TBSPL"/>
    <s v="TBL- BARA AGRICO"/>
    <x v="0"/>
    <x v="6"/>
    <x v="6"/>
    <x v="195"/>
    <s v="PPGL C HARD Y550PL D0C9 0.60(TPT)X1220"/>
    <m/>
    <m/>
    <m/>
    <m/>
    <s v="Wider"/>
    <x v="3"/>
    <x v="14"/>
    <s v="D0C9"/>
    <x v="20"/>
    <x v="1"/>
    <x v="0"/>
    <n v="56"/>
    <n v="0"/>
    <n v="56"/>
    <n v="0.75"/>
    <n v="0"/>
    <n v="36.229999999999997"/>
    <n v="0"/>
    <n v="28.53"/>
    <n v="0"/>
    <n v="0"/>
    <n v="0"/>
    <n v="0"/>
    <n v="0"/>
    <n v="0"/>
    <n v="0"/>
    <n v="6.53"/>
    <n v="0"/>
    <n v="0"/>
    <n v="0"/>
    <n v="0"/>
    <n v="0"/>
    <n v="0.79"/>
    <n v="0"/>
    <n v="0"/>
    <n v="0"/>
    <n v="35.85"/>
    <n v="35.85"/>
    <n v="0"/>
    <n v="35.85"/>
    <m/>
    <n v="19.77"/>
    <n v="36.229999999999997"/>
    <n v="36.229999999999997"/>
    <n v="0"/>
    <n v="0"/>
    <n v="0"/>
    <n v="0"/>
    <n v="56"/>
    <n v="0"/>
    <n v="56"/>
    <n v="0"/>
    <n v="0"/>
    <n v="0"/>
    <n v="0"/>
    <n v="0"/>
    <n v="0"/>
    <n v="0"/>
    <n v="0"/>
    <n v="0"/>
    <n v="0"/>
    <n v="0"/>
    <m/>
    <m/>
    <m/>
    <m/>
    <m/>
    <m/>
    <m/>
    <m/>
    <s v="0"/>
    <s v="1"/>
    <s v="1"/>
    <s v="1"/>
    <s v="1"/>
    <m/>
    <m/>
    <m/>
    <m/>
    <m/>
    <m/>
    <m/>
    <m/>
    <m/>
    <m/>
    <m/>
    <m/>
    <m/>
    <m/>
  </r>
  <r>
    <n v="744"/>
    <d v="2025-03-26T00:00:00"/>
    <x v="0"/>
    <n v="9518637595"/>
    <n v="2"/>
    <s v="9518637595-2"/>
    <s v="May'25"/>
    <x v="0"/>
    <m/>
    <x v="2"/>
    <x v="3"/>
    <x v="3"/>
    <m/>
    <x v="1"/>
    <m/>
    <m/>
    <s v="Jharkhand"/>
    <s v="TBSPL"/>
    <s v="TBL- BARA AGRICO"/>
    <x v="0"/>
    <x v="6"/>
    <x v="6"/>
    <x v="84"/>
    <s v="PPGL C HARD Y550PL D0C9 0.50(TPT)X1220"/>
    <m/>
    <m/>
    <m/>
    <m/>
    <s v="Wider"/>
    <x v="3"/>
    <x v="14"/>
    <s v="D0C9"/>
    <x v="1"/>
    <x v="1"/>
    <x v="0"/>
    <n v="56"/>
    <n v="44.075000000000003"/>
    <n v="11.925000000000001"/>
    <n v="0.92500000000000004"/>
    <n v="0"/>
    <n v="11.925000000000001"/>
    <n v="0"/>
    <n v="0"/>
    <n v="0"/>
    <n v="0"/>
    <n v="0"/>
    <n v="0"/>
    <n v="0"/>
    <n v="0"/>
    <n v="0"/>
    <n v="0"/>
    <n v="0"/>
    <n v="0"/>
    <n v="0"/>
    <n v="0"/>
    <n v="0"/>
    <n v="0"/>
    <n v="0"/>
    <n v="0"/>
    <n v="0"/>
    <n v="0"/>
    <n v="0"/>
    <n v="0"/>
    <n v="0"/>
    <m/>
    <n v="0"/>
    <n v="11.925000000000001"/>
    <n v="11.925000000000001"/>
    <n v="0"/>
    <n v="0"/>
    <n v="0"/>
    <n v="0"/>
    <n v="11.925000000000001"/>
    <n v="0"/>
    <n v="11.925000000000001"/>
    <n v="0"/>
    <n v="0"/>
    <n v="0"/>
    <n v="0"/>
    <n v="27.594999999999999"/>
    <n v="11.925000000000001"/>
    <n v="0"/>
    <n v="0"/>
    <n v="0"/>
    <n v="0"/>
    <n v="15.669999999999998"/>
    <m/>
    <m/>
    <m/>
    <m/>
    <m/>
    <m/>
    <m/>
    <m/>
    <s v="1"/>
    <s v="1"/>
    <s v="1"/>
    <s v="1"/>
    <s v="1"/>
    <m/>
    <m/>
    <m/>
    <m/>
    <m/>
    <m/>
    <m/>
    <m/>
    <m/>
    <m/>
    <m/>
    <m/>
    <m/>
    <m/>
  </r>
  <r>
    <n v="744"/>
    <d v="2025-03-27T00:00:00"/>
    <x v="0"/>
    <n v="9518644023"/>
    <n v="1"/>
    <s v="9518644023-1"/>
    <s v="Apr'25 additional"/>
    <x v="0"/>
    <m/>
    <x v="2"/>
    <x v="3"/>
    <x v="3"/>
    <m/>
    <x v="1"/>
    <m/>
    <m/>
    <s v="Jharkhand"/>
    <s v="TBSPL"/>
    <s v="TBL- BARA AGRICO"/>
    <x v="0"/>
    <x v="6"/>
    <x v="6"/>
    <x v="84"/>
    <s v="PPGL C HARD Y550PL D0C9 0.50(TPT)X1220"/>
    <m/>
    <m/>
    <m/>
    <m/>
    <s v="Wider"/>
    <x v="3"/>
    <x v="14"/>
    <s v="D0C9"/>
    <x v="1"/>
    <x v="1"/>
    <x v="0"/>
    <n v="28"/>
    <n v="0"/>
    <n v="28"/>
    <n v="28"/>
    <n v="28"/>
    <n v="28"/>
    <n v="0"/>
    <n v="0"/>
    <n v="0"/>
    <n v="0"/>
    <n v="0"/>
    <n v="0"/>
    <n v="0"/>
    <n v="0"/>
    <n v="0"/>
    <n v="0"/>
    <n v="0"/>
    <n v="0"/>
    <n v="0"/>
    <n v="0"/>
    <n v="0"/>
    <n v="0"/>
    <n v="0"/>
    <n v="0"/>
    <n v="0"/>
    <n v="0"/>
    <n v="0"/>
    <n v="0"/>
    <n v="0"/>
    <m/>
    <n v="0"/>
    <n v="28"/>
    <n v="0"/>
    <n v="28"/>
    <n v="0"/>
    <n v="0"/>
    <n v="0"/>
    <n v="28"/>
    <n v="0"/>
    <n v="28"/>
    <n v="0"/>
    <n v="0"/>
    <n v="0"/>
    <n v="0"/>
    <n v="0"/>
    <n v="0"/>
    <n v="0"/>
    <n v="0"/>
    <n v="0"/>
    <n v="0"/>
    <n v="0"/>
    <m/>
    <m/>
    <m/>
    <m/>
    <m/>
    <m/>
    <m/>
    <m/>
    <s v="1"/>
    <s v="0"/>
    <s v="1"/>
    <s v="1"/>
    <s v="1"/>
    <m/>
    <m/>
    <m/>
    <m/>
    <m/>
    <m/>
    <m/>
    <m/>
    <m/>
    <m/>
    <m/>
    <m/>
    <m/>
    <m/>
  </r>
  <r>
    <n v="744"/>
    <d v="2025-03-22T00:00:00"/>
    <x v="0"/>
    <n v="9518624252"/>
    <n v="21"/>
    <s v="9518624252-21"/>
    <s v="Apr'25 additional"/>
    <x v="0"/>
    <m/>
    <x v="2"/>
    <x v="3"/>
    <x v="3"/>
    <m/>
    <x v="1"/>
    <m/>
    <m/>
    <s v="Jharkhand"/>
    <s v="TBSPL"/>
    <s v="TBL- BARA AGRICO"/>
    <x v="0"/>
    <x v="6"/>
    <x v="6"/>
    <x v="84"/>
    <s v="PPGL C HARD Y550PL D0C9 0.50(TPT)X1220"/>
    <m/>
    <m/>
    <m/>
    <m/>
    <s v="Wider"/>
    <x v="3"/>
    <x v="14"/>
    <s v="D0C9"/>
    <x v="1"/>
    <x v="1"/>
    <x v="0"/>
    <n v="56"/>
    <n v="0"/>
    <n v="56"/>
    <n v="56"/>
    <n v="56"/>
    <n v="56"/>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x v="0"/>
    <n v="9518624252"/>
    <n v="19"/>
    <s v="9518624252-19"/>
    <s v="Apr'25 additional"/>
    <x v="0"/>
    <m/>
    <x v="2"/>
    <x v="3"/>
    <x v="3"/>
    <m/>
    <x v="1"/>
    <m/>
    <m/>
    <s v="Jharkhand"/>
    <s v="TBSPL"/>
    <s v="TBL- BARA AGRICO"/>
    <x v="0"/>
    <x v="6"/>
    <x v="6"/>
    <x v="84"/>
    <s v="PPGL C HARD Y550PL D0C9 0.50(TPT)X1220"/>
    <m/>
    <m/>
    <m/>
    <m/>
    <s v="Wider"/>
    <x v="3"/>
    <x v="14"/>
    <s v="D0C9"/>
    <x v="1"/>
    <x v="1"/>
    <x v="0"/>
    <n v="168"/>
    <n v="0"/>
    <n v="168"/>
    <n v="168"/>
    <n v="168"/>
    <n v="16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x v="0"/>
    <n v="9518624252"/>
    <n v="15"/>
    <s v="9518624252-15"/>
    <s v="Apr'25 additional"/>
    <x v="0"/>
    <m/>
    <x v="2"/>
    <x v="3"/>
    <x v="3"/>
    <m/>
    <x v="1"/>
    <m/>
    <m/>
    <s v="Jharkhand"/>
    <s v="TBSPL"/>
    <s v="TBL- BARA AGRICO"/>
    <x v="0"/>
    <x v="6"/>
    <x v="6"/>
    <x v="84"/>
    <s v="PPGL C HARD Y550PL D0C9 0.50(TPT)X1220"/>
    <m/>
    <m/>
    <m/>
    <m/>
    <s v="Wider"/>
    <x v="3"/>
    <x v="14"/>
    <s v="D0C9"/>
    <x v="1"/>
    <x v="1"/>
    <x v="0"/>
    <n v="168"/>
    <n v="0"/>
    <n v="168"/>
    <n v="168"/>
    <n v="-3.5400000000000205"/>
    <n v="168"/>
    <n v="0"/>
    <n v="143.46"/>
    <n v="28.08"/>
    <n v="0"/>
    <n v="0"/>
    <n v="0"/>
    <n v="0"/>
    <n v="0"/>
    <n v="0"/>
    <n v="0"/>
    <n v="0"/>
    <n v="0"/>
    <n v="0"/>
    <n v="0"/>
    <n v="0"/>
    <n v="0"/>
    <n v="0"/>
    <n v="0"/>
    <n v="0"/>
    <n v="171.54000000000002"/>
    <n v="171.54000000000002"/>
    <n v="0"/>
    <n v="171.54000000000002"/>
    <m/>
    <n v="0"/>
    <n v="168"/>
    <n v="168"/>
    <n v="0"/>
    <n v="0"/>
    <n v="0"/>
    <n v="0"/>
    <n v="168"/>
    <n v="0"/>
    <n v="168"/>
    <n v="0"/>
    <n v="0"/>
    <n v="0"/>
    <n v="0"/>
    <n v="0"/>
    <n v="0"/>
    <n v="0"/>
    <n v="0"/>
    <n v="0"/>
    <n v="0"/>
    <n v="0"/>
    <m/>
    <m/>
    <m/>
    <m/>
    <m/>
    <m/>
    <m/>
    <m/>
    <s v="0"/>
    <s v="1"/>
    <s v="1"/>
    <s v="1"/>
    <s v="1"/>
    <m/>
    <m/>
    <m/>
    <m/>
    <m/>
    <m/>
    <m/>
    <m/>
    <m/>
    <m/>
    <m/>
    <m/>
    <m/>
    <m/>
  </r>
  <r>
    <n v="744"/>
    <d v="2025-03-22T00:00:00"/>
    <x v="0"/>
    <n v="9518624252"/>
    <n v="14"/>
    <s v="9518624252-14"/>
    <s v="Stocks"/>
    <x v="0"/>
    <m/>
    <x v="2"/>
    <x v="3"/>
    <x v="3"/>
    <m/>
    <x v="1"/>
    <m/>
    <m/>
    <s v="Jharkhand"/>
    <s v="TBSPL"/>
    <s v="TBL- BARA AGRICO"/>
    <x v="0"/>
    <x v="6"/>
    <x v="6"/>
    <x v="84"/>
    <s v="PPGL C HARD Y550PL D0C9 0.50(TPT)X1220"/>
    <m/>
    <m/>
    <m/>
    <m/>
    <s v="Wider"/>
    <x v="3"/>
    <x v="14"/>
    <s v="D0C9"/>
    <x v="1"/>
    <x v="1"/>
    <x v="0"/>
    <n v="195.99"/>
    <n v="162.22499999999999"/>
    <n v="33.765000000000001"/>
    <n v="-2.5270000000000001"/>
    <n v="0"/>
    <n v="12.664999999999999"/>
    <n v="0"/>
    <n v="0"/>
    <n v="0"/>
    <n v="0"/>
    <n v="0"/>
    <n v="0"/>
    <n v="0"/>
    <n v="0"/>
    <n v="0"/>
    <n v="1.94"/>
    <n v="0"/>
    <n v="0"/>
    <n v="0"/>
    <n v="0"/>
    <n v="0"/>
    <n v="0"/>
    <n v="0"/>
    <n v="0"/>
    <n v="8.89"/>
    <n v="10.83"/>
    <n v="10.83"/>
    <n v="0"/>
    <n v="10.83"/>
    <m/>
    <n v="3.9049999999999998"/>
    <n v="12.664999999999999"/>
    <n v="12.664999999999999"/>
    <n v="0"/>
    <n v="0"/>
    <n v="0"/>
    <n v="0"/>
    <n v="16.57"/>
    <n v="0"/>
    <n v="16.57"/>
    <n v="0"/>
    <n v="0"/>
    <n v="0"/>
    <n v="0"/>
    <n v="0"/>
    <n v="0"/>
    <n v="0"/>
    <n v="0"/>
    <n v="0"/>
    <n v="0"/>
    <n v="0"/>
    <m/>
    <m/>
    <m/>
    <m/>
    <m/>
    <m/>
    <m/>
    <m/>
    <s v="0"/>
    <s v="1"/>
    <s v="1"/>
    <s v="1"/>
    <s v="1"/>
    <m/>
    <m/>
    <m/>
    <m/>
    <m/>
    <m/>
    <m/>
    <m/>
    <m/>
    <m/>
    <m/>
    <m/>
    <m/>
    <m/>
  </r>
  <r>
    <n v="744"/>
    <d v="2025-03-22T00:00:00"/>
    <x v="0"/>
    <n v="9518624252"/>
    <n v="8"/>
    <s v="9518624252-8"/>
    <s v="Apr'25 additional"/>
    <x v="0"/>
    <m/>
    <x v="2"/>
    <x v="3"/>
    <x v="3"/>
    <m/>
    <x v="1"/>
    <m/>
    <m/>
    <s v="Jharkhand"/>
    <s v="TBSPL"/>
    <s v="TBL- BARA AGRICO"/>
    <x v="0"/>
    <x v="6"/>
    <x v="6"/>
    <x v="84"/>
    <s v="PPGL C HARD Y550PL D0C9 0.50(TPT)X1220"/>
    <m/>
    <m/>
    <m/>
    <m/>
    <s v="Wider"/>
    <x v="3"/>
    <x v="14"/>
    <s v="D0C9"/>
    <x v="1"/>
    <x v="1"/>
    <x v="0"/>
    <n v="28"/>
    <n v="0"/>
    <n v="28"/>
    <n v="28"/>
    <n v="28"/>
    <n v="2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x v="0"/>
    <n v="9518624252"/>
    <n v="7"/>
    <s v="9518624252-7"/>
    <s v="Apr'25 additional"/>
    <x v="0"/>
    <m/>
    <x v="2"/>
    <x v="3"/>
    <x v="3"/>
    <m/>
    <x v="1"/>
    <m/>
    <m/>
    <s v="Jharkhand"/>
    <s v="TBSPL"/>
    <s v="TBL- BARA AGRICO"/>
    <x v="0"/>
    <x v="6"/>
    <x v="6"/>
    <x v="84"/>
    <s v="PPGL C HARD Y550PL D0C9 0.50(TPT)X1220"/>
    <m/>
    <m/>
    <m/>
    <m/>
    <s v="Wider"/>
    <x v="3"/>
    <x v="14"/>
    <s v="D0C9"/>
    <x v="1"/>
    <x v="1"/>
    <x v="0"/>
    <n v="28"/>
    <n v="0"/>
    <n v="28"/>
    <n v="28"/>
    <n v="28"/>
    <n v="2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x v="0"/>
    <n v="9518624252"/>
    <n v="4"/>
    <s v="9518624252-4"/>
    <s v="Apr'25 additional"/>
    <x v="0"/>
    <m/>
    <x v="2"/>
    <x v="3"/>
    <x v="3"/>
    <m/>
    <x v="1"/>
    <m/>
    <m/>
    <s v="Jharkhand"/>
    <s v="TBSPL"/>
    <s v="TBL- BARA AGRICO"/>
    <x v="0"/>
    <x v="6"/>
    <x v="6"/>
    <x v="84"/>
    <s v="PPGL C HARD Y550PL D0C9 0.50(TPT)X1220"/>
    <m/>
    <m/>
    <m/>
    <m/>
    <s v="Wider"/>
    <x v="3"/>
    <x v="14"/>
    <s v="D0C9"/>
    <x v="1"/>
    <x v="1"/>
    <x v="0"/>
    <n v="56"/>
    <n v="26.85"/>
    <n v="29.15"/>
    <n v="29.15"/>
    <n v="29.15"/>
    <n v="29.1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2T00:00:00"/>
    <x v="0"/>
    <n v="9518624252"/>
    <n v="2"/>
    <s v="9518624252-2"/>
    <s v="Apr'25 additional"/>
    <x v="0"/>
    <m/>
    <x v="2"/>
    <x v="3"/>
    <x v="3"/>
    <m/>
    <x v="1"/>
    <m/>
    <m/>
    <s v="Jharkhand"/>
    <s v="TBSPL"/>
    <s v="TBL- BARA AGRICO"/>
    <x v="0"/>
    <x v="6"/>
    <x v="6"/>
    <x v="84"/>
    <s v="PPGL C HARD Y550PL D0C9 0.50(TPT)X1220"/>
    <m/>
    <m/>
    <m/>
    <m/>
    <s v="Wider"/>
    <x v="3"/>
    <x v="14"/>
    <s v="D0C9"/>
    <x v="1"/>
    <x v="1"/>
    <x v="0"/>
    <n v="112"/>
    <n v="0"/>
    <n v="112"/>
    <n v="112"/>
    <n v="112"/>
    <n v="112"/>
    <n v="0"/>
    <n v="0"/>
    <n v="0"/>
    <n v="0"/>
    <n v="0"/>
    <n v="0"/>
    <n v="0"/>
    <n v="0"/>
    <n v="0"/>
    <n v="0"/>
    <n v="0"/>
    <n v="0"/>
    <n v="0"/>
    <n v="0"/>
    <n v="0"/>
    <n v="0"/>
    <n v="0"/>
    <n v="0"/>
    <n v="0"/>
    <n v="0"/>
    <n v="0"/>
    <n v="0"/>
    <n v="0"/>
    <m/>
    <n v="0"/>
    <n v="112"/>
    <n v="0"/>
    <n v="112"/>
    <n v="0"/>
    <n v="0"/>
    <n v="0"/>
    <n v="112"/>
    <n v="0"/>
    <n v="112"/>
    <n v="0"/>
    <n v="0"/>
    <n v="0"/>
    <n v="0"/>
    <n v="0"/>
    <n v="0"/>
    <n v="0"/>
    <n v="0"/>
    <n v="0"/>
    <n v="0"/>
    <n v="0"/>
    <m/>
    <m/>
    <m/>
    <m/>
    <m/>
    <m/>
    <m/>
    <m/>
    <s v="1"/>
    <s v="0"/>
    <s v="1"/>
    <s v="1"/>
    <s v="1"/>
    <m/>
    <m/>
    <m/>
    <m/>
    <m/>
    <m/>
    <m/>
    <m/>
    <m/>
    <m/>
    <m/>
    <m/>
    <m/>
    <m/>
  </r>
  <r>
    <n v="744"/>
    <d v="2025-03-22T00:00:00"/>
    <x v="0"/>
    <n v="9518624252"/>
    <n v="1"/>
    <s v="9518624252-1"/>
    <s v="Apr'25 additional"/>
    <x v="0"/>
    <m/>
    <x v="2"/>
    <x v="3"/>
    <x v="3"/>
    <m/>
    <x v="1"/>
    <m/>
    <m/>
    <s v="Jharkhand"/>
    <s v="TBSPL"/>
    <s v="TBL- BARA AGRICO"/>
    <x v="0"/>
    <x v="6"/>
    <x v="6"/>
    <x v="84"/>
    <s v="PPGL C HARD Y550PL D0C9 0.50(TPT)X1220"/>
    <m/>
    <m/>
    <m/>
    <m/>
    <s v="Wider"/>
    <x v="3"/>
    <x v="14"/>
    <s v="D0C9"/>
    <x v="1"/>
    <x v="1"/>
    <x v="0"/>
    <n v="196"/>
    <n v="0"/>
    <n v="196"/>
    <n v="196"/>
    <n v="-2.1800000000000068"/>
    <n v="196"/>
    <n v="0"/>
    <n v="86.16"/>
    <n v="28.21"/>
    <n v="83.81"/>
    <n v="0"/>
    <n v="0"/>
    <n v="0"/>
    <n v="0"/>
    <n v="0"/>
    <n v="0"/>
    <n v="0"/>
    <n v="0"/>
    <n v="0"/>
    <n v="0"/>
    <n v="0"/>
    <n v="0"/>
    <n v="0"/>
    <n v="0"/>
    <n v="0"/>
    <n v="198.18"/>
    <n v="198.18"/>
    <n v="0"/>
    <n v="198.18"/>
    <m/>
    <n v="0"/>
    <n v="196"/>
    <n v="0"/>
    <n v="0"/>
    <n v="0"/>
    <n v="0"/>
    <n v="196"/>
    <n v="0"/>
    <n v="0"/>
    <n v="0"/>
    <n v="0"/>
    <n v="0"/>
    <n v="0"/>
    <n v="196"/>
    <n v="0"/>
    <n v="0"/>
    <n v="0"/>
    <n v="0"/>
    <n v="0"/>
    <n v="0"/>
    <n v="0"/>
    <m/>
    <m/>
    <m/>
    <m/>
    <m/>
    <m/>
    <m/>
    <m/>
    <s v="1"/>
    <s v="1"/>
    <s v="1"/>
    <s v="1"/>
    <s v="0"/>
    <m/>
    <m/>
    <m/>
    <m/>
    <m/>
    <m/>
    <m/>
    <m/>
    <m/>
    <m/>
    <m/>
    <m/>
    <m/>
    <m/>
  </r>
  <r>
    <n v="743"/>
    <d v="2025-03-25T00:00:00"/>
    <x v="2"/>
    <n v="9518634002"/>
    <n v="2"/>
    <s v="9518634002-2"/>
    <s v="No Priority"/>
    <x v="0"/>
    <m/>
    <x v="3"/>
    <x v="4"/>
    <x v="1"/>
    <m/>
    <x v="0"/>
    <m/>
    <m/>
    <s v="Assam"/>
    <s v="East"/>
    <s v="GAUHATI"/>
    <x v="0"/>
    <x v="16"/>
    <x v="17"/>
    <x v="196"/>
    <s v="GP COIL TATGPH GP02 0.630X1350"/>
    <m/>
    <m/>
    <m/>
    <m/>
    <s v="Wider"/>
    <x v="4"/>
    <x v="6"/>
    <s v="GP02"/>
    <x v="26"/>
    <x v="20"/>
    <x v="0"/>
    <n v="31"/>
    <n v="0"/>
    <n v="31"/>
    <n v="31"/>
    <n v="31"/>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6T00:00:00"/>
    <x v="0"/>
    <n v="9518635704"/>
    <n v="1"/>
    <s v="9518635704-1"/>
    <s v="Apr'25 additional"/>
    <x v="0"/>
    <m/>
    <x v="4"/>
    <x v="3"/>
    <x v="3"/>
    <m/>
    <x v="1"/>
    <m/>
    <m/>
    <s v="Tamil Nadu"/>
    <s v="TBSPL"/>
    <s v="SRIPERUMBUDUR"/>
    <x v="0"/>
    <x v="65"/>
    <x v="6"/>
    <x v="156"/>
    <s v="GL C YS550 H6GL 0.42BMT(0.47TCT)X1220"/>
    <m/>
    <m/>
    <m/>
    <m/>
    <s v="Wider"/>
    <x v="5"/>
    <x v="7"/>
    <s v="H6GL"/>
    <x v="3"/>
    <x v="1"/>
    <x v="0"/>
    <n v="28"/>
    <n v="0"/>
    <n v="28"/>
    <n v="28"/>
    <n v="9.8500000000000014"/>
    <n v="18.555"/>
    <n v="0"/>
    <n v="0"/>
    <n v="0"/>
    <n v="0"/>
    <n v="0"/>
    <n v="0"/>
    <n v="0"/>
    <n v="13.465"/>
    <n v="0"/>
    <n v="0"/>
    <n v="0"/>
    <n v="0"/>
    <n v="0"/>
    <n v="0"/>
    <n v="0"/>
    <n v="0"/>
    <n v="0"/>
    <n v="0"/>
    <n v="4.6850000000000005"/>
    <n v="18.149999999999999"/>
    <n v="18.149999999999999"/>
    <n v="0"/>
    <n v="18.149999999999999"/>
    <m/>
    <n v="9.4450000000000003"/>
    <n v="18.555"/>
    <n v="18.555"/>
    <n v="0"/>
    <n v="0"/>
    <n v="0"/>
    <n v="0"/>
    <n v="28"/>
    <n v="0"/>
    <n v="28"/>
    <n v="0"/>
    <n v="0"/>
    <n v="0"/>
    <n v="0"/>
    <n v="0"/>
    <n v="0"/>
    <n v="0"/>
    <n v="0"/>
    <n v="0"/>
    <n v="0"/>
    <n v="0"/>
    <m/>
    <m/>
    <m/>
    <m/>
    <m/>
    <m/>
    <m/>
    <m/>
    <s v="0"/>
    <s v="1"/>
    <s v="1"/>
    <s v="1"/>
    <s v="1"/>
    <m/>
    <m/>
    <m/>
    <m/>
    <m/>
    <m/>
    <m/>
    <m/>
    <m/>
    <m/>
    <m/>
    <m/>
    <m/>
    <m/>
  </r>
  <r>
    <n v="743"/>
    <d v="2025-03-19T00:00:00"/>
    <x v="0"/>
    <n v="9518613800"/>
    <n v="1"/>
    <s v="9518613800-1"/>
    <s v="Stocks"/>
    <x v="0"/>
    <m/>
    <x v="4"/>
    <x v="3"/>
    <x v="3"/>
    <m/>
    <x v="1"/>
    <m/>
    <m/>
    <s v="Jharkhand"/>
    <s v="TBSPL"/>
    <s v="TBL- BARA AGRICO"/>
    <x v="0"/>
    <x v="22"/>
    <x v="6"/>
    <x v="34"/>
    <s v="GL C YS550 H6GL 0.55BMT(0.60TCT)X1220"/>
    <m/>
    <m/>
    <m/>
    <m/>
    <s v="Wider"/>
    <x v="5"/>
    <x v="7"/>
    <s v="H6GL"/>
    <x v="18"/>
    <x v="1"/>
    <x v="0"/>
    <n v="28"/>
    <n v="0"/>
    <n v="28"/>
    <n v="-0.95"/>
    <n v="0"/>
    <n v="0.62"/>
    <n v="0"/>
    <n v="0"/>
    <n v="0"/>
    <n v="0"/>
    <n v="0"/>
    <n v="0"/>
    <n v="0"/>
    <n v="0"/>
    <n v="0"/>
    <n v="0"/>
    <n v="0"/>
    <n v="0"/>
    <n v="0"/>
    <n v="0"/>
    <n v="0"/>
    <n v="0"/>
    <n v="0"/>
    <n v="0"/>
    <n v="0"/>
    <n v="0"/>
    <n v="0"/>
    <n v="0"/>
    <n v="0"/>
    <m/>
    <n v="27.380000000000003"/>
    <n v="0"/>
    <n v="0"/>
    <n v="0"/>
    <n v="0"/>
    <n v="0"/>
    <n v="0"/>
    <n v="27.380000000000003"/>
    <n v="27.380000000000003"/>
    <n v="0"/>
    <n v="0"/>
    <n v="0"/>
    <n v="0"/>
    <n v="0"/>
    <n v="0"/>
    <n v="0"/>
    <n v="0"/>
    <n v="0"/>
    <n v="0"/>
    <n v="0"/>
    <n v="0"/>
    <m/>
    <m/>
    <m/>
    <m/>
    <m/>
    <m/>
    <m/>
    <m/>
    <s v="1"/>
    <s v="1"/>
    <s v="1"/>
    <s v="1"/>
    <s v="1"/>
    <m/>
    <m/>
    <m/>
    <m/>
    <m/>
    <m/>
    <m/>
    <m/>
    <m/>
    <m/>
    <m/>
    <m/>
    <m/>
    <m/>
  </r>
  <r>
    <n v="743"/>
    <d v="2025-03-20T00:00:00"/>
    <x v="0"/>
    <n v="9518617039"/>
    <n v="2"/>
    <s v="9518617039-2"/>
    <s v="No Priority"/>
    <x v="0"/>
    <m/>
    <x v="4"/>
    <x v="3"/>
    <x v="3"/>
    <m/>
    <x v="0"/>
    <m/>
    <m/>
    <s v="Jharkhand"/>
    <s v="TBSPL"/>
    <s v="TBL- BARA AGRICO"/>
    <x v="0"/>
    <x v="22"/>
    <x v="6"/>
    <x v="35"/>
    <s v="GL C YS550 H6GL 0.45BMT(0.50TCT)X1220"/>
    <m/>
    <m/>
    <m/>
    <m/>
    <s v="Wider"/>
    <x v="5"/>
    <x v="7"/>
    <s v="H6GL"/>
    <x v="10"/>
    <x v="1"/>
    <x v="0"/>
    <n v="56"/>
    <n v="0"/>
    <n v="56"/>
    <n v="0.33"/>
    <n v="0"/>
    <n v="0.9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26T00:00:00"/>
    <x v="0"/>
    <n v="9518635704"/>
    <n v="2"/>
    <s v="9518635704-2"/>
    <s v="Stocks"/>
    <x v="0"/>
    <m/>
    <x v="4"/>
    <x v="3"/>
    <x v="3"/>
    <m/>
    <x v="1"/>
    <m/>
    <m/>
    <s v="Tamil Nadu"/>
    <s v="TBSPL"/>
    <s v="SRIPERUMBUDUR"/>
    <x v="0"/>
    <x v="65"/>
    <x v="6"/>
    <x v="35"/>
    <s v="GL C YS550 H6GL 0.45BMT(0.50TCT)X1220"/>
    <m/>
    <m/>
    <m/>
    <m/>
    <s v="Wider"/>
    <x v="5"/>
    <x v="7"/>
    <s v="H6GL"/>
    <x v="10"/>
    <x v="1"/>
    <x v="0"/>
    <n v="56"/>
    <n v="0"/>
    <n v="56"/>
    <n v="56"/>
    <n v="0"/>
    <n v="2.4"/>
    <n v="0"/>
    <n v="0"/>
    <n v="0"/>
    <n v="0"/>
    <n v="0"/>
    <n v="0"/>
    <n v="0"/>
    <n v="0"/>
    <n v="0"/>
    <n v="0"/>
    <n v="0"/>
    <n v="0"/>
    <n v="0"/>
    <n v="0"/>
    <n v="0"/>
    <n v="0"/>
    <n v="0"/>
    <n v="0"/>
    <n v="0"/>
    <n v="0"/>
    <n v="0"/>
    <n v="56"/>
    <n v="56"/>
    <m/>
    <n v="53.599999999999994"/>
    <n v="0"/>
    <n v="0"/>
    <n v="0"/>
    <n v="0"/>
    <n v="0"/>
    <n v="0"/>
    <n v="53.599999999999994"/>
    <n v="53.599999999999994"/>
    <n v="0"/>
    <n v="0"/>
    <n v="0"/>
    <n v="0"/>
    <n v="0"/>
    <n v="0"/>
    <n v="0"/>
    <n v="0"/>
    <n v="0"/>
    <n v="0"/>
    <n v="0"/>
    <n v="0"/>
    <m/>
    <m/>
    <m/>
    <m/>
    <m/>
    <m/>
    <m/>
    <m/>
    <s v="1"/>
    <s v="1"/>
    <s v="1"/>
    <s v="1"/>
    <s v="1"/>
    <m/>
    <m/>
    <m/>
    <m/>
    <m/>
    <m/>
    <m/>
    <m/>
    <m/>
    <m/>
    <m/>
    <m/>
    <m/>
    <m/>
  </r>
  <r>
    <n v="743"/>
    <d v="2025-03-20T00:00:00"/>
    <x v="0"/>
    <n v="9518617039"/>
    <n v="1"/>
    <s v="9518617039-1"/>
    <s v="May'25"/>
    <x v="0"/>
    <m/>
    <x v="4"/>
    <x v="3"/>
    <x v="3"/>
    <m/>
    <x v="1"/>
    <m/>
    <m/>
    <s v="Jharkhand"/>
    <s v="TBSPL"/>
    <s v="TBL- BARA AGRICO"/>
    <x v="0"/>
    <x v="22"/>
    <x v="6"/>
    <x v="35"/>
    <s v="GL C YS550 H6GL 0.45BMT(0.50TCT)X1220"/>
    <m/>
    <m/>
    <m/>
    <m/>
    <s v="Wider"/>
    <x v="5"/>
    <x v="7"/>
    <s v="H6GL"/>
    <x v="10"/>
    <x v="1"/>
    <x v="0"/>
    <n v="252"/>
    <n v="0"/>
    <n v="252"/>
    <n v="252"/>
    <n v="0"/>
    <n v="252"/>
    <n v="0"/>
    <n v="0"/>
    <n v="0"/>
    <n v="0"/>
    <n v="0"/>
    <n v="0"/>
    <n v="0"/>
    <n v="0"/>
    <n v="0"/>
    <n v="0"/>
    <n v="0"/>
    <n v="0"/>
    <n v="0"/>
    <n v="0"/>
    <n v="0"/>
    <n v="0"/>
    <n v="0"/>
    <n v="0"/>
    <n v="0"/>
    <n v="0"/>
    <n v="0"/>
    <n v="252"/>
    <n v="252"/>
    <m/>
    <n v="0"/>
    <n v="252"/>
    <n v="0"/>
    <n v="0"/>
    <n v="252"/>
    <n v="0"/>
    <n v="0"/>
    <n v="252"/>
    <n v="0"/>
    <n v="0"/>
    <n v="252"/>
    <n v="0"/>
    <n v="0"/>
    <n v="0"/>
    <n v="0"/>
    <n v="0"/>
    <n v="0"/>
    <n v="0"/>
    <n v="0"/>
    <n v="0"/>
    <n v="0"/>
    <m/>
    <m/>
    <m/>
    <m/>
    <m/>
    <m/>
    <m/>
    <m/>
    <s v="1"/>
    <s v="1"/>
    <s v="0"/>
    <s v="1"/>
    <s v="1"/>
    <m/>
    <m/>
    <m/>
    <m/>
    <m/>
    <m/>
    <m/>
    <m/>
    <m/>
    <m/>
    <m/>
    <m/>
    <m/>
    <m/>
  </r>
  <r>
    <n v="743"/>
    <d v="2025-03-20T00:00:00"/>
    <x v="0"/>
    <n v="9518617039"/>
    <n v="4"/>
    <s v="9518617039-4"/>
    <s v="Stocks"/>
    <x v="0"/>
    <m/>
    <x v="4"/>
    <x v="3"/>
    <x v="3"/>
    <m/>
    <x v="1"/>
    <m/>
    <m/>
    <s v="Jharkhand"/>
    <s v="TBSPL"/>
    <s v="TBL- BARA AGRICO"/>
    <x v="0"/>
    <x v="22"/>
    <x v="6"/>
    <x v="34"/>
    <s v="GL C YS550 H6GL 0.55BMT(0.60TCT)X1220"/>
    <m/>
    <m/>
    <m/>
    <m/>
    <s v="Wider"/>
    <x v="5"/>
    <x v="7"/>
    <s v="H6GL"/>
    <x v="18"/>
    <x v="1"/>
    <x v="0"/>
    <n v="112"/>
    <n v="0"/>
    <n v="112"/>
    <n v="-1.53"/>
    <n v="0"/>
    <n v="3.36"/>
    <n v="0"/>
    <n v="0"/>
    <n v="0"/>
    <n v="0"/>
    <n v="0"/>
    <n v="0"/>
    <n v="0"/>
    <n v="0"/>
    <n v="0"/>
    <n v="0"/>
    <n v="0"/>
    <n v="0"/>
    <n v="0"/>
    <n v="0"/>
    <n v="0"/>
    <n v="0"/>
    <n v="0"/>
    <n v="0"/>
    <n v="0"/>
    <n v="0"/>
    <n v="0"/>
    <n v="0"/>
    <n v="0"/>
    <m/>
    <n v="71.67"/>
    <n v="0"/>
    <n v="0"/>
    <n v="0"/>
    <n v="0"/>
    <n v="0"/>
    <n v="0"/>
    <n v="71.67"/>
    <n v="71.67"/>
    <n v="0"/>
    <n v="0"/>
    <n v="0"/>
    <n v="0"/>
    <n v="0"/>
    <n v="0"/>
    <n v="0"/>
    <n v="0"/>
    <n v="0"/>
    <n v="0"/>
    <n v="0"/>
    <n v="0"/>
    <m/>
    <m/>
    <m/>
    <m/>
    <m/>
    <m/>
    <m/>
    <m/>
    <s v="1"/>
    <s v="1"/>
    <s v="1"/>
    <s v="1"/>
    <s v="1"/>
    <m/>
    <m/>
    <m/>
    <m/>
    <m/>
    <m/>
    <m/>
    <m/>
    <m/>
    <m/>
    <m/>
    <m/>
    <m/>
    <m/>
  </r>
  <r>
    <n v="742"/>
    <d v="2025-03-14T00:00:00"/>
    <x v="1"/>
    <n v="4000500995"/>
    <n v="4"/>
    <s v="4000500995-4"/>
    <s v="Stocks"/>
    <x v="0"/>
    <m/>
    <x v="0"/>
    <x v="6"/>
    <x v="1"/>
    <m/>
    <x v="1"/>
    <m/>
    <m/>
    <e v="#N/A"/>
    <s v="South"/>
    <s v="YESHWANTHPURA"/>
    <x v="0"/>
    <x v="21"/>
    <x v="21"/>
    <x v="197"/>
    <s v="HR COILS-PO IS 1079 HR2 2.50X1250"/>
    <m/>
    <m/>
    <m/>
    <m/>
    <s v="Wider"/>
    <x v="0"/>
    <x v="0"/>
    <s v="HR99"/>
    <x v="38"/>
    <x v="0"/>
    <x v="0"/>
    <n v="200"/>
    <n v="123.21"/>
    <n v="76.790000000000006"/>
    <n v="76.790000000000006"/>
    <n v="6.7900000000000063"/>
    <n v="3.5649999999999999"/>
    <n v="0"/>
    <n v="0"/>
    <n v="0"/>
    <n v="0"/>
    <n v="0"/>
    <n v="0"/>
    <n v="0"/>
    <n v="0"/>
    <n v="0"/>
    <n v="0"/>
    <n v="0"/>
    <n v="0"/>
    <n v="0"/>
    <n v="0"/>
    <n v="0"/>
    <n v="0"/>
    <n v="0"/>
    <n v="0"/>
    <n v="0"/>
    <n v="0"/>
    <n v="0"/>
    <n v="70"/>
    <n v="70"/>
    <m/>
    <n v="48.864999999999995"/>
    <n v="0"/>
    <n v="0"/>
    <n v="0"/>
    <n v="0"/>
    <n v="0"/>
    <n v="0"/>
    <n v="48.864999999999995"/>
    <n v="48.864999999999995"/>
    <n v="0"/>
    <n v="0"/>
    <n v="0"/>
    <n v="0"/>
    <n v="0"/>
    <n v="0"/>
    <n v="0"/>
    <n v="0"/>
    <n v="0"/>
    <n v="0"/>
    <n v="0"/>
    <n v="0"/>
    <m/>
    <m/>
    <m/>
    <m/>
    <m/>
    <m/>
    <m/>
    <m/>
    <s v="1"/>
    <s v="1"/>
    <s v="1"/>
    <s v="1"/>
    <s v="1"/>
    <m/>
    <m/>
    <m/>
    <m/>
    <m/>
    <m/>
    <m/>
    <m/>
    <m/>
    <m/>
    <m/>
    <m/>
    <m/>
    <m/>
  </r>
  <r>
    <n v="742"/>
    <d v="2025-03-25T00:00:00"/>
    <x v="0"/>
    <n v="9518631417"/>
    <n v="4"/>
    <s v="9518631417-4"/>
    <s v="Apr'25 additional"/>
    <x v="0"/>
    <m/>
    <x v="0"/>
    <x v="0"/>
    <x v="1"/>
    <m/>
    <x v="1"/>
    <m/>
    <m/>
    <s v="Karnataka"/>
    <s v="South"/>
    <s v="BANGALORE CITY"/>
    <x v="0"/>
    <x v="46"/>
    <x v="45"/>
    <x v="88"/>
    <s v="HR COILS-PO IS 1079 HR2 4X1250"/>
    <m/>
    <m/>
    <m/>
    <m/>
    <s v="Wider"/>
    <x v="0"/>
    <x v="0"/>
    <s v="HR99"/>
    <x v="31"/>
    <x v="0"/>
    <x v="0"/>
    <n v="50"/>
    <n v="0"/>
    <n v="50"/>
    <n v="50"/>
    <n v="1.0300000000000011"/>
    <n v="50"/>
    <n v="0"/>
    <n v="0"/>
    <n v="48.97"/>
    <n v="0"/>
    <n v="0"/>
    <n v="0"/>
    <n v="0"/>
    <n v="0"/>
    <n v="0"/>
    <n v="0"/>
    <n v="0"/>
    <n v="0"/>
    <n v="0"/>
    <n v="0"/>
    <n v="0"/>
    <n v="0"/>
    <n v="0"/>
    <n v="0"/>
    <n v="0"/>
    <n v="48.97"/>
    <n v="48.97"/>
    <n v="0"/>
    <n v="48.97"/>
    <m/>
    <n v="0"/>
    <n v="50"/>
    <n v="0"/>
    <n v="50"/>
    <n v="0"/>
    <n v="0"/>
    <n v="0"/>
    <n v="50"/>
    <n v="0"/>
    <n v="50"/>
    <n v="0"/>
    <n v="0"/>
    <n v="0"/>
    <n v="0"/>
    <n v="0"/>
    <n v="0"/>
    <n v="0"/>
    <n v="0"/>
    <n v="0"/>
    <n v="0"/>
    <n v="0"/>
    <m/>
    <m/>
    <m/>
    <m/>
    <m/>
    <m/>
    <m/>
    <m/>
    <s v="1"/>
    <s v="0"/>
    <s v="1"/>
    <s v="1"/>
    <s v="1"/>
    <m/>
    <m/>
    <m/>
    <m/>
    <m/>
    <m/>
    <m/>
    <m/>
    <m/>
    <m/>
    <m/>
    <m/>
    <m/>
    <m/>
  </r>
  <r>
    <n v="744"/>
    <d v="2025-03-29T00:00:00"/>
    <x v="0"/>
    <n v="9518651680"/>
    <n v="3"/>
    <s v="9518651680-3"/>
    <s v="Stocks"/>
    <x v="0"/>
    <m/>
    <x v="2"/>
    <x v="3"/>
    <x v="3"/>
    <m/>
    <x v="1"/>
    <m/>
    <m/>
    <s v="Jharkhand"/>
    <s v="TBSPL"/>
    <s v="GAMHARIA"/>
    <x v="0"/>
    <x v="15"/>
    <x v="15"/>
    <x v="76"/>
    <s v="PPGL C Y550 ISC6 0.43BMT(0.48TPT)X1220"/>
    <s v="aZ70"/>
    <m/>
    <m/>
    <m/>
    <s v="Wider"/>
    <x v="3"/>
    <x v="3"/>
    <s v="ISC6"/>
    <x v="25"/>
    <x v="1"/>
    <x v="0"/>
    <n v="28"/>
    <n v="0"/>
    <n v="28"/>
    <n v="28"/>
    <n v="22.625"/>
    <n v="10.42"/>
    <n v="0"/>
    <n v="0"/>
    <n v="0"/>
    <n v="0"/>
    <n v="0"/>
    <n v="0"/>
    <n v="0"/>
    <n v="5.375"/>
    <n v="0"/>
    <n v="0"/>
    <n v="0"/>
    <n v="0"/>
    <n v="0"/>
    <n v="0"/>
    <n v="0"/>
    <n v="0"/>
    <n v="0"/>
    <n v="0"/>
    <n v="0"/>
    <n v="5.375"/>
    <n v="5.375"/>
    <n v="0"/>
    <n v="5.375"/>
    <m/>
    <n v="17.559999999999999"/>
    <n v="10.42"/>
    <n v="0"/>
    <n v="0"/>
    <n v="10.42"/>
    <n v="0"/>
    <n v="0"/>
    <n v="27.979999999999997"/>
    <n v="0"/>
    <n v="0"/>
    <n v="0"/>
    <n v="27.979999999999997"/>
    <n v="0"/>
    <n v="0"/>
    <n v="0"/>
    <n v="0"/>
    <n v="0"/>
    <n v="0"/>
    <n v="0"/>
    <n v="0"/>
    <n v="0"/>
    <m/>
    <m/>
    <m/>
    <m/>
    <m/>
    <m/>
    <m/>
    <m/>
    <s v="1"/>
    <s v="1"/>
    <s v="0"/>
    <s v="1"/>
    <s v="1"/>
    <m/>
    <m/>
    <m/>
    <m/>
    <m/>
    <m/>
    <m/>
    <m/>
    <m/>
    <m/>
    <m/>
    <m/>
    <m/>
    <m/>
  </r>
  <r>
    <n v="744"/>
    <d v="2025-03-13T00:00:00"/>
    <x v="0"/>
    <n v="9518598830"/>
    <n v="1"/>
    <s v="9518598830-1"/>
    <s v="Stocks"/>
    <x v="0"/>
    <m/>
    <x v="2"/>
    <x v="3"/>
    <x v="3"/>
    <m/>
    <x v="1"/>
    <m/>
    <m/>
    <s v="Jharkhand"/>
    <s v="TBSPL"/>
    <s v="GAMHARIA"/>
    <x v="0"/>
    <x v="15"/>
    <x v="15"/>
    <x v="78"/>
    <s v="PPGL C Y550 ISC6 0.40BMT(0.45TPT)X1220"/>
    <s v="aZ70"/>
    <m/>
    <m/>
    <m/>
    <s v="Wider"/>
    <x v="3"/>
    <x v="3"/>
    <s v="ISC6"/>
    <x v="2"/>
    <x v="1"/>
    <x v="0"/>
    <n v="112"/>
    <n v="71.814999999999998"/>
    <n v="40.185000000000002"/>
    <n v="12.455"/>
    <n v="-2.1599999999999966"/>
    <n v="33.984999999999999"/>
    <n v="0"/>
    <n v="28.81"/>
    <n v="0"/>
    <n v="0"/>
    <n v="0"/>
    <n v="0"/>
    <n v="0"/>
    <n v="13.535"/>
    <n v="0"/>
    <n v="0"/>
    <n v="0"/>
    <n v="0"/>
    <n v="0"/>
    <n v="0"/>
    <n v="0"/>
    <n v="0"/>
    <n v="0"/>
    <n v="0"/>
    <n v="0"/>
    <n v="42.344999999999999"/>
    <n v="42.344999999999999"/>
    <n v="0"/>
    <n v="42.344999999999999"/>
    <m/>
    <n v="2.6549999999999998"/>
    <n v="33.984999999999999"/>
    <n v="0"/>
    <n v="33.984999999999999"/>
    <n v="0"/>
    <n v="0"/>
    <n v="0"/>
    <n v="36.64"/>
    <n v="0"/>
    <n v="0"/>
    <n v="36.64"/>
    <n v="0"/>
    <n v="0"/>
    <n v="0"/>
    <n v="59.5"/>
    <n v="0"/>
    <n v="33.984999999999999"/>
    <n v="0"/>
    <n v="0"/>
    <n v="0"/>
    <n v="25.515000000000001"/>
    <m/>
    <m/>
    <m/>
    <m/>
    <m/>
    <m/>
    <m/>
    <m/>
    <s v="1"/>
    <s v="1"/>
    <s v="1"/>
    <s v="1"/>
    <s v="1"/>
    <m/>
    <m/>
    <m/>
    <m/>
    <m/>
    <m/>
    <m/>
    <m/>
    <m/>
    <m/>
    <m/>
    <m/>
    <m/>
    <m/>
  </r>
  <r>
    <n v="744"/>
    <d v="2025-03-29T00:00:00"/>
    <x v="0"/>
    <n v="9518652226"/>
    <n v="1"/>
    <s v="9518652226-1"/>
    <s v="Stocks"/>
    <x v="0"/>
    <m/>
    <x v="2"/>
    <x v="3"/>
    <x v="3"/>
    <m/>
    <x v="1"/>
    <m/>
    <m/>
    <s v="Jharkhand"/>
    <s v="TBSPL"/>
    <s v="GAMHARIA"/>
    <x v="0"/>
    <x v="15"/>
    <x v="15"/>
    <x v="192"/>
    <s v="PPGL C Y550 D0C7 0.43BMT(0.47TPT)X1220"/>
    <s v="aZ70"/>
    <m/>
    <m/>
    <m/>
    <s v="Wider"/>
    <x v="3"/>
    <x v="3"/>
    <s v="D0C7"/>
    <x v="25"/>
    <x v="1"/>
    <x v="0"/>
    <n v="55.99"/>
    <n v="54.505000000000003"/>
    <n v="1.4850000000000001"/>
    <n v="-2.82"/>
    <n v="0"/>
    <n v="-3.55"/>
    <n v="0"/>
    <n v="0"/>
    <n v="0"/>
    <n v="0"/>
    <n v="0"/>
    <n v="0"/>
    <n v="0"/>
    <n v="0"/>
    <n v="0"/>
    <n v="0"/>
    <n v="0"/>
    <n v="0"/>
    <n v="0"/>
    <n v="0"/>
    <n v="0"/>
    <n v="0"/>
    <n v="0"/>
    <n v="0"/>
    <n v="0"/>
    <n v="0"/>
    <n v="0"/>
    <n v="0"/>
    <n v="0"/>
    <m/>
    <n v="28.8"/>
    <n v="0"/>
    <n v="0"/>
    <n v="0"/>
    <n v="0"/>
    <n v="0"/>
    <n v="0"/>
    <n v="28.8"/>
    <n v="28.8"/>
    <n v="0"/>
    <n v="0"/>
    <n v="0"/>
    <n v="0"/>
    <n v="0"/>
    <n v="49.394999999999996"/>
    <n v="0"/>
    <n v="0"/>
    <n v="0"/>
    <n v="0"/>
    <n v="0"/>
    <n v="49.394999999999996"/>
    <m/>
    <m/>
    <m/>
    <m/>
    <m/>
    <m/>
    <m/>
    <m/>
    <s v="1"/>
    <s v="1"/>
    <s v="1"/>
    <s v="1"/>
    <s v="1"/>
    <m/>
    <m/>
    <m/>
    <m/>
    <m/>
    <m/>
    <m/>
    <m/>
    <m/>
    <m/>
    <m/>
    <m/>
    <m/>
    <m/>
  </r>
  <r>
    <n v="744"/>
    <d v="2025-03-26T00:00:00"/>
    <x v="0"/>
    <n v="9518635916"/>
    <n v="2"/>
    <s v="9518635916-2"/>
    <s v="Stocks"/>
    <x v="0"/>
    <m/>
    <x v="2"/>
    <x v="3"/>
    <x v="3"/>
    <m/>
    <x v="1"/>
    <m/>
    <m/>
    <s v="Jharkhand"/>
    <s v="TBSPL"/>
    <s v="GAMHARIA"/>
    <x v="0"/>
    <x v="15"/>
    <x v="15"/>
    <x v="192"/>
    <s v="PPGL C Y550 D0C7 0.43BMT(0.47TPT)X1220"/>
    <s v="aZ70"/>
    <m/>
    <m/>
    <m/>
    <s v="Wider"/>
    <x v="3"/>
    <x v="3"/>
    <s v="D0C7"/>
    <x v="25"/>
    <x v="1"/>
    <x v="0"/>
    <n v="280"/>
    <n v="204.54499999999999"/>
    <n v="75.454999999999998"/>
    <n v="-1.786"/>
    <n v="0"/>
    <n v="60.405000000000001"/>
    <n v="0"/>
    <n v="0"/>
    <n v="0"/>
    <n v="0"/>
    <n v="0"/>
    <n v="0"/>
    <n v="0"/>
    <n v="0"/>
    <n v="0"/>
    <n v="0"/>
    <n v="0"/>
    <n v="0"/>
    <n v="0"/>
    <n v="0"/>
    <n v="0"/>
    <n v="26.04"/>
    <n v="0"/>
    <n v="0"/>
    <n v="0"/>
    <n v="26.04"/>
    <n v="26.04"/>
    <n v="0"/>
    <n v="26.04"/>
    <m/>
    <n v="7.5549999999999997"/>
    <n v="60.405000000000001"/>
    <n v="0"/>
    <n v="0"/>
    <n v="60.405000000000001"/>
    <n v="0"/>
    <n v="0"/>
    <n v="67.960000000000008"/>
    <n v="0"/>
    <n v="0"/>
    <n v="0"/>
    <n v="67.960000000000008"/>
    <n v="0"/>
    <n v="0"/>
    <n v="0"/>
    <n v="0"/>
    <n v="0"/>
    <n v="0"/>
    <n v="0"/>
    <n v="0"/>
    <n v="0"/>
    <m/>
    <m/>
    <m/>
    <m/>
    <m/>
    <m/>
    <m/>
    <m/>
    <s v="1"/>
    <s v="1"/>
    <s v="0"/>
    <s v="1"/>
    <s v="1"/>
    <m/>
    <m/>
    <m/>
    <m/>
    <m/>
    <m/>
    <m/>
    <m/>
    <m/>
    <m/>
    <m/>
    <m/>
    <m/>
    <m/>
  </r>
  <r>
    <n v="744"/>
    <d v="2025-03-29T00:00:00"/>
    <x v="0"/>
    <n v="9518651680"/>
    <n v="4"/>
    <s v="9518651680-4"/>
    <s v="May'25"/>
    <x v="0"/>
    <m/>
    <x v="2"/>
    <x v="3"/>
    <x v="3"/>
    <m/>
    <x v="1"/>
    <m/>
    <m/>
    <s v="Jharkhand"/>
    <s v="TBSPL"/>
    <s v="GAMHARIA"/>
    <x v="0"/>
    <x v="15"/>
    <x v="15"/>
    <x v="78"/>
    <s v="PPGL C Y550 ISC6 0.40BMT(0.45TPT)X1220"/>
    <s v="aZ70"/>
    <m/>
    <m/>
    <m/>
    <s v="Wider"/>
    <x v="3"/>
    <x v="3"/>
    <s v="ISC6"/>
    <x v="2"/>
    <x v="1"/>
    <x v="0"/>
    <n v="28"/>
    <n v="0"/>
    <n v="28"/>
    <n v="-0.1"/>
    <n v="0"/>
    <n v="28"/>
    <n v="0"/>
    <n v="0"/>
    <n v="0"/>
    <n v="0"/>
    <n v="0"/>
    <n v="0"/>
    <n v="0"/>
    <n v="0"/>
    <n v="0"/>
    <n v="0"/>
    <n v="0"/>
    <n v="0"/>
    <n v="0"/>
    <n v="0"/>
    <n v="0"/>
    <n v="0"/>
    <n v="0"/>
    <n v="0"/>
    <n v="0"/>
    <n v="0"/>
    <n v="0"/>
    <n v="0"/>
    <n v="0"/>
    <m/>
    <n v="0"/>
    <n v="28"/>
    <n v="0"/>
    <n v="0"/>
    <n v="28"/>
    <n v="0"/>
    <n v="0"/>
    <n v="28"/>
    <n v="0"/>
    <n v="0"/>
    <n v="28"/>
    <n v="0"/>
    <n v="0"/>
    <n v="0"/>
    <n v="0"/>
    <n v="0"/>
    <n v="0"/>
    <n v="0"/>
    <n v="0"/>
    <n v="0"/>
    <n v="0"/>
    <m/>
    <m/>
    <m/>
    <m/>
    <m/>
    <m/>
    <m/>
    <m/>
    <s v="1"/>
    <s v="1"/>
    <s v="0"/>
    <s v="1"/>
    <s v="1"/>
    <m/>
    <m/>
    <m/>
    <m/>
    <m/>
    <m/>
    <m/>
    <m/>
    <m/>
    <m/>
    <m/>
    <m/>
    <m/>
    <m/>
  </r>
  <r>
    <n v="744"/>
    <d v="2025-03-29T00:00:00"/>
    <x v="0"/>
    <n v="9518651680"/>
    <n v="5"/>
    <s v="9518651680-5"/>
    <s v="Stocks"/>
    <x v="0"/>
    <m/>
    <x v="2"/>
    <x v="3"/>
    <x v="3"/>
    <m/>
    <x v="1"/>
    <m/>
    <m/>
    <s v="Jharkhand"/>
    <s v="TBSPL"/>
    <s v="GAMHARIA"/>
    <x v="0"/>
    <x v="15"/>
    <x v="15"/>
    <x v="86"/>
    <s v="PPGL C Y550 ISC6 0.45BMT(0.50TPT)X1220"/>
    <s v="aZ70"/>
    <m/>
    <m/>
    <m/>
    <s v="Wider"/>
    <x v="3"/>
    <x v="3"/>
    <s v="ISC6"/>
    <x v="10"/>
    <x v="1"/>
    <x v="0"/>
    <n v="84"/>
    <n v="0"/>
    <n v="84"/>
    <n v="-2.1800000000000002"/>
    <n v="0"/>
    <n v="0.32500000000000001"/>
    <n v="0"/>
    <n v="0"/>
    <n v="0"/>
    <n v="0"/>
    <n v="0"/>
    <n v="0"/>
    <n v="0"/>
    <n v="0"/>
    <n v="0"/>
    <n v="0"/>
    <n v="0"/>
    <n v="0"/>
    <n v="0"/>
    <n v="0"/>
    <n v="0"/>
    <n v="0"/>
    <n v="0"/>
    <n v="0"/>
    <n v="0"/>
    <n v="0"/>
    <n v="0"/>
    <n v="0"/>
    <n v="0"/>
    <m/>
    <n v="8.1849999999999987"/>
    <n v="0"/>
    <n v="0"/>
    <n v="0"/>
    <n v="0"/>
    <n v="0"/>
    <n v="0"/>
    <n v="8.1849999999999987"/>
    <n v="8.1849999999999987"/>
    <n v="0"/>
    <n v="0"/>
    <n v="0"/>
    <n v="0"/>
    <n v="0"/>
    <n v="0"/>
    <n v="0"/>
    <n v="0"/>
    <n v="0"/>
    <n v="0"/>
    <n v="0"/>
    <n v="0"/>
    <m/>
    <m/>
    <m/>
    <m/>
    <m/>
    <m/>
    <m/>
    <m/>
    <s v="1"/>
    <s v="1"/>
    <s v="1"/>
    <s v="1"/>
    <s v="1"/>
    <m/>
    <m/>
    <m/>
    <m/>
    <m/>
    <m/>
    <m/>
    <m/>
    <m/>
    <m/>
    <m/>
    <m/>
    <m/>
    <m/>
  </r>
  <r>
    <n v="744"/>
    <d v="2025-03-26T00:00:00"/>
    <x v="0"/>
    <n v="9518635916"/>
    <n v="4"/>
    <s v="9518635916-4"/>
    <s v="Stocks"/>
    <x v="0"/>
    <m/>
    <x v="2"/>
    <x v="3"/>
    <x v="3"/>
    <m/>
    <x v="1"/>
    <m/>
    <m/>
    <s v="Jharkhand"/>
    <s v="TBSPL"/>
    <s v="GAMHARIA"/>
    <x v="0"/>
    <x v="15"/>
    <x v="15"/>
    <x v="192"/>
    <s v="PPGL C Y550 D0C7 0.43BMT(0.47TPT)X1220"/>
    <s v="aZ70"/>
    <m/>
    <m/>
    <m/>
    <s v="Wider"/>
    <x v="3"/>
    <x v="3"/>
    <s v="D0C7"/>
    <x v="25"/>
    <x v="1"/>
    <x v="0"/>
    <n v="56"/>
    <n v="27.02"/>
    <n v="28.98"/>
    <n v="28.98"/>
    <n v="24.490000000000002"/>
    <n v="10.28"/>
    <n v="0"/>
    <n v="0"/>
    <n v="0"/>
    <n v="0"/>
    <n v="0"/>
    <n v="0"/>
    <n v="0"/>
    <n v="0"/>
    <n v="0"/>
    <n v="0"/>
    <n v="0"/>
    <n v="0"/>
    <n v="0"/>
    <n v="0"/>
    <n v="0"/>
    <n v="0"/>
    <n v="0"/>
    <n v="0"/>
    <n v="4.49"/>
    <n v="4.49"/>
    <n v="4.49"/>
    <n v="0"/>
    <n v="4.49"/>
    <m/>
    <n v="14.484999999999999"/>
    <n v="0"/>
    <n v="0"/>
    <n v="0"/>
    <n v="0"/>
    <n v="0"/>
    <n v="0"/>
    <n v="14.484999999999999"/>
    <n v="14.484999999999999"/>
    <n v="0"/>
    <n v="0"/>
    <n v="0"/>
    <n v="0"/>
    <n v="0"/>
    <n v="0"/>
    <n v="0"/>
    <n v="0"/>
    <n v="0"/>
    <n v="0"/>
    <n v="0"/>
    <n v="0"/>
    <m/>
    <m/>
    <m/>
    <m/>
    <m/>
    <m/>
    <m/>
    <m/>
    <s v="1"/>
    <s v="1"/>
    <s v="1"/>
    <s v="1"/>
    <s v="1"/>
    <m/>
    <m/>
    <m/>
    <m/>
    <m/>
    <m/>
    <m/>
    <m/>
    <m/>
    <m/>
    <m/>
    <m/>
    <m/>
    <m/>
  </r>
  <r>
    <n v="744"/>
    <d v="2025-03-22T00:00:00"/>
    <x v="0"/>
    <n v="9518624252"/>
    <n v="11"/>
    <s v="9518624252-11"/>
    <s v="Stocks"/>
    <x v="0"/>
    <m/>
    <x v="2"/>
    <x v="3"/>
    <x v="3"/>
    <m/>
    <x v="1"/>
    <m/>
    <m/>
    <s v="Jharkhand"/>
    <s v="TBSPL"/>
    <s v="TBL- BARA AGRICO"/>
    <x v="0"/>
    <x v="6"/>
    <x v="6"/>
    <x v="137"/>
    <s v="PPGL C HARD Y550PL D0C9 0.470(TPT)X1220"/>
    <s v="AZ150"/>
    <m/>
    <m/>
    <m/>
    <s v="Wider"/>
    <x v="3"/>
    <x v="3"/>
    <s v="D0C9"/>
    <x v="14"/>
    <x v="1"/>
    <x v="0"/>
    <n v="28"/>
    <n v="0"/>
    <n v="28"/>
    <n v="0.46500000000000002"/>
    <n v="0"/>
    <n v="2.27"/>
    <n v="0"/>
    <n v="0"/>
    <n v="0"/>
    <n v="0"/>
    <n v="0"/>
    <n v="0"/>
    <n v="0"/>
    <n v="0"/>
    <n v="0"/>
    <n v="0"/>
    <n v="0"/>
    <n v="0"/>
    <n v="0"/>
    <n v="0"/>
    <n v="0"/>
    <n v="0"/>
    <n v="0"/>
    <n v="0"/>
    <n v="0"/>
    <n v="0"/>
    <n v="0"/>
    <n v="0"/>
    <n v="0"/>
    <m/>
    <n v="2.76"/>
    <n v="0"/>
    <n v="0"/>
    <n v="0"/>
    <n v="0"/>
    <n v="0"/>
    <n v="0"/>
    <n v="2.76"/>
    <n v="2.76"/>
    <n v="0"/>
    <n v="0"/>
    <n v="0"/>
    <n v="0"/>
    <n v="0"/>
    <n v="0"/>
    <n v="0"/>
    <n v="0"/>
    <n v="0"/>
    <n v="0"/>
    <n v="0"/>
    <n v="0"/>
    <m/>
    <m/>
    <m/>
    <m/>
    <m/>
    <m/>
    <m/>
    <m/>
    <s v="1"/>
    <s v="1"/>
    <s v="1"/>
    <s v="1"/>
    <s v="1"/>
    <m/>
    <m/>
    <m/>
    <m/>
    <m/>
    <m/>
    <m/>
    <m/>
    <m/>
    <m/>
    <m/>
    <m/>
    <m/>
    <m/>
  </r>
  <r>
    <n v="744"/>
    <d v="2025-03-26T00:00:00"/>
    <x v="0"/>
    <n v="9518635916"/>
    <n v="5"/>
    <s v="9518635916-5"/>
    <s v="No Priority"/>
    <x v="0"/>
    <m/>
    <x v="2"/>
    <x v="3"/>
    <x v="3"/>
    <m/>
    <x v="0"/>
    <m/>
    <m/>
    <s v="Jharkhand"/>
    <s v="TBSPL"/>
    <s v="GAMHARIA"/>
    <x v="0"/>
    <x v="15"/>
    <x v="15"/>
    <x v="192"/>
    <s v="PPGL C Y550 D0C7 0.43BMT(0.47TPT)X1220"/>
    <s v="aZ70"/>
    <m/>
    <m/>
    <m/>
    <s v="Wider"/>
    <x v="3"/>
    <x v="3"/>
    <s v="D0C7"/>
    <x v="25"/>
    <x v="1"/>
    <x v="0"/>
    <n v="28"/>
    <n v="0"/>
    <n v="28"/>
    <n v="0.45"/>
    <n v="0"/>
    <n v="25.94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13T00:00:00"/>
    <x v="0"/>
    <n v="9518598962"/>
    <n v="2"/>
    <s v="9518598962-2"/>
    <s v="Apr'25 additional"/>
    <x v="0"/>
    <m/>
    <x v="2"/>
    <x v="3"/>
    <x v="3"/>
    <m/>
    <x v="1"/>
    <m/>
    <m/>
    <s v="Jharkhand"/>
    <s v="TBSPL"/>
    <s v="TBL- BARA AGRICO"/>
    <x v="0"/>
    <x v="6"/>
    <x v="6"/>
    <x v="84"/>
    <s v="PPGL C HARD Y550PL D0C9 0.50(TPT)X1220"/>
    <s v="AZ150"/>
    <m/>
    <m/>
    <m/>
    <s v="Wider"/>
    <x v="3"/>
    <x v="3"/>
    <s v="D0C9"/>
    <x v="1"/>
    <x v="1"/>
    <x v="0"/>
    <n v="84"/>
    <n v="0"/>
    <n v="84"/>
    <n v="84"/>
    <n v="84"/>
    <n v="8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29T00:00:00"/>
    <x v="0"/>
    <n v="9518651680"/>
    <n v="7"/>
    <s v="9518651680-7"/>
    <s v="Apr'25 additional"/>
    <x v="0"/>
    <m/>
    <x v="2"/>
    <x v="3"/>
    <x v="3"/>
    <m/>
    <x v="1"/>
    <m/>
    <m/>
    <s v="Jharkhand"/>
    <s v="TBSPL"/>
    <s v="GAMHARIA"/>
    <x v="0"/>
    <x v="15"/>
    <x v="15"/>
    <x v="86"/>
    <s v="PPGL C Y550 ISC6 0.45BMT(0.50TPT)X1220"/>
    <s v="aZ70"/>
    <m/>
    <m/>
    <m/>
    <s v="Wider"/>
    <x v="3"/>
    <x v="3"/>
    <s v="ISC6"/>
    <x v="10"/>
    <x v="1"/>
    <x v="0"/>
    <n v="28"/>
    <n v="0"/>
    <n v="28"/>
    <n v="28"/>
    <n v="28"/>
    <n v="28"/>
    <n v="0"/>
    <n v="0"/>
    <n v="0"/>
    <n v="0"/>
    <n v="0"/>
    <n v="0"/>
    <n v="0"/>
    <n v="0"/>
    <n v="0"/>
    <n v="0"/>
    <n v="0"/>
    <n v="0"/>
    <n v="0"/>
    <n v="0"/>
    <n v="0"/>
    <n v="0"/>
    <n v="0"/>
    <n v="0"/>
    <n v="0"/>
    <n v="0"/>
    <n v="0"/>
    <n v="0"/>
    <n v="0"/>
    <m/>
    <n v="0"/>
    <n v="28"/>
    <n v="0"/>
    <n v="0"/>
    <n v="28"/>
    <n v="0"/>
    <n v="0"/>
    <n v="28"/>
    <n v="0"/>
    <n v="0"/>
    <n v="0"/>
    <n v="28"/>
    <n v="0"/>
    <n v="0"/>
    <n v="0"/>
    <n v="0"/>
    <n v="0"/>
    <n v="0"/>
    <n v="0"/>
    <n v="0"/>
    <n v="0"/>
    <m/>
    <m/>
    <m/>
    <m/>
    <m/>
    <m/>
    <m/>
    <m/>
    <s v="1"/>
    <s v="1"/>
    <s v="0"/>
    <s v="1"/>
    <s v="1"/>
    <m/>
    <m/>
    <m/>
    <m/>
    <m/>
    <m/>
    <m/>
    <m/>
    <m/>
    <m/>
    <m/>
    <m/>
    <m/>
    <m/>
  </r>
  <r>
    <n v="744"/>
    <d v="2025-03-22T00:00:00"/>
    <x v="0"/>
    <n v="9518624252"/>
    <n v="13"/>
    <s v="9518624252-13"/>
    <s v="Apr'25 additional"/>
    <x v="0"/>
    <m/>
    <x v="2"/>
    <x v="3"/>
    <x v="3"/>
    <m/>
    <x v="1"/>
    <m/>
    <m/>
    <s v="Jharkhand"/>
    <s v="TBSPL"/>
    <s v="TBL- BARA AGRICO"/>
    <x v="0"/>
    <x v="6"/>
    <x v="6"/>
    <x v="137"/>
    <s v="PPGL C HARD Y550PL D0C9 0.470(TPT)X1220"/>
    <s v="AZ150"/>
    <m/>
    <m/>
    <m/>
    <s v="Wider"/>
    <x v="3"/>
    <x v="3"/>
    <s v="D0C9"/>
    <x v="14"/>
    <x v="1"/>
    <x v="0"/>
    <n v="28"/>
    <n v="0"/>
    <n v="28"/>
    <n v="28"/>
    <n v="28"/>
    <n v="2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08T00:00:00"/>
    <x v="0"/>
    <s v="9518585087"/>
    <s v="1"/>
    <s v="9518585087-1"/>
    <s v="Apr'25 additional"/>
    <x v="0"/>
    <m/>
    <x v="2"/>
    <x v="3"/>
    <x v="3"/>
    <m/>
    <x v="1"/>
    <m/>
    <m/>
    <s v="Tamil Nadu"/>
    <s v="TBSPL"/>
    <s v="SRIPERUMBADUR"/>
    <x v="0"/>
    <x v="52"/>
    <x v="15"/>
    <x v="97"/>
    <s v="PPGL C HARD Y550PL DX01 0.530X1220"/>
    <m/>
    <m/>
    <m/>
    <m/>
    <s v="Wider"/>
    <x v="3"/>
    <x v="14"/>
    <s v="DX01"/>
    <x v="34"/>
    <x v="1"/>
    <x v="0"/>
    <n v="224"/>
    <n v="0"/>
    <n v="224"/>
    <n v="224"/>
    <n v="142.55500000000001"/>
    <n v="87.52"/>
    <n v="0"/>
    <n v="28.72"/>
    <n v="0"/>
    <n v="0"/>
    <n v="0"/>
    <n v="0"/>
    <n v="0"/>
    <n v="0"/>
    <n v="0"/>
    <n v="0"/>
    <n v="0"/>
    <n v="0"/>
    <n v="0"/>
    <n v="0"/>
    <n v="0"/>
    <n v="48.125"/>
    <n v="0"/>
    <n v="0"/>
    <n v="4.6000000000000005"/>
    <n v="81.444999999999993"/>
    <n v="81.444999999999993"/>
    <n v="0"/>
    <n v="81.444999999999993"/>
    <m/>
    <n v="136.47999999999999"/>
    <n v="87.52"/>
    <n v="87.52"/>
    <n v="0"/>
    <n v="0"/>
    <n v="0"/>
    <n v="0"/>
    <n v="224"/>
    <n v="0"/>
    <n v="224"/>
    <n v="0"/>
    <n v="0"/>
    <n v="0"/>
    <n v="0"/>
    <n v="0"/>
    <n v="0"/>
    <n v="0"/>
    <n v="0"/>
    <n v="0"/>
    <n v="0"/>
    <n v="0"/>
    <m/>
    <m/>
    <m/>
    <m/>
    <m/>
    <m/>
    <m/>
    <m/>
    <s v="0"/>
    <s v="1"/>
    <s v="1"/>
    <s v="1"/>
    <s v="1"/>
    <m/>
    <m/>
    <m/>
    <m/>
    <m/>
    <m/>
    <m/>
    <m/>
    <m/>
    <m/>
    <m/>
    <m/>
    <m/>
    <m/>
  </r>
  <r>
    <n v="744"/>
    <d v="2025-03-08T00:00:00"/>
    <x v="0"/>
    <s v="9518585087"/>
    <s v="3"/>
    <s v="9518585087-3"/>
    <s v="Apr'25 additional"/>
    <x v="0"/>
    <m/>
    <x v="2"/>
    <x v="3"/>
    <x v="3"/>
    <m/>
    <x v="1"/>
    <m/>
    <m/>
    <s v="Tamil Nadu"/>
    <s v="TBSPL"/>
    <s v="SRIPERUMBADUR"/>
    <x v="0"/>
    <x v="52"/>
    <x v="15"/>
    <x v="97"/>
    <s v="PPGL C HARD Y550PL DX01 0.530X1220"/>
    <m/>
    <m/>
    <m/>
    <m/>
    <s v="Wider"/>
    <x v="3"/>
    <x v="14"/>
    <s v="DX01"/>
    <x v="34"/>
    <x v="1"/>
    <x v="0"/>
    <n v="84"/>
    <n v="0"/>
    <n v="84"/>
    <n v="19.690000000000001"/>
    <n v="26.104999999999997"/>
    <n v="49.41"/>
    <n v="0"/>
    <n v="0"/>
    <n v="0"/>
    <n v="0"/>
    <n v="0"/>
    <n v="0"/>
    <n v="0"/>
    <n v="0"/>
    <n v="0"/>
    <n v="4.1500000000000004"/>
    <n v="0"/>
    <n v="0"/>
    <n v="0"/>
    <n v="0"/>
    <n v="0"/>
    <n v="37.090000000000003"/>
    <n v="0"/>
    <n v="16.655000000000001"/>
    <n v="0"/>
    <n v="57.895000000000003"/>
    <n v="57.895000000000003"/>
    <n v="0"/>
    <n v="57.895000000000003"/>
    <m/>
    <n v="34.58"/>
    <n v="49.41"/>
    <n v="49.41"/>
    <n v="0"/>
    <n v="0"/>
    <n v="0"/>
    <n v="0"/>
    <n v="83.99"/>
    <n v="0"/>
    <n v="83.99"/>
    <n v="0"/>
    <n v="0"/>
    <n v="0"/>
    <n v="0"/>
    <n v="0"/>
    <n v="0"/>
    <n v="0"/>
    <n v="0"/>
    <n v="0"/>
    <n v="0"/>
    <n v="0"/>
    <m/>
    <m/>
    <m/>
    <m/>
    <m/>
    <m/>
    <m/>
    <m/>
    <s v="0"/>
    <s v="1"/>
    <s v="1"/>
    <s v="1"/>
    <s v="1"/>
    <m/>
    <m/>
    <m/>
    <m/>
    <m/>
    <m/>
    <m/>
    <m/>
    <m/>
    <m/>
    <m/>
    <m/>
    <m/>
    <m/>
  </r>
  <r>
    <n v="744"/>
    <d v="2025-03-21T00:00:00"/>
    <x v="0"/>
    <s v="9518621067"/>
    <s v="1"/>
    <s v="9518621067-1"/>
    <s v="Stocks"/>
    <x v="0"/>
    <m/>
    <x v="2"/>
    <x v="3"/>
    <x v="3"/>
    <m/>
    <x v="1"/>
    <m/>
    <m/>
    <s v="Jharkhand"/>
    <s v="TBSPL"/>
    <s v="GAMHARIA"/>
    <x v="0"/>
    <x v="15"/>
    <x v="15"/>
    <x v="97"/>
    <s v="PPGL C HARD Y550PL DX01 0.53(TPT)X1220"/>
    <m/>
    <m/>
    <m/>
    <m/>
    <s v="Wider"/>
    <x v="3"/>
    <x v="14"/>
    <s v="DX01"/>
    <x v="34"/>
    <x v="1"/>
    <x v="0"/>
    <n v="56"/>
    <n v="0"/>
    <n v="56"/>
    <n v="-1.67"/>
    <n v="0"/>
    <n v="27.024999999999999"/>
    <n v="0"/>
    <n v="28.87"/>
    <n v="0"/>
    <n v="0"/>
    <n v="0"/>
    <n v="0"/>
    <n v="0"/>
    <n v="0"/>
    <n v="0"/>
    <n v="0"/>
    <n v="0"/>
    <n v="0"/>
    <n v="0"/>
    <n v="0"/>
    <n v="0"/>
    <n v="0"/>
    <n v="0"/>
    <n v="0"/>
    <n v="0"/>
    <n v="28.87"/>
    <n v="28.87"/>
    <n v="0"/>
    <n v="28.87"/>
    <m/>
    <n v="28.975000000000001"/>
    <n v="27.024999999999999"/>
    <n v="27.024999999999999"/>
    <n v="0"/>
    <n v="0"/>
    <n v="0"/>
    <n v="0"/>
    <n v="56"/>
    <n v="0"/>
    <n v="56"/>
    <n v="0"/>
    <n v="0"/>
    <n v="0"/>
    <n v="0"/>
    <n v="0"/>
    <n v="0"/>
    <n v="0"/>
    <n v="0"/>
    <n v="0"/>
    <n v="0"/>
    <n v="0"/>
    <m/>
    <m/>
    <m/>
    <m/>
    <m/>
    <m/>
    <m/>
    <m/>
    <s v="0"/>
    <s v="1"/>
    <s v="1"/>
    <s v="1"/>
    <s v="1"/>
    <m/>
    <m/>
    <m/>
    <m/>
    <m/>
    <m/>
    <m/>
    <m/>
    <m/>
    <m/>
    <m/>
    <m/>
    <m/>
    <m/>
  </r>
  <r>
    <n v="744"/>
    <d v="2025-03-29T00:00:00"/>
    <x v="0"/>
    <s v="9518653307"/>
    <s v="2"/>
    <s v="9518653307-2"/>
    <s v="May'25"/>
    <x v="0"/>
    <m/>
    <x v="2"/>
    <x v="3"/>
    <x v="3"/>
    <m/>
    <x v="1"/>
    <m/>
    <m/>
    <s v="Rajasthan"/>
    <s v="TBSPL"/>
    <s v="BHIWADI"/>
    <x v="0"/>
    <x v="71"/>
    <x v="15"/>
    <x v="192"/>
    <s v="PPGL C Y550 D0C7 0.43BMT(0.47TPT)X1220"/>
    <m/>
    <m/>
    <m/>
    <m/>
    <s v="Wider"/>
    <x v="3"/>
    <x v="14"/>
    <s v="D0C7"/>
    <x v="25"/>
    <x v="1"/>
    <x v="0"/>
    <n v="28"/>
    <n v="0"/>
    <n v="28"/>
    <n v="0.67"/>
    <n v="0"/>
    <n v="28"/>
    <n v="0"/>
    <n v="0"/>
    <n v="0"/>
    <n v="0"/>
    <n v="0"/>
    <n v="0"/>
    <n v="0"/>
    <n v="0"/>
    <n v="0"/>
    <n v="27.330000000000002"/>
    <n v="0"/>
    <n v="0"/>
    <n v="0"/>
    <n v="0"/>
    <n v="0"/>
    <n v="0"/>
    <n v="0"/>
    <n v="0"/>
    <n v="0"/>
    <n v="27.330000000000002"/>
    <n v="27.330000000000002"/>
    <n v="0"/>
    <n v="27.330000000000002"/>
    <m/>
    <n v="0"/>
    <n v="28"/>
    <n v="0"/>
    <n v="0"/>
    <n v="0"/>
    <n v="0"/>
    <n v="28"/>
    <n v="0"/>
    <n v="0"/>
    <n v="0"/>
    <n v="0"/>
    <n v="0"/>
    <n v="0"/>
    <n v="28"/>
    <n v="0"/>
    <n v="0"/>
    <n v="0"/>
    <n v="0"/>
    <n v="0"/>
    <n v="0"/>
    <n v="0"/>
    <m/>
    <m/>
    <m/>
    <m/>
    <m/>
    <m/>
    <m/>
    <m/>
    <s v="1"/>
    <s v="1"/>
    <s v="1"/>
    <s v="1"/>
    <s v="0"/>
    <m/>
    <m/>
    <m/>
    <m/>
    <m/>
    <m/>
    <m/>
    <m/>
    <m/>
    <m/>
    <m/>
    <m/>
    <m/>
    <m/>
  </r>
  <r>
    <n v="744"/>
    <d v="2025-03-29T00:00:00"/>
    <x v="0"/>
    <s v="9518653307"/>
    <s v="5"/>
    <s v="9518653307-5"/>
    <s v="No Priority"/>
    <x v="0"/>
    <m/>
    <x v="2"/>
    <x v="3"/>
    <x v="3"/>
    <m/>
    <x v="0"/>
    <m/>
    <m/>
    <s v="Rajasthan"/>
    <s v="TBSPL"/>
    <s v="BHIWADI"/>
    <x v="0"/>
    <x v="71"/>
    <x v="15"/>
    <x v="198"/>
    <s v="PPGL C Y550 D0C7 0.48BMT(0.52TPT)X1220"/>
    <m/>
    <m/>
    <m/>
    <m/>
    <s v="Wider"/>
    <x v="3"/>
    <x v="14"/>
    <s v="D0C7"/>
    <x v="8"/>
    <x v="1"/>
    <x v="0"/>
    <n v="28"/>
    <n v="0"/>
    <n v="28"/>
    <n v="0.28000000000000003"/>
    <n v="0"/>
    <n v="2.42"/>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3-19T00:00:00"/>
    <x v="0"/>
    <s v="9518614038"/>
    <s v="1"/>
    <s v="9518614038-1"/>
    <s v="No Priority"/>
    <x v="0"/>
    <m/>
    <x v="2"/>
    <x v="3"/>
    <x v="3"/>
    <m/>
    <x v="0"/>
    <m/>
    <m/>
    <s v="Jharkhand"/>
    <s v="TBSPL"/>
    <s v="TBL- BARA AGRICO"/>
    <x v="0"/>
    <x v="6"/>
    <x v="15"/>
    <x v="199"/>
    <s v="PPGL C HARD Y550PL SXO1 0.500X1220"/>
    <m/>
    <m/>
    <m/>
    <m/>
    <s v="Wider"/>
    <x v="3"/>
    <x v="14"/>
    <s v="SXO1"/>
    <x v="1"/>
    <x v="1"/>
    <x v="0"/>
    <n v="56"/>
    <n v="55.685000000000002"/>
    <n v="0.315"/>
    <n v="-13.75"/>
    <n v="0"/>
    <n v="0.31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x v="0"/>
    <n v="9518644656"/>
    <n v="2"/>
    <s v="9518644656-2"/>
    <s v="No Priority"/>
    <x v="0"/>
    <m/>
    <x v="1"/>
    <x v="2"/>
    <x v="1"/>
    <m/>
    <x v="0"/>
    <m/>
    <m/>
    <s v="West Bengal"/>
    <s v="East"/>
    <s v="SILIGURI TOWN"/>
    <x v="1"/>
    <x v="66"/>
    <x v="24"/>
    <x v="200"/>
    <s v="CRCA SHEET TSBCRC SR15 0.700X1000X2500"/>
    <m/>
    <m/>
    <m/>
    <m/>
    <s v="Narrow"/>
    <x v="2"/>
    <x v="4"/>
    <s v="SR15"/>
    <x v="4"/>
    <x v="2"/>
    <x v="3"/>
    <n v="24"/>
    <n v="20.824999999999999"/>
    <n v="3.1749999999999998"/>
    <n v="2.835"/>
    <n v="0"/>
    <n v="3.174999999999999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x v="0"/>
    <n v="9518644656"/>
    <n v="3"/>
    <s v="9518644656-3"/>
    <s v="Apr'25 additional"/>
    <x v="0"/>
    <m/>
    <x v="1"/>
    <x v="2"/>
    <x v="1"/>
    <m/>
    <x v="1"/>
    <m/>
    <m/>
    <s v="West Bengal"/>
    <s v="East"/>
    <s v="SILIGURI TOWN"/>
    <x v="1"/>
    <x v="66"/>
    <x v="24"/>
    <x v="201"/>
    <s v="CRCA SHEET TSBCRC SR15 0.700X1000X2000"/>
    <m/>
    <m/>
    <m/>
    <m/>
    <s v="Narrow"/>
    <x v="2"/>
    <x v="4"/>
    <s v="SR15"/>
    <x v="4"/>
    <x v="2"/>
    <x v="10"/>
    <n v="24"/>
    <n v="0"/>
    <n v="24"/>
    <n v="24"/>
    <n v="1.5500000000000007"/>
    <n v="24"/>
    <n v="0"/>
    <n v="0"/>
    <n v="0"/>
    <n v="0"/>
    <n v="0"/>
    <n v="0"/>
    <n v="0"/>
    <n v="0"/>
    <n v="0"/>
    <n v="0"/>
    <n v="0"/>
    <n v="0"/>
    <n v="0"/>
    <n v="22.45"/>
    <n v="0"/>
    <n v="0"/>
    <n v="0"/>
    <n v="0"/>
    <n v="0"/>
    <n v="22.45"/>
    <n v="22.45"/>
    <n v="0"/>
    <n v="22.45"/>
    <m/>
    <n v="0"/>
    <n v="24"/>
    <n v="0"/>
    <n v="24"/>
    <n v="0"/>
    <n v="0"/>
    <n v="0"/>
    <n v="24"/>
    <n v="0"/>
    <n v="24"/>
    <n v="0"/>
    <n v="0"/>
    <n v="0"/>
    <n v="0"/>
    <n v="0"/>
    <n v="0"/>
    <n v="0"/>
    <n v="0"/>
    <n v="0"/>
    <n v="0"/>
    <n v="0"/>
    <m/>
    <m/>
    <m/>
    <m/>
    <m/>
    <m/>
    <m/>
    <m/>
    <s v="1"/>
    <s v="0"/>
    <s v="1"/>
    <s v="1"/>
    <s v="1"/>
    <m/>
    <m/>
    <m/>
    <m/>
    <m/>
    <m/>
    <m/>
    <m/>
    <m/>
    <m/>
    <m/>
    <m/>
    <m/>
    <m/>
  </r>
  <r>
    <n v="742"/>
    <d v="2025-03-27T00:00:00"/>
    <x v="0"/>
    <n v="9518644656"/>
    <n v="8"/>
    <s v="9518644656-8"/>
    <s v="No Priority"/>
    <x v="0"/>
    <m/>
    <x v="1"/>
    <x v="2"/>
    <x v="1"/>
    <m/>
    <x v="0"/>
    <m/>
    <m/>
    <s v="West Bengal"/>
    <s v="East"/>
    <s v="SILIGURI TOWN"/>
    <x v="1"/>
    <x v="66"/>
    <x v="24"/>
    <x v="202"/>
    <s v="CRCA SHEET TSBCRC SR15 0.700X1120X2000"/>
    <m/>
    <m/>
    <m/>
    <m/>
    <s v="Narrow"/>
    <x v="2"/>
    <x v="4"/>
    <s v="SR15"/>
    <x v="4"/>
    <x v="21"/>
    <x v="1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x v="0"/>
    <n v="9518644656"/>
    <n v="4"/>
    <s v="9518644656-4"/>
    <s v="May'25"/>
    <x v="0"/>
    <m/>
    <x v="1"/>
    <x v="2"/>
    <x v="1"/>
    <m/>
    <x v="1"/>
    <m/>
    <m/>
    <s v="West Bengal"/>
    <s v="East"/>
    <s v="SILIGURI TOWN"/>
    <x v="1"/>
    <x v="66"/>
    <x v="24"/>
    <x v="110"/>
    <s v="CRCA SHEET TSBCRC SR15 0.600X1000X2500"/>
    <m/>
    <m/>
    <m/>
    <m/>
    <s v="Narrow"/>
    <x v="2"/>
    <x v="4"/>
    <s v="SR15"/>
    <x v="20"/>
    <x v="2"/>
    <x v="3"/>
    <n v="24"/>
    <n v="0"/>
    <n v="24"/>
    <n v="0.84"/>
    <n v="0"/>
    <n v="24"/>
    <n v="0"/>
    <n v="0"/>
    <n v="0"/>
    <n v="0"/>
    <n v="0"/>
    <n v="0"/>
    <n v="0"/>
    <n v="0"/>
    <n v="0"/>
    <n v="0"/>
    <n v="0"/>
    <n v="0"/>
    <n v="0"/>
    <n v="22.16"/>
    <n v="0"/>
    <n v="0"/>
    <n v="0"/>
    <n v="0"/>
    <n v="0"/>
    <n v="22.16"/>
    <n v="22.16"/>
    <n v="0"/>
    <n v="22.16"/>
    <m/>
    <n v="0"/>
    <n v="24"/>
    <n v="0"/>
    <n v="24"/>
    <n v="0"/>
    <n v="0"/>
    <n v="0"/>
    <n v="24"/>
    <n v="0"/>
    <n v="24"/>
    <n v="0"/>
    <n v="0"/>
    <n v="0"/>
    <n v="0"/>
    <n v="0"/>
    <n v="0"/>
    <n v="0"/>
    <n v="0"/>
    <n v="0"/>
    <n v="0"/>
    <n v="0"/>
    <m/>
    <m/>
    <m/>
    <m/>
    <m/>
    <m/>
    <m/>
    <m/>
    <s v="1"/>
    <s v="0"/>
    <s v="1"/>
    <s v="1"/>
    <s v="1"/>
    <m/>
    <m/>
    <m/>
    <m/>
    <m/>
    <m/>
    <m/>
    <m/>
    <m/>
    <m/>
    <m/>
    <m/>
    <m/>
    <m/>
  </r>
  <r>
    <n v="742"/>
    <d v="2025-03-27T00:00:00"/>
    <x v="0"/>
    <n v="9518644656"/>
    <n v="5"/>
    <s v="9518644656-5"/>
    <s v="Stocks"/>
    <x v="0"/>
    <m/>
    <x v="1"/>
    <x v="2"/>
    <x v="1"/>
    <m/>
    <x v="1"/>
    <m/>
    <m/>
    <s v="West Bengal"/>
    <s v="East"/>
    <s v="SILIGURI TOWN"/>
    <x v="1"/>
    <x v="66"/>
    <x v="24"/>
    <x v="109"/>
    <s v="CRCA SHEET TSBCRC SR15 0.600X1000X2000"/>
    <m/>
    <m/>
    <m/>
    <m/>
    <s v="Narrow"/>
    <x v="2"/>
    <x v="4"/>
    <s v="SR15"/>
    <x v="20"/>
    <x v="2"/>
    <x v="10"/>
    <n v="24"/>
    <n v="0"/>
    <n v="24"/>
    <n v="0.74"/>
    <n v="0"/>
    <n v="2.7650000000000001"/>
    <n v="0"/>
    <n v="0"/>
    <n v="0"/>
    <n v="0"/>
    <n v="0"/>
    <n v="0"/>
    <n v="0"/>
    <n v="0"/>
    <n v="0.185"/>
    <n v="0"/>
    <n v="0"/>
    <n v="0"/>
    <n v="0"/>
    <n v="0"/>
    <n v="0"/>
    <n v="0"/>
    <n v="0"/>
    <n v="0"/>
    <n v="0"/>
    <n v="0.185"/>
    <n v="0.185"/>
    <n v="0"/>
    <n v="0.185"/>
    <m/>
    <n v="21.234999999999999"/>
    <n v="0"/>
    <n v="0"/>
    <n v="0"/>
    <n v="0"/>
    <n v="0"/>
    <n v="0"/>
    <n v="21.234999999999999"/>
    <n v="21.234999999999999"/>
    <n v="0"/>
    <n v="0"/>
    <n v="0"/>
    <n v="0"/>
    <n v="0"/>
    <n v="0"/>
    <n v="0"/>
    <n v="0"/>
    <n v="0"/>
    <n v="0"/>
    <n v="0"/>
    <n v="0"/>
    <m/>
    <m/>
    <m/>
    <m/>
    <m/>
    <m/>
    <m/>
    <m/>
    <s v="1"/>
    <s v="1"/>
    <s v="1"/>
    <s v="1"/>
    <s v="1"/>
    <m/>
    <m/>
    <m/>
    <m/>
    <m/>
    <m/>
    <m/>
    <m/>
    <m/>
    <m/>
    <m/>
    <m/>
    <m/>
    <m/>
  </r>
  <r>
    <n v="742"/>
    <d v="2025-03-27T00:00:00"/>
    <x v="0"/>
    <n v="9518644656"/>
    <n v="6"/>
    <s v="9518644656-6"/>
    <s v="Stocks"/>
    <x v="0"/>
    <m/>
    <x v="1"/>
    <x v="2"/>
    <x v="1"/>
    <m/>
    <x v="1"/>
    <m/>
    <m/>
    <s v="West Bengal"/>
    <s v="East"/>
    <s v="SILIGURI TOWN"/>
    <x v="1"/>
    <x v="66"/>
    <x v="24"/>
    <x v="54"/>
    <s v="CRCA SHEET TSBCRC SR15 0.500X1000X2500"/>
    <m/>
    <m/>
    <m/>
    <m/>
    <s v="Narrow"/>
    <x v="2"/>
    <x v="4"/>
    <s v="SR15"/>
    <x v="1"/>
    <x v="2"/>
    <x v="3"/>
    <n v="24"/>
    <n v="0"/>
    <n v="24"/>
    <n v="1.2649999999999999"/>
    <n v="0"/>
    <n v="3.3849999999999998"/>
    <n v="0"/>
    <n v="0"/>
    <n v="0"/>
    <n v="0"/>
    <n v="0"/>
    <n v="0"/>
    <n v="0"/>
    <n v="0"/>
    <n v="0"/>
    <n v="0"/>
    <n v="0"/>
    <n v="0"/>
    <n v="0"/>
    <n v="0"/>
    <n v="0"/>
    <n v="0.5"/>
    <n v="0"/>
    <n v="0"/>
    <n v="0"/>
    <n v="0.5"/>
    <n v="0.5"/>
    <n v="0"/>
    <n v="0.5"/>
    <m/>
    <n v="20.615000000000002"/>
    <n v="0"/>
    <n v="0"/>
    <n v="0"/>
    <n v="0"/>
    <n v="0"/>
    <n v="0"/>
    <n v="20.615000000000002"/>
    <n v="20.615000000000002"/>
    <n v="0"/>
    <n v="0"/>
    <n v="0"/>
    <n v="0"/>
    <n v="0"/>
    <n v="0"/>
    <n v="0"/>
    <n v="0"/>
    <n v="0"/>
    <n v="0"/>
    <n v="0"/>
    <n v="0"/>
    <m/>
    <m/>
    <m/>
    <m/>
    <m/>
    <m/>
    <m/>
    <m/>
    <s v="1"/>
    <s v="1"/>
    <s v="1"/>
    <s v="1"/>
    <s v="1"/>
    <m/>
    <m/>
    <m/>
    <m/>
    <m/>
    <m/>
    <m/>
    <m/>
    <m/>
    <m/>
    <m/>
    <m/>
    <m/>
    <m/>
  </r>
  <r>
    <n v="742"/>
    <d v="2025-03-27T00:00:00"/>
    <x v="0"/>
    <n v="9518644656"/>
    <n v="12"/>
    <s v="9518644656-12"/>
    <s v="No Priority"/>
    <x v="0"/>
    <m/>
    <x v="1"/>
    <x v="2"/>
    <x v="1"/>
    <m/>
    <x v="0"/>
    <m/>
    <m/>
    <s v="West Bengal"/>
    <s v="East"/>
    <s v="SILIGURI TOWN"/>
    <x v="1"/>
    <x v="66"/>
    <x v="24"/>
    <x v="203"/>
    <s v="CRCA SHEET TSBCRC SR15 0.600X1120X2000"/>
    <m/>
    <m/>
    <m/>
    <m/>
    <s v="Narrow"/>
    <x v="2"/>
    <x v="4"/>
    <s v="SR15"/>
    <x v="20"/>
    <x v="21"/>
    <x v="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7T00:00:00"/>
    <x v="0"/>
    <n v="9518644656"/>
    <n v="7"/>
    <s v="9518644656-7"/>
    <s v="Stocks"/>
    <x v="0"/>
    <m/>
    <x v="1"/>
    <x v="2"/>
    <x v="1"/>
    <m/>
    <x v="1"/>
    <m/>
    <m/>
    <s v="West Bengal"/>
    <s v="East"/>
    <s v="SILIGURI TOWN"/>
    <x v="1"/>
    <x v="66"/>
    <x v="24"/>
    <x v="108"/>
    <s v="CRCA SHEET TSBCRC SR15 0.500X1000X2000"/>
    <m/>
    <m/>
    <m/>
    <m/>
    <s v="Narrow"/>
    <x v="2"/>
    <x v="4"/>
    <s v="SR15"/>
    <x v="1"/>
    <x v="2"/>
    <x v="10"/>
    <n v="24"/>
    <n v="0"/>
    <n v="24"/>
    <n v="0.96"/>
    <n v="0"/>
    <n v="5.6050000000000004"/>
    <n v="0"/>
    <n v="0"/>
    <n v="0"/>
    <n v="0"/>
    <n v="0"/>
    <n v="0"/>
    <n v="0"/>
    <n v="0"/>
    <n v="0"/>
    <n v="0"/>
    <n v="0"/>
    <n v="0"/>
    <n v="0"/>
    <n v="0"/>
    <n v="0"/>
    <n v="0.23"/>
    <n v="0"/>
    <n v="0"/>
    <n v="0"/>
    <n v="0.23"/>
    <n v="0.23"/>
    <n v="0"/>
    <n v="0.23"/>
    <m/>
    <n v="18.395"/>
    <n v="0"/>
    <n v="0"/>
    <n v="0"/>
    <n v="0"/>
    <n v="0"/>
    <n v="0"/>
    <n v="18.395"/>
    <n v="18.395"/>
    <n v="0"/>
    <n v="0"/>
    <n v="0"/>
    <n v="0"/>
    <n v="0"/>
    <n v="0"/>
    <n v="0"/>
    <n v="0"/>
    <n v="0"/>
    <n v="0"/>
    <n v="0"/>
    <n v="0"/>
    <m/>
    <m/>
    <m/>
    <m/>
    <m/>
    <m/>
    <m/>
    <m/>
    <s v="1"/>
    <s v="1"/>
    <s v="1"/>
    <s v="1"/>
    <s v="1"/>
    <m/>
    <m/>
    <m/>
    <m/>
    <m/>
    <m/>
    <m/>
    <m/>
    <m/>
    <m/>
    <m/>
    <m/>
    <m/>
    <m/>
  </r>
  <r>
    <n v="742"/>
    <d v="2025-03-27T00:00:00"/>
    <x v="0"/>
    <n v="9518644656"/>
    <n v="9"/>
    <s v="9518644656-9"/>
    <s v="No Priority"/>
    <x v="0"/>
    <m/>
    <x v="1"/>
    <x v="2"/>
    <x v="1"/>
    <m/>
    <x v="0"/>
    <m/>
    <m/>
    <s v="West Bengal"/>
    <s v="East"/>
    <s v="SILIGURI TOWN"/>
    <x v="1"/>
    <x v="66"/>
    <x v="24"/>
    <x v="204"/>
    <s v="CRCA SHEET TSBCRC SR15 0.500X1120X2000"/>
    <m/>
    <m/>
    <m/>
    <m/>
    <s v="Narrow"/>
    <x v="2"/>
    <x v="4"/>
    <s v="SR15"/>
    <x v="1"/>
    <x v="21"/>
    <x v="10"/>
    <n v="24"/>
    <n v="0"/>
    <n v="24"/>
    <n v="24"/>
    <n v="24"/>
    <n v="2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1-03T00:00:00"/>
    <x v="0"/>
    <s v="9518403227"/>
    <s v="1"/>
    <s v="9518403227-1"/>
    <s v="No Priority"/>
    <x v="0"/>
    <m/>
    <x v="4"/>
    <x v="10"/>
    <x v="3"/>
    <m/>
    <x v="0"/>
    <m/>
    <s v="No allocation for IPP"/>
    <s v="West Bengal"/>
    <s v="East"/>
    <s v="HALDIA"/>
    <x v="0"/>
    <x v="78"/>
    <x v="75"/>
    <x v="205"/>
    <s v="GL COIL HARD  Y550GL H7GL 0.300X1245"/>
    <m/>
    <m/>
    <m/>
    <m/>
    <m/>
    <x v="5"/>
    <x v="7"/>
    <s v="H7GL"/>
    <x v="11"/>
    <x v="14"/>
    <x v="11"/>
    <n v="261"/>
    <n v="209.19"/>
    <n v="51.81"/>
    <n v="46.344999999999999"/>
    <n v="51.81"/>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6T00:00:00"/>
    <x v="0"/>
    <s v="9518407392"/>
    <s v="7"/>
    <s v="9518407392-7"/>
    <s v="No Priority"/>
    <x v="0"/>
    <m/>
    <x v="1"/>
    <x v="2"/>
    <x v="1"/>
    <m/>
    <x v="0"/>
    <m/>
    <m/>
    <s v="Tamil Nadu"/>
    <s v="South"/>
    <s v="SALEM JN"/>
    <x v="1"/>
    <x v="13"/>
    <x v="13"/>
    <x v="108"/>
    <s v="CRCA SHEET TSBCRC SR15 0.500X1000X2000"/>
    <m/>
    <m/>
    <m/>
    <m/>
    <m/>
    <x v="2"/>
    <x v="4"/>
    <s v="SR15"/>
    <x v="1"/>
    <x v="2"/>
    <x v="11"/>
    <n v="21"/>
    <n v="20.295000000000002"/>
    <n v="0.70499999999999996"/>
    <n v="0.70499999999999996"/>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1-06T00:00:00"/>
    <x v="2"/>
    <s v="9518409222"/>
    <s v="1"/>
    <s v="9518409222-1"/>
    <s v="No Priority"/>
    <x v="0"/>
    <m/>
    <x v="2"/>
    <x v="3"/>
    <x v="3"/>
    <m/>
    <x v="0"/>
    <m/>
    <m/>
    <s v="Jharkhand"/>
    <s v="TBSPL"/>
    <s v="GAMHARIA"/>
    <x v="0"/>
    <x v="15"/>
    <x v="39"/>
    <x v="206"/>
    <s v="PPGL C YS550 PLH1 0.30BMT(0.35TPT)X1220"/>
    <m/>
    <m/>
    <m/>
    <m/>
    <m/>
    <x v="3"/>
    <x v="3"/>
    <s v="PLH1"/>
    <x v="11"/>
    <x v="1"/>
    <x v="11"/>
    <n v="28"/>
    <n v="0"/>
    <n v="28"/>
    <n v="28"/>
    <n v="2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1-06T00:00:00"/>
    <x v="2"/>
    <s v="9518409222"/>
    <s v="2"/>
    <s v="9518409222-2"/>
    <s v="No Priority"/>
    <x v="0"/>
    <m/>
    <x v="2"/>
    <x v="3"/>
    <x v="3"/>
    <m/>
    <x v="0"/>
    <m/>
    <m/>
    <s v="Jharkhand"/>
    <s v="TBSPL"/>
    <s v="GAMHARIA"/>
    <x v="0"/>
    <x v="15"/>
    <x v="39"/>
    <x v="207"/>
    <s v="PPGL C YS550 PLH1 0.40BMT(0.45TPT)X1220"/>
    <m/>
    <m/>
    <m/>
    <m/>
    <m/>
    <x v="3"/>
    <x v="3"/>
    <s v="PLH1"/>
    <x v="2"/>
    <x v="1"/>
    <x v="11"/>
    <n v="27.88"/>
    <n v="0"/>
    <n v="27.88"/>
    <n v="27.88"/>
    <n v="27.8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1-06T00:00:00"/>
    <x v="2"/>
    <s v="9518409222"/>
    <s v="3"/>
    <s v="9518409222-3"/>
    <s v="No Priority"/>
    <x v="0"/>
    <s v="Yes"/>
    <x v="2"/>
    <x v="3"/>
    <x v="3"/>
    <m/>
    <x v="0"/>
    <m/>
    <m/>
    <s v="Jharkhand"/>
    <s v="TBSPL"/>
    <s v="GAMHARIA"/>
    <x v="0"/>
    <x v="15"/>
    <x v="39"/>
    <x v="6"/>
    <s v="PPGL C Y550 HPL3 0.42BMT(0.50TPT)X1220"/>
    <m/>
    <m/>
    <m/>
    <m/>
    <m/>
    <x v="3"/>
    <x v="3"/>
    <s v="HPL3"/>
    <x v="3"/>
    <x v="1"/>
    <x v="11"/>
    <n v="28"/>
    <n v="0"/>
    <n v="28"/>
    <n v="28"/>
    <n v="2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1-06T00:00:00"/>
    <x v="2"/>
    <s v="9518409222"/>
    <s v="4"/>
    <s v="9518409222-4"/>
    <s v="No Priority"/>
    <x v="0"/>
    <m/>
    <x v="2"/>
    <x v="3"/>
    <x v="3"/>
    <m/>
    <x v="0"/>
    <m/>
    <m/>
    <s v="Jharkhand"/>
    <s v="TBSPL"/>
    <s v="GAMHARIA"/>
    <x v="0"/>
    <x v="15"/>
    <x v="39"/>
    <x v="208"/>
    <s v="PPGL COIL HARD Y550PL HPL3 0.52X1220"/>
    <m/>
    <m/>
    <m/>
    <m/>
    <m/>
    <x v="3"/>
    <x v="3"/>
    <s v="HPL3"/>
    <x v="51"/>
    <x v="1"/>
    <x v="11"/>
    <n v="28"/>
    <n v="0"/>
    <n v="28"/>
    <n v="28"/>
    <n v="2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7T00:00:00"/>
    <x v="0"/>
    <s v="9518410223"/>
    <s v="10"/>
    <s v="9518410223-10"/>
    <s v="No Priority"/>
    <x v="0"/>
    <m/>
    <x v="1"/>
    <x v="2"/>
    <x v="1"/>
    <m/>
    <x v="0"/>
    <m/>
    <m/>
    <s v="Uttar Pradesh"/>
    <s v="North"/>
    <s v="VARANASI"/>
    <x v="1"/>
    <x v="2"/>
    <x v="2"/>
    <x v="209"/>
    <s v="CRCA SHEET TSBCRC SR15 1.200X1250X2500"/>
    <m/>
    <m/>
    <m/>
    <m/>
    <m/>
    <x v="2"/>
    <x v="4"/>
    <s v="SR15"/>
    <x v="19"/>
    <x v="0"/>
    <x v="11"/>
    <n v="57"/>
    <n v="52.29"/>
    <n v="4.71"/>
    <n v="4.71"/>
    <n v="4.71"/>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7T00:00:00"/>
    <x v="0"/>
    <s v="9518410223"/>
    <s v="7"/>
    <s v="9518410223-7"/>
    <s v="No Priority"/>
    <x v="0"/>
    <m/>
    <x v="1"/>
    <x v="2"/>
    <x v="1"/>
    <m/>
    <x v="0"/>
    <m/>
    <m/>
    <s v="Uttar Pradesh"/>
    <s v="North"/>
    <s v="VARANASI"/>
    <x v="1"/>
    <x v="2"/>
    <x v="2"/>
    <x v="210"/>
    <s v="CRCA SHEET TSBCRC SR15 0.600X1250X2030"/>
    <m/>
    <m/>
    <m/>
    <m/>
    <m/>
    <x v="2"/>
    <x v="4"/>
    <s v="SR15"/>
    <x v="20"/>
    <x v="0"/>
    <x v="11"/>
    <n v="30"/>
    <n v="26.454999999999998"/>
    <n v="3.5449999999999999"/>
    <n v="3.5449999999999999"/>
    <n v="3.5449999999999999"/>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7T00:00:00"/>
    <x v="0"/>
    <s v="9518410223"/>
    <s v="9"/>
    <s v="9518410223-9"/>
    <s v="No Priority"/>
    <x v="0"/>
    <m/>
    <x v="1"/>
    <x v="2"/>
    <x v="1"/>
    <m/>
    <x v="0"/>
    <m/>
    <m/>
    <s v="Uttar Pradesh"/>
    <s v="North"/>
    <s v="VARANASI"/>
    <x v="1"/>
    <x v="2"/>
    <x v="2"/>
    <x v="100"/>
    <s v="CRCA SHEET TSBCRC SR15 0.700X1250X1930"/>
    <m/>
    <m/>
    <m/>
    <m/>
    <m/>
    <x v="2"/>
    <x v="4"/>
    <s v="SR15"/>
    <x v="4"/>
    <x v="0"/>
    <x v="11"/>
    <n v="57"/>
    <n v="51.87"/>
    <n v="5.13"/>
    <n v="5.13"/>
    <n v="5.13"/>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07T00:00:00"/>
    <x v="0"/>
    <s v="9518411862"/>
    <s v="1"/>
    <s v="9518411862-1"/>
    <s v="Stocks"/>
    <x v="0"/>
    <m/>
    <x v="1"/>
    <x v="0"/>
    <x v="1"/>
    <m/>
    <x v="1"/>
    <m/>
    <m/>
    <s v="Delhi"/>
    <s v="North"/>
    <s v="NEWDELHI"/>
    <x v="0"/>
    <x v="50"/>
    <x v="49"/>
    <x v="211"/>
    <s v="CRCA COIL TSBSTA EL06 0.500X1170"/>
    <m/>
    <m/>
    <m/>
    <m/>
    <m/>
    <x v="1"/>
    <x v="9"/>
    <s v="EL06"/>
    <x v="1"/>
    <x v="22"/>
    <x v="11"/>
    <n v="296.95999999999998"/>
    <n v="241.11"/>
    <n v="55.85"/>
    <n v="7.66"/>
    <n v="55.85"/>
    <n v="0"/>
    <n v="0"/>
    <n v="0"/>
    <n v="0"/>
    <n v="0"/>
    <n v="0"/>
    <n v="0"/>
    <n v="0"/>
    <n v="0"/>
    <n v="0"/>
    <n v="0"/>
    <n v="0"/>
    <n v="0"/>
    <n v="0"/>
    <n v="0"/>
    <n v="0"/>
    <n v="0"/>
    <n v="0"/>
    <n v="0"/>
    <n v="0"/>
    <n v="0"/>
    <n v="0"/>
    <n v="0"/>
    <n v="0"/>
    <m/>
    <n v="20.77"/>
    <n v="0"/>
    <n v="0"/>
    <n v="0"/>
    <n v="0"/>
    <n v="0"/>
    <n v="0"/>
    <n v="20.77"/>
    <n v="20.77"/>
    <n v="0"/>
    <n v="0"/>
    <n v="0"/>
    <n v="0"/>
    <n v="0"/>
    <n v="118.23000000000002"/>
    <n v="0"/>
    <n v="0"/>
    <n v="0"/>
    <n v="0"/>
    <n v="0"/>
    <n v="118.23000000000002"/>
    <m/>
    <m/>
    <m/>
    <m/>
    <m/>
    <m/>
    <m/>
    <m/>
    <s v="1"/>
    <s v="1"/>
    <s v="1"/>
    <s v="1"/>
    <s v="1"/>
    <m/>
    <m/>
    <m/>
    <m/>
    <m/>
    <m/>
    <m/>
    <m/>
    <m/>
    <m/>
    <m/>
    <m/>
    <m/>
    <m/>
  </r>
  <r>
    <n v="742"/>
    <d v="2025-01-07T00:00:00"/>
    <x v="0"/>
    <s v="9518411918"/>
    <s v="1"/>
    <s v="9518411918-1"/>
    <s v="Stocks"/>
    <x v="0"/>
    <m/>
    <x v="1"/>
    <x v="0"/>
    <x v="1"/>
    <m/>
    <x v="1"/>
    <m/>
    <m/>
    <s v="Delhi"/>
    <s v="North"/>
    <s v="NEWDELHI"/>
    <x v="0"/>
    <x v="50"/>
    <x v="49"/>
    <x v="211"/>
    <s v="CRCA COIL TSBSTA EL06 0.500X1170"/>
    <m/>
    <m/>
    <m/>
    <m/>
    <m/>
    <x v="1"/>
    <x v="9"/>
    <s v="EL06"/>
    <x v="1"/>
    <x v="22"/>
    <x v="11"/>
    <n v="296.99"/>
    <n v="201.4"/>
    <n v="95.59"/>
    <n v="-6.1449999999999996"/>
    <n v="0"/>
    <n v="0"/>
    <n v="0"/>
    <n v="0"/>
    <n v="0"/>
    <n v="0"/>
    <n v="0"/>
    <n v="0"/>
    <n v="0"/>
    <n v="0"/>
    <n v="0"/>
    <n v="0"/>
    <n v="0"/>
    <n v="0"/>
    <n v="0"/>
    <n v="0"/>
    <n v="0"/>
    <n v="0"/>
    <n v="0"/>
    <n v="0"/>
    <n v="0"/>
    <n v="0"/>
    <n v="0"/>
    <n v="0"/>
    <n v="0"/>
    <m/>
    <n v="33.82"/>
    <n v="0"/>
    <n v="0"/>
    <n v="0"/>
    <n v="0"/>
    <n v="0"/>
    <n v="0"/>
    <n v="33.82"/>
    <n v="33.82"/>
    <n v="0"/>
    <n v="0"/>
    <n v="0"/>
    <n v="0"/>
    <n v="0"/>
    <n v="104.065"/>
    <n v="0"/>
    <n v="0"/>
    <n v="0"/>
    <n v="0"/>
    <n v="0"/>
    <n v="104.065"/>
    <m/>
    <m/>
    <m/>
    <m/>
    <m/>
    <m/>
    <m/>
    <m/>
    <s v="1"/>
    <s v="1"/>
    <s v="1"/>
    <s v="1"/>
    <s v="1"/>
    <m/>
    <m/>
    <m/>
    <m/>
    <m/>
    <m/>
    <m/>
    <m/>
    <m/>
    <m/>
    <m/>
    <m/>
    <m/>
    <m/>
  </r>
  <r>
    <n v="742"/>
    <d v="2025-01-11T00:00:00"/>
    <x v="0"/>
    <s v="9518421446"/>
    <s v="12"/>
    <s v="9518421446-12"/>
    <s v="No Priority"/>
    <x v="0"/>
    <m/>
    <x v="1"/>
    <x v="2"/>
    <x v="1"/>
    <m/>
    <x v="0"/>
    <m/>
    <m/>
    <s v="Jharkhand"/>
    <s v="East"/>
    <s v="BOKARO"/>
    <x v="1"/>
    <x v="12"/>
    <x v="12"/>
    <x v="144"/>
    <s v="CRCA SHEET TATCRC SR16 0.400X900X2500"/>
    <m/>
    <m/>
    <m/>
    <m/>
    <m/>
    <x v="2"/>
    <x v="1"/>
    <s v="SR16"/>
    <x v="2"/>
    <x v="3"/>
    <x v="11"/>
    <n v="38.99"/>
    <n v="38.945"/>
    <n v="4.4999999999999998E-2"/>
    <n v="4.4999999999999998E-2"/>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1-13T00:00:00"/>
    <x v="0"/>
    <s v="9518424820"/>
    <s v="4"/>
    <s v="9518424820-4"/>
    <s v="No Priority"/>
    <x v="0"/>
    <m/>
    <x v="3"/>
    <x v="9"/>
    <x v="1"/>
    <m/>
    <x v="0"/>
    <m/>
    <m/>
    <s v="West Bengal"/>
    <s v="East"/>
    <s v="SINGUR"/>
    <x v="0"/>
    <x v="36"/>
    <x v="36"/>
    <x v="212"/>
    <s v="GP COIL SOFT-TATXGP-GLK1-0.35X900"/>
    <m/>
    <m/>
    <m/>
    <m/>
    <m/>
    <x v="7"/>
    <x v="5"/>
    <s v="GLK1"/>
    <x v="6"/>
    <x v="3"/>
    <x v="11"/>
    <n v="105"/>
    <n v="45.76"/>
    <n v="59.24"/>
    <n v="59.24"/>
    <n v="59.24"/>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22T00:00:00"/>
    <x v="0"/>
    <s v="9518451407"/>
    <s v="2"/>
    <s v="9518451407-2"/>
    <s v="No Priority"/>
    <x v="0"/>
    <m/>
    <x v="1"/>
    <x v="2"/>
    <x v="1"/>
    <m/>
    <x v="0"/>
    <m/>
    <m/>
    <s v="Uttar Pradesh"/>
    <s v="North"/>
    <s v="CHANDAULI MAJH"/>
    <x v="1"/>
    <x v="7"/>
    <x v="7"/>
    <x v="213"/>
    <s v="CRCA SHEET TATCRC SR16 0.450X1250X2030"/>
    <m/>
    <m/>
    <m/>
    <m/>
    <m/>
    <x v="2"/>
    <x v="1"/>
    <s v="SR16"/>
    <x v="10"/>
    <x v="0"/>
    <x v="11"/>
    <n v="30"/>
    <n v="28.42"/>
    <n v="1.58"/>
    <n v="1.58"/>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23T00:00:00"/>
    <x v="0"/>
    <s v="9518454228"/>
    <s v="3"/>
    <s v="9518454228-3"/>
    <s v="No Priority"/>
    <x v="0"/>
    <m/>
    <x v="1"/>
    <x v="2"/>
    <x v="1"/>
    <m/>
    <x v="0"/>
    <m/>
    <m/>
    <s v="Maharashtra"/>
    <s v="West"/>
    <s v="NAGPUR"/>
    <x v="1"/>
    <x v="62"/>
    <x v="59"/>
    <x v="214"/>
    <s v="CRCA SHEET TATXXD SR17 0.500X1250X2500"/>
    <m/>
    <m/>
    <m/>
    <m/>
    <m/>
    <x v="2"/>
    <x v="2"/>
    <s v="SR17"/>
    <x v="1"/>
    <x v="0"/>
    <x v="11"/>
    <n v="57.555"/>
    <n v="57.555"/>
    <n v="0"/>
    <n v="0"/>
    <n v="0"/>
    <n v="0"/>
    <n v="0"/>
    <n v="0"/>
    <n v="0"/>
    <n v="0"/>
    <n v="0"/>
    <n v="0"/>
    <n v="0"/>
    <n v="0"/>
    <n v="0"/>
    <n v="0"/>
    <n v="0"/>
    <n v="0"/>
    <n v="0"/>
    <n v="0"/>
    <n v="0"/>
    <n v="0"/>
    <n v="0"/>
    <n v="0"/>
    <n v="0"/>
    <n v="0"/>
    <n v="0"/>
    <n v="0"/>
    <n v="0"/>
    <m/>
    <n v="0"/>
    <n v="0"/>
    <n v="0"/>
    <n v="0"/>
    <n v="0"/>
    <n v="0"/>
    <n v="0"/>
    <n v="0"/>
    <n v="0"/>
    <n v="0"/>
    <n v="0"/>
    <n v="0"/>
    <n v="0"/>
    <n v="0"/>
    <n v="5.8949999999999996"/>
    <n v="0"/>
    <n v="0"/>
    <n v="0"/>
    <n v="0"/>
    <n v="0"/>
    <n v="5.8949999999999996"/>
    <m/>
    <m/>
    <m/>
    <m/>
    <m/>
    <m/>
    <m/>
    <m/>
    <s v="1"/>
    <s v="1"/>
    <s v="1"/>
    <s v="1"/>
    <s v="1"/>
    <m/>
    <m/>
    <m/>
    <m/>
    <m/>
    <m/>
    <m/>
    <m/>
    <m/>
    <m/>
    <m/>
    <m/>
    <m/>
    <m/>
  </r>
  <r>
    <n v="743"/>
    <d v="2025-01-25T00:00:00"/>
    <x v="0"/>
    <s v="9518459604"/>
    <s v="2"/>
    <s v="9518459604-2"/>
    <s v="No Priority"/>
    <x v="0"/>
    <m/>
    <x v="4"/>
    <x v="10"/>
    <x v="3"/>
    <m/>
    <x v="0"/>
    <m/>
    <s v="No allocation for IPP"/>
    <s v="Andhra Pradesh"/>
    <s v="South"/>
    <s v="NELLORE"/>
    <x v="0"/>
    <x v="79"/>
    <x v="76"/>
    <x v="215"/>
    <s v="GL COIL HARD  Y550GL H9GL 0.440X1235"/>
    <m/>
    <m/>
    <m/>
    <m/>
    <m/>
    <x v="5"/>
    <x v="7"/>
    <s v="H9GL"/>
    <x v="44"/>
    <x v="7"/>
    <x v="11"/>
    <n v="145"/>
    <n v="112.07"/>
    <n v="32.93"/>
    <n v="32.93"/>
    <n v="32.93"/>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1-31T00:00:00"/>
    <x v="0"/>
    <s v="9518480825"/>
    <s v="1"/>
    <s v="9518480825-1"/>
    <s v="No Priority"/>
    <x v="0"/>
    <m/>
    <x v="1"/>
    <x v="10"/>
    <x v="3"/>
    <m/>
    <x v="0"/>
    <m/>
    <m/>
    <s v="Andhra Pradesh"/>
    <s v="South"/>
    <s v="VISHAKAPATNAM"/>
    <x v="0"/>
    <x v="47"/>
    <x v="46"/>
    <x v="216"/>
    <s v="CR COIL TATXXD BT04 0.600X900"/>
    <m/>
    <m/>
    <m/>
    <m/>
    <m/>
    <x v="1"/>
    <x v="2"/>
    <s v="BT04"/>
    <x v="20"/>
    <x v="3"/>
    <x v="11"/>
    <n v="125.99"/>
    <n v="109.155"/>
    <n v="16.835000000000001"/>
    <n v="-4.4749999999999996"/>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03T00:00:00"/>
    <x v="1"/>
    <s v="9518490503"/>
    <s v="1"/>
    <s v="9518490503-1"/>
    <s v="No Priority"/>
    <x v="0"/>
    <m/>
    <x v="3"/>
    <x v="0"/>
    <x v="1"/>
    <m/>
    <x v="0"/>
    <m/>
    <m/>
    <s v="West Bengal"/>
    <s v="East"/>
    <s v="TCIL-JAMSHEDPUR"/>
    <x v="0"/>
    <x v="24"/>
    <x v="63"/>
    <x v="217"/>
    <s v="GP COIL TATXGP GLR1 0.420X1220"/>
    <m/>
    <m/>
    <m/>
    <m/>
    <m/>
    <x v="7"/>
    <x v="5"/>
    <s v="GLR1"/>
    <x v="3"/>
    <x v="1"/>
    <x v="11"/>
    <n v="251.99"/>
    <n v="234.965"/>
    <n v="17.024999999999999"/>
    <n v="17.024999999999999"/>
    <n v="17.024999999999999"/>
    <n v="17.024999999999999"/>
    <n v="0"/>
    <n v="0"/>
    <n v="0"/>
    <n v="0"/>
    <n v="0"/>
    <n v="0"/>
    <n v="0"/>
    <n v="0"/>
    <n v="0"/>
    <n v="0"/>
    <n v="0"/>
    <n v="0"/>
    <n v="0"/>
    <n v="0"/>
    <n v="0"/>
    <n v="0"/>
    <n v="0"/>
    <n v="0"/>
    <n v="0"/>
    <n v="0"/>
    <n v="0"/>
    <n v="0"/>
    <n v="0"/>
    <m/>
    <n v="0"/>
    <n v="0"/>
    <n v="0"/>
    <n v="0"/>
    <n v="0"/>
    <n v="0"/>
    <n v="0"/>
    <n v="0"/>
    <n v="0"/>
    <n v="0"/>
    <n v="0"/>
    <n v="0"/>
    <n v="0"/>
    <n v="0"/>
    <n v="5.8"/>
    <n v="0"/>
    <n v="0"/>
    <n v="0"/>
    <n v="0"/>
    <n v="0"/>
    <n v="5.8"/>
    <m/>
    <m/>
    <m/>
    <m/>
    <m/>
    <m/>
    <m/>
    <m/>
    <s v="1"/>
    <s v="1"/>
    <s v="1"/>
    <s v="1"/>
    <s v="1"/>
    <m/>
    <m/>
    <m/>
    <m/>
    <m/>
    <m/>
    <m/>
    <m/>
    <m/>
    <m/>
    <m/>
    <m/>
    <m/>
    <m/>
  </r>
  <r>
    <n v="742"/>
    <d v="2025-02-05T00:00:00"/>
    <x v="0"/>
    <s v="9518495920"/>
    <s v="10"/>
    <s v="9518495920-10"/>
    <s v="No Priority"/>
    <x v="0"/>
    <m/>
    <x v="1"/>
    <x v="2"/>
    <x v="1"/>
    <m/>
    <x v="0"/>
    <m/>
    <m/>
    <s v="Uttar Pradesh"/>
    <s v="North"/>
    <s v="VARANASI"/>
    <x v="1"/>
    <x v="2"/>
    <x v="2"/>
    <x v="209"/>
    <s v="CRCA SHEET TSBCRC SR15 1.200X1250X2500"/>
    <m/>
    <m/>
    <m/>
    <m/>
    <m/>
    <x v="2"/>
    <x v="4"/>
    <s v="SR15"/>
    <x v="19"/>
    <x v="0"/>
    <x v="11"/>
    <n v="27"/>
    <n v="26.13"/>
    <n v="0.87"/>
    <n v="0.87"/>
    <n v="0"/>
    <n v="0.87"/>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05T00:00:00"/>
    <x v="0"/>
    <s v="9518495920"/>
    <s v="8"/>
    <s v="9518495920-8"/>
    <s v="Stocks"/>
    <x v="0"/>
    <m/>
    <x v="1"/>
    <x v="2"/>
    <x v="1"/>
    <m/>
    <x v="1"/>
    <m/>
    <m/>
    <s v="Uttar Pradesh"/>
    <s v="North"/>
    <s v="VARANASI"/>
    <x v="1"/>
    <x v="2"/>
    <x v="2"/>
    <x v="7"/>
    <s v="CRCA SHEET TSBCRC SR15 0.700X1000X1930"/>
    <m/>
    <m/>
    <m/>
    <m/>
    <m/>
    <x v="2"/>
    <x v="4"/>
    <s v="SR15"/>
    <x v="4"/>
    <x v="2"/>
    <x v="11"/>
    <n v="27"/>
    <n v="20.315000000000001"/>
    <n v="6.6849999999999996"/>
    <n v="6.6849999999999996"/>
    <n v="6.6849999999999996"/>
    <n v="6.6849999999999996"/>
    <n v="0"/>
    <n v="0"/>
    <n v="0"/>
    <n v="0"/>
    <n v="0"/>
    <n v="0"/>
    <n v="0"/>
    <n v="0"/>
    <n v="0"/>
    <n v="0"/>
    <n v="0"/>
    <n v="0"/>
    <n v="0"/>
    <n v="0"/>
    <n v="0"/>
    <n v="0"/>
    <n v="0"/>
    <n v="0"/>
    <n v="0"/>
    <n v="0"/>
    <n v="0"/>
    <n v="0"/>
    <n v="0"/>
    <m/>
    <n v="2.59"/>
    <n v="0"/>
    <n v="0"/>
    <n v="0"/>
    <n v="0"/>
    <n v="0"/>
    <n v="0"/>
    <n v="2.59"/>
    <n v="2.59"/>
    <n v="0"/>
    <n v="0"/>
    <n v="0"/>
    <n v="0"/>
    <n v="0"/>
    <n v="0"/>
    <n v="0"/>
    <n v="0"/>
    <n v="0"/>
    <n v="0"/>
    <n v="0"/>
    <n v="0"/>
    <m/>
    <m/>
    <m/>
    <m/>
    <m/>
    <m/>
    <m/>
    <m/>
    <s v="1"/>
    <s v="1"/>
    <s v="1"/>
    <s v="1"/>
    <s v="1"/>
    <m/>
    <m/>
    <m/>
    <m/>
    <m/>
    <m/>
    <m/>
    <m/>
    <m/>
    <m/>
    <m/>
    <m/>
    <m/>
    <m/>
  </r>
  <r>
    <n v="742"/>
    <d v="2025-02-07T00:00:00"/>
    <x v="0"/>
    <s v="9518500318"/>
    <s v="1"/>
    <s v="9518500318-1"/>
    <s v="May'25"/>
    <x v="0"/>
    <s v="Yes"/>
    <x v="5"/>
    <x v="10"/>
    <x v="3"/>
    <n v="500"/>
    <x v="1"/>
    <m/>
    <m/>
    <s v="Gujarat"/>
    <s v="West"/>
    <s v="KUTCH"/>
    <x v="0"/>
    <x v="67"/>
    <x v="64"/>
    <x v="218"/>
    <s v="CRFH COIL TATFHC TR10 0.360X1250"/>
    <m/>
    <m/>
    <m/>
    <m/>
    <m/>
    <x v="6"/>
    <x v="12"/>
    <s v="TR10"/>
    <x v="47"/>
    <x v="0"/>
    <x v="11"/>
    <n v="261"/>
    <n v="117.85"/>
    <n v="143.15"/>
    <n v="143.15"/>
    <n v="143.15"/>
    <n v="143.15"/>
    <n v="0"/>
    <n v="0"/>
    <n v="0"/>
    <n v="0"/>
    <n v="0"/>
    <n v="0"/>
    <n v="0"/>
    <n v="0"/>
    <n v="0"/>
    <n v="0"/>
    <n v="0"/>
    <n v="0"/>
    <n v="0"/>
    <n v="0"/>
    <n v="0"/>
    <n v="0"/>
    <n v="0"/>
    <n v="0"/>
    <n v="0"/>
    <n v="0"/>
    <n v="0"/>
    <n v="0"/>
    <n v="0"/>
    <m/>
    <n v="0"/>
    <n v="143.15"/>
    <n v="0"/>
    <n v="0"/>
    <n v="0"/>
    <n v="0"/>
    <n v="143.15"/>
    <n v="0"/>
    <n v="0"/>
    <n v="0"/>
    <n v="0"/>
    <n v="0"/>
    <n v="0"/>
    <n v="143.15"/>
    <n v="21.05"/>
    <n v="0"/>
    <n v="0"/>
    <n v="0"/>
    <n v="0"/>
    <n v="21.05"/>
    <n v="0"/>
    <m/>
    <m/>
    <m/>
    <m/>
    <m/>
    <m/>
    <m/>
    <m/>
    <s v="1"/>
    <s v="1"/>
    <s v="1"/>
    <s v="1"/>
    <s v="0"/>
    <m/>
    <m/>
    <m/>
    <m/>
    <m/>
    <m/>
    <m/>
    <m/>
    <m/>
    <m/>
    <m/>
    <m/>
    <m/>
    <m/>
  </r>
  <r>
    <n v="742"/>
    <d v="2025-02-11T00:00:00"/>
    <x v="0"/>
    <s v="9518510681"/>
    <s v="1"/>
    <s v="9518510681-1"/>
    <s v="No Priority"/>
    <x v="0"/>
    <m/>
    <x v="1"/>
    <x v="2"/>
    <x v="1"/>
    <m/>
    <x v="0"/>
    <m/>
    <m/>
    <s v="Uttar Pradesh"/>
    <s v="North"/>
    <s v="KANPUR"/>
    <x v="1"/>
    <x v="7"/>
    <x v="7"/>
    <x v="213"/>
    <s v="CRCA SHEET TATCRC SR16 0.450X1250X2030"/>
    <m/>
    <m/>
    <m/>
    <m/>
    <m/>
    <x v="2"/>
    <x v="1"/>
    <s v="SR16"/>
    <x v="10"/>
    <x v="0"/>
    <x v="11"/>
    <n v="33"/>
    <n v="31.454999999999998"/>
    <n v="1.5449999999999999"/>
    <n v="1.5449999999999999"/>
    <n v="0"/>
    <n v="1.544999999999999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3T00:00:00"/>
    <x v="0"/>
    <s v="9518516573"/>
    <s v="1"/>
    <s v="9518516573-1"/>
    <s v="No Priority"/>
    <x v="0"/>
    <m/>
    <x v="1"/>
    <x v="2"/>
    <x v="1"/>
    <m/>
    <x v="0"/>
    <m/>
    <m/>
    <s v="West Bengal"/>
    <s v="East"/>
    <s v="HOWRAH"/>
    <x v="1"/>
    <x v="20"/>
    <x v="61"/>
    <x v="28"/>
    <s v="CRCA SHEET TSBCRC SR15 0.500X1250X2500"/>
    <m/>
    <m/>
    <m/>
    <m/>
    <m/>
    <x v="2"/>
    <x v="4"/>
    <s v="SR15"/>
    <x v="1"/>
    <x v="0"/>
    <x v="11"/>
    <n v="66"/>
    <n v="65.765000000000001"/>
    <n v="0.23499999999999999"/>
    <n v="0.23499999999999999"/>
    <n v="0"/>
    <n v="0.2349999999999999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4T00:00:00"/>
    <x v="0"/>
    <s v="9518518906"/>
    <s v="5"/>
    <s v="9518518906-5"/>
    <s v="No Priority"/>
    <x v="0"/>
    <m/>
    <x v="1"/>
    <x v="2"/>
    <x v="1"/>
    <m/>
    <x v="0"/>
    <m/>
    <m/>
    <s v="Uttar Pradesh"/>
    <s v="North"/>
    <s v="VARANASI"/>
    <x v="1"/>
    <x v="2"/>
    <x v="2"/>
    <x v="57"/>
    <s v="CRCA SHEET TSBCRC SR15 0.600X1000X1930"/>
    <m/>
    <m/>
    <m/>
    <m/>
    <m/>
    <x v="2"/>
    <x v="4"/>
    <s v="SR15"/>
    <x v="20"/>
    <x v="2"/>
    <x v="11"/>
    <n v="33"/>
    <n v="20.38"/>
    <n v="12.62"/>
    <n v="12.62"/>
    <n v="12.62"/>
    <n v="12.62"/>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14T00:00:00"/>
    <x v="0"/>
    <s v="9518519620"/>
    <s v="3"/>
    <s v="9518519620-3"/>
    <s v="No Priority"/>
    <x v="0"/>
    <s v="Yes"/>
    <x v="3"/>
    <x v="9"/>
    <x v="1"/>
    <m/>
    <x v="0"/>
    <m/>
    <m/>
    <s v="Bihar"/>
    <s v="East"/>
    <s v="PATNA CITY"/>
    <x v="0"/>
    <x v="31"/>
    <x v="31"/>
    <x v="56"/>
    <s v="GP COIL SOFT-TATXGP-GK09-0.4X900"/>
    <m/>
    <m/>
    <m/>
    <m/>
    <m/>
    <x v="7"/>
    <x v="5"/>
    <s v="GK09"/>
    <x v="2"/>
    <x v="3"/>
    <x v="11"/>
    <n v="294"/>
    <n v="241.1"/>
    <n v="52.9"/>
    <n v="52.9"/>
    <n v="0"/>
    <n v="52.9"/>
    <n v="0"/>
    <n v="0"/>
    <n v="0"/>
    <n v="0"/>
    <n v="0"/>
    <n v="0"/>
    <n v="0"/>
    <n v="0"/>
    <n v="0"/>
    <n v="0"/>
    <n v="0"/>
    <n v="0"/>
    <n v="0"/>
    <n v="0"/>
    <n v="0"/>
    <n v="0"/>
    <n v="0"/>
    <n v="0"/>
    <n v="0"/>
    <n v="0"/>
    <n v="0"/>
    <n v="53"/>
    <n v="53"/>
    <m/>
    <n v="0"/>
    <n v="0"/>
    <n v="0"/>
    <n v="0"/>
    <n v="0"/>
    <n v="0"/>
    <n v="0"/>
    <n v="0"/>
    <n v="0"/>
    <n v="0"/>
    <n v="0"/>
    <n v="0"/>
    <n v="0"/>
    <n v="0"/>
    <n v="0"/>
    <n v="0"/>
    <n v="0"/>
    <n v="0"/>
    <n v="0"/>
    <n v="0"/>
    <n v="0"/>
    <m/>
    <m/>
    <m/>
    <m/>
    <m/>
    <m/>
    <m/>
    <m/>
    <s v="1"/>
    <s v="1"/>
    <s v="1"/>
    <s v="1"/>
    <s v="1"/>
    <m/>
    <m/>
    <m/>
    <m/>
    <m/>
    <m/>
    <m/>
    <m/>
    <m/>
    <m/>
    <m/>
    <m/>
    <m/>
    <m/>
  </r>
  <r>
    <n v="742"/>
    <d v="2025-02-14T00:00:00"/>
    <x v="0"/>
    <s v="9518519644"/>
    <s v="3"/>
    <s v="9518519644-3"/>
    <s v="No Priority"/>
    <x v="0"/>
    <m/>
    <x v="1"/>
    <x v="2"/>
    <x v="1"/>
    <m/>
    <x v="0"/>
    <m/>
    <m/>
    <s v="Bihar"/>
    <s v="East"/>
    <s v="PATNA CITY"/>
    <x v="1"/>
    <x v="31"/>
    <x v="31"/>
    <x v="219"/>
    <s v="CRCA SHEET TATCRC SR16 0.380X1250X2500"/>
    <m/>
    <m/>
    <m/>
    <m/>
    <m/>
    <x v="2"/>
    <x v="1"/>
    <s v="SR16"/>
    <x v="7"/>
    <x v="0"/>
    <x v="11"/>
    <n v="51"/>
    <n v="48.645000000000003"/>
    <n v="2.355"/>
    <n v="2.355"/>
    <n v="0"/>
    <n v="2.35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4T00:00:00"/>
    <x v="0"/>
    <s v="9518520213"/>
    <s v="10"/>
    <s v="9518520213-10"/>
    <s v="No Priority"/>
    <x v="0"/>
    <m/>
    <x v="1"/>
    <x v="2"/>
    <x v="1"/>
    <m/>
    <x v="0"/>
    <m/>
    <m/>
    <s v="Bihar"/>
    <s v="East"/>
    <s v="PURNEA JN."/>
    <x v="1"/>
    <x v="31"/>
    <x v="31"/>
    <x v="220"/>
    <s v="CRCA SHEET TATCRC SR16 0.480X1250X2500"/>
    <m/>
    <m/>
    <m/>
    <m/>
    <m/>
    <x v="2"/>
    <x v="1"/>
    <s v="SR16"/>
    <x v="8"/>
    <x v="0"/>
    <x v="11"/>
    <n v="51"/>
    <n v="49.195"/>
    <n v="1.8049999999999999"/>
    <n v="1.8049999999999999"/>
    <n v="0"/>
    <n v="1.804999999999999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8T00:00:00"/>
    <x v="0"/>
    <s v="9518529569"/>
    <s v="2"/>
    <s v="9518529569-2"/>
    <s v="No Priority"/>
    <x v="0"/>
    <m/>
    <x v="1"/>
    <x v="2"/>
    <x v="1"/>
    <m/>
    <x v="0"/>
    <m/>
    <m/>
    <s v="Rajasthan"/>
    <s v="North"/>
    <s v="JAIPUR"/>
    <x v="1"/>
    <x v="64"/>
    <x v="62"/>
    <x v="28"/>
    <s v="CRCA SHEET TSBCRC SR15 0.500X1250X2500"/>
    <m/>
    <m/>
    <m/>
    <m/>
    <m/>
    <x v="2"/>
    <x v="4"/>
    <s v="SR15"/>
    <x v="1"/>
    <x v="0"/>
    <x v="11"/>
    <n v="98.97"/>
    <n v="97.25"/>
    <n v="1.72"/>
    <n v="1.72"/>
    <n v="0"/>
    <n v="1.72"/>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19T00:00:00"/>
    <x v="2"/>
    <s v="9518531893"/>
    <s v="1"/>
    <s v="9518531893-1"/>
    <s v="No Priority"/>
    <x v="0"/>
    <m/>
    <x v="1"/>
    <x v="0"/>
    <x v="1"/>
    <m/>
    <x v="0"/>
    <m/>
    <m/>
    <s v="Tamil Nadu"/>
    <s v="South"/>
    <s v="CHENNAI"/>
    <x v="0"/>
    <x v="80"/>
    <x v="77"/>
    <x v="221"/>
    <s v="CR COIL TATXHS GB03 1.500X1260"/>
    <m/>
    <m/>
    <m/>
    <m/>
    <m/>
    <x v="1"/>
    <x v="8"/>
    <s v="GB03"/>
    <x v="27"/>
    <x v="23"/>
    <x v="11"/>
    <n v="168"/>
    <n v="0"/>
    <n v="168"/>
    <n v="168"/>
    <n v="168"/>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2-20T00:00:00"/>
    <x v="0"/>
    <s v="9518535833"/>
    <s v="27"/>
    <s v="9518535833-27"/>
    <s v="No Priority"/>
    <x v="0"/>
    <m/>
    <x v="1"/>
    <x v="2"/>
    <x v="1"/>
    <m/>
    <x v="0"/>
    <m/>
    <m/>
    <s v="Tamil Nadu"/>
    <s v="South"/>
    <s v="CHENNAI"/>
    <x v="1"/>
    <x v="4"/>
    <x v="4"/>
    <x v="222"/>
    <s v="CRCA SHEET TSBCRC SR15 1X1250X2500"/>
    <m/>
    <m/>
    <m/>
    <m/>
    <m/>
    <x v="2"/>
    <x v="4"/>
    <s v="SR15"/>
    <x v="17"/>
    <x v="0"/>
    <x v="11"/>
    <n v="30"/>
    <n v="29.204999999999998"/>
    <n v="0.79500000000000004"/>
    <n v="0.79500000000000004"/>
    <n v="0"/>
    <n v="0.79500000000000004"/>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2-20T00:00:00"/>
    <x v="0"/>
    <s v="9518536050"/>
    <s v="1"/>
    <s v="9518536050-1"/>
    <s v="No Priority"/>
    <x v="0"/>
    <m/>
    <x v="2"/>
    <x v="3"/>
    <x v="3"/>
    <m/>
    <x v="0"/>
    <m/>
    <s v="Exp BTF &lt;17MT"/>
    <s v="Jharkhand"/>
    <s v="TBSPL"/>
    <s v="TBL- BARA AGRICO"/>
    <x v="0"/>
    <x v="6"/>
    <x v="39"/>
    <x v="195"/>
    <s v="PPGL C HARD Y550PL D0C9 0.60(TPT)X1220"/>
    <m/>
    <m/>
    <m/>
    <m/>
    <m/>
    <x v="3"/>
    <x v="3"/>
    <s v="D0C9"/>
    <x v="20"/>
    <x v="1"/>
    <x v="11"/>
    <n v="28"/>
    <n v="10.37"/>
    <n v="17.63"/>
    <n v="8.4700000000000006"/>
    <n v="17.63"/>
    <n v="17.6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2-22T00:00:00"/>
    <x v="0"/>
    <s v="9518542770"/>
    <s v="1"/>
    <s v="9518542770-1"/>
    <s v="No Priority"/>
    <x v="0"/>
    <m/>
    <x v="4"/>
    <x v="3"/>
    <x v="3"/>
    <m/>
    <x v="0"/>
    <m/>
    <m/>
    <s v="Jharkhand"/>
    <s v="TBSPL"/>
    <s v="TBL- BARA AGRICO"/>
    <x v="0"/>
    <x v="22"/>
    <x v="39"/>
    <x v="156"/>
    <s v="GL C YS550 H6GL 0.42BMT(0.47TCT)X1220"/>
    <m/>
    <m/>
    <m/>
    <m/>
    <m/>
    <x v="5"/>
    <x v="7"/>
    <s v="H6GL"/>
    <x v="3"/>
    <x v="1"/>
    <x v="11"/>
    <n v="140"/>
    <n v="115.1"/>
    <n v="24.9"/>
    <n v="24.9"/>
    <n v="24.9"/>
    <n v="24.9"/>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4"/>
    <d v="2025-02-22T00:00:00"/>
    <x v="0"/>
    <s v="9518543125"/>
    <s v="2"/>
    <s v="9518543125-2"/>
    <s v="May'25"/>
    <x v="0"/>
    <m/>
    <x v="2"/>
    <x v="3"/>
    <x v="3"/>
    <m/>
    <x v="1"/>
    <m/>
    <m/>
    <s v="Jharkhand"/>
    <s v="TBSPL"/>
    <s v="GAMHARIA"/>
    <x v="0"/>
    <x v="15"/>
    <x v="15"/>
    <x v="78"/>
    <s v="PPGL C Y550 ISC6 0.40BMT(0.45TPT)X1220"/>
    <m/>
    <m/>
    <m/>
    <m/>
    <m/>
    <x v="3"/>
    <x v="3"/>
    <s v="ISC6"/>
    <x v="2"/>
    <x v="1"/>
    <x v="11"/>
    <n v="279.99"/>
    <n v="257.065"/>
    <n v="22.925000000000001"/>
    <n v="22.925000000000001"/>
    <n v="22.925000000000001"/>
    <n v="22.925000000000001"/>
    <n v="0"/>
    <n v="0"/>
    <n v="0"/>
    <n v="0"/>
    <n v="0"/>
    <n v="0"/>
    <n v="0"/>
    <n v="0"/>
    <n v="0"/>
    <n v="0"/>
    <n v="0"/>
    <n v="0"/>
    <n v="0"/>
    <n v="0"/>
    <n v="0"/>
    <n v="0"/>
    <n v="0"/>
    <n v="0"/>
    <n v="0"/>
    <n v="0"/>
    <n v="0"/>
    <n v="0"/>
    <n v="0"/>
    <m/>
    <n v="0"/>
    <n v="22.925000000000001"/>
    <n v="0"/>
    <n v="0"/>
    <n v="22.925000000000001"/>
    <n v="0"/>
    <n v="0"/>
    <n v="22.925000000000001"/>
    <n v="0"/>
    <n v="0"/>
    <n v="0"/>
    <n v="22.925000000000001"/>
    <n v="0"/>
    <n v="0"/>
    <n v="12.594999999999999"/>
    <n v="0"/>
    <n v="0"/>
    <n v="12.594999999999999"/>
    <n v="0"/>
    <n v="0"/>
    <n v="0"/>
    <m/>
    <m/>
    <m/>
    <m/>
    <m/>
    <m/>
    <m/>
    <m/>
    <s v="1"/>
    <s v="1"/>
    <s v="0"/>
    <s v="1"/>
    <s v="1"/>
    <m/>
    <m/>
    <m/>
    <m/>
    <m/>
    <m/>
    <m/>
    <m/>
    <m/>
    <m/>
    <m/>
    <m/>
    <m/>
    <m/>
  </r>
  <r>
    <n v="743"/>
    <d v="2025-02-25T00:00:00"/>
    <x v="0"/>
    <s v="9518550672"/>
    <s v="1"/>
    <s v="9518550672-1"/>
    <s v="No Priority"/>
    <x v="0"/>
    <m/>
    <x v="4"/>
    <x v="10"/>
    <x v="3"/>
    <m/>
    <x v="0"/>
    <m/>
    <s v="No allocation for IPP"/>
    <s v="Andhra Pradesh"/>
    <s v="South"/>
    <s v="NELLORE"/>
    <x v="0"/>
    <x v="79"/>
    <x v="76"/>
    <x v="223"/>
    <s v="GL COIL HARD  Y550GL H7GL 0.420X1235"/>
    <m/>
    <m/>
    <m/>
    <m/>
    <m/>
    <x v="5"/>
    <x v="7"/>
    <s v="H7GL"/>
    <x v="3"/>
    <x v="7"/>
    <x v="11"/>
    <n v="280"/>
    <n v="193.19499999999999"/>
    <n v="86.805000000000007"/>
    <n v="86.805000000000007"/>
    <n v="86.805000000000007"/>
    <n v="86.805000000000007"/>
    <n v="0"/>
    <n v="0"/>
    <n v="0"/>
    <n v="0"/>
    <n v="0"/>
    <n v="0"/>
    <n v="0"/>
    <n v="0"/>
    <n v="0"/>
    <n v="0"/>
    <n v="0"/>
    <n v="0"/>
    <n v="0"/>
    <n v="0"/>
    <n v="0"/>
    <n v="0"/>
    <n v="0"/>
    <n v="0"/>
    <n v="0"/>
    <n v="0"/>
    <n v="0"/>
    <n v="0"/>
    <n v="0"/>
    <m/>
    <n v="0"/>
    <n v="0"/>
    <n v="0"/>
    <n v="0"/>
    <n v="0"/>
    <n v="0"/>
    <n v="0"/>
    <n v="0"/>
    <n v="0"/>
    <n v="0"/>
    <n v="0"/>
    <n v="0"/>
    <n v="0"/>
    <n v="0"/>
    <n v="31.574999999999999"/>
    <n v="0"/>
    <n v="0"/>
    <n v="0"/>
    <n v="0"/>
    <n v="0"/>
    <n v="31.574999999999999"/>
    <m/>
    <m/>
    <m/>
    <m/>
    <m/>
    <m/>
    <m/>
    <m/>
    <s v="1"/>
    <s v="1"/>
    <s v="1"/>
    <s v="1"/>
    <s v="1"/>
    <m/>
    <m/>
    <m/>
    <m/>
    <m/>
    <m/>
    <m/>
    <m/>
    <m/>
    <m/>
    <m/>
    <m/>
    <m/>
    <m/>
  </r>
  <r>
    <n v="743"/>
    <d v="2025-02-27T00:00:00"/>
    <x v="0"/>
    <s v="9518561462"/>
    <s v="1"/>
    <s v="9518561462-1"/>
    <s v="May'25"/>
    <x v="0"/>
    <s v="Yes"/>
    <x v="3"/>
    <x v="4"/>
    <x v="1"/>
    <m/>
    <x v="1"/>
    <m/>
    <m/>
    <s v="Gujarat"/>
    <s v="West"/>
    <s v="CHANGODAR"/>
    <x v="0"/>
    <x v="81"/>
    <x v="78"/>
    <x v="194"/>
    <s v="GP COIL TATGPH GP02 0.500X1350"/>
    <m/>
    <m/>
    <m/>
    <m/>
    <m/>
    <x v="4"/>
    <x v="6"/>
    <s v="GP02"/>
    <x v="1"/>
    <x v="20"/>
    <x v="11"/>
    <n v="217"/>
    <n v="198.41"/>
    <n v="18.59"/>
    <n v="18.59"/>
    <n v="18.59"/>
    <n v="18.59"/>
    <n v="0"/>
    <n v="0"/>
    <n v="0"/>
    <n v="0"/>
    <n v="0"/>
    <n v="0"/>
    <n v="0"/>
    <n v="0"/>
    <n v="0"/>
    <n v="0"/>
    <n v="0"/>
    <n v="0"/>
    <n v="0"/>
    <n v="0"/>
    <n v="0"/>
    <n v="0"/>
    <n v="0"/>
    <n v="0"/>
    <n v="0"/>
    <n v="0"/>
    <n v="0"/>
    <n v="0"/>
    <n v="0"/>
    <m/>
    <n v="0"/>
    <n v="18.59"/>
    <n v="0"/>
    <n v="0"/>
    <n v="18.59"/>
    <n v="0"/>
    <n v="0"/>
    <n v="18.59"/>
    <n v="0"/>
    <n v="0"/>
    <n v="0"/>
    <n v="18.59"/>
    <n v="0"/>
    <n v="0"/>
    <n v="0"/>
    <n v="0"/>
    <n v="0"/>
    <n v="0"/>
    <n v="0"/>
    <n v="0"/>
    <n v="0"/>
    <m/>
    <m/>
    <m/>
    <m/>
    <m/>
    <m/>
    <m/>
    <m/>
    <s v="1"/>
    <s v="1"/>
    <s v="0"/>
    <s v="1"/>
    <s v="1"/>
    <m/>
    <m/>
    <m/>
    <m/>
    <m/>
    <m/>
    <m/>
    <m/>
    <m/>
    <m/>
    <m/>
    <m/>
    <m/>
    <m/>
  </r>
  <r>
    <n v="742"/>
    <d v="2025-03-03T00:00:00"/>
    <x v="0"/>
    <s v="9518569795"/>
    <s v="17"/>
    <s v="9518569795-17"/>
    <s v="No Priority"/>
    <x v="0"/>
    <m/>
    <x v="1"/>
    <x v="2"/>
    <x v="1"/>
    <m/>
    <x v="0"/>
    <m/>
    <m/>
    <s v="West Bengal"/>
    <s v="East"/>
    <s v="SILIGURI TOWN"/>
    <x v="1"/>
    <x v="66"/>
    <x v="24"/>
    <x v="224"/>
    <s v="CRCA SHEET TSBCRC SR15 0.700X900X2500"/>
    <m/>
    <m/>
    <m/>
    <m/>
    <m/>
    <x v="2"/>
    <x v="4"/>
    <s v="SR15"/>
    <x v="4"/>
    <x v="3"/>
    <x v="11"/>
    <n v="24"/>
    <n v="18.27"/>
    <n v="5.73"/>
    <n v="5.73"/>
    <n v="5.73"/>
    <n v="5.7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04T00:00:00"/>
    <x v="0"/>
    <s v="9518573555"/>
    <s v="2"/>
    <s v="9518573555-2"/>
    <s v="No Priority"/>
    <x v="0"/>
    <m/>
    <x v="4"/>
    <x v="3"/>
    <x v="3"/>
    <m/>
    <x v="0"/>
    <m/>
    <m/>
    <s v="Jharkhand"/>
    <s v="TBSPL"/>
    <s v="TBL- BARA AGRICO"/>
    <x v="0"/>
    <x v="22"/>
    <x v="39"/>
    <x v="225"/>
    <s v="GL C YS550 H6GL 0.85BMT(0.90TCT)X1250"/>
    <m/>
    <m/>
    <m/>
    <m/>
    <m/>
    <x v="5"/>
    <x v="7"/>
    <s v="H6GL"/>
    <x v="46"/>
    <x v="0"/>
    <x v="11"/>
    <n v="203"/>
    <n v="167.74"/>
    <n v="35.26"/>
    <n v="35.26"/>
    <n v="35.26"/>
    <n v="35.26"/>
    <n v="0"/>
    <n v="0"/>
    <n v="0"/>
    <n v="0"/>
    <n v="0"/>
    <n v="0"/>
    <n v="0"/>
    <n v="0"/>
    <n v="0"/>
    <n v="0"/>
    <n v="0"/>
    <n v="0"/>
    <n v="0"/>
    <n v="0"/>
    <n v="0"/>
    <n v="0"/>
    <n v="0"/>
    <n v="0"/>
    <n v="0"/>
    <n v="0"/>
    <n v="0"/>
    <n v="0"/>
    <n v="0"/>
    <m/>
    <n v="0"/>
    <n v="0"/>
    <n v="0"/>
    <n v="0"/>
    <n v="0"/>
    <n v="0"/>
    <n v="0"/>
    <n v="0"/>
    <n v="0"/>
    <n v="0"/>
    <n v="0"/>
    <n v="0"/>
    <n v="0"/>
    <n v="0"/>
    <n v="19.365000000000002"/>
    <n v="0"/>
    <n v="0"/>
    <n v="0"/>
    <n v="0"/>
    <n v="0"/>
    <n v="19.365000000000002"/>
    <m/>
    <m/>
    <m/>
    <m/>
    <m/>
    <m/>
    <m/>
    <m/>
    <s v="1"/>
    <s v="1"/>
    <s v="1"/>
    <s v="1"/>
    <s v="1"/>
    <m/>
    <m/>
    <m/>
    <m/>
    <m/>
    <m/>
    <m/>
    <m/>
    <m/>
    <m/>
    <m/>
    <m/>
    <m/>
    <m/>
  </r>
  <r>
    <n v="742"/>
    <d v="2025-03-04T00:00:00"/>
    <x v="0"/>
    <s v="9518573630"/>
    <s v="3"/>
    <s v="9518573630-3"/>
    <s v="No Priority"/>
    <x v="0"/>
    <m/>
    <x v="1"/>
    <x v="1"/>
    <x v="1"/>
    <m/>
    <x v="0"/>
    <m/>
    <m/>
    <s v="Uttar Pradesh"/>
    <s v="North"/>
    <s v="KANPUR"/>
    <x v="0"/>
    <x v="53"/>
    <x v="50"/>
    <x v="95"/>
    <s v="CRCA COIL-TATXXD-AU03-1.2X1250"/>
    <m/>
    <m/>
    <m/>
    <m/>
    <m/>
    <x v="1"/>
    <x v="2"/>
    <s v="AU03"/>
    <x v="19"/>
    <x v="0"/>
    <x v="11"/>
    <n v="29"/>
    <n v="9.0250000000000004"/>
    <n v="19.975000000000001"/>
    <n v="19.975000000000001"/>
    <n v="19.975000000000001"/>
    <n v="19.975000000000001"/>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5T00:00:00"/>
    <x v="0"/>
    <s v="9518576862"/>
    <s v="1"/>
    <s v="9518576862-1"/>
    <s v="No Priority"/>
    <x v="0"/>
    <m/>
    <x v="1"/>
    <x v="2"/>
    <x v="1"/>
    <m/>
    <x v="0"/>
    <m/>
    <m/>
    <s v="Maharashtra"/>
    <s v="West"/>
    <s v="NAGPUR"/>
    <x v="1"/>
    <x v="62"/>
    <x v="59"/>
    <x v="214"/>
    <s v="CRCA SHEET TATXXD SR17 0.500X1250X2500"/>
    <m/>
    <m/>
    <m/>
    <m/>
    <m/>
    <x v="2"/>
    <x v="2"/>
    <s v="SR17"/>
    <x v="1"/>
    <x v="0"/>
    <x v="11"/>
    <n v="43.37"/>
    <n v="43.37"/>
    <n v="0"/>
    <n v="0"/>
    <n v="0"/>
    <n v="0"/>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6T00:00:00"/>
    <x v="0"/>
    <s v="9518578381"/>
    <s v="1"/>
    <s v="9518578381-1"/>
    <s v="May'25"/>
    <x v="0"/>
    <m/>
    <x v="0"/>
    <x v="0"/>
    <x v="1"/>
    <m/>
    <x v="1"/>
    <m/>
    <m/>
    <s v="Telangana"/>
    <s v="South"/>
    <s v="HYDERABAD"/>
    <x v="0"/>
    <x v="82"/>
    <x v="79"/>
    <x v="197"/>
    <s v="HR COILS-PO IS 1079 HR2 2.50X1250"/>
    <m/>
    <m/>
    <m/>
    <m/>
    <m/>
    <x v="0"/>
    <x v="0"/>
    <s v="HR99"/>
    <x v="38"/>
    <x v="0"/>
    <x v="11"/>
    <n v="99.995000000000005"/>
    <n v="24.34"/>
    <n v="75.655000000000001"/>
    <n v="75.655000000000001"/>
    <n v="50.655000000000001"/>
    <n v="53.71"/>
    <n v="0"/>
    <n v="0"/>
    <n v="0"/>
    <n v="0"/>
    <n v="0"/>
    <n v="0"/>
    <n v="0"/>
    <n v="0"/>
    <n v="0"/>
    <n v="0"/>
    <n v="0"/>
    <n v="0"/>
    <n v="0"/>
    <n v="0"/>
    <n v="0"/>
    <n v="0"/>
    <n v="0"/>
    <n v="0"/>
    <n v="0"/>
    <n v="0"/>
    <n v="0"/>
    <n v="25"/>
    <n v="25"/>
    <m/>
    <n v="21.945"/>
    <n v="53.71"/>
    <n v="0"/>
    <n v="53.71"/>
    <n v="0"/>
    <n v="0"/>
    <n v="0"/>
    <n v="75.655000000000001"/>
    <n v="0"/>
    <n v="0"/>
    <n v="75.655000000000001"/>
    <n v="0"/>
    <n v="0"/>
    <n v="0"/>
    <n v="0"/>
    <n v="0"/>
    <n v="0"/>
    <n v="0"/>
    <n v="0"/>
    <n v="0"/>
    <n v="0"/>
    <m/>
    <m/>
    <m/>
    <m/>
    <m/>
    <m/>
    <m/>
    <m/>
    <s v="1"/>
    <s v="0"/>
    <s v="1"/>
    <s v="1"/>
    <s v="1"/>
    <m/>
    <m/>
    <m/>
    <m/>
    <m/>
    <m/>
    <m/>
    <m/>
    <m/>
    <m/>
    <m/>
    <m/>
    <m/>
    <m/>
  </r>
  <r>
    <n v="742"/>
    <d v="2025-03-06T00:00:00"/>
    <x v="0"/>
    <s v="9518579878"/>
    <s v="2"/>
    <s v="9518579878-2"/>
    <s v="Stocks"/>
    <x v="0"/>
    <m/>
    <x v="1"/>
    <x v="2"/>
    <x v="1"/>
    <m/>
    <x v="1"/>
    <m/>
    <m/>
    <s v="Uttar Pradesh"/>
    <s v="North"/>
    <s v="VARANASI"/>
    <x v="1"/>
    <x v="2"/>
    <x v="2"/>
    <x v="136"/>
    <s v="CRCA SHEET TATCRC SR16 0.450X1250X2500"/>
    <m/>
    <m/>
    <m/>
    <m/>
    <m/>
    <x v="2"/>
    <x v="1"/>
    <s v="SR16"/>
    <x v="10"/>
    <x v="0"/>
    <x v="11"/>
    <n v="54"/>
    <n v="50.51"/>
    <n v="3.49"/>
    <n v="3.49"/>
    <n v="3.49"/>
    <n v="0.77"/>
    <n v="0"/>
    <n v="0"/>
    <n v="0"/>
    <n v="0"/>
    <n v="0"/>
    <n v="0"/>
    <n v="0"/>
    <n v="0"/>
    <n v="0"/>
    <n v="0"/>
    <n v="0"/>
    <n v="0"/>
    <n v="0"/>
    <n v="0"/>
    <n v="0"/>
    <n v="0"/>
    <n v="0"/>
    <n v="0"/>
    <n v="0"/>
    <n v="0"/>
    <n v="0"/>
    <n v="0"/>
    <n v="0"/>
    <m/>
    <n v="2.72"/>
    <n v="0"/>
    <n v="0"/>
    <n v="0"/>
    <n v="0"/>
    <n v="0"/>
    <n v="0"/>
    <n v="2.72"/>
    <n v="2.72"/>
    <n v="0"/>
    <n v="0"/>
    <n v="0"/>
    <n v="0"/>
    <n v="0"/>
    <n v="0"/>
    <n v="0"/>
    <n v="0"/>
    <n v="0"/>
    <n v="0"/>
    <n v="0"/>
    <n v="0"/>
    <m/>
    <m/>
    <m/>
    <m/>
    <m/>
    <m/>
    <m/>
    <m/>
    <s v="1"/>
    <s v="1"/>
    <s v="1"/>
    <s v="1"/>
    <s v="1"/>
    <m/>
    <m/>
    <m/>
    <m/>
    <m/>
    <m/>
    <m/>
    <m/>
    <m/>
    <m/>
    <m/>
    <m/>
    <m/>
    <m/>
  </r>
  <r>
    <n v="742"/>
    <d v="2025-03-06T00:00:00"/>
    <x v="0"/>
    <s v="9518579878"/>
    <s v="5"/>
    <s v="9518579878-5"/>
    <s v="No Priority"/>
    <x v="0"/>
    <m/>
    <x v="1"/>
    <x v="2"/>
    <x v="1"/>
    <m/>
    <x v="0"/>
    <m/>
    <m/>
    <s v="Uttar Pradesh"/>
    <s v="North"/>
    <s v="VARANASI"/>
    <x v="1"/>
    <x v="2"/>
    <x v="2"/>
    <x v="213"/>
    <s v="CRCA SHEET TATCRC SR16 0.450X1250X2030"/>
    <m/>
    <m/>
    <m/>
    <m/>
    <m/>
    <x v="2"/>
    <x v="1"/>
    <s v="SR16"/>
    <x v="10"/>
    <x v="0"/>
    <x v="11"/>
    <n v="54"/>
    <n v="51.04"/>
    <n v="2.96"/>
    <n v="2.96"/>
    <n v="2.96"/>
    <n v="2.96"/>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7T00:00:00"/>
    <x v="0"/>
    <s v="9518582494"/>
    <s v="5"/>
    <s v="9518582494-5"/>
    <s v="No Priority"/>
    <x v="0"/>
    <m/>
    <x v="1"/>
    <x v="2"/>
    <x v="1"/>
    <m/>
    <x v="0"/>
    <m/>
    <m/>
    <s v="Bihar"/>
    <s v="East"/>
    <s v="PATNA CITY"/>
    <x v="1"/>
    <x v="31"/>
    <x v="31"/>
    <x v="226"/>
    <s v="CRCA SHEET TATCRC SR16 0.430X1250X2500"/>
    <m/>
    <m/>
    <m/>
    <m/>
    <m/>
    <x v="2"/>
    <x v="1"/>
    <s v="SR16"/>
    <x v="25"/>
    <x v="0"/>
    <x v="11"/>
    <n v="27"/>
    <n v="26.145"/>
    <n v="0.85499999999999998"/>
    <n v="0.85499999999999998"/>
    <n v="0"/>
    <n v="0.85499999999999998"/>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07T00:00:00"/>
    <x v="0"/>
    <s v="9518583094"/>
    <s v="4"/>
    <s v="9518583094-4"/>
    <s v="No Priority"/>
    <x v="0"/>
    <m/>
    <x v="1"/>
    <x v="2"/>
    <x v="1"/>
    <m/>
    <x v="0"/>
    <m/>
    <m/>
    <s v="Uttar Pradesh"/>
    <s v="North"/>
    <s v="VARANASI"/>
    <x v="1"/>
    <x v="2"/>
    <x v="2"/>
    <x v="213"/>
    <s v="CRCA SHEET TATCRC SR16 0.450X1250X2030"/>
    <m/>
    <m/>
    <m/>
    <m/>
    <m/>
    <x v="2"/>
    <x v="1"/>
    <s v="SR16"/>
    <x v="10"/>
    <x v="0"/>
    <x v="11"/>
    <n v="81"/>
    <n v="80.13"/>
    <n v="0.87"/>
    <n v="0.87"/>
    <n v="0"/>
    <n v="0.87"/>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10T00:00:00"/>
    <x v="0"/>
    <s v="9518588324"/>
    <s v="1"/>
    <s v="9518588324-1"/>
    <s v="No Priority"/>
    <x v="0"/>
    <m/>
    <x v="4"/>
    <x v="10"/>
    <x v="3"/>
    <m/>
    <x v="0"/>
    <m/>
    <s v="No allocation for IPP"/>
    <s v="Andhra Pradesh"/>
    <s v="South"/>
    <s v="NELLORE"/>
    <x v="0"/>
    <x v="79"/>
    <x v="76"/>
    <x v="227"/>
    <s v="GL COIL HARD  Y550GL H7GL 0.320X1245"/>
    <m/>
    <m/>
    <m/>
    <m/>
    <m/>
    <x v="5"/>
    <x v="7"/>
    <s v="H7GL"/>
    <x v="33"/>
    <x v="14"/>
    <x v="11"/>
    <n v="290"/>
    <n v="197.17500000000001"/>
    <n v="92.825000000000003"/>
    <n v="66.084999999999994"/>
    <n v="92.825000000000003"/>
    <n v="92.825000000000003"/>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13T00:00:00"/>
    <x v="0"/>
    <s v="9518598795"/>
    <s v="4"/>
    <s v="9518598795-4"/>
    <s v="May'25"/>
    <x v="0"/>
    <s v="Yes"/>
    <x v="1"/>
    <x v="1"/>
    <x v="1"/>
    <m/>
    <x v="1"/>
    <m/>
    <m/>
    <s v="Tamil Nadu"/>
    <s v="South"/>
    <s v="GUMMIDIPUNDI"/>
    <x v="0"/>
    <x v="54"/>
    <x v="38"/>
    <x v="228"/>
    <s v="CRCA COIL-TATXXD-AU03-1X1250"/>
    <m/>
    <m/>
    <m/>
    <m/>
    <m/>
    <x v="1"/>
    <x v="2"/>
    <s v="AU03"/>
    <x v="17"/>
    <x v="0"/>
    <x v="11"/>
    <n v="87"/>
    <n v="48.87"/>
    <n v="38.130000000000003"/>
    <n v="38.130000000000003"/>
    <n v="10.760000000000002"/>
    <n v="38.130000000000003"/>
    <n v="0"/>
    <n v="0"/>
    <n v="0"/>
    <n v="0"/>
    <n v="0"/>
    <n v="0"/>
    <n v="0"/>
    <n v="0"/>
    <n v="0"/>
    <n v="0"/>
    <n v="0"/>
    <n v="0"/>
    <n v="0"/>
    <n v="27.37"/>
    <n v="0"/>
    <n v="0"/>
    <n v="0"/>
    <n v="0"/>
    <n v="0"/>
    <n v="27.37"/>
    <n v="27.37"/>
    <n v="0"/>
    <n v="27.37"/>
    <m/>
    <n v="0"/>
    <n v="38.130000000000003"/>
    <n v="0"/>
    <n v="38.130000000000003"/>
    <n v="0"/>
    <n v="0"/>
    <n v="0"/>
    <n v="38.130000000000003"/>
    <n v="0"/>
    <n v="38.130000000000003"/>
    <n v="0"/>
    <n v="0"/>
    <n v="0"/>
    <n v="0"/>
    <n v="0"/>
    <n v="0"/>
    <n v="0"/>
    <n v="0"/>
    <n v="0"/>
    <n v="0"/>
    <n v="0"/>
    <m/>
    <m/>
    <m/>
    <m/>
    <m/>
    <m/>
    <m/>
    <m/>
    <s v="1"/>
    <s v="0"/>
    <s v="1"/>
    <s v="1"/>
    <s v="1"/>
    <m/>
    <m/>
    <m/>
    <m/>
    <m/>
    <m/>
    <m/>
    <m/>
    <m/>
    <m/>
    <m/>
    <m/>
    <m/>
    <m/>
  </r>
  <r>
    <n v="743"/>
    <d v="2025-03-15T00:00:00"/>
    <x v="0"/>
    <s v="9518601754"/>
    <s v="1"/>
    <s v="9518601754-1"/>
    <s v="No Priority"/>
    <x v="0"/>
    <m/>
    <x v="4"/>
    <x v="10"/>
    <x v="3"/>
    <m/>
    <x v="0"/>
    <m/>
    <s v="No allocation for IPP"/>
    <s v="Andhra Pradesh"/>
    <s v="South"/>
    <s v="NELLORE"/>
    <x v="0"/>
    <x v="79"/>
    <x v="76"/>
    <x v="229"/>
    <s v="GL COIL HARD  Y550GL H7GL 0.320X1240"/>
    <m/>
    <m/>
    <m/>
    <m/>
    <m/>
    <x v="5"/>
    <x v="7"/>
    <s v="H7GL"/>
    <x v="33"/>
    <x v="17"/>
    <x v="11"/>
    <n v="280"/>
    <n v="253.26499999999999"/>
    <n v="26.734999999999999"/>
    <n v="26.734999999999999"/>
    <n v="26.734999999999999"/>
    <n v="26.734999999999999"/>
    <n v="0"/>
    <n v="0"/>
    <n v="0"/>
    <n v="0"/>
    <n v="0"/>
    <n v="0"/>
    <n v="0"/>
    <n v="0"/>
    <n v="0"/>
    <n v="0"/>
    <n v="0"/>
    <n v="0"/>
    <n v="0"/>
    <n v="0"/>
    <n v="0"/>
    <n v="0"/>
    <n v="0"/>
    <n v="0"/>
    <n v="0"/>
    <n v="0"/>
    <n v="0"/>
    <n v="0"/>
    <n v="0"/>
    <m/>
    <n v="0"/>
    <n v="0"/>
    <n v="0"/>
    <n v="0"/>
    <n v="0"/>
    <n v="0"/>
    <n v="0"/>
    <n v="0"/>
    <n v="0"/>
    <n v="0"/>
    <n v="0"/>
    <n v="0"/>
    <n v="0"/>
    <n v="0"/>
    <n v="22.509999999999998"/>
    <n v="0"/>
    <n v="0"/>
    <n v="0"/>
    <n v="0"/>
    <n v="0"/>
    <n v="22.509999999999998"/>
    <m/>
    <m/>
    <m/>
    <m/>
    <m/>
    <m/>
    <m/>
    <m/>
    <s v="1"/>
    <s v="1"/>
    <s v="1"/>
    <s v="1"/>
    <s v="1"/>
    <m/>
    <m/>
    <m/>
    <m/>
    <m/>
    <m/>
    <m/>
    <m/>
    <m/>
    <m/>
    <m/>
    <m/>
    <m/>
    <m/>
  </r>
  <r>
    <n v="742"/>
    <d v="2025-03-16T00:00:00"/>
    <x v="0"/>
    <s v="9518604323"/>
    <s v="16"/>
    <s v="9518604323-16"/>
    <s v="No Priority"/>
    <x v="0"/>
    <m/>
    <x v="1"/>
    <x v="2"/>
    <x v="1"/>
    <m/>
    <x v="0"/>
    <m/>
    <m/>
    <s v="Orissa"/>
    <s v="East"/>
    <s v="CUTTACK"/>
    <x v="1"/>
    <x v="19"/>
    <x v="19"/>
    <x v="230"/>
    <s v="CRCA SHEET TSBCRC SR15 1X1250X2500"/>
    <m/>
    <m/>
    <m/>
    <m/>
    <m/>
    <x v="2"/>
    <x v="4"/>
    <s v="SR15"/>
    <x v="17"/>
    <x v="0"/>
    <x v="11"/>
    <n v="3"/>
    <n v="2.9"/>
    <n v="0.1"/>
    <n v="0.1"/>
    <n v="0"/>
    <n v="0.1"/>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3"/>
    <d v="2025-03-17T00:00:00"/>
    <x v="0"/>
    <s v="9518607412"/>
    <s v="6"/>
    <s v="9518607412-6"/>
    <s v="May'25"/>
    <x v="0"/>
    <m/>
    <x v="3"/>
    <x v="14"/>
    <x v="1"/>
    <m/>
    <x v="0"/>
    <m/>
    <m/>
    <s v="Rajasthan"/>
    <s v="North"/>
    <s v="JAIPUR"/>
    <x v="0"/>
    <x v="83"/>
    <x v="80"/>
    <x v="231"/>
    <s v="GP COIL SOFT-TATXGP-GK09-0.4X1220"/>
    <m/>
    <m/>
    <m/>
    <m/>
    <m/>
    <x v="7"/>
    <x v="5"/>
    <s v="GK09"/>
    <x v="2"/>
    <x v="1"/>
    <x v="11"/>
    <n v="112"/>
    <n v="94.284999999999997"/>
    <n v="17.715"/>
    <n v="13.885999999999999"/>
    <n v="13.885999999999999"/>
    <n v="17.715"/>
    <n v="0"/>
    <n v="0"/>
    <n v="0"/>
    <n v="0"/>
    <n v="0"/>
    <n v="0"/>
    <n v="3.8290000000000002"/>
    <n v="0"/>
    <n v="0"/>
    <n v="0"/>
    <n v="0"/>
    <n v="0"/>
    <n v="0"/>
    <n v="0"/>
    <n v="0"/>
    <n v="0"/>
    <n v="0"/>
    <n v="0"/>
    <n v="0"/>
    <n v="3.8290000000000002"/>
    <n v="3.8290000000000002"/>
    <n v="0"/>
    <n v="3.8290000000000002"/>
    <m/>
    <n v="0"/>
    <n v="0"/>
    <n v="0"/>
    <n v="0"/>
    <n v="0"/>
    <n v="0"/>
    <n v="0"/>
    <n v="0"/>
    <n v="0"/>
    <n v="0"/>
    <n v="0"/>
    <n v="0"/>
    <n v="0"/>
    <n v="0"/>
    <n v="0"/>
    <n v="0"/>
    <n v="0"/>
    <n v="0"/>
    <n v="0"/>
    <n v="0"/>
    <n v="0"/>
    <m/>
    <m/>
    <m/>
    <m/>
    <m/>
    <m/>
    <m/>
    <m/>
    <s v="1"/>
    <s v="1"/>
    <s v="1"/>
    <s v="1"/>
    <s v="1"/>
    <m/>
    <m/>
    <m/>
    <m/>
    <m/>
    <m/>
    <m/>
    <m/>
    <m/>
    <m/>
    <m/>
    <m/>
    <m/>
    <m/>
  </r>
  <r>
    <n v="743"/>
    <d v="2025-03-18T00:00:00"/>
    <x v="0"/>
    <s v="9518610550"/>
    <s v="6"/>
    <s v="9518610550-6"/>
    <s v="No Priority"/>
    <x v="0"/>
    <m/>
    <x v="3"/>
    <x v="9"/>
    <x v="1"/>
    <m/>
    <x v="0"/>
    <m/>
    <m/>
    <s v="Punjab"/>
    <s v="North"/>
    <s v="LUDHIANA"/>
    <x v="0"/>
    <x v="84"/>
    <x v="81"/>
    <x v="232"/>
    <s v="GP COIL SOFT-TATXGP-GK09-0.4X1000"/>
    <m/>
    <m/>
    <m/>
    <m/>
    <m/>
    <x v="7"/>
    <x v="5"/>
    <s v="GK09"/>
    <x v="2"/>
    <x v="2"/>
    <x v="11"/>
    <n v="23"/>
    <n v="4.75"/>
    <n v="18.25"/>
    <n v="18.25"/>
    <n v="18.25"/>
    <n v="18.25"/>
    <n v="0"/>
    <n v="0"/>
    <n v="0"/>
    <n v="0"/>
    <n v="0"/>
    <n v="0"/>
    <n v="0"/>
    <n v="0"/>
    <n v="0"/>
    <n v="0"/>
    <n v="0"/>
    <n v="0"/>
    <n v="0"/>
    <n v="0"/>
    <n v="0"/>
    <n v="0"/>
    <n v="0"/>
    <n v="0"/>
    <n v="0"/>
    <n v="0"/>
    <n v="0"/>
    <n v="0"/>
    <n v="0"/>
    <m/>
    <n v="0"/>
    <n v="0"/>
    <n v="0"/>
    <n v="0"/>
    <n v="0"/>
    <n v="0"/>
    <n v="0"/>
    <n v="0"/>
    <n v="0"/>
    <n v="0"/>
    <n v="0"/>
    <n v="0"/>
    <n v="0"/>
    <n v="0"/>
    <n v="0"/>
    <n v="0"/>
    <n v="0"/>
    <n v="0"/>
    <n v="0"/>
    <n v="0"/>
    <n v="0"/>
    <m/>
    <m/>
    <m/>
    <m/>
    <m/>
    <m/>
    <m/>
    <m/>
    <s v="1"/>
    <s v="1"/>
    <s v="1"/>
    <s v="1"/>
    <s v="1"/>
    <m/>
    <m/>
    <m/>
    <m/>
    <m/>
    <m/>
    <m/>
    <m/>
    <m/>
    <m/>
    <m/>
    <m/>
    <m/>
    <m/>
  </r>
  <r>
    <n v="742"/>
    <d v="2025-03-24T00:00:00"/>
    <x v="0"/>
    <s v="9518628470"/>
    <s v="3"/>
    <s v="9518628470-3"/>
    <s v="Stocks"/>
    <x v="0"/>
    <s v="Yes"/>
    <x v="1"/>
    <x v="2"/>
    <x v="1"/>
    <m/>
    <x v="1"/>
    <m/>
    <m/>
    <s v="Assam"/>
    <s v="East"/>
    <s v="ABHOYAPUR"/>
    <x v="1"/>
    <x v="25"/>
    <x v="24"/>
    <x v="38"/>
    <s v="CRCA SHEET TSBCRC SR15 0.700X1000X2500"/>
    <m/>
    <m/>
    <m/>
    <m/>
    <m/>
    <x v="2"/>
    <x v="4"/>
    <s v="SR15"/>
    <x v="4"/>
    <x v="2"/>
    <x v="11"/>
    <n v="42"/>
    <n v="20.484999999999999"/>
    <n v="21.515000000000001"/>
    <n v="21.515000000000001"/>
    <n v="21.245000000000001"/>
    <n v="0.63"/>
    <n v="0"/>
    <n v="0"/>
    <n v="0"/>
    <n v="0"/>
    <n v="0"/>
    <n v="0"/>
    <n v="0"/>
    <n v="0"/>
    <n v="0"/>
    <n v="0"/>
    <n v="0"/>
    <n v="0"/>
    <n v="0"/>
    <n v="0"/>
    <n v="0"/>
    <n v="0.27"/>
    <n v="0"/>
    <n v="0"/>
    <n v="0"/>
    <n v="0.27"/>
    <n v="0.27"/>
    <n v="0"/>
    <n v="0.27"/>
    <m/>
    <n v="20.884999999999998"/>
    <n v="0"/>
    <n v="0"/>
    <n v="0"/>
    <n v="0"/>
    <n v="0"/>
    <n v="0"/>
    <n v="20.884999999999998"/>
    <n v="20.884999999999998"/>
    <n v="0"/>
    <n v="0"/>
    <n v="0"/>
    <n v="0"/>
    <n v="0"/>
    <n v="20.484999999999999"/>
    <n v="0"/>
    <n v="0"/>
    <n v="0"/>
    <n v="0"/>
    <n v="0"/>
    <n v="20.484999999999999"/>
    <m/>
    <m/>
    <m/>
    <m/>
    <m/>
    <m/>
    <m/>
    <m/>
    <s v="1"/>
    <s v="1"/>
    <s v="1"/>
    <s v="1"/>
    <s v="1"/>
    <m/>
    <m/>
    <m/>
    <m/>
    <m/>
    <m/>
    <m/>
    <m/>
    <m/>
    <m/>
    <m/>
    <m/>
    <m/>
    <m/>
  </r>
  <r>
    <n v="742"/>
    <d v="2025-03-24T00:00:00"/>
    <x v="0"/>
    <s v="9518628976"/>
    <s v="3"/>
    <s v="9518628976-3"/>
    <s v="Stocks"/>
    <x v="0"/>
    <s v="Yes"/>
    <x v="1"/>
    <x v="1"/>
    <x v="1"/>
    <m/>
    <x v="1"/>
    <m/>
    <s v="Deprioritized as per SPA's instruction"/>
    <s v="Tamil Nadu"/>
    <s v="South"/>
    <s v="COIMBATORE"/>
    <x v="1"/>
    <x v="13"/>
    <x v="13"/>
    <x v="233"/>
    <s v="CRCA SHEET TATXXD AU03 0.70X1250X2500"/>
    <m/>
    <m/>
    <m/>
    <m/>
    <m/>
    <x v="2"/>
    <x v="2"/>
    <s v="AU03"/>
    <x v="4"/>
    <x v="0"/>
    <x v="11"/>
    <n v="60"/>
    <n v="8.6950000000000003"/>
    <n v="51.305"/>
    <n v="51.305"/>
    <n v="51.305"/>
    <n v="51.305"/>
    <n v="0"/>
    <n v="0"/>
    <n v="0"/>
    <n v="0"/>
    <n v="0"/>
    <n v="0"/>
    <n v="0"/>
    <n v="0"/>
    <n v="0"/>
    <n v="0"/>
    <n v="0"/>
    <n v="0"/>
    <n v="0"/>
    <n v="0"/>
    <n v="0"/>
    <n v="0"/>
    <n v="0"/>
    <n v="0"/>
    <n v="0"/>
    <n v="0"/>
    <n v="0"/>
    <n v="0"/>
    <n v="0"/>
    <m/>
    <n v="2.9049999999999998"/>
    <n v="0"/>
    <n v="0"/>
    <n v="0"/>
    <n v="0"/>
    <n v="0"/>
    <n v="0"/>
    <n v="2.9049999999999998"/>
    <n v="2.9049999999999998"/>
    <n v="0"/>
    <n v="0"/>
    <n v="0"/>
    <n v="0"/>
    <n v="0"/>
    <n v="8.6950000000000003"/>
    <n v="0"/>
    <n v="0"/>
    <n v="0"/>
    <n v="0"/>
    <n v="0"/>
    <n v="8.6950000000000003"/>
    <m/>
    <m/>
    <m/>
    <m/>
    <m/>
    <m/>
    <m/>
    <m/>
    <s v="1"/>
    <s v="1"/>
    <s v="1"/>
    <s v="1"/>
    <s v="1"/>
    <m/>
    <m/>
    <m/>
    <m/>
    <m/>
    <m/>
    <m/>
    <m/>
    <m/>
    <m/>
    <m/>
    <m/>
    <m/>
    <m/>
  </r>
  <r>
    <n v="744"/>
    <d v="2025-03-26T00:00:00"/>
    <x v="0"/>
    <s v="9518635916"/>
    <s v="3"/>
    <s v="9518635916-3"/>
    <s v="Stocks"/>
    <x v="0"/>
    <m/>
    <x v="2"/>
    <x v="3"/>
    <x v="3"/>
    <m/>
    <x v="1"/>
    <m/>
    <s v="Exp BTF &lt;17MT"/>
    <s v="Jharkhand"/>
    <s v="TBSPL"/>
    <s v="GAMHARIA"/>
    <x v="0"/>
    <x v="15"/>
    <x v="15"/>
    <x v="192"/>
    <s v="PPGL C Y550 D0C7 0.43BMT(0.47TPT)X1220"/>
    <m/>
    <m/>
    <m/>
    <m/>
    <m/>
    <x v="3"/>
    <x v="3"/>
    <s v="D0C7"/>
    <x v="25"/>
    <x v="1"/>
    <x v="11"/>
    <n v="168"/>
    <n v="96.16"/>
    <n v="71.84"/>
    <n v="7.2149999999999999"/>
    <n v="71.84"/>
    <n v="0.19"/>
    <n v="0"/>
    <n v="0"/>
    <n v="0"/>
    <n v="0"/>
    <n v="0"/>
    <n v="0"/>
    <n v="0"/>
    <n v="0"/>
    <n v="0"/>
    <n v="0"/>
    <n v="0"/>
    <n v="0"/>
    <n v="0"/>
    <n v="0"/>
    <n v="0"/>
    <n v="0"/>
    <n v="0"/>
    <n v="0"/>
    <n v="0"/>
    <n v="0"/>
    <n v="0"/>
    <n v="0"/>
    <n v="0"/>
    <m/>
    <n v="3.64"/>
    <n v="0"/>
    <n v="0"/>
    <n v="0"/>
    <n v="0"/>
    <n v="0"/>
    <n v="0"/>
    <n v="3.64"/>
    <n v="3.64"/>
    <n v="0"/>
    <n v="0"/>
    <n v="0"/>
    <n v="0"/>
    <n v="0"/>
    <n v="0"/>
    <n v="0"/>
    <n v="0"/>
    <n v="0"/>
    <n v="0"/>
    <n v="0"/>
    <n v="0"/>
    <m/>
    <m/>
    <m/>
    <m/>
    <m/>
    <m/>
    <m/>
    <m/>
    <s v="1"/>
    <s v="1"/>
    <s v="1"/>
    <s v="1"/>
    <s v="1"/>
    <m/>
    <m/>
    <m/>
    <m/>
    <m/>
    <m/>
    <m/>
    <m/>
    <m/>
    <m/>
    <m/>
    <m/>
    <m/>
    <m/>
  </r>
  <r>
    <n v="742"/>
    <d v="2025-04-03T00:00:00"/>
    <x v="1"/>
    <n v="9518665983"/>
    <n v="1"/>
    <s v="9518665983-1"/>
    <s v="Apr'25 additional"/>
    <x v="0"/>
    <m/>
    <x v="5"/>
    <x v="8"/>
    <x v="1"/>
    <m/>
    <x v="1"/>
    <m/>
    <m/>
    <s v="Maharashtra"/>
    <s v="West"/>
    <s v="KHOPOLI"/>
    <x v="0"/>
    <x v="85"/>
    <x v="82"/>
    <x v="234"/>
    <s v="CR COIL TATFHC TR10 0.345X1220"/>
    <m/>
    <m/>
    <m/>
    <m/>
    <m/>
    <x v="6"/>
    <x v="12"/>
    <s v="TR10"/>
    <x v="52"/>
    <x v="1"/>
    <x v="11"/>
    <n v="56"/>
    <n v="0"/>
    <n v="56"/>
    <n v="56"/>
    <n v="56"/>
    <n v="56"/>
    <n v="0"/>
    <n v="0"/>
    <n v="0"/>
    <n v="0"/>
    <n v="0"/>
    <n v="0"/>
    <n v="0"/>
    <n v="0"/>
    <n v="0"/>
    <n v="0"/>
    <n v="0"/>
    <n v="0"/>
    <n v="0"/>
    <n v="0"/>
    <n v="0"/>
    <n v="0"/>
    <n v="0"/>
    <n v="0"/>
    <n v="0"/>
    <n v="0"/>
    <n v="0"/>
    <n v="0"/>
    <n v="0"/>
    <m/>
    <n v="0"/>
    <n v="56"/>
    <n v="0"/>
    <n v="56"/>
    <n v="0"/>
    <n v="0"/>
    <n v="0"/>
    <n v="56"/>
    <n v="0"/>
    <n v="56"/>
    <n v="0"/>
    <n v="0"/>
    <n v="0"/>
    <n v="0"/>
    <n v="0"/>
    <n v="0"/>
    <n v="0"/>
    <n v="0"/>
    <n v="0"/>
    <n v="0"/>
    <n v="0"/>
    <m/>
    <m/>
    <m/>
    <m/>
    <m/>
    <m/>
    <m/>
    <m/>
    <s v="1"/>
    <s v="0"/>
    <s v="1"/>
    <s v="1"/>
    <s v="1"/>
    <m/>
    <m/>
    <m/>
    <m/>
    <m/>
    <m/>
    <m/>
    <m/>
    <m/>
    <m/>
    <m/>
    <m/>
    <m/>
    <m/>
  </r>
  <r>
    <n v="742"/>
    <d v="2025-04-03T00:00:00"/>
    <x v="1"/>
    <n v="9518665983"/>
    <n v="2"/>
    <s v="9518665983-2"/>
    <s v="Apr'25 additional"/>
    <x v="0"/>
    <m/>
    <x v="5"/>
    <x v="8"/>
    <x v="1"/>
    <m/>
    <x v="1"/>
    <m/>
    <m/>
    <s v="Maharashtra"/>
    <s v="West"/>
    <s v="KHOPOLI"/>
    <x v="0"/>
    <x v="85"/>
    <x v="82"/>
    <x v="235"/>
    <s v="CR COIL TATFHC TR10 0.374X1220"/>
    <m/>
    <m/>
    <m/>
    <m/>
    <m/>
    <x v="6"/>
    <x v="12"/>
    <s v="TR10"/>
    <x v="53"/>
    <x v="1"/>
    <x v="11"/>
    <n v="196"/>
    <n v="0"/>
    <n v="196"/>
    <n v="196"/>
    <n v="196"/>
    <n v="196"/>
    <n v="0"/>
    <n v="0"/>
    <n v="0"/>
    <n v="0"/>
    <n v="0"/>
    <n v="0"/>
    <n v="0"/>
    <n v="0"/>
    <n v="0"/>
    <n v="0"/>
    <n v="0"/>
    <n v="0"/>
    <n v="0"/>
    <n v="0"/>
    <n v="0"/>
    <n v="0"/>
    <n v="0"/>
    <n v="0"/>
    <n v="0"/>
    <n v="0"/>
    <n v="0"/>
    <n v="0"/>
    <n v="0"/>
    <m/>
    <n v="0"/>
    <n v="196"/>
    <n v="0"/>
    <n v="196"/>
    <n v="0"/>
    <n v="0"/>
    <n v="0"/>
    <n v="196"/>
    <n v="0"/>
    <n v="0"/>
    <n v="196"/>
    <n v="0"/>
    <n v="0"/>
    <n v="0"/>
    <n v="0"/>
    <n v="0"/>
    <n v="0"/>
    <n v="0"/>
    <n v="0"/>
    <n v="0"/>
    <n v="0"/>
    <m/>
    <m/>
    <m/>
    <m/>
    <m/>
    <m/>
    <m/>
    <m/>
    <s v="1"/>
    <s v="0"/>
    <s v="1"/>
    <s v="1"/>
    <s v="1"/>
    <m/>
    <m/>
    <m/>
    <m/>
    <m/>
    <m/>
    <m/>
    <m/>
    <m/>
    <m/>
    <m/>
    <m/>
    <m/>
    <m/>
  </r>
  <r>
    <n v="742"/>
    <d v="2025-04-03T00:00:00"/>
    <x v="1"/>
    <n v="9518665983"/>
    <n v="3"/>
    <s v="9518665983-3"/>
    <s v="Apr'25 additional"/>
    <x v="0"/>
    <m/>
    <x v="5"/>
    <x v="8"/>
    <x v="1"/>
    <n v="1000"/>
    <x v="1"/>
    <m/>
    <m/>
    <s v="Maharashtra"/>
    <s v="West"/>
    <s v="KHOPOLI"/>
    <x v="0"/>
    <x v="85"/>
    <x v="82"/>
    <x v="236"/>
    <s v="CR COIL TATFHC TR10 0.445X1220"/>
    <m/>
    <m/>
    <m/>
    <m/>
    <m/>
    <x v="6"/>
    <x v="12"/>
    <s v="TR10"/>
    <x v="54"/>
    <x v="1"/>
    <x v="11"/>
    <n v="168"/>
    <n v="0"/>
    <n v="168"/>
    <n v="168"/>
    <n v="168"/>
    <n v="168"/>
    <n v="0"/>
    <n v="0"/>
    <n v="0"/>
    <n v="0"/>
    <n v="0"/>
    <n v="0"/>
    <n v="0"/>
    <n v="0"/>
    <n v="0"/>
    <n v="0"/>
    <n v="0"/>
    <n v="0"/>
    <n v="0"/>
    <n v="0"/>
    <n v="0"/>
    <n v="0"/>
    <n v="0"/>
    <n v="0"/>
    <n v="0"/>
    <n v="0"/>
    <n v="0"/>
    <n v="0"/>
    <n v="0"/>
    <m/>
    <n v="0"/>
    <n v="168"/>
    <n v="0"/>
    <n v="168"/>
    <n v="0"/>
    <n v="0"/>
    <n v="0"/>
    <n v="168"/>
    <n v="0"/>
    <n v="0"/>
    <n v="168"/>
    <n v="0"/>
    <n v="0"/>
    <n v="0"/>
    <n v="0"/>
    <n v="0"/>
    <n v="0"/>
    <n v="0"/>
    <n v="0"/>
    <n v="0"/>
    <n v="0"/>
    <m/>
    <m/>
    <m/>
    <m/>
    <m/>
    <m/>
    <m/>
    <m/>
    <s v="1"/>
    <s v="0"/>
    <s v="1"/>
    <s v="1"/>
    <s v="1"/>
    <m/>
    <m/>
    <m/>
    <m/>
    <m/>
    <m/>
    <m/>
    <m/>
    <m/>
    <m/>
    <m/>
    <m/>
    <m/>
    <m/>
  </r>
  <r>
    <n v="742"/>
    <d v="2025-02-06T00:00:00"/>
    <x v="0"/>
    <n v="9518497626"/>
    <n v="21"/>
    <s v="9518497626-21"/>
    <s v="No Priority"/>
    <x v="0"/>
    <m/>
    <x v="1"/>
    <x v="1"/>
    <x v="0"/>
    <m/>
    <x v="0"/>
    <m/>
    <m/>
    <m/>
    <s v="South"/>
    <s v="VISHAKHAPATNAM"/>
    <x v="2"/>
    <x v="8"/>
    <x v="8"/>
    <x v="237"/>
    <s v="CRSHEET TATXXD AU03 1.20X1250X2500"/>
    <s v=" "/>
    <s v=""/>
    <n v="0"/>
    <n v="0"/>
    <m/>
    <x v="2"/>
    <x v="2"/>
    <s v="AU03"/>
    <x v="19"/>
    <x v="0"/>
    <x v="3"/>
    <n v="54"/>
    <n v="35.47"/>
    <n v="18.53"/>
    <n v="18.53"/>
    <n v="18.53"/>
    <n v="18.53"/>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7626"/>
    <n v="23"/>
    <s v="9518497626-23"/>
    <s v="No Priority"/>
    <x v="0"/>
    <m/>
    <x v="1"/>
    <x v="1"/>
    <x v="0"/>
    <m/>
    <x v="0"/>
    <m/>
    <m/>
    <m/>
    <s v="South"/>
    <s v="VISHAKHAPATNAM"/>
    <x v="2"/>
    <x v="8"/>
    <x v="8"/>
    <x v="238"/>
    <s v="CRSHEET C06 TATXXD AU03 1.6X1250X2500"/>
    <s v=" "/>
    <s v=""/>
    <n v="0"/>
    <n v="3.3069999999999999"/>
    <m/>
    <x v="2"/>
    <x v="2"/>
    <s v="AU03"/>
    <x v="22"/>
    <x v="0"/>
    <x v="3"/>
    <n v="27"/>
    <n v="21.01"/>
    <n v="5.99"/>
    <n v="5.99"/>
    <n v="5.99"/>
    <n v="5.99"/>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6887"/>
    <n v="5"/>
    <s v="9518666887-5"/>
    <s v="May'25"/>
    <x v="0"/>
    <s v="Yes"/>
    <x v="1"/>
    <x v="2"/>
    <x v="0"/>
    <m/>
    <x v="1"/>
    <m/>
    <m/>
    <m/>
    <s v="North"/>
    <s v="VARANASI"/>
    <x v="2"/>
    <x v="2"/>
    <x v="2"/>
    <x v="213"/>
    <s v="CRCA SHEET TATCRC SR16 0.450X1250X2030"/>
    <s v=" "/>
    <s v=""/>
    <n v="0"/>
    <n v="0"/>
    <m/>
    <x v="2"/>
    <x v="1"/>
    <s v="SR16"/>
    <x v="10"/>
    <x v="0"/>
    <x v="1"/>
    <n v="27"/>
    <n v="0"/>
    <n v="27"/>
    <n v="27"/>
    <n v="-1.5199999999999996"/>
    <n v="27"/>
    <n v="0"/>
    <n v="0"/>
    <n v="0"/>
    <n v="28.52"/>
    <n v="0"/>
    <n v="0"/>
    <n v="0"/>
    <n v="0"/>
    <n v="0"/>
    <n v="0"/>
    <n v="0"/>
    <n v="0"/>
    <n v="0"/>
    <n v="0"/>
    <n v="0"/>
    <n v="0"/>
    <n v="0"/>
    <n v="0"/>
    <n v="0"/>
    <n v="28.52"/>
    <n v="28.52"/>
    <n v="0"/>
    <n v="28.52"/>
    <m/>
    <n v="0"/>
    <n v="27"/>
    <n v="0"/>
    <n v="0"/>
    <n v="27"/>
    <n v="0"/>
    <n v="0"/>
    <n v="27"/>
    <n v="0"/>
    <n v="0"/>
    <n v="27"/>
    <n v="0"/>
    <n v="0"/>
    <n v="0"/>
    <m/>
    <m/>
    <m/>
    <m/>
    <m/>
    <m/>
    <m/>
    <m/>
    <m/>
    <m/>
    <m/>
    <m/>
    <m/>
    <m/>
    <m/>
    <m/>
    <m/>
    <m/>
    <m/>
    <m/>
    <m/>
    <m/>
    <m/>
    <m/>
    <m/>
    <m/>
    <m/>
    <m/>
    <m/>
    <m/>
    <m/>
    <m/>
    <m/>
    <m/>
  </r>
  <r>
    <n v="742"/>
    <d v="2025-02-06T00:00:00"/>
    <x v="0"/>
    <n v="9518497626"/>
    <n v="16"/>
    <s v="9518497626-16"/>
    <s v="Stocks"/>
    <x v="0"/>
    <s v="Yes"/>
    <x v="1"/>
    <x v="1"/>
    <x v="0"/>
    <m/>
    <x v="1"/>
    <m/>
    <m/>
    <m/>
    <s v="South"/>
    <s v="VISHAKHAPATNAM"/>
    <x v="2"/>
    <x v="8"/>
    <x v="8"/>
    <x v="239"/>
    <s v="CRCA SHEET TATXXD AU03 0.80X1250X2500"/>
    <s v=" "/>
    <s v=""/>
    <n v="0"/>
    <n v="0"/>
    <m/>
    <x v="2"/>
    <x v="2"/>
    <s v="AU03"/>
    <x v="5"/>
    <x v="0"/>
    <x v="3"/>
    <n v="27"/>
    <n v="0"/>
    <n v="27"/>
    <n v="3.54"/>
    <n v="26.704999999999998"/>
    <n v="4.62"/>
    <n v="0"/>
    <n v="0"/>
    <n v="0"/>
    <n v="0"/>
    <n v="0"/>
    <n v="0"/>
    <n v="0"/>
    <n v="0"/>
    <n v="0.29499999999999998"/>
    <n v="0"/>
    <n v="0"/>
    <n v="0"/>
    <n v="0"/>
    <n v="0"/>
    <n v="0"/>
    <n v="0"/>
    <n v="0"/>
    <n v="0"/>
    <n v="0"/>
    <n v="0.29499999999999998"/>
    <n v="0.29499999999999998"/>
    <n v="0"/>
    <n v="0.29499999999999998"/>
    <m/>
    <n v="5.74"/>
    <n v="0"/>
    <n v="0"/>
    <n v="0"/>
    <n v="0"/>
    <n v="0"/>
    <n v="0"/>
    <n v="5.74"/>
    <n v="5.74"/>
    <n v="0"/>
    <n v="0"/>
    <n v="0"/>
    <n v="0"/>
    <n v="0"/>
    <m/>
    <m/>
    <m/>
    <m/>
    <m/>
    <m/>
    <m/>
    <m/>
    <m/>
    <m/>
    <m/>
    <m/>
    <m/>
    <m/>
    <m/>
    <m/>
    <m/>
    <m/>
    <m/>
    <m/>
    <m/>
    <m/>
    <m/>
    <m/>
    <m/>
    <m/>
    <m/>
    <m/>
    <m/>
    <m/>
    <m/>
    <m/>
    <m/>
    <m/>
  </r>
  <r>
    <n v="743"/>
    <d v="2025-03-21T00:00:00"/>
    <x v="0"/>
    <n v="9518620960"/>
    <n v="4"/>
    <s v="9518620960-4"/>
    <s v="No Priority"/>
    <x v="0"/>
    <m/>
    <x v="3"/>
    <x v="0"/>
    <x v="0"/>
    <m/>
    <x v="0"/>
    <m/>
    <m/>
    <m/>
    <s v="East"/>
    <s v="TATANAGAR"/>
    <x v="2"/>
    <x v="5"/>
    <x v="5"/>
    <x v="240"/>
    <s v="GP COIL SOFT TATXGP GLR1 0.500X1220"/>
    <s v="Z80"/>
    <s v=""/>
    <n v="4"/>
    <n v="12"/>
    <m/>
    <x v="7"/>
    <x v="5"/>
    <s v="GLR1"/>
    <x v="1"/>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7214"/>
    <n v="5"/>
    <s v="9518667214-5"/>
    <s v="No Priority"/>
    <x v="0"/>
    <m/>
    <x v="1"/>
    <x v="1"/>
    <x v="0"/>
    <m/>
    <x v="0"/>
    <m/>
    <m/>
    <m/>
    <s v="South"/>
    <s v="YESHWANTHPURA"/>
    <x v="2"/>
    <x v="59"/>
    <x v="56"/>
    <x v="95"/>
    <s v="CRCA COIL-TATXXD-AU03-1.2X1250"/>
    <s v=" "/>
    <s v=""/>
    <n v="15"/>
    <n v="28"/>
    <m/>
    <x v="1"/>
    <x v="2"/>
    <s v="AU03"/>
    <x v="19"/>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7214"/>
    <n v="7"/>
    <s v="9518667214-7"/>
    <s v="No Priority"/>
    <x v="0"/>
    <m/>
    <x v="1"/>
    <x v="1"/>
    <x v="0"/>
    <m/>
    <x v="0"/>
    <m/>
    <m/>
    <m/>
    <s v="South"/>
    <s v="YESHWANTHPURA"/>
    <x v="2"/>
    <x v="59"/>
    <x v="56"/>
    <x v="116"/>
    <s v="CRCA COIL-TATXXD-AU03-2X1250"/>
    <s v=" "/>
    <s v=""/>
    <n v="15"/>
    <n v="28"/>
    <m/>
    <x v="1"/>
    <x v="2"/>
    <s v="AU03"/>
    <x v="1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4"/>
    <d v="2025-04-19T00:00:00"/>
    <x v="0"/>
    <n v="9518704836"/>
    <n v="1"/>
    <s v="9518704836-1"/>
    <s v="Stocks"/>
    <x v="0"/>
    <s v="Yes"/>
    <x v="2"/>
    <x v="3"/>
    <x v="2"/>
    <m/>
    <x v="1"/>
    <m/>
    <m/>
    <m/>
    <s v="TBSPL"/>
    <s v=" "/>
    <x v="2"/>
    <x v="6"/>
    <x v="6"/>
    <x v="6"/>
    <s v="PPGL C Y550 HPL3 0.42BMT(0.50TPT)X1220"/>
    <s v="AZ150"/>
    <s v="RAL 2003 TSL 853"/>
    <n v="3"/>
    <n v="5"/>
    <m/>
    <x v="3"/>
    <x v="3"/>
    <s v="HPL3"/>
    <x v="3"/>
    <x v="1"/>
    <x v="0"/>
    <n v="28"/>
    <n v="0"/>
    <n v="28"/>
    <n v="28"/>
    <n v="26.114999999999998"/>
    <n v="3.4849999999999999"/>
    <n v="0"/>
    <n v="0"/>
    <n v="0"/>
    <n v="0"/>
    <n v="0"/>
    <n v="0"/>
    <n v="0"/>
    <n v="0"/>
    <n v="0"/>
    <n v="0"/>
    <n v="0"/>
    <n v="0"/>
    <n v="0"/>
    <n v="0"/>
    <n v="0"/>
    <n v="1.885"/>
    <n v="0"/>
    <n v="0"/>
    <n v="0"/>
    <n v="1.885"/>
    <n v="1.885"/>
    <n v="0"/>
    <n v="1.885"/>
    <m/>
    <n v="24.515000000000001"/>
    <n v="0"/>
    <n v="0"/>
    <n v="0"/>
    <n v="0"/>
    <n v="0"/>
    <n v="0"/>
    <n v="24.515000000000001"/>
    <n v="24.515000000000001"/>
    <n v="0"/>
    <n v="0"/>
    <n v="0"/>
    <n v="0"/>
    <n v="0"/>
    <m/>
    <m/>
    <m/>
    <m/>
    <m/>
    <m/>
    <m/>
    <m/>
    <m/>
    <m/>
    <m/>
    <m/>
    <m/>
    <m/>
    <m/>
    <m/>
    <m/>
    <m/>
    <m/>
    <m/>
    <m/>
    <m/>
    <m/>
    <m/>
    <m/>
    <m/>
    <m/>
    <m/>
    <m/>
    <m/>
    <m/>
    <m/>
    <m/>
    <m/>
  </r>
  <r>
    <n v="743"/>
    <d v="2025-04-17T00:00:00"/>
    <x v="2"/>
    <n v="9518699932"/>
    <n v="1"/>
    <s v="9518699932-1"/>
    <s v="No Priority"/>
    <x v="0"/>
    <m/>
    <x v="4"/>
    <x v="10"/>
    <x v="2"/>
    <m/>
    <x v="0"/>
    <m/>
    <s v="No allocation for IPP"/>
    <m/>
    <s v="West"/>
    <s v="TAMBATI"/>
    <x v="2"/>
    <x v="86"/>
    <x v="83"/>
    <x v="241"/>
    <s v="GL COIL SKINPASS Y250GL SGL1 0.330X1250"/>
    <s v="aZ70"/>
    <s v=""/>
    <n v="8"/>
    <n v="12"/>
    <m/>
    <x v="8"/>
    <x v="17"/>
    <s v="SGL1"/>
    <x v="9"/>
    <x v="0"/>
    <x v="0"/>
    <n v="116"/>
    <n v="0"/>
    <n v="116"/>
    <n v="116"/>
    <n v="116"/>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14T00:00:00"/>
    <x v="1"/>
    <n v="4000500995"/>
    <n v="1"/>
    <s v="4000500995-1"/>
    <s v="May'25"/>
    <x v="0"/>
    <m/>
    <x v="0"/>
    <x v="0"/>
    <x v="0"/>
    <m/>
    <x v="1"/>
    <m/>
    <m/>
    <m/>
    <s v="South"/>
    <s v="YESHWANTHPURA"/>
    <x v="2"/>
    <x v="21"/>
    <x v="21"/>
    <x v="242"/>
    <s v="HR COILS-PO THR099 HR99 1.90X1250"/>
    <s v=" "/>
    <s v=""/>
    <n v="10"/>
    <n v="27"/>
    <m/>
    <x v="0"/>
    <x v="0"/>
    <s v="HR99"/>
    <x v="55"/>
    <x v="0"/>
    <x v="0"/>
    <n v="250"/>
    <n v="0"/>
    <n v="250"/>
    <n v="250"/>
    <n v="150"/>
    <n v="230.27"/>
    <n v="0"/>
    <n v="0"/>
    <n v="0"/>
    <n v="0"/>
    <n v="0"/>
    <n v="0"/>
    <n v="0"/>
    <n v="0"/>
    <n v="0"/>
    <n v="0"/>
    <n v="0"/>
    <n v="0"/>
    <n v="0"/>
    <n v="0"/>
    <n v="0"/>
    <n v="0"/>
    <n v="0"/>
    <n v="0"/>
    <n v="0"/>
    <n v="0"/>
    <n v="0"/>
    <n v="100"/>
    <n v="100"/>
    <m/>
    <n v="19.73"/>
    <n v="230.27"/>
    <n v="0"/>
    <n v="0"/>
    <n v="230.27"/>
    <n v="0"/>
    <n v="0"/>
    <n v="250"/>
    <n v="0"/>
    <n v="0"/>
    <n v="0"/>
    <n v="250"/>
    <n v="0"/>
    <n v="0"/>
    <m/>
    <m/>
    <m/>
    <m/>
    <m/>
    <m/>
    <m/>
    <m/>
    <m/>
    <m/>
    <m/>
    <m/>
    <m/>
    <m/>
    <m/>
    <m/>
    <m/>
    <m/>
    <m/>
    <m/>
    <m/>
    <m/>
    <m/>
    <m/>
    <m/>
    <m/>
    <m/>
    <m/>
    <m/>
    <m/>
    <m/>
    <m/>
    <m/>
    <m/>
  </r>
  <r>
    <n v="742"/>
    <d v="2025-03-14T00:00:00"/>
    <x v="1"/>
    <n v="4000500995"/>
    <n v="2"/>
    <s v="4000500995-2"/>
    <s v="May'25"/>
    <x v="0"/>
    <m/>
    <x v="0"/>
    <x v="0"/>
    <x v="0"/>
    <m/>
    <x v="1"/>
    <m/>
    <m/>
    <m/>
    <s v="South"/>
    <s v="YESHWANTHPURA"/>
    <x v="2"/>
    <x v="21"/>
    <x v="21"/>
    <x v="47"/>
    <s v="HR COILS-PO IS 1079 HR2 2X1250"/>
    <s v=" "/>
    <s v=""/>
    <n v="10"/>
    <n v="27"/>
    <m/>
    <x v="0"/>
    <x v="0"/>
    <s v="HR99"/>
    <x v="15"/>
    <x v="0"/>
    <x v="0"/>
    <n v="200"/>
    <n v="0"/>
    <n v="200"/>
    <n v="200"/>
    <n v="200"/>
    <n v="200"/>
    <n v="0"/>
    <n v="0"/>
    <n v="0"/>
    <n v="0"/>
    <n v="0"/>
    <n v="0"/>
    <n v="0"/>
    <n v="0"/>
    <n v="0"/>
    <n v="0"/>
    <n v="0"/>
    <n v="0"/>
    <n v="0"/>
    <n v="0"/>
    <n v="0"/>
    <n v="0"/>
    <n v="0"/>
    <n v="0"/>
    <n v="0"/>
    <n v="0"/>
    <n v="0"/>
    <n v="0"/>
    <n v="0"/>
    <m/>
    <n v="0"/>
    <n v="200"/>
    <n v="0"/>
    <n v="0"/>
    <n v="0"/>
    <n v="200"/>
    <n v="0"/>
    <n v="200"/>
    <n v="0"/>
    <n v="0"/>
    <n v="0"/>
    <n v="200"/>
    <n v="0"/>
    <n v="0"/>
    <m/>
    <m/>
    <m/>
    <m/>
    <m/>
    <m/>
    <m/>
    <m/>
    <m/>
    <m/>
    <m/>
    <m/>
    <m/>
    <m/>
    <m/>
    <m/>
    <m/>
    <m/>
    <m/>
    <m/>
    <m/>
    <m/>
    <m/>
    <m/>
    <m/>
    <m/>
    <m/>
    <m/>
    <m/>
    <m/>
    <m/>
    <m/>
    <m/>
    <m/>
  </r>
  <r>
    <n v="742"/>
    <d v="2025-03-14T00:00:00"/>
    <x v="1"/>
    <n v="9518600669"/>
    <n v="1"/>
    <s v="9518600669-1"/>
    <s v="May'25"/>
    <x v="0"/>
    <s v="Yes"/>
    <x v="1"/>
    <x v="6"/>
    <x v="0"/>
    <m/>
    <x v="1"/>
    <m/>
    <m/>
    <m/>
    <s v="South"/>
    <s v="YESHWANTHPURA"/>
    <x v="2"/>
    <x v="26"/>
    <x v="26"/>
    <x v="243"/>
    <s v="CR COIL TATXHS BR45 1.600X1300"/>
    <s v=" "/>
    <s v=""/>
    <n v="10"/>
    <n v="27"/>
    <m/>
    <x v="1"/>
    <x v="8"/>
    <s v="BR45"/>
    <x v="22"/>
    <x v="5"/>
    <x v="0"/>
    <n v="180"/>
    <n v="41.24"/>
    <n v="138.76"/>
    <n v="138.76"/>
    <n v="138.76"/>
    <n v="138.76"/>
    <n v="0"/>
    <n v="0"/>
    <n v="0"/>
    <n v="0"/>
    <n v="0"/>
    <n v="0"/>
    <n v="0"/>
    <n v="0"/>
    <n v="0"/>
    <n v="0"/>
    <n v="0"/>
    <n v="0"/>
    <n v="0"/>
    <n v="0"/>
    <n v="0"/>
    <n v="0"/>
    <n v="0"/>
    <n v="0"/>
    <n v="0"/>
    <n v="0"/>
    <n v="0"/>
    <n v="0"/>
    <n v="0"/>
    <m/>
    <n v="0"/>
    <n v="138.76"/>
    <n v="0"/>
    <n v="0"/>
    <n v="138.76"/>
    <n v="0"/>
    <n v="0"/>
    <n v="138.76"/>
    <n v="0"/>
    <n v="0"/>
    <n v="138.76"/>
    <n v="0"/>
    <n v="0"/>
    <n v="0"/>
    <m/>
    <m/>
    <m/>
    <m/>
    <m/>
    <m/>
    <m/>
    <m/>
    <m/>
    <m/>
    <m/>
    <m/>
    <m/>
    <m/>
    <m/>
    <m/>
    <m/>
    <m/>
    <m/>
    <m/>
    <m/>
    <m/>
    <m/>
    <m/>
    <m/>
    <m/>
    <m/>
    <m/>
    <m/>
    <m/>
    <m/>
    <m/>
    <m/>
    <m/>
  </r>
  <r>
    <n v="742"/>
    <d v="2025-03-14T00:00:00"/>
    <x v="1"/>
    <n v="9518600669"/>
    <n v="2"/>
    <s v="9518600669-2"/>
    <s v="May'25"/>
    <x v="0"/>
    <s v="Yes"/>
    <x v="1"/>
    <x v="6"/>
    <x v="0"/>
    <m/>
    <x v="1"/>
    <m/>
    <m/>
    <m/>
    <s v="South"/>
    <s v="YESHWANTHPURA"/>
    <x v="2"/>
    <x v="26"/>
    <x v="26"/>
    <x v="29"/>
    <s v="CR COIL TATXHS BR45 2X1300"/>
    <s v=" "/>
    <s v=""/>
    <n v="10"/>
    <n v="27"/>
    <m/>
    <x v="1"/>
    <x v="8"/>
    <s v="BR45"/>
    <x v="15"/>
    <x v="5"/>
    <x v="0"/>
    <n v="300"/>
    <n v="0"/>
    <n v="300"/>
    <n v="300"/>
    <n v="300"/>
    <n v="300"/>
    <n v="0"/>
    <n v="0"/>
    <n v="0"/>
    <n v="0"/>
    <n v="0"/>
    <n v="0"/>
    <n v="0"/>
    <n v="0"/>
    <n v="0"/>
    <n v="0"/>
    <n v="0"/>
    <n v="0"/>
    <n v="0"/>
    <n v="0"/>
    <n v="0"/>
    <n v="0"/>
    <n v="0"/>
    <n v="0"/>
    <n v="0"/>
    <n v="0"/>
    <n v="0"/>
    <n v="0"/>
    <n v="0"/>
    <m/>
    <n v="0"/>
    <n v="300"/>
    <n v="0"/>
    <n v="0"/>
    <n v="300"/>
    <n v="0"/>
    <n v="0"/>
    <n v="300"/>
    <n v="0"/>
    <n v="0"/>
    <n v="300"/>
    <n v="0"/>
    <n v="0"/>
    <n v="0"/>
    <m/>
    <m/>
    <m/>
    <m/>
    <m/>
    <m/>
    <m/>
    <m/>
    <m/>
    <m/>
    <m/>
    <m/>
    <m/>
    <m/>
    <m/>
    <m/>
    <m/>
    <m/>
    <m/>
    <m/>
    <m/>
    <m/>
    <m/>
    <m/>
    <m/>
    <m/>
    <m/>
    <m/>
    <m/>
    <m/>
    <m/>
    <m/>
    <m/>
    <m/>
  </r>
  <r>
    <n v="742"/>
    <d v="2025-03-14T00:00:00"/>
    <x v="1"/>
    <n v="9518600669"/>
    <n v="5"/>
    <s v="9518600669-5"/>
    <s v="May'25"/>
    <x v="0"/>
    <s v="Yes"/>
    <x v="1"/>
    <x v="6"/>
    <x v="0"/>
    <m/>
    <x v="1"/>
    <m/>
    <m/>
    <m/>
    <s v="South"/>
    <s v="YESHWANTHPURA"/>
    <x v="2"/>
    <x v="26"/>
    <x v="26"/>
    <x v="244"/>
    <s v="CRCA COIL SA1008 TU98 1X1250"/>
    <s v=" "/>
    <s v=""/>
    <n v="10"/>
    <n v="27"/>
    <m/>
    <x v="1"/>
    <x v="18"/>
    <s v="TU98"/>
    <x v="17"/>
    <x v="0"/>
    <x v="0"/>
    <n v="116"/>
    <n v="0"/>
    <n v="116"/>
    <n v="72.540000000000006"/>
    <n v="60.415000000000006"/>
    <n v="47.774999999999999"/>
    <n v="0"/>
    <n v="0"/>
    <n v="0"/>
    <n v="0"/>
    <n v="0"/>
    <n v="0"/>
    <n v="0"/>
    <n v="0"/>
    <n v="0"/>
    <n v="0"/>
    <n v="0"/>
    <n v="0"/>
    <n v="27.61"/>
    <n v="26.8"/>
    <n v="0"/>
    <n v="1.175"/>
    <n v="0"/>
    <n v="0"/>
    <n v="0"/>
    <n v="55.584999999999994"/>
    <n v="55.584999999999994"/>
    <n v="0"/>
    <n v="55.584999999999994"/>
    <m/>
    <n v="52.405000000000001"/>
    <n v="47.774999999999999"/>
    <n v="0"/>
    <n v="47.774999999999999"/>
    <n v="0"/>
    <n v="0"/>
    <n v="0"/>
    <n v="100.18"/>
    <n v="0"/>
    <n v="0"/>
    <n v="100.18"/>
    <n v="0"/>
    <n v="0"/>
    <n v="0"/>
    <m/>
    <m/>
    <m/>
    <m/>
    <m/>
    <m/>
    <m/>
    <m/>
    <m/>
    <m/>
    <m/>
    <m/>
    <m/>
    <m/>
    <m/>
    <m/>
    <m/>
    <m/>
    <m/>
    <m/>
    <m/>
    <m/>
    <m/>
    <m/>
    <m/>
    <m/>
    <m/>
    <m/>
    <m/>
    <m/>
    <m/>
    <m/>
    <m/>
    <m/>
  </r>
  <r>
    <n v="742"/>
    <d v="2025-03-14T00:00:00"/>
    <x v="1"/>
    <n v="9518600669"/>
    <n v="6"/>
    <s v="9518600669-6"/>
    <s v="May'25"/>
    <x v="0"/>
    <s v="Yes"/>
    <x v="1"/>
    <x v="6"/>
    <x v="0"/>
    <m/>
    <x v="1"/>
    <m/>
    <m/>
    <m/>
    <s v="South"/>
    <s v="YESHWANTHPURA"/>
    <x v="2"/>
    <x v="26"/>
    <x v="26"/>
    <x v="245"/>
    <s v="CRCA COIL SA1008 TU98 1.200X1250"/>
    <s v=" "/>
    <s v=""/>
    <n v="10"/>
    <n v="27"/>
    <m/>
    <x v="1"/>
    <x v="18"/>
    <s v="TU98"/>
    <x v="19"/>
    <x v="0"/>
    <x v="0"/>
    <n v="116"/>
    <n v="0"/>
    <n v="116"/>
    <n v="116"/>
    <n v="34.42"/>
    <n v="89.15"/>
    <n v="0"/>
    <n v="0"/>
    <n v="0"/>
    <n v="0"/>
    <n v="0"/>
    <n v="0"/>
    <n v="0"/>
    <n v="0"/>
    <n v="0"/>
    <n v="0"/>
    <n v="0"/>
    <n v="0"/>
    <n v="0"/>
    <n v="81.58"/>
    <n v="0"/>
    <n v="0"/>
    <n v="0"/>
    <n v="0"/>
    <n v="0"/>
    <n v="81.58"/>
    <n v="81.58"/>
    <n v="0"/>
    <n v="81.58"/>
    <m/>
    <n v="39.65"/>
    <n v="89.15"/>
    <n v="89.15"/>
    <n v="0"/>
    <n v="0"/>
    <n v="0"/>
    <n v="0"/>
    <n v="128.80000000000001"/>
    <n v="0"/>
    <n v="128.80000000000001"/>
    <n v="0"/>
    <n v="0"/>
    <n v="0"/>
    <n v="0"/>
    <m/>
    <m/>
    <m/>
    <m/>
    <m/>
    <m/>
    <m/>
    <m/>
    <m/>
    <m/>
    <m/>
    <m/>
    <m/>
    <m/>
    <m/>
    <m/>
    <m/>
    <m/>
    <m/>
    <m/>
    <m/>
    <m/>
    <m/>
    <m/>
    <m/>
    <m/>
    <m/>
    <m/>
    <m/>
    <m/>
    <m/>
    <m/>
    <m/>
    <m/>
  </r>
  <r>
    <n v="742"/>
    <d v="2025-03-14T00:00:00"/>
    <x v="1"/>
    <n v="9518600669"/>
    <n v="7"/>
    <s v="9518600669-7"/>
    <s v="May'25"/>
    <x v="0"/>
    <s v="Yes"/>
    <x v="1"/>
    <x v="6"/>
    <x v="0"/>
    <m/>
    <x v="1"/>
    <m/>
    <m/>
    <m/>
    <s v="South"/>
    <s v="YESHWANTHPURA"/>
    <x v="2"/>
    <x v="26"/>
    <x v="26"/>
    <x v="246"/>
    <s v="CRCA COIL SA1008 TU98 1.400X1250"/>
    <s v=" "/>
    <s v=""/>
    <n v="10"/>
    <n v="27"/>
    <m/>
    <x v="1"/>
    <x v="18"/>
    <s v="TU98"/>
    <x v="37"/>
    <x v="0"/>
    <x v="0"/>
    <n v="29"/>
    <n v="0"/>
    <n v="29"/>
    <n v="29"/>
    <n v="1.4800000000000004"/>
    <n v="29"/>
    <n v="0"/>
    <n v="0"/>
    <n v="0"/>
    <n v="0"/>
    <n v="0"/>
    <n v="0"/>
    <n v="0"/>
    <n v="0"/>
    <n v="0"/>
    <n v="0"/>
    <n v="0"/>
    <n v="0"/>
    <n v="0"/>
    <n v="27.52"/>
    <n v="0"/>
    <n v="0"/>
    <n v="0"/>
    <n v="0"/>
    <n v="0"/>
    <n v="27.52"/>
    <n v="27.52"/>
    <n v="0"/>
    <n v="27.52"/>
    <m/>
    <n v="13.1"/>
    <n v="29"/>
    <n v="29"/>
    <n v="0"/>
    <n v="0"/>
    <n v="0"/>
    <n v="0"/>
    <n v="42.1"/>
    <n v="0"/>
    <n v="42.1"/>
    <n v="0"/>
    <n v="0"/>
    <n v="0"/>
    <n v="0"/>
    <m/>
    <m/>
    <m/>
    <m/>
    <m/>
    <m/>
    <m/>
    <m/>
    <m/>
    <m/>
    <m/>
    <m/>
    <m/>
    <m/>
    <m/>
    <m/>
    <m/>
    <m/>
    <m/>
    <m/>
    <m/>
    <m/>
    <m/>
    <m/>
    <m/>
    <m/>
    <m/>
    <m/>
    <m/>
    <m/>
    <m/>
    <m/>
    <m/>
    <m/>
  </r>
  <r>
    <n v="742"/>
    <d v="2025-03-14T00:00:00"/>
    <x v="1"/>
    <n v="9518600669"/>
    <n v="8"/>
    <s v="9518600669-8"/>
    <s v="May'25"/>
    <x v="0"/>
    <s v="Yes"/>
    <x v="1"/>
    <x v="6"/>
    <x v="0"/>
    <m/>
    <x v="1"/>
    <m/>
    <m/>
    <m/>
    <s v="South"/>
    <s v="YESHWANTHPURA"/>
    <x v="2"/>
    <x v="26"/>
    <x v="26"/>
    <x v="247"/>
    <s v="CRCA COIL SA1008 TU98 1.600X1250"/>
    <s v=" "/>
    <s v=""/>
    <n v="10"/>
    <n v="27"/>
    <m/>
    <x v="1"/>
    <x v="18"/>
    <s v="TU98"/>
    <x v="22"/>
    <x v="0"/>
    <x v="0"/>
    <n v="290"/>
    <n v="106.24"/>
    <n v="183.76"/>
    <n v="154.12"/>
    <n v="45.31"/>
    <n v="130.58000000000001"/>
    <n v="0"/>
    <n v="0"/>
    <n v="0"/>
    <n v="0"/>
    <n v="0"/>
    <n v="0"/>
    <n v="0"/>
    <n v="0"/>
    <n v="0"/>
    <n v="0"/>
    <n v="0"/>
    <n v="0"/>
    <n v="0"/>
    <n v="137.6"/>
    <n v="0"/>
    <n v="0.85"/>
    <n v="0"/>
    <n v="0"/>
    <n v="0"/>
    <n v="138.44999999999999"/>
    <n v="138.44999999999999"/>
    <n v="0"/>
    <n v="138.44999999999999"/>
    <m/>
    <n v="26.63"/>
    <n v="130.58000000000001"/>
    <n v="130.58000000000001"/>
    <n v="0"/>
    <n v="0"/>
    <n v="0"/>
    <n v="0"/>
    <n v="157.21"/>
    <n v="0"/>
    <n v="157.21"/>
    <n v="0"/>
    <n v="0"/>
    <n v="0"/>
    <n v="0"/>
    <m/>
    <m/>
    <m/>
    <m/>
    <m/>
    <m/>
    <m/>
    <m/>
    <m/>
    <m/>
    <m/>
    <m/>
    <m/>
    <m/>
    <m/>
    <m/>
    <m/>
    <m/>
    <m/>
    <m/>
    <m/>
    <m/>
    <m/>
    <m/>
    <m/>
    <m/>
    <m/>
    <m/>
    <m/>
    <m/>
    <m/>
    <m/>
    <m/>
    <m/>
  </r>
  <r>
    <n v="742"/>
    <d v="2025-03-14T00:00:00"/>
    <x v="1"/>
    <n v="9518600669"/>
    <n v="9"/>
    <s v="9518600669-9"/>
    <s v="May'25"/>
    <x v="0"/>
    <s v="Yes"/>
    <x v="1"/>
    <x v="6"/>
    <x v="0"/>
    <m/>
    <x v="1"/>
    <m/>
    <m/>
    <m/>
    <s v="South"/>
    <s v="YESHWANTHPURA"/>
    <x v="2"/>
    <x v="26"/>
    <x v="26"/>
    <x v="248"/>
    <s v="CRCA COIL SA1008 TU98 1.900X1250"/>
    <s v=" "/>
    <s v=""/>
    <n v="10"/>
    <n v="27"/>
    <m/>
    <x v="1"/>
    <x v="18"/>
    <s v="TU98"/>
    <x v="55"/>
    <x v="0"/>
    <x v="0"/>
    <n v="174"/>
    <n v="26.28"/>
    <n v="147.72"/>
    <n v="92.314999999999998"/>
    <n v="118.47"/>
    <n v="121.29"/>
    <n v="0"/>
    <n v="0"/>
    <n v="0"/>
    <n v="0"/>
    <n v="0"/>
    <n v="0"/>
    <n v="0"/>
    <n v="0"/>
    <n v="0"/>
    <n v="0"/>
    <n v="0"/>
    <n v="0"/>
    <n v="0"/>
    <n v="29.25"/>
    <n v="0"/>
    <n v="0"/>
    <n v="0"/>
    <n v="0"/>
    <n v="0"/>
    <n v="29.25"/>
    <n v="29.25"/>
    <n v="0"/>
    <n v="29.25"/>
    <m/>
    <n v="0"/>
    <n v="121.29"/>
    <n v="0"/>
    <n v="0"/>
    <n v="121.29"/>
    <n v="0"/>
    <n v="0"/>
    <n v="121.29"/>
    <n v="0"/>
    <n v="0"/>
    <n v="121.29"/>
    <n v="0"/>
    <n v="0"/>
    <n v="0"/>
    <m/>
    <m/>
    <m/>
    <m/>
    <m/>
    <m/>
    <m/>
    <m/>
    <m/>
    <m/>
    <m/>
    <m/>
    <m/>
    <m/>
    <m/>
    <m/>
    <m/>
    <m/>
    <m/>
    <m/>
    <m/>
    <m/>
    <m/>
    <m/>
    <m/>
    <m/>
    <m/>
    <m/>
    <m/>
    <m/>
    <m/>
    <m/>
    <m/>
    <m/>
  </r>
  <r>
    <n v="742"/>
    <d v="2025-03-14T00:00:00"/>
    <x v="1"/>
    <n v="9518600669"/>
    <n v="10"/>
    <s v="9518600669-10"/>
    <s v="May'25"/>
    <x v="0"/>
    <s v="Yes"/>
    <x v="1"/>
    <x v="6"/>
    <x v="0"/>
    <m/>
    <x v="1"/>
    <m/>
    <m/>
    <m/>
    <s v="South"/>
    <s v="YESHWANTHPURA"/>
    <x v="2"/>
    <x v="26"/>
    <x v="26"/>
    <x v="249"/>
    <s v="CRCA COIL TSBHSQ TU99 1.400X1270"/>
    <s v=" "/>
    <s v=""/>
    <n v="10"/>
    <n v="27"/>
    <m/>
    <x v="1"/>
    <x v="10"/>
    <s v="TU99"/>
    <x v="37"/>
    <x v="6"/>
    <x v="0"/>
    <n v="58"/>
    <n v="0"/>
    <n v="58"/>
    <n v="58"/>
    <n v="3.2299999999999969"/>
    <n v="58"/>
    <n v="0"/>
    <n v="0"/>
    <n v="0"/>
    <n v="0"/>
    <n v="0"/>
    <n v="0"/>
    <n v="0"/>
    <n v="0"/>
    <n v="0"/>
    <n v="0"/>
    <n v="0"/>
    <n v="0"/>
    <n v="0"/>
    <n v="41.32"/>
    <n v="0"/>
    <n v="0"/>
    <n v="0"/>
    <n v="0"/>
    <n v="13.450000000000001"/>
    <n v="54.77"/>
    <n v="54.77"/>
    <n v="0"/>
    <n v="54.77"/>
    <m/>
    <n v="0"/>
    <n v="58"/>
    <n v="58"/>
    <n v="0"/>
    <n v="0"/>
    <n v="0"/>
    <n v="0"/>
    <n v="58"/>
    <n v="0"/>
    <n v="58"/>
    <n v="0"/>
    <n v="0"/>
    <n v="0"/>
    <n v="0"/>
    <m/>
    <m/>
    <m/>
    <m/>
    <m/>
    <m/>
    <m/>
    <m/>
    <m/>
    <m/>
    <m/>
    <m/>
    <m/>
    <m/>
    <m/>
    <m/>
    <m/>
    <m/>
    <m/>
    <m/>
    <m/>
    <m/>
    <m/>
    <m/>
    <m/>
    <m/>
    <m/>
    <m/>
    <m/>
    <m/>
    <m/>
    <m/>
    <m/>
    <m/>
  </r>
  <r>
    <n v="742"/>
    <d v="2025-03-14T00:00:00"/>
    <x v="1"/>
    <n v="9518600669"/>
    <n v="11"/>
    <s v="9518600669-11"/>
    <s v="May'25"/>
    <x v="0"/>
    <s v="Yes"/>
    <x v="1"/>
    <x v="6"/>
    <x v="0"/>
    <m/>
    <x v="1"/>
    <m/>
    <m/>
    <m/>
    <s v="South"/>
    <s v="YESHWANTHPURA"/>
    <x v="2"/>
    <x v="26"/>
    <x v="26"/>
    <x v="45"/>
    <s v="CRCA COIL TSBHSQ TU99 1.600X1270"/>
    <s v=" "/>
    <s v=""/>
    <n v="10"/>
    <n v="27"/>
    <m/>
    <x v="1"/>
    <x v="10"/>
    <s v="TU99"/>
    <x v="22"/>
    <x v="6"/>
    <x v="0"/>
    <n v="58"/>
    <n v="0"/>
    <n v="58"/>
    <n v="58"/>
    <n v="42.54"/>
    <n v="19.53"/>
    <n v="0"/>
    <n v="0"/>
    <n v="0"/>
    <n v="0"/>
    <n v="0"/>
    <n v="0"/>
    <n v="0"/>
    <n v="0"/>
    <n v="0"/>
    <n v="0"/>
    <n v="0"/>
    <n v="0"/>
    <n v="0"/>
    <n v="0"/>
    <n v="0"/>
    <n v="1.95"/>
    <n v="0"/>
    <n v="0"/>
    <n v="13.51"/>
    <n v="15.459999999999999"/>
    <n v="15.459999999999999"/>
    <n v="0"/>
    <n v="15.459999999999999"/>
    <m/>
    <n v="26.479999999999997"/>
    <n v="19.53"/>
    <n v="19.53"/>
    <n v="0"/>
    <n v="0"/>
    <n v="0"/>
    <n v="0"/>
    <n v="46.01"/>
    <n v="0"/>
    <n v="46.01"/>
    <n v="0"/>
    <n v="0"/>
    <n v="0"/>
    <n v="0"/>
    <m/>
    <m/>
    <m/>
    <m/>
    <m/>
    <m/>
    <m/>
    <m/>
    <m/>
    <m/>
    <m/>
    <m/>
    <m/>
    <m/>
    <m/>
    <m/>
    <m/>
    <m/>
    <m/>
    <m/>
    <m/>
    <m/>
    <m/>
    <m/>
    <m/>
    <m/>
    <m/>
    <m/>
    <m/>
    <m/>
    <m/>
    <m/>
    <m/>
    <m/>
  </r>
  <r>
    <n v="742"/>
    <d v="2025-03-14T00:00:00"/>
    <x v="1"/>
    <n v="9518600669"/>
    <n v="12"/>
    <s v="9518600669-12"/>
    <s v="May'25"/>
    <x v="0"/>
    <s v="Yes"/>
    <x v="1"/>
    <x v="6"/>
    <x v="0"/>
    <m/>
    <x v="1"/>
    <m/>
    <m/>
    <m/>
    <s v="South"/>
    <s v="YESHWANTHPURA"/>
    <x v="2"/>
    <x v="26"/>
    <x v="26"/>
    <x v="250"/>
    <s v="CRCA COIL TSBHSQ TU99 2X1270"/>
    <s v=" "/>
    <s v=""/>
    <n v="10"/>
    <n v="27"/>
    <m/>
    <x v="1"/>
    <x v="10"/>
    <s v="TU99"/>
    <x v="15"/>
    <x v="6"/>
    <x v="0"/>
    <n v="174"/>
    <n v="0"/>
    <n v="174"/>
    <n v="174"/>
    <n v="89.28"/>
    <n v="95.075000000000003"/>
    <n v="0"/>
    <n v="0"/>
    <n v="0"/>
    <n v="0"/>
    <n v="0"/>
    <n v="0"/>
    <n v="0"/>
    <n v="0"/>
    <n v="0"/>
    <n v="0"/>
    <n v="0"/>
    <n v="0"/>
    <n v="0"/>
    <n v="54.28"/>
    <n v="0"/>
    <n v="4.67"/>
    <n v="0"/>
    <n v="0"/>
    <n v="25.77"/>
    <n v="84.72"/>
    <n v="84.72"/>
    <n v="0"/>
    <n v="84.72"/>
    <m/>
    <n v="66.63"/>
    <n v="95.075000000000003"/>
    <n v="95.075000000000003"/>
    <n v="0"/>
    <n v="0"/>
    <n v="0"/>
    <n v="0"/>
    <n v="161.70499999999998"/>
    <n v="0"/>
    <n v="161.70499999999998"/>
    <n v="0"/>
    <n v="0"/>
    <n v="0"/>
    <n v="0"/>
    <m/>
    <m/>
    <m/>
    <m/>
    <m/>
    <m/>
    <m/>
    <m/>
    <m/>
    <m/>
    <m/>
    <m/>
    <m/>
    <m/>
    <m/>
    <m/>
    <m/>
    <m/>
    <m/>
    <m/>
    <m/>
    <m/>
    <m/>
    <m/>
    <m/>
    <m/>
    <m/>
    <m/>
    <m/>
    <m/>
    <m/>
    <m/>
    <m/>
    <m/>
  </r>
  <r>
    <n v="742"/>
    <d v="2025-03-14T00:00:00"/>
    <x v="1"/>
    <n v="9518600669"/>
    <n v="13"/>
    <s v="9518600669-13"/>
    <s v="May'25"/>
    <x v="0"/>
    <s v="Yes"/>
    <x v="1"/>
    <x v="6"/>
    <x v="0"/>
    <n v="1300"/>
    <x v="1"/>
    <m/>
    <m/>
    <m/>
    <s v="South"/>
    <s v="YESHWANTHPURA"/>
    <x v="2"/>
    <x v="26"/>
    <x v="26"/>
    <x v="247"/>
    <s v="CRCA COIL SA1008 TU98 1.600X1250"/>
    <s v=" "/>
    <s v=""/>
    <n v="10"/>
    <n v="27"/>
    <m/>
    <x v="1"/>
    <x v="18"/>
    <s v="TU98"/>
    <x v="22"/>
    <x v="0"/>
    <x v="0"/>
    <n v="290"/>
    <n v="0"/>
    <n v="290"/>
    <n v="290"/>
    <n v="262.44"/>
    <n v="290"/>
    <n v="0"/>
    <n v="0"/>
    <n v="0"/>
    <n v="0"/>
    <n v="0"/>
    <n v="0"/>
    <n v="0"/>
    <n v="0"/>
    <n v="0"/>
    <n v="0"/>
    <n v="0"/>
    <n v="0"/>
    <n v="0"/>
    <n v="27.560000000000002"/>
    <n v="0"/>
    <n v="0"/>
    <n v="0"/>
    <n v="0"/>
    <n v="0"/>
    <n v="27.560000000000002"/>
    <n v="27.560000000000002"/>
    <n v="0"/>
    <n v="27.560000000000002"/>
    <m/>
    <n v="0"/>
    <n v="290"/>
    <n v="0"/>
    <n v="0"/>
    <n v="290"/>
    <n v="0"/>
    <n v="0"/>
    <n v="290"/>
    <n v="0"/>
    <n v="0"/>
    <n v="290"/>
    <n v="0"/>
    <n v="0"/>
    <n v="0"/>
    <m/>
    <m/>
    <m/>
    <m/>
    <m/>
    <m/>
    <m/>
    <m/>
    <m/>
    <m/>
    <m/>
    <m/>
    <m/>
    <m/>
    <m/>
    <m/>
    <m/>
    <m/>
    <m/>
    <m/>
    <m/>
    <m/>
    <m/>
    <m/>
    <m/>
    <m/>
    <m/>
    <m/>
    <m/>
    <m/>
    <m/>
    <m/>
    <m/>
    <m/>
  </r>
  <r>
    <n v="743"/>
    <d v="2025-04-05T00:00:00"/>
    <x v="0"/>
    <n v="9518671430"/>
    <n v="1"/>
    <s v="9518671430-1"/>
    <s v="Stocks"/>
    <x v="0"/>
    <m/>
    <x v="4"/>
    <x v="3"/>
    <x v="2"/>
    <m/>
    <x v="1"/>
    <m/>
    <m/>
    <m/>
    <s v="TBSPL"/>
    <s v="RAJASTHAN"/>
    <x v="2"/>
    <x v="51"/>
    <x v="6"/>
    <x v="163"/>
    <s v="GL COIL HARD Y550GL M308 0.50 (TCT)X1220"/>
    <s v="AZ150"/>
    <s v=""/>
    <n v="3"/>
    <n v="5"/>
    <m/>
    <x v="5"/>
    <x v="7"/>
    <s v="M308"/>
    <x v="1"/>
    <x v="1"/>
    <x v="0"/>
    <n v="28"/>
    <n v="0"/>
    <n v="28"/>
    <n v="28"/>
    <n v="28"/>
    <n v="0.71"/>
    <n v="0"/>
    <n v="0"/>
    <n v="0"/>
    <n v="0"/>
    <n v="0"/>
    <n v="0"/>
    <n v="0"/>
    <n v="0"/>
    <n v="0"/>
    <n v="0"/>
    <n v="0"/>
    <n v="0"/>
    <n v="0"/>
    <n v="0"/>
    <n v="0"/>
    <n v="0"/>
    <n v="0"/>
    <n v="0"/>
    <n v="0"/>
    <n v="0"/>
    <n v="0"/>
    <n v="0"/>
    <n v="0"/>
    <m/>
    <n v="4.76"/>
    <n v="0"/>
    <n v="0"/>
    <n v="0"/>
    <n v="0"/>
    <n v="0"/>
    <n v="0"/>
    <n v="4.76"/>
    <n v="4.76"/>
    <n v="0"/>
    <n v="0"/>
    <n v="0"/>
    <n v="0"/>
    <n v="0"/>
    <m/>
    <m/>
    <m/>
    <m/>
    <m/>
    <m/>
    <m/>
    <m/>
    <m/>
    <m/>
    <m/>
    <m/>
    <m/>
    <m/>
    <m/>
    <m/>
    <m/>
    <m/>
    <m/>
    <m/>
    <m/>
    <m/>
    <m/>
    <m/>
    <m/>
    <m/>
    <m/>
    <m/>
    <m/>
    <m/>
    <m/>
    <m/>
    <m/>
    <m/>
  </r>
  <r>
    <n v="743"/>
    <d v="2025-03-29T00:00:00"/>
    <x v="0"/>
    <n v="9518653333"/>
    <n v="1"/>
    <s v="9518653333-1"/>
    <s v="May'25"/>
    <x v="0"/>
    <m/>
    <x v="4"/>
    <x v="3"/>
    <x v="2"/>
    <m/>
    <x v="1"/>
    <m/>
    <m/>
    <m/>
    <s v="TBSPL"/>
    <s v="RAJASTHAN"/>
    <x v="2"/>
    <x v="51"/>
    <x v="6"/>
    <x v="27"/>
    <s v="GL COIL HARD Y550GL M308 0.47 (TCT)X1220"/>
    <s v="AZ150"/>
    <s v=""/>
    <n v="3"/>
    <n v="5"/>
    <m/>
    <x v="5"/>
    <x v="7"/>
    <s v="M308"/>
    <x v="14"/>
    <x v="1"/>
    <x v="0"/>
    <n v="280"/>
    <n v="23.13"/>
    <n v="256.87"/>
    <n v="224.87"/>
    <n v="214"/>
    <n v="46.395000000000003"/>
    <n v="0"/>
    <n v="0"/>
    <n v="0"/>
    <n v="0"/>
    <n v="0"/>
    <n v="0"/>
    <n v="0"/>
    <n v="29.14"/>
    <n v="0"/>
    <n v="0"/>
    <n v="0"/>
    <n v="0"/>
    <n v="0"/>
    <n v="0"/>
    <n v="0"/>
    <n v="0"/>
    <n v="0"/>
    <n v="0"/>
    <n v="13.73"/>
    <n v="42.870000000000005"/>
    <n v="42.870000000000005"/>
    <n v="0"/>
    <n v="42.870000000000005"/>
    <m/>
    <n v="146.49499999999998"/>
    <n v="46.395000000000003"/>
    <n v="0"/>
    <n v="46.395000000000003"/>
    <n v="0"/>
    <n v="0"/>
    <n v="0"/>
    <n v="192.89"/>
    <n v="0"/>
    <n v="0"/>
    <n v="192.89"/>
    <n v="0"/>
    <n v="0"/>
    <n v="0"/>
    <m/>
    <m/>
    <m/>
    <m/>
    <m/>
    <m/>
    <m/>
    <m/>
    <m/>
    <m/>
    <m/>
    <m/>
    <m/>
    <m/>
    <m/>
    <m/>
    <m/>
    <m/>
    <m/>
    <m/>
    <m/>
    <m/>
    <m/>
    <m/>
    <m/>
    <m/>
    <m/>
    <m/>
    <m/>
    <m/>
    <m/>
    <m/>
    <m/>
    <m/>
  </r>
  <r>
    <n v="743"/>
    <d v="2025-03-29T00:00:00"/>
    <x v="0"/>
    <n v="9518653333"/>
    <n v="2"/>
    <s v="9518653333-2"/>
    <s v="Stocks"/>
    <x v="0"/>
    <m/>
    <x v="4"/>
    <x v="3"/>
    <x v="2"/>
    <m/>
    <x v="1"/>
    <m/>
    <m/>
    <m/>
    <s v="TBSPL"/>
    <s v="RAJASTHAN"/>
    <x v="2"/>
    <x v="51"/>
    <x v="6"/>
    <x v="27"/>
    <s v="GL COIL HARD Y550GL M308 0.47 (TCT)X1220"/>
    <s v="AZ150"/>
    <s v=""/>
    <n v="3"/>
    <n v="5"/>
    <m/>
    <x v="5"/>
    <x v="7"/>
    <s v="M308"/>
    <x v="14"/>
    <x v="1"/>
    <x v="0"/>
    <n v="140"/>
    <n v="21.53"/>
    <n v="118.47"/>
    <n v="6.4980000000000002"/>
    <n v="118.47"/>
    <n v="4.3"/>
    <n v="0"/>
    <n v="0"/>
    <n v="0"/>
    <n v="0"/>
    <n v="0"/>
    <n v="0"/>
    <n v="0"/>
    <n v="0"/>
    <n v="0"/>
    <n v="0"/>
    <n v="0"/>
    <n v="0"/>
    <n v="0"/>
    <n v="0"/>
    <n v="0"/>
    <n v="0"/>
    <n v="0"/>
    <n v="0"/>
    <n v="0"/>
    <n v="0"/>
    <n v="0"/>
    <n v="0"/>
    <n v="0"/>
    <m/>
    <n v="8.6649999999999991"/>
    <n v="0"/>
    <n v="0"/>
    <n v="0"/>
    <n v="0"/>
    <n v="0"/>
    <n v="0"/>
    <n v="8.6649999999999991"/>
    <n v="8.6649999999999991"/>
    <n v="0"/>
    <n v="0"/>
    <n v="0"/>
    <n v="0"/>
    <n v="0"/>
    <m/>
    <m/>
    <m/>
    <m/>
    <m/>
    <m/>
    <m/>
    <m/>
    <m/>
    <m/>
    <m/>
    <m/>
    <m/>
    <m/>
    <m/>
    <m/>
    <m/>
    <m/>
    <m/>
    <m/>
    <m/>
    <m/>
    <m/>
    <m/>
    <m/>
    <m/>
    <m/>
    <m/>
    <m/>
    <m/>
    <m/>
    <m/>
    <m/>
    <m/>
  </r>
  <r>
    <n v="743"/>
    <d v="2025-03-29T00:00:00"/>
    <x v="0"/>
    <n v="9518653333"/>
    <n v="3"/>
    <s v="9518653333-3"/>
    <s v="No Priority"/>
    <x v="0"/>
    <m/>
    <x v="4"/>
    <x v="3"/>
    <x v="2"/>
    <m/>
    <x v="0"/>
    <m/>
    <m/>
    <m/>
    <s v="TBSPL"/>
    <s v="RAJASTHAN"/>
    <x v="2"/>
    <x v="51"/>
    <x v="6"/>
    <x v="251"/>
    <s v="GL COIL HARD Y550GL M308 0.60 (TCT)X1220"/>
    <s v="AZ150"/>
    <s v=""/>
    <n v="3"/>
    <n v="5"/>
    <m/>
    <x v="5"/>
    <x v="7"/>
    <s v="M308"/>
    <x v="20"/>
    <x v="1"/>
    <x v="0"/>
    <n v="28"/>
    <n v="9.0150000000000006"/>
    <n v="18.984999999999999"/>
    <n v="18.984999999999999"/>
    <n v="18.984999999999999"/>
    <n v="18.984999999999999"/>
    <n v="0"/>
    <n v="0"/>
    <n v="0"/>
    <n v="0"/>
    <n v="0"/>
    <n v="0"/>
    <n v="0"/>
    <n v="0"/>
    <n v="0"/>
    <n v="0"/>
    <n v="0"/>
    <n v="0"/>
    <n v="0"/>
    <n v="0"/>
    <n v="0"/>
    <n v="0"/>
    <n v="0"/>
    <n v="0"/>
    <n v="0"/>
    <n v="0"/>
    <n v="0"/>
    <n v="0"/>
    <n v="0"/>
    <m/>
    <n v="0"/>
    <n v="0"/>
    <n v="0"/>
    <n v="0"/>
    <n v="0"/>
    <n v="0"/>
    <n v="0"/>
    <n v="0"/>
    <n v="0"/>
    <n v="0"/>
    <n v="0"/>
    <n v="0"/>
    <n v="0"/>
    <n v="0"/>
    <m/>
    <m/>
    <m/>
    <m/>
    <m/>
    <m/>
    <m/>
    <m/>
    <m/>
    <m/>
    <m/>
    <m/>
    <m/>
    <m/>
    <m/>
    <m/>
    <m/>
    <m/>
    <m/>
    <m/>
    <m/>
    <m/>
    <m/>
    <m/>
    <m/>
    <m/>
    <m/>
    <m/>
    <m/>
    <m/>
    <m/>
    <m/>
    <m/>
    <m/>
  </r>
  <r>
    <n v="743"/>
    <d v="2025-02-06T00:00:00"/>
    <x v="0"/>
    <n v="9518497649"/>
    <n v="2"/>
    <s v="9518497649-2"/>
    <s v="No Priority"/>
    <x v="0"/>
    <m/>
    <x v="3"/>
    <x v="0"/>
    <x v="0"/>
    <m/>
    <x v="0"/>
    <m/>
    <m/>
    <m/>
    <s v="East"/>
    <s v="TATANAGAR"/>
    <x v="2"/>
    <x v="5"/>
    <x v="5"/>
    <x v="252"/>
    <s v="GP COIL SOFT-TSBXGP-T1GP-0.6X1220"/>
    <s v="Z80"/>
    <s v=""/>
    <n v="4"/>
    <n v="12"/>
    <m/>
    <x v="7"/>
    <x v="13"/>
    <s v="T1GP"/>
    <x v="20"/>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3"/>
    <d v="2025-03-27T00:00:00"/>
    <x v="0"/>
    <n v="9518643800"/>
    <n v="1"/>
    <s v="9518643800-1"/>
    <s v="May'25"/>
    <x v="0"/>
    <m/>
    <x v="4"/>
    <x v="5"/>
    <x v="2"/>
    <m/>
    <x v="1"/>
    <m/>
    <m/>
    <m/>
    <s v="West"/>
    <s v="SANAND"/>
    <x v="2"/>
    <x v="45"/>
    <x v="84"/>
    <x v="253"/>
    <s v="GL COIL HARD  Y550GL H0GL 0.900X1249"/>
    <s v="AZ150"/>
    <s v=""/>
    <n v="10"/>
    <n v="18"/>
    <m/>
    <x v="5"/>
    <x v="7"/>
    <s v="H0GL"/>
    <x v="13"/>
    <x v="24"/>
    <x v="0"/>
    <n v="232"/>
    <n v="171.435"/>
    <n v="60.564999999999998"/>
    <n v="46.62"/>
    <n v="3.0300000000000011"/>
    <n v="60.564999999999998"/>
    <n v="0"/>
    <n v="0"/>
    <n v="0"/>
    <n v="0"/>
    <n v="0"/>
    <n v="0"/>
    <n v="0"/>
    <n v="21.025000000000002"/>
    <n v="0"/>
    <n v="0"/>
    <n v="0"/>
    <n v="0"/>
    <n v="0"/>
    <n v="0"/>
    <n v="0"/>
    <n v="0"/>
    <n v="0"/>
    <n v="0"/>
    <n v="36.51"/>
    <n v="57.534999999999997"/>
    <n v="57.534999999999997"/>
    <n v="0"/>
    <n v="57.534999999999997"/>
    <m/>
    <n v="0"/>
    <n v="60.564999999999998"/>
    <n v="60.564999999999998"/>
    <n v="0"/>
    <n v="0"/>
    <n v="0"/>
    <n v="0"/>
    <n v="60.564999999999998"/>
    <n v="0"/>
    <n v="60.564999999999998"/>
    <n v="0"/>
    <n v="0"/>
    <n v="0"/>
    <n v="0"/>
    <m/>
    <m/>
    <m/>
    <m/>
    <m/>
    <m/>
    <m/>
    <m/>
    <m/>
    <m/>
    <m/>
    <m/>
    <m/>
    <m/>
    <m/>
    <m/>
    <m/>
    <m/>
    <m/>
    <m/>
    <m/>
    <m/>
    <m/>
    <m/>
    <m/>
    <m/>
    <m/>
    <m/>
    <m/>
    <m/>
    <m/>
    <m/>
    <m/>
    <m/>
  </r>
  <r>
    <n v="743"/>
    <d v="2025-03-29T00:00:00"/>
    <x v="0"/>
    <n v="9518652258"/>
    <n v="1"/>
    <s v="9518652258-1"/>
    <s v="No Priority"/>
    <x v="0"/>
    <m/>
    <x v="4"/>
    <x v="3"/>
    <x v="2"/>
    <m/>
    <x v="0"/>
    <m/>
    <m/>
    <m/>
    <s v="TBSPL"/>
    <s v="TATANAGAR"/>
    <x v="2"/>
    <x v="39"/>
    <x v="6"/>
    <x v="163"/>
    <s v="GL COIL HARD Y550GL M308 0.50 (TCT)X1220"/>
    <s v="AZ150"/>
    <s v=""/>
    <n v="3"/>
    <n v="5"/>
    <m/>
    <x v="5"/>
    <x v="7"/>
    <s v="M308"/>
    <x v="1"/>
    <x v="1"/>
    <x v="0"/>
    <n v="224"/>
    <n v="0"/>
    <n v="224"/>
    <n v="-24.456"/>
    <n v="0"/>
    <n v="3.395"/>
    <n v="0"/>
    <n v="0"/>
    <n v="0"/>
    <n v="0"/>
    <n v="0"/>
    <n v="0"/>
    <n v="0"/>
    <n v="0"/>
    <n v="0"/>
    <n v="0"/>
    <n v="0"/>
    <n v="0"/>
    <n v="0"/>
    <n v="0"/>
    <n v="0"/>
    <n v="0"/>
    <n v="0"/>
    <n v="0"/>
    <n v="0"/>
    <n v="0"/>
    <n v="0"/>
    <n v="0"/>
    <n v="0"/>
    <m/>
    <n v="0"/>
    <n v="0"/>
    <n v="0"/>
    <n v="0"/>
    <n v="0"/>
    <n v="0"/>
    <n v="0"/>
    <n v="0"/>
    <n v="0"/>
    <n v="0"/>
    <n v="0"/>
    <n v="0"/>
    <n v="0"/>
    <n v="0"/>
    <m/>
    <m/>
    <m/>
    <m/>
    <m/>
    <m/>
    <m/>
    <m/>
    <m/>
    <m/>
    <m/>
    <m/>
    <m/>
    <m/>
    <m/>
    <m/>
    <m/>
    <m/>
    <m/>
    <m/>
    <m/>
    <m/>
    <m/>
    <m/>
    <m/>
    <m/>
    <m/>
    <m/>
    <m/>
    <m/>
    <m/>
    <m/>
    <m/>
    <m/>
  </r>
  <r>
    <n v="743"/>
    <d v="2025-03-29T00:00:00"/>
    <x v="0"/>
    <n v="9518652258"/>
    <n v="2"/>
    <s v="9518652258-2"/>
    <s v="Stocks"/>
    <x v="0"/>
    <m/>
    <x v="4"/>
    <x v="3"/>
    <x v="2"/>
    <m/>
    <x v="1"/>
    <m/>
    <m/>
    <m/>
    <s v="TBSPL"/>
    <s v="TATANAGAR"/>
    <x v="2"/>
    <x v="39"/>
    <x v="6"/>
    <x v="251"/>
    <s v="GL COIL HARD Y550GL M308 0.60 (TCT)X1220"/>
    <s v="AZ150"/>
    <s v=""/>
    <n v="3"/>
    <n v="5"/>
    <m/>
    <x v="5"/>
    <x v="7"/>
    <s v="M308"/>
    <x v="20"/>
    <x v="1"/>
    <x v="0"/>
    <n v="56"/>
    <n v="0"/>
    <n v="56"/>
    <n v="1.33"/>
    <n v="0"/>
    <n v="11.4"/>
    <n v="0"/>
    <n v="0"/>
    <n v="0"/>
    <n v="0"/>
    <n v="0"/>
    <n v="0"/>
    <n v="0"/>
    <n v="0"/>
    <n v="0"/>
    <n v="0"/>
    <n v="0"/>
    <n v="0"/>
    <n v="0"/>
    <n v="0"/>
    <n v="0"/>
    <n v="0"/>
    <n v="0"/>
    <n v="0"/>
    <n v="9.15"/>
    <n v="9.15"/>
    <n v="9.15"/>
    <n v="0"/>
    <n v="9.15"/>
    <m/>
    <n v="13.43"/>
    <n v="11.4"/>
    <n v="0"/>
    <n v="11.4"/>
    <n v="0"/>
    <n v="0"/>
    <n v="0"/>
    <n v="24.83"/>
    <n v="0"/>
    <n v="0"/>
    <n v="24.83"/>
    <n v="0"/>
    <n v="0"/>
    <n v="0"/>
    <m/>
    <m/>
    <m/>
    <m/>
    <m/>
    <m/>
    <m/>
    <m/>
    <m/>
    <m/>
    <m/>
    <m/>
    <m/>
    <m/>
    <m/>
    <m/>
    <m/>
    <m/>
    <m/>
    <m/>
    <m/>
    <m/>
    <m/>
    <m/>
    <m/>
    <m/>
    <m/>
    <m/>
    <m/>
    <m/>
    <m/>
    <m/>
    <m/>
    <m/>
  </r>
  <r>
    <n v="742"/>
    <d v="2025-04-03T00:00:00"/>
    <x v="0"/>
    <n v="9518667422"/>
    <n v="1"/>
    <s v="9518667422-1"/>
    <s v="No Priority"/>
    <x v="0"/>
    <s v="Yes"/>
    <x v="1"/>
    <x v="1"/>
    <x v="0"/>
    <m/>
    <x v="0"/>
    <m/>
    <s v="De-prioritized due to Apr CF orders"/>
    <m/>
    <s v="South"/>
    <s v="YESHWANTHPURA"/>
    <x v="2"/>
    <x v="60"/>
    <x v="57"/>
    <x v="96"/>
    <s v="CRCA COIL-TATXXD-AU03-0.35X1250"/>
    <s v=" "/>
    <s v=""/>
    <n v="2"/>
    <n v="30"/>
    <m/>
    <x v="1"/>
    <x v="2"/>
    <s v="AU03"/>
    <x v="6"/>
    <x v="0"/>
    <x v="0"/>
    <n v="145"/>
    <n v="0"/>
    <n v="145"/>
    <n v="145"/>
    <n v="145"/>
    <n v="145"/>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7422"/>
    <n v="2"/>
    <s v="9518667422-2"/>
    <s v="No Priority"/>
    <x v="0"/>
    <s v="Yes"/>
    <x v="1"/>
    <x v="1"/>
    <x v="0"/>
    <m/>
    <x v="0"/>
    <m/>
    <m/>
    <m/>
    <s v="South"/>
    <s v="YESHWANTHPURA"/>
    <x v="2"/>
    <x v="60"/>
    <x v="57"/>
    <x v="5"/>
    <s v="CRCA COIL TATXXD AU03 0.4X1250"/>
    <s v=" "/>
    <s v=""/>
    <n v="2"/>
    <n v="30"/>
    <m/>
    <x v="1"/>
    <x v="2"/>
    <s v="AU03"/>
    <x v="2"/>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7422"/>
    <n v="3"/>
    <s v="9518667422-3"/>
    <s v="May'25"/>
    <x v="0"/>
    <s v="Yes"/>
    <x v="1"/>
    <x v="1"/>
    <x v="0"/>
    <m/>
    <x v="1"/>
    <m/>
    <m/>
    <m/>
    <s v="South"/>
    <s v="YESHWANTHPURA"/>
    <x v="2"/>
    <x v="60"/>
    <x v="57"/>
    <x v="254"/>
    <s v="CRCA COIL-TATXXD-AU03-0.5X1250"/>
    <s v=" "/>
    <s v=""/>
    <n v="2"/>
    <n v="30"/>
    <m/>
    <x v="1"/>
    <x v="2"/>
    <s v="AU03"/>
    <x v="1"/>
    <x v="0"/>
    <x v="0"/>
    <n v="58"/>
    <n v="0"/>
    <n v="58"/>
    <n v="58"/>
    <n v="34.730000000000004"/>
    <n v="33.094999999999999"/>
    <n v="0"/>
    <n v="0"/>
    <n v="0"/>
    <n v="0"/>
    <n v="0"/>
    <n v="0"/>
    <n v="0"/>
    <n v="0"/>
    <n v="0"/>
    <n v="0"/>
    <n v="0"/>
    <n v="0"/>
    <n v="0"/>
    <n v="23.27"/>
    <n v="0"/>
    <n v="0"/>
    <n v="0"/>
    <n v="0"/>
    <n v="0"/>
    <n v="23.27"/>
    <n v="23.27"/>
    <n v="0"/>
    <n v="23.27"/>
    <m/>
    <n v="0"/>
    <n v="33.094999999999999"/>
    <n v="33.094999999999999"/>
    <n v="0"/>
    <n v="0"/>
    <n v="0"/>
    <n v="0"/>
    <n v="33.094999999999999"/>
    <n v="0"/>
    <n v="33.094999999999999"/>
    <n v="0"/>
    <n v="0"/>
    <n v="0"/>
    <n v="0"/>
    <m/>
    <m/>
    <m/>
    <m/>
    <m/>
    <m/>
    <m/>
    <m/>
    <m/>
    <m/>
    <m/>
    <m/>
    <m/>
    <m/>
    <m/>
    <m/>
    <m/>
    <m/>
    <m/>
    <m/>
    <m/>
    <m/>
    <m/>
    <m/>
    <m/>
    <m/>
    <m/>
    <m/>
    <m/>
    <m/>
    <m/>
    <m/>
    <m/>
    <m/>
  </r>
  <r>
    <n v="742"/>
    <d v="2025-03-31T00:00:00"/>
    <x v="0"/>
    <n v="9518660656"/>
    <n v="2"/>
    <s v="9518660656-2"/>
    <s v="May'25"/>
    <x v="0"/>
    <s v="Yes"/>
    <x v="1"/>
    <x v="2"/>
    <x v="0"/>
    <m/>
    <x v="1"/>
    <m/>
    <s v="Exp BTF &lt;17MT"/>
    <m/>
    <s v="East"/>
    <s v="HOWRAH"/>
    <x v="2"/>
    <x v="11"/>
    <x v="11"/>
    <x v="144"/>
    <s v="CRCA SHEET TATCRC SR16 0.400X900X2500"/>
    <s v=" "/>
    <s v=""/>
    <n v="0"/>
    <n v="0"/>
    <m/>
    <x v="2"/>
    <x v="1"/>
    <s v="SR16"/>
    <x v="2"/>
    <x v="3"/>
    <x v="3"/>
    <n v="51"/>
    <n v="0"/>
    <n v="51"/>
    <n v="7.2"/>
    <n v="8.4699999999999989"/>
    <n v="51"/>
    <n v="0"/>
    <n v="0"/>
    <n v="0"/>
    <n v="0"/>
    <n v="0"/>
    <n v="0"/>
    <n v="0"/>
    <n v="0"/>
    <n v="0"/>
    <n v="0"/>
    <n v="0"/>
    <n v="0"/>
    <n v="0"/>
    <n v="42.53"/>
    <n v="0"/>
    <n v="0"/>
    <n v="0"/>
    <n v="0"/>
    <n v="0"/>
    <n v="42.53"/>
    <n v="42.53"/>
    <n v="0"/>
    <n v="42.53"/>
    <m/>
    <n v="0"/>
    <n v="51"/>
    <n v="0"/>
    <n v="51"/>
    <n v="0"/>
    <n v="0"/>
    <n v="0"/>
    <n v="51"/>
    <n v="0"/>
    <n v="51"/>
    <n v="0"/>
    <n v="0"/>
    <n v="0"/>
    <n v="0"/>
    <m/>
    <m/>
    <m/>
    <m/>
    <m/>
    <m/>
    <m/>
    <m/>
    <m/>
    <m/>
    <m/>
    <m/>
    <m/>
    <m/>
    <m/>
    <m/>
    <m/>
    <m/>
    <m/>
    <m/>
    <m/>
    <m/>
    <m/>
    <m/>
    <m/>
    <m/>
    <m/>
    <m/>
    <m/>
    <m/>
    <m/>
    <m/>
    <m/>
    <m/>
  </r>
  <r>
    <n v="744"/>
    <d v="2025-04-05T00:00:00"/>
    <x v="0"/>
    <n v="9518671083"/>
    <n v="1"/>
    <s v="9518671083-1"/>
    <s v="May'25"/>
    <x v="0"/>
    <s v="Yes"/>
    <x v="2"/>
    <x v="3"/>
    <x v="2"/>
    <m/>
    <x v="1"/>
    <m/>
    <m/>
    <m/>
    <s v="TBSPL"/>
    <s v="RAJASTHAN"/>
    <x v="2"/>
    <x v="71"/>
    <x v="15"/>
    <x v="192"/>
    <s v="PPGL C Y550 D0C7 0.43BMT(0.47TPT)X1220"/>
    <s v="aZ70"/>
    <s v="NG BRIGHT GREEN TSL 2211"/>
    <n v="3"/>
    <n v="5"/>
    <m/>
    <x v="3"/>
    <x v="3"/>
    <s v="D0C7"/>
    <x v="25"/>
    <x v="1"/>
    <x v="0"/>
    <n v="83.998999999999995"/>
    <n v="0"/>
    <n v="83.998999999999995"/>
    <n v="83.998999999999995"/>
    <n v="83.998999999999995"/>
    <n v="83.998999999999995"/>
    <n v="0"/>
    <n v="0"/>
    <n v="0"/>
    <n v="0"/>
    <n v="0"/>
    <n v="0"/>
    <n v="0"/>
    <n v="0"/>
    <n v="0"/>
    <n v="0"/>
    <n v="0"/>
    <n v="0"/>
    <n v="0"/>
    <n v="0"/>
    <n v="0"/>
    <n v="0"/>
    <n v="0"/>
    <n v="0"/>
    <n v="0"/>
    <n v="0"/>
    <n v="0"/>
    <n v="0"/>
    <n v="0"/>
    <m/>
    <n v="0"/>
    <n v="83.998999999999995"/>
    <n v="0"/>
    <n v="0"/>
    <n v="0"/>
    <n v="0"/>
    <n v="83.998999999999995"/>
    <n v="0"/>
    <n v="0"/>
    <n v="0"/>
    <n v="0"/>
    <n v="0"/>
    <n v="0"/>
    <n v="83.998999999999995"/>
    <m/>
    <m/>
    <m/>
    <m/>
    <m/>
    <m/>
    <m/>
    <m/>
    <m/>
    <m/>
    <m/>
    <m/>
    <m/>
    <m/>
    <m/>
    <m/>
    <m/>
    <m/>
    <m/>
    <m/>
    <m/>
    <m/>
    <m/>
    <m/>
    <m/>
    <m/>
    <m/>
    <m/>
    <m/>
    <m/>
    <m/>
    <m/>
    <m/>
    <m/>
  </r>
  <r>
    <n v="744"/>
    <d v="2025-04-05T00:00:00"/>
    <x v="0"/>
    <n v="9518671083"/>
    <n v="2"/>
    <s v="9518671083-2"/>
    <s v="No Priority"/>
    <x v="0"/>
    <s v="Yes"/>
    <x v="2"/>
    <x v="3"/>
    <x v="2"/>
    <m/>
    <x v="0"/>
    <m/>
    <m/>
    <m/>
    <s v="TBSPL"/>
    <s v="RAJASTHAN"/>
    <x v="2"/>
    <x v="71"/>
    <x v="15"/>
    <x v="192"/>
    <s v="PPGL C Y550 D0C7 0.43BMT(0.47TPT)X1220"/>
    <s v="aZ70"/>
    <s v="NGP COFFEE TSL 1912"/>
    <n v="3"/>
    <n v="5"/>
    <m/>
    <x v="3"/>
    <x v="3"/>
    <s v="D0C7"/>
    <x v="25"/>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4"/>
    <d v="2025-04-05T00:00:00"/>
    <x v="0"/>
    <n v="9518671083"/>
    <n v="3"/>
    <s v="9518671083-3"/>
    <s v="No Priority"/>
    <x v="0"/>
    <s v="Yes"/>
    <x v="2"/>
    <x v="3"/>
    <x v="2"/>
    <m/>
    <x v="0"/>
    <m/>
    <m/>
    <m/>
    <s v="TBSPL"/>
    <s v="RAJASTHAN"/>
    <x v="2"/>
    <x v="71"/>
    <x v="15"/>
    <x v="192"/>
    <s v="PPGL C Y550 D0C7 0.43BMT(0.47TPT)X1220"/>
    <s v="aZ70"/>
    <s v="NV BLUE TSL 1909"/>
    <n v="3"/>
    <n v="5"/>
    <m/>
    <x v="3"/>
    <x v="3"/>
    <s v="D0C7"/>
    <x v="25"/>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4"/>
    <d v="2025-04-05T00:00:00"/>
    <x v="0"/>
    <n v="9518671366"/>
    <n v="1"/>
    <s v="9518671366-1"/>
    <s v="No Priority"/>
    <x v="0"/>
    <s v="Yes"/>
    <x v="2"/>
    <x v="3"/>
    <x v="2"/>
    <m/>
    <x v="0"/>
    <m/>
    <m/>
    <m/>
    <s v="TBSPL"/>
    <s v="GAMHARIA"/>
    <x v="2"/>
    <x v="15"/>
    <x v="15"/>
    <x v="40"/>
    <s v="PPGL C Y550 HPL3 0.45BMT(0.53TPT)X1220"/>
    <s v="AZ150"/>
    <s v="ENVIRONMENTAL GREEN TSL 199"/>
    <n v="3"/>
    <n v="5"/>
    <m/>
    <x v="3"/>
    <x v="3"/>
    <s v="HPL3"/>
    <x v="10"/>
    <x v="1"/>
    <x v="0"/>
    <n v="28"/>
    <n v="0"/>
    <n v="28"/>
    <n v="28"/>
    <n v="28"/>
    <n v="0"/>
    <n v="0"/>
    <n v="0"/>
    <n v="0"/>
    <n v="0"/>
    <n v="0"/>
    <n v="0"/>
    <n v="0"/>
    <n v="0"/>
    <n v="0"/>
    <n v="0"/>
    <n v="0"/>
    <n v="0"/>
    <n v="0"/>
    <n v="0"/>
    <n v="0"/>
    <n v="0"/>
    <n v="0"/>
    <n v="0"/>
    <n v="0"/>
    <n v="0"/>
    <n v="0"/>
    <n v="0"/>
    <n v="0"/>
    <m/>
    <n v="0"/>
    <n v="0"/>
    <n v="0"/>
    <n v="0"/>
    <n v="0"/>
    <n v="0"/>
    <n v="0"/>
    <n v="0"/>
    <n v="0"/>
    <n v="0"/>
    <n v="0"/>
    <n v="0"/>
    <n v="0"/>
    <n v="0"/>
    <m/>
    <m/>
    <m/>
    <m/>
    <m/>
    <m/>
    <m/>
    <m/>
    <m/>
    <m/>
    <m/>
    <m/>
    <m/>
    <m/>
    <m/>
    <m/>
    <m/>
    <m/>
    <m/>
    <m/>
    <m/>
    <m/>
    <m/>
    <m/>
    <m/>
    <m/>
    <m/>
    <m/>
    <m/>
    <m/>
    <m/>
    <m/>
    <m/>
    <m/>
  </r>
  <r>
    <n v="744"/>
    <d v="2025-04-05T00:00:00"/>
    <x v="0"/>
    <n v="9518671366"/>
    <n v="2"/>
    <s v="9518671366-2"/>
    <s v="No Priority"/>
    <x v="0"/>
    <s v="Yes"/>
    <x v="2"/>
    <x v="3"/>
    <x v="2"/>
    <m/>
    <x v="0"/>
    <m/>
    <m/>
    <m/>
    <s v="TBSPL"/>
    <s v="GAMHARIA"/>
    <x v="2"/>
    <x v="15"/>
    <x v="15"/>
    <x v="40"/>
    <s v="PPGL C Y550 HPL3 0.45BMT(0.53TPT)X1220"/>
    <s v="AZ150"/>
    <s v="RAL 9002 TSL 142A"/>
    <n v="3"/>
    <n v="5"/>
    <m/>
    <x v="3"/>
    <x v="3"/>
    <s v="HPL3"/>
    <x v="10"/>
    <x v="1"/>
    <x v="0"/>
    <n v="56"/>
    <n v="0"/>
    <n v="56"/>
    <n v="56"/>
    <n v="56"/>
    <n v="0"/>
    <n v="0"/>
    <n v="0"/>
    <n v="0"/>
    <n v="0"/>
    <n v="0"/>
    <n v="0"/>
    <n v="0"/>
    <n v="0"/>
    <n v="0"/>
    <n v="0"/>
    <n v="0"/>
    <n v="0"/>
    <n v="0"/>
    <n v="0"/>
    <n v="0"/>
    <n v="0"/>
    <n v="0"/>
    <n v="0"/>
    <n v="0"/>
    <n v="0"/>
    <n v="0"/>
    <n v="0"/>
    <n v="0"/>
    <m/>
    <n v="0"/>
    <n v="0"/>
    <n v="0"/>
    <n v="0"/>
    <n v="0"/>
    <n v="0"/>
    <n v="0"/>
    <n v="0"/>
    <n v="0"/>
    <n v="0"/>
    <n v="0"/>
    <n v="0"/>
    <n v="0"/>
    <n v="0"/>
    <m/>
    <m/>
    <m/>
    <m/>
    <m/>
    <m/>
    <m/>
    <m/>
    <m/>
    <m/>
    <m/>
    <m/>
    <m/>
    <m/>
    <m/>
    <m/>
    <m/>
    <m/>
    <m/>
    <m/>
    <m/>
    <m/>
    <m/>
    <m/>
    <m/>
    <m/>
    <m/>
    <m/>
    <m/>
    <m/>
    <m/>
    <m/>
    <m/>
    <m/>
  </r>
  <r>
    <n v="744"/>
    <d v="2025-04-05T00:00:00"/>
    <x v="0"/>
    <n v="9518671225"/>
    <n v="1"/>
    <s v="9518671225-1"/>
    <s v="May'25"/>
    <x v="0"/>
    <m/>
    <x v="2"/>
    <x v="3"/>
    <x v="2"/>
    <n v="9000"/>
    <x v="1"/>
    <m/>
    <m/>
    <m/>
    <s v="TBSPL"/>
    <s v="GAMHARIA"/>
    <x v="2"/>
    <x v="15"/>
    <x v="15"/>
    <x v="255"/>
    <s v="PPGL C HARD Y550PL HPL6 0.400X1220"/>
    <s v="AZ150"/>
    <s v="NUVO BLUE TSL 1903"/>
    <n v="3"/>
    <n v="5"/>
    <m/>
    <x v="3"/>
    <x v="3"/>
    <s v="HPL6"/>
    <x v="2"/>
    <x v="1"/>
    <x v="0"/>
    <n v="56"/>
    <n v="0"/>
    <n v="56"/>
    <n v="56"/>
    <n v="32.034999999999997"/>
    <n v="24.76"/>
    <n v="0"/>
    <n v="0"/>
    <n v="0"/>
    <n v="0"/>
    <n v="0"/>
    <n v="0"/>
    <n v="0"/>
    <n v="19.3"/>
    <n v="0"/>
    <n v="0"/>
    <n v="0"/>
    <n v="0"/>
    <n v="0"/>
    <n v="0"/>
    <n v="0"/>
    <n v="0"/>
    <n v="0"/>
    <n v="0"/>
    <n v="4.665"/>
    <n v="23.965"/>
    <n v="23.965"/>
    <n v="0"/>
    <n v="23.965"/>
    <m/>
    <n v="35.905000000000001"/>
    <n v="24.76"/>
    <n v="0"/>
    <n v="24.76"/>
    <n v="0"/>
    <n v="0"/>
    <n v="0"/>
    <n v="60.665000000000006"/>
    <n v="0"/>
    <n v="0"/>
    <n v="60.665000000000006"/>
    <n v="0"/>
    <n v="0"/>
    <n v="0"/>
    <m/>
    <m/>
    <m/>
    <m/>
    <m/>
    <m/>
    <m/>
    <m/>
    <m/>
    <m/>
    <m/>
    <m/>
    <m/>
    <m/>
    <m/>
    <m/>
    <m/>
    <m/>
    <m/>
    <m/>
    <m/>
    <m/>
    <m/>
    <m/>
    <m/>
    <m/>
    <m/>
    <m/>
    <m/>
    <m/>
    <m/>
    <m/>
    <m/>
    <m/>
  </r>
  <r>
    <n v="744"/>
    <d v="2025-04-05T00:00:00"/>
    <x v="0"/>
    <n v="9518671225"/>
    <n v="2"/>
    <s v="9518671225-2"/>
    <s v="May'25"/>
    <x v="0"/>
    <m/>
    <x v="2"/>
    <x v="3"/>
    <x v="2"/>
    <m/>
    <x v="1"/>
    <m/>
    <m/>
    <m/>
    <s v="TBSPL"/>
    <s v="GAMHARIA"/>
    <x v="2"/>
    <x v="15"/>
    <x v="15"/>
    <x v="255"/>
    <s v="PPGL C HARD Y550PL HPL6 0.400X1220"/>
    <s v="AZ150"/>
    <s v="NG BRIGHT GREEN TSL 2211"/>
    <n v="3"/>
    <n v="5"/>
    <m/>
    <x v="3"/>
    <x v="3"/>
    <s v="HPL6"/>
    <x v="2"/>
    <x v="1"/>
    <x v="0"/>
    <n v="55.999000000000002"/>
    <n v="0"/>
    <n v="55.999000000000002"/>
    <n v="55.999000000000002"/>
    <n v="55.999000000000002"/>
    <n v="55.999000000000002"/>
    <n v="0"/>
    <n v="0"/>
    <n v="0"/>
    <n v="0"/>
    <n v="0"/>
    <n v="0"/>
    <n v="0"/>
    <n v="0"/>
    <n v="0"/>
    <n v="0"/>
    <n v="0"/>
    <n v="0"/>
    <n v="0"/>
    <n v="0"/>
    <n v="0"/>
    <n v="0"/>
    <n v="0"/>
    <n v="0"/>
    <n v="0"/>
    <n v="0"/>
    <n v="0"/>
    <n v="0"/>
    <n v="0"/>
    <m/>
    <n v="0"/>
    <n v="55.999000000000002"/>
    <n v="0"/>
    <n v="55.999000000000002"/>
    <n v="0"/>
    <n v="0"/>
    <n v="0"/>
    <n v="55.999000000000002"/>
    <n v="0"/>
    <n v="55.999000000000002"/>
    <n v="0"/>
    <n v="0"/>
    <n v="0"/>
    <n v="0"/>
    <m/>
    <m/>
    <m/>
    <m/>
    <m/>
    <m/>
    <m/>
    <m/>
    <m/>
    <m/>
    <m/>
    <m/>
    <m/>
    <m/>
    <m/>
    <m/>
    <m/>
    <m/>
    <m/>
    <m/>
    <m/>
    <m/>
    <m/>
    <m/>
    <m/>
    <m/>
    <m/>
    <m/>
    <m/>
    <m/>
    <m/>
    <m/>
    <m/>
    <m/>
  </r>
  <r>
    <n v="742"/>
    <d v="2025-02-19T00:00:00"/>
    <x v="0"/>
    <n v="9518533557"/>
    <n v="7"/>
    <s v="9518533557-7"/>
    <s v="No Priority"/>
    <x v="0"/>
    <s v="Yes"/>
    <x v="1"/>
    <x v="2"/>
    <x v="0"/>
    <m/>
    <x v="0"/>
    <m/>
    <m/>
    <m/>
    <s v="East"/>
    <s v="HOWRAH"/>
    <x v="2"/>
    <x v="11"/>
    <x v="11"/>
    <x v="256"/>
    <s v="CRCA SHEET TSBCRC SR15 0.600X1120X2000"/>
    <s v=" "/>
    <s v=""/>
    <n v="2"/>
    <n v="3"/>
    <m/>
    <x v="2"/>
    <x v="4"/>
    <s v="SR15"/>
    <x v="20"/>
    <x v="21"/>
    <x v="1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006"/>
    <n v="1"/>
    <s v="9518620006-1"/>
    <s v="May'25"/>
    <x v="0"/>
    <s v="Yes"/>
    <x v="1"/>
    <x v="2"/>
    <x v="0"/>
    <m/>
    <x v="1"/>
    <m/>
    <m/>
    <m/>
    <s v="East"/>
    <s v="URLA"/>
    <x v="2"/>
    <x v="72"/>
    <x v="69"/>
    <x v="17"/>
    <s v="CRCA SHEET TATCRC SR16 0.450X1000X2500"/>
    <s v=" "/>
    <s v=""/>
    <n v="0"/>
    <n v="0"/>
    <m/>
    <x v="2"/>
    <x v="1"/>
    <s v="SR16"/>
    <x v="10"/>
    <x v="2"/>
    <x v="3"/>
    <n v="24"/>
    <n v="0"/>
    <n v="24"/>
    <n v="24"/>
    <n v="1.5999999999999979"/>
    <n v="24"/>
    <n v="0"/>
    <n v="0"/>
    <n v="0"/>
    <n v="0"/>
    <n v="0"/>
    <n v="0"/>
    <n v="0"/>
    <n v="0"/>
    <n v="0"/>
    <n v="0"/>
    <n v="0"/>
    <n v="0"/>
    <n v="0"/>
    <n v="22.400000000000002"/>
    <n v="0"/>
    <n v="0"/>
    <n v="0"/>
    <n v="0"/>
    <n v="0"/>
    <n v="22.400000000000002"/>
    <n v="22.400000000000002"/>
    <n v="0"/>
    <n v="22.400000000000002"/>
    <m/>
    <n v="0"/>
    <n v="24"/>
    <n v="0"/>
    <n v="24"/>
    <n v="0"/>
    <n v="0"/>
    <n v="0"/>
    <n v="24"/>
    <n v="0"/>
    <n v="24"/>
    <n v="0"/>
    <n v="0"/>
    <n v="0"/>
    <n v="0"/>
    <m/>
    <m/>
    <m/>
    <m/>
    <m/>
    <m/>
    <m/>
    <m/>
    <m/>
    <m/>
    <m/>
    <m/>
    <m/>
    <m/>
    <m/>
    <m/>
    <m/>
    <m/>
    <m/>
    <m/>
    <m/>
    <m/>
    <m/>
    <m/>
    <m/>
    <m/>
    <m/>
    <m/>
    <m/>
    <m/>
    <m/>
    <m/>
    <m/>
    <m/>
  </r>
  <r>
    <n v="742"/>
    <d v="2025-03-21T00:00:00"/>
    <x v="0"/>
    <n v="9518620159"/>
    <n v="5"/>
    <s v="9518620159-5"/>
    <s v="May'25"/>
    <x v="0"/>
    <s v="Yes"/>
    <x v="1"/>
    <x v="2"/>
    <x v="0"/>
    <m/>
    <x v="1"/>
    <m/>
    <m/>
    <m/>
    <s v="East"/>
    <s v="URLA"/>
    <x v="2"/>
    <x v="72"/>
    <x v="69"/>
    <x v="28"/>
    <s v="CRCA SHEET TSBCRC SR15 0.500X1250X2500"/>
    <s v=" "/>
    <s v=""/>
    <n v="0"/>
    <n v="0"/>
    <m/>
    <x v="2"/>
    <x v="4"/>
    <s v="SR15"/>
    <x v="1"/>
    <x v="0"/>
    <x v="3"/>
    <n v="30"/>
    <n v="0"/>
    <n v="30"/>
    <n v="2.46"/>
    <n v="0"/>
    <n v="30"/>
    <n v="0"/>
    <n v="0"/>
    <n v="0"/>
    <n v="0"/>
    <n v="0"/>
    <n v="0"/>
    <n v="0"/>
    <n v="0"/>
    <n v="27.04"/>
    <n v="0"/>
    <n v="0"/>
    <n v="0"/>
    <n v="0"/>
    <n v="0"/>
    <n v="0"/>
    <n v="0"/>
    <n v="0"/>
    <n v="0"/>
    <n v="0"/>
    <n v="27.04"/>
    <n v="27.04"/>
    <n v="0"/>
    <n v="27.04"/>
    <m/>
    <n v="0"/>
    <n v="30"/>
    <n v="30"/>
    <n v="0"/>
    <n v="0"/>
    <n v="0"/>
    <n v="0"/>
    <n v="30"/>
    <n v="0"/>
    <n v="30"/>
    <n v="0"/>
    <n v="0"/>
    <n v="0"/>
    <n v="0"/>
    <m/>
    <m/>
    <m/>
    <m/>
    <m/>
    <m/>
    <m/>
    <m/>
    <m/>
    <m/>
    <m/>
    <m/>
    <m/>
    <m/>
    <m/>
    <m/>
    <m/>
    <m/>
    <m/>
    <m/>
    <m/>
    <m/>
    <m/>
    <m/>
    <m/>
    <m/>
    <m/>
    <m/>
    <m/>
    <m/>
    <m/>
    <m/>
    <m/>
    <m/>
  </r>
  <r>
    <n v="743"/>
    <d v="2025-04-03T00:00:00"/>
    <x v="0"/>
    <n v="9518666258"/>
    <n v="1"/>
    <s v="9518666258-1"/>
    <s v="May'25"/>
    <x v="0"/>
    <s v="Yes"/>
    <x v="4"/>
    <x v="3"/>
    <x v="2"/>
    <m/>
    <x v="1"/>
    <m/>
    <m/>
    <m/>
    <s v="TBSPL"/>
    <s v="TATANAGAR"/>
    <x v="2"/>
    <x v="39"/>
    <x v="6"/>
    <x v="35"/>
    <s v="GL C YS550 H6GL 0.45BMT(0.50TCT)X1220"/>
    <s v="AZ150"/>
    <s v=""/>
    <n v="3"/>
    <n v="5"/>
    <m/>
    <x v="5"/>
    <x v="7"/>
    <s v="H6GL"/>
    <x v="10"/>
    <x v="1"/>
    <x v="0"/>
    <n v="280"/>
    <n v="0"/>
    <n v="280"/>
    <n v="280"/>
    <n v="251.89"/>
    <n v="24.385000000000002"/>
    <n v="0"/>
    <n v="0"/>
    <n v="0"/>
    <n v="0"/>
    <n v="0"/>
    <n v="0"/>
    <n v="0"/>
    <n v="9.7000000000000011"/>
    <n v="0"/>
    <n v="0"/>
    <n v="0"/>
    <n v="0"/>
    <n v="0"/>
    <n v="0"/>
    <n v="0"/>
    <n v="0"/>
    <n v="0"/>
    <n v="0"/>
    <n v="18.41"/>
    <n v="28.11"/>
    <n v="28.11"/>
    <n v="0"/>
    <n v="28.11"/>
    <m/>
    <n v="190.63"/>
    <n v="24.385000000000002"/>
    <n v="24.385000000000002"/>
    <n v="0"/>
    <n v="0"/>
    <n v="0"/>
    <n v="0"/>
    <n v="215.01499999999999"/>
    <n v="0"/>
    <n v="215.01499999999999"/>
    <n v="0"/>
    <n v="0"/>
    <n v="0"/>
    <n v="0"/>
    <m/>
    <m/>
    <m/>
    <m/>
    <m/>
    <m/>
    <m/>
    <m/>
    <m/>
    <m/>
    <m/>
    <m/>
    <m/>
    <m/>
    <m/>
    <m/>
    <m/>
    <m/>
    <m/>
    <m/>
    <m/>
    <m/>
    <m/>
    <m/>
    <m/>
    <m/>
    <m/>
    <m/>
    <m/>
    <m/>
    <m/>
    <m/>
    <m/>
    <m/>
  </r>
  <r>
    <n v="743"/>
    <d v="2025-04-03T00:00:00"/>
    <x v="0"/>
    <n v="9518666258"/>
    <n v="2"/>
    <s v="9518666258-2"/>
    <s v="Stocks"/>
    <x v="0"/>
    <m/>
    <x v="4"/>
    <x v="3"/>
    <x v="2"/>
    <m/>
    <x v="1"/>
    <m/>
    <m/>
    <m/>
    <s v="TBSPL"/>
    <s v="TATANAGAR"/>
    <x v="2"/>
    <x v="39"/>
    <x v="6"/>
    <x v="35"/>
    <s v="GL C YS550 H6GL 0.45BMT(0.50TCT)X1220"/>
    <s v="AZ150"/>
    <s v=""/>
    <n v="3"/>
    <n v="5"/>
    <m/>
    <x v="5"/>
    <x v="7"/>
    <s v="H6GL"/>
    <x v="10"/>
    <x v="1"/>
    <x v="0"/>
    <n v="84"/>
    <n v="0"/>
    <n v="84"/>
    <n v="0.57999999999999996"/>
    <n v="0"/>
    <n v="6.3250000000000002"/>
    <n v="0"/>
    <n v="0"/>
    <n v="0"/>
    <n v="0"/>
    <n v="0"/>
    <n v="0"/>
    <n v="0"/>
    <n v="0"/>
    <n v="0"/>
    <n v="0"/>
    <n v="0"/>
    <n v="0"/>
    <n v="0"/>
    <n v="0"/>
    <n v="0"/>
    <n v="0"/>
    <n v="0"/>
    <n v="0"/>
    <n v="4.42"/>
    <n v="4.42"/>
    <n v="4.42"/>
    <n v="0"/>
    <n v="4.42"/>
    <m/>
    <n v="22.410000000000004"/>
    <n v="0"/>
    <n v="0"/>
    <n v="0"/>
    <n v="0"/>
    <n v="0"/>
    <n v="0"/>
    <n v="22.410000000000004"/>
    <n v="22.410000000000004"/>
    <n v="0"/>
    <n v="0"/>
    <n v="0"/>
    <n v="0"/>
    <n v="0"/>
    <m/>
    <m/>
    <m/>
    <m/>
    <m/>
    <m/>
    <m/>
    <m/>
    <m/>
    <m/>
    <m/>
    <m/>
    <m/>
    <m/>
    <m/>
    <m/>
    <m/>
    <m/>
    <m/>
    <m/>
    <m/>
    <m/>
    <m/>
    <m/>
    <m/>
    <m/>
    <m/>
    <m/>
    <m/>
    <m/>
    <m/>
    <m/>
    <m/>
    <m/>
  </r>
  <r>
    <n v="743"/>
    <d v="2025-02-06T00:00:00"/>
    <x v="0"/>
    <n v="9518497649"/>
    <n v="3"/>
    <s v="9518497649-3"/>
    <s v="No Priority"/>
    <x v="0"/>
    <m/>
    <x v="3"/>
    <x v="0"/>
    <x v="0"/>
    <m/>
    <x v="0"/>
    <m/>
    <m/>
    <m/>
    <s v="East"/>
    <s v="TATANAGAR"/>
    <x v="2"/>
    <x v="5"/>
    <x v="5"/>
    <x v="257"/>
    <s v="GP COIL SOFT-TSBXGP-T1GP-0.6X1250"/>
    <s v="Z80"/>
    <s v=""/>
    <n v="4"/>
    <n v="12"/>
    <m/>
    <x v="7"/>
    <x v="13"/>
    <s v="T1GP"/>
    <x v="20"/>
    <x v="0"/>
    <x v="0"/>
    <n v="29"/>
    <n v="0"/>
    <n v="29"/>
    <n v="29"/>
    <n v="0"/>
    <n v="29"/>
    <n v="0"/>
    <n v="0"/>
    <n v="0"/>
    <n v="0"/>
    <n v="0"/>
    <n v="0"/>
    <n v="0"/>
    <n v="0"/>
    <n v="0"/>
    <n v="0"/>
    <n v="0"/>
    <n v="0"/>
    <n v="0"/>
    <n v="0"/>
    <n v="0"/>
    <n v="0"/>
    <n v="0"/>
    <n v="0"/>
    <n v="0"/>
    <n v="0"/>
    <n v="0"/>
    <n v="29"/>
    <n v="29"/>
    <m/>
    <n v="0"/>
    <n v="0"/>
    <n v="0"/>
    <n v="0"/>
    <n v="0"/>
    <n v="0"/>
    <n v="0"/>
    <n v="0"/>
    <n v="0"/>
    <n v="0"/>
    <n v="0"/>
    <n v="0"/>
    <n v="0"/>
    <n v="0"/>
    <m/>
    <m/>
    <m/>
    <m/>
    <m/>
    <m/>
    <m/>
    <m/>
    <m/>
    <m/>
    <m/>
    <m/>
    <m/>
    <m/>
    <m/>
    <m/>
    <m/>
    <m/>
    <m/>
    <m/>
    <m/>
    <m/>
    <m/>
    <m/>
    <m/>
    <m/>
    <m/>
    <m/>
    <m/>
    <m/>
    <m/>
    <m/>
    <m/>
    <m/>
  </r>
  <r>
    <n v="744"/>
    <d v="2025-04-05T00:00:00"/>
    <x v="0"/>
    <n v="9518671154"/>
    <n v="1"/>
    <s v="9518671154-1"/>
    <s v="May'25"/>
    <x v="0"/>
    <m/>
    <x v="2"/>
    <x v="3"/>
    <x v="2"/>
    <m/>
    <x v="1"/>
    <m/>
    <m/>
    <m/>
    <s v="TBSPL"/>
    <s v="RAJASTHAN"/>
    <x v="2"/>
    <x v="71"/>
    <x v="15"/>
    <x v="255"/>
    <s v="PPGL C HARD Y550PL HPL6 0.400X1220"/>
    <s v="AZ150"/>
    <s v="NUVO BLUE TSL 1903"/>
    <n v="3"/>
    <n v="5"/>
    <m/>
    <x v="3"/>
    <x v="3"/>
    <s v="HPL6"/>
    <x v="2"/>
    <x v="1"/>
    <x v="0"/>
    <n v="28"/>
    <n v="0"/>
    <n v="28"/>
    <n v="-0.89"/>
    <n v="0"/>
    <n v="28"/>
    <n v="0"/>
    <n v="0"/>
    <n v="0"/>
    <n v="0"/>
    <n v="0"/>
    <n v="0"/>
    <n v="0"/>
    <n v="28.19"/>
    <n v="0"/>
    <n v="0"/>
    <n v="0"/>
    <n v="0"/>
    <n v="0"/>
    <n v="0"/>
    <n v="0"/>
    <n v="0"/>
    <n v="0"/>
    <n v="0"/>
    <n v="0"/>
    <n v="28.19"/>
    <n v="28.19"/>
    <n v="0"/>
    <n v="28.19"/>
    <m/>
    <n v="0"/>
    <n v="28"/>
    <n v="0"/>
    <n v="28"/>
    <n v="0"/>
    <n v="0"/>
    <n v="0"/>
    <n v="28"/>
    <n v="0"/>
    <n v="28"/>
    <n v="0"/>
    <n v="0"/>
    <n v="0"/>
    <n v="0"/>
    <m/>
    <m/>
    <m/>
    <m/>
    <m/>
    <m/>
    <m/>
    <m/>
    <m/>
    <m/>
    <m/>
    <m/>
    <m/>
    <m/>
    <m/>
    <m/>
    <m/>
    <m/>
    <m/>
    <m/>
    <m/>
    <m/>
    <m/>
    <m/>
    <m/>
    <m/>
    <m/>
    <m/>
    <m/>
    <m/>
    <m/>
    <m/>
    <m/>
    <m/>
  </r>
  <r>
    <n v="744"/>
    <d v="2025-04-05T00:00:00"/>
    <x v="0"/>
    <n v="9518671154"/>
    <n v="2"/>
    <s v="9518671154-2"/>
    <s v="May'25"/>
    <x v="0"/>
    <m/>
    <x v="2"/>
    <x v="3"/>
    <x v="2"/>
    <m/>
    <x v="1"/>
    <m/>
    <m/>
    <m/>
    <s v="TBSPL"/>
    <s v="RAJASTHAN"/>
    <x v="2"/>
    <x v="71"/>
    <x v="15"/>
    <x v="255"/>
    <s v="PPGL C HARD Y550PL HPL6 0.400X1220"/>
    <s v="AZ150"/>
    <s v="ASIAN WHITE TSL 1901"/>
    <n v="3"/>
    <n v="5"/>
    <m/>
    <x v="3"/>
    <x v="3"/>
    <s v="HPL6"/>
    <x v="2"/>
    <x v="1"/>
    <x v="0"/>
    <n v="28"/>
    <n v="0"/>
    <n v="28"/>
    <n v="0.24"/>
    <n v="0"/>
    <n v="28"/>
    <n v="0"/>
    <n v="0"/>
    <n v="0"/>
    <n v="0"/>
    <n v="0"/>
    <n v="0"/>
    <n v="0"/>
    <n v="0"/>
    <n v="0"/>
    <n v="0"/>
    <n v="0"/>
    <n v="0"/>
    <n v="0"/>
    <n v="0"/>
    <n v="0"/>
    <n v="0"/>
    <n v="0"/>
    <n v="0"/>
    <n v="0"/>
    <n v="0"/>
    <n v="0"/>
    <n v="0"/>
    <n v="0"/>
    <m/>
    <n v="0"/>
    <n v="28"/>
    <n v="0"/>
    <n v="0"/>
    <n v="0"/>
    <n v="28"/>
    <n v="0"/>
    <n v="28"/>
    <n v="0"/>
    <n v="0"/>
    <n v="0"/>
    <n v="28"/>
    <n v="0"/>
    <n v="0"/>
    <m/>
    <m/>
    <m/>
    <m/>
    <m/>
    <m/>
    <m/>
    <m/>
    <m/>
    <m/>
    <m/>
    <m/>
    <m/>
    <m/>
    <m/>
    <m/>
    <m/>
    <m/>
    <m/>
    <m/>
    <m/>
    <m/>
    <m/>
    <m/>
    <m/>
    <m/>
    <m/>
    <m/>
    <m/>
    <m/>
    <m/>
    <m/>
    <m/>
    <m/>
  </r>
  <r>
    <n v="744"/>
    <d v="2025-03-29T00:00:00"/>
    <x v="0"/>
    <n v="9518653378"/>
    <n v="1"/>
    <s v="9518653378-1"/>
    <s v="May'25"/>
    <x v="0"/>
    <m/>
    <x v="2"/>
    <x v="3"/>
    <x v="2"/>
    <m/>
    <x v="1"/>
    <m/>
    <m/>
    <m/>
    <s v="TBSPL"/>
    <s v="RAJASTHAN"/>
    <x v="2"/>
    <x v="71"/>
    <x v="15"/>
    <x v="258"/>
    <s v="PPGL C HARD Y550PL HPL6 0.430X1220"/>
    <s v="AZ150"/>
    <s v="ASIAN WHITE TSL 1901"/>
    <n v="3"/>
    <n v="5"/>
    <m/>
    <x v="3"/>
    <x v="3"/>
    <s v="HPL6"/>
    <x v="25"/>
    <x v="1"/>
    <x v="0"/>
    <n v="56"/>
    <n v="0"/>
    <n v="56"/>
    <n v="2"/>
    <n v="0"/>
    <n v="53.99"/>
    <n v="0"/>
    <n v="0"/>
    <n v="0"/>
    <n v="0"/>
    <n v="0"/>
    <n v="0"/>
    <n v="0"/>
    <n v="0"/>
    <n v="0"/>
    <n v="18.27"/>
    <n v="0"/>
    <n v="0"/>
    <n v="0"/>
    <n v="0"/>
    <n v="0"/>
    <n v="0"/>
    <n v="0"/>
    <n v="9.51"/>
    <n v="0"/>
    <n v="27.78"/>
    <n v="27.78"/>
    <n v="0"/>
    <n v="27.78"/>
    <m/>
    <n v="0"/>
    <n v="53.99"/>
    <n v="0"/>
    <n v="0"/>
    <n v="0"/>
    <n v="53.99"/>
    <n v="0"/>
    <n v="53.99"/>
    <n v="0"/>
    <n v="0"/>
    <n v="0"/>
    <n v="53.99"/>
    <n v="0"/>
    <n v="0"/>
    <m/>
    <m/>
    <m/>
    <m/>
    <m/>
    <m/>
    <m/>
    <m/>
    <m/>
    <m/>
    <m/>
    <m/>
    <m/>
    <m/>
    <m/>
    <m/>
    <m/>
    <m/>
    <m/>
    <m/>
    <m/>
    <m/>
    <m/>
    <m/>
    <m/>
    <m/>
    <m/>
    <m/>
    <m/>
    <m/>
    <m/>
    <m/>
    <m/>
    <m/>
  </r>
  <r>
    <n v="744"/>
    <d v="2025-03-29T00:00:00"/>
    <x v="0"/>
    <n v="9518653378"/>
    <n v="2"/>
    <s v="9518653378-2"/>
    <s v="Stocks"/>
    <x v="0"/>
    <m/>
    <x v="2"/>
    <x v="3"/>
    <x v="2"/>
    <m/>
    <x v="1"/>
    <m/>
    <m/>
    <m/>
    <s v="TBSPL"/>
    <s v="RAJASTHAN"/>
    <x v="2"/>
    <x v="71"/>
    <x v="15"/>
    <x v="258"/>
    <s v="PPGL C HARD Y550PL HPL6 0.430X1220"/>
    <s v="AZ150"/>
    <s v="NG SMART GREY TSL 1905"/>
    <n v="3"/>
    <n v="5"/>
    <m/>
    <x v="3"/>
    <x v="3"/>
    <s v="HPL6"/>
    <x v="25"/>
    <x v="1"/>
    <x v="0"/>
    <n v="28"/>
    <n v="0"/>
    <n v="28"/>
    <n v="28"/>
    <n v="20.79"/>
    <n v="0.94"/>
    <n v="0"/>
    <n v="0"/>
    <n v="0"/>
    <n v="0"/>
    <n v="0"/>
    <n v="0"/>
    <n v="0"/>
    <n v="0"/>
    <n v="0"/>
    <n v="7.21"/>
    <n v="0"/>
    <n v="0"/>
    <n v="0"/>
    <n v="0"/>
    <n v="0"/>
    <n v="0"/>
    <n v="0"/>
    <n v="0"/>
    <n v="0"/>
    <n v="7.21"/>
    <n v="7.21"/>
    <n v="0"/>
    <n v="7.21"/>
    <m/>
    <n v="4.8449999999999998"/>
    <n v="0"/>
    <n v="0"/>
    <n v="0"/>
    <n v="0"/>
    <n v="0"/>
    <n v="0"/>
    <n v="4.8449999999999998"/>
    <n v="4.8449999999999998"/>
    <n v="0"/>
    <n v="0"/>
    <n v="0"/>
    <n v="0"/>
    <n v="0"/>
    <m/>
    <m/>
    <m/>
    <m/>
    <m/>
    <m/>
    <m/>
    <m/>
    <m/>
    <m/>
    <m/>
    <m/>
    <m/>
    <m/>
    <m/>
    <m/>
    <m/>
    <m/>
    <m/>
    <m/>
    <m/>
    <m/>
    <m/>
    <m/>
    <m/>
    <m/>
    <m/>
    <m/>
    <m/>
    <m/>
    <m/>
    <m/>
    <m/>
    <m/>
  </r>
  <r>
    <n v="744"/>
    <d v="2025-03-31T00:00:00"/>
    <x v="0"/>
    <n v="9518660506"/>
    <n v="1"/>
    <s v="9518660506-1"/>
    <s v="Stocks"/>
    <x v="0"/>
    <m/>
    <x v="2"/>
    <x v="3"/>
    <x v="2"/>
    <m/>
    <x v="1"/>
    <m/>
    <m/>
    <m/>
    <s v="TBSPL"/>
    <s v="RAJASTHAN"/>
    <x v="2"/>
    <x v="71"/>
    <x v="15"/>
    <x v="258"/>
    <s v="PPGL C HARD Y550PL HPL6 0.430X1220"/>
    <s v="AZ150"/>
    <s v="NUVO BLUE TSL 1903"/>
    <n v="3"/>
    <n v="5"/>
    <m/>
    <x v="3"/>
    <x v="3"/>
    <s v="HPL6"/>
    <x v="25"/>
    <x v="1"/>
    <x v="0"/>
    <n v="56"/>
    <n v="22.98"/>
    <n v="33.020000000000003"/>
    <n v="1.68"/>
    <n v="0"/>
    <n v="1.4550000000000001"/>
    <n v="0"/>
    <n v="0"/>
    <n v="0"/>
    <n v="0"/>
    <n v="0"/>
    <n v="0"/>
    <n v="0"/>
    <n v="0"/>
    <n v="0"/>
    <n v="4.5350000000000001"/>
    <n v="0"/>
    <n v="0"/>
    <n v="0"/>
    <n v="0"/>
    <n v="0"/>
    <n v="0"/>
    <n v="0"/>
    <n v="5.98"/>
    <n v="0"/>
    <n v="10.515000000000001"/>
    <n v="10.515000000000001"/>
    <n v="0"/>
    <n v="10.515000000000001"/>
    <m/>
    <n v="31.565000000000001"/>
    <n v="0"/>
    <n v="0"/>
    <n v="0"/>
    <n v="0"/>
    <n v="0"/>
    <n v="0"/>
    <n v="31.565000000000001"/>
    <n v="31.565000000000001"/>
    <n v="0"/>
    <n v="0"/>
    <n v="0"/>
    <n v="0"/>
    <n v="0"/>
    <m/>
    <m/>
    <m/>
    <m/>
    <m/>
    <m/>
    <m/>
    <m/>
    <m/>
    <m/>
    <m/>
    <m/>
    <m/>
    <m/>
    <m/>
    <m/>
    <m/>
    <m/>
    <m/>
    <m/>
    <m/>
    <m/>
    <m/>
    <m/>
    <m/>
    <m/>
    <m/>
    <m/>
    <m/>
    <m/>
    <m/>
    <m/>
    <m/>
    <m/>
  </r>
  <r>
    <n v="744"/>
    <d v="2025-03-29T00:00:00"/>
    <x v="0"/>
    <n v="9518653307"/>
    <n v="1"/>
    <s v="9518653307-1"/>
    <s v="No Priority"/>
    <x v="0"/>
    <m/>
    <x v="2"/>
    <x v="3"/>
    <x v="2"/>
    <m/>
    <x v="0"/>
    <m/>
    <m/>
    <m/>
    <s v="TBSPL"/>
    <s v="RAJASTHAN"/>
    <x v="2"/>
    <x v="71"/>
    <x v="15"/>
    <x v="192"/>
    <s v="PPGL C Y550 D0C7 0.43BMT(0.47TPT)X1220"/>
    <s v="aZ70"/>
    <s v="NUVO BLUE TSL 1903"/>
    <n v="3"/>
    <n v="5"/>
    <m/>
    <x v="3"/>
    <x v="3"/>
    <s v="D0C7"/>
    <x v="25"/>
    <x v="1"/>
    <x v="0"/>
    <n v="56"/>
    <n v="0"/>
    <n v="56"/>
    <n v="0.5"/>
    <n v="0"/>
    <n v="2.9449999999999998"/>
    <n v="0"/>
    <n v="0"/>
    <n v="0"/>
    <n v="0"/>
    <n v="0"/>
    <n v="0"/>
    <n v="0"/>
    <n v="0"/>
    <n v="0"/>
    <n v="0"/>
    <n v="0"/>
    <n v="0"/>
    <n v="0"/>
    <n v="0"/>
    <n v="0"/>
    <n v="0"/>
    <n v="0"/>
    <n v="0"/>
    <n v="0"/>
    <n v="0"/>
    <n v="0"/>
    <n v="0"/>
    <n v="0"/>
    <m/>
    <n v="0"/>
    <n v="0"/>
    <n v="0"/>
    <n v="0"/>
    <n v="0"/>
    <n v="0"/>
    <n v="0"/>
    <n v="0"/>
    <n v="0"/>
    <n v="0"/>
    <n v="0"/>
    <n v="0"/>
    <n v="0"/>
    <n v="0"/>
    <m/>
    <m/>
    <m/>
    <m/>
    <m/>
    <m/>
    <m/>
    <m/>
    <m/>
    <m/>
    <m/>
    <m/>
    <m/>
    <m/>
    <m/>
    <m/>
    <m/>
    <m/>
    <m/>
    <m/>
    <m/>
    <m/>
    <m/>
    <m/>
    <m/>
    <m/>
    <m/>
    <m/>
    <m/>
    <m/>
    <m/>
    <m/>
    <m/>
    <m/>
  </r>
  <r>
    <n v="742"/>
    <d v="2025-03-31T00:00:00"/>
    <x v="0"/>
    <n v="9518661095"/>
    <n v="1"/>
    <s v="9518661095-1"/>
    <s v="No Priority"/>
    <x v="0"/>
    <m/>
    <x v="1"/>
    <x v="11"/>
    <x v="0"/>
    <m/>
    <x v="0"/>
    <m/>
    <m/>
    <s v="Maharashtra"/>
    <s v="West"/>
    <s v="BOMBAY"/>
    <x v="2"/>
    <x v="0"/>
    <x v="0"/>
    <x v="259"/>
    <s v="CRCA COIL TATXXD AH03 0.900X1320"/>
    <s v=" "/>
    <s v=""/>
    <n v="10"/>
    <n v="15"/>
    <m/>
    <x v="1"/>
    <x v="2"/>
    <s v="AH03"/>
    <x v="13"/>
    <x v="9"/>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3"/>
    <d v="2025-03-21T00:00:00"/>
    <x v="0"/>
    <n v="9518620626"/>
    <n v="1"/>
    <s v="9518620626-1"/>
    <s v="No Priority"/>
    <x v="0"/>
    <m/>
    <x v="3"/>
    <x v="0"/>
    <x v="0"/>
    <m/>
    <x v="0"/>
    <m/>
    <m/>
    <m/>
    <s v="East"/>
    <s v="TATANAGAR"/>
    <x v="2"/>
    <x v="5"/>
    <x v="5"/>
    <x v="260"/>
    <s v="GP COIL SOFT-TSBXGP-N1GP-0.6X900"/>
    <s v="Z80"/>
    <s v=""/>
    <n v="4"/>
    <n v="12"/>
    <m/>
    <x v="7"/>
    <x v="13"/>
    <s v="N1GP"/>
    <x v="2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06T00:00:00"/>
    <x v="0"/>
    <n v="9518497649"/>
    <n v="1"/>
    <s v="9518497649-1"/>
    <s v="No Priority"/>
    <x v="0"/>
    <m/>
    <x v="3"/>
    <x v="0"/>
    <x v="0"/>
    <m/>
    <x v="0"/>
    <m/>
    <m/>
    <m/>
    <s v="East"/>
    <s v="TATANAGAR"/>
    <x v="2"/>
    <x v="5"/>
    <x v="5"/>
    <x v="260"/>
    <s v="GP COIL SOFT-TSBXGP-N1GP-0.6X900"/>
    <s v="Z80"/>
    <s v=""/>
    <n v="4"/>
    <n v="12"/>
    <m/>
    <x v="7"/>
    <x v="13"/>
    <s v="N1GP"/>
    <x v="2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25T00:00:00"/>
    <x v="0"/>
    <n v="9518632689"/>
    <n v="1"/>
    <s v="9518632689-1"/>
    <s v="May'25"/>
    <x v="0"/>
    <m/>
    <x v="4"/>
    <x v="5"/>
    <x v="2"/>
    <m/>
    <x v="1"/>
    <m/>
    <m/>
    <m/>
    <s v="West"/>
    <s v="SANAND"/>
    <x v="2"/>
    <x v="45"/>
    <x v="84"/>
    <x v="253"/>
    <s v="GL COIL HARD  Y550GL H0GL 0.900X1249"/>
    <s v="AZ150"/>
    <s v=""/>
    <n v="10"/>
    <n v="18"/>
    <m/>
    <x v="5"/>
    <x v="7"/>
    <s v="H0GL"/>
    <x v="13"/>
    <x v="24"/>
    <x v="0"/>
    <n v="290"/>
    <n v="266.60000000000002"/>
    <n v="23.4"/>
    <n v="-37.652000000000001"/>
    <n v="0"/>
    <n v="23.4"/>
    <n v="0"/>
    <n v="0"/>
    <n v="0"/>
    <n v="0"/>
    <n v="0"/>
    <n v="0"/>
    <n v="0"/>
    <n v="0.94000000000000006"/>
    <n v="0"/>
    <n v="0"/>
    <n v="0"/>
    <n v="0"/>
    <n v="0"/>
    <n v="0"/>
    <n v="0"/>
    <n v="0"/>
    <n v="0"/>
    <n v="0"/>
    <n v="0"/>
    <n v="0.94000000000000006"/>
    <n v="0.94000000000000006"/>
    <n v="0"/>
    <n v="0.94000000000000006"/>
    <m/>
    <n v="12.37"/>
    <n v="23.4"/>
    <n v="0"/>
    <n v="0"/>
    <n v="0"/>
    <n v="0"/>
    <n v="23.4"/>
    <n v="35.769999999999996"/>
    <n v="0"/>
    <n v="0"/>
    <n v="0"/>
    <n v="0"/>
    <n v="35.769999999999996"/>
    <n v="0"/>
    <m/>
    <m/>
    <m/>
    <m/>
    <m/>
    <m/>
    <m/>
    <m/>
    <m/>
    <m/>
    <m/>
    <m/>
    <m/>
    <m/>
    <m/>
    <m/>
    <m/>
    <m/>
    <m/>
    <m/>
    <m/>
    <m/>
    <m/>
    <m/>
    <m/>
    <m/>
    <m/>
    <m/>
    <m/>
    <m/>
    <m/>
    <m/>
    <m/>
    <m/>
  </r>
  <r>
    <n v="742"/>
    <d v="2025-04-02T00:00:00"/>
    <x v="0"/>
    <n v="9518665413"/>
    <n v="2"/>
    <s v="9518665413-2"/>
    <s v="May'25"/>
    <x v="0"/>
    <s v="Yes"/>
    <x v="1"/>
    <x v="2"/>
    <x v="0"/>
    <m/>
    <x v="1"/>
    <m/>
    <m/>
    <m/>
    <s v="East"/>
    <s v="GUWAHATI"/>
    <x v="2"/>
    <x v="25"/>
    <x v="24"/>
    <x v="182"/>
    <s v="CRCA SHEET TSBCRC SR15 1.200X1250X2500"/>
    <s v=" "/>
    <s v=""/>
    <n v="2"/>
    <n v="3"/>
    <m/>
    <x v="2"/>
    <x v="4"/>
    <s v="SR15"/>
    <x v="19"/>
    <x v="0"/>
    <x v="3"/>
    <n v="24"/>
    <n v="0"/>
    <n v="24"/>
    <n v="24"/>
    <n v="24"/>
    <n v="21.445"/>
    <n v="0"/>
    <n v="0"/>
    <n v="0"/>
    <n v="0"/>
    <n v="0"/>
    <n v="0"/>
    <n v="0"/>
    <n v="0"/>
    <n v="0"/>
    <n v="0"/>
    <n v="0"/>
    <n v="0"/>
    <n v="0"/>
    <n v="0"/>
    <n v="0"/>
    <n v="0"/>
    <n v="0"/>
    <n v="0"/>
    <n v="0"/>
    <n v="0"/>
    <n v="0"/>
    <n v="0"/>
    <n v="0"/>
    <m/>
    <n v="0"/>
    <n v="21.445"/>
    <n v="0"/>
    <n v="0"/>
    <n v="21.445"/>
    <n v="0"/>
    <n v="0"/>
    <n v="21.445"/>
    <n v="0"/>
    <n v="0"/>
    <n v="21.445"/>
    <n v="0"/>
    <n v="0"/>
    <n v="0"/>
    <m/>
    <m/>
    <m/>
    <m/>
    <m/>
    <m/>
    <m/>
    <m/>
    <m/>
    <m/>
    <m/>
    <m/>
    <m/>
    <m/>
    <m/>
    <m/>
    <m/>
    <m/>
    <m/>
    <m/>
    <m/>
    <m/>
    <m/>
    <m/>
    <m/>
    <m/>
    <m/>
    <m/>
    <m/>
    <m/>
    <m/>
    <m/>
    <m/>
    <m/>
  </r>
  <r>
    <n v="744"/>
    <d v="2025-04-15T00:00:00"/>
    <x v="0"/>
    <n v="9518695426"/>
    <n v="1"/>
    <s v="9518695426-1"/>
    <s v="No Priority"/>
    <x v="0"/>
    <s v="Yes"/>
    <x v="2"/>
    <x v="3"/>
    <x v="2"/>
    <m/>
    <x v="0"/>
    <m/>
    <m/>
    <m/>
    <s v="TBSPL"/>
    <s v="RAJASTHAN"/>
    <x v="2"/>
    <x v="71"/>
    <x v="15"/>
    <x v="192"/>
    <s v="PPGL C Y550 D0C7 0.43BMT(0.47TPT)X1220"/>
    <s v="aZ70"/>
    <s v="NGP PEARL GREEN TSL 2213"/>
    <n v="3"/>
    <n v="5"/>
    <m/>
    <x v="3"/>
    <x v="3"/>
    <s v="D0C7"/>
    <x v="25"/>
    <x v="1"/>
    <x v="0"/>
    <n v="140"/>
    <n v="0"/>
    <n v="140"/>
    <n v="140"/>
    <n v="140"/>
    <n v="140"/>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16"/>
    <s v="9518665177-16"/>
    <s v="No Priority"/>
    <x v="0"/>
    <m/>
    <x v="1"/>
    <x v="2"/>
    <x v="0"/>
    <m/>
    <x v="0"/>
    <m/>
    <m/>
    <m/>
    <s v="South"/>
    <s v="COCHIN HARBOUR "/>
    <x v="2"/>
    <x v="9"/>
    <x v="55"/>
    <x v="138"/>
    <s v="CRCA SHEET TATCRC SR16 0.450X1000X1910"/>
    <s v=" "/>
    <s v=""/>
    <n v="0"/>
    <n v="0"/>
    <m/>
    <x v="2"/>
    <x v="1"/>
    <s v="SR16"/>
    <x v="10"/>
    <x v="2"/>
    <x v="5"/>
    <n v="15"/>
    <n v="0"/>
    <n v="15"/>
    <n v="15"/>
    <n v="15"/>
    <n v="15"/>
    <n v="0"/>
    <n v="0"/>
    <n v="0"/>
    <n v="0"/>
    <n v="0"/>
    <n v="0"/>
    <n v="0"/>
    <n v="0"/>
    <n v="0"/>
    <n v="0"/>
    <n v="0"/>
    <n v="0"/>
    <n v="0"/>
    <n v="0"/>
    <n v="0"/>
    <n v="0"/>
    <n v="0"/>
    <n v="0"/>
    <n v="0"/>
    <n v="0"/>
    <n v="0"/>
    <n v="0"/>
    <n v="0"/>
    <m/>
    <n v="0"/>
    <n v="0"/>
    <n v="0"/>
    <n v="0"/>
    <n v="0"/>
    <n v="0"/>
    <n v="0"/>
    <n v="0"/>
    <n v="0"/>
    <n v="0"/>
    <n v="0"/>
    <n v="0"/>
    <n v="0"/>
    <n v="0"/>
    <m/>
    <m/>
    <m/>
    <m/>
    <m/>
    <m/>
    <m/>
    <m/>
    <m/>
    <m/>
    <m/>
    <m/>
    <m/>
    <m/>
    <m/>
    <m/>
    <m/>
    <m/>
    <m/>
    <m/>
    <m/>
    <m/>
    <m/>
    <m/>
    <m/>
    <m/>
    <m/>
    <m/>
    <m/>
    <m/>
    <m/>
    <m/>
    <m/>
    <m/>
  </r>
  <r>
    <n v="744"/>
    <d v="2025-04-09T00:00:00"/>
    <x v="0"/>
    <n v="9518678816"/>
    <n v="1"/>
    <s v="9518678816-1"/>
    <s v="No Priority"/>
    <x v="0"/>
    <s v="Yes"/>
    <x v="2"/>
    <x v="3"/>
    <x v="2"/>
    <m/>
    <x v="0"/>
    <m/>
    <m/>
    <m/>
    <s v="TBSPL"/>
    <s v=" "/>
    <x v="2"/>
    <x v="6"/>
    <x v="6"/>
    <x v="6"/>
    <s v="PPGL C Y550 HPL3 0.42BMT(0.50TPT)X1220"/>
    <s v="AZ150"/>
    <s v="RAL 7037 TSL 460"/>
    <n v="3"/>
    <n v="5"/>
    <m/>
    <x v="3"/>
    <x v="3"/>
    <s v="HPL3"/>
    <x v="3"/>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4"/>
    <d v="2025-04-15T00:00:00"/>
    <x v="0"/>
    <n v="9518695426"/>
    <n v="3"/>
    <s v="9518695426-3"/>
    <s v="No Priority"/>
    <x v="0"/>
    <s v="Yes"/>
    <x v="2"/>
    <x v="3"/>
    <x v="2"/>
    <m/>
    <x v="0"/>
    <m/>
    <m/>
    <m/>
    <s v="TBSPL"/>
    <s v="RAJASTHAN"/>
    <x v="2"/>
    <x v="71"/>
    <x v="15"/>
    <x v="192"/>
    <s v="PPGL C Y550 D0C7 0.43BMT(0.47TPT)X1220"/>
    <s v="aZ70"/>
    <s v="NGP CHERRY RED TSL 2215"/>
    <n v="3"/>
    <n v="5"/>
    <m/>
    <x v="3"/>
    <x v="3"/>
    <s v="D0C7"/>
    <x v="25"/>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2933"/>
    <n v="1"/>
    <s v="9518682933-1"/>
    <s v="Stocks"/>
    <x v="0"/>
    <m/>
    <x v="0"/>
    <x v="0"/>
    <x v="0"/>
    <m/>
    <x v="1"/>
    <m/>
    <m/>
    <m/>
    <s v="East"/>
    <s v="HOWRAH"/>
    <x v="2"/>
    <x v="87"/>
    <x v="0"/>
    <x v="0"/>
    <s v="HR COILS-PO IS 1079 HR2 3.0X1250"/>
    <s v=" "/>
    <s v=""/>
    <n v="13"/>
    <n v="30"/>
    <m/>
    <x v="0"/>
    <x v="0"/>
    <s v="HR99"/>
    <x v="0"/>
    <x v="0"/>
    <x v="0"/>
    <n v="150"/>
    <n v="45.21"/>
    <n v="104.79"/>
    <n v="81.03"/>
    <n v="104.79"/>
    <n v="10.414999999999999"/>
    <n v="0"/>
    <n v="0"/>
    <n v="0"/>
    <n v="0"/>
    <n v="0"/>
    <n v="0"/>
    <n v="0"/>
    <n v="0"/>
    <n v="0"/>
    <n v="0"/>
    <n v="0"/>
    <n v="0"/>
    <n v="0"/>
    <n v="0"/>
    <n v="0"/>
    <n v="0"/>
    <n v="0"/>
    <n v="0"/>
    <n v="0"/>
    <n v="0"/>
    <n v="0"/>
    <n v="0"/>
    <n v="0"/>
    <m/>
    <n v="94.374999999999986"/>
    <n v="0"/>
    <n v="0"/>
    <n v="0"/>
    <n v="0"/>
    <n v="0"/>
    <n v="0"/>
    <n v="94.374999999999986"/>
    <n v="94.374999999999986"/>
    <n v="0"/>
    <n v="0"/>
    <n v="0"/>
    <n v="0"/>
    <n v="0"/>
    <m/>
    <m/>
    <m/>
    <m/>
    <m/>
    <m/>
    <m/>
    <m/>
    <m/>
    <m/>
    <m/>
    <m/>
    <m/>
    <m/>
    <m/>
    <m/>
    <m/>
    <m/>
    <m/>
    <m/>
    <m/>
    <m/>
    <m/>
    <m/>
    <m/>
    <m/>
    <m/>
    <m/>
    <m/>
    <m/>
    <m/>
    <m/>
    <m/>
    <m/>
  </r>
  <r>
    <n v="742"/>
    <d v="2025-04-10T00:00:00"/>
    <x v="0"/>
    <n v="9518682933"/>
    <n v="2"/>
    <s v="9518682933-2"/>
    <s v="May'25"/>
    <x v="0"/>
    <m/>
    <x v="0"/>
    <x v="0"/>
    <x v="0"/>
    <m/>
    <x v="1"/>
    <m/>
    <m/>
    <m/>
    <s v="East"/>
    <s v="HOWRAH"/>
    <x v="2"/>
    <x v="87"/>
    <x v="0"/>
    <x v="197"/>
    <s v="HR COILS-PO IS 1079 HR2 2.50X1250"/>
    <s v=" "/>
    <s v=""/>
    <n v="13"/>
    <n v="30"/>
    <m/>
    <x v="0"/>
    <x v="0"/>
    <s v="HR99"/>
    <x v="38"/>
    <x v="0"/>
    <x v="0"/>
    <n v="75"/>
    <n v="0"/>
    <n v="75"/>
    <n v="75"/>
    <n v="75"/>
    <n v="75"/>
    <n v="0"/>
    <n v="0"/>
    <n v="0"/>
    <n v="0"/>
    <n v="0"/>
    <n v="0"/>
    <n v="0"/>
    <n v="0"/>
    <n v="0"/>
    <n v="0"/>
    <n v="0"/>
    <n v="0"/>
    <n v="0"/>
    <n v="0"/>
    <n v="0"/>
    <n v="0"/>
    <n v="0"/>
    <n v="0"/>
    <n v="0"/>
    <n v="0"/>
    <n v="0"/>
    <n v="0"/>
    <n v="0"/>
    <m/>
    <n v="0"/>
    <n v="75"/>
    <n v="0"/>
    <n v="75"/>
    <n v="0"/>
    <n v="0"/>
    <n v="0"/>
    <n v="75"/>
    <n v="0"/>
    <n v="75"/>
    <n v="0"/>
    <n v="0"/>
    <n v="0"/>
    <n v="0"/>
    <m/>
    <m/>
    <m/>
    <m/>
    <m/>
    <m/>
    <m/>
    <m/>
    <m/>
    <m/>
    <m/>
    <m/>
    <m/>
    <m/>
    <m/>
    <m/>
    <m/>
    <m/>
    <m/>
    <m/>
    <m/>
    <m/>
    <m/>
    <m/>
    <m/>
    <m/>
    <m/>
    <m/>
    <m/>
    <m/>
    <m/>
    <m/>
    <m/>
    <m/>
  </r>
  <r>
    <n v="742"/>
    <d v="2025-04-10T00:00:00"/>
    <x v="0"/>
    <n v="9518682933"/>
    <n v="3"/>
    <s v="9518682933-3"/>
    <s v="Stocks"/>
    <x v="0"/>
    <m/>
    <x v="0"/>
    <x v="0"/>
    <x v="0"/>
    <m/>
    <x v="1"/>
    <m/>
    <m/>
    <m/>
    <s v="East"/>
    <s v="HOWRAH"/>
    <x v="2"/>
    <x v="87"/>
    <x v="0"/>
    <x v="47"/>
    <s v="HR COILS-PO IS 1079 HR2 2X1250"/>
    <s v=" "/>
    <s v=""/>
    <n v="13"/>
    <n v="30"/>
    <m/>
    <x v="0"/>
    <x v="0"/>
    <s v="HR99"/>
    <x v="15"/>
    <x v="0"/>
    <x v="0"/>
    <n v="75"/>
    <n v="0"/>
    <n v="75"/>
    <n v="58.61"/>
    <n v="30.85"/>
    <n v="9.4849999999999994"/>
    <n v="0"/>
    <n v="0"/>
    <n v="44.15"/>
    <n v="0"/>
    <n v="0"/>
    <n v="0"/>
    <n v="0"/>
    <n v="0"/>
    <n v="0"/>
    <n v="0"/>
    <n v="0"/>
    <n v="0"/>
    <n v="0"/>
    <n v="0"/>
    <n v="0"/>
    <n v="0"/>
    <n v="0"/>
    <n v="0"/>
    <n v="0"/>
    <n v="44.15"/>
    <n v="44.15"/>
    <n v="0"/>
    <n v="44.15"/>
    <m/>
    <n v="65.514999999999986"/>
    <n v="0"/>
    <n v="0"/>
    <n v="0"/>
    <n v="0"/>
    <n v="0"/>
    <n v="0"/>
    <n v="65.514999999999986"/>
    <n v="65.514999999999986"/>
    <n v="0"/>
    <n v="0"/>
    <n v="0"/>
    <n v="0"/>
    <n v="0"/>
    <m/>
    <m/>
    <m/>
    <m/>
    <m/>
    <m/>
    <m/>
    <m/>
    <m/>
    <m/>
    <m/>
    <m/>
    <m/>
    <m/>
    <m/>
    <m/>
    <m/>
    <m/>
    <m/>
    <m/>
    <m/>
    <m/>
    <m/>
    <m/>
    <m/>
    <m/>
    <m/>
    <m/>
    <m/>
    <m/>
    <m/>
    <m/>
    <m/>
    <m/>
  </r>
  <r>
    <n v="743"/>
    <d v="2025-03-15T00:00:00"/>
    <x v="0"/>
    <n v="9518602675"/>
    <n v="1"/>
    <s v="9518602675-1"/>
    <s v="May'25"/>
    <x v="0"/>
    <s v="Yes"/>
    <x v="3"/>
    <x v="9"/>
    <x v="0"/>
    <m/>
    <x v="1"/>
    <m/>
    <m/>
    <m/>
    <s v="East"/>
    <s v="WEST BOKARO"/>
    <x v="2"/>
    <x v="12"/>
    <x v="12"/>
    <x v="51"/>
    <s v="GP COIL SOFT-TATXGP-GK09-0.3X900"/>
    <s v="Z80"/>
    <s v=""/>
    <n v="5"/>
    <n v="15"/>
    <m/>
    <x v="7"/>
    <x v="5"/>
    <s v="GK09"/>
    <x v="11"/>
    <x v="3"/>
    <x v="0"/>
    <n v="105"/>
    <n v="0"/>
    <n v="105"/>
    <n v="105"/>
    <n v="0"/>
    <n v="105"/>
    <n v="0"/>
    <n v="0"/>
    <n v="0"/>
    <n v="0"/>
    <n v="0"/>
    <n v="0"/>
    <n v="0"/>
    <n v="0"/>
    <n v="0"/>
    <n v="0"/>
    <n v="0"/>
    <n v="0"/>
    <n v="0"/>
    <n v="0"/>
    <n v="0"/>
    <n v="0"/>
    <n v="0"/>
    <n v="0"/>
    <n v="0"/>
    <n v="0"/>
    <n v="0"/>
    <n v="105"/>
    <n v="105"/>
    <m/>
    <n v="0"/>
    <n v="105"/>
    <n v="0"/>
    <n v="0"/>
    <n v="0"/>
    <n v="105"/>
    <n v="0"/>
    <n v="105"/>
    <n v="0"/>
    <n v="0"/>
    <n v="0"/>
    <n v="105"/>
    <n v="0"/>
    <n v="0"/>
    <m/>
    <m/>
    <m/>
    <m/>
    <m/>
    <m/>
    <m/>
    <m/>
    <m/>
    <m/>
    <m/>
    <m/>
    <m/>
    <m/>
    <m/>
    <m/>
    <m/>
    <m/>
    <m/>
    <m/>
    <m/>
    <m/>
    <m/>
    <m/>
    <m/>
    <m/>
    <m/>
    <m/>
    <m/>
    <m/>
    <m/>
    <m/>
    <m/>
    <m/>
  </r>
  <r>
    <n v="743"/>
    <d v="2025-03-18T00:00:00"/>
    <x v="0"/>
    <n v="9518610550"/>
    <n v="2"/>
    <s v="9518610550-2"/>
    <s v="No Priority"/>
    <x v="0"/>
    <m/>
    <x v="3"/>
    <x v="9"/>
    <x v="0"/>
    <m/>
    <x v="0"/>
    <m/>
    <m/>
    <m/>
    <s v="North"/>
    <s v="SANHEWAL"/>
    <x v="2"/>
    <x v="84"/>
    <x v="81"/>
    <x v="261"/>
    <s v="GP COIL SOFT-TATXGP-GK09-0.25X900"/>
    <s v="Z80"/>
    <s v=""/>
    <n v="4"/>
    <n v="6"/>
    <m/>
    <x v="7"/>
    <x v="5"/>
    <s v="GK09"/>
    <x v="12"/>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550"/>
    <n v="3"/>
    <s v="9518610550-3"/>
    <s v="No Priority"/>
    <x v="0"/>
    <m/>
    <x v="3"/>
    <x v="9"/>
    <x v="0"/>
    <m/>
    <x v="0"/>
    <m/>
    <m/>
    <m/>
    <s v="North"/>
    <s v="SANHEWAL"/>
    <x v="2"/>
    <x v="84"/>
    <x v="81"/>
    <x v="51"/>
    <s v="GP COIL SOFT-TATXGP-GK09-0.3X900"/>
    <s v="Z80"/>
    <s v=""/>
    <n v="4"/>
    <n v="6"/>
    <m/>
    <x v="7"/>
    <x v="5"/>
    <s v="GK09"/>
    <x v="1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550"/>
    <n v="14"/>
    <s v="9518610550-14"/>
    <s v="No Priority"/>
    <x v="0"/>
    <m/>
    <x v="3"/>
    <x v="9"/>
    <x v="0"/>
    <m/>
    <x v="0"/>
    <m/>
    <m/>
    <m/>
    <s v="North"/>
    <s v="SANHEWAL"/>
    <x v="2"/>
    <x v="84"/>
    <x v="81"/>
    <x v="262"/>
    <s v="GP COIL SOFT-TATXGP-GK09-0.6X1000"/>
    <s v="Z80"/>
    <s v=""/>
    <n v="4"/>
    <n v="6"/>
    <m/>
    <x v="7"/>
    <x v="5"/>
    <s v="GK09"/>
    <x v="20"/>
    <x v="2"/>
    <x v="0"/>
    <n v="46"/>
    <n v="21.785"/>
    <n v="24.215"/>
    <n v="24.215"/>
    <n v="24.215"/>
    <n v="24.215"/>
    <n v="0"/>
    <n v="0"/>
    <n v="0"/>
    <n v="0"/>
    <n v="0"/>
    <n v="0"/>
    <n v="0"/>
    <n v="0"/>
    <n v="0"/>
    <n v="0"/>
    <n v="0"/>
    <n v="0"/>
    <n v="0"/>
    <n v="0"/>
    <n v="0"/>
    <n v="0"/>
    <n v="0"/>
    <n v="0"/>
    <n v="0"/>
    <n v="0"/>
    <n v="0"/>
    <n v="0"/>
    <n v="0"/>
    <m/>
    <n v="0"/>
    <n v="0"/>
    <n v="0"/>
    <n v="0"/>
    <n v="0"/>
    <n v="0"/>
    <n v="0"/>
    <n v="0"/>
    <n v="0"/>
    <n v="0"/>
    <n v="0"/>
    <n v="0"/>
    <n v="0"/>
    <n v="0"/>
    <m/>
    <m/>
    <m/>
    <m/>
    <m/>
    <m/>
    <m/>
    <m/>
    <m/>
    <m/>
    <m/>
    <m/>
    <m/>
    <m/>
    <m/>
    <m/>
    <m/>
    <m/>
    <m/>
    <m/>
    <m/>
    <m/>
    <m/>
    <m/>
    <m/>
    <m/>
    <m/>
    <m/>
    <m/>
    <m/>
    <m/>
    <m/>
    <m/>
    <m/>
  </r>
  <r>
    <n v="743"/>
    <d v="2025-03-11T00:00:00"/>
    <x v="0"/>
    <n v="9518593433"/>
    <n v="5"/>
    <s v="9518593433-5"/>
    <s v="Stocks"/>
    <x v="0"/>
    <s v="Yes"/>
    <x v="3"/>
    <x v="9"/>
    <x v="0"/>
    <m/>
    <x v="1"/>
    <m/>
    <m/>
    <m/>
    <s v="East"/>
    <s v=" "/>
    <x v="2"/>
    <x v="10"/>
    <x v="10"/>
    <x v="121"/>
    <s v="GP COIL SOFT-TATXGP-GK09-0.5X900"/>
    <s v="Z80"/>
    <s v=""/>
    <n v="4"/>
    <n v="12"/>
    <m/>
    <x v="7"/>
    <x v="5"/>
    <s v="GK09"/>
    <x v="1"/>
    <x v="3"/>
    <x v="0"/>
    <n v="84"/>
    <n v="0"/>
    <n v="84"/>
    <n v="84"/>
    <n v="0"/>
    <n v="5.0750000000000002"/>
    <n v="0"/>
    <n v="0"/>
    <n v="0"/>
    <n v="0"/>
    <n v="0"/>
    <n v="0"/>
    <n v="0"/>
    <n v="0"/>
    <n v="0"/>
    <n v="0"/>
    <n v="0"/>
    <n v="0"/>
    <n v="0"/>
    <n v="0"/>
    <n v="0"/>
    <n v="0"/>
    <n v="0"/>
    <n v="0"/>
    <n v="0"/>
    <n v="0"/>
    <n v="0"/>
    <n v="84"/>
    <n v="84"/>
    <m/>
    <n v="9.64"/>
    <n v="0"/>
    <n v="0"/>
    <n v="0"/>
    <n v="0"/>
    <n v="0"/>
    <n v="0"/>
    <n v="9.64"/>
    <n v="9.64"/>
    <n v="0"/>
    <n v="0"/>
    <n v="0"/>
    <n v="0"/>
    <n v="0"/>
    <m/>
    <m/>
    <m/>
    <m/>
    <m/>
    <m/>
    <m/>
    <m/>
    <m/>
    <m/>
    <m/>
    <m/>
    <m/>
    <m/>
    <m/>
    <m/>
    <m/>
    <m/>
    <m/>
    <m/>
    <m/>
    <m/>
    <m/>
    <m/>
    <m/>
    <m/>
    <m/>
    <m/>
    <m/>
    <m/>
    <m/>
    <m/>
    <m/>
    <m/>
  </r>
  <r>
    <n v="743"/>
    <d v="2025-03-17T00:00:00"/>
    <x v="0"/>
    <n v="9518605811"/>
    <n v="1"/>
    <s v="9518605811-1"/>
    <s v="No Priority"/>
    <x v="0"/>
    <m/>
    <x v="3"/>
    <x v="9"/>
    <x v="0"/>
    <m/>
    <x v="0"/>
    <m/>
    <m/>
    <m/>
    <s v="North"/>
    <s v="UTTARKASHI"/>
    <x v="2"/>
    <x v="88"/>
    <x v="85"/>
    <x v="51"/>
    <s v="GP COIL SOFT-TATXGP-GK09-0.3X900"/>
    <s v="Z80"/>
    <s v=""/>
    <n v="5"/>
    <n v="7"/>
    <m/>
    <x v="7"/>
    <x v="5"/>
    <s v="GK09"/>
    <x v="1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7T00:00:00"/>
    <x v="0"/>
    <n v="9518607412"/>
    <n v="1"/>
    <s v="9518607412-1"/>
    <s v="No Priority"/>
    <x v="0"/>
    <m/>
    <x v="3"/>
    <x v="9"/>
    <x v="0"/>
    <m/>
    <x v="0"/>
    <m/>
    <m/>
    <m/>
    <s v="North"/>
    <s v="JAIPUR"/>
    <x v="2"/>
    <x v="83"/>
    <x v="80"/>
    <x v="263"/>
    <s v="GP COIL SOFT-TATXGP-GK09-0.3X1000"/>
    <s v="Z80"/>
    <s v=""/>
    <n v="5"/>
    <n v="7"/>
    <m/>
    <x v="7"/>
    <x v="5"/>
    <s v="GK09"/>
    <x v="11"/>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3"/>
    <d v="2025-03-17T00:00:00"/>
    <x v="0"/>
    <n v="9518607412"/>
    <n v="2"/>
    <s v="9518607412-2"/>
    <s v="No Priority"/>
    <x v="0"/>
    <m/>
    <x v="3"/>
    <x v="9"/>
    <x v="0"/>
    <m/>
    <x v="0"/>
    <m/>
    <m/>
    <m/>
    <s v="North"/>
    <s v="JAIPUR"/>
    <x v="2"/>
    <x v="83"/>
    <x v="80"/>
    <x v="264"/>
    <s v="GP COIL SOFT-TATXGP-GK09-0.35X1000"/>
    <s v="Z80"/>
    <s v=""/>
    <n v="5"/>
    <n v="7"/>
    <m/>
    <x v="7"/>
    <x v="5"/>
    <s v="GK09"/>
    <x v="6"/>
    <x v="2"/>
    <x v="0"/>
    <n v="92"/>
    <n v="0"/>
    <n v="92"/>
    <n v="92"/>
    <n v="92"/>
    <n v="92"/>
    <n v="0"/>
    <n v="0"/>
    <n v="0"/>
    <n v="0"/>
    <n v="0"/>
    <n v="0"/>
    <n v="0"/>
    <n v="0"/>
    <n v="0"/>
    <n v="0"/>
    <n v="0"/>
    <n v="0"/>
    <n v="0"/>
    <n v="0"/>
    <n v="0"/>
    <n v="0"/>
    <n v="0"/>
    <n v="0"/>
    <n v="0"/>
    <n v="0"/>
    <n v="0"/>
    <n v="0"/>
    <n v="0"/>
    <m/>
    <n v="0"/>
    <n v="0"/>
    <n v="0"/>
    <n v="0"/>
    <n v="0"/>
    <n v="0"/>
    <n v="0"/>
    <n v="0"/>
    <n v="0"/>
    <n v="0"/>
    <n v="0"/>
    <n v="0"/>
    <n v="0"/>
    <n v="0"/>
    <m/>
    <m/>
    <m/>
    <m/>
    <m/>
    <m/>
    <m/>
    <m/>
    <m/>
    <m/>
    <m/>
    <m/>
    <m/>
    <m/>
    <m/>
    <m/>
    <m/>
    <m/>
    <m/>
    <m/>
    <m/>
    <m/>
    <m/>
    <m/>
    <m/>
    <m/>
    <m/>
    <m/>
    <m/>
    <m/>
    <m/>
    <m/>
    <m/>
    <m/>
  </r>
  <r>
    <n v="743"/>
    <d v="2025-03-17T00:00:00"/>
    <x v="0"/>
    <n v="9518607412"/>
    <n v="3"/>
    <s v="9518607412-3"/>
    <s v="No Priority"/>
    <x v="0"/>
    <m/>
    <x v="3"/>
    <x v="9"/>
    <x v="0"/>
    <m/>
    <x v="0"/>
    <m/>
    <m/>
    <m/>
    <s v="North"/>
    <s v="JAIPUR"/>
    <x v="2"/>
    <x v="83"/>
    <x v="80"/>
    <x v="232"/>
    <s v="GP COIL SOFT-TATXGP-GK09-0.4X1000"/>
    <s v="Z80"/>
    <s v=""/>
    <n v="5"/>
    <n v="7"/>
    <m/>
    <x v="7"/>
    <x v="5"/>
    <s v="GK09"/>
    <x v="2"/>
    <x v="2"/>
    <x v="0"/>
    <n v="138"/>
    <n v="0"/>
    <n v="138"/>
    <n v="138"/>
    <n v="138"/>
    <n v="138"/>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69316"/>
    <n v="1"/>
    <s v="9518669316-1"/>
    <s v="No Priority"/>
    <x v="0"/>
    <m/>
    <x v="1"/>
    <x v="12"/>
    <x v="0"/>
    <m/>
    <x v="0"/>
    <m/>
    <m/>
    <m/>
    <s v="South"/>
    <s v="YESHWANTHPURA"/>
    <x v="2"/>
    <x v="40"/>
    <x v="0"/>
    <x v="211"/>
    <s v="CRCA COIL TSBSTA EL06 0.500X1170"/>
    <s v=" "/>
    <s v=""/>
    <n v="2"/>
    <n v="30"/>
    <m/>
    <x v="1"/>
    <x v="9"/>
    <s v="EL06"/>
    <x v="1"/>
    <x v="22"/>
    <x v="0"/>
    <n v="216"/>
    <n v="0"/>
    <n v="216"/>
    <n v="216"/>
    <n v="216"/>
    <n v="204.77"/>
    <n v="0"/>
    <n v="0"/>
    <n v="0"/>
    <n v="0"/>
    <n v="0"/>
    <n v="0"/>
    <n v="0"/>
    <n v="0"/>
    <n v="0"/>
    <n v="0"/>
    <n v="0"/>
    <n v="0"/>
    <n v="0"/>
    <n v="0"/>
    <n v="0"/>
    <n v="0"/>
    <n v="0"/>
    <n v="0"/>
    <n v="0"/>
    <n v="0"/>
    <n v="0"/>
    <n v="0"/>
    <n v="0"/>
    <m/>
    <n v="0"/>
    <n v="0"/>
    <n v="0"/>
    <n v="0"/>
    <n v="0"/>
    <n v="0"/>
    <n v="0"/>
    <n v="0"/>
    <n v="0"/>
    <n v="0"/>
    <n v="0"/>
    <n v="0"/>
    <n v="0"/>
    <n v="0"/>
    <m/>
    <m/>
    <m/>
    <m/>
    <m/>
    <m/>
    <m/>
    <m/>
    <m/>
    <m/>
    <m/>
    <m/>
    <m/>
    <m/>
    <m/>
    <m/>
    <m/>
    <m/>
    <m/>
    <m/>
    <m/>
    <m/>
    <m/>
    <m/>
    <m/>
    <m/>
    <m/>
    <m/>
    <m/>
    <m/>
    <m/>
    <m/>
    <m/>
    <m/>
  </r>
  <r>
    <n v="744"/>
    <d v="2025-04-15T00:00:00"/>
    <x v="0"/>
    <n v="9518695456"/>
    <n v="1"/>
    <s v="9518695456-1"/>
    <s v="May'25"/>
    <x v="0"/>
    <s v="Yes"/>
    <x v="2"/>
    <x v="3"/>
    <x v="2"/>
    <m/>
    <x v="1"/>
    <m/>
    <m/>
    <m/>
    <s v="TBSPL"/>
    <s v="GAMHARIA"/>
    <x v="2"/>
    <x v="15"/>
    <x v="15"/>
    <x v="192"/>
    <s v="PPGL C Y550 D0C7 0.43BMT(0.47TPT)X1220"/>
    <s v="aZ70"/>
    <s v="PASSION RED (NG) TSL 2214"/>
    <n v="3"/>
    <n v="5"/>
    <m/>
    <x v="3"/>
    <x v="3"/>
    <s v="D0C7"/>
    <x v="25"/>
    <x v="1"/>
    <x v="0"/>
    <n v="140"/>
    <n v="0"/>
    <n v="140"/>
    <n v="140"/>
    <n v="140"/>
    <n v="140"/>
    <n v="0"/>
    <n v="0"/>
    <n v="0"/>
    <n v="0"/>
    <n v="0"/>
    <n v="0"/>
    <n v="0"/>
    <n v="0"/>
    <n v="0"/>
    <n v="0"/>
    <n v="0"/>
    <n v="0"/>
    <n v="0"/>
    <n v="0"/>
    <n v="0"/>
    <n v="0"/>
    <n v="0"/>
    <n v="0"/>
    <n v="0"/>
    <n v="0"/>
    <n v="0"/>
    <n v="0"/>
    <n v="0"/>
    <m/>
    <n v="0"/>
    <n v="140"/>
    <n v="0"/>
    <n v="0"/>
    <n v="0"/>
    <n v="140"/>
    <n v="0"/>
    <n v="140"/>
    <n v="0"/>
    <n v="0"/>
    <n v="0"/>
    <n v="140"/>
    <n v="0"/>
    <n v="0"/>
    <m/>
    <m/>
    <m/>
    <m/>
    <m/>
    <m/>
    <m/>
    <m/>
    <m/>
    <m/>
    <m/>
    <m/>
    <m/>
    <m/>
    <m/>
    <m/>
    <m/>
    <m/>
    <m/>
    <m/>
    <m/>
    <m/>
    <m/>
    <m/>
    <m/>
    <m/>
    <m/>
    <m/>
    <m/>
    <m/>
    <m/>
    <m/>
    <m/>
    <m/>
  </r>
  <r>
    <n v="743"/>
    <d v="2025-04-11T00:00:00"/>
    <x v="0"/>
    <n v="9518683949"/>
    <n v="3"/>
    <s v="9518683949-3"/>
    <s v="Stocks"/>
    <x v="0"/>
    <m/>
    <x v="3"/>
    <x v="9"/>
    <x v="0"/>
    <m/>
    <x v="1"/>
    <m/>
    <m/>
    <m/>
    <s v="East"/>
    <s v="WEST BENGAL"/>
    <x v="2"/>
    <x v="36"/>
    <x v="36"/>
    <x v="55"/>
    <s v="GP COIL SOFT-TATXGP-GK09-0.35X900"/>
    <s v="Z80"/>
    <s v=""/>
    <n v="5"/>
    <n v="15"/>
    <m/>
    <x v="7"/>
    <x v="5"/>
    <s v="GK09"/>
    <x v="6"/>
    <x v="3"/>
    <x v="0"/>
    <n v="63"/>
    <n v="0"/>
    <n v="63"/>
    <n v="63"/>
    <n v="9.654999999999994"/>
    <n v="43.26"/>
    <n v="0"/>
    <n v="0"/>
    <n v="0"/>
    <n v="0"/>
    <n v="0"/>
    <n v="0"/>
    <n v="53.345000000000006"/>
    <n v="0"/>
    <n v="0"/>
    <n v="0"/>
    <n v="0"/>
    <n v="0"/>
    <n v="0"/>
    <n v="0"/>
    <n v="0"/>
    <n v="0"/>
    <n v="0"/>
    <n v="0"/>
    <n v="0"/>
    <n v="53.345000000000006"/>
    <n v="53.345000000000006"/>
    <n v="0"/>
    <n v="53.345000000000006"/>
    <m/>
    <n v="19.740000000000002"/>
    <n v="43.26"/>
    <n v="43.26"/>
    <n v="0"/>
    <n v="0"/>
    <n v="0"/>
    <n v="0"/>
    <n v="63"/>
    <n v="0"/>
    <n v="63"/>
    <n v="0"/>
    <n v="0"/>
    <n v="0"/>
    <n v="0"/>
    <m/>
    <m/>
    <m/>
    <m/>
    <m/>
    <m/>
    <m/>
    <m/>
    <m/>
    <m/>
    <m/>
    <m/>
    <m/>
    <m/>
    <m/>
    <m/>
    <m/>
    <m/>
    <m/>
    <m/>
    <m/>
    <m/>
    <m/>
    <m/>
    <m/>
    <m/>
    <m/>
    <m/>
    <m/>
    <m/>
    <m/>
    <m/>
    <m/>
    <m/>
  </r>
  <r>
    <n v="744"/>
    <d v="2025-04-15T00:00:00"/>
    <x v="0"/>
    <n v="9518693957"/>
    <n v="1"/>
    <s v="9518693957-1"/>
    <s v="May'25"/>
    <x v="0"/>
    <s v="Yes"/>
    <x v="2"/>
    <x v="3"/>
    <x v="2"/>
    <m/>
    <x v="1"/>
    <m/>
    <m/>
    <m/>
    <s v="TBSPL"/>
    <s v=" "/>
    <x v="2"/>
    <x v="6"/>
    <x v="6"/>
    <x v="6"/>
    <s v="PPGL C Y550 HPL3 0.42BMT(0.50TPT)X1220"/>
    <s v="AZ150"/>
    <s v="ENVIRONMENTAL GREEN TSL 199"/>
    <n v="3"/>
    <n v="5"/>
    <m/>
    <x v="3"/>
    <x v="3"/>
    <s v="HPL3"/>
    <x v="3"/>
    <x v="1"/>
    <x v="0"/>
    <n v="28"/>
    <n v="0"/>
    <n v="28"/>
    <n v="28"/>
    <n v="28"/>
    <n v="28"/>
    <n v="0"/>
    <n v="0"/>
    <n v="0"/>
    <n v="0"/>
    <n v="0"/>
    <n v="0"/>
    <n v="0"/>
    <n v="0"/>
    <n v="0"/>
    <n v="0"/>
    <n v="0"/>
    <n v="0"/>
    <n v="0"/>
    <n v="0"/>
    <n v="0"/>
    <n v="0"/>
    <n v="0"/>
    <n v="0"/>
    <n v="0"/>
    <n v="0"/>
    <n v="0"/>
    <n v="0"/>
    <n v="0"/>
    <m/>
    <n v="0"/>
    <n v="28"/>
    <n v="0"/>
    <n v="0"/>
    <n v="0"/>
    <n v="0"/>
    <n v="28"/>
    <n v="0"/>
    <n v="0"/>
    <n v="0"/>
    <n v="0"/>
    <n v="0"/>
    <n v="0"/>
    <n v="28"/>
    <m/>
    <m/>
    <m/>
    <m/>
    <m/>
    <m/>
    <m/>
    <m/>
    <m/>
    <m/>
    <m/>
    <m/>
    <m/>
    <m/>
    <m/>
    <m/>
    <m/>
    <m/>
    <m/>
    <m/>
    <m/>
    <m/>
    <m/>
    <m/>
    <m/>
    <m/>
    <m/>
    <m/>
    <m/>
    <m/>
    <m/>
    <m/>
    <m/>
    <m/>
  </r>
  <r>
    <n v="742"/>
    <d v="2025-04-19T00:00:00"/>
    <x v="0"/>
    <n v="9518704886"/>
    <n v="2"/>
    <s v="9518704886-2"/>
    <s v="No Priority"/>
    <x v="0"/>
    <m/>
    <x v="1"/>
    <x v="1"/>
    <x v="0"/>
    <m/>
    <x v="0"/>
    <m/>
    <m/>
    <m/>
    <s v="South"/>
    <s v="YESHWANTHPURA"/>
    <x v="2"/>
    <x v="89"/>
    <x v="86"/>
    <x v="95"/>
    <s v="CRCA COIL-TATXXD-AU03-1.2X1250"/>
    <s v=" "/>
    <s v=""/>
    <n v="10"/>
    <n v="24"/>
    <m/>
    <x v="1"/>
    <x v="2"/>
    <s v="AU03"/>
    <x v="19"/>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3"/>
    <s v="9518692103-3"/>
    <s v="No Priority"/>
    <x v="0"/>
    <m/>
    <x v="3"/>
    <x v="9"/>
    <x v="0"/>
    <m/>
    <x v="0"/>
    <m/>
    <m/>
    <m/>
    <s v="East"/>
    <s v="WEST BOKARO"/>
    <x v="2"/>
    <x v="12"/>
    <x v="12"/>
    <x v="55"/>
    <s v="GP COIL SOFT-TATXGP-GK09-0.35X900"/>
    <s v="Z80"/>
    <s v=""/>
    <n v="4"/>
    <n v="12"/>
    <m/>
    <x v="7"/>
    <x v="5"/>
    <s v="GK09"/>
    <x v="6"/>
    <x v="3"/>
    <x v="0"/>
    <n v="147"/>
    <n v="0"/>
    <n v="147"/>
    <n v="147"/>
    <n v="147"/>
    <n v="147"/>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220"/>
    <n v="12"/>
    <s v="9518692220-12"/>
    <s v="May'25"/>
    <x v="0"/>
    <m/>
    <x v="3"/>
    <x v="14"/>
    <x v="0"/>
    <m/>
    <x v="1"/>
    <m/>
    <m/>
    <m/>
    <s v="East"/>
    <s v=" "/>
    <x v="2"/>
    <x v="10"/>
    <x v="10"/>
    <x v="265"/>
    <s v="GP COIL SOFT-TATXGP-GLK1-0.45X1220"/>
    <s v="Z80"/>
    <s v=""/>
    <n v="4"/>
    <n v="12"/>
    <m/>
    <x v="7"/>
    <x v="5"/>
    <s v="GLK1"/>
    <x v="10"/>
    <x v="1"/>
    <x v="0"/>
    <n v="28"/>
    <n v="0"/>
    <n v="28"/>
    <n v="28"/>
    <n v="28"/>
    <n v="28"/>
    <n v="0"/>
    <n v="0"/>
    <n v="0"/>
    <n v="0"/>
    <n v="0"/>
    <n v="0"/>
    <n v="0"/>
    <n v="0"/>
    <n v="0"/>
    <n v="0"/>
    <n v="0"/>
    <n v="0"/>
    <n v="0"/>
    <n v="0"/>
    <n v="0"/>
    <n v="0"/>
    <n v="0"/>
    <n v="0"/>
    <n v="0"/>
    <n v="0"/>
    <n v="0"/>
    <n v="0"/>
    <n v="0"/>
    <m/>
    <n v="0"/>
    <n v="28"/>
    <n v="0"/>
    <n v="0"/>
    <n v="28"/>
    <n v="0"/>
    <n v="0"/>
    <n v="28"/>
    <n v="0"/>
    <n v="0"/>
    <n v="28"/>
    <n v="0"/>
    <n v="0"/>
    <n v="0"/>
    <m/>
    <m/>
    <m/>
    <m/>
    <m/>
    <m/>
    <m/>
    <m/>
    <m/>
    <m/>
    <m/>
    <m/>
    <m/>
    <m/>
    <m/>
    <m/>
    <m/>
    <m/>
    <m/>
    <m/>
    <m/>
    <m/>
    <m/>
    <m/>
    <m/>
    <m/>
    <m/>
    <m/>
    <m/>
    <m/>
    <m/>
    <m/>
    <m/>
    <m/>
  </r>
  <r>
    <n v="743"/>
    <d v="2025-04-14T00:00:00"/>
    <x v="0"/>
    <n v="9518692220"/>
    <n v="14"/>
    <s v="9518692220-14"/>
    <s v="May'25"/>
    <x v="0"/>
    <m/>
    <x v="3"/>
    <x v="14"/>
    <x v="0"/>
    <n v="1200"/>
    <x v="1"/>
    <m/>
    <m/>
    <m/>
    <s v="East"/>
    <s v=" "/>
    <x v="2"/>
    <x v="10"/>
    <x v="10"/>
    <x v="266"/>
    <s v="GP COIL SOFT-TATXGP-GLK1-0.6X1220"/>
    <s v="Z80"/>
    <s v=""/>
    <n v="4"/>
    <n v="12"/>
    <m/>
    <x v="7"/>
    <x v="5"/>
    <s v="GLK1"/>
    <x v="20"/>
    <x v="1"/>
    <x v="0"/>
    <n v="56"/>
    <n v="0"/>
    <n v="56"/>
    <n v="56"/>
    <n v="56"/>
    <n v="56"/>
    <n v="0"/>
    <n v="0"/>
    <n v="0"/>
    <n v="0"/>
    <n v="0"/>
    <n v="0"/>
    <n v="0"/>
    <n v="0"/>
    <n v="0"/>
    <n v="0"/>
    <n v="0"/>
    <n v="0"/>
    <n v="0"/>
    <n v="0"/>
    <n v="0"/>
    <n v="0"/>
    <n v="0"/>
    <n v="0"/>
    <n v="0"/>
    <n v="0"/>
    <n v="0"/>
    <n v="0"/>
    <n v="0"/>
    <m/>
    <n v="0"/>
    <n v="56"/>
    <n v="0"/>
    <n v="0"/>
    <n v="56"/>
    <n v="0"/>
    <n v="0"/>
    <n v="56"/>
    <n v="0"/>
    <n v="0"/>
    <n v="56"/>
    <n v="0"/>
    <n v="0"/>
    <n v="0"/>
    <m/>
    <m/>
    <m/>
    <m/>
    <m/>
    <m/>
    <m/>
    <m/>
    <m/>
    <m/>
    <m/>
    <m/>
    <m/>
    <m/>
    <m/>
    <m/>
    <m/>
    <m/>
    <m/>
    <m/>
    <m/>
    <m/>
    <m/>
    <m/>
    <m/>
    <m/>
    <m/>
    <m/>
    <m/>
    <m/>
    <m/>
    <m/>
    <m/>
    <m/>
  </r>
  <r>
    <n v="744"/>
    <d v="2025-04-08T00:00:00"/>
    <x v="0"/>
    <n v="9518676905"/>
    <n v="7"/>
    <s v="9518676905-7"/>
    <s v="May'25"/>
    <x v="0"/>
    <m/>
    <x v="2"/>
    <x v="3"/>
    <x v="2"/>
    <m/>
    <x v="1"/>
    <m/>
    <m/>
    <m/>
    <s v="TBSPL"/>
    <s v=" "/>
    <x v="2"/>
    <x v="6"/>
    <x v="6"/>
    <x v="195"/>
    <s v="PPGL C HARD Y550PL D0C9 0.60(TPT)X1220"/>
    <s v="AZ150"/>
    <s v="RAL 9002 TSL 1801"/>
    <n v="3"/>
    <n v="5"/>
    <m/>
    <x v="3"/>
    <x v="3"/>
    <s v="D0C9"/>
    <x v="20"/>
    <x v="1"/>
    <x v="0"/>
    <n v="112"/>
    <n v="0"/>
    <n v="112"/>
    <n v="106.985"/>
    <n v="-11.715000000000003"/>
    <n v="106.97499999999999"/>
    <n v="0"/>
    <n v="115.05"/>
    <n v="0"/>
    <n v="0"/>
    <n v="0"/>
    <n v="0"/>
    <n v="0"/>
    <n v="0"/>
    <n v="0"/>
    <n v="8.6650000000000009"/>
    <n v="0"/>
    <n v="0"/>
    <n v="0"/>
    <n v="0"/>
    <n v="0"/>
    <n v="0"/>
    <n v="0"/>
    <n v="0"/>
    <n v="0"/>
    <n v="123.715"/>
    <n v="123.715"/>
    <n v="0"/>
    <n v="123.715"/>
    <m/>
    <n v="0"/>
    <n v="106.97499999999999"/>
    <n v="106.97499999999999"/>
    <n v="0"/>
    <n v="0"/>
    <n v="0"/>
    <n v="0"/>
    <n v="106.97499999999999"/>
    <n v="0"/>
    <n v="106.97499999999999"/>
    <n v="0"/>
    <n v="0"/>
    <n v="0"/>
    <n v="0"/>
    <m/>
    <m/>
    <m/>
    <m/>
    <m/>
    <m/>
    <m/>
    <m/>
    <m/>
    <m/>
    <m/>
    <m/>
    <m/>
    <m/>
    <m/>
    <m/>
    <m/>
    <m/>
    <m/>
    <m/>
    <m/>
    <m/>
    <m/>
    <m/>
    <m/>
    <m/>
    <m/>
    <m/>
    <m/>
    <m/>
    <m/>
    <m/>
    <m/>
    <m/>
  </r>
  <r>
    <n v="744"/>
    <d v="2025-04-09T00:00:00"/>
    <x v="0"/>
    <n v="9518679911"/>
    <n v="1"/>
    <s v="9518679911-1"/>
    <s v="Stocks"/>
    <x v="0"/>
    <m/>
    <x v="2"/>
    <x v="3"/>
    <x v="2"/>
    <m/>
    <x v="1"/>
    <m/>
    <m/>
    <m/>
    <s v="TBSPL"/>
    <s v=" "/>
    <x v="2"/>
    <x v="6"/>
    <x v="6"/>
    <x v="267"/>
    <s v="PPGL C HARD Y550PL D0C9 0.630X1220"/>
    <s v="AZ150"/>
    <s v="RAL 9002 TSL 1801"/>
    <n v="3"/>
    <n v="5"/>
    <m/>
    <x v="3"/>
    <x v="3"/>
    <s v="D0C9"/>
    <x v="26"/>
    <x v="1"/>
    <x v="0"/>
    <n v="84"/>
    <n v="0"/>
    <n v="84"/>
    <n v="84"/>
    <n v="80.13"/>
    <n v="8.33"/>
    <n v="0"/>
    <n v="0"/>
    <n v="0"/>
    <n v="0"/>
    <n v="0"/>
    <n v="0"/>
    <n v="0"/>
    <n v="0"/>
    <n v="0"/>
    <n v="3.87"/>
    <n v="0"/>
    <n v="0"/>
    <n v="0"/>
    <n v="0"/>
    <n v="0"/>
    <n v="0"/>
    <n v="0"/>
    <n v="0"/>
    <n v="0"/>
    <n v="3.87"/>
    <n v="3.87"/>
    <n v="0"/>
    <n v="3.87"/>
    <m/>
    <n v="23.119999999999997"/>
    <n v="8.33"/>
    <n v="8.33"/>
    <n v="0"/>
    <n v="0"/>
    <n v="0"/>
    <n v="0"/>
    <n v="31.449999999999996"/>
    <n v="0"/>
    <n v="31.449999999999996"/>
    <n v="0"/>
    <n v="0"/>
    <n v="0"/>
    <n v="0"/>
    <m/>
    <m/>
    <m/>
    <m/>
    <m/>
    <m/>
    <m/>
    <m/>
    <m/>
    <m/>
    <m/>
    <m/>
    <m/>
    <m/>
    <m/>
    <m/>
    <m/>
    <m/>
    <m/>
    <m/>
    <m/>
    <m/>
    <m/>
    <m/>
    <m/>
    <m/>
    <m/>
    <m/>
    <m/>
    <m/>
    <m/>
    <m/>
    <m/>
    <m/>
  </r>
  <r>
    <n v="743"/>
    <d v="2025-04-14T00:00:00"/>
    <x v="0"/>
    <n v="9518692103"/>
    <n v="1"/>
    <s v="9518692103-1"/>
    <s v="No Priority"/>
    <x v="0"/>
    <m/>
    <x v="3"/>
    <x v="9"/>
    <x v="0"/>
    <m/>
    <x v="0"/>
    <m/>
    <m/>
    <m/>
    <s v="East"/>
    <s v="WEST BOKARO"/>
    <x v="2"/>
    <x v="12"/>
    <x v="12"/>
    <x v="51"/>
    <s v="GP COIL SOFT-TATXGP-GK09-0.3X900"/>
    <s v="Z80"/>
    <s v=""/>
    <n v="4"/>
    <n v="12"/>
    <m/>
    <x v="7"/>
    <x v="5"/>
    <s v="GK09"/>
    <x v="11"/>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2"/>
    <s v="9518692103-2"/>
    <s v="No Priority"/>
    <x v="0"/>
    <m/>
    <x v="3"/>
    <x v="9"/>
    <x v="0"/>
    <m/>
    <x v="0"/>
    <m/>
    <m/>
    <m/>
    <s v="East"/>
    <s v="WEST BOKARO"/>
    <x v="2"/>
    <x v="12"/>
    <x v="12"/>
    <x v="51"/>
    <s v="GP COIL SOFT-TATXGP-GK09-0.3X900"/>
    <s v="Z80"/>
    <s v=""/>
    <n v="4"/>
    <n v="12"/>
    <m/>
    <x v="7"/>
    <x v="5"/>
    <s v="GK09"/>
    <x v="11"/>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220"/>
    <n v="1"/>
    <s v="9518692220-1"/>
    <s v="No Priority"/>
    <x v="0"/>
    <m/>
    <x v="3"/>
    <x v="9"/>
    <x v="0"/>
    <m/>
    <x v="0"/>
    <m/>
    <m/>
    <m/>
    <s v="East"/>
    <s v=" "/>
    <x v="2"/>
    <x v="10"/>
    <x v="10"/>
    <x v="261"/>
    <s v="GP COIL SOFT-TATXGP-GK09-0.25X900"/>
    <s v="Z80"/>
    <s v=""/>
    <n v="4"/>
    <n v="12"/>
    <m/>
    <x v="7"/>
    <x v="5"/>
    <s v="GK09"/>
    <x v="12"/>
    <x v="3"/>
    <x v="0"/>
    <n v="21"/>
    <n v="0"/>
    <n v="21"/>
    <n v="21"/>
    <n v="0.59999999999999787"/>
    <n v="21"/>
    <n v="0"/>
    <n v="0"/>
    <n v="0"/>
    <n v="0"/>
    <n v="0"/>
    <n v="0"/>
    <n v="0"/>
    <n v="0"/>
    <n v="0"/>
    <n v="0"/>
    <n v="0"/>
    <n v="0"/>
    <n v="0"/>
    <n v="0"/>
    <n v="0"/>
    <n v="0"/>
    <n v="20.400000000000002"/>
    <n v="0"/>
    <n v="0"/>
    <n v="20.400000000000002"/>
    <n v="20.400000000000002"/>
    <n v="0"/>
    <n v="20.400000000000002"/>
    <m/>
    <n v="0"/>
    <n v="0"/>
    <n v="0"/>
    <n v="0"/>
    <n v="0"/>
    <n v="0"/>
    <n v="0"/>
    <n v="0"/>
    <n v="0"/>
    <n v="0"/>
    <n v="0"/>
    <n v="0"/>
    <n v="0"/>
    <n v="0"/>
    <m/>
    <m/>
    <m/>
    <m/>
    <m/>
    <m/>
    <m/>
    <m/>
    <m/>
    <m/>
    <m/>
    <m/>
    <m/>
    <m/>
    <m/>
    <m/>
    <m/>
    <m/>
    <m/>
    <m/>
    <m/>
    <m/>
    <m/>
    <m/>
    <m/>
    <m/>
    <m/>
    <m/>
    <m/>
    <m/>
    <m/>
    <m/>
    <m/>
    <m/>
  </r>
  <r>
    <n v="743"/>
    <d v="2025-04-14T00:00:00"/>
    <x v="0"/>
    <n v="9518692220"/>
    <n v="2"/>
    <s v="9518692220-2"/>
    <s v="No Priority"/>
    <x v="0"/>
    <m/>
    <x v="3"/>
    <x v="9"/>
    <x v="0"/>
    <m/>
    <x v="0"/>
    <m/>
    <m/>
    <m/>
    <s v="East"/>
    <s v=" "/>
    <x v="2"/>
    <x v="10"/>
    <x v="10"/>
    <x v="51"/>
    <s v="GP COIL SOFT-TATXGP-GK09-0.3X900"/>
    <s v="Z80"/>
    <s v=""/>
    <n v="4"/>
    <n v="12"/>
    <m/>
    <x v="7"/>
    <x v="5"/>
    <s v="GK09"/>
    <x v="11"/>
    <x v="3"/>
    <x v="0"/>
    <n v="126"/>
    <n v="0"/>
    <n v="126"/>
    <n v="126"/>
    <n v="126"/>
    <n v="12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146"/>
    <n v="1"/>
    <s v="9518664146-1"/>
    <s v="No Priority"/>
    <x v="0"/>
    <s v="Yes"/>
    <x v="1"/>
    <x v="2"/>
    <x v="0"/>
    <m/>
    <x v="0"/>
    <m/>
    <m/>
    <m/>
    <s v="East"/>
    <s v="HOWRAH"/>
    <x v="2"/>
    <x v="20"/>
    <x v="20"/>
    <x v="268"/>
    <s v="CRCA SHEET TSBCRC SR15 0.800X1120X2000"/>
    <s v=" "/>
    <s v=""/>
    <n v="2"/>
    <n v="3.5"/>
    <m/>
    <x v="2"/>
    <x v="4"/>
    <s v="SR15"/>
    <x v="5"/>
    <x v="21"/>
    <x v="1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8553"/>
    <n v="2"/>
    <s v="9518648553-2"/>
    <s v="No Priority"/>
    <x v="0"/>
    <m/>
    <x v="1"/>
    <x v="1"/>
    <x v="0"/>
    <m/>
    <x v="0"/>
    <m/>
    <m/>
    <m/>
    <s v="North"/>
    <s v="ZOSOLA"/>
    <x v="2"/>
    <x v="90"/>
    <x v="87"/>
    <x v="269"/>
    <s v="CRSHEET-ICF  DQ TATXXD AU03 1.00 X 1000"/>
    <s v=" "/>
    <s v=""/>
    <n v="10"/>
    <n v="30"/>
    <m/>
    <x v="1"/>
    <x v="2"/>
    <s v="AU03"/>
    <x v="17"/>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3-27T00:00:00"/>
    <x v="0"/>
    <n v="9518644656"/>
    <n v="1"/>
    <s v="9518644656-1"/>
    <s v="May'25"/>
    <x v="0"/>
    <s v="Yes"/>
    <x v="1"/>
    <x v="2"/>
    <x v="0"/>
    <m/>
    <x v="1"/>
    <m/>
    <m/>
    <m/>
    <s v="East"/>
    <s v="SILIGURI TOWN"/>
    <x v="2"/>
    <x v="66"/>
    <x v="24"/>
    <x v="71"/>
    <s v="CRCA SHEET TSBCRC SR15 0.750X1000X2500"/>
    <s v=" "/>
    <s v=""/>
    <n v="2"/>
    <n v="3"/>
    <m/>
    <x v="2"/>
    <x v="4"/>
    <s v="SR15"/>
    <x v="28"/>
    <x v="2"/>
    <x v="3"/>
    <n v="24"/>
    <n v="0"/>
    <n v="24"/>
    <n v="24"/>
    <n v="1.4800000000000004"/>
    <n v="24"/>
    <n v="0"/>
    <n v="0"/>
    <n v="0"/>
    <n v="0"/>
    <n v="0"/>
    <n v="0"/>
    <n v="0"/>
    <n v="0"/>
    <n v="0"/>
    <n v="0"/>
    <n v="0"/>
    <n v="0"/>
    <n v="0"/>
    <n v="22.52"/>
    <n v="0"/>
    <n v="0"/>
    <n v="0"/>
    <n v="0"/>
    <n v="0"/>
    <n v="22.52"/>
    <n v="22.52"/>
    <n v="0"/>
    <n v="22.52"/>
    <m/>
    <n v="0"/>
    <n v="24"/>
    <n v="0"/>
    <n v="24"/>
    <n v="0"/>
    <n v="0"/>
    <n v="0"/>
    <n v="24"/>
    <n v="0"/>
    <n v="24"/>
    <n v="0"/>
    <n v="0"/>
    <n v="0"/>
    <n v="0"/>
    <m/>
    <m/>
    <m/>
    <m/>
    <m/>
    <m/>
    <m/>
    <m/>
    <m/>
    <m/>
    <m/>
    <m/>
    <m/>
    <m/>
    <m/>
    <m/>
    <m/>
    <m/>
    <m/>
    <m/>
    <m/>
    <m/>
    <m/>
    <m/>
    <m/>
    <m/>
    <m/>
    <m/>
    <m/>
    <m/>
    <m/>
    <m/>
    <m/>
    <m/>
  </r>
  <r>
    <n v="743"/>
    <d v="2025-03-18T00:00:00"/>
    <x v="0"/>
    <n v="9518609974"/>
    <n v="4"/>
    <s v="9518609974-4"/>
    <s v="No Priority"/>
    <x v="0"/>
    <m/>
    <x v="3"/>
    <x v="9"/>
    <x v="0"/>
    <m/>
    <x v="0"/>
    <m/>
    <m/>
    <m/>
    <s v="North"/>
    <s v="LONI"/>
    <x v="2"/>
    <x v="91"/>
    <x v="88"/>
    <x v="51"/>
    <s v="GP COIL SOFT-TATXGP-GK09-0.3X900"/>
    <s v="Z80"/>
    <s v=""/>
    <n v="4"/>
    <n v="6"/>
    <m/>
    <x v="7"/>
    <x v="5"/>
    <s v="GK09"/>
    <x v="1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17T00:00:00"/>
    <x v="0"/>
    <n v="9518607025"/>
    <n v="5"/>
    <s v="9518607025-5"/>
    <s v="No Priority"/>
    <x v="0"/>
    <s v="Yes"/>
    <x v="3"/>
    <x v="9"/>
    <x v="0"/>
    <m/>
    <x v="0"/>
    <m/>
    <m/>
    <m/>
    <s v="East"/>
    <s v=" "/>
    <x v="2"/>
    <x v="10"/>
    <x v="10"/>
    <x v="62"/>
    <s v="GP COIL SOFT-TATXGP-GK09-0.6X900"/>
    <s v="Z80"/>
    <s v=""/>
    <n v="4"/>
    <n v="12"/>
    <m/>
    <x v="7"/>
    <x v="5"/>
    <s v="GK09"/>
    <x v="20"/>
    <x v="3"/>
    <x v="0"/>
    <n v="21"/>
    <n v="0"/>
    <n v="21"/>
    <n v="21"/>
    <n v="21"/>
    <n v="1.32"/>
    <n v="0"/>
    <n v="0"/>
    <n v="0"/>
    <n v="0"/>
    <n v="0"/>
    <n v="0"/>
    <n v="0"/>
    <n v="0"/>
    <n v="0"/>
    <n v="0"/>
    <n v="0"/>
    <n v="0"/>
    <n v="0"/>
    <n v="0"/>
    <n v="0"/>
    <n v="0"/>
    <n v="0"/>
    <n v="0"/>
    <n v="0"/>
    <n v="0"/>
    <n v="0"/>
    <n v="0"/>
    <n v="0"/>
    <m/>
    <n v="0"/>
    <n v="0"/>
    <n v="0"/>
    <n v="0"/>
    <n v="0"/>
    <n v="0"/>
    <n v="0"/>
    <n v="0"/>
    <n v="0"/>
    <n v="0"/>
    <n v="0"/>
    <n v="0"/>
    <n v="0"/>
    <n v="0"/>
    <m/>
    <m/>
    <m/>
    <m/>
    <m/>
    <m/>
    <m/>
    <m/>
    <m/>
    <m/>
    <m/>
    <m/>
    <m/>
    <m/>
    <m/>
    <m/>
    <m/>
    <m/>
    <m/>
    <m/>
    <m/>
    <m/>
    <m/>
    <m/>
    <m/>
    <m/>
    <m/>
    <m/>
    <m/>
    <m/>
    <m/>
    <m/>
    <m/>
    <m/>
  </r>
  <r>
    <n v="743"/>
    <d v="2025-03-10T00:00:00"/>
    <x v="0"/>
    <n v="9518589716"/>
    <n v="2"/>
    <s v="9518589716-2"/>
    <s v="No Priority"/>
    <x v="0"/>
    <m/>
    <x v="3"/>
    <x v="9"/>
    <x v="0"/>
    <m/>
    <x v="0"/>
    <m/>
    <m/>
    <m/>
    <s v="North"/>
    <s v="KANPUR"/>
    <x v="2"/>
    <x v="53"/>
    <x v="50"/>
    <x v="51"/>
    <s v="GP COIL SOFT-TATXGP-GK09-0.3X900"/>
    <s v="Z80"/>
    <s v=""/>
    <n v="3.2"/>
    <n v="5"/>
    <m/>
    <x v="7"/>
    <x v="5"/>
    <s v="GK09"/>
    <x v="1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1T00:00:00"/>
    <x v="0"/>
    <n v="9518593433"/>
    <n v="1"/>
    <s v="9518593433-1"/>
    <s v="May'25"/>
    <x v="0"/>
    <s v="Yes"/>
    <x v="3"/>
    <x v="9"/>
    <x v="0"/>
    <m/>
    <x v="1"/>
    <m/>
    <m/>
    <m/>
    <s v="East"/>
    <s v=" "/>
    <x v="2"/>
    <x v="10"/>
    <x v="10"/>
    <x v="51"/>
    <s v="GP COIL SOFT-TATXGP-GK09-0.3X900"/>
    <s v="Z80"/>
    <s v=""/>
    <n v="4"/>
    <n v="12"/>
    <m/>
    <x v="7"/>
    <x v="5"/>
    <s v="GK09"/>
    <x v="11"/>
    <x v="3"/>
    <x v="0"/>
    <n v="21"/>
    <n v="0"/>
    <n v="21"/>
    <n v="21"/>
    <n v="2.120000000000001"/>
    <n v="21"/>
    <n v="0"/>
    <n v="0"/>
    <n v="0"/>
    <n v="0"/>
    <n v="0"/>
    <n v="0"/>
    <n v="18.88"/>
    <n v="0"/>
    <n v="0"/>
    <n v="0"/>
    <n v="0"/>
    <n v="0"/>
    <n v="0"/>
    <n v="0"/>
    <n v="0"/>
    <n v="0"/>
    <n v="0"/>
    <n v="0"/>
    <n v="0"/>
    <n v="18.88"/>
    <n v="18.88"/>
    <n v="0"/>
    <n v="18.88"/>
    <m/>
    <n v="0"/>
    <n v="21"/>
    <n v="21"/>
    <n v="0"/>
    <n v="0"/>
    <n v="0"/>
    <n v="0"/>
    <n v="21"/>
    <n v="0"/>
    <n v="21"/>
    <n v="0"/>
    <n v="0"/>
    <n v="0"/>
    <n v="0"/>
    <m/>
    <m/>
    <m/>
    <m/>
    <m/>
    <m/>
    <m/>
    <m/>
    <m/>
    <m/>
    <m/>
    <m/>
    <m/>
    <m/>
    <m/>
    <m/>
    <m/>
    <m/>
    <m/>
    <m/>
    <m/>
    <m/>
    <m/>
    <m/>
    <m/>
    <m/>
    <m/>
    <m/>
    <m/>
    <m/>
    <m/>
    <m/>
    <m/>
    <m/>
  </r>
  <r>
    <n v="742"/>
    <d v="2025-03-11T00:00:00"/>
    <x v="0"/>
    <n v="9518591774"/>
    <n v="18"/>
    <s v="9518591774-18"/>
    <s v="No Priority"/>
    <x v="0"/>
    <m/>
    <x v="1"/>
    <x v="1"/>
    <x v="0"/>
    <m/>
    <x v="0"/>
    <m/>
    <m/>
    <m/>
    <s v="North"/>
    <s v="ZOSOLA"/>
    <x v="2"/>
    <x v="56"/>
    <x v="52"/>
    <x v="102"/>
    <s v="CRCA COIL-TATXXD-AU03-1.6X1250"/>
    <s v=" "/>
    <s v=""/>
    <n v="10"/>
    <n v="30"/>
    <m/>
    <x v="1"/>
    <x v="2"/>
    <s v="AU03"/>
    <x v="22"/>
    <x v="0"/>
    <x v="0"/>
    <n v="29"/>
    <n v="0"/>
    <n v="29"/>
    <n v="29"/>
    <n v="8.32"/>
    <n v="29"/>
    <n v="0"/>
    <n v="0"/>
    <n v="0"/>
    <n v="0"/>
    <n v="0"/>
    <n v="0"/>
    <n v="0"/>
    <n v="0"/>
    <n v="0"/>
    <n v="0"/>
    <n v="0"/>
    <n v="0"/>
    <n v="20.68"/>
    <n v="0"/>
    <n v="0"/>
    <n v="0"/>
    <n v="0"/>
    <n v="0"/>
    <n v="0"/>
    <n v="20.68"/>
    <n v="20.68"/>
    <n v="0"/>
    <n v="20.68"/>
    <m/>
    <n v="0"/>
    <n v="0"/>
    <n v="0"/>
    <n v="0"/>
    <n v="0"/>
    <n v="0"/>
    <n v="0"/>
    <n v="0"/>
    <n v="0"/>
    <n v="0"/>
    <n v="0"/>
    <n v="0"/>
    <n v="0"/>
    <n v="0"/>
    <m/>
    <m/>
    <m/>
    <m/>
    <m/>
    <m/>
    <m/>
    <m/>
    <m/>
    <m/>
    <m/>
    <m/>
    <m/>
    <m/>
    <m/>
    <m/>
    <m/>
    <m/>
    <m/>
    <m/>
    <m/>
    <m/>
    <m/>
    <m/>
    <m/>
    <m/>
    <m/>
    <m/>
    <m/>
    <m/>
    <m/>
    <m/>
    <m/>
    <m/>
  </r>
  <r>
    <n v="742"/>
    <d v="2025-02-24T00:00:00"/>
    <x v="0"/>
    <n v="9518548149"/>
    <n v="8"/>
    <s v="9518548149-8"/>
    <s v="No Priority"/>
    <x v="0"/>
    <m/>
    <x v="1"/>
    <x v="11"/>
    <x v="0"/>
    <m/>
    <x v="0"/>
    <m/>
    <m/>
    <m/>
    <s v="South"/>
    <s v="YESHWANTHPURA"/>
    <x v="2"/>
    <x v="34"/>
    <x v="34"/>
    <x v="126"/>
    <s v="CRCA COIL TATXXD AH03 0.800X1250"/>
    <s v=" "/>
    <s v=""/>
    <n v="2"/>
    <n v="26"/>
    <m/>
    <x v="1"/>
    <x v="2"/>
    <s v="AH03"/>
    <x v="5"/>
    <x v="0"/>
    <x v="0"/>
    <n v="145"/>
    <n v="0"/>
    <n v="145"/>
    <n v="6.32"/>
    <n v="145"/>
    <n v="13.03"/>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470"/>
    <n v="1"/>
    <s v="9518628470-1"/>
    <s v="No Priority"/>
    <x v="0"/>
    <m/>
    <x v="1"/>
    <x v="2"/>
    <x v="0"/>
    <m/>
    <x v="0"/>
    <m/>
    <m/>
    <m/>
    <s v="East"/>
    <s v="GUWAHATI"/>
    <x v="2"/>
    <x v="25"/>
    <x v="24"/>
    <x v="270"/>
    <s v="CRCA SHEET TSBCRC SR15 0.700X1120X2500"/>
    <s v=" "/>
    <s v=""/>
    <n v="2"/>
    <n v="3"/>
    <m/>
    <x v="2"/>
    <x v="4"/>
    <s v="SR15"/>
    <x v="4"/>
    <x v="21"/>
    <x v="3"/>
    <n v="20.99"/>
    <n v="17.600000000000001"/>
    <n v="3.39"/>
    <n v="3.39"/>
    <n v="3.39"/>
    <n v="3.39"/>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470"/>
    <n v="2"/>
    <s v="9518628470-2"/>
    <s v="No Priority"/>
    <x v="0"/>
    <s v="Yes"/>
    <x v="1"/>
    <x v="2"/>
    <x v="0"/>
    <m/>
    <x v="0"/>
    <m/>
    <m/>
    <m/>
    <s v="East"/>
    <s v="GUWAHATI"/>
    <x v="2"/>
    <x v="25"/>
    <x v="24"/>
    <x v="202"/>
    <s v="CRCA SHEET TSBCRC SR15 0.700X1120X2000"/>
    <s v=" "/>
    <s v=""/>
    <n v="2"/>
    <n v="3"/>
    <m/>
    <x v="2"/>
    <x v="4"/>
    <s v="SR15"/>
    <x v="4"/>
    <x v="21"/>
    <x v="1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9852"/>
    <n v="1"/>
    <s v="9518629852-1"/>
    <s v="May'25"/>
    <x v="0"/>
    <s v="Yes"/>
    <x v="1"/>
    <x v="2"/>
    <x v="0"/>
    <m/>
    <x v="1"/>
    <m/>
    <m/>
    <s v="Maharashtra"/>
    <s v="West"/>
    <s v="NAGPUR"/>
    <x v="2"/>
    <x v="27"/>
    <x v="27"/>
    <x v="28"/>
    <s v="CRCA SHEET TSBCRC SR15 0.500X1250X2500"/>
    <s v=" "/>
    <s v=""/>
    <n v="2.5"/>
    <n v="3.5"/>
    <m/>
    <x v="2"/>
    <x v="4"/>
    <s v="SR15"/>
    <x v="1"/>
    <x v="0"/>
    <x v="3"/>
    <n v="24"/>
    <n v="2.91"/>
    <n v="21.09"/>
    <n v="-7.52"/>
    <n v="0"/>
    <n v="21.09"/>
    <n v="0"/>
    <n v="0"/>
    <n v="0"/>
    <n v="0"/>
    <n v="0"/>
    <n v="0"/>
    <n v="0"/>
    <n v="0"/>
    <n v="27.305"/>
    <n v="0"/>
    <n v="0"/>
    <n v="0"/>
    <n v="0"/>
    <n v="0"/>
    <n v="0"/>
    <n v="0"/>
    <n v="0"/>
    <n v="0"/>
    <n v="0"/>
    <n v="27.305"/>
    <n v="27.305"/>
    <n v="0"/>
    <n v="27.305"/>
    <m/>
    <n v="0"/>
    <n v="21.09"/>
    <n v="21.09"/>
    <n v="0"/>
    <n v="0"/>
    <n v="0"/>
    <n v="0"/>
    <n v="21.09"/>
    <n v="0"/>
    <n v="21.09"/>
    <n v="0"/>
    <n v="0"/>
    <n v="0"/>
    <n v="0"/>
    <m/>
    <m/>
    <m/>
    <m/>
    <m/>
    <m/>
    <m/>
    <m/>
    <m/>
    <m/>
    <m/>
    <m/>
    <m/>
    <m/>
    <m/>
    <m/>
    <m/>
    <m/>
    <m/>
    <m/>
    <m/>
    <m/>
    <m/>
    <m/>
    <m/>
    <m/>
    <m/>
    <m/>
    <m/>
    <m/>
    <m/>
    <m/>
    <m/>
    <m/>
  </r>
  <r>
    <n v="742"/>
    <d v="2025-03-24T00:00:00"/>
    <x v="0"/>
    <n v="9518629852"/>
    <n v="2"/>
    <s v="9518629852-2"/>
    <s v="May'25"/>
    <x v="0"/>
    <s v="Yes"/>
    <x v="1"/>
    <x v="2"/>
    <x v="0"/>
    <m/>
    <x v="1"/>
    <m/>
    <m/>
    <s v="Maharashtra"/>
    <s v="West"/>
    <s v="NAGPUR"/>
    <x v="2"/>
    <x v="27"/>
    <x v="27"/>
    <x v="41"/>
    <s v="CRCA SHEET TSBCRC SR15 0.600X1250X2500"/>
    <s v=" "/>
    <s v=""/>
    <n v="2.5"/>
    <n v="3.5"/>
    <m/>
    <x v="2"/>
    <x v="4"/>
    <s v="SR15"/>
    <x v="20"/>
    <x v="0"/>
    <x v="3"/>
    <n v="24"/>
    <n v="0"/>
    <n v="24"/>
    <n v="24"/>
    <n v="0.82000000000000028"/>
    <n v="24"/>
    <n v="0"/>
    <n v="0"/>
    <n v="23.18"/>
    <n v="0"/>
    <n v="0"/>
    <n v="0"/>
    <n v="0"/>
    <n v="0"/>
    <n v="0"/>
    <n v="0"/>
    <n v="0"/>
    <n v="0"/>
    <n v="0"/>
    <n v="0"/>
    <n v="0"/>
    <n v="0"/>
    <n v="0"/>
    <n v="0"/>
    <n v="0"/>
    <n v="23.18"/>
    <n v="23.18"/>
    <n v="0"/>
    <n v="23.18"/>
    <m/>
    <n v="0"/>
    <n v="24"/>
    <n v="0"/>
    <n v="0"/>
    <n v="24"/>
    <n v="0"/>
    <n v="0"/>
    <n v="24"/>
    <n v="0"/>
    <n v="0"/>
    <n v="24"/>
    <n v="0"/>
    <n v="0"/>
    <n v="0"/>
    <m/>
    <m/>
    <m/>
    <m/>
    <m/>
    <m/>
    <m/>
    <m/>
    <m/>
    <m/>
    <m/>
    <m/>
    <m/>
    <m/>
    <m/>
    <m/>
    <m/>
    <m/>
    <m/>
    <m/>
    <m/>
    <m/>
    <m/>
    <m/>
    <m/>
    <m/>
    <m/>
    <m/>
    <m/>
    <m/>
    <m/>
    <m/>
    <m/>
    <m/>
  </r>
  <r>
    <n v="742"/>
    <d v="2025-03-24T00:00:00"/>
    <x v="0"/>
    <n v="9518629852"/>
    <n v="3"/>
    <s v="9518629852-3"/>
    <s v="May'25"/>
    <x v="0"/>
    <s v="Yes"/>
    <x v="1"/>
    <x v="2"/>
    <x v="0"/>
    <m/>
    <x v="1"/>
    <m/>
    <m/>
    <s v="Maharashtra"/>
    <s v="West"/>
    <s v="NAGPUR"/>
    <x v="2"/>
    <x v="27"/>
    <x v="27"/>
    <x v="271"/>
    <s v="CRCA SHEET TSBCRC SR15 0.700X1250X2500"/>
    <s v=" "/>
    <s v=""/>
    <n v="2.5"/>
    <n v="3.5"/>
    <m/>
    <x v="2"/>
    <x v="4"/>
    <s v="SR15"/>
    <x v="4"/>
    <x v="0"/>
    <x v="3"/>
    <n v="24"/>
    <n v="0"/>
    <n v="24"/>
    <n v="24"/>
    <n v="1.3550000000000004"/>
    <n v="24"/>
    <n v="0"/>
    <n v="0"/>
    <n v="0"/>
    <n v="0"/>
    <n v="0"/>
    <n v="0"/>
    <n v="0"/>
    <n v="0"/>
    <n v="0"/>
    <n v="0"/>
    <n v="22.645"/>
    <n v="0"/>
    <n v="0"/>
    <n v="0"/>
    <n v="0"/>
    <n v="0"/>
    <n v="0"/>
    <n v="0"/>
    <n v="0"/>
    <n v="22.645"/>
    <n v="22.645"/>
    <n v="0"/>
    <n v="22.645"/>
    <m/>
    <n v="0"/>
    <n v="24"/>
    <n v="0"/>
    <n v="0"/>
    <n v="24"/>
    <n v="0"/>
    <n v="0"/>
    <n v="24"/>
    <n v="0"/>
    <n v="0"/>
    <n v="24"/>
    <n v="0"/>
    <n v="0"/>
    <n v="0"/>
    <m/>
    <m/>
    <m/>
    <m/>
    <m/>
    <m/>
    <m/>
    <m/>
    <m/>
    <m/>
    <m/>
    <m/>
    <m/>
    <m/>
    <m/>
    <m/>
    <m/>
    <m/>
    <m/>
    <m/>
    <m/>
    <m/>
    <m/>
    <m/>
    <m/>
    <m/>
    <m/>
    <m/>
    <m/>
    <m/>
    <m/>
    <m/>
    <m/>
    <m/>
  </r>
  <r>
    <n v="742"/>
    <d v="2025-03-26T00:00:00"/>
    <x v="0"/>
    <n v="9518637097"/>
    <n v="2"/>
    <s v="9518637097-2"/>
    <s v="May'25"/>
    <x v="0"/>
    <s v="Yes"/>
    <x v="1"/>
    <x v="2"/>
    <x v="0"/>
    <m/>
    <x v="1"/>
    <m/>
    <m/>
    <m/>
    <s v="East"/>
    <s v="URLA"/>
    <x v="2"/>
    <x v="92"/>
    <x v="89"/>
    <x v="110"/>
    <s v="CRCA SHEET TSBCRC SR15 0.600X1000X2500"/>
    <s v=" "/>
    <s v=""/>
    <n v="1"/>
    <n v="3"/>
    <m/>
    <x v="2"/>
    <x v="4"/>
    <s v="SR15"/>
    <x v="20"/>
    <x v="2"/>
    <x v="3"/>
    <n v="60"/>
    <n v="18.875"/>
    <n v="41.125"/>
    <n v="41.125"/>
    <n v="-3.384999999999998"/>
    <n v="41.125"/>
    <n v="0"/>
    <n v="0"/>
    <n v="0"/>
    <n v="0"/>
    <n v="0"/>
    <n v="0"/>
    <n v="0"/>
    <n v="0"/>
    <n v="0"/>
    <n v="0"/>
    <n v="0"/>
    <n v="0"/>
    <n v="0"/>
    <n v="44.51"/>
    <n v="0"/>
    <n v="0"/>
    <n v="0"/>
    <n v="0"/>
    <n v="0"/>
    <n v="44.51"/>
    <n v="44.51"/>
    <n v="0"/>
    <n v="44.51"/>
    <m/>
    <n v="5.91"/>
    <n v="41.125"/>
    <n v="0"/>
    <n v="41.125"/>
    <n v="0"/>
    <n v="0"/>
    <n v="0"/>
    <n v="47.034999999999997"/>
    <n v="0"/>
    <n v="0"/>
    <n v="47.034999999999997"/>
    <n v="0"/>
    <n v="0"/>
    <n v="0"/>
    <m/>
    <m/>
    <m/>
    <m/>
    <m/>
    <m/>
    <m/>
    <m/>
    <m/>
    <m/>
    <m/>
    <m/>
    <m/>
    <m/>
    <m/>
    <m/>
    <m/>
    <m/>
    <m/>
    <m/>
    <m/>
    <m/>
    <m/>
    <m/>
    <m/>
    <m/>
    <m/>
    <m/>
    <m/>
    <m/>
    <m/>
    <m/>
    <m/>
    <m/>
  </r>
  <r>
    <n v="742"/>
    <d v="2025-03-24T00:00:00"/>
    <x v="0"/>
    <n v="9518629852"/>
    <n v="4"/>
    <s v="9518629852-4"/>
    <s v="May'25"/>
    <x v="0"/>
    <s v="Yes"/>
    <x v="1"/>
    <x v="2"/>
    <x v="0"/>
    <m/>
    <x v="1"/>
    <m/>
    <m/>
    <s v="Maharashtra"/>
    <s v="West"/>
    <s v="NAGPUR"/>
    <x v="2"/>
    <x v="27"/>
    <x v="27"/>
    <x v="111"/>
    <s v="CRCA SHEET TSBCRC SR15 0.800X1250X2500"/>
    <s v=" "/>
    <s v=""/>
    <n v="2.5"/>
    <n v="3.5"/>
    <m/>
    <x v="2"/>
    <x v="4"/>
    <s v="SR15"/>
    <x v="5"/>
    <x v="0"/>
    <x v="3"/>
    <n v="48"/>
    <n v="0"/>
    <n v="48"/>
    <n v="48"/>
    <n v="48"/>
    <n v="21.92"/>
    <n v="0"/>
    <n v="0"/>
    <n v="0"/>
    <n v="0"/>
    <n v="0"/>
    <n v="0"/>
    <n v="0"/>
    <n v="0"/>
    <n v="0"/>
    <n v="0"/>
    <n v="0"/>
    <n v="0"/>
    <n v="0"/>
    <n v="0"/>
    <n v="0"/>
    <n v="0"/>
    <n v="0"/>
    <n v="0"/>
    <n v="0"/>
    <n v="0"/>
    <n v="0"/>
    <n v="0"/>
    <n v="0"/>
    <m/>
    <n v="26.08"/>
    <n v="21.92"/>
    <n v="0"/>
    <n v="0"/>
    <n v="21.92"/>
    <n v="0"/>
    <n v="0"/>
    <n v="48"/>
    <n v="0"/>
    <n v="0"/>
    <n v="0"/>
    <n v="48"/>
    <n v="0"/>
    <n v="0"/>
    <m/>
    <m/>
    <m/>
    <m/>
    <m/>
    <m/>
    <m/>
    <m/>
    <m/>
    <m/>
    <m/>
    <m/>
    <m/>
    <m/>
    <m/>
    <m/>
    <m/>
    <m/>
    <m/>
    <m/>
    <m/>
    <m/>
    <m/>
    <m/>
    <m/>
    <m/>
    <m/>
    <m/>
    <m/>
    <m/>
    <m/>
    <m/>
    <m/>
    <m/>
  </r>
  <r>
    <n v="742"/>
    <d v="2025-03-24T00:00:00"/>
    <x v="0"/>
    <n v="9518629852"/>
    <n v="5"/>
    <s v="9518629852-5"/>
    <s v="May'25"/>
    <x v="0"/>
    <s v="Yes"/>
    <x v="1"/>
    <x v="2"/>
    <x v="0"/>
    <m/>
    <x v="1"/>
    <m/>
    <m/>
    <s v="Maharashtra"/>
    <s v="West"/>
    <s v="NAGPUR"/>
    <x v="2"/>
    <x v="27"/>
    <x v="27"/>
    <x v="222"/>
    <s v="CRCA SHEET TSBCRC SR15 1X1250X2500"/>
    <s v=" "/>
    <s v=""/>
    <n v="2.5"/>
    <n v="3.5"/>
    <m/>
    <x v="2"/>
    <x v="4"/>
    <s v="SR15"/>
    <x v="17"/>
    <x v="0"/>
    <x v="3"/>
    <n v="99"/>
    <n v="0"/>
    <n v="99"/>
    <n v="99"/>
    <n v="70.134999999999991"/>
    <n v="99"/>
    <n v="0"/>
    <n v="0"/>
    <n v="0"/>
    <n v="0"/>
    <n v="0"/>
    <n v="0"/>
    <n v="0"/>
    <n v="0"/>
    <n v="0"/>
    <n v="0"/>
    <n v="28.865000000000002"/>
    <n v="0"/>
    <n v="0"/>
    <n v="0"/>
    <n v="0"/>
    <n v="0"/>
    <n v="0"/>
    <n v="0"/>
    <n v="0"/>
    <n v="28.865000000000002"/>
    <n v="28.865000000000002"/>
    <n v="0"/>
    <n v="28.865000000000002"/>
    <m/>
    <n v="0"/>
    <n v="99"/>
    <n v="0"/>
    <n v="0"/>
    <n v="99"/>
    <n v="0"/>
    <n v="0"/>
    <n v="99"/>
    <n v="0"/>
    <n v="0"/>
    <n v="99"/>
    <n v="0"/>
    <n v="0"/>
    <n v="0"/>
    <m/>
    <m/>
    <m/>
    <m/>
    <m/>
    <m/>
    <m/>
    <m/>
    <m/>
    <m/>
    <m/>
    <m/>
    <m/>
    <m/>
    <m/>
    <m/>
    <m/>
    <m/>
    <m/>
    <m/>
    <m/>
    <m/>
    <m/>
    <m/>
    <m/>
    <m/>
    <m/>
    <m/>
    <m/>
    <m/>
    <m/>
    <m/>
    <m/>
    <m/>
  </r>
  <r>
    <n v="742"/>
    <d v="2025-03-24T00:00:00"/>
    <x v="0"/>
    <n v="9518629852"/>
    <n v="6"/>
    <s v="9518629852-6"/>
    <s v="May'25"/>
    <x v="0"/>
    <s v="Yes"/>
    <x v="1"/>
    <x v="2"/>
    <x v="0"/>
    <m/>
    <x v="1"/>
    <m/>
    <m/>
    <s v="Maharashtra"/>
    <s v="West"/>
    <s v="NAGPUR"/>
    <x v="2"/>
    <x v="27"/>
    <x v="27"/>
    <x v="209"/>
    <s v="CRCA SHEET TSBCRC SR15 1.200X1250X2500"/>
    <s v=" "/>
    <s v=""/>
    <n v="2.5"/>
    <n v="3.5"/>
    <m/>
    <x v="2"/>
    <x v="4"/>
    <s v="SR15"/>
    <x v="19"/>
    <x v="0"/>
    <x v="3"/>
    <n v="99"/>
    <n v="0"/>
    <n v="99"/>
    <n v="99"/>
    <n v="70.305000000000007"/>
    <n v="99"/>
    <n v="0"/>
    <n v="0"/>
    <n v="0"/>
    <n v="0"/>
    <n v="0"/>
    <n v="0"/>
    <n v="0"/>
    <n v="0"/>
    <n v="0"/>
    <n v="0"/>
    <n v="28.695"/>
    <n v="0"/>
    <n v="0"/>
    <n v="0"/>
    <n v="0"/>
    <n v="0"/>
    <n v="0"/>
    <n v="0"/>
    <n v="0"/>
    <n v="28.695"/>
    <n v="28.695"/>
    <n v="0"/>
    <n v="28.695"/>
    <m/>
    <n v="0"/>
    <n v="99"/>
    <n v="0"/>
    <n v="0"/>
    <n v="99"/>
    <n v="0"/>
    <n v="0"/>
    <n v="99"/>
    <n v="0"/>
    <n v="0"/>
    <n v="99"/>
    <n v="0"/>
    <n v="0"/>
    <n v="0"/>
    <m/>
    <m/>
    <m/>
    <m/>
    <m/>
    <m/>
    <m/>
    <m/>
    <m/>
    <m/>
    <m/>
    <m/>
    <m/>
    <m/>
    <m/>
    <m/>
    <m/>
    <m/>
    <m/>
    <m/>
    <m/>
    <m/>
    <m/>
    <m/>
    <m/>
    <m/>
    <m/>
    <m/>
    <m/>
    <m/>
    <m/>
    <m/>
    <m/>
    <m/>
  </r>
  <r>
    <n v="742"/>
    <d v="2025-03-24T00:00:00"/>
    <x v="0"/>
    <n v="9518629852"/>
    <n v="7"/>
    <s v="9518629852-7"/>
    <s v="May'25"/>
    <x v="0"/>
    <m/>
    <x v="1"/>
    <x v="2"/>
    <x v="0"/>
    <m/>
    <x v="1"/>
    <m/>
    <m/>
    <s v="Maharashtra"/>
    <s v="West"/>
    <s v="NAGPUR"/>
    <x v="2"/>
    <x v="27"/>
    <x v="27"/>
    <x v="272"/>
    <s v="CRCA SHEET TSBCRC SR15 1.500X1250X2500"/>
    <s v=" "/>
    <s v=""/>
    <n v="2.5"/>
    <n v="3.5"/>
    <m/>
    <x v="2"/>
    <x v="4"/>
    <s v="SR15"/>
    <x v="27"/>
    <x v="0"/>
    <x v="3"/>
    <n v="99"/>
    <n v="0"/>
    <n v="99"/>
    <n v="43.93"/>
    <n v="70.210000000000008"/>
    <n v="47.695"/>
    <n v="0"/>
    <n v="0"/>
    <n v="0"/>
    <n v="0"/>
    <n v="0"/>
    <n v="0"/>
    <n v="0"/>
    <n v="0"/>
    <n v="0"/>
    <n v="0"/>
    <n v="28.79"/>
    <n v="0"/>
    <n v="0"/>
    <n v="0"/>
    <n v="0"/>
    <n v="0"/>
    <n v="0"/>
    <n v="0"/>
    <n v="0"/>
    <n v="28.79"/>
    <n v="28.79"/>
    <n v="0"/>
    <n v="28.79"/>
    <m/>
    <n v="16.91"/>
    <n v="47.695"/>
    <n v="0"/>
    <n v="0"/>
    <n v="47.695"/>
    <n v="0"/>
    <n v="0"/>
    <n v="64.605000000000004"/>
    <n v="0"/>
    <n v="0"/>
    <n v="0"/>
    <n v="64.605000000000004"/>
    <n v="0"/>
    <n v="0"/>
    <m/>
    <m/>
    <m/>
    <m/>
    <m/>
    <m/>
    <m/>
    <m/>
    <m/>
    <m/>
    <m/>
    <m/>
    <m/>
    <m/>
    <m/>
    <m/>
    <m/>
    <m/>
    <m/>
    <m/>
    <m/>
    <m/>
    <m/>
    <m/>
    <m/>
    <m/>
    <m/>
    <m/>
    <m/>
    <m/>
    <m/>
    <m/>
    <m/>
    <m/>
  </r>
  <r>
    <n v="742"/>
    <d v="2025-03-24T00:00:00"/>
    <x v="0"/>
    <n v="9518629852"/>
    <n v="9"/>
    <s v="9518629852-9"/>
    <s v="May'25"/>
    <x v="0"/>
    <s v="Yes"/>
    <x v="1"/>
    <x v="2"/>
    <x v="0"/>
    <m/>
    <x v="1"/>
    <m/>
    <m/>
    <s v="Maharashtra"/>
    <s v="West"/>
    <s v="NAGPUR"/>
    <x v="2"/>
    <x v="27"/>
    <x v="27"/>
    <x v="273"/>
    <s v="CRCA SHEET TSBCRC SR15 2X1250X2500"/>
    <s v=" "/>
    <s v=""/>
    <n v="2.5"/>
    <n v="3.5"/>
    <m/>
    <x v="2"/>
    <x v="4"/>
    <s v="SR15"/>
    <x v="15"/>
    <x v="0"/>
    <x v="3"/>
    <n v="75"/>
    <n v="0"/>
    <n v="75"/>
    <n v="75"/>
    <n v="75"/>
    <n v="75"/>
    <n v="0"/>
    <n v="0"/>
    <n v="0"/>
    <n v="0"/>
    <n v="0"/>
    <n v="0"/>
    <n v="0"/>
    <n v="0"/>
    <n v="0"/>
    <n v="0"/>
    <n v="0"/>
    <n v="0"/>
    <n v="0"/>
    <n v="0"/>
    <n v="0"/>
    <n v="0"/>
    <n v="0"/>
    <n v="0"/>
    <n v="0"/>
    <n v="0"/>
    <n v="0"/>
    <n v="0"/>
    <n v="0"/>
    <m/>
    <n v="0"/>
    <n v="75"/>
    <n v="0"/>
    <n v="0"/>
    <n v="0"/>
    <n v="75"/>
    <n v="0"/>
    <n v="75"/>
    <n v="0"/>
    <n v="0"/>
    <n v="0"/>
    <n v="75"/>
    <n v="0"/>
    <n v="0"/>
    <m/>
    <m/>
    <m/>
    <m/>
    <m/>
    <m/>
    <m/>
    <m/>
    <m/>
    <m/>
    <m/>
    <m/>
    <m/>
    <m/>
    <m/>
    <m/>
    <m/>
    <m/>
    <m/>
    <m/>
    <m/>
    <m/>
    <m/>
    <m/>
    <m/>
    <m/>
    <m/>
    <m/>
    <m/>
    <m/>
    <m/>
    <m/>
    <m/>
    <m/>
  </r>
  <r>
    <n v="742"/>
    <d v="2025-03-21T00:00:00"/>
    <x v="0"/>
    <n v="9518620548"/>
    <n v="1"/>
    <s v="9518620548-1"/>
    <s v="No Priority"/>
    <x v="0"/>
    <m/>
    <x v="1"/>
    <x v="1"/>
    <x v="0"/>
    <m/>
    <x v="0"/>
    <m/>
    <m/>
    <m/>
    <s v="North"/>
    <s v="DERABASSI"/>
    <x v="2"/>
    <x v="1"/>
    <x v="1"/>
    <x v="274"/>
    <s v="CRCA COIL TATXXD AU03 1.500X1320"/>
    <s v=" "/>
    <s v=""/>
    <n v="10"/>
    <n v="30"/>
    <m/>
    <x v="1"/>
    <x v="2"/>
    <s v="AU03"/>
    <x v="27"/>
    <x v="9"/>
    <x v="0"/>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3"/>
    <d v="2025-02-24T00:00:00"/>
    <x v="1"/>
    <n v="9518546063"/>
    <n v="3"/>
    <s v="9518546063-3"/>
    <s v="May'25"/>
    <x v="0"/>
    <s v="Yes"/>
    <x v="3"/>
    <x v="9"/>
    <x v="0"/>
    <m/>
    <x v="1"/>
    <m/>
    <m/>
    <m/>
    <s v="East"/>
    <s v="JAMSHEDPUR"/>
    <x v="2"/>
    <x v="24"/>
    <x v="23"/>
    <x v="56"/>
    <s v="GP COIL SOFT-TATXGP-GK09-0.4X900"/>
    <s v="Z80"/>
    <s v=""/>
    <n v="8"/>
    <n v="15"/>
    <m/>
    <x v="7"/>
    <x v="5"/>
    <s v="GK09"/>
    <x v="2"/>
    <x v="3"/>
    <x v="0"/>
    <n v="420"/>
    <n v="0"/>
    <n v="420"/>
    <n v="420"/>
    <n v="0"/>
    <n v="252"/>
    <n v="0"/>
    <n v="0"/>
    <n v="0"/>
    <n v="0"/>
    <n v="0"/>
    <n v="0"/>
    <n v="0"/>
    <n v="0"/>
    <n v="0"/>
    <n v="0"/>
    <n v="0"/>
    <n v="0"/>
    <n v="0"/>
    <n v="0"/>
    <n v="0"/>
    <n v="0"/>
    <n v="0"/>
    <n v="0"/>
    <n v="0"/>
    <n v="0"/>
    <n v="0"/>
    <n v="420"/>
    <n v="420"/>
    <m/>
    <n v="0"/>
    <n v="252"/>
    <n v="0"/>
    <n v="0"/>
    <n v="0"/>
    <n v="0"/>
    <n v="252"/>
    <n v="0"/>
    <n v="0"/>
    <n v="0"/>
    <n v="0"/>
    <n v="0"/>
    <n v="0"/>
    <n v="252"/>
    <m/>
    <m/>
    <m/>
    <m/>
    <m/>
    <m/>
    <m/>
    <m/>
    <m/>
    <m/>
    <m/>
    <m/>
    <m/>
    <m/>
    <m/>
    <m/>
    <m/>
    <m/>
    <m/>
    <m/>
    <m/>
    <m/>
    <m/>
    <m/>
    <m/>
    <m/>
    <m/>
    <m/>
    <m/>
    <m/>
    <m/>
    <m/>
    <m/>
    <m/>
  </r>
  <r>
    <n v="743"/>
    <d v="2025-02-24T00:00:00"/>
    <x v="1"/>
    <n v="9518546063"/>
    <n v="4"/>
    <s v="9518546063-4"/>
    <s v="May'25"/>
    <x v="0"/>
    <s v="Yes"/>
    <x v="3"/>
    <x v="9"/>
    <x v="0"/>
    <m/>
    <x v="1"/>
    <m/>
    <m/>
    <m/>
    <s v="East"/>
    <s v="JAMSHEDPUR"/>
    <x v="2"/>
    <x v="24"/>
    <x v="23"/>
    <x v="121"/>
    <s v="GP COIL SOFT-TATXGP-GK09-0.5X900"/>
    <s v="Z80"/>
    <s v=""/>
    <n v="8"/>
    <n v="15"/>
    <m/>
    <x v="7"/>
    <x v="5"/>
    <s v="GK09"/>
    <x v="1"/>
    <x v="3"/>
    <x v="0"/>
    <n v="357"/>
    <n v="0"/>
    <n v="357"/>
    <n v="357"/>
    <n v="249.92000000000002"/>
    <n v="222.51"/>
    <n v="0"/>
    <n v="0"/>
    <n v="0"/>
    <n v="0"/>
    <n v="0.78500000000000003"/>
    <n v="0"/>
    <n v="57.645000000000003"/>
    <n v="0"/>
    <n v="0"/>
    <n v="0"/>
    <n v="0"/>
    <n v="0"/>
    <n v="0"/>
    <n v="0"/>
    <n v="0"/>
    <n v="0"/>
    <n v="0"/>
    <n v="0"/>
    <n v="48.65"/>
    <n v="107.08"/>
    <n v="107.08"/>
    <n v="0"/>
    <n v="107.08"/>
    <m/>
    <n v="58.519999999999996"/>
    <n v="222.51"/>
    <n v="0"/>
    <n v="222.51"/>
    <n v="0"/>
    <n v="0"/>
    <n v="0"/>
    <n v="281.02999999999997"/>
    <n v="0"/>
    <n v="0"/>
    <n v="281.02999999999997"/>
    <n v="0"/>
    <n v="0"/>
    <n v="0"/>
    <m/>
    <m/>
    <m/>
    <m/>
    <m/>
    <m/>
    <m/>
    <m/>
    <m/>
    <m/>
    <m/>
    <m/>
    <m/>
    <m/>
    <m/>
    <m/>
    <m/>
    <m/>
    <m/>
    <m/>
    <m/>
    <m/>
    <m/>
    <m/>
    <m/>
    <m/>
    <m/>
    <m/>
    <m/>
    <m/>
    <m/>
    <m/>
    <m/>
    <m/>
  </r>
  <r>
    <n v="743"/>
    <d v="2025-03-21T00:00:00"/>
    <x v="0"/>
    <n v="9518620565"/>
    <n v="6"/>
    <s v="9518620565-6"/>
    <s v="No Priority"/>
    <x v="0"/>
    <m/>
    <x v="3"/>
    <x v="0"/>
    <x v="0"/>
    <m/>
    <x v="0"/>
    <m/>
    <m/>
    <m/>
    <s v="East"/>
    <s v="TATANAGAR"/>
    <x v="2"/>
    <x v="5"/>
    <x v="5"/>
    <x v="275"/>
    <s v="GP COIL SOFT-TSBXGP-N1GP-0.5X1000"/>
    <s v="Z80"/>
    <s v=""/>
    <n v="4"/>
    <n v="12"/>
    <m/>
    <x v="7"/>
    <x v="13"/>
    <s v="N1GP"/>
    <x v="1"/>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18"/>
    <s v="9518620674-18"/>
    <s v="No Priority"/>
    <x v="0"/>
    <s v="Yes"/>
    <x v="1"/>
    <x v="1"/>
    <x v="0"/>
    <m/>
    <x v="0"/>
    <m/>
    <s v="Depriritized as per SPA's instruction"/>
    <m/>
    <s v="South"/>
    <s v="CHENNAI"/>
    <x v="2"/>
    <x v="4"/>
    <x v="4"/>
    <x v="95"/>
    <s v="CRCA COIL-TATXXD-AU03-1.2X1250"/>
    <s v=" "/>
    <s v=""/>
    <n v="6"/>
    <n v="18"/>
    <m/>
    <x v="1"/>
    <x v="2"/>
    <s v="AU03"/>
    <x v="19"/>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26"/>
    <s v="9518620674-26"/>
    <s v="May'25"/>
    <x v="0"/>
    <s v="Yes"/>
    <x v="1"/>
    <x v="2"/>
    <x v="0"/>
    <m/>
    <x v="1"/>
    <m/>
    <m/>
    <m/>
    <s v="South"/>
    <s v="CHENNAI"/>
    <x v="2"/>
    <x v="4"/>
    <x v="4"/>
    <x v="104"/>
    <s v="CRCA SHEET TSBCRC SR15 0.600X1000X1980"/>
    <s v=" "/>
    <s v=""/>
    <n v="0"/>
    <n v="0"/>
    <m/>
    <x v="2"/>
    <x v="4"/>
    <s v="SR15"/>
    <x v="20"/>
    <x v="2"/>
    <x v="4"/>
    <n v="45"/>
    <n v="0"/>
    <n v="45"/>
    <n v="45"/>
    <n v="0.51999999999999602"/>
    <n v="45"/>
    <n v="0"/>
    <n v="0"/>
    <n v="0"/>
    <n v="0"/>
    <n v="0"/>
    <n v="0"/>
    <n v="0"/>
    <n v="0"/>
    <n v="0"/>
    <n v="0"/>
    <n v="0"/>
    <n v="0"/>
    <n v="0"/>
    <n v="44.480000000000004"/>
    <n v="0"/>
    <n v="0"/>
    <n v="0"/>
    <n v="0"/>
    <n v="0"/>
    <n v="44.480000000000004"/>
    <n v="44.480000000000004"/>
    <n v="0"/>
    <n v="44.480000000000004"/>
    <m/>
    <n v="0"/>
    <n v="45"/>
    <n v="0"/>
    <n v="45"/>
    <n v="0"/>
    <n v="0"/>
    <n v="0"/>
    <n v="45"/>
    <n v="0"/>
    <n v="45"/>
    <n v="0"/>
    <n v="0"/>
    <n v="0"/>
    <n v="0"/>
    <m/>
    <m/>
    <m/>
    <m/>
    <m/>
    <m/>
    <m/>
    <m/>
    <m/>
    <m/>
    <m/>
    <m/>
    <m/>
    <m/>
    <m/>
    <m/>
    <m/>
    <m/>
    <m/>
    <m/>
    <m/>
    <m/>
    <m/>
    <m/>
    <m/>
    <m/>
    <m/>
    <m/>
    <m/>
    <m/>
    <m/>
    <m/>
    <m/>
    <m/>
  </r>
  <r>
    <n v="742"/>
    <d v="2025-03-18T00:00:00"/>
    <x v="0"/>
    <n v="9518610768"/>
    <n v="2"/>
    <s v="9518610768-2"/>
    <s v="No Priority"/>
    <x v="0"/>
    <s v="Yes"/>
    <x v="1"/>
    <x v="2"/>
    <x v="0"/>
    <m/>
    <x v="0"/>
    <m/>
    <m/>
    <m/>
    <s v="North"/>
    <s v="VARANASI"/>
    <x v="2"/>
    <x v="2"/>
    <x v="2"/>
    <x v="28"/>
    <s v="CRCA SHEET TSBCRC SR15 0.500X1250X2500"/>
    <s v=" "/>
    <s v=""/>
    <n v="0"/>
    <n v="0"/>
    <m/>
    <x v="2"/>
    <x v="4"/>
    <s v="SR15"/>
    <x v="1"/>
    <x v="0"/>
    <x v="3"/>
    <n v="54"/>
    <n v="0"/>
    <n v="54"/>
    <n v="-2.08"/>
    <n v="0"/>
    <n v="54"/>
    <n v="0"/>
    <n v="0"/>
    <n v="0"/>
    <n v="0"/>
    <n v="0"/>
    <n v="0"/>
    <n v="0"/>
    <n v="0"/>
    <n v="0"/>
    <n v="0"/>
    <n v="0"/>
    <n v="0"/>
    <n v="0"/>
    <n v="55.13"/>
    <n v="0"/>
    <n v="0"/>
    <n v="0"/>
    <n v="0"/>
    <n v="0"/>
    <n v="55.13"/>
    <n v="55.13"/>
    <n v="0"/>
    <n v="55.13"/>
    <m/>
    <n v="0"/>
    <n v="0"/>
    <n v="0"/>
    <n v="0"/>
    <n v="0"/>
    <n v="0"/>
    <n v="0"/>
    <n v="0"/>
    <n v="0"/>
    <n v="0"/>
    <n v="0"/>
    <n v="0"/>
    <n v="0"/>
    <n v="0"/>
    <m/>
    <m/>
    <m/>
    <m/>
    <m/>
    <m/>
    <m/>
    <m/>
    <m/>
    <m/>
    <m/>
    <m/>
    <m/>
    <m/>
    <m/>
    <m/>
    <m/>
    <m/>
    <m/>
    <m/>
    <m/>
    <m/>
    <m/>
    <m/>
    <m/>
    <m/>
    <m/>
    <m/>
    <m/>
    <m/>
    <m/>
    <m/>
    <m/>
    <m/>
  </r>
  <r>
    <n v="742"/>
    <d v="2025-03-18T00:00:00"/>
    <x v="0"/>
    <n v="9518610768"/>
    <n v="3"/>
    <s v="9518610768-3"/>
    <s v="May'25"/>
    <x v="0"/>
    <s v="Yes"/>
    <x v="1"/>
    <x v="2"/>
    <x v="0"/>
    <m/>
    <x v="1"/>
    <m/>
    <m/>
    <m/>
    <s v="North"/>
    <s v="VARANASI"/>
    <x v="2"/>
    <x v="2"/>
    <x v="2"/>
    <x v="30"/>
    <s v="CRCA SHEET TSBCRC SR15 0.500X1250X2030"/>
    <s v=" "/>
    <s v=""/>
    <n v="0"/>
    <n v="0"/>
    <m/>
    <x v="2"/>
    <x v="4"/>
    <s v="SR15"/>
    <x v="1"/>
    <x v="0"/>
    <x v="1"/>
    <n v="54"/>
    <n v="0"/>
    <n v="54"/>
    <n v="-2.23"/>
    <n v="0"/>
    <n v="54"/>
    <n v="0"/>
    <n v="0"/>
    <n v="0"/>
    <n v="0"/>
    <n v="0"/>
    <n v="0"/>
    <n v="0"/>
    <n v="0"/>
    <n v="0"/>
    <n v="0"/>
    <n v="0"/>
    <n v="0"/>
    <n v="0"/>
    <n v="55.27"/>
    <n v="0"/>
    <n v="0"/>
    <n v="0"/>
    <n v="0"/>
    <n v="0"/>
    <n v="55.27"/>
    <n v="55.27"/>
    <n v="0"/>
    <n v="55.27"/>
    <m/>
    <n v="0"/>
    <n v="54"/>
    <n v="0"/>
    <n v="54"/>
    <n v="0"/>
    <n v="0"/>
    <n v="0"/>
    <n v="54"/>
    <n v="0"/>
    <n v="54"/>
    <n v="0"/>
    <n v="0"/>
    <n v="0"/>
    <n v="0"/>
    <m/>
    <m/>
    <m/>
    <m/>
    <m/>
    <m/>
    <m/>
    <m/>
    <m/>
    <m/>
    <m/>
    <m/>
    <m/>
    <m/>
    <m/>
    <m/>
    <m/>
    <m/>
    <m/>
    <m/>
    <m/>
    <m/>
    <m/>
    <m/>
    <m/>
    <m/>
    <m/>
    <m/>
    <m/>
    <m/>
    <m/>
    <m/>
    <m/>
    <m/>
  </r>
  <r>
    <n v="742"/>
    <d v="2025-03-22T00:00:00"/>
    <x v="0"/>
    <n v="9518624222"/>
    <n v="5"/>
    <s v="9518624222-5"/>
    <s v="No Priority"/>
    <x v="0"/>
    <m/>
    <x v="1"/>
    <x v="1"/>
    <x v="0"/>
    <m/>
    <x v="0"/>
    <m/>
    <m/>
    <m/>
    <s v="North"/>
    <s v="ZOSOLA"/>
    <x v="2"/>
    <x v="50"/>
    <x v="49"/>
    <x v="125"/>
    <s v="CRCA COIL TATXXD AU03 1.800X1250"/>
    <s v=" "/>
    <s v=""/>
    <n v="15"/>
    <n v="29"/>
    <m/>
    <x v="1"/>
    <x v="2"/>
    <s v="AU03"/>
    <x v="41"/>
    <x v="0"/>
    <x v="0"/>
    <n v="58"/>
    <n v="0"/>
    <n v="58"/>
    <n v="58"/>
    <n v="35.019999999999996"/>
    <n v="58"/>
    <n v="0"/>
    <n v="0"/>
    <n v="0"/>
    <n v="0"/>
    <n v="0"/>
    <n v="0"/>
    <n v="0"/>
    <n v="0"/>
    <n v="0"/>
    <n v="0"/>
    <n v="0"/>
    <n v="0"/>
    <n v="0"/>
    <n v="22.98"/>
    <n v="0"/>
    <n v="0"/>
    <n v="0"/>
    <n v="0"/>
    <n v="0"/>
    <n v="22.98"/>
    <n v="22.98"/>
    <n v="0"/>
    <n v="22.98"/>
    <m/>
    <n v="0"/>
    <n v="0"/>
    <n v="0"/>
    <n v="0"/>
    <n v="0"/>
    <n v="0"/>
    <n v="0"/>
    <n v="0"/>
    <n v="0"/>
    <n v="0"/>
    <n v="0"/>
    <n v="0"/>
    <n v="0"/>
    <n v="0"/>
    <m/>
    <m/>
    <m/>
    <m/>
    <m/>
    <m/>
    <m/>
    <m/>
    <m/>
    <m/>
    <m/>
    <m/>
    <m/>
    <m/>
    <m/>
    <m/>
    <m/>
    <m/>
    <m/>
    <m/>
    <m/>
    <m/>
    <m/>
    <m/>
    <m/>
    <m/>
    <m/>
    <m/>
    <m/>
    <m/>
    <m/>
    <m/>
    <m/>
    <m/>
  </r>
  <r>
    <n v="742"/>
    <d v="2025-03-28T00:00:00"/>
    <x v="0"/>
    <n v="9518649334"/>
    <n v="1"/>
    <s v="9518649334-1"/>
    <s v="No Priority"/>
    <x v="0"/>
    <m/>
    <x v="0"/>
    <x v="0"/>
    <x v="0"/>
    <m/>
    <x v="0"/>
    <m/>
    <m/>
    <m/>
    <s v="North"/>
    <s v="FARIDABAD"/>
    <x v="2"/>
    <x v="3"/>
    <x v="3"/>
    <x v="48"/>
    <s v="HR COILS-PO IS 10748 GR 1 2X1250"/>
    <s v=" "/>
    <s v=""/>
    <n v="17"/>
    <n v="28.4"/>
    <m/>
    <x v="0"/>
    <x v="11"/>
    <s v="HG01"/>
    <x v="15"/>
    <x v="0"/>
    <x v="0"/>
    <n v="149.99"/>
    <n v="0"/>
    <n v="149.99"/>
    <n v="121.66"/>
    <n v="121.28"/>
    <n v="-0.01"/>
    <n v="0"/>
    <n v="0"/>
    <n v="28.71"/>
    <n v="0"/>
    <n v="0"/>
    <n v="0"/>
    <n v="0"/>
    <n v="0"/>
    <n v="0"/>
    <n v="0"/>
    <n v="0"/>
    <n v="0"/>
    <n v="0"/>
    <n v="0"/>
    <n v="0"/>
    <n v="0"/>
    <n v="0"/>
    <n v="0"/>
    <n v="0"/>
    <n v="28.71"/>
    <n v="28.71"/>
    <n v="0"/>
    <n v="28.71"/>
    <m/>
    <n v="0"/>
    <n v="0"/>
    <n v="0"/>
    <n v="0"/>
    <n v="0"/>
    <n v="0"/>
    <n v="0"/>
    <n v="0"/>
    <n v="0"/>
    <n v="0"/>
    <n v="0"/>
    <n v="0"/>
    <n v="0"/>
    <n v="0"/>
    <m/>
    <m/>
    <m/>
    <m/>
    <m/>
    <m/>
    <m/>
    <m/>
    <m/>
    <m/>
    <m/>
    <m/>
    <m/>
    <m/>
    <m/>
    <m/>
    <m/>
    <m/>
    <m/>
    <m/>
    <m/>
    <m/>
    <m/>
    <m/>
    <m/>
    <m/>
    <m/>
    <m/>
    <m/>
    <m/>
    <m/>
    <m/>
    <m/>
    <m/>
  </r>
  <r>
    <n v="742"/>
    <d v="2025-03-28T00:00:00"/>
    <x v="0"/>
    <n v="9518649334"/>
    <n v="2"/>
    <s v="9518649334-2"/>
    <s v="No Priority"/>
    <x v="0"/>
    <m/>
    <x v="0"/>
    <x v="0"/>
    <x v="0"/>
    <m/>
    <x v="0"/>
    <m/>
    <m/>
    <m/>
    <s v="North"/>
    <s v="FARIDABAD"/>
    <x v="2"/>
    <x v="3"/>
    <x v="3"/>
    <x v="276"/>
    <s v="HR COILS-PO IS 10748 GR 1 2.20X1250"/>
    <s v=" "/>
    <s v=""/>
    <n v="17"/>
    <n v="26"/>
    <m/>
    <x v="0"/>
    <x v="11"/>
    <s v="HG01"/>
    <x v="56"/>
    <x v="0"/>
    <x v="0"/>
    <n v="50"/>
    <n v="0"/>
    <n v="50"/>
    <n v="50"/>
    <n v="50"/>
    <n v="0"/>
    <n v="0"/>
    <n v="0"/>
    <n v="0"/>
    <n v="0"/>
    <n v="0"/>
    <n v="0"/>
    <n v="0"/>
    <n v="0"/>
    <n v="0"/>
    <n v="0"/>
    <n v="0"/>
    <n v="0"/>
    <n v="0"/>
    <n v="0"/>
    <n v="0"/>
    <n v="0"/>
    <n v="0"/>
    <n v="0"/>
    <n v="0"/>
    <n v="0"/>
    <n v="0"/>
    <n v="0"/>
    <n v="0"/>
    <m/>
    <n v="0"/>
    <n v="0"/>
    <n v="0"/>
    <n v="0"/>
    <n v="0"/>
    <n v="0"/>
    <n v="0"/>
    <n v="0"/>
    <n v="0"/>
    <n v="0"/>
    <n v="0"/>
    <n v="0"/>
    <n v="0"/>
    <n v="0"/>
    <m/>
    <m/>
    <m/>
    <m/>
    <m/>
    <m/>
    <m/>
    <m/>
    <m/>
    <m/>
    <m/>
    <m/>
    <m/>
    <m/>
    <m/>
    <m/>
    <m/>
    <m/>
    <m/>
    <m/>
    <m/>
    <m/>
    <m/>
    <m/>
    <m/>
    <m/>
    <m/>
    <m/>
    <m/>
    <m/>
    <m/>
    <m/>
    <m/>
    <m/>
  </r>
  <r>
    <n v="744"/>
    <d v="2025-03-29T00:00:00"/>
    <x v="0"/>
    <n v="9518651680"/>
    <n v="1"/>
    <s v="9518651680-1"/>
    <s v="May'25"/>
    <x v="0"/>
    <m/>
    <x v="2"/>
    <x v="3"/>
    <x v="2"/>
    <m/>
    <x v="1"/>
    <m/>
    <m/>
    <m/>
    <s v="TBSPL"/>
    <s v="GAMHARIA"/>
    <x v="2"/>
    <x v="15"/>
    <x v="15"/>
    <x v="86"/>
    <s v="PPGL C Y550 ISC6 0.45BMT(0.50TPT)X1220"/>
    <s v="aZ70"/>
    <s v="PRO BLUE TSL 1913"/>
    <n v="3"/>
    <n v="5"/>
    <m/>
    <x v="3"/>
    <x v="3"/>
    <s v="ISC6"/>
    <x v="10"/>
    <x v="1"/>
    <x v="0"/>
    <n v="56"/>
    <n v="3.7749999999999999"/>
    <n v="52.225000000000001"/>
    <n v="52.225000000000001"/>
    <n v="52.225000000000001"/>
    <n v="52.225000000000001"/>
    <n v="0"/>
    <n v="0"/>
    <n v="0"/>
    <n v="0"/>
    <n v="0"/>
    <n v="0"/>
    <n v="0"/>
    <n v="0"/>
    <n v="0"/>
    <n v="0"/>
    <n v="0"/>
    <n v="0"/>
    <n v="0"/>
    <n v="0"/>
    <n v="0"/>
    <n v="0"/>
    <n v="0"/>
    <n v="0"/>
    <n v="0"/>
    <n v="0"/>
    <n v="0"/>
    <n v="0"/>
    <n v="0"/>
    <m/>
    <n v="0"/>
    <n v="52.225000000000001"/>
    <n v="0"/>
    <n v="0"/>
    <n v="52.225000000000001"/>
    <n v="0"/>
    <n v="0"/>
    <n v="52.225000000000001"/>
    <n v="0"/>
    <n v="0"/>
    <n v="0"/>
    <n v="52.225000000000001"/>
    <n v="0"/>
    <n v="0"/>
    <m/>
    <m/>
    <m/>
    <m/>
    <m/>
    <m/>
    <m/>
    <m/>
    <m/>
    <m/>
    <m/>
    <m/>
    <m/>
    <m/>
    <m/>
    <m/>
    <m/>
    <m/>
    <m/>
    <m/>
    <m/>
    <m/>
    <m/>
    <m/>
    <m/>
    <m/>
    <m/>
    <m/>
    <m/>
    <m/>
    <m/>
    <m/>
    <m/>
    <m/>
  </r>
  <r>
    <n v="744"/>
    <d v="2025-03-29T00:00:00"/>
    <x v="0"/>
    <n v="9518651680"/>
    <n v="2"/>
    <s v="9518651680-2"/>
    <s v="May'25"/>
    <x v="0"/>
    <m/>
    <x v="2"/>
    <x v="3"/>
    <x v="2"/>
    <m/>
    <x v="1"/>
    <m/>
    <m/>
    <m/>
    <s v="TBSPL"/>
    <s v="GAMHARIA"/>
    <x v="2"/>
    <x v="15"/>
    <x v="15"/>
    <x v="78"/>
    <s v="PPGL C Y550 ISC6 0.40BMT(0.45TPT)X1220"/>
    <s v="aZ70"/>
    <s v="PRO BLUE TSL 1913"/>
    <n v="3"/>
    <n v="5"/>
    <m/>
    <x v="3"/>
    <x v="3"/>
    <s v="ISC6"/>
    <x v="2"/>
    <x v="1"/>
    <x v="0"/>
    <n v="224"/>
    <n v="0"/>
    <n v="224"/>
    <n v="224"/>
    <n v="155.94"/>
    <n v="21.07"/>
    <n v="0"/>
    <n v="0"/>
    <n v="0"/>
    <n v="0"/>
    <n v="0"/>
    <n v="0"/>
    <n v="0"/>
    <n v="2.2150000000000003"/>
    <n v="0"/>
    <n v="17.990000000000002"/>
    <n v="0"/>
    <n v="0"/>
    <n v="0"/>
    <n v="0"/>
    <n v="0"/>
    <n v="43.185000000000002"/>
    <n v="0"/>
    <n v="0"/>
    <n v="4.67"/>
    <n v="68.06"/>
    <n v="68.06"/>
    <n v="0"/>
    <n v="68.06"/>
    <m/>
    <n v="57.394999999999996"/>
    <n v="21.07"/>
    <n v="0"/>
    <n v="21.07"/>
    <n v="0"/>
    <n v="0"/>
    <n v="0"/>
    <n v="78.465000000000003"/>
    <n v="0"/>
    <n v="0"/>
    <n v="78.465000000000003"/>
    <n v="0"/>
    <n v="0"/>
    <n v="0"/>
    <m/>
    <m/>
    <m/>
    <m/>
    <m/>
    <m/>
    <m/>
    <m/>
    <m/>
    <m/>
    <m/>
    <m/>
    <m/>
    <m/>
    <m/>
    <m/>
    <m/>
    <m/>
    <m/>
    <m/>
    <m/>
    <m/>
    <m/>
    <m/>
    <m/>
    <m/>
    <m/>
    <m/>
    <m/>
    <m/>
    <m/>
    <m/>
    <m/>
    <m/>
  </r>
  <r>
    <n v="744"/>
    <d v="2025-04-08T00:00:00"/>
    <x v="0"/>
    <n v="9518677543"/>
    <n v="1"/>
    <s v="9518677543-1"/>
    <s v="May'25"/>
    <x v="0"/>
    <m/>
    <x v="2"/>
    <x v="3"/>
    <x v="2"/>
    <m/>
    <x v="1"/>
    <m/>
    <m/>
    <m/>
    <s v="TBSPL"/>
    <s v=" "/>
    <x v="2"/>
    <x v="6"/>
    <x v="6"/>
    <x v="277"/>
    <s v="PPGL C HARD Y550PL SXO1 0.53(TPT)X1220"/>
    <s v="AZ150"/>
    <s v="RAL 9002 TSL 2101"/>
    <n v="2"/>
    <n v="5"/>
    <m/>
    <x v="3"/>
    <x v="3"/>
    <s v="SXO1"/>
    <x v="34"/>
    <x v="1"/>
    <x v="0"/>
    <n v="279.99"/>
    <n v="58.45"/>
    <n v="221.54"/>
    <n v="202.72499999999999"/>
    <n v="221.54"/>
    <n v="213.255"/>
    <n v="0"/>
    <n v="0"/>
    <n v="0"/>
    <n v="0"/>
    <n v="0"/>
    <n v="0"/>
    <n v="0"/>
    <n v="0"/>
    <n v="0"/>
    <n v="0"/>
    <n v="0"/>
    <n v="0"/>
    <n v="0"/>
    <n v="0"/>
    <n v="0"/>
    <n v="0"/>
    <n v="0"/>
    <n v="0"/>
    <n v="0"/>
    <n v="0"/>
    <n v="0"/>
    <n v="0"/>
    <n v="0"/>
    <m/>
    <n v="0"/>
    <n v="213.255"/>
    <n v="0"/>
    <n v="0"/>
    <n v="213.255"/>
    <n v="0"/>
    <n v="0"/>
    <n v="213.255"/>
    <n v="0"/>
    <n v="0"/>
    <n v="0"/>
    <n v="213.255"/>
    <n v="0"/>
    <n v="0"/>
    <m/>
    <m/>
    <m/>
    <m/>
    <m/>
    <m/>
    <m/>
    <m/>
    <m/>
    <m/>
    <m/>
    <m/>
    <m/>
    <m/>
    <m/>
    <m/>
    <m/>
    <m/>
    <m/>
    <m/>
    <m/>
    <m/>
    <m/>
    <m/>
    <m/>
    <m/>
    <m/>
    <m/>
    <m/>
    <m/>
    <m/>
    <m/>
    <m/>
    <m/>
  </r>
  <r>
    <n v="743"/>
    <d v="2025-04-14T00:00:00"/>
    <x v="0"/>
    <n v="9518692220"/>
    <n v="13"/>
    <s v="9518692220-13"/>
    <s v="No Priority"/>
    <x v="0"/>
    <m/>
    <x v="3"/>
    <x v="14"/>
    <x v="0"/>
    <m/>
    <x v="0"/>
    <m/>
    <m/>
    <m/>
    <s v="East"/>
    <s v=" "/>
    <x v="2"/>
    <x v="10"/>
    <x v="10"/>
    <x v="278"/>
    <s v="GP COIL SOFT-TATXGP-GLK1-0.5X1220"/>
    <s v="Z80"/>
    <s v=""/>
    <n v="4"/>
    <n v="12"/>
    <m/>
    <x v="7"/>
    <x v="5"/>
    <s v="GLK1"/>
    <x v="1"/>
    <x v="1"/>
    <x v="0"/>
    <n v="84"/>
    <n v="0"/>
    <n v="84"/>
    <n v="84"/>
    <n v="0"/>
    <n v="84"/>
    <n v="0"/>
    <n v="0"/>
    <n v="0"/>
    <n v="0"/>
    <n v="0"/>
    <n v="0"/>
    <n v="0"/>
    <n v="0"/>
    <n v="0"/>
    <n v="0"/>
    <n v="0"/>
    <n v="0"/>
    <n v="0"/>
    <n v="0"/>
    <n v="0"/>
    <n v="0"/>
    <n v="0"/>
    <n v="0"/>
    <n v="0"/>
    <n v="0"/>
    <n v="0"/>
    <n v="84"/>
    <n v="84"/>
    <m/>
    <n v="0"/>
    <n v="0"/>
    <n v="0"/>
    <n v="0"/>
    <n v="0"/>
    <n v="0"/>
    <n v="0"/>
    <n v="0"/>
    <n v="0"/>
    <n v="0"/>
    <n v="0"/>
    <n v="0"/>
    <n v="0"/>
    <n v="0"/>
    <m/>
    <m/>
    <m/>
    <m/>
    <m/>
    <m/>
    <m/>
    <m/>
    <m/>
    <m/>
    <m/>
    <m/>
    <m/>
    <m/>
    <m/>
    <m/>
    <m/>
    <m/>
    <m/>
    <m/>
    <m/>
    <m/>
    <m/>
    <m/>
    <m/>
    <m/>
    <m/>
    <m/>
    <m/>
    <m/>
    <m/>
    <m/>
    <m/>
    <m/>
  </r>
  <r>
    <n v="743"/>
    <d v="2025-04-14T00:00:00"/>
    <x v="0"/>
    <n v="9518692220"/>
    <n v="6"/>
    <s v="9518692220-6"/>
    <s v="May'25"/>
    <x v="0"/>
    <m/>
    <x v="3"/>
    <x v="9"/>
    <x v="0"/>
    <m/>
    <x v="1"/>
    <m/>
    <m/>
    <m/>
    <s v="East"/>
    <s v=" "/>
    <x v="2"/>
    <x v="10"/>
    <x v="10"/>
    <x v="56"/>
    <s v="GP COIL SOFT-TATXGP-GK09-0.4X900"/>
    <s v="Z80"/>
    <s v=""/>
    <n v="4"/>
    <n v="12"/>
    <m/>
    <x v="7"/>
    <x v="5"/>
    <s v="GK09"/>
    <x v="2"/>
    <x v="3"/>
    <x v="0"/>
    <n v="147"/>
    <n v="0"/>
    <n v="147"/>
    <n v="147"/>
    <n v="147"/>
    <n v="147"/>
    <n v="0"/>
    <n v="0"/>
    <n v="0"/>
    <n v="0"/>
    <n v="0"/>
    <n v="0"/>
    <n v="0"/>
    <n v="0"/>
    <n v="0"/>
    <n v="0"/>
    <n v="0"/>
    <n v="0"/>
    <n v="0"/>
    <n v="0"/>
    <n v="0"/>
    <n v="0"/>
    <n v="0"/>
    <n v="0"/>
    <n v="0"/>
    <n v="0"/>
    <n v="0"/>
    <n v="0"/>
    <n v="0"/>
    <m/>
    <n v="0"/>
    <n v="147"/>
    <n v="0"/>
    <n v="0"/>
    <n v="147"/>
    <n v="0"/>
    <n v="0"/>
    <n v="147"/>
    <n v="0"/>
    <n v="0"/>
    <n v="147"/>
    <n v="0"/>
    <n v="0"/>
    <n v="0"/>
    <m/>
    <m/>
    <m/>
    <m/>
    <m/>
    <m/>
    <m/>
    <m/>
    <m/>
    <m/>
    <m/>
    <m/>
    <m/>
    <m/>
    <m/>
    <m/>
    <m/>
    <m/>
    <m/>
    <m/>
    <m/>
    <m/>
    <m/>
    <m/>
    <m/>
    <m/>
    <m/>
    <m/>
    <m/>
    <m/>
    <m/>
    <m/>
    <m/>
    <m/>
  </r>
  <r>
    <n v="743"/>
    <d v="2025-04-15T00:00:00"/>
    <x v="0"/>
    <n v="9518694054"/>
    <n v="3"/>
    <s v="9518694054-3"/>
    <s v="May'25"/>
    <x v="0"/>
    <m/>
    <x v="3"/>
    <x v="9"/>
    <x v="0"/>
    <m/>
    <x v="1"/>
    <m/>
    <m/>
    <m/>
    <s v="East"/>
    <s v="PATNA"/>
    <x v="2"/>
    <x v="31"/>
    <x v="31"/>
    <x v="56"/>
    <s v="GP COIL SOFT-TATXGP-GK09-0.4X900"/>
    <s v="Z80"/>
    <s v=""/>
    <n v="2"/>
    <n v="6"/>
    <m/>
    <x v="7"/>
    <x v="5"/>
    <s v="GK09"/>
    <x v="2"/>
    <x v="3"/>
    <x v="0"/>
    <n v="294"/>
    <n v="0"/>
    <n v="294"/>
    <n v="294"/>
    <n v="294"/>
    <n v="294"/>
    <n v="0"/>
    <n v="0"/>
    <n v="0"/>
    <n v="0"/>
    <n v="0"/>
    <n v="0"/>
    <n v="0"/>
    <n v="0"/>
    <n v="0"/>
    <n v="0"/>
    <n v="0"/>
    <n v="0"/>
    <n v="0"/>
    <n v="0"/>
    <n v="0"/>
    <n v="0"/>
    <n v="0"/>
    <n v="0"/>
    <n v="0"/>
    <n v="0"/>
    <n v="0"/>
    <n v="0"/>
    <n v="0"/>
    <m/>
    <n v="0"/>
    <n v="294"/>
    <n v="0"/>
    <n v="0"/>
    <n v="0"/>
    <n v="0"/>
    <n v="294"/>
    <n v="0"/>
    <n v="0"/>
    <n v="0"/>
    <n v="0"/>
    <n v="0"/>
    <n v="0"/>
    <n v="294"/>
    <m/>
    <m/>
    <m/>
    <m/>
    <m/>
    <m/>
    <m/>
    <m/>
    <m/>
    <m/>
    <m/>
    <m/>
    <m/>
    <m/>
    <m/>
    <m/>
    <m/>
    <m/>
    <m/>
    <m/>
    <m/>
    <m/>
    <m/>
    <m/>
    <m/>
    <m/>
    <m/>
    <m/>
    <m/>
    <m/>
    <m/>
    <m/>
    <m/>
    <m/>
  </r>
  <r>
    <n v="743"/>
    <d v="2025-04-15T00:00:00"/>
    <x v="0"/>
    <n v="9518694174"/>
    <n v="1"/>
    <s v="9518694174-1"/>
    <s v="May'25"/>
    <x v="0"/>
    <m/>
    <x v="3"/>
    <x v="14"/>
    <x v="0"/>
    <m/>
    <x v="1"/>
    <m/>
    <m/>
    <m/>
    <s v="East"/>
    <s v="PATNA"/>
    <x v="2"/>
    <x v="31"/>
    <x v="31"/>
    <x v="231"/>
    <s v="GP COIL SOFT-TATXGP-GK09-0.4X1220"/>
    <s v="Z80"/>
    <s v=""/>
    <n v="2"/>
    <n v="6"/>
    <m/>
    <x v="7"/>
    <x v="5"/>
    <s v="GK09"/>
    <x v="2"/>
    <x v="1"/>
    <x v="0"/>
    <n v="84"/>
    <n v="0"/>
    <n v="84"/>
    <n v="84"/>
    <n v="84"/>
    <n v="84"/>
    <n v="0"/>
    <n v="0"/>
    <n v="0"/>
    <n v="0"/>
    <n v="0"/>
    <n v="0"/>
    <n v="0"/>
    <n v="0"/>
    <n v="0"/>
    <n v="0"/>
    <n v="0"/>
    <n v="0"/>
    <n v="0"/>
    <n v="0"/>
    <n v="0"/>
    <n v="0"/>
    <n v="0"/>
    <n v="0"/>
    <n v="0"/>
    <n v="0"/>
    <n v="0"/>
    <n v="0"/>
    <n v="0"/>
    <m/>
    <n v="0"/>
    <n v="84"/>
    <n v="0"/>
    <n v="0"/>
    <n v="84"/>
    <n v="0"/>
    <n v="0"/>
    <n v="84"/>
    <n v="0"/>
    <n v="0"/>
    <n v="84"/>
    <n v="0"/>
    <n v="0"/>
    <n v="0"/>
    <m/>
    <m/>
    <m/>
    <m/>
    <m/>
    <m/>
    <m/>
    <m/>
    <m/>
    <m/>
    <m/>
    <m/>
    <m/>
    <m/>
    <m/>
    <m/>
    <m/>
    <m/>
    <m/>
    <m/>
    <m/>
    <m/>
    <m/>
    <m/>
    <m/>
    <m/>
    <m/>
    <m/>
    <m/>
    <m/>
    <m/>
    <m/>
    <m/>
    <m/>
  </r>
  <r>
    <n v="743"/>
    <d v="2025-04-15T00:00:00"/>
    <x v="0"/>
    <n v="9518694174"/>
    <n v="2"/>
    <s v="9518694174-2"/>
    <s v="May'25"/>
    <x v="0"/>
    <m/>
    <x v="3"/>
    <x v="14"/>
    <x v="0"/>
    <m/>
    <x v="1"/>
    <m/>
    <m/>
    <m/>
    <s v="East"/>
    <s v="PATNA"/>
    <x v="2"/>
    <x v="31"/>
    <x v="31"/>
    <x v="279"/>
    <s v="GP COIL SOFT-TATXGP-GK09-0.5X1220"/>
    <s v="Z80"/>
    <s v=""/>
    <n v="2"/>
    <n v="4"/>
    <m/>
    <x v="7"/>
    <x v="5"/>
    <s v="GK09"/>
    <x v="1"/>
    <x v="1"/>
    <x v="0"/>
    <n v="112"/>
    <n v="0"/>
    <n v="112"/>
    <n v="112"/>
    <n v="112"/>
    <n v="112"/>
    <n v="0"/>
    <n v="0"/>
    <n v="0"/>
    <n v="0"/>
    <n v="0"/>
    <n v="0"/>
    <n v="0"/>
    <n v="0"/>
    <n v="0"/>
    <n v="0"/>
    <n v="0"/>
    <n v="0"/>
    <n v="0"/>
    <n v="0"/>
    <n v="0"/>
    <n v="0"/>
    <n v="0"/>
    <n v="0"/>
    <n v="0"/>
    <n v="0"/>
    <n v="0"/>
    <n v="0"/>
    <n v="0"/>
    <m/>
    <n v="0"/>
    <n v="112"/>
    <n v="0"/>
    <n v="0"/>
    <n v="112"/>
    <n v="0"/>
    <n v="0"/>
    <n v="112"/>
    <n v="0"/>
    <n v="0"/>
    <n v="112"/>
    <n v="0"/>
    <n v="0"/>
    <n v="0"/>
    <m/>
    <m/>
    <m/>
    <m/>
    <m/>
    <m/>
    <m/>
    <m/>
    <m/>
    <m/>
    <m/>
    <m/>
    <m/>
    <m/>
    <m/>
    <m/>
    <m/>
    <m/>
    <m/>
    <m/>
    <m/>
    <m/>
    <m/>
    <m/>
    <m/>
    <m/>
    <m/>
    <m/>
    <m/>
    <m/>
    <m/>
    <m/>
    <m/>
    <m/>
  </r>
  <r>
    <n v="743"/>
    <d v="2025-04-15T00:00:00"/>
    <x v="0"/>
    <n v="9518694174"/>
    <n v="3"/>
    <s v="9518694174-3"/>
    <s v="May'25"/>
    <x v="0"/>
    <m/>
    <x v="3"/>
    <x v="14"/>
    <x v="0"/>
    <m/>
    <x v="1"/>
    <m/>
    <m/>
    <m/>
    <s v="East"/>
    <s v="PATNA"/>
    <x v="2"/>
    <x v="31"/>
    <x v="31"/>
    <x v="280"/>
    <s v="GP COIL SOFT-TATXGP-GK09-0.6X1220"/>
    <s v="Z80"/>
    <s v=""/>
    <n v="2"/>
    <n v="4"/>
    <m/>
    <x v="7"/>
    <x v="5"/>
    <s v="GK09"/>
    <x v="20"/>
    <x v="1"/>
    <x v="0"/>
    <n v="112"/>
    <n v="0"/>
    <n v="112"/>
    <n v="112"/>
    <n v="-1.9000000000000057"/>
    <n v="112"/>
    <n v="0"/>
    <n v="0"/>
    <n v="113.9"/>
    <n v="0"/>
    <n v="0"/>
    <n v="0"/>
    <n v="0"/>
    <n v="0"/>
    <n v="0"/>
    <n v="0"/>
    <n v="0"/>
    <n v="0"/>
    <n v="0"/>
    <n v="0"/>
    <n v="0"/>
    <n v="0"/>
    <n v="0"/>
    <n v="0"/>
    <n v="0"/>
    <n v="113.9"/>
    <n v="113.9"/>
    <n v="0"/>
    <n v="113.9"/>
    <m/>
    <n v="0"/>
    <n v="112"/>
    <n v="0"/>
    <n v="112"/>
    <n v="0"/>
    <n v="0"/>
    <n v="0"/>
    <n v="112"/>
    <n v="0"/>
    <n v="112"/>
    <n v="0"/>
    <n v="0"/>
    <n v="0"/>
    <n v="0"/>
    <m/>
    <m/>
    <m/>
    <m/>
    <m/>
    <m/>
    <m/>
    <m/>
    <m/>
    <m/>
    <m/>
    <m/>
    <m/>
    <m/>
    <m/>
    <m/>
    <m/>
    <m/>
    <m/>
    <m/>
    <m/>
    <m/>
    <m/>
    <m/>
    <m/>
    <m/>
    <m/>
    <m/>
    <m/>
    <m/>
    <m/>
    <m/>
    <m/>
    <m/>
  </r>
  <r>
    <n v="744"/>
    <d v="2025-03-31T00:00:00"/>
    <x v="0"/>
    <n v="9518660695"/>
    <n v="1"/>
    <s v="9518660695-1"/>
    <s v="Stocks"/>
    <x v="0"/>
    <m/>
    <x v="2"/>
    <x v="3"/>
    <x v="2"/>
    <m/>
    <x v="1"/>
    <m/>
    <m/>
    <m/>
    <s v="TBSPL"/>
    <s v="GAMHARIA"/>
    <x v="2"/>
    <x v="15"/>
    <x v="15"/>
    <x v="198"/>
    <s v="PPGL C Y550 D0C7 0.48BMT(0.52TPT)X1220"/>
    <s v="aZ70"/>
    <s v="NUVO BLUE TSL 1903"/>
    <n v="3"/>
    <n v="5"/>
    <m/>
    <x v="3"/>
    <x v="3"/>
    <s v="D0C7"/>
    <x v="8"/>
    <x v="1"/>
    <x v="0"/>
    <n v="28"/>
    <n v="0"/>
    <n v="28"/>
    <n v="0.46"/>
    <n v="0"/>
    <n v="7.46"/>
    <n v="0"/>
    <n v="0"/>
    <n v="0"/>
    <n v="0"/>
    <n v="0"/>
    <n v="0"/>
    <n v="0"/>
    <n v="0"/>
    <n v="0"/>
    <n v="0"/>
    <n v="0"/>
    <n v="0"/>
    <n v="0"/>
    <n v="0"/>
    <n v="0"/>
    <n v="0"/>
    <n v="0"/>
    <n v="0"/>
    <n v="2.3149999999999999"/>
    <n v="2.3149999999999999"/>
    <n v="2.3149999999999999"/>
    <n v="0"/>
    <n v="2.3149999999999999"/>
    <m/>
    <n v="2.3149999999999999"/>
    <n v="0"/>
    <n v="0"/>
    <n v="0"/>
    <n v="0"/>
    <n v="0"/>
    <n v="0"/>
    <n v="2.3149999999999999"/>
    <n v="2.3149999999999999"/>
    <n v="0"/>
    <n v="0"/>
    <n v="0"/>
    <n v="0"/>
    <n v="0"/>
    <m/>
    <m/>
    <m/>
    <m/>
    <m/>
    <m/>
    <m/>
    <m/>
    <m/>
    <m/>
    <m/>
    <m/>
    <m/>
    <m/>
    <m/>
    <m/>
    <m/>
    <m/>
    <m/>
    <m/>
    <m/>
    <m/>
    <m/>
    <m/>
    <m/>
    <m/>
    <m/>
    <m/>
    <m/>
    <m/>
    <m/>
    <m/>
    <m/>
    <m/>
  </r>
  <r>
    <n v="742"/>
    <d v="2025-04-15T00:00:00"/>
    <x v="1"/>
    <n v="9518695452"/>
    <n v="1"/>
    <s v="9518695452-1"/>
    <s v="May'25"/>
    <x v="0"/>
    <m/>
    <x v="1"/>
    <x v="7"/>
    <x v="2"/>
    <m/>
    <x v="1"/>
    <m/>
    <m/>
    <m/>
    <s v="East"/>
    <s v="PILKHUWA"/>
    <x v="2"/>
    <x v="24"/>
    <x v="23"/>
    <x v="37"/>
    <s v="CR COIL TSBSTA EL06 0.500X1250"/>
    <s v=" "/>
    <s v=""/>
    <n v="8"/>
    <n v="14"/>
    <m/>
    <x v="1"/>
    <x v="9"/>
    <s v="EL06"/>
    <x v="1"/>
    <x v="0"/>
    <x v="0"/>
    <n v="290"/>
    <n v="0"/>
    <n v="290"/>
    <n v="290"/>
    <n v="31.090000000000032"/>
    <n v="290"/>
    <n v="0"/>
    <n v="0"/>
    <n v="201.38"/>
    <n v="57.53"/>
    <n v="0"/>
    <n v="0"/>
    <n v="0"/>
    <n v="0"/>
    <n v="0"/>
    <n v="0"/>
    <n v="0"/>
    <n v="0"/>
    <n v="0"/>
    <n v="0"/>
    <n v="0"/>
    <n v="0"/>
    <n v="0"/>
    <n v="0"/>
    <n v="0"/>
    <n v="258.90999999999997"/>
    <n v="258.90999999999997"/>
    <n v="0"/>
    <n v="258.90999999999997"/>
    <m/>
    <n v="0"/>
    <n v="290"/>
    <n v="0"/>
    <n v="0"/>
    <n v="290"/>
    <n v="0"/>
    <n v="0"/>
    <n v="290"/>
    <n v="0"/>
    <n v="0"/>
    <n v="290"/>
    <n v="0"/>
    <n v="0"/>
    <n v="0"/>
    <m/>
    <m/>
    <m/>
    <m/>
    <m/>
    <m/>
    <m/>
    <m/>
    <m/>
    <m/>
    <m/>
    <m/>
    <m/>
    <m/>
    <m/>
    <m/>
    <m/>
    <m/>
    <m/>
    <m/>
    <m/>
    <m/>
    <m/>
    <m/>
    <m/>
    <m/>
    <m/>
    <m/>
    <m/>
    <m/>
    <m/>
    <m/>
    <m/>
    <m/>
  </r>
  <r>
    <n v="743"/>
    <d v="2025-04-14T00:00:00"/>
    <x v="0"/>
    <n v="9518692103"/>
    <n v="7"/>
    <s v="9518692103-7"/>
    <s v="No Priority"/>
    <x v="0"/>
    <m/>
    <x v="3"/>
    <x v="9"/>
    <x v="0"/>
    <m/>
    <x v="0"/>
    <m/>
    <m/>
    <m/>
    <s v="East"/>
    <s v="WEST BOKARO"/>
    <x v="2"/>
    <x v="12"/>
    <x v="12"/>
    <x v="281"/>
    <s v="GP COIL SOFT-TATXGP-GK09-0.45X900"/>
    <s v="Z80"/>
    <s v=""/>
    <n v="4"/>
    <n v="12"/>
    <m/>
    <x v="7"/>
    <x v="5"/>
    <s v="GK09"/>
    <x v="1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13"/>
    <s v="9518692103-13"/>
    <s v="May'25"/>
    <x v="0"/>
    <m/>
    <x v="3"/>
    <x v="14"/>
    <x v="0"/>
    <m/>
    <x v="1"/>
    <m/>
    <m/>
    <m/>
    <s v="East"/>
    <s v="WEST BOKARO"/>
    <x v="2"/>
    <x v="12"/>
    <x v="12"/>
    <x v="282"/>
    <s v="GP COIL SOFT-TATXGP-GLK1-0.4X1220"/>
    <s v="Z80"/>
    <s v=""/>
    <n v="4"/>
    <n v="12"/>
    <m/>
    <x v="7"/>
    <x v="5"/>
    <s v="GLK1"/>
    <x v="2"/>
    <x v="1"/>
    <x v="0"/>
    <n v="28"/>
    <n v="0"/>
    <n v="28"/>
    <n v="28"/>
    <n v="28"/>
    <n v="28"/>
    <n v="0"/>
    <n v="0"/>
    <n v="0"/>
    <n v="0"/>
    <n v="0"/>
    <n v="0"/>
    <n v="0"/>
    <n v="0"/>
    <n v="0"/>
    <n v="0"/>
    <n v="0"/>
    <n v="0"/>
    <n v="0"/>
    <n v="0"/>
    <n v="0"/>
    <n v="0"/>
    <n v="0"/>
    <n v="0"/>
    <n v="0"/>
    <n v="0"/>
    <n v="0"/>
    <n v="0"/>
    <n v="0"/>
    <m/>
    <n v="0"/>
    <n v="28"/>
    <n v="0"/>
    <n v="0"/>
    <n v="28"/>
    <n v="0"/>
    <n v="0"/>
    <n v="28"/>
    <n v="0"/>
    <n v="0"/>
    <n v="28"/>
    <n v="0"/>
    <n v="0"/>
    <n v="0"/>
    <m/>
    <m/>
    <m/>
    <m/>
    <m/>
    <m/>
    <m/>
    <m/>
    <m/>
    <m/>
    <m/>
    <m/>
    <m/>
    <m/>
    <m/>
    <m/>
    <m/>
    <m/>
    <m/>
    <m/>
    <m/>
    <m/>
    <m/>
    <m/>
    <m/>
    <m/>
    <m/>
    <m/>
    <m/>
    <m/>
    <m/>
    <m/>
    <m/>
    <m/>
  </r>
  <r>
    <n v="743"/>
    <d v="2025-04-14T00:00:00"/>
    <x v="0"/>
    <n v="9518692103"/>
    <n v="14"/>
    <s v="9518692103-14"/>
    <s v="May'25"/>
    <x v="0"/>
    <m/>
    <x v="3"/>
    <x v="14"/>
    <x v="0"/>
    <m/>
    <x v="1"/>
    <m/>
    <m/>
    <m/>
    <s v="East"/>
    <s v="WEST BOKARO"/>
    <x v="2"/>
    <x v="12"/>
    <x v="12"/>
    <x v="278"/>
    <s v="GP COIL SOFT-TATXGP-GLK1-0.5X1220"/>
    <s v="Z80"/>
    <s v=""/>
    <n v="4"/>
    <n v="12"/>
    <m/>
    <x v="7"/>
    <x v="5"/>
    <s v="GLK1"/>
    <x v="1"/>
    <x v="1"/>
    <x v="0"/>
    <n v="56"/>
    <n v="0"/>
    <n v="56"/>
    <n v="56"/>
    <n v="56"/>
    <n v="56"/>
    <n v="0"/>
    <n v="0"/>
    <n v="0"/>
    <n v="0"/>
    <n v="0"/>
    <n v="0"/>
    <n v="0"/>
    <n v="0"/>
    <n v="0"/>
    <n v="0"/>
    <n v="0"/>
    <n v="0"/>
    <n v="0"/>
    <n v="0"/>
    <n v="0"/>
    <n v="0"/>
    <n v="0"/>
    <n v="0"/>
    <n v="0"/>
    <n v="0"/>
    <n v="0"/>
    <n v="0"/>
    <n v="0"/>
    <m/>
    <n v="0"/>
    <n v="56"/>
    <n v="0"/>
    <n v="0"/>
    <n v="56"/>
    <n v="0"/>
    <n v="0"/>
    <n v="56"/>
    <n v="0"/>
    <n v="0"/>
    <n v="56"/>
    <n v="0"/>
    <n v="0"/>
    <n v="0"/>
    <m/>
    <m/>
    <m/>
    <m/>
    <m/>
    <m/>
    <m/>
    <m/>
    <m/>
    <m/>
    <m/>
    <m/>
    <m/>
    <m/>
    <m/>
    <m/>
    <m/>
    <m/>
    <m/>
    <m/>
    <m/>
    <m/>
    <m/>
    <m/>
    <m/>
    <m/>
    <m/>
    <m/>
    <m/>
    <m/>
    <m/>
    <m/>
    <m/>
    <m/>
  </r>
  <r>
    <n v="743"/>
    <d v="2025-04-14T00:00:00"/>
    <x v="0"/>
    <n v="9518692103"/>
    <n v="15"/>
    <s v="9518692103-15"/>
    <s v="May'25"/>
    <x v="0"/>
    <m/>
    <x v="3"/>
    <x v="14"/>
    <x v="0"/>
    <m/>
    <x v="1"/>
    <m/>
    <m/>
    <m/>
    <s v="East"/>
    <s v="WEST BOKARO"/>
    <x v="2"/>
    <x v="12"/>
    <x v="12"/>
    <x v="266"/>
    <s v="GP COIL SOFT-TATXGP-GLK1-0.6X1220"/>
    <s v="Z80"/>
    <s v=""/>
    <n v="4"/>
    <n v="12"/>
    <m/>
    <x v="7"/>
    <x v="5"/>
    <s v="GLK1"/>
    <x v="20"/>
    <x v="1"/>
    <x v="0"/>
    <n v="56"/>
    <n v="0"/>
    <n v="56"/>
    <n v="56"/>
    <n v="56"/>
    <n v="56"/>
    <n v="0"/>
    <n v="0"/>
    <n v="0"/>
    <n v="0"/>
    <n v="0"/>
    <n v="0"/>
    <n v="0"/>
    <n v="0"/>
    <n v="0"/>
    <n v="0"/>
    <n v="0"/>
    <n v="0"/>
    <n v="0"/>
    <n v="0"/>
    <n v="0"/>
    <n v="0"/>
    <n v="0"/>
    <n v="0"/>
    <n v="0"/>
    <n v="0"/>
    <n v="0"/>
    <n v="0"/>
    <n v="0"/>
    <m/>
    <n v="0"/>
    <n v="56"/>
    <n v="0"/>
    <n v="0"/>
    <n v="56"/>
    <n v="0"/>
    <n v="0"/>
    <n v="56"/>
    <n v="0"/>
    <n v="0"/>
    <n v="0"/>
    <n v="56"/>
    <n v="0"/>
    <n v="0"/>
    <m/>
    <m/>
    <m/>
    <m/>
    <m/>
    <m/>
    <m/>
    <m/>
    <m/>
    <m/>
    <m/>
    <m/>
    <m/>
    <m/>
    <m/>
    <m/>
    <m/>
    <m/>
    <m/>
    <m/>
    <m/>
    <m/>
    <m/>
    <m/>
    <m/>
    <m/>
    <m/>
    <m/>
    <m/>
    <m/>
    <m/>
    <m/>
    <m/>
    <m/>
  </r>
  <r>
    <n v="743"/>
    <d v="2025-04-15T00:00:00"/>
    <x v="0"/>
    <n v="9518694054"/>
    <n v="2"/>
    <s v="9518694054-2"/>
    <s v="May'25"/>
    <x v="0"/>
    <m/>
    <x v="3"/>
    <x v="9"/>
    <x v="0"/>
    <m/>
    <x v="1"/>
    <m/>
    <m/>
    <m/>
    <s v="East"/>
    <s v="PATNA"/>
    <x v="2"/>
    <x v="31"/>
    <x v="31"/>
    <x v="55"/>
    <s v="GP COIL SOFT-TATXGP-GK09-0.35X900"/>
    <s v="Z80"/>
    <s v=""/>
    <n v="2"/>
    <n v="6"/>
    <m/>
    <x v="7"/>
    <x v="5"/>
    <s v="GK09"/>
    <x v="6"/>
    <x v="3"/>
    <x v="0"/>
    <n v="252"/>
    <n v="0"/>
    <n v="252"/>
    <n v="252"/>
    <n v="252"/>
    <n v="252"/>
    <n v="0"/>
    <n v="0"/>
    <n v="0"/>
    <n v="0"/>
    <n v="0"/>
    <n v="0"/>
    <n v="0"/>
    <n v="0"/>
    <n v="0"/>
    <n v="0"/>
    <n v="0"/>
    <n v="0"/>
    <n v="0"/>
    <n v="0"/>
    <n v="0"/>
    <n v="0"/>
    <n v="0"/>
    <n v="0"/>
    <n v="0"/>
    <n v="0"/>
    <n v="0"/>
    <n v="0"/>
    <n v="0"/>
    <m/>
    <n v="0"/>
    <n v="252"/>
    <n v="0"/>
    <n v="0"/>
    <n v="252"/>
    <n v="0"/>
    <n v="0"/>
    <n v="252"/>
    <n v="0"/>
    <n v="0"/>
    <n v="252"/>
    <n v="0"/>
    <n v="0"/>
    <n v="0"/>
    <m/>
    <m/>
    <m/>
    <m/>
    <m/>
    <m/>
    <m/>
    <m/>
    <m/>
    <m/>
    <m/>
    <m/>
    <m/>
    <m/>
    <m/>
    <m/>
    <m/>
    <m/>
    <m/>
    <m/>
    <m/>
    <m/>
    <m/>
    <m/>
    <m/>
    <m/>
    <m/>
    <m/>
    <m/>
    <m/>
    <m/>
    <m/>
    <m/>
    <m/>
  </r>
  <r>
    <n v="743"/>
    <d v="2025-04-15T00:00:00"/>
    <x v="0"/>
    <n v="9518694054"/>
    <n v="4"/>
    <s v="9518694054-4"/>
    <s v="May'25"/>
    <x v="0"/>
    <m/>
    <x v="3"/>
    <x v="9"/>
    <x v="0"/>
    <m/>
    <x v="1"/>
    <m/>
    <m/>
    <m/>
    <s v="East"/>
    <s v="PATNA"/>
    <x v="2"/>
    <x v="31"/>
    <x v="31"/>
    <x v="121"/>
    <s v="GP COIL SOFT-TATXGP-GK09-0.5X900"/>
    <s v="Z80"/>
    <s v=""/>
    <n v="2"/>
    <n v="6"/>
    <m/>
    <x v="7"/>
    <x v="5"/>
    <s v="GK09"/>
    <x v="1"/>
    <x v="3"/>
    <x v="0"/>
    <n v="294"/>
    <n v="0"/>
    <n v="294"/>
    <n v="294"/>
    <n v="294"/>
    <n v="294"/>
    <n v="0"/>
    <n v="0"/>
    <n v="0"/>
    <n v="0"/>
    <n v="0"/>
    <n v="0"/>
    <n v="0"/>
    <n v="0"/>
    <n v="0"/>
    <n v="0"/>
    <n v="0"/>
    <n v="0"/>
    <n v="0"/>
    <n v="0"/>
    <n v="0"/>
    <n v="0"/>
    <n v="0"/>
    <n v="0"/>
    <n v="0"/>
    <n v="0"/>
    <n v="0"/>
    <n v="0"/>
    <n v="0"/>
    <m/>
    <n v="0"/>
    <n v="294"/>
    <n v="0"/>
    <n v="0"/>
    <n v="0"/>
    <n v="294"/>
    <n v="0"/>
    <n v="294"/>
    <n v="0"/>
    <n v="0"/>
    <n v="0"/>
    <n v="294"/>
    <n v="0"/>
    <n v="0"/>
    <m/>
    <m/>
    <m/>
    <m/>
    <m/>
    <m/>
    <m/>
    <m/>
    <m/>
    <m/>
    <m/>
    <m/>
    <m/>
    <m/>
    <m/>
    <m/>
    <m/>
    <m/>
    <m/>
    <m/>
    <m/>
    <m/>
    <m/>
    <m/>
    <m/>
    <m/>
    <m/>
    <m/>
    <m/>
    <m/>
    <m/>
    <m/>
    <m/>
    <m/>
  </r>
  <r>
    <n v="743"/>
    <d v="2025-04-11T00:00:00"/>
    <x v="0"/>
    <n v="9518683949"/>
    <n v="1"/>
    <s v="9518683949-1"/>
    <s v="May'25"/>
    <x v="0"/>
    <s v="Yes"/>
    <x v="3"/>
    <x v="9"/>
    <x v="0"/>
    <m/>
    <x v="1"/>
    <m/>
    <m/>
    <m/>
    <s v="East"/>
    <s v="WEST BENGAL"/>
    <x v="2"/>
    <x v="36"/>
    <x v="36"/>
    <x v="261"/>
    <s v="GP COIL SOFT-TATXGP-GK09-0.25X900"/>
    <s v="Z80"/>
    <s v=""/>
    <n v="5"/>
    <n v="15"/>
    <m/>
    <x v="7"/>
    <x v="5"/>
    <s v="GK09"/>
    <x v="12"/>
    <x v="3"/>
    <x v="0"/>
    <n v="21"/>
    <n v="0"/>
    <n v="21"/>
    <n v="21"/>
    <n v="21"/>
    <n v="21"/>
    <n v="0"/>
    <n v="0"/>
    <n v="0"/>
    <n v="0"/>
    <n v="0"/>
    <n v="0"/>
    <n v="0"/>
    <n v="0"/>
    <n v="0"/>
    <n v="0"/>
    <n v="0"/>
    <n v="0"/>
    <n v="0"/>
    <n v="0"/>
    <n v="0"/>
    <n v="0"/>
    <n v="0"/>
    <n v="0"/>
    <n v="0"/>
    <n v="0"/>
    <n v="0"/>
    <n v="0"/>
    <n v="0"/>
    <m/>
    <n v="0"/>
    <n v="21"/>
    <n v="0"/>
    <n v="0"/>
    <n v="21"/>
    <n v="0"/>
    <n v="0"/>
    <n v="21"/>
    <n v="0"/>
    <n v="0"/>
    <n v="0"/>
    <n v="21"/>
    <n v="0"/>
    <n v="0"/>
    <m/>
    <m/>
    <m/>
    <m/>
    <m/>
    <m/>
    <m/>
    <m/>
    <m/>
    <m/>
    <m/>
    <m/>
    <m/>
    <m/>
    <m/>
    <m/>
    <m/>
    <m/>
    <m/>
    <m/>
    <m/>
    <m/>
    <m/>
    <m/>
    <m/>
    <m/>
    <m/>
    <m/>
    <m/>
    <m/>
    <m/>
    <m/>
    <m/>
    <m/>
  </r>
  <r>
    <n v="743"/>
    <d v="2025-04-11T00:00:00"/>
    <x v="0"/>
    <n v="9518683949"/>
    <n v="2"/>
    <s v="9518683949-2"/>
    <s v="May'25"/>
    <x v="0"/>
    <s v="Yes"/>
    <x v="3"/>
    <x v="9"/>
    <x v="0"/>
    <m/>
    <x v="0"/>
    <m/>
    <m/>
    <m/>
    <s v="East"/>
    <s v="WEST BENGAL"/>
    <x v="2"/>
    <x v="36"/>
    <x v="36"/>
    <x v="51"/>
    <s v="GP COIL SOFT-TATXGP-GK09-0.3X900"/>
    <s v="Z80"/>
    <s v=""/>
    <n v="5"/>
    <n v="15"/>
    <m/>
    <x v="7"/>
    <x v="5"/>
    <s v="GK09"/>
    <x v="11"/>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2"/>
    <d v="2025-04-19T00:00:00"/>
    <x v="0"/>
    <n v="9518704886"/>
    <n v="1"/>
    <s v="9518704886-1"/>
    <s v="No Priority"/>
    <x v="0"/>
    <m/>
    <x v="1"/>
    <x v="1"/>
    <x v="0"/>
    <m/>
    <x v="0"/>
    <m/>
    <m/>
    <m/>
    <s v="South"/>
    <s v="YESHWANTHPURA"/>
    <x v="2"/>
    <x v="89"/>
    <x v="86"/>
    <x v="228"/>
    <s v="CRCA COIL-TATXXD-AU03-1X1250"/>
    <s v=" "/>
    <s v=""/>
    <n v="10"/>
    <n v="24"/>
    <m/>
    <x v="1"/>
    <x v="2"/>
    <s v="AU03"/>
    <x v="17"/>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80"/>
    <n v="5"/>
    <s v="9518703480-5"/>
    <s v="No Priority"/>
    <x v="0"/>
    <m/>
    <x v="1"/>
    <x v="10"/>
    <x v="2"/>
    <m/>
    <x v="0"/>
    <m/>
    <m/>
    <m/>
    <s v="South"/>
    <s v="VISAJHAPATNAM"/>
    <x v="2"/>
    <x v="41"/>
    <x v="40"/>
    <x v="283"/>
    <s v="CRCA COIL TATXXD BT01 1.200X1220"/>
    <s v=" "/>
    <s v=""/>
    <n v="8"/>
    <n v="12"/>
    <m/>
    <x v="1"/>
    <x v="2"/>
    <s v="BT01"/>
    <x v="19"/>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80"/>
    <n v="7"/>
    <s v="9518703480-7"/>
    <s v="May'25"/>
    <x v="0"/>
    <m/>
    <x v="1"/>
    <x v="10"/>
    <x v="2"/>
    <m/>
    <x v="1"/>
    <m/>
    <s v="P1-Priority for Balmer"/>
    <m/>
    <s v="South"/>
    <s v="VISAJHAPATNAM"/>
    <x v="2"/>
    <x v="41"/>
    <x v="40"/>
    <x v="284"/>
    <s v="CRCA COIL TATXXD BT01 0.900X1220"/>
    <s v=" "/>
    <s v=""/>
    <n v="8"/>
    <n v="12"/>
    <m/>
    <x v="1"/>
    <x v="2"/>
    <s v="BT01"/>
    <x v="13"/>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2"/>
    <d v="2025-04-07T00:00:00"/>
    <x v="0"/>
    <n v="9518674992"/>
    <n v="2"/>
    <s v="9518674992-2"/>
    <s v="No Priority"/>
    <x v="0"/>
    <s v="Yes"/>
    <x v="1"/>
    <x v="1"/>
    <x v="0"/>
    <m/>
    <x v="0"/>
    <m/>
    <s v="De-prioritized due to Apr CF orders"/>
    <m/>
    <s v="South"/>
    <s v="YESHWANTHPURA"/>
    <x v="2"/>
    <x v="40"/>
    <x v="0"/>
    <x v="5"/>
    <s v="CRCA COIL TATXXD AU03 0.4X1250"/>
    <s v=" "/>
    <s v=""/>
    <n v="2"/>
    <n v="18"/>
    <m/>
    <x v="1"/>
    <x v="2"/>
    <s v="AU03"/>
    <x v="2"/>
    <x v="0"/>
    <x v="0"/>
    <n v="145"/>
    <n v="0"/>
    <n v="145"/>
    <n v="145"/>
    <n v="145"/>
    <n v="145"/>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7214"/>
    <n v="6"/>
    <s v="9518667214-6"/>
    <s v="No Priority"/>
    <x v="0"/>
    <s v="Yes"/>
    <x v="1"/>
    <x v="1"/>
    <x v="0"/>
    <m/>
    <x v="0"/>
    <m/>
    <m/>
    <m/>
    <s v="South"/>
    <s v="YESHWANTHPURA"/>
    <x v="2"/>
    <x v="59"/>
    <x v="56"/>
    <x v="69"/>
    <s v="CRCA COIL TATXXD AU03 1.500X1250"/>
    <s v=" "/>
    <s v=""/>
    <n v="15"/>
    <n v="28"/>
    <m/>
    <x v="1"/>
    <x v="2"/>
    <s v="AU03"/>
    <x v="27"/>
    <x v="0"/>
    <x v="0"/>
    <n v="29"/>
    <n v="0"/>
    <n v="29"/>
    <n v="0.74"/>
    <n v="0"/>
    <n v="3.3849999999999998"/>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7"/>
    <s v="9518628976-7"/>
    <s v="May'25"/>
    <x v="0"/>
    <s v="Yes"/>
    <x v="1"/>
    <x v="1"/>
    <x v="0"/>
    <m/>
    <x v="1"/>
    <m/>
    <m/>
    <m/>
    <s v="South"/>
    <s v="VALPARAI"/>
    <x v="2"/>
    <x v="13"/>
    <x v="13"/>
    <x v="237"/>
    <s v="CRSHEET TATXXD AU03 1.20X1250X2500"/>
    <s v=" "/>
    <s v=""/>
    <n v="0"/>
    <n v="0"/>
    <m/>
    <x v="2"/>
    <x v="2"/>
    <s v="AU03"/>
    <x v="19"/>
    <x v="0"/>
    <x v="3"/>
    <n v="60"/>
    <n v="0"/>
    <n v="60"/>
    <n v="60"/>
    <n v="60"/>
    <n v="60"/>
    <n v="0"/>
    <n v="0"/>
    <n v="0"/>
    <n v="0"/>
    <n v="0"/>
    <n v="0"/>
    <n v="0"/>
    <n v="0"/>
    <n v="0"/>
    <n v="0"/>
    <n v="0"/>
    <n v="0"/>
    <n v="0"/>
    <n v="0"/>
    <n v="0"/>
    <n v="0"/>
    <n v="0"/>
    <n v="0"/>
    <n v="0"/>
    <n v="0"/>
    <n v="0"/>
    <n v="0"/>
    <n v="0"/>
    <m/>
    <n v="0"/>
    <n v="60"/>
    <n v="0"/>
    <n v="0"/>
    <n v="0"/>
    <n v="60"/>
    <n v="0"/>
    <n v="60"/>
    <n v="0"/>
    <n v="0"/>
    <n v="0"/>
    <n v="60"/>
    <n v="0"/>
    <n v="0"/>
    <m/>
    <m/>
    <m/>
    <m/>
    <m/>
    <m/>
    <m/>
    <m/>
    <m/>
    <m/>
    <m/>
    <m/>
    <m/>
    <m/>
    <m/>
    <m/>
    <m/>
    <m/>
    <m/>
    <m/>
    <m/>
    <m/>
    <m/>
    <m/>
    <m/>
    <m/>
    <m/>
    <m/>
    <m/>
    <m/>
    <m/>
    <m/>
    <m/>
    <m/>
  </r>
  <r>
    <n v="742"/>
    <d v="2025-03-24T00:00:00"/>
    <x v="0"/>
    <n v="9518628976"/>
    <n v="8"/>
    <s v="9518628976-8"/>
    <s v="No Priority"/>
    <x v="0"/>
    <m/>
    <x v="1"/>
    <x v="1"/>
    <x v="0"/>
    <m/>
    <x v="0"/>
    <m/>
    <m/>
    <m/>
    <s v="South"/>
    <s v="VALPARAI"/>
    <x v="2"/>
    <x v="13"/>
    <x v="13"/>
    <x v="285"/>
    <s v="CRSHEET TATXXD AU03 1.50X1250X2500"/>
    <s v=" "/>
    <s v=""/>
    <n v="0"/>
    <n v="0"/>
    <m/>
    <x v="2"/>
    <x v="2"/>
    <s v="AU03"/>
    <x v="27"/>
    <x v="0"/>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9"/>
    <s v="9518628976-9"/>
    <s v="No Priority"/>
    <x v="0"/>
    <m/>
    <x v="1"/>
    <x v="1"/>
    <x v="0"/>
    <m/>
    <x v="0"/>
    <m/>
    <m/>
    <m/>
    <s v="South"/>
    <s v="VALPARAI"/>
    <x v="2"/>
    <x v="13"/>
    <x v="13"/>
    <x v="286"/>
    <s v="CRSHEET C06 TATXXD AU03 1.6X1250X2500"/>
    <s v=" "/>
    <s v=""/>
    <n v="0"/>
    <n v="0"/>
    <m/>
    <x v="2"/>
    <x v="2"/>
    <s v="AU03"/>
    <x v="22"/>
    <x v="0"/>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10"/>
    <s v="9518628976-10"/>
    <s v="No Priority"/>
    <x v="0"/>
    <m/>
    <x v="1"/>
    <x v="1"/>
    <x v="0"/>
    <m/>
    <x v="0"/>
    <m/>
    <m/>
    <m/>
    <s v="South"/>
    <s v="VALPARAI"/>
    <x v="2"/>
    <x v="13"/>
    <x v="13"/>
    <x v="287"/>
    <s v="CRSHEET C06TATXXD AU03 2.0X1250X2500"/>
    <s v=" "/>
    <s v=""/>
    <n v="0"/>
    <n v="0"/>
    <m/>
    <x v="2"/>
    <x v="2"/>
    <s v="AU03"/>
    <x v="15"/>
    <x v="0"/>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4"/>
    <d v="2025-04-15T00:00:00"/>
    <x v="0"/>
    <n v="9518694646"/>
    <n v="1"/>
    <s v="9518694646-1"/>
    <s v="No Priority"/>
    <x v="0"/>
    <m/>
    <x v="2"/>
    <x v="3"/>
    <x v="2"/>
    <m/>
    <x v="0"/>
    <m/>
    <m/>
    <m/>
    <s v="TBSPL"/>
    <s v="GAMHARIA"/>
    <x v="2"/>
    <x v="15"/>
    <x v="15"/>
    <x v="288"/>
    <s v="PPGL C HARD Y550PL D0C9 0.53(TPT)X1220"/>
    <s v="AZ150"/>
    <s v="RAL 5012 TSL 1802"/>
    <n v="3"/>
    <n v="5"/>
    <m/>
    <x v="3"/>
    <x v="3"/>
    <s v="D0C9"/>
    <x v="34"/>
    <x v="1"/>
    <x v="0"/>
    <n v="56"/>
    <n v="0"/>
    <n v="56"/>
    <n v="56"/>
    <n v="48.74"/>
    <n v="14.98"/>
    <n v="0"/>
    <n v="0"/>
    <n v="0"/>
    <n v="0"/>
    <n v="0"/>
    <n v="0"/>
    <n v="0"/>
    <n v="7.26"/>
    <n v="0"/>
    <n v="0"/>
    <n v="0"/>
    <n v="0"/>
    <n v="0"/>
    <n v="0"/>
    <n v="0"/>
    <n v="0"/>
    <n v="0"/>
    <n v="0"/>
    <n v="0"/>
    <n v="7.26"/>
    <n v="7.26"/>
    <n v="0"/>
    <n v="7.26"/>
    <m/>
    <n v="0"/>
    <n v="0"/>
    <n v="0"/>
    <n v="0"/>
    <n v="0"/>
    <n v="0"/>
    <n v="0"/>
    <n v="0"/>
    <n v="0"/>
    <n v="0"/>
    <n v="0"/>
    <n v="0"/>
    <n v="0"/>
    <n v="0"/>
    <m/>
    <m/>
    <m/>
    <m/>
    <m/>
    <m/>
    <m/>
    <m/>
    <m/>
    <m/>
    <m/>
    <m/>
    <m/>
    <m/>
    <m/>
    <m/>
    <m/>
    <m/>
    <m/>
    <m/>
    <m/>
    <m/>
    <m/>
    <m/>
    <m/>
    <m/>
    <m/>
    <m/>
    <m/>
    <m/>
    <m/>
    <m/>
    <m/>
    <m/>
  </r>
  <r>
    <n v="742"/>
    <d v="2025-04-15T00:00:00"/>
    <x v="0"/>
    <n v="9518694586"/>
    <n v="1"/>
    <s v="9518694586-1"/>
    <s v="May'25"/>
    <x v="0"/>
    <m/>
    <x v="1"/>
    <x v="10"/>
    <x v="2"/>
    <m/>
    <x v="1"/>
    <m/>
    <m/>
    <m/>
    <s v="South"/>
    <s v="PATANCHERU"/>
    <x v="2"/>
    <x v="93"/>
    <x v="90"/>
    <x v="289"/>
    <s v="CRCA COIL TATXXD BT01 0.900X1320"/>
    <s v=" "/>
    <s v=""/>
    <n v="6"/>
    <n v="8"/>
    <m/>
    <x v="1"/>
    <x v="2"/>
    <s v="BT01"/>
    <x v="13"/>
    <x v="9"/>
    <x v="0"/>
    <n v="90"/>
    <n v="0"/>
    <n v="90"/>
    <n v="90"/>
    <n v="90"/>
    <n v="90"/>
    <n v="0"/>
    <n v="0"/>
    <n v="0"/>
    <n v="0"/>
    <n v="0"/>
    <n v="0"/>
    <n v="0"/>
    <n v="0"/>
    <n v="0"/>
    <n v="0"/>
    <n v="0"/>
    <n v="0"/>
    <n v="0"/>
    <n v="0"/>
    <n v="0"/>
    <n v="0"/>
    <n v="0"/>
    <n v="0"/>
    <n v="0"/>
    <n v="0"/>
    <n v="0"/>
    <n v="0"/>
    <n v="0"/>
    <m/>
    <n v="0"/>
    <n v="90"/>
    <n v="0"/>
    <n v="0"/>
    <n v="90"/>
    <n v="0"/>
    <n v="0"/>
    <n v="90"/>
    <n v="0"/>
    <n v="0"/>
    <n v="0"/>
    <n v="90"/>
    <n v="0"/>
    <n v="0"/>
    <m/>
    <m/>
    <m/>
    <m/>
    <m/>
    <m/>
    <m/>
    <m/>
    <m/>
    <m/>
    <m/>
    <m/>
    <m/>
    <m/>
    <m/>
    <m/>
    <m/>
    <m/>
    <m/>
    <m/>
    <m/>
    <m/>
    <m/>
    <m/>
    <m/>
    <m/>
    <m/>
    <m/>
    <m/>
    <m/>
    <m/>
    <m/>
    <m/>
    <m/>
  </r>
  <r>
    <n v="744"/>
    <d v="2025-04-15T00:00:00"/>
    <x v="0"/>
    <n v="9518694961"/>
    <n v="1"/>
    <s v="9518694961-1"/>
    <s v="May'25"/>
    <x v="0"/>
    <m/>
    <x v="2"/>
    <x v="3"/>
    <x v="2"/>
    <m/>
    <x v="1"/>
    <m/>
    <m/>
    <m/>
    <s v="TBSPL"/>
    <s v="GAMHARIA"/>
    <x v="2"/>
    <x v="15"/>
    <x v="15"/>
    <x v="86"/>
    <s v="PPGL C Y550 ISC6 0.45BMT(0.50TPT)X1220"/>
    <s v="aZ70"/>
    <s v="PRO BLUE TSL 1913"/>
    <n v="3"/>
    <n v="5"/>
    <m/>
    <x v="3"/>
    <x v="3"/>
    <s v="ISC6"/>
    <x v="10"/>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2"/>
    <d v="2025-03-15T00:00:00"/>
    <x v="0"/>
    <n v="9518602390"/>
    <n v="2"/>
    <s v="9518602390-2"/>
    <s v="No Priority"/>
    <x v="0"/>
    <m/>
    <x v="1"/>
    <x v="1"/>
    <x v="0"/>
    <m/>
    <x v="0"/>
    <m/>
    <m/>
    <m/>
    <s v="North"/>
    <s v="JAIPUR"/>
    <x v="2"/>
    <x v="64"/>
    <x v="91"/>
    <x v="290"/>
    <s v="CRCA COIL-TATXXD-AU03-0.45X1250"/>
    <s v=" "/>
    <s v=""/>
    <n v="10"/>
    <n v="25"/>
    <m/>
    <x v="1"/>
    <x v="2"/>
    <s v="AU03"/>
    <x v="10"/>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7626"/>
    <n v="6"/>
    <s v="9518497626-6"/>
    <s v="May'25"/>
    <x v="0"/>
    <s v="Yes"/>
    <x v="1"/>
    <x v="2"/>
    <x v="0"/>
    <m/>
    <x v="1"/>
    <m/>
    <m/>
    <m/>
    <s v="South"/>
    <s v="VISHAKHAPATNAM"/>
    <x v="2"/>
    <x v="8"/>
    <x v="8"/>
    <x v="291"/>
    <s v="CRCA SHEET TATCRC SR16 0.450X1000X2440"/>
    <s v=" "/>
    <s v=""/>
    <n v="0"/>
    <n v="0"/>
    <m/>
    <x v="2"/>
    <x v="1"/>
    <s v="SR16"/>
    <x v="10"/>
    <x v="2"/>
    <x v="6"/>
    <n v="42"/>
    <n v="0"/>
    <n v="42"/>
    <n v="42"/>
    <n v="-2.4200000000000017"/>
    <n v="42"/>
    <n v="0"/>
    <n v="0"/>
    <n v="0"/>
    <n v="0"/>
    <n v="0"/>
    <n v="0"/>
    <n v="0"/>
    <n v="0"/>
    <n v="0"/>
    <n v="0"/>
    <n v="0"/>
    <n v="0"/>
    <n v="0"/>
    <n v="44.42"/>
    <n v="0"/>
    <n v="0"/>
    <n v="0"/>
    <n v="0"/>
    <n v="0"/>
    <n v="44.42"/>
    <n v="44.42"/>
    <n v="0"/>
    <n v="44.42"/>
    <m/>
    <n v="0"/>
    <n v="42"/>
    <n v="0"/>
    <n v="42"/>
    <n v="0"/>
    <n v="0"/>
    <n v="0"/>
    <n v="42"/>
    <n v="0"/>
    <n v="42"/>
    <n v="0"/>
    <n v="0"/>
    <n v="0"/>
    <n v="0"/>
    <m/>
    <m/>
    <m/>
    <m/>
    <m/>
    <m/>
    <m/>
    <m/>
    <m/>
    <m/>
    <m/>
    <m/>
    <m/>
    <m/>
    <m/>
    <m/>
    <m/>
    <m/>
    <m/>
    <m/>
    <m/>
    <m/>
    <m/>
    <m/>
    <m/>
    <m/>
    <m/>
    <m/>
    <m/>
    <m/>
    <m/>
    <m/>
    <m/>
    <m/>
  </r>
  <r>
    <n v="743"/>
    <d v="2025-03-15T00:00:00"/>
    <x v="0"/>
    <n v="9518602675"/>
    <n v="4"/>
    <s v="9518602675-4"/>
    <s v="May'25"/>
    <x v="0"/>
    <s v="Yes"/>
    <x v="3"/>
    <x v="9"/>
    <x v="0"/>
    <m/>
    <x v="1"/>
    <m/>
    <m/>
    <m/>
    <s v="East"/>
    <s v="WEST BOKARO"/>
    <x v="2"/>
    <x v="12"/>
    <x v="12"/>
    <x v="121"/>
    <s v="GP COIL SOFT-TATXGP-GK09-0.5X900"/>
    <s v="Z80"/>
    <s v=""/>
    <n v="5"/>
    <n v="15"/>
    <m/>
    <x v="7"/>
    <x v="5"/>
    <s v="GK09"/>
    <x v="1"/>
    <x v="3"/>
    <x v="0"/>
    <n v="210"/>
    <n v="0"/>
    <n v="210"/>
    <n v="210"/>
    <n v="190.161"/>
    <n v="111.84"/>
    <n v="0"/>
    <n v="0"/>
    <n v="0"/>
    <n v="0"/>
    <n v="0"/>
    <n v="0"/>
    <n v="0.40400000000000003"/>
    <n v="0"/>
    <n v="0"/>
    <n v="0"/>
    <n v="0"/>
    <n v="0"/>
    <n v="0"/>
    <n v="0"/>
    <n v="0"/>
    <n v="0"/>
    <n v="0"/>
    <n v="0"/>
    <n v="19.435000000000002"/>
    <n v="19.839000000000002"/>
    <n v="19.839000000000002"/>
    <n v="0"/>
    <n v="19.839000000000002"/>
    <m/>
    <n v="42.295000000000002"/>
    <n v="111.84"/>
    <n v="0"/>
    <n v="111.84"/>
    <n v="0"/>
    <n v="0"/>
    <n v="0"/>
    <n v="154.13499999999999"/>
    <n v="0"/>
    <n v="0"/>
    <n v="154.13499999999999"/>
    <n v="0"/>
    <n v="0"/>
    <n v="0"/>
    <m/>
    <m/>
    <m/>
    <m/>
    <m/>
    <m/>
    <m/>
    <m/>
    <m/>
    <m/>
    <m/>
    <m/>
    <m/>
    <m/>
    <m/>
    <m/>
    <m/>
    <m/>
    <m/>
    <m/>
    <m/>
    <m/>
    <m/>
    <m/>
    <m/>
    <m/>
    <m/>
    <m/>
    <m/>
    <m/>
    <m/>
    <m/>
    <m/>
    <m/>
  </r>
  <r>
    <n v="743"/>
    <d v="2025-03-15T00:00:00"/>
    <x v="0"/>
    <n v="9518602675"/>
    <n v="5"/>
    <s v="9518602675-5"/>
    <s v="May'25"/>
    <x v="0"/>
    <s v="Yes"/>
    <x v="3"/>
    <x v="9"/>
    <x v="0"/>
    <m/>
    <x v="1"/>
    <m/>
    <m/>
    <m/>
    <s v="East"/>
    <s v="WEST BOKARO"/>
    <x v="2"/>
    <x v="12"/>
    <x v="12"/>
    <x v="62"/>
    <s v="GP COIL SOFT-TATXGP-GK09-0.6X900"/>
    <s v="Z80"/>
    <s v=""/>
    <n v="5"/>
    <n v="15"/>
    <m/>
    <x v="7"/>
    <x v="5"/>
    <s v="GK09"/>
    <x v="20"/>
    <x v="3"/>
    <x v="0"/>
    <n v="210"/>
    <n v="0"/>
    <n v="210"/>
    <n v="210"/>
    <n v="146.11500000000001"/>
    <n v="210"/>
    <n v="0"/>
    <n v="0"/>
    <n v="0"/>
    <n v="0"/>
    <n v="20.490000000000002"/>
    <n v="0"/>
    <n v="0"/>
    <n v="0"/>
    <n v="0"/>
    <n v="0"/>
    <n v="0"/>
    <n v="0"/>
    <n v="0"/>
    <n v="0"/>
    <n v="0"/>
    <n v="2.63"/>
    <n v="0"/>
    <n v="0"/>
    <n v="40.765000000000001"/>
    <n v="63.885000000000005"/>
    <n v="63.885000000000005"/>
    <n v="0"/>
    <n v="63.885000000000005"/>
    <m/>
    <n v="9.8350000000000009"/>
    <n v="210"/>
    <n v="0"/>
    <n v="210"/>
    <n v="0"/>
    <n v="0"/>
    <n v="0"/>
    <n v="219.83500000000001"/>
    <n v="0"/>
    <n v="0"/>
    <n v="219.83500000000001"/>
    <n v="0"/>
    <n v="0"/>
    <n v="0"/>
    <m/>
    <m/>
    <m/>
    <m/>
    <m/>
    <m/>
    <m/>
    <m/>
    <m/>
    <m/>
    <m/>
    <m/>
    <m/>
    <m/>
    <m/>
    <m/>
    <m/>
    <m/>
    <m/>
    <m/>
    <m/>
    <m/>
    <m/>
    <m/>
    <m/>
    <m/>
    <m/>
    <m/>
    <m/>
    <m/>
    <m/>
    <m/>
    <m/>
    <m/>
  </r>
  <r>
    <n v="742"/>
    <d v="2025-03-04T00:00:00"/>
    <x v="0"/>
    <n v="9518572111"/>
    <n v="1"/>
    <s v="9518572111-1"/>
    <s v="May'25"/>
    <x v="0"/>
    <s v="Yes"/>
    <x v="1"/>
    <x v="2"/>
    <x v="0"/>
    <m/>
    <x v="1"/>
    <m/>
    <m/>
    <m/>
    <s v="East"/>
    <s v="TATANAGAR"/>
    <x v="2"/>
    <x v="5"/>
    <x v="5"/>
    <x v="17"/>
    <s v="CRCA SHEET TATCRC SR16 0.450X1000X2500"/>
    <s v=" "/>
    <s v=""/>
    <n v="2.8"/>
    <n v="3.2"/>
    <m/>
    <x v="2"/>
    <x v="1"/>
    <s v="SR16"/>
    <x v="10"/>
    <x v="2"/>
    <x v="3"/>
    <n v="21"/>
    <n v="0"/>
    <n v="21"/>
    <n v="21"/>
    <n v="-1.1000000000000014"/>
    <n v="21"/>
    <n v="0"/>
    <n v="0"/>
    <n v="0"/>
    <n v="0"/>
    <n v="0"/>
    <n v="0"/>
    <n v="0"/>
    <n v="0"/>
    <n v="0"/>
    <n v="0"/>
    <n v="0"/>
    <n v="0"/>
    <n v="0"/>
    <n v="22.1"/>
    <n v="0"/>
    <n v="0"/>
    <n v="0"/>
    <n v="0"/>
    <n v="0"/>
    <n v="22.1"/>
    <n v="22.1"/>
    <n v="0"/>
    <n v="22.1"/>
    <m/>
    <n v="0"/>
    <n v="21"/>
    <n v="0"/>
    <n v="21"/>
    <n v="0"/>
    <n v="0"/>
    <n v="0"/>
    <n v="21"/>
    <n v="0"/>
    <n v="21"/>
    <n v="0"/>
    <n v="0"/>
    <n v="0"/>
    <n v="0"/>
    <m/>
    <m/>
    <m/>
    <m/>
    <m/>
    <m/>
    <m/>
    <m/>
    <m/>
    <m/>
    <m/>
    <m/>
    <m/>
    <m/>
    <m/>
    <m/>
    <m/>
    <m/>
    <m/>
    <m/>
    <m/>
    <m/>
    <m/>
    <m/>
    <m/>
    <m/>
    <m/>
    <m/>
    <m/>
    <m/>
    <m/>
    <m/>
    <m/>
    <m/>
  </r>
  <r>
    <n v="742"/>
    <d v="2025-03-11T00:00:00"/>
    <x v="0"/>
    <n v="9518591869"/>
    <n v="6"/>
    <s v="9518591869-6"/>
    <s v="No Priority"/>
    <x v="0"/>
    <m/>
    <x v="1"/>
    <x v="1"/>
    <x v="0"/>
    <m/>
    <x v="0"/>
    <m/>
    <m/>
    <m/>
    <s v="North"/>
    <s v="FARIDABAD"/>
    <x v="2"/>
    <x v="56"/>
    <x v="52"/>
    <x v="292"/>
    <s v="CRCA COIL TATXXD AU03 0.8X1250"/>
    <s v=" "/>
    <s v=""/>
    <n v="10"/>
    <n v="30"/>
    <m/>
    <x v="1"/>
    <x v="2"/>
    <s v="AU03"/>
    <x v="5"/>
    <x v="0"/>
    <x v="0"/>
    <n v="58"/>
    <n v="0"/>
    <n v="58"/>
    <n v="58"/>
    <n v="58"/>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1869"/>
    <n v="7"/>
    <s v="9518591869-7"/>
    <s v="No Priority"/>
    <x v="0"/>
    <m/>
    <x v="1"/>
    <x v="1"/>
    <x v="0"/>
    <m/>
    <x v="0"/>
    <m/>
    <m/>
    <m/>
    <s v="North"/>
    <s v="FARIDABAD"/>
    <x v="2"/>
    <x v="56"/>
    <x v="52"/>
    <x v="114"/>
    <s v="CRCA COIL-TATXXD-AU03-0.9X1250"/>
    <s v=" "/>
    <s v=""/>
    <n v="10"/>
    <n v="30"/>
    <m/>
    <x v="1"/>
    <x v="2"/>
    <s v="AU03"/>
    <x v="13"/>
    <x v="0"/>
    <x v="0"/>
    <n v="29"/>
    <n v="0"/>
    <n v="29"/>
    <n v="29"/>
    <n v="29"/>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1774"/>
    <n v="11"/>
    <s v="9518591774-11"/>
    <s v="No Priority"/>
    <x v="0"/>
    <m/>
    <x v="1"/>
    <x v="1"/>
    <x v="0"/>
    <m/>
    <x v="0"/>
    <m/>
    <m/>
    <m/>
    <s v="North"/>
    <s v="ZOSOLA"/>
    <x v="2"/>
    <x v="56"/>
    <x v="52"/>
    <x v="292"/>
    <s v="CRCA COIL TATXXD AU03 0.8X1250"/>
    <s v=" "/>
    <s v=""/>
    <n v="10"/>
    <n v="30"/>
    <m/>
    <x v="1"/>
    <x v="2"/>
    <s v="AU03"/>
    <x v="5"/>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659"/>
    <n v="1"/>
    <s v="9518612659-1"/>
    <s v="No Priority"/>
    <x v="0"/>
    <m/>
    <x v="3"/>
    <x v="9"/>
    <x v="0"/>
    <m/>
    <x v="0"/>
    <m/>
    <m/>
    <m/>
    <s v="North"/>
    <s v="VARANASI"/>
    <x v="2"/>
    <x v="2"/>
    <x v="2"/>
    <x v="51"/>
    <s v="GP COIL SOFT-TATXGP-GK09-0.3X900"/>
    <s v="Z80"/>
    <s v=""/>
    <n v="3.2"/>
    <n v="5"/>
    <m/>
    <x v="7"/>
    <x v="5"/>
    <s v="GK09"/>
    <x v="11"/>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659"/>
    <n v="2"/>
    <s v="9518612659-2"/>
    <s v="No Priority"/>
    <x v="0"/>
    <m/>
    <x v="3"/>
    <x v="9"/>
    <x v="0"/>
    <m/>
    <x v="0"/>
    <m/>
    <m/>
    <m/>
    <s v="North"/>
    <s v="VARANASI"/>
    <x v="2"/>
    <x v="2"/>
    <x v="2"/>
    <x v="55"/>
    <s v="GP COIL SOFT-TATXGP-GK09-0.35X900"/>
    <s v="Z80"/>
    <s v=""/>
    <n v="3.2"/>
    <n v="5"/>
    <m/>
    <x v="7"/>
    <x v="5"/>
    <s v="GK09"/>
    <x v="6"/>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659"/>
    <n v="3"/>
    <s v="9518612659-3"/>
    <s v="No Priority"/>
    <x v="0"/>
    <m/>
    <x v="3"/>
    <x v="9"/>
    <x v="0"/>
    <m/>
    <x v="0"/>
    <m/>
    <m/>
    <m/>
    <s v="North"/>
    <s v="VARANASI"/>
    <x v="2"/>
    <x v="2"/>
    <x v="2"/>
    <x v="56"/>
    <s v="GP COIL SOFT-TATXGP-GK09-0.4X900"/>
    <s v="Z80"/>
    <s v=""/>
    <n v="3.2"/>
    <n v="5"/>
    <m/>
    <x v="7"/>
    <x v="5"/>
    <s v="GK09"/>
    <x v="2"/>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659"/>
    <n v="4"/>
    <s v="9518612659-4"/>
    <s v="No Priority"/>
    <x v="0"/>
    <m/>
    <x v="3"/>
    <x v="9"/>
    <x v="0"/>
    <m/>
    <x v="0"/>
    <m/>
    <m/>
    <m/>
    <s v="North"/>
    <s v="VARANASI"/>
    <x v="2"/>
    <x v="2"/>
    <x v="2"/>
    <x v="281"/>
    <s v="GP COIL SOFT-TATXGP-GK09-0.45X900"/>
    <s v="Z80"/>
    <s v=""/>
    <n v="3.2"/>
    <n v="5"/>
    <m/>
    <x v="7"/>
    <x v="5"/>
    <s v="GK09"/>
    <x v="1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659"/>
    <n v="6"/>
    <s v="9518612659-6"/>
    <s v="No Priority"/>
    <x v="0"/>
    <m/>
    <x v="3"/>
    <x v="9"/>
    <x v="0"/>
    <m/>
    <x v="0"/>
    <m/>
    <m/>
    <m/>
    <s v="North"/>
    <s v="VARANASI"/>
    <x v="2"/>
    <x v="2"/>
    <x v="2"/>
    <x v="62"/>
    <s v="GP COIL SOFT-TATXGP-GK09-0.6X900"/>
    <s v="Z80"/>
    <s v=""/>
    <n v="3.2"/>
    <n v="5"/>
    <m/>
    <x v="7"/>
    <x v="5"/>
    <s v="GK09"/>
    <x v="20"/>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3-13T00:00:00"/>
    <x v="0"/>
    <n v="9518598795"/>
    <n v="2"/>
    <s v="9518598795-2"/>
    <s v="Stocks"/>
    <x v="0"/>
    <s v="Yes"/>
    <x v="1"/>
    <x v="1"/>
    <x v="0"/>
    <m/>
    <x v="1"/>
    <m/>
    <s v="Deproritized as per SPA's instruction"/>
    <m/>
    <s v="South"/>
    <s v="GUMMIDIPOONDI"/>
    <x v="2"/>
    <x v="54"/>
    <x v="0"/>
    <x v="293"/>
    <s v="CRCA COIL-TATXXD-AU03-0.7X1250"/>
    <s v=" "/>
    <s v=""/>
    <n v="5"/>
    <n v="29"/>
    <m/>
    <x v="1"/>
    <x v="2"/>
    <s v="AU03"/>
    <x v="4"/>
    <x v="0"/>
    <x v="0"/>
    <n v="145"/>
    <n v="8.2850000000000001"/>
    <n v="136.715"/>
    <n v="52.534999999999997"/>
    <n v="136.715"/>
    <n v="59.8"/>
    <n v="0"/>
    <n v="0"/>
    <n v="0"/>
    <n v="0"/>
    <n v="0"/>
    <n v="0"/>
    <n v="0"/>
    <n v="0"/>
    <n v="0"/>
    <n v="0"/>
    <n v="0"/>
    <n v="0"/>
    <n v="0"/>
    <n v="0"/>
    <n v="0"/>
    <n v="0"/>
    <n v="0"/>
    <n v="0"/>
    <n v="0"/>
    <n v="0"/>
    <n v="0"/>
    <n v="0"/>
    <n v="0"/>
    <m/>
    <n v="12.16"/>
    <n v="0"/>
    <n v="0"/>
    <n v="0"/>
    <n v="0"/>
    <n v="0"/>
    <n v="0"/>
    <n v="12.16"/>
    <n v="12.16"/>
    <n v="0"/>
    <n v="0"/>
    <n v="0"/>
    <n v="0"/>
    <n v="0"/>
    <m/>
    <m/>
    <m/>
    <m/>
    <m/>
    <m/>
    <m/>
    <m/>
    <m/>
    <m/>
    <m/>
    <m/>
    <m/>
    <m/>
    <m/>
    <m/>
    <m/>
    <m/>
    <m/>
    <m/>
    <m/>
    <m/>
    <m/>
    <m/>
    <m/>
    <m/>
    <m/>
    <m/>
    <m/>
    <m/>
    <m/>
    <m/>
    <m/>
    <m/>
  </r>
  <r>
    <n v="743"/>
    <d v="2025-03-19T00:00:00"/>
    <x v="0"/>
    <n v="9518614076"/>
    <n v="2"/>
    <s v="9518614076-2"/>
    <s v="No Priority"/>
    <x v="0"/>
    <m/>
    <x v="3"/>
    <x v="9"/>
    <x v="0"/>
    <m/>
    <x v="0"/>
    <m/>
    <m/>
    <m/>
    <s v="North"/>
    <s v="LONI"/>
    <x v="2"/>
    <x v="32"/>
    <x v="32"/>
    <x v="51"/>
    <s v="GP COIL SOFT-TATXGP-GK09-0.3X900"/>
    <s v="Z80"/>
    <s v=""/>
    <n v="4"/>
    <n v="6"/>
    <m/>
    <x v="7"/>
    <x v="5"/>
    <s v="GK09"/>
    <x v="11"/>
    <x v="3"/>
    <x v="0"/>
    <n v="210"/>
    <n v="0"/>
    <n v="210"/>
    <n v="210"/>
    <n v="210"/>
    <n v="210"/>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8999"/>
    <n v="1"/>
    <s v="9518498999-1"/>
    <s v="No Priority"/>
    <x v="0"/>
    <m/>
    <x v="1"/>
    <x v="1"/>
    <x v="0"/>
    <m/>
    <x v="0"/>
    <m/>
    <m/>
    <m/>
    <s v="East"/>
    <s v=" "/>
    <x v="2"/>
    <x v="10"/>
    <x v="10"/>
    <x v="294"/>
    <s v="CRCA COIL-TATCRC-TR15-0.4X1000"/>
    <s v=" "/>
    <s v=""/>
    <n v="4"/>
    <n v="12"/>
    <m/>
    <x v="1"/>
    <x v="1"/>
    <s v="TR15"/>
    <x v="2"/>
    <x v="2"/>
    <x v="0"/>
    <n v="69"/>
    <n v="0"/>
    <n v="69"/>
    <n v="69"/>
    <n v="69"/>
    <n v="69"/>
    <n v="0"/>
    <n v="0"/>
    <n v="0"/>
    <n v="0"/>
    <n v="0"/>
    <n v="0"/>
    <n v="0"/>
    <n v="0"/>
    <n v="0"/>
    <n v="0"/>
    <n v="0"/>
    <n v="0"/>
    <n v="0"/>
    <n v="0"/>
    <n v="0"/>
    <n v="0"/>
    <n v="0"/>
    <n v="0"/>
    <n v="0"/>
    <n v="0"/>
    <n v="0"/>
    <n v="0"/>
    <n v="0"/>
    <m/>
    <n v="0"/>
    <n v="0"/>
    <n v="0"/>
    <n v="0"/>
    <n v="0"/>
    <n v="0"/>
    <n v="0"/>
    <n v="0"/>
    <n v="0"/>
    <n v="0"/>
    <n v="0"/>
    <n v="0"/>
    <n v="0"/>
    <n v="0"/>
    <m/>
    <m/>
    <m/>
    <m/>
    <m/>
    <m/>
    <m/>
    <m/>
    <m/>
    <m/>
    <m/>
    <m/>
    <m/>
    <m/>
    <m/>
    <m/>
    <m/>
    <m/>
    <m/>
    <m/>
    <m/>
    <m/>
    <m/>
    <m/>
    <m/>
    <m/>
    <m/>
    <m/>
    <m/>
    <m/>
    <m/>
    <m/>
    <m/>
    <m/>
  </r>
  <r>
    <n v="742"/>
    <d v="2025-03-26T00:00:00"/>
    <x v="0"/>
    <n v="9518637097"/>
    <n v="4"/>
    <s v="9518637097-4"/>
    <s v="May'25"/>
    <x v="0"/>
    <s v="Yes"/>
    <x v="1"/>
    <x v="2"/>
    <x v="0"/>
    <m/>
    <x v="1"/>
    <m/>
    <m/>
    <m/>
    <s v="East"/>
    <s v="URLA"/>
    <x v="2"/>
    <x v="92"/>
    <x v="89"/>
    <x v="136"/>
    <s v="CRCA SHEET TATCRC SR16 0.450X1250X2500"/>
    <s v=" "/>
    <s v=""/>
    <n v="1"/>
    <n v="3"/>
    <m/>
    <x v="2"/>
    <x v="1"/>
    <s v="SR16"/>
    <x v="10"/>
    <x v="0"/>
    <x v="3"/>
    <n v="60"/>
    <n v="2.6150000000000002"/>
    <n v="57.384999999999998"/>
    <n v="2.875"/>
    <n v="0"/>
    <n v="31.57"/>
    <n v="0"/>
    <n v="0"/>
    <n v="0"/>
    <n v="0"/>
    <n v="0"/>
    <n v="0"/>
    <n v="0"/>
    <n v="0"/>
    <n v="0"/>
    <n v="0"/>
    <n v="0"/>
    <n v="0"/>
    <n v="0"/>
    <n v="0"/>
    <n v="26.77"/>
    <n v="0"/>
    <n v="0"/>
    <n v="0"/>
    <n v="0"/>
    <n v="26.77"/>
    <n v="26.77"/>
    <n v="0"/>
    <n v="26.77"/>
    <m/>
    <n v="2.6150000000000002"/>
    <n v="31.57"/>
    <n v="31.57"/>
    <n v="0"/>
    <n v="0"/>
    <n v="0"/>
    <n v="0"/>
    <n v="34.185000000000002"/>
    <n v="0"/>
    <n v="34.185000000000002"/>
    <n v="0"/>
    <n v="0"/>
    <n v="0"/>
    <n v="0"/>
    <m/>
    <m/>
    <m/>
    <m/>
    <m/>
    <m/>
    <m/>
    <m/>
    <m/>
    <m/>
    <m/>
    <m/>
    <m/>
    <m/>
    <m/>
    <m/>
    <m/>
    <m/>
    <m/>
    <m/>
    <m/>
    <m/>
    <m/>
    <m/>
    <m/>
    <m/>
    <m/>
    <m/>
    <m/>
    <m/>
    <m/>
    <m/>
    <m/>
    <m/>
  </r>
  <r>
    <n v="743"/>
    <d v="2025-03-19T00:00:00"/>
    <x v="0"/>
    <n v="9518614076"/>
    <n v="1"/>
    <s v="9518614076-1"/>
    <s v="No Priority"/>
    <x v="0"/>
    <m/>
    <x v="3"/>
    <x v="9"/>
    <x v="0"/>
    <m/>
    <x v="0"/>
    <m/>
    <m/>
    <m/>
    <s v="North"/>
    <s v="LONI"/>
    <x v="2"/>
    <x v="32"/>
    <x v="32"/>
    <x v="261"/>
    <s v="GP COIL SOFT-TATXGP-GK09-0.25X900"/>
    <s v="Z80"/>
    <s v=""/>
    <n v="4"/>
    <n v="6"/>
    <m/>
    <x v="7"/>
    <x v="5"/>
    <s v="GK09"/>
    <x v="12"/>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2-18T00:00:00"/>
    <x v="0"/>
    <n v="9518529595"/>
    <n v="5"/>
    <s v="9518529595-5"/>
    <s v="No Priority"/>
    <x v="0"/>
    <m/>
    <x v="1"/>
    <x v="11"/>
    <x v="0"/>
    <m/>
    <x v="0"/>
    <m/>
    <m/>
    <m/>
    <s v="South"/>
    <s v="GUMMIDIPOONDI"/>
    <x v="2"/>
    <x v="58"/>
    <x v="54"/>
    <x v="295"/>
    <s v="CRCA COIL TATXXD AH03 0.700X1250"/>
    <s v=" "/>
    <s v=""/>
    <n v="5"/>
    <n v="29"/>
    <m/>
    <x v="1"/>
    <x v="2"/>
    <s v="AH03"/>
    <x v="4"/>
    <x v="0"/>
    <x v="0"/>
    <n v="29"/>
    <n v="0"/>
    <n v="29"/>
    <n v="1.45"/>
    <n v="0"/>
    <n v="2.16"/>
    <n v="0"/>
    <n v="0"/>
    <n v="0"/>
    <n v="0"/>
    <n v="0"/>
    <n v="0"/>
    <n v="0"/>
    <n v="0"/>
    <n v="0"/>
    <n v="0"/>
    <n v="0"/>
    <n v="0"/>
    <n v="0"/>
    <n v="0"/>
    <n v="0"/>
    <n v="0"/>
    <n v="0"/>
    <n v="0"/>
    <n v="0"/>
    <n v="0"/>
    <n v="0"/>
    <n v="0"/>
    <n v="0"/>
    <m/>
    <n v="0"/>
    <n v="0"/>
    <n v="0"/>
    <n v="0"/>
    <n v="0"/>
    <n v="0"/>
    <n v="0"/>
    <n v="0"/>
    <n v="0"/>
    <n v="0"/>
    <n v="0"/>
    <n v="0"/>
    <n v="0"/>
    <n v="0"/>
    <m/>
    <m/>
    <m/>
    <m/>
    <m/>
    <m/>
    <m/>
    <m/>
    <m/>
    <m/>
    <m/>
    <m/>
    <m/>
    <m/>
    <m/>
    <m/>
    <m/>
    <m/>
    <m/>
    <m/>
    <m/>
    <m/>
    <m/>
    <m/>
    <m/>
    <m/>
    <m/>
    <m/>
    <m/>
    <m/>
    <m/>
    <m/>
    <m/>
    <m/>
  </r>
  <r>
    <n v="744"/>
    <d v="2025-03-18T00:00:00"/>
    <x v="0"/>
    <n v="9518610301"/>
    <n v="7"/>
    <s v="9518610301-7"/>
    <s v="Stocks"/>
    <x v="0"/>
    <m/>
    <x v="2"/>
    <x v="3"/>
    <x v="2"/>
    <m/>
    <x v="1"/>
    <m/>
    <m/>
    <m/>
    <s v="TBSPL"/>
    <s v=" "/>
    <x v="2"/>
    <x v="6"/>
    <x v="6"/>
    <x v="137"/>
    <s v="PPGL C HARD Y550PL D0C9 0.470(TPT)X1220"/>
    <s v="AZ150"/>
    <s v="ROYAL BLUE TSL 1815"/>
    <n v="3"/>
    <n v="5"/>
    <m/>
    <x v="3"/>
    <x v="3"/>
    <s v="D0C9"/>
    <x v="14"/>
    <x v="1"/>
    <x v="0"/>
    <n v="28"/>
    <n v="0"/>
    <n v="28"/>
    <n v="-21.765000000000001"/>
    <n v="0"/>
    <n v="0.26500000000000001"/>
    <n v="0"/>
    <n v="0"/>
    <n v="0"/>
    <n v="0"/>
    <n v="0"/>
    <n v="0"/>
    <n v="0"/>
    <n v="0"/>
    <n v="0"/>
    <n v="0"/>
    <n v="0"/>
    <n v="0"/>
    <n v="0"/>
    <n v="0"/>
    <n v="0"/>
    <n v="0"/>
    <n v="0"/>
    <n v="0"/>
    <n v="0"/>
    <n v="0"/>
    <n v="0"/>
    <n v="0"/>
    <n v="0"/>
    <m/>
    <n v="8.7799999999999994"/>
    <n v="0"/>
    <n v="0"/>
    <n v="0"/>
    <n v="0"/>
    <n v="0"/>
    <n v="0"/>
    <n v="8.7799999999999994"/>
    <n v="8.7799999999999994"/>
    <n v="0"/>
    <n v="0"/>
    <n v="0"/>
    <n v="0"/>
    <n v="0"/>
    <m/>
    <m/>
    <m/>
    <m/>
    <m/>
    <m/>
    <m/>
    <m/>
    <m/>
    <m/>
    <m/>
    <m/>
    <m/>
    <m/>
    <m/>
    <m/>
    <m/>
    <m/>
    <m/>
    <m/>
    <m/>
    <m/>
    <m/>
    <m/>
    <m/>
    <m/>
    <m/>
    <m/>
    <m/>
    <m/>
    <m/>
    <m/>
    <m/>
    <m/>
  </r>
  <r>
    <n v="743"/>
    <d v="2025-03-17T00:00:00"/>
    <x v="0"/>
    <n v="9518607443"/>
    <n v="3"/>
    <s v="9518607443-3"/>
    <s v="Stocks"/>
    <x v="0"/>
    <s v="Yes"/>
    <x v="3"/>
    <x v="9"/>
    <x v="0"/>
    <m/>
    <x v="1"/>
    <m/>
    <m/>
    <m/>
    <s v="East"/>
    <s v=" "/>
    <x v="2"/>
    <x v="10"/>
    <x v="10"/>
    <x v="62"/>
    <s v="GP COIL SOFT-TATXGP-GK09-0.6X900"/>
    <s v="Z80"/>
    <s v=""/>
    <n v="4"/>
    <n v="12"/>
    <m/>
    <x v="7"/>
    <x v="5"/>
    <s v="GK09"/>
    <x v="20"/>
    <x v="3"/>
    <x v="0"/>
    <n v="84"/>
    <n v="0"/>
    <n v="84"/>
    <n v="84"/>
    <n v="74.08"/>
    <n v="15.935"/>
    <n v="0"/>
    <n v="0"/>
    <n v="0"/>
    <n v="0"/>
    <n v="0"/>
    <n v="0"/>
    <n v="0.23500000000000001"/>
    <n v="0"/>
    <n v="0"/>
    <n v="0"/>
    <n v="0"/>
    <n v="0"/>
    <n v="0"/>
    <n v="0"/>
    <n v="0"/>
    <n v="0"/>
    <n v="0"/>
    <n v="0"/>
    <n v="9.6850000000000005"/>
    <n v="9.92"/>
    <n v="9.92"/>
    <n v="0"/>
    <n v="9.92"/>
    <m/>
    <n v="68.064999999999998"/>
    <n v="0"/>
    <n v="0"/>
    <n v="0"/>
    <n v="0"/>
    <n v="0"/>
    <n v="0"/>
    <n v="68.064999999999998"/>
    <n v="68.064999999999998"/>
    <n v="0"/>
    <n v="0"/>
    <n v="0"/>
    <n v="0"/>
    <n v="0"/>
    <m/>
    <m/>
    <m/>
    <m/>
    <m/>
    <m/>
    <m/>
    <m/>
    <m/>
    <m/>
    <m/>
    <m/>
    <m/>
    <m/>
    <m/>
    <m/>
    <m/>
    <m/>
    <m/>
    <m/>
    <m/>
    <m/>
    <m/>
    <m/>
    <m/>
    <m/>
    <m/>
    <m/>
    <m/>
    <m/>
    <m/>
    <m/>
    <m/>
    <m/>
  </r>
  <r>
    <n v="743"/>
    <d v="2025-03-19T00:00:00"/>
    <x v="0"/>
    <n v="9518612772"/>
    <n v="2"/>
    <s v="9518612772-2"/>
    <s v="No Priority"/>
    <x v="0"/>
    <m/>
    <x v="3"/>
    <x v="9"/>
    <x v="0"/>
    <m/>
    <x v="0"/>
    <m/>
    <m/>
    <m/>
    <s v="North"/>
    <s v="KANPUR"/>
    <x v="2"/>
    <x v="94"/>
    <x v="92"/>
    <x v="65"/>
    <s v="GP COIL SOFT-TATXGP-GK09-0.63X900"/>
    <s v="Z80"/>
    <s v=""/>
    <n v="3.2"/>
    <n v="5"/>
    <m/>
    <x v="7"/>
    <x v="5"/>
    <s v="GK09"/>
    <x v="26"/>
    <x v="3"/>
    <x v="0"/>
    <n v="252"/>
    <n v="0"/>
    <n v="252"/>
    <n v="252"/>
    <n v="252"/>
    <n v="252"/>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2"/>
    <s v="9518628976-2"/>
    <s v="May'25"/>
    <x v="0"/>
    <s v="Yes"/>
    <x v="1"/>
    <x v="1"/>
    <x v="0"/>
    <m/>
    <x v="1"/>
    <m/>
    <m/>
    <m/>
    <s v="South"/>
    <s v="VALPARAI"/>
    <x v="2"/>
    <x v="13"/>
    <x v="13"/>
    <x v="296"/>
    <s v="CRSHEET TATXXD AU03 0.60X1250X2500"/>
    <s v=" "/>
    <s v=""/>
    <n v="0"/>
    <n v="0"/>
    <m/>
    <x v="2"/>
    <x v="2"/>
    <s v="AU03"/>
    <x v="20"/>
    <x v="0"/>
    <x v="3"/>
    <n v="60"/>
    <n v="0"/>
    <n v="60"/>
    <n v="60"/>
    <n v="60"/>
    <n v="60"/>
    <n v="0"/>
    <n v="0"/>
    <n v="0"/>
    <n v="0"/>
    <n v="0"/>
    <n v="0"/>
    <n v="0"/>
    <n v="0"/>
    <n v="0"/>
    <n v="0"/>
    <n v="0"/>
    <n v="0"/>
    <n v="0"/>
    <n v="0"/>
    <n v="0"/>
    <n v="0"/>
    <n v="0"/>
    <n v="0"/>
    <n v="0"/>
    <n v="0"/>
    <n v="0"/>
    <n v="0"/>
    <n v="0"/>
    <m/>
    <n v="0"/>
    <n v="60"/>
    <n v="0"/>
    <n v="0"/>
    <n v="0"/>
    <n v="0"/>
    <n v="60"/>
    <n v="0"/>
    <n v="0"/>
    <n v="0"/>
    <n v="0"/>
    <n v="0"/>
    <n v="0"/>
    <n v="60"/>
    <m/>
    <m/>
    <m/>
    <m/>
    <m/>
    <m/>
    <m/>
    <m/>
    <m/>
    <m/>
    <m/>
    <m/>
    <m/>
    <m/>
    <m/>
    <m/>
    <m/>
    <m/>
    <m/>
    <m/>
    <m/>
    <m/>
    <m/>
    <m/>
    <m/>
    <m/>
    <m/>
    <m/>
    <m/>
    <m/>
    <m/>
    <m/>
    <m/>
    <m/>
  </r>
  <r>
    <n v="742"/>
    <d v="2025-03-26T00:00:00"/>
    <x v="0"/>
    <n v="9518637426"/>
    <n v="2"/>
    <s v="9518637426-2"/>
    <s v="No Priority"/>
    <x v="0"/>
    <s v="Yes"/>
    <x v="1"/>
    <x v="1"/>
    <x v="0"/>
    <m/>
    <x v="0"/>
    <m/>
    <m/>
    <m/>
    <s v="East"/>
    <s v="URLA"/>
    <x v="2"/>
    <x v="92"/>
    <x v="89"/>
    <x v="297"/>
    <s v="CRSHEET C06 TATCRC TR15 2X1250X2500"/>
    <s v=" "/>
    <s v=""/>
    <n v="2"/>
    <n v="3"/>
    <m/>
    <x v="2"/>
    <x v="1"/>
    <s v="TR15"/>
    <x v="15"/>
    <x v="0"/>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3"/>
    <d v="2025-03-20T00:00:00"/>
    <x v="0"/>
    <n v="9518617039"/>
    <n v="3"/>
    <s v="9518617039-3"/>
    <s v="May'25"/>
    <x v="0"/>
    <s v="Yes"/>
    <x v="4"/>
    <x v="3"/>
    <x v="2"/>
    <m/>
    <x v="1"/>
    <m/>
    <m/>
    <m/>
    <s v="TBSPL"/>
    <s v=" "/>
    <x v="2"/>
    <x v="22"/>
    <x v="6"/>
    <x v="35"/>
    <s v="GL C YS550 H6GL 0.45BMT(0.50TCT)X1220"/>
    <s v="AZ150"/>
    <s v=""/>
    <n v="3"/>
    <n v="5"/>
    <m/>
    <x v="5"/>
    <x v="7"/>
    <s v="H6GL"/>
    <x v="10"/>
    <x v="1"/>
    <x v="0"/>
    <n v="140"/>
    <n v="0"/>
    <n v="140"/>
    <n v="140"/>
    <n v="140"/>
    <n v="140"/>
    <n v="0"/>
    <n v="0"/>
    <n v="0"/>
    <n v="0"/>
    <n v="0"/>
    <n v="0"/>
    <n v="0"/>
    <n v="0"/>
    <n v="0"/>
    <n v="0"/>
    <n v="0"/>
    <n v="0"/>
    <n v="0"/>
    <n v="0"/>
    <n v="0"/>
    <n v="0"/>
    <n v="0"/>
    <n v="0"/>
    <n v="0"/>
    <n v="0"/>
    <n v="0"/>
    <n v="0"/>
    <n v="0"/>
    <m/>
    <n v="0"/>
    <n v="140"/>
    <n v="0"/>
    <n v="0"/>
    <n v="0"/>
    <n v="140"/>
    <n v="0"/>
    <n v="140"/>
    <n v="0"/>
    <n v="0"/>
    <n v="0"/>
    <n v="0"/>
    <n v="140"/>
    <n v="0"/>
    <m/>
    <m/>
    <m/>
    <m/>
    <m/>
    <m/>
    <m/>
    <m/>
    <m/>
    <m/>
    <m/>
    <m/>
    <m/>
    <m/>
    <m/>
    <m/>
    <m/>
    <m/>
    <m/>
    <m/>
    <m/>
    <m/>
    <m/>
    <m/>
    <m/>
    <m/>
    <m/>
    <m/>
    <m/>
    <m/>
    <m/>
    <m/>
    <m/>
    <m/>
  </r>
  <r>
    <n v="744"/>
    <d v="2025-03-29T00:00:00"/>
    <x v="0"/>
    <n v="9518652442"/>
    <n v="1"/>
    <s v="9518652442-1"/>
    <s v="May'25"/>
    <x v="0"/>
    <m/>
    <x v="2"/>
    <x v="3"/>
    <x v="2"/>
    <m/>
    <x v="1"/>
    <m/>
    <m/>
    <m/>
    <s v="TBSPL"/>
    <s v=" "/>
    <x v="2"/>
    <x v="6"/>
    <x v="6"/>
    <x v="137"/>
    <s v="PPGL C HARD Y550PL D0C9 0.470(TPT)X1220"/>
    <s v="AZ150"/>
    <s v="RAL 7015 TSL 1805"/>
    <n v="3"/>
    <n v="5"/>
    <m/>
    <x v="3"/>
    <x v="3"/>
    <s v="D0C9"/>
    <x v="14"/>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2"/>
    <d v="2025-03-27T00:00:00"/>
    <x v="0"/>
    <n v="9518644656"/>
    <n v="11"/>
    <s v="9518644656-11"/>
    <s v="May'25"/>
    <x v="0"/>
    <s v="Yes"/>
    <x v="1"/>
    <x v="2"/>
    <x v="0"/>
    <m/>
    <x v="1"/>
    <m/>
    <m/>
    <m/>
    <s v="East"/>
    <s v="SILIGURI TOWN"/>
    <x v="2"/>
    <x v="66"/>
    <x v="24"/>
    <x v="28"/>
    <s v="CRCA SHEET TSBCRC SR15 0.500X1250X2500"/>
    <s v=" "/>
    <s v=""/>
    <n v="0"/>
    <n v="0"/>
    <m/>
    <x v="2"/>
    <x v="4"/>
    <s v="SR15"/>
    <x v="1"/>
    <x v="0"/>
    <x v="3"/>
    <n v="24"/>
    <n v="0"/>
    <n v="24"/>
    <n v="-3.63"/>
    <n v="0"/>
    <n v="24"/>
    <n v="0"/>
    <n v="0"/>
    <n v="0"/>
    <n v="0"/>
    <n v="0"/>
    <n v="0"/>
    <n v="0"/>
    <n v="0"/>
    <n v="26.875"/>
    <n v="0"/>
    <n v="0"/>
    <n v="0"/>
    <n v="0"/>
    <n v="0"/>
    <n v="0"/>
    <n v="0"/>
    <n v="0"/>
    <n v="0"/>
    <n v="0"/>
    <n v="26.875"/>
    <n v="26.875"/>
    <n v="0"/>
    <n v="26.875"/>
    <m/>
    <n v="0"/>
    <n v="24"/>
    <n v="24"/>
    <n v="0"/>
    <n v="0"/>
    <n v="0"/>
    <n v="0"/>
    <n v="24"/>
    <n v="0"/>
    <n v="24"/>
    <n v="0"/>
    <n v="0"/>
    <n v="0"/>
    <n v="0"/>
    <m/>
    <m/>
    <m/>
    <m/>
    <m/>
    <m/>
    <m/>
    <m/>
    <m/>
    <m/>
    <m/>
    <m/>
    <m/>
    <m/>
    <m/>
    <m/>
    <m/>
    <m/>
    <m/>
    <m/>
    <m/>
    <m/>
    <m/>
    <m/>
    <m/>
    <m/>
    <m/>
    <m/>
    <m/>
    <m/>
    <m/>
    <m/>
    <m/>
    <m/>
  </r>
  <r>
    <n v="742"/>
    <d v="2025-02-20T00:00:00"/>
    <x v="0"/>
    <n v="9518535833"/>
    <n v="3"/>
    <s v="9518535833-3"/>
    <s v="No Priority"/>
    <x v="0"/>
    <m/>
    <x v="1"/>
    <x v="1"/>
    <x v="0"/>
    <m/>
    <x v="0"/>
    <m/>
    <m/>
    <m/>
    <s v="South"/>
    <s v="CHENNAI"/>
    <x v="2"/>
    <x v="4"/>
    <x v="4"/>
    <x v="298"/>
    <s v="CRCA COIL TATCRC TR15 0.400X900"/>
    <s v=" "/>
    <s v=""/>
    <n v="6"/>
    <n v="18"/>
    <m/>
    <x v="1"/>
    <x v="1"/>
    <s v="TR15"/>
    <x v="2"/>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19"/>
    <s v="9518620674-19"/>
    <s v="May'25"/>
    <x v="0"/>
    <s v="Yes"/>
    <x v="1"/>
    <x v="1"/>
    <x v="0"/>
    <m/>
    <x v="1"/>
    <m/>
    <m/>
    <m/>
    <s v="South"/>
    <s v="CHENNAI"/>
    <x v="2"/>
    <x v="4"/>
    <x v="4"/>
    <x v="102"/>
    <s v="CRCA COIL-TATXXD-AU03-1.6X1250"/>
    <s v=" "/>
    <s v=""/>
    <n v="6"/>
    <n v="18"/>
    <m/>
    <x v="1"/>
    <x v="2"/>
    <s v="AU03"/>
    <x v="22"/>
    <x v="0"/>
    <x v="0"/>
    <n v="29"/>
    <n v="0"/>
    <n v="29"/>
    <n v="29"/>
    <n v="8.5300000000000011"/>
    <n v="29"/>
    <n v="0"/>
    <n v="0"/>
    <n v="0"/>
    <n v="0"/>
    <n v="0"/>
    <n v="0"/>
    <n v="0"/>
    <n v="0"/>
    <n v="0"/>
    <n v="0"/>
    <n v="0"/>
    <n v="0"/>
    <n v="0"/>
    <n v="20.47"/>
    <n v="0"/>
    <n v="0"/>
    <n v="0"/>
    <n v="0"/>
    <n v="0"/>
    <n v="20.47"/>
    <n v="20.47"/>
    <n v="0"/>
    <n v="20.47"/>
    <m/>
    <n v="0"/>
    <n v="29"/>
    <n v="29"/>
    <n v="0"/>
    <n v="0"/>
    <n v="0"/>
    <n v="0"/>
    <n v="29"/>
    <n v="0"/>
    <n v="29"/>
    <n v="0"/>
    <n v="0"/>
    <n v="0"/>
    <n v="0"/>
    <m/>
    <m/>
    <m/>
    <m/>
    <m/>
    <m/>
    <m/>
    <m/>
    <m/>
    <m/>
    <m/>
    <m/>
    <m/>
    <m/>
    <m/>
    <m/>
    <m/>
    <m/>
    <m/>
    <m/>
    <m/>
    <m/>
    <m/>
    <m/>
    <m/>
    <m/>
    <m/>
    <m/>
    <m/>
    <m/>
    <m/>
    <m/>
    <m/>
    <m/>
  </r>
  <r>
    <n v="742"/>
    <d v="2025-03-28T00:00:00"/>
    <x v="0"/>
    <n v="9518649334"/>
    <n v="4"/>
    <s v="9518649334-4"/>
    <s v="No Priority"/>
    <x v="0"/>
    <m/>
    <x v="0"/>
    <x v="0"/>
    <x v="0"/>
    <m/>
    <x v="0"/>
    <m/>
    <m/>
    <m/>
    <s v="North"/>
    <s v="FARIDABAD"/>
    <x v="2"/>
    <x v="3"/>
    <x v="3"/>
    <x v="299"/>
    <s v="HR COILS-PO I09497 2.40X1250"/>
    <s v=" "/>
    <s v=""/>
    <n v="17"/>
    <n v="26"/>
    <m/>
    <x v="0"/>
    <x v="11"/>
    <s v="HG01"/>
    <x v="57"/>
    <x v="0"/>
    <x v="0"/>
    <n v="50"/>
    <n v="0"/>
    <n v="50"/>
    <n v="50"/>
    <n v="50"/>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159"/>
    <n v="1"/>
    <s v="9518620159-1"/>
    <s v="Stocks"/>
    <x v="0"/>
    <s v="Yes"/>
    <x v="1"/>
    <x v="1"/>
    <x v="0"/>
    <m/>
    <x v="1"/>
    <m/>
    <m/>
    <m/>
    <s v="East"/>
    <s v="URLA"/>
    <x v="2"/>
    <x v="72"/>
    <x v="69"/>
    <x v="300"/>
    <s v="CRCA SHEET TATCRC TR15 .8X1250X2500"/>
    <s v=" "/>
    <s v=""/>
    <n v="0"/>
    <n v="0"/>
    <m/>
    <x v="2"/>
    <x v="1"/>
    <s v="TR15"/>
    <x v="5"/>
    <x v="0"/>
    <x v="3"/>
    <n v="30"/>
    <n v="0"/>
    <n v="30"/>
    <n v="2.42"/>
    <n v="0"/>
    <n v="4.03"/>
    <n v="0"/>
    <n v="0"/>
    <n v="0"/>
    <n v="0"/>
    <n v="0"/>
    <n v="0"/>
    <n v="0"/>
    <n v="0"/>
    <n v="0"/>
    <n v="0"/>
    <n v="0"/>
    <n v="0"/>
    <n v="0"/>
    <n v="0"/>
    <n v="0"/>
    <n v="0.35000000000000003"/>
    <n v="0"/>
    <n v="0"/>
    <n v="0"/>
    <n v="0.35000000000000003"/>
    <n v="0.35000000000000003"/>
    <n v="0"/>
    <n v="0.35000000000000003"/>
    <m/>
    <n v="25.97"/>
    <n v="0"/>
    <n v="0"/>
    <n v="0"/>
    <n v="0"/>
    <n v="0"/>
    <n v="0"/>
    <n v="25.97"/>
    <n v="25.97"/>
    <n v="0"/>
    <n v="0"/>
    <n v="0"/>
    <n v="0"/>
    <n v="0"/>
    <m/>
    <m/>
    <m/>
    <m/>
    <m/>
    <m/>
    <m/>
    <m/>
    <m/>
    <m/>
    <m/>
    <m/>
    <m/>
    <m/>
    <m/>
    <m/>
    <m/>
    <m/>
    <m/>
    <m/>
    <m/>
    <m/>
    <m/>
    <m/>
    <m/>
    <m/>
    <m/>
    <m/>
    <m/>
    <m/>
    <m/>
    <m/>
    <m/>
    <m/>
  </r>
  <r>
    <n v="742"/>
    <d v="2025-04-03T00:00:00"/>
    <x v="0"/>
    <n v="9518667687"/>
    <n v="1"/>
    <s v="9518667687-1"/>
    <s v="May'25"/>
    <x v="0"/>
    <s v="Yes"/>
    <x v="1"/>
    <x v="1"/>
    <x v="0"/>
    <m/>
    <x v="1"/>
    <m/>
    <m/>
    <m/>
    <s v="South"/>
    <s v="YESHWANTHPURA"/>
    <x v="2"/>
    <x v="34"/>
    <x v="34"/>
    <x v="292"/>
    <s v="CRCA COIL TATXXD AU03 0.8X1250"/>
    <s v=" "/>
    <s v=""/>
    <n v="10"/>
    <n v="28"/>
    <m/>
    <x v="1"/>
    <x v="2"/>
    <s v="AU03"/>
    <x v="5"/>
    <x v="0"/>
    <x v="0"/>
    <n v="145"/>
    <n v="0"/>
    <n v="145"/>
    <n v="123.85"/>
    <n v="123.53"/>
    <n v="145"/>
    <n v="0"/>
    <n v="0"/>
    <n v="0"/>
    <n v="21.47"/>
    <n v="0"/>
    <n v="0"/>
    <n v="0"/>
    <n v="0"/>
    <n v="0"/>
    <n v="0"/>
    <n v="0"/>
    <n v="0"/>
    <n v="0"/>
    <n v="0"/>
    <n v="0"/>
    <n v="0"/>
    <n v="0"/>
    <n v="0"/>
    <n v="0"/>
    <n v="21.47"/>
    <n v="21.47"/>
    <n v="0"/>
    <n v="21.47"/>
    <m/>
    <n v="0"/>
    <n v="145"/>
    <n v="0"/>
    <n v="0"/>
    <n v="0"/>
    <n v="145"/>
    <n v="0"/>
    <n v="145"/>
    <n v="0"/>
    <n v="0"/>
    <n v="0"/>
    <n v="145"/>
    <n v="0"/>
    <n v="0"/>
    <m/>
    <m/>
    <m/>
    <m/>
    <m/>
    <m/>
    <m/>
    <m/>
    <m/>
    <m/>
    <m/>
    <m/>
    <m/>
    <m/>
    <m/>
    <m/>
    <m/>
    <m/>
    <m/>
    <m/>
    <m/>
    <m/>
    <m/>
    <m/>
    <m/>
    <m/>
    <m/>
    <m/>
    <m/>
    <m/>
    <m/>
    <m/>
    <m/>
    <m/>
  </r>
  <r>
    <n v="742"/>
    <d v="2025-04-03T00:00:00"/>
    <x v="0"/>
    <n v="9518667687"/>
    <n v="3"/>
    <s v="9518667687-3"/>
    <s v="No Priority"/>
    <x v="0"/>
    <m/>
    <x v="1"/>
    <x v="1"/>
    <x v="0"/>
    <m/>
    <x v="0"/>
    <m/>
    <m/>
    <m/>
    <s v="South"/>
    <s v="YESHWANTHPURA"/>
    <x v="2"/>
    <x v="34"/>
    <x v="34"/>
    <x v="107"/>
    <s v="CRCA COIL TATXXD AU03 1.400X1250"/>
    <s v=" "/>
    <s v=""/>
    <n v="15"/>
    <n v="28"/>
    <m/>
    <x v="1"/>
    <x v="2"/>
    <s v="AU03"/>
    <x v="37"/>
    <x v="0"/>
    <x v="0"/>
    <n v="87"/>
    <n v="0"/>
    <n v="87"/>
    <n v="87"/>
    <n v="87"/>
    <n v="87"/>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220"/>
    <n v="7"/>
    <s v="9518692220-7"/>
    <s v="No Priority"/>
    <x v="0"/>
    <m/>
    <x v="3"/>
    <x v="9"/>
    <x v="0"/>
    <m/>
    <x v="0"/>
    <m/>
    <m/>
    <m/>
    <s v="East"/>
    <s v=" "/>
    <x v="2"/>
    <x v="10"/>
    <x v="10"/>
    <x v="56"/>
    <s v="GP COIL SOFT-TATXGP-GK09-0.4X900"/>
    <s v="Z80"/>
    <s v=""/>
    <n v="4"/>
    <n v="12"/>
    <m/>
    <x v="7"/>
    <x v="5"/>
    <s v="GK09"/>
    <x v="2"/>
    <x v="3"/>
    <x v="0"/>
    <n v="147"/>
    <n v="0"/>
    <n v="147"/>
    <n v="147"/>
    <n v="147"/>
    <n v="147"/>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1"/>
    <n v="4000503317"/>
    <n v="2"/>
    <s v="4000503317-2"/>
    <s v="No Priority"/>
    <x v="0"/>
    <m/>
    <x v="0"/>
    <x v="0"/>
    <x v="1"/>
    <m/>
    <x v="0"/>
    <m/>
    <m/>
    <m/>
    <s v="South"/>
    <s v="YESHWANTHPURA"/>
    <x v="2"/>
    <x v="21"/>
    <x v="21"/>
    <x v="301"/>
    <s v="HR COILS-PO THR099 4.60X1250"/>
    <s v=" "/>
    <s v=""/>
    <n v="17"/>
    <n v="27.5"/>
    <m/>
    <x v="0"/>
    <x v="0"/>
    <s v="HR99"/>
    <x v="58"/>
    <x v="0"/>
    <x v="0"/>
    <n v="25"/>
    <n v="0"/>
    <n v="25"/>
    <n v="-23.77"/>
    <n v="0"/>
    <n v="0.55000000000000004"/>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7687"/>
    <n v="4"/>
    <s v="9518667687-4"/>
    <s v="No Priority"/>
    <x v="0"/>
    <s v="Yes"/>
    <x v="1"/>
    <x v="1"/>
    <x v="0"/>
    <m/>
    <x v="0"/>
    <m/>
    <s v="De-prioritized due to Apr CF orders"/>
    <m/>
    <s v="South"/>
    <s v="YESHWANTHPURA"/>
    <x v="2"/>
    <x v="34"/>
    <x v="34"/>
    <x v="116"/>
    <s v="CRCA COIL-TATXXD-AU03-2X1250"/>
    <s v=" "/>
    <s v=""/>
    <n v="15"/>
    <n v="28"/>
    <m/>
    <x v="1"/>
    <x v="2"/>
    <s v="AU03"/>
    <x v="15"/>
    <x v="0"/>
    <x v="0"/>
    <n v="145"/>
    <n v="0"/>
    <n v="145"/>
    <n v="145"/>
    <n v="145"/>
    <n v="145"/>
    <n v="0"/>
    <n v="0"/>
    <n v="0"/>
    <n v="0"/>
    <n v="0"/>
    <n v="0"/>
    <n v="0"/>
    <n v="0"/>
    <n v="0"/>
    <n v="0"/>
    <n v="0"/>
    <n v="0"/>
    <n v="0"/>
    <n v="0"/>
    <n v="0"/>
    <n v="0"/>
    <n v="0"/>
    <n v="0"/>
    <n v="0"/>
    <n v="0"/>
    <n v="0"/>
    <n v="0"/>
    <n v="0"/>
    <m/>
    <n v="0"/>
    <n v="0"/>
    <n v="0"/>
    <n v="0"/>
    <n v="0"/>
    <n v="0"/>
    <n v="0"/>
    <n v="0"/>
    <n v="0"/>
    <n v="0"/>
    <n v="0"/>
    <n v="0"/>
    <n v="0"/>
    <n v="0"/>
    <m/>
    <m/>
    <m/>
    <m/>
    <m/>
    <m/>
    <m/>
    <m/>
    <m/>
    <m/>
    <m/>
    <m/>
    <m/>
    <m/>
    <m/>
    <m/>
    <m/>
    <m/>
    <m/>
    <m/>
    <m/>
    <m/>
    <m/>
    <m/>
    <m/>
    <m/>
    <m/>
    <m/>
    <m/>
    <m/>
    <m/>
    <m/>
    <m/>
    <m/>
  </r>
  <r>
    <n v="744"/>
    <d v="2025-04-08T00:00:00"/>
    <x v="0"/>
    <n v="9518677543"/>
    <n v="2"/>
    <s v="9518677543-2"/>
    <s v="May'25"/>
    <x v="0"/>
    <m/>
    <x v="2"/>
    <x v="3"/>
    <x v="2"/>
    <m/>
    <x v="1"/>
    <m/>
    <m/>
    <m/>
    <s v="TBSPL"/>
    <s v=" "/>
    <x v="2"/>
    <x v="6"/>
    <x v="6"/>
    <x v="277"/>
    <s v="PPGL C HARD Y550PL SXO1 0.53(TPT)X1220"/>
    <s v="AZ150"/>
    <s v="RAL 9002 TSL 2101"/>
    <n v="3"/>
    <n v="5"/>
    <m/>
    <x v="3"/>
    <x v="3"/>
    <s v="SXO1"/>
    <x v="34"/>
    <x v="1"/>
    <x v="0"/>
    <n v="28"/>
    <n v="3.0750000000000002"/>
    <n v="24.925000000000001"/>
    <n v="24.925000000000001"/>
    <n v="24.925000000000001"/>
    <n v="24.925000000000001"/>
    <n v="0"/>
    <n v="0"/>
    <n v="0"/>
    <n v="0"/>
    <n v="0"/>
    <n v="0"/>
    <n v="0"/>
    <n v="0"/>
    <n v="0"/>
    <n v="0"/>
    <n v="0"/>
    <n v="0"/>
    <n v="0"/>
    <n v="0"/>
    <n v="0"/>
    <n v="0"/>
    <n v="0"/>
    <n v="0"/>
    <n v="0"/>
    <n v="0"/>
    <n v="0"/>
    <n v="0"/>
    <n v="0"/>
    <m/>
    <n v="0"/>
    <n v="24.925000000000001"/>
    <n v="0"/>
    <n v="0"/>
    <n v="24.925000000000001"/>
    <n v="0"/>
    <n v="0"/>
    <n v="24.925000000000001"/>
    <n v="0"/>
    <n v="0"/>
    <n v="0"/>
    <n v="24.925000000000001"/>
    <n v="0"/>
    <n v="0"/>
    <m/>
    <m/>
    <m/>
    <m/>
    <m/>
    <m/>
    <m/>
    <m/>
    <m/>
    <m/>
    <m/>
    <m/>
    <m/>
    <m/>
    <m/>
    <m/>
    <m/>
    <m/>
    <m/>
    <m/>
    <m/>
    <m/>
    <m/>
    <m/>
    <m/>
    <m/>
    <m/>
    <m/>
    <m/>
    <m/>
    <m/>
    <m/>
    <m/>
    <m/>
  </r>
  <r>
    <n v="744"/>
    <d v="2025-04-17T00:00:00"/>
    <x v="0"/>
    <n v="9518700594"/>
    <n v="1"/>
    <s v="9518700594-1"/>
    <s v="May'25"/>
    <x v="0"/>
    <m/>
    <x v="2"/>
    <x v="3"/>
    <x v="2"/>
    <m/>
    <x v="1"/>
    <m/>
    <m/>
    <m/>
    <s v="TBSPL"/>
    <s v="GAMHARIA"/>
    <x v="2"/>
    <x v="15"/>
    <x v="15"/>
    <x v="195"/>
    <s v="PPGL C HARD Y550PL D0C9 0.60(TPT)X1220"/>
    <s v="AZ150"/>
    <s v="RAL 5012 TSL 1802"/>
    <n v="3"/>
    <n v="5"/>
    <m/>
    <x v="3"/>
    <x v="3"/>
    <s v="D0C9"/>
    <x v="20"/>
    <x v="1"/>
    <x v="0"/>
    <n v="56"/>
    <n v="0"/>
    <n v="56"/>
    <n v="56"/>
    <n v="56"/>
    <n v="56"/>
    <n v="0"/>
    <n v="0"/>
    <n v="0"/>
    <n v="0"/>
    <n v="0"/>
    <n v="0"/>
    <n v="0"/>
    <n v="0"/>
    <n v="0"/>
    <n v="0"/>
    <n v="0"/>
    <n v="0"/>
    <n v="0"/>
    <n v="0"/>
    <n v="0"/>
    <n v="0"/>
    <n v="0"/>
    <n v="0"/>
    <n v="0"/>
    <n v="0"/>
    <n v="0"/>
    <n v="0"/>
    <n v="0"/>
    <m/>
    <n v="0"/>
    <n v="56"/>
    <n v="0"/>
    <n v="56"/>
    <n v="0"/>
    <n v="0"/>
    <n v="0"/>
    <n v="56"/>
    <n v="0"/>
    <n v="56"/>
    <n v="0"/>
    <n v="0"/>
    <n v="0"/>
    <n v="0"/>
    <m/>
    <m/>
    <m/>
    <m/>
    <m/>
    <m/>
    <m/>
    <m/>
    <m/>
    <m/>
    <m/>
    <m/>
    <m/>
    <m/>
    <m/>
    <m/>
    <m/>
    <m/>
    <m/>
    <m/>
    <m/>
    <m/>
    <m/>
    <m/>
    <m/>
    <m/>
    <m/>
    <m/>
    <m/>
    <m/>
    <m/>
    <m/>
    <m/>
    <m/>
  </r>
  <r>
    <n v="744"/>
    <d v="2025-04-17T00:00:00"/>
    <x v="0"/>
    <n v="9518700504"/>
    <n v="1"/>
    <s v="9518700504-1"/>
    <s v="Stocks"/>
    <x v="0"/>
    <m/>
    <x v="2"/>
    <x v="3"/>
    <x v="2"/>
    <m/>
    <x v="1"/>
    <m/>
    <m/>
    <m/>
    <s v="TBSPL"/>
    <s v="GAMHARIA"/>
    <x v="2"/>
    <x v="15"/>
    <x v="15"/>
    <x v="99"/>
    <s v="PPGL C HARD Y550PL DX01 0.68(TPT)X1220"/>
    <s v="AZ150"/>
    <s v="RAL 5012 TSL 2002"/>
    <n v="3"/>
    <n v="5"/>
    <m/>
    <x v="3"/>
    <x v="3"/>
    <s v="DX01"/>
    <x v="35"/>
    <x v="1"/>
    <x v="0"/>
    <n v="27.998999999999999"/>
    <n v="0"/>
    <n v="27.998999999999999"/>
    <n v="27.998999999999999"/>
    <n v="27.998999999999999"/>
    <n v="2.1339999999999999"/>
    <n v="0"/>
    <n v="0"/>
    <n v="0"/>
    <n v="0"/>
    <n v="0"/>
    <n v="0"/>
    <n v="0"/>
    <n v="0"/>
    <n v="0"/>
    <n v="0"/>
    <n v="0"/>
    <n v="0"/>
    <n v="0"/>
    <n v="0"/>
    <n v="0"/>
    <n v="0"/>
    <n v="0"/>
    <n v="0"/>
    <n v="0"/>
    <n v="0"/>
    <n v="0"/>
    <n v="0"/>
    <n v="0"/>
    <m/>
    <n v="25.865000000000002"/>
    <n v="2.1339999999999999"/>
    <n v="2.1339999999999999"/>
    <n v="0"/>
    <n v="0"/>
    <n v="0"/>
    <n v="0"/>
    <n v="27.999000000000002"/>
    <n v="0"/>
    <n v="27.999000000000002"/>
    <n v="0"/>
    <n v="0"/>
    <n v="0"/>
    <n v="0"/>
    <m/>
    <m/>
    <m/>
    <m/>
    <m/>
    <m/>
    <m/>
    <m/>
    <m/>
    <m/>
    <m/>
    <m/>
    <m/>
    <m/>
    <m/>
    <m/>
    <m/>
    <m/>
    <m/>
    <m/>
    <m/>
    <m/>
    <m/>
    <m/>
    <m/>
    <m/>
    <m/>
    <m/>
    <m/>
    <m/>
    <m/>
    <m/>
    <m/>
    <m/>
  </r>
  <r>
    <n v="742"/>
    <d v="2025-04-15T00:00:00"/>
    <x v="1"/>
    <n v="9518695452"/>
    <n v="2"/>
    <s v="9518695452-2"/>
    <s v="May'25"/>
    <x v="0"/>
    <m/>
    <x v="1"/>
    <x v="7"/>
    <x v="2"/>
    <m/>
    <x v="1"/>
    <m/>
    <m/>
    <m/>
    <s v="East"/>
    <s v="PILKHUWA"/>
    <x v="2"/>
    <x v="24"/>
    <x v="23"/>
    <x v="37"/>
    <s v="CR COIL TSBSTA EL06 0.500X1250"/>
    <s v=" "/>
    <s v=""/>
    <n v="8"/>
    <n v="14"/>
    <m/>
    <x v="1"/>
    <x v="9"/>
    <s v="EL06"/>
    <x v="1"/>
    <x v="0"/>
    <x v="0"/>
    <n v="87"/>
    <n v="0"/>
    <n v="87"/>
    <n v="87"/>
    <n v="20.069999999999993"/>
    <n v="63.05"/>
    <n v="0"/>
    <n v="0"/>
    <n v="0"/>
    <n v="0"/>
    <n v="0"/>
    <n v="0"/>
    <n v="0"/>
    <n v="66.930000000000007"/>
    <n v="0"/>
    <n v="0"/>
    <n v="0"/>
    <n v="0"/>
    <n v="0"/>
    <n v="0"/>
    <n v="0"/>
    <n v="0"/>
    <n v="0"/>
    <n v="0"/>
    <n v="0"/>
    <n v="66.930000000000007"/>
    <n v="66.930000000000007"/>
    <n v="0"/>
    <n v="66.930000000000007"/>
    <m/>
    <n v="11.41"/>
    <n v="63.05"/>
    <n v="0"/>
    <n v="63.05"/>
    <n v="0"/>
    <n v="0"/>
    <n v="0"/>
    <n v="74.459999999999994"/>
    <n v="0"/>
    <n v="0"/>
    <n v="74.459999999999994"/>
    <n v="0"/>
    <n v="0"/>
    <n v="0"/>
    <m/>
    <m/>
    <m/>
    <m/>
    <m/>
    <m/>
    <m/>
    <m/>
    <m/>
    <m/>
    <m/>
    <m/>
    <m/>
    <m/>
    <m/>
    <m/>
    <m/>
    <m/>
    <m/>
    <m/>
    <m/>
    <m/>
    <m/>
    <m/>
    <m/>
    <m/>
    <m/>
    <m/>
    <m/>
    <m/>
    <m/>
    <m/>
    <m/>
    <m/>
  </r>
  <r>
    <n v="742"/>
    <d v="2025-04-15T00:00:00"/>
    <x v="1"/>
    <n v="9518695452"/>
    <n v="3"/>
    <s v="9518695452-3"/>
    <s v="May'25"/>
    <x v="0"/>
    <m/>
    <x v="1"/>
    <x v="7"/>
    <x v="2"/>
    <m/>
    <x v="1"/>
    <m/>
    <m/>
    <m/>
    <s v="East"/>
    <s v="PILKHUWA"/>
    <x v="2"/>
    <x v="24"/>
    <x v="23"/>
    <x v="37"/>
    <s v="CR COIL TSBSTA EL06 0.500X1250"/>
    <s v=" "/>
    <s v=""/>
    <n v="8"/>
    <n v="14"/>
    <m/>
    <x v="1"/>
    <x v="9"/>
    <s v="EL06"/>
    <x v="1"/>
    <x v="0"/>
    <x v="0"/>
    <n v="290"/>
    <n v="0"/>
    <n v="290"/>
    <n v="290"/>
    <n v="290"/>
    <n v="290"/>
    <n v="0"/>
    <n v="0"/>
    <n v="0"/>
    <n v="0"/>
    <n v="0"/>
    <n v="0"/>
    <n v="0"/>
    <n v="0"/>
    <n v="0"/>
    <n v="0"/>
    <n v="0"/>
    <n v="0"/>
    <n v="0"/>
    <n v="0"/>
    <n v="0"/>
    <n v="0"/>
    <n v="0"/>
    <n v="0"/>
    <n v="0"/>
    <n v="0"/>
    <n v="0"/>
    <n v="0"/>
    <n v="0"/>
    <m/>
    <n v="0"/>
    <n v="290"/>
    <n v="0"/>
    <n v="0"/>
    <n v="0"/>
    <n v="290"/>
    <n v="0"/>
    <n v="290"/>
    <n v="0"/>
    <n v="0"/>
    <n v="0"/>
    <n v="290"/>
    <n v="0"/>
    <n v="0"/>
    <m/>
    <m/>
    <m/>
    <m/>
    <m/>
    <m/>
    <m/>
    <m/>
    <m/>
    <m/>
    <m/>
    <m/>
    <m/>
    <m/>
    <m/>
    <m/>
    <m/>
    <m/>
    <m/>
    <m/>
    <m/>
    <m/>
    <m/>
    <m/>
    <m/>
    <m/>
    <m/>
    <m/>
    <m/>
    <m/>
    <m/>
    <m/>
    <m/>
    <m/>
  </r>
  <r>
    <n v="742"/>
    <d v="2025-04-15T00:00:00"/>
    <x v="1"/>
    <n v="9518695452"/>
    <n v="4"/>
    <s v="9518695452-4"/>
    <s v="May'25"/>
    <x v="0"/>
    <m/>
    <x v="1"/>
    <x v="7"/>
    <x v="2"/>
    <m/>
    <x v="1"/>
    <m/>
    <m/>
    <m/>
    <s v="East"/>
    <s v="PILKHUWA"/>
    <x v="2"/>
    <x v="24"/>
    <x v="23"/>
    <x v="93"/>
    <s v="CRCA COIL TSBSTA EL06 0.500X1160"/>
    <s v=" "/>
    <s v=""/>
    <n v="8"/>
    <n v="13"/>
    <m/>
    <x v="1"/>
    <x v="9"/>
    <s v="EL06"/>
    <x v="1"/>
    <x v="13"/>
    <x v="0"/>
    <n v="297"/>
    <n v="0"/>
    <n v="297"/>
    <n v="297"/>
    <n v="26.990000000000009"/>
    <n v="297"/>
    <n v="0"/>
    <n v="0"/>
    <n v="0"/>
    <n v="137.06"/>
    <n v="0"/>
    <n v="0"/>
    <n v="0"/>
    <n v="0"/>
    <n v="0"/>
    <n v="0"/>
    <n v="27.17"/>
    <n v="52.97"/>
    <n v="52.81"/>
    <n v="0"/>
    <n v="0"/>
    <n v="0"/>
    <n v="0"/>
    <n v="0"/>
    <n v="0"/>
    <n v="270.01"/>
    <n v="270.01"/>
    <n v="0"/>
    <n v="270.01"/>
    <m/>
    <n v="0"/>
    <n v="297"/>
    <n v="0"/>
    <n v="0"/>
    <n v="297"/>
    <n v="0"/>
    <n v="0"/>
    <n v="297"/>
    <n v="0"/>
    <n v="0"/>
    <n v="297"/>
    <n v="0"/>
    <n v="0"/>
    <n v="0"/>
    <m/>
    <m/>
    <m/>
    <m/>
    <m/>
    <m/>
    <m/>
    <m/>
    <m/>
    <m/>
    <m/>
    <m/>
    <m/>
    <m/>
    <m/>
    <m/>
    <m/>
    <m/>
    <m/>
    <m/>
    <m/>
    <m/>
    <m/>
    <m/>
    <m/>
    <m/>
    <m/>
    <m/>
    <m/>
    <m/>
    <m/>
    <m/>
    <m/>
    <m/>
  </r>
  <r>
    <n v="742"/>
    <d v="2025-04-15T00:00:00"/>
    <x v="1"/>
    <n v="9518695452"/>
    <n v="5"/>
    <s v="9518695452-5"/>
    <s v="May'25"/>
    <x v="0"/>
    <m/>
    <x v="1"/>
    <x v="7"/>
    <x v="2"/>
    <m/>
    <x v="1"/>
    <m/>
    <m/>
    <m/>
    <s v="East"/>
    <s v="PILKHUWA"/>
    <x v="2"/>
    <x v="24"/>
    <x v="23"/>
    <x v="93"/>
    <s v="CRCA COIL TSBSTA EL06 0.500X1160"/>
    <s v=" "/>
    <s v=""/>
    <n v="8"/>
    <n v="13"/>
    <m/>
    <x v="1"/>
    <x v="9"/>
    <s v="EL06"/>
    <x v="1"/>
    <x v="13"/>
    <x v="0"/>
    <n v="297"/>
    <n v="0"/>
    <n v="297"/>
    <n v="297"/>
    <n v="297"/>
    <n v="297"/>
    <n v="0"/>
    <n v="0"/>
    <n v="0"/>
    <n v="0"/>
    <n v="0"/>
    <n v="0"/>
    <n v="0"/>
    <n v="0"/>
    <n v="0"/>
    <n v="0"/>
    <n v="0"/>
    <n v="0"/>
    <n v="0"/>
    <n v="0"/>
    <n v="0"/>
    <n v="0"/>
    <n v="0"/>
    <n v="0"/>
    <n v="0"/>
    <n v="0"/>
    <n v="0"/>
    <n v="0"/>
    <n v="0"/>
    <m/>
    <n v="0"/>
    <n v="297"/>
    <n v="0"/>
    <n v="0"/>
    <n v="0"/>
    <n v="297"/>
    <n v="0"/>
    <n v="297"/>
    <n v="0"/>
    <n v="0"/>
    <n v="0"/>
    <n v="297"/>
    <n v="0"/>
    <n v="0"/>
    <m/>
    <m/>
    <m/>
    <m/>
    <m/>
    <m/>
    <m/>
    <m/>
    <m/>
    <m/>
    <m/>
    <m/>
    <m/>
    <m/>
    <m/>
    <m/>
    <m/>
    <m/>
    <m/>
    <m/>
    <m/>
    <m/>
    <m/>
    <m/>
    <m/>
    <m/>
    <m/>
    <m/>
    <m/>
    <m/>
    <m/>
    <m/>
    <m/>
    <m/>
  </r>
  <r>
    <n v="742"/>
    <d v="2025-04-18T00:00:00"/>
    <x v="0"/>
    <n v="9518703251"/>
    <n v="1"/>
    <s v="9518703251-1"/>
    <s v="May'25"/>
    <x v="0"/>
    <m/>
    <x v="1"/>
    <x v="10"/>
    <x v="2"/>
    <m/>
    <x v="1"/>
    <m/>
    <s v="P1-Priority for Balmer"/>
    <m/>
    <s v="West"/>
    <s v="VADODARA"/>
    <x v="2"/>
    <x v="44"/>
    <x v="93"/>
    <x v="77"/>
    <s v="CRCA COIL TATXXD BT01 0.900X1315"/>
    <s v=" "/>
    <s v=""/>
    <n v="8"/>
    <n v="12"/>
    <m/>
    <x v="1"/>
    <x v="2"/>
    <s v="BT01"/>
    <x v="13"/>
    <x v="10"/>
    <x v="0"/>
    <n v="30"/>
    <n v="0"/>
    <n v="30"/>
    <n v="30"/>
    <n v="30"/>
    <n v="30"/>
    <n v="0"/>
    <n v="0"/>
    <n v="0"/>
    <n v="0"/>
    <n v="0"/>
    <n v="0"/>
    <n v="0"/>
    <n v="0"/>
    <n v="0"/>
    <n v="0"/>
    <n v="0"/>
    <n v="0"/>
    <n v="0"/>
    <n v="0"/>
    <n v="0"/>
    <n v="0"/>
    <n v="0"/>
    <n v="0"/>
    <n v="0"/>
    <n v="0"/>
    <n v="0"/>
    <n v="0"/>
    <n v="0"/>
    <m/>
    <n v="0"/>
    <n v="30"/>
    <n v="0"/>
    <n v="0"/>
    <n v="30"/>
    <n v="0"/>
    <n v="0"/>
    <n v="30"/>
    <n v="0"/>
    <n v="0"/>
    <n v="0"/>
    <n v="30"/>
    <n v="0"/>
    <n v="0"/>
    <m/>
    <m/>
    <m/>
    <m/>
    <m/>
    <m/>
    <m/>
    <m/>
    <m/>
    <m/>
    <m/>
    <m/>
    <m/>
    <m/>
    <m/>
    <m/>
    <m/>
    <m/>
    <m/>
    <m/>
    <m/>
    <m/>
    <m/>
    <m/>
    <m/>
    <m/>
    <m/>
    <m/>
    <m/>
    <m/>
    <m/>
    <m/>
    <m/>
    <m/>
  </r>
  <r>
    <n v="742"/>
    <d v="2025-04-18T00:00:00"/>
    <x v="0"/>
    <n v="9518703251"/>
    <n v="3"/>
    <s v="9518703251-3"/>
    <s v="May'25"/>
    <x v="0"/>
    <m/>
    <x v="1"/>
    <x v="10"/>
    <x v="2"/>
    <m/>
    <x v="1"/>
    <m/>
    <s v="P1-Priority for Balmer"/>
    <m/>
    <s v="West"/>
    <s v="VADODARA"/>
    <x v="2"/>
    <x v="44"/>
    <x v="93"/>
    <x v="82"/>
    <s v="CRCA COIL TATXXD BT01 0.970X1315"/>
    <s v=" "/>
    <s v=""/>
    <n v="7"/>
    <n v="10"/>
    <m/>
    <x v="1"/>
    <x v="2"/>
    <s v="BT01"/>
    <x v="24"/>
    <x v="10"/>
    <x v="0"/>
    <n v="60"/>
    <n v="0"/>
    <n v="60"/>
    <n v="60"/>
    <n v="60"/>
    <n v="60"/>
    <n v="0"/>
    <n v="0"/>
    <n v="0"/>
    <n v="0"/>
    <n v="0"/>
    <n v="0"/>
    <n v="0"/>
    <n v="0"/>
    <n v="0"/>
    <n v="0"/>
    <n v="0"/>
    <n v="0"/>
    <n v="0"/>
    <n v="0"/>
    <n v="0"/>
    <n v="0"/>
    <n v="0"/>
    <n v="0"/>
    <n v="0"/>
    <n v="0"/>
    <n v="0"/>
    <n v="0"/>
    <n v="0"/>
    <m/>
    <n v="0"/>
    <n v="60"/>
    <n v="0"/>
    <n v="0"/>
    <n v="60"/>
    <n v="0"/>
    <n v="0"/>
    <n v="60"/>
    <n v="0"/>
    <n v="0"/>
    <n v="0"/>
    <n v="60"/>
    <n v="0"/>
    <n v="0"/>
    <m/>
    <m/>
    <m/>
    <m/>
    <m/>
    <m/>
    <m/>
    <m/>
    <m/>
    <m/>
    <m/>
    <m/>
    <m/>
    <m/>
    <m/>
    <m/>
    <m/>
    <m/>
    <m/>
    <m/>
    <m/>
    <m/>
    <m/>
    <m/>
    <m/>
    <m/>
    <m/>
    <m/>
    <m/>
    <m/>
    <m/>
    <m/>
    <m/>
    <m/>
  </r>
  <r>
    <n v="744"/>
    <d v="2025-04-10T00:00:00"/>
    <x v="0"/>
    <n v="9518682295"/>
    <n v="1"/>
    <s v="9518682295-1"/>
    <s v="May'25"/>
    <x v="0"/>
    <m/>
    <x v="2"/>
    <x v="3"/>
    <x v="2"/>
    <m/>
    <x v="1"/>
    <m/>
    <m/>
    <m/>
    <s v="TBSPL"/>
    <s v="GAMHARIA"/>
    <x v="2"/>
    <x v="15"/>
    <x v="15"/>
    <x v="97"/>
    <s v="PPGL C HARD Y550PL DX01 0.53(TPT)X1220"/>
    <s v="AZ150"/>
    <s v="RAL 5012 TSL 2002"/>
    <n v="3"/>
    <n v="5"/>
    <m/>
    <x v="3"/>
    <x v="3"/>
    <s v="DX01"/>
    <x v="34"/>
    <x v="1"/>
    <x v="0"/>
    <n v="28"/>
    <n v="0"/>
    <n v="28"/>
    <n v="28"/>
    <n v="9.3249999999999993"/>
    <n v="19.75"/>
    <n v="0"/>
    <n v="0"/>
    <n v="0"/>
    <n v="0"/>
    <n v="0"/>
    <n v="0"/>
    <n v="0"/>
    <n v="0"/>
    <n v="0"/>
    <n v="14.8"/>
    <n v="0"/>
    <n v="0"/>
    <n v="0"/>
    <n v="0"/>
    <n v="0"/>
    <n v="3.875"/>
    <n v="0"/>
    <n v="0"/>
    <n v="0"/>
    <n v="18.675000000000001"/>
    <n v="18.675000000000001"/>
    <n v="0"/>
    <n v="18.675000000000001"/>
    <m/>
    <n v="8.25"/>
    <n v="19.75"/>
    <n v="19.75"/>
    <n v="0"/>
    <n v="0"/>
    <n v="0"/>
    <n v="0"/>
    <n v="28"/>
    <n v="0"/>
    <n v="28"/>
    <n v="0"/>
    <n v="0"/>
    <n v="0"/>
    <n v="0"/>
    <m/>
    <m/>
    <m/>
    <m/>
    <m/>
    <m/>
    <m/>
    <m/>
    <m/>
    <m/>
    <m/>
    <m/>
    <m/>
    <m/>
    <m/>
    <m/>
    <m/>
    <m/>
    <m/>
    <m/>
    <m/>
    <m/>
    <m/>
    <m/>
    <m/>
    <m/>
    <m/>
    <m/>
    <m/>
    <m/>
    <m/>
    <m/>
    <m/>
    <m/>
  </r>
  <r>
    <n v="742"/>
    <d v="2025-04-11T00:00:00"/>
    <x v="0"/>
    <n v="9518684484"/>
    <n v="10"/>
    <s v="9518684484-10"/>
    <s v="May'25"/>
    <x v="0"/>
    <m/>
    <x v="1"/>
    <x v="2"/>
    <x v="0"/>
    <m/>
    <x v="1"/>
    <m/>
    <s v="Exp BTF &lt;17MT"/>
    <m/>
    <s v="South"/>
    <s v="CHENNAI"/>
    <x v="2"/>
    <x v="4"/>
    <x v="4"/>
    <x v="144"/>
    <s v="CRCA SHEET TATCRC SR16 0.400X900X2500"/>
    <s v=" "/>
    <s v=""/>
    <n v="0"/>
    <n v="0"/>
    <m/>
    <x v="2"/>
    <x v="1"/>
    <s v="SR16"/>
    <x v="2"/>
    <x v="3"/>
    <x v="3"/>
    <n v="51"/>
    <n v="0"/>
    <n v="51"/>
    <n v="6.83"/>
    <n v="8.4399999999999977"/>
    <n v="51"/>
    <n v="0"/>
    <n v="0"/>
    <n v="0"/>
    <n v="0"/>
    <n v="0"/>
    <n v="0"/>
    <n v="0"/>
    <n v="0"/>
    <n v="0"/>
    <n v="0"/>
    <n v="0"/>
    <n v="0"/>
    <n v="21.25"/>
    <n v="21.31"/>
    <n v="0"/>
    <n v="0"/>
    <n v="0"/>
    <n v="0"/>
    <n v="0"/>
    <n v="42.56"/>
    <n v="42.56"/>
    <n v="0"/>
    <n v="42.56"/>
    <m/>
    <n v="0"/>
    <n v="51"/>
    <n v="0"/>
    <n v="51"/>
    <n v="0"/>
    <n v="0"/>
    <n v="0"/>
    <n v="51"/>
    <n v="0"/>
    <n v="51"/>
    <n v="0"/>
    <n v="0"/>
    <n v="0"/>
    <n v="0"/>
    <m/>
    <m/>
    <m/>
    <m/>
    <m/>
    <m/>
    <m/>
    <m/>
    <m/>
    <m/>
    <m/>
    <m/>
    <m/>
    <m/>
    <m/>
    <m/>
    <m/>
    <m/>
    <m/>
    <m/>
    <m/>
    <m/>
    <m/>
    <m/>
    <m/>
    <m/>
    <m/>
    <m/>
    <m/>
    <m/>
    <m/>
    <m/>
    <m/>
    <m/>
  </r>
  <r>
    <n v="742"/>
    <d v="2025-04-15T00:00:00"/>
    <x v="0"/>
    <n v="9518694613"/>
    <n v="3"/>
    <s v="9518694613-3"/>
    <s v="No Priority"/>
    <x v="0"/>
    <m/>
    <x v="1"/>
    <x v="2"/>
    <x v="0"/>
    <m/>
    <x v="0"/>
    <m/>
    <m/>
    <m/>
    <s v="East"/>
    <s v=" "/>
    <x v="2"/>
    <x v="10"/>
    <x v="10"/>
    <x v="144"/>
    <s v="CRCA SHEET TATCRC SR16 0.400X900X2500"/>
    <s v=" "/>
    <s v=""/>
    <n v="2.5"/>
    <n v="3.2"/>
    <m/>
    <x v="2"/>
    <x v="1"/>
    <s v="SR16"/>
    <x v="2"/>
    <x v="3"/>
    <x v="3"/>
    <n v="60"/>
    <n v="0"/>
    <n v="60"/>
    <n v="-4.5599999999999996"/>
    <n v="0"/>
    <n v="60"/>
    <n v="0"/>
    <n v="0"/>
    <n v="0"/>
    <n v="0"/>
    <n v="0"/>
    <n v="0"/>
    <n v="0"/>
    <n v="0"/>
    <n v="0"/>
    <n v="0"/>
    <n v="0"/>
    <n v="0"/>
    <n v="21.23"/>
    <n v="42.49"/>
    <n v="0"/>
    <n v="0"/>
    <n v="0"/>
    <n v="0"/>
    <n v="0"/>
    <n v="63.72"/>
    <n v="63.72"/>
    <n v="0"/>
    <n v="63.72"/>
    <m/>
    <n v="0"/>
    <n v="0"/>
    <n v="0"/>
    <n v="0"/>
    <n v="0"/>
    <n v="0"/>
    <n v="0"/>
    <n v="0"/>
    <n v="0"/>
    <n v="0"/>
    <n v="0"/>
    <n v="0"/>
    <n v="0"/>
    <n v="0"/>
    <m/>
    <m/>
    <m/>
    <m/>
    <m/>
    <m/>
    <m/>
    <m/>
    <m/>
    <m/>
    <m/>
    <m/>
    <m/>
    <m/>
    <m/>
    <m/>
    <m/>
    <m/>
    <m/>
    <m/>
    <m/>
    <m/>
    <m/>
    <m/>
    <m/>
    <m/>
    <m/>
    <m/>
    <m/>
    <m/>
    <m/>
    <m/>
    <m/>
    <m/>
  </r>
  <r>
    <n v="742"/>
    <d v="2025-04-16T00:00:00"/>
    <x v="0"/>
    <n v="9518696653"/>
    <n v="1"/>
    <s v="9518696653-1"/>
    <s v="No Priority"/>
    <x v="0"/>
    <m/>
    <x v="1"/>
    <x v="1"/>
    <x v="0"/>
    <m/>
    <x v="0"/>
    <m/>
    <m/>
    <m/>
    <s v="South"/>
    <s v="YESHWANTHPURA"/>
    <x v="2"/>
    <x v="89"/>
    <x v="86"/>
    <x v="69"/>
    <s v="CRCA COIL TATXXD AU03 1.500X1250"/>
    <s v=" "/>
    <s v=""/>
    <n v="15"/>
    <n v="26"/>
    <m/>
    <x v="1"/>
    <x v="2"/>
    <s v="AU03"/>
    <x v="27"/>
    <x v="0"/>
    <x v="0"/>
    <n v="145"/>
    <n v="0"/>
    <n v="145"/>
    <n v="145"/>
    <n v="145"/>
    <n v="145"/>
    <n v="0"/>
    <n v="0"/>
    <n v="0"/>
    <n v="0"/>
    <n v="0"/>
    <n v="0"/>
    <n v="0"/>
    <n v="0"/>
    <n v="0"/>
    <n v="0"/>
    <n v="0"/>
    <n v="0"/>
    <n v="0"/>
    <n v="0"/>
    <n v="0"/>
    <n v="0"/>
    <n v="0"/>
    <n v="0"/>
    <n v="0"/>
    <n v="0"/>
    <n v="0"/>
    <n v="0"/>
    <n v="0"/>
    <m/>
    <n v="0"/>
    <n v="0"/>
    <n v="0"/>
    <n v="0"/>
    <n v="0"/>
    <n v="0"/>
    <n v="0"/>
    <n v="0"/>
    <n v="0"/>
    <n v="0"/>
    <n v="0"/>
    <n v="0"/>
    <n v="0"/>
    <n v="0"/>
    <m/>
    <m/>
    <m/>
    <m/>
    <m/>
    <m/>
    <m/>
    <m/>
    <m/>
    <m/>
    <m/>
    <m/>
    <m/>
    <m/>
    <m/>
    <m/>
    <m/>
    <m/>
    <m/>
    <m/>
    <m/>
    <m/>
    <m/>
    <m/>
    <m/>
    <m/>
    <m/>
    <m/>
    <m/>
    <m/>
    <m/>
    <m/>
    <m/>
    <m/>
  </r>
  <r>
    <n v="744"/>
    <d v="2025-04-15T00:00:00"/>
    <x v="0"/>
    <n v="9518693944"/>
    <n v="1"/>
    <s v="9518693944-1"/>
    <s v="May'25"/>
    <x v="0"/>
    <m/>
    <x v="2"/>
    <x v="3"/>
    <x v="2"/>
    <m/>
    <x v="1"/>
    <m/>
    <m/>
    <m/>
    <s v="TBSPL"/>
    <s v=" "/>
    <x v="2"/>
    <x v="6"/>
    <x v="6"/>
    <x v="195"/>
    <s v="PPGL C HARD Y550PL D0C9 0.60(TPT)X1220"/>
    <s v="AZ150"/>
    <s v="ROYAL BLUE TSL 1815"/>
    <n v="3"/>
    <n v="5"/>
    <m/>
    <x v="3"/>
    <x v="3"/>
    <s v="D0C9"/>
    <x v="20"/>
    <x v="1"/>
    <x v="0"/>
    <n v="28"/>
    <n v="0"/>
    <n v="28"/>
    <n v="28"/>
    <n v="28"/>
    <n v="24.63"/>
    <n v="0"/>
    <n v="0"/>
    <n v="0"/>
    <n v="0"/>
    <n v="0"/>
    <n v="0"/>
    <n v="0"/>
    <n v="0"/>
    <n v="0"/>
    <n v="0"/>
    <n v="0"/>
    <n v="0"/>
    <n v="0"/>
    <n v="0"/>
    <n v="0"/>
    <n v="0"/>
    <n v="0"/>
    <n v="0"/>
    <n v="0"/>
    <n v="0"/>
    <n v="0"/>
    <n v="0"/>
    <n v="0"/>
    <m/>
    <n v="3.37"/>
    <n v="24.63"/>
    <n v="0"/>
    <n v="0"/>
    <n v="24.63"/>
    <n v="0"/>
    <n v="0"/>
    <n v="28"/>
    <n v="0"/>
    <n v="0"/>
    <n v="0"/>
    <n v="28"/>
    <n v="0"/>
    <n v="0"/>
    <m/>
    <m/>
    <m/>
    <m/>
    <m/>
    <m/>
    <m/>
    <m/>
    <m/>
    <m/>
    <m/>
    <m/>
    <m/>
    <m/>
    <m/>
    <m/>
    <m/>
    <m/>
    <m/>
    <m/>
    <m/>
    <m/>
    <m/>
    <m/>
    <m/>
    <m/>
    <m/>
    <m/>
    <m/>
    <m/>
    <m/>
    <m/>
    <m/>
    <m/>
  </r>
  <r>
    <n v="743"/>
    <d v="2025-04-14T00:00:00"/>
    <x v="0"/>
    <n v="9518692220"/>
    <n v="3"/>
    <s v="9518692220-3"/>
    <s v="No Priority"/>
    <x v="0"/>
    <m/>
    <x v="3"/>
    <x v="9"/>
    <x v="0"/>
    <m/>
    <x v="0"/>
    <m/>
    <m/>
    <m/>
    <s v="East"/>
    <s v=" "/>
    <x v="2"/>
    <x v="10"/>
    <x v="10"/>
    <x v="51"/>
    <s v="GP COIL SOFT-TATXGP-GK09-0.3X900"/>
    <s v="Z80"/>
    <s v=""/>
    <n v="4"/>
    <n v="12"/>
    <m/>
    <x v="7"/>
    <x v="5"/>
    <s v="GK09"/>
    <x v="11"/>
    <x v="3"/>
    <x v="0"/>
    <n v="126"/>
    <n v="0"/>
    <n v="126"/>
    <n v="126"/>
    <n v="126"/>
    <n v="126"/>
    <n v="0"/>
    <n v="0"/>
    <n v="0"/>
    <n v="0"/>
    <n v="0"/>
    <n v="0"/>
    <n v="0"/>
    <n v="0"/>
    <n v="0"/>
    <n v="0"/>
    <n v="0"/>
    <n v="0"/>
    <n v="0"/>
    <n v="0"/>
    <n v="0"/>
    <n v="0"/>
    <n v="0"/>
    <n v="0"/>
    <n v="0"/>
    <n v="0"/>
    <n v="0"/>
    <n v="0"/>
    <n v="0"/>
    <m/>
    <n v="0"/>
    <n v="0"/>
    <n v="0"/>
    <n v="0"/>
    <n v="0"/>
    <n v="0"/>
    <n v="0"/>
    <n v="0"/>
    <n v="0"/>
    <n v="0"/>
    <n v="0"/>
    <n v="0"/>
    <n v="0"/>
    <n v="0"/>
    <m/>
    <m/>
    <m/>
    <m/>
    <m/>
    <m/>
    <m/>
    <m/>
    <m/>
    <m/>
    <m/>
    <m/>
    <m/>
    <m/>
    <m/>
    <m/>
    <m/>
    <m/>
    <m/>
    <m/>
    <m/>
    <m/>
    <m/>
    <m/>
    <m/>
    <m/>
    <m/>
    <m/>
    <m/>
    <m/>
    <m/>
    <m/>
    <m/>
    <m/>
  </r>
  <r>
    <n v="743"/>
    <d v="2025-04-15T00:00:00"/>
    <x v="0"/>
    <n v="9518694054"/>
    <n v="1"/>
    <s v="9518694054-1"/>
    <s v="No Priority"/>
    <x v="0"/>
    <m/>
    <x v="3"/>
    <x v="9"/>
    <x v="0"/>
    <m/>
    <x v="0"/>
    <m/>
    <m/>
    <m/>
    <s v="East"/>
    <s v="PATNA"/>
    <x v="2"/>
    <x v="31"/>
    <x v="31"/>
    <x v="51"/>
    <s v="GP COIL SOFT-TATXGP-GK09-0.3X900"/>
    <s v="Z80"/>
    <s v=""/>
    <n v="1.75"/>
    <n v="6"/>
    <m/>
    <x v="7"/>
    <x v="5"/>
    <s v="GK09"/>
    <x v="11"/>
    <x v="3"/>
    <x v="0"/>
    <n v="252"/>
    <n v="0"/>
    <n v="252"/>
    <n v="252"/>
    <n v="252"/>
    <n v="252"/>
    <n v="0"/>
    <n v="0"/>
    <n v="0"/>
    <n v="0"/>
    <n v="0"/>
    <n v="0"/>
    <n v="0"/>
    <n v="0"/>
    <n v="0"/>
    <n v="0"/>
    <n v="0"/>
    <n v="0"/>
    <n v="0"/>
    <n v="0"/>
    <n v="0"/>
    <n v="0"/>
    <n v="0"/>
    <n v="0"/>
    <n v="0"/>
    <n v="0"/>
    <n v="0"/>
    <n v="0"/>
    <n v="0"/>
    <m/>
    <n v="0"/>
    <n v="0"/>
    <n v="0"/>
    <n v="0"/>
    <n v="0"/>
    <n v="0"/>
    <n v="0"/>
    <n v="0"/>
    <n v="0"/>
    <n v="0"/>
    <n v="0"/>
    <n v="0"/>
    <n v="0"/>
    <n v="0"/>
    <m/>
    <m/>
    <m/>
    <m/>
    <m/>
    <m/>
    <m/>
    <m/>
    <m/>
    <m/>
    <m/>
    <m/>
    <m/>
    <m/>
    <m/>
    <m/>
    <m/>
    <m/>
    <m/>
    <m/>
    <m/>
    <m/>
    <m/>
    <m/>
    <m/>
    <m/>
    <m/>
    <m/>
    <m/>
    <m/>
    <m/>
    <m/>
    <m/>
    <m/>
  </r>
  <r>
    <n v="743"/>
    <d v="2025-03-15T00:00:00"/>
    <x v="0"/>
    <n v="9518602675"/>
    <n v="3"/>
    <s v="9518602675-3"/>
    <s v="May'25"/>
    <x v="0"/>
    <s v="Yes"/>
    <x v="3"/>
    <x v="9"/>
    <x v="0"/>
    <m/>
    <x v="1"/>
    <m/>
    <m/>
    <m/>
    <s v="East"/>
    <s v="WEST BOKARO"/>
    <x v="2"/>
    <x v="12"/>
    <x v="12"/>
    <x v="56"/>
    <s v="GP COIL SOFT-TATXGP-GK09-0.4X900"/>
    <s v="Z80"/>
    <s v=""/>
    <n v="5"/>
    <n v="15"/>
    <m/>
    <x v="7"/>
    <x v="5"/>
    <s v="GK09"/>
    <x v="2"/>
    <x v="3"/>
    <x v="0"/>
    <n v="210"/>
    <n v="0"/>
    <n v="210"/>
    <n v="210"/>
    <n v="210"/>
    <n v="210"/>
    <n v="0"/>
    <n v="0"/>
    <n v="0"/>
    <n v="0"/>
    <n v="0"/>
    <n v="0"/>
    <n v="0"/>
    <n v="0"/>
    <n v="0"/>
    <n v="0"/>
    <n v="0"/>
    <n v="0"/>
    <n v="0"/>
    <n v="0"/>
    <n v="0"/>
    <n v="0"/>
    <n v="0"/>
    <n v="0"/>
    <n v="0"/>
    <n v="0"/>
    <n v="0"/>
    <n v="0"/>
    <n v="0"/>
    <m/>
    <n v="0"/>
    <n v="210"/>
    <n v="0"/>
    <n v="0"/>
    <n v="210"/>
    <n v="0"/>
    <n v="0"/>
    <n v="210"/>
    <n v="0"/>
    <n v="0"/>
    <n v="0"/>
    <n v="210"/>
    <n v="0"/>
    <n v="0"/>
    <m/>
    <m/>
    <m/>
    <m/>
    <m/>
    <m/>
    <m/>
    <m/>
    <m/>
    <m/>
    <m/>
    <m/>
    <m/>
    <m/>
    <m/>
    <m/>
    <m/>
    <m/>
    <m/>
    <m/>
    <m/>
    <m/>
    <m/>
    <m/>
    <m/>
    <m/>
    <m/>
    <m/>
    <m/>
    <m/>
    <m/>
    <m/>
    <m/>
    <m/>
  </r>
  <r>
    <n v="744"/>
    <d v="2025-03-18T00:00:00"/>
    <x v="0"/>
    <n v="9518610301"/>
    <n v="2"/>
    <s v="9518610301-2"/>
    <s v="Stocks"/>
    <x v="0"/>
    <m/>
    <x v="2"/>
    <x v="3"/>
    <x v="2"/>
    <m/>
    <x v="1"/>
    <m/>
    <m/>
    <m/>
    <s v="TBSPL"/>
    <s v=" "/>
    <x v="2"/>
    <x v="6"/>
    <x v="6"/>
    <x v="137"/>
    <s v="PPGL C HARD Y550PL D0C9 0.470(TPT)X1220"/>
    <s v="AZ150"/>
    <s v="ROYAL BLUE TSL 1815"/>
    <n v="3"/>
    <n v="5"/>
    <m/>
    <x v="3"/>
    <x v="3"/>
    <s v="D0C9"/>
    <x v="14"/>
    <x v="1"/>
    <x v="0"/>
    <n v="28"/>
    <n v="0"/>
    <n v="28"/>
    <n v="-1"/>
    <n v="0"/>
    <n v="0.34"/>
    <n v="0"/>
    <n v="0"/>
    <n v="0"/>
    <n v="0"/>
    <n v="0"/>
    <n v="0"/>
    <n v="0"/>
    <n v="0"/>
    <n v="0"/>
    <n v="0"/>
    <n v="0"/>
    <n v="0"/>
    <n v="0"/>
    <n v="0"/>
    <n v="0"/>
    <n v="0"/>
    <n v="0"/>
    <n v="0"/>
    <n v="0"/>
    <n v="0"/>
    <n v="0"/>
    <n v="0"/>
    <n v="0"/>
    <m/>
    <n v="18.264999999999997"/>
    <n v="0"/>
    <n v="0"/>
    <n v="0"/>
    <n v="0"/>
    <n v="0"/>
    <n v="0"/>
    <n v="18.264999999999997"/>
    <n v="18.264999999999997"/>
    <n v="0"/>
    <n v="0"/>
    <n v="0"/>
    <n v="0"/>
    <n v="0"/>
    <m/>
    <m/>
    <m/>
    <m/>
    <m/>
    <m/>
    <m/>
    <m/>
    <m/>
    <m/>
    <m/>
    <m/>
    <m/>
    <m/>
    <m/>
    <m/>
    <m/>
    <m/>
    <m/>
    <m/>
    <m/>
    <m/>
    <m/>
    <m/>
    <m/>
    <m/>
    <m/>
    <m/>
    <m/>
    <m/>
    <m/>
    <m/>
    <m/>
    <m/>
  </r>
  <r>
    <n v="743"/>
    <d v="2025-03-19T00:00:00"/>
    <x v="0"/>
    <n v="9518612659"/>
    <n v="5"/>
    <s v="9518612659-5"/>
    <s v="No Priority"/>
    <x v="0"/>
    <m/>
    <x v="3"/>
    <x v="9"/>
    <x v="0"/>
    <m/>
    <x v="0"/>
    <m/>
    <m/>
    <m/>
    <s v="North"/>
    <s v="VARANASI"/>
    <x v="2"/>
    <x v="2"/>
    <x v="2"/>
    <x v="121"/>
    <s v="GP COIL SOFT-TATXGP-GK09-0.5X900"/>
    <s v="Z80"/>
    <s v=""/>
    <n v="3.2"/>
    <n v="5"/>
    <m/>
    <x v="7"/>
    <x v="5"/>
    <s v="GK09"/>
    <x v="1"/>
    <x v="3"/>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659"/>
    <n v="7"/>
    <s v="9518612659-7"/>
    <s v="No Priority"/>
    <x v="0"/>
    <m/>
    <x v="3"/>
    <x v="9"/>
    <x v="0"/>
    <m/>
    <x v="0"/>
    <m/>
    <m/>
    <m/>
    <s v="North"/>
    <s v="VARANASI"/>
    <x v="2"/>
    <x v="2"/>
    <x v="2"/>
    <x v="65"/>
    <s v="GP COIL SOFT-TATXGP-GK09-0.63X900"/>
    <s v="Z80"/>
    <s v=""/>
    <n v="3.2"/>
    <n v="5"/>
    <m/>
    <x v="7"/>
    <x v="5"/>
    <s v="GK09"/>
    <x v="26"/>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391"/>
    <n v="2"/>
    <s v="9518628391-2"/>
    <s v="Stocks"/>
    <x v="0"/>
    <m/>
    <x v="1"/>
    <x v="2"/>
    <x v="0"/>
    <m/>
    <x v="1"/>
    <m/>
    <m/>
    <m/>
    <s v="North"/>
    <s v="KANPUR"/>
    <x v="2"/>
    <x v="7"/>
    <x v="7"/>
    <x v="210"/>
    <s v="CRCA SHEET TSBCRC SR15 0.600X1250X2030"/>
    <s v=" "/>
    <s v=""/>
    <n v="0"/>
    <n v="0"/>
    <m/>
    <x v="2"/>
    <x v="4"/>
    <s v="SR15"/>
    <x v="20"/>
    <x v="0"/>
    <x v="1"/>
    <n v="27"/>
    <n v="0"/>
    <n v="27"/>
    <n v="0.185"/>
    <n v="0"/>
    <n v="0.86499999999999999"/>
    <n v="0"/>
    <n v="0"/>
    <n v="0"/>
    <n v="0"/>
    <n v="0"/>
    <n v="0"/>
    <n v="0"/>
    <n v="0"/>
    <n v="0"/>
    <n v="0"/>
    <n v="0"/>
    <n v="0"/>
    <n v="0"/>
    <n v="0"/>
    <n v="0"/>
    <n v="0"/>
    <n v="0"/>
    <n v="0"/>
    <n v="0"/>
    <n v="0"/>
    <n v="0"/>
    <n v="0"/>
    <n v="0"/>
    <m/>
    <n v="5.8250000000000002"/>
    <n v="0"/>
    <n v="0"/>
    <n v="0"/>
    <n v="0"/>
    <n v="0"/>
    <n v="0"/>
    <n v="5.8250000000000002"/>
    <n v="5.8250000000000002"/>
    <n v="0"/>
    <n v="0"/>
    <n v="0"/>
    <n v="0"/>
    <n v="0"/>
    <m/>
    <m/>
    <m/>
    <m/>
    <m/>
    <m/>
    <m/>
    <m/>
    <m/>
    <m/>
    <m/>
    <m/>
    <m/>
    <m/>
    <m/>
    <m/>
    <m/>
    <m/>
    <m/>
    <m/>
    <m/>
    <m/>
    <m/>
    <m/>
    <m/>
    <m/>
    <m/>
    <m/>
    <m/>
    <m/>
    <m/>
    <m/>
    <m/>
    <m/>
  </r>
  <r>
    <n v="742"/>
    <d v="2025-03-24T00:00:00"/>
    <x v="0"/>
    <n v="9518628391"/>
    <n v="3"/>
    <s v="9518628391-3"/>
    <s v="No Priority"/>
    <x v="0"/>
    <s v="Yes"/>
    <x v="1"/>
    <x v="2"/>
    <x v="0"/>
    <m/>
    <x v="0"/>
    <m/>
    <m/>
    <m/>
    <s v="North"/>
    <s v="KANPUR"/>
    <x v="2"/>
    <x v="7"/>
    <x v="7"/>
    <x v="100"/>
    <s v="CRCA SHEET TSBCRC SR15 0.700X1250X1930"/>
    <s v=" "/>
    <s v=""/>
    <n v="0"/>
    <n v="0"/>
    <m/>
    <x v="2"/>
    <x v="4"/>
    <s v="SR15"/>
    <x v="4"/>
    <x v="0"/>
    <x v="2"/>
    <n v="27"/>
    <n v="0"/>
    <n v="27"/>
    <n v="-1.37"/>
    <n v="0"/>
    <n v="27"/>
    <n v="0"/>
    <n v="0"/>
    <n v="0"/>
    <n v="0"/>
    <n v="0"/>
    <n v="0"/>
    <n v="0"/>
    <n v="0"/>
    <n v="0"/>
    <n v="0"/>
    <n v="0"/>
    <n v="0"/>
    <n v="0"/>
    <n v="27.7"/>
    <n v="0"/>
    <n v="0"/>
    <n v="0"/>
    <n v="0"/>
    <n v="0"/>
    <n v="27.7"/>
    <n v="27.7"/>
    <n v="0"/>
    <n v="27.7"/>
    <m/>
    <n v="0"/>
    <n v="0"/>
    <n v="0"/>
    <n v="0"/>
    <n v="0"/>
    <n v="0"/>
    <n v="0"/>
    <n v="0"/>
    <n v="0"/>
    <n v="0"/>
    <n v="0"/>
    <n v="0"/>
    <n v="0"/>
    <n v="0"/>
    <m/>
    <m/>
    <m/>
    <m/>
    <m/>
    <m/>
    <m/>
    <m/>
    <m/>
    <m/>
    <m/>
    <m/>
    <m/>
    <m/>
    <m/>
    <m/>
    <m/>
    <m/>
    <m/>
    <m/>
    <m/>
    <m/>
    <m/>
    <m/>
    <m/>
    <m/>
    <m/>
    <m/>
    <m/>
    <m/>
    <m/>
    <m/>
    <m/>
    <m/>
  </r>
  <r>
    <n v="742"/>
    <d v="2025-03-24T00:00:00"/>
    <x v="0"/>
    <n v="9518628321"/>
    <n v="2"/>
    <s v="9518628321-2"/>
    <s v="May'25"/>
    <x v="0"/>
    <m/>
    <x v="1"/>
    <x v="2"/>
    <x v="0"/>
    <m/>
    <x v="1"/>
    <m/>
    <m/>
    <m/>
    <s v="North"/>
    <s v="VARANASI"/>
    <x v="2"/>
    <x v="7"/>
    <x v="7"/>
    <x v="30"/>
    <s v="CRCA SHEET TSBCRC SR15 0.500X1250X2030"/>
    <s v=" "/>
    <s v=""/>
    <n v="0"/>
    <n v="0"/>
    <m/>
    <x v="2"/>
    <x v="4"/>
    <s v="SR15"/>
    <x v="1"/>
    <x v="0"/>
    <x v="1"/>
    <n v="150"/>
    <n v="0"/>
    <n v="150"/>
    <n v="17.97"/>
    <n v="101.58500000000001"/>
    <n v="46.45"/>
    <n v="0"/>
    <n v="0"/>
    <n v="0"/>
    <n v="0"/>
    <n v="0"/>
    <n v="0"/>
    <n v="0"/>
    <n v="0"/>
    <n v="0"/>
    <n v="0"/>
    <n v="0"/>
    <n v="0"/>
    <n v="0"/>
    <n v="0"/>
    <n v="48.125"/>
    <n v="0.28999999999999998"/>
    <n v="0"/>
    <n v="0"/>
    <n v="0"/>
    <n v="48.414999999999999"/>
    <n v="48.414999999999999"/>
    <n v="0"/>
    <n v="48.414999999999999"/>
    <m/>
    <n v="43.905000000000001"/>
    <n v="46.45"/>
    <n v="46.45"/>
    <n v="0"/>
    <n v="0"/>
    <n v="0"/>
    <n v="0"/>
    <n v="90.355000000000004"/>
    <n v="0"/>
    <n v="90.355000000000004"/>
    <n v="0"/>
    <n v="0"/>
    <n v="0"/>
    <n v="0"/>
    <m/>
    <m/>
    <m/>
    <m/>
    <m/>
    <m/>
    <m/>
    <m/>
    <m/>
    <m/>
    <m/>
    <m/>
    <m/>
    <m/>
    <m/>
    <m/>
    <m/>
    <m/>
    <m/>
    <m/>
    <m/>
    <m/>
    <m/>
    <m/>
    <m/>
    <m/>
    <m/>
    <m/>
    <m/>
    <m/>
    <m/>
    <m/>
    <m/>
    <m/>
  </r>
  <r>
    <n v="742"/>
    <d v="2025-03-24T00:00:00"/>
    <x v="0"/>
    <n v="9518628321"/>
    <n v="4"/>
    <s v="9518628321-4"/>
    <s v="May'25"/>
    <x v="0"/>
    <s v="Yes"/>
    <x v="1"/>
    <x v="2"/>
    <x v="0"/>
    <m/>
    <x v="1"/>
    <m/>
    <m/>
    <m/>
    <s v="North"/>
    <s v="VARANASI"/>
    <x v="2"/>
    <x v="7"/>
    <x v="7"/>
    <x v="210"/>
    <s v="CRCA SHEET TSBCRC SR15 0.600X1250X2030"/>
    <s v=" "/>
    <s v=""/>
    <n v="0"/>
    <n v="0"/>
    <m/>
    <x v="2"/>
    <x v="4"/>
    <s v="SR15"/>
    <x v="20"/>
    <x v="0"/>
    <x v="1"/>
    <n v="27"/>
    <n v="0"/>
    <n v="27"/>
    <n v="27"/>
    <n v="27"/>
    <n v="27"/>
    <n v="0"/>
    <n v="0"/>
    <n v="0"/>
    <n v="0"/>
    <n v="0"/>
    <n v="0"/>
    <n v="0"/>
    <n v="0"/>
    <n v="0"/>
    <n v="0"/>
    <n v="0"/>
    <n v="0"/>
    <n v="0"/>
    <n v="0"/>
    <n v="0"/>
    <n v="0"/>
    <n v="0"/>
    <n v="0"/>
    <n v="0"/>
    <n v="0"/>
    <n v="0"/>
    <n v="0"/>
    <n v="0"/>
    <m/>
    <n v="0"/>
    <n v="27"/>
    <n v="0"/>
    <n v="0"/>
    <n v="27"/>
    <n v="0"/>
    <n v="0"/>
    <n v="27"/>
    <n v="0"/>
    <n v="0"/>
    <n v="27"/>
    <n v="0"/>
    <n v="0"/>
    <n v="0"/>
    <m/>
    <m/>
    <m/>
    <m/>
    <m/>
    <m/>
    <m/>
    <m/>
    <m/>
    <m/>
    <m/>
    <m/>
    <m/>
    <m/>
    <m/>
    <m/>
    <m/>
    <m/>
    <m/>
    <m/>
    <m/>
    <m/>
    <m/>
    <m/>
    <m/>
    <m/>
    <m/>
    <m/>
    <m/>
    <m/>
    <m/>
    <m/>
    <m/>
    <m/>
  </r>
  <r>
    <n v="742"/>
    <d v="2025-03-24T00:00:00"/>
    <x v="0"/>
    <n v="9518628321"/>
    <n v="5"/>
    <s v="9518628321-5"/>
    <s v="Stocks"/>
    <x v="0"/>
    <s v="Yes"/>
    <x v="1"/>
    <x v="2"/>
    <x v="0"/>
    <m/>
    <x v="1"/>
    <m/>
    <m/>
    <m/>
    <s v="North"/>
    <s v="VARANASI"/>
    <x v="2"/>
    <x v="7"/>
    <x v="7"/>
    <x v="100"/>
    <s v="CRCA SHEET TSBCRC SR15 0.700X1250X1930"/>
    <s v=" "/>
    <s v=""/>
    <n v="0"/>
    <n v="0"/>
    <m/>
    <x v="2"/>
    <x v="4"/>
    <s v="SR15"/>
    <x v="4"/>
    <x v="0"/>
    <x v="2"/>
    <n v="27"/>
    <n v="0"/>
    <n v="27"/>
    <n v="27"/>
    <n v="26.1"/>
    <n v="0.66500000000000004"/>
    <n v="0"/>
    <n v="0"/>
    <n v="0"/>
    <n v="0"/>
    <n v="0"/>
    <n v="0"/>
    <n v="0"/>
    <n v="0"/>
    <n v="0"/>
    <n v="0"/>
    <n v="0"/>
    <n v="0"/>
    <n v="0"/>
    <n v="0"/>
    <n v="0"/>
    <n v="0"/>
    <n v="0"/>
    <n v="0"/>
    <n v="0.9"/>
    <n v="0.9"/>
    <n v="0.9"/>
    <n v="0"/>
    <n v="0.9"/>
    <m/>
    <n v="26.335000000000004"/>
    <n v="0"/>
    <n v="0"/>
    <n v="0"/>
    <n v="0"/>
    <n v="0"/>
    <n v="0"/>
    <n v="26.335000000000004"/>
    <n v="26.335000000000004"/>
    <n v="0"/>
    <n v="0"/>
    <n v="0"/>
    <n v="0"/>
    <n v="0"/>
    <m/>
    <m/>
    <m/>
    <m/>
    <m/>
    <m/>
    <m/>
    <m/>
    <m/>
    <m/>
    <m/>
    <m/>
    <m/>
    <m/>
    <m/>
    <m/>
    <m/>
    <m/>
    <m/>
    <m/>
    <m/>
    <m/>
    <m/>
    <m/>
    <m/>
    <m/>
    <m/>
    <m/>
    <m/>
    <m/>
    <m/>
    <m/>
    <m/>
    <m/>
  </r>
  <r>
    <n v="743"/>
    <d v="2025-03-25T00:00:00"/>
    <x v="0"/>
    <n v="9518631278"/>
    <n v="2"/>
    <s v="9518631278-2"/>
    <s v="May'25"/>
    <x v="0"/>
    <s v="Yes"/>
    <x v="3"/>
    <x v="9"/>
    <x v="0"/>
    <m/>
    <x v="1"/>
    <m/>
    <m/>
    <m/>
    <s v="East"/>
    <s v="KOLKATA"/>
    <x v="2"/>
    <x v="36"/>
    <x v="36"/>
    <x v="55"/>
    <s v="GP COIL SOFT-TATXGP-GK09-0.35X900"/>
    <s v="Z80"/>
    <s v=""/>
    <n v="5"/>
    <n v="15"/>
    <m/>
    <x v="7"/>
    <x v="5"/>
    <s v="GK09"/>
    <x v="6"/>
    <x v="3"/>
    <x v="0"/>
    <n v="105"/>
    <n v="0"/>
    <n v="105"/>
    <n v="105"/>
    <n v="105"/>
    <n v="105"/>
    <n v="0"/>
    <n v="0"/>
    <n v="0"/>
    <n v="0"/>
    <n v="0"/>
    <n v="0"/>
    <n v="0"/>
    <n v="0"/>
    <n v="0"/>
    <n v="0"/>
    <n v="0"/>
    <n v="0"/>
    <n v="0"/>
    <n v="0"/>
    <n v="0"/>
    <n v="0"/>
    <n v="0"/>
    <n v="0"/>
    <n v="0"/>
    <n v="0"/>
    <n v="0"/>
    <n v="0"/>
    <n v="0"/>
    <m/>
    <n v="0"/>
    <n v="105"/>
    <n v="0"/>
    <n v="105"/>
    <n v="0"/>
    <n v="0"/>
    <n v="0"/>
    <n v="105"/>
    <n v="0"/>
    <n v="105"/>
    <n v="0"/>
    <n v="0"/>
    <n v="0"/>
    <n v="0"/>
    <m/>
    <m/>
    <m/>
    <m/>
    <m/>
    <m/>
    <m/>
    <m/>
    <m/>
    <m/>
    <m/>
    <m/>
    <m/>
    <m/>
    <m/>
    <m/>
    <m/>
    <m/>
    <m/>
    <m/>
    <m/>
    <m/>
    <m/>
    <m/>
    <m/>
    <m/>
    <m/>
    <m/>
    <m/>
    <m/>
    <m/>
    <m/>
    <m/>
    <m/>
  </r>
  <r>
    <n v="743"/>
    <d v="2025-03-25T00:00:00"/>
    <x v="0"/>
    <n v="9518631278"/>
    <n v="1"/>
    <s v="9518631278-1"/>
    <s v="May'25"/>
    <x v="0"/>
    <s v="Yes"/>
    <x v="3"/>
    <x v="9"/>
    <x v="0"/>
    <n v="4200"/>
    <x v="1"/>
    <m/>
    <m/>
    <m/>
    <s v="East"/>
    <s v="KOLKATA"/>
    <x v="2"/>
    <x v="36"/>
    <x v="36"/>
    <x v="51"/>
    <s v="GP COIL SOFT-TATXGP-GK09-0.3X900"/>
    <s v="Z80"/>
    <s v=""/>
    <n v="5"/>
    <n v="15"/>
    <m/>
    <x v="7"/>
    <x v="5"/>
    <s v="GK09"/>
    <x v="11"/>
    <x v="3"/>
    <x v="0"/>
    <n v="105"/>
    <n v="0"/>
    <n v="105"/>
    <n v="105"/>
    <n v="105"/>
    <n v="105"/>
    <n v="0"/>
    <n v="0"/>
    <n v="0"/>
    <n v="0"/>
    <n v="0"/>
    <n v="0"/>
    <n v="0"/>
    <n v="0"/>
    <n v="0"/>
    <n v="0"/>
    <n v="0"/>
    <n v="0"/>
    <n v="0"/>
    <n v="0"/>
    <n v="0"/>
    <n v="0"/>
    <n v="0"/>
    <n v="0"/>
    <n v="0"/>
    <n v="0"/>
    <n v="0"/>
    <n v="0"/>
    <n v="0"/>
    <m/>
    <n v="0"/>
    <n v="105"/>
    <n v="0"/>
    <n v="0"/>
    <n v="0"/>
    <n v="105"/>
    <n v="0"/>
    <n v="105"/>
    <n v="0"/>
    <n v="0"/>
    <n v="0"/>
    <n v="105"/>
    <n v="0"/>
    <n v="0"/>
    <m/>
    <m/>
    <m/>
    <m/>
    <m/>
    <m/>
    <m/>
    <m/>
    <m/>
    <m/>
    <m/>
    <m/>
    <m/>
    <m/>
    <m/>
    <m/>
    <m/>
    <m/>
    <m/>
    <m/>
    <m/>
    <m/>
    <m/>
    <m/>
    <m/>
    <m/>
    <m/>
    <m/>
    <m/>
    <m/>
    <m/>
    <m/>
    <m/>
    <m/>
  </r>
  <r>
    <n v="744"/>
    <d v="2025-03-26T00:00:00"/>
    <x v="0"/>
    <n v="9518637595"/>
    <n v="4"/>
    <s v="9518637595-4"/>
    <s v="May'25"/>
    <x v="0"/>
    <s v="Yes"/>
    <x v="2"/>
    <x v="3"/>
    <x v="2"/>
    <m/>
    <x v="1"/>
    <m/>
    <m/>
    <m/>
    <s v="TBSPL"/>
    <s v=" "/>
    <x v="2"/>
    <x v="6"/>
    <x v="6"/>
    <x v="84"/>
    <s v="PPGL C HARD Y550PL D0C9 0.50(TPT)X1220"/>
    <s v="AZ150"/>
    <s v="ROYAL BLUE TSL 1815"/>
    <n v="3"/>
    <n v="5"/>
    <m/>
    <x v="3"/>
    <x v="3"/>
    <s v="D0C9"/>
    <x v="1"/>
    <x v="1"/>
    <x v="0"/>
    <n v="280"/>
    <n v="4.72"/>
    <n v="275.27999999999997"/>
    <n v="240.26499999999999"/>
    <n v="257.60999999999996"/>
    <n v="71.694999999999993"/>
    <n v="0"/>
    <n v="0"/>
    <n v="0"/>
    <n v="0"/>
    <n v="0"/>
    <n v="0"/>
    <n v="0"/>
    <n v="0"/>
    <n v="0"/>
    <n v="0"/>
    <n v="0"/>
    <n v="0"/>
    <n v="0"/>
    <n v="0"/>
    <n v="0"/>
    <n v="17.670000000000002"/>
    <n v="0"/>
    <n v="0"/>
    <n v="0"/>
    <n v="17.670000000000002"/>
    <n v="17.670000000000002"/>
    <n v="0"/>
    <n v="17.670000000000002"/>
    <m/>
    <n v="82.894999999999996"/>
    <n v="71.694999999999993"/>
    <n v="0"/>
    <n v="0"/>
    <n v="71.694999999999993"/>
    <n v="0"/>
    <n v="0"/>
    <n v="154.58999999999997"/>
    <n v="0"/>
    <n v="0"/>
    <n v="0"/>
    <n v="154.58999999999997"/>
    <n v="0"/>
    <n v="0"/>
    <m/>
    <m/>
    <m/>
    <m/>
    <m/>
    <m/>
    <m/>
    <m/>
    <m/>
    <m/>
    <m/>
    <m/>
    <m/>
    <m/>
    <m/>
    <m/>
    <m/>
    <m/>
    <m/>
    <m/>
    <m/>
    <m/>
    <m/>
    <m/>
    <m/>
    <m/>
    <m/>
    <m/>
    <m/>
    <m/>
    <m/>
    <m/>
    <m/>
    <m/>
  </r>
  <r>
    <n v="744"/>
    <d v="2025-03-26T00:00:00"/>
    <x v="0"/>
    <n v="9518637595"/>
    <n v="5"/>
    <s v="9518637595-5"/>
    <s v="May'25"/>
    <x v="0"/>
    <m/>
    <x v="2"/>
    <x v="3"/>
    <x v="2"/>
    <m/>
    <x v="1"/>
    <m/>
    <m/>
    <m/>
    <s v="TBSPL"/>
    <s v=" "/>
    <x v="2"/>
    <x v="6"/>
    <x v="6"/>
    <x v="84"/>
    <s v="PPGL C HARD Y550PL D0C9 0.50(TPT)X1220"/>
    <s v="AZ150"/>
    <s v="ROYAL BLUE TSL 1815"/>
    <n v="3"/>
    <n v="5"/>
    <m/>
    <x v="3"/>
    <x v="3"/>
    <s v="D0C9"/>
    <x v="1"/>
    <x v="1"/>
    <x v="0"/>
    <n v="140"/>
    <n v="0"/>
    <n v="140"/>
    <n v="140"/>
    <n v="140"/>
    <n v="136.215"/>
    <n v="0"/>
    <n v="0"/>
    <n v="0"/>
    <n v="0"/>
    <n v="0"/>
    <n v="0"/>
    <n v="0"/>
    <n v="0"/>
    <n v="0"/>
    <n v="0"/>
    <n v="0"/>
    <n v="0"/>
    <n v="0"/>
    <n v="0"/>
    <n v="0"/>
    <n v="0"/>
    <n v="0"/>
    <n v="0"/>
    <n v="0"/>
    <n v="0"/>
    <n v="0"/>
    <n v="0"/>
    <n v="0"/>
    <m/>
    <n v="3.7850000000000001"/>
    <n v="0"/>
    <n v="0"/>
    <n v="0"/>
    <n v="0"/>
    <n v="0"/>
    <n v="0"/>
    <n v="3.7850000000000001"/>
    <n v="3.7850000000000001"/>
    <n v="0"/>
    <n v="0"/>
    <n v="0"/>
    <n v="0"/>
    <n v="0"/>
    <m/>
    <m/>
    <m/>
    <m/>
    <m/>
    <m/>
    <m/>
    <m/>
    <m/>
    <m/>
    <m/>
    <m/>
    <m/>
    <m/>
    <m/>
    <m/>
    <m/>
    <m/>
    <m/>
    <m/>
    <m/>
    <m/>
    <m/>
    <m/>
    <m/>
    <m/>
    <m/>
    <m/>
    <m/>
    <m/>
    <m/>
    <m/>
    <m/>
    <m/>
  </r>
  <r>
    <n v="742"/>
    <d v="2025-03-28T00:00:00"/>
    <x v="0"/>
    <n v="9518648560"/>
    <n v="1"/>
    <s v="9518648560-1"/>
    <s v="No Priority"/>
    <x v="0"/>
    <m/>
    <x v="1"/>
    <x v="7"/>
    <x v="2"/>
    <m/>
    <x v="0"/>
    <m/>
    <m/>
    <m/>
    <s v="East"/>
    <s v="HOWRAH"/>
    <x v="2"/>
    <x v="95"/>
    <x v="94"/>
    <x v="93"/>
    <s v="CRCA COIL TSBSTA EL06 0.500X1160"/>
    <s v=" "/>
    <s v=""/>
    <n v="12.5"/>
    <n v="13"/>
    <m/>
    <x v="1"/>
    <x v="9"/>
    <s v="EL06"/>
    <x v="1"/>
    <x v="13"/>
    <x v="0"/>
    <n v="81"/>
    <n v="0"/>
    <n v="81"/>
    <n v="81"/>
    <n v="81"/>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391"/>
    <n v="1"/>
    <s v="9518628391-1"/>
    <s v="May'25"/>
    <x v="0"/>
    <s v="Yes"/>
    <x v="1"/>
    <x v="2"/>
    <x v="0"/>
    <m/>
    <x v="1"/>
    <m/>
    <m/>
    <m/>
    <s v="North"/>
    <s v="KANPUR"/>
    <x v="2"/>
    <x v="7"/>
    <x v="7"/>
    <x v="213"/>
    <s v="CRCA SHEET TATCRC SR16 0.450X1250X2030"/>
    <s v=" "/>
    <s v=""/>
    <n v="0"/>
    <n v="0"/>
    <m/>
    <x v="2"/>
    <x v="1"/>
    <s v="SR16"/>
    <x v="10"/>
    <x v="0"/>
    <x v="1"/>
    <n v="24"/>
    <n v="0"/>
    <n v="24"/>
    <n v="24"/>
    <n v="24"/>
    <n v="24"/>
    <n v="0"/>
    <n v="0"/>
    <n v="0"/>
    <n v="0"/>
    <n v="0"/>
    <n v="0"/>
    <n v="0"/>
    <n v="0"/>
    <n v="0"/>
    <n v="0"/>
    <n v="0"/>
    <n v="0"/>
    <n v="0"/>
    <n v="0"/>
    <n v="0"/>
    <n v="0"/>
    <n v="0"/>
    <n v="0"/>
    <n v="0"/>
    <n v="0"/>
    <n v="0"/>
    <n v="0"/>
    <n v="0"/>
    <m/>
    <n v="0"/>
    <n v="24"/>
    <n v="0"/>
    <n v="0"/>
    <n v="0"/>
    <n v="24"/>
    <n v="0"/>
    <n v="24"/>
    <n v="0"/>
    <n v="0"/>
    <n v="0"/>
    <n v="24"/>
    <n v="0"/>
    <n v="0"/>
    <m/>
    <m/>
    <m/>
    <m/>
    <m/>
    <m/>
    <m/>
    <m/>
    <m/>
    <m/>
    <m/>
    <m/>
    <m/>
    <m/>
    <m/>
    <m/>
    <m/>
    <m/>
    <m/>
    <m/>
    <m/>
    <m/>
    <m/>
    <m/>
    <m/>
    <m/>
    <m/>
    <m/>
    <m/>
    <m/>
    <m/>
    <m/>
    <m/>
    <m/>
  </r>
  <r>
    <n v="742"/>
    <d v="2025-03-24T00:00:00"/>
    <x v="0"/>
    <n v="9518628321"/>
    <n v="3"/>
    <s v="9518628321-3"/>
    <s v="May'25"/>
    <x v="0"/>
    <s v="Yes"/>
    <x v="1"/>
    <x v="2"/>
    <x v="0"/>
    <m/>
    <x v="1"/>
    <m/>
    <m/>
    <m/>
    <s v="North"/>
    <s v="VARANASI"/>
    <x v="2"/>
    <x v="7"/>
    <x v="7"/>
    <x v="213"/>
    <s v="CRCA SHEET TATCRC SR16 0.450X1250X2030"/>
    <s v=" "/>
    <s v=""/>
    <n v="0"/>
    <n v="0"/>
    <m/>
    <x v="2"/>
    <x v="1"/>
    <s v="SR16"/>
    <x v="10"/>
    <x v="0"/>
    <x v="1"/>
    <n v="27"/>
    <n v="0"/>
    <n v="27"/>
    <n v="27"/>
    <n v="27"/>
    <n v="27"/>
    <n v="0"/>
    <n v="0"/>
    <n v="0"/>
    <n v="0"/>
    <n v="0"/>
    <n v="0"/>
    <n v="0"/>
    <n v="0"/>
    <n v="0"/>
    <n v="0"/>
    <n v="0"/>
    <n v="0"/>
    <n v="0"/>
    <n v="0"/>
    <n v="0"/>
    <n v="0"/>
    <n v="0"/>
    <n v="0"/>
    <n v="0"/>
    <n v="0"/>
    <n v="0"/>
    <n v="0"/>
    <n v="0"/>
    <m/>
    <n v="0"/>
    <n v="27"/>
    <n v="0"/>
    <n v="0"/>
    <n v="0"/>
    <n v="27"/>
    <n v="0"/>
    <n v="27"/>
    <n v="0"/>
    <n v="0"/>
    <n v="0"/>
    <n v="27"/>
    <n v="0"/>
    <n v="0"/>
    <m/>
    <m/>
    <m/>
    <m/>
    <m/>
    <m/>
    <m/>
    <m/>
    <m/>
    <m/>
    <m/>
    <m/>
    <m/>
    <m/>
    <m/>
    <m/>
    <m/>
    <m/>
    <m/>
    <m/>
    <m/>
    <m/>
    <m/>
    <m/>
    <m/>
    <m/>
    <m/>
    <m/>
    <m/>
    <m/>
    <m/>
    <m/>
    <m/>
    <m/>
  </r>
  <r>
    <n v="743"/>
    <d v="2025-03-13T00:00:00"/>
    <x v="0"/>
    <n v="9518598100"/>
    <n v="6"/>
    <s v="9518598100-6"/>
    <s v="May'25"/>
    <x v="0"/>
    <s v="Yes"/>
    <x v="3"/>
    <x v="9"/>
    <x v="0"/>
    <m/>
    <x v="1"/>
    <m/>
    <m/>
    <m/>
    <s v="East"/>
    <s v="PATNA"/>
    <x v="2"/>
    <x v="31"/>
    <x v="31"/>
    <x v="65"/>
    <s v="GP COIL SOFT-TATXGP-GK09-0.63X900"/>
    <s v="Z80"/>
    <s v=""/>
    <n v="2"/>
    <n v="6"/>
    <m/>
    <x v="7"/>
    <x v="5"/>
    <s v="GK09"/>
    <x v="26"/>
    <x v="3"/>
    <x v="0"/>
    <n v="84"/>
    <n v="0"/>
    <n v="84"/>
    <n v="84"/>
    <n v="64.085000000000008"/>
    <n v="25.145"/>
    <n v="0"/>
    <n v="0"/>
    <n v="0"/>
    <n v="0"/>
    <n v="0"/>
    <n v="0"/>
    <n v="0.47000000000000003"/>
    <n v="0"/>
    <n v="0"/>
    <n v="0"/>
    <n v="0"/>
    <n v="0"/>
    <n v="0"/>
    <n v="0"/>
    <n v="0"/>
    <n v="4.7700000000000005"/>
    <n v="0"/>
    <n v="0"/>
    <n v="14.675000000000001"/>
    <n v="19.914999999999999"/>
    <n v="19.914999999999999"/>
    <n v="0"/>
    <n v="19.914999999999999"/>
    <m/>
    <n v="63.535000000000004"/>
    <n v="25.145"/>
    <n v="25.145"/>
    <n v="0"/>
    <n v="0"/>
    <n v="0"/>
    <n v="0"/>
    <n v="88.68"/>
    <n v="0"/>
    <n v="88.68"/>
    <n v="0"/>
    <n v="0"/>
    <n v="0"/>
    <n v="0"/>
    <m/>
    <m/>
    <m/>
    <m/>
    <m/>
    <m/>
    <m/>
    <m/>
    <m/>
    <m/>
    <m/>
    <m/>
    <m/>
    <m/>
    <m/>
    <m/>
    <m/>
    <m/>
    <m/>
    <m/>
    <m/>
    <m/>
    <m/>
    <m/>
    <m/>
    <m/>
    <m/>
    <m/>
    <m/>
    <m/>
    <m/>
    <m/>
    <m/>
    <m/>
  </r>
  <r>
    <n v="742"/>
    <d v="2025-03-26T00:00:00"/>
    <x v="0"/>
    <n v="9518637426"/>
    <n v="1"/>
    <s v="9518637426-1"/>
    <s v="May'25"/>
    <x v="0"/>
    <s v="Yes"/>
    <x v="1"/>
    <x v="1"/>
    <x v="0"/>
    <m/>
    <x v="1"/>
    <m/>
    <m/>
    <m/>
    <s v="East"/>
    <s v="URLA"/>
    <x v="2"/>
    <x v="92"/>
    <x v="89"/>
    <x v="302"/>
    <s v="CRCA SHEET TATCRC TR15 1.6X1250X2500"/>
    <s v=" "/>
    <s v=""/>
    <n v="2"/>
    <n v="3"/>
    <m/>
    <x v="2"/>
    <x v="1"/>
    <s v="TR15"/>
    <x v="22"/>
    <x v="0"/>
    <x v="3"/>
    <n v="60"/>
    <n v="0"/>
    <n v="60"/>
    <n v="60"/>
    <n v="60"/>
    <n v="60"/>
    <n v="0"/>
    <n v="0"/>
    <n v="0"/>
    <n v="0"/>
    <n v="0"/>
    <n v="0"/>
    <n v="0"/>
    <n v="0"/>
    <n v="0"/>
    <n v="0"/>
    <n v="0"/>
    <n v="0"/>
    <n v="0"/>
    <n v="0"/>
    <n v="0"/>
    <n v="0"/>
    <n v="0"/>
    <n v="0"/>
    <n v="0"/>
    <n v="0"/>
    <n v="0"/>
    <n v="0"/>
    <n v="0"/>
    <m/>
    <n v="0"/>
    <n v="60"/>
    <n v="0"/>
    <n v="0"/>
    <n v="0"/>
    <n v="60"/>
    <n v="0"/>
    <n v="60"/>
    <n v="0"/>
    <n v="0"/>
    <n v="0"/>
    <n v="60"/>
    <n v="0"/>
    <n v="0"/>
    <m/>
    <m/>
    <m/>
    <m/>
    <m/>
    <m/>
    <m/>
    <m/>
    <m/>
    <m/>
    <m/>
    <m/>
    <m/>
    <m/>
    <m/>
    <m/>
    <m/>
    <m/>
    <m/>
    <m/>
    <m/>
    <m/>
    <m/>
    <m/>
    <m/>
    <m/>
    <m/>
    <m/>
    <m/>
    <m/>
    <m/>
    <m/>
    <m/>
    <m/>
  </r>
  <r>
    <n v="743"/>
    <d v="2025-03-28T00:00:00"/>
    <x v="0"/>
    <n v="9518649687"/>
    <n v="1"/>
    <s v="9518649687-1"/>
    <s v="No Priority"/>
    <x v="0"/>
    <m/>
    <x v="3"/>
    <x v="9"/>
    <x v="0"/>
    <m/>
    <x v="0"/>
    <m/>
    <m/>
    <m/>
    <s v="North"/>
    <s v="VARANASI"/>
    <x v="2"/>
    <x v="2"/>
    <x v="2"/>
    <x v="55"/>
    <s v="GP COIL SOFT-TATXGP-GK09-0.35X900"/>
    <s v="Z80"/>
    <s v=""/>
    <n v="3.2"/>
    <n v="5"/>
    <m/>
    <x v="7"/>
    <x v="5"/>
    <s v="GK09"/>
    <x v="6"/>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28T00:00:00"/>
    <x v="0"/>
    <n v="9518649687"/>
    <n v="2"/>
    <s v="9518649687-2"/>
    <s v="No Priority"/>
    <x v="0"/>
    <m/>
    <x v="3"/>
    <x v="9"/>
    <x v="0"/>
    <m/>
    <x v="0"/>
    <m/>
    <m/>
    <m/>
    <s v="North"/>
    <s v="VARANASI"/>
    <x v="2"/>
    <x v="2"/>
    <x v="2"/>
    <x v="62"/>
    <s v="GP COIL SOFT-TATXGP-GK09-0.6X900"/>
    <s v="Z80"/>
    <s v=""/>
    <n v="3.2"/>
    <n v="5"/>
    <m/>
    <x v="7"/>
    <x v="5"/>
    <s v="GK09"/>
    <x v="20"/>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006"/>
    <n v="5"/>
    <s v="9518620006-5"/>
    <s v="No Priority"/>
    <x v="0"/>
    <m/>
    <x v="1"/>
    <x v="1"/>
    <x v="0"/>
    <m/>
    <x v="0"/>
    <m/>
    <m/>
    <m/>
    <s v="East"/>
    <s v="URLA"/>
    <x v="2"/>
    <x v="72"/>
    <x v="69"/>
    <x v="303"/>
    <s v="CRCA SHEET TATCRC TR15 .75X1000X2500"/>
    <s v=" "/>
    <s v=""/>
    <n v="0"/>
    <n v="0"/>
    <m/>
    <x v="2"/>
    <x v="1"/>
    <s v="TR15"/>
    <x v="28"/>
    <x v="2"/>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4"/>
    <d v="2025-03-26T00:00:00"/>
    <x v="0"/>
    <n v="9518637595"/>
    <n v="3"/>
    <s v="9518637595-3"/>
    <s v="No Priority"/>
    <x v="0"/>
    <s v="Yes"/>
    <x v="2"/>
    <x v="3"/>
    <x v="2"/>
    <m/>
    <x v="0"/>
    <m/>
    <m/>
    <m/>
    <s v="TBSPL"/>
    <s v=" "/>
    <x v="2"/>
    <x v="6"/>
    <x v="6"/>
    <x v="84"/>
    <s v="PPGL C HARD Y550PL D0C9 0.50(TPT)X1220"/>
    <s v="AZ150"/>
    <s v="RAL 7015 TSL 1805"/>
    <n v="3"/>
    <n v="5"/>
    <m/>
    <x v="3"/>
    <x v="3"/>
    <s v="D0C9"/>
    <x v="1"/>
    <x v="1"/>
    <x v="0"/>
    <n v="112"/>
    <n v="0"/>
    <n v="112"/>
    <n v="112"/>
    <n v="112"/>
    <n v="112"/>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8"/>
    <s v="9518692103-8"/>
    <s v="No Priority"/>
    <x v="0"/>
    <m/>
    <x v="3"/>
    <x v="9"/>
    <x v="0"/>
    <m/>
    <x v="0"/>
    <m/>
    <m/>
    <m/>
    <s v="East"/>
    <s v="WEST BOKARO"/>
    <x v="2"/>
    <x v="12"/>
    <x v="12"/>
    <x v="121"/>
    <s v="GP COIL SOFT-TATXGP-GK09-0.5X900"/>
    <s v="Z80"/>
    <s v=""/>
    <n v="4"/>
    <n v="12"/>
    <m/>
    <x v="7"/>
    <x v="5"/>
    <s v="GK09"/>
    <x v="1"/>
    <x v="3"/>
    <x v="0"/>
    <n v="189"/>
    <n v="0"/>
    <n v="189"/>
    <n v="189"/>
    <n v="189"/>
    <n v="189"/>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9"/>
    <s v="9518692103-9"/>
    <s v="No Priority"/>
    <x v="0"/>
    <m/>
    <x v="3"/>
    <x v="9"/>
    <x v="0"/>
    <m/>
    <x v="0"/>
    <m/>
    <m/>
    <m/>
    <s v="East"/>
    <s v="WEST BOKARO"/>
    <x v="2"/>
    <x v="12"/>
    <x v="12"/>
    <x v="121"/>
    <s v="GP COIL SOFT-TATXGP-GK09-0.5X900"/>
    <s v="Z80"/>
    <s v=""/>
    <n v="4"/>
    <n v="12"/>
    <m/>
    <x v="7"/>
    <x v="5"/>
    <s v="GK09"/>
    <x v="1"/>
    <x v="3"/>
    <x v="0"/>
    <n v="168"/>
    <n v="0"/>
    <n v="168"/>
    <n v="168"/>
    <n v="168"/>
    <n v="168"/>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220"/>
    <n v="8"/>
    <s v="9518692220-8"/>
    <s v="May'25"/>
    <x v="0"/>
    <m/>
    <x v="3"/>
    <x v="9"/>
    <x v="0"/>
    <m/>
    <x v="1"/>
    <m/>
    <m/>
    <m/>
    <s v="East"/>
    <s v=" "/>
    <x v="2"/>
    <x v="10"/>
    <x v="10"/>
    <x v="121"/>
    <s v="GP COIL SOFT-TATXGP-GK09-0.5X900"/>
    <s v="Z80"/>
    <s v=""/>
    <n v="4"/>
    <n v="12"/>
    <m/>
    <x v="7"/>
    <x v="5"/>
    <s v="GK09"/>
    <x v="1"/>
    <x v="3"/>
    <x v="0"/>
    <n v="147"/>
    <n v="0"/>
    <n v="147"/>
    <n v="147"/>
    <n v="147"/>
    <n v="147"/>
    <n v="0"/>
    <n v="0"/>
    <n v="0"/>
    <n v="0"/>
    <n v="0"/>
    <n v="0"/>
    <n v="0"/>
    <n v="0"/>
    <n v="0"/>
    <n v="0"/>
    <n v="0"/>
    <n v="0"/>
    <n v="0"/>
    <n v="0"/>
    <n v="0"/>
    <n v="0"/>
    <n v="0"/>
    <n v="0"/>
    <n v="0"/>
    <n v="0"/>
    <n v="0"/>
    <n v="0"/>
    <n v="0"/>
    <m/>
    <n v="0"/>
    <n v="147"/>
    <n v="0"/>
    <n v="147"/>
    <n v="0"/>
    <n v="0"/>
    <n v="0"/>
    <n v="147"/>
    <n v="0"/>
    <n v="147"/>
    <n v="0"/>
    <n v="0"/>
    <n v="0"/>
    <n v="0"/>
    <m/>
    <m/>
    <m/>
    <m/>
    <m/>
    <m/>
    <m/>
    <m/>
    <m/>
    <m/>
    <m/>
    <m/>
    <m/>
    <m/>
    <m/>
    <m/>
    <m/>
    <m/>
    <m/>
    <m/>
    <m/>
    <m/>
    <m/>
    <m/>
    <m/>
    <m/>
    <m/>
    <m/>
    <m/>
    <m/>
    <m/>
    <m/>
    <m/>
    <m/>
  </r>
  <r>
    <n v="743"/>
    <d v="2025-04-14T00:00:00"/>
    <x v="0"/>
    <n v="9518692220"/>
    <n v="9"/>
    <s v="9518692220-9"/>
    <s v="May'25"/>
    <x v="0"/>
    <m/>
    <x v="3"/>
    <x v="9"/>
    <x v="0"/>
    <m/>
    <x v="1"/>
    <m/>
    <m/>
    <m/>
    <s v="East"/>
    <s v=" "/>
    <x v="2"/>
    <x v="10"/>
    <x v="10"/>
    <x v="121"/>
    <s v="GP COIL SOFT-TATXGP-GK09-0.5X900"/>
    <s v="Z80"/>
    <s v=""/>
    <n v="4"/>
    <n v="12"/>
    <m/>
    <x v="7"/>
    <x v="5"/>
    <s v="GK09"/>
    <x v="1"/>
    <x v="3"/>
    <x v="0"/>
    <n v="147"/>
    <n v="0"/>
    <n v="147"/>
    <n v="147"/>
    <n v="147"/>
    <n v="147"/>
    <n v="0"/>
    <n v="0"/>
    <n v="0"/>
    <n v="0"/>
    <n v="0"/>
    <n v="0"/>
    <n v="0"/>
    <n v="0"/>
    <n v="0"/>
    <n v="0"/>
    <n v="0"/>
    <n v="0"/>
    <n v="0"/>
    <n v="0"/>
    <n v="0"/>
    <n v="0"/>
    <n v="0"/>
    <n v="0"/>
    <n v="0"/>
    <n v="0"/>
    <n v="0"/>
    <n v="0"/>
    <n v="0"/>
    <m/>
    <n v="0"/>
    <n v="147"/>
    <n v="0"/>
    <n v="0"/>
    <n v="0"/>
    <n v="147"/>
    <n v="0"/>
    <n v="147"/>
    <n v="0"/>
    <n v="0"/>
    <n v="0"/>
    <n v="0"/>
    <n v="147"/>
    <n v="0"/>
    <m/>
    <m/>
    <m/>
    <m/>
    <m/>
    <m/>
    <m/>
    <m/>
    <m/>
    <m/>
    <m/>
    <m/>
    <m/>
    <m/>
    <m/>
    <m/>
    <m/>
    <m/>
    <m/>
    <m/>
    <m/>
    <m/>
    <m/>
    <m/>
    <m/>
    <m/>
    <m/>
    <m/>
    <m/>
    <m/>
    <m/>
    <m/>
    <m/>
    <m/>
  </r>
  <r>
    <n v="742"/>
    <d v="2025-04-18T00:00:00"/>
    <x v="0"/>
    <n v="9518702444"/>
    <n v="1"/>
    <s v="9518702444-1"/>
    <s v="No Priority"/>
    <x v="0"/>
    <m/>
    <x v="1"/>
    <x v="1"/>
    <x v="0"/>
    <m/>
    <x v="0"/>
    <m/>
    <m/>
    <m/>
    <s v="East"/>
    <s v="GUWAHATI"/>
    <x v="2"/>
    <x v="25"/>
    <x v="24"/>
    <x v="304"/>
    <s v="CRCA COIL TATXXD AU03 1.100X1250"/>
    <s v=" "/>
    <s v=""/>
    <n v="4"/>
    <n v="28"/>
    <m/>
    <x v="1"/>
    <x v="2"/>
    <s v="AU03"/>
    <x v="43"/>
    <x v="0"/>
    <x v="0"/>
    <n v="87"/>
    <n v="0"/>
    <n v="87"/>
    <n v="87"/>
    <n v="87"/>
    <n v="87"/>
    <n v="0"/>
    <n v="0"/>
    <n v="0"/>
    <n v="0"/>
    <n v="0"/>
    <n v="0"/>
    <n v="0"/>
    <n v="0"/>
    <n v="0"/>
    <n v="0"/>
    <n v="0"/>
    <n v="0"/>
    <n v="0"/>
    <n v="0"/>
    <n v="0"/>
    <n v="0"/>
    <n v="0"/>
    <n v="0"/>
    <n v="0"/>
    <n v="0"/>
    <n v="0"/>
    <n v="0"/>
    <n v="0"/>
    <m/>
    <n v="0"/>
    <n v="0"/>
    <n v="0"/>
    <n v="0"/>
    <n v="0"/>
    <n v="0"/>
    <n v="0"/>
    <n v="0"/>
    <n v="0"/>
    <n v="0"/>
    <n v="0"/>
    <n v="0"/>
    <n v="0"/>
    <n v="0"/>
    <m/>
    <m/>
    <m/>
    <m/>
    <m/>
    <m/>
    <m/>
    <m/>
    <m/>
    <m/>
    <m/>
    <m/>
    <m/>
    <m/>
    <m/>
    <m/>
    <m/>
    <m/>
    <m/>
    <m/>
    <m/>
    <m/>
    <m/>
    <m/>
    <m/>
    <m/>
    <m/>
    <m/>
    <m/>
    <m/>
    <m/>
    <m/>
    <m/>
    <m/>
  </r>
  <r>
    <n v="744"/>
    <d v="2025-03-29T00:00:00"/>
    <x v="0"/>
    <n v="9518653307"/>
    <n v="4"/>
    <s v="9518653307-4"/>
    <s v="May'25"/>
    <x v="0"/>
    <s v="Yes"/>
    <x v="2"/>
    <x v="3"/>
    <x v="2"/>
    <m/>
    <x v="1"/>
    <m/>
    <m/>
    <m/>
    <s v="TBSPL"/>
    <s v="RAJASTHAN"/>
    <x v="2"/>
    <x v="71"/>
    <x v="15"/>
    <x v="192"/>
    <s v="PPGL C Y550 D0C7 0.43BMT(0.47TPT)X1220"/>
    <s v="aZ70"/>
    <s v="NG SMART GREY TSL 1905"/>
    <n v="3"/>
    <n v="5"/>
    <m/>
    <x v="3"/>
    <x v="3"/>
    <s v="D0C7"/>
    <x v="25"/>
    <x v="1"/>
    <x v="0"/>
    <n v="280"/>
    <n v="0"/>
    <n v="280"/>
    <n v="80.760000000000005"/>
    <n v="245.02500000000001"/>
    <n v="50.17"/>
    <n v="0"/>
    <n v="0"/>
    <n v="0"/>
    <n v="0"/>
    <n v="0"/>
    <n v="23.14"/>
    <n v="0"/>
    <n v="4.415"/>
    <n v="0"/>
    <n v="0"/>
    <n v="0"/>
    <n v="0"/>
    <n v="0"/>
    <n v="0"/>
    <n v="0"/>
    <n v="2.86"/>
    <n v="0"/>
    <n v="0"/>
    <n v="4.5600000000000005"/>
    <n v="34.975000000000001"/>
    <n v="34.975000000000001"/>
    <n v="0"/>
    <n v="34.975000000000001"/>
    <m/>
    <n v="25.11"/>
    <n v="50.17"/>
    <n v="0"/>
    <n v="0"/>
    <n v="50.17"/>
    <n v="0"/>
    <n v="0"/>
    <n v="75.28"/>
    <n v="0"/>
    <n v="0"/>
    <n v="0"/>
    <n v="75.28"/>
    <n v="0"/>
    <n v="0"/>
    <m/>
    <m/>
    <m/>
    <m/>
    <m/>
    <m/>
    <m/>
    <m/>
    <m/>
    <m/>
    <m/>
    <m/>
    <m/>
    <m/>
    <m/>
    <m/>
    <m/>
    <m/>
    <m/>
    <m/>
    <m/>
    <m/>
    <m/>
    <m/>
    <m/>
    <m/>
    <m/>
    <m/>
    <m/>
    <m/>
    <m/>
    <m/>
    <m/>
    <m/>
  </r>
  <r>
    <n v="744"/>
    <d v="2025-04-03T00:00:00"/>
    <x v="0"/>
    <n v="9518666670"/>
    <n v="1"/>
    <s v="9518666670-1"/>
    <s v="May'25"/>
    <x v="0"/>
    <m/>
    <x v="2"/>
    <x v="3"/>
    <x v="2"/>
    <m/>
    <x v="1"/>
    <m/>
    <m/>
    <m/>
    <s v="TBSPL"/>
    <s v=" "/>
    <x v="2"/>
    <x v="6"/>
    <x v="6"/>
    <x v="137"/>
    <s v="PPGL C HARD Y550PL D0C9 0.470(TPT)X1220"/>
    <s v="AZ150"/>
    <s v="RAL 7015 TSL 1805"/>
    <n v="3"/>
    <n v="5"/>
    <m/>
    <x v="3"/>
    <x v="3"/>
    <s v="D0C9"/>
    <x v="14"/>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2"/>
    <d v="2025-04-10T00:00:00"/>
    <x v="0"/>
    <n v="9518683200"/>
    <n v="9"/>
    <s v="9518683200-9"/>
    <s v="No Priority"/>
    <x v="0"/>
    <m/>
    <x v="1"/>
    <x v="2"/>
    <x v="0"/>
    <m/>
    <x v="0"/>
    <m/>
    <m/>
    <m/>
    <s v="South"/>
    <s v="VISHAKHAPATNAM"/>
    <x v="2"/>
    <x v="8"/>
    <x v="8"/>
    <x v="129"/>
    <s v="CRCA SHEET TSBCRC SR15 0.600X900X2440"/>
    <s v=" "/>
    <s v=""/>
    <n v="0"/>
    <n v="0"/>
    <m/>
    <x v="2"/>
    <x v="4"/>
    <s v="SR15"/>
    <x v="20"/>
    <x v="3"/>
    <x v="6"/>
    <n v="21"/>
    <n v="0"/>
    <n v="21"/>
    <n v="1.2549999999999999"/>
    <n v="0"/>
    <n v="2.1150000000000002"/>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10"/>
    <s v="9518683200-10"/>
    <s v="May'25"/>
    <x v="0"/>
    <s v="Yes"/>
    <x v="1"/>
    <x v="2"/>
    <x v="0"/>
    <m/>
    <x v="1"/>
    <m/>
    <m/>
    <m/>
    <s v="South"/>
    <s v="VISHAKHAPATNAM"/>
    <x v="2"/>
    <x v="8"/>
    <x v="8"/>
    <x v="46"/>
    <s v="CRCA SHEET TSBCRC SR15 0.600X1000X2440"/>
    <s v=" "/>
    <s v=""/>
    <n v="0"/>
    <n v="0"/>
    <m/>
    <x v="2"/>
    <x v="4"/>
    <s v="SR15"/>
    <x v="20"/>
    <x v="2"/>
    <x v="6"/>
    <n v="69"/>
    <n v="0"/>
    <n v="69"/>
    <n v="69"/>
    <n v="2.539999999999992"/>
    <n v="69"/>
    <n v="0"/>
    <n v="0"/>
    <n v="0"/>
    <n v="0"/>
    <n v="0"/>
    <n v="0"/>
    <n v="0"/>
    <n v="0"/>
    <n v="0"/>
    <n v="0"/>
    <n v="0"/>
    <n v="0"/>
    <n v="0"/>
    <n v="66.460000000000008"/>
    <n v="0"/>
    <n v="0"/>
    <n v="0"/>
    <n v="0"/>
    <n v="0"/>
    <n v="66.460000000000008"/>
    <n v="66.460000000000008"/>
    <n v="0"/>
    <n v="66.460000000000008"/>
    <m/>
    <n v="0"/>
    <n v="69"/>
    <n v="0"/>
    <n v="69"/>
    <n v="0"/>
    <n v="0"/>
    <n v="0"/>
    <n v="69"/>
    <n v="0"/>
    <n v="69"/>
    <n v="0"/>
    <n v="0"/>
    <n v="0"/>
    <n v="0"/>
    <m/>
    <m/>
    <m/>
    <m/>
    <m/>
    <m/>
    <m/>
    <m/>
    <m/>
    <m/>
    <m/>
    <m/>
    <m/>
    <m/>
    <m/>
    <m/>
    <m/>
    <m/>
    <m/>
    <m/>
    <m/>
    <m/>
    <m/>
    <m/>
    <m/>
    <m/>
    <m/>
    <m/>
    <m/>
    <m/>
    <m/>
    <m/>
    <m/>
    <m/>
  </r>
  <r>
    <n v="742"/>
    <d v="2025-04-10T00:00:00"/>
    <x v="0"/>
    <n v="9518683200"/>
    <n v="11"/>
    <s v="9518683200-11"/>
    <s v="Stocks"/>
    <x v="0"/>
    <m/>
    <x v="1"/>
    <x v="2"/>
    <x v="0"/>
    <m/>
    <x v="1"/>
    <m/>
    <m/>
    <m/>
    <s v="South"/>
    <s v="VISHAKHAPATNAM"/>
    <x v="2"/>
    <x v="8"/>
    <x v="8"/>
    <x v="41"/>
    <s v="CRCA SHEET TSBCRC SR15 0.600X1250X2500"/>
    <s v=" "/>
    <s v=""/>
    <n v="0"/>
    <n v="0"/>
    <m/>
    <x v="2"/>
    <x v="4"/>
    <s v="SR15"/>
    <x v="20"/>
    <x v="0"/>
    <x v="3"/>
    <n v="18"/>
    <n v="2.7"/>
    <n v="15.3"/>
    <n v="15.3"/>
    <n v="15.3"/>
    <n v="15.3"/>
    <n v="0"/>
    <n v="0"/>
    <n v="0"/>
    <n v="0"/>
    <n v="0"/>
    <n v="0"/>
    <n v="0"/>
    <n v="0"/>
    <n v="0"/>
    <n v="0"/>
    <n v="0"/>
    <n v="0"/>
    <n v="0"/>
    <n v="0"/>
    <n v="0"/>
    <n v="0"/>
    <n v="0"/>
    <n v="0"/>
    <n v="0"/>
    <n v="0"/>
    <n v="0"/>
    <n v="0"/>
    <n v="0"/>
    <m/>
    <n v="2.7"/>
    <n v="0"/>
    <n v="0"/>
    <n v="0"/>
    <n v="0"/>
    <n v="0"/>
    <n v="0"/>
    <n v="2.7"/>
    <n v="2.7"/>
    <n v="0"/>
    <n v="0"/>
    <n v="0"/>
    <n v="0"/>
    <n v="0"/>
    <m/>
    <m/>
    <m/>
    <m/>
    <m/>
    <m/>
    <m/>
    <m/>
    <m/>
    <m/>
    <m/>
    <m/>
    <m/>
    <m/>
    <m/>
    <m/>
    <m/>
    <m/>
    <m/>
    <m/>
    <m/>
    <m/>
    <m/>
    <m/>
    <m/>
    <m/>
    <m/>
    <m/>
    <m/>
    <m/>
    <m/>
    <m/>
    <m/>
    <m/>
  </r>
  <r>
    <n v="742"/>
    <d v="2025-04-10T00:00:00"/>
    <x v="0"/>
    <n v="9518683200"/>
    <n v="13"/>
    <s v="9518683200-13"/>
    <s v="May'25"/>
    <x v="0"/>
    <s v="Yes"/>
    <x v="1"/>
    <x v="2"/>
    <x v="0"/>
    <m/>
    <x v="1"/>
    <m/>
    <m/>
    <m/>
    <s v="South"/>
    <s v="VISHAKHAPATNAM"/>
    <x v="2"/>
    <x v="8"/>
    <x v="8"/>
    <x v="130"/>
    <s v="CRCA SHEET TSBCRC SR15 0.800X1000X2500"/>
    <s v=" "/>
    <s v=""/>
    <n v="0"/>
    <n v="0"/>
    <m/>
    <x v="2"/>
    <x v="4"/>
    <s v="SR15"/>
    <x v="5"/>
    <x v="2"/>
    <x v="3"/>
    <n v="24"/>
    <n v="0"/>
    <n v="24"/>
    <n v="24"/>
    <n v="1.4699999999999989"/>
    <n v="24"/>
    <n v="0"/>
    <n v="0"/>
    <n v="0"/>
    <n v="0"/>
    <n v="0"/>
    <n v="0"/>
    <n v="0"/>
    <n v="0"/>
    <n v="0"/>
    <n v="0"/>
    <n v="0"/>
    <n v="0"/>
    <n v="0"/>
    <n v="22.53"/>
    <n v="0"/>
    <n v="0"/>
    <n v="0"/>
    <n v="0"/>
    <n v="0"/>
    <n v="22.53"/>
    <n v="22.53"/>
    <n v="0"/>
    <n v="22.53"/>
    <m/>
    <n v="0"/>
    <n v="24"/>
    <n v="0"/>
    <n v="24"/>
    <n v="0"/>
    <n v="0"/>
    <n v="0"/>
    <n v="24"/>
    <n v="0"/>
    <n v="24"/>
    <n v="0"/>
    <n v="0"/>
    <n v="0"/>
    <n v="0"/>
    <m/>
    <m/>
    <m/>
    <m/>
    <m/>
    <m/>
    <m/>
    <m/>
    <m/>
    <m/>
    <m/>
    <m/>
    <m/>
    <m/>
    <m/>
    <m/>
    <m/>
    <m/>
    <m/>
    <m/>
    <m/>
    <m/>
    <m/>
    <m/>
    <m/>
    <m/>
    <m/>
    <m/>
    <m/>
    <m/>
    <m/>
    <m/>
    <m/>
    <m/>
  </r>
  <r>
    <n v="742"/>
    <d v="2025-04-10T00:00:00"/>
    <x v="0"/>
    <n v="9518683200"/>
    <n v="17"/>
    <s v="9518683200-17"/>
    <s v="No Priority"/>
    <x v="0"/>
    <s v="Yes"/>
    <x v="1"/>
    <x v="1"/>
    <x v="0"/>
    <m/>
    <x v="0"/>
    <m/>
    <s v="De-prioritized due to Apr CF orders"/>
    <m/>
    <s v="South"/>
    <s v="VISHAKHAPATNAM"/>
    <x v="2"/>
    <x v="8"/>
    <x v="8"/>
    <x v="237"/>
    <s v="CRSHEET TATXXD AU03 1.20X1250X2500"/>
    <s v=" "/>
    <s v=""/>
    <n v="0"/>
    <n v="0"/>
    <m/>
    <x v="2"/>
    <x v="2"/>
    <s v="AU03"/>
    <x v="19"/>
    <x v="0"/>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4"/>
    <d v="2025-04-08T00:00:00"/>
    <x v="0"/>
    <n v="9518677599"/>
    <n v="1"/>
    <s v="9518677599-1"/>
    <s v="May'25"/>
    <x v="0"/>
    <m/>
    <x v="2"/>
    <x v="3"/>
    <x v="2"/>
    <m/>
    <x v="1"/>
    <m/>
    <m/>
    <m/>
    <s v="TBSPL"/>
    <s v=" "/>
    <x v="2"/>
    <x v="6"/>
    <x v="6"/>
    <x v="305"/>
    <s v="PPGL C YS550 PLH5 0.50BMT(0.60TPT)X1220"/>
    <s v="AZ200"/>
    <s v="RAL 5012 TSL 245"/>
    <n v="3"/>
    <n v="5"/>
    <m/>
    <x v="3"/>
    <x v="3"/>
    <s v="PLH5"/>
    <x v="1"/>
    <x v="1"/>
    <x v="0"/>
    <n v="28"/>
    <n v="0"/>
    <n v="28"/>
    <n v="28"/>
    <n v="28"/>
    <n v="28"/>
    <n v="0"/>
    <n v="0"/>
    <n v="0"/>
    <n v="0"/>
    <n v="0"/>
    <n v="0"/>
    <n v="0"/>
    <n v="0"/>
    <n v="0"/>
    <n v="0"/>
    <n v="0"/>
    <n v="0"/>
    <n v="0"/>
    <n v="0"/>
    <n v="0"/>
    <n v="0"/>
    <n v="0"/>
    <n v="0"/>
    <n v="0"/>
    <n v="0"/>
    <n v="0"/>
    <n v="0"/>
    <n v="0"/>
    <m/>
    <n v="0"/>
    <n v="28"/>
    <n v="0"/>
    <n v="28"/>
    <n v="0"/>
    <n v="0"/>
    <n v="0"/>
    <n v="28"/>
    <n v="0"/>
    <n v="28"/>
    <n v="0"/>
    <n v="0"/>
    <n v="0"/>
    <n v="0"/>
    <m/>
    <m/>
    <m/>
    <m/>
    <m/>
    <m/>
    <m/>
    <m/>
    <m/>
    <m/>
    <m/>
    <m/>
    <m/>
    <m/>
    <m/>
    <m/>
    <m/>
    <m/>
    <m/>
    <m/>
    <m/>
    <m/>
    <m/>
    <m/>
    <m/>
    <m/>
    <m/>
    <m/>
    <m/>
    <m/>
    <m/>
    <m/>
    <m/>
    <m/>
  </r>
  <r>
    <n v="744"/>
    <d v="2025-04-04T00:00:00"/>
    <x v="0"/>
    <n v="9518670143"/>
    <n v="1"/>
    <s v="9518670143-1"/>
    <s v="Stocks"/>
    <x v="0"/>
    <m/>
    <x v="2"/>
    <x v="3"/>
    <x v="2"/>
    <m/>
    <x v="1"/>
    <m/>
    <m/>
    <m/>
    <s v="TBSPL"/>
    <s v="RAJASTHAN"/>
    <x v="2"/>
    <x v="71"/>
    <x v="15"/>
    <x v="306"/>
    <s v="PPGL C HARD Y550PL DX01 0.600X1220"/>
    <s v="AZ150"/>
    <s v="RAL 5012 TSL 2002"/>
    <n v="3"/>
    <n v="5"/>
    <m/>
    <x v="3"/>
    <x v="3"/>
    <s v="DX01"/>
    <x v="20"/>
    <x v="1"/>
    <x v="0"/>
    <n v="28"/>
    <n v="0"/>
    <n v="28"/>
    <n v="28"/>
    <n v="28"/>
    <n v="1.9450000000000001"/>
    <n v="0"/>
    <n v="0"/>
    <n v="0"/>
    <n v="0"/>
    <n v="0"/>
    <n v="0"/>
    <n v="0"/>
    <n v="0"/>
    <n v="0"/>
    <n v="0"/>
    <n v="0"/>
    <n v="0"/>
    <n v="0"/>
    <n v="0"/>
    <n v="0"/>
    <n v="0"/>
    <n v="0"/>
    <n v="0"/>
    <n v="0"/>
    <n v="0"/>
    <n v="0"/>
    <n v="0"/>
    <n v="0"/>
    <m/>
    <n v="26.055"/>
    <n v="1.9450000000000001"/>
    <n v="1.9450000000000001"/>
    <n v="0"/>
    <n v="0"/>
    <n v="0"/>
    <n v="0"/>
    <n v="28"/>
    <n v="0"/>
    <n v="28"/>
    <n v="0"/>
    <n v="0"/>
    <n v="0"/>
    <n v="0"/>
    <m/>
    <m/>
    <m/>
    <m/>
    <m/>
    <m/>
    <m/>
    <m/>
    <m/>
    <m/>
    <m/>
    <m/>
    <m/>
    <m/>
    <m/>
    <m/>
    <m/>
    <m/>
    <m/>
    <m/>
    <m/>
    <m/>
    <m/>
    <m/>
    <m/>
    <m/>
    <m/>
    <m/>
    <m/>
    <m/>
    <m/>
    <m/>
    <m/>
    <m/>
  </r>
  <r>
    <n v="743"/>
    <d v="2025-04-15T00:00:00"/>
    <x v="0"/>
    <n v="9518694054"/>
    <n v="6"/>
    <s v="9518694054-6"/>
    <s v="No Priority"/>
    <x v="0"/>
    <m/>
    <x v="3"/>
    <x v="9"/>
    <x v="0"/>
    <m/>
    <x v="0"/>
    <m/>
    <m/>
    <m/>
    <s v="East"/>
    <s v="PATNA"/>
    <x v="2"/>
    <x v="31"/>
    <x v="31"/>
    <x v="65"/>
    <s v="GP COIL SOFT-TATXGP-GK09-0.63X900"/>
    <s v="Z80"/>
    <s v=""/>
    <n v="2"/>
    <n v="6"/>
    <m/>
    <x v="7"/>
    <x v="5"/>
    <s v="GK09"/>
    <x v="26"/>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4-11T00:00:00"/>
    <x v="0"/>
    <n v="9518683949"/>
    <n v="7"/>
    <s v="9518683949-7"/>
    <s v="Stocks"/>
    <x v="0"/>
    <s v="Yes"/>
    <x v="3"/>
    <x v="9"/>
    <x v="0"/>
    <m/>
    <x v="1"/>
    <m/>
    <m/>
    <m/>
    <s v="East"/>
    <s v="WEST BENGAL"/>
    <x v="2"/>
    <x v="36"/>
    <x v="36"/>
    <x v="62"/>
    <s v="GP COIL SOFT-TATXGP-GK09-0.6X900"/>
    <s v="Z80"/>
    <s v=""/>
    <n v="5"/>
    <n v="15"/>
    <m/>
    <x v="7"/>
    <x v="5"/>
    <s v="GK09"/>
    <x v="20"/>
    <x v="3"/>
    <x v="0"/>
    <n v="105"/>
    <n v="0"/>
    <n v="105"/>
    <n v="105"/>
    <n v="85.692000000000007"/>
    <n v="26.645"/>
    <n v="0"/>
    <n v="0"/>
    <n v="0"/>
    <n v="0"/>
    <n v="0"/>
    <n v="0"/>
    <n v="19.308"/>
    <n v="0"/>
    <n v="0"/>
    <n v="0"/>
    <n v="0"/>
    <n v="0"/>
    <n v="0"/>
    <n v="0"/>
    <n v="0"/>
    <n v="0"/>
    <n v="0"/>
    <n v="0"/>
    <n v="0"/>
    <n v="19.308"/>
    <n v="19.308"/>
    <n v="0"/>
    <n v="19.308"/>
    <m/>
    <n v="90.545000000000002"/>
    <n v="26.645"/>
    <n v="26.645"/>
    <n v="0"/>
    <n v="0"/>
    <n v="0"/>
    <n v="0"/>
    <n v="117.19"/>
    <n v="0"/>
    <n v="117.19"/>
    <n v="0"/>
    <n v="0"/>
    <n v="0"/>
    <n v="0"/>
    <m/>
    <m/>
    <m/>
    <m/>
    <m/>
    <m/>
    <m/>
    <m/>
    <m/>
    <m/>
    <m/>
    <m/>
    <m/>
    <m/>
    <m/>
    <m/>
    <m/>
    <m/>
    <m/>
    <m/>
    <m/>
    <m/>
    <m/>
    <m/>
    <m/>
    <m/>
    <m/>
    <m/>
    <m/>
    <m/>
    <m/>
    <m/>
    <m/>
    <m/>
  </r>
  <r>
    <n v="742"/>
    <d v="2025-04-15T00:00:00"/>
    <x v="1"/>
    <n v="9518695452"/>
    <n v="6"/>
    <s v="9518695452-6"/>
    <s v="May'25"/>
    <x v="0"/>
    <m/>
    <x v="1"/>
    <x v="7"/>
    <x v="2"/>
    <n v="3500"/>
    <x v="1"/>
    <m/>
    <m/>
    <m/>
    <s v="East"/>
    <s v="PILKHUWA"/>
    <x v="2"/>
    <x v="24"/>
    <x v="23"/>
    <x v="93"/>
    <s v="CRCA COIL TSBSTA EL06 0.500X1160"/>
    <s v=" "/>
    <s v=""/>
    <n v="8"/>
    <n v="13"/>
    <m/>
    <x v="1"/>
    <x v="9"/>
    <s v="EL06"/>
    <x v="1"/>
    <x v="13"/>
    <x v="0"/>
    <n v="297"/>
    <n v="0"/>
    <n v="297"/>
    <n v="297"/>
    <n v="297"/>
    <n v="297"/>
    <n v="0"/>
    <n v="0"/>
    <n v="0"/>
    <n v="0"/>
    <n v="0"/>
    <n v="0"/>
    <n v="0"/>
    <n v="0"/>
    <n v="0"/>
    <n v="0"/>
    <n v="0"/>
    <n v="0"/>
    <n v="0"/>
    <n v="0"/>
    <n v="0"/>
    <n v="0"/>
    <n v="0"/>
    <n v="0"/>
    <n v="0"/>
    <n v="0"/>
    <n v="0"/>
    <n v="0"/>
    <n v="0"/>
    <m/>
    <n v="0"/>
    <n v="297"/>
    <n v="0"/>
    <n v="0"/>
    <n v="0"/>
    <n v="297"/>
    <n v="0"/>
    <n v="297"/>
    <n v="0"/>
    <n v="0"/>
    <n v="0"/>
    <n v="0"/>
    <n v="297"/>
    <n v="0"/>
    <m/>
    <m/>
    <m/>
    <m/>
    <m/>
    <m/>
    <m/>
    <m/>
    <m/>
    <m/>
    <m/>
    <m/>
    <m/>
    <m/>
    <m/>
    <m/>
    <m/>
    <m/>
    <m/>
    <m/>
    <m/>
    <m/>
    <m/>
    <m/>
    <m/>
    <m/>
    <m/>
    <m/>
    <m/>
    <m/>
    <m/>
    <m/>
    <m/>
    <m/>
  </r>
  <r>
    <n v="742"/>
    <d v="2025-04-15T00:00:00"/>
    <x v="1"/>
    <n v="9518695452"/>
    <n v="7"/>
    <s v="9518695452-7"/>
    <s v="May'25"/>
    <x v="0"/>
    <m/>
    <x v="1"/>
    <x v="7"/>
    <x v="2"/>
    <m/>
    <x v="1"/>
    <m/>
    <m/>
    <m/>
    <s v="East"/>
    <s v="PILKHUWA"/>
    <x v="2"/>
    <x v="24"/>
    <x v="23"/>
    <x v="93"/>
    <s v="CRCA COIL TSBSTA EL06 0.500X1160"/>
    <s v=" "/>
    <s v=""/>
    <n v="8"/>
    <n v="13"/>
    <m/>
    <x v="1"/>
    <x v="9"/>
    <s v="EL06"/>
    <x v="1"/>
    <x v="13"/>
    <x v="0"/>
    <n v="297"/>
    <n v="0"/>
    <n v="297"/>
    <n v="297"/>
    <n v="297"/>
    <n v="297"/>
    <n v="0"/>
    <n v="0"/>
    <n v="0"/>
    <n v="0"/>
    <n v="0"/>
    <n v="0"/>
    <n v="0"/>
    <n v="0"/>
    <n v="0"/>
    <n v="0"/>
    <n v="0"/>
    <n v="0"/>
    <n v="0"/>
    <n v="0"/>
    <n v="0"/>
    <n v="0"/>
    <n v="0"/>
    <n v="0"/>
    <n v="0"/>
    <n v="0"/>
    <n v="0"/>
    <n v="0"/>
    <n v="0"/>
    <m/>
    <n v="0"/>
    <n v="297"/>
    <n v="0"/>
    <n v="0"/>
    <n v="0"/>
    <n v="297"/>
    <n v="0"/>
    <n v="297"/>
    <n v="0"/>
    <n v="0"/>
    <n v="0"/>
    <n v="0"/>
    <n v="297"/>
    <n v="0"/>
    <m/>
    <m/>
    <m/>
    <m/>
    <m/>
    <m/>
    <m/>
    <m/>
    <m/>
    <m/>
    <m/>
    <m/>
    <m/>
    <m/>
    <m/>
    <m/>
    <m/>
    <m/>
    <m/>
    <m/>
    <m/>
    <m/>
    <m/>
    <m/>
    <m/>
    <m/>
    <m/>
    <m/>
    <m/>
    <m/>
    <m/>
    <m/>
    <m/>
    <m/>
  </r>
  <r>
    <n v="742"/>
    <d v="2025-03-27T00:00:00"/>
    <x v="0"/>
    <n v="9518644656"/>
    <n v="13"/>
    <s v="9518644656-13"/>
    <s v="May'25"/>
    <x v="0"/>
    <s v="Yes"/>
    <x v="1"/>
    <x v="2"/>
    <x v="0"/>
    <m/>
    <x v="1"/>
    <m/>
    <m/>
    <m/>
    <s v="East"/>
    <s v="SILIGURI TOWN"/>
    <x v="2"/>
    <x v="66"/>
    <x v="24"/>
    <x v="307"/>
    <s v="CRCA SHEET TSBCRC SR15 0.550X1250X2500"/>
    <s v=" "/>
    <s v=""/>
    <n v="2"/>
    <n v="3"/>
    <m/>
    <x v="2"/>
    <x v="4"/>
    <s v="SR15"/>
    <x v="18"/>
    <x v="0"/>
    <x v="3"/>
    <n v="24"/>
    <n v="0"/>
    <n v="24"/>
    <n v="24"/>
    <n v="0.82000000000000028"/>
    <n v="24"/>
    <n v="0"/>
    <n v="0"/>
    <n v="23.18"/>
    <n v="0"/>
    <n v="0"/>
    <n v="0"/>
    <n v="0"/>
    <n v="0"/>
    <n v="0"/>
    <n v="0"/>
    <n v="0"/>
    <n v="0"/>
    <n v="0"/>
    <n v="0"/>
    <n v="0"/>
    <n v="0"/>
    <n v="0"/>
    <n v="0"/>
    <n v="0"/>
    <n v="23.18"/>
    <n v="23.18"/>
    <n v="0"/>
    <n v="23.18"/>
    <m/>
    <n v="0"/>
    <n v="24"/>
    <n v="0"/>
    <n v="0"/>
    <n v="24"/>
    <n v="0"/>
    <n v="0"/>
    <n v="24"/>
    <n v="0"/>
    <n v="0"/>
    <n v="24"/>
    <n v="0"/>
    <n v="0"/>
    <n v="0"/>
    <m/>
    <m/>
    <m/>
    <m/>
    <m/>
    <m/>
    <m/>
    <m/>
    <m/>
    <m/>
    <m/>
    <m/>
    <m/>
    <m/>
    <m/>
    <m/>
    <m/>
    <m/>
    <m/>
    <m/>
    <m/>
    <m/>
    <m/>
    <m/>
    <m/>
    <m/>
    <m/>
    <m/>
    <m/>
    <m/>
    <m/>
    <m/>
    <m/>
    <m/>
  </r>
  <r>
    <n v="743"/>
    <d v="2025-04-14T00:00:00"/>
    <x v="0"/>
    <n v="9518692103"/>
    <n v="4"/>
    <s v="9518692103-4"/>
    <s v="No Priority"/>
    <x v="0"/>
    <m/>
    <x v="3"/>
    <x v="9"/>
    <x v="0"/>
    <m/>
    <x v="0"/>
    <m/>
    <m/>
    <m/>
    <s v="East"/>
    <s v="WEST BOKARO"/>
    <x v="2"/>
    <x v="12"/>
    <x v="12"/>
    <x v="55"/>
    <s v="GP COIL SOFT-TATXGP-GK09-0.35X900"/>
    <s v="Z80"/>
    <s v=""/>
    <n v="4"/>
    <n v="12"/>
    <m/>
    <x v="7"/>
    <x v="5"/>
    <s v="GK09"/>
    <x v="6"/>
    <x v="3"/>
    <x v="0"/>
    <n v="147"/>
    <n v="0"/>
    <n v="147"/>
    <n v="147"/>
    <n v="147"/>
    <n v="147"/>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220"/>
    <n v="4"/>
    <s v="9518692220-4"/>
    <s v="No Priority"/>
    <x v="0"/>
    <m/>
    <x v="3"/>
    <x v="9"/>
    <x v="0"/>
    <m/>
    <x v="0"/>
    <m/>
    <m/>
    <m/>
    <s v="East"/>
    <s v=" "/>
    <x v="2"/>
    <x v="10"/>
    <x v="10"/>
    <x v="55"/>
    <s v="GP COIL SOFT-TATXGP-GK09-0.35X900"/>
    <s v="Z80"/>
    <s v=""/>
    <n v="4"/>
    <n v="12"/>
    <m/>
    <x v="7"/>
    <x v="5"/>
    <s v="GK09"/>
    <x v="6"/>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595"/>
    <n v="1"/>
    <s v="9518692595-1"/>
    <s v="No Priority"/>
    <x v="0"/>
    <m/>
    <x v="3"/>
    <x v="0"/>
    <x v="0"/>
    <m/>
    <x v="0"/>
    <m/>
    <m/>
    <m/>
    <s v="East"/>
    <s v="TATANAGAR"/>
    <x v="2"/>
    <x v="5"/>
    <x v="5"/>
    <x v="308"/>
    <s v="GP COIL SOFT-TSBXGP-N1GP-0.28X900"/>
    <s v="Z80"/>
    <s v=""/>
    <n v="4"/>
    <n v="12"/>
    <m/>
    <x v="7"/>
    <x v="13"/>
    <s v="N1GP"/>
    <x v="59"/>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595"/>
    <n v="2"/>
    <s v="9518692595-2"/>
    <s v="No Priority"/>
    <x v="0"/>
    <m/>
    <x v="3"/>
    <x v="0"/>
    <x v="0"/>
    <m/>
    <x v="0"/>
    <m/>
    <m/>
    <m/>
    <s v="East"/>
    <s v="TATANAGAR"/>
    <x v="2"/>
    <x v="5"/>
    <x v="5"/>
    <x v="72"/>
    <s v="GP COIL SOFT-TSBXGP-N1GP-0.3X900"/>
    <s v="Z80"/>
    <s v=""/>
    <n v="4"/>
    <n v="12"/>
    <m/>
    <x v="7"/>
    <x v="13"/>
    <s v="N1GP"/>
    <x v="1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10"/>
    <s v="9518692103-10"/>
    <s v="No Priority"/>
    <x v="0"/>
    <m/>
    <x v="3"/>
    <x v="9"/>
    <x v="0"/>
    <m/>
    <x v="0"/>
    <m/>
    <m/>
    <m/>
    <s v="East"/>
    <s v="WEST BOKARO"/>
    <x v="2"/>
    <x v="12"/>
    <x v="12"/>
    <x v="62"/>
    <s v="GP COIL SOFT-TATXGP-GK09-0.6X900"/>
    <s v="Z80"/>
    <s v=""/>
    <n v="4"/>
    <n v="12"/>
    <m/>
    <x v="7"/>
    <x v="5"/>
    <s v="GK09"/>
    <x v="20"/>
    <x v="3"/>
    <x v="0"/>
    <n v="147"/>
    <n v="0"/>
    <n v="147"/>
    <n v="147"/>
    <n v="147"/>
    <n v="147"/>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11"/>
    <s v="9518692103-11"/>
    <s v="No Priority"/>
    <x v="0"/>
    <m/>
    <x v="3"/>
    <x v="9"/>
    <x v="0"/>
    <m/>
    <x v="0"/>
    <m/>
    <m/>
    <m/>
    <s v="East"/>
    <s v="WEST BOKARO"/>
    <x v="2"/>
    <x v="12"/>
    <x v="12"/>
    <x v="62"/>
    <s v="GP COIL SOFT-TATXGP-GK09-0.6X900"/>
    <s v="Z80"/>
    <s v=""/>
    <n v="4"/>
    <n v="12"/>
    <m/>
    <x v="7"/>
    <x v="5"/>
    <s v="GK09"/>
    <x v="20"/>
    <x v="3"/>
    <x v="0"/>
    <n v="147"/>
    <n v="0"/>
    <n v="147"/>
    <n v="147"/>
    <n v="147"/>
    <n v="147"/>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12"/>
    <s v="9518692103-12"/>
    <s v="No Priority"/>
    <x v="0"/>
    <m/>
    <x v="3"/>
    <x v="9"/>
    <x v="0"/>
    <m/>
    <x v="0"/>
    <m/>
    <m/>
    <m/>
    <s v="East"/>
    <s v="WEST BOKARO"/>
    <x v="2"/>
    <x v="12"/>
    <x v="12"/>
    <x v="65"/>
    <s v="GP COIL SOFT-TATXGP-GK09-0.63X900"/>
    <s v="Z80"/>
    <s v=""/>
    <n v="4"/>
    <n v="12"/>
    <m/>
    <x v="7"/>
    <x v="5"/>
    <s v="GK09"/>
    <x v="26"/>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220"/>
    <n v="10"/>
    <s v="9518692220-10"/>
    <s v="No Priority"/>
    <x v="0"/>
    <m/>
    <x v="3"/>
    <x v="9"/>
    <x v="0"/>
    <m/>
    <x v="0"/>
    <m/>
    <m/>
    <m/>
    <s v="East"/>
    <s v=" "/>
    <x v="2"/>
    <x v="10"/>
    <x v="10"/>
    <x v="62"/>
    <s v="GP COIL SOFT-TATXGP-GK09-0.6X900"/>
    <s v="Z80"/>
    <s v=""/>
    <n v="4"/>
    <n v="12"/>
    <m/>
    <x v="7"/>
    <x v="5"/>
    <s v="GK09"/>
    <x v="20"/>
    <x v="3"/>
    <x v="0"/>
    <n v="126"/>
    <n v="0"/>
    <n v="126"/>
    <n v="126"/>
    <n v="126"/>
    <n v="126"/>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220"/>
    <n v="11"/>
    <s v="9518692220-11"/>
    <s v="No Priority"/>
    <x v="0"/>
    <m/>
    <x v="3"/>
    <x v="9"/>
    <x v="0"/>
    <m/>
    <x v="0"/>
    <m/>
    <m/>
    <m/>
    <s v="East"/>
    <s v=" "/>
    <x v="2"/>
    <x v="10"/>
    <x v="10"/>
    <x v="62"/>
    <s v="GP COIL SOFT-TATXGP-GK09-0.6X900"/>
    <s v="Z80"/>
    <s v=""/>
    <n v="4"/>
    <n v="12"/>
    <m/>
    <x v="7"/>
    <x v="5"/>
    <s v="GK09"/>
    <x v="20"/>
    <x v="3"/>
    <x v="0"/>
    <n v="126"/>
    <n v="0"/>
    <n v="126"/>
    <n v="126"/>
    <n v="126"/>
    <n v="126"/>
    <n v="0"/>
    <n v="0"/>
    <n v="0"/>
    <n v="0"/>
    <n v="0"/>
    <n v="0"/>
    <n v="0"/>
    <n v="0"/>
    <n v="0"/>
    <n v="0"/>
    <n v="0"/>
    <n v="0"/>
    <n v="0"/>
    <n v="0"/>
    <n v="0"/>
    <n v="0"/>
    <n v="0"/>
    <n v="0"/>
    <n v="0"/>
    <n v="0"/>
    <n v="0"/>
    <n v="0"/>
    <n v="0"/>
    <m/>
    <n v="0"/>
    <n v="0"/>
    <n v="0"/>
    <n v="0"/>
    <n v="0"/>
    <n v="0"/>
    <n v="0"/>
    <n v="0"/>
    <n v="0"/>
    <n v="0"/>
    <n v="0"/>
    <n v="0"/>
    <n v="0"/>
    <n v="0"/>
    <m/>
    <m/>
    <m/>
    <m/>
    <m/>
    <m/>
    <m/>
    <m/>
    <m/>
    <m/>
    <m/>
    <m/>
    <m/>
    <m/>
    <m/>
    <m/>
    <m/>
    <m/>
    <m/>
    <m/>
    <m/>
    <m/>
    <m/>
    <m/>
    <m/>
    <m/>
    <m/>
    <m/>
    <m/>
    <m/>
    <m/>
    <m/>
    <m/>
    <m/>
  </r>
  <r>
    <n v="743"/>
    <d v="2025-04-15T00:00:00"/>
    <x v="0"/>
    <n v="9518694054"/>
    <n v="5"/>
    <s v="9518694054-5"/>
    <s v="No Priority"/>
    <x v="0"/>
    <m/>
    <x v="3"/>
    <x v="9"/>
    <x v="0"/>
    <m/>
    <x v="0"/>
    <m/>
    <m/>
    <m/>
    <s v="East"/>
    <s v="PATNA"/>
    <x v="2"/>
    <x v="31"/>
    <x v="31"/>
    <x v="62"/>
    <s v="GP COIL SOFT-TATXGP-GK09-0.6X900"/>
    <s v="Z80"/>
    <s v=""/>
    <n v="2"/>
    <n v="6"/>
    <m/>
    <x v="7"/>
    <x v="5"/>
    <s v="GK09"/>
    <x v="20"/>
    <x v="3"/>
    <x v="0"/>
    <n v="294"/>
    <n v="0"/>
    <n v="294"/>
    <n v="294"/>
    <n v="293.3"/>
    <n v="294"/>
    <n v="0"/>
    <n v="0"/>
    <n v="0"/>
    <n v="0"/>
    <n v="0.70000000000000007"/>
    <n v="0"/>
    <n v="0"/>
    <n v="0"/>
    <n v="0"/>
    <n v="0"/>
    <n v="0"/>
    <n v="0"/>
    <n v="0"/>
    <n v="0"/>
    <n v="0"/>
    <n v="0"/>
    <n v="0"/>
    <n v="0"/>
    <n v="0"/>
    <n v="0.70000000000000007"/>
    <n v="0.70000000000000007"/>
    <n v="0"/>
    <n v="0.70000000000000007"/>
    <m/>
    <n v="0"/>
    <n v="0"/>
    <n v="0"/>
    <n v="0"/>
    <n v="0"/>
    <n v="0"/>
    <n v="0"/>
    <n v="0"/>
    <n v="0"/>
    <n v="0"/>
    <n v="0"/>
    <n v="0"/>
    <n v="0"/>
    <n v="0"/>
    <m/>
    <m/>
    <m/>
    <m/>
    <m/>
    <m/>
    <m/>
    <m/>
    <m/>
    <m/>
    <m/>
    <m/>
    <m/>
    <m/>
    <m/>
    <m/>
    <m/>
    <m/>
    <m/>
    <m/>
    <m/>
    <m/>
    <m/>
    <m/>
    <m/>
    <m/>
    <m/>
    <m/>
    <m/>
    <m/>
    <m/>
    <m/>
    <m/>
    <m/>
  </r>
  <r>
    <n v="744"/>
    <d v="2025-04-15T00:00:00"/>
    <x v="0"/>
    <n v="9518693944"/>
    <n v="2"/>
    <s v="9518693944-2"/>
    <s v="May'25"/>
    <x v="0"/>
    <m/>
    <x v="2"/>
    <x v="3"/>
    <x v="2"/>
    <m/>
    <x v="1"/>
    <m/>
    <m/>
    <m/>
    <s v="TBSPL"/>
    <s v=" "/>
    <x v="2"/>
    <x v="6"/>
    <x v="6"/>
    <x v="84"/>
    <s v="PPGL C HARD Y550PL D0C9 0.50(TPT)X1220"/>
    <s v="AZ150"/>
    <s v="BRICK RED TSL 1803"/>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4"/>
    <d v="2025-04-08T00:00:00"/>
    <x v="0"/>
    <n v="9518676905"/>
    <n v="2"/>
    <s v="9518676905-2"/>
    <s v="May'25"/>
    <x v="0"/>
    <m/>
    <x v="2"/>
    <x v="3"/>
    <x v="2"/>
    <m/>
    <x v="1"/>
    <m/>
    <m/>
    <m/>
    <s v="TBSPL"/>
    <s v=" "/>
    <x v="2"/>
    <x v="6"/>
    <x v="6"/>
    <x v="84"/>
    <s v="PPGL C HARD Y550PL D0C9 0.50(TPT)X1220"/>
    <s v="AZ150"/>
    <s v="RAL 6011 TSL 1810"/>
    <n v="3"/>
    <n v="5"/>
    <m/>
    <x v="3"/>
    <x v="3"/>
    <s v="D0C9"/>
    <x v="1"/>
    <x v="1"/>
    <x v="0"/>
    <n v="56"/>
    <n v="0"/>
    <n v="56"/>
    <n v="56"/>
    <n v="56"/>
    <n v="56"/>
    <n v="0"/>
    <n v="0"/>
    <n v="0"/>
    <n v="0"/>
    <n v="0"/>
    <n v="0"/>
    <n v="0"/>
    <n v="0"/>
    <n v="0"/>
    <n v="0"/>
    <n v="0"/>
    <n v="0"/>
    <n v="0"/>
    <n v="0"/>
    <n v="0"/>
    <n v="0"/>
    <n v="0"/>
    <n v="0"/>
    <n v="0"/>
    <n v="0"/>
    <n v="0"/>
    <n v="0"/>
    <n v="0"/>
    <m/>
    <n v="0"/>
    <n v="56"/>
    <n v="0"/>
    <n v="0"/>
    <n v="0"/>
    <n v="56"/>
    <n v="0"/>
    <n v="56"/>
    <n v="0"/>
    <n v="0"/>
    <n v="0"/>
    <n v="56"/>
    <n v="0"/>
    <n v="0"/>
    <m/>
    <m/>
    <m/>
    <m/>
    <m/>
    <m/>
    <m/>
    <m/>
    <m/>
    <m/>
    <m/>
    <m/>
    <m/>
    <m/>
    <m/>
    <m/>
    <m/>
    <m/>
    <m/>
    <m/>
    <m/>
    <m/>
    <m/>
    <m/>
    <m/>
    <m/>
    <m/>
    <m/>
    <m/>
    <m/>
    <m/>
    <m/>
    <m/>
    <m/>
  </r>
  <r>
    <n v="744"/>
    <d v="2025-04-08T00:00:00"/>
    <x v="0"/>
    <n v="9518676905"/>
    <n v="3"/>
    <s v="9518676905-3"/>
    <s v="May'25"/>
    <x v="0"/>
    <m/>
    <x v="2"/>
    <x v="3"/>
    <x v="2"/>
    <m/>
    <x v="1"/>
    <m/>
    <m/>
    <m/>
    <s v="TBSPL"/>
    <s v=" "/>
    <x v="2"/>
    <x v="6"/>
    <x v="6"/>
    <x v="84"/>
    <s v="PPGL C HARD Y550PL D0C9 0.50(TPT)X1220"/>
    <s v="AZ150"/>
    <s v="RAL 5018 TSL 1809"/>
    <n v="3"/>
    <n v="5"/>
    <m/>
    <x v="3"/>
    <x v="3"/>
    <s v="D0C9"/>
    <x v="1"/>
    <x v="1"/>
    <x v="0"/>
    <n v="84"/>
    <n v="0"/>
    <n v="84"/>
    <n v="84"/>
    <n v="84"/>
    <n v="84"/>
    <n v="0"/>
    <n v="0"/>
    <n v="0"/>
    <n v="0"/>
    <n v="0"/>
    <n v="0"/>
    <n v="0"/>
    <n v="0"/>
    <n v="0"/>
    <n v="0"/>
    <n v="0"/>
    <n v="0"/>
    <n v="0"/>
    <n v="0"/>
    <n v="0"/>
    <n v="0"/>
    <n v="0"/>
    <n v="0"/>
    <n v="0"/>
    <n v="0"/>
    <n v="0"/>
    <n v="0"/>
    <n v="0"/>
    <m/>
    <n v="0"/>
    <n v="84"/>
    <n v="0"/>
    <n v="0"/>
    <n v="0"/>
    <n v="84"/>
    <n v="0"/>
    <n v="84"/>
    <n v="0"/>
    <n v="0"/>
    <n v="0"/>
    <n v="84"/>
    <n v="0"/>
    <n v="0"/>
    <m/>
    <m/>
    <m/>
    <m/>
    <m/>
    <m/>
    <m/>
    <m/>
    <m/>
    <m/>
    <m/>
    <m/>
    <m/>
    <m/>
    <m/>
    <m/>
    <m/>
    <m/>
    <m/>
    <m/>
    <m/>
    <m/>
    <m/>
    <m/>
    <m/>
    <m/>
    <m/>
    <m/>
    <m/>
    <m/>
    <m/>
    <m/>
    <m/>
    <m/>
  </r>
  <r>
    <n v="744"/>
    <d v="2025-04-10T00:00:00"/>
    <x v="0"/>
    <n v="9518682471"/>
    <n v="1"/>
    <s v="9518682471-1"/>
    <s v="May'25"/>
    <x v="0"/>
    <m/>
    <x v="2"/>
    <x v="3"/>
    <x v="2"/>
    <m/>
    <x v="1"/>
    <m/>
    <m/>
    <m/>
    <s v="TBSPL"/>
    <s v=" "/>
    <x v="2"/>
    <x v="6"/>
    <x v="6"/>
    <x v="84"/>
    <s v="PPGL C HARD Y550PL D0C9 0.50(TPT)X1220"/>
    <s v="AZ150"/>
    <s v="RAL 9002 TSL 1801"/>
    <n v="3"/>
    <n v="5"/>
    <m/>
    <x v="3"/>
    <x v="3"/>
    <s v="D0C9"/>
    <x v="1"/>
    <x v="1"/>
    <x v="0"/>
    <n v="28"/>
    <n v="0"/>
    <n v="28"/>
    <n v="28"/>
    <n v="-0.57000000000000028"/>
    <n v="28"/>
    <n v="0"/>
    <n v="28.57"/>
    <n v="0"/>
    <n v="0"/>
    <n v="0"/>
    <n v="0"/>
    <n v="0"/>
    <n v="0"/>
    <n v="0"/>
    <n v="0"/>
    <n v="0"/>
    <n v="0"/>
    <n v="0"/>
    <n v="0"/>
    <n v="0"/>
    <n v="0"/>
    <n v="0"/>
    <n v="0"/>
    <n v="0"/>
    <n v="28.57"/>
    <n v="28.57"/>
    <n v="0"/>
    <n v="28.57"/>
    <m/>
    <n v="0"/>
    <n v="28"/>
    <n v="28"/>
    <n v="0"/>
    <n v="0"/>
    <n v="0"/>
    <n v="0"/>
    <n v="28"/>
    <n v="0"/>
    <n v="28"/>
    <n v="0"/>
    <n v="0"/>
    <n v="0"/>
    <n v="0"/>
    <m/>
    <m/>
    <m/>
    <m/>
    <m/>
    <m/>
    <m/>
    <m/>
    <m/>
    <m/>
    <m/>
    <m/>
    <m/>
    <m/>
    <m/>
    <m/>
    <m/>
    <m/>
    <m/>
    <m/>
    <m/>
    <m/>
    <m/>
    <m/>
    <m/>
    <m/>
    <m/>
    <m/>
    <m/>
    <m/>
    <m/>
    <m/>
    <m/>
    <m/>
  </r>
  <r>
    <n v="742"/>
    <d v="2025-04-02T00:00:00"/>
    <x v="0"/>
    <n v="9518665413"/>
    <n v="1"/>
    <s v="9518665413-1"/>
    <s v="May'25"/>
    <x v="0"/>
    <s v="Yes"/>
    <x v="1"/>
    <x v="1"/>
    <x v="0"/>
    <m/>
    <x v="1"/>
    <m/>
    <m/>
    <m/>
    <s v="East"/>
    <s v="GUWAHATI"/>
    <x v="2"/>
    <x v="25"/>
    <x v="24"/>
    <x v="237"/>
    <s v="CRSHEET TATXXD AU03 1.20X1250X2500"/>
    <s v=" "/>
    <s v=""/>
    <n v="2"/>
    <n v="3"/>
    <m/>
    <x v="2"/>
    <x v="2"/>
    <s v="AU03"/>
    <x v="19"/>
    <x v="0"/>
    <x v="3"/>
    <n v="24"/>
    <n v="0"/>
    <n v="24"/>
    <n v="24"/>
    <n v="24"/>
    <n v="24"/>
    <n v="0"/>
    <n v="0"/>
    <n v="0"/>
    <n v="0"/>
    <n v="0"/>
    <n v="0"/>
    <n v="0"/>
    <n v="0"/>
    <n v="0"/>
    <n v="0"/>
    <n v="0"/>
    <n v="0"/>
    <n v="0"/>
    <n v="0"/>
    <n v="0"/>
    <n v="0"/>
    <n v="0"/>
    <n v="0"/>
    <n v="0"/>
    <n v="0"/>
    <n v="0"/>
    <n v="0"/>
    <n v="0"/>
    <m/>
    <n v="0"/>
    <n v="24"/>
    <n v="0"/>
    <n v="0"/>
    <n v="24"/>
    <n v="0"/>
    <n v="0"/>
    <n v="24"/>
    <n v="0"/>
    <n v="0"/>
    <n v="24"/>
    <n v="0"/>
    <n v="0"/>
    <n v="0"/>
    <m/>
    <m/>
    <m/>
    <m/>
    <m/>
    <m/>
    <m/>
    <m/>
    <m/>
    <m/>
    <m/>
    <m/>
    <m/>
    <m/>
    <m/>
    <m/>
    <m/>
    <m/>
    <m/>
    <m/>
    <m/>
    <m/>
    <m/>
    <m/>
    <m/>
    <m/>
    <m/>
    <m/>
    <m/>
    <m/>
    <m/>
    <m/>
    <m/>
    <m/>
  </r>
  <r>
    <n v="744"/>
    <d v="2025-04-05T00:00:00"/>
    <x v="0"/>
    <n v="9518671384"/>
    <n v="2"/>
    <s v="9518671384-2"/>
    <s v="May'25"/>
    <x v="0"/>
    <m/>
    <x v="2"/>
    <x v="3"/>
    <x v="2"/>
    <m/>
    <x v="1"/>
    <m/>
    <m/>
    <m/>
    <s v="TBSPL"/>
    <s v="GAMHARIA"/>
    <x v="2"/>
    <x v="15"/>
    <x v="15"/>
    <x v="195"/>
    <s v="PPGL C HARD Y550PL D0C9 0.60(TPT)X1220"/>
    <s v="AZ150"/>
    <s v="RAL 5012 TSL 1802"/>
    <n v="3"/>
    <n v="5"/>
    <m/>
    <x v="3"/>
    <x v="3"/>
    <s v="D0C9"/>
    <x v="20"/>
    <x v="1"/>
    <x v="0"/>
    <n v="56"/>
    <n v="0"/>
    <n v="56"/>
    <n v="56"/>
    <n v="56"/>
    <n v="56"/>
    <n v="0"/>
    <n v="0"/>
    <n v="0"/>
    <n v="0"/>
    <n v="0"/>
    <n v="0"/>
    <n v="0"/>
    <n v="0"/>
    <n v="0"/>
    <n v="0"/>
    <n v="0"/>
    <n v="0"/>
    <n v="0"/>
    <n v="0"/>
    <n v="0"/>
    <n v="0"/>
    <n v="0"/>
    <n v="0"/>
    <n v="0"/>
    <n v="0"/>
    <n v="0"/>
    <n v="0"/>
    <n v="0"/>
    <m/>
    <n v="0"/>
    <n v="56"/>
    <n v="0"/>
    <n v="56"/>
    <n v="0"/>
    <n v="0"/>
    <n v="0"/>
    <n v="56"/>
    <n v="0"/>
    <n v="56"/>
    <n v="0"/>
    <n v="0"/>
    <n v="0"/>
    <n v="0"/>
    <m/>
    <m/>
    <m/>
    <m/>
    <m/>
    <m/>
    <m/>
    <m/>
    <m/>
    <m/>
    <m/>
    <m/>
    <m/>
    <m/>
    <m/>
    <m/>
    <m/>
    <m/>
    <m/>
    <m/>
    <m/>
    <m/>
    <m/>
    <m/>
    <m/>
    <m/>
    <m/>
    <m/>
    <m/>
    <m/>
    <m/>
    <m/>
    <m/>
    <m/>
  </r>
  <r>
    <n v="744"/>
    <d v="2025-04-05T00:00:00"/>
    <x v="0"/>
    <n v="9518671242"/>
    <n v="1"/>
    <s v="9518671242-1"/>
    <s v="May'25"/>
    <x v="0"/>
    <s v="Yes"/>
    <x v="2"/>
    <x v="3"/>
    <x v="2"/>
    <m/>
    <x v="1"/>
    <m/>
    <m/>
    <m/>
    <s v="TBSPL"/>
    <s v="GAMHARIA"/>
    <x v="2"/>
    <x v="15"/>
    <x v="15"/>
    <x v="192"/>
    <s v="PPGL C Y550 D0C7 0.43BMT(0.47TPT)X1220"/>
    <s v="aZ70"/>
    <s v="NG BRIGHT GREEN TSL 2211"/>
    <n v="3"/>
    <n v="5"/>
    <m/>
    <x v="3"/>
    <x v="3"/>
    <s v="D0C7"/>
    <x v="25"/>
    <x v="1"/>
    <x v="0"/>
    <n v="27.998999999999999"/>
    <n v="0"/>
    <n v="27.998999999999999"/>
    <n v="27.998999999999999"/>
    <n v="27.998999999999999"/>
    <n v="27.998999999999999"/>
    <n v="0"/>
    <n v="0"/>
    <n v="0"/>
    <n v="0"/>
    <n v="0"/>
    <n v="0"/>
    <n v="0"/>
    <n v="0"/>
    <n v="0"/>
    <n v="0"/>
    <n v="0"/>
    <n v="0"/>
    <n v="0"/>
    <n v="0"/>
    <n v="0"/>
    <n v="0"/>
    <n v="0"/>
    <n v="0"/>
    <n v="0"/>
    <n v="0"/>
    <n v="0"/>
    <n v="0"/>
    <n v="0"/>
    <m/>
    <n v="0"/>
    <n v="27.998999999999999"/>
    <n v="0"/>
    <n v="0"/>
    <n v="27.998999999999999"/>
    <n v="0"/>
    <n v="0"/>
    <n v="27.998999999999999"/>
    <n v="0"/>
    <n v="0"/>
    <n v="0"/>
    <n v="27.998999999999999"/>
    <n v="0"/>
    <n v="0"/>
    <m/>
    <m/>
    <m/>
    <m/>
    <m/>
    <m/>
    <m/>
    <m/>
    <m/>
    <m/>
    <m/>
    <m/>
    <m/>
    <m/>
    <m/>
    <m/>
    <m/>
    <m/>
    <m/>
    <m/>
    <m/>
    <m/>
    <m/>
    <m/>
    <m/>
    <m/>
    <m/>
    <m/>
    <m/>
    <m/>
    <m/>
    <m/>
    <m/>
    <m/>
  </r>
  <r>
    <n v="744"/>
    <d v="2025-04-05T00:00:00"/>
    <x v="0"/>
    <n v="9518671209"/>
    <n v="1"/>
    <s v="9518671209-1"/>
    <s v="May'25"/>
    <x v="0"/>
    <s v="Yes"/>
    <x v="2"/>
    <x v="3"/>
    <x v="2"/>
    <m/>
    <x v="1"/>
    <m/>
    <m/>
    <m/>
    <s v="TBSPL"/>
    <s v="GAMHARIA"/>
    <x v="2"/>
    <x v="15"/>
    <x v="15"/>
    <x v="192"/>
    <s v="PPGL C Y550 D0C7 0.43BMT(0.47TPT)X1220"/>
    <s v="aZ70"/>
    <s v="NG BRIGHT GREEN TSL 2211"/>
    <n v="3"/>
    <n v="5"/>
    <m/>
    <x v="3"/>
    <x v="3"/>
    <s v="D0C7"/>
    <x v="25"/>
    <x v="1"/>
    <x v="0"/>
    <n v="55.999000000000002"/>
    <n v="0"/>
    <n v="55.999000000000002"/>
    <n v="55.999000000000002"/>
    <n v="55.999000000000002"/>
    <n v="55.999000000000002"/>
    <n v="0"/>
    <n v="0"/>
    <n v="0"/>
    <n v="0"/>
    <n v="0"/>
    <n v="0"/>
    <n v="0"/>
    <n v="0"/>
    <n v="0"/>
    <n v="0"/>
    <n v="0"/>
    <n v="0"/>
    <n v="0"/>
    <n v="0"/>
    <n v="0"/>
    <n v="0"/>
    <n v="0"/>
    <n v="0"/>
    <n v="0"/>
    <n v="0"/>
    <n v="0"/>
    <n v="0"/>
    <n v="0"/>
    <m/>
    <n v="0"/>
    <n v="55.999000000000002"/>
    <n v="0"/>
    <n v="0"/>
    <n v="55.999000000000002"/>
    <n v="0"/>
    <n v="0"/>
    <n v="55.999000000000002"/>
    <n v="0"/>
    <n v="0"/>
    <n v="0"/>
    <n v="55.999000000000002"/>
    <n v="0"/>
    <n v="0"/>
    <m/>
    <m/>
    <m/>
    <m/>
    <m/>
    <m/>
    <m/>
    <m/>
    <m/>
    <m/>
    <m/>
    <m/>
    <m/>
    <m/>
    <m/>
    <m/>
    <m/>
    <m/>
    <m/>
    <m/>
    <m/>
    <m/>
    <m/>
    <m/>
    <m/>
    <m/>
    <m/>
    <m/>
    <m/>
    <m/>
    <m/>
    <m/>
    <m/>
    <m/>
  </r>
  <r>
    <n v="743"/>
    <d v="2025-04-02T00:00:00"/>
    <x v="0"/>
    <n v="9518664230"/>
    <n v="1"/>
    <s v="9518664230-1"/>
    <s v="May'25"/>
    <x v="0"/>
    <m/>
    <x v="3"/>
    <x v="9"/>
    <x v="0"/>
    <m/>
    <x v="1"/>
    <m/>
    <m/>
    <m/>
    <s v="East"/>
    <s v="URLA"/>
    <x v="2"/>
    <x v="92"/>
    <x v="89"/>
    <x v="51"/>
    <s v="GP COIL SOFT-TATXGP-GK09-0.3X900"/>
    <s v="Z80"/>
    <s v=""/>
    <n v="3"/>
    <n v="5"/>
    <m/>
    <x v="7"/>
    <x v="5"/>
    <s v="GK09"/>
    <x v="11"/>
    <x v="3"/>
    <x v="0"/>
    <n v="21"/>
    <n v="0"/>
    <n v="21"/>
    <n v="21"/>
    <n v="21"/>
    <n v="21"/>
    <n v="0"/>
    <n v="0"/>
    <n v="0"/>
    <n v="0"/>
    <n v="0"/>
    <n v="0"/>
    <n v="0"/>
    <n v="0"/>
    <n v="0"/>
    <n v="0"/>
    <n v="0"/>
    <n v="0"/>
    <n v="0"/>
    <n v="0"/>
    <n v="0"/>
    <n v="0"/>
    <n v="0"/>
    <n v="0"/>
    <n v="0"/>
    <n v="0"/>
    <n v="0"/>
    <n v="0"/>
    <n v="0"/>
    <m/>
    <n v="0"/>
    <n v="21"/>
    <n v="0"/>
    <n v="0"/>
    <n v="0"/>
    <n v="21"/>
    <n v="0"/>
    <n v="21"/>
    <n v="0"/>
    <n v="0"/>
    <n v="0"/>
    <n v="0"/>
    <n v="21"/>
    <n v="0"/>
    <m/>
    <m/>
    <m/>
    <m/>
    <m/>
    <m/>
    <m/>
    <m/>
    <m/>
    <m/>
    <m/>
    <m/>
    <m/>
    <m/>
    <m/>
    <m/>
    <m/>
    <m/>
    <m/>
    <m/>
    <m/>
    <m/>
    <m/>
    <m/>
    <m/>
    <m/>
    <m/>
    <m/>
    <m/>
    <m/>
    <m/>
    <m/>
    <m/>
    <m/>
  </r>
  <r>
    <n v="742"/>
    <d v="2025-04-10T00:00:00"/>
    <x v="0"/>
    <n v="9518683208"/>
    <n v="3"/>
    <s v="9518683208-3"/>
    <s v="No Priority"/>
    <x v="0"/>
    <m/>
    <x v="1"/>
    <x v="1"/>
    <x v="0"/>
    <m/>
    <x v="0"/>
    <m/>
    <m/>
    <m/>
    <s v="South"/>
    <s v="VISHAKHAPATNAM"/>
    <x v="2"/>
    <x v="8"/>
    <x v="8"/>
    <x v="228"/>
    <s v="CRCA COIL-TATXXD-AU03-1X1250"/>
    <s v=" "/>
    <s v=""/>
    <n v="8"/>
    <n v="29"/>
    <m/>
    <x v="1"/>
    <x v="2"/>
    <s v="AU03"/>
    <x v="17"/>
    <x v="0"/>
    <x v="0"/>
    <n v="29"/>
    <n v="0"/>
    <n v="29"/>
    <n v="4.5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8"/>
    <n v="4"/>
    <s v="9518683208-4"/>
    <s v="No Priority"/>
    <x v="0"/>
    <m/>
    <x v="1"/>
    <x v="1"/>
    <x v="0"/>
    <m/>
    <x v="0"/>
    <m/>
    <m/>
    <m/>
    <s v="South"/>
    <s v="VISHAKHAPATNAM"/>
    <x v="2"/>
    <x v="8"/>
    <x v="8"/>
    <x v="95"/>
    <s v="CRCA COIL-TATXXD-AU03-1.2X1250"/>
    <s v=" "/>
    <s v=""/>
    <n v="8"/>
    <n v="29"/>
    <m/>
    <x v="1"/>
    <x v="2"/>
    <s v="AU03"/>
    <x v="19"/>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8"/>
    <n v="5"/>
    <s v="9518683208-5"/>
    <s v="No Priority"/>
    <x v="0"/>
    <m/>
    <x v="1"/>
    <x v="1"/>
    <x v="0"/>
    <m/>
    <x v="0"/>
    <m/>
    <m/>
    <m/>
    <s v="South"/>
    <s v="VISHAKHAPATNAM"/>
    <x v="2"/>
    <x v="8"/>
    <x v="8"/>
    <x v="69"/>
    <s v="CRCA COIL TATXXD AU03 1.500X1250"/>
    <s v=" "/>
    <s v=""/>
    <n v="8"/>
    <n v="29"/>
    <m/>
    <x v="1"/>
    <x v="2"/>
    <s v="AU03"/>
    <x v="27"/>
    <x v="0"/>
    <x v="0"/>
    <n v="29"/>
    <n v="0"/>
    <n v="29"/>
    <n v="0.84"/>
    <n v="0"/>
    <n v="3.6949999999999998"/>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8"/>
    <n v="7"/>
    <s v="9518683208-7"/>
    <s v="No Priority"/>
    <x v="0"/>
    <m/>
    <x v="1"/>
    <x v="1"/>
    <x v="0"/>
    <m/>
    <x v="0"/>
    <m/>
    <m/>
    <m/>
    <s v="South"/>
    <s v="VISHAKHAPATNAM"/>
    <x v="2"/>
    <x v="8"/>
    <x v="8"/>
    <x v="116"/>
    <s v="CRCA COIL-TATXXD-AU03-2X1250"/>
    <s v=" "/>
    <s v=""/>
    <n v="8"/>
    <n v="29"/>
    <m/>
    <x v="1"/>
    <x v="2"/>
    <s v="AU03"/>
    <x v="1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8"/>
    <n v="8"/>
    <s v="9518683208-8"/>
    <s v="No Priority"/>
    <x v="0"/>
    <m/>
    <x v="1"/>
    <x v="1"/>
    <x v="0"/>
    <m/>
    <x v="0"/>
    <m/>
    <m/>
    <m/>
    <s v="South"/>
    <s v="VISHAKHAPATNAM"/>
    <x v="2"/>
    <x v="8"/>
    <x v="8"/>
    <x v="115"/>
    <s v="CRCA COIL TATXXD AU03 2.5X1250"/>
    <s v=" "/>
    <s v=""/>
    <n v="8"/>
    <n v="29"/>
    <m/>
    <x v="1"/>
    <x v="2"/>
    <s v="AU03"/>
    <x v="38"/>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4"/>
    <s v="9518620674-4"/>
    <s v="No Priority"/>
    <x v="0"/>
    <m/>
    <x v="1"/>
    <x v="1"/>
    <x v="0"/>
    <m/>
    <x v="0"/>
    <m/>
    <m/>
    <m/>
    <s v="South"/>
    <s v="CHENNAI"/>
    <x v="2"/>
    <x v="4"/>
    <x v="4"/>
    <x v="298"/>
    <s v="CRCA COIL TATCRC TR15 0.400X900"/>
    <s v=" "/>
    <s v=""/>
    <n v="6"/>
    <n v="18"/>
    <m/>
    <x v="1"/>
    <x v="1"/>
    <s v="TR15"/>
    <x v="2"/>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5"/>
    <s v="9518620674-5"/>
    <s v="No Priority"/>
    <x v="0"/>
    <m/>
    <x v="1"/>
    <x v="1"/>
    <x v="0"/>
    <m/>
    <x v="0"/>
    <m/>
    <m/>
    <m/>
    <s v="South"/>
    <s v="CHENNAI"/>
    <x v="2"/>
    <x v="4"/>
    <x v="4"/>
    <x v="294"/>
    <s v="CRCA COIL-TATCRC-TR15-0.4X1000"/>
    <s v=" "/>
    <s v=""/>
    <n v="6"/>
    <n v="18"/>
    <m/>
    <x v="1"/>
    <x v="1"/>
    <s v="TR15"/>
    <x v="2"/>
    <x v="2"/>
    <x v="0"/>
    <n v="69"/>
    <n v="0"/>
    <n v="69"/>
    <n v="69"/>
    <n v="69"/>
    <n v="69"/>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595"/>
    <n v="3"/>
    <s v="9518692595-3"/>
    <s v="No Priority"/>
    <x v="0"/>
    <m/>
    <x v="3"/>
    <x v="0"/>
    <x v="0"/>
    <m/>
    <x v="0"/>
    <m/>
    <m/>
    <m/>
    <s v="East"/>
    <s v="TATANAGAR"/>
    <x v="2"/>
    <x v="5"/>
    <x v="5"/>
    <x v="105"/>
    <s v="GP COIL SOFT-TSBXGP-N1GP-0.4X900"/>
    <s v="Z80"/>
    <s v=""/>
    <n v="4"/>
    <n v="12"/>
    <m/>
    <x v="7"/>
    <x v="13"/>
    <s v="N1GP"/>
    <x v="2"/>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595"/>
    <n v="4"/>
    <s v="9518692595-4"/>
    <s v="No Priority"/>
    <x v="0"/>
    <m/>
    <x v="3"/>
    <x v="0"/>
    <x v="0"/>
    <m/>
    <x v="0"/>
    <m/>
    <m/>
    <m/>
    <s v="East"/>
    <s v="TATANAGAR"/>
    <x v="2"/>
    <x v="5"/>
    <x v="5"/>
    <x v="73"/>
    <s v="GP COIL SOFT-TSBXGP-N1GP-0.5X900"/>
    <s v="Z80"/>
    <s v=""/>
    <n v="4"/>
    <n v="12"/>
    <m/>
    <x v="7"/>
    <x v="13"/>
    <s v="N1GP"/>
    <x v="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595"/>
    <n v="5"/>
    <s v="9518692595-5"/>
    <s v="No Priority"/>
    <x v="0"/>
    <m/>
    <x v="3"/>
    <x v="0"/>
    <x v="0"/>
    <m/>
    <x v="0"/>
    <m/>
    <m/>
    <m/>
    <s v="East"/>
    <s v="TATANAGAR"/>
    <x v="2"/>
    <x v="5"/>
    <x v="5"/>
    <x v="260"/>
    <s v="GP COIL SOFT-TSBXGP-N1GP-0.6X900"/>
    <s v="Z80"/>
    <s v=""/>
    <n v="4"/>
    <n v="12"/>
    <m/>
    <x v="7"/>
    <x v="13"/>
    <s v="N1GP"/>
    <x v="2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595"/>
    <n v="6"/>
    <s v="9518692595-6"/>
    <s v="No Priority"/>
    <x v="0"/>
    <m/>
    <x v="3"/>
    <x v="0"/>
    <x v="0"/>
    <m/>
    <x v="0"/>
    <m/>
    <m/>
    <m/>
    <s v="East"/>
    <s v="TATANAGAR"/>
    <x v="2"/>
    <x v="5"/>
    <x v="5"/>
    <x v="257"/>
    <s v="GP COIL SOFT-TSBXGP-T1GP-0.6X1250"/>
    <s v="Z80"/>
    <s v=""/>
    <n v="4"/>
    <n v="12"/>
    <m/>
    <x v="7"/>
    <x v="13"/>
    <s v="T1GP"/>
    <x v="20"/>
    <x v="0"/>
    <x v="0"/>
    <n v="29"/>
    <n v="0"/>
    <n v="29"/>
    <n v="29"/>
    <n v="0"/>
    <n v="29"/>
    <n v="0"/>
    <n v="0"/>
    <n v="0"/>
    <n v="0"/>
    <n v="0"/>
    <n v="0"/>
    <n v="0"/>
    <n v="0"/>
    <n v="0"/>
    <n v="0"/>
    <n v="0"/>
    <n v="0"/>
    <n v="0"/>
    <n v="0"/>
    <n v="0"/>
    <n v="0"/>
    <n v="0"/>
    <n v="0"/>
    <n v="0"/>
    <n v="0"/>
    <n v="0"/>
    <n v="29"/>
    <n v="29"/>
    <m/>
    <n v="0"/>
    <n v="0"/>
    <n v="0"/>
    <n v="0"/>
    <n v="0"/>
    <n v="0"/>
    <n v="0"/>
    <n v="0"/>
    <n v="0"/>
    <n v="0"/>
    <n v="0"/>
    <n v="0"/>
    <n v="0"/>
    <n v="0"/>
    <m/>
    <m/>
    <m/>
    <m/>
    <m/>
    <m/>
    <m/>
    <m/>
    <m/>
    <m/>
    <m/>
    <m/>
    <m/>
    <m/>
    <m/>
    <m/>
    <m/>
    <m/>
    <m/>
    <m/>
    <m/>
    <m/>
    <m/>
    <m/>
    <m/>
    <m/>
    <m/>
    <m/>
    <m/>
    <m/>
    <m/>
    <m/>
    <m/>
    <m/>
  </r>
  <r>
    <n v="744"/>
    <d v="2025-03-13T00:00:00"/>
    <x v="0"/>
    <n v="9518599122"/>
    <n v="1"/>
    <s v="9518599122-1"/>
    <s v="May'25"/>
    <x v="0"/>
    <m/>
    <x v="2"/>
    <x v="3"/>
    <x v="2"/>
    <m/>
    <x v="1"/>
    <m/>
    <m/>
    <m/>
    <s v="TBSPL"/>
    <s v=" "/>
    <x v="2"/>
    <x v="6"/>
    <x v="6"/>
    <x v="84"/>
    <s v="PPGL C HARD Y550PL D0C9 0.50(TPT)X1220"/>
    <s v="AZ150"/>
    <s v="RAL 7015 TSL 1805"/>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2"/>
    <d v="2025-03-11T00:00:00"/>
    <x v="0"/>
    <n v="9518591774"/>
    <n v="2"/>
    <s v="9518591774-2"/>
    <s v="No Priority"/>
    <x v="0"/>
    <m/>
    <x v="1"/>
    <x v="1"/>
    <x v="0"/>
    <m/>
    <x v="0"/>
    <m/>
    <m/>
    <m/>
    <s v="North"/>
    <s v="ZOSOLA"/>
    <x v="2"/>
    <x v="56"/>
    <x v="52"/>
    <x v="2"/>
    <s v="CRSHEET-ICF  DQ TATXXD AU03 0.40 X 1250"/>
    <s v=" "/>
    <s v=""/>
    <n v="10"/>
    <n v="30"/>
    <m/>
    <x v="1"/>
    <x v="2"/>
    <s v="AU03"/>
    <x v="2"/>
    <x v="0"/>
    <x v="0"/>
    <n v="87"/>
    <n v="0"/>
    <n v="87"/>
    <n v="87"/>
    <n v="87"/>
    <n v="87"/>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1774"/>
    <n v="13"/>
    <s v="9518591774-13"/>
    <s v="No Priority"/>
    <x v="0"/>
    <m/>
    <x v="1"/>
    <x v="1"/>
    <x v="0"/>
    <m/>
    <x v="0"/>
    <m/>
    <m/>
    <m/>
    <s v="North"/>
    <s v="ZOSOLA"/>
    <x v="2"/>
    <x v="56"/>
    <x v="52"/>
    <x v="228"/>
    <s v="CRCA COIL-TATXXD-AU03-1X1250"/>
    <s v=" "/>
    <s v=""/>
    <n v="10"/>
    <n v="30"/>
    <m/>
    <x v="1"/>
    <x v="2"/>
    <s v="AU03"/>
    <x v="17"/>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1774"/>
    <n v="19"/>
    <s v="9518591774-19"/>
    <s v="May'25"/>
    <x v="0"/>
    <m/>
    <x v="1"/>
    <x v="1"/>
    <x v="0"/>
    <m/>
    <x v="1"/>
    <m/>
    <m/>
    <m/>
    <s v="North"/>
    <s v="ZOSOLA"/>
    <x v="2"/>
    <x v="56"/>
    <x v="52"/>
    <x v="125"/>
    <s v="CRCA COIL TATXXD AU03 1.800X1250"/>
    <s v=" "/>
    <s v=""/>
    <n v="10"/>
    <n v="30"/>
    <m/>
    <x v="1"/>
    <x v="2"/>
    <s v="AU03"/>
    <x v="41"/>
    <x v="0"/>
    <x v="0"/>
    <n v="29"/>
    <n v="0"/>
    <n v="29"/>
    <n v="29"/>
    <n v="8.36"/>
    <n v="29"/>
    <n v="0"/>
    <n v="0"/>
    <n v="0"/>
    <n v="0"/>
    <n v="0"/>
    <n v="0"/>
    <n v="0"/>
    <n v="0"/>
    <n v="0"/>
    <n v="0"/>
    <n v="0"/>
    <n v="0"/>
    <n v="0"/>
    <n v="20.64"/>
    <n v="0"/>
    <n v="0"/>
    <n v="0"/>
    <n v="0"/>
    <n v="0"/>
    <n v="20.64"/>
    <n v="20.64"/>
    <n v="0"/>
    <n v="20.64"/>
    <m/>
    <n v="0"/>
    <n v="29"/>
    <n v="29"/>
    <n v="0"/>
    <n v="0"/>
    <n v="0"/>
    <n v="0"/>
    <n v="29"/>
    <n v="0"/>
    <n v="29"/>
    <n v="0"/>
    <n v="0"/>
    <n v="0"/>
    <n v="0"/>
    <m/>
    <m/>
    <m/>
    <m/>
    <m/>
    <m/>
    <m/>
    <m/>
    <m/>
    <m/>
    <m/>
    <m/>
    <m/>
    <m/>
    <m/>
    <m/>
    <m/>
    <m/>
    <m/>
    <m/>
    <m/>
    <m/>
    <m/>
    <m/>
    <m/>
    <m/>
    <m/>
    <m/>
    <m/>
    <m/>
    <m/>
    <m/>
    <m/>
    <m/>
  </r>
  <r>
    <n v="742"/>
    <d v="2025-03-25T00:00:00"/>
    <x v="0"/>
    <n v="9518633792"/>
    <n v="1"/>
    <s v="9518633792-1"/>
    <s v="May'25"/>
    <x v="0"/>
    <s v="Yes"/>
    <x v="1"/>
    <x v="1"/>
    <x v="0"/>
    <m/>
    <x v="1"/>
    <m/>
    <m/>
    <m/>
    <s v="South"/>
    <s v="YESHWANTHPURA"/>
    <x v="2"/>
    <x v="40"/>
    <x v="0"/>
    <x v="254"/>
    <s v="CRCA COIL-TATXXD-AU03-0.5X1250"/>
    <s v=" "/>
    <s v=""/>
    <n v="2"/>
    <n v="30"/>
    <m/>
    <x v="1"/>
    <x v="2"/>
    <s v="AU03"/>
    <x v="1"/>
    <x v="0"/>
    <x v="0"/>
    <n v="203"/>
    <n v="0"/>
    <n v="203"/>
    <n v="203"/>
    <n v="35.050000000000011"/>
    <n v="166.21"/>
    <n v="0"/>
    <n v="0"/>
    <n v="0"/>
    <n v="0"/>
    <n v="0"/>
    <n v="0"/>
    <n v="0"/>
    <n v="0"/>
    <n v="0"/>
    <n v="0"/>
    <n v="0"/>
    <n v="0"/>
    <n v="20.88"/>
    <n v="135.09"/>
    <n v="0"/>
    <n v="11.98"/>
    <n v="0"/>
    <n v="0"/>
    <n v="0"/>
    <n v="167.95"/>
    <n v="167.95"/>
    <n v="0"/>
    <n v="167.95"/>
    <m/>
    <n v="36.79"/>
    <n v="166.21"/>
    <n v="0"/>
    <n v="166.21"/>
    <n v="0"/>
    <n v="0"/>
    <n v="0"/>
    <n v="203"/>
    <n v="0"/>
    <n v="0"/>
    <n v="203"/>
    <n v="0"/>
    <n v="0"/>
    <n v="0"/>
    <m/>
    <m/>
    <m/>
    <m/>
    <m/>
    <m/>
    <m/>
    <m/>
    <m/>
    <m/>
    <m/>
    <m/>
    <m/>
    <m/>
    <m/>
    <m/>
    <m/>
    <m/>
    <m/>
    <m/>
    <m/>
    <m/>
    <m/>
    <m/>
    <m/>
    <m/>
    <m/>
    <m/>
    <m/>
    <m/>
    <m/>
    <m/>
    <m/>
    <m/>
  </r>
  <r>
    <n v="742"/>
    <d v="2025-03-11T00:00:00"/>
    <x v="0"/>
    <n v="9518591869"/>
    <n v="14"/>
    <s v="9518591869-14"/>
    <s v="No Priority"/>
    <x v="0"/>
    <m/>
    <x v="1"/>
    <x v="1"/>
    <x v="0"/>
    <m/>
    <x v="0"/>
    <m/>
    <m/>
    <m/>
    <s v="North"/>
    <s v="FARIDABAD"/>
    <x v="2"/>
    <x v="56"/>
    <x v="52"/>
    <x v="309"/>
    <s v="CRCA COIL TATXXD AU03 1.900X1250"/>
    <s v=" "/>
    <s v=""/>
    <n v="10"/>
    <n v="30"/>
    <m/>
    <x v="1"/>
    <x v="2"/>
    <s v="AU03"/>
    <x v="55"/>
    <x v="0"/>
    <x v="0"/>
    <n v="29"/>
    <n v="0"/>
    <n v="29"/>
    <n v="29"/>
    <n v="29"/>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20T00:00:00"/>
    <x v="0"/>
    <n v="9518617286"/>
    <n v="2"/>
    <s v="9518617286-2"/>
    <s v="No Priority"/>
    <x v="0"/>
    <m/>
    <x v="1"/>
    <x v="1"/>
    <x v="0"/>
    <m/>
    <x v="0"/>
    <m/>
    <m/>
    <m/>
    <s v="North"/>
    <s v="ZOSOLA"/>
    <x v="2"/>
    <x v="90"/>
    <x v="87"/>
    <x v="114"/>
    <s v="CRCA COIL-TATXXD-AU03-0.9X1250"/>
    <s v=" "/>
    <s v=""/>
    <n v="10"/>
    <n v="30"/>
    <m/>
    <x v="1"/>
    <x v="2"/>
    <s v="AU03"/>
    <x v="13"/>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20T00:00:00"/>
    <x v="0"/>
    <n v="9518617286"/>
    <n v="3"/>
    <s v="9518617286-3"/>
    <s v="No Priority"/>
    <x v="0"/>
    <m/>
    <x v="1"/>
    <x v="1"/>
    <x v="0"/>
    <m/>
    <x v="0"/>
    <m/>
    <m/>
    <m/>
    <s v="North"/>
    <s v="ZOSOLA"/>
    <x v="2"/>
    <x v="90"/>
    <x v="87"/>
    <x v="310"/>
    <s v="CRCA COIL TATXXD AU03 0.950X1250"/>
    <s v=" "/>
    <s v=""/>
    <n v="10"/>
    <n v="30"/>
    <m/>
    <x v="1"/>
    <x v="2"/>
    <s v="AU03"/>
    <x v="16"/>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5"/>
    <s v="9518692103-5"/>
    <s v="No Priority"/>
    <x v="0"/>
    <m/>
    <x v="3"/>
    <x v="9"/>
    <x v="0"/>
    <m/>
    <x v="0"/>
    <m/>
    <m/>
    <m/>
    <s v="East"/>
    <s v="WEST BOKARO"/>
    <x v="2"/>
    <x v="12"/>
    <x v="12"/>
    <x v="56"/>
    <s v="GP COIL SOFT-TATXGP-GK09-0.4X900"/>
    <s v="Z80"/>
    <s v=""/>
    <n v="4"/>
    <n v="12"/>
    <m/>
    <x v="7"/>
    <x v="5"/>
    <s v="GK09"/>
    <x v="2"/>
    <x v="3"/>
    <x v="0"/>
    <n v="189"/>
    <n v="0"/>
    <n v="189"/>
    <n v="189"/>
    <n v="189"/>
    <n v="189"/>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103"/>
    <n v="6"/>
    <s v="9518692103-6"/>
    <s v="No Priority"/>
    <x v="0"/>
    <m/>
    <x v="3"/>
    <x v="9"/>
    <x v="0"/>
    <m/>
    <x v="0"/>
    <m/>
    <m/>
    <m/>
    <s v="East"/>
    <s v="WEST BOKARO"/>
    <x v="2"/>
    <x v="12"/>
    <x v="12"/>
    <x v="56"/>
    <s v="GP COIL SOFT-TATXGP-GK09-0.4X900"/>
    <s v="Z80"/>
    <s v=""/>
    <n v="4"/>
    <n v="12"/>
    <m/>
    <x v="7"/>
    <x v="5"/>
    <s v="GK09"/>
    <x v="2"/>
    <x v="3"/>
    <x v="0"/>
    <n v="168"/>
    <n v="0"/>
    <n v="168"/>
    <n v="168"/>
    <n v="168"/>
    <n v="168"/>
    <n v="0"/>
    <n v="0"/>
    <n v="0"/>
    <n v="0"/>
    <n v="0"/>
    <n v="0"/>
    <n v="0"/>
    <n v="0"/>
    <n v="0"/>
    <n v="0"/>
    <n v="0"/>
    <n v="0"/>
    <n v="0"/>
    <n v="0"/>
    <n v="0"/>
    <n v="0"/>
    <n v="0"/>
    <n v="0"/>
    <n v="0"/>
    <n v="0"/>
    <n v="0"/>
    <n v="0"/>
    <n v="0"/>
    <m/>
    <n v="0"/>
    <n v="0"/>
    <n v="0"/>
    <n v="0"/>
    <n v="0"/>
    <n v="0"/>
    <n v="0"/>
    <n v="0"/>
    <n v="0"/>
    <n v="0"/>
    <n v="0"/>
    <n v="0"/>
    <n v="0"/>
    <n v="0"/>
    <m/>
    <m/>
    <m/>
    <m/>
    <m/>
    <m/>
    <m/>
    <m/>
    <m/>
    <m/>
    <m/>
    <m/>
    <m/>
    <m/>
    <m/>
    <m/>
    <m/>
    <m/>
    <m/>
    <m/>
    <m/>
    <m/>
    <m/>
    <m/>
    <m/>
    <m/>
    <m/>
    <m/>
    <m/>
    <m/>
    <m/>
    <m/>
    <m/>
    <m/>
  </r>
  <r>
    <n v="743"/>
    <d v="2025-04-11T00:00:00"/>
    <x v="0"/>
    <n v="9518683949"/>
    <n v="4"/>
    <s v="9518683949-4"/>
    <s v="May'25"/>
    <x v="0"/>
    <s v="Yes"/>
    <x v="3"/>
    <x v="9"/>
    <x v="0"/>
    <m/>
    <x v="1"/>
    <m/>
    <m/>
    <m/>
    <s v="East"/>
    <s v="WEST BENGAL"/>
    <x v="2"/>
    <x v="36"/>
    <x v="36"/>
    <x v="56"/>
    <s v="GP COIL SOFT-TATXGP-GK09-0.4X900"/>
    <s v="Z80"/>
    <s v=""/>
    <n v="5"/>
    <n v="15"/>
    <m/>
    <x v="7"/>
    <x v="5"/>
    <s v="GK09"/>
    <x v="2"/>
    <x v="3"/>
    <x v="0"/>
    <n v="147"/>
    <n v="0"/>
    <n v="147"/>
    <n v="147"/>
    <n v="12.680000000000007"/>
    <n v="147"/>
    <n v="0"/>
    <n v="0"/>
    <n v="0"/>
    <n v="0"/>
    <n v="0"/>
    <n v="0"/>
    <n v="134.32"/>
    <n v="0"/>
    <n v="0"/>
    <n v="0"/>
    <n v="0"/>
    <n v="0"/>
    <n v="0"/>
    <n v="0"/>
    <n v="0"/>
    <n v="0"/>
    <n v="0"/>
    <n v="0"/>
    <n v="0"/>
    <n v="134.32"/>
    <n v="134.32"/>
    <n v="0"/>
    <n v="134.32"/>
    <m/>
    <n v="0"/>
    <n v="147"/>
    <n v="0"/>
    <n v="147"/>
    <n v="0"/>
    <n v="0"/>
    <n v="0"/>
    <n v="147"/>
    <n v="0"/>
    <n v="0"/>
    <n v="147"/>
    <n v="0"/>
    <n v="0"/>
    <n v="0"/>
    <m/>
    <m/>
    <m/>
    <m/>
    <m/>
    <m/>
    <m/>
    <m/>
    <m/>
    <m/>
    <m/>
    <m/>
    <m/>
    <m/>
    <m/>
    <m/>
    <m/>
    <m/>
    <m/>
    <m/>
    <m/>
    <m/>
    <m/>
    <m/>
    <m/>
    <m/>
    <m/>
    <m/>
    <m/>
    <m/>
    <m/>
    <m/>
    <m/>
    <m/>
  </r>
  <r>
    <n v="744"/>
    <d v="2025-04-03T00:00:00"/>
    <x v="0"/>
    <n v="9518666670"/>
    <n v="2"/>
    <s v="9518666670-2"/>
    <s v="May'25"/>
    <x v="0"/>
    <m/>
    <x v="2"/>
    <x v="3"/>
    <x v="2"/>
    <m/>
    <x v="1"/>
    <m/>
    <m/>
    <m/>
    <s v="TBSPL"/>
    <s v=" "/>
    <x v="2"/>
    <x v="6"/>
    <x v="6"/>
    <x v="137"/>
    <s v="PPGL C HARD Y550PL D0C9 0.470(TPT)X1220"/>
    <s v="AZ150"/>
    <s v="RAL 7015 TSL 1805"/>
    <n v="3"/>
    <n v="5"/>
    <m/>
    <x v="3"/>
    <x v="3"/>
    <s v="D0C9"/>
    <x v="14"/>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2"/>
    <d v="2025-04-10T00:00:00"/>
    <x v="0"/>
    <n v="9518683200"/>
    <n v="19"/>
    <s v="9518683200-19"/>
    <s v="Stocks"/>
    <x v="0"/>
    <s v="Yes"/>
    <x v="1"/>
    <x v="1"/>
    <x v="0"/>
    <m/>
    <x v="1"/>
    <m/>
    <m/>
    <m/>
    <s v="South"/>
    <s v="VISHAKHAPATNAM"/>
    <x v="2"/>
    <x v="8"/>
    <x v="8"/>
    <x v="238"/>
    <s v="CRSHEET C06 TATXXD AU03 1.6X1250X2500"/>
    <s v=" "/>
    <s v=""/>
    <n v="0"/>
    <n v="0"/>
    <m/>
    <x v="2"/>
    <x v="2"/>
    <s v="AU03"/>
    <x v="22"/>
    <x v="0"/>
    <x v="3"/>
    <n v="30"/>
    <n v="0"/>
    <n v="30"/>
    <n v="30"/>
    <n v="30"/>
    <n v="8.15"/>
    <n v="0"/>
    <n v="0"/>
    <n v="0"/>
    <n v="0"/>
    <n v="0"/>
    <n v="0"/>
    <n v="0"/>
    <n v="0"/>
    <n v="0"/>
    <n v="0"/>
    <n v="0"/>
    <n v="0"/>
    <n v="0"/>
    <n v="0"/>
    <n v="0"/>
    <n v="0"/>
    <n v="0"/>
    <n v="0"/>
    <n v="0"/>
    <n v="0"/>
    <n v="0"/>
    <n v="0"/>
    <n v="0"/>
    <m/>
    <n v="7.85"/>
    <n v="0"/>
    <n v="0"/>
    <n v="0"/>
    <n v="0"/>
    <n v="0"/>
    <n v="0"/>
    <n v="7.85"/>
    <n v="7.85"/>
    <n v="0"/>
    <n v="0"/>
    <n v="0"/>
    <n v="0"/>
    <n v="0"/>
    <m/>
    <m/>
    <m/>
    <m/>
    <m/>
    <m/>
    <m/>
    <m/>
    <m/>
    <m/>
    <m/>
    <m/>
    <m/>
    <m/>
    <m/>
    <m/>
    <m/>
    <m/>
    <m/>
    <m/>
    <m/>
    <m/>
    <m/>
    <m/>
    <m/>
    <m/>
    <m/>
    <m/>
    <m/>
    <m/>
    <m/>
    <m/>
    <m/>
    <m/>
  </r>
  <r>
    <n v="742"/>
    <d v="2025-04-08T00:00:00"/>
    <x v="0"/>
    <n v="9518677464"/>
    <n v="1"/>
    <s v="9518677464-1"/>
    <s v="May'25"/>
    <x v="0"/>
    <s v="Yes"/>
    <x v="1"/>
    <x v="1"/>
    <x v="0"/>
    <m/>
    <x v="1"/>
    <m/>
    <m/>
    <m/>
    <s v="East"/>
    <s v="GUWAHATI"/>
    <x v="2"/>
    <x v="25"/>
    <x v="24"/>
    <x v="311"/>
    <s v="CR COIL TATXXD AU03 .55X1250"/>
    <s v=" "/>
    <s v=""/>
    <n v="6"/>
    <n v="24"/>
    <m/>
    <x v="1"/>
    <x v="2"/>
    <s v="AU03"/>
    <x v="18"/>
    <x v="0"/>
    <x v="0"/>
    <n v="86.99"/>
    <n v="0"/>
    <n v="86.99"/>
    <n v="86.99"/>
    <n v="5.4699999999999847"/>
    <n v="86.99"/>
    <n v="0"/>
    <n v="0"/>
    <n v="0"/>
    <n v="0"/>
    <n v="0"/>
    <n v="0"/>
    <n v="0"/>
    <n v="0"/>
    <n v="0"/>
    <n v="0"/>
    <n v="0"/>
    <n v="0"/>
    <n v="27.18"/>
    <n v="54.34"/>
    <n v="0"/>
    <n v="0"/>
    <n v="0"/>
    <n v="0"/>
    <n v="0"/>
    <n v="81.52000000000001"/>
    <n v="81.52000000000001"/>
    <n v="0"/>
    <n v="81.52000000000001"/>
    <m/>
    <n v="0"/>
    <n v="86.99"/>
    <n v="0"/>
    <n v="86.99"/>
    <n v="0"/>
    <n v="0"/>
    <n v="0"/>
    <n v="86.99"/>
    <n v="0"/>
    <n v="86.99"/>
    <n v="0"/>
    <n v="0"/>
    <n v="0"/>
    <n v="0"/>
    <m/>
    <m/>
    <m/>
    <m/>
    <m/>
    <m/>
    <m/>
    <m/>
    <m/>
    <m/>
    <m/>
    <m/>
    <m/>
    <m/>
    <m/>
    <m/>
    <m/>
    <m/>
    <m/>
    <m/>
    <m/>
    <m/>
    <m/>
    <m/>
    <m/>
    <m/>
    <m/>
    <m/>
    <m/>
    <m/>
    <m/>
    <m/>
    <m/>
    <m/>
  </r>
  <r>
    <n v="742"/>
    <d v="2025-04-08T00:00:00"/>
    <x v="0"/>
    <n v="9518677964"/>
    <n v="1"/>
    <s v="9518677964-1"/>
    <s v="No Priority"/>
    <x v="0"/>
    <m/>
    <x v="1"/>
    <x v="12"/>
    <x v="0"/>
    <m/>
    <x v="0"/>
    <m/>
    <m/>
    <m/>
    <s v="South"/>
    <s v="PATTANCHERY"/>
    <x v="2"/>
    <x v="82"/>
    <x v="79"/>
    <x v="93"/>
    <s v="CRCA COIL TSBSTA EL06 0.500X1160"/>
    <s v=" "/>
    <s v=""/>
    <n v="10"/>
    <n v="30"/>
    <m/>
    <x v="1"/>
    <x v="9"/>
    <s v="EL06"/>
    <x v="1"/>
    <x v="13"/>
    <x v="0"/>
    <n v="108"/>
    <n v="0"/>
    <n v="108"/>
    <n v="108"/>
    <n v="108"/>
    <n v="107.9"/>
    <n v="0"/>
    <n v="0"/>
    <n v="0"/>
    <n v="0"/>
    <n v="0"/>
    <n v="0"/>
    <n v="0"/>
    <n v="0"/>
    <n v="0"/>
    <n v="0"/>
    <n v="0"/>
    <n v="0"/>
    <n v="0"/>
    <n v="0"/>
    <n v="0"/>
    <n v="0"/>
    <n v="0"/>
    <n v="0"/>
    <n v="0"/>
    <n v="0"/>
    <n v="0"/>
    <n v="0"/>
    <n v="0"/>
    <m/>
    <n v="0"/>
    <n v="0"/>
    <n v="0"/>
    <n v="0"/>
    <n v="0"/>
    <n v="0"/>
    <n v="0"/>
    <n v="0"/>
    <n v="0"/>
    <n v="0"/>
    <n v="0"/>
    <n v="0"/>
    <n v="0"/>
    <n v="0"/>
    <m/>
    <m/>
    <m/>
    <m/>
    <m/>
    <m/>
    <m/>
    <m/>
    <m/>
    <m/>
    <m/>
    <m/>
    <m/>
    <m/>
    <m/>
    <m/>
    <m/>
    <m/>
    <m/>
    <m/>
    <m/>
    <m/>
    <m/>
    <m/>
    <m/>
    <m/>
    <m/>
    <m/>
    <m/>
    <m/>
    <m/>
    <m/>
    <m/>
    <m/>
  </r>
  <r>
    <n v="743"/>
    <d v="2025-04-11T00:00:00"/>
    <x v="0"/>
    <n v="9518683949"/>
    <n v="5"/>
    <s v="9518683949-5"/>
    <s v="May'25"/>
    <x v="0"/>
    <m/>
    <x v="3"/>
    <x v="9"/>
    <x v="0"/>
    <m/>
    <x v="0"/>
    <m/>
    <m/>
    <m/>
    <s v="East"/>
    <s v="WEST BENGAL"/>
    <x v="2"/>
    <x v="36"/>
    <x v="36"/>
    <x v="281"/>
    <s v="GP COIL SOFT-TATXGP-GK09-0.45X900"/>
    <s v="Z80"/>
    <s v=""/>
    <n v="5"/>
    <n v="15"/>
    <m/>
    <x v="7"/>
    <x v="5"/>
    <s v="GK09"/>
    <x v="1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1"/>
    <n v="9518695452"/>
    <n v="8"/>
    <s v="9518695452-8"/>
    <s v="May'25"/>
    <x v="0"/>
    <m/>
    <x v="1"/>
    <x v="7"/>
    <x v="2"/>
    <m/>
    <x v="1"/>
    <m/>
    <m/>
    <m/>
    <s v="East"/>
    <s v="PILKHUWA"/>
    <x v="2"/>
    <x v="24"/>
    <x v="23"/>
    <x v="93"/>
    <s v="CRCA COIL TSBSTA EL06 0.500X1160"/>
    <s v=" "/>
    <s v=""/>
    <n v="8"/>
    <n v="13"/>
    <m/>
    <x v="1"/>
    <x v="9"/>
    <s v="EL06"/>
    <x v="1"/>
    <x v="13"/>
    <x v="0"/>
    <n v="297"/>
    <n v="0"/>
    <n v="297"/>
    <n v="297"/>
    <n v="269.33"/>
    <n v="297"/>
    <n v="0"/>
    <n v="0"/>
    <n v="27.67"/>
    <n v="0"/>
    <n v="0"/>
    <n v="0"/>
    <n v="0"/>
    <n v="0"/>
    <n v="0"/>
    <n v="0"/>
    <n v="0"/>
    <n v="0"/>
    <n v="0"/>
    <n v="0"/>
    <n v="0"/>
    <n v="0"/>
    <n v="0"/>
    <n v="0"/>
    <n v="0"/>
    <n v="27.67"/>
    <n v="27.67"/>
    <n v="0"/>
    <n v="27.67"/>
    <m/>
    <n v="0"/>
    <n v="297"/>
    <n v="0"/>
    <n v="0"/>
    <n v="297"/>
    <n v="0"/>
    <n v="0"/>
    <n v="297"/>
    <n v="0"/>
    <n v="0"/>
    <n v="297"/>
    <n v="0"/>
    <n v="0"/>
    <n v="0"/>
    <m/>
    <m/>
    <m/>
    <m/>
    <m/>
    <m/>
    <m/>
    <m/>
    <m/>
    <m/>
    <m/>
    <m/>
    <m/>
    <m/>
    <m/>
    <m/>
    <m/>
    <m/>
    <m/>
    <m/>
    <m/>
    <m/>
    <m/>
    <m/>
    <m/>
    <m/>
    <m/>
    <m/>
    <m/>
    <m/>
    <m/>
    <m/>
    <m/>
    <m/>
  </r>
  <r>
    <n v="742"/>
    <d v="2025-04-03T00:00:00"/>
    <x v="0"/>
    <n v="9518666887"/>
    <n v="2"/>
    <s v="9518666887-2"/>
    <s v="Stocks"/>
    <x v="0"/>
    <s v="Yes"/>
    <x v="1"/>
    <x v="2"/>
    <x v="0"/>
    <m/>
    <x v="1"/>
    <m/>
    <s v="Exp BTF &lt;17MT"/>
    <m/>
    <s v="North"/>
    <s v="VARANASI"/>
    <x v="2"/>
    <x v="2"/>
    <x v="2"/>
    <x v="136"/>
    <s v="CRCA SHEET TATCRC SR16 0.450X1250X2500"/>
    <s v=" "/>
    <s v=""/>
    <n v="0"/>
    <n v="0"/>
    <m/>
    <x v="2"/>
    <x v="1"/>
    <s v="SR16"/>
    <x v="10"/>
    <x v="0"/>
    <x v="3"/>
    <n v="60"/>
    <n v="0"/>
    <n v="60"/>
    <n v="5.14"/>
    <n v="59.69"/>
    <n v="8.3949999999999996"/>
    <n v="0"/>
    <n v="0"/>
    <n v="0"/>
    <n v="0"/>
    <n v="0"/>
    <n v="0"/>
    <n v="0"/>
    <n v="0"/>
    <n v="0.31"/>
    <n v="0"/>
    <n v="0"/>
    <n v="0"/>
    <n v="0"/>
    <n v="0"/>
    <n v="0"/>
    <n v="0"/>
    <n v="0"/>
    <n v="0"/>
    <n v="0"/>
    <n v="0.31"/>
    <n v="0.31"/>
    <n v="0"/>
    <n v="0.31"/>
    <m/>
    <n v="51.60499999999999"/>
    <n v="0"/>
    <n v="0"/>
    <n v="0"/>
    <n v="0"/>
    <n v="0"/>
    <n v="0"/>
    <n v="51.60499999999999"/>
    <n v="51.60499999999999"/>
    <n v="0"/>
    <n v="0"/>
    <n v="0"/>
    <n v="0"/>
    <n v="0"/>
    <m/>
    <m/>
    <m/>
    <m/>
    <m/>
    <m/>
    <m/>
    <m/>
    <m/>
    <m/>
    <m/>
    <m/>
    <m/>
    <m/>
    <m/>
    <m/>
    <m/>
    <m/>
    <m/>
    <m/>
    <m/>
    <m/>
    <m/>
    <m/>
    <m/>
    <m/>
    <m/>
    <m/>
    <m/>
    <m/>
    <m/>
    <m/>
    <m/>
    <m/>
  </r>
  <r>
    <n v="742"/>
    <d v="2025-04-03T00:00:00"/>
    <x v="0"/>
    <n v="9518666887"/>
    <n v="3"/>
    <s v="9518666887-3"/>
    <s v="No Priority"/>
    <x v="0"/>
    <m/>
    <x v="1"/>
    <x v="2"/>
    <x v="0"/>
    <m/>
    <x v="0"/>
    <m/>
    <m/>
    <m/>
    <s v="North"/>
    <s v="VARANASI"/>
    <x v="2"/>
    <x v="2"/>
    <x v="2"/>
    <x v="28"/>
    <s v="CRCA SHEET TSBCRC SR15 0.500X1250X2500"/>
    <s v=" "/>
    <s v=""/>
    <n v="0"/>
    <n v="0"/>
    <m/>
    <x v="2"/>
    <x v="4"/>
    <s v="SR15"/>
    <x v="1"/>
    <x v="0"/>
    <x v="3"/>
    <n v="9"/>
    <n v="0"/>
    <n v="9"/>
    <n v="9"/>
    <n v="9"/>
    <n v="9"/>
    <n v="0"/>
    <n v="0"/>
    <n v="0"/>
    <n v="0"/>
    <n v="0"/>
    <n v="0"/>
    <n v="0"/>
    <n v="0"/>
    <n v="0"/>
    <n v="0"/>
    <n v="0"/>
    <n v="0"/>
    <n v="0"/>
    <n v="0"/>
    <n v="0"/>
    <n v="0"/>
    <n v="0"/>
    <n v="0"/>
    <n v="0"/>
    <n v="0"/>
    <n v="0"/>
    <n v="0"/>
    <n v="0"/>
    <m/>
    <n v="0"/>
    <n v="0"/>
    <n v="0"/>
    <n v="0"/>
    <n v="0"/>
    <n v="0"/>
    <n v="0"/>
    <n v="0"/>
    <n v="0"/>
    <n v="0"/>
    <n v="0"/>
    <n v="0"/>
    <n v="0"/>
    <n v="0"/>
    <m/>
    <m/>
    <m/>
    <m/>
    <m/>
    <m/>
    <m/>
    <m/>
    <m/>
    <m/>
    <m/>
    <m/>
    <m/>
    <m/>
    <m/>
    <m/>
    <m/>
    <m/>
    <m/>
    <m/>
    <m/>
    <m/>
    <m/>
    <m/>
    <m/>
    <m/>
    <m/>
    <m/>
    <m/>
    <m/>
    <m/>
    <m/>
    <m/>
    <m/>
  </r>
  <r>
    <n v="744"/>
    <d v="2025-04-08T00:00:00"/>
    <x v="0"/>
    <n v="9518676905"/>
    <n v="1"/>
    <s v="9518676905-1"/>
    <s v="May'25"/>
    <x v="0"/>
    <m/>
    <x v="2"/>
    <x v="3"/>
    <x v="2"/>
    <m/>
    <x v="1"/>
    <m/>
    <m/>
    <m/>
    <s v="TBSPL"/>
    <s v=" "/>
    <x v="2"/>
    <x v="6"/>
    <x v="6"/>
    <x v="84"/>
    <s v="PPGL C HARD Y550PL D0C9 0.50(TPT)X1220"/>
    <s v="AZ150"/>
    <s v="RAL 9002 TSL 1801"/>
    <n v="3"/>
    <n v="5"/>
    <m/>
    <x v="3"/>
    <x v="3"/>
    <s v="D0C9"/>
    <x v="1"/>
    <x v="1"/>
    <x v="0"/>
    <n v="196"/>
    <n v="0"/>
    <n v="196"/>
    <n v="196"/>
    <n v="42.724999999999994"/>
    <n v="158.22"/>
    <n v="0"/>
    <n v="86.11"/>
    <n v="28.09"/>
    <n v="0"/>
    <n v="0"/>
    <n v="0"/>
    <n v="0"/>
    <n v="13.065000000000001"/>
    <n v="0"/>
    <n v="14.485000000000001"/>
    <n v="0"/>
    <n v="0"/>
    <n v="0"/>
    <n v="0"/>
    <n v="0"/>
    <n v="9.4600000000000009"/>
    <n v="0"/>
    <n v="0"/>
    <n v="2.0649999999999999"/>
    <n v="153.27500000000001"/>
    <n v="153.27500000000001"/>
    <n v="0"/>
    <n v="153.27500000000001"/>
    <m/>
    <n v="37.78"/>
    <n v="158.22"/>
    <n v="158.22"/>
    <n v="0"/>
    <n v="0"/>
    <n v="0"/>
    <n v="0"/>
    <n v="196"/>
    <n v="0"/>
    <n v="196"/>
    <n v="0"/>
    <n v="0"/>
    <n v="0"/>
    <n v="0"/>
    <m/>
    <m/>
    <m/>
    <m/>
    <m/>
    <m/>
    <m/>
    <m/>
    <m/>
    <m/>
    <m/>
    <m/>
    <m/>
    <m/>
    <m/>
    <m/>
    <m/>
    <m/>
    <m/>
    <m/>
    <m/>
    <m/>
    <m/>
    <m/>
    <m/>
    <m/>
    <m/>
    <m/>
    <m/>
    <m/>
    <m/>
    <m/>
    <m/>
    <m/>
  </r>
  <r>
    <n v="744"/>
    <d v="2025-04-08T00:00:00"/>
    <x v="0"/>
    <n v="9518676905"/>
    <n v="4"/>
    <s v="9518676905-4"/>
    <s v="May'25"/>
    <x v="0"/>
    <m/>
    <x v="2"/>
    <x v="3"/>
    <x v="2"/>
    <m/>
    <x v="1"/>
    <m/>
    <m/>
    <m/>
    <s v="TBSPL"/>
    <s v=" "/>
    <x v="2"/>
    <x v="6"/>
    <x v="6"/>
    <x v="84"/>
    <s v="PPGL C HARD Y550PL D0C9 0.50(TPT)X1220"/>
    <s v="AZ150"/>
    <s v="RAL 7015 TSL 1805"/>
    <n v="3"/>
    <n v="5"/>
    <m/>
    <x v="3"/>
    <x v="3"/>
    <s v="D0C9"/>
    <x v="1"/>
    <x v="1"/>
    <x v="0"/>
    <n v="112"/>
    <n v="0"/>
    <n v="112"/>
    <n v="112"/>
    <n v="112"/>
    <n v="112"/>
    <n v="0"/>
    <n v="0"/>
    <n v="0"/>
    <n v="0"/>
    <n v="0"/>
    <n v="0"/>
    <n v="0"/>
    <n v="0"/>
    <n v="0"/>
    <n v="0"/>
    <n v="0"/>
    <n v="0"/>
    <n v="0"/>
    <n v="0"/>
    <n v="0"/>
    <n v="0"/>
    <n v="0"/>
    <n v="0"/>
    <n v="0"/>
    <n v="0"/>
    <n v="0"/>
    <n v="0"/>
    <n v="0"/>
    <m/>
    <n v="0"/>
    <n v="112"/>
    <n v="0"/>
    <n v="112"/>
    <n v="0"/>
    <n v="0"/>
    <n v="0"/>
    <n v="112"/>
    <n v="0"/>
    <n v="112"/>
    <n v="0"/>
    <n v="0"/>
    <n v="0"/>
    <n v="0"/>
    <m/>
    <m/>
    <m/>
    <m/>
    <m/>
    <m/>
    <m/>
    <m/>
    <m/>
    <m/>
    <m/>
    <m/>
    <m/>
    <m/>
    <m/>
    <m/>
    <m/>
    <m/>
    <m/>
    <m/>
    <m/>
    <m/>
    <m/>
    <m/>
    <m/>
    <m/>
    <m/>
    <m/>
    <m/>
    <m/>
    <m/>
    <m/>
    <m/>
    <m/>
  </r>
  <r>
    <n v="744"/>
    <d v="2025-04-08T00:00:00"/>
    <x v="0"/>
    <n v="9518676905"/>
    <n v="10"/>
    <s v="9518676905-10"/>
    <s v="Stocks"/>
    <x v="0"/>
    <m/>
    <x v="2"/>
    <x v="3"/>
    <x v="2"/>
    <m/>
    <x v="1"/>
    <m/>
    <m/>
    <m/>
    <s v="TBSPL"/>
    <s v=" "/>
    <x v="2"/>
    <x v="6"/>
    <x v="6"/>
    <x v="288"/>
    <s v="PPGL C HARD Y550PL D0C9 0.53(TPT)X1220"/>
    <s v="AZ150"/>
    <s v="RAL 9002 TSL 1801"/>
    <n v="3"/>
    <n v="5"/>
    <m/>
    <x v="3"/>
    <x v="3"/>
    <s v="D0C9"/>
    <x v="34"/>
    <x v="1"/>
    <x v="0"/>
    <n v="84"/>
    <n v="0"/>
    <n v="84"/>
    <n v="84"/>
    <n v="84"/>
    <n v="6.2450000000000001"/>
    <n v="0"/>
    <n v="0"/>
    <n v="0"/>
    <n v="0"/>
    <n v="0"/>
    <n v="0"/>
    <n v="0"/>
    <n v="0"/>
    <n v="0"/>
    <n v="0"/>
    <n v="0"/>
    <n v="0"/>
    <n v="0"/>
    <n v="0"/>
    <n v="0"/>
    <n v="0"/>
    <n v="0"/>
    <n v="0"/>
    <n v="0"/>
    <n v="0"/>
    <n v="0"/>
    <n v="0"/>
    <n v="0"/>
    <m/>
    <n v="49.955000000000005"/>
    <n v="0"/>
    <n v="0"/>
    <n v="0"/>
    <n v="0"/>
    <n v="0"/>
    <n v="0"/>
    <n v="49.955000000000005"/>
    <n v="49.955000000000005"/>
    <n v="0"/>
    <n v="0"/>
    <n v="0"/>
    <n v="0"/>
    <n v="0"/>
    <m/>
    <m/>
    <m/>
    <m/>
    <m/>
    <m/>
    <m/>
    <m/>
    <m/>
    <m/>
    <m/>
    <m/>
    <m/>
    <m/>
    <m/>
    <m/>
    <m/>
    <m/>
    <m/>
    <m/>
    <m/>
    <m/>
    <m/>
    <m/>
    <m/>
    <m/>
    <m/>
    <m/>
    <m/>
    <m/>
    <m/>
    <m/>
    <m/>
    <m/>
  </r>
  <r>
    <n v="744"/>
    <d v="2025-04-15T00:00:00"/>
    <x v="0"/>
    <n v="9518695502"/>
    <n v="1"/>
    <s v="9518695502-1"/>
    <s v="May'25"/>
    <x v="0"/>
    <m/>
    <x v="2"/>
    <x v="3"/>
    <x v="2"/>
    <m/>
    <x v="1"/>
    <m/>
    <m/>
    <m/>
    <s v="TBSPL"/>
    <s v="TAMILNADU"/>
    <x v="2"/>
    <x v="52"/>
    <x v="6"/>
    <x v="312"/>
    <s v="PPGL C HARD Y550PL DX01 0.58(TPT)X1220"/>
    <s v="AZ150"/>
    <s v="RAL 5012 TSL 2002"/>
    <n v="3"/>
    <n v="5"/>
    <m/>
    <x v="3"/>
    <x v="3"/>
    <s v="DX01"/>
    <x v="60"/>
    <x v="1"/>
    <x v="0"/>
    <n v="83.998999999999995"/>
    <n v="0"/>
    <n v="83.998999999999995"/>
    <n v="83.998999999999995"/>
    <n v="83.998999999999995"/>
    <n v="83.998999999999995"/>
    <n v="0"/>
    <n v="0"/>
    <n v="0"/>
    <n v="0"/>
    <n v="0"/>
    <n v="0"/>
    <n v="0"/>
    <n v="0"/>
    <n v="0"/>
    <n v="0"/>
    <n v="0"/>
    <n v="0"/>
    <n v="0"/>
    <n v="0"/>
    <n v="0"/>
    <n v="0"/>
    <n v="0"/>
    <n v="0"/>
    <n v="0"/>
    <n v="0"/>
    <n v="0"/>
    <n v="0"/>
    <n v="0"/>
    <m/>
    <n v="0"/>
    <n v="83.998999999999995"/>
    <n v="0"/>
    <n v="83.998999999999995"/>
    <n v="0"/>
    <n v="0"/>
    <n v="0"/>
    <n v="83.998999999999995"/>
    <n v="0"/>
    <n v="83.998999999999995"/>
    <n v="0"/>
    <n v="0"/>
    <n v="0"/>
    <n v="0"/>
    <m/>
    <m/>
    <m/>
    <m/>
    <m/>
    <m/>
    <m/>
    <m/>
    <m/>
    <m/>
    <m/>
    <m/>
    <m/>
    <m/>
    <m/>
    <m/>
    <m/>
    <m/>
    <m/>
    <m/>
    <m/>
    <m/>
    <m/>
    <m/>
    <m/>
    <m/>
    <m/>
    <m/>
    <m/>
    <m/>
    <m/>
    <m/>
    <m/>
    <m/>
  </r>
  <r>
    <n v="744"/>
    <d v="2025-04-10T00:00:00"/>
    <x v="0"/>
    <n v="9518682471"/>
    <n v="2"/>
    <s v="9518682471-2"/>
    <s v="May'25"/>
    <x v="0"/>
    <m/>
    <x v="2"/>
    <x v="3"/>
    <x v="2"/>
    <m/>
    <x v="1"/>
    <m/>
    <m/>
    <m/>
    <s v="TBSPL"/>
    <s v=" "/>
    <x v="2"/>
    <x v="6"/>
    <x v="6"/>
    <x v="84"/>
    <s v="PPGL C HARD Y550PL D0C9 0.50(TPT)X1220"/>
    <s v="AZ150"/>
    <s v="RAL 9002 TSL 1801"/>
    <n v="3"/>
    <n v="5"/>
    <m/>
    <x v="3"/>
    <x v="3"/>
    <s v="D0C9"/>
    <x v="1"/>
    <x v="1"/>
    <x v="0"/>
    <n v="28"/>
    <n v="0"/>
    <n v="28"/>
    <n v="28"/>
    <n v="-0.48000000000000043"/>
    <n v="28"/>
    <n v="0"/>
    <n v="28.48"/>
    <n v="0"/>
    <n v="0"/>
    <n v="0"/>
    <n v="0"/>
    <n v="0"/>
    <n v="0"/>
    <n v="0"/>
    <n v="0"/>
    <n v="0"/>
    <n v="0"/>
    <n v="0"/>
    <n v="0"/>
    <n v="0"/>
    <n v="0"/>
    <n v="0"/>
    <n v="0"/>
    <n v="0"/>
    <n v="28.48"/>
    <n v="28.48"/>
    <n v="0"/>
    <n v="28.48"/>
    <m/>
    <n v="0"/>
    <n v="28"/>
    <n v="28"/>
    <n v="0"/>
    <n v="0"/>
    <n v="0"/>
    <n v="0"/>
    <n v="28"/>
    <n v="0"/>
    <n v="28"/>
    <n v="0"/>
    <n v="0"/>
    <n v="0"/>
    <n v="0"/>
    <m/>
    <m/>
    <m/>
    <m/>
    <m/>
    <m/>
    <m/>
    <m/>
    <m/>
    <m/>
    <m/>
    <m/>
    <m/>
    <m/>
    <m/>
    <m/>
    <m/>
    <m/>
    <m/>
    <m/>
    <m/>
    <m/>
    <m/>
    <m/>
    <m/>
    <m/>
    <m/>
    <m/>
    <m/>
    <m/>
    <m/>
    <m/>
    <m/>
    <m/>
  </r>
  <r>
    <n v="744"/>
    <d v="2025-04-10T00:00:00"/>
    <x v="0"/>
    <n v="9518682471"/>
    <n v="3"/>
    <s v="9518682471-3"/>
    <s v="May'25"/>
    <x v="0"/>
    <m/>
    <x v="2"/>
    <x v="3"/>
    <x v="2"/>
    <m/>
    <x v="1"/>
    <m/>
    <m/>
    <m/>
    <s v="TBSPL"/>
    <s v=" "/>
    <x v="2"/>
    <x v="6"/>
    <x v="6"/>
    <x v="84"/>
    <s v="PPGL C HARD Y550PL D0C9 0.50(TPT)X1220"/>
    <s v="AZ150"/>
    <s v="RAL 5012 TSL 1802"/>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4"/>
    <d v="2025-04-10T00:00:00"/>
    <x v="0"/>
    <n v="9518682471"/>
    <n v="4"/>
    <s v="9518682471-4"/>
    <s v="May'25"/>
    <x v="0"/>
    <m/>
    <x v="2"/>
    <x v="3"/>
    <x v="2"/>
    <m/>
    <x v="1"/>
    <m/>
    <m/>
    <m/>
    <s v="TBSPL"/>
    <s v=" "/>
    <x v="2"/>
    <x v="6"/>
    <x v="6"/>
    <x v="84"/>
    <s v="PPGL C HARD Y550PL D0C9 0.50(TPT)X1220"/>
    <s v="AZ150"/>
    <s v="RAL 5012 TSL 1802"/>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4"/>
    <d v="2025-04-10T00:00:00"/>
    <x v="0"/>
    <n v="9518682471"/>
    <n v="5"/>
    <s v="9518682471-5"/>
    <s v="May'25"/>
    <x v="0"/>
    <m/>
    <x v="2"/>
    <x v="3"/>
    <x v="2"/>
    <m/>
    <x v="1"/>
    <m/>
    <m/>
    <m/>
    <s v="TBSPL"/>
    <s v=" "/>
    <x v="2"/>
    <x v="6"/>
    <x v="6"/>
    <x v="84"/>
    <s v="PPGL C HARD Y550PL D0C9 0.50(TPT)X1220"/>
    <s v="AZ150"/>
    <s v="BRICK RED TSL 1803"/>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4"/>
    <d v="2025-04-10T00:00:00"/>
    <x v="0"/>
    <n v="9518682471"/>
    <n v="6"/>
    <s v="9518682471-6"/>
    <s v="May'25"/>
    <x v="0"/>
    <m/>
    <x v="2"/>
    <x v="3"/>
    <x v="2"/>
    <m/>
    <x v="1"/>
    <m/>
    <m/>
    <m/>
    <s v="TBSPL"/>
    <s v=" "/>
    <x v="2"/>
    <x v="6"/>
    <x v="6"/>
    <x v="84"/>
    <s v="PPGL C HARD Y550PL D0C9 0.50(TPT)X1220"/>
    <s v="AZ150"/>
    <s v="RAL 7024 TSL 1806"/>
    <n v="3"/>
    <n v="5"/>
    <m/>
    <x v="3"/>
    <x v="3"/>
    <s v="D0C9"/>
    <x v="1"/>
    <x v="1"/>
    <x v="0"/>
    <n v="56"/>
    <n v="0"/>
    <n v="56"/>
    <n v="56"/>
    <n v="56"/>
    <n v="56"/>
    <n v="0"/>
    <n v="0"/>
    <n v="0"/>
    <n v="0"/>
    <n v="0"/>
    <n v="0"/>
    <n v="0"/>
    <n v="0"/>
    <n v="0"/>
    <n v="0"/>
    <n v="0"/>
    <n v="0"/>
    <n v="0"/>
    <n v="0"/>
    <n v="0"/>
    <n v="0"/>
    <n v="0"/>
    <n v="0"/>
    <n v="0"/>
    <n v="0"/>
    <n v="0"/>
    <n v="0"/>
    <n v="0"/>
    <m/>
    <n v="0"/>
    <n v="56"/>
    <n v="0"/>
    <n v="0"/>
    <n v="0"/>
    <n v="56"/>
    <n v="0"/>
    <n v="56"/>
    <n v="0"/>
    <n v="0"/>
    <n v="0"/>
    <n v="56"/>
    <n v="0"/>
    <n v="0"/>
    <m/>
    <m/>
    <m/>
    <m/>
    <m/>
    <m/>
    <m/>
    <m/>
    <m/>
    <m/>
    <m/>
    <m/>
    <m/>
    <m/>
    <m/>
    <m/>
    <m/>
    <m/>
    <m/>
    <m/>
    <m/>
    <m/>
    <m/>
    <m/>
    <m/>
    <m/>
    <m/>
    <m/>
    <m/>
    <m/>
    <m/>
    <m/>
    <m/>
    <m/>
  </r>
  <r>
    <n v="744"/>
    <d v="2025-04-10T00:00:00"/>
    <x v="0"/>
    <n v="9518682471"/>
    <n v="7"/>
    <s v="9518682471-7"/>
    <s v="May'25"/>
    <x v="0"/>
    <m/>
    <x v="2"/>
    <x v="3"/>
    <x v="2"/>
    <m/>
    <x v="1"/>
    <m/>
    <m/>
    <m/>
    <s v="TBSPL"/>
    <s v=" "/>
    <x v="2"/>
    <x v="6"/>
    <x v="6"/>
    <x v="84"/>
    <s v="PPGL C HARD Y550PL D0C9 0.50(TPT)X1220"/>
    <s v="AZ150"/>
    <s v="SECO RED TSL 1814"/>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3"/>
    <d v="2025-04-04T00:00:00"/>
    <x v="0"/>
    <n v="9518669105"/>
    <n v="1"/>
    <s v="9518669105-1"/>
    <s v="No Priority"/>
    <x v="0"/>
    <m/>
    <x v="3"/>
    <x v="9"/>
    <x v="0"/>
    <m/>
    <x v="0"/>
    <m/>
    <m/>
    <m/>
    <s v="North"/>
    <s v="VARANASI"/>
    <x v="2"/>
    <x v="2"/>
    <x v="2"/>
    <x v="51"/>
    <s v="GP COIL SOFT-TATXGP-GK09-0.3X900"/>
    <s v="Z80"/>
    <s v=""/>
    <n v="3.2"/>
    <n v="5"/>
    <m/>
    <x v="7"/>
    <x v="5"/>
    <s v="GK09"/>
    <x v="1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9105"/>
    <n v="2"/>
    <s v="9518669105-2"/>
    <s v="No Priority"/>
    <x v="0"/>
    <m/>
    <x v="3"/>
    <x v="9"/>
    <x v="0"/>
    <m/>
    <x v="0"/>
    <m/>
    <m/>
    <m/>
    <s v="North"/>
    <s v="VARANASI"/>
    <x v="2"/>
    <x v="2"/>
    <x v="2"/>
    <x v="55"/>
    <s v="GP COIL SOFT-TATXGP-GK09-0.35X900"/>
    <s v="Z80"/>
    <s v=""/>
    <n v="3.2"/>
    <n v="5"/>
    <m/>
    <x v="7"/>
    <x v="5"/>
    <s v="GK09"/>
    <x v="6"/>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9105"/>
    <n v="3"/>
    <s v="9518669105-3"/>
    <s v="No Priority"/>
    <x v="0"/>
    <m/>
    <x v="3"/>
    <x v="9"/>
    <x v="0"/>
    <m/>
    <x v="0"/>
    <m/>
    <m/>
    <m/>
    <s v="North"/>
    <s v="VARANASI"/>
    <x v="2"/>
    <x v="2"/>
    <x v="2"/>
    <x v="121"/>
    <s v="GP COIL SOFT-TATXGP-GK09-0.5X900"/>
    <s v="Z80"/>
    <s v=""/>
    <n v="3.2"/>
    <n v="5"/>
    <m/>
    <x v="7"/>
    <x v="5"/>
    <s v="GK09"/>
    <x v="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9105"/>
    <n v="4"/>
    <s v="9518669105-4"/>
    <s v="No Priority"/>
    <x v="0"/>
    <m/>
    <x v="3"/>
    <x v="9"/>
    <x v="0"/>
    <m/>
    <x v="0"/>
    <m/>
    <m/>
    <m/>
    <s v="North"/>
    <s v="VARANASI"/>
    <x v="2"/>
    <x v="2"/>
    <x v="2"/>
    <x v="62"/>
    <s v="GP COIL SOFT-TATXGP-GK09-0.6X900"/>
    <s v="Z80"/>
    <s v=""/>
    <n v="3.2"/>
    <n v="5"/>
    <m/>
    <x v="7"/>
    <x v="5"/>
    <s v="GK09"/>
    <x v="20"/>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276"/>
    <n v="1"/>
    <s v="9518664276-1"/>
    <s v="No Priority"/>
    <x v="0"/>
    <s v="Yes"/>
    <x v="1"/>
    <x v="1"/>
    <x v="0"/>
    <m/>
    <x v="0"/>
    <m/>
    <s v="Exp BTF &lt;17MT"/>
    <m/>
    <s v="South"/>
    <s v="CHENNAI"/>
    <x v="2"/>
    <x v="96"/>
    <x v="95"/>
    <x v="228"/>
    <s v="CRCA COIL-TATXXD-AU03-1X1250"/>
    <s v=" "/>
    <s v=""/>
    <n v="6"/>
    <n v="18"/>
    <m/>
    <x v="1"/>
    <x v="2"/>
    <s v="AU03"/>
    <x v="17"/>
    <x v="0"/>
    <x v="0"/>
    <n v="29"/>
    <n v="0"/>
    <n v="29"/>
    <n v="4.6100000000000003"/>
    <n v="5.4899999999999984"/>
    <n v="29"/>
    <n v="0"/>
    <n v="0"/>
    <n v="0"/>
    <n v="0"/>
    <n v="0"/>
    <n v="0"/>
    <n v="0"/>
    <n v="0"/>
    <n v="0"/>
    <n v="0"/>
    <n v="0"/>
    <n v="0"/>
    <n v="0"/>
    <n v="23.51"/>
    <n v="0"/>
    <n v="0"/>
    <n v="0"/>
    <n v="0"/>
    <n v="0"/>
    <n v="23.51"/>
    <n v="23.51"/>
    <n v="0"/>
    <n v="23.51"/>
    <m/>
    <n v="0"/>
    <n v="0"/>
    <n v="0"/>
    <n v="0"/>
    <n v="0"/>
    <n v="0"/>
    <n v="0"/>
    <n v="0"/>
    <n v="0"/>
    <n v="0"/>
    <n v="0"/>
    <n v="0"/>
    <n v="0"/>
    <n v="0"/>
    <m/>
    <m/>
    <m/>
    <m/>
    <m/>
    <m/>
    <m/>
    <m/>
    <m/>
    <m/>
    <m/>
    <m/>
    <m/>
    <m/>
    <m/>
    <m/>
    <m/>
    <m/>
    <m/>
    <m/>
    <m/>
    <m/>
    <m/>
    <m/>
    <m/>
    <m/>
    <m/>
    <m/>
    <m/>
    <m/>
    <m/>
    <m/>
    <m/>
    <m/>
  </r>
  <r>
    <n v="742"/>
    <d v="2025-04-04T00:00:00"/>
    <x v="0"/>
    <n v="9518670066"/>
    <n v="5"/>
    <s v="9518670066-5"/>
    <s v="May'25"/>
    <x v="0"/>
    <s v="Yes"/>
    <x v="1"/>
    <x v="2"/>
    <x v="0"/>
    <m/>
    <x v="1"/>
    <m/>
    <m/>
    <m/>
    <s v="North"/>
    <s v="VARANASI"/>
    <x v="2"/>
    <x v="2"/>
    <x v="2"/>
    <x v="213"/>
    <s v="CRCA SHEET TATCRC SR16 0.450X1250X2030"/>
    <s v=" "/>
    <s v=""/>
    <n v="0"/>
    <n v="0"/>
    <m/>
    <x v="2"/>
    <x v="1"/>
    <s v="SR16"/>
    <x v="10"/>
    <x v="0"/>
    <x v="1"/>
    <n v="81"/>
    <n v="0"/>
    <n v="81"/>
    <n v="81"/>
    <n v="-3.8100000000000023"/>
    <n v="81"/>
    <n v="0"/>
    <n v="0"/>
    <n v="0"/>
    <n v="84.81"/>
    <n v="0"/>
    <n v="0"/>
    <n v="0"/>
    <n v="0"/>
    <n v="0"/>
    <n v="0"/>
    <n v="0"/>
    <n v="0"/>
    <n v="0"/>
    <n v="0"/>
    <n v="0"/>
    <n v="0"/>
    <n v="0"/>
    <n v="0"/>
    <n v="0"/>
    <n v="84.81"/>
    <n v="84.81"/>
    <n v="0"/>
    <n v="84.81"/>
    <m/>
    <n v="0"/>
    <n v="81"/>
    <n v="0"/>
    <n v="0"/>
    <n v="81"/>
    <n v="0"/>
    <n v="0"/>
    <n v="81"/>
    <n v="0"/>
    <n v="0"/>
    <n v="81"/>
    <n v="0"/>
    <n v="0"/>
    <n v="0"/>
    <m/>
    <m/>
    <m/>
    <m/>
    <m/>
    <m/>
    <m/>
    <m/>
    <m/>
    <m/>
    <m/>
    <m/>
    <m/>
    <m/>
    <m/>
    <m/>
    <m/>
    <m/>
    <m/>
    <m/>
    <m/>
    <m/>
    <m/>
    <m/>
    <m/>
    <m/>
    <m/>
    <m/>
    <m/>
    <m/>
    <m/>
    <m/>
    <m/>
    <m/>
  </r>
  <r>
    <n v="742"/>
    <d v="2025-04-04T00:00:00"/>
    <x v="0"/>
    <n v="9518670119"/>
    <n v="7"/>
    <s v="9518670119-7"/>
    <s v="May'25"/>
    <x v="0"/>
    <s v="Yes"/>
    <x v="1"/>
    <x v="1"/>
    <x v="0"/>
    <m/>
    <x v="1"/>
    <m/>
    <m/>
    <m/>
    <s v="South"/>
    <s v="PATTANCHERY"/>
    <x v="2"/>
    <x v="35"/>
    <x v="35"/>
    <x v="228"/>
    <s v="CRCA COIL-TATXXD-AU03-1X1250"/>
    <s v=" "/>
    <s v=""/>
    <n v="10"/>
    <n v="30"/>
    <m/>
    <x v="1"/>
    <x v="2"/>
    <s v="AU03"/>
    <x v="17"/>
    <x v="0"/>
    <x v="0"/>
    <n v="29"/>
    <n v="0"/>
    <n v="29"/>
    <n v="29"/>
    <n v="1.6400000000000006"/>
    <n v="29"/>
    <n v="0"/>
    <n v="0"/>
    <n v="0"/>
    <n v="0"/>
    <n v="0"/>
    <n v="0"/>
    <n v="0"/>
    <n v="0"/>
    <n v="0"/>
    <n v="0"/>
    <n v="0"/>
    <n v="0"/>
    <n v="27.36"/>
    <n v="0"/>
    <n v="0"/>
    <n v="0"/>
    <n v="0"/>
    <n v="0"/>
    <n v="0"/>
    <n v="27.36"/>
    <n v="27.36"/>
    <n v="0"/>
    <n v="27.36"/>
    <m/>
    <n v="0"/>
    <n v="29"/>
    <n v="0"/>
    <n v="29"/>
    <n v="0"/>
    <n v="0"/>
    <n v="0"/>
    <n v="29"/>
    <n v="0"/>
    <n v="29"/>
    <n v="0"/>
    <n v="0"/>
    <n v="0"/>
    <n v="0"/>
    <m/>
    <m/>
    <m/>
    <m/>
    <m/>
    <m/>
    <m/>
    <m/>
    <m/>
    <m/>
    <m/>
    <m/>
    <m/>
    <m/>
    <m/>
    <m/>
    <m/>
    <m/>
    <m/>
    <m/>
    <m/>
    <m/>
    <m/>
    <m/>
    <m/>
    <m/>
    <m/>
    <m/>
    <m/>
    <m/>
    <m/>
    <m/>
    <m/>
    <m/>
  </r>
  <r>
    <n v="742"/>
    <d v="2025-04-04T00:00:00"/>
    <x v="0"/>
    <n v="9518670119"/>
    <n v="12"/>
    <s v="9518670119-12"/>
    <s v="No Priority"/>
    <x v="0"/>
    <s v="Yes"/>
    <x v="1"/>
    <x v="1"/>
    <x v="0"/>
    <m/>
    <x v="0"/>
    <m/>
    <m/>
    <m/>
    <s v="South"/>
    <s v="PATTANCHERY"/>
    <x v="2"/>
    <x v="35"/>
    <x v="35"/>
    <x v="69"/>
    <s v="CRCA COIL TATXXD AU03 1.500X1250"/>
    <s v=" "/>
    <s v=""/>
    <n v="10"/>
    <n v="30"/>
    <m/>
    <x v="1"/>
    <x v="2"/>
    <s v="AU03"/>
    <x v="27"/>
    <x v="0"/>
    <x v="0"/>
    <n v="58"/>
    <n v="0"/>
    <n v="58"/>
    <n v="58"/>
    <n v="58"/>
    <n v="6.6050000000000004"/>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5638"/>
    <n v="5"/>
    <s v="9518685638-5"/>
    <s v="No Priority"/>
    <x v="0"/>
    <m/>
    <x v="1"/>
    <x v="1"/>
    <x v="0"/>
    <m/>
    <x v="0"/>
    <m/>
    <m/>
    <m/>
    <s v="North"/>
    <s v="KANPUR"/>
    <x v="2"/>
    <x v="53"/>
    <x v="50"/>
    <x v="95"/>
    <s v="CRCA COIL-TATXXD-AU03-1.2X1250"/>
    <s v=" "/>
    <s v=""/>
    <n v="7"/>
    <n v="28"/>
    <m/>
    <x v="1"/>
    <x v="2"/>
    <s v="AU03"/>
    <x v="19"/>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16"/>
    <s v="9518628976-16"/>
    <s v="May'25"/>
    <x v="0"/>
    <s v="Yes"/>
    <x v="1"/>
    <x v="1"/>
    <x v="0"/>
    <m/>
    <x v="1"/>
    <m/>
    <m/>
    <m/>
    <s v="South"/>
    <s v="VALPARAI"/>
    <x v="2"/>
    <x v="13"/>
    <x v="13"/>
    <x v="115"/>
    <s v="CRCA COIL TATXXD AU03 2.5X1250"/>
    <s v=" "/>
    <s v=""/>
    <n v="6"/>
    <n v="18"/>
    <m/>
    <x v="1"/>
    <x v="2"/>
    <s v="AU03"/>
    <x v="38"/>
    <x v="0"/>
    <x v="0"/>
    <n v="29"/>
    <n v="0"/>
    <n v="29"/>
    <n v="29"/>
    <n v="29"/>
    <n v="29"/>
    <n v="0"/>
    <n v="0"/>
    <n v="0"/>
    <n v="0"/>
    <n v="0"/>
    <n v="0"/>
    <n v="0"/>
    <n v="0"/>
    <n v="0"/>
    <n v="0"/>
    <n v="0"/>
    <n v="0"/>
    <n v="0"/>
    <n v="0"/>
    <n v="0"/>
    <n v="0"/>
    <n v="0"/>
    <n v="0"/>
    <n v="0"/>
    <n v="0"/>
    <n v="0"/>
    <n v="0"/>
    <n v="0"/>
    <m/>
    <n v="0"/>
    <n v="29"/>
    <n v="0"/>
    <n v="0"/>
    <n v="0"/>
    <n v="29"/>
    <n v="0"/>
    <n v="29"/>
    <n v="0"/>
    <n v="0"/>
    <n v="0"/>
    <n v="29"/>
    <n v="0"/>
    <n v="0"/>
    <m/>
    <m/>
    <m/>
    <m/>
    <m/>
    <m/>
    <m/>
    <m/>
    <m/>
    <m/>
    <m/>
    <m/>
    <m/>
    <m/>
    <m/>
    <m/>
    <m/>
    <m/>
    <m/>
    <m/>
    <m/>
    <m/>
    <m/>
    <m/>
    <m/>
    <m/>
    <m/>
    <m/>
    <m/>
    <m/>
    <m/>
    <m/>
    <m/>
    <m/>
  </r>
  <r>
    <n v="742"/>
    <d v="2025-04-04T00:00:00"/>
    <x v="0"/>
    <n v="9518670119"/>
    <n v="11"/>
    <s v="9518670119-11"/>
    <s v="No Priority"/>
    <x v="0"/>
    <m/>
    <x v="1"/>
    <x v="1"/>
    <x v="0"/>
    <m/>
    <x v="0"/>
    <m/>
    <m/>
    <m/>
    <s v="South"/>
    <s v="PATTANCHERY"/>
    <x v="2"/>
    <x v="35"/>
    <x v="35"/>
    <x v="95"/>
    <s v="CRCA COIL-TATXXD-AU03-1.2X1250"/>
    <s v=" "/>
    <s v=""/>
    <n v="10"/>
    <n v="30"/>
    <m/>
    <x v="1"/>
    <x v="2"/>
    <s v="AU03"/>
    <x v="19"/>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2206"/>
    <n v="2"/>
    <s v="9518592206-2"/>
    <s v="No Priority"/>
    <x v="0"/>
    <m/>
    <x v="1"/>
    <x v="1"/>
    <x v="0"/>
    <m/>
    <x v="0"/>
    <m/>
    <m/>
    <m/>
    <s v="South"/>
    <s v="PATTANCHERY"/>
    <x v="2"/>
    <x v="35"/>
    <x v="35"/>
    <x v="131"/>
    <s v="CRSHEET-ICF  DQ TATXXD AU03 1.00 X 1220"/>
    <s v=" "/>
    <s v=""/>
    <n v="10"/>
    <n v="30"/>
    <m/>
    <x v="1"/>
    <x v="2"/>
    <s v="AU03"/>
    <x v="17"/>
    <x v="1"/>
    <x v="0"/>
    <n v="56"/>
    <n v="0"/>
    <n v="56"/>
    <n v="56"/>
    <n v="56"/>
    <n v="56"/>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2206"/>
    <n v="3"/>
    <s v="9518592206-3"/>
    <s v="No Priority"/>
    <x v="0"/>
    <s v="Yes"/>
    <x v="1"/>
    <x v="1"/>
    <x v="0"/>
    <m/>
    <x v="0"/>
    <m/>
    <m/>
    <m/>
    <s v="South"/>
    <s v="PATTANCHERY"/>
    <x v="2"/>
    <x v="35"/>
    <x v="35"/>
    <x v="69"/>
    <s v="CRCA COIL TATXXD AU03 1.500X1250"/>
    <s v=" "/>
    <s v=""/>
    <n v="10"/>
    <n v="30"/>
    <m/>
    <x v="1"/>
    <x v="2"/>
    <s v="AU03"/>
    <x v="27"/>
    <x v="0"/>
    <x v="0"/>
    <n v="29"/>
    <n v="0"/>
    <n v="29"/>
    <n v="0.87"/>
    <n v="0"/>
    <n v="29"/>
    <n v="0"/>
    <n v="0"/>
    <n v="0"/>
    <n v="0"/>
    <n v="0"/>
    <n v="0"/>
    <n v="0"/>
    <n v="0"/>
    <n v="0"/>
    <n v="0"/>
    <n v="0"/>
    <n v="0"/>
    <n v="0"/>
    <n v="26.96"/>
    <n v="0"/>
    <n v="0"/>
    <n v="0"/>
    <n v="0"/>
    <n v="0"/>
    <n v="26.96"/>
    <n v="26.96"/>
    <n v="0"/>
    <n v="26.96"/>
    <m/>
    <n v="0"/>
    <n v="0"/>
    <n v="0"/>
    <n v="0"/>
    <n v="0"/>
    <n v="0"/>
    <n v="0"/>
    <n v="0"/>
    <n v="0"/>
    <n v="0"/>
    <n v="0"/>
    <n v="0"/>
    <n v="0"/>
    <n v="0"/>
    <m/>
    <m/>
    <m/>
    <m/>
    <m/>
    <m/>
    <m/>
    <m/>
    <m/>
    <m/>
    <m/>
    <m/>
    <m/>
    <m/>
    <m/>
    <m/>
    <m/>
    <m/>
    <m/>
    <m/>
    <m/>
    <m/>
    <m/>
    <m/>
    <m/>
    <m/>
    <m/>
    <m/>
    <m/>
    <m/>
    <m/>
    <m/>
    <m/>
    <m/>
  </r>
  <r>
    <n v="742"/>
    <d v="2025-03-06T00:00:00"/>
    <x v="0"/>
    <n v="9518578782"/>
    <n v="13"/>
    <s v="9518578782-13"/>
    <s v="May'25"/>
    <x v="0"/>
    <s v="Yes"/>
    <x v="1"/>
    <x v="1"/>
    <x v="0"/>
    <m/>
    <x v="1"/>
    <m/>
    <m/>
    <m/>
    <s v="South"/>
    <s v="PATTANCHERY"/>
    <x v="2"/>
    <x v="35"/>
    <x v="35"/>
    <x v="123"/>
    <s v="CR COIL TATXXD AU03 1.620X1250"/>
    <s v=" "/>
    <s v=""/>
    <n v="10"/>
    <n v="30"/>
    <m/>
    <x v="1"/>
    <x v="2"/>
    <s v="AU03"/>
    <x v="40"/>
    <x v="0"/>
    <x v="0"/>
    <n v="87"/>
    <n v="0"/>
    <n v="87"/>
    <n v="87"/>
    <n v="23.060000000000002"/>
    <n v="87"/>
    <n v="0"/>
    <n v="0"/>
    <n v="0"/>
    <n v="21.73"/>
    <n v="0"/>
    <n v="0"/>
    <n v="0"/>
    <n v="0"/>
    <n v="0"/>
    <n v="0"/>
    <n v="21.51"/>
    <n v="0"/>
    <n v="20.7"/>
    <n v="0"/>
    <n v="0"/>
    <n v="0"/>
    <n v="0"/>
    <n v="0"/>
    <n v="0"/>
    <n v="63.94"/>
    <n v="63.94"/>
    <n v="0"/>
    <n v="63.94"/>
    <m/>
    <n v="0"/>
    <n v="87"/>
    <n v="0"/>
    <n v="87"/>
    <n v="0"/>
    <n v="0"/>
    <n v="0"/>
    <n v="87"/>
    <n v="0"/>
    <n v="87"/>
    <n v="0"/>
    <n v="0"/>
    <n v="0"/>
    <n v="0"/>
    <m/>
    <m/>
    <m/>
    <m/>
    <m/>
    <m/>
    <m/>
    <m/>
    <m/>
    <m/>
    <m/>
    <m/>
    <m/>
    <m/>
    <m/>
    <m/>
    <m/>
    <m/>
    <m/>
    <m/>
    <m/>
    <m/>
    <m/>
    <m/>
    <m/>
    <m/>
    <m/>
    <m/>
    <m/>
    <m/>
    <m/>
    <m/>
    <m/>
    <m/>
  </r>
  <r>
    <n v="742"/>
    <d v="2025-03-06T00:00:00"/>
    <x v="0"/>
    <n v="9518578782"/>
    <n v="15"/>
    <s v="9518578782-15"/>
    <s v="May'25"/>
    <x v="0"/>
    <s v="Yes"/>
    <x v="1"/>
    <x v="1"/>
    <x v="0"/>
    <m/>
    <x v="1"/>
    <m/>
    <m/>
    <m/>
    <s v="South"/>
    <s v="PATTANCHERY"/>
    <x v="2"/>
    <x v="35"/>
    <x v="35"/>
    <x v="116"/>
    <s v="CRCA COIL-TATXXD-AU03-2X1250"/>
    <s v=" "/>
    <s v=""/>
    <n v="10"/>
    <n v="30"/>
    <m/>
    <x v="1"/>
    <x v="2"/>
    <s v="AU03"/>
    <x v="15"/>
    <x v="0"/>
    <x v="0"/>
    <n v="58"/>
    <n v="12.47"/>
    <n v="45.53"/>
    <n v="45.53"/>
    <n v="45.53"/>
    <n v="45.53"/>
    <n v="0"/>
    <n v="0"/>
    <n v="0"/>
    <n v="0"/>
    <n v="0"/>
    <n v="0"/>
    <n v="0"/>
    <n v="0"/>
    <n v="0"/>
    <n v="0"/>
    <n v="0"/>
    <n v="0"/>
    <n v="0"/>
    <n v="0"/>
    <n v="0"/>
    <n v="0"/>
    <n v="0"/>
    <n v="0"/>
    <n v="0"/>
    <n v="0"/>
    <n v="0"/>
    <n v="0"/>
    <n v="0"/>
    <m/>
    <n v="0"/>
    <n v="45.53"/>
    <n v="0"/>
    <n v="0"/>
    <n v="0"/>
    <n v="45.53"/>
    <n v="0"/>
    <n v="45.53"/>
    <n v="0"/>
    <n v="0"/>
    <n v="0"/>
    <n v="45.53"/>
    <n v="0"/>
    <n v="0"/>
    <m/>
    <m/>
    <m/>
    <m/>
    <m/>
    <m/>
    <m/>
    <m/>
    <m/>
    <m/>
    <m/>
    <m/>
    <m/>
    <m/>
    <m/>
    <m/>
    <m/>
    <m/>
    <m/>
    <m/>
    <m/>
    <m/>
    <m/>
    <m/>
    <m/>
    <m/>
    <m/>
    <m/>
    <m/>
    <m/>
    <m/>
    <m/>
    <m/>
    <m/>
  </r>
  <r>
    <n v="742"/>
    <d v="2025-03-17T00:00:00"/>
    <x v="0"/>
    <n v="9518606704"/>
    <n v="5"/>
    <s v="9518606704-5"/>
    <s v="May'25"/>
    <x v="0"/>
    <s v="Yes"/>
    <x v="1"/>
    <x v="11"/>
    <x v="0"/>
    <m/>
    <x v="1"/>
    <m/>
    <m/>
    <m/>
    <s v="South"/>
    <s v="YESHWANTHPURA"/>
    <x v="2"/>
    <x v="40"/>
    <x v="0"/>
    <x v="58"/>
    <s v="CRCA COIL TATXXD AH03 1.200X1250"/>
    <s v=" "/>
    <s v=""/>
    <n v="10"/>
    <n v="30"/>
    <m/>
    <x v="1"/>
    <x v="2"/>
    <s v="AH03"/>
    <x v="19"/>
    <x v="0"/>
    <x v="0"/>
    <n v="87"/>
    <n v="0"/>
    <n v="87"/>
    <n v="87"/>
    <n v="3.6499999999999915"/>
    <n v="87"/>
    <n v="0"/>
    <n v="0"/>
    <n v="0"/>
    <n v="0"/>
    <n v="0"/>
    <n v="0"/>
    <n v="0"/>
    <n v="0"/>
    <n v="0"/>
    <n v="0"/>
    <n v="0"/>
    <n v="0"/>
    <n v="83.350000000000009"/>
    <n v="0"/>
    <n v="0"/>
    <n v="0"/>
    <n v="0"/>
    <n v="0"/>
    <n v="0"/>
    <n v="83.350000000000009"/>
    <n v="83.350000000000009"/>
    <n v="0"/>
    <n v="83.350000000000009"/>
    <m/>
    <n v="0"/>
    <n v="87"/>
    <n v="0"/>
    <n v="87"/>
    <n v="0"/>
    <n v="0"/>
    <n v="0"/>
    <n v="87"/>
    <n v="0"/>
    <n v="87"/>
    <n v="0"/>
    <n v="0"/>
    <n v="0"/>
    <n v="0"/>
    <m/>
    <m/>
    <m/>
    <m/>
    <m/>
    <m/>
    <m/>
    <m/>
    <m/>
    <m/>
    <m/>
    <m/>
    <m/>
    <m/>
    <m/>
    <m/>
    <m/>
    <m/>
    <m/>
    <m/>
    <m/>
    <m/>
    <m/>
    <m/>
    <m/>
    <m/>
    <m/>
    <m/>
    <m/>
    <m/>
    <m/>
    <m/>
    <m/>
    <m/>
  </r>
  <r>
    <n v="742"/>
    <d v="2025-03-17T00:00:00"/>
    <x v="0"/>
    <n v="9518606704"/>
    <n v="8"/>
    <s v="9518606704-8"/>
    <s v="No Priority"/>
    <x v="0"/>
    <m/>
    <x v="1"/>
    <x v="12"/>
    <x v="0"/>
    <m/>
    <x v="0"/>
    <m/>
    <m/>
    <m/>
    <s v="South"/>
    <s v="YESHWANTHPURA"/>
    <x v="2"/>
    <x v="40"/>
    <x v="0"/>
    <x v="313"/>
    <s v="CRCA COIL TSBSTA EL03 0.5X1250"/>
    <s v=" "/>
    <s v=""/>
    <n v="10"/>
    <n v="30"/>
    <m/>
    <x v="1"/>
    <x v="9"/>
    <s v="EL03"/>
    <x v="1"/>
    <x v="0"/>
    <x v="0"/>
    <n v="203"/>
    <n v="0"/>
    <n v="203"/>
    <n v="203"/>
    <n v="203"/>
    <n v="203"/>
    <n v="0"/>
    <n v="0"/>
    <n v="0"/>
    <n v="0"/>
    <n v="0"/>
    <n v="0"/>
    <n v="0"/>
    <n v="0"/>
    <n v="0"/>
    <n v="0"/>
    <n v="0"/>
    <n v="0"/>
    <n v="0"/>
    <n v="0"/>
    <n v="0"/>
    <n v="0"/>
    <n v="0"/>
    <n v="0"/>
    <n v="0"/>
    <n v="0"/>
    <n v="0"/>
    <n v="0"/>
    <n v="0"/>
    <m/>
    <n v="0"/>
    <n v="0"/>
    <n v="0"/>
    <n v="0"/>
    <n v="0"/>
    <n v="0"/>
    <n v="0"/>
    <n v="0"/>
    <n v="0"/>
    <n v="0"/>
    <n v="0"/>
    <n v="0"/>
    <n v="0"/>
    <n v="0"/>
    <m/>
    <m/>
    <m/>
    <m/>
    <m/>
    <m/>
    <m/>
    <m/>
    <m/>
    <m/>
    <m/>
    <m/>
    <m/>
    <m/>
    <m/>
    <m/>
    <m/>
    <m/>
    <m/>
    <m/>
    <m/>
    <m/>
    <m/>
    <m/>
    <m/>
    <m/>
    <m/>
    <m/>
    <m/>
    <m/>
    <m/>
    <m/>
    <m/>
    <m/>
  </r>
  <r>
    <n v="742"/>
    <d v="2025-03-26T00:00:00"/>
    <x v="0"/>
    <n v="9518637097"/>
    <n v="5"/>
    <s v="9518637097-5"/>
    <s v="May'25"/>
    <x v="0"/>
    <s v="Yes"/>
    <x v="1"/>
    <x v="2"/>
    <x v="0"/>
    <m/>
    <x v="1"/>
    <m/>
    <m/>
    <m/>
    <s v="East"/>
    <s v="URLA"/>
    <x v="2"/>
    <x v="92"/>
    <x v="89"/>
    <x v="42"/>
    <s v="CRCA SHEET TSBCRC SR15 0.600X1250X2500"/>
    <s v=" "/>
    <s v=""/>
    <n v="1"/>
    <n v="3"/>
    <m/>
    <x v="2"/>
    <x v="4"/>
    <s v="SR15"/>
    <x v="20"/>
    <x v="0"/>
    <x v="3"/>
    <n v="60"/>
    <n v="0"/>
    <n v="60"/>
    <n v="60"/>
    <n v="60"/>
    <n v="60"/>
    <n v="0"/>
    <n v="0"/>
    <n v="0"/>
    <n v="0"/>
    <n v="0"/>
    <n v="0"/>
    <n v="0"/>
    <n v="0"/>
    <n v="0"/>
    <n v="0"/>
    <n v="0"/>
    <n v="0"/>
    <n v="0"/>
    <n v="0"/>
    <n v="0"/>
    <n v="0"/>
    <n v="0"/>
    <n v="0"/>
    <n v="0"/>
    <n v="0"/>
    <n v="0"/>
    <n v="0"/>
    <n v="0"/>
    <m/>
    <n v="0"/>
    <n v="60"/>
    <n v="0"/>
    <n v="0"/>
    <n v="60"/>
    <n v="0"/>
    <n v="0"/>
    <n v="60"/>
    <n v="0"/>
    <n v="0"/>
    <n v="60"/>
    <n v="0"/>
    <n v="0"/>
    <n v="0"/>
    <m/>
    <m/>
    <m/>
    <m/>
    <m/>
    <m/>
    <m/>
    <m/>
    <m/>
    <m/>
    <m/>
    <m/>
    <m/>
    <m/>
    <m/>
    <m/>
    <m/>
    <m/>
    <m/>
    <m/>
    <m/>
    <m/>
    <m/>
    <m/>
    <m/>
    <m/>
    <m/>
    <m/>
    <m/>
    <m/>
    <m/>
    <m/>
    <m/>
    <m/>
  </r>
  <r>
    <n v="742"/>
    <d v="2025-03-17T00:00:00"/>
    <x v="0"/>
    <n v="9518605584"/>
    <n v="1"/>
    <s v="9518605584-1"/>
    <s v="No Priority"/>
    <x v="0"/>
    <m/>
    <x v="1"/>
    <x v="1"/>
    <x v="0"/>
    <m/>
    <x v="0"/>
    <m/>
    <m/>
    <m/>
    <s v="North"/>
    <s v="ZOSOLA"/>
    <x v="2"/>
    <x v="50"/>
    <x v="49"/>
    <x v="2"/>
    <s v="CRSHEET-ICF  DQ TATXXD AU03 0.40 X 1250"/>
    <s v=" "/>
    <s v=""/>
    <n v="7"/>
    <n v="29"/>
    <m/>
    <x v="1"/>
    <x v="2"/>
    <s v="AU03"/>
    <x v="2"/>
    <x v="0"/>
    <x v="0"/>
    <n v="145"/>
    <n v="0"/>
    <n v="145"/>
    <n v="145"/>
    <n v="145"/>
    <n v="145"/>
    <n v="0"/>
    <n v="0"/>
    <n v="0"/>
    <n v="0"/>
    <n v="0"/>
    <n v="0"/>
    <n v="0"/>
    <n v="0"/>
    <n v="0"/>
    <n v="0"/>
    <n v="0"/>
    <n v="0"/>
    <n v="0"/>
    <n v="0"/>
    <n v="0"/>
    <n v="0"/>
    <n v="0"/>
    <n v="0"/>
    <n v="0"/>
    <n v="0"/>
    <n v="0"/>
    <n v="0"/>
    <n v="0"/>
    <m/>
    <n v="0"/>
    <n v="0"/>
    <n v="0"/>
    <n v="0"/>
    <n v="0"/>
    <n v="0"/>
    <n v="0"/>
    <n v="0"/>
    <n v="0"/>
    <n v="0"/>
    <n v="0"/>
    <n v="0"/>
    <n v="0"/>
    <n v="0"/>
    <m/>
    <m/>
    <m/>
    <m/>
    <m/>
    <m/>
    <m/>
    <m/>
    <m/>
    <m/>
    <m/>
    <m/>
    <m/>
    <m/>
    <m/>
    <m/>
    <m/>
    <m/>
    <m/>
    <m/>
    <m/>
    <m/>
    <m/>
    <m/>
    <m/>
    <m/>
    <m/>
    <m/>
    <m/>
    <m/>
    <m/>
    <m/>
    <m/>
    <m/>
  </r>
  <r>
    <n v="742"/>
    <d v="2025-03-22T00:00:00"/>
    <x v="0"/>
    <n v="9518624222"/>
    <n v="1"/>
    <s v="9518624222-1"/>
    <s v="No Priority"/>
    <x v="0"/>
    <m/>
    <x v="1"/>
    <x v="1"/>
    <x v="0"/>
    <m/>
    <x v="0"/>
    <m/>
    <m/>
    <m/>
    <s v="North"/>
    <s v="ZOSOLA"/>
    <x v="2"/>
    <x v="50"/>
    <x v="49"/>
    <x v="254"/>
    <s v="CRCA COIL-TATXXD-AU03-0.5X1250"/>
    <s v=" "/>
    <s v=""/>
    <n v="15"/>
    <n v="29"/>
    <m/>
    <x v="1"/>
    <x v="2"/>
    <s v="AU03"/>
    <x v="1"/>
    <x v="0"/>
    <x v="0"/>
    <n v="203"/>
    <n v="0"/>
    <n v="203"/>
    <n v="11.285"/>
    <n v="203"/>
    <n v="150.20500000000001"/>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18"/>
    <s v="9518569795-18"/>
    <s v="May'25"/>
    <x v="0"/>
    <s v="Yes"/>
    <x v="1"/>
    <x v="2"/>
    <x v="0"/>
    <m/>
    <x v="1"/>
    <m/>
    <m/>
    <m/>
    <s v="East"/>
    <s v="SILIGURI TOWN"/>
    <x v="2"/>
    <x v="66"/>
    <x v="24"/>
    <x v="17"/>
    <s v="CRCA SHEET TATCRC SR16 0.450X1000X2500"/>
    <s v=" "/>
    <s v=""/>
    <n v="2"/>
    <n v="3"/>
    <m/>
    <x v="2"/>
    <x v="1"/>
    <s v="SR16"/>
    <x v="10"/>
    <x v="2"/>
    <x v="3"/>
    <n v="24"/>
    <n v="0"/>
    <n v="24"/>
    <n v="24"/>
    <n v="2.1499999999999986"/>
    <n v="24"/>
    <n v="0"/>
    <n v="0"/>
    <n v="0"/>
    <n v="0"/>
    <n v="0"/>
    <n v="0"/>
    <n v="0"/>
    <n v="0"/>
    <n v="0"/>
    <n v="0"/>
    <n v="0"/>
    <n v="0"/>
    <n v="0"/>
    <n v="21.85"/>
    <n v="0"/>
    <n v="0"/>
    <n v="0"/>
    <n v="0"/>
    <n v="0"/>
    <n v="21.85"/>
    <n v="21.85"/>
    <n v="0"/>
    <n v="21.85"/>
    <m/>
    <n v="0"/>
    <n v="24"/>
    <n v="0"/>
    <n v="24"/>
    <n v="0"/>
    <n v="0"/>
    <n v="0"/>
    <n v="24"/>
    <n v="0"/>
    <n v="24"/>
    <n v="0"/>
    <n v="0"/>
    <n v="0"/>
    <n v="0"/>
    <m/>
    <m/>
    <m/>
    <m/>
    <m/>
    <m/>
    <m/>
    <m/>
    <m/>
    <m/>
    <m/>
    <m/>
    <m/>
    <m/>
    <m/>
    <m/>
    <m/>
    <m/>
    <m/>
    <m/>
    <m/>
    <m/>
    <m/>
    <m/>
    <m/>
    <m/>
    <m/>
    <m/>
    <m/>
    <m/>
    <m/>
    <m/>
    <m/>
    <m/>
  </r>
  <r>
    <n v="742"/>
    <d v="2025-03-24T00:00:00"/>
    <x v="0"/>
    <n v="9518628976"/>
    <n v="1"/>
    <s v="9518628976-1"/>
    <s v="No Priority"/>
    <x v="0"/>
    <m/>
    <x v="1"/>
    <x v="1"/>
    <x v="0"/>
    <m/>
    <x v="0"/>
    <m/>
    <m/>
    <m/>
    <s v="South"/>
    <s v="VALPARAI"/>
    <x v="2"/>
    <x v="13"/>
    <x v="13"/>
    <x v="254"/>
    <s v="CRCA COIL-TATXXD-AU03-0.5X1250"/>
    <s v=" "/>
    <s v=""/>
    <n v="6"/>
    <n v="18"/>
    <m/>
    <x v="1"/>
    <x v="2"/>
    <s v="AU03"/>
    <x v="1"/>
    <x v="0"/>
    <x v="0"/>
    <n v="116"/>
    <n v="24.515000000000001"/>
    <n v="91.484999999999999"/>
    <n v="91.484999999999999"/>
    <n v="91.484999999999999"/>
    <n v="91.484999999999999"/>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11"/>
    <s v="9518620674-11"/>
    <s v="May'25"/>
    <x v="0"/>
    <s v="Yes"/>
    <x v="1"/>
    <x v="1"/>
    <x v="0"/>
    <m/>
    <x v="1"/>
    <m/>
    <m/>
    <m/>
    <s v="South"/>
    <s v="CHENNAI"/>
    <x v="2"/>
    <x v="4"/>
    <x v="4"/>
    <x v="113"/>
    <s v="CRCA COIL-TATXXD-AU03-0.6X1250"/>
    <s v=" "/>
    <s v=""/>
    <n v="6"/>
    <n v="18"/>
    <m/>
    <x v="1"/>
    <x v="2"/>
    <s v="AU03"/>
    <x v="20"/>
    <x v="0"/>
    <x v="0"/>
    <n v="29"/>
    <n v="0"/>
    <n v="29"/>
    <n v="29"/>
    <n v="2.0500000000000007"/>
    <n v="29"/>
    <n v="0"/>
    <n v="0"/>
    <n v="0"/>
    <n v="0"/>
    <n v="0"/>
    <n v="0"/>
    <n v="0"/>
    <n v="0"/>
    <n v="0"/>
    <n v="0"/>
    <n v="0"/>
    <n v="0"/>
    <n v="0"/>
    <n v="26.95"/>
    <n v="0"/>
    <n v="0"/>
    <n v="0"/>
    <n v="0"/>
    <n v="0"/>
    <n v="26.95"/>
    <n v="26.95"/>
    <n v="0"/>
    <n v="26.95"/>
    <m/>
    <n v="0"/>
    <n v="29"/>
    <n v="29"/>
    <n v="0"/>
    <n v="0"/>
    <n v="0"/>
    <n v="0"/>
    <n v="29"/>
    <n v="0"/>
    <n v="29"/>
    <n v="0"/>
    <n v="0"/>
    <n v="0"/>
    <n v="0"/>
    <m/>
    <m/>
    <m/>
    <m/>
    <m/>
    <m/>
    <m/>
    <m/>
    <m/>
    <m/>
    <m/>
    <m/>
    <m/>
    <m/>
    <m/>
    <m/>
    <m/>
    <m/>
    <m/>
    <m/>
    <m/>
    <m/>
    <m/>
    <m/>
    <m/>
    <m/>
    <m/>
    <m/>
    <m/>
    <m/>
    <m/>
    <m/>
    <m/>
    <m/>
  </r>
  <r>
    <n v="742"/>
    <d v="2025-03-21T00:00:00"/>
    <x v="0"/>
    <n v="9518620674"/>
    <n v="13"/>
    <s v="9518620674-13"/>
    <s v="May'25"/>
    <x v="0"/>
    <s v="Yes"/>
    <x v="1"/>
    <x v="1"/>
    <x v="0"/>
    <m/>
    <x v="1"/>
    <m/>
    <m/>
    <m/>
    <s v="South"/>
    <s v="CHENNAI"/>
    <x v="2"/>
    <x v="4"/>
    <x v="4"/>
    <x v="293"/>
    <s v="CRCA COIL-TATXXD-AU03-0.7X1250"/>
    <s v=" "/>
    <s v=""/>
    <n v="6"/>
    <n v="18"/>
    <m/>
    <x v="1"/>
    <x v="2"/>
    <s v="AU03"/>
    <x v="4"/>
    <x v="0"/>
    <x v="0"/>
    <n v="58"/>
    <n v="0"/>
    <n v="58"/>
    <n v="58"/>
    <n v="3.1700000000000017"/>
    <n v="58"/>
    <n v="0"/>
    <n v="0"/>
    <n v="0"/>
    <n v="0"/>
    <n v="0"/>
    <n v="0"/>
    <n v="0"/>
    <n v="0"/>
    <n v="0"/>
    <n v="0"/>
    <n v="0"/>
    <n v="0"/>
    <n v="0"/>
    <n v="54.83"/>
    <n v="0"/>
    <n v="0"/>
    <n v="0"/>
    <n v="0"/>
    <n v="0"/>
    <n v="54.83"/>
    <n v="54.83"/>
    <n v="0"/>
    <n v="54.83"/>
    <m/>
    <n v="0"/>
    <n v="58"/>
    <n v="58"/>
    <n v="0"/>
    <n v="0"/>
    <n v="0"/>
    <n v="0"/>
    <n v="58"/>
    <n v="0"/>
    <n v="58"/>
    <n v="0"/>
    <n v="0"/>
    <n v="0"/>
    <n v="0"/>
    <m/>
    <m/>
    <m/>
    <m/>
    <m/>
    <m/>
    <m/>
    <m/>
    <m/>
    <m/>
    <m/>
    <m/>
    <m/>
    <m/>
    <m/>
    <m/>
    <m/>
    <m/>
    <m/>
    <m/>
    <m/>
    <m/>
    <m/>
    <m/>
    <m/>
    <m/>
    <m/>
    <m/>
    <m/>
    <m/>
    <m/>
    <m/>
    <m/>
    <m/>
  </r>
  <r>
    <n v="742"/>
    <d v="2025-03-21T00:00:00"/>
    <x v="0"/>
    <n v="9518620674"/>
    <n v="16"/>
    <s v="9518620674-16"/>
    <s v="May'25"/>
    <x v="0"/>
    <s v="Yes"/>
    <x v="1"/>
    <x v="1"/>
    <x v="0"/>
    <m/>
    <x v="1"/>
    <m/>
    <m/>
    <m/>
    <s v="South"/>
    <s v="CHENNAI"/>
    <x v="2"/>
    <x v="4"/>
    <x v="4"/>
    <x v="228"/>
    <s v="CRCA COIL-TATXXD-AU03-1X1250"/>
    <s v=" "/>
    <s v=""/>
    <n v="6"/>
    <n v="18"/>
    <m/>
    <x v="1"/>
    <x v="2"/>
    <s v="AU03"/>
    <x v="17"/>
    <x v="0"/>
    <x v="0"/>
    <n v="87"/>
    <n v="0"/>
    <n v="87"/>
    <n v="87"/>
    <n v="30.125"/>
    <n v="70.72"/>
    <n v="0"/>
    <n v="0"/>
    <n v="0"/>
    <n v="0"/>
    <n v="0"/>
    <n v="0"/>
    <n v="0"/>
    <n v="0"/>
    <n v="0"/>
    <n v="0"/>
    <n v="0"/>
    <n v="0"/>
    <n v="27.240000000000002"/>
    <n v="23.48"/>
    <n v="0"/>
    <n v="6.1550000000000002"/>
    <n v="0"/>
    <n v="0"/>
    <n v="0"/>
    <n v="56.875"/>
    <n v="56.875"/>
    <n v="0"/>
    <n v="56.875"/>
    <m/>
    <n v="0"/>
    <n v="70.72"/>
    <n v="0"/>
    <n v="70.72"/>
    <n v="0"/>
    <n v="0"/>
    <n v="0"/>
    <n v="70.72"/>
    <n v="0"/>
    <n v="70.72"/>
    <n v="0"/>
    <n v="0"/>
    <n v="0"/>
    <n v="0"/>
    <m/>
    <m/>
    <m/>
    <m/>
    <m/>
    <m/>
    <m/>
    <m/>
    <m/>
    <m/>
    <m/>
    <m/>
    <m/>
    <m/>
    <m/>
    <m/>
    <m/>
    <m/>
    <m/>
    <m/>
    <m/>
    <m/>
    <m/>
    <m/>
    <m/>
    <m/>
    <m/>
    <m/>
    <m/>
    <m/>
    <m/>
    <m/>
    <m/>
    <m/>
  </r>
  <r>
    <n v="744"/>
    <d v="2025-03-29T00:00:00"/>
    <x v="0"/>
    <n v="9518651680"/>
    <n v="6"/>
    <s v="9518651680-6"/>
    <s v="May'25"/>
    <x v="0"/>
    <m/>
    <x v="2"/>
    <x v="3"/>
    <x v="2"/>
    <m/>
    <x v="1"/>
    <m/>
    <m/>
    <m/>
    <s v="TBSPL"/>
    <s v="GAMHARIA"/>
    <x v="2"/>
    <x v="15"/>
    <x v="15"/>
    <x v="86"/>
    <s v="PPGL C Y550 ISC6 0.45BMT(0.50TPT)X1220"/>
    <s v="aZ70"/>
    <s v="PRO DEN BLUE TSL 1915"/>
    <n v="3"/>
    <n v="5"/>
    <m/>
    <x v="3"/>
    <x v="3"/>
    <s v="ISC6"/>
    <x v="10"/>
    <x v="1"/>
    <x v="0"/>
    <n v="56"/>
    <n v="8.8049999999999997"/>
    <n v="47.195"/>
    <n v="47.195"/>
    <n v="47.195"/>
    <n v="47.195"/>
    <n v="0"/>
    <n v="0"/>
    <n v="0"/>
    <n v="0"/>
    <n v="0"/>
    <n v="0"/>
    <n v="0"/>
    <n v="0"/>
    <n v="0"/>
    <n v="0"/>
    <n v="0"/>
    <n v="0"/>
    <n v="0"/>
    <n v="0"/>
    <n v="0"/>
    <n v="0"/>
    <n v="0"/>
    <n v="0"/>
    <n v="0"/>
    <n v="0"/>
    <n v="0"/>
    <n v="0"/>
    <n v="0"/>
    <m/>
    <n v="0"/>
    <n v="47.195"/>
    <n v="0"/>
    <n v="0"/>
    <n v="47.195"/>
    <n v="0"/>
    <n v="0"/>
    <n v="47.195"/>
    <n v="0"/>
    <n v="0"/>
    <n v="0"/>
    <n v="47.195"/>
    <n v="0"/>
    <n v="0"/>
    <m/>
    <m/>
    <m/>
    <m/>
    <m/>
    <m/>
    <m/>
    <m/>
    <m/>
    <m/>
    <m/>
    <m/>
    <m/>
    <m/>
    <m/>
    <m/>
    <m/>
    <m/>
    <m/>
    <m/>
    <m/>
    <m/>
    <m/>
    <m/>
    <m/>
    <m/>
    <m/>
    <m/>
    <m/>
    <m/>
    <m/>
    <m/>
    <m/>
    <m/>
  </r>
  <r>
    <n v="742"/>
    <d v="2025-03-21T00:00:00"/>
    <x v="0"/>
    <n v="9518620674"/>
    <n v="17"/>
    <s v="9518620674-17"/>
    <s v="No Priority"/>
    <x v="0"/>
    <m/>
    <x v="1"/>
    <x v="1"/>
    <x v="0"/>
    <m/>
    <x v="0"/>
    <m/>
    <m/>
    <m/>
    <s v="South"/>
    <s v="CHENNAI"/>
    <x v="2"/>
    <x v="4"/>
    <x v="4"/>
    <x v="64"/>
    <s v="CRCA COIL TATXXD AU03 1X1320"/>
    <s v=" "/>
    <s v=""/>
    <n v="6"/>
    <n v="18"/>
    <m/>
    <x v="1"/>
    <x v="2"/>
    <s v="AU03"/>
    <x v="17"/>
    <x v="9"/>
    <x v="0"/>
    <n v="90"/>
    <n v="0"/>
    <n v="90"/>
    <n v="90"/>
    <n v="90"/>
    <n v="90"/>
    <n v="0"/>
    <n v="0"/>
    <n v="0"/>
    <n v="0"/>
    <n v="0"/>
    <n v="0"/>
    <n v="0"/>
    <n v="0"/>
    <n v="0"/>
    <n v="0"/>
    <n v="0"/>
    <n v="0"/>
    <n v="0"/>
    <n v="0"/>
    <n v="0"/>
    <n v="0"/>
    <n v="0"/>
    <n v="0"/>
    <n v="0"/>
    <n v="0"/>
    <n v="0"/>
    <n v="0"/>
    <n v="0"/>
    <m/>
    <n v="0"/>
    <n v="0"/>
    <n v="0"/>
    <n v="0"/>
    <n v="0"/>
    <n v="0"/>
    <n v="0"/>
    <n v="0"/>
    <n v="0"/>
    <n v="0"/>
    <n v="0"/>
    <n v="0"/>
    <n v="0"/>
    <n v="0"/>
    <m/>
    <m/>
    <m/>
    <m/>
    <m/>
    <m/>
    <m/>
    <m/>
    <m/>
    <m/>
    <m/>
    <m/>
    <m/>
    <m/>
    <m/>
    <m/>
    <m/>
    <m/>
    <m/>
    <m/>
    <m/>
    <m/>
    <m/>
    <m/>
    <m/>
    <m/>
    <m/>
    <m/>
    <m/>
    <m/>
    <m/>
    <m/>
    <m/>
    <m/>
  </r>
  <r>
    <n v="744"/>
    <d v="2025-03-29T00:00:00"/>
    <x v="0"/>
    <n v="9518652646"/>
    <n v="1"/>
    <s v="9518652646-1"/>
    <s v="May'25"/>
    <x v="0"/>
    <m/>
    <x v="2"/>
    <x v="3"/>
    <x v="2"/>
    <m/>
    <x v="1"/>
    <m/>
    <m/>
    <m/>
    <s v="TBSPL"/>
    <s v=" "/>
    <x v="2"/>
    <x v="6"/>
    <x v="6"/>
    <x v="84"/>
    <s v="PPGL C HARD Y550PL D0C9 0.50(TPT)X1220"/>
    <s v="AZ150"/>
    <s v="ROYAL BLUE TSL 1815"/>
    <n v="3"/>
    <n v="5"/>
    <m/>
    <x v="3"/>
    <x v="3"/>
    <s v="D0C9"/>
    <x v="1"/>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4"/>
    <d v="2025-03-27T00:00:00"/>
    <x v="0"/>
    <n v="9518644023"/>
    <n v="2"/>
    <s v="9518644023-2"/>
    <s v="May'25"/>
    <x v="0"/>
    <m/>
    <x v="2"/>
    <x v="3"/>
    <x v="2"/>
    <m/>
    <x v="1"/>
    <m/>
    <m/>
    <m/>
    <s v="TBSPL"/>
    <s v=" "/>
    <x v="2"/>
    <x v="6"/>
    <x v="6"/>
    <x v="84"/>
    <s v="PPGL C HARD Y550PL D0C9 0.50(TPT)X1220"/>
    <s v="AZ150"/>
    <s v="ROYAL BLUE TSL 1815"/>
    <n v="3"/>
    <n v="5"/>
    <m/>
    <x v="3"/>
    <x v="3"/>
    <s v="D0C9"/>
    <x v="1"/>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4"/>
    <d v="2025-03-27T00:00:00"/>
    <x v="0"/>
    <n v="9518644023"/>
    <n v="3"/>
    <s v="9518644023-3"/>
    <s v="May'25"/>
    <x v="0"/>
    <m/>
    <x v="2"/>
    <x v="3"/>
    <x v="2"/>
    <m/>
    <x v="1"/>
    <m/>
    <m/>
    <m/>
    <s v="TBSPL"/>
    <s v=" "/>
    <x v="2"/>
    <x v="6"/>
    <x v="6"/>
    <x v="84"/>
    <s v="PPGL C HARD Y550PL D0C9 0.50(TPT)X1220"/>
    <s v="AZ150"/>
    <s v="ROYAL BLUE TSL 1815"/>
    <n v="3"/>
    <n v="5"/>
    <m/>
    <x v="3"/>
    <x v="3"/>
    <s v="D0C9"/>
    <x v="1"/>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4"/>
    <d v="2025-03-27T00:00:00"/>
    <x v="0"/>
    <n v="9518644023"/>
    <n v="4"/>
    <s v="9518644023-4"/>
    <s v="May'25"/>
    <x v="0"/>
    <m/>
    <x v="2"/>
    <x v="3"/>
    <x v="2"/>
    <m/>
    <x v="1"/>
    <m/>
    <m/>
    <m/>
    <s v="TBSPL"/>
    <s v=" "/>
    <x v="2"/>
    <x v="6"/>
    <x v="6"/>
    <x v="84"/>
    <s v="PPGL C HARD Y550PL D0C9 0.50(TPT)X1220"/>
    <s v="AZ150"/>
    <s v="ROYAL BLUE TSL 1815"/>
    <n v="3"/>
    <n v="5"/>
    <m/>
    <x v="3"/>
    <x v="3"/>
    <s v="D0C9"/>
    <x v="1"/>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4"/>
    <d v="2025-03-25T00:00:00"/>
    <x v="0"/>
    <n v="9518633048"/>
    <n v="1"/>
    <s v="9518633048-1"/>
    <s v="May'25"/>
    <x v="0"/>
    <m/>
    <x v="2"/>
    <x v="3"/>
    <x v="2"/>
    <m/>
    <x v="1"/>
    <m/>
    <m/>
    <m/>
    <s v="TBSPL"/>
    <s v=" "/>
    <x v="2"/>
    <x v="6"/>
    <x v="6"/>
    <x v="84"/>
    <s v="PPGL C HARD Y550PL D0C9 0.50(TPT)X1220"/>
    <s v="AZ150"/>
    <s v="ROYAL BLUE TSL 1815"/>
    <n v="3"/>
    <n v="5"/>
    <m/>
    <x v="3"/>
    <x v="3"/>
    <s v="D0C9"/>
    <x v="1"/>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4"/>
    <d v="2025-03-25T00:00:00"/>
    <x v="0"/>
    <n v="9518633048"/>
    <n v="2"/>
    <s v="9518633048-2"/>
    <s v="May'25"/>
    <x v="0"/>
    <m/>
    <x v="2"/>
    <x v="3"/>
    <x v="2"/>
    <m/>
    <x v="1"/>
    <m/>
    <m/>
    <m/>
    <s v="TBSPL"/>
    <s v=" "/>
    <x v="2"/>
    <x v="6"/>
    <x v="6"/>
    <x v="84"/>
    <s v="PPGL C HARD Y550PL D0C9 0.50(TPT)X1220"/>
    <s v="AZ150"/>
    <s v="TAURUS BLUE TSL 1813"/>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2"/>
    <d v="2025-03-20T00:00:00"/>
    <x v="0"/>
    <n v="9518617286"/>
    <n v="1"/>
    <s v="9518617286-1"/>
    <s v="No Priority"/>
    <x v="0"/>
    <m/>
    <x v="1"/>
    <x v="1"/>
    <x v="0"/>
    <m/>
    <x v="0"/>
    <m/>
    <m/>
    <m/>
    <s v="North"/>
    <s v="ZOSOLA"/>
    <x v="2"/>
    <x v="90"/>
    <x v="87"/>
    <x v="292"/>
    <s v="CRCA COIL TATXXD AU03 0.8X1250"/>
    <s v=" "/>
    <s v=""/>
    <n v="10"/>
    <n v="30"/>
    <m/>
    <x v="1"/>
    <x v="2"/>
    <s v="AU03"/>
    <x v="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956"/>
    <n v="2"/>
    <s v="9518664956-2"/>
    <s v="No Priority"/>
    <x v="0"/>
    <s v="Yes"/>
    <x v="1"/>
    <x v="1"/>
    <x v="0"/>
    <m/>
    <x v="0"/>
    <m/>
    <s v="De-prioritized due to Apr CF orders"/>
    <m/>
    <s v="South"/>
    <s v="CHENNAI"/>
    <x v="2"/>
    <x v="96"/>
    <x v="95"/>
    <x v="228"/>
    <s v="CRCA COIL-TATXXD-AU03-1X1250"/>
    <s v=" "/>
    <s v=""/>
    <n v="6"/>
    <n v="18"/>
    <m/>
    <x v="1"/>
    <x v="2"/>
    <s v="AU03"/>
    <x v="17"/>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01T00:00:00"/>
    <x v="1"/>
    <n v="9518663142"/>
    <n v="2"/>
    <s v="9518663142-2"/>
    <s v="No Priority"/>
    <x v="0"/>
    <m/>
    <x v="1"/>
    <x v="10"/>
    <x v="2"/>
    <m/>
    <x v="0"/>
    <m/>
    <m/>
    <m/>
    <s v="East"/>
    <s v="PILKHUWA"/>
    <x v="2"/>
    <x v="24"/>
    <x v="23"/>
    <x v="79"/>
    <s v="CRCA COIL TATXXD BT01 0.970X1220"/>
    <s v=" "/>
    <s v=""/>
    <n v="6"/>
    <n v="10"/>
    <m/>
    <x v="1"/>
    <x v="2"/>
    <s v="BT01"/>
    <x v="24"/>
    <x v="1"/>
    <x v="0"/>
    <n v="112"/>
    <n v="0"/>
    <n v="112"/>
    <n v="84.51"/>
    <n v="84.509999999999991"/>
    <n v="112"/>
    <n v="0"/>
    <n v="0"/>
    <n v="0"/>
    <n v="0"/>
    <n v="0"/>
    <n v="0"/>
    <n v="0"/>
    <n v="0"/>
    <n v="0"/>
    <n v="0"/>
    <n v="0"/>
    <n v="0"/>
    <n v="0"/>
    <n v="27.490000000000002"/>
    <n v="0"/>
    <n v="0"/>
    <n v="0"/>
    <n v="0"/>
    <n v="0"/>
    <n v="27.490000000000002"/>
    <n v="27.490000000000002"/>
    <n v="0"/>
    <n v="27.490000000000002"/>
    <m/>
    <n v="0"/>
    <n v="0"/>
    <n v="0"/>
    <n v="0"/>
    <n v="0"/>
    <n v="0"/>
    <n v="0"/>
    <n v="0"/>
    <n v="0"/>
    <n v="0"/>
    <n v="0"/>
    <n v="0"/>
    <n v="0"/>
    <n v="0"/>
    <m/>
    <m/>
    <m/>
    <m/>
    <m/>
    <m/>
    <m/>
    <m/>
    <m/>
    <m/>
    <m/>
    <m/>
    <m/>
    <m/>
    <m/>
    <m/>
    <m/>
    <m/>
    <m/>
    <m/>
    <m/>
    <m/>
    <m/>
    <m/>
    <m/>
    <m/>
    <m/>
    <m/>
    <m/>
    <m/>
    <m/>
    <m/>
    <m/>
    <m/>
  </r>
  <r>
    <n v="744"/>
    <d v="2025-04-05T00:00:00"/>
    <x v="0"/>
    <n v="9518671384"/>
    <n v="1"/>
    <s v="9518671384-1"/>
    <s v="May'25"/>
    <x v="0"/>
    <m/>
    <x v="2"/>
    <x v="3"/>
    <x v="2"/>
    <m/>
    <x v="1"/>
    <m/>
    <m/>
    <m/>
    <s v="TBSPL"/>
    <s v="GAMHARIA"/>
    <x v="2"/>
    <x v="15"/>
    <x v="15"/>
    <x v="84"/>
    <s v="PPGL C HARD Y550PL D0C9 0.50(TPT)X1220"/>
    <s v="AZ150"/>
    <s v="RAL 7024 TSL 1806"/>
    <n v="3"/>
    <n v="5"/>
    <m/>
    <x v="3"/>
    <x v="3"/>
    <s v="D0C9"/>
    <x v="1"/>
    <x v="1"/>
    <x v="0"/>
    <n v="112"/>
    <n v="0"/>
    <n v="112"/>
    <n v="112"/>
    <n v="112"/>
    <n v="112"/>
    <n v="0"/>
    <n v="0"/>
    <n v="0"/>
    <n v="0"/>
    <n v="0"/>
    <n v="0"/>
    <n v="0"/>
    <n v="0"/>
    <n v="0"/>
    <n v="0"/>
    <n v="0"/>
    <n v="0"/>
    <n v="0"/>
    <n v="0"/>
    <n v="0"/>
    <n v="0"/>
    <n v="0"/>
    <n v="0"/>
    <n v="0"/>
    <n v="0"/>
    <n v="0"/>
    <n v="0"/>
    <n v="0"/>
    <m/>
    <n v="0"/>
    <n v="112"/>
    <n v="0"/>
    <n v="112"/>
    <n v="0"/>
    <n v="0"/>
    <n v="0"/>
    <n v="112"/>
    <n v="0"/>
    <n v="112"/>
    <n v="0"/>
    <n v="0"/>
    <n v="0"/>
    <n v="0"/>
    <m/>
    <m/>
    <m/>
    <m/>
    <m/>
    <m/>
    <m/>
    <m/>
    <m/>
    <m/>
    <m/>
    <m/>
    <m/>
    <m/>
    <m/>
    <m/>
    <m/>
    <m/>
    <m/>
    <m/>
    <m/>
    <m/>
    <m/>
    <m/>
    <m/>
    <m/>
    <m/>
    <m/>
    <m/>
    <m/>
    <m/>
    <m/>
    <m/>
    <m/>
  </r>
  <r>
    <n v="742"/>
    <d v="2025-04-04T00:00:00"/>
    <x v="0"/>
    <n v="9518670119"/>
    <n v="4"/>
    <s v="9518670119-4"/>
    <s v="No Priority"/>
    <x v="0"/>
    <s v="Yes"/>
    <x v="1"/>
    <x v="11"/>
    <x v="0"/>
    <m/>
    <x v="0"/>
    <m/>
    <m/>
    <m/>
    <s v="South"/>
    <s v="PATTANCHERY"/>
    <x v="2"/>
    <x v="35"/>
    <x v="35"/>
    <x v="126"/>
    <s v="CRCA COIL TATXXD AH03 0.800X1250"/>
    <s v=" "/>
    <s v=""/>
    <n v="10"/>
    <n v="30"/>
    <m/>
    <x v="1"/>
    <x v="2"/>
    <s v="AH03"/>
    <x v="5"/>
    <x v="0"/>
    <x v="0"/>
    <n v="29"/>
    <n v="0"/>
    <n v="29"/>
    <n v="3.95"/>
    <n v="29"/>
    <n v="4.82"/>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586"/>
    <n v="2"/>
    <s v="9518694586-2"/>
    <s v="May'25"/>
    <x v="0"/>
    <m/>
    <x v="1"/>
    <x v="10"/>
    <x v="2"/>
    <m/>
    <x v="1"/>
    <m/>
    <m/>
    <m/>
    <s v="South"/>
    <s v="PATANCHERU"/>
    <x v="2"/>
    <x v="93"/>
    <x v="90"/>
    <x v="89"/>
    <s v="CRCA COIL TATXXD BT01 1X1320"/>
    <s v=" "/>
    <s v=""/>
    <n v="5.98"/>
    <n v="8"/>
    <m/>
    <x v="1"/>
    <x v="2"/>
    <s v="BT01"/>
    <x v="17"/>
    <x v="9"/>
    <x v="0"/>
    <n v="90"/>
    <n v="0"/>
    <n v="90"/>
    <n v="90"/>
    <n v="90"/>
    <n v="63.51"/>
    <n v="0"/>
    <n v="0"/>
    <n v="0"/>
    <n v="0"/>
    <n v="0"/>
    <n v="0"/>
    <n v="0"/>
    <n v="0"/>
    <n v="0"/>
    <n v="0"/>
    <n v="0"/>
    <n v="0"/>
    <n v="0"/>
    <n v="0"/>
    <n v="0"/>
    <n v="0"/>
    <n v="0"/>
    <n v="0"/>
    <n v="0"/>
    <n v="0"/>
    <n v="0"/>
    <n v="0"/>
    <n v="0"/>
    <m/>
    <n v="26.47"/>
    <n v="63.51"/>
    <n v="0"/>
    <n v="0"/>
    <n v="63.51"/>
    <n v="0"/>
    <n v="0"/>
    <n v="89.97999999999999"/>
    <n v="0"/>
    <n v="0"/>
    <n v="0"/>
    <n v="89.97999999999999"/>
    <n v="0"/>
    <n v="0"/>
    <m/>
    <m/>
    <m/>
    <m/>
    <m/>
    <m/>
    <m/>
    <m/>
    <m/>
    <m/>
    <m/>
    <m/>
    <m/>
    <m/>
    <m/>
    <m/>
    <m/>
    <m/>
    <m/>
    <m/>
    <m/>
    <m/>
    <m/>
    <m/>
    <m/>
    <m/>
    <m/>
    <m/>
    <m/>
    <m/>
    <m/>
    <m/>
    <m/>
    <m/>
  </r>
  <r>
    <n v="742"/>
    <d v="2025-03-28T00:00:00"/>
    <x v="0"/>
    <n v="9518649438"/>
    <n v="3"/>
    <s v="9518649438-3"/>
    <s v="May'25"/>
    <x v="0"/>
    <s v="Yes"/>
    <x v="1"/>
    <x v="1"/>
    <x v="0"/>
    <m/>
    <x v="1"/>
    <m/>
    <m/>
    <m/>
    <s v="South"/>
    <s v="CHENNAI"/>
    <x v="2"/>
    <x v="13"/>
    <x v="13"/>
    <x v="102"/>
    <s v="CRCA COIL-TATXXD-AU03-1.6X1250"/>
    <s v=" "/>
    <s v=""/>
    <n v="6"/>
    <n v="18"/>
    <m/>
    <x v="1"/>
    <x v="2"/>
    <s v="AU03"/>
    <x v="22"/>
    <x v="0"/>
    <x v="0"/>
    <n v="29"/>
    <n v="0"/>
    <n v="29"/>
    <n v="29"/>
    <n v="8.2399999999999984"/>
    <n v="29"/>
    <n v="0"/>
    <n v="0"/>
    <n v="0"/>
    <n v="0"/>
    <n v="0"/>
    <n v="0"/>
    <n v="0"/>
    <n v="0"/>
    <n v="0"/>
    <n v="0"/>
    <n v="0"/>
    <n v="0"/>
    <n v="20.76"/>
    <n v="0"/>
    <n v="0"/>
    <n v="0"/>
    <n v="0"/>
    <n v="0"/>
    <n v="0"/>
    <n v="20.76"/>
    <n v="20.76"/>
    <n v="0"/>
    <n v="20.76"/>
    <m/>
    <n v="0"/>
    <n v="29"/>
    <n v="0"/>
    <n v="29"/>
    <n v="0"/>
    <n v="0"/>
    <n v="0"/>
    <n v="29"/>
    <n v="0"/>
    <n v="29"/>
    <n v="0"/>
    <n v="0"/>
    <n v="0"/>
    <n v="0"/>
    <m/>
    <m/>
    <m/>
    <m/>
    <m/>
    <m/>
    <m/>
    <m/>
    <m/>
    <m/>
    <m/>
    <m/>
    <m/>
    <m/>
    <m/>
    <m/>
    <m/>
    <m/>
    <m/>
    <m/>
    <m/>
    <m/>
    <m/>
    <m/>
    <m/>
    <m/>
    <m/>
    <m/>
    <m/>
    <m/>
    <m/>
    <m/>
    <m/>
    <m/>
  </r>
  <r>
    <n v="742"/>
    <d v="2025-03-28T00:00:00"/>
    <x v="0"/>
    <n v="9518649438"/>
    <n v="4"/>
    <s v="9518649438-4"/>
    <s v="May'25"/>
    <x v="0"/>
    <s v="Yes"/>
    <x v="1"/>
    <x v="1"/>
    <x v="0"/>
    <m/>
    <x v="1"/>
    <m/>
    <m/>
    <m/>
    <s v="South"/>
    <s v="CHENNAI"/>
    <x v="2"/>
    <x v="13"/>
    <x v="13"/>
    <x v="116"/>
    <s v="CRCA COIL-TATXXD-AU03-2X1250"/>
    <s v=" "/>
    <s v=""/>
    <n v="6"/>
    <n v="18"/>
    <m/>
    <x v="1"/>
    <x v="2"/>
    <s v="AU03"/>
    <x v="15"/>
    <x v="0"/>
    <x v="0"/>
    <n v="29"/>
    <n v="0"/>
    <n v="29"/>
    <n v="29"/>
    <n v="29"/>
    <n v="29"/>
    <n v="0"/>
    <n v="0"/>
    <n v="0"/>
    <n v="0"/>
    <n v="0"/>
    <n v="0"/>
    <n v="0"/>
    <n v="0"/>
    <n v="0"/>
    <n v="0"/>
    <n v="0"/>
    <n v="0"/>
    <n v="0"/>
    <n v="0"/>
    <n v="0"/>
    <n v="0"/>
    <n v="0"/>
    <n v="0"/>
    <n v="0"/>
    <n v="0"/>
    <n v="0"/>
    <n v="0"/>
    <n v="0"/>
    <m/>
    <n v="0"/>
    <n v="29"/>
    <n v="0"/>
    <n v="0"/>
    <n v="29"/>
    <n v="0"/>
    <n v="0"/>
    <n v="29"/>
    <n v="0"/>
    <n v="0"/>
    <n v="29"/>
    <n v="0"/>
    <n v="0"/>
    <n v="0"/>
    <m/>
    <m/>
    <m/>
    <m/>
    <m/>
    <m/>
    <m/>
    <m/>
    <m/>
    <m/>
    <m/>
    <m/>
    <m/>
    <m/>
    <m/>
    <m/>
    <m/>
    <m/>
    <m/>
    <m/>
    <m/>
    <m/>
    <m/>
    <m/>
    <m/>
    <m/>
    <m/>
    <m/>
    <m/>
    <m/>
    <m/>
    <m/>
    <m/>
    <m/>
  </r>
  <r>
    <n v="742"/>
    <d v="2025-02-24T00:00:00"/>
    <x v="0"/>
    <n v="9518547667"/>
    <n v="1"/>
    <s v="9518547667-1"/>
    <s v="No Priority"/>
    <x v="0"/>
    <s v="Yes"/>
    <x v="1"/>
    <x v="10"/>
    <x v="2"/>
    <m/>
    <x v="0"/>
    <m/>
    <m/>
    <m/>
    <s v="South"/>
    <s v="PATANCHERU"/>
    <x v="2"/>
    <x v="93"/>
    <x v="90"/>
    <x v="289"/>
    <s v="CRCA COIL TATXXD BT01 0.900X1320"/>
    <s v=" "/>
    <s v=""/>
    <n v="6"/>
    <n v="8"/>
    <m/>
    <x v="1"/>
    <x v="2"/>
    <s v="BT01"/>
    <x v="13"/>
    <x v="9"/>
    <x v="0"/>
    <n v="90"/>
    <n v="0"/>
    <n v="90"/>
    <n v="90"/>
    <n v="90"/>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7626"/>
    <n v="13"/>
    <s v="9518497626-13"/>
    <s v="No Priority"/>
    <x v="0"/>
    <m/>
    <x v="1"/>
    <x v="2"/>
    <x v="0"/>
    <m/>
    <x v="0"/>
    <m/>
    <m/>
    <m/>
    <s v="South"/>
    <s v="VISHAKHAPATNAM"/>
    <x v="2"/>
    <x v="8"/>
    <x v="8"/>
    <x v="71"/>
    <s v="CRCA SHEET TSBCRC SR15 0.750X1000X2500"/>
    <s v=" "/>
    <s v=""/>
    <n v="0"/>
    <n v="0"/>
    <m/>
    <x v="2"/>
    <x v="4"/>
    <s v="SR15"/>
    <x v="28"/>
    <x v="2"/>
    <x v="3"/>
    <n v="9"/>
    <n v="0"/>
    <n v="9"/>
    <n v="9"/>
    <n v="9"/>
    <n v="9"/>
    <n v="0"/>
    <n v="0"/>
    <n v="0"/>
    <n v="0"/>
    <n v="0"/>
    <n v="0"/>
    <n v="0"/>
    <n v="0"/>
    <n v="0"/>
    <n v="0"/>
    <n v="0"/>
    <n v="0"/>
    <n v="0"/>
    <n v="0"/>
    <n v="0"/>
    <n v="0"/>
    <n v="0"/>
    <n v="0"/>
    <n v="0"/>
    <n v="0"/>
    <n v="0"/>
    <n v="0"/>
    <n v="0"/>
    <m/>
    <n v="0"/>
    <n v="0"/>
    <n v="0"/>
    <n v="0"/>
    <n v="0"/>
    <n v="0"/>
    <n v="0"/>
    <n v="0"/>
    <n v="0"/>
    <n v="0"/>
    <n v="0"/>
    <n v="0"/>
    <n v="0"/>
    <n v="0"/>
    <m/>
    <m/>
    <m/>
    <m/>
    <m/>
    <m/>
    <m/>
    <m/>
    <m/>
    <m/>
    <m/>
    <m/>
    <m/>
    <m/>
    <m/>
    <m/>
    <m/>
    <m/>
    <m/>
    <m/>
    <m/>
    <m/>
    <m/>
    <m/>
    <m/>
    <m/>
    <m/>
    <m/>
    <m/>
    <m/>
    <m/>
    <m/>
    <m/>
    <m/>
  </r>
  <r>
    <n v="742"/>
    <d v="2025-02-11T00:00:00"/>
    <x v="0"/>
    <n v="9518510371"/>
    <n v="1"/>
    <s v="9518510371-1"/>
    <s v="No Priority"/>
    <x v="0"/>
    <m/>
    <x v="1"/>
    <x v="2"/>
    <x v="0"/>
    <m/>
    <x v="0"/>
    <m/>
    <m/>
    <m/>
    <s v="North"/>
    <s v="GORAKHPUR"/>
    <x v="2"/>
    <x v="7"/>
    <x v="7"/>
    <x v="54"/>
    <s v="CRCA SHEET TSBCRC SR15 0.500X1000X2500"/>
    <s v=" "/>
    <s v=""/>
    <n v="0"/>
    <n v="0"/>
    <m/>
    <x v="2"/>
    <x v="4"/>
    <s v="SR15"/>
    <x v="1"/>
    <x v="2"/>
    <x v="3"/>
    <n v="33"/>
    <n v="20.274999999999999"/>
    <n v="12.725"/>
    <n v="12.725"/>
    <n v="12.725"/>
    <n v="12.725"/>
    <n v="0"/>
    <n v="0"/>
    <n v="0"/>
    <n v="0"/>
    <n v="0"/>
    <n v="0"/>
    <n v="0"/>
    <n v="0"/>
    <n v="0"/>
    <n v="0"/>
    <n v="0"/>
    <n v="0"/>
    <n v="0"/>
    <n v="0"/>
    <n v="0"/>
    <n v="0"/>
    <n v="0"/>
    <n v="0"/>
    <n v="0"/>
    <n v="0"/>
    <n v="0"/>
    <n v="0"/>
    <n v="0"/>
    <m/>
    <n v="0"/>
    <n v="0"/>
    <n v="0"/>
    <n v="0"/>
    <n v="0"/>
    <n v="0"/>
    <n v="0"/>
    <n v="0"/>
    <n v="0"/>
    <n v="0"/>
    <n v="0"/>
    <n v="0"/>
    <n v="0"/>
    <n v="0"/>
    <m/>
    <m/>
    <m/>
    <m/>
    <m/>
    <m/>
    <m/>
    <m/>
    <m/>
    <m/>
    <m/>
    <m/>
    <m/>
    <m/>
    <m/>
    <m/>
    <m/>
    <m/>
    <m/>
    <m/>
    <m/>
    <m/>
    <m/>
    <m/>
    <m/>
    <m/>
    <m/>
    <m/>
    <m/>
    <m/>
    <m/>
    <m/>
    <m/>
    <m/>
  </r>
  <r>
    <n v="744"/>
    <d v="2025-02-25T00:00:00"/>
    <x v="2"/>
    <n v="4000499447"/>
    <n v="1"/>
    <s v="4000499447-1"/>
    <s v="No Priority"/>
    <x v="0"/>
    <m/>
    <x v="2"/>
    <x v="3"/>
    <x v="3"/>
    <m/>
    <x v="0"/>
    <m/>
    <m/>
    <m/>
    <s v="TBSPL"/>
    <s v="SADANGI"/>
    <x v="2"/>
    <x v="97"/>
    <x v="96"/>
    <x v="314"/>
    <s v="PPGL PROF TRDHPL TRD2  0.500X1080"/>
    <s v="aZ70"/>
    <s v=""/>
    <n v="1.5"/>
    <n v="6"/>
    <m/>
    <x v="9"/>
    <x v="19"/>
    <s v="TRD2"/>
    <x v="1"/>
    <x v="25"/>
    <x v="0"/>
    <n v="100"/>
    <n v="0"/>
    <n v="100"/>
    <n v="100"/>
    <n v="100"/>
    <n v="0"/>
    <n v="0"/>
    <n v="0"/>
    <n v="0"/>
    <n v="0"/>
    <n v="0"/>
    <n v="0"/>
    <n v="0"/>
    <n v="0"/>
    <n v="0"/>
    <n v="0"/>
    <n v="0"/>
    <n v="0"/>
    <n v="0"/>
    <n v="0"/>
    <n v="0"/>
    <n v="0"/>
    <n v="0"/>
    <n v="0"/>
    <n v="0"/>
    <n v="0"/>
    <n v="0"/>
    <n v="0"/>
    <n v="0"/>
    <m/>
    <n v="0"/>
    <n v="0"/>
    <n v="0"/>
    <n v="0"/>
    <n v="0"/>
    <n v="0"/>
    <n v="0"/>
    <n v="0"/>
    <n v="0"/>
    <n v="0"/>
    <n v="0"/>
    <n v="0"/>
    <n v="0"/>
    <n v="0"/>
    <m/>
    <m/>
    <m/>
    <m/>
    <m/>
    <m/>
    <m/>
    <m/>
    <m/>
    <m/>
    <m/>
    <m/>
    <m/>
    <m/>
    <m/>
    <m/>
    <m/>
    <m/>
    <m/>
    <m/>
    <m/>
    <m/>
    <m/>
    <m/>
    <m/>
    <m/>
    <m/>
    <m/>
    <m/>
    <m/>
    <m/>
    <m/>
    <m/>
    <m/>
  </r>
  <r>
    <n v="743"/>
    <d v="2025-02-25T00:00:00"/>
    <x v="0"/>
    <n v="9518551400"/>
    <n v="2"/>
    <s v="9518551400-2"/>
    <s v="No Priority"/>
    <x v="0"/>
    <m/>
    <x v="4"/>
    <x v="5"/>
    <x v="2"/>
    <m/>
    <x v="0"/>
    <m/>
    <s v="Centre slit HR not available"/>
    <m/>
    <s v="South"/>
    <s v="VALPARAI"/>
    <x v="2"/>
    <x v="98"/>
    <x v="97"/>
    <x v="315"/>
    <s v="GL COIL HARD  Y550GL GL6H 0.900X1160"/>
    <s v="AZ150"/>
    <s v=""/>
    <n v="10"/>
    <n v="15"/>
    <m/>
    <x v="5"/>
    <x v="7"/>
    <s v="GL6H"/>
    <x v="13"/>
    <x v="13"/>
    <x v="0"/>
    <n v="216"/>
    <n v="0"/>
    <n v="216"/>
    <n v="216"/>
    <n v="216"/>
    <n v="216"/>
    <n v="0"/>
    <n v="0"/>
    <n v="0"/>
    <n v="0"/>
    <n v="0"/>
    <n v="0"/>
    <n v="0"/>
    <n v="0"/>
    <n v="0"/>
    <n v="0"/>
    <n v="0"/>
    <n v="0"/>
    <n v="0"/>
    <n v="0"/>
    <n v="0"/>
    <n v="0"/>
    <n v="0"/>
    <n v="0"/>
    <n v="0"/>
    <n v="0"/>
    <n v="0"/>
    <n v="0"/>
    <n v="0"/>
    <m/>
    <n v="0"/>
    <n v="0"/>
    <n v="0"/>
    <n v="0"/>
    <n v="0"/>
    <n v="0"/>
    <n v="0"/>
    <n v="0"/>
    <n v="0"/>
    <n v="0"/>
    <n v="0"/>
    <n v="0"/>
    <n v="0"/>
    <n v="0"/>
    <m/>
    <m/>
    <m/>
    <m/>
    <m/>
    <m/>
    <m/>
    <m/>
    <m/>
    <m/>
    <m/>
    <m/>
    <m/>
    <m/>
    <m/>
    <m/>
    <m/>
    <m/>
    <m/>
    <m/>
    <m/>
    <m/>
    <m/>
    <m/>
    <m/>
    <m/>
    <m/>
    <m/>
    <m/>
    <m/>
    <m/>
    <m/>
    <m/>
    <m/>
  </r>
  <r>
    <n v="743"/>
    <d v="2025-02-14T00:00:00"/>
    <x v="0"/>
    <n v="9518519230"/>
    <n v="1"/>
    <s v="9518519230-1"/>
    <s v="No Priority"/>
    <x v="0"/>
    <m/>
    <x v="3"/>
    <x v="9"/>
    <x v="0"/>
    <m/>
    <x v="0"/>
    <m/>
    <m/>
    <m/>
    <s v="North"/>
    <s v="SANHEWAL"/>
    <x v="2"/>
    <x v="84"/>
    <x v="81"/>
    <x v="316"/>
    <s v="GP COIL SOFT-TATXGP-GK09-0.2X900"/>
    <s v="Z80"/>
    <s v=""/>
    <n v="4"/>
    <n v="6"/>
    <m/>
    <x v="7"/>
    <x v="5"/>
    <s v="GK09"/>
    <x v="6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2-04T00:00:00"/>
    <x v="0"/>
    <n v="9518492304"/>
    <n v="3"/>
    <s v="9518492304-3"/>
    <s v="Stocks"/>
    <x v="0"/>
    <m/>
    <x v="1"/>
    <x v="0"/>
    <x v="0"/>
    <m/>
    <x v="1"/>
    <m/>
    <m/>
    <m/>
    <s v="West"/>
    <s v="MORIYA"/>
    <x v="2"/>
    <x v="99"/>
    <x v="98"/>
    <x v="317"/>
    <s v="CRCA COIL TATXXD BT02 1.200X914"/>
    <s v=" "/>
    <s v=""/>
    <n v="6"/>
    <n v="10"/>
    <m/>
    <x v="1"/>
    <x v="2"/>
    <s v="BT02"/>
    <x v="19"/>
    <x v="26"/>
    <x v="0"/>
    <n v="146.99"/>
    <n v="52.695"/>
    <n v="94.295000000000002"/>
    <n v="94.295000000000002"/>
    <n v="94.295000000000002"/>
    <n v="94.295000000000002"/>
    <n v="0"/>
    <n v="0"/>
    <n v="0"/>
    <n v="0"/>
    <n v="0"/>
    <n v="0"/>
    <n v="0"/>
    <n v="0"/>
    <n v="0"/>
    <n v="0"/>
    <n v="0"/>
    <n v="0"/>
    <n v="0"/>
    <n v="0"/>
    <n v="0"/>
    <n v="0"/>
    <n v="0"/>
    <n v="0"/>
    <n v="0"/>
    <n v="0"/>
    <n v="0"/>
    <n v="0"/>
    <n v="0"/>
    <m/>
    <n v="7.88"/>
    <n v="0"/>
    <n v="0"/>
    <n v="0"/>
    <n v="0"/>
    <n v="0"/>
    <n v="0"/>
    <n v="7.88"/>
    <n v="7.88"/>
    <n v="0"/>
    <n v="0"/>
    <n v="0"/>
    <n v="0"/>
    <n v="0"/>
    <m/>
    <m/>
    <m/>
    <m/>
    <m/>
    <m/>
    <m/>
    <m/>
    <m/>
    <m/>
    <m/>
    <m/>
    <m/>
    <m/>
    <m/>
    <m/>
    <m/>
    <m/>
    <m/>
    <m/>
    <m/>
    <m/>
    <m/>
    <m/>
    <m/>
    <m/>
    <m/>
    <m/>
    <m/>
    <m/>
    <m/>
    <m/>
    <m/>
    <m/>
  </r>
  <r>
    <n v="743"/>
    <d v="2025-02-25T00:00:00"/>
    <x v="0"/>
    <n v="9518550377"/>
    <n v="1"/>
    <s v="9518550377-1"/>
    <s v="No Priority"/>
    <x v="0"/>
    <m/>
    <x v="3"/>
    <x v="9"/>
    <x v="0"/>
    <m/>
    <x v="0"/>
    <m/>
    <m/>
    <m/>
    <s v="North"/>
    <s v="LONI"/>
    <x v="2"/>
    <x v="100"/>
    <x v="99"/>
    <x v="261"/>
    <s v="GP COIL SOFT-TATXGP-GK09-0.25X900"/>
    <s v="Z80"/>
    <s v=""/>
    <n v="4"/>
    <n v="6"/>
    <m/>
    <x v="7"/>
    <x v="5"/>
    <s v="GK09"/>
    <x v="12"/>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2-25T00:00:00"/>
    <x v="0"/>
    <n v="9518550377"/>
    <n v="2"/>
    <s v="9518550377-2"/>
    <s v="No Priority"/>
    <x v="0"/>
    <m/>
    <x v="3"/>
    <x v="9"/>
    <x v="0"/>
    <m/>
    <x v="0"/>
    <m/>
    <m/>
    <m/>
    <s v="North"/>
    <s v="LONI"/>
    <x v="2"/>
    <x v="100"/>
    <x v="99"/>
    <x v="51"/>
    <s v="GP COIL SOFT-TATXGP-GK09-0.3X900"/>
    <s v="Z80"/>
    <s v=""/>
    <n v="4"/>
    <n v="6"/>
    <m/>
    <x v="7"/>
    <x v="5"/>
    <s v="GK09"/>
    <x v="11"/>
    <x v="3"/>
    <x v="0"/>
    <n v="147"/>
    <n v="0"/>
    <n v="147"/>
    <n v="147"/>
    <n v="147"/>
    <n v="147"/>
    <n v="0"/>
    <n v="0"/>
    <n v="0"/>
    <n v="0"/>
    <n v="0"/>
    <n v="0"/>
    <n v="0"/>
    <n v="0"/>
    <n v="0"/>
    <n v="0"/>
    <n v="0"/>
    <n v="0"/>
    <n v="0"/>
    <n v="0"/>
    <n v="0"/>
    <n v="0"/>
    <n v="0"/>
    <n v="0"/>
    <n v="0"/>
    <n v="0"/>
    <n v="0"/>
    <n v="0"/>
    <n v="0"/>
    <m/>
    <n v="0"/>
    <n v="0"/>
    <n v="0"/>
    <n v="0"/>
    <n v="0"/>
    <n v="0"/>
    <n v="0"/>
    <n v="0"/>
    <n v="0"/>
    <n v="0"/>
    <n v="0"/>
    <n v="0"/>
    <n v="0"/>
    <n v="0"/>
    <m/>
    <m/>
    <m/>
    <m/>
    <m/>
    <m/>
    <m/>
    <m/>
    <m/>
    <m/>
    <m/>
    <m/>
    <m/>
    <m/>
    <m/>
    <m/>
    <m/>
    <m/>
    <m/>
    <m/>
    <m/>
    <m/>
    <m/>
    <m/>
    <m/>
    <m/>
    <m/>
    <m/>
    <m/>
    <m/>
    <m/>
    <m/>
    <m/>
    <m/>
  </r>
  <r>
    <n v="743"/>
    <d v="2025-02-25T00:00:00"/>
    <x v="0"/>
    <n v="9518550377"/>
    <n v="3"/>
    <s v="9518550377-3"/>
    <s v="No Priority"/>
    <x v="0"/>
    <m/>
    <x v="3"/>
    <x v="9"/>
    <x v="0"/>
    <m/>
    <x v="0"/>
    <m/>
    <m/>
    <m/>
    <s v="North"/>
    <s v="LONI"/>
    <x v="2"/>
    <x v="100"/>
    <x v="99"/>
    <x v="56"/>
    <s v="GP COIL SOFT-TATXGP-GK09-0.4X900"/>
    <s v="Z80"/>
    <s v=""/>
    <n v="4"/>
    <n v="6"/>
    <m/>
    <x v="7"/>
    <x v="5"/>
    <s v="GK09"/>
    <x v="2"/>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3"/>
    <d v="2025-02-20T00:00:00"/>
    <x v="0"/>
    <n v="9518534963"/>
    <n v="2"/>
    <s v="9518534963-2"/>
    <s v="No Priority"/>
    <x v="0"/>
    <m/>
    <x v="3"/>
    <x v="9"/>
    <x v="0"/>
    <m/>
    <x v="0"/>
    <m/>
    <m/>
    <m/>
    <s v="North"/>
    <s v="LONI"/>
    <x v="2"/>
    <x v="91"/>
    <x v="88"/>
    <x v="316"/>
    <s v="GP COIL SOFT-TATXGP-GK09-0.2X900"/>
    <s v="Z80"/>
    <s v=""/>
    <n v="4"/>
    <n v="6"/>
    <m/>
    <x v="7"/>
    <x v="5"/>
    <s v="GK09"/>
    <x v="6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20T00:00:00"/>
    <x v="0"/>
    <n v="9518535035"/>
    <n v="1"/>
    <s v="9518535035-1"/>
    <s v="No Priority"/>
    <x v="0"/>
    <m/>
    <x v="3"/>
    <x v="9"/>
    <x v="0"/>
    <m/>
    <x v="0"/>
    <m/>
    <m/>
    <m/>
    <s v="North"/>
    <s v="ZOSOLA"/>
    <x v="2"/>
    <x v="91"/>
    <x v="88"/>
    <x v="51"/>
    <s v="GP COIL SOFT-TATXGP-GK09-0.3X900"/>
    <s v="Z80"/>
    <s v=""/>
    <n v="4"/>
    <n v="6"/>
    <m/>
    <x v="7"/>
    <x v="5"/>
    <s v="GK09"/>
    <x v="1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2-17T00:00:00"/>
    <x v="0"/>
    <n v="9518527008"/>
    <n v="4"/>
    <s v="9518527008-4"/>
    <s v="No Priority"/>
    <x v="0"/>
    <m/>
    <x v="3"/>
    <x v="9"/>
    <x v="0"/>
    <m/>
    <x v="0"/>
    <m/>
    <m/>
    <m/>
    <s v="North"/>
    <s v="LONI"/>
    <x v="2"/>
    <x v="100"/>
    <x v="99"/>
    <x v="62"/>
    <s v="GP COIL SOFT-TATXGP-GK09-0.6X900"/>
    <s v="Z80"/>
    <s v=""/>
    <n v="4"/>
    <n v="6"/>
    <m/>
    <x v="7"/>
    <x v="5"/>
    <s v="GK09"/>
    <x v="20"/>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704"/>
    <n v="4"/>
    <s v="9518606704-4"/>
    <s v="No Priority"/>
    <x v="0"/>
    <s v="Yes"/>
    <x v="1"/>
    <x v="11"/>
    <x v="0"/>
    <m/>
    <x v="0"/>
    <m/>
    <m/>
    <m/>
    <s v="South"/>
    <s v="YESHWANTHPURA"/>
    <x v="2"/>
    <x v="40"/>
    <x v="0"/>
    <x v="126"/>
    <s v="CRCA COIL TATXXD AH03 0.800X1250"/>
    <s v=" "/>
    <s v=""/>
    <n v="10"/>
    <n v="30"/>
    <m/>
    <x v="1"/>
    <x v="2"/>
    <s v="AH03"/>
    <x v="5"/>
    <x v="0"/>
    <x v="0"/>
    <n v="58"/>
    <n v="0"/>
    <n v="58"/>
    <n v="2.5"/>
    <n v="0"/>
    <n v="4.0650000000000004"/>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1233"/>
    <n v="1"/>
    <s v="9518591233-1"/>
    <s v="No Priority"/>
    <x v="0"/>
    <s v="Yes"/>
    <x v="1"/>
    <x v="1"/>
    <x v="0"/>
    <m/>
    <x v="0"/>
    <m/>
    <m/>
    <m/>
    <s v="South"/>
    <s v="YESHWANTHPURA"/>
    <x v="2"/>
    <x v="34"/>
    <x v="34"/>
    <x v="5"/>
    <s v="CRCA COIL TATXXD AU03 0.4X1250"/>
    <s v=" "/>
    <s v=""/>
    <n v="2"/>
    <n v="28"/>
    <m/>
    <x v="1"/>
    <x v="2"/>
    <s v="AU03"/>
    <x v="2"/>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4"/>
    <d v="2025-03-22T00:00:00"/>
    <x v="0"/>
    <n v="9518624252"/>
    <n v="5"/>
    <s v="9518624252-5"/>
    <s v="May'25"/>
    <x v="0"/>
    <m/>
    <x v="2"/>
    <x v="3"/>
    <x v="2"/>
    <m/>
    <x v="1"/>
    <m/>
    <m/>
    <m/>
    <s v="TBSPL"/>
    <s v=" "/>
    <x v="2"/>
    <x v="6"/>
    <x v="6"/>
    <x v="84"/>
    <s v="PPGL C HARD Y550PL D0C9 0.50(TPT)X1220"/>
    <s v="AZ150"/>
    <s v="RAL 5018 TSL 1809"/>
    <n v="3"/>
    <n v="5"/>
    <m/>
    <x v="3"/>
    <x v="3"/>
    <s v="D0C9"/>
    <x v="1"/>
    <x v="1"/>
    <x v="0"/>
    <n v="84"/>
    <n v="0"/>
    <n v="84"/>
    <n v="84"/>
    <n v="84"/>
    <n v="84"/>
    <n v="0"/>
    <n v="0"/>
    <n v="0"/>
    <n v="0"/>
    <n v="0"/>
    <n v="0"/>
    <n v="0"/>
    <n v="0"/>
    <n v="0"/>
    <n v="0"/>
    <n v="0"/>
    <n v="0"/>
    <n v="0"/>
    <n v="0"/>
    <n v="0"/>
    <n v="0"/>
    <n v="0"/>
    <n v="0"/>
    <n v="0"/>
    <n v="0"/>
    <n v="0"/>
    <n v="0"/>
    <n v="0"/>
    <m/>
    <n v="0"/>
    <n v="84"/>
    <n v="0"/>
    <n v="84"/>
    <n v="0"/>
    <n v="0"/>
    <n v="0"/>
    <n v="84"/>
    <n v="0"/>
    <n v="0"/>
    <n v="84"/>
    <n v="0"/>
    <n v="0"/>
    <n v="0"/>
    <m/>
    <m/>
    <m/>
    <m/>
    <m/>
    <m/>
    <m/>
    <m/>
    <m/>
    <m/>
    <m/>
    <m/>
    <m/>
    <m/>
    <m/>
    <m/>
    <m/>
    <m/>
    <m/>
    <m/>
    <m/>
    <m/>
    <m/>
    <m/>
    <m/>
    <m/>
    <m/>
    <m/>
    <m/>
    <m/>
    <m/>
    <m/>
    <m/>
    <m/>
  </r>
  <r>
    <n v="744"/>
    <d v="2025-03-22T00:00:00"/>
    <x v="0"/>
    <n v="9518624252"/>
    <n v="20"/>
    <s v="9518624252-20"/>
    <s v="May'25"/>
    <x v="0"/>
    <m/>
    <x v="2"/>
    <x v="3"/>
    <x v="2"/>
    <m/>
    <x v="1"/>
    <m/>
    <m/>
    <m/>
    <s v="TBSPL"/>
    <s v=" "/>
    <x v="2"/>
    <x v="6"/>
    <x v="6"/>
    <x v="84"/>
    <s v="PPGL C HARD Y550PL D0C9 0.50(TPT)X1220"/>
    <s v="AZ150"/>
    <s v="RAL 5012 TSL 1802"/>
    <n v="3"/>
    <n v="5"/>
    <m/>
    <x v="3"/>
    <x v="3"/>
    <s v="D0C9"/>
    <x v="1"/>
    <x v="1"/>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4"/>
    <d v="2025-03-13T00:00:00"/>
    <x v="0"/>
    <n v="9518598962"/>
    <n v="1"/>
    <s v="9518598962-1"/>
    <s v="Stocks"/>
    <x v="0"/>
    <m/>
    <x v="2"/>
    <x v="3"/>
    <x v="2"/>
    <m/>
    <x v="1"/>
    <m/>
    <m/>
    <m/>
    <s v="TBSPL"/>
    <s v=" "/>
    <x v="2"/>
    <x v="6"/>
    <x v="6"/>
    <x v="84"/>
    <s v="PPGL C HARD Y550PL D0C9 0.50(TPT)X1220"/>
    <s v="AZ150"/>
    <s v="TAURUS BLUES TSL 1813"/>
    <n v="2"/>
    <n v="5.0999999999999996"/>
    <m/>
    <x v="3"/>
    <x v="3"/>
    <s v="D0C9"/>
    <x v="1"/>
    <x v="1"/>
    <x v="0"/>
    <n v="56"/>
    <n v="0"/>
    <n v="56"/>
    <n v="-1.51"/>
    <n v="0"/>
    <n v="30.274999999999999"/>
    <n v="0"/>
    <n v="0"/>
    <n v="0"/>
    <n v="0"/>
    <n v="15.785"/>
    <n v="0"/>
    <n v="0"/>
    <n v="0"/>
    <n v="0"/>
    <n v="0"/>
    <n v="0"/>
    <n v="0"/>
    <n v="0"/>
    <n v="0"/>
    <n v="0"/>
    <n v="0"/>
    <n v="0"/>
    <n v="0"/>
    <n v="0"/>
    <n v="15.785"/>
    <n v="15.785"/>
    <n v="0"/>
    <n v="15.785"/>
    <m/>
    <n v="17.400000000000002"/>
    <n v="30.274999999999999"/>
    <n v="0"/>
    <n v="0"/>
    <n v="30.274999999999999"/>
    <n v="0"/>
    <n v="0"/>
    <n v="47.674999999999997"/>
    <n v="0"/>
    <n v="0"/>
    <n v="0"/>
    <n v="47.674999999999997"/>
    <n v="0"/>
    <n v="0"/>
    <m/>
    <m/>
    <m/>
    <m/>
    <m/>
    <m/>
    <m/>
    <m/>
    <m/>
    <m/>
    <m/>
    <m/>
    <m/>
    <m/>
    <m/>
    <m/>
    <m/>
    <m/>
    <m/>
    <m/>
    <m/>
    <m/>
    <m/>
    <m/>
    <m/>
    <m/>
    <m/>
    <m/>
    <m/>
    <m/>
    <m/>
    <m/>
    <m/>
    <m/>
  </r>
  <r>
    <n v="744"/>
    <d v="2025-03-20T00:00:00"/>
    <x v="0"/>
    <n v="9518617046"/>
    <n v="12"/>
    <s v="9518617046-12"/>
    <s v="May'25"/>
    <x v="0"/>
    <m/>
    <x v="2"/>
    <x v="3"/>
    <x v="2"/>
    <m/>
    <x v="1"/>
    <m/>
    <m/>
    <m/>
    <s v="TBSPL"/>
    <s v=" "/>
    <x v="2"/>
    <x v="6"/>
    <x v="6"/>
    <x v="84"/>
    <s v="PPGL C HARD Y550PL D0C9 0.50(TPT)X1220"/>
    <s v="AZ150"/>
    <s v="BRICK RED TSL 1803"/>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4"/>
    <d v="2025-03-18T00:00:00"/>
    <x v="0"/>
    <n v="9518610301"/>
    <n v="5"/>
    <s v="9518610301-5"/>
    <s v="May'25"/>
    <x v="0"/>
    <m/>
    <x v="2"/>
    <x v="3"/>
    <x v="2"/>
    <m/>
    <x v="1"/>
    <m/>
    <m/>
    <m/>
    <s v="TBSPL"/>
    <s v=" "/>
    <x v="2"/>
    <x v="6"/>
    <x v="6"/>
    <x v="84"/>
    <s v="PPGL C HARD Y550PL D0C9 0.50(TPT)X1220"/>
    <s v="AZ150"/>
    <s v="RAL 7015 TSL 1805"/>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2"/>
    <d v="2025-03-28T00:00:00"/>
    <x v="0"/>
    <n v="9518649334"/>
    <n v="6"/>
    <s v="9518649334-6"/>
    <s v="No Priority"/>
    <x v="0"/>
    <m/>
    <x v="0"/>
    <x v="0"/>
    <x v="0"/>
    <m/>
    <x v="0"/>
    <m/>
    <m/>
    <m/>
    <s v="North"/>
    <s v="FARIDABAD"/>
    <x v="2"/>
    <x v="3"/>
    <x v="3"/>
    <x v="318"/>
    <s v="HR COILS-PO I09497 2.80X1250"/>
    <s v=" "/>
    <s v=""/>
    <n v="17"/>
    <n v="26"/>
    <m/>
    <x v="0"/>
    <x v="11"/>
    <s v="HG01"/>
    <x v="62"/>
    <x v="0"/>
    <x v="0"/>
    <n v="25"/>
    <n v="0"/>
    <n v="25"/>
    <n v="25"/>
    <n v="25"/>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334"/>
    <n v="7"/>
    <s v="9518649334-7"/>
    <s v="May'25"/>
    <x v="0"/>
    <m/>
    <x v="0"/>
    <x v="0"/>
    <x v="0"/>
    <m/>
    <x v="1"/>
    <m/>
    <m/>
    <m/>
    <s v="North"/>
    <s v="FARIDABAD"/>
    <x v="2"/>
    <x v="3"/>
    <x v="3"/>
    <x v="319"/>
    <s v="HR COILS-PO IS 10748 GR 1 3X1250"/>
    <s v=" "/>
    <s v=""/>
    <n v="17"/>
    <n v="26"/>
    <m/>
    <x v="0"/>
    <x v="11"/>
    <s v="HG01"/>
    <x v="0"/>
    <x v="0"/>
    <x v="0"/>
    <n v="50"/>
    <n v="0"/>
    <n v="50"/>
    <n v="50"/>
    <n v="50"/>
    <n v="27.98"/>
    <n v="0"/>
    <n v="0"/>
    <n v="0"/>
    <n v="0"/>
    <n v="0"/>
    <n v="0"/>
    <n v="0"/>
    <n v="0"/>
    <n v="0"/>
    <n v="0"/>
    <n v="0"/>
    <n v="0"/>
    <n v="0"/>
    <n v="0"/>
    <n v="0"/>
    <n v="0"/>
    <n v="0"/>
    <n v="0"/>
    <n v="0"/>
    <n v="0"/>
    <n v="0"/>
    <n v="0"/>
    <n v="0"/>
    <m/>
    <n v="22.02"/>
    <n v="27.98"/>
    <n v="0"/>
    <n v="27.98"/>
    <n v="0"/>
    <n v="0"/>
    <n v="0"/>
    <n v="50"/>
    <n v="0"/>
    <n v="0"/>
    <n v="50"/>
    <n v="0"/>
    <n v="0"/>
    <n v="0"/>
    <m/>
    <m/>
    <m/>
    <m/>
    <m/>
    <m/>
    <m/>
    <m/>
    <m/>
    <m/>
    <m/>
    <m/>
    <m/>
    <m/>
    <m/>
    <m/>
    <m/>
    <m/>
    <m/>
    <m/>
    <m/>
    <m/>
    <m/>
    <m/>
    <m/>
    <m/>
    <m/>
    <m/>
    <m/>
    <m/>
    <m/>
    <m/>
    <m/>
    <m/>
  </r>
  <r>
    <n v="742"/>
    <d v="2025-03-28T00:00:00"/>
    <x v="0"/>
    <n v="9518649334"/>
    <n v="8"/>
    <s v="9518649334-8"/>
    <s v="No Priority"/>
    <x v="0"/>
    <m/>
    <x v="0"/>
    <x v="0"/>
    <x v="0"/>
    <m/>
    <x v="0"/>
    <m/>
    <m/>
    <m/>
    <s v="North"/>
    <s v="FARIDABAD"/>
    <x v="2"/>
    <x v="3"/>
    <x v="3"/>
    <x v="320"/>
    <s v="HR COILS-PO I09497 HG01 3.50X1250"/>
    <s v=" "/>
    <s v=""/>
    <n v="17"/>
    <n v="26"/>
    <m/>
    <x v="0"/>
    <x v="11"/>
    <s v="HG01"/>
    <x v="63"/>
    <x v="0"/>
    <x v="0"/>
    <n v="25"/>
    <n v="0"/>
    <n v="25"/>
    <n v="25"/>
    <n v="25"/>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334"/>
    <n v="9"/>
    <s v="9518649334-9"/>
    <s v="No Priority"/>
    <x v="0"/>
    <m/>
    <x v="0"/>
    <x v="0"/>
    <x v="0"/>
    <m/>
    <x v="0"/>
    <m/>
    <m/>
    <m/>
    <s v="North"/>
    <s v="FARIDABAD"/>
    <x v="2"/>
    <x v="3"/>
    <x v="3"/>
    <x v="321"/>
    <s v="HR COILS-PO I09497 4X1250"/>
    <s v=" "/>
    <s v=""/>
    <n v="17"/>
    <n v="26"/>
    <m/>
    <x v="0"/>
    <x v="11"/>
    <s v="HG01"/>
    <x v="31"/>
    <x v="0"/>
    <x v="0"/>
    <n v="25"/>
    <n v="0"/>
    <n v="25"/>
    <n v="25"/>
    <n v="25"/>
    <n v="3.46"/>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0"/>
    <n v="9518631220"/>
    <n v="1"/>
    <s v="9518631220-1"/>
    <s v="No Priority"/>
    <x v="0"/>
    <s v="Yes"/>
    <x v="1"/>
    <x v="1"/>
    <x v="0"/>
    <m/>
    <x v="0"/>
    <m/>
    <m/>
    <m/>
    <s v="South"/>
    <s v="YESHWANTHPURA"/>
    <x v="2"/>
    <x v="40"/>
    <x v="0"/>
    <x v="96"/>
    <s v="CRCA COIL-TATXXD-AU03-0.35X1250"/>
    <s v=" "/>
    <s v=""/>
    <n v="2"/>
    <n v="30"/>
    <m/>
    <x v="1"/>
    <x v="2"/>
    <s v="AU03"/>
    <x v="6"/>
    <x v="0"/>
    <x v="0"/>
    <n v="58"/>
    <n v="38.770000000000003"/>
    <n v="19.23"/>
    <n v="19.23"/>
    <n v="19.23"/>
    <n v="19.23"/>
    <n v="0"/>
    <n v="0"/>
    <n v="0"/>
    <n v="0"/>
    <n v="0"/>
    <n v="0"/>
    <n v="0"/>
    <n v="0"/>
    <n v="0"/>
    <n v="0"/>
    <n v="0"/>
    <n v="0"/>
    <n v="0"/>
    <n v="0"/>
    <n v="0"/>
    <n v="0"/>
    <n v="0"/>
    <n v="0"/>
    <n v="0"/>
    <n v="0"/>
    <n v="0"/>
    <n v="0"/>
    <n v="0"/>
    <m/>
    <n v="0"/>
    <n v="0"/>
    <n v="0"/>
    <n v="0"/>
    <n v="0"/>
    <n v="0"/>
    <n v="0"/>
    <n v="0"/>
    <n v="0"/>
    <n v="0"/>
    <n v="0"/>
    <n v="0"/>
    <n v="0"/>
    <n v="0"/>
    <m/>
    <m/>
    <m/>
    <m/>
    <m/>
    <m/>
    <m/>
    <m/>
    <m/>
    <m/>
    <m/>
    <m/>
    <m/>
    <m/>
    <m/>
    <m/>
    <m/>
    <m/>
    <m/>
    <m/>
    <m/>
    <m/>
    <m/>
    <m/>
    <m/>
    <m/>
    <m/>
    <m/>
    <m/>
    <m/>
    <m/>
    <m/>
    <m/>
    <m/>
  </r>
  <r>
    <n v="742"/>
    <d v="2025-03-08T00:00:00"/>
    <x v="0"/>
    <n v="9518584526"/>
    <n v="1"/>
    <s v="9518584526-1"/>
    <s v="No Priority"/>
    <x v="0"/>
    <m/>
    <x v="1"/>
    <x v="12"/>
    <x v="0"/>
    <m/>
    <x v="0"/>
    <m/>
    <m/>
    <m/>
    <s v="South"/>
    <s v="GUMMIDIPOONDI"/>
    <x v="2"/>
    <x v="58"/>
    <x v="54"/>
    <x v="313"/>
    <s v="CRCA COIL TSBSTA EL03 0.5X1250"/>
    <s v=" "/>
    <s v=""/>
    <n v="10"/>
    <n v="30"/>
    <m/>
    <x v="1"/>
    <x v="9"/>
    <s v="EL03"/>
    <x v="1"/>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513"/>
    <n v="1"/>
    <s v="9518620513-1"/>
    <s v="No Priority"/>
    <x v="0"/>
    <m/>
    <x v="1"/>
    <x v="1"/>
    <x v="0"/>
    <m/>
    <x v="0"/>
    <m/>
    <m/>
    <m/>
    <s v="North"/>
    <s v="SANHEWAL"/>
    <x v="2"/>
    <x v="101"/>
    <x v="100"/>
    <x v="293"/>
    <s v="CRCA COIL-TATXXD-AU03-0.7X1250"/>
    <s v=" "/>
    <s v=""/>
    <n v="10"/>
    <n v="30"/>
    <m/>
    <x v="1"/>
    <x v="2"/>
    <s v="AU03"/>
    <x v="4"/>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3"/>
    <d v="2025-03-17T00:00:00"/>
    <x v="0"/>
    <n v="9518607479"/>
    <n v="1"/>
    <s v="9518607479-1"/>
    <s v="May'25"/>
    <x v="0"/>
    <s v="Yes"/>
    <x v="3"/>
    <x v="9"/>
    <x v="0"/>
    <m/>
    <x v="1"/>
    <m/>
    <m/>
    <m/>
    <s v="East"/>
    <s v=" "/>
    <x v="2"/>
    <x v="10"/>
    <x v="10"/>
    <x v="51"/>
    <s v="GP COIL SOFT-TATXGP-GK09-0.3X900"/>
    <s v="Z80"/>
    <s v=""/>
    <n v="4"/>
    <n v="12"/>
    <m/>
    <x v="7"/>
    <x v="5"/>
    <s v="GK09"/>
    <x v="11"/>
    <x v="3"/>
    <x v="0"/>
    <n v="42"/>
    <n v="0"/>
    <n v="42"/>
    <n v="42"/>
    <n v="42"/>
    <n v="42"/>
    <n v="0"/>
    <n v="0"/>
    <n v="0"/>
    <n v="0"/>
    <n v="0"/>
    <n v="0"/>
    <n v="0"/>
    <n v="0"/>
    <n v="0"/>
    <n v="0"/>
    <n v="0"/>
    <n v="0"/>
    <n v="0"/>
    <n v="0"/>
    <n v="0"/>
    <n v="0"/>
    <n v="0"/>
    <n v="0"/>
    <n v="0"/>
    <n v="0"/>
    <n v="0"/>
    <n v="0"/>
    <n v="0"/>
    <m/>
    <n v="0"/>
    <n v="42"/>
    <n v="0"/>
    <n v="0"/>
    <n v="0"/>
    <n v="42"/>
    <n v="0"/>
    <n v="42"/>
    <n v="0"/>
    <n v="0"/>
    <n v="0"/>
    <n v="0"/>
    <n v="42"/>
    <n v="0"/>
    <m/>
    <m/>
    <m/>
    <m/>
    <m/>
    <m/>
    <m/>
    <m/>
    <m/>
    <m/>
    <m/>
    <m/>
    <m/>
    <m/>
    <m/>
    <m/>
    <m/>
    <m/>
    <m/>
    <m/>
    <m/>
    <m/>
    <m/>
    <m/>
    <m/>
    <m/>
    <m/>
    <m/>
    <m/>
    <m/>
    <m/>
    <m/>
    <m/>
    <m/>
  </r>
  <r>
    <n v="744"/>
    <d v="2025-02-08T00:00:00"/>
    <x v="0"/>
    <n v="9518503922"/>
    <n v="1"/>
    <s v="9518503922-1"/>
    <s v="May'25"/>
    <x v="0"/>
    <m/>
    <x v="2"/>
    <x v="3"/>
    <x v="2"/>
    <m/>
    <x v="1"/>
    <m/>
    <m/>
    <m/>
    <s v="TBSPL"/>
    <s v=" "/>
    <x v="2"/>
    <x v="6"/>
    <x v="6"/>
    <x v="195"/>
    <s v="PPGL C HARD Y550PL D0C9 0.60(TPT)X1220"/>
    <s v="AZ150"/>
    <s v="RAL 5012 TSL 1802"/>
    <n v="3"/>
    <n v="5"/>
    <m/>
    <x v="3"/>
    <x v="3"/>
    <s v="D0C9"/>
    <x v="20"/>
    <x v="1"/>
    <x v="0"/>
    <n v="56"/>
    <n v="0"/>
    <n v="56"/>
    <n v="56"/>
    <n v="52.454999999999998"/>
    <n v="43.43"/>
    <n v="0"/>
    <n v="0"/>
    <n v="0"/>
    <n v="0"/>
    <n v="0"/>
    <n v="0"/>
    <n v="0"/>
    <n v="0"/>
    <n v="0"/>
    <n v="0"/>
    <n v="0"/>
    <n v="0"/>
    <n v="0"/>
    <n v="0"/>
    <n v="0"/>
    <n v="0"/>
    <n v="0"/>
    <n v="0"/>
    <n v="3.5450000000000004"/>
    <n v="3.5450000000000004"/>
    <n v="3.5450000000000004"/>
    <n v="0"/>
    <n v="3.5450000000000004"/>
    <m/>
    <n v="3.5449999999999999"/>
    <n v="0"/>
    <n v="0"/>
    <n v="0"/>
    <n v="0"/>
    <n v="0"/>
    <n v="0"/>
    <n v="3.5449999999999999"/>
    <n v="3.5449999999999999"/>
    <n v="0"/>
    <n v="0"/>
    <n v="0"/>
    <n v="0"/>
    <n v="0"/>
    <m/>
    <m/>
    <m/>
    <m/>
    <m/>
    <m/>
    <m/>
    <m/>
    <m/>
    <m/>
    <m/>
    <m/>
    <m/>
    <m/>
    <m/>
    <m/>
    <m/>
    <m/>
    <m/>
    <m/>
    <m/>
    <m/>
    <m/>
    <m/>
    <m/>
    <m/>
    <m/>
    <m/>
    <m/>
    <m/>
    <m/>
    <m/>
    <m/>
    <m/>
  </r>
  <r>
    <n v="742"/>
    <d v="2025-03-21T00:00:00"/>
    <x v="0"/>
    <n v="9518620674"/>
    <n v="15"/>
    <s v="9518620674-15"/>
    <s v="May'25"/>
    <x v="0"/>
    <s v="Yes"/>
    <x v="1"/>
    <x v="1"/>
    <x v="0"/>
    <m/>
    <x v="1"/>
    <m/>
    <m/>
    <m/>
    <s v="South"/>
    <s v="CHENNAI"/>
    <x v="2"/>
    <x v="4"/>
    <x v="4"/>
    <x v="292"/>
    <s v="CRCA COIL TATXXD AU03 0.8X1250"/>
    <s v=" "/>
    <s v=""/>
    <n v="6"/>
    <n v="18"/>
    <m/>
    <x v="1"/>
    <x v="2"/>
    <s v="AU03"/>
    <x v="5"/>
    <x v="0"/>
    <x v="0"/>
    <n v="58"/>
    <n v="0"/>
    <n v="58"/>
    <n v="58"/>
    <n v="3.5399999999999991"/>
    <n v="58"/>
    <n v="0"/>
    <n v="0"/>
    <n v="0"/>
    <n v="0"/>
    <n v="0"/>
    <n v="0"/>
    <n v="0"/>
    <n v="0"/>
    <n v="0"/>
    <n v="0"/>
    <n v="0"/>
    <n v="0"/>
    <n v="54.46"/>
    <n v="0"/>
    <n v="0"/>
    <n v="0"/>
    <n v="0"/>
    <n v="0"/>
    <n v="0"/>
    <n v="54.46"/>
    <n v="54.46"/>
    <n v="0"/>
    <n v="54.46"/>
    <m/>
    <n v="0"/>
    <n v="58"/>
    <n v="0"/>
    <n v="58"/>
    <n v="0"/>
    <n v="0"/>
    <n v="0"/>
    <n v="58"/>
    <n v="0"/>
    <n v="58"/>
    <n v="0"/>
    <n v="0"/>
    <n v="0"/>
    <n v="0"/>
    <m/>
    <m/>
    <m/>
    <m/>
    <m/>
    <m/>
    <m/>
    <m/>
    <m/>
    <m/>
    <m/>
    <m/>
    <m/>
    <m/>
    <m/>
    <m/>
    <m/>
    <m/>
    <m/>
    <m/>
    <m/>
    <m/>
    <m/>
    <m/>
    <m/>
    <m/>
    <m/>
    <m/>
    <m/>
    <m/>
    <m/>
    <m/>
    <m/>
    <m/>
  </r>
  <r>
    <n v="742"/>
    <d v="2025-03-27T00:00:00"/>
    <x v="0"/>
    <n v="9518645033"/>
    <n v="1"/>
    <s v="9518645033-1"/>
    <s v="No Priority"/>
    <x v="0"/>
    <s v="Yes"/>
    <x v="1"/>
    <x v="1"/>
    <x v="0"/>
    <m/>
    <x v="0"/>
    <m/>
    <m/>
    <m/>
    <s v="South"/>
    <s v="GUMMIDIPOONDI"/>
    <x v="2"/>
    <x v="58"/>
    <x v="54"/>
    <x v="293"/>
    <s v="CRCA COIL-TATXXD-AU03-0.7X1250"/>
    <s v=" "/>
    <s v=""/>
    <n v="5"/>
    <n v="29"/>
    <m/>
    <x v="1"/>
    <x v="2"/>
    <s v="AU03"/>
    <x v="4"/>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27T00:00:00"/>
    <x v="0"/>
    <n v="9518645033"/>
    <n v="2"/>
    <s v="9518645033-2"/>
    <s v="May'25"/>
    <x v="0"/>
    <s v="Yes"/>
    <x v="1"/>
    <x v="1"/>
    <x v="0"/>
    <m/>
    <x v="1"/>
    <m/>
    <m/>
    <m/>
    <s v="South"/>
    <s v="GUMMIDIPOONDI"/>
    <x v="2"/>
    <x v="58"/>
    <x v="54"/>
    <x v="322"/>
    <s v="CRCA COIL TATXXD AU03 0.800X1320"/>
    <s v=" "/>
    <s v=""/>
    <n v="5"/>
    <n v="29"/>
    <m/>
    <x v="1"/>
    <x v="2"/>
    <s v="AU03"/>
    <x v="5"/>
    <x v="9"/>
    <x v="0"/>
    <n v="30"/>
    <n v="0"/>
    <n v="30"/>
    <n v="30"/>
    <n v="1.1799999999999997"/>
    <n v="30"/>
    <n v="0"/>
    <n v="0"/>
    <n v="0"/>
    <n v="0"/>
    <n v="0"/>
    <n v="0"/>
    <n v="0"/>
    <n v="0"/>
    <n v="0"/>
    <n v="0"/>
    <n v="0"/>
    <n v="0"/>
    <n v="28.82"/>
    <n v="0"/>
    <n v="0"/>
    <n v="0"/>
    <n v="0"/>
    <n v="0"/>
    <n v="0"/>
    <n v="28.82"/>
    <n v="28.82"/>
    <n v="0"/>
    <n v="28.82"/>
    <m/>
    <n v="0"/>
    <n v="30"/>
    <n v="0"/>
    <n v="30"/>
    <n v="0"/>
    <n v="0"/>
    <n v="0"/>
    <n v="30"/>
    <n v="0"/>
    <n v="30"/>
    <n v="0"/>
    <n v="0"/>
    <n v="0"/>
    <n v="0"/>
    <m/>
    <m/>
    <m/>
    <m/>
    <m/>
    <m/>
    <m/>
    <m/>
    <m/>
    <m/>
    <m/>
    <m/>
    <m/>
    <m/>
    <m/>
    <m/>
    <m/>
    <m/>
    <m/>
    <m/>
    <m/>
    <m/>
    <m/>
    <m/>
    <m/>
    <m/>
    <m/>
    <m/>
    <m/>
    <m/>
    <m/>
    <m/>
    <m/>
    <m/>
  </r>
  <r>
    <n v="744"/>
    <d v="2025-03-29T00:00:00"/>
    <x v="0"/>
    <n v="9518651680"/>
    <n v="9"/>
    <s v="9518651680-9"/>
    <s v="May'25"/>
    <x v="0"/>
    <m/>
    <x v="2"/>
    <x v="3"/>
    <x v="2"/>
    <m/>
    <x v="1"/>
    <m/>
    <m/>
    <m/>
    <s v="TBSPL"/>
    <s v="GAMHARIA"/>
    <x v="2"/>
    <x v="15"/>
    <x v="15"/>
    <x v="86"/>
    <s v="PPGL C Y550 ISC6 0.45BMT(0.50TPT)X1220"/>
    <s v="aZ70"/>
    <s v="PRO RED TSL 1912"/>
    <n v="3"/>
    <n v="5"/>
    <m/>
    <x v="3"/>
    <x v="3"/>
    <s v="ISC6"/>
    <x v="10"/>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4"/>
    <d v="2025-03-29T00:00:00"/>
    <x v="0"/>
    <n v="9518651680"/>
    <n v="10"/>
    <s v="9518651680-10"/>
    <s v="May'25"/>
    <x v="0"/>
    <m/>
    <x v="2"/>
    <x v="3"/>
    <x v="2"/>
    <m/>
    <x v="1"/>
    <m/>
    <m/>
    <m/>
    <s v="TBSPL"/>
    <s v="GAMHARIA"/>
    <x v="2"/>
    <x v="15"/>
    <x v="15"/>
    <x v="86"/>
    <s v="PPGL C Y550 ISC6 0.45BMT(0.50TPT)X1220"/>
    <s v="aZ70"/>
    <s v="PRO BLUE TSL 1913"/>
    <n v="3"/>
    <n v="5"/>
    <m/>
    <x v="3"/>
    <x v="3"/>
    <s v="ISC6"/>
    <x v="10"/>
    <x v="1"/>
    <x v="0"/>
    <n v="84"/>
    <n v="5.0149999999999997"/>
    <n v="78.984999999999999"/>
    <n v="78.984999999999999"/>
    <n v="78.984999999999999"/>
    <n v="78.984999999999999"/>
    <n v="0"/>
    <n v="0"/>
    <n v="0"/>
    <n v="0"/>
    <n v="0"/>
    <n v="0"/>
    <n v="0"/>
    <n v="0"/>
    <n v="0"/>
    <n v="0"/>
    <n v="0"/>
    <n v="0"/>
    <n v="0"/>
    <n v="0"/>
    <n v="0"/>
    <n v="0"/>
    <n v="0"/>
    <n v="0"/>
    <n v="0"/>
    <n v="0"/>
    <n v="0"/>
    <n v="0"/>
    <n v="0"/>
    <m/>
    <n v="0"/>
    <n v="78.984999999999999"/>
    <n v="0"/>
    <n v="0"/>
    <n v="78.984999999999999"/>
    <n v="0"/>
    <n v="0"/>
    <n v="78.984999999999999"/>
    <n v="0"/>
    <n v="0"/>
    <n v="0"/>
    <n v="78.984999999999999"/>
    <n v="0"/>
    <n v="0"/>
    <m/>
    <m/>
    <m/>
    <m/>
    <m/>
    <m/>
    <m/>
    <m/>
    <m/>
    <m/>
    <m/>
    <m/>
    <m/>
    <m/>
    <m/>
    <m/>
    <m/>
    <m/>
    <m/>
    <m/>
    <m/>
    <m/>
    <m/>
    <m/>
    <m/>
    <m/>
    <m/>
    <m/>
    <m/>
    <m/>
    <m/>
    <m/>
    <m/>
    <m/>
  </r>
  <r>
    <n v="742"/>
    <d v="2025-03-27T00:00:00"/>
    <x v="0"/>
    <n v="9518645033"/>
    <n v="5"/>
    <s v="9518645033-5"/>
    <s v="May'25"/>
    <x v="0"/>
    <s v="Yes"/>
    <x v="1"/>
    <x v="1"/>
    <x v="0"/>
    <m/>
    <x v="1"/>
    <m/>
    <m/>
    <m/>
    <s v="South"/>
    <s v="GUMMIDIPOONDI"/>
    <x v="2"/>
    <x v="58"/>
    <x v="54"/>
    <x v="125"/>
    <s v="CRCA COIL TATXXD AU03 1.800X1250"/>
    <s v=" "/>
    <s v=""/>
    <n v="5"/>
    <n v="29"/>
    <m/>
    <x v="1"/>
    <x v="2"/>
    <s v="AU03"/>
    <x v="41"/>
    <x v="0"/>
    <x v="0"/>
    <n v="29"/>
    <n v="0"/>
    <n v="29"/>
    <n v="29"/>
    <n v="8.1999999999999993"/>
    <n v="29"/>
    <n v="0"/>
    <n v="0"/>
    <n v="0"/>
    <n v="0"/>
    <n v="0"/>
    <n v="0"/>
    <n v="0"/>
    <n v="0"/>
    <n v="0"/>
    <n v="0"/>
    <n v="0"/>
    <n v="0"/>
    <n v="20.8"/>
    <n v="0"/>
    <n v="0"/>
    <n v="0"/>
    <n v="0"/>
    <n v="0"/>
    <n v="0"/>
    <n v="20.8"/>
    <n v="20.8"/>
    <n v="0"/>
    <n v="20.8"/>
    <m/>
    <n v="0"/>
    <n v="29"/>
    <n v="0"/>
    <n v="29"/>
    <n v="0"/>
    <n v="0"/>
    <n v="0"/>
    <n v="29"/>
    <n v="0"/>
    <n v="29"/>
    <n v="0"/>
    <n v="0"/>
    <n v="0"/>
    <n v="0"/>
    <m/>
    <m/>
    <m/>
    <m/>
    <m/>
    <m/>
    <m/>
    <m/>
    <m/>
    <m/>
    <m/>
    <m/>
    <m/>
    <m/>
    <m/>
    <m/>
    <m/>
    <m/>
    <m/>
    <m/>
    <m/>
    <m/>
    <m/>
    <m/>
    <m/>
    <m/>
    <m/>
    <m/>
    <m/>
    <m/>
    <m/>
    <m/>
    <m/>
    <m/>
  </r>
  <r>
    <n v="742"/>
    <d v="2025-03-06T00:00:00"/>
    <x v="0"/>
    <n v="9518578782"/>
    <n v="1"/>
    <s v="9518578782-1"/>
    <s v="May'25"/>
    <x v="0"/>
    <s v="Yes"/>
    <x v="1"/>
    <x v="1"/>
    <x v="0"/>
    <m/>
    <x v="1"/>
    <m/>
    <m/>
    <m/>
    <s v="South"/>
    <s v="PATTANCHERY"/>
    <x v="2"/>
    <x v="35"/>
    <x v="35"/>
    <x v="254"/>
    <s v="CRCA COIL-TATXXD-AU03-0.5X1250"/>
    <s v=" "/>
    <s v=""/>
    <n v="17"/>
    <n v="30"/>
    <m/>
    <x v="1"/>
    <x v="2"/>
    <s v="AU03"/>
    <x v="1"/>
    <x v="0"/>
    <x v="0"/>
    <n v="29"/>
    <n v="0"/>
    <n v="29"/>
    <n v="29"/>
    <n v="29"/>
    <n v="29"/>
    <n v="0"/>
    <n v="0"/>
    <n v="0"/>
    <n v="0"/>
    <n v="0"/>
    <n v="0"/>
    <n v="0"/>
    <n v="0"/>
    <n v="0"/>
    <n v="0"/>
    <n v="0"/>
    <n v="0"/>
    <n v="0"/>
    <n v="0"/>
    <n v="0"/>
    <n v="0"/>
    <n v="0"/>
    <n v="0"/>
    <n v="0"/>
    <n v="0"/>
    <n v="0"/>
    <n v="0"/>
    <n v="0"/>
    <m/>
    <n v="0"/>
    <n v="29"/>
    <n v="0"/>
    <n v="0"/>
    <n v="0"/>
    <n v="29"/>
    <n v="0"/>
    <n v="29"/>
    <n v="0"/>
    <n v="0"/>
    <n v="0"/>
    <n v="29"/>
    <n v="0"/>
    <n v="0"/>
    <m/>
    <m/>
    <m/>
    <m/>
    <m/>
    <m/>
    <m/>
    <m/>
    <m/>
    <m/>
    <m/>
    <m/>
    <m/>
    <m/>
    <m/>
    <m/>
    <m/>
    <m/>
    <m/>
    <m/>
    <m/>
    <m/>
    <m/>
    <m/>
    <m/>
    <m/>
    <m/>
    <m/>
    <m/>
    <m/>
    <m/>
    <m/>
    <m/>
    <m/>
  </r>
  <r>
    <n v="742"/>
    <d v="2025-03-10T00:00:00"/>
    <x v="0"/>
    <n v="9518588777"/>
    <n v="1"/>
    <s v="9518588777-1"/>
    <s v="No Priority"/>
    <x v="0"/>
    <m/>
    <x v="1"/>
    <x v="1"/>
    <x v="0"/>
    <m/>
    <x v="0"/>
    <m/>
    <m/>
    <m/>
    <s v="West"/>
    <s v="RANJANGAON"/>
    <x v="2"/>
    <x v="0"/>
    <x v="0"/>
    <x v="254"/>
    <s v="CRCA COIL-TATXXD-AU03-0.5X1250"/>
    <s v=" "/>
    <s v=""/>
    <n v="17"/>
    <n v="24"/>
    <m/>
    <x v="1"/>
    <x v="2"/>
    <s v="AU03"/>
    <x v="1"/>
    <x v="0"/>
    <x v="0"/>
    <n v="116"/>
    <n v="0"/>
    <n v="116"/>
    <n v="116"/>
    <n v="115.2"/>
    <n v="116"/>
    <n v="0"/>
    <n v="0"/>
    <n v="0"/>
    <n v="0"/>
    <n v="0"/>
    <n v="0"/>
    <n v="0"/>
    <n v="0"/>
    <n v="0"/>
    <n v="0"/>
    <n v="0"/>
    <n v="0"/>
    <n v="0"/>
    <n v="0"/>
    <n v="0.8"/>
    <n v="0"/>
    <n v="0"/>
    <n v="0"/>
    <n v="0"/>
    <n v="0.8"/>
    <n v="0.8"/>
    <n v="0"/>
    <n v="0.8"/>
    <m/>
    <n v="0"/>
    <n v="0"/>
    <n v="0"/>
    <n v="0"/>
    <n v="0"/>
    <n v="0"/>
    <n v="0"/>
    <n v="0"/>
    <n v="0"/>
    <n v="0"/>
    <n v="0"/>
    <n v="0"/>
    <n v="0"/>
    <n v="0"/>
    <m/>
    <m/>
    <m/>
    <m/>
    <m/>
    <m/>
    <m/>
    <m/>
    <m/>
    <m/>
    <m/>
    <m/>
    <m/>
    <m/>
    <m/>
    <m/>
    <m/>
    <m/>
    <m/>
    <m/>
    <m/>
    <m/>
    <m/>
    <m/>
    <m/>
    <m/>
    <m/>
    <m/>
    <m/>
    <m/>
    <m/>
    <m/>
    <m/>
    <m/>
  </r>
  <r>
    <n v="742"/>
    <d v="2025-03-25T00:00:00"/>
    <x v="0"/>
    <n v="9518631220"/>
    <n v="2"/>
    <s v="9518631220-2"/>
    <s v="No Priority"/>
    <x v="0"/>
    <m/>
    <x v="1"/>
    <x v="1"/>
    <x v="0"/>
    <m/>
    <x v="0"/>
    <m/>
    <m/>
    <m/>
    <s v="South"/>
    <s v="YESHWANTHPURA"/>
    <x v="2"/>
    <x v="40"/>
    <x v="0"/>
    <x v="254"/>
    <s v="CRCA COIL-TATXXD-AU03-0.5X1250"/>
    <s v=" "/>
    <s v=""/>
    <n v="2"/>
    <n v="30"/>
    <m/>
    <x v="1"/>
    <x v="2"/>
    <s v="AU03"/>
    <x v="1"/>
    <x v="0"/>
    <x v="0"/>
    <n v="87"/>
    <n v="0"/>
    <n v="87"/>
    <n v="87"/>
    <n v="87"/>
    <n v="87"/>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438"/>
    <n v="1"/>
    <s v="9518649438-1"/>
    <s v="May'25"/>
    <x v="0"/>
    <s v="Yes"/>
    <x v="1"/>
    <x v="1"/>
    <x v="0"/>
    <m/>
    <x v="1"/>
    <m/>
    <m/>
    <m/>
    <s v="South"/>
    <s v="CHENNAI"/>
    <x v="2"/>
    <x v="13"/>
    <x v="13"/>
    <x v="228"/>
    <s v="CRCA COIL-TATXXD-AU03-1X1250"/>
    <s v=" "/>
    <s v=""/>
    <n v="6"/>
    <n v="18"/>
    <m/>
    <x v="1"/>
    <x v="2"/>
    <s v="AU03"/>
    <x v="17"/>
    <x v="0"/>
    <x v="0"/>
    <n v="58"/>
    <n v="0"/>
    <n v="58"/>
    <n v="58"/>
    <n v="58"/>
    <n v="58"/>
    <n v="0"/>
    <n v="0"/>
    <n v="0"/>
    <n v="0"/>
    <n v="0"/>
    <n v="0"/>
    <n v="0"/>
    <n v="0"/>
    <n v="0"/>
    <n v="0"/>
    <n v="0"/>
    <n v="0"/>
    <n v="0"/>
    <n v="0"/>
    <n v="0"/>
    <n v="0"/>
    <n v="0"/>
    <n v="0"/>
    <n v="0"/>
    <n v="0"/>
    <n v="0"/>
    <n v="0"/>
    <n v="0"/>
    <m/>
    <n v="0"/>
    <n v="58"/>
    <n v="0"/>
    <n v="0"/>
    <n v="0"/>
    <n v="58"/>
    <n v="0"/>
    <n v="58"/>
    <n v="0"/>
    <n v="0"/>
    <n v="0"/>
    <n v="58"/>
    <n v="0"/>
    <n v="0"/>
    <m/>
    <m/>
    <m/>
    <m/>
    <m/>
    <m/>
    <m/>
    <m/>
    <m/>
    <m/>
    <m/>
    <m/>
    <m/>
    <m/>
    <m/>
    <m/>
    <m/>
    <m/>
    <m/>
    <m/>
    <m/>
    <m/>
    <m/>
    <m/>
    <m/>
    <m/>
    <m/>
    <m/>
    <m/>
    <m/>
    <m/>
    <m/>
    <m/>
    <m/>
  </r>
  <r>
    <n v="742"/>
    <d v="2025-03-28T00:00:00"/>
    <x v="0"/>
    <n v="9518649334"/>
    <n v="3"/>
    <s v="9518649334-3"/>
    <s v="May'25"/>
    <x v="0"/>
    <m/>
    <x v="0"/>
    <x v="0"/>
    <x v="0"/>
    <m/>
    <x v="1"/>
    <m/>
    <m/>
    <m/>
    <s v="North"/>
    <s v="FARIDABAD"/>
    <x v="2"/>
    <x v="3"/>
    <x v="3"/>
    <x v="323"/>
    <s v="HR COILS-PO IS 10748 GR 1 2.30X1250"/>
    <s v=" "/>
    <s v=""/>
    <n v="17"/>
    <n v="26"/>
    <m/>
    <x v="0"/>
    <x v="11"/>
    <s v="HG01"/>
    <x v="39"/>
    <x v="0"/>
    <x v="0"/>
    <n v="100"/>
    <n v="0"/>
    <n v="100"/>
    <n v="100"/>
    <n v="100"/>
    <n v="71.305000000000007"/>
    <n v="0"/>
    <n v="0"/>
    <n v="0"/>
    <n v="0"/>
    <n v="0"/>
    <n v="0"/>
    <n v="0"/>
    <n v="0"/>
    <n v="0"/>
    <n v="0"/>
    <n v="0"/>
    <n v="0"/>
    <n v="0"/>
    <n v="0"/>
    <n v="0"/>
    <n v="0"/>
    <n v="0"/>
    <n v="0"/>
    <n v="0"/>
    <n v="0"/>
    <n v="0"/>
    <n v="0"/>
    <n v="0"/>
    <m/>
    <n v="28.695"/>
    <n v="71.305000000000007"/>
    <n v="0"/>
    <n v="0"/>
    <n v="71.305000000000007"/>
    <n v="0"/>
    <n v="0"/>
    <n v="100"/>
    <n v="0"/>
    <n v="0"/>
    <n v="0"/>
    <n v="100"/>
    <n v="0"/>
    <n v="0"/>
    <m/>
    <m/>
    <m/>
    <m/>
    <m/>
    <m/>
    <m/>
    <m/>
    <m/>
    <m/>
    <m/>
    <m/>
    <m/>
    <m/>
    <m/>
    <m/>
    <m/>
    <m/>
    <m/>
    <m/>
    <m/>
    <m/>
    <m/>
    <m/>
    <m/>
    <m/>
    <m/>
    <m/>
    <m/>
    <m/>
    <m/>
    <m/>
    <m/>
    <m/>
  </r>
  <r>
    <n v="742"/>
    <d v="2025-03-28T00:00:00"/>
    <x v="0"/>
    <n v="9518649334"/>
    <n v="5"/>
    <s v="9518649334-5"/>
    <s v="No Priority"/>
    <x v="0"/>
    <m/>
    <x v="0"/>
    <x v="0"/>
    <x v="0"/>
    <m/>
    <x v="0"/>
    <m/>
    <m/>
    <m/>
    <s v="North"/>
    <s v="FARIDABAD"/>
    <x v="2"/>
    <x v="3"/>
    <x v="3"/>
    <x v="324"/>
    <s v="HR COILS-PO IS 10748 GR 1 2.50X1250"/>
    <s v=" "/>
    <s v=""/>
    <n v="17"/>
    <n v="26"/>
    <m/>
    <x v="0"/>
    <x v="11"/>
    <s v="HG01"/>
    <x v="38"/>
    <x v="0"/>
    <x v="0"/>
    <n v="25"/>
    <n v="0"/>
    <n v="25"/>
    <n v="25"/>
    <n v="25"/>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159"/>
    <n v="2"/>
    <s v="9518620159-2"/>
    <s v="May'25"/>
    <x v="0"/>
    <s v="Yes"/>
    <x v="1"/>
    <x v="1"/>
    <x v="0"/>
    <m/>
    <x v="1"/>
    <m/>
    <m/>
    <m/>
    <s v="East"/>
    <s v="URLA"/>
    <x v="2"/>
    <x v="72"/>
    <x v="69"/>
    <x v="325"/>
    <s v="CRCA SHEET TATCRC TR15 .95X1250X2500"/>
    <s v=" "/>
    <s v=""/>
    <n v="0"/>
    <n v="0"/>
    <m/>
    <x v="2"/>
    <x v="1"/>
    <s v="TR15"/>
    <x v="16"/>
    <x v="0"/>
    <x v="3"/>
    <n v="30"/>
    <n v="0"/>
    <n v="30"/>
    <n v="30"/>
    <n v="30"/>
    <n v="30"/>
    <n v="0"/>
    <n v="0"/>
    <n v="0"/>
    <n v="0"/>
    <n v="0"/>
    <n v="0"/>
    <n v="0"/>
    <n v="0"/>
    <n v="0"/>
    <n v="0"/>
    <n v="0"/>
    <n v="0"/>
    <n v="0"/>
    <n v="0"/>
    <n v="0"/>
    <n v="0"/>
    <n v="0"/>
    <n v="0"/>
    <n v="0"/>
    <n v="0"/>
    <n v="0"/>
    <n v="0"/>
    <n v="0"/>
    <m/>
    <n v="0"/>
    <n v="30"/>
    <n v="0"/>
    <n v="0"/>
    <n v="0"/>
    <n v="30"/>
    <n v="0"/>
    <n v="30"/>
    <n v="0"/>
    <n v="0"/>
    <n v="0"/>
    <n v="30"/>
    <n v="0"/>
    <n v="0"/>
    <m/>
    <m/>
    <m/>
    <m/>
    <m/>
    <m/>
    <m/>
    <m/>
    <m/>
    <m/>
    <m/>
    <m/>
    <m/>
    <m/>
    <m/>
    <m/>
    <m/>
    <m/>
    <m/>
    <m/>
    <m/>
    <m/>
    <m/>
    <m/>
    <m/>
    <m/>
    <m/>
    <m/>
    <m/>
    <m/>
    <m/>
    <m/>
    <m/>
    <m/>
  </r>
  <r>
    <n v="742"/>
    <d v="2025-04-03T00:00:00"/>
    <x v="0"/>
    <n v="9518667687"/>
    <n v="2"/>
    <s v="9518667687-2"/>
    <s v="No Priority"/>
    <x v="0"/>
    <s v="Yes"/>
    <x v="1"/>
    <x v="1"/>
    <x v="0"/>
    <m/>
    <x v="0"/>
    <m/>
    <s v="De-prioritized due to Apr CF orders"/>
    <m/>
    <s v="South"/>
    <s v="YESHWANTHPURA"/>
    <x v="2"/>
    <x v="34"/>
    <x v="34"/>
    <x v="95"/>
    <s v="CRCA COIL-TATXXD-AU03-1.2X1250"/>
    <s v=" "/>
    <s v=""/>
    <n v="10"/>
    <n v="28"/>
    <m/>
    <x v="1"/>
    <x v="2"/>
    <s v="AU03"/>
    <x v="19"/>
    <x v="0"/>
    <x v="0"/>
    <n v="145"/>
    <n v="0"/>
    <n v="145"/>
    <n v="145"/>
    <n v="145"/>
    <n v="145"/>
    <n v="0"/>
    <n v="0"/>
    <n v="0"/>
    <n v="0"/>
    <n v="0"/>
    <n v="0"/>
    <n v="0"/>
    <n v="0"/>
    <n v="0"/>
    <n v="0"/>
    <n v="0"/>
    <n v="0"/>
    <n v="0"/>
    <n v="0"/>
    <n v="0"/>
    <n v="0"/>
    <n v="0"/>
    <n v="0"/>
    <n v="0"/>
    <n v="0"/>
    <n v="0"/>
    <n v="0"/>
    <n v="0"/>
    <m/>
    <n v="0"/>
    <n v="0"/>
    <n v="0"/>
    <n v="0"/>
    <n v="0"/>
    <n v="0"/>
    <n v="0"/>
    <n v="0"/>
    <n v="0"/>
    <n v="0"/>
    <n v="0"/>
    <n v="0"/>
    <n v="0"/>
    <n v="0"/>
    <m/>
    <m/>
    <m/>
    <m/>
    <m/>
    <m/>
    <m/>
    <m/>
    <m/>
    <m/>
    <m/>
    <m/>
    <m/>
    <m/>
    <m/>
    <m/>
    <m/>
    <m/>
    <m/>
    <m/>
    <m/>
    <m/>
    <m/>
    <m/>
    <m/>
    <m/>
    <m/>
    <m/>
    <m/>
    <m/>
    <m/>
    <m/>
    <m/>
    <m/>
  </r>
  <r>
    <n v="743"/>
    <d v="2025-04-14T00:00:00"/>
    <x v="0"/>
    <n v="9518692220"/>
    <n v="5"/>
    <s v="9518692220-5"/>
    <s v="No Priority"/>
    <x v="0"/>
    <m/>
    <x v="3"/>
    <x v="9"/>
    <x v="0"/>
    <m/>
    <x v="0"/>
    <m/>
    <m/>
    <m/>
    <s v="East"/>
    <s v=" "/>
    <x v="2"/>
    <x v="10"/>
    <x v="10"/>
    <x v="55"/>
    <s v="GP COIL SOFT-TATXGP-GK09-0.35X900"/>
    <s v="Z80"/>
    <s v=""/>
    <n v="4"/>
    <n v="12"/>
    <m/>
    <x v="7"/>
    <x v="5"/>
    <s v="GK09"/>
    <x v="6"/>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3"/>
    <d v="2025-03-21T00:00:00"/>
    <x v="0"/>
    <n v="9518620960"/>
    <n v="3"/>
    <s v="9518620960-3"/>
    <s v="No Priority"/>
    <x v="0"/>
    <m/>
    <x v="3"/>
    <x v="0"/>
    <x v="0"/>
    <m/>
    <x v="0"/>
    <m/>
    <m/>
    <m/>
    <s v="East"/>
    <s v="TATANAGAR"/>
    <x v="2"/>
    <x v="5"/>
    <x v="5"/>
    <x v="326"/>
    <s v="GP COIL SOFT TATXGP GLR1 0.400X1220"/>
    <s v="Z80"/>
    <s v=""/>
    <n v="4"/>
    <n v="12"/>
    <m/>
    <x v="7"/>
    <x v="5"/>
    <s v="GLR1"/>
    <x v="2"/>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31"/>
    <n v="3"/>
    <s v="9518703431-3"/>
    <s v="Stocks"/>
    <x v="0"/>
    <m/>
    <x v="1"/>
    <x v="10"/>
    <x v="2"/>
    <m/>
    <x v="1"/>
    <m/>
    <m/>
    <m/>
    <s v="North"/>
    <s v="FARIDABAD"/>
    <x v="2"/>
    <x v="42"/>
    <x v="41"/>
    <x v="79"/>
    <s v="CRCA COIL TATXXD BT01 0.970X1220"/>
    <s v=" "/>
    <s v=""/>
    <n v="7"/>
    <n v="12"/>
    <m/>
    <x v="1"/>
    <x v="2"/>
    <s v="BT01"/>
    <x v="24"/>
    <x v="1"/>
    <x v="0"/>
    <n v="168"/>
    <n v="0"/>
    <n v="168"/>
    <n v="168"/>
    <n v="168"/>
    <n v="50.13"/>
    <n v="0"/>
    <n v="0"/>
    <n v="0"/>
    <n v="0"/>
    <n v="0"/>
    <n v="0"/>
    <n v="0"/>
    <n v="0"/>
    <n v="0"/>
    <n v="0"/>
    <n v="0"/>
    <n v="0"/>
    <n v="0"/>
    <n v="0"/>
    <n v="0"/>
    <n v="0"/>
    <n v="0"/>
    <n v="0"/>
    <n v="0"/>
    <n v="0"/>
    <n v="0"/>
    <n v="0"/>
    <n v="0"/>
    <m/>
    <n v="15.775"/>
    <n v="0"/>
    <n v="0"/>
    <n v="0"/>
    <n v="0"/>
    <n v="0"/>
    <n v="0"/>
    <n v="15.775"/>
    <n v="15.775"/>
    <n v="0"/>
    <n v="0"/>
    <n v="0"/>
    <n v="0"/>
    <n v="0"/>
    <m/>
    <m/>
    <m/>
    <m/>
    <m/>
    <m/>
    <m/>
    <m/>
    <m/>
    <m/>
    <m/>
    <m/>
    <m/>
    <m/>
    <m/>
    <m/>
    <m/>
    <m/>
    <m/>
    <m/>
    <m/>
    <m/>
    <m/>
    <m/>
    <m/>
    <m/>
    <m/>
    <m/>
    <m/>
    <m/>
    <m/>
    <m/>
    <m/>
    <m/>
  </r>
  <r>
    <n v="742"/>
    <d v="2025-04-02T00:00:00"/>
    <x v="0"/>
    <n v="9518664768"/>
    <n v="1"/>
    <s v="9518664768-1"/>
    <s v="May'25"/>
    <x v="0"/>
    <s v="Yes"/>
    <x v="1"/>
    <x v="2"/>
    <x v="0"/>
    <m/>
    <x v="1"/>
    <m/>
    <m/>
    <m/>
    <s v="East"/>
    <s v="GUWAHATI"/>
    <x v="2"/>
    <x v="25"/>
    <x v="24"/>
    <x v="327"/>
    <s v="CR COIL TSBCRC SR25 1X1250"/>
    <s v=" "/>
    <s v=""/>
    <n v="4"/>
    <n v="28"/>
    <m/>
    <x v="1"/>
    <x v="4"/>
    <s v="SR25"/>
    <x v="17"/>
    <x v="0"/>
    <x v="0"/>
    <n v="29"/>
    <n v="0"/>
    <n v="29"/>
    <n v="29"/>
    <n v="1.4299999999999997"/>
    <n v="29"/>
    <n v="0"/>
    <n v="0"/>
    <n v="0"/>
    <n v="0"/>
    <n v="0"/>
    <n v="0"/>
    <n v="0"/>
    <n v="0"/>
    <n v="0"/>
    <n v="0"/>
    <n v="0"/>
    <n v="0"/>
    <n v="0"/>
    <n v="27.57"/>
    <n v="0"/>
    <n v="0"/>
    <n v="0"/>
    <n v="0"/>
    <n v="0"/>
    <n v="27.57"/>
    <n v="27.57"/>
    <n v="0"/>
    <n v="27.57"/>
    <m/>
    <n v="0"/>
    <n v="29"/>
    <n v="0"/>
    <n v="29"/>
    <n v="0"/>
    <n v="0"/>
    <n v="0"/>
    <n v="29"/>
    <n v="0"/>
    <n v="29"/>
    <n v="0"/>
    <n v="0"/>
    <n v="0"/>
    <n v="0"/>
    <m/>
    <m/>
    <m/>
    <m/>
    <m/>
    <m/>
    <m/>
    <m/>
    <m/>
    <m/>
    <m/>
    <m/>
    <m/>
    <m/>
    <m/>
    <m/>
    <m/>
    <m/>
    <m/>
    <m/>
    <m/>
    <m/>
    <m/>
    <m/>
    <m/>
    <m/>
    <m/>
    <m/>
    <m/>
    <m/>
    <m/>
    <m/>
    <m/>
    <m/>
  </r>
  <r>
    <n v="743"/>
    <d v="2025-04-11T00:00:00"/>
    <x v="0"/>
    <n v="9518683949"/>
    <n v="6"/>
    <s v="9518683949-6"/>
    <s v="May'25"/>
    <x v="0"/>
    <m/>
    <x v="3"/>
    <x v="9"/>
    <x v="0"/>
    <m/>
    <x v="0"/>
    <m/>
    <m/>
    <m/>
    <s v="East"/>
    <s v="WEST BENGAL"/>
    <x v="2"/>
    <x v="36"/>
    <x v="36"/>
    <x v="328"/>
    <s v="GP COIL TATXGP GK09 0.500X900"/>
    <s v="Z80"/>
    <s v=""/>
    <n v="5"/>
    <n v="15"/>
    <m/>
    <x v="7"/>
    <x v="5"/>
    <s v="GK09"/>
    <x v="1"/>
    <x v="3"/>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295"/>
    <n v="3"/>
    <s v="9518703295-3"/>
    <s v="No Priority"/>
    <x v="0"/>
    <m/>
    <x v="1"/>
    <x v="10"/>
    <x v="2"/>
    <m/>
    <x v="0"/>
    <m/>
    <m/>
    <m/>
    <s v="West"/>
    <s v="VADODARA"/>
    <x v="2"/>
    <x v="44"/>
    <x v="93"/>
    <x v="82"/>
    <s v="CRCA COIL TATXXD BT01 0.970X1315"/>
    <s v=" "/>
    <s v=""/>
    <n v="7"/>
    <n v="10"/>
    <m/>
    <x v="1"/>
    <x v="2"/>
    <s v="BT01"/>
    <x v="24"/>
    <x v="10"/>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4"/>
    <d v="2025-04-08T00:00:00"/>
    <x v="0"/>
    <n v="9518676905"/>
    <n v="6"/>
    <s v="9518676905-6"/>
    <s v="May'25"/>
    <x v="0"/>
    <m/>
    <x v="2"/>
    <x v="3"/>
    <x v="2"/>
    <m/>
    <x v="1"/>
    <m/>
    <m/>
    <m/>
    <s v="TBSPL"/>
    <s v=" "/>
    <x v="2"/>
    <x v="6"/>
    <x v="6"/>
    <x v="84"/>
    <s v="PPGL C HARD Y550PL D0C9 0.50(TPT)X1220"/>
    <s v="AZ150"/>
    <s v="RAL 7024 TSL 1806"/>
    <n v="3"/>
    <n v="5"/>
    <m/>
    <x v="3"/>
    <x v="3"/>
    <s v="D0C9"/>
    <x v="1"/>
    <x v="1"/>
    <x v="0"/>
    <n v="56"/>
    <n v="0"/>
    <n v="56"/>
    <n v="56"/>
    <n v="56"/>
    <n v="56"/>
    <n v="0"/>
    <n v="0"/>
    <n v="0"/>
    <n v="0"/>
    <n v="0"/>
    <n v="0"/>
    <n v="0"/>
    <n v="0"/>
    <n v="0"/>
    <n v="0"/>
    <n v="0"/>
    <n v="0"/>
    <n v="0"/>
    <n v="0"/>
    <n v="0"/>
    <n v="0"/>
    <n v="0"/>
    <n v="0"/>
    <n v="0"/>
    <n v="0"/>
    <n v="0"/>
    <n v="0"/>
    <n v="0"/>
    <m/>
    <n v="0"/>
    <n v="56"/>
    <n v="0"/>
    <n v="0"/>
    <n v="0"/>
    <n v="56"/>
    <n v="0"/>
    <n v="56"/>
    <n v="0"/>
    <n v="0"/>
    <n v="0"/>
    <n v="56"/>
    <n v="0"/>
    <n v="0"/>
    <m/>
    <m/>
    <m/>
    <m/>
    <m/>
    <m/>
    <m/>
    <m/>
    <m/>
    <m/>
    <m/>
    <m/>
    <m/>
    <m/>
    <m/>
    <m/>
    <m/>
    <m/>
    <m/>
    <m/>
    <m/>
    <m/>
    <m/>
    <m/>
    <m/>
    <m/>
    <m/>
    <m/>
    <m/>
    <m/>
    <m/>
    <m/>
    <m/>
    <m/>
  </r>
  <r>
    <n v="744"/>
    <d v="2025-04-08T00:00:00"/>
    <x v="0"/>
    <n v="9518676905"/>
    <n v="8"/>
    <s v="9518676905-8"/>
    <s v="May'25"/>
    <x v="0"/>
    <m/>
    <x v="2"/>
    <x v="3"/>
    <x v="2"/>
    <m/>
    <x v="1"/>
    <m/>
    <m/>
    <m/>
    <s v="TBSPL"/>
    <s v=" "/>
    <x v="2"/>
    <x v="6"/>
    <x v="6"/>
    <x v="84"/>
    <s v="PPGL C HARD Y550PL D0C9 0.50(TPT)X1220"/>
    <s v="AZ150"/>
    <s v="TAURUS BLUE TSL 1813"/>
    <n v="3"/>
    <n v="5"/>
    <m/>
    <x v="3"/>
    <x v="3"/>
    <s v="D0C9"/>
    <x v="1"/>
    <x v="1"/>
    <x v="0"/>
    <n v="84"/>
    <n v="0"/>
    <n v="84"/>
    <n v="84"/>
    <n v="84"/>
    <n v="84"/>
    <n v="0"/>
    <n v="0"/>
    <n v="0"/>
    <n v="0"/>
    <n v="0"/>
    <n v="0"/>
    <n v="0"/>
    <n v="0"/>
    <n v="0"/>
    <n v="0"/>
    <n v="0"/>
    <n v="0"/>
    <n v="0"/>
    <n v="0"/>
    <n v="0"/>
    <n v="0"/>
    <n v="0"/>
    <n v="0"/>
    <n v="0"/>
    <n v="0"/>
    <n v="0"/>
    <n v="0"/>
    <n v="0"/>
    <m/>
    <n v="0"/>
    <n v="84"/>
    <n v="0"/>
    <n v="0"/>
    <n v="0"/>
    <n v="84"/>
    <n v="0"/>
    <n v="84"/>
    <n v="0"/>
    <n v="0"/>
    <n v="0"/>
    <n v="84"/>
    <n v="0"/>
    <n v="0"/>
    <m/>
    <m/>
    <m/>
    <m/>
    <m/>
    <m/>
    <m/>
    <m/>
    <m/>
    <m/>
    <m/>
    <m/>
    <m/>
    <m/>
    <m/>
    <m/>
    <m/>
    <m/>
    <m/>
    <m/>
    <m/>
    <m/>
    <m/>
    <m/>
    <m/>
    <m/>
    <m/>
    <m/>
    <m/>
    <m/>
    <m/>
    <m/>
    <m/>
    <m/>
  </r>
  <r>
    <n v="744"/>
    <d v="2025-04-08T00:00:00"/>
    <x v="0"/>
    <n v="9518676905"/>
    <n v="9"/>
    <s v="9518676905-9"/>
    <s v="May'25"/>
    <x v="0"/>
    <m/>
    <x v="2"/>
    <x v="3"/>
    <x v="2"/>
    <m/>
    <x v="1"/>
    <m/>
    <m/>
    <m/>
    <s v="TBSPL"/>
    <s v=" "/>
    <x v="2"/>
    <x v="6"/>
    <x v="6"/>
    <x v="84"/>
    <s v="PPGL C HARD Y550PL D0C9 0.50(TPT)X1220"/>
    <s v="AZ150"/>
    <s v="BRICK RED TSL 1803"/>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2"/>
    <d v="2025-04-08T00:00:00"/>
    <x v="0"/>
    <n v="9518675830"/>
    <n v="1"/>
    <s v="9518675830-1"/>
    <s v="No Priority"/>
    <x v="0"/>
    <s v="Yes"/>
    <x v="1"/>
    <x v="1"/>
    <x v="0"/>
    <m/>
    <x v="0"/>
    <m/>
    <m/>
    <m/>
    <s v="South"/>
    <s v="YESHWANTHPURA"/>
    <x v="2"/>
    <x v="34"/>
    <x v="34"/>
    <x v="69"/>
    <s v="CRCA COIL TATXXD AU03 1.500X1250"/>
    <s v=" "/>
    <s v=""/>
    <n v="12"/>
    <n v="26"/>
    <m/>
    <x v="1"/>
    <x v="2"/>
    <s v="AU03"/>
    <x v="27"/>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9"/>
    <s v="9518665177-9"/>
    <s v="No Priority"/>
    <x v="0"/>
    <s v="Yes"/>
    <x v="1"/>
    <x v="1"/>
    <x v="0"/>
    <m/>
    <x v="0"/>
    <m/>
    <m/>
    <m/>
    <s v="South"/>
    <s v="COCHIN HARBOUR "/>
    <x v="2"/>
    <x v="9"/>
    <x v="55"/>
    <x v="95"/>
    <s v="CRCA COIL-TATXXD-AU03-1.2X1250"/>
    <s v=" "/>
    <s v=""/>
    <n v="6"/>
    <n v="18"/>
    <m/>
    <x v="1"/>
    <x v="2"/>
    <s v="AU03"/>
    <x v="19"/>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1"/>
    <n v="9518632148"/>
    <n v="2"/>
    <s v="9518632148-2"/>
    <s v="Stocks"/>
    <x v="0"/>
    <m/>
    <x v="1"/>
    <x v="7"/>
    <x v="2"/>
    <m/>
    <x v="1"/>
    <m/>
    <s v="Exp BTF &lt;17MT"/>
    <m/>
    <s v="South"/>
    <s v="THIRUVALLUR"/>
    <x v="2"/>
    <x v="24"/>
    <x v="23"/>
    <x v="90"/>
    <s v="CR COIL TSBSTA EL03 1X1250"/>
    <s v=" "/>
    <s v=""/>
    <n v="8"/>
    <n v="11"/>
    <m/>
    <x v="1"/>
    <x v="9"/>
    <s v="EL03"/>
    <x v="17"/>
    <x v="0"/>
    <x v="0"/>
    <n v="87"/>
    <n v="0"/>
    <n v="87"/>
    <n v="4.09"/>
    <n v="87"/>
    <n v="9.5050000000000008"/>
    <n v="0"/>
    <n v="0"/>
    <n v="0"/>
    <n v="0"/>
    <n v="0"/>
    <n v="0"/>
    <n v="0"/>
    <n v="0"/>
    <n v="0"/>
    <n v="0"/>
    <n v="0"/>
    <n v="0"/>
    <n v="0"/>
    <n v="0"/>
    <n v="0"/>
    <n v="0"/>
    <n v="0"/>
    <n v="0"/>
    <n v="0"/>
    <n v="0"/>
    <n v="0"/>
    <n v="0"/>
    <n v="0"/>
    <m/>
    <n v="26.435000000000002"/>
    <n v="0"/>
    <n v="0"/>
    <n v="0"/>
    <n v="0"/>
    <n v="0"/>
    <n v="0"/>
    <n v="26.435000000000002"/>
    <n v="26.435000000000002"/>
    <n v="0"/>
    <n v="0"/>
    <n v="0"/>
    <n v="0"/>
    <n v="0"/>
    <m/>
    <m/>
    <m/>
    <m/>
    <m/>
    <m/>
    <m/>
    <m/>
    <m/>
    <m/>
    <m/>
    <m/>
    <m/>
    <m/>
    <m/>
    <m/>
    <m/>
    <m/>
    <m/>
    <m/>
    <m/>
    <m/>
    <m/>
    <m/>
    <m/>
    <m/>
    <m/>
    <m/>
    <m/>
    <m/>
    <m/>
    <m/>
    <m/>
    <m/>
  </r>
  <r>
    <n v="743"/>
    <d v="2025-04-04T00:00:00"/>
    <x v="0"/>
    <n v="9518668950"/>
    <n v="1"/>
    <s v="9518668950-1"/>
    <s v="No Priority"/>
    <x v="0"/>
    <m/>
    <x v="3"/>
    <x v="9"/>
    <x v="0"/>
    <m/>
    <x v="0"/>
    <m/>
    <m/>
    <m/>
    <s v="North"/>
    <s v="JAIPUR"/>
    <x v="2"/>
    <x v="83"/>
    <x v="80"/>
    <x v="51"/>
    <s v="GP COIL SOFT-TATXGP-GK09-0.3X900"/>
    <s v="Z80"/>
    <s v=""/>
    <n v="5"/>
    <n v="7"/>
    <m/>
    <x v="7"/>
    <x v="5"/>
    <s v="GK09"/>
    <x v="1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2"/>
    <s v="9518668950-2"/>
    <s v="No Priority"/>
    <x v="0"/>
    <m/>
    <x v="3"/>
    <x v="9"/>
    <x v="0"/>
    <m/>
    <x v="0"/>
    <m/>
    <m/>
    <m/>
    <s v="North"/>
    <s v="JAIPUR"/>
    <x v="2"/>
    <x v="83"/>
    <x v="80"/>
    <x v="55"/>
    <s v="GP COIL SOFT-TATXGP-GK09-0.35X900"/>
    <s v="Z80"/>
    <s v=""/>
    <n v="5"/>
    <n v="7"/>
    <m/>
    <x v="7"/>
    <x v="5"/>
    <s v="GK09"/>
    <x v="6"/>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3"/>
    <s v="9518668950-3"/>
    <s v="No Priority"/>
    <x v="0"/>
    <m/>
    <x v="3"/>
    <x v="9"/>
    <x v="0"/>
    <m/>
    <x v="0"/>
    <m/>
    <m/>
    <m/>
    <s v="North"/>
    <s v="JAIPUR"/>
    <x v="2"/>
    <x v="83"/>
    <x v="80"/>
    <x v="56"/>
    <s v="GP COIL SOFT-TATXGP-GK09-0.4X900"/>
    <s v="Z80"/>
    <s v=""/>
    <n v="5"/>
    <n v="7"/>
    <m/>
    <x v="7"/>
    <x v="5"/>
    <s v="GK09"/>
    <x v="2"/>
    <x v="3"/>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4"/>
    <s v="9518668950-4"/>
    <s v="No Priority"/>
    <x v="0"/>
    <m/>
    <x v="3"/>
    <x v="9"/>
    <x v="0"/>
    <m/>
    <x v="0"/>
    <m/>
    <m/>
    <m/>
    <s v="North"/>
    <s v="JAIPUR"/>
    <x v="2"/>
    <x v="83"/>
    <x v="80"/>
    <x v="281"/>
    <s v="GP COIL SOFT-TATXGP-GK09-0.45X900"/>
    <s v="Z80"/>
    <s v=""/>
    <n v="5"/>
    <n v="7"/>
    <m/>
    <x v="7"/>
    <x v="5"/>
    <s v="GK09"/>
    <x v="1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5"/>
    <s v="9518668950-5"/>
    <s v="No Priority"/>
    <x v="0"/>
    <m/>
    <x v="3"/>
    <x v="9"/>
    <x v="0"/>
    <m/>
    <x v="0"/>
    <m/>
    <m/>
    <m/>
    <s v="North"/>
    <s v="JAIPUR"/>
    <x v="2"/>
    <x v="83"/>
    <x v="80"/>
    <x v="121"/>
    <s v="GP COIL SOFT-TATXGP-GK09-0.5X900"/>
    <s v="Z80"/>
    <s v=""/>
    <n v="5"/>
    <n v="7"/>
    <m/>
    <x v="7"/>
    <x v="5"/>
    <s v="GK09"/>
    <x v="1"/>
    <x v="3"/>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6"/>
    <s v="9518668950-6"/>
    <s v="No Priority"/>
    <x v="0"/>
    <m/>
    <x v="3"/>
    <x v="9"/>
    <x v="0"/>
    <m/>
    <x v="0"/>
    <m/>
    <m/>
    <m/>
    <s v="North"/>
    <s v="JAIPUR"/>
    <x v="2"/>
    <x v="83"/>
    <x v="80"/>
    <x v="62"/>
    <s v="GP COIL SOFT-TATXGP-GK09-0.6X900"/>
    <s v="Z80"/>
    <s v=""/>
    <n v="5"/>
    <n v="7"/>
    <m/>
    <x v="7"/>
    <x v="5"/>
    <s v="GK09"/>
    <x v="20"/>
    <x v="3"/>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7"/>
    <s v="9518668950-7"/>
    <s v="No Priority"/>
    <x v="0"/>
    <m/>
    <x v="3"/>
    <x v="9"/>
    <x v="0"/>
    <m/>
    <x v="0"/>
    <m/>
    <m/>
    <m/>
    <s v="North"/>
    <s v="JAIPUR"/>
    <x v="2"/>
    <x v="83"/>
    <x v="80"/>
    <x v="263"/>
    <s v="GP COIL SOFT-TATXGP-GK09-0.3X1000"/>
    <s v="Z80"/>
    <s v=""/>
    <n v="5"/>
    <n v="7"/>
    <m/>
    <x v="7"/>
    <x v="5"/>
    <s v="GK09"/>
    <x v="11"/>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8"/>
    <s v="9518668950-8"/>
    <s v="No Priority"/>
    <x v="0"/>
    <m/>
    <x v="3"/>
    <x v="9"/>
    <x v="0"/>
    <m/>
    <x v="0"/>
    <m/>
    <m/>
    <m/>
    <s v="North"/>
    <s v="JAIPUR"/>
    <x v="2"/>
    <x v="83"/>
    <x v="80"/>
    <x v="264"/>
    <s v="GP COIL SOFT-TATXGP-GK09-0.35X1000"/>
    <s v="Z80"/>
    <s v=""/>
    <n v="5"/>
    <n v="7"/>
    <m/>
    <x v="7"/>
    <x v="5"/>
    <s v="GK09"/>
    <x v="6"/>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9"/>
    <s v="9518668950-9"/>
    <s v="No Priority"/>
    <x v="0"/>
    <m/>
    <x v="3"/>
    <x v="9"/>
    <x v="0"/>
    <m/>
    <x v="0"/>
    <m/>
    <m/>
    <m/>
    <s v="North"/>
    <s v="JAIPUR"/>
    <x v="2"/>
    <x v="83"/>
    <x v="80"/>
    <x v="232"/>
    <s v="GP COIL SOFT-TATXGP-GK09-0.4X1000"/>
    <s v="Z80"/>
    <s v=""/>
    <n v="5"/>
    <n v="7"/>
    <m/>
    <x v="7"/>
    <x v="5"/>
    <s v="GK09"/>
    <x v="2"/>
    <x v="2"/>
    <x v="0"/>
    <n v="69"/>
    <n v="0"/>
    <n v="69"/>
    <n v="69"/>
    <n v="69"/>
    <n v="69"/>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10"/>
    <s v="9518668950-10"/>
    <s v="No Priority"/>
    <x v="0"/>
    <m/>
    <x v="3"/>
    <x v="9"/>
    <x v="0"/>
    <m/>
    <x v="0"/>
    <m/>
    <m/>
    <m/>
    <s v="North"/>
    <s v="JAIPUR"/>
    <x v="2"/>
    <x v="83"/>
    <x v="80"/>
    <x v="329"/>
    <s v="GP COIL SOFT-TATXGP-GK09-0.45X1000"/>
    <s v="Z80"/>
    <s v=""/>
    <n v="5"/>
    <n v="7"/>
    <m/>
    <x v="7"/>
    <x v="5"/>
    <s v="GK09"/>
    <x v="10"/>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11"/>
    <s v="9518668950-11"/>
    <s v="No Priority"/>
    <x v="0"/>
    <m/>
    <x v="3"/>
    <x v="9"/>
    <x v="0"/>
    <m/>
    <x v="0"/>
    <m/>
    <m/>
    <m/>
    <s v="North"/>
    <s v="JAIPUR"/>
    <x v="2"/>
    <x v="83"/>
    <x v="80"/>
    <x v="330"/>
    <s v="GP COIL SOFT-TATXGP-GK09-0.5X1000"/>
    <s v="Z80"/>
    <s v=""/>
    <n v="5"/>
    <n v="7"/>
    <m/>
    <x v="7"/>
    <x v="5"/>
    <s v="GK09"/>
    <x v="1"/>
    <x v="2"/>
    <x v="0"/>
    <n v="69"/>
    <n v="0"/>
    <n v="69"/>
    <n v="69"/>
    <n v="69"/>
    <n v="69"/>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12"/>
    <s v="9518668950-12"/>
    <s v="No Priority"/>
    <x v="0"/>
    <m/>
    <x v="3"/>
    <x v="9"/>
    <x v="0"/>
    <m/>
    <x v="0"/>
    <m/>
    <m/>
    <m/>
    <s v="North"/>
    <s v="JAIPUR"/>
    <x v="2"/>
    <x v="83"/>
    <x v="80"/>
    <x v="262"/>
    <s v="GP COIL SOFT-TATXGP-GK09-0.6X1000"/>
    <s v="Z80"/>
    <s v=""/>
    <n v="5"/>
    <n v="7"/>
    <m/>
    <x v="7"/>
    <x v="5"/>
    <s v="GK09"/>
    <x v="20"/>
    <x v="2"/>
    <x v="0"/>
    <n v="92"/>
    <n v="0"/>
    <n v="92"/>
    <n v="92"/>
    <n v="92"/>
    <n v="92"/>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14"/>
    <s v="9518668950-14"/>
    <s v="May'25"/>
    <x v="0"/>
    <m/>
    <x v="3"/>
    <x v="14"/>
    <x v="0"/>
    <m/>
    <x v="0"/>
    <m/>
    <m/>
    <m/>
    <s v="North"/>
    <s v="JAIPUR"/>
    <x v="2"/>
    <x v="83"/>
    <x v="80"/>
    <x v="331"/>
    <s v="GP COIL SOFT-TATXGP-GK09-0.35X1220"/>
    <s v="Z80"/>
    <s v=""/>
    <n v="5"/>
    <n v="7"/>
    <m/>
    <x v="7"/>
    <x v="5"/>
    <s v="GK09"/>
    <x v="6"/>
    <x v="1"/>
    <x v="0"/>
    <n v="56"/>
    <n v="0"/>
    <n v="56"/>
    <n v="56"/>
    <n v="56"/>
    <n v="56"/>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15"/>
    <s v="9518668950-15"/>
    <s v="May'25"/>
    <x v="0"/>
    <m/>
    <x v="3"/>
    <x v="14"/>
    <x v="0"/>
    <m/>
    <x v="0"/>
    <m/>
    <m/>
    <m/>
    <s v="North"/>
    <s v="JAIPUR"/>
    <x v="2"/>
    <x v="83"/>
    <x v="80"/>
    <x v="231"/>
    <s v="GP COIL SOFT-TATXGP-GK09-0.4X1220"/>
    <s v="Z80"/>
    <s v=""/>
    <n v="5"/>
    <n v="7"/>
    <m/>
    <x v="7"/>
    <x v="5"/>
    <s v="GK09"/>
    <x v="2"/>
    <x v="1"/>
    <x v="0"/>
    <n v="56"/>
    <n v="0"/>
    <n v="56"/>
    <n v="56"/>
    <n v="56"/>
    <n v="56"/>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16"/>
    <s v="9518668950-16"/>
    <s v="May'25"/>
    <x v="0"/>
    <m/>
    <x v="3"/>
    <x v="14"/>
    <x v="0"/>
    <m/>
    <x v="0"/>
    <m/>
    <m/>
    <m/>
    <s v="North"/>
    <s v="JAIPUR"/>
    <x v="2"/>
    <x v="83"/>
    <x v="80"/>
    <x v="332"/>
    <s v="GP COIL SOFT-TATXGP-GK09-0.45X1220"/>
    <s v="Z80"/>
    <s v=""/>
    <n v="5"/>
    <n v="7"/>
    <m/>
    <x v="7"/>
    <x v="5"/>
    <s v="GK09"/>
    <x v="10"/>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17"/>
    <s v="9518668950-17"/>
    <s v="May'25"/>
    <x v="0"/>
    <m/>
    <x v="3"/>
    <x v="14"/>
    <x v="0"/>
    <m/>
    <x v="0"/>
    <m/>
    <m/>
    <m/>
    <s v="North"/>
    <s v="JAIPUR"/>
    <x v="2"/>
    <x v="83"/>
    <x v="80"/>
    <x v="279"/>
    <s v="GP COIL SOFT-TATXGP-GK09-0.5X1220"/>
    <s v="Z80"/>
    <s v=""/>
    <n v="5"/>
    <n v="7"/>
    <m/>
    <x v="7"/>
    <x v="5"/>
    <s v="GK09"/>
    <x v="1"/>
    <x v="1"/>
    <x v="0"/>
    <n v="56"/>
    <n v="0"/>
    <n v="56"/>
    <n v="56"/>
    <n v="56"/>
    <n v="56"/>
    <n v="0"/>
    <n v="0"/>
    <n v="0"/>
    <n v="0"/>
    <n v="0"/>
    <n v="0"/>
    <n v="0"/>
    <n v="0"/>
    <n v="0"/>
    <n v="0"/>
    <n v="0"/>
    <n v="0"/>
    <n v="0"/>
    <n v="0"/>
    <n v="0"/>
    <n v="0"/>
    <n v="0"/>
    <n v="0"/>
    <n v="0"/>
    <n v="0"/>
    <n v="0"/>
    <n v="0"/>
    <n v="0"/>
    <m/>
    <n v="0"/>
    <n v="0"/>
    <n v="0"/>
    <n v="0"/>
    <n v="0"/>
    <n v="0"/>
    <n v="0"/>
    <n v="0"/>
    <n v="0"/>
    <n v="0"/>
    <n v="0"/>
    <n v="0"/>
    <n v="0"/>
    <n v="0"/>
    <m/>
    <m/>
    <m/>
    <m/>
    <m/>
    <m/>
    <m/>
    <m/>
    <m/>
    <m/>
    <m/>
    <m/>
    <m/>
    <m/>
    <m/>
    <m/>
    <m/>
    <m/>
    <m/>
    <m/>
    <m/>
    <m/>
    <m/>
    <m/>
    <m/>
    <m/>
    <m/>
    <m/>
    <m/>
    <m/>
    <m/>
    <m/>
    <m/>
    <m/>
  </r>
  <r>
    <n v="743"/>
    <d v="2025-04-04T00:00:00"/>
    <x v="0"/>
    <n v="9518668950"/>
    <n v="18"/>
    <s v="9518668950-18"/>
    <s v="May'25"/>
    <x v="0"/>
    <m/>
    <x v="3"/>
    <x v="14"/>
    <x v="0"/>
    <m/>
    <x v="0"/>
    <m/>
    <m/>
    <m/>
    <s v="North"/>
    <s v="JAIPUR"/>
    <x v="2"/>
    <x v="83"/>
    <x v="80"/>
    <x v="280"/>
    <s v="GP COIL SOFT-TATXGP-GK09-0.6X1220"/>
    <s v="Z80"/>
    <s v=""/>
    <n v="5"/>
    <n v="7"/>
    <m/>
    <x v="7"/>
    <x v="5"/>
    <s v="GK09"/>
    <x v="20"/>
    <x v="1"/>
    <x v="0"/>
    <n v="56"/>
    <n v="0"/>
    <n v="56"/>
    <n v="56"/>
    <n v="56"/>
    <n v="56"/>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80"/>
    <n v="4"/>
    <s v="9518703480-4"/>
    <s v="May'25"/>
    <x v="0"/>
    <m/>
    <x v="1"/>
    <x v="10"/>
    <x v="2"/>
    <m/>
    <x v="1"/>
    <m/>
    <s v="P1-Priority for Balmer"/>
    <m/>
    <s v="South"/>
    <s v="VISAJHAPATNAM"/>
    <x v="2"/>
    <x v="41"/>
    <x v="40"/>
    <x v="79"/>
    <s v="CRCA COIL TATXXD BT01 0.970X1220"/>
    <s v=" "/>
    <s v=""/>
    <n v="8"/>
    <n v="12"/>
    <m/>
    <x v="1"/>
    <x v="2"/>
    <s v="BT01"/>
    <x v="24"/>
    <x v="1"/>
    <x v="0"/>
    <n v="224"/>
    <n v="0"/>
    <n v="224"/>
    <n v="224"/>
    <n v="224"/>
    <n v="224"/>
    <n v="0"/>
    <n v="0"/>
    <n v="0"/>
    <n v="0"/>
    <n v="0"/>
    <n v="0"/>
    <n v="0"/>
    <n v="0"/>
    <n v="0"/>
    <n v="0"/>
    <n v="0"/>
    <n v="0"/>
    <n v="0"/>
    <n v="0"/>
    <n v="0"/>
    <n v="0"/>
    <n v="0"/>
    <n v="0"/>
    <n v="0"/>
    <n v="0"/>
    <n v="0"/>
    <n v="0"/>
    <n v="0"/>
    <m/>
    <n v="0"/>
    <n v="224"/>
    <n v="0"/>
    <n v="0"/>
    <n v="224"/>
    <n v="0"/>
    <n v="0"/>
    <n v="224"/>
    <n v="0"/>
    <n v="0"/>
    <n v="0"/>
    <n v="224"/>
    <n v="0"/>
    <n v="0"/>
    <m/>
    <m/>
    <m/>
    <m/>
    <m/>
    <m/>
    <m/>
    <m/>
    <m/>
    <m/>
    <m/>
    <m/>
    <m/>
    <m/>
    <m/>
    <m/>
    <m/>
    <m/>
    <m/>
    <m/>
    <m/>
    <m/>
    <m/>
    <m/>
    <m/>
    <m/>
    <m/>
    <m/>
    <m/>
    <m/>
    <m/>
    <m/>
    <m/>
    <m/>
  </r>
  <r>
    <n v="742"/>
    <d v="2025-04-18T00:00:00"/>
    <x v="0"/>
    <n v="9518703480"/>
    <n v="8"/>
    <s v="9518703480-8"/>
    <s v="May'25"/>
    <x v="0"/>
    <m/>
    <x v="1"/>
    <x v="10"/>
    <x v="2"/>
    <m/>
    <x v="1"/>
    <m/>
    <s v="P1-Priority for Balmer"/>
    <m/>
    <s v="South"/>
    <s v="VISAJHAPATNAM"/>
    <x v="2"/>
    <x v="41"/>
    <x v="40"/>
    <x v="79"/>
    <s v="CRCA COIL TATXXD BT01 0.970X1220"/>
    <s v=" "/>
    <s v=""/>
    <n v="8"/>
    <n v="12"/>
    <m/>
    <x v="1"/>
    <x v="2"/>
    <s v="BT01"/>
    <x v="24"/>
    <x v="1"/>
    <x v="0"/>
    <n v="280"/>
    <n v="0"/>
    <n v="280"/>
    <n v="280"/>
    <n v="280"/>
    <n v="280"/>
    <n v="0"/>
    <n v="0"/>
    <n v="0"/>
    <n v="0"/>
    <n v="0"/>
    <n v="0"/>
    <n v="0"/>
    <n v="0"/>
    <n v="0"/>
    <n v="0"/>
    <n v="0"/>
    <n v="0"/>
    <n v="0"/>
    <n v="0"/>
    <n v="0"/>
    <n v="0"/>
    <n v="0"/>
    <n v="0"/>
    <n v="0"/>
    <n v="0"/>
    <n v="0"/>
    <n v="0"/>
    <n v="0"/>
    <m/>
    <n v="0"/>
    <n v="280"/>
    <n v="0"/>
    <n v="0"/>
    <n v="280"/>
    <n v="0"/>
    <n v="0"/>
    <n v="280"/>
    <n v="0"/>
    <n v="0"/>
    <n v="0"/>
    <n v="280"/>
    <n v="0"/>
    <n v="0"/>
    <m/>
    <m/>
    <m/>
    <m/>
    <m/>
    <m/>
    <m/>
    <m/>
    <m/>
    <m/>
    <m/>
    <m/>
    <m/>
    <m/>
    <m/>
    <m/>
    <m/>
    <m/>
    <m/>
    <m/>
    <m/>
    <m/>
    <m/>
    <m/>
    <m/>
    <m/>
    <m/>
    <m/>
    <m/>
    <m/>
    <m/>
    <m/>
    <m/>
    <m/>
  </r>
  <r>
    <n v="742"/>
    <d v="2025-04-04T00:00:00"/>
    <x v="0"/>
    <n v="9518670119"/>
    <n v="8"/>
    <s v="9518670119-8"/>
    <s v="No Priority"/>
    <x v="0"/>
    <s v="Yes"/>
    <x v="1"/>
    <x v="1"/>
    <x v="0"/>
    <m/>
    <x v="0"/>
    <m/>
    <s v="NO HR availale in this width"/>
    <m/>
    <s v="South"/>
    <s v="PATTANCHERY"/>
    <x v="2"/>
    <x v="35"/>
    <x v="35"/>
    <x v="131"/>
    <s v="CR COIL-ICF  DQ TATXXD AU03 1.00 X 1220"/>
    <s v=" "/>
    <s v=""/>
    <n v="10"/>
    <n v="30"/>
    <m/>
    <x v="1"/>
    <x v="2"/>
    <s v="AU03"/>
    <x v="17"/>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3"/>
    <d v="2025-04-02T00:00:00"/>
    <x v="0"/>
    <n v="9518664230"/>
    <n v="3"/>
    <s v="9518664230-3"/>
    <s v="May'25"/>
    <x v="0"/>
    <m/>
    <x v="3"/>
    <x v="9"/>
    <x v="0"/>
    <m/>
    <x v="1"/>
    <m/>
    <m/>
    <m/>
    <s v="East"/>
    <s v="URLA"/>
    <x v="2"/>
    <x v="92"/>
    <x v="89"/>
    <x v="56"/>
    <s v="GP COIL SOFT-TATXGP-GK09-0.4X900"/>
    <s v="Z80"/>
    <s v=""/>
    <n v="3"/>
    <n v="5"/>
    <m/>
    <x v="7"/>
    <x v="5"/>
    <s v="GK09"/>
    <x v="2"/>
    <x v="3"/>
    <x v="0"/>
    <n v="42"/>
    <n v="0"/>
    <n v="42"/>
    <n v="42"/>
    <n v="42"/>
    <n v="22.48"/>
    <n v="0"/>
    <n v="0"/>
    <n v="0"/>
    <n v="0"/>
    <n v="0"/>
    <n v="0"/>
    <n v="0"/>
    <n v="0"/>
    <n v="0"/>
    <n v="0"/>
    <n v="0"/>
    <n v="0"/>
    <n v="0"/>
    <n v="0"/>
    <n v="0"/>
    <n v="0"/>
    <n v="0"/>
    <n v="0"/>
    <n v="0"/>
    <n v="0"/>
    <n v="0"/>
    <n v="0"/>
    <n v="0"/>
    <m/>
    <n v="19.52"/>
    <n v="22.48"/>
    <n v="0"/>
    <n v="22.48"/>
    <n v="0"/>
    <n v="0"/>
    <n v="0"/>
    <n v="42"/>
    <n v="0"/>
    <n v="0"/>
    <n v="42"/>
    <n v="0"/>
    <n v="0"/>
    <n v="0"/>
    <m/>
    <m/>
    <m/>
    <m/>
    <m/>
    <m/>
    <m/>
    <m/>
    <m/>
    <m/>
    <m/>
    <m/>
    <m/>
    <m/>
    <m/>
    <m/>
    <m/>
    <m/>
    <m/>
    <m/>
    <m/>
    <m/>
    <m/>
    <m/>
    <m/>
    <m/>
    <m/>
    <m/>
    <m/>
    <m/>
    <m/>
    <m/>
    <m/>
    <m/>
  </r>
  <r>
    <n v="742"/>
    <d v="2025-04-19T00:00:00"/>
    <x v="0"/>
    <n v="9518703502"/>
    <n v="4"/>
    <s v="9518703502-4"/>
    <s v="No Priority"/>
    <x v="0"/>
    <m/>
    <x v="1"/>
    <x v="10"/>
    <x v="2"/>
    <m/>
    <x v="0"/>
    <m/>
    <m/>
    <m/>
    <s v="South"/>
    <s v="VISAJHAPATNAM"/>
    <x v="2"/>
    <x v="41"/>
    <x v="40"/>
    <x v="79"/>
    <s v="CRCA COIL TATXXD BT01 0.970X1220"/>
    <s v=" "/>
    <s v=""/>
    <n v="8"/>
    <n v="12"/>
    <m/>
    <x v="1"/>
    <x v="2"/>
    <s v="BT01"/>
    <x v="24"/>
    <x v="1"/>
    <x v="0"/>
    <n v="56"/>
    <n v="0"/>
    <n v="56"/>
    <n v="56"/>
    <n v="56"/>
    <n v="56"/>
    <n v="0"/>
    <n v="0"/>
    <n v="0"/>
    <n v="0"/>
    <n v="0"/>
    <n v="0"/>
    <n v="0"/>
    <n v="0"/>
    <n v="0"/>
    <n v="0"/>
    <n v="0"/>
    <n v="0"/>
    <n v="0"/>
    <n v="0"/>
    <n v="0"/>
    <n v="0"/>
    <n v="0"/>
    <n v="0"/>
    <n v="0"/>
    <n v="0"/>
    <n v="0"/>
    <n v="0"/>
    <n v="0"/>
    <m/>
    <n v="0"/>
    <n v="0"/>
    <n v="0"/>
    <n v="0"/>
    <n v="0"/>
    <n v="0"/>
    <n v="0"/>
    <n v="0"/>
    <n v="0"/>
    <n v="0"/>
    <n v="0"/>
    <n v="0"/>
    <n v="0"/>
    <n v="0"/>
    <m/>
    <m/>
    <m/>
    <m/>
    <m/>
    <m/>
    <m/>
    <m/>
    <m/>
    <m/>
    <m/>
    <m/>
    <m/>
    <m/>
    <m/>
    <m/>
    <m/>
    <m/>
    <m/>
    <m/>
    <m/>
    <m/>
    <m/>
    <m/>
    <m/>
    <m/>
    <m/>
    <m/>
    <m/>
    <m/>
    <m/>
    <m/>
    <m/>
    <m/>
  </r>
  <r>
    <n v="744"/>
    <d v="2025-04-15T00:00:00"/>
    <x v="0"/>
    <n v="9518695426"/>
    <n v="2"/>
    <s v="9518695426-2"/>
    <s v="May'25"/>
    <x v="0"/>
    <s v="Yes"/>
    <x v="2"/>
    <x v="3"/>
    <x v="2"/>
    <m/>
    <x v="1"/>
    <m/>
    <m/>
    <m/>
    <s v="TBSPL"/>
    <s v="RAJASTHAN"/>
    <x v="2"/>
    <x v="71"/>
    <x v="15"/>
    <x v="192"/>
    <s v="PPGL C Y550 D0C7 0.43BMT(0.47TPT)X1220"/>
    <s v="aZ70"/>
    <s v="PASSION RED (NG) TSL 2214"/>
    <n v="3"/>
    <n v="5"/>
    <m/>
    <x v="3"/>
    <x v="3"/>
    <s v="D0C7"/>
    <x v="25"/>
    <x v="1"/>
    <x v="0"/>
    <n v="140"/>
    <n v="0"/>
    <n v="140"/>
    <n v="140"/>
    <n v="140"/>
    <n v="140"/>
    <n v="0"/>
    <n v="0"/>
    <n v="0"/>
    <n v="0"/>
    <n v="0"/>
    <n v="0"/>
    <n v="0"/>
    <n v="0"/>
    <n v="0"/>
    <n v="0"/>
    <n v="0"/>
    <n v="0"/>
    <n v="0"/>
    <n v="0"/>
    <n v="0"/>
    <n v="0"/>
    <n v="0"/>
    <n v="0"/>
    <n v="0"/>
    <n v="0"/>
    <n v="0"/>
    <n v="0"/>
    <n v="0"/>
    <m/>
    <n v="0"/>
    <n v="140"/>
    <n v="0"/>
    <n v="0"/>
    <n v="140"/>
    <n v="0"/>
    <n v="0"/>
    <n v="140"/>
    <n v="0"/>
    <n v="0"/>
    <n v="0"/>
    <n v="140"/>
    <n v="0"/>
    <n v="0"/>
    <m/>
    <m/>
    <m/>
    <m/>
    <m/>
    <m/>
    <m/>
    <m/>
    <m/>
    <m/>
    <m/>
    <m/>
    <m/>
    <m/>
    <m/>
    <m/>
    <m/>
    <m/>
    <m/>
    <m/>
    <m/>
    <m/>
    <m/>
    <m/>
    <m/>
    <m/>
    <m/>
    <m/>
    <m/>
    <m/>
    <m/>
    <m/>
    <m/>
    <m/>
  </r>
  <r>
    <n v="742"/>
    <d v="2025-04-04T00:00:00"/>
    <x v="0"/>
    <n v="9518670119"/>
    <n v="9"/>
    <s v="9518670119-9"/>
    <s v="No Priority"/>
    <x v="0"/>
    <m/>
    <x v="1"/>
    <x v="1"/>
    <x v="0"/>
    <m/>
    <x v="0"/>
    <m/>
    <m/>
    <m/>
    <s v="South"/>
    <s v="PATTANCHERY"/>
    <x v="2"/>
    <x v="35"/>
    <x v="35"/>
    <x v="64"/>
    <s v="CRCA COIL TATXXD AU03 1X1320"/>
    <s v=" "/>
    <s v=""/>
    <n v="10"/>
    <n v="30"/>
    <m/>
    <x v="1"/>
    <x v="2"/>
    <s v="AU03"/>
    <x v="17"/>
    <x v="9"/>
    <x v="0"/>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119"/>
    <n v="10"/>
    <s v="9518670119-10"/>
    <s v="No Priority"/>
    <x v="0"/>
    <m/>
    <x v="1"/>
    <x v="1"/>
    <x v="0"/>
    <m/>
    <x v="0"/>
    <m/>
    <m/>
    <m/>
    <s v="South"/>
    <s v="PATTANCHERY"/>
    <x v="2"/>
    <x v="35"/>
    <x v="35"/>
    <x v="116"/>
    <s v="CRCA COIL-TATXXD-AU03-2X1250"/>
    <s v=" "/>
    <s v=""/>
    <n v="10"/>
    <n v="30"/>
    <m/>
    <x v="1"/>
    <x v="2"/>
    <s v="AU03"/>
    <x v="1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3"/>
    <d v="2025-02-25T00:00:00"/>
    <x v="0"/>
    <n v="9518550377"/>
    <n v="4"/>
    <s v="9518550377-4"/>
    <s v="No Priority"/>
    <x v="0"/>
    <m/>
    <x v="3"/>
    <x v="9"/>
    <x v="0"/>
    <m/>
    <x v="0"/>
    <m/>
    <m/>
    <m/>
    <s v="North"/>
    <s v="LONI"/>
    <x v="2"/>
    <x v="100"/>
    <x v="99"/>
    <x v="121"/>
    <s v="GP COIL SOFT-TATXGP-GK09-0.5X900"/>
    <s v="Z80"/>
    <s v=""/>
    <n v="4"/>
    <n v="6"/>
    <m/>
    <x v="7"/>
    <x v="5"/>
    <s v="GK09"/>
    <x v="1"/>
    <x v="3"/>
    <x v="0"/>
    <n v="210"/>
    <n v="18.86"/>
    <n v="191.14"/>
    <n v="191.14"/>
    <n v="191.14"/>
    <n v="191.14"/>
    <n v="0"/>
    <n v="0"/>
    <n v="0"/>
    <n v="0"/>
    <n v="0"/>
    <n v="0"/>
    <n v="0"/>
    <n v="0"/>
    <n v="0"/>
    <n v="0"/>
    <n v="0"/>
    <n v="0"/>
    <n v="0"/>
    <n v="0"/>
    <n v="0"/>
    <n v="0"/>
    <n v="0"/>
    <n v="0"/>
    <n v="0"/>
    <n v="0"/>
    <n v="0"/>
    <n v="0"/>
    <n v="0"/>
    <m/>
    <n v="0"/>
    <n v="0"/>
    <n v="0"/>
    <n v="0"/>
    <n v="0"/>
    <n v="0"/>
    <n v="0"/>
    <n v="0"/>
    <n v="0"/>
    <n v="0"/>
    <n v="0"/>
    <n v="0"/>
    <n v="0"/>
    <n v="0"/>
    <m/>
    <m/>
    <m/>
    <m/>
    <m/>
    <m/>
    <m/>
    <m/>
    <m/>
    <m/>
    <m/>
    <m/>
    <m/>
    <m/>
    <m/>
    <m/>
    <m/>
    <m/>
    <m/>
    <m/>
    <m/>
    <m/>
    <m/>
    <m/>
    <m/>
    <m/>
    <m/>
    <m/>
    <m/>
    <m/>
    <m/>
    <m/>
    <m/>
    <m/>
  </r>
  <r>
    <n v="744"/>
    <d v="2025-02-22T00:00:00"/>
    <x v="0"/>
    <n v="9518542873"/>
    <n v="3"/>
    <s v="9518542873-3"/>
    <s v="May'25"/>
    <x v="0"/>
    <m/>
    <x v="2"/>
    <x v="3"/>
    <x v="2"/>
    <m/>
    <x v="1"/>
    <m/>
    <m/>
    <m/>
    <s v="TBSPL"/>
    <s v=" "/>
    <x v="2"/>
    <x v="6"/>
    <x v="6"/>
    <x v="333"/>
    <s v="PPGL C Y550 HPL3 0.39BMT(0.47TPT)X1220"/>
    <s v="AZ150"/>
    <s v="RAL 7024 TSL 560"/>
    <n v="3"/>
    <n v="5"/>
    <m/>
    <x v="3"/>
    <x v="3"/>
    <s v="HPL3"/>
    <x v="64"/>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598"/>
    <n v="2"/>
    <s v="9518606598-2"/>
    <s v="May'25"/>
    <x v="0"/>
    <s v="Yes"/>
    <x v="1"/>
    <x v="1"/>
    <x v="0"/>
    <m/>
    <x v="1"/>
    <m/>
    <m/>
    <m/>
    <s v="South"/>
    <s v="VISHAKHAPATNAM"/>
    <x v="2"/>
    <x v="8"/>
    <x v="8"/>
    <x v="292"/>
    <s v="CRCA COIL TATXXD AU03 0.8X1250"/>
    <s v=" "/>
    <s v=""/>
    <n v="8"/>
    <n v="29"/>
    <m/>
    <x v="1"/>
    <x v="2"/>
    <s v="AU03"/>
    <x v="5"/>
    <x v="0"/>
    <x v="0"/>
    <n v="29"/>
    <n v="0"/>
    <n v="29"/>
    <n v="29"/>
    <n v="1.5500000000000007"/>
    <n v="29"/>
    <n v="0"/>
    <n v="0"/>
    <n v="0"/>
    <n v="0"/>
    <n v="0"/>
    <n v="0"/>
    <n v="0"/>
    <n v="0"/>
    <n v="0"/>
    <n v="0"/>
    <n v="0"/>
    <n v="0"/>
    <n v="0"/>
    <n v="27.45"/>
    <n v="0"/>
    <n v="0"/>
    <n v="0"/>
    <n v="0"/>
    <n v="0"/>
    <n v="27.45"/>
    <n v="27.45"/>
    <n v="0"/>
    <n v="27.45"/>
    <m/>
    <n v="0"/>
    <n v="29"/>
    <n v="0"/>
    <n v="29"/>
    <n v="0"/>
    <n v="0"/>
    <n v="0"/>
    <n v="29"/>
    <n v="0"/>
    <n v="29"/>
    <n v="0"/>
    <n v="0"/>
    <n v="0"/>
    <n v="0"/>
    <m/>
    <m/>
    <m/>
    <m/>
    <m/>
    <m/>
    <m/>
    <m/>
    <m/>
    <m/>
    <m/>
    <m/>
    <m/>
    <m/>
    <m/>
    <m/>
    <m/>
    <m/>
    <m/>
    <m/>
    <m/>
    <m/>
    <m/>
    <m/>
    <m/>
    <m/>
    <m/>
    <m/>
    <m/>
    <m/>
    <m/>
    <m/>
    <m/>
    <m/>
  </r>
  <r>
    <n v="742"/>
    <d v="2025-03-17T00:00:00"/>
    <x v="0"/>
    <n v="9518606598"/>
    <n v="6"/>
    <s v="9518606598-6"/>
    <s v="May'25"/>
    <x v="0"/>
    <s v="Yes"/>
    <x v="1"/>
    <x v="1"/>
    <x v="0"/>
    <m/>
    <x v="1"/>
    <m/>
    <m/>
    <m/>
    <s v="South"/>
    <s v="VISHAKHAPATNAM"/>
    <x v="2"/>
    <x v="8"/>
    <x v="8"/>
    <x v="102"/>
    <s v="CRCA COIL-TATXXD-AU03-1.6X1250"/>
    <s v=" "/>
    <s v=""/>
    <n v="8"/>
    <n v="29"/>
    <m/>
    <x v="1"/>
    <x v="2"/>
    <s v="AU03"/>
    <x v="22"/>
    <x v="0"/>
    <x v="0"/>
    <n v="29"/>
    <n v="0"/>
    <n v="29"/>
    <n v="29"/>
    <n v="7.6699999999999982"/>
    <n v="29"/>
    <n v="0"/>
    <n v="0"/>
    <n v="0"/>
    <n v="0"/>
    <n v="0"/>
    <n v="0"/>
    <n v="0"/>
    <n v="0"/>
    <n v="0"/>
    <n v="0"/>
    <n v="21.330000000000002"/>
    <n v="0"/>
    <n v="0"/>
    <n v="0"/>
    <n v="0"/>
    <n v="0"/>
    <n v="0"/>
    <n v="0"/>
    <n v="0"/>
    <n v="21.330000000000002"/>
    <n v="21.330000000000002"/>
    <n v="0"/>
    <n v="21.330000000000002"/>
    <m/>
    <n v="0"/>
    <n v="29"/>
    <n v="0"/>
    <n v="29"/>
    <n v="0"/>
    <n v="0"/>
    <n v="0"/>
    <n v="29"/>
    <n v="0"/>
    <n v="29"/>
    <n v="0"/>
    <n v="0"/>
    <n v="0"/>
    <n v="0"/>
    <m/>
    <m/>
    <m/>
    <m/>
    <m/>
    <m/>
    <m/>
    <m/>
    <m/>
    <m/>
    <m/>
    <m/>
    <m/>
    <m/>
    <m/>
    <m/>
    <m/>
    <m/>
    <m/>
    <m/>
    <m/>
    <m/>
    <m/>
    <m/>
    <m/>
    <m/>
    <m/>
    <m/>
    <m/>
    <m/>
    <m/>
    <m/>
    <m/>
    <m/>
  </r>
  <r>
    <n v="742"/>
    <d v="2025-03-17T00:00:00"/>
    <x v="0"/>
    <n v="9518606284"/>
    <n v="8"/>
    <s v="9518606284-8"/>
    <s v="May'25"/>
    <x v="0"/>
    <s v="Yes"/>
    <x v="1"/>
    <x v="2"/>
    <x v="0"/>
    <m/>
    <x v="1"/>
    <m/>
    <m/>
    <m/>
    <s v="South"/>
    <s v="VISHAKHAPATNAM"/>
    <x v="2"/>
    <x v="8"/>
    <x v="8"/>
    <x v="28"/>
    <s v="CRCA SHEET TSBCRC SR15 0.500X1250X2500"/>
    <s v=" "/>
    <s v=""/>
    <n v="0"/>
    <n v="0"/>
    <m/>
    <x v="2"/>
    <x v="4"/>
    <s v="SR15"/>
    <x v="1"/>
    <x v="0"/>
    <x v="3"/>
    <n v="30"/>
    <n v="0"/>
    <n v="30"/>
    <n v="2.42"/>
    <n v="0"/>
    <n v="30"/>
    <n v="0"/>
    <n v="0"/>
    <n v="0"/>
    <n v="0"/>
    <n v="0"/>
    <n v="0"/>
    <n v="0"/>
    <n v="0"/>
    <n v="0"/>
    <n v="0"/>
    <n v="0"/>
    <n v="0"/>
    <n v="0"/>
    <n v="0"/>
    <n v="0"/>
    <n v="0"/>
    <n v="0"/>
    <n v="0"/>
    <n v="0"/>
    <n v="0"/>
    <n v="0"/>
    <n v="0"/>
    <n v="0"/>
    <m/>
    <n v="0"/>
    <n v="30"/>
    <n v="0"/>
    <n v="0"/>
    <n v="30"/>
    <n v="0"/>
    <n v="0"/>
    <n v="30"/>
    <n v="0"/>
    <n v="0"/>
    <n v="30"/>
    <n v="0"/>
    <n v="0"/>
    <n v="0"/>
    <m/>
    <m/>
    <m/>
    <m/>
    <m/>
    <m/>
    <m/>
    <m/>
    <m/>
    <m/>
    <m/>
    <m/>
    <m/>
    <m/>
    <m/>
    <m/>
    <m/>
    <m/>
    <m/>
    <m/>
    <m/>
    <m/>
    <m/>
    <m/>
    <m/>
    <m/>
    <m/>
    <m/>
    <m/>
    <m/>
    <m/>
    <m/>
    <m/>
    <m/>
  </r>
  <r>
    <n v="742"/>
    <d v="2025-03-17T00:00:00"/>
    <x v="0"/>
    <n v="9518606284"/>
    <n v="11"/>
    <s v="9518606284-11"/>
    <s v="No Priority"/>
    <x v="0"/>
    <m/>
    <x v="1"/>
    <x v="2"/>
    <x v="0"/>
    <m/>
    <x v="0"/>
    <m/>
    <s v="Exp BTF &lt;17MT"/>
    <m/>
    <s v="South"/>
    <s v="VISHAKHAPATNAM"/>
    <x v="2"/>
    <x v="8"/>
    <x v="8"/>
    <x v="41"/>
    <s v="CRCA SHEET TSBCRC SR15 0.600X1250X2500"/>
    <s v=" "/>
    <s v=""/>
    <n v="0"/>
    <n v="0"/>
    <m/>
    <x v="2"/>
    <x v="4"/>
    <s v="SR15"/>
    <x v="20"/>
    <x v="0"/>
    <x v="3"/>
    <n v="30"/>
    <n v="26.164999999999999"/>
    <n v="3.835"/>
    <n v="3.5449999999999999"/>
    <n v="0.93500000000000005"/>
    <n v="3.835"/>
    <n v="0"/>
    <n v="0"/>
    <n v="0"/>
    <n v="0"/>
    <n v="0"/>
    <n v="0"/>
    <n v="0"/>
    <n v="0"/>
    <n v="0"/>
    <n v="0"/>
    <n v="0"/>
    <n v="0"/>
    <n v="0"/>
    <n v="0"/>
    <n v="0"/>
    <n v="2.9"/>
    <n v="0"/>
    <n v="0"/>
    <n v="0"/>
    <n v="2.9"/>
    <n v="2.9"/>
    <n v="0"/>
    <n v="2.9"/>
    <m/>
    <n v="0"/>
    <n v="0"/>
    <n v="0"/>
    <n v="0"/>
    <n v="0"/>
    <n v="0"/>
    <n v="0"/>
    <n v="0"/>
    <n v="0"/>
    <n v="0"/>
    <n v="0"/>
    <n v="0"/>
    <n v="0"/>
    <n v="0"/>
    <m/>
    <m/>
    <m/>
    <m/>
    <m/>
    <m/>
    <m/>
    <m/>
    <m/>
    <m/>
    <m/>
    <m/>
    <m/>
    <m/>
    <m/>
    <m/>
    <m/>
    <m/>
    <m/>
    <m/>
    <m/>
    <m/>
    <m/>
    <m/>
    <m/>
    <m/>
    <m/>
    <m/>
    <m/>
    <m/>
    <m/>
    <m/>
    <m/>
    <m/>
  </r>
  <r>
    <n v="742"/>
    <d v="2025-03-17T00:00:00"/>
    <x v="0"/>
    <n v="9518606284"/>
    <n v="16"/>
    <s v="9518606284-16"/>
    <s v="May'25"/>
    <x v="0"/>
    <s v="Yes"/>
    <x v="1"/>
    <x v="2"/>
    <x v="0"/>
    <m/>
    <x v="1"/>
    <m/>
    <m/>
    <m/>
    <s v="South"/>
    <s v="VISHAKHAPATNAM"/>
    <x v="2"/>
    <x v="8"/>
    <x v="8"/>
    <x v="31"/>
    <s v="CRCA SHEET TSBCRC SR15 0.950X1000X2500"/>
    <s v=" "/>
    <s v=""/>
    <n v="0"/>
    <n v="0"/>
    <m/>
    <x v="2"/>
    <x v="4"/>
    <s v="SR15"/>
    <x v="16"/>
    <x v="2"/>
    <x v="3"/>
    <n v="21"/>
    <n v="0"/>
    <n v="21"/>
    <n v="21"/>
    <n v="-1.4699999999999989"/>
    <n v="21"/>
    <n v="0"/>
    <n v="0"/>
    <n v="0"/>
    <n v="0"/>
    <n v="0"/>
    <n v="0"/>
    <n v="0"/>
    <n v="0"/>
    <n v="0"/>
    <n v="0"/>
    <n v="0"/>
    <n v="0"/>
    <n v="0"/>
    <n v="22.47"/>
    <n v="0"/>
    <n v="0"/>
    <n v="0"/>
    <n v="0"/>
    <n v="0"/>
    <n v="22.47"/>
    <n v="22.47"/>
    <n v="0"/>
    <n v="22.47"/>
    <m/>
    <n v="0"/>
    <n v="21"/>
    <n v="0"/>
    <n v="21"/>
    <n v="0"/>
    <n v="0"/>
    <n v="0"/>
    <n v="21"/>
    <n v="0"/>
    <n v="21"/>
    <n v="0"/>
    <n v="0"/>
    <n v="0"/>
    <n v="0"/>
    <m/>
    <m/>
    <m/>
    <m/>
    <m/>
    <m/>
    <m/>
    <m/>
    <m/>
    <m/>
    <m/>
    <m/>
    <m/>
    <m/>
    <m/>
    <m/>
    <m/>
    <m/>
    <m/>
    <m/>
    <m/>
    <m/>
    <m/>
    <m/>
    <m/>
    <m/>
    <m/>
    <m/>
    <m/>
    <m/>
    <m/>
    <m/>
    <m/>
    <m/>
  </r>
  <r>
    <n v="742"/>
    <d v="2025-03-17T00:00:00"/>
    <x v="0"/>
    <n v="9518606284"/>
    <n v="20"/>
    <s v="9518606284-20"/>
    <s v="May'25"/>
    <x v="0"/>
    <s v="Yes"/>
    <x v="1"/>
    <x v="2"/>
    <x v="0"/>
    <m/>
    <x v="1"/>
    <m/>
    <m/>
    <m/>
    <s v="South"/>
    <s v="VISHAKHAPATNAM"/>
    <x v="2"/>
    <x v="8"/>
    <x v="8"/>
    <x v="334"/>
    <s v="CRCA SHEET TSBCRC SR15 1.200X1000X2500"/>
    <s v=" "/>
    <s v=""/>
    <n v="0"/>
    <n v="0"/>
    <m/>
    <x v="2"/>
    <x v="4"/>
    <s v="SR15"/>
    <x v="19"/>
    <x v="2"/>
    <x v="3"/>
    <n v="21"/>
    <n v="0"/>
    <n v="21"/>
    <n v="21"/>
    <n v="21"/>
    <n v="21"/>
    <n v="0"/>
    <n v="0"/>
    <n v="0"/>
    <n v="0"/>
    <n v="0"/>
    <n v="0"/>
    <n v="0"/>
    <n v="0"/>
    <n v="0"/>
    <n v="0"/>
    <n v="0"/>
    <n v="0"/>
    <n v="0"/>
    <n v="0"/>
    <n v="0"/>
    <n v="0"/>
    <n v="0"/>
    <n v="0"/>
    <n v="0"/>
    <n v="0"/>
    <n v="0"/>
    <n v="0"/>
    <n v="0"/>
    <m/>
    <n v="0"/>
    <n v="21"/>
    <n v="0"/>
    <n v="0"/>
    <n v="0"/>
    <n v="21"/>
    <n v="0"/>
    <n v="21"/>
    <n v="0"/>
    <n v="0"/>
    <n v="0"/>
    <n v="21"/>
    <n v="0"/>
    <n v="0"/>
    <m/>
    <m/>
    <m/>
    <m/>
    <m/>
    <m/>
    <m/>
    <m/>
    <m/>
    <m/>
    <m/>
    <m/>
    <m/>
    <m/>
    <m/>
    <m/>
    <m/>
    <m/>
    <m/>
    <m/>
    <m/>
    <m/>
    <m/>
    <m/>
    <m/>
    <m/>
    <m/>
    <m/>
    <m/>
    <m/>
    <m/>
    <m/>
    <m/>
    <m/>
  </r>
  <r>
    <n v="742"/>
    <d v="2025-03-17T00:00:00"/>
    <x v="0"/>
    <n v="9518606284"/>
    <n v="6"/>
    <s v="9518606284-6"/>
    <s v="May'25"/>
    <x v="0"/>
    <s v="Yes"/>
    <x v="1"/>
    <x v="2"/>
    <x v="0"/>
    <m/>
    <x v="1"/>
    <m/>
    <m/>
    <m/>
    <s v="South"/>
    <s v="VISHAKHAPATNAM"/>
    <x v="2"/>
    <x v="8"/>
    <x v="8"/>
    <x v="291"/>
    <s v="CRCA SHEET TATCRC SR16 0.450X1000X2440"/>
    <s v=" "/>
    <s v=""/>
    <n v="0"/>
    <n v="0"/>
    <m/>
    <x v="2"/>
    <x v="1"/>
    <s v="SR16"/>
    <x v="10"/>
    <x v="2"/>
    <x v="6"/>
    <n v="42"/>
    <n v="0"/>
    <n v="42"/>
    <n v="42"/>
    <n v="19.91"/>
    <n v="42"/>
    <n v="0"/>
    <n v="0"/>
    <n v="0"/>
    <n v="0"/>
    <n v="0"/>
    <n v="0"/>
    <n v="0"/>
    <n v="0"/>
    <n v="0"/>
    <n v="0"/>
    <n v="0"/>
    <n v="0"/>
    <n v="0"/>
    <n v="22.09"/>
    <n v="0"/>
    <n v="0"/>
    <n v="0"/>
    <n v="0"/>
    <n v="0"/>
    <n v="22.09"/>
    <n v="22.09"/>
    <n v="0"/>
    <n v="22.09"/>
    <m/>
    <n v="0"/>
    <n v="42"/>
    <n v="0"/>
    <n v="42"/>
    <n v="0"/>
    <n v="0"/>
    <n v="0"/>
    <n v="42"/>
    <n v="0"/>
    <n v="42"/>
    <n v="0"/>
    <n v="0"/>
    <n v="0"/>
    <n v="0"/>
    <m/>
    <m/>
    <m/>
    <m/>
    <m/>
    <m/>
    <m/>
    <m/>
    <m/>
    <m/>
    <m/>
    <m/>
    <m/>
    <m/>
    <m/>
    <m/>
    <m/>
    <m/>
    <m/>
    <m/>
    <m/>
    <m/>
    <m/>
    <m/>
    <m/>
    <m/>
    <m/>
    <m/>
    <m/>
    <m/>
    <m/>
    <m/>
    <m/>
    <m/>
  </r>
  <r>
    <n v="742"/>
    <d v="2025-03-17T00:00:00"/>
    <x v="0"/>
    <n v="9518606284"/>
    <n v="21"/>
    <s v="9518606284-21"/>
    <s v="No Priority"/>
    <x v="0"/>
    <m/>
    <x v="1"/>
    <x v="1"/>
    <x v="0"/>
    <m/>
    <x v="0"/>
    <m/>
    <m/>
    <m/>
    <s v="South"/>
    <s v="VISHAKHAPATNAM"/>
    <x v="2"/>
    <x v="8"/>
    <x v="8"/>
    <x v="237"/>
    <s v="CRSHEET TATXXD AU03 1.20X1250X2500"/>
    <s v=" "/>
    <s v=""/>
    <n v="0"/>
    <n v="0"/>
    <m/>
    <x v="2"/>
    <x v="2"/>
    <s v="AU03"/>
    <x v="19"/>
    <x v="0"/>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284"/>
    <n v="22"/>
    <s v="9518606284-22"/>
    <s v="No Priority"/>
    <x v="0"/>
    <m/>
    <x v="1"/>
    <x v="1"/>
    <x v="0"/>
    <m/>
    <x v="0"/>
    <m/>
    <m/>
    <m/>
    <s v="South"/>
    <s v="VISHAKHAPATNAM"/>
    <x v="2"/>
    <x v="8"/>
    <x v="8"/>
    <x v="285"/>
    <s v="CRSHEET TATXXD AU03 1.50X1250X2500"/>
    <s v=" "/>
    <s v=""/>
    <n v="0"/>
    <n v="0"/>
    <m/>
    <x v="2"/>
    <x v="2"/>
    <s v="AU03"/>
    <x v="27"/>
    <x v="0"/>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284"/>
    <n v="23"/>
    <s v="9518606284-23"/>
    <s v="No Priority"/>
    <x v="0"/>
    <m/>
    <x v="1"/>
    <x v="1"/>
    <x v="0"/>
    <m/>
    <x v="0"/>
    <m/>
    <m/>
    <m/>
    <s v="South"/>
    <s v="VISHAKHAPATNAM"/>
    <x v="2"/>
    <x v="8"/>
    <x v="8"/>
    <x v="238"/>
    <s v="CRSHEET C06 TATXXD AU03 1.6X1250X2500"/>
    <s v=" "/>
    <s v=""/>
    <n v="0"/>
    <n v="0"/>
    <m/>
    <x v="2"/>
    <x v="2"/>
    <s v="AU03"/>
    <x v="22"/>
    <x v="0"/>
    <x v="3"/>
    <n v="30"/>
    <n v="0"/>
    <n v="30"/>
    <n v="6.64"/>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284"/>
    <n v="24"/>
    <s v="9518606284-24"/>
    <s v="No Priority"/>
    <x v="0"/>
    <s v="Yes"/>
    <x v="1"/>
    <x v="1"/>
    <x v="0"/>
    <m/>
    <x v="0"/>
    <m/>
    <m/>
    <m/>
    <s v="South"/>
    <s v="VISHAKHAPATNAM"/>
    <x v="2"/>
    <x v="8"/>
    <x v="8"/>
    <x v="287"/>
    <s v="CRSHEET C06TATXXD AU03 2.0X1250X2500"/>
    <s v=" "/>
    <s v=""/>
    <n v="0"/>
    <n v="0"/>
    <m/>
    <x v="2"/>
    <x v="2"/>
    <s v="AU03"/>
    <x v="15"/>
    <x v="0"/>
    <x v="3"/>
    <n v="30"/>
    <n v="0"/>
    <n v="30"/>
    <n v="6.71"/>
    <n v="30"/>
    <n v="8.125"/>
    <n v="0"/>
    <n v="0"/>
    <n v="0"/>
    <n v="0"/>
    <n v="0"/>
    <n v="0"/>
    <n v="0"/>
    <n v="0"/>
    <n v="0"/>
    <n v="0"/>
    <n v="0"/>
    <n v="0"/>
    <n v="0"/>
    <n v="0"/>
    <n v="0"/>
    <n v="0"/>
    <n v="0"/>
    <n v="0"/>
    <n v="0"/>
    <n v="0"/>
    <n v="0"/>
    <n v="0"/>
    <n v="0"/>
    <m/>
    <n v="0"/>
    <n v="0"/>
    <n v="0"/>
    <n v="0"/>
    <n v="0"/>
    <n v="0"/>
    <n v="0"/>
    <n v="0"/>
    <n v="0"/>
    <n v="0"/>
    <n v="0"/>
    <n v="0"/>
    <n v="0"/>
    <n v="0"/>
    <m/>
    <m/>
    <m/>
    <m/>
    <m/>
    <m/>
    <m/>
    <m/>
    <m/>
    <m/>
    <m/>
    <m/>
    <m/>
    <m/>
    <m/>
    <m/>
    <m/>
    <m/>
    <m/>
    <m/>
    <m/>
    <m/>
    <m/>
    <m/>
    <m/>
    <m/>
    <m/>
    <m/>
    <m/>
    <m/>
    <m/>
    <m/>
    <m/>
    <m/>
  </r>
  <r>
    <n v="742"/>
    <d v="2025-03-04T00:00:00"/>
    <x v="0"/>
    <n v="9518574019"/>
    <n v="1"/>
    <s v="9518574019-1"/>
    <s v="No Priority"/>
    <x v="0"/>
    <m/>
    <x v="1"/>
    <x v="1"/>
    <x v="0"/>
    <m/>
    <x v="0"/>
    <m/>
    <m/>
    <m/>
    <s v="North"/>
    <s v="LONI"/>
    <x v="2"/>
    <x v="102"/>
    <x v="101"/>
    <x v="5"/>
    <s v="CRCA COIL TATXXD AU03 0.4X1250"/>
    <s v=" "/>
    <s v=""/>
    <n v="10"/>
    <n v="30"/>
    <m/>
    <x v="1"/>
    <x v="2"/>
    <s v="AU03"/>
    <x v="2"/>
    <x v="0"/>
    <x v="0"/>
    <n v="145"/>
    <n v="61.484999999999999"/>
    <n v="83.515000000000001"/>
    <n v="83.515000000000001"/>
    <n v="83.515000000000001"/>
    <n v="83.515000000000001"/>
    <n v="0"/>
    <n v="0"/>
    <n v="0"/>
    <n v="0"/>
    <n v="0"/>
    <n v="0"/>
    <n v="0"/>
    <n v="0"/>
    <n v="0"/>
    <n v="0"/>
    <n v="0"/>
    <n v="0"/>
    <n v="0"/>
    <n v="0"/>
    <n v="0"/>
    <n v="0"/>
    <n v="0"/>
    <n v="0"/>
    <n v="0"/>
    <n v="0"/>
    <n v="0"/>
    <n v="0"/>
    <n v="0"/>
    <m/>
    <n v="0"/>
    <n v="0"/>
    <n v="0"/>
    <n v="0"/>
    <n v="0"/>
    <n v="0"/>
    <n v="0"/>
    <n v="0"/>
    <n v="0"/>
    <n v="0"/>
    <n v="0"/>
    <n v="0"/>
    <n v="0"/>
    <n v="0"/>
    <m/>
    <m/>
    <m/>
    <m/>
    <m/>
    <m/>
    <m/>
    <m/>
    <m/>
    <m/>
    <m/>
    <m/>
    <m/>
    <m/>
    <m/>
    <m/>
    <m/>
    <m/>
    <m/>
    <m/>
    <m/>
    <m/>
    <m/>
    <m/>
    <m/>
    <m/>
    <m/>
    <m/>
    <m/>
    <m/>
    <m/>
    <m/>
    <m/>
    <m/>
  </r>
  <r>
    <n v="744"/>
    <d v="2025-03-22T00:00:00"/>
    <x v="0"/>
    <n v="9518624252"/>
    <n v="17"/>
    <s v="9518624252-17"/>
    <s v="May'25"/>
    <x v="0"/>
    <m/>
    <x v="2"/>
    <x v="3"/>
    <x v="2"/>
    <m/>
    <x v="1"/>
    <m/>
    <m/>
    <m/>
    <s v="TBSPL"/>
    <s v=" "/>
    <x v="2"/>
    <x v="6"/>
    <x v="6"/>
    <x v="84"/>
    <s v="PPGL C HARD Y550PL D0C9 0.50(TPT)X1220"/>
    <s v="AZ150"/>
    <s v="RAL 7015 TSL 1805"/>
    <n v="3"/>
    <n v="5"/>
    <m/>
    <x v="3"/>
    <x v="3"/>
    <s v="D0C9"/>
    <x v="1"/>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4"/>
    <d v="2025-03-22T00:00:00"/>
    <x v="0"/>
    <n v="9518624252"/>
    <n v="18"/>
    <s v="9518624252-18"/>
    <s v="May'25"/>
    <x v="0"/>
    <m/>
    <x v="2"/>
    <x v="3"/>
    <x v="2"/>
    <m/>
    <x v="1"/>
    <m/>
    <m/>
    <m/>
    <s v="TBSPL"/>
    <s v=" "/>
    <x v="2"/>
    <x v="6"/>
    <x v="6"/>
    <x v="84"/>
    <s v="PPGL C HARD Y550PL D0C9 0.50(TPT)X1220"/>
    <s v="AZ150"/>
    <s v="BRICK RED TSL 1803"/>
    <n v="3"/>
    <n v="5"/>
    <m/>
    <x v="3"/>
    <x v="3"/>
    <s v="D0C9"/>
    <x v="1"/>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4"/>
    <d v="2025-03-22T00:00:00"/>
    <x v="0"/>
    <n v="9518624252"/>
    <n v="22"/>
    <s v="9518624252-22"/>
    <s v="May'25"/>
    <x v="0"/>
    <m/>
    <x v="2"/>
    <x v="3"/>
    <x v="2"/>
    <m/>
    <x v="1"/>
    <m/>
    <m/>
    <m/>
    <s v="TBSPL"/>
    <s v=" "/>
    <x v="2"/>
    <x v="6"/>
    <x v="6"/>
    <x v="84"/>
    <s v="PPGL C HARD Y550PL D0C9 0.50(TPT)X1220"/>
    <s v="AZ150"/>
    <s v="BRICK RED TSL 1803"/>
    <n v="3"/>
    <n v="5"/>
    <m/>
    <x v="3"/>
    <x v="3"/>
    <s v="D0C9"/>
    <x v="1"/>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4"/>
    <d v="2025-03-20T00:00:00"/>
    <x v="0"/>
    <n v="9518617046"/>
    <n v="10"/>
    <s v="9518617046-10"/>
    <s v="May'25"/>
    <x v="0"/>
    <m/>
    <x v="2"/>
    <x v="3"/>
    <x v="2"/>
    <m/>
    <x v="1"/>
    <m/>
    <m/>
    <m/>
    <s v="TBSPL"/>
    <s v=" "/>
    <x v="2"/>
    <x v="6"/>
    <x v="6"/>
    <x v="84"/>
    <s v="PPGL C HARD Y550PL D0C9 0.50(TPT)X1220"/>
    <s v="AZ150"/>
    <s v="RAL 7043 TSL 1823"/>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4"/>
    <d v="2025-03-20T00:00:00"/>
    <x v="0"/>
    <n v="9518617046"/>
    <n v="11"/>
    <s v="9518617046-11"/>
    <s v="May'25"/>
    <x v="0"/>
    <m/>
    <x v="2"/>
    <x v="3"/>
    <x v="2"/>
    <m/>
    <x v="1"/>
    <m/>
    <m/>
    <m/>
    <s v="TBSPL"/>
    <s v=" "/>
    <x v="2"/>
    <x v="6"/>
    <x v="6"/>
    <x v="84"/>
    <s v="PPGL C HARD Y550PL D0C9 0.50(TPT)X1220"/>
    <s v="AZ150"/>
    <s v="RAL 9010 TSL 1807"/>
    <n v="3"/>
    <n v="5"/>
    <m/>
    <x v="3"/>
    <x v="3"/>
    <s v="D0C9"/>
    <x v="1"/>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4"/>
    <d v="2025-03-26T00:00:00"/>
    <x v="0"/>
    <n v="9518637595"/>
    <n v="6"/>
    <s v="9518637595-6"/>
    <s v="May'25"/>
    <x v="0"/>
    <m/>
    <x v="2"/>
    <x v="3"/>
    <x v="2"/>
    <m/>
    <x v="1"/>
    <m/>
    <m/>
    <m/>
    <s v="TBSPL"/>
    <s v=" "/>
    <x v="2"/>
    <x v="6"/>
    <x v="6"/>
    <x v="195"/>
    <s v="PPGL C HARD Y550PL D0C9 0.60(TPT)X1220"/>
    <s v="AZ150"/>
    <s v="RAL 6038 TSL 1811"/>
    <n v="3"/>
    <n v="5"/>
    <m/>
    <x v="3"/>
    <x v="3"/>
    <s v="D0C9"/>
    <x v="20"/>
    <x v="1"/>
    <x v="0"/>
    <n v="28"/>
    <n v="0"/>
    <n v="28"/>
    <n v="28"/>
    <n v="28"/>
    <n v="28"/>
    <n v="0"/>
    <n v="0"/>
    <n v="0"/>
    <n v="0"/>
    <n v="0"/>
    <n v="0"/>
    <n v="0"/>
    <n v="0"/>
    <n v="0"/>
    <n v="0"/>
    <n v="0"/>
    <n v="0"/>
    <n v="0"/>
    <n v="0"/>
    <n v="0"/>
    <n v="0"/>
    <n v="0"/>
    <n v="0"/>
    <n v="0"/>
    <n v="0"/>
    <n v="0"/>
    <n v="0"/>
    <n v="0"/>
    <m/>
    <n v="0"/>
    <n v="28"/>
    <n v="0"/>
    <n v="0"/>
    <n v="0"/>
    <n v="28"/>
    <n v="0"/>
    <n v="28"/>
    <n v="0"/>
    <n v="0"/>
    <n v="0"/>
    <n v="28"/>
    <n v="0"/>
    <n v="0"/>
    <m/>
    <m/>
    <m/>
    <m/>
    <m/>
    <m/>
    <m/>
    <m/>
    <m/>
    <m/>
    <m/>
    <m/>
    <m/>
    <m/>
    <m/>
    <m/>
    <m/>
    <m/>
    <m/>
    <m/>
    <m/>
    <m/>
    <m/>
    <m/>
    <m/>
    <m/>
    <m/>
    <m/>
    <m/>
    <m/>
    <m/>
    <m/>
    <m/>
    <m/>
  </r>
  <r>
    <n v="742"/>
    <d v="2025-03-17T00:00:00"/>
    <x v="0"/>
    <n v="9518606284"/>
    <n v="14"/>
    <s v="9518606284-14"/>
    <s v="May'25"/>
    <x v="0"/>
    <m/>
    <x v="1"/>
    <x v="1"/>
    <x v="0"/>
    <m/>
    <x v="1"/>
    <m/>
    <m/>
    <m/>
    <s v="South"/>
    <s v="VISHAKHAPATNAM"/>
    <x v="2"/>
    <x v="8"/>
    <x v="8"/>
    <x v="239"/>
    <s v="CRCA SHEET TATXXD AU03 0.80X1250X2500"/>
    <s v=" "/>
    <s v=""/>
    <n v="0"/>
    <n v="0"/>
    <m/>
    <x v="2"/>
    <x v="2"/>
    <s v="AU03"/>
    <x v="5"/>
    <x v="0"/>
    <x v="3"/>
    <n v="30"/>
    <n v="0"/>
    <n v="30"/>
    <n v="30"/>
    <n v="2.8299999999999983"/>
    <n v="30"/>
    <n v="0"/>
    <n v="0"/>
    <n v="0"/>
    <n v="0"/>
    <n v="0"/>
    <n v="0"/>
    <n v="0"/>
    <n v="0"/>
    <n v="0"/>
    <n v="0"/>
    <n v="0"/>
    <n v="0"/>
    <n v="0"/>
    <n v="27.17"/>
    <n v="0"/>
    <n v="0"/>
    <n v="0"/>
    <n v="0"/>
    <n v="0"/>
    <n v="27.17"/>
    <n v="27.17"/>
    <n v="0"/>
    <n v="27.17"/>
    <m/>
    <n v="0"/>
    <n v="30"/>
    <n v="0"/>
    <n v="30"/>
    <n v="0"/>
    <n v="0"/>
    <n v="0"/>
    <n v="30"/>
    <n v="0"/>
    <n v="30"/>
    <n v="0"/>
    <n v="0"/>
    <n v="0"/>
    <n v="0"/>
    <m/>
    <m/>
    <m/>
    <m/>
    <m/>
    <m/>
    <m/>
    <m/>
    <m/>
    <m/>
    <m/>
    <m/>
    <m/>
    <m/>
    <m/>
    <m/>
    <m/>
    <m/>
    <m/>
    <m/>
    <m/>
    <m/>
    <m/>
    <m/>
    <m/>
    <m/>
    <m/>
    <m/>
    <m/>
    <m/>
    <m/>
    <m/>
    <m/>
    <m/>
  </r>
  <r>
    <n v="742"/>
    <d v="2025-03-17T00:00:00"/>
    <x v="0"/>
    <n v="9518606284"/>
    <n v="17"/>
    <s v="9518606284-17"/>
    <s v="May'25"/>
    <x v="0"/>
    <s v="Yes"/>
    <x v="1"/>
    <x v="1"/>
    <x v="0"/>
    <m/>
    <x v="1"/>
    <m/>
    <m/>
    <m/>
    <s v="South"/>
    <s v="VISHAKHAPATNAM"/>
    <x v="2"/>
    <x v="8"/>
    <x v="8"/>
    <x v="335"/>
    <s v="CRCA SHEET TATXXD AU03 0.950X1250X2500"/>
    <s v=" "/>
    <s v=""/>
    <n v="0"/>
    <n v="0"/>
    <m/>
    <x v="2"/>
    <x v="2"/>
    <s v="AU03"/>
    <x v="16"/>
    <x v="0"/>
    <x v="3"/>
    <n v="30"/>
    <n v="0"/>
    <n v="30"/>
    <n v="30"/>
    <n v="30"/>
    <n v="30"/>
    <n v="0"/>
    <n v="0"/>
    <n v="0"/>
    <n v="0"/>
    <n v="0"/>
    <n v="0"/>
    <n v="0"/>
    <n v="0"/>
    <n v="0"/>
    <n v="0"/>
    <n v="0"/>
    <n v="0"/>
    <n v="0"/>
    <n v="0"/>
    <n v="0"/>
    <n v="0"/>
    <n v="0"/>
    <n v="0"/>
    <n v="0"/>
    <n v="0"/>
    <n v="0"/>
    <n v="0"/>
    <n v="0"/>
    <m/>
    <n v="0"/>
    <n v="30"/>
    <n v="0"/>
    <n v="0"/>
    <n v="0"/>
    <n v="30"/>
    <n v="0"/>
    <n v="30"/>
    <n v="0"/>
    <n v="0"/>
    <n v="0"/>
    <n v="30"/>
    <n v="0"/>
    <n v="0"/>
    <m/>
    <m/>
    <m/>
    <m/>
    <m/>
    <m/>
    <m/>
    <m/>
    <m/>
    <m/>
    <m/>
    <m/>
    <m/>
    <m/>
    <m/>
    <m/>
    <m/>
    <m/>
    <m/>
    <m/>
    <m/>
    <m/>
    <m/>
    <m/>
    <m/>
    <m/>
    <m/>
    <m/>
    <m/>
    <m/>
    <m/>
    <m/>
    <m/>
    <m/>
  </r>
  <r>
    <n v="742"/>
    <d v="2025-03-18T00:00:00"/>
    <x v="0"/>
    <n v="9518610997"/>
    <n v="1"/>
    <s v="9518610997-1"/>
    <s v="May'25"/>
    <x v="0"/>
    <s v="Yes"/>
    <x v="1"/>
    <x v="1"/>
    <x v="0"/>
    <m/>
    <x v="1"/>
    <m/>
    <m/>
    <m/>
    <s v="South"/>
    <s v="PATTANCHERY"/>
    <x v="2"/>
    <x v="35"/>
    <x v="35"/>
    <x v="114"/>
    <s v="CRCA COIL-TATXXD-AU03-0.9X1250"/>
    <s v=" "/>
    <s v=""/>
    <n v="10"/>
    <n v="30"/>
    <m/>
    <x v="1"/>
    <x v="2"/>
    <s v="AU03"/>
    <x v="13"/>
    <x v="0"/>
    <x v="0"/>
    <n v="58"/>
    <n v="0"/>
    <n v="58"/>
    <n v="58"/>
    <n v="30.31"/>
    <n v="58"/>
    <n v="0"/>
    <n v="0"/>
    <n v="0"/>
    <n v="0"/>
    <n v="0"/>
    <n v="0"/>
    <n v="0"/>
    <n v="0"/>
    <n v="0"/>
    <n v="0"/>
    <n v="0"/>
    <n v="0"/>
    <n v="0"/>
    <n v="27.69"/>
    <n v="0"/>
    <n v="0"/>
    <n v="0"/>
    <n v="0"/>
    <n v="0"/>
    <n v="27.69"/>
    <n v="27.69"/>
    <n v="0"/>
    <n v="27.69"/>
    <m/>
    <n v="0"/>
    <n v="58"/>
    <n v="0"/>
    <n v="0"/>
    <n v="58"/>
    <n v="0"/>
    <n v="0"/>
    <n v="58"/>
    <n v="0"/>
    <n v="0"/>
    <n v="58"/>
    <n v="0"/>
    <n v="0"/>
    <n v="0"/>
    <m/>
    <m/>
    <m/>
    <m/>
    <m/>
    <m/>
    <m/>
    <m/>
    <m/>
    <m/>
    <m/>
    <m/>
    <m/>
    <m/>
    <m/>
    <m/>
    <m/>
    <m/>
    <m/>
    <m/>
    <m/>
    <m/>
    <m/>
    <m/>
    <m/>
    <m/>
    <m/>
    <m/>
    <m/>
    <m/>
    <m/>
    <m/>
    <m/>
    <m/>
  </r>
  <r>
    <n v="742"/>
    <d v="2025-03-28T00:00:00"/>
    <x v="0"/>
    <n v="9518649438"/>
    <n v="11"/>
    <s v="9518649438-11"/>
    <s v="May'25"/>
    <x v="0"/>
    <s v="Yes"/>
    <x v="1"/>
    <x v="2"/>
    <x v="0"/>
    <m/>
    <x v="1"/>
    <m/>
    <m/>
    <m/>
    <s v="South"/>
    <s v="CHENNAI"/>
    <x v="2"/>
    <x v="13"/>
    <x v="13"/>
    <x v="18"/>
    <s v="CRCA SHEET TATCRC SR16 0.450X1000X1980"/>
    <s v=" "/>
    <s v=""/>
    <n v="0"/>
    <n v="0"/>
    <m/>
    <x v="2"/>
    <x v="1"/>
    <s v="SR16"/>
    <x v="10"/>
    <x v="2"/>
    <x v="4"/>
    <n v="21"/>
    <n v="0"/>
    <n v="21"/>
    <n v="21"/>
    <n v="-1.2199999999999989"/>
    <n v="21"/>
    <n v="0"/>
    <n v="0"/>
    <n v="0"/>
    <n v="0"/>
    <n v="0"/>
    <n v="0"/>
    <n v="0"/>
    <n v="0"/>
    <n v="0"/>
    <n v="0"/>
    <n v="0"/>
    <n v="0"/>
    <n v="0"/>
    <n v="22.22"/>
    <n v="0"/>
    <n v="0"/>
    <n v="0"/>
    <n v="0"/>
    <n v="0"/>
    <n v="22.22"/>
    <n v="22.22"/>
    <n v="0"/>
    <n v="22.22"/>
    <m/>
    <n v="0"/>
    <n v="21"/>
    <n v="0"/>
    <n v="21"/>
    <n v="0"/>
    <n v="0"/>
    <n v="0"/>
    <n v="21"/>
    <n v="0"/>
    <n v="21"/>
    <n v="0"/>
    <n v="0"/>
    <n v="0"/>
    <n v="0"/>
    <m/>
    <m/>
    <m/>
    <m/>
    <m/>
    <m/>
    <m/>
    <m/>
    <m/>
    <m/>
    <m/>
    <m/>
    <m/>
    <m/>
    <m/>
    <m/>
    <m/>
    <m/>
    <m/>
    <m/>
    <m/>
    <m/>
    <m/>
    <m/>
    <m/>
    <m/>
    <m/>
    <m/>
    <m/>
    <m/>
    <m/>
    <m/>
    <m/>
    <m/>
  </r>
  <r>
    <n v="742"/>
    <d v="2025-04-11T00:00:00"/>
    <x v="0"/>
    <n v="9518685128"/>
    <n v="1"/>
    <s v="9518685128-1"/>
    <s v="No Priority"/>
    <x v="0"/>
    <m/>
    <x v="1"/>
    <x v="12"/>
    <x v="0"/>
    <m/>
    <x v="0"/>
    <m/>
    <m/>
    <m/>
    <s v="South"/>
    <s v="GUMMIDIPOONDI"/>
    <x v="2"/>
    <x v="58"/>
    <x v="54"/>
    <x v="336"/>
    <s v="CR COIL TSBSTA EL03 0.500X1160"/>
    <s v=" "/>
    <s v=""/>
    <n v="6"/>
    <n v="18"/>
    <m/>
    <x v="1"/>
    <x v="9"/>
    <s v="EL03"/>
    <x v="1"/>
    <x v="13"/>
    <x v="0"/>
    <n v="270"/>
    <n v="0"/>
    <n v="270"/>
    <n v="270"/>
    <n v="270"/>
    <n v="270"/>
    <n v="0"/>
    <n v="0"/>
    <n v="0"/>
    <n v="0"/>
    <n v="0"/>
    <n v="0"/>
    <n v="0"/>
    <n v="0"/>
    <n v="0"/>
    <n v="0"/>
    <n v="0"/>
    <n v="0"/>
    <n v="0"/>
    <n v="0"/>
    <n v="0"/>
    <n v="0"/>
    <n v="0"/>
    <n v="0"/>
    <n v="0"/>
    <n v="0"/>
    <n v="0"/>
    <n v="0"/>
    <n v="0"/>
    <m/>
    <n v="0"/>
    <n v="0"/>
    <n v="0"/>
    <n v="0"/>
    <n v="0"/>
    <n v="0"/>
    <n v="0"/>
    <n v="0"/>
    <n v="0"/>
    <n v="0"/>
    <n v="0"/>
    <n v="0"/>
    <n v="0"/>
    <n v="0"/>
    <m/>
    <m/>
    <m/>
    <m/>
    <m/>
    <m/>
    <m/>
    <m/>
    <m/>
    <m/>
    <m/>
    <m/>
    <m/>
    <m/>
    <m/>
    <m/>
    <m/>
    <m/>
    <m/>
    <m/>
    <m/>
    <m/>
    <m/>
    <m/>
    <m/>
    <m/>
    <m/>
    <m/>
    <m/>
    <m/>
    <m/>
    <m/>
    <m/>
    <m/>
  </r>
  <r>
    <n v="744"/>
    <d v="2025-04-05T00:00:00"/>
    <x v="0"/>
    <n v="9518671154"/>
    <n v="3"/>
    <s v="9518671154-3"/>
    <s v="May'25"/>
    <x v="0"/>
    <m/>
    <x v="2"/>
    <x v="3"/>
    <x v="2"/>
    <m/>
    <x v="1"/>
    <m/>
    <m/>
    <m/>
    <s v="TBSPL"/>
    <s v="RAJASTHAN"/>
    <x v="2"/>
    <x v="71"/>
    <x v="15"/>
    <x v="255"/>
    <s v="PPGL C HARD Y550PL HPL6 0.400X1220"/>
    <s v="AZ150"/>
    <s v="NG BRIGHT GREEN TSL 2211"/>
    <n v="3"/>
    <n v="5"/>
    <m/>
    <x v="3"/>
    <x v="3"/>
    <s v="HPL6"/>
    <x v="2"/>
    <x v="1"/>
    <x v="0"/>
    <n v="27.998999999999999"/>
    <n v="0"/>
    <n v="27.998999999999999"/>
    <n v="27.998999999999999"/>
    <n v="27.998999999999999"/>
    <n v="27.998999999999999"/>
    <n v="0"/>
    <n v="0"/>
    <n v="0"/>
    <n v="0"/>
    <n v="0"/>
    <n v="0"/>
    <n v="0"/>
    <n v="0"/>
    <n v="0"/>
    <n v="0"/>
    <n v="0"/>
    <n v="0"/>
    <n v="0"/>
    <n v="0"/>
    <n v="0"/>
    <n v="0"/>
    <n v="0"/>
    <n v="0"/>
    <n v="0"/>
    <n v="0"/>
    <n v="0"/>
    <n v="0"/>
    <n v="0"/>
    <m/>
    <n v="0"/>
    <n v="27.998999999999999"/>
    <n v="0"/>
    <n v="27.998999999999999"/>
    <n v="0"/>
    <n v="0"/>
    <n v="0"/>
    <n v="27.998999999999999"/>
    <n v="0"/>
    <n v="0"/>
    <n v="27.998999999999999"/>
    <n v="0"/>
    <n v="0"/>
    <n v="0"/>
    <m/>
    <m/>
    <m/>
    <m/>
    <m/>
    <m/>
    <m/>
    <m/>
    <m/>
    <m/>
    <m/>
    <m/>
    <m/>
    <m/>
    <m/>
    <m/>
    <m/>
    <m/>
    <m/>
    <m/>
    <m/>
    <m/>
    <m/>
    <m/>
    <m/>
    <m/>
    <m/>
    <m/>
    <m/>
    <m/>
    <m/>
    <m/>
    <m/>
    <m/>
  </r>
  <r>
    <n v="744"/>
    <d v="2025-04-05T00:00:00"/>
    <x v="0"/>
    <n v="9518671154"/>
    <n v="4"/>
    <s v="9518671154-4"/>
    <s v="Stocks"/>
    <x v="0"/>
    <m/>
    <x v="2"/>
    <x v="3"/>
    <x v="2"/>
    <m/>
    <x v="1"/>
    <m/>
    <m/>
    <m/>
    <s v="TBSPL"/>
    <s v="RAJASTHAN"/>
    <x v="2"/>
    <x v="71"/>
    <x v="15"/>
    <x v="255"/>
    <s v="PPGL C HARD Y550PL HPL6 0.400X1220"/>
    <s v="AZ150"/>
    <s v="NG SMART GREY TSL 1905"/>
    <n v="3"/>
    <n v="5"/>
    <m/>
    <x v="3"/>
    <x v="3"/>
    <s v="HPL6"/>
    <x v="2"/>
    <x v="1"/>
    <x v="0"/>
    <n v="28"/>
    <n v="0"/>
    <n v="28"/>
    <n v="28"/>
    <n v="28"/>
    <n v="3.4"/>
    <n v="0"/>
    <n v="0"/>
    <n v="0"/>
    <n v="0"/>
    <n v="0"/>
    <n v="0"/>
    <n v="0"/>
    <n v="0"/>
    <n v="0"/>
    <n v="0"/>
    <n v="0"/>
    <n v="0"/>
    <n v="0"/>
    <n v="0"/>
    <n v="0"/>
    <n v="0"/>
    <n v="0"/>
    <n v="0"/>
    <n v="0"/>
    <n v="0"/>
    <n v="0"/>
    <n v="0"/>
    <n v="0"/>
    <m/>
    <n v="2.4249999999999998"/>
    <n v="0"/>
    <n v="0"/>
    <n v="0"/>
    <n v="0"/>
    <n v="0"/>
    <n v="0"/>
    <n v="2.4249999999999998"/>
    <n v="2.4249999999999998"/>
    <n v="0"/>
    <n v="0"/>
    <n v="0"/>
    <n v="0"/>
    <n v="0"/>
    <m/>
    <m/>
    <m/>
    <m/>
    <m/>
    <m/>
    <m/>
    <m/>
    <m/>
    <m/>
    <m/>
    <m/>
    <m/>
    <m/>
    <m/>
    <m/>
    <m/>
    <m/>
    <m/>
    <m/>
    <m/>
    <m/>
    <m/>
    <m/>
    <m/>
    <m/>
    <m/>
    <m/>
    <m/>
    <m/>
    <m/>
    <m/>
    <m/>
    <m/>
  </r>
  <r>
    <n v="742"/>
    <d v="2025-04-18T00:00:00"/>
    <x v="0"/>
    <n v="9518703423"/>
    <n v="2"/>
    <s v="9518703423-2"/>
    <s v="No Priority"/>
    <x v="0"/>
    <m/>
    <x v="1"/>
    <x v="10"/>
    <x v="2"/>
    <m/>
    <x v="0"/>
    <m/>
    <m/>
    <m/>
    <s v="South"/>
    <s v="CHENNAI"/>
    <x v="2"/>
    <x v="30"/>
    <x v="30"/>
    <x v="80"/>
    <s v="CRCA COIL TATXXD BT01 0.970X1310"/>
    <s v=" "/>
    <s v=""/>
    <n v="6"/>
    <n v="12"/>
    <m/>
    <x v="1"/>
    <x v="2"/>
    <s v="BT01"/>
    <x v="24"/>
    <x v="11"/>
    <x v="0"/>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23"/>
    <n v="3"/>
    <s v="9518703423-3"/>
    <s v="No Priority"/>
    <x v="0"/>
    <m/>
    <x v="1"/>
    <x v="10"/>
    <x v="2"/>
    <m/>
    <x v="0"/>
    <m/>
    <m/>
    <m/>
    <s v="South"/>
    <s v="CHENNAI"/>
    <x v="2"/>
    <x v="30"/>
    <x v="30"/>
    <x v="166"/>
    <s v="CR COIL TATXXD BT01 1.200X1310"/>
    <s v=" "/>
    <s v=""/>
    <n v="8"/>
    <n v="12"/>
    <m/>
    <x v="1"/>
    <x v="2"/>
    <s v="BT01"/>
    <x v="19"/>
    <x v="11"/>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251"/>
    <n v="2"/>
    <s v="9518703251-2"/>
    <s v="May'25"/>
    <x v="0"/>
    <m/>
    <x v="1"/>
    <x v="10"/>
    <x v="2"/>
    <m/>
    <x v="1"/>
    <m/>
    <s v="P1-Priority for Balmer"/>
    <m/>
    <s v="West"/>
    <s v="VADODARA"/>
    <x v="2"/>
    <x v="44"/>
    <x v="93"/>
    <x v="337"/>
    <s v="CRCA COIL TATXXD BT01 1.200X1315"/>
    <s v=" "/>
    <s v=""/>
    <n v="8"/>
    <n v="12"/>
    <m/>
    <x v="1"/>
    <x v="2"/>
    <s v="BT01"/>
    <x v="19"/>
    <x v="10"/>
    <x v="0"/>
    <n v="60.999000000000002"/>
    <n v="0"/>
    <n v="60.999000000000002"/>
    <n v="60.999000000000002"/>
    <n v="60.999000000000002"/>
    <n v="60.999000000000002"/>
    <n v="0"/>
    <n v="0"/>
    <n v="0"/>
    <n v="0"/>
    <n v="0"/>
    <n v="0"/>
    <n v="0"/>
    <n v="0"/>
    <n v="0"/>
    <n v="0"/>
    <n v="0"/>
    <n v="0"/>
    <n v="0"/>
    <n v="0"/>
    <n v="0"/>
    <n v="0"/>
    <n v="0"/>
    <n v="0"/>
    <n v="0"/>
    <n v="0"/>
    <n v="0"/>
    <n v="0"/>
    <n v="0"/>
    <m/>
    <n v="0"/>
    <n v="60.999000000000002"/>
    <n v="0"/>
    <n v="0"/>
    <n v="60.999000000000002"/>
    <n v="0"/>
    <n v="0"/>
    <n v="60.999000000000002"/>
    <n v="0"/>
    <n v="0"/>
    <n v="0"/>
    <n v="60.999000000000002"/>
    <n v="0"/>
    <n v="0"/>
    <m/>
    <m/>
    <m/>
    <m/>
    <m/>
    <m/>
    <m/>
    <m/>
    <m/>
    <m/>
    <m/>
    <m/>
    <m/>
    <m/>
    <m/>
    <m/>
    <m/>
    <m/>
    <m/>
    <m/>
    <m/>
    <m/>
    <m/>
    <m/>
    <m/>
    <m/>
    <m/>
    <m/>
    <m/>
    <m/>
    <m/>
    <m/>
    <m/>
    <m/>
  </r>
  <r>
    <n v="742"/>
    <d v="2025-04-18T00:00:00"/>
    <x v="0"/>
    <n v="9518703428"/>
    <n v="3"/>
    <s v="9518703428-3"/>
    <s v="No Priority"/>
    <x v="0"/>
    <m/>
    <x v="1"/>
    <x v="10"/>
    <x v="2"/>
    <m/>
    <x v="0"/>
    <m/>
    <m/>
    <m/>
    <s v="South"/>
    <s v="CHENNAI"/>
    <x v="2"/>
    <x v="30"/>
    <x v="30"/>
    <x v="166"/>
    <s v="CR COIL TATXXD BT01 1.200X1310"/>
    <s v=" "/>
    <s v=""/>
    <n v="8"/>
    <n v="12"/>
    <m/>
    <x v="1"/>
    <x v="2"/>
    <s v="BT01"/>
    <x v="19"/>
    <x v="11"/>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4"/>
    <d v="2025-04-08T00:00:00"/>
    <x v="0"/>
    <n v="9518676905"/>
    <n v="5"/>
    <s v="9518676905-5"/>
    <s v="May'25"/>
    <x v="0"/>
    <m/>
    <x v="2"/>
    <x v="3"/>
    <x v="2"/>
    <m/>
    <x v="1"/>
    <m/>
    <m/>
    <m/>
    <s v="TBSPL"/>
    <s v=" "/>
    <x v="2"/>
    <x v="6"/>
    <x v="6"/>
    <x v="84"/>
    <s v="PPGL C HARD Y550PL D0C9 0.50(TPT)X1220"/>
    <s v="AZ150"/>
    <s v="ROYAL BLUE TSL 1815"/>
    <n v="3"/>
    <n v="5"/>
    <m/>
    <x v="3"/>
    <x v="3"/>
    <s v="D0C9"/>
    <x v="1"/>
    <x v="1"/>
    <x v="0"/>
    <n v="56"/>
    <n v="0"/>
    <n v="56"/>
    <n v="56"/>
    <n v="56"/>
    <n v="22.215"/>
    <n v="0"/>
    <n v="0"/>
    <n v="0"/>
    <n v="0"/>
    <n v="0"/>
    <n v="0"/>
    <n v="0"/>
    <n v="0"/>
    <n v="0"/>
    <n v="0"/>
    <n v="0"/>
    <n v="0"/>
    <n v="0"/>
    <n v="0"/>
    <n v="0"/>
    <n v="0"/>
    <n v="0"/>
    <n v="0"/>
    <n v="0"/>
    <n v="0"/>
    <n v="0"/>
    <n v="0"/>
    <n v="0"/>
    <m/>
    <n v="33.784999999999997"/>
    <n v="22.215"/>
    <n v="0"/>
    <n v="0"/>
    <n v="0"/>
    <n v="22.215"/>
    <n v="0"/>
    <n v="56"/>
    <n v="0"/>
    <n v="0"/>
    <n v="0"/>
    <n v="0"/>
    <n v="56"/>
    <n v="0"/>
    <m/>
    <m/>
    <m/>
    <m/>
    <m/>
    <m/>
    <m/>
    <m/>
    <m/>
    <m/>
    <m/>
    <m/>
    <m/>
    <m/>
    <m/>
    <m/>
    <m/>
    <m/>
    <m/>
    <m/>
    <m/>
    <m/>
    <m/>
    <m/>
    <m/>
    <m/>
    <m/>
    <m/>
    <m/>
    <m/>
    <m/>
    <m/>
    <m/>
    <m/>
  </r>
  <r>
    <n v="743"/>
    <d v="2025-02-14T00:00:00"/>
    <x v="0"/>
    <n v="9518519865"/>
    <n v="1"/>
    <s v="9518519865-1"/>
    <s v="No Priority"/>
    <x v="0"/>
    <m/>
    <x v="4"/>
    <x v="10"/>
    <x v="2"/>
    <m/>
    <x v="0"/>
    <m/>
    <s v="No allocation for IPP"/>
    <m/>
    <s v="South"/>
    <s v="VINJAMURU"/>
    <x v="2"/>
    <x v="79"/>
    <x v="76"/>
    <x v="338"/>
    <s v="GL COIL HARD  Y550GL H9GL 0.320X1245"/>
    <s v="AZ150"/>
    <s v=""/>
    <n v="7"/>
    <n v="20"/>
    <m/>
    <x v="5"/>
    <x v="7"/>
    <s v="H9GL"/>
    <x v="33"/>
    <x v="14"/>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2-13T00:00:00"/>
    <x v="1"/>
    <n v="9518517180"/>
    <n v="2"/>
    <s v="9518517180-2"/>
    <s v="May'25"/>
    <x v="0"/>
    <m/>
    <x v="1"/>
    <x v="7"/>
    <x v="2"/>
    <m/>
    <x v="1"/>
    <m/>
    <m/>
    <m/>
    <s v="East"/>
    <s v="PILKHUWA"/>
    <x v="2"/>
    <x v="24"/>
    <x v="23"/>
    <x v="93"/>
    <s v="CRCA COIL TSBSTA EL06 0.500X1160"/>
    <s v=" "/>
    <s v=""/>
    <n v="8"/>
    <n v="13"/>
    <m/>
    <x v="1"/>
    <x v="9"/>
    <s v="EL06"/>
    <x v="1"/>
    <x v="13"/>
    <x v="0"/>
    <n v="297"/>
    <n v="279.79500000000002"/>
    <n v="17.204999999999998"/>
    <n v="17.204999999999998"/>
    <n v="17.204999999999998"/>
    <n v="17.204999999999998"/>
    <n v="0"/>
    <n v="0"/>
    <n v="0"/>
    <n v="0"/>
    <n v="0"/>
    <n v="0"/>
    <n v="0"/>
    <n v="0"/>
    <n v="0"/>
    <n v="0"/>
    <n v="0"/>
    <n v="0"/>
    <n v="0"/>
    <n v="0"/>
    <n v="0"/>
    <n v="0"/>
    <n v="0"/>
    <n v="0"/>
    <n v="0"/>
    <n v="0"/>
    <n v="0"/>
    <n v="0"/>
    <n v="0"/>
    <m/>
    <n v="0"/>
    <n v="17.204999999999998"/>
    <n v="0"/>
    <n v="0"/>
    <n v="17.204999999999998"/>
    <n v="0"/>
    <n v="0"/>
    <n v="17.204999999999998"/>
    <n v="0"/>
    <n v="0"/>
    <n v="0"/>
    <n v="17.204999999999998"/>
    <n v="0"/>
    <n v="0"/>
    <m/>
    <m/>
    <m/>
    <m/>
    <m/>
    <m/>
    <m/>
    <m/>
    <m/>
    <m/>
    <m/>
    <m/>
    <m/>
    <m/>
    <m/>
    <m/>
    <m/>
    <m/>
    <m/>
    <m/>
    <m/>
    <m/>
    <m/>
    <m/>
    <m/>
    <m/>
    <m/>
    <m/>
    <m/>
    <m/>
    <m/>
    <m/>
    <m/>
    <m/>
  </r>
  <r>
    <n v="742"/>
    <d v="2025-02-11T00:00:00"/>
    <x v="0"/>
    <n v="9518510681"/>
    <n v="2"/>
    <s v="9518510681-2"/>
    <s v="No Priority"/>
    <x v="0"/>
    <m/>
    <x v="1"/>
    <x v="2"/>
    <x v="0"/>
    <m/>
    <x v="0"/>
    <m/>
    <s v="Exp BTF &lt;17MT"/>
    <m/>
    <s v="North"/>
    <s v="KANPUR"/>
    <x v="2"/>
    <x v="7"/>
    <x v="7"/>
    <x v="100"/>
    <s v="CRCA SHEET TSBCRC SR15 0.700X1250X1930"/>
    <s v=" "/>
    <s v=""/>
    <n v="0"/>
    <n v="0"/>
    <m/>
    <x v="2"/>
    <x v="4"/>
    <s v="SR15"/>
    <x v="4"/>
    <x v="0"/>
    <x v="2"/>
    <n v="33"/>
    <n v="25.87"/>
    <n v="7.13"/>
    <n v="7.13"/>
    <n v="7.13"/>
    <n v="7.13"/>
    <n v="0"/>
    <n v="0"/>
    <n v="0"/>
    <n v="0"/>
    <n v="0"/>
    <n v="0"/>
    <n v="0"/>
    <n v="0"/>
    <n v="0"/>
    <n v="0"/>
    <n v="0"/>
    <n v="0"/>
    <n v="0"/>
    <n v="0"/>
    <n v="0"/>
    <n v="0"/>
    <n v="0"/>
    <n v="0"/>
    <n v="0"/>
    <n v="0"/>
    <n v="0"/>
    <n v="0"/>
    <n v="0"/>
    <m/>
    <n v="0"/>
    <n v="0"/>
    <n v="0"/>
    <n v="0"/>
    <n v="0"/>
    <n v="0"/>
    <n v="0"/>
    <n v="0"/>
    <n v="0"/>
    <n v="0"/>
    <n v="0"/>
    <n v="0"/>
    <n v="0"/>
    <n v="0"/>
    <m/>
    <m/>
    <m/>
    <m/>
    <m/>
    <m/>
    <m/>
    <m/>
    <m/>
    <m/>
    <m/>
    <m/>
    <m/>
    <m/>
    <m/>
    <m/>
    <m/>
    <m/>
    <m/>
    <m/>
    <m/>
    <m/>
    <m/>
    <m/>
    <m/>
    <m/>
    <m/>
    <m/>
    <m/>
    <m/>
    <m/>
    <m/>
    <m/>
    <m/>
  </r>
  <r>
    <n v="742"/>
    <d v="2025-02-11T00:00:00"/>
    <x v="0"/>
    <n v="9518510371"/>
    <n v="3"/>
    <s v="9518510371-3"/>
    <s v="No Priority"/>
    <x v="0"/>
    <m/>
    <x v="1"/>
    <x v="2"/>
    <x v="0"/>
    <m/>
    <x v="0"/>
    <m/>
    <s v="Exp BTF &lt;17MT"/>
    <m/>
    <s v="North"/>
    <s v="GORAKHPUR"/>
    <x v="2"/>
    <x v="7"/>
    <x v="7"/>
    <x v="28"/>
    <s v="CRCA SHEET TSBCRC SR15 0.500X1250X2500"/>
    <s v=" "/>
    <s v=""/>
    <n v="0"/>
    <n v="0"/>
    <m/>
    <x v="2"/>
    <x v="4"/>
    <s v="SR15"/>
    <x v="1"/>
    <x v="0"/>
    <x v="3"/>
    <n v="39"/>
    <n v="34.869999999999997"/>
    <n v="4.13"/>
    <n v="4.13"/>
    <n v="4.13"/>
    <n v="4.13"/>
    <n v="0"/>
    <n v="0"/>
    <n v="0"/>
    <n v="0"/>
    <n v="0"/>
    <n v="0"/>
    <n v="0"/>
    <n v="0"/>
    <n v="0"/>
    <n v="0"/>
    <n v="0"/>
    <n v="0"/>
    <n v="0"/>
    <n v="0"/>
    <n v="0"/>
    <n v="0"/>
    <n v="0"/>
    <n v="0"/>
    <n v="0"/>
    <n v="0"/>
    <n v="0"/>
    <n v="0"/>
    <n v="0"/>
    <m/>
    <n v="0"/>
    <n v="0"/>
    <n v="0"/>
    <n v="0"/>
    <n v="0"/>
    <n v="0"/>
    <n v="0"/>
    <n v="0"/>
    <n v="0"/>
    <n v="0"/>
    <n v="0"/>
    <n v="0"/>
    <n v="0"/>
    <n v="0"/>
    <m/>
    <m/>
    <m/>
    <m/>
    <m/>
    <m/>
    <m/>
    <m/>
    <m/>
    <m/>
    <m/>
    <m/>
    <m/>
    <m/>
    <m/>
    <m/>
    <m/>
    <m/>
    <m/>
    <m/>
    <m/>
    <m/>
    <m/>
    <m/>
    <m/>
    <m/>
    <m/>
    <m/>
    <m/>
    <m/>
    <m/>
    <m/>
    <m/>
    <m/>
  </r>
  <r>
    <n v="743"/>
    <d v="2025-02-14T00:00:00"/>
    <x v="0"/>
    <n v="9518519620"/>
    <n v="1"/>
    <s v="9518519620-1"/>
    <s v="May'25"/>
    <x v="0"/>
    <s v="Yes"/>
    <x v="3"/>
    <x v="9"/>
    <x v="0"/>
    <m/>
    <x v="1"/>
    <m/>
    <m/>
    <m/>
    <s v="East"/>
    <s v="PATNA"/>
    <x v="2"/>
    <x v="31"/>
    <x v="31"/>
    <x v="51"/>
    <s v="GP COIL SOFT-TATXGP-GK09-0.3X900"/>
    <s v="Z80"/>
    <s v=""/>
    <n v="1.75"/>
    <n v="6"/>
    <m/>
    <x v="7"/>
    <x v="5"/>
    <s v="GK09"/>
    <x v="11"/>
    <x v="3"/>
    <x v="0"/>
    <n v="147"/>
    <n v="2.54"/>
    <n v="144.46"/>
    <n v="144.46"/>
    <n v="144.46"/>
    <n v="144.46"/>
    <n v="0"/>
    <n v="0"/>
    <n v="0"/>
    <n v="0"/>
    <n v="0"/>
    <n v="0"/>
    <n v="0"/>
    <n v="0"/>
    <n v="0"/>
    <n v="0"/>
    <n v="0"/>
    <n v="0"/>
    <n v="0"/>
    <n v="0"/>
    <n v="0"/>
    <n v="0"/>
    <n v="0"/>
    <n v="0"/>
    <n v="0"/>
    <n v="0"/>
    <n v="0"/>
    <n v="0"/>
    <n v="0"/>
    <m/>
    <n v="0"/>
    <n v="144.46"/>
    <n v="0"/>
    <n v="144.46"/>
    <n v="0"/>
    <n v="0"/>
    <n v="0"/>
    <n v="144.46"/>
    <n v="0"/>
    <n v="0"/>
    <n v="144.46"/>
    <n v="0"/>
    <n v="0"/>
    <n v="0"/>
    <m/>
    <m/>
    <m/>
    <m/>
    <m/>
    <m/>
    <m/>
    <m/>
    <m/>
    <m/>
    <m/>
    <m/>
    <m/>
    <m/>
    <m/>
    <m/>
    <m/>
    <m/>
    <m/>
    <m/>
    <m/>
    <m/>
    <m/>
    <m/>
    <m/>
    <m/>
    <m/>
    <m/>
    <m/>
    <m/>
    <m/>
    <m/>
    <m/>
    <m/>
  </r>
  <r>
    <n v="743"/>
    <d v="2025-02-10T00:00:00"/>
    <x v="0"/>
    <n v="9518508377"/>
    <n v="1"/>
    <s v="9518508377-1"/>
    <s v="May'25"/>
    <x v="0"/>
    <s v="Yes"/>
    <x v="3"/>
    <x v="9"/>
    <x v="0"/>
    <m/>
    <x v="1"/>
    <m/>
    <m/>
    <m/>
    <s v="East"/>
    <s v="WEST BOKARO"/>
    <x v="2"/>
    <x v="12"/>
    <x v="12"/>
    <x v="261"/>
    <s v="GP COIL SOFT-TATXGP-GK09-0.25X900"/>
    <s v="Z80"/>
    <s v=""/>
    <n v="4"/>
    <n v="12"/>
    <m/>
    <x v="7"/>
    <x v="5"/>
    <s v="GK09"/>
    <x v="12"/>
    <x v="3"/>
    <x v="0"/>
    <n v="21"/>
    <n v="0"/>
    <n v="21"/>
    <n v="21"/>
    <n v="21"/>
    <n v="21"/>
    <n v="0"/>
    <n v="0"/>
    <n v="0"/>
    <n v="0"/>
    <n v="0"/>
    <n v="0"/>
    <n v="0"/>
    <n v="0"/>
    <n v="0"/>
    <n v="0"/>
    <n v="0"/>
    <n v="0"/>
    <n v="0"/>
    <n v="0"/>
    <n v="0"/>
    <n v="0"/>
    <n v="0"/>
    <n v="0"/>
    <n v="0"/>
    <n v="0"/>
    <n v="0"/>
    <n v="0"/>
    <n v="0"/>
    <m/>
    <n v="0"/>
    <n v="21"/>
    <n v="0"/>
    <n v="0"/>
    <n v="21"/>
    <n v="0"/>
    <n v="0"/>
    <n v="21"/>
    <n v="0"/>
    <n v="0"/>
    <n v="0"/>
    <n v="21"/>
    <n v="0"/>
    <n v="0"/>
    <m/>
    <m/>
    <m/>
    <m/>
    <m/>
    <m/>
    <m/>
    <m/>
    <m/>
    <m/>
    <m/>
    <m/>
    <m/>
    <m/>
    <m/>
    <m/>
    <m/>
    <m/>
    <m/>
    <m/>
    <m/>
    <m/>
    <m/>
    <m/>
    <m/>
    <m/>
    <m/>
    <m/>
    <m/>
    <m/>
    <m/>
    <m/>
    <m/>
    <m/>
  </r>
  <r>
    <n v="743"/>
    <d v="2025-02-19T00:00:00"/>
    <x v="0"/>
    <n v="9518532816"/>
    <n v="1"/>
    <s v="9518532816-1"/>
    <s v="May'25"/>
    <x v="0"/>
    <s v="Yes"/>
    <x v="3"/>
    <x v="9"/>
    <x v="0"/>
    <m/>
    <x v="1"/>
    <m/>
    <m/>
    <m/>
    <s v="East"/>
    <s v=" "/>
    <x v="2"/>
    <x v="10"/>
    <x v="10"/>
    <x v="51"/>
    <s v="GP COIL SOFT-TATXGP-GK09-0.3X900"/>
    <s v="Z80"/>
    <s v=""/>
    <n v="4"/>
    <n v="12"/>
    <m/>
    <x v="7"/>
    <x v="5"/>
    <s v="GK09"/>
    <x v="11"/>
    <x v="3"/>
    <x v="0"/>
    <n v="63"/>
    <n v="19.64"/>
    <n v="43.36"/>
    <n v="43.36"/>
    <n v="43.36"/>
    <n v="43.36"/>
    <n v="0"/>
    <n v="0"/>
    <n v="0"/>
    <n v="0"/>
    <n v="0"/>
    <n v="0"/>
    <n v="0"/>
    <n v="0"/>
    <n v="0"/>
    <n v="0"/>
    <n v="0"/>
    <n v="0"/>
    <n v="0"/>
    <n v="0"/>
    <n v="0"/>
    <n v="0"/>
    <n v="0"/>
    <n v="0"/>
    <n v="0"/>
    <n v="0"/>
    <n v="0"/>
    <n v="0"/>
    <n v="0"/>
    <m/>
    <n v="0"/>
    <n v="43.36"/>
    <n v="0"/>
    <n v="0"/>
    <n v="0"/>
    <n v="43.36"/>
    <n v="0"/>
    <n v="43.36"/>
    <n v="0"/>
    <n v="0"/>
    <n v="0"/>
    <n v="0"/>
    <n v="43.36"/>
    <n v="0"/>
    <m/>
    <m/>
    <m/>
    <m/>
    <m/>
    <m/>
    <m/>
    <m/>
    <m/>
    <m/>
    <m/>
    <m/>
    <m/>
    <m/>
    <m/>
    <m/>
    <m/>
    <m/>
    <m/>
    <m/>
    <m/>
    <m/>
    <m/>
    <m/>
    <m/>
    <m/>
    <m/>
    <m/>
    <m/>
    <m/>
    <m/>
    <m/>
    <m/>
    <m/>
  </r>
  <r>
    <n v="743"/>
    <d v="2025-02-10T00:00:00"/>
    <x v="0"/>
    <n v="9518508377"/>
    <n v="3"/>
    <s v="9518508377-3"/>
    <s v="May'25"/>
    <x v="0"/>
    <s v="Yes"/>
    <x v="3"/>
    <x v="9"/>
    <x v="0"/>
    <m/>
    <x v="1"/>
    <m/>
    <m/>
    <m/>
    <s v="East"/>
    <s v="WEST BOKARO"/>
    <x v="2"/>
    <x v="12"/>
    <x v="12"/>
    <x v="51"/>
    <s v="GP COIL SOFT-TATXGP-GK09-0.3X900"/>
    <s v="Z80"/>
    <s v=""/>
    <n v="4"/>
    <n v="12"/>
    <m/>
    <x v="7"/>
    <x v="5"/>
    <s v="GK09"/>
    <x v="11"/>
    <x v="3"/>
    <x v="0"/>
    <n v="105"/>
    <n v="0"/>
    <n v="105"/>
    <n v="105"/>
    <n v="105"/>
    <n v="105"/>
    <n v="0"/>
    <n v="0"/>
    <n v="0"/>
    <n v="0"/>
    <n v="0"/>
    <n v="0"/>
    <n v="0"/>
    <n v="0"/>
    <n v="0"/>
    <n v="0"/>
    <n v="0"/>
    <n v="0"/>
    <n v="0"/>
    <n v="0"/>
    <n v="0"/>
    <n v="0"/>
    <n v="0"/>
    <n v="0"/>
    <n v="0"/>
    <n v="0"/>
    <n v="0"/>
    <n v="0"/>
    <n v="0"/>
    <m/>
    <n v="0"/>
    <n v="105"/>
    <n v="0"/>
    <n v="0"/>
    <n v="0"/>
    <n v="105"/>
    <n v="0"/>
    <n v="105"/>
    <n v="0"/>
    <n v="0"/>
    <n v="0"/>
    <n v="0"/>
    <n v="105"/>
    <n v="0"/>
    <m/>
    <m/>
    <m/>
    <m/>
    <m/>
    <m/>
    <m/>
    <m/>
    <m/>
    <m/>
    <m/>
    <m/>
    <m/>
    <m/>
    <m/>
    <m/>
    <m/>
    <m/>
    <m/>
    <m/>
    <m/>
    <m/>
    <m/>
    <m/>
    <m/>
    <m/>
    <m/>
    <m/>
    <m/>
    <m/>
    <m/>
    <m/>
    <m/>
    <m/>
  </r>
  <r>
    <n v="742"/>
    <d v="2025-02-05T00:00:00"/>
    <x v="0"/>
    <n v="9518495920"/>
    <n v="2"/>
    <s v="9518495920-2"/>
    <s v="No Priority"/>
    <x v="0"/>
    <m/>
    <x v="1"/>
    <x v="2"/>
    <x v="0"/>
    <m/>
    <x v="0"/>
    <m/>
    <m/>
    <m/>
    <s v="North"/>
    <s v="VARANASI"/>
    <x v="2"/>
    <x v="2"/>
    <x v="2"/>
    <x v="136"/>
    <s v="CRCA SHEET TATCRC SR16 0.450X1250X2500"/>
    <s v=" "/>
    <s v=""/>
    <n v="0"/>
    <n v="0"/>
    <m/>
    <x v="2"/>
    <x v="1"/>
    <s v="SR16"/>
    <x v="10"/>
    <x v="0"/>
    <x v="3"/>
    <n v="54"/>
    <n v="50.61"/>
    <n v="3.39"/>
    <n v="3.39"/>
    <n v="3.39"/>
    <n v="3.39"/>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50048"/>
    <n v="1"/>
    <s v="9518650048-1"/>
    <s v="No Priority"/>
    <x v="0"/>
    <m/>
    <x v="1"/>
    <x v="12"/>
    <x v="0"/>
    <m/>
    <x v="0"/>
    <m/>
    <m/>
    <m/>
    <s v="South"/>
    <s v="SANGAREDDY"/>
    <x v="2"/>
    <x v="23"/>
    <x v="22"/>
    <x v="37"/>
    <s v="CR COIL TSBSTA EL06 0.500X1250"/>
    <s v=" "/>
    <s v=""/>
    <n v="5"/>
    <n v="30"/>
    <m/>
    <x v="1"/>
    <x v="9"/>
    <s v="EL06"/>
    <x v="1"/>
    <x v="0"/>
    <x v="0"/>
    <n v="87"/>
    <n v="0"/>
    <n v="87"/>
    <n v="6.21"/>
    <n v="87"/>
    <n v="12.035"/>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0"/>
    <n v="9518633147"/>
    <n v="1"/>
    <s v="9518633147-1"/>
    <s v="May'25"/>
    <x v="0"/>
    <s v="Yes"/>
    <x v="1"/>
    <x v="1"/>
    <x v="0"/>
    <m/>
    <x v="1"/>
    <m/>
    <m/>
    <m/>
    <s v="South"/>
    <s v="SANGAREDDY"/>
    <x v="2"/>
    <x v="23"/>
    <x v="22"/>
    <x v="292"/>
    <s v="CRCA COIL TATXXD AU03 0.8X1250"/>
    <s v=" "/>
    <s v=""/>
    <n v="5"/>
    <n v="30"/>
    <m/>
    <x v="1"/>
    <x v="2"/>
    <s v="AU03"/>
    <x v="5"/>
    <x v="0"/>
    <x v="0"/>
    <n v="58"/>
    <n v="0"/>
    <n v="58"/>
    <n v="58"/>
    <n v="36.26"/>
    <n v="38.44"/>
    <n v="0"/>
    <n v="0"/>
    <n v="0"/>
    <n v="21.740000000000002"/>
    <n v="0"/>
    <n v="0"/>
    <n v="0"/>
    <n v="0"/>
    <n v="0"/>
    <n v="0"/>
    <n v="0"/>
    <n v="0"/>
    <n v="0"/>
    <n v="0"/>
    <n v="0"/>
    <n v="0"/>
    <n v="0"/>
    <n v="0"/>
    <n v="0"/>
    <n v="21.740000000000002"/>
    <n v="21.740000000000002"/>
    <n v="0"/>
    <n v="21.740000000000002"/>
    <m/>
    <n v="0"/>
    <n v="38.44"/>
    <n v="0"/>
    <n v="38.44"/>
    <n v="0"/>
    <n v="0"/>
    <n v="0"/>
    <n v="38.44"/>
    <n v="0"/>
    <n v="0"/>
    <n v="38.44"/>
    <n v="0"/>
    <n v="0"/>
    <n v="0"/>
    <m/>
    <m/>
    <m/>
    <m/>
    <m/>
    <m/>
    <m/>
    <m/>
    <m/>
    <m/>
    <m/>
    <m/>
    <m/>
    <m/>
    <m/>
    <m/>
    <m/>
    <m/>
    <m/>
    <m/>
    <m/>
    <m/>
    <m/>
    <m/>
    <m/>
    <m/>
    <m/>
    <m/>
    <m/>
    <m/>
    <m/>
    <m/>
    <m/>
    <m/>
  </r>
  <r>
    <n v="742"/>
    <d v="2025-03-25T00:00:00"/>
    <x v="0"/>
    <n v="9518633147"/>
    <n v="2"/>
    <s v="9518633147-2"/>
    <s v="No Priority"/>
    <x v="0"/>
    <m/>
    <x v="1"/>
    <x v="1"/>
    <x v="0"/>
    <m/>
    <x v="0"/>
    <m/>
    <m/>
    <m/>
    <s v="South"/>
    <s v="SANGAREDDY"/>
    <x v="2"/>
    <x v="23"/>
    <x v="22"/>
    <x v="339"/>
    <s v="CRSHEET-ICF  DQ TATXXD AU03 1.00 X 1270"/>
    <s v=" "/>
    <s v=""/>
    <n v="5"/>
    <n v="30"/>
    <m/>
    <x v="1"/>
    <x v="2"/>
    <s v="AU03"/>
    <x v="17"/>
    <x v="6"/>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0"/>
    <n v="9518633147"/>
    <n v="3"/>
    <s v="9518633147-3"/>
    <s v="No Priority"/>
    <x v="0"/>
    <s v="Yes"/>
    <x v="1"/>
    <x v="1"/>
    <x v="0"/>
    <m/>
    <x v="0"/>
    <m/>
    <m/>
    <m/>
    <s v="South"/>
    <s v="SANGAREDDY"/>
    <x v="2"/>
    <x v="23"/>
    <x v="22"/>
    <x v="95"/>
    <s v="CRCA COIL-TATXXD-AU03-1.2X1250"/>
    <s v=" "/>
    <s v=""/>
    <n v="5"/>
    <n v="30"/>
    <m/>
    <x v="1"/>
    <x v="2"/>
    <s v="AU03"/>
    <x v="19"/>
    <x v="0"/>
    <x v="0"/>
    <n v="29"/>
    <n v="0"/>
    <n v="29"/>
    <n v="29"/>
    <n v="29"/>
    <n v="8.89"/>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0"/>
    <n v="9518633147"/>
    <n v="4"/>
    <s v="9518633147-4"/>
    <s v="May'25"/>
    <x v="0"/>
    <s v="Yes"/>
    <x v="1"/>
    <x v="1"/>
    <x v="0"/>
    <m/>
    <x v="1"/>
    <m/>
    <m/>
    <m/>
    <s v="South"/>
    <s v="SANGAREDDY"/>
    <x v="2"/>
    <x v="23"/>
    <x v="22"/>
    <x v="69"/>
    <s v="CRCA COIL TATXXD AU03 1.500X1250"/>
    <s v=" "/>
    <s v=""/>
    <n v="5"/>
    <n v="30"/>
    <m/>
    <x v="1"/>
    <x v="2"/>
    <s v="AU03"/>
    <x v="27"/>
    <x v="0"/>
    <x v="0"/>
    <n v="58"/>
    <n v="0"/>
    <n v="58"/>
    <n v="58"/>
    <n v="16.22"/>
    <n v="32.659999999999997"/>
    <n v="0"/>
    <n v="0"/>
    <n v="0"/>
    <n v="0"/>
    <n v="0"/>
    <n v="0"/>
    <n v="0"/>
    <n v="0"/>
    <n v="0"/>
    <n v="0"/>
    <n v="0"/>
    <n v="0"/>
    <n v="41.78"/>
    <n v="0"/>
    <n v="0"/>
    <n v="0"/>
    <n v="0"/>
    <n v="0"/>
    <n v="0"/>
    <n v="41.78"/>
    <n v="41.78"/>
    <n v="0"/>
    <n v="41.78"/>
    <m/>
    <n v="25.34"/>
    <n v="32.659999999999997"/>
    <n v="0"/>
    <n v="32.659999999999997"/>
    <n v="0"/>
    <n v="0"/>
    <n v="0"/>
    <n v="58"/>
    <n v="0"/>
    <n v="0"/>
    <n v="58"/>
    <n v="0"/>
    <n v="0"/>
    <n v="0"/>
    <m/>
    <m/>
    <m/>
    <m/>
    <m/>
    <m/>
    <m/>
    <m/>
    <m/>
    <m/>
    <m/>
    <m/>
    <m/>
    <m/>
    <m/>
    <m/>
    <m/>
    <m/>
    <m/>
    <m/>
    <m/>
    <m/>
    <m/>
    <m/>
    <m/>
    <m/>
    <m/>
    <m/>
    <m/>
    <m/>
    <m/>
    <m/>
    <m/>
    <m/>
  </r>
  <r>
    <n v="742"/>
    <d v="2025-03-25T00:00:00"/>
    <x v="0"/>
    <n v="9518633147"/>
    <n v="6"/>
    <s v="9518633147-6"/>
    <s v="May'25"/>
    <x v="0"/>
    <s v="Yes"/>
    <x v="1"/>
    <x v="1"/>
    <x v="0"/>
    <m/>
    <x v="1"/>
    <m/>
    <m/>
    <m/>
    <s v="South"/>
    <s v="SANGAREDDY"/>
    <x v="2"/>
    <x v="23"/>
    <x v="22"/>
    <x v="116"/>
    <s v="CRCA COIL-TATXXD-AU03-2X1250"/>
    <s v=" "/>
    <s v=""/>
    <n v="5"/>
    <n v="30"/>
    <m/>
    <x v="1"/>
    <x v="2"/>
    <s v="AU03"/>
    <x v="15"/>
    <x v="0"/>
    <x v="0"/>
    <n v="29"/>
    <n v="0"/>
    <n v="29"/>
    <n v="29"/>
    <n v="29"/>
    <n v="29"/>
    <n v="0"/>
    <n v="0"/>
    <n v="0"/>
    <n v="0"/>
    <n v="0"/>
    <n v="0"/>
    <n v="0"/>
    <n v="0"/>
    <n v="0"/>
    <n v="0"/>
    <n v="0"/>
    <n v="0"/>
    <n v="0"/>
    <n v="0"/>
    <n v="0"/>
    <n v="0"/>
    <n v="0"/>
    <n v="0"/>
    <n v="0"/>
    <n v="0"/>
    <n v="0"/>
    <n v="0"/>
    <n v="0"/>
    <m/>
    <n v="0"/>
    <n v="29"/>
    <n v="0"/>
    <n v="0"/>
    <n v="0"/>
    <n v="29"/>
    <n v="0"/>
    <n v="29"/>
    <n v="0"/>
    <n v="0"/>
    <n v="0"/>
    <n v="29"/>
    <n v="0"/>
    <n v="0"/>
    <m/>
    <m/>
    <m/>
    <m/>
    <m/>
    <m/>
    <m/>
    <m/>
    <m/>
    <m/>
    <m/>
    <m/>
    <m/>
    <m/>
    <m/>
    <m/>
    <m/>
    <m/>
    <m/>
    <m/>
    <m/>
    <m/>
    <m/>
    <m/>
    <m/>
    <m/>
    <m/>
    <m/>
    <m/>
    <m/>
    <m/>
    <m/>
    <m/>
    <m/>
  </r>
  <r>
    <n v="742"/>
    <d v="2025-03-15T00:00:00"/>
    <x v="0"/>
    <n v="9518602390"/>
    <n v="4"/>
    <s v="9518602390-4"/>
    <s v="May'25"/>
    <x v="0"/>
    <m/>
    <x v="1"/>
    <x v="1"/>
    <x v="0"/>
    <m/>
    <x v="1"/>
    <m/>
    <m/>
    <m/>
    <s v="North"/>
    <s v="JAIPUR"/>
    <x v="2"/>
    <x v="64"/>
    <x v="91"/>
    <x v="113"/>
    <s v="CRCA COIL-TATXXD-AU03-0.6X1250"/>
    <s v=" "/>
    <s v=""/>
    <n v="10"/>
    <n v="25"/>
    <m/>
    <x v="1"/>
    <x v="2"/>
    <s v="AU03"/>
    <x v="20"/>
    <x v="0"/>
    <x v="0"/>
    <n v="58"/>
    <n v="22.475000000000001"/>
    <n v="35.524999999999999"/>
    <n v="6.9249999999999998"/>
    <n v="6.9249999999999972"/>
    <n v="35.524999999999999"/>
    <n v="0"/>
    <n v="0"/>
    <n v="28.6"/>
    <n v="0"/>
    <n v="0"/>
    <n v="0"/>
    <n v="0"/>
    <n v="0"/>
    <n v="0"/>
    <n v="0"/>
    <n v="0"/>
    <n v="0"/>
    <n v="0"/>
    <n v="0"/>
    <n v="0"/>
    <n v="0"/>
    <n v="0"/>
    <n v="0"/>
    <n v="0"/>
    <n v="28.6"/>
    <n v="28.6"/>
    <n v="0"/>
    <n v="28.6"/>
    <m/>
    <n v="0"/>
    <n v="35.524999999999999"/>
    <n v="0"/>
    <n v="35.524999999999999"/>
    <n v="0"/>
    <n v="0"/>
    <n v="0"/>
    <n v="35.524999999999999"/>
    <n v="0"/>
    <n v="0"/>
    <n v="35.524999999999999"/>
    <n v="0"/>
    <n v="0"/>
    <n v="0"/>
    <m/>
    <m/>
    <m/>
    <m/>
    <m/>
    <m/>
    <m/>
    <m/>
    <m/>
    <m/>
    <m/>
    <m/>
    <m/>
    <m/>
    <m/>
    <m/>
    <m/>
    <m/>
    <m/>
    <m/>
    <m/>
    <m/>
    <m/>
    <m/>
    <m/>
    <m/>
    <m/>
    <m/>
    <m/>
    <m/>
    <m/>
    <m/>
    <m/>
    <m/>
  </r>
  <r>
    <n v="742"/>
    <d v="2025-03-25T00:00:00"/>
    <x v="0"/>
    <n v="9518633147"/>
    <n v="5"/>
    <s v="9518633147-5"/>
    <s v="May'25"/>
    <x v="0"/>
    <s v="Yes"/>
    <x v="1"/>
    <x v="1"/>
    <x v="0"/>
    <m/>
    <x v="1"/>
    <m/>
    <m/>
    <m/>
    <s v="South"/>
    <s v="SANGAREDDY"/>
    <x v="2"/>
    <x v="23"/>
    <x v="22"/>
    <x v="70"/>
    <s v="CRSHEET-ICF TATXXD AU03 1.60X1250"/>
    <s v=" "/>
    <s v=""/>
    <n v="5"/>
    <n v="30"/>
    <m/>
    <x v="1"/>
    <x v="2"/>
    <s v="AU03"/>
    <x v="22"/>
    <x v="0"/>
    <x v="0"/>
    <n v="87"/>
    <n v="0"/>
    <n v="87"/>
    <n v="87"/>
    <n v="24.03"/>
    <n v="87"/>
    <n v="0"/>
    <n v="0"/>
    <n v="0"/>
    <n v="0"/>
    <n v="0"/>
    <n v="0"/>
    <n v="0"/>
    <n v="0"/>
    <n v="0"/>
    <n v="0"/>
    <n v="21.48"/>
    <n v="0"/>
    <n v="41.49"/>
    <n v="0"/>
    <n v="0"/>
    <n v="0"/>
    <n v="0"/>
    <n v="0"/>
    <n v="0"/>
    <n v="62.97"/>
    <n v="62.97"/>
    <n v="0"/>
    <n v="62.97"/>
    <m/>
    <n v="0"/>
    <n v="87"/>
    <n v="0"/>
    <n v="0"/>
    <n v="87"/>
    <n v="0"/>
    <n v="0"/>
    <n v="87"/>
    <n v="0"/>
    <n v="0"/>
    <n v="87"/>
    <n v="0"/>
    <n v="0"/>
    <n v="0"/>
    <m/>
    <m/>
    <m/>
    <m/>
    <m/>
    <m/>
    <m/>
    <m/>
    <m/>
    <m/>
    <m/>
    <m/>
    <m/>
    <m/>
    <m/>
    <m/>
    <m/>
    <m/>
    <m/>
    <m/>
    <m/>
    <m/>
    <m/>
    <m/>
    <m/>
    <m/>
    <m/>
    <m/>
    <m/>
    <m/>
    <m/>
    <m/>
    <m/>
    <m/>
  </r>
  <r>
    <n v="742"/>
    <d v="2025-03-25T00:00:00"/>
    <x v="0"/>
    <n v="9518633147"/>
    <n v="7"/>
    <s v="9518633147-7"/>
    <s v="No Priority"/>
    <x v="0"/>
    <m/>
    <x v="1"/>
    <x v="1"/>
    <x v="0"/>
    <m/>
    <x v="0"/>
    <m/>
    <m/>
    <m/>
    <s v="South"/>
    <s v="SANGAREDDY"/>
    <x v="2"/>
    <x v="23"/>
    <x v="22"/>
    <x v="115"/>
    <s v="CRCA COIL TATXXD AU03 2.5X1250"/>
    <s v=" "/>
    <s v=""/>
    <n v="5"/>
    <n v="30"/>
    <m/>
    <x v="1"/>
    <x v="2"/>
    <s v="AU03"/>
    <x v="38"/>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3"/>
    <d v="2025-02-21T00:00:00"/>
    <x v="0"/>
    <n v="9518539704"/>
    <n v="1"/>
    <s v="9518539704-1"/>
    <s v="No Priority"/>
    <x v="0"/>
    <m/>
    <x v="4"/>
    <x v="5"/>
    <x v="2"/>
    <m/>
    <x v="0"/>
    <m/>
    <s v="Centre slit HR not available"/>
    <m/>
    <s v="South"/>
    <s v="ZAHIRABAD"/>
    <x v="2"/>
    <x v="103"/>
    <x v="102"/>
    <x v="340"/>
    <s v="GL COIL HARD  Y550GL HGL6 0.940X1160"/>
    <s v="AZ150"/>
    <s v=""/>
    <n v="8"/>
    <n v="12"/>
    <m/>
    <x v="5"/>
    <x v="7"/>
    <s v="HGL6"/>
    <x v="65"/>
    <x v="13"/>
    <x v="0"/>
    <n v="162"/>
    <n v="0"/>
    <n v="162"/>
    <n v="162"/>
    <n v="162"/>
    <n v="162"/>
    <n v="0"/>
    <n v="0"/>
    <n v="0"/>
    <n v="0"/>
    <n v="0"/>
    <n v="0"/>
    <n v="0"/>
    <n v="0"/>
    <n v="0"/>
    <n v="0"/>
    <n v="0"/>
    <n v="0"/>
    <n v="0"/>
    <n v="0"/>
    <n v="0"/>
    <n v="0"/>
    <n v="0"/>
    <n v="0"/>
    <n v="0"/>
    <n v="0"/>
    <n v="0"/>
    <n v="0"/>
    <n v="0"/>
    <m/>
    <n v="0"/>
    <n v="0"/>
    <n v="0"/>
    <n v="0"/>
    <n v="0"/>
    <n v="0"/>
    <n v="0"/>
    <n v="0"/>
    <n v="0"/>
    <n v="0"/>
    <n v="0"/>
    <n v="0"/>
    <n v="0"/>
    <n v="0"/>
    <m/>
    <m/>
    <m/>
    <m/>
    <m/>
    <m/>
    <m/>
    <m/>
    <m/>
    <m/>
    <m/>
    <m/>
    <m/>
    <m/>
    <m/>
    <m/>
    <m/>
    <m/>
    <m/>
    <m/>
    <m/>
    <m/>
    <m/>
    <m/>
    <m/>
    <m/>
    <m/>
    <m/>
    <m/>
    <m/>
    <m/>
    <m/>
    <m/>
    <m/>
  </r>
  <r>
    <n v="742"/>
    <d v="2025-03-20T00:00:00"/>
    <x v="0"/>
    <n v="9518617308"/>
    <n v="1"/>
    <s v="9518617308-1"/>
    <s v="No Priority"/>
    <x v="0"/>
    <m/>
    <x v="1"/>
    <x v="1"/>
    <x v="0"/>
    <m/>
    <x v="0"/>
    <m/>
    <m/>
    <m/>
    <s v="North"/>
    <s v="FARIDABAD"/>
    <x v="2"/>
    <x v="73"/>
    <x v="70"/>
    <x v="292"/>
    <s v="CRCA COIL TATXXD AU03 0.8X1250"/>
    <s v=" "/>
    <s v=""/>
    <n v="10"/>
    <n v="30"/>
    <m/>
    <x v="1"/>
    <x v="2"/>
    <s v="AU03"/>
    <x v="5"/>
    <x v="0"/>
    <x v="0"/>
    <n v="29"/>
    <n v="0"/>
    <n v="29"/>
    <n v="29"/>
    <n v="1.5500000000000007"/>
    <n v="29"/>
    <n v="0"/>
    <n v="0"/>
    <n v="0"/>
    <n v="0"/>
    <n v="0"/>
    <n v="0"/>
    <n v="0"/>
    <n v="0"/>
    <n v="0"/>
    <n v="0"/>
    <n v="0"/>
    <n v="0"/>
    <n v="27.45"/>
    <n v="0"/>
    <n v="0"/>
    <n v="0"/>
    <n v="0"/>
    <n v="0"/>
    <n v="0"/>
    <n v="27.45"/>
    <n v="27.45"/>
    <n v="0"/>
    <n v="27.45"/>
    <m/>
    <n v="0"/>
    <n v="0"/>
    <n v="0"/>
    <n v="0"/>
    <n v="0"/>
    <n v="0"/>
    <n v="0"/>
    <n v="0"/>
    <n v="0"/>
    <n v="0"/>
    <n v="0"/>
    <n v="0"/>
    <n v="0"/>
    <n v="0"/>
    <m/>
    <m/>
    <m/>
    <m/>
    <m/>
    <m/>
    <m/>
    <m/>
    <m/>
    <m/>
    <m/>
    <m/>
    <m/>
    <m/>
    <m/>
    <m/>
    <m/>
    <m/>
    <m/>
    <m/>
    <m/>
    <m/>
    <m/>
    <m/>
    <m/>
    <m/>
    <m/>
    <m/>
    <m/>
    <m/>
    <m/>
    <m/>
    <m/>
    <m/>
  </r>
  <r>
    <n v="742"/>
    <d v="2025-03-20T00:00:00"/>
    <x v="0"/>
    <n v="9518617308"/>
    <n v="5"/>
    <s v="9518617308-5"/>
    <s v="No Priority"/>
    <x v="0"/>
    <m/>
    <x v="1"/>
    <x v="1"/>
    <x v="0"/>
    <m/>
    <x v="0"/>
    <m/>
    <m/>
    <m/>
    <s v="North"/>
    <s v="FARIDABAD"/>
    <x v="2"/>
    <x v="73"/>
    <x v="70"/>
    <x v="102"/>
    <s v="CRCA COIL-TATXXD-AU03-1.6X1250"/>
    <s v=" "/>
    <s v=""/>
    <n v="10"/>
    <n v="30"/>
    <m/>
    <x v="1"/>
    <x v="2"/>
    <s v="AU03"/>
    <x v="22"/>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2-19T00:00:00"/>
    <x v="0"/>
    <n v="9518533596"/>
    <n v="5"/>
    <s v="9518533596-5"/>
    <s v="May'25"/>
    <x v="0"/>
    <s v="Yes"/>
    <x v="1"/>
    <x v="11"/>
    <x v="0"/>
    <m/>
    <x v="1"/>
    <m/>
    <m/>
    <m/>
    <s v="East"/>
    <s v="JSR"/>
    <x v="2"/>
    <x v="38"/>
    <x v="0"/>
    <x v="158"/>
    <s v="CRCA COIL TATXXD AH03 2.500X1250"/>
    <s v=" "/>
    <s v=""/>
    <n v="13"/>
    <n v="29"/>
    <m/>
    <x v="1"/>
    <x v="2"/>
    <s v="AH03"/>
    <x v="38"/>
    <x v="0"/>
    <x v="0"/>
    <n v="87"/>
    <n v="0"/>
    <n v="87"/>
    <n v="87"/>
    <n v="87"/>
    <n v="87"/>
    <n v="0"/>
    <n v="0"/>
    <n v="0"/>
    <n v="0"/>
    <n v="0"/>
    <n v="0"/>
    <n v="0"/>
    <n v="0"/>
    <n v="0"/>
    <n v="0"/>
    <n v="0"/>
    <n v="0"/>
    <n v="0"/>
    <n v="0"/>
    <n v="0"/>
    <n v="0"/>
    <n v="0"/>
    <n v="0"/>
    <n v="0"/>
    <n v="0"/>
    <n v="0"/>
    <n v="0"/>
    <n v="0"/>
    <m/>
    <n v="0"/>
    <n v="87"/>
    <n v="0"/>
    <n v="0"/>
    <n v="87"/>
    <n v="0"/>
    <n v="0"/>
    <n v="87"/>
    <n v="0"/>
    <n v="0"/>
    <n v="87"/>
    <n v="0"/>
    <n v="0"/>
    <n v="0"/>
    <m/>
    <m/>
    <m/>
    <m/>
    <m/>
    <m/>
    <m/>
    <m/>
    <m/>
    <m/>
    <m/>
    <m/>
    <m/>
    <m/>
    <m/>
    <m/>
    <m/>
    <m/>
    <m/>
    <m/>
    <m/>
    <m/>
    <m/>
    <m/>
    <m/>
    <m/>
    <m/>
    <m/>
    <m/>
    <m/>
    <m/>
    <m/>
    <m/>
    <m/>
  </r>
  <r>
    <n v="742"/>
    <d v="2025-03-21T00:00:00"/>
    <x v="0"/>
    <n v="9518620941"/>
    <n v="1"/>
    <s v="9518620941-1"/>
    <s v="No Priority"/>
    <x v="0"/>
    <m/>
    <x v="1"/>
    <x v="11"/>
    <x v="5"/>
    <m/>
    <x v="0"/>
    <m/>
    <m/>
    <m/>
    <s v="South"/>
    <s v="CHENNAI"/>
    <x v="2"/>
    <x v="104"/>
    <x v="0"/>
    <x v="189"/>
    <s v="CRCA COIL TATXXD AH03 1X1250"/>
    <s v=" "/>
    <s v=""/>
    <n v="7"/>
    <n v="26"/>
    <m/>
    <x v="1"/>
    <x v="2"/>
    <s v="AH03"/>
    <x v="17"/>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17"/>
    <s v="9518535833-17"/>
    <s v="May'25"/>
    <x v="0"/>
    <s v="Yes"/>
    <x v="1"/>
    <x v="1"/>
    <x v="0"/>
    <m/>
    <x v="1"/>
    <m/>
    <m/>
    <m/>
    <s v="South"/>
    <s v="CHENNAI"/>
    <x v="2"/>
    <x v="4"/>
    <x v="4"/>
    <x v="95"/>
    <s v="CRCA COIL-TATXXD-AU03-1.2X1250"/>
    <s v=" "/>
    <s v=""/>
    <n v="6"/>
    <n v="18"/>
    <m/>
    <x v="1"/>
    <x v="2"/>
    <s v="AU03"/>
    <x v="19"/>
    <x v="0"/>
    <x v="0"/>
    <n v="57.99"/>
    <n v="38.090000000000003"/>
    <n v="19.899999999999999"/>
    <n v="19.899999999999999"/>
    <n v="19.899999999999999"/>
    <n v="19.899999999999999"/>
    <n v="0"/>
    <n v="0"/>
    <n v="0"/>
    <n v="0"/>
    <n v="0"/>
    <n v="0"/>
    <n v="0"/>
    <n v="0"/>
    <n v="0"/>
    <n v="0"/>
    <n v="0"/>
    <n v="0"/>
    <n v="0"/>
    <n v="0"/>
    <n v="0"/>
    <n v="0"/>
    <n v="0"/>
    <n v="0"/>
    <n v="0"/>
    <n v="0"/>
    <n v="0"/>
    <n v="0"/>
    <n v="0"/>
    <m/>
    <n v="0"/>
    <n v="19.899999999999999"/>
    <n v="0"/>
    <n v="0"/>
    <n v="0"/>
    <n v="19.899999999999999"/>
    <n v="0"/>
    <n v="19.899999999999999"/>
    <n v="0"/>
    <n v="0"/>
    <n v="0"/>
    <n v="19.899999999999999"/>
    <n v="0"/>
    <n v="0"/>
    <m/>
    <m/>
    <m/>
    <m/>
    <m/>
    <m/>
    <m/>
    <m/>
    <m/>
    <m/>
    <m/>
    <m/>
    <m/>
    <m/>
    <m/>
    <m/>
    <m/>
    <m/>
    <m/>
    <m/>
    <m/>
    <m/>
    <m/>
    <m/>
    <m/>
    <m/>
    <m/>
    <m/>
    <m/>
    <m/>
    <m/>
    <m/>
    <m/>
    <m/>
  </r>
  <r>
    <n v="742"/>
    <d v="2025-02-13T00:00:00"/>
    <x v="0"/>
    <n v="9518517048"/>
    <n v="1"/>
    <s v="9518517048-1"/>
    <s v="May'25"/>
    <x v="0"/>
    <s v="Yes"/>
    <x v="1"/>
    <x v="1"/>
    <x v="0"/>
    <m/>
    <x v="1"/>
    <m/>
    <m/>
    <m/>
    <s v="East"/>
    <s v="TATANAGAR"/>
    <x v="2"/>
    <x v="5"/>
    <x v="5"/>
    <x v="5"/>
    <s v="CRCA COIL TATXXD AU03 0.4X1250"/>
    <s v=" "/>
    <s v=""/>
    <n v="20"/>
    <n v="29"/>
    <m/>
    <x v="1"/>
    <x v="2"/>
    <s v="AU03"/>
    <x v="2"/>
    <x v="0"/>
    <x v="0"/>
    <n v="87"/>
    <n v="50.064999999999998"/>
    <n v="36.935000000000002"/>
    <n v="36.935000000000002"/>
    <n v="36.935000000000002"/>
    <n v="36.935000000000002"/>
    <n v="0"/>
    <n v="0"/>
    <n v="0"/>
    <n v="0"/>
    <n v="0"/>
    <n v="0"/>
    <n v="0"/>
    <n v="0"/>
    <n v="0"/>
    <n v="0"/>
    <n v="0"/>
    <n v="0"/>
    <n v="0"/>
    <n v="0"/>
    <n v="0"/>
    <n v="0"/>
    <n v="0"/>
    <n v="0"/>
    <n v="0"/>
    <n v="0"/>
    <n v="0"/>
    <n v="0"/>
    <n v="0"/>
    <m/>
    <n v="0"/>
    <n v="36.935000000000002"/>
    <n v="0"/>
    <n v="0"/>
    <n v="0"/>
    <n v="36.935000000000002"/>
    <n v="0"/>
    <n v="36.935000000000002"/>
    <n v="0"/>
    <n v="0"/>
    <n v="0"/>
    <n v="36.935000000000002"/>
    <n v="0"/>
    <n v="0"/>
    <m/>
    <m/>
    <m/>
    <m/>
    <m/>
    <m/>
    <m/>
    <m/>
    <m/>
    <m/>
    <m/>
    <m/>
    <m/>
    <m/>
    <m/>
    <m/>
    <m/>
    <m/>
    <m/>
    <m/>
    <m/>
    <m/>
    <m/>
    <m/>
    <m/>
    <m/>
    <m/>
    <m/>
    <m/>
    <m/>
    <m/>
    <m/>
    <m/>
    <m/>
  </r>
  <r>
    <n v="743"/>
    <d v="2025-02-13T00:00:00"/>
    <x v="0"/>
    <n v="9518516044"/>
    <n v="4"/>
    <s v="9518516044-4"/>
    <s v="No Priority"/>
    <x v="0"/>
    <m/>
    <x v="3"/>
    <x v="9"/>
    <x v="0"/>
    <m/>
    <x v="0"/>
    <m/>
    <m/>
    <m/>
    <s v="North"/>
    <s v="LONI"/>
    <x v="2"/>
    <x v="32"/>
    <x v="32"/>
    <x v="51"/>
    <s v="GP COIL SOFT-TATXGP-GK09-0.3X900"/>
    <s v="Z80"/>
    <s v=""/>
    <n v="4"/>
    <n v="6"/>
    <m/>
    <x v="7"/>
    <x v="5"/>
    <s v="GK09"/>
    <x v="11"/>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4"/>
    <d v="2025-02-22T00:00:00"/>
    <x v="0"/>
    <n v="9518543214"/>
    <n v="9"/>
    <s v="9518543214-9"/>
    <s v="Stocks"/>
    <x v="0"/>
    <m/>
    <x v="2"/>
    <x v="3"/>
    <x v="2"/>
    <m/>
    <x v="1"/>
    <m/>
    <m/>
    <m/>
    <s v="TBSPL"/>
    <s v="GAMHARIA"/>
    <x v="2"/>
    <x v="15"/>
    <x v="15"/>
    <x v="76"/>
    <s v="PPGL C Y550 ISC6 0.43BMT(0.48TPT)X1220"/>
    <s v="aZ70"/>
    <s v="PRO PEARL TSL 1918"/>
    <n v="3"/>
    <n v="5"/>
    <m/>
    <x v="3"/>
    <x v="3"/>
    <s v="ISC6"/>
    <x v="25"/>
    <x v="1"/>
    <x v="0"/>
    <n v="28"/>
    <n v="0"/>
    <n v="28"/>
    <n v="-0.02"/>
    <n v="0"/>
    <n v="1.0900000000000001"/>
    <n v="0"/>
    <n v="0"/>
    <n v="0"/>
    <n v="0"/>
    <n v="0"/>
    <n v="0"/>
    <n v="0"/>
    <n v="0"/>
    <n v="0"/>
    <n v="0"/>
    <n v="0"/>
    <n v="0"/>
    <n v="0"/>
    <n v="0"/>
    <n v="0"/>
    <n v="0"/>
    <n v="0"/>
    <n v="0"/>
    <n v="0"/>
    <n v="0"/>
    <n v="0"/>
    <n v="0"/>
    <n v="0"/>
    <m/>
    <n v="4.5"/>
    <n v="0"/>
    <n v="0"/>
    <n v="0"/>
    <n v="0"/>
    <n v="0"/>
    <n v="0"/>
    <n v="4.5"/>
    <n v="4.5"/>
    <n v="0"/>
    <n v="0"/>
    <n v="0"/>
    <n v="0"/>
    <n v="0"/>
    <m/>
    <m/>
    <m/>
    <m/>
    <m/>
    <m/>
    <m/>
    <m/>
    <m/>
    <m/>
    <m/>
    <m/>
    <m/>
    <m/>
    <m/>
    <m/>
    <m/>
    <m/>
    <m/>
    <m/>
    <m/>
    <m/>
    <m/>
    <m/>
    <m/>
    <m/>
    <m/>
    <m/>
    <m/>
    <m/>
    <m/>
    <m/>
    <m/>
    <m/>
  </r>
  <r>
    <n v="742"/>
    <d v="2025-02-04T00:00:00"/>
    <x v="0"/>
    <n v="9518492304"/>
    <n v="1"/>
    <s v="9518492304-1"/>
    <s v="No Priority"/>
    <x v="0"/>
    <m/>
    <x v="1"/>
    <x v="16"/>
    <x v="0"/>
    <m/>
    <x v="0"/>
    <m/>
    <m/>
    <m/>
    <s v="West"/>
    <s v="MORIYA"/>
    <x v="2"/>
    <x v="99"/>
    <x v="98"/>
    <x v="341"/>
    <s v="CRCA COIL TATXXD BT02 0.900X914"/>
    <s v=" "/>
    <s v=""/>
    <n v="8"/>
    <n v="10"/>
    <m/>
    <x v="1"/>
    <x v="2"/>
    <s v="BT02"/>
    <x v="13"/>
    <x v="26"/>
    <x v="0"/>
    <n v="63"/>
    <n v="18.489999999999998"/>
    <n v="44.51"/>
    <n v="44.51"/>
    <n v="44.51"/>
    <n v="44.51"/>
    <n v="0"/>
    <n v="0"/>
    <n v="0"/>
    <n v="0"/>
    <n v="0"/>
    <n v="0"/>
    <n v="0"/>
    <n v="0"/>
    <n v="0"/>
    <n v="0"/>
    <n v="0"/>
    <n v="0"/>
    <n v="0"/>
    <n v="0"/>
    <n v="0"/>
    <n v="0"/>
    <n v="0"/>
    <n v="0"/>
    <n v="0"/>
    <n v="0"/>
    <n v="0"/>
    <n v="0"/>
    <n v="0"/>
    <m/>
    <n v="0"/>
    <n v="0"/>
    <n v="0"/>
    <n v="0"/>
    <n v="0"/>
    <n v="0"/>
    <n v="0"/>
    <n v="0"/>
    <n v="0"/>
    <n v="0"/>
    <n v="0"/>
    <n v="0"/>
    <n v="0"/>
    <n v="0"/>
    <m/>
    <m/>
    <m/>
    <m/>
    <m/>
    <m/>
    <m/>
    <m/>
    <m/>
    <m/>
    <m/>
    <m/>
    <m/>
    <m/>
    <m/>
    <m/>
    <m/>
    <m/>
    <m/>
    <m/>
    <m/>
    <m/>
    <m/>
    <m/>
    <m/>
    <m/>
    <m/>
    <m/>
    <m/>
    <m/>
    <m/>
    <m/>
    <m/>
    <m/>
  </r>
  <r>
    <n v="743"/>
    <d v="2025-02-05T00:00:00"/>
    <x v="0"/>
    <n v="9518495509"/>
    <n v="5"/>
    <s v="9518495509-5"/>
    <s v="No Priority"/>
    <x v="0"/>
    <m/>
    <x v="3"/>
    <x v="9"/>
    <x v="0"/>
    <m/>
    <x v="0"/>
    <m/>
    <m/>
    <m/>
    <s v="North"/>
    <s v="KANPUR"/>
    <x v="2"/>
    <x v="53"/>
    <x v="50"/>
    <x v="62"/>
    <s v="GP COIL SOFT-TATXGP-GK09-0.6X900"/>
    <s v="Z80"/>
    <s v=""/>
    <n v="3.2"/>
    <n v="5"/>
    <m/>
    <x v="7"/>
    <x v="5"/>
    <s v="GK09"/>
    <x v="20"/>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3-04T00:00:00"/>
    <x v="0"/>
    <n v="9518572041"/>
    <n v="2"/>
    <s v="9518572041-2"/>
    <s v="No Priority"/>
    <x v="0"/>
    <m/>
    <x v="3"/>
    <x v="0"/>
    <x v="0"/>
    <m/>
    <x v="0"/>
    <m/>
    <m/>
    <m/>
    <s v="East"/>
    <s v="TATANAGAR"/>
    <x v="2"/>
    <x v="5"/>
    <x v="5"/>
    <x v="72"/>
    <s v="GP COIL SOFT-TSBXGP-N1GP-0.3X900"/>
    <s v="Z80"/>
    <s v=""/>
    <n v="4"/>
    <n v="12"/>
    <m/>
    <x v="7"/>
    <x v="13"/>
    <s v="N1GP"/>
    <x v="1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2-11T00:00:00"/>
    <x v="0"/>
    <n v="9518510093"/>
    <n v="6"/>
    <s v="9518510093-6"/>
    <s v="No Priority"/>
    <x v="0"/>
    <m/>
    <x v="1"/>
    <x v="1"/>
    <x v="0"/>
    <m/>
    <x v="0"/>
    <m/>
    <m/>
    <m/>
    <s v="North"/>
    <s v="LONI"/>
    <x v="2"/>
    <x v="49"/>
    <x v="48"/>
    <x v="293"/>
    <s v="CRCA COIL-TATXXD-AU03-0.7X1250"/>
    <s v=" "/>
    <s v=""/>
    <n v="10"/>
    <n v="30"/>
    <m/>
    <x v="1"/>
    <x v="2"/>
    <s v="AU03"/>
    <x v="4"/>
    <x v="0"/>
    <x v="0"/>
    <n v="58"/>
    <n v="13.095000000000001"/>
    <n v="44.905000000000001"/>
    <n v="44.905000000000001"/>
    <n v="44.905000000000001"/>
    <n v="44.905000000000001"/>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7626"/>
    <n v="22"/>
    <s v="9518497626-22"/>
    <s v="May'25"/>
    <x v="0"/>
    <s v="Yes"/>
    <x v="1"/>
    <x v="1"/>
    <x v="0"/>
    <m/>
    <x v="1"/>
    <m/>
    <m/>
    <m/>
    <s v="South"/>
    <s v="VISHAKHAPATNAM"/>
    <x v="2"/>
    <x v="8"/>
    <x v="8"/>
    <x v="285"/>
    <s v="CRSHEET TATXXD AU03 1.50X1250X2500"/>
    <s v=" "/>
    <s v=""/>
    <n v="0"/>
    <n v="0"/>
    <m/>
    <x v="2"/>
    <x v="2"/>
    <s v="AU03"/>
    <x v="27"/>
    <x v="0"/>
    <x v="3"/>
    <n v="27"/>
    <n v="0"/>
    <n v="27"/>
    <n v="27"/>
    <n v="27"/>
    <n v="27"/>
    <n v="0"/>
    <n v="0"/>
    <n v="0"/>
    <n v="0"/>
    <n v="0"/>
    <n v="0"/>
    <n v="0"/>
    <n v="0"/>
    <n v="0"/>
    <n v="0"/>
    <n v="0"/>
    <n v="0"/>
    <n v="0"/>
    <n v="0"/>
    <n v="0"/>
    <n v="0"/>
    <n v="0"/>
    <n v="0"/>
    <n v="0"/>
    <n v="0"/>
    <n v="0"/>
    <n v="0"/>
    <n v="0"/>
    <m/>
    <n v="0"/>
    <n v="27"/>
    <n v="0"/>
    <n v="0"/>
    <n v="0"/>
    <n v="27"/>
    <n v="0"/>
    <n v="27"/>
    <n v="0"/>
    <n v="0"/>
    <n v="0"/>
    <n v="27"/>
    <n v="0"/>
    <n v="0"/>
    <m/>
    <m/>
    <m/>
    <m/>
    <m/>
    <m/>
    <m/>
    <m/>
    <m/>
    <m/>
    <m/>
    <m/>
    <m/>
    <m/>
    <m/>
    <m/>
    <m/>
    <m/>
    <m/>
    <m/>
    <m/>
    <m/>
    <m/>
    <m/>
    <m/>
    <m/>
    <m/>
    <m/>
    <m/>
    <m/>
    <m/>
    <m/>
    <m/>
    <m/>
  </r>
  <r>
    <n v="742"/>
    <d v="2025-02-20T00:00:00"/>
    <x v="0"/>
    <n v="9518535833"/>
    <n v="9"/>
    <s v="9518535833-9"/>
    <s v="May'25"/>
    <x v="0"/>
    <s v="Yes"/>
    <x v="1"/>
    <x v="1"/>
    <x v="0"/>
    <m/>
    <x v="1"/>
    <m/>
    <m/>
    <m/>
    <s v="South"/>
    <s v="CHENNAI"/>
    <x v="2"/>
    <x v="4"/>
    <x v="4"/>
    <x v="342"/>
    <s v="CRCA COIL-TATXXD-AU03-0.6X1000"/>
    <s v=" "/>
    <s v=""/>
    <n v="6"/>
    <n v="18"/>
    <m/>
    <x v="1"/>
    <x v="2"/>
    <s v="AU03"/>
    <x v="20"/>
    <x v="2"/>
    <x v="0"/>
    <n v="46"/>
    <n v="0"/>
    <n v="46"/>
    <n v="46"/>
    <n v="46"/>
    <n v="46"/>
    <n v="0"/>
    <n v="0"/>
    <n v="0"/>
    <n v="0"/>
    <n v="0"/>
    <n v="0"/>
    <n v="0"/>
    <n v="0"/>
    <n v="0"/>
    <n v="0"/>
    <n v="0"/>
    <n v="0"/>
    <n v="0"/>
    <n v="0"/>
    <n v="0"/>
    <n v="0"/>
    <n v="0"/>
    <n v="0"/>
    <n v="0"/>
    <n v="0"/>
    <n v="0"/>
    <n v="0"/>
    <n v="0"/>
    <m/>
    <n v="0"/>
    <n v="46"/>
    <n v="0"/>
    <n v="0"/>
    <n v="0"/>
    <n v="0"/>
    <n v="46"/>
    <n v="0"/>
    <n v="0"/>
    <n v="0"/>
    <n v="0"/>
    <n v="0"/>
    <n v="0"/>
    <n v="46"/>
    <m/>
    <m/>
    <m/>
    <m/>
    <m/>
    <m/>
    <m/>
    <m/>
    <m/>
    <m/>
    <m/>
    <m/>
    <m/>
    <m/>
    <m/>
    <m/>
    <m/>
    <m/>
    <m/>
    <m/>
    <m/>
    <m/>
    <m/>
    <m/>
    <m/>
    <m/>
    <m/>
    <m/>
    <m/>
    <m/>
    <m/>
    <m/>
    <m/>
    <m/>
  </r>
  <r>
    <n v="742"/>
    <d v="2025-02-20T00:00:00"/>
    <x v="0"/>
    <n v="9518535833"/>
    <n v="11"/>
    <s v="9518535833-11"/>
    <s v="No Priority"/>
    <x v="0"/>
    <s v="Yes"/>
    <x v="1"/>
    <x v="1"/>
    <x v="0"/>
    <m/>
    <x v="0"/>
    <m/>
    <m/>
    <m/>
    <s v="South"/>
    <s v="CHENNAI"/>
    <x v="2"/>
    <x v="4"/>
    <x v="4"/>
    <x v="343"/>
    <s v="CR COIL TATXXD AU03 0.700X925"/>
    <s v=" "/>
    <s v=""/>
    <n v="6"/>
    <n v="18"/>
    <m/>
    <x v="1"/>
    <x v="2"/>
    <s v="AU03"/>
    <x v="4"/>
    <x v="27"/>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12"/>
    <s v="9518535833-12"/>
    <s v="No Priority"/>
    <x v="0"/>
    <s v="Yes"/>
    <x v="1"/>
    <x v="1"/>
    <x v="0"/>
    <m/>
    <x v="0"/>
    <m/>
    <m/>
    <m/>
    <s v="South"/>
    <s v="CHENNAI"/>
    <x v="2"/>
    <x v="4"/>
    <x v="4"/>
    <x v="344"/>
    <s v="CR COIL TATXXD AU03 0.800X925"/>
    <s v=" "/>
    <s v=""/>
    <n v="6"/>
    <n v="18"/>
    <m/>
    <x v="1"/>
    <x v="2"/>
    <s v="AU03"/>
    <x v="5"/>
    <x v="27"/>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2-25T00:00:00"/>
    <x v="0"/>
    <n v="9518550430"/>
    <n v="1"/>
    <s v="9518550430-1"/>
    <s v="May'25"/>
    <x v="0"/>
    <m/>
    <x v="4"/>
    <x v="3"/>
    <x v="2"/>
    <m/>
    <x v="1"/>
    <m/>
    <m/>
    <m/>
    <s v="TBSPL"/>
    <s v=" "/>
    <x v="2"/>
    <x v="22"/>
    <x v="6"/>
    <x v="34"/>
    <s v="GL C YS550 H6GL 0.55BMT(0.60TCT)X1220"/>
    <s v="AZ150"/>
    <s v=""/>
    <n v="3"/>
    <n v="5"/>
    <m/>
    <x v="5"/>
    <x v="7"/>
    <s v="H6GL"/>
    <x v="18"/>
    <x v="1"/>
    <x v="0"/>
    <n v="28"/>
    <n v="0"/>
    <n v="28"/>
    <n v="28"/>
    <n v="18.91"/>
    <n v="28"/>
    <n v="0"/>
    <n v="0"/>
    <n v="0"/>
    <n v="0"/>
    <n v="0"/>
    <n v="0"/>
    <n v="0"/>
    <n v="0"/>
    <n v="0"/>
    <n v="0"/>
    <n v="0"/>
    <n v="0"/>
    <n v="0"/>
    <n v="0"/>
    <n v="0"/>
    <n v="0"/>
    <n v="0"/>
    <n v="9.09"/>
    <n v="0"/>
    <n v="9.09"/>
    <n v="9.09"/>
    <n v="0"/>
    <n v="9.09"/>
    <m/>
    <n v="0"/>
    <n v="28"/>
    <n v="0"/>
    <n v="28"/>
    <n v="0"/>
    <n v="0"/>
    <n v="0"/>
    <n v="28"/>
    <n v="0"/>
    <n v="0"/>
    <n v="28"/>
    <n v="0"/>
    <n v="0"/>
    <n v="0"/>
    <m/>
    <m/>
    <m/>
    <m/>
    <m/>
    <m/>
    <m/>
    <m/>
    <m/>
    <m/>
    <m/>
    <m/>
    <m/>
    <m/>
    <m/>
    <m/>
    <m/>
    <m/>
    <m/>
    <m/>
    <m/>
    <m/>
    <m/>
    <m/>
    <m/>
    <m/>
    <m/>
    <m/>
    <m/>
    <m/>
    <m/>
    <m/>
    <m/>
    <m/>
  </r>
  <r>
    <n v="742"/>
    <d v="2025-03-11T00:00:00"/>
    <x v="0"/>
    <n v="9518591774"/>
    <n v="15"/>
    <s v="9518591774-15"/>
    <s v="No Priority"/>
    <x v="0"/>
    <m/>
    <x v="1"/>
    <x v="1"/>
    <x v="0"/>
    <m/>
    <x v="0"/>
    <m/>
    <m/>
    <m/>
    <s v="North"/>
    <s v="ZOSOLA"/>
    <x v="2"/>
    <x v="56"/>
    <x v="52"/>
    <x v="95"/>
    <s v="CRCA COIL-TATXXD-AU03-1.2X1250"/>
    <s v=" "/>
    <s v=""/>
    <n v="10"/>
    <n v="30"/>
    <m/>
    <x v="1"/>
    <x v="2"/>
    <s v="AU03"/>
    <x v="19"/>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7626"/>
    <n v="9"/>
    <s v="9518497626-9"/>
    <s v="No Priority"/>
    <x v="0"/>
    <s v="Yes"/>
    <x v="1"/>
    <x v="2"/>
    <x v="0"/>
    <m/>
    <x v="0"/>
    <m/>
    <m/>
    <m/>
    <s v="South"/>
    <s v="VISHAKHAPATNAM"/>
    <x v="2"/>
    <x v="8"/>
    <x v="8"/>
    <x v="28"/>
    <s v="CRCA SHEET TSBCRC SR15 0.500X1250X2500"/>
    <s v=" "/>
    <s v=""/>
    <n v="0"/>
    <n v="0"/>
    <m/>
    <x v="2"/>
    <x v="4"/>
    <s v="SR15"/>
    <x v="1"/>
    <x v="0"/>
    <x v="3"/>
    <n v="27"/>
    <n v="0"/>
    <n v="27"/>
    <n v="-0.62"/>
    <n v="0"/>
    <n v="0.52500000000000002"/>
    <n v="0"/>
    <n v="0"/>
    <n v="0"/>
    <n v="0"/>
    <n v="0"/>
    <n v="0"/>
    <n v="0"/>
    <n v="0"/>
    <n v="0"/>
    <n v="0"/>
    <n v="0"/>
    <n v="0"/>
    <n v="0"/>
    <n v="0"/>
    <n v="0"/>
    <n v="0"/>
    <n v="0"/>
    <n v="0"/>
    <n v="0"/>
    <n v="0"/>
    <n v="0"/>
    <n v="0"/>
    <n v="0"/>
    <m/>
    <n v="0"/>
    <n v="0"/>
    <n v="0"/>
    <n v="0"/>
    <n v="0"/>
    <n v="0"/>
    <n v="0"/>
    <n v="0"/>
    <n v="0"/>
    <n v="0"/>
    <n v="0"/>
    <n v="0"/>
    <n v="0"/>
    <n v="0"/>
    <m/>
    <m/>
    <m/>
    <m/>
    <m/>
    <m/>
    <m/>
    <m/>
    <m/>
    <m/>
    <m/>
    <m/>
    <m/>
    <m/>
    <m/>
    <m/>
    <m/>
    <m/>
    <m/>
    <m/>
    <m/>
    <m/>
    <m/>
    <m/>
    <m/>
    <m/>
    <m/>
    <m/>
    <m/>
    <m/>
    <m/>
    <m/>
    <m/>
    <m/>
  </r>
  <r>
    <n v="744"/>
    <d v="2025-02-15T00:00:00"/>
    <x v="0"/>
    <n v="9518522893"/>
    <n v="2"/>
    <s v="9518522893-2"/>
    <s v="No Priority"/>
    <x v="0"/>
    <s v="Yes"/>
    <x v="2"/>
    <x v="3"/>
    <x v="2"/>
    <m/>
    <x v="0"/>
    <m/>
    <m/>
    <m/>
    <s v="TBSPL"/>
    <s v=" "/>
    <x v="2"/>
    <x v="6"/>
    <x v="6"/>
    <x v="6"/>
    <s v="PPGL C Y550 HPL3 0.42BMT(0.50TPT)X1220"/>
    <s v="AZ150"/>
    <s v="SUPREME AGATE GREY TSL 644"/>
    <n v="3"/>
    <n v="5"/>
    <m/>
    <x v="3"/>
    <x v="3"/>
    <s v="HPL3"/>
    <x v="3"/>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3"/>
    <d v="2025-02-24T00:00:00"/>
    <x v="2"/>
    <n v="9518548608"/>
    <n v="1"/>
    <s v="9518548608-1"/>
    <s v="No Priority"/>
    <x v="0"/>
    <m/>
    <x v="3"/>
    <x v="4"/>
    <x v="0"/>
    <m/>
    <x v="0"/>
    <m/>
    <m/>
    <m/>
    <s v="East"/>
    <s v="PURNIA"/>
    <x v="2"/>
    <x v="74"/>
    <x v="31"/>
    <x v="345"/>
    <s v="GP COIL TATXGP GP2T 0.250X1350"/>
    <s v="Z120"/>
    <s v=""/>
    <n v="1"/>
    <n v="5"/>
    <m/>
    <x v="4"/>
    <x v="5"/>
    <s v="GP2T"/>
    <x v="12"/>
    <x v="20"/>
    <x v="0"/>
    <n v="31"/>
    <n v="0"/>
    <n v="31"/>
    <n v="31"/>
    <n v="31"/>
    <n v="0"/>
    <n v="0"/>
    <n v="0"/>
    <n v="0"/>
    <n v="0"/>
    <n v="0"/>
    <n v="0"/>
    <n v="0"/>
    <n v="0"/>
    <n v="0"/>
    <n v="0"/>
    <n v="0"/>
    <n v="0"/>
    <n v="0"/>
    <n v="0"/>
    <n v="0"/>
    <n v="0"/>
    <n v="0"/>
    <n v="0"/>
    <n v="0"/>
    <n v="0"/>
    <n v="0"/>
    <n v="0"/>
    <n v="0"/>
    <m/>
    <n v="0"/>
    <n v="0"/>
    <n v="0"/>
    <n v="0"/>
    <n v="0"/>
    <n v="0"/>
    <n v="0"/>
    <n v="0"/>
    <n v="0"/>
    <n v="0"/>
    <n v="0"/>
    <n v="0"/>
    <n v="0"/>
    <n v="0"/>
    <m/>
    <m/>
    <m/>
    <m/>
    <m/>
    <m/>
    <m/>
    <m/>
    <m/>
    <m/>
    <m/>
    <m/>
    <m/>
    <m/>
    <m/>
    <m/>
    <m/>
    <m/>
    <m/>
    <m/>
    <m/>
    <m/>
    <m/>
    <m/>
    <m/>
    <m/>
    <m/>
    <m/>
    <m/>
    <m/>
    <m/>
    <m/>
    <m/>
    <m/>
  </r>
  <r>
    <n v="743"/>
    <d v="2025-02-24T00:00:00"/>
    <x v="2"/>
    <n v="9518548608"/>
    <n v="2"/>
    <s v="9518548608-2"/>
    <s v="No Priority"/>
    <x v="0"/>
    <m/>
    <x v="3"/>
    <x v="4"/>
    <x v="0"/>
    <m/>
    <x v="0"/>
    <m/>
    <m/>
    <m/>
    <s v="East"/>
    <s v="PURNIA"/>
    <x v="2"/>
    <x v="74"/>
    <x v="31"/>
    <x v="346"/>
    <s v="GP COIL TATXGP GP2T 0.300X1350"/>
    <s v="Z120"/>
    <s v=""/>
    <n v="1"/>
    <n v="5"/>
    <m/>
    <x v="4"/>
    <x v="5"/>
    <s v="GP2T"/>
    <x v="11"/>
    <x v="20"/>
    <x v="0"/>
    <n v="31"/>
    <n v="0"/>
    <n v="31"/>
    <n v="1.3"/>
    <n v="0"/>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4932"/>
    <n v="1"/>
    <s v="9518534932-1"/>
    <s v="No Priority"/>
    <x v="0"/>
    <s v="Yes"/>
    <x v="1"/>
    <x v="1"/>
    <x v="0"/>
    <m/>
    <x v="0"/>
    <m/>
    <m/>
    <m/>
    <s v="South"/>
    <s v="SANGAREDDY"/>
    <x v="2"/>
    <x v="23"/>
    <x v="22"/>
    <x v="64"/>
    <s v="CRCA COIL TATXXD AU03 1X1320"/>
    <s v=" "/>
    <s v=""/>
    <n v="5"/>
    <n v="30"/>
    <m/>
    <x v="1"/>
    <x v="2"/>
    <s v="AU03"/>
    <x v="17"/>
    <x v="9"/>
    <x v="0"/>
    <n v="60"/>
    <n v="25.995000000000001"/>
    <n v="34.005000000000003"/>
    <n v="34.005000000000003"/>
    <n v="34.005000000000003"/>
    <n v="34.005000000000003"/>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4128"/>
    <n v="3"/>
    <s v="9518534128-3"/>
    <s v="No Priority"/>
    <x v="0"/>
    <m/>
    <x v="1"/>
    <x v="10"/>
    <x v="2"/>
    <m/>
    <x v="0"/>
    <m/>
    <m/>
    <m/>
    <s v="North"/>
    <s v="FARIDABAD"/>
    <x v="2"/>
    <x v="42"/>
    <x v="41"/>
    <x v="52"/>
    <s v="CRCA COIL TATXXD BT02 0.970X913"/>
    <s v=" "/>
    <s v=""/>
    <n v="7"/>
    <n v="10"/>
    <m/>
    <x v="1"/>
    <x v="2"/>
    <s v="BT02"/>
    <x v="24"/>
    <x v="8"/>
    <x v="0"/>
    <n v="130"/>
    <n v="90.875"/>
    <n v="39.125"/>
    <n v="39.125"/>
    <n v="39.125"/>
    <n v="39.125"/>
    <n v="0"/>
    <n v="0"/>
    <n v="0"/>
    <n v="0"/>
    <n v="0"/>
    <n v="0"/>
    <n v="0"/>
    <n v="0"/>
    <n v="0"/>
    <n v="0"/>
    <n v="0"/>
    <n v="0"/>
    <n v="0"/>
    <n v="0"/>
    <n v="0"/>
    <n v="0"/>
    <n v="0"/>
    <n v="0"/>
    <n v="0"/>
    <n v="0"/>
    <n v="0"/>
    <n v="0"/>
    <n v="0"/>
    <m/>
    <n v="0"/>
    <n v="0"/>
    <n v="0"/>
    <n v="0"/>
    <n v="0"/>
    <n v="0"/>
    <n v="0"/>
    <n v="0"/>
    <n v="0"/>
    <n v="0"/>
    <n v="0"/>
    <n v="0"/>
    <n v="0"/>
    <n v="0"/>
    <m/>
    <m/>
    <m/>
    <m/>
    <m/>
    <m/>
    <m/>
    <m/>
    <m/>
    <m/>
    <m/>
    <m/>
    <m/>
    <m/>
    <m/>
    <m/>
    <m/>
    <m/>
    <m/>
    <m/>
    <m/>
    <m/>
    <m/>
    <m/>
    <m/>
    <m/>
    <m/>
    <m/>
    <m/>
    <m/>
    <m/>
    <m/>
    <m/>
    <m/>
  </r>
  <r>
    <n v="743"/>
    <d v="2025-02-25T00:00:00"/>
    <x v="0"/>
    <n v="9518550672"/>
    <n v="2"/>
    <s v="9518550672-2"/>
    <s v="No Priority"/>
    <x v="0"/>
    <m/>
    <x v="4"/>
    <x v="10"/>
    <x v="2"/>
    <m/>
    <x v="0"/>
    <m/>
    <s v="No allocation for IPP"/>
    <m/>
    <s v="South"/>
    <s v="VINJAMURU"/>
    <x v="2"/>
    <x v="79"/>
    <x v="76"/>
    <x v="223"/>
    <s v="GL COIL HARD  Y550GL H7GL 0.420X1235"/>
    <s v="aZ70"/>
    <s v=""/>
    <n v="6"/>
    <n v="20"/>
    <m/>
    <x v="5"/>
    <x v="7"/>
    <s v="H7GL"/>
    <x v="3"/>
    <x v="7"/>
    <x v="0"/>
    <n v="279.99"/>
    <n v="241.26"/>
    <n v="38.729999999999997"/>
    <n v="38.729999999999997"/>
    <n v="38.729999999999997"/>
    <n v="38.729999999999997"/>
    <n v="0"/>
    <n v="0"/>
    <n v="0"/>
    <n v="0"/>
    <n v="0"/>
    <n v="0"/>
    <n v="0"/>
    <n v="0"/>
    <n v="0"/>
    <n v="0"/>
    <n v="0"/>
    <n v="0"/>
    <n v="0"/>
    <n v="0"/>
    <n v="0"/>
    <n v="0"/>
    <n v="0"/>
    <n v="0"/>
    <n v="0"/>
    <n v="0"/>
    <n v="0"/>
    <n v="0"/>
    <n v="0"/>
    <m/>
    <n v="0"/>
    <n v="0"/>
    <n v="0"/>
    <n v="0"/>
    <n v="0"/>
    <n v="0"/>
    <n v="0"/>
    <n v="0"/>
    <n v="0"/>
    <n v="0"/>
    <n v="0"/>
    <n v="0"/>
    <n v="0"/>
    <n v="0"/>
    <m/>
    <m/>
    <m/>
    <m/>
    <m/>
    <m/>
    <m/>
    <m/>
    <m/>
    <m/>
    <m/>
    <m/>
    <m/>
    <m/>
    <m/>
    <m/>
    <m/>
    <m/>
    <m/>
    <m/>
    <m/>
    <m/>
    <m/>
    <m/>
    <m/>
    <m/>
    <m/>
    <m/>
    <m/>
    <m/>
    <m/>
    <m/>
    <m/>
    <m/>
  </r>
  <r>
    <n v="742"/>
    <d v="2025-02-24T00:00:00"/>
    <x v="1"/>
    <n v="9518546113"/>
    <n v="1"/>
    <s v="9518546113-1"/>
    <s v="May'25"/>
    <x v="0"/>
    <m/>
    <x v="1"/>
    <x v="7"/>
    <x v="2"/>
    <m/>
    <x v="1"/>
    <m/>
    <m/>
    <m/>
    <s v="West"/>
    <s v="SOHNA"/>
    <x v="2"/>
    <x v="24"/>
    <x v="23"/>
    <x v="93"/>
    <s v="CRCA COIL TSBSTA EL06 0.500X1160"/>
    <s v=" "/>
    <s v=""/>
    <n v="22"/>
    <n v="30"/>
    <m/>
    <x v="1"/>
    <x v="9"/>
    <s v="EL06"/>
    <x v="1"/>
    <x v="13"/>
    <x v="0"/>
    <n v="297"/>
    <n v="270.64999999999998"/>
    <n v="26.35"/>
    <n v="26.35"/>
    <n v="26.35"/>
    <n v="26.35"/>
    <n v="0"/>
    <n v="0"/>
    <n v="0"/>
    <n v="0"/>
    <n v="0"/>
    <n v="0"/>
    <n v="0"/>
    <n v="0"/>
    <n v="0"/>
    <n v="0"/>
    <n v="0"/>
    <n v="0"/>
    <n v="0"/>
    <n v="0"/>
    <n v="0"/>
    <n v="0"/>
    <n v="0"/>
    <n v="0"/>
    <n v="0"/>
    <n v="0"/>
    <n v="0"/>
    <n v="0"/>
    <n v="0"/>
    <m/>
    <n v="0"/>
    <n v="26.35"/>
    <n v="0"/>
    <n v="0"/>
    <n v="26.35"/>
    <n v="0"/>
    <n v="0"/>
    <n v="26.35"/>
    <n v="0"/>
    <n v="0"/>
    <n v="0"/>
    <n v="26.35"/>
    <n v="0"/>
    <n v="0"/>
    <m/>
    <m/>
    <m/>
    <m/>
    <m/>
    <m/>
    <m/>
    <m/>
    <m/>
    <m/>
    <m/>
    <m/>
    <m/>
    <m/>
    <m/>
    <m/>
    <m/>
    <m/>
    <m/>
    <m/>
    <m/>
    <m/>
    <m/>
    <m/>
    <m/>
    <m/>
    <m/>
    <m/>
    <m/>
    <m/>
    <m/>
    <m/>
    <m/>
    <m/>
  </r>
  <r>
    <n v="742"/>
    <d v="2025-02-17T00:00:00"/>
    <x v="0"/>
    <n v="9518527188"/>
    <n v="1"/>
    <s v="9518527188-1"/>
    <s v="May'25"/>
    <x v="0"/>
    <m/>
    <x v="0"/>
    <x v="0"/>
    <x v="0"/>
    <m/>
    <x v="1"/>
    <m/>
    <m/>
    <m/>
    <s v="South"/>
    <s v="YESHWANTHPURA"/>
    <x v="2"/>
    <x v="46"/>
    <x v="45"/>
    <x v="197"/>
    <s v="HR COILS-PO IS 1079 HR2 2.50X1250"/>
    <s v=" "/>
    <s v=""/>
    <n v="17"/>
    <n v="27.5"/>
    <m/>
    <x v="0"/>
    <x v="0"/>
    <s v="HR99"/>
    <x v="38"/>
    <x v="0"/>
    <x v="0"/>
    <n v="100"/>
    <n v="0"/>
    <n v="100"/>
    <n v="100"/>
    <n v="100"/>
    <n v="100"/>
    <n v="0"/>
    <n v="0"/>
    <n v="0"/>
    <n v="0"/>
    <n v="0"/>
    <n v="0"/>
    <n v="0"/>
    <n v="0"/>
    <n v="0"/>
    <n v="0"/>
    <n v="0"/>
    <n v="0"/>
    <n v="0"/>
    <n v="0"/>
    <n v="0"/>
    <n v="0"/>
    <n v="0"/>
    <n v="0"/>
    <n v="0"/>
    <n v="0"/>
    <n v="0"/>
    <n v="0"/>
    <n v="0"/>
    <m/>
    <n v="0"/>
    <n v="100"/>
    <n v="0"/>
    <n v="0"/>
    <n v="0"/>
    <n v="0"/>
    <n v="100"/>
    <n v="100"/>
    <n v="0"/>
    <n v="0"/>
    <n v="0"/>
    <n v="0"/>
    <n v="100"/>
    <n v="0"/>
    <m/>
    <m/>
    <m/>
    <m/>
    <m/>
    <m/>
    <m/>
    <m/>
    <m/>
    <m/>
    <m/>
    <m/>
    <m/>
    <m/>
    <m/>
    <m/>
    <m/>
    <m/>
    <m/>
    <m/>
    <m/>
    <m/>
    <m/>
    <m/>
    <m/>
    <m/>
    <m/>
    <m/>
    <m/>
    <m/>
    <m/>
    <m/>
    <m/>
    <m/>
  </r>
  <r>
    <n v="742"/>
    <d v="2025-02-24T00:00:00"/>
    <x v="1"/>
    <n v="9518546113"/>
    <n v="2"/>
    <s v="9518546113-2"/>
    <s v="May'25"/>
    <x v="0"/>
    <m/>
    <x v="1"/>
    <x v="7"/>
    <x v="2"/>
    <m/>
    <x v="1"/>
    <m/>
    <m/>
    <m/>
    <s v="West"/>
    <s v="SOHNA"/>
    <x v="2"/>
    <x v="24"/>
    <x v="23"/>
    <x v="93"/>
    <s v="CRCA COIL TSBSTA EL06 0.500X1160"/>
    <s v=" "/>
    <s v=""/>
    <n v="11.6"/>
    <n v="30"/>
    <m/>
    <x v="1"/>
    <x v="9"/>
    <s v="EL06"/>
    <x v="1"/>
    <x v="13"/>
    <x v="0"/>
    <n v="296.99"/>
    <n v="185.405"/>
    <n v="111.58499999999999"/>
    <n v="111.58499999999999"/>
    <n v="-21.734999999999999"/>
    <n v="206.08"/>
    <n v="0"/>
    <n v="0"/>
    <n v="0"/>
    <n v="0"/>
    <n v="0"/>
    <n v="0"/>
    <n v="0"/>
    <n v="0"/>
    <n v="0"/>
    <n v="0"/>
    <n v="27.2"/>
    <n v="53.09"/>
    <n v="53.03"/>
    <n v="0"/>
    <n v="0"/>
    <n v="0"/>
    <n v="0"/>
    <n v="0"/>
    <n v="0"/>
    <n v="133.32"/>
    <n v="133.32"/>
    <n v="0"/>
    <n v="133.32"/>
    <m/>
    <n v="0"/>
    <n v="206.08"/>
    <n v="0"/>
    <n v="0"/>
    <n v="206.08"/>
    <n v="0"/>
    <n v="0"/>
    <n v="206.08"/>
    <n v="0"/>
    <n v="0"/>
    <n v="0"/>
    <n v="206.08"/>
    <n v="0"/>
    <n v="0"/>
    <m/>
    <m/>
    <m/>
    <m/>
    <m/>
    <m/>
    <m/>
    <m/>
    <m/>
    <m/>
    <m/>
    <m/>
    <m/>
    <m/>
    <m/>
    <m/>
    <m/>
    <m/>
    <m/>
    <m/>
    <m/>
    <m/>
    <m/>
    <m/>
    <m/>
    <m/>
    <m/>
    <m/>
    <m/>
    <m/>
    <m/>
    <m/>
    <m/>
    <m/>
  </r>
  <r>
    <n v="743"/>
    <d v="2025-02-05T00:00:00"/>
    <x v="0"/>
    <n v="9518495889"/>
    <n v="5"/>
    <s v="9518495889-5"/>
    <s v="May'25"/>
    <x v="0"/>
    <s v="Yes"/>
    <x v="3"/>
    <x v="9"/>
    <x v="0"/>
    <m/>
    <x v="0"/>
    <m/>
    <m/>
    <m/>
    <s v="East"/>
    <s v="KOLKATA"/>
    <x v="2"/>
    <x v="36"/>
    <x v="36"/>
    <x v="62"/>
    <s v="GP COIL SOFT-TATXGP-GK09-0.6X900"/>
    <s v="Z80"/>
    <s v=""/>
    <n v="5"/>
    <n v="15"/>
    <m/>
    <x v="7"/>
    <x v="5"/>
    <s v="GK09"/>
    <x v="20"/>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8088"/>
    <n v="1"/>
    <s v="9518498088-1"/>
    <s v="May'25"/>
    <x v="0"/>
    <s v="Yes"/>
    <x v="1"/>
    <x v="1"/>
    <x v="0"/>
    <m/>
    <x v="1"/>
    <m/>
    <m/>
    <m/>
    <s v="South"/>
    <s v="CHENNAI"/>
    <x v="2"/>
    <x v="4"/>
    <x v="4"/>
    <x v="343"/>
    <s v="CR COIL TATXXD AU03 0.700X925"/>
    <s v=" "/>
    <s v=""/>
    <n v="6"/>
    <n v="18"/>
    <m/>
    <x v="1"/>
    <x v="2"/>
    <s v="AU03"/>
    <x v="4"/>
    <x v="27"/>
    <x v="0"/>
    <n v="42"/>
    <n v="0"/>
    <n v="42"/>
    <n v="42"/>
    <n v="42"/>
    <n v="42"/>
    <n v="0"/>
    <n v="0"/>
    <n v="0"/>
    <n v="0"/>
    <n v="0"/>
    <n v="0"/>
    <n v="0"/>
    <n v="0"/>
    <n v="0"/>
    <n v="0"/>
    <n v="0"/>
    <n v="0"/>
    <n v="0"/>
    <n v="0"/>
    <n v="0"/>
    <n v="0"/>
    <n v="0"/>
    <n v="0"/>
    <n v="0"/>
    <n v="0"/>
    <n v="0"/>
    <n v="0"/>
    <n v="0"/>
    <m/>
    <n v="0"/>
    <n v="42"/>
    <n v="0"/>
    <n v="0"/>
    <n v="0"/>
    <n v="0"/>
    <n v="42"/>
    <n v="0"/>
    <n v="0"/>
    <n v="0"/>
    <n v="0"/>
    <n v="0"/>
    <n v="0"/>
    <n v="42"/>
    <m/>
    <m/>
    <m/>
    <m/>
    <m/>
    <m/>
    <m/>
    <m/>
    <m/>
    <m/>
    <m/>
    <m/>
    <m/>
    <m/>
    <m/>
    <m/>
    <m/>
    <m/>
    <m/>
    <m/>
    <m/>
    <m/>
    <m/>
    <m/>
    <m/>
    <m/>
    <m/>
    <m/>
    <m/>
    <m/>
    <m/>
    <m/>
    <m/>
    <m/>
  </r>
  <r>
    <n v="742"/>
    <d v="2025-02-13T00:00:00"/>
    <x v="0"/>
    <n v="9518516064"/>
    <n v="1"/>
    <s v="9518516064-1"/>
    <s v="No Priority"/>
    <x v="0"/>
    <m/>
    <x v="1"/>
    <x v="1"/>
    <x v="0"/>
    <m/>
    <x v="0"/>
    <m/>
    <m/>
    <m/>
    <s v="West"/>
    <s v="SIYAGANJ"/>
    <x v="2"/>
    <x v="105"/>
    <x v="103"/>
    <x v="118"/>
    <s v="CR COIL-ICF TATXXD AU03 2.00X1250"/>
    <s v=" "/>
    <s v=""/>
    <n v="18"/>
    <n v="25"/>
    <m/>
    <x v="1"/>
    <x v="2"/>
    <s v="AU03"/>
    <x v="15"/>
    <x v="0"/>
    <x v="0"/>
    <n v="115.98"/>
    <n v="86.44"/>
    <n v="29.54"/>
    <n v="29.54"/>
    <n v="29.54"/>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2-14T00:00:00"/>
    <x v="0"/>
    <n v="9518518311"/>
    <n v="1"/>
    <s v="9518518311-1"/>
    <s v="No Priority"/>
    <x v="0"/>
    <m/>
    <x v="1"/>
    <x v="12"/>
    <x v="0"/>
    <m/>
    <x v="0"/>
    <m/>
    <m/>
    <m/>
    <s v="South"/>
    <s v="SANGAREDDY"/>
    <x v="2"/>
    <x v="23"/>
    <x v="22"/>
    <x v="37"/>
    <s v="CR COIL TSBSTA EL06 0.500X1250"/>
    <s v=" "/>
    <s v=""/>
    <n v="7"/>
    <n v="25"/>
    <m/>
    <x v="1"/>
    <x v="9"/>
    <s v="EL06"/>
    <x v="1"/>
    <x v="0"/>
    <x v="0"/>
    <n v="116"/>
    <n v="0"/>
    <n v="116"/>
    <n v="7.69"/>
    <n v="116"/>
    <n v="52.234999999999999"/>
    <n v="0"/>
    <n v="0"/>
    <n v="0"/>
    <n v="0"/>
    <n v="0"/>
    <n v="0"/>
    <n v="0"/>
    <n v="0"/>
    <n v="0"/>
    <n v="0"/>
    <n v="0"/>
    <n v="0"/>
    <n v="0"/>
    <n v="0"/>
    <n v="0"/>
    <n v="0"/>
    <n v="0"/>
    <n v="0"/>
    <n v="0"/>
    <n v="0"/>
    <n v="0"/>
    <n v="0"/>
    <n v="0"/>
    <m/>
    <n v="0"/>
    <n v="0"/>
    <n v="0"/>
    <n v="0"/>
    <n v="0"/>
    <n v="0"/>
    <n v="0"/>
    <n v="0"/>
    <n v="0"/>
    <n v="0"/>
    <n v="0"/>
    <n v="0"/>
    <n v="0"/>
    <n v="0"/>
    <m/>
    <m/>
    <m/>
    <m/>
    <m/>
    <m/>
    <m/>
    <m/>
    <m/>
    <m/>
    <m/>
    <m/>
    <m/>
    <m/>
    <m/>
    <m/>
    <m/>
    <m/>
    <m/>
    <m/>
    <m/>
    <m/>
    <m/>
    <m/>
    <m/>
    <m/>
    <m/>
    <m/>
    <m/>
    <m/>
    <m/>
    <m/>
    <m/>
    <m/>
  </r>
  <r>
    <n v="742"/>
    <d v="2025-02-14T00:00:00"/>
    <x v="0"/>
    <n v="9518518311"/>
    <n v="2"/>
    <s v="9518518311-2"/>
    <s v="No Priority"/>
    <x v="0"/>
    <m/>
    <x v="1"/>
    <x v="12"/>
    <x v="0"/>
    <m/>
    <x v="0"/>
    <m/>
    <m/>
    <m/>
    <s v="South"/>
    <s v="SANGAREDDY"/>
    <x v="2"/>
    <x v="23"/>
    <x v="22"/>
    <x v="93"/>
    <s v="CRCA COIL TSBSTA EL06 0.500X1160"/>
    <s v=" "/>
    <s v=""/>
    <n v="7"/>
    <n v="25"/>
    <m/>
    <x v="1"/>
    <x v="9"/>
    <s v="EL06"/>
    <x v="1"/>
    <x v="13"/>
    <x v="0"/>
    <n v="27"/>
    <n v="0"/>
    <n v="27"/>
    <n v="4.7249999999999996"/>
    <n v="27"/>
    <n v="4.7249999999999996"/>
    <n v="0"/>
    <n v="0"/>
    <n v="0"/>
    <n v="0"/>
    <n v="0"/>
    <n v="0"/>
    <n v="0"/>
    <n v="0"/>
    <n v="0"/>
    <n v="0"/>
    <n v="0"/>
    <n v="0"/>
    <n v="0"/>
    <n v="0"/>
    <n v="0"/>
    <n v="0"/>
    <n v="0"/>
    <n v="0"/>
    <n v="0"/>
    <n v="0"/>
    <n v="0"/>
    <n v="0"/>
    <n v="0"/>
    <m/>
    <n v="0"/>
    <n v="0"/>
    <n v="0"/>
    <n v="0"/>
    <n v="0"/>
    <n v="0"/>
    <n v="0"/>
    <n v="0"/>
    <n v="0"/>
    <n v="0"/>
    <n v="0"/>
    <n v="0"/>
    <n v="0"/>
    <n v="0"/>
    <m/>
    <m/>
    <m/>
    <m/>
    <m/>
    <m/>
    <m/>
    <m/>
    <m/>
    <m/>
    <m/>
    <m/>
    <m/>
    <m/>
    <m/>
    <m/>
    <m/>
    <m/>
    <m/>
    <m/>
    <m/>
    <m/>
    <m/>
    <m/>
    <m/>
    <m/>
    <m/>
    <m/>
    <m/>
    <m/>
    <m/>
    <m/>
    <m/>
    <m/>
  </r>
  <r>
    <n v="742"/>
    <d v="2025-02-11T00:00:00"/>
    <x v="0"/>
    <n v="9518510371"/>
    <n v="4"/>
    <s v="9518510371-4"/>
    <s v="May'25"/>
    <x v="0"/>
    <s v="Yes"/>
    <x v="1"/>
    <x v="2"/>
    <x v="0"/>
    <m/>
    <x v="1"/>
    <m/>
    <m/>
    <m/>
    <s v="North"/>
    <s v="GORAKHPUR"/>
    <x v="2"/>
    <x v="7"/>
    <x v="7"/>
    <x v="42"/>
    <s v="CRCA SHEET TSBCRC SR15 0.600X1250X2500"/>
    <s v=" "/>
    <s v=""/>
    <n v="0"/>
    <n v="0"/>
    <m/>
    <x v="2"/>
    <x v="4"/>
    <s v="SR15"/>
    <x v="20"/>
    <x v="0"/>
    <x v="3"/>
    <n v="39"/>
    <n v="0"/>
    <n v="39"/>
    <n v="39"/>
    <n v="39"/>
    <n v="39"/>
    <n v="0"/>
    <n v="0"/>
    <n v="0"/>
    <n v="0"/>
    <n v="0"/>
    <n v="0"/>
    <n v="0"/>
    <n v="0"/>
    <n v="0"/>
    <n v="0"/>
    <n v="0"/>
    <n v="0"/>
    <n v="0"/>
    <n v="0"/>
    <n v="0"/>
    <n v="0"/>
    <n v="0"/>
    <n v="0"/>
    <n v="0"/>
    <n v="0"/>
    <n v="0"/>
    <n v="0"/>
    <n v="0"/>
    <m/>
    <n v="0"/>
    <n v="39"/>
    <n v="0"/>
    <n v="0"/>
    <n v="39"/>
    <n v="0"/>
    <n v="0"/>
    <n v="39"/>
    <n v="0"/>
    <n v="0"/>
    <n v="39"/>
    <n v="0"/>
    <n v="0"/>
    <n v="0"/>
    <m/>
    <m/>
    <m/>
    <m/>
    <m/>
    <m/>
    <m/>
    <m/>
    <m/>
    <m/>
    <m/>
    <m/>
    <m/>
    <m/>
    <m/>
    <m/>
    <m/>
    <m/>
    <m/>
    <m/>
    <m/>
    <m/>
    <m/>
    <m/>
    <m/>
    <m/>
    <m/>
    <m/>
    <m/>
    <m/>
    <m/>
    <m/>
    <m/>
    <m/>
  </r>
  <r>
    <n v="742"/>
    <d v="2025-02-19T00:00:00"/>
    <x v="0"/>
    <n v="9518533557"/>
    <n v="8"/>
    <s v="9518533557-8"/>
    <s v="No Priority"/>
    <x v="0"/>
    <m/>
    <x v="1"/>
    <x v="2"/>
    <x v="0"/>
    <m/>
    <x v="0"/>
    <m/>
    <s v="Exp BTF &lt;17MT"/>
    <m/>
    <s v="East"/>
    <s v="HOWRAH"/>
    <x v="2"/>
    <x v="11"/>
    <x v="11"/>
    <x v="176"/>
    <s v="CRCA SHEET TATCRC SR16 0.450X900X2500"/>
    <s v=" "/>
    <s v=""/>
    <n v="0"/>
    <n v="0"/>
    <m/>
    <x v="2"/>
    <x v="1"/>
    <s v="SR16"/>
    <x v="10"/>
    <x v="3"/>
    <x v="3"/>
    <n v="24"/>
    <n v="18.52"/>
    <n v="5.48"/>
    <n v="5.48"/>
    <n v="5.48"/>
    <n v="5.48"/>
    <n v="0"/>
    <n v="0"/>
    <n v="0"/>
    <n v="0"/>
    <n v="0"/>
    <n v="0"/>
    <n v="0"/>
    <n v="0"/>
    <n v="0"/>
    <n v="0"/>
    <n v="0"/>
    <n v="0"/>
    <n v="0"/>
    <n v="0"/>
    <n v="0"/>
    <n v="0"/>
    <n v="0"/>
    <n v="0"/>
    <n v="0"/>
    <n v="0"/>
    <n v="0"/>
    <n v="0"/>
    <n v="0"/>
    <m/>
    <n v="0"/>
    <n v="0"/>
    <n v="0"/>
    <n v="0"/>
    <n v="0"/>
    <n v="0"/>
    <n v="0"/>
    <n v="0"/>
    <n v="0"/>
    <n v="0"/>
    <n v="0"/>
    <n v="0"/>
    <n v="0"/>
    <n v="0"/>
    <m/>
    <m/>
    <m/>
    <m/>
    <m/>
    <m/>
    <m/>
    <m/>
    <m/>
    <m/>
    <m/>
    <m/>
    <m/>
    <m/>
    <m/>
    <m/>
    <m/>
    <m/>
    <m/>
    <m/>
    <m/>
    <m/>
    <m/>
    <m/>
    <m/>
    <m/>
    <m/>
    <m/>
    <m/>
    <m/>
    <m/>
    <m/>
    <m/>
    <m/>
  </r>
  <r>
    <n v="742"/>
    <d v="2025-02-07T00:00:00"/>
    <x v="0"/>
    <n v="9518500267"/>
    <n v="3"/>
    <s v="9518500267-3"/>
    <s v="May'25"/>
    <x v="0"/>
    <s v="Yes"/>
    <x v="1"/>
    <x v="11"/>
    <x v="0"/>
    <n v="500"/>
    <x v="1"/>
    <m/>
    <m/>
    <m/>
    <s v="South"/>
    <s v="YESHWANTHPURA"/>
    <x v="2"/>
    <x v="40"/>
    <x v="0"/>
    <x v="347"/>
    <s v="CRCA COIL TATXXD AH03 1.150X1250"/>
    <s v=" "/>
    <s v=""/>
    <n v="2"/>
    <n v="26"/>
    <m/>
    <x v="1"/>
    <x v="2"/>
    <s v="AH03"/>
    <x v="49"/>
    <x v="0"/>
    <x v="0"/>
    <n v="29"/>
    <n v="0"/>
    <n v="29"/>
    <n v="29"/>
    <n v="29"/>
    <n v="29"/>
    <n v="0"/>
    <n v="0"/>
    <n v="0"/>
    <n v="0"/>
    <n v="0"/>
    <n v="0"/>
    <n v="0"/>
    <n v="0"/>
    <n v="0"/>
    <n v="0"/>
    <n v="0"/>
    <n v="0"/>
    <n v="0"/>
    <n v="0"/>
    <n v="0"/>
    <n v="0"/>
    <n v="0"/>
    <n v="0"/>
    <n v="0"/>
    <n v="0"/>
    <n v="0"/>
    <n v="0"/>
    <n v="0"/>
    <m/>
    <n v="0"/>
    <n v="29"/>
    <n v="0"/>
    <n v="29"/>
    <n v="0"/>
    <n v="0"/>
    <n v="0"/>
    <n v="29"/>
    <n v="0"/>
    <n v="29"/>
    <n v="0"/>
    <n v="0"/>
    <n v="0"/>
    <n v="0"/>
    <m/>
    <m/>
    <m/>
    <m/>
    <m/>
    <m/>
    <m/>
    <m/>
    <m/>
    <m/>
    <m/>
    <m/>
    <m/>
    <m/>
    <m/>
    <m/>
    <m/>
    <m/>
    <m/>
    <m/>
    <m/>
    <m/>
    <m/>
    <m/>
    <m/>
    <m/>
    <m/>
    <m/>
    <m/>
    <m/>
    <m/>
    <m/>
    <m/>
    <m/>
  </r>
  <r>
    <n v="743"/>
    <d v="2025-02-14T00:00:00"/>
    <x v="2"/>
    <n v="9518518430"/>
    <n v="1"/>
    <s v="9518518430-1"/>
    <s v="No Priority"/>
    <x v="0"/>
    <m/>
    <x v="4"/>
    <x v="10"/>
    <x v="2"/>
    <m/>
    <x v="0"/>
    <m/>
    <s v="No allocation for IPP"/>
    <m/>
    <s v="West"/>
    <s v="TAMBATI"/>
    <x v="2"/>
    <x v="86"/>
    <x v="83"/>
    <x v="241"/>
    <s v="GL COIL SKINPASS Y250GL SGL1 0.330X1250"/>
    <s v="aZ70"/>
    <s v=""/>
    <n v="7"/>
    <n v="15"/>
    <m/>
    <x v="8"/>
    <x v="17"/>
    <s v="SGL1"/>
    <x v="9"/>
    <x v="0"/>
    <x v="0"/>
    <n v="57.999000000000002"/>
    <n v="21.835000000000001"/>
    <n v="36.164000000000001"/>
    <n v="36.164000000000001"/>
    <n v="36.164000000000001"/>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2-17T00:00:00"/>
    <x v="1"/>
    <n v="9518527449"/>
    <n v="8"/>
    <s v="9518527449-8"/>
    <s v="No Priority"/>
    <x v="0"/>
    <s v="Yes"/>
    <x v="1"/>
    <x v="6"/>
    <x v="0"/>
    <m/>
    <x v="0"/>
    <m/>
    <m/>
    <m/>
    <s v="South"/>
    <s v="YESHWANTHPURA"/>
    <x v="2"/>
    <x v="26"/>
    <x v="26"/>
    <x v="249"/>
    <s v="CRCA COIL TSBHSQ TU99 1.400X1270"/>
    <s v=" "/>
    <s v=""/>
    <n v="10"/>
    <n v="27"/>
    <m/>
    <x v="1"/>
    <x v="10"/>
    <s v="TU99"/>
    <x v="37"/>
    <x v="6"/>
    <x v="0"/>
    <n v="116"/>
    <n v="76.385000000000005"/>
    <n v="39.615000000000002"/>
    <n v="39.615000000000002"/>
    <n v="24.07"/>
    <n v="26.17"/>
    <n v="0"/>
    <n v="0"/>
    <n v="0"/>
    <n v="0"/>
    <n v="0"/>
    <n v="0"/>
    <n v="0"/>
    <n v="0"/>
    <n v="0"/>
    <n v="0"/>
    <n v="0"/>
    <n v="0"/>
    <n v="0"/>
    <n v="0"/>
    <n v="0"/>
    <n v="1.71"/>
    <n v="0"/>
    <n v="0"/>
    <n v="13.835000000000001"/>
    <n v="15.545000000000002"/>
    <n v="15.545000000000002"/>
    <n v="0"/>
    <n v="15.545000000000002"/>
    <m/>
    <n v="0"/>
    <n v="0"/>
    <n v="0"/>
    <n v="0"/>
    <n v="0"/>
    <n v="0"/>
    <n v="0"/>
    <n v="0"/>
    <n v="0"/>
    <n v="0"/>
    <n v="0"/>
    <n v="0"/>
    <n v="0"/>
    <n v="0"/>
    <m/>
    <m/>
    <m/>
    <m/>
    <m/>
    <m/>
    <m/>
    <m/>
    <m/>
    <m/>
    <m/>
    <m/>
    <m/>
    <m/>
    <m/>
    <m/>
    <m/>
    <m/>
    <m/>
    <m/>
    <m/>
    <m/>
    <m/>
    <m/>
    <m/>
    <m/>
    <m/>
    <m/>
    <m/>
    <m/>
    <m/>
    <m/>
    <m/>
    <m/>
  </r>
  <r>
    <n v="742"/>
    <d v="2025-02-20T00:00:00"/>
    <x v="0"/>
    <n v="9518535833"/>
    <n v="26"/>
    <s v="9518535833-26"/>
    <s v="No Priority"/>
    <x v="0"/>
    <m/>
    <x v="1"/>
    <x v="2"/>
    <x v="0"/>
    <m/>
    <x v="0"/>
    <m/>
    <s v="Exp BTF &lt;17MT"/>
    <m/>
    <s v="South"/>
    <s v="CHENNAI"/>
    <x v="2"/>
    <x v="4"/>
    <x v="4"/>
    <x v="111"/>
    <s v="CRCA SHEET TSBCRC SR15 0.800X1250X2500"/>
    <s v=" "/>
    <s v=""/>
    <n v="0"/>
    <n v="0"/>
    <m/>
    <x v="2"/>
    <x v="4"/>
    <s v="SR15"/>
    <x v="5"/>
    <x v="0"/>
    <x v="3"/>
    <n v="30"/>
    <n v="26.39"/>
    <n v="3.61"/>
    <n v="3.61"/>
    <n v="3.61"/>
    <n v="1.51"/>
    <n v="0"/>
    <n v="0"/>
    <n v="0"/>
    <n v="0"/>
    <n v="0"/>
    <n v="0"/>
    <n v="0"/>
    <n v="0"/>
    <n v="0"/>
    <n v="0"/>
    <n v="0"/>
    <n v="0"/>
    <n v="0"/>
    <n v="0"/>
    <n v="0"/>
    <n v="0"/>
    <n v="0"/>
    <n v="0"/>
    <n v="0"/>
    <n v="0"/>
    <n v="0"/>
    <n v="0"/>
    <n v="0"/>
    <m/>
    <n v="0"/>
    <n v="0"/>
    <n v="0"/>
    <n v="0"/>
    <n v="0"/>
    <n v="0"/>
    <n v="0"/>
    <n v="0"/>
    <n v="0"/>
    <n v="0"/>
    <n v="0"/>
    <n v="0"/>
    <n v="0"/>
    <n v="0"/>
    <m/>
    <m/>
    <m/>
    <m/>
    <m/>
    <m/>
    <m/>
    <m/>
    <m/>
    <m/>
    <m/>
    <m/>
    <m/>
    <m/>
    <m/>
    <m/>
    <m/>
    <m/>
    <m/>
    <m/>
    <m/>
    <m/>
    <m/>
    <m/>
    <m/>
    <m/>
    <m/>
    <m/>
    <m/>
    <m/>
    <m/>
    <m/>
    <m/>
    <m/>
  </r>
  <r>
    <n v="742"/>
    <d v="2025-02-14T00:00:00"/>
    <x v="0"/>
    <n v="9518520213"/>
    <n v="12"/>
    <s v="9518520213-12"/>
    <s v="No Priority"/>
    <x v="0"/>
    <m/>
    <x v="1"/>
    <x v="2"/>
    <x v="0"/>
    <m/>
    <x v="0"/>
    <m/>
    <s v="Exp BTF &lt;17MT"/>
    <m/>
    <s v="East"/>
    <s v="PURNIA"/>
    <x v="2"/>
    <x v="31"/>
    <x v="31"/>
    <x v="110"/>
    <s v="CRCA SHEET TSBCRC SR15 0.600X1000X2500"/>
    <s v=" "/>
    <s v=""/>
    <n v="0"/>
    <n v="0"/>
    <m/>
    <x v="2"/>
    <x v="4"/>
    <s v="SR15"/>
    <x v="20"/>
    <x v="2"/>
    <x v="3"/>
    <n v="24"/>
    <n v="20.364999999999998"/>
    <n v="3.6349999999999998"/>
    <n v="3.6349999999999998"/>
    <n v="3.6349999999999998"/>
    <n v="3.6349999999999998"/>
    <n v="0"/>
    <n v="0"/>
    <n v="0"/>
    <n v="0"/>
    <n v="0"/>
    <n v="0"/>
    <n v="0"/>
    <n v="0"/>
    <n v="0"/>
    <n v="0"/>
    <n v="0"/>
    <n v="0"/>
    <n v="0"/>
    <n v="0"/>
    <n v="0"/>
    <n v="0"/>
    <n v="0"/>
    <n v="0"/>
    <n v="0"/>
    <n v="0"/>
    <n v="0"/>
    <n v="0"/>
    <n v="0"/>
    <m/>
    <n v="0"/>
    <n v="0"/>
    <n v="0"/>
    <n v="0"/>
    <n v="0"/>
    <n v="0"/>
    <n v="0"/>
    <n v="0"/>
    <n v="0"/>
    <n v="0"/>
    <n v="0"/>
    <n v="0"/>
    <n v="0"/>
    <n v="0"/>
    <m/>
    <m/>
    <m/>
    <m/>
    <m/>
    <m/>
    <m/>
    <m/>
    <m/>
    <m/>
    <m/>
    <m/>
    <m/>
    <m/>
    <m/>
    <m/>
    <m/>
    <m/>
    <m/>
    <m/>
    <m/>
    <m/>
    <m/>
    <m/>
    <m/>
    <m/>
    <m/>
    <m/>
    <m/>
    <m/>
    <m/>
    <m/>
    <m/>
    <m/>
  </r>
  <r>
    <n v="742"/>
    <d v="2025-02-14T00:00:00"/>
    <x v="0"/>
    <n v="9518518906"/>
    <n v="7"/>
    <s v="9518518906-7"/>
    <s v="No Priority"/>
    <x v="0"/>
    <m/>
    <x v="1"/>
    <x v="2"/>
    <x v="0"/>
    <m/>
    <x v="0"/>
    <m/>
    <m/>
    <m/>
    <s v="North"/>
    <s v="VARANASI"/>
    <x v="2"/>
    <x v="2"/>
    <x v="2"/>
    <x v="348"/>
    <s v="CRCA SHEET TSBCRC SR15 0.700X1000X1925"/>
    <s v=" "/>
    <s v=""/>
    <n v="0"/>
    <n v="0"/>
    <m/>
    <x v="2"/>
    <x v="4"/>
    <s v="SR15"/>
    <x v="4"/>
    <x v="2"/>
    <x v="7"/>
    <n v="33"/>
    <n v="20.765000000000001"/>
    <n v="12.234999999999999"/>
    <n v="12.234999999999999"/>
    <n v="12.234999999999999"/>
    <n v="12.234999999999999"/>
    <n v="0"/>
    <n v="0"/>
    <n v="0"/>
    <n v="0"/>
    <n v="0"/>
    <n v="0"/>
    <n v="0"/>
    <n v="0"/>
    <n v="0"/>
    <n v="0"/>
    <n v="0"/>
    <n v="0"/>
    <n v="0"/>
    <n v="0"/>
    <n v="0"/>
    <n v="0"/>
    <n v="0"/>
    <n v="0"/>
    <n v="0"/>
    <n v="0"/>
    <n v="0"/>
    <n v="0"/>
    <n v="0"/>
    <m/>
    <n v="0"/>
    <n v="0"/>
    <n v="0"/>
    <n v="0"/>
    <n v="0"/>
    <n v="0"/>
    <n v="0"/>
    <n v="0"/>
    <n v="0"/>
    <n v="0"/>
    <n v="0"/>
    <n v="0"/>
    <n v="0"/>
    <n v="0"/>
    <m/>
    <m/>
    <m/>
    <m/>
    <m/>
    <m/>
    <m/>
    <m/>
    <m/>
    <m/>
    <m/>
    <m/>
    <m/>
    <m/>
    <m/>
    <m/>
    <m/>
    <m/>
    <m/>
    <m/>
    <m/>
    <m/>
    <m/>
    <m/>
    <m/>
    <m/>
    <m/>
    <m/>
    <m/>
    <m/>
    <m/>
    <m/>
    <m/>
    <m/>
  </r>
  <r>
    <n v="742"/>
    <d v="2025-02-11T00:00:00"/>
    <x v="0"/>
    <n v="9518510681"/>
    <n v="3"/>
    <s v="9518510681-3"/>
    <s v="No Priority"/>
    <x v="0"/>
    <m/>
    <x v="1"/>
    <x v="2"/>
    <x v="0"/>
    <m/>
    <x v="0"/>
    <m/>
    <s v="Exp BTF &lt;17MT"/>
    <m/>
    <s v="North"/>
    <s v="KANPUR"/>
    <x v="2"/>
    <x v="7"/>
    <x v="7"/>
    <x v="349"/>
    <s v="CRCA SHEET TSBCRC SR15 0.800X1250X1930"/>
    <s v=" "/>
    <s v=""/>
    <n v="0"/>
    <n v="0"/>
    <m/>
    <x v="2"/>
    <x v="4"/>
    <s v="SR15"/>
    <x v="5"/>
    <x v="0"/>
    <x v="2"/>
    <n v="33"/>
    <n v="26.125"/>
    <n v="6.875"/>
    <n v="6.875"/>
    <n v="6.875"/>
    <n v="6.875"/>
    <n v="0"/>
    <n v="0"/>
    <n v="0"/>
    <n v="0"/>
    <n v="0"/>
    <n v="0"/>
    <n v="0"/>
    <n v="0"/>
    <n v="0"/>
    <n v="0"/>
    <n v="0"/>
    <n v="0"/>
    <n v="0"/>
    <n v="0"/>
    <n v="0"/>
    <n v="0"/>
    <n v="0"/>
    <n v="0"/>
    <n v="0"/>
    <n v="0"/>
    <n v="0"/>
    <n v="0"/>
    <n v="0"/>
    <m/>
    <n v="0"/>
    <n v="0"/>
    <n v="0"/>
    <n v="0"/>
    <n v="0"/>
    <n v="0"/>
    <n v="0"/>
    <n v="0"/>
    <n v="0"/>
    <n v="0"/>
    <n v="0"/>
    <n v="0"/>
    <n v="0"/>
    <n v="0"/>
    <m/>
    <m/>
    <m/>
    <m/>
    <m/>
    <m/>
    <m/>
    <m/>
    <m/>
    <m/>
    <m/>
    <m/>
    <m/>
    <m/>
    <m/>
    <m/>
    <m/>
    <m/>
    <m/>
    <m/>
    <m/>
    <m/>
    <m/>
    <m/>
    <m/>
    <m/>
    <m/>
    <m/>
    <m/>
    <m/>
    <m/>
    <m/>
    <m/>
    <m/>
  </r>
  <r>
    <n v="742"/>
    <d v="2025-02-03T00:00:00"/>
    <x v="0"/>
    <n v="9518490750"/>
    <n v="8"/>
    <s v="9518490750-8"/>
    <s v="No Priority"/>
    <x v="0"/>
    <m/>
    <x v="1"/>
    <x v="2"/>
    <x v="0"/>
    <m/>
    <x v="0"/>
    <m/>
    <m/>
    <m/>
    <s v="East"/>
    <s v="TANGI"/>
    <x v="2"/>
    <x v="19"/>
    <x v="25"/>
    <x v="112"/>
    <s v="CRCA SHEET TSBCRC SR15 0.900X1000X2500"/>
    <s v=" "/>
    <s v=""/>
    <n v="0.1"/>
    <n v="5"/>
    <m/>
    <x v="2"/>
    <x v="4"/>
    <s v="SR15"/>
    <x v="13"/>
    <x v="2"/>
    <x v="3"/>
    <n v="75"/>
    <n v="66.95"/>
    <n v="8.0500000000000007"/>
    <n v="-7.085"/>
    <n v="0"/>
    <n v="0.01"/>
    <n v="0"/>
    <n v="0"/>
    <n v="0"/>
    <n v="0"/>
    <n v="0"/>
    <n v="0"/>
    <n v="0"/>
    <n v="0"/>
    <n v="0"/>
    <n v="0"/>
    <n v="0"/>
    <n v="0"/>
    <n v="0"/>
    <n v="0"/>
    <n v="0"/>
    <n v="0"/>
    <n v="0"/>
    <n v="0"/>
    <n v="0"/>
    <n v="0"/>
    <n v="0"/>
    <n v="0"/>
    <n v="0"/>
    <m/>
    <n v="0"/>
    <n v="0"/>
    <n v="0"/>
    <n v="0"/>
    <n v="0"/>
    <n v="0"/>
    <n v="0"/>
    <n v="0"/>
    <n v="0"/>
    <n v="0"/>
    <n v="0"/>
    <n v="0"/>
    <n v="0"/>
    <n v="0"/>
    <m/>
    <m/>
    <m/>
    <m/>
    <m/>
    <m/>
    <m/>
    <m/>
    <m/>
    <m/>
    <m/>
    <m/>
    <m/>
    <m/>
    <m/>
    <m/>
    <m/>
    <m/>
    <m/>
    <m/>
    <m/>
    <m/>
    <m/>
    <m/>
    <m/>
    <m/>
    <m/>
    <m/>
    <m/>
    <m/>
    <m/>
    <m/>
    <m/>
    <m/>
  </r>
  <r>
    <n v="743"/>
    <d v="2025-02-05T00:00:00"/>
    <x v="0"/>
    <n v="9518495843"/>
    <n v="1"/>
    <s v="9518495843-1"/>
    <s v="May'25"/>
    <x v="0"/>
    <s v="Yes"/>
    <x v="3"/>
    <x v="9"/>
    <x v="0"/>
    <m/>
    <x v="1"/>
    <m/>
    <m/>
    <m/>
    <s v="East"/>
    <s v="KOLKATA"/>
    <x v="2"/>
    <x v="36"/>
    <x v="36"/>
    <x v="261"/>
    <s v="GP COIL SOFT-TATXGP-GK09-0.25X900"/>
    <s v="Z80"/>
    <s v=""/>
    <n v="5"/>
    <n v="15"/>
    <m/>
    <x v="7"/>
    <x v="5"/>
    <s v="GK09"/>
    <x v="12"/>
    <x v="3"/>
    <x v="0"/>
    <n v="63"/>
    <n v="0"/>
    <n v="63"/>
    <n v="63"/>
    <n v="63"/>
    <n v="63"/>
    <n v="0"/>
    <n v="0"/>
    <n v="0"/>
    <n v="0"/>
    <n v="0"/>
    <n v="0"/>
    <n v="0"/>
    <n v="0"/>
    <n v="0"/>
    <n v="0"/>
    <n v="0"/>
    <n v="0"/>
    <n v="0"/>
    <n v="0"/>
    <n v="0"/>
    <n v="0"/>
    <n v="0"/>
    <n v="0"/>
    <n v="0"/>
    <n v="0"/>
    <n v="0"/>
    <n v="0"/>
    <n v="0"/>
    <m/>
    <n v="0"/>
    <n v="63"/>
    <n v="0"/>
    <n v="0"/>
    <n v="0"/>
    <n v="63"/>
    <n v="0"/>
    <n v="63"/>
    <n v="0"/>
    <n v="0"/>
    <n v="0"/>
    <n v="0"/>
    <n v="63"/>
    <n v="0"/>
    <m/>
    <m/>
    <m/>
    <m/>
    <m/>
    <m/>
    <m/>
    <m/>
    <m/>
    <m/>
    <m/>
    <m/>
    <m/>
    <m/>
    <m/>
    <m/>
    <m/>
    <m/>
    <m/>
    <m/>
    <m/>
    <m/>
    <m/>
    <m/>
    <m/>
    <m/>
    <m/>
    <m/>
    <m/>
    <m/>
    <m/>
    <m/>
    <m/>
    <m/>
  </r>
  <r>
    <n v="743"/>
    <d v="2025-02-19T00:00:00"/>
    <x v="0"/>
    <n v="9518532816"/>
    <n v="2"/>
    <s v="9518532816-2"/>
    <s v="May'25"/>
    <x v="0"/>
    <s v="Yes"/>
    <x v="3"/>
    <x v="9"/>
    <x v="0"/>
    <m/>
    <x v="1"/>
    <m/>
    <m/>
    <m/>
    <s v="East"/>
    <s v=" "/>
    <x v="2"/>
    <x v="10"/>
    <x v="10"/>
    <x v="55"/>
    <s v="GP COIL SOFT-TATXGP-GK09-0.35X900"/>
    <s v="Z80"/>
    <s v=""/>
    <n v="4"/>
    <n v="12"/>
    <m/>
    <x v="7"/>
    <x v="5"/>
    <s v="GK09"/>
    <x v="6"/>
    <x v="3"/>
    <x v="0"/>
    <n v="147"/>
    <n v="41.344999999999999"/>
    <n v="105.655"/>
    <n v="105.655"/>
    <n v="105.655"/>
    <n v="105.655"/>
    <n v="0"/>
    <n v="0"/>
    <n v="0"/>
    <n v="0"/>
    <n v="0"/>
    <n v="0"/>
    <n v="0"/>
    <n v="0"/>
    <n v="0"/>
    <n v="0"/>
    <n v="0"/>
    <n v="0"/>
    <n v="0"/>
    <n v="0"/>
    <n v="0"/>
    <n v="0"/>
    <n v="0"/>
    <n v="0"/>
    <n v="0"/>
    <n v="0"/>
    <n v="0"/>
    <n v="0"/>
    <n v="0"/>
    <m/>
    <n v="0"/>
    <n v="105.655"/>
    <n v="0"/>
    <n v="0"/>
    <n v="105.655"/>
    <n v="0"/>
    <n v="0"/>
    <n v="105.655"/>
    <n v="0"/>
    <n v="0"/>
    <n v="0"/>
    <n v="105.655"/>
    <n v="0"/>
    <n v="0"/>
    <m/>
    <m/>
    <m/>
    <m/>
    <m/>
    <m/>
    <m/>
    <m/>
    <m/>
    <m/>
    <m/>
    <m/>
    <m/>
    <m/>
    <m/>
    <m/>
    <m/>
    <m/>
    <m/>
    <m/>
    <m/>
    <m/>
    <m/>
    <m/>
    <m/>
    <m/>
    <m/>
    <m/>
    <m/>
    <m/>
    <m/>
    <m/>
    <m/>
    <m/>
  </r>
  <r>
    <n v="742"/>
    <d v="2025-03-14T00:00:00"/>
    <x v="1"/>
    <n v="4000500995"/>
    <n v="7"/>
    <s v="4000500995-7"/>
    <s v="May'25"/>
    <x v="0"/>
    <m/>
    <x v="0"/>
    <x v="0"/>
    <x v="0"/>
    <m/>
    <x v="1"/>
    <m/>
    <m/>
    <m/>
    <s v="South"/>
    <s v="YESHWANTHPURA"/>
    <x v="2"/>
    <x v="21"/>
    <x v="21"/>
    <x v="91"/>
    <s v="HR COILS-PO THR099 HR99 3.40X1250"/>
    <s v=" "/>
    <s v=""/>
    <n v="10"/>
    <n v="27"/>
    <m/>
    <x v="0"/>
    <x v="0"/>
    <s v="HR99"/>
    <x v="32"/>
    <x v="0"/>
    <x v="0"/>
    <n v="50"/>
    <n v="0"/>
    <n v="50"/>
    <n v="50"/>
    <n v="50"/>
    <n v="50"/>
    <n v="0"/>
    <n v="0"/>
    <n v="0"/>
    <n v="0"/>
    <n v="0"/>
    <n v="0"/>
    <n v="0"/>
    <n v="0"/>
    <n v="0"/>
    <n v="0"/>
    <n v="0"/>
    <n v="0"/>
    <n v="0"/>
    <n v="0"/>
    <n v="0"/>
    <n v="0"/>
    <n v="0"/>
    <n v="0"/>
    <n v="0"/>
    <n v="0"/>
    <n v="0"/>
    <n v="0"/>
    <n v="0"/>
    <m/>
    <n v="0"/>
    <n v="50"/>
    <n v="0"/>
    <n v="0"/>
    <n v="0"/>
    <n v="50"/>
    <n v="0"/>
    <n v="50"/>
    <n v="0"/>
    <n v="0"/>
    <n v="0"/>
    <n v="50"/>
    <n v="0"/>
    <n v="0"/>
    <m/>
    <m/>
    <m/>
    <m/>
    <m/>
    <m/>
    <m/>
    <m/>
    <m/>
    <m/>
    <m/>
    <m/>
    <m/>
    <m/>
    <m/>
    <m/>
    <m/>
    <m/>
    <m/>
    <m/>
    <m/>
    <m/>
    <m/>
    <m/>
    <m/>
    <m/>
    <m/>
    <m/>
    <m/>
    <m/>
    <m/>
    <m/>
    <m/>
    <m/>
  </r>
  <r>
    <n v="743"/>
    <d v="2025-03-28T00:00:00"/>
    <x v="0"/>
    <n v="9518649108"/>
    <n v="1"/>
    <s v="9518649108-1"/>
    <s v="May'25"/>
    <x v="0"/>
    <s v="Yes"/>
    <x v="4"/>
    <x v="5"/>
    <x v="2"/>
    <m/>
    <x v="1"/>
    <m/>
    <m/>
    <m/>
    <s v="West"/>
    <s v="SANAND"/>
    <x v="2"/>
    <x v="45"/>
    <x v="84"/>
    <x v="350"/>
    <s v="GL COIL HARD  Y550GL HGL6 0.900X1200"/>
    <s v="AZ150"/>
    <s v=""/>
    <n v="10"/>
    <n v="17"/>
    <m/>
    <x v="5"/>
    <x v="7"/>
    <s v="HGL6"/>
    <x v="13"/>
    <x v="28"/>
    <x v="0"/>
    <n v="297"/>
    <n v="0"/>
    <n v="297"/>
    <n v="297"/>
    <n v="0"/>
    <n v="297"/>
    <n v="0"/>
    <n v="0"/>
    <n v="0"/>
    <n v="0"/>
    <n v="0"/>
    <n v="0"/>
    <n v="0"/>
    <n v="0"/>
    <n v="0"/>
    <n v="0"/>
    <n v="0"/>
    <n v="0"/>
    <n v="0"/>
    <n v="0"/>
    <n v="0"/>
    <n v="0"/>
    <n v="0"/>
    <n v="0"/>
    <n v="0"/>
    <n v="0"/>
    <n v="0"/>
    <n v="297"/>
    <n v="297"/>
    <m/>
    <n v="0"/>
    <n v="297"/>
    <n v="0"/>
    <n v="0"/>
    <n v="297"/>
    <n v="0"/>
    <n v="0"/>
    <n v="297"/>
    <n v="0"/>
    <n v="0"/>
    <n v="297"/>
    <n v="0"/>
    <n v="0"/>
    <n v="0"/>
    <m/>
    <m/>
    <m/>
    <m/>
    <m/>
    <m/>
    <m/>
    <m/>
    <m/>
    <m/>
    <m/>
    <m/>
    <m/>
    <m/>
    <m/>
    <m/>
    <m/>
    <m/>
    <m/>
    <m/>
    <m/>
    <m/>
    <m/>
    <m/>
    <m/>
    <m/>
    <m/>
    <m/>
    <m/>
    <m/>
    <m/>
    <m/>
    <m/>
    <m/>
  </r>
  <r>
    <n v="743"/>
    <d v="2025-02-21T00:00:00"/>
    <x v="0"/>
    <n v="9518539704"/>
    <n v="2"/>
    <s v="9518539704-2"/>
    <s v="No Priority"/>
    <x v="0"/>
    <m/>
    <x v="4"/>
    <x v="5"/>
    <x v="2"/>
    <m/>
    <x v="0"/>
    <m/>
    <s v="Centre slit HR not available"/>
    <m/>
    <s v="South"/>
    <s v="ZAHIRABAD"/>
    <x v="2"/>
    <x v="103"/>
    <x v="102"/>
    <x v="340"/>
    <s v="GL COIL HARD  Y550GL HGL6 0.940X1160"/>
    <s v="AZ150"/>
    <s v=""/>
    <n v="8"/>
    <n v="12"/>
    <m/>
    <x v="5"/>
    <x v="7"/>
    <s v="HGL6"/>
    <x v="65"/>
    <x v="13"/>
    <x v="0"/>
    <n v="162"/>
    <n v="0"/>
    <n v="162"/>
    <n v="162"/>
    <n v="162"/>
    <n v="162"/>
    <n v="0"/>
    <n v="0"/>
    <n v="0"/>
    <n v="0"/>
    <n v="0"/>
    <n v="0"/>
    <n v="0"/>
    <n v="0"/>
    <n v="0"/>
    <n v="0"/>
    <n v="0"/>
    <n v="0"/>
    <n v="0"/>
    <n v="0"/>
    <n v="0"/>
    <n v="0"/>
    <n v="0"/>
    <n v="0"/>
    <n v="0"/>
    <n v="0"/>
    <n v="0"/>
    <n v="0"/>
    <n v="0"/>
    <m/>
    <n v="0"/>
    <n v="0"/>
    <n v="0"/>
    <n v="0"/>
    <n v="0"/>
    <n v="0"/>
    <n v="0"/>
    <n v="0"/>
    <n v="0"/>
    <n v="0"/>
    <n v="0"/>
    <n v="0"/>
    <n v="0"/>
    <n v="0"/>
    <m/>
    <m/>
    <m/>
    <m/>
    <m/>
    <m/>
    <m/>
    <m/>
    <m/>
    <m/>
    <m/>
    <m/>
    <m/>
    <m/>
    <m/>
    <m/>
    <m/>
    <m/>
    <m/>
    <m/>
    <m/>
    <m/>
    <m/>
    <m/>
    <m/>
    <m/>
    <m/>
    <m/>
    <m/>
    <m/>
    <m/>
    <m/>
    <m/>
    <m/>
  </r>
  <r>
    <n v="742"/>
    <d v="2025-03-19T00:00:00"/>
    <x v="0"/>
    <n v="9518613530"/>
    <n v="2"/>
    <s v="9518613530-2"/>
    <s v="No Priority"/>
    <x v="0"/>
    <m/>
    <x v="1"/>
    <x v="10"/>
    <x v="2"/>
    <m/>
    <x v="0"/>
    <m/>
    <m/>
    <m/>
    <s v="South"/>
    <s v="VISAJHAPATNAM"/>
    <x v="2"/>
    <x v="41"/>
    <x v="40"/>
    <x v="351"/>
    <s v="CRCA COIL TATXXD BT02 0.800X920"/>
    <s v=" "/>
    <s v=""/>
    <n v="6"/>
    <n v="10"/>
    <m/>
    <x v="1"/>
    <x v="2"/>
    <s v="BT02"/>
    <x v="5"/>
    <x v="15"/>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3-20T00:00:00"/>
    <x v="0"/>
    <n v="9518617132"/>
    <n v="3"/>
    <s v="9518617132-3"/>
    <s v="No Priority"/>
    <x v="0"/>
    <m/>
    <x v="1"/>
    <x v="2"/>
    <x v="0"/>
    <m/>
    <x v="0"/>
    <m/>
    <m/>
    <m/>
    <s v="East"/>
    <s v="PATNA"/>
    <x v="2"/>
    <x v="31"/>
    <x v="31"/>
    <x v="110"/>
    <s v="CRCA SHEET TSBCRC SR15 0.600X1000X2500"/>
    <s v=" "/>
    <s v=""/>
    <n v="0"/>
    <n v="0"/>
    <m/>
    <x v="2"/>
    <x v="4"/>
    <s v="SR15"/>
    <x v="20"/>
    <x v="2"/>
    <x v="3"/>
    <n v="12"/>
    <n v="0"/>
    <n v="12"/>
    <n v="12"/>
    <n v="-10.440000000000001"/>
    <n v="12"/>
    <n v="0"/>
    <n v="0"/>
    <n v="0"/>
    <n v="0"/>
    <n v="0"/>
    <n v="0"/>
    <n v="0"/>
    <n v="0"/>
    <n v="0"/>
    <n v="0"/>
    <n v="0"/>
    <n v="0"/>
    <n v="0"/>
    <n v="22.44"/>
    <n v="0"/>
    <n v="0"/>
    <n v="0"/>
    <n v="0"/>
    <n v="0"/>
    <n v="22.44"/>
    <n v="22.44"/>
    <n v="0"/>
    <n v="22.44"/>
    <m/>
    <n v="0"/>
    <n v="0"/>
    <n v="0"/>
    <n v="0"/>
    <n v="0"/>
    <n v="0"/>
    <n v="0"/>
    <n v="0"/>
    <n v="0"/>
    <n v="0"/>
    <n v="0"/>
    <n v="0"/>
    <n v="0"/>
    <n v="0"/>
    <m/>
    <m/>
    <m/>
    <m/>
    <m/>
    <m/>
    <m/>
    <m/>
    <m/>
    <m/>
    <m/>
    <m/>
    <m/>
    <m/>
    <m/>
    <m/>
    <m/>
    <m/>
    <m/>
    <m/>
    <m/>
    <m/>
    <m/>
    <m/>
    <m/>
    <m/>
    <m/>
    <m/>
    <m/>
    <m/>
    <m/>
    <m/>
    <m/>
    <m/>
  </r>
  <r>
    <n v="742"/>
    <d v="2025-03-20T00:00:00"/>
    <x v="0"/>
    <n v="9518617132"/>
    <n v="4"/>
    <s v="9518617132-4"/>
    <s v="No Priority"/>
    <x v="0"/>
    <m/>
    <x v="1"/>
    <x v="2"/>
    <x v="0"/>
    <m/>
    <x v="0"/>
    <m/>
    <m/>
    <m/>
    <s v="East"/>
    <s v="PATNA"/>
    <x v="2"/>
    <x v="31"/>
    <x v="31"/>
    <x v="182"/>
    <s v="CRCA SHEET TSBCRC SR15 1.200X1250X2500"/>
    <s v=" "/>
    <s v=""/>
    <n v="0"/>
    <n v="0"/>
    <m/>
    <x v="2"/>
    <x v="4"/>
    <s v="SR15"/>
    <x v="19"/>
    <x v="0"/>
    <x v="3"/>
    <n v="12"/>
    <n v="0"/>
    <n v="12"/>
    <n v="12"/>
    <n v="12"/>
    <n v="12"/>
    <n v="0"/>
    <n v="0"/>
    <n v="0"/>
    <n v="0"/>
    <n v="0"/>
    <n v="0"/>
    <n v="0"/>
    <n v="0"/>
    <n v="0"/>
    <n v="0"/>
    <n v="0"/>
    <n v="0"/>
    <n v="0"/>
    <n v="0"/>
    <n v="0"/>
    <n v="0"/>
    <n v="0"/>
    <n v="0"/>
    <n v="0"/>
    <n v="0"/>
    <n v="0"/>
    <n v="0"/>
    <n v="0"/>
    <m/>
    <n v="0"/>
    <n v="0"/>
    <n v="0"/>
    <n v="0"/>
    <n v="0"/>
    <n v="0"/>
    <n v="0"/>
    <n v="0"/>
    <n v="0"/>
    <n v="0"/>
    <n v="0"/>
    <n v="0"/>
    <n v="0"/>
    <n v="0"/>
    <m/>
    <m/>
    <m/>
    <m/>
    <m/>
    <m/>
    <m/>
    <m/>
    <m/>
    <m/>
    <m/>
    <m/>
    <m/>
    <m/>
    <m/>
    <m/>
    <m/>
    <m/>
    <m/>
    <m/>
    <m/>
    <m/>
    <m/>
    <m/>
    <m/>
    <m/>
    <m/>
    <m/>
    <m/>
    <m/>
    <m/>
    <m/>
    <m/>
    <m/>
  </r>
  <r>
    <n v="743"/>
    <d v="2025-03-29T00:00:00"/>
    <x v="0"/>
    <n v="9518652119"/>
    <n v="2"/>
    <s v="9518652119-2"/>
    <s v="May'25"/>
    <x v="0"/>
    <m/>
    <x v="3"/>
    <x v="14"/>
    <x v="0"/>
    <m/>
    <x v="1"/>
    <m/>
    <m/>
    <s v="Maharashtra"/>
    <s v="West"/>
    <s v="NAGPUR"/>
    <x v="2"/>
    <x v="106"/>
    <x v="104"/>
    <x v="231"/>
    <s v="GP COIL SOFT-TATXGP-GK09-0.4X1220"/>
    <s v="Z80"/>
    <s v=""/>
    <n v="4"/>
    <n v="6"/>
    <m/>
    <x v="7"/>
    <x v="5"/>
    <s v="GK09"/>
    <x v="2"/>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2"/>
    <d v="2025-03-21T00:00:00"/>
    <x v="0"/>
    <n v="9518620674"/>
    <n v="20"/>
    <s v="9518620674-20"/>
    <s v="No Priority"/>
    <x v="0"/>
    <s v="Yes"/>
    <x v="1"/>
    <x v="1"/>
    <x v="0"/>
    <m/>
    <x v="0"/>
    <m/>
    <m/>
    <m/>
    <s v="South"/>
    <s v="CHENNAI"/>
    <x v="2"/>
    <x v="4"/>
    <x v="4"/>
    <x v="116"/>
    <s v="CRCA COIL-TATXXD-AU03-2X1250"/>
    <s v=" "/>
    <s v=""/>
    <n v="6"/>
    <n v="18"/>
    <m/>
    <x v="1"/>
    <x v="2"/>
    <s v="AU03"/>
    <x v="1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27T00:00:00"/>
    <x v="0"/>
    <n v="9518645033"/>
    <n v="4"/>
    <s v="9518645033-4"/>
    <s v="May'25"/>
    <x v="0"/>
    <s v="Yes"/>
    <x v="1"/>
    <x v="1"/>
    <x v="0"/>
    <m/>
    <x v="1"/>
    <m/>
    <m/>
    <m/>
    <s v="South"/>
    <s v="GUMMIDIPOONDI"/>
    <x v="2"/>
    <x v="58"/>
    <x v="54"/>
    <x v="64"/>
    <s v="CRCA COIL TATXXD AU03 1X1320"/>
    <s v=" "/>
    <s v=""/>
    <n v="5"/>
    <n v="29"/>
    <m/>
    <x v="1"/>
    <x v="2"/>
    <s v="AU03"/>
    <x v="17"/>
    <x v="9"/>
    <x v="0"/>
    <n v="210"/>
    <n v="0"/>
    <n v="210"/>
    <n v="210"/>
    <n v="181.21"/>
    <n v="210"/>
    <n v="0"/>
    <n v="0"/>
    <n v="0"/>
    <n v="0"/>
    <n v="0"/>
    <n v="0"/>
    <n v="0"/>
    <n v="0"/>
    <n v="0"/>
    <n v="0"/>
    <n v="0"/>
    <n v="0"/>
    <n v="0"/>
    <n v="28.79"/>
    <n v="0"/>
    <n v="0"/>
    <n v="0"/>
    <n v="0"/>
    <n v="0"/>
    <n v="28.79"/>
    <n v="28.79"/>
    <n v="0"/>
    <n v="28.79"/>
    <m/>
    <n v="0"/>
    <n v="210"/>
    <n v="0"/>
    <n v="0"/>
    <n v="0"/>
    <n v="210"/>
    <n v="0"/>
    <n v="210"/>
    <n v="0"/>
    <n v="0"/>
    <n v="0"/>
    <n v="0"/>
    <n v="210"/>
    <n v="0"/>
    <m/>
    <m/>
    <m/>
    <m/>
    <m/>
    <m/>
    <m/>
    <m/>
    <m/>
    <m/>
    <m/>
    <m/>
    <m/>
    <m/>
    <m/>
    <m/>
    <m/>
    <m/>
    <m/>
    <m/>
    <m/>
    <m/>
    <m/>
    <m/>
    <m/>
    <m/>
    <m/>
    <m/>
    <m/>
    <m/>
    <m/>
    <m/>
    <m/>
    <m/>
  </r>
  <r>
    <n v="742"/>
    <d v="2025-03-28T00:00:00"/>
    <x v="0"/>
    <n v="9518649438"/>
    <n v="2"/>
    <s v="9518649438-2"/>
    <s v="May'25"/>
    <x v="0"/>
    <s v="Yes"/>
    <x v="1"/>
    <x v="1"/>
    <x v="0"/>
    <m/>
    <x v="1"/>
    <m/>
    <m/>
    <m/>
    <s v="South"/>
    <s v="CHENNAI"/>
    <x v="2"/>
    <x v="13"/>
    <x v="13"/>
    <x v="95"/>
    <s v="CRCA COIL-TATXXD-AU03-1.2X1250"/>
    <s v=" "/>
    <s v=""/>
    <n v="6"/>
    <n v="18"/>
    <m/>
    <x v="1"/>
    <x v="2"/>
    <s v="AU03"/>
    <x v="19"/>
    <x v="0"/>
    <x v="0"/>
    <n v="29"/>
    <n v="0"/>
    <n v="29"/>
    <n v="29"/>
    <n v="29"/>
    <n v="29"/>
    <n v="0"/>
    <n v="0"/>
    <n v="0"/>
    <n v="0"/>
    <n v="0"/>
    <n v="0"/>
    <n v="0"/>
    <n v="0"/>
    <n v="0"/>
    <n v="0"/>
    <n v="0"/>
    <n v="0"/>
    <n v="0"/>
    <n v="0"/>
    <n v="0"/>
    <n v="0"/>
    <n v="0"/>
    <n v="0"/>
    <n v="0"/>
    <n v="0"/>
    <n v="0"/>
    <n v="0"/>
    <n v="0"/>
    <m/>
    <n v="0"/>
    <n v="29"/>
    <n v="0"/>
    <n v="0"/>
    <n v="0"/>
    <n v="29"/>
    <n v="0"/>
    <n v="29"/>
    <n v="0"/>
    <n v="0"/>
    <n v="0"/>
    <n v="0"/>
    <n v="29"/>
    <n v="0"/>
    <m/>
    <m/>
    <m/>
    <m/>
    <m/>
    <m/>
    <m/>
    <m/>
    <m/>
    <m/>
    <m/>
    <m/>
    <m/>
    <m/>
    <m/>
    <m/>
    <m/>
    <m/>
    <m/>
    <m/>
    <m/>
    <m/>
    <m/>
    <m/>
    <m/>
    <m/>
    <m/>
    <m/>
    <m/>
    <m/>
    <m/>
    <m/>
    <m/>
    <m/>
  </r>
  <r>
    <n v="742"/>
    <d v="2025-04-03T00:00:00"/>
    <x v="0"/>
    <n v="9518666879"/>
    <n v="1"/>
    <s v="9518666879-1"/>
    <s v="May'25"/>
    <x v="0"/>
    <m/>
    <x v="0"/>
    <x v="0"/>
    <x v="0"/>
    <n v="3600"/>
    <x v="1"/>
    <m/>
    <m/>
    <m/>
    <s v="South"/>
    <s v="CHENNAI"/>
    <x v="2"/>
    <x v="96"/>
    <x v="95"/>
    <x v="88"/>
    <s v="HR COILS-PO IS 1079 HR2 4X1250"/>
    <s v=" "/>
    <s v=""/>
    <n v="18"/>
    <n v="27"/>
    <m/>
    <x v="0"/>
    <x v="0"/>
    <s v="HR99"/>
    <x v="31"/>
    <x v="0"/>
    <x v="0"/>
    <n v="25"/>
    <n v="0"/>
    <n v="25"/>
    <n v="25"/>
    <n v="25"/>
    <n v="25"/>
    <n v="0"/>
    <n v="0"/>
    <n v="0"/>
    <n v="0"/>
    <n v="0"/>
    <n v="0"/>
    <n v="0"/>
    <n v="0"/>
    <n v="0"/>
    <n v="0"/>
    <n v="0"/>
    <n v="0"/>
    <n v="0"/>
    <n v="0"/>
    <n v="0"/>
    <n v="0"/>
    <n v="0"/>
    <n v="0"/>
    <n v="0"/>
    <n v="0"/>
    <n v="0"/>
    <n v="0"/>
    <n v="0"/>
    <m/>
    <n v="0"/>
    <n v="25"/>
    <n v="0"/>
    <n v="0"/>
    <n v="0"/>
    <n v="25"/>
    <n v="0"/>
    <n v="25"/>
    <n v="0"/>
    <n v="0"/>
    <n v="0"/>
    <n v="25"/>
    <n v="0"/>
    <n v="0"/>
    <m/>
    <m/>
    <m/>
    <m/>
    <m/>
    <m/>
    <m/>
    <m/>
    <m/>
    <m/>
    <m/>
    <m/>
    <m/>
    <m/>
    <m/>
    <m/>
    <m/>
    <m/>
    <m/>
    <m/>
    <m/>
    <m/>
    <m/>
    <m/>
    <m/>
    <m/>
    <m/>
    <m/>
    <m/>
    <m/>
    <m/>
    <m/>
    <m/>
    <m/>
  </r>
  <r>
    <n v="742"/>
    <d v="2025-02-05T00:00:00"/>
    <x v="0"/>
    <n v="9518495920"/>
    <n v="4"/>
    <s v="9518495920-4"/>
    <s v="May'25"/>
    <x v="0"/>
    <s v="Yes"/>
    <x v="1"/>
    <x v="2"/>
    <x v="0"/>
    <m/>
    <x v="1"/>
    <m/>
    <m/>
    <m/>
    <s v="North"/>
    <s v="VARANASI"/>
    <x v="2"/>
    <x v="2"/>
    <x v="2"/>
    <x v="272"/>
    <s v="CRCA SHEET TSBCRC SR15 1.500X1250X2500"/>
    <s v=" "/>
    <s v=""/>
    <n v="0"/>
    <n v="0"/>
    <m/>
    <x v="2"/>
    <x v="4"/>
    <s v="SR15"/>
    <x v="27"/>
    <x v="0"/>
    <x v="3"/>
    <n v="27"/>
    <n v="0"/>
    <n v="27"/>
    <n v="27"/>
    <n v="27"/>
    <n v="27"/>
    <n v="0"/>
    <n v="0"/>
    <n v="0"/>
    <n v="0"/>
    <n v="0"/>
    <n v="0"/>
    <n v="0"/>
    <n v="0"/>
    <n v="0"/>
    <n v="0"/>
    <n v="0"/>
    <n v="0"/>
    <n v="0"/>
    <n v="0"/>
    <n v="0"/>
    <n v="0"/>
    <n v="0"/>
    <n v="0"/>
    <n v="0"/>
    <n v="0"/>
    <n v="0"/>
    <n v="0"/>
    <n v="0"/>
    <m/>
    <n v="0"/>
    <n v="27"/>
    <n v="0"/>
    <n v="0"/>
    <n v="0"/>
    <n v="27"/>
    <n v="0"/>
    <n v="27"/>
    <n v="0"/>
    <n v="0"/>
    <n v="0"/>
    <n v="27"/>
    <n v="0"/>
    <n v="0"/>
    <m/>
    <m/>
    <m/>
    <m/>
    <m/>
    <m/>
    <m/>
    <m/>
    <m/>
    <m/>
    <m/>
    <m/>
    <m/>
    <m/>
    <m/>
    <m/>
    <m/>
    <m/>
    <m/>
    <m/>
    <m/>
    <m/>
    <m/>
    <m/>
    <m/>
    <m/>
    <m/>
    <m/>
    <m/>
    <m/>
    <m/>
    <m/>
    <m/>
    <m/>
  </r>
  <r>
    <n v="742"/>
    <d v="2025-04-02T00:00:00"/>
    <x v="0"/>
    <n v="9518664956"/>
    <n v="1"/>
    <s v="9518664956-1"/>
    <s v="May'25"/>
    <x v="0"/>
    <s v="Yes"/>
    <x v="1"/>
    <x v="1"/>
    <x v="0"/>
    <m/>
    <x v="1"/>
    <m/>
    <m/>
    <m/>
    <s v="South"/>
    <s v="CHENNAI"/>
    <x v="2"/>
    <x v="96"/>
    <x v="95"/>
    <x v="292"/>
    <s v="CRCA COIL TATXXD AU03 0.8X1250"/>
    <s v=" "/>
    <s v=""/>
    <n v="6"/>
    <n v="18"/>
    <m/>
    <x v="1"/>
    <x v="2"/>
    <s v="AU03"/>
    <x v="5"/>
    <x v="0"/>
    <x v="0"/>
    <n v="29"/>
    <n v="0"/>
    <n v="29"/>
    <n v="29"/>
    <n v="1.5700000000000003"/>
    <n v="29"/>
    <n v="0"/>
    <n v="0"/>
    <n v="0"/>
    <n v="0"/>
    <n v="0"/>
    <n v="0"/>
    <n v="0"/>
    <n v="0"/>
    <n v="0"/>
    <n v="0"/>
    <n v="0"/>
    <n v="0"/>
    <n v="0"/>
    <n v="27.43"/>
    <n v="0"/>
    <n v="0"/>
    <n v="0"/>
    <n v="0"/>
    <n v="0"/>
    <n v="27.43"/>
    <n v="27.43"/>
    <n v="0"/>
    <n v="27.43"/>
    <m/>
    <n v="0"/>
    <n v="29"/>
    <n v="0"/>
    <n v="29"/>
    <n v="0"/>
    <n v="0"/>
    <n v="0"/>
    <n v="29"/>
    <n v="0"/>
    <n v="0"/>
    <n v="29"/>
    <n v="0"/>
    <n v="0"/>
    <n v="0"/>
    <m/>
    <m/>
    <m/>
    <m/>
    <m/>
    <m/>
    <m/>
    <m/>
    <m/>
    <m/>
    <m/>
    <m/>
    <m/>
    <m/>
    <m/>
    <m/>
    <m/>
    <m/>
    <m/>
    <m/>
    <m/>
    <m/>
    <m/>
    <m/>
    <m/>
    <m/>
    <m/>
    <m/>
    <m/>
    <m/>
    <m/>
    <m/>
    <m/>
    <m/>
  </r>
  <r>
    <n v="742"/>
    <d v="2025-04-02T00:00:00"/>
    <x v="0"/>
    <n v="9518664956"/>
    <n v="3"/>
    <s v="9518664956-3"/>
    <s v="No Priority"/>
    <x v="0"/>
    <s v="Yes"/>
    <x v="1"/>
    <x v="1"/>
    <x v="0"/>
    <m/>
    <x v="0"/>
    <m/>
    <s v="De-prioritized due to Apr CF orders"/>
    <m/>
    <s v="South"/>
    <s v="CHENNAI"/>
    <x v="2"/>
    <x v="96"/>
    <x v="95"/>
    <x v="95"/>
    <s v="CRCA COIL-TATXXD-AU03-1.2X1250"/>
    <s v=" "/>
    <s v=""/>
    <n v="6"/>
    <n v="18"/>
    <m/>
    <x v="1"/>
    <x v="2"/>
    <s v="AU03"/>
    <x v="19"/>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3"/>
    <d v="2025-03-25T00:00:00"/>
    <x v="0"/>
    <n v="9518633224"/>
    <n v="1"/>
    <s v="9518633224-1"/>
    <s v="May'25"/>
    <x v="0"/>
    <m/>
    <x v="4"/>
    <x v="5"/>
    <x v="2"/>
    <m/>
    <x v="1"/>
    <m/>
    <m/>
    <m/>
    <s v="West"/>
    <s v="VADODARA"/>
    <x v="2"/>
    <x v="17"/>
    <x v="18"/>
    <x v="193"/>
    <s v="GL COIL HARD  Y550GL HGL6 0.800X1250"/>
    <s v="AZ150"/>
    <s v=""/>
    <n v="8"/>
    <n v="18"/>
    <m/>
    <x v="5"/>
    <x v="7"/>
    <s v="HGL6"/>
    <x v="5"/>
    <x v="0"/>
    <x v="0"/>
    <n v="261"/>
    <n v="240.84"/>
    <n v="20.16"/>
    <n v="6.73"/>
    <n v="20.16"/>
    <n v="20.16"/>
    <n v="0"/>
    <n v="0"/>
    <n v="0"/>
    <n v="0"/>
    <n v="0"/>
    <n v="0"/>
    <n v="0"/>
    <n v="0"/>
    <n v="0"/>
    <n v="0"/>
    <n v="0"/>
    <n v="0"/>
    <n v="0"/>
    <n v="0"/>
    <n v="0"/>
    <n v="0"/>
    <n v="0"/>
    <n v="0"/>
    <n v="0"/>
    <n v="0"/>
    <n v="0"/>
    <n v="0"/>
    <n v="0"/>
    <m/>
    <n v="0"/>
    <n v="20.16"/>
    <n v="0"/>
    <n v="0"/>
    <n v="0"/>
    <n v="0"/>
    <n v="20.16"/>
    <n v="20.16"/>
    <n v="0"/>
    <n v="0"/>
    <n v="0"/>
    <n v="0"/>
    <n v="20.16"/>
    <n v="0"/>
    <m/>
    <m/>
    <m/>
    <m/>
    <m/>
    <m/>
    <m/>
    <m/>
    <m/>
    <m/>
    <m/>
    <m/>
    <m/>
    <m/>
    <m/>
    <m/>
    <m/>
    <m/>
    <m/>
    <m/>
    <m/>
    <m/>
    <m/>
    <m/>
    <m/>
    <m/>
    <m/>
    <m/>
    <m/>
    <m/>
    <m/>
    <m/>
    <m/>
    <m/>
  </r>
  <r>
    <n v="743"/>
    <d v="2025-03-25T00:00:00"/>
    <x v="0"/>
    <n v="9518633224"/>
    <n v="2"/>
    <s v="9518633224-2"/>
    <s v="May'25"/>
    <x v="0"/>
    <s v="Yes"/>
    <x v="4"/>
    <x v="5"/>
    <x v="2"/>
    <m/>
    <x v="1"/>
    <m/>
    <m/>
    <m/>
    <s v="West"/>
    <s v="VADODARA"/>
    <x v="2"/>
    <x v="17"/>
    <x v="18"/>
    <x v="193"/>
    <s v="GL COIL HARD  Y550GL HGL6 0.800X1250"/>
    <s v="AZ150"/>
    <s v=""/>
    <n v="8"/>
    <n v="18"/>
    <m/>
    <x v="5"/>
    <x v="7"/>
    <s v="HGL6"/>
    <x v="5"/>
    <x v="0"/>
    <x v="0"/>
    <n v="261"/>
    <n v="0"/>
    <n v="261"/>
    <n v="261"/>
    <n v="261"/>
    <n v="261"/>
    <n v="0"/>
    <n v="0"/>
    <n v="0"/>
    <n v="0"/>
    <n v="0"/>
    <n v="0"/>
    <n v="0"/>
    <n v="0"/>
    <n v="0"/>
    <n v="0"/>
    <n v="0"/>
    <n v="0"/>
    <n v="0"/>
    <n v="0"/>
    <n v="0"/>
    <n v="0"/>
    <n v="0"/>
    <n v="0"/>
    <n v="0"/>
    <n v="0"/>
    <n v="0"/>
    <n v="0"/>
    <n v="0"/>
    <m/>
    <n v="0"/>
    <n v="261"/>
    <n v="0"/>
    <n v="0"/>
    <n v="0"/>
    <n v="0"/>
    <n v="261"/>
    <n v="261"/>
    <n v="0"/>
    <n v="0"/>
    <n v="0"/>
    <n v="0"/>
    <n v="261"/>
    <n v="0"/>
    <m/>
    <m/>
    <m/>
    <m/>
    <m/>
    <m/>
    <m/>
    <m/>
    <m/>
    <m/>
    <m/>
    <m/>
    <m/>
    <m/>
    <m/>
    <m/>
    <m/>
    <m/>
    <m/>
    <m/>
    <m/>
    <m/>
    <m/>
    <m/>
    <m/>
    <m/>
    <m/>
    <m/>
    <m/>
    <m/>
    <m/>
    <m/>
    <m/>
    <m/>
  </r>
  <r>
    <n v="742"/>
    <d v="2025-03-31T00:00:00"/>
    <x v="0"/>
    <n v="9518660656"/>
    <n v="6"/>
    <s v="9518660656-6"/>
    <s v="No Priority"/>
    <x v="0"/>
    <s v="Yes"/>
    <x v="1"/>
    <x v="2"/>
    <x v="0"/>
    <m/>
    <x v="0"/>
    <m/>
    <m/>
    <m/>
    <s v="East"/>
    <s v="HOWRAH"/>
    <x v="2"/>
    <x v="11"/>
    <x v="11"/>
    <x v="204"/>
    <s v="CRCA SHEET TSBCRC SR15 0.500X1120X2000"/>
    <s v=" "/>
    <s v=""/>
    <n v="0"/>
    <n v="0"/>
    <m/>
    <x v="2"/>
    <x v="4"/>
    <s v="SR15"/>
    <x v="1"/>
    <x v="21"/>
    <x v="1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16T00:00:00"/>
    <x v="0"/>
    <n v="9518604267"/>
    <n v="2"/>
    <s v="9518604267-2"/>
    <s v="May'25"/>
    <x v="0"/>
    <s v="Yes"/>
    <x v="5"/>
    <x v="10"/>
    <x v="2"/>
    <m/>
    <x v="1"/>
    <m/>
    <m/>
    <m/>
    <s v="West"/>
    <s v="VILLAGE-PRAGPAR"/>
    <x v="2"/>
    <x v="67"/>
    <x v="105"/>
    <x v="162"/>
    <s v="CR COIL TATFHC TR10 0.360X1320"/>
    <s v=" "/>
    <s v=""/>
    <n v="10"/>
    <n v="22"/>
    <m/>
    <x v="6"/>
    <x v="12"/>
    <s v="TR10"/>
    <x v="47"/>
    <x v="9"/>
    <x v="0"/>
    <n v="300"/>
    <n v="0"/>
    <n v="300"/>
    <n v="300"/>
    <n v="243.38499999999999"/>
    <n v="285.89"/>
    <n v="0"/>
    <n v="0"/>
    <n v="29.7"/>
    <n v="0"/>
    <n v="0"/>
    <n v="0"/>
    <n v="0"/>
    <n v="0"/>
    <n v="0"/>
    <n v="0"/>
    <n v="0"/>
    <n v="0"/>
    <n v="0"/>
    <n v="0"/>
    <n v="0"/>
    <n v="26.915000000000003"/>
    <n v="0"/>
    <n v="0"/>
    <n v="0"/>
    <n v="56.615000000000002"/>
    <n v="56.615000000000002"/>
    <n v="0"/>
    <n v="56.615000000000002"/>
    <m/>
    <n v="14.11"/>
    <n v="285.89"/>
    <n v="0"/>
    <n v="0"/>
    <n v="285.89"/>
    <n v="0"/>
    <n v="0"/>
    <n v="300"/>
    <n v="0"/>
    <n v="0"/>
    <n v="0"/>
    <n v="300"/>
    <n v="0"/>
    <n v="0"/>
    <m/>
    <m/>
    <m/>
    <m/>
    <m/>
    <m/>
    <m/>
    <m/>
    <m/>
    <m/>
    <m/>
    <m/>
    <m/>
    <m/>
    <m/>
    <m/>
    <m/>
    <m/>
    <m/>
    <m/>
    <m/>
    <m/>
    <m/>
    <m/>
    <m/>
    <m/>
    <m/>
    <m/>
    <m/>
    <m/>
    <m/>
    <m/>
    <m/>
    <m/>
  </r>
  <r>
    <n v="743"/>
    <d v="2025-03-19T00:00:00"/>
    <x v="0"/>
    <n v="9518613051"/>
    <n v="2"/>
    <s v="9518613051-2"/>
    <s v="No Priority"/>
    <x v="0"/>
    <m/>
    <x v="4"/>
    <x v="5"/>
    <x v="2"/>
    <m/>
    <x v="0"/>
    <m/>
    <s v="Centre slit HR not available"/>
    <m/>
    <s v="South"/>
    <s v="VIKARABAD"/>
    <x v="2"/>
    <x v="68"/>
    <x v="65"/>
    <x v="352"/>
    <s v="GL COIL HARD  Y550GL HGL6 0.900X1045"/>
    <s v="AZ150"/>
    <s v=""/>
    <n v="7"/>
    <n v="15"/>
    <m/>
    <x v="5"/>
    <x v="7"/>
    <s v="HGL6"/>
    <x v="13"/>
    <x v="29"/>
    <x v="0"/>
    <n v="192"/>
    <n v="130.58000000000001"/>
    <n v="61.42"/>
    <n v="61.42"/>
    <n v="61.42"/>
    <n v="61.42"/>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6216"/>
    <n v="1"/>
    <s v="9518666216-1"/>
    <s v="No Priority"/>
    <x v="0"/>
    <m/>
    <x v="1"/>
    <x v="2"/>
    <x v="0"/>
    <m/>
    <x v="0"/>
    <m/>
    <m/>
    <m/>
    <s v="East"/>
    <s v="HOWRAH"/>
    <x v="2"/>
    <x v="11"/>
    <x v="11"/>
    <x v="176"/>
    <s v="CRCA SHEET TATCRC SR16 0.450X900X2500"/>
    <s v=" "/>
    <s v=""/>
    <n v="0"/>
    <n v="0"/>
    <m/>
    <x v="2"/>
    <x v="1"/>
    <s v="SR16"/>
    <x v="10"/>
    <x v="3"/>
    <x v="3"/>
    <n v="27"/>
    <n v="0"/>
    <n v="27"/>
    <n v="-15.36"/>
    <n v="0"/>
    <n v="7.55"/>
    <n v="0"/>
    <n v="0"/>
    <n v="0"/>
    <n v="0"/>
    <n v="0"/>
    <n v="0"/>
    <n v="0"/>
    <n v="0"/>
    <n v="20.149999999999999"/>
    <n v="0"/>
    <n v="0"/>
    <n v="0"/>
    <n v="0"/>
    <n v="0"/>
    <n v="0"/>
    <n v="0"/>
    <n v="0"/>
    <n v="0"/>
    <n v="0"/>
    <n v="20.149999999999999"/>
    <n v="20.149999999999999"/>
    <n v="0"/>
    <n v="20.149999999999999"/>
    <m/>
    <n v="0"/>
    <n v="0"/>
    <n v="0"/>
    <n v="0"/>
    <n v="0"/>
    <n v="0"/>
    <n v="0"/>
    <n v="0"/>
    <n v="0"/>
    <n v="0"/>
    <n v="0"/>
    <n v="0"/>
    <n v="0"/>
    <n v="0"/>
    <m/>
    <m/>
    <m/>
    <m/>
    <m/>
    <m/>
    <m/>
    <m/>
    <m/>
    <m/>
    <m/>
    <m/>
    <m/>
    <m/>
    <m/>
    <m/>
    <m/>
    <m/>
    <m/>
    <m/>
    <m/>
    <m/>
    <m/>
    <m/>
    <m/>
    <m/>
    <m/>
    <m/>
    <m/>
    <m/>
    <m/>
    <m/>
    <m/>
    <m/>
  </r>
  <r>
    <n v="742"/>
    <d v="2025-04-03T00:00:00"/>
    <x v="0"/>
    <n v="9518666216"/>
    <n v="2"/>
    <s v="9518666216-2"/>
    <s v="May'25"/>
    <x v="0"/>
    <s v="Yes"/>
    <x v="1"/>
    <x v="2"/>
    <x v="0"/>
    <m/>
    <x v="1"/>
    <m/>
    <m/>
    <m/>
    <s v="East"/>
    <s v="HOWRAH"/>
    <x v="2"/>
    <x v="11"/>
    <x v="11"/>
    <x v="17"/>
    <s v="CRCA SHEET TATCRC SR16 0.450X1000X2500"/>
    <s v=" "/>
    <s v=""/>
    <n v="0"/>
    <n v="0"/>
    <m/>
    <x v="2"/>
    <x v="1"/>
    <s v="SR16"/>
    <x v="10"/>
    <x v="2"/>
    <x v="3"/>
    <n v="27"/>
    <n v="0"/>
    <n v="27"/>
    <n v="27"/>
    <n v="27"/>
    <n v="27"/>
    <n v="0"/>
    <n v="0"/>
    <n v="0"/>
    <n v="0"/>
    <n v="0"/>
    <n v="0"/>
    <n v="0"/>
    <n v="0"/>
    <n v="0"/>
    <n v="0"/>
    <n v="0"/>
    <n v="0"/>
    <n v="0"/>
    <n v="0"/>
    <n v="0"/>
    <n v="0"/>
    <n v="0"/>
    <n v="0"/>
    <n v="0"/>
    <n v="0"/>
    <n v="0"/>
    <n v="0"/>
    <n v="0"/>
    <m/>
    <n v="0"/>
    <n v="27"/>
    <n v="0"/>
    <n v="0"/>
    <n v="0"/>
    <n v="27"/>
    <n v="0"/>
    <n v="27"/>
    <n v="0"/>
    <n v="0"/>
    <n v="0"/>
    <n v="27"/>
    <n v="0"/>
    <n v="0"/>
    <m/>
    <m/>
    <m/>
    <m/>
    <m/>
    <m/>
    <m/>
    <m/>
    <m/>
    <m/>
    <m/>
    <m/>
    <m/>
    <m/>
    <m/>
    <m/>
    <m/>
    <m/>
    <m/>
    <m/>
    <m/>
    <m/>
    <m/>
    <m/>
    <m/>
    <m/>
    <m/>
    <m/>
    <m/>
    <m/>
    <m/>
    <m/>
    <m/>
    <m/>
  </r>
  <r>
    <n v="742"/>
    <d v="2025-04-02T00:00:00"/>
    <x v="0"/>
    <n v="9518664276"/>
    <n v="2"/>
    <s v="9518664276-2"/>
    <s v="No Priority"/>
    <x v="0"/>
    <s v="Yes"/>
    <x v="1"/>
    <x v="1"/>
    <x v="0"/>
    <m/>
    <x v="0"/>
    <m/>
    <m/>
    <m/>
    <s v="South"/>
    <s v="CHENNAI"/>
    <x v="2"/>
    <x v="96"/>
    <x v="95"/>
    <x v="95"/>
    <s v="CRCA COIL-TATXXD-AU03-1.2X1250"/>
    <s v=" "/>
    <s v=""/>
    <n v="6"/>
    <n v="18"/>
    <m/>
    <x v="1"/>
    <x v="2"/>
    <s v="AU03"/>
    <x v="19"/>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31T00:00:00"/>
    <x v="2"/>
    <n v="9518660606"/>
    <n v="1"/>
    <s v="9518660606-1"/>
    <s v="Stocks"/>
    <x v="0"/>
    <m/>
    <x v="0"/>
    <x v="15"/>
    <x v="5"/>
    <m/>
    <x v="1"/>
    <m/>
    <m/>
    <m/>
    <s v="South"/>
    <s v="YESHWANTHPURA"/>
    <x v="2"/>
    <x v="76"/>
    <x v="0"/>
    <x v="353"/>
    <s v="HR COILS-PO IS 1079-HR2 3X1250"/>
    <s v=" "/>
    <s v=""/>
    <n v="17"/>
    <n v="27.5"/>
    <m/>
    <x v="0"/>
    <x v="20"/>
    <s v="HA58"/>
    <x v="0"/>
    <x v="0"/>
    <x v="0"/>
    <n v="50"/>
    <n v="0"/>
    <n v="50"/>
    <n v="50"/>
    <n v="0"/>
    <n v="0"/>
    <n v="0"/>
    <n v="0"/>
    <n v="0"/>
    <n v="0"/>
    <n v="0"/>
    <n v="0"/>
    <n v="0"/>
    <n v="0"/>
    <n v="0"/>
    <n v="0"/>
    <n v="0"/>
    <n v="0"/>
    <n v="0"/>
    <n v="0"/>
    <n v="0"/>
    <n v="0"/>
    <n v="0"/>
    <n v="0"/>
    <n v="0"/>
    <n v="0"/>
    <n v="0"/>
    <n v="50"/>
    <n v="50"/>
    <m/>
    <n v="24.07"/>
    <n v="0"/>
    <n v="0"/>
    <n v="0"/>
    <n v="0"/>
    <n v="0"/>
    <n v="0"/>
    <n v="24.07"/>
    <n v="24.07"/>
    <n v="0"/>
    <n v="0"/>
    <n v="0"/>
    <n v="0"/>
    <n v="0"/>
    <m/>
    <m/>
    <m/>
    <m/>
    <m/>
    <m/>
    <m/>
    <m/>
    <m/>
    <m/>
    <m/>
    <m/>
    <m/>
    <m/>
    <m/>
    <m/>
    <m/>
    <m/>
    <m/>
    <m/>
    <m/>
    <m/>
    <m/>
    <m/>
    <m/>
    <m/>
    <m/>
    <m/>
    <m/>
    <m/>
    <m/>
    <m/>
    <m/>
    <m/>
  </r>
  <r>
    <n v="742"/>
    <d v="2025-03-31T00:00:00"/>
    <x v="2"/>
    <n v="9518660606"/>
    <n v="2"/>
    <s v="9518660606-2"/>
    <s v="Stocks"/>
    <x v="0"/>
    <m/>
    <x v="0"/>
    <x v="15"/>
    <x v="5"/>
    <m/>
    <x v="1"/>
    <m/>
    <m/>
    <m/>
    <s v="South"/>
    <s v="YESHWANTHPURA"/>
    <x v="2"/>
    <x v="76"/>
    <x v="0"/>
    <x v="354"/>
    <s v="HR COILS-PO IS 1079-HR2 3.20X1250"/>
    <s v=" "/>
    <s v=""/>
    <n v="17"/>
    <n v="27.5"/>
    <m/>
    <x v="0"/>
    <x v="20"/>
    <s v="HA58"/>
    <x v="66"/>
    <x v="0"/>
    <x v="0"/>
    <n v="50"/>
    <n v="0"/>
    <n v="50"/>
    <n v="50"/>
    <n v="0"/>
    <n v="0"/>
    <n v="0"/>
    <n v="0"/>
    <n v="0"/>
    <n v="0"/>
    <n v="0"/>
    <n v="0"/>
    <n v="0"/>
    <n v="0"/>
    <n v="0"/>
    <n v="0"/>
    <n v="0"/>
    <n v="0"/>
    <n v="0"/>
    <n v="0"/>
    <n v="0"/>
    <n v="0"/>
    <n v="0"/>
    <n v="0"/>
    <n v="0"/>
    <n v="0"/>
    <n v="0"/>
    <n v="50"/>
    <n v="50"/>
    <m/>
    <n v="48.674999999999997"/>
    <n v="0"/>
    <n v="0"/>
    <n v="0"/>
    <n v="0"/>
    <n v="0"/>
    <n v="0"/>
    <n v="48.674999999999997"/>
    <n v="48.674999999999997"/>
    <n v="0"/>
    <n v="0"/>
    <n v="0"/>
    <n v="0"/>
    <n v="0"/>
    <m/>
    <m/>
    <m/>
    <m/>
    <m/>
    <m/>
    <m/>
    <m/>
    <m/>
    <m/>
    <m/>
    <m/>
    <m/>
    <m/>
    <m/>
    <m/>
    <m/>
    <m/>
    <m/>
    <m/>
    <m/>
    <m/>
    <m/>
    <m/>
    <m/>
    <m/>
    <m/>
    <m/>
    <m/>
    <m/>
    <m/>
    <m/>
    <m/>
    <m/>
  </r>
  <r>
    <n v="742"/>
    <d v="2025-03-31T00:00:00"/>
    <x v="2"/>
    <n v="9518660606"/>
    <n v="3"/>
    <s v="9518660606-3"/>
    <s v="No Priority"/>
    <x v="0"/>
    <m/>
    <x v="0"/>
    <x v="15"/>
    <x v="5"/>
    <m/>
    <x v="0"/>
    <m/>
    <m/>
    <m/>
    <s v="South"/>
    <s v="YESHWANTHPURA"/>
    <x v="2"/>
    <x v="76"/>
    <x v="0"/>
    <x v="355"/>
    <s v="HR COILS-PO IS 1079-HR2 4X1250"/>
    <s v=" "/>
    <s v=""/>
    <n v="17"/>
    <n v="27.5"/>
    <m/>
    <x v="0"/>
    <x v="20"/>
    <s v="HA58"/>
    <x v="31"/>
    <x v="0"/>
    <x v="0"/>
    <n v="50"/>
    <n v="0"/>
    <n v="50"/>
    <n v="50"/>
    <n v="0"/>
    <n v="0"/>
    <n v="0"/>
    <n v="0"/>
    <n v="0"/>
    <n v="0"/>
    <n v="0"/>
    <n v="0"/>
    <n v="0"/>
    <n v="0"/>
    <n v="0"/>
    <n v="0"/>
    <n v="0"/>
    <n v="0"/>
    <n v="0"/>
    <n v="0"/>
    <n v="0"/>
    <n v="0"/>
    <n v="0"/>
    <n v="0"/>
    <n v="0"/>
    <n v="0"/>
    <n v="0"/>
    <n v="50"/>
    <n v="50"/>
    <m/>
    <n v="0"/>
    <n v="0"/>
    <n v="0"/>
    <n v="0"/>
    <n v="0"/>
    <n v="0"/>
    <n v="0"/>
    <n v="0"/>
    <n v="0"/>
    <n v="0"/>
    <n v="0"/>
    <n v="0"/>
    <n v="0"/>
    <n v="0"/>
    <m/>
    <m/>
    <m/>
    <m/>
    <m/>
    <m/>
    <m/>
    <m/>
    <m/>
    <m/>
    <m/>
    <m/>
    <m/>
    <m/>
    <m/>
    <m/>
    <m/>
    <m/>
    <m/>
    <m/>
    <m/>
    <m/>
    <m/>
    <m/>
    <m/>
    <m/>
    <m/>
    <m/>
    <m/>
    <m/>
    <m/>
    <m/>
    <m/>
    <m/>
  </r>
  <r>
    <n v="742"/>
    <d v="2025-03-31T00:00:00"/>
    <x v="2"/>
    <n v="9518660606"/>
    <n v="4"/>
    <s v="9518660606-4"/>
    <s v="No Priority"/>
    <x v="0"/>
    <m/>
    <x v="0"/>
    <x v="15"/>
    <x v="5"/>
    <m/>
    <x v="0"/>
    <m/>
    <m/>
    <m/>
    <s v="South"/>
    <s v="YESHWANTHPURA"/>
    <x v="2"/>
    <x v="76"/>
    <x v="0"/>
    <x v="356"/>
    <s v="HR COILS-PO IS 1079-HR2 5X1250"/>
    <s v=" "/>
    <s v=""/>
    <n v="17"/>
    <n v="27.5"/>
    <m/>
    <x v="0"/>
    <x v="20"/>
    <s v="HA58"/>
    <x v="67"/>
    <x v="0"/>
    <x v="0"/>
    <n v="50"/>
    <n v="0"/>
    <n v="50"/>
    <n v="50"/>
    <n v="0"/>
    <n v="0"/>
    <n v="0"/>
    <n v="0"/>
    <n v="0"/>
    <n v="0"/>
    <n v="0"/>
    <n v="0"/>
    <n v="0"/>
    <n v="0"/>
    <n v="0"/>
    <n v="0"/>
    <n v="0"/>
    <n v="0"/>
    <n v="0"/>
    <n v="0"/>
    <n v="0"/>
    <n v="0"/>
    <n v="0"/>
    <n v="0"/>
    <n v="0"/>
    <n v="0"/>
    <n v="0"/>
    <n v="50"/>
    <n v="50"/>
    <m/>
    <n v="0"/>
    <n v="0"/>
    <n v="0"/>
    <n v="0"/>
    <n v="0"/>
    <n v="0"/>
    <n v="0"/>
    <n v="0"/>
    <n v="0"/>
    <n v="0"/>
    <n v="0"/>
    <n v="0"/>
    <n v="0"/>
    <n v="0"/>
    <m/>
    <m/>
    <m/>
    <m/>
    <m/>
    <m/>
    <m/>
    <m/>
    <m/>
    <m/>
    <m/>
    <m/>
    <m/>
    <m/>
    <m/>
    <m/>
    <m/>
    <m/>
    <m/>
    <m/>
    <m/>
    <m/>
    <m/>
    <m/>
    <m/>
    <m/>
    <m/>
    <m/>
    <m/>
    <m/>
    <m/>
    <m/>
    <m/>
    <m/>
  </r>
  <r>
    <n v="742"/>
    <d v="2025-03-31T00:00:00"/>
    <x v="2"/>
    <n v="9518660606"/>
    <n v="5"/>
    <s v="9518660606-5"/>
    <s v="No Priority"/>
    <x v="0"/>
    <m/>
    <x v="0"/>
    <x v="15"/>
    <x v="5"/>
    <m/>
    <x v="0"/>
    <m/>
    <m/>
    <m/>
    <s v="South"/>
    <s v="YESHWANTHPURA"/>
    <x v="2"/>
    <x v="76"/>
    <x v="0"/>
    <x v="357"/>
    <s v="HR COILS-PO IS 1079-HR2 6X1250"/>
    <s v=" "/>
    <s v=""/>
    <n v="17"/>
    <n v="27.5"/>
    <m/>
    <x v="0"/>
    <x v="20"/>
    <s v="HA58"/>
    <x v="68"/>
    <x v="0"/>
    <x v="0"/>
    <n v="50"/>
    <n v="0"/>
    <n v="50"/>
    <n v="50"/>
    <n v="0"/>
    <n v="0"/>
    <n v="0"/>
    <n v="0"/>
    <n v="0"/>
    <n v="0"/>
    <n v="0"/>
    <n v="0"/>
    <n v="0"/>
    <n v="0"/>
    <n v="0"/>
    <n v="0"/>
    <n v="0"/>
    <n v="0"/>
    <n v="0"/>
    <n v="0"/>
    <n v="0"/>
    <n v="0"/>
    <n v="0"/>
    <n v="0"/>
    <n v="0"/>
    <n v="0"/>
    <n v="0"/>
    <n v="50"/>
    <n v="50"/>
    <m/>
    <n v="0"/>
    <n v="0"/>
    <n v="0"/>
    <n v="0"/>
    <n v="0"/>
    <n v="0"/>
    <n v="0"/>
    <n v="0"/>
    <n v="0"/>
    <n v="0"/>
    <n v="0"/>
    <n v="0"/>
    <n v="0"/>
    <n v="0"/>
    <m/>
    <m/>
    <m/>
    <m/>
    <m/>
    <m/>
    <m/>
    <m/>
    <m/>
    <m/>
    <m/>
    <m/>
    <m/>
    <m/>
    <m/>
    <m/>
    <m/>
    <m/>
    <m/>
    <m/>
    <m/>
    <m/>
    <m/>
    <m/>
    <m/>
    <m/>
    <m/>
    <m/>
    <m/>
    <m/>
    <m/>
    <m/>
    <m/>
    <m/>
  </r>
  <r>
    <n v="742"/>
    <d v="2025-03-24T00:00:00"/>
    <x v="0"/>
    <n v="9518628976"/>
    <n v="4"/>
    <s v="9518628976-4"/>
    <s v="May'25"/>
    <x v="0"/>
    <m/>
    <x v="1"/>
    <x v="1"/>
    <x v="0"/>
    <m/>
    <x v="1"/>
    <m/>
    <m/>
    <m/>
    <s v="South"/>
    <s v="VALPARAI"/>
    <x v="2"/>
    <x v="13"/>
    <x v="13"/>
    <x v="239"/>
    <s v="CRCA SHEET TATXXD AU03 0.80X1250X2500"/>
    <s v=" "/>
    <s v=""/>
    <n v="0"/>
    <n v="0"/>
    <m/>
    <x v="2"/>
    <x v="2"/>
    <s v="AU03"/>
    <x v="5"/>
    <x v="0"/>
    <x v="3"/>
    <n v="60"/>
    <n v="0"/>
    <n v="60"/>
    <n v="60"/>
    <n v="5.5799999999999983"/>
    <n v="60"/>
    <n v="0"/>
    <n v="0"/>
    <n v="0"/>
    <n v="0"/>
    <n v="0"/>
    <n v="0"/>
    <n v="0"/>
    <n v="0"/>
    <n v="0"/>
    <n v="0"/>
    <n v="0"/>
    <n v="0"/>
    <n v="0"/>
    <n v="54.42"/>
    <n v="0"/>
    <n v="0"/>
    <n v="0"/>
    <n v="0"/>
    <n v="0"/>
    <n v="54.42"/>
    <n v="54.42"/>
    <n v="0"/>
    <n v="54.42"/>
    <m/>
    <n v="0"/>
    <n v="60"/>
    <n v="0"/>
    <n v="60"/>
    <n v="0"/>
    <n v="0"/>
    <n v="0"/>
    <n v="60"/>
    <n v="0"/>
    <n v="0"/>
    <n v="60"/>
    <n v="0"/>
    <n v="0"/>
    <n v="0"/>
    <m/>
    <m/>
    <m/>
    <m/>
    <m/>
    <m/>
    <m/>
    <m/>
    <m/>
    <m/>
    <m/>
    <m/>
    <m/>
    <m/>
    <m/>
    <m/>
    <m/>
    <m/>
    <m/>
    <m/>
    <m/>
    <m/>
    <m/>
    <m/>
    <m/>
    <m/>
    <m/>
    <m/>
    <m/>
    <m/>
    <m/>
    <m/>
    <m/>
    <m/>
  </r>
  <r>
    <n v="743"/>
    <d v="2025-02-11T00:00:00"/>
    <x v="0"/>
    <n v="9518509590"/>
    <n v="1"/>
    <s v="9518509590-1"/>
    <s v="No Priority"/>
    <x v="0"/>
    <m/>
    <x v="3"/>
    <x v="9"/>
    <x v="0"/>
    <m/>
    <x v="0"/>
    <m/>
    <m/>
    <m/>
    <s v="North"/>
    <s v="JAIPUR"/>
    <x v="2"/>
    <x v="83"/>
    <x v="80"/>
    <x v="121"/>
    <s v="GP COIL SOFT-TATXGP-GK09-0.5X900"/>
    <s v="Z80"/>
    <s v=""/>
    <n v="5"/>
    <n v="7"/>
    <m/>
    <x v="7"/>
    <x v="5"/>
    <s v="GK09"/>
    <x v="1"/>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4"/>
    <d v="2025-03-12T00:00:00"/>
    <x v="0"/>
    <n v="9518595988"/>
    <n v="1"/>
    <s v="9518595988-1"/>
    <s v="No Priority"/>
    <x v="0"/>
    <s v="Yes"/>
    <x v="2"/>
    <x v="3"/>
    <x v="2"/>
    <m/>
    <x v="0"/>
    <m/>
    <m/>
    <m/>
    <s v="TBSPL"/>
    <s v=" "/>
    <x v="2"/>
    <x v="6"/>
    <x v="6"/>
    <x v="6"/>
    <s v="PPGL C Y550 HPL3 0.42BMT(0.50TPT)X1220"/>
    <s v="AZ150"/>
    <s v="RAL 9006 TSL 203"/>
    <n v="3"/>
    <n v="5"/>
    <m/>
    <x v="3"/>
    <x v="3"/>
    <s v="HPL3"/>
    <x v="3"/>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2"/>
    <d v="2025-03-06T00:00:00"/>
    <x v="0"/>
    <n v="9518578381"/>
    <n v="2"/>
    <s v="9518578381-2"/>
    <s v="May'25"/>
    <x v="0"/>
    <m/>
    <x v="0"/>
    <x v="0"/>
    <x v="0"/>
    <m/>
    <x v="1"/>
    <m/>
    <m/>
    <m/>
    <s v="South"/>
    <s v="PATTANCHERY"/>
    <x v="2"/>
    <x v="82"/>
    <x v="79"/>
    <x v="358"/>
    <s v="HR COILS-POIS 1079 HR2  2.90X1250"/>
    <s v=" "/>
    <s v=""/>
    <n v="13"/>
    <n v="27"/>
    <m/>
    <x v="0"/>
    <x v="0"/>
    <s v="HR99"/>
    <x v="69"/>
    <x v="0"/>
    <x v="0"/>
    <n v="50"/>
    <n v="24.524999999999999"/>
    <n v="25.475000000000001"/>
    <n v="25.475000000000001"/>
    <n v="0"/>
    <n v="25.475000000000001"/>
    <n v="0"/>
    <n v="0"/>
    <n v="0"/>
    <n v="0"/>
    <n v="0"/>
    <n v="0"/>
    <n v="0"/>
    <n v="0"/>
    <n v="0"/>
    <n v="0"/>
    <n v="0"/>
    <n v="0"/>
    <n v="0"/>
    <n v="0"/>
    <n v="0"/>
    <n v="0"/>
    <n v="0"/>
    <n v="0"/>
    <n v="0"/>
    <n v="0"/>
    <n v="0"/>
    <n v="25"/>
    <n v="25"/>
    <m/>
    <n v="0"/>
    <n v="25.475000000000001"/>
    <n v="0"/>
    <n v="0"/>
    <n v="0"/>
    <n v="25.475000000000001"/>
    <n v="0"/>
    <n v="25.475000000000001"/>
    <n v="0"/>
    <n v="0"/>
    <n v="0"/>
    <n v="0"/>
    <n v="25.475000000000001"/>
    <n v="0"/>
    <m/>
    <m/>
    <m/>
    <m/>
    <m/>
    <m/>
    <m/>
    <m/>
    <m/>
    <m/>
    <m/>
    <m/>
    <m/>
    <m/>
    <m/>
    <m/>
    <m/>
    <m/>
    <m/>
    <m/>
    <m/>
    <m/>
    <m/>
    <m/>
    <m/>
    <m/>
    <m/>
    <m/>
    <m/>
    <m/>
    <m/>
    <m/>
    <m/>
    <m/>
  </r>
  <r>
    <n v="743"/>
    <d v="2025-03-10T00:00:00"/>
    <x v="0"/>
    <n v="9518589716"/>
    <n v="1"/>
    <s v="9518589716-1"/>
    <s v="No Priority"/>
    <x v="0"/>
    <m/>
    <x v="3"/>
    <x v="9"/>
    <x v="0"/>
    <m/>
    <x v="0"/>
    <m/>
    <m/>
    <m/>
    <s v="North"/>
    <s v="KANPUR"/>
    <x v="2"/>
    <x v="53"/>
    <x v="50"/>
    <x v="316"/>
    <s v="GP COIL SOFT-TATXGP-GK09-0.2X900"/>
    <s v="Z80"/>
    <s v=""/>
    <n v="3.2"/>
    <n v="5"/>
    <m/>
    <x v="7"/>
    <x v="5"/>
    <s v="GK09"/>
    <x v="6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0T00:00:00"/>
    <x v="0"/>
    <n v="9518589716"/>
    <n v="3"/>
    <s v="9518589716-3"/>
    <s v="No Priority"/>
    <x v="0"/>
    <m/>
    <x v="3"/>
    <x v="9"/>
    <x v="0"/>
    <m/>
    <x v="0"/>
    <m/>
    <m/>
    <m/>
    <s v="North"/>
    <s v="KANPUR"/>
    <x v="2"/>
    <x v="53"/>
    <x v="50"/>
    <x v="55"/>
    <s v="GP COIL SOFT-TATXGP-GK09-0.35X900"/>
    <s v="Z80"/>
    <s v=""/>
    <n v="3.2"/>
    <n v="5"/>
    <m/>
    <x v="7"/>
    <x v="5"/>
    <s v="GK09"/>
    <x v="6"/>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3-10T00:00:00"/>
    <x v="0"/>
    <n v="9518589716"/>
    <n v="4"/>
    <s v="9518589716-4"/>
    <s v="No Priority"/>
    <x v="0"/>
    <m/>
    <x v="3"/>
    <x v="9"/>
    <x v="0"/>
    <m/>
    <x v="0"/>
    <m/>
    <m/>
    <m/>
    <s v="North"/>
    <s v="KANPUR"/>
    <x v="2"/>
    <x v="53"/>
    <x v="50"/>
    <x v="56"/>
    <s v="GP COIL SOFT-TATXGP-GK09-0.4X900"/>
    <s v="Z80"/>
    <s v=""/>
    <n v="3.2"/>
    <n v="5"/>
    <m/>
    <x v="7"/>
    <x v="5"/>
    <s v="GK09"/>
    <x v="2"/>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3-10T00:00:00"/>
    <x v="0"/>
    <n v="9518589716"/>
    <n v="5"/>
    <s v="9518589716-5"/>
    <s v="No Priority"/>
    <x v="0"/>
    <m/>
    <x v="3"/>
    <x v="9"/>
    <x v="0"/>
    <m/>
    <x v="0"/>
    <m/>
    <m/>
    <m/>
    <s v="North"/>
    <s v="KANPUR"/>
    <x v="2"/>
    <x v="53"/>
    <x v="50"/>
    <x v="121"/>
    <s v="GP COIL SOFT-TATXGP-GK09-0.5X900"/>
    <s v="Z80"/>
    <s v=""/>
    <n v="3.2"/>
    <n v="5"/>
    <m/>
    <x v="7"/>
    <x v="5"/>
    <s v="GK09"/>
    <x v="1"/>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3-11T00:00:00"/>
    <x v="0"/>
    <n v="9518593433"/>
    <n v="2"/>
    <s v="9518593433-2"/>
    <s v="May'25"/>
    <x v="0"/>
    <s v="Yes"/>
    <x v="3"/>
    <x v="9"/>
    <x v="0"/>
    <m/>
    <x v="1"/>
    <m/>
    <m/>
    <m/>
    <s v="East"/>
    <s v=" "/>
    <x v="2"/>
    <x v="10"/>
    <x v="10"/>
    <x v="55"/>
    <s v="GP COIL SOFT-TATXGP-GK09-0.35X900"/>
    <s v="Z80"/>
    <s v=""/>
    <n v="4"/>
    <n v="12"/>
    <m/>
    <x v="7"/>
    <x v="5"/>
    <s v="GK09"/>
    <x v="6"/>
    <x v="3"/>
    <x v="0"/>
    <n v="42"/>
    <n v="0"/>
    <n v="42"/>
    <n v="42"/>
    <n v="42"/>
    <n v="22.125"/>
    <n v="0"/>
    <n v="0"/>
    <n v="0"/>
    <n v="0"/>
    <n v="0"/>
    <n v="0"/>
    <n v="0"/>
    <n v="0"/>
    <n v="0"/>
    <n v="0"/>
    <n v="0"/>
    <n v="0"/>
    <n v="0"/>
    <n v="0"/>
    <n v="0"/>
    <n v="0"/>
    <n v="0"/>
    <n v="0"/>
    <n v="0"/>
    <n v="0"/>
    <n v="0"/>
    <n v="0"/>
    <n v="0"/>
    <m/>
    <n v="0"/>
    <n v="22.125"/>
    <n v="0"/>
    <n v="22.125"/>
    <n v="0"/>
    <n v="0"/>
    <n v="0"/>
    <n v="22.125"/>
    <n v="0"/>
    <n v="0"/>
    <n v="22.125"/>
    <n v="0"/>
    <n v="0"/>
    <n v="0"/>
    <m/>
    <m/>
    <m/>
    <m/>
    <m/>
    <m/>
    <m/>
    <m/>
    <m/>
    <m/>
    <m/>
    <m/>
    <m/>
    <m/>
    <m/>
    <m/>
    <m/>
    <m/>
    <m/>
    <m/>
    <m/>
    <m/>
    <m/>
    <m/>
    <m/>
    <m/>
    <m/>
    <m/>
    <m/>
    <m/>
    <m/>
    <m/>
    <m/>
    <m/>
  </r>
  <r>
    <n v="742"/>
    <d v="2025-03-10T00:00:00"/>
    <x v="0"/>
    <n v="9518587895"/>
    <n v="1"/>
    <s v="9518587895-1"/>
    <s v="May'25"/>
    <x v="0"/>
    <s v="Yes"/>
    <x v="1"/>
    <x v="2"/>
    <x v="0"/>
    <m/>
    <x v="1"/>
    <m/>
    <m/>
    <m/>
    <s v="East"/>
    <s v="GUWAHATI"/>
    <x v="2"/>
    <x v="25"/>
    <x v="24"/>
    <x v="359"/>
    <s v="CR COIL TSBCRC SR25 0.550X1250"/>
    <s v=" "/>
    <s v=""/>
    <n v="15"/>
    <n v="28"/>
    <m/>
    <x v="1"/>
    <x v="4"/>
    <s v="SR25"/>
    <x v="18"/>
    <x v="0"/>
    <x v="0"/>
    <n v="58"/>
    <n v="0"/>
    <n v="58"/>
    <n v="58"/>
    <n v="35.200000000000003"/>
    <n v="58"/>
    <n v="0"/>
    <n v="0"/>
    <n v="0"/>
    <n v="0"/>
    <n v="0"/>
    <n v="0"/>
    <n v="0"/>
    <n v="0"/>
    <n v="0"/>
    <n v="0"/>
    <n v="0"/>
    <n v="0"/>
    <n v="0"/>
    <n v="0"/>
    <n v="0"/>
    <n v="0"/>
    <n v="22.8"/>
    <n v="0"/>
    <n v="0"/>
    <n v="22.8"/>
    <n v="22.8"/>
    <n v="0"/>
    <n v="22.8"/>
    <m/>
    <n v="0"/>
    <n v="58"/>
    <n v="0"/>
    <n v="0"/>
    <n v="58"/>
    <n v="0"/>
    <n v="0"/>
    <n v="58"/>
    <n v="0"/>
    <n v="0"/>
    <n v="58"/>
    <n v="0"/>
    <n v="0"/>
    <n v="0"/>
    <m/>
    <m/>
    <m/>
    <m/>
    <m/>
    <m/>
    <m/>
    <m/>
    <m/>
    <m/>
    <m/>
    <m/>
    <m/>
    <m/>
    <m/>
    <m/>
    <m/>
    <m/>
    <m/>
    <m/>
    <m/>
    <m/>
    <m/>
    <m/>
    <m/>
    <m/>
    <m/>
    <m/>
    <m/>
    <m/>
    <m/>
    <m/>
    <m/>
    <m/>
  </r>
  <r>
    <n v="742"/>
    <d v="2025-03-24T00:00:00"/>
    <x v="0"/>
    <n v="9518628976"/>
    <n v="12"/>
    <s v="9518628976-12"/>
    <s v="No Priority"/>
    <x v="0"/>
    <s v="Yes"/>
    <x v="1"/>
    <x v="1"/>
    <x v="0"/>
    <m/>
    <x v="0"/>
    <m/>
    <m/>
    <m/>
    <s v="South"/>
    <s v="VALPARAI"/>
    <x v="2"/>
    <x v="13"/>
    <x v="13"/>
    <x v="95"/>
    <s v="CRCA COIL-TATXXD-AU03-1.2X1250"/>
    <s v=" "/>
    <s v=""/>
    <n v="6"/>
    <n v="18"/>
    <m/>
    <x v="1"/>
    <x v="2"/>
    <s v="AU03"/>
    <x v="19"/>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13"/>
    <s v="9518628976-13"/>
    <s v="No Priority"/>
    <x v="0"/>
    <s v="Yes"/>
    <x v="1"/>
    <x v="1"/>
    <x v="0"/>
    <m/>
    <x v="0"/>
    <m/>
    <m/>
    <m/>
    <s v="South"/>
    <s v="VALPARAI"/>
    <x v="2"/>
    <x v="13"/>
    <x v="13"/>
    <x v="69"/>
    <s v="CRCA COIL TATXXD AU03 1.500X1250"/>
    <s v=" "/>
    <s v=""/>
    <n v="6"/>
    <n v="18"/>
    <m/>
    <x v="1"/>
    <x v="2"/>
    <s v="AU03"/>
    <x v="27"/>
    <x v="0"/>
    <x v="0"/>
    <n v="29"/>
    <n v="0"/>
    <n v="29"/>
    <n v="0.74"/>
    <n v="0"/>
    <n v="9.6300000000000008"/>
    <n v="0"/>
    <n v="0"/>
    <n v="0"/>
    <n v="0"/>
    <n v="0"/>
    <n v="0"/>
    <n v="0"/>
    <n v="0"/>
    <n v="0"/>
    <n v="0"/>
    <n v="0"/>
    <n v="0"/>
    <n v="0"/>
    <n v="0"/>
    <n v="0"/>
    <n v="0"/>
    <n v="0"/>
    <n v="0"/>
    <n v="0"/>
    <n v="0"/>
    <n v="0"/>
    <n v="0"/>
    <n v="0"/>
    <m/>
    <n v="0"/>
    <n v="0"/>
    <n v="0"/>
    <n v="0"/>
    <n v="0"/>
    <n v="0"/>
    <n v="0"/>
    <n v="0"/>
    <n v="0"/>
    <n v="0"/>
    <n v="0"/>
    <n v="0"/>
    <n v="0"/>
    <n v="0"/>
    <m/>
    <m/>
    <m/>
    <m/>
    <m/>
    <m/>
    <m/>
    <m/>
    <m/>
    <m/>
    <m/>
    <m/>
    <m/>
    <m/>
    <m/>
    <m/>
    <m/>
    <m/>
    <m/>
    <m/>
    <m/>
    <m/>
    <m/>
    <m/>
    <m/>
    <m/>
    <m/>
    <m/>
    <m/>
    <m/>
    <m/>
    <m/>
    <m/>
    <m/>
  </r>
  <r>
    <n v="743"/>
    <d v="2025-03-21T00:00:00"/>
    <x v="0"/>
    <n v="9518620565"/>
    <n v="1"/>
    <s v="9518620565-1"/>
    <s v="No Priority"/>
    <x v="0"/>
    <m/>
    <x v="3"/>
    <x v="0"/>
    <x v="0"/>
    <m/>
    <x v="0"/>
    <m/>
    <m/>
    <m/>
    <s v="East"/>
    <s v="TATANAGAR"/>
    <x v="2"/>
    <x v="5"/>
    <x v="5"/>
    <x v="72"/>
    <s v="GP COIL SOFT-TSBXGP-N1GP-0.3X900"/>
    <s v="Z80"/>
    <s v=""/>
    <n v="4"/>
    <n v="12"/>
    <m/>
    <x v="7"/>
    <x v="13"/>
    <s v="N1GP"/>
    <x v="11"/>
    <x v="3"/>
    <x v="0"/>
    <n v="21"/>
    <n v="0"/>
    <n v="21"/>
    <n v="21"/>
    <n v="21"/>
    <n v="10.9"/>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0"/>
    <n v="9518632737"/>
    <n v="3"/>
    <s v="9518632737-3"/>
    <s v="Stocks"/>
    <x v="0"/>
    <m/>
    <x v="1"/>
    <x v="10"/>
    <x v="2"/>
    <m/>
    <x v="1"/>
    <m/>
    <m/>
    <m/>
    <s v="North"/>
    <s v="FARIDABAD"/>
    <x v="2"/>
    <x v="42"/>
    <x v="41"/>
    <x v="79"/>
    <s v="CRCA COIL TATXXD BT01 0.970X1220"/>
    <s v=" "/>
    <s v=""/>
    <n v="7"/>
    <n v="12"/>
    <m/>
    <x v="1"/>
    <x v="2"/>
    <s v="BT01"/>
    <x v="24"/>
    <x v="1"/>
    <x v="0"/>
    <n v="56"/>
    <n v="0"/>
    <n v="56"/>
    <n v="56"/>
    <n v="56"/>
    <n v="5.8"/>
    <n v="0"/>
    <n v="0"/>
    <n v="0"/>
    <n v="0"/>
    <n v="0"/>
    <n v="0"/>
    <n v="0"/>
    <n v="0"/>
    <n v="0"/>
    <n v="0"/>
    <n v="0"/>
    <n v="0"/>
    <n v="0"/>
    <n v="0"/>
    <n v="0"/>
    <n v="0"/>
    <n v="0"/>
    <n v="0"/>
    <n v="0"/>
    <n v="0"/>
    <n v="0"/>
    <n v="0"/>
    <n v="0"/>
    <m/>
    <n v="8.5850000000000009"/>
    <n v="0"/>
    <n v="0"/>
    <n v="0"/>
    <n v="0"/>
    <n v="0"/>
    <n v="0"/>
    <n v="8.5850000000000009"/>
    <n v="8.5850000000000009"/>
    <n v="0"/>
    <n v="0"/>
    <n v="0"/>
    <n v="0"/>
    <n v="0"/>
    <m/>
    <m/>
    <m/>
    <m/>
    <m/>
    <m/>
    <m/>
    <m/>
    <m/>
    <m/>
    <m/>
    <m/>
    <m/>
    <m/>
    <m/>
    <m/>
    <m/>
    <m/>
    <m/>
    <m/>
    <m/>
    <m/>
    <m/>
    <m/>
    <m/>
    <m/>
    <m/>
    <m/>
    <m/>
    <m/>
    <m/>
    <m/>
    <m/>
    <m/>
  </r>
  <r>
    <n v="743"/>
    <d v="2025-03-29T00:00:00"/>
    <x v="0"/>
    <n v="9518652119"/>
    <n v="3"/>
    <s v="9518652119-3"/>
    <s v="May'25"/>
    <x v="0"/>
    <m/>
    <x v="3"/>
    <x v="14"/>
    <x v="0"/>
    <m/>
    <x v="1"/>
    <m/>
    <m/>
    <s v="Maharashtra"/>
    <s v="West"/>
    <s v="NAGPUR"/>
    <x v="2"/>
    <x v="106"/>
    <x v="104"/>
    <x v="266"/>
    <s v="GP COIL SOFT-TATXGP-GLK1-0.6X1220"/>
    <s v="Z80"/>
    <s v=""/>
    <n v="4"/>
    <n v="6"/>
    <m/>
    <x v="7"/>
    <x v="5"/>
    <s v="GLK1"/>
    <x v="20"/>
    <x v="1"/>
    <x v="0"/>
    <n v="112"/>
    <n v="0"/>
    <n v="112"/>
    <n v="112"/>
    <n v="112"/>
    <n v="112"/>
    <n v="0"/>
    <n v="0"/>
    <n v="0"/>
    <n v="0"/>
    <n v="0"/>
    <n v="0"/>
    <n v="0"/>
    <n v="0"/>
    <n v="0"/>
    <n v="0"/>
    <n v="0"/>
    <n v="0"/>
    <n v="0"/>
    <n v="0"/>
    <n v="0"/>
    <n v="0"/>
    <n v="0"/>
    <n v="0"/>
    <n v="0"/>
    <n v="0"/>
    <n v="0"/>
    <n v="0"/>
    <n v="0"/>
    <m/>
    <n v="0"/>
    <n v="112"/>
    <n v="0"/>
    <n v="0"/>
    <n v="112"/>
    <n v="0"/>
    <n v="0"/>
    <n v="112"/>
    <n v="0"/>
    <n v="0"/>
    <n v="0"/>
    <n v="112"/>
    <n v="0"/>
    <n v="0"/>
    <m/>
    <m/>
    <m/>
    <m/>
    <m/>
    <m/>
    <m/>
    <m/>
    <m/>
    <m/>
    <m/>
    <m/>
    <m/>
    <m/>
    <m/>
    <m/>
    <m/>
    <m/>
    <m/>
    <m/>
    <m/>
    <m/>
    <m/>
    <m/>
    <m/>
    <m/>
    <m/>
    <m/>
    <m/>
    <m/>
    <m/>
    <m/>
    <m/>
    <m/>
  </r>
  <r>
    <n v="743"/>
    <d v="2025-03-27T00:00:00"/>
    <x v="0"/>
    <n v="9518644154"/>
    <n v="1"/>
    <s v="9518644154-1"/>
    <s v="May'25"/>
    <x v="0"/>
    <m/>
    <x v="3"/>
    <x v="14"/>
    <x v="0"/>
    <m/>
    <x v="1"/>
    <m/>
    <m/>
    <m/>
    <s v="East"/>
    <s v=" "/>
    <x v="2"/>
    <x v="10"/>
    <x v="10"/>
    <x v="282"/>
    <s v="GP COIL SOFT-TATXGP-GLK1-0.4X1220"/>
    <s v="Z80"/>
    <s v=""/>
    <n v="4"/>
    <n v="12"/>
    <m/>
    <x v="7"/>
    <x v="5"/>
    <s v="GLK1"/>
    <x v="2"/>
    <x v="1"/>
    <x v="0"/>
    <n v="84"/>
    <n v="0"/>
    <n v="84"/>
    <n v="84"/>
    <n v="84"/>
    <n v="84"/>
    <n v="0"/>
    <n v="0"/>
    <n v="0"/>
    <n v="0"/>
    <n v="0"/>
    <n v="0"/>
    <n v="0"/>
    <n v="0"/>
    <n v="0"/>
    <n v="0"/>
    <n v="0"/>
    <n v="0"/>
    <n v="0"/>
    <n v="0"/>
    <n v="0"/>
    <n v="0"/>
    <n v="0"/>
    <n v="0"/>
    <n v="0"/>
    <n v="0"/>
    <n v="0"/>
    <n v="0"/>
    <n v="0"/>
    <m/>
    <n v="0"/>
    <n v="84"/>
    <n v="0"/>
    <n v="0"/>
    <n v="84"/>
    <n v="0"/>
    <n v="0"/>
    <n v="84"/>
    <n v="0"/>
    <n v="0"/>
    <n v="0"/>
    <n v="84"/>
    <n v="0"/>
    <n v="0"/>
    <m/>
    <m/>
    <m/>
    <m/>
    <m/>
    <m/>
    <m/>
    <m/>
    <m/>
    <m/>
    <m/>
    <m/>
    <m/>
    <m/>
    <m/>
    <m/>
    <m/>
    <m/>
    <m/>
    <m/>
    <m/>
    <m/>
    <m/>
    <m/>
    <m/>
    <m/>
    <m/>
    <m/>
    <m/>
    <m/>
    <m/>
    <m/>
    <m/>
    <m/>
  </r>
  <r>
    <n v="742"/>
    <d v="2025-03-26T00:00:00"/>
    <x v="0"/>
    <n v="9518637097"/>
    <n v="1"/>
    <s v="9518637097-1"/>
    <s v="Stocks"/>
    <x v="0"/>
    <m/>
    <x v="1"/>
    <x v="2"/>
    <x v="0"/>
    <m/>
    <x v="1"/>
    <m/>
    <m/>
    <m/>
    <s v="East"/>
    <s v="URLA"/>
    <x v="2"/>
    <x v="92"/>
    <x v="89"/>
    <x v="176"/>
    <s v="CRCA SHEET TATCRC SR16 0.450X900X2500"/>
    <s v=" "/>
    <s v=""/>
    <n v="1"/>
    <n v="3"/>
    <m/>
    <x v="2"/>
    <x v="1"/>
    <s v="SR16"/>
    <x v="10"/>
    <x v="3"/>
    <x v="3"/>
    <n v="60"/>
    <n v="0"/>
    <n v="60"/>
    <n v="-3.41"/>
    <n v="0"/>
    <n v="1.2150000000000001"/>
    <n v="0"/>
    <n v="0"/>
    <n v="0"/>
    <n v="0"/>
    <n v="0"/>
    <n v="0"/>
    <n v="0"/>
    <n v="0"/>
    <n v="0"/>
    <n v="0"/>
    <n v="0"/>
    <n v="0"/>
    <n v="0"/>
    <n v="0"/>
    <n v="0"/>
    <n v="0"/>
    <n v="0"/>
    <n v="0"/>
    <n v="0"/>
    <n v="0"/>
    <n v="0"/>
    <n v="0"/>
    <n v="0"/>
    <m/>
    <n v="5.57"/>
    <n v="0"/>
    <n v="0"/>
    <n v="0"/>
    <n v="0"/>
    <n v="0"/>
    <n v="0"/>
    <n v="5.57"/>
    <n v="5.57"/>
    <n v="0"/>
    <n v="0"/>
    <n v="0"/>
    <n v="0"/>
    <n v="0"/>
    <m/>
    <m/>
    <m/>
    <m/>
    <m/>
    <m/>
    <m/>
    <m/>
    <m/>
    <m/>
    <m/>
    <m/>
    <m/>
    <m/>
    <m/>
    <m/>
    <m/>
    <m/>
    <m/>
    <m/>
    <m/>
    <m/>
    <m/>
    <m/>
    <m/>
    <m/>
    <m/>
    <m/>
    <m/>
    <m/>
    <m/>
    <m/>
    <m/>
    <m/>
  </r>
  <r>
    <n v="742"/>
    <d v="2025-03-27T00:00:00"/>
    <x v="0"/>
    <n v="9518645449"/>
    <n v="1"/>
    <s v="9518645449-1"/>
    <s v="No Priority"/>
    <x v="0"/>
    <s v="Yes"/>
    <x v="1"/>
    <x v="2"/>
    <x v="0"/>
    <m/>
    <x v="0"/>
    <m/>
    <m/>
    <m/>
    <s v="East"/>
    <s v="SILIGURI TOWN"/>
    <x v="2"/>
    <x v="66"/>
    <x v="24"/>
    <x v="360"/>
    <s v="CRCA SHEET TSBCRC SR15 0.750X1120X2000"/>
    <s v=" "/>
    <s v=""/>
    <n v="2"/>
    <n v="3"/>
    <m/>
    <x v="2"/>
    <x v="4"/>
    <s v="SR15"/>
    <x v="28"/>
    <x v="21"/>
    <x v="1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6T00:00:00"/>
    <x v="0"/>
    <n v="9518579267"/>
    <n v="1"/>
    <s v="9518579267-1"/>
    <s v="No Priority"/>
    <x v="0"/>
    <m/>
    <x v="1"/>
    <x v="12"/>
    <x v="0"/>
    <m/>
    <x v="0"/>
    <m/>
    <m/>
    <m/>
    <s v="South"/>
    <s v="YESHWANTHPURA"/>
    <x v="2"/>
    <x v="40"/>
    <x v="0"/>
    <x v="37"/>
    <s v="CR COIL TSBSTA EL06 0.500X1250"/>
    <s v=" "/>
    <s v=""/>
    <n v="2"/>
    <n v="28"/>
    <m/>
    <x v="1"/>
    <x v="9"/>
    <s v="EL06"/>
    <x v="1"/>
    <x v="0"/>
    <x v="0"/>
    <n v="58"/>
    <n v="0"/>
    <n v="58"/>
    <n v="-24.38"/>
    <n v="0"/>
    <n v="31.97"/>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19584"/>
    <n v="1"/>
    <s v="9518619584-1"/>
    <s v="No Priority"/>
    <x v="0"/>
    <m/>
    <x v="1"/>
    <x v="12"/>
    <x v="0"/>
    <m/>
    <x v="0"/>
    <m/>
    <m/>
    <m/>
    <s v="South"/>
    <s v="YESHWANTHPURA"/>
    <x v="2"/>
    <x v="40"/>
    <x v="0"/>
    <x v="93"/>
    <s v="CRCA COIL TSBSTA EL06 0.500X1160"/>
    <s v=" "/>
    <s v=""/>
    <n v="2"/>
    <n v="30"/>
    <m/>
    <x v="1"/>
    <x v="9"/>
    <s v="EL06"/>
    <x v="1"/>
    <x v="13"/>
    <x v="0"/>
    <n v="216"/>
    <n v="0"/>
    <n v="216"/>
    <n v="213.21"/>
    <n v="213.21"/>
    <n v="216"/>
    <n v="0"/>
    <n v="0"/>
    <n v="0"/>
    <n v="0"/>
    <n v="0"/>
    <n v="0"/>
    <n v="0"/>
    <n v="0"/>
    <n v="0"/>
    <n v="0"/>
    <n v="0"/>
    <n v="0"/>
    <n v="0"/>
    <n v="0"/>
    <n v="0"/>
    <n v="2.79"/>
    <n v="0"/>
    <n v="0"/>
    <n v="0"/>
    <n v="2.79"/>
    <n v="2.79"/>
    <n v="0"/>
    <n v="2.79"/>
    <m/>
    <n v="0"/>
    <n v="0"/>
    <n v="0"/>
    <n v="0"/>
    <n v="0"/>
    <n v="0"/>
    <n v="0"/>
    <n v="0"/>
    <n v="0"/>
    <n v="0"/>
    <n v="0"/>
    <n v="0"/>
    <n v="0"/>
    <n v="0"/>
    <m/>
    <m/>
    <m/>
    <m/>
    <m/>
    <m/>
    <m/>
    <m/>
    <m/>
    <m/>
    <m/>
    <m/>
    <m/>
    <m/>
    <m/>
    <m/>
    <m/>
    <m/>
    <m/>
    <m/>
    <m/>
    <m/>
    <m/>
    <m/>
    <m/>
    <m/>
    <m/>
    <m/>
    <m/>
    <m/>
    <m/>
    <m/>
    <m/>
    <m/>
  </r>
  <r>
    <n v="742"/>
    <d v="2025-03-21T00:00:00"/>
    <x v="3"/>
    <n v="9518620015"/>
    <n v="1"/>
    <s v="9518620015-1"/>
    <s v="No Priority"/>
    <x v="0"/>
    <m/>
    <x v="1"/>
    <x v="17"/>
    <x v="0"/>
    <m/>
    <x v="0"/>
    <m/>
    <m/>
    <m/>
    <s v="South"/>
    <s v="VISHAKHAPATNAM"/>
    <x v="2"/>
    <x v="107"/>
    <x v="106"/>
    <x v="361"/>
    <s v="CRCA SHEET TATCRC EX08 0.400X1219X2438"/>
    <s v=" "/>
    <s v=""/>
    <n v="0"/>
    <n v="0"/>
    <m/>
    <x v="2"/>
    <x v="1"/>
    <s v="EX08"/>
    <x v="2"/>
    <x v="30"/>
    <x v="12"/>
    <n v="26"/>
    <n v="0"/>
    <n v="26"/>
    <n v="-1.18"/>
    <n v="0"/>
    <n v="0.379"/>
    <n v="0"/>
    <n v="0"/>
    <n v="0"/>
    <n v="0"/>
    <n v="0"/>
    <n v="0"/>
    <n v="0"/>
    <n v="0"/>
    <n v="0"/>
    <n v="0"/>
    <n v="0"/>
    <n v="0"/>
    <n v="0"/>
    <n v="0"/>
    <n v="0"/>
    <n v="0"/>
    <n v="0"/>
    <n v="0"/>
    <n v="0"/>
    <n v="0"/>
    <n v="0"/>
    <n v="0"/>
    <n v="0"/>
    <m/>
    <n v="0"/>
    <n v="0"/>
    <n v="0"/>
    <n v="0"/>
    <n v="0"/>
    <n v="0"/>
    <n v="0"/>
    <n v="0"/>
    <n v="0"/>
    <n v="0"/>
    <n v="0"/>
    <n v="0"/>
    <n v="0"/>
    <n v="0"/>
    <m/>
    <m/>
    <m/>
    <m/>
    <m/>
    <m/>
    <m/>
    <m/>
    <m/>
    <m/>
    <m/>
    <m/>
    <m/>
    <m/>
    <m/>
    <m/>
    <m/>
    <m/>
    <m/>
    <m/>
    <m/>
    <m/>
    <m/>
    <m/>
    <m/>
    <m/>
    <m/>
    <m/>
    <m/>
    <m/>
    <m/>
    <m/>
    <m/>
    <m/>
  </r>
  <r>
    <n v="742"/>
    <d v="2025-03-14T00:00:00"/>
    <x v="1"/>
    <n v="4000500995"/>
    <n v="3"/>
    <s v="4000500995-3"/>
    <s v="May'25"/>
    <x v="0"/>
    <m/>
    <x v="0"/>
    <x v="0"/>
    <x v="0"/>
    <m/>
    <x v="1"/>
    <m/>
    <m/>
    <m/>
    <s v="South"/>
    <s v="YESHWANTHPURA"/>
    <x v="2"/>
    <x v="21"/>
    <x v="21"/>
    <x v="140"/>
    <s v="HR COILS-PO IS 1079 HR2 2.30X1250"/>
    <s v=" "/>
    <s v=""/>
    <n v="10"/>
    <n v="27"/>
    <m/>
    <x v="0"/>
    <x v="0"/>
    <s v="HR99"/>
    <x v="39"/>
    <x v="0"/>
    <x v="0"/>
    <n v="25"/>
    <n v="0"/>
    <n v="25"/>
    <n v="25"/>
    <n v="25"/>
    <n v="25"/>
    <n v="0"/>
    <n v="0"/>
    <n v="0"/>
    <n v="0"/>
    <n v="0"/>
    <n v="0"/>
    <n v="0"/>
    <n v="0"/>
    <n v="0"/>
    <n v="0"/>
    <n v="0"/>
    <n v="0"/>
    <n v="0"/>
    <n v="0"/>
    <n v="0"/>
    <n v="0"/>
    <n v="0"/>
    <n v="0"/>
    <n v="0"/>
    <n v="0"/>
    <n v="0"/>
    <n v="0"/>
    <n v="0"/>
    <m/>
    <n v="0"/>
    <n v="25"/>
    <n v="0"/>
    <n v="0"/>
    <n v="0"/>
    <n v="25"/>
    <n v="0"/>
    <n v="25"/>
    <n v="0"/>
    <n v="0"/>
    <n v="0"/>
    <n v="0"/>
    <n v="25"/>
    <n v="0"/>
    <m/>
    <m/>
    <m/>
    <m/>
    <m/>
    <m/>
    <m/>
    <m/>
    <m/>
    <m/>
    <m/>
    <m/>
    <m/>
    <m/>
    <m/>
    <m/>
    <m/>
    <m/>
    <m/>
    <m/>
    <m/>
    <m/>
    <m/>
    <m/>
    <m/>
    <m/>
    <m/>
    <m/>
    <m/>
    <m/>
    <m/>
    <m/>
    <m/>
    <m/>
  </r>
  <r>
    <n v="742"/>
    <d v="2025-03-15T00:00:00"/>
    <x v="0"/>
    <n v="9518602456"/>
    <n v="1"/>
    <s v="9518602456-1"/>
    <s v="No Priority"/>
    <x v="0"/>
    <m/>
    <x v="1"/>
    <x v="1"/>
    <x v="0"/>
    <m/>
    <x v="0"/>
    <m/>
    <m/>
    <m/>
    <s v="North"/>
    <s v="JAIPUR"/>
    <x v="2"/>
    <x v="64"/>
    <x v="91"/>
    <x v="362"/>
    <s v="CRCA SHEET TATXXD AU03 0.600X1000X1000"/>
    <s v=" "/>
    <s v=""/>
    <n v="1"/>
    <n v="3"/>
    <m/>
    <x v="2"/>
    <x v="2"/>
    <s v="AU03"/>
    <x v="20"/>
    <x v="2"/>
    <x v="13"/>
    <n v="15"/>
    <n v="0"/>
    <n v="15"/>
    <n v="15"/>
    <n v="15"/>
    <n v="15"/>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14"/>
    <s v="9518628976-14"/>
    <s v="No Priority"/>
    <x v="0"/>
    <s v="Yes"/>
    <x v="1"/>
    <x v="1"/>
    <x v="0"/>
    <m/>
    <x v="0"/>
    <m/>
    <m/>
    <m/>
    <s v="South"/>
    <s v="VALPARAI"/>
    <x v="2"/>
    <x v="13"/>
    <x v="13"/>
    <x v="102"/>
    <s v="CRCA COIL-TATXXD-AU03-1.6X1250"/>
    <s v=" "/>
    <s v=""/>
    <n v="6"/>
    <n v="18"/>
    <m/>
    <x v="1"/>
    <x v="2"/>
    <s v="AU03"/>
    <x v="22"/>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15"/>
    <s v="9518628976-15"/>
    <s v="No Priority"/>
    <x v="0"/>
    <s v="Yes"/>
    <x v="1"/>
    <x v="1"/>
    <x v="0"/>
    <m/>
    <x v="0"/>
    <m/>
    <m/>
    <m/>
    <s v="South"/>
    <s v="VALPARAI"/>
    <x v="2"/>
    <x v="13"/>
    <x v="13"/>
    <x v="116"/>
    <s v="CRCA COIL-TATXXD-AU03-2X1250"/>
    <s v=" "/>
    <s v=""/>
    <n v="6"/>
    <n v="18"/>
    <m/>
    <x v="1"/>
    <x v="2"/>
    <s v="AU03"/>
    <x v="15"/>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8970"/>
    <n v="1"/>
    <s v="9518648970-1"/>
    <s v="No Priority"/>
    <x v="0"/>
    <m/>
    <x v="1"/>
    <x v="1"/>
    <x v="0"/>
    <m/>
    <x v="0"/>
    <m/>
    <m/>
    <m/>
    <s v="North"/>
    <s v="JAIPUR"/>
    <x v="2"/>
    <x v="64"/>
    <x v="91"/>
    <x v="362"/>
    <s v="CRCA SHEET TATXXD AU03 0.600X1000X1000"/>
    <s v=" "/>
    <s v=""/>
    <n v="0"/>
    <n v="0"/>
    <m/>
    <x v="2"/>
    <x v="2"/>
    <s v="AU03"/>
    <x v="20"/>
    <x v="2"/>
    <x v="13"/>
    <n v="99"/>
    <n v="0"/>
    <n v="99"/>
    <n v="99"/>
    <n v="99"/>
    <n v="99"/>
    <n v="0"/>
    <n v="0"/>
    <n v="0"/>
    <n v="0"/>
    <n v="0"/>
    <n v="0"/>
    <n v="0"/>
    <n v="0"/>
    <n v="0"/>
    <n v="0"/>
    <n v="0"/>
    <n v="0"/>
    <n v="0"/>
    <n v="0"/>
    <n v="0"/>
    <n v="0"/>
    <n v="0"/>
    <n v="0"/>
    <n v="0"/>
    <n v="0"/>
    <n v="0"/>
    <n v="0"/>
    <n v="0"/>
    <m/>
    <n v="0"/>
    <n v="0"/>
    <n v="0"/>
    <n v="0"/>
    <n v="0"/>
    <n v="0"/>
    <n v="0"/>
    <n v="0"/>
    <n v="0"/>
    <n v="0"/>
    <n v="0"/>
    <n v="0"/>
    <n v="0"/>
    <n v="0"/>
    <m/>
    <m/>
    <m/>
    <m/>
    <m/>
    <m/>
    <m/>
    <m/>
    <m/>
    <m/>
    <m/>
    <m/>
    <m/>
    <m/>
    <m/>
    <m/>
    <m/>
    <m/>
    <m/>
    <m/>
    <m/>
    <m/>
    <m/>
    <m/>
    <m/>
    <m/>
    <m/>
    <m/>
    <m/>
    <m/>
    <m/>
    <m/>
    <m/>
    <m/>
  </r>
  <r>
    <n v="743"/>
    <d v="2025-03-21T00:00:00"/>
    <x v="0"/>
    <n v="9518620565"/>
    <n v="2"/>
    <s v="9518620565-2"/>
    <s v="No Priority"/>
    <x v="0"/>
    <m/>
    <x v="3"/>
    <x v="0"/>
    <x v="0"/>
    <m/>
    <x v="0"/>
    <m/>
    <m/>
    <m/>
    <s v="East"/>
    <s v="TATANAGAR"/>
    <x v="2"/>
    <x v="5"/>
    <x v="5"/>
    <x v="363"/>
    <s v="GP COIL SOFT-TSBXGP-N1GP-0.35X900"/>
    <s v="Z80"/>
    <s v=""/>
    <n v="4"/>
    <n v="12"/>
    <m/>
    <x v="7"/>
    <x v="13"/>
    <s v="N1GP"/>
    <x v="6"/>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0"/>
    <n v="9518631220"/>
    <n v="3"/>
    <s v="9518631220-3"/>
    <s v="No Priority"/>
    <x v="0"/>
    <s v="Yes"/>
    <x v="1"/>
    <x v="1"/>
    <x v="0"/>
    <m/>
    <x v="0"/>
    <m/>
    <m/>
    <m/>
    <s v="South"/>
    <s v="YESHWANTHPURA"/>
    <x v="2"/>
    <x v="40"/>
    <x v="0"/>
    <x v="95"/>
    <s v="CRCA COIL-TATXXD-AU03-1.2X1250"/>
    <s v=" "/>
    <s v=""/>
    <n v="2"/>
    <n v="30"/>
    <m/>
    <x v="1"/>
    <x v="2"/>
    <s v="AU03"/>
    <x v="19"/>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0"/>
    <n v="9518632737"/>
    <n v="4"/>
    <s v="9518632737-4"/>
    <s v="No Priority"/>
    <x v="0"/>
    <m/>
    <x v="1"/>
    <x v="10"/>
    <x v="2"/>
    <m/>
    <x v="0"/>
    <m/>
    <m/>
    <m/>
    <s v="North"/>
    <s v="FARIDABAD"/>
    <x v="2"/>
    <x v="42"/>
    <x v="41"/>
    <x v="81"/>
    <s v="CRCA COIL TATXXD BT02 1.200X910"/>
    <s v=" "/>
    <s v=""/>
    <n v="6"/>
    <n v="13"/>
    <m/>
    <x v="1"/>
    <x v="2"/>
    <s v="BT02"/>
    <x v="19"/>
    <x v="12"/>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10T00:00:00"/>
    <x v="3"/>
    <n v="9518587628"/>
    <n v="1"/>
    <s v="9518587628-1"/>
    <s v="Stocks"/>
    <x v="0"/>
    <m/>
    <x v="1"/>
    <x v="17"/>
    <x v="0"/>
    <m/>
    <x v="1"/>
    <m/>
    <m/>
    <m/>
    <s v="South"/>
    <s v="VISHAKHAPATNAM"/>
    <x v="2"/>
    <x v="108"/>
    <x v="107"/>
    <x v="364"/>
    <s v="CRCA SHEET TATCRC EX08 0.380X1219X2438"/>
    <s v=" "/>
    <s v=""/>
    <n v="2"/>
    <n v="3"/>
    <m/>
    <x v="2"/>
    <x v="1"/>
    <s v="EX08"/>
    <x v="7"/>
    <x v="30"/>
    <x v="12"/>
    <n v="26"/>
    <n v="0"/>
    <n v="26"/>
    <n v="1.37"/>
    <n v="0"/>
    <n v="2.86"/>
    <n v="0"/>
    <n v="0"/>
    <n v="0"/>
    <n v="0"/>
    <n v="0"/>
    <n v="0"/>
    <n v="0"/>
    <n v="0"/>
    <n v="0"/>
    <n v="0"/>
    <n v="0"/>
    <n v="0"/>
    <n v="0"/>
    <n v="0"/>
    <n v="0"/>
    <n v="0"/>
    <n v="0"/>
    <n v="0"/>
    <n v="0"/>
    <n v="0"/>
    <n v="0"/>
    <n v="0"/>
    <n v="0"/>
    <m/>
    <n v="23.14"/>
    <n v="0"/>
    <n v="0"/>
    <n v="0"/>
    <n v="0"/>
    <n v="0"/>
    <n v="0"/>
    <n v="23.14"/>
    <n v="23.14"/>
    <n v="0"/>
    <n v="0"/>
    <n v="0"/>
    <n v="0"/>
    <n v="0"/>
    <m/>
    <m/>
    <m/>
    <m/>
    <m/>
    <m/>
    <m/>
    <m/>
    <m/>
    <m/>
    <m/>
    <m/>
    <m/>
    <m/>
    <m/>
    <m/>
    <m/>
    <m/>
    <m/>
    <m/>
    <m/>
    <m/>
    <m/>
    <m/>
    <m/>
    <m/>
    <m/>
    <m/>
    <m/>
    <m/>
    <m/>
    <m/>
    <m/>
    <m/>
  </r>
  <r>
    <n v="744"/>
    <d v="2025-02-05T00:00:00"/>
    <x v="0"/>
    <n v="9518494843"/>
    <n v="1"/>
    <s v="9518494843-1"/>
    <s v="May'25"/>
    <x v="0"/>
    <m/>
    <x v="2"/>
    <x v="3"/>
    <x v="2"/>
    <m/>
    <x v="1"/>
    <m/>
    <m/>
    <m/>
    <s v="TBSPL"/>
    <s v=" "/>
    <x v="2"/>
    <x v="6"/>
    <x v="6"/>
    <x v="84"/>
    <s v="PPGL C HARD Y550PL D0C9 0.50(TPT)X1220"/>
    <s v="AZ150"/>
    <s v="RAL 6011 TSL 1810 MIST GREEN"/>
    <n v="3"/>
    <n v="5"/>
    <m/>
    <x v="3"/>
    <x v="3"/>
    <s v="D0C9"/>
    <x v="1"/>
    <x v="1"/>
    <x v="0"/>
    <n v="28"/>
    <n v="4.4950000000000001"/>
    <n v="23.504999999999999"/>
    <n v="23.504999999999999"/>
    <n v="23.504999999999999"/>
    <n v="23.504999999999999"/>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2"/>
    <n v="9518630407"/>
    <n v="1"/>
    <s v="9518630407-1"/>
    <s v="No Priority"/>
    <x v="0"/>
    <m/>
    <x v="1"/>
    <x v="6"/>
    <x v="0"/>
    <m/>
    <x v="0"/>
    <m/>
    <m/>
    <m/>
    <s v="South"/>
    <s v="YESHWANTHPURA"/>
    <x v="2"/>
    <x v="26"/>
    <x v="26"/>
    <x v="365"/>
    <s v="CR COIL TATXHS BR03 1.600X1250"/>
    <s v=" "/>
    <s v=""/>
    <n v="10"/>
    <n v="27"/>
    <m/>
    <x v="1"/>
    <x v="8"/>
    <s v="BR03"/>
    <x v="22"/>
    <x v="0"/>
    <x v="0"/>
    <n v="58"/>
    <n v="0"/>
    <n v="58"/>
    <n v="58"/>
    <n v="58"/>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2"/>
    <n v="9518630407"/>
    <n v="2"/>
    <s v="9518630407-2"/>
    <s v="No Priority"/>
    <x v="0"/>
    <m/>
    <x v="1"/>
    <x v="6"/>
    <x v="0"/>
    <m/>
    <x v="0"/>
    <m/>
    <m/>
    <m/>
    <s v="South"/>
    <s v="YESHWANTHPURA"/>
    <x v="2"/>
    <x v="26"/>
    <x v="26"/>
    <x v="366"/>
    <s v="CR COIL TATXHS BR03 2X1250"/>
    <s v=" "/>
    <s v=""/>
    <n v="10"/>
    <n v="27"/>
    <m/>
    <x v="1"/>
    <x v="8"/>
    <s v="BR03"/>
    <x v="15"/>
    <x v="0"/>
    <x v="0"/>
    <n v="58"/>
    <n v="0"/>
    <n v="58"/>
    <n v="58"/>
    <n v="58"/>
    <n v="0"/>
    <n v="0"/>
    <n v="0"/>
    <n v="0"/>
    <n v="0"/>
    <n v="0"/>
    <n v="0"/>
    <n v="0"/>
    <n v="0"/>
    <n v="0"/>
    <n v="0"/>
    <n v="0"/>
    <n v="0"/>
    <n v="0"/>
    <n v="0"/>
    <n v="0"/>
    <n v="0"/>
    <n v="0"/>
    <n v="0"/>
    <n v="0"/>
    <n v="0"/>
    <n v="0"/>
    <n v="0"/>
    <n v="0"/>
    <m/>
    <n v="0"/>
    <n v="0"/>
    <n v="0"/>
    <n v="0"/>
    <n v="0"/>
    <n v="0"/>
    <n v="0"/>
    <n v="0"/>
    <n v="0"/>
    <n v="0"/>
    <n v="0"/>
    <n v="0"/>
    <n v="0"/>
    <n v="0"/>
    <m/>
    <m/>
    <m/>
    <m/>
    <m/>
    <m/>
    <m/>
    <m/>
    <m/>
    <m/>
    <m/>
    <m/>
    <m/>
    <m/>
    <m/>
    <m/>
    <m/>
    <m/>
    <m/>
    <m/>
    <m/>
    <m/>
    <m/>
    <m/>
    <m/>
    <m/>
    <m/>
    <m/>
    <m/>
    <m/>
    <m/>
    <m/>
    <m/>
    <m/>
  </r>
  <r>
    <n v="743"/>
    <d v="2025-03-25T00:00:00"/>
    <x v="0"/>
    <n v="9518631501"/>
    <n v="1"/>
    <s v="9518631501-1"/>
    <s v="No Priority"/>
    <x v="0"/>
    <m/>
    <x v="3"/>
    <x v="9"/>
    <x v="0"/>
    <m/>
    <x v="0"/>
    <m/>
    <m/>
    <m/>
    <s v="North"/>
    <s v="LONI"/>
    <x v="2"/>
    <x v="100"/>
    <x v="99"/>
    <x v="56"/>
    <s v="GP COIL SOFT-TATXGP-GK09-0.4X900"/>
    <s v="Z80"/>
    <s v=""/>
    <n v="4"/>
    <n v="6"/>
    <m/>
    <x v="7"/>
    <x v="5"/>
    <s v="GK09"/>
    <x v="2"/>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3-25T00:00:00"/>
    <x v="0"/>
    <n v="9518631501"/>
    <n v="2"/>
    <s v="9518631501-2"/>
    <s v="No Priority"/>
    <x v="0"/>
    <m/>
    <x v="3"/>
    <x v="9"/>
    <x v="0"/>
    <m/>
    <x v="0"/>
    <m/>
    <m/>
    <m/>
    <s v="North"/>
    <s v="LONI"/>
    <x v="2"/>
    <x v="100"/>
    <x v="99"/>
    <x v="121"/>
    <s v="GP COIL SOFT-TATXGP-GK09-0.5X900"/>
    <s v="Z80"/>
    <s v=""/>
    <n v="4"/>
    <n v="6"/>
    <m/>
    <x v="7"/>
    <x v="5"/>
    <s v="GK09"/>
    <x v="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1"/>
    <n v="9518632148"/>
    <n v="1"/>
    <s v="9518632148-1"/>
    <s v="May'25"/>
    <x v="0"/>
    <m/>
    <x v="1"/>
    <x v="7"/>
    <x v="2"/>
    <m/>
    <x v="1"/>
    <m/>
    <s v="Tempel Precisions"/>
    <m/>
    <s v="South"/>
    <s v="THIRUVALLUR"/>
    <x v="2"/>
    <x v="24"/>
    <x v="23"/>
    <x v="159"/>
    <s v="CR COIL TSBSTA EL03 0.500X1217"/>
    <s v=" "/>
    <s v=""/>
    <n v="8"/>
    <n v="11"/>
    <m/>
    <x v="1"/>
    <x v="9"/>
    <s v="EL03"/>
    <x v="1"/>
    <x v="18"/>
    <x v="0"/>
    <n v="140"/>
    <n v="0"/>
    <n v="140"/>
    <n v="140"/>
    <n v="140"/>
    <n v="139.99"/>
    <n v="0"/>
    <n v="0"/>
    <n v="0"/>
    <n v="0"/>
    <n v="0"/>
    <n v="0"/>
    <n v="0"/>
    <n v="0"/>
    <n v="0"/>
    <n v="0"/>
    <n v="0"/>
    <n v="0"/>
    <n v="0"/>
    <n v="0"/>
    <n v="0"/>
    <n v="0"/>
    <n v="0"/>
    <n v="0"/>
    <n v="0"/>
    <n v="0"/>
    <n v="0"/>
    <n v="0"/>
    <n v="0"/>
    <m/>
    <n v="0"/>
    <n v="139.99"/>
    <n v="0"/>
    <n v="0"/>
    <n v="0"/>
    <n v="0"/>
    <n v="139.99"/>
    <n v="0"/>
    <n v="0"/>
    <n v="0"/>
    <n v="0"/>
    <n v="0"/>
    <n v="0"/>
    <n v="139.99"/>
    <m/>
    <m/>
    <m/>
    <m/>
    <m/>
    <m/>
    <m/>
    <m/>
    <m/>
    <m/>
    <m/>
    <m/>
    <m/>
    <m/>
    <m/>
    <m/>
    <m/>
    <m/>
    <m/>
    <m/>
    <m/>
    <m/>
    <m/>
    <m/>
    <m/>
    <m/>
    <m/>
    <m/>
    <m/>
    <m/>
    <m/>
    <m/>
    <m/>
    <m/>
  </r>
  <r>
    <n v="743"/>
    <d v="2025-03-17T00:00:00"/>
    <x v="0"/>
    <n v="9518607443"/>
    <n v="2"/>
    <s v="9518607443-2"/>
    <s v="May'25"/>
    <x v="0"/>
    <s v="Yes"/>
    <x v="3"/>
    <x v="9"/>
    <x v="0"/>
    <m/>
    <x v="1"/>
    <m/>
    <m/>
    <m/>
    <s v="East"/>
    <s v=" "/>
    <x v="2"/>
    <x v="10"/>
    <x v="10"/>
    <x v="121"/>
    <s v="GP COIL SOFT-TATXGP-GK09-0.5X900"/>
    <s v="Z80"/>
    <s v=""/>
    <n v="4"/>
    <n v="12"/>
    <m/>
    <x v="7"/>
    <x v="5"/>
    <s v="GK09"/>
    <x v="1"/>
    <x v="3"/>
    <x v="0"/>
    <n v="42"/>
    <n v="0"/>
    <n v="42"/>
    <n v="42"/>
    <n v="2.2299999999999969"/>
    <n v="42"/>
    <n v="0"/>
    <n v="0"/>
    <n v="0"/>
    <n v="0"/>
    <n v="20.400000000000002"/>
    <n v="0"/>
    <n v="19.37"/>
    <n v="0"/>
    <n v="0"/>
    <n v="0"/>
    <n v="0"/>
    <n v="0"/>
    <n v="0"/>
    <n v="0"/>
    <n v="0"/>
    <n v="0"/>
    <n v="0"/>
    <n v="0"/>
    <n v="0"/>
    <n v="39.770000000000003"/>
    <n v="39.770000000000003"/>
    <n v="0"/>
    <n v="39.770000000000003"/>
    <m/>
    <n v="0"/>
    <n v="42"/>
    <n v="42"/>
    <n v="0"/>
    <n v="0"/>
    <n v="0"/>
    <n v="0"/>
    <n v="42"/>
    <n v="0"/>
    <n v="42"/>
    <n v="0"/>
    <n v="0"/>
    <n v="0"/>
    <n v="0"/>
    <m/>
    <m/>
    <m/>
    <m/>
    <m/>
    <m/>
    <m/>
    <m/>
    <m/>
    <m/>
    <m/>
    <m/>
    <m/>
    <m/>
    <m/>
    <m/>
    <m/>
    <m/>
    <m/>
    <m/>
    <m/>
    <m/>
    <m/>
    <m/>
    <m/>
    <m/>
    <m/>
    <m/>
    <m/>
    <m/>
    <m/>
    <m/>
    <m/>
    <m/>
  </r>
  <r>
    <n v="743"/>
    <d v="2025-03-17T00:00:00"/>
    <x v="0"/>
    <n v="9518607406"/>
    <n v="1"/>
    <s v="9518607406-1"/>
    <s v="May'25"/>
    <x v="0"/>
    <s v="Yes"/>
    <x v="3"/>
    <x v="9"/>
    <x v="0"/>
    <m/>
    <x v="0"/>
    <m/>
    <m/>
    <m/>
    <s v="East"/>
    <s v="TANGI"/>
    <x v="2"/>
    <x v="19"/>
    <x v="25"/>
    <x v="261"/>
    <s v="GP COIL SOFT-TATXGP-GK09-0.25X900"/>
    <s v="Z80"/>
    <s v=""/>
    <n v="3.9"/>
    <n v="5"/>
    <m/>
    <x v="7"/>
    <x v="5"/>
    <s v="GK09"/>
    <x v="12"/>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17T00:00:00"/>
    <x v="0"/>
    <n v="9518607406"/>
    <n v="2"/>
    <s v="9518607406-2"/>
    <s v="Stocks"/>
    <x v="0"/>
    <s v="Yes"/>
    <x v="3"/>
    <x v="9"/>
    <x v="0"/>
    <m/>
    <x v="1"/>
    <m/>
    <m/>
    <m/>
    <s v="East"/>
    <s v="TANGI"/>
    <x v="2"/>
    <x v="19"/>
    <x v="25"/>
    <x v="51"/>
    <s v="GP COIL SOFT-TATXGP-GK09-0.3X900"/>
    <s v="Z80"/>
    <s v=""/>
    <n v="3.9"/>
    <n v="5"/>
    <m/>
    <x v="7"/>
    <x v="5"/>
    <s v="GK09"/>
    <x v="11"/>
    <x v="3"/>
    <x v="0"/>
    <n v="42"/>
    <n v="0"/>
    <n v="42"/>
    <n v="42"/>
    <n v="42"/>
    <n v="2.2549999999999999"/>
    <n v="0"/>
    <n v="0"/>
    <n v="0"/>
    <n v="0"/>
    <n v="0"/>
    <n v="0"/>
    <n v="0"/>
    <n v="0"/>
    <n v="0"/>
    <n v="0"/>
    <n v="0"/>
    <n v="0"/>
    <n v="0"/>
    <n v="0"/>
    <n v="0"/>
    <n v="0"/>
    <n v="0"/>
    <n v="0"/>
    <n v="0"/>
    <n v="0"/>
    <n v="0"/>
    <n v="0"/>
    <n v="0"/>
    <m/>
    <n v="9.9700000000000006"/>
    <n v="0"/>
    <n v="0"/>
    <n v="0"/>
    <n v="0"/>
    <n v="0"/>
    <n v="0"/>
    <n v="9.9700000000000006"/>
    <n v="9.9700000000000006"/>
    <n v="0"/>
    <n v="0"/>
    <n v="0"/>
    <n v="0"/>
    <n v="0"/>
    <m/>
    <m/>
    <m/>
    <m/>
    <m/>
    <m/>
    <m/>
    <m/>
    <m/>
    <m/>
    <m/>
    <m/>
    <m/>
    <m/>
    <m/>
    <m/>
    <m/>
    <m/>
    <m/>
    <m/>
    <m/>
    <m/>
    <m/>
    <m/>
    <m/>
    <m/>
    <m/>
    <m/>
    <m/>
    <m/>
    <m/>
    <m/>
    <m/>
    <m/>
  </r>
  <r>
    <n v="743"/>
    <d v="2025-03-21T00:00:00"/>
    <x v="0"/>
    <n v="9518620565"/>
    <n v="3"/>
    <s v="9518620565-3"/>
    <s v="No Priority"/>
    <x v="0"/>
    <m/>
    <x v="3"/>
    <x v="0"/>
    <x v="0"/>
    <m/>
    <x v="0"/>
    <m/>
    <m/>
    <m/>
    <s v="East"/>
    <s v="TATANAGAR"/>
    <x v="2"/>
    <x v="5"/>
    <x v="5"/>
    <x v="105"/>
    <s v="GP COIL SOFT-TSBXGP-N1GP-0.4X900"/>
    <s v="Z80"/>
    <s v=""/>
    <n v="4"/>
    <n v="12"/>
    <m/>
    <x v="7"/>
    <x v="13"/>
    <s v="N1GP"/>
    <x v="2"/>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21T00:00:00"/>
    <x v="0"/>
    <n v="9518620565"/>
    <n v="4"/>
    <s v="9518620565-4"/>
    <s v="No Priority"/>
    <x v="0"/>
    <m/>
    <x v="3"/>
    <x v="0"/>
    <x v="0"/>
    <m/>
    <x v="0"/>
    <m/>
    <m/>
    <m/>
    <s v="East"/>
    <s v="TATANAGAR"/>
    <x v="2"/>
    <x v="5"/>
    <x v="5"/>
    <x v="73"/>
    <s v="GP COIL SOFT-TSBXGP-N1GP-0.5X900"/>
    <s v="Z80"/>
    <s v=""/>
    <n v="4"/>
    <n v="12"/>
    <m/>
    <x v="7"/>
    <x v="13"/>
    <s v="N1GP"/>
    <x v="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24T00:00:00"/>
    <x v="2"/>
    <n v="9518627969"/>
    <n v="1"/>
    <s v="9518627969-1"/>
    <s v="No Priority"/>
    <x v="0"/>
    <m/>
    <x v="4"/>
    <x v="10"/>
    <x v="2"/>
    <m/>
    <x v="0"/>
    <m/>
    <s v="No allocation for IPP"/>
    <m/>
    <s v="South"/>
    <s v="VINJAMURU"/>
    <x v="2"/>
    <x v="79"/>
    <x v="76"/>
    <x v="367"/>
    <s v="GL COIL HARD  Y550GL HGL2 0.440X1235"/>
    <s v="AZ200"/>
    <s v=""/>
    <n v="6"/>
    <n v="20"/>
    <m/>
    <x v="5"/>
    <x v="7"/>
    <s v="HGL2"/>
    <x v="44"/>
    <x v="7"/>
    <x v="0"/>
    <n v="280"/>
    <n v="0"/>
    <n v="280"/>
    <n v="280"/>
    <n v="280"/>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16T00:00:00"/>
    <x v="0"/>
    <n v="9518604323"/>
    <n v="18"/>
    <s v="9518604323-18"/>
    <s v="May'25"/>
    <x v="0"/>
    <s v="Yes"/>
    <x v="1"/>
    <x v="2"/>
    <x v="0"/>
    <m/>
    <x v="1"/>
    <m/>
    <m/>
    <m/>
    <s v="East"/>
    <s v="TANGI"/>
    <x v="2"/>
    <x v="19"/>
    <x v="25"/>
    <x v="272"/>
    <s v="CRCA SHEET TSBCRC SR15 1.500X1250X2500"/>
    <s v=" "/>
    <s v=""/>
    <n v="0.1"/>
    <n v="5"/>
    <m/>
    <x v="2"/>
    <x v="4"/>
    <s v="SR15"/>
    <x v="27"/>
    <x v="0"/>
    <x v="3"/>
    <n v="75"/>
    <n v="0"/>
    <n v="75"/>
    <n v="75"/>
    <n v="75"/>
    <n v="75"/>
    <n v="0"/>
    <n v="0"/>
    <n v="0"/>
    <n v="0"/>
    <n v="0"/>
    <n v="0"/>
    <n v="0"/>
    <n v="0"/>
    <n v="0"/>
    <n v="0"/>
    <n v="0"/>
    <n v="0"/>
    <n v="0"/>
    <n v="0"/>
    <n v="0"/>
    <n v="0"/>
    <n v="0"/>
    <n v="0"/>
    <n v="0"/>
    <n v="0"/>
    <n v="0"/>
    <n v="0"/>
    <n v="0"/>
    <m/>
    <n v="0"/>
    <n v="75"/>
    <n v="0"/>
    <n v="0"/>
    <n v="0"/>
    <n v="75"/>
    <n v="0"/>
    <n v="75"/>
    <n v="0"/>
    <n v="0"/>
    <n v="0"/>
    <n v="0"/>
    <n v="75"/>
    <n v="0"/>
    <m/>
    <m/>
    <m/>
    <m/>
    <m/>
    <m/>
    <m/>
    <m/>
    <m/>
    <m/>
    <m/>
    <m/>
    <m/>
    <m/>
    <m/>
    <m/>
    <m/>
    <m/>
    <m/>
    <m/>
    <m/>
    <m/>
    <m/>
    <m/>
    <m/>
    <m/>
    <m/>
    <m/>
    <m/>
    <m/>
    <m/>
    <m/>
    <m/>
    <m/>
  </r>
  <r>
    <n v="742"/>
    <d v="2025-02-03T00:00:00"/>
    <x v="0"/>
    <n v="9518490750"/>
    <n v="15"/>
    <s v="9518490750-15"/>
    <s v="May'25"/>
    <x v="0"/>
    <s v="Yes"/>
    <x v="1"/>
    <x v="2"/>
    <x v="0"/>
    <n v="5500"/>
    <x v="1"/>
    <m/>
    <m/>
    <m/>
    <s v="East"/>
    <s v="TANGI"/>
    <x v="2"/>
    <x v="19"/>
    <x v="25"/>
    <x v="272"/>
    <s v="CRCA SHEET TSBCRC SR15 1.500X1250X2500"/>
    <s v=" "/>
    <s v=""/>
    <n v="0.1"/>
    <n v="5"/>
    <m/>
    <x v="2"/>
    <x v="4"/>
    <s v="SR15"/>
    <x v="27"/>
    <x v="0"/>
    <x v="3"/>
    <n v="90"/>
    <n v="0"/>
    <n v="90"/>
    <n v="90"/>
    <n v="90"/>
    <n v="90"/>
    <n v="0"/>
    <n v="0"/>
    <n v="0"/>
    <n v="0"/>
    <n v="0"/>
    <n v="0"/>
    <n v="0"/>
    <n v="0"/>
    <n v="0"/>
    <n v="0"/>
    <n v="0"/>
    <n v="0"/>
    <n v="0"/>
    <n v="0"/>
    <n v="0"/>
    <n v="0"/>
    <n v="0"/>
    <n v="0"/>
    <n v="0"/>
    <n v="0"/>
    <n v="0"/>
    <n v="0"/>
    <n v="0"/>
    <m/>
    <n v="0"/>
    <n v="90"/>
    <n v="0"/>
    <n v="0"/>
    <n v="0"/>
    <n v="90"/>
    <n v="0"/>
    <n v="90"/>
    <n v="0"/>
    <n v="0"/>
    <n v="0"/>
    <n v="0"/>
    <n v="90"/>
    <n v="0"/>
    <m/>
    <m/>
    <m/>
    <m/>
    <m/>
    <m/>
    <m/>
    <m/>
    <m/>
    <m/>
    <m/>
    <m/>
    <m/>
    <m/>
    <m/>
    <m/>
    <m/>
    <m/>
    <m/>
    <m/>
    <m/>
    <m/>
    <m/>
    <m/>
    <m/>
    <m/>
    <m/>
    <m/>
    <m/>
    <m/>
    <m/>
    <m/>
    <m/>
    <m/>
  </r>
  <r>
    <n v="743"/>
    <d v="2025-03-27T00:00:00"/>
    <x v="0"/>
    <n v="9518644652"/>
    <n v="1"/>
    <s v="9518644652-1"/>
    <s v="May'25"/>
    <x v="0"/>
    <m/>
    <x v="4"/>
    <x v="5"/>
    <x v="2"/>
    <m/>
    <x v="1"/>
    <m/>
    <m/>
    <m/>
    <s v="West"/>
    <s v="SANAND"/>
    <x v="2"/>
    <x v="45"/>
    <x v="84"/>
    <x v="350"/>
    <s v="GL COIL HARD  Y550GL HGL6 0.900X1200"/>
    <s v="AZ150"/>
    <s v=""/>
    <n v="10"/>
    <n v="17"/>
    <m/>
    <x v="5"/>
    <x v="7"/>
    <s v="HGL6"/>
    <x v="13"/>
    <x v="28"/>
    <x v="0"/>
    <n v="297"/>
    <n v="0"/>
    <n v="297"/>
    <n v="297"/>
    <n v="31.711000000000013"/>
    <n v="297"/>
    <n v="0"/>
    <n v="0"/>
    <n v="0"/>
    <n v="0"/>
    <n v="0"/>
    <n v="3.544"/>
    <n v="0"/>
    <n v="0"/>
    <n v="0"/>
    <n v="0"/>
    <n v="0"/>
    <n v="0"/>
    <n v="0"/>
    <n v="0"/>
    <n v="0"/>
    <n v="12.870000000000001"/>
    <n v="0"/>
    <n v="26.565000000000001"/>
    <n v="222.31"/>
    <n v="265.28899999999999"/>
    <n v="265.28899999999999"/>
    <n v="0"/>
    <n v="265.28899999999999"/>
    <m/>
    <n v="44.765000000000001"/>
    <n v="262.72500000000002"/>
    <n v="262.72500000000002"/>
    <n v="0"/>
    <n v="0"/>
    <n v="0"/>
    <n v="0"/>
    <n v="307.49"/>
    <n v="0"/>
    <n v="307.49"/>
    <n v="0"/>
    <n v="0"/>
    <n v="0"/>
    <n v="0"/>
    <m/>
    <m/>
    <m/>
    <m/>
    <m/>
    <m/>
    <m/>
    <m/>
    <m/>
    <m/>
    <m/>
    <m/>
    <m/>
    <m/>
    <m/>
    <m/>
    <m/>
    <m/>
    <m/>
    <m/>
    <m/>
    <m/>
    <m/>
    <m/>
    <m/>
    <m/>
    <m/>
    <m/>
    <m/>
    <m/>
    <m/>
    <m/>
    <m/>
    <m/>
  </r>
  <r>
    <n v="743"/>
    <d v="2025-03-28T00:00:00"/>
    <x v="0"/>
    <n v="9518649017"/>
    <n v="1"/>
    <s v="9518649017-1"/>
    <s v="May'25"/>
    <x v="0"/>
    <s v="Yes"/>
    <x v="4"/>
    <x v="5"/>
    <x v="2"/>
    <m/>
    <x v="1"/>
    <m/>
    <m/>
    <m/>
    <s v="West"/>
    <s v="SANAND"/>
    <x v="2"/>
    <x v="45"/>
    <x v="84"/>
    <x v="350"/>
    <s v="GL COIL HARD  Y550GL HGL6 0.900X1200"/>
    <s v="AZ150"/>
    <s v=""/>
    <n v="10"/>
    <n v="17"/>
    <m/>
    <x v="5"/>
    <x v="7"/>
    <s v="HGL6"/>
    <x v="13"/>
    <x v="28"/>
    <x v="0"/>
    <n v="270"/>
    <n v="0"/>
    <n v="270"/>
    <n v="270"/>
    <n v="0"/>
    <n v="270"/>
    <n v="0"/>
    <n v="0"/>
    <n v="0"/>
    <n v="0"/>
    <n v="0"/>
    <n v="3.0350000000000001"/>
    <n v="0"/>
    <n v="42.234999999999999"/>
    <n v="0"/>
    <n v="0"/>
    <n v="0"/>
    <n v="0"/>
    <n v="0"/>
    <n v="0"/>
    <n v="0"/>
    <n v="31.985000000000003"/>
    <n v="0"/>
    <n v="0"/>
    <n v="183.53"/>
    <n v="260.78499999999997"/>
    <n v="260.78499999999997"/>
    <n v="270"/>
    <n v="530.78499999999997"/>
    <m/>
    <n v="63.72999999999999"/>
    <n v="230.19499999999999"/>
    <n v="230.19499999999999"/>
    <n v="0"/>
    <n v="0"/>
    <n v="0"/>
    <n v="0"/>
    <n v="293.92499999999995"/>
    <n v="0"/>
    <n v="293.92499999999995"/>
    <n v="0"/>
    <n v="0"/>
    <n v="0"/>
    <n v="0"/>
    <m/>
    <m/>
    <m/>
    <m/>
    <m/>
    <m/>
    <m/>
    <m/>
    <m/>
    <m/>
    <m/>
    <m/>
    <m/>
    <m/>
    <m/>
    <m/>
    <m/>
    <m/>
    <m/>
    <m/>
    <m/>
    <m/>
    <m/>
    <m/>
    <m/>
    <m/>
    <m/>
    <m/>
    <m/>
    <m/>
    <m/>
    <m/>
    <m/>
    <m/>
  </r>
  <r>
    <n v="743"/>
    <d v="2025-03-25T00:00:00"/>
    <x v="2"/>
    <n v="9518634002"/>
    <n v="1"/>
    <s v="9518634002-1"/>
    <s v="No Priority"/>
    <x v="0"/>
    <s v="Yes"/>
    <x v="3"/>
    <x v="4"/>
    <x v="0"/>
    <m/>
    <x v="0"/>
    <m/>
    <m/>
    <m/>
    <s v="East"/>
    <s v="GAUHATI"/>
    <x v="2"/>
    <x v="16"/>
    <x v="17"/>
    <x v="368"/>
    <s v="GP COIL TATGPH GP02 0.630X900"/>
    <s v="Z120"/>
    <s v=""/>
    <n v="1"/>
    <n v="5"/>
    <m/>
    <x v="4"/>
    <x v="6"/>
    <s v="GP02"/>
    <x v="26"/>
    <x v="3"/>
    <x v="0"/>
    <n v="21"/>
    <n v="0"/>
    <n v="21"/>
    <n v="21"/>
    <n v="21"/>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2-25T00:00:00"/>
    <x v="0"/>
    <n v="9518550511"/>
    <n v="6"/>
    <s v="9518550511-6"/>
    <s v="May'25"/>
    <x v="0"/>
    <s v="Yes"/>
    <x v="1"/>
    <x v="11"/>
    <x v="0"/>
    <m/>
    <x v="1"/>
    <m/>
    <m/>
    <m/>
    <s v="South"/>
    <s v="YESHWANTHPURA"/>
    <x v="2"/>
    <x v="40"/>
    <x v="0"/>
    <x v="369"/>
    <s v="CRCA COIL TATXXD AH03 2X1250"/>
    <s v=" "/>
    <s v=""/>
    <n v="2"/>
    <n v="28"/>
    <m/>
    <x v="1"/>
    <x v="2"/>
    <s v="AH03"/>
    <x v="15"/>
    <x v="0"/>
    <x v="0"/>
    <n v="203"/>
    <n v="0"/>
    <n v="203"/>
    <n v="175.09"/>
    <n v="115.83999999999999"/>
    <n v="176.81"/>
    <n v="0"/>
    <n v="0"/>
    <n v="86.01"/>
    <n v="0"/>
    <n v="0"/>
    <n v="0"/>
    <n v="0"/>
    <n v="0"/>
    <n v="0"/>
    <n v="0"/>
    <n v="0"/>
    <n v="0"/>
    <n v="0"/>
    <n v="0"/>
    <n v="0"/>
    <n v="1.1500000000000001"/>
    <n v="0"/>
    <n v="0"/>
    <n v="0"/>
    <n v="87.160000000000011"/>
    <n v="87.160000000000011"/>
    <n v="0"/>
    <n v="87.160000000000011"/>
    <m/>
    <n v="0"/>
    <n v="176.81"/>
    <n v="0"/>
    <n v="176.81"/>
    <n v="0"/>
    <n v="0"/>
    <n v="0"/>
    <n v="176.81"/>
    <n v="0"/>
    <n v="176.81"/>
    <n v="0"/>
    <n v="0"/>
    <n v="0"/>
    <n v="0"/>
    <m/>
    <m/>
    <m/>
    <m/>
    <m/>
    <m/>
    <m/>
    <m/>
    <m/>
    <m/>
    <m/>
    <m/>
    <m/>
    <m/>
    <m/>
    <m/>
    <m/>
    <m/>
    <m/>
    <m/>
    <m/>
    <m/>
    <m/>
    <m/>
    <m/>
    <m/>
    <m/>
    <m/>
    <m/>
    <m/>
    <m/>
    <m/>
    <m/>
    <m/>
  </r>
  <r>
    <n v="742"/>
    <d v="2025-02-25T00:00:00"/>
    <x v="0"/>
    <n v="9518550511"/>
    <n v="7"/>
    <s v="9518550511-7"/>
    <s v="May'25"/>
    <x v="0"/>
    <s v="Yes"/>
    <x v="1"/>
    <x v="11"/>
    <x v="0"/>
    <m/>
    <x v="1"/>
    <m/>
    <m/>
    <m/>
    <s v="South"/>
    <s v="YESHWANTHPURA"/>
    <x v="2"/>
    <x v="40"/>
    <x v="0"/>
    <x v="370"/>
    <s v="CRCA COIL TATXXD AH03 2.300X1250"/>
    <s v=" "/>
    <s v=""/>
    <n v="2"/>
    <n v="28"/>
    <m/>
    <x v="1"/>
    <x v="2"/>
    <s v="AH03"/>
    <x v="39"/>
    <x v="0"/>
    <x v="0"/>
    <n v="58"/>
    <n v="0"/>
    <n v="58"/>
    <n v="58"/>
    <n v="58"/>
    <n v="58"/>
    <n v="0"/>
    <n v="0"/>
    <n v="0"/>
    <n v="0"/>
    <n v="0"/>
    <n v="0"/>
    <n v="0"/>
    <n v="0"/>
    <n v="0"/>
    <n v="0"/>
    <n v="0"/>
    <n v="0"/>
    <n v="0"/>
    <n v="0"/>
    <n v="0"/>
    <n v="0"/>
    <n v="0"/>
    <n v="0"/>
    <n v="0"/>
    <n v="0"/>
    <n v="0"/>
    <n v="0"/>
    <n v="0"/>
    <m/>
    <n v="0"/>
    <n v="58"/>
    <n v="0"/>
    <n v="0"/>
    <n v="58"/>
    <n v="0"/>
    <n v="0"/>
    <n v="58"/>
    <n v="0"/>
    <n v="0"/>
    <n v="58"/>
    <n v="0"/>
    <n v="0"/>
    <n v="0"/>
    <m/>
    <m/>
    <m/>
    <m/>
    <m/>
    <m/>
    <m/>
    <m/>
    <m/>
    <m/>
    <m/>
    <m/>
    <m/>
    <m/>
    <m/>
    <m/>
    <m/>
    <m/>
    <m/>
    <m/>
    <m/>
    <m/>
    <m/>
    <m/>
    <m/>
    <m/>
    <m/>
    <m/>
    <m/>
    <m/>
    <m/>
    <m/>
    <m/>
    <m/>
  </r>
  <r>
    <n v="744"/>
    <d v="2025-03-26T00:00:00"/>
    <x v="0"/>
    <n v="9518637488"/>
    <n v="1"/>
    <s v="9518637488-1"/>
    <s v="No Priority"/>
    <x v="0"/>
    <s v="Yes"/>
    <x v="2"/>
    <x v="3"/>
    <x v="2"/>
    <m/>
    <x v="0"/>
    <m/>
    <m/>
    <m/>
    <s v="TBSPL"/>
    <s v=" "/>
    <x v="2"/>
    <x v="6"/>
    <x v="6"/>
    <x v="6"/>
    <s v="PPGL C Y550 HPL3 0.42BMT(0.50TPT)X1220"/>
    <s v="AZ150"/>
    <s v="RAL 9002 TSL 142A"/>
    <n v="3"/>
    <n v="5"/>
    <m/>
    <x v="3"/>
    <x v="3"/>
    <s v="HPL3"/>
    <x v="3"/>
    <x v="1"/>
    <x v="0"/>
    <n v="56"/>
    <n v="0"/>
    <n v="56"/>
    <n v="56"/>
    <n v="56"/>
    <n v="38.395000000000003"/>
    <n v="0"/>
    <n v="0"/>
    <n v="0"/>
    <n v="0"/>
    <n v="0"/>
    <n v="0"/>
    <n v="0"/>
    <n v="0"/>
    <n v="0"/>
    <n v="0"/>
    <n v="0"/>
    <n v="0"/>
    <n v="0"/>
    <n v="0"/>
    <n v="0"/>
    <n v="0"/>
    <n v="0"/>
    <n v="0"/>
    <n v="0"/>
    <n v="0"/>
    <n v="0"/>
    <n v="0"/>
    <n v="0"/>
    <m/>
    <n v="0"/>
    <n v="0"/>
    <n v="0"/>
    <n v="0"/>
    <n v="0"/>
    <n v="0"/>
    <n v="0"/>
    <n v="0"/>
    <n v="0"/>
    <n v="0"/>
    <n v="0"/>
    <n v="0"/>
    <n v="0"/>
    <n v="0"/>
    <m/>
    <m/>
    <m/>
    <m/>
    <m/>
    <m/>
    <m/>
    <m/>
    <m/>
    <m/>
    <m/>
    <m/>
    <m/>
    <m/>
    <m/>
    <m/>
    <m/>
    <m/>
    <m/>
    <m/>
    <m/>
    <m/>
    <m/>
    <m/>
    <m/>
    <m/>
    <m/>
    <m/>
    <m/>
    <m/>
    <m/>
    <m/>
    <m/>
    <m/>
  </r>
  <r>
    <n v="743"/>
    <d v="2025-03-28T00:00:00"/>
    <x v="0"/>
    <n v="9518648408"/>
    <n v="2"/>
    <s v="9518648408-2"/>
    <s v="May'25"/>
    <x v="0"/>
    <m/>
    <x v="3"/>
    <x v="14"/>
    <x v="0"/>
    <m/>
    <x v="1"/>
    <m/>
    <m/>
    <s v="Maharashtra"/>
    <s v="West"/>
    <s v="NAGPUR"/>
    <x v="2"/>
    <x v="106"/>
    <x v="104"/>
    <x v="279"/>
    <s v="GP COIL SOFT-TATXGP-GK09-0.5X1220"/>
    <s v="Z80"/>
    <s v=""/>
    <n v="3"/>
    <n v="5"/>
    <m/>
    <x v="7"/>
    <x v="5"/>
    <s v="GK09"/>
    <x v="1"/>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3"/>
    <d v="2025-03-28T00:00:00"/>
    <x v="0"/>
    <n v="9518648408"/>
    <n v="3"/>
    <s v="9518648408-3"/>
    <s v="May'25"/>
    <x v="0"/>
    <m/>
    <x v="3"/>
    <x v="14"/>
    <x v="0"/>
    <m/>
    <x v="1"/>
    <m/>
    <m/>
    <s v="Maharashtra"/>
    <s v="West"/>
    <s v="NAGPUR"/>
    <x v="2"/>
    <x v="106"/>
    <x v="104"/>
    <x v="280"/>
    <s v="GP COIL SOFT-TATXGP-GK09-0.6X1220"/>
    <s v="Z80"/>
    <s v=""/>
    <n v="3"/>
    <n v="5.4"/>
    <m/>
    <x v="7"/>
    <x v="5"/>
    <s v="GK09"/>
    <x v="20"/>
    <x v="1"/>
    <x v="0"/>
    <n v="55.99"/>
    <n v="5.3949999999999996"/>
    <n v="50.594999999999999"/>
    <n v="50.594999999999999"/>
    <n v="50.594999999999999"/>
    <n v="50.594999999999999"/>
    <n v="0"/>
    <n v="0"/>
    <n v="0"/>
    <n v="0"/>
    <n v="0"/>
    <n v="0"/>
    <n v="0"/>
    <n v="0"/>
    <n v="0"/>
    <n v="0"/>
    <n v="0"/>
    <n v="0"/>
    <n v="0"/>
    <n v="0"/>
    <n v="0"/>
    <n v="0"/>
    <n v="0"/>
    <n v="0"/>
    <n v="0"/>
    <n v="0"/>
    <n v="0"/>
    <n v="0"/>
    <n v="0"/>
    <m/>
    <n v="0"/>
    <n v="50.594999999999999"/>
    <n v="0"/>
    <n v="0"/>
    <n v="50.594999999999999"/>
    <n v="0"/>
    <n v="0"/>
    <n v="50.594999999999999"/>
    <n v="0"/>
    <n v="0"/>
    <n v="0"/>
    <n v="50.594999999999999"/>
    <n v="0"/>
    <n v="0"/>
    <m/>
    <m/>
    <m/>
    <m/>
    <m/>
    <m/>
    <m/>
    <m/>
    <m/>
    <m/>
    <m/>
    <m/>
    <m/>
    <m/>
    <m/>
    <m/>
    <m/>
    <m/>
    <m/>
    <m/>
    <m/>
    <m/>
    <m/>
    <m/>
    <m/>
    <m/>
    <m/>
    <m/>
    <m/>
    <m/>
    <m/>
    <m/>
    <m/>
    <m/>
  </r>
  <r>
    <n v="742"/>
    <d v="2025-03-14T00:00:00"/>
    <x v="1"/>
    <n v="4000500995"/>
    <n v="5"/>
    <s v="4000500995-5"/>
    <s v="May'25"/>
    <x v="0"/>
    <m/>
    <x v="0"/>
    <x v="0"/>
    <x v="0"/>
    <m/>
    <x v="1"/>
    <m/>
    <m/>
    <m/>
    <s v="South"/>
    <s v="YESHWANTHPURA"/>
    <x v="2"/>
    <x v="21"/>
    <x v="21"/>
    <x v="358"/>
    <s v="HR COILS-POIS 1079 HR2  2.90X1250"/>
    <s v=" "/>
    <s v=""/>
    <n v="10"/>
    <n v="27"/>
    <m/>
    <x v="0"/>
    <x v="0"/>
    <s v="HR99"/>
    <x v="69"/>
    <x v="0"/>
    <x v="0"/>
    <n v="50"/>
    <n v="0"/>
    <n v="50"/>
    <n v="50"/>
    <n v="0.37000000000000455"/>
    <n v="50"/>
    <n v="0"/>
    <n v="0"/>
    <n v="24.63"/>
    <n v="0"/>
    <n v="0"/>
    <n v="0"/>
    <n v="0"/>
    <n v="0"/>
    <n v="0"/>
    <n v="0"/>
    <n v="0"/>
    <n v="0"/>
    <n v="0"/>
    <n v="0"/>
    <n v="0"/>
    <n v="0"/>
    <n v="0"/>
    <n v="0"/>
    <n v="0"/>
    <n v="24.63"/>
    <n v="24.63"/>
    <n v="25"/>
    <n v="49.629999999999995"/>
    <m/>
    <n v="0"/>
    <n v="50"/>
    <n v="0"/>
    <n v="0"/>
    <n v="0"/>
    <n v="50"/>
    <n v="0"/>
    <n v="50"/>
    <n v="0"/>
    <n v="0"/>
    <n v="0"/>
    <n v="0"/>
    <n v="50"/>
    <n v="0"/>
    <m/>
    <m/>
    <m/>
    <m/>
    <m/>
    <m/>
    <m/>
    <m/>
    <m/>
    <m/>
    <m/>
    <m/>
    <m/>
    <m/>
    <m/>
    <m/>
    <m/>
    <m/>
    <m/>
    <m/>
    <m/>
    <m/>
    <m/>
    <m/>
    <m/>
    <m/>
    <m/>
    <m/>
    <m/>
    <m/>
    <m/>
    <m/>
    <m/>
    <m/>
  </r>
  <r>
    <n v="742"/>
    <d v="2025-03-14T00:00:00"/>
    <x v="1"/>
    <n v="4000500995"/>
    <n v="6"/>
    <s v="4000500995-6"/>
    <s v="May'25"/>
    <x v="0"/>
    <m/>
    <x v="0"/>
    <x v="0"/>
    <x v="0"/>
    <m/>
    <x v="1"/>
    <m/>
    <m/>
    <m/>
    <s v="South"/>
    <s v="YESHWANTHPURA"/>
    <x v="2"/>
    <x v="21"/>
    <x v="21"/>
    <x v="87"/>
    <s v="HR COILS-PO IS 1079 HR2 3.15X1250"/>
    <s v=" "/>
    <s v=""/>
    <n v="10"/>
    <n v="27"/>
    <m/>
    <x v="0"/>
    <x v="0"/>
    <s v="HR99"/>
    <x v="30"/>
    <x v="0"/>
    <x v="0"/>
    <n v="50"/>
    <n v="0"/>
    <n v="50"/>
    <n v="50"/>
    <n v="50"/>
    <n v="50"/>
    <n v="0"/>
    <n v="0"/>
    <n v="0"/>
    <n v="0"/>
    <n v="0"/>
    <n v="0"/>
    <n v="0"/>
    <n v="0"/>
    <n v="0"/>
    <n v="0"/>
    <n v="0"/>
    <n v="0"/>
    <n v="0"/>
    <n v="0"/>
    <n v="0"/>
    <n v="0"/>
    <n v="0"/>
    <n v="0"/>
    <n v="0"/>
    <n v="0"/>
    <n v="0"/>
    <n v="0"/>
    <n v="0"/>
    <m/>
    <n v="0"/>
    <n v="50"/>
    <n v="0"/>
    <n v="0"/>
    <n v="0"/>
    <n v="50"/>
    <n v="0"/>
    <n v="50"/>
    <n v="0"/>
    <n v="0"/>
    <n v="0"/>
    <n v="0"/>
    <n v="50"/>
    <n v="0"/>
    <m/>
    <m/>
    <m/>
    <m/>
    <m/>
    <m/>
    <m/>
    <m/>
    <m/>
    <m/>
    <m/>
    <m/>
    <m/>
    <m/>
    <m/>
    <m/>
    <m/>
    <m/>
    <m/>
    <m/>
    <m/>
    <m/>
    <m/>
    <m/>
    <m/>
    <m/>
    <m/>
    <m/>
    <m/>
    <m/>
    <m/>
    <m/>
    <m/>
    <m/>
  </r>
  <r>
    <n v="743"/>
    <d v="2025-03-04T00:00:00"/>
    <x v="0"/>
    <n v="9518572041"/>
    <n v="4"/>
    <s v="9518572041-4"/>
    <s v="No Priority"/>
    <x v="0"/>
    <m/>
    <x v="3"/>
    <x v="0"/>
    <x v="0"/>
    <m/>
    <x v="0"/>
    <m/>
    <m/>
    <m/>
    <s v="East"/>
    <s v="TATANAGAR"/>
    <x v="2"/>
    <x v="5"/>
    <x v="5"/>
    <x v="73"/>
    <s v="GP COIL SOFT-TSBXGP-N1GP-0.5X900"/>
    <s v="Z80"/>
    <s v=""/>
    <n v="4"/>
    <n v="12"/>
    <m/>
    <x v="7"/>
    <x v="13"/>
    <s v="N1GP"/>
    <x v="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2-11T00:00:00"/>
    <x v="0"/>
    <n v="9518510093"/>
    <n v="10"/>
    <s v="9518510093-10"/>
    <s v="No Priority"/>
    <x v="0"/>
    <m/>
    <x v="1"/>
    <x v="1"/>
    <x v="0"/>
    <m/>
    <x v="0"/>
    <m/>
    <m/>
    <m/>
    <s v="North"/>
    <s v="LONI"/>
    <x v="2"/>
    <x v="49"/>
    <x v="48"/>
    <x v="95"/>
    <s v="CRCA COIL-TATXXD-AU03-1.2X1250"/>
    <s v=" "/>
    <s v=""/>
    <n v="10"/>
    <n v="30"/>
    <m/>
    <x v="1"/>
    <x v="2"/>
    <s v="AU03"/>
    <x v="19"/>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2-11T00:00:00"/>
    <x v="0"/>
    <n v="9518510093"/>
    <n v="11"/>
    <s v="9518510093-11"/>
    <s v="Stocks"/>
    <x v="0"/>
    <m/>
    <x v="1"/>
    <x v="1"/>
    <x v="0"/>
    <m/>
    <x v="1"/>
    <m/>
    <m/>
    <m/>
    <s v="North"/>
    <s v="LONI"/>
    <x v="2"/>
    <x v="49"/>
    <x v="48"/>
    <x v="69"/>
    <s v="CRCA COIL TATXXD AU03 1.500X1250"/>
    <s v=" "/>
    <s v=""/>
    <n v="10"/>
    <n v="30"/>
    <m/>
    <x v="1"/>
    <x v="2"/>
    <s v="AU03"/>
    <x v="27"/>
    <x v="0"/>
    <x v="0"/>
    <n v="29"/>
    <n v="0"/>
    <n v="29"/>
    <n v="0.32"/>
    <n v="0"/>
    <n v="3.4550000000000001"/>
    <n v="0"/>
    <n v="0"/>
    <n v="0"/>
    <n v="0"/>
    <n v="0"/>
    <n v="0"/>
    <n v="0"/>
    <n v="0"/>
    <n v="0"/>
    <n v="0"/>
    <n v="0"/>
    <n v="0"/>
    <n v="0"/>
    <n v="0"/>
    <n v="0"/>
    <n v="0"/>
    <n v="0"/>
    <n v="0"/>
    <n v="0"/>
    <n v="0"/>
    <n v="0"/>
    <n v="0"/>
    <n v="0"/>
    <m/>
    <n v="25.545000000000002"/>
    <n v="0"/>
    <n v="0"/>
    <n v="0"/>
    <n v="0"/>
    <n v="0"/>
    <n v="0"/>
    <n v="25.545000000000002"/>
    <n v="25.545000000000002"/>
    <n v="0"/>
    <n v="0"/>
    <n v="0"/>
    <n v="0"/>
    <n v="0"/>
    <m/>
    <m/>
    <m/>
    <m/>
    <m/>
    <m/>
    <m/>
    <m/>
    <m/>
    <m/>
    <m/>
    <m/>
    <m/>
    <m/>
    <m/>
    <m/>
    <m/>
    <m/>
    <m/>
    <m/>
    <m/>
    <m/>
    <m/>
    <m/>
    <m/>
    <m/>
    <m/>
    <m/>
    <m/>
    <m/>
    <m/>
    <m/>
    <m/>
    <m/>
  </r>
  <r>
    <n v="743"/>
    <d v="2025-02-25T00:00:00"/>
    <x v="0"/>
    <n v="9518550377"/>
    <n v="5"/>
    <s v="9518550377-5"/>
    <s v="No Priority"/>
    <x v="0"/>
    <m/>
    <x v="3"/>
    <x v="9"/>
    <x v="0"/>
    <m/>
    <x v="0"/>
    <m/>
    <m/>
    <m/>
    <s v="North"/>
    <s v="LONI"/>
    <x v="2"/>
    <x v="100"/>
    <x v="99"/>
    <x v="62"/>
    <s v="GP COIL SOFT-TATXGP-GK09-0.6X900"/>
    <s v="Z80"/>
    <s v=""/>
    <n v="4"/>
    <n v="6"/>
    <m/>
    <x v="7"/>
    <x v="5"/>
    <s v="GK09"/>
    <x v="20"/>
    <x v="3"/>
    <x v="0"/>
    <n v="210"/>
    <n v="0"/>
    <n v="210"/>
    <n v="210"/>
    <n v="210"/>
    <n v="210"/>
    <n v="0"/>
    <n v="0"/>
    <n v="0"/>
    <n v="0"/>
    <n v="0"/>
    <n v="0"/>
    <n v="0"/>
    <n v="0"/>
    <n v="0"/>
    <n v="0"/>
    <n v="0"/>
    <n v="0"/>
    <n v="0"/>
    <n v="0"/>
    <n v="0"/>
    <n v="0"/>
    <n v="0"/>
    <n v="0"/>
    <n v="0"/>
    <n v="0"/>
    <n v="0"/>
    <n v="0"/>
    <n v="0"/>
    <m/>
    <n v="0"/>
    <n v="0"/>
    <n v="0"/>
    <n v="0"/>
    <n v="0"/>
    <n v="0"/>
    <n v="0"/>
    <n v="0"/>
    <n v="0"/>
    <n v="0"/>
    <n v="0"/>
    <n v="0"/>
    <n v="0"/>
    <n v="0"/>
    <m/>
    <m/>
    <m/>
    <m/>
    <m/>
    <m/>
    <m/>
    <m/>
    <m/>
    <m/>
    <m/>
    <m/>
    <m/>
    <m/>
    <m/>
    <m/>
    <m/>
    <m/>
    <m/>
    <m/>
    <m/>
    <m/>
    <m/>
    <m/>
    <m/>
    <m/>
    <m/>
    <m/>
    <m/>
    <m/>
    <m/>
    <m/>
    <m/>
    <m/>
  </r>
  <r>
    <n v="743"/>
    <d v="2025-02-17T00:00:00"/>
    <x v="0"/>
    <n v="9518527008"/>
    <n v="2"/>
    <s v="9518527008-2"/>
    <s v="No Priority"/>
    <x v="0"/>
    <m/>
    <x v="3"/>
    <x v="9"/>
    <x v="0"/>
    <m/>
    <x v="0"/>
    <m/>
    <m/>
    <m/>
    <s v="North"/>
    <s v="LONI"/>
    <x v="2"/>
    <x v="100"/>
    <x v="99"/>
    <x v="51"/>
    <s v="GP COIL SOFT-TATXGP-GK09-0.3X900"/>
    <s v="Z80"/>
    <s v=""/>
    <n v="4"/>
    <n v="6"/>
    <m/>
    <x v="7"/>
    <x v="5"/>
    <s v="GK09"/>
    <x v="11"/>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4"/>
    <d v="2025-02-22T00:00:00"/>
    <x v="0"/>
    <n v="9518542873"/>
    <n v="6"/>
    <s v="9518542873-6"/>
    <s v="May'25"/>
    <x v="0"/>
    <m/>
    <x v="2"/>
    <x v="3"/>
    <x v="2"/>
    <m/>
    <x v="1"/>
    <m/>
    <m/>
    <m/>
    <s v="TBSPL"/>
    <s v=" "/>
    <x v="2"/>
    <x v="6"/>
    <x v="6"/>
    <x v="333"/>
    <s v="PPGL C Y550 HPL3 0.39BMT(0.47TPT)X1220"/>
    <s v="AZ150"/>
    <s v="SUPREME MAROON TSL 283"/>
    <n v="3"/>
    <n v="5"/>
    <m/>
    <x v="3"/>
    <x v="3"/>
    <s v="HPL3"/>
    <x v="64"/>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2"/>
    <d v="2025-02-14T00:00:00"/>
    <x v="0"/>
    <n v="9518520213"/>
    <n v="8"/>
    <s v="9518520213-8"/>
    <s v="No Priority"/>
    <x v="0"/>
    <m/>
    <x v="1"/>
    <x v="2"/>
    <x v="0"/>
    <m/>
    <x v="0"/>
    <m/>
    <m/>
    <m/>
    <s v="East"/>
    <s v="PURNIA"/>
    <x v="2"/>
    <x v="31"/>
    <x v="31"/>
    <x v="136"/>
    <s v="CRCA SHEET TATCRC SR16 0.450X1250X2500"/>
    <s v=" "/>
    <s v=""/>
    <n v="0"/>
    <n v="0"/>
    <m/>
    <x v="2"/>
    <x v="1"/>
    <s v="SR16"/>
    <x v="10"/>
    <x v="0"/>
    <x v="3"/>
    <n v="36"/>
    <n v="25.215"/>
    <n v="10.785"/>
    <n v="10.785"/>
    <n v="10.785"/>
    <n v="10.785"/>
    <n v="0"/>
    <n v="0"/>
    <n v="0"/>
    <n v="0"/>
    <n v="0"/>
    <n v="0"/>
    <n v="0"/>
    <n v="0"/>
    <n v="0"/>
    <n v="0"/>
    <n v="0"/>
    <n v="0"/>
    <n v="0"/>
    <n v="0"/>
    <n v="0"/>
    <n v="0"/>
    <n v="0"/>
    <n v="0"/>
    <n v="0"/>
    <n v="0"/>
    <n v="0"/>
    <n v="0"/>
    <n v="0"/>
    <m/>
    <n v="0"/>
    <n v="0"/>
    <n v="0"/>
    <n v="0"/>
    <n v="0"/>
    <n v="0"/>
    <n v="0"/>
    <n v="0"/>
    <n v="0"/>
    <n v="0"/>
    <n v="0"/>
    <n v="0"/>
    <n v="0"/>
    <n v="0"/>
    <m/>
    <m/>
    <m/>
    <m/>
    <m/>
    <m/>
    <m/>
    <m/>
    <m/>
    <m/>
    <m/>
    <m/>
    <m/>
    <m/>
    <m/>
    <m/>
    <m/>
    <m/>
    <m/>
    <m/>
    <m/>
    <m/>
    <m/>
    <m/>
    <m/>
    <m/>
    <m/>
    <m/>
    <m/>
    <m/>
    <m/>
    <m/>
    <m/>
    <m/>
  </r>
  <r>
    <n v="742"/>
    <d v="2025-03-06T00:00:00"/>
    <x v="0"/>
    <n v="9518579878"/>
    <n v="7"/>
    <s v="9518579878-7"/>
    <s v="May'25"/>
    <x v="0"/>
    <s v="Yes"/>
    <x v="1"/>
    <x v="2"/>
    <x v="0"/>
    <m/>
    <x v="1"/>
    <m/>
    <m/>
    <m/>
    <s v="North"/>
    <s v="VARANASI"/>
    <x v="2"/>
    <x v="2"/>
    <x v="2"/>
    <x v="210"/>
    <s v="CRCA SHEET TSBCRC SR15 0.600X1250X2030"/>
    <s v=" "/>
    <s v=""/>
    <n v="0"/>
    <n v="0"/>
    <m/>
    <x v="2"/>
    <x v="4"/>
    <s v="SR15"/>
    <x v="20"/>
    <x v="0"/>
    <x v="1"/>
    <n v="27"/>
    <n v="0"/>
    <n v="27"/>
    <n v="27"/>
    <n v="3.7699999999999996"/>
    <n v="27"/>
    <n v="0"/>
    <n v="0"/>
    <n v="23.23"/>
    <n v="0"/>
    <n v="0"/>
    <n v="0"/>
    <n v="0"/>
    <n v="0"/>
    <n v="0"/>
    <n v="0"/>
    <n v="0"/>
    <n v="0"/>
    <n v="0"/>
    <n v="0"/>
    <n v="0"/>
    <n v="0"/>
    <n v="0"/>
    <n v="0"/>
    <n v="0"/>
    <n v="23.23"/>
    <n v="23.23"/>
    <n v="0"/>
    <n v="23.23"/>
    <m/>
    <n v="0"/>
    <n v="27"/>
    <n v="0"/>
    <n v="0"/>
    <n v="27"/>
    <n v="0"/>
    <n v="0"/>
    <n v="27"/>
    <n v="0"/>
    <n v="0"/>
    <n v="27"/>
    <n v="0"/>
    <n v="0"/>
    <n v="0"/>
    <m/>
    <m/>
    <m/>
    <m/>
    <m/>
    <m/>
    <m/>
    <m/>
    <m/>
    <m/>
    <m/>
    <m/>
    <m/>
    <m/>
    <m/>
    <m/>
    <m/>
    <m/>
    <m/>
    <m/>
    <m/>
    <m/>
    <m/>
    <m/>
    <m/>
    <m/>
    <m/>
    <m/>
    <m/>
    <m/>
    <m/>
    <m/>
    <m/>
    <m/>
  </r>
  <r>
    <n v="742"/>
    <d v="2025-03-11T00:00:00"/>
    <x v="0"/>
    <n v="9518591869"/>
    <n v="10"/>
    <s v="9518591869-10"/>
    <s v="No Priority"/>
    <x v="0"/>
    <m/>
    <x v="1"/>
    <x v="1"/>
    <x v="0"/>
    <m/>
    <x v="0"/>
    <m/>
    <m/>
    <m/>
    <s v="North"/>
    <s v="FARIDABAD"/>
    <x v="2"/>
    <x v="56"/>
    <x v="52"/>
    <x v="95"/>
    <s v="CRCA COIL-TATXXD-AU03-1.2X1250"/>
    <s v=" "/>
    <s v=""/>
    <n v="10"/>
    <n v="30"/>
    <m/>
    <x v="1"/>
    <x v="2"/>
    <s v="AU03"/>
    <x v="19"/>
    <x v="0"/>
    <x v="0"/>
    <n v="29"/>
    <n v="0"/>
    <n v="29"/>
    <n v="29"/>
    <n v="29"/>
    <n v="0"/>
    <n v="0"/>
    <n v="0"/>
    <n v="0"/>
    <n v="0"/>
    <n v="0"/>
    <n v="0"/>
    <n v="0"/>
    <n v="0"/>
    <n v="0"/>
    <n v="0"/>
    <n v="0"/>
    <n v="0"/>
    <n v="0"/>
    <n v="0"/>
    <n v="0"/>
    <n v="0"/>
    <n v="0"/>
    <n v="0"/>
    <n v="0"/>
    <n v="0"/>
    <n v="0"/>
    <n v="0"/>
    <n v="0"/>
    <m/>
    <n v="0"/>
    <n v="0"/>
    <n v="0"/>
    <n v="0"/>
    <n v="0"/>
    <n v="0"/>
    <n v="0"/>
    <n v="0"/>
    <n v="0"/>
    <n v="0"/>
    <n v="0"/>
    <n v="0"/>
    <n v="0"/>
    <n v="0"/>
    <m/>
    <m/>
    <m/>
    <m/>
    <m/>
    <m/>
    <m/>
    <m/>
    <m/>
    <m/>
    <m/>
    <m/>
    <m/>
    <m/>
    <m/>
    <m/>
    <m/>
    <m/>
    <m/>
    <m/>
    <m/>
    <m/>
    <m/>
    <m/>
    <m/>
    <m/>
    <m/>
    <m/>
    <m/>
    <m/>
    <m/>
    <m/>
    <m/>
    <m/>
  </r>
  <r>
    <n v="743"/>
    <d v="2025-03-10T00:00:00"/>
    <x v="0"/>
    <n v="9518589716"/>
    <n v="6"/>
    <s v="9518589716-6"/>
    <s v="No Priority"/>
    <x v="0"/>
    <m/>
    <x v="3"/>
    <x v="9"/>
    <x v="0"/>
    <m/>
    <x v="0"/>
    <m/>
    <m/>
    <m/>
    <s v="North"/>
    <s v="KANPUR"/>
    <x v="2"/>
    <x v="53"/>
    <x v="50"/>
    <x v="62"/>
    <s v="GP COIL SOFT-TATXGP-GK09-0.6X900"/>
    <s v="Z80"/>
    <s v=""/>
    <n v="3.2"/>
    <n v="5"/>
    <m/>
    <x v="7"/>
    <x v="5"/>
    <s v="GK09"/>
    <x v="20"/>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3-15T00:00:00"/>
    <x v="0"/>
    <n v="9518602675"/>
    <n v="2"/>
    <s v="9518602675-2"/>
    <s v="May'25"/>
    <x v="0"/>
    <s v="Yes"/>
    <x v="3"/>
    <x v="9"/>
    <x v="0"/>
    <m/>
    <x v="1"/>
    <m/>
    <m/>
    <m/>
    <s v="East"/>
    <s v="WEST BOKARO"/>
    <x v="2"/>
    <x v="12"/>
    <x v="12"/>
    <x v="55"/>
    <s v="GP COIL SOFT-TATXGP-GK09-0.35X900"/>
    <s v="Z80"/>
    <s v=""/>
    <n v="5"/>
    <n v="15"/>
    <m/>
    <x v="7"/>
    <x v="5"/>
    <s v="GK09"/>
    <x v="6"/>
    <x v="3"/>
    <x v="0"/>
    <n v="147"/>
    <n v="0"/>
    <n v="147"/>
    <n v="147"/>
    <n v="147"/>
    <n v="147"/>
    <n v="0"/>
    <n v="0"/>
    <n v="0"/>
    <n v="0"/>
    <n v="0"/>
    <n v="0"/>
    <n v="0"/>
    <n v="0"/>
    <n v="0"/>
    <n v="0"/>
    <n v="0"/>
    <n v="0"/>
    <n v="0"/>
    <n v="0"/>
    <n v="0"/>
    <n v="0"/>
    <n v="0"/>
    <n v="0"/>
    <n v="0"/>
    <n v="0"/>
    <n v="0"/>
    <n v="0"/>
    <n v="0"/>
    <m/>
    <n v="0"/>
    <n v="147"/>
    <n v="0"/>
    <n v="0"/>
    <n v="147"/>
    <n v="0"/>
    <n v="0"/>
    <n v="147"/>
    <n v="0"/>
    <n v="0"/>
    <n v="0"/>
    <n v="147"/>
    <n v="0"/>
    <n v="0"/>
    <m/>
    <m/>
    <m/>
    <m/>
    <m/>
    <m/>
    <m/>
    <m/>
    <m/>
    <m/>
    <m/>
    <m/>
    <m/>
    <m/>
    <m/>
    <m/>
    <m/>
    <m/>
    <m/>
    <m/>
    <m/>
    <m/>
    <m/>
    <m/>
    <m/>
    <m/>
    <m/>
    <m/>
    <m/>
    <m/>
    <m/>
    <m/>
    <m/>
    <m/>
  </r>
  <r>
    <n v="742"/>
    <d v="2025-03-17T00:00:00"/>
    <x v="1"/>
    <n v="9518607093"/>
    <n v="1"/>
    <s v="9518607093-1"/>
    <s v="May'25"/>
    <x v="0"/>
    <m/>
    <x v="1"/>
    <x v="7"/>
    <x v="2"/>
    <m/>
    <x v="1"/>
    <m/>
    <m/>
    <m/>
    <s v="East"/>
    <s v="PILKHUWA"/>
    <x v="2"/>
    <x v="24"/>
    <x v="23"/>
    <x v="93"/>
    <s v="CRCA COIL TSBSTA EL06 0.500X1160"/>
    <s v=" "/>
    <s v=""/>
    <n v="8"/>
    <n v="13"/>
    <m/>
    <x v="1"/>
    <x v="9"/>
    <s v="EL06"/>
    <x v="1"/>
    <x v="13"/>
    <x v="0"/>
    <n v="297"/>
    <n v="186.64"/>
    <n v="110.36"/>
    <n v="110.36"/>
    <n v="61.674999999999997"/>
    <n v="110.36"/>
    <n v="0"/>
    <n v="0"/>
    <n v="0"/>
    <n v="21.45"/>
    <n v="0"/>
    <n v="0"/>
    <n v="0"/>
    <n v="0"/>
    <n v="0"/>
    <n v="0"/>
    <n v="27.235000000000003"/>
    <n v="0"/>
    <n v="0"/>
    <n v="0"/>
    <n v="0"/>
    <n v="0"/>
    <n v="0"/>
    <n v="0"/>
    <n v="0"/>
    <n v="48.685000000000002"/>
    <n v="48.685000000000002"/>
    <n v="0"/>
    <n v="48.685000000000002"/>
    <m/>
    <n v="0"/>
    <n v="110.36"/>
    <n v="0"/>
    <n v="0"/>
    <n v="110.36"/>
    <n v="0"/>
    <n v="0"/>
    <n v="110.36"/>
    <n v="0"/>
    <n v="0"/>
    <n v="0"/>
    <n v="110.36"/>
    <n v="0"/>
    <n v="0"/>
    <m/>
    <m/>
    <m/>
    <m/>
    <m/>
    <m/>
    <m/>
    <m/>
    <m/>
    <m/>
    <m/>
    <m/>
    <m/>
    <m/>
    <m/>
    <m/>
    <m/>
    <m/>
    <m/>
    <m/>
    <m/>
    <m/>
    <m/>
    <m/>
    <m/>
    <m/>
    <m/>
    <m/>
    <m/>
    <m/>
    <m/>
    <m/>
    <m/>
    <m/>
  </r>
  <r>
    <n v="743"/>
    <d v="2025-03-18T00:00:00"/>
    <x v="0"/>
    <n v="9518610550"/>
    <n v="1"/>
    <s v="9518610550-1"/>
    <s v="No Priority"/>
    <x v="0"/>
    <m/>
    <x v="3"/>
    <x v="9"/>
    <x v="0"/>
    <m/>
    <x v="0"/>
    <m/>
    <m/>
    <m/>
    <s v="North"/>
    <s v="SANHEWAL"/>
    <x v="2"/>
    <x v="84"/>
    <x v="81"/>
    <x v="316"/>
    <s v="GP COIL SOFT-TATXGP-GK09-0.2X900"/>
    <s v="Z80"/>
    <s v=""/>
    <n v="4"/>
    <n v="6"/>
    <m/>
    <x v="7"/>
    <x v="5"/>
    <s v="GK09"/>
    <x v="6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550"/>
    <n v="4"/>
    <s v="9518610550-4"/>
    <s v="No Priority"/>
    <x v="0"/>
    <m/>
    <x v="3"/>
    <x v="9"/>
    <x v="0"/>
    <m/>
    <x v="0"/>
    <m/>
    <m/>
    <m/>
    <s v="North"/>
    <s v="SANHEWAL"/>
    <x v="2"/>
    <x v="84"/>
    <x v="81"/>
    <x v="55"/>
    <s v="GP COIL SOFT-TATXGP-GK09-0.35X900"/>
    <s v="Z80"/>
    <s v=""/>
    <n v="4"/>
    <n v="6"/>
    <m/>
    <x v="7"/>
    <x v="5"/>
    <s v="GK09"/>
    <x v="6"/>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550"/>
    <n v="5"/>
    <s v="9518610550-5"/>
    <s v="No Priority"/>
    <x v="0"/>
    <m/>
    <x v="3"/>
    <x v="9"/>
    <x v="0"/>
    <m/>
    <x v="0"/>
    <m/>
    <m/>
    <m/>
    <s v="North"/>
    <s v="SANHEWAL"/>
    <x v="2"/>
    <x v="84"/>
    <x v="81"/>
    <x v="56"/>
    <s v="GP COIL SOFT-TATXGP-GK09-0.4X900"/>
    <s v="Z80"/>
    <s v=""/>
    <n v="4"/>
    <n v="6"/>
    <m/>
    <x v="7"/>
    <x v="5"/>
    <s v="GK09"/>
    <x v="2"/>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550"/>
    <n v="7"/>
    <s v="9518610550-7"/>
    <s v="No Priority"/>
    <x v="0"/>
    <m/>
    <x v="3"/>
    <x v="9"/>
    <x v="0"/>
    <m/>
    <x v="0"/>
    <m/>
    <m/>
    <m/>
    <s v="North"/>
    <s v="SANHEWAL"/>
    <x v="2"/>
    <x v="84"/>
    <x v="81"/>
    <x v="281"/>
    <s v="GP COIL SOFT-TATXGP-GK09-0.45X900"/>
    <s v="Z80"/>
    <s v=""/>
    <n v="4"/>
    <n v="6"/>
    <m/>
    <x v="7"/>
    <x v="5"/>
    <s v="GK09"/>
    <x v="1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550"/>
    <n v="8"/>
    <s v="9518610550-8"/>
    <s v="No Priority"/>
    <x v="0"/>
    <m/>
    <x v="3"/>
    <x v="9"/>
    <x v="0"/>
    <m/>
    <x v="0"/>
    <m/>
    <m/>
    <m/>
    <s v="North"/>
    <s v="SANHEWAL"/>
    <x v="2"/>
    <x v="84"/>
    <x v="81"/>
    <x v="329"/>
    <s v="GP COIL SOFT-TATXGP-GK09-0.45X1000"/>
    <s v="Z80"/>
    <s v=""/>
    <n v="4"/>
    <n v="6"/>
    <m/>
    <x v="7"/>
    <x v="5"/>
    <s v="GK09"/>
    <x v="10"/>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550"/>
    <n v="10"/>
    <s v="9518610550-10"/>
    <s v="No Priority"/>
    <x v="0"/>
    <m/>
    <x v="3"/>
    <x v="9"/>
    <x v="0"/>
    <m/>
    <x v="0"/>
    <m/>
    <m/>
    <m/>
    <s v="North"/>
    <s v="SANHEWAL"/>
    <x v="2"/>
    <x v="84"/>
    <x v="81"/>
    <x v="121"/>
    <s v="GP COIL SOFT-TATXGP-GK09-0.5X900"/>
    <s v="Z80"/>
    <s v=""/>
    <n v="4"/>
    <n v="6"/>
    <m/>
    <x v="7"/>
    <x v="5"/>
    <s v="GK09"/>
    <x v="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550"/>
    <n v="11"/>
    <s v="9518610550-11"/>
    <s v="No Priority"/>
    <x v="0"/>
    <m/>
    <x v="3"/>
    <x v="9"/>
    <x v="0"/>
    <m/>
    <x v="0"/>
    <m/>
    <m/>
    <m/>
    <s v="North"/>
    <s v="SANHEWAL"/>
    <x v="2"/>
    <x v="84"/>
    <x v="81"/>
    <x v="330"/>
    <s v="GP COIL SOFT-TATXGP-GK09-0.5X1000"/>
    <s v="Z80"/>
    <s v=""/>
    <n v="4"/>
    <n v="6"/>
    <m/>
    <x v="7"/>
    <x v="5"/>
    <s v="GK09"/>
    <x v="1"/>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550"/>
    <n v="13"/>
    <s v="9518610550-13"/>
    <s v="No Priority"/>
    <x v="0"/>
    <m/>
    <x v="3"/>
    <x v="9"/>
    <x v="0"/>
    <m/>
    <x v="0"/>
    <m/>
    <m/>
    <m/>
    <s v="North"/>
    <s v="SANHEWAL"/>
    <x v="2"/>
    <x v="84"/>
    <x v="81"/>
    <x v="62"/>
    <s v="GP COIL SOFT-TATXGP-GK09-0.6X900"/>
    <s v="Z80"/>
    <s v=""/>
    <n v="4"/>
    <n v="6"/>
    <m/>
    <x v="7"/>
    <x v="5"/>
    <s v="GK09"/>
    <x v="2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88"/>
    <n v="8"/>
    <s v="9518569788-8"/>
    <s v="May'25"/>
    <x v="0"/>
    <s v="Yes"/>
    <x v="1"/>
    <x v="1"/>
    <x v="0"/>
    <m/>
    <x v="1"/>
    <m/>
    <m/>
    <m/>
    <s v="East"/>
    <s v="GUWAHATI"/>
    <x v="2"/>
    <x v="25"/>
    <x v="24"/>
    <x v="292"/>
    <s v="CRCA COIL TATXXD AU03 0.8X1250"/>
    <s v=" "/>
    <s v=""/>
    <n v="7"/>
    <n v="12"/>
    <m/>
    <x v="1"/>
    <x v="2"/>
    <s v="AU03"/>
    <x v="5"/>
    <x v="0"/>
    <x v="0"/>
    <n v="58"/>
    <n v="40.270000000000003"/>
    <n v="17.73"/>
    <n v="17.73"/>
    <n v="17.73"/>
    <n v="17.73"/>
    <n v="0"/>
    <n v="0"/>
    <n v="0"/>
    <n v="0"/>
    <n v="0"/>
    <n v="0"/>
    <n v="0"/>
    <n v="0"/>
    <n v="0"/>
    <n v="0"/>
    <n v="0"/>
    <n v="0"/>
    <n v="0"/>
    <n v="0"/>
    <n v="0"/>
    <n v="0"/>
    <n v="0"/>
    <n v="0"/>
    <n v="0"/>
    <n v="0"/>
    <n v="0"/>
    <n v="0"/>
    <n v="0"/>
    <m/>
    <n v="0"/>
    <n v="17.73"/>
    <n v="0"/>
    <n v="0"/>
    <n v="0"/>
    <n v="17.73"/>
    <n v="0"/>
    <n v="17.73"/>
    <n v="0"/>
    <n v="0"/>
    <n v="0"/>
    <n v="0"/>
    <n v="17.73"/>
    <n v="0"/>
    <m/>
    <m/>
    <m/>
    <m/>
    <m/>
    <m/>
    <m/>
    <m/>
    <m/>
    <m/>
    <m/>
    <m/>
    <m/>
    <m/>
    <m/>
    <m/>
    <m/>
    <m/>
    <m/>
    <m/>
    <m/>
    <m/>
    <m/>
    <m/>
    <m/>
    <m/>
    <m/>
    <m/>
    <m/>
    <m/>
    <m/>
    <m/>
    <m/>
    <m/>
  </r>
  <r>
    <n v="743"/>
    <d v="2025-03-12T00:00:00"/>
    <x v="0"/>
    <n v="9518596806"/>
    <n v="2"/>
    <s v="9518596806-2"/>
    <s v="May'25"/>
    <x v="0"/>
    <s v="Yes"/>
    <x v="3"/>
    <x v="9"/>
    <x v="0"/>
    <m/>
    <x v="1"/>
    <m/>
    <m/>
    <m/>
    <s v="East"/>
    <s v=" "/>
    <x v="2"/>
    <x v="10"/>
    <x v="10"/>
    <x v="55"/>
    <s v="GP COIL SOFT-TATXGP-GK09-0.35X900"/>
    <s v="Z80"/>
    <s v=""/>
    <n v="4"/>
    <n v="12"/>
    <m/>
    <x v="7"/>
    <x v="5"/>
    <s v="GK09"/>
    <x v="6"/>
    <x v="3"/>
    <x v="0"/>
    <n v="42"/>
    <n v="0"/>
    <n v="42"/>
    <n v="42"/>
    <n v="42"/>
    <n v="42"/>
    <n v="0"/>
    <n v="0"/>
    <n v="0"/>
    <n v="0"/>
    <n v="0"/>
    <n v="0"/>
    <n v="0"/>
    <n v="0"/>
    <n v="0"/>
    <n v="0"/>
    <n v="0"/>
    <n v="0"/>
    <n v="0"/>
    <n v="0"/>
    <n v="0"/>
    <n v="0"/>
    <n v="0"/>
    <n v="0"/>
    <n v="0"/>
    <n v="0"/>
    <n v="0"/>
    <n v="0"/>
    <n v="0"/>
    <m/>
    <n v="0"/>
    <n v="42"/>
    <n v="0"/>
    <n v="42"/>
    <n v="0"/>
    <n v="0"/>
    <n v="0"/>
    <n v="42"/>
    <n v="0"/>
    <n v="0"/>
    <n v="42"/>
    <n v="0"/>
    <n v="0"/>
    <n v="0"/>
    <m/>
    <m/>
    <m/>
    <m/>
    <m/>
    <m/>
    <m/>
    <m/>
    <m/>
    <m/>
    <m/>
    <m/>
    <m/>
    <m/>
    <m/>
    <m/>
    <m/>
    <m/>
    <m/>
    <m/>
    <m/>
    <m/>
    <m/>
    <m/>
    <m/>
    <m/>
    <m/>
    <m/>
    <m/>
    <m/>
    <m/>
    <m/>
    <m/>
    <m/>
  </r>
  <r>
    <n v="742"/>
    <d v="2025-03-16T00:00:00"/>
    <x v="0"/>
    <n v="9518604323"/>
    <n v="17"/>
    <s v="9518604323-17"/>
    <s v="May'25"/>
    <x v="0"/>
    <s v="Yes"/>
    <x v="1"/>
    <x v="2"/>
    <x v="0"/>
    <m/>
    <x v="1"/>
    <m/>
    <m/>
    <m/>
    <s v="East"/>
    <s v="TANGI"/>
    <x v="2"/>
    <x v="19"/>
    <x v="25"/>
    <x v="209"/>
    <s v="CRCA SHEET TSBCRC SR15 1.200X1250X2500"/>
    <s v=" "/>
    <s v=""/>
    <n v="0.1"/>
    <n v="5"/>
    <m/>
    <x v="2"/>
    <x v="4"/>
    <s v="SR15"/>
    <x v="19"/>
    <x v="0"/>
    <x v="3"/>
    <n v="30"/>
    <n v="0"/>
    <n v="30"/>
    <n v="30"/>
    <n v="30"/>
    <n v="30"/>
    <n v="0"/>
    <n v="0"/>
    <n v="0"/>
    <n v="0"/>
    <n v="0"/>
    <n v="0"/>
    <n v="0"/>
    <n v="0"/>
    <n v="0"/>
    <n v="0"/>
    <n v="0"/>
    <n v="0"/>
    <n v="0"/>
    <n v="0"/>
    <n v="0"/>
    <n v="0"/>
    <n v="0"/>
    <n v="0"/>
    <n v="0"/>
    <n v="0"/>
    <n v="0"/>
    <n v="0"/>
    <n v="0"/>
    <m/>
    <n v="0"/>
    <n v="30"/>
    <n v="0"/>
    <n v="0"/>
    <n v="30"/>
    <n v="0"/>
    <n v="0"/>
    <n v="30"/>
    <n v="0"/>
    <n v="0"/>
    <n v="30"/>
    <n v="0"/>
    <n v="0"/>
    <n v="0"/>
    <m/>
    <m/>
    <m/>
    <m/>
    <m/>
    <m/>
    <m/>
    <m/>
    <m/>
    <m/>
    <m/>
    <m/>
    <m/>
    <m/>
    <m/>
    <m/>
    <m/>
    <m/>
    <m/>
    <m/>
    <m/>
    <m/>
    <m/>
    <m/>
    <m/>
    <m/>
    <m/>
    <m/>
    <m/>
    <m/>
    <m/>
    <m/>
    <m/>
    <m/>
  </r>
  <r>
    <n v="743"/>
    <d v="2025-03-18T00:00:00"/>
    <x v="0"/>
    <n v="9518609974"/>
    <n v="2"/>
    <s v="9518609974-2"/>
    <s v="No Priority"/>
    <x v="0"/>
    <m/>
    <x v="3"/>
    <x v="9"/>
    <x v="0"/>
    <m/>
    <x v="0"/>
    <m/>
    <m/>
    <m/>
    <s v="North"/>
    <s v="LONI"/>
    <x v="2"/>
    <x v="91"/>
    <x v="88"/>
    <x v="316"/>
    <s v="GP COIL SOFT-TATXGP-GK09-0.2X900"/>
    <s v="Z80"/>
    <s v=""/>
    <n v="4"/>
    <n v="6"/>
    <m/>
    <x v="7"/>
    <x v="5"/>
    <s v="GK09"/>
    <x v="6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234"/>
    <n v="1"/>
    <s v="9518612234-1"/>
    <s v="No Priority"/>
    <x v="0"/>
    <m/>
    <x v="3"/>
    <x v="9"/>
    <x v="0"/>
    <m/>
    <x v="0"/>
    <m/>
    <m/>
    <m/>
    <s v="North"/>
    <s v="LONI"/>
    <x v="2"/>
    <x v="100"/>
    <x v="99"/>
    <x v="261"/>
    <s v="GP COIL SOFT-TATXGP-GK09-0.25X900"/>
    <s v="Z80"/>
    <s v=""/>
    <n v="4"/>
    <n v="6"/>
    <m/>
    <x v="7"/>
    <x v="5"/>
    <s v="GK09"/>
    <x v="12"/>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4"/>
    <d v="2025-03-19T00:00:00"/>
    <x v="0"/>
    <n v="9518612385"/>
    <n v="8"/>
    <s v="9518612385-8"/>
    <s v="May'25"/>
    <x v="0"/>
    <s v="Yes"/>
    <x v="2"/>
    <x v="3"/>
    <x v="2"/>
    <m/>
    <x v="1"/>
    <m/>
    <m/>
    <m/>
    <s v="TBSPL"/>
    <s v="GAMHARIA"/>
    <x v="2"/>
    <x v="15"/>
    <x v="15"/>
    <x v="76"/>
    <s v="PPGL C Y550 ISC6 0.43BMT(0.48TPT)X1220"/>
    <s v="aZ70"/>
    <s v="PRO BLACK TSL 1914"/>
    <n v="3"/>
    <n v="5"/>
    <m/>
    <x v="3"/>
    <x v="3"/>
    <s v="ISC6"/>
    <x v="25"/>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742"/>
    <d v="2025-03-16T00:00:00"/>
    <x v="0"/>
    <n v="9518604323"/>
    <n v="7"/>
    <s v="9518604323-7"/>
    <s v="May'25"/>
    <x v="0"/>
    <s v="Yes"/>
    <x v="1"/>
    <x v="2"/>
    <x v="0"/>
    <m/>
    <x v="1"/>
    <m/>
    <m/>
    <m/>
    <s v="East"/>
    <s v="TANGI"/>
    <x v="2"/>
    <x v="19"/>
    <x v="25"/>
    <x v="28"/>
    <s v="CRCA SHEET TSBCRC SR15 0.500X1250X2500"/>
    <s v=" "/>
    <s v=""/>
    <n v="0.1"/>
    <n v="5"/>
    <m/>
    <x v="2"/>
    <x v="4"/>
    <s v="SR15"/>
    <x v="1"/>
    <x v="0"/>
    <x v="3"/>
    <n v="48"/>
    <n v="0"/>
    <n v="48"/>
    <n v="48"/>
    <n v="-5.7549999999999955"/>
    <n v="48"/>
    <n v="0"/>
    <n v="0"/>
    <n v="0"/>
    <n v="0"/>
    <n v="0"/>
    <n v="0"/>
    <n v="0"/>
    <n v="0"/>
    <n v="51.204999999999998"/>
    <n v="0"/>
    <n v="0"/>
    <n v="0"/>
    <n v="0"/>
    <n v="0"/>
    <n v="0"/>
    <n v="0"/>
    <n v="0"/>
    <n v="2.5500000000000003"/>
    <n v="0"/>
    <n v="53.754999999999995"/>
    <n v="53.754999999999995"/>
    <n v="0"/>
    <n v="53.754999999999995"/>
    <m/>
    <n v="13.5"/>
    <n v="48"/>
    <n v="48"/>
    <n v="0"/>
    <n v="0"/>
    <n v="0"/>
    <n v="0"/>
    <n v="61.5"/>
    <n v="0"/>
    <n v="61.5"/>
    <n v="0"/>
    <n v="0"/>
    <n v="0"/>
    <n v="0"/>
    <m/>
    <m/>
    <m/>
    <m/>
    <m/>
    <m/>
    <m/>
    <m/>
    <m/>
    <m/>
    <m/>
    <m/>
    <m/>
    <m/>
    <m/>
    <m/>
    <m/>
    <m/>
    <m/>
    <m/>
    <m/>
    <m/>
    <m/>
    <m/>
    <m/>
    <m/>
    <m/>
    <m/>
    <m/>
    <m/>
    <m/>
    <m/>
    <m/>
    <m/>
  </r>
  <r>
    <n v="742"/>
    <d v="2025-03-16T00:00:00"/>
    <x v="0"/>
    <n v="9518604323"/>
    <n v="9"/>
    <s v="9518604323-9"/>
    <s v="No Priority"/>
    <x v="0"/>
    <m/>
    <x v="1"/>
    <x v="2"/>
    <x v="0"/>
    <m/>
    <x v="0"/>
    <m/>
    <m/>
    <m/>
    <s v="East"/>
    <s v="TANGI"/>
    <x v="2"/>
    <x v="19"/>
    <x v="25"/>
    <x v="54"/>
    <s v="CRCA SHEET TSBCRC SR15 0.500X1000X2500"/>
    <s v=" "/>
    <s v=""/>
    <n v="0.1"/>
    <n v="5"/>
    <m/>
    <x v="2"/>
    <x v="4"/>
    <s v="SR15"/>
    <x v="1"/>
    <x v="2"/>
    <x v="3"/>
    <n v="3"/>
    <n v="0"/>
    <n v="3"/>
    <n v="3"/>
    <n v="3"/>
    <n v="3"/>
    <n v="0"/>
    <n v="0"/>
    <n v="0"/>
    <n v="0"/>
    <n v="0"/>
    <n v="0"/>
    <n v="0"/>
    <n v="0"/>
    <n v="0"/>
    <n v="0"/>
    <n v="0"/>
    <n v="0"/>
    <n v="0"/>
    <n v="0"/>
    <n v="0"/>
    <n v="0"/>
    <n v="0"/>
    <n v="0"/>
    <n v="0"/>
    <n v="0"/>
    <n v="0"/>
    <n v="0"/>
    <n v="0"/>
    <m/>
    <n v="0"/>
    <n v="0"/>
    <n v="0"/>
    <n v="0"/>
    <n v="0"/>
    <n v="0"/>
    <n v="0"/>
    <n v="0"/>
    <n v="0"/>
    <n v="0"/>
    <n v="0"/>
    <n v="0"/>
    <n v="0"/>
    <n v="0"/>
    <m/>
    <m/>
    <m/>
    <m/>
    <m/>
    <m/>
    <m/>
    <m/>
    <m/>
    <m/>
    <m/>
    <m/>
    <m/>
    <m/>
    <m/>
    <m/>
    <m/>
    <m/>
    <m/>
    <m/>
    <m/>
    <m/>
    <m/>
    <m/>
    <m/>
    <m/>
    <m/>
    <m/>
    <m/>
    <m/>
    <m/>
    <m/>
    <m/>
    <m/>
  </r>
  <r>
    <n v="742"/>
    <d v="2025-03-16T00:00:00"/>
    <x v="0"/>
    <n v="9518604323"/>
    <n v="11"/>
    <s v="9518604323-11"/>
    <s v="May'25"/>
    <x v="0"/>
    <s v="Yes"/>
    <x v="1"/>
    <x v="2"/>
    <x v="0"/>
    <m/>
    <x v="1"/>
    <m/>
    <m/>
    <m/>
    <s v="East"/>
    <s v="TANGI"/>
    <x v="2"/>
    <x v="19"/>
    <x v="25"/>
    <x v="271"/>
    <s v="CRCA SHEET TSBCRC SR15 0.700X1250X2500"/>
    <s v=" "/>
    <s v=""/>
    <n v="0.1"/>
    <n v="5"/>
    <m/>
    <x v="2"/>
    <x v="4"/>
    <s v="SR15"/>
    <x v="4"/>
    <x v="0"/>
    <x v="3"/>
    <n v="24"/>
    <n v="0"/>
    <n v="24"/>
    <n v="24"/>
    <n v="24"/>
    <n v="18.21"/>
    <n v="0"/>
    <n v="0"/>
    <n v="0"/>
    <n v="0"/>
    <n v="0"/>
    <n v="0"/>
    <n v="0"/>
    <n v="0"/>
    <n v="0"/>
    <n v="0"/>
    <n v="0"/>
    <n v="0"/>
    <n v="0"/>
    <n v="0"/>
    <n v="0"/>
    <n v="0"/>
    <n v="0"/>
    <n v="0"/>
    <n v="0"/>
    <n v="0"/>
    <n v="0"/>
    <n v="0"/>
    <n v="0"/>
    <m/>
    <n v="5.7899999999999991"/>
    <n v="18.21"/>
    <n v="0"/>
    <n v="0"/>
    <n v="18.21"/>
    <n v="0"/>
    <n v="0"/>
    <n v="24"/>
    <n v="0"/>
    <n v="0"/>
    <n v="0"/>
    <n v="24"/>
    <n v="0"/>
    <n v="0"/>
    <m/>
    <m/>
    <m/>
    <m/>
    <m/>
    <m/>
    <m/>
    <m/>
    <m/>
    <m/>
    <m/>
    <m/>
    <m/>
    <m/>
    <m/>
    <m/>
    <m/>
    <m/>
    <m/>
    <m/>
    <m/>
    <m/>
    <m/>
    <m/>
    <m/>
    <m/>
    <m/>
    <m/>
    <m/>
    <m/>
    <m/>
    <m/>
    <m/>
    <m/>
  </r>
  <r>
    <n v="742"/>
    <d v="2025-02-11T00:00:00"/>
    <x v="0"/>
    <n v="9518510371"/>
    <n v="2"/>
    <s v="9518510371-2"/>
    <s v="No Priority"/>
    <x v="0"/>
    <m/>
    <x v="1"/>
    <x v="2"/>
    <x v="0"/>
    <m/>
    <x v="0"/>
    <m/>
    <m/>
    <m/>
    <s v="North"/>
    <s v="GORAKHPUR"/>
    <x v="2"/>
    <x v="7"/>
    <x v="7"/>
    <x v="154"/>
    <s v="CRCA SHEET TATCRC SR16 0.350X1250X2500"/>
    <s v=" "/>
    <s v=""/>
    <n v="0"/>
    <n v="0"/>
    <m/>
    <x v="2"/>
    <x v="1"/>
    <s v="SR16"/>
    <x v="6"/>
    <x v="0"/>
    <x v="3"/>
    <n v="39"/>
    <n v="25.08"/>
    <n v="13.92"/>
    <n v="13.92"/>
    <n v="13.92"/>
    <n v="13.92"/>
    <n v="0"/>
    <n v="0"/>
    <n v="0"/>
    <n v="0"/>
    <n v="0"/>
    <n v="0"/>
    <n v="0"/>
    <n v="0"/>
    <n v="0"/>
    <n v="0"/>
    <n v="0"/>
    <n v="0"/>
    <n v="0"/>
    <n v="0"/>
    <n v="0"/>
    <n v="0"/>
    <n v="0"/>
    <n v="0"/>
    <n v="0"/>
    <n v="0"/>
    <n v="0"/>
    <n v="0"/>
    <n v="0"/>
    <m/>
    <n v="0"/>
    <n v="0"/>
    <n v="0"/>
    <n v="0"/>
    <n v="0"/>
    <n v="0"/>
    <n v="0"/>
    <n v="0"/>
    <n v="0"/>
    <n v="0"/>
    <n v="0"/>
    <n v="0"/>
    <n v="0"/>
    <n v="0"/>
    <m/>
    <m/>
    <m/>
    <m/>
    <m/>
    <m/>
    <m/>
    <m/>
    <m/>
    <m/>
    <m/>
    <m/>
    <m/>
    <m/>
    <m/>
    <m/>
    <m/>
    <m/>
    <m/>
    <m/>
    <m/>
    <m/>
    <m/>
    <m/>
    <m/>
    <m/>
    <m/>
    <m/>
    <m/>
    <m/>
    <m/>
    <m/>
    <m/>
    <m/>
  </r>
  <r>
    <n v="743"/>
    <d v="2025-03-10T00:00:00"/>
    <x v="0"/>
    <n v="9518588324"/>
    <n v="2"/>
    <s v="9518588324-2"/>
    <s v="No Priority"/>
    <x v="0"/>
    <m/>
    <x v="4"/>
    <x v="10"/>
    <x v="2"/>
    <m/>
    <x v="0"/>
    <m/>
    <s v="No allocation for IPP"/>
    <m/>
    <s v="South"/>
    <s v="VINJAMURU"/>
    <x v="2"/>
    <x v="79"/>
    <x v="76"/>
    <x v="227"/>
    <s v="GL COIL HARD  Y550GL H7GL 0.320X1245"/>
    <s v="aZ70"/>
    <s v=""/>
    <n v="6"/>
    <n v="20"/>
    <m/>
    <x v="5"/>
    <x v="7"/>
    <s v="H7GL"/>
    <x v="33"/>
    <x v="14"/>
    <x v="0"/>
    <n v="290"/>
    <n v="74.525000000000006"/>
    <n v="215.47499999999999"/>
    <n v="215.47499999999999"/>
    <n v="215.47499999999999"/>
    <n v="215.47499999999999"/>
    <n v="0"/>
    <n v="0"/>
    <n v="0"/>
    <n v="0"/>
    <n v="0"/>
    <n v="0"/>
    <n v="0"/>
    <n v="0"/>
    <n v="0"/>
    <n v="0"/>
    <n v="0"/>
    <n v="0"/>
    <n v="0"/>
    <n v="0"/>
    <n v="0"/>
    <n v="0"/>
    <n v="0"/>
    <n v="0"/>
    <n v="0"/>
    <n v="0"/>
    <n v="0"/>
    <n v="0"/>
    <n v="0"/>
    <m/>
    <n v="0"/>
    <n v="0"/>
    <n v="0"/>
    <n v="0"/>
    <n v="0"/>
    <n v="0"/>
    <n v="0"/>
    <n v="0"/>
    <n v="0"/>
    <n v="0"/>
    <n v="0"/>
    <n v="0"/>
    <n v="0"/>
    <n v="0"/>
    <m/>
    <m/>
    <m/>
    <m/>
    <m/>
    <m/>
    <m/>
    <m/>
    <m/>
    <m/>
    <m/>
    <m/>
    <m/>
    <m/>
    <m/>
    <m/>
    <m/>
    <m/>
    <m/>
    <m/>
    <m/>
    <m/>
    <m/>
    <m/>
    <m/>
    <m/>
    <m/>
    <m/>
    <m/>
    <m/>
    <m/>
    <m/>
    <m/>
    <m/>
  </r>
  <r>
    <n v="743"/>
    <d v="2025-03-10T00:00:00"/>
    <x v="0"/>
    <n v="9518588324"/>
    <n v="3"/>
    <s v="9518588324-3"/>
    <s v="No Priority"/>
    <x v="0"/>
    <m/>
    <x v="4"/>
    <x v="10"/>
    <x v="2"/>
    <m/>
    <x v="0"/>
    <m/>
    <s v="No allocation for IPP"/>
    <m/>
    <s v="South"/>
    <s v="VINJAMURU"/>
    <x v="2"/>
    <x v="79"/>
    <x v="76"/>
    <x v="227"/>
    <s v="GL COIL HARD  Y550GL H7GL 0.320X1245"/>
    <s v="aZ70"/>
    <s v=""/>
    <n v="6"/>
    <n v="20"/>
    <m/>
    <x v="5"/>
    <x v="7"/>
    <s v="H7GL"/>
    <x v="33"/>
    <x v="14"/>
    <x v="0"/>
    <n v="290"/>
    <n v="0"/>
    <n v="290"/>
    <n v="290"/>
    <n v="290"/>
    <n v="290"/>
    <n v="0"/>
    <n v="0"/>
    <n v="0"/>
    <n v="0"/>
    <n v="0"/>
    <n v="0"/>
    <n v="0"/>
    <n v="0"/>
    <n v="0"/>
    <n v="0"/>
    <n v="0"/>
    <n v="0"/>
    <n v="0"/>
    <n v="0"/>
    <n v="0"/>
    <n v="0"/>
    <n v="0"/>
    <n v="0"/>
    <n v="0"/>
    <n v="0"/>
    <n v="0"/>
    <n v="0"/>
    <n v="0"/>
    <m/>
    <n v="0"/>
    <n v="0"/>
    <n v="0"/>
    <n v="0"/>
    <n v="0"/>
    <n v="0"/>
    <n v="0"/>
    <n v="0"/>
    <n v="0"/>
    <n v="0"/>
    <n v="0"/>
    <n v="0"/>
    <n v="0"/>
    <n v="0"/>
    <m/>
    <m/>
    <m/>
    <m/>
    <m/>
    <m/>
    <m/>
    <m/>
    <m/>
    <m/>
    <m/>
    <m/>
    <m/>
    <m/>
    <m/>
    <m/>
    <m/>
    <m/>
    <m/>
    <m/>
    <m/>
    <m/>
    <m/>
    <m/>
    <m/>
    <m/>
    <m/>
    <m/>
    <m/>
    <m/>
    <m/>
    <m/>
    <m/>
    <m/>
  </r>
  <r>
    <n v="743"/>
    <d v="2025-03-10T00:00:00"/>
    <x v="0"/>
    <n v="9518588324"/>
    <n v="4"/>
    <s v="9518588324-4"/>
    <s v="No Priority"/>
    <x v="0"/>
    <m/>
    <x v="4"/>
    <x v="10"/>
    <x v="2"/>
    <m/>
    <x v="0"/>
    <m/>
    <s v="No allocation for IPP"/>
    <m/>
    <s v="South"/>
    <s v="VINJAMURU"/>
    <x v="2"/>
    <x v="79"/>
    <x v="76"/>
    <x v="227"/>
    <s v="GL COIL HARD  Y550GL H7GL 0.320X1245"/>
    <s v="aZ70"/>
    <s v=""/>
    <n v="6"/>
    <n v="20"/>
    <m/>
    <x v="5"/>
    <x v="7"/>
    <s v="H7GL"/>
    <x v="33"/>
    <x v="14"/>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1869"/>
    <n v="5"/>
    <s v="9518591869-5"/>
    <s v="No Priority"/>
    <x v="0"/>
    <m/>
    <x v="1"/>
    <x v="1"/>
    <x v="0"/>
    <m/>
    <x v="0"/>
    <m/>
    <m/>
    <m/>
    <s v="North"/>
    <s v="FARIDABAD"/>
    <x v="2"/>
    <x v="56"/>
    <x v="52"/>
    <x v="293"/>
    <s v="CRCA COIL-TATXXD-AU03-0.7X1250"/>
    <s v=" "/>
    <s v=""/>
    <n v="10"/>
    <n v="30"/>
    <m/>
    <x v="1"/>
    <x v="2"/>
    <s v="AU03"/>
    <x v="4"/>
    <x v="0"/>
    <x v="0"/>
    <n v="58"/>
    <n v="0"/>
    <n v="58"/>
    <n v="58"/>
    <n v="58"/>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1869"/>
    <n v="13"/>
    <s v="9518591869-13"/>
    <s v="No Priority"/>
    <x v="0"/>
    <m/>
    <x v="1"/>
    <x v="1"/>
    <x v="0"/>
    <m/>
    <x v="0"/>
    <m/>
    <m/>
    <m/>
    <s v="North"/>
    <s v="FARIDABAD"/>
    <x v="2"/>
    <x v="56"/>
    <x v="52"/>
    <x v="102"/>
    <s v="CRCA COIL-TATXXD-AU03-1.6X1250"/>
    <s v=" "/>
    <s v=""/>
    <n v="10"/>
    <n v="30"/>
    <m/>
    <x v="1"/>
    <x v="2"/>
    <s v="AU03"/>
    <x v="22"/>
    <x v="0"/>
    <x v="0"/>
    <n v="29"/>
    <n v="0"/>
    <n v="29"/>
    <n v="29"/>
    <n v="29"/>
    <n v="0"/>
    <n v="0"/>
    <n v="0"/>
    <n v="0"/>
    <n v="0"/>
    <n v="0"/>
    <n v="0"/>
    <n v="0"/>
    <n v="0"/>
    <n v="0"/>
    <n v="0"/>
    <n v="0"/>
    <n v="0"/>
    <n v="0"/>
    <n v="0"/>
    <n v="0"/>
    <n v="0"/>
    <n v="0"/>
    <n v="0"/>
    <n v="0"/>
    <n v="0"/>
    <n v="0"/>
    <n v="0"/>
    <n v="0"/>
    <m/>
    <n v="0"/>
    <n v="0"/>
    <n v="0"/>
    <n v="0"/>
    <n v="0"/>
    <n v="0"/>
    <n v="0"/>
    <n v="0"/>
    <n v="0"/>
    <n v="0"/>
    <n v="0"/>
    <n v="0"/>
    <n v="0"/>
    <n v="0"/>
    <m/>
    <m/>
    <m/>
    <m/>
    <m/>
    <m/>
    <m/>
    <m/>
    <m/>
    <m/>
    <m/>
    <m/>
    <m/>
    <m/>
    <m/>
    <m/>
    <m/>
    <m/>
    <m/>
    <m/>
    <m/>
    <m/>
    <m/>
    <m/>
    <m/>
    <m/>
    <m/>
    <m/>
    <m/>
    <m/>
    <m/>
    <m/>
    <m/>
    <m/>
  </r>
  <r>
    <n v="743"/>
    <d v="2025-03-17T00:00:00"/>
    <x v="0"/>
    <n v="9518607443"/>
    <n v="1"/>
    <s v="9518607443-1"/>
    <s v="May'25"/>
    <x v="0"/>
    <s v="Yes"/>
    <x v="3"/>
    <x v="9"/>
    <x v="0"/>
    <m/>
    <x v="1"/>
    <m/>
    <m/>
    <m/>
    <s v="East"/>
    <s v=" "/>
    <x v="2"/>
    <x v="10"/>
    <x v="10"/>
    <x v="51"/>
    <s v="GP COIL SOFT-TATXGP-GK09-0.3X900"/>
    <s v="Z80"/>
    <s v=""/>
    <n v="4"/>
    <n v="12"/>
    <m/>
    <x v="7"/>
    <x v="5"/>
    <s v="GK09"/>
    <x v="11"/>
    <x v="3"/>
    <x v="0"/>
    <n v="21"/>
    <n v="0"/>
    <n v="21"/>
    <n v="21"/>
    <n v="21"/>
    <n v="21"/>
    <n v="0"/>
    <n v="0"/>
    <n v="0"/>
    <n v="0"/>
    <n v="0"/>
    <n v="0"/>
    <n v="0"/>
    <n v="0"/>
    <n v="0"/>
    <n v="0"/>
    <n v="0"/>
    <n v="0"/>
    <n v="0"/>
    <n v="0"/>
    <n v="0"/>
    <n v="0"/>
    <n v="0"/>
    <n v="0"/>
    <n v="0"/>
    <n v="0"/>
    <n v="0"/>
    <n v="0"/>
    <n v="0"/>
    <m/>
    <n v="0"/>
    <n v="21"/>
    <n v="0"/>
    <n v="0"/>
    <n v="21"/>
    <n v="0"/>
    <n v="0"/>
    <n v="21"/>
    <n v="0"/>
    <n v="0"/>
    <n v="0"/>
    <n v="21"/>
    <n v="0"/>
    <n v="0"/>
    <m/>
    <m/>
    <m/>
    <m/>
    <m/>
    <m/>
    <m/>
    <m/>
    <m/>
    <m/>
    <m/>
    <m/>
    <m/>
    <m/>
    <m/>
    <m/>
    <m/>
    <m/>
    <m/>
    <m/>
    <m/>
    <m/>
    <m/>
    <m/>
    <m/>
    <m/>
    <m/>
    <m/>
    <m/>
    <m/>
    <m/>
    <m/>
    <m/>
    <m/>
  </r>
  <r>
    <n v="742"/>
    <d v="2025-03-11T00:00:00"/>
    <x v="0"/>
    <n v="9518591869"/>
    <n v="12"/>
    <s v="9518591869-12"/>
    <s v="No Priority"/>
    <x v="0"/>
    <m/>
    <x v="1"/>
    <x v="1"/>
    <x v="0"/>
    <m/>
    <x v="0"/>
    <m/>
    <m/>
    <m/>
    <s v="North"/>
    <s v="FARIDABAD"/>
    <x v="2"/>
    <x v="56"/>
    <x v="52"/>
    <x v="69"/>
    <s v="CRCA COIL TATXXD AU03 1.500X1250"/>
    <s v=" "/>
    <s v=""/>
    <n v="10"/>
    <n v="30"/>
    <m/>
    <x v="1"/>
    <x v="2"/>
    <s v="AU03"/>
    <x v="27"/>
    <x v="0"/>
    <x v="0"/>
    <n v="29"/>
    <n v="0"/>
    <n v="29"/>
    <n v="0.88"/>
    <n v="0"/>
    <n v="0"/>
    <n v="0"/>
    <n v="0"/>
    <n v="0"/>
    <n v="0"/>
    <n v="0"/>
    <n v="0"/>
    <n v="0"/>
    <n v="0"/>
    <n v="0"/>
    <n v="0"/>
    <n v="0"/>
    <n v="0"/>
    <n v="0"/>
    <n v="0"/>
    <n v="0"/>
    <n v="0"/>
    <n v="0"/>
    <n v="0"/>
    <n v="0"/>
    <n v="0"/>
    <n v="0"/>
    <n v="0"/>
    <n v="0"/>
    <m/>
    <n v="0"/>
    <n v="0"/>
    <n v="0"/>
    <n v="0"/>
    <n v="0"/>
    <n v="0"/>
    <n v="0"/>
    <n v="0"/>
    <n v="0"/>
    <n v="0"/>
    <n v="0"/>
    <n v="0"/>
    <n v="0"/>
    <n v="0"/>
    <m/>
    <m/>
    <m/>
    <m/>
    <m/>
    <m/>
    <m/>
    <m/>
    <m/>
    <m/>
    <m/>
    <m/>
    <m/>
    <m/>
    <m/>
    <m/>
    <m/>
    <m/>
    <m/>
    <m/>
    <m/>
    <m/>
    <m/>
    <m/>
    <m/>
    <m/>
    <m/>
    <m/>
    <m/>
    <m/>
    <m/>
    <m/>
    <m/>
    <m/>
  </r>
  <r>
    <n v="743"/>
    <d v="2025-03-05T00:00:00"/>
    <x v="0"/>
    <n v="9518576687"/>
    <n v="1"/>
    <s v="9518576687-1"/>
    <s v="No Priority"/>
    <x v="0"/>
    <m/>
    <x v="3"/>
    <x v="9"/>
    <x v="0"/>
    <m/>
    <x v="0"/>
    <m/>
    <m/>
    <m/>
    <s v="North"/>
    <s v="KANPUR"/>
    <x v="2"/>
    <x v="94"/>
    <x v="92"/>
    <x v="316"/>
    <s v="GP COIL SOFT-TATXGP-GK09-0.2X900"/>
    <s v="Z80"/>
    <s v=""/>
    <n v="3.2"/>
    <n v="5"/>
    <m/>
    <x v="7"/>
    <x v="5"/>
    <s v="GK09"/>
    <x v="61"/>
    <x v="3"/>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3"/>
    <d v="2025-03-04T00:00:00"/>
    <x v="0"/>
    <n v="9518572384"/>
    <n v="2"/>
    <s v="9518572384-2"/>
    <s v="May'25"/>
    <x v="0"/>
    <s v="Yes"/>
    <x v="3"/>
    <x v="9"/>
    <x v="0"/>
    <m/>
    <x v="1"/>
    <m/>
    <m/>
    <m/>
    <s v="East"/>
    <s v=" "/>
    <x v="2"/>
    <x v="10"/>
    <x v="10"/>
    <x v="121"/>
    <s v="GP COIL SOFT-TATXGP-GK09-0.5X900"/>
    <s v="Z80"/>
    <s v=""/>
    <n v="4"/>
    <n v="12"/>
    <m/>
    <x v="7"/>
    <x v="5"/>
    <s v="GK09"/>
    <x v="1"/>
    <x v="3"/>
    <x v="0"/>
    <n v="105"/>
    <n v="0"/>
    <n v="105"/>
    <n v="105"/>
    <n v="105"/>
    <n v="105"/>
    <n v="0"/>
    <n v="0"/>
    <n v="0"/>
    <n v="0"/>
    <n v="0"/>
    <n v="0"/>
    <n v="0"/>
    <n v="0"/>
    <n v="0"/>
    <n v="0"/>
    <n v="0"/>
    <n v="0"/>
    <n v="0"/>
    <n v="0"/>
    <n v="0"/>
    <n v="0"/>
    <n v="0"/>
    <n v="0"/>
    <n v="0"/>
    <n v="0"/>
    <n v="0"/>
    <n v="0"/>
    <n v="0"/>
    <m/>
    <n v="0"/>
    <n v="105"/>
    <n v="0"/>
    <n v="105"/>
    <n v="0"/>
    <n v="0"/>
    <n v="0"/>
    <n v="105"/>
    <n v="0"/>
    <n v="0"/>
    <n v="105"/>
    <n v="0"/>
    <n v="0"/>
    <n v="0"/>
    <m/>
    <m/>
    <m/>
    <m/>
    <m/>
    <m/>
    <m/>
    <m/>
    <m/>
    <m/>
    <m/>
    <m/>
    <m/>
    <m/>
    <m/>
    <m/>
    <m/>
    <m/>
    <m/>
    <m/>
    <m/>
    <m/>
    <m/>
    <m/>
    <m/>
    <m/>
    <m/>
    <m/>
    <m/>
    <m/>
    <m/>
    <m/>
    <m/>
    <m/>
  </r>
  <r>
    <n v="744"/>
    <d v="2025-03-06T00:00:00"/>
    <x v="0"/>
    <n v="9518579960"/>
    <n v="1"/>
    <s v="9518579960-1"/>
    <s v="No Priority"/>
    <x v="0"/>
    <s v="Yes"/>
    <x v="2"/>
    <x v="3"/>
    <x v="2"/>
    <m/>
    <x v="0"/>
    <m/>
    <m/>
    <m/>
    <s v="TBSPL"/>
    <s v=" "/>
    <x v="2"/>
    <x v="6"/>
    <x v="6"/>
    <x v="6"/>
    <s v="PPGL C Y550 HPL3 0.42BMT(0.50TPT)X1220"/>
    <s v="AZ150"/>
    <s v="SUPREME R BLUE TSL 141"/>
    <n v="2"/>
    <n v="5"/>
    <m/>
    <x v="3"/>
    <x v="3"/>
    <s v="HPL3"/>
    <x v="3"/>
    <x v="1"/>
    <x v="0"/>
    <n v="251.99"/>
    <n v="231.535"/>
    <n v="20.454999999999998"/>
    <n v="20.454999999999998"/>
    <n v="20.454999999999998"/>
    <n v="20.454999999999998"/>
    <n v="0"/>
    <n v="0"/>
    <n v="0"/>
    <n v="0"/>
    <n v="0"/>
    <n v="0"/>
    <n v="0"/>
    <n v="0"/>
    <n v="0"/>
    <n v="0"/>
    <n v="0"/>
    <n v="0"/>
    <n v="0"/>
    <n v="0"/>
    <n v="0"/>
    <n v="0"/>
    <n v="0"/>
    <n v="0"/>
    <n v="0"/>
    <n v="0"/>
    <n v="0"/>
    <n v="0"/>
    <n v="0"/>
    <m/>
    <n v="0"/>
    <n v="0"/>
    <n v="0"/>
    <n v="0"/>
    <n v="0"/>
    <n v="0"/>
    <n v="0"/>
    <n v="0"/>
    <n v="0"/>
    <n v="0"/>
    <n v="0"/>
    <n v="0"/>
    <n v="0"/>
    <n v="0"/>
    <m/>
    <m/>
    <m/>
    <m/>
    <m/>
    <m/>
    <m/>
    <m/>
    <m/>
    <m/>
    <m/>
    <m/>
    <m/>
    <m/>
    <m/>
    <m/>
    <m/>
    <m/>
    <m/>
    <m/>
    <m/>
    <m/>
    <m/>
    <m/>
    <m/>
    <m/>
    <m/>
    <m/>
    <m/>
    <m/>
    <m/>
    <m/>
    <m/>
    <m/>
  </r>
  <r>
    <n v="742"/>
    <d v="2025-03-06T00:00:00"/>
    <x v="1"/>
    <n v="9518578746"/>
    <n v="1"/>
    <s v="9518578746-1"/>
    <s v="No Priority"/>
    <x v="0"/>
    <s v="Yes"/>
    <x v="1"/>
    <x v="10"/>
    <x v="2"/>
    <m/>
    <x v="0"/>
    <m/>
    <m/>
    <m/>
    <s v="North"/>
    <s v="SANHEWAL"/>
    <x v="2"/>
    <x v="24"/>
    <x v="23"/>
    <x v="167"/>
    <s v="CR COIL SA1010 TU97 1.150X1250"/>
    <s v=" "/>
    <s v=""/>
    <n v="16"/>
    <n v="27"/>
    <m/>
    <x v="1"/>
    <x v="15"/>
    <s v="TU97"/>
    <x v="49"/>
    <x v="0"/>
    <x v="0"/>
    <n v="340"/>
    <n v="309.64499999999998"/>
    <n v="30.355"/>
    <n v="30.355"/>
    <n v="2.8049999999999997"/>
    <n v="30.355"/>
    <n v="0"/>
    <n v="0"/>
    <n v="0"/>
    <n v="0"/>
    <n v="0"/>
    <n v="0"/>
    <n v="0"/>
    <n v="0"/>
    <n v="0"/>
    <n v="0"/>
    <n v="0"/>
    <n v="0"/>
    <n v="0"/>
    <n v="27.55"/>
    <n v="0"/>
    <n v="0"/>
    <n v="0"/>
    <n v="0"/>
    <n v="0"/>
    <n v="27.55"/>
    <n v="27.55"/>
    <n v="0"/>
    <n v="27.55"/>
    <m/>
    <n v="0"/>
    <n v="0"/>
    <n v="0"/>
    <n v="0"/>
    <n v="0"/>
    <n v="0"/>
    <n v="0"/>
    <n v="0"/>
    <n v="0"/>
    <n v="0"/>
    <n v="0"/>
    <n v="0"/>
    <n v="0"/>
    <n v="0"/>
    <m/>
    <m/>
    <m/>
    <m/>
    <m/>
    <m/>
    <m/>
    <m/>
    <m/>
    <m/>
    <m/>
    <m/>
    <m/>
    <m/>
    <m/>
    <m/>
    <m/>
    <m/>
    <m/>
    <m/>
    <m/>
    <m/>
    <m/>
    <m/>
    <m/>
    <m/>
    <m/>
    <m/>
    <m/>
    <m/>
    <m/>
    <m/>
    <m/>
    <m/>
  </r>
  <r>
    <n v="744"/>
    <d v="2025-02-18T00:00:00"/>
    <x v="2"/>
    <n v="4000498803"/>
    <n v="1"/>
    <s v="4000498803-1"/>
    <s v="No Priority"/>
    <x v="0"/>
    <m/>
    <x v="2"/>
    <x v="3"/>
    <x v="2"/>
    <m/>
    <x v="0"/>
    <m/>
    <m/>
    <m/>
    <s v="TBSPL"/>
    <s v="SADANGI"/>
    <x v="2"/>
    <x v="97"/>
    <x v="96"/>
    <x v="371"/>
    <s v="PPGL PROF TRDHPL TRD2 0.600X1080"/>
    <s v="aZ70"/>
    <s v=""/>
    <n v="15"/>
    <n v="35"/>
    <m/>
    <x v="9"/>
    <x v="19"/>
    <s v="TRD2"/>
    <x v="20"/>
    <x v="25"/>
    <x v="0"/>
    <n v="50"/>
    <n v="0"/>
    <n v="50"/>
    <n v="50"/>
    <n v="50"/>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8155"/>
    <n v="1"/>
    <s v="9518498155-1"/>
    <s v="No Priority"/>
    <x v="0"/>
    <m/>
    <x v="1"/>
    <x v="1"/>
    <x v="0"/>
    <m/>
    <x v="0"/>
    <m/>
    <m/>
    <m/>
    <s v="South"/>
    <s v="VISHAKHAPATNAM"/>
    <x v="2"/>
    <x v="8"/>
    <x v="8"/>
    <x v="372"/>
    <s v="CRCA COIL-TATCRC-TR15-0.6X900"/>
    <s v=" "/>
    <s v=""/>
    <n v="8"/>
    <n v="29"/>
    <m/>
    <x v="1"/>
    <x v="1"/>
    <s v="TR15"/>
    <x v="2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07T00:00:00"/>
    <x v="0"/>
    <n v="9518500284"/>
    <n v="3"/>
    <s v="9518500284-3"/>
    <s v="No Priority"/>
    <x v="0"/>
    <m/>
    <x v="4"/>
    <x v="5"/>
    <x v="2"/>
    <m/>
    <x v="0"/>
    <m/>
    <s v="Centre slit HR not available"/>
    <m/>
    <s v="South"/>
    <s v="VIKARABAD"/>
    <x v="2"/>
    <x v="68"/>
    <x v="65"/>
    <x v="352"/>
    <s v="GL COIL HARD  Y550GL HGL6 0.900X1045"/>
    <s v="AZ150"/>
    <s v=""/>
    <n v="7"/>
    <n v="15"/>
    <m/>
    <x v="5"/>
    <x v="7"/>
    <s v="HGL6"/>
    <x v="13"/>
    <x v="29"/>
    <x v="0"/>
    <n v="48"/>
    <n v="25.274999999999999"/>
    <n v="22.725000000000001"/>
    <n v="22.725000000000001"/>
    <n v="22.725000000000001"/>
    <n v="22.725000000000001"/>
    <n v="0"/>
    <n v="0"/>
    <n v="0"/>
    <n v="0"/>
    <n v="0"/>
    <n v="0"/>
    <n v="0"/>
    <n v="0"/>
    <n v="0"/>
    <n v="0"/>
    <n v="0"/>
    <n v="0"/>
    <n v="0"/>
    <n v="0"/>
    <n v="0"/>
    <n v="0"/>
    <n v="0"/>
    <n v="0"/>
    <n v="0"/>
    <n v="0"/>
    <n v="0"/>
    <n v="0"/>
    <n v="0"/>
    <m/>
    <n v="0"/>
    <n v="0"/>
    <n v="0"/>
    <n v="0"/>
    <n v="0"/>
    <n v="0"/>
    <n v="0"/>
    <n v="0"/>
    <n v="0"/>
    <n v="0"/>
    <n v="0"/>
    <n v="0"/>
    <n v="0"/>
    <n v="0"/>
    <m/>
    <m/>
    <m/>
    <m/>
    <m/>
    <m/>
    <m/>
    <m/>
    <m/>
    <m/>
    <m/>
    <m/>
    <m/>
    <m/>
    <m/>
    <m/>
    <m/>
    <m/>
    <m/>
    <m/>
    <m/>
    <m/>
    <m/>
    <m/>
    <m/>
    <m/>
    <m/>
    <m/>
    <m/>
    <m/>
    <m/>
    <m/>
    <m/>
    <m/>
  </r>
  <r>
    <n v="743"/>
    <d v="2025-02-25T00:00:00"/>
    <x v="0"/>
    <n v="9518551540"/>
    <n v="3"/>
    <s v="9518551540-3"/>
    <s v="No Priority"/>
    <x v="0"/>
    <m/>
    <x v="3"/>
    <x v="0"/>
    <x v="0"/>
    <m/>
    <x v="0"/>
    <m/>
    <m/>
    <m/>
    <s v="East"/>
    <s v="TATANAGAR"/>
    <x v="2"/>
    <x v="5"/>
    <x v="5"/>
    <x v="105"/>
    <s v="GP COIL SOFT-TSBXGP-N1GP-0.4X900"/>
    <s v="Z80"/>
    <s v=""/>
    <n v="4"/>
    <n v="12"/>
    <m/>
    <x v="7"/>
    <x v="13"/>
    <s v="N1GP"/>
    <x v="2"/>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25T00:00:00"/>
    <x v="0"/>
    <n v="9518551540"/>
    <n v="4"/>
    <s v="9518551540-4"/>
    <s v="No Priority"/>
    <x v="0"/>
    <m/>
    <x v="3"/>
    <x v="0"/>
    <x v="0"/>
    <m/>
    <x v="0"/>
    <m/>
    <m/>
    <m/>
    <s v="East"/>
    <s v="TATANAGAR"/>
    <x v="2"/>
    <x v="5"/>
    <x v="5"/>
    <x v="73"/>
    <s v="GP COIL SOFT-TSBXGP-N1GP-0.5X900"/>
    <s v="Z80"/>
    <s v=""/>
    <n v="4"/>
    <n v="12"/>
    <m/>
    <x v="7"/>
    <x v="13"/>
    <s v="N1GP"/>
    <x v="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2-14T00:00:00"/>
    <x v="0"/>
    <n v="9518520213"/>
    <n v="11"/>
    <s v="9518520213-11"/>
    <s v="No Priority"/>
    <x v="0"/>
    <m/>
    <x v="1"/>
    <x v="2"/>
    <x v="0"/>
    <m/>
    <x v="0"/>
    <m/>
    <s v="Exp BTF &lt;17MT"/>
    <m/>
    <s v="East"/>
    <s v="PURNIA"/>
    <x v="2"/>
    <x v="31"/>
    <x v="31"/>
    <x v="54"/>
    <s v="CRCA SHEET TSBCRC SR15 0.500X1000X2500"/>
    <s v=" "/>
    <s v=""/>
    <n v="0"/>
    <n v="0"/>
    <m/>
    <x v="2"/>
    <x v="4"/>
    <s v="SR15"/>
    <x v="1"/>
    <x v="2"/>
    <x v="3"/>
    <n v="24"/>
    <n v="20.41"/>
    <n v="3.59"/>
    <n v="3.59"/>
    <n v="3.59"/>
    <n v="3.59"/>
    <n v="0"/>
    <n v="0"/>
    <n v="0"/>
    <n v="0"/>
    <n v="0"/>
    <n v="0"/>
    <n v="0"/>
    <n v="0"/>
    <n v="0"/>
    <n v="0"/>
    <n v="0"/>
    <n v="0"/>
    <n v="0"/>
    <n v="0"/>
    <n v="0"/>
    <n v="0"/>
    <n v="0"/>
    <n v="0"/>
    <n v="0"/>
    <n v="0"/>
    <n v="0"/>
    <n v="0"/>
    <n v="0"/>
    <m/>
    <n v="0"/>
    <n v="0"/>
    <n v="0"/>
    <n v="0"/>
    <n v="0"/>
    <n v="0"/>
    <n v="0"/>
    <n v="0"/>
    <n v="0"/>
    <n v="0"/>
    <n v="0"/>
    <n v="0"/>
    <n v="0"/>
    <n v="0"/>
    <m/>
    <m/>
    <m/>
    <m/>
    <m/>
    <m/>
    <m/>
    <m/>
    <m/>
    <m/>
    <m/>
    <m/>
    <m/>
    <m/>
    <m/>
    <m/>
    <m/>
    <m/>
    <m/>
    <m/>
    <m/>
    <m/>
    <m/>
    <m/>
    <m/>
    <m/>
    <m/>
    <m/>
    <m/>
    <m/>
    <m/>
    <m/>
    <m/>
    <m/>
  </r>
  <r>
    <n v="742"/>
    <d v="2025-02-03T00:00:00"/>
    <x v="0"/>
    <n v="9518490862"/>
    <n v="3"/>
    <s v="9518490862-3"/>
    <s v="No Priority"/>
    <x v="0"/>
    <m/>
    <x v="1"/>
    <x v="2"/>
    <x v="0"/>
    <m/>
    <x v="0"/>
    <m/>
    <m/>
    <m/>
    <s v="East"/>
    <s v="HOWRAH"/>
    <x v="2"/>
    <x v="20"/>
    <x v="20"/>
    <x v="54"/>
    <s v="CRCA SHEET TSBCRC SR15 0.500X1000X2500"/>
    <s v=" "/>
    <s v=""/>
    <n v="0"/>
    <n v="0"/>
    <m/>
    <x v="2"/>
    <x v="4"/>
    <s v="SR15"/>
    <x v="1"/>
    <x v="2"/>
    <x v="3"/>
    <n v="24"/>
    <n v="20.585000000000001"/>
    <n v="3.415"/>
    <n v="3.415"/>
    <n v="3.415"/>
    <n v="3.415"/>
    <n v="0"/>
    <n v="0"/>
    <n v="0"/>
    <n v="0"/>
    <n v="0"/>
    <n v="0"/>
    <n v="0"/>
    <n v="0"/>
    <n v="0"/>
    <n v="0"/>
    <n v="0"/>
    <n v="0"/>
    <n v="0"/>
    <n v="0"/>
    <n v="0"/>
    <n v="0"/>
    <n v="0"/>
    <n v="0"/>
    <n v="0"/>
    <n v="0"/>
    <n v="0"/>
    <n v="0"/>
    <n v="0"/>
    <m/>
    <n v="0"/>
    <n v="0"/>
    <n v="0"/>
    <n v="0"/>
    <n v="0"/>
    <n v="0"/>
    <n v="0"/>
    <n v="0"/>
    <n v="0"/>
    <n v="0"/>
    <n v="0"/>
    <n v="0"/>
    <n v="0"/>
    <n v="0"/>
    <m/>
    <m/>
    <m/>
    <m/>
    <m/>
    <m/>
    <m/>
    <m/>
    <m/>
    <m/>
    <m/>
    <m/>
    <m/>
    <m/>
    <m/>
    <m/>
    <m/>
    <m/>
    <m/>
    <m/>
    <m/>
    <m/>
    <m/>
    <m/>
    <m/>
    <m/>
    <m/>
    <m/>
    <m/>
    <m/>
    <m/>
    <m/>
    <m/>
    <m/>
  </r>
  <r>
    <n v="743"/>
    <d v="2025-02-14T00:00:00"/>
    <x v="0"/>
    <n v="9518519230"/>
    <n v="2"/>
    <s v="9518519230-2"/>
    <s v="No Priority"/>
    <x v="0"/>
    <m/>
    <x v="3"/>
    <x v="9"/>
    <x v="0"/>
    <m/>
    <x v="0"/>
    <m/>
    <m/>
    <m/>
    <s v="North"/>
    <s v="SANHEWAL"/>
    <x v="2"/>
    <x v="84"/>
    <x v="81"/>
    <x v="261"/>
    <s v="GP COIL SOFT-TATXGP-GK09-0.25X900"/>
    <s v="Z80"/>
    <s v=""/>
    <n v="4"/>
    <n v="6"/>
    <m/>
    <x v="7"/>
    <x v="5"/>
    <s v="GK09"/>
    <x v="12"/>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14T00:00:00"/>
    <x v="0"/>
    <n v="9518519230"/>
    <n v="4"/>
    <s v="9518519230-4"/>
    <s v="No Priority"/>
    <x v="0"/>
    <m/>
    <x v="3"/>
    <x v="9"/>
    <x v="0"/>
    <m/>
    <x v="0"/>
    <m/>
    <m/>
    <m/>
    <s v="North"/>
    <s v="SANHEWAL"/>
    <x v="2"/>
    <x v="84"/>
    <x v="81"/>
    <x v="51"/>
    <s v="GP COIL SOFT-TATXGP-GK09-0.3X900"/>
    <s v="Z80"/>
    <s v=""/>
    <n v="4"/>
    <n v="6"/>
    <m/>
    <x v="7"/>
    <x v="5"/>
    <s v="GK09"/>
    <x v="1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13T00:00:00"/>
    <x v="0"/>
    <n v="9518516044"/>
    <n v="1"/>
    <s v="9518516044-1"/>
    <s v="No Priority"/>
    <x v="0"/>
    <m/>
    <x v="3"/>
    <x v="9"/>
    <x v="0"/>
    <m/>
    <x v="0"/>
    <m/>
    <m/>
    <m/>
    <s v="North"/>
    <s v="LONI"/>
    <x v="2"/>
    <x v="32"/>
    <x v="32"/>
    <x v="316"/>
    <s v="GP COIL SOFT-TATXGP-GK09-0.2X900"/>
    <s v="Z80"/>
    <s v=""/>
    <n v="4"/>
    <n v="6"/>
    <m/>
    <x v="7"/>
    <x v="5"/>
    <s v="GK09"/>
    <x v="6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13T00:00:00"/>
    <x v="0"/>
    <n v="9518516044"/>
    <n v="3"/>
    <s v="9518516044-3"/>
    <s v="No Priority"/>
    <x v="0"/>
    <m/>
    <x v="3"/>
    <x v="9"/>
    <x v="0"/>
    <m/>
    <x v="0"/>
    <m/>
    <m/>
    <m/>
    <s v="North"/>
    <s v="LONI"/>
    <x v="2"/>
    <x v="32"/>
    <x v="32"/>
    <x v="261"/>
    <s v="GP COIL SOFT-TATXGP-GK09-0.25X900"/>
    <s v="Z80"/>
    <s v=""/>
    <n v="4"/>
    <n v="6"/>
    <m/>
    <x v="7"/>
    <x v="5"/>
    <s v="GK09"/>
    <x v="12"/>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2-17T00:00:00"/>
    <x v="0"/>
    <n v="9518525385"/>
    <n v="3"/>
    <s v="9518525385-3"/>
    <s v="No Priority"/>
    <x v="0"/>
    <m/>
    <x v="3"/>
    <x v="9"/>
    <x v="0"/>
    <m/>
    <x v="0"/>
    <m/>
    <m/>
    <m/>
    <s v="North"/>
    <s v="KANPUR"/>
    <x v="2"/>
    <x v="94"/>
    <x v="92"/>
    <x v="51"/>
    <s v="GP COIL SOFT-TATXGP-GK09-0.3X900"/>
    <s v="Z80"/>
    <s v=""/>
    <n v="3.2"/>
    <n v="5"/>
    <m/>
    <x v="7"/>
    <x v="5"/>
    <s v="GK09"/>
    <x v="11"/>
    <x v="3"/>
    <x v="0"/>
    <n v="147"/>
    <n v="0"/>
    <n v="147"/>
    <n v="147"/>
    <n v="147"/>
    <n v="147"/>
    <n v="0"/>
    <n v="0"/>
    <n v="0"/>
    <n v="0"/>
    <n v="0"/>
    <n v="0"/>
    <n v="0"/>
    <n v="0"/>
    <n v="0"/>
    <n v="0"/>
    <n v="0"/>
    <n v="0"/>
    <n v="0"/>
    <n v="0"/>
    <n v="0"/>
    <n v="0"/>
    <n v="0"/>
    <n v="0"/>
    <n v="0"/>
    <n v="0"/>
    <n v="0"/>
    <n v="0"/>
    <n v="0"/>
    <m/>
    <n v="0"/>
    <n v="0"/>
    <n v="0"/>
    <n v="0"/>
    <n v="0"/>
    <n v="0"/>
    <n v="0"/>
    <n v="0"/>
    <n v="0"/>
    <n v="0"/>
    <n v="0"/>
    <n v="0"/>
    <n v="0"/>
    <n v="0"/>
    <m/>
    <m/>
    <m/>
    <m/>
    <m/>
    <m/>
    <m/>
    <m/>
    <m/>
    <m/>
    <m/>
    <m/>
    <m/>
    <m/>
    <m/>
    <m/>
    <m/>
    <m/>
    <m/>
    <m/>
    <m/>
    <m/>
    <m/>
    <m/>
    <m/>
    <m/>
    <m/>
    <m/>
    <m/>
    <m/>
    <m/>
    <m/>
    <m/>
    <m/>
  </r>
  <r>
    <n v="743"/>
    <d v="2025-02-13T00:00:00"/>
    <x v="0"/>
    <n v="9518516505"/>
    <n v="1"/>
    <s v="9518516505-1"/>
    <s v="No Priority"/>
    <x v="0"/>
    <m/>
    <x v="3"/>
    <x v="9"/>
    <x v="0"/>
    <m/>
    <x v="0"/>
    <m/>
    <m/>
    <m/>
    <s v="North"/>
    <s v="LONI"/>
    <x v="2"/>
    <x v="32"/>
    <x v="32"/>
    <x v="373"/>
    <s v="GP COIL SOFT TATXGP GLK1 0.420X900"/>
    <s v="Z80"/>
    <s v=""/>
    <n v="4"/>
    <n v="6"/>
    <m/>
    <x v="7"/>
    <x v="5"/>
    <s v="GLK1"/>
    <x v="3"/>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13T00:00:00"/>
    <x v="0"/>
    <n v="9518516069"/>
    <n v="4"/>
    <s v="9518516069-4"/>
    <s v="No Priority"/>
    <x v="0"/>
    <m/>
    <x v="3"/>
    <x v="9"/>
    <x v="0"/>
    <m/>
    <x v="0"/>
    <m/>
    <m/>
    <m/>
    <s v="North"/>
    <s v="LONI"/>
    <x v="2"/>
    <x v="32"/>
    <x v="32"/>
    <x v="62"/>
    <s v="GP COIL SOFT-TATXGP-GK09-0.6X900"/>
    <s v="Z80"/>
    <s v=""/>
    <n v="4"/>
    <n v="6"/>
    <m/>
    <x v="7"/>
    <x v="5"/>
    <s v="GK09"/>
    <x v="20"/>
    <x v="3"/>
    <x v="0"/>
    <n v="126"/>
    <n v="0"/>
    <n v="126"/>
    <n v="126"/>
    <n v="126"/>
    <n v="126"/>
    <n v="0"/>
    <n v="0"/>
    <n v="0"/>
    <n v="0"/>
    <n v="0"/>
    <n v="0"/>
    <n v="0"/>
    <n v="0"/>
    <n v="0"/>
    <n v="0"/>
    <n v="0"/>
    <n v="0"/>
    <n v="0"/>
    <n v="0"/>
    <n v="0"/>
    <n v="0"/>
    <n v="0"/>
    <n v="0"/>
    <n v="0"/>
    <n v="0"/>
    <n v="0"/>
    <n v="0"/>
    <n v="0"/>
    <m/>
    <n v="0"/>
    <n v="0"/>
    <n v="0"/>
    <n v="0"/>
    <n v="0"/>
    <n v="0"/>
    <n v="0"/>
    <n v="0"/>
    <n v="0"/>
    <n v="0"/>
    <n v="0"/>
    <n v="0"/>
    <n v="0"/>
    <n v="0"/>
    <m/>
    <m/>
    <m/>
    <m/>
    <m/>
    <m/>
    <m/>
    <m/>
    <m/>
    <m/>
    <m/>
    <m/>
    <m/>
    <m/>
    <m/>
    <m/>
    <m/>
    <m/>
    <m/>
    <m/>
    <m/>
    <m/>
    <m/>
    <m/>
    <m/>
    <m/>
    <m/>
    <m/>
    <m/>
    <m/>
    <m/>
    <m/>
    <m/>
    <m/>
  </r>
  <r>
    <n v="743"/>
    <d v="2025-02-13T00:00:00"/>
    <x v="0"/>
    <n v="9518516069"/>
    <n v="5"/>
    <s v="9518516069-5"/>
    <s v="No Priority"/>
    <x v="0"/>
    <m/>
    <x v="3"/>
    <x v="9"/>
    <x v="0"/>
    <m/>
    <x v="0"/>
    <m/>
    <m/>
    <m/>
    <s v="North"/>
    <s v="LONI"/>
    <x v="2"/>
    <x v="32"/>
    <x v="32"/>
    <x v="65"/>
    <s v="GP COIL SOFT-TATXGP-GK09-0.63X900"/>
    <s v="Z80"/>
    <s v=""/>
    <n v="4"/>
    <n v="6"/>
    <m/>
    <x v="7"/>
    <x v="5"/>
    <s v="GK09"/>
    <x v="26"/>
    <x v="3"/>
    <x v="0"/>
    <n v="126"/>
    <n v="0"/>
    <n v="126"/>
    <n v="126"/>
    <n v="126"/>
    <n v="126"/>
    <n v="0"/>
    <n v="0"/>
    <n v="0"/>
    <n v="0"/>
    <n v="0"/>
    <n v="0"/>
    <n v="0"/>
    <n v="0"/>
    <n v="0"/>
    <n v="0"/>
    <n v="0"/>
    <n v="0"/>
    <n v="0"/>
    <n v="0"/>
    <n v="0"/>
    <n v="0"/>
    <n v="0"/>
    <n v="0"/>
    <n v="0"/>
    <n v="0"/>
    <n v="0"/>
    <n v="0"/>
    <n v="0"/>
    <m/>
    <n v="0"/>
    <n v="0"/>
    <n v="0"/>
    <n v="0"/>
    <n v="0"/>
    <n v="0"/>
    <n v="0"/>
    <n v="0"/>
    <n v="0"/>
    <n v="0"/>
    <n v="0"/>
    <n v="0"/>
    <n v="0"/>
    <n v="0"/>
    <m/>
    <m/>
    <m/>
    <m/>
    <m/>
    <m/>
    <m/>
    <m/>
    <m/>
    <m/>
    <m/>
    <m/>
    <m/>
    <m/>
    <m/>
    <m/>
    <m/>
    <m/>
    <m/>
    <m/>
    <m/>
    <m/>
    <m/>
    <m/>
    <m/>
    <m/>
    <m/>
    <m/>
    <m/>
    <m/>
    <m/>
    <m/>
    <m/>
    <m/>
  </r>
  <r>
    <n v="743"/>
    <d v="2025-02-22T00:00:00"/>
    <x v="0"/>
    <n v="9518542035"/>
    <n v="1"/>
    <s v="9518542035-1"/>
    <s v="No Priority"/>
    <x v="0"/>
    <m/>
    <x v="3"/>
    <x v="9"/>
    <x v="0"/>
    <m/>
    <x v="0"/>
    <m/>
    <m/>
    <m/>
    <s v="North"/>
    <s v="JAIPUR"/>
    <x v="2"/>
    <x v="83"/>
    <x v="80"/>
    <x v="263"/>
    <s v="GP COIL SOFT-TATXGP-GK09-0.3X1000"/>
    <s v="Z80"/>
    <s v=""/>
    <n v="5"/>
    <n v="7"/>
    <m/>
    <x v="7"/>
    <x v="5"/>
    <s v="GK09"/>
    <x v="11"/>
    <x v="2"/>
    <x v="0"/>
    <n v="69"/>
    <n v="21.05"/>
    <n v="47.95"/>
    <n v="47.95"/>
    <n v="47.95"/>
    <n v="47.95"/>
    <n v="0"/>
    <n v="0"/>
    <n v="0"/>
    <n v="0"/>
    <n v="0"/>
    <n v="0"/>
    <n v="0"/>
    <n v="0"/>
    <n v="0"/>
    <n v="0"/>
    <n v="0"/>
    <n v="0"/>
    <n v="0"/>
    <n v="0"/>
    <n v="0"/>
    <n v="0"/>
    <n v="0"/>
    <n v="0"/>
    <n v="0"/>
    <n v="0"/>
    <n v="0"/>
    <n v="0"/>
    <n v="0"/>
    <m/>
    <n v="0"/>
    <n v="0"/>
    <n v="0"/>
    <n v="0"/>
    <n v="0"/>
    <n v="0"/>
    <n v="0"/>
    <n v="0"/>
    <n v="0"/>
    <n v="0"/>
    <n v="0"/>
    <n v="0"/>
    <n v="0"/>
    <n v="0"/>
    <m/>
    <m/>
    <m/>
    <m/>
    <m/>
    <m/>
    <m/>
    <m/>
    <m/>
    <m/>
    <m/>
    <m/>
    <m/>
    <m/>
    <m/>
    <m/>
    <m/>
    <m/>
    <m/>
    <m/>
    <m/>
    <m/>
    <m/>
    <m/>
    <m/>
    <m/>
    <m/>
    <m/>
    <m/>
    <m/>
    <m/>
    <m/>
    <m/>
    <m/>
  </r>
  <r>
    <n v="743"/>
    <d v="2025-03-04T00:00:00"/>
    <x v="0"/>
    <n v="9518572041"/>
    <n v="1"/>
    <s v="9518572041-1"/>
    <s v="No Priority"/>
    <x v="0"/>
    <s v="Yes"/>
    <x v="3"/>
    <x v="0"/>
    <x v="0"/>
    <m/>
    <x v="0"/>
    <m/>
    <m/>
    <m/>
    <s v="East"/>
    <s v="TATANAGAR"/>
    <x v="2"/>
    <x v="5"/>
    <x v="5"/>
    <x v="308"/>
    <s v="GP COIL SOFT-TSBXGP-N1GP-0.28X900"/>
    <s v="Z80"/>
    <s v=""/>
    <n v="4"/>
    <n v="12"/>
    <m/>
    <x v="7"/>
    <x v="13"/>
    <s v="N1GP"/>
    <x v="59"/>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2-25T00:00:00"/>
    <x v="0"/>
    <n v="9518550511"/>
    <n v="4"/>
    <s v="9518550511-4"/>
    <s v="May'25"/>
    <x v="0"/>
    <s v="Yes"/>
    <x v="1"/>
    <x v="11"/>
    <x v="0"/>
    <m/>
    <x v="1"/>
    <m/>
    <m/>
    <m/>
    <s v="South"/>
    <s v="YESHWANTHPURA"/>
    <x v="2"/>
    <x v="40"/>
    <x v="0"/>
    <x v="58"/>
    <s v="CRCA COIL TATXXD AH03 1.200X1250"/>
    <s v=" "/>
    <s v=""/>
    <n v="2"/>
    <n v="28"/>
    <m/>
    <x v="1"/>
    <x v="2"/>
    <s v="AH03"/>
    <x v="19"/>
    <x v="0"/>
    <x v="0"/>
    <n v="116"/>
    <n v="26.12"/>
    <n v="89.88"/>
    <n v="89.88"/>
    <n v="4.1999999999999886"/>
    <n v="89.88"/>
    <n v="0"/>
    <n v="0"/>
    <n v="85.68"/>
    <n v="0"/>
    <n v="0"/>
    <n v="0"/>
    <n v="0"/>
    <n v="0"/>
    <n v="0"/>
    <n v="0"/>
    <n v="0"/>
    <n v="0"/>
    <n v="0"/>
    <n v="0"/>
    <n v="0"/>
    <n v="0"/>
    <n v="0"/>
    <n v="0"/>
    <n v="0"/>
    <n v="85.68"/>
    <n v="85.68"/>
    <n v="0"/>
    <n v="85.68"/>
    <m/>
    <n v="0"/>
    <n v="89.88"/>
    <n v="0"/>
    <n v="89.88"/>
    <n v="0"/>
    <n v="0"/>
    <n v="0"/>
    <n v="89.88"/>
    <n v="0"/>
    <n v="89.88"/>
    <n v="0"/>
    <n v="0"/>
    <n v="0"/>
    <n v="0"/>
    <m/>
    <m/>
    <m/>
    <m/>
    <m/>
    <m/>
    <m/>
    <m/>
    <m/>
    <m/>
    <m/>
    <m/>
    <m/>
    <m/>
    <m/>
    <m/>
    <m/>
    <m/>
    <m/>
    <m/>
    <m/>
    <m/>
    <m/>
    <m/>
    <m/>
    <m/>
    <m/>
    <m/>
    <m/>
    <m/>
    <m/>
    <m/>
    <m/>
    <m/>
  </r>
  <r>
    <n v="743"/>
    <d v="2025-02-06T00:00:00"/>
    <x v="0"/>
    <n v="9518497512"/>
    <n v="1"/>
    <s v="9518497512-1"/>
    <s v="No Priority"/>
    <x v="0"/>
    <s v="Yes"/>
    <x v="3"/>
    <x v="0"/>
    <x v="0"/>
    <m/>
    <x v="0"/>
    <m/>
    <m/>
    <m/>
    <s v="East"/>
    <s v="TATANAGAR"/>
    <x v="2"/>
    <x v="5"/>
    <x v="5"/>
    <x v="308"/>
    <s v="GP COIL SOFT-TSBXGP-N1GP-0.28X900"/>
    <s v="Z80"/>
    <s v=""/>
    <n v="4"/>
    <n v="12"/>
    <m/>
    <x v="7"/>
    <x v="13"/>
    <s v="N1GP"/>
    <x v="59"/>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06T00:00:00"/>
    <x v="0"/>
    <n v="9518497512"/>
    <n v="3"/>
    <s v="9518497512-3"/>
    <s v="No Priority"/>
    <x v="0"/>
    <m/>
    <x v="3"/>
    <x v="0"/>
    <x v="0"/>
    <m/>
    <x v="0"/>
    <m/>
    <m/>
    <m/>
    <s v="East"/>
    <s v="TATANAGAR"/>
    <x v="2"/>
    <x v="5"/>
    <x v="5"/>
    <x v="105"/>
    <s v="GP COIL SOFT-TSBXGP-N1GP-0.4X900"/>
    <s v="Z80"/>
    <s v=""/>
    <n v="4"/>
    <n v="12"/>
    <m/>
    <x v="7"/>
    <x v="13"/>
    <s v="N1GP"/>
    <x v="2"/>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05T00:00:00"/>
    <x v="0"/>
    <n v="9518495509"/>
    <n v="1"/>
    <s v="9518495509-1"/>
    <s v="No Priority"/>
    <x v="0"/>
    <m/>
    <x v="3"/>
    <x v="9"/>
    <x v="0"/>
    <m/>
    <x v="0"/>
    <m/>
    <m/>
    <m/>
    <s v="North"/>
    <s v="KANPUR"/>
    <x v="2"/>
    <x v="53"/>
    <x v="50"/>
    <x v="316"/>
    <s v="GP COIL SOFT-TATXGP-GK09-0.2X900"/>
    <s v="Z80"/>
    <s v=""/>
    <n v="3.2"/>
    <n v="5"/>
    <m/>
    <x v="7"/>
    <x v="5"/>
    <s v="GK09"/>
    <x v="6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06T00:00:00"/>
    <x v="0"/>
    <n v="9518498761"/>
    <n v="6"/>
    <s v="9518498761-6"/>
    <s v="May'25"/>
    <x v="0"/>
    <s v="Yes"/>
    <x v="3"/>
    <x v="9"/>
    <x v="0"/>
    <m/>
    <x v="1"/>
    <m/>
    <m/>
    <m/>
    <s v="East"/>
    <s v=" "/>
    <x v="2"/>
    <x v="10"/>
    <x v="10"/>
    <x v="281"/>
    <s v="GP COIL SOFT-TATXGP-GK09-0.45X900"/>
    <s v="Z80"/>
    <s v=""/>
    <n v="4"/>
    <n v="12"/>
    <m/>
    <x v="7"/>
    <x v="5"/>
    <s v="GK09"/>
    <x v="10"/>
    <x v="3"/>
    <x v="0"/>
    <n v="21"/>
    <n v="0"/>
    <n v="21"/>
    <n v="21"/>
    <n v="21"/>
    <n v="21"/>
    <n v="0"/>
    <n v="0"/>
    <n v="0"/>
    <n v="0"/>
    <n v="0"/>
    <n v="0"/>
    <n v="0"/>
    <n v="0"/>
    <n v="0"/>
    <n v="0"/>
    <n v="0"/>
    <n v="0"/>
    <n v="0"/>
    <n v="0"/>
    <n v="0"/>
    <n v="0"/>
    <n v="0"/>
    <n v="0"/>
    <n v="0"/>
    <n v="0"/>
    <n v="0"/>
    <n v="0"/>
    <n v="0"/>
    <m/>
    <n v="0"/>
    <n v="21"/>
    <n v="0"/>
    <n v="21"/>
    <n v="0"/>
    <n v="0"/>
    <n v="0"/>
    <n v="21"/>
    <n v="0"/>
    <n v="0"/>
    <n v="21"/>
    <n v="0"/>
    <n v="0"/>
    <n v="0"/>
    <m/>
    <m/>
    <m/>
    <m/>
    <m/>
    <m/>
    <m/>
    <m/>
    <m/>
    <m/>
    <m/>
    <m/>
    <m/>
    <m/>
    <m/>
    <m/>
    <m/>
    <m/>
    <m/>
    <m/>
    <m/>
    <m/>
    <m/>
    <m/>
    <m/>
    <m/>
    <m/>
    <m/>
    <m/>
    <m/>
    <m/>
    <m/>
    <m/>
    <m/>
  </r>
  <r>
    <n v="743"/>
    <d v="2025-02-13T00:00:00"/>
    <x v="0"/>
    <n v="9518516044"/>
    <n v="5"/>
    <s v="9518516044-5"/>
    <s v="No Priority"/>
    <x v="0"/>
    <m/>
    <x v="3"/>
    <x v="9"/>
    <x v="0"/>
    <m/>
    <x v="0"/>
    <m/>
    <m/>
    <m/>
    <s v="North"/>
    <s v="LONI"/>
    <x v="2"/>
    <x v="32"/>
    <x v="32"/>
    <x v="374"/>
    <s v="GP COIL SOFT-TATXGP-GK09-0.55X900"/>
    <s v="Z80"/>
    <s v=""/>
    <n v="4"/>
    <n v="6"/>
    <m/>
    <x v="7"/>
    <x v="5"/>
    <s v="GK09"/>
    <x v="18"/>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2-13T00:00:00"/>
    <x v="0"/>
    <n v="9518516044"/>
    <n v="6"/>
    <s v="9518516044-6"/>
    <s v="No Priority"/>
    <x v="0"/>
    <m/>
    <x v="3"/>
    <x v="9"/>
    <x v="0"/>
    <m/>
    <x v="0"/>
    <m/>
    <m/>
    <m/>
    <s v="North"/>
    <s v="LONI"/>
    <x v="2"/>
    <x v="32"/>
    <x v="32"/>
    <x v="281"/>
    <s v="GP COIL SOFT-TATXGP-GK09-0.45X900"/>
    <s v="Z80"/>
    <s v=""/>
    <n v="4"/>
    <n v="6"/>
    <m/>
    <x v="7"/>
    <x v="5"/>
    <s v="GK09"/>
    <x v="10"/>
    <x v="3"/>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3"/>
    <d v="2025-02-03T00:00:00"/>
    <x v="0"/>
    <n v="9518490997"/>
    <n v="2"/>
    <s v="9518490997-2"/>
    <s v="No Priority"/>
    <x v="0"/>
    <m/>
    <x v="3"/>
    <x v="9"/>
    <x v="0"/>
    <m/>
    <x v="0"/>
    <m/>
    <m/>
    <m/>
    <s v="North"/>
    <s v="KANPUR"/>
    <x v="2"/>
    <x v="94"/>
    <x v="92"/>
    <x v="121"/>
    <s v="GP COIL SOFT-TATXGP-GK09-0.5X900"/>
    <s v="Z80"/>
    <s v=""/>
    <n v="3.2"/>
    <n v="5"/>
    <m/>
    <x v="7"/>
    <x v="5"/>
    <s v="GK09"/>
    <x v="1"/>
    <x v="3"/>
    <x v="0"/>
    <n v="210"/>
    <n v="0"/>
    <n v="210"/>
    <n v="210"/>
    <n v="210"/>
    <n v="210"/>
    <n v="0"/>
    <n v="0"/>
    <n v="0"/>
    <n v="0"/>
    <n v="0"/>
    <n v="0"/>
    <n v="0"/>
    <n v="0"/>
    <n v="0"/>
    <n v="0"/>
    <n v="0"/>
    <n v="0"/>
    <n v="0"/>
    <n v="0"/>
    <n v="0"/>
    <n v="0"/>
    <n v="0"/>
    <n v="0"/>
    <n v="0"/>
    <n v="0"/>
    <n v="0"/>
    <n v="0"/>
    <n v="0"/>
    <m/>
    <n v="0"/>
    <n v="0"/>
    <n v="0"/>
    <n v="0"/>
    <n v="0"/>
    <n v="0"/>
    <n v="0"/>
    <n v="0"/>
    <n v="0"/>
    <n v="0"/>
    <n v="0"/>
    <n v="0"/>
    <n v="0"/>
    <n v="0"/>
    <m/>
    <m/>
    <m/>
    <m/>
    <m/>
    <m/>
    <m/>
    <m/>
    <m/>
    <m/>
    <m/>
    <m/>
    <m/>
    <m/>
    <m/>
    <m/>
    <m/>
    <m/>
    <m/>
    <m/>
    <m/>
    <m/>
    <m/>
    <m/>
    <m/>
    <m/>
    <m/>
    <m/>
    <m/>
    <m/>
    <m/>
    <m/>
    <m/>
    <m/>
  </r>
  <r>
    <n v="743"/>
    <d v="2025-02-03T00:00:00"/>
    <x v="0"/>
    <n v="9518490997"/>
    <n v="3"/>
    <s v="9518490997-3"/>
    <s v="No Priority"/>
    <x v="0"/>
    <m/>
    <x v="3"/>
    <x v="9"/>
    <x v="0"/>
    <m/>
    <x v="0"/>
    <m/>
    <m/>
    <m/>
    <s v="North"/>
    <s v="KANPUR"/>
    <x v="2"/>
    <x v="94"/>
    <x v="92"/>
    <x v="62"/>
    <s v="GP COIL SOFT-TATXGP-GK09-0.6X900"/>
    <s v="Z80"/>
    <s v=""/>
    <n v="3.2"/>
    <n v="5"/>
    <m/>
    <x v="7"/>
    <x v="5"/>
    <s v="GK09"/>
    <x v="20"/>
    <x v="3"/>
    <x v="0"/>
    <n v="210"/>
    <n v="0"/>
    <n v="210"/>
    <n v="210"/>
    <n v="210"/>
    <n v="210"/>
    <n v="0"/>
    <n v="0"/>
    <n v="0"/>
    <n v="0"/>
    <n v="0"/>
    <n v="0"/>
    <n v="0"/>
    <n v="0"/>
    <n v="0"/>
    <n v="0"/>
    <n v="0"/>
    <n v="0"/>
    <n v="0"/>
    <n v="0"/>
    <n v="0"/>
    <n v="0"/>
    <n v="0"/>
    <n v="0"/>
    <n v="0"/>
    <n v="0"/>
    <n v="0"/>
    <n v="0"/>
    <n v="0"/>
    <m/>
    <n v="0"/>
    <n v="0"/>
    <n v="0"/>
    <n v="0"/>
    <n v="0"/>
    <n v="0"/>
    <n v="0"/>
    <n v="0"/>
    <n v="0"/>
    <n v="0"/>
    <n v="0"/>
    <n v="0"/>
    <n v="0"/>
    <n v="0"/>
    <m/>
    <m/>
    <m/>
    <m/>
    <m/>
    <m/>
    <m/>
    <m/>
    <m/>
    <m/>
    <m/>
    <m/>
    <m/>
    <m/>
    <m/>
    <m/>
    <m/>
    <m/>
    <m/>
    <m/>
    <m/>
    <m/>
    <m/>
    <m/>
    <m/>
    <m/>
    <m/>
    <m/>
    <m/>
    <m/>
    <m/>
    <m/>
    <m/>
    <m/>
  </r>
  <r>
    <n v="743"/>
    <d v="2025-02-03T00:00:00"/>
    <x v="0"/>
    <n v="9518490997"/>
    <n v="4"/>
    <s v="9518490997-4"/>
    <s v="No Priority"/>
    <x v="0"/>
    <m/>
    <x v="3"/>
    <x v="9"/>
    <x v="0"/>
    <m/>
    <x v="0"/>
    <m/>
    <m/>
    <m/>
    <s v="North"/>
    <s v="KANPUR"/>
    <x v="2"/>
    <x v="94"/>
    <x v="92"/>
    <x v="65"/>
    <s v="GP COIL SOFT-TATXGP-GK09-0.63X900"/>
    <s v="Z80"/>
    <s v=""/>
    <n v="3.2"/>
    <n v="5"/>
    <m/>
    <x v="7"/>
    <x v="5"/>
    <s v="GK09"/>
    <x v="26"/>
    <x v="3"/>
    <x v="0"/>
    <n v="105"/>
    <n v="0"/>
    <n v="105"/>
    <n v="105"/>
    <n v="105"/>
    <n v="105"/>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5638"/>
    <n v="1"/>
    <s v="9518685638-1"/>
    <s v="No Priority"/>
    <x v="0"/>
    <m/>
    <x v="1"/>
    <x v="1"/>
    <x v="1"/>
    <m/>
    <x v="0"/>
    <m/>
    <m/>
    <s v="Uttar Pradesh"/>
    <s v="North"/>
    <m/>
    <x v="2"/>
    <x v="53"/>
    <x v="50"/>
    <x v="254"/>
    <s v="CRCA COIL-TATXXD-AU03-0.5X1250"/>
    <s v=""/>
    <m/>
    <m/>
    <m/>
    <m/>
    <x v="1"/>
    <x v="2"/>
    <s v="AU03"/>
    <x v="1"/>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5638"/>
    <n v="2"/>
    <s v="9518685638-2"/>
    <s v="No Priority"/>
    <x v="0"/>
    <m/>
    <x v="1"/>
    <x v="1"/>
    <x v="1"/>
    <m/>
    <x v="0"/>
    <m/>
    <m/>
    <s v="Uttar Pradesh"/>
    <s v="North"/>
    <m/>
    <x v="2"/>
    <x v="53"/>
    <x v="50"/>
    <x v="292"/>
    <s v="CRCA COIL TATXXD AU03 0.8X1250"/>
    <s v=""/>
    <m/>
    <m/>
    <m/>
    <m/>
    <x v="1"/>
    <x v="2"/>
    <s v="AU03"/>
    <x v="5"/>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5638"/>
    <n v="3"/>
    <s v="9518685638-3"/>
    <s v="No Priority"/>
    <x v="0"/>
    <m/>
    <x v="1"/>
    <x v="1"/>
    <x v="1"/>
    <m/>
    <x v="0"/>
    <m/>
    <m/>
    <s v="Uttar Pradesh"/>
    <s v="North"/>
    <m/>
    <x v="2"/>
    <x v="53"/>
    <x v="50"/>
    <x v="114"/>
    <s v="CRCA COIL-TATXXD-AU03-0.9X1250"/>
    <s v=""/>
    <m/>
    <m/>
    <m/>
    <m/>
    <x v="1"/>
    <x v="2"/>
    <s v="AU03"/>
    <x v="13"/>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5638"/>
    <n v="4"/>
    <s v="9518685638-4"/>
    <s v="No Priority"/>
    <x v="0"/>
    <m/>
    <x v="1"/>
    <x v="1"/>
    <x v="1"/>
    <m/>
    <x v="0"/>
    <m/>
    <m/>
    <s v="Uttar Pradesh"/>
    <s v="North"/>
    <m/>
    <x v="2"/>
    <x v="53"/>
    <x v="50"/>
    <x v="228"/>
    <s v="CRCA COIL-TATXXD-AU03-1X1250"/>
    <s v=""/>
    <m/>
    <m/>
    <m/>
    <m/>
    <x v="1"/>
    <x v="2"/>
    <s v="AU03"/>
    <x v="17"/>
    <x v="0"/>
    <x v="0"/>
    <n v="29"/>
    <n v="0"/>
    <n v="29"/>
    <n v="29"/>
    <n v="1.759999999999998"/>
    <n v="29"/>
    <n v="0"/>
    <n v="0"/>
    <n v="0"/>
    <n v="0"/>
    <n v="0"/>
    <n v="0"/>
    <n v="0"/>
    <n v="0"/>
    <n v="0"/>
    <n v="0"/>
    <n v="0"/>
    <n v="0"/>
    <n v="27.240000000000002"/>
    <n v="0"/>
    <n v="0"/>
    <n v="0"/>
    <n v="0"/>
    <n v="0"/>
    <n v="0"/>
    <n v="27.240000000000002"/>
    <n v="27.240000000000002"/>
    <n v="0"/>
    <n v="27.240000000000002"/>
    <m/>
    <n v="0"/>
    <n v="0"/>
    <n v="0"/>
    <n v="0"/>
    <n v="0"/>
    <n v="0"/>
    <n v="0"/>
    <n v="0"/>
    <n v="0"/>
    <n v="0"/>
    <n v="0"/>
    <n v="0"/>
    <n v="0"/>
    <n v="0"/>
    <m/>
    <m/>
    <m/>
    <m/>
    <m/>
    <m/>
    <m/>
    <m/>
    <m/>
    <m/>
    <m/>
    <m/>
    <m/>
    <m/>
    <m/>
    <m/>
    <m/>
    <m/>
    <m/>
    <m/>
    <m/>
    <m/>
    <m/>
    <m/>
    <m/>
    <m/>
    <m/>
    <m/>
    <m/>
    <m/>
    <m/>
    <m/>
    <m/>
    <m/>
  </r>
  <r>
    <n v="742"/>
    <d v="2025-04-11T00:00:00"/>
    <x v="0"/>
    <n v="9518685638"/>
    <n v="6"/>
    <s v="9518685638-6"/>
    <s v="No Priority"/>
    <x v="0"/>
    <m/>
    <x v="1"/>
    <x v="1"/>
    <x v="1"/>
    <m/>
    <x v="0"/>
    <m/>
    <m/>
    <s v="Uttar Pradesh"/>
    <s v="North"/>
    <m/>
    <x v="2"/>
    <x v="53"/>
    <x v="50"/>
    <x v="116"/>
    <s v="CRCA COIL-TATXXD-AU03-2X1250"/>
    <s v=""/>
    <m/>
    <m/>
    <m/>
    <m/>
    <x v="1"/>
    <x v="2"/>
    <s v="AU03"/>
    <x v="1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5638"/>
    <n v="7"/>
    <s v="9518685638-7"/>
    <s v="May'25"/>
    <x v="0"/>
    <s v="Yes"/>
    <x v="1"/>
    <x v="2"/>
    <x v="1"/>
    <m/>
    <x v="1"/>
    <m/>
    <m/>
    <s v="Uttar Pradesh"/>
    <s v="North"/>
    <m/>
    <x v="2"/>
    <x v="53"/>
    <x v="50"/>
    <x v="30"/>
    <s v="CRCA SHEET TSBCRC SR15 0.500X1250X2030"/>
    <s v=""/>
    <m/>
    <m/>
    <m/>
    <m/>
    <x v="2"/>
    <x v="4"/>
    <s v="SR15"/>
    <x v="1"/>
    <x v="0"/>
    <x v="1"/>
    <n v="108"/>
    <n v="0"/>
    <n v="108"/>
    <n v="108"/>
    <n v="107.85"/>
    <n v="81.63"/>
    <n v="0"/>
    <n v="0"/>
    <n v="0"/>
    <n v="0"/>
    <n v="0"/>
    <n v="0"/>
    <n v="0"/>
    <n v="0"/>
    <n v="0"/>
    <n v="0"/>
    <n v="0"/>
    <n v="0"/>
    <n v="0"/>
    <n v="0"/>
    <n v="0"/>
    <n v="0.15"/>
    <n v="0"/>
    <n v="0"/>
    <n v="0"/>
    <n v="0.15"/>
    <n v="0.15"/>
    <n v="0"/>
    <n v="0.15"/>
    <m/>
    <n v="26.37"/>
    <n v="81.63"/>
    <n v="0"/>
    <n v="0"/>
    <n v="81.63"/>
    <n v="0"/>
    <n v="0"/>
    <n v="108"/>
    <n v="0"/>
    <n v="0"/>
    <n v="0"/>
    <n v="108"/>
    <n v="0"/>
    <n v="0"/>
    <m/>
    <m/>
    <m/>
    <m/>
    <m/>
    <m/>
    <m/>
    <m/>
    <m/>
    <m/>
    <m/>
    <m/>
    <m/>
    <m/>
    <m/>
    <m/>
    <m/>
    <m/>
    <m/>
    <m/>
    <m/>
    <m/>
    <m/>
    <m/>
    <m/>
    <m/>
    <m/>
    <m/>
    <m/>
    <m/>
    <m/>
    <m/>
    <m/>
    <m/>
  </r>
  <r>
    <n v="742"/>
    <d v="2025-03-24T00:00:00"/>
    <x v="0"/>
    <n v="9518629852"/>
    <n v="8"/>
    <s v="9518629852-8"/>
    <s v="No Priority"/>
    <x v="1"/>
    <s v="Yes"/>
    <x v="1"/>
    <x v="2"/>
    <x v="1"/>
    <m/>
    <x v="0"/>
    <m/>
    <m/>
    <s v="Maharashtra"/>
    <s v="West"/>
    <m/>
    <x v="2"/>
    <x v="27"/>
    <x v="27"/>
    <x v="375"/>
    <s v="CRCA SHEET TSBCRC SR15 1.600X1250X2500"/>
    <s v=""/>
    <m/>
    <m/>
    <m/>
    <m/>
    <x v="2"/>
    <x v="4"/>
    <s v="SR15"/>
    <x v="22"/>
    <x v="0"/>
    <x v="3"/>
    <n v="75"/>
    <n v="0"/>
    <n v="75"/>
    <n v="75"/>
    <n v="75"/>
    <n v="75"/>
    <n v="0"/>
    <n v="0"/>
    <n v="0"/>
    <n v="0"/>
    <n v="0"/>
    <n v="0"/>
    <n v="0"/>
    <n v="0"/>
    <n v="0"/>
    <n v="0"/>
    <n v="0"/>
    <n v="0"/>
    <n v="0"/>
    <n v="0"/>
    <n v="0"/>
    <n v="0"/>
    <n v="0"/>
    <n v="0"/>
    <n v="0"/>
    <n v="0"/>
    <n v="0"/>
    <n v="0"/>
    <n v="0"/>
    <m/>
    <n v="0"/>
    <n v="0"/>
    <n v="0"/>
    <n v="0"/>
    <n v="0"/>
    <n v="0"/>
    <n v="0"/>
    <n v="0"/>
    <n v="0"/>
    <n v="0"/>
    <n v="0"/>
    <n v="0"/>
    <n v="0"/>
    <n v="0"/>
    <m/>
    <m/>
    <m/>
    <m/>
    <m/>
    <m/>
    <m/>
    <m/>
    <m/>
    <m/>
    <m/>
    <m/>
    <m/>
    <m/>
    <m/>
    <m/>
    <m/>
    <m/>
    <m/>
    <m/>
    <m/>
    <m/>
    <m/>
    <m/>
    <m/>
    <m/>
    <m/>
    <m/>
    <m/>
    <m/>
    <m/>
    <m/>
    <m/>
    <m/>
  </r>
  <r>
    <n v="743"/>
    <d v="2025-04-03T00:00:00"/>
    <x v="0"/>
    <n v="9518667160"/>
    <n v="1"/>
    <s v="9518667160-1"/>
    <s v="May'25"/>
    <x v="0"/>
    <s v="Yes"/>
    <x v="3"/>
    <x v="4"/>
    <x v="1"/>
    <m/>
    <x v="1"/>
    <m/>
    <m/>
    <s v="Assam"/>
    <s v="East"/>
    <m/>
    <x v="2"/>
    <x v="16"/>
    <x v="108"/>
    <x v="179"/>
    <s v="GP COIL TATGPH GP02 0.400X900"/>
    <s v=""/>
    <m/>
    <m/>
    <m/>
    <m/>
    <x v="4"/>
    <x v="6"/>
    <s v="GP02"/>
    <x v="2"/>
    <x v="3"/>
    <x v="0"/>
    <n v="21"/>
    <n v="0"/>
    <n v="21"/>
    <n v="21"/>
    <n v="21"/>
    <n v="147"/>
    <n v="0"/>
    <n v="0"/>
    <n v="0"/>
    <n v="0"/>
    <n v="0"/>
    <n v="0"/>
    <n v="0"/>
    <n v="0"/>
    <n v="0"/>
    <n v="0"/>
    <n v="0"/>
    <n v="0"/>
    <n v="0"/>
    <n v="0"/>
    <n v="0"/>
    <n v="0"/>
    <n v="0"/>
    <n v="0"/>
    <n v="0"/>
    <n v="0"/>
    <n v="0"/>
    <n v="0"/>
    <n v="0"/>
    <m/>
    <n v="0"/>
    <n v="147"/>
    <n v="0"/>
    <n v="0"/>
    <n v="0"/>
    <n v="147"/>
    <n v="0"/>
    <n v="147"/>
    <n v="0"/>
    <n v="0"/>
    <n v="0"/>
    <n v="147"/>
    <n v="0"/>
    <n v="0"/>
    <m/>
    <m/>
    <m/>
    <m/>
    <m/>
    <m/>
    <m/>
    <m/>
    <m/>
    <m/>
    <m/>
    <m/>
    <m/>
    <m/>
    <m/>
    <m/>
    <m/>
    <m/>
    <m/>
    <m/>
    <m/>
    <m/>
    <m/>
    <m/>
    <m/>
    <m/>
    <m/>
    <m/>
    <m/>
    <m/>
    <m/>
    <m/>
    <m/>
    <m/>
  </r>
  <r>
    <n v="743"/>
    <d v="2025-04-03T00:00:00"/>
    <x v="0"/>
    <n v="9518667160"/>
    <n v="2"/>
    <s v="9518667160-2"/>
    <s v="May'25"/>
    <x v="0"/>
    <s v="Yes"/>
    <x v="3"/>
    <x v="4"/>
    <x v="1"/>
    <m/>
    <x v="1"/>
    <m/>
    <m/>
    <s v="Assam"/>
    <s v="East"/>
    <m/>
    <x v="2"/>
    <x v="16"/>
    <x v="108"/>
    <x v="376"/>
    <s v="GP COIL TATGPH GP02 0.500X900"/>
    <s v=""/>
    <m/>
    <m/>
    <m/>
    <m/>
    <x v="4"/>
    <x v="6"/>
    <s v="GP02"/>
    <x v="1"/>
    <x v="3"/>
    <x v="0"/>
    <n v="21"/>
    <n v="0"/>
    <n v="21"/>
    <n v="21"/>
    <n v="21"/>
    <n v="63"/>
    <n v="0"/>
    <n v="0"/>
    <n v="0"/>
    <n v="0"/>
    <n v="0"/>
    <n v="0"/>
    <n v="0"/>
    <n v="0"/>
    <n v="0"/>
    <n v="0"/>
    <n v="0"/>
    <n v="0"/>
    <n v="0"/>
    <n v="0"/>
    <n v="0"/>
    <n v="0"/>
    <n v="0"/>
    <n v="0"/>
    <n v="0"/>
    <n v="0"/>
    <n v="0"/>
    <n v="0"/>
    <n v="0"/>
    <m/>
    <n v="0"/>
    <n v="63"/>
    <n v="0"/>
    <n v="0"/>
    <n v="0"/>
    <n v="63"/>
    <n v="0"/>
    <n v="63"/>
    <n v="0"/>
    <n v="0"/>
    <n v="0"/>
    <n v="63"/>
    <n v="0"/>
    <n v="0"/>
    <m/>
    <m/>
    <m/>
    <m/>
    <m/>
    <m/>
    <m/>
    <m/>
    <m/>
    <m/>
    <m/>
    <m/>
    <m/>
    <m/>
    <m/>
    <m/>
    <m/>
    <m/>
    <m/>
    <m/>
    <m/>
    <m/>
    <m/>
    <m/>
    <m/>
    <m/>
    <m/>
    <m/>
    <m/>
    <m/>
    <m/>
    <m/>
    <m/>
    <m/>
  </r>
  <r>
    <n v="743"/>
    <d v="2025-04-03T00:00:00"/>
    <x v="0"/>
    <n v="9518667160"/>
    <n v="3"/>
    <s v="9518667160-3"/>
    <s v="May'25"/>
    <x v="0"/>
    <s v="Yes"/>
    <x v="3"/>
    <x v="4"/>
    <x v="1"/>
    <m/>
    <x v="1"/>
    <m/>
    <m/>
    <s v="Assam"/>
    <s v="East"/>
    <m/>
    <x v="2"/>
    <x v="16"/>
    <x v="108"/>
    <x v="377"/>
    <s v="GP COIL TATGPH GP02 0.350X1015"/>
    <s v=""/>
    <m/>
    <m/>
    <m/>
    <m/>
    <x v="4"/>
    <x v="6"/>
    <s v="GP02"/>
    <x v="6"/>
    <x v="4"/>
    <x v="0"/>
    <n v="46"/>
    <n v="0"/>
    <n v="46"/>
    <n v="46"/>
    <n v="46"/>
    <n v="46"/>
    <n v="0"/>
    <n v="0"/>
    <n v="0"/>
    <n v="0"/>
    <n v="0"/>
    <n v="0"/>
    <n v="0"/>
    <n v="0"/>
    <n v="0"/>
    <n v="0"/>
    <n v="0"/>
    <n v="0"/>
    <n v="0"/>
    <n v="0"/>
    <n v="0"/>
    <n v="0"/>
    <n v="0"/>
    <n v="0"/>
    <n v="0"/>
    <n v="0"/>
    <n v="0"/>
    <n v="0"/>
    <n v="0"/>
    <m/>
    <n v="0"/>
    <n v="46"/>
    <n v="0"/>
    <n v="0"/>
    <n v="0"/>
    <n v="46"/>
    <n v="0"/>
    <n v="46"/>
    <n v="0"/>
    <n v="0"/>
    <n v="0"/>
    <n v="46"/>
    <n v="0"/>
    <n v="0"/>
    <m/>
    <m/>
    <m/>
    <m/>
    <m/>
    <m/>
    <m/>
    <m/>
    <m/>
    <m/>
    <m/>
    <m/>
    <m/>
    <m/>
    <m/>
    <m/>
    <m/>
    <m/>
    <m/>
    <m/>
    <m/>
    <m/>
    <m/>
    <m/>
    <m/>
    <m/>
    <m/>
    <m/>
    <m/>
    <m/>
    <m/>
    <m/>
    <m/>
    <m/>
  </r>
  <r>
    <n v="743"/>
    <d v="2025-04-03T00:00:00"/>
    <x v="0"/>
    <n v="9518667160"/>
    <n v="4"/>
    <s v="9518667160-4"/>
    <s v="No Priority"/>
    <x v="0"/>
    <s v="Yes"/>
    <x v="3"/>
    <x v="4"/>
    <x v="1"/>
    <m/>
    <x v="0"/>
    <m/>
    <m/>
    <s v="Assam"/>
    <s v="East"/>
    <m/>
    <x v="2"/>
    <x v="16"/>
    <x v="108"/>
    <x v="25"/>
    <s v="GP COIL TATGPH GP02 0.400X1015"/>
    <s v=""/>
    <m/>
    <m/>
    <m/>
    <m/>
    <x v="4"/>
    <x v="6"/>
    <s v="GP02"/>
    <x v="2"/>
    <x v="4"/>
    <x v="0"/>
    <n v="46"/>
    <n v="0"/>
    <n v="46"/>
    <n v="46"/>
    <n v="46"/>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2784"/>
    <n v="1"/>
    <s v="9518692784-1"/>
    <s v="No Priority"/>
    <x v="0"/>
    <m/>
    <x v="1"/>
    <x v="10"/>
    <x v="3"/>
    <m/>
    <x v="0"/>
    <m/>
    <m/>
    <s v="Dadra, Nagarhaveli"/>
    <s v="West"/>
    <m/>
    <x v="2"/>
    <x v="43"/>
    <x v="42"/>
    <x v="52"/>
    <s v="CRCA COIL TATXXD BT02 0.970X913"/>
    <s v=""/>
    <m/>
    <m/>
    <m/>
    <m/>
    <x v="1"/>
    <x v="2"/>
    <s v="BT02"/>
    <x v="24"/>
    <x v="8"/>
    <x v="0"/>
    <n v="62.99"/>
    <n v="0"/>
    <n v="62.99"/>
    <n v="62.99"/>
    <n v="62.99"/>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2793"/>
    <n v="3"/>
    <s v="9518692793-3"/>
    <s v="No Priority"/>
    <x v="0"/>
    <m/>
    <x v="1"/>
    <x v="10"/>
    <x v="3"/>
    <m/>
    <x v="0"/>
    <m/>
    <m/>
    <s v="Dadra, Nagarhaveli"/>
    <s v="West"/>
    <m/>
    <x v="2"/>
    <x v="43"/>
    <x v="42"/>
    <x v="81"/>
    <s v="CRCA COIL TATXXD BT02 1.200X910"/>
    <s v=""/>
    <m/>
    <m/>
    <m/>
    <m/>
    <x v="1"/>
    <x v="2"/>
    <s v="BT02"/>
    <x v="19"/>
    <x v="12"/>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8553"/>
    <n v="1"/>
    <s v="9518648553-1"/>
    <s v="No Priority"/>
    <x v="1"/>
    <m/>
    <x v="1"/>
    <x v="1"/>
    <x v="1"/>
    <m/>
    <x v="0"/>
    <m/>
    <m/>
    <s v="Delhi"/>
    <s v="North"/>
    <m/>
    <x v="2"/>
    <x v="90"/>
    <x v="70"/>
    <x v="378"/>
    <s v="CRSHEET-ICF  DQ TATXXD AU03 0.80 X 1000"/>
    <s v=""/>
    <m/>
    <m/>
    <m/>
    <m/>
    <x v="1"/>
    <x v="2"/>
    <s v="AU03"/>
    <x v="5"/>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1"/>
    <s v="9518620674-1"/>
    <s v="No Priority"/>
    <x v="1"/>
    <m/>
    <x v="1"/>
    <x v="1"/>
    <x v="1"/>
    <m/>
    <x v="0"/>
    <m/>
    <m/>
    <s v="Tamil Nadu"/>
    <s v="South"/>
    <m/>
    <x v="2"/>
    <x v="4"/>
    <x v="4"/>
    <x v="379"/>
    <s v="CRCA COIL TATCRC TR15 0.350X900"/>
    <s v=""/>
    <m/>
    <m/>
    <m/>
    <m/>
    <x v="1"/>
    <x v="1"/>
    <s v="TR15"/>
    <x v="6"/>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2"/>
    <s v="9518620674-2"/>
    <s v="No Priority"/>
    <x v="1"/>
    <m/>
    <x v="1"/>
    <x v="1"/>
    <x v="1"/>
    <m/>
    <x v="0"/>
    <m/>
    <m/>
    <s v="Tamil Nadu"/>
    <s v="South"/>
    <m/>
    <x v="2"/>
    <x v="4"/>
    <x v="4"/>
    <x v="380"/>
    <s v="CRCA COIL TATCRC TR15 0.350X1000"/>
    <s v=""/>
    <m/>
    <m/>
    <m/>
    <m/>
    <x v="1"/>
    <x v="1"/>
    <s v="TR15"/>
    <x v="6"/>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6"/>
    <s v="9518620674-6"/>
    <s v="No Priority"/>
    <x v="1"/>
    <m/>
    <x v="1"/>
    <x v="1"/>
    <x v="1"/>
    <m/>
    <x v="0"/>
    <m/>
    <m/>
    <s v="Tamil Nadu"/>
    <s v="South"/>
    <m/>
    <x v="2"/>
    <x v="4"/>
    <x v="4"/>
    <x v="4"/>
    <s v="CRCA COIL TATCRC TR15 0.4X1250"/>
    <s v=""/>
    <m/>
    <m/>
    <m/>
    <m/>
    <x v="1"/>
    <x v="1"/>
    <s v="TR15"/>
    <x v="2"/>
    <x v="0"/>
    <x v="0"/>
    <n v="87"/>
    <n v="0"/>
    <n v="87"/>
    <n v="87"/>
    <n v="87"/>
    <n v="87"/>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7"/>
    <s v="9518620674-7"/>
    <s v="No Priority"/>
    <x v="1"/>
    <m/>
    <x v="1"/>
    <x v="1"/>
    <x v="1"/>
    <m/>
    <x v="0"/>
    <m/>
    <m/>
    <s v="Tamil Nadu"/>
    <s v="South"/>
    <m/>
    <x v="2"/>
    <x v="4"/>
    <x v="4"/>
    <x v="381"/>
    <s v="CRCA COIL-TATCRC-TR15-0.45X900"/>
    <s v=""/>
    <m/>
    <m/>
    <m/>
    <m/>
    <x v="1"/>
    <x v="1"/>
    <s v="TR15"/>
    <x v="10"/>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8"/>
    <s v="9518620674-8"/>
    <s v="No Priority"/>
    <x v="1"/>
    <m/>
    <x v="1"/>
    <x v="1"/>
    <x v="1"/>
    <m/>
    <x v="0"/>
    <m/>
    <m/>
    <s v="Tamil Nadu"/>
    <s v="South"/>
    <m/>
    <x v="2"/>
    <x v="4"/>
    <x v="4"/>
    <x v="382"/>
    <s v="CRCA COIL-TATCRC-TR15-0.45X1000"/>
    <s v=""/>
    <m/>
    <m/>
    <m/>
    <m/>
    <x v="1"/>
    <x v="1"/>
    <s v="TR15"/>
    <x v="10"/>
    <x v="2"/>
    <x v="0"/>
    <n v="69"/>
    <n v="0"/>
    <n v="69"/>
    <n v="69"/>
    <n v="69"/>
    <n v="69"/>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9"/>
    <s v="9518620674-9"/>
    <s v="No Priority"/>
    <x v="1"/>
    <m/>
    <x v="1"/>
    <x v="1"/>
    <x v="1"/>
    <m/>
    <x v="0"/>
    <m/>
    <m/>
    <s v="Tamil Nadu"/>
    <s v="South"/>
    <m/>
    <x v="2"/>
    <x v="4"/>
    <x v="4"/>
    <x v="383"/>
    <s v="CRCA COIL-TATCRC-TR15-0.5X1000"/>
    <s v=""/>
    <m/>
    <m/>
    <m/>
    <m/>
    <x v="1"/>
    <x v="1"/>
    <s v="TR15"/>
    <x v="1"/>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10"/>
    <s v="9518620674-10"/>
    <s v="No Priority"/>
    <x v="1"/>
    <m/>
    <x v="1"/>
    <x v="1"/>
    <x v="1"/>
    <m/>
    <x v="0"/>
    <m/>
    <m/>
    <s v="Tamil Nadu"/>
    <s v="South"/>
    <m/>
    <x v="2"/>
    <x v="4"/>
    <x v="4"/>
    <x v="384"/>
    <s v="CRCA COIL TATCRC TR15 0.6X1000"/>
    <s v=""/>
    <m/>
    <m/>
    <m/>
    <m/>
    <x v="1"/>
    <x v="1"/>
    <s v="TR15"/>
    <x v="20"/>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12"/>
    <s v="9518620674-12"/>
    <s v="No Priority"/>
    <x v="1"/>
    <m/>
    <x v="1"/>
    <x v="1"/>
    <x v="1"/>
    <m/>
    <x v="0"/>
    <m/>
    <m/>
    <s v="Tamil Nadu"/>
    <s v="South"/>
    <m/>
    <x v="2"/>
    <x v="4"/>
    <x v="4"/>
    <x v="343"/>
    <s v="CR COIL TATXXD AU03 0.700X925"/>
    <s v=""/>
    <m/>
    <m/>
    <m/>
    <m/>
    <x v="1"/>
    <x v="2"/>
    <s v="AU03"/>
    <x v="4"/>
    <x v="27"/>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14"/>
    <s v="9518620674-14"/>
    <s v="No Priority"/>
    <x v="1"/>
    <m/>
    <x v="1"/>
    <x v="1"/>
    <x v="1"/>
    <m/>
    <x v="0"/>
    <m/>
    <m/>
    <s v="Tamil Nadu"/>
    <s v="South"/>
    <m/>
    <x v="2"/>
    <x v="4"/>
    <x v="4"/>
    <x v="385"/>
    <s v="CRCA COIL-TATXXD-AU03-0.8X1000"/>
    <s v=""/>
    <m/>
    <m/>
    <m/>
    <m/>
    <x v="1"/>
    <x v="2"/>
    <s v="AU03"/>
    <x v="5"/>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21"/>
    <s v="9518620674-21"/>
    <s v="May'25"/>
    <x v="0"/>
    <s v="Yes"/>
    <x v="1"/>
    <x v="2"/>
    <x v="1"/>
    <m/>
    <x v="1"/>
    <m/>
    <m/>
    <s v="Tamil Nadu"/>
    <s v="South"/>
    <m/>
    <x v="2"/>
    <x v="4"/>
    <x v="4"/>
    <x v="149"/>
    <s v="CRCA SHEET TATCRC SR16 0.350X900X2500"/>
    <s v=""/>
    <m/>
    <m/>
    <m/>
    <m/>
    <x v="2"/>
    <x v="1"/>
    <s v="SR16"/>
    <x v="6"/>
    <x v="3"/>
    <x v="3"/>
    <n v="42"/>
    <n v="0"/>
    <n v="42"/>
    <n v="42"/>
    <n v="-0.56000000000000227"/>
    <n v="42"/>
    <n v="0"/>
    <n v="0"/>
    <n v="0"/>
    <n v="0"/>
    <n v="0"/>
    <n v="0"/>
    <n v="0"/>
    <n v="0"/>
    <n v="0"/>
    <n v="0"/>
    <n v="0"/>
    <n v="0"/>
    <n v="0"/>
    <n v="21.21"/>
    <n v="21.35"/>
    <n v="0"/>
    <n v="0"/>
    <n v="0"/>
    <n v="0"/>
    <n v="42.56"/>
    <n v="42.56"/>
    <n v="0"/>
    <n v="42.56"/>
    <m/>
    <n v="0"/>
    <n v="42"/>
    <n v="0"/>
    <n v="42"/>
    <n v="0"/>
    <n v="0"/>
    <n v="0"/>
    <n v="42"/>
    <n v="0"/>
    <n v="42"/>
    <n v="0"/>
    <n v="0"/>
    <n v="0"/>
    <n v="0"/>
    <m/>
    <m/>
    <m/>
    <m/>
    <m/>
    <m/>
    <m/>
    <m/>
    <m/>
    <m/>
    <m/>
    <m/>
    <m/>
    <m/>
    <m/>
    <m/>
    <m/>
    <m/>
    <m/>
    <m/>
    <m/>
    <m/>
    <m/>
    <m/>
    <m/>
    <m/>
    <m/>
    <m/>
    <m/>
    <m/>
    <m/>
    <m/>
    <m/>
    <m/>
  </r>
  <r>
    <n v="742"/>
    <d v="2025-03-21T00:00:00"/>
    <x v="0"/>
    <n v="9518620674"/>
    <n v="22"/>
    <s v="9518620674-22"/>
    <s v="No Priority"/>
    <x v="1"/>
    <m/>
    <x v="1"/>
    <x v="2"/>
    <x v="1"/>
    <m/>
    <x v="0"/>
    <m/>
    <m/>
    <s v="Tamil Nadu"/>
    <s v="South"/>
    <m/>
    <x v="2"/>
    <x v="4"/>
    <x v="4"/>
    <x v="144"/>
    <s v="CRCA SHEET TATCRC SR16 0.400X900X2500"/>
    <s v=""/>
    <m/>
    <m/>
    <m/>
    <m/>
    <x v="2"/>
    <x v="1"/>
    <s v="SR16"/>
    <x v="2"/>
    <x v="3"/>
    <x v="3"/>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674"/>
    <n v="23"/>
    <s v="9518620674-23"/>
    <s v="May'25"/>
    <x v="0"/>
    <s v="Yes"/>
    <x v="1"/>
    <x v="2"/>
    <x v="1"/>
    <m/>
    <x v="1"/>
    <m/>
    <m/>
    <s v="Tamil Nadu"/>
    <s v="South"/>
    <m/>
    <x v="2"/>
    <x v="4"/>
    <x v="4"/>
    <x v="10"/>
    <s v="CRCA SHEET TATCRC SR16 0.400X1000X1980"/>
    <s v=""/>
    <m/>
    <m/>
    <m/>
    <m/>
    <x v="2"/>
    <x v="1"/>
    <s v="SR16"/>
    <x v="2"/>
    <x v="2"/>
    <x v="4"/>
    <n v="45"/>
    <n v="0"/>
    <n v="45"/>
    <n v="45"/>
    <n v="45"/>
    <n v="45"/>
    <n v="0"/>
    <n v="0"/>
    <n v="0"/>
    <n v="0"/>
    <n v="0"/>
    <n v="0"/>
    <n v="0"/>
    <n v="0"/>
    <n v="0"/>
    <n v="0"/>
    <n v="0"/>
    <n v="0"/>
    <n v="0"/>
    <n v="0"/>
    <n v="0"/>
    <n v="0"/>
    <n v="0"/>
    <n v="0"/>
    <n v="0"/>
    <n v="0"/>
    <n v="0"/>
    <n v="0"/>
    <n v="0"/>
    <m/>
    <n v="0"/>
    <n v="45"/>
    <n v="0"/>
    <n v="0"/>
    <n v="0"/>
    <n v="45"/>
    <n v="0"/>
    <n v="45"/>
    <n v="0"/>
    <n v="0"/>
    <n v="0"/>
    <n v="0"/>
    <n v="45"/>
    <n v="0"/>
    <m/>
    <m/>
    <m/>
    <m/>
    <m/>
    <m/>
    <m/>
    <m/>
    <m/>
    <m/>
    <m/>
    <m/>
    <m/>
    <m/>
    <m/>
    <m/>
    <m/>
    <m/>
    <m/>
    <m/>
    <m/>
    <m/>
    <m/>
    <m/>
    <m/>
    <m/>
    <m/>
    <m/>
    <m/>
    <m/>
    <m/>
    <m/>
    <m/>
    <m/>
  </r>
  <r>
    <n v="742"/>
    <d v="2025-03-21T00:00:00"/>
    <x v="0"/>
    <n v="9518620674"/>
    <n v="25"/>
    <s v="9518620674-25"/>
    <s v="May'25"/>
    <x v="0"/>
    <s v="Yes"/>
    <x v="1"/>
    <x v="2"/>
    <x v="1"/>
    <m/>
    <x v="1"/>
    <m/>
    <m/>
    <s v="Tamil Nadu"/>
    <s v="South"/>
    <m/>
    <x v="2"/>
    <x v="4"/>
    <x v="4"/>
    <x v="18"/>
    <s v="CRCA SHEET TATCRC SR16 0.450X1000X1980"/>
    <s v=""/>
    <m/>
    <m/>
    <m/>
    <m/>
    <x v="2"/>
    <x v="1"/>
    <s v="SR16"/>
    <x v="10"/>
    <x v="2"/>
    <x v="4"/>
    <n v="45"/>
    <n v="0"/>
    <n v="45"/>
    <n v="45"/>
    <n v="0.11999999999999744"/>
    <n v="45"/>
    <n v="0"/>
    <n v="0"/>
    <n v="0"/>
    <n v="0"/>
    <n v="0"/>
    <n v="0"/>
    <n v="0"/>
    <n v="0"/>
    <n v="0"/>
    <n v="0"/>
    <n v="0"/>
    <n v="0"/>
    <n v="0"/>
    <n v="44.88"/>
    <n v="0"/>
    <n v="0"/>
    <n v="0"/>
    <n v="0"/>
    <n v="0"/>
    <n v="44.88"/>
    <n v="44.88"/>
    <n v="0"/>
    <n v="44.88"/>
    <m/>
    <n v="0"/>
    <n v="45"/>
    <n v="0"/>
    <n v="45"/>
    <n v="0"/>
    <n v="0"/>
    <n v="0"/>
    <n v="45"/>
    <n v="0"/>
    <n v="45"/>
    <n v="0"/>
    <n v="0"/>
    <n v="0"/>
    <n v="0"/>
    <m/>
    <m/>
    <m/>
    <m/>
    <m/>
    <m/>
    <m/>
    <m/>
    <m/>
    <m/>
    <m/>
    <m/>
    <m/>
    <m/>
    <m/>
    <m/>
    <m/>
    <m/>
    <m/>
    <m/>
    <m/>
    <m/>
    <m/>
    <m/>
    <m/>
    <m/>
    <m/>
    <m/>
    <m/>
    <m/>
    <m/>
    <m/>
    <m/>
    <m/>
  </r>
  <r>
    <n v="742"/>
    <d v="2025-04-11T00:00:00"/>
    <x v="0"/>
    <n v="9518684484"/>
    <n v="1"/>
    <s v="9518684484-1"/>
    <s v="No Priority"/>
    <x v="1"/>
    <m/>
    <x v="1"/>
    <x v="11"/>
    <x v="1"/>
    <m/>
    <x v="0"/>
    <m/>
    <m/>
    <s v="Tamil Nadu"/>
    <s v="South"/>
    <m/>
    <x v="2"/>
    <x v="4"/>
    <x v="4"/>
    <x v="158"/>
    <s v="CRCA COIL TATXXD AH03 2.500X1250"/>
    <s v=""/>
    <m/>
    <m/>
    <m/>
    <m/>
    <x v="1"/>
    <x v="2"/>
    <s v="AH03"/>
    <x v="38"/>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484"/>
    <n v="2"/>
    <s v="9518684484-2"/>
    <s v="No Priority"/>
    <x v="1"/>
    <m/>
    <x v="1"/>
    <x v="1"/>
    <x v="1"/>
    <m/>
    <x v="0"/>
    <m/>
    <m/>
    <s v="Tamil Nadu"/>
    <s v="South"/>
    <m/>
    <x v="2"/>
    <x v="4"/>
    <x v="4"/>
    <x v="343"/>
    <s v="CR COIL TATXXD AU03 0.700X925"/>
    <s v=""/>
    <m/>
    <m/>
    <m/>
    <m/>
    <x v="1"/>
    <x v="2"/>
    <s v="AU03"/>
    <x v="4"/>
    <x v="27"/>
    <x v="0"/>
    <n v="210"/>
    <n v="0"/>
    <n v="210"/>
    <n v="210"/>
    <n v="210"/>
    <n v="210"/>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484"/>
    <n v="3"/>
    <s v="9518684484-3"/>
    <s v="No Priority"/>
    <x v="1"/>
    <m/>
    <x v="1"/>
    <x v="1"/>
    <x v="1"/>
    <m/>
    <x v="0"/>
    <m/>
    <m/>
    <s v="Tamil Nadu"/>
    <s v="South"/>
    <m/>
    <x v="2"/>
    <x v="4"/>
    <x v="4"/>
    <x v="298"/>
    <s v="CRCA COIL TATCRC TR15 0.400X900"/>
    <s v=""/>
    <m/>
    <m/>
    <m/>
    <m/>
    <x v="1"/>
    <x v="1"/>
    <s v="TR15"/>
    <x v="2"/>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484"/>
    <n v="4"/>
    <s v="9518684484-4"/>
    <s v="No Priority"/>
    <x v="1"/>
    <m/>
    <x v="1"/>
    <x v="1"/>
    <x v="1"/>
    <m/>
    <x v="0"/>
    <m/>
    <m/>
    <s v="Tamil Nadu"/>
    <s v="South"/>
    <m/>
    <x v="2"/>
    <x v="4"/>
    <x v="4"/>
    <x v="381"/>
    <s v="CRCA COIL-TATCRC-TR15-0.45X900"/>
    <s v=""/>
    <m/>
    <m/>
    <m/>
    <m/>
    <x v="1"/>
    <x v="1"/>
    <s v="TR15"/>
    <x v="10"/>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484"/>
    <n v="5"/>
    <s v="9518684484-5"/>
    <s v="No Priority"/>
    <x v="1"/>
    <m/>
    <x v="1"/>
    <x v="1"/>
    <x v="1"/>
    <m/>
    <x v="0"/>
    <m/>
    <m/>
    <s v="Tamil Nadu"/>
    <s v="South"/>
    <m/>
    <x v="2"/>
    <x v="4"/>
    <x v="4"/>
    <x v="382"/>
    <s v="CRCA COIL-TATCRC-TR15-0.45X1000"/>
    <s v=""/>
    <m/>
    <m/>
    <m/>
    <m/>
    <x v="1"/>
    <x v="1"/>
    <s v="TR15"/>
    <x v="10"/>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484"/>
    <n v="6"/>
    <s v="9518684484-6"/>
    <s v="No Priority"/>
    <x v="1"/>
    <m/>
    <x v="1"/>
    <x v="1"/>
    <x v="1"/>
    <m/>
    <x v="0"/>
    <m/>
    <m/>
    <s v="Tamil Nadu"/>
    <s v="South"/>
    <m/>
    <x v="2"/>
    <x v="4"/>
    <x v="4"/>
    <x v="386"/>
    <s v="CRCA SHEET TATCRC TR15 0.600X1000X2000"/>
    <s v=""/>
    <m/>
    <m/>
    <m/>
    <m/>
    <x v="2"/>
    <x v="1"/>
    <s v="TR15"/>
    <x v="20"/>
    <x v="2"/>
    <x v="10"/>
    <n v="51"/>
    <n v="0"/>
    <n v="51"/>
    <n v="51"/>
    <n v="51"/>
    <n v="51"/>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484"/>
    <n v="7"/>
    <s v="9518684484-7"/>
    <s v="May'25"/>
    <x v="0"/>
    <m/>
    <x v="1"/>
    <x v="1"/>
    <x v="1"/>
    <m/>
    <x v="1"/>
    <m/>
    <m/>
    <s v="Tamil Nadu"/>
    <s v="South"/>
    <m/>
    <x v="2"/>
    <x v="4"/>
    <x v="4"/>
    <x v="387"/>
    <s v="CRCA SHEET TATCRC TR15 .5X1250X2500"/>
    <s v=""/>
    <m/>
    <m/>
    <m/>
    <m/>
    <x v="2"/>
    <x v="1"/>
    <s v="TR15"/>
    <x v="1"/>
    <x v="0"/>
    <x v="0"/>
    <n v="51"/>
    <n v="0"/>
    <n v="51"/>
    <n v="51"/>
    <n v="-2.9699999999999989"/>
    <n v="51"/>
    <n v="0"/>
    <n v="0"/>
    <n v="0"/>
    <n v="0"/>
    <n v="0"/>
    <n v="0"/>
    <n v="0"/>
    <n v="0"/>
    <n v="0"/>
    <n v="0"/>
    <n v="0"/>
    <n v="0"/>
    <n v="0"/>
    <n v="53.97"/>
    <n v="0"/>
    <n v="0"/>
    <n v="0"/>
    <n v="0"/>
    <n v="0"/>
    <n v="53.97"/>
    <n v="53.97"/>
    <n v="0"/>
    <n v="53.97"/>
    <m/>
    <n v="0"/>
    <n v="51"/>
    <n v="51"/>
    <n v="0"/>
    <n v="0"/>
    <n v="0"/>
    <n v="0"/>
    <n v="51"/>
    <n v="0"/>
    <n v="51"/>
    <n v="0"/>
    <n v="0"/>
    <n v="0"/>
    <n v="0"/>
    <m/>
    <m/>
    <m/>
    <m/>
    <m/>
    <m/>
    <m/>
    <m/>
    <m/>
    <m/>
    <m/>
    <m/>
    <m/>
    <m/>
    <m/>
    <m/>
    <m/>
    <m/>
    <m/>
    <m/>
    <m/>
    <m/>
    <m/>
    <m/>
    <m/>
    <m/>
    <m/>
    <m/>
    <m/>
    <m/>
    <m/>
    <m/>
    <m/>
    <m/>
  </r>
  <r>
    <n v="742"/>
    <d v="2025-04-11T00:00:00"/>
    <x v="0"/>
    <n v="9518684484"/>
    <n v="8"/>
    <s v="9518684484-8"/>
    <s v="No Priority"/>
    <x v="0"/>
    <m/>
    <x v="1"/>
    <x v="1"/>
    <x v="1"/>
    <m/>
    <x v="0"/>
    <m/>
    <m/>
    <s v="Tamil Nadu"/>
    <s v="South"/>
    <m/>
    <x v="2"/>
    <x v="4"/>
    <x v="4"/>
    <x v="388"/>
    <s v="CRSHEET TATXXD AU03 0.50X1250X2500"/>
    <s v=""/>
    <m/>
    <m/>
    <m/>
    <m/>
    <x v="2"/>
    <x v="2"/>
    <s v="AU03"/>
    <x v="1"/>
    <x v="0"/>
    <x v="0"/>
    <n v="51"/>
    <n v="0"/>
    <n v="51"/>
    <n v="51"/>
    <n v="51"/>
    <n v="51"/>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484"/>
    <n v="9"/>
    <s v="9518684484-9"/>
    <s v="May'25"/>
    <x v="0"/>
    <s v="Yes"/>
    <x v="1"/>
    <x v="2"/>
    <x v="1"/>
    <m/>
    <x v="1"/>
    <m/>
    <m/>
    <s v="Tamil Nadu"/>
    <s v="South"/>
    <m/>
    <x v="2"/>
    <x v="4"/>
    <x v="4"/>
    <x v="149"/>
    <s v="CRCA SHEET TATCRC SR16 0.350X900X2500"/>
    <s v=""/>
    <m/>
    <m/>
    <m/>
    <m/>
    <x v="2"/>
    <x v="1"/>
    <s v="SR16"/>
    <x v="6"/>
    <x v="3"/>
    <x v="3"/>
    <n v="51"/>
    <n v="0"/>
    <n v="51"/>
    <n v="51"/>
    <n v="8.4200000000000017"/>
    <n v="51"/>
    <n v="0"/>
    <n v="0"/>
    <n v="0"/>
    <n v="0"/>
    <n v="0"/>
    <n v="0"/>
    <n v="0"/>
    <n v="0"/>
    <n v="0"/>
    <n v="0"/>
    <n v="0"/>
    <n v="0"/>
    <n v="0"/>
    <n v="21.2"/>
    <n v="21.38"/>
    <n v="0"/>
    <n v="0"/>
    <n v="0"/>
    <n v="0"/>
    <n v="42.58"/>
    <n v="42.58"/>
    <n v="0"/>
    <n v="42.58"/>
    <m/>
    <n v="0"/>
    <n v="51"/>
    <n v="0"/>
    <n v="51"/>
    <n v="0"/>
    <n v="0"/>
    <n v="0"/>
    <n v="51"/>
    <n v="0"/>
    <n v="51"/>
    <n v="0"/>
    <n v="0"/>
    <n v="0"/>
    <n v="0"/>
    <m/>
    <m/>
    <m/>
    <m/>
    <m/>
    <m/>
    <m/>
    <m/>
    <m/>
    <m/>
    <m/>
    <m/>
    <m/>
    <m/>
    <m/>
    <m/>
    <m/>
    <m/>
    <m/>
    <m/>
    <m/>
    <m/>
    <m/>
    <m/>
    <m/>
    <m/>
    <m/>
    <m/>
    <m/>
    <m/>
    <m/>
    <m/>
    <m/>
    <m/>
  </r>
  <r>
    <n v="742"/>
    <d v="2025-04-11T00:00:00"/>
    <x v="0"/>
    <n v="9518684484"/>
    <n v="11"/>
    <s v="9518684484-11"/>
    <s v="May'25"/>
    <x v="0"/>
    <s v="Yes"/>
    <x v="1"/>
    <x v="2"/>
    <x v="1"/>
    <m/>
    <x v="1"/>
    <m/>
    <m/>
    <s v="Tamil Nadu"/>
    <s v="South"/>
    <m/>
    <x v="2"/>
    <x v="4"/>
    <x v="4"/>
    <x v="10"/>
    <s v="CRCA SHEET TATCRC SR16 0.400X1000X1980"/>
    <s v=""/>
    <m/>
    <m/>
    <m/>
    <m/>
    <x v="2"/>
    <x v="1"/>
    <s v="SR16"/>
    <x v="2"/>
    <x v="2"/>
    <x v="4"/>
    <n v="75"/>
    <n v="0"/>
    <n v="75"/>
    <n v="75"/>
    <n v="75"/>
    <n v="75"/>
    <n v="0"/>
    <n v="0"/>
    <n v="0"/>
    <n v="0"/>
    <n v="0"/>
    <n v="0"/>
    <n v="0"/>
    <n v="0"/>
    <n v="0"/>
    <n v="0"/>
    <n v="0"/>
    <n v="0"/>
    <n v="0"/>
    <n v="0"/>
    <n v="0"/>
    <n v="0"/>
    <n v="0"/>
    <n v="0"/>
    <n v="0"/>
    <n v="0"/>
    <n v="0"/>
    <n v="0"/>
    <n v="0"/>
    <m/>
    <n v="0"/>
    <n v="75"/>
    <n v="0"/>
    <n v="0"/>
    <n v="0"/>
    <n v="0"/>
    <n v="75"/>
    <n v="75"/>
    <n v="0"/>
    <n v="0"/>
    <n v="0"/>
    <n v="0"/>
    <n v="75"/>
    <n v="0"/>
    <m/>
    <m/>
    <m/>
    <m/>
    <m/>
    <m/>
    <m/>
    <m/>
    <m/>
    <m/>
    <m/>
    <m/>
    <m/>
    <m/>
    <m/>
    <m/>
    <m/>
    <m/>
    <m/>
    <m/>
    <m/>
    <m/>
    <m/>
    <m/>
    <m/>
    <m/>
    <m/>
    <m/>
    <m/>
    <m/>
    <m/>
    <m/>
    <m/>
    <m/>
  </r>
  <r>
    <n v="742"/>
    <d v="2025-04-11T00:00:00"/>
    <x v="0"/>
    <n v="9518684484"/>
    <n v="12"/>
    <s v="9518684484-12"/>
    <s v="May'25"/>
    <x v="0"/>
    <s v="Yes"/>
    <x v="1"/>
    <x v="2"/>
    <x v="1"/>
    <m/>
    <x v="1"/>
    <m/>
    <m/>
    <s v="Tamil Nadu"/>
    <s v="South"/>
    <m/>
    <x v="2"/>
    <x v="4"/>
    <x v="4"/>
    <x v="18"/>
    <s v="CRCA SHEET TATCRC SR16 0.450X1000X1980"/>
    <s v=""/>
    <m/>
    <m/>
    <m/>
    <m/>
    <x v="2"/>
    <x v="1"/>
    <s v="SR16"/>
    <x v="10"/>
    <x v="2"/>
    <x v="4"/>
    <n v="60"/>
    <n v="0"/>
    <n v="60"/>
    <n v="60"/>
    <n v="37.870000000000005"/>
    <n v="60"/>
    <n v="0"/>
    <n v="0"/>
    <n v="0"/>
    <n v="0"/>
    <n v="0"/>
    <n v="0"/>
    <n v="0"/>
    <n v="0"/>
    <n v="0"/>
    <n v="0"/>
    <n v="0"/>
    <n v="0"/>
    <n v="0"/>
    <n v="0"/>
    <n v="22.13"/>
    <n v="0"/>
    <n v="0"/>
    <n v="0"/>
    <n v="0"/>
    <n v="22.13"/>
    <n v="22.13"/>
    <n v="0"/>
    <n v="22.13"/>
    <m/>
    <n v="0"/>
    <n v="60"/>
    <n v="0"/>
    <n v="0"/>
    <n v="60"/>
    <n v="0"/>
    <n v="0"/>
    <n v="60"/>
    <n v="0"/>
    <n v="0"/>
    <n v="60"/>
    <n v="0"/>
    <n v="0"/>
    <n v="0"/>
    <m/>
    <m/>
    <m/>
    <m/>
    <m/>
    <m/>
    <m/>
    <m/>
    <m/>
    <m/>
    <m/>
    <m/>
    <m/>
    <m/>
    <m/>
    <m/>
    <m/>
    <m/>
    <m/>
    <m/>
    <m/>
    <m/>
    <m/>
    <m/>
    <m/>
    <m/>
    <m/>
    <m/>
    <m/>
    <m/>
    <m/>
    <m/>
    <m/>
    <m/>
  </r>
  <r>
    <n v="742"/>
    <d v="2025-04-11T00:00:00"/>
    <x v="0"/>
    <n v="9518684484"/>
    <n v="13"/>
    <s v="9518684484-13"/>
    <s v="May'25"/>
    <x v="0"/>
    <m/>
    <x v="1"/>
    <x v="2"/>
    <x v="1"/>
    <m/>
    <x v="1"/>
    <m/>
    <m/>
    <s v="Tamil Nadu"/>
    <s v="South"/>
    <m/>
    <x v="2"/>
    <x v="4"/>
    <x v="4"/>
    <x v="389"/>
    <s v="CRCA SHEET TATCRC SR16 0.450X1000X2000"/>
    <s v=""/>
    <m/>
    <m/>
    <m/>
    <m/>
    <x v="2"/>
    <x v="1"/>
    <s v="SR16"/>
    <x v="10"/>
    <x v="2"/>
    <x v="10"/>
    <n v="24"/>
    <n v="0"/>
    <n v="24"/>
    <n v="24"/>
    <n v="1"/>
    <n v="24"/>
    <n v="0"/>
    <n v="0"/>
    <n v="0"/>
    <n v="23"/>
    <n v="0"/>
    <n v="0"/>
    <n v="0"/>
    <n v="0"/>
    <n v="0"/>
    <n v="0"/>
    <n v="0"/>
    <n v="0"/>
    <n v="0"/>
    <n v="0"/>
    <n v="0"/>
    <n v="0"/>
    <n v="0"/>
    <n v="0"/>
    <n v="0"/>
    <n v="23"/>
    <n v="23"/>
    <n v="0"/>
    <n v="23"/>
    <m/>
    <n v="0"/>
    <n v="24"/>
    <n v="0"/>
    <n v="0"/>
    <n v="24"/>
    <n v="0"/>
    <n v="0"/>
    <n v="24"/>
    <n v="0"/>
    <n v="0"/>
    <n v="24"/>
    <n v="0"/>
    <n v="0"/>
    <n v="0"/>
    <m/>
    <m/>
    <m/>
    <m/>
    <m/>
    <m/>
    <m/>
    <m/>
    <m/>
    <m/>
    <m/>
    <m/>
    <m/>
    <m/>
    <m/>
    <m/>
    <m/>
    <m/>
    <m/>
    <m/>
    <m/>
    <m/>
    <m/>
    <m/>
    <m/>
    <m/>
    <m/>
    <m/>
    <m/>
    <m/>
    <m/>
    <m/>
    <m/>
    <m/>
  </r>
  <r>
    <n v="742"/>
    <d v="2025-04-11T00:00:00"/>
    <x v="0"/>
    <n v="9518684484"/>
    <n v="14"/>
    <s v="9518684484-14"/>
    <s v="May'25"/>
    <x v="0"/>
    <s v="Yes"/>
    <x v="1"/>
    <x v="2"/>
    <x v="1"/>
    <m/>
    <x v="1"/>
    <m/>
    <m/>
    <s v="Tamil Nadu"/>
    <s v="South"/>
    <m/>
    <x v="2"/>
    <x v="4"/>
    <x v="4"/>
    <x v="9"/>
    <s v="CRCA SHEET TATCRC SR16 0.350X1000X1980"/>
    <s v=""/>
    <m/>
    <m/>
    <m/>
    <m/>
    <x v="2"/>
    <x v="1"/>
    <s v="SR16"/>
    <x v="6"/>
    <x v="2"/>
    <x v="4"/>
    <n v="51"/>
    <n v="0"/>
    <n v="51"/>
    <n v="51"/>
    <n v="51"/>
    <n v="51"/>
    <n v="0"/>
    <n v="0"/>
    <n v="0"/>
    <n v="0"/>
    <n v="0"/>
    <n v="0"/>
    <n v="0"/>
    <n v="0"/>
    <n v="0"/>
    <n v="0"/>
    <n v="0"/>
    <n v="0"/>
    <n v="0"/>
    <n v="0"/>
    <n v="0"/>
    <n v="0"/>
    <n v="0"/>
    <n v="0"/>
    <n v="0"/>
    <n v="0"/>
    <n v="0"/>
    <n v="0"/>
    <n v="0"/>
    <m/>
    <n v="0"/>
    <n v="51"/>
    <n v="0"/>
    <n v="0"/>
    <n v="0"/>
    <n v="51"/>
    <n v="0"/>
    <n v="51"/>
    <n v="0"/>
    <n v="0"/>
    <n v="0"/>
    <n v="0"/>
    <n v="51"/>
    <n v="0"/>
    <m/>
    <m/>
    <m/>
    <m/>
    <m/>
    <m/>
    <m/>
    <m/>
    <m/>
    <m/>
    <m/>
    <m/>
    <m/>
    <m/>
    <m/>
    <m/>
    <m/>
    <m/>
    <m/>
    <m/>
    <m/>
    <m/>
    <m/>
    <m/>
    <m/>
    <m/>
    <m/>
    <m/>
    <m/>
    <m/>
    <m/>
    <m/>
    <m/>
    <m/>
  </r>
  <r>
    <n v="742"/>
    <d v="2025-04-11T00:00:00"/>
    <x v="0"/>
    <n v="9518684957"/>
    <n v="1"/>
    <s v="9518684957-1"/>
    <s v="No Priority"/>
    <x v="1"/>
    <m/>
    <x v="1"/>
    <x v="1"/>
    <x v="1"/>
    <m/>
    <x v="0"/>
    <m/>
    <m/>
    <s v="Tamil Nadu"/>
    <s v="South"/>
    <m/>
    <x v="2"/>
    <x v="4"/>
    <x v="4"/>
    <x v="390"/>
    <s v="CRCA COIL TATCRC TR15 0.700X1000"/>
    <s v=""/>
    <m/>
    <m/>
    <m/>
    <m/>
    <x v="1"/>
    <x v="1"/>
    <s v="TR15"/>
    <x v="4"/>
    <x v="2"/>
    <x v="0"/>
    <n v="115"/>
    <n v="0"/>
    <n v="115"/>
    <n v="115"/>
    <n v="115"/>
    <n v="115"/>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957"/>
    <n v="2"/>
    <s v="9518684957-2"/>
    <s v="No Priority"/>
    <x v="1"/>
    <m/>
    <x v="1"/>
    <x v="1"/>
    <x v="1"/>
    <m/>
    <x v="0"/>
    <m/>
    <m/>
    <s v="Tamil Nadu"/>
    <s v="South"/>
    <m/>
    <x v="2"/>
    <x v="4"/>
    <x v="4"/>
    <x v="391"/>
    <s v="CRCA COIL-TATXXD-AU03-0.5X1000"/>
    <s v=""/>
    <m/>
    <m/>
    <m/>
    <m/>
    <x v="1"/>
    <x v="2"/>
    <s v="AU03"/>
    <x v="1"/>
    <x v="2"/>
    <x v="0"/>
    <n v="69"/>
    <n v="0"/>
    <n v="69"/>
    <n v="69"/>
    <n v="69"/>
    <n v="69"/>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957"/>
    <n v="3"/>
    <s v="9518684957-3"/>
    <s v="No Priority"/>
    <x v="1"/>
    <m/>
    <x v="1"/>
    <x v="1"/>
    <x v="1"/>
    <m/>
    <x v="0"/>
    <m/>
    <m/>
    <s v="Tamil Nadu"/>
    <s v="South"/>
    <m/>
    <x v="2"/>
    <x v="4"/>
    <x v="4"/>
    <x v="383"/>
    <s v="CRCA COIL-TATCRC-TR15-0.5X1000"/>
    <s v=""/>
    <m/>
    <m/>
    <m/>
    <m/>
    <x v="1"/>
    <x v="1"/>
    <s v="TR15"/>
    <x v="1"/>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4957"/>
    <n v="4"/>
    <s v="9518684957-4"/>
    <s v="No Priority"/>
    <x v="1"/>
    <m/>
    <x v="1"/>
    <x v="1"/>
    <x v="1"/>
    <m/>
    <x v="0"/>
    <m/>
    <m/>
    <s v="Tamil Nadu"/>
    <s v="South"/>
    <m/>
    <x v="2"/>
    <x v="4"/>
    <x v="4"/>
    <x v="392"/>
    <s v="CRCA COIL TATXXD AU03 0.700X1000"/>
    <s v=""/>
    <m/>
    <m/>
    <m/>
    <m/>
    <x v="1"/>
    <x v="2"/>
    <s v="AU03"/>
    <x v="4"/>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1"/>
    <s v="9518665177-1"/>
    <s v="No Priority"/>
    <x v="1"/>
    <m/>
    <x v="1"/>
    <x v="1"/>
    <x v="1"/>
    <m/>
    <x v="0"/>
    <m/>
    <m/>
    <s v="Kerala"/>
    <s v="South"/>
    <m/>
    <x v="2"/>
    <x v="9"/>
    <x v="109"/>
    <x v="383"/>
    <s v="CRCA COIL-TATCRC-TR15-0.5X1000"/>
    <s v=""/>
    <m/>
    <m/>
    <m/>
    <m/>
    <x v="1"/>
    <x v="1"/>
    <s v="TR15"/>
    <x v="1"/>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2"/>
    <s v="9518665177-2"/>
    <s v="No Priority"/>
    <x v="1"/>
    <m/>
    <x v="1"/>
    <x v="1"/>
    <x v="1"/>
    <m/>
    <x v="0"/>
    <m/>
    <m/>
    <s v="Kerala"/>
    <s v="South"/>
    <m/>
    <x v="2"/>
    <x v="9"/>
    <x v="109"/>
    <x v="384"/>
    <s v="CRCA COIL TATCRC TR15 0.6X1000"/>
    <s v=""/>
    <m/>
    <m/>
    <m/>
    <m/>
    <x v="1"/>
    <x v="1"/>
    <s v="TR15"/>
    <x v="20"/>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3"/>
    <s v="9518665177-3"/>
    <s v="No Priority"/>
    <x v="1"/>
    <m/>
    <x v="1"/>
    <x v="1"/>
    <x v="1"/>
    <m/>
    <x v="0"/>
    <m/>
    <m/>
    <s v="Kerala"/>
    <s v="South"/>
    <m/>
    <x v="2"/>
    <x v="9"/>
    <x v="109"/>
    <x v="390"/>
    <s v="CRCA COIL TATCRC TR15 0.700X1000"/>
    <s v=""/>
    <m/>
    <m/>
    <m/>
    <m/>
    <x v="1"/>
    <x v="1"/>
    <s v="TR15"/>
    <x v="4"/>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4"/>
    <s v="9518665177-4"/>
    <s v="No Priority"/>
    <x v="1"/>
    <m/>
    <x v="1"/>
    <x v="1"/>
    <x v="1"/>
    <m/>
    <x v="0"/>
    <m/>
    <m/>
    <s v="Kerala"/>
    <s v="South"/>
    <m/>
    <x v="2"/>
    <x v="9"/>
    <x v="109"/>
    <x v="393"/>
    <s v="CRCA COIL-TATCRC-TR15-0.8X1000"/>
    <s v=""/>
    <m/>
    <m/>
    <m/>
    <m/>
    <x v="1"/>
    <x v="1"/>
    <s v="TR15"/>
    <x v="5"/>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5"/>
    <s v="9518665177-5"/>
    <s v="No Priority"/>
    <x v="1"/>
    <m/>
    <x v="1"/>
    <x v="1"/>
    <x v="1"/>
    <m/>
    <x v="0"/>
    <m/>
    <m/>
    <s v="Kerala"/>
    <s v="South"/>
    <m/>
    <x v="2"/>
    <x v="9"/>
    <x v="109"/>
    <x v="394"/>
    <s v="CRCA COIL TATXXD AU03 0.900X1000"/>
    <s v=""/>
    <m/>
    <m/>
    <m/>
    <m/>
    <x v="1"/>
    <x v="2"/>
    <s v="AU03"/>
    <x v="13"/>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8"/>
    <s v="9518665177-8"/>
    <s v="No Priority"/>
    <x v="0"/>
    <m/>
    <x v="1"/>
    <x v="1"/>
    <x v="1"/>
    <m/>
    <x v="0"/>
    <m/>
    <m/>
    <s v="Kerala"/>
    <s v="South"/>
    <m/>
    <x v="2"/>
    <x v="9"/>
    <x v="109"/>
    <x v="114"/>
    <s v="CRCA COIL-TATXXD-AU03-0.9X1250"/>
    <s v=""/>
    <m/>
    <m/>
    <m/>
    <m/>
    <x v="1"/>
    <x v="2"/>
    <s v="AU03"/>
    <x v="13"/>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10"/>
    <s v="9518665177-10"/>
    <s v="No Priority"/>
    <x v="1"/>
    <m/>
    <x v="1"/>
    <x v="1"/>
    <x v="1"/>
    <m/>
    <x v="0"/>
    <m/>
    <m/>
    <s v="Kerala"/>
    <s v="South"/>
    <m/>
    <x v="2"/>
    <x v="9"/>
    <x v="109"/>
    <x v="395"/>
    <s v="CRCA COIL-TATXXD-AU03-2X1000"/>
    <s v=""/>
    <m/>
    <m/>
    <m/>
    <m/>
    <x v="1"/>
    <x v="2"/>
    <s v="AU03"/>
    <x v="15"/>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12"/>
    <s v="9518665177-12"/>
    <s v="No Priority"/>
    <x v="1"/>
    <m/>
    <x v="1"/>
    <x v="2"/>
    <x v="1"/>
    <m/>
    <x v="0"/>
    <m/>
    <m/>
    <s v="Kerala"/>
    <s v="South"/>
    <m/>
    <x v="2"/>
    <x v="9"/>
    <x v="109"/>
    <x v="11"/>
    <s v="CRCA SHEET TATCRC SR16 0.350X1000X1910"/>
    <s v=""/>
    <m/>
    <m/>
    <m/>
    <m/>
    <x v="2"/>
    <x v="1"/>
    <s v="SR16"/>
    <x v="6"/>
    <x v="2"/>
    <x v="5"/>
    <n v="27"/>
    <n v="0"/>
    <n v="27"/>
    <n v="27"/>
    <n v="27"/>
    <n v="27"/>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5177"/>
    <n v="14"/>
    <s v="9518665177-14"/>
    <s v="No Priority"/>
    <x v="1"/>
    <m/>
    <x v="1"/>
    <x v="2"/>
    <x v="1"/>
    <m/>
    <x v="0"/>
    <m/>
    <m/>
    <s v="Kerala"/>
    <s v="South"/>
    <m/>
    <x v="2"/>
    <x v="9"/>
    <x v="109"/>
    <x v="12"/>
    <s v="CRCA SHEET TATCRC SR16 0.400X1000X1910"/>
    <s v=""/>
    <m/>
    <m/>
    <m/>
    <m/>
    <x v="2"/>
    <x v="1"/>
    <s v="SR16"/>
    <x v="2"/>
    <x v="2"/>
    <x v="5"/>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4-09T00:00:00"/>
    <x v="0"/>
    <n v="9518679420"/>
    <n v="1"/>
    <s v="9518679420-1"/>
    <s v="No Priority"/>
    <x v="1"/>
    <m/>
    <x v="1"/>
    <x v="1"/>
    <x v="1"/>
    <m/>
    <x v="0"/>
    <m/>
    <m/>
    <s v="Punjab"/>
    <s v="North"/>
    <m/>
    <x v="2"/>
    <x v="1"/>
    <x v="1"/>
    <x v="1"/>
    <s v="CRCA COIL TATCRC TR15 0.5X1250"/>
    <s v=""/>
    <m/>
    <m/>
    <m/>
    <m/>
    <x v="1"/>
    <x v="1"/>
    <s v="TR15"/>
    <x v="1"/>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3-16T00:00:00"/>
    <x v="0"/>
    <n v="9518604323"/>
    <n v="1"/>
    <s v="9518604323-1"/>
    <s v="May'25"/>
    <x v="0"/>
    <s v="Yes"/>
    <x v="1"/>
    <x v="2"/>
    <x v="1"/>
    <m/>
    <x v="1"/>
    <m/>
    <m/>
    <s v="Orissa"/>
    <s v="East"/>
    <m/>
    <x v="2"/>
    <x v="19"/>
    <x v="19"/>
    <x v="149"/>
    <s v="CRCA SHEET TATCRC SR16 0.350X900X2500"/>
    <s v=""/>
    <m/>
    <m/>
    <m/>
    <m/>
    <x v="2"/>
    <x v="1"/>
    <s v="SR16"/>
    <x v="6"/>
    <x v="3"/>
    <x v="3"/>
    <n v="21"/>
    <n v="0"/>
    <n v="21"/>
    <n v="21"/>
    <n v="-0.12000000000000099"/>
    <n v="21"/>
    <n v="0"/>
    <n v="0"/>
    <n v="0"/>
    <n v="0"/>
    <n v="0"/>
    <n v="0"/>
    <n v="0"/>
    <n v="0"/>
    <n v="0"/>
    <n v="0"/>
    <n v="0"/>
    <n v="0"/>
    <n v="0"/>
    <n v="0"/>
    <n v="21.12"/>
    <n v="0"/>
    <n v="0"/>
    <n v="0"/>
    <n v="0"/>
    <n v="21.12"/>
    <n v="21.12"/>
    <n v="0"/>
    <n v="21.12"/>
    <m/>
    <n v="0"/>
    <n v="21"/>
    <n v="21"/>
    <n v="0"/>
    <n v="0"/>
    <n v="0"/>
    <n v="0"/>
    <n v="21"/>
    <n v="0"/>
    <n v="21"/>
    <n v="0"/>
    <n v="0"/>
    <n v="0"/>
    <n v="0"/>
    <m/>
    <m/>
    <m/>
    <m/>
    <m/>
    <m/>
    <m/>
    <m/>
    <m/>
    <m/>
    <m/>
    <m/>
    <m/>
    <m/>
    <m/>
    <m/>
    <m/>
    <m/>
    <m/>
    <m/>
    <m/>
    <m/>
    <m/>
    <m/>
    <m/>
    <m/>
    <m/>
    <m/>
    <m/>
    <m/>
    <m/>
    <m/>
    <m/>
    <m/>
  </r>
  <r>
    <n v="742"/>
    <d v="2025-03-16T00:00:00"/>
    <x v="0"/>
    <n v="9518604323"/>
    <n v="2"/>
    <s v="9518604323-2"/>
    <s v="No Priority"/>
    <x v="1"/>
    <s v="Yes"/>
    <x v="1"/>
    <x v="2"/>
    <x v="1"/>
    <m/>
    <x v="0"/>
    <m/>
    <m/>
    <s v="Orissa"/>
    <s v="East"/>
    <m/>
    <x v="2"/>
    <x v="19"/>
    <x v="19"/>
    <x v="43"/>
    <s v="CRCA SHEET TATCRC SR16 0.350X1000X2500"/>
    <s v=""/>
    <m/>
    <m/>
    <m/>
    <m/>
    <x v="2"/>
    <x v="1"/>
    <s v="SR16"/>
    <x v="6"/>
    <x v="2"/>
    <x v="3"/>
    <n v="75"/>
    <n v="0"/>
    <n v="75"/>
    <n v="75"/>
    <n v="75"/>
    <n v="75"/>
    <n v="0"/>
    <n v="0"/>
    <n v="0"/>
    <n v="0"/>
    <n v="0"/>
    <n v="0"/>
    <n v="0"/>
    <n v="0"/>
    <n v="0"/>
    <n v="0"/>
    <n v="0"/>
    <n v="0"/>
    <n v="0"/>
    <n v="0"/>
    <n v="0"/>
    <n v="0"/>
    <n v="0"/>
    <n v="0"/>
    <n v="0"/>
    <n v="0"/>
    <n v="0"/>
    <n v="0"/>
    <n v="0"/>
    <m/>
    <n v="0"/>
    <n v="0"/>
    <n v="0"/>
    <n v="0"/>
    <n v="0"/>
    <n v="0"/>
    <n v="0"/>
    <n v="0"/>
    <n v="0"/>
    <n v="0"/>
    <n v="0"/>
    <n v="0"/>
    <n v="0"/>
    <n v="0"/>
    <m/>
    <m/>
    <m/>
    <m/>
    <m/>
    <m/>
    <m/>
    <m/>
    <m/>
    <m/>
    <m/>
    <m/>
    <m/>
    <m/>
    <m/>
    <m/>
    <m/>
    <m/>
    <m/>
    <m/>
    <m/>
    <m/>
    <m/>
    <m/>
    <m/>
    <m/>
    <m/>
    <m/>
    <m/>
    <m/>
    <m/>
    <m/>
    <m/>
    <m/>
  </r>
  <r>
    <n v="742"/>
    <d v="2025-03-16T00:00:00"/>
    <x v="0"/>
    <n v="9518604323"/>
    <n v="3"/>
    <s v="9518604323-3"/>
    <s v="May'25"/>
    <x v="0"/>
    <s v="Yes"/>
    <x v="1"/>
    <x v="2"/>
    <x v="1"/>
    <m/>
    <x v="1"/>
    <m/>
    <m/>
    <s v="Orissa"/>
    <s v="East"/>
    <m/>
    <x v="2"/>
    <x v="19"/>
    <x v="19"/>
    <x v="16"/>
    <s v="CRCA SHEET TATCRC SR16 0.400X1000X2500"/>
    <s v=""/>
    <m/>
    <m/>
    <m/>
    <m/>
    <x v="2"/>
    <x v="1"/>
    <s v="SR16"/>
    <x v="2"/>
    <x v="2"/>
    <x v="3"/>
    <n v="75"/>
    <n v="0"/>
    <n v="75"/>
    <n v="75"/>
    <n v="75"/>
    <n v="75"/>
    <n v="0"/>
    <n v="0"/>
    <n v="0"/>
    <n v="0"/>
    <n v="0"/>
    <n v="0"/>
    <n v="0"/>
    <n v="0"/>
    <n v="0"/>
    <n v="0"/>
    <n v="0"/>
    <n v="0"/>
    <n v="0"/>
    <n v="0"/>
    <n v="0"/>
    <n v="0"/>
    <n v="0"/>
    <n v="0"/>
    <n v="0"/>
    <n v="0"/>
    <n v="0"/>
    <n v="0"/>
    <n v="0"/>
    <m/>
    <n v="0"/>
    <n v="75"/>
    <n v="0"/>
    <n v="0"/>
    <n v="0"/>
    <n v="0"/>
    <n v="75"/>
    <n v="75"/>
    <n v="0"/>
    <n v="0"/>
    <n v="0"/>
    <n v="0"/>
    <n v="75"/>
    <n v="0"/>
    <m/>
    <m/>
    <m/>
    <m/>
    <m/>
    <m/>
    <m/>
    <m/>
    <m/>
    <m/>
    <m/>
    <m/>
    <m/>
    <m/>
    <m/>
    <m/>
    <m/>
    <m/>
    <m/>
    <m/>
    <m/>
    <m/>
    <m/>
    <m/>
    <m/>
    <m/>
    <m/>
    <m/>
    <m/>
    <m/>
    <m/>
    <m/>
    <m/>
    <m/>
  </r>
  <r>
    <n v="743"/>
    <d v="2025-03-17T00:00:00"/>
    <x v="0"/>
    <n v="9518605386"/>
    <n v="2"/>
    <s v="9518605386-2"/>
    <s v="No Priority"/>
    <x v="1"/>
    <s v="Yes"/>
    <x v="3"/>
    <x v="9"/>
    <x v="1"/>
    <m/>
    <x v="0"/>
    <m/>
    <m/>
    <s v="Orissa"/>
    <s v="East"/>
    <m/>
    <x v="2"/>
    <x v="19"/>
    <x v="19"/>
    <x v="396"/>
    <s v="GP SH SOFT TATXGP GK09 0.350X900X2500"/>
    <n v="80"/>
    <m/>
    <m/>
    <m/>
    <m/>
    <x v="10"/>
    <x v="5"/>
    <s v="GK09"/>
    <x v="6"/>
    <x v="3"/>
    <x v="0"/>
    <n v="80"/>
    <n v="0"/>
    <n v="80"/>
    <n v="80"/>
    <n v="80"/>
    <n v="80"/>
    <n v="0"/>
    <n v="0"/>
    <n v="0"/>
    <n v="0"/>
    <n v="0"/>
    <n v="0"/>
    <n v="0"/>
    <n v="0"/>
    <n v="0"/>
    <n v="0"/>
    <n v="0"/>
    <n v="0"/>
    <n v="0"/>
    <n v="0"/>
    <n v="0"/>
    <n v="0"/>
    <n v="0"/>
    <n v="0"/>
    <n v="0"/>
    <n v="0"/>
    <n v="0"/>
    <n v="0"/>
    <n v="0"/>
    <m/>
    <n v="0"/>
    <n v="0"/>
    <n v="0"/>
    <n v="0"/>
    <n v="0"/>
    <n v="0"/>
    <n v="0"/>
    <n v="0"/>
    <n v="0"/>
    <n v="0"/>
    <n v="0"/>
    <n v="0"/>
    <n v="0"/>
    <n v="0"/>
    <m/>
    <m/>
    <m/>
    <m/>
    <m/>
    <m/>
    <m/>
    <m/>
    <m/>
    <m/>
    <m/>
    <m/>
    <m/>
    <m/>
    <m/>
    <m/>
    <m/>
    <m/>
    <m/>
    <m/>
    <m/>
    <m/>
    <m/>
    <m/>
    <m/>
    <m/>
    <m/>
    <m/>
    <m/>
    <m/>
    <m/>
    <m/>
    <m/>
    <m/>
  </r>
  <r>
    <n v="743"/>
    <d v="2025-03-17T00:00:00"/>
    <x v="0"/>
    <n v="9518605386"/>
    <n v="3"/>
    <s v="9518605386-3"/>
    <s v="No Priority"/>
    <x v="1"/>
    <s v="Yes"/>
    <x v="3"/>
    <x v="9"/>
    <x v="1"/>
    <m/>
    <x v="0"/>
    <m/>
    <m/>
    <s v="Orissa"/>
    <s v="East"/>
    <m/>
    <x v="2"/>
    <x v="19"/>
    <x v="19"/>
    <x v="397"/>
    <s v="GP SH SOFT TATXGP GK09 0.400X900X2500"/>
    <n v="80"/>
    <m/>
    <m/>
    <m/>
    <m/>
    <x v="10"/>
    <x v="5"/>
    <s v="GK09"/>
    <x v="2"/>
    <x v="3"/>
    <x v="0"/>
    <n v="80"/>
    <n v="0"/>
    <n v="80"/>
    <n v="80"/>
    <n v="80"/>
    <n v="80"/>
    <n v="0"/>
    <n v="0"/>
    <n v="0"/>
    <n v="0"/>
    <n v="0"/>
    <n v="0"/>
    <n v="0"/>
    <n v="0"/>
    <n v="0"/>
    <n v="0"/>
    <n v="0"/>
    <n v="0"/>
    <n v="0"/>
    <n v="0"/>
    <n v="0"/>
    <n v="0"/>
    <n v="0"/>
    <n v="0"/>
    <n v="0"/>
    <n v="0"/>
    <n v="0"/>
    <n v="0"/>
    <n v="0"/>
    <m/>
    <n v="0"/>
    <n v="0"/>
    <n v="0"/>
    <n v="0"/>
    <n v="0"/>
    <n v="0"/>
    <n v="0"/>
    <n v="0"/>
    <n v="0"/>
    <n v="0"/>
    <n v="0"/>
    <n v="0"/>
    <n v="0"/>
    <n v="0"/>
    <m/>
    <m/>
    <m/>
    <m/>
    <m/>
    <m/>
    <m/>
    <m/>
    <m/>
    <m/>
    <m/>
    <m/>
    <m/>
    <m/>
    <m/>
    <m/>
    <m/>
    <m/>
    <m/>
    <m/>
    <m/>
    <m/>
    <m/>
    <m/>
    <m/>
    <m/>
    <m/>
    <m/>
    <m/>
    <m/>
    <m/>
    <m/>
    <m/>
    <m/>
  </r>
  <r>
    <n v="743"/>
    <d v="2025-03-17T00:00:00"/>
    <x v="0"/>
    <n v="9518605386"/>
    <n v="4"/>
    <s v="9518605386-4"/>
    <s v="May'25"/>
    <x v="1"/>
    <s v="Yes"/>
    <x v="3"/>
    <x v="9"/>
    <x v="1"/>
    <m/>
    <x v="1"/>
    <m/>
    <m/>
    <s v="Orissa"/>
    <s v="East"/>
    <m/>
    <x v="2"/>
    <x v="19"/>
    <x v="19"/>
    <x v="398"/>
    <s v="GP SH SOFT TATXGP GK09 0.500X900X2500"/>
    <n v="80"/>
    <m/>
    <m/>
    <m/>
    <m/>
    <x v="10"/>
    <x v="5"/>
    <s v="GK09"/>
    <x v="1"/>
    <x v="3"/>
    <x v="0"/>
    <n v="80"/>
    <n v="0"/>
    <n v="80"/>
    <n v="80"/>
    <n v="80"/>
    <n v="80"/>
    <n v="0"/>
    <n v="0"/>
    <n v="0"/>
    <n v="0"/>
    <n v="0"/>
    <n v="0"/>
    <n v="0"/>
    <n v="0"/>
    <n v="0"/>
    <n v="0"/>
    <n v="0"/>
    <n v="0"/>
    <n v="0"/>
    <n v="0"/>
    <n v="0"/>
    <n v="0"/>
    <n v="0"/>
    <n v="0"/>
    <n v="0"/>
    <n v="0"/>
    <n v="0"/>
    <n v="0"/>
    <n v="0"/>
    <m/>
    <n v="0"/>
    <n v="80"/>
    <n v="0"/>
    <n v="80"/>
    <n v="0"/>
    <n v="0"/>
    <n v="0"/>
    <n v="80"/>
    <n v="0"/>
    <n v="0"/>
    <n v="80"/>
    <n v="0"/>
    <n v="0"/>
    <n v="0"/>
    <m/>
    <m/>
    <m/>
    <m/>
    <m/>
    <m/>
    <m/>
    <m/>
    <m/>
    <m/>
    <m/>
    <m/>
    <m/>
    <m/>
    <m/>
    <m/>
    <m/>
    <m/>
    <m/>
    <m/>
    <m/>
    <m/>
    <m/>
    <m/>
    <m/>
    <m/>
    <m/>
    <m/>
    <m/>
    <m/>
    <m/>
    <m/>
    <m/>
    <m/>
  </r>
  <r>
    <n v="743"/>
    <d v="2025-03-17T00:00:00"/>
    <x v="0"/>
    <n v="9518605386"/>
    <n v="5"/>
    <s v="9518605386-5"/>
    <s v="May'25"/>
    <x v="1"/>
    <s v="Yes"/>
    <x v="3"/>
    <x v="9"/>
    <x v="1"/>
    <m/>
    <x v="1"/>
    <m/>
    <m/>
    <s v="Orissa"/>
    <s v="East"/>
    <m/>
    <x v="2"/>
    <x v="19"/>
    <x v="19"/>
    <x v="399"/>
    <s v="GP SH SOFT TATXGP GK09 0.600X900X2500"/>
    <n v="80"/>
    <m/>
    <m/>
    <m/>
    <m/>
    <x v="10"/>
    <x v="5"/>
    <s v="GK09"/>
    <x v="20"/>
    <x v="3"/>
    <x v="3"/>
    <n v="40"/>
    <n v="0"/>
    <n v="40"/>
    <n v="40"/>
    <n v="40"/>
    <n v="40"/>
    <n v="0"/>
    <n v="0"/>
    <n v="0"/>
    <n v="0"/>
    <n v="0"/>
    <n v="0"/>
    <n v="0"/>
    <n v="0"/>
    <n v="0"/>
    <n v="0"/>
    <n v="0"/>
    <n v="0"/>
    <n v="0"/>
    <n v="0"/>
    <n v="0"/>
    <n v="0"/>
    <n v="0"/>
    <n v="0"/>
    <n v="0"/>
    <n v="0"/>
    <n v="0"/>
    <n v="0"/>
    <n v="0"/>
    <m/>
    <n v="0"/>
    <n v="40"/>
    <n v="0"/>
    <n v="40"/>
    <n v="0"/>
    <n v="0"/>
    <n v="0"/>
    <n v="40"/>
    <n v="0"/>
    <n v="0"/>
    <n v="40"/>
    <n v="0"/>
    <n v="0"/>
    <n v="0"/>
    <m/>
    <m/>
    <m/>
    <m/>
    <m/>
    <m/>
    <m/>
    <m/>
    <m/>
    <m/>
    <m/>
    <m/>
    <m/>
    <m/>
    <m/>
    <m/>
    <m/>
    <m/>
    <m/>
    <m/>
    <m/>
    <m/>
    <m/>
    <m/>
    <m/>
    <m/>
    <m/>
    <m/>
    <m/>
    <m/>
    <m/>
    <m/>
    <m/>
    <m/>
  </r>
  <r>
    <n v="743"/>
    <d v="2025-03-19T00:00:00"/>
    <x v="0"/>
    <n v="9518613250"/>
    <n v="1"/>
    <s v="9518613250-1"/>
    <s v="May'25"/>
    <x v="1"/>
    <s v="Yes"/>
    <x v="3"/>
    <x v="9"/>
    <x v="1"/>
    <m/>
    <x v="1"/>
    <m/>
    <m/>
    <s v="Orissa"/>
    <s v="East"/>
    <m/>
    <x v="2"/>
    <x v="19"/>
    <x v="19"/>
    <x v="400"/>
    <s v="GP SH SOFT TATXGP GK09 0.300X900X2500"/>
    <n v="80"/>
    <m/>
    <m/>
    <m/>
    <m/>
    <x v="10"/>
    <x v="5"/>
    <s v="GK09"/>
    <x v="11"/>
    <x v="3"/>
    <x v="3"/>
    <n v="80"/>
    <n v="0"/>
    <n v="80"/>
    <n v="80"/>
    <n v="80"/>
    <n v="80"/>
    <n v="0"/>
    <n v="0"/>
    <n v="0"/>
    <n v="0"/>
    <n v="0"/>
    <n v="0"/>
    <n v="0"/>
    <n v="0"/>
    <n v="0"/>
    <n v="0"/>
    <n v="0"/>
    <n v="0"/>
    <n v="0"/>
    <n v="0"/>
    <n v="0"/>
    <n v="0"/>
    <n v="0"/>
    <n v="0"/>
    <n v="0"/>
    <n v="0"/>
    <n v="0"/>
    <n v="0"/>
    <n v="0"/>
    <m/>
    <n v="0"/>
    <n v="80"/>
    <n v="0"/>
    <n v="0"/>
    <n v="0"/>
    <n v="80"/>
    <n v="0"/>
    <n v="80"/>
    <n v="0"/>
    <n v="0"/>
    <n v="0"/>
    <n v="0"/>
    <n v="80"/>
    <n v="0"/>
    <m/>
    <m/>
    <m/>
    <m/>
    <m/>
    <m/>
    <m/>
    <m/>
    <m/>
    <m/>
    <m/>
    <m/>
    <m/>
    <m/>
    <m/>
    <m/>
    <m/>
    <m/>
    <m/>
    <m/>
    <m/>
    <m/>
    <m/>
    <m/>
    <m/>
    <m/>
    <m/>
    <m/>
    <m/>
    <m/>
    <m/>
    <m/>
    <m/>
    <m/>
  </r>
  <r>
    <n v="742"/>
    <d v="2025-03-07T00:00:00"/>
    <x v="0"/>
    <n v="9518582494"/>
    <n v="1"/>
    <s v="9518582494-1"/>
    <s v="No Priority"/>
    <x v="1"/>
    <m/>
    <x v="1"/>
    <x v="2"/>
    <x v="1"/>
    <m/>
    <x v="0"/>
    <m/>
    <m/>
    <s v="Bihar"/>
    <s v="East"/>
    <m/>
    <x v="2"/>
    <x v="31"/>
    <x v="31"/>
    <x v="401"/>
    <s v="CRCA SHEET TATCRC SR16 0.300X900"/>
    <s v=""/>
    <m/>
    <m/>
    <m/>
    <m/>
    <x v="2"/>
    <x v="1"/>
    <s v="SR16"/>
    <x v="11"/>
    <x v="3"/>
    <x v="3"/>
    <n v="3"/>
    <n v="0"/>
    <n v="3"/>
    <n v="3"/>
    <n v="3"/>
    <n v="3"/>
    <n v="0"/>
    <n v="0"/>
    <n v="0"/>
    <n v="0"/>
    <n v="0"/>
    <n v="0"/>
    <n v="0"/>
    <n v="0"/>
    <n v="0"/>
    <n v="0"/>
    <n v="0"/>
    <n v="0"/>
    <n v="0"/>
    <n v="0"/>
    <n v="0"/>
    <n v="0"/>
    <n v="0"/>
    <n v="0"/>
    <n v="0"/>
    <n v="0"/>
    <n v="0"/>
    <n v="0"/>
    <n v="0"/>
    <m/>
    <n v="0"/>
    <n v="0"/>
    <n v="0"/>
    <n v="0"/>
    <n v="0"/>
    <n v="0"/>
    <n v="0"/>
    <n v="0"/>
    <n v="0"/>
    <n v="0"/>
    <n v="0"/>
    <n v="0"/>
    <n v="0"/>
    <n v="0"/>
    <m/>
    <m/>
    <m/>
    <m/>
    <m/>
    <m/>
    <m/>
    <m/>
    <m/>
    <m/>
    <m/>
    <m/>
    <m/>
    <m/>
    <m/>
    <m/>
    <m/>
    <m/>
    <m/>
    <m/>
    <m/>
    <m/>
    <m/>
    <m/>
    <m/>
    <m/>
    <m/>
    <m/>
    <m/>
    <m/>
    <m/>
    <m/>
    <m/>
    <m/>
  </r>
  <r>
    <n v="743"/>
    <d v="2025-03-13T00:00:00"/>
    <x v="0"/>
    <n v="9518598143"/>
    <n v="6"/>
    <s v="9518598143-6"/>
    <s v="May'25"/>
    <x v="1"/>
    <s v="Yes"/>
    <x v="3"/>
    <x v="9"/>
    <x v="1"/>
    <m/>
    <x v="0"/>
    <m/>
    <m/>
    <s v="Bihar"/>
    <s v="East"/>
    <m/>
    <x v="2"/>
    <x v="31"/>
    <x v="31"/>
    <x v="402"/>
    <s v="GP SH SOFT TATXGP GK09 0.630X900X2370"/>
    <n v="80"/>
    <m/>
    <m/>
    <m/>
    <m/>
    <x v="10"/>
    <x v="5"/>
    <s v="GK09"/>
    <x v="26"/>
    <x v="3"/>
    <x v="14"/>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4-10T00:00:00"/>
    <x v="0"/>
    <n v="9518681493"/>
    <n v="1"/>
    <s v="9518681493-1"/>
    <s v="Stocks"/>
    <x v="0"/>
    <s v="Yes"/>
    <x v="3"/>
    <x v="4"/>
    <x v="1"/>
    <m/>
    <x v="1"/>
    <m/>
    <m/>
    <s v="Bihar"/>
    <s v="East"/>
    <m/>
    <x v="2"/>
    <x v="74"/>
    <x v="31"/>
    <x v="403"/>
    <s v="GP COIL TATXGP GP02 0.350X1350"/>
    <s v=""/>
    <m/>
    <m/>
    <m/>
    <m/>
    <x v="4"/>
    <x v="5"/>
    <s v="GP02"/>
    <x v="6"/>
    <x v="20"/>
    <x v="0"/>
    <n v="62"/>
    <n v="0"/>
    <n v="62"/>
    <n v="62"/>
    <n v="56.22"/>
    <n v="8.2050000000000001"/>
    <n v="0"/>
    <n v="0"/>
    <n v="0"/>
    <n v="0"/>
    <n v="0"/>
    <n v="0"/>
    <n v="5.78"/>
    <n v="0"/>
    <n v="0"/>
    <n v="0"/>
    <n v="0"/>
    <n v="0"/>
    <n v="0"/>
    <n v="0"/>
    <n v="0"/>
    <n v="0"/>
    <n v="0"/>
    <n v="0"/>
    <n v="0"/>
    <n v="5.78"/>
    <n v="5.78"/>
    <n v="0"/>
    <n v="5.78"/>
    <m/>
    <n v="13.909999999999998"/>
    <n v="0"/>
    <n v="0"/>
    <n v="0"/>
    <n v="0"/>
    <n v="0"/>
    <n v="0"/>
    <n v="13.909999999999998"/>
    <n v="13.909999999999998"/>
    <n v="0"/>
    <n v="0"/>
    <n v="0"/>
    <n v="0"/>
    <n v="0"/>
    <m/>
    <m/>
    <m/>
    <m/>
    <m/>
    <m/>
    <m/>
    <m/>
    <m/>
    <m/>
    <m/>
    <m/>
    <m/>
    <m/>
    <m/>
    <m/>
    <m/>
    <m/>
    <m/>
    <m/>
    <m/>
    <m/>
    <m/>
    <m/>
    <m/>
    <m/>
    <m/>
    <m/>
    <m/>
    <m/>
    <m/>
    <m/>
    <m/>
    <m/>
  </r>
  <r>
    <n v="743"/>
    <d v="2025-04-10T00:00:00"/>
    <x v="0"/>
    <n v="9518681493"/>
    <n v="2"/>
    <s v="9518681493-2"/>
    <s v="May'25"/>
    <x v="0"/>
    <s v="Yes"/>
    <x v="3"/>
    <x v="4"/>
    <x v="1"/>
    <m/>
    <x v="1"/>
    <m/>
    <m/>
    <s v="Bihar"/>
    <s v="East"/>
    <m/>
    <x v="2"/>
    <x v="74"/>
    <x v="31"/>
    <x v="180"/>
    <s v="GP COIL TATGPH GP02 0.400X1350"/>
    <s v=""/>
    <m/>
    <m/>
    <m/>
    <m/>
    <x v="4"/>
    <x v="6"/>
    <s v="GP02"/>
    <x v="2"/>
    <x v="20"/>
    <x v="0"/>
    <n v="93"/>
    <n v="0"/>
    <n v="93"/>
    <n v="93"/>
    <n v="93"/>
    <n v="93"/>
    <n v="0"/>
    <n v="0"/>
    <n v="0"/>
    <n v="0"/>
    <n v="0"/>
    <n v="0"/>
    <n v="0"/>
    <n v="0"/>
    <n v="0"/>
    <n v="0"/>
    <n v="0"/>
    <n v="0"/>
    <n v="0"/>
    <n v="0"/>
    <n v="0"/>
    <n v="0"/>
    <n v="0"/>
    <n v="0"/>
    <n v="0"/>
    <n v="0"/>
    <n v="0"/>
    <n v="0"/>
    <n v="0"/>
    <m/>
    <n v="0"/>
    <n v="93"/>
    <n v="0"/>
    <n v="0"/>
    <n v="0"/>
    <n v="93"/>
    <n v="0"/>
    <n v="93"/>
    <n v="0"/>
    <n v="0"/>
    <n v="0"/>
    <n v="93"/>
    <n v="0"/>
    <n v="0"/>
    <m/>
    <m/>
    <m/>
    <m/>
    <m/>
    <m/>
    <m/>
    <m/>
    <m/>
    <m/>
    <m/>
    <m/>
    <m/>
    <m/>
    <m/>
    <m/>
    <m/>
    <m/>
    <m/>
    <m/>
    <m/>
    <m/>
    <m/>
    <m/>
    <m/>
    <m/>
    <m/>
    <m/>
    <m/>
    <m/>
    <m/>
    <m/>
    <m/>
    <m/>
  </r>
  <r>
    <n v="743"/>
    <d v="2025-04-10T00:00:00"/>
    <x v="0"/>
    <n v="9518681493"/>
    <n v="3"/>
    <s v="9518681493-3"/>
    <s v="May'25"/>
    <x v="0"/>
    <s v="Yes"/>
    <x v="3"/>
    <x v="4"/>
    <x v="1"/>
    <m/>
    <x v="1"/>
    <m/>
    <m/>
    <s v="Bihar"/>
    <s v="East"/>
    <m/>
    <x v="2"/>
    <x v="74"/>
    <x v="31"/>
    <x v="181"/>
    <s v="GP COIL TATXGP GP02 0.450X1350"/>
    <s v=""/>
    <m/>
    <m/>
    <m/>
    <m/>
    <x v="4"/>
    <x v="5"/>
    <s v="GP02"/>
    <x v="10"/>
    <x v="20"/>
    <x v="0"/>
    <n v="93"/>
    <n v="0"/>
    <n v="93"/>
    <n v="93"/>
    <n v="93"/>
    <n v="93"/>
    <n v="0"/>
    <n v="0"/>
    <n v="0"/>
    <n v="0"/>
    <n v="0"/>
    <n v="0"/>
    <n v="0"/>
    <n v="0"/>
    <n v="0"/>
    <n v="0"/>
    <n v="0"/>
    <n v="0"/>
    <n v="0"/>
    <n v="0"/>
    <n v="0"/>
    <n v="0"/>
    <n v="0"/>
    <n v="0"/>
    <n v="0"/>
    <n v="0"/>
    <n v="0"/>
    <n v="0"/>
    <n v="0"/>
    <m/>
    <n v="0"/>
    <n v="93"/>
    <n v="0"/>
    <n v="0"/>
    <n v="0"/>
    <n v="93"/>
    <n v="0"/>
    <n v="93"/>
    <n v="0"/>
    <n v="0"/>
    <n v="0"/>
    <n v="93"/>
    <n v="0"/>
    <n v="0"/>
    <m/>
    <m/>
    <m/>
    <m/>
    <m/>
    <m/>
    <m/>
    <m/>
    <m/>
    <m/>
    <m/>
    <m/>
    <m/>
    <m/>
    <m/>
    <m/>
    <m/>
    <m/>
    <m/>
    <m/>
    <m/>
    <m/>
    <m/>
    <m/>
    <m/>
    <m/>
    <m/>
    <m/>
    <m/>
    <m/>
    <m/>
    <m/>
    <m/>
    <m/>
  </r>
  <r>
    <n v="743"/>
    <d v="2025-04-10T00:00:00"/>
    <x v="0"/>
    <n v="9518681493"/>
    <n v="4"/>
    <s v="9518681493-4"/>
    <s v="May'25"/>
    <x v="0"/>
    <s v="Yes"/>
    <x v="3"/>
    <x v="4"/>
    <x v="1"/>
    <m/>
    <x v="1"/>
    <m/>
    <m/>
    <s v="Bihar"/>
    <s v="East"/>
    <m/>
    <x v="2"/>
    <x v="74"/>
    <x v="31"/>
    <x v="194"/>
    <s v="GP COIL TATGPH GP02 0.500X1350"/>
    <s v=""/>
    <m/>
    <m/>
    <m/>
    <m/>
    <x v="4"/>
    <x v="6"/>
    <s v="GP02"/>
    <x v="1"/>
    <x v="20"/>
    <x v="0"/>
    <n v="62"/>
    <n v="0"/>
    <n v="62"/>
    <n v="62"/>
    <n v="62"/>
    <n v="62"/>
    <n v="0"/>
    <n v="0"/>
    <n v="0"/>
    <n v="0"/>
    <n v="0"/>
    <n v="0"/>
    <n v="0"/>
    <n v="0"/>
    <n v="0"/>
    <n v="0"/>
    <n v="0"/>
    <n v="0"/>
    <n v="0"/>
    <n v="0"/>
    <n v="0"/>
    <n v="0"/>
    <n v="0"/>
    <n v="0"/>
    <n v="0"/>
    <n v="0"/>
    <n v="0"/>
    <n v="0"/>
    <n v="0"/>
    <m/>
    <n v="0"/>
    <n v="62"/>
    <n v="0"/>
    <n v="0"/>
    <n v="62"/>
    <n v="0"/>
    <n v="0"/>
    <n v="62"/>
    <n v="0"/>
    <n v="0"/>
    <n v="0"/>
    <n v="62"/>
    <n v="0"/>
    <n v="0"/>
    <m/>
    <m/>
    <m/>
    <m/>
    <m/>
    <m/>
    <m/>
    <m/>
    <m/>
    <m/>
    <m/>
    <m/>
    <m/>
    <m/>
    <m/>
    <m/>
    <m/>
    <m/>
    <m/>
    <m/>
    <m/>
    <m/>
    <m/>
    <m/>
    <m/>
    <m/>
    <m/>
    <m/>
    <m/>
    <m/>
    <m/>
    <m/>
    <m/>
    <m/>
  </r>
  <r>
    <n v="743"/>
    <d v="2025-04-10T00:00:00"/>
    <x v="0"/>
    <n v="9518681493"/>
    <n v="5"/>
    <s v="9518681493-5"/>
    <s v="May'25"/>
    <x v="0"/>
    <s v="Yes"/>
    <x v="3"/>
    <x v="4"/>
    <x v="1"/>
    <m/>
    <x v="1"/>
    <m/>
    <m/>
    <s v="Bihar"/>
    <s v="East"/>
    <m/>
    <x v="2"/>
    <x v="74"/>
    <x v="31"/>
    <x v="404"/>
    <s v="GP COIL TATGPH GP02 0.300X900"/>
    <s v=""/>
    <m/>
    <m/>
    <m/>
    <m/>
    <x v="4"/>
    <x v="6"/>
    <s v="GP02"/>
    <x v="11"/>
    <x v="3"/>
    <x v="0"/>
    <n v="63"/>
    <n v="0"/>
    <n v="63"/>
    <n v="63"/>
    <n v="63"/>
    <n v="63"/>
    <n v="0"/>
    <n v="0"/>
    <n v="0"/>
    <n v="0"/>
    <n v="0"/>
    <n v="0"/>
    <n v="0"/>
    <n v="0"/>
    <n v="0"/>
    <n v="0"/>
    <n v="0"/>
    <n v="0"/>
    <n v="0"/>
    <n v="0"/>
    <n v="0"/>
    <n v="0"/>
    <n v="0"/>
    <n v="0"/>
    <n v="0"/>
    <n v="0"/>
    <n v="0"/>
    <n v="0"/>
    <n v="0"/>
    <m/>
    <n v="0"/>
    <n v="63"/>
    <n v="0"/>
    <n v="0"/>
    <n v="0"/>
    <n v="63"/>
    <n v="0"/>
    <n v="63"/>
    <n v="0"/>
    <n v="0"/>
    <n v="0"/>
    <n v="0"/>
    <n v="63"/>
    <n v="0"/>
    <m/>
    <m/>
    <m/>
    <m/>
    <m/>
    <m/>
    <m/>
    <m/>
    <m/>
    <m/>
    <m/>
    <m/>
    <m/>
    <m/>
    <m/>
    <m/>
    <m/>
    <m/>
    <m/>
    <m/>
    <m/>
    <m/>
    <m/>
    <m/>
    <m/>
    <m/>
    <m/>
    <m/>
    <m/>
    <m/>
    <m/>
    <m/>
    <m/>
    <m/>
  </r>
  <r>
    <n v="743"/>
    <d v="2025-04-10T00:00:00"/>
    <x v="0"/>
    <n v="9518681493"/>
    <n v="6"/>
    <s v="9518681493-6"/>
    <s v="May'25"/>
    <x v="0"/>
    <s v="Yes"/>
    <x v="3"/>
    <x v="4"/>
    <x v="1"/>
    <m/>
    <x v="1"/>
    <m/>
    <m/>
    <s v="Bihar"/>
    <s v="East"/>
    <m/>
    <x v="2"/>
    <x v="74"/>
    <x v="31"/>
    <x v="178"/>
    <s v="GP COIL TATGPH GP02 0.350X900"/>
    <s v=""/>
    <m/>
    <m/>
    <m/>
    <m/>
    <x v="4"/>
    <x v="6"/>
    <s v="GP02"/>
    <x v="6"/>
    <x v="3"/>
    <x v="0"/>
    <n v="105"/>
    <n v="0"/>
    <n v="105"/>
    <n v="105"/>
    <n v="105"/>
    <n v="105"/>
    <n v="0"/>
    <n v="0"/>
    <n v="0"/>
    <n v="0"/>
    <n v="0"/>
    <n v="0"/>
    <n v="0"/>
    <n v="0"/>
    <n v="0"/>
    <n v="0"/>
    <n v="0"/>
    <n v="0"/>
    <n v="0"/>
    <n v="0"/>
    <n v="0"/>
    <n v="0"/>
    <n v="0"/>
    <n v="0"/>
    <n v="0"/>
    <n v="0"/>
    <n v="0"/>
    <n v="0"/>
    <n v="0"/>
    <m/>
    <n v="0"/>
    <n v="105"/>
    <n v="0"/>
    <n v="0"/>
    <n v="0"/>
    <n v="105"/>
    <n v="0"/>
    <n v="105"/>
    <n v="0"/>
    <n v="0"/>
    <n v="0"/>
    <n v="0"/>
    <n v="105"/>
    <n v="0"/>
    <m/>
    <m/>
    <m/>
    <m/>
    <m/>
    <m/>
    <m/>
    <m/>
    <m/>
    <m/>
    <m/>
    <m/>
    <m/>
    <m/>
    <m/>
    <m/>
    <m/>
    <m/>
    <m/>
    <m/>
    <m/>
    <m/>
    <m/>
    <m/>
    <m/>
    <m/>
    <m/>
    <m/>
    <m/>
    <m/>
    <m/>
    <m/>
    <m/>
    <m/>
  </r>
  <r>
    <n v="743"/>
    <d v="2025-04-10T00:00:00"/>
    <x v="0"/>
    <n v="9518681493"/>
    <n v="7"/>
    <s v="9518681493-7"/>
    <s v="May'25"/>
    <x v="0"/>
    <s v="Yes"/>
    <x v="3"/>
    <x v="4"/>
    <x v="1"/>
    <m/>
    <x v="1"/>
    <m/>
    <m/>
    <s v="Bihar"/>
    <s v="East"/>
    <m/>
    <x v="2"/>
    <x v="74"/>
    <x v="31"/>
    <x v="179"/>
    <s v="GP COIL TATGPH GP02 0.400X900"/>
    <s v=""/>
    <m/>
    <m/>
    <m/>
    <m/>
    <x v="4"/>
    <x v="6"/>
    <s v="GP02"/>
    <x v="2"/>
    <x v="3"/>
    <x v="0"/>
    <n v="105"/>
    <n v="0"/>
    <n v="105"/>
    <n v="105"/>
    <n v="105"/>
    <n v="105"/>
    <n v="0"/>
    <n v="0"/>
    <n v="0"/>
    <n v="0"/>
    <n v="0"/>
    <n v="0"/>
    <n v="0"/>
    <n v="0"/>
    <n v="0"/>
    <n v="0"/>
    <n v="0"/>
    <n v="0"/>
    <n v="0"/>
    <n v="0"/>
    <n v="0"/>
    <n v="0"/>
    <n v="0"/>
    <n v="0"/>
    <n v="0"/>
    <n v="0"/>
    <n v="0"/>
    <n v="0"/>
    <n v="0"/>
    <m/>
    <n v="0"/>
    <n v="105"/>
    <n v="0"/>
    <n v="0"/>
    <n v="0"/>
    <n v="105"/>
    <n v="0"/>
    <n v="105"/>
    <n v="0"/>
    <n v="0"/>
    <n v="0"/>
    <n v="0"/>
    <n v="105"/>
    <n v="0"/>
    <m/>
    <m/>
    <m/>
    <m/>
    <m/>
    <m/>
    <m/>
    <m/>
    <m/>
    <m/>
    <m/>
    <m/>
    <m/>
    <m/>
    <m/>
    <m/>
    <m/>
    <m/>
    <m/>
    <m/>
    <m/>
    <m/>
    <m/>
    <m/>
    <m/>
    <m/>
    <m/>
    <m/>
    <m/>
    <m/>
    <m/>
    <m/>
    <m/>
    <m/>
  </r>
  <r>
    <n v="742"/>
    <d v="2025-04-15T00:00:00"/>
    <x v="0"/>
    <n v="9518694924"/>
    <n v="1"/>
    <s v="9518694924-1"/>
    <s v="No Priority"/>
    <x v="1"/>
    <m/>
    <x v="1"/>
    <x v="2"/>
    <x v="1"/>
    <m/>
    <x v="0"/>
    <m/>
    <m/>
    <s v="Bihar"/>
    <s v="East"/>
    <m/>
    <x v="2"/>
    <x v="31"/>
    <x v="31"/>
    <x v="401"/>
    <s v="CRCA SHEET TATCRC SR16 0.300X900"/>
    <s v=""/>
    <m/>
    <m/>
    <m/>
    <m/>
    <x v="2"/>
    <x v="1"/>
    <s v="SR16"/>
    <x v="11"/>
    <x v="3"/>
    <x v="3"/>
    <n v="39"/>
    <n v="0"/>
    <n v="39"/>
    <n v="39"/>
    <n v="39"/>
    <n v="39"/>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924"/>
    <n v="5"/>
    <s v="9518694924-5"/>
    <s v="No Priority"/>
    <x v="1"/>
    <m/>
    <x v="1"/>
    <x v="2"/>
    <x v="1"/>
    <m/>
    <x v="0"/>
    <m/>
    <m/>
    <s v="Bihar"/>
    <s v="East"/>
    <m/>
    <x v="2"/>
    <x v="31"/>
    <x v="31"/>
    <x v="219"/>
    <s v="CRCA SHEET TATCRC SR16 0.380X1250X2500"/>
    <s v=""/>
    <m/>
    <m/>
    <m/>
    <m/>
    <x v="2"/>
    <x v="1"/>
    <s v="SR16"/>
    <x v="7"/>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924"/>
    <n v="6"/>
    <s v="9518694924-6"/>
    <s v="No Priority"/>
    <x v="1"/>
    <m/>
    <x v="1"/>
    <x v="2"/>
    <x v="1"/>
    <m/>
    <x v="0"/>
    <m/>
    <m/>
    <s v="Bihar"/>
    <s v="East"/>
    <m/>
    <x v="2"/>
    <x v="31"/>
    <x v="31"/>
    <x v="145"/>
    <s v="CRCA SHEET TATCRC SR16 0.400X1250X2500"/>
    <s v=""/>
    <m/>
    <m/>
    <m/>
    <m/>
    <x v="2"/>
    <x v="1"/>
    <s v="SR16"/>
    <x v="2"/>
    <x v="0"/>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924"/>
    <n v="7"/>
    <s v="9518694924-7"/>
    <s v="No Priority"/>
    <x v="0"/>
    <m/>
    <x v="1"/>
    <x v="2"/>
    <x v="1"/>
    <m/>
    <x v="0"/>
    <m/>
    <m/>
    <s v="Bihar"/>
    <s v="East"/>
    <m/>
    <x v="2"/>
    <x v="31"/>
    <x v="31"/>
    <x v="136"/>
    <s v="CRCA SHEET TATCRC SR16 0.450X1250X2500"/>
    <s v=""/>
    <m/>
    <m/>
    <m/>
    <m/>
    <x v="2"/>
    <x v="1"/>
    <s v="SR16"/>
    <x v="10"/>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924"/>
    <n v="8"/>
    <s v="9518694924-8"/>
    <s v="No Priority"/>
    <x v="0"/>
    <m/>
    <x v="1"/>
    <x v="2"/>
    <x v="1"/>
    <m/>
    <x v="0"/>
    <m/>
    <m/>
    <s v="Bihar"/>
    <s v="East"/>
    <m/>
    <x v="2"/>
    <x v="31"/>
    <x v="31"/>
    <x v="405"/>
    <s v="CRCA SHEET TATCRC SR16 0.480X1250X2500"/>
    <s v=""/>
    <m/>
    <m/>
    <m/>
    <m/>
    <x v="2"/>
    <x v="1"/>
    <s v="SR16"/>
    <x v="8"/>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924"/>
    <n v="9"/>
    <s v="9518694924-9"/>
    <s v="May'25"/>
    <x v="0"/>
    <m/>
    <x v="1"/>
    <x v="2"/>
    <x v="1"/>
    <m/>
    <x v="1"/>
    <m/>
    <m/>
    <s v="Bihar"/>
    <s v="East"/>
    <m/>
    <x v="2"/>
    <x v="31"/>
    <x v="31"/>
    <x v="110"/>
    <s v="CRCA SHEET TSBCRC SR15 0.600X1000X2500"/>
    <s v=""/>
    <m/>
    <m/>
    <m/>
    <m/>
    <x v="2"/>
    <x v="4"/>
    <s v="SR15"/>
    <x v="20"/>
    <x v="2"/>
    <x v="3"/>
    <n v="24"/>
    <n v="0"/>
    <n v="24"/>
    <n v="24"/>
    <n v="1.5199999999999996"/>
    <n v="24"/>
    <n v="0"/>
    <n v="0"/>
    <n v="0"/>
    <n v="0"/>
    <n v="0"/>
    <n v="0"/>
    <n v="0"/>
    <n v="0"/>
    <n v="0"/>
    <n v="0"/>
    <n v="0"/>
    <n v="0"/>
    <n v="0"/>
    <n v="22.48"/>
    <n v="0"/>
    <n v="0"/>
    <n v="0"/>
    <n v="0"/>
    <n v="0"/>
    <n v="22.48"/>
    <n v="22.48"/>
    <n v="0"/>
    <n v="22.48"/>
    <m/>
    <n v="0"/>
    <n v="24"/>
    <n v="0"/>
    <n v="24"/>
    <n v="0"/>
    <n v="0"/>
    <n v="0"/>
    <n v="24"/>
    <n v="0"/>
    <n v="0"/>
    <n v="24"/>
    <n v="0"/>
    <n v="0"/>
    <n v="0"/>
    <m/>
    <m/>
    <m/>
    <m/>
    <m/>
    <m/>
    <m/>
    <m/>
    <m/>
    <m/>
    <m/>
    <m/>
    <m/>
    <m/>
    <m/>
    <m/>
    <m/>
    <m/>
    <m/>
    <m/>
    <m/>
    <m/>
    <m/>
    <m/>
    <m/>
    <m/>
    <m/>
    <m/>
    <m/>
    <m/>
    <m/>
    <m/>
    <m/>
    <m/>
  </r>
  <r>
    <n v="742"/>
    <d v="2025-04-15T00:00:00"/>
    <x v="0"/>
    <n v="9518694924"/>
    <n v="10"/>
    <s v="9518694924-10"/>
    <s v="No Priority"/>
    <x v="0"/>
    <m/>
    <x v="1"/>
    <x v="2"/>
    <x v="1"/>
    <m/>
    <x v="0"/>
    <m/>
    <m/>
    <s v="Bihar"/>
    <s v="East"/>
    <m/>
    <x v="2"/>
    <x v="31"/>
    <x v="31"/>
    <x v="182"/>
    <s v="CRCA SHEET TSBCRC SR15 1.200X1250X2500"/>
    <s v=""/>
    <m/>
    <m/>
    <m/>
    <m/>
    <x v="2"/>
    <x v="4"/>
    <s v="SR15"/>
    <x v="19"/>
    <x v="0"/>
    <x v="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5139"/>
    <n v="1"/>
    <s v="9518695139-1"/>
    <s v="No Priority"/>
    <x v="1"/>
    <m/>
    <x v="1"/>
    <x v="2"/>
    <x v="1"/>
    <m/>
    <x v="0"/>
    <m/>
    <m/>
    <s v="Bihar"/>
    <s v="East"/>
    <m/>
    <x v="2"/>
    <x v="31"/>
    <x v="31"/>
    <x v="401"/>
    <s v="CRCA SHEET TATCRC SR16 0.300X900"/>
    <s v=""/>
    <m/>
    <m/>
    <m/>
    <m/>
    <x v="2"/>
    <x v="1"/>
    <s v="SR16"/>
    <x v="11"/>
    <x v="3"/>
    <x v="3"/>
    <n v="39"/>
    <n v="0"/>
    <n v="39"/>
    <n v="39"/>
    <n v="39"/>
    <n v="39"/>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5139"/>
    <n v="4"/>
    <s v="9518695139-4"/>
    <s v="No Priority"/>
    <x v="1"/>
    <m/>
    <x v="1"/>
    <x v="2"/>
    <x v="1"/>
    <m/>
    <x v="0"/>
    <m/>
    <m/>
    <s v="Bihar"/>
    <s v="East"/>
    <m/>
    <x v="2"/>
    <x v="31"/>
    <x v="31"/>
    <x v="219"/>
    <s v="CRCA SHEET TATCRC SR16 0.380X1250X2500"/>
    <s v=""/>
    <m/>
    <m/>
    <m/>
    <m/>
    <x v="2"/>
    <x v="1"/>
    <s v="SR16"/>
    <x v="7"/>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5139"/>
    <n v="5"/>
    <s v="9518695139-5"/>
    <s v="No Priority"/>
    <x v="1"/>
    <m/>
    <x v="1"/>
    <x v="2"/>
    <x v="1"/>
    <m/>
    <x v="0"/>
    <m/>
    <m/>
    <s v="Bihar"/>
    <s v="East"/>
    <m/>
    <x v="2"/>
    <x v="31"/>
    <x v="31"/>
    <x v="145"/>
    <s v="CRCA SHEET TATCRC SR16 0.400X1250X2500"/>
    <s v=""/>
    <m/>
    <m/>
    <m/>
    <m/>
    <x v="2"/>
    <x v="1"/>
    <s v="SR16"/>
    <x v="2"/>
    <x v="0"/>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5139"/>
    <n v="6"/>
    <s v="9518695139-6"/>
    <s v="No Priority"/>
    <x v="0"/>
    <m/>
    <x v="1"/>
    <x v="2"/>
    <x v="1"/>
    <m/>
    <x v="0"/>
    <m/>
    <m/>
    <s v="Bihar"/>
    <s v="East"/>
    <m/>
    <x v="2"/>
    <x v="31"/>
    <x v="31"/>
    <x v="136"/>
    <s v="CRCA SHEET TATCRC SR16 0.450X1250X2500"/>
    <s v=""/>
    <m/>
    <m/>
    <m/>
    <m/>
    <x v="2"/>
    <x v="1"/>
    <s v="SR16"/>
    <x v="10"/>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5139"/>
    <n v="7"/>
    <s v="9518695139-7"/>
    <s v="No Priority"/>
    <x v="0"/>
    <m/>
    <x v="1"/>
    <x v="2"/>
    <x v="1"/>
    <m/>
    <x v="0"/>
    <m/>
    <m/>
    <s v="Bihar"/>
    <s v="East"/>
    <m/>
    <x v="2"/>
    <x v="31"/>
    <x v="31"/>
    <x v="405"/>
    <s v="CRCA SHEET TATCRC SR16 0.480X1250X2500"/>
    <s v=""/>
    <m/>
    <m/>
    <m/>
    <m/>
    <x v="2"/>
    <x v="1"/>
    <s v="SR16"/>
    <x v="8"/>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5139"/>
    <n v="8"/>
    <s v="9518695139-8"/>
    <s v="No Priority"/>
    <x v="0"/>
    <m/>
    <x v="1"/>
    <x v="2"/>
    <x v="1"/>
    <m/>
    <x v="0"/>
    <m/>
    <m/>
    <s v="Bihar"/>
    <s v="East"/>
    <m/>
    <x v="2"/>
    <x v="31"/>
    <x v="31"/>
    <x v="110"/>
    <s v="CRCA SHEET TSBCRC SR15 0.600X1000X2500"/>
    <s v=""/>
    <m/>
    <m/>
    <m/>
    <m/>
    <x v="2"/>
    <x v="4"/>
    <s v="SR15"/>
    <x v="20"/>
    <x v="2"/>
    <x v="3"/>
    <n v="24"/>
    <n v="0"/>
    <n v="24"/>
    <n v="24"/>
    <n v="1.5599999999999987"/>
    <n v="24"/>
    <n v="0"/>
    <n v="0"/>
    <n v="0"/>
    <n v="0"/>
    <n v="0"/>
    <n v="0"/>
    <n v="0"/>
    <n v="0"/>
    <n v="0"/>
    <n v="0"/>
    <n v="0"/>
    <n v="0"/>
    <n v="0"/>
    <n v="22.44"/>
    <n v="0"/>
    <n v="0"/>
    <n v="0"/>
    <n v="0"/>
    <n v="0"/>
    <n v="22.44"/>
    <n v="22.44"/>
    <n v="0"/>
    <n v="22.44"/>
    <m/>
    <n v="0"/>
    <n v="0"/>
    <n v="0"/>
    <n v="0"/>
    <n v="0"/>
    <n v="0"/>
    <n v="0"/>
    <n v="0"/>
    <n v="0"/>
    <n v="0"/>
    <n v="0"/>
    <n v="0"/>
    <n v="0"/>
    <n v="0"/>
    <m/>
    <m/>
    <m/>
    <m/>
    <m/>
    <m/>
    <m/>
    <m/>
    <m/>
    <m/>
    <m/>
    <m/>
    <m/>
    <m/>
    <m/>
    <m/>
    <m/>
    <m/>
    <m/>
    <m/>
    <m/>
    <m/>
    <m/>
    <m/>
    <m/>
    <m/>
    <m/>
    <m/>
    <m/>
    <m/>
    <m/>
    <m/>
    <m/>
    <m/>
  </r>
  <r>
    <n v="742"/>
    <d v="2025-04-15T00:00:00"/>
    <x v="0"/>
    <n v="9518695139"/>
    <n v="9"/>
    <s v="9518695139-9"/>
    <s v="No Priority"/>
    <x v="0"/>
    <m/>
    <x v="1"/>
    <x v="2"/>
    <x v="1"/>
    <m/>
    <x v="0"/>
    <m/>
    <m/>
    <s v="Bihar"/>
    <s v="East"/>
    <m/>
    <x v="2"/>
    <x v="31"/>
    <x v="31"/>
    <x v="182"/>
    <s v="CRCA SHEET TSBCRC SR15 1.200X1250X2500"/>
    <s v=""/>
    <m/>
    <m/>
    <m/>
    <m/>
    <x v="2"/>
    <x v="4"/>
    <s v="SR15"/>
    <x v="19"/>
    <x v="0"/>
    <x v="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3"/>
    <d v="2025-03-25T00:00:00"/>
    <x v="0"/>
    <n v="9518631278"/>
    <n v="4"/>
    <s v="9518631278-4"/>
    <s v="May'25"/>
    <x v="0"/>
    <s v="Yes"/>
    <x v="3"/>
    <x v="9"/>
    <x v="1"/>
    <m/>
    <x v="0"/>
    <m/>
    <m/>
    <s v="West Bengal"/>
    <s v="East"/>
    <m/>
    <x v="2"/>
    <x v="36"/>
    <x v="36"/>
    <x v="406"/>
    <s v="GP COIL SOFT-TATXGP-GLK1-0.4X900"/>
    <s v=""/>
    <m/>
    <m/>
    <m/>
    <m/>
    <x v="7"/>
    <x v="5"/>
    <s v="GLK1"/>
    <x v="2"/>
    <x v="3"/>
    <x v="0"/>
    <n v="147"/>
    <n v="0"/>
    <n v="147"/>
    <n v="147"/>
    <n v="147"/>
    <n v="147"/>
    <n v="0"/>
    <n v="0"/>
    <n v="0"/>
    <n v="0"/>
    <n v="0"/>
    <n v="0"/>
    <n v="0"/>
    <n v="0"/>
    <n v="0"/>
    <n v="0"/>
    <n v="0"/>
    <n v="0"/>
    <n v="0"/>
    <n v="0"/>
    <n v="0"/>
    <n v="0"/>
    <n v="0"/>
    <n v="0"/>
    <n v="0"/>
    <n v="0"/>
    <n v="0"/>
    <n v="0"/>
    <n v="0"/>
    <m/>
    <n v="0"/>
    <n v="0"/>
    <n v="0"/>
    <n v="0"/>
    <n v="0"/>
    <n v="0"/>
    <n v="0"/>
    <n v="0"/>
    <n v="0"/>
    <n v="0"/>
    <n v="0"/>
    <n v="0"/>
    <n v="0"/>
    <n v="0"/>
    <m/>
    <m/>
    <m/>
    <m/>
    <m/>
    <m/>
    <m/>
    <m/>
    <m/>
    <m/>
    <m/>
    <m/>
    <m/>
    <m/>
    <m/>
    <m/>
    <m/>
    <m/>
    <m/>
    <m/>
    <m/>
    <m/>
    <m/>
    <m/>
    <m/>
    <m/>
    <m/>
    <m/>
    <m/>
    <m/>
    <m/>
    <m/>
    <m/>
    <m/>
  </r>
  <r>
    <n v="743"/>
    <d v="2025-03-25T00:00:00"/>
    <x v="0"/>
    <n v="9518631278"/>
    <n v="5"/>
    <s v="9518631278-5"/>
    <s v="May'25"/>
    <x v="0"/>
    <s v="Yes"/>
    <x v="3"/>
    <x v="9"/>
    <x v="1"/>
    <m/>
    <x v="0"/>
    <m/>
    <m/>
    <s v="West Bengal"/>
    <s v="East"/>
    <m/>
    <x v="2"/>
    <x v="36"/>
    <x v="36"/>
    <x v="407"/>
    <s v="GP COIL SOFT-TATXGP-GLK1-0.5X900"/>
    <s v=""/>
    <m/>
    <m/>
    <m/>
    <m/>
    <x v="7"/>
    <x v="5"/>
    <s v="GLK1"/>
    <x v="1"/>
    <x v="3"/>
    <x v="0"/>
    <n v="147"/>
    <n v="0"/>
    <n v="147"/>
    <n v="147"/>
    <n v="147"/>
    <n v="147"/>
    <n v="0"/>
    <n v="0"/>
    <n v="0"/>
    <n v="0"/>
    <n v="0"/>
    <n v="0"/>
    <n v="0"/>
    <n v="0"/>
    <n v="0"/>
    <n v="0"/>
    <n v="0"/>
    <n v="0"/>
    <n v="0"/>
    <n v="0"/>
    <n v="0"/>
    <n v="0"/>
    <n v="0"/>
    <n v="0"/>
    <n v="0"/>
    <n v="0"/>
    <n v="0"/>
    <n v="0"/>
    <n v="0"/>
    <m/>
    <n v="0"/>
    <n v="0"/>
    <n v="0"/>
    <n v="0"/>
    <n v="0"/>
    <n v="0"/>
    <n v="0"/>
    <n v="0"/>
    <n v="0"/>
    <n v="0"/>
    <n v="0"/>
    <n v="0"/>
    <n v="0"/>
    <n v="0"/>
    <m/>
    <m/>
    <m/>
    <m/>
    <m/>
    <m/>
    <m/>
    <m/>
    <m/>
    <m/>
    <m/>
    <m/>
    <m/>
    <m/>
    <m/>
    <m/>
    <m/>
    <m/>
    <m/>
    <m/>
    <m/>
    <m/>
    <m/>
    <m/>
    <m/>
    <m/>
    <m/>
    <m/>
    <m/>
    <m/>
    <m/>
    <m/>
    <m/>
    <m/>
  </r>
  <r>
    <n v="743"/>
    <d v="2025-03-25T00:00:00"/>
    <x v="0"/>
    <n v="9518631278"/>
    <n v="6"/>
    <s v="9518631278-6"/>
    <s v="May'25"/>
    <x v="0"/>
    <s v="Yes"/>
    <x v="3"/>
    <x v="9"/>
    <x v="1"/>
    <m/>
    <x v="1"/>
    <m/>
    <m/>
    <s v="West Bengal"/>
    <s v="East"/>
    <m/>
    <x v="2"/>
    <x v="36"/>
    <x v="36"/>
    <x v="63"/>
    <s v="GP COIL SOFT-TATXGP-GLK1-0.6X900"/>
    <s v=""/>
    <m/>
    <m/>
    <m/>
    <m/>
    <x v="7"/>
    <x v="5"/>
    <s v="GLK1"/>
    <x v="20"/>
    <x v="3"/>
    <x v="0"/>
    <n v="105"/>
    <n v="0"/>
    <n v="105"/>
    <n v="105"/>
    <n v="6.2299999999999898"/>
    <n v="105"/>
    <n v="0"/>
    <n v="0"/>
    <n v="0"/>
    <n v="20.61"/>
    <n v="20.54"/>
    <n v="0"/>
    <n v="57.620000000000005"/>
    <n v="0"/>
    <n v="0"/>
    <n v="0"/>
    <n v="0"/>
    <n v="0"/>
    <n v="0"/>
    <n v="0"/>
    <n v="0"/>
    <n v="0"/>
    <n v="0"/>
    <n v="0"/>
    <n v="0"/>
    <n v="98.77000000000001"/>
    <n v="98.77000000000001"/>
    <n v="0"/>
    <n v="98.77000000000001"/>
    <m/>
    <n v="0"/>
    <n v="105"/>
    <n v="105"/>
    <n v="0"/>
    <n v="0"/>
    <n v="0"/>
    <n v="0"/>
    <n v="105"/>
    <n v="0"/>
    <n v="105"/>
    <n v="0"/>
    <n v="0"/>
    <n v="0"/>
    <n v="0"/>
    <m/>
    <m/>
    <m/>
    <m/>
    <m/>
    <m/>
    <m/>
    <m/>
    <m/>
    <m/>
    <m/>
    <m/>
    <m/>
    <m/>
    <m/>
    <m/>
    <m/>
    <m/>
    <m/>
    <m/>
    <m/>
    <m/>
    <m/>
    <m/>
    <m/>
    <m/>
    <m/>
    <m/>
    <m/>
    <m/>
    <m/>
    <m/>
    <m/>
    <m/>
  </r>
  <r>
    <n v="742"/>
    <d v="2025-04-15T00:00:00"/>
    <x v="0"/>
    <n v="9518694569"/>
    <n v="1"/>
    <s v="9518694569-1"/>
    <s v="May'25"/>
    <x v="0"/>
    <m/>
    <x v="1"/>
    <x v="10"/>
    <x v="3"/>
    <m/>
    <x v="1"/>
    <m/>
    <m/>
    <s v="Andhra Pradesh"/>
    <s v="South"/>
    <m/>
    <x v="2"/>
    <x v="109"/>
    <x v="90"/>
    <x v="98"/>
    <s v="CRCA SHEET TATXXD BT02 0.800X920X1805"/>
    <s v=""/>
    <m/>
    <m/>
    <m/>
    <m/>
    <x v="2"/>
    <x v="2"/>
    <s v="BT02"/>
    <x v="5"/>
    <x v="15"/>
    <x v="0"/>
    <n v="270"/>
    <n v="0"/>
    <n v="270"/>
    <n v="270"/>
    <n v="248.95"/>
    <n v="270"/>
    <n v="0"/>
    <n v="0"/>
    <n v="0"/>
    <n v="21.05"/>
    <n v="0"/>
    <n v="0"/>
    <n v="0"/>
    <n v="0"/>
    <n v="0"/>
    <n v="0"/>
    <n v="0"/>
    <n v="0"/>
    <n v="0"/>
    <n v="0"/>
    <n v="0"/>
    <n v="0"/>
    <n v="0"/>
    <n v="0"/>
    <n v="0"/>
    <n v="21.05"/>
    <n v="21.05"/>
    <n v="0"/>
    <n v="21.05"/>
    <m/>
    <n v="0"/>
    <n v="270"/>
    <n v="0"/>
    <n v="0"/>
    <n v="0"/>
    <n v="0"/>
    <n v="270"/>
    <n v="270"/>
    <n v="0"/>
    <n v="0"/>
    <n v="0"/>
    <n v="0"/>
    <n v="270"/>
    <n v="0"/>
    <m/>
    <m/>
    <m/>
    <m/>
    <m/>
    <m/>
    <m/>
    <m/>
    <m/>
    <m/>
    <m/>
    <m/>
    <m/>
    <m/>
    <m/>
    <m/>
    <m/>
    <m/>
    <m/>
    <m/>
    <m/>
    <m/>
    <m/>
    <m/>
    <m/>
    <m/>
    <m/>
    <m/>
    <m/>
    <m/>
    <m/>
    <m/>
    <m/>
    <m/>
  </r>
  <r>
    <n v="743"/>
    <d v="2025-03-19T00:00:00"/>
    <x v="0"/>
    <n v="9518613228"/>
    <n v="1"/>
    <s v="9518613228-1"/>
    <s v="No Priority"/>
    <x v="1"/>
    <m/>
    <x v="3"/>
    <x v="9"/>
    <x v="1"/>
    <m/>
    <x v="0"/>
    <m/>
    <m/>
    <s v="Haryana"/>
    <s v="North"/>
    <m/>
    <x v="2"/>
    <x v="110"/>
    <x v="110"/>
    <x v="408"/>
    <s v="GP COIL SOFT TATXGP GLK1 0.25X1000"/>
    <n v="80"/>
    <m/>
    <m/>
    <m/>
    <m/>
    <x v="7"/>
    <x v="5"/>
    <s v="GLK1"/>
    <x v="12"/>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4-09T00:00:00"/>
    <x v="0"/>
    <n v="9518680501"/>
    <n v="2"/>
    <s v="9518680501-2"/>
    <s v="May'25"/>
    <x v="0"/>
    <s v="Yes"/>
    <x v="0"/>
    <x v="0"/>
    <x v="1"/>
    <m/>
    <x v="1"/>
    <m/>
    <m/>
    <s v="Karnataka"/>
    <s v="South"/>
    <m/>
    <x v="2"/>
    <x v="46"/>
    <x v="45"/>
    <x v="197"/>
    <s v="HR COILS-PO IS 1079 HR2 2.50X1250"/>
    <s v=""/>
    <m/>
    <m/>
    <m/>
    <m/>
    <x v="0"/>
    <x v="0"/>
    <s v="HR99"/>
    <x v="70"/>
    <x v="31"/>
    <x v="0"/>
    <n v="100"/>
    <n v="0"/>
    <n v="100"/>
    <n v="100"/>
    <n v="100"/>
    <n v="100"/>
    <n v="0"/>
    <n v="0"/>
    <n v="0"/>
    <n v="0"/>
    <n v="0"/>
    <n v="0"/>
    <n v="0"/>
    <n v="0"/>
    <n v="0"/>
    <n v="0"/>
    <n v="0"/>
    <n v="0"/>
    <n v="0"/>
    <n v="0"/>
    <n v="0"/>
    <n v="0"/>
    <n v="0"/>
    <n v="0"/>
    <n v="0"/>
    <n v="0"/>
    <n v="0"/>
    <n v="0"/>
    <n v="0"/>
    <m/>
    <n v="0"/>
    <n v="100"/>
    <n v="0"/>
    <n v="0"/>
    <n v="0"/>
    <n v="0"/>
    <n v="100"/>
    <n v="100"/>
    <n v="0"/>
    <n v="0"/>
    <n v="0"/>
    <n v="0"/>
    <n v="100"/>
    <n v="0"/>
    <m/>
    <m/>
    <m/>
    <m/>
    <m/>
    <m/>
    <m/>
    <m/>
    <m/>
    <m/>
    <m/>
    <m/>
    <m/>
    <m/>
    <m/>
    <m/>
    <m/>
    <m/>
    <m/>
    <m/>
    <m/>
    <m/>
    <m/>
    <m/>
    <m/>
    <m/>
    <m/>
    <m/>
    <m/>
    <m/>
    <m/>
    <m/>
    <m/>
    <m/>
  </r>
  <r>
    <n v="742"/>
    <d v="2025-04-09T00:00:00"/>
    <x v="0"/>
    <n v="9518680501"/>
    <n v="3"/>
    <s v="9518680501-3"/>
    <s v="May'25"/>
    <x v="0"/>
    <s v="Yes"/>
    <x v="0"/>
    <x v="0"/>
    <x v="1"/>
    <m/>
    <x v="1"/>
    <m/>
    <m/>
    <s v="Karnataka"/>
    <s v="South"/>
    <m/>
    <x v="2"/>
    <x v="46"/>
    <x v="45"/>
    <x v="0"/>
    <s v="HR COILS-PO IS 1079 HR2 3.0X1250"/>
    <s v=""/>
    <m/>
    <m/>
    <m/>
    <m/>
    <x v="0"/>
    <x v="0"/>
    <s v="HR99"/>
    <x v="0"/>
    <x v="0"/>
    <x v="0"/>
    <n v="75"/>
    <n v="0"/>
    <n v="75"/>
    <n v="75"/>
    <n v="75"/>
    <n v="75"/>
    <n v="0"/>
    <n v="0"/>
    <n v="0"/>
    <n v="0"/>
    <n v="0"/>
    <n v="0"/>
    <n v="0"/>
    <n v="0"/>
    <n v="0"/>
    <n v="0"/>
    <n v="0"/>
    <n v="0"/>
    <n v="0"/>
    <n v="0"/>
    <n v="0"/>
    <n v="0"/>
    <n v="0"/>
    <n v="0"/>
    <n v="0"/>
    <n v="0"/>
    <n v="0"/>
    <n v="0"/>
    <n v="0"/>
    <m/>
    <n v="0"/>
    <n v="75"/>
    <n v="0"/>
    <n v="75"/>
    <n v="0"/>
    <n v="0"/>
    <n v="0"/>
    <n v="75"/>
    <n v="0"/>
    <n v="0"/>
    <n v="75"/>
    <n v="0"/>
    <n v="0"/>
    <n v="0"/>
    <m/>
    <m/>
    <m/>
    <m/>
    <m/>
    <m/>
    <m/>
    <m/>
    <m/>
    <m/>
    <m/>
    <m/>
    <m/>
    <m/>
    <m/>
    <m/>
    <m/>
    <m/>
    <m/>
    <m/>
    <m/>
    <m/>
    <m/>
    <m/>
    <m/>
    <m/>
    <m/>
    <m/>
    <m/>
    <m/>
    <m/>
    <m/>
    <m/>
    <m/>
  </r>
  <r>
    <n v="742"/>
    <d v="2025-04-09T00:00:00"/>
    <x v="0"/>
    <n v="9518680501"/>
    <n v="4"/>
    <s v="9518680501-4"/>
    <s v="May'25"/>
    <x v="0"/>
    <s v="Yes"/>
    <x v="0"/>
    <x v="0"/>
    <x v="1"/>
    <m/>
    <x v="1"/>
    <m/>
    <m/>
    <s v="Karnataka"/>
    <s v="South"/>
    <m/>
    <x v="2"/>
    <x v="46"/>
    <x v="45"/>
    <x v="88"/>
    <s v="HR COILS-PO IS 1079 HR2 4X1250"/>
    <s v=""/>
    <m/>
    <m/>
    <m/>
    <m/>
    <x v="0"/>
    <x v="0"/>
    <s v="HR99"/>
    <x v="31"/>
    <x v="0"/>
    <x v="0"/>
    <n v="75"/>
    <n v="0"/>
    <n v="75"/>
    <n v="75"/>
    <n v="75"/>
    <n v="75"/>
    <n v="0"/>
    <n v="0"/>
    <n v="0"/>
    <n v="0"/>
    <n v="0"/>
    <n v="0"/>
    <n v="0"/>
    <n v="0"/>
    <n v="0"/>
    <n v="0"/>
    <n v="0"/>
    <n v="0"/>
    <n v="0"/>
    <n v="0"/>
    <n v="0"/>
    <n v="0"/>
    <n v="0"/>
    <n v="0"/>
    <n v="0"/>
    <n v="0"/>
    <n v="0"/>
    <n v="0"/>
    <n v="0"/>
    <m/>
    <n v="0"/>
    <n v="75"/>
    <n v="0"/>
    <n v="75"/>
    <n v="0"/>
    <n v="0"/>
    <n v="0"/>
    <n v="75"/>
    <n v="0"/>
    <n v="0"/>
    <n v="75"/>
    <n v="0"/>
    <n v="0"/>
    <n v="0"/>
    <m/>
    <m/>
    <m/>
    <m/>
    <m/>
    <m/>
    <m/>
    <m/>
    <m/>
    <m/>
    <m/>
    <m/>
    <m/>
    <m/>
    <m/>
    <m/>
    <m/>
    <m/>
    <m/>
    <m/>
    <m/>
    <m/>
    <m/>
    <m/>
    <m/>
    <m/>
    <m/>
    <m/>
    <m/>
    <m/>
    <m/>
    <m/>
    <m/>
    <m/>
  </r>
  <r>
    <n v="742"/>
    <d v="2025-04-09T00:00:00"/>
    <x v="0"/>
    <n v="9518680501"/>
    <n v="5"/>
    <s v="9518680501-5"/>
    <s v="May'25"/>
    <x v="0"/>
    <s v="Yes"/>
    <x v="0"/>
    <x v="0"/>
    <x v="1"/>
    <m/>
    <x v="1"/>
    <m/>
    <m/>
    <s v="Karnataka"/>
    <s v="South"/>
    <m/>
    <x v="2"/>
    <x v="46"/>
    <x v="45"/>
    <x v="409"/>
    <s v="HR COILS-PO IS 1079 HR2 5X1250"/>
    <s v=""/>
    <m/>
    <m/>
    <m/>
    <m/>
    <x v="0"/>
    <x v="0"/>
    <s v="HR99"/>
    <x v="67"/>
    <x v="0"/>
    <x v="0"/>
    <n v="75"/>
    <n v="0"/>
    <n v="75"/>
    <n v="75"/>
    <n v="75"/>
    <n v="75"/>
    <n v="0"/>
    <n v="0"/>
    <n v="0"/>
    <n v="0"/>
    <n v="0"/>
    <n v="0"/>
    <n v="0"/>
    <n v="0"/>
    <n v="0"/>
    <n v="0"/>
    <n v="0"/>
    <n v="0"/>
    <n v="0"/>
    <n v="0"/>
    <n v="0"/>
    <n v="0"/>
    <n v="0"/>
    <n v="0"/>
    <n v="0"/>
    <n v="0"/>
    <n v="0"/>
    <n v="0"/>
    <n v="0"/>
    <m/>
    <n v="0"/>
    <n v="87"/>
    <n v="0"/>
    <n v="87"/>
    <n v="0"/>
    <n v="0"/>
    <n v="0"/>
    <n v="87"/>
    <n v="0"/>
    <n v="0"/>
    <n v="87"/>
    <n v="0"/>
    <n v="0"/>
    <n v="0"/>
    <m/>
    <m/>
    <m/>
    <m/>
    <m/>
    <m/>
    <m/>
    <m/>
    <m/>
    <m/>
    <m/>
    <m/>
    <m/>
    <m/>
    <m/>
    <m/>
    <m/>
    <m/>
    <m/>
    <m/>
    <m/>
    <m/>
    <m/>
    <m/>
    <m/>
    <m/>
    <m/>
    <m/>
    <m/>
    <m/>
    <m/>
    <m/>
    <m/>
    <m/>
  </r>
  <r>
    <n v="742"/>
    <d v="2025-04-09T00:00:00"/>
    <x v="0"/>
    <n v="9518680501"/>
    <n v="6"/>
    <s v="9518680501-6"/>
    <s v="May'25"/>
    <x v="0"/>
    <s v="Yes"/>
    <x v="0"/>
    <x v="0"/>
    <x v="1"/>
    <m/>
    <x v="1"/>
    <m/>
    <m/>
    <s v="Karnataka"/>
    <s v="South"/>
    <m/>
    <x v="2"/>
    <x v="46"/>
    <x v="45"/>
    <x v="47"/>
    <s v="HR COILS-PO IS 1079 HR2 2X1250"/>
    <s v=""/>
    <m/>
    <m/>
    <m/>
    <m/>
    <x v="0"/>
    <x v="0"/>
    <s v="HR99"/>
    <x v="15"/>
    <x v="0"/>
    <x v="0"/>
    <n v="75"/>
    <n v="0"/>
    <n v="75"/>
    <n v="75"/>
    <n v="75"/>
    <n v="75"/>
    <n v="0"/>
    <n v="0"/>
    <n v="0"/>
    <n v="0"/>
    <n v="0"/>
    <n v="0"/>
    <n v="0"/>
    <n v="0"/>
    <n v="0"/>
    <n v="0"/>
    <n v="0"/>
    <n v="0"/>
    <n v="0"/>
    <n v="0"/>
    <n v="0"/>
    <n v="0"/>
    <n v="0"/>
    <n v="0"/>
    <n v="0"/>
    <n v="0"/>
    <n v="0"/>
    <n v="0"/>
    <n v="0"/>
    <m/>
    <n v="0"/>
    <n v="75"/>
    <n v="0"/>
    <n v="0"/>
    <n v="0"/>
    <n v="75"/>
    <n v="0"/>
    <n v="75"/>
    <n v="0"/>
    <n v="0"/>
    <n v="0"/>
    <n v="0"/>
    <n v="75"/>
    <n v="0"/>
    <m/>
    <m/>
    <m/>
    <m/>
    <m/>
    <m/>
    <m/>
    <m/>
    <m/>
    <m/>
    <m/>
    <m/>
    <m/>
    <m/>
    <m/>
    <m/>
    <m/>
    <m/>
    <m/>
    <m/>
    <m/>
    <m/>
    <m/>
    <m/>
    <m/>
    <m/>
    <m/>
    <m/>
    <m/>
    <m/>
    <m/>
    <m/>
    <m/>
    <m/>
  </r>
  <r>
    <n v="742"/>
    <d v="2025-04-10T00:00:00"/>
    <x v="0"/>
    <n v="9518681889"/>
    <n v="2"/>
    <s v="9518681889-2"/>
    <s v="Stocks"/>
    <x v="0"/>
    <m/>
    <x v="1"/>
    <x v="1"/>
    <x v="1"/>
    <m/>
    <x v="1"/>
    <m/>
    <m/>
    <s v="Karnataka"/>
    <s v="South"/>
    <m/>
    <x v="2"/>
    <x v="34"/>
    <x v="34"/>
    <x v="410"/>
    <s v="CRCA SHEET TATXXD AU03 0.400X1250X2500"/>
    <s v=""/>
    <m/>
    <m/>
    <m/>
    <m/>
    <x v="2"/>
    <x v="2"/>
    <s v="AU03"/>
    <x v="2"/>
    <x v="0"/>
    <x v="3"/>
    <n v="51"/>
    <n v="0"/>
    <n v="51"/>
    <n v="51"/>
    <n v="50.81"/>
    <n v="11.335000000000001"/>
    <n v="0"/>
    <n v="0"/>
    <n v="0"/>
    <n v="0"/>
    <n v="0"/>
    <n v="0"/>
    <n v="0"/>
    <n v="0"/>
    <n v="0.19"/>
    <n v="0"/>
    <n v="0"/>
    <n v="0"/>
    <n v="0"/>
    <n v="0"/>
    <n v="0"/>
    <n v="0"/>
    <n v="0"/>
    <n v="0"/>
    <n v="0"/>
    <n v="0.19"/>
    <n v="0.19"/>
    <n v="0"/>
    <n v="0.19"/>
    <m/>
    <n v="2.0550000000000002"/>
    <n v="0"/>
    <n v="0"/>
    <n v="0"/>
    <n v="0"/>
    <n v="0"/>
    <n v="0"/>
    <n v="2.0550000000000002"/>
    <n v="2.0550000000000002"/>
    <n v="0"/>
    <n v="0"/>
    <n v="0"/>
    <n v="0"/>
    <n v="0"/>
    <m/>
    <m/>
    <m/>
    <m/>
    <m/>
    <m/>
    <m/>
    <m/>
    <m/>
    <m/>
    <m/>
    <m/>
    <m/>
    <m/>
    <m/>
    <m/>
    <m/>
    <m/>
    <m/>
    <m/>
    <m/>
    <m/>
    <m/>
    <m/>
    <m/>
    <m/>
    <m/>
    <m/>
    <m/>
    <m/>
    <m/>
    <m/>
    <m/>
    <m/>
  </r>
  <r>
    <n v="742"/>
    <d v="2025-04-10T00:00:00"/>
    <x v="0"/>
    <n v="9518682481"/>
    <n v="7"/>
    <s v="9518682481-7"/>
    <s v="No Priority"/>
    <x v="0"/>
    <m/>
    <x v="1"/>
    <x v="1"/>
    <x v="1"/>
    <m/>
    <x v="0"/>
    <m/>
    <m/>
    <s v="Karnataka"/>
    <s v="South"/>
    <m/>
    <x v="2"/>
    <x v="34"/>
    <x v="34"/>
    <x v="287"/>
    <s v="CRSHEET C06TATXXD AU03 2.0X1250X2500"/>
    <s v=""/>
    <m/>
    <m/>
    <m/>
    <m/>
    <x v="2"/>
    <x v="2"/>
    <s v="AU03"/>
    <x v="15"/>
    <x v="0"/>
    <x v="3"/>
    <n v="102"/>
    <n v="0"/>
    <n v="102"/>
    <n v="102"/>
    <n v="102"/>
    <n v="102"/>
    <n v="0"/>
    <n v="0"/>
    <n v="0"/>
    <n v="0"/>
    <n v="0"/>
    <n v="0"/>
    <n v="0"/>
    <n v="0"/>
    <n v="0"/>
    <n v="0"/>
    <n v="0"/>
    <n v="0"/>
    <n v="0"/>
    <n v="0"/>
    <n v="0"/>
    <n v="0"/>
    <n v="0"/>
    <n v="0"/>
    <n v="0"/>
    <n v="0"/>
    <n v="0"/>
    <n v="0"/>
    <n v="0"/>
    <m/>
    <n v="0"/>
    <n v="0"/>
    <n v="0"/>
    <n v="0"/>
    <n v="0"/>
    <n v="0"/>
    <n v="0"/>
    <n v="0"/>
    <n v="0"/>
    <n v="0"/>
    <n v="0"/>
    <n v="0"/>
    <n v="0"/>
    <n v="0"/>
    <m/>
    <m/>
    <m/>
    <m/>
    <m/>
    <m/>
    <m/>
    <m/>
    <m/>
    <m/>
    <m/>
    <m/>
    <m/>
    <m/>
    <m/>
    <m/>
    <m/>
    <m/>
    <m/>
    <m/>
    <m/>
    <m/>
    <m/>
    <m/>
    <m/>
    <m/>
    <m/>
    <m/>
    <m/>
    <m/>
    <m/>
    <m/>
    <m/>
    <m/>
  </r>
  <r>
    <n v="742"/>
    <d v="2025-03-08T00:00:00"/>
    <x v="0"/>
    <n v="9518584477"/>
    <n v="1"/>
    <s v="9518584477-1"/>
    <s v="No Priority"/>
    <x v="1"/>
    <m/>
    <x v="1"/>
    <x v="1"/>
    <x v="1"/>
    <m/>
    <x v="0"/>
    <m/>
    <m/>
    <s v="Telangana"/>
    <s v="South"/>
    <m/>
    <x v="2"/>
    <x v="82"/>
    <x v="79"/>
    <x v="254"/>
    <s v="CRCA COIL-TATXXD-AU03-0.5X1250"/>
    <s v=""/>
    <m/>
    <m/>
    <m/>
    <m/>
    <x v="1"/>
    <x v="2"/>
    <s v="AU03"/>
    <x v="1"/>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7T00:00:00"/>
    <x v="0"/>
    <n v="9518698491"/>
    <n v="1"/>
    <s v="9518698491-1"/>
    <s v="May'25"/>
    <x v="0"/>
    <m/>
    <x v="1"/>
    <x v="7"/>
    <x v="3"/>
    <m/>
    <x v="1"/>
    <m/>
    <m/>
    <s v="Gujarat"/>
    <s v="West"/>
    <m/>
    <x v="2"/>
    <x v="48"/>
    <x v="47"/>
    <x v="93"/>
    <s v="CRCA COIL TSBSTA EL06 0.500X1160"/>
    <s v=""/>
    <m/>
    <m/>
    <m/>
    <m/>
    <x v="1"/>
    <x v="9"/>
    <s v="EL06"/>
    <x v="1"/>
    <x v="13"/>
    <x v="0"/>
    <n v="54"/>
    <n v="0"/>
    <n v="54"/>
    <n v="54"/>
    <n v="54"/>
    <n v="54"/>
    <n v="0"/>
    <n v="0"/>
    <n v="0"/>
    <n v="0"/>
    <n v="0"/>
    <n v="0"/>
    <n v="0"/>
    <n v="0"/>
    <n v="0"/>
    <n v="0"/>
    <n v="0"/>
    <n v="0"/>
    <n v="0"/>
    <n v="0"/>
    <n v="0"/>
    <n v="0"/>
    <n v="0"/>
    <n v="0"/>
    <n v="0"/>
    <n v="0"/>
    <n v="0"/>
    <n v="0"/>
    <n v="0"/>
    <m/>
    <n v="0"/>
    <n v="54"/>
    <n v="0"/>
    <n v="0"/>
    <n v="0"/>
    <n v="54"/>
    <n v="0"/>
    <n v="54"/>
    <n v="0"/>
    <n v="0"/>
    <n v="0"/>
    <n v="0"/>
    <n v="54"/>
    <n v="0"/>
    <m/>
    <m/>
    <m/>
    <m/>
    <m/>
    <m/>
    <m/>
    <m/>
    <m/>
    <m/>
    <m/>
    <m/>
    <m/>
    <m/>
    <m/>
    <m/>
    <m/>
    <m/>
    <m/>
    <m/>
    <m/>
    <m/>
    <m/>
    <m/>
    <m/>
    <m/>
    <m/>
    <m/>
    <m/>
    <m/>
    <m/>
    <m/>
    <m/>
    <m/>
  </r>
  <r>
    <n v="742"/>
    <d v="2025-04-17T00:00:00"/>
    <x v="0"/>
    <n v="9518699641"/>
    <n v="2"/>
    <s v="9518699641-2"/>
    <s v="No Priority"/>
    <x v="1"/>
    <m/>
    <x v="1"/>
    <x v="1"/>
    <x v="1"/>
    <m/>
    <x v="0"/>
    <m/>
    <m/>
    <s v="Tamil Nadu"/>
    <s v="South"/>
    <m/>
    <x v="2"/>
    <x v="58"/>
    <x v="111"/>
    <x v="125"/>
    <s v="CRCA COIL TATXXD AU03 1.800X1250"/>
    <s v=""/>
    <m/>
    <m/>
    <m/>
    <m/>
    <x v="1"/>
    <x v="2"/>
    <s v="AU03"/>
    <x v="41"/>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6887"/>
    <n v="1"/>
    <s v="9518666887-1"/>
    <s v="May'25"/>
    <x v="0"/>
    <s v="Yes"/>
    <x v="1"/>
    <x v="2"/>
    <x v="1"/>
    <m/>
    <x v="1"/>
    <m/>
    <m/>
    <s v="Uttar Pradesh"/>
    <s v="North"/>
    <m/>
    <x v="2"/>
    <x v="2"/>
    <x v="2"/>
    <x v="154"/>
    <s v="CRCA SHEET TATCRC SR16 0.350X1250X2500"/>
    <s v=""/>
    <m/>
    <m/>
    <m/>
    <m/>
    <x v="2"/>
    <x v="1"/>
    <s v="SR16"/>
    <x v="6"/>
    <x v="0"/>
    <x v="0"/>
    <n v="27"/>
    <n v="0"/>
    <n v="27"/>
    <n v="27"/>
    <n v="27"/>
    <n v="27"/>
    <n v="0"/>
    <n v="0"/>
    <n v="0"/>
    <n v="0"/>
    <n v="0"/>
    <n v="0"/>
    <n v="0"/>
    <n v="0"/>
    <n v="0"/>
    <n v="0"/>
    <n v="0"/>
    <n v="0"/>
    <n v="0"/>
    <n v="0"/>
    <n v="0"/>
    <n v="0"/>
    <n v="0"/>
    <n v="0"/>
    <n v="0"/>
    <n v="0"/>
    <n v="0"/>
    <n v="0"/>
    <n v="0"/>
    <m/>
    <n v="0"/>
    <n v="27"/>
    <n v="0"/>
    <n v="0"/>
    <n v="0"/>
    <n v="27"/>
    <n v="0"/>
    <n v="27"/>
    <n v="0"/>
    <n v="0"/>
    <n v="0"/>
    <n v="0"/>
    <n v="27"/>
    <n v="0"/>
    <m/>
    <m/>
    <m/>
    <m/>
    <m/>
    <m/>
    <m/>
    <m/>
    <m/>
    <m/>
    <m/>
    <m/>
    <m/>
    <m/>
    <m/>
    <m/>
    <m/>
    <m/>
    <m/>
    <m/>
    <m/>
    <m/>
    <m/>
    <m/>
    <m/>
    <m/>
    <m/>
    <m/>
    <m/>
    <m/>
    <m/>
    <m/>
    <m/>
    <m/>
  </r>
  <r>
    <n v="742"/>
    <d v="2025-04-03T00:00:00"/>
    <x v="0"/>
    <n v="9518666887"/>
    <n v="4"/>
    <s v="9518666887-4"/>
    <s v="No Priority"/>
    <x v="1"/>
    <s v="Yes"/>
    <x v="1"/>
    <x v="2"/>
    <x v="1"/>
    <m/>
    <x v="0"/>
    <m/>
    <m/>
    <s v="Uttar Pradesh"/>
    <s v="North"/>
    <m/>
    <x v="2"/>
    <x v="2"/>
    <x v="2"/>
    <x v="3"/>
    <s v="CRCA SHEET TATCRC SR16 0.400X1250X2030"/>
    <s v=""/>
    <m/>
    <m/>
    <m/>
    <m/>
    <x v="2"/>
    <x v="1"/>
    <s v="SR16"/>
    <x v="2"/>
    <x v="0"/>
    <x v="1"/>
    <n v="108"/>
    <n v="0"/>
    <n v="108"/>
    <n v="108"/>
    <n v="108"/>
    <n v="108"/>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6887"/>
    <n v="6"/>
    <s v="9518666887-6"/>
    <s v="May'25"/>
    <x v="0"/>
    <s v="Yes"/>
    <x v="1"/>
    <x v="2"/>
    <x v="1"/>
    <m/>
    <x v="1"/>
    <m/>
    <m/>
    <s v="Uttar Pradesh"/>
    <s v="North"/>
    <m/>
    <x v="2"/>
    <x v="2"/>
    <x v="2"/>
    <x v="30"/>
    <s v="CRCA SHEET TSBCRC SR15 0.500X1250X2030"/>
    <s v=""/>
    <m/>
    <m/>
    <m/>
    <m/>
    <x v="2"/>
    <x v="4"/>
    <s v="SR15"/>
    <x v="1"/>
    <x v="0"/>
    <x v="1"/>
    <n v="81"/>
    <n v="0"/>
    <n v="81"/>
    <n v="81"/>
    <n v="81"/>
    <n v="81"/>
    <n v="0"/>
    <n v="0"/>
    <n v="0"/>
    <n v="0"/>
    <n v="0"/>
    <n v="0"/>
    <n v="0"/>
    <n v="0"/>
    <n v="0"/>
    <n v="0"/>
    <n v="0"/>
    <n v="0"/>
    <n v="0"/>
    <n v="0"/>
    <n v="0"/>
    <n v="0"/>
    <n v="0"/>
    <n v="0"/>
    <n v="0"/>
    <n v="0"/>
    <n v="0"/>
    <n v="0"/>
    <n v="0"/>
    <m/>
    <n v="0"/>
    <n v="81"/>
    <n v="0"/>
    <n v="81"/>
    <n v="0"/>
    <n v="0"/>
    <n v="0"/>
    <n v="81"/>
    <n v="0"/>
    <n v="0"/>
    <n v="81"/>
    <n v="0"/>
    <n v="0"/>
    <n v="0"/>
    <m/>
    <m/>
    <m/>
    <m/>
    <m/>
    <m/>
    <m/>
    <m/>
    <m/>
    <m/>
    <m/>
    <m/>
    <m/>
    <m/>
    <m/>
    <m/>
    <m/>
    <m/>
    <m/>
    <m/>
    <m/>
    <m/>
    <m/>
    <m/>
    <m/>
    <m/>
    <m/>
    <m/>
    <m/>
    <m/>
    <m/>
    <m/>
    <m/>
    <m/>
  </r>
  <r>
    <n v="742"/>
    <d v="2025-04-03T00:00:00"/>
    <x v="0"/>
    <n v="9518666887"/>
    <n v="7"/>
    <s v="9518666887-7"/>
    <s v="May'25"/>
    <x v="0"/>
    <s v="Yes"/>
    <x v="1"/>
    <x v="2"/>
    <x v="1"/>
    <m/>
    <x v="1"/>
    <m/>
    <m/>
    <s v="Uttar Pradesh"/>
    <s v="North"/>
    <m/>
    <x v="2"/>
    <x v="2"/>
    <x v="2"/>
    <x v="210"/>
    <s v="CRCA SHEET TSBCRC SR15 0.600X1250X2030"/>
    <s v=""/>
    <m/>
    <m/>
    <m/>
    <m/>
    <x v="2"/>
    <x v="4"/>
    <s v="SR15"/>
    <x v="20"/>
    <x v="0"/>
    <x v="1"/>
    <n v="27"/>
    <n v="0"/>
    <n v="27"/>
    <n v="27"/>
    <n v="27"/>
    <n v="27"/>
    <n v="0"/>
    <n v="0"/>
    <n v="0"/>
    <n v="0"/>
    <n v="0"/>
    <n v="0"/>
    <n v="0"/>
    <n v="0"/>
    <n v="0"/>
    <n v="0"/>
    <n v="0"/>
    <n v="0"/>
    <n v="0"/>
    <n v="0"/>
    <n v="0"/>
    <n v="0"/>
    <n v="0"/>
    <n v="0"/>
    <n v="0"/>
    <n v="0"/>
    <n v="0"/>
    <n v="0"/>
    <n v="0"/>
    <m/>
    <n v="0"/>
    <n v="27"/>
    <n v="0"/>
    <n v="27"/>
    <n v="0"/>
    <n v="0"/>
    <n v="0"/>
    <n v="27"/>
    <n v="0"/>
    <n v="0"/>
    <n v="27"/>
    <n v="0"/>
    <n v="0"/>
    <n v="0"/>
    <m/>
    <m/>
    <m/>
    <m/>
    <m/>
    <m/>
    <m/>
    <m/>
    <m/>
    <m/>
    <m/>
    <m/>
    <m/>
    <m/>
    <m/>
    <m/>
    <m/>
    <m/>
    <m/>
    <m/>
    <m/>
    <m/>
    <m/>
    <m/>
    <m/>
    <m/>
    <m/>
    <m/>
    <m/>
    <m/>
    <m/>
    <m/>
    <m/>
    <m/>
  </r>
  <r>
    <n v="742"/>
    <d v="2025-04-03T00:00:00"/>
    <x v="0"/>
    <n v="9518666887"/>
    <n v="8"/>
    <s v="9518666887-8"/>
    <s v="May'25"/>
    <x v="0"/>
    <s v="Yes"/>
    <x v="1"/>
    <x v="2"/>
    <x v="1"/>
    <m/>
    <x v="1"/>
    <m/>
    <m/>
    <s v="Uttar Pradesh"/>
    <s v="North"/>
    <m/>
    <x v="2"/>
    <x v="2"/>
    <x v="2"/>
    <x v="57"/>
    <s v="CRCA SHEET TSBCRC SR15 0.600X1000X1930"/>
    <s v=""/>
    <m/>
    <m/>
    <m/>
    <m/>
    <x v="2"/>
    <x v="4"/>
    <s v="SR15"/>
    <x v="20"/>
    <x v="2"/>
    <x v="2"/>
    <n v="27"/>
    <n v="0"/>
    <n v="27"/>
    <n v="27"/>
    <n v="4.5799999999999983"/>
    <n v="27"/>
    <n v="0"/>
    <n v="0"/>
    <n v="0"/>
    <n v="0"/>
    <n v="0"/>
    <n v="0"/>
    <n v="0"/>
    <n v="0"/>
    <n v="0"/>
    <n v="0"/>
    <n v="0"/>
    <n v="0"/>
    <n v="0"/>
    <n v="22.42"/>
    <n v="0"/>
    <n v="0"/>
    <n v="0"/>
    <n v="0"/>
    <n v="0"/>
    <n v="22.42"/>
    <n v="22.42"/>
    <n v="0"/>
    <n v="22.42"/>
    <m/>
    <n v="0"/>
    <n v="27"/>
    <n v="0"/>
    <n v="27"/>
    <n v="0"/>
    <n v="0"/>
    <n v="0"/>
    <n v="27"/>
    <n v="0"/>
    <n v="0"/>
    <n v="27"/>
    <n v="0"/>
    <n v="0"/>
    <n v="0"/>
    <m/>
    <m/>
    <m/>
    <m/>
    <m/>
    <m/>
    <m/>
    <m/>
    <m/>
    <m/>
    <m/>
    <m/>
    <m/>
    <m/>
    <m/>
    <m/>
    <m/>
    <m/>
    <m/>
    <m/>
    <m/>
    <m/>
    <m/>
    <m/>
    <m/>
    <m/>
    <m/>
    <m/>
    <m/>
    <m/>
    <m/>
    <m/>
    <m/>
    <m/>
  </r>
  <r>
    <n v="742"/>
    <d v="2025-04-03T00:00:00"/>
    <x v="0"/>
    <n v="9518666887"/>
    <n v="9"/>
    <s v="9518666887-9"/>
    <s v="May'25"/>
    <x v="0"/>
    <s v="Yes"/>
    <x v="1"/>
    <x v="2"/>
    <x v="1"/>
    <m/>
    <x v="1"/>
    <m/>
    <m/>
    <s v="Uttar Pradesh"/>
    <s v="North"/>
    <m/>
    <x v="2"/>
    <x v="2"/>
    <x v="2"/>
    <x v="210"/>
    <s v="CRCA SHEET TSBCRC SR15 0.600X1250X2030"/>
    <s v=""/>
    <m/>
    <m/>
    <m/>
    <m/>
    <x v="2"/>
    <x v="4"/>
    <s v="SR15"/>
    <x v="20"/>
    <x v="0"/>
    <x v="1"/>
    <n v="27"/>
    <n v="0"/>
    <n v="27"/>
    <n v="27"/>
    <n v="27"/>
    <n v="27"/>
    <n v="0"/>
    <n v="0"/>
    <n v="0"/>
    <n v="0"/>
    <n v="0"/>
    <n v="0"/>
    <n v="0"/>
    <n v="0"/>
    <n v="0"/>
    <n v="0"/>
    <n v="0"/>
    <n v="0"/>
    <n v="0"/>
    <n v="0"/>
    <n v="0"/>
    <n v="0"/>
    <n v="0"/>
    <n v="0"/>
    <n v="0"/>
    <n v="0"/>
    <n v="0"/>
    <n v="0"/>
    <n v="0"/>
    <m/>
    <n v="0"/>
    <n v="27"/>
    <n v="0"/>
    <n v="0"/>
    <n v="27"/>
    <n v="0"/>
    <n v="0"/>
    <n v="27"/>
    <n v="0"/>
    <n v="0"/>
    <n v="27"/>
    <n v="0"/>
    <n v="0"/>
    <n v="0"/>
    <m/>
    <m/>
    <m/>
    <m/>
    <m/>
    <m/>
    <m/>
    <m/>
    <m/>
    <m/>
    <m/>
    <m/>
    <m/>
    <m/>
    <m/>
    <m/>
    <m/>
    <m/>
    <m/>
    <m/>
    <m/>
    <m/>
    <m/>
    <m/>
    <m/>
    <m/>
    <m/>
    <m/>
    <m/>
    <m/>
    <m/>
    <m/>
    <m/>
    <m/>
  </r>
  <r>
    <n v="742"/>
    <d v="2025-04-04T00:00:00"/>
    <x v="0"/>
    <n v="9518670066"/>
    <n v="1"/>
    <s v="9518670066-1"/>
    <s v="May'25"/>
    <x v="0"/>
    <s v="Yes"/>
    <x v="1"/>
    <x v="2"/>
    <x v="1"/>
    <m/>
    <x v="1"/>
    <m/>
    <m/>
    <s v="Uttar Pradesh"/>
    <s v="North"/>
    <m/>
    <x v="2"/>
    <x v="2"/>
    <x v="2"/>
    <x v="149"/>
    <s v="CRCA SHEET TATCRC SR16 0.350X900X2500"/>
    <s v=""/>
    <m/>
    <m/>
    <m/>
    <m/>
    <x v="2"/>
    <x v="1"/>
    <s v="SR16"/>
    <x v="6"/>
    <x v="3"/>
    <x v="3"/>
    <n v="27"/>
    <n v="0"/>
    <n v="27"/>
    <n v="27"/>
    <n v="5.8999999999999986"/>
    <n v="27"/>
    <n v="0"/>
    <n v="0"/>
    <n v="0"/>
    <n v="0"/>
    <n v="0"/>
    <n v="0"/>
    <n v="0"/>
    <n v="0"/>
    <n v="0"/>
    <n v="0"/>
    <n v="0"/>
    <n v="0"/>
    <n v="0"/>
    <n v="0"/>
    <n v="21.1"/>
    <n v="0"/>
    <n v="0"/>
    <n v="0"/>
    <n v="0"/>
    <n v="21.1"/>
    <n v="21.1"/>
    <n v="0"/>
    <n v="21.1"/>
    <m/>
    <n v="0"/>
    <n v="27"/>
    <n v="27"/>
    <n v="0"/>
    <n v="0"/>
    <n v="0"/>
    <n v="0"/>
    <n v="27"/>
    <n v="0"/>
    <n v="27"/>
    <n v="0"/>
    <n v="0"/>
    <n v="0"/>
    <n v="0"/>
    <m/>
    <m/>
    <m/>
    <m/>
    <m/>
    <m/>
    <m/>
    <m/>
    <m/>
    <m/>
    <m/>
    <m/>
    <m/>
    <m/>
    <m/>
    <m/>
    <m/>
    <m/>
    <m/>
    <m/>
    <m/>
    <m/>
    <m/>
    <m/>
    <m/>
    <m/>
    <m/>
    <m/>
    <m/>
    <m/>
    <m/>
    <m/>
    <m/>
    <m/>
  </r>
  <r>
    <n v="742"/>
    <d v="2025-04-04T00:00:00"/>
    <x v="0"/>
    <n v="9518670066"/>
    <n v="2"/>
    <s v="9518670066-2"/>
    <s v="May'25"/>
    <x v="0"/>
    <s v="Yes"/>
    <x v="1"/>
    <x v="2"/>
    <x v="1"/>
    <m/>
    <x v="1"/>
    <m/>
    <m/>
    <s v="Uttar Pradesh"/>
    <s v="North"/>
    <m/>
    <x v="2"/>
    <x v="2"/>
    <x v="2"/>
    <x v="144"/>
    <s v="CRCA SHEET TATCRC SR16 0.400X900X2500"/>
    <s v=""/>
    <m/>
    <m/>
    <m/>
    <m/>
    <x v="2"/>
    <x v="1"/>
    <s v="SR16"/>
    <x v="2"/>
    <x v="3"/>
    <x v="3"/>
    <n v="27"/>
    <n v="0"/>
    <n v="27"/>
    <n v="27"/>
    <n v="-15.519999999999996"/>
    <n v="27"/>
    <n v="0"/>
    <n v="0"/>
    <n v="0"/>
    <n v="0"/>
    <n v="0"/>
    <n v="0"/>
    <n v="0"/>
    <n v="0"/>
    <n v="0"/>
    <n v="0"/>
    <n v="0"/>
    <n v="0"/>
    <n v="21.23"/>
    <n v="21.29"/>
    <n v="0"/>
    <n v="0"/>
    <n v="0"/>
    <n v="0"/>
    <n v="0"/>
    <n v="42.519999999999996"/>
    <n v="42.519999999999996"/>
    <n v="0"/>
    <n v="42.519999999999996"/>
    <m/>
    <n v="0"/>
    <n v="27"/>
    <n v="0"/>
    <n v="27"/>
    <n v="0"/>
    <n v="0"/>
    <n v="0"/>
    <n v="27"/>
    <n v="0"/>
    <n v="0"/>
    <n v="27"/>
    <n v="0"/>
    <n v="0"/>
    <n v="0"/>
    <m/>
    <m/>
    <m/>
    <m/>
    <m/>
    <m/>
    <m/>
    <m/>
    <m/>
    <m/>
    <m/>
    <m/>
    <m/>
    <m/>
    <m/>
    <m/>
    <m/>
    <m/>
    <m/>
    <m/>
    <m/>
    <m/>
    <m/>
    <m/>
    <m/>
    <m/>
    <m/>
    <m/>
    <m/>
    <m/>
    <m/>
    <m/>
    <m/>
    <m/>
  </r>
  <r>
    <n v="742"/>
    <d v="2025-04-04T00:00:00"/>
    <x v="0"/>
    <n v="9518670066"/>
    <n v="4"/>
    <s v="9518670066-4"/>
    <s v="No Priority"/>
    <x v="1"/>
    <s v="Yes"/>
    <x v="1"/>
    <x v="2"/>
    <x v="1"/>
    <m/>
    <x v="0"/>
    <m/>
    <m/>
    <s v="Uttar Pradesh"/>
    <s v="North"/>
    <m/>
    <x v="2"/>
    <x v="2"/>
    <x v="2"/>
    <x v="3"/>
    <s v="CRCA SHEET TATCRC SR16 0.400X1250X2030"/>
    <s v=""/>
    <m/>
    <m/>
    <m/>
    <m/>
    <x v="2"/>
    <x v="1"/>
    <s v="SR16"/>
    <x v="2"/>
    <x v="0"/>
    <x v="1"/>
    <n v="108"/>
    <n v="0"/>
    <n v="108"/>
    <n v="108"/>
    <n v="108"/>
    <n v="108"/>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066"/>
    <n v="6"/>
    <s v="9518670066-6"/>
    <s v="May'25"/>
    <x v="0"/>
    <s v="Yes"/>
    <x v="1"/>
    <x v="2"/>
    <x v="1"/>
    <m/>
    <x v="1"/>
    <m/>
    <m/>
    <s v="Uttar Pradesh"/>
    <s v="North"/>
    <m/>
    <x v="2"/>
    <x v="2"/>
    <x v="2"/>
    <x v="30"/>
    <s v="CRCA SHEET TSBCRC SR15 0.500X1250X2030"/>
    <s v=""/>
    <m/>
    <m/>
    <m/>
    <m/>
    <x v="2"/>
    <x v="4"/>
    <s v="SR15"/>
    <x v="1"/>
    <x v="0"/>
    <x v="1"/>
    <n v="108"/>
    <n v="0"/>
    <n v="108"/>
    <n v="108"/>
    <n v="108"/>
    <n v="108"/>
    <n v="0"/>
    <n v="0"/>
    <n v="0"/>
    <n v="0"/>
    <n v="0"/>
    <n v="0"/>
    <n v="0"/>
    <n v="0"/>
    <n v="0"/>
    <n v="0"/>
    <n v="0"/>
    <n v="0"/>
    <n v="0"/>
    <n v="0"/>
    <n v="0"/>
    <n v="0"/>
    <n v="0"/>
    <n v="0"/>
    <n v="0"/>
    <n v="0"/>
    <n v="0"/>
    <n v="0"/>
    <n v="0"/>
    <m/>
    <n v="0"/>
    <n v="108"/>
    <n v="0"/>
    <n v="0"/>
    <n v="108"/>
    <n v="0"/>
    <n v="0"/>
    <n v="108"/>
    <n v="0"/>
    <n v="0"/>
    <n v="108"/>
    <n v="0"/>
    <n v="0"/>
    <n v="0"/>
    <m/>
    <m/>
    <m/>
    <m/>
    <m/>
    <m/>
    <m/>
    <m/>
    <m/>
    <m/>
    <m/>
    <m/>
    <m/>
    <m/>
    <m/>
    <m/>
    <m/>
    <m/>
    <m/>
    <m/>
    <m/>
    <m/>
    <m/>
    <m/>
    <m/>
    <m/>
    <m/>
    <m/>
    <m/>
    <m/>
    <m/>
    <m/>
    <m/>
    <m/>
  </r>
  <r>
    <n v="742"/>
    <d v="2025-04-04T00:00:00"/>
    <x v="0"/>
    <n v="9518670066"/>
    <n v="7"/>
    <s v="9518670066-7"/>
    <s v="May'25"/>
    <x v="0"/>
    <s v="Yes"/>
    <x v="1"/>
    <x v="2"/>
    <x v="1"/>
    <m/>
    <x v="1"/>
    <m/>
    <m/>
    <s v="Uttar Pradesh"/>
    <s v="North"/>
    <m/>
    <x v="2"/>
    <x v="2"/>
    <x v="2"/>
    <x v="101"/>
    <s v="CRCA SHEET TSBCRC SR15 0.500X1250X2020"/>
    <s v=""/>
    <m/>
    <m/>
    <m/>
    <m/>
    <x v="2"/>
    <x v="4"/>
    <s v="SR15"/>
    <x v="1"/>
    <x v="0"/>
    <x v="9"/>
    <n v="54"/>
    <n v="0"/>
    <n v="54"/>
    <n v="54"/>
    <n v="54"/>
    <n v="54"/>
    <n v="0"/>
    <n v="0"/>
    <n v="0"/>
    <n v="0"/>
    <n v="0"/>
    <n v="0"/>
    <n v="0"/>
    <n v="0"/>
    <n v="0"/>
    <n v="0"/>
    <n v="0"/>
    <n v="0"/>
    <n v="0"/>
    <n v="0"/>
    <n v="0"/>
    <n v="0"/>
    <n v="0"/>
    <n v="0"/>
    <n v="0"/>
    <n v="0"/>
    <n v="0"/>
    <n v="0"/>
    <n v="0"/>
    <m/>
    <n v="0"/>
    <n v="54"/>
    <n v="0"/>
    <n v="0"/>
    <n v="54"/>
    <n v="0"/>
    <n v="0"/>
    <n v="54"/>
    <n v="0"/>
    <n v="0"/>
    <n v="0"/>
    <n v="54"/>
    <n v="0"/>
    <n v="0"/>
    <m/>
    <m/>
    <m/>
    <m/>
    <m/>
    <m/>
    <m/>
    <m/>
    <m/>
    <m/>
    <m/>
    <m/>
    <m/>
    <m/>
    <m/>
    <m/>
    <m/>
    <m/>
    <m/>
    <m/>
    <m/>
    <m/>
    <m/>
    <m/>
    <m/>
    <m/>
    <m/>
    <m/>
    <m/>
    <m/>
    <m/>
    <m/>
    <m/>
    <m/>
  </r>
  <r>
    <n v="742"/>
    <d v="2025-04-04T00:00:00"/>
    <x v="0"/>
    <n v="9518670066"/>
    <n v="8"/>
    <s v="9518670066-8"/>
    <s v="May'25"/>
    <x v="0"/>
    <s v="Yes"/>
    <x v="1"/>
    <x v="2"/>
    <x v="1"/>
    <m/>
    <x v="1"/>
    <m/>
    <m/>
    <s v="Uttar Pradesh"/>
    <s v="North"/>
    <m/>
    <x v="2"/>
    <x v="2"/>
    <x v="2"/>
    <x v="103"/>
    <s v="CRCA SHEET TSBCRC SR15 0.600X1250X2020"/>
    <s v=""/>
    <m/>
    <m/>
    <m/>
    <m/>
    <x v="2"/>
    <x v="4"/>
    <s v="SR15"/>
    <x v="20"/>
    <x v="0"/>
    <x v="9"/>
    <n v="54"/>
    <n v="0"/>
    <n v="54"/>
    <n v="54"/>
    <n v="54"/>
    <n v="54"/>
    <n v="0"/>
    <n v="0"/>
    <n v="0"/>
    <n v="0"/>
    <n v="0"/>
    <n v="0"/>
    <n v="0"/>
    <n v="0"/>
    <n v="0"/>
    <n v="0"/>
    <n v="0"/>
    <n v="0"/>
    <n v="0"/>
    <n v="0"/>
    <n v="0"/>
    <n v="0"/>
    <n v="0"/>
    <n v="0"/>
    <n v="0"/>
    <n v="0"/>
    <n v="0"/>
    <n v="0"/>
    <n v="0"/>
    <m/>
    <n v="0"/>
    <n v="54"/>
    <n v="0"/>
    <n v="0"/>
    <n v="54"/>
    <n v="0"/>
    <n v="0"/>
    <n v="54"/>
    <n v="0"/>
    <n v="0"/>
    <n v="0"/>
    <n v="54"/>
    <n v="0"/>
    <n v="0"/>
    <m/>
    <m/>
    <m/>
    <m/>
    <m/>
    <m/>
    <m/>
    <m/>
    <m/>
    <m/>
    <m/>
    <m/>
    <m/>
    <m/>
    <m/>
    <m/>
    <m/>
    <m/>
    <m/>
    <m/>
    <m/>
    <m/>
    <m/>
    <m/>
    <m/>
    <m/>
    <m/>
    <m/>
    <m/>
    <m/>
    <m/>
    <m/>
    <m/>
    <m/>
  </r>
  <r>
    <n v="742"/>
    <d v="2025-04-04T00:00:00"/>
    <x v="0"/>
    <n v="9518670066"/>
    <n v="9"/>
    <s v="9518670066-9"/>
    <s v="May'25"/>
    <x v="0"/>
    <s v="Yes"/>
    <x v="1"/>
    <x v="2"/>
    <x v="1"/>
    <m/>
    <x v="1"/>
    <m/>
    <m/>
    <s v="Uttar Pradesh"/>
    <s v="North"/>
    <m/>
    <x v="2"/>
    <x v="2"/>
    <x v="2"/>
    <x v="210"/>
    <s v="CRCA SHEET TSBCRC SR15 0.600X1250X2030"/>
    <s v=""/>
    <m/>
    <m/>
    <m/>
    <m/>
    <x v="2"/>
    <x v="4"/>
    <s v="SR15"/>
    <x v="20"/>
    <x v="0"/>
    <x v="1"/>
    <n v="54"/>
    <n v="0"/>
    <n v="54"/>
    <n v="54"/>
    <n v="54"/>
    <n v="54"/>
    <n v="0"/>
    <n v="0"/>
    <n v="0"/>
    <n v="0"/>
    <n v="0"/>
    <n v="0"/>
    <n v="0"/>
    <n v="0"/>
    <n v="0"/>
    <n v="0"/>
    <n v="0"/>
    <n v="0"/>
    <n v="0"/>
    <n v="0"/>
    <n v="0"/>
    <n v="0"/>
    <n v="0"/>
    <n v="0"/>
    <n v="0"/>
    <n v="0"/>
    <n v="0"/>
    <n v="0"/>
    <n v="0"/>
    <m/>
    <n v="0"/>
    <n v="54"/>
    <n v="0"/>
    <n v="0"/>
    <n v="54"/>
    <n v="0"/>
    <n v="0"/>
    <n v="54"/>
    <n v="0"/>
    <n v="0"/>
    <n v="0"/>
    <n v="54"/>
    <n v="0"/>
    <n v="0"/>
    <m/>
    <m/>
    <m/>
    <m/>
    <m/>
    <m/>
    <m/>
    <m/>
    <m/>
    <m/>
    <m/>
    <m/>
    <m/>
    <m/>
    <m/>
    <m/>
    <m/>
    <m/>
    <m/>
    <m/>
    <m/>
    <m/>
    <m/>
    <m/>
    <m/>
    <m/>
    <m/>
    <m/>
    <m/>
    <m/>
    <m/>
    <m/>
    <m/>
    <m/>
  </r>
  <r>
    <n v="742"/>
    <d v="2025-04-04T00:00:00"/>
    <x v="0"/>
    <n v="9518670066"/>
    <n v="12"/>
    <s v="9518670066-12"/>
    <s v="May'25"/>
    <x v="0"/>
    <s v="Yes"/>
    <x v="1"/>
    <x v="2"/>
    <x v="1"/>
    <m/>
    <x v="1"/>
    <m/>
    <m/>
    <s v="Uttar Pradesh"/>
    <s v="North"/>
    <m/>
    <x v="2"/>
    <x v="2"/>
    <x v="2"/>
    <x v="272"/>
    <s v="CRCA SHEET TSBCRC SR15 1.500X1250X2500"/>
    <s v=""/>
    <m/>
    <m/>
    <m/>
    <m/>
    <x v="2"/>
    <x v="4"/>
    <s v="SR15"/>
    <x v="27"/>
    <x v="0"/>
    <x v="0"/>
    <n v="27"/>
    <n v="0"/>
    <n v="27"/>
    <n v="27"/>
    <n v="27"/>
    <n v="27"/>
    <n v="0"/>
    <n v="0"/>
    <n v="0"/>
    <n v="0"/>
    <n v="0"/>
    <n v="0"/>
    <n v="0"/>
    <n v="0"/>
    <n v="0"/>
    <n v="0"/>
    <n v="0"/>
    <n v="0"/>
    <n v="0"/>
    <n v="0"/>
    <n v="0"/>
    <n v="0"/>
    <n v="0"/>
    <n v="0"/>
    <n v="0"/>
    <n v="0"/>
    <n v="0"/>
    <n v="0"/>
    <n v="0"/>
    <m/>
    <n v="0"/>
    <n v="27"/>
    <n v="0"/>
    <n v="0"/>
    <n v="0"/>
    <n v="27"/>
    <n v="0"/>
    <n v="27"/>
    <n v="0"/>
    <n v="0"/>
    <n v="0"/>
    <n v="0"/>
    <n v="27"/>
    <n v="0"/>
    <m/>
    <m/>
    <m/>
    <m/>
    <m/>
    <m/>
    <m/>
    <m/>
    <m/>
    <m/>
    <m/>
    <m/>
    <m/>
    <m/>
    <m/>
    <m/>
    <m/>
    <m/>
    <m/>
    <m/>
    <m/>
    <m/>
    <m/>
    <m/>
    <m/>
    <m/>
    <m/>
    <m/>
    <m/>
    <m/>
    <m/>
    <m/>
    <m/>
    <m/>
  </r>
  <r>
    <n v="742"/>
    <d v="2025-04-04T00:00:00"/>
    <x v="0"/>
    <n v="9518670085"/>
    <n v="2"/>
    <s v="9518670085-2"/>
    <s v="No Priority"/>
    <x v="1"/>
    <m/>
    <x v="1"/>
    <x v="1"/>
    <x v="1"/>
    <m/>
    <x v="0"/>
    <m/>
    <m/>
    <s v="Uttar Pradesh"/>
    <s v="North"/>
    <m/>
    <x v="2"/>
    <x v="2"/>
    <x v="2"/>
    <x v="384"/>
    <s v="CRCA COIL TATCRC TR15 0.6X1000"/>
    <s v=""/>
    <m/>
    <m/>
    <m/>
    <m/>
    <x v="1"/>
    <x v="1"/>
    <s v="TR15"/>
    <x v="20"/>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234"/>
    <n v="2"/>
    <s v="9518612234-2"/>
    <s v="No Priority"/>
    <x v="1"/>
    <m/>
    <x v="3"/>
    <x v="9"/>
    <x v="1"/>
    <m/>
    <x v="0"/>
    <m/>
    <m/>
    <s v="Uttar Pradesh"/>
    <s v="North"/>
    <m/>
    <x v="2"/>
    <x v="100"/>
    <x v="99"/>
    <x v="411"/>
    <s v="GP COIL SOFT-TATXGP-GLK1-0.2X900"/>
    <n v="80"/>
    <m/>
    <m/>
    <m/>
    <m/>
    <x v="7"/>
    <x v="5"/>
    <s v="GLK1"/>
    <x v="61"/>
    <x v="3"/>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234"/>
    <n v="3"/>
    <s v="9518612234-3"/>
    <s v="No Priority"/>
    <x v="1"/>
    <m/>
    <x v="3"/>
    <x v="9"/>
    <x v="1"/>
    <m/>
    <x v="0"/>
    <m/>
    <m/>
    <s v="Uttar Pradesh"/>
    <s v="North"/>
    <m/>
    <x v="2"/>
    <x v="100"/>
    <x v="99"/>
    <x v="412"/>
    <s v="GP COIL SOFT-TATXGP-GLK1-0.22X900"/>
    <n v="80"/>
    <m/>
    <m/>
    <m/>
    <m/>
    <x v="7"/>
    <x v="5"/>
    <s v="GLK1"/>
    <x v="7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234"/>
    <n v="4"/>
    <s v="9518612234-4"/>
    <s v="No Priority"/>
    <x v="1"/>
    <m/>
    <x v="3"/>
    <x v="9"/>
    <x v="1"/>
    <m/>
    <x v="0"/>
    <m/>
    <m/>
    <s v="Uttar Pradesh"/>
    <s v="North"/>
    <m/>
    <x v="2"/>
    <x v="100"/>
    <x v="99"/>
    <x v="413"/>
    <s v="GP COIL SOFT-TATXGP-GLK1-0.25X900"/>
    <n v="80"/>
    <m/>
    <m/>
    <m/>
    <m/>
    <x v="7"/>
    <x v="5"/>
    <s v="GLK1"/>
    <x v="12"/>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2234"/>
    <n v="5"/>
    <s v="9518612234-5"/>
    <s v="No Priority"/>
    <x v="1"/>
    <m/>
    <x v="3"/>
    <x v="9"/>
    <x v="1"/>
    <m/>
    <x v="0"/>
    <m/>
    <m/>
    <s v="Uttar Pradesh"/>
    <s v="North"/>
    <m/>
    <x v="2"/>
    <x v="100"/>
    <x v="99"/>
    <x v="408"/>
    <s v="GP COIL SOFT TATXGP GLK1 0.25X1000"/>
    <n v="80"/>
    <m/>
    <m/>
    <m/>
    <m/>
    <x v="7"/>
    <x v="5"/>
    <s v="GLK1"/>
    <x v="12"/>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2009"/>
    <n v="1"/>
    <s v="9518692009-1"/>
    <s v="May'25"/>
    <x v="0"/>
    <m/>
    <x v="0"/>
    <x v="0"/>
    <x v="1"/>
    <m/>
    <x v="1"/>
    <m/>
    <m/>
    <s v="Telangana"/>
    <s v="South"/>
    <m/>
    <x v="2"/>
    <x v="57"/>
    <x v="53"/>
    <x v="88"/>
    <s v="HR COILS-PO IS 1079 HR2 4X1250"/>
    <s v=""/>
    <m/>
    <m/>
    <m/>
    <m/>
    <x v="0"/>
    <x v="0"/>
    <s v="HR99"/>
    <x v="31"/>
    <x v="0"/>
    <x v="0"/>
    <n v="25"/>
    <n v="0"/>
    <n v="25"/>
    <n v="25"/>
    <n v="25"/>
    <n v="25"/>
    <n v="0"/>
    <n v="0"/>
    <n v="0"/>
    <n v="0"/>
    <n v="0"/>
    <n v="0"/>
    <n v="0"/>
    <n v="0"/>
    <n v="0"/>
    <n v="0"/>
    <n v="0"/>
    <n v="0"/>
    <n v="0"/>
    <n v="0"/>
    <n v="0"/>
    <n v="0"/>
    <n v="0"/>
    <n v="0"/>
    <n v="0"/>
    <n v="0"/>
    <n v="0"/>
    <n v="0"/>
    <n v="0"/>
    <m/>
    <n v="0"/>
    <n v="25"/>
    <n v="0"/>
    <n v="0"/>
    <n v="0"/>
    <n v="25"/>
    <n v="0"/>
    <n v="25"/>
    <n v="0"/>
    <n v="0"/>
    <n v="0"/>
    <n v="0"/>
    <n v="25"/>
    <n v="0"/>
    <m/>
    <m/>
    <m/>
    <m/>
    <m/>
    <m/>
    <m/>
    <m/>
    <m/>
    <m/>
    <m/>
    <m/>
    <m/>
    <m/>
    <m/>
    <m/>
    <m/>
    <m/>
    <m/>
    <m/>
    <m/>
    <m/>
    <m/>
    <m/>
    <m/>
    <m/>
    <m/>
    <m/>
    <m/>
    <m/>
    <m/>
    <m/>
    <m/>
    <m/>
  </r>
  <r>
    <n v="742"/>
    <d v="2025-03-24T00:00:00"/>
    <x v="0"/>
    <n v="9518628321"/>
    <n v="1"/>
    <s v="9518628321-1"/>
    <s v="May'25"/>
    <x v="0"/>
    <s v="Yes"/>
    <x v="1"/>
    <x v="2"/>
    <x v="1"/>
    <m/>
    <x v="1"/>
    <m/>
    <m/>
    <s v="Uttar Pradesh"/>
    <s v="North"/>
    <m/>
    <x v="2"/>
    <x v="7"/>
    <x v="7"/>
    <x v="3"/>
    <s v="CRCA SHEET TATCRC SR16 0.400X1250X2030"/>
    <s v=""/>
    <m/>
    <m/>
    <m/>
    <m/>
    <x v="2"/>
    <x v="1"/>
    <s v="SR16"/>
    <x v="2"/>
    <x v="0"/>
    <x v="1"/>
    <n v="75"/>
    <n v="0"/>
    <n v="75"/>
    <n v="75"/>
    <n v="75"/>
    <n v="75"/>
    <n v="0"/>
    <n v="0"/>
    <n v="0"/>
    <n v="0"/>
    <n v="0"/>
    <n v="0"/>
    <n v="0"/>
    <n v="0"/>
    <n v="0"/>
    <n v="0"/>
    <n v="0"/>
    <n v="0"/>
    <n v="0"/>
    <n v="0"/>
    <n v="0"/>
    <n v="0"/>
    <n v="0"/>
    <n v="0"/>
    <n v="0"/>
    <n v="0"/>
    <n v="0"/>
    <n v="0"/>
    <n v="0"/>
    <m/>
    <n v="0"/>
    <n v="75"/>
    <n v="0"/>
    <n v="0"/>
    <n v="0"/>
    <n v="75"/>
    <n v="0"/>
    <n v="75"/>
    <n v="0"/>
    <n v="0"/>
    <n v="0"/>
    <n v="0"/>
    <n v="75"/>
    <n v="0"/>
    <m/>
    <m/>
    <m/>
    <m/>
    <m/>
    <m/>
    <m/>
    <m/>
    <m/>
    <m/>
    <m/>
    <m/>
    <m/>
    <m/>
    <m/>
    <m/>
    <m/>
    <m/>
    <m/>
    <m/>
    <m/>
    <m/>
    <m/>
    <m/>
    <m/>
    <m/>
    <m/>
    <m/>
    <m/>
    <m/>
    <m/>
    <m/>
    <m/>
    <m/>
  </r>
  <r>
    <n v="742"/>
    <d v="2025-03-26T00:00:00"/>
    <x v="0"/>
    <n v="9518636289"/>
    <n v="1"/>
    <s v="9518636289-1"/>
    <s v="No Priority"/>
    <x v="1"/>
    <m/>
    <x v="1"/>
    <x v="1"/>
    <x v="1"/>
    <m/>
    <x v="0"/>
    <m/>
    <m/>
    <s v="Uttar Pradesh"/>
    <s v="North"/>
    <m/>
    <x v="2"/>
    <x v="7"/>
    <x v="7"/>
    <x v="414"/>
    <s v="CRCA COIL-TATCRC-TR15-1X1250"/>
    <s v=""/>
    <m/>
    <m/>
    <m/>
    <m/>
    <x v="1"/>
    <x v="1"/>
    <s v="TR15"/>
    <x v="17"/>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26T00:00:00"/>
    <x v="0"/>
    <n v="9518636289"/>
    <n v="2"/>
    <s v="9518636289-2"/>
    <s v="No Priority"/>
    <x v="1"/>
    <m/>
    <x v="1"/>
    <x v="1"/>
    <x v="1"/>
    <m/>
    <x v="0"/>
    <m/>
    <m/>
    <s v="Uttar Pradesh"/>
    <s v="North"/>
    <m/>
    <x v="2"/>
    <x v="7"/>
    <x v="7"/>
    <x v="415"/>
    <s v="CRCA COIL-TATCRC-TR15-1.5X1250"/>
    <s v=""/>
    <m/>
    <m/>
    <m/>
    <m/>
    <x v="1"/>
    <x v="1"/>
    <s v="TR15"/>
    <x v="27"/>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886"/>
    <n v="1"/>
    <s v="9518696886-1"/>
    <s v="No Priority"/>
    <x v="1"/>
    <m/>
    <x v="1"/>
    <x v="2"/>
    <x v="1"/>
    <m/>
    <x v="0"/>
    <m/>
    <m/>
    <s v="Uttar Pradesh"/>
    <s v="North"/>
    <m/>
    <x v="2"/>
    <x v="7"/>
    <x v="7"/>
    <x v="16"/>
    <s v="CRCA SHEET TATCRC SR16 0.400X1000X2500"/>
    <s v=""/>
    <m/>
    <m/>
    <m/>
    <m/>
    <x v="2"/>
    <x v="1"/>
    <s v="SR16"/>
    <x v="2"/>
    <x v="2"/>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886"/>
    <n v="3"/>
    <s v="9518696886-3"/>
    <s v="No Priority"/>
    <x v="0"/>
    <m/>
    <x v="1"/>
    <x v="2"/>
    <x v="1"/>
    <m/>
    <x v="0"/>
    <m/>
    <m/>
    <s v="Uttar Pradesh"/>
    <s v="North"/>
    <m/>
    <x v="2"/>
    <x v="7"/>
    <x v="7"/>
    <x v="28"/>
    <s v="CRCA SHEET TSBCRC SR15 0.500X1250X2500"/>
    <s v=""/>
    <m/>
    <m/>
    <m/>
    <m/>
    <x v="2"/>
    <x v="4"/>
    <s v="SR15"/>
    <x v="1"/>
    <x v="0"/>
    <x v="0"/>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886"/>
    <n v="4"/>
    <s v="9518696886-4"/>
    <s v="No Priority"/>
    <x v="0"/>
    <m/>
    <x v="1"/>
    <x v="2"/>
    <x v="1"/>
    <m/>
    <x v="0"/>
    <m/>
    <m/>
    <s v="Uttar Pradesh"/>
    <s v="North"/>
    <m/>
    <x v="2"/>
    <x v="7"/>
    <x v="7"/>
    <x v="42"/>
    <s v="CRCA SHEET TSBCRC SR15 0.600X1250X2500"/>
    <s v=""/>
    <m/>
    <m/>
    <m/>
    <m/>
    <x v="2"/>
    <x v="4"/>
    <s v="SR15"/>
    <x v="20"/>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886"/>
    <n v="5"/>
    <s v="9518696886-5"/>
    <s v="May'25"/>
    <x v="0"/>
    <m/>
    <x v="1"/>
    <x v="1"/>
    <x v="1"/>
    <m/>
    <x v="1"/>
    <m/>
    <m/>
    <s v="Uttar Pradesh"/>
    <s v="North"/>
    <m/>
    <x v="2"/>
    <x v="7"/>
    <x v="7"/>
    <x v="59"/>
    <s v="CRCA SHEET TATCRC TR15 .7X1250X2500"/>
    <s v=""/>
    <m/>
    <m/>
    <m/>
    <m/>
    <x v="2"/>
    <x v="1"/>
    <s v="TR15"/>
    <x v="4"/>
    <x v="0"/>
    <x v="0"/>
    <n v="33"/>
    <n v="0"/>
    <n v="33"/>
    <n v="33"/>
    <n v="5.7800000000000011"/>
    <n v="33"/>
    <n v="0"/>
    <n v="0"/>
    <n v="0"/>
    <n v="0"/>
    <n v="0"/>
    <n v="0"/>
    <n v="0"/>
    <n v="0"/>
    <n v="0"/>
    <n v="0"/>
    <n v="0"/>
    <n v="0"/>
    <n v="0"/>
    <n v="27.22"/>
    <n v="0"/>
    <n v="0"/>
    <n v="0"/>
    <n v="0"/>
    <n v="0"/>
    <n v="27.22"/>
    <n v="27.22"/>
    <n v="0"/>
    <n v="27.22"/>
    <m/>
    <n v="0"/>
    <n v="33"/>
    <n v="33"/>
    <n v="0"/>
    <n v="0"/>
    <n v="0"/>
    <n v="0"/>
    <n v="33"/>
    <n v="0"/>
    <n v="33"/>
    <n v="0"/>
    <n v="0"/>
    <n v="0"/>
    <n v="0"/>
    <m/>
    <m/>
    <m/>
    <m/>
    <m/>
    <m/>
    <m/>
    <m/>
    <m/>
    <m/>
    <m/>
    <m/>
    <m/>
    <m/>
    <m/>
    <m/>
    <m/>
    <m/>
    <m/>
    <m/>
    <m/>
    <m/>
    <m/>
    <m/>
    <m/>
    <m/>
    <m/>
    <m/>
    <m/>
    <m/>
    <m/>
    <m/>
    <m/>
    <m/>
  </r>
  <r>
    <n v="742"/>
    <d v="2025-04-16T00:00:00"/>
    <x v="0"/>
    <n v="9518696886"/>
    <n v="6"/>
    <s v="9518696886-6"/>
    <s v="No Priority"/>
    <x v="0"/>
    <m/>
    <x v="1"/>
    <x v="1"/>
    <x v="1"/>
    <m/>
    <x v="0"/>
    <m/>
    <m/>
    <s v="Uttar Pradesh"/>
    <s v="North"/>
    <m/>
    <x v="2"/>
    <x v="7"/>
    <x v="7"/>
    <x v="416"/>
    <s v="CRCA SHEET TATCRC TR15 .9X1250X2500"/>
    <s v=""/>
    <m/>
    <m/>
    <m/>
    <m/>
    <x v="2"/>
    <x v="1"/>
    <s v="TR15"/>
    <x v="13"/>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886"/>
    <n v="7"/>
    <s v="9518696886-7"/>
    <s v="No Priority"/>
    <x v="1"/>
    <m/>
    <x v="1"/>
    <x v="1"/>
    <x v="1"/>
    <m/>
    <x v="0"/>
    <m/>
    <m/>
    <s v="Uttar Pradesh"/>
    <s v="North"/>
    <m/>
    <x v="2"/>
    <x v="7"/>
    <x v="7"/>
    <x v="417"/>
    <s v="CRCA SHEET TATCRC TR15 1.2X1250X2500"/>
    <s v=""/>
    <m/>
    <m/>
    <m/>
    <m/>
    <x v="2"/>
    <x v="1"/>
    <s v="TR15"/>
    <x v="19"/>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3-26T00:00:00"/>
    <x v="0"/>
    <n v="9518637097"/>
    <n v="3"/>
    <s v="9518637097-3"/>
    <s v="May'25"/>
    <x v="0"/>
    <s v="Yes"/>
    <x v="1"/>
    <x v="2"/>
    <x v="1"/>
    <m/>
    <x v="1"/>
    <m/>
    <m/>
    <s v="Chhattisgarh"/>
    <s v="East"/>
    <m/>
    <x v="2"/>
    <x v="92"/>
    <x v="112"/>
    <x v="145"/>
    <s v="CRCA SHEET TATCRC SR16 0.400X1250X2500"/>
    <s v=""/>
    <m/>
    <m/>
    <m/>
    <m/>
    <x v="2"/>
    <x v="1"/>
    <s v="SR16"/>
    <x v="2"/>
    <x v="0"/>
    <x v="0"/>
    <n v="30"/>
    <n v="0"/>
    <n v="30"/>
    <n v="30"/>
    <n v="30"/>
    <n v="30"/>
    <n v="0"/>
    <n v="0"/>
    <n v="0"/>
    <n v="0"/>
    <n v="0"/>
    <n v="0"/>
    <n v="0"/>
    <n v="0"/>
    <n v="0"/>
    <n v="0"/>
    <n v="0"/>
    <n v="0"/>
    <n v="0"/>
    <n v="0"/>
    <n v="0"/>
    <n v="0"/>
    <n v="0"/>
    <n v="0"/>
    <n v="0"/>
    <n v="0"/>
    <n v="0"/>
    <n v="0"/>
    <n v="0"/>
    <m/>
    <n v="0"/>
    <n v="30"/>
    <n v="0"/>
    <n v="0"/>
    <n v="0"/>
    <n v="30"/>
    <n v="0"/>
    <n v="30"/>
    <n v="0"/>
    <n v="0"/>
    <n v="0"/>
    <n v="0"/>
    <n v="30"/>
    <n v="0"/>
    <m/>
    <m/>
    <m/>
    <m/>
    <m/>
    <m/>
    <m/>
    <m/>
    <m/>
    <m/>
    <m/>
    <m/>
    <m/>
    <m/>
    <m/>
    <m/>
    <m/>
    <m/>
    <m/>
    <m/>
    <m/>
    <m/>
    <m/>
    <m/>
    <m/>
    <m/>
    <m/>
    <m/>
    <m/>
    <m/>
    <m/>
    <m/>
    <m/>
    <m/>
  </r>
  <r>
    <n v="743"/>
    <d v="2025-03-27T00:00:00"/>
    <x v="0"/>
    <n v="9518644745"/>
    <n v="1"/>
    <s v="9518644745-1"/>
    <s v="No Priority"/>
    <x v="0"/>
    <m/>
    <x v="4"/>
    <x v="10"/>
    <x v="3"/>
    <m/>
    <x v="0"/>
    <m/>
    <s v="No allocation for IPP"/>
    <s v="Maharashtra"/>
    <s v="West"/>
    <m/>
    <x v="2"/>
    <x v="86"/>
    <x v="113"/>
    <x v="418"/>
    <s v="GL COIL HARD -Y550GL-H7GL-0.37X1220"/>
    <n v="70"/>
    <m/>
    <m/>
    <m/>
    <m/>
    <x v="5"/>
    <x v="7"/>
    <s v="H7GL"/>
    <x v="72"/>
    <x v="1"/>
    <x v="0"/>
    <n v="168"/>
    <n v="0"/>
    <n v="168"/>
    <n v="168"/>
    <n v="168"/>
    <n v="168"/>
    <n v="0"/>
    <n v="0"/>
    <n v="0"/>
    <n v="0"/>
    <n v="0"/>
    <n v="0"/>
    <n v="0"/>
    <n v="0"/>
    <n v="0"/>
    <n v="0"/>
    <n v="0"/>
    <n v="0"/>
    <n v="0"/>
    <n v="0"/>
    <n v="0"/>
    <n v="0"/>
    <n v="0"/>
    <n v="0"/>
    <n v="0"/>
    <n v="0"/>
    <n v="0"/>
    <n v="0"/>
    <n v="0"/>
    <m/>
    <n v="0"/>
    <n v="0"/>
    <n v="0"/>
    <n v="0"/>
    <n v="0"/>
    <n v="0"/>
    <n v="0"/>
    <n v="0"/>
    <n v="0"/>
    <n v="0"/>
    <n v="0"/>
    <n v="0"/>
    <n v="0"/>
    <n v="0"/>
    <m/>
    <m/>
    <m/>
    <m/>
    <m/>
    <m/>
    <m/>
    <m/>
    <m/>
    <m/>
    <m/>
    <m/>
    <m/>
    <m/>
    <m/>
    <m/>
    <m/>
    <m/>
    <m/>
    <m/>
    <m/>
    <m/>
    <m/>
    <m/>
    <m/>
    <m/>
    <m/>
    <m/>
    <m/>
    <m/>
    <m/>
    <m/>
    <m/>
    <m/>
  </r>
  <r>
    <n v="743"/>
    <d v="2025-03-27T00:00:00"/>
    <x v="0"/>
    <n v="9518644745"/>
    <n v="2"/>
    <s v="9518644745-2"/>
    <s v="Stocks"/>
    <x v="0"/>
    <m/>
    <x v="4"/>
    <x v="10"/>
    <x v="3"/>
    <m/>
    <x v="1"/>
    <m/>
    <s v="No allocation for IPP"/>
    <s v="Maharashtra"/>
    <s v="West"/>
    <m/>
    <x v="2"/>
    <x v="86"/>
    <x v="113"/>
    <x v="419"/>
    <s v="GL COIL HARD -Y550GL-H7GL-0.42X1220"/>
    <n v="70"/>
    <m/>
    <m/>
    <m/>
    <m/>
    <x v="5"/>
    <x v="7"/>
    <s v="H7GL"/>
    <x v="3"/>
    <x v="1"/>
    <x v="0"/>
    <n v="112"/>
    <n v="0"/>
    <n v="112"/>
    <n v="112"/>
    <n v="112"/>
    <n v="63.45"/>
    <n v="0"/>
    <n v="0"/>
    <n v="0"/>
    <n v="0"/>
    <n v="0"/>
    <n v="0"/>
    <n v="0"/>
    <n v="0"/>
    <n v="0"/>
    <n v="0"/>
    <n v="0"/>
    <n v="0"/>
    <n v="0"/>
    <n v="0"/>
    <n v="0"/>
    <n v="0"/>
    <n v="0"/>
    <n v="0"/>
    <n v="0"/>
    <n v="0"/>
    <n v="0"/>
    <n v="0"/>
    <n v="0"/>
    <m/>
    <n v="48.55"/>
    <n v="0"/>
    <n v="0"/>
    <n v="0"/>
    <n v="0"/>
    <n v="0"/>
    <n v="0"/>
    <n v="48.55"/>
    <n v="48.55"/>
    <n v="0"/>
    <n v="0"/>
    <n v="0"/>
    <n v="0"/>
    <n v="0"/>
    <m/>
    <m/>
    <m/>
    <m/>
    <m/>
    <m/>
    <m/>
    <m/>
    <m/>
    <m/>
    <m/>
    <m/>
    <m/>
    <m/>
    <m/>
    <m/>
    <m/>
    <m/>
    <m/>
    <m/>
    <m/>
    <m/>
    <m/>
    <m/>
    <m/>
    <m/>
    <m/>
    <m/>
    <m/>
    <m/>
    <m/>
    <m/>
    <m/>
    <m/>
  </r>
  <r>
    <n v="743"/>
    <d v="2025-03-27T00:00:00"/>
    <x v="0"/>
    <n v="9518644745"/>
    <n v="3"/>
    <s v="9518644745-3"/>
    <s v="No Priority"/>
    <x v="0"/>
    <m/>
    <x v="4"/>
    <x v="10"/>
    <x v="3"/>
    <m/>
    <x v="0"/>
    <m/>
    <s v="No allocation for IPP"/>
    <s v="Maharashtra"/>
    <s v="West"/>
    <m/>
    <x v="2"/>
    <x v="86"/>
    <x v="113"/>
    <x v="420"/>
    <s v="GL COIL HARD  Y550GL H7GL 0.47X1220"/>
    <n v="70"/>
    <m/>
    <m/>
    <m/>
    <m/>
    <x v="5"/>
    <x v="7"/>
    <s v="H7GL"/>
    <x v="14"/>
    <x v="1"/>
    <x v="0"/>
    <n v="252"/>
    <n v="0"/>
    <n v="252"/>
    <n v="252"/>
    <n v="252"/>
    <n v="252"/>
    <n v="0"/>
    <n v="0"/>
    <n v="0"/>
    <n v="0"/>
    <n v="0"/>
    <n v="0"/>
    <n v="0"/>
    <n v="0"/>
    <n v="0"/>
    <n v="0"/>
    <n v="0"/>
    <n v="0"/>
    <n v="0"/>
    <n v="0"/>
    <n v="0"/>
    <n v="0"/>
    <n v="0"/>
    <n v="0"/>
    <n v="0"/>
    <n v="0"/>
    <n v="0"/>
    <n v="0"/>
    <n v="0"/>
    <m/>
    <n v="0"/>
    <n v="0"/>
    <n v="0"/>
    <n v="0"/>
    <n v="0"/>
    <n v="0"/>
    <n v="0"/>
    <n v="0"/>
    <n v="0"/>
    <n v="0"/>
    <n v="0"/>
    <n v="0"/>
    <n v="0"/>
    <n v="0"/>
    <m/>
    <m/>
    <m/>
    <m/>
    <m/>
    <m/>
    <m/>
    <m/>
    <m/>
    <m/>
    <m/>
    <m/>
    <m/>
    <m/>
    <m/>
    <m/>
    <m/>
    <m/>
    <m/>
    <m/>
    <m/>
    <m/>
    <m/>
    <m/>
    <m/>
    <m/>
    <m/>
    <m/>
    <m/>
    <m/>
    <m/>
    <m/>
    <m/>
    <m/>
  </r>
  <r>
    <n v="742"/>
    <d v="2025-03-21T00:00:00"/>
    <x v="0"/>
    <n v="9518620159"/>
    <n v="4"/>
    <s v="9518620159-4"/>
    <s v="May'25"/>
    <x v="0"/>
    <s v="Yes"/>
    <x v="1"/>
    <x v="2"/>
    <x v="1"/>
    <m/>
    <x v="1"/>
    <m/>
    <m/>
    <s v="Chhattisgarh"/>
    <s v="East"/>
    <m/>
    <x v="2"/>
    <x v="72"/>
    <x v="71"/>
    <x v="145"/>
    <s v="CRCA SHEET TATCRC SR16 0.400X1250X2500"/>
    <s v=""/>
    <m/>
    <m/>
    <m/>
    <m/>
    <x v="2"/>
    <x v="1"/>
    <s v="SR16"/>
    <x v="2"/>
    <x v="0"/>
    <x v="0"/>
    <n v="30"/>
    <n v="0"/>
    <n v="30"/>
    <n v="30"/>
    <n v="30"/>
    <n v="30"/>
    <n v="0"/>
    <n v="0"/>
    <n v="0"/>
    <n v="0"/>
    <n v="0"/>
    <n v="0"/>
    <n v="0"/>
    <n v="0"/>
    <n v="0"/>
    <n v="0"/>
    <n v="0"/>
    <n v="0"/>
    <n v="0"/>
    <n v="0"/>
    <n v="0"/>
    <n v="0"/>
    <n v="0"/>
    <n v="0"/>
    <n v="0"/>
    <n v="0"/>
    <n v="0"/>
    <n v="0"/>
    <n v="0"/>
    <m/>
    <n v="0"/>
    <n v="30"/>
    <n v="0"/>
    <n v="0"/>
    <n v="0"/>
    <n v="30"/>
    <n v="0"/>
    <n v="30"/>
    <n v="0"/>
    <n v="0"/>
    <n v="0"/>
    <n v="0"/>
    <n v="30"/>
    <n v="0"/>
    <m/>
    <m/>
    <m/>
    <m/>
    <m/>
    <m/>
    <m/>
    <m/>
    <m/>
    <m/>
    <m/>
    <m/>
    <m/>
    <m/>
    <m/>
    <m/>
    <m/>
    <m/>
    <m/>
    <m/>
    <m/>
    <m/>
    <m/>
    <m/>
    <m/>
    <m/>
    <m/>
    <m/>
    <m/>
    <m/>
    <m/>
    <m/>
    <m/>
    <m/>
  </r>
  <r>
    <n v="742"/>
    <d v="2025-04-02T00:00:00"/>
    <x v="0"/>
    <n v="9518664146"/>
    <n v="2"/>
    <s v="9518664146-2"/>
    <s v="May'25"/>
    <x v="0"/>
    <s v="Yes"/>
    <x v="1"/>
    <x v="2"/>
    <x v="1"/>
    <m/>
    <x v="1"/>
    <m/>
    <m/>
    <s v="West Bengal"/>
    <s v="East"/>
    <m/>
    <x v="2"/>
    <x v="20"/>
    <x v="61"/>
    <x v="142"/>
    <s v="CRCA SHEET TATCRC SR16 0.330X900X2500"/>
    <s v=""/>
    <m/>
    <m/>
    <m/>
    <m/>
    <x v="2"/>
    <x v="1"/>
    <s v="SR16"/>
    <x v="9"/>
    <x v="3"/>
    <x v="3"/>
    <n v="24"/>
    <n v="0"/>
    <n v="24"/>
    <n v="24"/>
    <n v="24"/>
    <n v="24"/>
    <n v="0"/>
    <n v="0"/>
    <n v="0"/>
    <n v="0"/>
    <n v="0"/>
    <n v="0"/>
    <n v="0"/>
    <n v="0"/>
    <n v="0"/>
    <n v="0"/>
    <n v="0"/>
    <n v="0"/>
    <n v="0"/>
    <n v="0"/>
    <n v="0"/>
    <n v="0"/>
    <n v="0"/>
    <n v="0"/>
    <n v="0"/>
    <n v="0"/>
    <n v="0"/>
    <n v="0"/>
    <n v="0"/>
    <m/>
    <n v="0"/>
    <n v="24"/>
    <n v="0"/>
    <n v="0"/>
    <n v="0"/>
    <n v="0"/>
    <n v="24"/>
    <n v="24"/>
    <n v="0"/>
    <n v="0"/>
    <n v="0"/>
    <n v="0"/>
    <n v="24"/>
    <n v="0"/>
    <m/>
    <m/>
    <m/>
    <m/>
    <m/>
    <m/>
    <m/>
    <m/>
    <m/>
    <m/>
    <m/>
    <m/>
    <m/>
    <m/>
    <m/>
    <m/>
    <m/>
    <m/>
    <m/>
    <m/>
    <m/>
    <m/>
    <m/>
    <m/>
    <m/>
    <m/>
    <m/>
    <m/>
    <m/>
    <m/>
    <m/>
    <m/>
    <m/>
    <m/>
  </r>
  <r>
    <n v="742"/>
    <d v="2025-04-02T00:00:00"/>
    <x v="0"/>
    <n v="9518664146"/>
    <n v="3"/>
    <s v="9518664146-3"/>
    <s v="May'25"/>
    <x v="0"/>
    <s v="Yes"/>
    <x v="1"/>
    <x v="2"/>
    <x v="1"/>
    <m/>
    <x v="1"/>
    <m/>
    <m/>
    <s v="West Bengal"/>
    <s v="East"/>
    <m/>
    <x v="2"/>
    <x v="20"/>
    <x v="61"/>
    <x v="144"/>
    <s v="CRCA SHEET TATCRC SR16 0.400X900X2500"/>
    <s v=""/>
    <m/>
    <m/>
    <m/>
    <m/>
    <x v="2"/>
    <x v="1"/>
    <s v="SR16"/>
    <x v="2"/>
    <x v="3"/>
    <x v="3"/>
    <n v="24"/>
    <n v="0"/>
    <n v="24"/>
    <n v="24"/>
    <n v="2.8000000000000007"/>
    <n v="24"/>
    <n v="0"/>
    <n v="0"/>
    <n v="0"/>
    <n v="0"/>
    <n v="0"/>
    <n v="0"/>
    <n v="0"/>
    <n v="0"/>
    <n v="0"/>
    <n v="0"/>
    <n v="0"/>
    <n v="0"/>
    <n v="0"/>
    <n v="21.2"/>
    <n v="0"/>
    <n v="0"/>
    <n v="0"/>
    <n v="0"/>
    <n v="0"/>
    <n v="21.2"/>
    <n v="21.2"/>
    <n v="0"/>
    <n v="21.2"/>
    <m/>
    <n v="0"/>
    <n v="24"/>
    <n v="0"/>
    <n v="24"/>
    <n v="0"/>
    <n v="0"/>
    <n v="0"/>
    <n v="24"/>
    <n v="0"/>
    <n v="0"/>
    <n v="24"/>
    <n v="0"/>
    <n v="0"/>
    <n v="0"/>
    <m/>
    <m/>
    <m/>
    <m/>
    <m/>
    <m/>
    <m/>
    <m/>
    <m/>
    <m/>
    <m/>
    <m/>
    <m/>
    <m/>
    <m/>
    <m/>
    <m/>
    <m/>
    <m/>
    <m/>
    <m/>
    <m/>
    <m/>
    <m/>
    <m/>
    <m/>
    <m/>
    <m/>
    <m/>
    <m/>
    <m/>
    <m/>
    <m/>
    <m/>
  </r>
  <r>
    <n v="742"/>
    <d v="2025-04-16T00:00:00"/>
    <x v="0"/>
    <n v="9518697298"/>
    <n v="1"/>
    <s v="9518697298-1"/>
    <s v="No Priority"/>
    <x v="1"/>
    <m/>
    <x v="1"/>
    <x v="2"/>
    <x v="1"/>
    <m/>
    <x v="0"/>
    <m/>
    <m/>
    <s v="West Bengal"/>
    <s v="East"/>
    <m/>
    <x v="2"/>
    <x v="20"/>
    <x v="61"/>
    <x v="144"/>
    <s v="CRCA SHEET TATCRC SR16 0.400X900X2500"/>
    <s v=""/>
    <m/>
    <m/>
    <m/>
    <m/>
    <x v="2"/>
    <x v="1"/>
    <s v="SR16"/>
    <x v="2"/>
    <x v="3"/>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7298"/>
    <n v="2"/>
    <s v="9518697298-2"/>
    <s v="No Priority"/>
    <x v="0"/>
    <m/>
    <x v="1"/>
    <x v="2"/>
    <x v="1"/>
    <m/>
    <x v="0"/>
    <m/>
    <m/>
    <s v="West Bengal"/>
    <s v="East"/>
    <m/>
    <x v="2"/>
    <x v="20"/>
    <x v="61"/>
    <x v="54"/>
    <s v="CRCA SHEET TSBCRC SR15 0.500X1000X2500"/>
    <s v=""/>
    <m/>
    <m/>
    <m/>
    <m/>
    <x v="2"/>
    <x v="4"/>
    <s v="SR15"/>
    <x v="1"/>
    <x v="2"/>
    <x v="3"/>
    <n v="24"/>
    <n v="0"/>
    <n v="24"/>
    <n v="24"/>
    <n v="24"/>
    <n v="9"/>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7298"/>
    <n v="3"/>
    <s v="9518697298-3"/>
    <s v="No Priority"/>
    <x v="1"/>
    <m/>
    <x v="1"/>
    <x v="2"/>
    <x v="1"/>
    <m/>
    <x v="0"/>
    <m/>
    <m/>
    <s v="West Bengal"/>
    <s v="East"/>
    <m/>
    <x v="2"/>
    <x v="20"/>
    <x v="61"/>
    <x v="15"/>
    <s v="CRCA SHEET TATCRC SR16 0.330X900X2500"/>
    <s v=""/>
    <m/>
    <m/>
    <m/>
    <m/>
    <x v="2"/>
    <x v="1"/>
    <s v="SR16"/>
    <x v="9"/>
    <x v="3"/>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3349"/>
    <n v="1"/>
    <s v="9518593349-1"/>
    <s v="No Priority"/>
    <x v="1"/>
    <m/>
    <x v="1"/>
    <x v="1"/>
    <x v="1"/>
    <m/>
    <x v="0"/>
    <m/>
    <m/>
    <s v="Jharkhand"/>
    <s v="East"/>
    <m/>
    <x v="2"/>
    <x v="10"/>
    <x v="10"/>
    <x v="1"/>
    <s v="CRCA COIL TATCRC TR15 0.5X1250"/>
    <s v=""/>
    <m/>
    <m/>
    <m/>
    <m/>
    <x v="1"/>
    <x v="1"/>
    <s v="TR15"/>
    <x v="1"/>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3412"/>
    <n v="1"/>
    <s v="9518593412-1"/>
    <s v="No Priority"/>
    <x v="0"/>
    <s v="Yes"/>
    <x v="1"/>
    <x v="2"/>
    <x v="1"/>
    <m/>
    <x v="0"/>
    <m/>
    <m/>
    <s v="Jharkhand"/>
    <s v="East"/>
    <m/>
    <x v="2"/>
    <x v="10"/>
    <x v="10"/>
    <x v="19"/>
    <s v="CRCA SHEET TATCRC SR16 0.300X900X2500"/>
    <s v=""/>
    <m/>
    <m/>
    <m/>
    <m/>
    <x v="2"/>
    <x v="1"/>
    <s v="SR16"/>
    <x v="11"/>
    <x v="3"/>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3412"/>
    <n v="2"/>
    <s v="9518593412-2"/>
    <s v="No Priority"/>
    <x v="0"/>
    <s v="Yes"/>
    <x v="1"/>
    <x v="2"/>
    <x v="1"/>
    <m/>
    <x v="0"/>
    <m/>
    <m/>
    <s v="Jharkhand"/>
    <s v="East"/>
    <m/>
    <x v="2"/>
    <x v="10"/>
    <x v="10"/>
    <x v="15"/>
    <s v="CRCA SHEET TATCRC SR16 0.330X900X2500"/>
    <s v=""/>
    <m/>
    <m/>
    <m/>
    <m/>
    <x v="2"/>
    <x v="1"/>
    <s v="SR16"/>
    <x v="9"/>
    <x v="3"/>
    <x v="3"/>
    <n v="39"/>
    <n v="0"/>
    <n v="39"/>
    <n v="39"/>
    <n v="39"/>
    <n v="39"/>
    <n v="0"/>
    <n v="0"/>
    <n v="0"/>
    <n v="0"/>
    <n v="0"/>
    <n v="0"/>
    <n v="0"/>
    <n v="0"/>
    <n v="0"/>
    <n v="0"/>
    <n v="0"/>
    <n v="0"/>
    <n v="0"/>
    <n v="0"/>
    <n v="0"/>
    <n v="0"/>
    <n v="0"/>
    <n v="0"/>
    <n v="0"/>
    <n v="0"/>
    <n v="0"/>
    <n v="0"/>
    <n v="0"/>
    <m/>
    <n v="0"/>
    <n v="0"/>
    <n v="0"/>
    <n v="0"/>
    <n v="0"/>
    <n v="0"/>
    <n v="0"/>
    <n v="0"/>
    <n v="0"/>
    <n v="0"/>
    <n v="0"/>
    <n v="0"/>
    <n v="0"/>
    <n v="0"/>
    <m/>
    <m/>
    <m/>
    <m/>
    <m/>
    <m/>
    <m/>
    <m/>
    <m/>
    <m/>
    <m/>
    <m/>
    <m/>
    <m/>
    <m/>
    <m/>
    <m/>
    <m/>
    <m/>
    <m/>
    <m/>
    <m/>
    <m/>
    <m/>
    <m/>
    <m/>
    <m/>
    <m/>
    <m/>
    <m/>
    <m/>
    <m/>
    <m/>
    <m/>
  </r>
  <r>
    <n v="742"/>
    <d v="2025-03-11T00:00:00"/>
    <x v="0"/>
    <n v="9518593412"/>
    <n v="3"/>
    <s v="9518593412-3"/>
    <s v="May'25"/>
    <x v="0"/>
    <s v="Yes"/>
    <x v="1"/>
    <x v="2"/>
    <x v="1"/>
    <m/>
    <x v="1"/>
    <m/>
    <m/>
    <s v="Jharkhand"/>
    <s v="East"/>
    <m/>
    <x v="2"/>
    <x v="10"/>
    <x v="10"/>
    <x v="13"/>
    <s v="CRCA SHEET TATCRC SR16 0.380X1000X2500"/>
    <s v=""/>
    <m/>
    <m/>
    <m/>
    <m/>
    <x v="2"/>
    <x v="1"/>
    <s v="SR16"/>
    <x v="7"/>
    <x v="2"/>
    <x v="3"/>
    <n v="30"/>
    <n v="0"/>
    <n v="30"/>
    <n v="30"/>
    <n v="30"/>
    <n v="30"/>
    <n v="0"/>
    <n v="0"/>
    <n v="0"/>
    <n v="0"/>
    <n v="0"/>
    <n v="0"/>
    <n v="0"/>
    <n v="0"/>
    <n v="0"/>
    <n v="0"/>
    <n v="0"/>
    <n v="0"/>
    <n v="0"/>
    <n v="0"/>
    <n v="0"/>
    <n v="0"/>
    <n v="0"/>
    <n v="0"/>
    <n v="0"/>
    <n v="0"/>
    <n v="0"/>
    <n v="0"/>
    <n v="0"/>
    <m/>
    <n v="0"/>
    <n v="30"/>
    <n v="0"/>
    <n v="0"/>
    <n v="0"/>
    <n v="30"/>
    <n v="0"/>
    <n v="30"/>
    <n v="0"/>
    <n v="0"/>
    <n v="0"/>
    <n v="0"/>
    <n v="30"/>
    <n v="0"/>
    <m/>
    <m/>
    <m/>
    <m/>
    <m/>
    <m/>
    <m/>
    <m/>
    <m/>
    <m/>
    <m/>
    <m/>
    <m/>
    <m/>
    <m/>
    <m/>
    <m/>
    <m/>
    <m/>
    <m/>
    <m/>
    <m/>
    <m/>
    <m/>
    <m/>
    <m/>
    <m/>
    <m/>
    <m/>
    <m/>
    <m/>
    <m/>
    <m/>
    <m/>
  </r>
  <r>
    <n v="742"/>
    <d v="2025-04-15T00:00:00"/>
    <x v="0"/>
    <n v="9518694370"/>
    <n v="1"/>
    <s v="9518694370-1"/>
    <s v="No Priority"/>
    <x v="1"/>
    <m/>
    <x v="1"/>
    <x v="2"/>
    <x v="1"/>
    <m/>
    <x v="0"/>
    <m/>
    <m/>
    <s v="Jharkhand"/>
    <s v="East"/>
    <m/>
    <x v="2"/>
    <x v="10"/>
    <x v="10"/>
    <x v="421"/>
    <s v="CRCA SHEET TATCRC SR16 0.280X900X2500"/>
    <s v=""/>
    <m/>
    <m/>
    <m/>
    <m/>
    <x v="2"/>
    <x v="1"/>
    <s v="SR16"/>
    <x v="59"/>
    <x v="3"/>
    <x v="3"/>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370"/>
    <n v="2"/>
    <s v="9518694370-2"/>
    <s v="No Priority"/>
    <x v="1"/>
    <m/>
    <x v="1"/>
    <x v="2"/>
    <x v="1"/>
    <m/>
    <x v="0"/>
    <m/>
    <m/>
    <s v="Jharkhand"/>
    <s v="East"/>
    <m/>
    <x v="2"/>
    <x v="10"/>
    <x v="10"/>
    <x v="19"/>
    <s v="CRCA SHEET TATCRC SR16 0.300X900X2500"/>
    <s v=""/>
    <m/>
    <m/>
    <m/>
    <m/>
    <x v="2"/>
    <x v="1"/>
    <s v="SR16"/>
    <x v="11"/>
    <x v="3"/>
    <x v="3"/>
    <n v="81"/>
    <n v="0"/>
    <n v="81"/>
    <n v="81"/>
    <n v="81"/>
    <n v="81"/>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13"/>
    <n v="1"/>
    <s v="9518694613-1"/>
    <s v="No Priority"/>
    <x v="1"/>
    <m/>
    <x v="1"/>
    <x v="2"/>
    <x v="1"/>
    <m/>
    <x v="0"/>
    <m/>
    <m/>
    <s v="Jharkhand"/>
    <s v="East"/>
    <m/>
    <x v="2"/>
    <x v="10"/>
    <x v="10"/>
    <x v="149"/>
    <s v="CRCA SHEET TATCRC SR16 0.350X900X2500"/>
    <s v=""/>
    <m/>
    <m/>
    <m/>
    <m/>
    <x v="2"/>
    <x v="1"/>
    <s v="SR16"/>
    <x v="6"/>
    <x v="3"/>
    <x v="3"/>
    <n v="81"/>
    <n v="0"/>
    <n v="81"/>
    <n v="81"/>
    <n v="81"/>
    <n v="81"/>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13"/>
    <n v="2"/>
    <s v="9518694613-2"/>
    <s v="No Priority"/>
    <x v="1"/>
    <m/>
    <x v="1"/>
    <x v="2"/>
    <x v="1"/>
    <m/>
    <x v="0"/>
    <m/>
    <m/>
    <s v="Jharkhand"/>
    <s v="East"/>
    <m/>
    <x v="2"/>
    <x v="10"/>
    <x v="10"/>
    <x v="43"/>
    <s v="CRCA SHEET TATCRC SR16 0.350X1000X2500"/>
    <s v=""/>
    <m/>
    <m/>
    <m/>
    <m/>
    <x v="2"/>
    <x v="1"/>
    <s v="SR16"/>
    <x v="6"/>
    <x v="2"/>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13"/>
    <n v="4"/>
    <s v="9518694613-4"/>
    <s v="No Priority"/>
    <x v="1"/>
    <m/>
    <x v="1"/>
    <x v="2"/>
    <x v="1"/>
    <m/>
    <x v="0"/>
    <m/>
    <m/>
    <s v="Jharkhand"/>
    <s v="East"/>
    <m/>
    <x v="2"/>
    <x v="10"/>
    <x v="10"/>
    <x v="16"/>
    <s v="CRCA SHEET TATCRC SR16 0.400X1000X2500"/>
    <s v=""/>
    <m/>
    <m/>
    <m/>
    <m/>
    <x v="2"/>
    <x v="1"/>
    <s v="SR16"/>
    <x v="2"/>
    <x v="2"/>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13"/>
    <n v="5"/>
    <s v="9518694613-5"/>
    <s v="No Priority"/>
    <x v="0"/>
    <m/>
    <x v="1"/>
    <x v="2"/>
    <x v="1"/>
    <m/>
    <x v="0"/>
    <m/>
    <m/>
    <s v="Jharkhand"/>
    <s v="East"/>
    <m/>
    <x v="2"/>
    <x v="10"/>
    <x v="10"/>
    <x v="17"/>
    <s v="CRCA SHEET TATCRC SR16 0.450X1000X2500"/>
    <s v=""/>
    <m/>
    <m/>
    <m/>
    <m/>
    <x v="2"/>
    <x v="1"/>
    <s v="SR16"/>
    <x v="10"/>
    <x v="2"/>
    <x v="3"/>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44"/>
    <n v="1"/>
    <s v="9518694644-1"/>
    <s v="No Priority"/>
    <x v="1"/>
    <m/>
    <x v="1"/>
    <x v="1"/>
    <x v="1"/>
    <m/>
    <x v="0"/>
    <m/>
    <m/>
    <s v="Jharkhand"/>
    <s v="East"/>
    <m/>
    <x v="2"/>
    <x v="10"/>
    <x v="10"/>
    <x v="294"/>
    <s v="CRCA COIL-TATCRC-TR15-0.4X1000"/>
    <s v=""/>
    <m/>
    <m/>
    <m/>
    <m/>
    <x v="1"/>
    <x v="1"/>
    <s v="TR15"/>
    <x v="2"/>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44"/>
    <n v="2"/>
    <s v="9518694644-2"/>
    <s v="No Priority"/>
    <x v="1"/>
    <m/>
    <x v="1"/>
    <x v="1"/>
    <x v="1"/>
    <m/>
    <x v="0"/>
    <m/>
    <m/>
    <s v="Jharkhand"/>
    <s v="East"/>
    <m/>
    <x v="2"/>
    <x v="10"/>
    <x v="10"/>
    <x v="382"/>
    <s v="CRCA COIL-TATCRC-TR15-0.45X1000"/>
    <s v=""/>
    <m/>
    <m/>
    <m/>
    <m/>
    <x v="1"/>
    <x v="1"/>
    <s v="TR15"/>
    <x v="10"/>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44"/>
    <n v="3"/>
    <s v="9518694644-3"/>
    <s v="No Priority"/>
    <x v="1"/>
    <m/>
    <x v="1"/>
    <x v="1"/>
    <x v="1"/>
    <m/>
    <x v="0"/>
    <m/>
    <m/>
    <s v="Jharkhand"/>
    <s v="East"/>
    <m/>
    <x v="2"/>
    <x v="10"/>
    <x v="10"/>
    <x v="383"/>
    <s v="CRCA COIL-TATCRC-TR15-0.5X1000"/>
    <s v=""/>
    <m/>
    <m/>
    <m/>
    <m/>
    <x v="1"/>
    <x v="1"/>
    <s v="TR15"/>
    <x v="1"/>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44"/>
    <n v="4"/>
    <s v="9518694644-4"/>
    <s v="No Priority"/>
    <x v="1"/>
    <m/>
    <x v="1"/>
    <x v="1"/>
    <x v="1"/>
    <m/>
    <x v="0"/>
    <m/>
    <m/>
    <s v="Jharkhand"/>
    <s v="East"/>
    <m/>
    <x v="2"/>
    <x v="10"/>
    <x v="10"/>
    <x v="422"/>
    <s v="CR COIL-ICF C01 TATCRC TR15 0.75 X 1000"/>
    <s v=""/>
    <m/>
    <m/>
    <m/>
    <m/>
    <x v="1"/>
    <x v="1"/>
    <s v="TR15"/>
    <x v="28"/>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44"/>
    <n v="5"/>
    <s v="9518694644-5"/>
    <s v="No Priority"/>
    <x v="1"/>
    <m/>
    <x v="1"/>
    <x v="1"/>
    <x v="1"/>
    <m/>
    <x v="0"/>
    <m/>
    <m/>
    <s v="Jharkhand"/>
    <s v="East"/>
    <m/>
    <x v="2"/>
    <x v="10"/>
    <x v="10"/>
    <x v="1"/>
    <s v="CRCA COIL TATCRC TR15 0.5X1250"/>
    <s v=""/>
    <m/>
    <m/>
    <m/>
    <m/>
    <x v="1"/>
    <x v="1"/>
    <s v="TR15"/>
    <x v="1"/>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09974"/>
    <n v="1"/>
    <s v="9518609974-1"/>
    <s v="No Priority"/>
    <x v="0"/>
    <m/>
    <x v="3"/>
    <x v="9"/>
    <x v="1"/>
    <m/>
    <x v="0"/>
    <m/>
    <m/>
    <s v="Delhi"/>
    <s v="North"/>
    <m/>
    <x v="2"/>
    <x v="91"/>
    <x v="88"/>
    <x v="411"/>
    <s v="GP COIL SOFT-TATXGP-GLK1-0.2X900"/>
    <n v="80"/>
    <m/>
    <m/>
    <m/>
    <m/>
    <x v="7"/>
    <x v="5"/>
    <s v="GLK1"/>
    <x v="6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09974"/>
    <n v="3"/>
    <s v="9518609974-3"/>
    <s v="No Priority"/>
    <x v="1"/>
    <m/>
    <x v="3"/>
    <x v="9"/>
    <x v="1"/>
    <m/>
    <x v="0"/>
    <m/>
    <m/>
    <s v="Delhi"/>
    <s v="North"/>
    <m/>
    <x v="2"/>
    <x v="91"/>
    <x v="88"/>
    <x v="412"/>
    <s v="GP COIL SOFT-TATXGP-GLK1-0.22X900"/>
    <n v="80"/>
    <m/>
    <m/>
    <m/>
    <m/>
    <x v="7"/>
    <x v="5"/>
    <s v="GLK1"/>
    <x v="7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31T00:00:00"/>
    <x v="0"/>
    <n v="9518660656"/>
    <n v="1"/>
    <s v="9518660656-1"/>
    <s v="No Priority"/>
    <x v="0"/>
    <s v="Yes"/>
    <x v="1"/>
    <x v="2"/>
    <x v="1"/>
    <m/>
    <x v="0"/>
    <m/>
    <m/>
    <s v="West Bengal"/>
    <s v="East"/>
    <m/>
    <x v="2"/>
    <x v="11"/>
    <x v="11"/>
    <x v="149"/>
    <s v="CRCA SHEET TATCRC SR16 0.350X900X2500"/>
    <s v=""/>
    <m/>
    <m/>
    <m/>
    <m/>
    <x v="2"/>
    <x v="1"/>
    <s v="SR16"/>
    <x v="6"/>
    <x v="3"/>
    <x v="3"/>
    <n v="51"/>
    <n v="0"/>
    <n v="51"/>
    <n v="51"/>
    <n v="51"/>
    <n v="51"/>
    <n v="0"/>
    <n v="0"/>
    <n v="0"/>
    <n v="0"/>
    <n v="0"/>
    <n v="0"/>
    <n v="0"/>
    <n v="0"/>
    <n v="0"/>
    <n v="0"/>
    <n v="0"/>
    <n v="0"/>
    <n v="0"/>
    <n v="0"/>
    <n v="0"/>
    <n v="0"/>
    <n v="0"/>
    <n v="0"/>
    <n v="0"/>
    <n v="0"/>
    <n v="0"/>
    <n v="0"/>
    <n v="0"/>
    <m/>
    <n v="0"/>
    <n v="0"/>
    <n v="0"/>
    <n v="0"/>
    <n v="0"/>
    <n v="0"/>
    <n v="0"/>
    <n v="0"/>
    <n v="0"/>
    <n v="0"/>
    <n v="0"/>
    <n v="0"/>
    <n v="0"/>
    <n v="0"/>
    <m/>
    <m/>
    <m/>
    <m/>
    <m/>
    <m/>
    <m/>
    <m/>
    <m/>
    <m/>
    <m/>
    <m/>
    <m/>
    <m/>
    <m/>
    <m/>
    <m/>
    <m/>
    <m/>
    <m/>
    <m/>
    <m/>
    <m/>
    <m/>
    <m/>
    <m/>
    <m/>
    <m/>
    <m/>
    <m/>
    <m/>
    <m/>
    <m/>
    <m/>
  </r>
  <r>
    <n v="742"/>
    <d v="2025-03-31T00:00:00"/>
    <x v="0"/>
    <n v="9518660656"/>
    <n v="3"/>
    <s v="9518660656-3"/>
    <s v="No Priority"/>
    <x v="0"/>
    <s v="Yes"/>
    <x v="1"/>
    <x v="2"/>
    <x v="1"/>
    <m/>
    <x v="0"/>
    <m/>
    <m/>
    <s v="West Bengal"/>
    <s v="East"/>
    <m/>
    <x v="2"/>
    <x v="11"/>
    <x v="11"/>
    <x v="16"/>
    <s v="CRCA SHEET TATCRC SR16 0.400X1000X2500"/>
    <s v=""/>
    <m/>
    <m/>
    <m/>
    <m/>
    <x v="2"/>
    <x v="1"/>
    <s v="SR16"/>
    <x v="2"/>
    <x v="2"/>
    <x v="3"/>
    <n v="99"/>
    <n v="0"/>
    <n v="99"/>
    <n v="99"/>
    <n v="99"/>
    <n v="99"/>
    <n v="0"/>
    <n v="0"/>
    <n v="0"/>
    <n v="0"/>
    <n v="0"/>
    <n v="0"/>
    <n v="0"/>
    <n v="0"/>
    <n v="0"/>
    <n v="0"/>
    <n v="0"/>
    <n v="0"/>
    <n v="0"/>
    <n v="0"/>
    <n v="0"/>
    <n v="0"/>
    <n v="0"/>
    <n v="0"/>
    <n v="0"/>
    <n v="0"/>
    <n v="0"/>
    <n v="0"/>
    <n v="0"/>
    <m/>
    <n v="0"/>
    <n v="0"/>
    <n v="0"/>
    <n v="0"/>
    <n v="0"/>
    <n v="0"/>
    <n v="0"/>
    <n v="0"/>
    <n v="0"/>
    <n v="0"/>
    <n v="0"/>
    <n v="0"/>
    <n v="0"/>
    <n v="0"/>
    <m/>
    <m/>
    <m/>
    <m/>
    <m/>
    <m/>
    <m/>
    <m/>
    <m/>
    <m/>
    <m/>
    <m/>
    <m/>
    <m/>
    <m/>
    <m/>
    <m/>
    <m/>
    <m/>
    <m/>
    <m/>
    <m/>
    <m/>
    <m/>
    <m/>
    <m/>
    <m/>
    <m/>
    <m/>
    <m/>
    <m/>
    <m/>
    <m/>
    <m/>
  </r>
  <r>
    <n v="742"/>
    <d v="2025-03-31T00:00:00"/>
    <x v="0"/>
    <n v="9518660656"/>
    <n v="4"/>
    <s v="9518660656-4"/>
    <s v="No Priority"/>
    <x v="0"/>
    <s v="Yes"/>
    <x v="1"/>
    <x v="2"/>
    <x v="1"/>
    <m/>
    <x v="0"/>
    <m/>
    <m/>
    <s v="West Bengal"/>
    <s v="East"/>
    <m/>
    <x v="2"/>
    <x v="11"/>
    <x v="11"/>
    <x v="145"/>
    <s v="CRCA SHEET TATCRC SR16 0.400X1250X2500"/>
    <s v=""/>
    <m/>
    <m/>
    <m/>
    <m/>
    <x v="2"/>
    <x v="1"/>
    <s v="SR16"/>
    <x v="2"/>
    <x v="0"/>
    <x v="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50048"/>
    <n v="2"/>
    <s v="9518650048-2"/>
    <s v="No Priority"/>
    <x v="0"/>
    <m/>
    <x v="1"/>
    <x v="11"/>
    <x v="1"/>
    <m/>
    <x v="0"/>
    <m/>
    <m/>
    <s v="Telangana"/>
    <s v="South"/>
    <m/>
    <x v="2"/>
    <x v="23"/>
    <x v="22"/>
    <x v="423"/>
    <s v="CR COIL TATXXD AH03 0.800X1320"/>
    <s v=""/>
    <m/>
    <m/>
    <m/>
    <m/>
    <x v="1"/>
    <x v="2"/>
    <s v="AH03"/>
    <x v="5"/>
    <x v="9"/>
    <x v="0"/>
    <n v="90"/>
    <n v="0"/>
    <n v="90"/>
    <n v="90"/>
    <n v="90"/>
    <n v="90"/>
    <n v="0"/>
    <n v="0"/>
    <n v="0"/>
    <n v="0"/>
    <n v="0"/>
    <n v="0"/>
    <n v="0"/>
    <n v="0"/>
    <n v="0"/>
    <n v="0"/>
    <n v="0"/>
    <n v="0"/>
    <n v="0"/>
    <n v="0"/>
    <n v="0"/>
    <n v="0"/>
    <n v="0"/>
    <n v="0"/>
    <n v="0"/>
    <n v="0"/>
    <n v="0"/>
    <n v="0"/>
    <n v="0"/>
    <m/>
    <n v="0"/>
    <n v="0"/>
    <n v="0"/>
    <n v="0"/>
    <n v="0"/>
    <n v="0"/>
    <n v="0"/>
    <n v="0"/>
    <n v="0"/>
    <n v="0"/>
    <n v="0"/>
    <n v="0"/>
    <n v="0"/>
    <n v="0"/>
    <m/>
    <m/>
    <m/>
    <m/>
    <m/>
    <m/>
    <m/>
    <m/>
    <m/>
    <m/>
    <m/>
    <m/>
    <m/>
    <m/>
    <m/>
    <m/>
    <m/>
    <m/>
    <m/>
    <m/>
    <m/>
    <m/>
    <m/>
    <m/>
    <m/>
    <m/>
    <m/>
    <m/>
    <m/>
    <m/>
    <m/>
    <m/>
    <m/>
    <m/>
  </r>
  <r>
    <n v="743"/>
    <d v="2025-03-01T00:00:00"/>
    <x v="0"/>
    <n v="9518567465"/>
    <n v="1"/>
    <s v="9518567465-1"/>
    <s v="May'25"/>
    <x v="1"/>
    <s v="Yes"/>
    <x v="3"/>
    <x v="9"/>
    <x v="1"/>
    <m/>
    <x v="0"/>
    <m/>
    <m/>
    <s v="Assam"/>
    <s v="East"/>
    <m/>
    <x v="2"/>
    <x v="25"/>
    <x v="24"/>
    <x v="212"/>
    <s v="GP COIL SOFT-TATXGP-GLK1-0.35X900"/>
    <s v=""/>
    <m/>
    <m/>
    <m/>
    <m/>
    <x v="7"/>
    <x v="5"/>
    <s v="GLK1"/>
    <x v="6"/>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01T00:00:00"/>
    <x v="0"/>
    <n v="9518567477"/>
    <n v="1"/>
    <s v="9518567477-1"/>
    <s v="May'25"/>
    <x v="0"/>
    <s v="Yes"/>
    <x v="3"/>
    <x v="9"/>
    <x v="1"/>
    <m/>
    <x v="1"/>
    <m/>
    <m/>
    <s v="Assam"/>
    <s v="East"/>
    <m/>
    <x v="2"/>
    <x v="25"/>
    <x v="24"/>
    <x v="412"/>
    <s v="GP COIL SOFT-TATXGP-GLK1-0.22X900"/>
    <s v=""/>
    <m/>
    <m/>
    <m/>
    <m/>
    <x v="7"/>
    <x v="5"/>
    <s v="GLK1"/>
    <x v="71"/>
    <x v="3"/>
    <x v="0"/>
    <n v="21"/>
    <n v="0"/>
    <n v="21"/>
    <n v="21"/>
    <n v="21"/>
    <n v="21"/>
    <n v="0"/>
    <n v="0"/>
    <n v="0"/>
    <n v="0"/>
    <n v="0"/>
    <n v="0"/>
    <n v="0"/>
    <n v="0"/>
    <n v="0"/>
    <n v="0"/>
    <n v="0"/>
    <n v="0"/>
    <n v="0"/>
    <n v="0"/>
    <n v="0"/>
    <n v="0"/>
    <n v="0"/>
    <n v="0"/>
    <n v="0"/>
    <n v="0"/>
    <n v="0"/>
    <n v="0"/>
    <n v="0"/>
    <m/>
    <n v="0"/>
    <n v="21"/>
    <n v="0"/>
    <n v="0"/>
    <n v="21"/>
    <n v="0"/>
    <n v="0"/>
    <n v="21"/>
    <n v="0"/>
    <n v="0"/>
    <n v="0"/>
    <n v="21"/>
    <n v="0"/>
    <n v="0"/>
    <m/>
    <m/>
    <m/>
    <m/>
    <m/>
    <m/>
    <m/>
    <m/>
    <m/>
    <m/>
    <m/>
    <m/>
    <m/>
    <m/>
    <m/>
    <m/>
    <m/>
    <m/>
    <m/>
    <m/>
    <m/>
    <m/>
    <m/>
    <m/>
    <m/>
    <m/>
    <m/>
    <m/>
    <m/>
    <m/>
    <m/>
    <m/>
    <m/>
    <m/>
  </r>
  <r>
    <n v="743"/>
    <d v="2025-03-01T00:00:00"/>
    <x v="0"/>
    <n v="9518567477"/>
    <n v="2"/>
    <s v="9518567477-2"/>
    <s v="No Priority"/>
    <x v="0"/>
    <s v="Yes"/>
    <x v="3"/>
    <x v="9"/>
    <x v="1"/>
    <m/>
    <x v="0"/>
    <m/>
    <m/>
    <s v="Assam"/>
    <s v="East"/>
    <m/>
    <x v="2"/>
    <x v="25"/>
    <x v="24"/>
    <x v="411"/>
    <s v="GP COIL SOFT-TATXGP-GLK1-0.2X900"/>
    <s v=""/>
    <m/>
    <m/>
    <m/>
    <m/>
    <x v="7"/>
    <x v="5"/>
    <s v="GLK1"/>
    <x v="6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88"/>
    <n v="6"/>
    <s v="9518569788-6"/>
    <s v="No Priority"/>
    <x v="0"/>
    <m/>
    <x v="1"/>
    <x v="2"/>
    <x v="1"/>
    <m/>
    <x v="0"/>
    <m/>
    <m/>
    <s v="Assam"/>
    <s v="East"/>
    <m/>
    <x v="2"/>
    <x v="25"/>
    <x v="24"/>
    <x v="424"/>
    <s v="CRCA SHEET TATCRC SR18 0.700X1000X2500"/>
    <s v=""/>
    <m/>
    <m/>
    <m/>
    <m/>
    <x v="2"/>
    <x v="1"/>
    <s v="SR18"/>
    <x v="4"/>
    <x v="2"/>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1"/>
    <s v="9518569795-1"/>
    <s v="No Priority"/>
    <x v="1"/>
    <m/>
    <x v="1"/>
    <x v="2"/>
    <x v="1"/>
    <m/>
    <x v="0"/>
    <m/>
    <m/>
    <s v="West Bengal"/>
    <s v="East"/>
    <m/>
    <x v="2"/>
    <x v="66"/>
    <x v="24"/>
    <x v="425"/>
    <s v="CRCA SHEET TATCRC SR18 0.750X1000X2500"/>
    <s v=""/>
    <m/>
    <m/>
    <m/>
    <m/>
    <x v="2"/>
    <x v="1"/>
    <s v="SR18"/>
    <x v="28"/>
    <x v="2"/>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2"/>
    <s v="9518569795-2"/>
    <s v="No Priority"/>
    <x v="1"/>
    <m/>
    <x v="1"/>
    <x v="2"/>
    <x v="1"/>
    <m/>
    <x v="0"/>
    <m/>
    <m/>
    <s v="West Bengal"/>
    <s v="East"/>
    <m/>
    <x v="2"/>
    <x v="66"/>
    <x v="24"/>
    <x v="424"/>
    <s v="CRCA SHEET TATCRC SR18 0.700X1000X2500"/>
    <s v=""/>
    <m/>
    <m/>
    <m/>
    <m/>
    <x v="2"/>
    <x v="1"/>
    <s v="SR18"/>
    <x v="4"/>
    <x v="2"/>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3"/>
    <s v="9518569795-3"/>
    <s v="No Priority"/>
    <x v="1"/>
    <m/>
    <x v="1"/>
    <x v="2"/>
    <x v="1"/>
    <m/>
    <x v="0"/>
    <m/>
    <m/>
    <s v="West Bengal"/>
    <s v="East"/>
    <m/>
    <x v="2"/>
    <x v="66"/>
    <x v="24"/>
    <x v="426"/>
    <s v="CRCA SHEET TATCRC SR18 0.700X1000X2000"/>
    <s v=""/>
    <m/>
    <m/>
    <m/>
    <m/>
    <x v="2"/>
    <x v="1"/>
    <s v="SR18"/>
    <x v="4"/>
    <x v="2"/>
    <x v="1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4"/>
    <s v="9518569795-4"/>
    <s v="No Priority"/>
    <x v="1"/>
    <m/>
    <x v="1"/>
    <x v="2"/>
    <x v="1"/>
    <m/>
    <x v="0"/>
    <m/>
    <m/>
    <s v="West Bengal"/>
    <s v="East"/>
    <m/>
    <x v="2"/>
    <x v="66"/>
    <x v="24"/>
    <x v="427"/>
    <s v="CRCA SHEET TATCRC SR18 0.600X1000X2500"/>
    <s v=""/>
    <m/>
    <m/>
    <m/>
    <m/>
    <x v="2"/>
    <x v="1"/>
    <s v="SR18"/>
    <x v="20"/>
    <x v="2"/>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5"/>
    <s v="9518569795-5"/>
    <s v="No Priority"/>
    <x v="1"/>
    <m/>
    <x v="1"/>
    <x v="2"/>
    <x v="1"/>
    <m/>
    <x v="0"/>
    <m/>
    <m/>
    <s v="West Bengal"/>
    <s v="East"/>
    <m/>
    <x v="2"/>
    <x v="66"/>
    <x v="24"/>
    <x v="428"/>
    <s v="CRCA SHEET TATCRC SR18 0.600X1000X2000"/>
    <s v=""/>
    <m/>
    <m/>
    <m/>
    <m/>
    <x v="2"/>
    <x v="1"/>
    <s v="SR18"/>
    <x v="20"/>
    <x v="2"/>
    <x v="1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6"/>
    <s v="9518569795-6"/>
    <s v="No Priority"/>
    <x v="1"/>
    <m/>
    <x v="1"/>
    <x v="2"/>
    <x v="1"/>
    <m/>
    <x v="0"/>
    <m/>
    <m/>
    <s v="West Bengal"/>
    <s v="East"/>
    <m/>
    <x v="2"/>
    <x v="66"/>
    <x v="24"/>
    <x v="429"/>
    <s v="CRCA SHEET TATCRC SR18 0.500X1000X2500"/>
    <s v=""/>
    <m/>
    <m/>
    <m/>
    <m/>
    <x v="2"/>
    <x v="1"/>
    <s v="SR18"/>
    <x v="1"/>
    <x v="2"/>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7"/>
    <s v="9518569795-7"/>
    <s v="No Priority"/>
    <x v="1"/>
    <m/>
    <x v="1"/>
    <x v="2"/>
    <x v="1"/>
    <m/>
    <x v="0"/>
    <m/>
    <m/>
    <s v="West Bengal"/>
    <s v="East"/>
    <m/>
    <x v="2"/>
    <x v="66"/>
    <x v="24"/>
    <x v="430"/>
    <s v="CRCA SHEET TATCRC SR18 0.500X1000X2000"/>
    <s v=""/>
    <m/>
    <m/>
    <m/>
    <m/>
    <x v="2"/>
    <x v="1"/>
    <s v="SR18"/>
    <x v="1"/>
    <x v="2"/>
    <x v="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15"/>
    <s v="9518569795-15"/>
    <s v="No Priority"/>
    <x v="1"/>
    <m/>
    <x v="1"/>
    <x v="2"/>
    <x v="1"/>
    <m/>
    <x v="0"/>
    <m/>
    <m/>
    <s v="West Bengal"/>
    <s v="East"/>
    <m/>
    <x v="2"/>
    <x v="66"/>
    <x v="24"/>
    <x v="431"/>
    <s v="CRCA SHEET TATCRC SR18 0.550X1250X2500"/>
    <s v=""/>
    <m/>
    <m/>
    <m/>
    <m/>
    <x v="2"/>
    <x v="1"/>
    <s v="SR18"/>
    <x v="18"/>
    <x v="0"/>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3-03T00:00:00"/>
    <x v="0"/>
    <n v="9518569795"/>
    <n v="16"/>
    <s v="9518569795-16"/>
    <s v="No Priority"/>
    <x v="1"/>
    <m/>
    <x v="1"/>
    <x v="2"/>
    <x v="1"/>
    <m/>
    <x v="0"/>
    <m/>
    <m/>
    <s v="West Bengal"/>
    <s v="East"/>
    <m/>
    <x v="2"/>
    <x v="66"/>
    <x v="24"/>
    <x v="432"/>
    <s v="CRCA SHEET TATCRC SR18 0.500X1250X2500"/>
    <s v=""/>
    <m/>
    <m/>
    <m/>
    <m/>
    <x v="2"/>
    <x v="1"/>
    <s v="SR18"/>
    <x v="1"/>
    <x v="0"/>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3"/>
    <d v="2025-03-07T00:00:00"/>
    <x v="0"/>
    <n v="9518583256"/>
    <n v="1"/>
    <s v="9518583256-1"/>
    <s v="May'25"/>
    <x v="0"/>
    <s v="Yes"/>
    <x v="3"/>
    <x v="9"/>
    <x v="1"/>
    <m/>
    <x v="1"/>
    <m/>
    <m/>
    <s v="Assam"/>
    <s v="East"/>
    <m/>
    <x v="2"/>
    <x v="25"/>
    <x v="24"/>
    <x v="407"/>
    <s v="GP COIL SOFT-TATXGP-GLK1-0.5X900"/>
    <s v=""/>
    <m/>
    <m/>
    <m/>
    <m/>
    <x v="7"/>
    <x v="5"/>
    <s v="GLK1"/>
    <x v="1"/>
    <x v="3"/>
    <x v="0"/>
    <n v="42"/>
    <n v="0"/>
    <n v="42"/>
    <n v="42"/>
    <n v="2.0300000000000011"/>
    <n v="42"/>
    <n v="0"/>
    <n v="0"/>
    <n v="0"/>
    <n v="20.77"/>
    <n v="0"/>
    <n v="0"/>
    <n v="19.2"/>
    <n v="0"/>
    <n v="0"/>
    <n v="0"/>
    <n v="0"/>
    <n v="0"/>
    <n v="0"/>
    <n v="0"/>
    <n v="0"/>
    <n v="0"/>
    <n v="0"/>
    <n v="0"/>
    <n v="0"/>
    <n v="39.97"/>
    <n v="39.97"/>
    <n v="0"/>
    <n v="39.97"/>
    <m/>
    <n v="0"/>
    <n v="42"/>
    <n v="42"/>
    <n v="0"/>
    <n v="0"/>
    <n v="0"/>
    <n v="0"/>
    <n v="42"/>
    <n v="0"/>
    <n v="42"/>
    <n v="0"/>
    <n v="0"/>
    <n v="0"/>
    <n v="0"/>
    <m/>
    <m/>
    <m/>
    <m/>
    <m/>
    <m/>
    <m/>
    <m/>
    <m/>
    <m/>
    <m/>
    <m/>
    <m/>
    <m/>
    <m/>
    <m/>
    <m/>
    <m/>
    <m/>
    <m/>
    <m/>
    <m/>
    <m/>
    <m/>
    <m/>
    <m/>
    <m/>
    <m/>
    <m/>
    <m/>
    <m/>
    <m/>
    <m/>
    <m/>
  </r>
  <r>
    <n v="743"/>
    <d v="2025-03-22T00:00:00"/>
    <x v="0"/>
    <n v="9518623643"/>
    <n v="1"/>
    <s v="9518623643-1"/>
    <s v="May'25"/>
    <x v="0"/>
    <s v="Yes"/>
    <x v="3"/>
    <x v="9"/>
    <x v="1"/>
    <m/>
    <x v="1"/>
    <m/>
    <m/>
    <s v="Assam"/>
    <s v="East"/>
    <m/>
    <x v="2"/>
    <x v="25"/>
    <x v="24"/>
    <x v="433"/>
    <s v="GP COIL SOFT-TATXGP-GLK1-0.28X900"/>
    <s v=""/>
    <m/>
    <m/>
    <m/>
    <m/>
    <x v="7"/>
    <x v="5"/>
    <s v="GLK1"/>
    <x v="59"/>
    <x v="3"/>
    <x v="0"/>
    <n v="63"/>
    <n v="0"/>
    <n v="63"/>
    <n v="63"/>
    <n v="63"/>
    <n v="63"/>
    <n v="0"/>
    <n v="0"/>
    <n v="0"/>
    <n v="0"/>
    <n v="0"/>
    <n v="0"/>
    <n v="0"/>
    <n v="0"/>
    <n v="0"/>
    <n v="0"/>
    <n v="0"/>
    <n v="0"/>
    <n v="0"/>
    <n v="0"/>
    <n v="0"/>
    <n v="0"/>
    <n v="0"/>
    <n v="0"/>
    <n v="0"/>
    <n v="0"/>
    <n v="0"/>
    <n v="0"/>
    <n v="0"/>
    <m/>
    <n v="0"/>
    <n v="63"/>
    <n v="0"/>
    <n v="0"/>
    <n v="0"/>
    <n v="63"/>
    <n v="0"/>
    <n v="0"/>
    <n v="0"/>
    <n v="0"/>
    <n v="0"/>
    <n v="0"/>
    <n v="0"/>
    <n v="63"/>
    <m/>
    <m/>
    <m/>
    <m/>
    <m/>
    <m/>
    <m/>
    <m/>
    <m/>
    <m/>
    <m/>
    <m/>
    <m/>
    <m/>
    <m/>
    <m/>
    <m/>
    <m/>
    <m/>
    <m/>
    <m/>
    <m/>
    <m/>
    <m/>
    <m/>
    <m/>
    <m/>
    <m/>
    <m/>
    <m/>
    <m/>
    <m/>
    <m/>
    <m/>
  </r>
  <r>
    <n v="743"/>
    <d v="2025-03-22T00:00:00"/>
    <x v="0"/>
    <n v="9518623643"/>
    <n v="2"/>
    <s v="9518623643-2"/>
    <s v="May'25"/>
    <x v="0"/>
    <s v="Yes"/>
    <x v="3"/>
    <x v="9"/>
    <x v="1"/>
    <m/>
    <x v="0"/>
    <m/>
    <m/>
    <s v="Assam"/>
    <s v="East"/>
    <m/>
    <x v="2"/>
    <x v="25"/>
    <x v="24"/>
    <x v="434"/>
    <s v="GP COIL SOFT-TATXGP-GLK1-0.3X900"/>
    <s v=""/>
    <m/>
    <m/>
    <m/>
    <m/>
    <x v="7"/>
    <x v="5"/>
    <s v="GLK1"/>
    <x v="1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22T00:00:00"/>
    <x v="0"/>
    <n v="9518623643"/>
    <n v="3"/>
    <s v="9518623643-3"/>
    <s v="May'25"/>
    <x v="0"/>
    <s v="Yes"/>
    <x v="3"/>
    <x v="9"/>
    <x v="1"/>
    <m/>
    <x v="0"/>
    <m/>
    <m/>
    <s v="Assam"/>
    <s v="East"/>
    <m/>
    <x v="2"/>
    <x v="25"/>
    <x v="24"/>
    <x v="147"/>
    <s v="GP COIL SOFT-TATXGP-GLK1-0.26X900"/>
    <s v=""/>
    <m/>
    <m/>
    <m/>
    <m/>
    <x v="7"/>
    <x v="5"/>
    <s v="GLK1"/>
    <x v="45"/>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470"/>
    <n v="5"/>
    <s v="9518628470-5"/>
    <s v="No Priority"/>
    <x v="0"/>
    <s v="Yes"/>
    <x v="1"/>
    <x v="2"/>
    <x v="1"/>
    <m/>
    <x v="0"/>
    <m/>
    <m/>
    <s v="Assam"/>
    <s v="East"/>
    <m/>
    <x v="2"/>
    <x v="25"/>
    <x v="24"/>
    <x v="435"/>
    <s v="CR COIL TSBCRC SR25 0.600X900"/>
    <s v=""/>
    <m/>
    <m/>
    <m/>
    <m/>
    <x v="1"/>
    <x v="4"/>
    <s v="SR25"/>
    <x v="2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31T00:00:00"/>
    <x v="0"/>
    <n v="9518658807"/>
    <n v="2"/>
    <s v="9518658807-2"/>
    <s v="May'25"/>
    <x v="0"/>
    <s v="Yes"/>
    <x v="3"/>
    <x v="9"/>
    <x v="1"/>
    <m/>
    <x v="0"/>
    <m/>
    <m/>
    <s v="Assam"/>
    <s v="East"/>
    <m/>
    <x v="2"/>
    <x v="25"/>
    <x v="24"/>
    <x v="406"/>
    <s v="GP COIL SOFT-TATXGP-GLK1-0.4X900"/>
    <s v=""/>
    <m/>
    <m/>
    <m/>
    <m/>
    <x v="7"/>
    <x v="5"/>
    <s v="GLK1"/>
    <x v="2"/>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31T00:00:00"/>
    <x v="0"/>
    <n v="9518658807"/>
    <n v="3"/>
    <s v="9518658807-3"/>
    <s v="May'25"/>
    <x v="0"/>
    <s v="Yes"/>
    <x v="3"/>
    <x v="9"/>
    <x v="1"/>
    <m/>
    <x v="0"/>
    <m/>
    <m/>
    <s v="Assam"/>
    <s v="East"/>
    <m/>
    <x v="2"/>
    <x v="25"/>
    <x v="24"/>
    <x v="434"/>
    <s v="GP COIL SOFT-TATXGP-GLK1-0.3X900"/>
    <s v=""/>
    <m/>
    <m/>
    <m/>
    <m/>
    <x v="7"/>
    <x v="5"/>
    <s v="GLK1"/>
    <x v="1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209"/>
    <n v="1"/>
    <s v="9518664209-1"/>
    <s v="No Priority"/>
    <x v="0"/>
    <m/>
    <x v="1"/>
    <x v="1"/>
    <x v="1"/>
    <m/>
    <x v="0"/>
    <m/>
    <m/>
    <s v="Assam"/>
    <s v="East"/>
    <m/>
    <x v="2"/>
    <x v="25"/>
    <x v="24"/>
    <x v="394"/>
    <s v="CRCA COIL TATXXD AU03 0.900X1000"/>
    <s v=""/>
    <m/>
    <m/>
    <m/>
    <m/>
    <x v="1"/>
    <x v="2"/>
    <s v="AU03"/>
    <x v="13"/>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209"/>
    <n v="2"/>
    <s v="9518664209-2"/>
    <s v="No Priority"/>
    <x v="0"/>
    <m/>
    <x v="1"/>
    <x v="2"/>
    <x v="1"/>
    <m/>
    <x v="0"/>
    <m/>
    <m/>
    <s v="Assam"/>
    <s v="East"/>
    <m/>
    <x v="2"/>
    <x v="25"/>
    <x v="24"/>
    <x v="436"/>
    <s v="CRCA SHEET TATCRC SR16 0.250X900X2500"/>
    <s v=""/>
    <m/>
    <m/>
    <m/>
    <m/>
    <x v="2"/>
    <x v="1"/>
    <s v="SR16"/>
    <x v="12"/>
    <x v="3"/>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209"/>
    <n v="3"/>
    <s v="9518664209-3"/>
    <s v="No Priority"/>
    <x v="0"/>
    <m/>
    <x v="1"/>
    <x v="2"/>
    <x v="1"/>
    <m/>
    <x v="0"/>
    <m/>
    <m/>
    <s v="Assam"/>
    <s v="East"/>
    <m/>
    <x v="2"/>
    <x v="25"/>
    <x v="24"/>
    <x v="421"/>
    <s v="CRCA SHEET TATCRC SR16 0.280X900X2500"/>
    <s v=""/>
    <m/>
    <m/>
    <m/>
    <m/>
    <x v="2"/>
    <x v="1"/>
    <s v="SR16"/>
    <x v="59"/>
    <x v="3"/>
    <x v="3"/>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3"/>
    <d v="2025-03-07T00:00:00"/>
    <x v="0"/>
    <n v="9518583291"/>
    <n v="1"/>
    <s v="9518583291-1"/>
    <s v="May'25"/>
    <x v="0"/>
    <s v="Yes"/>
    <x v="3"/>
    <x v="9"/>
    <x v="1"/>
    <m/>
    <x v="0"/>
    <m/>
    <m/>
    <s v="Assam"/>
    <s v="East"/>
    <m/>
    <x v="2"/>
    <x v="63"/>
    <x v="60"/>
    <x v="407"/>
    <s v="GP COIL SOFT-TATXGP-GLK1-0.5X900"/>
    <s v=""/>
    <m/>
    <m/>
    <m/>
    <m/>
    <x v="7"/>
    <x v="5"/>
    <s v="GLK1"/>
    <x v="1"/>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3-22T00:00:00"/>
    <x v="0"/>
    <n v="9518623659"/>
    <n v="1"/>
    <s v="9518623659-1"/>
    <s v="May'25"/>
    <x v="0"/>
    <s v="Yes"/>
    <x v="3"/>
    <x v="9"/>
    <x v="1"/>
    <m/>
    <x v="0"/>
    <m/>
    <m/>
    <s v="Assam"/>
    <s v="East"/>
    <m/>
    <x v="2"/>
    <x v="63"/>
    <x v="60"/>
    <x v="437"/>
    <s v="GP COIL SOFT-TATXGP-GLK1-0.32X900"/>
    <s v=""/>
    <m/>
    <m/>
    <m/>
    <m/>
    <x v="7"/>
    <x v="5"/>
    <s v="GLK1"/>
    <x v="33"/>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22T00:00:00"/>
    <x v="0"/>
    <n v="9518623659"/>
    <n v="2"/>
    <s v="9518623659-2"/>
    <s v="May'25"/>
    <x v="0"/>
    <s v="Yes"/>
    <x v="3"/>
    <x v="9"/>
    <x v="1"/>
    <m/>
    <x v="0"/>
    <m/>
    <m/>
    <s v="Assam"/>
    <s v="East"/>
    <m/>
    <x v="2"/>
    <x v="63"/>
    <x v="60"/>
    <x v="433"/>
    <s v="GP COIL SOFT-TATXGP-GLK1-0.28X900"/>
    <s v=""/>
    <m/>
    <m/>
    <m/>
    <m/>
    <x v="7"/>
    <x v="5"/>
    <s v="GLK1"/>
    <x v="59"/>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22T00:00:00"/>
    <x v="0"/>
    <n v="9518623659"/>
    <n v="3"/>
    <s v="9518623659-3"/>
    <s v="May'25"/>
    <x v="0"/>
    <s v="Yes"/>
    <x v="3"/>
    <x v="9"/>
    <x v="1"/>
    <m/>
    <x v="0"/>
    <m/>
    <m/>
    <s v="Assam"/>
    <s v="East"/>
    <m/>
    <x v="2"/>
    <x v="63"/>
    <x v="60"/>
    <x v="434"/>
    <s v="GP COIL SOFT-TATXGP-GLK1-0.3X900"/>
    <s v=""/>
    <m/>
    <m/>
    <m/>
    <m/>
    <x v="7"/>
    <x v="5"/>
    <s v="GLK1"/>
    <x v="1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3-22T00:00:00"/>
    <x v="0"/>
    <n v="9518623659"/>
    <n v="4"/>
    <s v="9518623659-4"/>
    <s v="May'25"/>
    <x v="0"/>
    <s v="Yes"/>
    <x v="3"/>
    <x v="9"/>
    <x v="1"/>
    <m/>
    <x v="0"/>
    <m/>
    <m/>
    <s v="Assam"/>
    <s v="East"/>
    <m/>
    <x v="2"/>
    <x v="63"/>
    <x v="60"/>
    <x v="147"/>
    <s v="GP COIL SOFT-TATXGP-GLK1-0.26X900"/>
    <s v=""/>
    <m/>
    <m/>
    <m/>
    <m/>
    <x v="7"/>
    <x v="5"/>
    <s v="GLK1"/>
    <x v="45"/>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3-25T00:00:00"/>
    <x v="0"/>
    <n v="9518631268"/>
    <n v="1"/>
    <s v="9518631268-1"/>
    <s v="Stocks"/>
    <x v="0"/>
    <m/>
    <x v="1"/>
    <x v="1"/>
    <x v="1"/>
    <m/>
    <x v="1"/>
    <m/>
    <m/>
    <s v="Assam"/>
    <s v="East"/>
    <m/>
    <x v="2"/>
    <x v="63"/>
    <x v="60"/>
    <x v="438"/>
    <s v="CRCA COIL TATXXD AU03 0.400X1220"/>
    <s v=""/>
    <m/>
    <m/>
    <m/>
    <m/>
    <x v="1"/>
    <x v="2"/>
    <s v="AU03"/>
    <x v="2"/>
    <x v="1"/>
    <x v="0"/>
    <n v="56"/>
    <n v="0"/>
    <n v="56"/>
    <n v="56"/>
    <n v="56"/>
    <n v="16.920000000000002"/>
    <n v="0"/>
    <n v="0"/>
    <n v="0"/>
    <n v="0"/>
    <n v="0"/>
    <n v="0"/>
    <n v="0"/>
    <n v="0"/>
    <n v="0"/>
    <n v="0"/>
    <n v="0"/>
    <n v="0"/>
    <n v="0"/>
    <n v="0"/>
    <n v="0"/>
    <n v="0"/>
    <n v="0"/>
    <n v="0"/>
    <n v="0"/>
    <n v="0"/>
    <n v="0"/>
    <n v="0"/>
    <n v="0"/>
    <m/>
    <n v="11.08"/>
    <n v="0"/>
    <n v="0"/>
    <n v="0"/>
    <n v="0"/>
    <n v="0"/>
    <n v="0"/>
    <n v="11.08"/>
    <n v="11.08"/>
    <n v="0"/>
    <n v="0"/>
    <n v="0"/>
    <n v="0"/>
    <n v="0"/>
    <m/>
    <m/>
    <m/>
    <m/>
    <m/>
    <m/>
    <m/>
    <m/>
    <m/>
    <m/>
    <m/>
    <m/>
    <m/>
    <m/>
    <m/>
    <m/>
    <m/>
    <m/>
    <m/>
    <m/>
    <m/>
    <m/>
    <m/>
    <m/>
    <m/>
    <m/>
    <m/>
    <m/>
    <m/>
    <m/>
    <m/>
    <m/>
    <m/>
    <m/>
  </r>
  <r>
    <n v="742"/>
    <d v="2025-04-03T00:00:00"/>
    <x v="0"/>
    <n v="9518667214"/>
    <n v="2"/>
    <s v="9518667214-2"/>
    <s v="No Priority"/>
    <x v="0"/>
    <m/>
    <x v="1"/>
    <x v="1"/>
    <x v="1"/>
    <m/>
    <x v="0"/>
    <m/>
    <m/>
    <s v="Karnataka"/>
    <s v="South"/>
    <m/>
    <x v="2"/>
    <x v="59"/>
    <x v="56"/>
    <x v="254"/>
    <s v="CRCA COIL-TATXXD-AU03-0.5X1250"/>
    <s v=""/>
    <m/>
    <m/>
    <m/>
    <m/>
    <x v="1"/>
    <x v="2"/>
    <s v="AU03"/>
    <x v="1"/>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03T00:00:00"/>
    <x v="0"/>
    <n v="9518667214"/>
    <n v="4"/>
    <s v="9518667214-4"/>
    <s v="No Priority"/>
    <x v="0"/>
    <m/>
    <x v="1"/>
    <x v="1"/>
    <x v="1"/>
    <m/>
    <x v="0"/>
    <m/>
    <m/>
    <s v="Karnataka"/>
    <s v="South"/>
    <m/>
    <x v="2"/>
    <x v="59"/>
    <x v="56"/>
    <x v="292"/>
    <s v="CRCA COIL TATXXD AU03 0.8X1250"/>
    <s v=""/>
    <m/>
    <m/>
    <m/>
    <m/>
    <x v="1"/>
    <x v="2"/>
    <s v="AU03"/>
    <x v="5"/>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3"/>
    <d v="2025-03-18T00:00:00"/>
    <x v="0"/>
    <n v="9518610170"/>
    <n v="1"/>
    <s v="9518610170-1"/>
    <s v="May'25"/>
    <x v="0"/>
    <m/>
    <x v="3"/>
    <x v="0"/>
    <x v="6"/>
    <m/>
    <x v="1"/>
    <m/>
    <m/>
    <s v="Haryana"/>
    <s v="North"/>
    <m/>
    <x v="2"/>
    <x v="3"/>
    <x v="3"/>
    <x v="439"/>
    <s v="GP COIL XXXGPH GH12 0.500X1220"/>
    <n v="80"/>
    <m/>
    <m/>
    <m/>
    <m/>
    <x v="4"/>
    <x v="16"/>
    <s v="GH12"/>
    <x v="1"/>
    <x v="1"/>
    <x v="0"/>
    <n v="252"/>
    <n v="0"/>
    <n v="252"/>
    <n v="252"/>
    <n v="252"/>
    <n v="252"/>
    <n v="0"/>
    <n v="0"/>
    <n v="0"/>
    <n v="0"/>
    <n v="0"/>
    <n v="0"/>
    <n v="0"/>
    <n v="0"/>
    <n v="0"/>
    <n v="0"/>
    <n v="0"/>
    <n v="0"/>
    <n v="0"/>
    <n v="0"/>
    <n v="0"/>
    <n v="0"/>
    <n v="0"/>
    <n v="0"/>
    <n v="0"/>
    <n v="0"/>
    <n v="0"/>
    <n v="0"/>
    <n v="0"/>
    <m/>
    <n v="0"/>
    <n v="252"/>
    <n v="0"/>
    <n v="252"/>
    <n v="0"/>
    <n v="0"/>
    <n v="0"/>
    <n v="252"/>
    <n v="0"/>
    <n v="0"/>
    <n v="252"/>
    <n v="0"/>
    <n v="0"/>
    <n v="0"/>
    <m/>
    <m/>
    <m/>
    <m/>
    <m/>
    <m/>
    <m/>
    <m/>
    <m/>
    <m/>
    <m/>
    <m/>
    <m/>
    <m/>
    <m/>
    <m/>
    <m/>
    <m/>
    <m/>
    <m/>
    <m/>
    <m/>
    <m/>
    <m/>
    <m/>
    <m/>
    <m/>
    <m/>
    <m/>
    <m/>
    <m/>
    <m/>
    <m/>
    <m/>
  </r>
  <r>
    <n v="743"/>
    <d v="2025-03-18T00:00:00"/>
    <x v="0"/>
    <n v="9518610170"/>
    <n v="2"/>
    <s v="9518610170-2"/>
    <s v="May'25"/>
    <x v="0"/>
    <m/>
    <x v="3"/>
    <x v="0"/>
    <x v="6"/>
    <m/>
    <x v="1"/>
    <m/>
    <m/>
    <s v="Haryana"/>
    <s v="North"/>
    <m/>
    <x v="2"/>
    <x v="3"/>
    <x v="3"/>
    <x v="439"/>
    <s v="GP COIL XXXGPH GH12 0.500X1220"/>
    <n v="80"/>
    <m/>
    <m/>
    <m/>
    <m/>
    <x v="4"/>
    <x v="16"/>
    <s v="GH12"/>
    <x v="1"/>
    <x v="1"/>
    <x v="0"/>
    <n v="252"/>
    <n v="0"/>
    <n v="252"/>
    <n v="252"/>
    <n v="252"/>
    <n v="252"/>
    <n v="0"/>
    <n v="0"/>
    <n v="0"/>
    <n v="0"/>
    <n v="0"/>
    <n v="0"/>
    <n v="0"/>
    <n v="0"/>
    <n v="0"/>
    <n v="0"/>
    <n v="0"/>
    <n v="0"/>
    <n v="0"/>
    <n v="0"/>
    <n v="0"/>
    <n v="0"/>
    <n v="0"/>
    <n v="0"/>
    <n v="0"/>
    <n v="0"/>
    <n v="0"/>
    <n v="0"/>
    <n v="0"/>
    <m/>
    <n v="0"/>
    <n v="252"/>
    <n v="0"/>
    <n v="252"/>
    <n v="0"/>
    <n v="0"/>
    <n v="0"/>
    <n v="252"/>
    <n v="0"/>
    <n v="0"/>
    <n v="252"/>
    <n v="0"/>
    <n v="0"/>
    <n v="0"/>
    <m/>
    <m/>
    <m/>
    <m/>
    <m/>
    <m/>
    <m/>
    <m/>
    <m/>
    <m/>
    <m/>
    <m/>
    <m/>
    <m/>
    <m/>
    <m/>
    <m/>
    <m/>
    <m/>
    <m/>
    <m/>
    <m/>
    <m/>
    <m/>
    <m/>
    <m/>
    <m/>
    <m/>
    <m/>
    <m/>
    <m/>
    <m/>
    <m/>
    <m/>
  </r>
  <r>
    <n v="742"/>
    <d v="2025-03-11T00:00:00"/>
    <x v="0"/>
    <n v="9518591774"/>
    <n v="5"/>
    <s v="9518591774-5"/>
    <s v="No Priority"/>
    <x v="1"/>
    <m/>
    <x v="1"/>
    <x v="1"/>
    <x v="1"/>
    <m/>
    <x v="0"/>
    <m/>
    <m/>
    <s v="Delhi"/>
    <s v="North"/>
    <m/>
    <x v="2"/>
    <x v="56"/>
    <x v="52"/>
    <x v="391"/>
    <s v="CRCA COIL-TATXXD-AU03-0.5X1000"/>
    <s v=""/>
    <m/>
    <m/>
    <m/>
    <m/>
    <x v="1"/>
    <x v="2"/>
    <s v="AU03"/>
    <x v="1"/>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1600"/>
    <n v="1"/>
    <s v="9518691600-1"/>
    <s v="No Priority"/>
    <x v="1"/>
    <m/>
    <x v="1"/>
    <x v="2"/>
    <x v="1"/>
    <m/>
    <x v="0"/>
    <m/>
    <m/>
    <s v="Jharkhand"/>
    <s v="East"/>
    <m/>
    <x v="2"/>
    <x v="12"/>
    <x v="12"/>
    <x v="19"/>
    <s v="CRCA SHEET TATCRC SR16 0.300X900X2500"/>
    <s v=""/>
    <m/>
    <m/>
    <m/>
    <m/>
    <x v="2"/>
    <x v="1"/>
    <s v="SR16"/>
    <x v="11"/>
    <x v="3"/>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1600"/>
    <n v="2"/>
    <s v="9518691600-2"/>
    <s v="No Priority"/>
    <x v="1"/>
    <m/>
    <x v="1"/>
    <x v="2"/>
    <x v="1"/>
    <m/>
    <x v="0"/>
    <m/>
    <m/>
    <s v="Jharkhand"/>
    <s v="East"/>
    <m/>
    <x v="2"/>
    <x v="12"/>
    <x v="12"/>
    <x v="149"/>
    <s v="CRCA SHEET TATCRC SR16 0.350X900X2500"/>
    <s v=""/>
    <m/>
    <m/>
    <m/>
    <m/>
    <x v="2"/>
    <x v="1"/>
    <s v="SR16"/>
    <x v="6"/>
    <x v="3"/>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1600"/>
    <n v="3"/>
    <s v="9518691600-3"/>
    <s v="No Priority"/>
    <x v="1"/>
    <m/>
    <x v="1"/>
    <x v="2"/>
    <x v="1"/>
    <m/>
    <x v="0"/>
    <m/>
    <m/>
    <s v="Jharkhand"/>
    <s v="East"/>
    <m/>
    <x v="2"/>
    <x v="12"/>
    <x v="12"/>
    <x v="144"/>
    <s v="CRCA SHEET TATCRC SR16 0.400X900X2500"/>
    <s v=""/>
    <m/>
    <m/>
    <m/>
    <m/>
    <x v="2"/>
    <x v="1"/>
    <s v="SR16"/>
    <x v="2"/>
    <x v="3"/>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1600"/>
    <n v="4"/>
    <s v="9518691600-4"/>
    <s v="No Priority"/>
    <x v="1"/>
    <m/>
    <x v="1"/>
    <x v="2"/>
    <x v="1"/>
    <m/>
    <x v="0"/>
    <m/>
    <m/>
    <s v="Jharkhand"/>
    <s v="East"/>
    <m/>
    <x v="2"/>
    <x v="12"/>
    <x v="12"/>
    <x v="16"/>
    <s v="CRCA SHEET TATCRC SR16 0.400X1000X2500"/>
    <s v=""/>
    <m/>
    <m/>
    <m/>
    <m/>
    <x v="2"/>
    <x v="1"/>
    <s v="SR16"/>
    <x v="2"/>
    <x v="2"/>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1600"/>
    <n v="5"/>
    <s v="9518691600-5"/>
    <s v="No Priority"/>
    <x v="1"/>
    <m/>
    <x v="1"/>
    <x v="2"/>
    <x v="1"/>
    <m/>
    <x v="0"/>
    <m/>
    <m/>
    <s v="Jharkhand"/>
    <s v="East"/>
    <m/>
    <x v="2"/>
    <x v="12"/>
    <x v="12"/>
    <x v="145"/>
    <s v="CRCA SHEET TATCRC SR16 0.400X1250X2500"/>
    <s v=""/>
    <m/>
    <m/>
    <m/>
    <m/>
    <x v="2"/>
    <x v="1"/>
    <s v="SR16"/>
    <x v="2"/>
    <x v="0"/>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1600"/>
    <n v="6"/>
    <s v="9518691600-6"/>
    <s v="No Priority"/>
    <x v="0"/>
    <m/>
    <x v="1"/>
    <x v="2"/>
    <x v="1"/>
    <m/>
    <x v="0"/>
    <m/>
    <m/>
    <s v="Jharkhand"/>
    <s v="East"/>
    <m/>
    <x v="2"/>
    <x v="12"/>
    <x v="12"/>
    <x v="17"/>
    <s v="CRCA SHEET TATCRC SR16 0.450X1000X2500"/>
    <s v=""/>
    <m/>
    <m/>
    <m/>
    <m/>
    <x v="2"/>
    <x v="1"/>
    <s v="SR16"/>
    <x v="10"/>
    <x v="2"/>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1600"/>
    <n v="7"/>
    <s v="9518691600-7"/>
    <s v="No Priority"/>
    <x v="0"/>
    <m/>
    <x v="1"/>
    <x v="2"/>
    <x v="1"/>
    <m/>
    <x v="0"/>
    <m/>
    <m/>
    <s v="Jharkhand"/>
    <s v="East"/>
    <m/>
    <x v="2"/>
    <x v="12"/>
    <x v="12"/>
    <x v="136"/>
    <s v="CRCA SHEET TATCRC SR16 0.450X1250X2500"/>
    <s v=""/>
    <m/>
    <m/>
    <m/>
    <m/>
    <x v="2"/>
    <x v="1"/>
    <s v="SR16"/>
    <x v="10"/>
    <x v="0"/>
    <x v="3"/>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4-14T00:00:00"/>
    <x v="0"/>
    <n v="9518691600"/>
    <n v="8"/>
    <s v="9518691600-8"/>
    <s v="May'25"/>
    <x v="0"/>
    <m/>
    <x v="1"/>
    <x v="2"/>
    <x v="1"/>
    <m/>
    <x v="1"/>
    <m/>
    <m/>
    <s v="Jharkhand"/>
    <s v="East"/>
    <m/>
    <x v="2"/>
    <x v="12"/>
    <x v="12"/>
    <x v="54"/>
    <s v="CRCA SHEET TSBCRC SR15 0.500X1000X2500"/>
    <s v=""/>
    <m/>
    <m/>
    <m/>
    <m/>
    <x v="2"/>
    <x v="4"/>
    <s v="SR15"/>
    <x v="1"/>
    <x v="2"/>
    <x v="3"/>
    <n v="42"/>
    <n v="0"/>
    <n v="42"/>
    <n v="42"/>
    <n v="-2.6700000000000017"/>
    <n v="42"/>
    <n v="0"/>
    <n v="0"/>
    <n v="0"/>
    <n v="0"/>
    <n v="0"/>
    <n v="0"/>
    <n v="0"/>
    <n v="0"/>
    <n v="0"/>
    <n v="0"/>
    <n v="0"/>
    <n v="0"/>
    <n v="0"/>
    <n v="44.67"/>
    <n v="0"/>
    <n v="0"/>
    <n v="0"/>
    <n v="0"/>
    <n v="0"/>
    <n v="44.67"/>
    <n v="44.67"/>
    <n v="0"/>
    <n v="44.67"/>
    <m/>
    <n v="0"/>
    <n v="42"/>
    <n v="0"/>
    <n v="42"/>
    <n v="0"/>
    <n v="0"/>
    <n v="0"/>
    <n v="42"/>
    <n v="0"/>
    <n v="0"/>
    <n v="42"/>
    <n v="0"/>
    <n v="0"/>
    <n v="0"/>
    <m/>
    <m/>
    <m/>
    <m/>
    <m/>
    <m/>
    <m/>
    <m/>
    <m/>
    <m/>
    <m/>
    <m/>
    <m/>
    <m/>
    <m/>
    <m/>
    <m/>
    <m/>
    <m/>
    <m/>
    <m/>
    <m/>
    <m/>
    <m/>
    <m/>
    <m/>
    <m/>
    <m/>
    <m/>
    <m/>
    <m/>
    <m/>
    <m/>
    <m/>
  </r>
  <r>
    <n v="742"/>
    <d v="2025-04-14T00:00:00"/>
    <x v="0"/>
    <n v="9518691600"/>
    <n v="9"/>
    <s v="9518691600-9"/>
    <s v="May'25"/>
    <x v="0"/>
    <m/>
    <x v="1"/>
    <x v="2"/>
    <x v="1"/>
    <m/>
    <x v="1"/>
    <m/>
    <m/>
    <s v="Jharkhand"/>
    <s v="East"/>
    <m/>
    <x v="2"/>
    <x v="12"/>
    <x v="12"/>
    <x v="30"/>
    <s v="CRCA SHEET TSBCRC SR15 0.500X1250X2030"/>
    <s v=""/>
    <m/>
    <m/>
    <m/>
    <m/>
    <x v="2"/>
    <x v="4"/>
    <s v="SR15"/>
    <x v="1"/>
    <x v="0"/>
    <x v="1"/>
    <n v="30"/>
    <n v="0"/>
    <n v="30"/>
    <n v="30"/>
    <n v="30"/>
    <n v="27.204999999999998"/>
    <n v="0"/>
    <n v="0"/>
    <n v="0"/>
    <n v="0"/>
    <n v="0"/>
    <n v="0"/>
    <n v="0"/>
    <n v="0"/>
    <n v="0"/>
    <n v="0"/>
    <n v="0"/>
    <n v="0"/>
    <n v="0"/>
    <n v="0"/>
    <n v="0"/>
    <n v="0"/>
    <n v="0"/>
    <n v="0"/>
    <n v="0"/>
    <n v="0"/>
    <n v="0"/>
    <n v="0"/>
    <n v="0"/>
    <m/>
    <n v="0"/>
    <n v="27.204999999999998"/>
    <n v="0"/>
    <n v="0"/>
    <n v="27.204999999999998"/>
    <n v="0"/>
    <n v="0"/>
    <n v="27.204999999999998"/>
    <n v="0"/>
    <n v="0"/>
    <n v="0"/>
    <n v="27.204999999999998"/>
    <n v="0"/>
    <n v="0"/>
    <m/>
    <m/>
    <m/>
    <m/>
    <m/>
    <m/>
    <m/>
    <m/>
    <m/>
    <m/>
    <m/>
    <m/>
    <m/>
    <m/>
    <m/>
    <m/>
    <m/>
    <m/>
    <m/>
    <m/>
    <m/>
    <m/>
    <m/>
    <m/>
    <m/>
    <m/>
    <m/>
    <m/>
    <m/>
    <m/>
    <m/>
    <m/>
    <m/>
    <m/>
  </r>
  <r>
    <n v="742"/>
    <d v="2025-04-14T00:00:00"/>
    <x v="0"/>
    <n v="9518691600"/>
    <n v="10"/>
    <s v="9518691600-10"/>
    <s v="May'25"/>
    <x v="0"/>
    <m/>
    <x v="1"/>
    <x v="2"/>
    <x v="1"/>
    <m/>
    <x v="1"/>
    <m/>
    <m/>
    <s v="Jharkhand"/>
    <s v="East"/>
    <m/>
    <x v="2"/>
    <x v="12"/>
    <x v="12"/>
    <x v="28"/>
    <s v="CRCA SHEET TSBCRC SR15 0.500X1250X2500"/>
    <s v=""/>
    <m/>
    <m/>
    <m/>
    <m/>
    <x v="2"/>
    <x v="4"/>
    <s v="SR15"/>
    <x v="1"/>
    <x v="0"/>
    <x v="0"/>
    <n v="60"/>
    <n v="0"/>
    <n v="60"/>
    <n v="60"/>
    <n v="60"/>
    <n v="60"/>
    <n v="0"/>
    <n v="0"/>
    <n v="0"/>
    <n v="0"/>
    <n v="0"/>
    <n v="0"/>
    <n v="0"/>
    <n v="0"/>
    <n v="0"/>
    <n v="0"/>
    <n v="0"/>
    <n v="0"/>
    <n v="0"/>
    <n v="0"/>
    <n v="0"/>
    <n v="0"/>
    <n v="0"/>
    <n v="0"/>
    <n v="0"/>
    <n v="0"/>
    <n v="0"/>
    <n v="0"/>
    <n v="0"/>
    <m/>
    <n v="0"/>
    <n v="60"/>
    <n v="0"/>
    <n v="0"/>
    <n v="60"/>
    <n v="0"/>
    <n v="0"/>
    <n v="60"/>
    <n v="0"/>
    <n v="0"/>
    <n v="0"/>
    <n v="60"/>
    <n v="0"/>
    <n v="0"/>
    <m/>
    <m/>
    <m/>
    <m/>
    <m/>
    <m/>
    <m/>
    <m/>
    <m/>
    <m/>
    <m/>
    <m/>
    <m/>
    <m/>
    <m/>
    <m/>
    <m/>
    <m/>
    <m/>
    <m/>
    <m/>
    <m/>
    <m/>
    <m/>
    <m/>
    <m/>
    <m/>
    <m/>
    <m/>
    <m/>
    <m/>
    <m/>
    <m/>
    <m/>
  </r>
  <r>
    <n v="742"/>
    <d v="2025-04-14T00:00:00"/>
    <x v="0"/>
    <n v="9518691600"/>
    <n v="11"/>
    <s v="9518691600-11"/>
    <s v="May'25"/>
    <x v="0"/>
    <m/>
    <x v="1"/>
    <x v="2"/>
    <x v="1"/>
    <m/>
    <x v="1"/>
    <m/>
    <m/>
    <s v="Jharkhand"/>
    <s v="East"/>
    <m/>
    <x v="2"/>
    <x v="12"/>
    <x v="12"/>
    <x v="110"/>
    <s v="CRCA SHEET TSBCRC SR15 0.600X1000X2500"/>
    <s v=""/>
    <m/>
    <m/>
    <m/>
    <m/>
    <x v="2"/>
    <x v="4"/>
    <s v="SR15"/>
    <x v="20"/>
    <x v="2"/>
    <x v="3"/>
    <n v="60"/>
    <n v="0"/>
    <n v="60"/>
    <n v="60"/>
    <n v="-6.2199999999999989"/>
    <n v="60"/>
    <n v="0"/>
    <n v="0"/>
    <n v="0"/>
    <n v="0"/>
    <n v="0"/>
    <n v="0"/>
    <n v="0"/>
    <n v="0"/>
    <n v="0"/>
    <n v="0"/>
    <n v="0"/>
    <n v="0"/>
    <n v="0"/>
    <n v="66.22"/>
    <n v="0"/>
    <n v="0"/>
    <n v="0"/>
    <n v="0"/>
    <n v="0"/>
    <n v="66.22"/>
    <n v="66.22"/>
    <n v="0"/>
    <n v="66.22"/>
    <m/>
    <n v="0"/>
    <n v="60"/>
    <n v="0"/>
    <n v="60"/>
    <n v="0"/>
    <n v="0"/>
    <n v="0"/>
    <n v="60"/>
    <n v="0"/>
    <n v="0"/>
    <n v="60"/>
    <n v="0"/>
    <n v="0"/>
    <n v="0"/>
    <m/>
    <m/>
    <m/>
    <m/>
    <m/>
    <m/>
    <m/>
    <m/>
    <m/>
    <m/>
    <m/>
    <m/>
    <m/>
    <m/>
    <m/>
    <m/>
    <m/>
    <m/>
    <m/>
    <m/>
    <m/>
    <m/>
    <m/>
    <m/>
    <m/>
    <m/>
    <m/>
    <m/>
    <m/>
    <m/>
    <m/>
    <m/>
    <m/>
    <m/>
  </r>
  <r>
    <n v="742"/>
    <d v="2025-03-17T00:00:00"/>
    <x v="0"/>
    <n v="9518606284"/>
    <n v="1"/>
    <s v="9518606284-1"/>
    <s v="No Priority"/>
    <x v="0"/>
    <s v="Yes"/>
    <x v="1"/>
    <x v="2"/>
    <x v="1"/>
    <m/>
    <x v="0"/>
    <m/>
    <m/>
    <s v="Andhra Pradesh"/>
    <s v="South"/>
    <m/>
    <x v="2"/>
    <x v="8"/>
    <x v="8"/>
    <x v="440"/>
    <s v="CRCA SHEET TATCRC SR16 0.350X900X2440"/>
    <s v=""/>
    <m/>
    <m/>
    <m/>
    <m/>
    <x v="2"/>
    <x v="1"/>
    <s v="SR16"/>
    <x v="6"/>
    <x v="3"/>
    <x v="6"/>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284"/>
    <n v="2"/>
    <s v="9518606284-2"/>
    <s v="No Priority"/>
    <x v="0"/>
    <s v="Yes"/>
    <x v="1"/>
    <x v="2"/>
    <x v="1"/>
    <m/>
    <x v="0"/>
    <m/>
    <m/>
    <s v="Andhra Pradesh"/>
    <s v="South"/>
    <m/>
    <x v="2"/>
    <x v="8"/>
    <x v="8"/>
    <x v="441"/>
    <s v="CRCA SHEET TATCRC SR16 0.350X1000X2440"/>
    <s v=""/>
    <m/>
    <m/>
    <m/>
    <m/>
    <x v="2"/>
    <x v="1"/>
    <s v="SR16"/>
    <x v="6"/>
    <x v="2"/>
    <x v="6"/>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284"/>
    <n v="3"/>
    <s v="9518606284-3"/>
    <s v="No Priority"/>
    <x v="0"/>
    <s v="Yes"/>
    <x v="1"/>
    <x v="2"/>
    <x v="1"/>
    <m/>
    <x v="0"/>
    <m/>
    <m/>
    <s v="Andhra Pradesh"/>
    <s v="South"/>
    <m/>
    <x v="2"/>
    <x v="8"/>
    <x v="8"/>
    <x v="442"/>
    <s v="CRCA SHEET TATCRC SR16 0.400X900X2440"/>
    <s v=""/>
    <m/>
    <m/>
    <m/>
    <m/>
    <x v="2"/>
    <x v="1"/>
    <s v="SR16"/>
    <x v="2"/>
    <x v="3"/>
    <x v="6"/>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284"/>
    <n v="4"/>
    <s v="9518606284-4"/>
    <s v="No Priority"/>
    <x v="0"/>
    <s v="Yes"/>
    <x v="1"/>
    <x v="2"/>
    <x v="1"/>
    <m/>
    <x v="0"/>
    <m/>
    <m/>
    <s v="Andhra Pradesh"/>
    <s v="South"/>
    <m/>
    <x v="2"/>
    <x v="8"/>
    <x v="8"/>
    <x v="443"/>
    <s v="CRCA SHEET TATCRC SR16 0.400X1000X2440"/>
    <s v=""/>
    <m/>
    <m/>
    <m/>
    <m/>
    <x v="2"/>
    <x v="1"/>
    <s v="SR16"/>
    <x v="2"/>
    <x v="2"/>
    <x v="6"/>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284"/>
    <n v="19"/>
    <s v="9518606284-19"/>
    <s v="No Priority"/>
    <x v="0"/>
    <m/>
    <x v="1"/>
    <x v="1"/>
    <x v="1"/>
    <m/>
    <x v="0"/>
    <m/>
    <m/>
    <s v="Andhra Pradesh"/>
    <s v="South"/>
    <m/>
    <x v="2"/>
    <x v="8"/>
    <x v="8"/>
    <x v="444"/>
    <s v="CRSHEET TATXXD AU03 1.0X1250X2500"/>
    <s v=""/>
    <m/>
    <m/>
    <m/>
    <m/>
    <x v="2"/>
    <x v="2"/>
    <s v="AU03"/>
    <x v="17"/>
    <x v="0"/>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3-17T00:00:00"/>
    <x v="0"/>
    <n v="9518606598"/>
    <n v="1"/>
    <s v="9518606598-1"/>
    <s v="No Priority"/>
    <x v="1"/>
    <m/>
    <x v="1"/>
    <x v="1"/>
    <x v="1"/>
    <m/>
    <x v="0"/>
    <m/>
    <m/>
    <s v="Andhra Pradesh"/>
    <s v="South"/>
    <m/>
    <x v="2"/>
    <x v="8"/>
    <x v="8"/>
    <x v="385"/>
    <s v="CRCA COIL-TATXXD-AU03-0.8X1000"/>
    <s v=""/>
    <m/>
    <m/>
    <m/>
    <m/>
    <x v="1"/>
    <x v="2"/>
    <s v="AU03"/>
    <x v="5"/>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1"/>
    <s v="9518683200-1"/>
    <s v="No Priority"/>
    <x v="0"/>
    <s v="Yes"/>
    <x v="1"/>
    <x v="2"/>
    <x v="1"/>
    <m/>
    <x v="0"/>
    <m/>
    <m/>
    <s v="Andhra Pradesh"/>
    <s v="South"/>
    <m/>
    <x v="2"/>
    <x v="8"/>
    <x v="8"/>
    <x v="440"/>
    <s v="CRCA SHEET TATCRC SR16 0.350X900X2440"/>
    <s v=""/>
    <m/>
    <m/>
    <m/>
    <m/>
    <x v="2"/>
    <x v="1"/>
    <s v="SR16"/>
    <x v="6"/>
    <x v="3"/>
    <x v="6"/>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2"/>
    <s v="9518683200-2"/>
    <s v="No Priority"/>
    <x v="0"/>
    <s v="Yes"/>
    <x v="1"/>
    <x v="2"/>
    <x v="1"/>
    <m/>
    <x v="0"/>
    <m/>
    <m/>
    <s v="Andhra Pradesh"/>
    <s v="South"/>
    <m/>
    <x v="2"/>
    <x v="8"/>
    <x v="8"/>
    <x v="441"/>
    <s v="CRCA SHEET TATCRC SR16 0.350X1000X2440"/>
    <s v=""/>
    <m/>
    <m/>
    <m/>
    <m/>
    <x v="2"/>
    <x v="1"/>
    <s v="SR16"/>
    <x v="6"/>
    <x v="2"/>
    <x v="6"/>
    <n v="45"/>
    <n v="0"/>
    <n v="45"/>
    <n v="45"/>
    <n v="45"/>
    <n v="45"/>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3"/>
    <s v="9518683200-3"/>
    <s v="No Priority"/>
    <x v="0"/>
    <s v="Yes"/>
    <x v="1"/>
    <x v="2"/>
    <x v="1"/>
    <m/>
    <x v="0"/>
    <m/>
    <m/>
    <s v="Andhra Pradesh"/>
    <s v="South"/>
    <m/>
    <x v="2"/>
    <x v="8"/>
    <x v="8"/>
    <x v="442"/>
    <s v="CRCA SHEET TATCRC SR16 0.400X900X2440"/>
    <s v=""/>
    <m/>
    <m/>
    <m/>
    <m/>
    <x v="2"/>
    <x v="1"/>
    <s v="SR16"/>
    <x v="2"/>
    <x v="3"/>
    <x v="6"/>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4"/>
    <s v="9518683200-4"/>
    <s v="No Priority"/>
    <x v="0"/>
    <s v="Yes"/>
    <x v="1"/>
    <x v="2"/>
    <x v="1"/>
    <m/>
    <x v="0"/>
    <m/>
    <m/>
    <s v="Andhra Pradesh"/>
    <s v="South"/>
    <m/>
    <x v="2"/>
    <x v="8"/>
    <x v="8"/>
    <x v="443"/>
    <s v="CRCA SHEET TATCRC SR16 0.400X1000X2440"/>
    <s v=""/>
    <m/>
    <m/>
    <m/>
    <m/>
    <x v="2"/>
    <x v="1"/>
    <s v="SR16"/>
    <x v="2"/>
    <x v="2"/>
    <x v="6"/>
    <n v="45"/>
    <n v="0"/>
    <n v="45"/>
    <n v="45"/>
    <n v="45"/>
    <n v="45"/>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5"/>
    <s v="9518683200-5"/>
    <s v="May'25"/>
    <x v="0"/>
    <s v="Yes"/>
    <x v="1"/>
    <x v="2"/>
    <x v="1"/>
    <m/>
    <x v="1"/>
    <m/>
    <m/>
    <s v="Andhra Pradesh"/>
    <s v="South"/>
    <m/>
    <x v="2"/>
    <x v="8"/>
    <x v="8"/>
    <x v="66"/>
    <s v="CRCA SHEET TATCRC SR16 0.450X900X2440"/>
    <s v=""/>
    <m/>
    <m/>
    <m/>
    <m/>
    <x v="2"/>
    <x v="1"/>
    <s v="SR16"/>
    <x v="10"/>
    <x v="3"/>
    <x v="6"/>
    <n v="42"/>
    <n v="0"/>
    <n v="42"/>
    <n v="42"/>
    <n v="20.7"/>
    <n v="42"/>
    <n v="0"/>
    <n v="0"/>
    <n v="0"/>
    <n v="0"/>
    <n v="0"/>
    <n v="0"/>
    <n v="0"/>
    <n v="0"/>
    <n v="0"/>
    <n v="0"/>
    <n v="21.3"/>
    <n v="0"/>
    <n v="0"/>
    <n v="0"/>
    <n v="0"/>
    <n v="0"/>
    <n v="0"/>
    <n v="0"/>
    <n v="0"/>
    <n v="21.3"/>
    <n v="21.3"/>
    <n v="0"/>
    <n v="21.3"/>
    <m/>
    <n v="0"/>
    <n v="42"/>
    <n v="0"/>
    <n v="42"/>
    <n v="0"/>
    <n v="0"/>
    <n v="0"/>
    <n v="42"/>
    <n v="0"/>
    <n v="0"/>
    <n v="42"/>
    <n v="0"/>
    <n v="0"/>
    <n v="0"/>
    <m/>
    <m/>
    <m/>
    <m/>
    <m/>
    <m/>
    <m/>
    <m/>
    <m/>
    <m/>
    <m/>
    <m/>
    <m/>
    <m/>
    <m/>
    <m/>
    <m/>
    <m/>
    <m/>
    <m/>
    <m/>
    <m/>
    <m/>
    <m/>
    <m/>
    <m/>
    <m/>
    <m/>
    <m/>
    <m/>
    <m/>
    <m/>
    <m/>
    <m/>
  </r>
  <r>
    <n v="742"/>
    <d v="2025-04-10T00:00:00"/>
    <x v="0"/>
    <n v="9518683200"/>
    <n v="6"/>
    <s v="9518683200-6"/>
    <s v="No Priority"/>
    <x v="0"/>
    <s v="Yes"/>
    <x v="1"/>
    <x v="2"/>
    <x v="1"/>
    <m/>
    <x v="0"/>
    <m/>
    <m/>
    <s v="Andhra Pradesh"/>
    <s v="South"/>
    <m/>
    <x v="2"/>
    <x v="8"/>
    <x v="8"/>
    <x v="291"/>
    <s v="CRCA SHEET TATCRC SR16 0.450X1000X2440"/>
    <s v=""/>
    <m/>
    <m/>
    <m/>
    <m/>
    <x v="2"/>
    <x v="1"/>
    <s v="SR16"/>
    <x v="10"/>
    <x v="2"/>
    <x v="6"/>
    <n v="45"/>
    <n v="0"/>
    <n v="45"/>
    <n v="45"/>
    <n v="45"/>
    <n v="45"/>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7"/>
    <s v="9518683200-7"/>
    <s v="May'25"/>
    <x v="0"/>
    <s v="Yes"/>
    <x v="1"/>
    <x v="2"/>
    <x v="1"/>
    <m/>
    <x v="1"/>
    <m/>
    <m/>
    <s v="Andhra Pradesh"/>
    <s v="South"/>
    <m/>
    <x v="2"/>
    <x v="8"/>
    <x v="8"/>
    <x v="68"/>
    <s v="CRCA SHEET TSBCRC SR15 0.500X1000X2440"/>
    <s v=""/>
    <m/>
    <m/>
    <m/>
    <m/>
    <x v="2"/>
    <x v="4"/>
    <s v="SR15"/>
    <x v="1"/>
    <x v="2"/>
    <x v="6"/>
    <n v="45"/>
    <n v="0"/>
    <n v="45"/>
    <n v="45"/>
    <n v="0.54999999999999716"/>
    <n v="45"/>
    <n v="0"/>
    <n v="0"/>
    <n v="0"/>
    <n v="0"/>
    <n v="0"/>
    <n v="0"/>
    <n v="0"/>
    <n v="0"/>
    <n v="0"/>
    <n v="0"/>
    <n v="0"/>
    <n v="0"/>
    <n v="0"/>
    <n v="44.45"/>
    <n v="0"/>
    <n v="0"/>
    <n v="0"/>
    <n v="0"/>
    <n v="0"/>
    <n v="44.45"/>
    <n v="44.45"/>
    <n v="0"/>
    <n v="44.45"/>
    <m/>
    <n v="0"/>
    <n v="45"/>
    <n v="0"/>
    <n v="45"/>
    <n v="0"/>
    <n v="0"/>
    <n v="0"/>
    <n v="45"/>
    <n v="0"/>
    <n v="0"/>
    <n v="45"/>
    <n v="0"/>
    <n v="0"/>
    <n v="0"/>
    <m/>
    <m/>
    <m/>
    <m/>
    <m/>
    <m/>
    <m/>
    <m/>
    <m/>
    <m/>
    <m/>
    <m/>
    <m/>
    <m/>
    <m/>
    <m/>
    <m/>
    <m/>
    <m/>
    <m/>
    <m/>
    <m/>
    <m/>
    <m/>
    <m/>
    <m/>
    <m/>
    <m/>
    <m/>
    <m/>
    <m/>
    <m/>
    <m/>
    <m/>
  </r>
  <r>
    <n v="742"/>
    <d v="2025-04-10T00:00:00"/>
    <x v="0"/>
    <n v="9518683200"/>
    <n v="8"/>
    <s v="9518683200-8"/>
    <s v="May'25"/>
    <x v="0"/>
    <s v="Yes"/>
    <x v="1"/>
    <x v="2"/>
    <x v="1"/>
    <m/>
    <x v="1"/>
    <m/>
    <m/>
    <s v="Andhra Pradesh"/>
    <s v="South"/>
    <m/>
    <x v="2"/>
    <x v="8"/>
    <x v="8"/>
    <x v="28"/>
    <s v="CRCA SHEET TSBCRC SR15 0.500X1250X2500"/>
    <s v=""/>
    <m/>
    <m/>
    <m/>
    <m/>
    <x v="2"/>
    <x v="4"/>
    <s v="SR15"/>
    <x v="1"/>
    <x v="0"/>
    <x v="0"/>
    <n v="30"/>
    <n v="0"/>
    <n v="30"/>
    <n v="30"/>
    <n v="3.0450000000000017"/>
    <n v="30"/>
    <n v="0"/>
    <n v="0"/>
    <n v="0"/>
    <n v="0"/>
    <n v="0"/>
    <n v="0"/>
    <n v="0"/>
    <n v="0"/>
    <n v="26.954999999999998"/>
    <n v="0"/>
    <n v="0"/>
    <n v="0"/>
    <n v="0"/>
    <n v="0"/>
    <n v="0"/>
    <n v="0"/>
    <n v="0"/>
    <n v="0"/>
    <n v="0"/>
    <n v="26.954999999999998"/>
    <n v="26.954999999999998"/>
    <n v="0"/>
    <n v="26.954999999999998"/>
    <m/>
    <n v="0"/>
    <n v="30"/>
    <n v="30"/>
    <n v="0"/>
    <n v="0"/>
    <n v="0"/>
    <n v="0"/>
    <n v="30"/>
    <n v="0"/>
    <n v="30"/>
    <n v="0"/>
    <n v="0"/>
    <n v="0"/>
    <n v="0"/>
    <m/>
    <m/>
    <m/>
    <m/>
    <m/>
    <m/>
    <m/>
    <m/>
    <m/>
    <m/>
    <m/>
    <m/>
    <m/>
    <m/>
    <m/>
    <m/>
    <m/>
    <m/>
    <m/>
    <m/>
    <m/>
    <m/>
    <m/>
    <m/>
    <m/>
    <m/>
    <m/>
    <m/>
    <m/>
    <m/>
    <m/>
    <m/>
    <m/>
    <m/>
  </r>
  <r>
    <n v="742"/>
    <d v="2025-04-10T00:00:00"/>
    <x v="0"/>
    <n v="9518683200"/>
    <n v="12"/>
    <s v="9518683200-12"/>
    <s v="May'25"/>
    <x v="0"/>
    <s v="Yes"/>
    <x v="1"/>
    <x v="2"/>
    <x v="1"/>
    <m/>
    <x v="1"/>
    <m/>
    <m/>
    <s v="Andhra Pradesh"/>
    <s v="South"/>
    <m/>
    <x v="2"/>
    <x v="8"/>
    <x v="8"/>
    <x v="71"/>
    <s v="CRCA SHEET TSBCRC SR15 0.750X1000X2500"/>
    <s v=""/>
    <m/>
    <m/>
    <m/>
    <m/>
    <x v="2"/>
    <x v="4"/>
    <s v="SR15"/>
    <x v="28"/>
    <x v="2"/>
    <x v="3"/>
    <n v="24"/>
    <n v="0"/>
    <n v="24"/>
    <n v="24"/>
    <n v="1.6600000000000001"/>
    <n v="24"/>
    <n v="0"/>
    <n v="0"/>
    <n v="0"/>
    <n v="0"/>
    <n v="0"/>
    <n v="0"/>
    <n v="0"/>
    <n v="0"/>
    <n v="0"/>
    <n v="0"/>
    <n v="0"/>
    <n v="0"/>
    <n v="0"/>
    <n v="22.34"/>
    <n v="0"/>
    <n v="0"/>
    <n v="0"/>
    <n v="0"/>
    <n v="0"/>
    <n v="22.34"/>
    <n v="22.34"/>
    <n v="0"/>
    <n v="22.34"/>
    <m/>
    <n v="0"/>
    <n v="24"/>
    <n v="0"/>
    <n v="24"/>
    <n v="0"/>
    <n v="0"/>
    <n v="0"/>
    <n v="24"/>
    <n v="0"/>
    <n v="0"/>
    <n v="24"/>
    <n v="0"/>
    <n v="0"/>
    <n v="0"/>
    <m/>
    <m/>
    <m/>
    <m/>
    <m/>
    <m/>
    <m/>
    <m/>
    <m/>
    <m/>
    <m/>
    <m/>
    <m/>
    <m/>
    <m/>
    <m/>
    <m/>
    <m/>
    <m/>
    <m/>
    <m/>
    <m/>
    <m/>
    <m/>
    <m/>
    <m/>
    <m/>
    <m/>
    <m/>
    <m/>
    <m/>
    <m/>
    <m/>
    <m/>
  </r>
  <r>
    <n v="742"/>
    <d v="2025-04-10T00:00:00"/>
    <x v="0"/>
    <n v="9518683200"/>
    <n v="14"/>
    <s v="9518683200-14"/>
    <s v="No Priority"/>
    <x v="0"/>
    <m/>
    <x v="1"/>
    <x v="1"/>
    <x v="1"/>
    <m/>
    <x v="0"/>
    <m/>
    <m/>
    <s v="Andhra Pradesh"/>
    <s v="South"/>
    <m/>
    <x v="2"/>
    <x v="8"/>
    <x v="8"/>
    <x v="239"/>
    <s v="CRCA SHEET TATXXD AU03 0.80X1250X2500"/>
    <s v=""/>
    <m/>
    <m/>
    <m/>
    <m/>
    <x v="2"/>
    <x v="2"/>
    <s v="AU03"/>
    <x v="5"/>
    <x v="0"/>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15"/>
    <s v="9518683200-15"/>
    <s v="May'25"/>
    <x v="0"/>
    <m/>
    <x v="1"/>
    <x v="2"/>
    <x v="1"/>
    <m/>
    <x v="1"/>
    <m/>
    <m/>
    <s v="Andhra Pradesh"/>
    <s v="South"/>
    <m/>
    <x v="2"/>
    <x v="8"/>
    <x v="8"/>
    <x v="31"/>
    <s v="CRCA SHEET TSBCRC SR15 0.950X1000X2500"/>
    <s v=""/>
    <m/>
    <m/>
    <m/>
    <m/>
    <x v="2"/>
    <x v="4"/>
    <s v="SR15"/>
    <x v="16"/>
    <x v="2"/>
    <x v="3"/>
    <n v="24"/>
    <n v="0"/>
    <n v="24"/>
    <n v="24"/>
    <n v="1.509999999999998"/>
    <n v="24"/>
    <n v="0"/>
    <n v="0"/>
    <n v="0"/>
    <n v="0"/>
    <n v="0"/>
    <n v="0"/>
    <n v="0"/>
    <n v="0"/>
    <n v="0"/>
    <n v="0"/>
    <n v="0"/>
    <n v="0"/>
    <n v="22.490000000000002"/>
    <n v="0"/>
    <n v="0"/>
    <n v="0"/>
    <n v="0"/>
    <n v="0"/>
    <n v="0"/>
    <n v="22.490000000000002"/>
    <n v="22.490000000000002"/>
    <n v="0"/>
    <n v="22.490000000000002"/>
    <m/>
    <n v="0"/>
    <n v="24"/>
    <n v="0"/>
    <n v="24"/>
    <n v="0"/>
    <n v="0"/>
    <n v="0"/>
    <n v="24"/>
    <n v="0"/>
    <n v="0"/>
    <n v="24"/>
    <n v="0"/>
    <n v="0"/>
    <n v="0"/>
    <m/>
    <m/>
    <m/>
    <m/>
    <m/>
    <m/>
    <m/>
    <m/>
    <m/>
    <m/>
    <m/>
    <m/>
    <m/>
    <m/>
    <m/>
    <m/>
    <m/>
    <m/>
    <m/>
    <m/>
    <m/>
    <m/>
    <m/>
    <m/>
    <m/>
    <m/>
    <m/>
    <m/>
    <m/>
    <m/>
    <m/>
    <m/>
    <m/>
    <m/>
  </r>
  <r>
    <n v="742"/>
    <d v="2025-04-10T00:00:00"/>
    <x v="0"/>
    <n v="9518683200"/>
    <n v="16"/>
    <s v="9518683200-16"/>
    <s v="No Priority"/>
    <x v="0"/>
    <m/>
    <x v="1"/>
    <x v="1"/>
    <x v="1"/>
    <m/>
    <x v="0"/>
    <m/>
    <m/>
    <s v="Andhra Pradesh"/>
    <s v="South"/>
    <m/>
    <x v="2"/>
    <x v="8"/>
    <x v="8"/>
    <x v="335"/>
    <s v="CRCA SHEET TATXXD AU03 0.950X1250X2500"/>
    <s v=""/>
    <m/>
    <m/>
    <m/>
    <m/>
    <x v="2"/>
    <x v="2"/>
    <s v="AU03"/>
    <x v="16"/>
    <x v="0"/>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18"/>
    <s v="9518683200-18"/>
    <s v="No Priority"/>
    <x v="0"/>
    <m/>
    <x v="1"/>
    <x v="1"/>
    <x v="1"/>
    <m/>
    <x v="0"/>
    <m/>
    <m/>
    <s v="Andhra Pradesh"/>
    <s v="South"/>
    <m/>
    <x v="2"/>
    <x v="8"/>
    <x v="8"/>
    <x v="285"/>
    <s v="CRSHEET TATXXD AU03 1.50X1250X2500"/>
    <s v=""/>
    <m/>
    <m/>
    <m/>
    <m/>
    <x v="2"/>
    <x v="2"/>
    <s v="AU03"/>
    <x v="27"/>
    <x v="0"/>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0"/>
    <n v="20"/>
    <s v="9518683200-20"/>
    <s v="No Priority"/>
    <x v="0"/>
    <m/>
    <x v="1"/>
    <x v="1"/>
    <x v="1"/>
    <m/>
    <x v="0"/>
    <m/>
    <m/>
    <s v="Andhra Pradesh"/>
    <s v="South"/>
    <m/>
    <x v="2"/>
    <x v="8"/>
    <x v="8"/>
    <x v="287"/>
    <s v="CRSHEET C06TATXXD AU03 2.0X1250X2500"/>
    <s v=""/>
    <m/>
    <m/>
    <m/>
    <m/>
    <x v="2"/>
    <x v="2"/>
    <s v="AU03"/>
    <x v="15"/>
    <x v="0"/>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8"/>
    <n v="2"/>
    <s v="9518683208-2"/>
    <s v="No Priority"/>
    <x v="1"/>
    <m/>
    <x v="1"/>
    <x v="1"/>
    <x v="1"/>
    <m/>
    <x v="0"/>
    <m/>
    <m/>
    <s v="Andhra Pradesh"/>
    <s v="South"/>
    <m/>
    <x v="2"/>
    <x v="8"/>
    <x v="8"/>
    <x v="372"/>
    <s v="CRCA COIL-TATCRC-TR15-0.6X900"/>
    <s v=""/>
    <m/>
    <m/>
    <m/>
    <m/>
    <x v="1"/>
    <x v="1"/>
    <s v="TR15"/>
    <x v="20"/>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3208"/>
    <n v="6"/>
    <s v="9518683208-6"/>
    <s v="No Priority"/>
    <x v="0"/>
    <m/>
    <x v="1"/>
    <x v="1"/>
    <x v="1"/>
    <m/>
    <x v="0"/>
    <m/>
    <m/>
    <s v="Andhra Pradesh"/>
    <s v="South"/>
    <m/>
    <x v="2"/>
    <x v="8"/>
    <x v="8"/>
    <x v="102"/>
    <s v="CRCA COIL-TATXXD-AU03-1.6X1250"/>
    <s v=""/>
    <m/>
    <m/>
    <m/>
    <m/>
    <x v="1"/>
    <x v="2"/>
    <s v="AU03"/>
    <x v="22"/>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980"/>
    <n v="1"/>
    <s v="9518694980-1"/>
    <s v="No Priority"/>
    <x v="1"/>
    <m/>
    <x v="5"/>
    <x v="0"/>
    <x v="6"/>
    <m/>
    <x v="0"/>
    <m/>
    <m/>
    <s v="Maharashtra"/>
    <s v="West"/>
    <m/>
    <x v="2"/>
    <x v="37"/>
    <x v="37"/>
    <x v="445"/>
    <s v="CR COIL TATFHC RE02 0.350X1220"/>
    <s v=""/>
    <m/>
    <m/>
    <m/>
    <m/>
    <x v="6"/>
    <x v="12"/>
    <s v="RE02"/>
    <x v="6"/>
    <x v="1"/>
    <x v="0"/>
    <n v="196"/>
    <n v="0"/>
    <n v="196"/>
    <n v="196"/>
    <n v="196"/>
    <n v="196"/>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5"/>
    <s v="9518628976-5"/>
    <s v="No Priority"/>
    <x v="0"/>
    <m/>
    <x v="1"/>
    <x v="1"/>
    <x v="1"/>
    <m/>
    <x v="0"/>
    <m/>
    <m/>
    <s v="Tamil Nadu"/>
    <s v="South"/>
    <m/>
    <x v="2"/>
    <x v="13"/>
    <x v="13"/>
    <x v="446"/>
    <s v="CRCA SHEET TATXXD AU03 0.90X1250X2500"/>
    <s v=""/>
    <m/>
    <m/>
    <m/>
    <m/>
    <x v="2"/>
    <x v="2"/>
    <s v="AU03"/>
    <x v="13"/>
    <x v="0"/>
    <x v="0"/>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6"/>
    <s v="9518628976-6"/>
    <s v="No Priority"/>
    <x v="0"/>
    <m/>
    <x v="1"/>
    <x v="1"/>
    <x v="1"/>
    <m/>
    <x v="0"/>
    <m/>
    <m/>
    <s v="Tamil Nadu"/>
    <s v="South"/>
    <m/>
    <x v="2"/>
    <x v="13"/>
    <x v="13"/>
    <x v="444"/>
    <s v="CRSHEET TATXXD AU03 1.0X1250X2500"/>
    <s v=""/>
    <m/>
    <m/>
    <m/>
    <m/>
    <x v="2"/>
    <x v="2"/>
    <s v="AU03"/>
    <x v="17"/>
    <x v="0"/>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3-24T00:00:00"/>
    <x v="0"/>
    <n v="9518628976"/>
    <n v="11"/>
    <s v="9518628976-11"/>
    <s v="No Priority"/>
    <x v="0"/>
    <m/>
    <x v="1"/>
    <x v="1"/>
    <x v="1"/>
    <m/>
    <x v="0"/>
    <m/>
    <m/>
    <s v="Tamil Nadu"/>
    <s v="South"/>
    <m/>
    <x v="2"/>
    <x v="13"/>
    <x v="13"/>
    <x v="447"/>
    <s v="CRCA SHEET TATXXD AU03 2.5X1250X2500"/>
    <s v=""/>
    <m/>
    <m/>
    <m/>
    <m/>
    <x v="2"/>
    <x v="2"/>
    <s v="AU03"/>
    <x v="38"/>
    <x v="0"/>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438"/>
    <n v="5"/>
    <s v="9518649438-5"/>
    <s v="No Priority"/>
    <x v="0"/>
    <s v="Yes"/>
    <x v="1"/>
    <x v="2"/>
    <x v="1"/>
    <m/>
    <x v="0"/>
    <m/>
    <m/>
    <s v="Tamil Nadu"/>
    <s v="South"/>
    <m/>
    <x v="2"/>
    <x v="13"/>
    <x v="13"/>
    <x v="19"/>
    <s v="CRCA SHEET TATCRC SR16 0.300X900X2500"/>
    <s v=""/>
    <m/>
    <m/>
    <m/>
    <m/>
    <x v="2"/>
    <x v="1"/>
    <s v="SR16"/>
    <x v="11"/>
    <x v="3"/>
    <x v="3"/>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438"/>
    <n v="7"/>
    <s v="9518649438-7"/>
    <s v="No Priority"/>
    <x v="1"/>
    <s v="Yes"/>
    <x v="1"/>
    <x v="2"/>
    <x v="1"/>
    <m/>
    <x v="0"/>
    <m/>
    <m/>
    <s v="Tamil Nadu"/>
    <s v="South"/>
    <m/>
    <x v="2"/>
    <x v="13"/>
    <x v="13"/>
    <x v="9"/>
    <s v="CRCA SHEET TATCRC SR16 0.350X1000X1980"/>
    <s v=""/>
    <m/>
    <m/>
    <m/>
    <m/>
    <x v="2"/>
    <x v="1"/>
    <s v="SR16"/>
    <x v="6"/>
    <x v="2"/>
    <x v="4"/>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438"/>
    <n v="8"/>
    <s v="9518649438-8"/>
    <s v="No Priority"/>
    <x v="0"/>
    <s v="Yes"/>
    <x v="1"/>
    <x v="2"/>
    <x v="1"/>
    <m/>
    <x v="0"/>
    <m/>
    <m/>
    <s v="Tamil Nadu"/>
    <s v="South"/>
    <m/>
    <x v="2"/>
    <x v="13"/>
    <x v="13"/>
    <x v="144"/>
    <s v="CRCA SHEET TATCRC SR16 0.400X900X2500"/>
    <s v=""/>
    <m/>
    <m/>
    <m/>
    <m/>
    <x v="2"/>
    <x v="1"/>
    <s v="SR16"/>
    <x v="2"/>
    <x v="3"/>
    <x v="3"/>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438"/>
    <n v="9"/>
    <s v="9518649438-9"/>
    <s v="No Priority"/>
    <x v="0"/>
    <s v="Yes"/>
    <x v="1"/>
    <x v="2"/>
    <x v="1"/>
    <m/>
    <x v="0"/>
    <m/>
    <m/>
    <s v="Tamil Nadu"/>
    <s v="South"/>
    <m/>
    <x v="2"/>
    <x v="13"/>
    <x v="13"/>
    <x v="10"/>
    <s v="CRCA SHEET TATCRC SR16 0.400X1000X1980"/>
    <s v=""/>
    <m/>
    <m/>
    <m/>
    <m/>
    <x v="2"/>
    <x v="1"/>
    <s v="SR16"/>
    <x v="2"/>
    <x v="2"/>
    <x v="4"/>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438"/>
    <n v="10"/>
    <s v="9518649438-10"/>
    <s v="No Priority"/>
    <x v="0"/>
    <s v="Yes"/>
    <x v="1"/>
    <x v="2"/>
    <x v="1"/>
    <m/>
    <x v="0"/>
    <m/>
    <m/>
    <s v="Tamil Nadu"/>
    <s v="South"/>
    <m/>
    <x v="2"/>
    <x v="13"/>
    <x v="13"/>
    <x v="145"/>
    <s v="CRCA SHEET TATCRC SR16 0.400X1250X2500"/>
    <s v=""/>
    <m/>
    <m/>
    <m/>
    <m/>
    <x v="2"/>
    <x v="1"/>
    <s v="SR16"/>
    <x v="2"/>
    <x v="0"/>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521"/>
    <n v="1"/>
    <s v="9518649521-1"/>
    <s v="No Priority"/>
    <x v="1"/>
    <m/>
    <x v="1"/>
    <x v="2"/>
    <x v="1"/>
    <m/>
    <x v="0"/>
    <m/>
    <m/>
    <s v="Tamil Nadu"/>
    <s v="South"/>
    <m/>
    <x v="2"/>
    <x v="13"/>
    <x v="13"/>
    <x v="9"/>
    <s v="CRCA SHEET TATCRC SR16 0.350X1000X1980"/>
    <s v=""/>
    <m/>
    <m/>
    <m/>
    <m/>
    <x v="2"/>
    <x v="1"/>
    <s v="SR16"/>
    <x v="6"/>
    <x v="2"/>
    <x v="4"/>
    <n v="15"/>
    <n v="0"/>
    <n v="15"/>
    <n v="15"/>
    <n v="15"/>
    <n v="15"/>
    <n v="0"/>
    <n v="0"/>
    <n v="0"/>
    <n v="0"/>
    <n v="0"/>
    <n v="0"/>
    <n v="0"/>
    <n v="0"/>
    <n v="0"/>
    <n v="0"/>
    <n v="0"/>
    <n v="0"/>
    <n v="0"/>
    <n v="0"/>
    <n v="0"/>
    <n v="0"/>
    <n v="0"/>
    <n v="0"/>
    <n v="0"/>
    <n v="0"/>
    <n v="0"/>
    <n v="0"/>
    <n v="0"/>
    <m/>
    <n v="0"/>
    <n v="0"/>
    <n v="0"/>
    <n v="0"/>
    <n v="0"/>
    <n v="0"/>
    <n v="0"/>
    <n v="0"/>
    <n v="0"/>
    <n v="0"/>
    <n v="0"/>
    <n v="0"/>
    <n v="0"/>
    <n v="0"/>
    <m/>
    <m/>
    <m/>
    <m/>
    <m/>
    <m/>
    <m/>
    <m/>
    <m/>
    <m/>
    <m/>
    <m/>
    <m/>
    <m/>
    <m/>
    <m/>
    <m/>
    <m/>
    <m/>
    <m/>
    <m/>
    <m/>
    <m/>
    <m/>
    <m/>
    <m/>
    <m/>
    <m/>
    <m/>
    <m/>
    <m/>
    <m/>
    <m/>
    <m/>
  </r>
  <r>
    <n v="742"/>
    <d v="2025-03-28T00:00:00"/>
    <x v="0"/>
    <n v="9518649521"/>
    <n v="2"/>
    <s v="9518649521-2"/>
    <s v="No Priority"/>
    <x v="1"/>
    <m/>
    <x v="1"/>
    <x v="2"/>
    <x v="1"/>
    <m/>
    <x v="0"/>
    <m/>
    <m/>
    <s v="Tamil Nadu"/>
    <s v="South"/>
    <m/>
    <x v="2"/>
    <x v="13"/>
    <x v="13"/>
    <x v="145"/>
    <s v="CRCA SHEET TATCRC SR16 0.400X1250X2500"/>
    <s v=""/>
    <m/>
    <m/>
    <m/>
    <m/>
    <x v="2"/>
    <x v="1"/>
    <s v="SR16"/>
    <x v="2"/>
    <x v="0"/>
    <x v="0"/>
    <n v="24"/>
    <n v="0"/>
    <n v="24"/>
    <n v="24"/>
    <n v="24"/>
    <n v="24"/>
    <n v="0"/>
    <n v="0"/>
    <n v="0"/>
    <n v="0"/>
    <n v="0"/>
    <n v="0"/>
    <n v="0"/>
    <n v="0"/>
    <n v="0"/>
    <n v="0"/>
    <n v="0"/>
    <n v="0"/>
    <n v="0"/>
    <n v="0"/>
    <n v="0"/>
    <n v="0"/>
    <n v="0"/>
    <n v="0"/>
    <n v="0"/>
    <n v="0"/>
    <n v="0"/>
    <n v="0"/>
    <n v="0"/>
    <m/>
    <n v="0"/>
    <n v="0"/>
    <n v="0"/>
    <n v="0"/>
    <n v="0"/>
    <n v="0"/>
    <n v="0"/>
    <n v="0"/>
    <n v="0"/>
    <n v="0"/>
    <n v="0"/>
    <n v="0"/>
    <n v="0"/>
    <n v="0"/>
    <m/>
    <m/>
    <m/>
    <m/>
    <m/>
    <m/>
    <m/>
    <m/>
    <m/>
    <m/>
    <m/>
    <m/>
    <m/>
    <m/>
    <m/>
    <m/>
    <m/>
    <m/>
    <m/>
    <m/>
    <m/>
    <m/>
    <m/>
    <m/>
    <m/>
    <m/>
    <m/>
    <m/>
    <m/>
    <m/>
    <m/>
    <m/>
    <m/>
    <m/>
  </r>
  <r>
    <n v="743"/>
    <d v="2025-03-19T00:00:00"/>
    <x v="0"/>
    <n v="9518613800"/>
    <n v="2"/>
    <s v="9518613800-2"/>
    <s v="May'25"/>
    <x v="0"/>
    <m/>
    <x v="4"/>
    <x v="3"/>
    <x v="3"/>
    <m/>
    <x v="1"/>
    <m/>
    <m/>
    <s v="Jharkhand"/>
    <s v="TBSPL"/>
    <m/>
    <x v="2"/>
    <x v="22"/>
    <x v="39"/>
    <x v="448"/>
    <s v="GL C YS550 H6GL 0.75BMT(0.80TCT)X1220"/>
    <n v="150"/>
    <m/>
    <m/>
    <m/>
    <m/>
    <x v="5"/>
    <x v="7"/>
    <s v="H6GL"/>
    <x v="28"/>
    <x v="1"/>
    <x v="0"/>
    <n v="28"/>
    <n v="0"/>
    <n v="28"/>
    <n v="28"/>
    <n v="-0.40000000000000213"/>
    <n v="28"/>
    <n v="0"/>
    <n v="0"/>
    <n v="0"/>
    <n v="0"/>
    <n v="0"/>
    <n v="14.135000000000002"/>
    <n v="0"/>
    <n v="0"/>
    <n v="0"/>
    <n v="0"/>
    <n v="0"/>
    <n v="0"/>
    <n v="0"/>
    <n v="0"/>
    <n v="0"/>
    <n v="14.265000000000001"/>
    <n v="0"/>
    <n v="0"/>
    <n v="0"/>
    <n v="28.400000000000002"/>
    <n v="28.400000000000002"/>
    <n v="0"/>
    <n v="28.400000000000002"/>
    <m/>
    <n v="0"/>
    <n v="28"/>
    <n v="0"/>
    <n v="28"/>
    <n v="0"/>
    <n v="0"/>
    <n v="0"/>
    <n v="28"/>
    <n v="0"/>
    <n v="0"/>
    <n v="28"/>
    <n v="0"/>
    <n v="0"/>
    <n v="0"/>
    <m/>
    <m/>
    <m/>
    <m/>
    <m/>
    <m/>
    <m/>
    <m/>
    <m/>
    <m/>
    <m/>
    <m/>
    <m/>
    <m/>
    <m/>
    <m/>
    <m/>
    <m/>
    <m/>
    <m/>
    <m/>
    <m/>
    <m/>
    <m/>
    <m/>
    <m/>
    <m/>
    <m/>
    <m/>
    <m/>
    <m/>
    <m/>
    <m/>
    <m/>
  </r>
  <r>
    <n v="743"/>
    <d v="2025-03-29T00:00:00"/>
    <x v="0"/>
    <n v="9518652242"/>
    <n v="1"/>
    <s v="9518652242-1"/>
    <s v="No Priority"/>
    <x v="0"/>
    <m/>
    <x v="4"/>
    <x v="3"/>
    <x v="3"/>
    <m/>
    <x v="0"/>
    <m/>
    <m/>
    <s v="Jharkhand"/>
    <s v="TBSPL"/>
    <m/>
    <x v="2"/>
    <x v="39"/>
    <x v="39"/>
    <x v="146"/>
    <s v="GL COIL HARD  Y550GL M306 0.350X900"/>
    <n v="70"/>
    <m/>
    <m/>
    <m/>
    <m/>
    <x v="5"/>
    <x v="7"/>
    <s v="M306"/>
    <x v="6"/>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4-08T00:00:00"/>
    <x v="0"/>
    <n v="9518677562"/>
    <n v="1"/>
    <s v="9518677562-1"/>
    <s v="No Priority"/>
    <x v="0"/>
    <m/>
    <x v="4"/>
    <x v="3"/>
    <x v="3"/>
    <m/>
    <x v="0"/>
    <m/>
    <m/>
    <s v="Jharkhand"/>
    <s v="TBSPL"/>
    <m/>
    <x v="2"/>
    <x v="22"/>
    <x v="39"/>
    <x v="34"/>
    <s v="GL C YS550 H6GL 0.55BMT(0.60TCT)X1220"/>
    <n v="150"/>
    <m/>
    <m/>
    <m/>
    <m/>
    <x v="5"/>
    <x v="7"/>
    <s v="H6GL"/>
    <x v="18"/>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3"/>
    <d v="2025-04-08T00:00:00"/>
    <x v="0"/>
    <n v="9518677562"/>
    <n v="2"/>
    <s v="9518677562-2"/>
    <s v="May'25"/>
    <x v="0"/>
    <s v="Yes"/>
    <x v="4"/>
    <x v="3"/>
    <x v="3"/>
    <m/>
    <x v="1"/>
    <m/>
    <m/>
    <s v="Jharkhand"/>
    <s v="TBSPL"/>
    <m/>
    <x v="2"/>
    <x v="22"/>
    <x v="39"/>
    <x v="35"/>
    <s v="GL C YS550 H6GL 0.45BMT(0.50TCT)X1220"/>
    <n v="150"/>
    <m/>
    <m/>
    <m/>
    <m/>
    <x v="5"/>
    <x v="7"/>
    <s v="H6GL"/>
    <x v="10"/>
    <x v="1"/>
    <x v="0"/>
    <n v="280"/>
    <n v="0"/>
    <n v="280"/>
    <n v="280"/>
    <n v="280"/>
    <n v="280"/>
    <n v="0"/>
    <n v="0"/>
    <n v="0"/>
    <n v="0"/>
    <n v="0"/>
    <n v="0"/>
    <n v="0"/>
    <n v="0"/>
    <n v="0"/>
    <n v="0"/>
    <n v="0"/>
    <n v="0"/>
    <n v="0"/>
    <n v="0"/>
    <n v="0"/>
    <n v="0"/>
    <n v="0"/>
    <n v="0"/>
    <n v="0"/>
    <n v="0"/>
    <n v="0"/>
    <n v="0"/>
    <n v="0"/>
    <m/>
    <n v="0"/>
    <n v="280"/>
    <n v="0"/>
    <n v="0"/>
    <n v="0"/>
    <n v="0"/>
    <n v="280"/>
    <n v="0"/>
    <n v="0"/>
    <n v="0"/>
    <n v="0"/>
    <n v="0"/>
    <n v="0"/>
    <n v="280"/>
    <m/>
    <m/>
    <m/>
    <m/>
    <m/>
    <m/>
    <m/>
    <m/>
    <m/>
    <m/>
    <m/>
    <m/>
    <m/>
    <m/>
    <m/>
    <m/>
    <m/>
    <m/>
    <m/>
    <m/>
    <m/>
    <m/>
    <m/>
    <m/>
    <m/>
    <m/>
    <m/>
    <m/>
    <m/>
    <m/>
    <m/>
    <m/>
    <m/>
    <m/>
  </r>
  <r>
    <n v="743"/>
    <d v="2025-04-08T00:00:00"/>
    <x v="0"/>
    <n v="9518677562"/>
    <n v="3"/>
    <s v="9518677562-3"/>
    <s v="No Priority"/>
    <x v="0"/>
    <s v="Yes"/>
    <x v="4"/>
    <x v="3"/>
    <x v="3"/>
    <m/>
    <x v="0"/>
    <m/>
    <m/>
    <s v="Jharkhand"/>
    <s v="TBSPL"/>
    <m/>
    <x v="2"/>
    <x v="22"/>
    <x v="39"/>
    <x v="35"/>
    <s v="GL C YS550 H6GL 0.45BMT(0.50TCT)X1220"/>
    <n v="150"/>
    <m/>
    <m/>
    <m/>
    <m/>
    <x v="5"/>
    <x v="7"/>
    <s v="H6GL"/>
    <x v="10"/>
    <x v="1"/>
    <x v="0"/>
    <n v="28"/>
    <n v="0"/>
    <n v="28"/>
    <n v="28"/>
    <n v="28"/>
    <n v="28"/>
    <n v="0"/>
    <n v="0"/>
    <n v="0"/>
    <n v="0"/>
    <n v="0"/>
    <n v="0"/>
    <n v="0"/>
    <n v="0"/>
    <n v="0"/>
    <n v="0"/>
    <n v="0"/>
    <n v="0"/>
    <n v="0"/>
    <n v="0"/>
    <n v="0"/>
    <n v="0"/>
    <n v="0"/>
    <n v="0"/>
    <n v="0"/>
    <n v="0"/>
    <n v="0"/>
    <n v="0"/>
    <n v="0"/>
    <m/>
    <n v="0"/>
    <n v="0"/>
    <n v="0"/>
    <n v="0"/>
    <n v="0"/>
    <n v="0"/>
    <n v="0"/>
    <n v="0"/>
    <n v="0"/>
    <n v="0"/>
    <n v="0"/>
    <n v="0"/>
    <n v="0"/>
    <n v="0"/>
    <m/>
    <m/>
    <m/>
    <m/>
    <m/>
    <m/>
    <m/>
    <m/>
    <m/>
    <m/>
    <m/>
    <m/>
    <m/>
    <m/>
    <m/>
    <m/>
    <m/>
    <m/>
    <m/>
    <m/>
    <m/>
    <m/>
    <m/>
    <m/>
    <m/>
    <m/>
    <m/>
    <m/>
    <m/>
    <m/>
    <m/>
    <m/>
    <m/>
    <m/>
  </r>
  <r>
    <n v="743"/>
    <d v="2025-04-10T00:00:00"/>
    <x v="0"/>
    <n v="9518682605"/>
    <n v="1"/>
    <s v="9518682605-1"/>
    <s v="No Priority"/>
    <x v="0"/>
    <s v="Yes"/>
    <x v="4"/>
    <x v="3"/>
    <x v="3"/>
    <m/>
    <x v="0"/>
    <m/>
    <m/>
    <s v="Jharkhand"/>
    <s v="TBSPL"/>
    <m/>
    <x v="2"/>
    <x v="22"/>
    <x v="39"/>
    <x v="35"/>
    <s v="GL C YS550 H6GL 0.45BMT(0.50TCT)X1220"/>
    <n v="150"/>
    <m/>
    <m/>
    <m/>
    <m/>
    <x v="5"/>
    <x v="7"/>
    <s v="H6GL"/>
    <x v="10"/>
    <x v="1"/>
    <x v="0"/>
    <n v="56"/>
    <n v="0"/>
    <n v="56"/>
    <n v="56"/>
    <n v="56"/>
    <n v="56"/>
    <n v="0"/>
    <n v="0"/>
    <n v="0"/>
    <n v="0"/>
    <n v="0"/>
    <n v="0"/>
    <n v="0"/>
    <n v="0"/>
    <n v="0"/>
    <n v="0"/>
    <n v="0"/>
    <n v="0"/>
    <n v="0"/>
    <n v="0"/>
    <n v="0"/>
    <n v="0"/>
    <n v="0"/>
    <n v="0"/>
    <n v="0"/>
    <n v="0"/>
    <n v="0"/>
    <n v="0"/>
    <n v="0"/>
    <m/>
    <n v="0"/>
    <n v="0"/>
    <n v="0"/>
    <n v="0"/>
    <n v="0"/>
    <n v="0"/>
    <n v="0"/>
    <n v="0"/>
    <n v="0"/>
    <n v="0"/>
    <n v="0"/>
    <n v="0"/>
    <n v="0"/>
    <n v="0"/>
    <m/>
    <m/>
    <m/>
    <m/>
    <m/>
    <m/>
    <m/>
    <m/>
    <m/>
    <m/>
    <m/>
    <m/>
    <m/>
    <m/>
    <m/>
    <m/>
    <m/>
    <m/>
    <m/>
    <m/>
    <m/>
    <m/>
    <m/>
    <m/>
    <m/>
    <m/>
    <m/>
    <m/>
    <m/>
    <m/>
    <m/>
    <m/>
    <m/>
    <m/>
  </r>
  <r>
    <n v="744"/>
    <d v="2025-04-17T00:00:00"/>
    <x v="0"/>
    <n v="9518699134"/>
    <n v="1"/>
    <s v="9518699134-1"/>
    <s v="May'25"/>
    <x v="0"/>
    <m/>
    <x v="2"/>
    <x v="3"/>
    <x v="3"/>
    <m/>
    <x v="1"/>
    <m/>
    <m/>
    <s v="Jharkhand"/>
    <s v="TBSPL"/>
    <m/>
    <x v="2"/>
    <x v="6"/>
    <x v="39"/>
    <x v="84"/>
    <s v="PPGL C HARD Y550PL D0C9 0.50(TPT)X1220"/>
    <n v="150"/>
    <m/>
    <m/>
    <m/>
    <m/>
    <x v="3"/>
    <x v="3"/>
    <s v="D0C9"/>
    <x v="1"/>
    <x v="1"/>
    <x v="0"/>
    <n v="56"/>
    <n v="0"/>
    <n v="56"/>
    <n v="56"/>
    <n v="56"/>
    <n v="56"/>
    <n v="0"/>
    <n v="0"/>
    <n v="0"/>
    <n v="0"/>
    <n v="0"/>
    <n v="0"/>
    <n v="0"/>
    <n v="0"/>
    <n v="0"/>
    <n v="0"/>
    <n v="0"/>
    <n v="0"/>
    <n v="0"/>
    <n v="0"/>
    <n v="0"/>
    <n v="0"/>
    <n v="0"/>
    <n v="0"/>
    <n v="0"/>
    <n v="0"/>
    <n v="0"/>
    <n v="0"/>
    <n v="0"/>
    <m/>
    <n v="0"/>
    <n v="56"/>
    <n v="0"/>
    <n v="0"/>
    <n v="0"/>
    <n v="56"/>
    <n v="0"/>
    <n v="56"/>
    <n v="0"/>
    <n v="0"/>
    <n v="0"/>
    <n v="0"/>
    <n v="56"/>
    <n v="0"/>
    <m/>
    <m/>
    <m/>
    <m/>
    <m/>
    <m/>
    <m/>
    <m/>
    <m/>
    <m/>
    <m/>
    <m/>
    <m/>
    <m/>
    <m/>
    <m/>
    <m/>
    <m/>
    <m/>
    <m/>
    <m/>
    <m/>
    <m/>
    <m/>
    <m/>
    <m/>
    <m/>
    <m/>
    <m/>
    <m/>
    <m/>
    <m/>
    <m/>
    <m/>
  </r>
  <r>
    <n v="744"/>
    <d v="2025-04-15T00:00:00"/>
    <x v="0"/>
    <n v="9518694961"/>
    <n v="2"/>
    <s v="9518694961-2"/>
    <s v="May'25"/>
    <x v="0"/>
    <m/>
    <x v="2"/>
    <x v="3"/>
    <x v="3"/>
    <m/>
    <x v="1"/>
    <m/>
    <m/>
    <s v="Jharkhand"/>
    <s v="TBSPL"/>
    <m/>
    <x v="2"/>
    <x v="15"/>
    <x v="15"/>
    <x v="85"/>
    <s v="PPGL C Y550 ISC6 0.35BMT(0.40TPT)X1220"/>
    <n v="70"/>
    <m/>
    <m/>
    <m/>
    <m/>
    <x v="3"/>
    <x v="3"/>
    <s v="ISC6"/>
    <x v="6"/>
    <x v="1"/>
    <x v="0"/>
    <n v="56"/>
    <n v="0"/>
    <n v="56"/>
    <n v="56"/>
    <n v="56"/>
    <n v="56"/>
    <n v="0"/>
    <n v="0"/>
    <n v="0"/>
    <n v="0"/>
    <n v="0"/>
    <n v="0"/>
    <n v="0"/>
    <n v="0"/>
    <n v="0"/>
    <n v="0"/>
    <n v="0"/>
    <n v="0"/>
    <n v="0"/>
    <n v="0"/>
    <n v="0"/>
    <n v="0"/>
    <n v="0"/>
    <n v="0"/>
    <n v="0"/>
    <n v="0"/>
    <n v="0"/>
    <n v="0"/>
    <n v="0"/>
    <m/>
    <n v="0"/>
    <n v="56"/>
    <n v="0"/>
    <n v="56"/>
    <n v="0"/>
    <n v="0"/>
    <n v="0"/>
    <n v="56"/>
    <n v="0"/>
    <n v="0"/>
    <n v="56"/>
    <n v="0"/>
    <n v="0"/>
    <n v="0"/>
    <m/>
    <m/>
    <m/>
    <m/>
    <m/>
    <m/>
    <m/>
    <m/>
    <m/>
    <m/>
    <m/>
    <m/>
    <m/>
    <m/>
    <m/>
    <m/>
    <m/>
    <m/>
    <m/>
    <m/>
    <m/>
    <m/>
    <m/>
    <m/>
    <m/>
    <m/>
    <m/>
    <m/>
    <m/>
    <m/>
    <m/>
    <m/>
    <m/>
    <m/>
  </r>
  <r>
    <n v="4210"/>
    <d v="2025-03-26T00:00:00"/>
    <x v="1"/>
    <n v="9518635433"/>
    <n v="2"/>
    <s v="9518635433-2"/>
    <s v="No Priority"/>
    <x v="0"/>
    <m/>
    <x v="1"/>
    <x v="10"/>
    <x v="3"/>
    <m/>
    <x v="0"/>
    <m/>
    <s v="Deprioritized after SPA's instruction"/>
    <s v="West Bengal"/>
    <s v="East"/>
    <m/>
    <x v="2"/>
    <x v="24"/>
    <x v="63"/>
    <x v="449"/>
    <s v="CR COIL TATXHS GB03 1.500X1250"/>
    <s v=""/>
    <m/>
    <m/>
    <m/>
    <m/>
    <x v="1"/>
    <x v="8"/>
    <s v="GB03"/>
    <x v="27"/>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4310"/>
    <d v="2025-03-26T00:00:00"/>
    <x v="1"/>
    <n v="9518637257"/>
    <n v="2"/>
    <s v="9518637257-2"/>
    <s v="No Priority"/>
    <x v="1"/>
    <m/>
    <x v="1"/>
    <x v="10"/>
    <x v="3"/>
    <m/>
    <x v="0"/>
    <m/>
    <m/>
    <s v="West Bengal"/>
    <s v="East"/>
    <m/>
    <x v="2"/>
    <x v="24"/>
    <x v="63"/>
    <x v="450"/>
    <s v="CRCA COIL SA1010 TU97 1.180X1250"/>
    <s v=""/>
    <m/>
    <m/>
    <m/>
    <m/>
    <x v="1"/>
    <x v="15"/>
    <s v="TU97"/>
    <x v="73"/>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4310"/>
    <d v="2025-03-26T00:00:00"/>
    <x v="1"/>
    <n v="9518637257"/>
    <n v="3"/>
    <s v="9518637257-3"/>
    <s v="No Priority"/>
    <x v="1"/>
    <m/>
    <x v="1"/>
    <x v="10"/>
    <x v="3"/>
    <m/>
    <x v="0"/>
    <m/>
    <m/>
    <s v="West Bengal"/>
    <s v="East"/>
    <m/>
    <x v="2"/>
    <x v="24"/>
    <x v="63"/>
    <x v="451"/>
    <s v="CR COIL SA1010 TU97 1.450X1250"/>
    <s v=""/>
    <m/>
    <m/>
    <m/>
    <m/>
    <x v="1"/>
    <x v="15"/>
    <s v="TU97"/>
    <x v="74"/>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4310"/>
    <d v="2025-03-26T00:00:00"/>
    <x v="1"/>
    <n v="9518637257"/>
    <n v="4"/>
    <s v="9518637257-4"/>
    <s v="No Priority"/>
    <x v="1"/>
    <m/>
    <x v="1"/>
    <x v="10"/>
    <x v="3"/>
    <m/>
    <x v="0"/>
    <m/>
    <m/>
    <s v="West Bengal"/>
    <s v="East"/>
    <m/>
    <x v="2"/>
    <x v="24"/>
    <x v="63"/>
    <x v="452"/>
    <s v="CRCA COIL SA1010 TU97 1.530X1250"/>
    <s v=""/>
    <m/>
    <m/>
    <m/>
    <m/>
    <x v="1"/>
    <x v="15"/>
    <s v="TU97"/>
    <x v="75"/>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8214"/>
    <d v="2025-04-03T00:00:00"/>
    <x v="1"/>
    <n v="9518667402"/>
    <n v="1"/>
    <s v="9518667402-1"/>
    <s v="No Priority"/>
    <x v="1"/>
    <m/>
    <x v="1"/>
    <x v="10"/>
    <x v="3"/>
    <m/>
    <x v="0"/>
    <m/>
    <m/>
    <s v="West Bengal"/>
    <s v="East"/>
    <m/>
    <x v="2"/>
    <x v="24"/>
    <x v="63"/>
    <x v="453"/>
    <s v="CRCA SHEET TATXXD AH12 1.550X1250X2500"/>
    <s v=""/>
    <m/>
    <m/>
    <m/>
    <m/>
    <x v="2"/>
    <x v="2"/>
    <s v="AH12"/>
    <x v="76"/>
    <x v="0"/>
    <x v="3"/>
    <n v="27"/>
    <n v="0"/>
    <n v="27"/>
    <n v="27"/>
    <n v="27"/>
    <n v="27"/>
    <n v="0"/>
    <n v="0"/>
    <n v="0"/>
    <n v="0"/>
    <n v="0"/>
    <n v="0"/>
    <n v="0"/>
    <n v="0"/>
    <n v="0"/>
    <n v="0"/>
    <n v="0"/>
    <n v="0"/>
    <n v="0"/>
    <n v="0"/>
    <n v="0"/>
    <n v="0"/>
    <n v="0"/>
    <n v="0"/>
    <n v="0"/>
    <n v="0"/>
    <n v="0"/>
    <n v="0"/>
    <n v="0"/>
    <m/>
    <n v="0"/>
    <n v="0"/>
    <n v="0"/>
    <n v="0"/>
    <n v="0"/>
    <n v="0"/>
    <n v="0"/>
    <n v="0"/>
    <n v="0"/>
    <n v="0"/>
    <n v="0"/>
    <n v="0"/>
    <n v="0"/>
    <n v="0"/>
    <m/>
    <m/>
    <m/>
    <m/>
    <m/>
    <m/>
    <m/>
    <m/>
    <m/>
    <m/>
    <m/>
    <m/>
    <m/>
    <m/>
    <m/>
    <m/>
    <m/>
    <m/>
    <m/>
    <m/>
    <m/>
    <m/>
    <m/>
    <m/>
    <m/>
    <m/>
    <m/>
    <m/>
    <m/>
    <m/>
    <m/>
    <m/>
    <m/>
    <m/>
  </r>
  <r>
    <n v="742"/>
    <d v="2025-03-31T00:00:00"/>
    <x v="0"/>
    <n v="9518661095"/>
    <n v="2"/>
    <s v="9518661095-2"/>
    <s v="No Priority"/>
    <x v="0"/>
    <m/>
    <x v="1"/>
    <x v="11"/>
    <x v="1"/>
    <m/>
    <x v="0"/>
    <m/>
    <m/>
    <s v="Maharashtra"/>
    <s v="West"/>
    <m/>
    <x v="2"/>
    <x v="0"/>
    <x v="38"/>
    <x v="454"/>
    <s v="CR COIL TATXXD AH03 1X1320"/>
    <s v=""/>
    <m/>
    <m/>
    <m/>
    <m/>
    <x v="1"/>
    <x v="2"/>
    <s v="AH03"/>
    <x v="17"/>
    <x v="9"/>
    <x v="0"/>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3-31T00:00:00"/>
    <x v="0"/>
    <n v="9518661103"/>
    <n v="1"/>
    <s v="9518661103-1"/>
    <s v="No Priority"/>
    <x v="0"/>
    <m/>
    <x v="1"/>
    <x v="11"/>
    <x v="1"/>
    <m/>
    <x v="0"/>
    <m/>
    <m/>
    <s v="Maharashtra"/>
    <s v="West"/>
    <m/>
    <x v="2"/>
    <x v="0"/>
    <x v="38"/>
    <x v="455"/>
    <s v="CR COIL TATXXD AH03 1.200X1320"/>
    <s v=""/>
    <m/>
    <m/>
    <m/>
    <m/>
    <x v="1"/>
    <x v="2"/>
    <s v="AH03"/>
    <x v="19"/>
    <x v="9"/>
    <x v="0"/>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4-07T00:00:00"/>
    <x v="0"/>
    <n v="9518674992"/>
    <n v="3"/>
    <s v="9518674992-3"/>
    <s v="No Priority"/>
    <x v="0"/>
    <m/>
    <x v="1"/>
    <x v="1"/>
    <x v="1"/>
    <m/>
    <x v="0"/>
    <m/>
    <m/>
    <s v="Karnataka"/>
    <s v="South"/>
    <m/>
    <x v="2"/>
    <x v="40"/>
    <x v="38"/>
    <x v="290"/>
    <s v="CRCA COIL-TATXXD-AU03-0.45X1250"/>
    <s v=""/>
    <m/>
    <m/>
    <m/>
    <m/>
    <x v="1"/>
    <x v="2"/>
    <s v="AU03"/>
    <x v="10"/>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4-08T00:00:00"/>
    <x v="0"/>
    <n v="9518677311"/>
    <n v="1"/>
    <s v="9518677311-1"/>
    <s v="No Priority"/>
    <x v="0"/>
    <m/>
    <x v="1"/>
    <x v="15"/>
    <x v="4"/>
    <m/>
    <x v="0"/>
    <m/>
    <m/>
    <s v="Tamil Nadu"/>
    <s v="South"/>
    <m/>
    <x v="2"/>
    <x v="111"/>
    <x v="38"/>
    <x v="456"/>
    <s v="CRCA COIL-TATXXD-AU14-1.6X1250"/>
    <s v=""/>
    <m/>
    <m/>
    <m/>
    <m/>
    <x v="1"/>
    <x v="2"/>
    <s v="AU14"/>
    <x v="22"/>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4-08T00:00:00"/>
    <x v="0"/>
    <n v="9518677311"/>
    <n v="2"/>
    <s v="9518677311-2"/>
    <s v="No Priority"/>
    <x v="0"/>
    <m/>
    <x v="1"/>
    <x v="15"/>
    <x v="4"/>
    <m/>
    <x v="0"/>
    <m/>
    <m/>
    <s v="Tamil Nadu"/>
    <s v="South"/>
    <m/>
    <x v="2"/>
    <x v="111"/>
    <x v="38"/>
    <x v="457"/>
    <s v="CRCOIL C01 DQ TATXXD AU14 2.50 X 1250"/>
    <s v=""/>
    <m/>
    <m/>
    <m/>
    <m/>
    <x v="1"/>
    <x v="2"/>
    <s v="AU14"/>
    <x v="38"/>
    <x v="0"/>
    <x v="0"/>
    <n v="290"/>
    <n v="0"/>
    <n v="290"/>
    <n v="290"/>
    <n v="290"/>
    <n v="290"/>
    <n v="0"/>
    <n v="0"/>
    <n v="0"/>
    <n v="0"/>
    <n v="0"/>
    <n v="0"/>
    <n v="0"/>
    <n v="0"/>
    <n v="0"/>
    <n v="0"/>
    <n v="0"/>
    <n v="0"/>
    <n v="0"/>
    <n v="0"/>
    <n v="0"/>
    <n v="0"/>
    <n v="0"/>
    <n v="0"/>
    <n v="0"/>
    <n v="0"/>
    <n v="0"/>
    <n v="0"/>
    <n v="0"/>
    <m/>
    <n v="0"/>
    <n v="0"/>
    <n v="0"/>
    <n v="0"/>
    <n v="0"/>
    <n v="0"/>
    <n v="0"/>
    <n v="0"/>
    <n v="0"/>
    <n v="0"/>
    <n v="0"/>
    <n v="0"/>
    <n v="0"/>
    <n v="0"/>
    <m/>
    <m/>
    <m/>
    <m/>
    <m/>
    <m/>
    <m/>
    <m/>
    <m/>
    <m/>
    <m/>
    <m/>
    <m/>
    <m/>
    <m/>
    <m/>
    <m/>
    <m/>
    <m/>
    <m/>
    <m/>
    <m/>
    <m/>
    <m/>
    <m/>
    <m/>
    <m/>
    <m/>
    <m/>
    <m/>
    <m/>
    <m/>
    <m/>
    <m/>
  </r>
  <r>
    <n v="742"/>
    <d v="2025-04-11T00:00:00"/>
    <x v="0"/>
    <n v="9518685272"/>
    <n v="1"/>
    <s v="9518685272-1"/>
    <s v="No Priority"/>
    <x v="0"/>
    <m/>
    <x v="1"/>
    <x v="1"/>
    <x v="1"/>
    <m/>
    <x v="0"/>
    <m/>
    <m/>
    <s v="Karnataka"/>
    <s v="South"/>
    <m/>
    <x v="2"/>
    <x v="40"/>
    <x v="38"/>
    <x v="254"/>
    <s v="CRCA COIL-TATXXD-AU03-0.5X1250"/>
    <s v=""/>
    <m/>
    <m/>
    <m/>
    <m/>
    <x v="1"/>
    <x v="2"/>
    <s v="AU03"/>
    <x v="1"/>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382"/>
    <n v="1"/>
    <s v="9518696382-1"/>
    <s v="No Priority"/>
    <x v="1"/>
    <m/>
    <x v="1"/>
    <x v="1"/>
    <x v="1"/>
    <m/>
    <x v="0"/>
    <m/>
    <m/>
    <s v="West Bengal"/>
    <s v="East"/>
    <m/>
    <x v="2"/>
    <x v="38"/>
    <x v="38"/>
    <x v="458"/>
    <s v="CRCA COIL TATCRC TR15 0.700X1120"/>
    <s v=""/>
    <m/>
    <m/>
    <m/>
    <m/>
    <x v="1"/>
    <x v="1"/>
    <s v="TR15"/>
    <x v="4"/>
    <x v="21"/>
    <x v="0"/>
    <n v="26"/>
    <n v="0"/>
    <n v="26"/>
    <n v="26"/>
    <n v="26"/>
    <n v="26"/>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382"/>
    <n v="2"/>
    <s v="9518696382-2"/>
    <s v="No Priority"/>
    <x v="1"/>
    <m/>
    <x v="1"/>
    <x v="1"/>
    <x v="1"/>
    <m/>
    <x v="0"/>
    <m/>
    <m/>
    <s v="West Bengal"/>
    <s v="East"/>
    <m/>
    <x v="2"/>
    <x v="38"/>
    <x v="38"/>
    <x v="459"/>
    <s v="CRCA COIL-TATCRC-TR15-0.5X1120"/>
    <s v=""/>
    <m/>
    <m/>
    <m/>
    <m/>
    <x v="1"/>
    <x v="1"/>
    <s v="TR15"/>
    <x v="1"/>
    <x v="21"/>
    <x v="0"/>
    <n v="52"/>
    <n v="0"/>
    <n v="52"/>
    <n v="52"/>
    <n v="52"/>
    <n v="52"/>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382"/>
    <n v="3"/>
    <s v="9518696382-3"/>
    <s v="No Priority"/>
    <x v="1"/>
    <m/>
    <x v="1"/>
    <x v="1"/>
    <x v="1"/>
    <m/>
    <x v="0"/>
    <m/>
    <m/>
    <s v="West Bengal"/>
    <s v="East"/>
    <m/>
    <x v="2"/>
    <x v="38"/>
    <x v="38"/>
    <x v="460"/>
    <s v="CRCA COIL TATCRC TR15 0.600X1120"/>
    <s v=""/>
    <m/>
    <m/>
    <m/>
    <m/>
    <x v="1"/>
    <x v="1"/>
    <s v="TR15"/>
    <x v="20"/>
    <x v="21"/>
    <x v="0"/>
    <n v="52"/>
    <n v="0"/>
    <n v="52"/>
    <n v="52"/>
    <n v="52"/>
    <n v="52"/>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382"/>
    <n v="4"/>
    <s v="9518696382-4"/>
    <s v="May'25"/>
    <x v="0"/>
    <m/>
    <x v="1"/>
    <x v="1"/>
    <x v="1"/>
    <m/>
    <x v="1"/>
    <m/>
    <m/>
    <s v="West Bengal"/>
    <s v="East"/>
    <m/>
    <x v="2"/>
    <x v="38"/>
    <x v="38"/>
    <x v="461"/>
    <s v="CR COIL-ICF  DQ TATXXD AU03 0.90 X 1250"/>
    <s v=""/>
    <m/>
    <m/>
    <m/>
    <m/>
    <x v="1"/>
    <x v="2"/>
    <s v="AU03"/>
    <x v="70"/>
    <x v="31"/>
    <x v="0"/>
    <n v="58"/>
    <n v="0"/>
    <n v="58"/>
    <n v="58"/>
    <n v="3.2399999999999949"/>
    <n v="58"/>
    <n v="0"/>
    <n v="0"/>
    <n v="0"/>
    <n v="0"/>
    <n v="0"/>
    <n v="0"/>
    <n v="0"/>
    <n v="0"/>
    <n v="0"/>
    <n v="0"/>
    <n v="0"/>
    <n v="0"/>
    <n v="27.28"/>
    <n v="27.48"/>
    <n v="0"/>
    <n v="0"/>
    <n v="0"/>
    <n v="0"/>
    <n v="0"/>
    <n v="54.760000000000005"/>
    <n v="54.760000000000005"/>
    <n v="0"/>
    <n v="54.760000000000005"/>
    <m/>
    <n v="0"/>
    <n v="58"/>
    <n v="0"/>
    <n v="58"/>
    <n v="0"/>
    <n v="0"/>
    <n v="0"/>
    <n v="58"/>
    <n v="0"/>
    <n v="0"/>
    <n v="58"/>
    <n v="0"/>
    <n v="0"/>
    <n v="0"/>
    <m/>
    <m/>
    <m/>
    <m/>
    <m/>
    <m/>
    <m/>
    <m/>
    <m/>
    <m/>
    <m/>
    <m/>
    <m/>
    <m/>
    <m/>
    <m/>
    <m/>
    <m/>
    <m/>
    <m/>
    <m/>
    <m/>
    <m/>
    <m/>
    <m/>
    <m/>
    <m/>
    <m/>
    <m/>
    <m/>
    <m/>
    <m/>
    <m/>
    <m/>
  </r>
  <r>
    <n v="742"/>
    <d v="2025-04-16T00:00:00"/>
    <x v="0"/>
    <n v="9518696382"/>
    <n v="5"/>
    <s v="9518696382-5"/>
    <s v="No Priority"/>
    <x v="0"/>
    <m/>
    <x v="1"/>
    <x v="1"/>
    <x v="1"/>
    <m/>
    <x v="0"/>
    <m/>
    <m/>
    <s v="West Bengal"/>
    <s v="East"/>
    <m/>
    <x v="2"/>
    <x v="38"/>
    <x v="38"/>
    <x v="254"/>
    <s v="CRCA COIL-TATXXD-AU03-0.5X1250"/>
    <s v=""/>
    <m/>
    <m/>
    <m/>
    <m/>
    <x v="1"/>
    <x v="2"/>
    <s v="AU03"/>
    <x v="1"/>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382"/>
    <n v="6"/>
    <s v="9518696382-6"/>
    <s v="No Priority"/>
    <x v="0"/>
    <m/>
    <x v="1"/>
    <x v="11"/>
    <x v="1"/>
    <m/>
    <x v="0"/>
    <m/>
    <m/>
    <s v="West Bengal"/>
    <s v="East"/>
    <m/>
    <x v="2"/>
    <x v="38"/>
    <x v="38"/>
    <x v="190"/>
    <s v="CRCA COIL TATXXD AH03 1.500X1250"/>
    <s v=""/>
    <m/>
    <m/>
    <m/>
    <m/>
    <x v="1"/>
    <x v="2"/>
    <s v="AH03"/>
    <x v="27"/>
    <x v="0"/>
    <x v="0"/>
    <n v="116"/>
    <n v="0"/>
    <n v="116"/>
    <n v="116"/>
    <n v="116"/>
    <n v="89.474999999999994"/>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382"/>
    <n v="7"/>
    <s v="9518696382-7"/>
    <s v="No Priority"/>
    <x v="1"/>
    <m/>
    <x v="1"/>
    <x v="11"/>
    <x v="1"/>
    <m/>
    <x v="0"/>
    <m/>
    <m/>
    <s v="West Bengal"/>
    <s v="East"/>
    <m/>
    <x v="2"/>
    <x v="38"/>
    <x v="38"/>
    <x v="369"/>
    <s v="CRCA COIL TATXXD AH03 2X1250"/>
    <s v=""/>
    <m/>
    <m/>
    <m/>
    <m/>
    <x v="1"/>
    <x v="2"/>
    <s v="AH03"/>
    <x v="15"/>
    <x v="0"/>
    <x v="0"/>
    <n v="145"/>
    <n v="0"/>
    <n v="145"/>
    <n v="145"/>
    <n v="145"/>
    <n v="145"/>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382"/>
    <n v="8"/>
    <s v="9518696382-8"/>
    <s v="No Priority"/>
    <x v="1"/>
    <m/>
    <x v="1"/>
    <x v="11"/>
    <x v="1"/>
    <m/>
    <x v="0"/>
    <m/>
    <m/>
    <s v="West Bengal"/>
    <s v="East"/>
    <m/>
    <x v="2"/>
    <x v="38"/>
    <x v="38"/>
    <x v="158"/>
    <s v="CRCA COIL TATXXD AH03 2.500X1250"/>
    <s v=""/>
    <m/>
    <m/>
    <m/>
    <m/>
    <x v="1"/>
    <x v="2"/>
    <s v="AH03"/>
    <x v="38"/>
    <x v="0"/>
    <x v="0"/>
    <n v="145"/>
    <n v="0"/>
    <n v="145"/>
    <n v="145"/>
    <n v="145"/>
    <n v="145"/>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382"/>
    <n v="9"/>
    <s v="9518696382-9"/>
    <s v="No Priority"/>
    <x v="0"/>
    <m/>
    <x v="1"/>
    <x v="11"/>
    <x v="1"/>
    <m/>
    <x v="0"/>
    <m/>
    <m/>
    <s v="West Bengal"/>
    <s v="East"/>
    <m/>
    <x v="2"/>
    <x v="38"/>
    <x v="38"/>
    <x v="58"/>
    <s v="CRCA COIL TATXXD AH03 1.200X1250"/>
    <s v=""/>
    <m/>
    <m/>
    <m/>
    <m/>
    <x v="1"/>
    <x v="2"/>
    <s v="AH03"/>
    <x v="19"/>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6382"/>
    <n v="10"/>
    <s v="9518696382-10"/>
    <s v="No Priority"/>
    <x v="0"/>
    <m/>
    <x v="1"/>
    <x v="11"/>
    <x v="1"/>
    <m/>
    <x v="0"/>
    <m/>
    <m/>
    <s v="West Bengal"/>
    <s v="East"/>
    <m/>
    <x v="2"/>
    <x v="38"/>
    <x v="38"/>
    <x v="462"/>
    <s v="CRCA COIL TATXXD AH03 0.900X1250"/>
    <s v=""/>
    <m/>
    <m/>
    <m/>
    <m/>
    <x v="1"/>
    <x v="2"/>
    <s v="AH03"/>
    <x v="13"/>
    <x v="0"/>
    <x v="0"/>
    <n v="58"/>
    <n v="0"/>
    <n v="58"/>
    <n v="58"/>
    <n v="30.419999999999998"/>
    <n v="58"/>
    <n v="0"/>
    <n v="0"/>
    <n v="0"/>
    <n v="0"/>
    <n v="0"/>
    <n v="0"/>
    <n v="0"/>
    <n v="0"/>
    <n v="0"/>
    <n v="0"/>
    <n v="0"/>
    <n v="0"/>
    <n v="27.580000000000002"/>
    <n v="0"/>
    <n v="0"/>
    <n v="0"/>
    <n v="0"/>
    <n v="0"/>
    <n v="0"/>
    <n v="27.580000000000002"/>
    <n v="27.580000000000002"/>
    <n v="0"/>
    <n v="27.580000000000002"/>
    <m/>
    <n v="0"/>
    <n v="0"/>
    <n v="0"/>
    <n v="0"/>
    <n v="0"/>
    <n v="0"/>
    <n v="0"/>
    <n v="0"/>
    <n v="0"/>
    <n v="0"/>
    <n v="0"/>
    <n v="0"/>
    <n v="0"/>
    <n v="0"/>
    <m/>
    <m/>
    <m/>
    <m/>
    <m/>
    <m/>
    <m/>
    <m/>
    <m/>
    <m/>
    <m/>
    <m/>
    <m/>
    <m/>
    <m/>
    <m/>
    <m/>
    <m/>
    <m/>
    <m/>
    <m/>
    <m/>
    <m/>
    <m/>
    <m/>
    <m/>
    <m/>
    <m/>
    <m/>
    <m/>
    <m/>
    <m/>
    <m/>
    <m/>
  </r>
  <r>
    <n v="742"/>
    <d v="2025-04-16T00:00:00"/>
    <x v="0"/>
    <n v="9518696382"/>
    <n v="11"/>
    <s v="9518696382-11"/>
    <s v="No Priority"/>
    <x v="1"/>
    <m/>
    <x v="1"/>
    <x v="11"/>
    <x v="1"/>
    <m/>
    <x v="0"/>
    <m/>
    <m/>
    <s v="West Bengal"/>
    <s v="East"/>
    <m/>
    <x v="2"/>
    <x v="38"/>
    <x v="38"/>
    <x v="463"/>
    <s v="CRCA COIL TATXXD AH03 1.600X1250"/>
    <s v=""/>
    <m/>
    <m/>
    <m/>
    <m/>
    <x v="1"/>
    <x v="2"/>
    <s v="AH03"/>
    <x v="22"/>
    <x v="0"/>
    <x v="0"/>
    <n v="87"/>
    <n v="0"/>
    <n v="87"/>
    <n v="87"/>
    <n v="87"/>
    <n v="87"/>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7965"/>
    <n v="1"/>
    <s v="9518697965-1"/>
    <s v="May'25"/>
    <x v="0"/>
    <m/>
    <x v="0"/>
    <x v="0"/>
    <x v="1"/>
    <m/>
    <x v="1"/>
    <m/>
    <m/>
    <s v="Karnataka"/>
    <s v="South"/>
    <m/>
    <x v="2"/>
    <x v="40"/>
    <x v="38"/>
    <x v="47"/>
    <s v="HR COILS-PO IS 1079 HR2 2X1250"/>
    <s v=""/>
    <m/>
    <m/>
    <m/>
    <m/>
    <x v="0"/>
    <x v="0"/>
    <s v="HR99"/>
    <x v="15"/>
    <x v="0"/>
    <x v="0"/>
    <n v="125"/>
    <n v="0"/>
    <n v="125"/>
    <n v="125"/>
    <n v="125"/>
    <n v="106.69499999999999"/>
    <n v="0"/>
    <n v="0"/>
    <n v="0"/>
    <n v="0"/>
    <n v="0"/>
    <n v="0"/>
    <n v="0"/>
    <n v="0"/>
    <n v="0"/>
    <n v="0"/>
    <n v="0"/>
    <n v="0"/>
    <n v="0"/>
    <n v="0"/>
    <n v="0"/>
    <n v="0"/>
    <n v="0"/>
    <n v="0"/>
    <n v="0"/>
    <n v="0"/>
    <n v="0"/>
    <n v="0"/>
    <n v="0"/>
    <m/>
    <n v="18.305"/>
    <n v="106.69499999999999"/>
    <n v="0"/>
    <n v="0"/>
    <n v="106.69499999999999"/>
    <n v="0"/>
    <n v="0"/>
    <n v="125"/>
    <n v="0"/>
    <n v="0"/>
    <n v="0"/>
    <n v="125"/>
    <n v="0"/>
    <n v="0"/>
    <m/>
    <m/>
    <m/>
    <m/>
    <m/>
    <m/>
    <m/>
    <m/>
    <m/>
    <m/>
    <m/>
    <m/>
    <m/>
    <m/>
    <m/>
    <m/>
    <m/>
    <m/>
    <m/>
    <m/>
    <m/>
    <m/>
    <m/>
    <m/>
    <m/>
    <m/>
    <m/>
    <m/>
    <m/>
    <m/>
    <m/>
    <m/>
    <m/>
    <m/>
  </r>
  <r>
    <n v="742"/>
    <d v="2025-04-16T00:00:00"/>
    <x v="0"/>
    <n v="9518697965"/>
    <n v="2"/>
    <s v="9518697965-2"/>
    <s v="May'25"/>
    <x v="0"/>
    <m/>
    <x v="0"/>
    <x v="0"/>
    <x v="1"/>
    <m/>
    <x v="1"/>
    <m/>
    <m/>
    <s v="Karnataka"/>
    <s v="South"/>
    <m/>
    <x v="2"/>
    <x v="40"/>
    <x v="38"/>
    <x v="140"/>
    <s v="HR COILS-PO IS 1079 HR2 2.30X1250"/>
    <s v=""/>
    <m/>
    <m/>
    <m/>
    <m/>
    <x v="0"/>
    <x v="0"/>
    <s v="HR99"/>
    <x v="39"/>
    <x v="0"/>
    <x v="0"/>
    <n v="50"/>
    <n v="0"/>
    <n v="50"/>
    <n v="50"/>
    <n v="50"/>
    <n v="50"/>
    <n v="0"/>
    <n v="0"/>
    <n v="0"/>
    <n v="0"/>
    <n v="0"/>
    <n v="0"/>
    <n v="0"/>
    <n v="0"/>
    <n v="0"/>
    <n v="0"/>
    <n v="0"/>
    <n v="0"/>
    <n v="0"/>
    <n v="0"/>
    <n v="0"/>
    <n v="0"/>
    <n v="0"/>
    <n v="0"/>
    <n v="0"/>
    <n v="0"/>
    <n v="0"/>
    <n v="0"/>
    <n v="0"/>
    <m/>
    <n v="0"/>
    <n v="50"/>
    <n v="0"/>
    <n v="0"/>
    <n v="0"/>
    <n v="50"/>
    <n v="0"/>
    <n v="50"/>
    <n v="0"/>
    <n v="0"/>
    <n v="0"/>
    <n v="0"/>
    <n v="50"/>
    <n v="0"/>
    <m/>
    <m/>
    <m/>
    <m/>
    <m/>
    <m/>
    <m/>
    <m/>
    <m/>
    <m/>
    <m/>
    <m/>
    <m/>
    <m/>
    <m/>
    <m/>
    <m/>
    <m/>
    <m/>
    <m/>
    <m/>
    <m/>
    <m/>
    <m/>
    <m/>
    <m/>
    <m/>
    <m/>
    <m/>
    <m/>
    <m/>
    <m/>
    <m/>
    <m/>
  </r>
  <r>
    <n v="742"/>
    <d v="2025-04-16T00:00:00"/>
    <x v="0"/>
    <n v="9518697965"/>
    <n v="3"/>
    <s v="9518697965-3"/>
    <s v="May'25"/>
    <x v="0"/>
    <m/>
    <x v="0"/>
    <x v="0"/>
    <x v="1"/>
    <m/>
    <x v="1"/>
    <m/>
    <m/>
    <s v="Karnataka"/>
    <s v="South"/>
    <m/>
    <x v="2"/>
    <x v="40"/>
    <x v="38"/>
    <x v="197"/>
    <s v="HR COILS-PO IS 1079 HR2 2.50X1250"/>
    <s v=""/>
    <m/>
    <m/>
    <m/>
    <m/>
    <x v="0"/>
    <x v="0"/>
    <s v="HR99"/>
    <x v="70"/>
    <x v="31"/>
    <x v="0"/>
    <n v="25"/>
    <n v="0"/>
    <n v="25"/>
    <n v="25"/>
    <n v="25"/>
    <n v="25"/>
    <n v="0"/>
    <n v="0"/>
    <n v="0"/>
    <n v="0"/>
    <n v="0"/>
    <n v="0"/>
    <n v="0"/>
    <n v="0"/>
    <n v="0"/>
    <n v="0"/>
    <n v="0"/>
    <n v="0"/>
    <n v="0"/>
    <n v="0"/>
    <n v="0"/>
    <n v="0"/>
    <n v="0"/>
    <n v="0"/>
    <n v="0"/>
    <n v="0"/>
    <n v="0"/>
    <n v="0"/>
    <n v="0"/>
    <m/>
    <n v="0"/>
    <n v="25"/>
    <n v="0"/>
    <n v="25"/>
    <n v="0"/>
    <n v="0"/>
    <n v="0"/>
    <n v="25"/>
    <n v="0"/>
    <n v="0"/>
    <n v="25"/>
    <n v="0"/>
    <n v="0"/>
    <n v="0"/>
    <m/>
    <m/>
    <m/>
    <m/>
    <m/>
    <m/>
    <m/>
    <m/>
    <m/>
    <m/>
    <m/>
    <m/>
    <m/>
    <m/>
    <m/>
    <m/>
    <m/>
    <m/>
    <m/>
    <m/>
    <m/>
    <m/>
    <m/>
    <m/>
    <m/>
    <m/>
    <m/>
    <m/>
    <m/>
    <m/>
    <m/>
    <m/>
    <m/>
    <m/>
  </r>
  <r>
    <n v="742"/>
    <d v="2025-04-16T00:00:00"/>
    <x v="0"/>
    <n v="9518697965"/>
    <n v="5"/>
    <s v="9518697965-5"/>
    <s v="May'25"/>
    <x v="0"/>
    <m/>
    <x v="0"/>
    <x v="0"/>
    <x v="1"/>
    <m/>
    <x v="1"/>
    <m/>
    <m/>
    <s v="Karnataka"/>
    <s v="South"/>
    <m/>
    <x v="2"/>
    <x v="40"/>
    <x v="38"/>
    <x v="358"/>
    <s v="HR COILS-POIS 1079 HR2  2.90X1250"/>
    <s v=""/>
    <m/>
    <m/>
    <m/>
    <m/>
    <x v="0"/>
    <x v="0"/>
    <s v="HR99"/>
    <x v="69"/>
    <x v="0"/>
    <x v="0"/>
    <n v="50"/>
    <n v="0"/>
    <n v="50"/>
    <n v="50"/>
    <n v="50"/>
    <n v="50"/>
    <n v="0"/>
    <n v="0"/>
    <n v="0"/>
    <n v="0"/>
    <n v="0"/>
    <n v="0"/>
    <n v="0"/>
    <n v="0"/>
    <n v="0"/>
    <n v="0"/>
    <n v="0"/>
    <n v="0"/>
    <n v="0"/>
    <n v="0"/>
    <n v="0"/>
    <n v="0"/>
    <n v="0"/>
    <n v="0"/>
    <n v="0"/>
    <n v="0"/>
    <n v="0"/>
    <n v="0"/>
    <n v="0"/>
    <m/>
    <n v="0"/>
    <n v="50"/>
    <n v="0"/>
    <n v="0"/>
    <n v="0"/>
    <n v="50"/>
    <n v="0"/>
    <n v="50"/>
    <n v="0"/>
    <n v="0"/>
    <n v="0"/>
    <n v="0"/>
    <n v="50"/>
    <n v="0"/>
    <m/>
    <m/>
    <m/>
    <m/>
    <m/>
    <m/>
    <m/>
    <m/>
    <m/>
    <m/>
    <m/>
    <m/>
    <m/>
    <m/>
    <m/>
    <m/>
    <m/>
    <m/>
    <m/>
    <m/>
    <m/>
    <m/>
    <m/>
    <m/>
    <m/>
    <m/>
    <m/>
    <m/>
    <m/>
    <m/>
    <m/>
    <m/>
    <m/>
    <m/>
  </r>
  <r>
    <n v="742"/>
    <d v="2025-04-16T00:00:00"/>
    <x v="0"/>
    <n v="9518697965"/>
    <n v="6"/>
    <s v="9518697965-6"/>
    <s v="May'25"/>
    <x v="0"/>
    <m/>
    <x v="0"/>
    <x v="0"/>
    <x v="1"/>
    <m/>
    <x v="1"/>
    <m/>
    <m/>
    <s v="Karnataka"/>
    <s v="South"/>
    <m/>
    <x v="2"/>
    <x v="40"/>
    <x v="38"/>
    <x v="0"/>
    <s v="HR COILS-PO IS 1079 HR2 3.0X1250"/>
    <s v=""/>
    <m/>
    <m/>
    <m/>
    <m/>
    <x v="0"/>
    <x v="0"/>
    <s v="HR99"/>
    <x v="0"/>
    <x v="0"/>
    <x v="0"/>
    <n v="75"/>
    <n v="0"/>
    <n v="75"/>
    <n v="75"/>
    <n v="9.0600000000000023"/>
    <n v="75"/>
    <n v="0"/>
    <n v="0"/>
    <n v="65.94"/>
    <n v="0"/>
    <n v="0"/>
    <n v="0"/>
    <n v="0"/>
    <n v="0"/>
    <n v="0"/>
    <n v="0"/>
    <n v="0"/>
    <n v="0"/>
    <n v="0"/>
    <n v="0"/>
    <n v="0"/>
    <n v="0"/>
    <n v="0"/>
    <n v="0"/>
    <n v="0"/>
    <n v="65.94"/>
    <n v="65.94"/>
    <n v="0"/>
    <n v="65.94"/>
    <m/>
    <n v="0"/>
    <n v="75"/>
    <n v="75"/>
    <n v="0"/>
    <n v="0"/>
    <n v="0"/>
    <n v="0"/>
    <n v="75"/>
    <n v="0"/>
    <n v="75"/>
    <n v="0"/>
    <n v="0"/>
    <n v="0"/>
    <n v="0"/>
    <m/>
    <m/>
    <m/>
    <m/>
    <m/>
    <m/>
    <m/>
    <m/>
    <m/>
    <m/>
    <m/>
    <m/>
    <m/>
    <m/>
    <m/>
    <m/>
    <m/>
    <m/>
    <m/>
    <m/>
    <m/>
    <m/>
    <m/>
    <m/>
    <m/>
    <m/>
    <m/>
    <m/>
    <m/>
    <m/>
    <m/>
    <m/>
    <m/>
    <m/>
  </r>
  <r>
    <n v="742"/>
    <d v="2025-04-16T00:00:00"/>
    <x v="0"/>
    <n v="9518698036"/>
    <n v="1"/>
    <s v="9518698036-1"/>
    <s v="No Priority"/>
    <x v="0"/>
    <m/>
    <x v="1"/>
    <x v="1"/>
    <x v="1"/>
    <m/>
    <x v="0"/>
    <m/>
    <m/>
    <s v="Tamil Nadu"/>
    <s v="South"/>
    <m/>
    <x v="2"/>
    <x v="54"/>
    <x v="38"/>
    <x v="5"/>
    <s v="CRCA COIL TATXXD AU03 0.4X1250"/>
    <s v=""/>
    <m/>
    <m/>
    <m/>
    <m/>
    <x v="1"/>
    <x v="2"/>
    <s v="AU03"/>
    <x v="2"/>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8036"/>
    <n v="3"/>
    <s v="9518698036-3"/>
    <s v="No Priority"/>
    <x v="0"/>
    <m/>
    <x v="1"/>
    <x v="1"/>
    <x v="1"/>
    <m/>
    <x v="0"/>
    <m/>
    <m/>
    <s v="Tamil Nadu"/>
    <s v="South"/>
    <m/>
    <x v="2"/>
    <x v="54"/>
    <x v="38"/>
    <x v="254"/>
    <s v="CRCA COIL-TATXXD-AU03-0.5X1250"/>
    <s v=""/>
    <m/>
    <m/>
    <m/>
    <m/>
    <x v="1"/>
    <x v="2"/>
    <s v="AU03"/>
    <x v="1"/>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8036"/>
    <n v="4"/>
    <s v="9518698036-4"/>
    <s v="No Priority"/>
    <x v="0"/>
    <m/>
    <x v="1"/>
    <x v="1"/>
    <x v="1"/>
    <m/>
    <x v="0"/>
    <m/>
    <m/>
    <s v="Tamil Nadu"/>
    <s v="South"/>
    <m/>
    <x v="2"/>
    <x v="54"/>
    <x v="38"/>
    <x v="292"/>
    <s v="CRCA COIL TATXXD AU03 0.8X1250"/>
    <s v=""/>
    <m/>
    <m/>
    <m/>
    <m/>
    <x v="1"/>
    <x v="2"/>
    <s v="AU03"/>
    <x v="5"/>
    <x v="0"/>
    <x v="0"/>
    <n v="116"/>
    <n v="0"/>
    <n v="116"/>
    <n v="116"/>
    <n v="94.13"/>
    <n v="116"/>
    <n v="0"/>
    <n v="0"/>
    <n v="21.87"/>
    <n v="0"/>
    <n v="0"/>
    <n v="0"/>
    <n v="0"/>
    <n v="0"/>
    <n v="0"/>
    <n v="0"/>
    <n v="0"/>
    <n v="0"/>
    <n v="0"/>
    <n v="0"/>
    <n v="0"/>
    <n v="0"/>
    <n v="0"/>
    <n v="0"/>
    <n v="0"/>
    <n v="21.87"/>
    <n v="21.87"/>
    <n v="0"/>
    <n v="21.87"/>
    <m/>
    <n v="0"/>
    <n v="0"/>
    <n v="0"/>
    <n v="0"/>
    <n v="0"/>
    <n v="0"/>
    <n v="0"/>
    <n v="0"/>
    <n v="0"/>
    <n v="0"/>
    <n v="0"/>
    <n v="0"/>
    <n v="0"/>
    <n v="0"/>
    <m/>
    <m/>
    <m/>
    <m/>
    <m/>
    <m/>
    <m/>
    <m/>
    <m/>
    <m/>
    <m/>
    <m/>
    <m/>
    <m/>
    <m/>
    <m/>
    <m/>
    <m/>
    <m/>
    <m/>
    <m/>
    <m/>
    <m/>
    <m/>
    <m/>
    <m/>
    <m/>
    <m/>
    <m/>
    <m/>
    <m/>
    <m/>
    <m/>
    <m/>
  </r>
  <r>
    <n v="742"/>
    <d v="2025-04-16T00:00:00"/>
    <x v="0"/>
    <n v="9518698036"/>
    <n v="5"/>
    <s v="9518698036-5"/>
    <s v="No Priority"/>
    <x v="0"/>
    <m/>
    <x v="1"/>
    <x v="1"/>
    <x v="1"/>
    <m/>
    <x v="0"/>
    <m/>
    <m/>
    <s v="Tamil Nadu"/>
    <s v="South"/>
    <m/>
    <x v="2"/>
    <x v="54"/>
    <x v="38"/>
    <x v="116"/>
    <s v="CRCA COIL-TATXXD-AU03-2X1250"/>
    <s v=""/>
    <m/>
    <m/>
    <m/>
    <m/>
    <x v="1"/>
    <x v="2"/>
    <s v="AU03"/>
    <x v="1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8036"/>
    <n v="6"/>
    <s v="9518698036-6"/>
    <s v="No Priority"/>
    <x v="0"/>
    <m/>
    <x v="1"/>
    <x v="1"/>
    <x v="1"/>
    <m/>
    <x v="0"/>
    <m/>
    <m/>
    <s v="Tamil Nadu"/>
    <s v="South"/>
    <m/>
    <x v="2"/>
    <x v="54"/>
    <x v="38"/>
    <x v="115"/>
    <s v="CRCA COIL TATXXD AU03 2.5X1250"/>
    <s v=""/>
    <m/>
    <m/>
    <m/>
    <m/>
    <x v="1"/>
    <x v="2"/>
    <s v="AU03"/>
    <x v="38"/>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8036"/>
    <n v="7"/>
    <s v="9518698036-7"/>
    <s v="No Priority"/>
    <x v="0"/>
    <m/>
    <x v="1"/>
    <x v="0"/>
    <x v="1"/>
    <m/>
    <x v="0"/>
    <m/>
    <m/>
    <s v="Tamil Nadu"/>
    <s v="South"/>
    <m/>
    <x v="2"/>
    <x v="54"/>
    <x v="38"/>
    <x v="313"/>
    <s v="CRCA COIL TSBSTA EL03 0.5X1250"/>
    <s v=""/>
    <m/>
    <m/>
    <m/>
    <m/>
    <x v="1"/>
    <x v="9"/>
    <s v="EL03"/>
    <x v="1"/>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8036"/>
    <n v="12"/>
    <s v="9518698036-12"/>
    <s v="No Priority"/>
    <x v="0"/>
    <m/>
    <x v="1"/>
    <x v="1"/>
    <x v="1"/>
    <m/>
    <x v="0"/>
    <m/>
    <m/>
    <s v="Tamil Nadu"/>
    <s v="South"/>
    <m/>
    <x v="2"/>
    <x v="54"/>
    <x v="38"/>
    <x v="464"/>
    <s v="CRCA COIL TATXXD AU03 0.750X1250"/>
    <s v=""/>
    <m/>
    <m/>
    <m/>
    <m/>
    <x v="1"/>
    <x v="2"/>
    <s v="AU03"/>
    <x v="28"/>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7T00:00:00"/>
    <x v="0"/>
    <n v="9518699625"/>
    <n v="1"/>
    <s v="9518699625-1"/>
    <s v="No Priority"/>
    <x v="1"/>
    <m/>
    <x v="1"/>
    <x v="1"/>
    <x v="1"/>
    <m/>
    <x v="0"/>
    <m/>
    <m/>
    <s v="West Bengal"/>
    <s v="East"/>
    <m/>
    <x v="2"/>
    <x v="38"/>
    <x v="38"/>
    <x v="394"/>
    <s v="CRCA COIL TATXXD AU03 0.900X1000"/>
    <s v=""/>
    <m/>
    <m/>
    <m/>
    <m/>
    <x v="1"/>
    <x v="2"/>
    <s v="AU03"/>
    <x v="13"/>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17T00:00:00"/>
    <x v="0"/>
    <n v="9518699625"/>
    <n v="2"/>
    <s v="9518699625-2"/>
    <s v="No Priority"/>
    <x v="1"/>
    <m/>
    <x v="1"/>
    <x v="1"/>
    <x v="1"/>
    <m/>
    <x v="0"/>
    <m/>
    <m/>
    <s v="West Bengal"/>
    <s v="East"/>
    <m/>
    <x v="2"/>
    <x v="38"/>
    <x v="38"/>
    <x v="465"/>
    <s v="CRCA COIL-TATXXD-AU03-0.9X900"/>
    <s v=""/>
    <m/>
    <m/>
    <m/>
    <m/>
    <x v="1"/>
    <x v="2"/>
    <s v="AU03"/>
    <x v="13"/>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17T00:00:00"/>
    <x v="0"/>
    <n v="9518699625"/>
    <n v="3"/>
    <s v="9518699625-3"/>
    <s v="No Priority"/>
    <x v="0"/>
    <m/>
    <x v="1"/>
    <x v="1"/>
    <x v="1"/>
    <m/>
    <x v="0"/>
    <m/>
    <m/>
    <s v="West Bengal"/>
    <s v="East"/>
    <m/>
    <x v="2"/>
    <x v="38"/>
    <x v="38"/>
    <x v="310"/>
    <s v="CRCA COIL TATXXD AU03 0.950X1250"/>
    <s v=""/>
    <m/>
    <m/>
    <m/>
    <m/>
    <x v="1"/>
    <x v="2"/>
    <s v="AU03"/>
    <x v="16"/>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809"/>
    <n v="2"/>
    <s v="9518664809-2"/>
    <s v="No Priority"/>
    <x v="0"/>
    <s v="Yes"/>
    <x v="1"/>
    <x v="2"/>
    <x v="1"/>
    <m/>
    <x v="0"/>
    <m/>
    <m/>
    <s v="Maharashtra"/>
    <s v="West"/>
    <m/>
    <x v="2"/>
    <x v="62"/>
    <x v="59"/>
    <x v="136"/>
    <s v="CRCA SHEET TATCRC SR16 0.450X1250X2500"/>
    <s v=""/>
    <m/>
    <m/>
    <m/>
    <m/>
    <x v="2"/>
    <x v="1"/>
    <s v="SR16"/>
    <x v="10"/>
    <x v="0"/>
    <x v="3"/>
    <n v="48"/>
    <n v="0"/>
    <n v="48"/>
    <n v="48"/>
    <n v="48"/>
    <n v="48"/>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809"/>
    <n v="3"/>
    <s v="9518664809-3"/>
    <s v="No Priority"/>
    <x v="1"/>
    <s v="Yes"/>
    <x v="1"/>
    <x v="2"/>
    <x v="1"/>
    <m/>
    <x v="0"/>
    <m/>
    <m/>
    <s v="Maharashtra"/>
    <s v="West"/>
    <m/>
    <x v="2"/>
    <x v="62"/>
    <x v="59"/>
    <x v="214"/>
    <s v="CRCA SHEET TATXXD SR17 0.500X1250X2500"/>
    <s v=""/>
    <m/>
    <m/>
    <m/>
    <m/>
    <x v="2"/>
    <x v="2"/>
    <s v="SR17"/>
    <x v="1"/>
    <x v="0"/>
    <x v="3"/>
    <n v="48"/>
    <n v="0"/>
    <n v="48"/>
    <n v="48"/>
    <n v="48"/>
    <n v="48"/>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351"/>
    <n v="1"/>
    <s v="9518664351-1"/>
    <s v="No Priority"/>
    <x v="0"/>
    <m/>
    <x v="1"/>
    <x v="1"/>
    <x v="1"/>
    <m/>
    <x v="0"/>
    <m/>
    <m/>
    <s v="Tamil Nadu"/>
    <s v="South"/>
    <m/>
    <x v="2"/>
    <x v="96"/>
    <x v="114"/>
    <x v="444"/>
    <s v="CRSHEET TATXXD AU03 1.0X1250X2500"/>
    <s v=""/>
    <m/>
    <m/>
    <m/>
    <m/>
    <x v="2"/>
    <x v="2"/>
    <s v="AU03"/>
    <x v="17"/>
    <x v="0"/>
    <x v="3"/>
    <n v="15"/>
    <n v="0"/>
    <n v="15"/>
    <n v="15"/>
    <n v="15"/>
    <n v="15"/>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351"/>
    <n v="2"/>
    <s v="9518664351-2"/>
    <s v="No Priority"/>
    <x v="0"/>
    <m/>
    <x v="1"/>
    <x v="1"/>
    <x v="1"/>
    <m/>
    <x v="0"/>
    <m/>
    <m/>
    <s v="Tamil Nadu"/>
    <s v="South"/>
    <m/>
    <x v="2"/>
    <x v="96"/>
    <x v="114"/>
    <x v="239"/>
    <s v="CRCA SHEET TATXXD AU03 0.80X1250X2500"/>
    <s v=""/>
    <m/>
    <m/>
    <m/>
    <m/>
    <x v="2"/>
    <x v="2"/>
    <s v="AU03"/>
    <x v="5"/>
    <x v="0"/>
    <x v="3"/>
    <n v="12"/>
    <n v="0"/>
    <n v="12"/>
    <n v="12"/>
    <n v="12"/>
    <n v="12"/>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351"/>
    <n v="3"/>
    <s v="9518664351-3"/>
    <s v="No Priority"/>
    <x v="0"/>
    <m/>
    <x v="1"/>
    <x v="1"/>
    <x v="1"/>
    <m/>
    <x v="0"/>
    <m/>
    <m/>
    <s v="Tamil Nadu"/>
    <s v="South"/>
    <m/>
    <x v="2"/>
    <x v="96"/>
    <x v="114"/>
    <x v="286"/>
    <s v="CRSHEET C06 TATXXD AU03 1.6X1250X2500"/>
    <s v=""/>
    <m/>
    <m/>
    <m/>
    <m/>
    <x v="2"/>
    <x v="2"/>
    <s v="AU03"/>
    <x v="22"/>
    <x v="0"/>
    <x v="3"/>
    <n v="12"/>
    <n v="0"/>
    <n v="12"/>
    <n v="12"/>
    <n v="12"/>
    <n v="12"/>
    <n v="0"/>
    <n v="0"/>
    <n v="0"/>
    <n v="0"/>
    <n v="0"/>
    <n v="0"/>
    <n v="0"/>
    <n v="0"/>
    <n v="0"/>
    <n v="0"/>
    <n v="0"/>
    <n v="0"/>
    <n v="0"/>
    <n v="0"/>
    <n v="0"/>
    <n v="0"/>
    <n v="0"/>
    <n v="0"/>
    <n v="0"/>
    <n v="0"/>
    <n v="0"/>
    <n v="0"/>
    <n v="0"/>
    <m/>
    <n v="0"/>
    <n v="0"/>
    <n v="0"/>
    <n v="0"/>
    <n v="0"/>
    <n v="0"/>
    <n v="0"/>
    <n v="0"/>
    <n v="0"/>
    <n v="0"/>
    <n v="0"/>
    <n v="0"/>
    <n v="0"/>
    <n v="0"/>
    <m/>
    <m/>
    <m/>
    <m/>
    <m/>
    <m/>
    <m/>
    <m/>
    <m/>
    <m/>
    <m/>
    <m/>
    <m/>
    <m/>
    <m/>
    <m/>
    <m/>
    <m/>
    <m/>
    <m/>
    <m/>
    <m/>
    <m/>
    <m/>
    <m/>
    <m/>
    <m/>
    <m/>
    <m/>
    <m/>
    <m/>
    <m/>
    <m/>
    <m/>
  </r>
  <r>
    <n v="742"/>
    <d v="2025-03-06T00:00:00"/>
    <x v="0"/>
    <n v="9518578782"/>
    <n v="2"/>
    <s v="9518578782-2"/>
    <s v="No Priority"/>
    <x v="1"/>
    <m/>
    <x v="1"/>
    <x v="1"/>
    <x v="1"/>
    <m/>
    <x v="0"/>
    <m/>
    <m/>
    <s v="Telangana"/>
    <s v="South"/>
    <m/>
    <x v="2"/>
    <x v="35"/>
    <x v="115"/>
    <x v="1"/>
    <s v="CRCA COIL TATCRC TR15 0.5X1250"/>
    <s v=""/>
    <m/>
    <m/>
    <m/>
    <m/>
    <x v="1"/>
    <x v="1"/>
    <s v="TR15"/>
    <x v="1"/>
    <x v="0"/>
    <x v="0"/>
    <n v="87"/>
    <n v="0"/>
    <n v="87"/>
    <n v="87"/>
    <n v="87"/>
    <n v="87"/>
    <n v="0"/>
    <n v="0"/>
    <n v="0"/>
    <n v="0"/>
    <n v="0"/>
    <n v="0"/>
    <n v="0"/>
    <n v="0"/>
    <n v="0"/>
    <n v="0"/>
    <n v="0"/>
    <n v="0"/>
    <n v="0"/>
    <n v="0"/>
    <n v="0"/>
    <n v="0"/>
    <n v="0"/>
    <n v="0"/>
    <n v="0"/>
    <n v="0"/>
    <n v="0"/>
    <n v="0"/>
    <n v="0"/>
    <m/>
    <n v="0"/>
    <n v="0"/>
    <n v="0"/>
    <n v="0"/>
    <n v="0"/>
    <n v="0"/>
    <n v="0"/>
    <n v="0"/>
    <n v="0"/>
    <n v="0"/>
    <n v="0"/>
    <n v="0"/>
    <n v="0"/>
    <n v="0"/>
    <m/>
    <m/>
    <m/>
    <m/>
    <m/>
    <m/>
    <m/>
    <m/>
    <m/>
    <m/>
    <m/>
    <m/>
    <m/>
    <m/>
    <m/>
    <m/>
    <m/>
    <m/>
    <m/>
    <m/>
    <m/>
    <m/>
    <m/>
    <m/>
    <m/>
    <m/>
    <m/>
    <m/>
    <m/>
    <m/>
    <m/>
    <m/>
    <m/>
    <m/>
  </r>
  <r>
    <n v="742"/>
    <d v="2025-03-06T00:00:00"/>
    <x v="0"/>
    <n v="9518578782"/>
    <n v="3"/>
    <s v="9518578782-3"/>
    <s v="No Priority"/>
    <x v="1"/>
    <m/>
    <x v="1"/>
    <x v="1"/>
    <x v="1"/>
    <m/>
    <x v="0"/>
    <m/>
    <m/>
    <s v="Telangana"/>
    <s v="South"/>
    <m/>
    <x v="2"/>
    <x v="35"/>
    <x v="115"/>
    <x v="384"/>
    <s v="CRCA COIL TATCRC TR15 0.6X1000"/>
    <s v=""/>
    <m/>
    <m/>
    <m/>
    <m/>
    <x v="1"/>
    <x v="1"/>
    <s v="TR15"/>
    <x v="20"/>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3-06T00:00:00"/>
    <x v="0"/>
    <n v="9518578782"/>
    <n v="4"/>
    <s v="9518578782-4"/>
    <s v="No Priority"/>
    <x v="1"/>
    <m/>
    <x v="1"/>
    <x v="1"/>
    <x v="1"/>
    <m/>
    <x v="0"/>
    <m/>
    <m/>
    <s v="Telangana"/>
    <s v="South"/>
    <m/>
    <x v="2"/>
    <x v="35"/>
    <x v="115"/>
    <x v="466"/>
    <s v="CRCA COIL TATCRC TR15 0.700X1250"/>
    <s v=""/>
    <m/>
    <m/>
    <m/>
    <m/>
    <x v="1"/>
    <x v="1"/>
    <s v="TR15"/>
    <x v="4"/>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119"/>
    <n v="1"/>
    <s v="9518670119-1"/>
    <s v="Stocks"/>
    <x v="0"/>
    <m/>
    <x v="1"/>
    <x v="1"/>
    <x v="1"/>
    <m/>
    <x v="1"/>
    <m/>
    <m/>
    <s v="Telangana"/>
    <s v="South"/>
    <m/>
    <x v="2"/>
    <x v="35"/>
    <x v="115"/>
    <x v="254"/>
    <s v="CRCA COIL-TATXXD-AU03-0.5X1250"/>
    <s v=""/>
    <m/>
    <m/>
    <m/>
    <m/>
    <x v="1"/>
    <x v="2"/>
    <s v="AU03"/>
    <x v="1"/>
    <x v="0"/>
    <x v="0"/>
    <n v="58"/>
    <n v="0"/>
    <n v="58"/>
    <n v="58"/>
    <n v="58"/>
    <n v="33.83"/>
    <n v="0"/>
    <n v="0"/>
    <n v="0"/>
    <n v="0"/>
    <n v="0"/>
    <n v="0"/>
    <n v="0"/>
    <n v="0"/>
    <n v="0"/>
    <n v="0"/>
    <n v="0"/>
    <n v="0"/>
    <n v="0"/>
    <n v="0"/>
    <n v="0"/>
    <n v="0"/>
    <n v="0"/>
    <n v="0"/>
    <n v="0"/>
    <n v="0"/>
    <n v="0"/>
    <n v="0"/>
    <n v="0"/>
    <m/>
    <n v="24.17"/>
    <n v="0"/>
    <n v="0"/>
    <n v="0"/>
    <n v="0"/>
    <n v="0"/>
    <n v="0"/>
    <n v="24.17"/>
    <n v="24.17"/>
    <n v="0"/>
    <n v="0"/>
    <n v="0"/>
    <n v="0"/>
    <n v="0"/>
    <m/>
    <m/>
    <m/>
    <m/>
    <m/>
    <m/>
    <m/>
    <m/>
    <m/>
    <m/>
    <m/>
    <m/>
    <m/>
    <m/>
    <m/>
    <m/>
    <m/>
    <m/>
    <m/>
    <m/>
    <m/>
    <m/>
    <m/>
    <m/>
    <m/>
    <m/>
    <m/>
    <m/>
    <m/>
    <m/>
    <m/>
    <m/>
    <m/>
    <m/>
  </r>
  <r>
    <n v="742"/>
    <d v="2025-04-04T00:00:00"/>
    <x v="0"/>
    <n v="9518670119"/>
    <n v="2"/>
    <s v="9518670119-2"/>
    <s v="No Priority"/>
    <x v="1"/>
    <m/>
    <x v="1"/>
    <x v="1"/>
    <x v="1"/>
    <m/>
    <x v="0"/>
    <m/>
    <m/>
    <s v="Telangana"/>
    <s v="South"/>
    <m/>
    <x v="2"/>
    <x v="35"/>
    <x v="115"/>
    <x v="384"/>
    <s v="CRCA COIL TATCRC TR15 0.6X1000"/>
    <s v=""/>
    <m/>
    <m/>
    <m/>
    <m/>
    <x v="1"/>
    <x v="1"/>
    <s v="TR15"/>
    <x v="20"/>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119"/>
    <n v="3"/>
    <s v="9518670119-3"/>
    <s v="No Priority"/>
    <x v="1"/>
    <m/>
    <x v="1"/>
    <x v="1"/>
    <x v="1"/>
    <m/>
    <x v="0"/>
    <m/>
    <m/>
    <s v="Telangana"/>
    <s v="South"/>
    <m/>
    <x v="2"/>
    <x v="35"/>
    <x v="115"/>
    <x v="466"/>
    <s v="CRCA COIL TATCRC TR15 0.700X1250"/>
    <s v=""/>
    <m/>
    <m/>
    <m/>
    <m/>
    <x v="1"/>
    <x v="1"/>
    <s v="TR15"/>
    <x v="4"/>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119"/>
    <n v="5"/>
    <s v="9518670119-5"/>
    <s v="No Priority"/>
    <x v="0"/>
    <m/>
    <x v="1"/>
    <x v="1"/>
    <x v="1"/>
    <m/>
    <x v="0"/>
    <m/>
    <m/>
    <s v="Telangana"/>
    <s v="South"/>
    <m/>
    <x v="2"/>
    <x v="35"/>
    <x v="115"/>
    <x v="114"/>
    <s v="CRCA COIL-TATXXD-AU03-0.9X1250"/>
    <s v=""/>
    <m/>
    <m/>
    <m/>
    <m/>
    <x v="1"/>
    <x v="2"/>
    <s v="AU03"/>
    <x v="13"/>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119"/>
    <n v="6"/>
    <s v="9518670119-6"/>
    <s v="No Priority"/>
    <x v="0"/>
    <m/>
    <x v="1"/>
    <x v="1"/>
    <x v="1"/>
    <m/>
    <x v="0"/>
    <m/>
    <m/>
    <s v="Telangana"/>
    <s v="South"/>
    <m/>
    <x v="2"/>
    <x v="35"/>
    <x v="115"/>
    <x v="60"/>
    <s v="CRSHEET-ICF  DQ TATXXD AU03 0.90 X 1220"/>
    <s v=""/>
    <m/>
    <m/>
    <m/>
    <m/>
    <x v="1"/>
    <x v="2"/>
    <s v="AU03"/>
    <x v="13"/>
    <x v="1"/>
    <x v="0"/>
    <n v="84"/>
    <n v="0"/>
    <n v="84"/>
    <n v="84"/>
    <n v="84"/>
    <n v="84"/>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119"/>
    <n v="13"/>
    <s v="9518670119-13"/>
    <s v="No Priority"/>
    <x v="0"/>
    <m/>
    <x v="1"/>
    <x v="1"/>
    <x v="1"/>
    <m/>
    <x v="0"/>
    <m/>
    <m/>
    <s v="Telangana"/>
    <s v="South"/>
    <m/>
    <x v="2"/>
    <x v="35"/>
    <x v="115"/>
    <x v="102"/>
    <s v="CRCA COIL-TATXXD-AU03-1.6X1250"/>
    <s v=""/>
    <m/>
    <m/>
    <m/>
    <m/>
    <x v="1"/>
    <x v="2"/>
    <s v="AU03"/>
    <x v="22"/>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119"/>
    <n v="14"/>
    <s v="9518670119-14"/>
    <s v="No Priority"/>
    <x v="0"/>
    <m/>
    <x v="1"/>
    <x v="1"/>
    <x v="1"/>
    <m/>
    <x v="0"/>
    <m/>
    <m/>
    <s v="Telangana"/>
    <s v="South"/>
    <m/>
    <x v="2"/>
    <x v="35"/>
    <x v="115"/>
    <x v="123"/>
    <s v="CR COIL TATXXD AU03 1.620X1250"/>
    <s v=""/>
    <m/>
    <m/>
    <m/>
    <m/>
    <x v="1"/>
    <x v="2"/>
    <s v="AU03"/>
    <x v="40"/>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119"/>
    <n v="15"/>
    <s v="9518670119-15"/>
    <s v="No Priority"/>
    <x v="0"/>
    <m/>
    <x v="1"/>
    <x v="1"/>
    <x v="1"/>
    <m/>
    <x v="0"/>
    <m/>
    <m/>
    <s v="Telangana"/>
    <s v="South"/>
    <m/>
    <x v="2"/>
    <x v="35"/>
    <x v="115"/>
    <x v="125"/>
    <s v="CRCA COIL TATXXD AU03 1.800X1250"/>
    <s v=""/>
    <m/>
    <m/>
    <m/>
    <m/>
    <x v="1"/>
    <x v="2"/>
    <s v="AU03"/>
    <x v="41"/>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04T00:00:00"/>
    <x v="0"/>
    <n v="9518670119"/>
    <n v="16"/>
    <s v="9518670119-16"/>
    <s v="No Priority"/>
    <x v="0"/>
    <m/>
    <x v="1"/>
    <x v="1"/>
    <x v="1"/>
    <m/>
    <x v="0"/>
    <m/>
    <m/>
    <s v="Telangana"/>
    <s v="South"/>
    <m/>
    <x v="2"/>
    <x v="35"/>
    <x v="115"/>
    <x v="127"/>
    <s v="CRSHEET-ICF  DQ TATXXD AU03 2.02X1250"/>
    <s v=""/>
    <m/>
    <m/>
    <m/>
    <m/>
    <x v="1"/>
    <x v="2"/>
    <s v="AU03"/>
    <x v="42"/>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1"/>
    <s v="9518535833-1"/>
    <s v="No Priority"/>
    <x v="1"/>
    <m/>
    <x v="1"/>
    <x v="1"/>
    <x v="1"/>
    <m/>
    <x v="0"/>
    <m/>
    <m/>
    <s v="Tamil Nadu"/>
    <s v="South"/>
    <m/>
    <x v="2"/>
    <x v="4"/>
    <x v="4"/>
    <x v="379"/>
    <s v="CRCA COIL TATCRC TR15 0.350X900"/>
    <m/>
    <m/>
    <m/>
    <m/>
    <m/>
    <x v="1"/>
    <x v="1"/>
    <s v="TR15"/>
    <x v="6"/>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2"/>
    <s v="9518535833-2"/>
    <s v="No Priority"/>
    <x v="1"/>
    <m/>
    <x v="1"/>
    <x v="1"/>
    <x v="1"/>
    <m/>
    <x v="0"/>
    <m/>
    <m/>
    <s v="Tamil Nadu"/>
    <s v="South"/>
    <m/>
    <x v="2"/>
    <x v="4"/>
    <x v="4"/>
    <x v="380"/>
    <s v="CRCA COIL TATCRC TR15 0.350X1000"/>
    <m/>
    <m/>
    <m/>
    <m/>
    <m/>
    <x v="1"/>
    <x v="1"/>
    <s v="TR15"/>
    <x v="6"/>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4"/>
    <s v="9518535833-4"/>
    <s v="No Priority"/>
    <x v="1"/>
    <m/>
    <x v="1"/>
    <x v="1"/>
    <x v="1"/>
    <m/>
    <x v="0"/>
    <m/>
    <m/>
    <s v="Tamil Nadu"/>
    <s v="South"/>
    <m/>
    <x v="2"/>
    <x v="4"/>
    <x v="4"/>
    <x v="294"/>
    <s v="CRCA COIL-TATCRC-TR15-0.4X1000"/>
    <m/>
    <m/>
    <m/>
    <m/>
    <m/>
    <x v="1"/>
    <x v="1"/>
    <s v="TR15"/>
    <x v="2"/>
    <x v="2"/>
    <x v="0"/>
    <n v="69"/>
    <n v="0"/>
    <n v="69"/>
    <n v="69"/>
    <n v="69"/>
    <n v="69"/>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5"/>
    <s v="9518535833-5"/>
    <s v="No Priority"/>
    <x v="1"/>
    <m/>
    <x v="1"/>
    <x v="1"/>
    <x v="1"/>
    <m/>
    <x v="0"/>
    <m/>
    <m/>
    <s v="Tamil Nadu"/>
    <s v="South"/>
    <m/>
    <x v="2"/>
    <x v="4"/>
    <x v="4"/>
    <x v="4"/>
    <s v="CRCA COIL TATCRC TR15 0.4X1250"/>
    <m/>
    <m/>
    <m/>
    <m/>
    <m/>
    <x v="1"/>
    <x v="1"/>
    <s v="TR15"/>
    <x v="2"/>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6"/>
    <s v="9518535833-6"/>
    <s v="No Priority"/>
    <x v="1"/>
    <m/>
    <x v="1"/>
    <x v="1"/>
    <x v="1"/>
    <m/>
    <x v="0"/>
    <m/>
    <m/>
    <s v="Tamil Nadu"/>
    <s v="South"/>
    <m/>
    <x v="2"/>
    <x v="4"/>
    <x v="4"/>
    <x v="381"/>
    <s v="CRCA COIL-TATCRC-TR15-0.45X900"/>
    <m/>
    <m/>
    <m/>
    <m/>
    <m/>
    <x v="1"/>
    <x v="1"/>
    <s v="TR15"/>
    <x v="10"/>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7"/>
    <s v="9518535833-7"/>
    <s v="No Priority"/>
    <x v="1"/>
    <m/>
    <x v="1"/>
    <x v="1"/>
    <x v="1"/>
    <m/>
    <x v="0"/>
    <m/>
    <m/>
    <s v="Tamil Nadu"/>
    <s v="South"/>
    <m/>
    <x v="2"/>
    <x v="4"/>
    <x v="4"/>
    <x v="382"/>
    <s v="CRCA COIL-TATCRC-TR15-0.45X1000"/>
    <m/>
    <m/>
    <m/>
    <m/>
    <m/>
    <x v="1"/>
    <x v="1"/>
    <s v="TR15"/>
    <x v="10"/>
    <x v="2"/>
    <x v="0"/>
    <n v="69"/>
    <n v="0"/>
    <n v="69"/>
    <n v="69"/>
    <n v="69"/>
    <n v="69"/>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8"/>
    <s v="9518535833-8"/>
    <s v="No Priority"/>
    <x v="1"/>
    <m/>
    <x v="1"/>
    <x v="1"/>
    <x v="1"/>
    <m/>
    <x v="0"/>
    <m/>
    <m/>
    <s v="Tamil Nadu"/>
    <s v="South"/>
    <m/>
    <x v="2"/>
    <x v="4"/>
    <x v="4"/>
    <x v="383"/>
    <s v="CRCA COIL-TATCRC-TR15-0.5X1000"/>
    <m/>
    <m/>
    <m/>
    <m/>
    <m/>
    <x v="1"/>
    <x v="1"/>
    <s v="TR15"/>
    <x v="1"/>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20"/>
    <s v="9518535833-20"/>
    <s v="May'25"/>
    <x v="0"/>
    <s v="Yes"/>
    <x v="1"/>
    <x v="2"/>
    <x v="1"/>
    <m/>
    <x v="1"/>
    <m/>
    <m/>
    <s v="Tamil Nadu"/>
    <s v="South"/>
    <m/>
    <x v="2"/>
    <x v="4"/>
    <x v="4"/>
    <x v="149"/>
    <s v="CRCA SHEET TATCRC SR16 0.350X900X2500"/>
    <m/>
    <m/>
    <m/>
    <m/>
    <m/>
    <x v="2"/>
    <x v="1"/>
    <s v="SR16"/>
    <x v="6"/>
    <x v="3"/>
    <x v="3"/>
    <n v="21"/>
    <n v="0"/>
    <n v="21"/>
    <n v="21"/>
    <n v="21"/>
    <n v="21"/>
    <n v="0"/>
    <n v="0"/>
    <n v="0"/>
    <n v="0"/>
    <n v="0"/>
    <n v="0"/>
    <n v="0"/>
    <n v="0"/>
    <n v="0"/>
    <n v="0"/>
    <n v="0"/>
    <n v="0"/>
    <n v="0"/>
    <n v="0"/>
    <n v="0"/>
    <n v="0"/>
    <n v="0"/>
    <n v="0"/>
    <n v="0"/>
    <n v="0"/>
    <n v="0"/>
    <n v="0"/>
    <n v="0"/>
    <m/>
    <n v="0"/>
    <n v="21"/>
    <n v="0"/>
    <n v="0"/>
    <n v="0"/>
    <n v="0"/>
    <n v="21"/>
    <n v="21"/>
    <n v="0"/>
    <n v="0"/>
    <n v="0"/>
    <n v="0"/>
    <n v="21"/>
    <n v="0"/>
    <m/>
    <m/>
    <m/>
    <m/>
    <m/>
    <m/>
    <m/>
    <m/>
    <m/>
    <m/>
    <m/>
    <m/>
    <m/>
    <m/>
    <m/>
    <m/>
    <m/>
    <m/>
    <m/>
    <m/>
    <m/>
    <m/>
    <m/>
    <m/>
    <m/>
    <m/>
    <m/>
    <m/>
    <m/>
    <m/>
    <m/>
    <m/>
    <m/>
    <m/>
  </r>
  <r>
    <n v="742"/>
    <d v="2025-02-20T00:00:00"/>
    <x v="0"/>
    <n v="9518535833"/>
    <n v="21"/>
    <s v="9518535833-21"/>
    <s v="No Priority"/>
    <x v="1"/>
    <m/>
    <x v="1"/>
    <x v="2"/>
    <x v="1"/>
    <m/>
    <x v="0"/>
    <m/>
    <m/>
    <s v="Tamil Nadu"/>
    <s v="South"/>
    <m/>
    <x v="2"/>
    <x v="4"/>
    <x v="4"/>
    <x v="144"/>
    <s v="CRCA SHEET TATCRC SR16 0.400X900X2500"/>
    <m/>
    <m/>
    <m/>
    <m/>
    <m/>
    <x v="2"/>
    <x v="1"/>
    <s v="SR16"/>
    <x v="2"/>
    <x v="3"/>
    <x v="3"/>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2"/>
    <d v="2025-02-20T00:00:00"/>
    <x v="0"/>
    <n v="9518535833"/>
    <n v="22"/>
    <s v="9518535833-22"/>
    <s v="May'25"/>
    <x v="0"/>
    <s v="Yes"/>
    <x v="1"/>
    <x v="2"/>
    <x v="1"/>
    <m/>
    <x v="1"/>
    <m/>
    <m/>
    <s v="Tamil Nadu"/>
    <s v="South"/>
    <m/>
    <x v="2"/>
    <x v="4"/>
    <x v="4"/>
    <x v="10"/>
    <s v="CRCA SHEET TATCRC SR16 0.400X1000X1980"/>
    <m/>
    <m/>
    <m/>
    <m/>
    <m/>
    <x v="2"/>
    <x v="1"/>
    <s v="SR16"/>
    <x v="2"/>
    <x v="2"/>
    <x v="4"/>
    <n v="45"/>
    <n v="0"/>
    <n v="45"/>
    <n v="45"/>
    <n v="45"/>
    <n v="45"/>
    <n v="0"/>
    <n v="0"/>
    <n v="0"/>
    <n v="0"/>
    <n v="0"/>
    <n v="0"/>
    <n v="0"/>
    <n v="0"/>
    <n v="0"/>
    <n v="0"/>
    <n v="0"/>
    <n v="0"/>
    <n v="0"/>
    <n v="0"/>
    <n v="0"/>
    <n v="0"/>
    <n v="0"/>
    <n v="0"/>
    <n v="0"/>
    <n v="0"/>
    <n v="0"/>
    <n v="0"/>
    <n v="0"/>
    <m/>
    <n v="0"/>
    <n v="45"/>
    <n v="0"/>
    <n v="0"/>
    <n v="0"/>
    <n v="45"/>
    <n v="0"/>
    <n v="45"/>
    <n v="0"/>
    <n v="0"/>
    <n v="0"/>
    <n v="0"/>
    <n v="45"/>
    <n v="0"/>
    <m/>
    <m/>
    <m/>
    <m/>
    <m/>
    <m/>
    <m/>
    <m/>
    <m/>
    <m/>
    <m/>
    <m/>
    <m/>
    <m/>
    <m/>
    <m/>
    <m/>
    <m/>
    <m/>
    <m/>
    <m/>
    <m/>
    <m/>
    <m/>
    <m/>
    <m/>
    <m/>
    <m/>
    <m/>
    <m/>
    <m/>
    <m/>
    <m/>
    <m/>
  </r>
  <r>
    <n v="742"/>
    <d v="2025-02-20T00:00:00"/>
    <x v="0"/>
    <n v="9518535833"/>
    <n v="28"/>
    <s v="9518535833-28"/>
    <s v="No Priority"/>
    <x v="0"/>
    <m/>
    <x v="1"/>
    <x v="2"/>
    <x v="1"/>
    <m/>
    <x v="0"/>
    <m/>
    <m/>
    <s v="Tamil Nadu"/>
    <s v="South"/>
    <m/>
    <x v="2"/>
    <x v="4"/>
    <x v="4"/>
    <x v="272"/>
    <s v="CRCA SHEET TSBCRC SR15 1.500X1250X2500"/>
    <m/>
    <m/>
    <m/>
    <m/>
    <m/>
    <x v="2"/>
    <x v="4"/>
    <s v="SR15"/>
    <x v="27"/>
    <x v="0"/>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2-03T00:00:00"/>
    <x v="0"/>
    <n v="9518490750"/>
    <n v="1"/>
    <s v="9518490750-1"/>
    <s v="No Priority"/>
    <x v="1"/>
    <s v="Yes"/>
    <x v="1"/>
    <x v="2"/>
    <x v="1"/>
    <m/>
    <x v="0"/>
    <m/>
    <s v="Exp BTF &lt;17MT"/>
    <s v="Orissa"/>
    <s v="East"/>
    <m/>
    <x v="2"/>
    <x v="19"/>
    <x v="19"/>
    <x v="149"/>
    <s v="CRCA SHEET TATCRC SR16 0.350X900X2500"/>
    <m/>
    <m/>
    <m/>
    <m/>
    <m/>
    <x v="2"/>
    <x v="1"/>
    <s v="SR16"/>
    <x v="6"/>
    <x v="3"/>
    <x v="3"/>
    <n v="9"/>
    <n v="0"/>
    <n v="9"/>
    <n v="9"/>
    <n v="9"/>
    <n v="9"/>
    <n v="0"/>
    <n v="0"/>
    <n v="0"/>
    <n v="0"/>
    <n v="0"/>
    <n v="0"/>
    <n v="0"/>
    <n v="0"/>
    <n v="0"/>
    <n v="0"/>
    <n v="0"/>
    <n v="0"/>
    <n v="0"/>
    <n v="0"/>
    <n v="0"/>
    <n v="0"/>
    <n v="0"/>
    <n v="0"/>
    <n v="0"/>
    <n v="0"/>
    <n v="0"/>
    <n v="0"/>
    <n v="0"/>
    <m/>
    <n v="0"/>
    <n v="0"/>
    <n v="0"/>
    <n v="0"/>
    <n v="0"/>
    <n v="0"/>
    <n v="0"/>
    <n v="0"/>
    <n v="0"/>
    <n v="0"/>
    <n v="0"/>
    <n v="0"/>
    <n v="0"/>
    <n v="0"/>
    <m/>
    <m/>
    <m/>
    <m/>
    <m/>
    <m/>
    <m/>
    <m/>
    <m/>
    <m/>
    <m/>
    <m/>
    <m/>
    <m/>
    <m/>
    <m/>
    <m/>
    <m/>
    <m/>
    <m/>
    <m/>
    <m/>
    <m/>
    <m/>
    <m/>
    <m/>
    <m/>
    <m/>
    <m/>
    <m/>
    <m/>
    <m/>
    <m/>
    <m/>
  </r>
  <r>
    <n v="742"/>
    <d v="2025-02-03T00:00:00"/>
    <x v="0"/>
    <n v="9518490750"/>
    <n v="3"/>
    <s v="9518490750-3"/>
    <s v="May'25"/>
    <x v="0"/>
    <s v="Yes"/>
    <x v="1"/>
    <x v="2"/>
    <x v="1"/>
    <m/>
    <x v="1"/>
    <m/>
    <m/>
    <s v="Orissa"/>
    <s v="East"/>
    <m/>
    <x v="2"/>
    <x v="19"/>
    <x v="19"/>
    <x v="43"/>
    <s v="CRCA SHEET TATCRC SR16 0.350X1000X2500"/>
    <m/>
    <m/>
    <m/>
    <m/>
    <m/>
    <x v="2"/>
    <x v="1"/>
    <s v="SR16"/>
    <x v="6"/>
    <x v="2"/>
    <x v="3"/>
    <n v="75"/>
    <n v="0"/>
    <n v="75"/>
    <n v="75"/>
    <n v="75"/>
    <n v="75"/>
    <n v="0"/>
    <n v="0"/>
    <n v="0"/>
    <n v="0"/>
    <n v="0"/>
    <n v="0"/>
    <n v="0"/>
    <n v="0"/>
    <n v="0"/>
    <n v="0"/>
    <n v="0"/>
    <n v="0"/>
    <n v="0"/>
    <n v="0"/>
    <n v="0"/>
    <n v="0"/>
    <n v="0"/>
    <n v="0"/>
    <n v="0"/>
    <n v="0"/>
    <n v="0"/>
    <n v="0"/>
    <n v="0"/>
    <m/>
    <n v="0"/>
    <n v="75"/>
    <n v="0"/>
    <n v="0"/>
    <n v="0"/>
    <n v="0"/>
    <n v="75"/>
    <n v="75"/>
    <n v="0"/>
    <n v="0"/>
    <n v="0"/>
    <n v="0"/>
    <n v="75"/>
    <n v="0"/>
    <m/>
    <m/>
    <m/>
    <m/>
    <m/>
    <m/>
    <m/>
    <m/>
    <m/>
    <m/>
    <m/>
    <m/>
    <m/>
    <m/>
    <m/>
    <m/>
    <m/>
    <m/>
    <m/>
    <m/>
    <m/>
    <m/>
    <m/>
    <m/>
    <m/>
    <m/>
    <m/>
    <m/>
    <m/>
    <m/>
    <m/>
    <m/>
    <m/>
    <m/>
  </r>
  <r>
    <n v="742"/>
    <d v="2025-02-03T00:00:00"/>
    <x v="0"/>
    <n v="9518490750"/>
    <n v="4"/>
    <s v="9518490750-4"/>
    <s v="May'25"/>
    <x v="0"/>
    <s v="Yes"/>
    <x v="1"/>
    <x v="2"/>
    <x v="1"/>
    <m/>
    <x v="1"/>
    <m/>
    <m/>
    <s v="Orissa"/>
    <s v="East"/>
    <m/>
    <x v="2"/>
    <x v="19"/>
    <x v="19"/>
    <x v="16"/>
    <s v="CRCA SHEET TATCRC SR16 0.400X1000X2500"/>
    <m/>
    <m/>
    <m/>
    <m/>
    <m/>
    <x v="2"/>
    <x v="1"/>
    <s v="SR16"/>
    <x v="2"/>
    <x v="2"/>
    <x v="3"/>
    <n v="75"/>
    <n v="0"/>
    <n v="75"/>
    <n v="75"/>
    <n v="75"/>
    <n v="75"/>
    <n v="0"/>
    <n v="0"/>
    <n v="0"/>
    <n v="0"/>
    <n v="0"/>
    <n v="0"/>
    <n v="0"/>
    <n v="0"/>
    <n v="0"/>
    <n v="0"/>
    <n v="0"/>
    <n v="0"/>
    <n v="0"/>
    <n v="0"/>
    <n v="0"/>
    <n v="0"/>
    <n v="0"/>
    <n v="0"/>
    <n v="0"/>
    <n v="0"/>
    <n v="0"/>
    <n v="0"/>
    <n v="0"/>
    <m/>
    <n v="0"/>
    <n v="75"/>
    <n v="0"/>
    <n v="0"/>
    <n v="0"/>
    <n v="0"/>
    <n v="75"/>
    <n v="75"/>
    <n v="0"/>
    <n v="0"/>
    <n v="0"/>
    <n v="0"/>
    <n v="75"/>
    <n v="0"/>
    <m/>
    <m/>
    <m/>
    <m/>
    <m/>
    <m/>
    <m/>
    <m/>
    <m/>
    <m/>
    <m/>
    <m/>
    <m/>
    <m/>
    <m/>
    <m/>
    <m/>
    <m/>
    <m/>
    <m/>
    <m/>
    <m/>
    <m/>
    <m/>
    <m/>
    <m/>
    <m/>
    <m/>
    <m/>
    <m/>
    <m/>
    <m/>
    <m/>
    <m/>
  </r>
  <r>
    <n v="743"/>
    <d v="2025-02-04T00:00:00"/>
    <x v="0"/>
    <n v="9518493782"/>
    <n v="1"/>
    <s v="9518493782-1"/>
    <s v="May'25"/>
    <x v="1"/>
    <s v="Yes"/>
    <x v="3"/>
    <x v="9"/>
    <x v="1"/>
    <m/>
    <x v="1"/>
    <m/>
    <m/>
    <s v="Orissa"/>
    <s v="East"/>
    <m/>
    <x v="2"/>
    <x v="19"/>
    <x v="19"/>
    <x v="400"/>
    <s v="GP SH SOFT TATXGP GK09 0.300X900X2500"/>
    <m/>
    <m/>
    <m/>
    <m/>
    <m/>
    <x v="10"/>
    <x v="5"/>
    <s v="GK09"/>
    <x v="11"/>
    <x v="3"/>
    <x v="3"/>
    <n v="80"/>
    <n v="0"/>
    <n v="80"/>
    <n v="80"/>
    <n v="80"/>
    <n v="80"/>
    <n v="0"/>
    <n v="0"/>
    <n v="0"/>
    <n v="0"/>
    <n v="0"/>
    <n v="0"/>
    <n v="0"/>
    <n v="0"/>
    <n v="0"/>
    <n v="0"/>
    <n v="0"/>
    <n v="0"/>
    <n v="0"/>
    <n v="0"/>
    <n v="0"/>
    <n v="0"/>
    <n v="0"/>
    <n v="0"/>
    <n v="0"/>
    <n v="0"/>
    <n v="0"/>
    <n v="0"/>
    <n v="0"/>
    <m/>
    <n v="0"/>
    <n v="80"/>
    <n v="0"/>
    <n v="0"/>
    <n v="0"/>
    <n v="80"/>
    <n v="0"/>
    <n v="0"/>
    <n v="0"/>
    <n v="0"/>
    <n v="0"/>
    <n v="0"/>
    <n v="0"/>
    <n v="80"/>
    <m/>
    <m/>
    <m/>
    <m/>
    <m/>
    <m/>
    <m/>
    <m/>
    <m/>
    <m/>
    <m/>
    <m/>
    <m/>
    <m/>
    <m/>
    <m/>
    <m/>
    <m/>
    <m/>
    <m/>
    <m/>
    <m/>
    <m/>
    <m/>
    <m/>
    <m/>
    <m/>
    <m/>
    <m/>
    <m/>
    <m/>
    <m/>
    <m/>
    <m/>
  </r>
  <r>
    <n v="743"/>
    <d v="2025-02-04T00:00:00"/>
    <x v="0"/>
    <n v="9518493782"/>
    <n v="2"/>
    <s v="9518493782-2"/>
    <s v="May'25"/>
    <x v="1"/>
    <s v="Yes"/>
    <x v="3"/>
    <x v="9"/>
    <x v="1"/>
    <m/>
    <x v="0"/>
    <m/>
    <m/>
    <s v="Orissa"/>
    <s v="East"/>
    <m/>
    <x v="2"/>
    <x v="19"/>
    <x v="19"/>
    <x v="396"/>
    <s v="GP SH SOFT TATXGP GK09 0.350X900X2500"/>
    <m/>
    <m/>
    <m/>
    <m/>
    <m/>
    <x v="10"/>
    <x v="5"/>
    <s v="GK09"/>
    <x v="6"/>
    <x v="3"/>
    <x v="0"/>
    <n v="80"/>
    <n v="0"/>
    <n v="80"/>
    <n v="80"/>
    <n v="80"/>
    <n v="80"/>
    <n v="0"/>
    <n v="0"/>
    <n v="0"/>
    <n v="0"/>
    <n v="0"/>
    <n v="0"/>
    <n v="0"/>
    <n v="0"/>
    <n v="0"/>
    <n v="0"/>
    <n v="0"/>
    <n v="0"/>
    <n v="0"/>
    <n v="0"/>
    <n v="0"/>
    <n v="0"/>
    <n v="0"/>
    <n v="0"/>
    <n v="0"/>
    <n v="0"/>
    <n v="0"/>
    <n v="0"/>
    <n v="0"/>
    <m/>
    <n v="0"/>
    <n v="0"/>
    <n v="0"/>
    <n v="0"/>
    <n v="0"/>
    <n v="0"/>
    <n v="0"/>
    <n v="0"/>
    <n v="0"/>
    <n v="0"/>
    <n v="0"/>
    <n v="0"/>
    <n v="0"/>
    <n v="0"/>
    <m/>
    <m/>
    <m/>
    <m/>
    <m/>
    <m/>
    <m/>
    <m/>
    <m/>
    <m/>
    <m/>
    <m/>
    <m/>
    <m/>
    <m/>
    <m/>
    <m/>
    <m/>
    <m/>
    <m/>
    <m/>
    <m/>
    <m/>
    <m/>
    <m/>
    <m/>
    <m/>
    <m/>
    <m/>
    <m/>
    <m/>
    <m/>
    <m/>
    <m/>
  </r>
  <r>
    <n v="743"/>
    <d v="2025-02-04T00:00:00"/>
    <x v="0"/>
    <n v="9518493782"/>
    <n v="3"/>
    <s v="9518493782-3"/>
    <s v="May'25"/>
    <x v="1"/>
    <s v="Yes"/>
    <x v="3"/>
    <x v="9"/>
    <x v="1"/>
    <m/>
    <x v="0"/>
    <m/>
    <m/>
    <s v="Orissa"/>
    <s v="East"/>
    <m/>
    <x v="2"/>
    <x v="19"/>
    <x v="19"/>
    <x v="397"/>
    <s v="GP SH SOFT TATXGP GK09 0.400X900X2500"/>
    <m/>
    <m/>
    <m/>
    <m/>
    <m/>
    <x v="10"/>
    <x v="5"/>
    <s v="GK09"/>
    <x v="2"/>
    <x v="3"/>
    <x v="0"/>
    <n v="80"/>
    <n v="0"/>
    <n v="80"/>
    <n v="80"/>
    <n v="80"/>
    <n v="80"/>
    <n v="0"/>
    <n v="0"/>
    <n v="0"/>
    <n v="0"/>
    <n v="0"/>
    <n v="0"/>
    <n v="0"/>
    <n v="0"/>
    <n v="0"/>
    <n v="0"/>
    <n v="0"/>
    <n v="0"/>
    <n v="0"/>
    <n v="0"/>
    <n v="0"/>
    <n v="0"/>
    <n v="0"/>
    <n v="0"/>
    <n v="0"/>
    <n v="0"/>
    <n v="0"/>
    <n v="0"/>
    <n v="0"/>
    <m/>
    <n v="0"/>
    <n v="0"/>
    <n v="0"/>
    <n v="0"/>
    <n v="0"/>
    <n v="0"/>
    <n v="0"/>
    <n v="0"/>
    <n v="0"/>
    <n v="0"/>
    <n v="0"/>
    <n v="0"/>
    <n v="0"/>
    <n v="0"/>
    <m/>
    <m/>
    <m/>
    <m/>
    <m/>
    <m/>
    <m/>
    <m/>
    <m/>
    <m/>
    <m/>
    <m/>
    <m/>
    <m/>
    <m/>
    <m/>
    <m/>
    <m/>
    <m/>
    <m/>
    <m/>
    <m/>
    <m/>
    <m/>
    <m/>
    <m/>
    <m/>
    <m/>
    <m/>
    <m/>
    <m/>
    <m/>
    <m/>
    <m/>
  </r>
  <r>
    <n v="743"/>
    <d v="2025-02-04T00:00:00"/>
    <x v="0"/>
    <n v="9518493782"/>
    <n v="4"/>
    <s v="9518493782-4"/>
    <s v="May'25"/>
    <x v="1"/>
    <s v="Yes"/>
    <x v="3"/>
    <x v="9"/>
    <x v="1"/>
    <m/>
    <x v="0"/>
    <m/>
    <m/>
    <s v="Orissa"/>
    <s v="East"/>
    <m/>
    <x v="2"/>
    <x v="19"/>
    <x v="19"/>
    <x v="398"/>
    <s v="GP SH SOFT TATXGP GK09 0.500X900X2500"/>
    <m/>
    <m/>
    <m/>
    <m/>
    <m/>
    <x v="10"/>
    <x v="5"/>
    <s v="GK09"/>
    <x v="1"/>
    <x v="3"/>
    <x v="0"/>
    <n v="80"/>
    <n v="0"/>
    <n v="80"/>
    <n v="80"/>
    <n v="80"/>
    <n v="80"/>
    <n v="0"/>
    <n v="0"/>
    <n v="0"/>
    <n v="0"/>
    <n v="0"/>
    <n v="0"/>
    <n v="0"/>
    <n v="0"/>
    <n v="0"/>
    <n v="0"/>
    <n v="0"/>
    <n v="0"/>
    <n v="0"/>
    <n v="0"/>
    <n v="0"/>
    <n v="0"/>
    <n v="0"/>
    <n v="0"/>
    <n v="0"/>
    <n v="0"/>
    <n v="0"/>
    <n v="0"/>
    <n v="0"/>
    <m/>
    <n v="0"/>
    <n v="0"/>
    <n v="0"/>
    <n v="0"/>
    <n v="0"/>
    <n v="0"/>
    <n v="0"/>
    <n v="0"/>
    <n v="0"/>
    <n v="0"/>
    <n v="0"/>
    <n v="0"/>
    <n v="0"/>
    <n v="0"/>
    <m/>
    <m/>
    <m/>
    <m/>
    <m/>
    <m/>
    <m/>
    <m/>
    <m/>
    <m/>
    <m/>
    <m/>
    <m/>
    <m/>
    <m/>
    <m/>
    <m/>
    <m/>
    <m/>
    <m/>
    <m/>
    <m/>
    <m/>
    <m/>
    <m/>
    <m/>
    <m/>
    <m/>
    <m/>
    <m/>
    <m/>
    <m/>
    <m/>
    <m/>
  </r>
  <r>
    <n v="742"/>
    <d v="2025-02-14T00:00:00"/>
    <x v="0"/>
    <n v="9518519644"/>
    <n v="2"/>
    <s v="9518519644-2"/>
    <s v="May'25"/>
    <x v="0"/>
    <s v="Yes"/>
    <x v="1"/>
    <x v="2"/>
    <x v="1"/>
    <m/>
    <x v="1"/>
    <m/>
    <m/>
    <s v="Bihar"/>
    <s v="East"/>
    <m/>
    <x v="2"/>
    <x v="31"/>
    <x v="31"/>
    <x v="142"/>
    <s v="CRCA SHEET TATCRC SR16 0.330X900X2500"/>
    <m/>
    <m/>
    <m/>
    <m/>
    <m/>
    <x v="2"/>
    <x v="1"/>
    <s v="SR16"/>
    <x v="9"/>
    <x v="3"/>
    <x v="3"/>
    <n v="51"/>
    <n v="0"/>
    <n v="51"/>
    <n v="51"/>
    <n v="51"/>
    <n v="51"/>
    <n v="0"/>
    <n v="0"/>
    <n v="0"/>
    <n v="0"/>
    <n v="0"/>
    <n v="0"/>
    <n v="0"/>
    <n v="0"/>
    <n v="0"/>
    <n v="0"/>
    <n v="0"/>
    <n v="0"/>
    <n v="0"/>
    <n v="0"/>
    <n v="0"/>
    <n v="0"/>
    <n v="0"/>
    <n v="0"/>
    <n v="0"/>
    <n v="0"/>
    <n v="0"/>
    <n v="0"/>
    <n v="0"/>
    <m/>
    <n v="0"/>
    <n v="51"/>
    <n v="0"/>
    <n v="0"/>
    <n v="0"/>
    <n v="0"/>
    <n v="51"/>
    <n v="51"/>
    <n v="0"/>
    <n v="0"/>
    <n v="0"/>
    <n v="0"/>
    <n v="51"/>
    <n v="0"/>
    <m/>
    <m/>
    <m/>
    <m/>
    <m/>
    <m/>
    <m/>
    <m/>
    <m/>
    <m/>
    <m/>
    <m/>
    <m/>
    <m/>
    <m/>
    <m/>
    <m/>
    <m/>
    <m/>
    <m/>
    <m/>
    <m/>
    <m/>
    <m/>
    <m/>
    <m/>
    <m/>
    <m/>
    <m/>
    <m/>
    <m/>
    <m/>
    <m/>
    <m/>
  </r>
  <r>
    <n v="742"/>
    <d v="2025-02-14T00:00:00"/>
    <x v="0"/>
    <n v="9518519644"/>
    <n v="4"/>
    <s v="9518519644-4"/>
    <s v="May'25"/>
    <x v="0"/>
    <s v="Yes"/>
    <x v="1"/>
    <x v="2"/>
    <x v="1"/>
    <m/>
    <x v="1"/>
    <m/>
    <m/>
    <s v="Bihar"/>
    <s v="East"/>
    <m/>
    <x v="2"/>
    <x v="31"/>
    <x v="31"/>
    <x v="149"/>
    <s v="CRCA SHEET TATCRC SR16 0.350X900X2500"/>
    <m/>
    <m/>
    <m/>
    <m/>
    <m/>
    <x v="2"/>
    <x v="1"/>
    <s v="SR16"/>
    <x v="6"/>
    <x v="3"/>
    <x v="3"/>
    <n v="51"/>
    <n v="0"/>
    <n v="51"/>
    <n v="51"/>
    <n v="51"/>
    <n v="51"/>
    <n v="0"/>
    <n v="0"/>
    <n v="0"/>
    <n v="0"/>
    <n v="0"/>
    <n v="0"/>
    <n v="0"/>
    <n v="0"/>
    <n v="0"/>
    <n v="0"/>
    <n v="0"/>
    <n v="0"/>
    <n v="0"/>
    <n v="0"/>
    <n v="0"/>
    <n v="0"/>
    <n v="0"/>
    <n v="0"/>
    <n v="0"/>
    <n v="0"/>
    <n v="0"/>
    <n v="0"/>
    <n v="0"/>
    <m/>
    <n v="0"/>
    <n v="51"/>
    <n v="0"/>
    <n v="0"/>
    <n v="0"/>
    <n v="0"/>
    <n v="51"/>
    <n v="0"/>
    <n v="0"/>
    <n v="0"/>
    <n v="0"/>
    <n v="0"/>
    <n v="0"/>
    <n v="51"/>
    <m/>
    <m/>
    <m/>
    <m/>
    <m/>
    <m/>
    <m/>
    <m/>
    <m/>
    <m/>
    <m/>
    <m/>
    <m/>
    <m/>
    <m/>
    <m/>
    <m/>
    <m/>
    <m/>
    <m/>
    <m/>
    <m/>
    <m/>
    <m/>
    <m/>
    <m/>
    <m/>
    <m/>
    <m/>
    <m/>
    <m/>
    <m/>
    <m/>
    <m/>
  </r>
  <r>
    <n v="742"/>
    <d v="2025-02-14T00:00:00"/>
    <x v="0"/>
    <n v="9518520213"/>
    <n v="1"/>
    <s v="9518520213-1"/>
    <s v="May'25"/>
    <x v="0"/>
    <s v="Yes"/>
    <x v="1"/>
    <x v="2"/>
    <x v="1"/>
    <m/>
    <x v="1"/>
    <m/>
    <m/>
    <s v="Bihar"/>
    <s v="East"/>
    <m/>
    <x v="2"/>
    <x v="31"/>
    <x v="31"/>
    <x v="19"/>
    <s v="CRCA SHEET TATCRC SR16 0.300X900X2500"/>
    <m/>
    <m/>
    <m/>
    <m/>
    <m/>
    <x v="2"/>
    <x v="1"/>
    <s v="SR16"/>
    <x v="11"/>
    <x v="3"/>
    <x v="3"/>
    <n v="51"/>
    <n v="0"/>
    <n v="51"/>
    <n v="51"/>
    <n v="51"/>
    <n v="51"/>
    <n v="0"/>
    <n v="0"/>
    <n v="0"/>
    <n v="0"/>
    <n v="0"/>
    <n v="0"/>
    <n v="0"/>
    <n v="0"/>
    <n v="0"/>
    <n v="0"/>
    <n v="0"/>
    <n v="0"/>
    <n v="0"/>
    <n v="0"/>
    <n v="0"/>
    <n v="0"/>
    <n v="0"/>
    <n v="0"/>
    <n v="0"/>
    <n v="0"/>
    <n v="0"/>
    <n v="0"/>
    <n v="0"/>
    <m/>
    <n v="0"/>
    <n v="51"/>
    <n v="0"/>
    <n v="0"/>
    <n v="0"/>
    <n v="0"/>
    <n v="51"/>
    <n v="0"/>
    <n v="0"/>
    <n v="0"/>
    <n v="0"/>
    <n v="0"/>
    <n v="0"/>
    <n v="51"/>
    <m/>
    <m/>
    <m/>
    <m/>
    <m/>
    <m/>
    <m/>
    <m/>
    <m/>
    <m/>
    <m/>
    <m/>
    <m/>
    <m/>
    <m/>
    <m/>
    <m/>
    <m/>
    <m/>
    <m/>
    <m/>
    <m/>
    <m/>
    <m/>
    <m/>
    <m/>
    <m/>
    <m/>
    <m/>
    <m/>
    <m/>
    <m/>
    <m/>
    <m/>
  </r>
  <r>
    <n v="743"/>
    <d v="2025-02-05T00:00:00"/>
    <x v="0"/>
    <n v="9518495843"/>
    <n v="4"/>
    <s v="9518495843-4"/>
    <s v="May'25"/>
    <x v="1"/>
    <s v="Yes"/>
    <x v="3"/>
    <x v="9"/>
    <x v="1"/>
    <m/>
    <x v="0"/>
    <m/>
    <m/>
    <s v="West Bengal"/>
    <s v="East"/>
    <m/>
    <x v="2"/>
    <x v="36"/>
    <x v="36"/>
    <x v="467"/>
    <s v="GP COIL SOFT-TATXGP-GLK1-0.45X900"/>
    <m/>
    <m/>
    <m/>
    <m/>
    <m/>
    <x v="7"/>
    <x v="5"/>
    <s v="GLK1"/>
    <x v="10"/>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3"/>
    <d v="2025-02-05T00:00:00"/>
    <x v="0"/>
    <n v="9518495843"/>
    <n v="6"/>
    <s v="9518495843-6"/>
    <s v="May'25"/>
    <x v="0"/>
    <s v="Yes"/>
    <x v="3"/>
    <x v="9"/>
    <x v="1"/>
    <m/>
    <x v="0"/>
    <m/>
    <m/>
    <s v="West Bengal"/>
    <s v="East"/>
    <m/>
    <x v="2"/>
    <x v="36"/>
    <x v="36"/>
    <x v="153"/>
    <s v="GP COIL SOFT-TATXGP-GLK1-0.6X900"/>
    <m/>
    <m/>
    <m/>
    <m/>
    <m/>
    <x v="7"/>
    <x v="5"/>
    <s v="GLK1"/>
    <x v="20"/>
    <x v="3"/>
    <x v="0"/>
    <n v="63"/>
    <n v="0"/>
    <n v="63"/>
    <n v="63"/>
    <n v="63"/>
    <n v="63"/>
    <n v="0"/>
    <n v="0"/>
    <n v="0"/>
    <n v="0"/>
    <n v="0"/>
    <n v="0"/>
    <n v="0"/>
    <n v="0"/>
    <n v="0"/>
    <n v="0"/>
    <n v="0"/>
    <n v="0"/>
    <n v="0"/>
    <n v="0"/>
    <n v="0"/>
    <n v="0"/>
    <n v="0"/>
    <n v="0"/>
    <n v="0"/>
    <n v="0"/>
    <n v="0"/>
    <n v="0"/>
    <n v="0"/>
    <m/>
    <n v="0"/>
    <n v="0"/>
    <n v="0"/>
    <n v="0"/>
    <n v="0"/>
    <n v="0"/>
    <n v="0"/>
    <n v="0"/>
    <n v="0"/>
    <n v="0"/>
    <n v="0"/>
    <n v="0"/>
    <n v="0"/>
    <n v="0"/>
    <m/>
    <m/>
    <m/>
    <m/>
    <m/>
    <m/>
    <m/>
    <m/>
    <m/>
    <m/>
    <m/>
    <m/>
    <m/>
    <m/>
    <m/>
    <m/>
    <m/>
    <m/>
    <m/>
    <m/>
    <m/>
    <m/>
    <m/>
    <m/>
    <m/>
    <m/>
    <m/>
    <m/>
    <m/>
    <m/>
    <m/>
    <m/>
    <m/>
    <m/>
  </r>
  <r>
    <n v="742"/>
    <d v="2025-02-10T00:00:00"/>
    <x v="0"/>
    <n v="9518506597"/>
    <n v="1"/>
    <s v="9518506597-1"/>
    <s v="No Priority"/>
    <x v="0"/>
    <m/>
    <x v="1"/>
    <x v="10"/>
    <x v="3"/>
    <m/>
    <x v="0"/>
    <m/>
    <m/>
    <s v="Tamil Nadu"/>
    <s v="South"/>
    <m/>
    <x v="2"/>
    <x v="80"/>
    <x v="116"/>
    <x v="468"/>
    <s v="CR COIL TATXHS GB03 1.500X1258"/>
    <m/>
    <m/>
    <m/>
    <m/>
    <m/>
    <x v="1"/>
    <x v="8"/>
    <s v="GB03"/>
    <x v="27"/>
    <x v="32"/>
    <x v="0"/>
    <n v="261"/>
    <n v="0"/>
    <n v="261"/>
    <n v="261"/>
    <n v="261"/>
    <n v="261"/>
    <n v="0"/>
    <n v="0"/>
    <n v="0"/>
    <n v="0"/>
    <n v="0"/>
    <n v="0"/>
    <n v="0"/>
    <n v="0"/>
    <n v="0"/>
    <n v="0"/>
    <n v="0"/>
    <n v="0"/>
    <n v="0"/>
    <n v="0"/>
    <n v="0"/>
    <n v="0"/>
    <n v="0"/>
    <n v="0"/>
    <n v="0"/>
    <n v="0"/>
    <n v="0"/>
    <n v="0"/>
    <n v="0"/>
    <m/>
    <n v="0"/>
    <n v="0"/>
    <n v="0"/>
    <n v="0"/>
    <n v="0"/>
    <n v="0"/>
    <n v="0"/>
    <n v="0"/>
    <n v="0"/>
    <n v="0"/>
    <n v="0"/>
    <n v="0"/>
    <n v="0"/>
    <n v="0"/>
    <m/>
    <m/>
    <m/>
    <m/>
    <m/>
    <m/>
    <m/>
    <m/>
    <m/>
    <m/>
    <m/>
    <m/>
    <m/>
    <m/>
    <m/>
    <m/>
    <m/>
    <m/>
    <m/>
    <m/>
    <m/>
    <m/>
    <m/>
    <m/>
    <m/>
    <m/>
    <m/>
    <m/>
    <m/>
    <m/>
    <m/>
    <m/>
    <m/>
    <m/>
  </r>
  <r>
    <n v="742"/>
    <d v="2025-02-05T00:00:00"/>
    <x v="0"/>
    <n v="9518495920"/>
    <n v="1"/>
    <s v="9518495920-1"/>
    <s v="No Priority"/>
    <x v="1"/>
    <s v="Yes"/>
    <x v="1"/>
    <x v="2"/>
    <x v="1"/>
    <m/>
    <x v="0"/>
    <m/>
    <m/>
    <s v="Uttar Pradesh"/>
    <s v="North"/>
    <m/>
    <x v="2"/>
    <x v="2"/>
    <x v="2"/>
    <x v="145"/>
    <s v="CRCA SHEET TATCRC SR16 0.400X1250X2500"/>
    <m/>
    <m/>
    <m/>
    <m/>
    <m/>
    <x v="2"/>
    <x v="1"/>
    <s v="SR16"/>
    <x v="2"/>
    <x v="0"/>
    <x v="0"/>
    <n v="27"/>
    <n v="0"/>
    <n v="27"/>
    <n v="27"/>
    <n v="27"/>
    <n v="27"/>
    <n v="0"/>
    <n v="0"/>
    <n v="0"/>
    <n v="0"/>
    <n v="0"/>
    <n v="0"/>
    <n v="0"/>
    <n v="0"/>
    <n v="0"/>
    <n v="0"/>
    <n v="0"/>
    <n v="0"/>
    <n v="0"/>
    <n v="0"/>
    <n v="0"/>
    <n v="0"/>
    <n v="0"/>
    <n v="0"/>
    <n v="0"/>
    <n v="0"/>
    <n v="0"/>
    <n v="0"/>
    <n v="0"/>
    <m/>
    <n v="0"/>
    <n v="0"/>
    <n v="0"/>
    <n v="0"/>
    <n v="0"/>
    <n v="0"/>
    <n v="0"/>
    <n v="0"/>
    <n v="0"/>
    <n v="0"/>
    <n v="0"/>
    <n v="0"/>
    <n v="0"/>
    <n v="0"/>
    <m/>
    <m/>
    <m/>
    <m/>
    <m/>
    <m/>
    <m/>
    <m/>
    <m/>
    <m/>
    <m/>
    <m/>
    <m/>
    <m/>
    <m/>
    <m/>
    <m/>
    <m/>
    <m/>
    <m/>
    <m/>
    <m/>
    <m/>
    <m/>
    <m/>
    <m/>
    <m/>
    <m/>
    <m/>
    <m/>
    <m/>
    <m/>
    <m/>
    <m/>
  </r>
  <r>
    <n v="742"/>
    <d v="2025-02-05T00:00:00"/>
    <x v="0"/>
    <n v="9518495920"/>
    <n v="5"/>
    <s v="9518495920-5"/>
    <s v="No Priority"/>
    <x v="0"/>
    <s v="Yes"/>
    <x v="1"/>
    <x v="2"/>
    <x v="1"/>
    <m/>
    <x v="0"/>
    <m/>
    <m/>
    <s v="Uttar Pradesh"/>
    <s v="North"/>
    <m/>
    <x v="2"/>
    <x v="2"/>
    <x v="2"/>
    <x v="3"/>
    <s v="CRCA SHEET TATCRC SR16 0.400X1250X2030"/>
    <m/>
    <m/>
    <m/>
    <m/>
    <m/>
    <x v="2"/>
    <x v="1"/>
    <s v="SR16"/>
    <x v="2"/>
    <x v="0"/>
    <x v="1"/>
    <n v="27"/>
    <n v="0"/>
    <n v="27"/>
    <n v="27"/>
    <n v="27"/>
    <n v="27"/>
    <n v="0"/>
    <n v="0"/>
    <n v="0"/>
    <n v="0"/>
    <n v="0"/>
    <n v="0"/>
    <n v="0"/>
    <n v="0"/>
    <n v="0"/>
    <n v="0"/>
    <n v="0"/>
    <n v="0"/>
    <n v="0"/>
    <n v="0"/>
    <n v="0"/>
    <n v="0"/>
    <n v="0"/>
    <n v="0"/>
    <n v="0"/>
    <n v="0"/>
    <n v="0"/>
    <n v="0"/>
    <n v="0"/>
    <m/>
    <n v="0"/>
    <n v="0"/>
    <n v="0"/>
    <n v="0"/>
    <n v="0"/>
    <n v="0"/>
    <n v="0"/>
    <n v="0"/>
    <n v="0"/>
    <n v="0"/>
    <n v="0"/>
    <n v="0"/>
    <n v="0"/>
    <n v="0"/>
    <m/>
    <m/>
    <m/>
    <m/>
    <m/>
    <m/>
    <m/>
    <m/>
    <m/>
    <m/>
    <m/>
    <m/>
    <m/>
    <m/>
    <m/>
    <m/>
    <m/>
    <m/>
    <m/>
    <m/>
    <m/>
    <m/>
    <m/>
    <m/>
    <m/>
    <m/>
    <m/>
    <m/>
    <m/>
    <m/>
    <m/>
    <m/>
    <m/>
    <m/>
  </r>
  <r>
    <n v="743"/>
    <d v="2025-02-17T00:00:00"/>
    <x v="0"/>
    <n v="9518527008"/>
    <n v="1"/>
    <s v="9518527008-1"/>
    <s v="No Priority"/>
    <x v="1"/>
    <m/>
    <x v="3"/>
    <x v="9"/>
    <x v="1"/>
    <m/>
    <x v="0"/>
    <m/>
    <m/>
    <s v="Uttar Pradesh"/>
    <s v="North"/>
    <m/>
    <x v="2"/>
    <x v="100"/>
    <x v="99"/>
    <x v="411"/>
    <s v="GP COIL SOFT-TATXGP-GLK1-0.2X900"/>
    <m/>
    <m/>
    <m/>
    <m/>
    <m/>
    <x v="7"/>
    <x v="5"/>
    <s v="GLK1"/>
    <x v="6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2-17T00:00:00"/>
    <x v="0"/>
    <n v="9518527008"/>
    <n v="5"/>
    <s v="9518527008-5"/>
    <s v="No Priority"/>
    <x v="1"/>
    <m/>
    <x v="3"/>
    <x v="9"/>
    <x v="1"/>
    <m/>
    <x v="0"/>
    <m/>
    <m/>
    <s v="Uttar Pradesh"/>
    <s v="North"/>
    <m/>
    <x v="2"/>
    <x v="100"/>
    <x v="99"/>
    <x v="408"/>
    <s v="GP COIL SOFT TATXGP GLK1 0.25X1000"/>
    <m/>
    <m/>
    <m/>
    <m/>
    <m/>
    <x v="7"/>
    <x v="5"/>
    <s v="GLK1"/>
    <x v="12"/>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3"/>
    <d v="2025-02-18T00:00:00"/>
    <x v="0"/>
    <n v="9518529960"/>
    <n v="3"/>
    <s v="9518529960-3"/>
    <s v="May'25"/>
    <x v="0"/>
    <m/>
    <x v="4"/>
    <x v="5"/>
    <x v="3"/>
    <m/>
    <x v="1"/>
    <m/>
    <m/>
    <s v="Telangana"/>
    <s v="South"/>
    <m/>
    <x v="2"/>
    <x v="103"/>
    <x v="117"/>
    <x v="469"/>
    <s v="GL COIL HARD  Y550GL GL6H 0.900X1220"/>
    <m/>
    <m/>
    <m/>
    <m/>
    <m/>
    <x v="5"/>
    <x v="7"/>
    <s v="GL6H"/>
    <x v="13"/>
    <x v="1"/>
    <x v="0"/>
    <n v="196"/>
    <n v="0"/>
    <n v="196"/>
    <n v="196"/>
    <n v="138.76999999999998"/>
    <n v="177.61500000000001"/>
    <n v="0"/>
    <n v="0"/>
    <n v="0"/>
    <n v="0"/>
    <n v="0"/>
    <n v="0"/>
    <n v="0"/>
    <n v="24.945"/>
    <n v="0"/>
    <n v="0"/>
    <n v="0"/>
    <n v="0"/>
    <n v="0"/>
    <n v="0"/>
    <n v="0"/>
    <n v="0"/>
    <n v="0"/>
    <n v="0"/>
    <n v="32.285000000000004"/>
    <n v="57.230000000000004"/>
    <n v="57.230000000000004"/>
    <n v="0"/>
    <n v="57.230000000000004"/>
    <m/>
    <n v="10.73"/>
    <n v="177.61500000000001"/>
    <n v="0"/>
    <n v="0"/>
    <n v="177.61500000000001"/>
    <n v="0"/>
    <n v="0"/>
    <n v="188.345"/>
    <n v="0"/>
    <n v="0"/>
    <n v="0"/>
    <n v="188.345"/>
    <n v="0"/>
    <n v="0"/>
    <m/>
    <m/>
    <m/>
    <m/>
    <m/>
    <m/>
    <m/>
    <m/>
    <m/>
    <m/>
    <m/>
    <m/>
    <m/>
    <m/>
    <m/>
    <m/>
    <m/>
    <m/>
    <m/>
    <m/>
    <m/>
    <m/>
    <m/>
    <m/>
    <m/>
    <m/>
    <m/>
    <m/>
    <m/>
    <m/>
    <m/>
    <m/>
    <m/>
    <m/>
  </r>
  <r>
    <n v="743"/>
    <d v="2025-02-19T00:00:00"/>
    <x v="0"/>
    <n v="9518531619"/>
    <n v="1"/>
    <s v="9518531619-1"/>
    <s v="No Priority"/>
    <x v="0"/>
    <m/>
    <x v="4"/>
    <x v="5"/>
    <x v="3"/>
    <m/>
    <x v="0"/>
    <m/>
    <s v="Centre slit HR not available"/>
    <s v="Telangana"/>
    <s v="South"/>
    <m/>
    <x v="2"/>
    <x v="103"/>
    <x v="117"/>
    <x v="470"/>
    <s v="GL COIL HARD  Y550GL GL6H 0.900X1050"/>
    <m/>
    <m/>
    <m/>
    <m/>
    <m/>
    <x v="5"/>
    <x v="7"/>
    <s v="GL6H"/>
    <x v="13"/>
    <x v="33"/>
    <x v="0"/>
    <n v="243"/>
    <n v="0"/>
    <n v="243"/>
    <n v="243"/>
    <n v="243"/>
    <n v="240"/>
    <n v="0"/>
    <n v="0"/>
    <n v="0"/>
    <n v="0"/>
    <n v="0"/>
    <n v="0"/>
    <n v="0"/>
    <n v="0"/>
    <n v="0"/>
    <n v="0"/>
    <n v="0"/>
    <n v="0"/>
    <n v="0"/>
    <n v="0"/>
    <n v="0"/>
    <n v="0"/>
    <n v="0"/>
    <n v="0"/>
    <n v="0"/>
    <n v="0"/>
    <n v="0"/>
    <n v="0"/>
    <n v="0"/>
    <m/>
    <n v="0"/>
    <n v="0"/>
    <n v="0"/>
    <n v="0"/>
    <n v="0"/>
    <n v="0"/>
    <n v="0"/>
    <n v="0"/>
    <n v="0"/>
    <n v="0"/>
    <n v="0"/>
    <n v="0"/>
    <n v="0"/>
    <n v="0"/>
    <m/>
    <m/>
    <m/>
    <m/>
    <m/>
    <m/>
    <m/>
    <m/>
    <m/>
    <m/>
    <m/>
    <m/>
    <m/>
    <m/>
    <m/>
    <m/>
    <m/>
    <m/>
    <m/>
    <m/>
    <m/>
    <m/>
    <m/>
    <m/>
    <m/>
    <m/>
    <m/>
    <m/>
    <m/>
    <m/>
    <m/>
    <m/>
    <m/>
    <m/>
  </r>
  <r>
    <n v="743"/>
    <d v="2025-02-19T00:00:00"/>
    <x v="0"/>
    <n v="9518531619"/>
    <n v="2"/>
    <s v="9518531619-2"/>
    <s v="No Priority"/>
    <x v="0"/>
    <m/>
    <x v="4"/>
    <x v="5"/>
    <x v="3"/>
    <m/>
    <x v="0"/>
    <m/>
    <s v="Centre slit HR not available"/>
    <s v="Telangana"/>
    <s v="South"/>
    <m/>
    <x v="2"/>
    <x v="103"/>
    <x v="117"/>
    <x v="470"/>
    <s v="GL COIL HARD  Y550GL GL6H 0.900X1050"/>
    <m/>
    <m/>
    <m/>
    <m/>
    <m/>
    <x v="5"/>
    <x v="7"/>
    <s v="GL6H"/>
    <x v="13"/>
    <x v="33"/>
    <x v="0"/>
    <n v="242"/>
    <n v="0"/>
    <n v="242"/>
    <n v="242"/>
    <n v="242"/>
    <n v="240"/>
    <n v="0"/>
    <n v="0"/>
    <n v="0"/>
    <n v="0"/>
    <n v="0"/>
    <n v="0"/>
    <n v="0"/>
    <n v="0"/>
    <n v="0"/>
    <n v="0"/>
    <n v="0"/>
    <n v="0"/>
    <n v="0"/>
    <n v="0"/>
    <n v="0"/>
    <n v="0"/>
    <n v="0"/>
    <n v="0"/>
    <n v="0"/>
    <n v="0"/>
    <n v="0"/>
    <n v="0"/>
    <n v="0"/>
    <m/>
    <n v="0"/>
    <n v="0"/>
    <n v="0"/>
    <n v="0"/>
    <n v="0"/>
    <n v="0"/>
    <n v="0"/>
    <n v="0"/>
    <n v="0"/>
    <n v="0"/>
    <n v="0"/>
    <n v="0"/>
    <n v="0"/>
    <n v="0"/>
    <m/>
    <m/>
    <m/>
    <m/>
    <m/>
    <m/>
    <m/>
    <m/>
    <m/>
    <m/>
    <m/>
    <m/>
    <m/>
    <m/>
    <m/>
    <m/>
    <m/>
    <m/>
    <m/>
    <m/>
    <m/>
    <m/>
    <m/>
    <m/>
    <m/>
    <m/>
    <m/>
    <m/>
    <m/>
    <m/>
    <m/>
    <m/>
    <m/>
    <m/>
  </r>
  <r>
    <n v="743"/>
    <d v="2025-02-19T00:00:00"/>
    <x v="0"/>
    <n v="9518531619"/>
    <n v="3"/>
    <s v="9518531619-3"/>
    <s v="No Priority"/>
    <x v="0"/>
    <m/>
    <x v="4"/>
    <x v="5"/>
    <x v="3"/>
    <m/>
    <x v="0"/>
    <m/>
    <s v="Centre slit HR not available"/>
    <s v="Telangana"/>
    <s v="South"/>
    <m/>
    <x v="2"/>
    <x v="103"/>
    <x v="117"/>
    <x v="470"/>
    <s v="GL COIL HARD  Y550GL GL6H 0.900X1050"/>
    <m/>
    <m/>
    <m/>
    <m/>
    <m/>
    <x v="5"/>
    <x v="7"/>
    <s v="GL6H"/>
    <x v="13"/>
    <x v="33"/>
    <x v="0"/>
    <n v="75"/>
    <n v="0"/>
    <n v="75"/>
    <n v="75"/>
    <n v="75"/>
    <n v="72"/>
    <n v="0"/>
    <n v="0"/>
    <n v="0"/>
    <n v="0"/>
    <n v="0"/>
    <n v="0"/>
    <n v="0"/>
    <n v="0"/>
    <n v="0"/>
    <n v="0"/>
    <n v="0"/>
    <n v="0"/>
    <n v="0"/>
    <n v="0"/>
    <n v="0"/>
    <n v="0"/>
    <n v="0"/>
    <n v="0"/>
    <n v="0"/>
    <n v="0"/>
    <n v="0"/>
    <n v="0"/>
    <n v="0"/>
    <m/>
    <n v="0"/>
    <n v="0"/>
    <n v="0"/>
    <n v="0"/>
    <n v="0"/>
    <n v="0"/>
    <n v="0"/>
    <n v="0"/>
    <n v="0"/>
    <n v="0"/>
    <n v="0"/>
    <n v="0"/>
    <n v="0"/>
    <n v="0"/>
    <m/>
    <m/>
    <m/>
    <m/>
    <m/>
    <m/>
    <m/>
    <m/>
    <m/>
    <m/>
    <m/>
    <m/>
    <m/>
    <m/>
    <m/>
    <m/>
    <m/>
    <m/>
    <m/>
    <m/>
    <m/>
    <m/>
    <m/>
    <m/>
    <m/>
    <m/>
    <m/>
    <m/>
    <m/>
    <m/>
    <m/>
    <m/>
    <m/>
    <m/>
  </r>
  <r>
    <n v="742"/>
    <d v="2025-02-11T00:00:00"/>
    <x v="0"/>
    <n v="9518510371"/>
    <n v="6"/>
    <s v="9518510371-6"/>
    <s v="No Priority"/>
    <x v="0"/>
    <m/>
    <x v="1"/>
    <x v="1"/>
    <x v="1"/>
    <m/>
    <x v="0"/>
    <m/>
    <m/>
    <s v="Uttar Pradesh"/>
    <s v="North"/>
    <m/>
    <x v="2"/>
    <x v="7"/>
    <x v="7"/>
    <x v="416"/>
    <s v="CRCA SHEET TATCRC TR15 .9X1250X2500"/>
    <m/>
    <m/>
    <m/>
    <m/>
    <m/>
    <x v="2"/>
    <x v="1"/>
    <s v="TR15"/>
    <x v="13"/>
    <x v="0"/>
    <x v="3"/>
    <n v="33"/>
    <n v="0"/>
    <n v="33"/>
    <n v="33"/>
    <n v="33"/>
    <n v="33"/>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8999"/>
    <n v="2"/>
    <s v="9518498999-2"/>
    <s v="No Priority"/>
    <x v="1"/>
    <m/>
    <x v="1"/>
    <x v="1"/>
    <x v="1"/>
    <m/>
    <x v="0"/>
    <m/>
    <m/>
    <s v="Jharkhand"/>
    <s v="East"/>
    <m/>
    <x v="2"/>
    <x v="10"/>
    <x v="10"/>
    <x v="382"/>
    <s v="CRCA COIL-TATCRC-TR15-0.45X1000"/>
    <m/>
    <m/>
    <m/>
    <m/>
    <m/>
    <x v="1"/>
    <x v="1"/>
    <s v="TR15"/>
    <x v="10"/>
    <x v="2"/>
    <x v="0"/>
    <n v="92"/>
    <n v="0"/>
    <n v="92"/>
    <n v="92"/>
    <n v="92"/>
    <n v="92"/>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8999"/>
    <n v="3"/>
    <s v="9518498999-3"/>
    <s v="No Priority"/>
    <x v="1"/>
    <m/>
    <x v="1"/>
    <x v="1"/>
    <x v="1"/>
    <m/>
    <x v="0"/>
    <m/>
    <m/>
    <s v="Jharkhand"/>
    <s v="East"/>
    <m/>
    <x v="2"/>
    <x v="10"/>
    <x v="10"/>
    <x v="383"/>
    <s v="CRCA COIL-TATCRC-TR15-0.5X1000"/>
    <m/>
    <m/>
    <m/>
    <m/>
    <m/>
    <x v="1"/>
    <x v="1"/>
    <s v="TR15"/>
    <x v="1"/>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8999"/>
    <n v="4"/>
    <s v="9518498999-4"/>
    <s v="No Priority"/>
    <x v="1"/>
    <m/>
    <x v="1"/>
    <x v="1"/>
    <x v="1"/>
    <m/>
    <x v="0"/>
    <m/>
    <m/>
    <s v="Jharkhand"/>
    <s v="East"/>
    <m/>
    <x v="2"/>
    <x v="10"/>
    <x v="10"/>
    <x v="384"/>
    <s v="CRCA COIL TATCRC TR15 0.6X1000"/>
    <m/>
    <m/>
    <m/>
    <m/>
    <m/>
    <x v="1"/>
    <x v="1"/>
    <s v="TR15"/>
    <x v="20"/>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8999"/>
    <n v="5"/>
    <s v="9518498999-5"/>
    <s v="No Priority"/>
    <x v="1"/>
    <m/>
    <x v="1"/>
    <x v="1"/>
    <x v="1"/>
    <m/>
    <x v="0"/>
    <m/>
    <m/>
    <s v="Jharkhand"/>
    <s v="East"/>
    <m/>
    <x v="2"/>
    <x v="10"/>
    <x v="10"/>
    <x v="422"/>
    <s v="CRSHEET-ICF C01 TATCRC TR15 0.75 X 1000"/>
    <m/>
    <m/>
    <m/>
    <m/>
    <m/>
    <x v="1"/>
    <x v="1"/>
    <s v="TR15"/>
    <x v="28"/>
    <x v="2"/>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9138"/>
    <n v="1"/>
    <s v="9518499138-1"/>
    <s v="May'25"/>
    <x v="0"/>
    <s v="Yes"/>
    <x v="1"/>
    <x v="2"/>
    <x v="1"/>
    <m/>
    <x v="1"/>
    <m/>
    <m/>
    <s v="Jharkhand"/>
    <s v="East"/>
    <m/>
    <x v="2"/>
    <x v="10"/>
    <x v="10"/>
    <x v="19"/>
    <s v="CRCA SHEET TATCRC SR16 0.300X900X2500"/>
    <m/>
    <m/>
    <m/>
    <m/>
    <m/>
    <x v="2"/>
    <x v="1"/>
    <s v="SR16"/>
    <x v="11"/>
    <x v="3"/>
    <x v="3"/>
    <n v="81"/>
    <n v="0"/>
    <n v="81"/>
    <n v="81"/>
    <n v="81"/>
    <n v="81"/>
    <n v="0"/>
    <n v="0"/>
    <n v="0"/>
    <n v="0"/>
    <n v="0"/>
    <n v="0"/>
    <n v="0"/>
    <n v="0"/>
    <n v="0"/>
    <n v="0"/>
    <n v="0"/>
    <n v="0"/>
    <n v="0"/>
    <n v="0"/>
    <n v="0"/>
    <n v="0"/>
    <n v="0"/>
    <n v="0"/>
    <n v="0"/>
    <n v="0"/>
    <n v="0"/>
    <n v="0"/>
    <n v="0"/>
    <m/>
    <n v="0"/>
    <n v="81"/>
    <n v="0"/>
    <n v="0"/>
    <n v="0"/>
    <n v="0"/>
    <n v="81"/>
    <n v="0"/>
    <n v="0"/>
    <n v="0"/>
    <n v="0"/>
    <n v="0"/>
    <n v="0"/>
    <n v="81"/>
    <m/>
    <m/>
    <m/>
    <m/>
    <m/>
    <m/>
    <m/>
    <m/>
    <m/>
    <m/>
    <m/>
    <m/>
    <m/>
    <m/>
    <m/>
    <m/>
    <m/>
    <m/>
    <m/>
    <m/>
    <m/>
    <m/>
    <m/>
    <m/>
    <m/>
    <m/>
    <m/>
    <m/>
    <m/>
    <m/>
    <m/>
    <m/>
    <m/>
    <m/>
  </r>
  <r>
    <n v="742"/>
    <d v="2025-02-06T00:00:00"/>
    <x v="0"/>
    <n v="9518499138"/>
    <n v="2"/>
    <s v="9518499138-2"/>
    <s v="May'25"/>
    <x v="0"/>
    <s v="Yes"/>
    <x v="1"/>
    <x v="2"/>
    <x v="1"/>
    <m/>
    <x v="1"/>
    <m/>
    <m/>
    <s v="Jharkhand"/>
    <s v="East"/>
    <m/>
    <x v="2"/>
    <x v="10"/>
    <x v="10"/>
    <x v="142"/>
    <s v="CRCA SHEET TATCRC SR16 0.330X900X2500"/>
    <m/>
    <m/>
    <m/>
    <m/>
    <m/>
    <x v="2"/>
    <x v="1"/>
    <s v="SR16"/>
    <x v="9"/>
    <x v="3"/>
    <x v="3"/>
    <n v="60"/>
    <n v="0"/>
    <n v="60"/>
    <n v="60"/>
    <n v="60"/>
    <n v="60"/>
    <n v="0"/>
    <n v="0"/>
    <n v="0"/>
    <n v="0"/>
    <n v="0"/>
    <n v="0"/>
    <n v="0"/>
    <n v="0"/>
    <n v="0"/>
    <n v="0"/>
    <n v="0"/>
    <n v="0"/>
    <n v="0"/>
    <n v="0"/>
    <n v="0"/>
    <n v="0"/>
    <n v="0"/>
    <n v="0"/>
    <n v="0"/>
    <n v="0"/>
    <n v="0"/>
    <n v="0"/>
    <n v="0"/>
    <m/>
    <n v="0"/>
    <n v="60"/>
    <n v="0"/>
    <n v="0"/>
    <n v="0"/>
    <n v="0"/>
    <n v="60"/>
    <n v="0"/>
    <n v="0"/>
    <n v="0"/>
    <n v="0"/>
    <n v="0"/>
    <n v="0"/>
    <n v="60"/>
    <m/>
    <m/>
    <m/>
    <m/>
    <m/>
    <m/>
    <m/>
    <m/>
    <m/>
    <m/>
    <m/>
    <m/>
    <m/>
    <m/>
    <m/>
    <m/>
    <m/>
    <m/>
    <m/>
    <m/>
    <m/>
    <m/>
    <m/>
    <m/>
    <m/>
    <m/>
    <m/>
    <m/>
    <m/>
    <m/>
    <m/>
    <m/>
    <m/>
    <m/>
  </r>
  <r>
    <n v="742"/>
    <d v="2025-02-06T00:00:00"/>
    <x v="0"/>
    <n v="9518499138"/>
    <n v="3"/>
    <s v="9518499138-3"/>
    <s v="May'25"/>
    <x v="0"/>
    <s v="Yes"/>
    <x v="1"/>
    <x v="2"/>
    <x v="1"/>
    <m/>
    <x v="1"/>
    <m/>
    <m/>
    <s v="Jharkhand"/>
    <s v="East"/>
    <m/>
    <x v="2"/>
    <x v="10"/>
    <x v="10"/>
    <x v="20"/>
    <s v="CRCA SHEET TATCRC SR16 0.330X1000X2500"/>
    <m/>
    <m/>
    <m/>
    <m/>
    <m/>
    <x v="2"/>
    <x v="1"/>
    <s v="SR16"/>
    <x v="9"/>
    <x v="2"/>
    <x v="3"/>
    <n v="60"/>
    <n v="0"/>
    <n v="60"/>
    <n v="60"/>
    <n v="60"/>
    <n v="60"/>
    <n v="0"/>
    <n v="0"/>
    <n v="0"/>
    <n v="0"/>
    <n v="0"/>
    <n v="0"/>
    <n v="0"/>
    <n v="0"/>
    <n v="0"/>
    <n v="0"/>
    <n v="0"/>
    <n v="0"/>
    <n v="0"/>
    <n v="0"/>
    <n v="0"/>
    <n v="0"/>
    <n v="0"/>
    <n v="0"/>
    <n v="0"/>
    <n v="0"/>
    <n v="0"/>
    <n v="0"/>
    <n v="0"/>
    <m/>
    <n v="0"/>
    <n v="60"/>
    <n v="0"/>
    <n v="0"/>
    <n v="0"/>
    <n v="0"/>
    <n v="60"/>
    <n v="0"/>
    <n v="0"/>
    <n v="0"/>
    <n v="0"/>
    <n v="0"/>
    <n v="0"/>
    <n v="60"/>
    <m/>
    <m/>
    <m/>
    <m/>
    <m/>
    <m/>
    <m/>
    <m/>
    <m/>
    <m/>
    <m/>
    <m/>
    <m/>
    <m/>
    <m/>
    <m/>
    <m/>
    <m/>
    <m/>
    <m/>
    <m/>
    <m/>
    <m/>
    <m/>
    <m/>
    <m/>
    <m/>
    <m/>
    <m/>
    <m/>
    <m/>
    <m/>
    <m/>
    <m/>
  </r>
  <r>
    <n v="742"/>
    <d v="2025-02-06T00:00:00"/>
    <x v="0"/>
    <n v="9518499138"/>
    <n v="4"/>
    <s v="9518499138-4"/>
    <s v="No Priority"/>
    <x v="1"/>
    <s v="Yes"/>
    <x v="1"/>
    <x v="2"/>
    <x v="1"/>
    <m/>
    <x v="0"/>
    <m/>
    <m/>
    <s v="Jharkhand"/>
    <s v="East"/>
    <m/>
    <x v="2"/>
    <x v="10"/>
    <x v="10"/>
    <x v="143"/>
    <s v="CRCA SHEET TATCRC SR16 0.380X900X2500"/>
    <m/>
    <m/>
    <m/>
    <m/>
    <m/>
    <x v="2"/>
    <x v="1"/>
    <s v="SR16"/>
    <x v="7"/>
    <x v="3"/>
    <x v="3"/>
    <n v="39"/>
    <n v="0"/>
    <n v="39"/>
    <n v="39"/>
    <n v="39"/>
    <n v="39"/>
    <n v="0"/>
    <n v="0"/>
    <n v="0"/>
    <n v="0"/>
    <n v="0"/>
    <n v="0"/>
    <n v="0"/>
    <n v="0"/>
    <n v="0"/>
    <n v="0"/>
    <n v="0"/>
    <n v="0"/>
    <n v="0"/>
    <n v="0"/>
    <n v="0"/>
    <n v="0"/>
    <n v="0"/>
    <n v="0"/>
    <n v="0"/>
    <n v="0"/>
    <n v="0"/>
    <n v="0"/>
    <n v="0"/>
    <m/>
    <n v="0"/>
    <n v="0"/>
    <n v="0"/>
    <n v="0"/>
    <n v="0"/>
    <n v="0"/>
    <n v="0"/>
    <n v="0"/>
    <n v="0"/>
    <n v="0"/>
    <n v="0"/>
    <n v="0"/>
    <n v="0"/>
    <n v="0"/>
    <m/>
    <m/>
    <m/>
    <m/>
    <m/>
    <m/>
    <m/>
    <m/>
    <m/>
    <m/>
    <m/>
    <m/>
    <m/>
    <m/>
    <m/>
    <m/>
    <m/>
    <m/>
    <m/>
    <m/>
    <m/>
    <m/>
    <m/>
    <m/>
    <m/>
    <m/>
    <m/>
    <m/>
    <m/>
    <m/>
    <m/>
    <m/>
    <m/>
    <m/>
  </r>
  <r>
    <n v="742"/>
    <d v="2025-02-06T00:00:00"/>
    <x v="0"/>
    <n v="9518499138"/>
    <n v="5"/>
    <s v="9518499138-5"/>
    <s v="No Priority"/>
    <x v="1"/>
    <s v="Yes"/>
    <x v="1"/>
    <x v="2"/>
    <x v="1"/>
    <m/>
    <x v="0"/>
    <m/>
    <m/>
    <s v="Jharkhand"/>
    <s v="East"/>
    <m/>
    <x v="2"/>
    <x v="10"/>
    <x v="10"/>
    <x v="13"/>
    <s v="CRCA SHEET TATCRC SR16 0.380X1000X2500"/>
    <m/>
    <m/>
    <m/>
    <m/>
    <m/>
    <x v="2"/>
    <x v="1"/>
    <s v="SR16"/>
    <x v="7"/>
    <x v="2"/>
    <x v="3"/>
    <n v="60"/>
    <n v="0"/>
    <n v="60"/>
    <n v="60"/>
    <n v="60"/>
    <n v="60"/>
    <n v="0"/>
    <n v="0"/>
    <n v="0"/>
    <n v="0"/>
    <n v="0"/>
    <n v="0"/>
    <n v="0"/>
    <n v="0"/>
    <n v="0"/>
    <n v="0"/>
    <n v="0"/>
    <n v="0"/>
    <n v="0"/>
    <n v="0"/>
    <n v="0"/>
    <n v="0"/>
    <n v="0"/>
    <n v="0"/>
    <n v="0"/>
    <n v="0"/>
    <n v="0"/>
    <n v="0"/>
    <n v="0"/>
    <m/>
    <n v="0"/>
    <n v="0"/>
    <n v="0"/>
    <n v="0"/>
    <n v="0"/>
    <n v="0"/>
    <n v="0"/>
    <n v="0"/>
    <n v="0"/>
    <n v="0"/>
    <n v="0"/>
    <n v="0"/>
    <n v="0"/>
    <n v="0"/>
    <m/>
    <m/>
    <m/>
    <m/>
    <m/>
    <m/>
    <m/>
    <m/>
    <m/>
    <m/>
    <m/>
    <m/>
    <m/>
    <m/>
    <m/>
    <m/>
    <m/>
    <m/>
    <m/>
    <m/>
    <m/>
    <m/>
    <m/>
    <m/>
    <m/>
    <m/>
    <m/>
    <m/>
    <m/>
    <m/>
    <m/>
    <m/>
    <m/>
    <m/>
  </r>
  <r>
    <n v="742"/>
    <d v="2025-02-21T00:00:00"/>
    <x v="0"/>
    <n v="9518540139"/>
    <n v="1"/>
    <s v="9518540139-1"/>
    <s v="No Priority"/>
    <x v="0"/>
    <s v="Yes"/>
    <x v="1"/>
    <x v="2"/>
    <x v="1"/>
    <m/>
    <x v="0"/>
    <m/>
    <m/>
    <s v="Jharkhand"/>
    <s v="East"/>
    <m/>
    <x v="2"/>
    <x v="10"/>
    <x v="10"/>
    <x v="471"/>
    <s v="CRCA SHEET TATCRC SR18 0.600X1250X2500"/>
    <m/>
    <m/>
    <m/>
    <m/>
    <m/>
    <x v="2"/>
    <x v="1"/>
    <s v="SR18"/>
    <x v="20"/>
    <x v="0"/>
    <x v="3"/>
    <n v="27"/>
    <n v="0"/>
    <n v="27"/>
    <n v="27"/>
    <n v="27"/>
    <n v="27"/>
    <n v="0"/>
    <n v="0"/>
    <n v="0"/>
    <n v="0"/>
    <n v="0"/>
    <n v="0"/>
    <n v="0"/>
    <n v="0"/>
    <n v="0"/>
    <n v="0"/>
    <n v="0"/>
    <n v="0"/>
    <n v="0"/>
    <n v="0"/>
    <n v="0"/>
    <n v="0"/>
    <n v="0"/>
    <n v="0"/>
    <n v="0"/>
    <n v="0"/>
    <n v="0"/>
    <n v="0"/>
    <n v="0"/>
    <m/>
    <n v="0"/>
    <n v="0"/>
    <n v="0"/>
    <n v="0"/>
    <n v="0"/>
    <n v="0"/>
    <n v="0"/>
    <n v="0"/>
    <n v="0"/>
    <n v="0"/>
    <n v="0"/>
    <n v="0"/>
    <n v="0"/>
    <n v="0"/>
    <m/>
    <m/>
    <m/>
    <m/>
    <m/>
    <m/>
    <m/>
    <m/>
    <m/>
    <m/>
    <m/>
    <m/>
    <m/>
    <m/>
    <m/>
    <m/>
    <m/>
    <m/>
    <m/>
    <m/>
    <m/>
    <m/>
    <m/>
    <m/>
    <m/>
    <m/>
    <m/>
    <m/>
    <m/>
    <m/>
    <m/>
    <m/>
    <m/>
    <m/>
  </r>
  <r>
    <n v="742"/>
    <d v="2025-02-17T00:00:00"/>
    <x v="0"/>
    <n v="9518526126"/>
    <n v="1"/>
    <s v="9518526126-1"/>
    <s v="No Priority"/>
    <x v="0"/>
    <m/>
    <x v="1"/>
    <x v="1"/>
    <x v="1"/>
    <m/>
    <x v="0"/>
    <m/>
    <m/>
    <s v="Uttar Pradesh"/>
    <s v="North"/>
    <m/>
    <x v="2"/>
    <x v="112"/>
    <x v="118"/>
    <x v="290"/>
    <s v="CRCA COIL-TATXXD-AU03-0.45X1250"/>
    <m/>
    <m/>
    <m/>
    <m/>
    <m/>
    <x v="1"/>
    <x v="2"/>
    <s v="AU03"/>
    <x v="10"/>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3"/>
    <d v="2025-02-20T00:00:00"/>
    <x v="0"/>
    <n v="9518534963"/>
    <n v="1"/>
    <s v="9518534963-1"/>
    <s v="No Priority"/>
    <x v="0"/>
    <m/>
    <x v="3"/>
    <x v="9"/>
    <x v="1"/>
    <m/>
    <x v="0"/>
    <m/>
    <m/>
    <s v="Delhi"/>
    <s v="North"/>
    <m/>
    <x v="2"/>
    <x v="91"/>
    <x v="88"/>
    <x v="411"/>
    <s v="GP COIL SOFT-TATXGP-GLK1-0.2X900"/>
    <m/>
    <m/>
    <m/>
    <m/>
    <m/>
    <x v="7"/>
    <x v="5"/>
    <s v="GLK1"/>
    <x v="61"/>
    <x v="3"/>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3"/>
    <d v="2025-02-20T00:00:00"/>
    <x v="0"/>
    <n v="9518534963"/>
    <n v="4"/>
    <s v="9518534963-4"/>
    <s v="No Priority"/>
    <x v="0"/>
    <m/>
    <x v="3"/>
    <x v="9"/>
    <x v="1"/>
    <m/>
    <x v="0"/>
    <m/>
    <m/>
    <s v="Delhi"/>
    <s v="North"/>
    <m/>
    <x v="2"/>
    <x v="91"/>
    <x v="88"/>
    <x v="408"/>
    <s v="GP COIL SOFT TATXGP GLK1 0.25X1000"/>
    <m/>
    <m/>
    <m/>
    <m/>
    <m/>
    <x v="7"/>
    <x v="5"/>
    <s v="GLK1"/>
    <x v="12"/>
    <x v="2"/>
    <x v="0"/>
    <n v="46"/>
    <n v="0"/>
    <n v="46"/>
    <n v="46"/>
    <n v="46"/>
    <n v="46"/>
    <n v="0"/>
    <n v="0"/>
    <n v="0"/>
    <n v="0"/>
    <n v="0"/>
    <n v="0"/>
    <n v="0"/>
    <n v="0"/>
    <n v="0"/>
    <n v="0"/>
    <n v="0"/>
    <n v="0"/>
    <n v="0"/>
    <n v="0"/>
    <n v="0"/>
    <n v="0"/>
    <n v="0"/>
    <n v="0"/>
    <n v="0"/>
    <n v="0"/>
    <n v="0"/>
    <n v="0"/>
    <n v="0"/>
    <m/>
    <n v="0"/>
    <n v="0"/>
    <n v="0"/>
    <n v="0"/>
    <n v="0"/>
    <n v="0"/>
    <n v="0"/>
    <n v="0"/>
    <n v="0"/>
    <n v="0"/>
    <n v="0"/>
    <n v="0"/>
    <n v="0"/>
    <n v="0"/>
    <m/>
    <m/>
    <m/>
    <m/>
    <m/>
    <m/>
    <m/>
    <m/>
    <m/>
    <m/>
    <m/>
    <m/>
    <m/>
    <m/>
    <m/>
    <m/>
    <m/>
    <m/>
    <m/>
    <m/>
    <m/>
    <m/>
    <m/>
    <m/>
    <m/>
    <m/>
    <m/>
    <m/>
    <m/>
    <m/>
    <m/>
    <m/>
    <m/>
    <m/>
  </r>
  <r>
    <n v="743"/>
    <d v="2025-02-20T00:00:00"/>
    <x v="0"/>
    <n v="9518534963"/>
    <n v="5"/>
    <s v="9518534963-5"/>
    <s v="No Priority"/>
    <x v="0"/>
    <m/>
    <x v="3"/>
    <x v="9"/>
    <x v="1"/>
    <m/>
    <x v="0"/>
    <m/>
    <m/>
    <s v="Delhi"/>
    <s v="North"/>
    <m/>
    <x v="2"/>
    <x v="91"/>
    <x v="88"/>
    <x v="413"/>
    <s v="GP COIL SOFT-TATXGP-GLK1-0.25X900"/>
    <m/>
    <m/>
    <m/>
    <m/>
    <m/>
    <x v="7"/>
    <x v="5"/>
    <s v="GLK1"/>
    <x v="12"/>
    <x v="3"/>
    <x v="0"/>
    <n v="21"/>
    <n v="0"/>
    <n v="21"/>
    <n v="21"/>
    <n v="21"/>
    <n v="21"/>
    <n v="0"/>
    <n v="0"/>
    <n v="0"/>
    <n v="0"/>
    <n v="0"/>
    <n v="0"/>
    <n v="0"/>
    <n v="0"/>
    <n v="0"/>
    <n v="0"/>
    <n v="0"/>
    <n v="0"/>
    <n v="0"/>
    <n v="0"/>
    <n v="0"/>
    <n v="0"/>
    <n v="0"/>
    <n v="0"/>
    <n v="0"/>
    <n v="0"/>
    <n v="0"/>
    <n v="0"/>
    <n v="0"/>
    <m/>
    <n v="0"/>
    <n v="0"/>
    <n v="0"/>
    <n v="0"/>
    <n v="0"/>
    <n v="0"/>
    <n v="0"/>
    <n v="0"/>
    <n v="0"/>
    <n v="0"/>
    <n v="0"/>
    <n v="0"/>
    <n v="0"/>
    <n v="0"/>
    <m/>
    <m/>
    <m/>
    <m/>
    <m/>
    <m/>
    <m/>
    <m/>
    <m/>
    <m/>
    <m/>
    <m/>
    <m/>
    <m/>
    <m/>
    <m/>
    <m/>
    <m/>
    <m/>
    <m/>
    <m/>
    <m/>
    <m/>
    <m/>
    <m/>
    <m/>
    <m/>
    <m/>
    <m/>
    <m/>
    <m/>
    <m/>
    <m/>
    <m/>
  </r>
  <r>
    <n v="743"/>
    <d v="2025-02-14T00:00:00"/>
    <x v="0"/>
    <n v="9518519921"/>
    <n v="1"/>
    <s v="9518519921-1"/>
    <s v="May'25"/>
    <x v="1"/>
    <m/>
    <x v="3"/>
    <x v="0"/>
    <x v="1"/>
    <n v="800"/>
    <x v="1"/>
    <m/>
    <m/>
    <s v="Jammu &amp; Kashmir"/>
    <s v="North"/>
    <m/>
    <x v="2"/>
    <x v="75"/>
    <x v="72"/>
    <x v="472"/>
    <s v="GP COIL XXXGPH GPH3 0.250X900"/>
    <m/>
    <m/>
    <m/>
    <m/>
    <m/>
    <x v="4"/>
    <x v="16"/>
    <s v="GPH3"/>
    <x v="12"/>
    <x v="3"/>
    <x v="0"/>
    <n v="21"/>
    <n v="0"/>
    <n v="21"/>
    <n v="21"/>
    <n v="21"/>
    <n v="21"/>
    <n v="0"/>
    <n v="0"/>
    <n v="0"/>
    <n v="0"/>
    <n v="0"/>
    <n v="0"/>
    <n v="0"/>
    <n v="0"/>
    <n v="0"/>
    <n v="0"/>
    <n v="0"/>
    <n v="0"/>
    <n v="0"/>
    <n v="0"/>
    <n v="0"/>
    <n v="0"/>
    <n v="0"/>
    <n v="0"/>
    <n v="0"/>
    <n v="0"/>
    <n v="0"/>
    <n v="0"/>
    <n v="0"/>
    <m/>
    <n v="0"/>
    <n v="21"/>
    <n v="0"/>
    <n v="0"/>
    <n v="21"/>
    <n v="0"/>
    <n v="0"/>
    <n v="21"/>
    <n v="0"/>
    <n v="0"/>
    <n v="0"/>
    <n v="21"/>
    <n v="0"/>
    <n v="0"/>
    <m/>
    <m/>
    <m/>
    <m/>
    <m/>
    <m/>
    <m/>
    <m/>
    <m/>
    <m/>
    <m/>
    <m/>
    <m/>
    <m/>
    <m/>
    <m/>
    <m/>
    <m/>
    <m/>
    <m/>
    <m/>
    <m/>
    <m/>
    <m/>
    <m/>
    <m/>
    <m/>
    <m/>
    <m/>
    <m/>
    <m/>
    <m/>
    <m/>
    <m/>
  </r>
  <r>
    <n v="743"/>
    <d v="2025-02-14T00:00:00"/>
    <x v="0"/>
    <n v="9518519921"/>
    <n v="2"/>
    <s v="9518519921-2"/>
    <s v="May'25"/>
    <x v="1"/>
    <m/>
    <x v="3"/>
    <x v="0"/>
    <x v="1"/>
    <m/>
    <x v="1"/>
    <m/>
    <m/>
    <s v="Jammu &amp; Kashmir"/>
    <s v="North"/>
    <m/>
    <x v="2"/>
    <x v="75"/>
    <x v="72"/>
    <x v="183"/>
    <s v="GP COIL XXXGPH GPH3 0.300X900"/>
    <m/>
    <m/>
    <m/>
    <m/>
    <m/>
    <x v="4"/>
    <x v="16"/>
    <s v="GPH3"/>
    <x v="11"/>
    <x v="3"/>
    <x v="0"/>
    <n v="21"/>
    <n v="0"/>
    <n v="21"/>
    <n v="21"/>
    <n v="21"/>
    <n v="21"/>
    <n v="0"/>
    <n v="0"/>
    <n v="0"/>
    <n v="0"/>
    <n v="0"/>
    <n v="0"/>
    <n v="0"/>
    <n v="0"/>
    <n v="0"/>
    <n v="0"/>
    <n v="0"/>
    <n v="0"/>
    <n v="0"/>
    <n v="0"/>
    <n v="0"/>
    <n v="0"/>
    <n v="0"/>
    <n v="0"/>
    <n v="0"/>
    <n v="0"/>
    <n v="0"/>
    <n v="0"/>
    <n v="0"/>
    <m/>
    <n v="0"/>
    <n v="21"/>
    <n v="0"/>
    <n v="0"/>
    <n v="21"/>
    <n v="0"/>
    <n v="0"/>
    <n v="21"/>
    <n v="0"/>
    <n v="0"/>
    <n v="0"/>
    <n v="21"/>
    <n v="0"/>
    <n v="0"/>
    <m/>
    <m/>
    <m/>
    <m/>
    <m/>
    <m/>
    <m/>
    <m/>
    <m/>
    <m/>
    <m/>
    <m/>
    <m/>
    <m/>
    <m/>
    <m/>
    <m/>
    <m/>
    <m/>
    <m/>
    <m/>
    <m/>
    <m/>
    <m/>
    <m/>
    <m/>
    <m/>
    <m/>
    <m/>
    <m/>
    <m/>
    <m/>
    <m/>
    <m/>
  </r>
  <r>
    <n v="743"/>
    <d v="2025-02-14T00:00:00"/>
    <x v="0"/>
    <n v="9518519921"/>
    <n v="3"/>
    <s v="9518519921-3"/>
    <s v="May'25"/>
    <x v="1"/>
    <m/>
    <x v="3"/>
    <x v="0"/>
    <x v="1"/>
    <m/>
    <x v="1"/>
    <m/>
    <m/>
    <s v="Jammu &amp; Kashmir"/>
    <s v="North"/>
    <m/>
    <x v="2"/>
    <x v="75"/>
    <x v="72"/>
    <x v="184"/>
    <s v="GP COIL XXXGPH GPH3 0.350X900"/>
    <m/>
    <m/>
    <m/>
    <m/>
    <m/>
    <x v="4"/>
    <x v="16"/>
    <s v="GPH3"/>
    <x v="6"/>
    <x v="3"/>
    <x v="0"/>
    <n v="42"/>
    <n v="0"/>
    <n v="42"/>
    <n v="42"/>
    <n v="42"/>
    <n v="42"/>
    <n v="0"/>
    <n v="0"/>
    <n v="0"/>
    <n v="0"/>
    <n v="0"/>
    <n v="0"/>
    <n v="0"/>
    <n v="0"/>
    <n v="0"/>
    <n v="0"/>
    <n v="0"/>
    <n v="0"/>
    <n v="0"/>
    <n v="0"/>
    <n v="0"/>
    <n v="0"/>
    <n v="0"/>
    <n v="0"/>
    <n v="0"/>
    <n v="0"/>
    <n v="0"/>
    <n v="0"/>
    <n v="0"/>
    <m/>
    <n v="0"/>
    <n v="42"/>
    <n v="0"/>
    <n v="0"/>
    <n v="42"/>
    <n v="0"/>
    <n v="0"/>
    <n v="42"/>
    <n v="0"/>
    <n v="0"/>
    <n v="0"/>
    <n v="42"/>
    <n v="0"/>
    <n v="0"/>
    <m/>
    <m/>
    <m/>
    <m/>
    <m/>
    <m/>
    <m/>
    <m/>
    <m/>
    <m/>
    <m/>
    <m/>
    <m/>
    <m/>
    <m/>
    <m/>
    <m/>
    <m/>
    <m/>
    <m/>
    <m/>
    <m/>
    <m/>
    <m/>
    <m/>
    <m/>
    <m/>
    <m/>
    <m/>
    <m/>
    <m/>
    <m/>
    <m/>
    <m/>
  </r>
  <r>
    <n v="743"/>
    <d v="2025-02-14T00:00:00"/>
    <x v="0"/>
    <n v="9518519921"/>
    <n v="4"/>
    <s v="9518519921-4"/>
    <s v="May'25"/>
    <x v="1"/>
    <m/>
    <x v="3"/>
    <x v="0"/>
    <x v="1"/>
    <m/>
    <x v="1"/>
    <m/>
    <m/>
    <s v="Jammu &amp; Kashmir"/>
    <s v="North"/>
    <m/>
    <x v="2"/>
    <x v="75"/>
    <x v="72"/>
    <x v="185"/>
    <s v="GP COIL XXXGPH GPH3 0.400X900"/>
    <m/>
    <m/>
    <m/>
    <m/>
    <m/>
    <x v="4"/>
    <x v="16"/>
    <s v="GPH3"/>
    <x v="2"/>
    <x v="3"/>
    <x v="0"/>
    <n v="42"/>
    <n v="0"/>
    <n v="42"/>
    <n v="42"/>
    <n v="42"/>
    <n v="42"/>
    <n v="0"/>
    <n v="0"/>
    <n v="0"/>
    <n v="0"/>
    <n v="0"/>
    <n v="0"/>
    <n v="0"/>
    <n v="0"/>
    <n v="0"/>
    <n v="0"/>
    <n v="0"/>
    <n v="0"/>
    <n v="0"/>
    <n v="0"/>
    <n v="0"/>
    <n v="0"/>
    <n v="0"/>
    <n v="0"/>
    <n v="0"/>
    <n v="0"/>
    <n v="0"/>
    <n v="0"/>
    <n v="0"/>
    <m/>
    <n v="0"/>
    <n v="42"/>
    <n v="42"/>
    <n v="0"/>
    <n v="0"/>
    <n v="0"/>
    <n v="0"/>
    <n v="42"/>
    <n v="0"/>
    <n v="42"/>
    <n v="0"/>
    <n v="0"/>
    <n v="0"/>
    <n v="0"/>
    <m/>
    <m/>
    <m/>
    <m/>
    <m/>
    <m/>
    <m/>
    <m/>
    <m/>
    <m/>
    <m/>
    <m/>
    <m/>
    <m/>
    <m/>
    <m/>
    <m/>
    <m/>
    <m/>
    <m/>
    <m/>
    <m/>
    <m/>
    <m/>
    <m/>
    <m/>
    <m/>
    <m/>
    <m/>
    <m/>
    <m/>
    <m/>
    <m/>
    <m/>
  </r>
  <r>
    <n v="743"/>
    <d v="2025-02-14T00:00:00"/>
    <x v="0"/>
    <n v="9518519921"/>
    <n v="5"/>
    <s v="9518519921-5"/>
    <s v="May'25"/>
    <x v="1"/>
    <m/>
    <x v="3"/>
    <x v="0"/>
    <x v="1"/>
    <m/>
    <x v="1"/>
    <m/>
    <m/>
    <s v="Jammu &amp; Kashmir"/>
    <s v="North"/>
    <m/>
    <x v="2"/>
    <x v="75"/>
    <x v="72"/>
    <x v="186"/>
    <s v="GP COIL XXXGPH GPH3 0.500X900"/>
    <m/>
    <m/>
    <m/>
    <m/>
    <m/>
    <x v="4"/>
    <x v="16"/>
    <s v="GPH3"/>
    <x v="1"/>
    <x v="3"/>
    <x v="0"/>
    <n v="42"/>
    <n v="0"/>
    <n v="42"/>
    <n v="42"/>
    <n v="42"/>
    <n v="42"/>
    <n v="0"/>
    <n v="0"/>
    <n v="0"/>
    <n v="0"/>
    <n v="0"/>
    <n v="0"/>
    <n v="0"/>
    <n v="0"/>
    <n v="0"/>
    <n v="0"/>
    <n v="0"/>
    <n v="0"/>
    <n v="0"/>
    <n v="0"/>
    <n v="0"/>
    <n v="0"/>
    <n v="0"/>
    <n v="0"/>
    <n v="0"/>
    <n v="0"/>
    <n v="0"/>
    <n v="0"/>
    <n v="0"/>
    <m/>
    <n v="0"/>
    <n v="42"/>
    <n v="42"/>
    <n v="0"/>
    <n v="0"/>
    <n v="0"/>
    <n v="0"/>
    <n v="42"/>
    <n v="0"/>
    <n v="42"/>
    <n v="0"/>
    <n v="0"/>
    <n v="0"/>
    <n v="0"/>
    <m/>
    <m/>
    <m/>
    <m/>
    <m/>
    <m/>
    <m/>
    <m/>
    <m/>
    <m/>
    <m/>
    <m/>
    <m/>
    <m/>
    <m/>
    <m/>
    <m/>
    <m/>
    <m/>
    <m/>
    <m/>
    <m/>
    <m/>
    <m/>
    <m/>
    <m/>
    <m/>
    <m/>
    <m/>
    <m/>
    <m/>
    <m/>
    <m/>
    <m/>
  </r>
  <r>
    <n v="742"/>
    <d v="2025-02-24T00:00:00"/>
    <x v="0"/>
    <n v="9518548227"/>
    <n v="1"/>
    <s v="9518548227-1"/>
    <s v="No Priority"/>
    <x v="0"/>
    <s v="Yes"/>
    <x v="1"/>
    <x v="2"/>
    <x v="1"/>
    <m/>
    <x v="0"/>
    <m/>
    <m/>
    <s v="Jharkhand"/>
    <s v="East"/>
    <m/>
    <x v="2"/>
    <x v="12"/>
    <x v="12"/>
    <x v="471"/>
    <s v="CRCA SHEET TATCRC SR18 0.600X1250X2500"/>
    <m/>
    <m/>
    <m/>
    <m/>
    <m/>
    <x v="2"/>
    <x v="1"/>
    <s v="SR18"/>
    <x v="20"/>
    <x v="0"/>
    <x v="3"/>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2-19T00:00:00"/>
    <x v="0"/>
    <n v="9518533596"/>
    <n v="3"/>
    <s v="9518533596-3"/>
    <s v="No Priority"/>
    <x v="1"/>
    <m/>
    <x v="1"/>
    <x v="11"/>
    <x v="1"/>
    <m/>
    <x v="0"/>
    <m/>
    <m/>
    <s v="West Bengal"/>
    <s v="East"/>
    <m/>
    <x v="2"/>
    <x v="38"/>
    <x v="38"/>
    <x v="463"/>
    <s v="CRCA COIL TATXXD AH03 1.600X1250"/>
    <m/>
    <m/>
    <m/>
    <m/>
    <m/>
    <x v="1"/>
    <x v="2"/>
    <s v="AH03"/>
    <x v="22"/>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2-25T00:00:00"/>
    <x v="0"/>
    <n v="9518550511"/>
    <n v="5"/>
    <s v="9518550511-5"/>
    <s v="No Priority"/>
    <x v="0"/>
    <m/>
    <x v="1"/>
    <x v="11"/>
    <x v="1"/>
    <m/>
    <x v="0"/>
    <m/>
    <m/>
    <s v="Karnataka"/>
    <s v="South"/>
    <m/>
    <x v="2"/>
    <x v="40"/>
    <x v="38"/>
    <x v="473"/>
    <s v="CRCA COIL TATXXD AH03 1.400X1250"/>
    <m/>
    <m/>
    <m/>
    <m/>
    <m/>
    <x v="1"/>
    <x v="2"/>
    <s v="AH03"/>
    <x v="37"/>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3-14T00:00:00"/>
    <x v="1"/>
    <n v="9518600669"/>
    <n v="3"/>
    <s v="9518600669-3"/>
    <s v="No Priority"/>
    <x v="0"/>
    <m/>
    <x v="5"/>
    <x v="6"/>
    <x v="0"/>
    <m/>
    <x v="0"/>
    <m/>
    <m/>
    <m/>
    <s v="South"/>
    <s v="YESHWANTHPURA"/>
    <x v="2"/>
    <x v="26"/>
    <x v="26"/>
    <x v="474"/>
    <s v="CRFH COIL TATFHC RE03 1X1250"/>
    <s v=" "/>
    <m/>
    <n v="10"/>
    <n v="27"/>
    <m/>
    <x v="6"/>
    <x v="12"/>
    <s v="RE03"/>
    <x v="17"/>
    <x v="0"/>
    <x v="0"/>
    <n v="220"/>
    <n v="167.44499999999999"/>
    <n v="52.555"/>
    <n v="116"/>
    <n v="52.555"/>
    <n v="11.015000000000001"/>
    <n v="0"/>
    <n v="0"/>
    <n v="0"/>
    <n v="0"/>
    <n v="0"/>
    <n v="0"/>
    <n v="0"/>
    <n v="0"/>
    <n v="0"/>
    <n v="0"/>
    <n v="0"/>
    <n v="0"/>
    <n v="0"/>
    <n v="0"/>
    <n v="0"/>
    <n v="0"/>
    <n v="0"/>
    <n v="0"/>
    <n v="0"/>
    <n v="0"/>
    <n v="0"/>
    <n v="0"/>
    <n v="0"/>
    <m/>
    <n v="0"/>
    <n v="0"/>
    <n v="0"/>
    <n v="0"/>
    <n v="0"/>
    <n v="0"/>
    <n v="0"/>
    <n v="0"/>
    <n v="0"/>
    <n v="0"/>
    <n v="0"/>
    <n v="0"/>
    <n v="0"/>
    <n v="0"/>
    <m/>
    <m/>
    <m/>
    <m/>
    <m/>
    <m/>
    <m/>
    <m/>
    <m/>
    <m/>
    <m/>
    <m/>
    <m/>
    <m/>
    <m/>
    <m/>
    <m/>
    <m/>
    <m/>
    <m/>
    <m/>
    <m/>
    <m/>
    <m/>
    <m/>
    <m/>
    <m/>
    <m/>
    <m/>
    <m/>
    <m/>
    <m/>
    <m/>
    <m/>
  </r>
  <r>
    <n v="743"/>
    <d v="2025-03-15T00:00:00"/>
    <x v="0"/>
    <n v="9518602675"/>
    <n v="10"/>
    <s v="9518602675-10"/>
    <s v="May'25"/>
    <x v="0"/>
    <m/>
    <x v="3"/>
    <x v="9"/>
    <x v="0"/>
    <m/>
    <x v="1"/>
    <m/>
    <m/>
    <m/>
    <s v="East"/>
    <s v="WEST BOKARO"/>
    <x v="2"/>
    <x v="12"/>
    <x v="12"/>
    <x v="62"/>
    <s v="GP COIL SOFT-TATXGP-GK09-0.6X900"/>
    <s v="Z80"/>
    <m/>
    <n v="5"/>
    <n v="15"/>
    <m/>
    <x v="7"/>
    <x v="5"/>
    <s v="GK09"/>
    <x v="20"/>
    <x v="3"/>
    <x v="0"/>
    <n v="147"/>
    <n v="123.97499999999999"/>
    <n v="23.024999999999999"/>
    <n v="116"/>
    <n v="3.6049999999999969"/>
    <n v="23.024999999999999"/>
    <n v="0"/>
    <n v="0"/>
    <n v="0"/>
    <n v="0"/>
    <n v="0"/>
    <n v="0"/>
    <n v="0"/>
    <n v="0"/>
    <n v="0"/>
    <n v="0"/>
    <n v="0"/>
    <n v="0"/>
    <n v="0"/>
    <n v="0"/>
    <n v="0"/>
    <n v="0"/>
    <n v="0"/>
    <n v="0"/>
    <n v="19.420000000000002"/>
    <n v="19.420000000000002"/>
    <n v="19.420000000000002"/>
    <n v="0"/>
    <n v="19.420000000000002"/>
    <m/>
    <n v="0"/>
    <n v="23.024999999999999"/>
    <n v="23.024999999999999"/>
    <n v="0"/>
    <n v="0"/>
    <n v="0"/>
    <n v="0"/>
    <n v="23.024999999999999"/>
    <n v="0"/>
    <n v="23.024999999999999"/>
    <n v="0"/>
    <n v="0"/>
    <n v="0"/>
    <n v="0"/>
    <m/>
    <m/>
    <m/>
    <m/>
    <m/>
    <m/>
    <m/>
    <m/>
    <m/>
    <m/>
    <m/>
    <m/>
    <m/>
    <m/>
    <m/>
    <m/>
    <m/>
    <m/>
    <m/>
    <m/>
    <m/>
    <m/>
    <m/>
    <m/>
    <m/>
    <m/>
    <m/>
    <m/>
    <m/>
    <m/>
    <m/>
    <m/>
    <m/>
    <m/>
  </r>
  <r>
    <n v="743"/>
    <d v="2025-04-21T00:00:00"/>
    <x v="0"/>
    <n v="9518708857"/>
    <n v="7"/>
    <s v="9518708857-7"/>
    <s v="No Priority"/>
    <x v="0"/>
    <m/>
    <x v="3"/>
    <x v="14"/>
    <x v="0"/>
    <m/>
    <x v="0"/>
    <m/>
    <m/>
    <m/>
    <s v="South"/>
    <s v="YESHWANTHPURA"/>
    <x v="2"/>
    <x v="14"/>
    <x v="16"/>
    <x v="475"/>
    <s v="GP COIL SOFT-TATXGP-GLK1-0.6X1250"/>
    <s v="Z80"/>
    <m/>
    <n v="2"/>
    <n v="30"/>
    <m/>
    <x v="7"/>
    <x v="5"/>
    <s v="GLK1"/>
    <x v="20"/>
    <x v="0"/>
    <x v="0"/>
    <n v="29"/>
    <n v="0"/>
    <n v="29"/>
    <n v="116"/>
    <n v="0"/>
    <n v="29"/>
    <n v="0"/>
    <n v="0"/>
    <n v="0"/>
    <n v="0"/>
    <n v="0"/>
    <n v="0"/>
    <n v="0"/>
    <n v="0"/>
    <n v="0"/>
    <n v="0"/>
    <n v="0"/>
    <n v="0"/>
    <n v="0"/>
    <n v="0"/>
    <n v="0"/>
    <n v="0"/>
    <n v="0"/>
    <n v="0"/>
    <n v="0"/>
    <n v="0"/>
    <n v="0"/>
    <n v="29"/>
    <n v="29"/>
    <m/>
    <n v="0"/>
    <n v="0"/>
    <n v="0"/>
    <n v="0"/>
    <n v="0"/>
    <n v="0"/>
    <n v="0"/>
    <n v="0"/>
    <n v="0"/>
    <n v="0"/>
    <n v="0"/>
    <n v="0"/>
    <n v="0"/>
    <n v="0"/>
    <m/>
    <m/>
    <m/>
    <m/>
    <m/>
    <m/>
    <m/>
    <m/>
    <m/>
    <m/>
    <m/>
    <m/>
    <m/>
    <m/>
    <m/>
    <m/>
    <m/>
    <m/>
    <m/>
    <m/>
    <m/>
    <m/>
    <m/>
    <m/>
    <m/>
    <m/>
    <m/>
    <m/>
    <m/>
    <m/>
    <m/>
    <m/>
    <m/>
    <m/>
  </r>
  <r>
    <n v="743"/>
    <d v="2025-04-21T00:00:00"/>
    <x v="0"/>
    <n v="9518708857"/>
    <n v="8"/>
    <s v="9518708857-8"/>
    <s v="No Priority"/>
    <x v="0"/>
    <m/>
    <x v="3"/>
    <x v="14"/>
    <x v="0"/>
    <m/>
    <x v="0"/>
    <m/>
    <m/>
    <m/>
    <s v="South"/>
    <s v="YESHWANTHPURA"/>
    <x v="2"/>
    <x v="14"/>
    <x v="16"/>
    <x v="475"/>
    <s v="GP COIL SOFT-TATXGP-GLK1-0.6X1250"/>
    <s v="Z80"/>
    <m/>
    <n v="2"/>
    <n v="30"/>
    <m/>
    <x v="7"/>
    <x v="5"/>
    <s v="GLK1"/>
    <x v="20"/>
    <x v="0"/>
    <x v="0"/>
    <n v="29"/>
    <n v="0"/>
    <n v="29"/>
    <n v="116"/>
    <n v="0"/>
    <n v="29"/>
    <n v="0"/>
    <n v="0"/>
    <n v="0"/>
    <n v="0"/>
    <n v="0"/>
    <n v="0"/>
    <n v="0"/>
    <n v="0"/>
    <n v="0"/>
    <n v="0"/>
    <n v="0"/>
    <n v="0"/>
    <n v="0"/>
    <n v="0"/>
    <n v="0"/>
    <n v="0"/>
    <n v="0"/>
    <n v="0"/>
    <n v="0"/>
    <n v="0"/>
    <n v="0"/>
    <n v="29"/>
    <n v="29"/>
    <m/>
    <n v="0"/>
    <n v="0"/>
    <n v="0"/>
    <n v="0"/>
    <n v="0"/>
    <n v="0"/>
    <n v="0"/>
    <n v="0"/>
    <n v="0"/>
    <n v="0"/>
    <n v="0"/>
    <n v="0"/>
    <n v="0"/>
    <n v="0"/>
    <m/>
    <m/>
    <m/>
    <m/>
    <m/>
    <m/>
    <m/>
    <m/>
    <m/>
    <m/>
    <m/>
    <m/>
    <m/>
    <m/>
    <m/>
    <m/>
    <m/>
    <m/>
    <m/>
    <m/>
    <m/>
    <m/>
    <m/>
    <m/>
    <m/>
    <m/>
    <m/>
    <m/>
    <m/>
    <m/>
    <m/>
    <m/>
    <m/>
    <m/>
  </r>
  <r>
    <n v="743"/>
    <d v="2025-04-19T00:00:00"/>
    <x v="0"/>
    <n v="9518704427"/>
    <n v="1"/>
    <s v="9518704427-1"/>
    <s v="May'25"/>
    <x v="0"/>
    <m/>
    <x v="3"/>
    <x v="0"/>
    <x v="7"/>
    <m/>
    <x v="1"/>
    <m/>
    <m/>
    <m/>
    <s v="South"/>
    <s v="CHENNAI"/>
    <x v="2"/>
    <x v="54"/>
    <x v="0"/>
    <x v="476"/>
    <s v="GP COIL SOFT-TSBXGP-T1GP-0.3X900"/>
    <s v="Z80"/>
    <m/>
    <n v="3"/>
    <n v="5"/>
    <m/>
    <x v="7"/>
    <x v="13"/>
    <s v="T1GP"/>
    <x v="11"/>
    <x v="3"/>
    <x v="0"/>
    <n v="168"/>
    <n v="0"/>
    <n v="168"/>
    <n v="116"/>
    <n v="100.69"/>
    <n v="133.69"/>
    <n v="0"/>
    <n v="0"/>
    <n v="0"/>
    <n v="0"/>
    <n v="62.1"/>
    <n v="0"/>
    <n v="0"/>
    <n v="0"/>
    <n v="0"/>
    <n v="0"/>
    <n v="0"/>
    <n v="0"/>
    <n v="0"/>
    <n v="0"/>
    <n v="0"/>
    <n v="0"/>
    <n v="0"/>
    <n v="0"/>
    <n v="5.21"/>
    <n v="67.31"/>
    <n v="67.31"/>
    <n v="0"/>
    <n v="67.31"/>
    <m/>
    <n v="14.684999999999999"/>
    <n v="133.69"/>
    <n v="133.69"/>
    <n v="0"/>
    <n v="0"/>
    <n v="0"/>
    <n v="0"/>
    <n v="148.375"/>
    <n v="0"/>
    <n v="148.375"/>
    <n v="0"/>
    <n v="0"/>
    <n v="0"/>
    <n v="0"/>
    <m/>
    <m/>
    <m/>
    <m/>
    <m/>
    <m/>
    <m/>
    <m/>
    <m/>
    <m/>
    <m/>
    <m/>
    <m/>
    <m/>
    <m/>
    <m/>
    <m/>
    <m/>
    <m/>
    <m/>
    <m/>
    <m/>
    <m/>
    <m/>
    <m/>
    <m/>
    <m/>
    <m/>
    <m/>
    <m/>
    <m/>
    <m/>
    <m/>
    <m/>
  </r>
  <r>
    <n v="742"/>
    <d v="2025-04-03T00:00:00"/>
    <x v="0"/>
    <n v="9518667214"/>
    <n v="3"/>
    <s v="9518667214-3"/>
    <s v="May'25"/>
    <x v="0"/>
    <m/>
    <x v="1"/>
    <x v="1"/>
    <x v="0"/>
    <m/>
    <x v="1"/>
    <m/>
    <m/>
    <m/>
    <s v="South"/>
    <s v="YESHWANTHPURA"/>
    <x v="2"/>
    <x v="59"/>
    <x v="56"/>
    <x v="113"/>
    <s v="CRCA COIL-TATXXD-AU03-0.6X1250"/>
    <s v=" "/>
    <m/>
    <n v="15"/>
    <n v="28"/>
    <m/>
    <x v="1"/>
    <x v="2"/>
    <s v="AU03"/>
    <x v="20"/>
    <x v="0"/>
    <x v="0"/>
    <n v="29"/>
    <n v="0"/>
    <n v="29"/>
    <n v="116"/>
    <n v="1.3000000000000007"/>
    <n v="29"/>
    <n v="0"/>
    <n v="0"/>
    <n v="0"/>
    <n v="0"/>
    <n v="0"/>
    <n v="0"/>
    <n v="0"/>
    <n v="0"/>
    <n v="0"/>
    <n v="0"/>
    <n v="0"/>
    <n v="0"/>
    <n v="0"/>
    <n v="27.7"/>
    <n v="0"/>
    <n v="0"/>
    <n v="0"/>
    <n v="0"/>
    <n v="0"/>
    <n v="27.7"/>
    <n v="27.7"/>
    <n v="0"/>
    <n v="27.7"/>
    <m/>
    <n v="0"/>
    <n v="29"/>
    <n v="29"/>
    <n v="0"/>
    <n v="0"/>
    <n v="0"/>
    <n v="0"/>
    <n v="29"/>
    <n v="0"/>
    <n v="29"/>
    <n v="0"/>
    <n v="0"/>
    <n v="0"/>
    <n v="0"/>
    <m/>
    <m/>
    <m/>
    <m/>
    <m/>
    <m/>
    <m/>
    <m/>
    <m/>
    <m/>
    <m/>
    <m/>
    <m/>
    <m/>
    <m/>
    <m/>
    <m/>
    <m/>
    <m/>
    <m/>
    <m/>
    <m/>
    <m/>
    <m/>
    <m/>
    <m/>
    <m/>
    <m/>
    <m/>
    <m/>
    <m/>
    <m/>
    <m/>
    <m/>
  </r>
  <r>
    <n v="742"/>
    <d v="2025-04-01T00:00:00"/>
    <x v="1"/>
    <n v="9518663142"/>
    <n v="4"/>
    <s v="9518663142-4"/>
    <s v="No Priority"/>
    <x v="0"/>
    <m/>
    <x v="1"/>
    <x v="10"/>
    <x v="2"/>
    <m/>
    <x v="0"/>
    <m/>
    <m/>
    <m/>
    <s v="North"/>
    <s v="PILKHUWA"/>
    <x v="2"/>
    <x v="24"/>
    <x v="23"/>
    <x v="283"/>
    <s v="CRCA COIL TATXXD BT01 1.200X1220"/>
    <s v=" "/>
    <m/>
    <n v="6"/>
    <n v="10"/>
    <m/>
    <x v="1"/>
    <x v="2"/>
    <s v="BT01"/>
    <x v="19"/>
    <x v="1"/>
    <x v="0"/>
    <n v="28"/>
    <n v="0"/>
    <n v="28"/>
    <n v="116"/>
    <n v="28"/>
    <n v="28"/>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80"/>
    <n v="1"/>
    <s v="9518703480-1"/>
    <s v="No Priority"/>
    <x v="0"/>
    <m/>
    <x v="1"/>
    <x v="10"/>
    <x v="3"/>
    <m/>
    <x v="0"/>
    <m/>
    <m/>
    <s v="Andhra Pradesh"/>
    <s v="South"/>
    <m/>
    <x v="2"/>
    <x v="41"/>
    <x v="40"/>
    <x v="477"/>
    <s v="CR COIL TATXXD BT02 0.970X1005"/>
    <m/>
    <s v=""/>
    <m/>
    <m/>
    <m/>
    <x v="1"/>
    <x v="2"/>
    <s v="BT02"/>
    <x v="24"/>
    <x v="34"/>
    <x v="0"/>
    <n v="23"/>
    <n v="0"/>
    <n v="23"/>
    <n v="23"/>
    <n v="23"/>
    <n v="23"/>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80"/>
    <n v="2"/>
    <s v="9518703480-2"/>
    <s v="No Priority"/>
    <x v="0"/>
    <m/>
    <x v="1"/>
    <x v="10"/>
    <x v="3"/>
    <m/>
    <x v="0"/>
    <m/>
    <m/>
    <s v="Andhra Pradesh"/>
    <s v="South"/>
    <m/>
    <x v="2"/>
    <x v="41"/>
    <x v="40"/>
    <x v="52"/>
    <s v="CRCA COIL TATXXD BT02 0.970X913"/>
    <m/>
    <s v=""/>
    <m/>
    <m/>
    <m/>
    <x v="1"/>
    <x v="2"/>
    <s v="BT02"/>
    <x v="24"/>
    <x v="8"/>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80"/>
    <n v="3"/>
    <s v="9518703480-3"/>
    <s v="No Priority"/>
    <x v="0"/>
    <m/>
    <x v="1"/>
    <x v="10"/>
    <x v="3"/>
    <m/>
    <x v="0"/>
    <m/>
    <m/>
    <s v="Andhra Pradesh"/>
    <s v="South"/>
    <m/>
    <x v="2"/>
    <x v="41"/>
    <x v="40"/>
    <x v="317"/>
    <s v="CRCA COIL TATXXD BT02 1.200X914"/>
    <m/>
    <s v=""/>
    <m/>
    <m/>
    <m/>
    <x v="1"/>
    <x v="2"/>
    <s v="BT02"/>
    <x v="19"/>
    <x v="26"/>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80"/>
    <n v="6"/>
    <s v="9518703480-6"/>
    <s v="No Priority"/>
    <x v="0"/>
    <m/>
    <x v="1"/>
    <x v="10"/>
    <x v="3"/>
    <m/>
    <x v="0"/>
    <m/>
    <m/>
    <s v="Andhra Pradesh"/>
    <s v="South"/>
    <m/>
    <x v="2"/>
    <x v="41"/>
    <x v="40"/>
    <x v="478"/>
    <s v="CR COIL TATXXD BT02 0.630X920"/>
    <m/>
    <s v=""/>
    <m/>
    <m/>
    <m/>
    <x v="1"/>
    <x v="2"/>
    <s v="BT02"/>
    <x v="26"/>
    <x v="15"/>
    <x v="0"/>
    <n v="21"/>
    <n v="0"/>
    <n v="21"/>
    <n v="21"/>
    <n v="21"/>
    <n v="0"/>
    <n v="0"/>
    <n v="0"/>
    <n v="0"/>
    <n v="0"/>
    <n v="0"/>
    <n v="0"/>
    <n v="0"/>
    <n v="0"/>
    <n v="0"/>
    <n v="0"/>
    <n v="0"/>
    <n v="0"/>
    <n v="0"/>
    <n v="0"/>
    <n v="0"/>
    <n v="0"/>
    <n v="0"/>
    <n v="0"/>
    <n v="0"/>
    <n v="0"/>
    <n v="0"/>
    <n v="0"/>
    <n v="0"/>
    <m/>
    <n v="0"/>
    <n v="0"/>
    <n v="0"/>
    <n v="0"/>
    <n v="0"/>
    <n v="0"/>
    <n v="0"/>
    <n v="0"/>
    <n v="0"/>
    <n v="0"/>
    <n v="0"/>
    <n v="0"/>
    <n v="0"/>
    <n v="0"/>
    <m/>
    <m/>
    <m/>
    <m/>
    <m/>
    <m/>
    <m/>
    <m/>
    <m/>
    <m/>
    <m/>
    <m/>
    <m/>
    <m/>
    <m/>
    <m/>
    <m/>
    <m/>
    <m/>
    <m/>
    <m/>
    <m/>
    <m/>
    <m/>
    <m/>
    <m/>
    <m/>
    <m/>
    <m/>
    <m/>
    <m/>
    <m/>
    <m/>
    <m/>
  </r>
  <r>
    <n v="742"/>
    <d v="2025-04-19T00:00:00"/>
    <x v="0"/>
    <n v="9518703509"/>
    <n v="1"/>
    <s v="9518703509-1"/>
    <s v="May'25"/>
    <x v="0"/>
    <m/>
    <x v="1"/>
    <x v="10"/>
    <x v="3"/>
    <m/>
    <x v="1"/>
    <m/>
    <s v="P1-Priority for Balmer"/>
    <s v="Andhra Pradesh"/>
    <s v="South"/>
    <m/>
    <x v="2"/>
    <x v="41"/>
    <x v="40"/>
    <x v="165"/>
    <s v="CRCA COIL TATXXD BT02 0.770X920"/>
    <m/>
    <s v=""/>
    <m/>
    <m/>
    <m/>
    <x v="1"/>
    <x v="2"/>
    <s v="BT02"/>
    <x v="48"/>
    <x v="15"/>
    <x v="0"/>
    <n v="273"/>
    <n v="0"/>
    <n v="273"/>
    <n v="273"/>
    <n v="273"/>
    <n v="273"/>
    <n v="0"/>
    <n v="0"/>
    <n v="0"/>
    <n v="0"/>
    <n v="0"/>
    <n v="0"/>
    <n v="0"/>
    <n v="0"/>
    <n v="0"/>
    <n v="0"/>
    <n v="0"/>
    <n v="0"/>
    <n v="0"/>
    <n v="0"/>
    <n v="0"/>
    <n v="0"/>
    <n v="0"/>
    <n v="0"/>
    <n v="0"/>
    <n v="0"/>
    <n v="0"/>
    <n v="0"/>
    <n v="0"/>
    <m/>
    <n v="0"/>
    <n v="273"/>
    <n v="0"/>
    <n v="0"/>
    <n v="0"/>
    <n v="273"/>
    <n v="0"/>
    <n v="273"/>
    <n v="0"/>
    <n v="0"/>
    <n v="0"/>
    <n v="273"/>
    <n v="0"/>
    <n v="0"/>
    <m/>
    <m/>
    <m/>
    <m/>
    <m/>
    <m/>
    <m/>
    <m/>
    <m/>
    <m/>
    <m/>
    <m/>
    <m/>
    <m/>
    <m/>
    <m/>
    <m/>
    <m/>
    <m/>
    <m/>
    <m/>
    <m/>
    <m/>
    <m/>
    <m/>
    <m/>
    <m/>
    <m/>
    <m/>
    <m/>
    <m/>
    <m/>
    <m/>
    <m/>
  </r>
  <r>
    <n v="742"/>
    <d v="2025-04-19T00:00:00"/>
    <x v="0"/>
    <n v="9518703509"/>
    <n v="2"/>
    <s v="9518703509-2"/>
    <s v="May'25"/>
    <x v="0"/>
    <m/>
    <x v="1"/>
    <x v="10"/>
    <x v="3"/>
    <m/>
    <x v="1"/>
    <m/>
    <s v="P1-Priority for Balmer"/>
    <s v="Andhra Pradesh"/>
    <s v="South"/>
    <m/>
    <x v="2"/>
    <x v="41"/>
    <x v="40"/>
    <x v="165"/>
    <s v="CRCA COIL TATXXD BT02 0.770X920"/>
    <m/>
    <s v=""/>
    <m/>
    <m/>
    <m/>
    <x v="1"/>
    <x v="2"/>
    <s v="BT02"/>
    <x v="48"/>
    <x v="15"/>
    <x v="0"/>
    <n v="273"/>
    <n v="0"/>
    <n v="273"/>
    <n v="273"/>
    <n v="273"/>
    <n v="273"/>
    <n v="0"/>
    <n v="0"/>
    <n v="0"/>
    <n v="0"/>
    <n v="0"/>
    <n v="0"/>
    <n v="0"/>
    <n v="0"/>
    <n v="0"/>
    <n v="0"/>
    <n v="0"/>
    <n v="0"/>
    <n v="0"/>
    <n v="0"/>
    <n v="0"/>
    <n v="0"/>
    <n v="0"/>
    <n v="0"/>
    <n v="0"/>
    <n v="0"/>
    <n v="0"/>
    <n v="0"/>
    <n v="0"/>
    <m/>
    <n v="0"/>
    <n v="273"/>
    <n v="0"/>
    <n v="0"/>
    <n v="0"/>
    <n v="273"/>
    <n v="0"/>
    <n v="273"/>
    <n v="0"/>
    <n v="0"/>
    <n v="0"/>
    <n v="273"/>
    <n v="0"/>
    <n v="0"/>
    <m/>
    <m/>
    <m/>
    <m/>
    <m/>
    <m/>
    <m/>
    <m/>
    <m/>
    <m/>
    <m/>
    <m/>
    <m/>
    <m/>
    <m/>
    <m/>
    <m/>
    <m/>
    <m/>
    <m/>
    <m/>
    <m/>
    <m/>
    <m/>
    <m/>
    <m/>
    <m/>
    <m/>
    <m/>
    <m/>
    <m/>
    <m/>
    <m/>
    <m/>
  </r>
  <r>
    <n v="742"/>
    <d v="2025-04-19T00:00:00"/>
    <x v="0"/>
    <n v="9518703509"/>
    <n v="3"/>
    <s v="9518703509-3"/>
    <s v="No Priority"/>
    <x v="0"/>
    <m/>
    <x v="1"/>
    <x v="10"/>
    <x v="3"/>
    <m/>
    <x v="0"/>
    <m/>
    <m/>
    <s v="Andhra Pradesh"/>
    <s v="South"/>
    <m/>
    <x v="2"/>
    <x v="41"/>
    <x v="40"/>
    <x v="479"/>
    <s v="CRCA COIL TATXXD BT02 0.770X925"/>
    <m/>
    <s v=""/>
    <m/>
    <m/>
    <m/>
    <x v="1"/>
    <x v="2"/>
    <s v="BT02"/>
    <x v="48"/>
    <x v="27"/>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19T00:00:00"/>
    <x v="0"/>
    <n v="9518703509"/>
    <n v="4"/>
    <s v="9518703509-4"/>
    <s v="No Priority"/>
    <x v="0"/>
    <m/>
    <x v="1"/>
    <x v="10"/>
    <x v="3"/>
    <m/>
    <x v="0"/>
    <m/>
    <m/>
    <s v="Andhra Pradesh"/>
    <s v="South"/>
    <m/>
    <x v="2"/>
    <x v="41"/>
    <x v="40"/>
    <x v="480"/>
    <s v="CRCA COIL TATXXD BT02 0.700X920"/>
    <m/>
    <s v=""/>
    <m/>
    <m/>
    <m/>
    <x v="1"/>
    <x v="2"/>
    <s v="BT02"/>
    <x v="4"/>
    <x v="15"/>
    <x v="0"/>
    <n v="42"/>
    <n v="0"/>
    <n v="42"/>
    <n v="42"/>
    <n v="42"/>
    <n v="42"/>
    <n v="0"/>
    <n v="0"/>
    <n v="0"/>
    <n v="0"/>
    <n v="0"/>
    <n v="0"/>
    <n v="0"/>
    <n v="0"/>
    <n v="0"/>
    <n v="0"/>
    <n v="0"/>
    <n v="0"/>
    <n v="0"/>
    <n v="0"/>
    <n v="0"/>
    <n v="0"/>
    <n v="0"/>
    <n v="0"/>
    <n v="0"/>
    <n v="0"/>
    <n v="0"/>
    <n v="0"/>
    <n v="0"/>
    <m/>
    <n v="0"/>
    <n v="0"/>
    <n v="0"/>
    <n v="0"/>
    <n v="0"/>
    <n v="0"/>
    <n v="0"/>
    <n v="0"/>
    <n v="0"/>
    <n v="0"/>
    <n v="0"/>
    <n v="0"/>
    <n v="0"/>
    <n v="0"/>
    <m/>
    <m/>
    <m/>
    <m/>
    <m/>
    <m/>
    <m/>
    <m/>
    <m/>
    <m/>
    <m/>
    <m/>
    <m/>
    <m/>
    <m/>
    <m/>
    <m/>
    <m/>
    <m/>
    <m/>
    <m/>
    <m/>
    <m/>
    <m/>
    <m/>
    <m/>
    <m/>
    <m/>
    <m/>
    <m/>
    <m/>
    <m/>
    <m/>
    <m/>
  </r>
  <r>
    <n v="742"/>
    <d v="2025-04-18T00:00:00"/>
    <x v="0"/>
    <n v="9518703423"/>
    <n v="1"/>
    <s v="9518703423-1"/>
    <s v="May'25"/>
    <x v="0"/>
    <m/>
    <x v="1"/>
    <x v="10"/>
    <x v="3"/>
    <m/>
    <x v="1"/>
    <m/>
    <s v="P1-Priority for Balmer"/>
    <s v="Tamil Nadu"/>
    <s v="South"/>
    <m/>
    <x v="2"/>
    <x v="30"/>
    <x v="30"/>
    <x v="52"/>
    <s v="CRCA COIL TATXXD BT02 0.970X913"/>
    <m/>
    <s v=""/>
    <m/>
    <m/>
    <m/>
    <x v="1"/>
    <x v="2"/>
    <s v="BT02"/>
    <x v="24"/>
    <x v="8"/>
    <x v="0"/>
    <n v="210"/>
    <n v="0"/>
    <n v="210"/>
    <n v="210"/>
    <n v="210"/>
    <n v="210"/>
    <n v="0"/>
    <n v="0"/>
    <n v="0"/>
    <n v="0"/>
    <n v="0"/>
    <n v="0"/>
    <n v="0"/>
    <n v="0"/>
    <n v="0"/>
    <n v="0"/>
    <n v="0"/>
    <n v="0"/>
    <n v="0"/>
    <n v="0"/>
    <n v="0"/>
    <n v="0"/>
    <n v="0"/>
    <n v="0"/>
    <n v="0"/>
    <n v="0"/>
    <n v="0"/>
    <n v="0"/>
    <n v="0"/>
    <m/>
    <n v="0"/>
    <n v="210"/>
    <n v="0"/>
    <n v="0"/>
    <n v="0"/>
    <n v="210"/>
    <n v="0"/>
    <n v="210"/>
    <n v="0"/>
    <n v="0"/>
    <n v="0"/>
    <n v="210"/>
    <n v="0"/>
    <n v="0"/>
    <m/>
    <m/>
    <m/>
    <m/>
    <m/>
    <m/>
    <m/>
    <m/>
    <m/>
    <m/>
    <m/>
    <m/>
    <m/>
    <m/>
    <m/>
    <m/>
    <m/>
    <m/>
    <m/>
    <m/>
    <m/>
    <m/>
    <m/>
    <m/>
    <m/>
    <m/>
    <m/>
    <m/>
    <m/>
    <m/>
    <m/>
    <m/>
    <m/>
    <m/>
  </r>
  <r>
    <n v="742"/>
    <d v="2025-04-18T00:00:00"/>
    <x v="0"/>
    <n v="9518703431"/>
    <n v="1"/>
    <s v="9518703431-1"/>
    <s v="May'25"/>
    <x v="0"/>
    <m/>
    <x v="1"/>
    <x v="10"/>
    <x v="3"/>
    <m/>
    <x v="1"/>
    <m/>
    <s v="P1-Priority for Balmer"/>
    <s v="Haryana"/>
    <s v="North"/>
    <m/>
    <x v="2"/>
    <x v="42"/>
    <x v="41"/>
    <x v="187"/>
    <s v="CRCA COIL TATXXD BT02 0.900X913"/>
    <m/>
    <s v=""/>
    <m/>
    <m/>
    <m/>
    <x v="1"/>
    <x v="2"/>
    <s v="BT02"/>
    <x v="13"/>
    <x v="8"/>
    <x v="0"/>
    <n v="126"/>
    <n v="0"/>
    <n v="126"/>
    <n v="126"/>
    <n v="126"/>
    <n v="126"/>
    <n v="0"/>
    <n v="0"/>
    <n v="0"/>
    <n v="0"/>
    <n v="0"/>
    <n v="0"/>
    <n v="0"/>
    <n v="0"/>
    <n v="0"/>
    <n v="0"/>
    <n v="0"/>
    <n v="0"/>
    <n v="0"/>
    <n v="0"/>
    <n v="0"/>
    <n v="0"/>
    <n v="0"/>
    <n v="0"/>
    <n v="0"/>
    <n v="0"/>
    <n v="0"/>
    <n v="0"/>
    <n v="0"/>
    <m/>
    <n v="0"/>
    <n v="126"/>
    <n v="0"/>
    <n v="0"/>
    <n v="0"/>
    <n v="126"/>
    <n v="0"/>
    <n v="126"/>
    <n v="0"/>
    <n v="0"/>
    <n v="0"/>
    <n v="126"/>
    <n v="0"/>
    <n v="0"/>
    <m/>
    <m/>
    <m/>
    <m/>
    <m/>
    <m/>
    <m/>
    <m/>
    <m/>
    <m/>
    <m/>
    <m/>
    <m/>
    <m/>
    <m/>
    <m/>
    <m/>
    <m/>
    <m/>
    <m/>
    <m/>
    <m/>
    <m/>
    <m/>
    <m/>
    <m/>
    <m/>
    <m/>
    <m/>
    <m/>
    <m/>
    <m/>
    <m/>
    <m/>
  </r>
  <r>
    <n v="742"/>
    <d v="2025-04-18T00:00:00"/>
    <x v="0"/>
    <n v="9518703431"/>
    <n v="2"/>
    <s v="9518703431-2"/>
    <s v="May'25"/>
    <x v="0"/>
    <m/>
    <x v="1"/>
    <x v="10"/>
    <x v="3"/>
    <m/>
    <x v="1"/>
    <m/>
    <s v="P1-Priority for Balmer"/>
    <s v="Haryana"/>
    <s v="North"/>
    <m/>
    <x v="2"/>
    <x v="42"/>
    <x v="41"/>
    <x v="52"/>
    <s v="CRCA COIL TATXXD BT02 0.970X913"/>
    <m/>
    <s v=""/>
    <m/>
    <m/>
    <m/>
    <x v="1"/>
    <x v="2"/>
    <s v="BT02"/>
    <x v="24"/>
    <x v="8"/>
    <x v="0"/>
    <n v="252"/>
    <n v="0"/>
    <n v="252"/>
    <n v="252"/>
    <n v="252"/>
    <n v="252"/>
    <n v="0"/>
    <n v="0"/>
    <n v="0"/>
    <n v="0"/>
    <n v="0"/>
    <n v="0"/>
    <n v="0"/>
    <n v="0"/>
    <n v="0"/>
    <n v="0"/>
    <n v="0"/>
    <n v="0"/>
    <n v="0"/>
    <n v="0"/>
    <n v="0"/>
    <n v="0"/>
    <n v="0"/>
    <n v="0"/>
    <n v="0"/>
    <n v="0"/>
    <n v="0"/>
    <n v="0"/>
    <n v="0"/>
    <m/>
    <n v="0"/>
    <n v="252"/>
    <n v="0"/>
    <n v="0"/>
    <n v="0"/>
    <n v="252"/>
    <n v="0"/>
    <n v="252"/>
    <n v="0"/>
    <n v="0"/>
    <n v="0"/>
    <n v="0"/>
    <n v="252"/>
    <n v="0"/>
    <m/>
    <m/>
    <m/>
    <m/>
    <m/>
    <m/>
    <m/>
    <m/>
    <m/>
    <m/>
    <m/>
    <m/>
    <m/>
    <m/>
    <m/>
    <m/>
    <m/>
    <m/>
    <m/>
    <m/>
    <m/>
    <m/>
    <m/>
    <m/>
    <m/>
    <m/>
    <m/>
    <m/>
    <m/>
    <m/>
    <m/>
    <m/>
    <m/>
    <m/>
  </r>
  <r>
    <n v="742"/>
    <d v="2025-04-18T00:00:00"/>
    <x v="0"/>
    <n v="9518703431"/>
    <n v="4"/>
    <s v="9518703431-4"/>
    <s v="May'25"/>
    <x v="0"/>
    <m/>
    <x v="1"/>
    <x v="10"/>
    <x v="3"/>
    <m/>
    <x v="1"/>
    <m/>
    <s v="P1-Priority for Balmer"/>
    <s v="Haryana"/>
    <s v="North"/>
    <m/>
    <x v="2"/>
    <x v="42"/>
    <x v="41"/>
    <x v="81"/>
    <s v="CRCA COIL TATXXD BT02 1.200X910"/>
    <m/>
    <s v=""/>
    <m/>
    <m/>
    <m/>
    <x v="1"/>
    <x v="2"/>
    <s v="BT02"/>
    <x v="19"/>
    <x v="12"/>
    <x v="0"/>
    <n v="42"/>
    <n v="0"/>
    <n v="42"/>
    <n v="42"/>
    <n v="42"/>
    <n v="42"/>
    <n v="0"/>
    <n v="0"/>
    <n v="0"/>
    <n v="0"/>
    <n v="0"/>
    <n v="0"/>
    <n v="0"/>
    <n v="0"/>
    <n v="0"/>
    <n v="0"/>
    <n v="0"/>
    <n v="0"/>
    <n v="0"/>
    <n v="0"/>
    <n v="0"/>
    <n v="0"/>
    <n v="0"/>
    <n v="0"/>
    <n v="0"/>
    <n v="0"/>
    <n v="0"/>
    <n v="0"/>
    <n v="0"/>
    <m/>
    <n v="0"/>
    <n v="42"/>
    <n v="0"/>
    <n v="0"/>
    <n v="0"/>
    <n v="0"/>
    <n v="42"/>
    <n v="42"/>
    <n v="0"/>
    <n v="0"/>
    <n v="0"/>
    <n v="0"/>
    <n v="42"/>
    <n v="0"/>
    <m/>
    <m/>
    <m/>
    <m/>
    <m/>
    <m/>
    <m/>
    <m/>
    <m/>
    <m/>
    <m/>
    <m/>
    <m/>
    <m/>
    <m/>
    <m/>
    <m/>
    <m/>
    <m/>
    <m/>
    <m/>
    <m/>
    <m/>
    <m/>
    <m/>
    <m/>
    <m/>
    <m/>
    <m/>
    <m/>
    <m/>
    <m/>
    <m/>
    <m/>
  </r>
  <r>
    <n v="742"/>
    <d v="2025-04-19T00:00:00"/>
    <x v="0"/>
    <n v="9518704091"/>
    <n v="1"/>
    <s v="9518704091-1"/>
    <s v="May'25"/>
    <x v="0"/>
    <m/>
    <x v="1"/>
    <x v="10"/>
    <x v="3"/>
    <m/>
    <x v="1"/>
    <m/>
    <s v="P1-Priority for Balmer"/>
    <s v="Dadra, Nagarhaveli"/>
    <s v="West"/>
    <m/>
    <x v="2"/>
    <x v="43"/>
    <x v="42"/>
    <x v="52"/>
    <s v="CRCA COIL TATXXD BT02 0.970X913"/>
    <m/>
    <s v=""/>
    <m/>
    <m/>
    <m/>
    <x v="1"/>
    <x v="2"/>
    <s v="BT02"/>
    <x v="24"/>
    <x v="8"/>
    <x v="0"/>
    <n v="273"/>
    <n v="0"/>
    <n v="273"/>
    <n v="273"/>
    <n v="273"/>
    <n v="273"/>
    <n v="0"/>
    <n v="0"/>
    <n v="0"/>
    <n v="0"/>
    <n v="0"/>
    <n v="0"/>
    <n v="0"/>
    <n v="0"/>
    <n v="0"/>
    <n v="0"/>
    <n v="0"/>
    <n v="0"/>
    <n v="0"/>
    <n v="0"/>
    <n v="0"/>
    <n v="0"/>
    <n v="0"/>
    <n v="0"/>
    <n v="0"/>
    <n v="0"/>
    <n v="0"/>
    <n v="0"/>
    <n v="0"/>
    <m/>
    <n v="0"/>
    <n v="273"/>
    <n v="0"/>
    <n v="0"/>
    <n v="0"/>
    <n v="273"/>
    <n v="0"/>
    <n v="273"/>
    <n v="0"/>
    <n v="0"/>
    <n v="0"/>
    <n v="0"/>
    <n v="273"/>
    <n v="0"/>
    <m/>
    <m/>
    <m/>
    <m/>
    <m/>
    <m/>
    <m/>
    <m/>
    <m/>
    <m/>
    <m/>
    <m/>
    <m/>
    <m/>
    <m/>
    <m/>
    <m/>
    <m/>
    <m/>
    <m/>
    <m/>
    <m/>
    <m/>
    <m/>
    <m/>
    <m/>
    <m/>
    <m/>
    <m/>
    <m/>
    <m/>
    <m/>
    <m/>
    <m/>
  </r>
  <r>
    <n v="742"/>
    <d v="2025-04-19T00:00:00"/>
    <x v="0"/>
    <n v="9518704091"/>
    <n v="2"/>
    <s v="9518704091-2"/>
    <s v="May'25"/>
    <x v="0"/>
    <m/>
    <x v="1"/>
    <x v="10"/>
    <x v="3"/>
    <m/>
    <x v="1"/>
    <m/>
    <s v="P1-Priority for Balmer"/>
    <s v="Dadra, Nagarhaveli"/>
    <s v="West"/>
    <m/>
    <x v="2"/>
    <x v="43"/>
    <x v="42"/>
    <x v="81"/>
    <s v="CRCA COIL TATXXD BT02 1.200X910"/>
    <m/>
    <s v=""/>
    <m/>
    <m/>
    <m/>
    <x v="1"/>
    <x v="2"/>
    <s v="BT02"/>
    <x v="19"/>
    <x v="12"/>
    <x v="0"/>
    <n v="273"/>
    <n v="0"/>
    <n v="273"/>
    <n v="273"/>
    <n v="273"/>
    <n v="273"/>
    <n v="0"/>
    <n v="0"/>
    <n v="0"/>
    <n v="0"/>
    <n v="0"/>
    <n v="0"/>
    <n v="0"/>
    <n v="0"/>
    <n v="0"/>
    <n v="0"/>
    <n v="0"/>
    <n v="0"/>
    <n v="0"/>
    <n v="0"/>
    <n v="0"/>
    <n v="0"/>
    <n v="0"/>
    <n v="0"/>
    <n v="0"/>
    <n v="0"/>
    <n v="0"/>
    <n v="0"/>
    <n v="0"/>
    <m/>
    <n v="0"/>
    <n v="273"/>
    <n v="0"/>
    <n v="0"/>
    <n v="0"/>
    <n v="0"/>
    <n v="273"/>
    <n v="273"/>
    <n v="0"/>
    <n v="0"/>
    <n v="0"/>
    <n v="0"/>
    <n v="273"/>
    <n v="0"/>
    <m/>
    <m/>
    <m/>
    <m/>
    <m/>
    <m/>
    <m/>
    <m/>
    <m/>
    <m/>
    <m/>
    <m/>
    <m/>
    <m/>
    <m/>
    <m/>
    <m/>
    <m/>
    <m/>
    <m/>
    <m/>
    <m/>
    <m/>
    <m/>
    <m/>
    <m/>
    <m/>
    <m/>
    <m/>
    <m/>
    <m/>
    <m/>
    <m/>
    <m/>
  </r>
  <r>
    <n v="742"/>
    <d v="2025-04-19T00:00:00"/>
    <x v="0"/>
    <n v="9518704091"/>
    <n v="3"/>
    <s v="9518704091-3"/>
    <s v="No Priority"/>
    <x v="0"/>
    <m/>
    <x v="1"/>
    <x v="10"/>
    <x v="3"/>
    <m/>
    <x v="0"/>
    <m/>
    <m/>
    <s v="Dadra, Nagarhaveli"/>
    <s v="West"/>
    <m/>
    <x v="2"/>
    <x v="43"/>
    <x v="42"/>
    <x v="52"/>
    <s v="CRCA COIL TATXXD BT02 0.970X913"/>
    <m/>
    <s v=""/>
    <m/>
    <m/>
    <m/>
    <x v="1"/>
    <x v="2"/>
    <s v="BT02"/>
    <x v="24"/>
    <x v="8"/>
    <x v="0"/>
    <n v="168"/>
    <n v="0"/>
    <n v="168"/>
    <n v="168"/>
    <n v="168"/>
    <n v="168"/>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209"/>
    <n v="1"/>
    <s v="9518694209-1"/>
    <s v="May'25"/>
    <x v="0"/>
    <m/>
    <x v="1"/>
    <x v="1"/>
    <x v="1"/>
    <m/>
    <x v="1"/>
    <m/>
    <m/>
    <s v="Delhi"/>
    <s v="North"/>
    <m/>
    <x v="2"/>
    <x v="49"/>
    <x v="48"/>
    <x v="293"/>
    <s v="CRCA COIL-TATXXD-AU03-0.7X1250"/>
    <m/>
    <s v=""/>
    <m/>
    <m/>
    <m/>
    <x v="1"/>
    <x v="2"/>
    <s v="AU03"/>
    <x v="4"/>
    <x v="0"/>
    <x v="0"/>
    <n v="29"/>
    <n v="0"/>
    <n v="29"/>
    <n v="29"/>
    <n v="7.9199999999999982"/>
    <n v="29"/>
    <n v="0"/>
    <n v="0"/>
    <n v="0"/>
    <n v="0"/>
    <n v="0"/>
    <n v="0"/>
    <n v="0"/>
    <n v="0"/>
    <n v="0"/>
    <n v="0"/>
    <n v="0"/>
    <n v="0"/>
    <n v="0"/>
    <n v="21.080000000000002"/>
    <n v="0"/>
    <n v="0"/>
    <n v="0"/>
    <n v="0"/>
    <n v="0"/>
    <n v="21.080000000000002"/>
    <n v="21.080000000000002"/>
    <n v="0"/>
    <n v="21.080000000000002"/>
    <m/>
    <n v="0"/>
    <n v="29"/>
    <n v="29"/>
    <n v="0"/>
    <n v="0"/>
    <n v="0"/>
    <n v="0"/>
    <n v="29"/>
    <n v="0"/>
    <n v="29"/>
    <n v="0"/>
    <n v="0"/>
    <n v="0"/>
    <n v="0"/>
    <m/>
    <m/>
    <m/>
    <m/>
    <m/>
    <m/>
    <m/>
    <m/>
    <m/>
    <m/>
    <m/>
    <m/>
    <m/>
    <m/>
    <m/>
    <m/>
    <m/>
    <m/>
    <m/>
    <m/>
    <m/>
    <m/>
    <m/>
    <m/>
    <m/>
    <m/>
    <m/>
    <m/>
    <m/>
    <m/>
    <m/>
    <m/>
    <m/>
    <m/>
  </r>
  <r>
    <n v="742"/>
    <d v="2025-04-15T00:00:00"/>
    <x v="0"/>
    <n v="9518694209"/>
    <n v="2"/>
    <s v="9518694209-2"/>
    <s v="No Priority"/>
    <x v="0"/>
    <m/>
    <x v="1"/>
    <x v="1"/>
    <x v="1"/>
    <m/>
    <x v="0"/>
    <m/>
    <m/>
    <s v="Delhi"/>
    <s v="North"/>
    <m/>
    <x v="2"/>
    <x v="49"/>
    <x v="48"/>
    <x v="292"/>
    <s v="CRCA COIL TATXXD AU03 0.8X1250"/>
    <m/>
    <s v=""/>
    <m/>
    <m/>
    <m/>
    <x v="1"/>
    <x v="2"/>
    <s v="AU03"/>
    <x v="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209"/>
    <n v="3"/>
    <s v="9518694209-3"/>
    <s v="No Priority"/>
    <x v="0"/>
    <m/>
    <x v="1"/>
    <x v="1"/>
    <x v="1"/>
    <m/>
    <x v="0"/>
    <m/>
    <m/>
    <s v="Delhi"/>
    <s v="North"/>
    <m/>
    <x v="2"/>
    <x v="49"/>
    <x v="48"/>
    <x v="228"/>
    <s v="CRCA COIL-TATXXD-AU03-1X1250"/>
    <m/>
    <s v=""/>
    <m/>
    <m/>
    <m/>
    <x v="1"/>
    <x v="2"/>
    <s v="AU03"/>
    <x v="17"/>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209"/>
    <n v="4"/>
    <s v="9518694209-4"/>
    <s v="No Priority"/>
    <x v="0"/>
    <m/>
    <x v="1"/>
    <x v="1"/>
    <x v="1"/>
    <m/>
    <x v="0"/>
    <m/>
    <m/>
    <s v="Delhi"/>
    <s v="North"/>
    <m/>
    <x v="2"/>
    <x v="49"/>
    <x v="48"/>
    <x v="95"/>
    <s v="CRCA COIL-TATXXD-AU03-1.2X1250"/>
    <m/>
    <s v=""/>
    <m/>
    <m/>
    <m/>
    <x v="1"/>
    <x v="2"/>
    <s v="AU03"/>
    <x v="19"/>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209"/>
    <n v="6"/>
    <s v="9518694209-6"/>
    <s v="No Priority"/>
    <x v="0"/>
    <m/>
    <x v="1"/>
    <x v="1"/>
    <x v="1"/>
    <m/>
    <x v="0"/>
    <m/>
    <m/>
    <s v="Delhi"/>
    <s v="North"/>
    <m/>
    <x v="2"/>
    <x v="49"/>
    <x v="48"/>
    <x v="116"/>
    <s v="CRCA COIL-TATXXD-AU03-2X1250"/>
    <m/>
    <s v=""/>
    <m/>
    <m/>
    <m/>
    <x v="1"/>
    <x v="2"/>
    <s v="AU03"/>
    <x v="1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209"/>
    <n v="7"/>
    <s v="9518694209-7"/>
    <s v="May'25"/>
    <x v="0"/>
    <m/>
    <x v="1"/>
    <x v="1"/>
    <x v="1"/>
    <m/>
    <x v="1"/>
    <m/>
    <m/>
    <s v="Delhi"/>
    <s v="North"/>
    <m/>
    <x v="2"/>
    <x v="49"/>
    <x v="48"/>
    <x v="107"/>
    <s v="CRCA COIL TATXXD AU03 1.400X1250"/>
    <m/>
    <s v=""/>
    <m/>
    <m/>
    <m/>
    <x v="1"/>
    <x v="2"/>
    <s v="AU03"/>
    <x v="37"/>
    <x v="0"/>
    <x v="0"/>
    <n v="29"/>
    <n v="0"/>
    <n v="29"/>
    <n v="29"/>
    <n v="9.879999999999999"/>
    <n v="29"/>
    <n v="0"/>
    <n v="0"/>
    <n v="0"/>
    <n v="0"/>
    <n v="0"/>
    <n v="0"/>
    <n v="0"/>
    <n v="0"/>
    <n v="0"/>
    <n v="0"/>
    <n v="0"/>
    <n v="0"/>
    <n v="0"/>
    <n v="0"/>
    <n v="0"/>
    <n v="19.12"/>
    <n v="0"/>
    <n v="0"/>
    <n v="0"/>
    <n v="19.12"/>
    <n v="19.12"/>
    <n v="0"/>
    <n v="19.12"/>
    <m/>
    <n v="0"/>
    <n v="29"/>
    <n v="0"/>
    <n v="29"/>
    <n v="0"/>
    <n v="0"/>
    <n v="0"/>
    <n v="29"/>
    <n v="0"/>
    <n v="0"/>
    <n v="29"/>
    <n v="0"/>
    <n v="0"/>
    <n v="0"/>
    <m/>
    <m/>
    <m/>
    <m/>
    <m/>
    <m/>
    <m/>
    <m/>
    <m/>
    <m/>
    <m/>
    <m/>
    <m/>
    <m/>
    <m/>
    <m/>
    <m/>
    <m/>
    <m/>
    <m/>
    <m/>
    <m/>
    <m/>
    <m/>
    <m/>
    <m/>
    <m/>
    <m/>
    <m/>
    <m/>
    <m/>
    <m/>
    <m/>
    <m/>
  </r>
  <r>
    <n v="742"/>
    <d v="2025-04-15T00:00:00"/>
    <x v="0"/>
    <n v="9518694209"/>
    <n v="8"/>
    <s v="9518694209-8"/>
    <s v="No Priority"/>
    <x v="0"/>
    <m/>
    <x v="1"/>
    <x v="1"/>
    <x v="1"/>
    <m/>
    <x v="0"/>
    <m/>
    <m/>
    <s v="Delhi"/>
    <s v="North"/>
    <m/>
    <x v="2"/>
    <x v="49"/>
    <x v="48"/>
    <x v="69"/>
    <s v="CRCA COIL TATXXD AU03 1.500X1250"/>
    <m/>
    <s v=""/>
    <m/>
    <m/>
    <m/>
    <x v="1"/>
    <x v="2"/>
    <s v="AU03"/>
    <x v="27"/>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209"/>
    <n v="9"/>
    <s v="9518694209-9"/>
    <s v="No Priority"/>
    <x v="0"/>
    <m/>
    <x v="1"/>
    <x v="1"/>
    <x v="1"/>
    <m/>
    <x v="0"/>
    <m/>
    <m/>
    <s v="Delhi"/>
    <s v="North"/>
    <m/>
    <x v="2"/>
    <x v="49"/>
    <x v="48"/>
    <x v="115"/>
    <s v="CRCA COIL TATXXD AU03 2.5X1250"/>
    <m/>
    <s v=""/>
    <m/>
    <m/>
    <m/>
    <x v="1"/>
    <x v="2"/>
    <s v="AU03"/>
    <x v="38"/>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209"/>
    <n v="10"/>
    <s v="9518694209-10"/>
    <s v="No Priority"/>
    <x v="0"/>
    <m/>
    <x v="1"/>
    <x v="1"/>
    <x v="1"/>
    <m/>
    <x v="0"/>
    <m/>
    <m/>
    <s v="Delhi"/>
    <s v="North"/>
    <m/>
    <x v="2"/>
    <x v="49"/>
    <x v="48"/>
    <x v="113"/>
    <s v="CRCA COIL-TATXXD-AU03-0.6X1250"/>
    <m/>
    <s v=""/>
    <m/>
    <m/>
    <m/>
    <x v="1"/>
    <x v="2"/>
    <s v="AU03"/>
    <x v="20"/>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9T00:00:00"/>
    <x v="0"/>
    <n v="9518704147"/>
    <n v="1"/>
    <s v="9518704147-1"/>
    <s v="May'25"/>
    <x v="0"/>
    <m/>
    <x v="1"/>
    <x v="10"/>
    <x v="3"/>
    <m/>
    <x v="1"/>
    <m/>
    <m/>
    <s v="Tamil Nadu"/>
    <s v="South"/>
    <m/>
    <x v="2"/>
    <x v="80"/>
    <x v="116"/>
    <x v="221"/>
    <s v="CR COIL TATXHS GB03 1.500X1260"/>
    <m/>
    <s v=""/>
    <m/>
    <m/>
    <m/>
    <x v="1"/>
    <x v="8"/>
    <s v="GB03"/>
    <x v="27"/>
    <x v="23"/>
    <x v="0"/>
    <n v="290"/>
    <n v="0"/>
    <n v="290"/>
    <n v="290"/>
    <n v="290"/>
    <n v="290"/>
    <n v="0"/>
    <n v="0"/>
    <n v="0"/>
    <n v="0"/>
    <n v="0"/>
    <n v="0"/>
    <n v="0"/>
    <n v="0"/>
    <n v="0"/>
    <n v="0"/>
    <n v="0"/>
    <n v="0"/>
    <n v="0"/>
    <n v="0"/>
    <n v="0"/>
    <n v="0"/>
    <n v="0"/>
    <n v="0"/>
    <n v="0"/>
    <n v="0"/>
    <n v="0"/>
    <n v="0"/>
    <n v="0"/>
    <m/>
    <n v="0"/>
    <n v="290"/>
    <n v="0"/>
    <n v="0"/>
    <n v="0"/>
    <n v="0"/>
    <n v="290"/>
    <n v="290"/>
    <n v="0"/>
    <n v="0"/>
    <n v="0"/>
    <n v="0"/>
    <n v="290"/>
    <n v="0"/>
    <m/>
    <m/>
    <m/>
    <m/>
    <m/>
    <m/>
    <m/>
    <m/>
    <m/>
    <m/>
    <m/>
    <m/>
    <m/>
    <m/>
    <m/>
    <m/>
    <m/>
    <m/>
    <m/>
    <m/>
    <m/>
    <m/>
    <m/>
    <m/>
    <m/>
    <m/>
    <m/>
    <m/>
    <m/>
    <m/>
    <m/>
    <m/>
    <m/>
    <m/>
  </r>
  <r>
    <n v="742"/>
    <d v="2025-04-19T00:00:00"/>
    <x v="0"/>
    <n v="9518704147"/>
    <n v="3"/>
    <s v="9518704147-3"/>
    <s v="May'25"/>
    <x v="0"/>
    <m/>
    <x v="1"/>
    <x v="10"/>
    <x v="3"/>
    <m/>
    <x v="1"/>
    <m/>
    <m/>
    <s v="Tamil Nadu"/>
    <s v="South"/>
    <m/>
    <x v="2"/>
    <x v="80"/>
    <x v="116"/>
    <x v="221"/>
    <s v="CR COIL TATXHS GB03 1.500X1260"/>
    <m/>
    <s v=""/>
    <m/>
    <m/>
    <m/>
    <x v="1"/>
    <x v="8"/>
    <s v="GB03"/>
    <x v="27"/>
    <x v="23"/>
    <x v="0"/>
    <n v="290"/>
    <n v="0"/>
    <n v="290"/>
    <n v="290"/>
    <n v="290"/>
    <n v="290"/>
    <n v="0"/>
    <n v="0"/>
    <n v="0"/>
    <n v="0"/>
    <n v="0"/>
    <n v="0"/>
    <n v="0"/>
    <n v="0"/>
    <n v="0"/>
    <n v="0"/>
    <n v="0"/>
    <n v="0"/>
    <n v="0"/>
    <n v="0"/>
    <n v="0"/>
    <n v="0"/>
    <n v="0"/>
    <n v="0"/>
    <n v="0"/>
    <n v="0"/>
    <n v="0"/>
    <n v="0"/>
    <n v="0"/>
    <m/>
    <n v="0"/>
    <n v="290"/>
    <n v="0"/>
    <n v="0"/>
    <n v="0"/>
    <n v="0"/>
    <n v="290"/>
    <n v="0"/>
    <n v="0"/>
    <n v="0"/>
    <n v="0"/>
    <n v="0"/>
    <n v="0"/>
    <n v="290"/>
    <m/>
    <m/>
    <m/>
    <m/>
    <m/>
    <m/>
    <m/>
    <m/>
    <m/>
    <m/>
    <m/>
    <m/>
    <m/>
    <m/>
    <m/>
    <m/>
    <m/>
    <m/>
    <m/>
    <m/>
    <m/>
    <m/>
    <m/>
    <m/>
    <m/>
    <m/>
    <m/>
    <m/>
    <m/>
    <m/>
    <m/>
    <m/>
    <m/>
    <m/>
  </r>
  <r>
    <n v="743"/>
    <d v="2025-04-17T00:00:00"/>
    <x v="0"/>
    <n v="9518701085"/>
    <n v="1"/>
    <s v="9518701085-1"/>
    <s v="May'25"/>
    <x v="0"/>
    <m/>
    <x v="4"/>
    <x v="5"/>
    <x v="3"/>
    <m/>
    <x v="1"/>
    <m/>
    <m/>
    <s v="Gujarat"/>
    <s v="West"/>
    <m/>
    <x v="2"/>
    <x v="113"/>
    <x v="119"/>
    <x v="26"/>
    <s v="GL COIL HARD  Y550GL HGL6 0.900X1220"/>
    <m/>
    <s v=""/>
    <m/>
    <m/>
    <m/>
    <x v="5"/>
    <x v="7"/>
    <s v="HGL6"/>
    <x v="13"/>
    <x v="1"/>
    <x v="0"/>
    <n v="300.99900000000002"/>
    <n v="0"/>
    <n v="300.99900000000002"/>
    <n v="300.99900000000002"/>
    <n v="249.38900000000001"/>
    <n v="308"/>
    <n v="0"/>
    <n v="0"/>
    <n v="0"/>
    <n v="0"/>
    <n v="0"/>
    <n v="0"/>
    <n v="0"/>
    <n v="26.89"/>
    <n v="0"/>
    <n v="0"/>
    <n v="0"/>
    <n v="0"/>
    <n v="0"/>
    <n v="0"/>
    <n v="0"/>
    <n v="0"/>
    <n v="0"/>
    <n v="0"/>
    <n v="24.72"/>
    <n v="51.61"/>
    <n v="51.61"/>
    <n v="0"/>
    <n v="51.61"/>
    <m/>
    <n v="0"/>
    <n v="308"/>
    <n v="0"/>
    <n v="0"/>
    <n v="308"/>
    <n v="0"/>
    <n v="0"/>
    <n v="308"/>
    <n v="0"/>
    <n v="0"/>
    <n v="0"/>
    <n v="308"/>
    <n v="0"/>
    <n v="0"/>
    <m/>
    <m/>
    <m/>
    <m/>
    <m/>
    <m/>
    <m/>
    <m/>
    <m/>
    <m/>
    <m/>
    <m/>
    <m/>
    <m/>
    <m/>
    <m/>
    <m/>
    <m/>
    <m/>
    <m/>
    <m/>
    <m/>
    <m/>
    <m/>
    <m/>
    <m/>
    <m/>
    <m/>
    <m/>
    <m/>
    <m/>
    <m/>
    <m/>
    <m/>
  </r>
  <r>
    <n v="743"/>
    <d v="2025-04-17T00:00:00"/>
    <x v="0"/>
    <n v="9518701085"/>
    <n v="2"/>
    <s v="9518701085-2"/>
    <s v="May'25"/>
    <x v="0"/>
    <m/>
    <x v="4"/>
    <x v="5"/>
    <x v="3"/>
    <m/>
    <x v="1"/>
    <m/>
    <m/>
    <s v="Gujarat"/>
    <s v="West"/>
    <m/>
    <x v="2"/>
    <x v="113"/>
    <x v="119"/>
    <x v="26"/>
    <s v="GL COIL HARD  Y550GL HGL6 0.900X1220"/>
    <m/>
    <s v=""/>
    <m/>
    <m/>
    <m/>
    <x v="5"/>
    <x v="7"/>
    <s v="HGL6"/>
    <x v="13"/>
    <x v="1"/>
    <x v="0"/>
    <n v="300.99900000000002"/>
    <n v="0"/>
    <n v="300.99900000000002"/>
    <n v="300.99900000000002"/>
    <n v="300.99900000000002"/>
    <n v="308"/>
    <n v="0"/>
    <n v="0"/>
    <n v="0"/>
    <n v="0"/>
    <n v="0"/>
    <n v="0"/>
    <n v="0"/>
    <n v="0"/>
    <n v="0"/>
    <n v="0"/>
    <n v="0"/>
    <n v="0"/>
    <n v="0"/>
    <n v="0"/>
    <n v="0"/>
    <n v="0"/>
    <n v="0"/>
    <n v="0"/>
    <n v="0"/>
    <n v="0"/>
    <n v="0"/>
    <n v="0"/>
    <n v="0"/>
    <m/>
    <n v="0"/>
    <n v="308"/>
    <n v="0"/>
    <n v="0"/>
    <n v="308"/>
    <n v="0"/>
    <n v="0"/>
    <n v="308"/>
    <n v="0"/>
    <n v="0"/>
    <n v="0"/>
    <n v="308"/>
    <n v="0"/>
    <n v="0"/>
    <m/>
    <m/>
    <m/>
    <m/>
    <m/>
    <m/>
    <m/>
    <m/>
    <m/>
    <m/>
    <m/>
    <m/>
    <m/>
    <m/>
    <m/>
    <m/>
    <m/>
    <m/>
    <m/>
    <m/>
    <m/>
    <m/>
    <m/>
    <m/>
    <m/>
    <m/>
    <m/>
    <m/>
    <m/>
    <m/>
    <m/>
    <m/>
    <m/>
    <m/>
  </r>
  <r>
    <n v="743"/>
    <d v="2025-04-21T00:00:00"/>
    <x v="0"/>
    <n v="9518709108"/>
    <n v="1"/>
    <s v="9518709108-1"/>
    <s v="May'25"/>
    <x v="0"/>
    <m/>
    <x v="4"/>
    <x v="5"/>
    <x v="3"/>
    <m/>
    <x v="1"/>
    <m/>
    <m/>
    <s v="Gujarat"/>
    <s v="West"/>
    <m/>
    <x v="2"/>
    <x v="45"/>
    <x v="44"/>
    <x v="253"/>
    <s v="GL COIL HARD  Y550GL H0GL 0.900X1249"/>
    <m/>
    <s v=""/>
    <m/>
    <m/>
    <m/>
    <x v="5"/>
    <x v="7"/>
    <s v="H0GL"/>
    <x v="13"/>
    <x v="24"/>
    <x v="0"/>
    <n v="290"/>
    <n v="0"/>
    <n v="290"/>
    <n v="290"/>
    <n v="290"/>
    <n v="290"/>
    <n v="0"/>
    <n v="0"/>
    <n v="0"/>
    <n v="0"/>
    <n v="0"/>
    <n v="0"/>
    <n v="0"/>
    <n v="0"/>
    <n v="0"/>
    <n v="0"/>
    <n v="0"/>
    <n v="0"/>
    <n v="0"/>
    <n v="0"/>
    <n v="0"/>
    <n v="0"/>
    <n v="0"/>
    <n v="0"/>
    <n v="0"/>
    <n v="0"/>
    <n v="0"/>
    <n v="0"/>
    <n v="0"/>
    <m/>
    <n v="0"/>
    <n v="290"/>
    <n v="0"/>
    <n v="0"/>
    <n v="0"/>
    <n v="0"/>
    <n v="290"/>
    <n v="290"/>
    <n v="0"/>
    <n v="0"/>
    <n v="0"/>
    <n v="0"/>
    <n v="290"/>
    <n v="0"/>
    <m/>
    <m/>
    <m/>
    <m/>
    <m/>
    <m/>
    <m/>
    <m/>
    <m/>
    <m/>
    <m/>
    <m/>
    <m/>
    <m/>
    <m/>
    <m/>
    <m/>
    <m/>
    <m/>
    <m/>
    <m/>
    <m/>
    <m/>
    <m/>
    <m/>
    <m/>
    <m/>
    <m/>
    <m/>
    <m/>
    <m/>
    <m/>
    <m/>
    <m/>
  </r>
  <r>
    <n v="742"/>
    <d v="2025-04-19T00:00:00"/>
    <x v="0"/>
    <n v="9518704234"/>
    <n v="1"/>
    <s v="9518704234-1"/>
    <s v="No Priority"/>
    <x v="0"/>
    <m/>
    <x v="1"/>
    <x v="1"/>
    <x v="1"/>
    <m/>
    <x v="0"/>
    <m/>
    <m/>
    <s v="Haryana"/>
    <s v="North"/>
    <m/>
    <x v="2"/>
    <x v="70"/>
    <x v="67"/>
    <x v="95"/>
    <s v="CRCA COIL-TATXXD-AU03-1.2X1250"/>
    <m/>
    <s v=""/>
    <m/>
    <m/>
    <m/>
    <x v="1"/>
    <x v="2"/>
    <s v="AU03"/>
    <x v="19"/>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742"/>
    <d v="2025-04-19T00:00:00"/>
    <x v="0"/>
    <n v="9518704234"/>
    <n v="2"/>
    <s v="9518704234-2"/>
    <s v="No Priority"/>
    <x v="0"/>
    <m/>
    <x v="1"/>
    <x v="1"/>
    <x v="1"/>
    <m/>
    <x v="0"/>
    <m/>
    <m/>
    <s v="Haryana"/>
    <s v="North"/>
    <m/>
    <x v="2"/>
    <x v="70"/>
    <x v="67"/>
    <x v="116"/>
    <s v="CRCA COIL-TATXXD-AU03-2X1250"/>
    <m/>
    <s v=""/>
    <m/>
    <m/>
    <m/>
    <x v="1"/>
    <x v="2"/>
    <s v="AU03"/>
    <x v="15"/>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19T00:00:00"/>
    <x v="0"/>
    <n v="9518704249"/>
    <n v="1"/>
    <s v="9518704249-1"/>
    <s v="No Priority"/>
    <x v="0"/>
    <m/>
    <x v="1"/>
    <x v="1"/>
    <x v="1"/>
    <m/>
    <x v="0"/>
    <m/>
    <m/>
    <s v="Haryana"/>
    <s v="North"/>
    <m/>
    <x v="2"/>
    <x v="70"/>
    <x v="67"/>
    <x v="228"/>
    <s v="CRCA COIL-TATXXD-AU03-1X1250"/>
    <m/>
    <s v=""/>
    <m/>
    <m/>
    <m/>
    <x v="1"/>
    <x v="2"/>
    <s v="AU03"/>
    <x v="17"/>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3"/>
    <d v="2025-04-21T00:00:00"/>
    <x v="0"/>
    <n v="9518708769"/>
    <n v="1"/>
    <s v="9518708769-1"/>
    <s v="May'25"/>
    <x v="0"/>
    <m/>
    <x v="3"/>
    <x v="4"/>
    <x v="1"/>
    <m/>
    <x v="1"/>
    <m/>
    <m/>
    <s v="Karnataka"/>
    <s v="South"/>
    <m/>
    <x v="2"/>
    <x v="14"/>
    <x v="14"/>
    <x v="194"/>
    <s v="GP COIL TATGPH GP02 0.500X1350"/>
    <m/>
    <s v=""/>
    <m/>
    <m/>
    <m/>
    <x v="4"/>
    <x v="6"/>
    <s v="GP02"/>
    <x v="1"/>
    <x v="20"/>
    <x v="0"/>
    <n v="93"/>
    <n v="0"/>
    <n v="93"/>
    <n v="93"/>
    <n v="93"/>
    <n v="93"/>
    <n v="0"/>
    <n v="0"/>
    <n v="0"/>
    <n v="0"/>
    <n v="0"/>
    <n v="0"/>
    <n v="0"/>
    <n v="0"/>
    <n v="0"/>
    <n v="0"/>
    <n v="0"/>
    <n v="0"/>
    <n v="0"/>
    <n v="0"/>
    <n v="0"/>
    <n v="0"/>
    <n v="0"/>
    <n v="0"/>
    <n v="0"/>
    <n v="0"/>
    <n v="0"/>
    <n v="0"/>
    <n v="0"/>
    <m/>
    <n v="0"/>
    <n v="93"/>
    <n v="0"/>
    <n v="0"/>
    <n v="0"/>
    <n v="93"/>
    <n v="0"/>
    <n v="93"/>
    <n v="0"/>
    <n v="0"/>
    <n v="0"/>
    <n v="0"/>
    <n v="93"/>
    <n v="0"/>
    <m/>
    <m/>
    <m/>
    <m/>
    <m/>
    <m/>
    <m/>
    <m/>
    <m/>
    <m/>
    <m/>
    <m/>
    <m/>
    <m/>
    <m/>
    <m/>
    <m/>
    <m/>
    <m/>
    <m/>
    <m/>
    <m/>
    <m/>
    <m/>
    <m/>
    <m/>
    <m/>
    <m/>
    <m/>
    <m/>
    <m/>
    <m/>
    <m/>
    <m/>
  </r>
  <r>
    <n v="744"/>
    <d v="2025-04-19T00:00:00"/>
    <x v="0"/>
    <n v="9518704714"/>
    <n v="1"/>
    <s v="9518704714-1"/>
    <s v="May'25"/>
    <x v="0"/>
    <m/>
    <x v="2"/>
    <x v="3"/>
    <x v="3"/>
    <m/>
    <x v="1"/>
    <m/>
    <m/>
    <s v="Jharkhand"/>
    <s v="East"/>
    <m/>
    <x v="2"/>
    <x v="6"/>
    <x v="39"/>
    <x v="84"/>
    <s v="PPGL C HARD Y550PL D0C9 0.50(TPT)X1220"/>
    <m/>
    <s v="RAL 9002 TSL 1801"/>
    <m/>
    <m/>
    <m/>
    <x v="3"/>
    <x v="3"/>
    <s v="D0C9"/>
    <x v="1"/>
    <x v="1"/>
    <x v="0"/>
    <n v="84"/>
    <n v="0"/>
    <n v="84"/>
    <n v="84"/>
    <n v="-2.1800000000000068"/>
    <n v="84"/>
    <n v="0"/>
    <n v="86.18"/>
    <n v="0"/>
    <n v="0"/>
    <n v="0"/>
    <n v="0"/>
    <n v="0"/>
    <n v="0"/>
    <n v="0"/>
    <n v="0"/>
    <n v="0"/>
    <n v="0"/>
    <n v="0"/>
    <n v="0"/>
    <n v="0"/>
    <n v="0"/>
    <n v="0"/>
    <n v="0"/>
    <n v="0"/>
    <n v="86.18"/>
    <n v="86.18"/>
    <n v="0"/>
    <n v="86.18"/>
    <m/>
    <n v="0"/>
    <n v="84"/>
    <n v="84"/>
    <n v="0"/>
    <n v="0"/>
    <n v="0"/>
    <n v="0"/>
    <n v="84"/>
    <n v="0"/>
    <n v="84"/>
    <n v="0"/>
    <n v="0"/>
    <n v="0"/>
    <n v="0"/>
    <m/>
    <m/>
    <m/>
    <m/>
    <m/>
    <m/>
    <m/>
    <m/>
    <m/>
    <m/>
    <m/>
    <m/>
    <m/>
    <m/>
    <m/>
    <m/>
    <m/>
    <m/>
    <m/>
    <m/>
    <m/>
    <m/>
    <m/>
    <m/>
    <m/>
    <m/>
    <m/>
    <m/>
    <m/>
    <m/>
    <m/>
    <m/>
    <m/>
    <m/>
  </r>
  <r>
    <n v="744"/>
    <d v="2025-04-19T00:00:00"/>
    <x v="0"/>
    <n v="9518704714"/>
    <n v="2"/>
    <s v="9518704714-2"/>
    <s v="May'25"/>
    <x v="0"/>
    <m/>
    <x v="2"/>
    <x v="3"/>
    <x v="3"/>
    <m/>
    <x v="1"/>
    <m/>
    <m/>
    <s v="Jharkhand"/>
    <s v="East"/>
    <m/>
    <x v="2"/>
    <x v="6"/>
    <x v="39"/>
    <x v="84"/>
    <s v="PPGL C HARD Y550PL D0C9 0.50(TPT)X1220"/>
    <m/>
    <s v="BRICK RED TSL 1803"/>
    <m/>
    <m/>
    <m/>
    <x v="3"/>
    <x v="3"/>
    <s v="D0C9"/>
    <x v="1"/>
    <x v="1"/>
    <x v="0"/>
    <n v="28"/>
    <n v="0"/>
    <n v="28"/>
    <n v="28"/>
    <n v="28"/>
    <n v="28"/>
    <n v="0"/>
    <n v="0"/>
    <n v="0"/>
    <n v="0"/>
    <n v="0"/>
    <n v="0"/>
    <n v="0"/>
    <n v="0"/>
    <n v="0"/>
    <n v="0"/>
    <n v="0"/>
    <n v="0"/>
    <n v="0"/>
    <n v="0"/>
    <n v="0"/>
    <n v="0"/>
    <n v="0"/>
    <n v="0"/>
    <n v="0"/>
    <n v="0"/>
    <n v="0"/>
    <n v="0"/>
    <n v="0"/>
    <m/>
    <n v="0"/>
    <n v="28"/>
    <n v="0"/>
    <n v="0"/>
    <n v="0"/>
    <n v="28"/>
    <n v="0"/>
    <n v="28"/>
    <n v="0"/>
    <n v="0"/>
    <n v="0"/>
    <n v="0"/>
    <n v="28"/>
    <n v="0"/>
    <m/>
    <m/>
    <m/>
    <m/>
    <m/>
    <m/>
    <m/>
    <m/>
    <m/>
    <m/>
    <m/>
    <m/>
    <m/>
    <m/>
    <m/>
    <m/>
    <m/>
    <m/>
    <m/>
    <m/>
    <m/>
    <m/>
    <m/>
    <m/>
    <m/>
    <m/>
    <m/>
    <m/>
    <m/>
    <m/>
    <m/>
    <m/>
    <m/>
    <m/>
  </r>
  <r>
    <n v="744"/>
    <d v="2025-04-19T00:00:00"/>
    <x v="0"/>
    <n v="9518704714"/>
    <n v="3"/>
    <s v="9518704714-3"/>
    <s v="Stocks"/>
    <x v="0"/>
    <m/>
    <x v="2"/>
    <x v="3"/>
    <x v="3"/>
    <m/>
    <x v="1"/>
    <m/>
    <m/>
    <s v="Jharkhand"/>
    <s v="East"/>
    <m/>
    <x v="2"/>
    <x v="6"/>
    <x v="39"/>
    <x v="84"/>
    <s v="PPGL C HARD Y550PL D0C9 0.50(TPT)X1220"/>
    <m/>
    <s v="RAL 9002 TSL 1801"/>
    <m/>
    <m/>
    <m/>
    <x v="3"/>
    <x v="3"/>
    <s v="D0C9"/>
    <x v="1"/>
    <x v="1"/>
    <x v="0"/>
    <n v="28"/>
    <n v="0"/>
    <n v="28"/>
    <n v="28"/>
    <n v="14.04"/>
    <n v="11.16"/>
    <n v="0"/>
    <n v="0"/>
    <n v="0"/>
    <n v="0"/>
    <n v="0"/>
    <n v="0"/>
    <n v="0"/>
    <n v="0"/>
    <n v="0"/>
    <n v="9.74"/>
    <n v="0"/>
    <n v="0"/>
    <n v="0"/>
    <n v="0"/>
    <n v="0"/>
    <n v="0"/>
    <n v="0"/>
    <n v="0"/>
    <n v="4.22"/>
    <n v="13.96"/>
    <n v="13.96"/>
    <n v="0"/>
    <n v="13.96"/>
    <m/>
    <n v="16.84"/>
    <n v="11.16"/>
    <n v="11.16"/>
    <n v="0"/>
    <n v="0"/>
    <n v="0"/>
    <n v="0"/>
    <n v="28"/>
    <n v="0"/>
    <n v="28"/>
    <n v="0"/>
    <n v="0"/>
    <n v="0"/>
    <n v="0"/>
    <m/>
    <m/>
    <m/>
    <m/>
    <m/>
    <m/>
    <m/>
    <m/>
    <m/>
    <m/>
    <m/>
    <m/>
    <m/>
    <m/>
    <m/>
    <m/>
    <m/>
    <m/>
    <m/>
    <m/>
    <m/>
    <m/>
    <m/>
    <m/>
    <m/>
    <m/>
    <m/>
    <m/>
    <m/>
    <m/>
    <m/>
    <m/>
    <m/>
    <m/>
  </r>
  <r>
    <n v="744"/>
    <d v="2025-04-19T00:00:00"/>
    <x v="0"/>
    <n v="9518704714"/>
    <n v="4"/>
    <s v="9518704714-4"/>
    <s v="May'25"/>
    <x v="0"/>
    <m/>
    <x v="2"/>
    <x v="3"/>
    <x v="3"/>
    <m/>
    <x v="1"/>
    <m/>
    <m/>
    <s v="Jharkhand"/>
    <s v="East"/>
    <m/>
    <x v="2"/>
    <x v="6"/>
    <x v="39"/>
    <x v="84"/>
    <s v="PPGL C HARD Y550PL D0C9 0.50(TPT)X1220"/>
    <m/>
    <s v="RAL 9002 TSL 1801"/>
    <m/>
    <m/>
    <m/>
    <x v="3"/>
    <x v="3"/>
    <s v="D0C9"/>
    <x v="1"/>
    <x v="1"/>
    <x v="0"/>
    <n v="28"/>
    <n v="0"/>
    <n v="28"/>
    <n v="28"/>
    <n v="-0.67000000000000171"/>
    <n v="28"/>
    <n v="0"/>
    <n v="28.67"/>
    <n v="0"/>
    <n v="0"/>
    <n v="0"/>
    <n v="0"/>
    <n v="0"/>
    <n v="0"/>
    <n v="0"/>
    <n v="0"/>
    <n v="0"/>
    <n v="0"/>
    <n v="0"/>
    <n v="0"/>
    <n v="0"/>
    <n v="0"/>
    <n v="0"/>
    <n v="0"/>
    <n v="0"/>
    <n v="28.67"/>
    <n v="28.67"/>
    <n v="0"/>
    <n v="28.67"/>
    <m/>
    <n v="0"/>
    <n v="28"/>
    <n v="28"/>
    <n v="0"/>
    <n v="0"/>
    <n v="0"/>
    <n v="0"/>
    <n v="28"/>
    <n v="0"/>
    <n v="28"/>
    <n v="0"/>
    <n v="0"/>
    <n v="0"/>
    <n v="0"/>
    <m/>
    <m/>
    <m/>
    <m/>
    <m/>
    <m/>
    <m/>
    <m/>
    <m/>
    <m/>
    <m/>
    <m/>
    <m/>
    <m/>
    <m/>
    <m/>
    <m/>
    <m/>
    <m/>
    <m/>
    <m/>
    <m/>
    <m/>
    <m/>
    <m/>
    <m/>
    <m/>
    <m/>
    <m/>
    <m/>
    <m/>
    <m/>
    <m/>
    <m/>
  </r>
  <r>
    <n v="744"/>
    <d v="2025-04-19T00:00:00"/>
    <x v="0"/>
    <n v="9518704714"/>
    <n v="5"/>
    <s v="9518704714-5"/>
    <s v="May'25"/>
    <x v="0"/>
    <m/>
    <x v="2"/>
    <x v="3"/>
    <x v="3"/>
    <m/>
    <x v="1"/>
    <m/>
    <m/>
    <s v="Jharkhand"/>
    <s v="East"/>
    <m/>
    <x v="2"/>
    <x v="6"/>
    <x v="39"/>
    <x v="84"/>
    <s v="PPGL C HARD Y550PL D0C9 0.50(TPT)X1220"/>
    <m/>
    <s v="RAL 6011 TSL 1810"/>
    <m/>
    <m/>
    <m/>
    <x v="3"/>
    <x v="3"/>
    <s v="D0C9"/>
    <x v="1"/>
    <x v="1"/>
    <x v="0"/>
    <n v="28"/>
    <n v="0"/>
    <n v="28"/>
    <n v="28"/>
    <n v="28"/>
    <n v="28"/>
    <n v="0"/>
    <n v="0"/>
    <n v="0"/>
    <n v="0"/>
    <n v="0"/>
    <n v="0"/>
    <n v="0"/>
    <n v="0"/>
    <n v="0"/>
    <n v="0"/>
    <n v="0"/>
    <n v="0"/>
    <n v="0"/>
    <n v="0"/>
    <n v="0"/>
    <n v="0"/>
    <n v="0"/>
    <n v="0"/>
    <n v="0"/>
    <n v="0"/>
    <n v="0"/>
    <n v="0"/>
    <n v="0"/>
    <m/>
    <n v="0"/>
    <n v="28"/>
    <n v="0"/>
    <n v="0"/>
    <n v="0"/>
    <n v="28"/>
    <n v="0"/>
    <n v="28"/>
    <n v="0"/>
    <n v="0"/>
    <n v="0"/>
    <n v="0"/>
    <n v="28"/>
    <n v="0"/>
    <m/>
    <m/>
    <m/>
    <m/>
    <m/>
    <m/>
    <m/>
    <m/>
    <m/>
    <m/>
    <m/>
    <m/>
    <m/>
    <m/>
    <m/>
    <m/>
    <m/>
    <m/>
    <m/>
    <m/>
    <m/>
    <m/>
    <m/>
    <m/>
    <m/>
    <m/>
    <m/>
    <m/>
    <m/>
    <m/>
    <m/>
    <m/>
    <m/>
    <m/>
  </r>
  <r>
    <n v="744"/>
    <d v="2025-04-19T00:00:00"/>
    <x v="0"/>
    <n v="9518704714"/>
    <n v="6"/>
    <s v="9518704714-6"/>
    <s v="May'25"/>
    <x v="0"/>
    <m/>
    <x v="2"/>
    <x v="3"/>
    <x v="3"/>
    <m/>
    <x v="1"/>
    <m/>
    <m/>
    <s v="Jharkhand"/>
    <s v="East"/>
    <m/>
    <x v="2"/>
    <x v="6"/>
    <x v="39"/>
    <x v="84"/>
    <s v="PPGL C HARD Y550PL D0C9 0.50(TPT)X1220"/>
    <m/>
    <s v="ROYAL BLUE TSL 1815"/>
    <m/>
    <m/>
    <m/>
    <x v="3"/>
    <x v="3"/>
    <s v="D0C9"/>
    <x v="1"/>
    <x v="1"/>
    <x v="0"/>
    <n v="28"/>
    <n v="0"/>
    <n v="28"/>
    <n v="28"/>
    <n v="28"/>
    <n v="28"/>
    <n v="0"/>
    <n v="0"/>
    <n v="0"/>
    <n v="0"/>
    <n v="0"/>
    <n v="0"/>
    <n v="0"/>
    <n v="0"/>
    <n v="0"/>
    <n v="0"/>
    <n v="0"/>
    <n v="0"/>
    <n v="0"/>
    <n v="0"/>
    <n v="0"/>
    <n v="0"/>
    <n v="0"/>
    <n v="0"/>
    <n v="0"/>
    <n v="0"/>
    <n v="0"/>
    <n v="0"/>
    <n v="0"/>
    <m/>
    <n v="0"/>
    <n v="28"/>
    <n v="0"/>
    <n v="0"/>
    <n v="28"/>
    <n v="0"/>
    <n v="0"/>
    <n v="28"/>
    <n v="0"/>
    <n v="0"/>
    <n v="0"/>
    <n v="28"/>
    <n v="0"/>
    <n v="0"/>
    <m/>
    <m/>
    <m/>
    <m/>
    <m/>
    <m/>
    <m/>
    <m/>
    <m/>
    <m/>
    <m/>
    <m/>
    <m/>
    <m/>
    <m/>
    <m/>
    <m/>
    <m/>
    <m/>
    <m/>
    <m/>
    <m/>
    <m/>
    <m/>
    <m/>
    <m/>
    <m/>
    <m/>
    <m/>
    <m/>
    <m/>
    <m/>
    <m/>
    <m/>
  </r>
  <r>
    <n v="2341"/>
    <d v="2025-04-17T00:00:00"/>
    <x v="1"/>
    <n v="9518700593"/>
    <n v="1"/>
    <s v="9518700593-1"/>
    <s v="No Priority"/>
    <x v="1"/>
    <m/>
    <x v="1"/>
    <x v="10"/>
    <x v="3"/>
    <m/>
    <x v="0"/>
    <m/>
    <m/>
    <s v="Punjab"/>
    <s v="North"/>
    <m/>
    <x v="2"/>
    <x v="69"/>
    <x v="66"/>
    <x v="167"/>
    <s v="CR COIL SA1010 TU97 1.150X1250"/>
    <m/>
    <s v=""/>
    <m/>
    <m/>
    <m/>
    <x v="1"/>
    <x v="15"/>
    <s v="TU97"/>
    <x v="49"/>
    <x v="0"/>
    <x v="0"/>
    <n v="290"/>
    <n v="0"/>
    <n v="290"/>
    <n v="290"/>
    <n v="290"/>
    <n v="290"/>
    <n v="0"/>
    <n v="0"/>
    <n v="0"/>
    <n v="0"/>
    <n v="0"/>
    <n v="0"/>
    <n v="0"/>
    <n v="0"/>
    <n v="0"/>
    <n v="0"/>
    <n v="0"/>
    <n v="0"/>
    <n v="0"/>
    <n v="0"/>
    <n v="0"/>
    <n v="0"/>
    <n v="0"/>
    <n v="0"/>
    <n v="0"/>
    <n v="0"/>
    <n v="0"/>
    <n v="0"/>
    <n v="0"/>
    <m/>
    <n v="0"/>
    <n v="0"/>
    <n v="0"/>
    <n v="0"/>
    <n v="0"/>
    <n v="0"/>
    <n v="0"/>
    <n v="0"/>
    <n v="0"/>
    <n v="0"/>
    <n v="0"/>
    <n v="0"/>
    <n v="0"/>
    <n v="0"/>
    <m/>
    <m/>
    <m/>
    <m/>
    <m/>
    <m/>
    <m/>
    <m/>
    <m/>
    <m/>
    <m/>
    <m/>
    <m/>
    <m/>
    <m/>
    <m/>
    <m/>
    <m/>
    <m/>
    <m/>
    <m/>
    <m/>
    <m/>
    <m/>
    <m/>
    <m/>
    <m/>
    <m/>
    <m/>
    <m/>
    <m/>
    <m/>
    <m/>
    <m/>
  </r>
  <r>
    <n v="2341"/>
    <d v="2025-04-17T00:00:00"/>
    <x v="1"/>
    <n v="9518700593"/>
    <n v="2"/>
    <s v="9518700593-2"/>
    <s v="No Priority"/>
    <x v="1"/>
    <m/>
    <x v="1"/>
    <x v="10"/>
    <x v="3"/>
    <m/>
    <x v="0"/>
    <m/>
    <m/>
    <s v="Punjab"/>
    <s v="North"/>
    <m/>
    <x v="2"/>
    <x v="69"/>
    <x v="66"/>
    <x v="168"/>
    <s v="CR COIL SA1010 TU97 1.500X1250"/>
    <m/>
    <s v=""/>
    <m/>
    <m/>
    <m/>
    <x v="1"/>
    <x v="15"/>
    <s v="TU97"/>
    <x v="27"/>
    <x v="0"/>
    <x v="0"/>
    <n v="290"/>
    <n v="0"/>
    <n v="290"/>
    <n v="290"/>
    <n v="290"/>
    <n v="290"/>
    <n v="0"/>
    <n v="0"/>
    <n v="0"/>
    <n v="0"/>
    <n v="0"/>
    <n v="0"/>
    <n v="0"/>
    <n v="0"/>
    <n v="0"/>
    <n v="0"/>
    <n v="0"/>
    <n v="0"/>
    <n v="0"/>
    <n v="0"/>
    <n v="0"/>
    <n v="0"/>
    <n v="0"/>
    <n v="0"/>
    <n v="0"/>
    <n v="0"/>
    <n v="0"/>
    <n v="0"/>
    <n v="0"/>
    <m/>
    <n v="0"/>
    <n v="0"/>
    <n v="0"/>
    <n v="0"/>
    <n v="0"/>
    <n v="0"/>
    <n v="0"/>
    <n v="0"/>
    <n v="0"/>
    <n v="0"/>
    <n v="0"/>
    <n v="0"/>
    <n v="0"/>
    <n v="0"/>
    <m/>
    <m/>
    <m/>
    <m/>
    <m/>
    <m/>
    <m/>
    <m/>
    <m/>
    <m/>
    <m/>
    <m/>
    <m/>
    <m/>
    <m/>
    <m/>
    <m/>
    <m/>
    <m/>
    <m/>
    <m/>
    <m/>
    <m/>
    <m/>
    <m/>
    <m/>
    <m/>
    <m/>
    <m/>
    <m/>
    <m/>
    <m/>
    <m/>
    <m/>
  </r>
  <r>
    <n v="2341"/>
    <d v="2025-04-17T00:00:00"/>
    <x v="1"/>
    <n v="9518700638"/>
    <n v="1"/>
    <s v="9518700638-1"/>
    <s v="No Priority"/>
    <x v="1"/>
    <m/>
    <x v="1"/>
    <x v="10"/>
    <x v="3"/>
    <m/>
    <x v="0"/>
    <m/>
    <m/>
    <s v="Punjab"/>
    <s v="North"/>
    <m/>
    <x v="2"/>
    <x v="69"/>
    <x v="66"/>
    <x v="167"/>
    <s v="CR COIL SA1010 TU97 1.150X1250"/>
    <m/>
    <s v=""/>
    <m/>
    <m/>
    <m/>
    <x v="1"/>
    <x v="15"/>
    <s v="TU97"/>
    <x v="49"/>
    <x v="0"/>
    <x v="0"/>
    <n v="116"/>
    <n v="0"/>
    <n v="116"/>
    <n v="116"/>
    <n v="116"/>
    <n v="116"/>
    <n v="0"/>
    <n v="0"/>
    <n v="0"/>
    <n v="0"/>
    <n v="0"/>
    <n v="0"/>
    <n v="0"/>
    <n v="0"/>
    <n v="0"/>
    <n v="0"/>
    <n v="0"/>
    <n v="0"/>
    <n v="0"/>
    <n v="0"/>
    <n v="0"/>
    <n v="0"/>
    <n v="0"/>
    <n v="0"/>
    <n v="0"/>
    <n v="0"/>
    <n v="0"/>
    <n v="0"/>
    <n v="0"/>
    <m/>
    <n v="0"/>
    <n v="0"/>
    <n v="0"/>
    <n v="0"/>
    <n v="0"/>
    <n v="0"/>
    <n v="0"/>
    <n v="0"/>
    <n v="0"/>
    <n v="0"/>
    <n v="0"/>
    <n v="0"/>
    <n v="0"/>
    <n v="0"/>
    <m/>
    <m/>
    <m/>
    <m/>
    <m/>
    <m/>
    <m/>
    <m/>
    <m/>
    <m/>
    <m/>
    <m/>
    <m/>
    <m/>
    <m/>
    <m/>
    <m/>
    <m/>
    <m/>
    <m/>
    <m/>
    <m/>
    <m/>
    <m/>
    <m/>
    <m/>
    <m/>
    <m/>
    <m/>
    <m/>
    <m/>
    <m/>
    <m/>
    <m/>
  </r>
  <r>
    <n v="2341"/>
    <d v="2025-04-17T00:00:00"/>
    <x v="1"/>
    <n v="9518700638"/>
    <n v="2"/>
    <s v="9518700638-2"/>
    <s v="No Priority"/>
    <x v="0"/>
    <m/>
    <x v="1"/>
    <x v="10"/>
    <x v="3"/>
    <m/>
    <x v="0"/>
    <m/>
    <m/>
    <s v="Punjab"/>
    <s v="North"/>
    <m/>
    <x v="2"/>
    <x v="69"/>
    <x v="66"/>
    <x v="168"/>
    <s v="CR COIL SA1010 TU97 1.500X1250"/>
    <m/>
    <s v=""/>
    <m/>
    <m/>
    <m/>
    <x v="1"/>
    <x v="15"/>
    <s v="TU97"/>
    <x v="27"/>
    <x v="0"/>
    <x v="0"/>
    <n v="116"/>
    <n v="0"/>
    <n v="116"/>
    <n v="116"/>
    <n v="116"/>
    <n v="0"/>
    <n v="0"/>
    <n v="0"/>
    <n v="0"/>
    <n v="0"/>
    <n v="0"/>
    <n v="0"/>
    <n v="0"/>
    <n v="0"/>
    <n v="0"/>
    <n v="0"/>
    <n v="0"/>
    <n v="0"/>
    <n v="0"/>
    <n v="0"/>
    <n v="0"/>
    <n v="0"/>
    <n v="0"/>
    <n v="0"/>
    <n v="0"/>
    <n v="0"/>
    <n v="0"/>
    <n v="0"/>
    <n v="0"/>
    <m/>
    <n v="0"/>
    <n v="0"/>
    <n v="0"/>
    <n v="0"/>
    <n v="0"/>
    <n v="0"/>
    <n v="0"/>
    <n v="0"/>
    <n v="0"/>
    <n v="0"/>
    <n v="0"/>
    <n v="0"/>
    <n v="0"/>
    <n v="0"/>
    <m/>
    <m/>
    <m/>
    <m/>
    <m/>
    <m/>
    <m/>
    <m/>
    <m/>
    <m/>
    <m/>
    <m/>
    <m/>
    <m/>
    <m/>
    <m/>
    <m/>
    <m/>
    <m/>
    <m/>
    <m/>
    <m/>
    <m/>
    <m/>
    <m/>
    <m/>
    <m/>
    <m/>
    <m/>
    <m/>
    <m/>
    <m/>
    <m/>
    <m/>
  </r>
  <r>
    <n v="743"/>
    <d v="2025-02-18T00:00:00"/>
    <x v="0"/>
    <n v="9518529960"/>
    <n v="2"/>
    <s v="9518529960-2"/>
    <s v="No Priority"/>
    <x v="0"/>
    <m/>
    <x v="4"/>
    <x v="5"/>
    <x v="2"/>
    <m/>
    <x v="0"/>
    <m/>
    <m/>
    <m/>
    <m/>
    <s v="ZAHIRABAD"/>
    <x v="2"/>
    <x v="103"/>
    <x v="102"/>
    <x v="469"/>
    <s v="GL COIL HARD  Y550GL GL6H 0.900X1220"/>
    <s v="AZ150"/>
    <s v=""/>
    <n v="7.6550000000000002"/>
    <n v="12"/>
    <m/>
    <x v="5"/>
    <x v="7"/>
    <s v="GL6H"/>
    <x v="13"/>
    <x v="1"/>
    <x v="0"/>
    <n v="273"/>
    <n v="244.995"/>
    <n v="28.004999999999999"/>
    <n v="-4.2699999999999996"/>
    <n v="4.1449999999999996"/>
    <n v="9.0050000000000008"/>
    <n v="0"/>
    <n v="0"/>
    <n v="0"/>
    <n v="0"/>
    <n v="0"/>
    <n v="0"/>
    <n v="0"/>
    <n v="15.24"/>
    <n v="0"/>
    <n v="0"/>
    <n v="0"/>
    <n v="0"/>
    <n v="0"/>
    <n v="0"/>
    <n v="0"/>
    <n v="0"/>
    <n v="0"/>
    <n v="0"/>
    <n v="8.620000000000001"/>
    <n v="23.86"/>
    <n v="23.86"/>
    <n v="0"/>
    <n v="23.86"/>
    <m/>
    <n v="0"/>
    <n v="0"/>
    <n v="0"/>
    <n v="0"/>
    <n v="0"/>
    <n v="0"/>
    <n v="0"/>
    <n v="0"/>
    <n v="0"/>
    <n v="0"/>
    <n v="0"/>
    <n v="0"/>
    <n v="0"/>
    <n v="0"/>
    <m/>
    <m/>
    <m/>
    <m/>
    <m/>
    <m/>
    <m/>
    <m/>
    <m/>
    <m/>
    <m/>
    <m/>
    <m/>
    <m/>
    <m/>
    <m/>
    <m/>
    <m/>
    <m/>
    <m/>
    <m/>
    <m/>
    <m/>
    <m/>
    <m/>
    <m/>
    <m/>
    <m/>
    <m/>
    <m/>
    <m/>
    <m/>
    <m/>
    <m/>
  </r>
  <r>
    <n v="744"/>
    <d v="2025-04-22T00:00:00"/>
    <x v="0"/>
    <n v="9518710417"/>
    <n v="1"/>
    <s v="9518710417-1"/>
    <s v="May'25"/>
    <x v="0"/>
    <m/>
    <x v="2"/>
    <x v="3"/>
    <x v="2"/>
    <m/>
    <x v="1"/>
    <m/>
    <m/>
    <m/>
    <m/>
    <s v="RAJASTHAN"/>
    <x v="2"/>
    <x v="71"/>
    <x v="15"/>
    <x v="195"/>
    <s v="PPGL C HARD Y550PL D0C9 0.60(TPT)X1220"/>
    <s v="AZ150"/>
    <s v="RAL 9002 TSL 142A"/>
    <n v="3"/>
    <n v="5"/>
    <m/>
    <x v="3"/>
    <x v="3"/>
    <s v="D0C9"/>
    <x v="20"/>
    <x v="1"/>
    <x v="0"/>
    <n v="56"/>
    <n v="0"/>
    <n v="56"/>
    <n v="56"/>
    <n v="56"/>
    <n v="55.99"/>
    <n v="0"/>
    <n v="0"/>
    <n v="0"/>
    <n v="0"/>
    <n v="0"/>
    <n v="0"/>
    <n v="0"/>
    <n v="0"/>
    <n v="0"/>
    <n v="0"/>
    <n v="0"/>
    <n v="0"/>
    <n v="0"/>
    <n v="0"/>
    <n v="0"/>
    <n v="0"/>
    <n v="0"/>
    <n v="0"/>
    <n v="0"/>
    <n v="0"/>
    <n v="0"/>
    <n v="0"/>
    <n v="0"/>
    <m/>
    <n v="0"/>
    <n v="55.99"/>
    <n v="0"/>
    <n v="55.99"/>
    <n v="0"/>
    <n v="0"/>
    <n v="0"/>
    <n v="55.99"/>
    <n v="0"/>
    <n v="0"/>
    <n v="55.99"/>
    <n v="0"/>
    <n v="0"/>
    <n v="0"/>
    <m/>
    <m/>
    <m/>
    <m/>
    <m/>
    <m/>
    <m/>
    <m/>
    <m/>
    <m/>
    <m/>
    <m/>
    <m/>
    <m/>
    <m/>
    <m/>
    <m/>
    <m/>
    <m/>
    <m/>
    <m/>
    <m/>
    <m/>
    <m/>
    <m/>
    <m/>
    <m/>
    <m/>
    <m/>
    <m/>
    <m/>
    <m/>
    <m/>
    <m/>
  </r>
  <r>
    <n v="742"/>
    <d v="2025-04-15T00:00:00"/>
    <x v="0"/>
    <n v="9518694209"/>
    <n v="11"/>
    <s v="9518694209-11"/>
    <s v="May'25"/>
    <x v="0"/>
    <m/>
    <x v="1"/>
    <x v="1"/>
    <x v="0"/>
    <m/>
    <x v="1"/>
    <m/>
    <m/>
    <m/>
    <m/>
    <s v="LONI"/>
    <x v="2"/>
    <x v="49"/>
    <x v="48"/>
    <x v="175"/>
    <s v="CRCA COIL TATCRC TR15 0.6X1250"/>
    <s v=" "/>
    <s v=""/>
    <n v="10"/>
    <n v="30"/>
    <m/>
    <x v="1"/>
    <x v="1"/>
    <s v="TR15"/>
    <x v="20"/>
    <x v="0"/>
    <x v="0"/>
    <n v="29"/>
    <n v="0"/>
    <n v="29"/>
    <n v="29"/>
    <n v="1.620000000000001"/>
    <n v="29"/>
    <n v="0"/>
    <n v="0"/>
    <n v="0"/>
    <n v="0"/>
    <n v="0"/>
    <n v="0"/>
    <n v="0"/>
    <n v="0"/>
    <n v="0"/>
    <n v="0"/>
    <n v="0"/>
    <n v="0"/>
    <n v="0"/>
    <n v="27.38"/>
    <n v="0"/>
    <n v="0"/>
    <n v="0"/>
    <n v="0"/>
    <n v="0"/>
    <n v="27.38"/>
    <n v="27.38"/>
    <n v="0"/>
    <n v="27.38"/>
    <m/>
    <n v="0"/>
    <n v="29"/>
    <n v="29"/>
    <n v="0"/>
    <n v="0"/>
    <n v="0"/>
    <n v="0"/>
    <n v="29"/>
    <n v="0"/>
    <n v="29"/>
    <n v="0"/>
    <n v="0"/>
    <n v="0"/>
    <n v="0"/>
    <m/>
    <m/>
    <m/>
    <m/>
    <m/>
    <m/>
    <m/>
    <m/>
    <m/>
    <m/>
    <m/>
    <m/>
    <m/>
    <m/>
    <m/>
    <m/>
    <m/>
    <m/>
    <m/>
    <m/>
    <m/>
    <m/>
    <m/>
    <m/>
    <m/>
    <m/>
    <m/>
    <m/>
    <m/>
    <m/>
    <m/>
    <m/>
    <m/>
    <m/>
  </r>
  <r>
    <n v="744"/>
    <d v="2025-04-15T00:00:00"/>
    <x v="0"/>
    <n v="9518695380"/>
    <n v="1"/>
    <s v="9518695380-1"/>
    <s v="May'25"/>
    <x v="0"/>
    <m/>
    <x v="2"/>
    <x v="3"/>
    <x v="2"/>
    <m/>
    <x v="1"/>
    <m/>
    <m/>
    <m/>
    <m/>
    <s v="TAMILNADU"/>
    <x v="2"/>
    <x v="52"/>
    <x v="6"/>
    <x v="481"/>
    <s v="PPGL C HARD Y550PL DX04 0.530X1220"/>
    <s v="AZ150"/>
    <s v="RAL 9010 TSL 2007"/>
    <n v="3"/>
    <n v="5"/>
    <m/>
    <x v="3"/>
    <x v="3"/>
    <s v="DX04"/>
    <x v="34"/>
    <x v="1"/>
    <x v="0"/>
    <n v="28"/>
    <n v="0"/>
    <n v="28"/>
    <n v="28"/>
    <n v="0.18999999999999773"/>
    <n v="28"/>
    <n v="0"/>
    <n v="0"/>
    <n v="0"/>
    <n v="0"/>
    <n v="0"/>
    <n v="0"/>
    <n v="0"/>
    <n v="0"/>
    <n v="0"/>
    <n v="27.810000000000002"/>
    <n v="0"/>
    <n v="0"/>
    <n v="0"/>
    <n v="0"/>
    <n v="0"/>
    <n v="0"/>
    <n v="0"/>
    <n v="0"/>
    <n v="0"/>
    <n v="27.810000000000002"/>
    <n v="27.810000000000002"/>
    <n v="0"/>
    <n v="27.810000000000002"/>
    <m/>
    <n v="0"/>
    <n v="28"/>
    <n v="28"/>
    <n v="0"/>
    <n v="0"/>
    <n v="0"/>
    <n v="0"/>
    <n v="28"/>
    <n v="0"/>
    <n v="28"/>
    <n v="0"/>
    <n v="0"/>
    <n v="0"/>
    <n v="0"/>
    <m/>
    <m/>
    <m/>
    <m/>
    <m/>
    <m/>
    <m/>
    <m/>
    <m/>
    <m/>
    <m/>
    <m/>
    <m/>
    <m/>
    <m/>
    <m/>
    <m/>
    <m/>
    <m/>
    <m/>
    <m/>
    <m/>
    <m/>
    <m/>
    <m/>
    <m/>
    <m/>
    <m/>
    <m/>
    <m/>
    <m/>
    <m/>
    <m/>
    <m/>
  </r>
  <r>
    <n v="744"/>
    <d v="2025-04-15T00:00:00"/>
    <x v="0"/>
    <n v="9518695418"/>
    <n v="1"/>
    <s v="9518695418-1"/>
    <s v="May'25"/>
    <x v="0"/>
    <m/>
    <x v="2"/>
    <x v="3"/>
    <x v="2"/>
    <m/>
    <x v="1"/>
    <m/>
    <m/>
    <m/>
    <m/>
    <s v="GAMHARIA"/>
    <x v="2"/>
    <x v="15"/>
    <x v="15"/>
    <x v="482"/>
    <s v="PPGL C HARD Y550PL DX04 0.630X1220"/>
    <s v="AZ150"/>
    <s v="RAL 5012 TSL 2002"/>
    <n v="3"/>
    <n v="5"/>
    <m/>
    <x v="3"/>
    <x v="3"/>
    <s v="DX04"/>
    <x v="26"/>
    <x v="1"/>
    <x v="0"/>
    <n v="280"/>
    <n v="0"/>
    <n v="280"/>
    <n v="280"/>
    <n v="280"/>
    <n v="280"/>
    <n v="0"/>
    <n v="0"/>
    <n v="0"/>
    <n v="0"/>
    <n v="0"/>
    <n v="0"/>
    <n v="0"/>
    <n v="0"/>
    <n v="0"/>
    <n v="0"/>
    <n v="0"/>
    <n v="0"/>
    <n v="0"/>
    <n v="0"/>
    <n v="0"/>
    <n v="0"/>
    <n v="0"/>
    <n v="0"/>
    <n v="0"/>
    <n v="0"/>
    <n v="0"/>
    <n v="0"/>
    <n v="0"/>
    <m/>
    <n v="0"/>
    <n v="280"/>
    <n v="0"/>
    <n v="280"/>
    <n v="0"/>
    <n v="0"/>
    <n v="0"/>
    <n v="280"/>
    <n v="0"/>
    <n v="0"/>
    <n v="280"/>
    <n v="0"/>
    <n v="0"/>
    <n v="0"/>
    <m/>
    <m/>
    <m/>
    <m/>
    <m/>
    <m/>
    <m/>
    <m/>
    <m/>
    <m/>
    <m/>
    <m/>
    <m/>
    <m/>
    <m/>
    <m/>
    <m/>
    <m/>
    <m/>
    <m/>
    <m/>
    <m/>
    <m/>
    <m/>
    <m/>
    <m/>
    <m/>
    <m/>
    <m/>
    <m/>
    <m/>
    <m/>
    <m/>
    <m/>
  </r>
  <r>
    <n v="744"/>
    <d v="2025-04-15T00:00:00"/>
    <x v="0"/>
    <n v="9518695418"/>
    <n v="2"/>
    <s v="9518695418-2"/>
    <s v="May'25"/>
    <x v="0"/>
    <m/>
    <x v="2"/>
    <x v="3"/>
    <x v="2"/>
    <m/>
    <x v="1"/>
    <m/>
    <m/>
    <m/>
    <m/>
    <s v="GAMHARIA"/>
    <x v="2"/>
    <x v="15"/>
    <x v="15"/>
    <x v="482"/>
    <s v="PPGL C HARD Y550PL DX04 0.630X1220"/>
    <s v="AZ150"/>
    <s v="RAL 5012 TSL 2002"/>
    <n v="3"/>
    <n v="5"/>
    <m/>
    <x v="3"/>
    <x v="3"/>
    <s v="DX04"/>
    <x v="26"/>
    <x v="1"/>
    <x v="0"/>
    <n v="112"/>
    <n v="0"/>
    <n v="112"/>
    <n v="112"/>
    <n v="112"/>
    <n v="112"/>
    <n v="0"/>
    <n v="0"/>
    <n v="0"/>
    <n v="0"/>
    <n v="0"/>
    <n v="0"/>
    <n v="0"/>
    <n v="0"/>
    <n v="0"/>
    <n v="0"/>
    <n v="0"/>
    <n v="0"/>
    <n v="0"/>
    <n v="0"/>
    <n v="0"/>
    <n v="0"/>
    <n v="0"/>
    <n v="0"/>
    <n v="0"/>
    <n v="0"/>
    <n v="0"/>
    <n v="0"/>
    <n v="0"/>
    <m/>
    <n v="0"/>
    <n v="112"/>
    <n v="0"/>
    <n v="0"/>
    <n v="112"/>
    <n v="0"/>
    <n v="0"/>
    <n v="112"/>
    <n v="0"/>
    <n v="0"/>
    <n v="0"/>
    <n v="112"/>
    <n v="0"/>
    <n v="0"/>
    <m/>
    <m/>
    <m/>
    <m/>
    <m/>
    <m/>
    <m/>
    <m/>
    <m/>
    <m/>
    <m/>
    <m/>
    <m/>
    <m/>
    <m/>
    <m/>
    <m/>
    <m/>
    <m/>
    <m/>
    <m/>
    <m/>
    <m/>
    <m/>
    <m/>
    <m/>
    <m/>
    <m/>
    <m/>
    <m/>
    <m/>
    <m/>
    <m/>
    <m/>
  </r>
  <r>
    <n v="742"/>
    <d v="2025-04-15T00:00:00"/>
    <x v="0"/>
    <n v="9518694941"/>
    <n v="5"/>
    <s v="9518694941-5"/>
    <s v="No Priority"/>
    <x v="0"/>
    <m/>
    <x v="1"/>
    <x v="10"/>
    <x v="2"/>
    <m/>
    <x v="0"/>
    <m/>
    <s v="Deprioritized after SPA's instruction"/>
    <m/>
    <m/>
    <s v="PATTANCHERY"/>
    <x v="2"/>
    <x v="114"/>
    <x v="120"/>
    <x v="483"/>
    <s v="CR COIL TATXXD BT04 0.450X848"/>
    <s v=" "/>
    <s v=""/>
    <n v="4"/>
    <n v="7"/>
    <m/>
    <x v="1"/>
    <x v="2"/>
    <s v="BT04"/>
    <x v="10"/>
    <x v="35"/>
    <x v="0"/>
    <n v="200"/>
    <n v="0"/>
    <n v="200"/>
    <n v="200"/>
    <n v="200"/>
    <n v="200"/>
    <n v="0"/>
    <n v="0"/>
    <n v="0"/>
    <n v="0"/>
    <n v="0"/>
    <n v="0"/>
    <n v="0"/>
    <n v="0"/>
    <n v="0"/>
    <n v="0"/>
    <n v="0"/>
    <n v="0"/>
    <n v="0"/>
    <n v="0"/>
    <n v="0"/>
    <n v="0"/>
    <n v="0"/>
    <n v="0"/>
    <n v="0"/>
    <n v="0"/>
    <n v="0"/>
    <n v="0"/>
    <n v="0"/>
    <m/>
    <n v="0"/>
    <n v="0"/>
    <n v="0"/>
    <n v="0"/>
    <n v="0"/>
    <n v="0"/>
    <n v="0"/>
    <n v="0"/>
    <n v="0"/>
    <n v="0"/>
    <n v="0"/>
    <n v="0"/>
    <n v="0"/>
    <n v="0"/>
    <m/>
    <m/>
    <m/>
    <m/>
    <m/>
    <m/>
    <m/>
    <m/>
    <m/>
    <m/>
    <m/>
    <m/>
    <m/>
    <m/>
    <m/>
    <m/>
    <m/>
    <m/>
    <m/>
    <m/>
    <m/>
    <m/>
    <m/>
    <m/>
    <m/>
    <m/>
    <m/>
    <m/>
    <m/>
    <m/>
    <m/>
    <m/>
    <m/>
    <m/>
  </r>
  <r>
    <n v="742"/>
    <d v="2025-04-10T00:00:00"/>
    <x v="0"/>
    <n v="9518682481"/>
    <n v="6"/>
    <s v="9518682481-6"/>
    <s v="No Priority"/>
    <x v="0"/>
    <m/>
    <x v="1"/>
    <x v="1"/>
    <x v="0"/>
    <m/>
    <x v="0"/>
    <m/>
    <m/>
    <m/>
    <m/>
    <s v="YESHWANTHPURA"/>
    <x v="2"/>
    <x v="34"/>
    <x v="34"/>
    <x v="285"/>
    <s v="CRSHEET TATXXD AU03 1.50X1250X2500"/>
    <s v=" "/>
    <s v=""/>
    <n v="2"/>
    <n v="3"/>
    <m/>
    <x v="2"/>
    <x v="2"/>
    <s v="AU03"/>
    <x v="27"/>
    <x v="0"/>
    <x v="3"/>
    <n v="102"/>
    <n v="0"/>
    <n v="102"/>
    <n v="102"/>
    <n v="102"/>
    <n v="102"/>
    <n v="0"/>
    <n v="0"/>
    <n v="0"/>
    <n v="0"/>
    <n v="0"/>
    <n v="0"/>
    <n v="0"/>
    <n v="0"/>
    <n v="0"/>
    <n v="0"/>
    <n v="0"/>
    <n v="0"/>
    <n v="0"/>
    <n v="0"/>
    <n v="0"/>
    <n v="0"/>
    <n v="0"/>
    <n v="0"/>
    <n v="0"/>
    <n v="0"/>
    <n v="0"/>
    <n v="0"/>
    <n v="0"/>
    <m/>
    <n v="0"/>
    <n v="0"/>
    <n v="0"/>
    <n v="0"/>
    <n v="0"/>
    <n v="0"/>
    <n v="0"/>
    <n v="0"/>
    <n v="0"/>
    <n v="0"/>
    <n v="0"/>
    <n v="0"/>
    <n v="0"/>
    <n v="0"/>
    <m/>
    <m/>
    <m/>
    <m/>
    <m/>
    <m/>
    <m/>
    <m/>
    <m/>
    <m/>
    <m/>
    <m/>
    <m/>
    <m/>
    <m/>
    <m/>
    <m/>
    <m/>
    <m/>
    <m/>
    <m/>
    <m/>
    <m/>
    <m/>
    <m/>
    <m/>
    <m/>
    <m/>
    <m/>
    <m/>
    <m/>
    <m/>
    <m/>
    <m/>
  </r>
  <r>
    <n v="742"/>
    <d v="2025-04-15T00:00:00"/>
    <x v="0"/>
    <n v="9518694613"/>
    <n v="6"/>
    <s v="9518694613-6"/>
    <s v="May'25"/>
    <x v="0"/>
    <m/>
    <x v="1"/>
    <x v="2"/>
    <x v="0"/>
    <m/>
    <x v="1"/>
    <m/>
    <m/>
    <m/>
    <s v="East"/>
    <s v=" "/>
    <x v="2"/>
    <x v="10"/>
    <x v="10"/>
    <x v="54"/>
    <s v="CRCA SHEET TSBCRC SR15 0.500X1000X2500"/>
    <s v=" "/>
    <s v=""/>
    <n v="2.5"/>
    <n v="3.2"/>
    <m/>
    <x v="2"/>
    <x v="4"/>
    <s v="SR15"/>
    <x v="1"/>
    <x v="2"/>
    <x v="3"/>
    <n v="42"/>
    <n v="0"/>
    <n v="42"/>
    <n v="42"/>
    <n v="-1.5500000000000043"/>
    <n v="42"/>
    <n v="0"/>
    <n v="0"/>
    <n v="0"/>
    <n v="0"/>
    <n v="0"/>
    <n v="0"/>
    <n v="0"/>
    <n v="0"/>
    <n v="0"/>
    <n v="0"/>
    <n v="0"/>
    <n v="0"/>
    <n v="0"/>
    <n v="43.550000000000004"/>
    <n v="0"/>
    <n v="0"/>
    <n v="0"/>
    <n v="0"/>
    <n v="0"/>
    <n v="43.550000000000004"/>
    <n v="43.550000000000004"/>
    <n v="0"/>
    <n v="43.550000000000004"/>
    <m/>
    <n v="0"/>
    <n v="42"/>
    <n v="0"/>
    <n v="42"/>
    <n v="0"/>
    <n v="0"/>
    <n v="0"/>
    <n v="42"/>
    <n v="0"/>
    <n v="0"/>
    <n v="42"/>
    <n v="0"/>
    <n v="0"/>
    <n v="0"/>
    <m/>
    <m/>
    <m/>
    <m/>
    <m/>
    <m/>
    <m/>
    <m/>
    <m/>
    <m/>
    <m/>
    <m/>
    <m/>
    <m/>
    <m/>
    <m/>
    <m/>
    <m/>
    <m/>
    <m/>
    <m/>
    <m/>
    <m/>
    <m/>
    <m/>
    <m/>
    <m/>
    <m/>
    <m/>
    <m/>
    <m/>
    <m/>
    <m/>
    <m/>
  </r>
  <r>
    <n v="742"/>
    <d v="2025-04-10T00:00:00"/>
    <x v="0"/>
    <n v="9518681889"/>
    <n v="1"/>
    <s v="9518681889-1"/>
    <s v="May'25"/>
    <x v="0"/>
    <m/>
    <x v="1"/>
    <x v="1"/>
    <x v="0"/>
    <m/>
    <x v="1"/>
    <m/>
    <m/>
    <m/>
    <m/>
    <s v="YESHWANTHPURA"/>
    <x v="2"/>
    <x v="34"/>
    <x v="34"/>
    <x v="484"/>
    <s v="CRCA SHEET TATXXD AU03 0.350X1250X2500"/>
    <s v=" "/>
    <s v=""/>
    <n v="0"/>
    <n v="0"/>
    <m/>
    <x v="2"/>
    <x v="2"/>
    <s v="AU03"/>
    <x v="6"/>
    <x v="0"/>
    <x v="3"/>
    <n v="51"/>
    <n v="0"/>
    <n v="51"/>
    <n v="13.79"/>
    <n v="26.614999999999998"/>
    <n v="38.344999999999999"/>
    <n v="0"/>
    <n v="0"/>
    <n v="0"/>
    <n v="0"/>
    <n v="0"/>
    <n v="0"/>
    <n v="0"/>
    <n v="0"/>
    <n v="24.385000000000002"/>
    <n v="0"/>
    <n v="0"/>
    <n v="0"/>
    <n v="0"/>
    <n v="0"/>
    <n v="0"/>
    <n v="0"/>
    <n v="0"/>
    <n v="0"/>
    <n v="0"/>
    <n v="24.385000000000002"/>
    <n v="24.385000000000002"/>
    <n v="0"/>
    <n v="24.385000000000002"/>
    <m/>
    <n v="0"/>
    <n v="38.344999999999999"/>
    <n v="0"/>
    <n v="38.344999999999999"/>
    <n v="0"/>
    <n v="0"/>
    <n v="0"/>
    <n v="38.344999999999999"/>
    <n v="0"/>
    <n v="0"/>
    <n v="38.344999999999999"/>
    <n v="0"/>
    <n v="0"/>
    <n v="0"/>
    <m/>
    <m/>
    <m/>
    <m/>
    <m/>
    <m/>
    <m/>
    <m/>
    <m/>
    <m/>
    <m/>
    <m/>
    <m/>
    <m/>
    <m/>
    <m/>
    <m/>
    <m/>
    <m/>
    <m/>
    <m/>
    <m/>
    <m/>
    <m/>
    <m/>
    <m/>
    <m/>
    <m/>
    <m/>
    <m/>
    <m/>
    <m/>
    <m/>
    <m/>
  </r>
  <r>
    <n v="744"/>
    <d v="2025-04-22T00:00:00"/>
    <x v="0"/>
    <n v="9518711420"/>
    <n v="2"/>
    <s v="9518711420-2"/>
    <s v="May'25"/>
    <x v="0"/>
    <m/>
    <x v="2"/>
    <x v="3"/>
    <x v="2"/>
    <m/>
    <x v="1"/>
    <m/>
    <m/>
    <m/>
    <m/>
    <s v="TAMILNADU"/>
    <x v="2"/>
    <x v="52"/>
    <x v="6"/>
    <x v="255"/>
    <s v="PPGL C HARD Y550PL HPL6 0.400X1220"/>
    <s v="AZ150"/>
    <s v="NUVO BLUE TSL 1903"/>
    <n v="3"/>
    <n v="5"/>
    <m/>
    <x v="3"/>
    <x v="3"/>
    <s v="HPL6"/>
    <x v="2"/>
    <x v="1"/>
    <x v="0"/>
    <n v="140"/>
    <n v="0"/>
    <n v="140"/>
    <n v="140"/>
    <n v="140"/>
    <n v="140"/>
    <n v="0"/>
    <n v="0"/>
    <n v="0"/>
    <n v="0"/>
    <n v="0"/>
    <n v="0"/>
    <n v="0"/>
    <n v="0"/>
    <n v="0"/>
    <n v="0"/>
    <n v="0"/>
    <n v="0"/>
    <n v="0"/>
    <n v="0"/>
    <n v="0"/>
    <n v="0"/>
    <n v="0"/>
    <n v="0"/>
    <n v="0"/>
    <n v="0"/>
    <n v="0"/>
    <n v="0"/>
    <n v="0"/>
    <m/>
    <n v="0"/>
    <n v="140"/>
    <n v="0"/>
    <n v="140"/>
    <n v="0"/>
    <n v="0"/>
    <n v="0"/>
    <n v="140"/>
    <n v="0"/>
    <n v="0"/>
    <n v="140"/>
    <n v="0"/>
    <n v="0"/>
    <n v="0"/>
    <m/>
    <m/>
    <m/>
    <m/>
    <m/>
    <m/>
    <m/>
    <m/>
    <m/>
    <m/>
    <m/>
    <m/>
    <m/>
    <m/>
    <m/>
    <m/>
    <m/>
    <m/>
    <m/>
    <m/>
    <m/>
    <m/>
    <m/>
    <m/>
    <m/>
    <m/>
    <m/>
    <m/>
    <m/>
    <m/>
    <m/>
    <m/>
    <m/>
    <m/>
  </r>
  <r>
    <n v="744"/>
    <d v="2025-04-22T00:00:00"/>
    <x v="0"/>
    <n v="9518711241"/>
    <n v="4"/>
    <s v="9518711241-4"/>
    <s v="May'25"/>
    <x v="0"/>
    <s v="Yes"/>
    <x v="2"/>
    <x v="3"/>
    <x v="2"/>
    <m/>
    <x v="1"/>
    <m/>
    <m/>
    <m/>
    <m/>
    <s v="GAMHARIA"/>
    <x v="2"/>
    <x v="15"/>
    <x v="15"/>
    <x v="192"/>
    <s v="PPGL C Y550 D0C7 0.43BMT(0.47TPT)X1220"/>
    <s v="aZ70"/>
    <s v="NUVO BLUE TSL 1903"/>
    <n v="3"/>
    <n v="5"/>
    <m/>
    <x v="3"/>
    <x v="3"/>
    <s v="D0C7"/>
    <x v="25"/>
    <x v="1"/>
    <x v="0"/>
    <n v="84"/>
    <n v="0"/>
    <n v="84"/>
    <n v="84"/>
    <n v="84"/>
    <n v="84"/>
    <n v="0"/>
    <n v="0"/>
    <n v="0"/>
    <n v="0"/>
    <n v="0"/>
    <n v="0"/>
    <n v="0"/>
    <n v="0"/>
    <n v="0"/>
    <n v="0"/>
    <n v="0"/>
    <n v="0"/>
    <n v="0"/>
    <n v="0"/>
    <n v="0"/>
    <n v="0"/>
    <n v="0"/>
    <n v="0"/>
    <n v="0"/>
    <n v="0"/>
    <n v="0"/>
    <n v="0"/>
    <n v="0"/>
    <m/>
    <n v="0"/>
    <n v="84"/>
    <n v="0"/>
    <n v="0"/>
    <n v="0"/>
    <n v="84"/>
    <n v="0"/>
    <n v="84"/>
    <n v="0"/>
    <n v="0"/>
    <n v="0"/>
    <n v="0"/>
    <n v="84"/>
    <n v="0"/>
    <m/>
    <m/>
    <m/>
    <m/>
    <m/>
    <m/>
    <m/>
    <m/>
    <m/>
    <m/>
    <m/>
    <m/>
    <m/>
    <m/>
    <m/>
    <m/>
    <m/>
    <m/>
    <m/>
    <m/>
    <m/>
    <m/>
    <m/>
    <m/>
    <m/>
    <m/>
    <m/>
    <m/>
    <m/>
    <m/>
    <m/>
    <m/>
    <m/>
    <m/>
  </r>
  <r>
    <n v="744"/>
    <d v="2025-04-22T00:00:00"/>
    <x v="0"/>
    <n v="9518711241"/>
    <n v="5"/>
    <s v="9518711241-5"/>
    <s v="May'25"/>
    <x v="0"/>
    <s v="Yes"/>
    <x v="2"/>
    <x v="3"/>
    <x v="2"/>
    <m/>
    <x v="1"/>
    <m/>
    <m/>
    <m/>
    <m/>
    <s v="GAMHARIA"/>
    <x v="2"/>
    <x v="15"/>
    <x v="15"/>
    <x v="192"/>
    <s v="PPGL C Y550 D0C7 0.43BMT(0.47TPT)X1220"/>
    <s v="aZ70"/>
    <s v="CASTLE RED TSL 1904"/>
    <n v="3"/>
    <n v="5"/>
    <m/>
    <x v="3"/>
    <x v="3"/>
    <s v="D0C7"/>
    <x v="25"/>
    <x v="1"/>
    <x v="0"/>
    <n v="56"/>
    <n v="0"/>
    <n v="56"/>
    <n v="56"/>
    <n v="56"/>
    <n v="51.755000000000003"/>
    <n v="0"/>
    <n v="0"/>
    <n v="0"/>
    <n v="0"/>
    <n v="0"/>
    <n v="0"/>
    <n v="0"/>
    <n v="0"/>
    <n v="0"/>
    <n v="0"/>
    <n v="0"/>
    <n v="0"/>
    <n v="0"/>
    <n v="0"/>
    <n v="0"/>
    <n v="0"/>
    <n v="0"/>
    <n v="0"/>
    <n v="0"/>
    <n v="0"/>
    <n v="0"/>
    <n v="0"/>
    <n v="0"/>
    <m/>
    <n v="4.2450000000000001"/>
    <n v="51.755000000000003"/>
    <n v="0"/>
    <n v="0"/>
    <n v="0"/>
    <n v="0"/>
    <n v="51.755000000000003"/>
    <n v="56"/>
    <n v="0"/>
    <n v="0"/>
    <n v="0"/>
    <n v="0"/>
    <n v="56"/>
    <n v="0"/>
    <m/>
    <m/>
    <m/>
    <m/>
    <m/>
    <m/>
    <m/>
    <m/>
    <m/>
    <m/>
    <m/>
    <m/>
    <m/>
    <m/>
    <m/>
    <m/>
    <m/>
    <m/>
    <m/>
    <m/>
    <m/>
    <m/>
    <m/>
    <m/>
    <m/>
    <m/>
    <m/>
    <m/>
    <m/>
    <m/>
    <m/>
    <m/>
    <m/>
    <m/>
  </r>
  <r>
    <n v="744"/>
    <d v="2025-04-22T00:00:00"/>
    <x v="0"/>
    <n v="9518712059"/>
    <n v="1"/>
    <s v="9518712059-1"/>
    <s v="May'25"/>
    <x v="0"/>
    <m/>
    <x v="2"/>
    <x v="3"/>
    <x v="2"/>
    <m/>
    <x v="1"/>
    <m/>
    <m/>
    <m/>
    <m/>
    <s v=" "/>
    <x v="2"/>
    <x v="6"/>
    <x v="6"/>
    <x v="84"/>
    <s v="PPGL C HARD Y550PL D0C9 0.50(TPT)X1220"/>
    <s v="AZ150"/>
    <s v="RAL 9002 TSL 1801"/>
    <n v="3"/>
    <n v="5"/>
    <m/>
    <x v="3"/>
    <x v="3"/>
    <s v="D0C9"/>
    <x v="1"/>
    <x v="1"/>
    <x v="0"/>
    <n v="280"/>
    <n v="0"/>
    <n v="280"/>
    <n v="280"/>
    <n v="280"/>
    <n v="280"/>
    <n v="0"/>
    <n v="0"/>
    <n v="0"/>
    <n v="0"/>
    <n v="0"/>
    <n v="0"/>
    <n v="0"/>
    <n v="0"/>
    <n v="0"/>
    <n v="0"/>
    <n v="0"/>
    <n v="0"/>
    <n v="0"/>
    <n v="0"/>
    <n v="0"/>
    <n v="0"/>
    <n v="0"/>
    <n v="0"/>
    <n v="0"/>
    <n v="0"/>
    <n v="0"/>
    <n v="0"/>
    <n v="0"/>
    <m/>
    <n v="0"/>
    <n v="0"/>
    <n v="0"/>
    <n v="0"/>
    <n v="0"/>
    <n v="0"/>
    <n v="0"/>
    <n v="0"/>
    <n v="0"/>
    <n v="0"/>
    <n v="0"/>
    <n v="0"/>
    <n v="0"/>
    <n v="0"/>
    <m/>
    <m/>
    <m/>
    <m/>
    <m/>
    <m/>
    <m/>
    <m/>
    <m/>
    <m/>
    <m/>
    <m/>
    <m/>
    <m/>
    <m/>
    <m/>
    <m/>
    <m/>
    <m/>
    <m/>
    <m/>
    <m/>
    <m/>
    <m/>
    <m/>
    <m/>
    <m/>
    <m/>
    <m/>
    <m/>
    <m/>
    <m/>
    <m/>
    <m/>
  </r>
  <r>
    <n v="744"/>
    <d v="2025-04-22T00:00:00"/>
    <x v="0"/>
    <n v="9518712059"/>
    <n v="3"/>
    <s v="9518712059-3"/>
    <s v="May'25"/>
    <x v="0"/>
    <m/>
    <x v="2"/>
    <x v="3"/>
    <x v="2"/>
    <m/>
    <x v="1"/>
    <m/>
    <m/>
    <m/>
    <m/>
    <s v=" "/>
    <x v="2"/>
    <x v="6"/>
    <x v="6"/>
    <x v="84"/>
    <s v="PPGL C HARD Y550PL D0C9 0.50(TPT)X1220"/>
    <s v="AZ150"/>
    <s v="RAL 7024 TSL 1806"/>
    <n v="3"/>
    <n v="5"/>
    <m/>
    <x v="3"/>
    <x v="3"/>
    <s v="D0C9"/>
    <x v="1"/>
    <x v="1"/>
    <x v="0"/>
    <n v="56"/>
    <n v="0"/>
    <n v="56"/>
    <n v="56"/>
    <n v="56"/>
    <n v="56"/>
    <n v="0"/>
    <n v="0"/>
    <n v="0"/>
    <n v="0"/>
    <n v="0"/>
    <n v="0"/>
    <n v="0"/>
    <n v="0"/>
    <n v="0"/>
    <n v="0"/>
    <n v="0"/>
    <n v="0"/>
    <n v="0"/>
    <n v="0"/>
    <n v="0"/>
    <n v="0"/>
    <n v="0"/>
    <n v="0"/>
    <n v="0"/>
    <n v="0"/>
    <n v="0"/>
    <n v="0"/>
    <n v="0"/>
    <m/>
    <n v="0"/>
    <n v="0"/>
    <n v="0"/>
    <n v="0"/>
    <n v="0"/>
    <n v="0"/>
    <n v="0"/>
    <n v="0"/>
    <n v="0"/>
    <n v="0"/>
    <n v="0"/>
    <n v="0"/>
    <n v="0"/>
    <n v="0"/>
    <m/>
    <m/>
    <m/>
    <m/>
    <m/>
    <m/>
    <m/>
    <m/>
    <m/>
    <m/>
    <m/>
    <m/>
    <m/>
    <m/>
    <m/>
    <m/>
    <m/>
    <m/>
    <m/>
    <m/>
    <m/>
    <m/>
    <m/>
    <m/>
    <m/>
    <m/>
    <m/>
    <m/>
    <m/>
    <m/>
    <m/>
    <m/>
    <m/>
    <m/>
  </r>
  <r>
    <n v="744"/>
    <d v="2025-04-22T00:00:00"/>
    <x v="0"/>
    <n v="9518711241"/>
    <n v="1"/>
    <s v="9518711241-1"/>
    <s v="No Priority"/>
    <x v="0"/>
    <s v="Yes"/>
    <x v="2"/>
    <x v="3"/>
    <x v="2"/>
    <m/>
    <x v="0"/>
    <m/>
    <m/>
    <m/>
    <m/>
    <s v="GAMHARIA"/>
    <x v="2"/>
    <x v="15"/>
    <x v="15"/>
    <x v="192"/>
    <s v="PPGL C Y550 D0C7 0.43BMT(0.47TPT)X1220"/>
    <s v="aZ70"/>
    <s v="NUVO BLUE TSL 1903"/>
    <n v="3"/>
    <n v="5"/>
    <m/>
    <x v="3"/>
    <x v="3"/>
    <s v="D0C7"/>
    <x v="25"/>
    <x v="1"/>
    <x v="0"/>
    <n v="280"/>
    <n v="0"/>
    <n v="280"/>
    <n v="280"/>
    <n v="280"/>
    <n v="280"/>
    <n v="0"/>
    <n v="0"/>
    <n v="0"/>
    <n v="0"/>
    <n v="0"/>
    <n v="0"/>
    <n v="0"/>
    <n v="0"/>
    <n v="0"/>
    <n v="0"/>
    <n v="0"/>
    <n v="0"/>
    <n v="0"/>
    <n v="0"/>
    <n v="0"/>
    <n v="0"/>
    <n v="0"/>
    <n v="0"/>
    <n v="0"/>
    <n v="0"/>
    <n v="0"/>
    <n v="0"/>
    <n v="0"/>
    <m/>
    <n v="0"/>
    <n v="0"/>
    <n v="0"/>
    <n v="0"/>
    <n v="0"/>
    <n v="0"/>
    <n v="0"/>
    <n v="0"/>
    <n v="0"/>
    <n v="0"/>
    <n v="0"/>
    <n v="0"/>
    <n v="0"/>
    <n v="0"/>
    <m/>
    <m/>
    <m/>
    <m/>
    <m/>
    <m/>
    <m/>
    <m/>
    <m/>
    <m/>
    <m/>
    <m/>
    <m/>
    <m/>
    <m/>
    <m/>
    <m/>
    <m/>
    <m/>
    <m/>
    <m/>
    <m/>
    <m/>
    <m/>
    <m/>
    <m/>
    <m/>
    <m/>
    <m/>
    <m/>
    <m/>
    <m/>
    <m/>
    <m/>
  </r>
  <r>
    <n v="744"/>
    <d v="2025-04-22T00:00:00"/>
    <x v="0"/>
    <n v="9518711241"/>
    <n v="6"/>
    <s v="9518711241-6"/>
    <s v="May'25"/>
    <x v="0"/>
    <s v="Yes"/>
    <x v="2"/>
    <x v="3"/>
    <x v="2"/>
    <m/>
    <x v="1"/>
    <m/>
    <m/>
    <m/>
    <m/>
    <s v="GAMHARIA"/>
    <x v="2"/>
    <x v="15"/>
    <x v="15"/>
    <x v="192"/>
    <s v="PPGL C Y550 D0C7 0.43BMT(0.47TPT)X1220"/>
    <s v="aZ70"/>
    <s v="ASIAN WHITE TSL 1901"/>
    <n v="3"/>
    <n v="5"/>
    <m/>
    <x v="3"/>
    <x v="3"/>
    <s v="D0C7"/>
    <x v="25"/>
    <x v="1"/>
    <x v="0"/>
    <n v="28"/>
    <n v="0"/>
    <n v="28"/>
    <n v="28"/>
    <n v="28"/>
    <n v="28"/>
    <n v="0"/>
    <n v="0"/>
    <n v="0"/>
    <n v="0"/>
    <n v="0"/>
    <n v="0"/>
    <n v="0"/>
    <n v="0"/>
    <n v="0"/>
    <n v="0"/>
    <n v="0"/>
    <n v="0"/>
    <n v="0"/>
    <n v="0"/>
    <n v="0"/>
    <n v="0"/>
    <n v="0"/>
    <n v="0"/>
    <n v="0"/>
    <n v="0"/>
    <n v="0"/>
    <n v="0"/>
    <n v="0"/>
    <m/>
    <n v="0"/>
    <n v="28"/>
    <n v="0"/>
    <n v="0"/>
    <n v="0"/>
    <n v="0"/>
    <n v="28"/>
    <n v="0"/>
    <n v="0"/>
    <n v="0"/>
    <n v="0"/>
    <n v="0"/>
    <n v="0"/>
    <n v="28"/>
    <m/>
    <m/>
    <m/>
    <m/>
    <m/>
    <m/>
    <m/>
    <m/>
    <m/>
    <m/>
    <m/>
    <m/>
    <m/>
    <m/>
    <m/>
    <m/>
    <m/>
    <m/>
    <m/>
    <m/>
    <m/>
    <m/>
    <m/>
    <m/>
    <m/>
    <m/>
    <m/>
    <m/>
    <m/>
    <m/>
    <m/>
    <m/>
    <m/>
    <m/>
  </r>
  <r>
    <n v="744"/>
    <d v="2025-04-22T00:00:00"/>
    <x v="0"/>
    <n v="9518712059"/>
    <n v="2"/>
    <s v="9518712059-2"/>
    <s v="May'25"/>
    <x v="0"/>
    <m/>
    <x v="2"/>
    <x v="3"/>
    <x v="2"/>
    <m/>
    <x v="1"/>
    <m/>
    <m/>
    <m/>
    <m/>
    <s v=" "/>
    <x v="2"/>
    <x v="6"/>
    <x v="6"/>
    <x v="84"/>
    <s v="PPGL C HARD Y550PL D0C9 0.50(TPT)X1220"/>
    <s v="AZ150"/>
    <s v="RAL 5012 TSL 1802"/>
    <n v="3"/>
    <n v="5"/>
    <m/>
    <x v="3"/>
    <x v="3"/>
    <s v="D0C9"/>
    <x v="1"/>
    <x v="1"/>
    <x v="0"/>
    <n v="112"/>
    <n v="0"/>
    <n v="112"/>
    <n v="112"/>
    <n v="112"/>
    <n v="112"/>
    <n v="0"/>
    <n v="0"/>
    <n v="0"/>
    <n v="0"/>
    <n v="0"/>
    <n v="0"/>
    <n v="0"/>
    <n v="0"/>
    <n v="0"/>
    <n v="0"/>
    <n v="0"/>
    <n v="0"/>
    <n v="0"/>
    <n v="0"/>
    <n v="0"/>
    <n v="0"/>
    <n v="0"/>
    <n v="0"/>
    <n v="0"/>
    <n v="0"/>
    <n v="0"/>
    <n v="0"/>
    <n v="0"/>
    <m/>
    <n v="0"/>
    <n v="0"/>
    <n v="0"/>
    <n v="0"/>
    <n v="0"/>
    <n v="0"/>
    <n v="0"/>
    <n v="0"/>
    <n v="0"/>
    <n v="0"/>
    <n v="0"/>
    <n v="0"/>
    <n v="0"/>
    <n v="0"/>
    <m/>
    <m/>
    <m/>
    <m/>
    <m/>
    <m/>
    <m/>
    <m/>
    <m/>
    <m/>
    <m/>
    <m/>
    <m/>
    <m/>
    <m/>
    <m/>
    <m/>
    <m/>
    <m/>
    <m/>
    <m/>
    <m/>
    <m/>
    <m/>
    <m/>
    <m/>
    <m/>
    <m/>
    <m/>
    <m/>
    <m/>
    <m/>
    <m/>
    <m/>
  </r>
  <r>
    <n v="744"/>
    <d v="2025-04-22T00:00:00"/>
    <x v="0"/>
    <n v="9518711420"/>
    <n v="1"/>
    <s v="9518711420-1"/>
    <s v="May'25"/>
    <x v="0"/>
    <m/>
    <x v="2"/>
    <x v="3"/>
    <x v="2"/>
    <m/>
    <x v="1"/>
    <m/>
    <m/>
    <m/>
    <m/>
    <s v="TAMILNADU"/>
    <x v="2"/>
    <x v="52"/>
    <x v="6"/>
    <x v="255"/>
    <s v="PPGL C HARD Y550PL HPL6 0.400X1220"/>
    <s v="AZ150"/>
    <s v="NUVO BLUE TSL 1903"/>
    <n v="3"/>
    <n v="5"/>
    <m/>
    <x v="3"/>
    <x v="3"/>
    <s v="HPL6"/>
    <x v="2"/>
    <x v="1"/>
    <x v="0"/>
    <n v="280"/>
    <n v="0"/>
    <n v="280"/>
    <n v="280"/>
    <n v="280"/>
    <n v="280"/>
    <n v="0"/>
    <n v="0"/>
    <n v="0"/>
    <n v="0"/>
    <n v="0"/>
    <n v="0"/>
    <n v="0"/>
    <n v="0"/>
    <n v="0"/>
    <n v="0"/>
    <n v="0"/>
    <n v="0"/>
    <n v="0"/>
    <n v="0"/>
    <n v="0"/>
    <n v="0"/>
    <n v="0"/>
    <n v="0"/>
    <n v="0"/>
    <n v="0"/>
    <n v="0"/>
    <n v="0"/>
    <n v="0"/>
    <m/>
    <n v="0"/>
    <n v="280"/>
    <n v="0"/>
    <n v="280"/>
    <n v="0"/>
    <n v="0"/>
    <n v="0"/>
    <n v="280"/>
    <n v="0"/>
    <n v="0"/>
    <n v="280"/>
    <n v="0"/>
    <n v="0"/>
    <n v="0"/>
    <m/>
    <m/>
    <m/>
    <m/>
    <m/>
    <m/>
    <m/>
    <m/>
    <m/>
    <m/>
    <m/>
    <m/>
    <m/>
    <m/>
    <m/>
    <m/>
    <m/>
    <m/>
    <m/>
    <m/>
    <m/>
    <m/>
    <m/>
    <m/>
    <m/>
    <m/>
    <m/>
    <m/>
    <m/>
    <m/>
    <m/>
    <m/>
    <m/>
    <m/>
  </r>
  <r>
    <n v="744"/>
    <d v="2025-04-22T00:00:00"/>
    <x v="0"/>
    <n v="9518711318"/>
    <n v="1"/>
    <s v="9518711318-1"/>
    <s v="Stocks"/>
    <x v="0"/>
    <s v="Yes"/>
    <x v="2"/>
    <x v="3"/>
    <x v="2"/>
    <m/>
    <x v="1"/>
    <m/>
    <m/>
    <m/>
    <m/>
    <s v="GAMHARIA"/>
    <x v="2"/>
    <x v="15"/>
    <x v="15"/>
    <x v="192"/>
    <s v="PPGL C Y550 D0C7 0.43BMT(0.47TPT)X1220"/>
    <s v="aZ70"/>
    <s v="NG SMART GREY TSL 1905"/>
    <n v="3"/>
    <n v="5"/>
    <m/>
    <x v="3"/>
    <x v="3"/>
    <s v="D0C7"/>
    <x v="25"/>
    <x v="1"/>
    <x v="0"/>
    <n v="28"/>
    <n v="0"/>
    <n v="28"/>
    <n v="28"/>
    <n v="28"/>
    <n v="21.465"/>
    <n v="0"/>
    <n v="0"/>
    <n v="0"/>
    <n v="0"/>
    <n v="0"/>
    <n v="0"/>
    <n v="0"/>
    <n v="0"/>
    <n v="0"/>
    <n v="0"/>
    <n v="0"/>
    <n v="0"/>
    <n v="0"/>
    <n v="0"/>
    <n v="0"/>
    <n v="0"/>
    <n v="0"/>
    <n v="0"/>
    <n v="0"/>
    <n v="0"/>
    <n v="0"/>
    <n v="0"/>
    <n v="0"/>
    <m/>
    <n v="6.5350000000000001"/>
    <n v="0"/>
    <n v="0"/>
    <n v="0"/>
    <n v="0"/>
    <n v="0"/>
    <n v="0"/>
    <n v="6.5350000000000001"/>
    <n v="6.5350000000000001"/>
    <n v="0"/>
    <n v="0"/>
    <n v="0"/>
    <n v="0"/>
    <n v="0"/>
    <m/>
    <m/>
    <m/>
    <m/>
    <m/>
    <m/>
    <m/>
    <m/>
    <m/>
    <m/>
    <m/>
    <m/>
    <m/>
    <m/>
    <m/>
    <m/>
    <m/>
    <m/>
    <m/>
    <m/>
    <m/>
    <m/>
    <m/>
    <m/>
    <m/>
    <m/>
    <m/>
    <m/>
    <m/>
    <m/>
    <m/>
    <m/>
    <m/>
    <m/>
  </r>
  <r>
    <n v="744"/>
    <d v="2025-04-22T00:00:00"/>
    <x v="0"/>
    <n v="9518711241"/>
    <n v="2"/>
    <s v="9518711241-2"/>
    <s v="No Priority"/>
    <x v="0"/>
    <s v="Yes"/>
    <x v="2"/>
    <x v="3"/>
    <x v="2"/>
    <m/>
    <x v="0"/>
    <m/>
    <m/>
    <m/>
    <m/>
    <s v="GAMHARIA"/>
    <x v="2"/>
    <x v="15"/>
    <x v="15"/>
    <x v="192"/>
    <s v="PPGL C Y550 D0C7 0.43BMT(0.47TPT)X1220"/>
    <s v="aZ70"/>
    <s v="NUVO BLUE TSL 1903"/>
    <n v="2.57"/>
    <n v="5"/>
    <m/>
    <x v="3"/>
    <x v="3"/>
    <s v="D0C7"/>
    <x v="25"/>
    <x v="1"/>
    <x v="0"/>
    <n v="280"/>
    <n v="0"/>
    <n v="280"/>
    <n v="280"/>
    <n v="280"/>
    <n v="280"/>
    <n v="0"/>
    <n v="0"/>
    <n v="0"/>
    <n v="0"/>
    <n v="0"/>
    <n v="0"/>
    <n v="0"/>
    <n v="0"/>
    <n v="0"/>
    <n v="0"/>
    <n v="0"/>
    <n v="0"/>
    <n v="0"/>
    <n v="0"/>
    <n v="0"/>
    <n v="0"/>
    <n v="0"/>
    <n v="0"/>
    <n v="0"/>
    <n v="0"/>
    <n v="0"/>
    <n v="0"/>
    <n v="0"/>
    <m/>
    <n v="0"/>
    <n v="0"/>
    <n v="0"/>
    <n v="0"/>
    <n v="0"/>
    <n v="0"/>
    <n v="0"/>
    <n v="0"/>
    <n v="0"/>
    <n v="0"/>
    <n v="0"/>
    <n v="0"/>
    <n v="0"/>
    <n v="0"/>
    <m/>
    <m/>
    <m/>
    <m/>
    <m/>
    <m/>
    <m/>
    <m/>
    <m/>
    <m/>
    <m/>
    <m/>
    <m/>
    <m/>
    <m/>
    <m/>
    <m/>
    <m/>
    <m/>
    <m/>
    <m/>
    <m/>
    <m/>
    <m/>
    <m/>
    <m/>
    <m/>
    <m/>
    <m/>
    <m/>
    <m/>
    <m/>
    <m/>
    <m/>
  </r>
  <r>
    <n v="744"/>
    <d v="2025-04-22T00:00:00"/>
    <x v="0"/>
    <n v="9518711241"/>
    <n v="3"/>
    <s v="9518711241-3"/>
    <s v="No Priority"/>
    <x v="0"/>
    <s v="Yes"/>
    <x v="2"/>
    <x v="3"/>
    <x v="2"/>
    <m/>
    <x v="0"/>
    <m/>
    <m/>
    <m/>
    <m/>
    <s v="GAMHARIA"/>
    <x v="2"/>
    <x v="15"/>
    <x v="15"/>
    <x v="192"/>
    <s v="PPGL C Y550 D0C7 0.43BMT(0.47TPT)X1220"/>
    <s v="aZ70"/>
    <s v="NUVO BLUE TSL 1903"/>
    <n v="3"/>
    <n v="5"/>
    <m/>
    <x v="3"/>
    <x v="3"/>
    <s v="D0C7"/>
    <x v="25"/>
    <x v="1"/>
    <x v="0"/>
    <n v="280"/>
    <n v="0"/>
    <n v="280"/>
    <n v="280"/>
    <n v="280"/>
    <n v="280"/>
    <n v="0"/>
    <n v="0"/>
    <n v="0"/>
    <n v="0"/>
    <n v="0"/>
    <n v="0"/>
    <n v="0"/>
    <n v="0"/>
    <n v="0"/>
    <n v="0"/>
    <n v="0"/>
    <n v="0"/>
    <n v="0"/>
    <n v="0"/>
    <n v="0"/>
    <n v="0"/>
    <n v="0"/>
    <n v="0"/>
    <n v="0"/>
    <n v="0"/>
    <n v="0"/>
    <n v="0"/>
    <n v="0"/>
    <m/>
    <n v="0"/>
    <n v="0"/>
    <n v="0"/>
    <n v="0"/>
    <n v="0"/>
    <n v="0"/>
    <n v="0"/>
    <n v="0"/>
    <n v="0"/>
    <n v="0"/>
    <n v="0"/>
    <n v="0"/>
    <n v="0"/>
    <n v="0"/>
    <m/>
    <m/>
    <m/>
    <m/>
    <m/>
    <m/>
    <m/>
    <m/>
    <m/>
    <m/>
    <m/>
    <m/>
    <m/>
    <m/>
    <m/>
    <m/>
    <m/>
    <m/>
    <m/>
    <m/>
    <m/>
    <m/>
    <m/>
    <m/>
    <m/>
    <m/>
    <m/>
    <m/>
    <m/>
    <m/>
    <m/>
    <m/>
    <m/>
    <m/>
  </r>
  <r>
    <n v="744"/>
    <d v="2025-04-22T00:00:00"/>
    <x v="0"/>
    <n v="9518712059"/>
    <n v="4"/>
    <s v="9518712059-4"/>
    <s v="May'25"/>
    <x v="0"/>
    <m/>
    <x v="2"/>
    <x v="3"/>
    <x v="2"/>
    <m/>
    <x v="1"/>
    <m/>
    <m/>
    <m/>
    <m/>
    <s v=" "/>
    <x v="2"/>
    <x v="6"/>
    <x v="6"/>
    <x v="84"/>
    <s v="PPGL C HARD Y550PL D0C9 0.50(TPT)X1220"/>
    <s v="AZ150"/>
    <s v="RAL 7015 TSL 1805"/>
    <n v="3"/>
    <n v="5"/>
    <m/>
    <x v="3"/>
    <x v="3"/>
    <s v="D0C9"/>
    <x v="1"/>
    <x v="1"/>
    <x v="0"/>
    <n v="56"/>
    <n v="0"/>
    <n v="56"/>
    <n v="56"/>
    <n v="56"/>
    <n v="56"/>
    <n v="0"/>
    <n v="0"/>
    <n v="0"/>
    <n v="0"/>
    <n v="0"/>
    <n v="0"/>
    <n v="0"/>
    <n v="0"/>
    <n v="0"/>
    <n v="0"/>
    <n v="0"/>
    <n v="0"/>
    <n v="0"/>
    <n v="0"/>
    <n v="0"/>
    <n v="0"/>
    <n v="0"/>
    <n v="0"/>
    <n v="0"/>
    <n v="0"/>
    <n v="0"/>
    <n v="0"/>
    <n v="0"/>
    <m/>
    <n v="0"/>
    <n v="0"/>
    <n v="0"/>
    <n v="0"/>
    <n v="0"/>
    <n v="0"/>
    <n v="0"/>
    <n v="0"/>
    <n v="0"/>
    <n v="0"/>
    <n v="0"/>
    <n v="0"/>
    <n v="0"/>
    <n v="0"/>
    <m/>
    <m/>
    <m/>
    <m/>
    <m/>
    <m/>
    <m/>
    <m/>
    <m/>
    <m/>
    <m/>
    <m/>
    <m/>
    <m/>
    <m/>
    <m/>
    <m/>
    <m/>
    <m/>
    <m/>
    <m/>
    <m/>
    <m/>
    <m/>
    <m/>
    <m/>
    <m/>
    <m/>
    <m/>
    <m/>
    <m/>
    <m/>
    <m/>
    <m/>
  </r>
  <r>
    <n v="742"/>
    <d v="2025-04-02T00:00:00"/>
    <x v="0"/>
    <n v="9518664276"/>
    <n v="3"/>
    <s v="9518664276-3"/>
    <s v="No Priority"/>
    <x v="0"/>
    <m/>
    <x v="1"/>
    <x v="1"/>
    <x v="0"/>
    <m/>
    <x v="0"/>
    <m/>
    <m/>
    <m/>
    <m/>
    <s v="CHENNAI"/>
    <x v="2"/>
    <x v="96"/>
    <x v="95"/>
    <x v="447"/>
    <s v="CRCA SHEET TATXXD AU03 2.5X1250X2500"/>
    <s v=" "/>
    <s v=""/>
    <n v="0"/>
    <n v="0"/>
    <m/>
    <x v="2"/>
    <x v="2"/>
    <s v="AU03"/>
    <x v="38"/>
    <x v="0"/>
    <x v="3"/>
    <n v="27"/>
    <n v="0"/>
    <n v="27"/>
    <n v="27"/>
    <n v="27"/>
    <n v="27"/>
    <n v="0"/>
    <n v="0"/>
    <n v="0"/>
    <n v="0"/>
    <n v="0"/>
    <n v="0"/>
    <n v="0"/>
    <n v="0"/>
    <n v="0"/>
    <n v="0"/>
    <n v="0"/>
    <n v="0"/>
    <n v="0"/>
    <n v="0"/>
    <n v="0"/>
    <n v="0"/>
    <n v="0"/>
    <n v="0"/>
    <n v="0"/>
    <n v="0"/>
    <n v="0"/>
    <n v="0"/>
    <n v="0"/>
    <m/>
    <n v="0"/>
    <n v="0"/>
    <n v="0"/>
    <n v="0"/>
    <n v="0"/>
    <n v="0"/>
    <n v="0"/>
    <n v="0"/>
    <n v="0"/>
    <n v="0"/>
    <n v="0"/>
    <n v="0"/>
    <n v="0"/>
    <n v="0"/>
    <m/>
    <m/>
    <m/>
    <m/>
    <m/>
    <m/>
    <m/>
    <m/>
    <m/>
    <m/>
    <m/>
    <m/>
    <m/>
    <m/>
    <m/>
    <m/>
    <m/>
    <m/>
    <m/>
    <m/>
    <m/>
    <m/>
    <m/>
    <m/>
    <m/>
    <m/>
    <m/>
    <m/>
    <m/>
    <m/>
    <m/>
    <m/>
    <m/>
    <m/>
  </r>
  <r>
    <n v="742"/>
    <d v="2025-04-16T00:00:00"/>
    <x v="0"/>
    <n v="9518698036"/>
    <n v="2"/>
    <s v="9518698036-2"/>
    <s v="No Priority"/>
    <x v="0"/>
    <m/>
    <x v="1"/>
    <x v="1"/>
    <x v="0"/>
    <m/>
    <x v="0"/>
    <m/>
    <m/>
    <m/>
    <m/>
    <s v="GUMMIDIPOONDI"/>
    <x v="2"/>
    <x v="54"/>
    <x v="0"/>
    <x v="290"/>
    <s v="CRCA COIL-TATXXD-AU03-0.45X1250"/>
    <s v=" "/>
    <s v=""/>
    <n v="5"/>
    <n v="29"/>
    <m/>
    <x v="1"/>
    <x v="2"/>
    <s v="AU03"/>
    <x v="10"/>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22T00:00:00"/>
    <x v="0"/>
    <n v="9518710180"/>
    <n v="1"/>
    <s v="9518710180-1"/>
    <s v="No Priority"/>
    <x v="0"/>
    <m/>
    <x v="1"/>
    <x v="1"/>
    <x v="0"/>
    <m/>
    <x v="0"/>
    <m/>
    <m/>
    <m/>
    <m/>
    <s v="PATNA"/>
    <x v="2"/>
    <x v="31"/>
    <x v="31"/>
    <x v="228"/>
    <s v="CRCA COIL-TATXXD-AU03-1X1250"/>
    <s v=" "/>
    <s v=""/>
    <n v="5"/>
    <n v="28"/>
    <m/>
    <x v="1"/>
    <x v="2"/>
    <s v="AU03"/>
    <x v="17"/>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22T00:00:00"/>
    <x v="0"/>
    <n v="9518712564"/>
    <n v="3"/>
    <s v="9518712564-3"/>
    <s v="No Priority"/>
    <x v="0"/>
    <m/>
    <x v="1"/>
    <x v="10"/>
    <x v="2"/>
    <m/>
    <x v="0"/>
    <m/>
    <m/>
    <m/>
    <m/>
    <s v="CHENNAI"/>
    <x v="2"/>
    <x v="30"/>
    <x v="30"/>
    <x v="166"/>
    <s v="CR COIL TATXXD BT01 1.200X1310"/>
    <s v=" "/>
    <s v=""/>
    <n v="8"/>
    <n v="12"/>
    <m/>
    <x v="1"/>
    <x v="2"/>
    <s v="BT01"/>
    <x v="19"/>
    <x v="11"/>
    <x v="0"/>
    <n v="30"/>
    <n v="0"/>
    <n v="30"/>
    <n v="30"/>
    <n v="30"/>
    <n v="30"/>
    <n v="0"/>
    <n v="0"/>
    <n v="0"/>
    <n v="0"/>
    <n v="0"/>
    <n v="0"/>
    <n v="0"/>
    <n v="0"/>
    <n v="0"/>
    <n v="0"/>
    <n v="0"/>
    <n v="0"/>
    <n v="0"/>
    <n v="0"/>
    <n v="0"/>
    <n v="0"/>
    <n v="0"/>
    <n v="0"/>
    <n v="0"/>
    <n v="0"/>
    <n v="0"/>
    <n v="0"/>
    <n v="0"/>
    <m/>
    <n v="0"/>
    <n v="0"/>
    <n v="0"/>
    <n v="0"/>
    <n v="0"/>
    <n v="0"/>
    <n v="0"/>
    <n v="0"/>
    <n v="0"/>
    <n v="0"/>
    <n v="0"/>
    <n v="0"/>
    <n v="0"/>
    <n v="0"/>
    <m/>
    <m/>
    <m/>
    <m/>
    <m/>
    <m/>
    <m/>
    <m/>
    <m/>
    <m/>
    <m/>
    <m/>
    <m/>
    <m/>
    <m/>
    <m/>
    <m/>
    <m/>
    <m/>
    <m/>
    <m/>
    <m/>
    <m/>
    <m/>
    <m/>
    <m/>
    <m/>
    <m/>
    <m/>
    <m/>
    <m/>
    <m/>
    <m/>
    <m/>
  </r>
  <r>
    <n v="742"/>
    <d v="2025-04-22T00:00:00"/>
    <x v="0"/>
    <n v="9518712061"/>
    <n v="2"/>
    <s v="9518712061-2"/>
    <s v="No Priority"/>
    <x v="0"/>
    <m/>
    <x v="1"/>
    <x v="1"/>
    <x v="0"/>
    <m/>
    <x v="0"/>
    <m/>
    <m/>
    <m/>
    <m/>
    <s v="CHENNAI"/>
    <x v="2"/>
    <x v="13"/>
    <x v="13"/>
    <x v="228"/>
    <s v="CRCA COIL-TATXXD-AU03-1X1250"/>
    <s v=" "/>
    <s v=""/>
    <n v="6"/>
    <n v="18"/>
    <m/>
    <x v="1"/>
    <x v="2"/>
    <s v="AU03"/>
    <x v="17"/>
    <x v="0"/>
    <x v="0"/>
    <n v="58"/>
    <n v="0"/>
    <n v="58"/>
    <n v="58"/>
    <n v="58"/>
    <n v="58"/>
    <n v="0"/>
    <n v="0"/>
    <n v="0"/>
    <n v="0"/>
    <n v="0"/>
    <n v="0"/>
    <n v="0"/>
    <n v="0"/>
    <n v="0"/>
    <n v="0"/>
    <n v="0"/>
    <n v="0"/>
    <n v="0"/>
    <n v="0"/>
    <n v="0"/>
    <n v="0"/>
    <n v="0"/>
    <n v="0"/>
    <n v="0"/>
    <n v="0"/>
    <n v="0"/>
    <n v="0"/>
    <n v="0"/>
    <m/>
    <n v="0"/>
    <n v="0"/>
    <n v="0"/>
    <n v="0"/>
    <n v="0"/>
    <n v="0"/>
    <n v="0"/>
    <n v="0"/>
    <n v="0"/>
    <n v="0"/>
    <n v="0"/>
    <n v="0"/>
    <n v="0"/>
    <n v="0"/>
    <m/>
    <m/>
    <m/>
    <m/>
    <m/>
    <m/>
    <m/>
    <m/>
    <m/>
    <m/>
    <m/>
    <m/>
    <m/>
    <m/>
    <m/>
    <m/>
    <m/>
    <m/>
    <m/>
    <m/>
    <m/>
    <m/>
    <m/>
    <m/>
    <m/>
    <m/>
    <m/>
    <m/>
    <m/>
    <m/>
    <m/>
    <m/>
    <m/>
    <m/>
  </r>
  <r>
    <n v="742"/>
    <d v="2025-04-22T00:00:00"/>
    <x v="0"/>
    <n v="9518712061"/>
    <n v="3"/>
    <s v="9518712061-3"/>
    <s v="No Priority"/>
    <x v="0"/>
    <m/>
    <x v="1"/>
    <x v="1"/>
    <x v="0"/>
    <m/>
    <x v="0"/>
    <m/>
    <m/>
    <m/>
    <m/>
    <s v="CHENNAI"/>
    <x v="2"/>
    <x v="13"/>
    <x v="13"/>
    <x v="95"/>
    <s v="CRCA COIL-TATXXD-AU03-1.2X1250"/>
    <s v=" "/>
    <s v=""/>
    <n v="6"/>
    <n v="18"/>
    <m/>
    <x v="1"/>
    <x v="2"/>
    <s v="AU03"/>
    <x v="19"/>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22T00:00:00"/>
    <x v="0"/>
    <n v="9518712061"/>
    <n v="4"/>
    <s v="9518712061-4"/>
    <s v="No Priority"/>
    <x v="0"/>
    <m/>
    <x v="1"/>
    <x v="1"/>
    <x v="0"/>
    <m/>
    <x v="0"/>
    <m/>
    <m/>
    <m/>
    <m/>
    <s v="CHENNAI"/>
    <x v="2"/>
    <x v="13"/>
    <x v="13"/>
    <x v="102"/>
    <s v="CRCA COIL-TATXXD-AU03-1.6X1250"/>
    <s v=" "/>
    <s v=""/>
    <n v="6"/>
    <n v="18"/>
    <m/>
    <x v="1"/>
    <x v="2"/>
    <s v="AU03"/>
    <x v="22"/>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2"/>
    <d v="2025-04-22T00:00:00"/>
    <x v="0"/>
    <n v="9518712061"/>
    <n v="5"/>
    <s v="9518712061-5"/>
    <s v="No Priority"/>
    <x v="0"/>
    <m/>
    <x v="1"/>
    <x v="1"/>
    <x v="0"/>
    <m/>
    <x v="0"/>
    <m/>
    <m/>
    <m/>
    <m/>
    <s v="CHENNAI"/>
    <x v="2"/>
    <x v="13"/>
    <x v="13"/>
    <x v="116"/>
    <s v="CRCA COIL-TATXXD-AU03-2X1250"/>
    <s v=" "/>
    <s v=""/>
    <n v="6"/>
    <n v="18"/>
    <m/>
    <x v="1"/>
    <x v="2"/>
    <s v="AU03"/>
    <x v="15"/>
    <x v="0"/>
    <x v="0"/>
    <n v="29"/>
    <n v="0"/>
    <n v="29"/>
    <n v="29"/>
    <n v="29"/>
    <n v="29"/>
    <n v="0"/>
    <n v="0"/>
    <n v="0"/>
    <n v="0"/>
    <n v="0"/>
    <n v="0"/>
    <n v="0"/>
    <n v="0"/>
    <n v="0"/>
    <n v="0"/>
    <n v="0"/>
    <n v="0"/>
    <n v="0"/>
    <n v="0"/>
    <n v="0"/>
    <n v="0"/>
    <n v="0"/>
    <n v="0"/>
    <n v="0"/>
    <n v="0"/>
    <n v="0"/>
    <n v="0"/>
    <n v="0"/>
    <m/>
    <n v="0"/>
    <n v="0"/>
    <n v="0"/>
    <n v="0"/>
    <n v="0"/>
    <n v="0"/>
    <n v="0"/>
    <n v="0"/>
    <n v="0"/>
    <n v="0"/>
    <n v="0"/>
    <n v="0"/>
    <n v="0"/>
    <n v="0"/>
    <m/>
    <m/>
    <m/>
    <m/>
    <m/>
    <m/>
    <m/>
    <m/>
    <m/>
    <m/>
    <m/>
    <m/>
    <m/>
    <m/>
    <m/>
    <m/>
    <m/>
    <m/>
    <m/>
    <m/>
    <m/>
    <m/>
    <m/>
    <m/>
    <m/>
    <m/>
    <m/>
    <m/>
    <m/>
    <m/>
    <m/>
    <m/>
    <m/>
    <m/>
  </r>
  <r>
    <n v="744"/>
    <d v="2025-04-22T00:00:00"/>
    <x v="0"/>
    <n v="9518711318"/>
    <n v="2"/>
    <s v="9518711318-2"/>
    <s v="May'25"/>
    <x v="0"/>
    <s v="Yes"/>
    <x v="2"/>
    <x v="3"/>
    <x v="2"/>
    <m/>
    <x v="1"/>
    <m/>
    <m/>
    <m/>
    <m/>
    <s v="GAMHARIA"/>
    <x v="2"/>
    <x v="15"/>
    <x v="15"/>
    <x v="192"/>
    <s v="PPGL C Y550 D0C7 0.43BMT(0.47TPT)X1220"/>
    <s v="aZ70"/>
    <s v="NUVO BLUE TSL 1903"/>
    <n v="3"/>
    <n v="5"/>
    <m/>
    <x v="3"/>
    <x v="3"/>
    <s v="D0C7"/>
    <x v="25"/>
    <x v="1"/>
    <x v="0"/>
    <n v="84"/>
    <n v="0"/>
    <n v="84"/>
    <n v="84"/>
    <n v="84"/>
    <n v="84"/>
    <n v="0"/>
    <n v="0"/>
    <n v="0"/>
    <n v="0"/>
    <n v="0"/>
    <n v="0"/>
    <n v="0"/>
    <n v="0"/>
    <n v="0"/>
    <n v="0"/>
    <n v="0"/>
    <n v="0"/>
    <n v="0"/>
    <n v="0"/>
    <n v="0"/>
    <n v="0"/>
    <n v="0"/>
    <n v="0"/>
    <n v="0"/>
    <n v="0"/>
    <n v="0"/>
    <n v="0"/>
    <n v="0"/>
    <m/>
    <n v="0"/>
    <n v="84"/>
    <n v="0"/>
    <n v="0"/>
    <n v="0"/>
    <n v="84"/>
    <n v="0"/>
    <n v="84"/>
    <n v="0"/>
    <n v="0"/>
    <n v="0"/>
    <n v="0"/>
    <n v="84"/>
    <n v="0"/>
    <m/>
    <m/>
    <m/>
    <m/>
    <m/>
    <m/>
    <m/>
    <m/>
    <m/>
    <m/>
    <m/>
    <m/>
    <m/>
    <m/>
    <m/>
    <m/>
    <m/>
    <m/>
    <m/>
    <m/>
    <m/>
    <m/>
    <m/>
    <m/>
    <m/>
    <m/>
    <m/>
    <m/>
    <m/>
    <m/>
    <m/>
    <m/>
    <m/>
    <m/>
  </r>
  <r>
    <n v="743"/>
    <d v="2025-04-23T00:00:00"/>
    <x v="0"/>
    <n v="9518710703"/>
    <n v="1"/>
    <s v="9518710703-1"/>
    <s v="May'25"/>
    <x v="0"/>
    <m/>
    <x v="4"/>
    <x v="3"/>
    <x v="2"/>
    <m/>
    <x v="1"/>
    <m/>
    <m/>
    <m/>
    <s v="TBSPL"/>
    <s v="RAJASTHAN"/>
    <x v="2"/>
    <x v="51"/>
    <x v="6"/>
    <x v="27"/>
    <s v="GL COIL HARD Y550GL M308 0.47 (TCT)X1220"/>
    <m/>
    <m/>
    <m/>
    <m/>
    <m/>
    <x v="5"/>
    <x v="7"/>
    <s v="M308"/>
    <x v="14"/>
    <x v="1"/>
    <x v="0"/>
    <n v="224"/>
    <n v="0"/>
    <n v="224"/>
    <n v="224"/>
    <n v="224"/>
    <n v="224"/>
    <n v="0"/>
    <n v="0"/>
    <n v="0"/>
    <n v="0"/>
    <n v="0"/>
    <n v="0"/>
    <n v="0"/>
    <n v="0"/>
    <n v="0"/>
    <n v="0"/>
    <n v="0"/>
    <n v="0"/>
    <n v="0"/>
    <n v="0"/>
    <n v="0"/>
    <n v="0"/>
    <n v="0"/>
    <n v="0"/>
    <n v="0"/>
    <n v="0"/>
    <n v="0"/>
    <n v="0"/>
    <n v="0"/>
    <m/>
    <n v="0"/>
    <n v="224"/>
    <n v="0"/>
    <n v="0"/>
    <n v="224"/>
    <n v="0"/>
    <n v="0"/>
    <n v="224"/>
    <n v="0"/>
    <n v="0"/>
    <n v="224"/>
    <n v="0"/>
    <n v="0"/>
    <n v="0"/>
    <m/>
    <m/>
    <m/>
    <m/>
    <m/>
    <m/>
    <m/>
    <m/>
    <m/>
    <m/>
    <m/>
    <m/>
    <m/>
    <m/>
    <m/>
    <m/>
    <m/>
    <m/>
    <m/>
    <m/>
    <m/>
    <m/>
    <m/>
    <m/>
    <m/>
    <m/>
    <m/>
    <m/>
    <m/>
    <m/>
    <m/>
    <m/>
    <m/>
    <m/>
  </r>
  <r>
    <n v="742"/>
    <d v="2025-04-21T00:00:00"/>
    <x v="0"/>
    <n v="9518708445"/>
    <n v="4"/>
    <s v="9518708445-4"/>
    <s v="May'25"/>
    <x v="0"/>
    <m/>
    <x v="1"/>
    <x v="15"/>
    <x v="5"/>
    <m/>
    <x v="1"/>
    <m/>
    <m/>
    <m/>
    <m/>
    <s v="YESHWANTHPURA"/>
    <x v="2"/>
    <x v="76"/>
    <x v="0"/>
    <x v="126"/>
    <s v="CRCA COIL TATXXD AH03 0.800X1250"/>
    <m/>
    <m/>
    <m/>
    <m/>
    <m/>
    <x v="1"/>
    <x v="2"/>
    <s v="AH03"/>
    <x v="5"/>
    <x v="0"/>
    <x v="0"/>
    <n v="261"/>
    <n v="0"/>
    <n v="261"/>
    <n v="261"/>
    <n v="233.32"/>
    <n v="261"/>
    <n v="0"/>
    <n v="0"/>
    <n v="0"/>
    <n v="0"/>
    <n v="0"/>
    <n v="0"/>
    <n v="0"/>
    <n v="0"/>
    <n v="0"/>
    <n v="0"/>
    <n v="0"/>
    <n v="0"/>
    <n v="27.68"/>
    <n v="0"/>
    <n v="0"/>
    <n v="0"/>
    <n v="0"/>
    <n v="0"/>
    <n v="0"/>
    <n v="27.68"/>
    <n v="27.68"/>
    <n v="0"/>
    <n v="27.68"/>
    <m/>
    <n v="0"/>
    <n v="261"/>
    <n v="0"/>
    <n v="0"/>
    <n v="0"/>
    <n v="0"/>
    <n v="261"/>
    <n v="261"/>
    <n v="0"/>
    <n v="0"/>
    <n v="0"/>
    <n v="0"/>
    <n v="261"/>
    <n v="0"/>
    <m/>
    <m/>
    <m/>
    <m/>
    <m/>
    <m/>
    <m/>
    <m/>
    <m/>
    <m/>
    <m/>
    <m/>
    <m/>
    <m/>
    <m/>
    <m/>
    <m/>
    <m/>
    <m/>
    <m/>
    <m/>
    <m/>
    <m/>
    <m/>
    <m/>
    <m/>
    <m/>
    <m/>
    <m/>
    <m/>
    <m/>
    <m/>
    <m/>
    <m/>
  </r>
  <r>
    <n v="742"/>
    <d v="2025-04-21T00:00:00"/>
    <x v="0"/>
    <n v="9518708445"/>
    <n v="5"/>
    <s v="9518708445-5"/>
    <s v="May'25"/>
    <x v="0"/>
    <m/>
    <x v="1"/>
    <x v="15"/>
    <x v="5"/>
    <m/>
    <x v="1"/>
    <m/>
    <m/>
    <m/>
    <m/>
    <s v="YESHWANTHPURA"/>
    <x v="2"/>
    <x v="76"/>
    <x v="0"/>
    <x v="189"/>
    <s v="CRCA COIL TATXXD AH03 1X1250"/>
    <m/>
    <m/>
    <m/>
    <m/>
    <m/>
    <x v="1"/>
    <x v="2"/>
    <s v="AH03"/>
    <x v="17"/>
    <x v="0"/>
    <x v="0"/>
    <n v="261"/>
    <n v="0"/>
    <n v="261"/>
    <n v="261"/>
    <n v="261"/>
    <n v="261"/>
    <n v="0"/>
    <n v="0"/>
    <n v="0"/>
    <n v="0"/>
    <n v="0"/>
    <n v="0"/>
    <n v="0"/>
    <n v="0"/>
    <n v="0"/>
    <n v="0"/>
    <n v="0"/>
    <n v="0"/>
    <n v="0"/>
    <n v="0"/>
    <n v="0"/>
    <n v="0"/>
    <n v="0"/>
    <n v="0"/>
    <n v="0"/>
    <n v="0"/>
    <n v="0"/>
    <n v="0"/>
    <n v="0"/>
    <m/>
    <n v="0"/>
    <n v="261"/>
    <n v="0"/>
    <n v="0"/>
    <n v="0"/>
    <n v="0"/>
    <n v="261"/>
    <n v="0"/>
    <n v="0"/>
    <n v="0"/>
    <n v="0"/>
    <n v="0"/>
    <n v="0"/>
    <n v="261"/>
    <m/>
    <m/>
    <m/>
    <m/>
    <m/>
    <m/>
    <m/>
    <m/>
    <m/>
    <m/>
    <m/>
    <m/>
    <m/>
    <m/>
    <m/>
    <m/>
    <m/>
    <m/>
    <m/>
    <m/>
    <m/>
    <m/>
    <m/>
    <m/>
    <m/>
    <m/>
    <m/>
    <m/>
    <m/>
    <m/>
    <m/>
    <m/>
    <m/>
    <m/>
  </r>
  <r>
    <n v="742"/>
    <d v="2025-04-21T00:00:00"/>
    <x v="0"/>
    <n v="9518708445"/>
    <n v="6"/>
    <s v="9518708445-6"/>
    <s v="May'25"/>
    <x v="0"/>
    <m/>
    <x v="1"/>
    <x v="15"/>
    <x v="5"/>
    <m/>
    <x v="1"/>
    <m/>
    <m/>
    <m/>
    <m/>
    <s v="YESHWANTHPURA"/>
    <x v="2"/>
    <x v="76"/>
    <x v="0"/>
    <x v="58"/>
    <s v="CRCA COIL TATXXD AH03 1.200X1250"/>
    <m/>
    <m/>
    <m/>
    <m/>
    <m/>
    <x v="1"/>
    <x v="2"/>
    <s v="AH03"/>
    <x v="19"/>
    <x v="0"/>
    <x v="0"/>
    <n v="145"/>
    <n v="0"/>
    <n v="145"/>
    <n v="145"/>
    <n v="145"/>
    <n v="145"/>
    <n v="0"/>
    <n v="0"/>
    <n v="0"/>
    <n v="0"/>
    <n v="0"/>
    <n v="0"/>
    <n v="0"/>
    <n v="0"/>
    <n v="0"/>
    <n v="0"/>
    <n v="0"/>
    <n v="0"/>
    <n v="0"/>
    <n v="0"/>
    <n v="0"/>
    <n v="0"/>
    <n v="0"/>
    <n v="0"/>
    <n v="0"/>
    <n v="0"/>
    <n v="0"/>
    <n v="0"/>
    <n v="0"/>
    <m/>
    <n v="0"/>
    <n v="145"/>
    <n v="0"/>
    <n v="0"/>
    <n v="0"/>
    <n v="0"/>
    <n v="145"/>
    <n v="0"/>
    <n v="0"/>
    <n v="0"/>
    <n v="0"/>
    <n v="0"/>
    <n v="0"/>
    <n v="145"/>
    <m/>
    <m/>
    <m/>
    <m/>
    <m/>
    <m/>
    <m/>
    <m/>
    <m/>
    <m/>
    <m/>
    <m/>
    <m/>
    <m/>
    <m/>
    <m/>
    <m/>
    <m/>
    <m/>
    <m/>
    <m/>
    <m/>
    <m/>
    <m/>
    <m/>
    <m/>
    <m/>
    <m/>
    <m/>
    <m/>
    <m/>
    <m/>
    <m/>
    <m/>
  </r>
  <r>
    <n v="742"/>
    <d v="2025-04-21T00:00:00"/>
    <x v="0"/>
    <n v="9518708445"/>
    <n v="7"/>
    <s v="9518708445-7"/>
    <s v="May'25"/>
    <x v="0"/>
    <m/>
    <x v="1"/>
    <x v="15"/>
    <x v="5"/>
    <m/>
    <x v="1"/>
    <m/>
    <m/>
    <m/>
    <m/>
    <s v="YESHWANTHPURA"/>
    <x v="2"/>
    <x v="76"/>
    <x v="0"/>
    <x v="190"/>
    <s v="CRCA COIL TATXXD AH03 1.500X1250"/>
    <m/>
    <m/>
    <m/>
    <m/>
    <m/>
    <x v="1"/>
    <x v="2"/>
    <s v="AH03"/>
    <x v="27"/>
    <x v="0"/>
    <x v="0"/>
    <n v="145"/>
    <n v="0"/>
    <n v="145"/>
    <n v="145"/>
    <n v="13.099999999999994"/>
    <n v="145"/>
    <n v="0"/>
    <n v="0"/>
    <n v="28.73"/>
    <n v="0"/>
    <n v="0"/>
    <n v="0"/>
    <n v="0"/>
    <n v="0"/>
    <n v="0"/>
    <n v="0"/>
    <n v="0"/>
    <n v="0"/>
    <n v="103.17"/>
    <n v="0"/>
    <n v="0"/>
    <n v="0"/>
    <n v="0"/>
    <n v="0"/>
    <n v="0"/>
    <n v="131.9"/>
    <n v="131.9"/>
    <n v="0"/>
    <n v="131.9"/>
    <m/>
    <n v="0"/>
    <n v="145"/>
    <n v="145"/>
    <n v="0"/>
    <n v="0"/>
    <n v="0"/>
    <n v="0"/>
    <n v="145"/>
    <n v="0"/>
    <n v="145"/>
    <n v="0"/>
    <n v="0"/>
    <n v="0"/>
    <n v="0"/>
    <m/>
    <m/>
    <m/>
    <m/>
    <m/>
    <m/>
    <m/>
    <m/>
    <m/>
    <m/>
    <m/>
    <m/>
    <m/>
    <m/>
    <m/>
    <m/>
    <m/>
    <m/>
    <m/>
    <m/>
    <m/>
    <m/>
    <m/>
    <m/>
    <m/>
    <m/>
    <m/>
    <m/>
    <m/>
    <m/>
    <m/>
    <m/>
    <m/>
    <m/>
  </r>
  <r>
    <n v="742"/>
    <d v="2025-04-21T00:00:00"/>
    <x v="1"/>
    <n v="9518709004"/>
    <n v="1"/>
    <s v="9518709004-1"/>
    <s v="May'25"/>
    <x v="0"/>
    <m/>
    <x v="1"/>
    <x v="7"/>
    <x v="2"/>
    <m/>
    <x v="1"/>
    <m/>
    <s v="Tempel Precisions"/>
    <m/>
    <m/>
    <s v="WEST BENGAL"/>
    <x v="2"/>
    <x v="24"/>
    <x v="63"/>
    <x v="159"/>
    <s v="CR COIL TSBSTA EL03 0.500X1217"/>
    <m/>
    <m/>
    <m/>
    <m/>
    <m/>
    <x v="1"/>
    <x v="9"/>
    <s v="EL03"/>
    <x v="1"/>
    <x v="18"/>
    <x v="0"/>
    <n v="168"/>
    <n v="0"/>
    <n v="168"/>
    <n v="168"/>
    <n v="168"/>
    <n v="168"/>
    <n v="0"/>
    <n v="0"/>
    <n v="0"/>
    <n v="0"/>
    <n v="0"/>
    <n v="0"/>
    <n v="0"/>
    <n v="0"/>
    <n v="0"/>
    <n v="0"/>
    <n v="0"/>
    <n v="0"/>
    <n v="0"/>
    <n v="0"/>
    <n v="0"/>
    <n v="0"/>
    <n v="0"/>
    <n v="0"/>
    <n v="0"/>
    <n v="0"/>
    <m/>
    <m/>
    <m/>
    <m/>
    <n v="0"/>
    <n v="168"/>
    <n v="0"/>
    <n v="0"/>
    <n v="168"/>
    <n v="0"/>
    <n v="0"/>
    <n v="168"/>
    <n v="0"/>
    <n v="0"/>
    <n v="0"/>
    <n v="168"/>
    <n v="0"/>
    <n v="0"/>
    <m/>
    <m/>
    <m/>
    <m/>
    <m/>
    <m/>
    <m/>
    <m/>
    <m/>
    <m/>
    <m/>
    <m/>
    <m/>
    <m/>
    <m/>
    <m/>
    <m/>
    <m/>
    <m/>
    <m/>
    <m/>
    <m/>
    <m/>
    <m/>
    <m/>
    <m/>
    <m/>
    <m/>
    <m/>
    <m/>
    <m/>
    <m/>
    <m/>
    <m/>
  </r>
  <r>
    <n v="742"/>
    <d v="2025-04-21T00:00:00"/>
    <x v="1"/>
    <n v="9518709004"/>
    <n v="2"/>
    <s v="9518709004-2"/>
    <s v="May'25"/>
    <x v="0"/>
    <m/>
    <x v="1"/>
    <x v="7"/>
    <x v="2"/>
    <m/>
    <x v="1"/>
    <m/>
    <s v="Tempel Precisions"/>
    <m/>
    <m/>
    <s v="WEST BENGAL"/>
    <x v="2"/>
    <x v="24"/>
    <x v="63"/>
    <x v="90"/>
    <s v="CR COIL TSBSTA EL03 1X1250"/>
    <m/>
    <m/>
    <m/>
    <m/>
    <m/>
    <x v="1"/>
    <x v="9"/>
    <s v="EL03"/>
    <x v="17"/>
    <x v="0"/>
    <x v="0"/>
    <n v="58"/>
    <n v="0"/>
    <n v="58"/>
    <n v="58"/>
    <n v="58"/>
    <n v="58"/>
    <n v="0"/>
    <n v="0"/>
    <n v="0"/>
    <n v="0"/>
    <n v="0"/>
    <n v="0"/>
    <n v="0"/>
    <n v="0"/>
    <n v="0"/>
    <n v="0"/>
    <n v="0"/>
    <n v="0"/>
    <n v="0"/>
    <n v="0"/>
    <n v="0"/>
    <n v="0"/>
    <n v="0"/>
    <n v="0"/>
    <n v="0"/>
    <n v="0"/>
    <m/>
    <m/>
    <m/>
    <m/>
    <n v="0"/>
    <n v="58"/>
    <n v="0"/>
    <n v="0"/>
    <n v="0"/>
    <n v="0"/>
    <n v="58"/>
    <n v="0"/>
    <n v="0"/>
    <n v="0"/>
    <n v="0"/>
    <n v="0"/>
    <n v="0"/>
    <n v="58"/>
    <m/>
    <m/>
    <m/>
    <m/>
    <m/>
    <m/>
    <m/>
    <m/>
    <m/>
    <m/>
    <m/>
    <m/>
    <m/>
    <m/>
    <m/>
    <m/>
    <m/>
    <m/>
    <m/>
    <m/>
    <m/>
    <m/>
    <m/>
    <m/>
    <m/>
    <m/>
    <m/>
    <m/>
    <m/>
    <m/>
    <m/>
    <m/>
    <m/>
    <m/>
  </r>
  <r>
    <n v="743"/>
    <d v="2025-04-23T00:00:00"/>
    <x v="0"/>
    <n v="9518715051"/>
    <n v="2"/>
    <s v="9518715051-2"/>
    <s v="May'25"/>
    <x v="0"/>
    <m/>
    <x v="3"/>
    <x v="14"/>
    <x v="1"/>
    <m/>
    <x v="1"/>
    <m/>
    <m/>
    <s v="Assam"/>
    <m/>
    <m/>
    <x v="2"/>
    <x v="25"/>
    <x v="24"/>
    <x v="282"/>
    <s v="GP COIL SOFT-TATXGP-GLK1-0.4X1220"/>
    <s v=""/>
    <s v=""/>
    <m/>
    <m/>
    <m/>
    <x v="7"/>
    <x v="5"/>
    <s v="GLK1"/>
    <x v="2"/>
    <x v="1"/>
    <x v="0"/>
    <n v="84"/>
    <n v="0"/>
    <n v="84"/>
    <n v="84"/>
    <n v="84"/>
    <n v="84"/>
    <n v="0"/>
    <n v="0"/>
    <n v="0"/>
    <n v="0"/>
    <n v="0"/>
    <n v="0"/>
    <n v="0"/>
    <n v="0"/>
    <n v="0"/>
    <n v="0"/>
    <n v="0"/>
    <n v="0"/>
    <n v="0"/>
    <n v="0"/>
    <n v="0"/>
    <n v="0"/>
    <n v="0"/>
    <n v="0"/>
    <n v="0"/>
    <n v="0"/>
    <m/>
    <m/>
    <m/>
    <m/>
    <n v="0"/>
    <n v="84"/>
    <n v="0"/>
    <n v="0"/>
    <n v="84"/>
    <n v="0"/>
    <n v="0"/>
    <n v="84"/>
    <n v="0"/>
    <n v="0"/>
    <n v="0"/>
    <n v="84"/>
    <n v="0"/>
    <n v="0"/>
    <m/>
    <m/>
    <m/>
    <m/>
    <m/>
    <m/>
    <m/>
    <m/>
    <m/>
    <m/>
    <m/>
    <m/>
    <m/>
    <m/>
    <m/>
    <m/>
    <m/>
    <m/>
    <m/>
    <m/>
    <m/>
    <m/>
    <m/>
    <m/>
    <m/>
    <m/>
    <m/>
    <m/>
    <m/>
    <m/>
    <m/>
    <m/>
    <m/>
    <m/>
  </r>
  <r>
    <n v="743"/>
    <d v="2025-04-23T00:00:00"/>
    <x v="0"/>
    <n v="9518715051"/>
    <n v="3"/>
    <s v="9518715051-3"/>
    <s v="May'25"/>
    <x v="0"/>
    <m/>
    <x v="3"/>
    <x v="14"/>
    <x v="1"/>
    <m/>
    <x v="1"/>
    <m/>
    <m/>
    <s v="Assam"/>
    <m/>
    <m/>
    <x v="2"/>
    <x v="25"/>
    <x v="24"/>
    <x v="485"/>
    <s v="GP COIL SOFT TATXGP GLK1 0.35X1220"/>
    <s v=""/>
    <s v=""/>
    <m/>
    <m/>
    <m/>
    <x v="7"/>
    <x v="5"/>
    <s v="GLK1"/>
    <x v="6"/>
    <x v="1"/>
    <x v="0"/>
    <n v="84"/>
    <n v="0"/>
    <n v="84"/>
    <n v="84"/>
    <n v="84"/>
    <n v="84"/>
    <n v="0"/>
    <n v="0"/>
    <n v="0"/>
    <n v="0"/>
    <n v="0"/>
    <n v="0"/>
    <n v="0"/>
    <n v="0"/>
    <n v="0"/>
    <n v="0"/>
    <n v="0"/>
    <n v="0"/>
    <n v="0"/>
    <n v="0"/>
    <n v="0"/>
    <n v="0"/>
    <n v="0"/>
    <n v="0"/>
    <n v="0"/>
    <n v="0"/>
    <m/>
    <m/>
    <m/>
    <m/>
    <n v="0"/>
    <n v="84"/>
    <n v="0"/>
    <n v="0"/>
    <n v="84"/>
    <n v="0"/>
    <n v="0"/>
    <n v="84"/>
    <n v="0"/>
    <n v="0"/>
    <n v="0"/>
    <n v="84"/>
    <n v="0"/>
    <n v="0"/>
    <m/>
    <m/>
    <m/>
    <m/>
    <m/>
    <m/>
    <m/>
    <m/>
    <m/>
    <m/>
    <m/>
    <m/>
    <m/>
    <m/>
    <m/>
    <m/>
    <m/>
    <m/>
    <m/>
    <m/>
    <m/>
    <m/>
    <m/>
    <m/>
    <m/>
    <m/>
    <m/>
    <m/>
    <m/>
    <m/>
    <m/>
    <m/>
    <m/>
    <m/>
  </r>
  <r>
    <n v="743"/>
    <d v="2025-04-22T00:00:00"/>
    <x v="0"/>
    <n v="9518710703"/>
    <n v="2"/>
    <s v="9518710703-2"/>
    <s v="May'25"/>
    <x v="0"/>
    <m/>
    <x v="4"/>
    <x v="3"/>
    <x v="3"/>
    <m/>
    <x v="1"/>
    <m/>
    <m/>
    <s v="Rajasthan"/>
    <m/>
    <m/>
    <x v="2"/>
    <x v="51"/>
    <x v="39"/>
    <x v="163"/>
    <s v="GL COIL HARD Y550GL M308 0.50 (TCT)X1220"/>
    <n v="150"/>
    <s v=""/>
    <m/>
    <m/>
    <m/>
    <x v="5"/>
    <x v="7"/>
    <s v="M308"/>
    <x v="1"/>
    <x v="1"/>
    <x v="0"/>
    <n v="84"/>
    <n v="0"/>
    <n v="84"/>
    <n v="84"/>
    <n v="84"/>
    <n v="84"/>
    <n v="0"/>
    <n v="0"/>
    <n v="0"/>
    <n v="0"/>
    <n v="0"/>
    <n v="0"/>
    <n v="0"/>
    <n v="0"/>
    <n v="0"/>
    <n v="0"/>
    <n v="0"/>
    <n v="0"/>
    <n v="0"/>
    <n v="0"/>
    <n v="0"/>
    <n v="0"/>
    <n v="0"/>
    <n v="0"/>
    <n v="0"/>
    <n v="0"/>
    <m/>
    <m/>
    <m/>
    <m/>
    <n v="0"/>
    <n v="84"/>
    <n v="0"/>
    <n v="0"/>
    <n v="84"/>
    <n v="0"/>
    <n v="0"/>
    <n v="84"/>
    <n v="0"/>
    <n v="0"/>
    <n v="84"/>
    <n v="0"/>
    <n v="0"/>
    <n v="0"/>
    <m/>
    <m/>
    <m/>
    <m/>
    <m/>
    <m/>
    <m/>
    <m/>
    <m/>
    <m/>
    <m/>
    <m/>
    <m/>
    <m/>
    <m/>
    <m/>
    <m/>
    <m/>
    <m/>
    <m/>
    <m/>
    <m/>
    <m/>
    <m/>
    <m/>
    <m/>
    <m/>
    <m/>
    <m/>
    <m/>
    <m/>
    <m/>
    <m/>
    <m/>
  </r>
  <r>
    <n v="744"/>
    <d v="2025-04-22T00:00:00"/>
    <x v="0"/>
    <n v="9518711554"/>
    <n v="1"/>
    <s v="9518711554-1"/>
    <s v="May'25"/>
    <x v="0"/>
    <m/>
    <x v="2"/>
    <x v="3"/>
    <x v="3"/>
    <m/>
    <x v="1"/>
    <m/>
    <m/>
    <s v="Tamil Nadu"/>
    <m/>
    <m/>
    <x v="2"/>
    <x v="52"/>
    <x v="39"/>
    <x v="192"/>
    <s v="PPGL C Y550 D0C7 0.43BMT(0.47TPT)X1220"/>
    <n v="70"/>
    <s v="NG SMART GREY TSL 1905"/>
    <m/>
    <m/>
    <m/>
    <x v="3"/>
    <x v="3"/>
    <s v="D0C7"/>
    <x v="25"/>
    <x v="1"/>
    <x v="0"/>
    <n v="140"/>
    <n v="0"/>
    <n v="140"/>
    <n v="140"/>
    <n v="140"/>
    <n v="140"/>
    <n v="0"/>
    <n v="0"/>
    <n v="0"/>
    <n v="0"/>
    <n v="0"/>
    <n v="0"/>
    <n v="0"/>
    <n v="0"/>
    <n v="0"/>
    <n v="0"/>
    <n v="0"/>
    <n v="0"/>
    <n v="0"/>
    <n v="0"/>
    <n v="0"/>
    <n v="0"/>
    <n v="0"/>
    <n v="0"/>
    <n v="0"/>
    <n v="0"/>
    <m/>
    <m/>
    <m/>
    <m/>
    <n v="0"/>
    <n v="0"/>
    <n v="0"/>
    <n v="0"/>
    <n v="0"/>
    <n v="0"/>
    <n v="0"/>
    <n v="0"/>
    <n v="0"/>
    <n v="0"/>
    <n v="0"/>
    <n v="0"/>
    <n v="0"/>
    <n v="0"/>
    <m/>
    <m/>
    <m/>
    <m/>
    <m/>
    <m/>
    <m/>
    <m/>
    <m/>
    <m/>
    <m/>
    <m/>
    <m/>
    <m/>
    <m/>
    <m/>
    <m/>
    <m/>
    <m/>
    <m/>
    <m/>
    <m/>
    <m/>
    <m/>
    <m/>
    <m/>
    <m/>
    <m/>
    <m/>
    <m/>
    <m/>
    <m/>
    <m/>
    <m/>
  </r>
  <r>
    <n v="743"/>
    <d v="2025-04-22T00:00:00"/>
    <x v="0"/>
    <n v="9518712210"/>
    <n v="1"/>
    <s v="9518712210-1"/>
    <s v="No Priority"/>
    <x v="0"/>
    <m/>
    <x v="4"/>
    <x v="3"/>
    <x v="3"/>
    <m/>
    <x v="0"/>
    <m/>
    <m/>
    <s v="Jharkhand"/>
    <m/>
    <m/>
    <x v="2"/>
    <x v="22"/>
    <x v="39"/>
    <x v="156"/>
    <s v="GL C YS550 H6GL 0.42BMT(0.47TCT)X1220"/>
    <n v="150"/>
    <s v=""/>
    <m/>
    <m/>
    <m/>
    <x v="5"/>
    <x v="7"/>
    <s v="H6GL"/>
    <x v="3"/>
    <x v="1"/>
    <x v="0"/>
    <n v="196"/>
    <n v="0"/>
    <n v="196"/>
    <n v="196"/>
    <n v="196"/>
    <n v="196"/>
    <n v="0"/>
    <n v="0"/>
    <n v="0"/>
    <n v="0"/>
    <n v="0"/>
    <n v="0"/>
    <n v="0"/>
    <n v="0"/>
    <n v="0"/>
    <n v="0"/>
    <n v="0"/>
    <n v="0"/>
    <n v="0"/>
    <n v="0"/>
    <n v="0"/>
    <n v="0"/>
    <n v="0"/>
    <n v="0"/>
    <n v="0"/>
    <n v="0"/>
    <m/>
    <m/>
    <m/>
    <m/>
    <n v="0"/>
    <n v="0"/>
    <n v="0"/>
    <n v="0"/>
    <n v="0"/>
    <n v="0"/>
    <n v="0"/>
    <n v="0"/>
    <n v="0"/>
    <n v="0"/>
    <n v="0"/>
    <n v="0"/>
    <n v="0"/>
    <n v="0"/>
    <m/>
    <m/>
    <m/>
    <m/>
    <m/>
    <m/>
    <m/>
    <m/>
    <m/>
    <m/>
    <m/>
    <m/>
    <m/>
    <m/>
    <m/>
    <m/>
    <m/>
    <m/>
    <m/>
    <m/>
    <m/>
    <m/>
    <m/>
    <m/>
    <m/>
    <m/>
    <m/>
    <m/>
    <m/>
    <m/>
    <m/>
    <m/>
    <m/>
    <m/>
  </r>
  <r>
    <n v="743"/>
    <d v="2025-04-22T00:00:00"/>
    <x v="0"/>
    <n v="9518712210"/>
    <n v="3"/>
    <s v="9518712210-3"/>
    <s v="No Priority"/>
    <x v="0"/>
    <m/>
    <x v="4"/>
    <x v="3"/>
    <x v="3"/>
    <m/>
    <x v="0"/>
    <m/>
    <m/>
    <s v="Jharkhand"/>
    <m/>
    <m/>
    <x v="2"/>
    <x v="22"/>
    <x v="39"/>
    <x v="156"/>
    <s v="GL C YS550 H6GL 0.42BMT(0.47TCT)X1220"/>
    <n v="150"/>
    <s v=""/>
    <m/>
    <m/>
    <m/>
    <x v="5"/>
    <x v="7"/>
    <s v="H6GL"/>
    <x v="3"/>
    <x v="1"/>
    <x v="0"/>
    <n v="280"/>
    <n v="0"/>
    <n v="280"/>
    <n v="280"/>
    <n v="280"/>
    <n v="280"/>
    <n v="0"/>
    <n v="0"/>
    <n v="0"/>
    <n v="0"/>
    <n v="0"/>
    <n v="0"/>
    <n v="0"/>
    <n v="0"/>
    <n v="0"/>
    <n v="0"/>
    <n v="0"/>
    <n v="0"/>
    <n v="0"/>
    <n v="0"/>
    <n v="0"/>
    <n v="0"/>
    <n v="0"/>
    <n v="0"/>
    <n v="0"/>
    <n v="0"/>
    <m/>
    <m/>
    <m/>
    <m/>
    <n v="0"/>
    <n v="0"/>
    <n v="0"/>
    <n v="0"/>
    <n v="0"/>
    <n v="0"/>
    <n v="0"/>
    <n v="0"/>
    <n v="0"/>
    <n v="0"/>
    <n v="0"/>
    <n v="0"/>
    <n v="0"/>
    <n v="0"/>
    <m/>
    <m/>
    <m/>
    <m/>
    <m/>
    <m/>
    <m/>
    <m/>
    <m/>
    <m/>
    <m/>
    <m/>
    <m/>
    <m/>
    <m/>
    <m/>
    <m/>
    <m/>
    <m/>
    <m/>
    <m/>
    <m/>
    <m/>
    <m/>
    <m/>
    <m/>
    <m/>
    <m/>
    <m/>
    <m/>
    <m/>
    <m/>
    <m/>
    <m/>
  </r>
  <r>
    <n v="743"/>
    <d v="2025-04-22T00:00:00"/>
    <x v="0"/>
    <n v="9518712210"/>
    <n v="6"/>
    <s v="9518712210-6"/>
    <s v="No Priority"/>
    <x v="0"/>
    <m/>
    <x v="4"/>
    <x v="3"/>
    <x v="3"/>
    <m/>
    <x v="0"/>
    <m/>
    <m/>
    <s v="Jharkhand"/>
    <m/>
    <m/>
    <x v="2"/>
    <x v="22"/>
    <x v="39"/>
    <x v="156"/>
    <s v="GL C YS550 H6GL 0.42BMT(0.47TCT)X1220"/>
    <n v="150"/>
    <s v=""/>
    <m/>
    <m/>
    <m/>
    <x v="5"/>
    <x v="7"/>
    <s v="H6GL"/>
    <x v="3"/>
    <x v="1"/>
    <x v="0"/>
    <n v="140"/>
    <n v="0"/>
    <n v="140"/>
    <n v="140"/>
    <n v="140"/>
    <n v="140"/>
    <n v="0"/>
    <n v="0"/>
    <n v="0"/>
    <n v="0"/>
    <n v="0"/>
    <n v="0"/>
    <n v="0"/>
    <n v="0"/>
    <n v="0"/>
    <n v="0"/>
    <n v="0"/>
    <n v="0"/>
    <n v="0"/>
    <n v="0"/>
    <n v="0"/>
    <n v="0"/>
    <n v="0"/>
    <n v="0"/>
    <n v="0"/>
    <n v="0"/>
    <m/>
    <m/>
    <m/>
    <m/>
    <n v="0"/>
    <n v="0"/>
    <n v="0"/>
    <n v="0"/>
    <n v="0"/>
    <n v="0"/>
    <n v="0"/>
    <n v="0"/>
    <n v="0"/>
    <n v="0"/>
    <n v="0"/>
    <n v="0"/>
    <n v="0"/>
    <n v="0"/>
    <m/>
    <m/>
    <m/>
    <m/>
    <m/>
    <m/>
    <m/>
    <m/>
    <m/>
    <m/>
    <m/>
    <m/>
    <m/>
    <m/>
    <m/>
    <m/>
    <m/>
    <m/>
    <m/>
    <m/>
    <m/>
    <m/>
    <m/>
    <m/>
    <m/>
    <m/>
    <m/>
    <m/>
    <m/>
    <m/>
    <m/>
    <m/>
    <m/>
    <m/>
  </r>
  <r>
    <n v="744"/>
    <d v="2025-04-23T00:00:00"/>
    <x v="0"/>
    <n v="9518714453"/>
    <n v="9"/>
    <s v="9518714453-9"/>
    <s v="May'25"/>
    <x v="0"/>
    <m/>
    <x v="2"/>
    <x v="3"/>
    <x v="3"/>
    <m/>
    <x v="1"/>
    <m/>
    <m/>
    <s v="Jharkhand"/>
    <m/>
    <m/>
    <x v="2"/>
    <x v="6"/>
    <x v="39"/>
    <x v="139"/>
    <s v="PPGL C HARD Y550PL D0C9 0.80(TPT)X1220"/>
    <n v="150"/>
    <s v="LIGHT BLUE TSL 1802"/>
    <m/>
    <m/>
    <m/>
    <x v="3"/>
    <x v="3"/>
    <s v="D0C9"/>
    <x v="5"/>
    <x v="1"/>
    <x v="0"/>
    <n v="112"/>
    <n v="0"/>
    <n v="112"/>
    <n v="112"/>
    <n v="112"/>
    <n v="112"/>
    <n v="0"/>
    <n v="0"/>
    <n v="0"/>
    <n v="0"/>
    <n v="0"/>
    <n v="0"/>
    <n v="0"/>
    <n v="0"/>
    <n v="0"/>
    <n v="0"/>
    <n v="0"/>
    <n v="0"/>
    <n v="0"/>
    <n v="0"/>
    <n v="0"/>
    <n v="0"/>
    <n v="0"/>
    <n v="0"/>
    <n v="0"/>
    <n v="0"/>
    <m/>
    <m/>
    <m/>
    <m/>
    <n v="0"/>
    <n v="0"/>
    <n v="0"/>
    <n v="0"/>
    <n v="0"/>
    <n v="0"/>
    <n v="0"/>
    <n v="0"/>
    <n v="0"/>
    <n v="0"/>
    <n v="0"/>
    <n v="0"/>
    <n v="0"/>
    <n v="0"/>
    <m/>
    <m/>
    <m/>
    <m/>
    <m/>
    <m/>
    <m/>
    <m/>
    <m/>
    <m/>
    <m/>
    <m/>
    <m/>
    <m/>
    <m/>
    <m/>
    <m/>
    <m/>
    <m/>
    <m/>
    <m/>
    <m/>
    <m/>
    <m/>
    <m/>
    <m/>
    <m/>
    <m/>
    <m/>
    <m/>
    <m/>
    <m/>
    <m/>
    <m/>
  </r>
  <r>
    <n v="743"/>
    <d v="2025-04-23T00:00:00"/>
    <x v="0"/>
    <n v="9518715386"/>
    <n v="2"/>
    <s v="9518715386-2"/>
    <s v="No Priority"/>
    <x v="0"/>
    <m/>
    <x v="4"/>
    <x v="3"/>
    <x v="3"/>
    <m/>
    <x v="0"/>
    <m/>
    <m/>
    <s v="Jharkhand"/>
    <m/>
    <m/>
    <x v="2"/>
    <x v="39"/>
    <x v="39"/>
    <x v="146"/>
    <s v="GL C YS550 M306 0.35BMT(0.37TCT)X900"/>
    <n v="70"/>
    <s v=""/>
    <m/>
    <m/>
    <m/>
    <x v="5"/>
    <x v="7"/>
    <s v="M306"/>
    <x v="6"/>
    <x v="3"/>
    <x v="0"/>
    <n v="21"/>
    <n v="0"/>
    <n v="21"/>
    <n v="21"/>
    <n v="21"/>
    <n v="21"/>
    <n v="0"/>
    <n v="0"/>
    <n v="0"/>
    <n v="0"/>
    <n v="0"/>
    <n v="0"/>
    <n v="0"/>
    <n v="0"/>
    <n v="0"/>
    <n v="0"/>
    <n v="0"/>
    <n v="0"/>
    <n v="0"/>
    <n v="0"/>
    <n v="0"/>
    <n v="0"/>
    <n v="0"/>
    <n v="0"/>
    <n v="0"/>
    <n v="0"/>
    <m/>
    <m/>
    <m/>
    <m/>
    <n v="0"/>
    <n v="0"/>
    <n v="0"/>
    <n v="0"/>
    <n v="0"/>
    <n v="0"/>
    <n v="0"/>
    <n v="0"/>
    <n v="0"/>
    <n v="0"/>
    <n v="0"/>
    <n v="0"/>
    <n v="0"/>
    <n v="0"/>
    <m/>
    <m/>
    <m/>
    <m/>
    <m/>
    <m/>
    <m/>
    <m/>
    <m/>
    <m/>
    <m/>
    <m/>
    <m/>
    <m/>
    <m/>
    <m/>
    <m/>
    <m/>
    <m/>
    <m/>
    <m/>
    <m/>
    <m/>
    <m/>
    <m/>
    <m/>
    <m/>
    <m/>
    <m/>
    <m/>
    <m/>
    <m/>
    <m/>
    <m/>
  </r>
  <r>
    <n v="743"/>
    <d v="2025-04-23T00:00:00"/>
    <x v="0"/>
    <n v="9518715401"/>
    <n v="2"/>
    <s v="9518715401-2"/>
    <s v="May'25"/>
    <x v="0"/>
    <m/>
    <x v="4"/>
    <x v="3"/>
    <x v="3"/>
    <m/>
    <x v="1"/>
    <m/>
    <m/>
    <s v="Jharkhand"/>
    <m/>
    <m/>
    <x v="2"/>
    <x v="39"/>
    <x v="39"/>
    <x v="163"/>
    <s v="GL COIL HARD Y550GL M308 0.50 (TCT)X1220"/>
    <n v="150"/>
    <s v=""/>
    <m/>
    <m/>
    <m/>
    <x v="5"/>
    <x v="7"/>
    <s v="M308"/>
    <x v="1"/>
    <x v="1"/>
    <x v="0"/>
    <n v="84"/>
    <n v="0"/>
    <n v="84"/>
    <n v="84"/>
    <n v="84"/>
    <n v="84"/>
    <n v="0"/>
    <n v="0"/>
    <n v="0"/>
    <n v="0"/>
    <n v="0"/>
    <n v="0"/>
    <n v="0"/>
    <n v="0"/>
    <n v="0"/>
    <n v="0"/>
    <n v="0"/>
    <n v="0"/>
    <n v="0"/>
    <n v="0"/>
    <n v="0"/>
    <n v="0"/>
    <n v="0"/>
    <n v="0"/>
    <n v="0"/>
    <n v="0"/>
    <m/>
    <m/>
    <m/>
    <m/>
    <n v="0"/>
    <n v="84"/>
    <n v="0"/>
    <n v="0"/>
    <n v="0"/>
    <n v="0"/>
    <n v="84"/>
    <n v="0"/>
    <n v="0"/>
    <n v="0"/>
    <n v="0"/>
    <n v="0"/>
    <n v="0"/>
    <n v="84"/>
    <m/>
    <m/>
    <m/>
    <m/>
    <m/>
    <m/>
    <m/>
    <m/>
    <m/>
    <m/>
    <m/>
    <m/>
    <m/>
    <m/>
    <m/>
    <m/>
    <m/>
    <m/>
    <m/>
    <m/>
    <m/>
    <m/>
    <m/>
    <m/>
    <m/>
    <m/>
    <m/>
    <m/>
    <m/>
    <m/>
    <m/>
    <m/>
    <m/>
    <m/>
  </r>
  <r>
    <n v="743"/>
    <d v="2025-04-23T00:00:00"/>
    <x v="0"/>
    <n v="9518715401"/>
    <n v="3"/>
    <s v="9518715401-3"/>
    <s v="May'25"/>
    <x v="0"/>
    <m/>
    <x v="4"/>
    <x v="3"/>
    <x v="3"/>
    <m/>
    <x v="1"/>
    <m/>
    <m/>
    <s v="Jharkhand"/>
    <m/>
    <m/>
    <x v="2"/>
    <x v="39"/>
    <x v="39"/>
    <x v="27"/>
    <s v="GL COIL HARD Y550GL M308 0.47 (TCT)X1220"/>
    <n v="150"/>
    <s v=""/>
    <m/>
    <m/>
    <m/>
    <x v="5"/>
    <x v="7"/>
    <s v="M308"/>
    <x v="14"/>
    <x v="1"/>
    <x v="0"/>
    <n v="224"/>
    <n v="0"/>
    <n v="224"/>
    <n v="224"/>
    <n v="224"/>
    <n v="224"/>
    <n v="0"/>
    <n v="0"/>
    <n v="0"/>
    <n v="0"/>
    <n v="0"/>
    <n v="0"/>
    <n v="0"/>
    <n v="0"/>
    <n v="0"/>
    <n v="0"/>
    <n v="0"/>
    <n v="0"/>
    <n v="0"/>
    <n v="0"/>
    <n v="0"/>
    <n v="0"/>
    <n v="0"/>
    <n v="0"/>
    <n v="0"/>
    <n v="0"/>
    <m/>
    <m/>
    <m/>
    <m/>
    <n v="0"/>
    <n v="224"/>
    <n v="0"/>
    <n v="0"/>
    <n v="0"/>
    <n v="224"/>
    <n v="0"/>
    <n v="224"/>
    <n v="0"/>
    <n v="0"/>
    <n v="0"/>
    <n v="0"/>
    <n v="224"/>
    <n v="0"/>
    <m/>
    <m/>
    <m/>
    <m/>
    <m/>
    <m/>
    <m/>
    <m/>
    <m/>
    <m/>
    <m/>
    <m/>
    <m/>
    <m/>
    <m/>
    <m/>
    <m/>
    <m/>
    <m/>
    <m/>
    <m/>
    <m/>
    <m/>
    <m/>
    <m/>
    <m/>
    <m/>
    <m/>
    <m/>
    <m/>
    <m/>
    <m/>
    <m/>
    <m/>
  </r>
  <r>
    <n v="743"/>
    <d v="2025-04-23T00:00:00"/>
    <x v="0"/>
    <n v="9518715401"/>
    <n v="4"/>
    <s v="9518715401-4"/>
    <s v="May'25"/>
    <x v="0"/>
    <m/>
    <x v="4"/>
    <x v="3"/>
    <x v="3"/>
    <m/>
    <x v="1"/>
    <m/>
    <m/>
    <s v="Jharkhand"/>
    <m/>
    <m/>
    <x v="2"/>
    <x v="39"/>
    <x v="39"/>
    <x v="163"/>
    <s v="GL COIL HARD Y550GL M308 0.50 (TCT)X1220"/>
    <n v="150"/>
    <s v=""/>
    <m/>
    <m/>
    <m/>
    <x v="5"/>
    <x v="7"/>
    <s v="M308"/>
    <x v="1"/>
    <x v="1"/>
    <x v="0"/>
    <n v="84"/>
    <n v="0"/>
    <n v="84"/>
    <n v="84"/>
    <n v="84"/>
    <n v="84"/>
    <n v="0"/>
    <n v="0"/>
    <n v="0"/>
    <n v="0"/>
    <n v="0"/>
    <n v="0"/>
    <n v="0"/>
    <n v="0"/>
    <n v="0"/>
    <n v="0"/>
    <n v="0"/>
    <n v="0"/>
    <n v="0"/>
    <n v="0"/>
    <n v="0"/>
    <n v="0"/>
    <n v="0"/>
    <n v="0"/>
    <n v="0"/>
    <n v="0"/>
    <m/>
    <m/>
    <m/>
    <m/>
    <n v="0"/>
    <n v="84"/>
    <n v="0"/>
    <n v="0"/>
    <n v="84"/>
    <n v="0"/>
    <n v="0"/>
    <n v="84"/>
    <n v="0"/>
    <n v="0"/>
    <n v="0"/>
    <n v="84"/>
    <n v="0"/>
    <n v="0"/>
    <m/>
    <m/>
    <m/>
    <m/>
    <m/>
    <m/>
    <m/>
    <m/>
    <m/>
    <m/>
    <m/>
    <m/>
    <m/>
    <m/>
    <m/>
    <m/>
    <m/>
    <m/>
    <m/>
    <m/>
    <m/>
    <m/>
    <m/>
    <m/>
    <m/>
    <m/>
    <m/>
    <m/>
    <m/>
    <m/>
    <m/>
    <m/>
    <m/>
    <m/>
  </r>
  <r>
    <n v="744"/>
    <d v="2025-04-23T00:00:00"/>
    <x v="0"/>
    <n v="9518715371"/>
    <n v="3"/>
    <s v="9518715371-3"/>
    <s v="May'25"/>
    <x v="0"/>
    <m/>
    <x v="2"/>
    <x v="3"/>
    <x v="3"/>
    <m/>
    <x v="1"/>
    <m/>
    <m/>
    <s v="Jharkhand"/>
    <m/>
    <m/>
    <x v="2"/>
    <x v="15"/>
    <x v="15"/>
    <x v="192"/>
    <s v="PPGL C Y550 D0C7 0.43BMT(0.47TPT)X1220"/>
    <n v="70"/>
    <s v="NUVO BLUE TSL 1903"/>
    <m/>
    <m/>
    <m/>
    <x v="3"/>
    <x v="3"/>
    <s v="D0C7"/>
    <x v="25"/>
    <x v="1"/>
    <x v="0"/>
    <n v="280"/>
    <n v="0"/>
    <n v="280"/>
    <n v="280"/>
    <n v="280"/>
    <n v="280"/>
    <n v="0"/>
    <n v="0"/>
    <n v="0"/>
    <n v="0"/>
    <n v="0"/>
    <n v="0"/>
    <n v="0"/>
    <n v="0"/>
    <n v="0"/>
    <n v="0"/>
    <n v="0"/>
    <n v="0"/>
    <n v="0"/>
    <n v="0"/>
    <n v="0"/>
    <n v="0"/>
    <n v="0"/>
    <n v="0"/>
    <n v="0"/>
    <n v="0"/>
    <m/>
    <m/>
    <m/>
    <m/>
    <n v="0"/>
    <n v="280"/>
    <n v="0"/>
    <n v="0"/>
    <n v="0"/>
    <n v="0"/>
    <n v="280"/>
    <n v="280"/>
    <n v="0"/>
    <n v="0"/>
    <n v="0"/>
    <n v="0"/>
    <n v="280"/>
    <n v="0"/>
    <m/>
    <m/>
    <m/>
    <m/>
    <m/>
    <m/>
    <m/>
    <m/>
    <m/>
    <m/>
    <m/>
    <m/>
    <m/>
    <m/>
    <m/>
    <m/>
    <m/>
    <m/>
    <m/>
    <m/>
    <m/>
    <m/>
    <m/>
    <m/>
    <m/>
    <m/>
    <m/>
    <m/>
    <m/>
    <m/>
    <m/>
    <m/>
    <m/>
    <m/>
  </r>
  <r>
    <n v="744"/>
    <d v="2025-04-23T00:00:00"/>
    <x v="0"/>
    <n v="9518715371"/>
    <n v="4"/>
    <s v="9518715371-4"/>
    <s v="May'25"/>
    <x v="0"/>
    <m/>
    <x v="2"/>
    <x v="3"/>
    <x v="3"/>
    <m/>
    <x v="1"/>
    <m/>
    <m/>
    <s v="Jharkhand"/>
    <m/>
    <m/>
    <x v="2"/>
    <x v="15"/>
    <x v="15"/>
    <x v="192"/>
    <s v="PPGL C Y550 D0C7 0.43BMT(0.47TPT)X1220"/>
    <n v="70"/>
    <s v="NUVO BLUE TSL 1903"/>
    <m/>
    <m/>
    <m/>
    <x v="3"/>
    <x v="3"/>
    <s v="D0C7"/>
    <x v="25"/>
    <x v="1"/>
    <x v="0"/>
    <n v="280"/>
    <n v="0"/>
    <n v="280"/>
    <n v="280"/>
    <n v="280"/>
    <n v="280"/>
    <n v="0"/>
    <n v="0"/>
    <n v="0"/>
    <n v="0"/>
    <n v="0"/>
    <n v="0"/>
    <n v="0"/>
    <n v="0"/>
    <n v="0"/>
    <n v="0"/>
    <n v="0"/>
    <n v="0"/>
    <n v="0"/>
    <n v="0"/>
    <n v="0"/>
    <n v="0"/>
    <n v="0"/>
    <n v="0"/>
    <n v="0"/>
    <n v="0"/>
    <m/>
    <m/>
    <m/>
    <m/>
    <n v="0"/>
    <n v="280"/>
    <n v="0"/>
    <n v="0"/>
    <n v="0"/>
    <n v="0"/>
    <n v="280"/>
    <n v="0"/>
    <n v="0"/>
    <n v="0"/>
    <n v="0"/>
    <n v="0"/>
    <n v="0"/>
    <n v="280"/>
    <m/>
    <m/>
    <m/>
    <m/>
    <m/>
    <m/>
    <m/>
    <m/>
    <m/>
    <m/>
    <m/>
    <m/>
    <m/>
    <m/>
    <m/>
    <m/>
    <m/>
    <m/>
    <m/>
    <m/>
    <m/>
    <m/>
    <m/>
    <m/>
    <m/>
    <m/>
    <m/>
    <m/>
    <m/>
    <m/>
    <m/>
    <m/>
    <m/>
    <m/>
  </r>
  <r>
    <n v="744"/>
    <d v="2025-04-23T00:00:00"/>
    <x v="0"/>
    <n v="9518715371"/>
    <n v="5"/>
    <s v="9518715371-5"/>
    <s v="May'25"/>
    <x v="0"/>
    <m/>
    <x v="2"/>
    <x v="3"/>
    <x v="3"/>
    <m/>
    <x v="1"/>
    <m/>
    <m/>
    <s v="Jharkhand"/>
    <m/>
    <m/>
    <x v="2"/>
    <x v="15"/>
    <x v="15"/>
    <x v="192"/>
    <s v="PPGL C Y550 D0C7 0.43BMT(0.47TPT)X1220"/>
    <n v="70"/>
    <s v="NUVO BLUE TSL 1903"/>
    <m/>
    <m/>
    <m/>
    <x v="3"/>
    <x v="3"/>
    <s v="D0C7"/>
    <x v="25"/>
    <x v="1"/>
    <x v="0"/>
    <n v="280"/>
    <n v="0"/>
    <n v="280"/>
    <n v="280"/>
    <n v="280"/>
    <n v="280"/>
    <n v="0"/>
    <n v="0"/>
    <n v="0"/>
    <n v="0"/>
    <n v="0"/>
    <n v="0"/>
    <n v="0"/>
    <n v="0"/>
    <n v="0"/>
    <n v="0"/>
    <n v="0"/>
    <n v="0"/>
    <n v="0"/>
    <n v="0"/>
    <n v="0"/>
    <n v="0"/>
    <n v="0"/>
    <n v="0"/>
    <n v="0"/>
    <n v="0"/>
    <m/>
    <m/>
    <m/>
    <m/>
    <n v="0"/>
    <n v="0"/>
    <n v="0"/>
    <n v="0"/>
    <n v="0"/>
    <n v="0"/>
    <n v="0"/>
    <n v="0"/>
    <n v="0"/>
    <n v="0"/>
    <n v="0"/>
    <n v="0"/>
    <n v="0"/>
    <n v="0"/>
    <m/>
    <m/>
    <m/>
    <m/>
    <m/>
    <m/>
    <m/>
    <m/>
    <m/>
    <m/>
    <m/>
    <m/>
    <m/>
    <m/>
    <m/>
    <m/>
    <m/>
    <m/>
    <m/>
    <m/>
    <m/>
    <m/>
    <m/>
    <m/>
    <m/>
    <m/>
    <m/>
    <m/>
    <m/>
    <m/>
    <m/>
    <m/>
    <m/>
    <m/>
  </r>
  <r>
    <n v="744"/>
    <d v="2025-04-23T00:00:00"/>
    <x v="0"/>
    <n v="9518715371"/>
    <n v="6"/>
    <s v="9518715371-6"/>
    <s v="May'25"/>
    <x v="0"/>
    <m/>
    <x v="2"/>
    <x v="3"/>
    <x v="3"/>
    <m/>
    <x v="1"/>
    <m/>
    <m/>
    <s v="Jharkhand"/>
    <m/>
    <m/>
    <x v="2"/>
    <x v="15"/>
    <x v="15"/>
    <x v="192"/>
    <s v="PPGL C Y550 D0C7 0.43BMT(0.47TPT)X1220"/>
    <n v="70"/>
    <s v="NG SMART GREY TSL 1905"/>
    <m/>
    <m/>
    <m/>
    <x v="3"/>
    <x v="3"/>
    <s v="D0C7"/>
    <x v="25"/>
    <x v="1"/>
    <x v="0"/>
    <n v="56"/>
    <n v="0"/>
    <n v="56"/>
    <n v="56"/>
    <n v="56"/>
    <n v="56"/>
    <n v="0"/>
    <n v="0"/>
    <n v="0"/>
    <n v="0"/>
    <n v="0"/>
    <n v="0"/>
    <n v="0"/>
    <n v="0"/>
    <n v="0"/>
    <n v="0"/>
    <n v="0"/>
    <n v="0"/>
    <n v="0"/>
    <n v="0"/>
    <n v="0"/>
    <n v="0"/>
    <n v="0"/>
    <n v="0"/>
    <n v="0"/>
    <n v="0"/>
    <m/>
    <m/>
    <m/>
    <m/>
    <n v="0"/>
    <n v="56"/>
    <n v="0"/>
    <n v="0"/>
    <n v="0"/>
    <n v="0"/>
    <n v="56"/>
    <n v="0"/>
    <n v="0"/>
    <n v="0"/>
    <n v="0"/>
    <n v="0"/>
    <n v="0"/>
    <n v="56"/>
    <m/>
    <m/>
    <m/>
    <m/>
    <m/>
    <m/>
    <m/>
    <m/>
    <m/>
    <m/>
    <m/>
    <m/>
    <m/>
    <m/>
    <m/>
    <m/>
    <m/>
    <m/>
    <m/>
    <m/>
    <m/>
    <m/>
    <m/>
    <m/>
    <m/>
    <m/>
    <m/>
    <m/>
    <m/>
    <m/>
    <m/>
    <m/>
    <m/>
    <m/>
  </r>
  <r>
    <n v="743"/>
    <d v="2025-04-23T00:00:00"/>
    <x v="0"/>
    <n v="9518714995"/>
    <n v="1"/>
    <s v="9518714995-1"/>
    <s v="May'25"/>
    <x v="0"/>
    <m/>
    <x v="4"/>
    <x v="13"/>
    <x v="3"/>
    <m/>
    <x v="1"/>
    <m/>
    <m/>
    <s v="West Bengal"/>
    <m/>
    <m/>
    <x v="2"/>
    <x v="61"/>
    <x v="58"/>
    <x v="141"/>
    <s v="GL COIL HARD  Y550GL H7GL 0.440X1240"/>
    <n v="70"/>
    <m/>
    <m/>
    <m/>
    <m/>
    <x v="5"/>
    <x v="7"/>
    <s v="H7GL"/>
    <x v="44"/>
    <x v="17"/>
    <x v="0"/>
    <n v="252"/>
    <n v="0"/>
    <n v="252"/>
    <n v="252"/>
    <n v="252"/>
    <n v="100.69"/>
    <n v="0"/>
    <n v="0"/>
    <n v="0"/>
    <n v="0"/>
    <n v="0"/>
    <n v="0"/>
    <n v="0"/>
    <n v="0"/>
    <n v="0"/>
    <n v="0"/>
    <n v="0"/>
    <n v="0"/>
    <n v="0"/>
    <n v="0"/>
    <n v="0"/>
    <n v="0"/>
    <n v="0"/>
    <n v="0"/>
    <n v="97.850000000000009"/>
    <n v="97.850000000000009"/>
    <m/>
    <m/>
    <m/>
    <m/>
    <n v="207.50499999999997"/>
    <n v="100.69"/>
    <n v="100.69"/>
    <n v="0"/>
    <n v="0"/>
    <n v="0"/>
    <n v="0"/>
    <n v="308.19499999999994"/>
    <n v="0"/>
    <n v="308.19499999999994"/>
    <n v="0"/>
    <n v="0"/>
    <n v="0"/>
    <n v="0"/>
    <m/>
    <m/>
    <m/>
    <m/>
    <m/>
    <m/>
    <m/>
    <m/>
    <m/>
    <m/>
    <m/>
    <m/>
    <m/>
    <m/>
    <m/>
    <m/>
    <m/>
    <m/>
    <m/>
    <m/>
    <m/>
    <m/>
    <m/>
    <m/>
    <m/>
    <m/>
    <m/>
    <m/>
    <m/>
    <m/>
    <m/>
    <m/>
    <m/>
    <m/>
  </r>
  <r>
    <n v="743"/>
    <d v="2025-04-23T00:00:00"/>
    <x v="0"/>
    <n v="9518714995"/>
    <n v="2"/>
    <s v="9518714995-2"/>
    <s v="May'25"/>
    <x v="0"/>
    <m/>
    <x v="4"/>
    <x v="13"/>
    <x v="3"/>
    <m/>
    <x v="1"/>
    <m/>
    <m/>
    <s v="West Bengal"/>
    <m/>
    <m/>
    <x v="2"/>
    <x v="61"/>
    <x v="58"/>
    <x v="141"/>
    <s v="GL COIL HARD  Y550GL H7GL 0.440X1240"/>
    <n v="70"/>
    <m/>
    <m/>
    <m/>
    <m/>
    <x v="5"/>
    <x v="7"/>
    <s v="H7GL"/>
    <x v="44"/>
    <x v="17"/>
    <x v="0"/>
    <n v="252"/>
    <n v="0"/>
    <n v="252"/>
    <n v="252"/>
    <n v="252"/>
    <n v="172.565"/>
    <n v="0"/>
    <n v="0"/>
    <n v="0"/>
    <n v="24.6"/>
    <n v="0"/>
    <n v="48.9"/>
    <n v="0"/>
    <n v="13.67"/>
    <n v="0"/>
    <n v="0"/>
    <n v="0"/>
    <n v="0"/>
    <n v="0"/>
    <n v="0"/>
    <n v="0"/>
    <n v="0"/>
    <n v="0"/>
    <n v="0"/>
    <n v="90.545000000000002"/>
    <n v="177.715"/>
    <m/>
    <m/>
    <m/>
    <m/>
    <n v="107.34"/>
    <n v="172.565"/>
    <n v="172.565"/>
    <n v="0"/>
    <n v="0"/>
    <n v="0"/>
    <n v="0"/>
    <n v="279.90499999999997"/>
    <n v="0"/>
    <n v="279.90499999999997"/>
    <n v="0"/>
    <n v="0"/>
    <n v="0"/>
    <n v="0"/>
    <m/>
    <m/>
    <m/>
    <m/>
    <m/>
    <m/>
    <m/>
    <m/>
    <m/>
    <m/>
    <m/>
    <m/>
    <m/>
    <m/>
    <m/>
    <m/>
    <m/>
    <m/>
    <m/>
    <m/>
    <m/>
    <m/>
    <m/>
    <m/>
    <m/>
    <m/>
    <m/>
    <m/>
    <m/>
    <m/>
    <m/>
    <m/>
    <m/>
    <m/>
  </r>
  <r>
    <n v="743"/>
    <d v="2025-04-23T00:00:00"/>
    <x v="0"/>
    <n v="9518714995"/>
    <n v="3"/>
    <s v="9518714995-3"/>
    <s v="May'25"/>
    <x v="0"/>
    <m/>
    <x v="4"/>
    <x v="13"/>
    <x v="3"/>
    <n v="1400"/>
    <x v="1"/>
    <m/>
    <m/>
    <s v="West Bengal"/>
    <m/>
    <m/>
    <x v="2"/>
    <x v="61"/>
    <x v="58"/>
    <x v="141"/>
    <s v="GL COIL HARD  Y550GL H7GL 0.440X1240"/>
    <n v="70"/>
    <m/>
    <m/>
    <m/>
    <m/>
    <x v="5"/>
    <x v="7"/>
    <s v="H7GL"/>
    <x v="44"/>
    <x v="17"/>
    <x v="0"/>
    <n v="252"/>
    <n v="0"/>
    <n v="252"/>
    <n v="252"/>
    <n v="252"/>
    <n v="252"/>
    <n v="0"/>
    <n v="0"/>
    <n v="28.81"/>
    <n v="28.68"/>
    <n v="0"/>
    <n v="0"/>
    <n v="0"/>
    <n v="6.0200000000000005"/>
    <n v="0"/>
    <n v="0"/>
    <n v="0"/>
    <n v="0"/>
    <n v="0"/>
    <n v="0"/>
    <n v="0"/>
    <n v="0"/>
    <n v="0"/>
    <n v="0"/>
    <n v="26.76"/>
    <n v="90.27"/>
    <m/>
    <m/>
    <m/>
    <m/>
    <n v="13.29"/>
    <n v="252"/>
    <n v="0"/>
    <n v="252"/>
    <n v="0"/>
    <n v="0"/>
    <n v="0"/>
    <n v="265.29000000000002"/>
    <n v="0"/>
    <n v="0"/>
    <n v="265.29000000000002"/>
    <n v="0"/>
    <n v="0"/>
    <n v="0"/>
    <m/>
    <m/>
    <m/>
    <m/>
    <m/>
    <m/>
    <m/>
    <m/>
    <m/>
    <m/>
    <m/>
    <m/>
    <m/>
    <m/>
    <m/>
    <m/>
    <m/>
    <m/>
    <m/>
    <m/>
    <m/>
    <m/>
    <m/>
    <m/>
    <m/>
    <m/>
    <m/>
    <m/>
    <m/>
    <m/>
    <m/>
    <m/>
    <m/>
    <m/>
  </r>
  <r>
    <n v="743"/>
    <d v="2025-04-23T00:00:00"/>
    <x v="0"/>
    <n v="9518714995"/>
    <n v="4"/>
    <s v="9518714995-4"/>
    <s v="May'25"/>
    <x v="0"/>
    <m/>
    <x v="4"/>
    <x v="13"/>
    <x v="3"/>
    <m/>
    <x v="1"/>
    <m/>
    <m/>
    <s v="West Bengal"/>
    <m/>
    <m/>
    <x v="2"/>
    <x v="61"/>
    <x v="58"/>
    <x v="141"/>
    <s v="GL COIL HARD  Y550GL H7GL 0.440X1240"/>
    <n v="70"/>
    <m/>
    <m/>
    <m/>
    <m/>
    <x v="5"/>
    <x v="7"/>
    <s v="H7GL"/>
    <x v="44"/>
    <x v="17"/>
    <x v="0"/>
    <n v="252"/>
    <n v="0"/>
    <n v="252"/>
    <n v="252"/>
    <n v="252"/>
    <n v="252"/>
    <n v="0"/>
    <n v="0"/>
    <n v="0"/>
    <n v="0"/>
    <n v="0"/>
    <n v="0"/>
    <n v="0"/>
    <n v="0"/>
    <n v="0"/>
    <n v="0"/>
    <n v="0"/>
    <n v="0"/>
    <n v="0"/>
    <n v="0"/>
    <n v="0"/>
    <n v="0"/>
    <n v="0"/>
    <n v="0"/>
    <n v="0"/>
    <n v="0"/>
    <m/>
    <m/>
    <m/>
    <m/>
    <n v="0"/>
    <n v="252"/>
    <n v="0"/>
    <n v="252"/>
    <n v="0"/>
    <n v="0"/>
    <n v="0"/>
    <n v="252"/>
    <n v="0"/>
    <n v="0"/>
    <n v="252"/>
    <n v="0"/>
    <n v="0"/>
    <n v="0"/>
    <m/>
    <m/>
    <m/>
    <m/>
    <m/>
    <m/>
    <m/>
    <m/>
    <m/>
    <m/>
    <m/>
    <m/>
    <m/>
    <m/>
    <m/>
    <m/>
    <m/>
    <m/>
    <m/>
    <m/>
    <m/>
    <m/>
    <m/>
    <m/>
    <m/>
    <m/>
    <m/>
    <m/>
    <m/>
    <m/>
    <m/>
    <m/>
    <m/>
    <m/>
  </r>
  <r>
    <n v="743"/>
    <d v="2025-04-23T00:00:00"/>
    <x v="0"/>
    <n v="9518714995"/>
    <n v="5"/>
    <s v="9518714995-5"/>
    <s v="May'25"/>
    <x v="0"/>
    <m/>
    <x v="4"/>
    <x v="13"/>
    <x v="3"/>
    <m/>
    <x v="1"/>
    <m/>
    <m/>
    <s v="West Bengal"/>
    <m/>
    <m/>
    <x v="2"/>
    <x v="61"/>
    <x v="58"/>
    <x v="141"/>
    <s v="GL COIL HARD  Y550GL H7GL 0.440X1240"/>
    <n v="70"/>
    <m/>
    <m/>
    <m/>
    <m/>
    <x v="5"/>
    <x v="7"/>
    <s v="H7GL"/>
    <x v="44"/>
    <x v="17"/>
    <x v="0"/>
    <n v="252"/>
    <n v="0"/>
    <n v="252"/>
    <n v="252"/>
    <n v="252"/>
    <n v="252"/>
    <n v="0"/>
    <n v="0"/>
    <n v="0"/>
    <n v="0"/>
    <n v="0"/>
    <n v="0"/>
    <n v="0"/>
    <n v="0"/>
    <n v="0"/>
    <n v="0"/>
    <n v="0"/>
    <n v="0"/>
    <n v="0"/>
    <n v="0"/>
    <n v="0"/>
    <n v="0"/>
    <n v="0"/>
    <n v="0"/>
    <n v="0"/>
    <n v="0"/>
    <m/>
    <m/>
    <m/>
    <m/>
    <n v="0"/>
    <n v="252"/>
    <n v="0"/>
    <n v="0"/>
    <n v="0"/>
    <n v="252"/>
    <n v="0"/>
    <n v="252"/>
    <n v="0"/>
    <n v="0"/>
    <n v="0"/>
    <n v="0"/>
    <n v="252"/>
    <n v="0"/>
    <m/>
    <m/>
    <m/>
    <m/>
    <m/>
    <m/>
    <m/>
    <m/>
    <m/>
    <m/>
    <m/>
    <m/>
    <m/>
    <m/>
    <m/>
    <m/>
    <m/>
    <m/>
    <m/>
    <m/>
    <m/>
    <m/>
    <m/>
    <m/>
    <m/>
    <m/>
    <m/>
    <m/>
    <m/>
    <m/>
    <m/>
    <m/>
    <m/>
    <m/>
  </r>
  <r>
    <n v="743"/>
    <d v="2025-04-23T00:00:00"/>
    <x v="0"/>
    <n v="9518714995"/>
    <n v="6"/>
    <s v="9518714995-6"/>
    <s v="May'25"/>
    <x v="0"/>
    <m/>
    <x v="4"/>
    <x v="13"/>
    <x v="3"/>
    <m/>
    <x v="1"/>
    <m/>
    <m/>
    <s v="West Bengal"/>
    <m/>
    <m/>
    <x v="2"/>
    <x v="61"/>
    <x v="58"/>
    <x v="141"/>
    <s v="GL COIL HARD  Y550GL H7GL 0.440X1240"/>
    <n v="70"/>
    <m/>
    <m/>
    <m/>
    <m/>
    <x v="5"/>
    <x v="7"/>
    <s v="H7GL"/>
    <x v="44"/>
    <x v="17"/>
    <x v="0"/>
    <n v="252"/>
    <n v="0"/>
    <n v="252"/>
    <n v="252"/>
    <n v="252"/>
    <n v="252"/>
    <n v="0"/>
    <n v="0"/>
    <n v="0"/>
    <n v="0"/>
    <n v="0"/>
    <n v="0"/>
    <n v="0"/>
    <n v="0"/>
    <n v="0"/>
    <n v="0"/>
    <n v="0"/>
    <n v="0"/>
    <n v="0"/>
    <n v="0"/>
    <n v="0"/>
    <n v="0"/>
    <n v="0"/>
    <n v="0"/>
    <n v="0"/>
    <n v="0"/>
    <m/>
    <m/>
    <m/>
    <m/>
    <n v="0"/>
    <n v="252"/>
    <n v="0"/>
    <n v="0"/>
    <n v="0"/>
    <n v="0"/>
    <n v="252"/>
    <n v="0"/>
    <n v="0"/>
    <n v="0"/>
    <n v="0"/>
    <n v="0"/>
    <n v="0"/>
    <n v="252"/>
    <m/>
    <m/>
    <m/>
    <m/>
    <m/>
    <m/>
    <m/>
    <m/>
    <m/>
    <m/>
    <m/>
    <m/>
    <m/>
    <m/>
    <m/>
    <m/>
    <m/>
    <m/>
    <m/>
    <m/>
    <m/>
    <m/>
    <m/>
    <m/>
    <m/>
    <m/>
    <m/>
    <m/>
    <m/>
    <m/>
    <m/>
    <m/>
    <m/>
    <m/>
  </r>
  <r>
    <n v="743"/>
    <d v="2025-04-23T00:00:00"/>
    <x v="0"/>
    <n v="9518714995"/>
    <n v="7"/>
    <s v="9518714995-7"/>
    <s v="No Priority"/>
    <x v="0"/>
    <m/>
    <x v="4"/>
    <x v="13"/>
    <x v="3"/>
    <m/>
    <x v="0"/>
    <m/>
    <m/>
    <s v="West Bengal"/>
    <m/>
    <m/>
    <x v="2"/>
    <x v="61"/>
    <x v="58"/>
    <x v="141"/>
    <s v="GL COIL HARD  Y550GL H7GL 0.440X1240"/>
    <n v="70"/>
    <m/>
    <m/>
    <m/>
    <m/>
    <x v="5"/>
    <x v="7"/>
    <s v="H7GL"/>
    <x v="44"/>
    <x v="17"/>
    <x v="0"/>
    <n v="252"/>
    <n v="0"/>
    <n v="252"/>
    <n v="252"/>
    <n v="252"/>
    <n v="252"/>
    <n v="0"/>
    <n v="0"/>
    <n v="0"/>
    <n v="0"/>
    <n v="0"/>
    <n v="0"/>
    <n v="0"/>
    <n v="0"/>
    <n v="0"/>
    <n v="0"/>
    <n v="0"/>
    <n v="0"/>
    <n v="0"/>
    <n v="0"/>
    <n v="0"/>
    <n v="0"/>
    <n v="0"/>
    <n v="0"/>
    <n v="0"/>
    <n v="0"/>
    <m/>
    <m/>
    <m/>
    <m/>
    <n v="0"/>
    <n v="0"/>
    <n v="0"/>
    <n v="0"/>
    <n v="0"/>
    <n v="0"/>
    <n v="0"/>
    <n v="0"/>
    <n v="0"/>
    <n v="0"/>
    <n v="0"/>
    <n v="0"/>
    <n v="0"/>
    <n v="0"/>
    <m/>
    <m/>
    <m/>
    <m/>
    <m/>
    <m/>
    <m/>
    <m/>
    <m/>
    <m/>
    <m/>
    <m/>
    <m/>
    <m/>
    <m/>
    <m/>
    <m/>
    <m/>
    <m/>
    <m/>
    <m/>
    <m/>
    <m/>
    <m/>
    <m/>
    <m/>
    <m/>
    <m/>
    <m/>
    <m/>
    <m/>
    <m/>
    <m/>
    <m/>
  </r>
  <r>
    <n v="743"/>
    <d v="2025-04-23T00:00:00"/>
    <x v="0"/>
    <n v="9518714995"/>
    <n v="8"/>
    <s v="9518714995-8"/>
    <s v="No Priority"/>
    <x v="0"/>
    <m/>
    <x v="4"/>
    <x v="13"/>
    <x v="3"/>
    <m/>
    <x v="0"/>
    <m/>
    <m/>
    <s v="West Bengal"/>
    <m/>
    <m/>
    <x v="2"/>
    <x v="61"/>
    <x v="58"/>
    <x v="141"/>
    <s v="GL COIL HARD  Y550GL H7GL 0.440X1240"/>
    <n v="70"/>
    <m/>
    <m/>
    <m/>
    <m/>
    <x v="5"/>
    <x v="7"/>
    <s v="H7GL"/>
    <x v="44"/>
    <x v="17"/>
    <x v="0"/>
    <n v="252"/>
    <n v="0"/>
    <n v="252"/>
    <n v="252"/>
    <n v="252"/>
    <n v="252"/>
    <n v="0"/>
    <n v="0"/>
    <n v="0"/>
    <n v="0"/>
    <n v="0"/>
    <n v="0"/>
    <n v="0"/>
    <n v="0"/>
    <n v="0"/>
    <n v="0"/>
    <n v="0"/>
    <n v="0"/>
    <n v="0"/>
    <n v="0"/>
    <n v="0"/>
    <n v="0"/>
    <n v="0"/>
    <n v="0"/>
    <n v="0"/>
    <n v="0"/>
    <m/>
    <m/>
    <m/>
    <m/>
    <n v="0"/>
    <n v="0"/>
    <n v="0"/>
    <n v="0"/>
    <n v="0"/>
    <n v="0"/>
    <n v="0"/>
    <n v="0"/>
    <n v="0"/>
    <n v="0"/>
    <n v="0"/>
    <n v="0"/>
    <n v="0"/>
    <n v="0"/>
    <m/>
    <m/>
    <m/>
    <m/>
    <m/>
    <m/>
    <m/>
    <m/>
    <m/>
    <m/>
    <m/>
    <m/>
    <m/>
    <m/>
    <m/>
    <m/>
    <m/>
    <m/>
    <m/>
    <m/>
    <m/>
    <m/>
    <m/>
    <m/>
    <m/>
    <m/>
    <m/>
    <m/>
    <m/>
    <m/>
    <m/>
    <m/>
    <m/>
    <m/>
  </r>
  <r>
    <n v="743"/>
    <d v="2025-04-23T00:00:00"/>
    <x v="0"/>
    <n v="9518714995"/>
    <n v="9"/>
    <s v="9518714995-9"/>
    <s v="No Priority"/>
    <x v="0"/>
    <m/>
    <x v="4"/>
    <x v="13"/>
    <x v="3"/>
    <m/>
    <x v="0"/>
    <m/>
    <m/>
    <s v="West Bengal"/>
    <m/>
    <m/>
    <x v="2"/>
    <x v="61"/>
    <x v="58"/>
    <x v="141"/>
    <s v="GL COIL HARD  Y550GL H7GL 0.440X1240"/>
    <n v="70"/>
    <m/>
    <m/>
    <m/>
    <m/>
    <x v="5"/>
    <x v="7"/>
    <s v="H7GL"/>
    <x v="44"/>
    <x v="17"/>
    <x v="0"/>
    <n v="252"/>
    <n v="0"/>
    <n v="252"/>
    <n v="252"/>
    <n v="252"/>
    <n v="252"/>
    <n v="0"/>
    <n v="0"/>
    <n v="0"/>
    <n v="0"/>
    <n v="0"/>
    <n v="0"/>
    <n v="0"/>
    <n v="0"/>
    <n v="0"/>
    <n v="0"/>
    <n v="0"/>
    <n v="0"/>
    <n v="0"/>
    <n v="0"/>
    <n v="0"/>
    <n v="0"/>
    <n v="0"/>
    <n v="0"/>
    <n v="0"/>
    <n v="0"/>
    <m/>
    <m/>
    <m/>
    <m/>
    <n v="0"/>
    <n v="0"/>
    <n v="0"/>
    <n v="0"/>
    <n v="0"/>
    <n v="0"/>
    <n v="0"/>
    <n v="0"/>
    <n v="0"/>
    <n v="0"/>
    <n v="0"/>
    <n v="0"/>
    <n v="0"/>
    <n v="0"/>
    <m/>
    <m/>
    <m/>
    <m/>
    <m/>
    <m/>
    <m/>
    <m/>
    <m/>
    <m/>
    <m/>
    <m/>
    <m/>
    <m/>
    <m/>
    <m/>
    <m/>
    <m/>
    <m/>
    <m/>
    <m/>
    <m/>
    <m/>
    <m/>
    <m/>
    <m/>
    <m/>
    <m/>
    <m/>
    <m/>
    <m/>
    <m/>
    <m/>
    <m/>
  </r>
  <r>
    <n v="743"/>
    <d v="2025-04-23T00:00:00"/>
    <x v="0"/>
    <n v="9518714995"/>
    <n v="10"/>
    <s v="9518714995-10"/>
    <s v="No Priority"/>
    <x v="0"/>
    <m/>
    <x v="4"/>
    <x v="13"/>
    <x v="3"/>
    <m/>
    <x v="0"/>
    <m/>
    <m/>
    <s v="West Bengal"/>
    <m/>
    <m/>
    <x v="2"/>
    <x v="61"/>
    <x v="58"/>
    <x v="141"/>
    <s v="GL COIL HARD  Y550GL H7GL 0.440X1240"/>
    <n v="70"/>
    <m/>
    <m/>
    <m/>
    <m/>
    <x v="5"/>
    <x v="7"/>
    <s v="H7GL"/>
    <x v="44"/>
    <x v="17"/>
    <x v="0"/>
    <n v="252"/>
    <n v="0"/>
    <n v="252"/>
    <n v="252"/>
    <n v="252"/>
    <n v="252"/>
    <n v="0"/>
    <n v="0"/>
    <n v="0"/>
    <n v="0"/>
    <n v="0"/>
    <n v="0"/>
    <n v="0"/>
    <n v="0"/>
    <n v="0"/>
    <n v="0"/>
    <n v="0"/>
    <n v="0"/>
    <n v="0"/>
    <n v="0"/>
    <n v="0"/>
    <n v="0"/>
    <n v="0"/>
    <n v="0"/>
    <n v="0"/>
    <n v="0"/>
    <m/>
    <m/>
    <m/>
    <m/>
    <n v="0"/>
    <n v="0"/>
    <n v="0"/>
    <n v="0"/>
    <n v="0"/>
    <n v="0"/>
    <n v="0"/>
    <n v="0"/>
    <n v="0"/>
    <n v="0"/>
    <n v="0"/>
    <n v="0"/>
    <n v="0"/>
    <n v="0"/>
    <m/>
    <m/>
    <m/>
    <m/>
    <m/>
    <m/>
    <m/>
    <m/>
    <m/>
    <m/>
    <m/>
    <m/>
    <m/>
    <m/>
    <m/>
    <m/>
    <m/>
    <m/>
    <m/>
    <m/>
    <m/>
    <m/>
    <m/>
    <m/>
    <m/>
    <m/>
    <m/>
    <m/>
    <m/>
    <m/>
    <m/>
    <m/>
    <m/>
    <m/>
  </r>
  <r>
    <n v="743"/>
    <d v="2025-04-23T00:00:00"/>
    <x v="0"/>
    <n v="9518714995"/>
    <n v="11"/>
    <s v="9518714995-11"/>
    <s v="No Priority"/>
    <x v="0"/>
    <m/>
    <x v="4"/>
    <x v="13"/>
    <x v="3"/>
    <m/>
    <x v="0"/>
    <m/>
    <m/>
    <s v="West Bengal"/>
    <m/>
    <m/>
    <x v="2"/>
    <x v="61"/>
    <x v="58"/>
    <x v="141"/>
    <s v="GL COIL HARD  Y550GL H7GL 0.440X1240"/>
    <n v="70"/>
    <m/>
    <m/>
    <m/>
    <m/>
    <x v="5"/>
    <x v="7"/>
    <s v="H7GL"/>
    <x v="44"/>
    <x v="17"/>
    <x v="0"/>
    <n v="252"/>
    <n v="0"/>
    <n v="252"/>
    <n v="252"/>
    <n v="252"/>
    <n v="252"/>
    <n v="0"/>
    <n v="0"/>
    <n v="0"/>
    <n v="0"/>
    <n v="0"/>
    <n v="0"/>
    <n v="0"/>
    <n v="0"/>
    <n v="0"/>
    <n v="0"/>
    <n v="0"/>
    <n v="0"/>
    <n v="0"/>
    <n v="0"/>
    <n v="0"/>
    <n v="0"/>
    <n v="0"/>
    <n v="0"/>
    <n v="0"/>
    <n v="0"/>
    <m/>
    <m/>
    <m/>
    <m/>
    <n v="0"/>
    <n v="0"/>
    <n v="0"/>
    <n v="0"/>
    <n v="0"/>
    <n v="0"/>
    <n v="0"/>
    <n v="0"/>
    <n v="0"/>
    <n v="0"/>
    <n v="0"/>
    <n v="0"/>
    <n v="0"/>
    <n v="0"/>
    <m/>
    <m/>
    <m/>
    <m/>
    <m/>
    <m/>
    <m/>
    <m/>
    <m/>
    <m/>
    <m/>
    <m/>
    <m/>
    <m/>
    <m/>
    <m/>
    <m/>
    <m/>
    <m/>
    <m/>
    <m/>
    <m/>
    <m/>
    <m/>
    <m/>
    <m/>
    <m/>
    <m/>
    <m/>
    <m/>
    <m/>
    <m/>
    <m/>
    <m/>
  </r>
  <r>
    <n v="743"/>
    <d v="2025-04-23T00:00:00"/>
    <x v="0"/>
    <n v="9518714995"/>
    <n v="12"/>
    <s v="9518714995-12"/>
    <s v="No Priority"/>
    <x v="0"/>
    <m/>
    <x v="4"/>
    <x v="13"/>
    <x v="3"/>
    <m/>
    <x v="0"/>
    <m/>
    <m/>
    <s v="West Bengal"/>
    <m/>
    <m/>
    <x v="2"/>
    <x v="61"/>
    <x v="58"/>
    <x v="141"/>
    <s v="GL COIL HARD  Y550GL H7GL 0.440X1240"/>
    <n v="70"/>
    <m/>
    <m/>
    <m/>
    <m/>
    <x v="5"/>
    <x v="7"/>
    <s v="H7GL"/>
    <x v="44"/>
    <x v="17"/>
    <x v="0"/>
    <n v="252"/>
    <n v="0"/>
    <n v="252"/>
    <n v="252"/>
    <n v="252"/>
    <n v="252"/>
    <n v="0"/>
    <n v="0"/>
    <n v="0"/>
    <n v="0"/>
    <n v="0"/>
    <n v="0"/>
    <n v="0"/>
    <n v="0"/>
    <n v="0"/>
    <n v="0"/>
    <n v="0"/>
    <n v="0"/>
    <n v="0"/>
    <n v="0"/>
    <n v="0"/>
    <n v="0"/>
    <n v="0"/>
    <n v="0"/>
    <n v="0"/>
    <n v="0"/>
    <m/>
    <m/>
    <m/>
    <m/>
    <n v="0"/>
    <n v="0"/>
    <n v="0"/>
    <n v="0"/>
    <n v="0"/>
    <n v="0"/>
    <n v="0"/>
    <n v="0"/>
    <n v="0"/>
    <n v="0"/>
    <n v="0"/>
    <n v="0"/>
    <n v="0"/>
    <n v="0"/>
    <m/>
    <m/>
    <m/>
    <m/>
    <m/>
    <m/>
    <m/>
    <m/>
    <m/>
    <m/>
    <m/>
    <m/>
    <m/>
    <m/>
    <m/>
    <m/>
    <m/>
    <m/>
    <m/>
    <m/>
    <m/>
    <m/>
    <m/>
    <m/>
    <m/>
    <m/>
    <m/>
    <m/>
    <m/>
    <m/>
    <m/>
    <m/>
    <m/>
    <m/>
  </r>
  <r>
    <n v="742"/>
    <m/>
    <x v="4"/>
    <m/>
    <m/>
    <m/>
    <s v="May'25"/>
    <x v="2"/>
    <m/>
    <x v="1"/>
    <x v="18"/>
    <x v="3"/>
    <n v="500"/>
    <x v="1"/>
    <m/>
    <m/>
    <m/>
    <m/>
    <m/>
    <x v="2"/>
    <x v="115"/>
    <x v="121"/>
    <x v="486"/>
    <m/>
    <m/>
    <m/>
    <m/>
    <m/>
    <m/>
    <x v="11"/>
    <x v="14"/>
    <m/>
    <x v="77"/>
    <x v="36"/>
    <x v="11"/>
    <m/>
    <m/>
    <m/>
    <m/>
    <m/>
    <n v="500"/>
    <m/>
    <n v="0"/>
    <n v="0"/>
    <n v="0"/>
    <n v="0"/>
    <n v="0"/>
    <n v="0"/>
    <n v="0"/>
    <n v="0"/>
    <n v="0"/>
    <n v="0"/>
    <n v="0"/>
    <n v="0"/>
    <n v="0"/>
    <n v="0"/>
    <n v="0"/>
    <n v="0"/>
    <n v="0"/>
    <n v="0"/>
    <n v="0"/>
    <m/>
    <m/>
    <m/>
    <m/>
    <n v="0"/>
    <n v="300"/>
    <n v="0"/>
    <n v="0"/>
    <n v="0"/>
    <n v="0"/>
    <n v="300"/>
    <n v="0"/>
    <n v="0"/>
    <n v="0"/>
    <n v="0"/>
    <n v="0"/>
    <n v="0"/>
    <n v="300"/>
    <m/>
    <m/>
    <m/>
    <m/>
    <m/>
    <m/>
    <m/>
    <m/>
    <m/>
    <m/>
    <m/>
    <m/>
    <m/>
    <m/>
    <m/>
    <m/>
    <m/>
    <m/>
    <m/>
    <m/>
    <m/>
    <m/>
    <m/>
    <m/>
    <m/>
    <m/>
    <m/>
    <m/>
    <m/>
    <m/>
    <m/>
    <m/>
    <m/>
    <m/>
  </r>
  <r>
    <n v="743"/>
    <d v="2025-04-24T00:00:00"/>
    <x v="0"/>
    <n v="9518716203"/>
    <n v="1"/>
    <s v="9518716203-1"/>
    <s v="May'25"/>
    <x v="0"/>
    <m/>
    <x v="3"/>
    <x v="14"/>
    <x v="0"/>
    <m/>
    <x v="1"/>
    <m/>
    <m/>
    <s v="AHMEDABAD"/>
    <m/>
    <m/>
    <x v="2"/>
    <x v="116"/>
    <x v="122"/>
    <x v="231"/>
    <s v="GP COIL SOFT-TATXGP-GK09-0.4X1220"/>
    <m/>
    <m/>
    <m/>
    <m/>
    <m/>
    <x v="7"/>
    <x v="5"/>
    <s v="GK09"/>
    <x v="2"/>
    <x v="1"/>
    <x v="0"/>
    <n v="28"/>
    <n v="0"/>
    <n v="28"/>
    <n v="28"/>
    <n v="28"/>
    <n v="28"/>
    <n v="0"/>
    <n v="0"/>
    <n v="0"/>
    <n v="0"/>
    <n v="0"/>
    <n v="0"/>
    <n v="0"/>
    <n v="0"/>
    <n v="0"/>
    <n v="0"/>
    <n v="0"/>
    <n v="0"/>
    <n v="0"/>
    <n v="0"/>
    <n v="0"/>
    <n v="0"/>
    <n v="0"/>
    <n v="0"/>
    <n v="0"/>
    <n v="0"/>
    <m/>
    <m/>
    <m/>
    <m/>
    <n v="0"/>
    <n v="28"/>
    <n v="0"/>
    <n v="0"/>
    <n v="28"/>
    <n v="0"/>
    <n v="0"/>
    <n v="28"/>
    <n v="0"/>
    <n v="0"/>
    <n v="0"/>
    <n v="28"/>
    <n v="0"/>
    <n v="0"/>
    <m/>
    <m/>
    <m/>
    <m/>
    <m/>
    <m/>
    <m/>
    <m/>
    <m/>
    <m/>
    <m/>
    <m/>
    <m/>
    <m/>
    <m/>
    <m/>
    <m/>
    <m/>
    <m/>
    <m/>
    <m/>
    <m/>
    <m/>
    <m/>
    <m/>
    <m/>
    <m/>
    <m/>
    <m/>
    <m/>
    <m/>
    <m/>
    <m/>
    <m/>
  </r>
  <r>
    <n v="743"/>
    <d v="2025-04-24T00:00:00"/>
    <x v="0"/>
    <n v="9518716203"/>
    <n v="2"/>
    <s v="9518716203-2"/>
    <s v="May'25"/>
    <x v="0"/>
    <m/>
    <x v="3"/>
    <x v="14"/>
    <x v="0"/>
    <m/>
    <x v="1"/>
    <m/>
    <m/>
    <s v="AHMEDABAD"/>
    <m/>
    <m/>
    <x v="2"/>
    <x v="116"/>
    <x v="122"/>
    <x v="332"/>
    <s v="GP COIL SOFT-TATXGP-GK09-0.45X1220"/>
    <m/>
    <m/>
    <m/>
    <m/>
    <m/>
    <x v="7"/>
    <x v="5"/>
    <s v="GK09"/>
    <x v="10"/>
    <x v="1"/>
    <x v="0"/>
    <n v="28"/>
    <n v="0"/>
    <n v="28"/>
    <n v="28"/>
    <n v="28"/>
    <n v="28"/>
    <n v="0"/>
    <n v="0"/>
    <n v="0"/>
    <n v="0"/>
    <n v="0"/>
    <n v="0"/>
    <n v="0"/>
    <n v="0"/>
    <n v="0"/>
    <n v="0"/>
    <n v="0"/>
    <n v="0"/>
    <n v="0"/>
    <n v="0"/>
    <n v="0"/>
    <n v="0"/>
    <n v="0"/>
    <n v="0"/>
    <n v="0"/>
    <n v="0"/>
    <m/>
    <m/>
    <m/>
    <m/>
    <n v="0"/>
    <n v="28"/>
    <n v="0"/>
    <n v="0"/>
    <n v="28"/>
    <n v="0"/>
    <n v="0"/>
    <n v="0"/>
    <n v="0"/>
    <n v="0"/>
    <n v="0"/>
    <n v="0"/>
    <n v="0"/>
    <n v="28"/>
    <m/>
    <m/>
    <m/>
    <m/>
    <m/>
    <m/>
    <m/>
    <m/>
    <m/>
    <m/>
    <m/>
    <m/>
    <m/>
    <m/>
    <m/>
    <m/>
    <m/>
    <m/>
    <m/>
    <m/>
    <m/>
    <m/>
    <m/>
    <m/>
    <m/>
    <m/>
    <m/>
    <m/>
    <m/>
    <m/>
    <m/>
    <m/>
    <m/>
    <m/>
  </r>
  <r>
    <n v="743"/>
    <d v="2025-04-24T00:00:00"/>
    <x v="0"/>
    <n v="9518716203"/>
    <n v="3"/>
    <s v="9518716203-3"/>
    <s v="May'25"/>
    <x v="0"/>
    <m/>
    <x v="3"/>
    <x v="14"/>
    <x v="0"/>
    <m/>
    <x v="1"/>
    <m/>
    <m/>
    <s v="AHMEDABAD"/>
    <m/>
    <m/>
    <x v="2"/>
    <x v="116"/>
    <x v="122"/>
    <x v="279"/>
    <s v="GP COIL SOFT-TATXGP-GK09-0.5X1220"/>
    <m/>
    <m/>
    <m/>
    <m/>
    <m/>
    <x v="7"/>
    <x v="5"/>
    <s v="GK09"/>
    <x v="1"/>
    <x v="1"/>
    <x v="0"/>
    <n v="28"/>
    <n v="0"/>
    <n v="28"/>
    <n v="28"/>
    <n v="28"/>
    <n v="28"/>
    <n v="0"/>
    <n v="0"/>
    <n v="0"/>
    <n v="0"/>
    <n v="0"/>
    <n v="0"/>
    <n v="0"/>
    <n v="0"/>
    <n v="0"/>
    <n v="0"/>
    <n v="0"/>
    <n v="0"/>
    <n v="0"/>
    <n v="0"/>
    <n v="0"/>
    <n v="0"/>
    <n v="0"/>
    <n v="0"/>
    <n v="0"/>
    <n v="0"/>
    <m/>
    <m/>
    <m/>
    <m/>
    <n v="0"/>
    <n v="28"/>
    <n v="0"/>
    <n v="0"/>
    <n v="28"/>
    <n v="0"/>
    <n v="0"/>
    <n v="0"/>
    <n v="0"/>
    <n v="0"/>
    <n v="0"/>
    <n v="0"/>
    <n v="0"/>
    <n v="28"/>
    <m/>
    <m/>
    <m/>
    <m/>
    <m/>
    <m/>
    <m/>
    <m/>
    <m/>
    <m/>
    <m/>
    <m/>
    <m/>
    <m/>
    <m/>
    <m/>
    <m/>
    <m/>
    <m/>
    <m/>
    <m/>
    <m/>
    <m/>
    <m/>
    <m/>
    <m/>
    <m/>
    <m/>
    <m/>
    <m/>
    <m/>
    <m/>
    <m/>
    <m/>
  </r>
  <r>
    <n v="743"/>
    <d v="2025-04-24T00:00:00"/>
    <x v="0"/>
    <n v="9518716203"/>
    <n v="4"/>
    <s v="9518716203-4"/>
    <s v="May'25"/>
    <x v="0"/>
    <m/>
    <x v="3"/>
    <x v="14"/>
    <x v="0"/>
    <m/>
    <x v="1"/>
    <m/>
    <m/>
    <s v="AHMEDABAD"/>
    <m/>
    <m/>
    <x v="2"/>
    <x v="116"/>
    <x v="122"/>
    <x v="280"/>
    <s v="GP COIL SOFT-TATXGP-GK09-0.6X1220"/>
    <m/>
    <m/>
    <m/>
    <m/>
    <m/>
    <x v="7"/>
    <x v="5"/>
    <s v="GK09"/>
    <x v="20"/>
    <x v="1"/>
    <x v="0"/>
    <n v="28"/>
    <n v="0"/>
    <n v="28"/>
    <n v="28"/>
    <n v="28"/>
    <n v="28"/>
    <n v="0"/>
    <n v="0"/>
    <n v="0"/>
    <n v="0"/>
    <n v="0"/>
    <n v="0"/>
    <n v="0"/>
    <n v="0"/>
    <n v="0"/>
    <n v="0"/>
    <n v="0"/>
    <n v="0"/>
    <n v="0"/>
    <n v="0"/>
    <n v="0"/>
    <n v="0"/>
    <n v="0"/>
    <n v="0"/>
    <n v="0"/>
    <n v="0"/>
    <m/>
    <m/>
    <m/>
    <m/>
    <n v="0"/>
    <n v="28"/>
    <n v="0"/>
    <n v="0"/>
    <n v="28"/>
    <n v="0"/>
    <n v="0"/>
    <n v="0"/>
    <n v="0"/>
    <n v="0"/>
    <n v="0"/>
    <n v="0"/>
    <n v="0"/>
    <n v="28"/>
    <m/>
    <m/>
    <m/>
    <m/>
    <m/>
    <m/>
    <m/>
    <m/>
    <m/>
    <m/>
    <m/>
    <m/>
    <m/>
    <m/>
    <m/>
    <m/>
    <m/>
    <m/>
    <m/>
    <m/>
    <m/>
    <m/>
    <m/>
    <m/>
    <m/>
    <m/>
    <m/>
    <m/>
    <m/>
    <m/>
    <m/>
    <m/>
    <m/>
    <m/>
  </r>
  <r>
    <n v="743"/>
    <d v="2025-04-22T00:00:00"/>
    <x v="0"/>
    <n v="9518712210"/>
    <n v="7"/>
    <s v="9518712210-7"/>
    <s v="May'25 additional"/>
    <x v="0"/>
    <s v="Yes"/>
    <x v="4"/>
    <x v="3"/>
    <x v="2"/>
    <m/>
    <x v="1"/>
    <m/>
    <m/>
    <m/>
    <m/>
    <s v=" "/>
    <x v="2"/>
    <x v="22"/>
    <x v="6"/>
    <x v="35"/>
    <s v="GL C YS550 H6GL 0.45BMT(0.50TCT)X1220"/>
    <s v="AZ150"/>
    <m/>
    <n v="3"/>
    <n v="5"/>
    <m/>
    <x v="5"/>
    <x v="7"/>
    <s v="H6GL"/>
    <x v="10"/>
    <x v="1"/>
    <x v="0"/>
    <n v="196"/>
    <n v="0"/>
    <n v="196"/>
    <n v="196"/>
    <n v="196"/>
    <n v="196"/>
    <n v="0"/>
    <n v="0"/>
    <n v="0"/>
    <n v="0"/>
    <n v="0"/>
    <n v="0"/>
    <n v="0"/>
    <n v="0"/>
    <n v="0"/>
    <n v="0"/>
    <n v="0"/>
    <n v="0"/>
    <n v="0"/>
    <n v="0"/>
    <n v="0"/>
    <n v="0"/>
    <n v="0"/>
    <n v="0"/>
    <n v="0"/>
    <n v="0"/>
    <m/>
    <m/>
    <m/>
    <m/>
    <n v="0"/>
    <n v="196"/>
    <n v="0"/>
    <n v="0"/>
    <n v="0"/>
    <n v="196"/>
    <n v="0"/>
    <n v="196"/>
    <n v="0"/>
    <n v="0"/>
    <n v="0"/>
    <n v="0"/>
    <n v="196"/>
    <n v="0"/>
    <m/>
    <m/>
    <m/>
    <m/>
    <m/>
    <m/>
    <m/>
    <m/>
    <m/>
    <m/>
    <m/>
    <m/>
    <m/>
    <m/>
    <m/>
    <m/>
    <m/>
    <m/>
    <m/>
    <m/>
    <m/>
    <m/>
    <m/>
    <m/>
    <m/>
    <m/>
    <m/>
    <m/>
    <m/>
    <m/>
    <m/>
    <m/>
    <m/>
    <m/>
  </r>
  <r>
    <n v="743"/>
    <d v="2025-04-22T00:00:00"/>
    <x v="0"/>
    <n v="9518712491"/>
    <n v="1"/>
    <s v="9518712491-1"/>
    <s v="May'25 additional"/>
    <x v="0"/>
    <m/>
    <x v="4"/>
    <x v="5"/>
    <x v="2"/>
    <m/>
    <x v="1"/>
    <m/>
    <m/>
    <m/>
    <m/>
    <s v="VALPARAI"/>
    <x v="2"/>
    <x v="98"/>
    <x v="97"/>
    <x v="487"/>
    <s v="GL COIL HARD  Y550GL GL6H 0.900X1250"/>
    <s v="AZ150"/>
    <m/>
    <n v="10"/>
    <n v="25"/>
    <m/>
    <x v="5"/>
    <x v="7"/>
    <s v="GL6H"/>
    <x v="13"/>
    <x v="0"/>
    <x v="0"/>
    <n v="116"/>
    <n v="0"/>
    <n v="116"/>
    <n v="116"/>
    <n v="116"/>
    <n v="116"/>
    <n v="0"/>
    <n v="0"/>
    <n v="0"/>
    <n v="0"/>
    <n v="0"/>
    <n v="0"/>
    <n v="0"/>
    <n v="0"/>
    <n v="0"/>
    <n v="0"/>
    <n v="0"/>
    <n v="0"/>
    <n v="0"/>
    <n v="0"/>
    <n v="0"/>
    <n v="0"/>
    <n v="0"/>
    <n v="0"/>
    <n v="0"/>
    <n v="0"/>
    <m/>
    <m/>
    <m/>
    <m/>
    <n v="0"/>
    <n v="116"/>
    <n v="0"/>
    <n v="0"/>
    <n v="0"/>
    <n v="0"/>
    <n v="116"/>
    <n v="116"/>
    <n v="0"/>
    <n v="0"/>
    <n v="0"/>
    <n v="0"/>
    <n v="116"/>
    <n v="0"/>
    <m/>
    <m/>
    <m/>
    <m/>
    <m/>
    <m/>
    <m/>
    <m/>
    <m/>
    <m/>
    <m/>
    <m/>
    <m/>
    <m/>
    <m/>
    <m/>
    <m/>
    <m/>
    <m/>
    <m/>
    <m/>
    <m/>
    <m/>
    <m/>
    <m/>
    <m/>
    <m/>
    <m/>
    <m/>
    <m/>
    <m/>
    <m/>
    <m/>
    <m/>
  </r>
  <r>
    <n v="743"/>
    <d v="2025-04-22T00:00:00"/>
    <x v="0"/>
    <n v="9518711518"/>
    <n v="1"/>
    <s v="9518711518-1"/>
    <s v="May'25"/>
    <x v="0"/>
    <m/>
    <x v="4"/>
    <x v="3"/>
    <x v="2"/>
    <m/>
    <x v="1"/>
    <m/>
    <m/>
    <m/>
    <m/>
    <s v="TAMILNADU"/>
    <x v="2"/>
    <x v="65"/>
    <x v="6"/>
    <x v="27"/>
    <s v="GL COIL HARD Y550GL M308 0.47 (TCT)X1220"/>
    <s v="AZ150"/>
    <m/>
    <n v="3"/>
    <n v="5"/>
    <m/>
    <x v="5"/>
    <x v="7"/>
    <s v="M308"/>
    <x v="14"/>
    <x v="1"/>
    <x v="0"/>
    <n v="280"/>
    <n v="0"/>
    <n v="280"/>
    <n v="280"/>
    <n v="280"/>
    <n v="280"/>
    <n v="0"/>
    <n v="0"/>
    <n v="0"/>
    <n v="0"/>
    <n v="0"/>
    <n v="0"/>
    <n v="0"/>
    <n v="0"/>
    <n v="0"/>
    <n v="0"/>
    <n v="0"/>
    <n v="0"/>
    <n v="0"/>
    <n v="0"/>
    <n v="0"/>
    <n v="0"/>
    <n v="0"/>
    <n v="0"/>
    <n v="0"/>
    <n v="0"/>
    <m/>
    <m/>
    <m/>
    <m/>
    <n v="0"/>
    <n v="280"/>
    <n v="0"/>
    <n v="0"/>
    <n v="0"/>
    <n v="280"/>
    <n v="0"/>
    <n v="0"/>
    <n v="0"/>
    <n v="0"/>
    <n v="0"/>
    <n v="0"/>
    <n v="0"/>
    <n v="280"/>
    <m/>
    <m/>
    <m/>
    <m/>
    <m/>
    <m/>
    <m/>
    <m/>
    <m/>
    <m/>
    <m/>
    <m/>
    <m/>
    <m/>
    <m/>
    <m/>
    <m/>
    <m/>
    <m/>
    <m/>
    <m/>
    <m/>
    <m/>
    <m/>
    <m/>
    <m/>
    <m/>
    <m/>
    <m/>
    <m/>
    <m/>
    <m/>
    <m/>
    <m/>
  </r>
  <r>
    <n v="742"/>
    <d v="2025-04-17T00:00:00"/>
    <x v="1"/>
    <n v="4000504653"/>
    <n v="2"/>
    <s v="4000504653-2"/>
    <s v="May'25 additional"/>
    <x v="0"/>
    <m/>
    <x v="0"/>
    <x v="6"/>
    <x v="0"/>
    <m/>
    <x v="1"/>
    <m/>
    <m/>
    <m/>
    <m/>
    <s v="YESHWANTHPURA"/>
    <x v="2"/>
    <x v="117"/>
    <x v="123"/>
    <x v="242"/>
    <s v="HR COILS-PO THR099 HR99 1.90X1250"/>
    <s v=" "/>
    <m/>
    <n v="10"/>
    <n v="27"/>
    <m/>
    <x v="0"/>
    <x v="0"/>
    <s v="HR99"/>
    <x v="55"/>
    <x v="0"/>
    <x v="0"/>
    <n v="250"/>
    <n v="0"/>
    <n v="200"/>
    <n v="200"/>
    <n v="200"/>
    <n v="250"/>
    <n v="0"/>
    <n v="0"/>
    <n v="0"/>
    <n v="0"/>
    <n v="0"/>
    <n v="0"/>
    <n v="0"/>
    <n v="0"/>
    <n v="0"/>
    <n v="0"/>
    <n v="0"/>
    <n v="0"/>
    <n v="0"/>
    <n v="0"/>
    <n v="0"/>
    <n v="0"/>
    <n v="0"/>
    <n v="0"/>
    <n v="0"/>
    <n v="0"/>
    <m/>
    <m/>
    <m/>
    <m/>
    <n v="0"/>
    <n v="250"/>
    <n v="0"/>
    <n v="0"/>
    <n v="0"/>
    <n v="250"/>
    <n v="0"/>
    <n v="250"/>
    <n v="0"/>
    <n v="0"/>
    <n v="0"/>
    <n v="0"/>
    <n v="250"/>
    <n v="0"/>
    <m/>
    <m/>
    <m/>
    <m/>
    <m/>
    <m/>
    <m/>
    <m/>
    <m/>
    <m/>
    <m/>
    <m/>
    <m/>
    <m/>
    <m/>
    <m/>
    <m/>
    <m/>
    <m/>
    <m/>
    <m/>
    <m/>
    <m/>
    <m/>
    <m/>
    <m/>
    <m/>
    <m/>
    <m/>
    <m/>
    <m/>
    <m/>
    <m/>
    <m/>
  </r>
  <r>
    <n v="742"/>
    <d v="2025-04-17T00:00:00"/>
    <x v="1"/>
    <n v="4000504653"/>
    <n v="3"/>
    <s v="4000504653-3"/>
    <s v="May'25 additional"/>
    <x v="0"/>
    <m/>
    <x v="0"/>
    <x v="6"/>
    <x v="0"/>
    <m/>
    <x v="1"/>
    <m/>
    <m/>
    <m/>
    <m/>
    <s v="YESHWANTHPURA"/>
    <x v="2"/>
    <x v="117"/>
    <x v="123"/>
    <x v="47"/>
    <s v="HR COILS-PO IS 1079 HR2 2X1250"/>
    <s v=" "/>
    <m/>
    <n v="10"/>
    <n v="27"/>
    <m/>
    <x v="0"/>
    <x v="0"/>
    <s v="HR99"/>
    <x v="15"/>
    <x v="0"/>
    <x v="0"/>
    <n v="200"/>
    <n v="0"/>
    <n v="100"/>
    <n v="100"/>
    <n v="100"/>
    <n v="200"/>
    <n v="0"/>
    <n v="0"/>
    <n v="0"/>
    <n v="0"/>
    <n v="0"/>
    <n v="0"/>
    <n v="0"/>
    <n v="0"/>
    <n v="0"/>
    <n v="0"/>
    <n v="0"/>
    <n v="0"/>
    <n v="0"/>
    <n v="0"/>
    <n v="0"/>
    <n v="0"/>
    <n v="0"/>
    <n v="0"/>
    <n v="0"/>
    <n v="0"/>
    <m/>
    <m/>
    <m/>
    <m/>
    <n v="0"/>
    <n v="200"/>
    <n v="0"/>
    <n v="200"/>
    <n v="0"/>
    <n v="0"/>
    <n v="0"/>
    <n v="200"/>
    <n v="0"/>
    <n v="0"/>
    <n v="200"/>
    <n v="0"/>
    <n v="0"/>
    <n v="0"/>
    <m/>
    <m/>
    <m/>
    <m/>
    <m/>
    <m/>
    <m/>
    <m/>
    <m/>
    <m/>
    <m/>
    <m/>
    <m/>
    <m/>
    <m/>
    <m/>
    <m/>
    <m/>
    <m/>
    <m/>
    <m/>
    <m/>
    <m/>
    <m/>
    <m/>
    <m/>
    <m/>
    <m/>
    <m/>
    <m/>
    <m/>
    <m/>
    <m/>
    <m/>
  </r>
  <r>
    <n v="742"/>
    <d v="2025-04-17T00:00:00"/>
    <x v="1"/>
    <n v="4000504653"/>
    <n v="4"/>
    <s v="4000504653-4"/>
    <s v="May'25 additional"/>
    <x v="0"/>
    <m/>
    <x v="0"/>
    <x v="6"/>
    <x v="0"/>
    <n v="700"/>
    <x v="1"/>
    <m/>
    <m/>
    <m/>
    <m/>
    <s v="YESHWANTHPURA"/>
    <x v="2"/>
    <x v="117"/>
    <x v="123"/>
    <x v="140"/>
    <s v="HR COILS-PO IS 1079 HR2 2.30X1250"/>
    <s v=" "/>
    <m/>
    <n v="10"/>
    <n v="27"/>
    <m/>
    <x v="0"/>
    <x v="0"/>
    <s v="HR99"/>
    <x v="39"/>
    <x v="0"/>
    <x v="0"/>
    <n v="200"/>
    <n v="0"/>
    <n v="200"/>
    <n v="200"/>
    <n v="200"/>
    <n v="200"/>
    <n v="0"/>
    <n v="0"/>
    <n v="0"/>
    <n v="0"/>
    <n v="0"/>
    <n v="0"/>
    <n v="0"/>
    <n v="0"/>
    <n v="0"/>
    <n v="0"/>
    <n v="0"/>
    <n v="0"/>
    <n v="0"/>
    <n v="0"/>
    <n v="0"/>
    <n v="0"/>
    <n v="0"/>
    <n v="0"/>
    <n v="0"/>
    <n v="0"/>
    <m/>
    <m/>
    <m/>
    <m/>
    <n v="0"/>
    <n v="200"/>
    <n v="0"/>
    <n v="0"/>
    <n v="200"/>
    <n v="0"/>
    <n v="0"/>
    <n v="200"/>
    <n v="0"/>
    <n v="0"/>
    <n v="0"/>
    <n v="200"/>
    <n v="0"/>
    <n v="0"/>
    <m/>
    <m/>
    <m/>
    <m/>
    <m/>
    <m/>
    <m/>
    <m/>
    <m/>
    <m/>
    <m/>
    <m/>
    <m/>
    <m/>
    <m/>
    <m/>
    <m/>
    <m/>
    <m/>
    <m/>
    <m/>
    <m/>
    <m/>
    <m/>
    <m/>
    <m/>
    <m/>
    <m/>
    <m/>
    <m/>
    <m/>
    <m/>
    <m/>
    <m/>
  </r>
  <r>
    <n v="742"/>
    <d v="2025-04-17T00:00:00"/>
    <x v="1"/>
    <n v="4000504653"/>
    <n v="5"/>
    <s v="4000504653-5"/>
    <s v="May'25 additional"/>
    <x v="0"/>
    <m/>
    <x v="0"/>
    <x v="6"/>
    <x v="0"/>
    <m/>
    <x v="1"/>
    <m/>
    <m/>
    <m/>
    <m/>
    <s v="YESHWANTHPURA"/>
    <x v="2"/>
    <x v="117"/>
    <x v="123"/>
    <x v="197"/>
    <s v="HR COILS-PO IS 1079 HR2 2.50X1250"/>
    <s v=" "/>
    <m/>
    <n v="10"/>
    <n v="25"/>
    <m/>
    <x v="0"/>
    <x v="0"/>
    <s v="HR99"/>
    <x v="38"/>
    <x v="0"/>
    <x v="0"/>
    <n v="300"/>
    <n v="0"/>
    <n v="250"/>
    <n v="250"/>
    <n v="250"/>
    <n v="300"/>
    <n v="0"/>
    <n v="0"/>
    <n v="0"/>
    <n v="0"/>
    <n v="0"/>
    <n v="0"/>
    <n v="0"/>
    <n v="0"/>
    <n v="0"/>
    <n v="0"/>
    <n v="0"/>
    <n v="0"/>
    <n v="0"/>
    <n v="0"/>
    <n v="0"/>
    <n v="0"/>
    <n v="0"/>
    <n v="0"/>
    <n v="0"/>
    <n v="0"/>
    <m/>
    <m/>
    <m/>
    <m/>
    <n v="0"/>
    <n v="300"/>
    <n v="0"/>
    <n v="0"/>
    <n v="300"/>
    <n v="0"/>
    <n v="0"/>
    <n v="300"/>
    <n v="0"/>
    <n v="0"/>
    <n v="0"/>
    <n v="300"/>
    <n v="0"/>
    <n v="0"/>
    <m/>
    <m/>
    <m/>
    <m/>
    <m/>
    <m/>
    <m/>
    <m/>
    <m/>
    <m/>
    <m/>
    <m/>
    <m/>
    <m/>
    <m/>
    <m/>
    <m/>
    <m/>
    <m/>
    <m/>
    <m/>
    <m/>
    <m/>
    <m/>
    <m/>
    <m/>
    <m/>
    <m/>
    <m/>
    <m/>
    <m/>
    <m/>
    <m/>
    <m/>
  </r>
  <r>
    <n v="742"/>
    <d v="2025-04-17T00:00:00"/>
    <x v="1"/>
    <n v="4000504653"/>
    <n v="6"/>
    <s v="4000504653-6"/>
    <s v="No Priority"/>
    <x v="0"/>
    <m/>
    <x v="0"/>
    <x v="6"/>
    <x v="0"/>
    <m/>
    <x v="0"/>
    <m/>
    <m/>
    <m/>
    <m/>
    <s v="YESHWANTHPURA"/>
    <x v="2"/>
    <x v="117"/>
    <x v="123"/>
    <x v="358"/>
    <s v="HR COILS-POIS 1079 HR2  2.90X1250"/>
    <s v=" "/>
    <m/>
    <n v="10"/>
    <n v="27"/>
    <m/>
    <x v="0"/>
    <x v="0"/>
    <s v="HR99"/>
    <x v="69"/>
    <x v="0"/>
    <x v="0"/>
    <n v="50"/>
    <n v="0"/>
    <n v="50"/>
    <n v="50"/>
    <n v="50"/>
    <n v="50"/>
    <n v="0"/>
    <n v="0"/>
    <n v="0"/>
    <n v="0"/>
    <n v="0"/>
    <n v="0"/>
    <n v="0"/>
    <n v="0"/>
    <n v="0"/>
    <n v="0"/>
    <n v="0"/>
    <n v="0"/>
    <n v="0"/>
    <n v="0"/>
    <n v="0"/>
    <n v="0"/>
    <n v="0"/>
    <n v="0"/>
    <n v="0"/>
    <n v="0"/>
    <m/>
    <m/>
    <m/>
    <m/>
    <n v="0"/>
    <n v="0"/>
    <n v="0"/>
    <n v="0"/>
    <n v="0"/>
    <n v="0"/>
    <n v="0"/>
    <n v="0"/>
    <n v="0"/>
    <n v="0"/>
    <n v="0"/>
    <n v="0"/>
    <n v="0"/>
    <n v="0"/>
    <m/>
    <m/>
    <m/>
    <m/>
    <m/>
    <m/>
    <m/>
    <m/>
    <m/>
    <m/>
    <m/>
    <m/>
    <m/>
    <m/>
    <m/>
    <m/>
    <m/>
    <m/>
    <m/>
    <m/>
    <m/>
    <m/>
    <m/>
    <m/>
    <m/>
    <m/>
    <m/>
    <m/>
    <m/>
    <m/>
    <m/>
    <m/>
    <m/>
    <m/>
  </r>
  <r>
    <n v="742"/>
    <d v="2025-04-17T00:00:00"/>
    <x v="1"/>
    <n v="4000504653"/>
    <n v="7"/>
    <s v="4000504653-7"/>
    <s v="No Priority"/>
    <x v="0"/>
    <m/>
    <x v="0"/>
    <x v="6"/>
    <x v="0"/>
    <m/>
    <x v="0"/>
    <m/>
    <m/>
    <m/>
    <m/>
    <s v="YESHWANTHPURA"/>
    <x v="2"/>
    <x v="117"/>
    <x v="123"/>
    <x v="87"/>
    <s v="HR COILS-PO IS 1079 HR2 3.15X1250"/>
    <s v=" "/>
    <m/>
    <n v="10"/>
    <n v="27"/>
    <m/>
    <x v="0"/>
    <x v="0"/>
    <s v="HR99"/>
    <x v="30"/>
    <x v="0"/>
    <x v="0"/>
    <n v="50"/>
    <n v="0"/>
    <n v="50"/>
    <n v="50"/>
    <n v="50"/>
    <n v="50"/>
    <n v="0"/>
    <n v="0"/>
    <n v="0"/>
    <n v="0"/>
    <n v="0"/>
    <n v="0"/>
    <n v="0"/>
    <n v="0"/>
    <n v="0"/>
    <n v="0"/>
    <n v="0"/>
    <n v="0"/>
    <n v="0"/>
    <n v="0"/>
    <n v="0"/>
    <n v="0"/>
    <n v="0"/>
    <n v="0"/>
    <n v="0"/>
    <n v="0"/>
    <m/>
    <m/>
    <m/>
    <m/>
    <n v="0"/>
    <n v="0"/>
    <n v="0"/>
    <n v="0"/>
    <n v="0"/>
    <n v="0"/>
    <n v="0"/>
    <n v="0"/>
    <n v="0"/>
    <n v="0"/>
    <n v="0"/>
    <n v="0"/>
    <n v="0"/>
    <n v="0"/>
    <m/>
    <m/>
    <m/>
    <m/>
    <m/>
    <m/>
    <m/>
    <m/>
    <m/>
    <m/>
    <m/>
    <m/>
    <m/>
    <m/>
    <m/>
    <m/>
    <m/>
    <m/>
    <m/>
    <m/>
    <m/>
    <m/>
    <m/>
    <m/>
    <m/>
    <m/>
    <m/>
    <m/>
    <m/>
    <m/>
    <m/>
    <m/>
    <m/>
    <m/>
  </r>
  <r>
    <n v="742"/>
    <d v="2025-04-17T00:00:00"/>
    <x v="1"/>
    <n v="4000504653"/>
    <n v="8"/>
    <s v="4000504653-8"/>
    <s v="No Priority"/>
    <x v="0"/>
    <m/>
    <x v="0"/>
    <x v="6"/>
    <x v="0"/>
    <m/>
    <x v="0"/>
    <m/>
    <m/>
    <m/>
    <m/>
    <s v="YESHWANTHPURA"/>
    <x v="2"/>
    <x v="117"/>
    <x v="123"/>
    <x v="91"/>
    <s v="HR COILS-PO THR099 HR99 3.40X1250"/>
    <s v=" "/>
    <m/>
    <n v="10"/>
    <n v="27"/>
    <m/>
    <x v="0"/>
    <x v="0"/>
    <s v="HR99"/>
    <x v="32"/>
    <x v="0"/>
    <x v="0"/>
    <n v="100"/>
    <n v="0"/>
    <n v="100"/>
    <n v="100"/>
    <n v="100"/>
    <n v="100"/>
    <n v="0"/>
    <n v="0"/>
    <n v="0"/>
    <n v="0"/>
    <n v="0"/>
    <n v="0"/>
    <n v="0"/>
    <n v="0"/>
    <n v="0"/>
    <n v="0"/>
    <n v="0"/>
    <n v="0"/>
    <n v="0"/>
    <n v="0"/>
    <n v="0"/>
    <n v="0"/>
    <n v="0"/>
    <n v="0"/>
    <n v="0"/>
    <n v="0"/>
    <m/>
    <m/>
    <m/>
    <m/>
    <n v="0"/>
    <n v="0"/>
    <n v="0"/>
    <n v="0"/>
    <n v="0"/>
    <n v="0"/>
    <n v="0"/>
    <n v="0"/>
    <n v="0"/>
    <n v="0"/>
    <n v="0"/>
    <n v="0"/>
    <n v="0"/>
    <n v="0"/>
    <m/>
    <m/>
    <m/>
    <m/>
    <m/>
    <m/>
    <m/>
    <m/>
    <m/>
    <m/>
    <m/>
    <m/>
    <m/>
    <m/>
    <m/>
    <m/>
    <m/>
    <m/>
    <m/>
    <m/>
    <m/>
    <m/>
    <m/>
    <m/>
    <m/>
    <m/>
    <m/>
    <m/>
    <m/>
    <m/>
    <m/>
    <m/>
    <m/>
    <m/>
  </r>
  <r>
    <n v="742"/>
    <d v="2025-04-21T00:00:00"/>
    <x v="1"/>
    <n v="9518709061"/>
    <n v="3"/>
    <s v="9518709061-3"/>
    <s v="May'25 additional"/>
    <x v="0"/>
    <m/>
    <x v="5"/>
    <x v="6"/>
    <x v="0"/>
    <n v="400"/>
    <x v="1"/>
    <m/>
    <m/>
    <m/>
    <m/>
    <s v="YESHWANTHPURA"/>
    <x v="2"/>
    <x v="26"/>
    <x v="26"/>
    <x v="474"/>
    <s v="CRFH COIL TATFHC RE03 1X1250"/>
    <s v=" "/>
    <m/>
    <n v="10"/>
    <n v="27"/>
    <m/>
    <x v="6"/>
    <x v="12"/>
    <s v="RE03"/>
    <x v="17"/>
    <x v="0"/>
    <x v="0"/>
    <n v="116"/>
    <n v="0"/>
    <n v="116"/>
    <n v="116"/>
    <n v="116"/>
    <n v="116"/>
    <n v="0"/>
    <n v="0"/>
    <n v="0"/>
    <n v="0"/>
    <n v="0"/>
    <n v="0"/>
    <n v="0"/>
    <n v="0"/>
    <n v="0"/>
    <n v="0"/>
    <n v="0"/>
    <n v="0"/>
    <n v="0"/>
    <n v="0"/>
    <n v="0"/>
    <n v="0"/>
    <n v="0"/>
    <n v="0"/>
    <n v="0"/>
    <n v="0"/>
    <m/>
    <m/>
    <m/>
    <m/>
    <n v="0"/>
    <n v="116"/>
    <n v="0"/>
    <n v="0"/>
    <n v="116"/>
    <n v="0"/>
    <n v="0"/>
    <n v="116"/>
    <n v="0"/>
    <n v="0"/>
    <n v="0"/>
    <n v="116"/>
    <n v="0"/>
    <n v="0"/>
    <m/>
    <m/>
    <m/>
    <m/>
    <m/>
    <m/>
    <m/>
    <m/>
    <m/>
    <m/>
    <m/>
    <m/>
    <m/>
    <m/>
    <m/>
    <m/>
    <m/>
    <m/>
    <m/>
    <m/>
    <m/>
    <m/>
    <m/>
    <m/>
    <m/>
    <m/>
    <m/>
    <m/>
    <m/>
    <m/>
    <m/>
    <m/>
    <m/>
    <m/>
  </r>
  <r>
    <n v="742"/>
    <d v="2025-04-21T00:00:00"/>
    <x v="1"/>
    <n v="9518709061"/>
    <n v="4"/>
    <s v="9518709061-4"/>
    <s v="May'25 additional"/>
    <x v="0"/>
    <m/>
    <x v="5"/>
    <x v="6"/>
    <x v="0"/>
    <m/>
    <x v="1"/>
    <m/>
    <m/>
    <m/>
    <m/>
    <s v="YESHWANTHPURA"/>
    <x v="2"/>
    <x v="26"/>
    <x v="26"/>
    <x v="488"/>
    <s v="CRFH COIL TATFHC RE03 1.200X1250"/>
    <s v=" "/>
    <m/>
    <n v="10"/>
    <n v="27"/>
    <m/>
    <x v="6"/>
    <x v="12"/>
    <s v="RE03"/>
    <x v="19"/>
    <x v="0"/>
    <x v="0"/>
    <n v="290"/>
    <n v="0"/>
    <n v="290"/>
    <n v="290"/>
    <n v="290"/>
    <n v="290"/>
    <n v="0"/>
    <n v="0"/>
    <n v="0"/>
    <n v="0"/>
    <n v="0"/>
    <n v="0"/>
    <n v="0"/>
    <n v="0"/>
    <n v="0"/>
    <n v="0"/>
    <n v="0"/>
    <n v="0"/>
    <n v="0"/>
    <n v="0"/>
    <n v="0"/>
    <n v="0"/>
    <n v="0"/>
    <n v="0"/>
    <n v="0"/>
    <n v="0"/>
    <m/>
    <m/>
    <m/>
    <m/>
    <n v="0"/>
    <n v="290"/>
    <n v="0"/>
    <n v="0"/>
    <n v="290"/>
    <n v="0"/>
    <n v="0"/>
    <n v="290"/>
    <n v="0"/>
    <n v="0"/>
    <n v="0"/>
    <n v="0"/>
    <n v="290"/>
    <n v="0"/>
    <m/>
    <m/>
    <m/>
    <m/>
    <m/>
    <m/>
    <m/>
    <m/>
    <m/>
    <m/>
    <m/>
    <m/>
    <m/>
    <m/>
    <m/>
    <m/>
    <m/>
    <m/>
    <m/>
    <m/>
    <m/>
    <m/>
    <m/>
    <m/>
    <m/>
    <m/>
    <m/>
    <m/>
    <m/>
    <m/>
    <m/>
    <m/>
    <m/>
    <m/>
  </r>
  <r>
    <n v="743"/>
    <d v="2025-04-22T00:00:00"/>
    <x v="0"/>
    <n v="9518712210"/>
    <n v="2"/>
    <s v="9518712210-2"/>
    <s v="No Priority"/>
    <x v="0"/>
    <s v="Yes"/>
    <x v="4"/>
    <x v="3"/>
    <x v="2"/>
    <m/>
    <x v="0"/>
    <m/>
    <m/>
    <m/>
    <m/>
    <s v=" "/>
    <x v="2"/>
    <x v="22"/>
    <x v="6"/>
    <x v="35"/>
    <s v="GL C YS550 H6GL 0.45BMT(0.50TCT)X1220"/>
    <s v="AZ150"/>
    <m/>
    <n v="3"/>
    <n v="5"/>
    <m/>
    <x v="5"/>
    <x v="7"/>
    <s v="H6GL"/>
    <x v="10"/>
    <x v="1"/>
    <x v="0"/>
    <n v="112"/>
    <n v="0"/>
    <n v="112"/>
    <n v="112"/>
    <n v="112"/>
    <n v="112"/>
    <n v="0"/>
    <n v="0"/>
    <n v="0"/>
    <n v="0"/>
    <n v="0"/>
    <n v="0"/>
    <n v="0"/>
    <n v="0"/>
    <n v="0"/>
    <n v="0"/>
    <n v="0"/>
    <n v="0"/>
    <n v="0"/>
    <n v="0"/>
    <n v="0"/>
    <n v="0"/>
    <n v="0"/>
    <n v="0"/>
    <n v="0"/>
    <n v="0"/>
    <m/>
    <m/>
    <m/>
    <m/>
    <n v="0"/>
    <n v="0"/>
    <n v="0"/>
    <n v="0"/>
    <n v="0"/>
    <n v="0"/>
    <n v="0"/>
    <n v="0"/>
    <n v="0"/>
    <n v="0"/>
    <n v="0"/>
    <n v="0"/>
    <n v="0"/>
    <n v="0"/>
    <m/>
    <m/>
    <m/>
    <m/>
    <m/>
    <m/>
    <m/>
    <m/>
    <m/>
    <m/>
    <m/>
    <m/>
    <m/>
    <m/>
    <m/>
    <m/>
    <m/>
    <m/>
    <m/>
    <m/>
    <m/>
    <m/>
    <m/>
    <m/>
    <m/>
    <m/>
    <m/>
    <m/>
    <m/>
    <m/>
    <m/>
    <m/>
    <m/>
    <m/>
  </r>
  <r>
    <n v="743"/>
    <d v="2025-04-22T00:00:00"/>
    <x v="0"/>
    <n v="9518712210"/>
    <n v="4"/>
    <s v="9518712210-4"/>
    <s v="No Priority"/>
    <x v="0"/>
    <m/>
    <x v="4"/>
    <x v="3"/>
    <x v="2"/>
    <m/>
    <x v="0"/>
    <m/>
    <m/>
    <m/>
    <m/>
    <s v=" "/>
    <x v="2"/>
    <x v="22"/>
    <x v="6"/>
    <x v="34"/>
    <s v="GL C YS550 H6GL 0.55BMT(0.60TCT)X1220"/>
    <s v="AZ150"/>
    <m/>
    <n v="3"/>
    <n v="5"/>
    <m/>
    <x v="5"/>
    <x v="7"/>
    <s v="H6GL"/>
    <x v="18"/>
    <x v="1"/>
    <x v="0"/>
    <n v="28"/>
    <n v="0"/>
    <n v="28"/>
    <n v="28"/>
    <n v="28"/>
    <n v="28"/>
    <n v="0"/>
    <n v="0"/>
    <n v="0"/>
    <n v="0"/>
    <n v="0"/>
    <n v="0"/>
    <n v="0"/>
    <n v="0"/>
    <n v="0"/>
    <n v="0"/>
    <n v="0"/>
    <n v="0"/>
    <n v="0"/>
    <n v="0"/>
    <n v="0"/>
    <n v="0"/>
    <n v="0"/>
    <n v="0"/>
    <n v="0"/>
    <n v="0"/>
    <m/>
    <m/>
    <m/>
    <m/>
    <n v="0"/>
    <n v="0"/>
    <n v="0"/>
    <n v="0"/>
    <n v="0"/>
    <n v="0"/>
    <n v="0"/>
    <n v="0"/>
    <n v="0"/>
    <n v="0"/>
    <n v="0"/>
    <n v="0"/>
    <n v="0"/>
    <n v="0"/>
    <m/>
    <m/>
    <m/>
    <m/>
    <m/>
    <m/>
    <m/>
    <m/>
    <m/>
    <m/>
    <m/>
    <m/>
    <m/>
    <m/>
    <m/>
    <m/>
    <m/>
    <m/>
    <m/>
    <m/>
    <m/>
    <m/>
    <m/>
    <m/>
    <m/>
    <m/>
    <m/>
    <m/>
    <m/>
    <m/>
    <m/>
    <m/>
    <m/>
    <m/>
  </r>
  <r>
    <n v="743"/>
    <d v="2025-04-22T00:00:00"/>
    <x v="0"/>
    <n v="9518712210"/>
    <n v="5"/>
    <s v="9518712210-5"/>
    <s v="May'25 additional"/>
    <x v="0"/>
    <s v="Yes"/>
    <x v="4"/>
    <x v="3"/>
    <x v="2"/>
    <m/>
    <x v="1"/>
    <m/>
    <m/>
    <m/>
    <m/>
    <s v=" "/>
    <x v="2"/>
    <x v="22"/>
    <x v="6"/>
    <x v="35"/>
    <s v="GL C YS550 H6GL 0.45BMT(0.50TCT)X1220"/>
    <s v="AZ150"/>
    <m/>
    <n v="3"/>
    <n v="5"/>
    <m/>
    <x v="5"/>
    <x v="7"/>
    <s v="H6GL"/>
    <x v="10"/>
    <x v="1"/>
    <x v="0"/>
    <n v="280"/>
    <n v="0"/>
    <n v="280"/>
    <n v="280"/>
    <n v="280"/>
    <n v="280"/>
    <n v="0"/>
    <n v="0"/>
    <n v="0"/>
    <n v="0"/>
    <n v="0"/>
    <n v="0"/>
    <n v="0"/>
    <n v="0"/>
    <n v="0"/>
    <n v="0"/>
    <n v="0"/>
    <n v="0"/>
    <n v="0"/>
    <n v="0"/>
    <n v="0"/>
    <n v="0"/>
    <n v="0"/>
    <n v="0"/>
    <n v="0"/>
    <n v="0"/>
    <m/>
    <m/>
    <m/>
    <m/>
    <n v="0"/>
    <n v="280"/>
    <n v="0"/>
    <n v="0"/>
    <n v="280"/>
    <n v="0"/>
    <n v="0"/>
    <n v="280"/>
    <n v="0"/>
    <n v="0"/>
    <n v="0"/>
    <n v="280"/>
    <n v="0"/>
    <n v="0"/>
    <m/>
    <m/>
    <m/>
    <m/>
    <m/>
    <m/>
    <m/>
    <m/>
    <m/>
    <m/>
    <m/>
    <m/>
    <m/>
    <m/>
    <m/>
    <m/>
    <m/>
    <m/>
    <m/>
    <m/>
    <m/>
    <m/>
    <m/>
    <m/>
    <m/>
    <m/>
    <m/>
    <m/>
    <m/>
    <m/>
    <m/>
    <m/>
    <m/>
    <m/>
  </r>
  <r>
    <n v="743"/>
    <d v="2025-04-26T00:00:00"/>
    <x v="0"/>
    <n v="9518724444"/>
    <n v="1"/>
    <s v="9518724444-1"/>
    <s v="May'25 additional"/>
    <x v="0"/>
    <m/>
    <x v="3"/>
    <x v="14"/>
    <x v="0"/>
    <m/>
    <x v="1"/>
    <m/>
    <m/>
    <m/>
    <m/>
    <s v="JABALPUR"/>
    <x v="2"/>
    <x v="118"/>
    <x v="124"/>
    <x v="489"/>
    <s v="GP COIL SOFT TATXGP GK09 0.350X1250"/>
    <s v="Z80"/>
    <m/>
    <n v="4"/>
    <n v="6"/>
    <m/>
    <x v="7"/>
    <x v="5"/>
    <s v="GK09"/>
    <x v="6"/>
    <x v="0"/>
    <x v="0"/>
    <n v="29"/>
    <n v="0"/>
    <n v="29"/>
    <n v="29"/>
    <n v="29"/>
    <n v="29"/>
    <n v="0"/>
    <n v="0"/>
    <n v="0"/>
    <n v="0"/>
    <n v="0"/>
    <n v="0"/>
    <n v="0"/>
    <n v="0"/>
    <n v="0"/>
    <n v="0"/>
    <n v="0"/>
    <n v="0"/>
    <n v="0"/>
    <n v="0"/>
    <n v="0"/>
    <n v="0"/>
    <n v="0"/>
    <n v="0"/>
    <n v="0"/>
    <n v="0"/>
    <m/>
    <m/>
    <m/>
    <m/>
    <n v="0"/>
    <n v="29"/>
    <n v="0"/>
    <n v="0"/>
    <n v="29"/>
    <n v="0"/>
    <n v="0"/>
    <n v="29"/>
    <n v="0"/>
    <n v="0"/>
    <n v="0"/>
    <n v="29"/>
    <n v="0"/>
    <n v="0"/>
    <m/>
    <m/>
    <m/>
    <m/>
    <m/>
    <m/>
    <m/>
    <m/>
    <m/>
    <m/>
    <m/>
    <m/>
    <m/>
    <m/>
    <m/>
    <m/>
    <m/>
    <m/>
    <m/>
    <m/>
    <m/>
    <m/>
    <m/>
    <m/>
    <m/>
    <m/>
    <m/>
    <m/>
    <m/>
    <m/>
    <m/>
    <m/>
    <m/>
    <m/>
  </r>
  <r>
    <n v="743"/>
    <d v="2025-04-26T00:00:00"/>
    <x v="0"/>
    <n v="9518724444"/>
    <n v="2"/>
    <s v="9518724444-2"/>
    <s v="May'25 additional"/>
    <x v="0"/>
    <m/>
    <x v="3"/>
    <x v="14"/>
    <x v="0"/>
    <m/>
    <x v="1"/>
    <m/>
    <m/>
    <m/>
    <m/>
    <s v="JABALPUR"/>
    <x v="2"/>
    <x v="118"/>
    <x v="124"/>
    <x v="490"/>
    <s v="GP COIL SOFT-TATXGP-GK09-0.4X1250"/>
    <s v="Z80"/>
    <m/>
    <n v="4"/>
    <n v="6"/>
    <m/>
    <x v="7"/>
    <x v="5"/>
    <s v="GK09"/>
    <x v="2"/>
    <x v="0"/>
    <x v="0"/>
    <n v="29"/>
    <n v="0"/>
    <n v="29"/>
    <n v="29"/>
    <n v="29"/>
    <n v="29"/>
    <n v="0"/>
    <n v="0"/>
    <n v="28.52"/>
    <n v="0"/>
    <n v="0"/>
    <n v="0"/>
    <n v="0"/>
    <n v="0"/>
    <n v="0"/>
    <n v="0"/>
    <n v="0"/>
    <n v="0"/>
    <n v="0"/>
    <n v="0"/>
    <n v="0"/>
    <n v="0"/>
    <n v="0"/>
    <n v="0"/>
    <n v="0"/>
    <n v="28.52"/>
    <m/>
    <m/>
    <m/>
    <m/>
    <n v="0"/>
    <n v="29"/>
    <n v="0"/>
    <n v="29"/>
    <n v="0"/>
    <n v="0"/>
    <n v="0"/>
    <n v="29"/>
    <n v="0"/>
    <n v="0"/>
    <n v="29"/>
    <n v="0"/>
    <n v="0"/>
    <n v="0"/>
    <m/>
    <m/>
    <m/>
    <m/>
    <m/>
    <m/>
    <m/>
    <m/>
    <m/>
    <m/>
    <m/>
    <m/>
    <m/>
    <m/>
    <m/>
    <m/>
    <m/>
    <m/>
    <m/>
    <m/>
    <m/>
    <m/>
    <m/>
    <m/>
    <m/>
    <m/>
    <m/>
    <m/>
    <m/>
    <m/>
    <m/>
    <m/>
    <m/>
    <m/>
  </r>
  <r>
    <n v="743"/>
    <d v="2025-04-26T00:00:00"/>
    <x v="0"/>
    <n v="9518724444"/>
    <n v="3"/>
    <s v="9518724444-3"/>
    <s v="May'25 additional"/>
    <x v="0"/>
    <m/>
    <x v="3"/>
    <x v="14"/>
    <x v="0"/>
    <m/>
    <x v="1"/>
    <m/>
    <m/>
    <m/>
    <m/>
    <s v="JABALPUR"/>
    <x v="2"/>
    <x v="118"/>
    <x v="124"/>
    <x v="491"/>
    <s v="GP COIL TATXGP GK09 0.450X1250"/>
    <s v="Z80"/>
    <m/>
    <n v="4"/>
    <n v="6"/>
    <m/>
    <x v="7"/>
    <x v="5"/>
    <s v="GK09"/>
    <x v="10"/>
    <x v="0"/>
    <x v="0"/>
    <n v="29"/>
    <n v="0"/>
    <n v="29"/>
    <n v="29"/>
    <n v="29"/>
    <n v="29"/>
    <n v="0"/>
    <n v="0"/>
    <n v="28.55"/>
    <n v="0"/>
    <n v="0"/>
    <n v="0"/>
    <n v="0"/>
    <n v="0"/>
    <n v="0"/>
    <n v="0"/>
    <n v="0"/>
    <n v="0"/>
    <n v="0"/>
    <n v="0"/>
    <n v="0"/>
    <n v="0"/>
    <n v="0"/>
    <n v="0"/>
    <n v="0"/>
    <n v="28.55"/>
    <m/>
    <m/>
    <m/>
    <m/>
    <n v="0"/>
    <n v="29"/>
    <n v="0"/>
    <n v="29"/>
    <n v="0"/>
    <n v="0"/>
    <n v="0"/>
    <n v="29"/>
    <n v="0"/>
    <n v="0"/>
    <n v="29"/>
    <n v="0"/>
    <n v="0"/>
    <n v="0"/>
    <m/>
    <m/>
    <m/>
    <m/>
    <m/>
    <m/>
    <m/>
    <m/>
    <m/>
    <m/>
    <m/>
    <m/>
    <m/>
    <m/>
    <m/>
    <m/>
    <m/>
    <m/>
    <m/>
    <m/>
    <m/>
    <m/>
    <m/>
    <m/>
    <m/>
    <m/>
    <m/>
    <m/>
    <m/>
    <m/>
    <m/>
    <m/>
    <m/>
    <m/>
  </r>
  <r>
    <n v="743"/>
    <d v="2025-04-26T00:00:00"/>
    <x v="0"/>
    <n v="9518724444"/>
    <n v="4"/>
    <s v="9518724444-4"/>
    <s v="May'25 additional"/>
    <x v="0"/>
    <m/>
    <x v="3"/>
    <x v="14"/>
    <x v="0"/>
    <m/>
    <x v="1"/>
    <m/>
    <m/>
    <m/>
    <m/>
    <s v="JABALPUR"/>
    <x v="2"/>
    <x v="118"/>
    <x v="124"/>
    <x v="492"/>
    <s v="GP COIL SOFT-TATXGP-GK09-0.5X1250"/>
    <s v="Z80"/>
    <m/>
    <n v="4"/>
    <n v="6"/>
    <m/>
    <x v="7"/>
    <x v="5"/>
    <s v="GK09"/>
    <x v="1"/>
    <x v="0"/>
    <x v="0"/>
    <n v="29"/>
    <n v="0"/>
    <n v="29"/>
    <n v="29"/>
    <n v="29"/>
    <n v="29"/>
    <n v="0"/>
    <n v="0"/>
    <n v="28.59"/>
    <n v="0"/>
    <n v="0"/>
    <n v="0"/>
    <n v="0"/>
    <n v="0"/>
    <n v="0"/>
    <n v="0"/>
    <n v="0"/>
    <n v="0"/>
    <n v="0"/>
    <n v="0"/>
    <n v="0"/>
    <n v="0"/>
    <n v="0"/>
    <n v="0"/>
    <n v="0"/>
    <n v="28.59"/>
    <m/>
    <m/>
    <m/>
    <m/>
    <n v="0"/>
    <n v="29"/>
    <n v="0"/>
    <n v="29"/>
    <n v="0"/>
    <n v="0"/>
    <n v="0"/>
    <n v="29"/>
    <n v="0"/>
    <n v="0"/>
    <n v="29"/>
    <n v="0"/>
    <n v="0"/>
    <n v="0"/>
    <m/>
    <m/>
    <m/>
    <m/>
    <m/>
    <m/>
    <m/>
    <m/>
    <m/>
    <m/>
    <m/>
    <m/>
    <m/>
    <m/>
    <m/>
    <m/>
    <m/>
    <m/>
    <m/>
    <m/>
    <m/>
    <m/>
    <m/>
    <m/>
    <m/>
    <m/>
    <m/>
    <m/>
    <m/>
    <m/>
    <m/>
    <m/>
    <m/>
    <m/>
  </r>
  <r>
    <n v="743"/>
    <d v="2025-04-26T00:00:00"/>
    <x v="0"/>
    <n v="9518724444"/>
    <n v="5"/>
    <s v="9518724444-5"/>
    <s v="May'25 additional"/>
    <x v="0"/>
    <m/>
    <x v="3"/>
    <x v="14"/>
    <x v="0"/>
    <m/>
    <x v="1"/>
    <m/>
    <m/>
    <m/>
    <m/>
    <s v="JABALPUR"/>
    <x v="2"/>
    <x v="118"/>
    <x v="124"/>
    <x v="493"/>
    <s v="GP COIL SOFT-TATXGP-GK09-0.6X1250"/>
    <s v="Z80"/>
    <m/>
    <n v="4"/>
    <n v="6"/>
    <m/>
    <x v="7"/>
    <x v="5"/>
    <s v="GK09"/>
    <x v="20"/>
    <x v="0"/>
    <x v="0"/>
    <n v="29"/>
    <n v="0"/>
    <n v="29"/>
    <n v="29"/>
    <n v="29"/>
    <n v="29"/>
    <n v="0"/>
    <n v="0"/>
    <n v="28.52"/>
    <n v="0"/>
    <n v="0"/>
    <n v="0"/>
    <n v="0"/>
    <n v="0"/>
    <n v="0"/>
    <n v="0"/>
    <n v="0"/>
    <n v="0"/>
    <n v="0"/>
    <n v="0"/>
    <n v="0"/>
    <n v="0"/>
    <n v="0"/>
    <n v="0"/>
    <n v="0"/>
    <n v="28.52"/>
    <m/>
    <m/>
    <m/>
    <m/>
    <n v="0"/>
    <n v="29"/>
    <n v="0"/>
    <n v="29"/>
    <n v="0"/>
    <n v="0"/>
    <n v="0"/>
    <n v="29"/>
    <n v="0"/>
    <n v="0"/>
    <n v="29"/>
    <n v="0"/>
    <n v="0"/>
    <n v="0"/>
    <m/>
    <m/>
    <m/>
    <m/>
    <m/>
    <m/>
    <m/>
    <m/>
    <m/>
    <m/>
    <m/>
    <m/>
    <m/>
    <m/>
    <m/>
    <m/>
    <m/>
    <m/>
    <m/>
    <m/>
    <m/>
    <m/>
    <m/>
    <m/>
    <m/>
    <m/>
    <m/>
    <m/>
    <m/>
    <m/>
    <m/>
    <m/>
    <m/>
    <m/>
  </r>
  <r>
    <n v="742"/>
    <d v="2025-04-23T00:00:00"/>
    <x v="2"/>
    <n v="9518714046"/>
    <n v="1"/>
    <s v="9518714046-1"/>
    <s v="No Priority"/>
    <x v="0"/>
    <m/>
    <x v="5"/>
    <x v="19"/>
    <x v="2"/>
    <m/>
    <x v="0"/>
    <m/>
    <m/>
    <m/>
    <m/>
    <s v="RAILAPUR"/>
    <x v="2"/>
    <x v="119"/>
    <x v="125"/>
    <x v="494"/>
    <s v="CR COIL TATFHM TR88 0.650X1200"/>
    <s v=" "/>
    <m/>
    <n v="20"/>
    <n v="22"/>
    <m/>
    <x v="6"/>
    <x v="21"/>
    <s v="TR88"/>
    <x v="78"/>
    <x v="28"/>
    <x v="0"/>
    <n v="66"/>
    <n v="0"/>
    <n v="66"/>
    <n v="66"/>
    <n v="66"/>
    <n v="0"/>
    <n v="0"/>
    <n v="0"/>
    <n v="0"/>
    <n v="0"/>
    <n v="0"/>
    <n v="0"/>
    <n v="0"/>
    <n v="0"/>
    <n v="0"/>
    <n v="0"/>
    <n v="0"/>
    <n v="0"/>
    <n v="0"/>
    <n v="0"/>
    <n v="0"/>
    <n v="0"/>
    <n v="0"/>
    <n v="0"/>
    <n v="0"/>
    <n v="0"/>
    <m/>
    <m/>
    <m/>
    <m/>
    <n v="0"/>
    <n v="0"/>
    <n v="0"/>
    <n v="0"/>
    <n v="0"/>
    <n v="0"/>
    <n v="0"/>
    <n v="0"/>
    <n v="0"/>
    <n v="0"/>
    <n v="0"/>
    <n v="0"/>
    <n v="0"/>
    <n v="0"/>
    <m/>
    <m/>
    <m/>
    <m/>
    <m/>
    <m/>
    <m/>
    <m/>
    <m/>
    <m/>
    <m/>
    <m/>
    <m/>
    <m/>
    <m/>
    <m/>
    <m/>
    <m/>
    <m/>
    <m/>
    <m/>
    <m/>
    <m/>
    <m/>
    <m/>
    <m/>
    <m/>
    <m/>
    <m/>
    <m/>
    <m/>
    <m/>
    <m/>
    <m/>
  </r>
  <r>
    <n v="742"/>
    <d v="2025-04-23T00:00:00"/>
    <x v="2"/>
    <n v="9518714046"/>
    <n v="2"/>
    <s v="9518714046-2"/>
    <s v="No Priority"/>
    <x v="0"/>
    <m/>
    <x v="5"/>
    <x v="19"/>
    <x v="2"/>
    <m/>
    <x v="0"/>
    <m/>
    <m/>
    <m/>
    <m/>
    <s v="RAILAPUR"/>
    <x v="2"/>
    <x v="119"/>
    <x v="125"/>
    <x v="495"/>
    <s v="CR COIL TATFHM TR88 0.780X1200"/>
    <s v=" "/>
    <m/>
    <n v="20"/>
    <n v="22"/>
    <m/>
    <x v="6"/>
    <x v="21"/>
    <s v="TR88"/>
    <x v="79"/>
    <x v="28"/>
    <x v="0"/>
    <n v="66"/>
    <n v="0"/>
    <n v="66"/>
    <n v="66"/>
    <n v="66"/>
    <n v="0"/>
    <n v="0"/>
    <n v="0"/>
    <n v="0"/>
    <n v="0"/>
    <n v="0"/>
    <n v="0"/>
    <n v="0"/>
    <n v="0"/>
    <n v="0"/>
    <n v="0"/>
    <n v="0"/>
    <n v="0"/>
    <n v="0"/>
    <n v="0"/>
    <n v="0"/>
    <n v="0"/>
    <n v="0"/>
    <n v="0"/>
    <n v="0"/>
    <n v="0"/>
    <m/>
    <m/>
    <m/>
    <m/>
    <n v="0"/>
    <n v="0"/>
    <n v="0"/>
    <n v="0"/>
    <n v="0"/>
    <n v="0"/>
    <n v="0"/>
    <n v="0"/>
    <n v="0"/>
    <n v="0"/>
    <n v="0"/>
    <n v="0"/>
    <n v="0"/>
    <n v="0"/>
    <m/>
    <m/>
    <m/>
    <m/>
    <m/>
    <m/>
    <m/>
    <m/>
    <m/>
    <m/>
    <m/>
    <m/>
    <m/>
    <m/>
    <m/>
    <m/>
    <m/>
    <m/>
    <m/>
    <m/>
    <m/>
    <m/>
    <m/>
    <m/>
    <m/>
    <m/>
    <m/>
    <m/>
    <m/>
    <m/>
    <m/>
    <m/>
    <m/>
    <m/>
  </r>
  <r>
    <n v="742"/>
    <d v="2025-04-23T00:00:00"/>
    <x v="2"/>
    <n v="9518714046"/>
    <n v="3"/>
    <s v="9518714046-3"/>
    <s v="No Priority"/>
    <x v="0"/>
    <m/>
    <x v="5"/>
    <x v="19"/>
    <x v="2"/>
    <m/>
    <x v="0"/>
    <m/>
    <m/>
    <m/>
    <m/>
    <s v="RAILAPUR"/>
    <x v="2"/>
    <x v="119"/>
    <x v="125"/>
    <x v="496"/>
    <s v="CR COIL TATFHM TR88 0.900X1200"/>
    <s v=" "/>
    <m/>
    <n v="20"/>
    <n v="22"/>
    <m/>
    <x v="6"/>
    <x v="21"/>
    <s v="TR88"/>
    <x v="13"/>
    <x v="28"/>
    <x v="0"/>
    <n v="66"/>
    <n v="0"/>
    <n v="66"/>
    <n v="66"/>
    <n v="66"/>
    <n v="0"/>
    <n v="0"/>
    <n v="0"/>
    <n v="0"/>
    <n v="0"/>
    <n v="0"/>
    <n v="0"/>
    <n v="0"/>
    <n v="0"/>
    <n v="0"/>
    <n v="0"/>
    <n v="0"/>
    <n v="0"/>
    <n v="0"/>
    <n v="0"/>
    <n v="0"/>
    <n v="0"/>
    <n v="0"/>
    <n v="0"/>
    <n v="0"/>
    <n v="0"/>
    <m/>
    <m/>
    <m/>
    <m/>
    <n v="0"/>
    <n v="0"/>
    <n v="0"/>
    <n v="0"/>
    <n v="0"/>
    <n v="0"/>
    <n v="0"/>
    <n v="0"/>
    <n v="0"/>
    <n v="0"/>
    <n v="0"/>
    <n v="0"/>
    <n v="0"/>
    <n v="0"/>
    <m/>
    <m/>
    <m/>
    <m/>
    <m/>
    <m/>
    <m/>
    <m/>
    <m/>
    <m/>
    <m/>
    <m/>
    <m/>
    <m/>
    <m/>
    <m/>
    <m/>
    <m/>
    <m/>
    <m/>
    <m/>
    <m/>
    <m/>
    <m/>
    <m/>
    <m/>
    <m/>
    <m/>
    <m/>
    <m/>
    <m/>
    <m/>
    <m/>
    <m/>
  </r>
  <r>
    <n v="742"/>
    <d v="2025-04-25T00:00:00"/>
    <x v="0"/>
    <n v="9518721133"/>
    <n v="2"/>
    <s v="9518721133-2"/>
    <s v="May'25 additional"/>
    <x v="0"/>
    <m/>
    <x v="0"/>
    <x v="0"/>
    <x v="7"/>
    <m/>
    <x v="1"/>
    <m/>
    <m/>
    <m/>
    <m/>
    <s v="KOLAR"/>
    <x v="2"/>
    <x v="59"/>
    <x v="56"/>
    <x v="497"/>
    <s v="HR COILS-PO IS 1079 HR2 3.50X1250"/>
    <s v=" "/>
    <m/>
    <n v="18"/>
    <n v="25"/>
    <m/>
    <x v="0"/>
    <x v="0"/>
    <s v="HR99"/>
    <x v="63"/>
    <x v="0"/>
    <x v="0"/>
    <n v="50"/>
    <n v="0"/>
    <n v="50"/>
    <n v="50"/>
    <n v="50"/>
    <n v="50"/>
    <n v="0"/>
    <n v="0"/>
    <n v="0"/>
    <n v="0"/>
    <n v="0"/>
    <n v="0"/>
    <n v="0"/>
    <n v="0"/>
    <n v="0"/>
    <n v="0"/>
    <n v="0"/>
    <n v="0"/>
    <n v="0"/>
    <n v="0"/>
    <n v="0"/>
    <n v="0"/>
    <n v="0"/>
    <n v="0"/>
    <n v="0"/>
    <n v="0"/>
    <m/>
    <m/>
    <m/>
    <m/>
    <n v="0"/>
    <n v="50"/>
    <n v="0"/>
    <n v="0"/>
    <n v="0"/>
    <n v="0"/>
    <n v="50"/>
    <n v="50"/>
    <n v="0"/>
    <n v="0"/>
    <n v="0"/>
    <n v="0"/>
    <n v="50"/>
    <n v="0"/>
    <m/>
    <m/>
    <m/>
    <m/>
    <m/>
    <m/>
    <m/>
    <m/>
    <m/>
    <m/>
    <m/>
    <m/>
    <m/>
    <m/>
    <m/>
    <m/>
    <m/>
    <m/>
    <m/>
    <m/>
    <m/>
    <m/>
    <m/>
    <m/>
    <m/>
    <m/>
    <m/>
    <m/>
    <m/>
    <m/>
    <m/>
    <m/>
    <m/>
    <m/>
  </r>
  <r>
    <n v="743"/>
    <d v="2025-04-22T00:00:00"/>
    <x v="0"/>
    <n v="9518711518"/>
    <n v="2"/>
    <s v="9518711518-2"/>
    <s v="May'25"/>
    <x v="0"/>
    <m/>
    <x v="4"/>
    <x v="3"/>
    <x v="2"/>
    <m/>
    <x v="1"/>
    <m/>
    <m/>
    <m/>
    <m/>
    <s v="TAMILNADU"/>
    <x v="2"/>
    <x v="65"/>
    <x v="6"/>
    <x v="27"/>
    <s v="GL COIL HARD Y550GL M308 0.47 (TCT)X1220"/>
    <s v="AZ150"/>
    <m/>
    <n v="3"/>
    <n v="5"/>
    <m/>
    <x v="5"/>
    <x v="7"/>
    <s v="M308"/>
    <x v="14"/>
    <x v="1"/>
    <x v="0"/>
    <n v="168"/>
    <n v="0"/>
    <n v="168"/>
    <n v="168"/>
    <n v="168"/>
    <n v="168"/>
    <n v="0"/>
    <n v="0"/>
    <n v="0"/>
    <n v="0"/>
    <n v="0"/>
    <n v="0"/>
    <n v="0"/>
    <n v="0"/>
    <n v="0"/>
    <n v="0"/>
    <n v="0"/>
    <n v="0"/>
    <n v="0"/>
    <n v="0"/>
    <n v="0"/>
    <n v="0"/>
    <n v="0"/>
    <n v="0"/>
    <n v="0"/>
    <n v="0"/>
    <m/>
    <m/>
    <m/>
    <m/>
    <n v="0"/>
    <n v="168"/>
    <n v="0"/>
    <n v="0"/>
    <n v="168"/>
    <n v="0"/>
    <n v="0"/>
    <n v="168"/>
    <n v="0"/>
    <n v="0"/>
    <n v="0"/>
    <n v="168"/>
    <n v="0"/>
    <n v="0"/>
    <m/>
    <m/>
    <m/>
    <m/>
    <m/>
    <m/>
    <m/>
    <m/>
    <m/>
    <m/>
    <m/>
    <m/>
    <m/>
    <m/>
    <m/>
    <m/>
    <m/>
    <m/>
    <m/>
    <m/>
    <m/>
    <m/>
    <m/>
    <m/>
    <m/>
    <m/>
    <m/>
    <m/>
    <m/>
    <m/>
    <m/>
    <m/>
    <m/>
    <m/>
  </r>
  <r>
    <n v="743"/>
    <d v="2025-04-22T00:00:00"/>
    <x v="0"/>
    <n v="9518711518"/>
    <n v="3"/>
    <s v="9518711518-3"/>
    <s v="May'25"/>
    <x v="0"/>
    <m/>
    <x v="4"/>
    <x v="3"/>
    <x v="2"/>
    <m/>
    <x v="1"/>
    <m/>
    <m/>
    <m/>
    <m/>
    <s v="TAMILNADU"/>
    <x v="2"/>
    <x v="65"/>
    <x v="6"/>
    <x v="163"/>
    <s v="GL COIL HARD Y550GL M308 0.50 (TCT)X1220"/>
    <s v="AZ150"/>
    <m/>
    <n v="3"/>
    <n v="5"/>
    <m/>
    <x v="5"/>
    <x v="7"/>
    <s v="M308"/>
    <x v="1"/>
    <x v="1"/>
    <x v="0"/>
    <n v="28"/>
    <n v="0"/>
    <n v="28"/>
    <n v="28"/>
    <n v="28"/>
    <n v="28"/>
    <n v="0"/>
    <n v="0"/>
    <n v="0"/>
    <n v="0"/>
    <n v="0"/>
    <n v="0"/>
    <n v="0"/>
    <n v="0"/>
    <n v="0"/>
    <n v="0"/>
    <n v="0"/>
    <n v="0"/>
    <n v="0"/>
    <n v="0"/>
    <n v="0"/>
    <n v="0"/>
    <n v="0"/>
    <n v="8.6750000000000007"/>
    <n v="0"/>
    <n v="8.6750000000000007"/>
    <m/>
    <m/>
    <m/>
    <m/>
    <n v="0"/>
    <n v="28"/>
    <n v="0"/>
    <n v="28"/>
    <n v="0"/>
    <n v="0"/>
    <n v="0"/>
    <n v="28"/>
    <n v="0"/>
    <n v="0"/>
    <n v="28"/>
    <n v="0"/>
    <n v="0"/>
    <n v="0"/>
    <m/>
    <m/>
    <m/>
    <m/>
    <m/>
    <m/>
    <m/>
    <m/>
    <m/>
    <m/>
    <m/>
    <m/>
    <m/>
    <m/>
    <m/>
    <m/>
    <m/>
    <m/>
    <m/>
    <m/>
    <m/>
    <m/>
    <m/>
    <m/>
    <m/>
    <m/>
    <m/>
    <m/>
    <m/>
    <m/>
    <m/>
    <m/>
    <m/>
    <m/>
  </r>
  <r>
    <n v="743"/>
    <d v="2025-04-23T00:00:00"/>
    <x v="0"/>
    <n v="9518715401"/>
    <n v="1"/>
    <s v="9518715401-1"/>
    <s v="May'25"/>
    <x v="0"/>
    <m/>
    <x v="4"/>
    <x v="3"/>
    <x v="2"/>
    <m/>
    <x v="1"/>
    <m/>
    <m/>
    <m/>
    <m/>
    <s v="TATANAGAR"/>
    <x v="2"/>
    <x v="39"/>
    <x v="6"/>
    <x v="163"/>
    <s v="GL COIL HARD Y550GL M308 0.50 (TCT)X1220"/>
    <s v="AZ150"/>
    <m/>
    <n v="3"/>
    <n v="5"/>
    <m/>
    <x v="5"/>
    <x v="7"/>
    <s v="M308"/>
    <x v="1"/>
    <x v="1"/>
    <x v="0"/>
    <n v="280"/>
    <n v="0"/>
    <n v="280"/>
    <n v="280"/>
    <n v="280"/>
    <n v="280"/>
    <n v="0"/>
    <n v="0"/>
    <n v="0"/>
    <n v="0"/>
    <n v="0"/>
    <n v="0"/>
    <n v="0"/>
    <n v="0"/>
    <n v="0"/>
    <n v="0"/>
    <n v="0"/>
    <n v="0"/>
    <n v="0"/>
    <n v="0"/>
    <n v="0"/>
    <n v="0"/>
    <n v="0"/>
    <n v="0"/>
    <n v="0"/>
    <n v="0"/>
    <m/>
    <m/>
    <m/>
    <m/>
    <n v="0"/>
    <n v="280"/>
    <n v="0"/>
    <n v="0"/>
    <n v="280"/>
    <n v="0"/>
    <n v="0"/>
    <n v="280"/>
    <n v="0"/>
    <n v="0"/>
    <n v="0"/>
    <n v="280"/>
    <n v="0"/>
    <n v="0"/>
    <m/>
    <m/>
    <m/>
    <m/>
    <m/>
    <m/>
    <m/>
    <m/>
    <m/>
    <m/>
    <m/>
    <m/>
    <m/>
    <m/>
    <m/>
    <m/>
    <m/>
    <m/>
    <m/>
    <m/>
    <m/>
    <m/>
    <m/>
    <m/>
    <m/>
    <m/>
    <m/>
    <m/>
    <m/>
    <m/>
    <m/>
    <m/>
    <m/>
    <m/>
  </r>
  <r>
    <n v="742"/>
    <d v="2025-04-25T00:00:00"/>
    <x v="0"/>
    <n v="9518721781"/>
    <n v="1"/>
    <s v="9518721781-1"/>
    <s v="No Priority"/>
    <x v="0"/>
    <m/>
    <x v="5"/>
    <x v="10"/>
    <x v="2"/>
    <m/>
    <x v="0"/>
    <m/>
    <m/>
    <m/>
    <m/>
    <s v="VILLAGE-PRAGPAR"/>
    <x v="2"/>
    <x v="67"/>
    <x v="105"/>
    <x v="498"/>
    <s v="CRFH COIL TATFHC TR10 0.420X1235"/>
    <s v=" "/>
    <m/>
    <n v="10"/>
    <n v="20"/>
    <m/>
    <x v="6"/>
    <x v="12"/>
    <s v="TR10"/>
    <x v="3"/>
    <x v="7"/>
    <x v="0"/>
    <n v="280"/>
    <n v="0"/>
    <n v="280"/>
    <n v="280"/>
    <n v="280"/>
    <n v="0"/>
    <n v="0"/>
    <n v="0"/>
    <n v="0"/>
    <n v="0"/>
    <n v="0"/>
    <n v="0"/>
    <n v="0"/>
    <n v="0"/>
    <n v="0"/>
    <n v="0"/>
    <n v="0"/>
    <n v="0"/>
    <n v="0"/>
    <n v="0"/>
    <n v="0"/>
    <n v="0"/>
    <n v="0"/>
    <n v="0"/>
    <n v="0"/>
    <n v="0"/>
    <m/>
    <m/>
    <m/>
    <m/>
    <n v="0"/>
    <n v="0"/>
    <n v="0"/>
    <n v="0"/>
    <n v="0"/>
    <n v="0"/>
    <n v="0"/>
    <n v="0"/>
    <n v="0"/>
    <n v="0"/>
    <n v="0"/>
    <n v="0"/>
    <n v="0"/>
    <n v="0"/>
    <m/>
    <m/>
    <m/>
    <m/>
    <m/>
    <m/>
    <m/>
    <m/>
    <m/>
    <m/>
    <m/>
    <m/>
    <m/>
    <m/>
    <m/>
    <m/>
    <m/>
    <m/>
    <m/>
    <m/>
    <m/>
    <m/>
    <m/>
    <m/>
    <m/>
    <m/>
    <m/>
    <m/>
    <m/>
    <m/>
    <m/>
    <m/>
    <m/>
    <m/>
  </r>
  <r>
    <n v="743"/>
    <d v="2025-04-24T00:00:00"/>
    <x v="0"/>
    <n v="9518717365"/>
    <n v="1"/>
    <s v="9518717365-1"/>
    <s v="May'25 additional"/>
    <x v="0"/>
    <m/>
    <x v="3"/>
    <x v="4"/>
    <x v="1"/>
    <m/>
    <x v="1"/>
    <m/>
    <m/>
    <s v="Assam"/>
    <m/>
    <m/>
    <x v="2"/>
    <x v="16"/>
    <x v="108"/>
    <x v="178"/>
    <s v="GP COIL TATGPH GP02 0.350X900"/>
    <s v=""/>
    <m/>
    <m/>
    <m/>
    <m/>
    <x v="4"/>
    <x v="6"/>
    <s v="GP02"/>
    <x v="6"/>
    <x v="3"/>
    <x v="0"/>
    <n v="63"/>
    <n v="0"/>
    <n v="63"/>
    <n v="63"/>
    <n v="63"/>
    <n v="21"/>
    <n v="0"/>
    <n v="0"/>
    <n v="0"/>
    <n v="0"/>
    <n v="0"/>
    <n v="0"/>
    <n v="0"/>
    <n v="0"/>
    <n v="0"/>
    <n v="0"/>
    <n v="0"/>
    <n v="0"/>
    <n v="0"/>
    <n v="0"/>
    <n v="0"/>
    <n v="0"/>
    <n v="0"/>
    <n v="0"/>
    <n v="0"/>
    <n v="0"/>
    <m/>
    <m/>
    <m/>
    <m/>
    <n v="0"/>
    <n v="21"/>
    <n v="0"/>
    <n v="0"/>
    <n v="0"/>
    <n v="21"/>
    <n v="0"/>
    <n v="21"/>
    <n v="0"/>
    <n v="0"/>
    <n v="0"/>
    <n v="0"/>
    <n v="21"/>
    <n v="0"/>
    <m/>
    <m/>
    <m/>
    <m/>
    <m/>
    <m/>
    <m/>
    <m/>
    <m/>
    <m/>
    <m/>
    <m/>
    <m/>
    <m/>
    <m/>
    <m/>
    <m/>
    <m/>
    <m/>
    <m/>
    <m/>
    <m/>
    <m/>
    <m/>
    <m/>
    <m/>
    <m/>
    <m/>
    <m/>
    <m/>
    <m/>
    <m/>
    <m/>
    <m/>
  </r>
  <r>
    <n v="743"/>
    <d v="2025-04-24T00:00:00"/>
    <x v="0"/>
    <n v="9518717365"/>
    <n v="2"/>
    <s v="9518717365-2"/>
    <s v="May'25 additional"/>
    <x v="0"/>
    <m/>
    <x v="3"/>
    <x v="4"/>
    <x v="1"/>
    <m/>
    <x v="1"/>
    <m/>
    <m/>
    <s v="Assam"/>
    <m/>
    <m/>
    <x v="2"/>
    <x v="16"/>
    <x v="108"/>
    <x v="368"/>
    <s v="GP COIL TATGPH GP02 0.630X900"/>
    <s v=""/>
    <m/>
    <m/>
    <m/>
    <m/>
    <x v="4"/>
    <x v="6"/>
    <s v="GP02"/>
    <x v="26"/>
    <x v="3"/>
    <x v="0"/>
    <n v="42"/>
    <n v="0"/>
    <n v="42"/>
    <n v="42"/>
    <n v="42"/>
    <n v="42"/>
    <n v="0"/>
    <n v="0"/>
    <n v="0"/>
    <n v="0"/>
    <n v="0"/>
    <n v="0"/>
    <n v="0"/>
    <n v="0"/>
    <n v="0"/>
    <n v="0"/>
    <n v="0"/>
    <n v="0"/>
    <n v="0"/>
    <n v="0"/>
    <n v="0"/>
    <n v="0"/>
    <n v="0"/>
    <n v="0"/>
    <n v="0"/>
    <n v="0"/>
    <m/>
    <m/>
    <m/>
    <m/>
    <n v="0"/>
    <n v="42"/>
    <n v="0"/>
    <n v="0"/>
    <n v="0"/>
    <n v="42"/>
    <n v="0"/>
    <n v="42"/>
    <n v="0"/>
    <n v="0"/>
    <n v="0"/>
    <n v="0"/>
    <n v="42"/>
    <n v="0"/>
    <m/>
    <m/>
    <m/>
    <m/>
    <m/>
    <m/>
    <m/>
    <m/>
    <m/>
    <m/>
    <m/>
    <m/>
    <m/>
    <m/>
    <m/>
    <m/>
    <m/>
    <m/>
    <m/>
    <m/>
    <m/>
    <m/>
    <m/>
    <m/>
    <m/>
    <m/>
    <m/>
    <m/>
    <m/>
    <m/>
    <m/>
    <m/>
    <m/>
    <m/>
  </r>
  <r>
    <n v="743"/>
    <d v="2025-04-24T00:00:00"/>
    <x v="0"/>
    <n v="9518717365"/>
    <n v="3"/>
    <s v="9518717365-3"/>
    <s v="May'25 additional"/>
    <x v="0"/>
    <m/>
    <x v="3"/>
    <x v="4"/>
    <x v="1"/>
    <m/>
    <x v="1"/>
    <m/>
    <m/>
    <s v="Assam"/>
    <m/>
    <m/>
    <x v="2"/>
    <x v="16"/>
    <x v="108"/>
    <x v="196"/>
    <s v="GP COIL TATGPH GP02 0.630X1350"/>
    <s v=""/>
    <m/>
    <m/>
    <m/>
    <m/>
    <x v="4"/>
    <x v="6"/>
    <s v="GP02"/>
    <x v="26"/>
    <x v="20"/>
    <x v="0"/>
    <n v="31"/>
    <n v="0"/>
    <n v="31"/>
    <n v="31"/>
    <n v="31"/>
    <n v="31"/>
    <n v="0"/>
    <n v="0"/>
    <n v="0"/>
    <n v="0"/>
    <n v="0"/>
    <n v="0"/>
    <n v="0"/>
    <n v="0"/>
    <n v="0"/>
    <n v="0"/>
    <n v="0"/>
    <n v="0"/>
    <n v="0"/>
    <n v="0"/>
    <n v="0"/>
    <n v="0"/>
    <n v="0"/>
    <n v="0"/>
    <n v="0"/>
    <n v="0"/>
    <m/>
    <m/>
    <m/>
    <m/>
    <n v="0"/>
    <n v="31"/>
    <n v="0"/>
    <n v="0"/>
    <n v="31"/>
    <n v="0"/>
    <n v="0"/>
    <n v="31"/>
    <n v="0"/>
    <n v="0"/>
    <n v="0"/>
    <n v="31"/>
    <n v="0"/>
    <n v="0"/>
    <m/>
    <m/>
    <m/>
    <m/>
    <m/>
    <m/>
    <m/>
    <m/>
    <m/>
    <m/>
    <m/>
    <m/>
    <m/>
    <m/>
    <m/>
    <m/>
    <m/>
    <m/>
    <m/>
    <m/>
    <m/>
    <m/>
    <m/>
    <m/>
    <m/>
    <m/>
    <m/>
    <m/>
    <m/>
    <m/>
    <m/>
    <m/>
    <m/>
    <m/>
  </r>
  <r>
    <n v="742"/>
    <d v="2025-04-25T00:00:00"/>
    <x v="0"/>
    <n v="9518721781"/>
    <n v="2"/>
    <s v="9518721781-2"/>
    <s v="No Priority"/>
    <x v="1"/>
    <m/>
    <x v="5"/>
    <x v="10"/>
    <x v="3"/>
    <m/>
    <x v="0"/>
    <m/>
    <m/>
    <s v="Gujarat"/>
    <m/>
    <m/>
    <x v="2"/>
    <x v="67"/>
    <x v="64"/>
    <x v="498"/>
    <s v="CRFH COIL TATFHC TR10 0.420X1235"/>
    <s v=""/>
    <m/>
    <m/>
    <m/>
    <m/>
    <x v="6"/>
    <x v="12"/>
    <s v="TR10"/>
    <x v="3"/>
    <x v="7"/>
    <x v="0"/>
    <n v="196"/>
    <n v="0"/>
    <n v="196"/>
    <n v="196"/>
    <n v="196"/>
    <n v="196"/>
    <n v="0"/>
    <n v="0"/>
    <n v="0"/>
    <n v="0"/>
    <n v="0"/>
    <n v="0"/>
    <n v="0"/>
    <n v="0"/>
    <n v="0"/>
    <n v="0"/>
    <n v="0"/>
    <n v="0"/>
    <n v="0"/>
    <n v="0"/>
    <n v="0"/>
    <n v="0"/>
    <n v="0"/>
    <n v="0"/>
    <n v="0"/>
    <n v="0"/>
    <m/>
    <m/>
    <m/>
    <m/>
    <n v="0"/>
    <n v="0"/>
    <n v="0"/>
    <n v="0"/>
    <n v="0"/>
    <n v="0"/>
    <n v="0"/>
    <n v="0"/>
    <n v="0"/>
    <n v="0"/>
    <n v="0"/>
    <n v="0"/>
    <n v="0"/>
    <n v="0"/>
    <m/>
    <m/>
    <m/>
    <m/>
    <m/>
    <m/>
    <m/>
    <m/>
    <m/>
    <m/>
    <m/>
    <m/>
    <m/>
    <m/>
    <m/>
    <m/>
    <m/>
    <m/>
    <m/>
    <m/>
    <m/>
    <m/>
    <m/>
    <m/>
    <m/>
    <m/>
    <m/>
    <m/>
    <m/>
    <m/>
    <m/>
    <m/>
    <m/>
    <m/>
  </r>
  <r>
    <n v="742"/>
    <d v="2025-04-26T00:00:00"/>
    <x v="0"/>
    <n v="9518722662"/>
    <n v="1"/>
    <s v="9518722662-1"/>
    <s v="No Priority"/>
    <x v="1"/>
    <m/>
    <x v="5"/>
    <x v="10"/>
    <x v="3"/>
    <m/>
    <x v="0"/>
    <m/>
    <m/>
    <s v="Gujarat"/>
    <m/>
    <m/>
    <x v="2"/>
    <x v="67"/>
    <x v="64"/>
    <x v="499"/>
    <s v="CR COIL TATFHC TR10 0.410X1320"/>
    <s v=""/>
    <m/>
    <m/>
    <m/>
    <m/>
    <x v="6"/>
    <x v="12"/>
    <s v="TR10"/>
    <x v="80"/>
    <x v="9"/>
    <x v="0"/>
    <n v="210"/>
    <n v="0"/>
    <n v="210"/>
    <n v="210"/>
    <n v="210"/>
    <n v="210"/>
    <n v="0"/>
    <n v="0"/>
    <n v="0"/>
    <n v="0"/>
    <n v="0"/>
    <n v="0"/>
    <n v="0"/>
    <n v="0"/>
    <n v="0"/>
    <n v="0"/>
    <n v="0"/>
    <n v="0"/>
    <n v="0"/>
    <n v="0"/>
    <n v="0"/>
    <n v="0"/>
    <n v="0"/>
    <n v="0"/>
    <n v="0"/>
    <n v="0"/>
    <m/>
    <m/>
    <m/>
    <m/>
    <n v="0"/>
    <n v="0"/>
    <n v="0"/>
    <n v="0"/>
    <n v="0"/>
    <n v="0"/>
    <n v="0"/>
    <n v="0"/>
    <n v="0"/>
    <n v="0"/>
    <n v="0"/>
    <n v="0"/>
    <n v="0"/>
    <n v="0"/>
    <m/>
    <m/>
    <m/>
    <m/>
    <m/>
    <m/>
    <m/>
    <m/>
    <m/>
    <m/>
    <m/>
    <m/>
    <m/>
    <m/>
    <m/>
    <m/>
    <m/>
    <m/>
    <m/>
    <m/>
    <m/>
    <m/>
    <m/>
    <m/>
    <m/>
    <m/>
    <m/>
    <m/>
    <m/>
    <m/>
    <m/>
    <m/>
    <m/>
    <m/>
  </r>
  <r>
    <n v="742"/>
    <d v="2025-04-26T00:00:00"/>
    <x v="0"/>
    <n v="9518722662"/>
    <n v="2"/>
    <s v="9518722662-2"/>
    <s v="No Priority"/>
    <x v="1"/>
    <m/>
    <x v="5"/>
    <x v="10"/>
    <x v="3"/>
    <m/>
    <x v="0"/>
    <m/>
    <m/>
    <s v="Gujarat"/>
    <m/>
    <m/>
    <x v="2"/>
    <x v="67"/>
    <x v="64"/>
    <x v="499"/>
    <s v="CR COIL TATFHC TR10 0.410X1320"/>
    <s v=""/>
    <m/>
    <m/>
    <m/>
    <m/>
    <x v="6"/>
    <x v="12"/>
    <s v="TR10"/>
    <x v="80"/>
    <x v="9"/>
    <x v="0"/>
    <n v="210"/>
    <n v="0"/>
    <n v="210"/>
    <n v="210"/>
    <n v="210"/>
    <n v="210"/>
    <n v="0"/>
    <n v="0"/>
    <n v="0"/>
    <n v="0"/>
    <n v="0"/>
    <n v="0"/>
    <n v="0"/>
    <n v="0"/>
    <n v="0"/>
    <n v="0"/>
    <n v="0"/>
    <n v="0"/>
    <n v="0"/>
    <n v="0"/>
    <n v="0"/>
    <n v="0"/>
    <n v="0"/>
    <n v="0"/>
    <n v="0"/>
    <n v="0"/>
    <m/>
    <m/>
    <m/>
    <m/>
    <n v="0"/>
    <n v="0"/>
    <n v="0"/>
    <n v="0"/>
    <n v="0"/>
    <n v="0"/>
    <n v="0"/>
    <n v="0"/>
    <n v="0"/>
    <n v="0"/>
    <n v="0"/>
    <n v="0"/>
    <n v="0"/>
    <n v="0"/>
    <m/>
    <m/>
    <m/>
    <m/>
    <m/>
    <m/>
    <m/>
    <m/>
    <m/>
    <m/>
    <m/>
    <m/>
    <m/>
    <m/>
    <m/>
    <m/>
    <m/>
    <m/>
    <m/>
    <m/>
    <m/>
    <m/>
    <m/>
    <m/>
    <m/>
    <m/>
    <m/>
    <m/>
    <m/>
    <m/>
    <m/>
    <m/>
    <m/>
    <m/>
  </r>
  <r>
    <n v="743"/>
    <d v="2025-04-21T00:00:00"/>
    <x v="0"/>
    <n v="9518709112"/>
    <n v="1"/>
    <s v="9518709112-1"/>
    <s v="May'25 additional"/>
    <x v="0"/>
    <m/>
    <x v="4"/>
    <x v="5"/>
    <x v="3"/>
    <m/>
    <x v="1"/>
    <m/>
    <m/>
    <s v="Gujarat"/>
    <m/>
    <m/>
    <x v="2"/>
    <x v="45"/>
    <x v="44"/>
    <x v="253"/>
    <s v="GL COIL HARD  Y550GL H0GL 0.900X1249"/>
    <n v="150"/>
    <m/>
    <m/>
    <m/>
    <m/>
    <x v="5"/>
    <x v="7"/>
    <s v="H0GL"/>
    <x v="13"/>
    <x v="24"/>
    <x v="0"/>
    <n v="290"/>
    <n v="0"/>
    <n v="290"/>
    <n v="290"/>
    <n v="290"/>
    <n v="290"/>
    <n v="0"/>
    <n v="0"/>
    <n v="0"/>
    <n v="0"/>
    <n v="0"/>
    <n v="0"/>
    <n v="0"/>
    <n v="0"/>
    <n v="0"/>
    <n v="0"/>
    <n v="0"/>
    <n v="0"/>
    <n v="0"/>
    <n v="0"/>
    <n v="0"/>
    <n v="0"/>
    <n v="0"/>
    <n v="0"/>
    <n v="0"/>
    <n v="0"/>
    <m/>
    <m/>
    <m/>
    <m/>
    <n v="0"/>
    <n v="290"/>
    <n v="0"/>
    <n v="0"/>
    <n v="0"/>
    <n v="0"/>
    <n v="290"/>
    <n v="290"/>
    <n v="0"/>
    <n v="0"/>
    <n v="0"/>
    <n v="0"/>
    <n v="290"/>
    <n v="0"/>
    <m/>
    <m/>
    <m/>
    <m/>
    <m/>
    <m/>
    <m/>
    <m/>
    <m/>
    <m/>
    <m/>
    <m/>
    <m/>
    <m/>
    <m/>
    <m/>
    <m/>
    <m/>
    <m/>
    <m/>
    <m/>
    <m/>
    <m/>
    <m/>
    <m/>
    <m/>
    <m/>
    <m/>
    <m/>
    <m/>
    <m/>
    <m/>
    <m/>
    <m/>
  </r>
  <r>
    <n v="743"/>
    <d v="2025-04-21T00:00:00"/>
    <x v="0"/>
    <n v="9518709169"/>
    <n v="1"/>
    <s v="9518709169-1"/>
    <s v="May'25 additional"/>
    <x v="0"/>
    <m/>
    <x v="4"/>
    <x v="5"/>
    <x v="3"/>
    <m/>
    <x v="1"/>
    <m/>
    <m/>
    <s v="Gujarat"/>
    <m/>
    <m/>
    <x v="2"/>
    <x v="45"/>
    <x v="44"/>
    <x v="253"/>
    <s v="GL COIL HARD  Y550GL H0GL 0.900X1249"/>
    <n v="150"/>
    <m/>
    <m/>
    <m/>
    <m/>
    <x v="5"/>
    <x v="7"/>
    <s v="H0GL"/>
    <x v="13"/>
    <x v="24"/>
    <x v="0"/>
    <n v="29"/>
    <n v="0"/>
    <n v="29"/>
    <n v="29"/>
    <n v="29"/>
    <n v="29"/>
    <n v="0"/>
    <n v="0"/>
    <n v="0"/>
    <n v="0"/>
    <n v="0"/>
    <n v="0"/>
    <n v="0"/>
    <n v="0"/>
    <n v="0"/>
    <n v="0"/>
    <n v="0"/>
    <n v="0"/>
    <n v="0"/>
    <n v="0"/>
    <n v="0"/>
    <n v="0"/>
    <n v="0"/>
    <n v="0"/>
    <n v="0"/>
    <n v="0"/>
    <m/>
    <m/>
    <m/>
    <m/>
    <n v="0"/>
    <n v="29"/>
    <n v="0"/>
    <n v="0"/>
    <n v="0"/>
    <n v="0"/>
    <n v="29"/>
    <n v="29"/>
    <n v="0"/>
    <n v="0"/>
    <n v="0"/>
    <n v="0"/>
    <n v="29"/>
    <n v="0"/>
    <m/>
    <m/>
    <m/>
    <m/>
    <m/>
    <m/>
    <m/>
    <m/>
    <m/>
    <m/>
    <m/>
    <m/>
    <m/>
    <m/>
    <m/>
    <m/>
    <m/>
    <m/>
    <m/>
    <m/>
    <m/>
    <m/>
    <m/>
    <m/>
    <m/>
    <m/>
    <m/>
    <m/>
    <m/>
    <m/>
    <m/>
    <m/>
    <m/>
    <m/>
  </r>
  <r>
    <n v="743"/>
    <d v="2025-04-23T00:00:00"/>
    <x v="0"/>
    <n v="9518713333"/>
    <n v="1"/>
    <s v="9518713333-1"/>
    <s v="May'25 additional"/>
    <x v="0"/>
    <m/>
    <x v="4"/>
    <x v="5"/>
    <x v="3"/>
    <m/>
    <x v="1"/>
    <m/>
    <m/>
    <s v="Uttar Pradesh"/>
    <m/>
    <m/>
    <x v="2"/>
    <x v="120"/>
    <x v="126"/>
    <x v="83"/>
    <s v="GL COIL HARD  Y550GL HGL6 0.900X1250"/>
    <n v="150"/>
    <m/>
    <m/>
    <m/>
    <m/>
    <x v="5"/>
    <x v="7"/>
    <s v="HGL6"/>
    <x v="13"/>
    <x v="0"/>
    <x v="0"/>
    <n v="290"/>
    <n v="0"/>
    <n v="290"/>
    <n v="290"/>
    <n v="290"/>
    <n v="290"/>
    <n v="0"/>
    <n v="0"/>
    <n v="0"/>
    <n v="0"/>
    <n v="0"/>
    <n v="0"/>
    <n v="0"/>
    <n v="0"/>
    <n v="0"/>
    <n v="0"/>
    <n v="0"/>
    <n v="0"/>
    <n v="0"/>
    <n v="0"/>
    <n v="0"/>
    <n v="0"/>
    <n v="0"/>
    <n v="0"/>
    <n v="0"/>
    <n v="0"/>
    <m/>
    <m/>
    <m/>
    <m/>
    <n v="0"/>
    <n v="290"/>
    <n v="0"/>
    <n v="0"/>
    <n v="0"/>
    <n v="0"/>
    <n v="290"/>
    <n v="290"/>
    <n v="0"/>
    <n v="0"/>
    <n v="0"/>
    <n v="0"/>
    <n v="290"/>
    <n v="0"/>
    <m/>
    <m/>
    <m/>
    <m/>
    <m/>
    <m/>
    <m/>
    <m/>
    <m/>
    <m/>
    <m/>
    <m/>
    <m/>
    <m/>
    <m/>
    <m/>
    <m/>
    <m/>
    <m/>
    <m/>
    <m/>
    <m/>
    <m/>
    <m/>
    <m/>
    <m/>
    <m/>
    <m/>
    <m/>
    <m/>
    <m/>
    <m/>
    <m/>
    <m/>
  </r>
  <r>
    <n v="743"/>
    <d v="2025-04-23T00:00:00"/>
    <x v="0"/>
    <n v="9518713406"/>
    <n v="1"/>
    <s v="9518713406-1"/>
    <s v="May'25 additional"/>
    <x v="0"/>
    <m/>
    <x v="4"/>
    <x v="5"/>
    <x v="3"/>
    <m/>
    <x v="1"/>
    <m/>
    <m/>
    <s v="Uttar Pradesh"/>
    <m/>
    <m/>
    <x v="2"/>
    <x v="120"/>
    <x v="126"/>
    <x v="83"/>
    <s v="GL COIL HARD  Y550GL HGL6 0.900X1250"/>
    <n v="150"/>
    <m/>
    <m/>
    <m/>
    <m/>
    <x v="5"/>
    <x v="7"/>
    <s v="HGL6"/>
    <x v="13"/>
    <x v="0"/>
    <x v="0"/>
    <n v="290"/>
    <n v="0"/>
    <n v="290"/>
    <n v="290"/>
    <n v="290"/>
    <n v="290"/>
    <n v="0"/>
    <n v="0"/>
    <n v="0"/>
    <n v="0"/>
    <n v="0"/>
    <n v="0"/>
    <n v="0"/>
    <n v="0"/>
    <n v="0"/>
    <n v="0"/>
    <n v="0"/>
    <n v="0"/>
    <n v="0"/>
    <n v="0"/>
    <n v="0"/>
    <n v="0"/>
    <n v="0"/>
    <n v="0"/>
    <n v="0"/>
    <n v="0"/>
    <m/>
    <m/>
    <m/>
    <m/>
    <n v="0"/>
    <n v="290"/>
    <n v="0"/>
    <n v="0"/>
    <n v="0"/>
    <n v="0"/>
    <n v="290"/>
    <n v="0"/>
    <n v="0"/>
    <n v="0"/>
    <n v="0"/>
    <n v="0"/>
    <n v="0"/>
    <n v="290"/>
    <m/>
    <m/>
    <m/>
    <m/>
    <m/>
    <m/>
    <m/>
    <m/>
    <m/>
    <m/>
    <m/>
    <m/>
    <m/>
    <m/>
    <m/>
    <m/>
    <m/>
    <m/>
    <m/>
    <m/>
    <m/>
    <m/>
    <m/>
    <m/>
    <m/>
    <m/>
    <m/>
    <m/>
    <m/>
    <m/>
    <m/>
    <m/>
    <m/>
    <m/>
  </r>
  <r>
    <n v="743"/>
    <d v="2025-04-26T00:00:00"/>
    <x v="0"/>
    <n v="9518724466"/>
    <n v="1"/>
    <s v="9518724466-1"/>
    <s v="May'25 additional"/>
    <x v="0"/>
    <m/>
    <x v="3"/>
    <x v="4"/>
    <x v="1"/>
    <m/>
    <x v="1"/>
    <m/>
    <m/>
    <s v="Karnataka"/>
    <m/>
    <m/>
    <x v="2"/>
    <x v="14"/>
    <x v="14"/>
    <x v="21"/>
    <s v="GPCOIL TATXGP GP02 0.25X1015"/>
    <s v=""/>
    <m/>
    <m/>
    <m/>
    <m/>
    <x v="4"/>
    <x v="5"/>
    <s v="GP02"/>
    <x v="12"/>
    <x v="4"/>
    <x v="0"/>
    <n v="23"/>
    <n v="0"/>
    <n v="23"/>
    <n v="23"/>
    <n v="23"/>
    <n v="23"/>
    <n v="0"/>
    <n v="0"/>
    <n v="0"/>
    <n v="0"/>
    <n v="0"/>
    <n v="0"/>
    <n v="0"/>
    <n v="0"/>
    <n v="0"/>
    <n v="0"/>
    <n v="0"/>
    <n v="0"/>
    <n v="0"/>
    <n v="0"/>
    <n v="0"/>
    <n v="0"/>
    <n v="0"/>
    <n v="0"/>
    <n v="0"/>
    <n v="0"/>
    <m/>
    <m/>
    <m/>
    <m/>
    <n v="0"/>
    <n v="23"/>
    <n v="0"/>
    <n v="0"/>
    <n v="0"/>
    <n v="23"/>
    <n v="0"/>
    <n v="23"/>
    <n v="0"/>
    <n v="0"/>
    <n v="0"/>
    <n v="0"/>
    <n v="23"/>
    <n v="0"/>
    <m/>
    <m/>
    <m/>
    <m/>
    <m/>
    <m/>
    <m/>
    <m/>
    <m/>
    <m/>
    <m/>
    <m/>
    <m/>
    <m/>
    <m/>
    <m/>
    <m/>
    <m/>
    <m/>
    <m/>
    <m/>
    <m/>
    <m/>
    <m/>
    <m/>
    <m/>
    <m/>
    <m/>
    <m/>
    <m/>
    <m/>
    <m/>
    <m/>
    <m/>
  </r>
  <r>
    <n v="743"/>
    <d v="2025-04-26T00:00:00"/>
    <x v="0"/>
    <n v="9518724466"/>
    <n v="5"/>
    <s v="9518724466-5"/>
    <s v="May'25 additional"/>
    <x v="0"/>
    <m/>
    <x v="3"/>
    <x v="4"/>
    <x v="1"/>
    <m/>
    <x v="1"/>
    <m/>
    <m/>
    <s v="Karnataka"/>
    <m/>
    <m/>
    <x v="2"/>
    <x v="14"/>
    <x v="14"/>
    <x v="180"/>
    <s v="GP COIL TATGPH GP02 0.400X1350"/>
    <s v=""/>
    <m/>
    <m/>
    <m/>
    <m/>
    <x v="4"/>
    <x v="6"/>
    <s v="GP02"/>
    <x v="2"/>
    <x v="20"/>
    <x v="0"/>
    <n v="31"/>
    <n v="0"/>
    <n v="31"/>
    <n v="31"/>
    <n v="31"/>
    <n v="31"/>
    <n v="0"/>
    <n v="0"/>
    <n v="0"/>
    <n v="0"/>
    <n v="0"/>
    <n v="0"/>
    <n v="0"/>
    <n v="0"/>
    <n v="0"/>
    <n v="0"/>
    <n v="0"/>
    <n v="0"/>
    <n v="0"/>
    <n v="0"/>
    <n v="0"/>
    <n v="0"/>
    <n v="0"/>
    <n v="0"/>
    <n v="0"/>
    <n v="0"/>
    <m/>
    <m/>
    <m/>
    <m/>
    <n v="0"/>
    <n v="31"/>
    <n v="0"/>
    <n v="0"/>
    <n v="31"/>
    <n v="0"/>
    <n v="0"/>
    <n v="31"/>
    <n v="0"/>
    <n v="0"/>
    <n v="0"/>
    <n v="31"/>
    <n v="0"/>
    <n v="0"/>
    <m/>
    <m/>
    <m/>
    <m/>
    <m/>
    <m/>
    <m/>
    <m/>
    <m/>
    <m/>
    <m/>
    <m/>
    <m/>
    <m/>
    <m/>
    <m/>
    <m/>
    <m/>
    <m/>
    <m/>
    <m/>
    <m/>
    <m/>
    <m/>
    <m/>
    <m/>
    <m/>
    <m/>
    <m/>
    <m/>
    <m/>
    <m/>
    <m/>
    <m/>
  </r>
  <r>
    <n v="743"/>
    <d v="2025-04-26T00:00:00"/>
    <x v="0"/>
    <n v="9518724466"/>
    <n v="7"/>
    <s v="9518724466-7"/>
    <s v="May'25 additional"/>
    <x v="0"/>
    <m/>
    <x v="3"/>
    <x v="4"/>
    <x v="1"/>
    <m/>
    <x v="1"/>
    <m/>
    <m/>
    <s v="Karnataka"/>
    <m/>
    <m/>
    <x v="2"/>
    <x v="14"/>
    <x v="14"/>
    <x v="194"/>
    <s v="GP COIL TATGPH GP02 0.500X1350"/>
    <s v=""/>
    <m/>
    <m/>
    <m/>
    <m/>
    <x v="4"/>
    <x v="6"/>
    <s v="GP02"/>
    <x v="1"/>
    <x v="20"/>
    <x v="0"/>
    <n v="93"/>
    <n v="0"/>
    <n v="93"/>
    <n v="93"/>
    <n v="93"/>
    <n v="93"/>
    <n v="0"/>
    <n v="0"/>
    <n v="0"/>
    <n v="0"/>
    <n v="0"/>
    <n v="0"/>
    <n v="0"/>
    <n v="0"/>
    <n v="0"/>
    <n v="0"/>
    <n v="0"/>
    <n v="0"/>
    <n v="0"/>
    <n v="0"/>
    <n v="0"/>
    <n v="0"/>
    <n v="0"/>
    <n v="0"/>
    <n v="0"/>
    <n v="0"/>
    <m/>
    <m/>
    <m/>
    <m/>
    <n v="0"/>
    <n v="93"/>
    <n v="0"/>
    <n v="0"/>
    <n v="0"/>
    <n v="0"/>
    <n v="93"/>
    <n v="0"/>
    <n v="0"/>
    <n v="0"/>
    <n v="0"/>
    <n v="0"/>
    <n v="0"/>
    <n v="93"/>
    <m/>
    <m/>
    <m/>
    <m/>
    <m/>
    <m/>
    <m/>
    <m/>
    <m/>
    <m/>
    <m/>
    <m/>
    <m/>
    <m/>
    <m/>
    <m/>
    <m/>
    <m/>
    <m/>
    <m/>
    <m/>
    <m/>
    <m/>
    <m/>
    <m/>
    <m/>
    <m/>
    <m/>
    <m/>
    <m/>
    <m/>
    <m/>
    <m/>
    <m/>
  </r>
  <r>
    <n v="743"/>
    <d v="2025-04-26T00:00:00"/>
    <x v="0"/>
    <n v="9518724466"/>
    <n v="8"/>
    <s v="9518724466-8"/>
    <s v="May'25 additional"/>
    <x v="0"/>
    <m/>
    <x v="3"/>
    <x v="4"/>
    <x v="1"/>
    <m/>
    <x v="1"/>
    <m/>
    <m/>
    <s v="Karnataka"/>
    <m/>
    <m/>
    <x v="2"/>
    <x v="14"/>
    <x v="14"/>
    <x v="500"/>
    <s v="GP COIL TATGPH GP02 0.600X1350"/>
    <s v=""/>
    <m/>
    <m/>
    <m/>
    <m/>
    <x v="4"/>
    <x v="6"/>
    <s v="GP02"/>
    <x v="20"/>
    <x v="20"/>
    <x v="0"/>
    <n v="31"/>
    <n v="0"/>
    <n v="31"/>
    <n v="31"/>
    <n v="31"/>
    <n v="31"/>
    <n v="0"/>
    <n v="0"/>
    <n v="0"/>
    <n v="0"/>
    <n v="0"/>
    <n v="0"/>
    <n v="0"/>
    <n v="0"/>
    <n v="0"/>
    <n v="0"/>
    <n v="0"/>
    <n v="0"/>
    <n v="0"/>
    <n v="0"/>
    <n v="0"/>
    <n v="0"/>
    <n v="0"/>
    <n v="0"/>
    <n v="0"/>
    <n v="0"/>
    <m/>
    <m/>
    <m/>
    <m/>
    <n v="0"/>
    <n v="31"/>
    <n v="0"/>
    <n v="0"/>
    <n v="31"/>
    <n v="0"/>
    <n v="0"/>
    <n v="31"/>
    <n v="0"/>
    <n v="0"/>
    <n v="0"/>
    <n v="31"/>
    <n v="0"/>
    <n v="0"/>
    <m/>
    <m/>
    <m/>
    <m/>
    <m/>
    <m/>
    <m/>
    <m/>
    <m/>
    <m/>
    <m/>
    <m/>
    <m/>
    <m/>
    <m/>
    <m/>
    <m/>
    <m/>
    <m/>
    <m/>
    <m/>
    <m/>
    <m/>
    <m/>
    <m/>
    <m/>
    <m/>
    <m/>
    <m/>
    <m/>
    <m/>
    <m/>
    <m/>
    <m/>
  </r>
  <r>
    <n v="743"/>
    <d v="2025-04-24T00:00:00"/>
    <x v="0"/>
    <n v="9518718466"/>
    <n v="1"/>
    <s v="9518718466-1"/>
    <s v="May'25 additional"/>
    <x v="0"/>
    <m/>
    <x v="4"/>
    <x v="3"/>
    <x v="3"/>
    <m/>
    <x v="1"/>
    <m/>
    <m/>
    <s v="Jharkhand"/>
    <m/>
    <m/>
    <x v="2"/>
    <x v="22"/>
    <x v="39"/>
    <x v="35"/>
    <s v="GL C YS550 H6GL 0.45BMT(0.50TCT)X1220"/>
    <n v="150"/>
    <m/>
    <m/>
    <m/>
    <m/>
    <x v="5"/>
    <x v="7"/>
    <s v="H6GL"/>
    <x v="10"/>
    <x v="1"/>
    <x v="0"/>
    <n v="196"/>
    <n v="0"/>
    <n v="196"/>
    <n v="196"/>
    <n v="196"/>
    <n v="196"/>
    <n v="0"/>
    <n v="0"/>
    <n v="0"/>
    <n v="0"/>
    <n v="0"/>
    <n v="0"/>
    <n v="0"/>
    <n v="0"/>
    <n v="0"/>
    <n v="0"/>
    <n v="0"/>
    <n v="0"/>
    <n v="0"/>
    <n v="0"/>
    <n v="0"/>
    <n v="0"/>
    <n v="0"/>
    <n v="0"/>
    <n v="0"/>
    <n v="0"/>
    <m/>
    <m/>
    <m/>
    <m/>
    <n v="0"/>
    <n v="196"/>
    <n v="0"/>
    <n v="0"/>
    <n v="0"/>
    <n v="196"/>
    <n v="0"/>
    <n v="0"/>
    <n v="0"/>
    <n v="0"/>
    <n v="0"/>
    <n v="0"/>
    <n v="0"/>
    <n v="196"/>
    <m/>
    <m/>
    <m/>
    <m/>
    <m/>
    <m/>
    <m/>
    <m/>
    <m/>
    <m/>
    <m/>
    <m/>
    <m/>
    <m/>
    <m/>
    <m/>
    <m/>
    <m/>
    <m/>
    <m/>
    <m/>
    <m/>
    <m/>
    <m/>
    <m/>
    <m/>
    <m/>
    <m/>
    <m/>
    <m/>
    <m/>
    <m/>
    <m/>
    <m/>
  </r>
  <r>
    <n v="742"/>
    <d v="2025-04-22T00:00:00"/>
    <x v="0"/>
    <n v="9518712653"/>
    <n v="1"/>
    <s v="9518712653-1"/>
    <s v="May'25 additional"/>
    <x v="0"/>
    <m/>
    <x v="1"/>
    <x v="10"/>
    <x v="3"/>
    <m/>
    <x v="1"/>
    <m/>
    <m/>
    <m/>
    <m/>
    <m/>
    <x v="2"/>
    <x v="115"/>
    <x v="40"/>
    <x v="165"/>
    <s v="CRCA COIL TATXXD BT02 0.770X920"/>
    <m/>
    <m/>
    <m/>
    <m/>
    <m/>
    <x v="1"/>
    <x v="2"/>
    <s v="BT02"/>
    <x v="48"/>
    <x v="15"/>
    <x v="0"/>
    <n v="273"/>
    <n v="0"/>
    <n v="273"/>
    <n v="273"/>
    <n v="273"/>
    <n v="273"/>
    <m/>
    <n v="0"/>
    <n v="0"/>
    <n v="0"/>
    <n v="0"/>
    <n v="0"/>
    <n v="0"/>
    <n v="0"/>
    <n v="0"/>
    <n v="0"/>
    <n v="0"/>
    <n v="0"/>
    <n v="0"/>
    <n v="0"/>
    <n v="0"/>
    <n v="0"/>
    <n v="0"/>
    <n v="0"/>
    <n v="0"/>
    <n v="0"/>
    <m/>
    <m/>
    <m/>
    <m/>
    <n v="0"/>
    <n v="273"/>
    <n v="0"/>
    <n v="0"/>
    <n v="0"/>
    <n v="0"/>
    <n v="273"/>
    <n v="0"/>
    <n v="0"/>
    <n v="0"/>
    <n v="0"/>
    <n v="0"/>
    <n v="0"/>
    <n v="273"/>
    <m/>
    <m/>
    <m/>
    <m/>
    <m/>
    <m/>
    <m/>
    <m/>
    <m/>
    <m/>
    <m/>
    <m/>
    <m/>
    <m/>
    <m/>
    <m/>
    <m/>
    <m/>
    <m/>
    <m/>
    <m/>
    <m/>
    <m/>
    <m/>
    <m/>
    <m/>
    <m/>
    <m/>
    <m/>
    <m/>
    <m/>
    <m/>
    <m/>
    <m/>
  </r>
  <r>
    <n v="742"/>
    <d v="2025-04-22T00:00:00"/>
    <x v="0"/>
    <n v="9518712672"/>
    <n v="7"/>
    <s v="9518712672-7"/>
    <s v="May'25 additional"/>
    <x v="0"/>
    <m/>
    <x v="1"/>
    <x v="10"/>
    <x v="3"/>
    <m/>
    <x v="1"/>
    <m/>
    <m/>
    <m/>
    <m/>
    <m/>
    <x v="2"/>
    <x v="115"/>
    <x v="40"/>
    <x v="284"/>
    <s v="CRCA COIL TATXXD BT01 0.900X1220"/>
    <m/>
    <m/>
    <m/>
    <m/>
    <m/>
    <x v="1"/>
    <x v="2"/>
    <s v="BT01"/>
    <x v="13"/>
    <x v="1"/>
    <x v="0"/>
    <n v="28"/>
    <n v="0"/>
    <n v="28"/>
    <n v="28"/>
    <n v="28"/>
    <n v="28"/>
    <m/>
    <n v="0"/>
    <n v="0"/>
    <n v="0"/>
    <n v="0"/>
    <n v="0"/>
    <n v="0"/>
    <n v="0"/>
    <n v="0"/>
    <n v="0"/>
    <n v="0"/>
    <n v="0"/>
    <n v="0"/>
    <n v="0"/>
    <n v="0"/>
    <n v="0"/>
    <n v="0"/>
    <n v="0"/>
    <n v="0"/>
    <n v="0"/>
    <m/>
    <m/>
    <m/>
    <m/>
    <n v="0"/>
    <n v="28"/>
    <n v="0"/>
    <n v="0"/>
    <n v="28"/>
    <n v="0"/>
    <n v="0"/>
    <n v="28"/>
    <n v="0"/>
    <n v="0"/>
    <n v="0"/>
    <n v="28"/>
    <n v="0"/>
    <n v="0"/>
    <m/>
    <m/>
    <m/>
    <m/>
    <m/>
    <m/>
    <m/>
    <m/>
    <m/>
    <m/>
    <m/>
    <m/>
    <m/>
    <m/>
    <m/>
    <m/>
    <m/>
    <m/>
    <m/>
    <m/>
    <m/>
    <m/>
    <m/>
    <m/>
    <m/>
    <m/>
    <m/>
    <m/>
    <m/>
    <m/>
    <m/>
    <m/>
    <m/>
    <m/>
  </r>
  <r>
    <n v="742"/>
    <d v="2025-04-22T00:00:00"/>
    <x v="0"/>
    <n v="9518712677"/>
    <n v="2"/>
    <s v="9518712677-2"/>
    <s v="May'25 additional"/>
    <x v="0"/>
    <m/>
    <x v="1"/>
    <x v="10"/>
    <x v="3"/>
    <m/>
    <x v="1"/>
    <m/>
    <m/>
    <m/>
    <m/>
    <m/>
    <x v="2"/>
    <x v="115"/>
    <x v="40"/>
    <x v="351"/>
    <s v="CRCA COIL TATXXD BT02 0.800X920"/>
    <m/>
    <m/>
    <m/>
    <m/>
    <m/>
    <x v="1"/>
    <x v="2"/>
    <s v="BT02"/>
    <x v="5"/>
    <x v="15"/>
    <x v="0"/>
    <n v="84"/>
    <n v="0"/>
    <n v="84"/>
    <n v="84"/>
    <n v="84"/>
    <n v="84"/>
    <m/>
    <n v="0"/>
    <n v="0"/>
    <n v="0"/>
    <n v="0"/>
    <n v="0"/>
    <n v="0"/>
    <n v="0"/>
    <n v="0"/>
    <n v="0"/>
    <n v="0"/>
    <n v="0"/>
    <n v="0"/>
    <n v="0"/>
    <n v="0"/>
    <n v="0"/>
    <n v="0"/>
    <n v="0"/>
    <n v="0"/>
    <n v="0"/>
    <m/>
    <m/>
    <m/>
    <m/>
    <n v="0"/>
    <n v="84"/>
    <n v="0"/>
    <n v="0"/>
    <n v="0"/>
    <n v="0"/>
    <n v="84"/>
    <n v="84"/>
    <n v="0"/>
    <n v="0"/>
    <n v="0"/>
    <n v="0"/>
    <n v="84"/>
    <n v="0"/>
    <m/>
    <m/>
    <m/>
    <m/>
    <m/>
    <m/>
    <m/>
    <m/>
    <m/>
    <m/>
    <m/>
    <m/>
    <m/>
    <m/>
    <m/>
    <m/>
    <m/>
    <m/>
    <m/>
    <m/>
    <m/>
    <m/>
    <m/>
    <m/>
    <m/>
    <m/>
    <m/>
    <m/>
    <m/>
    <m/>
    <m/>
    <m/>
    <m/>
    <m/>
  </r>
  <r>
    <n v="742"/>
    <d v="2025-04-22T00:00:00"/>
    <x v="0"/>
    <n v="9518712674"/>
    <n v="4"/>
    <s v="9518712674-4"/>
    <s v="May'25 additional"/>
    <x v="0"/>
    <m/>
    <x v="1"/>
    <x v="10"/>
    <x v="3"/>
    <m/>
    <x v="1"/>
    <m/>
    <m/>
    <m/>
    <m/>
    <m/>
    <x v="2"/>
    <x v="115"/>
    <x v="40"/>
    <x v="79"/>
    <s v="CRCA COIL TATXXD BT01 0.970X1220"/>
    <m/>
    <m/>
    <m/>
    <m/>
    <m/>
    <x v="1"/>
    <x v="2"/>
    <s v="BT01"/>
    <x v="24"/>
    <x v="1"/>
    <x v="0"/>
    <n v="196"/>
    <n v="0"/>
    <n v="196"/>
    <n v="196"/>
    <n v="196"/>
    <n v="196"/>
    <m/>
    <n v="0"/>
    <n v="0"/>
    <n v="0"/>
    <n v="0"/>
    <n v="0"/>
    <n v="0"/>
    <n v="0"/>
    <n v="0"/>
    <n v="0"/>
    <n v="0"/>
    <n v="0"/>
    <n v="0"/>
    <n v="0"/>
    <n v="0"/>
    <n v="0"/>
    <n v="0"/>
    <n v="0"/>
    <n v="0"/>
    <n v="0"/>
    <m/>
    <m/>
    <m/>
    <m/>
    <n v="0"/>
    <n v="196"/>
    <n v="0"/>
    <n v="0"/>
    <n v="196"/>
    <n v="0"/>
    <n v="0"/>
    <n v="196"/>
    <n v="0"/>
    <n v="0"/>
    <n v="0"/>
    <n v="196"/>
    <n v="0"/>
    <n v="0"/>
    <m/>
    <m/>
    <m/>
    <m/>
    <m/>
    <m/>
    <m/>
    <m/>
    <m/>
    <m/>
    <m/>
    <m/>
    <m/>
    <m/>
    <m/>
    <m/>
    <m/>
    <m/>
    <m/>
    <m/>
    <m/>
    <m/>
    <m/>
    <m/>
    <m/>
    <m/>
    <m/>
    <m/>
    <m/>
    <m/>
    <m/>
    <m/>
    <m/>
    <m/>
  </r>
  <r>
    <n v="742"/>
    <d v="2025-04-28T00:00:00"/>
    <x v="0"/>
    <n v="9518729315"/>
    <n v="2"/>
    <s v="9518729315-2"/>
    <s v="May'25 additional"/>
    <x v="0"/>
    <m/>
    <x v="1"/>
    <x v="10"/>
    <x v="3"/>
    <m/>
    <x v="1"/>
    <m/>
    <m/>
    <m/>
    <m/>
    <m/>
    <x v="2"/>
    <x v="115"/>
    <x v="42"/>
    <x v="501"/>
    <s v="CRCA COIL TATXXD BT02 0.800X925"/>
    <m/>
    <m/>
    <m/>
    <m/>
    <m/>
    <x v="1"/>
    <x v="2"/>
    <s v="BT02"/>
    <x v="5"/>
    <x v="27"/>
    <x v="0"/>
    <n v="105"/>
    <n v="0"/>
    <n v="105"/>
    <n v="105"/>
    <n v="105"/>
    <n v="105"/>
    <m/>
    <n v="0"/>
    <n v="0"/>
    <n v="0"/>
    <n v="0"/>
    <n v="0"/>
    <n v="0"/>
    <n v="0"/>
    <n v="0"/>
    <n v="0"/>
    <n v="0"/>
    <n v="0"/>
    <n v="0"/>
    <n v="0"/>
    <n v="0"/>
    <n v="0"/>
    <n v="0"/>
    <n v="0"/>
    <n v="0"/>
    <n v="0"/>
    <m/>
    <m/>
    <m/>
    <m/>
    <n v="0"/>
    <n v="105"/>
    <n v="0"/>
    <n v="0"/>
    <n v="0"/>
    <n v="0"/>
    <n v="105"/>
    <n v="105"/>
    <n v="0"/>
    <n v="0"/>
    <n v="0"/>
    <n v="0"/>
    <n v="105"/>
    <n v="0"/>
    <m/>
    <m/>
    <m/>
    <m/>
    <m/>
    <m/>
    <m/>
    <m/>
    <m/>
    <m/>
    <m/>
    <m/>
    <m/>
    <m/>
    <m/>
    <m/>
    <m/>
    <m/>
    <m/>
    <m/>
    <m/>
    <m/>
    <m/>
    <m/>
    <m/>
    <m/>
    <m/>
    <m/>
    <m/>
    <m/>
    <m/>
    <m/>
    <m/>
    <m/>
  </r>
  <r>
    <n v="742"/>
    <d v="2025-04-22T00:00:00"/>
    <x v="0"/>
    <n v="9518712127"/>
    <n v="9"/>
    <s v="9518712127-9"/>
    <s v="May'25"/>
    <x v="0"/>
    <m/>
    <x v="1"/>
    <x v="1"/>
    <x v="0"/>
    <m/>
    <x v="1"/>
    <m/>
    <m/>
    <m/>
    <m/>
    <s v="SALEM"/>
    <x v="2"/>
    <x v="13"/>
    <x v="13"/>
    <x v="113"/>
    <s v="CRCA COIL-TATXXD-AU03-0.6X1250"/>
    <m/>
    <m/>
    <n v="6"/>
    <n v="18"/>
    <m/>
    <x v="1"/>
    <x v="2"/>
    <s v="AU03"/>
    <x v="20"/>
    <x v="0"/>
    <x v="0"/>
    <n v="29"/>
    <n v="0"/>
    <n v="29"/>
    <m/>
    <m/>
    <n v="29"/>
    <m/>
    <n v="0"/>
    <n v="0"/>
    <n v="0"/>
    <n v="0"/>
    <n v="0"/>
    <n v="0"/>
    <n v="0"/>
    <n v="0"/>
    <n v="0"/>
    <n v="0"/>
    <n v="0"/>
    <n v="0"/>
    <n v="26.71"/>
    <n v="0"/>
    <n v="0"/>
    <n v="0"/>
    <n v="0"/>
    <n v="0"/>
    <n v="26.71"/>
    <m/>
    <m/>
    <m/>
    <m/>
    <n v="0"/>
    <n v="29"/>
    <n v="29"/>
    <n v="0"/>
    <n v="0"/>
    <n v="0"/>
    <n v="0"/>
    <n v="29"/>
    <n v="0"/>
    <n v="29"/>
    <n v="0"/>
    <n v="0"/>
    <n v="0"/>
    <n v="0"/>
    <m/>
    <m/>
    <m/>
    <m/>
    <m/>
    <m/>
    <m/>
    <m/>
    <m/>
    <m/>
    <m/>
    <m/>
    <m/>
    <m/>
    <m/>
    <m/>
    <m/>
    <m/>
    <m/>
    <m/>
    <m/>
    <m/>
    <m/>
    <m/>
    <m/>
    <m/>
    <m/>
    <m/>
    <m/>
    <m/>
    <m/>
    <m/>
    <m/>
    <m/>
  </r>
  <r>
    <n v="742"/>
    <d v="2025-04-22T00:00:00"/>
    <x v="0"/>
    <n v="9518712127"/>
    <n v="10"/>
    <s v="9518712127-10"/>
    <s v="May'25"/>
    <x v="0"/>
    <m/>
    <x v="1"/>
    <x v="1"/>
    <x v="0"/>
    <m/>
    <x v="1"/>
    <m/>
    <m/>
    <m/>
    <m/>
    <s v="SALEM"/>
    <x v="2"/>
    <x v="13"/>
    <x v="13"/>
    <x v="293"/>
    <s v="CRCA COIL-TATXXD-AU03-0.7X1250"/>
    <m/>
    <m/>
    <n v="6"/>
    <n v="18"/>
    <m/>
    <x v="1"/>
    <x v="2"/>
    <s v="AU03"/>
    <x v="4"/>
    <x v="0"/>
    <x v="0"/>
    <n v="29"/>
    <n v="0"/>
    <n v="29"/>
    <m/>
    <m/>
    <n v="29"/>
    <m/>
    <n v="0"/>
    <n v="0"/>
    <n v="0"/>
    <n v="0"/>
    <n v="0"/>
    <n v="0"/>
    <n v="0"/>
    <n v="0"/>
    <n v="0"/>
    <n v="0"/>
    <n v="0"/>
    <n v="0"/>
    <n v="27.55"/>
    <n v="0"/>
    <n v="0"/>
    <n v="0"/>
    <n v="0"/>
    <n v="0"/>
    <n v="27.55"/>
    <m/>
    <m/>
    <m/>
    <m/>
    <n v="0"/>
    <n v="29"/>
    <n v="29"/>
    <n v="0"/>
    <n v="0"/>
    <n v="0"/>
    <n v="0"/>
    <n v="29"/>
    <n v="0"/>
    <n v="29"/>
    <n v="0"/>
    <n v="0"/>
    <n v="0"/>
    <n v="0"/>
    <m/>
    <m/>
    <m/>
    <m/>
    <m/>
    <m/>
    <m/>
    <m/>
    <m/>
    <m/>
    <m/>
    <m/>
    <m/>
    <m/>
    <m/>
    <m/>
    <m/>
    <m/>
    <m/>
    <m/>
    <m/>
    <m/>
    <m/>
    <m/>
    <m/>
    <m/>
    <m/>
    <m/>
    <m/>
    <m/>
    <m/>
    <m/>
    <m/>
    <m/>
  </r>
  <r>
    <n v="742"/>
    <d v="2025-04-17T00:00:00"/>
    <x v="0"/>
    <n v="9518699641"/>
    <n v="1"/>
    <s v="9518699641-1"/>
    <s v="May'25"/>
    <x v="0"/>
    <m/>
    <x v="1"/>
    <x v="1"/>
    <x v="0"/>
    <m/>
    <x v="1"/>
    <m/>
    <m/>
    <m/>
    <m/>
    <s v="GUMMIDIPOONDI"/>
    <x v="2"/>
    <x v="58"/>
    <x v="54"/>
    <x v="293"/>
    <s v="CRCA COIL-TATXXD-AU03-0.7X1250"/>
    <m/>
    <m/>
    <n v="5"/>
    <n v="29"/>
    <m/>
    <x v="1"/>
    <x v="2"/>
    <s v="AU03"/>
    <x v="4"/>
    <x v="0"/>
    <x v="0"/>
    <n v="29"/>
    <n v="0"/>
    <n v="29"/>
    <m/>
    <m/>
    <n v="29"/>
    <m/>
    <n v="0"/>
    <n v="0"/>
    <n v="0"/>
    <n v="0"/>
    <n v="0"/>
    <n v="0"/>
    <n v="0"/>
    <n v="0"/>
    <n v="0"/>
    <n v="0"/>
    <n v="0"/>
    <n v="0"/>
    <n v="27.46"/>
    <n v="0"/>
    <n v="0"/>
    <n v="0"/>
    <n v="0"/>
    <n v="0"/>
    <n v="27.46"/>
    <m/>
    <m/>
    <m/>
    <m/>
    <n v="0"/>
    <n v="29"/>
    <n v="29"/>
    <n v="0"/>
    <n v="0"/>
    <n v="0"/>
    <n v="0"/>
    <n v="29"/>
    <n v="0"/>
    <n v="29"/>
    <n v="0"/>
    <n v="0"/>
    <n v="0"/>
    <n v="0"/>
    <m/>
    <m/>
    <m/>
    <m/>
    <m/>
    <m/>
    <m/>
    <m/>
    <m/>
    <m/>
    <m/>
    <m/>
    <m/>
    <m/>
    <m/>
    <m/>
    <m/>
    <m/>
    <m/>
    <m/>
    <m/>
    <m/>
    <m/>
    <m/>
    <m/>
    <m/>
    <m/>
    <m/>
    <m/>
    <m/>
    <m/>
    <m/>
    <m/>
    <m/>
  </r>
  <r>
    <n v="742"/>
    <d v="2025-04-16T00:00:00"/>
    <x v="0"/>
    <n v="9518696886"/>
    <n v="2"/>
    <s v="9518696886-2"/>
    <s v="May'25"/>
    <x v="0"/>
    <m/>
    <x v="1"/>
    <x v="2"/>
    <x v="0"/>
    <m/>
    <x v="1"/>
    <m/>
    <m/>
    <m/>
    <m/>
    <s v="GORAKHPUR"/>
    <x v="2"/>
    <x v="7"/>
    <x v="7"/>
    <x v="54"/>
    <s v="CRCA SHEET TSBCRC SR15 0.500X1000X2500"/>
    <m/>
    <m/>
    <n v="0"/>
    <n v="0"/>
    <m/>
    <x v="2"/>
    <x v="4"/>
    <s v="SR15"/>
    <x v="1"/>
    <x v="2"/>
    <x v="3"/>
    <n v="30"/>
    <n v="0"/>
    <n v="30"/>
    <m/>
    <m/>
    <n v="30"/>
    <m/>
    <n v="0"/>
    <n v="0"/>
    <n v="0"/>
    <n v="0"/>
    <n v="0"/>
    <n v="0"/>
    <n v="0"/>
    <n v="0"/>
    <n v="0"/>
    <n v="0"/>
    <n v="0"/>
    <n v="22.26"/>
    <n v="0"/>
    <n v="0"/>
    <n v="0"/>
    <n v="0"/>
    <n v="0"/>
    <n v="0"/>
    <n v="22.26"/>
    <m/>
    <m/>
    <m/>
    <m/>
    <n v="0"/>
    <n v="30"/>
    <n v="0"/>
    <n v="30"/>
    <n v="0"/>
    <n v="0"/>
    <n v="0"/>
    <n v="30"/>
    <n v="0"/>
    <n v="0"/>
    <n v="30"/>
    <n v="0"/>
    <n v="0"/>
    <n v="0"/>
    <m/>
    <m/>
    <m/>
    <m/>
    <m/>
    <m/>
    <m/>
    <m/>
    <m/>
    <m/>
    <m/>
    <m/>
    <m/>
    <m/>
    <m/>
    <m/>
    <m/>
    <m/>
    <m/>
    <m/>
    <m/>
    <m/>
    <m/>
    <m/>
    <m/>
    <m/>
    <m/>
    <m/>
    <m/>
    <m/>
    <m/>
    <m/>
    <m/>
    <m/>
  </r>
  <r>
    <n v="742"/>
    <d v="2025-04-24T00:00:00"/>
    <x v="3"/>
    <n v="9518716588"/>
    <n v="1"/>
    <s v="9518716588-1"/>
    <s v="May'25"/>
    <x v="0"/>
    <m/>
    <x v="1"/>
    <x v="17"/>
    <x v="0"/>
    <m/>
    <x v="1"/>
    <m/>
    <m/>
    <m/>
    <m/>
    <s v="VISHAKHAPATNAM"/>
    <x v="2"/>
    <x v="121"/>
    <x v="127"/>
    <x v="502"/>
    <s v="CRCA SHEET TATCRC EX08 0.300X1219X2438"/>
    <m/>
    <m/>
    <n v="2"/>
    <n v="3"/>
    <m/>
    <x v="2"/>
    <x v="1"/>
    <s v="EX08"/>
    <x v="11"/>
    <x v="30"/>
    <x v="12"/>
    <n v="52"/>
    <n v="0"/>
    <n v="52"/>
    <m/>
    <m/>
    <n v="52"/>
    <m/>
    <n v="52.88"/>
    <n v="0"/>
    <n v="0"/>
    <n v="0"/>
    <n v="0"/>
    <n v="0"/>
    <n v="0"/>
    <n v="0"/>
    <n v="0"/>
    <n v="0"/>
    <n v="0"/>
    <n v="0"/>
    <n v="0"/>
    <n v="0"/>
    <n v="0"/>
    <n v="0"/>
    <n v="0"/>
    <n v="0"/>
    <n v="52.88"/>
    <m/>
    <m/>
    <m/>
    <m/>
    <n v="0"/>
    <n v="52"/>
    <n v="0"/>
    <n v="0"/>
    <n v="52"/>
    <n v="0"/>
    <n v="0"/>
    <n v="52"/>
    <n v="0"/>
    <n v="0"/>
    <n v="52"/>
    <n v="0"/>
    <n v="0"/>
    <n v="0"/>
    <m/>
    <m/>
    <m/>
    <m/>
    <m/>
    <m/>
    <m/>
    <m/>
    <m/>
    <m/>
    <m/>
    <m/>
    <m/>
    <m/>
    <m/>
    <m/>
    <m/>
    <m/>
    <m/>
    <m/>
    <m/>
    <m/>
    <m/>
    <m/>
    <m/>
    <m/>
    <m/>
    <m/>
    <m/>
    <m/>
    <m/>
    <m/>
    <m/>
    <m/>
  </r>
  <r>
    <n v="742"/>
    <d v="2025-04-23T00:00:00"/>
    <x v="0"/>
    <n v="9518715119"/>
    <n v="3"/>
    <s v="9518715119-3"/>
    <s v="May'25"/>
    <x v="0"/>
    <m/>
    <x v="1"/>
    <x v="2"/>
    <x v="0"/>
    <m/>
    <x v="1"/>
    <m/>
    <m/>
    <m/>
    <m/>
    <s v="URLA"/>
    <x v="2"/>
    <x v="72"/>
    <x v="69"/>
    <x v="54"/>
    <s v="CRCA SHEET TSBCRC SR15 0.500X1000X2500"/>
    <m/>
    <m/>
    <n v="1"/>
    <n v="5"/>
    <m/>
    <x v="2"/>
    <x v="4"/>
    <s v="SR15"/>
    <x v="1"/>
    <x v="2"/>
    <x v="3"/>
    <n v="24"/>
    <n v="0"/>
    <n v="24"/>
    <m/>
    <m/>
    <n v="24"/>
    <m/>
    <n v="0"/>
    <n v="0"/>
    <n v="0"/>
    <n v="0"/>
    <n v="0"/>
    <n v="0"/>
    <n v="0"/>
    <n v="0"/>
    <n v="0"/>
    <n v="0"/>
    <n v="0"/>
    <n v="0"/>
    <n v="21.86"/>
    <n v="0"/>
    <n v="0"/>
    <n v="0"/>
    <n v="0"/>
    <n v="0"/>
    <n v="21.86"/>
    <m/>
    <m/>
    <m/>
    <m/>
    <n v="0"/>
    <n v="24"/>
    <n v="0"/>
    <n v="24"/>
    <n v="0"/>
    <n v="0"/>
    <n v="0"/>
    <n v="24"/>
    <n v="0"/>
    <n v="0"/>
    <n v="24"/>
    <n v="0"/>
    <n v="0"/>
    <n v="0"/>
    <m/>
    <m/>
    <m/>
    <m/>
    <m/>
    <m/>
    <m/>
    <m/>
    <m/>
    <m/>
    <m/>
    <m/>
    <m/>
    <m/>
    <m/>
    <m/>
    <m/>
    <m/>
    <m/>
    <m/>
    <m/>
    <m/>
    <m/>
    <m/>
    <m/>
    <m/>
    <m/>
    <m/>
    <m/>
    <m/>
    <m/>
    <m/>
    <m/>
    <m/>
  </r>
  <r>
    <n v="742"/>
    <d v="2025-04-21T00:00:00"/>
    <x v="1"/>
    <n v="9518709061"/>
    <n v="13"/>
    <s v="9518709061-13"/>
    <s v="No Priority"/>
    <x v="0"/>
    <m/>
    <x v="1"/>
    <x v="6"/>
    <x v="0"/>
    <m/>
    <x v="0"/>
    <m/>
    <m/>
    <m/>
    <s v="South"/>
    <s v="YESHWANTHPURA"/>
    <x v="2"/>
    <x v="26"/>
    <x v="26"/>
    <x v="250"/>
    <s v="CRCA COIL TSBHSQ TU99 2X1270"/>
    <m/>
    <m/>
    <n v="10"/>
    <n v="27"/>
    <m/>
    <x v="1"/>
    <x v="10"/>
    <s v="TU99"/>
    <x v="15"/>
    <x v="6"/>
    <x v="0"/>
    <n v="58"/>
    <n v="0"/>
    <n v="58"/>
    <m/>
    <m/>
    <n v="58"/>
    <m/>
    <n v="0"/>
    <n v="0"/>
    <n v="28.42"/>
    <n v="0"/>
    <n v="0"/>
    <n v="0"/>
    <n v="0"/>
    <n v="0"/>
    <n v="0"/>
    <n v="0"/>
    <n v="0"/>
    <n v="0"/>
    <n v="27.14"/>
    <n v="0"/>
    <n v="0"/>
    <n v="0"/>
    <n v="0"/>
    <n v="0"/>
    <n v="55.56"/>
    <m/>
    <m/>
    <m/>
    <m/>
    <n v="0"/>
    <n v="0"/>
    <n v="0"/>
    <n v="0"/>
    <n v="0"/>
    <n v="0"/>
    <n v="0"/>
    <n v="0"/>
    <n v="0"/>
    <n v="0"/>
    <n v="0"/>
    <n v="0"/>
    <n v="0"/>
    <n v="0"/>
    <m/>
    <m/>
    <m/>
    <m/>
    <m/>
    <m/>
    <m/>
    <m/>
    <m/>
    <m/>
    <m/>
    <m/>
    <m/>
    <m/>
    <m/>
    <m/>
    <m/>
    <m/>
    <m/>
    <m/>
    <m/>
    <m/>
    <m/>
    <m/>
    <m/>
    <m/>
    <m/>
    <m/>
    <m/>
    <m/>
    <m/>
    <m/>
    <m/>
    <m/>
  </r>
  <r>
    <n v="742"/>
    <d v="2025-04-21T00:00:00"/>
    <x v="1"/>
    <n v="9518709061"/>
    <n v="11"/>
    <s v="9518709061-11"/>
    <s v="No Priority"/>
    <x v="0"/>
    <m/>
    <x v="1"/>
    <x v="6"/>
    <x v="0"/>
    <m/>
    <x v="0"/>
    <m/>
    <m/>
    <m/>
    <s v="South"/>
    <s v="YESHWANTHPURA"/>
    <x v="2"/>
    <x v="26"/>
    <x v="26"/>
    <x v="249"/>
    <s v="CRCA COIL TSBHSQ TU99 1.400X1270"/>
    <m/>
    <m/>
    <n v="10"/>
    <n v="27"/>
    <m/>
    <x v="1"/>
    <x v="10"/>
    <s v="TU99"/>
    <x v="37"/>
    <x v="6"/>
    <x v="0"/>
    <n v="58"/>
    <n v="0"/>
    <n v="58"/>
    <m/>
    <m/>
    <n v="58"/>
    <m/>
    <n v="0"/>
    <n v="0"/>
    <n v="0"/>
    <n v="0"/>
    <n v="0"/>
    <n v="0"/>
    <n v="0"/>
    <n v="0"/>
    <n v="0"/>
    <n v="0"/>
    <n v="0"/>
    <n v="20.420000000000002"/>
    <n v="27.42"/>
    <n v="0"/>
    <n v="0"/>
    <n v="0"/>
    <n v="0"/>
    <n v="0"/>
    <n v="47.84"/>
    <m/>
    <m/>
    <m/>
    <m/>
    <n v="0"/>
    <n v="0"/>
    <n v="0"/>
    <n v="0"/>
    <n v="0"/>
    <n v="0"/>
    <n v="0"/>
    <n v="0"/>
    <n v="0"/>
    <n v="0"/>
    <n v="0"/>
    <n v="0"/>
    <n v="0"/>
    <n v="0"/>
    <m/>
    <m/>
    <m/>
    <m/>
    <m/>
    <m/>
    <m/>
    <m/>
    <m/>
    <m/>
    <m/>
    <m/>
    <m/>
    <m/>
    <m/>
    <m/>
    <m/>
    <m/>
    <m/>
    <m/>
    <m/>
    <m/>
    <m/>
    <m/>
    <m/>
    <m/>
    <m/>
    <m/>
    <m/>
    <m/>
    <m/>
    <m/>
    <m/>
    <m/>
  </r>
  <r>
    <n v="742"/>
    <d v="2025-04-21T00:00:00"/>
    <x v="1"/>
    <n v="9518709061"/>
    <n v="12"/>
    <s v="9518709061-12"/>
    <s v="No Priority"/>
    <x v="0"/>
    <m/>
    <x v="1"/>
    <x v="6"/>
    <x v="0"/>
    <m/>
    <x v="0"/>
    <m/>
    <m/>
    <m/>
    <s v="South"/>
    <s v="YESHWANTHPURA"/>
    <x v="2"/>
    <x v="26"/>
    <x v="26"/>
    <x v="45"/>
    <s v="CRCA COIL TSBHSQ TU99 1.600X1270"/>
    <m/>
    <m/>
    <n v="10"/>
    <n v="27"/>
    <m/>
    <x v="1"/>
    <x v="10"/>
    <s v="TU99"/>
    <x v="22"/>
    <x v="6"/>
    <x v="0"/>
    <n v="87"/>
    <n v="0"/>
    <n v="87"/>
    <m/>
    <m/>
    <n v="87"/>
    <m/>
    <n v="0"/>
    <n v="0"/>
    <n v="0"/>
    <n v="0"/>
    <n v="0"/>
    <n v="0"/>
    <n v="0"/>
    <n v="0"/>
    <n v="0"/>
    <n v="0"/>
    <n v="0"/>
    <n v="0"/>
    <n v="80.260000000000005"/>
    <n v="0"/>
    <n v="0"/>
    <n v="0"/>
    <n v="0"/>
    <n v="0"/>
    <n v="80.260000000000005"/>
    <m/>
    <m/>
    <m/>
    <m/>
    <n v="0"/>
    <n v="0"/>
    <n v="0"/>
    <n v="0"/>
    <n v="0"/>
    <n v="0"/>
    <n v="0"/>
    <n v="0"/>
    <n v="0"/>
    <n v="0"/>
    <n v="0"/>
    <n v="0"/>
    <n v="0"/>
    <n v="0"/>
    <m/>
    <m/>
    <m/>
    <m/>
    <m/>
    <m/>
    <m/>
    <m/>
    <m/>
    <m/>
    <m/>
    <m/>
    <m/>
    <m/>
    <m/>
    <m/>
    <m/>
    <m/>
    <m/>
    <m/>
    <m/>
    <m/>
    <m/>
    <m/>
    <m/>
    <m/>
    <m/>
    <m/>
    <m/>
    <m/>
    <m/>
    <m/>
    <m/>
    <m/>
  </r>
  <r>
    <n v="742"/>
    <d v="2025-04-21T00:00:00"/>
    <x v="1"/>
    <n v="9518709061"/>
    <n v="5"/>
    <s v="9518709061-5"/>
    <s v="No Priority"/>
    <x v="0"/>
    <m/>
    <x v="1"/>
    <x v="6"/>
    <x v="0"/>
    <m/>
    <x v="0"/>
    <m/>
    <m/>
    <m/>
    <s v="South"/>
    <s v="YESHWANTHPURA"/>
    <x v="2"/>
    <x v="26"/>
    <x v="26"/>
    <x v="244"/>
    <s v="CRCA COIL SA1008 TU98 1X1250"/>
    <m/>
    <m/>
    <n v="10"/>
    <n v="27"/>
    <m/>
    <x v="1"/>
    <x v="18"/>
    <s v="TU98"/>
    <x v="17"/>
    <x v="0"/>
    <x v="0"/>
    <n v="58"/>
    <n v="0"/>
    <n v="58"/>
    <m/>
    <m/>
    <n v="58"/>
    <m/>
    <n v="0"/>
    <n v="28.42"/>
    <n v="0"/>
    <n v="0"/>
    <n v="0"/>
    <n v="0"/>
    <n v="0"/>
    <n v="0"/>
    <n v="0"/>
    <n v="0"/>
    <n v="0"/>
    <n v="27.5"/>
    <n v="0"/>
    <n v="0"/>
    <n v="0"/>
    <n v="0"/>
    <n v="0"/>
    <n v="0"/>
    <n v="55.92"/>
    <m/>
    <m/>
    <m/>
    <m/>
    <n v="0"/>
    <n v="0"/>
    <n v="0"/>
    <n v="0"/>
    <n v="0"/>
    <n v="0"/>
    <n v="0"/>
    <n v="0"/>
    <n v="0"/>
    <n v="0"/>
    <n v="0"/>
    <n v="0"/>
    <n v="0"/>
    <n v="0"/>
    <m/>
    <m/>
    <m/>
    <m/>
    <m/>
    <m/>
    <m/>
    <m/>
    <m/>
    <m/>
    <m/>
    <m/>
    <m/>
    <m/>
    <m/>
    <m/>
    <m/>
    <m/>
    <m/>
    <m/>
    <m/>
    <m/>
    <m/>
    <m/>
    <m/>
    <m/>
    <m/>
    <m/>
    <m/>
    <m/>
    <m/>
    <m/>
    <m/>
    <m/>
  </r>
  <r>
    <n v="742"/>
    <d v="2025-04-16T00:00:00"/>
    <x v="0"/>
    <n v="9518697965"/>
    <n v="7"/>
    <s v="9518697965-7"/>
    <s v="May'25 additional"/>
    <x v="0"/>
    <m/>
    <x v="0"/>
    <x v="0"/>
    <x v="0"/>
    <m/>
    <x v="1"/>
    <m/>
    <m/>
    <m/>
    <m/>
    <s v="YESHWANTHPURA"/>
    <x v="2"/>
    <x v="40"/>
    <x v="0"/>
    <x v="503"/>
    <s v="HR COILS-PO IS 1079 HR2 3.20X1250"/>
    <m/>
    <m/>
    <n v="17"/>
    <n v="27.5"/>
    <m/>
    <x v="0"/>
    <x v="0"/>
    <s v="HR99"/>
    <x v="66"/>
    <x v="0"/>
    <x v="0"/>
    <n v="58"/>
    <n v="0"/>
    <m/>
    <m/>
    <m/>
    <n v="58"/>
    <m/>
    <m/>
    <m/>
    <m/>
    <m/>
    <m/>
    <m/>
    <m/>
    <m/>
    <m/>
    <m/>
    <m/>
    <m/>
    <m/>
    <m/>
    <m/>
    <m/>
    <m/>
    <m/>
    <n v="0"/>
    <m/>
    <m/>
    <m/>
    <m/>
    <n v="0"/>
    <n v="58"/>
    <n v="0"/>
    <n v="0"/>
    <n v="58"/>
    <n v="0"/>
    <n v="0"/>
    <n v="58"/>
    <n v="0"/>
    <n v="0"/>
    <n v="0"/>
    <n v="58"/>
    <n v="0"/>
    <n v="0"/>
    <m/>
    <m/>
    <m/>
    <m/>
    <m/>
    <m/>
    <m/>
    <m/>
    <m/>
    <m/>
    <m/>
    <m/>
    <m/>
    <m/>
    <m/>
    <m/>
    <m/>
    <m/>
    <m/>
    <m/>
    <m/>
    <m/>
    <m/>
    <m/>
    <m/>
    <m/>
    <m/>
    <m/>
    <m/>
    <m/>
    <m/>
    <m/>
    <m/>
    <m/>
  </r>
  <r>
    <n v="742"/>
    <d v="2025-04-16T00:00:00"/>
    <x v="0"/>
    <n v="9518697965"/>
    <n v="8"/>
    <s v="9518697965-8"/>
    <s v="May'25 additional"/>
    <x v="0"/>
    <m/>
    <x v="0"/>
    <x v="0"/>
    <x v="0"/>
    <m/>
    <x v="1"/>
    <m/>
    <m/>
    <m/>
    <m/>
    <s v="YESHWANTHPURA"/>
    <x v="2"/>
    <x v="40"/>
    <x v="0"/>
    <x v="497"/>
    <s v="HR COILS-PO IS 1079 HR2 3.50X1250"/>
    <m/>
    <m/>
    <n v="17"/>
    <n v="27.5"/>
    <m/>
    <x v="0"/>
    <x v="0"/>
    <s v="HR99"/>
    <x v="63"/>
    <x v="0"/>
    <x v="0"/>
    <n v="29"/>
    <n v="0"/>
    <m/>
    <m/>
    <m/>
    <n v="29"/>
    <m/>
    <m/>
    <m/>
    <m/>
    <m/>
    <m/>
    <m/>
    <m/>
    <m/>
    <m/>
    <m/>
    <m/>
    <m/>
    <m/>
    <m/>
    <m/>
    <m/>
    <m/>
    <m/>
    <n v="0"/>
    <m/>
    <m/>
    <m/>
    <m/>
    <n v="0"/>
    <n v="29"/>
    <n v="0"/>
    <n v="0"/>
    <n v="0"/>
    <n v="0"/>
    <n v="29"/>
    <n v="29"/>
    <n v="0"/>
    <n v="0"/>
    <n v="0"/>
    <n v="0"/>
    <n v="29"/>
    <n v="0"/>
    <m/>
    <m/>
    <m/>
    <m/>
    <m/>
    <m/>
    <m/>
    <m/>
    <m/>
    <m/>
    <m/>
    <m/>
    <m/>
    <m/>
    <m/>
    <m/>
    <m/>
    <m/>
    <m/>
    <m/>
    <m/>
    <m/>
    <m/>
    <m/>
    <m/>
    <m/>
    <m/>
    <m/>
    <m/>
    <m/>
    <m/>
    <m/>
    <m/>
    <m/>
  </r>
  <r>
    <n v="742"/>
    <d v="2025-04-16T00:00:00"/>
    <x v="0"/>
    <n v="9518697965"/>
    <n v="4"/>
    <s v="9518697965-4"/>
    <s v="May'25 additional"/>
    <x v="0"/>
    <m/>
    <x v="0"/>
    <x v="0"/>
    <x v="0"/>
    <m/>
    <x v="1"/>
    <m/>
    <m/>
    <m/>
    <m/>
    <s v="YESHWANTHPURA"/>
    <x v="2"/>
    <x v="40"/>
    <x v="0"/>
    <x v="504"/>
    <s v="HR COILS-PO IS 1079 HR2 2.60X1250"/>
    <m/>
    <m/>
    <n v="17"/>
    <n v="27.5"/>
    <m/>
    <x v="0"/>
    <x v="0"/>
    <s v="HR99"/>
    <x v="81"/>
    <x v="0"/>
    <x v="0"/>
    <n v="25"/>
    <n v="0"/>
    <m/>
    <m/>
    <m/>
    <n v="25"/>
    <m/>
    <m/>
    <m/>
    <m/>
    <m/>
    <m/>
    <m/>
    <m/>
    <m/>
    <m/>
    <m/>
    <m/>
    <m/>
    <m/>
    <m/>
    <m/>
    <m/>
    <m/>
    <m/>
    <n v="0"/>
    <m/>
    <m/>
    <m/>
    <m/>
    <n v="0"/>
    <n v="25"/>
    <n v="0"/>
    <n v="0"/>
    <n v="0"/>
    <n v="0"/>
    <n v="25"/>
    <n v="0"/>
    <n v="0"/>
    <n v="0"/>
    <n v="0"/>
    <n v="0"/>
    <n v="0"/>
    <n v="25"/>
    <m/>
    <m/>
    <m/>
    <m/>
    <m/>
    <m/>
    <m/>
    <m/>
    <m/>
    <m/>
    <m/>
    <m/>
    <m/>
    <m/>
    <m/>
    <m/>
    <m/>
    <m/>
    <m/>
    <m/>
    <m/>
    <m/>
    <m/>
    <m/>
    <m/>
    <m/>
    <m/>
    <m/>
    <m/>
    <m/>
    <m/>
    <m/>
    <m/>
    <m/>
  </r>
  <r>
    <n v="742"/>
    <d v="2025-04-03T00:00:00"/>
    <x v="0"/>
    <n v="9518666879"/>
    <n v="2"/>
    <s v="9518666879-2"/>
    <s v="May'25 additional"/>
    <x v="0"/>
    <m/>
    <x v="0"/>
    <x v="0"/>
    <x v="0"/>
    <m/>
    <x v="1"/>
    <m/>
    <m/>
    <m/>
    <m/>
    <s v="CHENNAI"/>
    <x v="2"/>
    <x v="96"/>
    <x v="95"/>
    <x v="505"/>
    <s v="HR COILS-PO IS 1079 HR2 4.50X1250"/>
    <m/>
    <m/>
    <n v="18"/>
    <n v="27"/>
    <m/>
    <x v="0"/>
    <x v="0"/>
    <s v="HR99"/>
    <x v="82"/>
    <x v="0"/>
    <x v="0"/>
    <n v="29"/>
    <n v="0"/>
    <m/>
    <m/>
    <m/>
    <n v="29"/>
    <m/>
    <m/>
    <m/>
    <m/>
    <m/>
    <m/>
    <m/>
    <m/>
    <m/>
    <m/>
    <m/>
    <m/>
    <m/>
    <m/>
    <m/>
    <m/>
    <m/>
    <m/>
    <m/>
    <n v="0"/>
    <m/>
    <m/>
    <m/>
    <m/>
    <n v="0"/>
    <n v="29"/>
    <n v="0"/>
    <n v="0"/>
    <n v="0"/>
    <n v="0"/>
    <n v="29"/>
    <n v="0"/>
    <n v="0"/>
    <n v="0"/>
    <n v="0"/>
    <n v="0"/>
    <n v="0"/>
    <n v="29"/>
    <m/>
    <m/>
    <m/>
    <m/>
    <m/>
    <m/>
    <m/>
    <m/>
    <m/>
    <m/>
    <m/>
    <m/>
    <m/>
    <m/>
    <m/>
    <m/>
    <m/>
    <m/>
    <m/>
    <m/>
    <m/>
    <m/>
    <m/>
    <m/>
    <m/>
    <m/>
    <m/>
    <m/>
    <m/>
    <m/>
    <m/>
    <m/>
    <m/>
    <m/>
  </r>
  <r>
    <n v="742"/>
    <d v="2025-04-29T00:00:00"/>
    <x v="0"/>
    <n v="9518731229"/>
    <n v="2"/>
    <s v="9518731229-2"/>
    <s v="May'25 additional"/>
    <x v="0"/>
    <m/>
    <x v="0"/>
    <x v="0"/>
    <x v="0"/>
    <m/>
    <x v="1"/>
    <m/>
    <m/>
    <m/>
    <m/>
    <s v="HOWRAH"/>
    <x v="2"/>
    <x v="87"/>
    <x v="0"/>
    <x v="197"/>
    <s v="HR COILS-PO IS 1079 HR2 2.50X1250"/>
    <m/>
    <m/>
    <n v="16"/>
    <n v="34"/>
    <m/>
    <x v="0"/>
    <x v="0"/>
    <s v="HR99"/>
    <x v="38"/>
    <x v="0"/>
    <x v="0"/>
    <n v="115.9"/>
    <n v="0"/>
    <m/>
    <m/>
    <m/>
    <n v="115.9"/>
    <m/>
    <m/>
    <m/>
    <m/>
    <m/>
    <m/>
    <m/>
    <m/>
    <m/>
    <m/>
    <m/>
    <m/>
    <m/>
    <m/>
    <m/>
    <m/>
    <m/>
    <m/>
    <m/>
    <n v="0"/>
    <m/>
    <m/>
    <m/>
    <m/>
    <n v="0"/>
    <n v="115.9"/>
    <n v="0"/>
    <n v="0"/>
    <n v="0"/>
    <n v="115.9"/>
    <n v="0"/>
    <n v="115.9"/>
    <n v="0"/>
    <n v="0"/>
    <n v="0"/>
    <n v="0"/>
    <n v="115.9"/>
    <n v="0"/>
    <m/>
    <m/>
    <m/>
    <m/>
    <m/>
    <m/>
    <m/>
    <m/>
    <m/>
    <m/>
    <m/>
    <m/>
    <m/>
    <m/>
    <m/>
    <m/>
    <m/>
    <m/>
    <m/>
    <m/>
    <m/>
    <m/>
    <m/>
    <m/>
    <m/>
    <m/>
    <m/>
    <m/>
    <m/>
    <m/>
    <m/>
    <m/>
    <m/>
    <m/>
  </r>
  <r>
    <n v="742"/>
    <d v="2025-04-29T00:00:00"/>
    <x v="0"/>
    <n v="9518731229"/>
    <n v="3"/>
    <s v="9518731229-3"/>
    <s v="May'25 additional"/>
    <x v="0"/>
    <m/>
    <x v="0"/>
    <x v="0"/>
    <x v="0"/>
    <m/>
    <x v="1"/>
    <m/>
    <m/>
    <m/>
    <m/>
    <s v="HOWRAH"/>
    <x v="2"/>
    <x v="87"/>
    <x v="0"/>
    <x v="0"/>
    <s v="HR COILS-PO IS 1079 HR2 3.0X1250"/>
    <m/>
    <m/>
    <n v="16"/>
    <n v="34"/>
    <m/>
    <x v="0"/>
    <x v="0"/>
    <s v="HR99"/>
    <x v="0"/>
    <x v="0"/>
    <x v="0"/>
    <n v="115.9"/>
    <n v="0"/>
    <m/>
    <m/>
    <m/>
    <n v="115.9"/>
    <m/>
    <m/>
    <m/>
    <m/>
    <m/>
    <m/>
    <m/>
    <m/>
    <m/>
    <m/>
    <m/>
    <m/>
    <m/>
    <m/>
    <m/>
    <m/>
    <m/>
    <m/>
    <m/>
    <n v="0"/>
    <m/>
    <m/>
    <m/>
    <m/>
    <n v="0"/>
    <n v="115.9"/>
    <n v="0"/>
    <n v="115.9"/>
    <n v="0"/>
    <n v="0"/>
    <n v="0"/>
    <n v="115.9"/>
    <n v="0"/>
    <n v="0"/>
    <n v="115.9"/>
    <n v="0"/>
    <n v="0"/>
    <n v="0"/>
    <m/>
    <m/>
    <m/>
    <m/>
    <m/>
    <m/>
    <m/>
    <m/>
    <m/>
    <m/>
    <m/>
    <m/>
    <m/>
    <m/>
    <m/>
    <m/>
    <m/>
    <m/>
    <m/>
    <m/>
    <m/>
    <m/>
    <m/>
    <m/>
    <m/>
    <m/>
    <m/>
    <m/>
    <m/>
    <m/>
    <m/>
    <m/>
    <m/>
    <m/>
  </r>
  <r>
    <n v="742"/>
    <d v="2025-04-21T00:00:00"/>
    <x v="0"/>
    <n v="9518708683"/>
    <n v="1"/>
    <s v="9518708683-1"/>
    <s v="May'25 additional"/>
    <x v="0"/>
    <m/>
    <x v="0"/>
    <x v="0"/>
    <x v="7"/>
    <m/>
    <x v="1"/>
    <m/>
    <m/>
    <m/>
    <m/>
    <s v="KOLAR"/>
    <x v="2"/>
    <x v="59"/>
    <x v="56"/>
    <x v="106"/>
    <s v="HR COILS-PO IS 1079 HR2 2.01X1250"/>
    <m/>
    <m/>
    <n v="15"/>
    <n v="25"/>
    <m/>
    <x v="0"/>
    <x v="0"/>
    <s v="HR99"/>
    <x v="36"/>
    <x v="0"/>
    <x v="0"/>
    <n v="145"/>
    <n v="0"/>
    <m/>
    <m/>
    <m/>
    <n v="145"/>
    <m/>
    <m/>
    <m/>
    <m/>
    <m/>
    <m/>
    <m/>
    <m/>
    <m/>
    <m/>
    <m/>
    <m/>
    <m/>
    <m/>
    <m/>
    <m/>
    <m/>
    <m/>
    <m/>
    <n v="0"/>
    <m/>
    <m/>
    <m/>
    <m/>
    <n v="0"/>
    <n v="145"/>
    <n v="0"/>
    <n v="0"/>
    <n v="0"/>
    <n v="0"/>
    <n v="145"/>
    <n v="0"/>
    <n v="0"/>
    <n v="0"/>
    <n v="0"/>
    <n v="0"/>
    <n v="0"/>
    <n v="145"/>
    <m/>
    <m/>
    <m/>
    <m/>
    <m/>
    <m/>
    <m/>
    <m/>
    <m/>
    <m/>
    <m/>
    <m/>
    <m/>
    <m/>
    <m/>
    <m/>
    <m/>
    <m/>
    <m/>
    <m/>
    <m/>
    <m/>
    <m/>
    <m/>
    <m/>
    <m/>
    <m/>
    <m/>
    <m/>
    <m/>
    <m/>
    <m/>
    <m/>
    <m/>
  </r>
  <r>
    <n v="742"/>
    <d v="2025-04-29T00:00:00"/>
    <x v="0"/>
    <n v="9518731229"/>
    <n v="1"/>
    <s v="9518731229-1"/>
    <s v="May'25 additional"/>
    <x v="0"/>
    <m/>
    <x v="0"/>
    <x v="0"/>
    <x v="0"/>
    <m/>
    <x v="1"/>
    <m/>
    <m/>
    <m/>
    <m/>
    <s v="HOWRAH"/>
    <x v="2"/>
    <x v="87"/>
    <x v="0"/>
    <x v="47"/>
    <s v="HR COILS-PO IS 1079 HR2 2X1250"/>
    <m/>
    <m/>
    <n v="16"/>
    <n v="34"/>
    <m/>
    <x v="0"/>
    <x v="0"/>
    <s v="HR99"/>
    <x v="15"/>
    <x v="0"/>
    <x v="0"/>
    <n v="115.9"/>
    <n v="0"/>
    <m/>
    <m/>
    <m/>
    <n v="115.9"/>
    <m/>
    <m/>
    <m/>
    <m/>
    <m/>
    <m/>
    <m/>
    <m/>
    <m/>
    <m/>
    <m/>
    <m/>
    <m/>
    <m/>
    <m/>
    <m/>
    <m/>
    <m/>
    <m/>
    <n v="0"/>
    <m/>
    <m/>
    <m/>
    <m/>
    <n v="0"/>
    <n v="115.9"/>
    <n v="0"/>
    <n v="0"/>
    <n v="0"/>
    <n v="0"/>
    <n v="115.9"/>
    <n v="0"/>
    <n v="0"/>
    <n v="0"/>
    <n v="0"/>
    <n v="0"/>
    <n v="0"/>
    <n v="115.9"/>
    <m/>
    <m/>
    <m/>
    <m/>
    <m/>
    <m/>
    <m/>
    <m/>
    <m/>
    <m/>
    <m/>
    <m/>
    <m/>
    <m/>
    <m/>
    <m/>
    <m/>
    <m/>
    <m/>
    <m/>
    <m/>
    <m/>
    <m/>
    <m/>
    <m/>
    <m/>
    <m/>
    <m/>
    <m/>
    <m/>
    <m/>
    <m/>
    <m/>
    <m/>
  </r>
  <r>
    <n v="743"/>
    <d v="2025-04-26T00:00:00"/>
    <x v="0"/>
    <n v="9518724466"/>
    <n v="3"/>
    <s v="9518724466-3"/>
    <s v="May'25 additional"/>
    <x v="0"/>
    <m/>
    <x v="3"/>
    <x v="4"/>
    <x v="1"/>
    <m/>
    <x v="1"/>
    <m/>
    <m/>
    <m/>
    <m/>
    <s v="YESHWANTHPURA"/>
    <x v="2"/>
    <x v="14"/>
    <x v="16"/>
    <x v="24"/>
    <s v="GP COIL TATGPH GP02 0.450X1015"/>
    <s v="Z120"/>
    <m/>
    <n v="1"/>
    <n v="5"/>
    <m/>
    <x v="4"/>
    <x v="6"/>
    <s v="GP02"/>
    <x v="10"/>
    <x v="4"/>
    <x v="0"/>
    <n v="23"/>
    <n v="0"/>
    <m/>
    <m/>
    <m/>
    <n v="23"/>
    <m/>
    <m/>
    <m/>
    <m/>
    <m/>
    <m/>
    <m/>
    <m/>
    <m/>
    <m/>
    <m/>
    <m/>
    <m/>
    <m/>
    <m/>
    <m/>
    <m/>
    <m/>
    <m/>
    <n v="0"/>
    <m/>
    <m/>
    <m/>
    <m/>
    <n v="0"/>
    <n v="23"/>
    <n v="0"/>
    <n v="0"/>
    <n v="0"/>
    <n v="23"/>
    <n v="0"/>
    <n v="23"/>
    <n v="0"/>
    <n v="0"/>
    <n v="0"/>
    <n v="0"/>
    <n v="23"/>
    <n v="0"/>
    <m/>
    <m/>
    <m/>
    <m/>
    <m/>
    <m/>
    <m/>
    <m/>
    <m/>
    <m/>
    <m/>
    <m/>
    <m/>
    <m/>
    <m/>
    <m/>
    <m/>
    <m/>
    <m/>
    <m/>
    <m/>
    <m/>
    <m/>
    <m/>
    <m/>
    <m/>
    <m/>
    <m/>
    <m/>
    <m/>
    <m/>
    <m/>
    <m/>
    <m/>
  </r>
  <r>
    <n v="743"/>
    <d v="2025-04-26T00:00:00"/>
    <x v="0"/>
    <n v="9518724466"/>
    <n v="4"/>
    <s v="9518724466-4"/>
    <s v="May'25 additional"/>
    <x v="0"/>
    <m/>
    <x v="3"/>
    <x v="4"/>
    <x v="1"/>
    <m/>
    <x v="1"/>
    <m/>
    <m/>
    <m/>
    <m/>
    <s v="YESHWANTHPURA"/>
    <x v="2"/>
    <x v="14"/>
    <x v="16"/>
    <x v="506"/>
    <s v="GP COIL TATGPH GP02 0.500X1015"/>
    <s v="Z120"/>
    <m/>
    <n v="1"/>
    <n v="5"/>
    <m/>
    <x v="4"/>
    <x v="6"/>
    <s v="GP02"/>
    <x v="1"/>
    <x v="4"/>
    <x v="0"/>
    <n v="23"/>
    <n v="0"/>
    <m/>
    <m/>
    <m/>
    <n v="23"/>
    <m/>
    <m/>
    <m/>
    <m/>
    <m/>
    <m/>
    <m/>
    <m/>
    <m/>
    <m/>
    <m/>
    <m/>
    <m/>
    <m/>
    <m/>
    <m/>
    <m/>
    <m/>
    <m/>
    <n v="0"/>
    <m/>
    <m/>
    <m/>
    <m/>
    <n v="0"/>
    <n v="23"/>
    <n v="0"/>
    <n v="0"/>
    <n v="0"/>
    <n v="23"/>
    <n v="0"/>
    <n v="23"/>
    <n v="0"/>
    <n v="0"/>
    <n v="0"/>
    <n v="0"/>
    <n v="23"/>
    <n v="0"/>
    <m/>
    <m/>
    <m/>
    <m/>
    <m/>
    <m/>
    <m/>
    <m/>
    <m/>
    <m/>
    <m/>
    <m/>
    <m/>
    <m/>
    <m/>
    <m/>
    <m/>
    <m/>
    <m/>
    <m/>
    <m/>
    <m/>
    <m/>
    <m/>
    <m/>
    <m/>
    <m/>
    <m/>
    <m/>
    <m/>
    <m/>
    <m/>
    <m/>
    <m/>
  </r>
  <r>
    <n v="743"/>
    <d v="2025-04-26T00:00:00"/>
    <x v="0"/>
    <n v="9518724466"/>
    <n v="2"/>
    <s v="9518724466-2"/>
    <s v="May'25 additional"/>
    <x v="0"/>
    <m/>
    <x v="3"/>
    <x v="4"/>
    <x v="1"/>
    <m/>
    <x v="1"/>
    <m/>
    <m/>
    <m/>
    <m/>
    <s v="YESHWANTHPURA"/>
    <x v="2"/>
    <x v="14"/>
    <x v="16"/>
    <x v="25"/>
    <s v="GP COIL TATGPH GP02 0.400X1015"/>
    <s v="Z120"/>
    <m/>
    <n v="1"/>
    <n v="5"/>
    <m/>
    <x v="4"/>
    <x v="6"/>
    <s v="GP02"/>
    <x v="2"/>
    <x v="4"/>
    <x v="0"/>
    <n v="23"/>
    <n v="0"/>
    <m/>
    <m/>
    <m/>
    <n v="23"/>
    <m/>
    <m/>
    <m/>
    <m/>
    <m/>
    <m/>
    <m/>
    <m/>
    <m/>
    <m/>
    <m/>
    <m/>
    <m/>
    <m/>
    <m/>
    <m/>
    <m/>
    <m/>
    <m/>
    <n v="0"/>
    <m/>
    <m/>
    <m/>
    <m/>
    <n v="0"/>
    <n v="23"/>
    <n v="0"/>
    <n v="0"/>
    <n v="0"/>
    <n v="23"/>
    <n v="0"/>
    <n v="23"/>
    <n v="0"/>
    <n v="0"/>
    <n v="0"/>
    <n v="0"/>
    <n v="23"/>
    <n v="0"/>
    <m/>
    <m/>
    <m/>
    <m/>
    <m/>
    <m/>
    <m/>
    <m/>
    <m/>
    <m/>
    <m/>
    <m/>
    <m/>
    <m/>
    <m/>
    <m/>
    <m/>
    <m/>
    <m/>
    <m/>
    <m/>
    <m/>
    <m/>
    <m/>
    <m/>
    <m/>
    <m/>
    <m/>
    <m/>
    <m/>
    <m/>
    <m/>
    <m/>
    <m/>
  </r>
  <r>
    <n v="743"/>
    <m/>
    <x v="1"/>
    <m/>
    <m/>
    <m/>
    <s v="May'25 additional"/>
    <x v="3"/>
    <m/>
    <x v="3"/>
    <x v="20"/>
    <x v="1"/>
    <n v="1100"/>
    <x v="1"/>
    <m/>
    <m/>
    <m/>
    <m/>
    <m/>
    <x v="2"/>
    <x v="115"/>
    <x v="128"/>
    <x v="486"/>
    <m/>
    <m/>
    <m/>
    <m/>
    <m/>
    <m/>
    <x v="4"/>
    <x v="6"/>
    <s v="GP02"/>
    <x v="1"/>
    <x v="20"/>
    <x v="0"/>
    <n v="600"/>
    <n v="0"/>
    <m/>
    <m/>
    <m/>
    <n v="600"/>
    <m/>
    <m/>
    <m/>
    <m/>
    <m/>
    <m/>
    <m/>
    <m/>
    <m/>
    <m/>
    <m/>
    <m/>
    <m/>
    <m/>
    <m/>
    <m/>
    <m/>
    <m/>
    <m/>
    <n v="0"/>
    <m/>
    <m/>
    <m/>
    <m/>
    <n v="0"/>
    <n v="600"/>
    <n v="0"/>
    <n v="0"/>
    <n v="0"/>
    <n v="0"/>
    <n v="600"/>
    <n v="600"/>
    <n v="0"/>
    <n v="0"/>
    <n v="0"/>
    <n v="0"/>
    <n v="600"/>
    <n v="0"/>
    <m/>
    <m/>
    <m/>
    <m/>
    <m/>
    <m/>
    <m/>
    <m/>
    <m/>
    <m/>
    <m/>
    <m/>
    <m/>
    <m/>
    <m/>
    <m/>
    <m/>
    <m/>
    <m/>
    <m/>
    <m/>
    <m/>
    <m/>
    <m/>
    <m/>
    <m/>
    <m/>
    <m/>
    <m/>
    <m/>
    <m/>
    <m/>
    <m/>
    <m/>
  </r>
  <r>
    <n v="743"/>
    <m/>
    <x v="1"/>
    <m/>
    <m/>
    <m/>
    <s v="May'25 additional"/>
    <x v="3"/>
    <m/>
    <x v="3"/>
    <x v="20"/>
    <x v="1"/>
    <m/>
    <x v="1"/>
    <m/>
    <m/>
    <m/>
    <m/>
    <m/>
    <x v="2"/>
    <x v="115"/>
    <x v="129"/>
    <x v="486"/>
    <m/>
    <m/>
    <m/>
    <m/>
    <m/>
    <m/>
    <x v="4"/>
    <x v="6"/>
    <s v="GP02"/>
    <x v="6"/>
    <x v="4"/>
    <x v="0"/>
    <n v="240"/>
    <n v="0"/>
    <m/>
    <m/>
    <m/>
    <n v="240"/>
    <m/>
    <m/>
    <m/>
    <m/>
    <m/>
    <m/>
    <m/>
    <m/>
    <m/>
    <m/>
    <m/>
    <m/>
    <m/>
    <m/>
    <m/>
    <m/>
    <m/>
    <m/>
    <m/>
    <n v="0"/>
    <m/>
    <m/>
    <m/>
    <m/>
    <n v="0"/>
    <n v="240"/>
    <n v="0"/>
    <n v="0"/>
    <n v="0"/>
    <n v="0"/>
    <n v="240"/>
    <n v="240"/>
    <n v="0"/>
    <n v="0"/>
    <n v="0"/>
    <n v="0"/>
    <n v="240"/>
    <n v="0"/>
    <m/>
    <m/>
    <m/>
    <m/>
    <m/>
    <m/>
    <m/>
    <m/>
    <m/>
    <m/>
    <m/>
    <m/>
    <m/>
    <m/>
    <m/>
    <m/>
    <m/>
    <m/>
    <m/>
    <m/>
    <m/>
    <m/>
    <m/>
    <m/>
    <m/>
    <m/>
    <m/>
    <m/>
    <m/>
    <m/>
    <m/>
    <m/>
    <m/>
    <m/>
  </r>
  <r>
    <n v="743"/>
    <m/>
    <x v="1"/>
    <m/>
    <m/>
    <m/>
    <s v="May'25 additional"/>
    <x v="3"/>
    <m/>
    <x v="3"/>
    <x v="20"/>
    <x v="1"/>
    <m/>
    <x v="1"/>
    <m/>
    <m/>
    <m/>
    <m/>
    <m/>
    <x v="2"/>
    <x v="115"/>
    <x v="129"/>
    <x v="486"/>
    <m/>
    <m/>
    <m/>
    <m/>
    <m/>
    <m/>
    <x v="4"/>
    <x v="6"/>
    <s v="GP02"/>
    <x v="11"/>
    <x v="4"/>
    <x v="0"/>
    <n v="240"/>
    <n v="0"/>
    <m/>
    <m/>
    <m/>
    <n v="240"/>
    <m/>
    <m/>
    <m/>
    <m/>
    <m/>
    <m/>
    <m/>
    <m/>
    <m/>
    <m/>
    <m/>
    <m/>
    <m/>
    <m/>
    <m/>
    <m/>
    <m/>
    <m/>
    <m/>
    <n v="0"/>
    <m/>
    <m/>
    <m/>
    <m/>
    <n v="0"/>
    <n v="240"/>
    <n v="0"/>
    <n v="0"/>
    <n v="0"/>
    <n v="0"/>
    <n v="240"/>
    <n v="0"/>
    <n v="0"/>
    <n v="0"/>
    <n v="0"/>
    <n v="0"/>
    <n v="0"/>
    <n v="240"/>
    <m/>
    <m/>
    <m/>
    <m/>
    <m/>
    <m/>
    <m/>
    <m/>
    <m/>
    <m/>
    <m/>
    <m/>
    <m/>
    <m/>
    <m/>
    <m/>
    <m/>
    <m/>
    <m/>
    <m/>
    <m/>
    <m/>
    <m/>
    <m/>
    <m/>
    <m/>
    <m/>
    <m/>
    <m/>
    <m/>
    <m/>
    <m/>
    <m/>
    <m/>
  </r>
  <r>
    <n v="743"/>
    <m/>
    <x v="2"/>
    <m/>
    <m/>
    <m/>
    <s v="May'25 additional"/>
    <x v="3"/>
    <m/>
    <x v="3"/>
    <x v="4"/>
    <x v="1"/>
    <m/>
    <x v="1"/>
    <m/>
    <m/>
    <m/>
    <m/>
    <m/>
    <x v="2"/>
    <x v="115"/>
    <x v="121"/>
    <x v="486"/>
    <m/>
    <m/>
    <m/>
    <m/>
    <m/>
    <m/>
    <x v="4"/>
    <x v="6"/>
    <s v="GP02"/>
    <x v="11"/>
    <x v="20"/>
    <x v="0"/>
    <n v="210"/>
    <n v="0"/>
    <m/>
    <m/>
    <m/>
    <n v="210"/>
    <m/>
    <m/>
    <m/>
    <m/>
    <m/>
    <m/>
    <m/>
    <m/>
    <m/>
    <m/>
    <m/>
    <m/>
    <m/>
    <m/>
    <m/>
    <m/>
    <m/>
    <m/>
    <m/>
    <n v="0"/>
    <m/>
    <m/>
    <m/>
    <m/>
    <n v="0"/>
    <n v="210"/>
    <n v="0"/>
    <n v="0"/>
    <n v="0"/>
    <n v="0"/>
    <n v="210"/>
    <n v="0"/>
    <n v="0"/>
    <n v="0"/>
    <n v="0"/>
    <n v="0"/>
    <n v="0"/>
    <n v="210"/>
    <m/>
    <m/>
    <m/>
    <m/>
    <m/>
    <m/>
    <m/>
    <m/>
    <m/>
    <m/>
    <m/>
    <m/>
    <m/>
    <m/>
    <m/>
    <m/>
    <m/>
    <m/>
    <m/>
    <m/>
    <m/>
    <m/>
    <m/>
    <m/>
    <m/>
    <m/>
    <m/>
    <m/>
    <m/>
    <m/>
    <m/>
    <m/>
    <m/>
    <m/>
  </r>
  <r>
    <n v="743"/>
    <d v="2025-04-23T00:00:00"/>
    <x v="0"/>
    <n v="9518714528"/>
    <n v="1"/>
    <s v="9518714528-1"/>
    <s v="May'25"/>
    <x v="0"/>
    <m/>
    <x v="4"/>
    <x v="3"/>
    <x v="2"/>
    <m/>
    <x v="1"/>
    <m/>
    <m/>
    <m/>
    <m/>
    <s v=" "/>
    <x v="2"/>
    <x v="22"/>
    <x v="6"/>
    <x v="35"/>
    <s v="GL C YS550 H6GL 0.45BMT(0.50TCT)X1220"/>
    <m/>
    <m/>
    <m/>
    <m/>
    <m/>
    <x v="5"/>
    <x v="7"/>
    <s v="H6GL"/>
    <x v="10"/>
    <x v="1"/>
    <x v="11"/>
    <n v="56"/>
    <n v="0"/>
    <m/>
    <m/>
    <m/>
    <n v="56"/>
    <m/>
    <m/>
    <m/>
    <m/>
    <m/>
    <m/>
    <m/>
    <m/>
    <m/>
    <m/>
    <m/>
    <m/>
    <m/>
    <m/>
    <m/>
    <m/>
    <m/>
    <m/>
    <m/>
    <m/>
    <m/>
    <m/>
    <m/>
    <m/>
    <n v="0"/>
    <n v="56"/>
    <n v="0"/>
    <n v="0"/>
    <n v="0"/>
    <n v="0"/>
    <n v="56"/>
    <n v="0"/>
    <n v="0"/>
    <n v="0"/>
    <n v="0"/>
    <n v="0"/>
    <n v="0"/>
    <n v="56"/>
    <m/>
    <m/>
    <m/>
    <m/>
    <m/>
    <m/>
    <m/>
    <m/>
    <m/>
    <m/>
    <m/>
    <m/>
    <m/>
    <m/>
    <m/>
    <m/>
    <m/>
    <m/>
    <m/>
    <m/>
    <m/>
    <m/>
    <m/>
    <m/>
    <m/>
    <m/>
    <m/>
    <m/>
    <m/>
    <m/>
    <m/>
    <m/>
    <m/>
    <m/>
  </r>
  <r>
    <n v="744"/>
    <d v="2025-03-29T00:00:00"/>
    <x v="0"/>
    <n v="9518653385"/>
    <n v="5"/>
    <s v="9518653385-5"/>
    <s v="May'25"/>
    <x v="0"/>
    <m/>
    <x v="2"/>
    <x v="3"/>
    <x v="2"/>
    <m/>
    <x v="1"/>
    <m/>
    <m/>
    <m/>
    <m/>
    <s v="RAJASTHAN"/>
    <x v="2"/>
    <x v="71"/>
    <x v="15"/>
    <x v="23"/>
    <s v="PPGL C Y550 ISC6 0.30BMT(0.35TPT)X1220"/>
    <m/>
    <m/>
    <m/>
    <m/>
    <m/>
    <x v="3"/>
    <x v="3"/>
    <s v="ISC6"/>
    <x v="11"/>
    <x v="1"/>
    <x v="11"/>
    <n v="28"/>
    <n v="0"/>
    <m/>
    <m/>
    <m/>
    <n v="28"/>
    <m/>
    <m/>
    <m/>
    <m/>
    <m/>
    <m/>
    <m/>
    <m/>
    <m/>
    <m/>
    <m/>
    <m/>
    <m/>
    <m/>
    <m/>
    <m/>
    <m/>
    <m/>
    <m/>
    <m/>
    <m/>
    <m/>
    <m/>
    <m/>
    <n v="0"/>
    <n v="28"/>
    <n v="0"/>
    <n v="0"/>
    <n v="28"/>
    <n v="0"/>
    <n v="0"/>
    <n v="28"/>
    <n v="0"/>
    <n v="0"/>
    <n v="0"/>
    <n v="28"/>
    <n v="0"/>
    <n v="0"/>
    <m/>
    <m/>
    <m/>
    <m/>
    <m/>
    <m/>
    <m/>
    <m/>
    <m/>
    <m/>
    <m/>
    <m/>
    <m/>
    <m/>
    <m/>
    <m/>
    <m/>
    <m/>
    <m/>
    <m/>
    <m/>
    <m/>
    <m/>
    <m/>
    <m/>
    <m/>
    <m/>
    <m/>
    <m/>
    <m/>
    <m/>
    <m/>
    <m/>
    <m/>
  </r>
  <r>
    <n v="744"/>
    <d v="2025-04-23T00:00:00"/>
    <x v="0"/>
    <n v="9518715371"/>
    <n v="1"/>
    <s v="9518715371-1"/>
    <s v="May'25"/>
    <x v="0"/>
    <m/>
    <x v="2"/>
    <x v="3"/>
    <x v="2"/>
    <m/>
    <x v="1"/>
    <m/>
    <m/>
    <m/>
    <m/>
    <s v="GAMHARIA"/>
    <x v="2"/>
    <x v="15"/>
    <x v="15"/>
    <x v="192"/>
    <s v="PPGL C Y550 D0C7 0.43BMT(0.47TPT)X1220"/>
    <m/>
    <m/>
    <m/>
    <m/>
    <m/>
    <x v="3"/>
    <x v="3"/>
    <s v="D0C7"/>
    <x v="25"/>
    <x v="1"/>
    <x v="11"/>
    <n v="28"/>
    <n v="0"/>
    <m/>
    <m/>
    <m/>
    <n v="28"/>
    <m/>
    <m/>
    <m/>
    <m/>
    <m/>
    <m/>
    <m/>
    <m/>
    <m/>
    <m/>
    <m/>
    <m/>
    <m/>
    <m/>
    <m/>
    <m/>
    <m/>
    <m/>
    <m/>
    <m/>
    <m/>
    <m/>
    <m/>
    <m/>
    <n v="0"/>
    <n v="28"/>
    <n v="0"/>
    <n v="0"/>
    <n v="0"/>
    <n v="0"/>
    <n v="28"/>
    <n v="0"/>
    <n v="0"/>
    <n v="0"/>
    <n v="0"/>
    <n v="0"/>
    <n v="0"/>
    <n v="28"/>
    <m/>
    <m/>
    <m/>
    <m/>
    <m/>
    <m/>
    <m/>
    <m/>
    <m/>
    <m/>
    <m/>
    <m/>
    <m/>
    <m/>
    <m/>
    <m/>
    <m/>
    <m/>
    <m/>
    <m/>
    <m/>
    <m/>
    <m/>
    <m/>
    <m/>
    <m/>
    <m/>
    <m/>
    <m/>
    <m/>
    <m/>
    <m/>
    <m/>
    <m/>
  </r>
  <r>
    <n v="744"/>
    <d v="2025-04-22T00:00:00"/>
    <x v="0"/>
    <n v="9518712059"/>
    <n v="12"/>
    <s v="9518712059-12"/>
    <s v="May'25"/>
    <x v="0"/>
    <m/>
    <x v="2"/>
    <x v="3"/>
    <x v="2"/>
    <m/>
    <x v="1"/>
    <m/>
    <m/>
    <m/>
    <m/>
    <s v=" "/>
    <x v="2"/>
    <x v="6"/>
    <x v="6"/>
    <x v="137"/>
    <s v="PPGL C HARD Y550PL D0C9 0.470(TPT)X1220"/>
    <m/>
    <m/>
    <m/>
    <m/>
    <m/>
    <x v="3"/>
    <x v="3"/>
    <s v="D0C9"/>
    <x v="14"/>
    <x v="1"/>
    <x v="11"/>
    <n v="56"/>
    <n v="0"/>
    <m/>
    <m/>
    <m/>
    <n v="56"/>
    <m/>
    <m/>
    <m/>
    <m/>
    <m/>
    <m/>
    <m/>
    <m/>
    <m/>
    <m/>
    <m/>
    <m/>
    <m/>
    <m/>
    <m/>
    <m/>
    <m/>
    <m/>
    <m/>
    <m/>
    <m/>
    <m/>
    <m/>
    <m/>
    <n v="0"/>
    <n v="56"/>
    <n v="0"/>
    <n v="0"/>
    <n v="0"/>
    <n v="0"/>
    <n v="56"/>
    <n v="0"/>
    <n v="0"/>
    <n v="0"/>
    <n v="0"/>
    <n v="0"/>
    <n v="0"/>
    <n v="56"/>
    <m/>
    <m/>
    <m/>
    <m/>
    <m/>
    <m/>
    <m/>
    <m/>
    <m/>
    <m/>
    <m/>
    <m/>
    <m/>
    <m/>
    <m/>
    <m/>
    <m/>
    <m/>
    <m/>
    <m/>
    <m/>
    <m/>
    <m/>
    <m/>
    <m/>
    <m/>
    <m/>
    <m/>
    <m/>
    <m/>
    <m/>
    <m/>
    <m/>
    <m/>
  </r>
  <r>
    <n v="744"/>
    <d v="2025-04-23T00:00:00"/>
    <x v="0"/>
    <n v="9518714453"/>
    <n v="10"/>
    <s v="9518714453-10"/>
    <s v="May'25"/>
    <x v="0"/>
    <m/>
    <x v="2"/>
    <x v="3"/>
    <x v="2"/>
    <m/>
    <x v="1"/>
    <m/>
    <m/>
    <m/>
    <m/>
    <s v=" "/>
    <x v="2"/>
    <x v="6"/>
    <x v="6"/>
    <x v="84"/>
    <s v="PPGL C HARD Y550PL D0C9 0.50(TPT)X1220"/>
    <m/>
    <m/>
    <m/>
    <m/>
    <m/>
    <x v="3"/>
    <x v="3"/>
    <s v="D0C9"/>
    <x v="1"/>
    <x v="1"/>
    <x v="11"/>
    <n v="56"/>
    <n v="0"/>
    <m/>
    <m/>
    <m/>
    <n v="56"/>
    <m/>
    <m/>
    <m/>
    <m/>
    <m/>
    <m/>
    <m/>
    <m/>
    <m/>
    <m/>
    <m/>
    <m/>
    <m/>
    <m/>
    <m/>
    <m/>
    <m/>
    <m/>
    <m/>
    <m/>
    <m/>
    <m/>
    <m/>
    <m/>
    <n v="0"/>
    <n v="56"/>
    <n v="0"/>
    <n v="0"/>
    <n v="0"/>
    <n v="0"/>
    <n v="56"/>
    <n v="0"/>
    <n v="0"/>
    <n v="0"/>
    <n v="0"/>
    <n v="0"/>
    <n v="0"/>
    <n v="56"/>
    <m/>
    <m/>
    <m/>
    <m/>
    <m/>
    <m/>
    <m/>
    <m/>
    <m/>
    <m/>
    <m/>
    <m/>
    <m/>
    <m/>
    <m/>
    <m/>
    <m/>
    <m/>
    <m/>
    <m/>
    <m/>
    <m/>
    <m/>
    <m/>
    <m/>
    <m/>
    <m/>
    <m/>
    <m/>
    <m/>
    <m/>
    <m/>
    <m/>
    <m/>
  </r>
  <r>
    <n v="744"/>
    <d v="2025-03-31T00:00:00"/>
    <x v="0"/>
    <n v="9518660599"/>
    <n v="1"/>
    <s v="9518660599-1"/>
    <s v="May'25"/>
    <x v="0"/>
    <m/>
    <x v="2"/>
    <x v="3"/>
    <x v="2"/>
    <m/>
    <x v="1"/>
    <m/>
    <m/>
    <m/>
    <m/>
    <s v="GAMHARIA"/>
    <x v="2"/>
    <x v="15"/>
    <x v="15"/>
    <x v="170"/>
    <s v="PPGL C HARD Y550PL DX01 0.63(TPT)X1220"/>
    <m/>
    <m/>
    <m/>
    <m/>
    <m/>
    <x v="3"/>
    <x v="3"/>
    <s v="DX01"/>
    <x v="26"/>
    <x v="1"/>
    <x v="11"/>
    <n v="56"/>
    <n v="0"/>
    <m/>
    <m/>
    <m/>
    <n v="56"/>
    <m/>
    <m/>
    <m/>
    <m/>
    <m/>
    <m/>
    <m/>
    <m/>
    <m/>
    <m/>
    <m/>
    <m/>
    <m/>
    <m/>
    <m/>
    <m/>
    <m/>
    <m/>
    <m/>
    <m/>
    <m/>
    <m/>
    <m/>
    <m/>
    <n v="0"/>
    <n v="56"/>
    <n v="0"/>
    <n v="56"/>
    <n v="0"/>
    <n v="0"/>
    <n v="0"/>
    <n v="56"/>
    <n v="0"/>
    <n v="0"/>
    <n v="56"/>
    <n v="0"/>
    <n v="0"/>
    <n v="0"/>
    <m/>
    <m/>
    <m/>
    <m/>
    <m/>
    <m/>
    <m/>
    <m/>
    <m/>
    <m/>
    <m/>
    <m/>
    <m/>
    <m/>
    <m/>
    <m/>
    <m/>
    <m/>
    <m/>
    <m/>
    <m/>
    <m/>
    <m/>
    <m/>
    <m/>
    <m/>
    <m/>
    <m/>
    <m/>
    <m/>
    <m/>
    <m/>
    <m/>
    <m/>
  </r>
  <r>
    <n v="744"/>
    <d v="2025-02-22T00:00:00"/>
    <x v="0"/>
    <n v="9518543125"/>
    <n v="8"/>
    <s v="9518543125-8"/>
    <s v="May'25"/>
    <x v="0"/>
    <m/>
    <x v="2"/>
    <x v="3"/>
    <x v="2"/>
    <m/>
    <x v="1"/>
    <m/>
    <m/>
    <m/>
    <m/>
    <s v="GAMHARIA"/>
    <x v="2"/>
    <x v="15"/>
    <x v="15"/>
    <x v="78"/>
    <s v="PPGL C Y550 ISC6 0.40BMT(0.45TPT)X1220"/>
    <m/>
    <m/>
    <m/>
    <m/>
    <m/>
    <x v="3"/>
    <x v="3"/>
    <s v="ISC6"/>
    <x v="2"/>
    <x v="1"/>
    <x v="11"/>
    <n v="83.99"/>
    <n v="69.745000000000005"/>
    <m/>
    <m/>
    <m/>
    <n v="14.244999999999999"/>
    <m/>
    <m/>
    <m/>
    <m/>
    <m/>
    <m/>
    <m/>
    <m/>
    <m/>
    <m/>
    <m/>
    <m/>
    <m/>
    <m/>
    <m/>
    <m/>
    <m/>
    <m/>
    <m/>
    <m/>
    <m/>
    <m/>
    <m/>
    <m/>
    <n v="0"/>
    <n v="14.244999999999999"/>
    <n v="0"/>
    <n v="0"/>
    <n v="14.244999999999999"/>
    <n v="0"/>
    <n v="0"/>
    <n v="14.244999999999999"/>
    <n v="0"/>
    <n v="0"/>
    <n v="0"/>
    <n v="14.244999999999999"/>
    <n v="0"/>
    <n v="0"/>
    <m/>
    <m/>
    <m/>
    <m/>
    <m/>
    <m/>
    <m/>
    <m/>
    <m/>
    <m/>
    <m/>
    <m/>
    <m/>
    <m/>
    <m/>
    <m/>
    <m/>
    <m/>
    <m/>
    <m/>
    <m/>
    <m/>
    <m/>
    <m/>
    <m/>
    <m/>
    <m/>
    <m/>
    <m/>
    <m/>
    <m/>
    <m/>
    <m/>
    <m/>
  </r>
  <r>
    <n v="744"/>
    <d v="2025-04-23T00:00:00"/>
    <x v="0"/>
    <n v="9518715371"/>
    <n v="2"/>
    <s v="9518715371-2"/>
    <s v="May'25"/>
    <x v="0"/>
    <m/>
    <x v="2"/>
    <x v="3"/>
    <x v="2"/>
    <m/>
    <x v="1"/>
    <m/>
    <m/>
    <m/>
    <m/>
    <s v="GAMHARIA"/>
    <x v="2"/>
    <x v="15"/>
    <x v="15"/>
    <x v="192"/>
    <s v="PPGL C Y550 D0C7 0.43BMT(0.47TPT)X1220"/>
    <m/>
    <m/>
    <m/>
    <m/>
    <m/>
    <x v="3"/>
    <x v="3"/>
    <s v="D0C7"/>
    <x v="25"/>
    <x v="1"/>
    <x v="11"/>
    <n v="280"/>
    <n v="0"/>
    <m/>
    <m/>
    <m/>
    <n v="280"/>
    <m/>
    <m/>
    <m/>
    <m/>
    <m/>
    <m/>
    <m/>
    <m/>
    <m/>
    <m/>
    <m/>
    <m/>
    <m/>
    <m/>
    <m/>
    <m/>
    <m/>
    <m/>
    <m/>
    <m/>
    <m/>
    <m/>
    <m/>
    <m/>
    <n v="0"/>
    <n v="280"/>
    <n v="0"/>
    <n v="0"/>
    <n v="0"/>
    <n v="280"/>
    <n v="0"/>
    <n v="280"/>
    <n v="0"/>
    <n v="0"/>
    <n v="0"/>
    <n v="0"/>
    <n v="280"/>
    <n v="0"/>
    <m/>
    <m/>
    <m/>
    <m/>
    <m/>
    <m/>
    <m/>
    <m/>
    <m/>
    <m/>
    <m/>
    <m/>
    <m/>
    <m/>
    <m/>
    <m/>
    <m/>
    <m/>
    <m/>
    <m/>
    <m/>
    <m/>
    <m/>
    <m/>
    <m/>
    <m/>
    <m/>
    <m/>
    <m/>
    <m/>
    <m/>
    <m/>
    <m/>
    <m/>
  </r>
  <r>
    <n v="744"/>
    <d v="2025-04-22T00:00:00"/>
    <x v="0"/>
    <n v="9518710804"/>
    <n v="1"/>
    <s v="9518710804-1"/>
    <s v="May'25"/>
    <x v="0"/>
    <m/>
    <x v="2"/>
    <x v="3"/>
    <x v="2"/>
    <m/>
    <x v="1"/>
    <m/>
    <m/>
    <m/>
    <m/>
    <s v="RAJASTHAN"/>
    <x v="2"/>
    <x v="71"/>
    <x v="15"/>
    <x v="255"/>
    <s v="PPGL C HARD Y550PL HPL6 0.40(TPT)X1220"/>
    <m/>
    <m/>
    <m/>
    <m/>
    <m/>
    <x v="3"/>
    <x v="3"/>
    <s v="HPL6"/>
    <x v="2"/>
    <x v="1"/>
    <x v="11"/>
    <n v="28"/>
    <n v="0"/>
    <m/>
    <m/>
    <m/>
    <n v="28"/>
    <m/>
    <m/>
    <m/>
    <m/>
    <m/>
    <m/>
    <m/>
    <m/>
    <m/>
    <m/>
    <m/>
    <m/>
    <m/>
    <m/>
    <m/>
    <m/>
    <m/>
    <m/>
    <m/>
    <m/>
    <m/>
    <m/>
    <m/>
    <m/>
    <n v="0"/>
    <n v="28"/>
    <n v="0"/>
    <n v="28"/>
    <n v="0"/>
    <n v="0"/>
    <n v="0"/>
    <n v="28"/>
    <n v="0"/>
    <n v="0"/>
    <n v="28"/>
    <n v="0"/>
    <n v="0"/>
    <n v="0"/>
    <m/>
    <m/>
    <m/>
    <m/>
    <m/>
    <m/>
    <m/>
    <m/>
    <m/>
    <m/>
    <m/>
    <m/>
    <m/>
    <m/>
    <m/>
    <m/>
    <m/>
    <m/>
    <m/>
    <m/>
    <m/>
    <m/>
    <m/>
    <m/>
    <m/>
    <m/>
    <m/>
    <m/>
    <m/>
    <m/>
    <m/>
    <m/>
    <m/>
    <m/>
  </r>
  <r>
    <n v="744"/>
    <d v="2025-04-05T00:00:00"/>
    <x v="0"/>
    <n v="9518671035"/>
    <n v="1"/>
    <s v="9518671035-1"/>
    <s v="May'25"/>
    <x v="0"/>
    <m/>
    <x v="2"/>
    <x v="3"/>
    <x v="2"/>
    <m/>
    <x v="1"/>
    <m/>
    <m/>
    <m/>
    <m/>
    <s v="RAJASTHAN"/>
    <x v="2"/>
    <x v="71"/>
    <x v="15"/>
    <x v="258"/>
    <s v="PPGL C Y550 HPL6 0.43BMT(0.50TPT)X1220"/>
    <m/>
    <m/>
    <m/>
    <m/>
    <m/>
    <x v="3"/>
    <x v="3"/>
    <s v="HPL6"/>
    <x v="25"/>
    <x v="1"/>
    <x v="11"/>
    <n v="28"/>
    <n v="0"/>
    <m/>
    <m/>
    <m/>
    <n v="28"/>
    <m/>
    <m/>
    <m/>
    <m/>
    <m/>
    <m/>
    <m/>
    <m/>
    <m/>
    <m/>
    <m/>
    <m/>
    <m/>
    <m/>
    <m/>
    <m/>
    <m/>
    <m/>
    <m/>
    <m/>
    <m/>
    <m/>
    <m/>
    <m/>
    <n v="0"/>
    <n v="28"/>
    <n v="0"/>
    <n v="28"/>
    <n v="0"/>
    <n v="0"/>
    <n v="0"/>
    <n v="28"/>
    <n v="0"/>
    <n v="0"/>
    <n v="28"/>
    <n v="0"/>
    <n v="0"/>
    <n v="0"/>
    <m/>
    <m/>
    <m/>
    <m/>
    <m/>
    <m/>
    <m/>
    <m/>
    <m/>
    <m/>
    <m/>
    <m/>
    <m/>
    <m/>
    <m/>
    <m/>
    <m/>
    <m/>
    <m/>
    <m/>
    <m/>
    <m/>
    <m/>
    <m/>
    <m/>
    <m/>
    <m/>
    <m/>
    <m/>
    <m/>
    <m/>
    <m/>
    <m/>
    <m/>
  </r>
  <r>
    <n v="744"/>
    <d v="2025-03-29T00:00:00"/>
    <x v="0"/>
    <n v="9518653385"/>
    <n v="3"/>
    <s v="9518653385-3"/>
    <s v="May'25"/>
    <x v="0"/>
    <m/>
    <x v="2"/>
    <x v="3"/>
    <x v="2"/>
    <m/>
    <x v="1"/>
    <m/>
    <m/>
    <m/>
    <m/>
    <s v="RAJASTHAN"/>
    <x v="2"/>
    <x v="71"/>
    <x v="15"/>
    <x v="86"/>
    <s v="PPGL C Y550 ISC6 0.45BMT(0.50TPT)X1220"/>
    <m/>
    <m/>
    <m/>
    <m/>
    <m/>
    <x v="3"/>
    <x v="3"/>
    <s v="ISC6"/>
    <x v="10"/>
    <x v="1"/>
    <x v="11"/>
    <n v="28"/>
    <n v="0"/>
    <m/>
    <m/>
    <m/>
    <n v="28"/>
    <m/>
    <m/>
    <m/>
    <m/>
    <m/>
    <m/>
    <m/>
    <m/>
    <m/>
    <m/>
    <m/>
    <m/>
    <m/>
    <m/>
    <m/>
    <m/>
    <m/>
    <m/>
    <m/>
    <m/>
    <m/>
    <m/>
    <m/>
    <m/>
    <n v="0"/>
    <n v="28"/>
    <n v="0"/>
    <n v="28"/>
    <n v="0"/>
    <n v="0"/>
    <n v="0"/>
    <n v="28"/>
    <n v="0"/>
    <n v="0"/>
    <n v="28"/>
    <n v="0"/>
    <n v="0"/>
    <n v="0"/>
    <m/>
    <m/>
    <m/>
    <m/>
    <m/>
    <m/>
    <m/>
    <m/>
    <m/>
    <m/>
    <m/>
    <m/>
    <m/>
    <m/>
    <m/>
    <m/>
    <m/>
    <m/>
    <m/>
    <m/>
    <m/>
    <m/>
    <m/>
    <m/>
    <m/>
    <m/>
    <m/>
    <m/>
    <m/>
    <m/>
    <m/>
    <m/>
    <m/>
    <m/>
  </r>
  <r>
    <n v="744"/>
    <d v="2025-03-29T00:00:00"/>
    <x v="0"/>
    <n v="9518653385"/>
    <n v="4"/>
    <s v="9518653385-4"/>
    <s v="May'25"/>
    <x v="0"/>
    <m/>
    <x v="2"/>
    <x v="3"/>
    <x v="2"/>
    <m/>
    <x v="1"/>
    <m/>
    <m/>
    <m/>
    <m/>
    <s v="RAJASTHAN"/>
    <x v="2"/>
    <x v="71"/>
    <x v="15"/>
    <x v="76"/>
    <s v="PPGL C Y550 ISC6 0.43BMT(0.48TPT)X1220"/>
    <m/>
    <m/>
    <m/>
    <m/>
    <m/>
    <x v="3"/>
    <x v="3"/>
    <s v="ISC6"/>
    <x v="25"/>
    <x v="1"/>
    <x v="11"/>
    <n v="28"/>
    <n v="0"/>
    <m/>
    <m/>
    <m/>
    <n v="28"/>
    <m/>
    <m/>
    <m/>
    <m/>
    <m/>
    <m/>
    <m/>
    <m/>
    <m/>
    <m/>
    <m/>
    <m/>
    <m/>
    <m/>
    <m/>
    <m/>
    <m/>
    <m/>
    <m/>
    <m/>
    <m/>
    <m/>
    <m/>
    <m/>
    <n v="0"/>
    <n v="28"/>
    <n v="0"/>
    <n v="28"/>
    <n v="0"/>
    <n v="0"/>
    <n v="0"/>
    <n v="28"/>
    <n v="0"/>
    <n v="0"/>
    <n v="28"/>
    <n v="0"/>
    <n v="0"/>
    <n v="0"/>
    <m/>
    <m/>
    <m/>
    <m/>
    <m/>
    <m/>
    <m/>
    <m/>
    <m/>
    <m/>
    <m/>
    <m/>
    <m/>
    <m/>
    <m/>
    <m/>
    <m/>
    <m/>
    <m/>
    <m/>
    <m/>
    <m/>
    <m/>
    <m/>
    <m/>
    <m/>
    <m/>
    <m/>
    <m/>
    <m/>
    <m/>
    <m/>
    <m/>
    <m/>
  </r>
  <r>
    <n v="744"/>
    <d v="2025-03-29T00:00:00"/>
    <x v="0"/>
    <n v="9518653385"/>
    <n v="6"/>
    <s v="9518653385-6"/>
    <s v="May'25"/>
    <x v="0"/>
    <m/>
    <x v="2"/>
    <x v="3"/>
    <x v="2"/>
    <m/>
    <x v="1"/>
    <m/>
    <m/>
    <m/>
    <m/>
    <s v="RAJASTHAN"/>
    <x v="2"/>
    <x v="71"/>
    <x v="15"/>
    <x v="76"/>
    <s v="PPGL C Y550 ISC6 0.43BMT(0.48TPT)X1220"/>
    <m/>
    <m/>
    <m/>
    <m/>
    <m/>
    <x v="3"/>
    <x v="3"/>
    <s v="ISC6"/>
    <x v="25"/>
    <x v="1"/>
    <x v="11"/>
    <n v="28"/>
    <n v="0"/>
    <m/>
    <m/>
    <m/>
    <n v="28"/>
    <m/>
    <m/>
    <m/>
    <m/>
    <m/>
    <m/>
    <m/>
    <m/>
    <m/>
    <m/>
    <m/>
    <m/>
    <m/>
    <m/>
    <m/>
    <m/>
    <m/>
    <m/>
    <m/>
    <m/>
    <m/>
    <m/>
    <m/>
    <m/>
    <n v="0"/>
    <n v="28"/>
    <n v="0"/>
    <n v="0"/>
    <n v="28"/>
    <n v="0"/>
    <n v="0"/>
    <n v="28"/>
    <n v="0"/>
    <n v="0"/>
    <n v="0"/>
    <n v="28"/>
    <n v="0"/>
    <n v="0"/>
    <m/>
    <m/>
    <m/>
    <m/>
    <m/>
    <m/>
    <m/>
    <m/>
    <m/>
    <m/>
    <m/>
    <m/>
    <m/>
    <m/>
    <m/>
    <m/>
    <m/>
    <m/>
    <m/>
    <m/>
    <m/>
    <m/>
    <m/>
    <m/>
    <m/>
    <m/>
    <m/>
    <m/>
    <m/>
    <m/>
    <m/>
    <m/>
    <m/>
    <m/>
  </r>
  <r>
    <n v="744"/>
    <d v="2025-04-22T00:00:00"/>
    <x v="0"/>
    <n v="9518711420"/>
    <n v="3"/>
    <s v="9518711420-3"/>
    <s v="May'25"/>
    <x v="0"/>
    <m/>
    <x v="2"/>
    <x v="3"/>
    <x v="2"/>
    <m/>
    <x v="1"/>
    <m/>
    <m/>
    <m/>
    <m/>
    <s v="TAMILNADU"/>
    <x v="2"/>
    <x v="52"/>
    <x v="6"/>
    <x v="255"/>
    <s v="PPGL C Y550 HPL6 0.40BMT(0.47TPT)X1220"/>
    <m/>
    <m/>
    <m/>
    <m/>
    <m/>
    <x v="3"/>
    <x v="3"/>
    <s v="HPL6"/>
    <x v="2"/>
    <x v="1"/>
    <x v="11"/>
    <n v="168"/>
    <n v="0"/>
    <m/>
    <m/>
    <m/>
    <n v="168"/>
    <m/>
    <m/>
    <m/>
    <m/>
    <m/>
    <m/>
    <m/>
    <m/>
    <m/>
    <m/>
    <m/>
    <m/>
    <m/>
    <m/>
    <m/>
    <m/>
    <m/>
    <m/>
    <m/>
    <m/>
    <m/>
    <m/>
    <m/>
    <m/>
    <n v="0"/>
    <n v="168"/>
    <n v="0"/>
    <n v="168"/>
    <n v="0"/>
    <n v="0"/>
    <n v="0"/>
    <n v="168"/>
    <n v="0"/>
    <n v="0"/>
    <n v="168"/>
    <n v="0"/>
    <n v="0"/>
    <n v="0"/>
    <m/>
    <m/>
    <m/>
    <m/>
    <m/>
    <m/>
    <m/>
    <m/>
    <m/>
    <m/>
    <m/>
    <m/>
    <m/>
    <m/>
    <m/>
    <m/>
    <m/>
    <m/>
    <m/>
    <m/>
    <m/>
    <m/>
    <m/>
    <m/>
    <m/>
    <m/>
    <m/>
    <m/>
    <m/>
    <m/>
    <m/>
    <m/>
    <m/>
    <m/>
  </r>
  <r>
    <n v="744"/>
    <d v="2025-04-22T00:00:00"/>
    <x v="0"/>
    <n v="9518711420"/>
    <n v="4"/>
    <s v="9518711420-4"/>
    <s v="May'25"/>
    <x v="0"/>
    <m/>
    <x v="2"/>
    <x v="3"/>
    <x v="2"/>
    <m/>
    <x v="1"/>
    <m/>
    <m/>
    <m/>
    <m/>
    <s v="TAMILNADU"/>
    <x v="2"/>
    <x v="52"/>
    <x v="6"/>
    <x v="255"/>
    <s v="PPGL C Y550 HPL6 0.40BMT(0.47TPT)X1220"/>
    <m/>
    <m/>
    <m/>
    <m/>
    <m/>
    <x v="3"/>
    <x v="3"/>
    <s v="HPL6"/>
    <x v="2"/>
    <x v="1"/>
    <x v="11"/>
    <n v="84"/>
    <n v="0"/>
    <m/>
    <m/>
    <m/>
    <n v="84"/>
    <m/>
    <m/>
    <m/>
    <m/>
    <m/>
    <m/>
    <m/>
    <m/>
    <m/>
    <m/>
    <m/>
    <m/>
    <m/>
    <m/>
    <m/>
    <m/>
    <m/>
    <m/>
    <m/>
    <m/>
    <m/>
    <m/>
    <m/>
    <m/>
    <n v="0"/>
    <n v="84"/>
    <n v="0"/>
    <n v="0"/>
    <n v="0"/>
    <n v="84"/>
    <n v="0"/>
    <n v="84"/>
    <n v="0"/>
    <n v="0"/>
    <n v="0"/>
    <n v="0"/>
    <n v="84"/>
    <n v="0"/>
    <m/>
    <m/>
    <m/>
    <m/>
    <m/>
    <m/>
    <m/>
    <m/>
    <m/>
    <m/>
    <m/>
    <m/>
    <m/>
    <m/>
    <m/>
    <m/>
    <m/>
    <m/>
    <m/>
    <m/>
    <m/>
    <m/>
    <m/>
    <m/>
    <m/>
    <m/>
    <m/>
    <m/>
    <m/>
    <m/>
    <m/>
    <m/>
    <m/>
    <m/>
  </r>
  <r>
    <n v="744"/>
    <d v="2025-04-25T00:00:00"/>
    <x v="0"/>
    <n v="9518720671"/>
    <n v="1"/>
    <s v="9518720671-1"/>
    <s v="May'25"/>
    <x v="0"/>
    <m/>
    <x v="2"/>
    <x v="3"/>
    <x v="2"/>
    <m/>
    <x v="1"/>
    <m/>
    <m/>
    <m/>
    <m/>
    <s v="GAMHARIA"/>
    <x v="2"/>
    <x v="15"/>
    <x v="15"/>
    <x v="507"/>
    <s v="PPGL C HARD Y550PL D0C9 0.430X1220"/>
    <m/>
    <m/>
    <m/>
    <m/>
    <m/>
    <x v="3"/>
    <x v="3"/>
    <s v="D0C9"/>
    <x v="25"/>
    <x v="1"/>
    <x v="11"/>
    <n v="28"/>
    <n v="0"/>
    <m/>
    <m/>
    <m/>
    <n v="28"/>
    <m/>
    <m/>
    <m/>
    <m/>
    <m/>
    <m/>
    <m/>
    <m/>
    <m/>
    <m/>
    <m/>
    <m/>
    <m/>
    <m/>
    <m/>
    <m/>
    <m/>
    <m/>
    <m/>
    <m/>
    <m/>
    <m/>
    <m/>
    <m/>
    <n v="0"/>
    <n v="28"/>
    <n v="0"/>
    <n v="28"/>
    <n v="0"/>
    <n v="0"/>
    <n v="0"/>
    <n v="28"/>
    <n v="0"/>
    <n v="0"/>
    <n v="28"/>
    <n v="0"/>
    <n v="0"/>
    <n v="0"/>
    <m/>
    <m/>
    <m/>
    <m/>
    <m/>
    <m/>
    <m/>
    <m/>
    <m/>
    <m/>
    <m/>
    <m/>
    <m/>
    <m/>
    <m/>
    <m/>
    <m/>
    <m/>
    <m/>
    <m/>
    <m/>
    <m/>
    <m/>
    <m/>
    <m/>
    <m/>
    <m/>
    <m/>
    <m/>
    <m/>
    <m/>
    <m/>
    <m/>
    <m/>
  </r>
  <r>
    <n v="744"/>
    <d v="2025-03-31T00:00:00"/>
    <x v="0"/>
    <n v="9518661174"/>
    <n v="1"/>
    <s v="9518661174-1"/>
    <s v="May'25"/>
    <x v="0"/>
    <m/>
    <x v="2"/>
    <x v="3"/>
    <x v="2"/>
    <m/>
    <x v="1"/>
    <m/>
    <m/>
    <m/>
    <m/>
    <s v=" "/>
    <x v="2"/>
    <x v="6"/>
    <x v="6"/>
    <x v="84"/>
    <s v="PPGL C HARD Y550PL D0C9 0.50(TPT)X1220"/>
    <m/>
    <m/>
    <m/>
    <m/>
    <m/>
    <x v="3"/>
    <x v="3"/>
    <s v="D0C9"/>
    <x v="1"/>
    <x v="1"/>
    <x v="11"/>
    <n v="56"/>
    <n v="0"/>
    <m/>
    <m/>
    <m/>
    <n v="56"/>
    <m/>
    <m/>
    <m/>
    <m/>
    <m/>
    <m/>
    <m/>
    <m/>
    <m/>
    <m/>
    <m/>
    <m/>
    <m/>
    <m/>
    <m/>
    <m/>
    <m/>
    <m/>
    <m/>
    <m/>
    <m/>
    <m/>
    <m/>
    <m/>
    <n v="0"/>
    <n v="56"/>
    <n v="0"/>
    <n v="0"/>
    <n v="0"/>
    <n v="56"/>
    <n v="0"/>
    <n v="56"/>
    <n v="0"/>
    <n v="0"/>
    <n v="0"/>
    <n v="0"/>
    <n v="56"/>
    <n v="0"/>
    <m/>
    <m/>
    <m/>
    <m/>
    <m/>
    <m/>
    <m/>
    <m/>
    <m/>
    <m/>
    <m/>
    <m/>
    <m/>
    <m/>
    <m/>
    <m/>
    <m/>
    <m/>
    <m/>
    <m/>
    <m/>
    <m/>
    <m/>
    <m/>
    <m/>
    <m/>
    <m/>
    <m/>
    <m/>
    <m/>
    <m/>
    <m/>
    <m/>
    <m/>
  </r>
  <r>
    <n v="744"/>
    <d v="2025-04-22T00:00:00"/>
    <x v="0"/>
    <n v="9518711420"/>
    <n v="5"/>
    <s v="9518711420-5"/>
    <s v="May'25"/>
    <x v="0"/>
    <m/>
    <x v="2"/>
    <x v="3"/>
    <x v="2"/>
    <m/>
    <x v="1"/>
    <m/>
    <m/>
    <m/>
    <m/>
    <s v="TAMILNADU"/>
    <x v="2"/>
    <x v="52"/>
    <x v="6"/>
    <x v="255"/>
    <s v="PPGL C Y550 HPL6 0.40BMT(0.47TPT)X1220"/>
    <m/>
    <m/>
    <m/>
    <m/>
    <m/>
    <x v="3"/>
    <x v="3"/>
    <s v="HPL6"/>
    <x v="2"/>
    <x v="1"/>
    <x v="11"/>
    <n v="140"/>
    <n v="0"/>
    <m/>
    <m/>
    <m/>
    <n v="140"/>
    <m/>
    <m/>
    <m/>
    <m/>
    <m/>
    <m/>
    <m/>
    <m/>
    <m/>
    <m/>
    <m/>
    <m/>
    <m/>
    <m/>
    <m/>
    <m/>
    <m/>
    <m/>
    <m/>
    <m/>
    <m/>
    <m/>
    <m/>
    <m/>
    <n v="0"/>
    <n v="140"/>
    <n v="0"/>
    <n v="0"/>
    <n v="0"/>
    <n v="0"/>
    <n v="140"/>
    <n v="0"/>
    <n v="0"/>
    <n v="0"/>
    <n v="0"/>
    <n v="0"/>
    <n v="0"/>
    <n v="140"/>
    <m/>
    <m/>
    <m/>
    <m/>
    <m/>
    <m/>
    <m/>
    <m/>
    <m/>
    <m/>
    <m/>
    <m/>
    <m/>
    <m/>
    <m/>
    <m/>
    <m/>
    <m/>
    <m/>
    <m/>
    <m/>
    <m/>
    <m/>
    <m/>
    <m/>
    <m/>
    <m/>
    <m/>
    <m/>
    <m/>
    <m/>
    <m/>
    <m/>
    <m/>
  </r>
  <r>
    <n v="744"/>
    <d v="2025-04-22T00:00:00"/>
    <x v="0"/>
    <n v="9518711420"/>
    <n v="6"/>
    <s v="9518711420-6"/>
    <s v="May'25"/>
    <x v="0"/>
    <m/>
    <x v="2"/>
    <x v="3"/>
    <x v="2"/>
    <m/>
    <x v="1"/>
    <m/>
    <m/>
    <m/>
    <m/>
    <s v="TAMILNADU"/>
    <x v="2"/>
    <x v="52"/>
    <x v="6"/>
    <x v="255"/>
    <s v="PPGL C Y550 HPL6 0.40BMT(0.47TPT)X1220"/>
    <m/>
    <m/>
    <m/>
    <m/>
    <m/>
    <x v="3"/>
    <x v="3"/>
    <s v="HPL6"/>
    <x v="2"/>
    <x v="1"/>
    <x v="11"/>
    <n v="28"/>
    <n v="0"/>
    <m/>
    <m/>
    <m/>
    <n v="28"/>
    <m/>
    <m/>
    <m/>
    <m/>
    <m/>
    <m/>
    <m/>
    <m/>
    <m/>
    <m/>
    <m/>
    <m/>
    <m/>
    <m/>
    <m/>
    <m/>
    <m/>
    <m/>
    <m/>
    <m/>
    <m/>
    <m/>
    <m/>
    <m/>
    <n v="0"/>
    <n v="28"/>
    <n v="0"/>
    <n v="28"/>
    <n v="0"/>
    <n v="0"/>
    <n v="0"/>
    <n v="28"/>
    <n v="0"/>
    <n v="0"/>
    <n v="28"/>
    <n v="0"/>
    <n v="0"/>
    <n v="0"/>
    <m/>
    <m/>
    <m/>
    <m/>
    <m/>
    <m/>
    <m/>
    <m/>
    <m/>
    <m/>
    <m/>
    <m/>
    <m/>
    <m/>
    <m/>
    <m/>
    <m/>
    <m/>
    <m/>
    <m/>
    <m/>
    <m/>
    <m/>
    <m/>
    <m/>
    <m/>
    <m/>
    <m/>
    <m/>
    <m/>
    <m/>
    <m/>
    <m/>
    <m/>
  </r>
  <r>
    <n v="744"/>
    <d v="2025-03-18T00:00:00"/>
    <x v="0"/>
    <n v="9518609830"/>
    <n v="2"/>
    <s v="9518609830-2"/>
    <s v="May'25"/>
    <x v="0"/>
    <m/>
    <x v="2"/>
    <x v="3"/>
    <x v="2"/>
    <m/>
    <x v="1"/>
    <m/>
    <m/>
    <m/>
    <m/>
    <s v="GAMHARIA"/>
    <x v="2"/>
    <x v="15"/>
    <x v="15"/>
    <x v="85"/>
    <s v="PPGL C Y550 ISC6 0.35BMT(0.40TPT)X1220"/>
    <m/>
    <m/>
    <m/>
    <m/>
    <m/>
    <x v="3"/>
    <x v="3"/>
    <s v="ISC6"/>
    <x v="6"/>
    <x v="1"/>
    <x v="11"/>
    <n v="28"/>
    <n v="11.8"/>
    <m/>
    <m/>
    <m/>
    <n v="16.2"/>
    <m/>
    <m/>
    <m/>
    <m/>
    <m/>
    <m/>
    <m/>
    <m/>
    <m/>
    <m/>
    <m/>
    <m/>
    <m/>
    <m/>
    <m/>
    <m/>
    <m/>
    <m/>
    <m/>
    <m/>
    <m/>
    <m/>
    <m/>
    <m/>
    <n v="0"/>
    <n v="16.2"/>
    <n v="0"/>
    <n v="0"/>
    <n v="16.2"/>
    <n v="0"/>
    <n v="0"/>
    <n v="16.2"/>
    <n v="0"/>
    <n v="0"/>
    <n v="0"/>
    <n v="16.2"/>
    <n v="0"/>
    <n v="0"/>
    <m/>
    <m/>
    <m/>
    <m/>
    <m/>
    <m/>
    <m/>
    <m/>
    <m/>
    <m/>
    <m/>
    <m/>
    <m/>
    <m/>
    <m/>
    <m/>
    <m/>
    <m/>
    <m/>
    <m/>
    <m/>
    <m/>
    <m/>
    <m/>
    <m/>
    <m/>
    <m/>
    <m/>
    <m/>
    <m/>
    <m/>
    <m/>
    <m/>
    <m/>
  </r>
  <r>
    <n v="744"/>
    <d v="2025-04-22T00:00:00"/>
    <x v="0"/>
    <n v="9518712059"/>
    <n v="9"/>
    <s v="9518712059-9"/>
    <s v="May'25"/>
    <x v="0"/>
    <m/>
    <x v="2"/>
    <x v="3"/>
    <x v="2"/>
    <m/>
    <x v="1"/>
    <m/>
    <m/>
    <m/>
    <m/>
    <s v=" "/>
    <x v="2"/>
    <x v="6"/>
    <x v="6"/>
    <x v="84"/>
    <s v="PPGL C HARD Y550PL D0C9 0.50(TPT)X1220"/>
    <m/>
    <m/>
    <m/>
    <m/>
    <m/>
    <x v="3"/>
    <x v="3"/>
    <s v="D0C9"/>
    <x v="1"/>
    <x v="1"/>
    <x v="11"/>
    <n v="224"/>
    <n v="0"/>
    <m/>
    <m/>
    <m/>
    <n v="224"/>
    <m/>
    <m/>
    <m/>
    <m/>
    <m/>
    <m/>
    <m/>
    <m/>
    <m/>
    <m/>
    <m/>
    <m/>
    <m/>
    <m/>
    <m/>
    <m/>
    <m/>
    <m/>
    <m/>
    <m/>
    <m/>
    <m/>
    <m/>
    <m/>
    <n v="0"/>
    <n v="224"/>
    <n v="0"/>
    <n v="0"/>
    <n v="0"/>
    <n v="0"/>
    <n v="224"/>
    <n v="0"/>
    <n v="0"/>
    <n v="0"/>
    <n v="0"/>
    <n v="0"/>
    <n v="0"/>
    <n v="224"/>
    <m/>
    <m/>
    <m/>
    <m/>
    <m/>
    <m/>
    <m/>
    <m/>
    <m/>
    <m/>
    <m/>
    <m/>
    <m/>
    <m/>
    <m/>
    <m/>
    <m/>
    <m/>
    <m/>
    <m/>
    <m/>
    <m/>
    <m/>
    <m/>
    <m/>
    <m/>
    <m/>
    <m/>
    <m/>
    <m/>
    <m/>
    <m/>
    <m/>
    <m/>
  </r>
  <r>
    <n v="744"/>
    <d v="2025-04-15T00:00:00"/>
    <x v="0"/>
    <n v="9518695469"/>
    <n v="1"/>
    <s v="9518695469-1"/>
    <s v="May'25"/>
    <x v="0"/>
    <m/>
    <x v="2"/>
    <x v="3"/>
    <x v="2"/>
    <m/>
    <x v="1"/>
    <m/>
    <m/>
    <m/>
    <m/>
    <s v="GAMHARIA"/>
    <x v="2"/>
    <x v="15"/>
    <x v="15"/>
    <x v="192"/>
    <s v="PPGL C Y550 D0C7 0.43BMT(0.47TPT)X1220"/>
    <m/>
    <m/>
    <m/>
    <m/>
    <m/>
    <x v="3"/>
    <x v="3"/>
    <s v="D0C7"/>
    <x v="25"/>
    <x v="1"/>
    <x v="11"/>
    <n v="196"/>
    <n v="0"/>
    <m/>
    <m/>
    <m/>
    <n v="196"/>
    <m/>
    <m/>
    <m/>
    <m/>
    <m/>
    <m/>
    <m/>
    <m/>
    <m/>
    <m/>
    <m/>
    <m/>
    <m/>
    <m/>
    <m/>
    <m/>
    <m/>
    <m/>
    <m/>
    <m/>
    <m/>
    <m/>
    <m/>
    <m/>
    <n v="0"/>
    <n v="196"/>
    <n v="0"/>
    <n v="0"/>
    <n v="196"/>
    <n v="0"/>
    <n v="0"/>
    <n v="196"/>
    <n v="0"/>
    <n v="0"/>
    <n v="0"/>
    <n v="196"/>
    <n v="0"/>
    <n v="0"/>
    <m/>
    <m/>
    <m/>
    <m/>
    <m/>
    <m/>
    <m/>
    <m/>
    <m/>
    <m/>
    <m/>
    <m/>
    <m/>
    <m/>
    <m/>
    <m/>
    <m/>
    <m/>
    <m/>
    <m/>
    <m/>
    <m/>
    <m/>
    <m/>
    <m/>
    <m/>
    <m/>
    <m/>
    <m/>
    <m/>
    <m/>
    <m/>
    <m/>
    <m/>
  </r>
  <r>
    <n v="744"/>
    <d v="2025-04-22T00:00:00"/>
    <x v="0"/>
    <n v="9518710626"/>
    <n v="1"/>
    <s v="9518710626-1"/>
    <s v="May'25"/>
    <x v="0"/>
    <m/>
    <x v="2"/>
    <x v="3"/>
    <x v="2"/>
    <m/>
    <x v="1"/>
    <m/>
    <m/>
    <m/>
    <m/>
    <s v="RAJASTHAN"/>
    <x v="2"/>
    <x v="71"/>
    <x v="15"/>
    <x v="192"/>
    <s v="PPGL C Y550 D0C7 0.43BMT(0.47TPT)X1220"/>
    <m/>
    <m/>
    <m/>
    <m/>
    <m/>
    <x v="3"/>
    <x v="3"/>
    <s v="D0C7"/>
    <x v="25"/>
    <x v="1"/>
    <x v="11"/>
    <n v="280"/>
    <n v="0"/>
    <m/>
    <m/>
    <m/>
    <n v="280"/>
    <m/>
    <m/>
    <m/>
    <m/>
    <m/>
    <m/>
    <m/>
    <m/>
    <m/>
    <m/>
    <m/>
    <m/>
    <m/>
    <m/>
    <m/>
    <m/>
    <m/>
    <m/>
    <m/>
    <m/>
    <m/>
    <m/>
    <m/>
    <m/>
    <n v="0"/>
    <n v="280"/>
    <n v="0"/>
    <n v="0"/>
    <n v="0"/>
    <n v="280"/>
    <n v="0"/>
    <n v="280"/>
    <n v="0"/>
    <n v="0"/>
    <n v="0"/>
    <n v="0"/>
    <n v="280"/>
    <n v="0"/>
    <m/>
    <m/>
    <m/>
    <m/>
    <m/>
    <m/>
    <m/>
    <m/>
    <m/>
    <m/>
    <m/>
    <m/>
    <m/>
    <m/>
    <m/>
    <m/>
    <m/>
    <m/>
    <m/>
    <m/>
    <m/>
    <m/>
    <m/>
    <m/>
    <m/>
    <m/>
    <m/>
    <m/>
    <m/>
    <m/>
    <m/>
    <m/>
    <m/>
    <m/>
  </r>
  <r>
    <n v="744"/>
    <d v="2025-04-22T00:00:00"/>
    <x v="0"/>
    <n v="9518710764"/>
    <n v="1"/>
    <s v="9518710764-1"/>
    <s v="May'25"/>
    <x v="0"/>
    <m/>
    <x v="2"/>
    <x v="3"/>
    <x v="2"/>
    <m/>
    <x v="1"/>
    <m/>
    <m/>
    <m/>
    <m/>
    <s v="RAJASTHAN"/>
    <x v="2"/>
    <x v="71"/>
    <x v="15"/>
    <x v="177"/>
    <s v="PPGL C YS550 HPL5 0.45BMT(0.56TPT)X1220"/>
    <m/>
    <m/>
    <m/>
    <m/>
    <m/>
    <x v="3"/>
    <x v="3"/>
    <s v="HPL5"/>
    <x v="10"/>
    <x v="1"/>
    <x v="11"/>
    <n v="27.998999999999999"/>
    <n v="0"/>
    <m/>
    <m/>
    <m/>
    <n v="27.998999999999999"/>
    <m/>
    <m/>
    <m/>
    <m/>
    <m/>
    <m/>
    <m/>
    <m/>
    <m/>
    <m/>
    <m/>
    <m/>
    <m/>
    <m/>
    <m/>
    <m/>
    <m/>
    <m/>
    <m/>
    <m/>
    <m/>
    <m/>
    <m/>
    <m/>
    <n v="0"/>
    <n v="27.998999999999999"/>
    <n v="0"/>
    <n v="0"/>
    <n v="0"/>
    <n v="27.998999999999999"/>
    <n v="0"/>
    <n v="27.998999999999999"/>
    <n v="0"/>
    <n v="0"/>
    <n v="0"/>
    <n v="0"/>
    <n v="27.998999999999999"/>
    <n v="0"/>
    <m/>
    <m/>
    <m/>
    <m/>
    <m/>
    <m/>
    <m/>
    <m/>
    <m/>
    <m/>
    <m/>
    <m/>
    <m/>
    <m/>
    <m/>
    <m/>
    <m/>
    <m/>
    <m/>
    <m/>
    <m/>
    <m/>
    <m/>
    <m/>
    <m/>
    <m/>
    <m/>
    <m/>
    <m/>
    <m/>
    <m/>
    <m/>
    <m/>
    <m/>
  </r>
  <r>
    <n v="744"/>
    <d v="2025-03-29T00:00:00"/>
    <x v="0"/>
    <n v="9518653385"/>
    <n v="2"/>
    <s v="9518653385-2"/>
    <s v="May'25"/>
    <x v="0"/>
    <m/>
    <x v="2"/>
    <x v="3"/>
    <x v="2"/>
    <m/>
    <x v="1"/>
    <m/>
    <m/>
    <m/>
    <m/>
    <s v="RAJASTHAN"/>
    <x v="2"/>
    <x v="71"/>
    <x v="15"/>
    <x v="78"/>
    <s v="PPGL C Y550 ISC6 0.40BMT(0.45TPT)X1220"/>
    <m/>
    <m/>
    <m/>
    <m/>
    <m/>
    <x v="3"/>
    <x v="3"/>
    <s v="ISC6"/>
    <x v="2"/>
    <x v="1"/>
    <x v="11"/>
    <n v="28"/>
    <n v="0"/>
    <m/>
    <m/>
    <m/>
    <n v="28"/>
    <m/>
    <m/>
    <m/>
    <m/>
    <m/>
    <m/>
    <m/>
    <m/>
    <m/>
    <m/>
    <m/>
    <m/>
    <m/>
    <m/>
    <m/>
    <m/>
    <m/>
    <m/>
    <m/>
    <m/>
    <m/>
    <m/>
    <m/>
    <m/>
    <n v="0"/>
    <n v="28"/>
    <n v="0"/>
    <n v="0"/>
    <n v="28"/>
    <n v="0"/>
    <n v="0"/>
    <n v="28"/>
    <n v="0"/>
    <n v="0"/>
    <n v="0"/>
    <n v="28"/>
    <n v="0"/>
    <n v="0"/>
    <m/>
    <m/>
    <m/>
    <m/>
    <m/>
    <m/>
    <m/>
    <m/>
    <m/>
    <m/>
    <m/>
    <m/>
    <m/>
    <m/>
    <m/>
    <m/>
    <m/>
    <m/>
    <m/>
    <m/>
    <m/>
    <m/>
    <m/>
    <m/>
    <m/>
    <m/>
    <m/>
    <m/>
    <m/>
    <m/>
    <m/>
    <m/>
    <m/>
    <m/>
  </r>
  <r>
    <n v="742"/>
    <m/>
    <x v="5"/>
    <m/>
    <m/>
    <s v="60893680-1"/>
    <s v="Stocks"/>
    <x v="4"/>
    <m/>
    <x v="1"/>
    <x v="10"/>
    <x v="3"/>
    <m/>
    <x v="1"/>
    <m/>
    <m/>
    <m/>
    <s v=""/>
    <m/>
    <x v="2"/>
    <x v="115"/>
    <x v="130"/>
    <x v="52"/>
    <s v="CRCA COIL TATXXD BT02 0.970X913"/>
    <m/>
    <m/>
    <m/>
    <m/>
    <m/>
    <x v="1"/>
    <x v="2"/>
    <s v="BT02"/>
    <x v="24"/>
    <x v="8"/>
    <x v="11"/>
    <m/>
    <m/>
    <m/>
    <m/>
    <m/>
    <m/>
    <m/>
    <m/>
    <m/>
    <m/>
    <m/>
    <m/>
    <m/>
    <m/>
    <m/>
    <m/>
    <m/>
    <m/>
    <m/>
    <m/>
    <m/>
    <m/>
    <m/>
    <m/>
    <m/>
    <m/>
    <m/>
    <m/>
    <m/>
    <m/>
    <n v="8.07"/>
    <n v="0"/>
    <n v="0"/>
    <n v="0"/>
    <n v="0"/>
    <n v="0"/>
    <n v="0"/>
    <n v="8.07"/>
    <n v="8.07"/>
    <n v="0"/>
    <n v="0"/>
    <n v="0"/>
    <n v="0"/>
    <n v="0"/>
    <m/>
    <m/>
    <m/>
    <m/>
    <m/>
    <m/>
    <m/>
    <m/>
    <m/>
    <m/>
    <m/>
    <m/>
    <m/>
    <m/>
    <m/>
    <m/>
    <m/>
    <m/>
    <m/>
    <m/>
    <m/>
    <m/>
    <m/>
    <m/>
    <m/>
    <m/>
    <m/>
    <m/>
    <m/>
    <m/>
    <m/>
    <m/>
    <m/>
    <m/>
  </r>
  <r>
    <n v="743"/>
    <m/>
    <x v="5"/>
    <m/>
    <m/>
    <s v="60895201-22"/>
    <s v="Stocks"/>
    <x v="4"/>
    <m/>
    <x v="3"/>
    <x v="14"/>
    <x v="1"/>
    <m/>
    <x v="1"/>
    <m/>
    <m/>
    <m/>
    <s v=""/>
    <m/>
    <x v="2"/>
    <x v="115"/>
    <x v="130"/>
    <x v="508"/>
    <s v="GP SHEET SOFT-TATXGP-GK09-0.5X1220"/>
    <m/>
    <m/>
    <m/>
    <m/>
    <m/>
    <x v="10"/>
    <x v="5"/>
    <s v="GK09"/>
    <x v="1"/>
    <x v="1"/>
    <x v="11"/>
    <m/>
    <m/>
    <m/>
    <m/>
    <m/>
    <m/>
    <m/>
    <m/>
    <m/>
    <m/>
    <m/>
    <m/>
    <m/>
    <m/>
    <m/>
    <m/>
    <m/>
    <m/>
    <m/>
    <m/>
    <m/>
    <m/>
    <m/>
    <m/>
    <m/>
    <m/>
    <m/>
    <m/>
    <m/>
    <m/>
    <n v="3.4849999999999999"/>
    <n v="0"/>
    <n v="0"/>
    <n v="0"/>
    <n v="0"/>
    <n v="0"/>
    <n v="0"/>
    <n v="3.4849999999999999"/>
    <n v="3.4849999999999999"/>
    <n v="0"/>
    <n v="0"/>
    <n v="0"/>
    <n v="0"/>
    <n v="0"/>
    <m/>
    <m/>
    <m/>
    <m/>
    <m/>
    <m/>
    <m/>
    <m/>
    <m/>
    <m/>
    <m/>
    <m/>
    <m/>
    <m/>
    <m/>
    <m/>
    <m/>
    <m/>
    <m/>
    <m/>
    <m/>
    <m/>
    <m/>
    <m/>
    <m/>
    <m/>
    <m/>
    <m/>
    <m/>
    <m/>
    <m/>
    <m/>
    <m/>
    <m/>
  </r>
  <r>
    <n v="743"/>
    <m/>
    <x v="5"/>
    <m/>
    <m/>
    <s v="60897511-39"/>
    <s v="Stocks"/>
    <x v="4"/>
    <m/>
    <x v="4"/>
    <x v="10"/>
    <x v="3"/>
    <m/>
    <x v="1"/>
    <m/>
    <m/>
    <m/>
    <s v=""/>
    <m/>
    <x v="2"/>
    <x v="115"/>
    <x v="130"/>
    <x v="509"/>
    <s v="GL COIL HARD  Y550GL H7GL 0.460X1240"/>
    <m/>
    <m/>
    <m/>
    <m/>
    <m/>
    <x v="5"/>
    <x v="7"/>
    <s v="H7GL"/>
    <x v="83"/>
    <x v="17"/>
    <x v="11"/>
    <m/>
    <m/>
    <m/>
    <m/>
    <m/>
    <m/>
    <m/>
    <m/>
    <m/>
    <m/>
    <m/>
    <m/>
    <m/>
    <m/>
    <m/>
    <m/>
    <m/>
    <m/>
    <m/>
    <m/>
    <m/>
    <m/>
    <m/>
    <m/>
    <m/>
    <m/>
    <m/>
    <m/>
    <m/>
    <m/>
    <n v="8.0850000000000009"/>
    <n v="0"/>
    <n v="0"/>
    <n v="0"/>
    <n v="0"/>
    <n v="0"/>
    <n v="0"/>
    <n v="8.0850000000000009"/>
    <n v="8.0850000000000009"/>
    <n v="0"/>
    <n v="0"/>
    <n v="0"/>
    <n v="0"/>
    <n v="0"/>
    <m/>
    <m/>
    <m/>
    <m/>
    <m/>
    <m/>
    <m/>
    <m/>
    <m/>
    <m/>
    <m/>
    <m/>
    <m/>
    <m/>
    <m/>
    <m/>
    <m/>
    <m/>
    <m/>
    <m/>
    <m/>
    <m/>
    <m/>
    <m/>
    <m/>
    <m/>
    <m/>
    <m/>
    <m/>
    <m/>
    <m/>
    <m/>
    <m/>
    <m/>
  </r>
  <r>
    <n v="742"/>
    <m/>
    <x v="5"/>
    <m/>
    <m/>
    <s v="60907770-11"/>
    <s v="Stocks"/>
    <x v="4"/>
    <m/>
    <x v="1"/>
    <x v="2"/>
    <x v="1"/>
    <m/>
    <x v="1"/>
    <m/>
    <m/>
    <m/>
    <s v=""/>
    <m/>
    <x v="2"/>
    <x v="115"/>
    <x v="130"/>
    <x v="510"/>
    <s v="CRCA SHEET TATCRC SR16 0.300X1000X1910"/>
    <m/>
    <m/>
    <m/>
    <m/>
    <m/>
    <x v="2"/>
    <x v="1"/>
    <s v="SR16"/>
    <x v="11"/>
    <x v="2"/>
    <x v="11"/>
    <m/>
    <m/>
    <m/>
    <m/>
    <m/>
    <m/>
    <m/>
    <m/>
    <m/>
    <m/>
    <m/>
    <m/>
    <m/>
    <m/>
    <m/>
    <m/>
    <m/>
    <m/>
    <m/>
    <m/>
    <m/>
    <m/>
    <m/>
    <m/>
    <m/>
    <m/>
    <m/>
    <m/>
    <m/>
    <m/>
    <n v="9.1999999999999993"/>
    <n v="0"/>
    <n v="0"/>
    <n v="0"/>
    <n v="0"/>
    <n v="0"/>
    <n v="0"/>
    <n v="9.1999999999999993"/>
    <n v="9.1999999999999993"/>
    <n v="0"/>
    <n v="0"/>
    <n v="0"/>
    <n v="0"/>
    <n v="0"/>
    <m/>
    <m/>
    <m/>
    <m/>
    <m/>
    <m/>
    <m/>
    <m/>
    <m/>
    <m/>
    <m/>
    <m/>
    <m/>
    <m/>
    <m/>
    <m/>
    <m/>
    <m/>
    <m/>
    <m/>
    <m/>
    <m/>
    <m/>
    <m/>
    <m/>
    <m/>
    <m/>
    <m/>
    <m/>
    <m/>
    <m/>
    <m/>
    <m/>
    <m/>
  </r>
  <r>
    <n v="742"/>
    <m/>
    <x v="5"/>
    <m/>
    <m/>
    <s v="60907770-12"/>
    <s v="Stocks"/>
    <x v="4"/>
    <m/>
    <x v="1"/>
    <x v="2"/>
    <x v="1"/>
    <m/>
    <x v="1"/>
    <m/>
    <m/>
    <m/>
    <s v=""/>
    <m/>
    <x v="2"/>
    <x v="115"/>
    <x v="130"/>
    <x v="12"/>
    <s v="CRCA SHEET TATCRC SR16 0.400X1000X1910"/>
    <m/>
    <m/>
    <m/>
    <m/>
    <m/>
    <x v="2"/>
    <x v="1"/>
    <s v="SR16"/>
    <x v="2"/>
    <x v="2"/>
    <x v="11"/>
    <m/>
    <m/>
    <m/>
    <m/>
    <m/>
    <m/>
    <m/>
    <m/>
    <m/>
    <m/>
    <m/>
    <m/>
    <m/>
    <m/>
    <m/>
    <m/>
    <m/>
    <m/>
    <m/>
    <m/>
    <m/>
    <m/>
    <m/>
    <m/>
    <m/>
    <m/>
    <m/>
    <m/>
    <m/>
    <m/>
    <n v="6.02"/>
    <n v="0"/>
    <n v="0"/>
    <n v="0"/>
    <n v="0"/>
    <n v="0"/>
    <n v="0"/>
    <n v="6.02"/>
    <n v="6.02"/>
    <n v="0"/>
    <n v="0"/>
    <n v="0"/>
    <n v="0"/>
    <n v="0"/>
    <m/>
    <m/>
    <m/>
    <m/>
    <m/>
    <m/>
    <m/>
    <m/>
    <m/>
    <m/>
    <m/>
    <m/>
    <m/>
    <m/>
    <m/>
    <m/>
    <m/>
    <m/>
    <m/>
    <m/>
    <m/>
    <m/>
    <m/>
    <m/>
    <m/>
    <m/>
    <m/>
    <m/>
    <m/>
    <m/>
    <m/>
    <m/>
    <m/>
    <m/>
  </r>
  <r>
    <n v="742"/>
    <m/>
    <x v="5"/>
    <m/>
    <m/>
    <s v="60907770-9"/>
    <s v="Stocks"/>
    <x v="4"/>
    <m/>
    <x v="1"/>
    <x v="2"/>
    <x v="1"/>
    <m/>
    <x v="1"/>
    <m/>
    <m/>
    <m/>
    <s v=""/>
    <m/>
    <x v="2"/>
    <x v="115"/>
    <x v="130"/>
    <x v="18"/>
    <s v="CRCA SHEET TATCRC SR16 0.450X1000X1980"/>
    <m/>
    <m/>
    <m/>
    <m/>
    <m/>
    <x v="2"/>
    <x v="1"/>
    <s v="SR16"/>
    <x v="10"/>
    <x v="2"/>
    <x v="11"/>
    <m/>
    <m/>
    <m/>
    <m/>
    <m/>
    <m/>
    <m/>
    <m/>
    <m/>
    <m/>
    <m/>
    <m/>
    <m/>
    <m/>
    <m/>
    <m/>
    <m/>
    <m/>
    <m/>
    <m/>
    <m/>
    <m/>
    <m/>
    <m/>
    <m/>
    <m/>
    <m/>
    <m/>
    <m/>
    <m/>
    <n v="2.4249999999999998"/>
    <n v="0"/>
    <n v="0"/>
    <n v="0"/>
    <n v="0"/>
    <n v="0"/>
    <n v="0"/>
    <n v="2.4249999999999998"/>
    <n v="2.4249999999999998"/>
    <n v="0"/>
    <n v="0"/>
    <n v="0"/>
    <n v="0"/>
    <n v="0"/>
    <m/>
    <m/>
    <m/>
    <m/>
    <m/>
    <m/>
    <m/>
    <m/>
    <m/>
    <m/>
    <m/>
    <m/>
    <m/>
    <m/>
    <m/>
    <m/>
    <m/>
    <m/>
    <m/>
    <m/>
    <m/>
    <m/>
    <m/>
    <m/>
    <m/>
    <m/>
    <m/>
    <m/>
    <m/>
    <m/>
    <m/>
    <m/>
    <m/>
    <m/>
  </r>
  <r>
    <n v="743"/>
    <m/>
    <x v="5"/>
    <m/>
    <m/>
    <s v="60907771-14"/>
    <s v="Stocks"/>
    <x v="4"/>
    <m/>
    <x v="4"/>
    <x v="10"/>
    <x v="3"/>
    <m/>
    <x v="1"/>
    <m/>
    <m/>
    <m/>
    <s v=""/>
    <m/>
    <x v="2"/>
    <x v="115"/>
    <x v="130"/>
    <x v="83"/>
    <s v="GL COIL HARD  Y550GL HGL6 0.900X1250"/>
    <m/>
    <m/>
    <m/>
    <m/>
    <m/>
    <x v="5"/>
    <x v="7"/>
    <s v="HGL6"/>
    <x v="13"/>
    <x v="0"/>
    <x v="11"/>
    <m/>
    <m/>
    <m/>
    <m/>
    <m/>
    <m/>
    <m/>
    <m/>
    <m/>
    <m/>
    <m/>
    <m/>
    <m/>
    <m/>
    <m/>
    <m/>
    <m/>
    <m/>
    <m/>
    <m/>
    <m/>
    <m/>
    <m/>
    <m/>
    <m/>
    <m/>
    <m/>
    <m/>
    <m/>
    <m/>
    <n v="2.79"/>
    <n v="0"/>
    <n v="0"/>
    <n v="0"/>
    <n v="0"/>
    <n v="0"/>
    <n v="0"/>
    <n v="2.79"/>
    <n v="2.79"/>
    <n v="0"/>
    <n v="0"/>
    <n v="0"/>
    <n v="0"/>
    <n v="0"/>
    <m/>
    <m/>
    <m/>
    <m/>
    <m/>
    <m/>
    <m/>
    <m/>
    <m/>
    <m/>
    <m/>
    <m/>
    <m/>
    <m/>
    <m/>
    <m/>
    <m/>
    <m/>
    <m/>
    <m/>
    <m/>
    <m/>
    <m/>
    <m/>
    <m/>
    <m/>
    <m/>
    <m/>
    <m/>
    <m/>
    <m/>
    <m/>
    <m/>
    <m/>
  </r>
  <r>
    <n v="742"/>
    <m/>
    <x v="5"/>
    <m/>
    <m/>
    <s v="60917805-11"/>
    <s v="Stocks"/>
    <x v="4"/>
    <m/>
    <x v="1"/>
    <x v="10"/>
    <x v="3"/>
    <m/>
    <x v="1"/>
    <m/>
    <m/>
    <m/>
    <s v=""/>
    <m/>
    <x v="2"/>
    <x v="115"/>
    <x v="130"/>
    <x v="511"/>
    <s v="CRCA SHEET TATXXD BT02 0.700X920X1798"/>
    <m/>
    <m/>
    <m/>
    <m/>
    <m/>
    <x v="2"/>
    <x v="2"/>
    <s v="BT02"/>
    <x v="4"/>
    <x v="15"/>
    <x v="11"/>
    <m/>
    <m/>
    <m/>
    <m/>
    <m/>
    <m/>
    <m/>
    <m/>
    <m/>
    <m/>
    <m/>
    <m/>
    <m/>
    <m/>
    <m/>
    <m/>
    <m/>
    <m/>
    <m/>
    <m/>
    <m/>
    <m/>
    <m/>
    <m/>
    <m/>
    <m/>
    <m/>
    <m/>
    <m/>
    <m/>
    <n v="8.8249999999999993"/>
    <n v="0"/>
    <n v="0"/>
    <n v="0"/>
    <n v="0"/>
    <n v="0"/>
    <n v="0"/>
    <n v="8.8249999999999993"/>
    <n v="8.8249999999999993"/>
    <n v="0"/>
    <n v="0"/>
    <n v="0"/>
    <n v="0"/>
    <n v="0"/>
    <m/>
    <m/>
    <m/>
    <m/>
    <m/>
    <m/>
    <m/>
    <m/>
    <m/>
    <m/>
    <m/>
    <m/>
    <m/>
    <m/>
    <m/>
    <m/>
    <m/>
    <m/>
    <m/>
    <m/>
    <m/>
    <m/>
    <m/>
    <m/>
    <m/>
    <m/>
    <m/>
    <m/>
    <m/>
    <m/>
    <m/>
    <m/>
    <m/>
    <m/>
  </r>
  <r>
    <n v="742"/>
    <m/>
    <x v="5"/>
    <m/>
    <m/>
    <s v="60917805-9"/>
    <s v="Stocks"/>
    <x v="4"/>
    <m/>
    <x v="1"/>
    <x v="10"/>
    <x v="3"/>
    <m/>
    <x v="1"/>
    <m/>
    <m/>
    <m/>
    <s v=""/>
    <m/>
    <x v="2"/>
    <x v="115"/>
    <x v="130"/>
    <x v="512"/>
    <s v="CRCA SHEET TATXXD BT02 0.770X925X1798"/>
    <m/>
    <m/>
    <m/>
    <m/>
    <m/>
    <x v="2"/>
    <x v="2"/>
    <s v="BT02"/>
    <x v="48"/>
    <x v="27"/>
    <x v="11"/>
    <m/>
    <m/>
    <m/>
    <m/>
    <m/>
    <m/>
    <m/>
    <m/>
    <m/>
    <m/>
    <m/>
    <m/>
    <m/>
    <m/>
    <m/>
    <m/>
    <m/>
    <m/>
    <m/>
    <m/>
    <m/>
    <m/>
    <m/>
    <m/>
    <m/>
    <m/>
    <m/>
    <m/>
    <m/>
    <m/>
    <n v="2.0699999999999998"/>
    <n v="0"/>
    <n v="0"/>
    <n v="0"/>
    <n v="0"/>
    <n v="0"/>
    <n v="0"/>
    <n v="2.0699999999999998"/>
    <n v="2.0699999999999998"/>
    <n v="0"/>
    <n v="0"/>
    <n v="0"/>
    <n v="0"/>
    <n v="0"/>
    <m/>
    <m/>
    <m/>
    <m/>
    <m/>
    <m/>
    <m/>
    <m/>
    <m/>
    <m/>
    <m/>
    <m/>
    <m/>
    <m/>
    <m/>
    <m/>
    <m/>
    <m/>
    <m/>
    <m/>
    <m/>
    <m/>
    <m/>
    <m/>
    <m/>
    <m/>
    <m/>
    <m/>
    <m/>
    <m/>
    <m/>
    <m/>
    <m/>
    <m/>
  </r>
  <r>
    <n v="742"/>
    <m/>
    <x v="5"/>
    <m/>
    <m/>
    <s v="60917917-1"/>
    <s v="Stocks"/>
    <x v="4"/>
    <m/>
    <x v="1"/>
    <x v="10"/>
    <x v="3"/>
    <m/>
    <x v="1"/>
    <m/>
    <m/>
    <m/>
    <s v=""/>
    <m/>
    <x v="2"/>
    <x v="115"/>
    <x v="130"/>
    <x v="513"/>
    <s v="CRCA SHEET TATXXD BT02 0.770X920X1798"/>
    <m/>
    <m/>
    <m/>
    <m/>
    <m/>
    <x v="2"/>
    <x v="2"/>
    <s v="BT02"/>
    <x v="48"/>
    <x v="15"/>
    <x v="11"/>
    <m/>
    <m/>
    <m/>
    <m/>
    <m/>
    <m/>
    <m/>
    <m/>
    <m/>
    <m/>
    <m/>
    <m/>
    <m/>
    <m/>
    <m/>
    <m/>
    <m/>
    <m/>
    <m/>
    <m/>
    <m/>
    <m/>
    <m/>
    <m/>
    <m/>
    <m/>
    <m/>
    <m/>
    <m/>
    <m/>
    <n v="2.14"/>
    <n v="0"/>
    <n v="0"/>
    <n v="0"/>
    <n v="0"/>
    <n v="0"/>
    <n v="0"/>
    <n v="2.14"/>
    <n v="2.14"/>
    <n v="0"/>
    <n v="0"/>
    <n v="0"/>
    <n v="0"/>
    <n v="0"/>
    <m/>
    <m/>
    <m/>
    <m/>
    <m/>
    <m/>
    <m/>
    <m/>
    <m/>
    <m/>
    <m/>
    <m/>
    <m/>
    <m/>
    <m/>
    <m/>
    <m/>
    <m/>
    <m/>
    <m/>
    <m/>
    <m/>
    <m/>
    <m/>
    <m/>
    <m/>
    <m/>
    <m/>
    <m/>
    <m/>
    <m/>
    <m/>
    <m/>
    <m/>
  </r>
  <r>
    <n v="743"/>
    <m/>
    <x v="5"/>
    <m/>
    <m/>
    <s v="60917918-9"/>
    <s v="Stocks"/>
    <x v="4"/>
    <m/>
    <x v="4"/>
    <x v="10"/>
    <x v="3"/>
    <m/>
    <x v="1"/>
    <m/>
    <m/>
    <m/>
    <s v=""/>
    <m/>
    <x v="2"/>
    <x v="115"/>
    <x v="130"/>
    <x v="514"/>
    <s v="GL C YS550 H6GL 0.60BMT(0.65TCT)X1250"/>
    <m/>
    <m/>
    <m/>
    <m/>
    <m/>
    <x v="5"/>
    <x v="7"/>
    <s v="H6GL"/>
    <x v="20"/>
    <x v="0"/>
    <x v="11"/>
    <m/>
    <m/>
    <m/>
    <m/>
    <m/>
    <m/>
    <m/>
    <m/>
    <m/>
    <m/>
    <m/>
    <m/>
    <m/>
    <m/>
    <m/>
    <m/>
    <m/>
    <m/>
    <m/>
    <m/>
    <m/>
    <m/>
    <m/>
    <m/>
    <m/>
    <m/>
    <m/>
    <m/>
    <m/>
    <m/>
    <n v="9.875"/>
    <n v="0"/>
    <n v="0"/>
    <n v="0"/>
    <n v="0"/>
    <n v="0"/>
    <n v="0"/>
    <n v="9.875"/>
    <n v="9.875"/>
    <n v="0"/>
    <n v="0"/>
    <n v="0"/>
    <n v="0"/>
    <n v="0"/>
    <m/>
    <m/>
    <m/>
    <m/>
    <m/>
    <m/>
    <m/>
    <m/>
    <m/>
    <m/>
    <m/>
    <m/>
    <m/>
    <m/>
    <m/>
    <m/>
    <m/>
    <m/>
    <m/>
    <m/>
    <m/>
    <m/>
    <m/>
    <m/>
    <m/>
    <m/>
    <m/>
    <m/>
    <m/>
    <m/>
    <m/>
    <m/>
    <m/>
    <m/>
  </r>
  <r>
    <n v="743"/>
    <m/>
    <x v="5"/>
    <m/>
    <m/>
    <s v="60921211-5"/>
    <s v="Stocks"/>
    <x v="4"/>
    <m/>
    <x v="4"/>
    <x v="10"/>
    <x v="3"/>
    <m/>
    <x v="1"/>
    <m/>
    <m/>
    <m/>
    <s v=""/>
    <m/>
    <x v="2"/>
    <x v="115"/>
    <x v="130"/>
    <x v="515"/>
    <s v="GL COIL SKINPASS Y300GL SGL2 0.47X1220"/>
    <m/>
    <m/>
    <m/>
    <m/>
    <m/>
    <x v="8"/>
    <x v="22"/>
    <s v="SGL2"/>
    <x v="14"/>
    <x v="1"/>
    <x v="11"/>
    <m/>
    <m/>
    <m/>
    <m/>
    <m/>
    <m/>
    <m/>
    <m/>
    <m/>
    <m/>
    <m/>
    <m/>
    <m/>
    <m/>
    <m/>
    <m/>
    <m/>
    <m/>
    <m/>
    <m/>
    <m/>
    <m/>
    <m/>
    <m/>
    <m/>
    <m/>
    <m/>
    <m/>
    <m/>
    <m/>
    <n v="9.7200000000000006"/>
    <n v="0"/>
    <n v="0"/>
    <n v="0"/>
    <n v="0"/>
    <n v="0"/>
    <n v="0"/>
    <n v="9.7200000000000006"/>
    <n v="9.7200000000000006"/>
    <n v="0"/>
    <n v="0"/>
    <n v="0"/>
    <n v="0"/>
    <n v="0"/>
    <m/>
    <m/>
    <m/>
    <m/>
    <m/>
    <m/>
    <m/>
    <m/>
    <m/>
    <m/>
    <m/>
    <m/>
    <m/>
    <m/>
    <m/>
    <m/>
    <m/>
    <m/>
    <m/>
    <m/>
    <m/>
    <m/>
    <m/>
    <m/>
    <m/>
    <m/>
    <m/>
    <m/>
    <m/>
    <m/>
    <m/>
    <m/>
    <m/>
    <m/>
  </r>
  <r>
    <n v="743"/>
    <m/>
    <x v="5"/>
    <m/>
    <m/>
    <s v="60922649-1"/>
    <s v="Stocks"/>
    <x v="4"/>
    <m/>
    <x v="3"/>
    <x v="0"/>
    <x v="1"/>
    <m/>
    <x v="1"/>
    <m/>
    <m/>
    <m/>
    <s v=""/>
    <m/>
    <x v="2"/>
    <x v="115"/>
    <x v="131"/>
    <x v="183"/>
    <s v="GP COIL XXXGPH GPH3 0.300X900"/>
    <m/>
    <m/>
    <m/>
    <m/>
    <m/>
    <x v="4"/>
    <x v="16"/>
    <s v="GPH3"/>
    <x v="11"/>
    <x v="3"/>
    <x v="11"/>
    <m/>
    <m/>
    <m/>
    <m/>
    <m/>
    <m/>
    <m/>
    <m/>
    <m/>
    <m/>
    <m/>
    <m/>
    <m/>
    <m/>
    <m/>
    <m/>
    <m/>
    <m/>
    <m/>
    <m/>
    <m/>
    <m/>
    <m/>
    <m/>
    <m/>
    <m/>
    <m/>
    <m/>
    <m/>
    <m/>
    <n v="10.74"/>
    <n v="0"/>
    <n v="0"/>
    <n v="0"/>
    <n v="0"/>
    <n v="0"/>
    <n v="0"/>
    <n v="10.74"/>
    <n v="10.74"/>
    <n v="0"/>
    <n v="0"/>
    <n v="0"/>
    <n v="0"/>
    <n v="0"/>
    <m/>
    <m/>
    <m/>
    <m/>
    <m/>
    <m/>
    <m/>
    <m/>
    <m/>
    <m/>
    <m/>
    <m/>
    <m/>
    <m/>
    <m/>
    <m/>
    <m/>
    <m/>
    <m/>
    <m/>
    <m/>
    <m/>
    <m/>
    <m/>
    <m/>
    <m/>
    <m/>
    <m/>
    <m/>
    <m/>
    <m/>
    <m/>
    <m/>
    <m/>
  </r>
  <r>
    <n v="743"/>
    <m/>
    <x v="5"/>
    <m/>
    <m/>
    <s v="60922850-1"/>
    <s v="Stocks"/>
    <x v="4"/>
    <m/>
    <x v="3"/>
    <x v="0"/>
    <x v="1"/>
    <m/>
    <x v="1"/>
    <m/>
    <m/>
    <m/>
    <s v=""/>
    <m/>
    <x v="2"/>
    <x v="115"/>
    <x v="131"/>
    <x v="186"/>
    <s v="GP COIL XXXGPH GPH3 0.500X900"/>
    <m/>
    <m/>
    <m/>
    <m/>
    <m/>
    <x v="4"/>
    <x v="16"/>
    <s v="GPH3"/>
    <x v="1"/>
    <x v="3"/>
    <x v="11"/>
    <m/>
    <m/>
    <m/>
    <m/>
    <m/>
    <m/>
    <m/>
    <m/>
    <m/>
    <m/>
    <m/>
    <m/>
    <m/>
    <m/>
    <m/>
    <m/>
    <m/>
    <m/>
    <m/>
    <m/>
    <m/>
    <m/>
    <m/>
    <m/>
    <m/>
    <m/>
    <m/>
    <m/>
    <m/>
    <m/>
    <n v="39.07"/>
    <n v="0"/>
    <n v="0"/>
    <n v="0"/>
    <n v="0"/>
    <n v="0"/>
    <n v="0"/>
    <n v="39.07"/>
    <n v="39.07"/>
    <n v="0"/>
    <n v="0"/>
    <n v="0"/>
    <n v="0"/>
    <n v="0"/>
    <m/>
    <m/>
    <m/>
    <m/>
    <m/>
    <m/>
    <m/>
    <m/>
    <m/>
    <m/>
    <m/>
    <m/>
    <m/>
    <m/>
    <m/>
    <m/>
    <m/>
    <m/>
    <m/>
    <m/>
    <m/>
    <m/>
    <m/>
    <m/>
    <m/>
    <m/>
    <m/>
    <m/>
    <m/>
    <m/>
    <m/>
    <m/>
    <m/>
    <m/>
  </r>
  <r>
    <n v="743"/>
    <m/>
    <x v="5"/>
    <m/>
    <m/>
    <s v="621282475-1"/>
    <s v="Stocks"/>
    <x v="4"/>
    <m/>
    <x v="4"/>
    <x v="10"/>
    <x v="3"/>
    <m/>
    <x v="1"/>
    <m/>
    <m/>
    <m/>
    <s v=""/>
    <m/>
    <x v="2"/>
    <x v="115"/>
    <x v="121"/>
    <x v="516"/>
    <s v="GL COIL HARD  Y550GL H7GL 0.350X1245"/>
    <m/>
    <m/>
    <m/>
    <m/>
    <m/>
    <x v="5"/>
    <x v="7"/>
    <s v="H7GL"/>
    <x v="6"/>
    <x v="14"/>
    <x v="11"/>
    <m/>
    <m/>
    <m/>
    <m/>
    <m/>
    <m/>
    <m/>
    <m/>
    <m/>
    <m/>
    <m/>
    <m/>
    <m/>
    <m/>
    <m/>
    <m/>
    <m/>
    <m/>
    <m/>
    <m/>
    <m/>
    <m/>
    <m/>
    <m/>
    <m/>
    <m/>
    <m/>
    <m/>
    <m/>
    <m/>
    <n v="9.51"/>
    <n v="0"/>
    <n v="0"/>
    <n v="0"/>
    <n v="0"/>
    <n v="0"/>
    <n v="0"/>
    <n v="9.51"/>
    <n v="9.51"/>
    <n v="0"/>
    <n v="0"/>
    <n v="0"/>
    <n v="0"/>
    <n v="0"/>
    <m/>
    <m/>
    <m/>
    <m/>
    <m/>
    <m/>
    <m/>
    <m/>
    <m/>
    <m/>
    <m/>
    <m/>
    <m/>
    <m/>
    <m/>
    <m/>
    <m/>
    <m/>
    <m/>
    <m/>
    <m/>
    <m/>
    <m/>
    <m/>
    <m/>
    <m/>
    <m/>
    <m/>
    <m/>
    <m/>
    <m/>
    <m/>
    <m/>
    <m/>
  </r>
  <r>
    <n v="743"/>
    <m/>
    <x v="6"/>
    <m/>
    <m/>
    <s v="9517427639-3"/>
    <s v="Stocks"/>
    <x v="4"/>
    <m/>
    <x v="3"/>
    <x v="9"/>
    <x v="1"/>
    <m/>
    <x v="1"/>
    <m/>
    <m/>
    <m/>
    <s v="East"/>
    <m/>
    <x v="2"/>
    <x v="115"/>
    <x v="12"/>
    <x v="62"/>
    <s v="GP COIL SOFT-TATXGP-GK09-0.6X900"/>
    <m/>
    <m/>
    <m/>
    <m/>
    <m/>
    <x v="7"/>
    <x v="5"/>
    <s v="GK09"/>
    <x v="20"/>
    <x v="3"/>
    <x v="11"/>
    <m/>
    <m/>
    <m/>
    <m/>
    <m/>
    <m/>
    <m/>
    <m/>
    <m/>
    <m/>
    <m/>
    <m/>
    <m/>
    <m/>
    <m/>
    <m/>
    <m/>
    <m/>
    <m/>
    <m/>
    <m/>
    <m/>
    <m/>
    <m/>
    <m/>
    <m/>
    <m/>
    <m/>
    <m/>
    <m/>
    <n v="4.84"/>
    <n v="0"/>
    <n v="0"/>
    <n v="0"/>
    <n v="0"/>
    <n v="0"/>
    <n v="0"/>
    <n v="4.84"/>
    <n v="4.84"/>
    <n v="0"/>
    <n v="0"/>
    <n v="0"/>
    <n v="0"/>
    <n v="0"/>
    <m/>
    <m/>
    <m/>
    <m/>
    <m/>
    <m/>
    <m/>
    <m/>
    <m/>
    <m/>
    <m/>
    <m/>
    <m/>
    <m/>
    <m/>
    <m/>
    <m/>
    <m/>
    <m/>
    <m/>
    <m/>
    <m/>
    <m/>
    <m/>
    <m/>
    <m/>
    <m/>
    <m/>
    <m/>
    <m/>
    <m/>
    <m/>
    <m/>
    <m/>
  </r>
  <r>
    <n v="742"/>
    <m/>
    <x v="0"/>
    <m/>
    <m/>
    <s v="9517771144-8"/>
    <s v="Stocks"/>
    <x v="4"/>
    <m/>
    <x v="1"/>
    <x v="2"/>
    <x v="1"/>
    <m/>
    <x v="1"/>
    <m/>
    <m/>
    <m/>
    <s v="East"/>
    <m/>
    <x v="2"/>
    <x v="115"/>
    <x v="61"/>
    <x v="517"/>
    <s v="CRCA SHEET TATCRC SR16 0.400X1000X2000"/>
    <m/>
    <m/>
    <m/>
    <m/>
    <m/>
    <x v="2"/>
    <x v="1"/>
    <s v="SR16"/>
    <x v="2"/>
    <x v="2"/>
    <x v="11"/>
    <m/>
    <m/>
    <m/>
    <m/>
    <m/>
    <m/>
    <m/>
    <m/>
    <m/>
    <m/>
    <m/>
    <m/>
    <m/>
    <m/>
    <m/>
    <m/>
    <m/>
    <m/>
    <m/>
    <m/>
    <m/>
    <m/>
    <m/>
    <m/>
    <m/>
    <m/>
    <m/>
    <m/>
    <m/>
    <m/>
    <n v="2.8450000000000002"/>
    <n v="0"/>
    <n v="0"/>
    <n v="0"/>
    <n v="0"/>
    <n v="0"/>
    <n v="0"/>
    <n v="2.8450000000000002"/>
    <n v="2.8450000000000002"/>
    <n v="0"/>
    <n v="0"/>
    <n v="0"/>
    <n v="0"/>
    <n v="0"/>
    <m/>
    <m/>
    <m/>
    <m/>
    <m/>
    <m/>
    <m/>
    <m/>
    <m/>
    <m/>
    <m/>
    <m/>
    <m/>
    <m/>
    <m/>
    <m/>
    <m/>
    <m/>
    <m/>
    <m/>
    <m/>
    <m/>
    <m/>
    <m/>
    <m/>
    <m/>
    <m/>
    <m/>
    <m/>
    <m/>
    <m/>
    <m/>
    <m/>
    <m/>
  </r>
  <r>
    <n v="742"/>
    <m/>
    <x v="0"/>
    <m/>
    <m/>
    <s v="9517928529-1"/>
    <s v="Stocks"/>
    <x v="4"/>
    <m/>
    <x v="1"/>
    <x v="2"/>
    <x v="1"/>
    <m/>
    <x v="1"/>
    <m/>
    <m/>
    <m/>
    <s v="East"/>
    <m/>
    <x v="2"/>
    <x v="115"/>
    <x v="61"/>
    <x v="28"/>
    <s v="CRCA SHEET TSBCRC SR15 0.500X1250X2500"/>
    <m/>
    <m/>
    <m/>
    <m/>
    <m/>
    <x v="2"/>
    <x v="4"/>
    <s v="SR15"/>
    <x v="1"/>
    <x v="0"/>
    <x v="11"/>
    <m/>
    <m/>
    <m/>
    <m/>
    <m/>
    <m/>
    <m/>
    <m/>
    <m/>
    <m/>
    <m/>
    <m/>
    <m/>
    <m/>
    <m/>
    <m/>
    <m/>
    <m/>
    <m/>
    <m/>
    <m/>
    <m/>
    <m/>
    <m/>
    <m/>
    <m/>
    <m/>
    <m/>
    <m/>
    <m/>
    <n v="5.7650000000000006"/>
    <n v="0"/>
    <n v="0"/>
    <n v="0"/>
    <n v="0"/>
    <n v="0"/>
    <n v="0"/>
    <n v="5.7650000000000006"/>
    <n v="5.7650000000000006"/>
    <n v="0"/>
    <n v="0"/>
    <n v="0"/>
    <n v="0"/>
    <n v="0"/>
    <m/>
    <m/>
    <m/>
    <m/>
    <m/>
    <m/>
    <m/>
    <m/>
    <m/>
    <m/>
    <m/>
    <m/>
    <m/>
    <m/>
    <m/>
    <m/>
    <m/>
    <m/>
    <m/>
    <m/>
    <m/>
    <m/>
    <m/>
    <m/>
    <m/>
    <m/>
    <m/>
    <m/>
    <m/>
    <m/>
    <m/>
    <m/>
    <m/>
    <m/>
  </r>
  <r>
    <n v="742"/>
    <m/>
    <x v="6"/>
    <m/>
    <m/>
    <s v="9517952959-8"/>
    <s v="Stocks"/>
    <x v="4"/>
    <m/>
    <x v="1"/>
    <x v="2"/>
    <x v="1"/>
    <m/>
    <x v="1"/>
    <m/>
    <m/>
    <m/>
    <s v="North"/>
    <m/>
    <x v="2"/>
    <x v="115"/>
    <x v="48"/>
    <x v="109"/>
    <s v="CRCA SHEET TSBCRC SR15 0.600X1000X2000"/>
    <m/>
    <m/>
    <m/>
    <m/>
    <m/>
    <x v="2"/>
    <x v="4"/>
    <s v="SR15"/>
    <x v="20"/>
    <x v="2"/>
    <x v="11"/>
    <m/>
    <m/>
    <m/>
    <m/>
    <m/>
    <m/>
    <m/>
    <m/>
    <m/>
    <m/>
    <m/>
    <m/>
    <m/>
    <m/>
    <m/>
    <m/>
    <m/>
    <m/>
    <m/>
    <m/>
    <m/>
    <m/>
    <m/>
    <m/>
    <m/>
    <m/>
    <m/>
    <m/>
    <m/>
    <m/>
    <n v="2.4700000000000002"/>
    <n v="0"/>
    <n v="0"/>
    <n v="0"/>
    <n v="0"/>
    <n v="0"/>
    <n v="0"/>
    <n v="2.4700000000000002"/>
    <n v="2.4700000000000002"/>
    <n v="0"/>
    <n v="0"/>
    <n v="0"/>
    <n v="0"/>
    <n v="0"/>
    <m/>
    <m/>
    <m/>
    <m/>
    <m/>
    <m/>
    <m/>
    <m/>
    <m/>
    <m/>
    <m/>
    <m/>
    <m/>
    <m/>
    <m/>
    <m/>
    <m/>
    <m/>
    <m/>
    <m/>
    <m/>
    <m/>
    <m/>
    <m/>
    <m/>
    <m/>
    <m/>
    <m/>
    <m/>
    <m/>
    <m/>
    <m/>
    <m/>
    <m/>
  </r>
  <r>
    <n v="744"/>
    <m/>
    <x v="6"/>
    <m/>
    <m/>
    <s v="9517976774-28"/>
    <s v="Stocks"/>
    <x v="4"/>
    <m/>
    <x v="2"/>
    <x v="3"/>
    <x v="3"/>
    <m/>
    <x v="1"/>
    <m/>
    <m/>
    <m/>
    <s v="East"/>
    <m/>
    <x v="2"/>
    <x v="115"/>
    <x v="39"/>
    <x v="518"/>
    <s v="PPGL COIL HARD-Y550PL-HPL3-0.7X1220"/>
    <m/>
    <m/>
    <m/>
    <m/>
    <m/>
    <x v="3"/>
    <x v="3"/>
    <s v="HPL3"/>
    <x v="4"/>
    <x v="1"/>
    <x v="11"/>
    <m/>
    <m/>
    <m/>
    <m/>
    <m/>
    <m/>
    <m/>
    <m/>
    <m/>
    <m/>
    <m/>
    <m/>
    <m/>
    <m/>
    <m/>
    <m/>
    <m/>
    <m/>
    <m/>
    <m/>
    <m/>
    <m/>
    <m/>
    <m/>
    <m/>
    <m/>
    <m/>
    <m/>
    <m/>
    <m/>
    <n v="11.920000000000002"/>
    <n v="0"/>
    <n v="0"/>
    <n v="0"/>
    <n v="0"/>
    <n v="0"/>
    <n v="0"/>
    <n v="11.920000000000002"/>
    <n v="11.920000000000002"/>
    <n v="0"/>
    <n v="0"/>
    <n v="0"/>
    <n v="0"/>
    <n v="0"/>
    <m/>
    <m/>
    <m/>
    <m/>
    <m/>
    <m/>
    <m/>
    <m/>
    <m/>
    <m/>
    <m/>
    <m/>
    <m/>
    <m/>
    <m/>
    <m/>
    <m/>
    <m/>
    <m/>
    <m/>
    <m/>
    <m/>
    <m/>
    <m/>
    <m/>
    <m/>
    <m/>
    <m/>
    <m/>
    <m/>
    <m/>
    <m/>
    <m/>
    <m/>
  </r>
  <r>
    <n v="744"/>
    <m/>
    <x v="6"/>
    <m/>
    <m/>
    <s v="9517976774-42"/>
    <s v="Stocks"/>
    <x v="4"/>
    <m/>
    <x v="2"/>
    <x v="3"/>
    <x v="3"/>
    <m/>
    <x v="1"/>
    <m/>
    <m/>
    <m/>
    <s v="East"/>
    <m/>
    <x v="2"/>
    <x v="115"/>
    <x v="39"/>
    <x v="519"/>
    <s v="PPGL C Y550 HPL3 0.60BMT(0.68TPT)X1220"/>
    <m/>
    <m/>
    <m/>
    <m/>
    <m/>
    <x v="3"/>
    <x v="3"/>
    <s v="HPL3"/>
    <x v="20"/>
    <x v="1"/>
    <x v="11"/>
    <m/>
    <m/>
    <m/>
    <m/>
    <m/>
    <m/>
    <m/>
    <m/>
    <m/>
    <m/>
    <m/>
    <m/>
    <m/>
    <m/>
    <m/>
    <m/>
    <m/>
    <m/>
    <m/>
    <m/>
    <m/>
    <m/>
    <m/>
    <m/>
    <m/>
    <m/>
    <m/>
    <m/>
    <m/>
    <m/>
    <n v="5.8250000000000002"/>
    <n v="0"/>
    <n v="0"/>
    <n v="0"/>
    <n v="0"/>
    <n v="0"/>
    <n v="0"/>
    <n v="5.8250000000000002"/>
    <n v="5.8250000000000002"/>
    <n v="0"/>
    <n v="0"/>
    <n v="0"/>
    <n v="0"/>
    <n v="0"/>
    <m/>
    <m/>
    <m/>
    <m/>
    <m/>
    <m/>
    <m/>
    <m/>
    <m/>
    <m/>
    <m/>
    <m/>
    <m/>
    <m/>
    <m/>
    <m/>
    <m/>
    <m/>
    <m/>
    <m/>
    <m/>
    <m/>
    <m/>
    <m/>
    <m/>
    <m/>
    <m/>
    <m/>
    <m/>
    <m/>
    <m/>
    <m/>
    <m/>
    <m/>
  </r>
  <r>
    <n v="744"/>
    <m/>
    <x v="6"/>
    <m/>
    <m/>
    <s v="9518037772-13"/>
    <s v="Stocks"/>
    <x v="4"/>
    <m/>
    <x v="2"/>
    <x v="3"/>
    <x v="3"/>
    <m/>
    <x v="1"/>
    <m/>
    <m/>
    <m/>
    <s v="East"/>
    <m/>
    <x v="2"/>
    <x v="115"/>
    <x v="39"/>
    <x v="92"/>
    <s v="PPGL COIL HARD-Y550PL-HPL3-0.55X1220"/>
    <m/>
    <m/>
    <m/>
    <m/>
    <m/>
    <x v="3"/>
    <x v="3"/>
    <s v="HPL3"/>
    <x v="18"/>
    <x v="1"/>
    <x v="11"/>
    <m/>
    <m/>
    <m/>
    <m/>
    <m/>
    <m/>
    <m/>
    <m/>
    <m/>
    <m/>
    <m/>
    <m/>
    <m/>
    <m/>
    <m/>
    <m/>
    <m/>
    <m/>
    <m/>
    <m/>
    <m/>
    <m/>
    <m/>
    <m/>
    <m/>
    <m/>
    <m/>
    <m/>
    <m/>
    <m/>
    <n v="8.61"/>
    <n v="0"/>
    <n v="0"/>
    <n v="0"/>
    <n v="0"/>
    <n v="0"/>
    <n v="0"/>
    <n v="8.61"/>
    <n v="8.61"/>
    <n v="0"/>
    <n v="0"/>
    <n v="0"/>
    <n v="0"/>
    <n v="0"/>
    <m/>
    <m/>
    <m/>
    <m/>
    <m/>
    <m/>
    <m/>
    <m/>
    <m/>
    <m/>
    <m/>
    <m/>
    <m/>
    <m/>
    <m/>
    <m/>
    <m/>
    <m/>
    <m/>
    <m/>
    <m/>
    <m/>
    <m/>
    <m/>
    <m/>
    <m/>
    <m/>
    <m/>
    <m/>
    <m/>
    <m/>
    <m/>
    <m/>
    <m/>
  </r>
  <r>
    <n v="744"/>
    <m/>
    <x v="6"/>
    <m/>
    <m/>
    <s v="9518037772-18"/>
    <s v="Stocks"/>
    <x v="4"/>
    <m/>
    <x v="2"/>
    <x v="3"/>
    <x v="3"/>
    <m/>
    <x v="1"/>
    <m/>
    <m/>
    <m/>
    <s v="East"/>
    <m/>
    <x v="2"/>
    <x v="115"/>
    <x v="39"/>
    <x v="40"/>
    <s v="PPGL C Y550 HPL3 0.45BMT(0.53TPT)X1220"/>
    <m/>
    <m/>
    <m/>
    <m/>
    <m/>
    <x v="3"/>
    <x v="3"/>
    <s v="HPL3"/>
    <x v="10"/>
    <x v="1"/>
    <x v="11"/>
    <m/>
    <m/>
    <m/>
    <m/>
    <m/>
    <m/>
    <m/>
    <m/>
    <m/>
    <m/>
    <m/>
    <m/>
    <m/>
    <m/>
    <m/>
    <m/>
    <m/>
    <m/>
    <m/>
    <m/>
    <m/>
    <m/>
    <m/>
    <m/>
    <m/>
    <m/>
    <m/>
    <m/>
    <m/>
    <m/>
    <n v="3.37"/>
    <n v="0"/>
    <n v="0"/>
    <n v="0"/>
    <n v="0"/>
    <n v="0"/>
    <n v="0"/>
    <n v="3.37"/>
    <n v="3.37"/>
    <n v="0"/>
    <n v="0"/>
    <n v="0"/>
    <n v="0"/>
    <n v="0"/>
    <m/>
    <m/>
    <m/>
    <m/>
    <m/>
    <m/>
    <m/>
    <m/>
    <m/>
    <m/>
    <m/>
    <m/>
    <m/>
    <m/>
    <m/>
    <m/>
    <m/>
    <m/>
    <m/>
    <m/>
    <m/>
    <m/>
    <m/>
    <m/>
    <m/>
    <m/>
    <m/>
    <m/>
    <m/>
    <m/>
    <m/>
    <m/>
    <m/>
    <m/>
  </r>
  <r>
    <n v="743"/>
    <m/>
    <x v="0"/>
    <m/>
    <m/>
    <s v="9518125554-3"/>
    <s v="Stocks"/>
    <x v="4"/>
    <m/>
    <x v="3"/>
    <x v="9"/>
    <x v="1"/>
    <m/>
    <x v="1"/>
    <m/>
    <m/>
    <m/>
    <s v="East"/>
    <m/>
    <x v="2"/>
    <x v="115"/>
    <x v="31"/>
    <x v="520"/>
    <s v="GP SHEET SOFT-TATXGP-GK09-0.35X900"/>
    <m/>
    <m/>
    <m/>
    <m/>
    <m/>
    <x v="10"/>
    <x v="5"/>
    <s v="GK09"/>
    <x v="6"/>
    <x v="3"/>
    <x v="11"/>
    <m/>
    <m/>
    <m/>
    <m/>
    <m/>
    <m/>
    <m/>
    <m/>
    <m/>
    <m/>
    <m/>
    <m/>
    <m/>
    <m/>
    <m/>
    <m/>
    <m/>
    <m/>
    <m/>
    <m/>
    <m/>
    <m/>
    <m/>
    <m/>
    <m/>
    <m/>
    <m/>
    <m/>
    <m/>
    <m/>
    <n v="3.03"/>
    <n v="0"/>
    <n v="0"/>
    <n v="0"/>
    <n v="0"/>
    <n v="0"/>
    <n v="0"/>
    <n v="3.03"/>
    <n v="3.03"/>
    <n v="0"/>
    <n v="0"/>
    <n v="0"/>
    <n v="0"/>
    <n v="0"/>
    <m/>
    <m/>
    <m/>
    <m/>
    <m/>
    <m/>
    <m/>
    <m/>
    <m/>
    <m/>
    <m/>
    <m/>
    <m/>
    <m/>
    <m/>
    <m/>
    <m/>
    <m/>
    <m/>
    <m/>
    <m/>
    <m/>
    <m/>
    <m/>
    <m/>
    <m/>
    <m/>
    <m/>
    <m/>
    <m/>
    <m/>
    <m/>
    <m/>
    <m/>
  </r>
  <r>
    <n v="743"/>
    <m/>
    <x v="0"/>
    <m/>
    <m/>
    <s v="9518136786-6"/>
    <s v="Stocks"/>
    <x v="4"/>
    <m/>
    <x v="4"/>
    <x v="3"/>
    <x v="3"/>
    <m/>
    <x v="1"/>
    <m/>
    <m/>
    <m/>
    <s v="East"/>
    <m/>
    <x v="2"/>
    <x v="115"/>
    <x v="39"/>
    <x v="521"/>
    <s v="GL C YS550 M306 0.38BMT(0.40TCT)X1000"/>
    <m/>
    <m/>
    <m/>
    <m/>
    <m/>
    <x v="5"/>
    <x v="7"/>
    <s v="M306"/>
    <x v="7"/>
    <x v="2"/>
    <x v="11"/>
    <m/>
    <m/>
    <m/>
    <m/>
    <m/>
    <m/>
    <m/>
    <m/>
    <m/>
    <m/>
    <m/>
    <m/>
    <m/>
    <m/>
    <m/>
    <m/>
    <m/>
    <m/>
    <m/>
    <m/>
    <m/>
    <m/>
    <m/>
    <m/>
    <m/>
    <m/>
    <m/>
    <m/>
    <m/>
    <m/>
    <n v="7.3650000000000002"/>
    <n v="0"/>
    <n v="0"/>
    <n v="0"/>
    <n v="0"/>
    <n v="0"/>
    <n v="0"/>
    <n v="7.3650000000000002"/>
    <n v="7.3650000000000002"/>
    <n v="0"/>
    <n v="0"/>
    <n v="0"/>
    <n v="0"/>
    <n v="0"/>
    <m/>
    <m/>
    <m/>
    <m/>
    <m/>
    <m/>
    <m/>
    <m/>
    <m/>
    <m/>
    <m/>
    <m/>
    <m/>
    <m/>
    <m/>
    <m/>
    <m/>
    <m/>
    <m/>
    <m/>
    <m/>
    <m/>
    <m/>
    <m/>
    <m/>
    <m/>
    <m/>
    <m/>
    <m/>
    <m/>
    <m/>
    <m/>
    <m/>
    <m/>
  </r>
  <r>
    <n v="743"/>
    <m/>
    <x v="0"/>
    <m/>
    <m/>
    <s v="9518150929-2"/>
    <s v="Stocks"/>
    <x v="4"/>
    <m/>
    <x v="3"/>
    <x v="14"/>
    <x v="1"/>
    <m/>
    <x v="1"/>
    <m/>
    <m/>
    <m/>
    <s v="West"/>
    <m/>
    <x v="2"/>
    <x v="115"/>
    <x v="27"/>
    <x v="493"/>
    <s v="GP COIL SOFT-TATXGP-GK09-0.6X1250"/>
    <m/>
    <m/>
    <m/>
    <m/>
    <m/>
    <x v="7"/>
    <x v="5"/>
    <s v="GK09"/>
    <x v="20"/>
    <x v="0"/>
    <x v="11"/>
    <m/>
    <m/>
    <m/>
    <m/>
    <m/>
    <m/>
    <m/>
    <m/>
    <m/>
    <m/>
    <m/>
    <m/>
    <m/>
    <m/>
    <m/>
    <m/>
    <m/>
    <m/>
    <m/>
    <m/>
    <m/>
    <m/>
    <m/>
    <m/>
    <m/>
    <m/>
    <m/>
    <m/>
    <m/>
    <m/>
    <n v="3.89"/>
    <n v="0"/>
    <n v="0"/>
    <n v="0"/>
    <n v="0"/>
    <n v="0"/>
    <n v="0"/>
    <n v="3.89"/>
    <n v="3.89"/>
    <n v="0"/>
    <n v="0"/>
    <n v="0"/>
    <n v="0"/>
    <n v="0"/>
    <m/>
    <m/>
    <m/>
    <m/>
    <m/>
    <m/>
    <m/>
    <m/>
    <m/>
    <m/>
    <m/>
    <m/>
    <m/>
    <m/>
    <m/>
    <m/>
    <m/>
    <m/>
    <m/>
    <m/>
    <m/>
    <m/>
    <m/>
    <m/>
    <m/>
    <m/>
    <m/>
    <m/>
    <m/>
    <m/>
    <m/>
    <m/>
    <m/>
    <m/>
  </r>
  <r>
    <n v="742"/>
    <m/>
    <x v="0"/>
    <m/>
    <m/>
    <s v="9518188607-1"/>
    <s v="Stocks"/>
    <x v="4"/>
    <m/>
    <x v="1"/>
    <x v="2"/>
    <x v="1"/>
    <m/>
    <x v="1"/>
    <m/>
    <m/>
    <m/>
    <s v="West"/>
    <m/>
    <x v="2"/>
    <x v="115"/>
    <x v="28"/>
    <x v="522"/>
    <s v="CRCA SHEET TATCRC SR16 0.400X1250X1980"/>
    <m/>
    <m/>
    <m/>
    <m/>
    <m/>
    <x v="2"/>
    <x v="1"/>
    <s v="SR16"/>
    <x v="2"/>
    <x v="0"/>
    <x v="11"/>
    <m/>
    <m/>
    <m/>
    <m/>
    <m/>
    <m/>
    <m/>
    <m/>
    <m/>
    <m/>
    <m/>
    <m/>
    <m/>
    <m/>
    <m/>
    <m/>
    <m/>
    <m/>
    <m/>
    <m/>
    <m/>
    <m/>
    <m/>
    <m/>
    <m/>
    <m/>
    <m/>
    <m/>
    <m/>
    <m/>
    <n v="2.84"/>
    <n v="0"/>
    <n v="0"/>
    <n v="0"/>
    <n v="0"/>
    <n v="0"/>
    <n v="0"/>
    <n v="2.84"/>
    <n v="2.84"/>
    <n v="0"/>
    <n v="0"/>
    <n v="0"/>
    <n v="0"/>
    <n v="0"/>
    <m/>
    <m/>
    <m/>
    <m/>
    <m/>
    <m/>
    <m/>
    <m/>
    <m/>
    <m/>
    <m/>
    <m/>
    <m/>
    <m/>
    <m/>
    <m/>
    <m/>
    <m/>
    <m/>
    <m/>
    <m/>
    <m/>
    <m/>
    <m/>
    <m/>
    <m/>
    <m/>
    <m/>
    <m/>
    <m/>
    <m/>
    <m/>
    <m/>
    <m/>
  </r>
  <r>
    <n v="743"/>
    <m/>
    <x v="6"/>
    <m/>
    <m/>
    <s v="9518188688-8"/>
    <s v="Stocks"/>
    <x v="4"/>
    <m/>
    <x v="3"/>
    <x v="14"/>
    <x v="1"/>
    <m/>
    <x v="1"/>
    <m/>
    <m/>
    <m/>
    <s v="South"/>
    <m/>
    <x v="2"/>
    <x v="115"/>
    <x v="132"/>
    <x v="231"/>
    <s v="GP COIL SOFT-TATXGP-GK09-0.4X1220"/>
    <m/>
    <m/>
    <m/>
    <m/>
    <m/>
    <x v="7"/>
    <x v="5"/>
    <s v="GK09"/>
    <x v="2"/>
    <x v="1"/>
    <x v="11"/>
    <m/>
    <m/>
    <m/>
    <m/>
    <m/>
    <m/>
    <m/>
    <m/>
    <m/>
    <m/>
    <m/>
    <m/>
    <m/>
    <m/>
    <m/>
    <m/>
    <m/>
    <m/>
    <m/>
    <m/>
    <m/>
    <m/>
    <m/>
    <m/>
    <m/>
    <m/>
    <m/>
    <m/>
    <m/>
    <m/>
    <n v="10.375"/>
    <n v="0"/>
    <n v="0"/>
    <n v="0"/>
    <n v="0"/>
    <n v="0"/>
    <n v="0"/>
    <n v="10.375"/>
    <n v="10.375"/>
    <n v="0"/>
    <n v="0"/>
    <n v="0"/>
    <n v="0"/>
    <n v="0"/>
    <m/>
    <m/>
    <m/>
    <m/>
    <m/>
    <m/>
    <m/>
    <m/>
    <m/>
    <m/>
    <m/>
    <m/>
    <m/>
    <m/>
    <m/>
    <m/>
    <m/>
    <m/>
    <m/>
    <m/>
    <m/>
    <m/>
    <m/>
    <m/>
    <m/>
    <m/>
    <m/>
    <m/>
    <m/>
    <m/>
    <m/>
    <m/>
    <m/>
    <m/>
  </r>
  <r>
    <n v="742"/>
    <m/>
    <x v="0"/>
    <m/>
    <m/>
    <s v="9518197222-2"/>
    <s v="Stocks"/>
    <x v="4"/>
    <m/>
    <x v="1"/>
    <x v="2"/>
    <x v="1"/>
    <m/>
    <x v="1"/>
    <m/>
    <m/>
    <m/>
    <s v="West"/>
    <m/>
    <x v="2"/>
    <x v="115"/>
    <x v="103"/>
    <x v="28"/>
    <s v="CRCA SHEET TSBCRC SR15 0.500X1250X2500"/>
    <m/>
    <m/>
    <m/>
    <m/>
    <m/>
    <x v="2"/>
    <x v="4"/>
    <s v="SR15"/>
    <x v="1"/>
    <x v="0"/>
    <x v="11"/>
    <m/>
    <m/>
    <m/>
    <m/>
    <m/>
    <m/>
    <m/>
    <m/>
    <m/>
    <m/>
    <m/>
    <m/>
    <m/>
    <m/>
    <m/>
    <m/>
    <m/>
    <m/>
    <m/>
    <m/>
    <m/>
    <m/>
    <m/>
    <m/>
    <m/>
    <m/>
    <m/>
    <m/>
    <m/>
    <m/>
    <n v="2.855"/>
    <n v="0"/>
    <n v="0"/>
    <n v="0"/>
    <n v="0"/>
    <n v="0"/>
    <n v="0"/>
    <n v="2.855"/>
    <n v="2.855"/>
    <n v="0"/>
    <n v="0"/>
    <n v="0"/>
    <n v="0"/>
    <n v="0"/>
    <m/>
    <m/>
    <m/>
    <m/>
    <m/>
    <m/>
    <m/>
    <m/>
    <m/>
    <m/>
    <m/>
    <m/>
    <m/>
    <m/>
    <m/>
    <m/>
    <m/>
    <m/>
    <m/>
    <m/>
    <m/>
    <m/>
    <m/>
    <m/>
    <m/>
    <m/>
    <m/>
    <m/>
    <m/>
    <m/>
    <m/>
    <m/>
    <m/>
    <m/>
  </r>
  <r>
    <n v="743"/>
    <m/>
    <x v="6"/>
    <m/>
    <m/>
    <s v="9518202440-2"/>
    <s v="Stocks"/>
    <x v="4"/>
    <m/>
    <x v="3"/>
    <x v="9"/>
    <x v="1"/>
    <m/>
    <x v="1"/>
    <m/>
    <m/>
    <m/>
    <s v="West"/>
    <m/>
    <x v="2"/>
    <x v="115"/>
    <x v="27"/>
    <x v="520"/>
    <s v="GP SHEET SOFT-TATXGP-GK09-0.35X900"/>
    <m/>
    <m/>
    <m/>
    <m/>
    <m/>
    <x v="10"/>
    <x v="5"/>
    <s v="GK09"/>
    <x v="6"/>
    <x v="3"/>
    <x v="11"/>
    <m/>
    <m/>
    <m/>
    <m/>
    <m/>
    <m/>
    <m/>
    <m/>
    <m/>
    <m/>
    <m/>
    <m/>
    <m/>
    <m/>
    <m/>
    <m/>
    <m/>
    <m/>
    <m/>
    <m/>
    <m/>
    <m/>
    <m/>
    <m/>
    <m/>
    <m/>
    <m/>
    <m/>
    <m/>
    <m/>
    <n v="10.719999999999999"/>
    <n v="0"/>
    <n v="0"/>
    <n v="0"/>
    <n v="0"/>
    <n v="0"/>
    <n v="0"/>
    <n v="10.719999999999999"/>
    <n v="10.719999999999999"/>
    <n v="0"/>
    <n v="0"/>
    <n v="0"/>
    <n v="0"/>
    <n v="0"/>
    <m/>
    <m/>
    <m/>
    <m/>
    <m/>
    <m/>
    <m/>
    <m/>
    <m/>
    <m/>
    <m/>
    <m/>
    <m/>
    <m/>
    <m/>
    <m/>
    <m/>
    <m/>
    <m/>
    <m/>
    <m/>
    <m/>
    <m/>
    <m/>
    <m/>
    <m/>
    <m/>
    <m/>
    <m/>
    <m/>
    <m/>
    <m/>
    <m/>
    <m/>
  </r>
  <r>
    <n v="743"/>
    <m/>
    <x v="0"/>
    <m/>
    <m/>
    <s v="9518202725-2"/>
    <s v="Stocks"/>
    <x v="4"/>
    <m/>
    <x v="4"/>
    <x v="5"/>
    <x v="3"/>
    <m/>
    <x v="1"/>
    <m/>
    <m/>
    <m/>
    <s v="West"/>
    <m/>
    <x v="2"/>
    <x v="115"/>
    <x v="73"/>
    <x v="83"/>
    <s v="GL COIL HARD  Y550GL HGL6 0.900X1250"/>
    <m/>
    <m/>
    <m/>
    <m/>
    <m/>
    <x v="5"/>
    <x v="7"/>
    <s v="HGL6"/>
    <x v="13"/>
    <x v="0"/>
    <x v="11"/>
    <m/>
    <m/>
    <m/>
    <m/>
    <m/>
    <m/>
    <m/>
    <m/>
    <m/>
    <m/>
    <m/>
    <m/>
    <m/>
    <m/>
    <m/>
    <m/>
    <m/>
    <m/>
    <m/>
    <m/>
    <m/>
    <m/>
    <m/>
    <m/>
    <m/>
    <m/>
    <m/>
    <m/>
    <m/>
    <m/>
    <n v="16.02"/>
    <n v="0"/>
    <n v="0"/>
    <n v="0"/>
    <n v="0"/>
    <n v="0"/>
    <n v="0"/>
    <n v="16.02"/>
    <n v="16.02"/>
    <n v="0"/>
    <n v="0"/>
    <n v="0"/>
    <n v="0"/>
    <n v="0"/>
    <m/>
    <m/>
    <m/>
    <m/>
    <m/>
    <m/>
    <m/>
    <m/>
    <m/>
    <m/>
    <m/>
    <m/>
    <m/>
    <m/>
    <m/>
    <m/>
    <m/>
    <m/>
    <m/>
    <m/>
    <m/>
    <m/>
    <m/>
    <m/>
    <m/>
    <m/>
    <m/>
    <m/>
    <m/>
    <m/>
    <m/>
    <m/>
    <m/>
    <m/>
  </r>
  <r>
    <n v="743"/>
    <m/>
    <x v="0"/>
    <m/>
    <m/>
    <s v="9518235044-5"/>
    <s v="Stocks"/>
    <x v="4"/>
    <m/>
    <x v="3"/>
    <x v="9"/>
    <x v="1"/>
    <m/>
    <x v="1"/>
    <m/>
    <m/>
    <m/>
    <s v="East"/>
    <m/>
    <x v="2"/>
    <x v="115"/>
    <x v="19"/>
    <x v="399"/>
    <s v="GP SH SOFT TATXGP GK09 0.600X900X2500"/>
    <m/>
    <m/>
    <m/>
    <m/>
    <m/>
    <x v="10"/>
    <x v="5"/>
    <s v="GK09"/>
    <x v="20"/>
    <x v="3"/>
    <x v="11"/>
    <m/>
    <m/>
    <m/>
    <m/>
    <m/>
    <m/>
    <m/>
    <m/>
    <m/>
    <m/>
    <m/>
    <m/>
    <m/>
    <m/>
    <m/>
    <m/>
    <m/>
    <m/>
    <m/>
    <m/>
    <m/>
    <m/>
    <m/>
    <m/>
    <m/>
    <m/>
    <m/>
    <m/>
    <m/>
    <m/>
    <n v="2.8849999999999998"/>
    <n v="0"/>
    <n v="0"/>
    <n v="0"/>
    <n v="0"/>
    <n v="0"/>
    <n v="0"/>
    <n v="2.8849999999999998"/>
    <n v="2.8849999999999998"/>
    <n v="0"/>
    <n v="0"/>
    <n v="0"/>
    <n v="0"/>
    <n v="0"/>
    <m/>
    <m/>
    <m/>
    <m/>
    <m/>
    <m/>
    <m/>
    <m/>
    <m/>
    <m/>
    <m/>
    <m/>
    <m/>
    <m/>
    <m/>
    <m/>
    <m/>
    <m/>
    <m/>
    <m/>
    <m/>
    <m/>
    <m/>
    <m/>
    <m/>
    <m/>
    <m/>
    <m/>
    <m/>
    <m/>
    <m/>
    <m/>
    <m/>
    <m/>
  </r>
  <r>
    <n v="744"/>
    <m/>
    <x v="6"/>
    <m/>
    <m/>
    <s v="9518253010-1"/>
    <s v="Stocks"/>
    <x v="4"/>
    <m/>
    <x v="2"/>
    <x v="3"/>
    <x v="3"/>
    <m/>
    <x v="1"/>
    <m/>
    <m/>
    <m/>
    <s v="East"/>
    <m/>
    <x v="2"/>
    <x v="115"/>
    <x v="15"/>
    <x v="523"/>
    <s v="PPGL C HARD Y550PL PLH1 0.430X1020"/>
    <m/>
    <m/>
    <m/>
    <m/>
    <m/>
    <x v="3"/>
    <x v="3"/>
    <s v="PLH1"/>
    <x v="25"/>
    <x v="37"/>
    <x v="11"/>
    <m/>
    <m/>
    <m/>
    <m/>
    <m/>
    <m/>
    <m/>
    <m/>
    <m/>
    <m/>
    <m/>
    <m/>
    <m/>
    <m/>
    <m/>
    <m/>
    <m/>
    <m/>
    <m/>
    <m/>
    <m/>
    <m/>
    <m/>
    <m/>
    <m/>
    <m/>
    <m/>
    <m/>
    <m/>
    <m/>
    <n v="13.125"/>
    <n v="0"/>
    <n v="0"/>
    <n v="0"/>
    <n v="0"/>
    <n v="0"/>
    <n v="0"/>
    <n v="13.125"/>
    <n v="13.125"/>
    <n v="0"/>
    <n v="0"/>
    <n v="0"/>
    <n v="0"/>
    <n v="0"/>
    <m/>
    <m/>
    <m/>
    <m/>
    <m/>
    <m/>
    <m/>
    <m/>
    <m/>
    <m/>
    <m/>
    <m/>
    <m/>
    <m/>
    <m/>
    <m/>
    <m/>
    <m/>
    <m/>
    <m/>
    <m/>
    <m/>
    <m/>
    <m/>
    <m/>
    <m/>
    <m/>
    <m/>
    <m/>
    <m/>
    <m/>
    <m/>
    <m/>
    <m/>
  </r>
  <r>
    <n v="742"/>
    <m/>
    <x v="0"/>
    <m/>
    <m/>
    <s v="9518275934-2"/>
    <s v="Stocks"/>
    <x v="4"/>
    <m/>
    <x v="1"/>
    <x v="10"/>
    <x v="3"/>
    <m/>
    <x v="1"/>
    <m/>
    <m/>
    <m/>
    <s v="South"/>
    <m/>
    <x v="2"/>
    <x v="115"/>
    <x v="46"/>
    <x v="524"/>
    <s v="CR COIL TATXXD BT03 0.600X1120"/>
    <m/>
    <m/>
    <m/>
    <m/>
    <m/>
    <x v="1"/>
    <x v="2"/>
    <s v="BT03"/>
    <x v="20"/>
    <x v="21"/>
    <x v="11"/>
    <m/>
    <m/>
    <m/>
    <m/>
    <m/>
    <m/>
    <m/>
    <m/>
    <m/>
    <m/>
    <m/>
    <m/>
    <m/>
    <m/>
    <m/>
    <m/>
    <m/>
    <m/>
    <m/>
    <m/>
    <m/>
    <m/>
    <m/>
    <m/>
    <m/>
    <m/>
    <m/>
    <m/>
    <m/>
    <m/>
    <n v="110.69500000000001"/>
    <n v="0"/>
    <n v="0"/>
    <n v="0"/>
    <n v="0"/>
    <n v="0"/>
    <n v="0"/>
    <n v="110.69500000000001"/>
    <n v="110.69500000000001"/>
    <n v="0"/>
    <n v="0"/>
    <n v="0"/>
    <n v="0"/>
    <n v="0"/>
    <m/>
    <m/>
    <m/>
    <m/>
    <m/>
    <m/>
    <m/>
    <m/>
    <m/>
    <m/>
    <m/>
    <m/>
    <m/>
    <m/>
    <m/>
    <m/>
    <m/>
    <m/>
    <m/>
    <m/>
    <m/>
    <m/>
    <m/>
    <m/>
    <m/>
    <m/>
    <m/>
    <m/>
    <m/>
    <m/>
    <m/>
    <m/>
    <m/>
    <m/>
  </r>
  <r>
    <n v="744"/>
    <m/>
    <x v="0"/>
    <m/>
    <m/>
    <s v="9518281414-1"/>
    <s v="Stocks"/>
    <x v="4"/>
    <m/>
    <x v="2"/>
    <x v="3"/>
    <x v="3"/>
    <m/>
    <x v="1"/>
    <m/>
    <m/>
    <m/>
    <s v="East"/>
    <m/>
    <x v="2"/>
    <x v="115"/>
    <x v="15"/>
    <x v="525"/>
    <s v="PPGL C Y550 D0C7 0.33BMT(0.37TPT)X1220"/>
    <m/>
    <m/>
    <m/>
    <m/>
    <m/>
    <x v="3"/>
    <x v="3"/>
    <s v="D0C7"/>
    <x v="9"/>
    <x v="1"/>
    <x v="11"/>
    <m/>
    <m/>
    <m/>
    <m/>
    <m/>
    <m/>
    <m/>
    <m/>
    <m/>
    <m/>
    <m/>
    <m/>
    <m/>
    <m/>
    <m/>
    <m/>
    <m/>
    <m/>
    <m/>
    <m/>
    <m/>
    <m/>
    <m/>
    <m/>
    <m/>
    <m/>
    <m/>
    <m/>
    <m/>
    <m/>
    <n v="4.92"/>
    <n v="0"/>
    <n v="0"/>
    <n v="0"/>
    <n v="0"/>
    <n v="0"/>
    <n v="0"/>
    <n v="4.92"/>
    <n v="4.92"/>
    <n v="0"/>
    <n v="0"/>
    <n v="0"/>
    <n v="0"/>
    <n v="0"/>
    <m/>
    <m/>
    <m/>
    <m/>
    <m/>
    <m/>
    <m/>
    <m/>
    <m/>
    <m/>
    <m/>
    <m/>
    <m/>
    <m/>
    <m/>
    <m/>
    <m/>
    <m/>
    <m/>
    <m/>
    <m/>
    <m/>
    <m/>
    <m/>
    <m/>
    <m/>
    <m/>
    <m/>
    <m/>
    <m/>
    <m/>
    <m/>
    <m/>
    <m/>
  </r>
  <r>
    <n v="743"/>
    <m/>
    <x v="6"/>
    <m/>
    <m/>
    <s v="9518294311-1"/>
    <s v="Stocks"/>
    <x v="4"/>
    <m/>
    <x v="4"/>
    <x v="5"/>
    <x v="3"/>
    <m/>
    <x v="1"/>
    <m/>
    <m/>
    <m/>
    <s v="West"/>
    <m/>
    <x v="2"/>
    <x v="115"/>
    <x v="44"/>
    <x v="83"/>
    <s v="GL COIL HARD  Y550GL HGL6 0.900X1250"/>
    <m/>
    <m/>
    <m/>
    <m/>
    <m/>
    <x v="5"/>
    <x v="7"/>
    <s v="HGL6"/>
    <x v="13"/>
    <x v="0"/>
    <x v="11"/>
    <m/>
    <m/>
    <m/>
    <m/>
    <m/>
    <m/>
    <m/>
    <m/>
    <m/>
    <m/>
    <m/>
    <m/>
    <m/>
    <m/>
    <m/>
    <m/>
    <m/>
    <m/>
    <m/>
    <m/>
    <m/>
    <m/>
    <m/>
    <m/>
    <m/>
    <m/>
    <m/>
    <m/>
    <m/>
    <m/>
    <n v="6.2050000000000001"/>
    <n v="0"/>
    <n v="0"/>
    <n v="0"/>
    <n v="0"/>
    <n v="0"/>
    <n v="0"/>
    <n v="6.2050000000000001"/>
    <n v="6.2050000000000001"/>
    <n v="0"/>
    <n v="0"/>
    <n v="0"/>
    <n v="0"/>
    <n v="0"/>
    <m/>
    <m/>
    <m/>
    <m/>
    <m/>
    <m/>
    <m/>
    <m/>
    <m/>
    <m/>
    <m/>
    <m/>
    <m/>
    <m/>
    <m/>
    <m/>
    <m/>
    <m/>
    <m/>
    <m/>
    <m/>
    <m/>
    <m/>
    <m/>
    <m/>
    <m/>
    <m/>
    <m/>
    <m/>
    <m/>
    <m/>
    <m/>
    <m/>
    <m/>
  </r>
  <r>
    <n v="743"/>
    <m/>
    <x v="0"/>
    <m/>
    <m/>
    <s v="9518326942-10"/>
    <s v="Stocks"/>
    <x v="4"/>
    <m/>
    <x v="4"/>
    <x v="3"/>
    <x v="3"/>
    <m/>
    <x v="1"/>
    <m/>
    <m/>
    <m/>
    <s v="East"/>
    <m/>
    <x v="2"/>
    <x v="115"/>
    <x v="39"/>
    <x v="526"/>
    <s v="GL C YS550 M306 0.43BMT(0.45TCT)X900"/>
    <m/>
    <m/>
    <m/>
    <m/>
    <m/>
    <x v="5"/>
    <x v="7"/>
    <s v="M306"/>
    <x v="25"/>
    <x v="3"/>
    <x v="11"/>
    <m/>
    <m/>
    <m/>
    <m/>
    <m/>
    <m/>
    <m/>
    <m/>
    <m/>
    <m/>
    <m/>
    <m/>
    <m/>
    <m/>
    <m/>
    <m/>
    <m/>
    <m/>
    <m/>
    <m/>
    <m/>
    <m/>
    <m/>
    <m/>
    <m/>
    <m/>
    <m/>
    <m/>
    <m/>
    <m/>
    <n v="4.09"/>
    <n v="0"/>
    <n v="0"/>
    <n v="0"/>
    <n v="0"/>
    <n v="0"/>
    <n v="0"/>
    <n v="4.09"/>
    <n v="4.09"/>
    <n v="0"/>
    <n v="0"/>
    <n v="0"/>
    <n v="0"/>
    <n v="0"/>
    <m/>
    <m/>
    <m/>
    <m/>
    <m/>
    <m/>
    <m/>
    <m/>
    <m/>
    <m/>
    <m/>
    <m/>
    <m/>
    <m/>
    <m/>
    <m/>
    <m/>
    <m/>
    <m/>
    <m/>
    <m/>
    <m/>
    <m/>
    <m/>
    <m/>
    <m/>
    <m/>
    <m/>
    <m/>
    <m/>
    <m/>
    <m/>
    <m/>
    <m/>
  </r>
  <r>
    <n v="743"/>
    <m/>
    <x v="0"/>
    <m/>
    <m/>
    <s v="9518326942-8"/>
    <s v="Stocks"/>
    <x v="4"/>
    <m/>
    <x v="4"/>
    <x v="3"/>
    <x v="3"/>
    <m/>
    <x v="1"/>
    <m/>
    <m/>
    <m/>
    <s v="East"/>
    <m/>
    <x v="2"/>
    <x v="115"/>
    <x v="39"/>
    <x v="521"/>
    <s v="GL C YS550 M306 0.38BMT(0.40TCT)X1000"/>
    <m/>
    <m/>
    <m/>
    <m/>
    <m/>
    <x v="5"/>
    <x v="7"/>
    <s v="M306"/>
    <x v="7"/>
    <x v="2"/>
    <x v="11"/>
    <m/>
    <m/>
    <m/>
    <m/>
    <m/>
    <m/>
    <m/>
    <m/>
    <m/>
    <m/>
    <m/>
    <m/>
    <m/>
    <m/>
    <m/>
    <m/>
    <m/>
    <m/>
    <m/>
    <m/>
    <m/>
    <m/>
    <m/>
    <m/>
    <m/>
    <m/>
    <m/>
    <m/>
    <m/>
    <m/>
    <n v="16.684999999999999"/>
    <n v="94.525000000000006"/>
    <n v="0"/>
    <n v="94.525000000000006"/>
    <n v="0"/>
    <n v="0"/>
    <n v="0"/>
    <n v="111.21000000000001"/>
    <n v="0"/>
    <n v="0"/>
    <n v="111.21000000000001"/>
    <n v="0"/>
    <n v="0"/>
    <n v="0"/>
    <m/>
    <m/>
    <m/>
    <m/>
    <m/>
    <m/>
    <m/>
    <m/>
    <m/>
    <m/>
    <m/>
    <m/>
    <m/>
    <m/>
    <m/>
    <m/>
    <m/>
    <m/>
    <m/>
    <m/>
    <m/>
    <m/>
    <m/>
    <m/>
    <m/>
    <m/>
    <m/>
    <m/>
    <m/>
    <m/>
    <m/>
    <m/>
    <m/>
    <m/>
  </r>
  <r>
    <n v="743"/>
    <m/>
    <x v="0"/>
    <m/>
    <m/>
    <s v="9518326942-9"/>
    <s v="Stocks"/>
    <x v="4"/>
    <m/>
    <x v="4"/>
    <x v="3"/>
    <x v="3"/>
    <m/>
    <x v="1"/>
    <m/>
    <m/>
    <m/>
    <s v="East"/>
    <m/>
    <x v="2"/>
    <x v="115"/>
    <x v="39"/>
    <x v="521"/>
    <s v="GL C YS550 M306 0.38BMT(0.40TCT)X1000"/>
    <m/>
    <m/>
    <m/>
    <m/>
    <m/>
    <x v="5"/>
    <x v="7"/>
    <s v="M306"/>
    <x v="7"/>
    <x v="2"/>
    <x v="11"/>
    <m/>
    <m/>
    <m/>
    <m/>
    <m/>
    <m/>
    <m/>
    <m/>
    <m/>
    <m/>
    <m/>
    <m/>
    <m/>
    <m/>
    <m/>
    <m/>
    <m/>
    <m/>
    <m/>
    <m/>
    <m/>
    <m/>
    <m/>
    <m/>
    <m/>
    <m/>
    <m/>
    <m/>
    <m/>
    <m/>
    <n v="3.72"/>
    <n v="0"/>
    <n v="0"/>
    <n v="0"/>
    <n v="0"/>
    <n v="0"/>
    <n v="0"/>
    <n v="3.72"/>
    <n v="3.72"/>
    <n v="0"/>
    <n v="0"/>
    <n v="0"/>
    <n v="0"/>
    <n v="0"/>
    <m/>
    <m/>
    <m/>
    <m/>
    <m/>
    <m/>
    <m/>
    <m/>
    <m/>
    <m/>
    <m/>
    <m/>
    <m/>
    <m/>
    <m/>
    <m/>
    <m/>
    <m/>
    <m/>
    <m/>
    <m/>
    <m/>
    <m/>
    <m/>
    <m/>
    <m/>
    <m/>
    <m/>
    <m/>
    <m/>
    <m/>
    <m/>
    <m/>
    <m/>
  </r>
  <r>
    <n v="742"/>
    <m/>
    <x v="0"/>
    <m/>
    <m/>
    <s v="9518341335-8"/>
    <s v="Stocks"/>
    <x v="4"/>
    <m/>
    <x v="1"/>
    <x v="2"/>
    <x v="1"/>
    <m/>
    <x v="1"/>
    <m/>
    <m/>
    <m/>
    <s v="East"/>
    <m/>
    <x v="2"/>
    <x v="115"/>
    <x v="19"/>
    <x v="112"/>
    <s v="CRCA SHEET TSBCRC SR15 0.900X1000X2500"/>
    <m/>
    <m/>
    <m/>
    <m/>
    <m/>
    <x v="2"/>
    <x v="4"/>
    <s v="SR15"/>
    <x v="13"/>
    <x v="2"/>
    <x v="11"/>
    <m/>
    <m/>
    <m/>
    <m/>
    <m/>
    <m/>
    <m/>
    <m/>
    <m/>
    <m/>
    <m/>
    <m/>
    <m/>
    <m/>
    <m/>
    <m/>
    <m/>
    <m/>
    <m/>
    <m/>
    <m/>
    <m/>
    <m/>
    <m/>
    <m/>
    <m/>
    <m/>
    <m/>
    <m/>
    <m/>
    <n v="2.68"/>
    <n v="0"/>
    <n v="0"/>
    <n v="0"/>
    <n v="0"/>
    <n v="0"/>
    <n v="0"/>
    <n v="2.68"/>
    <n v="2.68"/>
    <n v="0"/>
    <n v="0"/>
    <n v="0"/>
    <n v="0"/>
    <n v="0"/>
    <m/>
    <m/>
    <m/>
    <m/>
    <m/>
    <m/>
    <m/>
    <m/>
    <m/>
    <m/>
    <m/>
    <m/>
    <m/>
    <m/>
    <m/>
    <m/>
    <m/>
    <m/>
    <m/>
    <m/>
    <m/>
    <m/>
    <m/>
    <m/>
    <m/>
    <m/>
    <m/>
    <m/>
    <m/>
    <m/>
    <m/>
    <m/>
    <m/>
    <m/>
  </r>
  <r>
    <n v="743"/>
    <m/>
    <x v="1"/>
    <m/>
    <m/>
    <s v="9518341433-2"/>
    <s v="Stocks"/>
    <x v="4"/>
    <m/>
    <x v="3"/>
    <x v="9"/>
    <x v="1"/>
    <m/>
    <x v="1"/>
    <m/>
    <m/>
    <m/>
    <s v="East"/>
    <m/>
    <x v="2"/>
    <x v="115"/>
    <x v="63"/>
    <x v="62"/>
    <s v="GP COIL SOFT-TATXGP-GK09-0.6X900"/>
    <m/>
    <m/>
    <m/>
    <m/>
    <m/>
    <x v="7"/>
    <x v="5"/>
    <s v="GK09"/>
    <x v="20"/>
    <x v="3"/>
    <x v="11"/>
    <m/>
    <m/>
    <m/>
    <m/>
    <m/>
    <m/>
    <m/>
    <m/>
    <m/>
    <m/>
    <m/>
    <m/>
    <m/>
    <m/>
    <m/>
    <m/>
    <m/>
    <m/>
    <m/>
    <m/>
    <m/>
    <m/>
    <m/>
    <m/>
    <m/>
    <m/>
    <m/>
    <m/>
    <m/>
    <m/>
    <n v="9.5399999999999991"/>
    <n v="0"/>
    <n v="0"/>
    <n v="0"/>
    <n v="0"/>
    <n v="0"/>
    <n v="0"/>
    <n v="9.5399999999999991"/>
    <n v="9.5399999999999991"/>
    <n v="0"/>
    <n v="0"/>
    <n v="0"/>
    <n v="0"/>
    <n v="0"/>
    <m/>
    <m/>
    <m/>
    <m/>
    <m/>
    <m/>
    <m/>
    <m/>
    <m/>
    <m/>
    <m/>
    <m/>
    <m/>
    <m/>
    <m/>
    <m/>
    <m/>
    <m/>
    <m/>
    <m/>
    <m/>
    <m/>
    <m/>
    <m/>
    <m/>
    <m/>
    <m/>
    <m/>
    <m/>
    <m/>
    <m/>
    <m/>
    <m/>
    <m/>
  </r>
  <r>
    <n v="744"/>
    <m/>
    <x v="0"/>
    <m/>
    <m/>
    <s v="9518404985-1"/>
    <s v="Stocks"/>
    <x v="4"/>
    <m/>
    <x v="2"/>
    <x v="3"/>
    <x v="3"/>
    <m/>
    <x v="1"/>
    <m/>
    <m/>
    <m/>
    <s v="East"/>
    <m/>
    <x v="2"/>
    <x v="115"/>
    <x v="15"/>
    <x v="40"/>
    <s v="PPGL C Y550 HPL3 0.45BMT(0.53TPT)X1220"/>
    <m/>
    <m/>
    <m/>
    <m/>
    <m/>
    <x v="3"/>
    <x v="3"/>
    <s v="HPL3"/>
    <x v="10"/>
    <x v="1"/>
    <x v="11"/>
    <m/>
    <m/>
    <m/>
    <m/>
    <m/>
    <m/>
    <m/>
    <m/>
    <m/>
    <m/>
    <m/>
    <m/>
    <m/>
    <m/>
    <m/>
    <m/>
    <m/>
    <m/>
    <m/>
    <m/>
    <m/>
    <m/>
    <m/>
    <m/>
    <m/>
    <m/>
    <m/>
    <m/>
    <m/>
    <m/>
    <n v="4.42"/>
    <n v="0"/>
    <n v="0"/>
    <n v="0"/>
    <n v="0"/>
    <n v="0"/>
    <n v="0"/>
    <n v="4.42"/>
    <n v="4.42"/>
    <n v="0"/>
    <n v="0"/>
    <n v="0"/>
    <n v="0"/>
    <n v="0"/>
    <m/>
    <m/>
    <m/>
    <m/>
    <m/>
    <m/>
    <m/>
    <m/>
    <m/>
    <m/>
    <m/>
    <m/>
    <m/>
    <m/>
    <m/>
    <m/>
    <m/>
    <m/>
    <m/>
    <m/>
    <m/>
    <m/>
    <m/>
    <m/>
    <m/>
    <m/>
    <m/>
    <m/>
    <m/>
    <m/>
    <m/>
    <m/>
    <m/>
    <m/>
  </r>
  <r>
    <n v="743"/>
    <m/>
    <x v="6"/>
    <m/>
    <m/>
    <s v="9518419193-2"/>
    <s v="Stocks"/>
    <x v="4"/>
    <m/>
    <x v="4"/>
    <x v="3"/>
    <x v="3"/>
    <m/>
    <x v="1"/>
    <m/>
    <m/>
    <m/>
    <s v="North"/>
    <m/>
    <x v="2"/>
    <x v="115"/>
    <x v="133"/>
    <x v="156"/>
    <s v="GL C YS550 H6GL 0.42BMT(0.47TCT)X1220"/>
    <m/>
    <m/>
    <m/>
    <m/>
    <m/>
    <x v="5"/>
    <x v="7"/>
    <s v="H6GL"/>
    <x v="3"/>
    <x v="1"/>
    <x v="11"/>
    <m/>
    <m/>
    <m/>
    <m/>
    <m/>
    <m/>
    <m/>
    <m/>
    <m/>
    <m/>
    <m/>
    <m/>
    <m/>
    <m/>
    <m/>
    <m/>
    <m/>
    <m/>
    <m/>
    <m/>
    <m/>
    <m/>
    <m/>
    <m/>
    <m/>
    <m/>
    <m/>
    <m/>
    <m/>
    <m/>
    <n v="5.04"/>
    <n v="0"/>
    <n v="0"/>
    <n v="0"/>
    <n v="0"/>
    <n v="0"/>
    <n v="0"/>
    <n v="5.04"/>
    <n v="5.04"/>
    <n v="0"/>
    <n v="0"/>
    <n v="0"/>
    <n v="0"/>
    <n v="0"/>
    <m/>
    <m/>
    <m/>
    <m/>
    <m/>
    <m/>
    <m/>
    <m/>
    <m/>
    <m/>
    <m/>
    <m/>
    <m/>
    <m/>
    <m/>
    <m/>
    <m/>
    <m/>
    <m/>
    <m/>
    <m/>
    <m/>
    <m/>
    <m/>
    <m/>
    <m/>
    <m/>
    <m/>
    <m/>
    <m/>
    <m/>
    <m/>
    <m/>
    <m/>
  </r>
  <r>
    <n v="743"/>
    <m/>
    <x v="0"/>
    <m/>
    <m/>
    <s v="9518419841-2"/>
    <s v="Stocks"/>
    <x v="4"/>
    <m/>
    <x v="4"/>
    <x v="3"/>
    <x v="3"/>
    <m/>
    <x v="1"/>
    <m/>
    <m/>
    <m/>
    <s v="East"/>
    <m/>
    <x v="2"/>
    <x v="115"/>
    <x v="39"/>
    <x v="448"/>
    <s v="GL C YS550 H6GL 0.75BMT(0.80TCT)X1220"/>
    <m/>
    <m/>
    <m/>
    <m/>
    <m/>
    <x v="5"/>
    <x v="7"/>
    <s v="H6GL"/>
    <x v="28"/>
    <x v="1"/>
    <x v="11"/>
    <m/>
    <m/>
    <m/>
    <m/>
    <m/>
    <m/>
    <m/>
    <m/>
    <m/>
    <m/>
    <m/>
    <m/>
    <m/>
    <m/>
    <m/>
    <m/>
    <m/>
    <m/>
    <m/>
    <m/>
    <m/>
    <m/>
    <m/>
    <m/>
    <m/>
    <m/>
    <m/>
    <m/>
    <m/>
    <m/>
    <n v="11.87"/>
    <n v="0"/>
    <n v="0"/>
    <n v="0"/>
    <n v="0"/>
    <n v="0"/>
    <n v="0"/>
    <n v="11.87"/>
    <n v="11.87"/>
    <n v="0"/>
    <n v="0"/>
    <n v="0"/>
    <n v="0"/>
    <n v="0"/>
    <m/>
    <m/>
    <m/>
    <m/>
    <m/>
    <m/>
    <m/>
    <m/>
    <m/>
    <m/>
    <m/>
    <m/>
    <m/>
    <m/>
    <m/>
    <m/>
    <m/>
    <m/>
    <m/>
    <m/>
    <m/>
    <m/>
    <m/>
    <m/>
    <m/>
    <m/>
    <m/>
    <m/>
    <m/>
    <m/>
    <m/>
    <m/>
    <m/>
    <m/>
  </r>
  <r>
    <n v="743"/>
    <m/>
    <x v="0"/>
    <m/>
    <m/>
    <s v="9518420533-5"/>
    <s v="Stocks"/>
    <x v="4"/>
    <m/>
    <x v="3"/>
    <x v="9"/>
    <x v="1"/>
    <m/>
    <x v="1"/>
    <m/>
    <m/>
    <m/>
    <s v="East"/>
    <m/>
    <x v="2"/>
    <x v="115"/>
    <x v="12"/>
    <x v="56"/>
    <s v="GP COIL SOFT-TATXGP-GK09-0.4X900"/>
    <m/>
    <m/>
    <m/>
    <m/>
    <m/>
    <x v="7"/>
    <x v="5"/>
    <s v="GK09"/>
    <x v="2"/>
    <x v="3"/>
    <x v="11"/>
    <m/>
    <m/>
    <m/>
    <m/>
    <m/>
    <m/>
    <m/>
    <m/>
    <m/>
    <m/>
    <m/>
    <m/>
    <m/>
    <m/>
    <m/>
    <m/>
    <m/>
    <m/>
    <m/>
    <m/>
    <m/>
    <m/>
    <m/>
    <m/>
    <m/>
    <m/>
    <m/>
    <m/>
    <m/>
    <m/>
    <n v="6.09"/>
    <n v="0"/>
    <n v="0"/>
    <n v="0"/>
    <n v="0"/>
    <n v="0"/>
    <n v="0"/>
    <n v="6.09"/>
    <n v="6.09"/>
    <n v="0"/>
    <n v="0"/>
    <n v="0"/>
    <n v="0"/>
    <n v="0"/>
    <m/>
    <m/>
    <m/>
    <m/>
    <m/>
    <m/>
    <m/>
    <m/>
    <m/>
    <m/>
    <m/>
    <m/>
    <m/>
    <m/>
    <m/>
    <m/>
    <m/>
    <m/>
    <m/>
    <m/>
    <m/>
    <m/>
    <m/>
    <m/>
    <m/>
    <m/>
    <m/>
    <m/>
    <m/>
    <m/>
    <m/>
    <m/>
    <m/>
    <m/>
  </r>
  <r>
    <n v="742"/>
    <m/>
    <x v="0"/>
    <m/>
    <m/>
    <s v="9518429066-8"/>
    <s v="Stocks"/>
    <x v="4"/>
    <m/>
    <x v="1"/>
    <x v="2"/>
    <x v="1"/>
    <m/>
    <x v="1"/>
    <m/>
    <m/>
    <m/>
    <s v="East"/>
    <m/>
    <x v="2"/>
    <x v="115"/>
    <x v="19"/>
    <x v="112"/>
    <s v="CRCA SHEET TSBCRC SR15 0.900X1000X2500"/>
    <m/>
    <m/>
    <m/>
    <m/>
    <m/>
    <x v="2"/>
    <x v="4"/>
    <s v="SR15"/>
    <x v="13"/>
    <x v="2"/>
    <x v="11"/>
    <m/>
    <m/>
    <m/>
    <m/>
    <m/>
    <m/>
    <m/>
    <m/>
    <m/>
    <m/>
    <m/>
    <m/>
    <m/>
    <m/>
    <m/>
    <m/>
    <m/>
    <m/>
    <m/>
    <m/>
    <m/>
    <m/>
    <m/>
    <m/>
    <m/>
    <m/>
    <m/>
    <m/>
    <m/>
    <m/>
    <n v="2.9750000000000001"/>
    <n v="0"/>
    <n v="0"/>
    <n v="0"/>
    <n v="0"/>
    <n v="0"/>
    <n v="0"/>
    <n v="2.9750000000000001"/>
    <n v="2.9750000000000001"/>
    <n v="0"/>
    <n v="0"/>
    <n v="0"/>
    <n v="0"/>
    <n v="0"/>
    <m/>
    <m/>
    <m/>
    <m/>
    <m/>
    <m/>
    <m/>
    <m/>
    <m/>
    <m/>
    <m/>
    <m/>
    <m/>
    <m/>
    <m/>
    <m/>
    <m/>
    <m/>
    <m/>
    <m/>
    <m/>
    <m/>
    <m/>
    <m/>
    <m/>
    <m/>
    <m/>
    <m/>
    <m/>
    <m/>
    <m/>
    <m/>
    <m/>
    <m/>
  </r>
  <r>
    <n v="744"/>
    <m/>
    <x v="6"/>
    <m/>
    <m/>
    <s v="9518434780-3"/>
    <s v="Stocks"/>
    <x v="4"/>
    <m/>
    <x v="2"/>
    <x v="3"/>
    <x v="3"/>
    <m/>
    <x v="1"/>
    <m/>
    <m/>
    <m/>
    <s v="East"/>
    <m/>
    <x v="2"/>
    <x v="115"/>
    <x v="39"/>
    <x v="527"/>
    <s v="PPGL C YS550 HPL8 0.40BMT(0.45TPT)X1220"/>
    <m/>
    <m/>
    <m/>
    <m/>
    <m/>
    <x v="3"/>
    <x v="3"/>
    <s v="HPL8"/>
    <x v="2"/>
    <x v="1"/>
    <x v="11"/>
    <m/>
    <m/>
    <m/>
    <m/>
    <m/>
    <m/>
    <m/>
    <m/>
    <m/>
    <m/>
    <m/>
    <m/>
    <m/>
    <m/>
    <m/>
    <m/>
    <m/>
    <m/>
    <m/>
    <m/>
    <m/>
    <m/>
    <m/>
    <m/>
    <m/>
    <m/>
    <m/>
    <m/>
    <m/>
    <m/>
    <n v="4.585"/>
    <n v="0"/>
    <n v="0"/>
    <n v="0"/>
    <n v="0"/>
    <n v="0"/>
    <n v="0"/>
    <n v="4.585"/>
    <n v="4.585"/>
    <n v="0"/>
    <n v="0"/>
    <n v="0"/>
    <n v="0"/>
    <n v="0"/>
    <m/>
    <m/>
    <m/>
    <m/>
    <m/>
    <m/>
    <m/>
    <m/>
    <m/>
    <m/>
    <m/>
    <m/>
    <m/>
    <m/>
    <m/>
    <m/>
    <m/>
    <m/>
    <m/>
    <m/>
    <m/>
    <m/>
    <m/>
    <m/>
    <m/>
    <m/>
    <m/>
    <m/>
    <m/>
    <m/>
    <m/>
    <m/>
    <m/>
    <m/>
  </r>
  <r>
    <n v="743"/>
    <m/>
    <x v="0"/>
    <m/>
    <m/>
    <s v="9518450786-3"/>
    <s v="Stocks"/>
    <x v="4"/>
    <m/>
    <x v="3"/>
    <x v="4"/>
    <x v="1"/>
    <m/>
    <x v="1"/>
    <m/>
    <m/>
    <m/>
    <s v="East"/>
    <m/>
    <x v="2"/>
    <x v="115"/>
    <x v="31"/>
    <x v="181"/>
    <s v="GP COIL TATXGP GP02 0.450X1350"/>
    <m/>
    <m/>
    <m/>
    <m/>
    <m/>
    <x v="4"/>
    <x v="5"/>
    <s v="GP02"/>
    <x v="10"/>
    <x v="20"/>
    <x v="11"/>
    <m/>
    <m/>
    <m/>
    <m/>
    <m/>
    <m/>
    <m/>
    <m/>
    <m/>
    <m/>
    <m/>
    <m/>
    <m/>
    <m/>
    <m/>
    <m/>
    <m/>
    <m/>
    <m/>
    <m/>
    <m/>
    <m/>
    <m/>
    <m/>
    <m/>
    <m/>
    <m/>
    <m/>
    <m/>
    <m/>
    <n v="4.58"/>
    <n v="0"/>
    <n v="0"/>
    <n v="0"/>
    <n v="0"/>
    <n v="0"/>
    <n v="0"/>
    <n v="4.58"/>
    <n v="4.58"/>
    <n v="0"/>
    <n v="0"/>
    <n v="0"/>
    <n v="0"/>
    <n v="0"/>
    <m/>
    <m/>
    <m/>
    <m/>
    <m/>
    <m/>
    <m/>
    <m/>
    <m/>
    <m/>
    <m/>
    <m/>
    <m/>
    <m/>
    <m/>
    <m/>
    <m/>
    <m/>
    <m/>
    <m/>
    <m/>
    <m/>
    <m/>
    <m/>
    <m/>
    <m/>
    <m/>
    <m/>
    <m/>
    <m/>
    <m/>
    <m/>
    <m/>
    <m/>
  </r>
  <r>
    <n v="742"/>
    <m/>
    <x v="0"/>
    <m/>
    <m/>
    <s v="9518451356-16"/>
    <s v="Stocks"/>
    <x v="4"/>
    <m/>
    <x v="1"/>
    <x v="11"/>
    <x v="1"/>
    <m/>
    <x v="1"/>
    <m/>
    <m/>
    <m/>
    <s v="South"/>
    <m/>
    <x v="2"/>
    <x v="115"/>
    <x v="34"/>
    <x v="528"/>
    <s v="CRCA COIL TATXXD AH03 1.900X1250"/>
    <m/>
    <m/>
    <m/>
    <m/>
    <m/>
    <x v="1"/>
    <x v="2"/>
    <s v="AH03"/>
    <x v="55"/>
    <x v="0"/>
    <x v="11"/>
    <m/>
    <m/>
    <m/>
    <m/>
    <m/>
    <m/>
    <m/>
    <m/>
    <m/>
    <m/>
    <m/>
    <m/>
    <m/>
    <m/>
    <m/>
    <m/>
    <m/>
    <m/>
    <m/>
    <m/>
    <m/>
    <m/>
    <m/>
    <m/>
    <m/>
    <m/>
    <m/>
    <m/>
    <m/>
    <m/>
    <n v="26.425000000000001"/>
    <n v="0"/>
    <n v="0"/>
    <n v="0"/>
    <n v="0"/>
    <n v="0"/>
    <n v="0"/>
    <n v="26.425000000000001"/>
    <n v="26.425000000000001"/>
    <n v="0"/>
    <n v="0"/>
    <n v="0"/>
    <n v="0"/>
    <n v="0"/>
    <m/>
    <m/>
    <m/>
    <m/>
    <m/>
    <m/>
    <m/>
    <m/>
    <m/>
    <m/>
    <m/>
    <m/>
    <m/>
    <m/>
    <m/>
    <m/>
    <m/>
    <m/>
    <m/>
    <m/>
    <m/>
    <m/>
    <m/>
    <m/>
    <m/>
    <m/>
    <m/>
    <m/>
    <m/>
    <m/>
    <m/>
    <m/>
    <m/>
    <m/>
  </r>
  <r>
    <n v="744"/>
    <m/>
    <x v="0"/>
    <m/>
    <m/>
    <s v="9518453202-1"/>
    <s v="Stocks"/>
    <x v="4"/>
    <m/>
    <x v="2"/>
    <x v="3"/>
    <x v="3"/>
    <m/>
    <x v="1"/>
    <m/>
    <m/>
    <m/>
    <s v="East"/>
    <m/>
    <x v="2"/>
    <x v="115"/>
    <x v="15"/>
    <x v="192"/>
    <s v="PPGL C Y550 D0C7 0.43BMT(0.47TPT)X1220"/>
    <m/>
    <m/>
    <m/>
    <m/>
    <m/>
    <x v="3"/>
    <x v="3"/>
    <s v="D0C7"/>
    <x v="25"/>
    <x v="1"/>
    <x v="11"/>
    <m/>
    <m/>
    <m/>
    <m/>
    <m/>
    <m/>
    <m/>
    <m/>
    <m/>
    <m/>
    <m/>
    <m/>
    <m/>
    <m/>
    <m/>
    <m/>
    <m/>
    <m/>
    <m/>
    <m/>
    <m/>
    <m/>
    <m/>
    <m/>
    <m/>
    <m/>
    <m/>
    <m/>
    <m/>
    <m/>
    <n v="2.4900000000000002"/>
    <n v="0"/>
    <n v="0"/>
    <n v="0"/>
    <n v="0"/>
    <n v="0"/>
    <n v="0"/>
    <n v="2.4900000000000002"/>
    <n v="2.4900000000000002"/>
    <n v="0"/>
    <n v="0"/>
    <n v="0"/>
    <n v="0"/>
    <n v="0"/>
    <m/>
    <m/>
    <m/>
    <m/>
    <m/>
    <m/>
    <m/>
    <m/>
    <m/>
    <m/>
    <m/>
    <m/>
    <m/>
    <m/>
    <m/>
    <m/>
    <m/>
    <m/>
    <m/>
    <m/>
    <m/>
    <m/>
    <m/>
    <m/>
    <m/>
    <m/>
    <m/>
    <m/>
    <m/>
    <m/>
    <m/>
    <m/>
    <m/>
    <m/>
  </r>
  <r>
    <n v="744"/>
    <m/>
    <x v="0"/>
    <m/>
    <m/>
    <s v="9518453202-2"/>
    <s v="Stocks"/>
    <x v="4"/>
    <m/>
    <x v="2"/>
    <x v="3"/>
    <x v="3"/>
    <m/>
    <x v="1"/>
    <m/>
    <m/>
    <m/>
    <s v="East"/>
    <m/>
    <x v="2"/>
    <x v="115"/>
    <x v="15"/>
    <x v="192"/>
    <s v="PPGL C Y550 D0C7 0.43BMT(0.47TPT)X1220"/>
    <m/>
    <m/>
    <m/>
    <m/>
    <m/>
    <x v="3"/>
    <x v="3"/>
    <s v="D0C7"/>
    <x v="25"/>
    <x v="1"/>
    <x v="11"/>
    <m/>
    <m/>
    <m/>
    <m/>
    <m/>
    <m/>
    <m/>
    <m/>
    <m/>
    <m/>
    <m/>
    <m/>
    <m/>
    <m/>
    <m/>
    <m/>
    <m/>
    <m/>
    <m/>
    <m/>
    <m/>
    <m/>
    <m/>
    <m/>
    <m/>
    <m/>
    <m/>
    <m/>
    <m/>
    <m/>
    <n v="2.31"/>
    <n v="0"/>
    <n v="0"/>
    <n v="0"/>
    <n v="0"/>
    <n v="0"/>
    <n v="0"/>
    <n v="2.31"/>
    <n v="2.31"/>
    <n v="0"/>
    <n v="0"/>
    <n v="0"/>
    <n v="0"/>
    <n v="0"/>
    <m/>
    <m/>
    <m/>
    <m/>
    <m/>
    <m/>
    <m/>
    <m/>
    <m/>
    <m/>
    <m/>
    <m/>
    <m/>
    <m/>
    <m/>
    <m/>
    <m/>
    <m/>
    <m/>
    <m/>
    <m/>
    <m/>
    <m/>
    <m/>
    <m/>
    <m/>
    <m/>
    <m/>
    <m/>
    <m/>
    <m/>
    <m/>
    <m/>
    <m/>
  </r>
  <r>
    <n v="744"/>
    <m/>
    <x v="0"/>
    <m/>
    <m/>
    <s v="9518453235-4"/>
    <s v="Stocks"/>
    <x v="4"/>
    <m/>
    <x v="2"/>
    <x v="3"/>
    <x v="3"/>
    <m/>
    <x v="1"/>
    <m/>
    <m/>
    <m/>
    <s v="East"/>
    <m/>
    <x v="2"/>
    <x v="115"/>
    <x v="15"/>
    <x v="23"/>
    <s v="PPGL C Y550 ISC6 0.30BMT(0.35TPT)X1220"/>
    <m/>
    <m/>
    <m/>
    <m/>
    <m/>
    <x v="3"/>
    <x v="3"/>
    <s v="ISC6"/>
    <x v="11"/>
    <x v="1"/>
    <x v="11"/>
    <m/>
    <m/>
    <m/>
    <m/>
    <m/>
    <m/>
    <m/>
    <m/>
    <m/>
    <m/>
    <m/>
    <m/>
    <m/>
    <m/>
    <m/>
    <m/>
    <m/>
    <m/>
    <m/>
    <m/>
    <m/>
    <m/>
    <m/>
    <m/>
    <m/>
    <m/>
    <m/>
    <m/>
    <m/>
    <m/>
    <n v="9.9649999999999999"/>
    <n v="0.255"/>
    <n v="0"/>
    <n v="0"/>
    <n v="0.255"/>
    <n v="0"/>
    <n v="0"/>
    <n v="9.9649999999999999"/>
    <n v="9.9649999999999999"/>
    <n v="0"/>
    <n v="0"/>
    <n v="0"/>
    <n v="0"/>
    <n v="0.25500000000000078"/>
    <m/>
    <m/>
    <m/>
    <m/>
    <m/>
    <m/>
    <m/>
    <m/>
    <m/>
    <m/>
    <m/>
    <m/>
    <m/>
    <m/>
    <m/>
    <m/>
    <m/>
    <m/>
    <m/>
    <m/>
    <m/>
    <m/>
    <m/>
    <m/>
    <m/>
    <m/>
    <m/>
    <m/>
    <m/>
    <m/>
    <m/>
    <m/>
    <m/>
    <m/>
  </r>
  <r>
    <n v="742"/>
    <m/>
    <x v="0"/>
    <m/>
    <m/>
    <s v="9518454228-2"/>
    <s v="Stocks"/>
    <x v="4"/>
    <m/>
    <x v="1"/>
    <x v="2"/>
    <x v="1"/>
    <m/>
    <x v="1"/>
    <m/>
    <m/>
    <m/>
    <s v="West"/>
    <m/>
    <x v="2"/>
    <x v="115"/>
    <x v="59"/>
    <x v="136"/>
    <s v="CRCA SHEET TATCRC SR16 0.450X1250X2500"/>
    <m/>
    <m/>
    <m/>
    <m/>
    <m/>
    <x v="2"/>
    <x v="1"/>
    <s v="SR16"/>
    <x v="10"/>
    <x v="0"/>
    <x v="11"/>
    <m/>
    <m/>
    <m/>
    <m/>
    <m/>
    <m/>
    <m/>
    <m/>
    <m/>
    <m/>
    <m/>
    <m/>
    <m/>
    <m/>
    <m/>
    <m/>
    <m/>
    <m/>
    <m/>
    <m/>
    <m/>
    <m/>
    <m/>
    <m/>
    <m/>
    <m/>
    <m/>
    <m/>
    <m/>
    <m/>
    <n v="2.87"/>
    <n v="0"/>
    <n v="0"/>
    <n v="0"/>
    <n v="0"/>
    <n v="0"/>
    <n v="0"/>
    <n v="2.87"/>
    <n v="2.87"/>
    <n v="0"/>
    <n v="0"/>
    <n v="0"/>
    <n v="0"/>
    <n v="0"/>
    <m/>
    <m/>
    <m/>
    <m/>
    <m/>
    <m/>
    <m/>
    <m/>
    <m/>
    <m/>
    <m/>
    <m/>
    <m/>
    <m/>
    <m/>
    <m/>
    <m/>
    <m/>
    <m/>
    <m/>
    <m/>
    <m/>
    <m/>
    <m/>
    <m/>
    <m/>
    <m/>
    <m/>
    <m/>
    <m/>
    <m/>
    <m/>
    <m/>
    <m/>
  </r>
  <r>
    <n v="742"/>
    <m/>
    <x v="0"/>
    <m/>
    <m/>
    <s v="9518456733-3"/>
    <s v="Stocks"/>
    <x v="4"/>
    <m/>
    <x v="1"/>
    <x v="2"/>
    <x v="1"/>
    <m/>
    <x v="1"/>
    <m/>
    <m/>
    <m/>
    <s v="East"/>
    <m/>
    <x v="2"/>
    <x v="115"/>
    <x v="112"/>
    <x v="176"/>
    <s v="CRCA SHEET TATCRC SR16 0.450X900X2500"/>
    <m/>
    <m/>
    <m/>
    <m/>
    <m/>
    <x v="2"/>
    <x v="1"/>
    <s v="SR16"/>
    <x v="10"/>
    <x v="3"/>
    <x v="11"/>
    <m/>
    <m/>
    <m/>
    <m/>
    <m/>
    <m/>
    <m/>
    <m/>
    <m/>
    <m/>
    <m/>
    <m/>
    <m/>
    <m/>
    <m/>
    <m/>
    <m/>
    <m/>
    <m/>
    <m/>
    <m/>
    <m/>
    <m/>
    <m/>
    <m/>
    <m/>
    <m/>
    <m/>
    <m/>
    <m/>
    <n v="5.26"/>
    <n v="0"/>
    <n v="0"/>
    <n v="0"/>
    <n v="0"/>
    <n v="0"/>
    <n v="0"/>
    <n v="5.26"/>
    <n v="5.26"/>
    <n v="0"/>
    <n v="0"/>
    <n v="0"/>
    <n v="0"/>
    <n v="0"/>
    <m/>
    <m/>
    <m/>
    <m/>
    <m/>
    <m/>
    <m/>
    <m/>
    <m/>
    <m/>
    <m/>
    <m/>
    <m/>
    <m/>
    <m/>
    <m/>
    <m/>
    <m/>
    <m/>
    <m/>
    <m/>
    <m/>
    <m/>
    <m/>
    <m/>
    <m/>
    <m/>
    <m/>
    <m/>
    <m/>
    <m/>
    <m/>
    <m/>
    <m/>
  </r>
  <r>
    <n v="743"/>
    <m/>
    <x v="0"/>
    <m/>
    <m/>
    <s v="9518457019-4"/>
    <s v="Stocks"/>
    <x v="4"/>
    <m/>
    <x v="4"/>
    <x v="5"/>
    <x v="3"/>
    <m/>
    <x v="1"/>
    <m/>
    <m/>
    <m/>
    <s v="South"/>
    <m/>
    <x v="2"/>
    <x v="115"/>
    <x v="65"/>
    <x v="352"/>
    <s v="GL COIL HARD  Y550GL HGL6 0.900X1045"/>
    <m/>
    <m/>
    <m/>
    <m/>
    <m/>
    <x v="5"/>
    <x v="7"/>
    <s v="HGL6"/>
    <x v="13"/>
    <x v="29"/>
    <x v="11"/>
    <m/>
    <m/>
    <m/>
    <m/>
    <m/>
    <m/>
    <m/>
    <m/>
    <m/>
    <m/>
    <m/>
    <m/>
    <m/>
    <m/>
    <m/>
    <m/>
    <m/>
    <m/>
    <m/>
    <m/>
    <m/>
    <m/>
    <m/>
    <m/>
    <m/>
    <m/>
    <m/>
    <m/>
    <m/>
    <m/>
    <n v="8.9600000000000009"/>
    <n v="0"/>
    <n v="0"/>
    <n v="0"/>
    <n v="0"/>
    <n v="0"/>
    <n v="0"/>
    <n v="8.9600000000000009"/>
    <n v="8.9600000000000009"/>
    <n v="0"/>
    <n v="0"/>
    <n v="0"/>
    <n v="0"/>
    <n v="0"/>
    <m/>
    <m/>
    <m/>
    <m/>
    <m/>
    <m/>
    <m/>
    <m/>
    <m/>
    <m/>
    <m/>
    <m/>
    <m/>
    <m/>
    <m/>
    <m/>
    <m/>
    <m/>
    <m/>
    <m/>
    <m/>
    <m/>
    <m/>
    <m/>
    <m/>
    <m/>
    <m/>
    <m/>
    <m/>
    <m/>
    <m/>
    <m/>
    <m/>
    <m/>
  </r>
  <r>
    <n v="742"/>
    <m/>
    <x v="6"/>
    <m/>
    <m/>
    <s v="9518468791-1"/>
    <s v="Stocks"/>
    <x v="4"/>
    <m/>
    <x v="1"/>
    <x v="10"/>
    <x v="3"/>
    <m/>
    <x v="1"/>
    <m/>
    <m/>
    <m/>
    <s v="West"/>
    <m/>
    <x v="2"/>
    <x v="115"/>
    <x v="43"/>
    <x v="52"/>
    <s v="CRCA COIL TATXXD BT02 0.970X913"/>
    <m/>
    <m/>
    <m/>
    <m/>
    <m/>
    <x v="1"/>
    <x v="2"/>
    <s v="BT02"/>
    <x v="24"/>
    <x v="8"/>
    <x v="11"/>
    <m/>
    <m/>
    <m/>
    <m/>
    <m/>
    <m/>
    <m/>
    <m/>
    <m/>
    <m/>
    <m/>
    <m/>
    <m/>
    <m/>
    <m/>
    <m/>
    <m/>
    <m/>
    <m/>
    <m/>
    <m/>
    <m/>
    <m/>
    <m/>
    <m/>
    <m/>
    <m/>
    <m/>
    <m/>
    <m/>
    <n v="9.0500000000000007"/>
    <n v="0"/>
    <n v="0"/>
    <n v="0"/>
    <n v="0"/>
    <n v="0"/>
    <n v="0"/>
    <n v="9.0500000000000007"/>
    <n v="9.0500000000000007"/>
    <n v="0"/>
    <n v="0"/>
    <n v="0"/>
    <n v="0"/>
    <n v="0"/>
    <m/>
    <m/>
    <m/>
    <m/>
    <m/>
    <m/>
    <m/>
    <m/>
    <m/>
    <m/>
    <m/>
    <m/>
    <m/>
    <m/>
    <m/>
    <m/>
    <m/>
    <m/>
    <m/>
    <m/>
    <m/>
    <m/>
    <m/>
    <m/>
    <m/>
    <m/>
    <m/>
    <m/>
    <m/>
    <m/>
    <m/>
    <m/>
    <m/>
    <m/>
  </r>
  <r>
    <n v="743"/>
    <m/>
    <x v="0"/>
    <m/>
    <m/>
    <s v="9518483138-2"/>
    <s v="Stocks"/>
    <x v="4"/>
    <m/>
    <x v="4"/>
    <x v="10"/>
    <x v="3"/>
    <m/>
    <x v="1"/>
    <m/>
    <m/>
    <m/>
    <s v="East"/>
    <m/>
    <x v="2"/>
    <x v="115"/>
    <x v="75"/>
    <x v="529"/>
    <s v="GL COIL HARD  Y550GL H7GL 0.450X1245"/>
    <m/>
    <m/>
    <m/>
    <m/>
    <m/>
    <x v="5"/>
    <x v="7"/>
    <s v="H7GL"/>
    <x v="10"/>
    <x v="14"/>
    <x v="11"/>
    <m/>
    <m/>
    <m/>
    <m/>
    <m/>
    <m/>
    <m/>
    <m/>
    <m/>
    <m/>
    <m/>
    <m/>
    <m/>
    <m/>
    <m/>
    <m/>
    <m/>
    <m/>
    <m/>
    <m/>
    <m/>
    <m/>
    <m/>
    <m/>
    <m/>
    <m/>
    <m/>
    <m/>
    <m/>
    <m/>
    <n v="14.005000000000001"/>
    <n v="0"/>
    <n v="0"/>
    <n v="0"/>
    <n v="0"/>
    <n v="0"/>
    <n v="0"/>
    <n v="14.005000000000001"/>
    <n v="14.005000000000001"/>
    <n v="0"/>
    <n v="0"/>
    <n v="0"/>
    <n v="0"/>
    <n v="0"/>
    <m/>
    <m/>
    <m/>
    <m/>
    <m/>
    <m/>
    <m/>
    <m/>
    <m/>
    <m/>
    <m/>
    <m/>
    <m/>
    <m/>
    <m/>
    <m/>
    <m/>
    <m/>
    <m/>
    <m/>
    <m/>
    <m/>
    <m/>
    <m/>
    <m/>
    <m/>
    <m/>
    <m/>
    <m/>
    <m/>
    <m/>
    <m/>
    <m/>
    <m/>
  </r>
  <r>
    <n v="744"/>
    <m/>
    <x v="0"/>
    <m/>
    <m/>
    <s v="9518483493-1"/>
    <s v="Stocks"/>
    <x v="4"/>
    <m/>
    <x v="2"/>
    <x v="3"/>
    <x v="3"/>
    <m/>
    <x v="1"/>
    <m/>
    <m/>
    <m/>
    <s v="East"/>
    <m/>
    <x v="2"/>
    <x v="115"/>
    <x v="15"/>
    <x v="78"/>
    <s v="PPGL C Y550 ISC6 0.40BMT(0.45TPT)X1220"/>
    <m/>
    <m/>
    <m/>
    <m/>
    <m/>
    <x v="3"/>
    <x v="3"/>
    <s v="ISC6"/>
    <x v="2"/>
    <x v="1"/>
    <x v="11"/>
    <m/>
    <m/>
    <m/>
    <m/>
    <m/>
    <m/>
    <m/>
    <m/>
    <m/>
    <m/>
    <m/>
    <m/>
    <m/>
    <m/>
    <m/>
    <m/>
    <m/>
    <m/>
    <m/>
    <m/>
    <m/>
    <m/>
    <m/>
    <m/>
    <m/>
    <m/>
    <m/>
    <m/>
    <m/>
    <m/>
    <n v="2.5550000000000002"/>
    <n v="0"/>
    <n v="0"/>
    <n v="0"/>
    <n v="0"/>
    <n v="0"/>
    <n v="0"/>
    <n v="2.5550000000000002"/>
    <n v="2.5550000000000002"/>
    <n v="0"/>
    <n v="0"/>
    <n v="0"/>
    <n v="0"/>
    <n v="0"/>
    <m/>
    <m/>
    <m/>
    <m/>
    <m/>
    <m/>
    <m/>
    <m/>
    <m/>
    <m/>
    <m/>
    <m/>
    <m/>
    <m/>
    <m/>
    <m/>
    <m/>
    <m/>
    <m/>
    <m/>
    <m/>
    <m/>
    <m/>
    <m/>
    <m/>
    <m/>
    <m/>
    <m/>
    <m/>
    <m/>
    <m/>
    <m/>
    <m/>
    <m/>
  </r>
  <r>
    <n v="743"/>
    <m/>
    <x v="6"/>
    <m/>
    <m/>
    <s v="9518493528-7"/>
    <s v="Stocks"/>
    <x v="4"/>
    <m/>
    <x v="3"/>
    <x v="9"/>
    <x v="1"/>
    <m/>
    <x v="1"/>
    <m/>
    <m/>
    <m/>
    <s v="North"/>
    <m/>
    <x v="2"/>
    <x v="115"/>
    <x v="92"/>
    <x v="530"/>
    <s v="GP COIL TATXGP GK09 0.630X1000"/>
    <m/>
    <m/>
    <m/>
    <m/>
    <m/>
    <x v="7"/>
    <x v="5"/>
    <s v="GK09"/>
    <x v="26"/>
    <x v="2"/>
    <x v="11"/>
    <m/>
    <m/>
    <m/>
    <m/>
    <m/>
    <m/>
    <m/>
    <m/>
    <m/>
    <m/>
    <m/>
    <m/>
    <m/>
    <m/>
    <m/>
    <m/>
    <m/>
    <m/>
    <m/>
    <m/>
    <m/>
    <m/>
    <m/>
    <m/>
    <m/>
    <m/>
    <m/>
    <m/>
    <m/>
    <m/>
    <n v="4.9349999999999996"/>
    <n v="0"/>
    <n v="0"/>
    <n v="0"/>
    <n v="0"/>
    <n v="0"/>
    <n v="0"/>
    <n v="4.9349999999999996"/>
    <n v="4.9349999999999996"/>
    <n v="0"/>
    <n v="0"/>
    <n v="0"/>
    <n v="0"/>
    <n v="0"/>
    <m/>
    <m/>
    <m/>
    <m/>
    <m/>
    <m/>
    <m/>
    <m/>
    <m/>
    <m/>
    <m/>
    <m/>
    <m/>
    <m/>
    <m/>
    <m/>
    <m/>
    <m/>
    <m/>
    <m/>
    <m/>
    <m/>
    <m/>
    <m/>
    <m/>
    <m/>
    <m/>
    <m/>
    <m/>
    <m/>
    <m/>
    <m/>
    <m/>
    <m/>
  </r>
  <r>
    <n v="744"/>
    <m/>
    <x v="0"/>
    <m/>
    <m/>
    <s v="9518494750-1"/>
    <s v="Stocks"/>
    <x v="4"/>
    <m/>
    <x v="2"/>
    <x v="3"/>
    <x v="3"/>
    <m/>
    <x v="1"/>
    <m/>
    <m/>
    <m/>
    <s v="East"/>
    <m/>
    <x v="2"/>
    <x v="115"/>
    <x v="39"/>
    <x v="84"/>
    <s v="PPGL C HARD Y550PL D0C9 0.50(TPT)X1220"/>
    <m/>
    <m/>
    <m/>
    <m/>
    <m/>
    <x v="3"/>
    <x v="3"/>
    <s v="D0C9"/>
    <x v="1"/>
    <x v="1"/>
    <x v="11"/>
    <m/>
    <m/>
    <m/>
    <m/>
    <m/>
    <m/>
    <m/>
    <m/>
    <m/>
    <m/>
    <m/>
    <m/>
    <m/>
    <m/>
    <m/>
    <m/>
    <m/>
    <m/>
    <m/>
    <m/>
    <m/>
    <m/>
    <m/>
    <m/>
    <m/>
    <m/>
    <m/>
    <m/>
    <m/>
    <m/>
    <n v="2.37"/>
    <n v="0"/>
    <n v="0"/>
    <n v="0"/>
    <n v="0"/>
    <n v="0"/>
    <n v="0"/>
    <n v="2.37"/>
    <n v="2.37"/>
    <n v="0"/>
    <n v="0"/>
    <n v="0"/>
    <n v="0"/>
    <n v="0"/>
    <m/>
    <m/>
    <m/>
    <m/>
    <m/>
    <m/>
    <m/>
    <m/>
    <m/>
    <m/>
    <m/>
    <m/>
    <m/>
    <m/>
    <m/>
    <m/>
    <m/>
    <m/>
    <m/>
    <m/>
    <m/>
    <m/>
    <m/>
    <m/>
    <m/>
    <m/>
    <m/>
    <m/>
    <m/>
    <m/>
    <m/>
    <m/>
    <m/>
    <m/>
  </r>
  <r>
    <n v="743"/>
    <m/>
    <x v="0"/>
    <m/>
    <m/>
    <s v="9518496230-2"/>
    <s v="Stocks"/>
    <x v="4"/>
    <m/>
    <x v="4"/>
    <x v="10"/>
    <x v="3"/>
    <m/>
    <x v="1"/>
    <m/>
    <m/>
    <m/>
    <s v="East"/>
    <m/>
    <x v="2"/>
    <x v="115"/>
    <x v="75"/>
    <x v="531"/>
    <s v="GL COIL HARD  Y550GL H7GL 0.400X1245"/>
    <m/>
    <m/>
    <m/>
    <m/>
    <m/>
    <x v="5"/>
    <x v="7"/>
    <s v="H7GL"/>
    <x v="2"/>
    <x v="14"/>
    <x v="11"/>
    <m/>
    <m/>
    <m/>
    <m/>
    <m/>
    <m/>
    <m/>
    <m/>
    <m/>
    <m/>
    <m/>
    <m/>
    <m/>
    <m/>
    <m/>
    <m/>
    <m/>
    <m/>
    <m/>
    <m/>
    <m/>
    <m/>
    <m/>
    <m/>
    <m/>
    <m/>
    <m/>
    <m/>
    <m/>
    <m/>
    <n v="7.4"/>
    <n v="0"/>
    <n v="0"/>
    <n v="0"/>
    <n v="0"/>
    <n v="0"/>
    <n v="0"/>
    <n v="7.4"/>
    <n v="7.4"/>
    <n v="0"/>
    <n v="0"/>
    <n v="0"/>
    <n v="0"/>
    <n v="0"/>
    <m/>
    <m/>
    <m/>
    <m/>
    <m/>
    <m/>
    <m/>
    <m/>
    <m/>
    <m/>
    <m/>
    <m/>
    <m/>
    <m/>
    <m/>
    <m/>
    <m/>
    <m/>
    <m/>
    <m/>
    <m/>
    <m/>
    <m/>
    <m/>
    <m/>
    <m/>
    <m/>
    <m/>
    <m/>
    <m/>
    <m/>
    <m/>
    <m/>
    <m/>
  </r>
  <r>
    <n v="742"/>
    <m/>
    <x v="0"/>
    <m/>
    <m/>
    <s v="9518499138-8"/>
    <s v="Stocks"/>
    <x v="4"/>
    <m/>
    <x v="1"/>
    <x v="2"/>
    <x v="1"/>
    <m/>
    <x v="1"/>
    <m/>
    <m/>
    <m/>
    <s v="East"/>
    <m/>
    <x v="2"/>
    <x v="115"/>
    <x v="10"/>
    <x v="226"/>
    <s v="CRCA SHEET TATCRC SR16 0.430X1250X2500"/>
    <m/>
    <m/>
    <m/>
    <m/>
    <m/>
    <x v="2"/>
    <x v="1"/>
    <s v="SR16"/>
    <x v="25"/>
    <x v="0"/>
    <x v="11"/>
    <m/>
    <m/>
    <m/>
    <m/>
    <m/>
    <m/>
    <m/>
    <m/>
    <m/>
    <m/>
    <m/>
    <m/>
    <m/>
    <m/>
    <m/>
    <m/>
    <m/>
    <m/>
    <m/>
    <m/>
    <m/>
    <m/>
    <m/>
    <m/>
    <m/>
    <m/>
    <m/>
    <m/>
    <m/>
    <m/>
    <n v="5.65"/>
    <n v="0"/>
    <n v="0"/>
    <n v="0"/>
    <n v="0"/>
    <n v="0"/>
    <n v="0"/>
    <n v="5.65"/>
    <n v="5.65"/>
    <n v="0"/>
    <n v="0"/>
    <n v="0"/>
    <n v="0"/>
    <n v="0"/>
    <m/>
    <m/>
    <m/>
    <m/>
    <m/>
    <m/>
    <m/>
    <m/>
    <m/>
    <m/>
    <m/>
    <m/>
    <m/>
    <m/>
    <m/>
    <m/>
    <m/>
    <m/>
    <m/>
    <m/>
    <m/>
    <m/>
    <m/>
    <m/>
    <m/>
    <m/>
    <m/>
    <m/>
    <m/>
    <m/>
    <m/>
    <m/>
    <m/>
    <m/>
  </r>
  <r>
    <n v="742"/>
    <m/>
    <x v="0"/>
    <m/>
    <m/>
    <s v="9518500349-2"/>
    <s v="Stocks"/>
    <x v="4"/>
    <m/>
    <x v="5"/>
    <x v="10"/>
    <x v="3"/>
    <m/>
    <x v="1"/>
    <m/>
    <m/>
    <m/>
    <s v="West"/>
    <m/>
    <x v="2"/>
    <x v="115"/>
    <x v="64"/>
    <x v="162"/>
    <s v="CR COIL TATFHC TR10 0.360X1320"/>
    <m/>
    <m/>
    <m/>
    <m/>
    <m/>
    <x v="6"/>
    <x v="12"/>
    <s v="TR10"/>
    <x v="47"/>
    <x v="9"/>
    <x v="11"/>
    <m/>
    <m/>
    <m/>
    <m/>
    <m/>
    <m/>
    <m/>
    <m/>
    <m/>
    <m/>
    <m/>
    <m/>
    <m/>
    <m/>
    <m/>
    <m/>
    <m/>
    <m/>
    <m/>
    <m/>
    <m/>
    <m/>
    <m/>
    <m/>
    <m/>
    <m/>
    <m/>
    <m/>
    <m/>
    <m/>
    <n v="13.78"/>
    <n v="0"/>
    <n v="0"/>
    <n v="0"/>
    <n v="0"/>
    <n v="0"/>
    <n v="0"/>
    <n v="13.78"/>
    <n v="13.78"/>
    <n v="0"/>
    <n v="0"/>
    <n v="0"/>
    <n v="0"/>
    <n v="0"/>
    <m/>
    <m/>
    <m/>
    <m/>
    <m/>
    <m/>
    <m/>
    <m/>
    <m/>
    <m/>
    <m/>
    <m/>
    <m/>
    <m/>
    <m/>
    <m/>
    <m/>
    <m/>
    <m/>
    <m/>
    <m/>
    <m/>
    <m/>
    <m/>
    <m/>
    <m/>
    <m/>
    <m/>
    <m/>
    <m/>
    <m/>
    <m/>
    <m/>
    <m/>
  </r>
  <r>
    <n v="742"/>
    <m/>
    <x v="0"/>
    <m/>
    <m/>
    <s v="9518506961-2"/>
    <s v="Stocks"/>
    <x v="4"/>
    <m/>
    <x v="1"/>
    <x v="1"/>
    <x v="1"/>
    <m/>
    <x v="1"/>
    <m/>
    <m/>
    <m/>
    <s v="North"/>
    <m/>
    <x v="2"/>
    <x v="115"/>
    <x v="33"/>
    <x v="1"/>
    <s v="CRCA COIL TATCRC TR15 0.5X1250"/>
    <m/>
    <m/>
    <m/>
    <m/>
    <m/>
    <x v="1"/>
    <x v="1"/>
    <s v="TR15"/>
    <x v="1"/>
    <x v="0"/>
    <x v="11"/>
    <m/>
    <m/>
    <m/>
    <m/>
    <m/>
    <m/>
    <m/>
    <m/>
    <m/>
    <m/>
    <m/>
    <m/>
    <m/>
    <m/>
    <m/>
    <m/>
    <m/>
    <m/>
    <m/>
    <m/>
    <m/>
    <m/>
    <m/>
    <m/>
    <m/>
    <m/>
    <m/>
    <m/>
    <m/>
    <m/>
    <n v="25.38"/>
    <n v="0"/>
    <n v="0"/>
    <n v="0"/>
    <n v="0"/>
    <n v="0"/>
    <n v="0"/>
    <n v="25.38"/>
    <n v="25.38"/>
    <n v="0"/>
    <n v="0"/>
    <n v="0"/>
    <n v="0"/>
    <n v="0"/>
    <m/>
    <m/>
    <m/>
    <m/>
    <m/>
    <m/>
    <m/>
    <m/>
    <m/>
    <m/>
    <m/>
    <m/>
    <m/>
    <m/>
    <m/>
    <m/>
    <m/>
    <m/>
    <m/>
    <m/>
    <m/>
    <m/>
    <m/>
    <m/>
    <m/>
    <m/>
    <m/>
    <m/>
    <m/>
    <m/>
    <m/>
    <m/>
    <m/>
    <m/>
  </r>
  <r>
    <n v="742"/>
    <m/>
    <x v="1"/>
    <m/>
    <m/>
    <s v="9518517180-5"/>
    <s v="Stocks"/>
    <x v="4"/>
    <m/>
    <x v="1"/>
    <x v="7"/>
    <x v="3"/>
    <m/>
    <x v="1"/>
    <m/>
    <m/>
    <m/>
    <s v="East"/>
    <m/>
    <x v="2"/>
    <x v="115"/>
    <x v="63"/>
    <x v="37"/>
    <s v="CR COIL TSBSTA EL06 0.500X1250"/>
    <m/>
    <m/>
    <m/>
    <m/>
    <m/>
    <x v="1"/>
    <x v="9"/>
    <s v="EL06"/>
    <x v="1"/>
    <x v="0"/>
    <x v="11"/>
    <m/>
    <m/>
    <m/>
    <m/>
    <m/>
    <m/>
    <m/>
    <m/>
    <m/>
    <m/>
    <m/>
    <m/>
    <m/>
    <m/>
    <m/>
    <m/>
    <m/>
    <m/>
    <m/>
    <m/>
    <m/>
    <m/>
    <m/>
    <m/>
    <m/>
    <m/>
    <m/>
    <m/>
    <m/>
    <m/>
    <n v="51.835000000000001"/>
    <n v="0"/>
    <n v="0"/>
    <n v="0"/>
    <n v="0"/>
    <n v="0"/>
    <n v="0"/>
    <n v="51.835000000000001"/>
    <n v="51.835000000000001"/>
    <n v="0"/>
    <n v="0"/>
    <n v="0"/>
    <n v="0"/>
    <n v="0"/>
    <m/>
    <m/>
    <m/>
    <m/>
    <m/>
    <m/>
    <m/>
    <m/>
    <m/>
    <m/>
    <m/>
    <m/>
    <m/>
    <m/>
    <m/>
    <m/>
    <m/>
    <m/>
    <m/>
    <m/>
    <m/>
    <m/>
    <m/>
    <m/>
    <m/>
    <m/>
    <m/>
    <m/>
    <m/>
    <m/>
    <m/>
    <m/>
    <m/>
    <m/>
  </r>
  <r>
    <n v="743"/>
    <m/>
    <x v="6"/>
    <m/>
    <m/>
    <s v="9518519364-1"/>
    <s v="Stocks"/>
    <x v="4"/>
    <m/>
    <x v="4"/>
    <x v="5"/>
    <x v="3"/>
    <m/>
    <x v="1"/>
    <m/>
    <m/>
    <m/>
    <s v="South"/>
    <m/>
    <x v="2"/>
    <x v="115"/>
    <x v="134"/>
    <x v="26"/>
    <s v="GL COIL HARD  Y550GL HGL6 0.900X1220"/>
    <m/>
    <m/>
    <m/>
    <m/>
    <m/>
    <x v="5"/>
    <x v="7"/>
    <s v="HGL6"/>
    <x v="13"/>
    <x v="1"/>
    <x v="11"/>
    <m/>
    <m/>
    <m/>
    <m/>
    <m/>
    <m/>
    <m/>
    <m/>
    <m/>
    <m/>
    <m/>
    <m/>
    <m/>
    <m/>
    <m/>
    <m/>
    <m/>
    <m/>
    <m/>
    <m/>
    <m/>
    <m/>
    <m/>
    <m/>
    <m/>
    <m/>
    <m/>
    <m/>
    <m/>
    <m/>
    <n v="10.86"/>
    <n v="0"/>
    <n v="0"/>
    <n v="0"/>
    <n v="0"/>
    <n v="0"/>
    <n v="0"/>
    <n v="10.86"/>
    <n v="10.86"/>
    <n v="0"/>
    <n v="0"/>
    <n v="0"/>
    <n v="0"/>
    <n v="0"/>
    <m/>
    <m/>
    <m/>
    <m/>
    <m/>
    <m/>
    <m/>
    <m/>
    <m/>
    <m/>
    <m/>
    <m/>
    <m/>
    <m/>
    <m/>
    <m/>
    <m/>
    <m/>
    <m/>
    <m/>
    <m/>
    <m/>
    <m/>
    <m/>
    <m/>
    <m/>
    <m/>
    <m/>
    <m/>
    <m/>
    <m/>
    <m/>
    <m/>
    <m/>
  </r>
  <r>
    <n v="742"/>
    <m/>
    <x v="6"/>
    <m/>
    <m/>
    <s v="9518522829-8"/>
    <s v="Stocks"/>
    <x v="4"/>
    <m/>
    <x v="1"/>
    <x v="2"/>
    <x v="1"/>
    <m/>
    <x v="1"/>
    <m/>
    <m/>
    <m/>
    <s v="East"/>
    <m/>
    <x v="2"/>
    <x v="115"/>
    <x v="10"/>
    <x v="67"/>
    <s v="CRCA SHEET TSBCRC SR15 0.500X900X2440"/>
    <m/>
    <m/>
    <m/>
    <m/>
    <m/>
    <x v="2"/>
    <x v="4"/>
    <s v="SR15"/>
    <x v="1"/>
    <x v="3"/>
    <x v="11"/>
    <m/>
    <m/>
    <m/>
    <m/>
    <m/>
    <m/>
    <m/>
    <m/>
    <m/>
    <m/>
    <m/>
    <m/>
    <m/>
    <m/>
    <m/>
    <m/>
    <m/>
    <m/>
    <m/>
    <m/>
    <m/>
    <m/>
    <m/>
    <m/>
    <m/>
    <m/>
    <m/>
    <m/>
    <m/>
    <m/>
    <n v="2.64"/>
    <n v="0"/>
    <n v="0"/>
    <n v="0"/>
    <n v="0"/>
    <n v="0"/>
    <n v="0"/>
    <n v="2.64"/>
    <n v="2.64"/>
    <n v="0"/>
    <n v="0"/>
    <n v="0"/>
    <n v="0"/>
    <n v="0"/>
    <m/>
    <m/>
    <m/>
    <m/>
    <m/>
    <m/>
    <m/>
    <m/>
    <m/>
    <m/>
    <m/>
    <m/>
    <m/>
    <m/>
    <m/>
    <m/>
    <m/>
    <m/>
    <m/>
    <m/>
    <m/>
    <m/>
    <m/>
    <m/>
    <m/>
    <m/>
    <m/>
    <m/>
    <m/>
    <m/>
    <m/>
    <m/>
    <m/>
    <m/>
  </r>
  <r>
    <n v="742"/>
    <m/>
    <x v="6"/>
    <m/>
    <m/>
    <s v="9518525587-1"/>
    <s v="Stocks"/>
    <x v="4"/>
    <m/>
    <x v="1"/>
    <x v="2"/>
    <x v="1"/>
    <m/>
    <x v="1"/>
    <m/>
    <m/>
    <m/>
    <s v="East"/>
    <m/>
    <x v="2"/>
    <x v="115"/>
    <x v="112"/>
    <x v="532"/>
    <s v="CRCA SHEET TSBCRC SR15 0.700X1250X2500"/>
    <m/>
    <m/>
    <m/>
    <m/>
    <m/>
    <x v="2"/>
    <x v="4"/>
    <s v="SR15"/>
    <x v="4"/>
    <x v="0"/>
    <x v="11"/>
    <m/>
    <m/>
    <m/>
    <m/>
    <m/>
    <m/>
    <m/>
    <m/>
    <m/>
    <m/>
    <m/>
    <m/>
    <m/>
    <m/>
    <m/>
    <m/>
    <m/>
    <m/>
    <m/>
    <m/>
    <m/>
    <m/>
    <m/>
    <m/>
    <m/>
    <m/>
    <m/>
    <m/>
    <m/>
    <m/>
    <n v="2.9249999999999998"/>
    <n v="0"/>
    <n v="0"/>
    <n v="0"/>
    <n v="0"/>
    <n v="0"/>
    <n v="0"/>
    <n v="2.9249999999999998"/>
    <n v="2.9249999999999998"/>
    <n v="0"/>
    <n v="0"/>
    <n v="0"/>
    <n v="0"/>
    <n v="0"/>
    <m/>
    <m/>
    <m/>
    <m/>
    <m/>
    <m/>
    <m/>
    <m/>
    <m/>
    <m/>
    <m/>
    <m/>
    <m/>
    <m/>
    <m/>
    <m/>
    <m/>
    <m/>
    <m/>
    <m/>
    <m/>
    <m/>
    <m/>
    <m/>
    <m/>
    <m/>
    <m/>
    <m/>
    <m/>
    <m/>
    <m/>
    <m/>
    <m/>
    <m/>
  </r>
  <r>
    <n v="743"/>
    <m/>
    <x v="0"/>
    <m/>
    <m/>
    <s v="9518527008-3"/>
    <s v="Stocks"/>
    <x v="4"/>
    <m/>
    <x v="3"/>
    <x v="9"/>
    <x v="1"/>
    <m/>
    <x v="1"/>
    <m/>
    <m/>
    <m/>
    <s v="North"/>
    <m/>
    <x v="2"/>
    <x v="115"/>
    <x v="99"/>
    <x v="121"/>
    <s v="GP COIL SOFT-TATXGP-GK09-0.5X900"/>
    <m/>
    <m/>
    <m/>
    <m/>
    <m/>
    <x v="7"/>
    <x v="5"/>
    <s v="GK09"/>
    <x v="1"/>
    <x v="3"/>
    <x v="11"/>
    <m/>
    <m/>
    <m/>
    <m/>
    <m/>
    <m/>
    <m/>
    <m/>
    <m/>
    <m/>
    <m/>
    <m/>
    <m/>
    <m/>
    <m/>
    <m/>
    <m/>
    <m/>
    <m/>
    <m/>
    <m/>
    <m/>
    <m/>
    <m/>
    <m/>
    <m/>
    <m/>
    <m/>
    <m/>
    <m/>
    <n v="4.91"/>
    <n v="0"/>
    <n v="0"/>
    <n v="0"/>
    <n v="0"/>
    <n v="0"/>
    <n v="0"/>
    <n v="4.91"/>
    <n v="4.91"/>
    <n v="0"/>
    <n v="0"/>
    <n v="0"/>
    <n v="0"/>
    <n v="0"/>
    <m/>
    <m/>
    <m/>
    <m/>
    <m/>
    <m/>
    <m/>
    <m/>
    <m/>
    <m/>
    <m/>
    <m/>
    <m/>
    <m/>
    <m/>
    <m/>
    <m/>
    <m/>
    <m/>
    <m/>
    <m/>
    <m/>
    <m/>
    <m/>
    <m/>
    <m/>
    <m/>
    <m/>
    <m/>
    <m/>
    <m/>
    <m/>
    <m/>
    <m/>
  </r>
  <r>
    <n v="742"/>
    <m/>
    <x v="0"/>
    <m/>
    <m/>
    <s v="9518527640-1"/>
    <s v="Stocks"/>
    <x v="4"/>
    <m/>
    <x v="1"/>
    <x v="1"/>
    <x v="1"/>
    <m/>
    <x v="1"/>
    <m/>
    <m/>
    <m/>
    <s v="South"/>
    <m/>
    <x v="2"/>
    <x v="115"/>
    <x v="22"/>
    <x v="1"/>
    <s v="CRCA COIL TATCRC TR15 0.5X1250"/>
    <m/>
    <m/>
    <m/>
    <m/>
    <m/>
    <x v="1"/>
    <x v="1"/>
    <s v="TR15"/>
    <x v="1"/>
    <x v="0"/>
    <x v="11"/>
    <m/>
    <m/>
    <m/>
    <m/>
    <m/>
    <m/>
    <m/>
    <m/>
    <m/>
    <m/>
    <m/>
    <m/>
    <m/>
    <m/>
    <m/>
    <m/>
    <m/>
    <m/>
    <m/>
    <m/>
    <m/>
    <m/>
    <m/>
    <m/>
    <m/>
    <m/>
    <m/>
    <m/>
    <m/>
    <m/>
    <n v="12.99"/>
    <n v="0"/>
    <n v="0"/>
    <n v="0"/>
    <n v="0"/>
    <n v="0"/>
    <n v="0"/>
    <n v="12.99"/>
    <n v="12.99"/>
    <n v="0"/>
    <n v="0"/>
    <n v="0"/>
    <n v="0"/>
    <n v="0"/>
    <m/>
    <m/>
    <m/>
    <m/>
    <m/>
    <m/>
    <m/>
    <m/>
    <m/>
    <m/>
    <m/>
    <m/>
    <m/>
    <m/>
    <m/>
    <m/>
    <m/>
    <m/>
    <m/>
    <m/>
    <m/>
    <m/>
    <m/>
    <m/>
    <m/>
    <m/>
    <m/>
    <m/>
    <m/>
    <m/>
    <m/>
    <m/>
    <m/>
    <m/>
  </r>
  <r>
    <n v="743"/>
    <m/>
    <x v="0"/>
    <m/>
    <m/>
    <s v="9518529910-2"/>
    <s v="Stocks"/>
    <x v="4"/>
    <m/>
    <x v="4"/>
    <x v="5"/>
    <x v="3"/>
    <m/>
    <x v="1"/>
    <m/>
    <m/>
    <m/>
    <s v="South"/>
    <m/>
    <x v="2"/>
    <x v="115"/>
    <x v="117"/>
    <x v="469"/>
    <s v="GL COIL HARD  Y550GL GL6H 0.900X1220"/>
    <m/>
    <m/>
    <m/>
    <m/>
    <m/>
    <x v="5"/>
    <x v="7"/>
    <s v="GL6H"/>
    <x v="13"/>
    <x v="1"/>
    <x v="11"/>
    <m/>
    <m/>
    <m/>
    <m/>
    <m/>
    <m/>
    <m/>
    <m/>
    <m/>
    <m/>
    <m/>
    <m/>
    <m/>
    <m/>
    <m/>
    <m/>
    <m/>
    <m/>
    <m/>
    <m/>
    <m/>
    <m/>
    <m/>
    <m/>
    <m/>
    <m/>
    <m/>
    <m/>
    <m/>
    <m/>
    <n v="27.55"/>
    <n v="0"/>
    <n v="0"/>
    <n v="0"/>
    <n v="0"/>
    <n v="0"/>
    <n v="0"/>
    <n v="27.55"/>
    <n v="27.55"/>
    <n v="0"/>
    <n v="0"/>
    <n v="0"/>
    <n v="0"/>
    <n v="0"/>
    <m/>
    <m/>
    <m/>
    <m/>
    <m/>
    <m/>
    <m/>
    <m/>
    <m/>
    <m/>
    <m/>
    <m/>
    <m/>
    <m/>
    <m/>
    <m/>
    <m/>
    <m/>
    <m/>
    <m/>
    <m/>
    <m/>
    <m/>
    <m/>
    <m/>
    <m/>
    <m/>
    <m/>
    <m/>
    <m/>
    <m/>
    <m/>
    <m/>
    <m/>
  </r>
  <r>
    <n v="742"/>
    <m/>
    <x v="6"/>
    <m/>
    <m/>
    <s v="9518535497-1"/>
    <s v="Stocks"/>
    <x v="4"/>
    <m/>
    <x v="1"/>
    <x v="1"/>
    <x v="1"/>
    <m/>
    <x v="1"/>
    <m/>
    <m/>
    <m/>
    <s v="West"/>
    <m/>
    <x v="2"/>
    <x v="115"/>
    <x v="27"/>
    <x v="395"/>
    <s v="CRCA COIL-TATXXD-AU03-2X1000"/>
    <m/>
    <m/>
    <m/>
    <m/>
    <m/>
    <x v="1"/>
    <x v="2"/>
    <s v="AU03"/>
    <x v="15"/>
    <x v="2"/>
    <x v="11"/>
    <m/>
    <m/>
    <m/>
    <m/>
    <m/>
    <m/>
    <m/>
    <m/>
    <m/>
    <m/>
    <m/>
    <m/>
    <m/>
    <m/>
    <m/>
    <m/>
    <m/>
    <m/>
    <m/>
    <m/>
    <m/>
    <m/>
    <m/>
    <m/>
    <m/>
    <m/>
    <m/>
    <m/>
    <m/>
    <m/>
    <n v="39.9"/>
    <n v="0"/>
    <n v="0"/>
    <n v="0"/>
    <n v="0"/>
    <n v="0"/>
    <n v="0"/>
    <n v="39.9"/>
    <n v="39.9"/>
    <n v="0"/>
    <n v="0"/>
    <n v="0"/>
    <n v="0"/>
    <n v="0"/>
    <m/>
    <m/>
    <m/>
    <m/>
    <m/>
    <m/>
    <m/>
    <m/>
    <m/>
    <m/>
    <m/>
    <m/>
    <m/>
    <m/>
    <m/>
    <m/>
    <m/>
    <m/>
    <m/>
    <m/>
    <m/>
    <m/>
    <m/>
    <m/>
    <m/>
    <m/>
    <m/>
    <m/>
    <m/>
    <m/>
    <m/>
    <m/>
    <m/>
    <m/>
  </r>
  <r>
    <n v="744"/>
    <m/>
    <x v="0"/>
    <m/>
    <m/>
    <s v="9518543214-10"/>
    <s v="Stocks"/>
    <x v="4"/>
    <m/>
    <x v="2"/>
    <x v="3"/>
    <x v="3"/>
    <m/>
    <x v="1"/>
    <m/>
    <m/>
    <m/>
    <s v="East"/>
    <m/>
    <x v="2"/>
    <x v="115"/>
    <x v="15"/>
    <x v="76"/>
    <s v="PPGL C Y550 ISC6 0.43BMT(0.48TPT)X1220"/>
    <m/>
    <m/>
    <m/>
    <m/>
    <m/>
    <x v="3"/>
    <x v="3"/>
    <s v="ISC6"/>
    <x v="25"/>
    <x v="1"/>
    <x v="11"/>
    <m/>
    <m/>
    <m/>
    <m/>
    <m/>
    <m/>
    <m/>
    <m/>
    <m/>
    <m/>
    <m/>
    <m/>
    <m/>
    <m/>
    <m/>
    <m/>
    <m/>
    <m/>
    <m/>
    <m/>
    <m/>
    <m/>
    <m/>
    <m/>
    <m/>
    <m/>
    <m/>
    <m/>
    <m/>
    <m/>
    <n v="8.01"/>
    <n v="0"/>
    <n v="0"/>
    <n v="0"/>
    <n v="0"/>
    <n v="0"/>
    <n v="0"/>
    <n v="8.01"/>
    <n v="8.01"/>
    <n v="0"/>
    <n v="0"/>
    <n v="0"/>
    <n v="0"/>
    <n v="0"/>
    <m/>
    <m/>
    <m/>
    <m/>
    <m/>
    <m/>
    <m/>
    <m/>
    <m/>
    <m/>
    <m/>
    <m/>
    <m/>
    <m/>
    <m/>
    <m/>
    <m/>
    <m/>
    <m/>
    <m/>
    <m/>
    <m/>
    <m/>
    <m/>
    <m/>
    <m/>
    <m/>
    <m/>
    <m/>
    <m/>
    <m/>
    <m/>
    <m/>
    <m/>
  </r>
  <r>
    <n v="742"/>
    <m/>
    <x v="0"/>
    <m/>
    <m/>
    <s v="9518547699-1"/>
    <s v="Stocks"/>
    <x v="4"/>
    <m/>
    <x v="1"/>
    <x v="10"/>
    <x v="3"/>
    <m/>
    <x v="1"/>
    <m/>
    <m/>
    <m/>
    <s v="South"/>
    <m/>
    <x v="2"/>
    <x v="115"/>
    <x v="90"/>
    <x v="89"/>
    <s v="CRCA COIL TATXXD BT01 1X1320"/>
    <m/>
    <m/>
    <m/>
    <m/>
    <m/>
    <x v="1"/>
    <x v="2"/>
    <s v="BT01"/>
    <x v="17"/>
    <x v="9"/>
    <x v="11"/>
    <m/>
    <m/>
    <m/>
    <m/>
    <m/>
    <m/>
    <m/>
    <m/>
    <m/>
    <m/>
    <m/>
    <m/>
    <m/>
    <m/>
    <m/>
    <m/>
    <m/>
    <m/>
    <m/>
    <m/>
    <m/>
    <m/>
    <m/>
    <m/>
    <m/>
    <m/>
    <m/>
    <m/>
    <m/>
    <m/>
    <n v="38.825000000000003"/>
    <n v="0"/>
    <n v="0"/>
    <n v="0"/>
    <n v="0"/>
    <n v="0"/>
    <n v="0"/>
    <n v="38.825000000000003"/>
    <n v="38.825000000000003"/>
    <n v="0"/>
    <n v="0"/>
    <n v="0"/>
    <n v="0"/>
    <n v="0"/>
    <m/>
    <m/>
    <m/>
    <m/>
    <m/>
    <m/>
    <m/>
    <m/>
    <m/>
    <m/>
    <m/>
    <m/>
    <m/>
    <m/>
    <m/>
    <m/>
    <m/>
    <m/>
    <m/>
    <m/>
    <m/>
    <m/>
    <m/>
    <m/>
    <m/>
    <m/>
    <m/>
    <m/>
    <m/>
    <m/>
    <m/>
    <m/>
    <m/>
    <m/>
  </r>
  <r>
    <n v="743"/>
    <m/>
    <x v="0"/>
    <m/>
    <m/>
    <s v="9518550672-4"/>
    <s v="Stocks"/>
    <x v="4"/>
    <m/>
    <x v="4"/>
    <x v="10"/>
    <x v="3"/>
    <m/>
    <x v="1"/>
    <m/>
    <m/>
    <m/>
    <s v="South"/>
    <m/>
    <x v="2"/>
    <x v="115"/>
    <x v="76"/>
    <x v="533"/>
    <s v="GL COIL HARD  Y550GL H7GL 0.370X1245"/>
    <m/>
    <m/>
    <m/>
    <m/>
    <m/>
    <x v="5"/>
    <x v="7"/>
    <s v="H7GL"/>
    <x v="72"/>
    <x v="14"/>
    <x v="11"/>
    <m/>
    <m/>
    <m/>
    <m/>
    <m/>
    <m/>
    <m/>
    <m/>
    <m/>
    <m/>
    <m/>
    <m/>
    <m/>
    <m/>
    <m/>
    <m/>
    <m/>
    <m/>
    <m/>
    <m/>
    <m/>
    <m/>
    <m/>
    <m/>
    <m/>
    <m/>
    <m/>
    <m/>
    <m/>
    <m/>
    <n v="12.63"/>
    <n v="0"/>
    <n v="0"/>
    <n v="0"/>
    <n v="0"/>
    <n v="0"/>
    <n v="0"/>
    <n v="12.63"/>
    <n v="12.63"/>
    <n v="0"/>
    <n v="0"/>
    <n v="0"/>
    <n v="0"/>
    <n v="0"/>
    <m/>
    <m/>
    <m/>
    <m/>
    <m/>
    <m/>
    <m/>
    <m/>
    <m/>
    <m/>
    <m/>
    <m/>
    <m/>
    <m/>
    <m/>
    <m/>
    <m/>
    <m/>
    <m/>
    <m/>
    <m/>
    <m/>
    <m/>
    <m/>
    <m/>
    <m/>
    <m/>
    <m/>
    <m/>
    <m/>
    <m/>
    <m/>
    <m/>
    <m/>
  </r>
  <r>
    <n v="744"/>
    <m/>
    <x v="6"/>
    <m/>
    <m/>
    <s v="9518563487-11"/>
    <s v="Stocks"/>
    <x v="4"/>
    <m/>
    <x v="2"/>
    <x v="3"/>
    <x v="3"/>
    <m/>
    <x v="1"/>
    <m/>
    <m/>
    <m/>
    <s v="East"/>
    <m/>
    <x v="2"/>
    <x v="115"/>
    <x v="39"/>
    <x v="40"/>
    <s v="PPGL C Y550 HPL3 0.45BMT(0.53TPT)X1220"/>
    <m/>
    <m/>
    <m/>
    <m/>
    <m/>
    <x v="3"/>
    <x v="3"/>
    <s v="HPL3"/>
    <x v="10"/>
    <x v="1"/>
    <x v="11"/>
    <m/>
    <m/>
    <m/>
    <m/>
    <m/>
    <m/>
    <m/>
    <m/>
    <m/>
    <m/>
    <m/>
    <m/>
    <m/>
    <m/>
    <m/>
    <m/>
    <m/>
    <m/>
    <m/>
    <m/>
    <m/>
    <m/>
    <m/>
    <m/>
    <m/>
    <m/>
    <m/>
    <m/>
    <m/>
    <m/>
    <n v="4.4050000000000002"/>
    <n v="0"/>
    <n v="0"/>
    <n v="0"/>
    <n v="0"/>
    <n v="0"/>
    <n v="0"/>
    <n v="4.4050000000000002"/>
    <n v="4.4050000000000002"/>
    <n v="0"/>
    <n v="0"/>
    <n v="0"/>
    <n v="0"/>
    <n v="0"/>
    <m/>
    <m/>
    <m/>
    <m/>
    <m/>
    <m/>
    <m/>
    <m/>
    <m/>
    <m/>
    <m/>
    <m/>
    <m/>
    <m/>
    <m/>
    <m/>
    <m/>
    <m/>
    <m/>
    <m/>
    <m/>
    <m/>
    <m/>
    <m/>
    <m/>
    <m/>
    <m/>
    <m/>
    <m/>
    <m/>
    <m/>
    <m/>
    <m/>
    <m/>
  </r>
  <r>
    <n v="744"/>
    <m/>
    <x v="6"/>
    <m/>
    <m/>
    <s v="9518563487-13"/>
    <s v="Stocks"/>
    <x v="4"/>
    <m/>
    <x v="2"/>
    <x v="3"/>
    <x v="3"/>
    <m/>
    <x v="1"/>
    <m/>
    <m/>
    <m/>
    <s v="East"/>
    <m/>
    <x v="2"/>
    <x v="115"/>
    <x v="39"/>
    <x v="40"/>
    <s v="PPGL C Y550 HPL3 0.45BMT(0.53TPT)X1220"/>
    <m/>
    <m/>
    <m/>
    <m/>
    <m/>
    <x v="3"/>
    <x v="3"/>
    <s v="HPL3"/>
    <x v="10"/>
    <x v="1"/>
    <x v="11"/>
    <m/>
    <m/>
    <m/>
    <m/>
    <m/>
    <m/>
    <m/>
    <m/>
    <m/>
    <m/>
    <m/>
    <m/>
    <m/>
    <m/>
    <m/>
    <m/>
    <m/>
    <m/>
    <m/>
    <m/>
    <m/>
    <m/>
    <m/>
    <m/>
    <m/>
    <m/>
    <m/>
    <m/>
    <m/>
    <m/>
    <n v="4.91"/>
    <n v="0"/>
    <n v="0"/>
    <n v="0"/>
    <n v="0"/>
    <n v="0"/>
    <n v="0"/>
    <n v="4.91"/>
    <n v="4.91"/>
    <n v="0"/>
    <n v="0"/>
    <n v="0"/>
    <n v="0"/>
    <n v="0"/>
    <m/>
    <m/>
    <m/>
    <m/>
    <m/>
    <m/>
    <m/>
    <m/>
    <m/>
    <m/>
    <m/>
    <m/>
    <m/>
    <m/>
    <m/>
    <m/>
    <m/>
    <m/>
    <m/>
    <m/>
    <m/>
    <m/>
    <m/>
    <m/>
    <m/>
    <m/>
    <m/>
    <m/>
    <m/>
    <m/>
    <m/>
    <m/>
    <m/>
    <m/>
  </r>
  <r>
    <n v="744"/>
    <m/>
    <x v="6"/>
    <m/>
    <m/>
    <s v="9518563487-14"/>
    <s v="Stocks"/>
    <x v="4"/>
    <m/>
    <x v="2"/>
    <x v="3"/>
    <x v="3"/>
    <m/>
    <x v="1"/>
    <m/>
    <m/>
    <m/>
    <s v="East"/>
    <m/>
    <x v="2"/>
    <x v="115"/>
    <x v="39"/>
    <x v="519"/>
    <s v="PPGL C Y550 HPL3 0.60BMT(0.68TPT)X1220"/>
    <m/>
    <m/>
    <m/>
    <m/>
    <m/>
    <x v="3"/>
    <x v="3"/>
    <s v="HPL3"/>
    <x v="20"/>
    <x v="1"/>
    <x v="11"/>
    <m/>
    <m/>
    <m/>
    <m/>
    <m/>
    <m/>
    <m/>
    <m/>
    <m/>
    <m/>
    <m/>
    <m/>
    <m/>
    <m/>
    <m/>
    <m/>
    <m/>
    <m/>
    <m/>
    <m/>
    <m/>
    <m/>
    <m/>
    <m/>
    <m/>
    <m/>
    <m/>
    <m/>
    <m/>
    <m/>
    <n v="4.08"/>
    <n v="0"/>
    <n v="0"/>
    <n v="0"/>
    <n v="0"/>
    <n v="0"/>
    <n v="0"/>
    <n v="4.08"/>
    <n v="4.08"/>
    <n v="0"/>
    <n v="0"/>
    <n v="0"/>
    <n v="0"/>
    <n v="0"/>
    <m/>
    <m/>
    <m/>
    <m/>
    <m/>
    <m/>
    <m/>
    <m/>
    <m/>
    <m/>
    <m/>
    <m/>
    <m/>
    <m/>
    <m/>
    <m/>
    <m/>
    <m/>
    <m/>
    <m/>
    <m/>
    <m/>
    <m/>
    <m/>
    <m/>
    <m/>
    <m/>
    <m/>
    <m/>
    <m/>
    <m/>
    <m/>
    <m/>
    <m/>
  </r>
  <r>
    <n v="744"/>
    <m/>
    <x v="6"/>
    <m/>
    <m/>
    <s v="9518563487-15"/>
    <s v="Stocks"/>
    <x v="4"/>
    <m/>
    <x v="2"/>
    <x v="3"/>
    <x v="3"/>
    <m/>
    <x v="1"/>
    <m/>
    <m/>
    <m/>
    <s v="East"/>
    <m/>
    <x v="2"/>
    <x v="115"/>
    <x v="39"/>
    <x v="534"/>
    <s v="PPGL COIL HARD-Y550PL-HPL3-0.65X1220"/>
    <m/>
    <m/>
    <m/>
    <m/>
    <m/>
    <x v="3"/>
    <x v="3"/>
    <s v="HPL3"/>
    <x v="78"/>
    <x v="1"/>
    <x v="11"/>
    <m/>
    <m/>
    <m/>
    <m/>
    <m/>
    <m/>
    <m/>
    <m/>
    <m/>
    <m/>
    <m/>
    <m/>
    <m/>
    <m/>
    <m/>
    <m/>
    <m/>
    <m/>
    <m/>
    <m/>
    <m/>
    <m/>
    <m/>
    <m/>
    <m/>
    <m/>
    <m/>
    <m/>
    <m/>
    <m/>
    <n v="4.24"/>
    <n v="0"/>
    <n v="0"/>
    <n v="0"/>
    <n v="0"/>
    <n v="0"/>
    <n v="0"/>
    <n v="4.24"/>
    <n v="4.24"/>
    <n v="0"/>
    <n v="0"/>
    <n v="0"/>
    <n v="0"/>
    <n v="0"/>
    <m/>
    <m/>
    <m/>
    <m/>
    <m/>
    <m/>
    <m/>
    <m/>
    <m/>
    <m/>
    <m/>
    <m/>
    <m/>
    <m/>
    <m/>
    <m/>
    <m/>
    <m/>
    <m/>
    <m/>
    <m/>
    <m/>
    <m/>
    <m/>
    <m/>
    <m/>
    <m/>
    <m/>
    <m/>
    <m/>
    <m/>
    <m/>
    <m/>
    <m/>
  </r>
  <r>
    <n v="744"/>
    <m/>
    <x v="6"/>
    <m/>
    <m/>
    <s v="9518563487-17"/>
    <s v="Stocks"/>
    <x v="4"/>
    <m/>
    <x v="2"/>
    <x v="3"/>
    <x v="3"/>
    <m/>
    <x v="1"/>
    <m/>
    <m/>
    <m/>
    <s v="East"/>
    <m/>
    <x v="2"/>
    <x v="115"/>
    <x v="39"/>
    <x v="535"/>
    <s v="PPGL C Y550 HPL3 0.72BMT(0.80TPT)X1220"/>
    <m/>
    <m/>
    <m/>
    <m/>
    <m/>
    <x v="3"/>
    <x v="3"/>
    <s v="HPL3"/>
    <x v="84"/>
    <x v="1"/>
    <x v="11"/>
    <m/>
    <m/>
    <m/>
    <m/>
    <m/>
    <m/>
    <m/>
    <m/>
    <m/>
    <m/>
    <m/>
    <m/>
    <m/>
    <m/>
    <m/>
    <m/>
    <m/>
    <m/>
    <m/>
    <m/>
    <m/>
    <m/>
    <m/>
    <m/>
    <m/>
    <m/>
    <m/>
    <m/>
    <m/>
    <m/>
    <n v="4.63"/>
    <n v="0"/>
    <n v="0"/>
    <n v="0"/>
    <n v="0"/>
    <n v="0"/>
    <n v="0"/>
    <n v="4.63"/>
    <n v="4.63"/>
    <n v="0"/>
    <n v="0"/>
    <n v="0"/>
    <n v="0"/>
    <n v="0"/>
    <m/>
    <m/>
    <m/>
    <m/>
    <m/>
    <m/>
    <m/>
    <m/>
    <m/>
    <m/>
    <m/>
    <m/>
    <m/>
    <m/>
    <m/>
    <m/>
    <m/>
    <m/>
    <m/>
    <m/>
    <m/>
    <m/>
    <m/>
    <m/>
    <m/>
    <m/>
    <m/>
    <m/>
    <m/>
    <m/>
    <m/>
    <m/>
    <m/>
    <m/>
  </r>
  <r>
    <n v="744"/>
    <m/>
    <x v="6"/>
    <m/>
    <m/>
    <s v="9518563487-18"/>
    <s v="Stocks"/>
    <x v="4"/>
    <m/>
    <x v="2"/>
    <x v="3"/>
    <x v="3"/>
    <m/>
    <x v="1"/>
    <m/>
    <m/>
    <m/>
    <s v="East"/>
    <m/>
    <x v="2"/>
    <x v="115"/>
    <x v="39"/>
    <x v="536"/>
    <s v="PPGL C Y550 HPL3 0.32BMT(0.40TPT)X1220"/>
    <m/>
    <m/>
    <m/>
    <m/>
    <m/>
    <x v="3"/>
    <x v="3"/>
    <s v="HPL3"/>
    <x v="33"/>
    <x v="1"/>
    <x v="11"/>
    <m/>
    <m/>
    <m/>
    <m/>
    <m/>
    <m/>
    <m/>
    <m/>
    <m/>
    <m/>
    <m/>
    <m/>
    <m/>
    <m/>
    <m/>
    <m/>
    <m/>
    <m/>
    <m/>
    <m/>
    <m/>
    <m/>
    <m/>
    <m/>
    <m/>
    <m/>
    <m/>
    <m/>
    <m/>
    <m/>
    <n v="12.555"/>
    <n v="0"/>
    <n v="0"/>
    <n v="0"/>
    <n v="0"/>
    <n v="0"/>
    <n v="0"/>
    <n v="12.555"/>
    <n v="12.555"/>
    <n v="0"/>
    <n v="0"/>
    <n v="0"/>
    <n v="0"/>
    <n v="0"/>
    <m/>
    <m/>
    <m/>
    <m/>
    <m/>
    <m/>
    <m/>
    <m/>
    <m/>
    <m/>
    <m/>
    <m/>
    <m/>
    <m/>
    <m/>
    <m/>
    <m/>
    <m/>
    <m/>
    <m/>
    <m/>
    <m/>
    <m/>
    <m/>
    <m/>
    <m/>
    <m/>
    <m/>
    <m/>
    <m/>
    <m/>
    <m/>
    <m/>
    <m/>
  </r>
  <r>
    <n v="744"/>
    <m/>
    <x v="0"/>
    <m/>
    <m/>
    <s v="9518579911-4"/>
    <s v="Stocks"/>
    <x v="4"/>
    <m/>
    <x v="2"/>
    <x v="3"/>
    <x v="3"/>
    <m/>
    <x v="1"/>
    <m/>
    <m/>
    <m/>
    <s v="East"/>
    <m/>
    <x v="2"/>
    <x v="115"/>
    <x v="39"/>
    <x v="119"/>
    <s v="PPGL C HARD Y550PL D0C9 0.450(TPT)X1220"/>
    <m/>
    <m/>
    <m/>
    <m/>
    <m/>
    <x v="3"/>
    <x v="3"/>
    <s v="D0C9"/>
    <x v="10"/>
    <x v="1"/>
    <x v="11"/>
    <m/>
    <m/>
    <m/>
    <m/>
    <m/>
    <m/>
    <m/>
    <m/>
    <m/>
    <m/>
    <m/>
    <m/>
    <m/>
    <m/>
    <m/>
    <m/>
    <m/>
    <m/>
    <m/>
    <m/>
    <m/>
    <m/>
    <m/>
    <m/>
    <m/>
    <m/>
    <m/>
    <m/>
    <m/>
    <m/>
    <n v="4.1950000000000003"/>
    <n v="0"/>
    <n v="0"/>
    <n v="0"/>
    <n v="0"/>
    <n v="0"/>
    <n v="0"/>
    <n v="4.1950000000000003"/>
    <n v="4.1950000000000003"/>
    <n v="0"/>
    <n v="0"/>
    <n v="0"/>
    <n v="0"/>
    <n v="0"/>
    <m/>
    <m/>
    <m/>
    <m/>
    <m/>
    <m/>
    <m/>
    <m/>
    <m/>
    <m/>
    <m/>
    <m/>
    <m/>
    <m/>
    <m/>
    <m/>
    <m/>
    <m/>
    <m/>
    <m/>
    <m/>
    <m/>
    <m/>
    <m/>
    <m/>
    <m/>
    <m/>
    <m/>
    <m/>
    <m/>
    <m/>
    <m/>
    <m/>
    <m/>
  </r>
  <r>
    <n v="744"/>
    <m/>
    <x v="0"/>
    <m/>
    <m/>
    <s v="9518579911-9"/>
    <s v="Stocks"/>
    <x v="4"/>
    <m/>
    <x v="2"/>
    <x v="3"/>
    <x v="3"/>
    <m/>
    <x v="1"/>
    <m/>
    <m/>
    <m/>
    <s v="East"/>
    <m/>
    <x v="2"/>
    <x v="115"/>
    <x v="39"/>
    <x v="84"/>
    <s v="PPGL C HARD Y550PL D0C9 0.50(TPT)X1220"/>
    <m/>
    <m/>
    <m/>
    <m/>
    <m/>
    <x v="3"/>
    <x v="3"/>
    <s v="D0C9"/>
    <x v="1"/>
    <x v="1"/>
    <x v="11"/>
    <m/>
    <m/>
    <m/>
    <m/>
    <m/>
    <m/>
    <m/>
    <m/>
    <m/>
    <m/>
    <m/>
    <m/>
    <m/>
    <m/>
    <m/>
    <m/>
    <m/>
    <m/>
    <m/>
    <m/>
    <m/>
    <m/>
    <m/>
    <m/>
    <m/>
    <m/>
    <m/>
    <m/>
    <m/>
    <m/>
    <n v="4.3949999999999996"/>
    <n v="0"/>
    <n v="0"/>
    <n v="0"/>
    <n v="0"/>
    <n v="0"/>
    <n v="0"/>
    <n v="4.3949999999999996"/>
    <n v="4.3949999999999996"/>
    <n v="0"/>
    <n v="0"/>
    <n v="0"/>
    <n v="0"/>
    <n v="0"/>
    <m/>
    <m/>
    <m/>
    <m/>
    <m/>
    <m/>
    <m/>
    <m/>
    <m/>
    <m/>
    <m/>
    <m/>
    <m/>
    <m/>
    <m/>
    <m/>
    <m/>
    <m/>
    <m/>
    <m/>
    <m/>
    <m/>
    <m/>
    <m/>
    <m/>
    <m/>
    <m/>
    <m/>
    <m/>
    <m/>
    <m/>
    <m/>
    <m/>
    <m/>
  </r>
  <r>
    <n v="742"/>
    <m/>
    <x v="6"/>
    <m/>
    <m/>
    <s v="9518587830-1"/>
    <s v="Stocks"/>
    <x v="4"/>
    <m/>
    <x v="1"/>
    <x v="0"/>
    <x v="1"/>
    <m/>
    <x v="1"/>
    <m/>
    <m/>
    <m/>
    <s v="West"/>
    <m/>
    <x v="2"/>
    <x v="115"/>
    <x v="38"/>
    <x v="524"/>
    <s v="CR COIL TATXXD BT03 0.600X1120"/>
    <m/>
    <m/>
    <m/>
    <m/>
    <m/>
    <x v="1"/>
    <x v="2"/>
    <s v="BT03"/>
    <x v="20"/>
    <x v="21"/>
    <x v="11"/>
    <m/>
    <m/>
    <m/>
    <m/>
    <m/>
    <m/>
    <m/>
    <m/>
    <m/>
    <m/>
    <m/>
    <m/>
    <m/>
    <m/>
    <m/>
    <m/>
    <m/>
    <m/>
    <m/>
    <m/>
    <m/>
    <m/>
    <m/>
    <m/>
    <m/>
    <m/>
    <m/>
    <m/>
    <m/>
    <m/>
    <n v="5.31"/>
    <n v="0"/>
    <n v="0"/>
    <n v="0"/>
    <n v="0"/>
    <n v="0"/>
    <n v="0"/>
    <n v="5.31"/>
    <n v="5.31"/>
    <n v="0"/>
    <n v="0"/>
    <n v="0"/>
    <n v="0"/>
    <n v="0"/>
    <m/>
    <m/>
    <m/>
    <m/>
    <m/>
    <m/>
    <m/>
    <m/>
    <m/>
    <m/>
    <m/>
    <m/>
    <m/>
    <m/>
    <m/>
    <m/>
    <m/>
    <m/>
    <m/>
    <m/>
    <m/>
    <m/>
    <m/>
    <m/>
    <m/>
    <m/>
    <m/>
    <m/>
    <m/>
    <m/>
    <m/>
    <m/>
    <m/>
    <m/>
  </r>
  <r>
    <n v="742"/>
    <m/>
    <x v="0"/>
    <m/>
    <m/>
    <s v="9518591869-3"/>
    <s v="Stocks"/>
    <x v="4"/>
    <m/>
    <x v="1"/>
    <x v="1"/>
    <x v="1"/>
    <m/>
    <x v="1"/>
    <m/>
    <m/>
    <m/>
    <s v="North"/>
    <m/>
    <x v="2"/>
    <x v="115"/>
    <x v="52"/>
    <x v="254"/>
    <s v="CRCA COIL-TATXXD-AU03-0.5X1250"/>
    <m/>
    <m/>
    <m/>
    <m/>
    <m/>
    <x v="1"/>
    <x v="2"/>
    <s v="AU03"/>
    <x v="1"/>
    <x v="0"/>
    <x v="11"/>
    <m/>
    <m/>
    <m/>
    <m/>
    <m/>
    <m/>
    <m/>
    <m/>
    <m/>
    <m/>
    <m/>
    <m/>
    <m/>
    <m/>
    <m/>
    <m/>
    <m/>
    <m/>
    <m/>
    <m/>
    <m/>
    <m/>
    <m/>
    <m/>
    <m/>
    <m/>
    <m/>
    <m/>
    <m/>
    <m/>
    <n v="25.75"/>
    <n v="0"/>
    <n v="0"/>
    <n v="0"/>
    <n v="0"/>
    <n v="0"/>
    <n v="0"/>
    <n v="25.75"/>
    <n v="25.75"/>
    <n v="0"/>
    <n v="0"/>
    <n v="0"/>
    <n v="0"/>
    <n v="0"/>
    <m/>
    <m/>
    <m/>
    <m/>
    <m/>
    <m/>
    <m/>
    <m/>
    <m/>
    <m/>
    <m/>
    <m/>
    <m/>
    <m/>
    <m/>
    <m/>
    <m/>
    <m/>
    <m/>
    <m/>
    <m/>
    <m/>
    <m/>
    <m/>
    <m/>
    <m/>
    <m/>
    <m/>
    <m/>
    <m/>
    <m/>
    <m/>
    <m/>
    <m/>
  </r>
  <r>
    <n v="743"/>
    <m/>
    <x v="0"/>
    <m/>
    <m/>
    <s v="9518591982-2"/>
    <s v="Stocks"/>
    <x v="4"/>
    <m/>
    <x v="3"/>
    <x v="14"/>
    <x v="1"/>
    <m/>
    <x v="1"/>
    <m/>
    <m/>
    <m/>
    <s v="West"/>
    <m/>
    <x v="2"/>
    <x v="115"/>
    <x v="122"/>
    <x v="231"/>
    <s v="GP COIL SOFT-TATXGP-GK09-0.4X1220"/>
    <m/>
    <m/>
    <m/>
    <m/>
    <m/>
    <x v="7"/>
    <x v="5"/>
    <s v="GK09"/>
    <x v="2"/>
    <x v="1"/>
    <x v="11"/>
    <m/>
    <m/>
    <m/>
    <m/>
    <m/>
    <m/>
    <m/>
    <m/>
    <m/>
    <m/>
    <m/>
    <m/>
    <m/>
    <m/>
    <m/>
    <m/>
    <m/>
    <m/>
    <m/>
    <m/>
    <m/>
    <m/>
    <m/>
    <m/>
    <m/>
    <m/>
    <m/>
    <m/>
    <m/>
    <m/>
    <n v="5.2750000000000004"/>
    <n v="0"/>
    <n v="0"/>
    <n v="0"/>
    <n v="0"/>
    <n v="0"/>
    <n v="0"/>
    <n v="5.2750000000000004"/>
    <n v="5.2750000000000004"/>
    <n v="0"/>
    <n v="0"/>
    <n v="0"/>
    <n v="0"/>
    <n v="0"/>
    <m/>
    <m/>
    <m/>
    <m/>
    <m/>
    <m/>
    <m/>
    <m/>
    <m/>
    <m/>
    <m/>
    <m/>
    <m/>
    <m/>
    <m/>
    <m/>
    <m/>
    <m/>
    <m/>
    <m/>
    <m/>
    <m/>
    <m/>
    <m/>
    <m/>
    <m/>
    <m/>
    <m/>
    <m/>
    <m/>
    <m/>
    <m/>
    <m/>
    <m/>
  </r>
  <r>
    <n v="742"/>
    <m/>
    <x v="1"/>
    <m/>
    <m/>
    <s v="9518607093-5"/>
    <s v="Stocks"/>
    <x v="4"/>
    <m/>
    <x v="1"/>
    <x v="7"/>
    <x v="3"/>
    <m/>
    <x v="1"/>
    <m/>
    <m/>
    <m/>
    <s v="East"/>
    <m/>
    <x v="2"/>
    <x v="115"/>
    <x v="63"/>
    <x v="93"/>
    <s v="CRCA COIL TSBSTA EL06 0.500X1160"/>
    <m/>
    <m/>
    <m/>
    <m/>
    <m/>
    <x v="1"/>
    <x v="9"/>
    <s v="EL06"/>
    <x v="1"/>
    <x v="13"/>
    <x v="11"/>
    <m/>
    <m/>
    <m/>
    <m/>
    <m/>
    <m/>
    <m/>
    <m/>
    <m/>
    <m/>
    <m/>
    <m/>
    <m/>
    <m/>
    <m/>
    <m/>
    <m/>
    <m/>
    <m/>
    <m/>
    <m/>
    <m/>
    <m/>
    <m/>
    <m/>
    <m/>
    <m/>
    <m/>
    <m/>
    <m/>
    <n v="12.515000000000001"/>
    <n v="0"/>
    <n v="0"/>
    <n v="0"/>
    <n v="0"/>
    <n v="0"/>
    <n v="0"/>
    <n v="12.515000000000001"/>
    <n v="12.515000000000001"/>
    <n v="0"/>
    <n v="0"/>
    <n v="0"/>
    <n v="0"/>
    <n v="0"/>
    <m/>
    <m/>
    <m/>
    <m/>
    <m/>
    <m/>
    <m/>
    <m/>
    <m/>
    <m/>
    <m/>
    <m/>
    <m/>
    <m/>
    <m/>
    <m/>
    <m/>
    <m/>
    <m/>
    <m/>
    <m/>
    <m/>
    <m/>
    <m/>
    <m/>
    <m/>
    <m/>
    <m/>
    <m/>
    <m/>
    <m/>
    <m/>
    <m/>
    <m/>
  </r>
  <r>
    <n v="743"/>
    <m/>
    <x v="0"/>
    <m/>
    <m/>
    <s v="9518607406-3"/>
    <s v="Stocks"/>
    <x v="4"/>
    <m/>
    <x v="3"/>
    <x v="9"/>
    <x v="1"/>
    <m/>
    <x v="1"/>
    <m/>
    <m/>
    <m/>
    <s v="East"/>
    <m/>
    <x v="2"/>
    <x v="115"/>
    <x v="19"/>
    <x v="56"/>
    <s v="GP COIL SOFT-TATXGP-GK09-0.4X900"/>
    <m/>
    <m/>
    <m/>
    <m/>
    <m/>
    <x v="7"/>
    <x v="5"/>
    <s v="GK09"/>
    <x v="2"/>
    <x v="3"/>
    <x v="11"/>
    <m/>
    <m/>
    <m/>
    <m/>
    <m/>
    <m/>
    <m/>
    <m/>
    <m/>
    <m/>
    <m/>
    <m/>
    <m/>
    <m/>
    <m/>
    <m/>
    <m/>
    <m/>
    <m/>
    <m/>
    <m/>
    <m/>
    <m/>
    <m/>
    <m/>
    <m/>
    <m/>
    <m/>
    <m/>
    <m/>
    <n v="3.94"/>
    <n v="0"/>
    <n v="0"/>
    <n v="0"/>
    <n v="0"/>
    <n v="0"/>
    <n v="0"/>
    <n v="3.94"/>
    <n v="3.94"/>
    <n v="0"/>
    <n v="0"/>
    <n v="0"/>
    <n v="0"/>
    <n v="0"/>
    <m/>
    <m/>
    <m/>
    <m/>
    <m/>
    <m/>
    <m/>
    <m/>
    <m/>
    <m/>
    <m/>
    <m/>
    <m/>
    <m/>
    <m/>
    <m/>
    <m/>
    <m/>
    <m/>
    <m/>
    <m/>
    <m/>
    <m/>
    <m/>
    <m/>
    <m/>
    <m/>
    <m/>
    <m/>
    <m/>
    <m/>
    <m/>
    <m/>
    <m/>
  </r>
  <r>
    <n v="744"/>
    <m/>
    <x v="0"/>
    <m/>
    <m/>
    <s v="9518609830-3"/>
    <s v="Stocks"/>
    <x v="4"/>
    <m/>
    <x v="2"/>
    <x v="3"/>
    <x v="3"/>
    <m/>
    <x v="1"/>
    <m/>
    <m/>
    <m/>
    <s v="East"/>
    <m/>
    <x v="2"/>
    <x v="115"/>
    <x v="15"/>
    <x v="85"/>
    <s v="PPGL C Y550 ISC6 0.35BMT(0.40TPT)X1220"/>
    <m/>
    <m/>
    <m/>
    <m/>
    <m/>
    <x v="3"/>
    <x v="3"/>
    <s v="ISC6"/>
    <x v="6"/>
    <x v="1"/>
    <x v="11"/>
    <m/>
    <m/>
    <m/>
    <m/>
    <m/>
    <m/>
    <m/>
    <m/>
    <m/>
    <m/>
    <m/>
    <m/>
    <m/>
    <m/>
    <m/>
    <m/>
    <m/>
    <m/>
    <m/>
    <m/>
    <m/>
    <m/>
    <m/>
    <m/>
    <m/>
    <m/>
    <m/>
    <m/>
    <m/>
    <m/>
    <n v="2.8149999999999999"/>
    <n v="0"/>
    <n v="0"/>
    <n v="0"/>
    <n v="0"/>
    <n v="0"/>
    <n v="0"/>
    <n v="2.8149999999999999"/>
    <n v="2.8149999999999999"/>
    <n v="0"/>
    <n v="0"/>
    <n v="0"/>
    <n v="0"/>
    <n v="0"/>
    <m/>
    <m/>
    <m/>
    <m/>
    <m/>
    <m/>
    <m/>
    <m/>
    <m/>
    <m/>
    <m/>
    <m/>
    <m/>
    <m/>
    <m/>
    <m/>
    <m/>
    <m/>
    <m/>
    <m/>
    <m/>
    <m/>
    <m/>
    <m/>
    <m/>
    <m/>
    <m/>
    <m/>
    <m/>
    <m/>
    <m/>
    <m/>
    <m/>
    <m/>
  </r>
  <r>
    <n v="743"/>
    <m/>
    <x v="0"/>
    <m/>
    <m/>
    <s v="9518612961-1"/>
    <s v="Stocks"/>
    <x v="4"/>
    <m/>
    <x v="4"/>
    <x v="5"/>
    <x v="3"/>
    <m/>
    <x v="1"/>
    <m/>
    <m/>
    <m/>
    <s v="South"/>
    <m/>
    <x v="2"/>
    <x v="115"/>
    <x v="65"/>
    <x v="352"/>
    <s v="GL COIL HARD  Y550GL HGL6 0.900X1045"/>
    <m/>
    <m/>
    <m/>
    <m/>
    <m/>
    <x v="5"/>
    <x v="7"/>
    <s v="HGL6"/>
    <x v="13"/>
    <x v="29"/>
    <x v="11"/>
    <m/>
    <m/>
    <m/>
    <m/>
    <m/>
    <m/>
    <m/>
    <m/>
    <m/>
    <m/>
    <m/>
    <m/>
    <m/>
    <m/>
    <m/>
    <m/>
    <m/>
    <m/>
    <m/>
    <m/>
    <m/>
    <m/>
    <m/>
    <m/>
    <m/>
    <m/>
    <m/>
    <m/>
    <m/>
    <m/>
    <n v="9.74"/>
    <n v="0"/>
    <n v="0"/>
    <n v="0"/>
    <n v="0"/>
    <n v="0"/>
    <n v="0"/>
    <n v="9.74"/>
    <n v="9.74"/>
    <n v="0"/>
    <n v="0"/>
    <n v="0"/>
    <n v="0"/>
    <n v="0"/>
    <m/>
    <m/>
    <m/>
    <m/>
    <m/>
    <m/>
    <m/>
    <m/>
    <m/>
    <m/>
    <m/>
    <m/>
    <m/>
    <m/>
    <m/>
    <m/>
    <m/>
    <m/>
    <m/>
    <m/>
    <m/>
    <m/>
    <m/>
    <m/>
    <m/>
    <m/>
    <m/>
    <m/>
    <m/>
    <m/>
    <m/>
    <m/>
    <m/>
    <m/>
  </r>
  <r>
    <n v="744"/>
    <m/>
    <x v="0"/>
    <m/>
    <m/>
    <s v="9518616405-1"/>
    <s v="Stocks"/>
    <x v="4"/>
    <m/>
    <x v="2"/>
    <x v="3"/>
    <x v="3"/>
    <m/>
    <x v="1"/>
    <m/>
    <m/>
    <m/>
    <s v="West"/>
    <m/>
    <x v="2"/>
    <x v="115"/>
    <x v="133"/>
    <x v="192"/>
    <s v="PPGL C Y550 D0C7 0.43BMT(0.47TPT)X1220"/>
    <m/>
    <m/>
    <m/>
    <m/>
    <m/>
    <x v="3"/>
    <x v="3"/>
    <s v="D0C7"/>
    <x v="25"/>
    <x v="1"/>
    <x v="11"/>
    <m/>
    <m/>
    <m/>
    <m/>
    <m/>
    <m/>
    <m/>
    <m/>
    <m/>
    <m/>
    <m/>
    <m/>
    <m/>
    <m/>
    <m/>
    <m/>
    <m/>
    <m/>
    <m/>
    <m/>
    <m/>
    <m/>
    <m/>
    <m/>
    <m/>
    <m/>
    <m/>
    <m/>
    <m/>
    <m/>
    <n v="3.08"/>
    <n v="0"/>
    <n v="0"/>
    <n v="0"/>
    <n v="0"/>
    <n v="0"/>
    <n v="0"/>
    <n v="3.08"/>
    <n v="3.08"/>
    <n v="0"/>
    <n v="0"/>
    <n v="0"/>
    <n v="0"/>
    <n v="0"/>
    <m/>
    <m/>
    <m/>
    <m/>
    <m/>
    <m/>
    <m/>
    <m/>
    <m/>
    <m/>
    <m/>
    <m/>
    <m/>
    <m/>
    <m/>
    <m/>
    <m/>
    <m/>
    <m/>
    <m/>
    <m/>
    <m/>
    <m/>
    <m/>
    <m/>
    <m/>
    <m/>
    <m/>
    <m/>
    <m/>
    <m/>
    <m/>
    <m/>
    <m/>
  </r>
  <r>
    <n v="744"/>
    <m/>
    <x v="0"/>
    <m/>
    <m/>
    <s v="9518617046-8"/>
    <s v="Stocks"/>
    <x v="4"/>
    <m/>
    <x v="2"/>
    <x v="3"/>
    <x v="3"/>
    <m/>
    <x v="1"/>
    <m/>
    <m/>
    <m/>
    <s v="East"/>
    <m/>
    <x v="2"/>
    <x v="115"/>
    <x v="39"/>
    <x v="195"/>
    <s v="PPGL C HARD Y550PL D0C9 0.60(TPT)X1220"/>
    <m/>
    <m/>
    <m/>
    <m/>
    <m/>
    <x v="3"/>
    <x v="3"/>
    <s v="D0C9"/>
    <x v="20"/>
    <x v="1"/>
    <x v="11"/>
    <m/>
    <m/>
    <m/>
    <m/>
    <m/>
    <m/>
    <m/>
    <m/>
    <m/>
    <m/>
    <m/>
    <m/>
    <m/>
    <m/>
    <m/>
    <m/>
    <m/>
    <m/>
    <m/>
    <m/>
    <m/>
    <m/>
    <m/>
    <m/>
    <m/>
    <m/>
    <m/>
    <m/>
    <m/>
    <m/>
    <n v="7.15"/>
    <n v="0"/>
    <n v="0"/>
    <n v="0"/>
    <n v="0"/>
    <n v="0"/>
    <n v="0"/>
    <n v="7.15"/>
    <n v="7.15"/>
    <n v="0"/>
    <n v="0"/>
    <n v="0"/>
    <n v="0"/>
    <n v="0"/>
    <m/>
    <m/>
    <m/>
    <m/>
    <m/>
    <m/>
    <m/>
    <m/>
    <m/>
    <m/>
    <m/>
    <m/>
    <m/>
    <m/>
    <m/>
    <m/>
    <m/>
    <m/>
    <m/>
    <m/>
    <m/>
    <m/>
    <m/>
    <m/>
    <m/>
    <m/>
    <m/>
    <m/>
    <m/>
    <m/>
    <m/>
    <m/>
    <m/>
    <m/>
  </r>
  <r>
    <n v="743"/>
    <m/>
    <x v="0"/>
    <m/>
    <m/>
    <s v="9518619803-3"/>
    <s v="Stocks"/>
    <x v="4"/>
    <m/>
    <x v="3"/>
    <x v="14"/>
    <x v="1"/>
    <m/>
    <x v="1"/>
    <m/>
    <m/>
    <m/>
    <s v="West"/>
    <m/>
    <x v="2"/>
    <x v="115"/>
    <x v="27"/>
    <x v="493"/>
    <s v="GP COIL SOFT-TATXGP-GK09-0.6X1250"/>
    <m/>
    <m/>
    <m/>
    <m/>
    <m/>
    <x v="7"/>
    <x v="5"/>
    <s v="GK09"/>
    <x v="20"/>
    <x v="0"/>
    <x v="11"/>
    <m/>
    <m/>
    <m/>
    <m/>
    <m/>
    <m/>
    <m/>
    <m/>
    <m/>
    <m/>
    <m/>
    <m/>
    <m/>
    <m/>
    <m/>
    <m/>
    <m/>
    <m/>
    <m/>
    <m/>
    <m/>
    <m/>
    <m/>
    <m/>
    <m/>
    <m/>
    <m/>
    <m/>
    <m/>
    <m/>
    <n v="18.305"/>
    <n v="0"/>
    <n v="0"/>
    <n v="0"/>
    <n v="0"/>
    <n v="0"/>
    <n v="0"/>
    <n v="18.305"/>
    <n v="18.305"/>
    <n v="0"/>
    <n v="0"/>
    <n v="0"/>
    <n v="0"/>
    <n v="0"/>
    <m/>
    <m/>
    <m/>
    <m/>
    <m/>
    <m/>
    <m/>
    <m/>
    <m/>
    <m/>
    <m/>
    <m/>
    <m/>
    <m/>
    <m/>
    <m/>
    <m/>
    <m/>
    <m/>
    <m/>
    <m/>
    <m/>
    <m/>
    <m/>
    <m/>
    <m/>
    <m/>
    <m/>
    <m/>
    <m/>
    <m/>
    <m/>
    <m/>
    <m/>
  </r>
  <r>
    <n v="742"/>
    <m/>
    <x v="6"/>
    <m/>
    <m/>
    <s v="9518620199-1"/>
    <s v="Stocks"/>
    <x v="4"/>
    <m/>
    <x v="1"/>
    <x v="1"/>
    <x v="1"/>
    <m/>
    <x v="1"/>
    <m/>
    <m/>
    <m/>
    <s v="South"/>
    <m/>
    <x v="2"/>
    <x v="115"/>
    <x v="111"/>
    <x v="537"/>
    <s v="CRCA SHEET TATXXD AU03 0.750X1250X2500"/>
    <m/>
    <m/>
    <m/>
    <m/>
    <m/>
    <x v="2"/>
    <x v="2"/>
    <s v="AU03"/>
    <x v="28"/>
    <x v="0"/>
    <x v="11"/>
    <m/>
    <m/>
    <m/>
    <m/>
    <m/>
    <m/>
    <m/>
    <m/>
    <m/>
    <m/>
    <m/>
    <m/>
    <m/>
    <m/>
    <m/>
    <m/>
    <m/>
    <m/>
    <m/>
    <m/>
    <m/>
    <m/>
    <m/>
    <m/>
    <m/>
    <m/>
    <m/>
    <m/>
    <m/>
    <m/>
    <n v="2.9049999999999998"/>
    <n v="0"/>
    <n v="0"/>
    <n v="0"/>
    <n v="0"/>
    <n v="0"/>
    <n v="0"/>
    <n v="2.9049999999999998"/>
    <n v="2.9049999999999998"/>
    <n v="0"/>
    <n v="0"/>
    <n v="0"/>
    <n v="0"/>
    <n v="0"/>
    <m/>
    <m/>
    <m/>
    <m/>
    <m/>
    <m/>
    <m/>
    <m/>
    <m/>
    <m/>
    <m/>
    <m/>
    <m/>
    <m/>
    <m/>
    <m/>
    <m/>
    <m/>
    <m/>
    <m/>
    <m/>
    <m/>
    <m/>
    <m/>
    <m/>
    <m/>
    <m/>
    <m/>
    <m/>
    <m/>
    <m/>
    <m/>
    <m/>
    <m/>
  </r>
  <r>
    <n v="743"/>
    <m/>
    <x v="0"/>
    <m/>
    <m/>
    <s v="9518635063-1"/>
    <s v="Stocks"/>
    <x v="4"/>
    <m/>
    <x v="4"/>
    <x v="5"/>
    <x v="3"/>
    <m/>
    <x v="1"/>
    <m/>
    <m/>
    <m/>
    <s v="South"/>
    <m/>
    <x v="2"/>
    <x v="115"/>
    <x v="117"/>
    <x v="469"/>
    <s v="GL COIL HARD  Y550GL GL6H 0.900X1220"/>
    <m/>
    <m/>
    <m/>
    <m/>
    <m/>
    <x v="5"/>
    <x v="7"/>
    <s v="GL6H"/>
    <x v="13"/>
    <x v="1"/>
    <x v="11"/>
    <m/>
    <m/>
    <m/>
    <m/>
    <m/>
    <m/>
    <m/>
    <m/>
    <m/>
    <m/>
    <m/>
    <m/>
    <m/>
    <m/>
    <m/>
    <m/>
    <m/>
    <m/>
    <m/>
    <m/>
    <m/>
    <m/>
    <m/>
    <m/>
    <m/>
    <m/>
    <m/>
    <m/>
    <m/>
    <m/>
    <n v="124.99500000000002"/>
    <n v="0"/>
    <n v="0"/>
    <n v="0"/>
    <n v="0"/>
    <n v="0"/>
    <n v="0"/>
    <n v="124.99500000000002"/>
    <n v="124.99500000000002"/>
    <n v="0"/>
    <n v="0"/>
    <n v="0"/>
    <n v="0"/>
    <n v="0"/>
    <m/>
    <m/>
    <m/>
    <m/>
    <m/>
    <m/>
    <m/>
    <m/>
    <m/>
    <m/>
    <m/>
    <m/>
    <m/>
    <m/>
    <m/>
    <m/>
    <m/>
    <m/>
    <m/>
    <m/>
    <m/>
    <m/>
    <m/>
    <m/>
    <m/>
    <m/>
    <m/>
    <m/>
    <m/>
    <m/>
    <m/>
    <m/>
    <m/>
    <m/>
  </r>
  <r>
    <n v="743"/>
    <m/>
    <x v="6"/>
    <m/>
    <m/>
    <s v="9518636685-1"/>
    <s v="Stocks"/>
    <x v="4"/>
    <m/>
    <x v="4"/>
    <x v="10"/>
    <x v="3"/>
    <m/>
    <x v="1"/>
    <m/>
    <m/>
    <m/>
    <s v="West"/>
    <m/>
    <x v="2"/>
    <x v="115"/>
    <x v="113"/>
    <x v="241"/>
    <s v="GL COIL SKINPASS Y250GL SGL1 0.330X1250"/>
    <m/>
    <m/>
    <m/>
    <m/>
    <m/>
    <x v="8"/>
    <x v="17"/>
    <s v="SGL1"/>
    <x v="9"/>
    <x v="0"/>
    <x v="11"/>
    <m/>
    <m/>
    <m/>
    <m/>
    <m/>
    <m/>
    <m/>
    <m/>
    <m/>
    <m/>
    <m/>
    <m/>
    <m/>
    <m/>
    <m/>
    <m/>
    <m/>
    <m/>
    <m/>
    <m/>
    <m/>
    <m/>
    <m/>
    <m/>
    <m/>
    <m/>
    <m/>
    <m/>
    <m/>
    <m/>
    <n v="10.914999999999999"/>
    <n v="0"/>
    <n v="0"/>
    <n v="0"/>
    <n v="0"/>
    <n v="0"/>
    <n v="0"/>
    <n v="10.914999999999999"/>
    <n v="10.914999999999999"/>
    <n v="0"/>
    <n v="0"/>
    <n v="0"/>
    <n v="0"/>
    <n v="0"/>
    <m/>
    <m/>
    <m/>
    <m/>
    <m/>
    <m/>
    <m/>
    <m/>
    <m/>
    <m/>
    <m/>
    <m/>
    <m/>
    <m/>
    <m/>
    <m/>
    <m/>
    <m/>
    <m/>
    <m/>
    <m/>
    <m/>
    <m/>
    <m/>
    <m/>
    <m/>
    <m/>
    <m/>
    <m/>
    <m/>
    <m/>
    <m/>
    <m/>
    <m/>
  </r>
  <r>
    <n v="743"/>
    <m/>
    <x v="6"/>
    <m/>
    <m/>
    <s v="9518658444-3"/>
    <s v="Stocks"/>
    <x v="4"/>
    <m/>
    <x v="3"/>
    <x v="9"/>
    <x v="1"/>
    <m/>
    <x v="1"/>
    <m/>
    <m/>
    <m/>
    <s v="East"/>
    <m/>
    <x v="2"/>
    <x v="115"/>
    <x v="24"/>
    <x v="413"/>
    <s v="GP COIL SOFT-TATXGP-GLK1-0.25X900"/>
    <m/>
    <m/>
    <m/>
    <m/>
    <m/>
    <x v="7"/>
    <x v="5"/>
    <s v="GLK1"/>
    <x v="12"/>
    <x v="3"/>
    <x v="11"/>
    <m/>
    <m/>
    <m/>
    <m/>
    <m/>
    <m/>
    <m/>
    <m/>
    <m/>
    <m/>
    <m/>
    <m/>
    <m/>
    <m/>
    <m/>
    <m/>
    <m/>
    <m/>
    <m/>
    <m/>
    <m/>
    <m/>
    <m/>
    <m/>
    <m/>
    <m/>
    <m/>
    <m/>
    <m/>
    <m/>
    <n v="11.11"/>
    <n v="0"/>
    <n v="0"/>
    <n v="0"/>
    <n v="0"/>
    <n v="0"/>
    <n v="0"/>
    <n v="11.11"/>
    <n v="11.11"/>
    <n v="0"/>
    <n v="0"/>
    <n v="0"/>
    <n v="0"/>
    <n v="0"/>
    <m/>
    <m/>
    <m/>
    <m/>
    <m/>
    <m/>
    <m/>
    <m/>
    <m/>
    <m/>
    <m/>
    <m/>
    <m/>
    <m/>
    <m/>
    <m/>
    <m/>
    <m/>
    <m/>
    <m/>
    <m/>
    <m/>
    <m/>
    <m/>
    <m/>
    <m/>
    <m/>
    <m/>
    <m/>
    <m/>
    <m/>
    <m/>
    <m/>
    <m/>
  </r>
  <r>
    <n v="744"/>
    <m/>
    <x v="0"/>
    <m/>
    <m/>
    <s v="9518660802-1"/>
    <s v="Stocks"/>
    <x v="4"/>
    <m/>
    <x v="2"/>
    <x v="3"/>
    <x v="3"/>
    <m/>
    <x v="1"/>
    <m/>
    <m/>
    <m/>
    <s v="East"/>
    <m/>
    <x v="2"/>
    <x v="115"/>
    <x v="15"/>
    <x v="192"/>
    <s v="PPGL C Y550 D0C7 0.43BMT(0.47TPT)X1220"/>
    <m/>
    <m/>
    <m/>
    <m/>
    <m/>
    <x v="3"/>
    <x v="3"/>
    <s v="D0C7"/>
    <x v="25"/>
    <x v="1"/>
    <x v="11"/>
    <m/>
    <m/>
    <m/>
    <m/>
    <m/>
    <m/>
    <m/>
    <m/>
    <m/>
    <m/>
    <m/>
    <m/>
    <m/>
    <m/>
    <m/>
    <m/>
    <m/>
    <m/>
    <m/>
    <m/>
    <m/>
    <m/>
    <m/>
    <m/>
    <m/>
    <m/>
    <m/>
    <m/>
    <m/>
    <m/>
    <n v="4.5350000000000001"/>
    <n v="112"/>
    <n v="0"/>
    <n v="0"/>
    <n v="0"/>
    <n v="0"/>
    <n v="112"/>
    <n v="116.535"/>
    <n v="0"/>
    <n v="0"/>
    <n v="0"/>
    <n v="0"/>
    <n v="116.535"/>
    <n v="0"/>
    <m/>
    <m/>
    <m/>
    <m/>
    <m/>
    <m/>
    <m/>
    <m/>
    <m/>
    <m/>
    <m/>
    <m/>
    <m/>
    <m/>
    <m/>
    <m/>
    <m/>
    <m/>
    <m/>
    <m/>
    <m/>
    <m/>
    <m/>
    <m/>
    <m/>
    <m/>
    <m/>
    <m/>
    <m/>
    <m/>
    <m/>
    <m/>
    <m/>
    <m/>
  </r>
  <r>
    <n v="742"/>
    <m/>
    <x v="0"/>
    <m/>
    <m/>
    <s v="9518664809-5"/>
    <s v="Stocks"/>
    <x v="4"/>
    <m/>
    <x v="1"/>
    <x v="2"/>
    <x v="1"/>
    <m/>
    <x v="1"/>
    <m/>
    <m/>
    <m/>
    <s v="West"/>
    <m/>
    <x v="2"/>
    <x v="115"/>
    <x v="59"/>
    <x v="271"/>
    <s v="CRCA SHEET TSBCRC SR15 0.700X1250X2500"/>
    <m/>
    <m/>
    <m/>
    <m/>
    <m/>
    <x v="2"/>
    <x v="4"/>
    <s v="SR15"/>
    <x v="4"/>
    <x v="0"/>
    <x v="11"/>
    <m/>
    <m/>
    <m/>
    <m/>
    <m/>
    <m/>
    <m/>
    <m/>
    <m/>
    <m/>
    <m/>
    <m/>
    <m/>
    <m/>
    <m/>
    <m/>
    <m/>
    <m/>
    <m/>
    <m/>
    <m/>
    <m/>
    <m/>
    <m/>
    <m/>
    <m/>
    <m/>
    <m/>
    <m/>
    <m/>
    <n v="22.785000000000004"/>
    <n v="0"/>
    <n v="0"/>
    <n v="0"/>
    <n v="0"/>
    <n v="0"/>
    <n v="0"/>
    <n v="22.785000000000004"/>
    <n v="22.785000000000004"/>
    <n v="0"/>
    <n v="0"/>
    <n v="0"/>
    <n v="0"/>
    <n v="0"/>
    <m/>
    <m/>
    <m/>
    <m/>
    <m/>
    <m/>
    <m/>
    <m/>
    <m/>
    <m/>
    <m/>
    <m/>
    <m/>
    <m/>
    <m/>
    <m/>
    <m/>
    <m/>
    <m/>
    <m/>
    <m/>
    <m/>
    <m/>
    <m/>
    <m/>
    <m/>
    <m/>
    <m/>
    <m/>
    <m/>
    <m/>
    <m/>
    <m/>
    <m/>
  </r>
  <r>
    <n v="742"/>
    <m/>
    <x v="0"/>
    <m/>
    <m/>
    <s v="9518667615-4"/>
    <s v="Stocks"/>
    <x v="4"/>
    <m/>
    <x v="1"/>
    <x v="10"/>
    <x v="3"/>
    <m/>
    <x v="1"/>
    <m/>
    <m/>
    <m/>
    <s v="West"/>
    <m/>
    <x v="2"/>
    <x v="115"/>
    <x v="42"/>
    <x v="81"/>
    <s v="CRCA COIL TATXXD BT02 1.200X910"/>
    <m/>
    <m/>
    <m/>
    <m/>
    <m/>
    <x v="1"/>
    <x v="2"/>
    <s v="BT02"/>
    <x v="19"/>
    <x v="12"/>
    <x v="11"/>
    <m/>
    <m/>
    <m/>
    <m/>
    <m/>
    <m/>
    <m/>
    <m/>
    <m/>
    <m/>
    <m/>
    <m/>
    <m/>
    <m/>
    <m/>
    <m/>
    <m/>
    <m/>
    <m/>
    <m/>
    <m/>
    <m/>
    <m/>
    <m/>
    <m/>
    <m/>
    <m/>
    <m/>
    <m/>
    <m/>
    <n v="9.66"/>
    <n v="0"/>
    <n v="0"/>
    <n v="0"/>
    <n v="0"/>
    <n v="0"/>
    <n v="0"/>
    <n v="9.66"/>
    <n v="9.66"/>
    <n v="0"/>
    <n v="0"/>
    <n v="0"/>
    <n v="0"/>
    <n v="0"/>
    <m/>
    <m/>
    <m/>
    <m/>
    <m/>
    <m/>
    <m/>
    <m/>
    <m/>
    <m/>
    <m/>
    <m/>
    <m/>
    <m/>
    <m/>
    <m/>
    <m/>
    <m/>
    <m/>
    <m/>
    <m/>
    <m/>
    <m/>
    <m/>
    <m/>
    <m/>
    <m/>
    <m/>
    <m/>
    <m/>
    <m/>
    <m/>
    <m/>
    <m/>
  </r>
  <r>
    <n v="743"/>
    <m/>
    <x v="6"/>
    <m/>
    <m/>
    <s v="9518676248-1"/>
    <s v="Stocks"/>
    <x v="4"/>
    <m/>
    <x v="3"/>
    <x v="9"/>
    <x v="1"/>
    <m/>
    <x v="1"/>
    <m/>
    <m/>
    <m/>
    <s v="East"/>
    <m/>
    <x v="2"/>
    <x v="115"/>
    <x v="24"/>
    <x v="538"/>
    <s v="GP COIL SOFT TATXGP GK09 0.220X900"/>
    <m/>
    <m/>
    <m/>
    <m/>
    <m/>
    <x v="7"/>
    <x v="5"/>
    <s v="GK09"/>
    <x v="71"/>
    <x v="3"/>
    <x v="11"/>
    <m/>
    <m/>
    <m/>
    <m/>
    <m/>
    <m/>
    <m/>
    <m/>
    <m/>
    <m/>
    <m/>
    <m/>
    <m/>
    <m/>
    <m/>
    <m/>
    <m/>
    <m/>
    <m/>
    <m/>
    <m/>
    <m/>
    <m/>
    <m/>
    <m/>
    <m/>
    <m/>
    <m/>
    <m/>
    <m/>
    <n v="3.6"/>
    <n v="0"/>
    <n v="0"/>
    <n v="0"/>
    <n v="0"/>
    <n v="0"/>
    <n v="0"/>
    <n v="3.6"/>
    <n v="3.6"/>
    <n v="0"/>
    <n v="0"/>
    <n v="0"/>
    <n v="0"/>
    <n v="0"/>
    <m/>
    <m/>
    <m/>
    <m/>
    <m/>
    <m/>
    <m/>
    <m/>
    <m/>
    <m/>
    <m/>
    <m/>
    <m/>
    <m/>
    <m/>
    <m/>
    <m/>
    <m/>
    <m/>
    <m/>
    <m/>
    <m/>
    <m/>
    <m/>
    <m/>
    <m/>
    <m/>
    <m/>
    <m/>
    <m/>
    <m/>
    <m/>
    <m/>
    <m/>
  </r>
  <r>
    <n v="744"/>
    <m/>
    <x v="6"/>
    <m/>
    <m/>
    <s v="9518681853-2"/>
    <s v="Stocks"/>
    <x v="4"/>
    <m/>
    <x v="2"/>
    <x v="3"/>
    <x v="3"/>
    <m/>
    <x v="1"/>
    <m/>
    <m/>
    <m/>
    <s v="East"/>
    <m/>
    <x v="2"/>
    <x v="115"/>
    <x v="39"/>
    <x v="84"/>
    <s v="PPGL C HARD Y550PL D0C9 0.50(TPT)X1220"/>
    <m/>
    <m/>
    <m/>
    <m/>
    <m/>
    <x v="3"/>
    <x v="3"/>
    <s v="D0C9"/>
    <x v="1"/>
    <x v="1"/>
    <x v="11"/>
    <m/>
    <m/>
    <m/>
    <m/>
    <m/>
    <m/>
    <m/>
    <m/>
    <m/>
    <m/>
    <m/>
    <m/>
    <m/>
    <m/>
    <m/>
    <m/>
    <m/>
    <m/>
    <m/>
    <m/>
    <m/>
    <m/>
    <m/>
    <m/>
    <m/>
    <m/>
    <m/>
    <m/>
    <m/>
    <m/>
    <n v="9.8550000000000004"/>
    <n v="0"/>
    <n v="0"/>
    <n v="0"/>
    <n v="0"/>
    <n v="0"/>
    <n v="0"/>
    <n v="9.8550000000000004"/>
    <n v="9.8550000000000004"/>
    <n v="0"/>
    <n v="0"/>
    <n v="0"/>
    <n v="0"/>
    <n v="0"/>
    <m/>
    <m/>
    <m/>
    <m/>
    <m/>
    <m/>
    <m/>
    <m/>
    <m/>
    <m/>
    <m/>
    <m/>
    <m/>
    <m/>
    <m/>
    <m/>
    <m/>
    <m/>
    <m/>
    <m/>
    <m/>
    <m/>
    <m/>
    <m/>
    <m/>
    <m/>
    <m/>
    <m/>
    <m/>
    <m/>
    <m/>
    <m/>
    <m/>
    <m/>
  </r>
  <r>
    <n v="742"/>
    <m/>
    <x v="6"/>
    <m/>
    <m/>
    <s v="9518682512-1"/>
    <s v="Stocks"/>
    <x v="4"/>
    <m/>
    <x v="1"/>
    <x v="10"/>
    <x v="3"/>
    <m/>
    <x v="1"/>
    <m/>
    <m/>
    <m/>
    <s v="South"/>
    <m/>
    <x v="2"/>
    <x v="115"/>
    <x v="90"/>
    <x v="98"/>
    <s v="CRCA SHEET TATXXD BT02 0.800X920X1805"/>
    <m/>
    <m/>
    <m/>
    <m/>
    <m/>
    <x v="2"/>
    <x v="2"/>
    <s v="BT02"/>
    <x v="5"/>
    <x v="15"/>
    <x v="11"/>
    <m/>
    <m/>
    <m/>
    <m/>
    <m/>
    <m/>
    <m/>
    <m/>
    <m/>
    <m/>
    <m/>
    <m/>
    <m/>
    <m/>
    <m/>
    <m/>
    <m/>
    <m/>
    <m/>
    <m/>
    <m/>
    <m/>
    <m/>
    <m/>
    <m/>
    <m/>
    <m/>
    <m/>
    <m/>
    <m/>
    <n v="5.0350000000000001"/>
    <n v="0"/>
    <n v="0"/>
    <n v="0"/>
    <n v="0"/>
    <n v="0"/>
    <n v="0"/>
    <n v="5.0350000000000001"/>
    <n v="5.0350000000000001"/>
    <n v="0"/>
    <n v="0"/>
    <n v="0"/>
    <n v="0"/>
    <n v="0"/>
    <m/>
    <m/>
    <m/>
    <m/>
    <m/>
    <m/>
    <m/>
    <m/>
    <m/>
    <m/>
    <m/>
    <m/>
    <m/>
    <m/>
    <m/>
    <m/>
    <m/>
    <m/>
    <m/>
    <m/>
    <m/>
    <m/>
    <m/>
    <m/>
    <m/>
    <m/>
    <m/>
    <m/>
    <m/>
    <m/>
    <m/>
    <m/>
    <m/>
    <m/>
  </r>
  <r>
    <n v="742"/>
    <m/>
    <x v="6"/>
    <m/>
    <m/>
    <s v="9518682547-1"/>
    <s v="Stocks"/>
    <x v="4"/>
    <m/>
    <x v="1"/>
    <x v="10"/>
    <x v="3"/>
    <m/>
    <x v="1"/>
    <m/>
    <m/>
    <m/>
    <s v="South"/>
    <m/>
    <x v="2"/>
    <x v="115"/>
    <x v="90"/>
    <x v="289"/>
    <s v="CRCA COIL TATXXD BT01 0.900X1320"/>
    <m/>
    <m/>
    <m/>
    <m/>
    <m/>
    <x v="1"/>
    <x v="2"/>
    <s v="BT01"/>
    <x v="13"/>
    <x v="9"/>
    <x v="11"/>
    <m/>
    <m/>
    <m/>
    <m/>
    <m/>
    <m/>
    <m/>
    <m/>
    <m/>
    <m/>
    <m/>
    <m/>
    <m/>
    <m/>
    <m/>
    <m/>
    <m/>
    <m/>
    <m/>
    <m/>
    <m/>
    <m/>
    <m/>
    <m/>
    <m/>
    <m/>
    <m/>
    <m/>
    <m/>
    <m/>
    <n v="24.195"/>
    <n v="0"/>
    <n v="0"/>
    <n v="0"/>
    <n v="0"/>
    <n v="0"/>
    <n v="0"/>
    <n v="24.195"/>
    <n v="24.195"/>
    <n v="0"/>
    <n v="0"/>
    <n v="0"/>
    <n v="0"/>
    <n v="0"/>
    <m/>
    <m/>
    <m/>
    <m/>
    <m/>
    <m/>
    <m/>
    <m/>
    <m/>
    <m/>
    <m/>
    <m/>
    <m/>
    <m/>
    <m/>
    <m/>
    <m/>
    <m/>
    <m/>
    <m/>
    <m/>
    <m/>
    <m/>
    <m/>
    <m/>
    <m/>
    <m/>
    <m/>
    <m/>
    <m/>
    <m/>
    <m/>
    <m/>
    <m/>
  </r>
  <r>
    <n v="742"/>
    <m/>
    <x v="6"/>
    <m/>
    <m/>
    <s v="9518682547-2"/>
    <s v="Stocks"/>
    <x v="4"/>
    <m/>
    <x v="1"/>
    <x v="10"/>
    <x v="3"/>
    <m/>
    <x v="1"/>
    <m/>
    <m/>
    <m/>
    <s v="South"/>
    <m/>
    <x v="2"/>
    <x v="115"/>
    <x v="90"/>
    <x v="89"/>
    <s v="CRCA COIL TATXXD BT01 1X1320"/>
    <m/>
    <m/>
    <m/>
    <m/>
    <m/>
    <x v="1"/>
    <x v="2"/>
    <s v="BT01"/>
    <x v="17"/>
    <x v="9"/>
    <x v="11"/>
    <m/>
    <m/>
    <m/>
    <m/>
    <m/>
    <m/>
    <m/>
    <m/>
    <m/>
    <m/>
    <m/>
    <m/>
    <m/>
    <m/>
    <m/>
    <m/>
    <m/>
    <m/>
    <m/>
    <m/>
    <m/>
    <m/>
    <m/>
    <m/>
    <m/>
    <m/>
    <m/>
    <m/>
    <m/>
    <m/>
    <n v="6.29"/>
    <n v="0"/>
    <n v="0"/>
    <n v="0"/>
    <n v="0"/>
    <n v="0"/>
    <n v="0"/>
    <n v="6.29"/>
    <n v="6.29"/>
    <n v="0"/>
    <n v="0"/>
    <n v="0"/>
    <n v="0"/>
    <n v="0"/>
    <m/>
    <m/>
    <m/>
    <m/>
    <m/>
    <m/>
    <m/>
    <m/>
    <m/>
    <m/>
    <m/>
    <m/>
    <m/>
    <m/>
    <m/>
    <m/>
    <m/>
    <m/>
    <m/>
    <m/>
    <m/>
    <m/>
    <m/>
    <m/>
    <m/>
    <m/>
    <m/>
    <m/>
    <m/>
    <m/>
    <m/>
    <m/>
    <m/>
    <m/>
  </r>
  <r>
    <n v="742"/>
    <m/>
    <x v="6"/>
    <m/>
    <m/>
    <s v="9518685736-1"/>
    <s v="Stocks"/>
    <x v="4"/>
    <m/>
    <x v="1"/>
    <x v="1"/>
    <x v="1"/>
    <m/>
    <x v="1"/>
    <m/>
    <m/>
    <m/>
    <s v="South"/>
    <m/>
    <x v="2"/>
    <x v="115"/>
    <x v="8"/>
    <x v="228"/>
    <s v="CRCA COIL-TATXXD-AU03-1X1250"/>
    <m/>
    <m/>
    <m/>
    <m/>
    <m/>
    <x v="1"/>
    <x v="2"/>
    <s v="AU03"/>
    <x v="17"/>
    <x v="0"/>
    <x v="11"/>
    <m/>
    <m/>
    <m/>
    <m/>
    <m/>
    <m/>
    <m/>
    <m/>
    <m/>
    <m/>
    <m/>
    <m/>
    <m/>
    <m/>
    <m/>
    <m/>
    <m/>
    <m/>
    <m/>
    <m/>
    <m/>
    <m/>
    <m/>
    <m/>
    <m/>
    <m/>
    <m/>
    <m/>
    <m/>
    <m/>
    <n v="10.5"/>
    <n v="0"/>
    <n v="0"/>
    <n v="0"/>
    <n v="0"/>
    <n v="0"/>
    <n v="0"/>
    <n v="10.5"/>
    <n v="10.5"/>
    <n v="0"/>
    <n v="0"/>
    <n v="0"/>
    <n v="0"/>
    <n v="0"/>
    <m/>
    <m/>
    <m/>
    <m/>
    <m/>
    <m/>
    <m/>
    <m/>
    <m/>
    <m/>
    <m/>
    <m/>
    <m/>
    <m/>
    <m/>
    <m/>
    <m/>
    <m/>
    <m/>
    <m/>
    <m/>
    <m/>
    <m/>
    <m/>
    <m/>
    <m/>
    <m/>
    <m/>
    <m/>
    <m/>
    <m/>
    <m/>
    <m/>
    <m/>
  </r>
  <r>
    <n v="744"/>
    <m/>
    <x v="6"/>
    <m/>
    <m/>
    <s v="9518700032-1"/>
    <s v="Stocks"/>
    <x v="4"/>
    <m/>
    <x v="2"/>
    <x v="3"/>
    <x v="3"/>
    <m/>
    <x v="1"/>
    <m/>
    <m/>
    <m/>
    <s v="East"/>
    <m/>
    <x v="2"/>
    <x v="115"/>
    <x v="39"/>
    <x v="86"/>
    <s v="PPGL C Y550 ISC6 0.45BMT(0.50TPT)X1220"/>
    <m/>
    <m/>
    <m/>
    <m/>
    <m/>
    <x v="3"/>
    <x v="3"/>
    <s v="ISC6"/>
    <x v="10"/>
    <x v="1"/>
    <x v="11"/>
    <m/>
    <m/>
    <m/>
    <m/>
    <m/>
    <m/>
    <m/>
    <m/>
    <m/>
    <m/>
    <m/>
    <m/>
    <m/>
    <m/>
    <m/>
    <m/>
    <m/>
    <m/>
    <m/>
    <m/>
    <m/>
    <m/>
    <m/>
    <m/>
    <m/>
    <m/>
    <m/>
    <m/>
    <m/>
    <m/>
    <n v="9.5399999999999991"/>
    <n v="0"/>
    <n v="0"/>
    <n v="0"/>
    <n v="0"/>
    <n v="0"/>
    <n v="0"/>
    <n v="9.5399999999999991"/>
    <n v="9.5399999999999991"/>
    <n v="0"/>
    <n v="0"/>
    <n v="0"/>
    <n v="0"/>
    <n v="0"/>
    <m/>
    <m/>
    <m/>
    <m/>
    <m/>
    <m/>
    <m/>
    <m/>
    <m/>
    <m/>
    <m/>
    <m/>
    <m/>
    <m/>
    <m/>
    <m/>
    <m/>
    <m/>
    <m/>
    <m/>
    <m/>
    <m/>
    <m/>
    <m/>
    <m/>
    <m/>
    <m/>
    <m/>
    <m/>
    <m/>
    <m/>
    <m/>
    <m/>
    <m/>
  </r>
  <r>
    <n v="744"/>
    <m/>
    <x v="6"/>
    <m/>
    <m/>
    <s v="9518700032-3"/>
    <s v="Stocks"/>
    <x v="4"/>
    <m/>
    <x v="2"/>
    <x v="3"/>
    <x v="3"/>
    <m/>
    <x v="1"/>
    <m/>
    <m/>
    <m/>
    <s v="East"/>
    <m/>
    <x v="2"/>
    <x v="115"/>
    <x v="39"/>
    <x v="86"/>
    <s v="PPGL C Y550 ISC6 0.45BMT(0.50TPT)X1220"/>
    <m/>
    <m/>
    <m/>
    <m/>
    <m/>
    <x v="3"/>
    <x v="3"/>
    <s v="ISC6"/>
    <x v="10"/>
    <x v="1"/>
    <x v="11"/>
    <m/>
    <m/>
    <m/>
    <m/>
    <m/>
    <m/>
    <m/>
    <m/>
    <m/>
    <m/>
    <m/>
    <m/>
    <m/>
    <m/>
    <m/>
    <m/>
    <m/>
    <m/>
    <m/>
    <m/>
    <m/>
    <m/>
    <m/>
    <m/>
    <m/>
    <m/>
    <m/>
    <m/>
    <m/>
    <m/>
    <n v="3.3149999999999999"/>
    <n v="0"/>
    <n v="0"/>
    <n v="0"/>
    <n v="0"/>
    <n v="0"/>
    <n v="0"/>
    <n v="3.3149999999999999"/>
    <n v="3.3149999999999999"/>
    <n v="0"/>
    <n v="0"/>
    <n v="0"/>
    <n v="0"/>
    <n v="0"/>
    <m/>
    <m/>
    <m/>
    <m/>
    <m/>
    <m/>
    <m/>
    <m/>
    <m/>
    <m/>
    <m/>
    <m/>
    <m/>
    <m/>
    <m/>
    <m/>
    <m/>
    <m/>
    <m/>
    <m/>
    <m/>
    <m/>
    <m/>
    <m/>
    <m/>
    <m/>
    <m/>
    <m/>
    <m/>
    <m/>
    <m/>
    <m/>
    <m/>
    <m/>
  </r>
  <r>
    <n v="742"/>
    <m/>
    <x v="6"/>
    <m/>
    <m/>
    <s v="9518703160-1"/>
    <s v="Stocks"/>
    <x v="4"/>
    <m/>
    <x v="1"/>
    <x v="2"/>
    <x v="1"/>
    <m/>
    <x v="1"/>
    <m/>
    <m/>
    <m/>
    <s v="East"/>
    <m/>
    <x v="2"/>
    <x v="115"/>
    <x v="24"/>
    <x v="539"/>
    <s v="CRCA SHEET TSBCRC SR15 0.500X900X2500"/>
    <m/>
    <m/>
    <m/>
    <m/>
    <m/>
    <x v="2"/>
    <x v="4"/>
    <s v="SR15"/>
    <x v="1"/>
    <x v="3"/>
    <x v="11"/>
    <m/>
    <m/>
    <m/>
    <m/>
    <m/>
    <m/>
    <m/>
    <m/>
    <m/>
    <m/>
    <m/>
    <m/>
    <m/>
    <m/>
    <m/>
    <m/>
    <m/>
    <m/>
    <m/>
    <m/>
    <m/>
    <m/>
    <m/>
    <m/>
    <m/>
    <m/>
    <m/>
    <m/>
    <m/>
    <m/>
    <n v="13.365"/>
    <n v="0"/>
    <n v="0"/>
    <n v="0"/>
    <n v="0"/>
    <n v="0"/>
    <n v="0"/>
    <n v="13.365"/>
    <n v="13.365"/>
    <n v="0"/>
    <n v="0"/>
    <n v="0"/>
    <n v="0"/>
    <n v="0"/>
    <m/>
    <m/>
    <m/>
    <m/>
    <m/>
    <m/>
    <m/>
    <m/>
    <m/>
    <m/>
    <m/>
    <m/>
    <m/>
    <m/>
    <m/>
    <m/>
    <m/>
    <m/>
    <m/>
    <m/>
    <m/>
    <m/>
    <m/>
    <m/>
    <m/>
    <m/>
    <m/>
    <m/>
    <m/>
    <m/>
    <m/>
    <m/>
    <m/>
    <m/>
  </r>
  <r>
    <n v="742"/>
    <m/>
    <x v="0"/>
    <m/>
    <m/>
    <s v="9518713816-5"/>
    <s v="Stocks"/>
    <x v="4"/>
    <m/>
    <x v="1"/>
    <x v="1"/>
    <x v="1"/>
    <m/>
    <x v="1"/>
    <m/>
    <m/>
    <m/>
    <s v="South"/>
    <m/>
    <x v="2"/>
    <x v="115"/>
    <x v="13"/>
    <x v="69"/>
    <s v="CRCA COIL TATXXD AU03 1.500X1250"/>
    <m/>
    <m/>
    <m/>
    <m/>
    <m/>
    <x v="1"/>
    <x v="2"/>
    <s v="AU03"/>
    <x v="27"/>
    <x v="0"/>
    <x v="11"/>
    <m/>
    <m/>
    <m/>
    <m/>
    <m/>
    <m/>
    <m/>
    <m/>
    <m/>
    <m/>
    <m/>
    <m/>
    <m/>
    <m/>
    <m/>
    <m/>
    <m/>
    <m/>
    <m/>
    <m/>
    <m/>
    <m/>
    <m/>
    <m/>
    <m/>
    <m/>
    <m/>
    <m/>
    <m/>
    <m/>
    <n v="9.6950000000000003"/>
    <n v="0"/>
    <n v="0"/>
    <n v="0"/>
    <n v="0"/>
    <n v="0"/>
    <n v="0"/>
    <n v="9.6950000000000003"/>
    <n v="9.6950000000000003"/>
    <n v="0"/>
    <n v="0"/>
    <n v="0"/>
    <n v="0"/>
    <n v="0"/>
    <m/>
    <m/>
    <m/>
    <m/>
    <m/>
    <m/>
    <m/>
    <m/>
    <m/>
    <m/>
    <m/>
    <m/>
    <m/>
    <m/>
    <m/>
    <m/>
    <m/>
    <m/>
    <m/>
    <m/>
    <m/>
    <m/>
    <m/>
    <m/>
    <m/>
    <m/>
    <m/>
    <m/>
    <m/>
    <m/>
    <m/>
    <m/>
    <m/>
    <m/>
  </r>
  <r>
    <n v="742"/>
    <m/>
    <x v="6"/>
    <m/>
    <m/>
    <s v="9518717040-22"/>
    <s v="Stocks"/>
    <x v="4"/>
    <m/>
    <x v="1"/>
    <x v="2"/>
    <x v="1"/>
    <m/>
    <x v="1"/>
    <m/>
    <m/>
    <m/>
    <s v="East"/>
    <m/>
    <x v="2"/>
    <x v="115"/>
    <x v="19"/>
    <x v="42"/>
    <s v="CRCA SHEET TSBCRC SR15 0.600X1250X2500"/>
    <m/>
    <m/>
    <m/>
    <m/>
    <m/>
    <x v="2"/>
    <x v="4"/>
    <s v="SR15"/>
    <x v="20"/>
    <x v="0"/>
    <x v="11"/>
    <m/>
    <m/>
    <m/>
    <m/>
    <m/>
    <m/>
    <m/>
    <m/>
    <m/>
    <m/>
    <m/>
    <m/>
    <m/>
    <m/>
    <m/>
    <m/>
    <m/>
    <m/>
    <m/>
    <m/>
    <m/>
    <m/>
    <m/>
    <m/>
    <m/>
    <m/>
    <m/>
    <m/>
    <m/>
    <m/>
    <n v="2.7"/>
    <n v="0"/>
    <n v="0"/>
    <n v="0"/>
    <n v="0"/>
    <n v="0"/>
    <n v="0"/>
    <n v="2.7"/>
    <n v="2.7"/>
    <n v="0"/>
    <n v="0"/>
    <n v="0"/>
    <n v="0"/>
    <n v="0"/>
    <m/>
    <m/>
    <m/>
    <m/>
    <m/>
    <m/>
    <m/>
    <m/>
    <m/>
    <m/>
    <m/>
    <m/>
    <m/>
    <m/>
    <m/>
    <m/>
    <m/>
    <m/>
    <m/>
    <m/>
    <m/>
    <m/>
    <m/>
    <m/>
    <m/>
    <m/>
    <m/>
    <m/>
    <m/>
    <m/>
    <m/>
    <m/>
    <m/>
    <m/>
  </r>
  <r>
    <n v="742"/>
    <m/>
    <x v="6"/>
    <m/>
    <m/>
    <s v="9518717040-3"/>
    <s v="Stocks"/>
    <x v="4"/>
    <m/>
    <x v="1"/>
    <x v="1"/>
    <x v="1"/>
    <m/>
    <x v="1"/>
    <m/>
    <m/>
    <m/>
    <s v="East"/>
    <m/>
    <x v="2"/>
    <x v="115"/>
    <x v="19"/>
    <x v="287"/>
    <s v="CRSHEET C06TATXXD AU03 2.0X1250X2500"/>
    <m/>
    <m/>
    <m/>
    <m/>
    <m/>
    <x v="2"/>
    <x v="2"/>
    <s v="AU03"/>
    <x v="15"/>
    <x v="0"/>
    <x v="11"/>
    <m/>
    <m/>
    <m/>
    <m/>
    <m/>
    <m/>
    <m/>
    <m/>
    <m/>
    <m/>
    <m/>
    <m/>
    <m/>
    <m/>
    <m/>
    <m/>
    <m/>
    <m/>
    <m/>
    <m/>
    <m/>
    <m/>
    <m/>
    <m/>
    <m/>
    <m/>
    <m/>
    <m/>
    <m/>
    <m/>
    <n v="2.93"/>
    <n v="0"/>
    <n v="0"/>
    <n v="0"/>
    <n v="0"/>
    <n v="0"/>
    <n v="0"/>
    <n v="2.93"/>
    <n v="2.93"/>
    <n v="0"/>
    <n v="0"/>
    <n v="0"/>
    <n v="0"/>
    <n v="0"/>
    <m/>
    <m/>
    <m/>
    <m/>
    <m/>
    <m/>
    <m/>
    <m/>
    <m/>
    <m/>
    <m/>
    <m/>
    <m/>
    <m/>
    <m/>
    <m/>
    <m/>
    <m/>
    <m/>
    <m/>
    <m/>
    <m/>
    <m/>
    <m/>
    <m/>
    <m/>
    <m/>
    <m/>
    <m/>
    <m/>
    <m/>
    <m/>
    <m/>
    <m/>
  </r>
  <r>
    <n v="742"/>
    <m/>
    <x v="6"/>
    <m/>
    <m/>
    <s v="9518717040-6"/>
    <s v="Stocks"/>
    <x v="4"/>
    <m/>
    <x v="1"/>
    <x v="1"/>
    <x v="1"/>
    <m/>
    <x v="1"/>
    <m/>
    <m/>
    <m/>
    <s v="East"/>
    <m/>
    <x v="2"/>
    <x v="115"/>
    <x v="19"/>
    <x v="537"/>
    <s v="CRCA SHEET TATXXD AU03 0.750X1250X2500"/>
    <m/>
    <m/>
    <m/>
    <m/>
    <m/>
    <x v="2"/>
    <x v="2"/>
    <s v="AU03"/>
    <x v="28"/>
    <x v="0"/>
    <x v="11"/>
    <m/>
    <m/>
    <m/>
    <m/>
    <m/>
    <m/>
    <m/>
    <m/>
    <m/>
    <m/>
    <m/>
    <m/>
    <m/>
    <m/>
    <m/>
    <m/>
    <m/>
    <m/>
    <m/>
    <m/>
    <m/>
    <m/>
    <m/>
    <m/>
    <m/>
    <m/>
    <m/>
    <m/>
    <m/>
    <m/>
    <n v="2.895"/>
    <n v="0"/>
    <n v="0"/>
    <n v="0"/>
    <n v="0"/>
    <n v="0"/>
    <n v="0"/>
    <n v="2.895"/>
    <n v="2.895"/>
    <n v="0"/>
    <n v="0"/>
    <n v="0"/>
    <n v="0"/>
    <n v="0"/>
    <m/>
    <m/>
    <m/>
    <m/>
    <m/>
    <m/>
    <m/>
    <m/>
    <m/>
    <m/>
    <m/>
    <m/>
    <m/>
    <m/>
    <m/>
    <m/>
    <m/>
    <m/>
    <m/>
    <m/>
    <m/>
    <m/>
    <m/>
    <m/>
    <m/>
    <m/>
    <m/>
    <m/>
    <m/>
    <m/>
    <m/>
    <m/>
    <m/>
    <m/>
  </r>
  <r>
    <n v="743"/>
    <m/>
    <x v="6"/>
    <m/>
    <m/>
    <s v="9518717476-13"/>
    <s v="Stocks"/>
    <x v="4"/>
    <m/>
    <x v="3"/>
    <x v="9"/>
    <x v="1"/>
    <m/>
    <x v="1"/>
    <m/>
    <m/>
    <m/>
    <s v="East"/>
    <m/>
    <x v="2"/>
    <x v="115"/>
    <x v="19"/>
    <x v="397"/>
    <s v="GP SH SOFT TATXGP GK09 0.400X900X2500"/>
    <m/>
    <m/>
    <m/>
    <m/>
    <m/>
    <x v="10"/>
    <x v="5"/>
    <s v="GK09"/>
    <x v="2"/>
    <x v="3"/>
    <x v="11"/>
    <m/>
    <m/>
    <m/>
    <m/>
    <m/>
    <m/>
    <m/>
    <m/>
    <m/>
    <m/>
    <m/>
    <m/>
    <m/>
    <m/>
    <m/>
    <m/>
    <m/>
    <m/>
    <m/>
    <m/>
    <m/>
    <m/>
    <m/>
    <m/>
    <m/>
    <m/>
    <m/>
    <m/>
    <m/>
    <m/>
    <n v="3.16"/>
    <n v="0"/>
    <n v="0"/>
    <n v="0"/>
    <n v="0"/>
    <n v="0"/>
    <n v="0"/>
    <n v="3.16"/>
    <n v="3.16"/>
    <n v="0"/>
    <n v="0"/>
    <n v="0"/>
    <n v="0"/>
    <n v="0"/>
    <m/>
    <m/>
    <m/>
    <m/>
    <m/>
    <m/>
    <m/>
    <m/>
    <m/>
    <m/>
    <m/>
    <m/>
    <m/>
    <m/>
    <m/>
    <m/>
    <m/>
    <m/>
    <m/>
    <m/>
    <m/>
    <m/>
    <m/>
    <m/>
    <m/>
    <m/>
    <m/>
    <m/>
    <m/>
    <m/>
    <m/>
    <m/>
    <m/>
    <m/>
  </r>
  <r>
    <n v="743"/>
    <m/>
    <x v="6"/>
    <m/>
    <m/>
    <s v="9518717476-18"/>
    <s v="Stocks"/>
    <x v="4"/>
    <m/>
    <x v="3"/>
    <x v="9"/>
    <x v="1"/>
    <m/>
    <x v="1"/>
    <m/>
    <m/>
    <m/>
    <s v="East"/>
    <m/>
    <x v="2"/>
    <x v="115"/>
    <x v="19"/>
    <x v="520"/>
    <s v="GP SHEET SOFT-TATXGP-GK09-0.35X900"/>
    <m/>
    <m/>
    <m/>
    <m/>
    <m/>
    <x v="10"/>
    <x v="5"/>
    <s v="GK09"/>
    <x v="6"/>
    <x v="3"/>
    <x v="11"/>
    <m/>
    <m/>
    <m/>
    <m/>
    <m/>
    <m/>
    <m/>
    <m/>
    <m/>
    <m/>
    <m/>
    <m/>
    <m/>
    <m/>
    <m/>
    <m/>
    <m/>
    <m/>
    <m/>
    <m/>
    <m/>
    <m/>
    <m/>
    <m/>
    <m/>
    <m/>
    <m/>
    <m/>
    <m/>
    <m/>
    <n v="2.6150000000000002"/>
    <n v="0"/>
    <n v="0"/>
    <n v="0"/>
    <n v="0"/>
    <n v="0"/>
    <n v="0"/>
    <n v="2.6150000000000002"/>
    <n v="2.6150000000000002"/>
    <n v="0"/>
    <n v="0"/>
    <n v="0"/>
    <n v="0"/>
    <n v="0"/>
    <m/>
    <m/>
    <m/>
    <m/>
    <m/>
    <m/>
    <m/>
    <m/>
    <m/>
    <m/>
    <m/>
    <m/>
    <m/>
    <m/>
    <m/>
    <m/>
    <m/>
    <m/>
    <m/>
    <m/>
    <m/>
    <m/>
    <m/>
    <m/>
    <m/>
    <m/>
    <m/>
    <m/>
    <m/>
    <m/>
    <m/>
    <m/>
    <m/>
    <m/>
  </r>
  <r>
    <n v="743"/>
    <m/>
    <x v="6"/>
    <m/>
    <m/>
    <s v="9518717476-20"/>
    <s v="Stocks"/>
    <x v="4"/>
    <m/>
    <x v="3"/>
    <x v="9"/>
    <x v="1"/>
    <m/>
    <x v="1"/>
    <m/>
    <m/>
    <m/>
    <s v="East"/>
    <m/>
    <x v="2"/>
    <x v="115"/>
    <x v="19"/>
    <x v="520"/>
    <s v="GP SHEET SOFT-TATXGP-GK09-0.35X900"/>
    <m/>
    <m/>
    <m/>
    <m/>
    <m/>
    <x v="10"/>
    <x v="5"/>
    <s v="GK09"/>
    <x v="6"/>
    <x v="3"/>
    <x v="11"/>
    <m/>
    <m/>
    <m/>
    <m/>
    <m/>
    <m/>
    <m/>
    <m/>
    <m/>
    <m/>
    <m/>
    <m/>
    <m/>
    <m/>
    <m/>
    <m/>
    <m/>
    <m/>
    <m/>
    <m/>
    <m/>
    <m/>
    <m/>
    <m/>
    <m/>
    <m/>
    <m/>
    <m/>
    <m/>
    <m/>
    <n v="3.2450000000000001"/>
    <n v="0"/>
    <n v="0"/>
    <n v="0"/>
    <n v="0"/>
    <n v="0"/>
    <n v="0"/>
    <n v="3.2450000000000001"/>
    <n v="3.2450000000000001"/>
    <n v="0"/>
    <n v="0"/>
    <n v="0"/>
    <n v="0"/>
    <n v="0"/>
    <m/>
    <m/>
    <m/>
    <m/>
    <m/>
    <m/>
    <m/>
    <m/>
    <m/>
    <m/>
    <m/>
    <m/>
    <m/>
    <m/>
    <m/>
    <m/>
    <m/>
    <m/>
    <m/>
    <m/>
    <m/>
    <m/>
    <m/>
    <m/>
    <m/>
    <m/>
    <m/>
    <m/>
    <m/>
    <m/>
    <m/>
    <m/>
    <m/>
    <m/>
  </r>
  <r>
    <n v="743"/>
    <m/>
    <x v="6"/>
    <m/>
    <m/>
    <s v="9518717476-21"/>
    <s v="Stocks"/>
    <x v="4"/>
    <m/>
    <x v="3"/>
    <x v="9"/>
    <x v="1"/>
    <m/>
    <x v="1"/>
    <m/>
    <m/>
    <m/>
    <s v="East"/>
    <m/>
    <x v="2"/>
    <x v="115"/>
    <x v="19"/>
    <x v="520"/>
    <s v="GP SHEET SOFT-TATXGP-GK09-0.35X900"/>
    <m/>
    <m/>
    <m/>
    <m/>
    <m/>
    <x v="10"/>
    <x v="5"/>
    <s v="GK09"/>
    <x v="6"/>
    <x v="3"/>
    <x v="11"/>
    <m/>
    <m/>
    <m/>
    <m/>
    <m/>
    <m/>
    <m/>
    <m/>
    <m/>
    <m/>
    <m/>
    <m/>
    <m/>
    <m/>
    <m/>
    <m/>
    <m/>
    <m/>
    <m/>
    <m/>
    <m/>
    <m/>
    <m/>
    <m/>
    <m/>
    <m/>
    <m/>
    <m/>
    <m/>
    <m/>
    <n v="3.25"/>
    <n v="0"/>
    <n v="0"/>
    <n v="0"/>
    <n v="0"/>
    <n v="0"/>
    <n v="0"/>
    <n v="3.25"/>
    <n v="3.25"/>
    <n v="0"/>
    <n v="0"/>
    <n v="0"/>
    <n v="0"/>
    <n v="0"/>
    <m/>
    <m/>
    <m/>
    <m/>
    <m/>
    <m/>
    <m/>
    <m/>
    <m/>
    <m/>
    <m/>
    <m/>
    <m/>
    <m/>
    <m/>
    <m/>
    <m/>
    <m/>
    <m/>
    <m/>
    <m/>
    <m/>
    <m/>
    <m/>
    <m/>
    <m/>
    <m/>
    <m/>
    <m/>
    <m/>
    <m/>
    <m/>
    <m/>
    <m/>
  </r>
  <r>
    <n v="743"/>
    <m/>
    <x v="6"/>
    <m/>
    <m/>
    <s v="9518717476-4"/>
    <s v="Stocks"/>
    <x v="4"/>
    <m/>
    <x v="3"/>
    <x v="9"/>
    <x v="1"/>
    <m/>
    <x v="1"/>
    <m/>
    <m/>
    <m/>
    <s v="East"/>
    <m/>
    <x v="2"/>
    <x v="115"/>
    <x v="19"/>
    <x v="62"/>
    <s v="GP COIL SOFT-TATXGP-GK09-0.6X900"/>
    <m/>
    <m/>
    <m/>
    <m/>
    <m/>
    <x v="7"/>
    <x v="5"/>
    <s v="GK09"/>
    <x v="20"/>
    <x v="3"/>
    <x v="11"/>
    <m/>
    <m/>
    <m/>
    <m/>
    <m/>
    <m/>
    <m/>
    <m/>
    <m/>
    <m/>
    <m/>
    <m/>
    <m/>
    <m/>
    <m/>
    <m/>
    <m/>
    <m/>
    <m/>
    <m/>
    <m/>
    <m/>
    <m/>
    <m/>
    <m/>
    <m/>
    <m/>
    <m/>
    <m/>
    <m/>
    <n v="8.43"/>
    <n v="0"/>
    <n v="0"/>
    <n v="0"/>
    <n v="0"/>
    <n v="0"/>
    <n v="0"/>
    <n v="8.43"/>
    <n v="8.43"/>
    <n v="0"/>
    <n v="0"/>
    <n v="0"/>
    <n v="0"/>
    <n v="0"/>
    <m/>
    <m/>
    <m/>
    <m/>
    <m/>
    <m/>
    <m/>
    <m/>
    <m/>
    <m/>
    <m/>
    <m/>
    <m/>
    <m/>
    <m/>
    <m/>
    <m/>
    <m/>
    <m/>
    <m/>
    <m/>
    <m/>
    <m/>
    <m/>
    <m/>
    <m/>
    <m/>
    <m/>
    <m/>
    <m/>
    <m/>
    <m/>
    <m/>
    <m/>
  </r>
  <r>
    <n v="743"/>
    <m/>
    <x v="6"/>
    <m/>
    <m/>
    <s v="9518717476-5"/>
    <s v="Stocks"/>
    <x v="4"/>
    <m/>
    <x v="3"/>
    <x v="9"/>
    <x v="1"/>
    <m/>
    <x v="1"/>
    <m/>
    <m/>
    <m/>
    <s v="East"/>
    <m/>
    <x v="2"/>
    <x v="115"/>
    <x v="19"/>
    <x v="62"/>
    <s v="GP COIL SOFT-TATXGP-GK09-0.6X900"/>
    <m/>
    <m/>
    <m/>
    <m/>
    <m/>
    <x v="7"/>
    <x v="5"/>
    <s v="GK09"/>
    <x v="20"/>
    <x v="3"/>
    <x v="11"/>
    <m/>
    <m/>
    <m/>
    <m/>
    <m/>
    <m/>
    <m/>
    <m/>
    <m/>
    <m/>
    <m/>
    <m/>
    <m/>
    <m/>
    <m/>
    <m/>
    <m/>
    <m/>
    <m/>
    <m/>
    <m/>
    <m/>
    <m/>
    <m/>
    <m/>
    <m/>
    <m/>
    <m/>
    <m/>
    <m/>
    <n v="9.6349999999999998"/>
    <n v="0"/>
    <n v="0"/>
    <n v="0"/>
    <n v="0"/>
    <n v="0"/>
    <n v="0"/>
    <n v="9.6349999999999998"/>
    <n v="9.6349999999999998"/>
    <n v="0"/>
    <n v="0"/>
    <n v="0"/>
    <n v="0"/>
    <n v="0"/>
    <m/>
    <m/>
    <m/>
    <m/>
    <m/>
    <m/>
    <m/>
    <m/>
    <m/>
    <m/>
    <m/>
    <m/>
    <m/>
    <m/>
    <m/>
    <m/>
    <m/>
    <m/>
    <m/>
    <m/>
    <m/>
    <m/>
    <m/>
    <m/>
    <m/>
    <m/>
    <m/>
    <m/>
    <m/>
    <m/>
    <m/>
    <m/>
    <m/>
    <m/>
  </r>
  <r>
    <n v="743"/>
    <m/>
    <x v="6"/>
    <m/>
    <m/>
    <s v="9518717476-7"/>
    <s v="Stocks"/>
    <x v="4"/>
    <m/>
    <x v="3"/>
    <x v="9"/>
    <x v="1"/>
    <m/>
    <x v="1"/>
    <m/>
    <m/>
    <m/>
    <s v="East"/>
    <m/>
    <x v="2"/>
    <x v="115"/>
    <x v="19"/>
    <x v="62"/>
    <s v="GP COIL SOFT-TATXGP-GK09-0.6X900"/>
    <m/>
    <m/>
    <m/>
    <m/>
    <m/>
    <x v="7"/>
    <x v="5"/>
    <s v="GK09"/>
    <x v="20"/>
    <x v="3"/>
    <x v="11"/>
    <m/>
    <m/>
    <m/>
    <m/>
    <m/>
    <m/>
    <m/>
    <m/>
    <m/>
    <m/>
    <m/>
    <m/>
    <m/>
    <m/>
    <m/>
    <m/>
    <m/>
    <m/>
    <m/>
    <m/>
    <m/>
    <m/>
    <m/>
    <m/>
    <m/>
    <m/>
    <m/>
    <m/>
    <m/>
    <m/>
    <n v="9.52"/>
    <n v="0"/>
    <n v="0"/>
    <n v="0"/>
    <n v="0"/>
    <n v="0"/>
    <n v="0"/>
    <n v="9.52"/>
    <n v="9.52"/>
    <n v="0"/>
    <n v="0"/>
    <n v="0"/>
    <n v="0"/>
    <n v="0"/>
    <m/>
    <m/>
    <m/>
    <m/>
    <m/>
    <m/>
    <m/>
    <m/>
    <m/>
    <m/>
    <m/>
    <m/>
    <m/>
    <m/>
    <m/>
    <m/>
    <m/>
    <m/>
    <m/>
    <m/>
    <m/>
    <m/>
    <m/>
    <m/>
    <m/>
    <m/>
    <m/>
    <m/>
    <m/>
    <m/>
    <m/>
    <m/>
    <m/>
    <m/>
  </r>
  <r>
    <n v="743"/>
    <m/>
    <x v="6"/>
    <m/>
    <m/>
    <s v="9518717476-8"/>
    <s v="Stocks"/>
    <x v="4"/>
    <m/>
    <x v="3"/>
    <x v="9"/>
    <x v="1"/>
    <m/>
    <x v="1"/>
    <m/>
    <m/>
    <m/>
    <s v="East"/>
    <m/>
    <x v="2"/>
    <x v="115"/>
    <x v="19"/>
    <x v="62"/>
    <s v="GP COIL SOFT-TATXGP-GK09-0.6X900"/>
    <m/>
    <m/>
    <m/>
    <m/>
    <m/>
    <x v="7"/>
    <x v="5"/>
    <s v="GK09"/>
    <x v="20"/>
    <x v="3"/>
    <x v="11"/>
    <m/>
    <m/>
    <m/>
    <m/>
    <m/>
    <m/>
    <m/>
    <m/>
    <m/>
    <m/>
    <m/>
    <m/>
    <m/>
    <m/>
    <m/>
    <m/>
    <m/>
    <m/>
    <m/>
    <m/>
    <m/>
    <m/>
    <m/>
    <m/>
    <m/>
    <m/>
    <m/>
    <m/>
    <m/>
    <m/>
    <n v="9.5150000000000006"/>
    <n v="0"/>
    <n v="0"/>
    <n v="0"/>
    <n v="0"/>
    <n v="0"/>
    <n v="0"/>
    <n v="9.5150000000000006"/>
    <n v="9.5150000000000006"/>
    <n v="0"/>
    <n v="0"/>
    <n v="0"/>
    <n v="0"/>
    <n v="0"/>
    <m/>
    <m/>
    <m/>
    <m/>
    <m/>
    <m/>
    <m/>
    <m/>
    <m/>
    <m/>
    <m/>
    <m/>
    <m/>
    <m/>
    <m/>
    <m/>
    <m/>
    <m/>
    <m/>
    <m/>
    <m/>
    <m/>
    <m/>
    <m/>
    <m/>
    <m/>
    <m/>
    <m/>
    <m/>
    <m/>
    <m/>
    <m/>
    <m/>
    <m/>
  </r>
  <r>
    <n v="742"/>
    <m/>
    <x v="6"/>
    <m/>
    <m/>
    <s v="9518719583-1"/>
    <s v="Stocks"/>
    <x v="4"/>
    <m/>
    <x v="1"/>
    <x v="2"/>
    <x v="1"/>
    <m/>
    <x v="1"/>
    <m/>
    <m/>
    <m/>
    <s v="East"/>
    <m/>
    <x v="2"/>
    <x v="115"/>
    <x v="24"/>
    <x v="182"/>
    <s v="CRCA SHEET TSBCRC SR15 1.200X1250X2500"/>
    <m/>
    <m/>
    <m/>
    <m/>
    <m/>
    <x v="2"/>
    <x v="4"/>
    <s v="SR15"/>
    <x v="19"/>
    <x v="0"/>
    <x v="11"/>
    <m/>
    <m/>
    <m/>
    <m/>
    <m/>
    <m/>
    <m/>
    <m/>
    <m/>
    <m/>
    <m/>
    <m/>
    <m/>
    <m/>
    <m/>
    <m/>
    <m/>
    <m/>
    <m/>
    <m/>
    <m/>
    <m/>
    <m/>
    <m/>
    <m/>
    <m/>
    <m/>
    <m/>
    <m/>
    <m/>
    <n v="2.7450000000000001"/>
    <n v="0"/>
    <n v="0"/>
    <n v="0"/>
    <n v="0"/>
    <n v="0"/>
    <n v="0"/>
    <n v="2.7450000000000001"/>
    <n v="2.7450000000000001"/>
    <n v="0"/>
    <n v="0"/>
    <n v="0"/>
    <n v="0"/>
    <n v="0"/>
    <m/>
    <m/>
    <m/>
    <m/>
    <m/>
    <m/>
    <m/>
    <m/>
    <m/>
    <m/>
    <m/>
    <m/>
    <m/>
    <m/>
    <m/>
    <m/>
    <m/>
    <m/>
    <m/>
    <m/>
    <m/>
    <m/>
    <m/>
    <m/>
    <m/>
    <m/>
    <m/>
    <m/>
    <m/>
    <m/>
    <m/>
    <m/>
    <m/>
    <m/>
  </r>
  <r>
    <n v="742"/>
    <m/>
    <x v="6"/>
    <m/>
    <m/>
    <s v="9518719583-2"/>
    <s v="Stocks"/>
    <x v="4"/>
    <m/>
    <x v="1"/>
    <x v="2"/>
    <x v="1"/>
    <m/>
    <x v="1"/>
    <m/>
    <m/>
    <m/>
    <s v="East"/>
    <m/>
    <x v="2"/>
    <x v="115"/>
    <x v="24"/>
    <x v="209"/>
    <s v="CRCA SHEET TSBCRC SR15 1.200X1250X2500"/>
    <m/>
    <m/>
    <m/>
    <m/>
    <m/>
    <x v="2"/>
    <x v="4"/>
    <s v="SR15"/>
    <x v="19"/>
    <x v="0"/>
    <x v="11"/>
    <m/>
    <m/>
    <m/>
    <m/>
    <m/>
    <m/>
    <m/>
    <m/>
    <m/>
    <m/>
    <m/>
    <m/>
    <m/>
    <m/>
    <m/>
    <m/>
    <m/>
    <m/>
    <m/>
    <m/>
    <m/>
    <m/>
    <m/>
    <m/>
    <m/>
    <m/>
    <m/>
    <m/>
    <m/>
    <m/>
    <n v="2.76"/>
    <n v="0"/>
    <n v="0"/>
    <n v="0"/>
    <n v="0"/>
    <n v="0"/>
    <n v="0"/>
    <n v="2.76"/>
    <n v="2.76"/>
    <n v="0"/>
    <n v="0"/>
    <n v="0"/>
    <n v="0"/>
    <n v="0"/>
    <m/>
    <m/>
    <m/>
    <m/>
    <m/>
    <m/>
    <m/>
    <m/>
    <m/>
    <m/>
    <m/>
    <m/>
    <m/>
    <m/>
    <m/>
    <m/>
    <m/>
    <m/>
    <m/>
    <m/>
    <m/>
    <m/>
    <m/>
    <m/>
    <m/>
    <m/>
    <m/>
    <m/>
    <m/>
    <m/>
    <m/>
    <m/>
    <m/>
    <m/>
  </r>
  <r>
    <n v="742"/>
    <m/>
    <x v="6"/>
    <m/>
    <m/>
    <s v="9518729536-1"/>
    <s v="Stocks"/>
    <x v="4"/>
    <m/>
    <x v="1"/>
    <x v="1"/>
    <x v="1"/>
    <m/>
    <x v="1"/>
    <m/>
    <m/>
    <m/>
    <s v="South"/>
    <m/>
    <x v="2"/>
    <x v="115"/>
    <x v="79"/>
    <x v="1"/>
    <s v="CRCA COIL TATCRC TR15 0.5X1250"/>
    <m/>
    <m/>
    <m/>
    <m/>
    <m/>
    <x v="1"/>
    <x v="1"/>
    <s v="TR15"/>
    <x v="1"/>
    <x v="0"/>
    <x v="11"/>
    <m/>
    <m/>
    <m/>
    <m/>
    <m/>
    <m/>
    <m/>
    <m/>
    <m/>
    <m/>
    <m/>
    <m/>
    <m/>
    <m/>
    <m/>
    <m/>
    <m/>
    <m/>
    <m/>
    <m/>
    <m/>
    <m/>
    <m/>
    <m/>
    <m/>
    <m/>
    <m/>
    <m/>
    <m/>
    <m/>
    <n v="21.954999999999998"/>
    <n v="0"/>
    <n v="0"/>
    <n v="0"/>
    <n v="0"/>
    <n v="0"/>
    <n v="0"/>
    <n v="21.954999999999998"/>
    <n v="21.954999999999998"/>
    <n v="0"/>
    <n v="0"/>
    <n v="0"/>
    <n v="0"/>
    <n v="0"/>
    <m/>
    <m/>
    <m/>
    <m/>
    <m/>
    <m/>
    <m/>
    <m/>
    <m/>
    <m/>
    <m/>
    <m/>
    <m/>
    <m/>
    <m/>
    <m/>
    <m/>
    <m/>
    <m/>
    <m/>
    <m/>
    <m/>
    <m/>
    <m/>
    <m/>
    <m/>
    <m/>
    <m/>
    <m/>
    <m/>
    <m/>
    <m/>
    <m/>
    <m/>
  </r>
  <r>
    <n v="743"/>
    <m/>
    <x v="6"/>
    <m/>
    <m/>
    <s v="9518731172-2"/>
    <s v="Stocks"/>
    <x v="4"/>
    <m/>
    <x v="3"/>
    <x v="0"/>
    <x v="1"/>
    <m/>
    <x v="1"/>
    <m/>
    <m/>
    <m/>
    <s v="North"/>
    <m/>
    <x v="2"/>
    <x v="115"/>
    <x v="72"/>
    <x v="184"/>
    <s v="GP COIL XXXGPH GPH3 0.350X900"/>
    <m/>
    <m/>
    <m/>
    <m/>
    <m/>
    <x v="4"/>
    <x v="16"/>
    <s v="GPH3"/>
    <x v="6"/>
    <x v="3"/>
    <x v="11"/>
    <m/>
    <m/>
    <m/>
    <m/>
    <m/>
    <m/>
    <m/>
    <m/>
    <m/>
    <m/>
    <m/>
    <m/>
    <m/>
    <m/>
    <m/>
    <m/>
    <m/>
    <m/>
    <m/>
    <m/>
    <m/>
    <m/>
    <m/>
    <m/>
    <m/>
    <m/>
    <m/>
    <m/>
    <m/>
    <m/>
    <n v="4.1399999999999997"/>
    <n v="0"/>
    <n v="0"/>
    <n v="0"/>
    <n v="0"/>
    <n v="0"/>
    <n v="0"/>
    <n v="4.1399999999999997"/>
    <n v="4.1399999999999997"/>
    <n v="0"/>
    <n v="0"/>
    <n v="0"/>
    <n v="0"/>
    <n v="0"/>
    <m/>
    <m/>
    <m/>
    <m/>
    <m/>
    <m/>
    <m/>
    <m/>
    <m/>
    <m/>
    <m/>
    <m/>
    <m/>
    <m/>
    <m/>
    <m/>
    <m/>
    <m/>
    <m/>
    <m/>
    <m/>
    <m/>
    <m/>
    <m/>
    <m/>
    <m/>
    <m/>
    <m/>
    <m/>
    <m/>
    <m/>
    <m/>
    <m/>
    <m/>
  </r>
  <r>
    <n v="743"/>
    <m/>
    <x v="6"/>
    <m/>
    <m/>
    <s v="9518731172-3"/>
    <s v="Stocks"/>
    <x v="4"/>
    <m/>
    <x v="3"/>
    <x v="0"/>
    <x v="1"/>
    <m/>
    <x v="1"/>
    <m/>
    <m/>
    <m/>
    <s v="North"/>
    <m/>
    <x v="2"/>
    <x v="115"/>
    <x v="72"/>
    <x v="185"/>
    <s v="GP COIL XXXGPH GPH3 0.400X900"/>
    <m/>
    <m/>
    <m/>
    <m/>
    <m/>
    <x v="4"/>
    <x v="16"/>
    <s v="GPH3"/>
    <x v="2"/>
    <x v="3"/>
    <x v="11"/>
    <m/>
    <m/>
    <m/>
    <m/>
    <m/>
    <m/>
    <m/>
    <m/>
    <m/>
    <m/>
    <m/>
    <m/>
    <m/>
    <m/>
    <m/>
    <m/>
    <m/>
    <m/>
    <m/>
    <m/>
    <m/>
    <m/>
    <m/>
    <m/>
    <m/>
    <m/>
    <m/>
    <m/>
    <m/>
    <m/>
    <n v="14.9"/>
    <n v="0"/>
    <n v="0"/>
    <n v="0"/>
    <n v="0"/>
    <n v="0"/>
    <n v="0"/>
    <n v="14.9"/>
    <n v="14.9"/>
    <n v="0"/>
    <n v="0"/>
    <n v="0"/>
    <n v="0"/>
    <n v="0"/>
    <m/>
    <m/>
    <m/>
    <m/>
    <m/>
    <m/>
    <m/>
    <m/>
    <m/>
    <m/>
    <m/>
    <m/>
    <m/>
    <m/>
    <m/>
    <m/>
    <m/>
    <m/>
    <m/>
    <m/>
    <m/>
    <m/>
    <m/>
    <m/>
    <m/>
    <m/>
    <m/>
    <m/>
    <m/>
    <m/>
    <m/>
    <m/>
    <m/>
    <m/>
  </r>
  <r>
    <n v="743"/>
    <m/>
    <x v="6"/>
    <m/>
    <m/>
    <s v="9518731172-4"/>
    <s v="Stocks"/>
    <x v="4"/>
    <m/>
    <x v="3"/>
    <x v="0"/>
    <x v="1"/>
    <m/>
    <x v="1"/>
    <m/>
    <m/>
    <m/>
    <s v="North"/>
    <m/>
    <x v="2"/>
    <x v="115"/>
    <x v="72"/>
    <x v="186"/>
    <s v="GP COIL XXXGPH GPH3 0.500X900"/>
    <m/>
    <m/>
    <m/>
    <m/>
    <m/>
    <x v="4"/>
    <x v="16"/>
    <s v="GPH3"/>
    <x v="1"/>
    <x v="3"/>
    <x v="11"/>
    <m/>
    <m/>
    <m/>
    <m/>
    <m/>
    <m/>
    <m/>
    <m/>
    <m/>
    <m/>
    <m/>
    <m/>
    <m/>
    <m/>
    <m/>
    <m/>
    <m/>
    <m/>
    <m/>
    <m/>
    <m/>
    <m/>
    <m/>
    <m/>
    <m/>
    <m/>
    <m/>
    <m/>
    <m/>
    <m/>
    <n v="14.57"/>
    <n v="0"/>
    <n v="0"/>
    <n v="0"/>
    <n v="0"/>
    <n v="0"/>
    <n v="0"/>
    <n v="14.57"/>
    <n v="14.57"/>
    <n v="0"/>
    <n v="0"/>
    <n v="0"/>
    <n v="0"/>
    <n v="0"/>
    <m/>
    <m/>
    <m/>
    <m/>
    <m/>
    <m/>
    <m/>
    <m/>
    <m/>
    <m/>
    <m/>
    <m/>
    <m/>
    <m/>
    <m/>
    <m/>
    <m/>
    <m/>
    <m/>
    <m/>
    <m/>
    <m/>
    <m/>
    <m/>
    <m/>
    <m/>
    <m/>
    <m/>
    <m/>
    <m/>
    <m/>
    <m/>
    <m/>
    <m/>
  </r>
  <r>
    <n v="744"/>
    <m/>
    <x v="6"/>
    <m/>
    <m/>
    <s v="9518733658-2"/>
    <s v="Stocks"/>
    <x v="4"/>
    <m/>
    <x v="2"/>
    <x v="3"/>
    <x v="3"/>
    <m/>
    <x v="1"/>
    <m/>
    <m/>
    <m/>
    <s v="East"/>
    <m/>
    <x v="2"/>
    <x v="115"/>
    <x v="39"/>
    <x v="540"/>
    <s v="PPGL C YS550 HPL8 0.30BMT(0.35TPT)X1220"/>
    <m/>
    <m/>
    <m/>
    <m/>
    <m/>
    <x v="3"/>
    <x v="3"/>
    <s v="HPL8"/>
    <x v="11"/>
    <x v="1"/>
    <x v="11"/>
    <m/>
    <m/>
    <m/>
    <m/>
    <m/>
    <m/>
    <m/>
    <m/>
    <m/>
    <m/>
    <m/>
    <m/>
    <m/>
    <m/>
    <m/>
    <m/>
    <m/>
    <m/>
    <m/>
    <m/>
    <m/>
    <m/>
    <m/>
    <m/>
    <m/>
    <m/>
    <m/>
    <m/>
    <m/>
    <m/>
    <n v="4.585"/>
    <n v="0"/>
    <n v="0"/>
    <n v="0"/>
    <n v="0"/>
    <n v="0"/>
    <n v="0"/>
    <n v="4.585"/>
    <n v="4.585"/>
    <n v="0"/>
    <n v="0"/>
    <n v="0"/>
    <n v="0"/>
    <n v="0"/>
    <m/>
    <m/>
    <m/>
    <m/>
    <m/>
    <m/>
    <m/>
    <m/>
    <m/>
    <m/>
    <m/>
    <m/>
    <m/>
    <m/>
    <m/>
    <m/>
    <m/>
    <m/>
    <m/>
    <m/>
    <m/>
    <m/>
    <m/>
    <m/>
    <m/>
    <m/>
    <m/>
    <m/>
    <m/>
    <m/>
    <m/>
    <m/>
    <m/>
    <m/>
  </r>
  <r>
    <n v="744"/>
    <m/>
    <x v="6"/>
    <m/>
    <m/>
    <s v="9518733658-3"/>
    <s v="Stocks"/>
    <x v="4"/>
    <m/>
    <x v="2"/>
    <x v="3"/>
    <x v="3"/>
    <m/>
    <x v="1"/>
    <m/>
    <m/>
    <m/>
    <s v="East"/>
    <m/>
    <x v="2"/>
    <x v="115"/>
    <x v="39"/>
    <x v="40"/>
    <s v="PPGL C Y550 HPL3 0.45BMT(0.53TPT)X1220"/>
    <m/>
    <m/>
    <m/>
    <m/>
    <m/>
    <x v="3"/>
    <x v="3"/>
    <s v="HPL3"/>
    <x v="10"/>
    <x v="1"/>
    <x v="11"/>
    <m/>
    <m/>
    <m/>
    <m/>
    <m/>
    <m/>
    <m/>
    <m/>
    <m/>
    <m/>
    <m/>
    <m/>
    <m/>
    <m/>
    <m/>
    <m/>
    <m/>
    <m/>
    <m/>
    <m/>
    <m/>
    <m/>
    <m/>
    <m/>
    <m/>
    <m/>
    <m/>
    <m/>
    <m/>
    <m/>
    <n v="9.68"/>
    <n v="0"/>
    <n v="0"/>
    <n v="0"/>
    <n v="0"/>
    <n v="0"/>
    <n v="0"/>
    <n v="9.68"/>
    <n v="9.68"/>
    <n v="0"/>
    <n v="0"/>
    <n v="0"/>
    <n v="0"/>
    <n v="0"/>
    <m/>
    <m/>
    <m/>
    <m/>
    <m/>
    <m/>
    <m/>
    <m/>
    <m/>
    <m/>
    <m/>
    <m/>
    <m/>
    <m/>
    <m/>
    <m/>
    <m/>
    <m/>
    <m/>
    <m/>
    <m/>
    <m/>
    <m/>
    <m/>
    <m/>
    <m/>
    <m/>
    <m/>
    <m/>
    <m/>
    <m/>
    <m/>
    <m/>
    <m/>
  </r>
  <r>
    <n v="742"/>
    <m/>
    <x v="6"/>
    <m/>
    <m/>
    <s v="9518733687-1"/>
    <s v="Stocks"/>
    <x v="4"/>
    <m/>
    <x v="1"/>
    <x v="1"/>
    <x v="1"/>
    <m/>
    <x v="1"/>
    <m/>
    <m/>
    <m/>
    <s v="South"/>
    <m/>
    <x v="2"/>
    <x v="115"/>
    <x v="22"/>
    <x v="69"/>
    <s v="CRCA COIL TATXXD AU03 1.500X1250"/>
    <m/>
    <m/>
    <m/>
    <m/>
    <m/>
    <x v="1"/>
    <x v="2"/>
    <s v="AU03"/>
    <x v="27"/>
    <x v="0"/>
    <x v="11"/>
    <m/>
    <m/>
    <m/>
    <m/>
    <m/>
    <m/>
    <m/>
    <m/>
    <m/>
    <m/>
    <m/>
    <m/>
    <m/>
    <m/>
    <m/>
    <m/>
    <m/>
    <m/>
    <m/>
    <m/>
    <m/>
    <m/>
    <m/>
    <m/>
    <m/>
    <m/>
    <m/>
    <m/>
    <m/>
    <m/>
    <n v="25.91"/>
    <n v="0"/>
    <n v="0"/>
    <n v="0"/>
    <n v="0"/>
    <n v="0"/>
    <n v="0"/>
    <n v="25.91"/>
    <n v="25.91"/>
    <n v="0"/>
    <n v="0"/>
    <n v="0"/>
    <n v="0"/>
    <n v="0"/>
    <m/>
    <m/>
    <m/>
    <m/>
    <m/>
    <m/>
    <m/>
    <m/>
    <m/>
    <m/>
    <m/>
    <m/>
    <m/>
    <m/>
    <m/>
    <m/>
    <m/>
    <m/>
    <m/>
    <m/>
    <m/>
    <m/>
    <m/>
    <m/>
    <m/>
    <m/>
    <m/>
    <m/>
    <m/>
    <m/>
    <m/>
    <m/>
    <m/>
    <m/>
  </r>
  <r>
    <n v="743"/>
    <m/>
    <x v="6"/>
    <m/>
    <m/>
    <s v="9518737119-1"/>
    <s v="Stocks"/>
    <x v="4"/>
    <m/>
    <x v="3"/>
    <x v="4"/>
    <x v="1"/>
    <m/>
    <x v="1"/>
    <m/>
    <m/>
    <m/>
    <s v="East"/>
    <m/>
    <x v="2"/>
    <x v="115"/>
    <x v="108"/>
    <x v="196"/>
    <s v="GP COIL TATGPH GP02 0.630X1350"/>
    <m/>
    <m/>
    <m/>
    <m/>
    <m/>
    <x v="4"/>
    <x v="6"/>
    <s v="GP02"/>
    <x v="26"/>
    <x v="20"/>
    <x v="11"/>
    <m/>
    <m/>
    <m/>
    <m/>
    <m/>
    <m/>
    <m/>
    <m/>
    <m/>
    <m/>
    <m/>
    <m/>
    <m/>
    <m/>
    <m/>
    <m/>
    <m/>
    <m/>
    <m/>
    <m/>
    <m/>
    <m/>
    <m/>
    <m/>
    <m/>
    <m/>
    <m/>
    <m/>
    <m/>
    <m/>
    <n v="29.68"/>
    <n v="0"/>
    <n v="0"/>
    <n v="0"/>
    <n v="0"/>
    <n v="0"/>
    <n v="0"/>
    <n v="29.68"/>
    <n v="29.68"/>
    <n v="0"/>
    <n v="0"/>
    <n v="0"/>
    <n v="0"/>
    <n v="0"/>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31161-AAE9-40F9-94F5-D2FF47CA3697}" name="PivotTable3" cacheId="132" applyNumberFormats="0" applyBorderFormats="0" applyFontFormats="0" applyPatternFormats="0" applyAlignmentFormats="0" applyWidthHeightFormats="1" dataCaption="Values" updatedVersion="8" minRefreshableVersion="3" useAutoFormatting="1" colGrandTotals="0" itemPrintTitles="1" createdVersion="4" indent="0" compact="0" compactData="0" gridDropZones="1" multipleFieldFilters="0">
  <location ref="A3:Q34" firstHeaderRow="1" firstDataRow="2" firstDataCol="2" rowPageCount="1" colPageCount="1"/>
  <pivotFields count="118">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ncludeNewItemsInFilter="1" defaultSubtotal="0"/>
    <pivotField compact="0" outline="0" showAll="0"/>
    <pivotField compact="0" outline="0" subtotalTop="0" showAll="0" includeNewItemsInFilter="1" defaultSubtotal="0"/>
    <pivotField axis="axisRow" compact="0" outline="0" showAll="0">
      <items count="8">
        <item x="1"/>
        <item x="5"/>
        <item x="3"/>
        <item x="2"/>
        <item x="4"/>
        <item x="0"/>
        <item x="6"/>
        <item t="default"/>
      </items>
    </pivotField>
    <pivotField axis="axisRow" compact="0" outline="0" showAll="0">
      <items count="18">
        <item x="0"/>
        <item x="8"/>
        <item x="14"/>
        <item x="5"/>
        <item x="4"/>
        <item x="3"/>
        <item x="1"/>
        <item x="7"/>
        <item x="6"/>
        <item x="2"/>
        <item x="12"/>
        <item x="13"/>
        <item x="15"/>
        <item x="9"/>
        <item x="10"/>
        <item x="11"/>
        <item x="16"/>
        <item t="default"/>
      </items>
    </pivotField>
    <pivotField compact="0" outline="0" subtotalTop="0" showAll="0" includeNewItemsInFilter="1" defaultSubtotal="0"/>
    <pivotField dataField="1" compact="0" outline="0" subtotalTop="0" showAll="0" includeNewItemsInFilter="1" defaultSubtotal="0"/>
    <pivotField axis="axisPage" compact="0" outline="0" multipleItemSelectionAllowed="1" showAll="0">
      <items count="4">
        <item h="1" x="1"/>
        <item x="0"/>
        <item h="1" x="2"/>
        <item t="default"/>
      </items>
    </pivotField>
    <pivotField compact="0" outline="0" subtotalTop="0" showAll="0" includeNewItemsInFilter="1"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ncludeNewItemsInFilter="1" defaultSubtotal="0"/>
    <pivotField compact="0" outline="0" subtotalTop="0" showAll="0" defaultSubtotal="0"/>
    <pivotField compact="0" outline="0" subtotalTop="0" showAll="0" defaultSubtotal="0"/>
    <pivotField compact="0" outline="0" subtotalTop="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ubtotalTop="0" showAll="0" includeNewItemsInFilter="1"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includeNewItemsInFilter="1" defaultSubtota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ubtotalTop="0" showAll="0" defaultSubtotal="0"/>
    <pivotField compact="0" numFmtId="1" outline="0" showAll="0"/>
    <pivotField compact="0" numFmtId="1" outline="0" showAll="0"/>
    <pivotField compact="0" outline="0" showAll="0"/>
    <pivotField compact="0" outline="0" subtotalTop="0" showAll="0" defaultSubtotal="0"/>
    <pivotField compact="0" outline="0" subtotalTop="0" showAll="0" defaultSubtotal="0"/>
    <pivotField compact="0" outline="0" subtotalTop="0" showAll="0" includeNewItemsInFilter="1" defaultSubtotal="0"/>
    <pivotField compact="0" outline="0" subtotalTop="0" showAll="0" defaultSubtotal="0"/>
    <pivotField compact="0" numFmtId="1" outline="0" showAll="0"/>
    <pivotField dataField="1" compact="0" numFmtId="1" outline="0" subtotalTop="0" showAll="0" defaultSubtotal="0"/>
    <pivotField dataField="1" compact="0" outline="0" subtotalTop="0" showAll="0" includeNewItemsInFilter="1" defaultSubtotal="0"/>
    <pivotField dataField="1" compact="0" numFmtId="1" outline="0" subtotalTop="0" showAll="0" defaultSubtotal="0"/>
    <pivotField dataField="1" compact="0" numFmtId="1" outline="0" subtotalTop="0" showAll="0" defaultSubtotal="0"/>
    <pivotField dataField="1" compact="0" numFmtId="1" outline="0" subtotalTop="0" showAll="0" defaultSubtotal="0"/>
    <pivotField dataField="1" compact="0" numFmtId="1" outline="0" subtotalTop="0" showAll="0" defaultSubtotal="0"/>
    <pivotField dataField="1" compact="0" numFmtId="1" outline="0" subtotalTop="0" showAll="0" defaultSubtotal="0"/>
    <pivotField dataField="1" compact="0" outline="0" subtotalTop="0" showAll="0" includeNewItemsInFilter="1" defaultSubtotal="0"/>
    <pivotField dataField="1" compact="0" numFmtId="1" outline="0" subtotalTop="0" showAll="0" defaultSubtotal="0"/>
    <pivotField dataField="1" compact="0" numFmtId="1" outline="0" subtotalTop="0" showAll="0" defaultSubtotal="0"/>
    <pivotField dataField="1" compact="0" numFmtId="1" outline="0" subtotalTop="0" showAll="0" defaultSubtotal="0"/>
    <pivotField dataField="1" compact="0" numFmtId="1" outline="0" subtotalTop="0" showAll="0" defaultSubtotal="0"/>
    <pivotField dataField="1" compact="0" numFmtId="1" outline="0" subtotalTop="0" showAll="0" defaultSubtotal="0"/>
    <pivotField dataField="1" compact="0" numFmtId="1" outline="0" subtotalTop="0" showAll="0" defaultSubtotal="0"/>
    <pivotField compact="0" outline="0" subtotalTop="0" showAll="0" includeNewItemsInFilter="1" defaultSubtotal="0"/>
    <pivotField compact="0" numFmtId="1" outline="0" subtotalTop="0" showAll="0" defaultSubtotal="0"/>
    <pivotField compact="0" numFmtId="1" outline="0" subtotalTop="0" showAll="0" defaultSubtotal="0"/>
    <pivotField compact="0" numFmtId="1" outline="0" subtotalTop="0" showAll="0" defaultSubtotal="0"/>
    <pivotField compact="0" numFmtId="1" outline="0" subtotalTop="0" showAll="0" defaultSubtotal="0"/>
    <pivotField compact="0" numFmtId="1" outline="0" subtotalTop="0" showAll="0"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9"/>
    <field x="10"/>
  </rowFields>
  <rowItems count="30">
    <i>
      <x/>
      <x/>
    </i>
    <i r="1">
      <x v="2"/>
    </i>
    <i r="1">
      <x v="3"/>
    </i>
    <i r="1">
      <x v="4"/>
    </i>
    <i r="1">
      <x v="5"/>
    </i>
    <i r="1">
      <x v="6"/>
    </i>
    <i r="1">
      <x v="12"/>
    </i>
    <i r="1">
      <x v="13"/>
    </i>
    <i t="default">
      <x/>
    </i>
    <i>
      <x v="1"/>
      <x v="3"/>
    </i>
    <i r="1">
      <x v="13"/>
    </i>
    <i r="1">
      <x v="15"/>
    </i>
    <i t="default">
      <x v="1"/>
    </i>
    <i>
      <x v="2"/>
      <x v="3"/>
    </i>
    <i r="1">
      <x v="7"/>
    </i>
    <i r="1">
      <x v="10"/>
    </i>
    <i r="1">
      <x v="11"/>
    </i>
    <i t="default">
      <x v="2"/>
    </i>
    <i>
      <x v="3"/>
      <x/>
    </i>
    <i r="1">
      <x v="3"/>
    </i>
    <i r="1">
      <x v="8"/>
    </i>
    <i r="1">
      <x v="9"/>
    </i>
    <i r="1">
      <x v="14"/>
    </i>
    <i t="default">
      <x v="3"/>
    </i>
    <i>
      <x v="4"/>
      <x v="7"/>
    </i>
    <i t="default">
      <x v="4"/>
    </i>
    <i>
      <x v="5"/>
      <x/>
    </i>
    <i r="1">
      <x v="13"/>
    </i>
    <i t="default">
      <x v="5"/>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13" hier="0"/>
  </pageFields>
  <dataFields count="15">
    <dataField name=" OSP" fld="12" baseField="0" baseItem="0"/>
    <dataField name=" Total planned GR" fld="71" baseField="0" baseItem="0"/>
    <dataField name=" FG 202509" fld="72" baseField="0" baseItem="0"/>
    <dataField name=" FG 202510" fld="73" baseField="0" baseItem="0"/>
    <dataField name=" FG 202511" fld="74" baseField="0" baseItem="0"/>
    <dataField name=" FG 202512" fld="75" baseField="0" baseItem="0"/>
    <dataField name=" FG 202513" fld="76" baseField="0" baseItem="0"/>
    <dataField name=" FG stock 01.03.25" fld="70" baseField="0" baseItem="0"/>
    <dataField name=" Total planned Dispatch" fld="77" baseField="0" baseItem="0"/>
    <dataField name=" Disp 202509" fld="78" baseField="0" baseItem="0"/>
    <dataField name=" Disp 202510" fld="79" baseField="0" baseItem="0"/>
    <dataField name=" Disp 202511" fld="80" baseField="0" baseItem="0"/>
    <dataField name=" Disp 202512" fld="81" baseField="0" baseItem="0"/>
    <dataField name=" Disp 202513" fld="82" baseField="0" baseItem="0"/>
    <dataField name=" CF stock for Apr'25" fld="83" baseField="0" baseItem="0"/>
  </dataFields>
  <formats count="175">
    <format dxfId="318">
      <pivotArea outline="0" collapsedLevelsAreSubtotals="1" fieldPosition="0"/>
    </format>
    <format dxfId="317">
      <pivotArea field="-2" type="button" dataOnly="0" labelOnly="1" outline="0" axis="axisCol" fieldPosition="0"/>
    </format>
    <format dxfId="316">
      <pivotArea type="topRight" dataOnly="0" labelOnly="1" outline="0" fieldPosition="0"/>
    </format>
    <format dxfId="315">
      <pivotArea outline="0" collapsedLevelsAreSubtotals="1" fieldPosition="0"/>
    </format>
    <format dxfId="314">
      <pivotArea field="-2" type="button" dataOnly="0" labelOnly="1" outline="0" axis="axisCol" fieldPosition="0"/>
    </format>
    <format dxfId="313">
      <pivotArea type="topRight" dataOnly="0" labelOnly="1" outline="0" fieldPosition="0"/>
    </format>
    <format dxfId="312">
      <pivotArea outline="0" collapsedLevelsAreSubtotals="1" fieldPosition="0"/>
    </format>
    <format dxfId="311">
      <pivotArea field="-2" type="button" dataOnly="0" labelOnly="1" outline="0" axis="axisCol" fieldPosition="0"/>
    </format>
    <format dxfId="310">
      <pivotArea dataOnly="0" labelOnly="1" grandRow="1" outline="0" fieldPosition="0"/>
    </format>
    <format dxfId="309">
      <pivotArea type="topRight" dataOnly="0" labelOnly="1" outline="0" fieldPosition="0"/>
    </format>
    <format dxfId="308">
      <pivotArea dataOnly="0" outline="0" collapsedLevelsAreSubtotals="1" fieldPosition="0">
        <references count="1">
          <reference field="9" count="0" defaultSubtotal="1"/>
        </references>
      </pivotArea>
    </format>
    <format dxfId="307">
      <pivotArea type="all" dataOnly="0" outline="0" collapsedLevelsAreSubtotals="1" fieldPosition="0"/>
    </format>
    <format dxfId="306">
      <pivotArea outline="0" collapsedLevelsAreSubtotals="1" fieldPosition="0"/>
    </format>
    <format dxfId="305">
      <pivotArea type="origin" dataOnly="0" labelOnly="1" outline="0" fieldPosition="0"/>
    </format>
    <format dxfId="304">
      <pivotArea field="-2" type="button" dataOnly="0" labelOnly="1" outline="0" axis="axisCol" fieldPosition="0"/>
    </format>
    <format dxfId="303">
      <pivotArea type="topRight" dataOnly="0" labelOnly="1" outline="0" fieldPosition="0"/>
    </format>
    <format dxfId="302">
      <pivotArea field="9" type="button" dataOnly="0" labelOnly="1" outline="0" axis="axisRow" fieldPosition="0"/>
    </format>
    <format dxfId="301">
      <pivotArea field="10" type="button" dataOnly="0" labelOnly="1" outline="0" axis="axisRow" fieldPosition="1"/>
    </format>
    <format dxfId="300">
      <pivotArea dataOnly="0" labelOnly="1" outline="0" fieldPosition="0">
        <references count="1">
          <reference field="9" count="0"/>
        </references>
      </pivotArea>
    </format>
    <format dxfId="299">
      <pivotArea dataOnly="0" labelOnly="1" outline="0" fieldPosition="0">
        <references count="1">
          <reference field="9" count="0" defaultSubtotal="1"/>
        </references>
      </pivotArea>
    </format>
    <format dxfId="298">
      <pivotArea dataOnly="0" labelOnly="1" grandRow="1" outline="0" fieldPosition="0"/>
    </format>
    <format dxfId="297">
      <pivotArea dataOnly="0" labelOnly="1" outline="0" fieldPosition="0">
        <references count="2">
          <reference field="9" count="1" selected="0">
            <x v="0"/>
          </reference>
          <reference field="10" count="4">
            <x v="0"/>
            <x v="3"/>
            <x v="6"/>
            <x v="13"/>
          </reference>
        </references>
      </pivotArea>
    </format>
    <format dxfId="296">
      <pivotArea dataOnly="0" labelOnly="1" outline="0" fieldPosition="0">
        <references count="2">
          <reference field="9" count="1" selected="0">
            <x v="1"/>
          </reference>
          <reference field="10" count="1">
            <x v="13"/>
          </reference>
        </references>
      </pivotArea>
    </format>
    <format dxfId="295">
      <pivotArea dataOnly="0" labelOnly="1" outline="0" fieldPosition="0">
        <references count="2">
          <reference field="9" count="1" selected="0">
            <x v="2"/>
          </reference>
          <reference field="10" count="1">
            <x v="7"/>
          </reference>
        </references>
      </pivotArea>
    </format>
    <format dxfId="294">
      <pivotArea dataOnly="0" labelOnly="1" outline="0" fieldPosition="0">
        <references count="2">
          <reference field="9" count="1" selected="0">
            <x v="4"/>
          </reference>
          <reference field="10" count="1">
            <x v="7"/>
          </reference>
        </references>
      </pivotArea>
    </format>
    <format dxfId="293">
      <pivotArea type="all" dataOnly="0" outline="0" collapsedLevelsAreSubtotals="1" fieldPosition="0"/>
    </format>
    <format dxfId="292">
      <pivotArea outline="0" collapsedLevelsAreSubtotals="1" fieldPosition="0"/>
    </format>
    <format dxfId="291">
      <pivotArea type="origin" dataOnly="0" labelOnly="1" outline="0" fieldPosition="0"/>
    </format>
    <format dxfId="290">
      <pivotArea field="-2" type="button" dataOnly="0" labelOnly="1" outline="0" axis="axisCol" fieldPosition="0"/>
    </format>
    <format dxfId="289">
      <pivotArea type="topRight" dataOnly="0" labelOnly="1" outline="0" fieldPosition="0"/>
    </format>
    <format dxfId="288">
      <pivotArea field="9" type="button" dataOnly="0" labelOnly="1" outline="0" axis="axisRow" fieldPosition="0"/>
    </format>
    <format dxfId="287">
      <pivotArea field="10" type="button" dataOnly="0" labelOnly="1" outline="0" axis="axisRow" fieldPosition="1"/>
    </format>
    <format dxfId="286">
      <pivotArea dataOnly="0" labelOnly="1" outline="0" fieldPosition="0">
        <references count="1">
          <reference field="9" count="0"/>
        </references>
      </pivotArea>
    </format>
    <format dxfId="285">
      <pivotArea dataOnly="0" labelOnly="1" outline="0" fieldPosition="0">
        <references count="1">
          <reference field="9" count="0" defaultSubtotal="1"/>
        </references>
      </pivotArea>
    </format>
    <format dxfId="284">
      <pivotArea dataOnly="0" labelOnly="1" grandRow="1" outline="0" fieldPosition="0"/>
    </format>
    <format dxfId="283">
      <pivotArea dataOnly="0" labelOnly="1" outline="0" fieldPosition="0">
        <references count="2">
          <reference field="9" count="1" selected="0">
            <x v="0"/>
          </reference>
          <reference field="10" count="4">
            <x v="0"/>
            <x v="3"/>
            <x v="6"/>
            <x v="13"/>
          </reference>
        </references>
      </pivotArea>
    </format>
    <format dxfId="282">
      <pivotArea dataOnly="0" labelOnly="1" outline="0" fieldPosition="0">
        <references count="2">
          <reference field="9" count="1" selected="0">
            <x v="1"/>
          </reference>
          <reference field="10" count="1">
            <x v="13"/>
          </reference>
        </references>
      </pivotArea>
    </format>
    <format dxfId="281">
      <pivotArea dataOnly="0" labelOnly="1" outline="0" fieldPosition="0">
        <references count="2">
          <reference field="9" count="1" selected="0">
            <x v="2"/>
          </reference>
          <reference field="10" count="1">
            <x v="7"/>
          </reference>
        </references>
      </pivotArea>
    </format>
    <format dxfId="280">
      <pivotArea dataOnly="0" labelOnly="1" outline="0" fieldPosition="0">
        <references count="2">
          <reference field="9" count="1" selected="0">
            <x v="4"/>
          </reference>
          <reference field="10" count="1">
            <x v="7"/>
          </reference>
        </references>
      </pivotArea>
    </format>
    <format dxfId="279">
      <pivotArea field="9" type="button" dataOnly="0" labelOnly="1" outline="0" axis="axisRow" fieldPosition="0"/>
    </format>
    <format dxfId="278">
      <pivotArea field="10" type="button" dataOnly="0" labelOnly="1" outline="0" axis="axisRow" fieldPosition="1"/>
    </format>
    <format dxfId="277">
      <pivotArea type="origin" dataOnly="0" labelOnly="1" outline="0" fieldPosition="0"/>
    </format>
    <format dxfId="276">
      <pivotArea field="-2" type="button" dataOnly="0" labelOnly="1" outline="0" axis="axisCol" fieldPosition="0"/>
    </format>
    <format dxfId="275">
      <pivotArea type="topRight" dataOnly="0" labelOnly="1" outline="0" offset="A1:O1" fieldPosition="0"/>
    </format>
    <format dxfId="274">
      <pivotArea field="9" type="button" dataOnly="0" labelOnly="1" outline="0" axis="axisRow" fieldPosition="0"/>
    </format>
    <format dxfId="273">
      <pivotArea field="10" type="button" dataOnly="0" labelOnly="1" outline="0" axis="axisRow" fieldPosition="1"/>
    </format>
    <format dxfId="272">
      <pivotArea dataOnly="0" labelOnly="1" outline="0" fieldPosition="0">
        <references count="1">
          <reference field="9" count="0"/>
        </references>
      </pivotArea>
    </format>
    <format dxfId="271">
      <pivotArea dataOnly="0" labelOnly="1" outline="0" fieldPosition="0">
        <references count="1">
          <reference field="9" count="0" defaultSubtotal="1"/>
        </references>
      </pivotArea>
    </format>
    <format dxfId="270">
      <pivotArea dataOnly="0" labelOnly="1" grandRow="1" outline="0" fieldPosition="0"/>
    </format>
    <format dxfId="269">
      <pivotArea dataOnly="0" labelOnly="1" outline="0" fieldPosition="0">
        <references count="2">
          <reference field="9" count="1" selected="0">
            <x v="0"/>
          </reference>
          <reference field="10" count="4">
            <x v="3"/>
            <x v="4"/>
            <x v="6"/>
            <x v="13"/>
          </reference>
        </references>
      </pivotArea>
    </format>
    <format dxfId="268">
      <pivotArea dataOnly="0" labelOnly="1" outline="0" fieldPosition="0">
        <references count="2">
          <reference field="9" count="1" selected="0">
            <x v="1"/>
          </reference>
          <reference field="10" count="1">
            <x v="13"/>
          </reference>
        </references>
      </pivotArea>
    </format>
    <format dxfId="267">
      <pivotArea dataOnly="0" labelOnly="1" outline="0" fieldPosition="0">
        <references count="2">
          <reference field="9" count="1" selected="0">
            <x v="2"/>
          </reference>
          <reference field="10" count="1">
            <x v="7"/>
          </reference>
        </references>
      </pivotArea>
    </format>
    <format dxfId="266">
      <pivotArea dataOnly="0" labelOnly="1" outline="0" fieldPosition="0">
        <references count="2">
          <reference field="9" count="1" selected="0">
            <x v="3"/>
          </reference>
          <reference field="10" count="2">
            <x v="8"/>
            <x v="9"/>
          </reference>
        </references>
      </pivotArea>
    </format>
    <format dxfId="265">
      <pivotArea dataOnly="0" labelOnly="1" outline="0" fieldPosition="0">
        <references count="2">
          <reference field="9" count="1" selected="0">
            <x v="4"/>
          </reference>
          <reference field="10" count="1">
            <x v="7"/>
          </reference>
        </references>
      </pivotArea>
    </format>
    <format dxfId="264">
      <pivotArea dataOnly="0" labelOnly="1" outline="0" fieldPosition="0">
        <references count="2">
          <reference field="9" count="1" selected="0">
            <x v="5"/>
          </reference>
          <reference field="10" count="1">
            <x v="13"/>
          </reference>
        </references>
      </pivotArea>
    </format>
    <format dxfId="263">
      <pivotArea field="9" type="button" dataOnly="0" labelOnly="1" outline="0" axis="axisRow" fieldPosition="0"/>
    </format>
    <format dxfId="262">
      <pivotArea field="10" type="button" dataOnly="0" labelOnly="1" outline="0" axis="axisRow" fieldPosition="1"/>
    </format>
    <format dxfId="261">
      <pivotArea field="9" type="button" dataOnly="0" labelOnly="1" outline="0" axis="axisRow" fieldPosition="0"/>
    </format>
    <format dxfId="260">
      <pivotArea field="10" type="button" dataOnly="0" labelOnly="1" outline="0" axis="axisRow" fieldPosition="1"/>
    </format>
    <format dxfId="259">
      <pivotArea dataOnly="0" labelOnly="1" grandCol="1" outline="0" fieldPosition="0"/>
    </format>
    <format dxfId="258">
      <pivotArea dataOnly="0" labelOnly="1" grandCol="1" outline="0" fieldPosition="0"/>
    </format>
    <format dxfId="257">
      <pivotArea field="9" type="button" dataOnly="0" labelOnly="1" outline="0" axis="axisRow" fieldPosition="0"/>
    </format>
    <format dxfId="256">
      <pivotArea field="10" type="button" dataOnly="0" labelOnly="1" outline="0" axis="axisRow" fieldPosition="1"/>
    </format>
    <format dxfId="255">
      <pivotArea dataOnly="0" labelOnly="1" outline="0" fieldPosition="0">
        <references count="2">
          <reference field="9" count="1" selected="0">
            <x v="0"/>
          </reference>
          <reference field="10" count="7">
            <x v="0"/>
            <x v="2"/>
            <x v="3"/>
            <x v="4"/>
            <x v="5"/>
            <x v="6"/>
            <x v="13"/>
          </reference>
        </references>
      </pivotArea>
    </format>
    <format dxfId="254">
      <pivotArea dataOnly="0" labelOnly="1" outline="0" fieldPosition="0">
        <references count="2">
          <reference field="9" count="1" selected="0">
            <x v="2"/>
          </reference>
          <reference field="10" count="2">
            <x v="7"/>
            <x v="10"/>
          </reference>
        </references>
      </pivotArea>
    </format>
    <format dxfId="253">
      <pivotArea dataOnly="0" labelOnly="1" outline="0" fieldPosition="0">
        <references count="2">
          <reference field="9" count="1" selected="0">
            <x v="3"/>
          </reference>
          <reference field="10" count="3">
            <x v="1"/>
            <x v="8"/>
            <x v="9"/>
          </reference>
        </references>
      </pivotArea>
    </format>
    <format dxfId="252">
      <pivotArea dataOnly="0" labelOnly="1" grandCol="1" outline="0" fieldPosition="0"/>
    </format>
    <format dxfId="251">
      <pivotArea field="9" type="button" dataOnly="0" labelOnly="1" outline="0" axis="axisRow" fieldPosition="0"/>
    </format>
    <format dxfId="250">
      <pivotArea field="10" type="button" dataOnly="0" labelOnly="1" outline="0" axis="axisRow" fieldPosition="1"/>
    </format>
    <format dxfId="249">
      <pivotArea outline="0" collapsedLevelsAreSubtotals="1" fieldPosition="0"/>
    </format>
    <format dxfId="248">
      <pivotArea field="9" type="button" dataOnly="0" labelOnly="1" outline="0" axis="axisRow" fieldPosition="0"/>
    </format>
    <format dxfId="247">
      <pivotArea field="10" type="button" dataOnly="0" labelOnly="1" outline="0" axis="axisRow" fieldPosition="1"/>
    </format>
    <format dxfId="246">
      <pivotArea dataOnly="0" labelOnly="1" outline="0" fieldPosition="0">
        <references count="1">
          <reference field="9" count="0"/>
        </references>
      </pivotArea>
    </format>
    <format dxfId="245">
      <pivotArea dataOnly="0" labelOnly="1" outline="0" fieldPosition="0">
        <references count="1">
          <reference field="9" count="0" defaultSubtotal="1"/>
        </references>
      </pivotArea>
    </format>
    <format dxfId="244">
      <pivotArea dataOnly="0" labelOnly="1" grandRow="1" outline="0" fieldPosition="0"/>
    </format>
    <format dxfId="243">
      <pivotArea dataOnly="0" labelOnly="1" outline="0" fieldPosition="0">
        <references count="2">
          <reference field="9" count="1" selected="0">
            <x v="0"/>
          </reference>
          <reference field="10" count="5">
            <x v="3"/>
            <x v="4"/>
            <x v="5"/>
            <x v="6"/>
            <x v="13"/>
          </reference>
        </references>
      </pivotArea>
    </format>
    <format dxfId="242">
      <pivotArea dataOnly="0" labelOnly="1" outline="0" fieldPosition="0">
        <references count="2">
          <reference field="9" count="1" selected="0">
            <x v="1"/>
          </reference>
          <reference field="10" count="2">
            <x v="3"/>
            <x v="13"/>
          </reference>
        </references>
      </pivotArea>
    </format>
    <format dxfId="241">
      <pivotArea dataOnly="0" labelOnly="1" outline="0" fieldPosition="0">
        <references count="2">
          <reference field="9" count="1" selected="0">
            <x v="2"/>
          </reference>
          <reference field="10" count="2">
            <x v="7"/>
            <x v="10"/>
          </reference>
        </references>
      </pivotArea>
    </format>
    <format dxfId="240">
      <pivotArea dataOnly="0" labelOnly="1" outline="0" fieldPosition="0">
        <references count="2">
          <reference field="9" count="1" selected="0">
            <x v="3"/>
          </reference>
          <reference field="10" count="2">
            <x v="8"/>
            <x v="9"/>
          </reference>
        </references>
      </pivotArea>
    </format>
    <format dxfId="239">
      <pivotArea dataOnly="0" labelOnly="1" outline="0" fieldPosition="0">
        <references count="2">
          <reference field="9" count="1" selected="0">
            <x v="4"/>
          </reference>
          <reference field="10" count="1">
            <x v="7"/>
          </reference>
        </references>
      </pivotArea>
    </format>
    <format dxfId="238">
      <pivotArea dataOnly="0" labelOnly="1" outline="0" fieldPosition="0">
        <references count="2">
          <reference field="9" count="1" selected="0">
            <x v="5"/>
          </reference>
          <reference field="10" count="3">
            <x v="0"/>
            <x v="3"/>
            <x v="13"/>
          </reference>
        </references>
      </pivotArea>
    </format>
    <format dxfId="237">
      <pivotArea type="topRight" dataOnly="0" labelOnly="1" outline="0" fieldPosition="0"/>
    </format>
    <format dxfId="236">
      <pivotArea dataOnly="0" labelOnly="1" outline="0" fieldPosition="0">
        <references count="2">
          <reference field="9" count="1" selected="0">
            <x v="5"/>
          </reference>
          <reference field="10" count="3">
            <x v="0"/>
            <x v="3"/>
            <x v="13"/>
          </reference>
        </references>
      </pivotArea>
    </format>
    <format dxfId="235">
      <pivotArea dataOnly="0" labelOnly="1" outline="0" fieldPosition="0">
        <references count="2">
          <reference field="9" count="1" selected="0">
            <x v="1"/>
          </reference>
          <reference field="10" count="1">
            <x v="13"/>
          </reference>
        </references>
      </pivotArea>
    </format>
    <format dxfId="234">
      <pivotArea dataOnly="0" labelOnly="1" outline="0" fieldPosition="0">
        <references count="2">
          <reference field="9" count="1" selected="0">
            <x v="0"/>
          </reference>
          <reference field="10" count="1">
            <x v="13"/>
          </reference>
        </references>
      </pivotArea>
    </format>
    <format dxfId="233">
      <pivotArea field="9" type="button" dataOnly="0" labelOnly="1" outline="0" axis="axisRow" fieldPosition="0"/>
    </format>
    <format dxfId="232">
      <pivotArea field="10" type="button" dataOnly="0" labelOnly="1" outline="0" axis="axisRow" fieldPosition="1"/>
    </format>
    <format dxfId="231">
      <pivotArea dataOnly="0" labelOnly="1" outline="0" fieldPosition="0">
        <references count="1">
          <reference field="4294967294" count="1">
            <x v="0"/>
          </reference>
        </references>
      </pivotArea>
    </format>
    <format dxfId="230">
      <pivotArea field="9" type="button" dataOnly="0" labelOnly="1" outline="0" axis="axisRow" fieldPosition="0"/>
    </format>
    <format dxfId="229">
      <pivotArea field="10" type="button" dataOnly="0" labelOnly="1" outline="0" axis="axisRow" fieldPosition="1"/>
    </format>
    <format dxfId="228">
      <pivotArea dataOnly="0" labelOnly="1" outline="0" fieldPosition="0">
        <references count="1">
          <reference field="4294967294" count="1">
            <x v="0"/>
          </reference>
        </references>
      </pivotArea>
    </format>
    <format dxfId="227">
      <pivotArea field="9" type="button" dataOnly="0" labelOnly="1" outline="0" axis="axisRow" fieldPosition="0"/>
    </format>
    <format dxfId="226">
      <pivotArea field="10" type="button" dataOnly="0" labelOnly="1" outline="0" axis="axisRow" fieldPosition="1"/>
    </format>
    <format dxfId="225">
      <pivotArea dataOnly="0" labelOnly="1" outline="0" fieldPosition="0">
        <references count="1">
          <reference field="4294967294" count="3">
            <x v="0"/>
            <x v="1"/>
            <x v="8"/>
          </reference>
        </references>
      </pivotArea>
    </format>
    <format dxfId="224">
      <pivotArea outline="0" collapsedLevelsAreSubtotals="1" fieldPosition="0"/>
    </format>
    <format dxfId="223">
      <pivotArea field="9" type="button" dataOnly="0" labelOnly="1" outline="0" axis="axisRow" fieldPosition="0"/>
    </format>
    <format dxfId="222">
      <pivotArea field="10" type="button" dataOnly="0" labelOnly="1" outline="0" axis="axisRow" fieldPosition="1"/>
    </format>
    <format dxfId="221">
      <pivotArea dataOnly="0" labelOnly="1" outline="0" fieldPosition="0">
        <references count="1">
          <reference field="9" count="0"/>
        </references>
      </pivotArea>
    </format>
    <format dxfId="220">
      <pivotArea dataOnly="0" labelOnly="1" outline="0" fieldPosition="0">
        <references count="1">
          <reference field="9" count="0" defaultSubtotal="1"/>
        </references>
      </pivotArea>
    </format>
    <format dxfId="219">
      <pivotArea dataOnly="0" labelOnly="1" grandRow="1" outline="0" fieldPosition="0"/>
    </format>
    <format dxfId="218">
      <pivotArea dataOnly="0" labelOnly="1" outline="0" fieldPosition="0">
        <references count="2">
          <reference field="9" count="1" selected="0">
            <x v="0"/>
          </reference>
          <reference field="10" count="5">
            <x v="3"/>
            <x v="4"/>
            <x v="5"/>
            <x v="6"/>
            <x v="13"/>
          </reference>
        </references>
      </pivotArea>
    </format>
    <format dxfId="217">
      <pivotArea dataOnly="0" labelOnly="1" outline="0" fieldPosition="0">
        <references count="2">
          <reference field="9" count="1" selected="0">
            <x v="1"/>
          </reference>
          <reference field="10" count="2">
            <x v="10"/>
            <x v="13"/>
          </reference>
        </references>
      </pivotArea>
    </format>
    <format dxfId="216">
      <pivotArea dataOnly="0" labelOnly="1" outline="0" fieldPosition="0">
        <references count="2">
          <reference field="9" count="1" selected="0">
            <x v="2"/>
          </reference>
          <reference field="10" count="3">
            <x v="7"/>
            <x v="10"/>
            <x v="11"/>
          </reference>
        </references>
      </pivotArea>
    </format>
    <format dxfId="215">
      <pivotArea dataOnly="0" labelOnly="1" outline="0" fieldPosition="0">
        <references count="2">
          <reference field="9" count="1" selected="0">
            <x v="3"/>
          </reference>
          <reference field="10" count="6">
            <x v="0"/>
            <x v="1"/>
            <x v="3"/>
            <x v="8"/>
            <x v="9"/>
            <x v="14"/>
          </reference>
        </references>
      </pivotArea>
    </format>
    <format dxfId="214">
      <pivotArea dataOnly="0" labelOnly="1" outline="0" fieldPosition="0">
        <references count="2">
          <reference field="9" count="1" selected="0">
            <x v="4"/>
          </reference>
          <reference field="10" count="1">
            <x v="7"/>
          </reference>
        </references>
      </pivotArea>
    </format>
    <format dxfId="213">
      <pivotArea dataOnly="0" labelOnly="1" outline="0" fieldPosition="0">
        <references count="2">
          <reference field="9" count="1" selected="0">
            <x v="5"/>
          </reference>
          <reference field="10" count="3">
            <x v="0"/>
            <x v="3"/>
            <x v="13"/>
          </reference>
        </references>
      </pivotArea>
    </format>
    <format dxfId="212">
      <pivotArea dataOnly="0" labelOnly="1" outline="0" fieldPosition="0">
        <references count="1">
          <reference field="4294967294" count="3">
            <x v="0"/>
            <x v="1"/>
            <x v="8"/>
          </reference>
        </references>
      </pivotArea>
    </format>
    <format dxfId="211">
      <pivotArea dataOnly="0" labelOnly="1" outline="0" fieldPosition="0">
        <references count="1">
          <reference field="4294967294" count="1">
            <x v="8"/>
          </reference>
        </references>
      </pivotArea>
    </format>
    <format dxfId="210">
      <pivotArea outline="0" collapsedLevelsAreSubtotals="1" fieldPosition="0">
        <references count="2">
          <reference field="4294967294" count="1" selected="0">
            <x v="8"/>
          </reference>
          <reference field="9" count="1" selected="0" defaultSubtotal="1">
            <x v="0"/>
          </reference>
        </references>
      </pivotArea>
    </format>
    <format dxfId="209">
      <pivotArea outline="0" collapsedLevelsAreSubtotals="1" fieldPosition="0">
        <references count="2">
          <reference field="4294967294" count="1" selected="0">
            <x v="1"/>
          </reference>
          <reference field="9" count="1" selected="0" defaultSubtotal="1">
            <x v="0"/>
          </reference>
        </references>
      </pivotArea>
    </format>
    <format dxfId="208">
      <pivotArea dataOnly="0" labelOnly="1" outline="0" fieldPosition="0">
        <references count="1">
          <reference field="4294967294" count="1">
            <x v="1"/>
          </reference>
        </references>
      </pivotArea>
    </format>
    <format dxfId="207">
      <pivotArea outline="0" collapsedLevelsAreSubtotals="1" fieldPosition="0">
        <references count="2">
          <reference field="4294967294" count="1" selected="0">
            <x v="1"/>
          </reference>
          <reference field="9" count="1" selected="0" defaultSubtotal="1">
            <x v="1"/>
          </reference>
        </references>
      </pivotArea>
    </format>
    <format dxfId="206">
      <pivotArea outline="0" collapsedLevelsAreSubtotals="1" fieldPosition="0">
        <references count="2">
          <reference field="4294967294" count="1" selected="0">
            <x v="8"/>
          </reference>
          <reference field="9" count="1" selected="0" defaultSubtotal="1">
            <x v="1"/>
          </reference>
        </references>
      </pivotArea>
    </format>
    <format dxfId="205">
      <pivotArea outline="0" collapsedLevelsAreSubtotals="1" fieldPosition="0">
        <references count="2">
          <reference field="4294967294" count="1" selected="0">
            <x v="1"/>
          </reference>
          <reference field="9" count="1" selected="0" defaultSubtotal="1">
            <x v="2"/>
          </reference>
        </references>
      </pivotArea>
    </format>
    <format dxfId="204">
      <pivotArea outline="0" collapsedLevelsAreSubtotals="1" fieldPosition="0">
        <references count="2">
          <reference field="4294967294" count="1" selected="0">
            <x v="8"/>
          </reference>
          <reference field="9" count="1" selected="0" defaultSubtotal="1">
            <x v="2"/>
          </reference>
        </references>
      </pivotArea>
    </format>
    <format dxfId="203">
      <pivotArea outline="0" collapsedLevelsAreSubtotals="1" fieldPosition="0">
        <references count="2">
          <reference field="4294967294" count="1" selected="0">
            <x v="1"/>
          </reference>
          <reference field="9" count="1" selected="0" defaultSubtotal="1">
            <x v="3"/>
          </reference>
        </references>
      </pivotArea>
    </format>
    <format dxfId="202">
      <pivotArea outline="0" collapsedLevelsAreSubtotals="1" fieldPosition="0">
        <references count="2">
          <reference field="4294967294" count="1" selected="0">
            <x v="8"/>
          </reference>
          <reference field="9" count="1" selected="0" defaultSubtotal="1">
            <x v="3"/>
          </reference>
        </references>
      </pivotArea>
    </format>
    <format dxfId="201">
      <pivotArea outline="0" collapsedLevelsAreSubtotals="1" fieldPosition="0">
        <references count="2">
          <reference field="4294967294" count="1" selected="0">
            <x v="8"/>
          </reference>
          <reference field="9" count="1" selected="0" defaultSubtotal="1">
            <x v="4"/>
          </reference>
        </references>
      </pivotArea>
    </format>
    <format dxfId="200">
      <pivotArea outline="0" collapsedLevelsAreSubtotals="1" fieldPosition="0">
        <references count="2">
          <reference field="4294967294" count="1" selected="0">
            <x v="1"/>
          </reference>
          <reference field="9" count="1" selected="0" defaultSubtotal="1">
            <x v="4"/>
          </reference>
        </references>
      </pivotArea>
    </format>
    <format dxfId="199">
      <pivotArea outline="0" collapsedLevelsAreSubtotals="1" fieldPosition="0">
        <references count="2">
          <reference field="4294967294" count="1" selected="0">
            <x v="1"/>
          </reference>
          <reference field="9" count="1" selected="0" defaultSubtotal="1">
            <x v="5"/>
          </reference>
        </references>
      </pivotArea>
    </format>
    <format dxfId="198">
      <pivotArea field="9" grandRow="1" outline="0" collapsedLevelsAreSubtotals="1" axis="axisRow" fieldPosition="0">
        <references count="1">
          <reference field="4294967294" count="1" selected="0">
            <x v="1"/>
          </reference>
        </references>
      </pivotArea>
    </format>
    <format dxfId="197">
      <pivotArea outline="0" collapsedLevelsAreSubtotals="1" fieldPosition="0">
        <references count="2">
          <reference field="4294967294" count="1" selected="0">
            <x v="8"/>
          </reference>
          <reference field="9" count="1" selected="0" defaultSubtotal="1">
            <x v="5"/>
          </reference>
        </references>
      </pivotArea>
    </format>
    <format dxfId="196">
      <pivotArea field="9" grandRow="1" outline="0" collapsedLevelsAreSubtotals="1" axis="axisRow" fieldPosition="0">
        <references count="1">
          <reference field="4294967294" count="1" selected="0">
            <x v="8"/>
          </reference>
        </references>
      </pivotArea>
    </format>
    <format dxfId="195">
      <pivotArea dataOnly="0" labelOnly="1" outline="0" fieldPosition="0">
        <references count="1">
          <reference field="4294967294" count="3">
            <x v="0"/>
            <x v="1"/>
            <x v="8"/>
          </reference>
        </references>
      </pivotArea>
    </format>
    <format dxfId="194">
      <pivotArea dataOnly="0" labelOnly="1" outline="0" fieldPosition="0">
        <references count="1">
          <reference field="4294967294" count="5">
            <x v="0"/>
            <x v="1"/>
            <x v="2"/>
            <x v="8"/>
            <x v="9"/>
          </reference>
        </references>
      </pivotArea>
    </format>
    <format dxfId="193">
      <pivotArea dataOnly="0" labelOnly="1" outline="0" fieldPosition="0">
        <references count="1">
          <reference field="4294967294" count="1">
            <x v="2"/>
          </reference>
        </references>
      </pivotArea>
    </format>
    <format dxfId="192">
      <pivotArea outline="0" fieldPosition="0">
        <references count="2">
          <reference field="4294967294" count="1" selected="0">
            <x v="2"/>
          </reference>
          <reference field="9" count="1" selected="0" defaultSubtotal="1">
            <x v="0"/>
          </reference>
        </references>
      </pivotArea>
    </format>
    <format dxfId="191">
      <pivotArea outline="0" fieldPosition="0">
        <references count="2">
          <reference field="4294967294" count="1" selected="0">
            <x v="2"/>
          </reference>
          <reference field="9" count="1" selected="0" defaultSubtotal="1">
            <x v="1"/>
          </reference>
        </references>
      </pivotArea>
    </format>
    <format dxfId="190">
      <pivotArea outline="0" fieldPosition="0">
        <references count="2">
          <reference field="4294967294" count="1" selected="0">
            <x v="2"/>
          </reference>
          <reference field="9" count="1" selected="0" defaultSubtotal="1">
            <x v="2"/>
          </reference>
        </references>
      </pivotArea>
    </format>
    <format dxfId="189">
      <pivotArea outline="0" fieldPosition="0">
        <references count="2">
          <reference field="4294967294" count="1" selected="0">
            <x v="2"/>
          </reference>
          <reference field="9" count="1" selected="0" defaultSubtotal="1">
            <x v="3"/>
          </reference>
        </references>
      </pivotArea>
    </format>
    <format dxfId="188">
      <pivotArea outline="0" fieldPosition="0">
        <references count="2">
          <reference field="4294967294" count="1" selected="0">
            <x v="2"/>
          </reference>
          <reference field="9" count="1" selected="0" defaultSubtotal="1">
            <x v="4"/>
          </reference>
        </references>
      </pivotArea>
    </format>
    <format dxfId="187">
      <pivotArea outline="0" fieldPosition="0">
        <references count="2">
          <reference field="4294967294" count="1" selected="0">
            <x v="2"/>
          </reference>
          <reference field="9" count="1" selected="0" defaultSubtotal="1">
            <x v="5"/>
          </reference>
        </references>
      </pivotArea>
    </format>
    <format dxfId="186">
      <pivotArea field="9" grandRow="1" outline="0" axis="axisRow" fieldPosition="0">
        <references count="1">
          <reference field="4294967294" count="1" selected="0">
            <x v="2"/>
          </reference>
        </references>
      </pivotArea>
    </format>
    <format dxfId="185">
      <pivotArea field="9" grandRow="1" outline="0" axis="axisRow" fieldPosition="0">
        <references count="1">
          <reference field="4294967294" count="1" selected="0">
            <x v="0"/>
          </reference>
        </references>
      </pivotArea>
    </format>
    <format dxfId="184">
      <pivotArea field="9" grandRow="1" outline="0" axis="axisRow" fieldPosition="0">
        <references count="1">
          <reference field="4294967294" count="1" selected="0">
            <x v="0"/>
          </reference>
        </references>
      </pivotArea>
    </format>
    <format dxfId="183">
      <pivotArea field="9" type="button" dataOnly="0" labelOnly="1" outline="0" axis="axisRow" fieldPosition="0"/>
    </format>
    <format dxfId="182">
      <pivotArea field="10" type="button" dataOnly="0" labelOnly="1" outline="0" axis="axisRow" fieldPosition="1"/>
    </format>
    <format dxfId="181">
      <pivotArea dataOnly="0" labelOnly="1" outline="0" fieldPosition="0">
        <references count="1">
          <reference field="4294967294" count="14">
            <x v="0"/>
            <x v="1"/>
            <x v="2"/>
            <x v="3"/>
            <x v="4"/>
            <x v="5"/>
            <x v="6"/>
            <x v="8"/>
            <x v="9"/>
            <x v="10"/>
            <x v="11"/>
            <x v="12"/>
            <x v="13"/>
            <x v="14"/>
          </reference>
        </references>
      </pivotArea>
    </format>
    <format dxfId="180">
      <pivotArea outline="0" fieldPosition="0">
        <references count="3">
          <reference field="4294967294" count="1" selected="0">
            <x v="1"/>
          </reference>
          <reference field="9" count="1" selected="0">
            <x v="0"/>
          </reference>
          <reference field="10" count="1" selected="0">
            <x v="5"/>
          </reference>
        </references>
      </pivotArea>
    </format>
    <format dxfId="179">
      <pivotArea dataOnly="0" labelOnly="1" outline="0" fieldPosition="0">
        <references count="1">
          <reference field="4294967294" count="4">
            <x v="3"/>
            <x v="4"/>
            <x v="5"/>
            <x v="6"/>
          </reference>
        </references>
      </pivotArea>
    </format>
    <format dxfId="178">
      <pivotArea outline="0" fieldPosition="0">
        <references count="2">
          <reference field="4294967294" count="4" selected="0">
            <x v="3"/>
            <x v="4"/>
            <x v="5"/>
            <x v="6"/>
          </reference>
          <reference field="9" count="1" selected="0" defaultSubtotal="1">
            <x v="0"/>
          </reference>
        </references>
      </pivotArea>
    </format>
    <format dxfId="177">
      <pivotArea outline="0" fieldPosition="0">
        <references count="2">
          <reference field="4294967294" count="4" selected="0">
            <x v="3"/>
            <x v="4"/>
            <x v="5"/>
            <x v="6"/>
          </reference>
          <reference field="9" count="1" selected="0" defaultSubtotal="1">
            <x v="1"/>
          </reference>
        </references>
      </pivotArea>
    </format>
    <format dxfId="176">
      <pivotArea outline="0" fieldPosition="0">
        <references count="2">
          <reference field="4294967294" count="4" selected="0">
            <x v="3"/>
            <x v="4"/>
            <x v="5"/>
            <x v="6"/>
          </reference>
          <reference field="9" count="1" selected="0" defaultSubtotal="1">
            <x v="2"/>
          </reference>
        </references>
      </pivotArea>
    </format>
    <format dxfId="175">
      <pivotArea outline="0" fieldPosition="0">
        <references count="2">
          <reference field="4294967294" count="4" selected="0">
            <x v="3"/>
            <x v="4"/>
            <x v="5"/>
            <x v="6"/>
          </reference>
          <reference field="9" count="1" selected="0" defaultSubtotal="1">
            <x v="3"/>
          </reference>
        </references>
      </pivotArea>
    </format>
    <format dxfId="174">
      <pivotArea outline="0" fieldPosition="0">
        <references count="2">
          <reference field="4294967294" count="1" selected="0">
            <x v="6"/>
          </reference>
          <reference field="9" count="1" selected="0" defaultSubtotal="1">
            <x v="4"/>
          </reference>
        </references>
      </pivotArea>
    </format>
    <format dxfId="173">
      <pivotArea outline="0" fieldPosition="0">
        <references count="2">
          <reference field="4294967294" count="1" selected="0">
            <x v="3"/>
          </reference>
          <reference field="9" count="1" selected="0" defaultSubtotal="1">
            <x v="4"/>
          </reference>
        </references>
      </pivotArea>
    </format>
    <format dxfId="172">
      <pivotArea outline="0" fieldPosition="0">
        <references count="2">
          <reference field="4294967294" count="4" selected="0">
            <x v="3"/>
            <x v="4"/>
            <x v="5"/>
            <x v="6"/>
          </reference>
          <reference field="9" count="1" selected="0" defaultSubtotal="1">
            <x v="5"/>
          </reference>
        </references>
      </pivotArea>
    </format>
    <format dxfId="171">
      <pivotArea outline="0" fieldPosition="0">
        <references count="2">
          <reference field="4294967294" count="1" selected="0">
            <x v="4"/>
          </reference>
          <reference field="9" count="1" selected="0" defaultSubtotal="1">
            <x v="4"/>
          </reference>
        </references>
      </pivotArea>
    </format>
    <format dxfId="170">
      <pivotArea outline="0" fieldPosition="0">
        <references count="2">
          <reference field="4294967294" count="1" selected="0">
            <x v="5"/>
          </reference>
          <reference field="9" count="1" selected="0" defaultSubtotal="1">
            <x v="4"/>
          </reference>
        </references>
      </pivotArea>
    </format>
    <format dxfId="169">
      <pivotArea field="9" grandRow="1" outline="0" axis="axisRow" fieldPosition="0">
        <references count="1">
          <reference field="4294967294" count="4" selected="0">
            <x v="3"/>
            <x v="4"/>
            <x v="5"/>
            <x v="6"/>
          </reference>
        </references>
      </pivotArea>
    </format>
    <format dxfId="168">
      <pivotArea dataOnly="0" labelOnly="1" outline="0" fieldPosition="0">
        <references count="1">
          <reference field="4294967294" count="5">
            <x v="9"/>
            <x v="10"/>
            <x v="11"/>
            <x v="12"/>
            <x v="13"/>
          </reference>
        </references>
      </pivotArea>
    </format>
    <format dxfId="167">
      <pivotArea outline="0" fieldPosition="0">
        <references count="2">
          <reference field="4294967294" count="5" selected="0">
            <x v="9"/>
            <x v="10"/>
            <x v="11"/>
            <x v="12"/>
            <x v="13"/>
          </reference>
          <reference field="9" count="1" selected="0" defaultSubtotal="1">
            <x v="0"/>
          </reference>
        </references>
      </pivotArea>
    </format>
    <format dxfId="166">
      <pivotArea outline="0" fieldPosition="0">
        <references count="2">
          <reference field="4294967294" count="5" selected="0">
            <x v="9"/>
            <x v="10"/>
            <x v="11"/>
            <x v="12"/>
            <x v="13"/>
          </reference>
          <reference field="9" count="1" selected="0" defaultSubtotal="1">
            <x v="1"/>
          </reference>
        </references>
      </pivotArea>
    </format>
    <format dxfId="165">
      <pivotArea outline="0" fieldPosition="0">
        <references count="2">
          <reference field="4294967294" count="5" selected="0">
            <x v="9"/>
            <x v="10"/>
            <x v="11"/>
            <x v="12"/>
            <x v="13"/>
          </reference>
          <reference field="9" count="1" selected="0" defaultSubtotal="1">
            <x v="2"/>
          </reference>
        </references>
      </pivotArea>
    </format>
    <format dxfId="164">
      <pivotArea outline="0" fieldPosition="0">
        <references count="2">
          <reference field="4294967294" count="5" selected="0">
            <x v="9"/>
            <x v="10"/>
            <x v="11"/>
            <x v="12"/>
            <x v="13"/>
          </reference>
          <reference field="9" count="1" selected="0" defaultSubtotal="1">
            <x v="3"/>
          </reference>
        </references>
      </pivotArea>
    </format>
    <format dxfId="163">
      <pivotArea outline="0" fieldPosition="0">
        <references count="2">
          <reference field="4294967294" count="5" selected="0">
            <x v="9"/>
            <x v="10"/>
            <x v="11"/>
            <x v="12"/>
            <x v="13"/>
          </reference>
          <reference field="9" count="1" selected="0" defaultSubtotal="1">
            <x v="4"/>
          </reference>
        </references>
      </pivotArea>
    </format>
    <format dxfId="162">
      <pivotArea outline="0" fieldPosition="0">
        <references count="2">
          <reference field="4294967294" count="5" selected="0">
            <x v="9"/>
            <x v="10"/>
            <x v="11"/>
            <x v="12"/>
            <x v="13"/>
          </reference>
          <reference field="9" count="1" selected="0" defaultSubtotal="1">
            <x v="5"/>
          </reference>
        </references>
      </pivotArea>
    </format>
    <format dxfId="161">
      <pivotArea field="9" grandRow="1" outline="0" axis="axisRow" fieldPosition="0">
        <references count="1">
          <reference field="4294967294" count="5" selected="0">
            <x v="9"/>
            <x v="10"/>
            <x v="11"/>
            <x v="12"/>
            <x v="13"/>
          </reference>
        </references>
      </pivotArea>
    </format>
    <format dxfId="160">
      <pivotArea dataOnly="0" labelOnly="1" outline="0" fieldPosition="0">
        <references count="1">
          <reference field="4294967294" count="1">
            <x v="7"/>
          </reference>
        </references>
      </pivotArea>
    </format>
    <format dxfId="159">
      <pivotArea dataOnly="0" labelOnly="1" outline="0" fieldPosition="0">
        <references count="1">
          <reference field="4294967294" count="1">
            <x v="7"/>
          </reference>
        </references>
      </pivotArea>
    </format>
    <format dxfId="158">
      <pivotArea outline="0" fieldPosition="0">
        <references count="2">
          <reference field="4294967294" count="1" selected="0">
            <x v="7"/>
          </reference>
          <reference field="9" count="1" selected="0" defaultSubtotal="1">
            <x v="0"/>
          </reference>
        </references>
      </pivotArea>
    </format>
    <format dxfId="157">
      <pivotArea outline="0" fieldPosition="0">
        <references count="2">
          <reference field="4294967294" count="1" selected="0">
            <x v="7"/>
          </reference>
          <reference field="9" count="1" selected="0" defaultSubtotal="1">
            <x v="1"/>
          </reference>
        </references>
      </pivotArea>
    </format>
    <format dxfId="156">
      <pivotArea outline="0" fieldPosition="0">
        <references count="2">
          <reference field="4294967294" count="1" selected="0">
            <x v="7"/>
          </reference>
          <reference field="9" count="1" selected="0" defaultSubtotal="1">
            <x v="2"/>
          </reference>
        </references>
      </pivotArea>
    </format>
    <format dxfId="155">
      <pivotArea outline="0" fieldPosition="0">
        <references count="2">
          <reference field="4294967294" count="1" selected="0">
            <x v="7"/>
          </reference>
          <reference field="9" count="1" selected="0" defaultSubtotal="1">
            <x v="3"/>
          </reference>
        </references>
      </pivotArea>
    </format>
    <format dxfId="154">
      <pivotArea outline="0" fieldPosition="0">
        <references count="2">
          <reference field="4294967294" count="1" selected="0">
            <x v="7"/>
          </reference>
          <reference field="9" count="1" selected="0" defaultSubtotal="1">
            <x v="4"/>
          </reference>
        </references>
      </pivotArea>
    </format>
    <format dxfId="153">
      <pivotArea outline="0" fieldPosition="0">
        <references count="2">
          <reference field="4294967294" count="1" selected="0">
            <x v="7"/>
          </reference>
          <reference field="9" count="1" selected="0" defaultSubtotal="1">
            <x v="5"/>
          </reference>
        </references>
      </pivotArea>
    </format>
    <format dxfId="152">
      <pivotArea field="9" grandRow="1" outline="0" axis="axisRow" fieldPosition="0">
        <references count="1">
          <reference field="4294967294" count="1" selected="0">
            <x v="7"/>
          </reference>
        </references>
      </pivotArea>
    </format>
    <format dxfId="151">
      <pivotArea dataOnly="0" labelOnly="1" outline="0" fieldPosition="0">
        <references count="1">
          <reference field="4294967294" count="1">
            <x v="14"/>
          </reference>
        </references>
      </pivotArea>
    </format>
    <format dxfId="150">
      <pivotArea outline="0" fieldPosition="0">
        <references count="2">
          <reference field="4294967294" count="1" selected="0">
            <x v="14"/>
          </reference>
          <reference field="9" count="1" selected="0" defaultSubtotal="1">
            <x v="1"/>
          </reference>
        </references>
      </pivotArea>
    </format>
    <format dxfId="149">
      <pivotArea outline="0" fieldPosition="0">
        <references count="2">
          <reference field="4294967294" count="1" selected="0">
            <x v="14"/>
          </reference>
          <reference field="9" count="1" selected="0" defaultSubtotal="1">
            <x v="2"/>
          </reference>
        </references>
      </pivotArea>
    </format>
    <format dxfId="148">
      <pivotArea outline="0" fieldPosition="0">
        <references count="2">
          <reference field="4294967294" count="1" selected="0">
            <x v="14"/>
          </reference>
          <reference field="9" count="1" selected="0" defaultSubtotal="1">
            <x v="3"/>
          </reference>
        </references>
      </pivotArea>
    </format>
    <format dxfId="147">
      <pivotArea outline="0" fieldPosition="0">
        <references count="2">
          <reference field="4294967294" count="1" selected="0">
            <x v="14"/>
          </reference>
          <reference field="9" count="1" selected="0" defaultSubtotal="1">
            <x v="4"/>
          </reference>
        </references>
      </pivotArea>
    </format>
    <format dxfId="146">
      <pivotArea outline="0" fieldPosition="0">
        <references count="2">
          <reference field="4294967294" count="1" selected="0">
            <x v="14"/>
          </reference>
          <reference field="9" count="1" selected="0" defaultSubtotal="1">
            <x v="5"/>
          </reference>
        </references>
      </pivotArea>
    </format>
    <format dxfId="145">
      <pivotArea field="9" grandRow="1" outline="0" axis="axisRow" fieldPosition="0">
        <references count="1">
          <reference field="4294967294" count="1" selected="0">
            <x v="14"/>
          </reference>
        </references>
      </pivotArea>
    </format>
    <format dxfId="144">
      <pivotArea outline="0" fieldPosition="0">
        <references count="2">
          <reference field="4294967294" count="1" selected="0">
            <x v="14"/>
          </reference>
          <reference field="9" count="1" selected="0" defaultSubtotal="1">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FF09E2-E1B2-4705-8C4C-6C3144DD9E1C}" name="PivotTable2" cacheId="13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Q145" firstHeaderRow="1" firstDataRow="2" firstDataCol="2" rowPageCount="2" colPageCount="1"/>
  <pivotFields count="113">
    <pivotField compact="0" outline="0" showAll="0"/>
    <pivotField compact="0" outline="0" showAll="0"/>
    <pivotField compact="0" outline="0" showAll="0">
      <items count="8">
        <item x="5"/>
        <item x="6"/>
        <item x="1"/>
        <item x="3"/>
        <item x="0"/>
        <item x="2"/>
        <item x="4"/>
        <item t="default"/>
      </items>
    </pivotField>
    <pivotField compact="0" outline="0" showAll="0"/>
    <pivotField compact="0" outline="0" showAll="0"/>
    <pivotField compact="0" outline="0" showAll="0"/>
    <pivotField compact="0" outline="0" showAll="0"/>
    <pivotField axis="axisPage" compact="0" outline="0" multipleItemSelectionAllowed="1" showAll="0">
      <items count="7">
        <item x="0"/>
        <item x="1"/>
        <item x="2"/>
        <item x="3"/>
        <item x="4"/>
        <item m="1" x="5"/>
        <item t="default"/>
      </items>
    </pivotField>
    <pivotField compact="0" outline="0" showAll="0"/>
    <pivotField axis="axisRow" compact="0" outline="0" showAll="0">
      <items count="7">
        <item x="1"/>
        <item x="5"/>
        <item x="4"/>
        <item x="3"/>
        <item x="0"/>
        <item x="2"/>
        <item t="default"/>
      </items>
    </pivotField>
    <pivotField compact="0" outline="0" showAll="0">
      <items count="22">
        <item x="0"/>
        <item x="17"/>
        <item x="12"/>
        <item x="15"/>
        <item x="10"/>
        <item x="3"/>
        <item x="8"/>
        <item x="7"/>
        <item x="13"/>
        <item x="9"/>
        <item x="14"/>
        <item x="4"/>
        <item x="5"/>
        <item x="1"/>
        <item x="11"/>
        <item x="2"/>
        <item x="6"/>
        <item x="16"/>
        <item x="18"/>
        <item x="19"/>
        <item x="20"/>
        <item t="default"/>
      </items>
    </pivotField>
    <pivotField compact="0" outline="0" showAll="0">
      <items count="9">
        <item x="3"/>
        <item x="1"/>
        <item x="6"/>
        <item x="4"/>
        <item x="2"/>
        <item x="0"/>
        <item x="7"/>
        <item x="5"/>
        <item t="default"/>
      </items>
    </pivotField>
    <pivotField dataField="1" compact="0" outline="0" showAll="0"/>
    <pivotField axis="axisPage" compact="0" outline="0" multipleItemSelectionAllowed="1"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items count="123">
        <item x="89"/>
        <item x="36"/>
        <item x="61"/>
        <item x="11"/>
        <item x="90"/>
        <item x="49"/>
        <item x="96"/>
        <item x="62"/>
        <item x="31"/>
        <item x="16"/>
        <item x="101"/>
        <item x="75"/>
        <item x="7"/>
        <item x="64"/>
        <item x="13"/>
        <item x="25"/>
        <item x="9"/>
        <item x="112"/>
        <item x="70"/>
        <item x="19"/>
        <item x="83"/>
        <item x="37"/>
        <item x="105"/>
        <item x="10"/>
        <item x="80"/>
        <item x="102"/>
        <item x="92"/>
        <item x="73"/>
        <item x="88"/>
        <item x="87"/>
        <item x="0"/>
        <item x="38"/>
        <item x="76"/>
        <item x="111"/>
        <item x="81"/>
        <item x="58"/>
        <item x="28"/>
        <item x="5"/>
        <item x="60"/>
        <item x="91"/>
        <item x="17"/>
        <item x="50"/>
        <item x="110"/>
        <item x="12"/>
        <item x="84"/>
        <item x="47"/>
        <item x="30"/>
        <item x="103"/>
        <item x="41"/>
        <item x="79"/>
        <item x="48"/>
        <item x="120"/>
        <item x="44"/>
        <item x="67"/>
        <item x="43"/>
        <item x="78"/>
        <item x="42"/>
        <item x="107"/>
        <item x="108"/>
        <item x="121"/>
        <item x="21"/>
        <item x="24"/>
        <item x="29"/>
        <item x="26"/>
        <item x="97"/>
        <item x="85"/>
        <item x="117"/>
        <item x="59"/>
        <item x="1"/>
        <item x="54"/>
        <item x="33"/>
        <item x="82"/>
        <item x="20"/>
        <item x="69"/>
        <item x="118"/>
        <item x="106"/>
        <item x="100"/>
        <item x="32"/>
        <item x="2"/>
        <item x="72"/>
        <item x="74"/>
        <item x="116"/>
        <item x="27"/>
        <item x="46"/>
        <item x="34"/>
        <item x="53"/>
        <item x="104"/>
        <item x="63"/>
        <item x="56"/>
        <item x="3"/>
        <item x="55"/>
        <item x="4"/>
        <item x="94"/>
        <item x="40"/>
        <item x="35"/>
        <item x="71"/>
        <item x="15"/>
        <item x="52"/>
        <item x="99"/>
        <item x="6"/>
        <item x="86"/>
        <item x="22"/>
        <item x="39"/>
        <item x="18"/>
        <item x="51"/>
        <item x="65"/>
        <item x="14"/>
        <item x="119"/>
        <item x="45"/>
        <item x="8"/>
        <item x="57"/>
        <item x="77"/>
        <item x="23"/>
        <item x="98"/>
        <item x="114"/>
        <item x="68"/>
        <item x="95"/>
        <item x="66"/>
        <item x="109"/>
        <item x="93"/>
        <item x="113"/>
        <item x="115"/>
        <item t="default"/>
      </items>
    </pivotField>
    <pivotField axis="axisRow" compact="0" outline="0" showAll="0">
      <items count="136">
        <item x="77"/>
        <item x="94"/>
        <item x="132"/>
        <item x="50"/>
        <item x="26"/>
        <item x="96"/>
        <item x="27"/>
        <item x="46"/>
        <item x="108"/>
        <item x="17"/>
        <item x="40"/>
        <item x="30"/>
        <item x="41"/>
        <item x="42"/>
        <item x="43"/>
        <item x="93"/>
        <item x="70"/>
        <item x="87"/>
        <item x="4"/>
        <item x="109"/>
        <item x="1"/>
        <item x="19"/>
        <item x="25"/>
        <item x="80"/>
        <item x="85"/>
        <item x="31"/>
        <item x="124"/>
        <item x="36"/>
        <item x="90"/>
        <item x="120"/>
        <item x="76"/>
        <item x="110"/>
        <item x="45"/>
        <item x="34"/>
        <item x="33"/>
        <item x="79"/>
        <item x="101"/>
        <item x="57"/>
        <item x="48"/>
        <item x="47"/>
        <item x="98"/>
        <item x="116"/>
        <item x="111"/>
        <item x="54"/>
        <item x="125"/>
        <item x="122"/>
        <item x="123"/>
        <item x="2"/>
        <item x="99"/>
        <item x="92"/>
        <item x="104"/>
        <item x="107"/>
        <item x="58"/>
        <item x="32"/>
        <item x="82"/>
        <item x="55"/>
        <item x="9"/>
        <item x="131"/>
        <item x="127"/>
        <item x="81"/>
        <item x="64"/>
        <item x="105"/>
        <item x="75"/>
        <item x="117"/>
        <item x="102"/>
        <item x="53"/>
        <item x="73"/>
        <item x="119"/>
        <item x="18"/>
        <item x="129"/>
        <item x="7"/>
        <item x="112"/>
        <item x="89"/>
        <item x="91"/>
        <item x="62"/>
        <item x="65"/>
        <item x="130"/>
        <item x="113"/>
        <item x="83"/>
        <item x="71"/>
        <item x="69"/>
        <item x="61"/>
        <item x="20"/>
        <item x="44"/>
        <item x="84"/>
        <item x="126"/>
        <item x="51"/>
        <item x="10"/>
        <item x="134"/>
        <item x="118"/>
        <item x="88"/>
        <item x="67"/>
        <item x="11"/>
        <item x="86"/>
        <item x="22"/>
        <item x="28"/>
        <item x="14"/>
        <item x="74"/>
        <item x="16"/>
        <item x="103"/>
        <item x="24"/>
        <item x="60"/>
        <item x="128"/>
        <item x="100"/>
        <item x="72"/>
        <item x="56"/>
        <item x="3"/>
        <item x="52"/>
        <item x="12"/>
        <item x="8"/>
        <item x="37"/>
        <item x="13"/>
        <item x="5"/>
        <item x="49"/>
        <item x="39"/>
        <item x="6"/>
        <item x="133"/>
        <item x="15"/>
        <item x="23"/>
        <item x="63"/>
        <item x="106"/>
        <item x="38"/>
        <item x="0"/>
        <item x="21"/>
        <item x="29"/>
        <item x="59"/>
        <item x="114"/>
        <item x="95"/>
        <item x="66"/>
        <item x="68"/>
        <item x="115"/>
        <item x="35"/>
        <item x="78"/>
        <item x="97"/>
        <item x="121"/>
        <item t="default"/>
      </items>
    </pivotField>
    <pivotField compact="0" outline="0" showAll="0">
      <items count="542">
        <item x="457"/>
        <item x="269"/>
        <item x="173"/>
        <item x="4"/>
        <item x="422"/>
        <item x="2"/>
        <item x="254"/>
        <item x="378"/>
        <item x="461"/>
        <item x="70"/>
        <item x="118"/>
        <item x="444"/>
        <item x="237"/>
        <item x="285"/>
        <item x="339"/>
        <item x="36"/>
        <item x="438"/>
        <item x="60"/>
        <item x="157"/>
        <item x="131"/>
        <item x="287"/>
        <item x="388"/>
        <item x="296"/>
        <item x="238"/>
        <item x="297"/>
        <item x="127"/>
        <item x="21"/>
        <item x="59"/>
        <item x="302"/>
        <item x="387"/>
        <item x="300"/>
        <item x="417"/>
        <item x="416"/>
        <item x="447"/>
        <item x="311"/>
        <item x="233"/>
        <item x="239"/>
        <item x="446"/>
        <item x="303"/>
        <item x="325"/>
        <item x="362"/>
        <item x="323"/>
        <item x="467"/>
        <item x="434"/>
        <item x="212"/>
        <item x="407"/>
        <item x="148"/>
        <item x="153"/>
        <item x="386"/>
        <item x="56"/>
        <item x="232"/>
        <item x="330"/>
        <item x="48"/>
        <item x="324"/>
        <item x="51"/>
        <item x="55"/>
        <item x="537"/>
        <item x="47"/>
        <item x="88"/>
        <item x="409"/>
        <item x="276"/>
        <item x="197"/>
        <item x="505"/>
        <item x="0"/>
        <item x="503"/>
        <item x="497"/>
        <item x="504"/>
        <item x="358"/>
        <item x="87"/>
        <item x="134"/>
        <item x="133"/>
        <item x="266"/>
        <item x="278"/>
        <item x="282"/>
        <item x="357"/>
        <item x="172"/>
        <item x="356"/>
        <item x="353"/>
        <item x="354"/>
        <item x="355"/>
        <item x="411"/>
        <item x="188"/>
        <item x="263"/>
        <item x="264"/>
        <item x="437"/>
        <item x="280"/>
        <item x="328"/>
        <item x="491"/>
        <item x="140"/>
        <item x="335"/>
        <item x="319"/>
        <item x="106"/>
        <item x="206"/>
        <item x="6"/>
        <item x="208"/>
        <item x="92"/>
        <item x="518"/>
        <item x="207"/>
        <item x="40"/>
        <item x="519"/>
        <item x="534"/>
        <item x="419"/>
        <item x="96"/>
        <item x="290"/>
        <item x="391"/>
        <item x="342"/>
        <item x="113"/>
        <item x="293"/>
        <item x="385"/>
        <item x="465"/>
        <item x="39"/>
        <item x="228"/>
        <item x="117"/>
        <item x="456"/>
        <item x="5"/>
        <item x="292"/>
        <item x="114"/>
        <item x="95"/>
        <item x="102"/>
        <item x="395"/>
        <item x="294"/>
        <item x="381"/>
        <item x="382"/>
        <item x="383"/>
        <item x="459"/>
        <item x="1"/>
        <item x="372"/>
        <item x="384"/>
        <item x="175"/>
        <item x="393"/>
        <item x="414"/>
        <item x="415"/>
        <item x="316"/>
        <item x="261"/>
        <item x="413"/>
        <item x="433"/>
        <item x="490"/>
        <item x="332"/>
        <item x="279"/>
        <item x="492"/>
        <item x="493"/>
        <item x="520"/>
        <item x="508"/>
        <item x="308"/>
        <item x="476"/>
        <item x="72"/>
        <item x="363"/>
        <item x="105"/>
        <item x="73"/>
        <item x="275"/>
        <item x="260"/>
        <item x="252"/>
        <item x="257"/>
        <item x="406"/>
        <item x="412"/>
        <item x="147"/>
        <item x="331"/>
        <item x="231"/>
        <item x="281"/>
        <item x="329"/>
        <item x="265"/>
        <item x="121"/>
        <item x="374"/>
        <item x="62"/>
        <item x="262"/>
        <item x="475"/>
        <item x="65"/>
        <item x="35"/>
        <item x="33"/>
        <item x="34"/>
        <item x="418"/>
        <item x="116"/>
        <item x="244"/>
        <item x="245"/>
        <item x="247"/>
        <item x="248"/>
        <item x="115"/>
        <item x="313"/>
        <item x="187"/>
        <item x="52"/>
        <item x="81"/>
        <item x="337"/>
        <item x="82"/>
        <item x="298"/>
        <item x="390"/>
        <item x="515"/>
        <item x="79"/>
        <item x="317"/>
        <item x="283"/>
        <item x="50"/>
        <item x="309"/>
        <item x="107"/>
        <item x="448"/>
        <item x="466"/>
        <item x="464"/>
        <item x="485"/>
        <item x="420"/>
        <item x="408"/>
        <item x="341"/>
        <item x="249"/>
        <item x="250"/>
        <item x="284"/>
        <item x="45"/>
        <item x="351"/>
        <item x="498"/>
        <item x="94"/>
        <item x="218"/>
        <item x="474"/>
        <item x="488"/>
        <item x="69"/>
        <item x="379"/>
        <item x="380"/>
        <item x="450"/>
        <item x="274"/>
        <item x="452"/>
        <item x="132"/>
        <item x="392"/>
        <item x="128"/>
        <item x="394"/>
        <item x="125"/>
        <item x="460"/>
        <item x="458"/>
        <item x="246"/>
        <item x="322"/>
        <item x="64"/>
        <item x="538"/>
        <item x="77"/>
        <item x="501"/>
        <item x="310"/>
        <item x="314"/>
        <item x="480"/>
        <item x="304"/>
        <item x="479"/>
        <item x="174"/>
        <item x="295"/>
        <item x="126"/>
        <item x="462"/>
        <item x="189"/>
        <item x="347"/>
        <item x="58"/>
        <item x="190"/>
        <item x="463"/>
        <item x="369"/>
        <item x="158"/>
        <item x="473"/>
        <item x="528"/>
        <item x="370"/>
        <item x="75"/>
        <item x="371"/>
        <item x="165"/>
        <item x="80"/>
        <item x="89"/>
        <item x="289"/>
        <item x="436"/>
        <item x="401"/>
        <item x="203"/>
        <item x="531"/>
        <item x="529"/>
        <item x="205"/>
        <item x="516"/>
        <item x="373"/>
        <item x="489"/>
        <item x="259"/>
        <item x="211"/>
        <item x="93"/>
        <item x="326"/>
        <item x="240"/>
        <item x="142"/>
        <item x="143"/>
        <item x="219"/>
        <item x="226"/>
        <item x="405"/>
        <item x="421"/>
        <item x="20"/>
        <item x="13"/>
        <item x="61"/>
        <item x="44"/>
        <item x="169"/>
        <item x="321"/>
        <item x="533"/>
        <item x="512"/>
        <item x="318"/>
        <item x="63"/>
        <item x="242"/>
        <item x="91"/>
        <item x="217"/>
        <item x="410"/>
        <item x="19"/>
        <item x="510"/>
        <item x="440"/>
        <item x="149"/>
        <item x="11"/>
        <item x="9"/>
        <item x="441"/>
        <item x="43"/>
        <item x="154"/>
        <item x="144"/>
        <item x="442"/>
        <item x="12"/>
        <item x="10"/>
        <item x="16"/>
        <item x="443"/>
        <item x="145"/>
        <item x="66"/>
        <item x="176"/>
        <item x="138"/>
        <item x="18"/>
        <item x="291"/>
        <item x="17"/>
        <item x="136"/>
        <item x="14"/>
        <item x="156"/>
        <item x="539"/>
        <item x="135"/>
        <item x="108"/>
        <item x="68"/>
        <item x="54"/>
        <item x="30"/>
        <item x="28"/>
        <item x="129"/>
        <item x="104"/>
        <item x="46"/>
        <item x="110"/>
        <item x="210"/>
        <item x="41"/>
        <item x="271"/>
        <item x="100"/>
        <item x="38"/>
        <item x="42"/>
        <item x="532"/>
        <item x="200"/>
        <item x="124"/>
        <item x="8"/>
        <item x="349"/>
        <item x="111"/>
        <item x="130"/>
        <item x="112"/>
        <item x="32"/>
        <item x="222"/>
        <item x="334"/>
        <item x="230"/>
        <item x="182"/>
        <item x="209"/>
        <item x="375"/>
        <item x="272"/>
        <item x="273"/>
        <item x="214"/>
        <item x="152"/>
        <item x="151"/>
        <item x="227"/>
        <item x="101"/>
        <item x="103"/>
        <item x="109"/>
        <item x="511"/>
        <item x="513"/>
        <item x="535"/>
        <item x="57"/>
        <item x="204"/>
        <item x="256"/>
        <item x="71"/>
        <item x="31"/>
        <item x="67"/>
        <item x="223"/>
        <item x="484"/>
        <item x="3"/>
        <item x="536"/>
        <item x="213"/>
        <item x="15"/>
        <item x="220"/>
        <item x="299"/>
        <item x="453"/>
        <item x="400"/>
        <item x="396"/>
        <item x="397"/>
        <item x="398"/>
        <item x="399"/>
        <item x="344"/>
        <item x="359"/>
        <item x="435"/>
        <item x="150"/>
        <item x="160"/>
        <item x="120"/>
        <item x="525"/>
        <item x="192"/>
        <item x="502"/>
        <item x="364"/>
        <item x="361"/>
        <item x="454"/>
        <item x="455"/>
        <item x="286"/>
        <item x="202"/>
        <item x="517"/>
        <item x="389"/>
        <item x="201"/>
        <item x="360"/>
        <item x="451"/>
        <item x="198"/>
        <item x="162"/>
        <item x="37"/>
        <item x="333"/>
        <item x="268"/>
        <item x="402"/>
        <item x="320"/>
        <item x="327"/>
        <item x="159"/>
        <item x="530"/>
        <item x="225"/>
        <item x="301"/>
        <item x="166"/>
        <item x="90"/>
        <item x="404"/>
        <item x="194"/>
        <item x="376"/>
        <item x="368"/>
        <item x="155"/>
        <item x="177"/>
        <item x="215"/>
        <item x="523"/>
        <item x="423"/>
        <item x="258"/>
        <item x="167"/>
        <item x="168"/>
        <item x="7"/>
        <item x="180"/>
        <item x="500"/>
        <item x="196"/>
        <item x="478"/>
        <item x="178"/>
        <item x="181"/>
        <item x="221"/>
        <item x="25"/>
        <item x="377"/>
        <item x="22"/>
        <item x="24"/>
        <item x="506"/>
        <item x="179"/>
        <item x="477"/>
        <item x="509"/>
        <item x="514"/>
        <item x="78"/>
        <item x="243"/>
        <item x="29"/>
        <item x="49"/>
        <item x="191"/>
        <item x="540"/>
        <item x="527"/>
        <item x="449"/>
        <item x="123"/>
        <item x="521"/>
        <item x="526"/>
        <item x="122"/>
        <item x="439"/>
        <item x="83"/>
        <item x="216"/>
        <item x="524"/>
        <item x="522"/>
        <item x="468"/>
        <item x="193"/>
        <item x="430"/>
        <item x="86"/>
        <item x="23"/>
        <item x="429"/>
        <item x="26"/>
        <item x="487"/>
        <item x="164"/>
        <item x="428"/>
        <item x="253"/>
        <item x="340"/>
        <item x="270"/>
        <item x="472"/>
        <item x="183"/>
        <item x="184"/>
        <item x="185"/>
        <item x="186"/>
        <item x="76"/>
        <item x="84"/>
        <item x="469"/>
        <item x="224"/>
        <item x="403"/>
        <item x="74"/>
        <item x="53"/>
        <item x="348"/>
        <item x="307"/>
        <item x="352"/>
        <item x="445"/>
        <item x="288"/>
        <item x="161"/>
        <item x="85"/>
        <item x="343"/>
        <item x="146"/>
        <item x="305"/>
        <item x="137"/>
        <item x="195"/>
        <item x="98"/>
        <item x="241"/>
        <item x="27"/>
        <item x="251"/>
        <item x="163"/>
        <item x="338"/>
        <item x="470"/>
        <item x="432"/>
        <item x="471"/>
        <item x="345"/>
        <item x="346"/>
        <item x="315"/>
        <item x="424"/>
        <item x="425"/>
        <item x="426"/>
        <item x="427"/>
        <item x="431"/>
        <item x="365"/>
        <item x="366"/>
        <item x="97"/>
        <item x="170"/>
        <item x="119"/>
        <item x="171"/>
        <item x="99"/>
        <item x="312"/>
        <item x="229"/>
        <item x="367"/>
        <item x="277"/>
        <item x="199"/>
        <item x="139"/>
        <item x="350"/>
        <item x="141"/>
        <item x="496"/>
        <item x="255"/>
        <item x="234"/>
        <item x="235"/>
        <item x="236"/>
        <item x="306"/>
        <item x="267"/>
        <item x="336"/>
        <item x="481"/>
        <item x="482"/>
        <item x="483"/>
        <item x="494"/>
        <item x="495"/>
        <item x="507"/>
        <item x="499"/>
        <item x="48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5"/>
        <item x="8"/>
        <item x="10"/>
        <item x="3"/>
        <item x="9"/>
        <item x="1"/>
        <item x="7"/>
        <item x="4"/>
        <item x="2"/>
        <item x="6"/>
        <item x="11"/>
        <item t="default"/>
      </items>
    </pivotField>
    <pivotField compact="0" outline="0" showAll="0">
      <items count="24">
        <item x="11"/>
        <item x="18"/>
        <item x="15"/>
        <item x="1"/>
        <item x="12"/>
        <item x="21"/>
        <item x="6"/>
        <item x="5"/>
        <item x="8"/>
        <item x="2"/>
        <item x="20"/>
        <item x="0"/>
        <item x="19"/>
        <item x="4"/>
        <item x="10"/>
        <item x="9"/>
        <item x="13"/>
        <item x="16"/>
        <item x="17"/>
        <item x="22"/>
        <item x="7"/>
        <item x="3"/>
        <item x="14"/>
        <item t="default"/>
      </items>
    </pivotField>
    <pivotField compact="0" outline="0" showAll="0"/>
    <pivotField compact="0" outline="0" showAll="0">
      <items count="86">
        <item x="70"/>
        <item x="61"/>
        <item x="71"/>
        <item x="12"/>
        <item x="45"/>
        <item x="59"/>
        <item x="11"/>
        <item x="33"/>
        <item x="9"/>
        <item x="52"/>
        <item x="6"/>
        <item x="47"/>
        <item x="72"/>
        <item x="53"/>
        <item x="7"/>
        <item x="64"/>
        <item x="2"/>
        <item x="80"/>
        <item x="3"/>
        <item x="25"/>
        <item x="44"/>
        <item x="54"/>
        <item x="10"/>
        <item x="83"/>
        <item x="14"/>
        <item x="8"/>
        <item x="1"/>
        <item x="51"/>
        <item x="34"/>
        <item x="18"/>
        <item x="23"/>
        <item x="60"/>
        <item x="20"/>
        <item x="26"/>
        <item x="78"/>
        <item x="35"/>
        <item x="4"/>
        <item x="84"/>
        <item x="28"/>
        <item x="48"/>
        <item x="79"/>
        <item x="5"/>
        <item x="46"/>
        <item x="13"/>
        <item x="65"/>
        <item x="16"/>
        <item x="24"/>
        <item x="50"/>
        <item x="17"/>
        <item x="43"/>
        <item x="49"/>
        <item x="73"/>
        <item x="19"/>
        <item x="37"/>
        <item x="74"/>
        <item x="27"/>
        <item x="75"/>
        <item x="76"/>
        <item x="22"/>
        <item x="40"/>
        <item x="41"/>
        <item x="55"/>
        <item x="15"/>
        <item x="36"/>
        <item x="42"/>
        <item x="56"/>
        <item x="39"/>
        <item x="57"/>
        <item x="29"/>
        <item x="38"/>
        <item x="81"/>
        <item x="62"/>
        <item x="69"/>
        <item x="0"/>
        <item x="30"/>
        <item x="66"/>
        <item x="32"/>
        <item x="63"/>
        <item x="31"/>
        <item x="21"/>
        <item x="82"/>
        <item x="58"/>
        <item x="67"/>
        <item x="68"/>
        <item x="77"/>
        <item t="default"/>
      </items>
    </pivotField>
    <pivotField compact="0" outline="0" showAll="0">
      <items count="39">
        <item x="31"/>
        <item x="35"/>
        <item x="3"/>
        <item x="12"/>
        <item x="8"/>
        <item x="26"/>
        <item x="15"/>
        <item x="27"/>
        <item x="2"/>
        <item x="34"/>
        <item x="4"/>
        <item x="37"/>
        <item x="29"/>
        <item x="33"/>
        <item x="25"/>
        <item x="21"/>
        <item x="13"/>
        <item x="22"/>
        <item x="28"/>
        <item x="18"/>
        <item x="30"/>
        <item x="1"/>
        <item x="7"/>
        <item x="17"/>
        <item x="19"/>
        <item x="14"/>
        <item x="24"/>
        <item x="0"/>
        <item x="32"/>
        <item x="23"/>
        <item x="6"/>
        <item x="5"/>
        <item x="11"/>
        <item x="10"/>
        <item x="9"/>
        <item x="20"/>
        <item x="16"/>
        <item x="36"/>
        <item t="default"/>
      </items>
    </pivotField>
    <pivotField compact="0" outline="0" showAll="0">
      <items count="16">
        <item x="0"/>
        <item x="13"/>
        <item x="8"/>
        <item x="5"/>
        <item x="7"/>
        <item x="2"/>
        <item x="4"/>
        <item x="10"/>
        <item x="9"/>
        <item x="1"/>
        <item x="14"/>
        <item x="12"/>
        <item x="6"/>
        <item x="3"/>
        <item x="11"/>
        <item t="default"/>
      </items>
    </pivotField>
    <pivotField compact="0" numFmtId="1" outline="0" showAll="0"/>
    <pivotField compact="0"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outline="0" showAll="0"/>
    <pivotField compact="0" numFmtId="1" outline="0" showAll="0"/>
    <pivotField compact="0" outline="0" showAll="0"/>
    <pivotField dataField="1" compact="0" outline="0" showAll="0"/>
    <pivotField dataField="1" compact="0" numFmtId="1" outline="0" showAll="0"/>
    <pivotField dataField="1" compact="0" numFmtId="1" outline="0" showAll="0"/>
    <pivotField dataField="1" compact="0" numFmtId="1" outline="0" showAll="0"/>
    <pivotField dataField="1" compact="0" numFmtId="1" outline="0" showAll="0"/>
    <pivotField dataField="1" compact="0" numFmtId="1" outline="0" showAll="0"/>
    <pivotField dataField="1" compact="0" numFmtId="1" outline="0" showAll="0"/>
    <pivotField dataField="1" compact="0" numFmtId="1" outline="0" showAll="0"/>
    <pivotField dataField="1" compact="0" outline="0" showAll="0"/>
    <pivotField dataField="1" compact="0" numFmtId="1" outline="0" showAll="0"/>
    <pivotField dataField="1" compact="0" numFmtId="1" outline="0" showAll="0"/>
    <pivotField dataField="1" compact="0" numFmtId="1" outline="0" showAll="0"/>
    <pivotField dataField="1" compact="0" numFmtId="1" outline="0" showAll="0"/>
    <pivotField dataField="1"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9"/>
    <field x="21"/>
  </rowFields>
  <rowItems count="140">
    <i>
      <x/>
      <x v="3"/>
    </i>
    <i r="1">
      <x v="4"/>
    </i>
    <i r="1">
      <x v="6"/>
    </i>
    <i r="1">
      <x v="7"/>
    </i>
    <i r="1">
      <x v="10"/>
    </i>
    <i r="1">
      <x v="11"/>
    </i>
    <i r="1">
      <x v="12"/>
    </i>
    <i r="1">
      <x v="13"/>
    </i>
    <i r="1">
      <x v="14"/>
    </i>
    <i r="1">
      <x v="15"/>
    </i>
    <i r="1">
      <x v="18"/>
    </i>
    <i r="1">
      <x v="21"/>
    </i>
    <i r="1">
      <x v="22"/>
    </i>
    <i r="1">
      <x v="25"/>
    </i>
    <i r="1">
      <x v="28"/>
    </i>
    <i r="1">
      <x v="33"/>
    </i>
    <i r="1">
      <x v="34"/>
    </i>
    <i r="1">
      <x v="35"/>
    </i>
    <i r="1">
      <x v="37"/>
    </i>
    <i r="1">
      <x v="38"/>
    </i>
    <i r="1">
      <x v="39"/>
    </i>
    <i r="1">
      <x v="40"/>
    </i>
    <i r="1">
      <x v="41"/>
    </i>
    <i r="1">
      <x v="42"/>
    </i>
    <i r="1">
      <x v="43"/>
    </i>
    <i r="1">
      <x v="47"/>
    </i>
    <i r="1">
      <x v="51"/>
    </i>
    <i r="1">
      <x v="58"/>
    </i>
    <i r="1">
      <x v="70"/>
    </i>
    <i r="1">
      <x v="71"/>
    </i>
    <i r="1">
      <x v="72"/>
    </i>
    <i r="1">
      <x v="73"/>
    </i>
    <i r="1">
      <x v="74"/>
    </i>
    <i r="1">
      <x v="76"/>
    </i>
    <i r="1">
      <x v="79"/>
    </i>
    <i r="1">
      <x v="80"/>
    </i>
    <i r="1">
      <x v="81"/>
    </i>
    <i r="1">
      <x v="86"/>
    </i>
    <i r="1">
      <x v="87"/>
    </i>
    <i r="1">
      <x v="92"/>
    </i>
    <i r="1">
      <x v="94"/>
    </i>
    <i r="1">
      <x v="95"/>
    </i>
    <i r="1">
      <x v="99"/>
    </i>
    <i r="1">
      <x v="100"/>
    </i>
    <i r="1">
      <x v="101"/>
    </i>
    <i r="1">
      <x v="105"/>
    </i>
    <i r="1">
      <x v="107"/>
    </i>
    <i r="1">
      <x v="108"/>
    </i>
    <i r="1">
      <x v="109"/>
    </i>
    <i r="1">
      <x v="111"/>
    </i>
    <i r="1">
      <x v="112"/>
    </i>
    <i r="1">
      <x v="113"/>
    </i>
    <i r="1">
      <x v="118"/>
    </i>
    <i r="1">
      <x v="119"/>
    </i>
    <i r="1">
      <x v="121"/>
    </i>
    <i r="1">
      <x v="122"/>
    </i>
    <i r="1">
      <x v="123"/>
    </i>
    <i r="1">
      <x v="125"/>
    </i>
    <i r="1">
      <x v="127"/>
    </i>
    <i r="1">
      <x v="128"/>
    </i>
    <i r="1">
      <x v="130"/>
    </i>
    <i r="1">
      <x v="131"/>
    </i>
    <i r="1">
      <x v="134"/>
    </i>
    <i t="default">
      <x/>
    </i>
    <i>
      <x v="1"/>
      <x v="4"/>
    </i>
    <i r="1">
      <x v="54"/>
    </i>
    <i r="1">
      <x v="60"/>
    </i>
    <i r="1">
      <x v="61"/>
    </i>
    <i r="1">
      <x v="124"/>
    </i>
    <i t="default">
      <x v="1"/>
    </i>
    <i>
      <x v="2"/>
      <x v="30"/>
    </i>
    <i r="1">
      <x v="52"/>
    </i>
    <i r="1">
      <x v="62"/>
    </i>
    <i r="1">
      <x v="63"/>
    </i>
    <i r="1">
      <x v="66"/>
    </i>
    <i r="1">
      <x v="67"/>
    </i>
    <i r="1">
      <x v="68"/>
    </i>
    <i r="1">
      <x v="75"/>
    </i>
    <i r="1">
      <x v="76"/>
    </i>
    <i r="1">
      <x v="77"/>
    </i>
    <i r="1">
      <x v="83"/>
    </i>
    <i r="1">
      <x v="84"/>
    </i>
    <i r="1">
      <x v="85"/>
    </i>
    <i r="1">
      <x v="88"/>
    </i>
    <i r="1">
      <x v="114"/>
    </i>
    <i r="1">
      <x v="115"/>
    </i>
    <i r="1">
      <x v="116"/>
    </i>
    <i r="1">
      <x v="133"/>
    </i>
    <i r="1">
      <x v="134"/>
    </i>
    <i t="default">
      <x v="2"/>
    </i>
    <i>
      <x v="3"/>
      <x v="2"/>
    </i>
    <i r="1">
      <x v="6"/>
    </i>
    <i r="1">
      <x v="8"/>
    </i>
    <i r="1">
      <x v="9"/>
    </i>
    <i r="1">
      <x v="21"/>
    </i>
    <i r="1">
      <x v="22"/>
    </i>
    <i r="1">
      <x v="25"/>
    </i>
    <i r="1">
      <x v="26"/>
    </i>
    <i r="1">
      <x v="27"/>
    </i>
    <i r="1">
      <x v="45"/>
    </i>
    <i r="1">
      <x v="48"/>
    </i>
    <i r="1">
      <x v="49"/>
    </i>
    <i r="1">
      <x v="50"/>
    </i>
    <i r="1">
      <x v="57"/>
    </i>
    <i r="1">
      <x v="69"/>
    </i>
    <i r="1">
      <x v="72"/>
    </i>
    <i r="1">
      <x v="76"/>
    </i>
    <i r="1">
      <x v="87"/>
    </i>
    <i r="1">
      <x v="96"/>
    </i>
    <i r="1">
      <x v="97"/>
    </i>
    <i r="1">
      <x v="98"/>
    </i>
    <i r="1">
      <x v="100"/>
    </i>
    <i r="1">
      <x v="102"/>
    </i>
    <i r="1">
      <x v="104"/>
    </i>
    <i r="1">
      <x v="106"/>
    </i>
    <i r="1">
      <x v="108"/>
    </i>
    <i r="1">
      <x v="118"/>
    </i>
    <i r="1">
      <x v="119"/>
    </i>
    <i r="1">
      <x v="122"/>
    </i>
    <i r="1">
      <x v="132"/>
    </i>
    <i r="1">
      <x v="134"/>
    </i>
    <i t="default">
      <x v="3"/>
    </i>
    <i>
      <x v="4"/>
      <x v="32"/>
    </i>
    <i r="1">
      <x v="35"/>
    </i>
    <i r="1">
      <x v="46"/>
    </i>
    <i r="1">
      <x v="65"/>
    </i>
    <i r="1">
      <x v="91"/>
    </i>
    <i r="1">
      <x v="105"/>
    </i>
    <i r="1">
      <x v="106"/>
    </i>
    <i r="1">
      <x v="121"/>
    </i>
    <i r="1">
      <x v="122"/>
    </i>
    <i r="1">
      <x v="123"/>
    </i>
    <i r="1">
      <x v="127"/>
    </i>
    <i t="default">
      <x v="4"/>
    </i>
    <i>
      <x v="5"/>
      <x v="114"/>
    </i>
    <i r="1">
      <x v="115"/>
    </i>
    <i r="1">
      <x v="116"/>
    </i>
    <i r="1">
      <x v="117"/>
    </i>
    <i t="default">
      <x v="5"/>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2">
    <pageField fld="7" hier="-1"/>
    <pageField fld="13" hier="-1"/>
  </pageFields>
  <dataFields count="15">
    <dataField name=" OSP" fld="12" baseField="0" baseItem="0"/>
    <dataField name=" Total planned GR" fld="66" baseField="0" baseItem="0"/>
    <dataField name=" FG 202518" fld="67" baseField="0" baseItem="0"/>
    <dataField name=" FG 202519" fld="68" baseField="0" baseItem="0"/>
    <dataField name=" FG 202520" fld="69" baseField="0" baseItem="0"/>
    <dataField name=" FG 202521" fld="70" baseField="0" baseItem="0"/>
    <dataField name=" FG 202522" fld="71" baseField="0" baseItem="0"/>
    <dataField name=" FG stock 01-05-25" fld="65" baseField="0" baseItem="0"/>
    <dataField name=" Total planned Dispatch" fld="72" baseField="0" baseItem="0"/>
    <dataField name=" Disp 202518" fld="73" baseField="0" baseItem="0"/>
    <dataField name=" Disp 202519" fld="74" baseField="0" baseItem="0"/>
    <dataField name=" Disp 202520" fld="75" baseField="0" baseItem="0"/>
    <dataField name=" Disp 202521" fld="76" baseField="0" baseItem="0"/>
    <dataField name=" Disp 202522" fld="77" baseField="0" baseItem="0"/>
    <dataField name=" CF stock Jun'25" fld="78" baseField="0" baseItem="0"/>
  </dataFields>
  <formats count="133">
    <format dxfId="451">
      <pivotArea outline="0" collapsedLevelsAreSubtotals="1" fieldPosition="0"/>
    </format>
    <format dxfId="450">
      <pivotArea field="-2" type="button" dataOnly="0" labelOnly="1" outline="0" axis="axisCol" fieldPosition="0"/>
    </format>
    <format dxfId="449">
      <pivotArea type="topRight" dataOnly="0" labelOnly="1" outline="0" fieldPosition="0"/>
    </format>
    <format dxfId="448">
      <pivotArea dataOnly="0" labelOnly="1" outline="0" fieldPosition="0">
        <references count="1">
          <reference field="4294967294" count="1">
            <x v="0"/>
          </reference>
        </references>
      </pivotArea>
    </format>
    <format dxfId="447">
      <pivotArea outline="0" collapsedLevelsAreSubtotals="1" fieldPosition="0"/>
    </format>
    <format dxfId="446">
      <pivotArea field="-2" type="button" dataOnly="0" labelOnly="1" outline="0" axis="axisCol" fieldPosition="0"/>
    </format>
    <format dxfId="445">
      <pivotArea type="topRight" dataOnly="0" labelOnly="1" outline="0" fieldPosition="0"/>
    </format>
    <format dxfId="444">
      <pivotArea dataOnly="0" labelOnly="1" outline="0" fieldPosition="0">
        <references count="1">
          <reference field="4294967294" count="1">
            <x v="0"/>
          </reference>
        </references>
      </pivotArea>
    </format>
    <format dxfId="443">
      <pivotArea outline="0" collapsedLevelsAreSubtotals="1" fieldPosition="0"/>
    </format>
    <format dxfId="442">
      <pivotArea field="-2" type="button" dataOnly="0" labelOnly="1" outline="0" axis="axisCol" fieldPosition="0"/>
    </format>
    <format dxfId="441">
      <pivotArea type="topRight" dataOnly="0" labelOnly="1" outline="0" fieldPosition="0"/>
    </format>
    <format dxfId="440">
      <pivotArea dataOnly="0" labelOnly="1" outline="0" fieldPosition="0">
        <references count="1">
          <reference field="4294967294" count="1">
            <x v="0"/>
          </reference>
        </references>
      </pivotArea>
    </format>
    <format dxfId="439">
      <pivotArea field="9" type="button" dataOnly="0" labelOnly="1" outline="0" axis="axisRow" fieldPosition="0"/>
    </format>
    <format dxfId="438">
      <pivotArea field="10" type="button" dataOnly="0" labelOnly="1" outline="0"/>
    </format>
    <format dxfId="437">
      <pivotArea dataOnly="0" labelOnly="1" outline="0" fieldPosition="0">
        <references count="1">
          <reference field="4294967294" count="1">
            <x v="0"/>
          </reference>
        </references>
      </pivotArea>
    </format>
    <format dxfId="436">
      <pivotArea dataOnly="0" outline="0" fieldPosition="0">
        <references count="1">
          <reference field="9" count="0" defaultSubtotal="1"/>
        </references>
      </pivotArea>
    </format>
    <format dxfId="435">
      <pivotArea field="9" type="button" dataOnly="0" labelOnly="1" outline="0" axis="axisRow" fieldPosition="0"/>
    </format>
    <format dxfId="434">
      <pivotArea field="10" type="button" dataOnly="0" labelOnly="1" outline="0"/>
    </format>
    <format dxfId="433">
      <pivotArea dataOnly="0" labelOnly="1" outline="0" fieldPosition="0">
        <references count="1">
          <reference field="4294967294" count="1">
            <x v="0"/>
          </reference>
        </references>
      </pivotArea>
    </format>
    <format dxfId="432">
      <pivotArea outline="0" collapsedLevelsAreSubtotals="1" fieldPosition="0"/>
    </format>
    <format dxfId="431">
      <pivotArea field="9" type="button" dataOnly="0" labelOnly="1" outline="0" axis="axisRow" fieldPosition="0"/>
    </format>
    <format dxfId="430">
      <pivotArea field="10" type="button" dataOnly="0" labelOnly="1" outline="0"/>
    </format>
    <format dxfId="429">
      <pivotArea dataOnly="0" labelOnly="1" outline="0" fieldPosition="0">
        <references count="1">
          <reference field="9" count="0"/>
        </references>
      </pivotArea>
    </format>
    <format dxfId="428">
      <pivotArea dataOnly="0" labelOnly="1" outline="0" fieldPosition="0">
        <references count="1">
          <reference field="9" count="0" defaultSubtotal="1"/>
        </references>
      </pivotArea>
    </format>
    <format dxfId="427">
      <pivotArea dataOnly="0" labelOnly="1" grandRow="1" outline="0" fieldPosition="0"/>
    </format>
    <format dxfId="426">
      <pivotArea dataOnly="0" labelOnly="1" outline="0" fieldPosition="0">
        <references count="1">
          <reference field="4294967294" count="1">
            <x v="0"/>
          </reference>
        </references>
      </pivotArea>
    </format>
    <format dxfId="425">
      <pivotArea type="all" dataOnly="0" outline="0" fieldPosition="0"/>
    </format>
    <format dxfId="424">
      <pivotArea outline="0" collapsedLevelsAreSubtotals="1" fieldPosition="0"/>
    </format>
    <format dxfId="423">
      <pivotArea type="origin" dataOnly="0" labelOnly="1" outline="0" fieldPosition="0"/>
    </format>
    <format dxfId="422">
      <pivotArea field="9" type="button" dataOnly="0" labelOnly="1" outline="0" axis="axisRow" fieldPosition="0"/>
    </format>
    <format dxfId="421">
      <pivotArea field="10" type="button" dataOnly="0" labelOnly="1" outline="0"/>
    </format>
    <format dxfId="420">
      <pivotArea dataOnly="0" labelOnly="1" outline="0" fieldPosition="0">
        <references count="1">
          <reference field="9" count="0"/>
        </references>
      </pivotArea>
    </format>
    <format dxfId="419">
      <pivotArea dataOnly="0" labelOnly="1" outline="0" fieldPosition="0">
        <references count="1">
          <reference field="9" count="0" defaultSubtotal="1"/>
        </references>
      </pivotArea>
    </format>
    <format dxfId="418">
      <pivotArea dataOnly="0" labelOnly="1" grandRow="1" outline="0" fieldPosition="0"/>
    </format>
    <format dxfId="417">
      <pivotArea dataOnly="0" labelOnly="1" outline="0" fieldPosition="0">
        <references count="1">
          <reference field="4294967294" count="1">
            <x v="0"/>
          </reference>
        </references>
      </pivotArea>
    </format>
    <format dxfId="416">
      <pivotArea type="all" dataOnly="0" outline="0" fieldPosition="0"/>
    </format>
    <format dxfId="415">
      <pivotArea outline="0" collapsedLevelsAreSubtotals="1" fieldPosition="0"/>
    </format>
    <format dxfId="414">
      <pivotArea type="origin" dataOnly="0" labelOnly="1" outline="0" fieldPosition="0"/>
    </format>
    <format dxfId="413">
      <pivotArea dataOnly="0" labelOnly="1" outline="0" fieldPosition="0">
        <references count="1">
          <reference field="9" count="0"/>
        </references>
      </pivotArea>
    </format>
    <format dxfId="412">
      <pivotArea dataOnly="0" labelOnly="1" outline="0" fieldPosition="0">
        <references count="1">
          <reference field="9" count="0" defaultSubtotal="1"/>
        </references>
      </pivotArea>
    </format>
    <format dxfId="411">
      <pivotArea dataOnly="0" labelOnly="1" grandRow="1" outline="0" fieldPosition="0"/>
    </format>
    <format dxfId="410">
      <pivotArea field="9" type="button" dataOnly="0" labelOnly="1" outline="0" axis="axisRow" fieldPosition="0"/>
    </format>
    <format dxfId="409">
      <pivotArea field="10" type="button" dataOnly="0" labelOnly="1" outline="0"/>
    </format>
    <format dxfId="408">
      <pivotArea dataOnly="0" labelOnly="1" outline="0" fieldPosition="0">
        <references count="1">
          <reference field="4294967294" count="1">
            <x v="0"/>
          </reference>
        </references>
      </pivotArea>
    </format>
    <format dxfId="407">
      <pivotArea field="9" type="button" dataOnly="0" labelOnly="1" outline="0" axis="axisRow" fieldPosition="0"/>
    </format>
    <format dxfId="406">
      <pivotArea field="10" type="button" dataOnly="0" labelOnly="1" outline="0"/>
    </format>
    <format dxfId="405">
      <pivotArea dataOnly="0" labelOnly="1" outline="0" fieldPosition="0">
        <references count="1">
          <reference field="4294967294" count="1">
            <x v="0"/>
          </reference>
        </references>
      </pivotArea>
    </format>
    <format dxfId="404">
      <pivotArea field="9" type="button" dataOnly="0" labelOnly="1" outline="0" axis="axisRow" fieldPosition="0"/>
    </format>
    <format dxfId="403">
      <pivotArea field="10" type="button" dataOnly="0" labelOnly="1" outline="0"/>
    </format>
    <format dxfId="402">
      <pivotArea dataOnly="0" labelOnly="1" outline="0" fieldPosition="0">
        <references count="1">
          <reference field="9" count="0"/>
        </references>
      </pivotArea>
    </format>
    <format dxfId="401">
      <pivotArea dataOnly="0" labelOnly="1" outline="0" fieldPosition="0">
        <references count="1">
          <reference field="4294967294" count="1">
            <x v="0"/>
          </reference>
        </references>
      </pivotArea>
    </format>
    <format dxfId="400">
      <pivotArea field="9" type="button" dataOnly="0" labelOnly="1" outline="0" axis="axisRow" fieldPosition="0"/>
    </format>
    <format dxfId="399">
      <pivotArea field="10" type="button" dataOnly="0" labelOnly="1" outline="0"/>
    </format>
    <format dxfId="398">
      <pivotArea dataOnly="0" labelOnly="1" outline="0" fieldPosition="0">
        <references count="1">
          <reference field="4294967294" count="1">
            <x v="0"/>
          </reference>
        </references>
      </pivotArea>
    </format>
    <format dxfId="397">
      <pivotArea outline="0" fieldPosition="0">
        <references count="1">
          <reference field="4294967294" count="1" selected="0">
            <x v="0"/>
          </reference>
        </references>
      </pivotArea>
    </format>
    <format dxfId="396">
      <pivotArea dataOnly="0" labelOnly="1" outline="0" fieldPosition="0">
        <references count="1">
          <reference field="4294967294" count="1">
            <x v="0"/>
          </reference>
        </references>
      </pivotArea>
    </format>
    <format dxfId="395">
      <pivotArea type="origin" dataOnly="0" labelOnly="1" outline="0" fieldPosition="0"/>
    </format>
    <format dxfId="394">
      <pivotArea field="-2" type="button" dataOnly="0" labelOnly="1" outline="0" axis="axisCol" fieldPosition="0"/>
    </format>
    <format dxfId="393">
      <pivotArea field="9" type="button" dataOnly="0" labelOnly="1" outline="0" axis="axisRow" fieldPosition="0"/>
    </format>
    <format dxfId="392">
      <pivotArea field="10" type="button" dataOnly="0" labelOnly="1" outline="0"/>
    </format>
    <format dxfId="391">
      <pivotArea dataOnly="0" labelOnly="1" outline="0" fieldPosition="0">
        <references count="1">
          <reference field="4294967294" count="1">
            <x v="0"/>
          </reference>
        </references>
      </pivotArea>
    </format>
    <format dxfId="390">
      <pivotArea dataOnly="0" labelOnly="1" outline="0" fieldPosition="0">
        <references count="1">
          <reference field="9" count="1">
            <x v="2"/>
          </reference>
        </references>
      </pivotArea>
    </format>
    <format dxfId="389">
      <pivotArea outline="0" collapsedLevelsAreSubtotals="1" fieldPosition="0"/>
    </format>
    <format dxfId="388">
      <pivotArea field="9" type="button" dataOnly="0" labelOnly="1" outline="0" axis="axisRow" fieldPosition="0"/>
    </format>
    <format dxfId="387">
      <pivotArea field="10" type="button" dataOnly="0" labelOnly="1" outline="0"/>
    </format>
    <format dxfId="386">
      <pivotArea dataOnly="0" labelOnly="1" outline="0" fieldPosition="0">
        <references count="1">
          <reference field="9" count="0"/>
        </references>
      </pivotArea>
    </format>
    <format dxfId="385">
      <pivotArea dataOnly="0" labelOnly="1" outline="0" fieldPosition="0">
        <references count="1">
          <reference field="9" count="0" defaultSubtotal="1"/>
        </references>
      </pivotArea>
    </format>
    <format dxfId="384">
      <pivotArea dataOnly="0" labelOnly="1" grandRow="1" outline="0" fieldPosition="0"/>
    </format>
    <format dxfId="383">
      <pivotArea dataOnly="0" labelOnly="1" outline="0" fieldPosition="0">
        <references count="1">
          <reference field="4294967294" count="1">
            <x v="0"/>
          </reference>
        </references>
      </pivotArea>
    </format>
    <format dxfId="382">
      <pivotArea field="9" type="button" dataOnly="0" labelOnly="1" outline="0" axis="axisRow" fieldPosition="0"/>
    </format>
    <format dxfId="381">
      <pivotArea field="10" type="button" dataOnly="0" labelOnly="1" outline="0"/>
    </format>
    <format dxfId="380">
      <pivotArea dataOnly="0" labelOnly="1" outline="0" fieldPosition="0">
        <references count="1">
          <reference field="4294967294" count="1">
            <x v="0"/>
          </reference>
        </references>
      </pivotArea>
    </format>
    <format dxfId="379">
      <pivotArea outline="0" collapsedLevelsAreSubtotals="1" fieldPosition="0"/>
    </format>
    <format dxfId="378">
      <pivotArea field="-2" type="button" dataOnly="0" labelOnly="1" outline="0" axis="axisCol" fieldPosition="0"/>
    </format>
    <format dxfId="377">
      <pivotArea type="topRight" dataOnly="0" labelOnly="1" outline="0" fieldPosition="0"/>
    </format>
    <format dxfId="376">
      <pivotArea dataOnly="0" labelOnly="1" outline="0" fieldPosition="0">
        <references count="1">
          <reference field="4294967294" count="1">
            <x v="0"/>
          </reference>
        </references>
      </pivotArea>
    </format>
    <format dxfId="375">
      <pivotArea outline="0" collapsedLevelsAreSubtotals="1" fieldPosition="0"/>
    </format>
    <format dxfId="374">
      <pivotArea field="-2" type="button" dataOnly="0" labelOnly="1" outline="0" axis="axisCol" fieldPosition="0"/>
    </format>
    <format dxfId="373">
      <pivotArea dataOnly="0" labelOnly="1" outline="0" fieldPosition="0">
        <references count="1">
          <reference field="4294967294" count="1">
            <x v="0"/>
          </reference>
        </references>
      </pivotArea>
    </format>
    <format dxfId="372">
      <pivotArea outline="0" fieldPosition="0">
        <references count="1">
          <reference field="4294967294" count="14" selected="0">
            <x v="1"/>
            <x v="2"/>
            <x v="3"/>
            <x v="4"/>
            <x v="5"/>
            <x v="6"/>
            <x v="7"/>
            <x v="8"/>
            <x v="9"/>
            <x v="10"/>
            <x v="11"/>
            <x v="12"/>
            <x v="13"/>
            <x v="14"/>
          </reference>
        </references>
      </pivotArea>
    </format>
    <format dxfId="371">
      <pivotArea type="topRight" dataOnly="0" labelOnly="1" outline="0" fieldPosition="0"/>
    </format>
    <format dxfId="370">
      <pivotArea dataOnly="0" labelOnly="1" outline="0" fieldPosition="0">
        <references count="1">
          <reference field="4294967294" count="14">
            <x v="1"/>
            <x v="2"/>
            <x v="3"/>
            <x v="4"/>
            <x v="5"/>
            <x v="6"/>
            <x v="7"/>
            <x v="8"/>
            <x v="9"/>
            <x v="10"/>
            <x v="11"/>
            <x v="12"/>
            <x v="13"/>
            <x v="14"/>
          </reference>
        </references>
      </pivotArea>
    </format>
    <format dxfId="369">
      <pivotArea outline="0" fieldPosition="0">
        <references count="1">
          <reference field="4294967294" count="14" selected="0">
            <x v="1"/>
            <x v="2"/>
            <x v="3"/>
            <x v="4"/>
            <x v="5"/>
            <x v="6"/>
            <x v="7"/>
            <x v="8"/>
            <x v="9"/>
            <x v="10"/>
            <x v="11"/>
            <x v="12"/>
            <x v="13"/>
            <x v="14"/>
          </reference>
        </references>
      </pivotArea>
    </format>
    <format dxfId="368">
      <pivotArea type="topRight" dataOnly="0" labelOnly="1" outline="0" fieldPosition="0"/>
    </format>
    <format dxfId="367">
      <pivotArea dataOnly="0" labelOnly="1" outline="0" fieldPosition="0">
        <references count="1">
          <reference field="4294967294" count="14">
            <x v="1"/>
            <x v="2"/>
            <x v="3"/>
            <x v="4"/>
            <x v="5"/>
            <x v="6"/>
            <x v="7"/>
            <x v="8"/>
            <x v="9"/>
            <x v="10"/>
            <x v="11"/>
            <x v="12"/>
            <x v="13"/>
            <x v="14"/>
          </reference>
        </references>
      </pivotArea>
    </format>
    <format dxfId="366">
      <pivotArea dataOnly="0" labelOnly="1" outline="0" fieldPosition="0">
        <references count="1">
          <reference field="4294967294" count="1">
            <x v="1"/>
          </reference>
        </references>
      </pivotArea>
    </format>
    <format dxfId="365">
      <pivotArea outline="0" fieldPosition="0">
        <references count="2">
          <reference field="4294967294" count="1" selected="0">
            <x v="1"/>
          </reference>
          <reference field="9" count="1" selected="0" defaultSubtotal="1">
            <x v="0"/>
          </reference>
        </references>
      </pivotArea>
    </format>
    <format dxfId="364">
      <pivotArea outline="0" fieldPosition="0">
        <references count="2">
          <reference field="4294967294" count="1" selected="0">
            <x v="1"/>
          </reference>
          <reference field="9" count="1" selected="0" defaultSubtotal="1">
            <x v="1"/>
          </reference>
        </references>
      </pivotArea>
    </format>
    <format dxfId="363">
      <pivotArea outline="0" fieldPosition="0">
        <references count="2">
          <reference field="4294967294" count="1" selected="0">
            <x v="1"/>
          </reference>
          <reference field="9" count="1" selected="0" defaultSubtotal="1">
            <x v="2"/>
          </reference>
        </references>
      </pivotArea>
    </format>
    <format dxfId="362">
      <pivotArea outline="0" fieldPosition="0">
        <references count="2">
          <reference field="4294967294" count="1" selected="0">
            <x v="1"/>
          </reference>
          <reference field="9" count="1" selected="0" defaultSubtotal="1">
            <x v="3"/>
          </reference>
        </references>
      </pivotArea>
    </format>
    <format dxfId="361">
      <pivotArea outline="0" fieldPosition="0">
        <references count="2">
          <reference field="4294967294" count="1" selected="0">
            <x v="1"/>
          </reference>
          <reference field="9" count="1" selected="0" defaultSubtotal="1">
            <x v="4"/>
          </reference>
        </references>
      </pivotArea>
    </format>
    <format dxfId="360">
      <pivotArea outline="0" fieldPosition="0">
        <references count="2">
          <reference field="4294967294" count="1" selected="0">
            <x v="1"/>
          </reference>
          <reference field="9" count="1" selected="0" defaultSubtotal="1">
            <x v="5"/>
          </reference>
        </references>
      </pivotArea>
    </format>
    <format dxfId="359">
      <pivotArea field="9" grandRow="1" outline="0" axis="axisRow" fieldPosition="0">
        <references count="1">
          <reference field="4294967294" count="1" selected="0">
            <x v="1"/>
          </reference>
        </references>
      </pivotArea>
    </format>
    <format dxfId="358">
      <pivotArea dataOnly="0" labelOnly="1" outline="0" fieldPosition="0">
        <references count="1">
          <reference field="4294967294" count="1">
            <x v="8"/>
          </reference>
        </references>
      </pivotArea>
    </format>
    <format dxfId="357">
      <pivotArea field="9" grandRow="1" outline="0" axis="axisRow" fieldPosition="0">
        <references count="1">
          <reference field="4294967294" count="1" selected="0">
            <x v="8"/>
          </reference>
        </references>
      </pivotArea>
    </format>
    <format dxfId="356">
      <pivotArea outline="0" fieldPosition="0">
        <references count="2">
          <reference field="4294967294" count="1" selected="0">
            <x v="8"/>
          </reference>
          <reference field="9" count="1" selected="0" defaultSubtotal="1">
            <x v="5"/>
          </reference>
        </references>
      </pivotArea>
    </format>
    <format dxfId="355">
      <pivotArea outline="0" fieldPosition="0">
        <references count="2">
          <reference field="4294967294" count="1" selected="0">
            <x v="8"/>
          </reference>
          <reference field="9" count="1" selected="0" defaultSubtotal="1">
            <x v="4"/>
          </reference>
        </references>
      </pivotArea>
    </format>
    <format dxfId="354">
      <pivotArea outline="0" fieldPosition="0">
        <references count="2">
          <reference field="4294967294" count="1" selected="0">
            <x v="8"/>
          </reference>
          <reference field="9" count="1" selected="0" defaultSubtotal="1">
            <x v="3"/>
          </reference>
        </references>
      </pivotArea>
    </format>
    <format dxfId="353">
      <pivotArea outline="0" fieldPosition="0">
        <references count="2">
          <reference field="4294967294" count="1" selected="0">
            <x v="8"/>
          </reference>
          <reference field="9" count="1" selected="0" defaultSubtotal="1">
            <x v="2"/>
          </reference>
        </references>
      </pivotArea>
    </format>
    <format dxfId="352">
      <pivotArea outline="0" fieldPosition="0">
        <references count="2">
          <reference field="4294967294" count="1" selected="0">
            <x v="8"/>
          </reference>
          <reference field="9" count="1" selected="0" defaultSubtotal="1">
            <x v="1"/>
          </reference>
        </references>
      </pivotArea>
    </format>
    <format dxfId="351">
      <pivotArea outline="0" fieldPosition="0">
        <references count="2">
          <reference field="4294967294" count="1" selected="0">
            <x v="8"/>
          </reference>
          <reference field="9" count="1" selected="0" defaultSubtotal="1">
            <x v="0"/>
          </reference>
        </references>
      </pivotArea>
    </format>
    <format dxfId="350">
      <pivotArea dataOnly="0" labelOnly="1" outline="0" fieldPosition="0">
        <references count="1">
          <reference field="4294967294" count="5">
            <x v="2"/>
            <x v="3"/>
            <x v="4"/>
            <x v="5"/>
            <x v="6"/>
          </reference>
        </references>
      </pivotArea>
    </format>
    <format dxfId="349">
      <pivotArea outline="0" fieldPosition="0">
        <references count="2">
          <reference field="4294967294" count="5" selected="0">
            <x v="2"/>
            <x v="3"/>
            <x v="4"/>
            <x v="5"/>
            <x v="6"/>
          </reference>
          <reference field="9" count="1" selected="0" defaultSubtotal="1">
            <x v="0"/>
          </reference>
        </references>
      </pivotArea>
    </format>
    <format dxfId="348">
      <pivotArea outline="0" fieldPosition="0">
        <references count="2">
          <reference field="4294967294" count="5" selected="0">
            <x v="2"/>
            <x v="3"/>
            <x v="4"/>
            <x v="5"/>
            <x v="6"/>
          </reference>
          <reference field="9" count="1" selected="0" defaultSubtotal="1">
            <x v="1"/>
          </reference>
        </references>
      </pivotArea>
    </format>
    <format dxfId="347">
      <pivotArea outline="0" fieldPosition="0">
        <references count="2">
          <reference field="4294967294" count="5" selected="0">
            <x v="2"/>
            <x v="3"/>
            <x v="4"/>
            <x v="5"/>
            <x v="6"/>
          </reference>
          <reference field="9" count="1" selected="0" defaultSubtotal="1">
            <x v="2"/>
          </reference>
        </references>
      </pivotArea>
    </format>
    <format dxfId="346">
      <pivotArea outline="0" fieldPosition="0">
        <references count="2">
          <reference field="4294967294" count="5" selected="0">
            <x v="2"/>
            <x v="3"/>
            <x v="4"/>
            <x v="5"/>
            <x v="6"/>
          </reference>
          <reference field="9" count="1" selected="0" defaultSubtotal="1">
            <x v="3"/>
          </reference>
        </references>
      </pivotArea>
    </format>
    <format dxfId="345">
      <pivotArea outline="0" fieldPosition="0">
        <references count="2">
          <reference field="4294967294" count="5" selected="0">
            <x v="2"/>
            <x v="3"/>
            <x v="4"/>
            <x v="5"/>
            <x v="6"/>
          </reference>
          <reference field="9" count="1" selected="0" defaultSubtotal="1">
            <x v="4"/>
          </reference>
        </references>
      </pivotArea>
    </format>
    <format dxfId="344">
      <pivotArea outline="0" fieldPosition="0">
        <references count="2">
          <reference field="4294967294" count="5" selected="0">
            <x v="2"/>
            <x v="3"/>
            <x v="4"/>
            <x v="5"/>
            <x v="6"/>
          </reference>
          <reference field="9" count="1" selected="0" defaultSubtotal="1">
            <x v="5"/>
          </reference>
        </references>
      </pivotArea>
    </format>
    <format dxfId="343">
      <pivotArea field="9" grandRow="1" outline="0" axis="axisRow" fieldPosition="0">
        <references count="1">
          <reference field="4294967294" count="5" selected="0">
            <x v="2"/>
            <x v="3"/>
            <x v="4"/>
            <x v="5"/>
            <x v="6"/>
          </reference>
        </references>
      </pivotArea>
    </format>
    <format dxfId="342">
      <pivotArea dataOnly="0" labelOnly="1" outline="0" fieldPosition="0">
        <references count="1">
          <reference field="4294967294" count="5">
            <x v="9"/>
            <x v="10"/>
            <x v="11"/>
            <x v="12"/>
            <x v="13"/>
          </reference>
        </references>
      </pivotArea>
    </format>
    <format dxfId="341">
      <pivotArea outline="0" fieldPosition="0">
        <references count="2">
          <reference field="4294967294" count="5" selected="0">
            <x v="9"/>
            <x v="10"/>
            <x v="11"/>
            <x v="12"/>
            <x v="13"/>
          </reference>
          <reference field="9" count="1" selected="0" defaultSubtotal="1">
            <x v="0"/>
          </reference>
        </references>
      </pivotArea>
    </format>
    <format dxfId="340">
      <pivotArea outline="0" fieldPosition="0">
        <references count="2">
          <reference field="4294967294" count="5" selected="0">
            <x v="9"/>
            <x v="10"/>
            <x v="11"/>
            <x v="12"/>
            <x v="13"/>
          </reference>
          <reference field="9" count="1" selected="0" defaultSubtotal="1">
            <x v="1"/>
          </reference>
        </references>
      </pivotArea>
    </format>
    <format dxfId="339">
      <pivotArea outline="0" fieldPosition="0">
        <references count="2">
          <reference field="4294967294" count="5" selected="0">
            <x v="9"/>
            <x v="10"/>
            <x v="11"/>
            <x v="12"/>
            <x v="13"/>
          </reference>
          <reference field="9" count="1" selected="0" defaultSubtotal="1">
            <x v="2"/>
          </reference>
        </references>
      </pivotArea>
    </format>
    <format dxfId="338">
      <pivotArea outline="0" fieldPosition="0">
        <references count="2">
          <reference field="4294967294" count="5" selected="0">
            <x v="9"/>
            <x v="10"/>
            <x v="11"/>
            <x v="12"/>
            <x v="13"/>
          </reference>
          <reference field="9" count="1" selected="0" defaultSubtotal="1">
            <x v="3"/>
          </reference>
        </references>
      </pivotArea>
    </format>
    <format dxfId="337">
      <pivotArea outline="0" fieldPosition="0">
        <references count="2">
          <reference field="4294967294" count="5" selected="0">
            <x v="9"/>
            <x v="10"/>
            <x v="11"/>
            <x v="12"/>
            <x v="13"/>
          </reference>
          <reference field="9" count="1" selected="0" defaultSubtotal="1">
            <x v="4"/>
          </reference>
        </references>
      </pivotArea>
    </format>
    <format dxfId="336">
      <pivotArea outline="0" fieldPosition="0">
        <references count="2">
          <reference field="4294967294" count="5" selected="0">
            <x v="9"/>
            <x v="10"/>
            <x v="11"/>
            <x v="12"/>
            <x v="13"/>
          </reference>
          <reference field="9" count="1" selected="0" defaultSubtotal="1">
            <x v="5"/>
          </reference>
        </references>
      </pivotArea>
    </format>
    <format dxfId="335">
      <pivotArea field="9" grandRow="1" outline="0" axis="axisRow" fieldPosition="0">
        <references count="1">
          <reference field="4294967294" count="5" selected="0">
            <x v="9"/>
            <x v="10"/>
            <x v="11"/>
            <x v="12"/>
            <x v="13"/>
          </reference>
        </references>
      </pivotArea>
    </format>
    <format dxfId="334">
      <pivotArea dataOnly="0" labelOnly="1" outline="0" fieldPosition="0">
        <references count="1">
          <reference field="4294967294" count="1">
            <x v="7"/>
          </reference>
        </references>
      </pivotArea>
    </format>
    <format dxfId="333">
      <pivotArea outline="0" fieldPosition="0">
        <references count="2">
          <reference field="4294967294" count="1" selected="0">
            <x v="7"/>
          </reference>
          <reference field="9" count="1" selected="0" defaultSubtotal="1">
            <x v="0"/>
          </reference>
        </references>
      </pivotArea>
    </format>
    <format dxfId="332">
      <pivotArea outline="0" fieldPosition="0">
        <references count="2">
          <reference field="4294967294" count="1" selected="0">
            <x v="7"/>
          </reference>
          <reference field="9" count="1" selected="0" defaultSubtotal="1">
            <x v="1"/>
          </reference>
        </references>
      </pivotArea>
    </format>
    <format dxfId="331">
      <pivotArea outline="0" fieldPosition="0">
        <references count="2">
          <reference field="4294967294" count="1" selected="0">
            <x v="7"/>
          </reference>
          <reference field="9" count="1" selected="0" defaultSubtotal="1">
            <x v="3"/>
          </reference>
        </references>
      </pivotArea>
    </format>
    <format dxfId="330">
      <pivotArea outline="0" fieldPosition="0">
        <references count="2">
          <reference field="4294967294" count="1" selected="0">
            <x v="7"/>
          </reference>
          <reference field="9" count="1" selected="0" defaultSubtotal="1">
            <x v="2"/>
          </reference>
        </references>
      </pivotArea>
    </format>
    <format dxfId="329">
      <pivotArea outline="0" fieldPosition="0">
        <references count="2">
          <reference field="4294967294" count="1" selected="0">
            <x v="7"/>
          </reference>
          <reference field="9" count="1" selected="0" defaultSubtotal="1">
            <x v="4"/>
          </reference>
        </references>
      </pivotArea>
    </format>
    <format dxfId="328">
      <pivotArea outline="0" fieldPosition="0">
        <references count="2">
          <reference field="4294967294" count="1" selected="0">
            <x v="7"/>
          </reference>
          <reference field="9" count="1" selected="0" defaultSubtotal="1">
            <x v="5"/>
          </reference>
        </references>
      </pivotArea>
    </format>
    <format dxfId="327">
      <pivotArea field="9" grandRow="1" outline="0" axis="axisRow" fieldPosition="0">
        <references count="1">
          <reference field="4294967294" count="1" selected="0">
            <x v="7"/>
          </reference>
        </references>
      </pivotArea>
    </format>
    <format dxfId="326">
      <pivotArea dataOnly="0" labelOnly="1" outline="0" fieldPosition="0">
        <references count="1">
          <reference field="4294967294" count="1">
            <x v="14"/>
          </reference>
        </references>
      </pivotArea>
    </format>
    <format dxfId="325">
      <pivotArea field="9" grandRow="1" outline="0" axis="axisRow" fieldPosition="0">
        <references count="1">
          <reference field="4294967294" count="1" selected="0">
            <x v="14"/>
          </reference>
        </references>
      </pivotArea>
    </format>
    <format dxfId="324">
      <pivotArea outline="0" fieldPosition="0">
        <references count="2">
          <reference field="4294967294" count="1" selected="0">
            <x v="14"/>
          </reference>
          <reference field="9" count="1" selected="0" defaultSubtotal="1">
            <x v="5"/>
          </reference>
        </references>
      </pivotArea>
    </format>
    <format dxfId="323">
      <pivotArea outline="0" fieldPosition="0">
        <references count="2">
          <reference field="4294967294" count="1" selected="0">
            <x v="14"/>
          </reference>
          <reference field="9" count="1" selected="0" defaultSubtotal="1">
            <x v="4"/>
          </reference>
        </references>
      </pivotArea>
    </format>
    <format dxfId="322">
      <pivotArea outline="0" fieldPosition="0">
        <references count="2">
          <reference field="4294967294" count="1" selected="0">
            <x v="14"/>
          </reference>
          <reference field="9" count="1" selected="0" defaultSubtotal="1">
            <x v="3"/>
          </reference>
        </references>
      </pivotArea>
    </format>
    <format dxfId="321">
      <pivotArea outline="0" fieldPosition="0">
        <references count="2">
          <reference field="4294967294" count="1" selected="0">
            <x v="14"/>
          </reference>
          <reference field="9" count="1" selected="0" defaultSubtotal="1">
            <x v="2"/>
          </reference>
        </references>
      </pivotArea>
    </format>
    <format dxfId="320">
      <pivotArea outline="0" fieldPosition="0">
        <references count="2">
          <reference field="4294967294" count="1" selected="0">
            <x v="14"/>
          </reference>
          <reference field="9" count="1" selected="0" defaultSubtotal="1">
            <x v="1"/>
          </reference>
        </references>
      </pivotArea>
    </format>
    <format dxfId="319">
      <pivotArea outline="0" fieldPosition="0">
        <references count="2">
          <reference field="4294967294" count="1" selected="0">
            <x v="14"/>
          </reference>
          <reference field="9" count="1" selected="0" defaultSubtotal="1">
            <x v="0"/>
          </reference>
        </references>
      </pivotArea>
    </format>
  </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330C0B-8DD0-4D31-911A-B4462237590E}" name="PivotTable1" cacheId="13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E52" firstHeaderRow="1" firstDataRow="2" firstDataCol="2" rowPageCount="2" colPageCount="1"/>
  <pivotFields count="113">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1"/>
        <item x="2"/>
        <item x="0"/>
        <item t="default"/>
      </items>
    </pivotField>
    <pivotField compact="0" outline="0" showAll="0"/>
    <pivotField axis="axisPage" compact="0" outline="0" multipleItemSelectionAllowed="1" showAll="0">
      <items count="7">
        <item h="1" x="1"/>
        <item h="1" x="5"/>
        <item h="1" x="4"/>
        <item x="3"/>
        <item h="1" x="0"/>
        <item h="1" x="2"/>
        <item t="default"/>
      </items>
    </pivotField>
    <pivotField axis="axisRow" compact="0" outline="0" showAll="0">
      <items count="21">
        <item x="15"/>
        <item x="3"/>
        <item x="18"/>
        <item x="0"/>
        <item x="16"/>
        <item x="12"/>
        <item x="19"/>
        <item x="8"/>
        <item x="17"/>
        <item x="10"/>
        <item x="7"/>
        <item x="13"/>
        <item x="9"/>
        <item x="14"/>
        <item x="4"/>
        <item x="5"/>
        <item x="1"/>
        <item x="11"/>
        <item x="2"/>
        <item x="6"/>
        <item t="default"/>
      </items>
    </pivotField>
    <pivotField compact="0" outline="0" showAll="0"/>
    <pivotField compact="0" outline="0" showAll="0"/>
    <pivotField axis="axisPage"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9">
        <item x="77"/>
        <item x="94"/>
        <item x="50"/>
        <item x="26"/>
        <item x="96"/>
        <item x="27"/>
        <item x="46"/>
        <item x="108"/>
        <item x="17"/>
        <item x="40"/>
        <item x="30"/>
        <item x="41"/>
        <item x="42"/>
        <item x="43"/>
        <item x="93"/>
        <item x="70"/>
        <item x="87"/>
        <item x="4"/>
        <item x="109"/>
        <item x="1"/>
        <item x="19"/>
        <item x="25"/>
        <item x="80"/>
        <item x="85"/>
        <item x="31"/>
        <item x="124"/>
        <item x="36"/>
        <item x="90"/>
        <item x="120"/>
        <item x="76"/>
        <item x="110"/>
        <item x="45"/>
        <item x="34"/>
        <item x="33"/>
        <item x="79"/>
        <item x="101"/>
        <item x="57"/>
        <item x="48"/>
        <item x="47"/>
        <item x="98"/>
        <item x="116"/>
        <item x="111"/>
        <item x="54"/>
        <item x="125"/>
        <item x="122"/>
        <item x="123"/>
        <item x="2"/>
        <item x="99"/>
        <item x="92"/>
        <item x="104"/>
        <item x="107"/>
        <item x="58"/>
        <item x="32"/>
        <item x="82"/>
        <item x="55"/>
        <item x="9"/>
        <item x="127"/>
        <item x="81"/>
        <item x="64"/>
        <item x="105"/>
        <item x="75"/>
        <item x="117"/>
        <item x="102"/>
        <item x="53"/>
        <item x="73"/>
        <item x="119"/>
        <item x="18"/>
        <item x="7"/>
        <item x="112"/>
        <item x="89"/>
        <item x="91"/>
        <item x="62"/>
        <item x="65"/>
        <item x="113"/>
        <item x="83"/>
        <item x="71"/>
        <item x="69"/>
        <item x="61"/>
        <item x="20"/>
        <item x="44"/>
        <item x="84"/>
        <item x="126"/>
        <item x="51"/>
        <item x="10"/>
        <item x="118"/>
        <item x="88"/>
        <item x="67"/>
        <item x="11"/>
        <item x="86"/>
        <item x="22"/>
        <item x="28"/>
        <item x="14"/>
        <item x="74"/>
        <item x="16"/>
        <item x="103"/>
        <item x="24"/>
        <item x="60"/>
        <item x="100"/>
        <item x="72"/>
        <item x="56"/>
        <item x="3"/>
        <item x="52"/>
        <item x="12"/>
        <item x="8"/>
        <item x="37"/>
        <item x="13"/>
        <item x="5"/>
        <item x="49"/>
        <item x="39"/>
        <item x="6"/>
        <item x="15"/>
        <item x="23"/>
        <item x="63"/>
        <item x="106"/>
        <item x="38"/>
        <item x="0"/>
        <item x="21"/>
        <item x="29"/>
        <item x="59"/>
        <item x="114"/>
        <item x="95"/>
        <item x="66"/>
        <item x="68"/>
        <item x="115"/>
        <item x="35"/>
        <item x="78"/>
        <item x="97"/>
        <item x="12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0"/>
    <field x="21"/>
  </rowFields>
  <rowItems count="47">
    <i>
      <x v="3"/>
      <x v="98"/>
    </i>
    <i r="1">
      <x v="100"/>
    </i>
    <i r="1">
      <x v="106"/>
    </i>
    <i r="1">
      <x v="112"/>
    </i>
    <i r="1">
      <x v="115"/>
    </i>
    <i t="default">
      <x v="3"/>
    </i>
    <i>
      <x v="12"/>
      <x v="2"/>
    </i>
    <i r="1">
      <x v="20"/>
    </i>
    <i r="1">
      <x v="21"/>
    </i>
    <i r="1">
      <x v="22"/>
    </i>
    <i r="1">
      <x v="23"/>
    </i>
    <i r="1">
      <x v="24"/>
    </i>
    <i r="1">
      <x v="26"/>
    </i>
    <i r="1">
      <x v="30"/>
    </i>
    <i r="1">
      <x v="46"/>
    </i>
    <i r="1">
      <x v="47"/>
    </i>
    <i r="1">
      <x v="48"/>
    </i>
    <i r="1">
      <x v="52"/>
    </i>
    <i r="1">
      <x v="57"/>
    </i>
    <i r="1">
      <x v="69"/>
    </i>
    <i r="1">
      <x v="83"/>
    </i>
    <i r="1">
      <x v="85"/>
    </i>
    <i r="1">
      <x v="95"/>
    </i>
    <i r="1">
      <x v="96"/>
    </i>
    <i r="1">
      <x v="102"/>
    </i>
    <i r="1">
      <x v="111"/>
    </i>
    <i r="1">
      <x v="112"/>
    </i>
    <i t="default">
      <x v="12"/>
    </i>
    <i>
      <x v="13"/>
      <x v="22"/>
    </i>
    <i r="1">
      <x v="24"/>
    </i>
    <i r="1">
      <x v="25"/>
    </i>
    <i r="1">
      <x v="44"/>
    </i>
    <i r="1">
      <x v="49"/>
    </i>
    <i r="1">
      <x v="83"/>
    </i>
    <i r="1">
      <x v="93"/>
    </i>
    <i r="1">
      <x v="95"/>
    </i>
    <i r="1">
      <x v="102"/>
    </i>
    <i t="default">
      <x v="13"/>
    </i>
    <i>
      <x v="14"/>
      <x v="7"/>
    </i>
    <i r="1">
      <x v="8"/>
    </i>
    <i r="1">
      <x v="24"/>
    </i>
    <i r="1">
      <x v="91"/>
    </i>
    <i r="1">
      <x v="92"/>
    </i>
    <i r="1">
      <x v="93"/>
    </i>
    <i r="1">
      <x v="125"/>
    </i>
    <i t="default">
      <x v="14"/>
    </i>
    <i t="grand">
      <x/>
    </i>
  </rowItems>
  <colFields count="1">
    <field x="7"/>
  </colFields>
  <colItems count="3">
    <i>
      <x/>
    </i>
    <i>
      <x v="2"/>
    </i>
    <i t="grand">
      <x/>
    </i>
  </colItems>
  <pageFields count="2">
    <pageField fld="9" hier="-1"/>
    <pageField fld="13" hier="-1"/>
  </pageFields>
  <dataFields count="1">
    <dataField name="Sum of Actual BTF 01.05.25" fld="40" baseField="0" baseItem="0" numFmtId="1"/>
  </dataFields>
  <formats count="31">
    <format dxfId="143">
      <pivotArea outline="0" collapsedLevelsAreSubtotals="1" fieldPosition="0"/>
    </format>
    <format dxfId="142">
      <pivotArea type="topRight" dataOnly="0" labelOnly="1" outline="0" fieldPosition="0"/>
    </format>
    <format dxfId="141">
      <pivotArea outline="0" collapsedLevelsAreSubtotals="1" fieldPosition="0"/>
    </format>
    <format dxfId="140">
      <pivotArea type="topRight" dataOnly="0" labelOnly="1" outline="0" fieldPosition="0"/>
    </format>
    <format dxfId="139">
      <pivotArea outline="0" collapsedLevelsAreSubtotals="1" fieldPosition="0"/>
    </format>
    <format dxfId="138">
      <pivotArea type="topRight" dataOnly="0" labelOnly="1" outline="0" fieldPosition="0"/>
    </format>
    <format dxfId="137">
      <pivotArea field="10" type="button" dataOnly="0" labelOnly="1" outline="0" axis="axisRow" fieldPosition="0"/>
    </format>
    <format dxfId="136">
      <pivotArea field="21" type="button" dataOnly="0" labelOnly="1" outline="0" axis="axisRow" fieldPosition="1"/>
    </format>
    <format dxfId="135">
      <pivotArea dataOnly="0" labelOnly="1" grandCol="1" outline="0" fieldPosition="0"/>
    </format>
    <format dxfId="134">
      <pivotArea field="10" type="button" dataOnly="0" labelOnly="1" outline="0" axis="axisRow" fieldPosition="0"/>
    </format>
    <format dxfId="133">
      <pivotArea field="21" type="button" dataOnly="0" labelOnly="1" outline="0" axis="axisRow" fieldPosition="1"/>
    </format>
    <format dxfId="132">
      <pivotArea dataOnly="0" labelOnly="1" grandCol="1" outline="0" fieldPosition="0"/>
    </format>
    <format dxfId="131">
      <pivotArea field="10" type="button" dataOnly="0" labelOnly="1" outline="0" axis="axisRow" fieldPosition="0"/>
    </format>
    <format dxfId="130">
      <pivotArea field="21" type="button" dataOnly="0" labelOnly="1" outline="0" axis="axisRow" fieldPosition="1"/>
    </format>
    <format dxfId="129">
      <pivotArea dataOnly="0" labelOnly="1" grandCol="1" outline="0" fieldPosition="0"/>
    </format>
    <format dxfId="128">
      <pivotArea field="21" grandCol="1" outline="0" axis="axisRow" fieldPosition="1">
        <references count="2">
          <reference field="10" count="0" selected="0"/>
          <reference field="21" count="1" selected="0">
            <x v="20"/>
          </reference>
        </references>
      </pivotArea>
    </format>
    <format dxfId="127">
      <pivotArea outline="0" fieldPosition="0">
        <references count="3">
          <reference field="7" count="1" selected="0">
            <x v="2"/>
          </reference>
          <reference field="10" count="1" selected="0">
            <x v="13"/>
          </reference>
          <reference field="21" count="1" selected="0">
            <x v="24"/>
          </reference>
        </references>
      </pivotArea>
    </format>
    <format dxfId="126">
      <pivotArea outline="0" fieldPosition="0">
        <references count="3">
          <reference field="7" count="1" selected="0">
            <x v="2"/>
          </reference>
          <reference field="10" count="1" selected="0">
            <x v="13"/>
          </reference>
          <reference field="21" count="1" selected="0">
            <x v="83"/>
          </reference>
        </references>
      </pivotArea>
    </format>
    <format dxfId="125">
      <pivotArea outline="0" fieldPosition="0">
        <references count="3">
          <reference field="7" count="1" selected="0">
            <x v="2"/>
          </reference>
          <reference field="10" count="1" selected="0">
            <x v="13"/>
          </reference>
          <reference field="21" count="1" selected="0">
            <x v="102"/>
          </reference>
        </references>
      </pivotArea>
    </format>
    <format dxfId="124">
      <pivotArea outline="0" fieldPosition="0">
        <references count="3">
          <reference field="7" count="1" selected="0">
            <x v="2"/>
          </reference>
          <reference field="10" count="1" selected="0">
            <x v="13"/>
          </reference>
          <reference field="21" count="1" selected="0">
            <x v="25"/>
          </reference>
        </references>
      </pivotArea>
    </format>
    <format dxfId="123">
      <pivotArea dataOnly="0" labelOnly="1" outline="0" fieldPosition="0">
        <references count="2">
          <reference field="10" count="1" selected="0">
            <x v="13"/>
          </reference>
          <reference field="21" count="1">
            <x v="95"/>
          </reference>
        </references>
      </pivotArea>
    </format>
    <format dxfId="122">
      <pivotArea dataOnly="0" labelOnly="1" outline="0" fieldPosition="0">
        <references count="2">
          <reference field="10" count="1" selected="0">
            <x v="13"/>
          </reference>
          <reference field="21" count="1">
            <x v="44"/>
          </reference>
        </references>
      </pivotArea>
    </format>
    <format dxfId="121">
      <pivotArea outline="0" fieldPosition="0">
        <references count="3">
          <reference field="7" count="1" selected="0">
            <x v="2"/>
          </reference>
          <reference field="10" count="1" selected="0">
            <x v="13"/>
          </reference>
          <reference field="21" count="1" selected="0">
            <x v="49"/>
          </reference>
        </references>
      </pivotArea>
    </format>
    <format dxfId="120">
      <pivotArea dataOnly="0" labelOnly="1" outline="0" fieldPosition="0">
        <references count="2">
          <reference field="10" count="1" selected="0">
            <x v="13"/>
          </reference>
          <reference field="21" count="1">
            <x v="49"/>
          </reference>
        </references>
      </pivotArea>
    </format>
    <format dxfId="119">
      <pivotArea outline="0" fieldPosition="0">
        <references count="2">
          <reference field="10" count="1" selected="0">
            <x v="12"/>
          </reference>
          <reference field="21" count="2" selected="0">
            <x v="95"/>
            <x v="96"/>
          </reference>
        </references>
      </pivotArea>
    </format>
    <format dxfId="118">
      <pivotArea outline="0" fieldPosition="0">
        <references count="3">
          <reference field="7" count="1" selected="0">
            <x v="2"/>
          </reference>
          <reference field="10" count="1" selected="0">
            <x v="12"/>
          </reference>
          <reference field="21" count="2" selected="0">
            <x v="111"/>
            <x v="112"/>
          </reference>
        </references>
      </pivotArea>
    </format>
    <format dxfId="117">
      <pivotArea outline="0" fieldPosition="0">
        <references count="3">
          <reference field="7" count="1" selected="0">
            <x v="2"/>
          </reference>
          <reference field="10" count="1" selected="0">
            <x v="12"/>
          </reference>
          <reference field="21" count="2" selected="0">
            <x v="111"/>
            <x v="112"/>
          </reference>
        </references>
      </pivotArea>
    </format>
    <format dxfId="116">
      <pivotArea field="21" grandCol="1" outline="0" axis="axisRow" fieldPosition="1">
        <references count="2">
          <reference field="10" count="1" selected="0">
            <x v="12"/>
          </reference>
          <reference field="21" count="1" selected="0">
            <x v="20"/>
          </reference>
        </references>
      </pivotArea>
    </format>
    <format dxfId="115">
      <pivotArea field="21" grandCol="1" outline="0" axis="axisRow" fieldPosition="1">
        <references count="2">
          <reference field="10" count="1" selected="0">
            <x v="12"/>
          </reference>
          <reference field="21" count="2" selected="0">
            <x v="111"/>
            <x v="112"/>
          </reference>
        </references>
      </pivotArea>
    </format>
    <format dxfId="114">
      <pivotArea outline="0" fieldPosition="0">
        <references count="3">
          <reference field="7" count="1" selected="0">
            <x v="2"/>
          </reference>
          <reference field="10" count="1" selected="0">
            <x v="12"/>
          </reference>
          <reference field="21" count="1" selected="0">
            <x v="24"/>
          </reference>
        </references>
      </pivotArea>
    </format>
    <format dxfId="113">
      <pivotArea outline="0" fieldPosition="0">
        <references count="3">
          <reference field="7" count="1" selected="0">
            <x v="2"/>
          </reference>
          <reference field="10" count="1" selected="0">
            <x v="12"/>
          </reference>
          <reference field="21" count="1" selected="0">
            <x v="83"/>
          </reference>
        </references>
      </pivotArea>
    </format>
  </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108F8E-FCFA-4039-93EC-3DBCEABCD7F7}" name="PivotTable2" cacheId="13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E38" firstHeaderRow="1" firstDataRow="2" firstDataCol="2" rowPageCount="2" colPageCount="1"/>
  <pivotFields count="113">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6">
        <item x="0"/>
        <item x="1"/>
        <item x="2"/>
        <item x="3"/>
        <item x="4"/>
        <item t="default"/>
      </items>
    </pivotField>
    <pivotField compact="0" outline="0" showAll="0"/>
    <pivotField axis="axisRow" compact="0" outline="0" showAll="0">
      <items count="7">
        <item x="1"/>
        <item x="5"/>
        <item x="4"/>
        <item x="3"/>
        <item x="0"/>
        <item x="2"/>
        <item t="default"/>
      </items>
    </pivotField>
    <pivotField axis="axisRow" compact="0" outline="0" showAll="0">
      <items count="23">
        <item x="0"/>
        <item x="17"/>
        <item x="12"/>
        <item x="15"/>
        <item x="10"/>
        <item x="3"/>
        <item x="8"/>
        <item x="7"/>
        <item x="13"/>
        <item x="9"/>
        <item x="14"/>
        <item x="4"/>
        <item x="5"/>
        <item x="1"/>
        <item x="11"/>
        <item x="2"/>
        <item x="6"/>
        <item x="16"/>
        <item x="18"/>
        <item x="19"/>
        <item x="20"/>
        <item m="1" x="21"/>
        <item t="default"/>
      </items>
    </pivotField>
    <pivotField compact="0" outline="0" showAll="0"/>
    <pivotField dataField="1" compact="0" outline="0" showAll="0"/>
    <pivotField axis="axisPage" compact="0" outline="0" multipleItemSelectionAllowed="1"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numFmtId="1" outline="0" showAll="0"/>
    <pivotField compact="0" numFmtId="1" outline="0" showAll="0"/>
    <pivotField dataField="1" compact="0" numFmtId="1"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outline="0" showAll="0"/>
    <pivotField compact="0" numFmtId="1"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9"/>
    <field x="10"/>
  </rowFields>
  <rowItems count="33">
    <i>
      <x/>
      <x/>
    </i>
    <i r="1">
      <x v="1"/>
    </i>
    <i r="1">
      <x v="3"/>
    </i>
    <i r="1">
      <x v="4"/>
    </i>
    <i r="1">
      <x v="7"/>
    </i>
    <i r="1">
      <x v="13"/>
    </i>
    <i r="1">
      <x v="14"/>
    </i>
    <i r="1">
      <x v="15"/>
    </i>
    <i r="1">
      <x v="16"/>
    </i>
    <i r="1">
      <x v="18"/>
    </i>
    <i t="default">
      <x/>
    </i>
    <i>
      <x v="1"/>
      <x v="4"/>
    </i>
    <i r="1">
      <x v="6"/>
    </i>
    <i r="1">
      <x v="16"/>
    </i>
    <i t="default">
      <x v="1"/>
    </i>
    <i>
      <x v="2"/>
      <x v="4"/>
    </i>
    <i r="1">
      <x v="5"/>
    </i>
    <i r="1">
      <x v="8"/>
    </i>
    <i r="1">
      <x v="12"/>
    </i>
    <i t="default">
      <x v="2"/>
    </i>
    <i>
      <x v="3"/>
      <x/>
    </i>
    <i r="1">
      <x v="9"/>
    </i>
    <i r="1">
      <x v="10"/>
    </i>
    <i r="1">
      <x v="11"/>
    </i>
    <i r="1">
      <x v="20"/>
    </i>
    <i t="default">
      <x v="3"/>
    </i>
    <i>
      <x v="4"/>
      <x/>
    </i>
    <i r="1">
      <x v="3"/>
    </i>
    <i r="1">
      <x v="16"/>
    </i>
    <i t="default">
      <x v="4"/>
    </i>
    <i>
      <x v="5"/>
      <x v="5"/>
    </i>
    <i t="default">
      <x v="5"/>
    </i>
    <i t="grand">
      <x/>
    </i>
  </rowItems>
  <colFields count="1">
    <field x="-2"/>
  </colFields>
  <colItems count="3">
    <i>
      <x/>
    </i>
    <i i="1">
      <x v="1"/>
    </i>
    <i i="2">
      <x v="2"/>
    </i>
  </colItems>
  <pageFields count="2">
    <pageField fld="7" hier="-1"/>
    <pageField fld="13" hier="-1"/>
  </pageFields>
  <dataFields count="3">
    <dataField name=" OSP" fld="12" baseField="0" baseItem="0"/>
    <dataField name=" Exp BTF 01.05.25" fld="39" baseField="0" baseItem="0"/>
    <dataField name=" Actual BTF 01.05.25" fld="40" baseField="0" baseItem="0"/>
  </dataFields>
  <formats count="113">
    <format dxfId="112">
      <pivotArea outline="0" collapsedLevelsAreSubtotals="1" fieldPosition="0"/>
    </format>
    <format dxfId="111">
      <pivotArea field="-2" type="button" dataOnly="0" labelOnly="1" outline="0" axis="axisCol" fieldPosition="0"/>
    </format>
    <format dxfId="110">
      <pivotArea type="topRight" dataOnly="0" labelOnly="1" outline="0" fieldPosition="0"/>
    </format>
    <format dxfId="109">
      <pivotArea dataOnly="0" labelOnly="1" outline="0" fieldPosition="0">
        <references count="1">
          <reference field="4294967294" count="1">
            <x v="0"/>
          </reference>
        </references>
      </pivotArea>
    </format>
    <format dxfId="108">
      <pivotArea outline="0" collapsedLevelsAreSubtotals="1" fieldPosition="0"/>
    </format>
    <format dxfId="107">
      <pivotArea field="-2" type="button" dataOnly="0" labelOnly="1" outline="0" axis="axisCol" fieldPosition="0"/>
    </format>
    <format dxfId="106">
      <pivotArea type="topRight" dataOnly="0" labelOnly="1" outline="0" fieldPosition="0"/>
    </format>
    <format dxfId="105">
      <pivotArea dataOnly="0" labelOnly="1" outline="0" fieldPosition="0">
        <references count="1">
          <reference field="4294967294" count="1">
            <x v="0"/>
          </reference>
        </references>
      </pivotArea>
    </format>
    <format dxfId="104">
      <pivotArea outline="0" collapsedLevelsAreSubtotals="1" fieldPosition="0"/>
    </format>
    <format dxfId="103">
      <pivotArea field="-2" type="button" dataOnly="0" labelOnly="1" outline="0" axis="axisCol" fieldPosition="0"/>
    </format>
    <format dxfId="102">
      <pivotArea type="topRight" dataOnly="0" labelOnly="1" outline="0" fieldPosition="0"/>
    </format>
    <format dxfId="101">
      <pivotArea dataOnly="0" labelOnly="1" outline="0" fieldPosition="0">
        <references count="1">
          <reference field="4294967294" count="1">
            <x v="0"/>
          </reference>
        </references>
      </pivotArea>
    </format>
    <format dxfId="100">
      <pivotArea field="9" type="button" dataOnly="0" labelOnly="1" outline="0" axis="axisRow" fieldPosition="0"/>
    </format>
    <format dxfId="99">
      <pivotArea field="10" type="button" dataOnly="0" labelOnly="1" outline="0" axis="axisRow" fieldPosition="1"/>
    </format>
    <format dxfId="98">
      <pivotArea dataOnly="0" labelOnly="1" outline="0" fieldPosition="0">
        <references count="1">
          <reference field="4294967294" count="1">
            <x v="0"/>
          </reference>
        </references>
      </pivotArea>
    </format>
    <format dxfId="97">
      <pivotArea dataOnly="0" outline="0" fieldPosition="0">
        <references count="1">
          <reference field="9" count="0" defaultSubtotal="1"/>
        </references>
      </pivotArea>
    </format>
    <format dxfId="96">
      <pivotArea field="9" type="button" dataOnly="0" labelOnly="1" outline="0" axis="axisRow" fieldPosition="0"/>
    </format>
    <format dxfId="95">
      <pivotArea field="10" type="button" dataOnly="0" labelOnly="1" outline="0" axis="axisRow" fieldPosition="1"/>
    </format>
    <format dxfId="94">
      <pivotArea dataOnly="0" labelOnly="1" outline="0" fieldPosition="0">
        <references count="1">
          <reference field="4294967294" count="1">
            <x v="0"/>
          </reference>
        </references>
      </pivotArea>
    </format>
    <format dxfId="93">
      <pivotArea outline="0" collapsedLevelsAreSubtotals="1" fieldPosition="0"/>
    </format>
    <format dxfId="92">
      <pivotArea field="9" type="button" dataOnly="0" labelOnly="1" outline="0" axis="axisRow" fieldPosition="0"/>
    </format>
    <format dxfId="91">
      <pivotArea field="10" type="button" dataOnly="0" labelOnly="1" outline="0" axis="axisRow" fieldPosition="1"/>
    </format>
    <format dxfId="90">
      <pivotArea dataOnly="0" labelOnly="1" outline="0" fieldPosition="0">
        <references count="1">
          <reference field="9" count="0"/>
        </references>
      </pivotArea>
    </format>
    <format dxfId="89">
      <pivotArea dataOnly="0" labelOnly="1" outline="0" fieldPosition="0">
        <references count="1">
          <reference field="9" count="0" defaultSubtotal="1"/>
        </references>
      </pivotArea>
    </format>
    <format dxfId="88">
      <pivotArea dataOnly="0" labelOnly="1" grandRow="1" outline="0" fieldPosition="0"/>
    </format>
    <format dxfId="87">
      <pivotArea dataOnly="0" labelOnly="1" outline="0" fieldPosition="0">
        <references count="2">
          <reference field="9" count="1" selected="0">
            <x v="0"/>
          </reference>
          <reference field="10" count="6">
            <x v="4"/>
            <x v="7"/>
            <x v="13"/>
            <x v="14"/>
            <x v="15"/>
            <x v="16"/>
          </reference>
        </references>
      </pivotArea>
    </format>
    <format dxfId="86">
      <pivotArea dataOnly="0" labelOnly="1" outline="0" fieldPosition="0">
        <references count="2">
          <reference field="9" count="1" selected="0">
            <x v="1"/>
          </reference>
          <reference field="10" count="2">
            <x v="6"/>
            <x v="16"/>
          </reference>
        </references>
      </pivotArea>
    </format>
    <format dxfId="85">
      <pivotArea dataOnly="0" labelOnly="1" outline="0" fieldPosition="0">
        <references count="2">
          <reference field="9" count="1" selected="0">
            <x v="2"/>
          </reference>
          <reference field="10" count="3">
            <x v="5"/>
            <x v="8"/>
            <x v="12"/>
          </reference>
        </references>
      </pivotArea>
    </format>
    <format dxfId="84">
      <pivotArea dataOnly="0" labelOnly="1" outline="0" fieldPosition="0">
        <references count="2">
          <reference field="9" count="1" selected="0">
            <x v="3"/>
          </reference>
          <reference field="10" count="4">
            <x v="4"/>
            <x v="9"/>
            <x v="10"/>
            <x v="11"/>
          </reference>
        </references>
      </pivotArea>
    </format>
    <format dxfId="83">
      <pivotArea dataOnly="0" labelOnly="1" outline="0" fieldPosition="0">
        <references count="2">
          <reference field="9" count="1" selected="0">
            <x v="4"/>
          </reference>
          <reference field="10" count="2">
            <x v="0"/>
            <x v="16"/>
          </reference>
        </references>
      </pivotArea>
    </format>
    <format dxfId="82">
      <pivotArea dataOnly="0" labelOnly="1" outline="0" fieldPosition="0">
        <references count="2">
          <reference field="9" count="1" selected="0">
            <x v="5"/>
          </reference>
          <reference field="10" count="1">
            <x v="5"/>
          </reference>
        </references>
      </pivotArea>
    </format>
    <format dxfId="81">
      <pivotArea dataOnly="0" labelOnly="1" outline="0" fieldPosition="0">
        <references count="1">
          <reference field="4294967294" count="1">
            <x v="0"/>
          </reference>
        </references>
      </pivotArea>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9" type="button" dataOnly="0" labelOnly="1" outline="0" axis="axisRow" fieldPosition="0"/>
    </format>
    <format dxfId="76">
      <pivotArea field="10" type="button" dataOnly="0" labelOnly="1" outline="0" axis="axisRow" fieldPosition="1"/>
    </format>
    <format dxfId="75">
      <pivotArea dataOnly="0" labelOnly="1" outline="0" fieldPosition="0">
        <references count="1">
          <reference field="9" count="0"/>
        </references>
      </pivotArea>
    </format>
    <format dxfId="74">
      <pivotArea dataOnly="0" labelOnly="1" outline="0" fieldPosition="0">
        <references count="1">
          <reference field="9" count="0" defaultSubtotal="1"/>
        </references>
      </pivotArea>
    </format>
    <format dxfId="73">
      <pivotArea dataOnly="0" labelOnly="1" grandRow="1" outline="0" fieldPosition="0"/>
    </format>
    <format dxfId="72">
      <pivotArea dataOnly="0" labelOnly="1" outline="0" fieldPosition="0">
        <references count="2">
          <reference field="9" count="1" selected="0">
            <x v="0"/>
          </reference>
          <reference field="10" count="8">
            <x v="2"/>
            <x v="3"/>
            <x v="4"/>
            <x v="7"/>
            <x v="13"/>
            <x v="14"/>
            <x v="15"/>
            <x v="16"/>
          </reference>
        </references>
      </pivotArea>
    </format>
    <format dxfId="71">
      <pivotArea dataOnly="0" labelOnly="1" outline="0" fieldPosition="0">
        <references count="2">
          <reference field="9" count="1" selected="0">
            <x v="1"/>
          </reference>
          <reference field="10" count="3">
            <x v="4"/>
            <x v="6"/>
            <x v="16"/>
          </reference>
        </references>
      </pivotArea>
    </format>
    <format dxfId="70">
      <pivotArea dataOnly="0" labelOnly="1" outline="0" fieldPosition="0">
        <references count="2">
          <reference field="9" count="1" selected="0">
            <x v="2"/>
          </reference>
          <reference field="10" count="4">
            <x v="4"/>
            <x v="5"/>
            <x v="8"/>
            <x v="12"/>
          </reference>
        </references>
      </pivotArea>
    </format>
    <format dxfId="69">
      <pivotArea dataOnly="0" labelOnly="1" outline="0" fieldPosition="0">
        <references count="2">
          <reference field="9" count="1" selected="0">
            <x v="3"/>
          </reference>
          <reference field="10" count="4">
            <x v="0"/>
            <x v="9"/>
            <x v="10"/>
            <x v="11"/>
          </reference>
        </references>
      </pivotArea>
    </format>
    <format dxfId="68">
      <pivotArea dataOnly="0" labelOnly="1" outline="0" fieldPosition="0">
        <references count="2">
          <reference field="9" count="1" selected="0">
            <x v="4"/>
          </reference>
          <reference field="10" count="2">
            <x v="0"/>
            <x v="16"/>
          </reference>
        </references>
      </pivotArea>
    </format>
    <format dxfId="67">
      <pivotArea dataOnly="0" labelOnly="1" outline="0" fieldPosition="0">
        <references count="2">
          <reference field="9" count="1" selected="0">
            <x v="5"/>
          </reference>
          <reference field="10" count="1">
            <x v="5"/>
          </reference>
        </references>
      </pivotArea>
    </format>
    <format dxfId="66">
      <pivotArea dataOnly="0" labelOnly="1" outline="0" fieldPosition="0">
        <references count="1">
          <reference field="4294967294" count="1">
            <x v="0"/>
          </reference>
        </references>
      </pivotArea>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dataOnly="0" labelOnly="1" outline="0" fieldPosition="0">
        <references count="1">
          <reference field="9" count="0"/>
        </references>
      </pivotArea>
    </format>
    <format dxfId="61">
      <pivotArea dataOnly="0" labelOnly="1" outline="0" fieldPosition="0">
        <references count="1">
          <reference field="9" count="0" defaultSubtotal="1"/>
        </references>
      </pivotArea>
    </format>
    <format dxfId="60">
      <pivotArea dataOnly="0" labelOnly="1" grandRow="1" outline="0" fieldPosition="0"/>
    </format>
    <format dxfId="59">
      <pivotArea dataOnly="0" labelOnly="1" outline="0" fieldPosition="0">
        <references count="2">
          <reference field="9" count="1" selected="0">
            <x v="0"/>
          </reference>
          <reference field="10" count="8">
            <x v="2"/>
            <x v="3"/>
            <x v="4"/>
            <x v="7"/>
            <x v="13"/>
            <x v="14"/>
            <x v="15"/>
            <x v="16"/>
          </reference>
        </references>
      </pivotArea>
    </format>
    <format dxfId="58">
      <pivotArea dataOnly="0" labelOnly="1" outline="0" fieldPosition="0">
        <references count="2">
          <reference field="9" count="1" selected="0">
            <x v="1"/>
          </reference>
          <reference field="10" count="3">
            <x v="4"/>
            <x v="6"/>
            <x v="16"/>
          </reference>
        </references>
      </pivotArea>
    </format>
    <format dxfId="57">
      <pivotArea dataOnly="0" labelOnly="1" outline="0" fieldPosition="0">
        <references count="2">
          <reference field="9" count="1" selected="0">
            <x v="2"/>
          </reference>
          <reference field="10" count="4">
            <x v="4"/>
            <x v="5"/>
            <x v="8"/>
            <x v="12"/>
          </reference>
        </references>
      </pivotArea>
    </format>
    <format dxfId="56">
      <pivotArea dataOnly="0" labelOnly="1" outline="0" fieldPosition="0">
        <references count="2">
          <reference field="9" count="1" selected="0">
            <x v="3"/>
          </reference>
          <reference field="10" count="4">
            <x v="0"/>
            <x v="9"/>
            <x v="10"/>
            <x v="11"/>
          </reference>
        </references>
      </pivotArea>
    </format>
    <format dxfId="55">
      <pivotArea dataOnly="0" labelOnly="1" outline="0" fieldPosition="0">
        <references count="2">
          <reference field="9" count="1" selected="0">
            <x v="4"/>
          </reference>
          <reference field="10" count="2">
            <x v="0"/>
            <x v="16"/>
          </reference>
        </references>
      </pivotArea>
    </format>
    <format dxfId="54">
      <pivotArea dataOnly="0" labelOnly="1" outline="0" fieldPosition="0">
        <references count="2">
          <reference field="9" count="1" selected="0">
            <x v="5"/>
          </reference>
          <reference field="10" count="1">
            <x v="5"/>
          </reference>
        </references>
      </pivotArea>
    </format>
    <format dxfId="53">
      <pivotArea field="9" type="button" dataOnly="0" labelOnly="1" outline="0" axis="axisRow" fieldPosition="0"/>
    </format>
    <format dxfId="52">
      <pivotArea field="10" type="button" dataOnly="0" labelOnly="1" outline="0" axis="axisRow" fieldPosition="1"/>
    </format>
    <format dxfId="51">
      <pivotArea dataOnly="0" labelOnly="1" outline="0" fieldPosition="0">
        <references count="1">
          <reference field="4294967294" count="1">
            <x v="0"/>
          </reference>
        </references>
      </pivotArea>
    </format>
    <format dxfId="50">
      <pivotArea field="9" type="button" dataOnly="0" labelOnly="1" outline="0" axis="axisRow" fieldPosition="0"/>
    </format>
    <format dxfId="49">
      <pivotArea field="10" type="button" dataOnly="0" labelOnly="1" outline="0" axis="axisRow" fieldPosition="1"/>
    </format>
    <format dxfId="48">
      <pivotArea dataOnly="0" labelOnly="1" outline="0" fieldPosition="0">
        <references count="1">
          <reference field="4294967294" count="1">
            <x v="0"/>
          </reference>
        </references>
      </pivotArea>
    </format>
    <format dxfId="47">
      <pivotArea field="9" type="button" dataOnly="0" labelOnly="1" outline="0" axis="axisRow" fieldPosition="0"/>
    </format>
    <format dxfId="46">
      <pivotArea field="10" type="button" dataOnly="0" labelOnly="1" outline="0" axis="axisRow" fieldPosition="1"/>
    </format>
    <format dxfId="45">
      <pivotArea dataOnly="0" labelOnly="1" outline="0" fieldPosition="0">
        <references count="1">
          <reference field="9" count="0"/>
        </references>
      </pivotArea>
    </format>
    <format dxfId="44">
      <pivotArea dataOnly="0" labelOnly="1" outline="0" fieldPosition="0">
        <references count="2">
          <reference field="9" count="1" selected="0">
            <x v="0"/>
          </reference>
          <reference field="10" count="8">
            <x v="2"/>
            <x v="3"/>
            <x v="4"/>
            <x v="7"/>
            <x v="13"/>
            <x v="14"/>
            <x v="15"/>
            <x v="16"/>
          </reference>
        </references>
      </pivotArea>
    </format>
    <format dxfId="43">
      <pivotArea dataOnly="0" labelOnly="1" outline="0" fieldPosition="0">
        <references count="2">
          <reference field="9" count="1" selected="0">
            <x v="2"/>
          </reference>
          <reference field="10" count="4">
            <x v="4"/>
            <x v="5"/>
            <x v="8"/>
            <x v="12"/>
          </reference>
        </references>
      </pivotArea>
    </format>
    <format dxfId="42">
      <pivotArea dataOnly="0" labelOnly="1" outline="0" fieldPosition="0">
        <references count="1">
          <reference field="4294967294" count="1">
            <x v="0"/>
          </reference>
        </references>
      </pivotArea>
    </format>
    <format dxfId="41">
      <pivotArea field="9" type="button" dataOnly="0" labelOnly="1" outline="0" axis="axisRow" fieldPosition="0"/>
    </format>
    <format dxfId="40">
      <pivotArea field="10" type="button" dataOnly="0" labelOnly="1" outline="0" axis="axisRow" fieldPosition="1"/>
    </format>
    <format dxfId="39">
      <pivotArea dataOnly="0" labelOnly="1" outline="0" fieldPosition="0">
        <references count="1">
          <reference field="4294967294" count="1">
            <x v="0"/>
          </reference>
        </references>
      </pivotArea>
    </format>
    <format dxfId="38">
      <pivotArea outline="0" fieldPosition="0">
        <references count="1">
          <reference field="4294967294" count="1" selected="0">
            <x v="0"/>
          </reference>
        </references>
      </pivotArea>
    </format>
    <format dxfId="37">
      <pivotArea dataOnly="0" labelOnly="1" outline="0" fieldPosition="0">
        <references count="1">
          <reference field="4294967294" count="1">
            <x v="0"/>
          </reference>
        </references>
      </pivotArea>
    </format>
    <format dxfId="36">
      <pivotArea type="origin" dataOnly="0" labelOnly="1" outline="0" fieldPosition="0"/>
    </format>
    <format dxfId="35">
      <pivotArea field="-2" type="button" dataOnly="0" labelOnly="1" outline="0" axis="axisCol" fieldPosition="0"/>
    </format>
    <format dxfId="34">
      <pivotArea type="topRight" dataOnly="0" labelOnly="1" outline="0" fieldPosition="0"/>
    </format>
    <format dxfId="33">
      <pivotArea field="9" type="button" dataOnly="0" labelOnly="1" outline="0" axis="axisRow" fieldPosition="0"/>
    </format>
    <format dxfId="32">
      <pivotArea field="10" type="button" dataOnly="0" labelOnly="1" outline="0" axis="axisRow" fieldPosition="1"/>
    </format>
    <format dxfId="31">
      <pivotArea dataOnly="0" labelOnly="1" outline="0" fieldPosition="0">
        <references count="1">
          <reference field="4294967294" count="2">
            <x v="0"/>
            <x v="1"/>
          </reference>
        </references>
      </pivotArea>
    </format>
    <format dxfId="30">
      <pivotArea outline="0"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28">
      <pivotArea outline="0" fieldPosition="0">
        <references count="2">
          <reference field="9" count="1" selected="0">
            <x v="0"/>
          </reference>
          <reference field="10" count="1" selected="0">
            <x v="4"/>
          </reference>
        </references>
      </pivotArea>
    </format>
    <format dxfId="27">
      <pivotArea outline="0" fieldPosition="0">
        <references count="2">
          <reference field="9" count="1" selected="0">
            <x v="2"/>
          </reference>
          <reference field="10" count="1" selected="0">
            <x v="12"/>
          </reference>
        </references>
      </pivotArea>
    </format>
    <format dxfId="26">
      <pivotArea dataOnly="0" labelOnly="1" outline="0" fieldPosition="0">
        <references count="1">
          <reference field="9" count="1">
            <x v="2"/>
          </reference>
        </references>
      </pivotArea>
    </format>
    <format dxfId="25">
      <pivotArea dataOnly="0" labelOnly="1" outline="0" fieldPosition="0">
        <references count="2">
          <reference field="9" count="1" selected="0">
            <x v="2"/>
          </reference>
          <reference field="10" count="1">
            <x v="12"/>
          </reference>
        </references>
      </pivotArea>
    </format>
    <format dxfId="24">
      <pivotArea outline="0" collapsedLevelsAreSubtotals="1" fieldPosition="0"/>
    </format>
    <format dxfId="23">
      <pivotArea field="9" type="button" dataOnly="0" labelOnly="1" outline="0" axis="axisRow" fieldPosition="0"/>
    </format>
    <format dxfId="22">
      <pivotArea field="10" type="button" dataOnly="0" labelOnly="1" outline="0" axis="axisRow" fieldPosition="1"/>
    </format>
    <format dxfId="21">
      <pivotArea dataOnly="0" labelOnly="1" outline="0" fieldPosition="0">
        <references count="1">
          <reference field="9" count="0"/>
        </references>
      </pivotArea>
    </format>
    <format dxfId="20">
      <pivotArea dataOnly="0" labelOnly="1" outline="0" fieldPosition="0">
        <references count="1">
          <reference field="9" count="0" defaultSubtotal="1"/>
        </references>
      </pivotArea>
    </format>
    <format dxfId="19">
      <pivotArea dataOnly="0" labelOnly="1" grandRow="1" outline="0" fieldPosition="0"/>
    </format>
    <format dxfId="18">
      <pivotArea dataOnly="0" labelOnly="1" outline="0" fieldPosition="0">
        <references count="2">
          <reference field="9" count="1" selected="0">
            <x v="0"/>
          </reference>
          <reference field="10" count="7">
            <x v="3"/>
            <x v="4"/>
            <x v="7"/>
            <x v="13"/>
            <x v="14"/>
            <x v="15"/>
            <x v="16"/>
          </reference>
        </references>
      </pivotArea>
    </format>
    <format dxfId="17">
      <pivotArea dataOnly="0" labelOnly="1" outline="0" fieldPosition="0">
        <references count="2">
          <reference field="9" count="1" selected="0">
            <x v="1"/>
          </reference>
          <reference field="10" count="3">
            <x v="4"/>
            <x v="6"/>
            <x v="16"/>
          </reference>
        </references>
      </pivotArea>
    </format>
    <format dxfId="16">
      <pivotArea dataOnly="0" labelOnly="1" outline="0" fieldPosition="0">
        <references count="2">
          <reference field="9" count="1" selected="0">
            <x v="2"/>
          </reference>
          <reference field="10" count="3">
            <x v="5"/>
            <x v="8"/>
            <x v="12"/>
          </reference>
        </references>
      </pivotArea>
    </format>
    <format dxfId="15">
      <pivotArea dataOnly="0" labelOnly="1" outline="0" fieldPosition="0">
        <references count="2">
          <reference field="9" count="1" selected="0">
            <x v="3"/>
          </reference>
          <reference field="10" count="4">
            <x v="0"/>
            <x v="9"/>
            <x v="10"/>
            <x v="11"/>
          </reference>
        </references>
      </pivotArea>
    </format>
    <format dxfId="14">
      <pivotArea dataOnly="0" labelOnly="1" outline="0" fieldPosition="0">
        <references count="2">
          <reference field="9" count="1" selected="0">
            <x v="4"/>
          </reference>
          <reference field="10" count="2">
            <x v="0"/>
            <x v="16"/>
          </reference>
        </references>
      </pivotArea>
    </format>
    <format dxfId="13">
      <pivotArea dataOnly="0" labelOnly="1" outline="0" fieldPosition="0">
        <references count="2">
          <reference field="9" count="1" selected="0">
            <x v="5"/>
          </reference>
          <reference field="10" count="1">
            <x v="5"/>
          </reference>
        </references>
      </pivotArea>
    </format>
    <format dxfId="12">
      <pivotArea dataOnly="0" labelOnly="1" outline="0" fieldPosition="0">
        <references count="1">
          <reference field="4294967294" count="2">
            <x v="0"/>
            <x v="1"/>
          </reference>
        </references>
      </pivotArea>
    </format>
    <format dxfId="11">
      <pivotArea field="9" type="button" dataOnly="0" labelOnly="1" outline="0" axis="axisRow" fieldPosition="0"/>
    </format>
    <format dxfId="10">
      <pivotArea field="10" type="button" dataOnly="0" labelOnly="1" outline="0" axis="axisRow" fieldPosition="1"/>
    </format>
    <format dxfId="9">
      <pivotArea dataOnly="0" labelOnly="1" outline="0" fieldPosition="0">
        <references count="1">
          <reference field="4294967294" count="3">
            <x v="0"/>
            <x v="1"/>
            <x v="2"/>
          </reference>
        </references>
      </pivotArea>
    </format>
    <format dxfId="8">
      <pivotArea outline="0" collapsedLevelsAreSubtotals="1" fieldPosition="0"/>
    </format>
    <format dxfId="7">
      <pivotArea field="-2" type="button" dataOnly="0" labelOnly="1" outline="0" axis="axisCol" fieldPosition="0"/>
    </format>
    <format dxfId="6">
      <pivotArea type="topRight" dataOnly="0" labelOnly="1" outline="0" fieldPosition="0"/>
    </format>
    <format dxfId="5">
      <pivotArea dataOnly="0" labelOnly="1" outline="0" fieldPosition="0">
        <references count="1">
          <reference field="4294967294" count="3">
            <x v="0"/>
            <x v="1"/>
            <x v="2"/>
          </reference>
        </references>
      </pivotArea>
    </format>
    <format dxfId="4">
      <pivotArea outline="0" collapsedLevelsAreSubtotals="1" fieldPosition="0"/>
    </format>
    <format dxfId="3">
      <pivotArea field="-2" type="button" dataOnly="0" labelOnly="1" outline="0" axis="axisCol" fieldPosition="0"/>
    </format>
    <format dxfId="2">
      <pivotArea type="topRight" dataOnly="0" labelOnly="1" outline="0" fieldPosition="0"/>
    </format>
    <format dxfId="1">
      <pivotArea dataOnly="0" labelOnly="1" outline="0" fieldPosition="0">
        <references count="1">
          <reference field="4294967294" count="3">
            <x v="0"/>
            <x v="1"/>
            <x v="2"/>
          </reference>
        </references>
      </pivotArea>
    </format>
    <format dxfId="0">
      <pivotArea dataOnly="0" labelOnly="1" outline="0" fieldPosition="0">
        <references count="1">
          <reference field="4294967294" count="1">
            <x v="2"/>
          </reference>
        </references>
      </pivotArea>
    </format>
  </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AA45"/>
  <sheetViews>
    <sheetView showGridLines="0" zoomScale="80" zoomScaleNormal="80" workbookViewId="0">
      <pane ySplit="4" topLeftCell="A5" activePane="bottomLeft" state="frozen"/>
      <selection pane="bottomLeft" activeCell="D8" sqref="D8"/>
    </sheetView>
  </sheetViews>
  <sheetFormatPr defaultColWidth="8.77734375" defaultRowHeight="14.4" x14ac:dyDescent="0.3"/>
  <cols>
    <col min="1" max="1" width="13.77734375" style="1" customWidth="1"/>
    <col min="2" max="2" width="17.5546875" style="1" bestFit="1" customWidth="1"/>
    <col min="3" max="3" width="6.21875" style="3" bestFit="1" customWidth="1"/>
    <col min="4" max="4" width="10.44140625" style="3" bestFit="1" customWidth="1"/>
    <col min="5" max="6" width="7.21875" style="3" bestFit="1" customWidth="1"/>
    <col min="7" max="8" width="7.21875" style="20" bestFit="1" customWidth="1"/>
    <col min="9" max="9" width="7.21875" style="2" bestFit="1" customWidth="1"/>
    <col min="10" max="10" width="8.21875" style="10" bestFit="1" customWidth="1"/>
    <col min="11" max="11" width="8.44140625" style="11" bestFit="1" customWidth="1"/>
    <col min="12" max="12" width="7.21875" style="11" bestFit="1" customWidth="1"/>
    <col min="13" max="16" width="7.21875" bestFit="1" customWidth="1"/>
    <col min="17" max="17" width="9.5546875" bestFit="1" customWidth="1"/>
    <col min="18" max="20" width="8.21875" hidden="1" customWidth="1"/>
    <col min="21" max="21" width="8.77734375" hidden="1" customWidth="1"/>
    <col min="22" max="22" width="8.21875" customWidth="1"/>
    <col min="23" max="23" width="8.77734375" customWidth="1"/>
  </cols>
  <sheetData>
    <row r="1" spans="1:27" x14ac:dyDescent="0.3">
      <c r="A1" s="4" t="s">
        <v>0</v>
      </c>
      <c r="B1" s="1" t="s">
        <v>1</v>
      </c>
    </row>
    <row r="2" spans="1:27" ht="18.600000000000001" customHeight="1" x14ac:dyDescent="0.3">
      <c r="A2" s="146" t="s">
        <v>2</v>
      </c>
      <c r="B2" s="147"/>
      <c r="C2" s="147"/>
      <c r="D2" s="147"/>
      <c r="E2" s="147"/>
      <c r="F2" s="147"/>
      <c r="G2" s="147"/>
      <c r="H2" s="147"/>
      <c r="I2" s="147"/>
      <c r="J2" s="147"/>
      <c r="K2" s="147"/>
      <c r="L2" s="147"/>
      <c r="M2" s="147"/>
      <c r="N2" s="147"/>
      <c r="O2" s="147"/>
      <c r="P2" s="147"/>
      <c r="Q2" s="147"/>
    </row>
    <row r="3" spans="1:27" ht="28.8" hidden="1" x14ac:dyDescent="0.3">
      <c r="A3" s="22"/>
      <c r="B3" s="23"/>
      <c r="C3" s="19" t="s">
        <v>3</v>
      </c>
      <c r="D3" s="17"/>
      <c r="E3" s="24"/>
      <c r="F3" s="24"/>
      <c r="G3" s="24"/>
      <c r="H3" s="24"/>
      <c r="I3" s="24"/>
      <c r="J3" s="24"/>
      <c r="K3" s="24"/>
      <c r="L3" s="24"/>
      <c r="M3" s="24"/>
      <c r="N3" s="24"/>
      <c r="O3" s="24"/>
      <c r="P3" s="24"/>
      <c r="Q3" s="18"/>
    </row>
    <row r="4" spans="1:27" s="10" customFormat="1" ht="45.6" customHeight="1" x14ac:dyDescent="0.3">
      <c r="A4" s="12" t="s">
        <v>4</v>
      </c>
      <c r="B4" s="12" t="s">
        <v>5</v>
      </c>
      <c r="C4" s="38" t="s">
        <v>6</v>
      </c>
      <c r="D4" s="44" t="s">
        <v>7</v>
      </c>
      <c r="E4" s="45" t="s">
        <v>8</v>
      </c>
      <c r="F4" s="45" t="s">
        <v>9</v>
      </c>
      <c r="G4" s="45" t="s">
        <v>10</v>
      </c>
      <c r="H4" s="45" t="s">
        <v>11</v>
      </c>
      <c r="I4" s="45" t="s">
        <v>12</v>
      </c>
      <c r="J4" s="85" t="s">
        <v>13</v>
      </c>
      <c r="K4" s="44" t="s">
        <v>14</v>
      </c>
      <c r="L4" s="46" t="s">
        <v>15</v>
      </c>
      <c r="M4" s="46" t="s">
        <v>16</v>
      </c>
      <c r="N4" s="46" t="s">
        <v>17</v>
      </c>
      <c r="O4" s="46" t="s">
        <v>18</v>
      </c>
      <c r="P4" s="46" t="s">
        <v>19</v>
      </c>
      <c r="Q4" s="85" t="s">
        <v>20</v>
      </c>
      <c r="R4" s="41" t="s">
        <v>21</v>
      </c>
      <c r="S4" s="41" t="s">
        <v>22</v>
      </c>
      <c r="T4" s="41" t="s">
        <v>23</v>
      </c>
      <c r="U4" s="41" t="s">
        <v>24</v>
      </c>
    </row>
    <row r="5" spans="1:27" x14ac:dyDescent="0.3">
      <c r="A5" s="27" t="s">
        <v>25</v>
      </c>
      <c r="B5" s="32" t="s">
        <v>26</v>
      </c>
      <c r="C5" s="35"/>
      <c r="D5" s="35">
        <v>58</v>
      </c>
      <c r="E5" s="35">
        <v>0</v>
      </c>
      <c r="F5" s="35">
        <v>29</v>
      </c>
      <c r="G5" s="35">
        <v>29</v>
      </c>
      <c r="H5" s="35">
        <v>0</v>
      </c>
      <c r="I5" s="35">
        <v>0</v>
      </c>
      <c r="J5" s="35">
        <v>111.845</v>
      </c>
      <c r="K5" s="35">
        <v>169.845</v>
      </c>
      <c r="L5" s="35">
        <v>0</v>
      </c>
      <c r="M5" s="35">
        <v>111.845</v>
      </c>
      <c r="N5" s="35">
        <v>29</v>
      </c>
      <c r="O5" s="35">
        <v>29</v>
      </c>
      <c r="P5" s="35">
        <v>0</v>
      </c>
      <c r="Q5" s="36">
        <v>0</v>
      </c>
    </row>
    <row r="6" spans="1:27" x14ac:dyDescent="0.3">
      <c r="A6" s="28"/>
      <c r="B6" s="33" t="s">
        <v>27</v>
      </c>
      <c r="C6" s="3">
        <v>500</v>
      </c>
      <c r="D6" s="3">
        <v>359</v>
      </c>
      <c r="E6" s="3">
        <v>0</v>
      </c>
      <c r="F6" s="3">
        <v>0</v>
      </c>
      <c r="G6" s="3">
        <v>0</v>
      </c>
      <c r="H6" s="3">
        <v>143</v>
      </c>
      <c r="I6" s="3">
        <v>216</v>
      </c>
      <c r="J6" s="3">
        <v>0</v>
      </c>
      <c r="K6" s="3">
        <v>143</v>
      </c>
      <c r="L6" s="3">
        <v>0</v>
      </c>
      <c r="M6" s="3">
        <v>0</v>
      </c>
      <c r="N6" s="3">
        <v>0</v>
      </c>
      <c r="O6" s="3">
        <v>0</v>
      </c>
      <c r="P6" s="3">
        <v>143</v>
      </c>
      <c r="Q6" s="37">
        <v>216</v>
      </c>
    </row>
    <row r="7" spans="1:27" x14ac:dyDescent="0.3">
      <c r="A7" s="28"/>
      <c r="B7" s="27" t="s">
        <v>28</v>
      </c>
      <c r="C7" s="3">
        <v>2300</v>
      </c>
      <c r="D7" s="3">
        <v>2826.7550000000001</v>
      </c>
      <c r="E7" s="3">
        <v>0</v>
      </c>
      <c r="F7" s="3">
        <v>182</v>
      </c>
      <c r="G7" s="3">
        <v>20.995000000000001</v>
      </c>
      <c r="H7" s="3">
        <v>1708</v>
      </c>
      <c r="I7" s="3">
        <v>915.76</v>
      </c>
      <c r="J7" s="3">
        <v>933.77</v>
      </c>
      <c r="K7" s="3">
        <v>2844.7650000000003</v>
      </c>
      <c r="L7" s="3">
        <v>210.995</v>
      </c>
      <c r="M7" s="3">
        <v>717.77</v>
      </c>
      <c r="N7" s="3">
        <v>0</v>
      </c>
      <c r="O7" s="3">
        <v>460</v>
      </c>
      <c r="P7" s="3">
        <v>1456</v>
      </c>
      <c r="Q7" s="37">
        <v>915.76</v>
      </c>
    </row>
    <row r="8" spans="1:27" x14ac:dyDescent="0.3">
      <c r="A8" s="28"/>
      <c r="B8" s="29" t="s">
        <v>29</v>
      </c>
      <c r="C8" s="3">
        <v>4300</v>
      </c>
      <c r="D8" s="3">
        <v>3818.605</v>
      </c>
      <c r="E8" s="3">
        <v>0</v>
      </c>
      <c r="F8" s="3">
        <v>680.01499999999999</v>
      </c>
      <c r="G8" s="3">
        <v>1852.6649999999997</v>
      </c>
      <c r="H8" s="3">
        <v>297</v>
      </c>
      <c r="I8" s="3">
        <v>988.92499999999995</v>
      </c>
      <c r="J8" s="3">
        <v>403.43000000000006</v>
      </c>
      <c r="K8" s="3">
        <v>3932.0350000000003</v>
      </c>
      <c r="L8" s="3">
        <v>122.94499999999999</v>
      </c>
      <c r="M8" s="3">
        <v>430.69499999999999</v>
      </c>
      <c r="N8" s="3">
        <v>1237.57</v>
      </c>
      <c r="O8" s="3">
        <v>1144.9000000000001</v>
      </c>
      <c r="P8" s="3">
        <v>995.92499999999995</v>
      </c>
      <c r="Q8" s="37">
        <v>290</v>
      </c>
    </row>
    <row r="9" spans="1:27" x14ac:dyDescent="0.3">
      <c r="A9" s="28"/>
      <c r="B9" s="33" t="s">
        <v>30</v>
      </c>
      <c r="C9" s="3">
        <v>6000</v>
      </c>
      <c r="D9" s="3">
        <v>6920.1890000000012</v>
      </c>
      <c r="E9" s="3">
        <v>0</v>
      </c>
      <c r="F9" s="3">
        <v>990.28</v>
      </c>
      <c r="G9" s="3">
        <v>475.47</v>
      </c>
      <c r="H9" s="3">
        <v>2734.2339999999999</v>
      </c>
      <c r="I9" s="3">
        <v>2720.2049999999999</v>
      </c>
      <c r="J9" s="3">
        <v>900.82</v>
      </c>
      <c r="K9" s="3">
        <v>5848.9489999999978</v>
      </c>
      <c r="L9" s="3">
        <v>262.12</v>
      </c>
      <c r="M9" s="3">
        <v>902.15500000000009</v>
      </c>
      <c r="N9" s="3">
        <v>1044.6599999999999</v>
      </c>
      <c r="O9" s="3">
        <v>958.53899999999999</v>
      </c>
      <c r="P9" s="3">
        <v>2681.4749999999999</v>
      </c>
      <c r="Q9" s="37">
        <v>1972.06</v>
      </c>
    </row>
    <row r="10" spans="1:27" x14ac:dyDescent="0.3">
      <c r="A10" s="28"/>
      <c r="B10" s="25" t="s">
        <v>31</v>
      </c>
      <c r="C10" s="3">
        <v>3500</v>
      </c>
      <c r="D10" s="3">
        <v>3896.9949999999999</v>
      </c>
      <c r="E10" s="3">
        <v>0</v>
      </c>
      <c r="F10" s="3">
        <v>291.56</v>
      </c>
      <c r="G10" s="3">
        <v>160.255</v>
      </c>
      <c r="H10" s="3">
        <v>1798.105</v>
      </c>
      <c r="I10" s="3">
        <v>1647.0749999999998</v>
      </c>
      <c r="J10" s="3">
        <v>0</v>
      </c>
      <c r="K10" s="3">
        <v>3534.9949999999999</v>
      </c>
      <c r="L10" s="3">
        <v>0</v>
      </c>
      <c r="M10" s="3">
        <v>161.61000000000001</v>
      </c>
      <c r="N10" s="3">
        <v>290.20499999999998</v>
      </c>
      <c r="O10" s="3">
        <v>1199.105</v>
      </c>
      <c r="P10" s="3">
        <v>1884.0749999999998</v>
      </c>
      <c r="Q10" s="37">
        <v>362</v>
      </c>
    </row>
    <row r="11" spans="1:27" x14ac:dyDescent="0.3">
      <c r="A11" s="28"/>
      <c r="B11" s="1" t="s">
        <v>32</v>
      </c>
      <c r="C11" s="3">
        <v>400</v>
      </c>
      <c r="D11" s="3">
        <v>480.16999999999996</v>
      </c>
      <c r="E11" s="3">
        <v>0</v>
      </c>
      <c r="F11" s="3">
        <v>20.524999999999999</v>
      </c>
      <c r="G11" s="3">
        <v>0</v>
      </c>
      <c r="H11" s="3">
        <v>79.125</v>
      </c>
      <c r="I11" s="3">
        <v>380.52</v>
      </c>
      <c r="J11" s="3">
        <v>229.74999999999997</v>
      </c>
      <c r="K11" s="3">
        <v>477.92</v>
      </c>
      <c r="L11" s="3">
        <v>0</v>
      </c>
      <c r="M11" s="3">
        <v>108.9</v>
      </c>
      <c r="N11" s="3">
        <v>20.524999999999999</v>
      </c>
      <c r="O11" s="3">
        <v>0</v>
      </c>
      <c r="P11" s="3">
        <v>348.495</v>
      </c>
      <c r="Q11" s="37">
        <v>232</v>
      </c>
    </row>
    <row r="12" spans="1:27" x14ac:dyDescent="0.3">
      <c r="A12" s="29"/>
      <c r="B12" s="25" t="s">
        <v>33</v>
      </c>
      <c r="C12" s="3">
        <v>1400</v>
      </c>
      <c r="D12" s="3">
        <v>1445.2049999999999</v>
      </c>
      <c r="E12" s="3">
        <v>0</v>
      </c>
      <c r="F12" s="3">
        <v>98.614999999999995</v>
      </c>
      <c r="G12" s="3">
        <v>125.83</v>
      </c>
      <c r="H12" s="3">
        <v>870</v>
      </c>
      <c r="I12" s="3">
        <v>350.76</v>
      </c>
      <c r="J12" s="3">
        <v>109.88499999999999</v>
      </c>
      <c r="K12" s="3">
        <v>1495.09</v>
      </c>
      <c r="L12" s="3">
        <v>53.15</v>
      </c>
      <c r="M12" s="3">
        <v>77.144999999999996</v>
      </c>
      <c r="N12" s="3">
        <v>204.035</v>
      </c>
      <c r="O12" s="3">
        <v>870</v>
      </c>
      <c r="P12" s="3">
        <v>290.76</v>
      </c>
      <c r="Q12" s="37">
        <v>60</v>
      </c>
      <c r="R12" s="5"/>
      <c r="S12" s="5"/>
      <c r="T12" s="5"/>
    </row>
    <row r="13" spans="1:27" x14ac:dyDescent="0.3">
      <c r="A13" s="30" t="s">
        <v>34</v>
      </c>
      <c r="B13" s="31"/>
      <c r="C13" s="80">
        <v>18400</v>
      </c>
      <c r="D13" s="82">
        <v>19804.919000000002</v>
      </c>
      <c r="E13" s="83">
        <v>0</v>
      </c>
      <c r="F13" s="83">
        <v>2291.9949999999999</v>
      </c>
      <c r="G13" s="83">
        <v>2664.2150000000001</v>
      </c>
      <c r="H13" s="83">
        <v>7629.4639999999999</v>
      </c>
      <c r="I13" s="83">
        <v>7219.244999999999</v>
      </c>
      <c r="J13" s="80">
        <v>2689.5</v>
      </c>
      <c r="K13" s="82">
        <v>18446.598999999995</v>
      </c>
      <c r="L13" s="84">
        <v>649.20999999999992</v>
      </c>
      <c r="M13" s="84">
        <v>2510.1200000000003</v>
      </c>
      <c r="N13" s="84">
        <v>2825.9949999999994</v>
      </c>
      <c r="O13" s="84">
        <v>4661.5439999999999</v>
      </c>
      <c r="P13" s="84">
        <v>7799.73</v>
      </c>
      <c r="Q13" s="81">
        <v>4047.8199999999997</v>
      </c>
    </row>
    <row r="14" spans="1:27" x14ac:dyDescent="0.3">
      <c r="A14" s="27" t="s">
        <v>35</v>
      </c>
      <c r="B14" s="32" t="s">
        <v>28</v>
      </c>
      <c r="C14" s="3">
        <v>300</v>
      </c>
      <c r="D14" s="3">
        <v>510</v>
      </c>
      <c r="E14" s="3">
        <v>0</v>
      </c>
      <c r="F14" s="3">
        <v>0</v>
      </c>
      <c r="G14" s="3">
        <v>510</v>
      </c>
      <c r="H14" s="3">
        <v>0</v>
      </c>
      <c r="I14" s="3">
        <v>0</v>
      </c>
      <c r="J14" s="3">
        <v>0</v>
      </c>
      <c r="K14" s="3">
        <v>510</v>
      </c>
      <c r="L14" s="3">
        <v>0</v>
      </c>
      <c r="M14" s="3">
        <v>0</v>
      </c>
      <c r="N14" s="3">
        <v>0</v>
      </c>
      <c r="O14" s="3">
        <v>510</v>
      </c>
      <c r="P14" s="3">
        <v>0</v>
      </c>
      <c r="Q14" s="37">
        <v>0</v>
      </c>
      <c r="R14" s="5"/>
      <c r="S14" s="5"/>
      <c r="T14" s="5"/>
      <c r="W14" s="51"/>
      <c r="X14" s="51"/>
      <c r="Y14" s="51"/>
      <c r="Z14" s="51"/>
      <c r="AA14" s="51"/>
    </row>
    <row r="15" spans="1:27" x14ac:dyDescent="0.3">
      <c r="A15" s="28"/>
      <c r="B15" s="25" t="s">
        <v>33</v>
      </c>
      <c r="C15" s="3">
        <v>400</v>
      </c>
      <c r="D15" s="3">
        <v>417.52499999999998</v>
      </c>
      <c r="E15" s="3">
        <v>0</v>
      </c>
      <c r="F15" s="3">
        <v>0</v>
      </c>
      <c r="G15" s="3">
        <v>0</v>
      </c>
      <c r="H15" s="3">
        <v>150.07</v>
      </c>
      <c r="I15" s="3">
        <v>267.45499999999998</v>
      </c>
      <c r="J15" s="3">
        <v>153.37</v>
      </c>
      <c r="K15" s="3">
        <v>425.89499999999998</v>
      </c>
      <c r="L15" s="3">
        <v>0</v>
      </c>
      <c r="M15" s="3">
        <v>45.629999999999995</v>
      </c>
      <c r="N15" s="3">
        <v>0</v>
      </c>
      <c r="O15" s="3">
        <v>0</v>
      </c>
      <c r="P15" s="3">
        <v>380.26499999999999</v>
      </c>
      <c r="Q15" s="37">
        <v>145</v>
      </c>
      <c r="R15" s="6" t="e">
        <f>M15/#REF!</f>
        <v>#REF!</v>
      </c>
      <c r="S15" s="6" t="e">
        <f>N15/#REF!</f>
        <v>#REF!</v>
      </c>
      <c r="T15" s="6" t="e">
        <f>O15/#REF!</f>
        <v>#REF!</v>
      </c>
      <c r="U15" s="6" t="e">
        <f>#REF!/#REF!</f>
        <v>#REF!</v>
      </c>
      <c r="W15" s="51"/>
      <c r="X15" s="51"/>
      <c r="Y15" s="51"/>
      <c r="Z15" s="51"/>
      <c r="AA15" s="51"/>
    </row>
    <row r="16" spans="1:27" x14ac:dyDescent="0.3">
      <c r="A16" s="29"/>
      <c r="B16" s="1" t="s">
        <v>36</v>
      </c>
      <c r="C16" s="3">
        <v>500</v>
      </c>
      <c r="D16" s="3">
        <v>361.745</v>
      </c>
      <c r="E16" s="3">
        <v>0</v>
      </c>
      <c r="F16" s="3">
        <v>0</v>
      </c>
      <c r="G16" s="3">
        <v>0</v>
      </c>
      <c r="H16" s="3">
        <v>0</v>
      </c>
      <c r="I16" s="3">
        <v>361.745</v>
      </c>
      <c r="J16" s="3">
        <v>345.09999999999997</v>
      </c>
      <c r="K16" s="3">
        <v>678.84500000000003</v>
      </c>
      <c r="L16" s="3">
        <v>0</v>
      </c>
      <c r="M16" s="3">
        <v>232.375</v>
      </c>
      <c r="N16" s="3">
        <v>0</v>
      </c>
      <c r="O16" s="3">
        <v>0</v>
      </c>
      <c r="P16" s="3">
        <v>446.47</v>
      </c>
      <c r="Q16" s="37">
        <v>28</v>
      </c>
      <c r="R16" s="5"/>
      <c r="S16" s="5"/>
      <c r="T16" s="5"/>
      <c r="W16" s="52"/>
      <c r="X16" s="52"/>
      <c r="Y16" s="52"/>
      <c r="Z16" s="52"/>
      <c r="AA16" s="52"/>
    </row>
    <row r="17" spans="1:21" x14ac:dyDescent="0.3">
      <c r="A17" s="30" t="s">
        <v>37</v>
      </c>
      <c r="B17" s="31"/>
      <c r="C17" s="80">
        <v>1200</v>
      </c>
      <c r="D17" s="82">
        <v>1289.27</v>
      </c>
      <c r="E17" s="83">
        <v>0</v>
      </c>
      <c r="F17" s="83">
        <v>0</v>
      </c>
      <c r="G17" s="83">
        <v>510</v>
      </c>
      <c r="H17" s="83">
        <v>150.07</v>
      </c>
      <c r="I17" s="83">
        <v>629.20000000000005</v>
      </c>
      <c r="J17" s="80">
        <v>498.46999999999997</v>
      </c>
      <c r="K17" s="82">
        <v>1614.74</v>
      </c>
      <c r="L17" s="84">
        <v>0</v>
      </c>
      <c r="M17" s="84">
        <v>278.005</v>
      </c>
      <c r="N17" s="84">
        <v>0</v>
      </c>
      <c r="O17" s="84">
        <v>510</v>
      </c>
      <c r="P17" s="84">
        <v>826.73500000000001</v>
      </c>
      <c r="Q17" s="81">
        <v>173</v>
      </c>
      <c r="R17" s="5"/>
      <c r="S17" s="5"/>
      <c r="T17" s="5"/>
    </row>
    <row r="18" spans="1:21" x14ac:dyDescent="0.3">
      <c r="A18" s="27" t="s">
        <v>38</v>
      </c>
      <c r="B18" s="1" t="s">
        <v>28</v>
      </c>
      <c r="C18" s="3">
        <v>2500</v>
      </c>
      <c r="D18" s="3">
        <v>2547.4700000000003</v>
      </c>
      <c r="E18" s="3">
        <v>0</v>
      </c>
      <c r="F18" s="3">
        <v>0</v>
      </c>
      <c r="G18" s="3">
        <v>2374</v>
      </c>
      <c r="H18" s="3">
        <v>114</v>
      </c>
      <c r="I18" s="3">
        <v>59.47</v>
      </c>
      <c r="J18" s="3">
        <v>252.29499999999996</v>
      </c>
      <c r="K18" s="3">
        <v>2771.7649999999999</v>
      </c>
      <c r="L18" s="3">
        <v>20.439999999999998</v>
      </c>
      <c r="M18" s="3">
        <v>124.94500000000001</v>
      </c>
      <c r="N18" s="3">
        <v>114</v>
      </c>
      <c r="O18" s="3">
        <v>2260</v>
      </c>
      <c r="P18" s="3">
        <v>252.38</v>
      </c>
      <c r="Q18" s="37">
        <v>28</v>
      </c>
      <c r="R18" s="6" t="e">
        <f>M18/#REF!</f>
        <v>#REF!</v>
      </c>
      <c r="S18" s="6" t="e">
        <f>N18/#REF!</f>
        <v>#REF!</v>
      </c>
      <c r="T18" s="6">
        <v>1</v>
      </c>
      <c r="U18" s="6">
        <v>1</v>
      </c>
    </row>
    <row r="19" spans="1:21" x14ac:dyDescent="0.3">
      <c r="A19" s="28"/>
      <c r="B19" s="25" t="s">
        <v>39</v>
      </c>
      <c r="C19" s="3">
        <v>2500</v>
      </c>
      <c r="D19" s="3">
        <v>3471.0549999999998</v>
      </c>
      <c r="E19" s="3">
        <v>0</v>
      </c>
      <c r="F19" s="3">
        <v>1324.4349999999999</v>
      </c>
      <c r="G19" s="3">
        <v>313.58</v>
      </c>
      <c r="H19" s="3">
        <v>1777.04</v>
      </c>
      <c r="I19" s="3">
        <v>56</v>
      </c>
      <c r="J19" s="3">
        <v>1116.875</v>
      </c>
      <c r="K19" s="3">
        <v>4290.93</v>
      </c>
      <c r="L19" s="3">
        <v>0</v>
      </c>
      <c r="M19" s="3">
        <v>75.635000000000005</v>
      </c>
      <c r="N19" s="3">
        <v>2039.9850000000004</v>
      </c>
      <c r="O19" s="3">
        <v>1642.145</v>
      </c>
      <c r="P19" s="3">
        <v>533.16499999999996</v>
      </c>
      <c r="Q19" s="37">
        <v>297</v>
      </c>
      <c r="R19" s="5"/>
      <c r="S19" s="5"/>
      <c r="T19" s="5"/>
    </row>
    <row r="20" spans="1:21" x14ac:dyDescent="0.3">
      <c r="A20" s="28"/>
      <c r="B20" s="34" t="s">
        <v>40</v>
      </c>
      <c r="D20" s="3">
        <v>507.19500000000005</v>
      </c>
      <c r="E20" s="3">
        <v>0</v>
      </c>
      <c r="F20" s="3">
        <v>195.77500000000001</v>
      </c>
      <c r="G20" s="3">
        <v>0</v>
      </c>
      <c r="H20" s="3">
        <v>311.42</v>
      </c>
      <c r="I20" s="3">
        <v>0</v>
      </c>
      <c r="J20" s="3">
        <v>13.05</v>
      </c>
      <c r="K20" s="3">
        <v>520.24500000000012</v>
      </c>
      <c r="L20" s="3">
        <v>0</v>
      </c>
      <c r="M20" s="3">
        <v>195.77500000000001</v>
      </c>
      <c r="N20" s="3">
        <v>0</v>
      </c>
      <c r="O20" s="3">
        <v>116.095</v>
      </c>
      <c r="P20" s="3">
        <v>208.375</v>
      </c>
      <c r="Q20" s="37">
        <v>0</v>
      </c>
      <c r="R20" s="5"/>
      <c r="S20" s="5"/>
      <c r="T20" s="5"/>
    </row>
    <row r="21" spans="1:21" x14ac:dyDescent="0.3">
      <c r="A21" s="29"/>
      <c r="B21" s="33" t="s">
        <v>41</v>
      </c>
      <c r="C21" s="3">
        <v>5500</v>
      </c>
      <c r="D21" s="3">
        <v>5391.1450000000004</v>
      </c>
      <c r="E21" s="3">
        <v>62.86</v>
      </c>
      <c r="F21" s="3">
        <v>214.565</v>
      </c>
      <c r="G21" s="3">
        <v>946.63499999999999</v>
      </c>
      <c r="H21" s="3">
        <v>1267.085</v>
      </c>
      <c r="I21" s="3">
        <v>2900</v>
      </c>
      <c r="J21" s="3">
        <v>1050.71</v>
      </c>
      <c r="K21" s="3">
        <v>3541.855</v>
      </c>
      <c r="L21" s="3">
        <v>0</v>
      </c>
      <c r="M21" s="3">
        <v>348.71</v>
      </c>
      <c r="N21" s="3">
        <v>707.005</v>
      </c>
      <c r="O21" s="3">
        <v>1004.0300000000001</v>
      </c>
      <c r="P21" s="3">
        <v>1482.1100000000001</v>
      </c>
      <c r="Q21" s="37">
        <v>2900</v>
      </c>
      <c r="R21" s="5"/>
      <c r="S21" s="5"/>
      <c r="T21" s="5"/>
    </row>
    <row r="22" spans="1:21" x14ac:dyDescent="0.3">
      <c r="A22" s="30" t="s">
        <v>42</v>
      </c>
      <c r="B22" s="31"/>
      <c r="C22" s="80">
        <v>10500</v>
      </c>
      <c r="D22" s="82">
        <v>11916.865</v>
      </c>
      <c r="E22" s="83">
        <v>62.86</v>
      </c>
      <c r="F22" s="83">
        <v>1734.7750000000001</v>
      </c>
      <c r="G22" s="83">
        <v>3634.2150000000001</v>
      </c>
      <c r="H22" s="83">
        <v>3469.5450000000001</v>
      </c>
      <c r="I22" s="83">
        <v>3015.47</v>
      </c>
      <c r="J22" s="80">
        <v>2432.9300000000003</v>
      </c>
      <c r="K22" s="82">
        <v>11124.795</v>
      </c>
      <c r="L22" s="84">
        <v>20.439999999999998</v>
      </c>
      <c r="M22" s="84">
        <v>745.06500000000005</v>
      </c>
      <c r="N22" s="84">
        <v>2860.9900000000007</v>
      </c>
      <c r="O22" s="84">
        <v>5022.2699999999995</v>
      </c>
      <c r="P22" s="84">
        <v>2476.0300000000002</v>
      </c>
      <c r="Q22" s="81">
        <v>3225</v>
      </c>
      <c r="R22" s="5"/>
      <c r="S22" s="5"/>
      <c r="T22" s="5"/>
    </row>
    <row r="23" spans="1:21" x14ac:dyDescent="0.3">
      <c r="A23" s="27" t="s">
        <v>43</v>
      </c>
      <c r="B23" s="33" t="s">
        <v>26</v>
      </c>
      <c r="D23" s="3">
        <v>0</v>
      </c>
      <c r="E23" s="3">
        <v>0</v>
      </c>
      <c r="F23" s="3">
        <v>0</v>
      </c>
      <c r="G23" s="3">
        <v>0</v>
      </c>
      <c r="H23" s="3">
        <v>0</v>
      </c>
      <c r="I23" s="3">
        <v>0</v>
      </c>
      <c r="J23" s="3">
        <v>46.16</v>
      </c>
      <c r="K23" s="3">
        <v>46.16</v>
      </c>
      <c r="L23" s="3">
        <v>0</v>
      </c>
      <c r="M23" s="3">
        <v>46.16</v>
      </c>
      <c r="N23" s="3">
        <v>0</v>
      </c>
      <c r="O23" s="3">
        <v>0</v>
      </c>
      <c r="P23" s="3">
        <v>0</v>
      </c>
      <c r="Q23" s="37">
        <v>0</v>
      </c>
      <c r="R23" s="6" t="e">
        <f>M23/#REF!</f>
        <v>#REF!</v>
      </c>
      <c r="S23" s="6" t="e">
        <f>N23/#REF!</f>
        <v>#REF!</v>
      </c>
      <c r="T23" s="6" t="e">
        <f>O23/#REF!</f>
        <v>#REF!</v>
      </c>
      <c r="U23" s="6" t="e">
        <f>#REF!/#REF!</f>
        <v>#REF!</v>
      </c>
    </row>
    <row r="24" spans="1:21" x14ac:dyDescent="0.3">
      <c r="A24" s="28"/>
      <c r="B24" s="33" t="s">
        <v>28</v>
      </c>
      <c r="D24" s="3">
        <v>0</v>
      </c>
      <c r="E24" s="3">
        <v>0</v>
      </c>
      <c r="F24" s="3">
        <v>0</v>
      </c>
      <c r="G24" s="3">
        <v>0</v>
      </c>
      <c r="H24" s="3">
        <v>0</v>
      </c>
      <c r="I24" s="3">
        <v>0</v>
      </c>
      <c r="J24" s="3">
        <v>193.66499999999996</v>
      </c>
      <c r="K24" s="3">
        <v>193.66499999999996</v>
      </c>
      <c r="L24" s="3">
        <v>0</v>
      </c>
      <c r="M24" s="3">
        <v>193.66499999999996</v>
      </c>
      <c r="N24" s="3">
        <v>0</v>
      </c>
      <c r="O24" s="3">
        <v>0</v>
      </c>
      <c r="P24" s="3">
        <v>0</v>
      </c>
      <c r="Q24" s="37">
        <v>0</v>
      </c>
      <c r="R24" s="5"/>
      <c r="S24" s="5"/>
      <c r="T24" s="5"/>
    </row>
    <row r="25" spans="1:21" x14ac:dyDescent="0.3">
      <c r="A25" s="28"/>
      <c r="B25" s="27" t="s">
        <v>44</v>
      </c>
      <c r="C25" s="3">
        <v>1500</v>
      </c>
      <c r="D25" s="3">
        <v>1633.2950000000001</v>
      </c>
      <c r="E25" s="3">
        <v>0</v>
      </c>
      <c r="F25" s="3">
        <v>0</v>
      </c>
      <c r="G25" s="3">
        <v>813</v>
      </c>
      <c r="H25" s="3">
        <v>820.29500000000007</v>
      </c>
      <c r="I25" s="3">
        <v>0</v>
      </c>
      <c r="J25" s="3">
        <v>230.78499999999994</v>
      </c>
      <c r="K25" s="3">
        <v>1864.0800000000002</v>
      </c>
      <c r="L25" s="3">
        <v>59.235000000000007</v>
      </c>
      <c r="M25" s="3">
        <v>118.94499999999999</v>
      </c>
      <c r="N25" s="3">
        <v>421</v>
      </c>
      <c r="O25" s="3">
        <v>933</v>
      </c>
      <c r="P25" s="3">
        <v>331.9</v>
      </c>
      <c r="Q25" s="37">
        <v>0</v>
      </c>
      <c r="R25" s="5"/>
      <c r="S25" s="5"/>
      <c r="T25" s="5"/>
    </row>
    <row r="26" spans="1:21" x14ac:dyDescent="0.3">
      <c r="A26" s="28"/>
      <c r="B26" s="29" t="s">
        <v>45</v>
      </c>
      <c r="C26" s="3">
        <v>4400</v>
      </c>
      <c r="D26" s="3">
        <v>4664.4150000000009</v>
      </c>
      <c r="E26" s="3">
        <v>0</v>
      </c>
      <c r="F26" s="3">
        <v>791.495</v>
      </c>
      <c r="G26" s="3">
        <v>1106.0450000000001</v>
      </c>
      <c r="H26" s="3">
        <v>1381.835</v>
      </c>
      <c r="I26" s="3">
        <v>1385.04</v>
      </c>
      <c r="J26" s="3">
        <v>1072.6849999999999</v>
      </c>
      <c r="K26" s="3">
        <v>4433.95</v>
      </c>
      <c r="L26" s="3">
        <v>229.45499999999998</v>
      </c>
      <c r="M26" s="3">
        <v>880.41499999999996</v>
      </c>
      <c r="N26" s="3">
        <v>716.51499999999999</v>
      </c>
      <c r="O26" s="3">
        <v>1029.125</v>
      </c>
      <c r="P26" s="3">
        <v>1578.44</v>
      </c>
      <c r="Q26" s="37">
        <v>1303.1500000000001</v>
      </c>
      <c r="R26" s="5"/>
      <c r="S26" s="5"/>
      <c r="T26" s="5"/>
    </row>
    <row r="27" spans="1:21" x14ac:dyDescent="0.3">
      <c r="A27" s="29"/>
      <c r="B27" s="33" t="s">
        <v>46</v>
      </c>
      <c r="C27" s="3">
        <v>600</v>
      </c>
      <c r="D27" s="3">
        <v>455</v>
      </c>
      <c r="E27" s="3">
        <v>0</v>
      </c>
      <c r="F27" s="3">
        <v>0</v>
      </c>
      <c r="G27" s="3">
        <v>248</v>
      </c>
      <c r="H27" s="3">
        <v>0</v>
      </c>
      <c r="I27" s="3">
        <v>207</v>
      </c>
      <c r="J27" s="3">
        <v>470.24200000000002</v>
      </c>
      <c r="K27" s="3">
        <v>925.24199999999985</v>
      </c>
      <c r="L27" s="3">
        <v>107.03500000000003</v>
      </c>
      <c r="M27" s="3">
        <v>363.20699999999999</v>
      </c>
      <c r="N27" s="3">
        <v>0</v>
      </c>
      <c r="O27" s="3">
        <v>248</v>
      </c>
      <c r="P27" s="3">
        <v>207</v>
      </c>
      <c r="Q27" s="37">
        <v>0</v>
      </c>
      <c r="R27" s="5"/>
      <c r="S27" s="5"/>
      <c r="T27" s="5"/>
    </row>
    <row r="28" spans="1:21" x14ac:dyDescent="0.3">
      <c r="A28" s="30" t="s">
        <v>47</v>
      </c>
      <c r="B28" s="31"/>
      <c r="C28" s="80">
        <v>6500</v>
      </c>
      <c r="D28" s="82">
        <v>6752.7100000000009</v>
      </c>
      <c r="E28" s="83">
        <v>0</v>
      </c>
      <c r="F28" s="83">
        <v>791.495</v>
      </c>
      <c r="G28" s="83">
        <v>2167.0450000000001</v>
      </c>
      <c r="H28" s="83">
        <v>2202.13</v>
      </c>
      <c r="I28" s="83">
        <v>1592.04</v>
      </c>
      <c r="J28" s="80">
        <v>2013.5369999999998</v>
      </c>
      <c r="K28" s="82">
        <v>7463.0969999999998</v>
      </c>
      <c r="L28" s="84">
        <v>395.72500000000002</v>
      </c>
      <c r="M28" s="84">
        <v>1602.3919999999998</v>
      </c>
      <c r="N28" s="84">
        <v>1137.5149999999999</v>
      </c>
      <c r="O28" s="84">
        <v>2210.125</v>
      </c>
      <c r="P28" s="84">
        <v>2117.34</v>
      </c>
      <c r="Q28" s="81">
        <v>1303.1500000000001</v>
      </c>
      <c r="R28" s="5"/>
      <c r="S28" s="5"/>
      <c r="T28" s="5"/>
    </row>
    <row r="29" spans="1:21" x14ac:dyDescent="0.3">
      <c r="A29" s="25" t="s">
        <v>48</v>
      </c>
      <c r="B29" s="25" t="s">
        <v>39</v>
      </c>
      <c r="C29" s="3">
        <v>5500</v>
      </c>
      <c r="D29" s="3">
        <v>5452</v>
      </c>
      <c r="E29" s="3">
        <v>28.875</v>
      </c>
      <c r="F29" s="3">
        <v>1394.46</v>
      </c>
      <c r="G29" s="3">
        <v>1453.3700000000001</v>
      </c>
      <c r="H29" s="3">
        <v>1321.55</v>
      </c>
      <c r="I29" s="3">
        <v>1253.7449999999999</v>
      </c>
      <c r="J29" s="3">
        <v>3163.86</v>
      </c>
      <c r="K29" s="3">
        <v>7523.869999999999</v>
      </c>
      <c r="L29" s="3">
        <v>0</v>
      </c>
      <c r="M29" s="3">
        <v>690.63</v>
      </c>
      <c r="N29" s="3">
        <v>2327.7800000000007</v>
      </c>
      <c r="O29" s="3">
        <v>1829.385</v>
      </c>
      <c r="P29" s="3">
        <v>2676.0749999999998</v>
      </c>
      <c r="Q29" s="37">
        <v>1091.99</v>
      </c>
      <c r="R29" s="5"/>
      <c r="S29" s="5"/>
      <c r="T29" s="5"/>
    </row>
    <row r="30" spans="1:21" x14ac:dyDescent="0.3">
      <c r="A30" s="30" t="s">
        <v>49</v>
      </c>
      <c r="B30" s="31"/>
      <c r="C30" s="80">
        <v>5500</v>
      </c>
      <c r="D30" s="82">
        <v>5452</v>
      </c>
      <c r="E30" s="83">
        <v>28.875</v>
      </c>
      <c r="F30" s="83">
        <v>1394.46</v>
      </c>
      <c r="G30" s="83">
        <v>1453.3700000000001</v>
      </c>
      <c r="H30" s="83">
        <v>1321.55</v>
      </c>
      <c r="I30" s="83">
        <v>1253.7449999999999</v>
      </c>
      <c r="J30" s="80">
        <v>3163.86</v>
      </c>
      <c r="K30" s="82">
        <v>7523.869999999999</v>
      </c>
      <c r="L30" s="84">
        <v>0</v>
      </c>
      <c r="M30" s="84">
        <v>690.63</v>
      </c>
      <c r="N30" s="84">
        <v>2327.7800000000007</v>
      </c>
      <c r="O30" s="84">
        <v>1829.385</v>
      </c>
      <c r="P30" s="84">
        <v>2676.0749999999998</v>
      </c>
      <c r="Q30" s="81">
        <v>1091.99</v>
      </c>
      <c r="R30" s="5"/>
      <c r="S30" s="5"/>
      <c r="T30" s="5"/>
    </row>
    <row r="31" spans="1:21" x14ac:dyDescent="0.3">
      <c r="A31" s="27" t="s">
        <v>50</v>
      </c>
      <c r="B31" s="32" t="s">
        <v>26</v>
      </c>
      <c r="C31" s="3">
        <v>1800</v>
      </c>
      <c r="D31" s="3">
        <v>1111.9649999999999</v>
      </c>
      <c r="E31" s="3">
        <v>0</v>
      </c>
      <c r="F31" s="3">
        <v>0</v>
      </c>
      <c r="G31" s="3">
        <v>188.26</v>
      </c>
      <c r="H31" s="3">
        <v>223.70500000000001</v>
      </c>
      <c r="I31" s="3">
        <v>700</v>
      </c>
      <c r="J31" s="3">
        <v>311.08499999999998</v>
      </c>
      <c r="K31" s="3">
        <v>873.04999999999984</v>
      </c>
      <c r="L31" s="3">
        <v>71.344999999999999</v>
      </c>
      <c r="M31" s="3">
        <v>170.95999999999998</v>
      </c>
      <c r="N31" s="3">
        <v>138.26</v>
      </c>
      <c r="O31" s="3">
        <v>225.45</v>
      </c>
      <c r="P31" s="3">
        <v>267.03500000000003</v>
      </c>
      <c r="Q31" s="37">
        <v>550</v>
      </c>
      <c r="R31" s="5"/>
      <c r="S31" s="5"/>
      <c r="T31" s="5"/>
    </row>
    <row r="32" spans="1:21" x14ac:dyDescent="0.3">
      <c r="A32" s="29"/>
      <c r="B32" s="25" t="s">
        <v>33</v>
      </c>
      <c r="C32" s="3">
        <v>1200</v>
      </c>
      <c r="D32" s="3">
        <v>564.245</v>
      </c>
      <c r="E32" s="3">
        <v>0</v>
      </c>
      <c r="F32" s="3">
        <v>0</v>
      </c>
      <c r="G32" s="3">
        <v>188.77500000000001</v>
      </c>
      <c r="H32" s="3">
        <v>175.47</v>
      </c>
      <c r="I32" s="3">
        <v>200</v>
      </c>
      <c r="J32" s="3">
        <v>0</v>
      </c>
      <c r="K32" s="3">
        <v>364.245</v>
      </c>
      <c r="L32" s="3">
        <v>0</v>
      </c>
      <c r="M32" s="3">
        <v>0</v>
      </c>
      <c r="N32" s="3">
        <v>188.77500000000001</v>
      </c>
      <c r="O32" s="3">
        <v>175.47</v>
      </c>
      <c r="P32" s="3">
        <v>0</v>
      </c>
      <c r="Q32" s="37">
        <v>200</v>
      </c>
      <c r="R32" s="5"/>
      <c r="S32" s="5"/>
      <c r="T32" s="5"/>
    </row>
    <row r="33" spans="1:20" x14ac:dyDescent="0.3">
      <c r="A33" s="30" t="s">
        <v>51</v>
      </c>
      <c r="B33" s="31"/>
      <c r="C33" s="80">
        <v>3000</v>
      </c>
      <c r="D33" s="82">
        <v>1676.21</v>
      </c>
      <c r="E33" s="83">
        <v>0</v>
      </c>
      <c r="F33" s="83">
        <v>0</v>
      </c>
      <c r="G33" s="83">
        <v>377.03499999999997</v>
      </c>
      <c r="H33" s="83">
        <v>399.17500000000001</v>
      </c>
      <c r="I33" s="83">
        <v>900</v>
      </c>
      <c r="J33" s="80">
        <v>311.08499999999998</v>
      </c>
      <c r="K33" s="82">
        <v>1237.2949999999998</v>
      </c>
      <c r="L33" s="84">
        <v>71.344999999999999</v>
      </c>
      <c r="M33" s="84">
        <v>170.95999999999998</v>
      </c>
      <c r="N33" s="84">
        <v>327.03499999999997</v>
      </c>
      <c r="O33" s="84">
        <v>400.91999999999996</v>
      </c>
      <c r="P33" s="84">
        <v>267.03500000000003</v>
      </c>
      <c r="Q33" s="81">
        <v>750</v>
      </c>
      <c r="R33" s="5"/>
      <c r="S33" s="5"/>
      <c r="T33" s="5"/>
    </row>
    <row r="34" spans="1:20" x14ac:dyDescent="0.3">
      <c r="A34" s="30" t="s">
        <v>52</v>
      </c>
      <c r="B34" s="31"/>
      <c r="C34" s="49">
        <v>45100</v>
      </c>
      <c r="D34" s="42">
        <v>46891.974000000002</v>
      </c>
      <c r="E34" s="43">
        <v>91.734999999999999</v>
      </c>
      <c r="F34" s="43">
        <v>6212.7250000000004</v>
      </c>
      <c r="G34" s="43">
        <v>10805.880000000001</v>
      </c>
      <c r="H34" s="43">
        <v>15171.934000000001</v>
      </c>
      <c r="I34" s="43">
        <v>14609.699999999997</v>
      </c>
      <c r="J34" s="49">
        <v>11109.382</v>
      </c>
      <c r="K34" s="42">
        <v>47410.396000000001</v>
      </c>
      <c r="L34" s="47">
        <v>1136.72</v>
      </c>
      <c r="M34" s="47">
        <v>5997.1720000000014</v>
      </c>
      <c r="N34" s="47">
        <v>9479.3150000000005</v>
      </c>
      <c r="O34" s="47">
        <v>14634.244000000001</v>
      </c>
      <c r="P34" s="47">
        <v>16162.945</v>
      </c>
      <c r="Q34" s="86">
        <v>10590.96</v>
      </c>
      <c r="R34" s="5"/>
      <c r="S34" s="5"/>
      <c r="T34" s="5"/>
    </row>
    <row r="35" spans="1:20" x14ac:dyDescent="0.3">
      <c r="A35"/>
      <c r="B35"/>
      <c r="C35"/>
      <c r="D35"/>
      <c r="E35"/>
      <c r="F35"/>
      <c r="G35"/>
      <c r="H35"/>
      <c r="I35"/>
      <c r="J35"/>
      <c r="K35"/>
      <c r="L35"/>
      <c r="R35" s="5"/>
      <c r="S35" s="5"/>
      <c r="T35" s="5"/>
    </row>
    <row r="36" spans="1:20" x14ac:dyDescent="0.3">
      <c r="A36"/>
      <c r="B36"/>
      <c r="C36"/>
      <c r="D36"/>
      <c r="E36"/>
      <c r="F36"/>
      <c r="G36"/>
      <c r="H36"/>
      <c r="I36"/>
      <c r="J36"/>
      <c r="K36"/>
      <c r="L36"/>
      <c r="R36" s="5"/>
      <c r="S36" s="5"/>
      <c r="T36" s="5"/>
    </row>
    <row r="37" spans="1:20" x14ac:dyDescent="0.3">
      <c r="A37"/>
      <c r="B37"/>
      <c r="C37"/>
      <c r="D37"/>
      <c r="E37"/>
      <c r="F37"/>
      <c r="G37"/>
      <c r="H37"/>
      <c r="I37"/>
      <c r="J37"/>
      <c r="K37"/>
      <c r="L37"/>
      <c r="R37" s="5"/>
      <c r="S37" s="5"/>
      <c r="T37" s="5"/>
    </row>
    <row r="38" spans="1:20" x14ac:dyDescent="0.3">
      <c r="A38"/>
      <c r="B38"/>
      <c r="C38"/>
      <c r="D38"/>
      <c r="E38"/>
      <c r="F38"/>
      <c r="G38"/>
      <c r="H38"/>
      <c r="I38"/>
      <c r="J38"/>
      <c r="K38"/>
      <c r="L38"/>
      <c r="R38" s="5"/>
      <c r="S38" s="5"/>
      <c r="T38" s="5"/>
    </row>
    <row r="39" spans="1:20" x14ac:dyDescent="0.3">
      <c r="A39"/>
      <c r="B39"/>
      <c r="C39"/>
      <c r="D39"/>
      <c r="E39"/>
      <c r="F39"/>
      <c r="G39"/>
      <c r="H39"/>
      <c r="I39"/>
      <c r="J39"/>
      <c r="K39"/>
      <c r="L39"/>
      <c r="P39" s="5"/>
      <c r="Q39" s="5"/>
      <c r="R39" s="5"/>
      <c r="S39" s="5"/>
      <c r="T39" s="5"/>
    </row>
    <row r="40" spans="1:20" x14ac:dyDescent="0.3">
      <c r="A40"/>
      <c r="B40"/>
      <c r="C40"/>
      <c r="D40"/>
      <c r="E40"/>
      <c r="F40"/>
      <c r="G40"/>
      <c r="H40"/>
      <c r="I40"/>
      <c r="J40"/>
      <c r="K40"/>
      <c r="L40"/>
      <c r="P40" s="5"/>
      <c r="Q40" s="5"/>
      <c r="R40" s="5"/>
      <c r="S40" s="5"/>
      <c r="T40" s="5"/>
    </row>
    <row r="41" spans="1:20" x14ac:dyDescent="0.3">
      <c r="A41"/>
      <c r="B41"/>
      <c r="C41"/>
      <c r="D41"/>
      <c r="E41"/>
      <c r="F41"/>
      <c r="G41"/>
      <c r="H41"/>
      <c r="I41"/>
      <c r="J41"/>
      <c r="K41"/>
      <c r="L41"/>
      <c r="P41" s="5"/>
      <c r="Q41" s="5"/>
      <c r="R41" s="5"/>
      <c r="S41" s="5"/>
      <c r="T41" s="5"/>
    </row>
    <row r="42" spans="1:20" x14ac:dyDescent="0.3">
      <c r="A42"/>
      <c r="B42"/>
      <c r="C42"/>
      <c r="D42"/>
      <c r="E42"/>
      <c r="F42"/>
      <c r="G42"/>
      <c r="H42"/>
      <c r="I42"/>
      <c r="J42"/>
      <c r="K42"/>
      <c r="L42"/>
      <c r="P42" s="5"/>
      <c r="Q42" s="5"/>
      <c r="R42" s="5"/>
      <c r="S42" s="5"/>
      <c r="T42" s="5"/>
    </row>
    <row r="43" spans="1:20" x14ac:dyDescent="0.3">
      <c r="A43"/>
      <c r="B43"/>
      <c r="C43"/>
      <c r="D43"/>
      <c r="E43"/>
      <c r="F43"/>
      <c r="G43"/>
      <c r="H43"/>
      <c r="I43"/>
      <c r="J43"/>
      <c r="K43"/>
      <c r="L43"/>
    </row>
    <row r="44" spans="1:20" x14ac:dyDescent="0.3">
      <c r="A44"/>
      <c r="B44"/>
      <c r="C44"/>
      <c r="D44"/>
      <c r="E44" s="26"/>
      <c r="F44" s="26"/>
      <c r="G44" s="26"/>
      <c r="H44" s="26"/>
      <c r="I44"/>
      <c r="J44"/>
      <c r="K44"/>
      <c r="L44"/>
    </row>
    <row r="45" spans="1:20" x14ac:dyDescent="0.3">
      <c r="A45"/>
      <c r="B45"/>
      <c r="C45"/>
      <c r="D45"/>
      <c r="E45" s="26"/>
      <c r="F45" s="26"/>
      <c r="G45" s="26"/>
      <c r="H45" s="26"/>
      <c r="I45"/>
      <c r="J45"/>
      <c r="K45"/>
      <c r="L45"/>
    </row>
  </sheetData>
  <mergeCells count="1">
    <mergeCell ref="A2:Q2"/>
  </mergeCell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CCE3-F428-45E6-AF9B-E42DD2FF8F2A}">
  <dimension ref="A1:T1682"/>
  <sheetViews>
    <sheetView tabSelected="1" zoomScale="90" zoomScaleNormal="90" workbookViewId="0">
      <pane xSplit="1" ySplit="5" topLeftCell="B6" activePane="bottomRight" state="frozen"/>
      <selection pane="topRight" activeCell="B1" sqref="B1"/>
      <selection pane="bottomLeft" activeCell="A6" sqref="A6"/>
      <selection pane="bottomRight" activeCell="A4" sqref="A4"/>
    </sheetView>
  </sheetViews>
  <sheetFormatPr defaultColWidth="8.77734375" defaultRowHeight="14.4" x14ac:dyDescent="0.3"/>
  <cols>
    <col min="1" max="1" width="12.77734375" style="96" bestFit="1" customWidth="1"/>
    <col min="2" max="2" width="39" style="96" bestFit="1" customWidth="1"/>
    <col min="3" max="3" width="6.88671875" style="48" bestFit="1" customWidth="1"/>
    <col min="4" max="4" width="11.21875" style="3" bestFit="1" customWidth="1"/>
    <col min="5" max="5" width="11.109375" style="3" bestFit="1" customWidth="1"/>
    <col min="6" max="7" width="11.109375" style="2" bestFit="1" customWidth="1"/>
    <col min="8" max="9" width="7.77734375" style="2" bestFit="1" customWidth="1"/>
    <col min="10" max="10" width="12.33203125" style="2" bestFit="1" customWidth="1"/>
    <col min="11" max="11" width="13.88671875" style="2" bestFit="1" customWidth="1"/>
    <col min="12" max="14" width="12.5546875" style="2" bestFit="1" customWidth="1"/>
    <col min="15" max="16" width="7.77734375" style="2" bestFit="1" customWidth="1"/>
    <col min="17" max="17" width="9.21875" style="2" bestFit="1" customWidth="1"/>
    <col min="18" max="20" width="9.21875" style="1" bestFit="1" customWidth="1"/>
    <col min="21" max="16384" width="8.77734375" style="1"/>
  </cols>
  <sheetData>
    <row r="1" spans="1:20" x14ac:dyDescent="0.3">
      <c r="A1" s="108" t="s">
        <v>53</v>
      </c>
      <c r="B1" s="96" t="s">
        <v>821</v>
      </c>
    </row>
    <row r="2" spans="1:20" x14ac:dyDescent="0.3">
      <c r="A2" s="108" t="s">
        <v>0</v>
      </c>
      <c r="B2" s="96" t="s">
        <v>1</v>
      </c>
    </row>
    <row r="3" spans="1:20" x14ac:dyDescent="0.3">
      <c r="A3" s="111"/>
      <c r="B3" s="111"/>
      <c r="C3" s="3"/>
    </row>
    <row r="4" spans="1:20" hidden="1" x14ac:dyDescent="0.3">
      <c r="A4" s="111"/>
      <c r="B4" s="111"/>
      <c r="C4" s="112" t="s">
        <v>3</v>
      </c>
      <c r="F4" s="3"/>
      <c r="G4" s="3"/>
      <c r="H4" s="3"/>
      <c r="I4" s="3"/>
      <c r="J4" s="3"/>
      <c r="K4" s="3"/>
      <c r="L4" s="3"/>
      <c r="M4" s="3"/>
      <c r="N4" s="3"/>
      <c r="O4" s="3"/>
      <c r="P4" s="3"/>
      <c r="Q4" s="3"/>
      <c r="R4"/>
      <c r="S4"/>
      <c r="T4"/>
    </row>
    <row r="5" spans="1:20" s="2" customFormat="1" ht="42.45" customHeight="1" x14ac:dyDescent="0.3">
      <c r="A5" s="116" t="s">
        <v>4</v>
      </c>
      <c r="B5" s="108" t="s">
        <v>56</v>
      </c>
      <c r="C5" s="130" t="s">
        <v>6</v>
      </c>
      <c r="D5" s="141" t="s">
        <v>7</v>
      </c>
      <c r="E5" s="45" t="s">
        <v>1747</v>
      </c>
      <c r="F5" s="45" t="s">
        <v>1748</v>
      </c>
      <c r="G5" s="45" t="s">
        <v>1749</v>
      </c>
      <c r="H5" s="45" t="s">
        <v>1750</v>
      </c>
      <c r="I5" s="45" t="s">
        <v>1751</v>
      </c>
      <c r="J5" s="46" t="s">
        <v>1752</v>
      </c>
      <c r="K5" s="141" t="s">
        <v>14</v>
      </c>
      <c r="L5" s="144" t="s">
        <v>1753</v>
      </c>
      <c r="M5" s="144" t="s">
        <v>1754</v>
      </c>
      <c r="N5" s="144" t="s">
        <v>1755</v>
      </c>
      <c r="O5" s="144" t="s">
        <v>1756</v>
      </c>
      <c r="P5" s="144" t="s">
        <v>1757</v>
      </c>
      <c r="Q5" s="46" t="s">
        <v>1758</v>
      </c>
      <c r="R5"/>
      <c r="S5"/>
      <c r="T5"/>
    </row>
    <row r="6" spans="1:20" x14ac:dyDescent="0.3">
      <c r="A6" s="97" t="s">
        <v>25</v>
      </c>
      <c r="B6" s="96" t="s">
        <v>68</v>
      </c>
      <c r="C6" s="106"/>
      <c r="D6" s="134">
        <v>81.63</v>
      </c>
      <c r="E6" s="134">
        <v>0</v>
      </c>
      <c r="F6" s="134">
        <v>0</v>
      </c>
      <c r="G6" s="134">
        <v>81.63</v>
      </c>
      <c r="H6" s="134">
        <v>0</v>
      </c>
      <c r="I6" s="134">
        <v>0</v>
      </c>
      <c r="J6" s="134">
        <v>35.85</v>
      </c>
      <c r="K6" s="134">
        <v>117.48</v>
      </c>
      <c r="L6" s="134">
        <v>9.48</v>
      </c>
      <c r="M6" s="134">
        <v>0</v>
      </c>
      <c r="N6" s="134">
        <v>0</v>
      </c>
      <c r="O6" s="134">
        <v>108</v>
      </c>
      <c r="P6" s="134">
        <v>0</v>
      </c>
      <c r="Q6" s="134">
        <v>0</v>
      </c>
      <c r="R6"/>
      <c r="S6"/>
      <c r="T6"/>
    </row>
    <row r="7" spans="1:20" ht="16.05" customHeight="1" x14ac:dyDescent="0.3">
      <c r="A7" s="97"/>
      <c r="B7" s="96" t="s">
        <v>101</v>
      </c>
      <c r="C7" s="106">
        <v>1300</v>
      </c>
      <c r="D7" s="134">
        <v>1339.365</v>
      </c>
      <c r="E7" s="134">
        <v>421.33499999999998</v>
      </c>
      <c r="F7" s="134">
        <v>67.97999999999999</v>
      </c>
      <c r="G7" s="134">
        <v>850.05</v>
      </c>
      <c r="H7" s="134">
        <v>0</v>
      </c>
      <c r="I7" s="134">
        <v>0</v>
      </c>
      <c r="J7" s="134">
        <v>224.89499999999998</v>
      </c>
      <c r="K7" s="134">
        <v>1564.26</v>
      </c>
      <c r="L7" s="134">
        <v>0</v>
      </c>
      <c r="M7" s="134">
        <v>614.03</v>
      </c>
      <c r="N7" s="134">
        <v>950.23</v>
      </c>
      <c r="O7" s="134">
        <v>0</v>
      </c>
      <c r="P7" s="134">
        <v>0</v>
      </c>
      <c r="Q7" s="134">
        <v>0</v>
      </c>
      <c r="R7"/>
      <c r="S7"/>
      <c r="T7"/>
    </row>
    <row r="8" spans="1:20" x14ac:dyDescent="0.3">
      <c r="A8" s="97"/>
      <c r="B8" s="96" t="s">
        <v>123</v>
      </c>
      <c r="C8" s="106"/>
      <c r="D8" s="134">
        <v>411.70499999999998</v>
      </c>
      <c r="E8" s="134">
        <v>21.09</v>
      </c>
      <c r="F8" s="134">
        <v>0</v>
      </c>
      <c r="G8" s="134">
        <v>315.61500000000001</v>
      </c>
      <c r="H8" s="134">
        <v>75</v>
      </c>
      <c r="I8" s="134">
        <v>0</v>
      </c>
      <c r="J8" s="134">
        <v>82.889999999999986</v>
      </c>
      <c r="K8" s="134">
        <v>494.59500000000003</v>
      </c>
      <c r="L8" s="134">
        <v>39.9</v>
      </c>
      <c r="M8" s="134">
        <v>21.09</v>
      </c>
      <c r="N8" s="134">
        <v>246</v>
      </c>
      <c r="O8" s="134">
        <v>187.60500000000002</v>
      </c>
      <c r="P8" s="134">
        <v>0</v>
      </c>
      <c r="Q8" s="134">
        <v>0</v>
      </c>
      <c r="R8"/>
      <c r="S8"/>
      <c r="T8"/>
    </row>
    <row r="9" spans="1:20" ht="13.95" customHeight="1" x14ac:dyDescent="0.3">
      <c r="A9" s="97"/>
      <c r="B9" s="96" t="s">
        <v>1852</v>
      </c>
      <c r="C9" s="106"/>
      <c r="D9" s="134">
        <v>0</v>
      </c>
      <c r="E9" s="134">
        <v>0</v>
      </c>
      <c r="F9" s="134">
        <v>0</v>
      </c>
      <c r="G9" s="134">
        <v>0</v>
      </c>
      <c r="H9" s="134">
        <v>0</v>
      </c>
      <c r="I9" s="134">
        <v>0</v>
      </c>
      <c r="J9" s="134">
        <v>110.69500000000001</v>
      </c>
      <c r="K9" s="134">
        <v>110.69500000000001</v>
      </c>
      <c r="L9" s="134">
        <v>110.69500000000001</v>
      </c>
      <c r="M9" s="134">
        <v>0</v>
      </c>
      <c r="N9" s="134">
        <v>0</v>
      </c>
      <c r="O9" s="134">
        <v>0</v>
      </c>
      <c r="P9" s="134">
        <v>0</v>
      </c>
      <c r="Q9" s="134">
        <v>0</v>
      </c>
      <c r="R9"/>
      <c r="S9"/>
      <c r="T9"/>
    </row>
    <row r="10" spans="1:20" x14ac:dyDescent="0.3">
      <c r="A10" s="97"/>
      <c r="B10" s="96" t="s">
        <v>59</v>
      </c>
      <c r="C10" s="106"/>
      <c r="D10" s="134">
        <v>1758.71</v>
      </c>
      <c r="E10" s="134">
        <v>0</v>
      </c>
      <c r="F10" s="134">
        <v>99.71</v>
      </c>
      <c r="G10" s="134">
        <v>728</v>
      </c>
      <c r="H10" s="134">
        <v>574</v>
      </c>
      <c r="I10" s="134">
        <v>357</v>
      </c>
      <c r="J10" s="134">
        <v>0</v>
      </c>
      <c r="K10" s="134">
        <v>1485.71</v>
      </c>
      <c r="L10" s="134">
        <v>0</v>
      </c>
      <c r="M10" s="134">
        <v>0</v>
      </c>
      <c r="N10" s="134">
        <v>99.71</v>
      </c>
      <c r="O10" s="134">
        <v>1302</v>
      </c>
      <c r="P10" s="134">
        <v>84</v>
      </c>
      <c r="Q10" s="134">
        <v>273</v>
      </c>
      <c r="R10"/>
      <c r="S10"/>
      <c r="T10"/>
    </row>
    <row r="11" spans="1:20" x14ac:dyDescent="0.3">
      <c r="A11" s="97"/>
      <c r="B11" s="96" t="s">
        <v>60</v>
      </c>
      <c r="C11" s="106">
        <v>4500</v>
      </c>
      <c r="D11" s="134">
        <v>234.36</v>
      </c>
      <c r="E11" s="134">
        <v>24.36</v>
      </c>
      <c r="F11" s="134">
        <v>0</v>
      </c>
      <c r="G11" s="134">
        <v>0</v>
      </c>
      <c r="H11" s="134">
        <v>210</v>
      </c>
      <c r="I11" s="134">
        <v>0</v>
      </c>
      <c r="J11" s="134">
        <v>24.715000000000003</v>
      </c>
      <c r="K11" s="134">
        <v>259.07499999999999</v>
      </c>
      <c r="L11" s="134">
        <v>24.715000000000003</v>
      </c>
      <c r="M11" s="134">
        <v>24.36</v>
      </c>
      <c r="N11" s="134">
        <v>0</v>
      </c>
      <c r="O11" s="134">
        <v>210</v>
      </c>
      <c r="P11" s="134">
        <v>0</v>
      </c>
      <c r="Q11" s="134">
        <v>0</v>
      </c>
      <c r="R11"/>
      <c r="S11"/>
      <c r="T11"/>
    </row>
    <row r="12" spans="1:20" x14ac:dyDescent="0.3">
      <c r="A12" s="97"/>
      <c r="B12" s="96" t="s">
        <v>61</v>
      </c>
      <c r="C12" s="106"/>
      <c r="D12" s="134">
        <v>546</v>
      </c>
      <c r="E12" s="134">
        <v>0</v>
      </c>
      <c r="F12" s="134">
        <v>126</v>
      </c>
      <c r="G12" s="134">
        <v>0</v>
      </c>
      <c r="H12" s="134">
        <v>378</v>
      </c>
      <c r="I12" s="134">
        <v>42</v>
      </c>
      <c r="J12" s="134">
        <v>24.36</v>
      </c>
      <c r="K12" s="134">
        <v>570.36</v>
      </c>
      <c r="L12" s="134">
        <v>24.36</v>
      </c>
      <c r="M12" s="134">
        <v>0</v>
      </c>
      <c r="N12" s="134">
        <v>126</v>
      </c>
      <c r="O12" s="134">
        <v>126</v>
      </c>
      <c r="P12" s="134">
        <v>294</v>
      </c>
      <c r="Q12" s="134">
        <v>0</v>
      </c>
      <c r="R12"/>
      <c r="S12"/>
      <c r="T12"/>
    </row>
    <row r="13" spans="1:20" x14ac:dyDescent="0.3">
      <c r="A13" s="97"/>
      <c r="B13" s="96" t="s">
        <v>62</v>
      </c>
      <c r="C13" s="106"/>
      <c r="D13" s="134">
        <v>682.72399999999993</v>
      </c>
      <c r="E13" s="134">
        <v>0</v>
      </c>
      <c r="F13" s="134">
        <v>31.724</v>
      </c>
      <c r="G13" s="134">
        <v>0</v>
      </c>
      <c r="H13" s="134">
        <v>273</v>
      </c>
      <c r="I13" s="134">
        <v>378</v>
      </c>
      <c r="J13" s="134">
        <v>52.930000000000007</v>
      </c>
      <c r="K13" s="134">
        <v>735.654</v>
      </c>
      <c r="L13" s="134">
        <v>16.98</v>
      </c>
      <c r="M13" s="134">
        <v>0</v>
      </c>
      <c r="N13" s="134">
        <v>67.674000000000007</v>
      </c>
      <c r="O13" s="134">
        <v>0</v>
      </c>
      <c r="P13" s="134">
        <v>651</v>
      </c>
      <c r="Q13" s="134">
        <v>0</v>
      </c>
      <c r="R13"/>
      <c r="S13"/>
      <c r="T13"/>
    </row>
    <row r="14" spans="1:20" x14ac:dyDescent="0.3">
      <c r="A14" s="97"/>
      <c r="B14" s="96" t="s">
        <v>63</v>
      </c>
      <c r="C14" s="106"/>
      <c r="D14" s="134">
        <v>0</v>
      </c>
      <c r="E14" s="134">
        <v>0</v>
      </c>
      <c r="F14" s="134">
        <v>0</v>
      </c>
      <c r="G14" s="134">
        <v>0</v>
      </c>
      <c r="H14" s="134">
        <v>0</v>
      </c>
      <c r="I14" s="134">
        <v>0</v>
      </c>
      <c r="J14" s="134">
        <v>9.0500000000000007</v>
      </c>
      <c r="K14" s="134">
        <v>9.0500000000000007</v>
      </c>
      <c r="L14" s="134">
        <v>9.0500000000000007</v>
      </c>
      <c r="M14" s="134">
        <v>0</v>
      </c>
      <c r="N14" s="134">
        <v>0</v>
      </c>
      <c r="O14" s="134">
        <v>0</v>
      </c>
      <c r="P14" s="134">
        <v>0</v>
      </c>
      <c r="Q14" s="134">
        <v>0</v>
      </c>
      <c r="R14"/>
      <c r="S14"/>
      <c r="T14"/>
    </row>
    <row r="15" spans="1:20" x14ac:dyDescent="0.3">
      <c r="A15" s="97"/>
      <c r="B15" s="96" t="s">
        <v>344</v>
      </c>
      <c r="C15" s="106"/>
      <c r="D15" s="134">
        <v>150.999</v>
      </c>
      <c r="E15" s="134">
        <v>0</v>
      </c>
      <c r="F15" s="134">
        <v>0</v>
      </c>
      <c r="G15" s="134">
        <v>150.999</v>
      </c>
      <c r="H15" s="134">
        <v>0</v>
      </c>
      <c r="I15" s="134">
        <v>0</v>
      </c>
      <c r="J15" s="134">
        <v>0</v>
      </c>
      <c r="K15" s="134">
        <v>150.999</v>
      </c>
      <c r="L15" s="134">
        <v>0</v>
      </c>
      <c r="M15" s="134">
        <v>0</v>
      </c>
      <c r="N15" s="134">
        <v>0</v>
      </c>
      <c r="O15" s="134">
        <v>150.999</v>
      </c>
      <c r="P15" s="134">
        <v>0</v>
      </c>
      <c r="Q15" s="134">
        <v>0</v>
      </c>
      <c r="R15"/>
      <c r="S15"/>
      <c r="T15"/>
    </row>
    <row r="16" spans="1:20" x14ac:dyDescent="0.3">
      <c r="A16" s="97"/>
      <c r="B16" s="96" t="s">
        <v>69</v>
      </c>
      <c r="C16" s="106"/>
      <c r="D16" s="134">
        <v>1003.62</v>
      </c>
      <c r="E16" s="134">
        <v>212</v>
      </c>
      <c r="F16" s="134">
        <v>362.72</v>
      </c>
      <c r="G16" s="134">
        <v>84</v>
      </c>
      <c r="H16" s="134">
        <v>160.9</v>
      </c>
      <c r="I16" s="134">
        <v>184</v>
      </c>
      <c r="J16" s="134">
        <v>34.340000000000003</v>
      </c>
      <c r="K16" s="134">
        <v>949.96</v>
      </c>
      <c r="L16" s="134">
        <v>34.340000000000003</v>
      </c>
      <c r="M16" s="134">
        <v>574.72</v>
      </c>
      <c r="N16" s="134">
        <v>84</v>
      </c>
      <c r="O16" s="134">
        <v>19.899999999999999</v>
      </c>
      <c r="P16" s="134">
        <v>237</v>
      </c>
      <c r="Q16" s="134">
        <v>88</v>
      </c>
      <c r="R16"/>
      <c r="S16"/>
      <c r="T16"/>
    </row>
    <row r="17" spans="1:20" x14ac:dyDescent="0.3">
      <c r="A17" s="97"/>
      <c r="B17" s="96" t="s">
        <v>89</v>
      </c>
      <c r="C17" s="106"/>
      <c r="D17" s="134">
        <v>312.36500000000001</v>
      </c>
      <c r="E17" s="134">
        <v>54.155000000000001</v>
      </c>
      <c r="F17" s="134">
        <v>33.21</v>
      </c>
      <c r="G17" s="134">
        <v>0</v>
      </c>
      <c r="H17" s="134">
        <v>0</v>
      </c>
      <c r="I17" s="134">
        <v>225</v>
      </c>
      <c r="J17" s="134">
        <v>40.72</v>
      </c>
      <c r="K17" s="134">
        <v>353.08500000000004</v>
      </c>
      <c r="L17" s="134">
        <v>14.18</v>
      </c>
      <c r="M17" s="134">
        <v>113.905</v>
      </c>
      <c r="N17" s="134">
        <v>0</v>
      </c>
      <c r="O17" s="134">
        <v>0</v>
      </c>
      <c r="P17" s="134">
        <v>225</v>
      </c>
      <c r="Q17" s="134">
        <v>0</v>
      </c>
      <c r="R17"/>
      <c r="S17"/>
      <c r="T17"/>
    </row>
    <row r="18" spans="1:20" x14ac:dyDescent="0.3">
      <c r="A18" s="97"/>
      <c r="B18" s="96" t="s">
        <v>90</v>
      </c>
      <c r="C18" s="106">
        <v>5500</v>
      </c>
      <c r="D18" s="134">
        <v>291.21000000000004</v>
      </c>
      <c r="E18" s="134">
        <v>48</v>
      </c>
      <c r="F18" s="134">
        <v>30</v>
      </c>
      <c r="G18" s="134">
        <v>48.21</v>
      </c>
      <c r="H18" s="134">
        <v>165</v>
      </c>
      <c r="I18" s="134">
        <v>0</v>
      </c>
      <c r="J18" s="134">
        <v>45.435000000000002</v>
      </c>
      <c r="K18" s="134">
        <v>336.64499999999998</v>
      </c>
      <c r="L18" s="134">
        <v>26.145</v>
      </c>
      <c r="M18" s="134">
        <v>91.5</v>
      </c>
      <c r="N18" s="134">
        <v>30</v>
      </c>
      <c r="O18" s="134">
        <v>24</v>
      </c>
      <c r="P18" s="134">
        <v>165</v>
      </c>
      <c r="Q18" s="134">
        <v>0</v>
      </c>
      <c r="R18"/>
      <c r="S18"/>
      <c r="T18"/>
    </row>
    <row r="19" spans="1:20" x14ac:dyDescent="0.3">
      <c r="A19" s="97"/>
      <c r="B19" s="96" t="s">
        <v>91</v>
      </c>
      <c r="C19" s="106"/>
      <c r="D19" s="134">
        <v>480.13</v>
      </c>
      <c r="E19" s="134">
        <v>24</v>
      </c>
      <c r="F19" s="134">
        <v>207.13</v>
      </c>
      <c r="G19" s="134">
        <v>36</v>
      </c>
      <c r="H19" s="134">
        <v>60</v>
      </c>
      <c r="I19" s="134">
        <v>153</v>
      </c>
      <c r="J19" s="134">
        <v>103.80499999999998</v>
      </c>
      <c r="K19" s="134">
        <v>481.93499999999995</v>
      </c>
      <c r="L19" s="134">
        <v>62.339999999999989</v>
      </c>
      <c r="M19" s="134">
        <v>197.595</v>
      </c>
      <c r="N19" s="134">
        <v>111</v>
      </c>
      <c r="O19" s="134">
        <v>60</v>
      </c>
      <c r="P19" s="134">
        <v>51</v>
      </c>
      <c r="Q19" s="134">
        <v>102</v>
      </c>
      <c r="R19"/>
      <c r="S19"/>
      <c r="T19"/>
    </row>
    <row r="20" spans="1:20" x14ac:dyDescent="0.3">
      <c r="A20" s="97"/>
      <c r="B20" s="96" t="s">
        <v>882</v>
      </c>
      <c r="C20" s="106"/>
      <c r="D20" s="134">
        <v>423.51</v>
      </c>
      <c r="E20" s="134">
        <v>0</v>
      </c>
      <c r="F20" s="134">
        <v>0</v>
      </c>
      <c r="G20" s="134">
        <v>153.51</v>
      </c>
      <c r="H20" s="134">
        <v>0</v>
      </c>
      <c r="I20" s="134">
        <v>270</v>
      </c>
      <c r="J20" s="134">
        <v>100.815</v>
      </c>
      <c r="K20" s="134">
        <v>524.32500000000005</v>
      </c>
      <c r="L20" s="134">
        <v>74.344999999999999</v>
      </c>
      <c r="M20" s="134">
        <v>0</v>
      </c>
      <c r="N20" s="134">
        <v>0</v>
      </c>
      <c r="O20" s="134">
        <v>179.98</v>
      </c>
      <c r="P20" s="134">
        <v>270</v>
      </c>
      <c r="Q20" s="134">
        <v>0</v>
      </c>
      <c r="R20"/>
      <c r="S20"/>
      <c r="T20"/>
    </row>
    <row r="21" spans="1:20" ht="15" customHeight="1" x14ac:dyDescent="0.3">
      <c r="A21" s="97"/>
      <c r="B21" s="96" t="s">
        <v>70</v>
      </c>
      <c r="C21" s="106"/>
      <c r="D21" s="134">
        <v>183.345</v>
      </c>
      <c r="E21" s="134">
        <v>0</v>
      </c>
      <c r="F21" s="134">
        <v>38.344999999999999</v>
      </c>
      <c r="G21" s="134">
        <v>0</v>
      </c>
      <c r="H21" s="134">
        <v>145</v>
      </c>
      <c r="I21" s="134">
        <v>0</v>
      </c>
      <c r="J21" s="134">
        <v>28.48</v>
      </c>
      <c r="K21" s="134">
        <v>211.82499999999999</v>
      </c>
      <c r="L21" s="134">
        <v>28.48</v>
      </c>
      <c r="M21" s="134">
        <v>0</v>
      </c>
      <c r="N21" s="134">
        <v>38.344999999999999</v>
      </c>
      <c r="O21" s="134">
        <v>145</v>
      </c>
      <c r="P21" s="134">
        <v>0</v>
      </c>
      <c r="Q21" s="134">
        <v>0</v>
      </c>
      <c r="R21"/>
      <c r="S21"/>
      <c r="T21"/>
    </row>
    <row r="22" spans="1:20" ht="15" customHeight="1" x14ac:dyDescent="0.3">
      <c r="A22" s="97"/>
      <c r="B22" s="96" t="s">
        <v>71</v>
      </c>
      <c r="C22" s="106"/>
      <c r="D22" s="134">
        <v>0</v>
      </c>
      <c r="E22" s="134">
        <v>0</v>
      </c>
      <c r="F22" s="134">
        <v>0</v>
      </c>
      <c r="G22" s="134">
        <v>0</v>
      </c>
      <c r="H22" s="134">
        <v>0</v>
      </c>
      <c r="I22" s="134">
        <v>0</v>
      </c>
      <c r="J22" s="134">
        <v>50.629999999999995</v>
      </c>
      <c r="K22" s="134">
        <v>50.629999999999995</v>
      </c>
      <c r="L22" s="134">
        <v>50.629999999999995</v>
      </c>
      <c r="M22" s="134">
        <v>0</v>
      </c>
      <c r="N22" s="134">
        <v>0</v>
      </c>
      <c r="O22" s="134">
        <v>0</v>
      </c>
      <c r="P22" s="134">
        <v>0</v>
      </c>
      <c r="Q22" s="134">
        <v>0</v>
      </c>
      <c r="R22"/>
      <c r="S22"/>
      <c r="T22"/>
    </row>
    <row r="23" spans="1:20" x14ac:dyDescent="0.3">
      <c r="A23" s="97"/>
      <c r="B23" s="96" t="s">
        <v>72</v>
      </c>
      <c r="C23" s="106"/>
      <c r="D23" s="134">
        <v>0</v>
      </c>
      <c r="E23" s="134">
        <v>0</v>
      </c>
      <c r="F23" s="134">
        <v>0</v>
      </c>
      <c r="G23" s="134">
        <v>0</v>
      </c>
      <c r="H23" s="134">
        <v>0</v>
      </c>
      <c r="I23" s="134">
        <v>0</v>
      </c>
      <c r="J23" s="134">
        <v>21.954999999999998</v>
      </c>
      <c r="K23" s="134">
        <v>21.954999999999998</v>
      </c>
      <c r="L23" s="134">
        <v>21.954999999999998</v>
      </c>
      <c r="M23" s="134">
        <v>0</v>
      </c>
      <c r="N23" s="134">
        <v>0</v>
      </c>
      <c r="O23" s="134">
        <v>0</v>
      </c>
      <c r="P23" s="134">
        <v>0</v>
      </c>
      <c r="Q23" s="134">
        <v>0</v>
      </c>
      <c r="R23"/>
      <c r="S23"/>
      <c r="T23"/>
    </row>
    <row r="24" spans="1:20" x14ac:dyDescent="0.3">
      <c r="A24" s="97"/>
      <c r="B24" s="96" t="s">
        <v>129</v>
      </c>
      <c r="C24" s="106"/>
      <c r="D24" s="134">
        <v>33.094999999999999</v>
      </c>
      <c r="E24" s="134">
        <v>33.094999999999999</v>
      </c>
      <c r="F24" s="134">
        <v>0</v>
      </c>
      <c r="G24" s="134">
        <v>0</v>
      </c>
      <c r="H24" s="134">
        <v>0</v>
      </c>
      <c r="I24" s="134">
        <v>0</v>
      </c>
      <c r="J24" s="134">
        <v>0</v>
      </c>
      <c r="K24" s="134">
        <v>33.094999999999999</v>
      </c>
      <c r="L24" s="134">
        <v>0</v>
      </c>
      <c r="M24" s="134">
        <v>33.094999999999999</v>
      </c>
      <c r="N24" s="134">
        <v>0</v>
      </c>
      <c r="O24" s="134">
        <v>0</v>
      </c>
      <c r="P24" s="134">
        <v>0</v>
      </c>
      <c r="Q24" s="134">
        <v>0</v>
      </c>
      <c r="R24"/>
      <c r="S24"/>
      <c r="T24"/>
    </row>
    <row r="25" spans="1:20" x14ac:dyDescent="0.3">
      <c r="A25" s="97"/>
      <c r="B25" s="96" t="s">
        <v>73</v>
      </c>
      <c r="C25" s="106"/>
      <c r="D25" s="134">
        <v>87</v>
      </c>
      <c r="E25" s="134">
        <v>58</v>
      </c>
      <c r="F25" s="134">
        <v>29</v>
      </c>
      <c r="G25" s="134">
        <v>0</v>
      </c>
      <c r="H25" s="134">
        <v>0</v>
      </c>
      <c r="I25" s="134">
        <v>0</v>
      </c>
      <c r="J25" s="134">
        <v>28.015000000000001</v>
      </c>
      <c r="K25" s="134">
        <v>115.015</v>
      </c>
      <c r="L25" s="134">
        <v>28.015000000000001</v>
      </c>
      <c r="M25" s="134">
        <v>58</v>
      </c>
      <c r="N25" s="134">
        <v>29</v>
      </c>
      <c r="O25" s="134">
        <v>0</v>
      </c>
      <c r="P25" s="134">
        <v>0</v>
      </c>
      <c r="Q25" s="134">
        <v>0</v>
      </c>
      <c r="R25"/>
      <c r="S25"/>
      <c r="T25"/>
    </row>
    <row r="26" spans="1:20" x14ac:dyDescent="0.3">
      <c r="A26" s="97"/>
      <c r="B26" s="96" t="s">
        <v>65</v>
      </c>
      <c r="C26" s="106"/>
      <c r="D26" s="134">
        <v>384.34500000000003</v>
      </c>
      <c r="E26" s="134">
        <v>0</v>
      </c>
      <c r="F26" s="134">
        <v>330.34500000000003</v>
      </c>
      <c r="G26" s="134">
        <v>0</v>
      </c>
      <c r="H26" s="134">
        <v>54</v>
      </c>
      <c r="I26" s="134">
        <v>0</v>
      </c>
      <c r="J26" s="134">
        <v>18.625</v>
      </c>
      <c r="K26" s="134">
        <v>402.97</v>
      </c>
      <c r="L26" s="134">
        <v>0</v>
      </c>
      <c r="M26" s="134">
        <v>297</v>
      </c>
      <c r="N26" s="134">
        <v>51.97</v>
      </c>
      <c r="O26" s="134">
        <v>0</v>
      </c>
      <c r="P26" s="134">
        <v>54</v>
      </c>
      <c r="Q26" s="134">
        <v>0</v>
      </c>
      <c r="R26"/>
      <c r="S26"/>
      <c r="T26"/>
    </row>
    <row r="27" spans="1:20" x14ac:dyDescent="0.3">
      <c r="A27" s="97"/>
      <c r="B27" s="96" t="s">
        <v>470</v>
      </c>
      <c r="C27" s="106"/>
      <c r="D27" s="134">
        <v>0</v>
      </c>
      <c r="E27" s="134">
        <v>0</v>
      </c>
      <c r="F27" s="134">
        <v>0</v>
      </c>
      <c r="G27" s="134">
        <v>0</v>
      </c>
      <c r="H27" s="134">
        <v>0</v>
      </c>
      <c r="I27" s="134">
        <v>0</v>
      </c>
      <c r="J27" s="134">
        <v>7.88</v>
      </c>
      <c r="K27" s="134">
        <v>7.88</v>
      </c>
      <c r="L27" s="134">
        <v>7.88</v>
      </c>
      <c r="M27" s="134">
        <v>0</v>
      </c>
      <c r="N27" s="134">
        <v>0</v>
      </c>
      <c r="O27" s="134">
        <v>0</v>
      </c>
      <c r="P27" s="134">
        <v>0</v>
      </c>
      <c r="Q27" s="134">
        <v>0</v>
      </c>
      <c r="R27"/>
      <c r="S27"/>
      <c r="T27"/>
    </row>
    <row r="28" spans="1:20" x14ac:dyDescent="0.3">
      <c r="A28" s="97"/>
      <c r="B28" s="96" t="s">
        <v>1302</v>
      </c>
      <c r="C28" s="106"/>
      <c r="D28" s="134">
        <v>580</v>
      </c>
      <c r="E28" s="134">
        <v>0</v>
      </c>
      <c r="F28" s="134">
        <v>0</v>
      </c>
      <c r="G28" s="134">
        <v>0</v>
      </c>
      <c r="H28" s="134">
        <v>0</v>
      </c>
      <c r="I28" s="134">
        <v>580</v>
      </c>
      <c r="J28" s="134">
        <v>0</v>
      </c>
      <c r="K28" s="134">
        <v>290</v>
      </c>
      <c r="L28" s="134">
        <v>0</v>
      </c>
      <c r="M28" s="134">
        <v>0</v>
      </c>
      <c r="N28" s="134">
        <v>0</v>
      </c>
      <c r="O28" s="134">
        <v>0</v>
      </c>
      <c r="P28" s="134">
        <v>290</v>
      </c>
      <c r="Q28" s="134">
        <v>290</v>
      </c>
      <c r="R28"/>
      <c r="S28"/>
      <c r="T28"/>
    </row>
    <row r="29" spans="1:20" x14ac:dyDescent="0.3">
      <c r="A29" s="97"/>
      <c r="B29" s="96" t="s">
        <v>764</v>
      </c>
      <c r="C29" s="106"/>
      <c r="D29" s="134">
        <v>0</v>
      </c>
      <c r="E29" s="134">
        <v>0</v>
      </c>
      <c r="F29" s="134">
        <v>0</v>
      </c>
      <c r="G29" s="134">
        <v>0</v>
      </c>
      <c r="H29" s="134">
        <v>0</v>
      </c>
      <c r="I29" s="134">
        <v>0</v>
      </c>
      <c r="J29" s="134">
        <v>2.9049999999999998</v>
      </c>
      <c r="K29" s="134">
        <v>2.9049999999999998</v>
      </c>
      <c r="L29" s="134">
        <v>2.9049999999999998</v>
      </c>
      <c r="M29" s="134">
        <v>0</v>
      </c>
      <c r="N29" s="134">
        <v>0</v>
      </c>
      <c r="O29" s="134">
        <v>0</v>
      </c>
      <c r="P29" s="134">
        <v>0</v>
      </c>
      <c r="Q29" s="134">
        <v>0</v>
      </c>
      <c r="R29"/>
      <c r="S29"/>
      <c r="T29"/>
    </row>
    <row r="30" spans="1:20" x14ac:dyDescent="0.3">
      <c r="A30" s="97"/>
      <c r="B30" s="96" t="s">
        <v>74</v>
      </c>
      <c r="C30" s="106"/>
      <c r="D30" s="134">
        <v>327</v>
      </c>
      <c r="E30" s="134">
        <v>58</v>
      </c>
      <c r="F30" s="134">
        <v>59</v>
      </c>
      <c r="G30" s="134">
        <v>0</v>
      </c>
      <c r="H30" s="134">
        <v>210</v>
      </c>
      <c r="I30" s="134">
        <v>0</v>
      </c>
      <c r="J30" s="134">
        <v>0</v>
      </c>
      <c r="K30" s="134">
        <v>327</v>
      </c>
      <c r="L30" s="134">
        <v>0</v>
      </c>
      <c r="M30" s="134">
        <v>117</v>
      </c>
      <c r="N30" s="134">
        <v>0</v>
      </c>
      <c r="O30" s="134">
        <v>0</v>
      </c>
      <c r="P30" s="134">
        <v>210</v>
      </c>
      <c r="Q30" s="134">
        <v>0</v>
      </c>
      <c r="R30"/>
      <c r="S30"/>
      <c r="T30"/>
    </row>
    <row r="31" spans="1:20" x14ac:dyDescent="0.3">
      <c r="A31" s="97"/>
      <c r="B31" s="96" t="s">
        <v>75</v>
      </c>
      <c r="C31" s="106"/>
      <c r="D31" s="134">
        <v>789</v>
      </c>
      <c r="E31" s="134">
        <v>27</v>
      </c>
      <c r="F31" s="134">
        <v>216</v>
      </c>
      <c r="G31" s="134">
        <v>465</v>
      </c>
      <c r="H31" s="134">
        <v>81</v>
      </c>
      <c r="I31" s="134">
        <v>0</v>
      </c>
      <c r="J31" s="134">
        <v>77.88</v>
      </c>
      <c r="K31" s="134">
        <v>866.88</v>
      </c>
      <c r="L31" s="134">
        <v>77.88</v>
      </c>
      <c r="M31" s="134">
        <v>81</v>
      </c>
      <c r="N31" s="134">
        <v>465</v>
      </c>
      <c r="O31" s="134">
        <v>189</v>
      </c>
      <c r="P31" s="134">
        <v>54</v>
      </c>
      <c r="Q31" s="134">
        <v>0</v>
      </c>
      <c r="R31"/>
      <c r="S31"/>
      <c r="T31"/>
    </row>
    <row r="32" spans="1:20" x14ac:dyDescent="0.3">
      <c r="A32" s="97"/>
      <c r="B32" s="96" t="s">
        <v>883</v>
      </c>
      <c r="C32" s="106"/>
      <c r="D32" s="134">
        <v>0</v>
      </c>
      <c r="E32" s="134">
        <v>0</v>
      </c>
      <c r="F32" s="134">
        <v>0</v>
      </c>
      <c r="G32" s="134">
        <v>0</v>
      </c>
      <c r="H32" s="134">
        <v>0</v>
      </c>
      <c r="I32" s="134">
        <v>0</v>
      </c>
      <c r="J32" s="134">
        <v>23.14</v>
      </c>
      <c r="K32" s="134">
        <v>23.14</v>
      </c>
      <c r="L32" s="134">
        <v>23.14</v>
      </c>
      <c r="M32" s="134">
        <v>0</v>
      </c>
      <c r="N32" s="134">
        <v>0</v>
      </c>
      <c r="O32" s="134">
        <v>0</v>
      </c>
      <c r="P32" s="134">
        <v>0</v>
      </c>
      <c r="Q32" s="134">
        <v>0</v>
      </c>
      <c r="R32"/>
      <c r="S32"/>
      <c r="T32"/>
    </row>
    <row r="33" spans="1:20" x14ac:dyDescent="0.3">
      <c r="A33" s="97"/>
      <c r="B33" s="96" t="s">
        <v>1481</v>
      </c>
      <c r="C33" s="106"/>
      <c r="D33" s="134">
        <v>52</v>
      </c>
      <c r="E33" s="134">
        <v>0</v>
      </c>
      <c r="F33" s="134">
        <v>0</v>
      </c>
      <c r="G33" s="134">
        <v>52</v>
      </c>
      <c r="H33" s="134">
        <v>0</v>
      </c>
      <c r="I33" s="134">
        <v>0</v>
      </c>
      <c r="J33" s="134">
        <v>0</v>
      </c>
      <c r="K33" s="134">
        <v>52</v>
      </c>
      <c r="L33" s="134">
        <v>0</v>
      </c>
      <c r="M33" s="134">
        <v>0</v>
      </c>
      <c r="N33" s="134">
        <v>52</v>
      </c>
      <c r="O33" s="134">
        <v>0</v>
      </c>
      <c r="P33" s="134">
        <v>0</v>
      </c>
      <c r="Q33" s="134">
        <v>0</v>
      </c>
      <c r="R33"/>
      <c r="S33"/>
      <c r="T33"/>
    </row>
    <row r="34" spans="1:20" x14ac:dyDescent="0.3">
      <c r="A34" s="97"/>
      <c r="B34" s="96" t="s">
        <v>76</v>
      </c>
      <c r="C34" s="106"/>
      <c r="D34" s="134">
        <v>301.45</v>
      </c>
      <c r="E34" s="134">
        <v>79.45</v>
      </c>
      <c r="F34" s="134">
        <v>30</v>
      </c>
      <c r="G34" s="134">
        <v>66</v>
      </c>
      <c r="H34" s="134">
        <v>126</v>
      </c>
      <c r="I34" s="134">
        <v>0</v>
      </c>
      <c r="J34" s="134">
        <v>76.065000000000012</v>
      </c>
      <c r="K34" s="134">
        <v>377.51499999999999</v>
      </c>
      <c r="L34" s="134">
        <v>32.160000000000004</v>
      </c>
      <c r="M34" s="134">
        <v>123.355</v>
      </c>
      <c r="N34" s="134">
        <v>96</v>
      </c>
      <c r="O34" s="134">
        <v>51</v>
      </c>
      <c r="P34" s="134">
        <v>75</v>
      </c>
      <c r="Q34" s="134">
        <v>0</v>
      </c>
      <c r="R34"/>
      <c r="S34"/>
      <c r="T34"/>
    </row>
    <row r="35" spans="1:20" x14ac:dyDescent="0.3">
      <c r="A35" s="97"/>
      <c r="B35" s="96" t="s">
        <v>369</v>
      </c>
      <c r="C35" s="106"/>
      <c r="D35" s="134">
        <v>30</v>
      </c>
      <c r="E35" s="134">
        <v>0</v>
      </c>
      <c r="F35" s="134">
        <v>0</v>
      </c>
      <c r="G35" s="134">
        <v>0</v>
      </c>
      <c r="H35" s="134">
        <v>30</v>
      </c>
      <c r="I35" s="134">
        <v>0</v>
      </c>
      <c r="J35" s="134">
        <v>8.1849999999999987</v>
      </c>
      <c r="K35" s="134">
        <v>38.185000000000002</v>
      </c>
      <c r="L35" s="134">
        <v>8.1849999999999987</v>
      </c>
      <c r="M35" s="134">
        <v>0</v>
      </c>
      <c r="N35" s="134">
        <v>0</v>
      </c>
      <c r="O35" s="134">
        <v>0</v>
      </c>
      <c r="P35" s="134">
        <v>30</v>
      </c>
      <c r="Q35" s="134">
        <v>0</v>
      </c>
      <c r="R35"/>
      <c r="S35"/>
      <c r="T35"/>
    </row>
    <row r="36" spans="1:20" x14ac:dyDescent="0.3">
      <c r="A36" s="97"/>
      <c r="B36" s="96" t="s">
        <v>92</v>
      </c>
      <c r="C36" s="106"/>
      <c r="D36" s="134">
        <v>192.69499999999999</v>
      </c>
      <c r="E36" s="134">
        <v>31.57</v>
      </c>
      <c r="F36" s="134">
        <v>41.125</v>
      </c>
      <c r="G36" s="134">
        <v>60</v>
      </c>
      <c r="H36" s="134">
        <v>60</v>
      </c>
      <c r="I36" s="134">
        <v>0</v>
      </c>
      <c r="J36" s="134">
        <v>14.095000000000001</v>
      </c>
      <c r="K36" s="134">
        <v>206.79</v>
      </c>
      <c r="L36" s="134">
        <v>5.57</v>
      </c>
      <c r="M36" s="134">
        <v>34.185000000000002</v>
      </c>
      <c r="N36" s="134">
        <v>107.035</v>
      </c>
      <c r="O36" s="134">
        <v>60</v>
      </c>
      <c r="P36" s="134">
        <v>0</v>
      </c>
      <c r="Q36" s="134">
        <v>0</v>
      </c>
      <c r="R36"/>
      <c r="S36"/>
      <c r="T36"/>
    </row>
    <row r="37" spans="1:20" x14ac:dyDescent="0.3">
      <c r="A37" s="97"/>
      <c r="B37" s="96" t="s">
        <v>77</v>
      </c>
      <c r="C37" s="106"/>
      <c r="D37" s="134">
        <v>35.524999999999999</v>
      </c>
      <c r="E37" s="134">
        <v>0</v>
      </c>
      <c r="F37" s="134">
        <v>35.524999999999999</v>
      </c>
      <c r="G37" s="134">
        <v>0</v>
      </c>
      <c r="H37" s="134">
        <v>0</v>
      </c>
      <c r="I37" s="134">
        <v>0</v>
      </c>
      <c r="J37" s="134">
        <v>0</v>
      </c>
      <c r="K37" s="134">
        <v>35.524999999999999</v>
      </c>
      <c r="L37" s="134">
        <v>0</v>
      </c>
      <c r="M37" s="134">
        <v>0</v>
      </c>
      <c r="N37" s="134">
        <v>35.524999999999999</v>
      </c>
      <c r="O37" s="134">
        <v>0</v>
      </c>
      <c r="P37" s="134">
        <v>0</v>
      </c>
      <c r="Q37" s="134">
        <v>0</v>
      </c>
      <c r="R37"/>
      <c r="S37"/>
      <c r="T37"/>
    </row>
    <row r="38" spans="1:20" x14ac:dyDescent="0.3">
      <c r="A38" s="97"/>
      <c r="B38" s="96" t="s">
        <v>78</v>
      </c>
      <c r="C38" s="106"/>
      <c r="D38" s="134">
        <v>24</v>
      </c>
      <c r="E38" s="134">
        <v>24</v>
      </c>
      <c r="F38" s="134">
        <v>0</v>
      </c>
      <c r="G38" s="134">
        <v>0</v>
      </c>
      <c r="H38" s="134">
        <v>0</v>
      </c>
      <c r="I38" s="134">
        <v>0</v>
      </c>
      <c r="J38" s="134">
        <v>20.040000000000003</v>
      </c>
      <c r="K38" s="134">
        <v>44.040000000000006</v>
      </c>
      <c r="L38" s="134">
        <v>20.040000000000003</v>
      </c>
      <c r="M38" s="134">
        <v>24</v>
      </c>
      <c r="N38" s="134">
        <v>0</v>
      </c>
      <c r="O38" s="134">
        <v>0</v>
      </c>
      <c r="P38" s="134">
        <v>0</v>
      </c>
      <c r="Q38" s="134">
        <v>0</v>
      </c>
      <c r="R38"/>
      <c r="S38"/>
      <c r="T38"/>
    </row>
    <row r="39" spans="1:20" x14ac:dyDescent="0.3">
      <c r="A39" s="97"/>
      <c r="B39" s="96" t="s">
        <v>1728</v>
      </c>
      <c r="C39" s="106"/>
      <c r="D39" s="134">
        <v>0</v>
      </c>
      <c r="E39" s="134">
        <v>0</v>
      </c>
      <c r="F39" s="134">
        <v>0</v>
      </c>
      <c r="G39" s="134">
        <v>0</v>
      </c>
      <c r="H39" s="134">
        <v>0</v>
      </c>
      <c r="I39" s="134">
        <v>0</v>
      </c>
      <c r="J39" s="134">
        <v>38.75</v>
      </c>
      <c r="K39" s="134">
        <v>38.75</v>
      </c>
      <c r="L39" s="134">
        <v>38.75</v>
      </c>
      <c r="M39" s="134">
        <v>0</v>
      </c>
      <c r="N39" s="134">
        <v>0</v>
      </c>
      <c r="O39" s="134">
        <v>0</v>
      </c>
      <c r="P39" s="134">
        <v>0</v>
      </c>
      <c r="Q39" s="134">
        <v>0</v>
      </c>
      <c r="R39"/>
      <c r="S39"/>
      <c r="T39"/>
    </row>
    <row r="40" spans="1:20" x14ac:dyDescent="0.3">
      <c r="A40" s="97"/>
      <c r="B40" s="96" t="s">
        <v>93</v>
      </c>
      <c r="C40" s="106"/>
      <c r="D40" s="134">
        <v>30</v>
      </c>
      <c r="E40" s="134">
        <v>0</v>
      </c>
      <c r="F40" s="134">
        <v>0</v>
      </c>
      <c r="G40" s="134">
        <v>0</v>
      </c>
      <c r="H40" s="134">
        <v>30</v>
      </c>
      <c r="I40" s="134">
        <v>0</v>
      </c>
      <c r="J40" s="134">
        <v>8.4849999999999994</v>
      </c>
      <c r="K40" s="134">
        <v>38.484999999999999</v>
      </c>
      <c r="L40" s="134">
        <v>8.4849999999999994</v>
      </c>
      <c r="M40" s="134">
        <v>0</v>
      </c>
      <c r="N40" s="134">
        <v>0</v>
      </c>
      <c r="O40" s="134">
        <v>0</v>
      </c>
      <c r="P40" s="134">
        <v>30</v>
      </c>
      <c r="Q40" s="134">
        <v>0</v>
      </c>
      <c r="R40"/>
      <c r="S40"/>
      <c r="T40"/>
    </row>
    <row r="41" spans="1:20" x14ac:dyDescent="0.3">
      <c r="A41" s="97"/>
      <c r="B41" s="96" t="s">
        <v>94</v>
      </c>
      <c r="C41" s="106"/>
      <c r="D41" s="134">
        <v>108</v>
      </c>
      <c r="E41" s="134">
        <v>30</v>
      </c>
      <c r="F41" s="134">
        <v>48</v>
      </c>
      <c r="G41" s="134">
        <v>0</v>
      </c>
      <c r="H41" s="134">
        <v>30</v>
      </c>
      <c r="I41" s="134">
        <v>0</v>
      </c>
      <c r="J41" s="134">
        <v>28.57</v>
      </c>
      <c r="K41" s="134">
        <v>136.57</v>
      </c>
      <c r="L41" s="134">
        <v>28.57</v>
      </c>
      <c r="M41" s="134">
        <v>54</v>
      </c>
      <c r="N41" s="134">
        <v>24</v>
      </c>
      <c r="O41" s="134">
        <v>30</v>
      </c>
      <c r="P41" s="134">
        <v>0</v>
      </c>
      <c r="Q41" s="134">
        <v>0</v>
      </c>
      <c r="R41"/>
      <c r="S41"/>
      <c r="T41"/>
    </row>
    <row r="42" spans="1:20" x14ac:dyDescent="0.3">
      <c r="A42" s="97"/>
      <c r="B42" s="96" t="s">
        <v>79</v>
      </c>
      <c r="C42" s="106"/>
      <c r="D42" s="134">
        <v>96</v>
      </c>
      <c r="E42" s="134">
        <v>0</v>
      </c>
      <c r="F42" s="134">
        <v>24</v>
      </c>
      <c r="G42" s="134">
        <v>48</v>
      </c>
      <c r="H42" s="134">
        <v>0</v>
      </c>
      <c r="I42" s="134">
        <v>24</v>
      </c>
      <c r="J42" s="134">
        <v>28.265000000000001</v>
      </c>
      <c r="K42" s="134">
        <v>124.265</v>
      </c>
      <c r="L42" s="134">
        <v>28.265000000000001</v>
      </c>
      <c r="M42" s="134">
        <v>0</v>
      </c>
      <c r="N42" s="134">
        <v>72</v>
      </c>
      <c r="O42" s="134">
        <v>0</v>
      </c>
      <c r="P42" s="134">
        <v>24</v>
      </c>
      <c r="Q42" s="134">
        <v>0</v>
      </c>
      <c r="R42"/>
      <c r="S42"/>
      <c r="T42"/>
    </row>
    <row r="43" spans="1:20" x14ac:dyDescent="0.3">
      <c r="A43" s="97"/>
      <c r="B43" s="96" t="s">
        <v>80</v>
      </c>
      <c r="C43" s="106"/>
      <c r="D43" s="134">
        <v>63</v>
      </c>
      <c r="E43" s="134">
        <v>0</v>
      </c>
      <c r="F43" s="134">
        <v>0</v>
      </c>
      <c r="G43" s="134">
        <v>0</v>
      </c>
      <c r="H43" s="134">
        <v>0</v>
      </c>
      <c r="I43" s="134">
        <v>63</v>
      </c>
      <c r="J43" s="134">
        <v>0</v>
      </c>
      <c r="K43" s="134">
        <v>0</v>
      </c>
      <c r="L43" s="134">
        <v>0</v>
      </c>
      <c r="M43" s="134">
        <v>0</v>
      </c>
      <c r="N43" s="134">
        <v>0</v>
      </c>
      <c r="O43" s="134">
        <v>0</v>
      </c>
      <c r="P43" s="134">
        <v>0</v>
      </c>
      <c r="Q43" s="134">
        <v>63</v>
      </c>
      <c r="R43"/>
      <c r="S43"/>
      <c r="T43"/>
    </row>
    <row r="44" spans="1:20" x14ac:dyDescent="0.3">
      <c r="A44" s="97"/>
      <c r="B44" s="96" t="s">
        <v>81</v>
      </c>
      <c r="C44" s="106"/>
      <c r="D44" s="134">
        <v>336.59000000000003</v>
      </c>
      <c r="E44" s="134">
        <v>63.59</v>
      </c>
      <c r="F44" s="134">
        <v>42</v>
      </c>
      <c r="G44" s="134">
        <v>0</v>
      </c>
      <c r="H44" s="134">
        <v>30</v>
      </c>
      <c r="I44" s="134">
        <v>201</v>
      </c>
      <c r="J44" s="134">
        <v>11.175000000000001</v>
      </c>
      <c r="K44" s="134">
        <v>146.76499999999999</v>
      </c>
      <c r="L44" s="134">
        <v>11.175000000000001</v>
      </c>
      <c r="M44" s="134">
        <v>63.59</v>
      </c>
      <c r="N44" s="134">
        <v>42</v>
      </c>
      <c r="O44" s="134">
        <v>0</v>
      </c>
      <c r="P44" s="134">
        <v>30</v>
      </c>
      <c r="Q44" s="134">
        <v>201</v>
      </c>
      <c r="R44"/>
      <c r="S44"/>
      <c r="T44"/>
    </row>
    <row r="45" spans="1:20" x14ac:dyDescent="0.3">
      <c r="A45" s="97"/>
      <c r="B45" s="96" t="s">
        <v>95</v>
      </c>
      <c r="C45" s="106"/>
      <c r="D45" s="134">
        <v>161.31</v>
      </c>
      <c r="E45" s="134">
        <v>53.31</v>
      </c>
      <c r="F45" s="134">
        <v>51</v>
      </c>
      <c r="G45" s="134">
        <v>0</v>
      </c>
      <c r="H45" s="134">
        <v>57</v>
      </c>
      <c r="I45" s="134">
        <v>0</v>
      </c>
      <c r="J45" s="134">
        <v>19.260000000000002</v>
      </c>
      <c r="K45" s="134">
        <v>180.57</v>
      </c>
      <c r="L45" s="134">
        <v>19.260000000000002</v>
      </c>
      <c r="M45" s="134">
        <v>104.31</v>
      </c>
      <c r="N45" s="134">
        <v>0</v>
      </c>
      <c r="O45" s="134">
        <v>57</v>
      </c>
      <c r="P45" s="134">
        <v>0</v>
      </c>
      <c r="Q45" s="134">
        <v>0</v>
      </c>
      <c r="R45"/>
      <c r="S45"/>
      <c r="T45"/>
    </row>
    <row r="46" spans="1:20" x14ac:dyDescent="0.3">
      <c r="A46" s="97"/>
      <c r="B46" s="96" t="s">
        <v>66</v>
      </c>
      <c r="C46" s="106"/>
      <c r="D46" s="134">
        <v>273.76</v>
      </c>
      <c r="E46" s="134">
        <v>0</v>
      </c>
      <c r="F46" s="134">
        <v>157.76</v>
      </c>
      <c r="G46" s="134">
        <v>87</v>
      </c>
      <c r="H46" s="134">
        <v>29</v>
      </c>
      <c r="I46" s="134">
        <v>0</v>
      </c>
      <c r="J46" s="134">
        <v>64.239999999999995</v>
      </c>
      <c r="K46" s="134">
        <v>338</v>
      </c>
      <c r="L46" s="134">
        <v>38.9</v>
      </c>
      <c r="M46" s="134">
        <v>86.66</v>
      </c>
      <c r="N46" s="134">
        <v>183.44</v>
      </c>
      <c r="O46" s="134">
        <v>29</v>
      </c>
      <c r="P46" s="134">
        <v>0</v>
      </c>
      <c r="Q46" s="134">
        <v>0</v>
      </c>
      <c r="R46"/>
      <c r="S46"/>
      <c r="T46"/>
    </row>
    <row r="47" spans="1:20" x14ac:dyDescent="0.3">
      <c r="A47" s="97"/>
      <c r="B47" s="96" t="s">
        <v>131</v>
      </c>
      <c r="C47" s="106"/>
      <c r="D47" s="134">
        <v>0</v>
      </c>
      <c r="E47" s="134">
        <v>0</v>
      </c>
      <c r="F47" s="134">
        <v>0</v>
      </c>
      <c r="G47" s="134">
        <v>0</v>
      </c>
      <c r="H47" s="134">
        <v>0</v>
      </c>
      <c r="I47" s="134">
        <v>0</v>
      </c>
      <c r="J47" s="134">
        <v>2.84</v>
      </c>
      <c r="K47" s="134">
        <v>2.84</v>
      </c>
      <c r="L47" s="134">
        <v>2.84</v>
      </c>
      <c r="M47" s="134">
        <v>0</v>
      </c>
      <c r="N47" s="134">
        <v>0</v>
      </c>
      <c r="O47" s="134">
        <v>0</v>
      </c>
      <c r="P47" s="134">
        <v>0</v>
      </c>
      <c r="Q47" s="134">
        <v>0</v>
      </c>
      <c r="R47"/>
      <c r="S47"/>
      <c r="T47"/>
    </row>
    <row r="48" spans="1:20" x14ac:dyDescent="0.3">
      <c r="A48" s="97"/>
      <c r="B48" s="96" t="s">
        <v>310</v>
      </c>
      <c r="C48" s="106"/>
      <c r="D48" s="134">
        <v>0</v>
      </c>
      <c r="E48" s="134">
        <v>0</v>
      </c>
      <c r="F48" s="134">
        <v>0</v>
      </c>
      <c r="G48" s="134">
        <v>0</v>
      </c>
      <c r="H48" s="134">
        <v>0</v>
      </c>
      <c r="I48" s="134">
        <v>0</v>
      </c>
      <c r="J48" s="134">
        <v>2.855</v>
      </c>
      <c r="K48" s="134">
        <v>2.855</v>
      </c>
      <c r="L48" s="134">
        <v>2.855</v>
      </c>
      <c r="M48" s="134">
        <v>0</v>
      </c>
      <c r="N48" s="134">
        <v>0</v>
      </c>
      <c r="O48" s="134">
        <v>0</v>
      </c>
      <c r="P48" s="134">
        <v>0</v>
      </c>
      <c r="Q48" s="134">
        <v>0</v>
      </c>
      <c r="R48"/>
      <c r="S48"/>
      <c r="T48"/>
    </row>
    <row r="49" spans="1:20" x14ac:dyDescent="0.3">
      <c r="A49" s="97"/>
      <c r="B49" s="96" t="s">
        <v>96</v>
      </c>
      <c r="C49" s="106"/>
      <c r="D49" s="134">
        <v>675.5</v>
      </c>
      <c r="E49" s="134">
        <v>24</v>
      </c>
      <c r="F49" s="134">
        <v>350.32499999999999</v>
      </c>
      <c r="G49" s="134">
        <v>127.44499999999999</v>
      </c>
      <c r="H49" s="134">
        <v>173.73</v>
      </c>
      <c r="I49" s="134">
        <v>0</v>
      </c>
      <c r="J49" s="134">
        <v>126.72</v>
      </c>
      <c r="K49" s="134">
        <v>802.22</v>
      </c>
      <c r="L49" s="134">
        <v>100</v>
      </c>
      <c r="M49" s="134">
        <v>329.42</v>
      </c>
      <c r="N49" s="134">
        <v>199.07</v>
      </c>
      <c r="O49" s="134">
        <v>156</v>
      </c>
      <c r="P49" s="134">
        <v>17.73</v>
      </c>
      <c r="Q49" s="134">
        <v>0</v>
      </c>
      <c r="R49"/>
      <c r="S49"/>
      <c r="T49"/>
    </row>
    <row r="50" spans="1:20" x14ac:dyDescent="0.3">
      <c r="A50" s="97"/>
      <c r="B50" s="96" t="s">
        <v>122</v>
      </c>
      <c r="C50" s="106"/>
      <c r="D50" s="134">
        <v>0</v>
      </c>
      <c r="E50" s="134">
        <v>0</v>
      </c>
      <c r="F50" s="134">
        <v>0</v>
      </c>
      <c r="G50" s="134">
        <v>0</v>
      </c>
      <c r="H50" s="134">
        <v>0</v>
      </c>
      <c r="I50" s="134">
        <v>0</v>
      </c>
      <c r="J50" s="134">
        <v>11.08</v>
      </c>
      <c r="K50" s="134">
        <v>11.08</v>
      </c>
      <c r="L50" s="134">
        <v>11.08</v>
      </c>
      <c r="M50" s="134">
        <v>0</v>
      </c>
      <c r="N50" s="134">
        <v>0</v>
      </c>
      <c r="O50" s="134">
        <v>0</v>
      </c>
      <c r="P50" s="134">
        <v>0</v>
      </c>
      <c r="Q50" s="134">
        <v>0</v>
      </c>
      <c r="R50"/>
      <c r="S50"/>
      <c r="T50"/>
    </row>
    <row r="51" spans="1:20" x14ac:dyDescent="0.3">
      <c r="A51" s="97"/>
      <c r="B51" s="96" t="s">
        <v>132</v>
      </c>
      <c r="C51" s="106"/>
      <c r="D51" s="134">
        <v>29</v>
      </c>
      <c r="E51" s="134">
        <v>29</v>
      </c>
      <c r="F51" s="134">
        <v>0</v>
      </c>
      <c r="G51" s="134">
        <v>0</v>
      </c>
      <c r="H51" s="134">
        <v>0</v>
      </c>
      <c r="I51" s="134">
        <v>0</v>
      </c>
      <c r="J51" s="134">
        <v>0</v>
      </c>
      <c r="K51" s="134">
        <v>29</v>
      </c>
      <c r="L51" s="134">
        <v>0</v>
      </c>
      <c r="M51" s="134">
        <v>29</v>
      </c>
      <c r="N51" s="134">
        <v>0</v>
      </c>
      <c r="O51" s="134">
        <v>0</v>
      </c>
      <c r="P51" s="134">
        <v>0</v>
      </c>
      <c r="Q51" s="134">
        <v>0</v>
      </c>
      <c r="R51"/>
      <c r="S51"/>
      <c r="T51"/>
    </row>
    <row r="52" spans="1:20" x14ac:dyDescent="0.3">
      <c r="A52" s="97"/>
      <c r="B52" s="96" t="s">
        <v>82</v>
      </c>
      <c r="C52" s="106"/>
      <c r="D52" s="134">
        <v>77.13</v>
      </c>
      <c r="E52" s="134">
        <v>77.13</v>
      </c>
      <c r="F52" s="134">
        <v>0</v>
      </c>
      <c r="G52" s="134">
        <v>0</v>
      </c>
      <c r="H52" s="134">
        <v>0</v>
      </c>
      <c r="I52" s="134">
        <v>0</v>
      </c>
      <c r="J52" s="134">
        <v>59.714999999999996</v>
      </c>
      <c r="K52" s="134">
        <v>136.845</v>
      </c>
      <c r="L52" s="134">
        <v>59.714999999999996</v>
      </c>
      <c r="M52" s="134">
        <v>77.13</v>
      </c>
      <c r="N52" s="134">
        <v>0</v>
      </c>
      <c r="O52" s="134">
        <v>0</v>
      </c>
      <c r="P52" s="134">
        <v>0</v>
      </c>
      <c r="Q52" s="134">
        <v>0</v>
      </c>
      <c r="R52"/>
      <c r="S52"/>
      <c r="T52"/>
    </row>
    <row r="53" spans="1:20" x14ac:dyDescent="0.3">
      <c r="A53" s="97"/>
      <c r="B53" s="96" t="s">
        <v>97</v>
      </c>
      <c r="C53" s="106"/>
      <c r="D53" s="134">
        <v>316.56</v>
      </c>
      <c r="E53" s="134">
        <v>30</v>
      </c>
      <c r="F53" s="134">
        <v>141.18</v>
      </c>
      <c r="G53" s="134">
        <v>145.38</v>
      </c>
      <c r="H53" s="134">
        <v>0</v>
      </c>
      <c r="I53" s="134">
        <v>0</v>
      </c>
      <c r="J53" s="134">
        <v>11.445000000000002</v>
      </c>
      <c r="K53" s="134">
        <v>328.00499999999994</v>
      </c>
      <c r="L53" s="134">
        <v>0</v>
      </c>
      <c r="M53" s="134">
        <v>59.475000000000001</v>
      </c>
      <c r="N53" s="134">
        <v>181.32499999999999</v>
      </c>
      <c r="O53" s="134">
        <v>87.204999999999998</v>
      </c>
      <c r="P53" s="134">
        <v>0</v>
      </c>
      <c r="Q53" s="134">
        <v>0</v>
      </c>
      <c r="R53"/>
      <c r="S53"/>
      <c r="T53"/>
    </row>
    <row r="54" spans="1:20" x14ac:dyDescent="0.3">
      <c r="A54" s="97"/>
      <c r="B54" s="96" t="s">
        <v>83</v>
      </c>
      <c r="C54" s="106"/>
      <c r="D54" s="134">
        <v>622</v>
      </c>
      <c r="E54" s="134">
        <v>30</v>
      </c>
      <c r="F54" s="134">
        <v>463</v>
      </c>
      <c r="G54" s="134">
        <v>30</v>
      </c>
      <c r="H54" s="134">
        <v>78</v>
      </c>
      <c r="I54" s="134">
        <v>21</v>
      </c>
      <c r="J54" s="134">
        <v>48.410000000000011</v>
      </c>
      <c r="K54" s="134">
        <v>649.41000000000008</v>
      </c>
      <c r="L54" s="134">
        <v>48.410000000000011</v>
      </c>
      <c r="M54" s="134">
        <v>358</v>
      </c>
      <c r="N54" s="134">
        <v>165</v>
      </c>
      <c r="O54" s="134">
        <v>78</v>
      </c>
      <c r="P54" s="134">
        <v>0</v>
      </c>
      <c r="Q54" s="134">
        <v>21</v>
      </c>
      <c r="R54"/>
      <c r="S54"/>
      <c r="T54"/>
    </row>
    <row r="55" spans="1:20" x14ac:dyDescent="0.3">
      <c r="A55" s="97"/>
      <c r="B55" s="96" t="s">
        <v>98</v>
      </c>
      <c r="C55" s="106"/>
      <c r="D55" s="134">
        <v>433</v>
      </c>
      <c r="E55" s="134">
        <v>58</v>
      </c>
      <c r="F55" s="134">
        <v>110</v>
      </c>
      <c r="G55" s="134">
        <v>29</v>
      </c>
      <c r="H55" s="134">
        <v>176</v>
      </c>
      <c r="I55" s="134">
        <v>60</v>
      </c>
      <c r="J55" s="134">
        <v>15.334999999999999</v>
      </c>
      <c r="K55" s="134">
        <v>388.33500000000004</v>
      </c>
      <c r="L55" s="134">
        <v>15.334999999999999</v>
      </c>
      <c r="M55" s="134">
        <v>108</v>
      </c>
      <c r="N55" s="134">
        <v>89</v>
      </c>
      <c r="O55" s="134">
        <v>147</v>
      </c>
      <c r="P55" s="134">
        <v>29</v>
      </c>
      <c r="Q55" s="134">
        <v>60</v>
      </c>
      <c r="R55"/>
      <c r="S55"/>
      <c r="T55"/>
    </row>
    <row r="56" spans="1:20" x14ac:dyDescent="0.3">
      <c r="A56" s="97"/>
      <c r="B56" s="96" t="s">
        <v>99</v>
      </c>
      <c r="C56" s="106"/>
      <c r="D56" s="134">
        <v>57.935000000000002</v>
      </c>
      <c r="E56" s="134">
        <v>0</v>
      </c>
      <c r="F56" s="134">
        <v>21</v>
      </c>
      <c r="G56" s="134">
        <v>0</v>
      </c>
      <c r="H56" s="134">
        <v>36.935000000000002</v>
      </c>
      <c r="I56" s="134">
        <v>0</v>
      </c>
      <c r="J56" s="134">
        <v>20.855</v>
      </c>
      <c r="K56" s="134">
        <v>78.790000000000006</v>
      </c>
      <c r="L56" s="134">
        <v>20.855</v>
      </c>
      <c r="M56" s="134">
        <v>21</v>
      </c>
      <c r="N56" s="134">
        <v>0</v>
      </c>
      <c r="O56" s="134">
        <v>36.935000000000002</v>
      </c>
      <c r="P56" s="134">
        <v>0</v>
      </c>
      <c r="Q56" s="134">
        <v>0</v>
      </c>
      <c r="R56"/>
      <c r="S56"/>
      <c r="T56"/>
    </row>
    <row r="57" spans="1:20" x14ac:dyDescent="0.3">
      <c r="A57" s="97"/>
      <c r="B57" s="96" t="s">
        <v>84</v>
      </c>
      <c r="C57" s="106"/>
      <c r="D57" s="134">
        <v>87</v>
      </c>
      <c r="E57" s="134">
        <v>0</v>
      </c>
      <c r="F57" s="134">
        <v>0</v>
      </c>
      <c r="G57" s="134">
        <v>0</v>
      </c>
      <c r="H57" s="134">
        <v>87</v>
      </c>
      <c r="I57" s="134">
        <v>0</v>
      </c>
      <c r="J57" s="134">
        <v>77.824999999999989</v>
      </c>
      <c r="K57" s="134">
        <v>164.82499999999999</v>
      </c>
      <c r="L57" s="134">
        <v>77.824999999999989</v>
      </c>
      <c r="M57" s="134">
        <v>0</v>
      </c>
      <c r="N57" s="134">
        <v>0</v>
      </c>
      <c r="O57" s="134">
        <v>87</v>
      </c>
      <c r="P57" s="134">
        <v>0</v>
      </c>
      <c r="Q57" s="134">
        <v>0</v>
      </c>
      <c r="R57"/>
      <c r="S57"/>
      <c r="T57"/>
    </row>
    <row r="58" spans="1:20" x14ac:dyDescent="0.3">
      <c r="A58" s="97"/>
      <c r="B58" s="96" t="s">
        <v>64</v>
      </c>
      <c r="C58" s="106">
        <v>3500</v>
      </c>
      <c r="D58" s="134">
        <v>2875.145</v>
      </c>
      <c r="E58" s="134">
        <v>0</v>
      </c>
      <c r="F58" s="134">
        <v>256.95</v>
      </c>
      <c r="G58" s="134">
        <v>1297.2049999999997</v>
      </c>
      <c r="H58" s="134">
        <v>1181</v>
      </c>
      <c r="I58" s="134">
        <v>139.99</v>
      </c>
      <c r="J58" s="134">
        <v>270.77999999999997</v>
      </c>
      <c r="K58" s="134">
        <v>3005.9349999999999</v>
      </c>
      <c r="L58" s="134">
        <v>75.88</v>
      </c>
      <c r="M58" s="134">
        <v>26.844999999999999</v>
      </c>
      <c r="N58" s="134">
        <v>1306.6199999999999</v>
      </c>
      <c r="O58" s="134">
        <v>1002.5900000000001</v>
      </c>
      <c r="P58" s="134">
        <v>594</v>
      </c>
      <c r="Q58" s="134">
        <v>139.99</v>
      </c>
      <c r="R58"/>
      <c r="S58"/>
      <c r="T58"/>
    </row>
    <row r="59" spans="1:20" x14ac:dyDescent="0.3">
      <c r="A59" s="97"/>
      <c r="B59" s="96" t="s">
        <v>67</v>
      </c>
      <c r="C59" s="106"/>
      <c r="D59" s="134">
        <v>226</v>
      </c>
      <c r="E59" s="134">
        <v>0</v>
      </c>
      <c r="F59" s="134">
        <v>0</v>
      </c>
      <c r="G59" s="134">
        <v>168</v>
      </c>
      <c r="H59" s="134">
        <v>0</v>
      </c>
      <c r="I59" s="134">
        <v>58</v>
      </c>
      <c r="J59" s="134">
        <v>105.66499999999999</v>
      </c>
      <c r="K59" s="134">
        <v>273.66499999999996</v>
      </c>
      <c r="L59" s="134">
        <v>105.66499999999999</v>
      </c>
      <c r="M59" s="134">
        <v>0</v>
      </c>
      <c r="N59" s="134">
        <v>0</v>
      </c>
      <c r="O59" s="134">
        <v>168</v>
      </c>
      <c r="P59" s="134">
        <v>0</v>
      </c>
      <c r="Q59" s="134">
        <v>58</v>
      </c>
      <c r="R59"/>
      <c r="S59"/>
      <c r="T59"/>
    </row>
    <row r="60" spans="1:20" x14ac:dyDescent="0.3">
      <c r="A60" s="97"/>
      <c r="B60" s="96" t="s">
        <v>85</v>
      </c>
      <c r="C60" s="106">
        <v>1000</v>
      </c>
      <c r="D60" s="134">
        <v>361.94499999999999</v>
      </c>
      <c r="E60" s="134">
        <v>0</v>
      </c>
      <c r="F60" s="134">
        <v>96.13</v>
      </c>
      <c r="G60" s="134">
        <v>25.574999999999999</v>
      </c>
      <c r="H60" s="134">
        <v>0</v>
      </c>
      <c r="I60" s="134">
        <v>240.24</v>
      </c>
      <c r="J60" s="134">
        <v>5.31</v>
      </c>
      <c r="K60" s="134">
        <v>367.255</v>
      </c>
      <c r="L60" s="134">
        <v>5.31</v>
      </c>
      <c r="M60" s="134">
        <v>38.130000000000003</v>
      </c>
      <c r="N60" s="134">
        <v>83.575000000000003</v>
      </c>
      <c r="O60" s="134">
        <v>0</v>
      </c>
      <c r="P60" s="134">
        <v>240.24</v>
      </c>
      <c r="Q60" s="134">
        <v>0</v>
      </c>
      <c r="R60"/>
      <c r="S60"/>
      <c r="T60"/>
    </row>
    <row r="61" spans="1:20" x14ac:dyDescent="0.3">
      <c r="A61" s="97"/>
      <c r="B61" s="96" t="s">
        <v>86</v>
      </c>
      <c r="C61" s="106">
        <v>3700</v>
      </c>
      <c r="D61" s="134">
        <v>1582.6399999999999</v>
      </c>
      <c r="E61" s="134">
        <v>221.74</v>
      </c>
      <c r="F61" s="134">
        <v>548.90000000000009</v>
      </c>
      <c r="G61" s="134">
        <v>145</v>
      </c>
      <c r="H61" s="134">
        <v>0</v>
      </c>
      <c r="I61" s="134">
        <v>667</v>
      </c>
      <c r="J61" s="134">
        <v>112.5</v>
      </c>
      <c r="K61" s="134">
        <v>1289.1399999999999</v>
      </c>
      <c r="L61" s="134">
        <v>75.709999999999994</v>
      </c>
      <c r="M61" s="134">
        <v>604.43000000000006</v>
      </c>
      <c r="N61" s="134">
        <v>348</v>
      </c>
      <c r="O61" s="134">
        <v>0</v>
      </c>
      <c r="P61" s="134">
        <v>261</v>
      </c>
      <c r="Q61" s="134">
        <v>406</v>
      </c>
      <c r="R61"/>
      <c r="S61"/>
      <c r="T61"/>
    </row>
    <row r="62" spans="1:20" x14ac:dyDescent="0.3">
      <c r="A62" s="97"/>
      <c r="B62" s="96" t="s">
        <v>102</v>
      </c>
      <c r="C62" s="106"/>
      <c r="D62" s="134">
        <v>0</v>
      </c>
      <c r="E62" s="134">
        <v>0</v>
      </c>
      <c r="F62" s="134">
        <v>0</v>
      </c>
      <c r="G62" s="134">
        <v>0</v>
      </c>
      <c r="H62" s="134">
        <v>0</v>
      </c>
      <c r="I62" s="134">
        <v>0</v>
      </c>
      <c r="J62" s="134">
        <v>78.600000000000009</v>
      </c>
      <c r="K62" s="134">
        <v>78.600000000000009</v>
      </c>
      <c r="L62" s="134">
        <v>78.600000000000009</v>
      </c>
      <c r="M62" s="134">
        <v>0</v>
      </c>
      <c r="N62" s="134">
        <v>0</v>
      </c>
      <c r="O62" s="134">
        <v>0</v>
      </c>
      <c r="P62" s="134">
        <v>0</v>
      </c>
      <c r="Q62" s="134">
        <v>0</v>
      </c>
      <c r="R62"/>
      <c r="S62"/>
      <c r="T62"/>
    </row>
    <row r="63" spans="1:20" x14ac:dyDescent="0.3">
      <c r="A63" s="97"/>
      <c r="B63" s="96" t="s">
        <v>100</v>
      </c>
      <c r="C63" s="106"/>
      <c r="D63" s="134">
        <v>0</v>
      </c>
      <c r="E63" s="134">
        <v>0</v>
      </c>
      <c r="F63" s="134">
        <v>0</v>
      </c>
      <c r="G63" s="134">
        <v>0</v>
      </c>
      <c r="H63" s="134">
        <v>0</v>
      </c>
      <c r="I63" s="134">
        <v>0</v>
      </c>
      <c r="J63" s="134">
        <v>59.820000000000007</v>
      </c>
      <c r="K63" s="134">
        <v>59.820000000000007</v>
      </c>
      <c r="L63" s="134">
        <v>59.820000000000007</v>
      </c>
      <c r="M63" s="134">
        <v>0</v>
      </c>
      <c r="N63" s="134">
        <v>0</v>
      </c>
      <c r="O63" s="134">
        <v>0</v>
      </c>
      <c r="P63" s="134">
        <v>0</v>
      </c>
      <c r="Q63" s="134">
        <v>0</v>
      </c>
      <c r="R63"/>
      <c r="S63"/>
      <c r="T63"/>
    </row>
    <row r="64" spans="1:20" x14ac:dyDescent="0.3">
      <c r="A64" s="97"/>
      <c r="B64" s="96" t="s">
        <v>425</v>
      </c>
      <c r="C64" s="106"/>
      <c r="D64" s="134">
        <v>29</v>
      </c>
      <c r="E64" s="134">
        <v>0</v>
      </c>
      <c r="F64" s="134">
        <v>29</v>
      </c>
      <c r="G64" s="134">
        <v>0</v>
      </c>
      <c r="H64" s="134">
        <v>0</v>
      </c>
      <c r="I64" s="134">
        <v>0</v>
      </c>
      <c r="J64" s="134">
        <v>0</v>
      </c>
      <c r="K64" s="134">
        <v>29</v>
      </c>
      <c r="L64" s="134">
        <v>0</v>
      </c>
      <c r="M64" s="134">
        <v>0</v>
      </c>
      <c r="N64" s="134">
        <v>29</v>
      </c>
      <c r="O64" s="134">
        <v>0</v>
      </c>
      <c r="P64" s="134">
        <v>0</v>
      </c>
      <c r="Q64" s="134">
        <v>0</v>
      </c>
      <c r="R64"/>
      <c r="S64"/>
      <c r="T64"/>
    </row>
    <row r="65" spans="1:20" x14ac:dyDescent="0.3">
      <c r="A65" s="97"/>
      <c r="B65" s="96" t="s">
        <v>203</v>
      </c>
      <c r="C65" s="106"/>
      <c r="D65" s="134">
        <v>0</v>
      </c>
      <c r="E65" s="134">
        <v>0</v>
      </c>
      <c r="F65" s="134">
        <v>0</v>
      </c>
      <c r="G65" s="134">
        <v>0</v>
      </c>
      <c r="H65" s="134">
        <v>0</v>
      </c>
      <c r="I65" s="134">
        <v>0</v>
      </c>
      <c r="J65" s="134">
        <v>24.77</v>
      </c>
      <c r="K65" s="134">
        <v>24.77</v>
      </c>
      <c r="L65" s="134">
        <v>24.77</v>
      </c>
      <c r="M65" s="134">
        <v>0</v>
      </c>
      <c r="N65" s="134">
        <v>0</v>
      </c>
      <c r="O65" s="134">
        <v>0</v>
      </c>
      <c r="P65" s="134">
        <v>0</v>
      </c>
      <c r="Q65" s="134">
        <v>0</v>
      </c>
      <c r="R65"/>
      <c r="S65"/>
      <c r="T65"/>
    </row>
    <row r="66" spans="1:20" x14ac:dyDescent="0.3">
      <c r="A66" s="97"/>
      <c r="B66" s="96" t="s">
        <v>87</v>
      </c>
      <c r="C66" s="106"/>
      <c r="D66" s="134">
        <v>0</v>
      </c>
      <c r="E66" s="134">
        <v>0</v>
      </c>
      <c r="F66" s="134">
        <v>0</v>
      </c>
      <c r="G66" s="134">
        <v>0</v>
      </c>
      <c r="H66" s="134">
        <v>0</v>
      </c>
      <c r="I66" s="134">
        <v>0</v>
      </c>
      <c r="J66" s="134">
        <v>24.17</v>
      </c>
      <c r="K66" s="134">
        <v>24.17</v>
      </c>
      <c r="L66" s="134">
        <v>24.17</v>
      </c>
      <c r="M66" s="134">
        <v>0</v>
      </c>
      <c r="N66" s="134">
        <v>0</v>
      </c>
      <c r="O66" s="134">
        <v>0</v>
      </c>
      <c r="P66" s="134">
        <v>0</v>
      </c>
      <c r="Q66" s="134">
        <v>0</v>
      </c>
      <c r="R66"/>
      <c r="S66"/>
      <c r="T66"/>
    </row>
    <row r="67" spans="1:20" x14ac:dyDescent="0.3">
      <c r="A67" s="97"/>
      <c r="B67" s="96" t="s">
        <v>88</v>
      </c>
      <c r="C67" s="106"/>
      <c r="D67" s="134">
        <v>421.53</v>
      </c>
      <c r="E67" s="134">
        <v>89</v>
      </c>
      <c r="F67" s="134">
        <v>116</v>
      </c>
      <c r="G67" s="134">
        <v>58</v>
      </c>
      <c r="H67" s="134">
        <v>158.53</v>
      </c>
      <c r="I67" s="134">
        <v>0</v>
      </c>
      <c r="J67" s="134">
        <v>49.784999999999997</v>
      </c>
      <c r="K67" s="134">
        <v>471.31499999999994</v>
      </c>
      <c r="L67" s="134">
        <v>49.784999999999997</v>
      </c>
      <c r="M67" s="134">
        <v>205</v>
      </c>
      <c r="N67" s="134">
        <v>58</v>
      </c>
      <c r="O67" s="134">
        <v>158.53</v>
      </c>
      <c r="P67" s="134">
        <v>0</v>
      </c>
      <c r="Q67" s="134">
        <v>0</v>
      </c>
      <c r="R67"/>
      <c r="S67"/>
      <c r="T67"/>
    </row>
    <row r="68" spans="1:20" x14ac:dyDescent="0.3">
      <c r="A68" s="97"/>
      <c r="B68" s="96" t="s">
        <v>1851</v>
      </c>
      <c r="C68" s="106">
        <v>500</v>
      </c>
      <c r="D68" s="134">
        <v>300</v>
      </c>
      <c r="E68" s="134">
        <v>0</v>
      </c>
      <c r="F68" s="134">
        <v>0</v>
      </c>
      <c r="G68" s="134">
        <v>0</v>
      </c>
      <c r="H68" s="134">
        <v>0</v>
      </c>
      <c r="I68" s="134">
        <v>300</v>
      </c>
      <c r="J68" s="134">
        <v>0</v>
      </c>
      <c r="K68" s="134">
        <v>0</v>
      </c>
      <c r="L68" s="134">
        <v>0</v>
      </c>
      <c r="M68" s="134">
        <v>0</v>
      </c>
      <c r="N68" s="134">
        <v>0</v>
      </c>
      <c r="O68" s="134">
        <v>0</v>
      </c>
      <c r="P68" s="134">
        <v>0</v>
      </c>
      <c r="Q68" s="134">
        <v>300</v>
      </c>
      <c r="R68"/>
      <c r="S68"/>
      <c r="T68"/>
    </row>
    <row r="69" spans="1:20" x14ac:dyDescent="0.3">
      <c r="A69" s="98" t="s">
        <v>34</v>
      </c>
      <c r="B69" s="98"/>
      <c r="C69" s="107">
        <v>20000</v>
      </c>
      <c r="D69" s="142">
        <v>19898.827999999998</v>
      </c>
      <c r="E69" s="143">
        <v>1821.8249999999996</v>
      </c>
      <c r="F69" s="143">
        <v>4193.0589999999993</v>
      </c>
      <c r="G69" s="143">
        <v>5251.6189999999997</v>
      </c>
      <c r="H69" s="143">
        <v>4669.0950000000003</v>
      </c>
      <c r="I69" s="143">
        <v>3963.2299999999996</v>
      </c>
      <c r="J69" s="145">
        <v>2575.62</v>
      </c>
      <c r="K69" s="142">
        <v>20472.457999999991</v>
      </c>
      <c r="L69" s="140">
        <v>1765.3999999999996</v>
      </c>
      <c r="M69" s="140">
        <v>4569.8249999999998</v>
      </c>
      <c r="N69" s="140">
        <v>5370.5189999999993</v>
      </c>
      <c r="O69" s="140">
        <v>4850.7439999999997</v>
      </c>
      <c r="P69" s="140">
        <v>3915.9700000000003</v>
      </c>
      <c r="Q69" s="145">
        <v>2001.99</v>
      </c>
      <c r="R69"/>
      <c r="S69"/>
      <c r="T69"/>
    </row>
    <row r="70" spans="1:20" x14ac:dyDescent="0.3">
      <c r="A70" s="97" t="s">
        <v>35</v>
      </c>
      <c r="B70" s="96" t="s">
        <v>101</v>
      </c>
      <c r="C70" s="106">
        <v>400</v>
      </c>
      <c r="D70" s="134">
        <v>406</v>
      </c>
      <c r="E70" s="134">
        <v>0</v>
      </c>
      <c r="F70" s="134">
        <v>0</v>
      </c>
      <c r="G70" s="134">
        <v>406</v>
      </c>
      <c r="H70" s="134">
        <v>0</v>
      </c>
      <c r="I70" s="134">
        <v>0</v>
      </c>
      <c r="J70" s="134">
        <v>0</v>
      </c>
      <c r="K70" s="134">
        <v>406</v>
      </c>
      <c r="L70" s="134">
        <v>0</v>
      </c>
      <c r="M70" s="134">
        <v>0</v>
      </c>
      <c r="N70" s="134">
        <v>0</v>
      </c>
      <c r="O70" s="134">
        <v>116</v>
      </c>
      <c r="P70" s="134">
        <v>290</v>
      </c>
      <c r="Q70" s="134">
        <v>0</v>
      </c>
      <c r="R70"/>
      <c r="S70"/>
      <c r="T70"/>
    </row>
    <row r="71" spans="1:20" x14ac:dyDescent="0.3">
      <c r="A71" s="97"/>
      <c r="B71" s="96" t="s">
        <v>875</v>
      </c>
      <c r="C71" s="106">
        <v>1000</v>
      </c>
      <c r="D71" s="134">
        <v>420</v>
      </c>
      <c r="E71" s="134">
        <v>0</v>
      </c>
      <c r="F71" s="134">
        <v>420</v>
      </c>
      <c r="G71" s="134">
        <v>0</v>
      </c>
      <c r="H71" s="134">
        <v>0</v>
      </c>
      <c r="I71" s="134">
        <v>0</v>
      </c>
      <c r="J71" s="134">
        <v>0</v>
      </c>
      <c r="K71" s="134">
        <v>420</v>
      </c>
      <c r="L71" s="134">
        <v>0</v>
      </c>
      <c r="M71" s="134">
        <v>56</v>
      </c>
      <c r="N71" s="134">
        <v>364</v>
      </c>
      <c r="O71" s="134">
        <v>0</v>
      </c>
      <c r="P71" s="134">
        <v>0</v>
      </c>
      <c r="Q71" s="134">
        <v>0</v>
      </c>
      <c r="R71"/>
      <c r="S71"/>
      <c r="T71"/>
    </row>
    <row r="72" spans="1:20" x14ac:dyDescent="0.3">
      <c r="A72" s="97"/>
      <c r="B72" s="96" t="s">
        <v>104</v>
      </c>
      <c r="C72" s="106">
        <v>500</v>
      </c>
      <c r="D72" s="134">
        <v>271.88</v>
      </c>
      <c r="E72" s="134">
        <v>0</v>
      </c>
      <c r="F72" s="134">
        <v>128.73000000000002</v>
      </c>
      <c r="G72" s="134">
        <v>0</v>
      </c>
      <c r="H72" s="134">
        <v>0</v>
      </c>
      <c r="I72" s="134">
        <v>143.15</v>
      </c>
      <c r="J72" s="134">
        <v>195</v>
      </c>
      <c r="K72" s="134">
        <v>323.73</v>
      </c>
      <c r="L72" s="134">
        <v>13.78</v>
      </c>
      <c r="M72" s="134">
        <v>0</v>
      </c>
      <c r="N72" s="134">
        <v>309.95</v>
      </c>
      <c r="O72" s="134">
        <v>0</v>
      </c>
      <c r="P72" s="134">
        <v>0</v>
      </c>
      <c r="Q72" s="134">
        <v>143.15</v>
      </c>
      <c r="R72"/>
      <c r="S72"/>
      <c r="T72"/>
    </row>
    <row r="73" spans="1:20" x14ac:dyDescent="0.3">
      <c r="A73" s="97"/>
      <c r="B73" s="96" t="s">
        <v>291</v>
      </c>
      <c r="C73" s="106"/>
      <c r="D73" s="134">
        <v>285.89</v>
      </c>
      <c r="E73" s="134">
        <v>0</v>
      </c>
      <c r="F73" s="134">
        <v>0</v>
      </c>
      <c r="G73" s="134">
        <v>285.89</v>
      </c>
      <c r="H73" s="134">
        <v>0</v>
      </c>
      <c r="I73" s="134">
        <v>0</v>
      </c>
      <c r="J73" s="134">
        <v>14.11</v>
      </c>
      <c r="K73" s="134">
        <v>300</v>
      </c>
      <c r="L73" s="134">
        <v>0</v>
      </c>
      <c r="M73" s="134">
        <v>0</v>
      </c>
      <c r="N73" s="134">
        <v>0</v>
      </c>
      <c r="O73" s="134">
        <v>300</v>
      </c>
      <c r="P73" s="134">
        <v>0</v>
      </c>
      <c r="Q73" s="134">
        <v>0</v>
      </c>
      <c r="R73"/>
      <c r="S73"/>
      <c r="T73"/>
    </row>
    <row r="74" spans="1:20" x14ac:dyDescent="0.3">
      <c r="A74" s="97"/>
      <c r="B74" s="96" t="s">
        <v>103</v>
      </c>
      <c r="C74" s="106"/>
      <c r="D74" s="134">
        <v>435.47500000000002</v>
      </c>
      <c r="E74" s="134">
        <v>0</v>
      </c>
      <c r="F74" s="134">
        <v>19.66</v>
      </c>
      <c r="G74" s="134">
        <v>0</v>
      </c>
      <c r="H74" s="134">
        <v>415.815</v>
      </c>
      <c r="I74" s="134">
        <v>0</v>
      </c>
      <c r="J74" s="134">
        <v>128.625</v>
      </c>
      <c r="K74" s="134">
        <v>564.09999999999991</v>
      </c>
      <c r="L74" s="134">
        <v>20.52</v>
      </c>
      <c r="M74" s="134">
        <v>19.66</v>
      </c>
      <c r="N74" s="134">
        <v>0</v>
      </c>
      <c r="O74" s="134">
        <v>0</v>
      </c>
      <c r="P74" s="134">
        <v>523.91999999999996</v>
      </c>
      <c r="Q74" s="134">
        <v>0</v>
      </c>
      <c r="R74"/>
      <c r="S74"/>
      <c r="T74"/>
    </row>
    <row r="75" spans="1:20" x14ac:dyDescent="0.3">
      <c r="A75" s="98" t="s">
        <v>37</v>
      </c>
      <c r="B75" s="98"/>
      <c r="C75" s="107">
        <v>1900</v>
      </c>
      <c r="D75" s="142">
        <v>1819.2449999999999</v>
      </c>
      <c r="E75" s="143">
        <v>0</v>
      </c>
      <c r="F75" s="143">
        <v>568.39</v>
      </c>
      <c r="G75" s="143">
        <v>691.89</v>
      </c>
      <c r="H75" s="143">
        <v>415.815</v>
      </c>
      <c r="I75" s="143">
        <v>143.15</v>
      </c>
      <c r="J75" s="145">
        <v>337.73500000000001</v>
      </c>
      <c r="K75" s="142">
        <v>2013.83</v>
      </c>
      <c r="L75" s="140">
        <v>34.299999999999997</v>
      </c>
      <c r="M75" s="140">
        <v>75.66</v>
      </c>
      <c r="N75" s="140">
        <v>673.95</v>
      </c>
      <c r="O75" s="140">
        <v>416</v>
      </c>
      <c r="P75" s="140">
        <v>813.92</v>
      </c>
      <c r="Q75" s="145">
        <v>143.15</v>
      </c>
      <c r="R75"/>
      <c r="S75"/>
      <c r="T75"/>
    </row>
    <row r="76" spans="1:20" x14ac:dyDescent="0.3">
      <c r="A76" s="97" t="s">
        <v>38</v>
      </c>
      <c r="B76" s="96" t="s">
        <v>316</v>
      </c>
      <c r="C76" s="106"/>
      <c r="D76" s="134">
        <v>0</v>
      </c>
      <c r="E76" s="134">
        <v>0</v>
      </c>
      <c r="F76" s="134">
        <v>0</v>
      </c>
      <c r="G76" s="134">
        <v>0</v>
      </c>
      <c r="H76" s="134">
        <v>0</v>
      </c>
      <c r="I76" s="134">
        <v>0</v>
      </c>
      <c r="J76" s="134">
        <v>12.63</v>
      </c>
      <c r="K76" s="134">
        <v>12.63</v>
      </c>
      <c r="L76" s="134">
        <v>12.63</v>
      </c>
      <c r="M76" s="134">
        <v>0</v>
      </c>
      <c r="N76" s="134">
        <v>0</v>
      </c>
      <c r="O76" s="134">
        <v>0</v>
      </c>
      <c r="P76" s="134">
        <v>0</v>
      </c>
      <c r="Q76" s="134">
        <v>0</v>
      </c>
      <c r="R76"/>
      <c r="S76"/>
      <c r="T76"/>
    </row>
    <row r="77" spans="1:20" x14ac:dyDescent="0.3">
      <c r="A77" s="97"/>
      <c r="B77" s="96" t="s">
        <v>740</v>
      </c>
      <c r="C77" s="106">
        <v>1400</v>
      </c>
      <c r="D77" s="134">
        <v>1410.2350000000001</v>
      </c>
      <c r="E77" s="134">
        <v>310.14</v>
      </c>
      <c r="F77" s="134">
        <v>553.35500000000002</v>
      </c>
      <c r="G77" s="134">
        <v>0</v>
      </c>
      <c r="H77" s="134">
        <v>252</v>
      </c>
      <c r="I77" s="134">
        <v>294.74</v>
      </c>
      <c r="J77" s="134">
        <v>479.48500000000001</v>
      </c>
      <c r="K77" s="134">
        <v>1637.7199999999998</v>
      </c>
      <c r="L77" s="134">
        <v>63.105000000000004</v>
      </c>
      <c r="M77" s="134">
        <v>638.96999999999991</v>
      </c>
      <c r="N77" s="134">
        <v>617.93499999999995</v>
      </c>
      <c r="O77" s="134">
        <v>0</v>
      </c>
      <c r="P77" s="134">
        <v>317.71000000000004</v>
      </c>
      <c r="Q77" s="134">
        <v>252</v>
      </c>
      <c r="R77"/>
      <c r="S77"/>
      <c r="T77"/>
    </row>
    <row r="78" spans="1:20" x14ac:dyDescent="0.3">
      <c r="A78" s="97"/>
      <c r="B78" s="96" t="s">
        <v>112</v>
      </c>
      <c r="C78" s="106"/>
      <c r="D78" s="134">
        <v>0</v>
      </c>
      <c r="E78" s="134">
        <v>0</v>
      </c>
      <c r="F78" s="134">
        <v>0</v>
      </c>
      <c r="G78" s="134">
        <v>0</v>
      </c>
      <c r="H78" s="134">
        <v>0</v>
      </c>
      <c r="I78" s="134">
        <v>0</v>
      </c>
      <c r="J78" s="134">
        <v>21.405000000000001</v>
      </c>
      <c r="K78" s="134">
        <v>21.405000000000001</v>
      </c>
      <c r="L78" s="134">
        <v>21.405000000000001</v>
      </c>
      <c r="M78" s="134">
        <v>0</v>
      </c>
      <c r="N78" s="134">
        <v>0</v>
      </c>
      <c r="O78" s="134">
        <v>0</v>
      </c>
      <c r="P78" s="134">
        <v>0</v>
      </c>
      <c r="Q78" s="134">
        <v>0</v>
      </c>
      <c r="R78"/>
      <c r="S78"/>
      <c r="T78"/>
    </row>
    <row r="79" spans="1:20" x14ac:dyDescent="0.3">
      <c r="A79" s="97"/>
      <c r="B79" s="96" t="s">
        <v>107</v>
      </c>
      <c r="C79" s="106"/>
      <c r="D79" s="134">
        <v>177.61500000000001</v>
      </c>
      <c r="E79" s="134">
        <v>0</v>
      </c>
      <c r="F79" s="134">
        <v>0</v>
      </c>
      <c r="G79" s="134">
        <v>177.61500000000001</v>
      </c>
      <c r="H79" s="134">
        <v>0</v>
      </c>
      <c r="I79" s="134">
        <v>0</v>
      </c>
      <c r="J79" s="134">
        <v>163.27500000000001</v>
      </c>
      <c r="K79" s="134">
        <v>340.89</v>
      </c>
      <c r="L79" s="134">
        <v>152.54500000000002</v>
      </c>
      <c r="M79" s="134">
        <v>0</v>
      </c>
      <c r="N79" s="134">
        <v>0</v>
      </c>
      <c r="O79" s="134">
        <v>188.345</v>
      </c>
      <c r="P79" s="134">
        <v>0</v>
      </c>
      <c r="Q79" s="134">
        <v>0</v>
      </c>
      <c r="R79"/>
      <c r="S79"/>
      <c r="T79"/>
    </row>
    <row r="80" spans="1:20" x14ac:dyDescent="0.3">
      <c r="A80" s="97"/>
      <c r="B80" s="96" t="s">
        <v>817</v>
      </c>
      <c r="C80" s="106"/>
      <c r="D80" s="134">
        <v>306.59000000000003</v>
      </c>
      <c r="E80" s="134">
        <v>0</v>
      </c>
      <c r="F80" s="134">
        <v>0</v>
      </c>
      <c r="G80" s="134">
        <v>134.30000000000001</v>
      </c>
      <c r="H80" s="134">
        <v>0</v>
      </c>
      <c r="I80" s="134">
        <v>172.29</v>
      </c>
      <c r="J80" s="134">
        <v>43.620000000000005</v>
      </c>
      <c r="K80" s="134">
        <v>350.21000000000004</v>
      </c>
      <c r="L80" s="134">
        <v>16.02</v>
      </c>
      <c r="M80" s="134">
        <v>0</v>
      </c>
      <c r="N80" s="134">
        <v>0</v>
      </c>
      <c r="O80" s="134">
        <v>161.9</v>
      </c>
      <c r="P80" s="134">
        <v>172.29</v>
      </c>
      <c r="Q80" s="134">
        <v>0</v>
      </c>
      <c r="R80"/>
      <c r="S80"/>
      <c r="T80"/>
    </row>
    <row r="81" spans="1:20" x14ac:dyDescent="0.3">
      <c r="A81" s="97"/>
      <c r="B81" s="96" t="s">
        <v>1334</v>
      </c>
      <c r="C81" s="106"/>
      <c r="D81" s="134">
        <v>616</v>
      </c>
      <c r="E81" s="134">
        <v>0</v>
      </c>
      <c r="F81" s="134">
        <v>0</v>
      </c>
      <c r="G81" s="134">
        <v>616</v>
      </c>
      <c r="H81" s="134">
        <v>0</v>
      </c>
      <c r="I81" s="134">
        <v>0</v>
      </c>
      <c r="J81" s="134">
        <v>0</v>
      </c>
      <c r="K81" s="134">
        <v>616</v>
      </c>
      <c r="L81" s="134">
        <v>0</v>
      </c>
      <c r="M81" s="134">
        <v>0</v>
      </c>
      <c r="N81" s="134">
        <v>0</v>
      </c>
      <c r="O81" s="134">
        <v>616</v>
      </c>
      <c r="P81" s="134">
        <v>0</v>
      </c>
      <c r="Q81" s="134">
        <v>0</v>
      </c>
      <c r="R81"/>
      <c r="S81"/>
      <c r="T81"/>
    </row>
    <row r="82" spans="1:20" x14ac:dyDescent="0.3">
      <c r="A82" s="97"/>
      <c r="B82" s="96" t="s">
        <v>108</v>
      </c>
      <c r="C82" s="106"/>
      <c r="D82" s="134">
        <v>314.07</v>
      </c>
      <c r="E82" s="134">
        <v>0</v>
      </c>
      <c r="F82" s="134">
        <v>0</v>
      </c>
      <c r="G82" s="134">
        <v>32.909999999999997</v>
      </c>
      <c r="H82" s="134">
        <v>0</v>
      </c>
      <c r="I82" s="134">
        <v>281.16000000000003</v>
      </c>
      <c r="J82" s="134">
        <v>0</v>
      </c>
      <c r="K82" s="134">
        <v>314.07</v>
      </c>
      <c r="L82" s="134">
        <v>0</v>
      </c>
      <c r="M82" s="134">
        <v>0</v>
      </c>
      <c r="N82" s="134">
        <v>32.909999999999997</v>
      </c>
      <c r="O82" s="134">
        <v>0</v>
      </c>
      <c r="P82" s="134">
        <v>281.16000000000003</v>
      </c>
      <c r="Q82" s="134">
        <v>0</v>
      </c>
      <c r="R82"/>
      <c r="S82"/>
      <c r="T82"/>
    </row>
    <row r="83" spans="1:20" x14ac:dyDescent="0.3">
      <c r="A83" s="97"/>
      <c r="B83" s="96" t="s">
        <v>109</v>
      </c>
      <c r="C83" s="106"/>
      <c r="D83" s="134">
        <v>506.15000000000003</v>
      </c>
      <c r="E83" s="134">
        <v>120.68</v>
      </c>
      <c r="F83" s="134">
        <v>0</v>
      </c>
      <c r="G83" s="134">
        <v>0</v>
      </c>
      <c r="H83" s="134">
        <v>0</v>
      </c>
      <c r="I83" s="134">
        <v>385.47</v>
      </c>
      <c r="J83" s="134">
        <v>82.885000000000005</v>
      </c>
      <c r="K83" s="134">
        <v>589.03500000000008</v>
      </c>
      <c r="L83" s="134">
        <v>18.700000000000003</v>
      </c>
      <c r="M83" s="134">
        <v>161.35500000000002</v>
      </c>
      <c r="N83" s="134">
        <v>0</v>
      </c>
      <c r="O83" s="134">
        <v>0</v>
      </c>
      <c r="P83" s="134">
        <v>408.98</v>
      </c>
      <c r="Q83" s="134">
        <v>0</v>
      </c>
      <c r="R83"/>
      <c r="S83"/>
      <c r="T83"/>
    </row>
    <row r="84" spans="1:20" x14ac:dyDescent="0.3">
      <c r="A84" s="97"/>
      <c r="B84" s="96" t="s">
        <v>1728</v>
      </c>
      <c r="C84" s="106"/>
      <c r="D84" s="134">
        <v>0</v>
      </c>
      <c r="E84" s="134">
        <v>0</v>
      </c>
      <c r="F84" s="134">
        <v>0</v>
      </c>
      <c r="G84" s="134">
        <v>0</v>
      </c>
      <c r="H84" s="134">
        <v>0</v>
      </c>
      <c r="I84" s="134">
        <v>0</v>
      </c>
      <c r="J84" s="134">
        <v>30.47</v>
      </c>
      <c r="K84" s="134">
        <v>30.47</v>
      </c>
      <c r="L84" s="134">
        <v>30.47</v>
      </c>
      <c r="M84" s="134">
        <v>0</v>
      </c>
      <c r="N84" s="134">
        <v>0</v>
      </c>
      <c r="O84" s="134">
        <v>0</v>
      </c>
      <c r="P84" s="134">
        <v>0</v>
      </c>
      <c r="Q84" s="134">
        <v>0</v>
      </c>
      <c r="R84"/>
      <c r="S84"/>
      <c r="T84"/>
    </row>
    <row r="85" spans="1:20" x14ac:dyDescent="0.3">
      <c r="A85" s="97"/>
      <c r="B85" s="96" t="s">
        <v>1273</v>
      </c>
      <c r="C85" s="106"/>
      <c r="D85" s="134">
        <v>0</v>
      </c>
      <c r="E85" s="134">
        <v>0</v>
      </c>
      <c r="F85" s="134">
        <v>0</v>
      </c>
      <c r="G85" s="134">
        <v>0</v>
      </c>
      <c r="H85" s="134">
        <v>0</v>
      </c>
      <c r="I85" s="134">
        <v>0</v>
      </c>
      <c r="J85" s="134">
        <v>59.464999999999996</v>
      </c>
      <c r="K85" s="134">
        <v>59.464999999999996</v>
      </c>
      <c r="L85" s="134">
        <v>59.464999999999996</v>
      </c>
      <c r="M85" s="134">
        <v>0</v>
      </c>
      <c r="N85" s="134">
        <v>0</v>
      </c>
      <c r="O85" s="134">
        <v>0</v>
      </c>
      <c r="P85" s="134">
        <v>0</v>
      </c>
      <c r="Q85" s="134">
        <v>0</v>
      </c>
      <c r="R85"/>
      <c r="S85"/>
      <c r="T85"/>
    </row>
    <row r="86" spans="1:20" x14ac:dyDescent="0.3">
      <c r="A86" s="97"/>
      <c r="B86" s="96" t="s">
        <v>302</v>
      </c>
      <c r="C86" s="106">
        <v>4800</v>
      </c>
      <c r="D86" s="134">
        <v>1230.48</v>
      </c>
      <c r="E86" s="134">
        <v>0</v>
      </c>
      <c r="F86" s="134">
        <v>0</v>
      </c>
      <c r="G86" s="134">
        <v>580</v>
      </c>
      <c r="H86" s="134">
        <v>0</v>
      </c>
      <c r="I86" s="134">
        <v>650.48</v>
      </c>
      <c r="J86" s="134">
        <v>32.769999999999996</v>
      </c>
      <c r="K86" s="134">
        <v>1263.25</v>
      </c>
      <c r="L86" s="134">
        <v>6.2050000000000001</v>
      </c>
      <c r="M86" s="134">
        <v>0</v>
      </c>
      <c r="N86" s="134">
        <v>290</v>
      </c>
      <c r="O86" s="134">
        <v>316.565</v>
      </c>
      <c r="P86" s="134">
        <v>650.48</v>
      </c>
      <c r="Q86" s="134">
        <v>0</v>
      </c>
      <c r="R86"/>
      <c r="S86"/>
      <c r="T86"/>
    </row>
    <row r="87" spans="1:20" x14ac:dyDescent="0.3">
      <c r="A87" s="97"/>
      <c r="B87" s="96" t="s">
        <v>609</v>
      </c>
      <c r="C87" s="106"/>
      <c r="D87" s="134">
        <v>873.88499999999999</v>
      </c>
      <c r="E87" s="134">
        <v>553.48500000000001</v>
      </c>
      <c r="F87" s="134">
        <v>0</v>
      </c>
      <c r="G87" s="134">
        <v>297</v>
      </c>
      <c r="H87" s="134">
        <v>0</v>
      </c>
      <c r="I87" s="134">
        <v>23.4</v>
      </c>
      <c r="J87" s="134">
        <v>120.86499999999999</v>
      </c>
      <c r="K87" s="134">
        <v>994.75</v>
      </c>
      <c r="L87" s="134">
        <v>0</v>
      </c>
      <c r="M87" s="134">
        <v>661.98</v>
      </c>
      <c r="N87" s="134">
        <v>297</v>
      </c>
      <c r="O87" s="134">
        <v>0</v>
      </c>
      <c r="P87" s="134">
        <v>35.769999999999996</v>
      </c>
      <c r="Q87" s="134">
        <v>0</v>
      </c>
      <c r="R87"/>
      <c r="S87"/>
      <c r="T87"/>
    </row>
    <row r="88" spans="1:20" x14ac:dyDescent="0.3">
      <c r="A88" s="97"/>
      <c r="B88" s="96" t="s">
        <v>1459</v>
      </c>
      <c r="C88" s="106"/>
      <c r="D88" s="134">
        <v>580</v>
      </c>
      <c r="E88" s="134">
        <v>0</v>
      </c>
      <c r="F88" s="134">
        <v>0</v>
      </c>
      <c r="G88" s="134">
        <v>0</v>
      </c>
      <c r="H88" s="134">
        <v>0</v>
      </c>
      <c r="I88" s="134">
        <v>580</v>
      </c>
      <c r="J88" s="134">
        <v>0</v>
      </c>
      <c r="K88" s="134">
        <v>290</v>
      </c>
      <c r="L88" s="134">
        <v>0</v>
      </c>
      <c r="M88" s="134">
        <v>0</v>
      </c>
      <c r="N88" s="134">
        <v>0</v>
      </c>
      <c r="O88" s="134">
        <v>0</v>
      </c>
      <c r="P88" s="134">
        <v>290</v>
      </c>
      <c r="Q88" s="134">
        <v>290</v>
      </c>
      <c r="R88"/>
      <c r="S88"/>
      <c r="T88"/>
    </row>
    <row r="89" spans="1:20" x14ac:dyDescent="0.3">
      <c r="A89" s="97"/>
      <c r="B89" s="96" t="s">
        <v>1732</v>
      </c>
      <c r="C89" s="106"/>
      <c r="D89" s="134">
        <v>0</v>
      </c>
      <c r="E89" s="134">
        <v>0</v>
      </c>
      <c r="F89" s="134">
        <v>0</v>
      </c>
      <c r="G89" s="134">
        <v>0</v>
      </c>
      <c r="H89" s="134">
        <v>0</v>
      </c>
      <c r="I89" s="134">
        <v>0</v>
      </c>
      <c r="J89" s="134">
        <v>10.86</v>
      </c>
      <c r="K89" s="134">
        <v>10.86</v>
      </c>
      <c r="L89" s="134">
        <v>10.86</v>
      </c>
      <c r="M89" s="134">
        <v>0</v>
      </c>
      <c r="N89" s="134">
        <v>0</v>
      </c>
      <c r="O89" s="134">
        <v>0</v>
      </c>
      <c r="P89" s="134">
        <v>0</v>
      </c>
      <c r="Q89" s="134">
        <v>0</v>
      </c>
      <c r="R89"/>
      <c r="S89"/>
      <c r="T89"/>
    </row>
    <row r="90" spans="1:20" x14ac:dyDescent="0.3">
      <c r="A90" s="97"/>
      <c r="B90" s="96" t="s">
        <v>105</v>
      </c>
      <c r="C90" s="106">
        <v>4000</v>
      </c>
      <c r="D90" s="134">
        <v>1974.8</v>
      </c>
      <c r="E90" s="134">
        <v>142.52500000000001</v>
      </c>
      <c r="F90" s="134">
        <v>684.27499999999998</v>
      </c>
      <c r="G90" s="134">
        <v>168</v>
      </c>
      <c r="H90" s="134">
        <v>616</v>
      </c>
      <c r="I90" s="134">
        <v>364</v>
      </c>
      <c r="J90" s="134">
        <v>301.53999999999996</v>
      </c>
      <c r="K90" s="134">
        <v>1716.3400000000001</v>
      </c>
      <c r="L90" s="134">
        <v>66.05</v>
      </c>
      <c r="M90" s="134">
        <v>338.21000000000004</v>
      </c>
      <c r="N90" s="134">
        <v>808.08</v>
      </c>
      <c r="O90" s="134">
        <v>280</v>
      </c>
      <c r="P90" s="134">
        <v>224</v>
      </c>
      <c r="Q90" s="134">
        <v>560</v>
      </c>
      <c r="R90"/>
      <c r="S90"/>
      <c r="T90"/>
    </row>
    <row r="91" spans="1:20" x14ac:dyDescent="0.3">
      <c r="A91" s="97"/>
      <c r="B91" s="96" t="s">
        <v>106</v>
      </c>
      <c r="C91" s="106"/>
      <c r="D91" s="134">
        <v>2032.7350000000001</v>
      </c>
      <c r="E91" s="134">
        <v>42.94</v>
      </c>
      <c r="F91" s="134">
        <v>113.79500000000002</v>
      </c>
      <c r="G91" s="134">
        <v>1204</v>
      </c>
      <c r="H91" s="134">
        <v>616</v>
      </c>
      <c r="I91" s="134">
        <v>56</v>
      </c>
      <c r="J91" s="134">
        <v>624.22499999999991</v>
      </c>
      <c r="K91" s="134">
        <v>2320.9599999999996</v>
      </c>
      <c r="L91" s="134">
        <v>264.22499999999997</v>
      </c>
      <c r="M91" s="134">
        <v>243.01499999999999</v>
      </c>
      <c r="N91" s="134">
        <v>749.72</v>
      </c>
      <c r="O91" s="134">
        <v>728</v>
      </c>
      <c r="P91" s="134">
        <v>336</v>
      </c>
      <c r="Q91" s="134">
        <v>336</v>
      </c>
      <c r="R91"/>
      <c r="S91"/>
      <c r="T91"/>
    </row>
    <row r="92" spans="1:20" x14ac:dyDescent="0.3">
      <c r="A92" s="97"/>
      <c r="B92" s="96" t="s">
        <v>1731</v>
      </c>
      <c r="C92" s="106"/>
      <c r="D92" s="134">
        <v>0</v>
      </c>
      <c r="E92" s="134">
        <v>0</v>
      </c>
      <c r="F92" s="134">
        <v>0</v>
      </c>
      <c r="G92" s="134">
        <v>0</v>
      </c>
      <c r="H92" s="134">
        <v>0</v>
      </c>
      <c r="I92" s="134">
        <v>0</v>
      </c>
      <c r="J92" s="134">
        <v>5.04</v>
      </c>
      <c r="K92" s="134">
        <v>5.04</v>
      </c>
      <c r="L92" s="134">
        <v>5.04</v>
      </c>
      <c r="M92" s="134">
        <v>0</v>
      </c>
      <c r="N92" s="134">
        <v>0</v>
      </c>
      <c r="O92" s="134">
        <v>0</v>
      </c>
      <c r="P92" s="134">
        <v>0</v>
      </c>
      <c r="Q92" s="134">
        <v>0</v>
      </c>
      <c r="R92"/>
      <c r="S92"/>
      <c r="T92"/>
    </row>
    <row r="93" spans="1:20" x14ac:dyDescent="0.3">
      <c r="A93" s="97"/>
      <c r="B93" s="96" t="s">
        <v>451</v>
      </c>
      <c r="C93" s="106"/>
      <c r="D93" s="134">
        <v>116</v>
      </c>
      <c r="E93" s="134">
        <v>0</v>
      </c>
      <c r="F93" s="134">
        <v>0</v>
      </c>
      <c r="G93" s="134">
        <v>0</v>
      </c>
      <c r="H93" s="134">
        <v>0</v>
      </c>
      <c r="I93" s="134">
        <v>116</v>
      </c>
      <c r="J93" s="134">
        <v>0</v>
      </c>
      <c r="K93" s="134">
        <v>116</v>
      </c>
      <c r="L93" s="134">
        <v>0</v>
      </c>
      <c r="M93" s="134">
        <v>0</v>
      </c>
      <c r="N93" s="134">
        <v>0</v>
      </c>
      <c r="O93" s="134">
        <v>0</v>
      </c>
      <c r="P93" s="134">
        <v>116</v>
      </c>
      <c r="Q93" s="134">
        <v>0</v>
      </c>
      <c r="R93"/>
      <c r="S93"/>
      <c r="T93"/>
    </row>
    <row r="94" spans="1:20" x14ac:dyDescent="0.3">
      <c r="A94" s="97"/>
      <c r="B94" s="96" t="s">
        <v>1851</v>
      </c>
      <c r="C94" s="106"/>
      <c r="D94" s="134">
        <v>0</v>
      </c>
      <c r="E94" s="134">
        <v>0</v>
      </c>
      <c r="F94" s="134">
        <v>0</v>
      </c>
      <c r="G94" s="134">
        <v>0</v>
      </c>
      <c r="H94" s="134">
        <v>0</v>
      </c>
      <c r="I94" s="134">
        <v>0</v>
      </c>
      <c r="J94" s="134">
        <v>9.51</v>
      </c>
      <c r="K94" s="134">
        <v>9.51</v>
      </c>
      <c r="L94" s="134">
        <v>9.51</v>
      </c>
      <c r="M94" s="134">
        <v>0</v>
      </c>
      <c r="N94" s="134">
        <v>0</v>
      </c>
      <c r="O94" s="134">
        <v>0</v>
      </c>
      <c r="P94" s="134">
        <v>0</v>
      </c>
      <c r="Q94" s="134">
        <v>0</v>
      </c>
      <c r="R94"/>
      <c r="S94"/>
      <c r="T94"/>
    </row>
    <row r="95" spans="1:20" x14ac:dyDescent="0.3">
      <c r="A95" s="98" t="s">
        <v>42</v>
      </c>
      <c r="B95" s="98"/>
      <c r="C95" s="107">
        <v>10200</v>
      </c>
      <c r="D95" s="142">
        <v>10138.560000000001</v>
      </c>
      <c r="E95" s="143">
        <v>1169.7700000000002</v>
      </c>
      <c r="F95" s="143">
        <v>1351.4250000000002</v>
      </c>
      <c r="G95" s="143">
        <v>3209.8249999999998</v>
      </c>
      <c r="H95" s="143">
        <v>1484</v>
      </c>
      <c r="I95" s="143">
        <v>2923.54</v>
      </c>
      <c r="J95" s="145">
        <v>1998.0449999999996</v>
      </c>
      <c r="K95" s="142">
        <v>10698.605000000001</v>
      </c>
      <c r="L95" s="140">
        <v>736.2299999999999</v>
      </c>
      <c r="M95" s="140">
        <v>2043.5299999999997</v>
      </c>
      <c r="N95" s="140">
        <v>2795.6449999999995</v>
      </c>
      <c r="O95" s="140">
        <v>2290.81</v>
      </c>
      <c r="P95" s="140">
        <v>2832.3900000000003</v>
      </c>
      <c r="Q95" s="145">
        <v>1438</v>
      </c>
      <c r="R95"/>
      <c r="S95"/>
      <c r="T95"/>
    </row>
    <row r="96" spans="1:20" x14ac:dyDescent="0.3">
      <c r="A96" s="97" t="s">
        <v>43</v>
      </c>
      <c r="B96" s="96" t="s">
        <v>1730</v>
      </c>
      <c r="C96" s="106"/>
      <c r="D96" s="134">
        <v>0</v>
      </c>
      <c r="E96" s="134">
        <v>0</v>
      </c>
      <c r="F96" s="134">
        <v>0</v>
      </c>
      <c r="G96" s="134">
        <v>0</v>
      </c>
      <c r="H96" s="134">
        <v>0</v>
      </c>
      <c r="I96" s="134">
        <v>0</v>
      </c>
      <c r="J96" s="134">
        <v>10.375</v>
      </c>
      <c r="K96" s="134">
        <v>10.375</v>
      </c>
      <c r="L96" s="134">
        <v>10.375</v>
      </c>
      <c r="M96" s="134">
        <v>0</v>
      </c>
      <c r="N96" s="134">
        <v>0</v>
      </c>
      <c r="O96" s="134">
        <v>0</v>
      </c>
      <c r="P96" s="134">
        <v>0</v>
      </c>
      <c r="Q96" s="134">
        <v>0</v>
      </c>
      <c r="R96"/>
      <c r="S96"/>
      <c r="T96"/>
    </row>
    <row r="97" spans="1:20" x14ac:dyDescent="0.3">
      <c r="A97" s="97"/>
      <c r="B97" s="96" t="s">
        <v>123</v>
      </c>
      <c r="C97" s="106"/>
      <c r="D97" s="134">
        <v>0</v>
      </c>
      <c r="E97" s="134">
        <v>0</v>
      </c>
      <c r="F97" s="134">
        <v>0</v>
      </c>
      <c r="G97" s="134">
        <v>0</v>
      </c>
      <c r="H97" s="134">
        <v>0</v>
      </c>
      <c r="I97" s="134">
        <v>0</v>
      </c>
      <c r="J97" s="134">
        <v>32.914999999999999</v>
      </c>
      <c r="K97" s="134">
        <v>32.914999999999999</v>
      </c>
      <c r="L97" s="134">
        <v>32.914999999999999</v>
      </c>
      <c r="M97" s="134">
        <v>0</v>
      </c>
      <c r="N97" s="134">
        <v>0</v>
      </c>
      <c r="O97" s="134">
        <v>0</v>
      </c>
      <c r="P97" s="134">
        <v>0</v>
      </c>
      <c r="Q97" s="134">
        <v>0</v>
      </c>
      <c r="R97"/>
      <c r="S97"/>
      <c r="T97"/>
    </row>
    <row r="98" spans="1:20" x14ac:dyDescent="0.3">
      <c r="A98" s="97"/>
      <c r="B98" s="96" t="s">
        <v>124</v>
      </c>
      <c r="C98" s="106"/>
      <c r="D98" s="134">
        <v>350</v>
      </c>
      <c r="E98" s="134">
        <v>0</v>
      </c>
      <c r="F98" s="134">
        <v>0</v>
      </c>
      <c r="G98" s="134">
        <v>31</v>
      </c>
      <c r="H98" s="134">
        <v>319</v>
      </c>
      <c r="I98" s="134">
        <v>0</v>
      </c>
      <c r="J98" s="134">
        <v>29.68</v>
      </c>
      <c r="K98" s="134">
        <v>379.68</v>
      </c>
      <c r="L98" s="134">
        <v>29.68</v>
      </c>
      <c r="M98" s="134">
        <v>0</v>
      </c>
      <c r="N98" s="134">
        <v>0</v>
      </c>
      <c r="O98" s="134">
        <v>287</v>
      </c>
      <c r="P98" s="134">
        <v>63</v>
      </c>
      <c r="Q98" s="134">
        <v>0</v>
      </c>
      <c r="R98"/>
      <c r="S98"/>
      <c r="T98"/>
    </row>
    <row r="99" spans="1:20" x14ac:dyDescent="0.3">
      <c r="A99" s="97"/>
      <c r="B99" s="96" t="s">
        <v>125</v>
      </c>
      <c r="C99" s="106"/>
      <c r="D99" s="134">
        <v>23</v>
      </c>
      <c r="E99" s="134">
        <v>0</v>
      </c>
      <c r="F99" s="134">
        <v>0</v>
      </c>
      <c r="G99" s="134">
        <v>0</v>
      </c>
      <c r="H99" s="134">
        <v>23</v>
      </c>
      <c r="I99" s="134">
        <v>0</v>
      </c>
      <c r="J99" s="134">
        <v>0</v>
      </c>
      <c r="K99" s="134">
        <v>23</v>
      </c>
      <c r="L99" s="134">
        <v>0</v>
      </c>
      <c r="M99" s="134">
        <v>0</v>
      </c>
      <c r="N99" s="134">
        <v>0</v>
      </c>
      <c r="O99" s="134">
        <v>23</v>
      </c>
      <c r="P99" s="134">
        <v>0</v>
      </c>
      <c r="Q99" s="134">
        <v>0</v>
      </c>
      <c r="R99"/>
      <c r="S99"/>
      <c r="T99"/>
    </row>
    <row r="100" spans="1:20" x14ac:dyDescent="0.3">
      <c r="A100" s="97"/>
      <c r="B100" s="96" t="s">
        <v>89</v>
      </c>
      <c r="C100" s="106"/>
      <c r="D100" s="134">
        <v>280</v>
      </c>
      <c r="E100" s="134">
        <v>0</v>
      </c>
      <c r="F100" s="134">
        <v>120</v>
      </c>
      <c r="G100" s="134">
        <v>0</v>
      </c>
      <c r="H100" s="134">
        <v>160</v>
      </c>
      <c r="I100" s="134">
        <v>0</v>
      </c>
      <c r="J100" s="134">
        <v>56.195</v>
      </c>
      <c r="K100" s="134">
        <v>256.19499999999999</v>
      </c>
      <c r="L100" s="134">
        <v>56.195</v>
      </c>
      <c r="M100" s="134">
        <v>0</v>
      </c>
      <c r="N100" s="134">
        <v>120</v>
      </c>
      <c r="O100" s="134">
        <v>0</v>
      </c>
      <c r="P100" s="134">
        <v>80</v>
      </c>
      <c r="Q100" s="134">
        <v>80</v>
      </c>
      <c r="R100"/>
      <c r="S100"/>
      <c r="T100"/>
    </row>
    <row r="101" spans="1:20" x14ac:dyDescent="0.3">
      <c r="A101" s="97"/>
      <c r="B101" s="96" t="s">
        <v>90</v>
      </c>
      <c r="C101" s="106"/>
      <c r="D101" s="134">
        <v>0</v>
      </c>
      <c r="E101" s="134">
        <v>0</v>
      </c>
      <c r="F101" s="134">
        <v>0</v>
      </c>
      <c r="G101" s="134">
        <v>0</v>
      </c>
      <c r="H101" s="134">
        <v>0</v>
      </c>
      <c r="I101" s="134">
        <v>0</v>
      </c>
      <c r="J101" s="134">
        <v>9.9700000000000006</v>
      </c>
      <c r="K101" s="134">
        <v>9.9700000000000006</v>
      </c>
      <c r="L101" s="134">
        <v>9.9700000000000006</v>
      </c>
      <c r="M101" s="134">
        <v>0</v>
      </c>
      <c r="N101" s="134">
        <v>0</v>
      </c>
      <c r="O101" s="134">
        <v>0</v>
      </c>
      <c r="P101" s="134">
        <v>0</v>
      </c>
      <c r="Q101" s="134">
        <v>0</v>
      </c>
      <c r="R101"/>
      <c r="S101"/>
      <c r="T101"/>
    </row>
    <row r="102" spans="1:20" x14ac:dyDescent="0.3">
      <c r="A102" s="97"/>
      <c r="B102" s="96" t="s">
        <v>91</v>
      </c>
      <c r="C102" s="106"/>
      <c r="D102" s="134">
        <v>1838.605</v>
      </c>
      <c r="E102" s="134">
        <v>25.145</v>
      </c>
      <c r="F102" s="134">
        <v>256.46000000000004</v>
      </c>
      <c r="G102" s="134">
        <v>510</v>
      </c>
      <c r="H102" s="134">
        <v>753</v>
      </c>
      <c r="I102" s="134">
        <v>294</v>
      </c>
      <c r="J102" s="134">
        <v>316.26500000000004</v>
      </c>
      <c r="K102" s="134">
        <v>1860.8700000000001</v>
      </c>
      <c r="L102" s="134">
        <v>252.73</v>
      </c>
      <c r="M102" s="134">
        <v>200.68</v>
      </c>
      <c r="N102" s="134">
        <v>592.46</v>
      </c>
      <c r="O102" s="134">
        <v>542</v>
      </c>
      <c r="P102" s="134">
        <v>273</v>
      </c>
      <c r="Q102" s="134">
        <v>294</v>
      </c>
      <c r="R102"/>
      <c r="S102"/>
      <c r="T102"/>
    </row>
    <row r="103" spans="1:20" x14ac:dyDescent="0.3">
      <c r="A103" s="97"/>
      <c r="B103" s="96" t="s">
        <v>1435</v>
      </c>
      <c r="C103" s="106"/>
      <c r="D103" s="134">
        <v>145</v>
      </c>
      <c r="E103" s="134">
        <v>0</v>
      </c>
      <c r="F103" s="134">
        <v>116</v>
      </c>
      <c r="G103" s="134">
        <v>29</v>
      </c>
      <c r="H103" s="134">
        <v>0</v>
      </c>
      <c r="I103" s="134">
        <v>0</v>
      </c>
      <c r="J103" s="134">
        <v>0</v>
      </c>
      <c r="K103" s="134">
        <v>145</v>
      </c>
      <c r="L103" s="134">
        <v>0</v>
      </c>
      <c r="M103" s="134">
        <v>0</v>
      </c>
      <c r="N103" s="134">
        <v>116</v>
      </c>
      <c r="O103" s="134">
        <v>29</v>
      </c>
      <c r="P103" s="134">
        <v>0</v>
      </c>
      <c r="Q103" s="134">
        <v>0</v>
      </c>
      <c r="R103"/>
      <c r="S103"/>
      <c r="T103"/>
    </row>
    <row r="104" spans="1:20" x14ac:dyDescent="0.3">
      <c r="A104" s="97"/>
      <c r="B104" s="96" t="s">
        <v>115</v>
      </c>
      <c r="C104" s="106">
        <v>4200</v>
      </c>
      <c r="D104" s="134">
        <v>615.90499999999997</v>
      </c>
      <c r="E104" s="134">
        <v>174.905</v>
      </c>
      <c r="F104" s="134">
        <v>252</v>
      </c>
      <c r="G104" s="134">
        <v>21</v>
      </c>
      <c r="H104" s="134">
        <v>168</v>
      </c>
      <c r="I104" s="134">
        <v>0</v>
      </c>
      <c r="J104" s="134">
        <v>152.95500000000001</v>
      </c>
      <c r="K104" s="134">
        <v>768.86</v>
      </c>
      <c r="L104" s="134">
        <v>42.67</v>
      </c>
      <c r="M104" s="134">
        <v>390.19</v>
      </c>
      <c r="N104" s="134">
        <v>147</v>
      </c>
      <c r="O104" s="134">
        <v>126</v>
      </c>
      <c r="P104" s="134">
        <v>63</v>
      </c>
      <c r="Q104" s="134">
        <v>0</v>
      </c>
      <c r="R104"/>
      <c r="S104"/>
      <c r="T104"/>
    </row>
    <row r="105" spans="1:20" x14ac:dyDescent="0.3">
      <c r="A105" s="97"/>
      <c r="B105" s="96" t="s">
        <v>1396</v>
      </c>
      <c r="C105" s="106"/>
      <c r="D105" s="134">
        <v>112</v>
      </c>
      <c r="E105" s="134">
        <v>0</v>
      </c>
      <c r="F105" s="134">
        <v>0</v>
      </c>
      <c r="G105" s="134">
        <v>112</v>
      </c>
      <c r="H105" s="134">
        <v>0</v>
      </c>
      <c r="I105" s="134">
        <v>0</v>
      </c>
      <c r="J105" s="134">
        <v>5.2750000000000004</v>
      </c>
      <c r="K105" s="134">
        <v>33.274999999999999</v>
      </c>
      <c r="L105" s="134">
        <v>5.2750000000000004</v>
      </c>
      <c r="M105" s="134">
        <v>0</v>
      </c>
      <c r="N105" s="134">
        <v>0</v>
      </c>
      <c r="O105" s="134">
        <v>28</v>
      </c>
      <c r="P105" s="134">
        <v>0</v>
      </c>
      <c r="Q105" s="134">
        <v>84</v>
      </c>
      <c r="R105"/>
      <c r="S105"/>
      <c r="T105"/>
    </row>
    <row r="106" spans="1:20" x14ac:dyDescent="0.3">
      <c r="A106" s="97"/>
      <c r="B106" s="96" t="s">
        <v>116</v>
      </c>
      <c r="C106" s="106"/>
      <c r="D106" s="134">
        <v>0</v>
      </c>
      <c r="E106" s="134">
        <v>0</v>
      </c>
      <c r="F106" s="134">
        <v>0</v>
      </c>
      <c r="G106" s="134">
        <v>0</v>
      </c>
      <c r="H106" s="134">
        <v>0</v>
      </c>
      <c r="I106" s="134">
        <v>0</v>
      </c>
      <c r="J106" s="134">
        <v>4.91</v>
      </c>
      <c r="K106" s="134">
        <v>4.91</v>
      </c>
      <c r="L106" s="134">
        <v>4.91</v>
      </c>
      <c r="M106" s="134">
        <v>0</v>
      </c>
      <c r="N106" s="134">
        <v>0</v>
      </c>
      <c r="O106" s="134">
        <v>0</v>
      </c>
      <c r="P106" s="134">
        <v>0</v>
      </c>
      <c r="Q106" s="134">
        <v>0</v>
      </c>
      <c r="R106"/>
      <c r="S106"/>
      <c r="T106"/>
    </row>
    <row r="107" spans="1:20" x14ac:dyDescent="0.3">
      <c r="A107" s="97"/>
      <c r="B107" s="96" t="s">
        <v>117</v>
      </c>
      <c r="C107" s="106"/>
      <c r="D107" s="134">
        <v>0</v>
      </c>
      <c r="E107" s="134">
        <v>0</v>
      </c>
      <c r="F107" s="134">
        <v>0</v>
      </c>
      <c r="G107" s="134">
        <v>0</v>
      </c>
      <c r="H107" s="134">
        <v>0</v>
      </c>
      <c r="I107" s="134">
        <v>0</v>
      </c>
      <c r="J107" s="134">
        <v>4.9349999999999996</v>
      </c>
      <c r="K107" s="134">
        <v>4.9349999999999996</v>
      </c>
      <c r="L107" s="134">
        <v>4.9349999999999996</v>
      </c>
      <c r="M107" s="134">
        <v>0</v>
      </c>
      <c r="N107" s="134">
        <v>0</v>
      </c>
      <c r="O107" s="134">
        <v>0</v>
      </c>
      <c r="P107" s="134">
        <v>0</v>
      </c>
      <c r="Q107" s="134">
        <v>0</v>
      </c>
      <c r="R107"/>
      <c r="S107"/>
      <c r="T107"/>
    </row>
    <row r="108" spans="1:20" x14ac:dyDescent="0.3">
      <c r="A108" s="97"/>
      <c r="B108" s="96" t="s">
        <v>118</v>
      </c>
      <c r="C108" s="106"/>
      <c r="D108" s="134">
        <v>218.595</v>
      </c>
      <c r="E108" s="134">
        <v>0</v>
      </c>
      <c r="F108" s="134">
        <v>0</v>
      </c>
      <c r="G108" s="134">
        <v>218.595</v>
      </c>
      <c r="H108" s="134">
        <v>0</v>
      </c>
      <c r="I108" s="134">
        <v>0</v>
      </c>
      <c r="J108" s="134">
        <v>0</v>
      </c>
      <c r="K108" s="134">
        <v>218.595</v>
      </c>
      <c r="L108" s="134">
        <v>0</v>
      </c>
      <c r="M108" s="134">
        <v>0</v>
      </c>
      <c r="N108" s="134">
        <v>0</v>
      </c>
      <c r="O108" s="134">
        <v>218.595</v>
      </c>
      <c r="P108" s="134">
        <v>0</v>
      </c>
      <c r="Q108" s="134">
        <v>0</v>
      </c>
      <c r="R108"/>
      <c r="S108"/>
      <c r="T108"/>
    </row>
    <row r="109" spans="1:20" x14ac:dyDescent="0.3">
      <c r="A109" s="97"/>
      <c r="B109" s="96" t="s">
        <v>1729</v>
      </c>
      <c r="C109" s="106"/>
      <c r="D109" s="134">
        <v>0</v>
      </c>
      <c r="E109" s="134">
        <v>0</v>
      </c>
      <c r="F109" s="134">
        <v>0</v>
      </c>
      <c r="G109" s="134">
        <v>0</v>
      </c>
      <c r="H109" s="134">
        <v>0</v>
      </c>
      <c r="I109" s="134">
        <v>0</v>
      </c>
      <c r="J109" s="134">
        <v>49.81</v>
      </c>
      <c r="K109" s="134">
        <v>49.81</v>
      </c>
      <c r="L109" s="134">
        <v>49.81</v>
      </c>
      <c r="M109" s="134">
        <v>0</v>
      </c>
      <c r="N109" s="134">
        <v>0</v>
      </c>
      <c r="O109" s="134">
        <v>0</v>
      </c>
      <c r="P109" s="134">
        <v>0</v>
      </c>
      <c r="Q109" s="134">
        <v>0</v>
      </c>
      <c r="R109"/>
      <c r="S109"/>
      <c r="T109"/>
    </row>
    <row r="110" spans="1:20" x14ac:dyDescent="0.3">
      <c r="A110" s="97"/>
      <c r="B110" s="96" t="s">
        <v>1554</v>
      </c>
      <c r="C110" s="106"/>
      <c r="D110" s="134">
        <v>480</v>
      </c>
      <c r="E110" s="134">
        <v>0</v>
      </c>
      <c r="F110" s="134">
        <v>0</v>
      </c>
      <c r="G110" s="134">
        <v>0</v>
      </c>
      <c r="H110" s="134">
        <v>0</v>
      </c>
      <c r="I110" s="134">
        <v>480</v>
      </c>
      <c r="J110" s="134">
        <v>0</v>
      </c>
      <c r="K110" s="134">
        <v>240</v>
      </c>
      <c r="L110" s="134">
        <v>0</v>
      </c>
      <c r="M110" s="134">
        <v>0</v>
      </c>
      <c r="N110" s="134">
        <v>0</v>
      </c>
      <c r="O110" s="134">
        <v>0</v>
      </c>
      <c r="P110" s="134">
        <v>240</v>
      </c>
      <c r="Q110" s="134">
        <v>240</v>
      </c>
      <c r="R110"/>
      <c r="S110"/>
      <c r="T110"/>
    </row>
    <row r="111" spans="1:20" x14ac:dyDescent="0.3">
      <c r="A111" s="97"/>
      <c r="B111" s="96" t="s">
        <v>92</v>
      </c>
      <c r="C111" s="106"/>
      <c r="D111" s="134">
        <v>43.480000000000004</v>
      </c>
      <c r="E111" s="134">
        <v>0</v>
      </c>
      <c r="F111" s="134">
        <v>22.48</v>
      </c>
      <c r="G111" s="134">
        <v>0</v>
      </c>
      <c r="H111" s="134">
        <v>21</v>
      </c>
      <c r="I111" s="134">
        <v>0</v>
      </c>
      <c r="J111" s="134">
        <v>19.52</v>
      </c>
      <c r="K111" s="134">
        <v>63</v>
      </c>
      <c r="L111" s="134">
        <v>0</v>
      </c>
      <c r="M111" s="134">
        <v>0</v>
      </c>
      <c r="N111" s="134">
        <v>42</v>
      </c>
      <c r="O111" s="134">
        <v>0</v>
      </c>
      <c r="P111" s="134">
        <v>21</v>
      </c>
      <c r="Q111" s="134">
        <v>0</v>
      </c>
      <c r="R111"/>
      <c r="S111"/>
      <c r="T111"/>
    </row>
    <row r="112" spans="1:20" x14ac:dyDescent="0.3">
      <c r="A112" s="97"/>
      <c r="B112" s="96" t="s">
        <v>1728</v>
      </c>
      <c r="C112" s="106"/>
      <c r="D112" s="134">
        <v>0</v>
      </c>
      <c r="E112" s="134">
        <v>0</v>
      </c>
      <c r="F112" s="134">
        <v>0</v>
      </c>
      <c r="G112" s="134">
        <v>0</v>
      </c>
      <c r="H112" s="134">
        <v>0</v>
      </c>
      <c r="I112" s="134">
        <v>0</v>
      </c>
      <c r="J112" s="134">
        <v>3.4849999999999999</v>
      </c>
      <c r="K112" s="134">
        <v>3.4849999999999999</v>
      </c>
      <c r="L112" s="134">
        <v>3.4849999999999999</v>
      </c>
      <c r="M112" s="134">
        <v>0</v>
      </c>
      <c r="N112" s="134">
        <v>0</v>
      </c>
      <c r="O112" s="134">
        <v>0</v>
      </c>
      <c r="P112" s="134">
        <v>0</v>
      </c>
      <c r="Q112" s="134">
        <v>0</v>
      </c>
      <c r="R112"/>
      <c r="S112"/>
      <c r="T112"/>
    </row>
    <row r="113" spans="1:20" x14ac:dyDescent="0.3">
      <c r="A113" s="97"/>
      <c r="B113" s="96" t="s">
        <v>81</v>
      </c>
      <c r="C113" s="106">
        <v>1200</v>
      </c>
      <c r="D113" s="134">
        <v>1095.1399999999999</v>
      </c>
      <c r="E113" s="134">
        <v>63</v>
      </c>
      <c r="F113" s="134">
        <v>358.125</v>
      </c>
      <c r="G113" s="134">
        <v>441.65499999999997</v>
      </c>
      <c r="H113" s="134">
        <v>232.36</v>
      </c>
      <c r="I113" s="134">
        <v>0</v>
      </c>
      <c r="J113" s="134">
        <v>99.045000000000002</v>
      </c>
      <c r="K113" s="134">
        <v>1194.1849999999999</v>
      </c>
      <c r="L113" s="134">
        <v>99.045000000000002</v>
      </c>
      <c r="M113" s="134">
        <v>231</v>
      </c>
      <c r="N113" s="134">
        <v>421.125</v>
      </c>
      <c r="O113" s="134">
        <v>210.655</v>
      </c>
      <c r="P113" s="134">
        <v>232.36</v>
      </c>
      <c r="Q113" s="134">
        <v>0</v>
      </c>
      <c r="R113"/>
      <c r="S113"/>
      <c r="T113"/>
    </row>
    <row r="114" spans="1:20" x14ac:dyDescent="0.3">
      <c r="A114" s="97"/>
      <c r="B114" s="96" t="s">
        <v>126</v>
      </c>
      <c r="C114" s="106">
        <v>1700</v>
      </c>
      <c r="D114" s="134">
        <v>478</v>
      </c>
      <c r="E114" s="134">
        <v>0</v>
      </c>
      <c r="F114" s="134">
        <v>0</v>
      </c>
      <c r="G114" s="134">
        <v>62</v>
      </c>
      <c r="H114" s="134">
        <v>116</v>
      </c>
      <c r="I114" s="134">
        <v>300</v>
      </c>
      <c r="J114" s="134">
        <v>0</v>
      </c>
      <c r="K114" s="134">
        <v>385</v>
      </c>
      <c r="L114" s="134">
        <v>0</v>
      </c>
      <c r="M114" s="134">
        <v>0</v>
      </c>
      <c r="N114" s="134">
        <v>0</v>
      </c>
      <c r="O114" s="134">
        <v>62</v>
      </c>
      <c r="P114" s="134">
        <v>323</v>
      </c>
      <c r="Q114" s="134">
        <v>93</v>
      </c>
      <c r="R114"/>
      <c r="S114"/>
      <c r="T114"/>
    </row>
    <row r="115" spans="1:20" x14ac:dyDescent="0.3">
      <c r="A115" s="97"/>
      <c r="B115" s="96" t="s">
        <v>823</v>
      </c>
      <c r="C115" s="106"/>
      <c r="D115" s="134">
        <v>0</v>
      </c>
      <c r="E115" s="134">
        <v>0</v>
      </c>
      <c r="F115" s="134">
        <v>0</v>
      </c>
      <c r="G115" s="134">
        <v>0</v>
      </c>
      <c r="H115" s="134">
        <v>0</v>
      </c>
      <c r="I115" s="134">
        <v>0</v>
      </c>
      <c r="J115" s="134">
        <v>28.869999999999997</v>
      </c>
      <c r="K115" s="134">
        <v>28.869999999999997</v>
      </c>
      <c r="L115" s="134">
        <v>28.869999999999997</v>
      </c>
      <c r="M115" s="134">
        <v>0</v>
      </c>
      <c r="N115" s="134">
        <v>0</v>
      </c>
      <c r="O115" s="134">
        <v>0</v>
      </c>
      <c r="P115" s="134">
        <v>0</v>
      </c>
      <c r="Q115" s="134">
        <v>0</v>
      </c>
      <c r="R115"/>
      <c r="S115"/>
      <c r="T115"/>
    </row>
    <row r="116" spans="1:20" x14ac:dyDescent="0.3">
      <c r="A116" s="97"/>
      <c r="B116" s="96" t="s">
        <v>127</v>
      </c>
      <c r="C116" s="106"/>
      <c r="D116" s="134">
        <v>92</v>
      </c>
      <c r="E116" s="134">
        <v>0</v>
      </c>
      <c r="F116" s="134">
        <v>0</v>
      </c>
      <c r="G116" s="134">
        <v>0</v>
      </c>
      <c r="H116" s="134">
        <v>92</v>
      </c>
      <c r="I116" s="134">
        <v>0</v>
      </c>
      <c r="J116" s="134">
        <v>0</v>
      </c>
      <c r="K116" s="134">
        <v>92</v>
      </c>
      <c r="L116" s="134">
        <v>0</v>
      </c>
      <c r="M116" s="134">
        <v>0</v>
      </c>
      <c r="N116" s="134">
        <v>0</v>
      </c>
      <c r="O116" s="134">
        <v>23</v>
      </c>
      <c r="P116" s="134">
        <v>69</v>
      </c>
      <c r="Q116" s="134">
        <v>0</v>
      </c>
      <c r="R116"/>
      <c r="S116"/>
      <c r="T116"/>
    </row>
    <row r="117" spans="1:20" x14ac:dyDescent="0.3">
      <c r="A117" s="97"/>
      <c r="B117" s="96" t="s">
        <v>96</v>
      </c>
      <c r="C117" s="106"/>
      <c r="D117" s="134">
        <v>294</v>
      </c>
      <c r="E117" s="134">
        <v>42</v>
      </c>
      <c r="F117" s="134">
        <v>0</v>
      </c>
      <c r="G117" s="134">
        <v>189</v>
      </c>
      <c r="H117" s="134">
        <v>63</v>
      </c>
      <c r="I117" s="134">
        <v>0</v>
      </c>
      <c r="J117" s="134">
        <v>14.709999999999999</v>
      </c>
      <c r="K117" s="134">
        <v>245.70999999999998</v>
      </c>
      <c r="L117" s="134">
        <v>14.709999999999999</v>
      </c>
      <c r="M117" s="134">
        <v>42</v>
      </c>
      <c r="N117" s="134">
        <v>0</v>
      </c>
      <c r="O117" s="134">
        <v>189</v>
      </c>
      <c r="P117" s="134">
        <v>0</v>
      </c>
      <c r="Q117" s="134">
        <v>63</v>
      </c>
      <c r="R117"/>
      <c r="S117"/>
      <c r="T117"/>
    </row>
    <row r="118" spans="1:20" x14ac:dyDescent="0.3">
      <c r="A118" s="97"/>
      <c r="B118" s="96" t="s">
        <v>1597</v>
      </c>
      <c r="C118" s="106">
        <v>1100</v>
      </c>
      <c r="D118" s="134">
        <v>600</v>
      </c>
      <c r="E118" s="134">
        <v>0</v>
      </c>
      <c r="F118" s="134">
        <v>0</v>
      </c>
      <c r="G118" s="134">
        <v>0</v>
      </c>
      <c r="H118" s="134">
        <v>0</v>
      </c>
      <c r="I118" s="134">
        <v>600</v>
      </c>
      <c r="J118" s="134">
        <v>0</v>
      </c>
      <c r="K118" s="134">
        <v>600</v>
      </c>
      <c r="L118" s="134">
        <v>0</v>
      </c>
      <c r="M118" s="134">
        <v>0</v>
      </c>
      <c r="N118" s="134">
        <v>0</v>
      </c>
      <c r="O118" s="134">
        <v>0</v>
      </c>
      <c r="P118" s="134">
        <v>600</v>
      </c>
      <c r="Q118" s="134">
        <v>0</v>
      </c>
      <c r="R118"/>
      <c r="S118"/>
      <c r="T118"/>
    </row>
    <row r="119" spans="1:20" x14ac:dyDescent="0.3">
      <c r="A119" s="97"/>
      <c r="B119" s="96" t="s">
        <v>110</v>
      </c>
      <c r="C119" s="106">
        <v>800</v>
      </c>
      <c r="D119" s="134">
        <v>196.67000000000002</v>
      </c>
      <c r="E119" s="134">
        <v>112.67</v>
      </c>
      <c r="F119" s="134">
        <v>0</v>
      </c>
      <c r="G119" s="134">
        <v>84</v>
      </c>
      <c r="H119" s="134">
        <v>0</v>
      </c>
      <c r="I119" s="134">
        <v>0</v>
      </c>
      <c r="J119" s="134">
        <v>136.005</v>
      </c>
      <c r="K119" s="134">
        <v>332.67500000000001</v>
      </c>
      <c r="L119" s="134">
        <v>136.005</v>
      </c>
      <c r="M119" s="134">
        <v>112.67</v>
      </c>
      <c r="N119" s="134">
        <v>0</v>
      </c>
      <c r="O119" s="134">
        <v>84</v>
      </c>
      <c r="P119" s="134">
        <v>0</v>
      </c>
      <c r="Q119" s="134">
        <v>0</v>
      </c>
      <c r="R119"/>
      <c r="S119"/>
      <c r="T119"/>
    </row>
    <row r="120" spans="1:20" x14ac:dyDescent="0.3">
      <c r="A120" s="97"/>
      <c r="B120" s="96" t="s">
        <v>111</v>
      </c>
      <c r="C120" s="106"/>
      <c r="D120" s="134">
        <v>504</v>
      </c>
      <c r="E120" s="134">
        <v>0</v>
      </c>
      <c r="F120" s="134">
        <v>504</v>
      </c>
      <c r="G120" s="134">
        <v>0</v>
      </c>
      <c r="H120" s="134">
        <v>0</v>
      </c>
      <c r="I120" s="134">
        <v>0</v>
      </c>
      <c r="J120" s="134">
        <v>0</v>
      </c>
      <c r="K120" s="134">
        <v>504</v>
      </c>
      <c r="L120" s="134">
        <v>0</v>
      </c>
      <c r="M120" s="134">
        <v>0</v>
      </c>
      <c r="N120" s="134">
        <v>504</v>
      </c>
      <c r="O120" s="134">
        <v>0</v>
      </c>
      <c r="P120" s="134">
        <v>0</v>
      </c>
      <c r="Q120" s="134">
        <v>0</v>
      </c>
      <c r="R120"/>
      <c r="S120"/>
      <c r="T120"/>
    </row>
    <row r="121" spans="1:20" x14ac:dyDescent="0.3">
      <c r="A121" s="97"/>
      <c r="B121" s="96" t="s">
        <v>97</v>
      </c>
      <c r="C121" s="106"/>
      <c r="D121" s="134">
        <v>1072.865</v>
      </c>
      <c r="E121" s="134">
        <v>23.024999999999999</v>
      </c>
      <c r="F121" s="134">
        <v>321.84000000000003</v>
      </c>
      <c r="G121" s="134">
        <v>518</v>
      </c>
      <c r="H121" s="134">
        <v>210</v>
      </c>
      <c r="I121" s="134">
        <v>0</v>
      </c>
      <c r="J121" s="134">
        <v>63.06</v>
      </c>
      <c r="K121" s="134">
        <v>1135.9250000000002</v>
      </c>
      <c r="L121" s="134">
        <v>10.93</v>
      </c>
      <c r="M121" s="134">
        <v>23.024999999999999</v>
      </c>
      <c r="N121" s="134">
        <v>457.97</v>
      </c>
      <c r="O121" s="134">
        <v>539</v>
      </c>
      <c r="P121" s="134">
        <v>105</v>
      </c>
      <c r="Q121" s="134">
        <v>0</v>
      </c>
      <c r="R121"/>
      <c r="S121"/>
      <c r="T121"/>
    </row>
    <row r="122" spans="1:20" x14ac:dyDescent="0.3">
      <c r="A122" s="97"/>
      <c r="B122" s="96" t="s">
        <v>64</v>
      </c>
      <c r="C122" s="106"/>
      <c r="D122" s="134">
        <v>474.51</v>
      </c>
      <c r="E122" s="134">
        <v>0</v>
      </c>
      <c r="F122" s="134">
        <v>222.51</v>
      </c>
      <c r="G122" s="134">
        <v>0</v>
      </c>
      <c r="H122" s="134">
        <v>0</v>
      </c>
      <c r="I122" s="134">
        <v>252</v>
      </c>
      <c r="J122" s="134">
        <v>58.519999999999996</v>
      </c>
      <c r="K122" s="134">
        <v>281.02999999999997</v>
      </c>
      <c r="L122" s="134">
        <v>0</v>
      </c>
      <c r="M122" s="134">
        <v>0</v>
      </c>
      <c r="N122" s="134">
        <v>281.02999999999997</v>
      </c>
      <c r="O122" s="134">
        <v>0</v>
      </c>
      <c r="P122" s="134">
        <v>0</v>
      </c>
      <c r="Q122" s="134">
        <v>252</v>
      </c>
      <c r="R122"/>
      <c r="S122"/>
      <c r="T122"/>
    </row>
    <row r="123" spans="1:20" x14ac:dyDescent="0.3">
      <c r="A123" s="97"/>
      <c r="B123" s="96" t="s">
        <v>67</v>
      </c>
      <c r="C123" s="106"/>
      <c r="D123" s="134">
        <v>65.06</v>
      </c>
      <c r="E123" s="134">
        <v>0</v>
      </c>
      <c r="F123" s="134">
        <v>65.06</v>
      </c>
      <c r="G123" s="134">
        <v>0</v>
      </c>
      <c r="H123" s="134">
        <v>0</v>
      </c>
      <c r="I123" s="134">
        <v>0</v>
      </c>
      <c r="J123" s="134">
        <v>101.595</v>
      </c>
      <c r="K123" s="134">
        <v>166.655</v>
      </c>
      <c r="L123" s="134">
        <v>9.5399999999999991</v>
      </c>
      <c r="M123" s="134">
        <v>0</v>
      </c>
      <c r="N123" s="134">
        <v>157.11500000000001</v>
      </c>
      <c r="O123" s="134">
        <v>0</v>
      </c>
      <c r="P123" s="134">
        <v>0</v>
      </c>
      <c r="Q123" s="134">
        <v>0</v>
      </c>
      <c r="R123"/>
      <c r="S123"/>
      <c r="T123"/>
    </row>
    <row r="124" spans="1:20" x14ac:dyDescent="0.3">
      <c r="A124" s="97"/>
      <c r="B124" s="96" t="s">
        <v>86</v>
      </c>
      <c r="C124" s="106"/>
      <c r="D124" s="134">
        <v>133.69</v>
      </c>
      <c r="E124" s="134">
        <v>133.69</v>
      </c>
      <c r="F124" s="134">
        <v>0</v>
      </c>
      <c r="G124" s="134">
        <v>0</v>
      </c>
      <c r="H124" s="134">
        <v>0</v>
      </c>
      <c r="I124" s="134">
        <v>0</v>
      </c>
      <c r="J124" s="134">
        <v>14.684999999999999</v>
      </c>
      <c r="K124" s="134">
        <v>148.375</v>
      </c>
      <c r="L124" s="134">
        <v>0</v>
      </c>
      <c r="M124" s="134">
        <v>148.375</v>
      </c>
      <c r="N124" s="134">
        <v>0</v>
      </c>
      <c r="O124" s="134">
        <v>0</v>
      </c>
      <c r="P124" s="134">
        <v>0</v>
      </c>
      <c r="Q124" s="134">
        <v>0</v>
      </c>
      <c r="R124"/>
      <c r="S124"/>
      <c r="T124"/>
    </row>
    <row r="125" spans="1:20" x14ac:dyDescent="0.3">
      <c r="A125" s="97"/>
      <c r="B125" s="96" t="s">
        <v>605</v>
      </c>
      <c r="C125" s="106"/>
      <c r="D125" s="134">
        <v>18.59</v>
      </c>
      <c r="E125" s="134">
        <v>0</v>
      </c>
      <c r="F125" s="134">
        <v>0</v>
      </c>
      <c r="G125" s="134">
        <v>18.59</v>
      </c>
      <c r="H125" s="134">
        <v>0</v>
      </c>
      <c r="I125" s="134">
        <v>0</v>
      </c>
      <c r="J125" s="134">
        <v>0</v>
      </c>
      <c r="K125" s="134">
        <v>18.59</v>
      </c>
      <c r="L125" s="134">
        <v>0</v>
      </c>
      <c r="M125" s="134">
        <v>0</v>
      </c>
      <c r="N125" s="134">
        <v>0</v>
      </c>
      <c r="O125" s="134">
        <v>18.59</v>
      </c>
      <c r="P125" s="134">
        <v>0</v>
      </c>
      <c r="Q125" s="134">
        <v>0</v>
      </c>
      <c r="R125"/>
      <c r="S125"/>
      <c r="T125"/>
    </row>
    <row r="126" spans="1:20" x14ac:dyDescent="0.3">
      <c r="A126" s="97"/>
      <c r="B126" s="96" t="s">
        <v>1851</v>
      </c>
      <c r="C126" s="106"/>
      <c r="D126" s="134">
        <v>210</v>
      </c>
      <c r="E126" s="134">
        <v>0</v>
      </c>
      <c r="F126" s="134">
        <v>0</v>
      </c>
      <c r="G126" s="134">
        <v>0</v>
      </c>
      <c r="H126" s="134">
        <v>0</v>
      </c>
      <c r="I126" s="134">
        <v>210</v>
      </c>
      <c r="J126" s="134">
        <v>0</v>
      </c>
      <c r="K126" s="134">
        <v>0</v>
      </c>
      <c r="L126" s="134">
        <v>0</v>
      </c>
      <c r="M126" s="134">
        <v>0</v>
      </c>
      <c r="N126" s="134">
        <v>0</v>
      </c>
      <c r="O126" s="134">
        <v>0</v>
      </c>
      <c r="P126" s="134">
        <v>0</v>
      </c>
      <c r="Q126" s="134">
        <v>210</v>
      </c>
      <c r="R126"/>
      <c r="S126"/>
      <c r="T126"/>
    </row>
    <row r="127" spans="1:20" x14ac:dyDescent="0.3">
      <c r="A127" s="98" t="s">
        <v>47</v>
      </c>
      <c r="B127" s="98"/>
      <c r="C127" s="107">
        <v>9000</v>
      </c>
      <c r="D127" s="142">
        <v>9341.11</v>
      </c>
      <c r="E127" s="143">
        <v>574.43499999999995</v>
      </c>
      <c r="F127" s="143">
        <v>2238.4749999999999</v>
      </c>
      <c r="G127" s="143">
        <v>2234.84</v>
      </c>
      <c r="H127" s="143">
        <v>2157.36</v>
      </c>
      <c r="I127" s="143">
        <v>2136</v>
      </c>
      <c r="J127" s="145">
        <v>1212.7799999999997</v>
      </c>
      <c r="K127" s="142">
        <v>9237.8900000000012</v>
      </c>
      <c r="L127" s="140">
        <v>802.05</v>
      </c>
      <c r="M127" s="140">
        <v>1147.94</v>
      </c>
      <c r="N127" s="140">
        <v>2838.7</v>
      </c>
      <c r="O127" s="140">
        <v>2379.84</v>
      </c>
      <c r="P127" s="140">
        <v>2069.36</v>
      </c>
      <c r="Q127" s="145">
        <v>1316</v>
      </c>
      <c r="R127"/>
      <c r="S127"/>
      <c r="T127"/>
    </row>
    <row r="128" spans="1:20" x14ac:dyDescent="0.3">
      <c r="A128" s="97" t="s">
        <v>50</v>
      </c>
      <c r="B128" s="96" t="s">
        <v>128</v>
      </c>
      <c r="C128" s="106"/>
      <c r="D128" s="134">
        <v>687.59</v>
      </c>
      <c r="E128" s="134">
        <v>0</v>
      </c>
      <c r="F128" s="134">
        <v>312</v>
      </c>
      <c r="G128" s="134">
        <v>0</v>
      </c>
      <c r="H128" s="134">
        <v>175.59</v>
      </c>
      <c r="I128" s="134">
        <v>200</v>
      </c>
      <c r="J128" s="134">
        <v>24.37</v>
      </c>
      <c r="K128" s="134">
        <v>711.96</v>
      </c>
      <c r="L128" s="134">
        <v>24.37</v>
      </c>
      <c r="M128" s="134">
        <v>75</v>
      </c>
      <c r="N128" s="134">
        <v>237</v>
      </c>
      <c r="O128" s="134">
        <v>100.59</v>
      </c>
      <c r="P128" s="134">
        <v>275</v>
      </c>
      <c r="Q128" s="134">
        <v>0</v>
      </c>
      <c r="R128"/>
      <c r="S128"/>
      <c r="T128"/>
    </row>
    <row r="129" spans="1:20" x14ac:dyDescent="0.3">
      <c r="A129" s="97"/>
      <c r="B129" s="96" t="s">
        <v>72</v>
      </c>
      <c r="C129" s="106"/>
      <c r="D129" s="134">
        <v>79.185000000000002</v>
      </c>
      <c r="E129" s="134">
        <v>0</v>
      </c>
      <c r="F129" s="134">
        <v>53.71</v>
      </c>
      <c r="G129" s="134">
        <v>0</v>
      </c>
      <c r="H129" s="134">
        <v>25.475000000000001</v>
      </c>
      <c r="I129" s="134">
        <v>0</v>
      </c>
      <c r="J129" s="134">
        <v>21.945</v>
      </c>
      <c r="K129" s="134">
        <v>101.13</v>
      </c>
      <c r="L129" s="134">
        <v>0</v>
      </c>
      <c r="M129" s="134">
        <v>0</v>
      </c>
      <c r="N129" s="134">
        <v>75.655000000000001</v>
      </c>
      <c r="O129" s="134">
        <v>0</v>
      </c>
      <c r="P129" s="134">
        <v>25.475000000000001</v>
      </c>
      <c r="Q129" s="134">
        <v>0</v>
      </c>
      <c r="R129"/>
      <c r="S129"/>
      <c r="T129"/>
    </row>
    <row r="130" spans="1:20" x14ac:dyDescent="0.3">
      <c r="A130" s="97"/>
      <c r="B130" s="96" t="s">
        <v>1434</v>
      </c>
      <c r="C130" s="106">
        <v>700</v>
      </c>
      <c r="D130" s="134">
        <v>950</v>
      </c>
      <c r="E130" s="134">
        <v>0</v>
      </c>
      <c r="F130" s="134">
        <v>200</v>
      </c>
      <c r="G130" s="134">
        <v>500</v>
      </c>
      <c r="H130" s="134">
        <v>250</v>
      </c>
      <c r="I130" s="134">
        <v>0</v>
      </c>
      <c r="J130" s="134">
        <v>0</v>
      </c>
      <c r="K130" s="134">
        <v>950</v>
      </c>
      <c r="L130" s="134">
        <v>0</v>
      </c>
      <c r="M130" s="134">
        <v>0</v>
      </c>
      <c r="N130" s="134">
        <v>200</v>
      </c>
      <c r="O130" s="134">
        <v>500</v>
      </c>
      <c r="P130" s="134">
        <v>250</v>
      </c>
      <c r="Q130" s="134">
        <v>0</v>
      </c>
      <c r="R130"/>
      <c r="S130"/>
      <c r="T130"/>
    </row>
    <row r="131" spans="1:20" x14ac:dyDescent="0.3">
      <c r="A131" s="97"/>
      <c r="B131" s="96" t="s">
        <v>629</v>
      </c>
      <c r="C131" s="106"/>
      <c r="D131" s="134">
        <v>25</v>
      </c>
      <c r="E131" s="134">
        <v>0</v>
      </c>
      <c r="F131" s="134">
        <v>0</v>
      </c>
      <c r="G131" s="134">
        <v>0</v>
      </c>
      <c r="H131" s="134">
        <v>25</v>
      </c>
      <c r="I131" s="134">
        <v>0</v>
      </c>
      <c r="J131" s="134">
        <v>24.56</v>
      </c>
      <c r="K131" s="134">
        <v>49.56</v>
      </c>
      <c r="L131" s="134">
        <v>24.56</v>
      </c>
      <c r="M131" s="134">
        <v>0</v>
      </c>
      <c r="N131" s="134">
        <v>0</v>
      </c>
      <c r="O131" s="134">
        <v>0</v>
      </c>
      <c r="P131" s="134">
        <v>25</v>
      </c>
      <c r="Q131" s="134">
        <v>0</v>
      </c>
      <c r="R131"/>
      <c r="S131"/>
      <c r="T131"/>
    </row>
    <row r="132" spans="1:20" x14ac:dyDescent="0.3">
      <c r="A132" s="97"/>
      <c r="B132" s="96" t="s">
        <v>130</v>
      </c>
      <c r="C132" s="106"/>
      <c r="D132" s="134">
        <v>124.97999999999999</v>
      </c>
      <c r="E132" s="134">
        <v>0</v>
      </c>
      <c r="F132" s="134">
        <v>24.99</v>
      </c>
      <c r="G132" s="134">
        <v>99.99</v>
      </c>
      <c r="H132" s="134">
        <v>0</v>
      </c>
      <c r="I132" s="134">
        <v>0</v>
      </c>
      <c r="J132" s="134">
        <v>0</v>
      </c>
      <c r="K132" s="134">
        <v>124.97999999999999</v>
      </c>
      <c r="L132" s="134">
        <v>0</v>
      </c>
      <c r="M132" s="134">
        <v>24.99</v>
      </c>
      <c r="N132" s="134">
        <v>0</v>
      </c>
      <c r="O132" s="134">
        <v>99.99</v>
      </c>
      <c r="P132" s="134">
        <v>0</v>
      </c>
      <c r="Q132" s="134">
        <v>0</v>
      </c>
      <c r="R132"/>
      <c r="S132"/>
      <c r="T132"/>
    </row>
    <row r="133" spans="1:20" x14ac:dyDescent="0.3">
      <c r="A133" s="97"/>
      <c r="B133" s="96" t="s">
        <v>132</v>
      </c>
      <c r="C133" s="106"/>
      <c r="D133" s="134">
        <v>195</v>
      </c>
      <c r="E133" s="134">
        <v>0</v>
      </c>
      <c r="F133" s="134">
        <v>0</v>
      </c>
      <c r="G133" s="134">
        <v>0</v>
      </c>
      <c r="H133" s="134">
        <v>0</v>
      </c>
      <c r="I133" s="134">
        <v>195</v>
      </c>
      <c r="J133" s="134">
        <v>26.04</v>
      </c>
      <c r="K133" s="134">
        <v>76.039999999999992</v>
      </c>
      <c r="L133" s="134">
        <v>26.04</v>
      </c>
      <c r="M133" s="134">
        <v>0</v>
      </c>
      <c r="N133" s="134">
        <v>0</v>
      </c>
      <c r="O133" s="134">
        <v>0</v>
      </c>
      <c r="P133" s="134">
        <v>50</v>
      </c>
      <c r="Q133" s="134">
        <v>145</v>
      </c>
      <c r="R133"/>
      <c r="S133"/>
      <c r="T133"/>
    </row>
    <row r="134" spans="1:20" x14ac:dyDescent="0.3">
      <c r="A134" s="97"/>
      <c r="B134" s="96" t="s">
        <v>111</v>
      </c>
      <c r="C134" s="106"/>
      <c r="D134" s="134">
        <v>99.285000000000011</v>
      </c>
      <c r="E134" s="134">
        <v>0</v>
      </c>
      <c r="F134" s="134">
        <v>27.98</v>
      </c>
      <c r="G134" s="134">
        <v>71.305000000000007</v>
      </c>
      <c r="H134" s="134">
        <v>0</v>
      </c>
      <c r="I134" s="134">
        <v>0</v>
      </c>
      <c r="J134" s="134">
        <v>50.715000000000003</v>
      </c>
      <c r="K134" s="134">
        <v>150</v>
      </c>
      <c r="L134" s="134">
        <v>0</v>
      </c>
      <c r="M134" s="134">
        <v>0</v>
      </c>
      <c r="N134" s="134">
        <v>50</v>
      </c>
      <c r="O134" s="134">
        <v>100</v>
      </c>
      <c r="P134" s="134">
        <v>0</v>
      </c>
      <c r="Q134" s="134">
        <v>0</v>
      </c>
      <c r="R134"/>
      <c r="S134"/>
      <c r="T134"/>
    </row>
    <row r="135" spans="1:20" x14ac:dyDescent="0.3">
      <c r="A135" s="97"/>
      <c r="B135" s="96" t="s">
        <v>85</v>
      </c>
      <c r="C135" s="106"/>
      <c r="D135" s="134">
        <v>306.69499999999999</v>
      </c>
      <c r="E135" s="134">
        <v>75</v>
      </c>
      <c r="F135" s="134">
        <v>25</v>
      </c>
      <c r="G135" s="134">
        <v>106.69499999999999</v>
      </c>
      <c r="H135" s="134">
        <v>100</v>
      </c>
      <c r="I135" s="134">
        <v>0</v>
      </c>
      <c r="J135" s="134">
        <v>18.305</v>
      </c>
      <c r="K135" s="134">
        <v>325</v>
      </c>
      <c r="L135" s="134">
        <v>0</v>
      </c>
      <c r="M135" s="134">
        <v>75</v>
      </c>
      <c r="N135" s="134">
        <v>25</v>
      </c>
      <c r="O135" s="134">
        <v>125</v>
      </c>
      <c r="P135" s="134">
        <v>100</v>
      </c>
      <c r="Q135" s="134">
        <v>0</v>
      </c>
      <c r="R135"/>
      <c r="S135"/>
      <c r="T135"/>
    </row>
    <row r="136" spans="1:20" x14ac:dyDescent="0.3">
      <c r="A136" s="97"/>
      <c r="B136" s="96" t="s">
        <v>86</v>
      </c>
      <c r="C136" s="106"/>
      <c r="D136" s="134">
        <v>534.70000000000005</v>
      </c>
      <c r="E136" s="134">
        <v>0</v>
      </c>
      <c r="F136" s="134">
        <v>190.9</v>
      </c>
      <c r="G136" s="134">
        <v>58</v>
      </c>
      <c r="H136" s="134">
        <v>115.9</v>
      </c>
      <c r="I136" s="134">
        <v>169.9</v>
      </c>
      <c r="J136" s="134">
        <v>232.63499999999999</v>
      </c>
      <c r="K136" s="134">
        <v>626.43500000000006</v>
      </c>
      <c r="L136" s="134">
        <v>232.63499999999999</v>
      </c>
      <c r="M136" s="134">
        <v>75</v>
      </c>
      <c r="N136" s="134">
        <v>115.9</v>
      </c>
      <c r="O136" s="134">
        <v>58</v>
      </c>
      <c r="P136" s="134">
        <v>144.9</v>
      </c>
      <c r="Q136" s="134">
        <v>140.9</v>
      </c>
      <c r="R136"/>
      <c r="S136"/>
      <c r="T136"/>
    </row>
    <row r="137" spans="1:20" x14ac:dyDescent="0.3">
      <c r="A137" s="97"/>
      <c r="B137" s="96" t="s">
        <v>102</v>
      </c>
      <c r="C137" s="106"/>
      <c r="D137" s="134">
        <v>605.27</v>
      </c>
      <c r="E137" s="134">
        <v>0</v>
      </c>
      <c r="F137" s="134">
        <v>0</v>
      </c>
      <c r="G137" s="134">
        <v>230.27</v>
      </c>
      <c r="H137" s="134">
        <v>375</v>
      </c>
      <c r="I137" s="134">
        <v>0</v>
      </c>
      <c r="J137" s="134">
        <v>114.955</v>
      </c>
      <c r="K137" s="134">
        <v>720.22500000000002</v>
      </c>
      <c r="L137" s="134">
        <v>95.224999999999994</v>
      </c>
      <c r="M137" s="134">
        <v>0</v>
      </c>
      <c r="N137" s="134">
        <v>0</v>
      </c>
      <c r="O137" s="134">
        <v>500</v>
      </c>
      <c r="P137" s="134">
        <v>125</v>
      </c>
      <c r="Q137" s="134">
        <v>0</v>
      </c>
      <c r="R137"/>
      <c r="S137"/>
      <c r="T137"/>
    </row>
    <row r="138" spans="1:20" x14ac:dyDescent="0.3">
      <c r="A138" s="97"/>
      <c r="B138" s="96" t="s">
        <v>425</v>
      </c>
      <c r="C138" s="106">
        <v>3600</v>
      </c>
      <c r="D138" s="134">
        <v>54</v>
      </c>
      <c r="E138" s="134">
        <v>0</v>
      </c>
      <c r="F138" s="134">
        <v>0</v>
      </c>
      <c r="G138" s="134">
        <v>0</v>
      </c>
      <c r="H138" s="134">
        <v>25</v>
      </c>
      <c r="I138" s="134">
        <v>29</v>
      </c>
      <c r="J138" s="134">
        <v>0</v>
      </c>
      <c r="K138" s="134">
        <v>25</v>
      </c>
      <c r="L138" s="134">
        <v>0</v>
      </c>
      <c r="M138" s="134">
        <v>0</v>
      </c>
      <c r="N138" s="134">
        <v>0</v>
      </c>
      <c r="O138" s="134">
        <v>25</v>
      </c>
      <c r="P138" s="134">
        <v>0</v>
      </c>
      <c r="Q138" s="134">
        <v>29</v>
      </c>
      <c r="R138"/>
      <c r="S138"/>
      <c r="T138"/>
    </row>
    <row r="139" spans="1:20" x14ac:dyDescent="0.3">
      <c r="A139" s="98" t="s">
        <v>51</v>
      </c>
      <c r="B139" s="98"/>
      <c r="C139" s="107">
        <v>4300</v>
      </c>
      <c r="D139" s="142">
        <v>3661.7050000000004</v>
      </c>
      <c r="E139" s="143">
        <v>75</v>
      </c>
      <c r="F139" s="143">
        <v>834.58</v>
      </c>
      <c r="G139" s="143">
        <v>1066.26</v>
      </c>
      <c r="H139" s="143">
        <v>1091.9650000000001</v>
      </c>
      <c r="I139" s="143">
        <v>593.9</v>
      </c>
      <c r="J139" s="145">
        <v>513.52499999999998</v>
      </c>
      <c r="K139" s="142">
        <v>3860.33</v>
      </c>
      <c r="L139" s="140">
        <v>402.83000000000004</v>
      </c>
      <c r="M139" s="140">
        <v>249.99</v>
      </c>
      <c r="N139" s="140">
        <v>703.55499999999995</v>
      </c>
      <c r="O139" s="140">
        <v>1508.58</v>
      </c>
      <c r="P139" s="140">
        <v>995.375</v>
      </c>
      <c r="Q139" s="145">
        <v>314.89999999999998</v>
      </c>
      <c r="R139"/>
      <c r="S139"/>
      <c r="T139"/>
    </row>
    <row r="140" spans="1:20" x14ac:dyDescent="0.3">
      <c r="A140" s="97" t="s">
        <v>48</v>
      </c>
      <c r="B140" s="96" t="s">
        <v>105</v>
      </c>
      <c r="C140" s="106"/>
      <c r="D140" s="134">
        <v>444.28500000000003</v>
      </c>
      <c r="E140" s="134">
        <v>123.16</v>
      </c>
      <c r="F140" s="134">
        <v>83.99</v>
      </c>
      <c r="G140" s="134">
        <v>41.134999999999998</v>
      </c>
      <c r="H140" s="134">
        <v>196</v>
      </c>
      <c r="I140" s="134">
        <v>0</v>
      </c>
      <c r="J140" s="134">
        <v>141.05499999999998</v>
      </c>
      <c r="K140" s="134">
        <v>585.33999999999992</v>
      </c>
      <c r="L140" s="134">
        <v>124.21499999999999</v>
      </c>
      <c r="M140" s="134">
        <v>223.99</v>
      </c>
      <c r="N140" s="134">
        <v>13.135</v>
      </c>
      <c r="O140" s="134">
        <v>112</v>
      </c>
      <c r="P140" s="134">
        <v>112</v>
      </c>
      <c r="Q140" s="134">
        <v>0</v>
      </c>
      <c r="R140"/>
      <c r="S140"/>
      <c r="T140"/>
    </row>
    <row r="141" spans="1:20" x14ac:dyDescent="0.3">
      <c r="A141" s="97"/>
      <c r="B141" s="96" t="s">
        <v>106</v>
      </c>
      <c r="C141" s="106"/>
      <c r="D141" s="134">
        <v>4191.509</v>
      </c>
      <c r="E141" s="134">
        <v>768.59</v>
      </c>
      <c r="F141" s="134">
        <v>1063.999</v>
      </c>
      <c r="G141" s="134">
        <v>684.70500000000004</v>
      </c>
      <c r="H141" s="134">
        <v>974.21500000000003</v>
      </c>
      <c r="I141" s="134">
        <v>700</v>
      </c>
      <c r="J141" s="134">
        <v>439.53999999999996</v>
      </c>
      <c r="K141" s="134">
        <v>3931.049</v>
      </c>
      <c r="L141" s="134">
        <v>161.34499999999997</v>
      </c>
      <c r="M141" s="134">
        <v>1273.3340000000001</v>
      </c>
      <c r="N141" s="134">
        <v>879.92499999999995</v>
      </c>
      <c r="O141" s="134">
        <v>1420.4449999999999</v>
      </c>
      <c r="P141" s="134">
        <v>196</v>
      </c>
      <c r="Q141" s="134">
        <v>700</v>
      </c>
      <c r="R141"/>
      <c r="S141"/>
      <c r="T141"/>
    </row>
    <row r="142" spans="1:20" x14ac:dyDescent="0.3">
      <c r="A142" s="97"/>
      <c r="B142" s="96" t="s">
        <v>1731</v>
      </c>
      <c r="C142" s="106"/>
      <c r="D142" s="134">
        <v>0</v>
      </c>
      <c r="E142" s="134">
        <v>0</v>
      </c>
      <c r="F142" s="134">
        <v>0</v>
      </c>
      <c r="G142" s="134">
        <v>0</v>
      </c>
      <c r="H142" s="134">
        <v>0</v>
      </c>
      <c r="I142" s="134">
        <v>0</v>
      </c>
      <c r="J142" s="134">
        <v>3.08</v>
      </c>
      <c r="K142" s="134">
        <v>3.08</v>
      </c>
      <c r="L142" s="134">
        <v>3.08</v>
      </c>
      <c r="M142" s="134">
        <v>0</v>
      </c>
      <c r="N142" s="134">
        <v>0</v>
      </c>
      <c r="O142" s="134">
        <v>0</v>
      </c>
      <c r="P142" s="134">
        <v>0</v>
      </c>
      <c r="Q142" s="134">
        <v>0</v>
      </c>
      <c r="R142"/>
      <c r="S142"/>
      <c r="T142"/>
    </row>
    <row r="143" spans="1:20" x14ac:dyDescent="0.3">
      <c r="A143" s="97"/>
      <c r="B143" s="96" t="s">
        <v>133</v>
      </c>
      <c r="C143" s="106">
        <v>9000</v>
      </c>
      <c r="D143" s="134">
        <v>4682.0379999999986</v>
      </c>
      <c r="E143" s="134">
        <v>225.06399999999996</v>
      </c>
      <c r="F143" s="134">
        <v>1153.0830000000001</v>
      </c>
      <c r="G143" s="134">
        <v>1378.1479999999997</v>
      </c>
      <c r="H143" s="134">
        <v>977.98900000000003</v>
      </c>
      <c r="I143" s="134">
        <v>947.75400000000002</v>
      </c>
      <c r="J143" s="134">
        <v>657.83</v>
      </c>
      <c r="K143" s="134">
        <v>4835.6139999999968</v>
      </c>
      <c r="L143" s="134">
        <v>177.64000000000001</v>
      </c>
      <c r="M143" s="134">
        <v>948.37300000000005</v>
      </c>
      <c r="N143" s="134">
        <v>1030.7439999999999</v>
      </c>
      <c r="O143" s="134">
        <v>1470.3229999999999</v>
      </c>
      <c r="P143" s="134">
        <v>1208.5340000000001</v>
      </c>
      <c r="Q143" s="134">
        <v>504.25400000000002</v>
      </c>
      <c r="R143"/>
      <c r="S143"/>
      <c r="T143"/>
    </row>
    <row r="144" spans="1:20" x14ac:dyDescent="0.3">
      <c r="A144" s="98" t="s">
        <v>49</v>
      </c>
      <c r="B144" s="98"/>
      <c r="C144" s="107">
        <v>9000</v>
      </c>
      <c r="D144" s="142">
        <v>9317.8319999999985</v>
      </c>
      <c r="E144" s="143">
        <v>1116.8139999999999</v>
      </c>
      <c r="F144" s="143">
        <v>2301.0720000000001</v>
      </c>
      <c r="G144" s="143">
        <v>2103.9879999999998</v>
      </c>
      <c r="H144" s="143">
        <v>2148.2040000000002</v>
      </c>
      <c r="I144" s="143">
        <v>1647.7539999999999</v>
      </c>
      <c r="J144" s="145">
        <v>1241.5050000000001</v>
      </c>
      <c r="K144" s="142">
        <v>9355.0829999999969</v>
      </c>
      <c r="L144" s="140">
        <v>466.28</v>
      </c>
      <c r="M144" s="140">
        <v>2445.6970000000001</v>
      </c>
      <c r="N144" s="140">
        <v>1923.8039999999999</v>
      </c>
      <c r="O144" s="140">
        <v>3002.768</v>
      </c>
      <c r="P144" s="140">
        <v>1516.5340000000001</v>
      </c>
      <c r="Q144" s="145">
        <v>1204.2539999999999</v>
      </c>
      <c r="R144"/>
      <c r="S144"/>
      <c r="T144"/>
    </row>
    <row r="145" spans="1:20" x14ac:dyDescent="0.3">
      <c r="A145" s="97" t="s">
        <v>52</v>
      </c>
      <c r="B145" s="97"/>
      <c r="C145" s="106">
        <v>54400</v>
      </c>
      <c r="D145" s="142">
        <v>54177.279999999992</v>
      </c>
      <c r="E145" s="143">
        <v>4757.8440000000001</v>
      </c>
      <c r="F145" s="143">
        <v>11487.000999999995</v>
      </c>
      <c r="G145" s="143">
        <v>14558.421999999999</v>
      </c>
      <c r="H145" s="143">
        <v>11966.439</v>
      </c>
      <c r="I145" s="143">
        <v>11407.573999999999</v>
      </c>
      <c r="J145" s="145">
        <v>7879.2100000000037</v>
      </c>
      <c r="K145" s="142">
        <v>55638.195999999989</v>
      </c>
      <c r="L145" s="140">
        <v>4207.0899999999992</v>
      </c>
      <c r="M145" s="140">
        <v>10532.642</v>
      </c>
      <c r="N145" s="140">
        <v>14306.172999999997</v>
      </c>
      <c r="O145" s="140">
        <v>14448.742</v>
      </c>
      <c r="P145" s="140">
        <v>12143.549000000001</v>
      </c>
      <c r="Q145" s="145">
        <v>6418.293999999999</v>
      </c>
      <c r="R145"/>
      <c r="S145"/>
      <c r="T145"/>
    </row>
    <row r="146" spans="1:20" x14ac:dyDescent="0.3">
      <c r="A146"/>
      <c r="B146"/>
      <c r="C146"/>
      <c r="D146"/>
      <c r="E146"/>
      <c r="F146"/>
      <c r="G146"/>
      <c r="H146"/>
      <c r="I146"/>
      <c r="J146"/>
      <c r="K146"/>
      <c r="L146"/>
      <c r="M146"/>
      <c r="N146"/>
      <c r="O146"/>
      <c r="P146"/>
      <c r="Q146"/>
      <c r="R146"/>
      <c r="S146"/>
      <c r="T146"/>
    </row>
    <row r="147" spans="1:20" x14ac:dyDescent="0.3">
      <c r="A147"/>
      <c r="B147"/>
      <c r="C147"/>
      <c r="D147"/>
      <c r="E147"/>
      <c r="F147"/>
      <c r="G147"/>
      <c r="H147"/>
      <c r="I147"/>
      <c r="J147"/>
      <c r="K147"/>
      <c r="L147"/>
      <c r="M147"/>
      <c r="N147"/>
      <c r="O147"/>
      <c r="P147"/>
      <c r="Q147"/>
      <c r="R147"/>
      <c r="S147"/>
      <c r="T147"/>
    </row>
    <row r="148" spans="1:20" x14ac:dyDescent="0.3">
      <c r="A148"/>
      <c r="B148"/>
      <c r="C148"/>
      <c r="D148"/>
      <c r="E148"/>
      <c r="F148"/>
      <c r="G148"/>
      <c r="H148"/>
      <c r="I148"/>
      <c r="J148"/>
      <c r="K148"/>
      <c r="L148"/>
      <c r="M148"/>
      <c r="N148"/>
      <c r="O148"/>
      <c r="P148"/>
      <c r="Q148"/>
      <c r="R148"/>
      <c r="S148"/>
      <c r="T148"/>
    </row>
    <row r="149" spans="1:20" x14ac:dyDescent="0.3">
      <c r="A149"/>
      <c r="B149"/>
      <c r="C149"/>
      <c r="D149"/>
      <c r="E149"/>
      <c r="F149"/>
      <c r="G149"/>
      <c r="H149"/>
      <c r="I149"/>
      <c r="J149"/>
      <c r="K149"/>
      <c r="L149"/>
      <c r="M149"/>
      <c r="N149"/>
      <c r="O149"/>
      <c r="P149"/>
      <c r="Q149"/>
      <c r="R149"/>
      <c r="S149"/>
      <c r="T149"/>
    </row>
    <row r="150" spans="1:20" x14ac:dyDescent="0.3">
      <c r="A150"/>
      <c r="B150"/>
      <c r="C150"/>
      <c r="D150"/>
      <c r="E150"/>
      <c r="F150"/>
      <c r="G150"/>
      <c r="H150"/>
      <c r="I150"/>
      <c r="J150"/>
      <c r="K150"/>
      <c r="L150"/>
      <c r="M150"/>
      <c r="N150"/>
      <c r="O150"/>
      <c r="P150"/>
      <c r="Q150"/>
      <c r="R150"/>
      <c r="S150"/>
      <c r="T150"/>
    </row>
    <row r="151" spans="1:20" x14ac:dyDescent="0.3">
      <c r="A151"/>
      <c r="B151"/>
      <c r="C151"/>
      <c r="D151"/>
      <c r="E151"/>
      <c r="F151"/>
      <c r="G151"/>
      <c r="H151"/>
      <c r="I151"/>
      <c r="J151"/>
      <c r="K151"/>
      <c r="L151"/>
      <c r="M151"/>
      <c r="N151"/>
      <c r="O151"/>
      <c r="P151"/>
      <c r="Q151"/>
      <c r="R151"/>
      <c r="S151"/>
      <c r="T151"/>
    </row>
    <row r="152" spans="1:20" x14ac:dyDescent="0.3">
      <c r="A152"/>
      <c r="B152"/>
      <c r="C152"/>
      <c r="D152"/>
      <c r="E152"/>
      <c r="F152"/>
      <c r="G152"/>
      <c r="H152"/>
      <c r="I152"/>
      <c r="J152"/>
      <c r="K152"/>
      <c r="L152"/>
      <c r="M152"/>
      <c r="N152"/>
      <c r="O152"/>
      <c r="P152"/>
      <c r="Q152"/>
      <c r="R152"/>
      <c r="S152"/>
      <c r="T152"/>
    </row>
    <row r="153" spans="1:20" x14ac:dyDescent="0.3">
      <c r="A153"/>
      <c r="B153"/>
      <c r="C153"/>
      <c r="D153"/>
      <c r="E153"/>
      <c r="F153"/>
      <c r="G153"/>
      <c r="H153"/>
      <c r="I153"/>
      <c r="J153"/>
      <c r="K153"/>
      <c r="L153"/>
      <c r="M153"/>
      <c r="N153"/>
      <c r="O153"/>
      <c r="P153"/>
      <c r="Q153"/>
      <c r="R153"/>
      <c r="S153"/>
      <c r="T153"/>
    </row>
    <row r="154" spans="1:20" x14ac:dyDescent="0.3">
      <c r="A154"/>
      <c r="B154"/>
      <c r="C154"/>
      <c r="D154"/>
      <c r="E154"/>
      <c r="F154"/>
      <c r="G154"/>
      <c r="H154"/>
      <c r="I154"/>
      <c r="J154"/>
      <c r="K154"/>
      <c r="L154"/>
      <c r="M154"/>
      <c r="N154"/>
      <c r="O154"/>
      <c r="P154"/>
      <c r="Q154"/>
      <c r="R154"/>
      <c r="S154"/>
      <c r="T154"/>
    </row>
    <row r="155" spans="1:20" x14ac:dyDescent="0.3">
      <c r="A155"/>
      <c r="B155"/>
      <c r="C155"/>
      <c r="D155"/>
      <c r="E155"/>
      <c r="F155"/>
      <c r="G155"/>
      <c r="H155"/>
      <c r="I155"/>
      <c r="J155"/>
      <c r="K155"/>
      <c r="L155"/>
      <c r="M155"/>
      <c r="N155"/>
      <c r="O155"/>
      <c r="P155"/>
      <c r="Q155"/>
      <c r="R155"/>
      <c r="S155"/>
      <c r="T155"/>
    </row>
    <row r="156" spans="1:20" x14ac:dyDescent="0.3">
      <c r="A156"/>
      <c r="B156"/>
      <c r="C156"/>
      <c r="D156"/>
      <c r="E156"/>
      <c r="F156"/>
      <c r="G156"/>
      <c r="H156"/>
      <c r="I156"/>
      <c r="J156"/>
      <c r="K156"/>
      <c r="L156"/>
      <c r="M156"/>
      <c r="N156"/>
      <c r="O156"/>
      <c r="P156"/>
      <c r="Q156"/>
      <c r="R156"/>
      <c r="S156"/>
      <c r="T156"/>
    </row>
    <row r="157" spans="1:20" x14ac:dyDescent="0.3">
      <c r="A157"/>
      <c r="B157"/>
      <c r="C157"/>
      <c r="D157"/>
      <c r="E157"/>
      <c r="F157"/>
      <c r="G157"/>
      <c r="H157"/>
      <c r="I157"/>
      <c r="J157"/>
      <c r="K157"/>
      <c r="L157"/>
      <c r="M157"/>
      <c r="N157"/>
      <c r="O157"/>
      <c r="P157"/>
      <c r="Q157"/>
      <c r="R157"/>
      <c r="S157"/>
      <c r="T157"/>
    </row>
    <row r="158" spans="1:20" x14ac:dyDescent="0.3">
      <c r="A158"/>
      <c r="B158"/>
      <c r="C158"/>
      <c r="D158"/>
      <c r="E158"/>
      <c r="F158"/>
      <c r="G158"/>
      <c r="H158"/>
      <c r="I158"/>
      <c r="J158"/>
      <c r="K158"/>
      <c r="L158"/>
      <c r="M158"/>
      <c r="N158"/>
      <c r="O158"/>
      <c r="P158"/>
      <c r="Q158"/>
      <c r="R158"/>
      <c r="S158"/>
      <c r="T158"/>
    </row>
    <row r="159" spans="1:20" x14ac:dyDescent="0.3">
      <c r="A159"/>
      <c r="B159"/>
      <c r="C159"/>
      <c r="D159"/>
      <c r="E159"/>
      <c r="F159"/>
      <c r="G159"/>
      <c r="H159"/>
      <c r="I159"/>
      <c r="J159"/>
      <c r="K159"/>
      <c r="L159"/>
      <c r="M159"/>
      <c r="N159"/>
      <c r="O159"/>
      <c r="P159"/>
      <c r="Q159"/>
      <c r="R159"/>
      <c r="S159"/>
      <c r="T159"/>
    </row>
    <row r="160" spans="1:20" x14ac:dyDescent="0.3">
      <c r="A160"/>
      <c r="B160"/>
      <c r="C160"/>
      <c r="D160"/>
      <c r="E160"/>
      <c r="F160"/>
      <c r="G160"/>
      <c r="H160"/>
      <c r="I160"/>
      <c r="J160"/>
      <c r="K160"/>
      <c r="L160"/>
      <c r="M160"/>
      <c r="N160"/>
      <c r="O160"/>
      <c r="P160"/>
      <c r="Q160"/>
      <c r="R160"/>
      <c r="S160"/>
      <c r="T160"/>
    </row>
    <row r="161" spans="1:20" x14ac:dyDescent="0.3">
      <c r="A161"/>
      <c r="B161"/>
      <c r="C161"/>
      <c r="D161"/>
      <c r="E161"/>
      <c r="F161"/>
      <c r="G161"/>
      <c r="H161"/>
      <c r="I161"/>
      <c r="J161"/>
      <c r="K161"/>
      <c r="L161"/>
      <c r="M161"/>
      <c r="N161"/>
      <c r="O161"/>
      <c r="P161"/>
      <c r="Q161"/>
      <c r="R161"/>
      <c r="S161"/>
      <c r="T161"/>
    </row>
    <row r="162" spans="1:20" x14ac:dyDescent="0.3">
      <c r="A162"/>
      <c r="B162"/>
      <c r="C162"/>
      <c r="D162"/>
      <c r="E162"/>
      <c r="F162"/>
      <c r="G162"/>
      <c r="H162"/>
      <c r="I162"/>
      <c r="J162"/>
      <c r="K162"/>
      <c r="L162"/>
      <c r="M162"/>
      <c r="N162"/>
      <c r="O162"/>
      <c r="P162"/>
      <c r="Q162"/>
      <c r="R162"/>
      <c r="S162"/>
      <c r="T162"/>
    </row>
    <row r="163" spans="1:20" x14ac:dyDescent="0.3">
      <c r="A163"/>
      <c r="B163"/>
      <c r="C163"/>
      <c r="D163"/>
      <c r="E163"/>
      <c r="F163"/>
      <c r="G163"/>
      <c r="H163"/>
      <c r="I163"/>
      <c r="J163"/>
      <c r="K163"/>
      <c r="L163"/>
      <c r="M163"/>
      <c r="N163"/>
      <c r="O163"/>
      <c r="P163"/>
      <c r="Q163"/>
      <c r="R163"/>
      <c r="S163"/>
      <c r="T163"/>
    </row>
    <row r="164" spans="1:20" x14ac:dyDescent="0.3">
      <c r="A164"/>
      <c r="B164"/>
      <c r="C164"/>
      <c r="D164"/>
      <c r="E164"/>
      <c r="F164"/>
      <c r="G164"/>
      <c r="H164"/>
      <c r="I164"/>
      <c r="J164"/>
      <c r="K164"/>
      <c r="L164"/>
      <c r="M164"/>
      <c r="N164"/>
      <c r="O164"/>
      <c r="P164"/>
      <c r="Q164"/>
      <c r="R164"/>
      <c r="S164"/>
      <c r="T164"/>
    </row>
    <row r="165" spans="1:20" x14ac:dyDescent="0.3">
      <c r="A165"/>
      <c r="B165"/>
      <c r="C165"/>
      <c r="D165"/>
      <c r="E165"/>
      <c r="F165"/>
      <c r="G165"/>
      <c r="H165"/>
      <c r="I165"/>
      <c r="J165"/>
      <c r="K165"/>
      <c r="L165"/>
      <c r="M165"/>
      <c r="N165"/>
      <c r="O165"/>
      <c r="P165"/>
      <c r="Q165"/>
      <c r="R165"/>
      <c r="S165"/>
      <c r="T165"/>
    </row>
    <row r="166" spans="1:20" x14ac:dyDescent="0.3">
      <c r="A166"/>
      <c r="B166"/>
      <c r="C166"/>
      <c r="D166"/>
      <c r="E166"/>
      <c r="F166"/>
      <c r="G166"/>
      <c r="H166"/>
      <c r="I166"/>
      <c r="J166"/>
      <c r="K166"/>
      <c r="L166"/>
      <c r="M166"/>
      <c r="N166"/>
      <c r="O166"/>
      <c r="P166"/>
      <c r="Q166"/>
      <c r="R166"/>
      <c r="S166"/>
      <c r="T166"/>
    </row>
    <row r="167" spans="1:20" x14ac:dyDescent="0.3">
      <c r="A167"/>
      <c r="B167"/>
      <c r="C167"/>
      <c r="D167"/>
      <c r="E167"/>
      <c r="F167"/>
      <c r="G167"/>
      <c r="H167"/>
      <c r="I167"/>
      <c r="J167"/>
      <c r="K167"/>
      <c r="L167"/>
      <c r="M167"/>
      <c r="N167"/>
      <c r="O167"/>
      <c r="P167"/>
      <c r="Q167"/>
      <c r="R167"/>
      <c r="S167"/>
      <c r="T167"/>
    </row>
    <row r="168" spans="1:20" x14ac:dyDescent="0.3">
      <c r="A168"/>
      <c r="B168"/>
      <c r="C168"/>
      <c r="D168"/>
      <c r="E168"/>
      <c r="F168"/>
      <c r="G168"/>
      <c r="H168"/>
      <c r="I168"/>
      <c r="J168"/>
      <c r="K168"/>
      <c r="L168"/>
      <c r="M168"/>
      <c r="N168"/>
      <c r="O168"/>
      <c r="P168"/>
      <c r="Q168"/>
      <c r="R168"/>
      <c r="S168"/>
      <c r="T168"/>
    </row>
    <row r="169" spans="1:20" x14ac:dyDescent="0.3">
      <c r="A169"/>
      <c r="B169"/>
      <c r="C169"/>
      <c r="D169"/>
      <c r="E169"/>
      <c r="F169"/>
      <c r="G169"/>
      <c r="H169"/>
      <c r="I169"/>
      <c r="J169"/>
      <c r="K169"/>
      <c r="L169"/>
      <c r="M169"/>
      <c r="N169"/>
      <c r="O169"/>
      <c r="P169"/>
      <c r="Q169"/>
      <c r="R169"/>
      <c r="S169"/>
      <c r="T169"/>
    </row>
    <row r="170" spans="1:20" x14ac:dyDescent="0.3">
      <c r="A170"/>
      <c r="B170"/>
      <c r="C170"/>
      <c r="D170"/>
      <c r="E170"/>
      <c r="F170"/>
      <c r="G170"/>
      <c r="H170"/>
      <c r="I170"/>
      <c r="J170"/>
      <c r="K170"/>
      <c r="L170"/>
      <c r="M170"/>
      <c r="N170"/>
      <c r="O170"/>
      <c r="P170"/>
      <c r="Q170"/>
      <c r="R170"/>
      <c r="S170"/>
      <c r="T170"/>
    </row>
    <row r="171" spans="1:20" x14ac:dyDescent="0.3">
      <c r="A171"/>
      <c r="B171"/>
      <c r="C171"/>
      <c r="D171"/>
      <c r="E171"/>
      <c r="F171"/>
      <c r="G171"/>
      <c r="H171"/>
      <c r="I171"/>
      <c r="J171"/>
      <c r="K171"/>
      <c r="L171"/>
      <c r="M171"/>
      <c r="N171"/>
      <c r="O171"/>
      <c r="P171"/>
      <c r="Q171"/>
      <c r="R171"/>
      <c r="S171"/>
      <c r="T171"/>
    </row>
    <row r="172" spans="1:20" x14ac:dyDescent="0.3">
      <c r="A172"/>
      <c r="B172"/>
      <c r="C172"/>
      <c r="D172"/>
      <c r="E172"/>
      <c r="F172"/>
      <c r="G172"/>
      <c r="H172"/>
      <c r="I172"/>
      <c r="J172"/>
      <c r="K172"/>
      <c r="L172"/>
      <c r="M172"/>
      <c r="N172"/>
      <c r="O172"/>
      <c r="P172"/>
      <c r="Q172"/>
      <c r="R172"/>
      <c r="S172"/>
      <c r="T172"/>
    </row>
    <row r="173" spans="1:20" x14ac:dyDescent="0.3">
      <c r="A173"/>
      <c r="B173"/>
      <c r="C173"/>
      <c r="D173"/>
      <c r="E173"/>
      <c r="F173"/>
      <c r="G173"/>
      <c r="H173"/>
      <c r="I173"/>
      <c r="J173"/>
      <c r="K173"/>
      <c r="L173"/>
      <c r="M173"/>
      <c r="N173"/>
      <c r="O173"/>
      <c r="P173"/>
      <c r="Q173"/>
      <c r="R173"/>
      <c r="S173"/>
      <c r="T173"/>
    </row>
    <row r="174" spans="1:20" x14ac:dyDescent="0.3">
      <c r="A174"/>
      <c r="B174"/>
      <c r="C174"/>
      <c r="D174"/>
      <c r="E174"/>
      <c r="F174"/>
      <c r="G174"/>
      <c r="H174"/>
      <c r="I174"/>
      <c r="J174"/>
      <c r="K174"/>
      <c r="L174"/>
      <c r="M174"/>
      <c r="N174"/>
      <c r="O174"/>
      <c r="P174"/>
      <c r="Q174"/>
      <c r="R174"/>
      <c r="S174"/>
      <c r="T174"/>
    </row>
    <row r="175" spans="1:20" x14ac:dyDescent="0.3">
      <c r="A175"/>
      <c r="B175"/>
      <c r="C175"/>
      <c r="D175"/>
      <c r="E175"/>
      <c r="F175"/>
      <c r="G175"/>
      <c r="H175"/>
      <c r="I175"/>
      <c r="J175"/>
      <c r="K175"/>
      <c r="L175"/>
      <c r="M175"/>
      <c r="N175"/>
      <c r="O175"/>
      <c r="P175"/>
      <c r="Q175"/>
      <c r="R175"/>
      <c r="S175"/>
      <c r="T175"/>
    </row>
    <row r="176" spans="1:20" x14ac:dyDescent="0.3">
      <c r="A176"/>
      <c r="B176"/>
      <c r="C176"/>
      <c r="D176"/>
      <c r="E176"/>
      <c r="F176"/>
      <c r="G176"/>
      <c r="H176"/>
      <c r="I176"/>
      <c r="J176"/>
      <c r="K176"/>
      <c r="L176"/>
      <c r="M176"/>
      <c r="N176"/>
      <c r="O176"/>
      <c r="P176"/>
      <c r="Q176"/>
      <c r="R176"/>
      <c r="S176"/>
      <c r="T176"/>
    </row>
    <row r="177" spans="1:20" x14ac:dyDescent="0.3">
      <c r="A177"/>
      <c r="B177"/>
      <c r="C177"/>
      <c r="D177"/>
      <c r="E177"/>
      <c r="F177"/>
      <c r="G177"/>
      <c r="H177"/>
      <c r="I177"/>
      <c r="J177"/>
      <c r="K177"/>
      <c r="L177"/>
      <c r="M177"/>
      <c r="N177"/>
      <c r="O177"/>
      <c r="P177"/>
      <c r="Q177"/>
      <c r="R177"/>
      <c r="S177"/>
      <c r="T177"/>
    </row>
    <row r="178" spans="1:20" x14ac:dyDescent="0.3">
      <c r="A178"/>
      <c r="B178"/>
      <c r="C178"/>
      <c r="D178"/>
      <c r="E178"/>
      <c r="F178"/>
      <c r="G178"/>
      <c r="H178"/>
      <c r="I178"/>
      <c r="J178"/>
      <c r="K178"/>
      <c r="L178"/>
      <c r="M178"/>
      <c r="N178"/>
      <c r="O178"/>
      <c r="P178"/>
      <c r="Q178"/>
      <c r="R178"/>
      <c r="S178"/>
      <c r="T178"/>
    </row>
    <row r="179" spans="1:20" x14ac:dyDescent="0.3">
      <c r="A179"/>
      <c r="B179"/>
      <c r="C179"/>
      <c r="D179"/>
      <c r="E179"/>
      <c r="F179"/>
      <c r="G179"/>
      <c r="H179"/>
      <c r="I179"/>
      <c r="J179"/>
      <c r="K179"/>
      <c r="L179"/>
      <c r="M179"/>
      <c r="N179"/>
      <c r="O179"/>
      <c r="P179"/>
      <c r="Q179"/>
      <c r="R179"/>
      <c r="S179"/>
      <c r="T179"/>
    </row>
    <row r="180" spans="1:20" x14ac:dyDescent="0.3">
      <c r="A180"/>
      <c r="B180"/>
      <c r="C180"/>
      <c r="D180"/>
      <c r="E180"/>
      <c r="F180"/>
      <c r="G180"/>
      <c r="H180"/>
      <c r="I180"/>
      <c r="J180"/>
      <c r="K180"/>
      <c r="L180"/>
      <c r="M180"/>
      <c r="N180"/>
      <c r="O180"/>
      <c r="P180"/>
      <c r="Q180"/>
      <c r="R180"/>
      <c r="S180"/>
      <c r="T180"/>
    </row>
    <row r="181" spans="1:20" x14ac:dyDescent="0.3">
      <c r="A181"/>
      <c r="B181"/>
      <c r="C181"/>
      <c r="D181"/>
      <c r="E181"/>
      <c r="F181"/>
      <c r="G181"/>
      <c r="H181"/>
      <c r="I181"/>
      <c r="J181"/>
      <c r="K181"/>
      <c r="L181"/>
      <c r="M181"/>
      <c r="N181"/>
      <c r="O181"/>
      <c r="P181"/>
      <c r="Q181"/>
      <c r="R181"/>
      <c r="S181"/>
      <c r="T181"/>
    </row>
    <row r="182" spans="1:20" x14ac:dyDescent="0.3">
      <c r="A182"/>
      <c r="B182"/>
      <c r="C182"/>
      <c r="D182"/>
      <c r="E182"/>
      <c r="F182"/>
      <c r="G182"/>
      <c r="H182"/>
      <c r="I182"/>
      <c r="J182"/>
      <c r="K182"/>
      <c r="L182"/>
      <c r="M182"/>
      <c r="N182"/>
      <c r="O182"/>
      <c r="P182"/>
      <c r="Q182"/>
      <c r="R182"/>
      <c r="S182"/>
      <c r="T182"/>
    </row>
    <row r="183" spans="1:20" x14ac:dyDescent="0.3">
      <c r="A183"/>
      <c r="B183"/>
      <c r="C183"/>
      <c r="D183"/>
      <c r="E183"/>
      <c r="F183"/>
      <c r="G183"/>
      <c r="H183"/>
      <c r="I183"/>
      <c r="J183"/>
      <c r="K183"/>
      <c r="L183"/>
      <c r="M183"/>
      <c r="N183"/>
      <c r="O183"/>
      <c r="P183"/>
      <c r="Q183"/>
      <c r="R183"/>
      <c r="S183"/>
      <c r="T183"/>
    </row>
    <row r="184" spans="1:20" x14ac:dyDescent="0.3">
      <c r="A184"/>
      <c r="B184"/>
      <c r="C184"/>
      <c r="D184"/>
      <c r="E184"/>
      <c r="F184"/>
      <c r="G184"/>
      <c r="H184"/>
      <c r="I184"/>
      <c r="J184"/>
      <c r="K184"/>
      <c r="L184"/>
      <c r="M184"/>
      <c r="N184"/>
      <c r="O184"/>
      <c r="P184"/>
      <c r="Q184"/>
      <c r="R184"/>
      <c r="S184"/>
      <c r="T184"/>
    </row>
    <row r="185" spans="1:20" x14ac:dyDescent="0.3">
      <c r="A185"/>
      <c r="B185"/>
      <c r="C185"/>
      <c r="D185"/>
      <c r="E185"/>
      <c r="F185"/>
      <c r="G185"/>
      <c r="H185"/>
      <c r="I185"/>
      <c r="J185"/>
      <c r="K185"/>
      <c r="L185"/>
      <c r="M185"/>
      <c r="N185"/>
      <c r="O185"/>
      <c r="P185"/>
      <c r="Q185"/>
      <c r="R185"/>
      <c r="S185"/>
      <c r="T185"/>
    </row>
    <row r="186" spans="1:20" x14ac:dyDescent="0.3">
      <c r="A186"/>
      <c r="B186"/>
      <c r="C186"/>
      <c r="D186"/>
      <c r="E186"/>
      <c r="F186"/>
      <c r="G186"/>
      <c r="H186"/>
      <c r="I186"/>
      <c r="J186"/>
      <c r="K186"/>
      <c r="L186"/>
      <c r="M186"/>
      <c r="N186"/>
      <c r="O186"/>
      <c r="P186"/>
      <c r="Q186"/>
      <c r="R186"/>
      <c r="S186"/>
      <c r="T186"/>
    </row>
    <row r="187" spans="1:20" x14ac:dyDescent="0.3">
      <c r="A187"/>
      <c r="B187"/>
      <c r="C187"/>
      <c r="D187"/>
      <c r="E187"/>
      <c r="F187"/>
      <c r="G187"/>
      <c r="H187"/>
      <c r="I187"/>
      <c r="J187"/>
      <c r="K187"/>
      <c r="L187"/>
      <c r="M187"/>
      <c r="N187"/>
      <c r="O187"/>
      <c r="P187"/>
      <c r="Q187"/>
      <c r="R187"/>
      <c r="S187"/>
      <c r="T187"/>
    </row>
    <row r="188" spans="1:20" x14ac:dyDescent="0.3">
      <c r="A188"/>
      <c r="B188"/>
      <c r="C188"/>
      <c r="D188"/>
      <c r="E188"/>
      <c r="F188"/>
      <c r="G188"/>
      <c r="H188"/>
      <c r="I188"/>
      <c r="J188"/>
      <c r="K188"/>
      <c r="L188"/>
      <c r="M188"/>
      <c r="N188"/>
      <c r="O188"/>
      <c r="P188"/>
      <c r="Q188"/>
      <c r="R188"/>
      <c r="S188"/>
      <c r="T188"/>
    </row>
    <row r="189" spans="1:20" x14ac:dyDescent="0.3">
      <c r="A189"/>
      <c r="B189"/>
      <c r="C189"/>
      <c r="D189"/>
      <c r="E189"/>
      <c r="F189"/>
      <c r="G189"/>
      <c r="H189"/>
      <c r="I189"/>
      <c r="J189"/>
      <c r="K189"/>
      <c r="L189"/>
      <c r="M189"/>
      <c r="N189"/>
      <c r="O189"/>
      <c r="P189"/>
      <c r="Q189"/>
      <c r="R189"/>
      <c r="S189"/>
      <c r="T189"/>
    </row>
    <row r="190" spans="1:20" x14ac:dyDescent="0.3">
      <c r="A190"/>
      <c r="B190"/>
      <c r="C190"/>
      <c r="D190"/>
      <c r="E190"/>
      <c r="F190"/>
      <c r="G190"/>
      <c r="H190"/>
      <c r="I190"/>
      <c r="J190"/>
      <c r="K190"/>
      <c r="L190"/>
      <c r="M190"/>
      <c r="N190"/>
      <c r="O190"/>
      <c r="P190"/>
      <c r="Q190"/>
      <c r="R190"/>
      <c r="S190"/>
      <c r="T190"/>
    </row>
    <row r="191" spans="1:20" x14ac:dyDescent="0.3">
      <c r="A191"/>
      <c r="B191"/>
      <c r="C191"/>
      <c r="D191"/>
      <c r="E191"/>
      <c r="F191"/>
      <c r="G191"/>
      <c r="H191"/>
      <c r="I191"/>
      <c r="J191"/>
      <c r="K191"/>
      <c r="L191"/>
      <c r="M191"/>
      <c r="N191"/>
      <c r="O191"/>
      <c r="P191"/>
      <c r="Q191"/>
      <c r="R191"/>
      <c r="S191"/>
      <c r="T191"/>
    </row>
    <row r="192" spans="1:20" x14ac:dyDescent="0.3">
      <c r="A192"/>
      <c r="B192"/>
      <c r="C192"/>
      <c r="D192"/>
      <c r="E192"/>
      <c r="F192"/>
      <c r="G192"/>
      <c r="H192"/>
      <c r="I192"/>
      <c r="J192"/>
      <c r="K192"/>
      <c r="L192"/>
      <c r="M192"/>
      <c r="N192"/>
      <c r="O192"/>
      <c r="P192"/>
      <c r="Q192"/>
      <c r="R192"/>
      <c r="S192"/>
      <c r="T192"/>
    </row>
    <row r="193" spans="1:20" x14ac:dyDescent="0.3">
      <c r="A193"/>
      <c r="B193"/>
      <c r="C193"/>
      <c r="D193"/>
      <c r="E193"/>
      <c r="F193"/>
      <c r="G193"/>
      <c r="H193"/>
      <c r="I193"/>
      <c r="J193"/>
      <c r="K193"/>
      <c r="L193"/>
      <c r="M193"/>
      <c r="N193"/>
      <c r="O193"/>
      <c r="P193"/>
      <c r="Q193"/>
      <c r="R193"/>
      <c r="S193"/>
      <c r="T193"/>
    </row>
    <row r="194" spans="1:20" x14ac:dyDescent="0.3">
      <c r="A194"/>
      <c r="B194"/>
      <c r="C194"/>
      <c r="D194"/>
      <c r="E194"/>
      <c r="F194"/>
      <c r="G194"/>
      <c r="H194"/>
      <c r="I194"/>
      <c r="J194"/>
      <c r="K194"/>
      <c r="L194"/>
      <c r="M194"/>
      <c r="N194"/>
      <c r="O194"/>
      <c r="P194"/>
      <c r="Q194"/>
      <c r="R194"/>
      <c r="S194"/>
      <c r="T194"/>
    </row>
    <row r="195" spans="1:20" x14ac:dyDescent="0.3">
      <c r="A195"/>
      <c r="B195"/>
      <c r="C195"/>
      <c r="D195"/>
      <c r="E195"/>
      <c r="F195"/>
      <c r="G195"/>
      <c r="H195"/>
      <c r="I195"/>
      <c r="J195"/>
      <c r="K195"/>
      <c r="L195"/>
      <c r="M195"/>
      <c r="N195"/>
      <c r="O195"/>
      <c r="P195"/>
      <c r="Q195"/>
      <c r="R195"/>
      <c r="S195"/>
      <c r="T195"/>
    </row>
    <row r="196" spans="1:20" x14ac:dyDescent="0.3">
      <c r="A196"/>
      <c r="B196"/>
      <c r="C196"/>
      <c r="D196"/>
      <c r="E196"/>
      <c r="F196"/>
      <c r="G196"/>
      <c r="H196"/>
      <c r="I196"/>
      <c r="J196"/>
      <c r="K196"/>
      <c r="L196"/>
      <c r="M196"/>
      <c r="N196"/>
      <c r="O196"/>
      <c r="P196"/>
      <c r="Q196"/>
      <c r="R196"/>
      <c r="S196"/>
      <c r="T196"/>
    </row>
    <row r="197" spans="1:20" x14ac:dyDescent="0.3">
      <c r="A197"/>
      <c r="B197"/>
      <c r="C197"/>
      <c r="D197"/>
      <c r="E197"/>
      <c r="F197"/>
      <c r="G197"/>
      <c r="H197"/>
      <c r="I197"/>
      <c r="J197"/>
      <c r="K197"/>
      <c r="L197"/>
      <c r="M197"/>
      <c r="N197"/>
      <c r="O197"/>
      <c r="P197"/>
      <c r="Q197"/>
      <c r="R197"/>
      <c r="S197"/>
      <c r="T197"/>
    </row>
    <row r="198" spans="1:20" x14ac:dyDescent="0.3">
      <c r="A198"/>
      <c r="B198"/>
      <c r="C198"/>
      <c r="D198"/>
      <c r="E198"/>
      <c r="F198"/>
      <c r="G198"/>
      <c r="H198"/>
      <c r="I198"/>
      <c r="J198"/>
      <c r="K198"/>
      <c r="L198"/>
      <c r="M198"/>
      <c r="N198"/>
      <c r="O198"/>
      <c r="P198"/>
      <c r="Q198"/>
      <c r="R198"/>
      <c r="S198"/>
      <c r="T198"/>
    </row>
    <row r="199" spans="1:20" x14ac:dyDescent="0.3">
      <c r="A199"/>
      <c r="B199"/>
      <c r="C199"/>
      <c r="D199"/>
      <c r="E199"/>
      <c r="F199"/>
      <c r="G199"/>
      <c r="H199"/>
      <c r="I199"/>
      <c r="J199"/>
      <c r="K199"/>
      <c r="L199"/>
      <c r="M199"/>
      <c r="N199"/>
      <c r="O199"/>
      <c r="P199"/>
      <c r="Q199"/>
      <c r="R199"/>
      <c r="S199"/>
      <c r="T199"/>
    </row>
    <row r="200" spans="1:20" x14ac:dyDescent="0.3">
      <c r="A200"/>
      <c r="B200"/>
      <c r="C200"/>
      <c r="D200"/>
      <c r="E200"/>
      <c r="F200"/>
      <c r="G200"/>
      <c r="H200"/>
      <c r="I200"/>
      <c r="J200"/>
      <c r="K200"/>
      <c r="L200"/>
      <c r="M200"/>
      <c r="N200"/>
      <c r="O200"/>
      <c r="P200"/>
      <c r="Q200"/>
      <c r="R200"/>
      <c r="S200"/>
      <c r="T200"/>
    </row>
    <row r="201" spans="1:20" x14ac:dyDescent="0.3">
      <c r="A201"/>
      <c r="B201"/>
      <c r="C201"/>
      <c r="D201"/>
      <c r="E201"/>
      <c r="F201"/>
      <c r="G201"/>
      <c r="H201"/>
      <c r="I201"/>
      <c r="J201"/>
      <c r="K201"/>
      <c r="L201"/>
      <c r="M201"/>
      <c r="N201"/>
      <c r="O201"/>
      <c r="P201"/>
      <c r="Q201"/>
      <c r="R201"/>
      <c r="S201"/>
      <c r="T201"/>
    </row>
    <row r="202" spans="1:20" x14ac:dyDescent="0.3">
      <c r="A202"/>
      <c r="B202"/>
      <c r="C202"/>
      <c r="D202"/>
      <c r="E202"/>
      <c r="F202"/>
      <c r="G202"/>
      <c r="H202"/>
      <c r="I202"/>
      <c r="J202"/>
      <c r="K202"/>
      <c r="L202"/>
      <c r="M202"/>
      <c r="N202"/>
      <c r="O202"/>
      <c r="P202"/>
      <c r="Q202"/>
      <c r="R202"/>
      <c r="S202"/>
      <c r="T202"/>
    </row>
    <row r="203" spans="1:20" x14ac:dyDescent="0.3">
      <c r="A203"/>
      <c r="B203"/>
      <c r="C203"/>
      <c r="D203"/>
      <c r="E203"/>
      <c r="F203"/>
      <c r="G203"/>
      <c r="H203"/>
      <c r="I203"/>
      <c r="J203"/>
      <c r="K203"/>
      <c r="L203"/>
      <c r="M203"/>
      <c r="N203"/>
      <c r="O203"/>
      <c r="P203"/>
      <c r="Q203"/>
      <c r="R203"/>
      <c r="S203"/>
      <c r="T203"/>
    </row>
    <row r="204" spans="1:20" x14ac:dyDescent="0.3">
      <c r="A204"/>
      <c r="B204"/>
      <c r="C204"/>
      <c r="D204"/>
      <c r="E204"/>
      <c r="F204"/>
      <c r="G204"/>
      <c r="H204"/>
      <c r="I204"/>
      <c r="J204"/>
      <c r="K204"/>
      <c r="L204"/>
      <c r="M204"/>
      <c r="N204"/>
      <c r="O204"/>
      <c r="P204"/>
      <c r="Q204"/>
      <c r="R204"/>
      <c r="S204"/>
      <c r="T204"/>
    </row>
    <row r="205" spans="1:20" x14ac:dyDescent="0.3">
      <c r="A205"/>
      <c r="B205"/>
      <c r="C205"/>
      <c r="D205"/>
      <c r="E205"/>
      <c r="F205"/>
      <c r="G205"/>
      <c r="H205"/>
      <c r="I205"/>
      <c r="J205"/>
      <c r="K205"/>
      <c r="L205"/>
      <c r="M205"/>
      <c r="N205"/>
      <c r="O205"/>
      <c r="P205"/>
      <c r="Q205"/>
      <c r="R205"/>
      <c r="S205"/>
      <c r="T205"/>
    </row>
    <row r="206" spans="1:20" x14ac:dyDescent="0.3">
      <c r="A206"/>
      <c r="B206"/>
      <c r="C206"/>
      <c r="D206"/>
      <c r="E206"/>
      <c r="F206"/>
      <c r="G206"/>
      <c r="H206"/>
      <c r="I206"/>
      <c r="J206"/>
      <c r="K206"/>
      <c r="L206"/>
      <c r="M206"/>
      <c r="N206"/>
      <c r="O206"/>
      <c r="P206"/>
      <c r="Q206"/>
      <c r="R206"/>
      <c r="S206"/>
      <c r="T206"/>
    </row>
    <row r="207" spans="1:20" x14ac:dyDescent="0.3">
      <c r="A207"/>
      <c r="B207"/>
      <c r="C207"/>
      <c r="D207"/>
      <c r="E207"/>
      <c r="F207"/>
      <c r="G207"/>
      <c r="H207"/>
      <c r="I207"/>
      <c r="J207"/>
      <c r="K207"/>
      <c r="L207"/>
      <c r="M207"/>
      <c r="N207"/>
      <c r="O207"/>
      <c r="P207"/>
      <c r="Q207"/>
      <c r="R207"/>
      <c r="S207"/>
      <c r="T207"/>
    </row>
    <row r="208" spans="1:20" x14ac:dyDescent="0.3">
      <c r="A208"/>
      <c r="B208"/>
      <c r="C208"/>
      <c r="D208"/>
      <c r="E208"/>
      <c r="F208"/>
      <c r="G208"/>
      <c r="H208"/>
      <c r="I208"/>
      <c r="J208"/>
      <c r="K208"/>
      <c r="L208"/>
      <c r="M208"/>
      <c r="N208"/>
      <c r="O208"/>
      <c r="P208"/>
      <c r="Q208"/>
      <c r="R208"/>
      <c r="S208"/>
      <c r="T208"/>
    </row>
    <row r="209" spans="1:20" x14ac:dyDescent="0.3">
      <c r="A209"/>
      <c r="B209"/>
      <c r="C209"/>
      <c r="D209"/>
      <c r="E209"/>
      <c r="F209"/>
      <c r="G209"/>
      <c r="H209"/>
      <c r="I209"/>
      <c r="J209"/>
      <c r="K209"/>
      <c r="L209"/>
      <c r="M209"/>
      <c r="N209"/>
      <c r="O209"/>
      <c r="P209"/>
      <c r="Q209"/>
      <c r="R209"/>
      <c r="S209"/>
      <c r="T209"/>
    </row>
    <row r="210" spans="1:20" x14ac:dyDescent="0.3">
      <c r="A210"/>
      <c r="B210"/>
      <c r="C210"/>
      <c r="D210"/>
      <c r="E210"/>
      <c r="F210"/>
      <c r="G210"/>
      <c r="H210"/>
      <c r="I210"/>
      <c r="J210"/>
      <c r="K210"/>
      <c r="L210"/>
      <c r="M210"/>
      <c r="N210"/>
      <c r="O210"/>
      <c r="P210"/>
      <c r="Q210"/>
      <c r="R210"/>
      <c r="S210"/>
      <c r="T210"/>
    </row>
    <row r="211" spans="1:20" x14ac:dyDescent="0.3">
      <c r="A211"/>
      <c r="B211"/>
      <c r="C211"/>
      <c r="D211"/>
      <c r="E211"/>
      <c r="F211"/>
      <c r="G211"/>
      <c r="H211"/>
      <c r="I211"/>
      <c r="J211"/>
      <c r="K211"/>
      <c r="L211"/>
      <c r="M211"/>
      <c r="N211"/>
      <c r="O211"/>
      <c r="P211"/>
      <c r="Q211"/>
      <c r="R211"/>
      <c r="S211"/>
      <c r="T211"/>
    </row>
    <row r="212" spans="1:20" x14ac:dyDescent="0.3">
      <c r="A212"/>
      <c r="B212"/>
      <c r="C212"/>
      <c r="D212"/>
      <c r="E212"/>
      <c r="F212"/>
      <c r="G212"/>
      <c r="H212"/>
      <c r="I212"/>
      <c r="J212"/>
      <c r="K212"/>
      <c r="L212"/>
      <c r="M212"/>
      <c r="N212"/>
      <c r="O212"/>
      <c r="P212"/>
      <c r="Q212"/>
      <c r="R212"/>
      <c r="S212"/>
      <c r="T212"/>
    </row>
    <row r="213" spans="1:20" x14ac:dyDescent="0.3">
      <c r="A213"/>
      <c r="B213"/>
      <c r="C213"/>
      <c r="D213"/>
      <c r="E213"/>
      <c r="F213"/>
      <c r="G213"/>
      <c r="H213"/>
      <c r="I213"/>
      <c r="J213"/>
      <c r="K213"/>
      <c r="L213"/>
      <c r="M213"/>
      <c r="N213"/>
      <c r="O213"/>
      <c r="P213"/>
      <c r="Q213"/>
      <c r="R213"/>
      <c r="S213"/>
      <c r="T213"/>
    </row>
    <row r="214" spans="1:20" x14ac:dyDescent="0.3">
      <c r="A214"/>
      <c r="B214"/>
      <c r="C214"/>
      <c r="D214"/>
      <c r="E214"/>
      <c r="F214"/>
      <c r="G214"/>
      <c r="H214"/>
      <c r="I214"/>
      <c r="J214"/>
      <c r="K214"/>
      <c r="L214"/>
      <c r="M214"/>
      <c r="N214"/>
      <c r="O214"/>
      <c r="P214"/>
      <c r="Q214"/>
      <c r="R214"/>
      <c r="S214"/>
      <c r="T214"/>
    </row>
    <row r="215" spans="1:20" x14ac:dyDescent="0.3">
      <c r="A215"/>
      <c r="B215"/>
      <c r="C215"/>
      <c r="D215"/>
      <c r="E215"/>
      <c r="F215"/>
      <c r="G215"/>
      <c r="H215"/>
      <c r="I215"/>
      <c r="J215"/>
      <c r="K215"/>
      <c r="L215"/>
      <c r="M215"/>
      <c r="N215"/>
      <c r="O215"/>
      <c r="P215"/>
      <c r="Q215"/>
      <c r="R215"/>
      <c r="S215"/>
      <c r="T215"/>
    </row>
    <row r="216" spans="1:20" x14ac:dyDescent="0.3">
      <c r="A216"/>
      <c r="B216"/>
      <c r="C216"/>
      <c r="D216"/>
      <c r="E216"/>
      <c r="F216"/>
      <c r="G216"/>
      <c r="H216"/>
      <c r="I216"/>
      <c r="J216"/>
      <c r="K216"/>
      <c r="L216"/>
      <c r="M216"/>
      <c r="N216"/>
      <c r="O216"/>
      <c r="P216"/>
      <c r="Q216"/>
      <c r="R216"/>
      <c r="S216"/>
      <c r="T216"/>
    </row>
    <row r="217" spans="1:20" x14ac:dyDescent="0.3">
      <c r="A217"/>
      <c r="B217"/>
      <c r="C217"/>
      <c r="D217"/>
      <c r="E217"/>
      <c r="F217"/>
      <c r="G217"/>
      <c r="H217"/>
      <c r="I217"/>
      <c r="J217"/>
      <c r="K217"/>
      <c r="L217"/>
      <c r="M217"/>
      <c r="N217"/>
      <c r="O217"/>
      <c r="P217"/>
      <c r="Q217"/>
      <c r="R217"/>
      <c r="S217"/>
      <c r="T217"/>
    </row>
    <row r="218" spans="1:20" x14ac:dyDescent="0.3">
      <c r="A218"/>
      <c r="B218"/>
      <c r="C218"/>
      <c r="D218"/>
      <c r="E218"/>
      <c r="F218"/>
      <c r="G218"/>
      <c r="H218"/>
      <c r="I218"/>
      <c r="J218"/>
      <c r="K218"/>
      <c r="L218"/>
      <c r="M218"/>
      <c r="N218"/>
      <c r="O218"/>
      <c r="P218"/>
      <c r="Q218"/>
      <c r="R218"/>
      <c r="S218"/>
      <c r="T218"/>
    </row>
    <row r="219" spans="1:20" x14ac:dyDescent="0.3">
      <c r="A219"/>
      <c r="B219"/>
      <c r="C219"/>
      <c r="D219"/>
      <c r="E219"/>
      <c r="F219"/>
      <c r="G219"/>
      <c r="H219"/>
      <c r="I219"/>
      <c r="J219"/>
      <c r="K219"/>
      <c r="L219"/>
      <c r="M219"/>
      <c r="N219"/>
      <c r="O219"/>
      <c r="P219"/>
      <c r="Q219"/>
      <c r="R219"/>
      <c r="S219"/>
      <c r="T219"/>
    </row>
    <row r="220" spans="1:20" x14ac:dyDescent="0.3">
      <c r="A220"/>
      <c r="B220"/>
      <c r="C220"/>
      <c r="D220"/>
      <c r="E220"/>
      <c r="F220"/>
      <c r="G220"/>
      <c r="H220"/>
      <c r="I220"/>
      <c r="J220"/>
      <c r="K220"/>
      <c r="L220"/>
      <c r="M220"/>
      <c r="N220"/>
      <c r="O220"/>
      <c r="P220"/>
      <c r="Q220"/>
      <c r="R220"/>
      <c r="S220"/>
      <c r="T220"/>
    </row>
    <row r="221" spans="1:20" x14ac:dyDescent="0.3">
      <c r="A221"/>
      <c r="B221"/>
      <c r="C221"/>
      <c r="D221"/>
      <c r="E221"/>
      <c r="F221"/>
      <c r="G221"/>
      <c r="H221"/>
      <c r="I221"/>
      <c r="J221"/>
      <c r="K221"/>
      <c r="L221"/>
      <c r="M221"/>
      <c r="N221"/>
      <c r="O221"/>
      <c r="P221"/>
      <c r="Q221"/>
      <c r="R221"/>
      <c r="S221"/>
      <c r="T221"/>
    </row>
    <row r="222" spans="1:20" x14ac:dyDescent="0.3">
      <c r="A222"/>
      <c r="B222"/>
      <c r="C222"/>
      <c r="D222"/>
      <c r="E222"/>
      <c r="F222"/>
      <c r="G222"/>
      <c r="H222"/>
      <c r="I222"/>
      <c r="J222"/>
      <c r="K222"/>
      <c r="L222"/>
      <c r="M222"/>
      <c r="N222"/>
      <c r="O222"/>
      <c r="P222"/>
      <c r="Q222"/>
      <c r="R222"/>
      <c r="S222"/>
      <c r="T222"/>
    </row>
    <row r="223" spans="1:20" x14ac:dyDescent="0.3">
      <c r="A223"/>
      <c r="B223"/>
      <c r="C223"/>
      <c r="D223"/>
      <c r="E223"/>
      <c r="F223"/>
      <c r="G223"/>
      <c r="H223"/>
      <c r="I223"/>
      <c r="J223"/>
      <c r="K223"/>
      <c r="L223"/>
      <c r="M223"/>
      <c r="N223"/>
      <c r="O223"/>
      <c r="P223"/>
      <c r="Q223"/>
      <c r="R223"/>
      <c r="S223"/>
      <c r="T223"/>
    </row>
    <row r="224" spans="1:20" x14ac:dyDescent="0.3">
      <c r="A224"/>
      <c r="B224"/>
      <c r="C224"/>
      <c r="D224"/>
      <c r="E224"/>
      <c r="F224"/>
      <c r="G224"/>
      <c r="H224"/>
      <c r="I224"/>
      <c r="J224"/>
      <c r="K224"/>
      <c r="L224"/>
      <c r="M224"/>
      <c r="N224"/>
      <c r="O224"/>
      <c r="P224"/>
      <c r="Q224"/>
      <c r="R224"/>
      <c r="S224"/>
      <c r="T224"/>
    </row>
    <row r="225" spans="1:20" x14ac:dyDescent="0.3">
      <c r="A225"/>
      <c r="B225"/>
      <c r="C225"/>
      <c r="D225"/>
      <c r="E225"/>
      <c r="F225"/>
      <c r="G225"/>
      <c r="H225"/>
      <c r="I225"/>
      <c r="J225"/>
      <c r="K225"/>
      <c r="L225"/>
      <c r="M225"/>
      <c r="N225"/>
      <c r="O225"/>
      <c r="P225"/>
      <c r="Q225"/>
      <c r="R225"/>
      <c r="S225"/>
      <c r="T225"/>
    </row>
    <row r="226" spans="1:20" x14ac:dyDescent="0.3">
      <c r="A226"/>
      <c r="B226"/>
      <c r="C226"/>
      <c r="D226"/>
      <c r="E226"/>
      <c r="F226"/>
      <c r="G226"/>
      <c r="H226"/>
      <c r="I226"/>
      <c r="J226"/>
      <c r="K226"/>
      <c r="L226"/>
      <c r="M226"/>
      <c r="N226"/>
      <c r="O226"/>
      <c r="P226"/>
      <c r="Q226"/>
      <c r="R226"/>
      <c r="S226"/>
      <c r="T226"/>
    </row>
    <row r="227" spans="1:20" x14ac:dyDescent="0.3">
      <c r="A227"/>
      <c r="B227"/>
      <c r="C227"/>
      <c r="D227"/>
      <c r="E227"/>
      <c r="F227"/>
      <c r="G227"/>
      <c r="H227"/>
      <c r="I227"/>
      <c r="J227"/>
      <c r="K227"/>
      <c r="L227"/>
      <c r="M227"/>
      <c r="N227"/>
      <c r="O227"/>
      <c r="P227"/>
      <c r="Q227"/>
      <c r="R227"/>
      <c r="S227"/>
      <c r="T227"/>
    </row>
    <row r="228" spans="1:20" x14ac:dyDescent="0.3">
      <c r="A228"/>
      <c r="B228"/>
      <c r="C228"/>
      <c r="D228"/>
      <c r="E228"/>
      <c r="F228"/>
      <c r="G228"/>
      <c r="H228"/>
      <c r="I228"/>
      <c r="J228"/>
      <c r="K228"/>
      <c r="L228"/>
      <c r="M228"/>
      <c r="N228"/>
      <c r="O228"/>
      <c r="P228"/>
      <c r="Q228"/>
      <c r="R228"/>
      <c r="S228"/>
      <c r="T228"/>
    </row>
    <row r="229" spans="1:20" x14ac:dyDescent="0.3">
      <c r="A229"/>
      <c r="B229"/>
      <c r="C229"/>
      <c r="D229"/>
      <c r="E229"/>
      <c r="F229"/>
      <c r="G229"/>
      <c r="H229"/>
      <c r="I229"/>
      <c r="J229"/>
      <c r="K229"/>
      <c r="L229"/>
      <c r="M229"/>
      <c r="N229"/>
      <c r="O229"/>
      <c r="P229"/>
      <c r="Q229"/>
      <c r="R229"/>
      <c r="S229"/>
      <c r="T229"/>
    </row>
    <row r="230" spans="1:20" x14ac:dyDescent="0.3">
      <c r="A230"/>
      <c r="B230"/>
      <c r="C230"/>
      <c r="D230"/>
      <c r="E230"/>
      <c r="F230"/>
      <c r="G230"/>
      <c r="H230"/>
      <c r="I230"/>
      <c r="J230"/>
      <c r="K230"/>
      <c r="L230"/>
      <c r="M230"/>
      <c r="N230"/>
      <c r="O230"/>
      <c r="P230"/>
      <c r="Q230"/>
      <c r="R230"/>
      <c r="S230"/>
      <c r="T230"/>
    </row>
    <row r="231" spans="1:20" x14ac:dyDescent="0.3">
      <c r="A231"/>
      <c r="B231"/>
      <c r="C231"/>
      <c r="D231"/>
      <c r="E231"/>
      <c r="F231"/>
      <c r="G231"/>
      <c r="H231"/>
      <c r="I231"/>
      <c r="J231"/>
      <c r="K231"/>
      <c r="L231"/>
      <c r="M231"/>
      <c r="N231"/>
      <c r="O231"/>
      <c r="P231"/>
      <c r="Q231"/>
      <c r="R231"/>
      <c r="S231"/>
      <c r="T231"/>
    </row>
    <row r="232" spans="1:20" x14ac:dyDescent="0.3">
      <c r="A232"/>
      <c r="B232"/>
      <c r="C232"/>
      <c r="D232"/>
      <c r="E232"/>
      <c r="F232"/>
      <c r="G232"/>
      <c r="H232"/>
      <c r="I232"/>
      <c r="J232"/>
      <c r="K232"/>
      <c r="L232"/>
      <c r="M232"/>
      <c r="N232"/>
      <c r="O232"/>
      <c r="P232"/>
      <c r="Q232"/>
      <c r="R232"/>
      <c r="S232"/>
      <c r="T232"/>
    </row>
    <row r="233" spans="1:20" x14ac:dyDescent="0.3">
      <c r="A233"/>
      <c r="B233"/>
      <c r="C233"/>
      <c r="D233"/>
      <c r="E233"/>
      <c r="F233"/>
      <c r="G233"/>
      <c r="H233"/>
      <c r="I233"/>
      <c r="J233"/>
      <c r="K233"/>
      <c r="L233"/>
      <c r="M233"/>
      <c r="N233"/>
      <c r="O233"/>
      <c r="P233"/>
      <c r="Q233"/>
      <c r="R233"/>
      <c r="S233"/>
      <c r="T233"/>
    </row>
    <row r="234" spans="1:20" x14ac:dyDescent="0.3">
      <c r="A234"/>
      <c r="B234"/>
      <c r="C234"/>
      <c r="D234"/>
      <c r="E234"/>
      <c r="F234"/>
      <c r="G234"/>
      <c r="H234"/>
      <c r="I234"/>
      <c r="J234"/>
      <c r="K234"/>
      <c r="L234"/>
      <c r="M234"/>
      <c r="N234"/>
      <c r="O234"/>
      <c r="P234"/>
      <c r="Q234"/>
      <c r="R234"/>
      <c r="S234"/>
      <c r="T234"/>
    </row>
    <row r="235" spans="1:20" x14ac:dyDescent="0.3">
      <c r="A235"/>
      <c r="B235"/>
      <c r="C235"/>
      <c r="D235"/>
      <c r="E235"/>
      <c r="F235"/>
      <c r="G235"/>
      <c r="H235"/>
      <c r="I235"/>
      <c r="J235"/>
      <c r="K235"/>
      <c r="L235"/>
      <c r="M235"/>
      <c r="N235"/>
      <c r="O235"/>
      <c r="P235"/>
      <c r="Q235"/>
      <c r="R235"/>
      <c r="S235"/>
      <c r="T235"/>
    </row>
    <row r="236" spans="1:20" x14ac:dyDescent="0.3">
      <c r="A236"/>
      <c r="B236"/>
      <c r="C236"/>
      <c r="D236"/>
      <c r="E236"/>
      <c r="F236"/>
      <c r="G236"/>
      <c r="H236"/>
      <c r="I236"/>
      <c r="J236"/>
      <c r="K236"/>
      <c r="L236"/>
      <c r="M236"/>
      <c r="N236"/>
      <c r="O236"/>
      <c r="P236"/>
      <c r="Q236"/>
      <c r="R236"/>
      <c r="S236"/>
      <c r="T236"/>
    </row>
    <row r="237" spans="1:20" x14ac:dyDescent="0.3">
      <c r="A237"/>
      <c r="B237"/>
      <c r="C237"/>
      <c r="D237"/>
      <c r="E237"/>
      <c r="F237"/>
      <c r="G237"/>
      <c r="H237"/>
      <c r="I237"/>
      <c r="J237"/>
      <c r="K237"/>
      <c r="L237"/>
      <c r="M237"/>
      <c r="N237"/>
      <c r="O237"/>
      <c r="P237"/>
      <c r="Q237"/>
      <c r="R237"/>
      <c r="S237"/>
      <c r="T237"/>
    </row>
    <row r="238" spans="1:20" x14ac:dyDescent="0.3">
      <c r="A238"/>
      <c r="B238"/>
      <c r="C238"/>
      <c r="D238"/>
      <c r="E238"/>
      <c r="F238"/>
      <c r="G238"/>
      <c r="H238"/>
      <c r="I238"/>
      <c r="J238"/>
      <c r="K238"/>
      <c r="L238"/>
      <c r="M238"/>
      <c r="N238"/>
      <c r="O238"/>
      <c r="P238"/>
      <c r="Q238"/>
      <c r="R238"/>
      <c r="S238"/>
      <c r="T238"/>
    </row>
    <row r="239" spans="1:20" x14ac:dyDescent="0.3">
      <c r="A239"/>
      <c r="B239"/>
      <c r="C239"/>
      <c r="D239"/>
      <c r="E239"/>
      <c r="F239"/>
      <c r="G239"/>
      <c r="H239"/>
      <c r="I239"/>
      <c r="J239"/>
      <c r="K239"/>
      <c r="L239"/>
      <c r="M239"/>
      <c r="N239"/>
      <c r="O239"/>
      <c r="P239"/>
      <c r="Q239"/>
      <c r="R239"/>
      <c r="S239"/>
      <c r="T239"/>
    </row>
    <row r="240" spans="1:20" x14ac:dyDescent="0.3">
      <c r="A240"/>
      <c r="B240"/>
      <c r="C240"/>
      <c r="D240"/>
      <c r="E240"/>
      <c r="F240"/>
      <c r="G240"/>
      <c r="H240"/>
      <c r="I240"/>
      <c r="J240"/>
      <c r="K240"/>
      <c r="L240"/>
      <c r="M240"/>
      <c r="N240"/>
      <c r="O240"/>
      <c r="P240"/>
      <c r="Q240"/>
      <c r="R240"/>
      <c r="S240"/>
      <c r="T240"/>
    </row>
    <row r="241" spans="1:20" x14ac:dyDescent="0.3">
      <c r="A241"/>
      <c r="B241"/>
      <c r="C241"/>
      <c r="D241"/>
      <c r="E241"/>
      <c r="F241"/>
      <c r="G241"/>
      <c r="H241"/>
      <c r="I241"/>
      <c r="J241"/>
      <c r="K241"/>
      <c r="L241"/>
      <c r="M241"/>
      <c r="N241"/>
      <c r="O241"/>
      <c r="P241"/>
      <c r="Q241"/>
      <c r="R241"/>
      <c r="S241"/>
      <c r="T241"/>
    </row>
    <row r="242" spans="1:20" x14ac:dyDescent="0.3">
      <c r="A242"/>
      <c r="B242"/>
      <c r="C242"/>
      <c r="D242"/>
      <c r="E242"/>
      <c r="F242"/>
      <c r="G242"/>
      <c r="H242"/>
      <c r="I242"/>
      <c r="J242"/>
      <c r="K242"/>
      <c r="L242"/>
      <c r="M242"/>
      <c r="N242"/>
      <c r="O242"/>
      <c r="P242"/>
      <c r="Q242"/>
      <c r="R242"/>
      <c r="S242"/>
      <c r="T242"/>
    </row>
    <row r="243" spans="1:20" x14ac:dyDescent="0.3">
      <c r="A243"/>
      <c r="B243"/>
      <c r="C243"/>
      <c r="D243"/>
      <c r="E243"/>
      <c r="F243"/>
      <c r="G243"/>
      <c r="H243"/>
      <c r="I243"/>
      <c r="J243"/>
      <c r="K243"/>
      <c r="L243"/>
      <c r="M243"/>
      <c r="N243"/>
      <c r="O243"/>
      <c r="P243"/>
      <c r="Q243"/>
      <c r="R243"/>
      <c r="S243"/>
      <c r="T243"/>
    </row>
    <row r="244" spans="1:20" x14ac:dyDescent="0.3">
      <c r="A244"/>
      <c r="B244"/>
      <c r="C244"/>
      <c r="D244"/>
      <c r="E244"/>
      <c r="F244"/>
      <c r="G244"/>
      <c r="H244"/>
      <c r="I244"/>
      <c r="J244"/>
      <c r="K244"/>
      <c r="L244"/>
      <c r="M244"/>
      <c r="N244"/>
      <c r="O244"/>
      <c r="P244"/>
      <c r="Q244"/>
      <c r="R244"/>
      <c r="S244"/>
      <c r="T244"/>
    </row>
    <row r="245" spans="1:20" x14ac:dyDescent="0.3">
      <c r="A245"/>
      <c r="B245"/>
      <c r="C245"/>
      <c r="D245"/>
      <c r="E245"/>
      <c r="F245"/>
      <c r="G245"/>
      <c r="H245"/>
      <c r="I245"/>
      <c r="J245"/>
      <c r="K245"/>
      <c r="L245"/>
      <c r="M245"/>
      <c r="N245"/>
      <c r="O245"/>
      <c r="P245"/>
      <c r="Q245"/>
      <c r="R245"/>
      <c r="S245"/>
      <c r="T245"/>
    </row>
    <row r="246" spans="1:20" x14ac:dyDescent="0.3">
      <c r="A246"/>
      <c r="B246"/>
      <c r="C246"/>
      <c r="D246"/>
      <c r="E246"/>
      <c r="F246"/>
      <c r="G246"/>
      <c r="H246"/>
      <c r="I246"/>
      <c r="J246"/>
      <c r="K246"/>
      <c r="L246"/>
      <c r="M246"/>
      <c r="N246"/>
      <c r="O246"/>
      <c r="P246"/>
      <c r="Q246"/>
      <c r="R246"/>
      <c r="S246"/>
      <c r="T246"/>
    </row>
    <row r="247" spans="1:20" x14ac:dyDescent="0.3">
      <c r="A247"/>
      <c r="B247"/>
      <c r="C247"/>
      <c r="D247"/>
      <c r="E247"/>
      <c r="F247"/>
      <c r="G247"/>
      <c r="H247"/>
      <c r="I247"/>
      <c r="J247"/>
      <c r="K247"/>
      <c r="L247"/>
      <c r="M247"/>
      <c r="N247"/>
      <c r="O247"/>
      <c r="P247"/>
      <c r="Q247"/>
      <c r="R247"/>
      <c r="S247"/>
      <c r="T247"/>
    </row>
    <row r="248" spans="1:20" x14ac:dyDescent="0.3">
      <c r="A248"/>
      <c r="B248"/>
      <c r="C248"/>
      <c r="D248"/>
      <c r="E248"/>
      <c r="F248"/>
      <c r="G248"/>
      <c r="H248"/>
      <c r="I248"/>
      <c r="J248"/>
      <c r="K248"/>
      <c r="L248"/>
      <c r="M248"/>
      <c r="N248"/>
      <c r="O248"/>
      <c r="P248"/>
      <c r="Q248"/>
      <c r="R248"/>
      <c r="S248"/>
      <c r="T248"/>
    </row>
    <row r="249" spans="1:20" x14ac:dyDescent="0.3">
      <c r="A249"/>
      <c r="B249"/>
      <c r="C249"/>
      <c r="D249"/>
      <c r="E249"/>
      <c r="F249"/>
      <c r="G249"/>
      <c r="H249"/>
      <c r="I249"/>
      <c r="J249"/>
      <c r="K249"/>
      <c r="L249"/>
      <c r="M249"/>
      <c r="N249"/>
      <c r="O249"/>
      <c r="P249"/>
      <c r="Q249"/>
      <c r="R249"/>
      <c r="S249"/>
      <c r="T249"/>
    </row>
    <row r="250" spans="1:20" x14ac:dyDescent="0.3">
      <c r="A250"/>
      <c r="B250"/>
      <c r="C250"/>
      <c r="D250"/>
      <c r="E250"/>
      <c r="F250"/>
      <c r="G250"/>
      <c r="H250"/>
      <c r="I250"/>
      <c r="J250"/>
      <c r="K250"/>
      <c r="L250"/>
      <c r="M250"/>
      <c r="N250"/>
      <c r="O250"/>
      <c r="P250"/>
      <c r="Q250"/>
      <c r="R250"/>
      <c r="S250"/>
      <c r="T250"/>
    </row>
    <row r="251" spans="1:20" x14ac:dyDescent="0.3">
      <c r="A251"/>
      <c r="B251"/>
      <c r="C251"/>
      <c r="D251"/>
      <c r="E251"/>
      <c r="F251"/>
      <c r="G251"/>
      <c r="H251"/>
      <c r="I251"/>
      <c r="J251"/>
      <c r="K251"/>
      <c r="L251"/>
      <c r="M251"/>
      <c r="N251"/>
      <c r="O251"/>
      <c r="P251"/>
      <c r="Q251"/>
      <c r="R251"/>
      <c r="S251"/>
      <c r="T251"/>
    </row>
    <row r="252" spans="1:20" x14ac:dyDescent="0.3">
      <c r="A252"/>
      <c r="B252"/>
      <c r="C252"/>
      <c r="D252"/>
      <c r="E252"/>
      <c r="F252"/>
      <c r="G252"/>
      <c r="H252"/>
      <c r="I252"/>
      <c r="J252"/>
      <c r="K252"/>
      <c r="L252"/>
      <c r="M252"/>
      <c r="N252"/>
      <c r="O252"/>
      <c r="P252"/>
      <c r="Q252"/>
      <c r="R252"/>
      <c r="S252"/>
      <c r="T252"/>
    </row>
    <row r="253" spans="1:20" x14ac:dyDescent="0.3">
      <c r="A253"/>
      <c r="B253"/>
      <c r="C253"/>
      <c r="D253"/>
      <c r="E253"/>
      <c r="F253"/>
      <c r="G253"/>
      <c r="H253"/>
      <c r="I253"/>
      <c r="J253"/>
      <c r="K253"/>
      <c r="L253"/>
      <c r="M253"/>
      <c r="N253"/>
      <c r="O253"/>
      <c r="P253"/>
      <c r="Q253"/>
      <c r="R253"/>
      <c r="S253"/>
      <c r="T253"/>
    </row>
    <row r="254" spans="1:20" x14ac:dyDescent="0.3">
      <c r="A254"/>
      <c r="B254"/>
      <c r="C254"/>
      <c r="D254"/>
      <c r="E254"/>
      <c r="F254"/>
      <c r="G254"/>
      <c r="H254"/>
      <c r="I254"/>
      <c r="J254"/>
      <c r="K254"/>
      <c r="L254"/>
      <c r="M254"/>
      <c r="N254"/>
      <c r="O254"/>
      <c r="P254"/>
      <c r="Q254"/>
      <c r="R254"/>
      <c r="S254"/>
      <c r="T254"/>
    </row>
    <row r="255" spans="1:20" x14ac:dyDescent="0.3">
      <c r="A255"/>
      <c r="B255"/>
      <c r="C255"/>
      <c r="D255"/>
      <c r="E255"/>
      <c r="F255"/>
      <c r="G255"/>
      <c r="H255"/>
      <c r="I255"/>
      <c r="J255"/>
      <c r="K255"/>
      <c r="L255"/>
      <c r="M255"/>
      <c r="N255"/>
      <c r="O255"/>
      <c r="P255"/>
      <c r="Q255"/>
      <c r="R255"/>
      <c r="S255"/>
      <c r="T255"/>
    </row>
    <row r="256" spans="1:20" x14ac:dyDescent="0.3">
      <c r="A256"/>
      <c r="B256"/>
      <c r="C256"/>
      <c r="D256"/>
      <c r="E256"/>
      <c r="F256"/>
      <c r="G256"/>
      <c r="H256"/>
      <c r="I256"/>
      <c r="J256"/>
      <c r="K256"/>
      <c r="L256"/>
      <c r="M256"/>
      <c r="N256"/>
      <c r="O256"/>
      <c r="P256"/>
      <c r="Q256"/>
      <c r="R256"/>
      <c r="S256"/>
      <c r="T256"/>
    </row>
    <row r="257" spans="1:20" x14ac:dyDescent="0.3">
      <c r="A257"/>
      <c r="B257"/>
      <c r="C257"/>
      <c r="D257"/>
      <c r="E257"/>
      <c r="F257"/>
      <c r="G257"/>
      <c r="H257"/>
      <c r="I257"/>
      <c r="J257"/>
      <c r="K257"/>
      <c r="L257"/>
      <c r="M257"/>
      <c r="N257"/>
      <c r="O257"/>
      <c r="P257"/>
      <c r="Q257"/>
      <c r="R257"/>
      <c r="S257"/>
      <c r="T257"/>
    </row>
    <row r="258" spans="1:20" x14ac:dyDescent="0.3">
      <c r="A258"/>
      <c r="B258"/>
      <c r="C258"/>
      <c r="D258"/>
      <c r="E258"/>
      <c r="F258"/>
      <c r="G258"/>
      <c r="H258"/>
      <c r="I258"/>
      <c r="J258"/>
      <c r="K258"/>
      <c r="L258"/>
      <c r="M258"/>
      <c r="N258"/>
      <c r="O258"/>
      <c r="P258"/>
      <c r="Q258"/>
      <c r="R258"/>
      <c r="S258"/>
      <c r="T258"/>
    </row>
    <row r="259" spans="1:20" x14ac:dyDescent="0.3">
      <c r="A259"/>
      <c r="B259"/>
      <c r="C259"/>
      <c r="D259"/>
      <c r="E259"/>
      <c r="F259"/>
      <c r="G259"/>
      <c r="H259"/>
      <c r="I259"/>
      <c r="J259"/>
      <c r="K259"/>
      <c r="L259"/>
      <c r="M259"/>
      <c r="N259"/>
      <c r="O259"/>
      <c r="P259"/>
      <c r="Q259"/>
      <c r="R259"/>
      <c r="S259"/>
      <c r="T259"/>
    </row>
    <row r="260" spans="1:20" x14ac:dyDescent="0.3">
      <c r="A260"/>
      <c r="B260"/>
      <c r="C260"/>
      <c r="D260"/>
      <c r="E260"/>
      <c r="F260"/>
      <c r="G260"/>
      <c r="H260"/>
      <c r="I260"/>
      <c r="J260"/>
      <c r="K260"/>
      <c r="L260"/>
      <c r="M260"/>
      <c r="N260"/>
      <c r="O260"/>
      <c r="P260"/>
      <c r="Q260"/>
      <c r="R260"/>
      <c r="S260"/>
      <c r="T260"/>
    </row>
    <row r="261" spans="1:20" x14ac:dyDescent="0.3">
      <c r="A261"/>
      <c r="B261"/>
      <c r="C261"/>
      <c r="D261"/>
      <c r="E261"/>
      <c r="F261"/>
      <c r="G261"/>
      <c r="H261"/>
      <c r="I261"/>
      <c r="J261"/>
      <c r="K261"/>
      <c r="L261"/>
      <c r="M261"/>
      <c r="N261"/>
      <c r="O261"/>
      <c r="P261"/>
      <c r="Q261"/>
      <c r="R261"/>
      <c r="S261"/>
      <c r="T261"/>
    </row>
    <row r="262" spans="1:20" x14ac:dyDescent="0.3">
      <c r="A262"/>
      <c r="B262"/>
      <c r="C262"/>
      <c r="D262"/>
      <c r="E262"/>
      <c r="F262"/>
      <c r="G262"/>
      <c r="H262"/>
      <c r="I262"/>
      <c r="J262"/>
      <c r="K262"/>
      <c r="L262"/>
      <c r="M262"/>
      <c r="N262"/>
      <c r="O262"/>
      <c r="P262"/>
      <c r="Q262"/>
      <c r="R262"/>
      <c r="S262"/>
      <c r="T262"/>
    </row>
    <row r="263" spans="1:20" x14ac:dyDescent="0.3">
      <c r="A263"/>
      <c r="B263"/>
      <c r="C263"/>
      <c r="D263"/>
      <c r="E263"/>
      <c r="F263"/>
      <c r="G263"/>
      <c r="H263"/>
      <c r="I263"/>
      <c r="J263"/>
      <c r="K263"/>
      <c r="L263"/>
      <c r="M263"/>
      <c r="N263"/>
      <c r="O263"/>
      <c r="P263"/>
      <c r="Q263"/>
      <c r="R263"/>
      <c r="S263"/>
      <c r="T263"/>
    </row>
    <row r="264" spans="1:20" x14ac:dyDescent="0.3">
      <c r="A264"/>
      <c r="B264"/>
      <c r="C264"/>
      <c r="D264"/>
      <c r="E264"/>
      <c r="F264"/>
      <c r="G264"/>
      <c r="H264"/>
      <c r="I264"/>
      <c r="J264"/>
      <c r="K264"/>
      <c r="L264"/>
      <c r="M264"/>
      <c r="N264"/>
      <c r="O264"/>
      <c r="P264"/>
      <c r="Q264"/>
      <c r="R264"/>
      <c r="S264"/>
      <c r="T264"/>
    </row>
    <row r="265" spans="1:20" x14ac:dyDescent="0.3">
      <c r="A265"/>
      <c r="B265"/>
      <c r="C265"/>
      <c r="D265"/>
      <c r="E265"/>
      <c r="F265"/>
      <c r="G265"/>
      <c r="H265"/>
      <c r="I265"/>
      <c r="J265"/>
      <c r="K265"/>
      <c r="L265"/>
      <c r="M265"/>
      <c r="N265"/>
      <c r="O265"/>
      <c r="P265"/>
      <c r="Q265"/>
      <c r="R265"/>
      <c r="S265"/>
      <c r="T265"/>
    </row>
    <row r="266" spans="1:20" x14ac:dyDescent="0.3">
      <c r="A266"/>
      <c r="B266"/>
      <c r="C266"/>
      <c r="D266"/>
      <c r="E266"/>
      <c r="F266"/>
      <c r="G266"/>
      <c r="H266"/>
      <c r="I266"/>
      <c r="J266"/>
      <c r="K266"/>
      <c r="L266"/>
      <c r="M266"/>
      <c r="N266"/>
      <c r="O266"/>
      <c r="P266"/>
      <c r="Q266"/>
      <c r="R266"/>
      <c r="S266"/>
      <c r="T266"/>
    </row>
    <row r="267" spans="1:20" x14ac:dyDescent="0.3">
      <c r="A267"/>
      <c r="B267"/>
      <c r="C267"/>
      <c r="D267"/>
      <c r="E267"/>
      <c r="F267"/>
      <c r="G267"/>
      <c r="H267"/>
      <c r="I267"/>
      <c r="J267"/>
      <c r="K267"/>
      <c r="L267"/>
      <c r="M267"/>
      <c r="N267"/>
      <c r="O267"/>
      <c r="P267"/>
      <c r="Q267"/>
      <c r="R267"/>
      <c r="S267"/>
      <c r="T267"/>
    </row>
    <row r="268" spans="1:20" x14ac:dyDescent="0.3">
      <c r="A268"/>
      <c r="B268"/>
      <c r="C268"/>
      <c r="D268"/>
      <c r="E268"/>
      <c r="F268"/>
      <c r="G268"/>
      <c r="H268"/>
      <c r="I268"/>
      <c r="J268"/>
      <c r="K268"/>
      <c r="L268"/>
      <c r="M268"/>
      <c r="N268"/>
      <c r="O268"/>
      <c r="P268"/>
      <c r="Q268"/>
      <c r="R268"/>
      <c r="S268"/>
      <c r="T268"/>
    </row>
    <row r="269" spans="1:20" x14ac:dyDescent="0.3">
      <c r="A269"/>
      <c r="B269"/>
      <c r="C269"/>
      <c r="D269"/>
      <c r="E269"/>
      <c r="F269"/>
      <c r="G269"/>
      <c r="H269"/>
      <c r="I269"/>
      <c r="J269"/>
      <c r="K269"/>
      <c r="L269"/>
      <c r="M269"/>
      <c r="N269"/>
      <c r="O269"/>
      <c r="P269"/>
      <c r="Q269"/>
      <c r="R269"/>
      <c r="S269"/>
      <c r="T269"/>
    </row>
    <row r="270" spans="1:20" x14ac:dyDescent="0.3">
      <c r="A270"/>
      <c r="B270"/>
      <c r="C270"/>
      <c r="D270"/>
      <c r="E270"/>
      <c r="F270"/>
      <c r="G270"/>
      <c r="H270"/>
      <c r="I270"/>
      <c r="J270"/>
      <c r="K270"/>
      <c r="L270"/>
      <c r="M270"/>
      <c r="N270"/>
      <c r="O270"/>
      <c r="P270"/>
      <c r="Q270"/>
      <c r="R270"/>
      <c r="S270"/>
      <c r="T270"/>
    </row>
    <row r="271" spans="1:20" x14ac:dyDescent="0.3">
      <c r="A271"/>
      <c r="B271"/>
      <c r="C271"/>
      <c r="D271"/>
      <c r="E271"/>
      <c r="F271"/>
      <c r="G271"/>
      <c r="H271"/>
      <c r="I271"/>
      <c r="J271"/>
      <c r="K271"/>
      <c r="L271"/>
      <c r="M271"/>
      <c r="N271"/>
      <c r="O271"/>
      <c r="P271"/>
      <c r="Q271"/>
      <c r="R271"/>
      <c r="S271"/>
      <c r="T271"/>
    </row>
    <row r="272" spans="1:20" x14ac:dyDescent="0.3">
      <c r="A272"/>
      <c r="B272"/>
      <c r="C272"/>
      <c r="D272"/>
      <c r="E272"/>
      <c r="F272"/>
      <c r="G272"/>
      <c r="H272"/>
      <c r="I272"/>
      <c r="J272"/>
      <c r="K272"/>
      <c r="L272"/>
      <c r="M272"/>
      <c r="N272"/>
      <c r="O272"/>
      <c r="P272"/>
      <c r="Q272"/>
      <c r="R272"/>
      <c r="S272"/>
      <c r="T272"/>
    </row>
    <row r="273" spans="1:20" x14ac:dyDescent="0.3">
      <c r="A273"/>
      <c r="B273"/>
      <c r="C273"/>
      <c r="D273"/>
      <c r="E273"/>
      <c r="F273"/>
      <c r="G273"/>
      <c r="H273"/>
      <c r="I273"/>
      <c r="J273"/>
      <c r="K273"/>
      <c r="L273"/>
      <c r="M273"/>
      <c r="N273"/>
      <c r="O273"/>
      <c r="P273"/>
      <c r="Q273"/>
      <c r="R273"/>
      <c r="S273"/>
      <c r="T273"/>
    </row>
    <row r="274" spans="1:20" x14ac:dyDescent="0.3">
      <c r="A274"/>
      <c r="B274"/>
      <c r="C274"/>
      <c r="D274"/>
      <c r="E274"/>
      <c r="F274"/>
      <c r="G274"/>
      <c r="H274"/>
      <c r="I274"/>
      <c r="J274"/>
      <c r="K274"/>
      <c r="L274"/>
      <c r="M274"/>
      <c r="N274"/>
      <c r="O274"/>
      <c r="P274"/>
      <c r="Q274"/>
      <c r="R274"/>
      <c r="S274"/>
      <c r="T274"/>
    </row>
    <row r="275" spans="1:20" x14ac:dyDescent="0.3">
      <c r="A275"/>
      <c r="B275"/>
      <c r="C275"/>
      <c r="D275"/>
      <c r="E275"/>
      <c r="F275"/>
      <c r="G275"/>
      <c r="H275"/>
      <c r="I275"/>
      <c r="J275"/>
      <c r="K275"/>
      <c r="L275"/>
      <c r="M275"/>
      <c r="N275"/>
      <c r="O275"/>
      <c r="P275"/>
      <c r="Q275"/>
      <c r="R275"/>
      <c r="S275"/>
      <c r="T275"/>
    </row>
    <row r="276" spans="1:20" x14ac:dyDescent="0.3">
      <c r="A276"/>
      <c r="B276"/>
      <c r="C276"/>
      <c r="D276"/>
      <c r="E276"/>
      <c r="F276"/>
      <c r="G276"/>
      <c r="H276"/>
      <c r="I276"/>
      <c r="J276"/>
      <c r="K276"/>
      <c r="L276"/>
      <c r="M276"/>
      <c r="N276"/>
      <c r="O276"/>
      <c r="P276"/>
      <c r="Q276"/>
      <c r="R276"/>
      <c r="S276"/>
      <c r="T276"/>
    </row>
    <row r="277" spans="1:20" x14ac:dyDescent="0.3">
      <c r="A277"/>
      <c r="B277"/>
      <c r="C277"/>
      <c r="D277"/>
      <c r="E277"/>
      <c r="F277"/>
      <c r="G277"/>
      <c r="H277"/>
      <c r="I277"/>
      <c r="J277"/>
      <c r="K277"/>
      <c r="L277"/>
      <c r="M277"/>
      <c r="N277"/>
      <c r="O277"/>
      <c r="P277"/>
      <c r="Q277"/>
      <c r="R277"/>
      <c r="S277"/>
      <c r="T277"/>
    </row>
    <row r="278" spans="1:20" x14ac:dyDescent="0.3">
      <c r="A278"/>
      <c r="B278"/>
      <c r="C278"/>
      <c r="D278"/>
      <c r="E278"/>
      <c r="F278"/>
      <c r="G278"/>
      <c r="H278"/>
      <c r="I278"/>
      <c r="J278"/>
      <c r="K278"/>
      <c r="L278"/>
      <c r="M278"/>
      <c r="N278"/>
      <c r="O278"/>
      <c r="P278"/>
      <c r="Q278"/>
      <c r="R278"/>
      <c r="S278"/>
      <c r="T278"/>
    </row>
    <row r="279" spans="1:20" x14ac:dyDescent="0.3">
      <c r="A279"/>
      <c r="B279"/>
      <c r="C279"/>
      <c r="D279"/>
      <c r="E279"/>
      <c r="F279"/>
      <c r="G279"/>
      <c r="H279"/>
      <c r="I279"/>
      <c r="J279"/>
      <c r="K279"/>
      <c r="L279"/>
      <c r="M279"/>
      <c r="N279"/>
      <c r="O279"/>
      <c r="P279"/>
      <c r="Q279"/>
      <c r="R279"/>
      <c r="S279"/>
      <c r="T279"/>
    </row>
    <row r="280" spans="1:20" x14ac:dyDescent="0.3">
      <c r="A280"/>
      <c r="B280"/>
      <c r="C280"/>
      <c r="D280"/>
      <c r="E280"/>
      <c r="F280"/>
      <c r="G280"/>
      <c r="H280"/>
      <c r="I280"/>
      <c r="J280"/>
      <c r="K280"/>
      <c r="L280"/>
      <c r="M280"/>
      <c r="N280"/>
      <c r="O280"/>
      <c r="P280"/>
      <c r="Q280"/>
      <c r="R280"/>
      <c r="S280"/>
      <c r="T280"/>
    </row>
    <row r="281" spans="1:20" x14ac:dyDescent="0.3">
      <c r="A281"/>
      <c r="B281"/>
      <c r="C281"/>
      <c r="D281"/>
      <c r="E281"/>
      <c r="F281"/>
      <c r="G281"/>
      <c r="H281"/>
      <c r="I281"/>
      <c r="J281"/>
      <c r="K281"/>
      <c r="L281"/>
      <c r="M281"/>
      <c r="N281"/>
      <c r="O281"/>
      <c r="P281"/>
      <c r="Q281"/>
      <c r="R281"/>
      <c r="S281"/>
      <c r="T281"/>
    </row>
    <row r="282" spans="1:20" x14ac:dyDescent="0.3">
      <c r="A282"/>
      <c r="B282"/>
      <c r="C282"/>
      <c r="D282"/>
      <c r="E282"/>
      <c r="F282"/>
      <c r="G282"/>
      <c r="H282"/>
      <c r="I282"/>
      <c r="J282"/>
      <c r="K282"/>
      <c r="L282"/>
      <c r="M282"/>
      <c r="N282"/>
      <c r="O282"/>
      <c r="P282"/>
      <c r="Q282"/>
      <c r="R282"/>
      <c r="S282"/>
      <c r="T282"/>
    </row>
    <row r="283" spans="1:20" x14ac:dyDescent="0.3">
      <c r="A283"/>
      <c r="B283"/>
      <c r="C283"/>
      <c r="D283"/>
      <c r="E283"/>
      <c r="F283"/>
      <c r="G283"/>
      <c r="H283"/>
      <c r="I283"/>
      <c r="J283"/>
      <c r="K283"/>
      <c r="L283"/>
      <c r="M283"/>
      <c r="N283"/>
      <c r="O283"/>
      <c r="P283"/>
      <c r="Q283"/>
      <c r="R283"/>
      <c r="S283"/>
      <c r="T283"/>
    </row>
    <row r="284" spans="1:20" x14ac:dyDescent="0.3">
      <c r="A284"/>
      <c r="B284"/>
      <c r="C284"/>
      <c r="D284"/>
      <c r="E284"/>
      <c r="F284"/>
      <c r="G284"/>
      <c r="H284"/>
      <c r="I284"/>
      <c r="J284"/>
      <c r="K284"/>
      <c r="L284"/>
      <c r="M284"/>
      <c r="N284"/>
      <c r="O284"/>
      <c r="P284"/>
      <c r="Q284"/>
      <c r="R284"/>
      <c r="S284"/>
      <c r="T284"/>
    </row>
    <row r="285" spans="1:20" x14ac:dyDescent="0.3">
      <c r="A285"/>
      <c r="B285"/>
      <c r="C285"/>
      <c r="D285"/>
      <c r="E285"/>
      <c r="F285"/>
      <c r="G285"/>
      <c r="H285"/>
      <c r="I285"/>
      <c r="J285"/>
      <c r="K285"/>
      <c r="L285"/>
      <c r="M285"/>
      <c r="N285"/>
      <c r="O285"/>
      <c r="P285"/>
      <c r="Q285"/>
      <c r="R285"/>
      <c r="S285"/>
      <c r="T285"/>
    </row>
    <row r="286" spans="1:20" x14ac:dyDescent="0.3">
      <c r="A286"/>
      <c r="B286"/>
      <c r="C286"/>
      <c r="D286"/>
      <c r="E286"/>
      <c r="F286"/>
      <c r="G286"/>
      <c r="H286"/>
      <c r="I286"/>
      <c r="J286"/>
      <c r="K286"/>
      <c r="L286"/>
      <c r="M286"/>
      <c r="N286"/>
      <c r="O286"/>
      <c r="P286"/>
      <c r="Q286"/>
      <c r="R286"/>
      <c r="S286"/>
      <c r="T286"/>
    </row>
    <row r="287" spans="1:20" x14ac:dyDescent="0.3">
      <c r="A287"/>
      <c r="B287"/>
      <c r="C287"/>
      <c r="D287"/>
      <c r="E287"/>
      <c r="F287"/>
      <c r="G287"/>
      <c r="H287"/>
      <c r="I287"/>
      <c r="J287"/>
      <c r="K287"/>
      <c r="L287"/>
      <c r="M287"/>
      <c r="N287"/>
      <c r="O287"/>
      <c r="P287"/>
      <c r="Q287"/>
      <c r="R287"/>
      <c r="S287"/>
      <c r="T287"/>
    </row>
    <row r="288" spans="1:20" x14ac:dyDescent="0.3">
      <c r="A288"/>
      <c r="B288"/>
      <c r="C288"/>
      <c r="D288"/>
      <c r="E288"/>
      <c r="F288"/>
      <c r="G288"/>
      <c r="H288"/>
      <c r="I288"/>
      <c r="J288"/>
      <c r="K288"/>
      <c r="L288"/>
      <c r="M288"/>
      <c r="N288"/>
      <c r="O288"/>
      <c r="P288"/>
      <c r="Q288"/>
      <c r="R288"/>
      <c r="S288"/>
      <c r="T288"/>
    </row>
    <row r="289" spans="1:20" x14ac:dyDescent="0.3">
      <c r="A289"/>
      <c r="B289"/>
      <c r="C289"/>
      <c r="D289"/>
      <c r="E289"/>
      <c r="F289"/>
      <c r="G289"/>
      <c r="H289"/>
      <c r="I289"/>
      <c r="J289"/>
      <c r="K289"/>
      <c r="L289"/>
      <c r="M289"/>
      <c r="N289"/>
      <c r="O289"/>
      <c r="P289"/>
      <c r="Q289"/>
      <c r="R289"/>
      <c r="S289"/>
      <c r="T289"/>
    </row>
    <row r="290" spans="1:20" x14ac:dyDescent="0.3">
      <c r="A290"/>
      <c r="B290"/>
      <c r="C290"/>
      <c r="D290"/>
      <c r="E290"/>
      <c r="F290"/>
      <c r="G290"/>
      <c r="H290"/>
      <c r="I290"/>
      <c r="J290"/>
      <c r="K290"/>
      <c r="L290"/>
      <c r="M290"/>
      <c r="N290"/>
      <c r="O290"/>
      <c r="P290"/>
      <c r="Q290"/>
      <c r="R290"/>
      <c r="S290"/>
      <c r="T290"/>
    </row>
    <row r="291" spans="1:20" x14ac:dyDescent="0.3">
      <c r="A291"/>
      <c r="B291"/>
      <c r="C291"/>
      <c r="D291"/>
      <c r="E291"/>
      <c r="F291"/>
      <c r="G291"/>
      <c r="H291"/>
      <c r="I291"/>
      <c r="J291"/>
      <c r="K291"/>
      <c r="L291"/>
      <c r="M291"/>
      <c r="N291"/>
      <c r="O291"/>
      <c r="P291"/>
      <c r="Q291"/>
      <c r="R291"/>
      <c r="S291"/>
      <c r="T291"/>
    </row>
    <row r="292" spans="1:20" x14ac:dyDescent="0.3">
      <c r="A292"/>
      <c r="B292"/>
      <c r="C292"/>
      <c r="D292"/>
      <c r="E292"/>
      <c r="F292"/>
      <c r="G292"/>
      <c r="H292"/>
      <c r="I292"/>
      <c r="J292"/>
      <c r="K292"/>
      <c r="L292"/>
      <c r="M292"/>
      <c r="N292"/>
      <c r="O292"/>
      <c r="P292"/>
      <c r="Q292"/>
      <c r="R292"/>
      <c r="S292"/>
      <c r="T292"/>
    </row>
    <row r="293" spans="1:20" x14ac:dyDescent="0.3">
      <c r="A293"/>
      <c r="B293"/>
      <c r="C293"/>
      <c r="D293"/>
      <c r="E293"/>
      <c r="F293"/>
      <c r="G293"/>
      <c r="H293"/>
      <c r="I293"/>
      <c r="J293"/>
      <c r="K293"/>
      <c r="L293"/>
      <c r="M293"/>
      <c r="N293"/>
      <c r="O293"/>
      <c r="P293"/>
      <c r="Q293"/>
      <c r="R293"/>
      <c r="S293"/>
      <c r="T293"/>
    </row>
    <row r="294" spans="1:20" x14ac:dyDescent="0.3">
      <c r="A294"/>
      <c r="B294"/>
      <c r="C294"/>
      <c r="D294"/>
      <c r="E294"/>
      <c r="F294"/>
      <c r="G294"/>
      <c r="H294"/>
      <c r="I294"/>
      <c r="J294"/>
      <c r="K294"/>
      <c r="L294"/>
      <c r="M294"/>
      <c r="N294"/>
      <c r="O294"/>
      <c r="P294"/>
      <c r="Q294"/>
      <c r="R294"/>
      <c r="S294"/>
      <c r="T294"/>
    </row>
    <row r="295" spans="1:20" x14ac:dyDescent="0.3">
      <c r="A295"/>
      <c r="B295"/>
      <c r="C295"/>
      <c r="D295"/>
      <c r="E295"/>
      <c r="F295"/>
      <c r="G295"/>
      <c r="H295"/>
      <c r="I295"/>
      <c r="J295"/>
      <c r="K295"/>
      <c r="L295"/>
      <c r="M295"/>
      <c r="N295"/>
      <c r="O295"/>
      <c r="P295"/>
      <c r="Q295"/>
      <c r="R295"/>
      <c r="S295"/>
      <c r="T295"/>
    </row>
    <row r="296" spans="1:20" x14ac:dyDescent="0.3">
      <c r="A296"/>
      <c r="B296"/>
      <c r="C296"/>
      <c r="D296"/>
      <c r="E296"/>
      <c r="F296"/>
      <c r="G296"/>
      <c r="H296"/>
      <c r="I296"/>
      <c r="J296"/>
      <c r="K296"/>
      <c r="L296"/>
      <c r="M296"/>
      <c r="N296"/>
      <c r="O296"/>
      <c r="P296"/>
      <c r="Q296"/>
      <c r="R296"/>
      <c r="S296"/>
      <c r="T296"/>
    </row>
    <row r="297" spans="1:20" x14ac:dyDescent="0.3">
      <c r="A297"/>
      <c r="B297"/>
      <c r="C297"/>
      <c r="D297"/>
      <c r="E297"/>
      <c r="F297"/>
      <c r="G297"/>
      <c r="H297"/>
      <c r="I297"/>
      <c r="J297"/>
      <c r="K297"/>
      <c r="L297"/>
      <c r="M297"/>
      <c r="N297"/>
      <c r="O297"/>
      <c r="P297"/>
      <c r="Q297"/>
      <c r="R297"/>
      <c r="S297"/>
      <c r="T297"/>
    </row>
    <row r="298" spans="1:20" x14ac:dyDescent="0.3">
      <c r="A298"/>
      <c r="B298"/>
      <c r="C298"/>
      <c r="D298"/>
      <c r="E298"/>
      <c r="F298"/>
      <c r="G298"/>
      <c r="H298"/>
      <c r="I298"/>
      <c r="J298"/>
      <c r="K298"/>
      <c r="L298"/>
      <c r="M298"/>
      <c r="N298"/>
      <c r="O298"/>
      <c r="P298"/>
      <c r="Q298"/>
      <c r="R298"/>
      <c r="S298"/>
      <c r="T298"/>
    </row>
    <row r="299" spans="1:20" x14ac:dyDescent="0.3">
      <c r="A299"/>
      <c r="B299"/>
      <c r="C299"/>
      <c r="D299"/>
      <c r="E299"/>
      <c r="F299"/>
      <c r="G299"/>
      <c r="H299"/>
      <c r="I299"/>
      <c r="J299"/>
      <c r="K299"/>
      <c r="L299"/>
      <c r="M299"/>
      <c r="N299"/>
      <c r="O299"/>
      <c r="P299"/>
      <c r="Q299"/>
      <c r="R299"/>
      <c r="S299"/>
      <c r="T299"/>
    </row>
    <row r="300" spans="1:20" x14ac:dyDescent="0.3">
      <c r="A300"/>
      <c r="B300"/>
      <c r="C300"/>
      <c r="D300"/>
      <c r="E300"/>
      <c r="F300"/>
      <c r="G300"/>
      <c r="H300"/>
      <c r="I300"/>
      <c r="J300"/>
      <c r="K300"/>
      <c r="L300"/>
      <c r="M300"/>
      <c r="N300"/>
      <c r="O300"/>
      <c r="P300"/>
      <c r="Q300"/>
      <c r="R300"/>
      <c r="S300"/>
      <c r="T300"/>
    </row>
    <row r="301" spans="1:20" x14ac:dyDescent="0.3">
      <c r="A301"/>
      <c r="B301"/>
      <c r="C301"/>
      <c r="D301"/>
      <c r="E301"/>
      <c r="F301"/>
      <c r="G301"/>
      <c r="H301"/>
      <c r="I301"/>
      <c r="J301"/>
      <c r="K301"/>
      <c r="L301"/>
      <c r="M301"/>
      <c r="N301"/>
      <c r="O301"/>
      <c r="P301"/>
      <c r="Q301"/>
      <c r="R301"/>
      <c r="S301"/>
      <c r="T301"/>
    </row>
    <row r="302" spans="1:20" x14ac:dyDescent="0.3">
      <c r="A302"/>
      <c r="B302"/>
      <c r="C302"/>
      <c r="D302"/>
      <c r="E302"/>
      <c r="F302"/>
      <c r="G302"/>
      <c r="H302"/>
      <c r="I302"/>
      <c r="J302"/>
      <c r="K302"/>
      <c r="L302"/>
      <c r="M302"/>
      <c r="N302"/>
      <c r="O302"/>
      <c r="P302"/>
      <c r="Q302"/>
      <c r="R302"/>
      <c r="S302"/>
      <c r="T302"/>
    </row>
    <row r="303" spans="1:20" x14ac:dyDescent="0.3">
      <c r="A303"/>
      <c r="B303"/>
      <c r="C303"/>
      <c r="D303"/>
      <c r="E303"/>
      <c r="F303"/>
      <c r="G303"/>
      <c r="H303"/>
      <c r="I303"/>
      <c r="J303"/>
      <c r="K303"/>
      <c r="L303"/>
      <c r="M303"/>
      <c r="N303"/>
      <c r="O303"/>
      <c r="P303"/>
      <c r="Q303"/>
      <c r="R303"/>
      <c r="S303"/>
      <c r="T303"/>
    </row>
    <row r="304" spans="1:20" x14ac:dyDescent="0.3">
      <c r="A304"/>
      <c r="B304"/>
      <c r="C304"/>
      <c r="D304"/>
      <c r="E304"/>
      <c r="F304"/>
      <c r="G304"/>
      <c r="H304"/>
      <c r="I304"/>
      <c r="J304"/>
      <c r="K304"/>
      <c r="L304"/>
      <c r="M304"/>
      <c r="N304"/>
      <c r="O304"/>
      <c r="P304"/>
      <c r="Q304"/>
      <c r="R304"/>
      <c r="S304"/>
      <c r="T304"/>
    </row>
    <row r="305" spans="1:20" x14ac:dyDescent="0.3">
      <c r="A305"/>
      <c r="B305"/>
      <c r="C305"/>
      <c r="D305"/>
      <c r="E305"/>
      <c r="F305"/>
      <c r="G305"/>
      <c r="H305"/>
      <c r="I305"/>
      <c r="J305"/>
      <c r="K305"/>
      <c r="L305"/>
      <c r="M305"/>
      <c r="N305"/>
      <c r="O305"/>
      <c r="P305"/>
      <c r="Q305"/>
      <c r="R305"/>
      <c r="S305"/>
      <c r="T305"/>
    </row>
    <row r="306" spans="1:20" x14ac:dyDescent="0.3">
      <c r="A306"/>
      <c r="B306"/>
      <c r="C306"/>
      <c r="D306"/>
      <c r="E306"/>
      <c r="F306"/>
      <c r="G306"/>
      <c r="H306"/>
      <c r="I306"/>
      <c r="J306"/>
      <c r="K306"/>
      <c r="L306"/>
      <c r="M306"/>
      <c r="N306"/>
      <c r="O306"/>
      <c r="P306"/>
      <c r="Q306"/>
      <c r="R306"/>
      <c r="S306"/>
      <c r="T306"/>
    </row>
    <row r="307" spans="1:20" x14ac:dyDescent="0.3">
      <c r="A307"/>
      <c r="B307"/>
      <c r="C307"/>
      <c r="D307"/>
      <c r="E307"/>
      <c r="F307"/>
      <c r="G307"/>
      <c r="H307"/>
      <c r="I307"/>
      <c r="J307"/>
      <c r="K307"/>
      <c r="L307"/>
      <c r="M307"/>
      <c r="N307"/>
      <c r="O307"/>
      <c r="P307"/>
      <c r="Q307"/>
      <c r="R307"/>
      <c r="S307"/>
      <c r="T307"/>
    </row>
    <row r="308" spans="1:20" x14ac:dyDescent="0.3">
      <c r="A308"/>
      <c r="B308"/>
      <c r="C308"/>
      <c r="D308"/>
      <c r="E308"/>
      <c r="F308"/>
      <c r="G308"/>
      <c r="H308"/>
      <c r="I308"/>
      <c r="J308"/>
      <c r="K308"/>
      <c r="L308"/>
      <c r="M308"/>
      <c r="N308"/>
      <c r="O308"/>
      <c r="P308"/>
      <c r="Q308"/>
      <c r="R308"/>
      <c r="S308"/>
      <c r="T308"/>
    </row>
    <row r="309" spans="1:20" x14ac:dyDescent="0.3">
      <c r="A309"/>
      <c r="B309"/>
      <c r="C309"/>
      <c r="D309"/>
      <c r="E309"/>
      <c r="F309"/>
      <c r="G309"/>
      <c r="H309"/>
      <c r="I309"/>
      <c r="J309"/>
      <c r="K309"/>
      <c r="L309"/>
      <c r="M309"/>
      <c r="N309"/>
      <c r="O309"/>
      <c r="P309"/>
      <c r="Q309"/>
      <c r="R309"/>
      <c r="S309"/>
      <c r="T309"/>
    </row>
    <row r="310" spans="1:20" x14ac:dyDescent="0.3">
      <c r="A310"/>
      <c r="B310"/>
      <c r="C310"/>
      <c r="D310"/>
      <c r="E310"/>
      <c r="F310"/>
      <c r="G310"/>
      <c r="H310"/>
      <c r="I310"/>
      <c r="J310"/>
      <c r="K310"/>
      <c r="L310"/>
      <c r="M310"/>
      <c r="N310"/>
      <c r="O310"/>
      <c r="P310"/>
      <c r="Q310"/>
      <c r="R310"/>
      <c r="S310"/>
      <c r="T310"/>
    </row>
    <row r="311" spans="1:20" x14ac:dyDescent="0.3">
      <c r="A311"/>
      <c r="B311"/>
      <c r="C311"/>
      <c r="D311"/>
      <c r="E311"/>
      <c r="F311"/>
      <c r="G311"/>
      <c r="H311"/>
      <c r="I311"/>
      <c r="J311"/>
      <c r="K311"/>
      <c r="L311"/>
      <c r="M311"/>
      <c r="N311"/>
      <c r="O311"/>
      <c r="P311"/>
      <c r="Q311"/>
      <c r="R311"/>
      <c r="S311"/>
      <c r="T311"/>
    </row>
    <row r="312" spans="1:20" x14ac:dyDescent="0.3">
      <c r="A312"/>
      <c r="B312"/>
      <c r="C312"/>
      <c r="D312"/>
      <c r="E312"/>
      <c r="F312"/>
      <c r="G312"/>
      <c r="H312"/>
      <c r="I312"/>
      <c r="J312"/>
      <c r="K312"/>
      <c r="L312"/>
      <c r="M312"/>
      <c r="N312"/>
      <c r="O312"/>
      <c r="P312"/>
      <c r="Q312"/>
      <c r="R312"/>
      <c r="S312"/>
      <c r="T312"/>
    </row>
    <row r="313" spans="1:20" x14ac:dyDescent="0.3">
      <c r="A313"/>
      <c r="B313"/>
      <c r="C313"/>
      <c r="D313"/>
      <c r="E313"/>
      <c r="F313"/>
      <c r="G313"/>
      <c r="H313"/>
      <c r="I313"/>
      <c r="J313"/>
      <c r="K313"/>
      <c r="L313"/>
      <c r="M313"/>
      <c r="N313"/>
      <c r="O313"/>
      <c r="P313"/>
      <c r="Q313"/>
      <c r="R313"/>
      <c r="S313"/>
      <c r="T313"/>
    </row>
    <row r="314" spans="1:20" x14ac:dyDescent="0.3">
      <c r="A314"/>
      <c r="B314"/>
      <c r="C314"/>
      <c r="D314"/>
      <c r="E314"/>
      <c r="F314"/>
      <c r="G314"/>
      <c r="H314"/>
      <c r="I314"/>
      <c r="J314"/>
      <c r="K314"/>
      <c r="L314"/>
      <c r="M314"/>
      <c r="N314"/>
      <c r="O314"/>
      <c r="P314"/>
      <c r="Q314"/>
      <c r="R314"/>
      <c r="S314"/>
      <c r="T314"/>
    </row>
    <row r="315" spans="1:20" x14ac:dyDescent="0.3">
      <c r="A315"/>
      <c r="B315"/>
      <c r="C315"/>
      <c r="D315"/>
      <c r="E315"/>
      <c r="F315"/>
      <c r="G315"/>
      <c r="H315"/>
      <c r="I315"/>
      <c r="J315"/>
      <c r="K315"/>
      <c r="L315"/>
      <c r="M315"/>
      <c r="N315"/>
      <c r="O315"/>
      <c r="P315"/>
      <c r="Q315"/>
      <c r="R315"/>
      <c r="S315"/>
      <c r="T315"/>
    </row>
    <row r="316" spans="1:20" x14ac:dyDescent="0.3">
      <c r="A316"/>
      <c r="B316"/>
      <c r="C316"/>
      <c r="D316"/>
      <c r="E316"/>
      <c r="F316"/>
      <c r="G316"/>
      <c r="H316"/>
      <c r="I316"/>
      <c r="J316"/>
      <c r="K316"/>
      <c r="L316"/>
      <c r="M316"/>
      <c r="N316"/>
      <c r="O316"/>
      <c r="P316"/>
      <c r="Q316"/>
      <c r="R316"/>
      <c r="S316"/>
      <c r="T316"/>
    </row>
    <row r="317" spans="1:20" x14ac:dyDescent="0.3">
      <c r="A317"/>
      <c r="B317"/>
      <c r="C317"/>
      <c r="D317"/>
      <c r="E317"/>
      <c r="F317"/>
      <c r="G317"/>
      <c r="H317"/>
      <c r="I317"/>
      <c r="J317"/>
      <c r="K317"/>
      <c r="L317"/>
      <c r="M317"/>
      <c r="N317"/>
      <c r="O317"/>
      <c r="P317"/>
      <c r="Q317"/>
      <c r="R317"/>
      <c r="S317"/>
      <c r="T317"/>
    </row>
    <row r="318" spans="1:20" x14ac:dyDescent="0.3">
      <c r="A318"/>
      <c r="B318"/>
      <c r="C318"/>
      <c r="D318"/>
      <c r="E318"/>
      <c r="F318"/>
      <c r="G318"/>
      <c r="H318"/>
      <c r="I318"/>
      <c r="J318"/>
      <c r="K318"/>
      <c r="L318"/>
      <c r="M318"/>
      <c r="N318"/>
      <c r="O318"/>
      <c r="P318"/>
      <c r="Q318"/>
      <c r="R318"/>
      <c r="S318"/>
      <c r="T318"/>
    </row>
    <row r="319" spans="1:20" x14ac:dyDescent="0.3">
      <c r="A319"/>
      <c r="B319"/>
      <c r="C319"/>
      <c r="D319"/>
      <c r="E319"/>
      <c r="F319"/>
      <c r="G319"/>
      <c r="H319"/>
      <c r="I319"/>
      <c r="J319"/>
      <c r="K319"/>
      <c r="L319"/>
      <c r="M319"/>
      <c r="N319"/>
      <c r="O319"/>
      <c r="P319"/>
      <c r="Q319"/>
      <c r="R319"/>
      <c r="S319"/>
      <c r="T319"/>
    </row>
    <row r="320" spans="1:20" x14ac:dyDescent="0.3">
      <c r="A320"/>
      <c r="B320"/>
      <c r="C320"/>
      <c r="D320"/>
      <c r="E320"/>
      <c r="F320"/>
      <c r="G320"/>
      <c r="H320"/>
      <c r="I320"/>
      <c r="J320"/>
      <c r="K320"/>
      <c r="L320"/>
      <c r="M320"/>
      <c r="N320"/>
      <c r="O320"/>
      <c r="P320"/>
      <c r="Q320"/>
      <c r="R320"/>
      <c r="S320"/>
      <c r="T320"/>
    </row>
    <row r="321" spans="1:20" x14ac:dyDescent="0.3">
      <c r="A321"/>
      <c r="B321"/>
      <c r="C321"/>
      <c r="D321"/>
      <c r="E321"/>
      <c r="F321"/>
      <c r="G321"/>
      <c r="H321"/>
      <c r="I321"/>
      <c r="J321"/>
      <c r="K321"/>
      <c r="L321"/>
      <c r="M321"/>
      <c r="N321"/>
      <c r="O321"/>
      <c r="P321"/>
      <c r="Q321"/>
      <c r="R321"/>
      <c r="S321"/>
      <c r="T321"/>
    </row>
    <row r="322" spans="1:20" x14ac:dyDescent="0.3">
      <c r="A322"/>
      <c r="B322"/>
      <c r="C322"/>
      <c r="D322"/>
      <c r="E322"/>
      <c r="F322"/>
      <c r="G322"/>
      <c r="H322"/>
      <c r="I322"/>
      <c r="J322"/>
      <c r="K322"/>
      <c r="L322"/>
      <c r="M322"/>
      <c r="N322"/>
      <c r="O322"/>
      <c r="P322"/>
      <c r="Q322"/>
      <c r="R322"/>
      <c r="S322"/>
      <c r="T322"/>
    </row>
    <row r="323" spans="1:20" x14ac:dyDescent="0.3">
      <c r="A323"/>
      <c r="B323"/>
      <c r="C323"/>
      <c r="D323"/>
      <c r="E323"/>
      <c r="F323"/>
      <c r="G323"/>
      <c r="H323"/>
      <c r="I323"/>
      <c r="J323"/>
      <c r="K323"/>
      <c r="L323"/>
      <c r="M323"/>
      <c r="N323"/>
      <c r="O323"/>
      <c r="P323"/>
      <c r="Q323"/>
      <c r="R323"/>
      <c r="S323"/>
      <c r="T323"/>
    </row>
    <row r="324" spans="1:20" x14ac:dyDescent="0.3">
      <c r="A324"/>
      <c r="B324"/>
      <c r="C324"/>
      <c r="D324"/>
      <c r="E324"/>
      <c r="F324"/>
      <c r="G324"/>
      <c r="H324"/>
      <c r="I324"/>
      <c r="J324"/>
      <c r="K324"/>
      <c r="L324"/>
      <c r="M324"/>
      <c r="N324"/>
      <c r="O324"/>
      <c r="P324"/>
      <c r="Q324"/>
      <c r="R324"/>
      <c r="S324"/>
      <c r="T324"/>
    </row>
    <row r="325" spans="1:20" x14ac:dyDescent="0.3">
      <c r="A325"/>
      <c r="B325"/>
      <c r="C325"/>
      <c r="D325"/>
      <c r="E325"/>
      <c r="F325"/>
      <c r="G325"/>
      <c r="H325"/>
      <c r="I325"/>
      <c r="J325"/>
      <c r="K325"/>
      <c r="L325"/>
      <c r="M325"/>
      <c r="N325"/>
      <c r="O325"/>
      <c r="P325"/>
      <c r="Q325"/>
      <c r="R325"/>
      <c r="S325"/>
      <c r="T325"/>
    </row>
    <row r="326" spans="1:20" x14ac:dyDescent="0.3">
      <c r="A326"/>
      <c r="B326"/>
      <c r="C326"/>
      <c r="D326"/>
      <c r="E326"/>
      <c r="F326"/>
      <c r="G326"/>
      <c r="H326"/>
      <c r="I326"/>
      <c r="J326"/>
      <c r="K326"/>
      <c r="L326"/>
      <c r="M326"/>
      <c r="N326"/>
      <c r="O326"/>
      <c r="P326"/>
      <c r="Q326"/>
      <c r="R326"/>
      <c r="S326"/>
      <c r="T326"/>
    </row>
    <row r="327" spans="1:20" x14ac:dyDescent="0.3">
      <c r="A327"/>
      <c r="B327"/>
      <c r="C327"/>
      <c r="D327"/>
      <c r="E327"/>
      <c r="F327"/>
      <c r="G327"/>
      <c r="H327"/>
      <c r="I327"/>
      <c r="J327"/>
      <c r="K327"/>
      <c r="L327"/>
      <c r="M327"/>
      <c r="N327"/>
      <c r="O327"/>
      <c r="P327"/>
      <c r="Q327"/>
      <c r="R327"/>
      <c r="S327"/>
      <c r="T327"/>
    </row>
    <row r="328" spans="1:20" x14ac:dyDescent="0.3">
      <c r="A328"/>
      <c r="B328"/>
      <c r="C328"/>
      <c r="D328"/>
      <c r="E328"/>
      <c r="F328"/>
      <c r="G328"/>
      <c r="H328"/>
      <c r="I328"/>
      <c r="J328"/>
      <c r="K328"/>
      <c r="L328"/>
      <c r="M328"/>
      <c r="N328"/>
      <c r="O328"/>
      <c r="P328"/>
      <c r="Q328"/>
      <c r="R328"/>
      <c r="S328"/>
      <c r="T328"/>
    </row>
    <row r="329" spans="1:20" x14ac:dyDescent="0.3">
      <c r="A329"/>
      <c r="B329"/>
      <c r="C329"/>
      <c r="D329"/>
      <c r="E329"/>
      <c r="F329"/>
      <c r="G329"/>
      <c r="H329"/>
      <c r="I329"/>
      <c r="J329"/>
      <c r="K329"/>
      <c r="L329"/>
      <c r="M329"/>
      <c r="N329"/>
      <c r="O329"/>
      <c r="P329"/>
      <c r="Q329"/>
      <c r="R329"/>
      <c r="S329"/>
      <c r="T329"/>
    </row>
    <row r="330" spans="1:20" x14ac:dyDescent="0.3">
      <c r="A330"/>
      <c r="B330"/>
      <c r="C330"/>
      <c r="D330"/>
      <c r="E330"/>
      <c r="F330"/>
      <c r="G330"/>
      <c r="H330"/>
      <c r="I330"/>
      <c r="J330"/>
      <c r="K330"/>
      <c r="L330"/>
      <c r="M330"/>
      <c r="N330"/>
      <c r="O330"/>
      <c r="P330"/>
      <c r="Q330"/>
      <c r="R330"/>
      <c r="S330"/>
      <c r="T330"/>
    </row>
    <row r="331" spans="1:20" x14ac:dyDescent="0.3">
      <c r="A331"/>
      <c r="B331"/>
      <c r="C331"/>
      <c r="D331"/>
      <c r="E331"/>
      <c r="F331"/>
      <c r="G331"/>
      <c r="H331"/>
      <c r="I331"/>
      <c r="J331"/>
      <c r="K331"/>
      <c r="L331"/>
      <c r="M331"/>
      <c r="N331"/>
      <c r="O331"/>
      <c r="P331"/>
      <c r="Q331"/>
      <c r="R331"/>
      <c r="S331"/>
      <c r="T331"/>
    </row>
    <row r="332" spans="1:20" x14ac:dyDescent="0.3">
      <c r="A332"/>
      <c r="B332"/>
      <c r="C332"/>
      <c r="D332"/>
      <c r="E332"/>
      <c r="F332"/>
      <c r="G332"/>
      <c r="H332"/>
      <c r="I332"/>
      <c r="J332"/>
      <c r="K332"/>
      <c r="L332"/>
      <c r="M332"/>
      <c r="N332"/>
      <c r="O332"/>
      <c r="P332"/>
      <c r="Q332"/>
      <c r="R332"/>
      <c r="S332"/>
      <c r="T332"/>
    </row>
    <row r="333" spans="1:20" x14ac:dyDescent="0.3">
      <c r="A333"/>
      <c r="B333"/>
      <c r="C333"/>
      <c r="D333"/>
      <c r="E333"/>
      <c r="F333"/>
      <c r="G333"/>
      <c r="H333"/>
      <c r="I333"/>
      <c r="J333"/>
      <c r="K333"/>
      <c r="L333"/>
      <c r="M333"/>
      <c r="N333"/>
      <c r="O333"/>
      <c r="P333"/>
      <c r="Q333"/>
      <c r="R333"/>
      <c r="S333"/>
      <c r="T333"/>
    </row>
    <row r="334" spans="1:20" x14ac:dyDescent="0.3">
      <c r="A334"/>
      <c r="B334"/>
      <c r="C334"/>
      <c r="D334"/>
      <c r="E334"/>
      <c r="F334"/>
      <c r="G334"/>
      <c r="H334"/>
      <c r="I334"/>
      <c r="J334"/>
      <c r="K334"/>
      <c r="L334"/>
      <c r="M334"/>
      <c r="N334"/>
      <c r="O334"/>
      <c r="P334"/>
      <c r="Q334"/>
      <c r="R334"/>
      <c r="S334"/>
      <c r="T334"/>
    </row>
    <row r="335" spans="1:20" x14ac:dyDescent="0.3">
      <c r="A335"/>
      <c r="B335"/>
      <c r="C335"/>
      <c r="D335"/>
      <c r="E335"/>
      <c r="F335"/>
      <c r="G335"/>
      <c r="H335"/>
      <c r="I335"/>
      <c r="J335"/>
      <c r="K335"/>
      <c r="L335"/>
      <c r="M335"/>
      <c r="N335"/>
      <c r="O335"/>
      <c r="P335"/>
      <c r="Q335"/>
      <c r="R335"/>
      <c r="S335"/>
      <c r="T335"/>
    </row>
    <row r="336" spans="1:20" x14ac:dyDescent="0.3">
      <c r="A336"/>
      <c r="B336"/>
      <c r="C336"/>
      <c r="D336"/>
      <c r="E336"/>
      <c r="F336"/>
      <c r="G336"/>
      <c r="H336"/>
      <c r="I336"/>
      <c r="J336"/>
      <c r="K336"/>
      <c r="L336"/>
      <c r="M336"/>
      <c r="N336"/>
      <c r="O336"/>
      <c r="P336"/>
      <c r="Q336"/>
      <c r="R336"/>
      <c r="S336"/>
      <c r="T336"/>
    </row>
    <row r="337" spans="1:20" x14ac:dyDescent="0.3">
      <c r="A337"/>
      <c r="B337"/>
      <c r="C337"/>
      <c r="D337"/>
      <c r="E337"/>
      <c r="F337"/>
      <c r="G337"/>
      <c r="H337"/>
      <c r="I337"/>
      <c r="J337"/>
      <c r="K337"/>
      <c r="L337"/>
      <c r="M337"/>
      <c r="N337"/>
      <c r="O337"/>
      <c r="P337"/>
      <c r="Q337"/>
      <c r="R337"/>
      <c r="S337"/>
      <c r="T337"/>
    </row>
    <row r="338" spans="1:20" x14ac:dyDescent="0.3">
      <c r="A338"/>
      <c r="B338"/>
      <c r="C338"/>
      <c r="D338"/>
      <c r="E338"/>
      <c r="F338"/>
      <c r="G338"/>
      <c r="H338"/>
      <c r="I338"/>
      <c r="J338"/>
      <c r="K338"/>
      <c r="L338"/>
      <c r="M338"/>
      <c r="N338"/>
      <c r="O338"/>
      <c r="P338"/>
      <c r="Q338"/>
      <c r="R338"/>
      <c r="S338"/>
      <c r="T338"/>
    </row>
    <row r="339" spans="1:20" x14ac:dyDescent="0.3">
      <c r="A339"/>
      <c r="B339"/>
      <c r="C339"/>
      <c r="D339"/>
      <c r="E339"/>
      <c r="F339"/>
      <c r="G339"/>
      <c r="H339"/>
      <c r="I339"/>
      <c r="J339"/>
      <c r="K339"/>
      <c r="L339"/>
      <c r="M339"/>
      <c r="N339"/>
      <c r="O339"/>
      <c r="P339"/>
      <c r="Q339"/>
      <c r="R339"/>
      <c r="S339"/>
      <c r="T339"/>
    </row>
    <row r="340" spans="1:20" x14ac:dyDescent="0.3">
      <c r="A340"/>
      <c r="B340"/>
      <c r="C340"/>
      <c r="D340"/>
      <c r="E340"/>
      <c r="F340"/>
      <c r="G340"/>
      <c r="H340"/>
      <c r="I340"/>
      <c r="J340"/>
      <c r="K340"/>
      <c r="L340"/>
      <c r="M340"/>
      <c r="N340"/>
      <c r="O340"/>
      <c r="P340"/>
      <c r="Q340"/>
      <c r="R340"/>
      <c r="S340"/>
      <c r="T340"/>
    </row>
    <row r="341" spans="1:20" x14ac:dyDescent="0.3">
      <c r="A341"/>
      <c r="B341"/>
      <c r="C341"/>
      <c r="D341"/>
      <c r="E341"/>
      <c r="F341"/>
      <c r="G341"/>
      <c r="H341"/>
      <c r="I341"/>
      <c r="J341"/>
      <c r="K341"/>
      <c r="L341"/>
      <c r="M341"/>
      <c r="N341"/>
      <c r="O341"/>
      <c r="P341"/>
      <c r="Q341"/>
      <c r="R341"/>
      <c r="S341"/>
      <c r="T341"/>
    </row>
    <row r="342" spans="1:20" x14ac:dyDescent="0.3">
      <c r="A342"/>
      <c r="B342"/>
      <c r="C342"/>
      <c r="D342"/>
      <c r="E342"/>
      <c r="F342"/>
      <c r="G342"/>
      <c r="H342"/>
      <c r="I342"/>
      <c r="J342"/>
      <c r="K342"/>
      <c r="L342"/>
      <c r="M342"/>
      <c r="N342"/>
      <c r="O342"/>
      <c r="P342"/>
      <c r="Q342"/>
      <c r="R342"/>
      <c r="S342"/>
      <c r="T342"/>
    </row>
    <row r="343" spans="1:20" x14ac:dyDescent="0.3">
      <c r="A343"/>
      <c r="B343"/>
      <c r="C343"/>
      <c r="D343"/>
      <c r="E343"/>
      <c r="F343"/>
      <c r="G343"/>
      <c r="H343"/>
      <c r="I343"/>
      <c r="J343"/>
      <c r="K343"/>
      <c r="L343"/>
      <c r="M343"/>
      <c r="N343"/>
      <c r="O343"/>
      <c r="P343"/>
      <c r="Q343"/>
      <c r="R343"/>
      <c r="S343"/>
      <c r="T343"/>
    </row>
    <row r="344" spans="1:20" x14ac:dyDescent="0.3">
      <c r="A344"/>
      <c r="B344"/>
      <c r="C344"/>
      <c r="D344"/>
      <c r="E344"/>
      <c r="F344"/>
      <c r="G344"/>
      <c r="H344"/>
      <c r="I344"/>
      <c r="J344"/>
      <c r="K344"/>
      <c r="L344"/>
      <c r="M344"/>
      <c r="N344"/>
      <c r="O344"/>
      <c r="P344"/>
      <c r="Q344"/>
      <c r="R344"/>
      <c r="S344"/>
      <c r="T344"/>
    </row>
    <row r="345" spans="1:20" x14ac:dyDescent="0.3">
      <c r="A345"/>
      <c r="B345"/>
      <c r="C345"/>
      <c r="D345"/>
      <c r="E345"/>
      <c r="F345"/>
      <c r="G345"/>
      <c r="H345"/>
      <c r="I345"/>
      <c r="J345"/>
      <c r="K345"/>
      <c r="L345"/>
      <c r="M345"/>
      <c r="N345"/>
      <c r="O345"/>
      <c r="P345"/>
      <c r="Q345"/>
      <c r="R345"/>
      <c r="S345"/>
      <c r="T345"/>
    </row>
    <row r="346" spans="1:20" x14ac:dyDescent="0.3">
      <c r="A346"/>
      <c r="B346"/>
      <c r="C346"/>
      <c r="D346"/>
      <c r="E346"/>
      <c r="F346"/>
      <c r="G346"/>
      <c r="H346"/>
      <c r="I346"/>
      <c r="J346"/>
      <c r="K346"/>
      <c r="L346"/>
      <c r="M346"/>
      <c r="N346"/>
      <c r="O346"/>
      <c r="P346"/>
      <c r="Q346"/>
      <c r="R346"/>
      <c r="S346"/>
      <c r="T346"/>
    </row>
    <row r="347" spans="1:20" x14ac:dyDescent="0.3">
      <c r="A347"/>
      <c r="B347"/>
      <c r="C347"/>
      <c r="D347"/>
      <c r="E347"/>
      <c r="F347"/>
      <c r="G347"/>
      <c r="H347"/>
      <c r="I347"/>
      <c r="J347"/>
      <c r="K347"/>
      <c r="L347"/>
      <c r="M347"/>
      <c r="N347"/>
      <c r="O347"/>
      <c r="P347"/>
      <c r="Q347"/>
      <c r="R347"/>
      <c r="S347"/>
      <c r="T347"/>
    </row>
    <row r="348" spans="1:20" x14ac:dyDescent="0.3">
      <c r="A348"/>
      <c r="B348"/>
      <c r="C348"/>
      <c r="D348"/>
      <c r="E348"/>
      <c r="F348"/>
      <c r="G348"/>
      <c r="H348"/>
      <c r="I348"/>
      <c r="J348"/>
      <c r="K348"/>
      <c r="L348"/>
      <c r="M348"/>
      <c r="N348"/>
      <c r="O348"/>
      <c r="P348"/>
      <c r="Q348"/>
      <c r="R348"/>
      <c r="S348"/>
      <c r="T348"/>
    </row>
    <row r="349" spans="1:20" x14ac:dyDescent="0.3">
      <c r="A349"/>
      <c r="B349"/>
      <c r="C349"/>
      <c r="D349"/>
      <c r="E349"/>
      <c r="F349"/>
      <c r="G349"/>
      <c r="H349"/>
      <c r="I349"/>
      <c r="J349"/>
      <c r="K349"/>
      <c r="L349"/>
      <c r="M349"/>
      <c r="N349"/>
      <c r="O349"/>
      <c r="P349"/>
      <c r="Q349"/>
      <c r="R349"/>
      <c r="S349"/>
      <c r="T349"/>
    </row>
    <row r="350" spans="1:20" x14ac:dyDescent="0.3">
      <c r="A350"/>
      <c r="B350"/>
      <c r="C350"/>
      <c r="D350"/>
      <c r="E350"/>
      <c r="F350"/>
      <c r="G350"/>
      <c r="H350"/>
      <c r="I350"/>
      <c r="J350"/>
      <c r="K350"/>
      <c r="L350"/>
      <c r="M350"/>
      <c r="N350"/>
      <c r="O350"/>
      <c r="P350"/>
      <c r="Q350"/>
      <c r="R350"/>
      <c r="S350"/>
      <c r="T350"/>
    </row>
    <row r="351" spans="1:20" x14ac:dyDescent="0.3">
      <c r="A351"/>
      <c r="B351"/>
      <c r="C351"/>
      <c r="D351"/>
      <c r="E351"/>
      <c r="F351"/>
      <c r="G351"/>
      <c r="H351"/>
      <c r="I351"/>
      <c r="J351"/>
      <c r="K351"/>
      <c r="L351"/>
      <c r="M351"/>
      <c r="N351"/>
      <c r="O351"/>
      <c r="P351"/>
      <c r="Q351"/>
      <c r="R351"/>
      <c r="S351"/>
      <c r="T351"/>
    </row>
    <row r="352" spans="1:20" x14ac:dyDescent="0.3">
      <c r="A352"/>
      <c r="B352"/>
      <c r="C352"/>
      <c r="D352"/>
      <c r="E352"/>
      <c r="F352"/>
      <c r="G352"/>
      <c r="H352"/>
      <c r="I352"/>
      <c r="J352"/>
      <c r="K352"/>
      <c r="L352"/>
      <c r="M352"/>
      <c r="N352"/>
      <c r="O352"/>
      <c r="P352"/>
      <c r="Q352"/>
      <c r="R352"/>
      <c r="S352"/>
      <c r="T352"/>
    </row>
    <row r="353" spans="1:20" x14ac:dyDescent="0.3">
      <c r="A353"/>
      <c r="B353"/>
      <c r="C353"/>
      <c r="D353"/>
      <c r="E353"/>
      <c r="F353"/>
      <c r="G353"/>
      <c r="H353"/>
      <c r="I353"/>
      <c r="J353"/>
      <c r="K353"/>
      <c r="L353"/>
      <c r="M353"/>
      <c r="N353"/>
      <c r="O353"/>
      <c r="P353"/>
      <c r="Q353"/>
      <c r="R353"/>
      <c r="S353"/>
      <c r="T353"/>
    </row>
    <row r="354" spans="1:20" x14ac:dyDescent="0.3">
      <c r="A354"/>
      <c r="B354"/>
      <c r="C354"/>
      <c r="D354"/>
      <c r="E354"/>
      <c r="F354"/>
      <c r="G354"/>
      <c r="H354"/>
      <c r="I354"/>
      <c r="J354"/>
      <c r="K354"/>
      <c r="L354"/>
      <c r="M354"/>
      <c r="N354"/>
      <c r="O354"/>
      <c r="P354"/>
      <c r="Q354"/>
      <c r="R354"/>
      <c r="S354"/>
      <c r="T354"/>
    </row>
    <row r="355" spans="1:20" x14ac:dyDescent="0.3">
      <c r="A355"/>
      <c r="B355"/>
      <c r="C355"/>
      <c r="D355"/>
      <c r="E355"/>
      <c r="F355"/>
      <c r="G355"/>
      <c r="H355"/>
      <c r="I355"/>
      <c r="J355"/>
      <c r="K355"/>
      <c r="L355"/>
      <c r="M355"/>
      <c r="N355"/>
      <c r="O355"/>
      <c r="P355"/>
      <c r="Q355"/>
      <c r="R355"/>
      <c r="S355"/>
      <c r="T355"/>
    </row>
    <row r="356" spans="1:20" x14ac:dyDescent="0.3">
      <c r="A356"/>
      <c r="B356"/>
      <c r="C356"/>
      <c r="D356"/>
      <c r="E356"/>
      <c r="F356"/>
      <c r="G356"/>
      <c r="H356"/>
      <c r="I356"/>
      <c r="J356"/>
      <c r="K356"/>
      <c r="L356"/>
      <c r="M356"/>
      <c r="N356"/>
      <c r="O356"/>
      <c r="P356"/>
      <c r="Q356"/>
      <c r="R356"/>
      <c r="S356"/>
      <c r="T356"/>
    </row>
    <row r="357" spans="1:20" x14ac:dyDescent="0.3">
      <c r="A357"/>
      <c r="B357"/>
      <c r="C357"/>
      <c r="D357"/>
      <c r="E357"/>
      <c r="F357"/>
      <c r="G357"/>
      <c r="H357"/>
      <c r="I357"/>
      <c r="J357"/>
      <c r="K357"/>
      <c r="L357"/>
      <c r="M357"/>
      <c r="N357"/>
      <c r="O357"/>
      <c r="P357"/>
      <c r="Q357"/>
      <c r="R357"/>
      <c r="S357"/>
      <c r="T357"/>
    </row>
    <row r="358" spans="1:20" x14ac:dyDescent="0.3">
      <c r="A358"/>
      <c r="B358"/>
      <c r="C358"/>
      <c r="D358"/>
      <c r="E358"/>
      <c r="F358"/>
      <c r="G358"/>
      <c r="H358"/>
      <c r="I358"/>
      <c r="J358"/>
      <c r="K358"/>
      <c r="L358"/>
      <c r="M358"/>
      <c r="N358"/>
      <c r="O358"/>
      <c r="P358"/>
      <c r="Q358"/>
      <c r="R358"/>
      <c r="S358"/>
      <c r="T358"/>
    </row>
    <row r="359" spans="1:20" x14ac:dyDescent="0.3">
      <c r="A359"/>
      <c r="B359"/>
      <c r="C359"/>
      <c r="D359"/>
      <c r="E359"/>
      <c r="F359"/>
      <c r="G359"/>
      <c r="H359"/>
      <c r="I359"/>
      <c r="J359"/>
      <c r="K359"/>
      <c r="L359"/>
      <c r="M359"/>
      <c r="N359"/>
      <c r="O359"/>
      <c r="P359"/>
      <c r="Q359"/>
      <c r="R359"/>
      <c r="S359"/>
      <c r="T359"/>
    </row>
    <row r="360" spans="1:20" x14ac:dyDescent="0.3">
      <c r="A360"/>
      <c r="B360"/>
      <c r="C360"/>
      <c r="D360"/>
      <c r="E360"/>
      <c r="F360"/>
      <c r="G360"/>
      <c r="H360"/>
      <c r="I360"/>
      <c r="J360"/>
      <c r="K360"/>
      <c r="L360"/>
      <c r="M360"/>
      <c r="N360"/>
      <c r="O360"/>
      <c r="P360"/>
      <c r="Q360"/>
      <c r="R360"/>
      <c r="S360"/>
      <c r="T360"/>
    </row>
    <row r="361" spans="1:20" x14ac:dyDescent="0.3">
      <c r="A361"/>
      <c r="B361"/>
      <c r="C361"/>
      <c r="D361"/>
      <c r="E361"/>
      <c r="F361"/>
      <c r="G361"/>
      <c r="H361"/>
      <c r="I361"/>
      <c r="J361"/>
      <c r="K361"/>
      <c r="L361"/>
      <c r="M361"/>
      <c r="N361"/>
      <c r="O361"/>
      <c r="P361"/>
      <c r="Q361"/>
      <c r="R361"/>
      <c r="S361"/>
      <c r="T361"/>
    </row>
    <row r="362" spans="1:20" x14ac:dyDescent="0.3">
      <c r="A362"/>
      <c r="B362"/>
      <c r="C362"/>
      <c r="D362"/>
      <c r="E362"/>
      <c r="F362"/>
      <c r="G362"/>
      <c r="H362"/>
      <c r="I362"/>
      <c r="J362"/>
      <c r="K362"/>
      <c r="L362"/>
      <c r="M362"/>
      <c r="N362"/>
      <c r="O362"/>
      <c r="P362"/>
      <c r="Q362"/>
      <c r="R362"/>
      <c r="S362"/>
      <c r="T362"/>
    </row>
    <row r="363" spans="1:20" x14ac:dyDescent="0.3">
      <c r="A363"/>
      <c r="B363"/>
      <c r="C363"/>
      <c r="D363"/>
      <c r="E363"/>
      <c r="F363"/>
      <c r="G363"/>
      <c r="H363"/>
      <c r="I363"/>
      <c r="J363"/>
      <c r="K363"/>
      <c r="L363"/>
      <c r="M363"/>
      <c r="N363"/>
      <c r="O363"/>
      <c r="P363"/>
      <c r="Q363"/>
      <c r="R363"/>
      <c r="S363"/>
      <c r="T363"/>
    </row>
    <row r="364" spans="1:20" x14ac:dyDescent="0.3">
      <c r="A364"/>
      <c r="B364"/>
      <c r="C364"/>
      <c r="D364"/>
      <c r="E364"/>
      <c r="F364"/>
      <c r="G364"/>
      <c r="H364"/>
      <c r="I364"/>
      <c r="J364"/>
      <c r="K364"/>
      <c r="L364"/>
      <c r="M364"/>
      <c r="N364"/>
      <c r="O364"/>
      <c r="P364"/>
      <c r="Q364"/>
      <c r="R364"/>
      <c r="S364"/>
      <c r="T364"/>
    </row>
    <row r="365" spans="1:20" x14ac:dyDescent="0.3">
      <c r="A365"/>
      <c r="B365"/>
      <c r="C365"/>
      <c r="D365"/>
      <c r="E365"/>
      <c r="F365"/>
      <c r="G365"/>
      <c r="H365"/>
      <c r="I365"/>
      <c r="J365"/>
      <c r="K365"/>
      <c r="L365"/>
      <c r="M365"/>
      <c r="N365"/>
      <c r="O365"/>
      <c r="P365"/>
      <c r="Q365"/>
      <c r="R365"/>
      <c r="S365"/>
      <c r="T365"/>
    </row>
    <row r="366" spans="1:20" x14ac:dyDescent="0.3">
      <c r="A366"/>
      <c r="B366"/>
      <c r="C366"/>
      <c r="D366"/>
      <c r="E366"/>
      <c r="F366"/>
      <c r="G366"/>
      <c r="H366"/>
      <c r="I366"/>
      <c r="J366"/>
      <c r="K366"/>
      <c r="L366"/>
      <c r="M366"/>
      <c r="N366"/>
      <c r="O366"/>
      <c r="P366"/>
      <c r="Q366"/>
      <c r="R366"/>
      <c r="S366"/>
      <c r="T366"/>
    </row>
    <row r="367" spans="1:20" x14ac:dyDescent="0.3">
      <c r="A367"/>
      <c r="B367"/>
      <c r="C367"/>
      <c r="D367"/>
      <c r="E367"/>
      <c r="F367"/>
      <c r="G367"/>
      <c r="H367"/>
      <c r="I367"/>
      <c r="J367"/>
      <c r="K367"/>
      <c r="L367"/>
      <c r="M367"/>
      <c r="N367"/>
      <c r="O367"/>
      <c r="P367"/>
      <c r="Q367"/>
      <c r="R367"/>
      <c r="S367"/>
      <c r="T367"/>
    </row>
    <row r="368" spans="1:20" x14ac:dyDescent="0.3">
      <c r="A368"/>
      <c r="B368"/>
      <c r="C368"/>
      <c r="D368"/>
      <c r="E368"/>
      <c r="F368"/>
      <c r="G368"/>
      <c r="H368"/>
      <c r="I368"/>
      <c r="J368"/>
      <c r="K368"/>
      <c r="L368"/>
      <c r="M368"/>
      <c r="N368"/>
      <c r="O368"/>
      <c r="P368"/>
      <c r="Q368"/>
      <c r="R368"/>
      <c r="S368"/>
      <c r="T368"/>
    </row>
    <row r="369" spans="1:20" x14ac:dyDescent="0.3">
      <c r="A369"/>
      <c r="B369"/>
      <c r="C369"/>
      <c r="D369"/>
      <c r="E369"/>
      <c r="F369"/>
      <c r="G369"/>
      <c r="H369"/>
      <c r="I369"/>
      <c r="J369"/>
      <c r="K369"/>
      <c r="L369"/>
      <c r="M369"/>
      <c r="N369"/>
      <c r="O369"/>
      <c r="P369"/>
      <c r="Q369"/>
      <c r="R369"/>
      <c r="S369"/>
      <c r="T369"/>
    </row>
    <row r="370" spans="1:20" x14ac:dyDescent="0.3">
      <c r="A370"/>
      <c r="B370"/>
      <c r="C370"/>
      <c r="D370"/>
      <c r="E370"/>
      <c r="F370"/>
      <c r="G370"/>
      <c r="H370"/>
      <c r="I370"/>
      <c r="J370"/>
      <c r="K370"/>
      <c r="L370"/>
      <c r="M370"/>
      <c r="N370"/>
      <c r="O370"/>
      <c r="P370"/>
      <c r="Q370"/>
      <c r="R370"/>
      <c r="S370"/>
      <c r="T370"/>
    </row>
    <row r="371" spans="1:20" x14ac:dyDescent="0.3">
      <c r="A371"/>
      <c r="B371"/>
      <c r="C371"/>
      <c r="D371"/>
      <c r="E371"/>
      <c r="F371"/>
      <c r="G371"/>
      <c r="H371"/>
      <c r="I371"/>
      <c r="J371"/>
      <c r="K371"/>
      <c r="L371"/>
      <c r="M371"/>
      <c r="N371"/>
      <c r="O371"/>
      <c r="P371"/>
      <c r="Q371"/>
      <c r="R371"/>
      <c r="S371"/>
      <c r="T371"/>
    </row>
    <row r="372" spans="1:20" x14ac:dyDescent="0.3">
      <c r="A372"/>
      <c r="B372"/>
      <c r="C372"/>
      <c r="D372"/>
      <c r="E372"/>
      <c r="F372"/>
      <c r="G372"/>
      <c r="H372"/>
      <c r="I372"/>
      <c r="J372"/>
      <c r="K372"/>
      <c r="L372"/>
      <c r="M372"/>
      <c r="N372"/>
      <c r="O372"/>
      <c r="P372"/>
      <c r="Q372"/>
      <c r="R372"/>
      <c r="S372"/>
      <c r="T372"/>
    </row>
    <row r="373" spans="1:20" x14ac:dyDescent="0.3">
      <c r="A373"/>
      <c r="B373"/>
      <c r="C373"/>
      <c r="D373"/>
      <c r="E373"/>
      <c r="F373"/>
      <c r="G373"/>
      <c r="H373"/>
      <c r="I373"/>
      <c r="J373"/>
      <c r="K373"/>
      <c r="L373"/>
      <c r="M373"/>
      <c r="N373"/>
      <c r="O373"/>
      <c r="P373"/>
      <c r="Q373"/>
      <c r="R373"/>
      <c r="S373"/>
      <c r="T373"/>
    </row>
    <row r="374" spans="1:20" x14ac:dyDescent="0.3">
      <c r="A374"/>
      <c r="B374"/>
      <c r="C374"/>
      <c r="D374"/>
      <c r="E374"/>
      <c r="F374"/>
      <c r="G374"/>
      <c r="H374"/>
      <c r="I374"/>
      <c r="J374"/>
      <c r="K374"/>
      <c r="L374"/>
      <c r="M374"/>
      <c r="N374"/>
      <c r="O374"/>
      <c r="P374"/>
      <c r="Q374"/>
      <c r="R374"/>
      <c r="S374"/>
      <c r="T374"/>
    </row>
    <row r="375" spans="1:20" x14ac:dyDescent="0.3">
      <c r="A375"/>
      <c r="B375"/>
      <c r="C375"/>
      <c r="D375"/>
      <c r="E375"/>
      <c r="F375"/>
      <c r="G375"/>
      <c r="H375"/>
      <c r="I375"/>
      <c r="J375"/>
      <c r="K375"/>
      <c r="L375"/>
      <c r="M375"/>
      <c r="N375"/>
      <c r="O375"/>
      <c r="P375"/>
      <c r="Q375"/>
      <c r="R375"/>
      <c r="S375"/>
      <c r="T375"/>
    </row>
    <row r="376" spans="1:20" x14ac:dyDescent="0.3">
      <c r="A376"/>
      <c r="B376"/>
      <c r="C376"/>
      <c r="D376"/>
      <c r="E376"/>
      <c r="F376"/>
      <c r="G376"/>
      <c r="H376"/>
      <c r="I376"/>
      <c r="J376"/>
      <c r="K376"/>
      <c r="L376"/>
      <c r="M376"/>
      <c r="N376"/>
      <c r="O376"/>
      <c r="P376"/>
      <c r="Q376"/>
      <c r="R376"/>
      <c r="S376"/>
      <c r="T376"/>
    </row>
    <row r="377" spans="1:20" x14ac:dyDescent="0.3">
      <c r="A377"/>
      <c r="B377"/>
      <c r="C377"/>
      <c r="D377"/>
      <c r="E377"/>
      <c r="F377"/>
      <c r="G377"/>
      <c r="H377"/>
      <c r="I377"/>
      <c r="J377"/>
      <c r="K377"/>
      <c r="L377"/>
      <c r="M377"/>
      <c r="N377"/>
      <c r="O377"/>
      <c r="P377"/>
      <c r="Q377"/>
      <c r="R377"/>
      <c r="S377"/>
      <c r="T377"/>
    </row>
    <row r="378" spans="1:20" x14ac:dyDescent="0.3">
      <c r="A378"/>
      <c r="B378"/>
      <c r="C378"/>
      <c r="D378"/>
      <c r="E378"/>
      <c r="F378"/>
      <c r="G378"/>
      <c r="H378"/>
      <c r="I378"/>
      <c r="J378"/>
      <c r="K378"/>
      <c r="L378"/>
      <c r="M378"/>
      <c r="N378"/>
      <c r="O378"/>
      <c r="P378"/>
      <c r="Q378"/>
      <c r="R378"/>
      <c r="S378"/>
      <c r="T378"/>
    </row>
    <row r="379" spans="1:20" x14ac:dyDescent="0.3">
      <c r="A379"/>
      <c r="B379"/>
      <c r="C379"/>
      <c r="D379"/>
      <c r="E379"/>
      <c r="F379"/>
      <c r="G379"/>
      <c r="H379"/>
      <c r="I379"/>
      <c r="J379"/>
      <c r="K379"/>
      <c r="L379"/>
      <c r="M379"/>
      <c r="N379"/>
      <c r="O379"/>
      <c r="P379"/>
      <c r="Q379"/>
      <c r="R379"/>
      <c r="S379"/>
      <c r="T379"/>
    </row>
    <row r="380" spans="1:20" x14ac:dyDescent="0.3">
      <c r="A380"/>
      <c r="B380"/>
      <c r="C380"/>
      <c r="D380"/>
      <c r="E380"/>
      <c r="F380"/>
      <c r="G380"/>
      <c r="H380"/>
      <c r="I380"/>
      <c r="J380"/>
      <c r="K380"/>
      <c r="L380"/>
      <c r="M380"/>
      <c r="N380"/>
      <c r="O380"/>
      <c r="P380"/>
      <c r="Q380"/>
      <c r="R380"/>
      <c r="S380"/>
      <c r="T380"/>
    </row>
    <row r="381" spans="1:20" x14ac:dyDescent="0.3">
      <c r="A381"/>
      <c r="B381"/>
      <c r="C381"/>
      <c r="D381"/>
      <c r="E381"/>
      <c r="F381"/>
      <c r="G381"/>
      <c r="H381"/>
      <c r="I381"/>
      <c r="J381"/>
      <c r="K381"/>
      <c r="L381"/>
      <c r="M381"/>
      <c r="N381"/>
      <c r="O381"/>
      <c r="P381"/>
      <c r="Q381"/>
      <c r="R381"/>
      <c r="S381"/>
      <c r="T381"/>
    </row>
    <row r="382" spans="1:20" x14ac:dyDescent="0.3">
      <c r="A382"/>
      <c r="B382"/>
      <c r="C382"/>
      <c r="D382"/>
      <c r="E382"/>
      <c r="F382"/>
      <c r="G382"/>
      <c r="H382"/>
      <c r="I382"/>
      <c r="J382"/>
      <c r="K382"/>
      <c r="L382"/>
      <c r="M382"/>
      <c r="N382"/>
      <c r="O382"/>
      <c r="P382"/>
      <c r="Q382"/>
      <c r="R382"/>
      <c r="S382"/>
      <c r="T382"/>
    </row>
    <row r="383" spans="1:20" x14ac:dyDescent="0.3">
      <c r="A383"/>
      <c r="B383"/>
      <c r="C383"/>
      <c r="D383"/>
      <c r="E383"/>
      <c r="F383"/>
      <c r="G383"/>
      <c r="H383"/>
      <c r="I383"/>
      <c r="J383"/>
      <c r="K383"/>
      <c r="L383"/>
      <c r="M383"/>
      <c r="N383"/>
      <c r="O383"/>
      <c r="P383"/>
      <c r="Q383"/>
      <c r="R383"/>
      <c r="S383"/>
      <c r="T383"/>
    </row>
    <row r="384" spans="1:20" x14ac:dyDescent="0.3">
      <c r="A384"/>
      <c r="B384"/>
      <c r="C384"/>
      <c r="D384"/>
      <c r="E384"/>
      <c r="F384"/>
      <c r="G384"/>
      <c r="H384"/>
      <c r="I384"/>
      <c r="J384"/>
      <c r="K384"/>
      <c r="L384"/>
      <c r="M384"/>
      <c r="N384"/>
      <c r="O384"/>
      <c r="P384"/>
      <c r="Q384"/>
      <c r="R384"/>
      <c r="S384"/>
      <c r="T384"/>
    </row>
    <row r="385" spans="1:20" x14ac:dyDescent="0.3">
      <c r="A385"/>
      <c r="B385"/>
      <c r="C385"/>
      <c r="D385"/>
      <c r="E385"/>
      <c r="F385"/>
      <c r="G385"/>
      <c r="H385"/>
      <c r="I385"/>
      <c r="J385"/>
      <c r="K385"/>
      <c r="L385"/>
      <c r="M385"/>
      <c r="N385"/>
      <c r="O385"/>
      <c r="P385"/>
      <c r="Q385"/>
      <c r="R385"/>
      <c r="S385"/>
      <c r="T385"/>
    </row>
    <row r="386" spans="1:20" x14ac:dyDescent="0.3">
      <c r="A386"/>
      <c r="B386"/>
      <c r="C386"/>
      <c r="D386"/>
      <c r="E386"/>
      <c r="F386"/>
      <c r="G386"/>
      <c r="H386"/>
      <c r="I386"/>
      <c r="J386"/>
      <c r="K386"/>
      <c r="L386"/>
      <c r="M386"/>
      <c r="N386"/>
      <c r="O386"/>
      <c r="P386"/>
      <c r="Q386"/>
      <c r="R386"/>
      <c r="S386"/>
      <c r="T386"/>
    </row>
    <row r="387" spans="1:20" x14ac:dyDescent="0.3">
      <c r="A387"/>
      <c r="B387"/>
      <c r="C387"/>
      <c r="D387"/>
      <c r="E387"/>
      <c r="F387"/>
      <c r="G387"/>
      <c r="H387"/>
      <c r="I387"/>
      <c r="J387"/>
      <c r="K387"/>
      <c r="L387"/>
      <c r="M387"/>
      <c r="N387"/>
      <c r="O387"/>
      <c r="P387"/>
      <c r="Q387"/>
      <c r="R387"/>
      <c r="S387"/>
      <c r="T387"/>
    </row>
    <row r="388" spans="1:20" x14ac:dyDescent="0.3">
      <c r="A388"/>
      <c r="B388"/>
      <c r="C388"/>
      <c r="D388"/>
      <c r="E388"/>
      <c r="F388"/>
      <c r="G388"/>
      <c r="H388"/>
      <c r="I388"/>
      <c r="J388"/>
      <c r="K388"/>
      <c r="L388"/>
      <c r="M388"/>
      <c r="N388"/>
      <c r="O388"/>
      <c r="P388"/>
      <c r="Q388"/>
      <c r="R388"/>
      <c r="S388"/>
      <c r="T388"/>
    </row>
    <row r="389" spans="1:20" x14ac:dyDescent="0.3">
      <c r="A389"/>
      <c r="B389"/>
      <c r="C389"/>
      <c r="D389"/>
      <c r="E389"/>
      <c r="F389"/>
      <c r="G389"/>
      <c r="H389"/>
      <c r="I389"/>
      <c r="J389"/>
      <c r="K389"/>
      <c r="L389"/>
      <c r="M389"/>
      <c r="N389"/>
      <c r="O389"/>
      <c r="P389"/>
      <c r="Q389"/>
      <c r="R389"/>
      <c r="S389"/>
      <c r="T389"/>
    </row>
    <row r="390" spans="1:20" x14ac:dyDescent="0.3">
      <c r="A390"/>
      <c r="B390"/>
      <c r="C390"/>
      <c r="D390"/>
      <c r="E390"/>
      <c r="F390"/>
      <c r="G390"/>
      <c r="H390"/>
      <c r="I390"/>
      <c r="J390"/>
      <c r="K390"/>
      <c r="L390"/>
      <c r="M390"/>
      <c r="N390"/>
      <c r="O390"/>
      <c r="P390"/>
      <c r="Q390"/>
      <c r="R390"/>
      <c r="S390"/>
      <c r="T390"/>
    </row>
    <row r="391" spans="1:20" x14ac:dyDescent="0.3">
      <c r="A391"/>
      <c r="B391"/>
      <c r="C391"/>
      <c r="D391"/>
      <c r="E391"/>
      <c r="F391"/>
      <c r="G391"/>
      <c r="H391"/>
      <c r="I391"/>
      <c r="J391"/>
      <c r="K391"/>
      <c r="L391"/>
      <c r="M391"/>
      <c r="N391"/>
      <c r="O391"/>
      <c r="P391"/>
      <c r="Q391"/>
      <c r="R391"/>
      <c r="S391"/>
      <c r="T391"/>
    </row>
    <row r="392" spans="1:20" x14ac:dyDescent="0.3">
      <c r="A392"/>
      <c r="B392"/>
      <c r="C392"/>
      <c r="D392"/>
      <c r="E392"/>
      <c r="F392"/>
      <c r="G392"/>
      <c r="H392"/>
      <c r="I392"/>
      <c r="J392"/>
      <c r="K392"/>
      <c r="L392"/>
      <c r="M392"/>
      <c r="N392"/>
      <c r="O392"/>
      <c r="P392"/>
      <c r="Q392"/>
      <c r="R392"/>
      <c r="S392"/>
      <c r="T392"/>
    </row>
    <row r="393" spans="1:20" x14ac:dyDescent="0.3">
      <c r="A393"/>
      <c r="B393"/>
      <c r="C393"/>
      <c r="D393"/>
      <c r="E393"/>
      <c r="F393"/>
      <c r="G393"/>
      <c r="H393"/>
      <c r="I393"/>
      <c r="J393"/>
      <c r="K393"/>
      <c r="L393"/>
      <c r="M393"/>
      <c r="N393"/>
      <c r="O393"/>
      <c r="P393"/>
      <c r="Q393"/>
      <c r="R393"/>
      <c r="S393"/>
      <c r="T393"/>
    </row>
    <row r="394" spans="1:20" x14ac:dyDescent="0.3">
      <c r="A394"/>
      <c r="B394"/>
      <c r="C394"/>
      <c r="D394"/>
      <c r="E394"/>
      <c r="F394"/>
      <c r="G394"/>
      <c r="H394"/>
      <c r="I394"/>
      <c r="J394"/>
      <c r="K394"/>
      <c r="L394"/>
      <c r="M394"/>
      <c r="N394"/>
      <c r="O394"/>
      <c r="P394"/>
      <c r="Q394"/>
      <c r="R394"/>
      <c r="S394"/>
      <c r="T394"/>
    </row>
    <row r="395" spans="1:20" x14ac:dyDescent="0.3">
      <c r="A395"/>
      <c r="B395"/>
      <c r="C395"/>
      <c r="D395"/>
      <c r="E395"/>
      <c r="F395"/>
      <c r="G395"/>
      <c r="H395"/>
      <c r="I395"/>
      <c r="J395"/>
      <c r="K395"/>
      <c r="L395"/>
      <c r="M395"/>
      <c r="N395"/>
      <c r="O395"/>
      <c r="P395"/>
      <c r="Q395"/>
      <c r="R395"/>
      <c r="S395"/>
      <c r="T395"/>
    </row>
    <row r="396" spans="1:20" x14ac:dyDescent="0.3">
      <c r="A396"/>
      <c r="B396"/>
      <c r="C396"/>
      <c r="D396"/>
      <c r="E396"/>
      <c r="F396"/>
      <c r="G396"/>
      <c r="H396"/>
      <c r="I396"/>
      <c r="J396"/>
      <c r="K396"/>
      <c r="L396"/>
      <c r="M396"/>
      <c r="N396"/>
      <c r="O396"/>
      <c r="P396"/>
      <c r="Q396"/>
      <c r="R396"/>
      <c r="S396"/>
      <c r="T396"/>
    </row>
    <row r="397" spans="1:20" x14ac:dyDescent="0.3">
      <c r="A397"/>
      <c r="B397"/>
      <c r="C397"/>
      <c r="D397"/>
      <c r="E397"/>
      <c r="F397"/>
      <c r="G397"/>
      <c r="H397"/>
      <c r="I397"/>
      <c r="J397"/>
      <c r="K397"/>
      <c r="L397"/>
      <c r="M397"/>
      <c r="N397"/>
      <c r="O397"/>
      <c r="P397"/>
      <c r="Q397"/>
      <c r="R397"/>
      <c r="S397"/>
      <c r="T397"/>
    </row>
    <row r="398" spans="1:20" x14ac:dyDescent="0.3">
      <c r="A398"/>
      <c r="B398"/>
      <c r="C398"/>
      <c r="D398"/>
      <c r="E398"/>
      <c r="F398"/>
      <c r="G398"/>
      <c r="H398"/>
      <c r="I398"/>
      <c r="J398"/>
      <c r="K398"/>
      <c r="L398"/>
      <c r="M398"/>
      <c r="N398"/>
      <c r="O398"/>
      <c r="P398"/>
      <c r="Q398"/>
      <c r="R398"/>
      <c r="S398"/>
      <c r="T398"/>
    </row>
    <row r="399" spans="1:20" x14ac:dyDescent="0.3">
      <c r="A399"/>
      <c r="B399"/>
      <c r="C399"/>
      <c r="D399"/>
      <c r="E399"/>
      <c r="F399"/>
      <c r="G399"/>
      <c r="H399"/>
      <c r="I399"/>
      <c r="J399"/>
      <c r="K399"/>
      <c r="L399"/>
      <c r="M399"/>
      <c r="N399"/>
      <c r="O399"/>
      <c r="P399"/>
      <c r="Q399"/>
      <c r="R399"/>
      <c r="S399"/>
      <c r="T399"/>
    </row>
    <row r="400" spans="1:20" x14ac:dyDescent="0.3">
      <c r="A400"/>
      <c r="B400"/>
      <c r="C400"/>
      <c r="D400"/>
      <c r="E400"/>
      <c r="F400"/>
      <c r="G400"/>
      <c r="H400"/>
      <c r="I400"/>
      <c r="J400"/>
      <c r="K400"/>
      <c r="L400"/>
      <c r="M400"/>
      <c r="N400"/>
      <c r="O400"/>
      <c r="P400"/>
      <c r="Q400"/>
      <c r="R400"/>
      <c r="S400"/>
      <c r="T400"/>
    </row>
    <row r="401" spans="1:20" x14ac:dyDescent="0.3">
      <c r="A401"/>
      <c r="B401"/>
      <c r="C401"/>
      <c r="D401"/>
      <c r="E401"/>
      <c r="F401"/>
      <c r="G401"/>
      <c r="H401"/>
      <c r="I401"/>
      <c r="J401"/>
      <c r="K401"/>
      <c r="L401"/>
      <c r="M401"/>
      <c r="N401"/>
      <c r="O401"/>
      <c r="P401"/>
      <c r="Q401"/>
      <c r="R401"/>
      <c r="S401"/>
      <c r="T401"/>
    </row>
    <row r="402" spans="1:20" x14ac:dyDescent="0.3">
      <c r="A402"/>
      <c r="B402"/>
      <c r="C402"/>
      <c r="D402"/>
      <c r="E402"/>
      <c r="F402"/>
      <c r="G402"/>
      <c r="H402"/>
      <c r="I402"/>
      <c r="J402"/>
      <c r="K402"/>
      <c r="L402"/>
      <c r="M402"/>
      <c r="N402"/>
      <c r="O402"/>
      <c r="P402"/>
      <c r="Q402"/>
      <c r="R402"/>
      <c r="S402"/>
      <c r="T402"/>
    </row>
    <row r="403" spans="1:20" x14ac:dyDescent="0.3">
      <c r="A403"/>
      <c r="B403"/>
      <c r="C403"/>
      <c r="D403"/>
      <c r="E403"/>
      <c r="F403"/>
      <c r="G403"/>
      <c r="H403"/>
      <c r="I403"/>
      <c r="J403"/>
      <c r="K403"/>
      <c r="L403"/>
      <c r="M403"/>
      <c r="N403"/>
      <c r="O403"/>
      <c r="P403"/>
      <c r="Q403"/>
      <c r="R403"/>
      <c r="S403"/>
      <c r="T403"/>
    </row>
    <row r="404" spans="1:20" x14ac:dyDescent="0.3">
      <c r="A404"/>
      <c r="B404"/>
      <c r="C404"/>
      <c r="D404"/>
      <c r="E404"/>
      <c r="F404"/>
      <c r="G404"/>
      <c r="H404"/>
      <c r="I404"/>
      <c r="J404"/>
      <c r="K404"/>
      <c r="L404"/>
      <c r="M404"/>
      <c r="N404"/>
      <c r="O404"/>
      <c r="P404"/>
      <c r="Q404"/>
      <c r="R404"/>
      <c r="S404"/>
      <c r="T404"/>
    </row>
    <row r="405" spans="1:20" x14ac:dyDescent="0.3">
      <c r="A405"/>
      <c r="B405"/>
      <c r="C405"/>
      <c r="D405"/>
      <c r="E405"/>
      <c r="F405"/>
      <c r="G405"/>
      <c r="H405"/>
      <c r="I405"/>
      <c r="J405"/>
      <c r="K405"/>
      <c r="L405"/>
      <c r="M405"/>
      <c r="N405"/>
      <c r="O405"/>
      <c r="P405"/>
      <c r="Q405"/>
      <c r="R405"/>
      <c r="S405"/>
      <c r="T405"/>
    </row>
    <row r="406" spans="1:20" x14ac:dyDescent="0.3">
      <c r="A406"/>
      <c r="B406"/>
      <c r="C406"/>
      <c r="D406"/>
      <c r="E406"/>
      <c r="F406"/>
      <c r="G406"/>
      <c r="H406"/>
      <c r="I406"/>
      <c r="J406"/>
      <c r="K406"/>
      <c r="L406"/>
      <c r="M406"/>
      <c r="N406"/>
      <c r="O406"/>
      <c r="P406"/>
      <c r="Q406"/>
      <c r="R406"/>
      <c r="S406"/>
      <c r="T406"/>
    </row>
    <row r="407" spans="1:20" x14ac:dyDescent="0.3">
      <c r="A407"/>
      <c r="B407"/>
      <c r="C407"/>
      <c r="D407"/>
      <c r="E407"/>
      <c r="F407"/>
      <c r="G407"/>
      <c r="H407"/>
      <c r="I407"/>
      <c r="J407"/>
      <c r="K407"/>
      <c r="L407"/>
      <c r="M407"/>
      <c r="N407"/>
      <c r="O407"/>
      <c r="P407"/>
      <c r="Q407"/>
      <c r="R407"/>
      <c r="S407"/>
      <c r="T407"/>
    </row>
    <row r="408" spans="1:20" x14ac:dyDescent="0.3">
      <c r="A408"/>
      <c r="B408"/>
      <c r="C408"/>
      <c r="D408"/>
      <c r="E408"/>
      <c r="F408"/>
      <c r="G408"/>
      <c r="H408"/>
      <c r="I408"/>
      <c r="J408"/>
      <c r="K408"/>
      <c r="L408"/>
      <c r="M408"/>
      <c r="N408"/>
      <c r="O408"/>
      <c r="P408"/>
      <c r="Q408"/>
      <c r="R408"/>
      <c r="S408"/>
      <c r="T408"/>
    </row>
    <row r="409" spans="1:20" x14ac:dyDescent="0.3">
      <c r="A409"/>
      <c r="B409"/>
      <c r="C409"/>
      <c r="D409"/>
      <c r="E409"/>
      <c r="F409"/>
      <c r="G409"/>
      <c r="H409"/>
      <c r="I409"/>
      <c r="J409"/>
      <c r="K409"/>
      <c r="L409"/>
      <c r="M409"/>
      <c r="N409"/>
      <c r="O409"/>
      <c r="P409"/>
      <c r="Q409"/>
      <c r="R409"/>
      <c r="S409"/>
      <c r="T409"/>
    </row>
    <row r="410" spans="1:20" x14ac:dyDescent="0.3">
      <c r="A410"/>
      <c r="B410"/>
      <c r="C410"/>
      <c r="D410"/>
      <c r="E410"/>
      <c r="F410"/>
      <c r="G410"/>
      <c r="H410"/>
      <c r="I410"/>
      <c r="J410"/>
      <c r="K410"/>
      <c r="L410"/>
      <c r="M410"/>
      <c r="N410"/>
      <c r="O410"/>
      <c r="P410"/>
      <c r="Q410"/>
      <c r="R410"/>
      <c r="S410"/>
      <c r="T410"/>
    </row>
    <row r="411" spans="1:20" x14ac:dyDescent="0.3">
      <c r="A411"/>
      <c r="B411"/>
      <c r="C411"/>
      <c r="D411"/>
      <c r="E411"/>
      <c r="F411"/>
      <c r="G411"/>
      <c r="H411"/>
      <c r="I411"/>
      <c r="J411"/>
      <c r="K411"/>
      <c r="L411"/>
      <c r="M411"/>
      <c r="N411"/>
      <c r="O411"/>
      <c r="P411"/>
      <c r="Q411"/>
      <c r="R411"/>
      <c r="S411"/>
      <c r="T411"/>
    </row>
    <row r="412" spans="1:20" x14ac:dyDescent="0.3">
      <c r="A412"/>
      <c r="B412"/>
      <c r="C412"/>
      <c r="D412"/>
      <c r="E412"/>
      <c r="F412"/>
      <c r="G412"/>
      <c r="H412"/>
      <c r="I412"/>
      <c r="J412"/>
      <c r="K412"/>
      <c r="L412"/>
      <c r="M412"/>
      <c r="N412"/>
      <c r="O412"/>
      <c r="P412"/>
      <c r="Q412"/>
      <c r="R412"/>
      <c r="S412"/>
      <c r="T412"/>
    </row>
    <row r="413" spans="1:20" x14ac:dyDescent="0.3">
      <c r="A413"/>
      <c r="B413"/>
      <c r="C413"/>
      <c r="D413"/>
      <c r="E413"/>
      <c r="F413"/>
      <c r="G413"/>
      <c r="H413"/>
      <c r="I413"/>
      <c r="J413"/>
      <c r="K413"/>
      <c r="L413"/>
      <c r="M413"/>
      <c r="N413"/>
      <c r="O413"/>
      <c r="P413"/>
      <c r="Q413"/>
      <c r="R413"/>
      <c r="S413"/>
      <c r="T413"/>
    </row>
    <row r="414" spans="1:20" x14ac:dyDescent="0.3">
      <c r="A414"/>
      <c r="B414"/>
      <c r="C414"/>
      <c r="D414"/>
      <c r="E414"/>
      <c r="F414"/>
      <c r="G414"/>
      <c r="H414"/>
      <c r="I414"/>
      <c r="J414"/>
      <c r="K414"/>
      <c r="L414"/>
      <c r="M414"/>
      <c r="N414"/>
      <c r="O414"/>
      <c r="P414"/>
      <c r="Q414"/>
      <c r="R414"/>
      <c r="S414"/>
      <c r="T414"/>
    </row>
    <row r="415" spans="1:20" x14ac:dyDescent="0.3">
      <c r="A415"/>
      <c r="B415"/>
      <c r="C415"/>
      <c r="D415"/>
      <c r="E415"/>
      <c r="F415"/>
      <c r="G415"/>
      <c r="H415"/>
      <c r="I415"/>
      <c r="J415"/>
      <c r="K415"/>
      <c r="L415"/>
      <c r="M415"/>
      <c r="N415"/>
      <c r="O415"/>
      <c r="P415"/>
      <c r="Q415"/>
      <c r="R415"/>
      <c r="S415"/>
      <c r="T415"/>
    </row>
    <row r="416" spans="1:20" x14ac:dyDescent="0.3">
      <c r="A416"/>
      <c r="B416"/>
      <c r="C416"/>
      <c r="D416"/>
      <c r="E416"/>
      <c r="F416"/>
      <c r="G416"/>
      <c r="H416"/>
      <c r="I416"/>
      <c r="J416"/>
      <c r="K416"/>
      <c r="L416"/>
      <c r="M416"/>
      <c r="N416"/>
      <c r="O416"/>
      <c r="P416"/>
      <c r="Q416"/>
      <c r="R416"/>
      <c r="S416"/>
      <c r="T416"/>
    </row>
    <row r="417" spans="1:20" x14ac:dyDescent="0.3">
      <c r="A417"/>
      <c r="B417"/>
      <c r="C417"/>
      <c r="D417"/>
      <c r="E417"/>
      <c r="F417"/>
      <c r="G417"/>
      <c r="H417"/>
      <c r="I417"/>
      <c r="J417"/>
      <c r="K417"/>
      <c r="L417"/>
      <c r="M417"/>
      <c r="N417"/>
      <c r="O417"/>
      <c r="P417"/>
      <c r="Q417"/>
      <c r="R417"/>
      <c r="S417"/>
      <c r="T417"/>
    </row>
    <row r="418" spans="1:20" x14ac:dyDescent="0.3">
      <c r="A418"/>
      <c r="B418"/>
      <c r="C418"/>
      <c r="D418"/>
      <c r="E418"/>
      <c r="F418"/>
      <c r="G418"/>
      <c r="H418"/>
      <c r="I418"/>
      <c r="J418"/>
      <c r="K418"/>
      <c r="L418"/>
      <c r="M418"/>
      <c r="N418"/>
      <c r="O418"/>
      <c r="P418"/>
      <c r="Q418"/>
      <c r="R418"/>
      <c r="S418"/>
      <c r="T418"/>
    </row>
    <row r="419" spans="1:20" x14ac:dyDescent="0.3">
      <c r="A419"/>
      <c r="B419"/>
      <c r="C419"/>
      <c r="D419"/>
      <c r="E419"/>
      <c r="F419"/>
      <c r="G419"/>
      <c r="H419"/>
      <c r="I419"/>
      <c r="J419"/>
      <c r="K419"/>
      <c r="L419"/>
      <c r="M419"/>
      <c r="N419"/>
      <c r="O419"/>
      <c r="P419"/>
      <c r="Q419"/>
      <c r="R419"/>
      <c r="S419"/>
      <c r="T419"/>
    </row>
    <row r="420" spans="1:20" x14ac:dyDescent="0.3">
      <c r="A420"/>
      <c r="B420"/>
      <c r="C420"/>
      <c r="D420"/>
      <c r="E420"/>
      <c r="F420"/>
      <c r="G420"/>
      <c r="H420"/>
      <c r="I420"/>
      <c r="J420"/>
      <c r="K420"/>
      <c r="L420"/>
      <c r="M420"/>
      <c r="N420"/>
      <c r="O420"/>
      <c r="P420"/>
      <c r="Q420"/>
      <c r="R420"/>
      <c r="S420"/>
      <c r="T420"/>
    </row>
    <row r="421" spans="1:20" x14ac:dyDescent="0.3">
      <c r="A421"/>
      <c r="B421"/>
      <c r="C421"/>
      <c r="D421"/>
      <c r="E421"/>
      <c r="F421"/>
      <c r="G421"/>
      <c r="H421"/>
      <c r="I421"/>
      <c r="J421"/>
      <c r="K421"/>
      <c r="L421"/>
      <c r="M421"/>
      <c r="N421"/>
      <c r="O421"/>
      <c r="P421"/>
      <c r="Q421"/>
      <c r="R421"/>
      <c r="S421"/>
      <c r="T421"/>
    </row>
    <row r="422" spans="1:20" x14ac:dyDescent="0.3">
      <c r="A422"/>
      <c r="B422"/>
      <c r="C422"/>
      <c r="D422"/>
      <c r="E422"/>
      <c r="F422"/>
      <c r="G422"/>
      <c r="H422"/>
      <c r="I422"/>
      <c r="J422"/>
      <c r="K422"/>
      <c r="L422"/>
      <c r="M422"/>
      <c r="N422"/>
      <c r="O422"/>
      <c r="P422"/>
      <c r="Q422"/>
      <c r="R422"/>
      <c r="S422"/>
      <c r="T422"/>
    </row>
    <row r="423" spans="1:20" x14ac:dyDescent="0.3">
      <c r="A423"/>
      <c r="B423"/>
      <c r="C423"/>
      <c r="D423"/>
      <c r="E423"/>
      <c r="F423"/>
      <c r="G423"/>
      <c r="H423"/>
      <c r="I423"/>
      <c r="J423"/>
      <c r="K423"/>
      <c r="L423"/>
      <c r="M423"/>
      <c r="N423"/>
      <c r="O423"/>
      <c r="P423"/>
      <c r="Q423"/>
      <c r="R423"/>
      <c r="S423"/>
      <c r="T423"/>
    </row>
    <row r="424" spans="1:20" x14ac:dyDescent="0.3">
      <c r="A424"/>
      <c r="B424"/>
      <c r="C424"/>
      <c r="D424"/>
      <c r="E424"/>
      <c r="F424"/>
      <c r="G424"/>
      <c r="H424"/>
      <c r="I424"/>
      <c r="J424"/>
      <c r="K424"/>
      <c r="L424"/>
      <c r="M424"/>
      <c r="N424"/>
      <c r="O424"/>
      <c r="P424"/>
      <c r="Q424"/>
      <c r="R424"/>
      <c r="S424"/>
      <c r="T424"/>
    </row>
    <row r="425" spans="1:20" x14ac:dyDescent="0.3">
      <c r="A425"/>
      <c r="B425"/>
      <c r="C425"/>
      <c r="D425"/>
      <c r="E425"/>
      <c r="F425"/>
      <c r="G425"/>
      <c r="H425"/>
      <c r="I425"/>
      <c r="J425"/>
      <c r="K425"/>
      <c r="L425"/>
      <c r="M425"/>
      <c r="N425"/>
      <c r="O425"/>
      <c r="P425"/>
      <c r="Q425"/>
      <c r="R425"/>
      <c r="S425"/>
      <c r="T425"/>
    </row>
    <row r="426" spans="1:20" x14ac:dyDescent="0.3">
      <c r="A426"/>
      <c r="B426"/>
      <c r="C426"/>
      <c r="D426"/>
      <c r="E426"/>
      <c r="F426"/>
      <c r="G426"/>
      <c r="H426"/>
      <c r="I426"/>
      <c r="J426"/>
      <c r="K426"/>
      <c r="L426"/>
      <c r="M426"/>
      <c r="N426"/>
      <c r="O426"/>
      <c r="P426"/>
      <c r="Q426"/>
      <c r="R426"/>
      <c r="S426"/>
      <c r="T426"/>
    </row>
    <row r="427" spans="1:20" x14ac:dyDescent="0.3">
      <c r="A427"/>
      <c r="B427"/>
      <c r="C427"/>
      <c r="D427"/>
      <c r="E427"/>
      <c r="F427"/>
      <c r="G427"/>
      <c r="H427"/>
      <c r="I427"/>
      <c r="J427"/>
      <c r="K427"/>
      <c r="L427"/>
      <c r="M427"/>
      <c r="N427"/>
      <c r="O427"/>
      <c r="P427"/>
      <c r="Q427"/>
      <c r="R427"/>
      <c r="S427"/>
      <c r="T427"/>
    </row>
    <row r="428" spans="1:20" x14ac:dyDescent="0.3">
      <c r="A428"/>
      <c r="B428"/>
      <c r="C428"/>
      <c r="D428"/>
      <c r="E428"/>
      <c r="F428"/>
      <c r="G428"/>
      <c r="H428"/>
      <c r="I428"/>
      <c r="J428"/>
      <c r="K428"/>
      <c r="L428"/>
      <c r="M428"/>
      <c r="N428"/>
      <c r="O428"/>
      <c r="P428"/>
      <c r="Q428"/>
      <c r="R428"/>
      <c r="S428"/>
      <c r="T428"/>
    </row>
    <row r="429" spans="1:20" x14ac:dyDescent="0.3">
      <c r="A429"/>
      <c r="B429"/>
      <c r="C429"/>
      <c r="D429"/>
      <c r="E429"/>
      <c r="F429"/>
      <c r="G429"/>
      <c r="H429"/>
      <c r="I429"/>
      <c r="J429"/>
      <c r="K429"/>
      <c r="L429"/>
      <c r="M429"/>
      <c r="N429"/>
      <c r="O429"/>
      <c r="P429"/>
      <c r="Q429"/>
      <c r="R429"/>
      <c r="S429"/>
      <c r="T429"/>
    </row>
    <row r="430" spans="1:20" x14ac:dyDescent="0.3">
      <c r="A430"/>
      <c r="B430"/>
      <c r="C430"/>
      <c r="D430"/>
      <c r="E430"/>
      <c r="F430"/>
      <c r="G430"/>
      <c r="H430"/>
      <c r="I430"/>
      <c r="J430"/>
      <c r="K430"/>
      <c r="L430"/>
      <c r="M430"/>
      <c r="N430"/>
      <c r="O430"/>
      <c r="P430"/>
      <c r="Q430"/>
      <c r="R430"/>
      <c r="S430"/>
      <c r="T430"/>
    </row>
    <row r="431" spans="1:20" x14ac:dyDescent="0.3">
      <c r="A431"/>
      <c r="B431"/>
      <c r="C431"/>
      <c r="D431"/>
      <c r="E431"/>
      <c r="F431"/>
      <c r="G431"/>
      <c r="H431"/>
      <c r="I431"/>
      <c r="J431"/>
      <c r="K431"/>
      <c r="L431"/>
      <c r="M431"/>
      <c r="N431"/>
      <c r="O431"/>
      <c r="P431"/>
      <c r="Q431"/>
      <c r="R431"/>
      <c r="S431"/>
      <c r="T431"/>
    </row>
    <row r="432" spans="1:20" x14ac:dyDescent="0.3">
      <c r="A432"/>
      <c r="B432"/>
      <c r="C432"/>
      <c r="D432"/>
      <c r="E432"/>
      <c r="F432"/>
      <c r="G432"/>
      <c r="H432"/>
      <c r="I432"/>
      <c r="J432"/>
      <c r="K432"/>
      <c r="L432"/>
      <c r="M432"/>
      <c r="N432"/>
      <c r="O432"/>
      <c r="P432"/>
      <c r="Q432"/>
      <c r="R432"/>
      <c r="S432"/>
      <c r="T432"/>
    </row>
    <row r="433" spans="1:20" x14ac:dyDescent="0.3">
      <c r="A433"/>
      <c r="B433"/>
      <c r="C433"/>
      <c r="D433"/>
      <c r="E433"/>
      <c r="F433"/>
      <c r="G433"/>
      <c r="H433"/>
      <c r="I433"/>
      <c r="J433"/>
      <c r="K433"/>
      <c r="L433"/>
      <c r="M433"/>
      <c r="N433"/>
      <c r="O433"/>
      <c r="P433"/>
      <c r="Q433"/>
      <c r="R433"/>
      <c r="S433"/>
      <c r="T433"/>
    </row>
    <row r="434" spans="1:20" x14ac:dyDescent="0.3">
      <c r="A434"/>
      <c r="B434"/>
      <c r="C434"/>
      <c r="D434"/>
      <c r="E434"/>
      <c r="F434"/>
      <c r="G434"/>
      <c r="H434"/>
      <c r="I434"/>
      <c r="J434"/>
      <c r="K434"/>
      <c r="L434"/>
      <c r="M434"/>
      <c r="N434"/>
      <c r="O434"/>
      <c r="P434"/>
      <c r="Q434"/>
      <c r="R434"/>
      <c r="S434"/>
      <c r="T434"/>
    </row>
    <row r="435" spans="1:20" x14ac:dyDescent="0.3">
      <c r="A435"/>
      <c r="B435"/>
      <c r="C435"/>
      <c r="D435"/>
      <c r="E435"/>
      <c r="F435"/>
      <c r="G435"/>
      <c r="H435"/>
      <c r="I435"/>
      <c r="J435"/>
      <c r="K435"/>
      <c r="L435"/>
      <c r="M435"/>
      <c r="N435"/>
      <c r="O435"/>
      <c r="P435"/>
      <c r="Q435"/>
      <c r="R435"/>
      <c r="S435"/>
      <c r="T435"/>
    </row>
    <row r="436" spans="1:20" x14ac:dyDescent="0.3">
      <c r="A436"/>
      <c r="B436"/>
      <c r="C436"/>
      <c r="D436"/>
      <c r="E436"/>
      <c r="F436"/>
      <c r="G436"/>
      <c r="H436"/>
      <c r="I436"/>
      <c r="J436"/>
      <c r="K436"/>
      <c r="L436"/>
      <c r="M436"/>
      <c r="N436"/>
      <c r="O436"/>
      <c r="P436"/>
      <c r="Q436"/>
      <c r="R436"/>
      <c r="S436"/>
      <c r="T436"/>
    </row>
    <row r="437" spans="1:20" x14ac:dyDescent="0.3">
      <c r="A437"/>
      <c r="B437"/>
      <c r="C437"/>
      <c r="D437"/>
      <c r="E437"/>
      <c r="F437"/>
      <c r="G437"/>
      <c r="H437"/>
      <c r="I437"/>
      <c r="J437"/>
      <c r="K437"/>
      <c r="L437"/>
      <c r="M437"/>
      <c r="N437"/>
      <c r="O437"/>
      <c r="P437"/>
      <c r="Q437"/>
      <c r="R437"/>
      <c r="S437"/>
      <c r="T437"/>
    </row>
    <row r="438" spans="1:20" x14ac:dyDescent="0.3">
      <c r="A438"/>
      <c r="B438"/>
      <c r="C438"/>
      <c r="D438"/>
      <c r="E438"/>
      <c r="F438"/>
      <c r="G438"/>
      <c r="H438"/>
      <c r="I438"/>
      <c r="J438"/>
      <c r="K438"/>
      <c r="L438"/>
      <c r="M438"/>
      <c r="N438"/>
      <c r="O438"/>
      <c r="P438"/>
      <c r="Q438"/>
      <c r="R438"/>
      <c r="S438"/>
      <c r="T438"/>
    </row>
    <row r="439" spans="1:20" x14ac:dyDescent="0.3">
      <c r="A439"/>
      <c r="B439"/>
      <c r="C439"/>
      <c r="D439"/>
      <c r="E439"/>
      <c r="F439"/>
      <c r="G439"/>
      <c r="H439"/>
      <c r="I439"/>
      <c r="J439"/>
      <c r="K439"/>
      <c r="L439"/>
      <c r="M439"/>
      <c r="N439"/>
      <c r="O439"/>
      <c r="P439"/>
      <c r="Q439"/>
      <c r="R439"/>
      <c r="S439"/>
      <c r="T439"/>
    </row>
    <row r="440" spans="1:20" x14ac:dyDescent="0.3">
      <c r="A440"/>
      <c r="B440"/>
      <c r="C440"/>
      <c r="D440"/>
      <c r="E440"/>
      <c r="F440"/>
      <c r="G440"/>
      <c r="H440"/>
      <c r="I440"/>
      <c r="J440"/>
      <c r="K440"/>
      <c r="L440"/>
      <c r="M440"/>
      <c r="N440"/>
      <c r="O440"/>
      <c r="P440"/>
      <c r="Q440"/>
      <c r="R440"/>
      <c r="S440"/>
      <c r="T440"/>
    </row>
    <row r="441" spans="1:20" x14ac:dyDescent="0.3">
      <c r="A441"/>
      <c r="B441"/>
      <c r="C441"/>
      <c r="D441"/>
      <c r="E441"/>
      <c r="F441"/>
      <c r="G441"/>
      <c r="H441"/>
      <c r="I441"/>
      <c r="J441"/>
      <c r="K441"/>
      <c r="L441"/>
      <c r="M441"/>
      <c r="N441"/>
      <c r="O441"/>
      <c r="P441"/>
      <c r="Q441"/>
      <c r="R441"/>
      <c r="S441"/>
      <c r="T441"/>
    </row>
    <row r="442" spans="1:20" x14ac:dyDescent="0.3">
      <c r="A442"/>
      <c r="B442"/>
      <c r="C442"/>
      <c r="D442"/>
      <c r="E442"/>
      <c r="F442"/>
      <c r="G442"/>
      <c r="H442"/>
      <c r="I442"/>
      <c r="J442"/>
      <c r="K442"/>
      <c r="L442"/>
      <c r="M442"/>
      <c r="N442"/>
      <c r="O442"/>
      <c r="P442"/>
      <c r="Q442"/>
      <c r="R442"/>
      <c r="S442"/>
      <c r="T442"/>
    </row>
    <row r="443" spans="1:20" x14ac:dyDescent="0.3">
      <c r="A443"/>
      <c r="B443"/>
      <c r="C443"/>
      <c r="D443"/>
      <c r="E443"/>
      <c r="F443"/>
      <c r="G443"/>
      <c r="H443"/>
      <c r="I443"/>
      <c r="J443"/>
      <c r="K443"/>
      <c r="L443"/>
      <c r="M443"/>
      <c r="N443"/>
      <c r="O443"/>
      <c r="P443"/>
      <c r="Q443"/>
      <c r="R443"/>
      <c r="S443"/>
      <c r="T443"/>
    </row>
    <row r="444" spans="1:20" x14ac:dyDescent="0.3">
      <c r="A444"/>
      <c r="B444"/>
      <c r="C444"/>
      <c r="D444"/>
      <c r="E444"/>
      <c r="F444"/>
      <c r="G444"/>
      <c r="H444"/>
      <c r="I444"/>
      <c r="J444"/>
      <c r="K444"/>
      <c r="L444"/>
      <c r="M444"/>
      <c r="N444"/>
      <c r="O444"/>
      <c r="P444"/>
      <c r="Q444"/>
      <c r="R444"/>
      <c r="S444"/>
      <c r="T444"/>
    </row>
    <row r="445" spans="1:20" x14ac:dyDescent="0.3">
      <c r="A445"/>
      <c r="B445"/>
      <c r="C445"/>
      <c r="D445"/>
      <c r="E445"/>
      <c r="F445"/>
      <c r="G445"/>
      <c r="H445"/>
      <c r="I445"/>
      <c r="J445"/>
      <c r="K445"/>
      <c r="L445"/>
      <c r="M445"/>
      <c r="N445"/>
      <c r="O445"/>
      <c r="P445"/>
      <c r="Q445"/>
      <c r="R445"/>
      <c r="S445"/>
      <c r="T445"/>
    </row>
    <row r="446" spans="1:20" x14ac:dyDescent="0.3">
      <c r="A446"/>
      <c r="B446"/>
      <c r="C446"/>
      <c r="D446"/>
      <c r="E446"/>
      <c r="F446"/>
      <c r="G446"/>
      <c r="H446"/>
      <c r="I446"/>
      <c r="J446"/>
      <c r="K446"/>
      <c r="L446"/>
      <c r="M446"/>
      <c r="N446"/>
      <c r="O446"/>
      <c r="P446"/>
      <c r="Q446"/>
      <c r="R446"/>
      <c r="S446"/>
      <c r="T446"/>
    </row>
    <row r="447" spans="1:20" x14ac:dyDescent="0.3">
      <c r="A447"/>
      <c r="B447"/>
      <c r="C447"/>
      <c r="D447"/>
      <c r="E447"/>
      <c r="F447"/>
      <c r="G447"/>
      <c r="H447"/>
      <c r="I447"/>
      <c r="J447"/>
      <c r="K447"/>
      <c r="L447"/>
      <c r="M447"/>
      <c r="N447"/>
      <c r="O447"/>
      <c r="P447"/>
      <c r="Q447"/>
      <c r="R447"/>
      <c r="S447"/>
      <c r="T447"/>
    </row>
    <row r="448" spans="1:20" x14ac:dyDescent="0.3">
      <c r="A448"/>
      <c r="B448"/>
      <c r="C448"/>
      <c r="D448"/>
      <c r="E448"/>
      <c r="F448"/>
      <c r="G448"/>
      <c r="H448"/>
      <c r="I448"/>
      <c r="J448"/>
      <c r="K448"/>
      <c r="L448"/>
      <c r="M448"/>
      <c r="N448"/>
      <c r="O448"/>
      <c r="P448"/>
      <c r="Q448"/>
      <c r="R448"/>
      <c r="S448"/>
      <c r="T448"/>
    </row>
    <row r="449" spans="1:20" x14ac:dyDescent="0.3">
      <c r="A449"/>
      <c r="B449"/>
      <c r="C449"/>
      <c r="D449"/>
      <c r="E449"/>
      <c r="F449"/>
      <c r="G449"/>
      <c r="H449"/>
      <c r="I449"/>
      <c r="J449"/>
      <c r="K449"/>
      <c r="L449"/>
      <c r="M449"/>
      <c r="N449"/>
      <c r="O449"/>
      <c r="P449"/>
      <c r="Q449"/>
      <c r="R449"/>
      <c r="S449"/>
      <c r="T449"/>
    </row>
    <row r="450" spans="1:20" x14ac:dyDescent="0.3">
      <c r="A450"/>
      <c r="B450"/>
      <c r="C450"/>
      <c r="D450"/>
      <c r="E450"/>
      <c r="F450"/>
      <c r="G450"/>
      <c r="H450"/>
      <c r="I450"/>
      <c r="J450"/>
      <c r="K450"/>
      <c r="L450"/>
      <c r="M450"/>
      <c r="N450"/>
      <c r="O450"/>
      <c r="P450"/>
      <c r="Q450"/>
      <c r="R450"/>
      <c r="S450"/>
      <c r="T450"/>
    </row>
    <row r="451" spans="1:20" x14ac:dyDescent="0.3">
      <c r="A451"/>
      <c r="B451"/>
      <c r="C451"/>
      <c r="D451"/>
      <c r="E451"/>
      <c r="F451"/>
      <c r="G451"/>
      <c r="H451"/>
      <c r="I451"/>
      <c r="J451"/>
      <c r="K451"/>
      <c r="L451"/>
      <c r="M451"/>
      <c r="N451"/>
      <c r="O451"/>
      <c r="P451"/>
      <c r="Q451"/>
      <c r="R451"/>
      <c r="S451"/>
      <c r="T451"/>
    </row>
    <row r="452" spans="1:20" x14ac:dyDescent="0.3">
      <c r="A452"/>
      <c r="B452"/>
      <c r="C452"/>
      <c r="D452"/>
      <c r="E452"/>
      <c r="F452"/>
      <c r="G452"/>
      <c r="H452"/>
      <c r="I452"/>
      <c r="J452"/>
      <c r="K452"/>
      <c r="L452"/>
      <c r="M452"/>
      <c r="N452"/>
      <c r="O452"/>
      <c r="P452"/>
      <c r="Q452"/>
      <c r="R452"/>
      <c r="S452"/>
      <c r="T452"/>
    </row>
    <row r="453" spans="1:20" x14ac:dyDescent="0.3">
      <c r="A453"/>
      <c r="B453"/>
      <c r="C453"/>
      <c r="D453"/>
      <c r="E453"/>
      <c r="F453"/>
      <c r="G453"/>
      <c r="H453"/>
      <c r="I453"/>
      <c r="J453"/>
      <c r="K453"/>
      <c r="L453"/>
      <c r="M453"/>
      <c r="N453"/>
      <c r="O453"/>
      <c r="P453"/>
      <c r="Q453"/>
      <c r="R453"/>
      <c r="S453"/>
      <c r="T453"/>
    </row>
    <row r="454" spans="1:20" x14ac:dyDescent="0.3">
      <c r="A454"/>
      <c r="B454"/>
      <c r="C454"/>
      <c r="D454"/>
      <c r="E454"/>
      <c r="F454"/>
      <c r="G454"/>
      <c r="H454"/>
      <c r="I454"/>
      <c r="J454"/>
      <c r="K454"/>
      <c r="L454"/>
      <c r="M454"/>
      <c r="N454"/>
      <c r="O454"/>
      <c r="P454"/>
      <c r="Q454"/>
      <c r="R454"/>
      <c r="S454"/>
      <c r="T454"/>
    </row>
    <row r="455" spans="1:20" x14ac:dyDescent="0.3">
      <c r="A455"/>
      <c r="B455"/>
      <c r="C455"/>
      <c r="D455"/>
      <c r="E455"/>
      <c r="F455"/>
      <c r="G455"/>
      <c r="H455"/>
      <c r="I455"/>
      <c r="J455"/>
      <c r="K455"/>
      <c r="L455"/>
      <c r="M455"/>
      <c r="N455"/>
      <c r="O455"/>
      <c r="P455"/>
      <c r="Q455"/>
      <c r="R455"/>
      <c r="S455"/>
      <c r="T455"/>
    </row>
    <row r="456" spans="1:20" x14ac:dyDescent="0.3">
      <c r="A456"/>
      <c r="B456"/>
      <c r="C456"/>
      <c r="D456"/>
      <c r="E456"/>
      <c r="F456"/>
      <c r="G456"/>
      <c r="H456"/>
      <c r="I456"/>
      <c r="J456"/>
      <c r="K456"/>
      <c r="L456"/>
      <c r="M456"/>
      <c r="N456"/>
      <c r="O456"/>
      <c r="P456"/>
      <c r="Q456"/>
      <c r="R456"/>
      <c r="S456"/>
      <c r="T456"/>
    </row>
    <row r="457" spans="1:20" x14ac:dyDescent="0.3">
      <c r="A457"/>
      <c r="B457"/>
      <c r="C457"/>
      <c r="D457"/>
      <c r="E457"/>
      <c r="F457"/>
      <c r="G457"/>
      <c r="H457"/>
      <c r="I457"/>
      <c r="J457"/>
      <c r="K457"/>
      <c r="L457"/>
      <c r="M457"/>
      <c r="N457"/>
      <c r="O457"/>
      <c r="P457"/>
      <c r="Q457"/>
      <c r="R457"/>
      <c r="S457"/>
      <c r="T457"/>
    </row>
    <row r="458" spans="1:20" x14ac:dyDescent="0.3">
      <c r="A458"/>
      <c r="B458"/>
      <c r="C458"/>
      <c r="D458"/>
      <c r="E458"/>
      <c r="F458"/>
      <c r="G458"/>
      <c r="H458"/>
      <c r="I458"/>
      <c r="J458"/>
      <c r="K458"/>
      <c r="L458"/>
      <c r="M458"/>
      <c r="N458"/>
      <c r="O458"/>
      <c r="P458"/>
      <c r="Q458"/>
      <c r="R458"/>
      <c r="S458"/>
      <c r="T458"/>
    </row>
    <row r="459" spans="1:20" x14ac:dyDescent="0.3">
      <c r="A459"/>
      <c r="B459"/>
      <c r="C459"/>
      <c r="D459"/>
      <c r="E459"/>
      <c r="F459"/>
      <c r="G459"/>
      <c r="H459"/>
      <c r="I459"/>
      <c r="J459"/>
      <c r="K459"/>
      <c r="L459"/>
      <c r="M459"/>
      <c r="N459"/>
      <c r="O459"/>
      <c r="P459"/>
      <c r="Q459"/>
      <c r="R459"/>
      <c r="S459"/>
      <c r="T459"/>
    </row>
    <row r="460" spans="1:20" x14ac:dyDescent="0.3">
      <c r="A460"/>
      <c r="B460"/>
      <c r="C460"/>
      <c r="D460"/>
      <c r="E460"/>
      <c r="F460"/>
      <c r="G460"/>
      <c r="H460"/>
      <c r="I460"/>
      <c r="J460"/>
      <c r="K460"/>
      <c r="L460"/>
      <c r="M460"/>
      <c r="N460"/>
      <c r="O460"/>
      <c r="P460"/>
      <c r="Q460"/>
      <c r="R460"/>
      <c r="S460"/>
      <c r="T460"/>
    </row>
    <row r="461" spans="1:20" x14ac:dyDescent="0.3">
      <c r="A461"/>
      <c r="B461"/>
      <c r="C461"/>
      <c r="D461"/>
      <c r="E461"/>
      <c r="F461"/>
      <c r="G461"/>
      <c r="H461"/>
      <c r="I461"/>
      <c r="J461"/>
      <c r="K461"/>
      <c r="L461"/>
      <c r="M461"/>
      <c r="N461"/>
      <c r="O461"/>
      <c r="P461"/>
      <c r="Q461"/>
      <c r="R461"/>
      <c r="S461"/>
      <c r="T461"/>
    </row>
    <row r="462" spans="1:20" x14ac:dyDescent="0.3">
      <c r="A462"/>
      <c r="B462"/>
      <c r="C462"/>
      <c r="D462"/>
      <c r="E462"/>
      <c r="F462"/>
      <c r="G462"/>
      <c r="H462"/>
      <c r="I462"/>
      <c r="J462"/>
      <c r="K462"/>
      <c r="L462"/>
      <c r="M462"/>
      <c r="N462"/>
      <c r="O462"/>
      <c r="P462"/>
      <c r="Q462"/>
      <c r="R462"/>
      <c r="S462"/>
      <c r="T462"/>
    </row>
    <row r="463" spans="1:20" x14ac:dyDescent="0.3">
      <c r="A463"/>
      <c r="B463"/>
      <c r="C463"/>
      <c r="D463"/>
      <c r="E463"/>
      <c r="F463"/>
      <c r="G463"/>
      <c r="H463"/>
      <c r="I463"/>
      <c r="J463"/>
      <c r="K463"/>
      <c r="L463"/>
      <c r="M463"/>
      <c r="N463"/>
      <c r="O463"/>
      <c r="P463"/>
      <c r="Q463"/>
      <c r="R463"/>
      <c r="S463"/>
      <c r="T463"/>
    </row>
    <row r="464" spans="1:20" x14ac:dyDescent="0.3">
      <c r="A464"/>
      <c r="B464"/>
      <c r="C464"/>
      <c r="D464"/>
      <c r="E464"/>
      <c r="F464"/>
      <c r="G464"/>
      <c r="H464"/>
      <c r="I464"/>
      <c r="J464"/>
      <c r="K464"/>
      <c r="L464"/>
      <c r="M464"/>
      <c r="N464"/>
      <c r="O464"/>
      <c r="P464"/>
      <c r="Q464"/>
      <c r="R464"/>
      <c r="S464"/>
      <c r="T464"/>
    </row>
    <row r="465" spans="1:20" x14ac:dyDescent="0.3">
      <c r="A465"/>
      <c r="B465"/>
      <c r="C465"/>
      <c r="D465"/>
      <c r="E465"/>
      <c r="F465"/>
      <c r="G465"/>
      <c r="H465"/>
      <c r="I465"/>
      <c r="J465"/>
      <c r="K465"/>
      <c r="L465"/>
      <c r="M465"/>
      <c r="N465"/>
      <c r="O465"/>
      <c r="P465"/>
      <c r="Q465"/>
      <c r="R465"/>
      <c r="S465"/>
      <c r="T465"/>
    </row>
    <row r="466" spans="1:20" x14ac:dyDescent="0.3">
      <c r="A466"/>
      <c r="B466"/>
      <c r="C466"/>
      <c r="D466"/>
      <c r="E466"/>
      <c r="F466"/>
      <c r="G466"/>
      <c r="H466"/>
      <c r="I466"/>
      <c r="J466"/>
      <c r="K466"/>
      <c r="L466"/>
      <c r="M466"/>
      <c r="N466"/>
      <c r="O466"/>
      <c r="P466"/>
      <c r="Q466"/>
      <c r="R466"/>
      <c r="S466"/>
      <c r="T466"/>
    </row>
    <row r="467" spans="1:20" x14ac:dyDescent="0.3">
      <c r="A467"/>
      <c r="B467"/>
      <c r="C467"/>
      <c r="D467"/>
      <c r="E467"/>
      <c r="F467"/>
      <c r="G467"/>
      <c r="H467"/>
      <c r="I467"/>
      <c r="J467"/>
      <c r="K467"/>
      <c r="L467"/>
      <c r="M467"/>
      <c r="N467"/>
      <c r="O467"/>
      <c r="P467"/>
      <c r="Q467"/>
      <c r="R467"/>
      <c r="S467"/>
      <c r="T467"/>
    </row>
    <row r="468" spans="1:20" x14ac:dyDescent="0.3">
      <c r="A468"/>
      <c r="B468"/>
      <c r="C468"/>
      <c r="D468"/>
      <c r="E468"/>
      <c r="F468"/>
      <c r="G468"/>
      <c r="H468"/>
      <c r="I468"/>
      <c r="J468"/>
      <c r="K468"/>
      <c r="L468"/>
      <c r="M468"/>
      <c r="N468"/>
      <c r="O468"/>
      <c r="P468"/>
      <c r="Q468"/>
      <c r="R468"/>
      <c r="S468"/>
      <c r="T468"/>
    </row>
    <row r="469" spans="1:20" x14ac:dyDescent="0.3">
      <c r="A469"/>
      <c r="B469"/>
      <c r="C469"/>
      <c r="D469"/>
      <c r="E469"/>
      <c r="F469"/>
      <c r="G469"/>
      <c r="H469"/>
      <c r="I469"/>
      <c r="J469"/>
      <c r="K469"/>
      <c r="L469"/>
      <c r="M469"/>
      <c r="N469"/>
      <c r="O469"/>
      <c r="P469"/>
      <c r="Q469"/>
      <c r="R469"/>
      <c r="S469"/>
      <c r="T469"/>
    </row>
    <row r="470" spans="1:20" x14ac:dyDescent="0.3">
      <c r="A470"/>
      <c r="B470"/>
      <c r="C470"/>
      <c r="D470"/>
      <c r="E470"/>
      <c r="F470"/>
      <c r="G470"/>
      <c r="H470"/>
      <c r="I470"/>
      <c r="J470"/>
      <c r="K470"/>
      <c r="L470"/>
      <c r="M470"/>
      <c r="N470"/>
      <c r="O470"/>
      <c r="P470"/>
      <c r="Q470"/>
      <c r="R470"/>
      <c r="S470"/>
      <c r="T470"/>
    </row>
    <row r="471" spans="1:20" x14ac:dyDescent="0.3">
      <c r="A471"/>
      <c r="B471"/>
      <c r="C471"/>
      <c r="D471"/>
      <c r="E471"/>
      <c r="F471"/>
      <c r="G471"/>
      <c r="H471"/>
      <c r="I471"/>
      <c r="J471"/>
      <c r="K471"/>
      <c r="L471"/>
      <c r="M471"/>
      <c r="N471"/>
      <c r="O471"/>
      <c r="P471"/>
      <c r="Q471"/>
      <c r="R471"/>
      <c r="S471"/>
      <c r="T471"/>
    </row>
    <row r="472" spans="1:20" x14ac:dyDescent="0.3">
      <c r="A472"/>
      <c r="B472"/>
      <c r="C472"/>
      <c r="D472"/>
      <c r="E472"/>
      <c r="F472"/>
      <c r="G472"/>
      <c r="H472"/>
      <c r="I472"/>
      <c r="J472"/>
      <c r="K472"/>
      <c r="L472"/>
      <c r="M472"/>
      <c r="N472"/>
      <c r="O472"/>
      <c r="P472"/>
      <c r="Q472"/>
      <c r="R472"/>
      <c r="S472"/>
      <c r="T472"/>
    </row>
    <row r="473" spans="1:20" x14ac:dyDescent="0.3">
      <c r="A473"/>
      <c r="B473"/>
      <c r="C473"/>
      <c r="D473"/>
      <c r="E473"/>
      <c r="F473"/>
      <c r="G473"/>
      <c r="H473"/>
      <c r="I473"/>
      <c r="J473"/>
      <c r="K473"/>
      <c r="L473"/>
      <c r="M473"/>
      <c r="N473"/>
      <c r="O473"/>
      <c r="P473"/>
      <c r="Q473"/>
      <c r="R473"/>
      <c r="S473"/>
      <c r="T473"/>
    </row>
    <row r="474" spans="1:20" x14ac:dyDescent="0.3">
      <c r="A474"/>
      <c r="B474"/>
      <c r="C474"/>
      <c r="D474"/>
      <c r="E474"/>
      <c r="F474"/>
      <c r="G474"/>
      <c r="H474"/>
      <c r="I474"/>
      <c r="J474"/>
      <c r="K474"/>
      <c r="L474"/>
      <c r="M474"/>
      <c r="N474"/>
      <c r="O474"/>
      <c r="P474"/>
      <c r="Q474"/>
      <c r="R474"/>
      <c r="S474"/>
      <c r="T474"/>
    </row>
    <row r="475" spans="1:20" x14ac:dyDescent="0.3">
      <c r="A475"/>
      <c r="B475"/>
      <c r="C475"/>
      <c r="D475"/>
      <c r="E475"/>
      <c r="F475"/>
      <c r="G475"/>
      <c r="H475"/>
      <c r="I475"/>
      <c r="J475"/>
      <c r="K475"/>
      <c r="L475"/>
      <c r="M475"/>
      <c r="N475"/>
      <c r="O475"/>
      <c r="P475"/>
      <c r="Q475"/>
      <c r="R475"/>
      <c r="S475"/>
      <c r="T475"/>
    </row>
    <row r="476" spans="1:20" x14ac:dyDescent="0.3">
      <c r="A476"/>
      <c r="B476"/>
      <c r="C476"/>
      <c r="D476"/>
      <c r="E476"/>
      <c r="F476"/>
      <c r="G476"/>
      <c r="H476"/>
      <c r="I476"/>
      <c r="J476"/>
      <c r="K476"/>
      <c r="L476"/>
      <c r="M476"/>
      <c r="N476"/>
      <c r="O476"/>
      <c r="P476"/>
      <c r="Q476"/>
      <c r="R476"/>
      <c r="S476"/>
      <c r="T476"/>
    </row>
    <row r="477" spans="1:20" x14ac:dyDescent="0.3">
      <c r="A477"/>
      <c r="B477"/>
      <c r="C477"/>
      <c r="D477"/>
      <c r="E477"/>
      <c r="F477"/>
      <c r="G477"/>
      <c r="H477"/>
      <c r="I477"/>
      <c r="J477"/>
      <c r="K477"/>
      <c r="L477"/>
      <c r="M477"/>
      <c r="N477"/>
      <c r="O477"/>
      <c r="P477"/>
      <c r="Q477"/>
      <c r="R477"/>
      <c r="S477"/>
      <c r="T477"/>
    </row>
    <row r="478" spans="1:20" x14ac:dyDescent="0.3">
      <c r="A478"/>
      <c r="B478"/>
      <c r="C478"/>
      <c r="D478"/>
      <c r="E478"/>
      <c r="F478"/>
      <c r="G478"/>
      <c r="H478"/>
      <c r="I478"/>
      <c r="J478"/>
      <c r="K478"/>
      <c r="L478"/>
      <c r="M478"/>
      <c r="N478"/>
      <c r="O478"/>
      <c r="P478"/>
      <c r="Q478"/>
      <c r="R478"/>
      <c r="S478"/>
      <c r="T478"/>
    </row>
    <row r="479" spans="1:20" x14ac:dyDescent="0.3">
      <c r="A479"/>
      <c r="B479"/>
      <c r="C479"/>
      <c r="D479"/>
      <c r="E479"/>
      <c r="F479"/>
      <c r="G479"/>
      <c r="H479"/>
      <c r="I479"/>
      <c r="J479"/>
      <c r="K479"/>
      <c r="L479"/>
      <c r="M479"/>
      <c r="N479"/>
      <c r="O479"/>
      <c r="P479"/>
      <c r="Q479"/>
      <c r="R479"/>
      <c r="S479"/>
      <c r="T479"/>
    </row>
    <row r="480" spans="1:20" x14ac:dyDescent="0.3">
      <c r="A480"/>
      <c r="B480"/>
      <c r="C480"/>
      <c r="D480"/>
      <c r="E480"/>
      <c r="F480"/>
      <c r="G480"/>
      <c r="H480"/>
      <c r="I480"/>
      <c r="J480"/>
      <c r="K480"/>
      <c r="L480"/>
      <c r="M480"/>
      <c r="N480"/>
      <c r="O480"/>
      <c r="P480"/>
      <c r="Q480"/>
      <c r="R480"/>
      <c r="S480"/>
      <c r="T480"/>
    </row>
    <row r="481" spans="1:20" x14ac:dyDescent="0.3">
      <c r="A481"/>
      <c r="B481"/>
      <c r="C481"/>
      <c r="D481"/>
      <c r="E481"/>
      <c r="F481"/>
      <c r="G481"/>
      <c r="H481"/>
      <c r="I481"/>
      <c r="J481"/>
      <c r="K481"/>
      <c r="L481"/>
      <c r="M481"/>
      <c r="N481"/>
      <c r="O481"/>
      <c r="P481"/>
      <c r="Q481"/>
      <c r="R481"/>
      <c r="S481"/>
      <c r="T481"/>
    </row>
    <row r="482" spans="1:20" x14ac:dyDescent="0.3">
      <c r="A482"/>
      <c r="B482"/>
      <c r="C482"/>
      <c r="D482"/>
      <c r="E482"/>
      <c r="F482"/>
      <c r="G482"/>
      <c r="H482"/>
      <c r="I482"/>
      <c r="J482"/>
      <c r="K482"/>
      <c r="L482"/>
      <c r="M482"/>
      <c r="N482"/>
      <c r="O482"/>
      <c r="P482"/>
      <c r="Q482"/>
      <c r="R482"/>
      <c r="S482"/>
      <c r="T482"/>
    </row>
    <row r="483" spans="1:20" x14ac:dyDescent="0.3">
      <c r="A483"/>
      <c r="B483"/>
      <c r="C483"/>
      <c r="D483"/>
      <c r="E483"/>
      <c r="F483"/>
      <c r="G483"/>
      <c r="H483"/>
      <c r="I483"/>
      <c r="J483"/>
      <c r="K483"/>
      <c r="L483"/>
      <c r="M483"/>
      <c r="N483"/>
      <c r="O483"/>
      <c r="P483"/>
      <c r="Q483"/>
      <c r="R483"/>
      <c r="S483"/>
      <c r="T483"/>
    </row>
    <row r="484" spans="1:20" x14ac:dyDescent="0.3">
      <c r="A484"/>
      <c r="B484"/>
      <c r="C484"/>
      <c r="D484"/>
      <c r="E484"/>
      <c r="F484"/>
      <c r="G484"/>
      <c r="H484"/>
      <c r="I484"/>
      <c r="J484"/>
      <c r="K484"/>
      <c r="L484"/>
      <c r="M484"/>
      <c r="N484"/>
      <c r="O484"/>
      <c r="P484"/>
      <c r="Q484"/>
      <c r="R484"/>
      <c r="S484"/>
      <c r="T484"/>
    </row>
    <row r="485" spans="1:20" x14ac:dyDescent="0.3">
      <c r="A485"/>
      <c r="B485"/>
      <c r="C485"/>
      <c r="D485"/>
      <c r="E485"/>
      <c r="F485"/>
      <c r="G485"/>
      <c r="H485"/>
      <c r="I485"/>
      <c r="J485"/>
      <c r="K485"/>
      <c r="L485"/>
      <c r="M485"/>
      <c r="N485"/>
      <c r="O485"/>
      <c r="P485"/>
      <c r="Q485"/>
      <c r="R485"/>
      <c r="S485"/>
      <c r="T485"/>
    </row>
    <row r="486" spans="1:20" x14ac:dyDescent="0.3">
      <c r="A486"/>
      <c r="B486"/>
      <c r="C486"/>
      <c r="D486"/>
      <c r="E486"/>
      <c r="F486"/>
      <c r="G486"/>
      <c r="H486"/>
      <c r="I486"/>
      <c r="J486"/>
      <c r="K486"/>
      <c r="L486"/>
      <c r="M486"/>
      <c r="N486"/>
      <c r="O486"/>
      <c r="P486"/>
      <c r="Q486"/>
      <c r="R486"/>
      <c r="S486"/>
      <c r="T486"/>
    </row>
    <row r="487" spans="1:20" x14ac:dyDescent="0.3">
      <c r="A487"/>
      <c r="B487"/>
      <c r="C487"/>
      <c r="D487"/>
      <c r="E487"/>
      <c r="F487"/>
      <c r="G487"/>
      <c r="H487"/>
      <c r="I487"/>
      <c r="J487"/>
      <c r="K487"/>
      <c r="L487"/>
      <c r="M487"/>
      <c r="N487"/>
      <c r="O487"/>
      <c r="P487"/>
      <c r="Q487"/>
      <c r="R487"/>
      <c r="S487"/>
      <c r="T487"/>
    </row>
    <row r="488" spans="1:20" x14ac:dyDescent="0.3">
      <c r="A488"/>
      <c r="B488"/>
      <c r="C488"/>
      <c r="D488"/>
      <c r="E488"/>
      <c r="F488"/>
      <c r="G488"/>
      <c r="H488"/>
      <c r="I488"/>
      <c r="J488"/>
      <c r="K488"/>
      <c r="L488"/>
      <c r="M488"/>
      <c r="N488"/>
      <c r="O488"/>
      <c r="P488"/>
      <c r="Q488"/>
      <c r="R488"/>
      <c r="S488"/>
      <c r="T488"/>
    </row>
    <row r="489" spans="1:20" x14ac:dyDescent="0.3">
      <c r="A489"/>
      <c r="B489"/>
      <c r="C489"/>
      <c r="D489"/>
      <c r="E489"/>
      <c r="F489"/>
      <c r="G489"/>
      <c r="H489"/>
      <c r="I489"/>
      <c r="J489"/>
      <c r="K489"/>
      <c r="L489"/>
      <c r="M489"/>
      <c r="N489"/>
      <c r="O489"/>
      <c r="P489"/>
      <c r="Q489"/>
      <c r="R489"/>
      <c r="S489"/>
      <c r="T489"/>
    </row>
    <row r="490" spans="1:20" x14ac:dyDescent="0.3">
      <c r="A490"/>
      <c r="B490"/>
      <c r="C490"/>
      <c r="D490"/>
      <c r="E490"/>
      <c r="F490"/>
      <c r="G490"/>
      <c r="H490"/>
      <c r="I490"/>
      <c r="J490"/>
      <c r="K490"/>
      <c r="L490"/>
      <c r="M490"/>
      <c r="N490"/>
      <c r="O490"/>
      <c r="P490"/>
      <c r="Q490"/>
      <c r="R490"/>
      <c r="S490"/>
      <c r="T490"/>
    </row>
    <row r="491" spans="1:20" x14ac:dyDescent="0.3">
      <c r="A491"/>
      <c r="B491"/>
      <c r="C491"/>
      <c r="D491"/>
      <c r="E491"/>
      <c r="F491"/>
      <c r="G491"/>
      <c r="H491"/>
      <c r="I491"/>
      <c r="J491"/>
      <c r="K491"/>
      <c r="L491"/>
      <c r="M491"/>
      <c r="N491"/>
      <c r="O491"/>
      <c r="P491"/>
      <c r="Q491"/>
      <c r="R491"/>
      <c r="S491"/>
      <c r="T491"/>
    </row>
    <row r="492" spans="1:20" x14ac:dyDescent="0.3">
      <c r="A492"/>
      <c r="B492"/>
      <c r="C492"/>
      <c r="D492"/>
      <c r="E492"/>
      <c r="F492"/>
      <c r="G492"/>
      <c r="H492"/>
      <c r="I492"/>
      <c r="J492"/>
      <c r="K492"/>
      <c r="L492"/>
      <c r="M492"/>
      <c r="N492"/>
      <c r="O492"/>
      <c r="P492"/>
      <c r="Q492"/>
      <c r="R492"/>
      <c r="S492"/>
      <c r="T492"/>
    </row>
    <row r="493" spans="1:20" x14ac:dyDescent="0.3">
      <c r="A493"/>
      <c r="B493"/>
      <c r="C493"/>
      <c r="D493"/>
      <c r="E493"/>
      <c r="F493"/>
      <c r="G493"/>
      <c r="H493"/>
      <c r="I493"/>
      <c r="J493"/>
      <c r="K493"/>
      <c r="L493"/>
      <c r="M493"/>
      <c r="N493"/>
      <c r="O493"/>
      <c r="P493"/>
      <c r="Q493"/>
      <c r="R493"/>
      <c r="S493"/>
      <c r="T493"/>
    </row>
    <row r="494" spans="1:20" x14ac:dyDescent="0.3">
      <c r="A494"/>
      <c r="B494"/>
      <c r="C494"/>
      <c r="D494"/>
      <c r="E494"/>
      <c r="F494"/>
      <c r="G494"/>
      <c r="H494"/>
      <c r="I494"/>
      <c r="J494"/>
      <c r="K494"/>
      <c r="L494"/>
      <c r="M494"/>
      <c r="N494"/>
      <c r="O494"/>
      <c r="P494"/>
      <c r="Q494"/>
      <c r="R494"/>
      <c r="S494"/>
      <c r="T494"/>
    </row>
    <row r="495" spans="1:20" x14ac:dyDescent="0.3">
      <c r="A495"/>
      <c r="B495"/>
      <c r="C495"/>
      <c r="D495"/>
      <c r="E495"/>
      <c r="F495"/>
      <c r="G495"/>
      <c r="H495"/>
      <c r="I495"/>
      <c r="J495"/>
      <c r="K495"/>
      <c r="L495"/>
      <c r="M495"/>
      <c r="N495"/>
      <c r="O495"/>
      <c r="P495"/>
      <c r="Q495"/>
      <c r="R495"/>
      <c r="S495"/>
      <c r="T495"/>
    </row>
    <row r="496" spans="1:20" x14ac:dyDescent="0.3">
      <c r="A496"/>
      <c r="B496"/>
      <c r="C496"/>
      <c r="D496"/>
      <c r="E496"/>
      <c r="F496"/>
      <c r="G496"/>
      <c r="H496"/>
      <c r="I496"/>
      <c r="J496"/>
      <c r="K496"/>
      <c r="L496"/>
      <c r="M496"/>
      <c r="N496"/>
      <c r="O496"/>
      <c r="P496"/>
      <c r="Q496"/>
      <c r="R496"/>
      <c r="S496"/>
      <c r="T496"/>
    </row>
    <row r="497" spans="1:20" x14ac:dyDescent="0.3">
      <c r="A497"/>
      <c r="B497"/>
      <c r="C497"/>
      <c r="D497"/>
      <c r="E497"/>
      <c r="F497"/>
      <c r="G497"/>
      <c r="H497"/>
      <c r="I497"/>
      <c r="J497"/>
      <c r="K497"/>
      <c r="L497"/>
      <c r="M497"/>
      <c r="N497"/>
      <c r="O497"/>
      <c r="P497"/>
      <c r="Q497"/>
      <c r="R497"/>
      <c r="S497"/>
      <c r="T497"/>
    </row>
    <row r="498" spans="1:20" x14ac:dyDescent="0.3">
      <c r="A498"/>
      <c r="B498"/>
      <c r="C498"/>
      <c r="D498"/>
      <c r="E498"/>
      <c r="F498"/>
      <c r="G498"/>
      <c r="H498"/>
      <c r="I498"/>
      <c r="J498"/>
      <c r="K498"/>
      <c r="L498"/>
      <c r="M498"/>
      <c r="N498"/>
      <c r="O498"/>
      <c r="P498"/>
      <c r="Q498"/>
      <c r="R498"/>
      <c r="S498"/>
      <c r="T498"/>
    </row>
    <row r="499" spans="1:20" x14ac:dyDescent="0.3">
      <c r="A499"/>
      <c r="B499"/>
      <c r="C499"/>
      <c r="D499"/>
      <c r="E499"/>
      <c r="F499"/>
      <c r="G499"/>
      <c r="H499"/>
      <c r="I499"/>
      <c r="J499"/>
      <c r="K499"/>
      <c r="L499"/>
      <c r="M499"/>
      <c r="N499"/>
      <c r="O499"/>
      <c r="P499"/>
      <c r="Q499"/>
      <c r="R499"/>
      <c r="S499"/>
      <c r="T499"/>
    </row>
    <row r="500" spans="1:20" x14ac:dyDescent="0.3">
      <c r="A500"/>
      <c r="B500"/>
      <c r="C500"/>
      <c r="D500"/>
      <c r="E500"/>
      <c r="F500"/>
      <c r="G500"/>
      <c r="H500"/>
      <c r="I500"/>
      <c r="J500"/>
      <c r="K500"/>
      <c r="L500"/>
      <c r="M500"/>
      <c r="N500"/>
      <c r="O500"/>
      <c r="P500"/>
      <c r="Q500"/>
      <c r="R500"/>
      <c r="S500"/>
      <c r="T500"/>
    </row>
    <row r="501" spans="1:20" x14ac:dyDescent="0.3">
      <c r="A501"/>
      <c r="B501"/>
      <c r="C501"/>
      <c r="D501"/>
      <c r="E501"/>
      <c r="F501"/>
      <c r="G501"/>
      <c r="H501"/>
      <c r="I501"/>
      <c r="J501"/>
      <c r="K501"/>
      <c r="L501"/>
      <c r="M501"/>
      <c r="N501"/>
      <c r="O501"/>
      <c r="P501"/>
      <c r="Q501"/>
      <c r="R501"/>
      <c r="S501"/>
      <c r="T501"/>
    </row>
    <row r="502" spans="1:20" x14ac:dyDescent="0.3">
      <c r="A502"/>
      <c r="B502"/>
      <c r="C502"/>
      <c r="D502"/>
      <c r="E502"/>
      <c r="F502"/>
      <c r="G502"/>
      <c r="H502"/>
      <c r="I502"/>
      <c r="J502"/>
      <c r="K502"/>
      <c r="L502"/>
      <c r="M502"/>
      <c r="N502"/>
      <c r="O502"/>
      <c r="P502"/>
      <c r="Q502"/>
      <c r="R502"/>
      <c r="S502"/>
      <c r="T502"/>
    </row>
    <row r="503" spans="1:20" x14ac:dyDescent="0.3">
      <c r="A503"/>
      <c r="B503"/>
      <c r="C503"/>
      <c r="D503"/>
      <c r="E503"/>
      <c r="F503"/>
      <c r="G503"/>
      <c r="H503"/>
      <c r="I503"/>
      <c r="J503"/>
      <c r="K503"/>
      <c r="L503"/>
      <c r="M503"/>
      <c r="N503"/>
      <c r="O503"/>
      <c r="P503"/>
      <c r="Q503"/>
      <c r="R503"/>
      <c r="S503"/>
      <c r="T503"/>
    </row>
    <row r="504" spans="1:20" x14ac:dyDescent="0.3">
      <c r="A504"/>
      <c r="B504"/>
      <c r="C504"/>
      <c r="D504"/>
      <c r="E504"/>
      <c r="F504"/>
      <c r="G504"/>
      <c r="H504"/>
      <c r="I504"/>
      <c r="J504"/>
      <c r="K504"/>
      <c r="L504"/>
      <c r="M504"/>
      <c r="N504"/>
      <c r="O504"/>
      <c r="P504"/>
      <c r="Q504"/>
      <c r="R504"/>
      <c r="S504"/>
      <c r="T504"/>
    </row>
    <row r="505" spans="1:20" x14ac:dyDescent="0.3">
      <c r="A505"/>
      <c r="B505"/>
      <c r="C505"/>
      <c r="D505"/>
      <c r="E505"/>
      <c r="F505"/>
      <c r="G505"/>
      <c r="H505"/>
      <c r="I505"/>
      <c r="J505"/>
      <c r="K505"/>
      <c r="L505"/>
      <c r="M505"/>
      <c r="N505"/>
      <c r="O505"/>
      <c r="P505"/>
      <c r="Q505"/>
      <c r="R505"/>
      <c r="S505"/>
      <c r="T505"/>
    </row>
    <row r="506" spans="1:20" x14ac:dyDescent="0.3">
      <c r="A506"/>
      <c r="B506"/>
      <c r="C506"/>
      <c r="D506"/>
      <c r="E506"/>
      <c r="F506"/>
      <c r="G506"/>
      <c r="H506"/>
      <c r="I506"/>
      <c r="J506"/>
      <c r="K506"/>
      <c r="L506"/>
      <c r="M506"/>
      <c r="N506"/>
      <c r="O506"/>
      <c r="P506"/>
      <c r="Q506"/>
      <c r="R506"/>
      <c r="S506"/>
      <c r="T506"/>
    </row>
    <row r="507" spans="1:20" x14ac:dyDescent="0.3">
      <c r="A507"/>
      <c r="B507"/>
      <c r="C507"/>
      <c r="D507"/>
      <c r="E507"/>
      <c r="F507"/>
      <c r="G507"/>
      <c r="H507"/>
      <c r="I507"/>
      <c r="J507"/>
      <c r="K507"/>
      <c r="L507"/>
      <c r="M507"/>
      <c r="N507"/>
      <c r="O507"/>
      <c r="P507"/>
      <c r="Q507"/>
      <c r="R507"/>
      <c r="S507"/>
      <c r="T507"/>
    </row>
    <row r="508" spans="1:20" x14ac:dyDescent="0.3">
      <c r="A508"/>
      <c r="B508"/>
      <c r="C508"/>
      <c r="D508"/>
      <c r="E508"/>
      <c r="F508"/>
      <c r="G508"/>
      <c r="H508"/>
      <c r="I508"/>
      <c r="J508"/>
      <c r="K508"/>
      <c r="L508"/>
      <c r="M508"/>
      <c r="N508"/>
      <c r="O508"/>
      <c r="P508"/>
      <c r="Q508"/>
      <c r="R508"/>
      <c r="S508"/>
      <c r="T508"/>
    </row>
    <row r="509" spans="1:20" x14ac:dyDescent="0.3">
      <c r="A509"/>
      <c r="B509"/>
      <c r="C509"/>
      <c r="D509"/>
      <c r="E509"/>
      <c r="F509"/>
      <c r="G509"/>
      <c r="H509"/>
      <c r="I509"/>
      <c r="J509"/>
      <c r="K509"/>
      <c r="L509"/>
      <c r="M509"/>
      <c r="N509"/>
      <c r="O509"/>
      <c r="P509"/>
      <c r="Q509"/>
      <c r="R509"/>
      <c r="S509"/>
      <c r="T509"/>
    </row>
    <row r="510" spans="1:20" x14ac:dyDescent="0.3">
      <c r="A510"/>
      <c r="B510"/>
      <c r="C510"/>
      <c r="D510"/>
      <c r="E510"/>
      <c r="F510"/>
      <c r="G510"/>
      <c r="H510"/>
      <c r="I510"/>
      <c r="J510"/>
      <c r="K510"/>
      <c r="L510"/>
      <c r="M510"/>
      <c r="N510"/>
      <c r="O510"/>
      <c r="P510"/>
      <c r="Q510"/>
      <c r="R510"/>
      <c r="S510"/>
      <c r="T510"/>
    </row>
    <row r="511" spans="1:20" x14ac:dyDescent="0.3">
      <c r="A511"/>
      <c r="B511"/>
      <c r="C511"/>
      <c r="D511"/>
      <c r="E511"/>
      <c r="F511"/>
      <c r="G511"/>
      <c r="H511"/>
      <c r="I511"/>
      <c r="J511"/>
      <c r="K511"/>
      <c r="L511"/>
      <c r="M511"/>
      <c r="N511"/>
      <c r="O511"/>
      <c r="P511"/>
      <c r="Q511"/>
      <c r="R511"/>
      <c r="S511"/>
      <c r="T511"/>
    </row>
    <row r="512" spans="1:20" x14ac:dyDescent="0.3">
      <c r="A512"/>
      <c r="B512"/>
      <c r="C512"/>
      <c r="D512"/>
      <c r="E512"/>
      <c r="F512"/>
      <c r="G512"/>
      <c r="H512"/>
      <c r="I512"/>
      <c r="J512"/>
      <c r="K512"/>
      <c r="L512"/>
      <c r="M512"/>
      <c r="N512"/>
      <c r="O512"/>
      <c r="P512"/>
      <c r="Q512"/>
      <c r="R512"/>
      <c r="S512"/>
      <c r="T512"/>
    </row>
    <row r="513" spans="1:20" x14ac:dyDescent="0.3">
      <c r="A513"/>
      <c r="B513"/>
      <c r="C513"/>
      <c r="D513"/>
      <c r="E513"/>
      <c r="F513"/>
      <c r="G513"/>
      <c r="H513"/>
      <c r="I513"/>
      <c r="J513"/>
      <c r="K513"/>
      <c r="L513"/>
      <c r="M513"/>
      <c r="N513"/>
      <c r="O513"/>
      <c r="P513"/>
      <c r="Q513"/>
      <c r="R513"/>
      <c r="S513"/>
      <c r="T513"/>
    </row>
    <row r="514" spans="1:20" x14ac:dyDescent="0.3">
      <c r="A514"/>
      <c r="B514"/>
      <c r="C514"/>
      <c r="D514"/>
      <c r="E514"/>
      <c r="F514"/>
      <c r="G514"/>
      <c r="H514"/>
      <c r="I514"/>
      <c r="J514"/>
      <c r="K514"/>
      <c r="L514"/>
      <c r="M514"/>
      <c r="N514"/>
      <c r="O514"/>
      <c r="P514"/>
      <c r="Q514"/>
      <c r="R514"/>
      <c r="S514"/>
      <c r="T514"/>
    </row>
    <row r="515" spans="1:20" x14ac:dyDescent="0.3">
      <c r="A515"/>
      <c r="B515"/>
      <c r="C515"/>
      <c r="D515"/>
      <c r="E515"/>
      <c r="F515"/>
      <c r="G515"/>
      <c r="H515"/>
      <c r="I515"/>
      <c r="J515"/>
      <c r="K515"/>
      <c r="L515"/>
      <c r="M515"/>
      <c r="N515"/>
      <c r="O515"/>
      <c r="P515"/>
      <c r="Q515"/>
      <c r="R515"/>
      <c r="S515"/>
      <c r="T515"/>
    </row>
    <row r="516" spans="1:20" x14ac:dyDescent="0.3">
      <c r="A516"/>
      <c r="B516"/>
      <c r="C516"/>
      <c r="D516"/>
      <c r="E516"/>
      <c r="F516"/>
      <c r="G516"/>
      <c r="H516"/>
      <c r="I516"/>
      <c r="J516"/>
      <c r="K516"/>
      <c r="L516"/>
      <c r="M516"/>
      <c r="N516"/>
      <c r="O516"/>
      <c r="P516"/>
      <c r="Q516"/>
      <c r="R516"/>
      <c r="S516"/>
      <c r="T516"/>
    </row>
    <row r="517" spans="1:20" x14ac:dyDescent="0.3">
      <c r="A517"/>
      <c r="B517"/>
      <c r="C517"/>
      <c r="D517"/>
      <c r="E517"/>
      <c r="F517"/>
      <c r="G517"/>
      <c r="H517"/>
      <c r="I517"/>
      <c r="J517"/>
      <c r="K517"/>
      <c r="L517"/>
      <c r="M517"/>
      <c r="N517"/>
      <c r="O517"/>
      <c r="P517"/>
      <c r="Q517"/>
      <c r="R517"/>
      <c r="S517"/>
      <c r="T517"/>
    </row>
    <row r="518" spans="1:20" x14ac:dyDescent="0.3">
      <c r="A518"/>
      <c r="B518"/>
      <c r="C518"/>
      <c r="D518"/>
      <c r="E518"/>
      <c r="F518"/>
      <c r="G518"/>
      <c r="H518"/>
      <c r="I518"/>
      <c r="J518"/>
      <c r="K518"/>
      <c r="L518"/>
      <c r="M518"/>
      <c r="N518"/>
      <c r="O518"/>
      <c r="P518"/>
      <c r="Q518"/>
      <c r="R518"/>
      <c r="S518"/>
      <c r="T518"/>
    </row>
    <row r="519" spans="1:20" x14ac:dyDescent="0.3">
      <c r="A519"/>
      <c r="B519"/>
      <c r="C519"/>
      <c r="D519"/>
      <c r="E519"/>
      <c r="F519"/>
      <c r="G519"/>
      <c r="H519"/>
      <c r="I519"/>
      <c r="J519"/>
      <c r="K519"/>
      <c r="L519"/>
      <c r="M519"/>
      <c r="N519"/>
      <c r="O519"/>
      <c r="P519"/>
      <c r="Q519"/>
      <c r="R519"/>
      <c r="S519"/>
      <c r="T519"/>
    </row>
    <row r="520" spans="1:20" x14ac:dyDescent="0.3">
      <c r="A520"/>
      <c r="B520"/>
      <c r="C520"/>
      <c r="D520"/>
      <c r="E520"/>
      <c r="F520"/>
      <c r="G520"/>
      <c r="H520"/>
      <c r="I520"/>
      <c r="J520"/>
      <c r="K520"/>
      <c r="L520"/>
      <c r="M520"/>
      <c r="N520"/>
      <c r="O520"/>
      <c r="P520"/>
      <c r="Q520"/>
      <c r="R520"/>
      <c r="S520"/>
      <c r="T520"/>
    </row>
    <row r="521" spans="1:20" x14ac:dyDescent="0.3">
      <c r="A521"/>
      <c r="B521"/>
      <c r="C521"/>
      <c r="D521"/>
      <c r="E521"/>
      <c r="F521"/>
      <c r="G521"/>
      <c r="H521"/>
      <c r="I521"/>
      <c r="J521"/>
      <c r="K521"/>
      <c r="L521"/>
      <c r="M521"/>
      <c r="N521"/>
      <c r="O521"/>
      <c r="P521"/>
      <c r="Q521"/>
      <c r="R521"/>
      <c r="S521"/>
      <c r="T521"/>
    </row>
    <row r="522" spans="1:20" x14ac:dyDescent="0.3">
      <c r="A522"/>
      <c r="B522"/>
      <c r="C522"/>
      <c r="D522"/>
      <c r="E522"/>
      <c r="F522"/>
      <c r="G522"/>
      <c r="H522"/>
      <c r="I522"/>
      <c r="J522"/>
      <c r="K522"/>
      <c r="L522"/>
      <c r="M522"/>
      <c r="N522"/>
      <c r="O522"/>
      <c r="P522"/>
      <c r="Q522"/>
      <c r="R522"/>
      <c r="S522"/>
      <c r="T522"/>
    </row>
    <row r="523" spans="1:20" x14ac:dyDescent="0.3">
      <c r="A523"/>
      <c r="B523"/>
      <c r="C523"/>
      <c r="D523"/>
      <c r="E523"/>
      <c r="F523"/>
      <c r="G523"/>
      <c r="H523"/>
      <c r="I523"/>
      <c r="J523"/>
      <c r="K523"/>
      <c r="L523"/>
      <c r="M523"/>
      <c r="N523"/>
      <c r="O523"/>
      <c r="P523"/>
      <c r="Q523"/>
      <c r="R523"/>
      <c r="S523"/>
      <c r="T523"/>
    </row>
    <row r="524" spans="1:20" x14ac:dyDescent="0.3">
      <c r="A524"/>
      <c r="B524"/>
      <c r="C524"/>
      <c r="D524"/>
      <c r="E524"/>
      <c r="F524"/>
      <c r="G524"/>
      <c r="H524"/>
      <c r="I524"/>
      <c r="J524"/>
      <c r="K524"/>
      <c r="L524"/>
      <c r="M524"/>
      <c r="N524"/>
      <c r="O524"/>
      <c r="P524"/>
      <c r="Q524"/>
      <c r="R524"/>
      <c r="S524"/>
      <c r="T524"/>
    </row>
    <row r="525" spans="1:20" x14ac:dyDescent="0.3">
      <c r="A525"/>
      <c r="B525"/>
      <c r="C525"/>
      <c r="D525"/>
      <c r="E525"/>
      <c r="F525"/>
      <c r="G525"/>
      <c r="H525"/>
      <c r="I525"/>
      <c r="J525"/>
      <c r="K525"/>
      <c r="L525"/>
      <c r="M525"/>
      <c r="N525"/>
      <c r="O525"/>
      <c r="P525"/>
      <c r="Q525"/>
      <c r="R525"/>
      <c r="S525"/>
      <c r="T525"/>
    </row>
    <row r="526" spans="1:20" x14ac:dyDescent="0.3">
      <c r="A526"/>
      <c r="B526"/>
      <c r="C526"/>
      <c r="D526"/>
      <c r="E526"/>
      <c r="F526"/>
      <c r="G526"/>
      <c r="H526"/>
      <c r="I526"/>
      <c r="J526"/>
      <c r="K526"/>
      <c r="L526"/>
      <c r="M526"/>
      <c r="N526"/>
      <c r="O526"/>
      <c r="P526"/>
      <c r="Q526"/>
      <c r="R526"/>
      <c r="S526"/>
      <c r="T526"/>
    </row>
    <row r="527" spans="1:20" x14ac:dyDescent="0.3">
      <c r="A527"/>
      <c r="B527"/>
      <c r="C527"/>
      <c r="D527"/>
      <c r="E527"/>
      <c r="F527"/>
      <c r="G527"/>
      <c r="H527"/>
      <c r="I527"/>
      <c r="J527"/>
      <c r="K527"/>
      <c r="L527"/>
      <c r="M527"/>
      <c r="N527"/>
      <c r="O527"/>
      <c r="P527"/>
      <c r="Q527"/>
      <c r="R527"/>
      <c r="S527"/>
      <c r="T527"/>
    </row>
    <row r="528" spans="1:20" x14ac:dyDescent="0.3">
      <c r="A528"/>
      <c r="B528"/>
      <c r="C528"/>
      <c r="D528"/>
      <c r="E528"/>
      <c r="F528"/>
      <c r="G528"/>
      <c r="H528"/>
      <c r="I528"/>
      <c r="J528"/>
      <c r="K528"/>
      <c r="L528"/>
      <c r="M528"/>
      <c r="N528"/>
      <c r="O528"/>
      <c r="P528"/>
      <c r="Q528"/>
      <c r="R528"/>
      <c r="S528"/>
      <c r="T528"/>
    </row>
    <row r="529" spans="1:20" x14ac:dyDescent="0.3">
      <c r="A529"/>
      <c r="B529"/>
      <c r="C529"/>
      <c r="D529"/>
      <c r="E529"/>
      <c r="F529"/>
      <c r="G529"/>
      <c r="H529"/>
      <c r="I529"/>
      <c r="J529"/>
      <c r="K529"/>
      <c r="L529"/>
      <c r="M529"/>
      <c r="N529"/>
      <c r="O529"/>
      <c r="P529"/>
      <c r="Q529"/>
      <c r="R529"/>
      <c r="S529"/>
      <c r="T529"/>
    </row>
    <row r="530" spans="1:20" x14ac:dyDescent="0.3">
      <c r="A530"/>
      <c r="B530"/>
      <c r="C530"/>
      <c r="D530"/>
      <c r="E530"/>
      <c r="F530"/>
      <c r="G530"/>
      <c r="H530"/>
      <c r="I530"/>
      <c r="J530"/>
      <c r="K530"/>
      <c r="L530"/>
      <c r="M530"/>
      <c r="N530"/>
      <c r="O530"/>
      <c r="P530"/>
      <c r="Q530"/>
      <c r="R530"/>
      <c r="S530"/>
      <c r="T530"/>
    </row>
    <row r="531" spans="1:20" x14ac:dyDescent="0.3">
      <c r="A531"/>
      <c r="B531"/>
      <c r="C531"/>
      <c r="D531"/>
      <c r="E531"/>
      <c r="F531"/>
      <c r="G531"/>
      <c r="H531"/>
      <c r="I531"/>
      <c r="J531"/>
      <c r="K531"/>
      <c r="L531"/>
      <c r="M531"/>
      <c r="N531"/>
      <c r="O531"/>
      <c r="P531"/>
      <c r="Q531"/>
      <c r="R531"/>
      <c r="S531"/>
      <c r="T531"/>
    </row>
    <row r="532" spans="1:20" x14ac:dyDescent="0.3">
      <c r="A532"/>
      <c r="B532"/>
      <c r="C532"/>
      <c r="D532"/>
      <c r="E532"/>
      <c r="F532"/>
      <c r="G532"/>
      <c r="H532"/>
      <c r="I532"/>
      <c r="J532"/>
      <c r="K532"/>
      <c r="L532"/>
      <c r="M532"/>
      <c r="N532"/>
      <c r="O532"/>
      <c r="P532"/>
      <c r="Q532"/>
      <c r="R532"/>
      <c r="S532"/>
      <c r="T532"/>
    </row>
    <row r="533" spans="1:20" x14ac:dyDescent="0.3">
      <c r="A533"/>
      <c r="B533"/>
      <c r="C533"/>
      <c r="D533"/>
      <c r="E533"/>
      <c r="F533"/>
      <c r="G533"/>
      <c r="H533"/>
      <c r="I533"/>
      <c r="J533"/>
      <c r="K533"/>
      <c r="L533"/>
      <c r="M533"/>
      <c r="N533"/>
      <c r="O533"/>
      <c r="P533"/>
      <c r="Q533"/>
      <c r="R533"/>
      <c r="S533"/>
      <c r="T533"/>
    </row>
    <row r="534" spans="1:20" x14ac:dyDescent="0.3">
      <c r="A534"/>
      <c r="B534"/>
      <c r="C534"/>
      <c r="D534"/>
      <c r="E534"/>
      <c r="F534"/>
      <c r="G534"/>
      <c r="H534"/>
      <c r="I534"/>
      <c r="J534"/>
      <c r="K534"/>
      <c r="L534"/>
      <c r="M534"/>
      <c r="N534"/>
      <c r="O534"/>
      <c r="P534"/>
      <c r="Q534"/>
      <c r="R534"/>
      <c r="S534"/>
      <c r="T534"/>
    </row>
    <row r="535" spans="1:20" x14ac:dyDescent="0.3">
      <c r="A535"/>
      <c r="B535"/>
      <c r="C535"/>
      <c r="D535"/>
      <c r="E535"/>
      <c r="F535"/>
      <c r="G535"/>
      <c r="H535"/>
      <c r="I535"/>
      <c r="J535"/>
      <c r="K535"/>
      <c r="L535"/>
      <c r="M535"/>
      <c r="N535"/>
      <c r="O535"/>
      <c r="P535"/>
      <c r="Q535"/>
      <c r="R535"/>
      <c r="S535"/>
      <c r="T535"/>
    </row>
    <row r="536" spans="1:20" x14ac:dyDescent="0.3">
      <c r="A536"/>
      <c r="B536"/>
      <c r="C536"/>
      <c r="D536"/>
      <c r="E536"/>
      <c r="F536"/>
      <c r="G536"/>
      <c r="H536"/>
      <c r="I536"/>
      <c r="J536"/>
      <c r="K536"/>
      <c r="L536"/>
      <c r="M536"/>
      <c r="N536"/>
      <c r="O536"/>
      <c r="P536"/>
      <c r="Q536"/>
      <c r="R536"/>
      <c r="S536"/>
      <c r="T536"/>
    </row>
    <row r="537" spans="1:20" x14ac:dyDescent="0.3">
      <c r="A537"/>
      <c r="B537"/>
      <c r="C537"/>
      <c r="D537"/>
      <c r="E537"/>
      <c r="F537"/>
      <c r="G537"/>
      <c r="H537"/>
      <c r="I537"/>
      <c r="J537"/>
      <c r="K537"/>
      <c r="L537"/>
      <c r="M537"/>
      <c r="N537"/>
      <c r="O537"/>
      <c r="P537"/>
      <c r="Q537"/>
      <c r="R537"/>
      <c r="S537"/>
      <c r="T537"/>
    </row>
    <row r="538" spans="1:20" x14ac:dyDescent="0.3">
      <c r="A538"/>
      <c r="B538"/>
      <c r="C538"/>
      <c r="D538"/>
      <c r="E538"/>
      <c r="F538"/>
      <c r="G538"/>
      <c r="H538"/>
      <c r="I538"/>
      <c r="J538"/>
      <c r="K538"/>
      <c r="L538"/>
      <c r="M538"/>
      <c r="N538"/>
      <c r="O538"/>
      <c r="P538"/>
      <c r="Q538"/>
      <c r="R538"/>
      <c r="S538"/>
      <c r="T538"/>
    </row>
    <row r="539" spans="1:20" x14ac:dyDescent="0.3">
      <c r="A539"/>
      <c r="B539"/>
      <c r="C539"/>
      <c r="D539"/>
      <c r="E539"/>
      <c r="F539"/>
      <c r="G539"/>
      <c r="H539"/>
      <c r="I539"/>
      <c r="J539"/>
      <c r="K539"/>
      <c r="L539"/>
      <c r="M539"/>
      <c r="N539"/>
      <c r="O539"/>
      <c r="P539"/>
      <c r="Q539"/>
      <c r="R539"/>
      <c r="S539"/>
      <c r="T539"/>
    </row>
    <row r="540" spans="1:20" x14ac:dyDescent="0.3">
      <c r="A540"/>
      <c r="B540"/>
      <c r="C540"/>
      <c r="D540"/>
      <c r="E540"/>
      <c r="F540"/>
      <c r="G540"/>
      <c r="H540"/>
      <c r="I540"/>
      <c r="J540"/>
      <c r="K540"/>
      <c r="L540"/>
      <c r="M540"/>
      <c r="N540"/>
      <c r="O540"/>
      <c r="P540"/>
      <c r="Q540"/>
      <c r="R540"/>
      <c r="S540"/>
      <c r="T540"/>
    </row>
    <row r="541" spans="1:20" x14ac:dyDescent="0.3">
      <c r="A541"/>
      <c r="B541"/>
      <c r="C541"/>
      <c r="D541"/>
      <c r="E541"/>
      <c r="F541"/>
      <c r="G541"/>
      <c r="H541"/>
      <c r="I541"/>
      <c r="J541"/>
      <c r="K541"/>
      <c r="L541"/>
      <c r="M541"/>
      <c r="N541"/>
      <c r="O541"/>
      <c r="P541"/>
      <c r="Q541"/>
      <c r="R541"/>
      <c r="S541"/>
      <c r="T541"/>
    </row>
    <row r="542" spans="1:20" x14ac:dyDescent="0.3">
      <c r="A542"/>
      <c r="B542"/>
      <c r="C542"/>
      <c r="D542"/>
      <c r="E542"/>
      <c r="F542"/>
      <c r="G542"/>
      <c r="H542"/>
      <c r="I542"/>
      <c r="J542"/>
      <c r="K542"/>
      <c r="L542"/>
      <c r="M542"/>
      <c r="N542"/>
      <c r="O542"/>
      <c r="P542"/>
      <c r="Q542"/>
      <c r="R542"/>
      <c r="S542"/>
      <c r="T542"/>
    </row>
    <row r="543" spans="1:20" x14ac:dyDescent="0.3">
      <c r="A543"/>
      <c r="B543"/>
      <c r="C543"/>
      <c r="D543"/>
      <c r="E543"/>
      <c r="F543"/>
      <c r="G543"/>
      <c r="H543"/>
      <c r="I543"/>
      <c r="J543"/>
      <c r="K543"/>
      <c r="L543"/>
      <c r="M543"/>
      <c r="N543"/>
      <c r="O543"/>
      <c r="P543"/>
      <c r="Q543"/>
      <c r="R543"/>
      <c r="S543"/>
      <c r="T543"/>
    </row>
    <row r="544" spans="1:20" x14ac:dyDescent="0.3">
      <c r="A544"/>
      <c r="B544"/>
      <c r="C544"/>
      <c r="D544"/>
      <c r="E544"/>
      <c r="F544"/>
      <c r="G544"/>
      <c r="H544"/>
      <c r="I544"/>
      <c r="J544"/>
      <c r="K544"/>
      <c r="L544"/>
      <c r="M544"/>
      <c r="N544"/>
      <c r="O544"/>
      <c r="P544"/>
      <c r="Q544"/>
      <c r="R544"/>
      <c r="S544"/>
      <c r="T544"/>
    </row>
    <row r="545" spans="1:20" x14ac:dyDescent="0.3">
      <c r="A545"/>
      <c r="B545"/>
      <c r="C545"/>
      <c r="D545"/>
      <c r="E545"/>
      <c r="F545"/>
      <c r="G545"/>
      <c r="H545"/>
      <c r="I545"/>
      <c r="J545"/>
      <c r="K545"/>
      <c r="L545"/>
      <c r="M545"/>
      <c r="N545"/>
      <c r="O545"/>
      <c r="P545"/>
      <c r="Q545"/>
      <c r="R545"/>
      <c r="S545"/>
      <c r="T545"/>
    </row>
    <row r="546" spans="1:20" x14ac:dyDescent="0.3">
      <c r="A546"/>
      <c r="B546"/>
      <c r="C546"/>
      <c r="D546"/>
      <c r="E546"/>
      <c r="F546"/>
      <c r="G546"/>
      <c r="H546"/>
      <c r="I546"/>
      <c r="J546"/>
      <c r="K546"/>
      <c r="L546"/>
      <c r="M546"/>
      <c r="N546"/>
      <c r="O546"/>
      <c r="P546"/>
      <c r="Q546"/>
      <c r="R546"/>
      <c r="S546"/>
      <c r="T546"/>
    </row>
    <row r="547" spans="1:20" x14ac:dyDescent="0.3">
      <c r="A547"/>
      <c r="B547"/>
      <c r="C547"/>
      <c r="D547"/>
      <c r="E547"/>
      <c r="F547"/>
      <c r="G547"/>
      <c r="H547"/>
      <c r="I547"/>
      <c r="J547"/>
      <c r="K547"/>
      <c r="L547"/>
      <c r="M547"/>
      <c r="N547"/>
      <c r="O547"/>
      <c r="P547"/>
      <c r="Q547"/>
      <c r="R547"/>
      <c r="S547"/>
      <c r="T547"/>
    </row>
    <row r="548" spans="1:20" x14ac:dyDescent="0.3">
      <c r="A548"/>
      <c r="B548"/>
      <c r="C548"/>
      <c r="D548"/>
      <c r="E548"/>
      <c r="F548"/>
      <c r="G548"/>
      <c r="H548"/>
      <c r="I548"/>
      <c r="J548"/>
      <c r="K548"/>
      <c r="L548"/>
      <c r="M548"/>
      <c r="N548"/>
      <c r="O548"/>
      <c r="P548"/>
      <c r="Q548"/>
      <c r="R548"/>
      <c r="S548"/>
      <c r="T548"/>
    </row>
    <row r="549" spans="1:20" x14ac:dyDescent="0.3">
      <c r="A549"/>
      <c r="B549"/>
      <c r="C549"/>
      <c r="D549"/>
      <c r="E549"/>
      <c r="F549"/>
      <c r="G549"/>
      <c r="H549"/>
      <c r="I549"/>
      <c r="J549"/>
      <c r="K549"/>
      <c r="L549"/>
      <c r="M549"/>
      <c r="N549"/>
      <c r="O549"/>
      <c r="P549"/>
      <c r="Q549"/>
      <c r="R549"/>
      <c r="S549"/>
      <c r="T549"/>
    </row>
    <row r="550" spans="1:20" x14ac:dyDescent="0.3">
      <c r="A550"/>
      <c r="B550"/>
      <c r="C550"/>
      <c r="D550"/>
      <c r="E550"/>
      <c r="F550"/>
      <c r="G550"/>
      <c r="H550"/>
      <c r="I550"/>
      <c r="J550"/>
      <c r="K550"/>
      <c r="L550"/>
      <c r="M550"/>
      <c r="N550"/>
      <c r="O550"/>
      <c r="P550"/>
      <c r="Q550"/>
      <c r="R550"/>
      <c r="S550"/>
      <c r="T550"/>
    </row>
    <row r="551" spans="1:20" x14ac:dyDescent="0.3">
      <c r="A551"/>
      <c r="B551"/>
      <c r="C551"/>
      <c r="D551"/>
      <c r="E551"/>
      <c r="F551"/>
      <c r="G551"/>
      <c r="H551"/>
      <c r="I551"/>
      <c r="J551"/>
      <c r="K551"/>
      <c r="L551"/>
      <c r="M551"/>
      <c r="N551"/>
      <c r="O551"/>
      <c r="P551"/>
      <c r="Q551"/>
      <c r="R551"/>
      <c r="S551"/>
      <c r="T551"/>
    </row>
    <row r="552" spans="1:20" x14ac:dyDescent="0.3">
      <c r="A552"/>
      <c r="B552"/>
      <c r="C552"/>
      <c r="D552"/>
      <c r="E552"/>
      <c r="F552"/>
      <c r="G552"/>
      <c r="H552"/>
      <c r="I552"/>
      <c r="J552"/>
      <c r="K552"/>
      <c r="L552"/>
      <c r="M552"/>
      <c r="N552"/>
      <c r="O552"/>
      <c r="P552"/>
      <c r="Q552"/>
      <c r="R552"/>
      <c r="S552"/>
      <c r="T552"/>
    </row>
    <row r="553" spans="1:20" x14ac:dyDescent="0.3">
      <c r="A553"/>
      <c r="B553"/>
      <c r="C553"/>
      <c r="D553"/>
      <c r="E553"/>
      <c r="F553"/>
      <c r="G553"/>
      <c r="H553"/>
      <c r="I553"/>
      <c r="J553"/>
      <c r="K553"/>
      <c r="L553"/>
      <c r="M553"/>
      <c r="N553"/>
      <c r="O553"/>
      <c r="P553"/>
      <c r="Q553"/>
      <c r="R553"/>
      <c r="S553"/>
      <c r="T553"/>
    </row>
    <row r="554" spans="1:20" x14ac:dyDescent="0.3">
      <c r="A554"/>
      <c r="B554"/>
      <c r="C554"/>
      <c r="D554"/>
      <c r="E554"/>
      <c r="F554"/>
      <c r="G554"/>
      <c r="H554"/>
      <c r="I554"/>
      <c r="J554"/>
      <c r="K554"/>
      <c r="L554"/>
      <c r="M554"/>
      <c r="N554"/>
      <c r="O554"/>
      <c r="P554"/>
      <c r="Q554"/>
      <c r="R554"/>
      <c r="S554"/>
      <c r="T554"/>
    </row>
    <row r="555" spans="1:20" x14ac:dyDescent="0.3">
      <c r="A555"/>
      <c r="B555"/>
      <c r="C555"/>
      <c r="D555"/>
      <c r="E555"/>
      <c r="F555"/>
      <c r="G555"/>
      <c r="H555"/>
      <c r="I555"/>
      <c r="J555"/>
      <c r="K555"/>
      <c r="L555"/>
      <c r="M555"/>
      <c r="N555"/>
      <c r="O555"/>
      <c r="P555"/>
      <c r="Q555"/>
      <c r="R555"/>
      <c r="S555"/>
      <c r="T555"/>
    </row>
    <row r="556" spans="1:20" x14ac:dyDescent="0.3">
      <c r="A556"/>
      <c r="B556"/>
      <c r="C556"/>
      <c r="D556"/>
      <c r="E556"/>
      <c r="F556"/>
      <c r="G556"/>
      <c r="H556"/>
      <c r="I556"/>
      <c r="J556"/>
      <c r="K556"/>
      <c r="L556"/>
      <c r="M556"/>
      <c r="N556"/>
      <c r="O556"/>
      <c r="P556"/>
      <c r="Q556"/>
      <c r="R556"/>
      <c r="S556"/>
      <c r="T556"/>
    </row>
    <row r="557" spans="1:20" x14ac:dyDescent="0.3">
      <c r="A557"/>
      <c r="B557"/>
      <c r="C557"/>
      <c r="D557"/>
      <c r="E557"/>
      <c r="F557"/>
      <c r="G557"/>
      <c r="H557"/>
      <c r="I557"/>
      <c r="J557"/>
      <c r="K557"/>
      <c r="L557"/>
      <c r="M557"/>
      <c r="N557"/>
      <c r="O557"/>
      <c r="P557"/>
      <c r="Q557"/>
      <c r="R557"/>
      <c r="S557"/>
      <c r="T557"/>
    </row>
    <row r="558" spans="1:20" x14ac:dyDescent="0.3">
      <c r="A558"/>
      <c r="B558"/>
      <c r="C558"/>
      <c r="D558"/>
      <c r="E558"/>
      <c r="F558"/>
      <c r="G558"/>
      <c r="H558"/>
      <c r="I558"/>
      <c r="J558"/>
      <c r="K558"/>
      <c r="L558"/>
      <c r="M558"/>
      <c r="N558"/>
      <c r="O558"/>
      <c r="P558"/>
      <c r="Q558"/>
      <c r="R558"/>
      <c r="S558"/>
      <c r="T558"/>
    </row>
    <row r="559" spans="1:20" x14ac:dyDescent="0.3">
      <c r="A559"/>
      <c r="B559"/>
      <c r="C559"/>
      <c r="D559"/>
      <c r="E559"/>
      <c r="F559"/>
      <c r="G559"/>
      <c r="H559"/>
      <c r="I559"/>
      <c r="J559"/>
      <c r="K559"/>
      <c r="L559"/>
      <c r="M559"/>
      <c r="N559"/>
      <c r="O559"/>
      <c r="P559"/>
      <c r="Q559"/>
      <c r="R559"/>
      <c r="S559"/>
      <c r="T559"/>
    </row>
    <row r="560" spans="1:20" x14ac:dyDescent="0.3">
      <c r="A560"/>
      <c r="B560"/>
      <c r="C560"/>
      <c r="D560"/>
      <c r="E560"/>
      <c r="F560"/>
      <c r="G560"/>
      <c r="H560"/>
      <c r="I560"/>
      <c r="J560"/>
      <c r="K560"/>
      <c r="L560"/>
      <c r="M560"/>
      <c r="N560"/>
      <c r="O560"/>
      <c r="P560"/>
      <c r="Q560"/>
      <c r="R560"/>
      <c r="S560"/>
      <c r="T560"/>
    </row>
    <row r="561" spans="1:20" x14ac:dyDescent="0.3">
      <c r="A561"/>
      <c r="B561"/>
      <c r="C561"/>
      <c r="D561"/>
      <c r="E561"/>
      <c r="F561"/>
      <c r="G561"/>
      <c r="H561"/>
      <c r="I561"/>
      <c r="J561"/>
      <c r="K561"/>
      <c r="L561"/>
      <c r="M561"/>
      <c r="N561"/>
      <c r="O561"/>
      <c r="P561"/>
      <c r="Q561"/>
      <c r="R561"/>
      <c r="S561"/>
      <c r="T561"/>
    </row>
    <row r="562" spans="1:20" x14ac:dyDescent="0.3">
      <c r="A562"/>
      <c r="B562"/>
      <c r="C562"/>
      <c r="D562"/>
      <c r="E562"/>
      <c r="F562"/>
      <c r="G562"/>
      <c r="H562"/>
      <c r="I562"/>
      <c r="J562"/>
      <c r="K562"/>
      <c r="L562"/>
      <c r="M562"/>
      <c r="N562"/>
      <c r="O562"/>
      <c r="P562"/>
      <c r="Q562"/>
      <c r="R562"/>
      <c r="S562"/>
      <c r="T562"/>
    </row>
    <row r="563" spans="1:20" x14ac:dyDescent="0.3">
      <c r="A563"/>
      <c r="B563"/>
      <c r="C563"/>
      <c r="D563"/>
      <c r="E563"/>
      <c r="F563"/>
      <c r="G563"/>
      <c r="H563"/>
      <c r="I563"/>
      <c r="J563"/>
      <c r="K563"/>
      <c r="L563"/>
      <c r="M563"/>
      <c r="N563"/>
      <c r="O563"/>
      <c r="P563"/>
      <c r="Q563"/>
      <c r="R563"/>
      <c r="S563"/>
      <c r="T563"/>
    </row>
    <row r="564" spans="1:20" x14ac:dyDescent="0.3">
      <c r="A564"/>
      <c r="B564"/>
      <c r="C564"/>
      <c r="D564"/>
      <c r="E564"/>
      <c r="F564"/>
      <c r="G564"/>
      <c r="H564"/>
      <c r="I564"/>
      <c r="J564"/>
      <c r="K564"/>
      <c r="L564"/>
      <c r="M564"/>
      <c r="N564"/>
      <c r="O564"/>
      <c r="P564"/>
      <c r="Q564"/>
      <c r="R564"/>
      <c r="S564"/>
      <c r="T564"/>
    </row>
    <row r="565" spans="1:20" x14ac:dyDescent="0.3">
      <c r="A565"/>
      <c r="B565"/>
      <c r="C565"/>
      <c r="D565"/>
      <c r="E565"/>
      <c r="F565"/>
      <c r="G565"/>
      <c r="H565"/>
      <c r="I565"/>
      <c r="J565"/>
      <c r="K565"/>
      <c r="L565"/>
      <c r="M565"/>
      <c r="N565"/>
      <c r="O565"/>
      <c r="P565"/>
      <c r="Q565"/>
      <c r="R565"/>
      <c r="S565"/>
      <c r="T565"/>
    </row>
    <row r="566" spans="1:20" x14ac:dyDescent="0.3">
      <c r="A566"/>
      <c r="B566"/>
      <c r="C566"/>
      <c r="D566"/>
      <c r="E566"/>
      <c r="F566"/>
      <c r="G566"/>
      <c r="H566"/>
      <c r="I566"/>
      <c r="J566"/>
      <c r="K566"/>
      <c r="L566"/>
      <c r="M566"/>
      <c r="N566"/>
      <c r="O566"/>
      <c r="P566"/>
      <c r="Q566"/>
      <c r="R566"/>
      <c r="S566"/>
      <c r="T566"/>
    </row>
    <row r="567" spans="1:20" x14ac:dyDescent="0.3">
      <c r="A567"/>
      <c r="B567"/>
      <c r="C567"/>
      <c r="D567"/>
      <c r="E567"/>
      <c r="F567"/>
      <c r="G567"/>
      <c r="H567"/>
      <c r="I567"/>
      <c r="J567"/>
      <c r="K567"/>
      <c r="L567"/>
      <c r="M567"/>
      <c r="N567"/>
      <c r="O567"/>
      <c r="P567"/>
      <c r="Q567"/>
      <c r="R567"/>
      <c r="S567"/>
      <c r="T567"/>
    </row>
    <row r="568" spans="1:20" x14ac:dyDescent="0.3">
      <c r="A568"/>
      <c r="B568"/>
      <c r="C568"/>
      <c r="D568"/>
      <c r="E568"/>
      <c r="F568"/>
      <c r="G568"/>
      <c r="H568"/>
      <c r="I568"/>
      <c r="J568"/>
      <c r="K568"/>
      <c r="L568"/>
      <c r="M568"/>
      <c r="N568"/>
      <c r="O568"/>
      <c r="P568"/>
      <c r="Q568"/>
      <c r="R568"/>
      <c r="S568"/>
      <c r="T568"/>
    </row>
    <row r="569" spans="1:20" x14ac:dyDescent="0.3">
      <c r="A569"/>
      <c r="B569"/>
      <c r="C569"/>
      <c r="D569"/>
      <c r="E569"/>
      <c r="F569"/>
      <c r="G569"/>
      <c r="H569"/>
      <c r="I569"/>
      <c r="J569"/>
      <c r="K569"/>
      <c r="L569"/>
      <c r="M569"/>
      <c r="N569"/>
      <c r="O569"/>
      <c r="P569"/>
      <c r="Q569"/>
      <c r="R569"/>
      <c r="S569"/>
      <c r="T569"/>
    </row>
    <row r="570" spans="1:20" x14ac:dyDescent="0.3">
      <c r="A570"/>
      <c r="B570"/>
      <c r="C570"/>
      <c r="D570"/>
      <c r="E570"/>
      <c r="F570"/>
      <c r="G570"/>
      <c r="H570"/>
      <c r="I570"/>
      <c r="J570"/>
      <c r="K570"/>
      <c r="L570"/>
      <c r="M570"/>
      <c r="N570"/>
      <c r="O570"/>
      <c r="P570"/>
      <c r="Q570"/>
      <c r="R570"/>
      <c r="S570"/>
      <c r="T570"/>
    </row>
    <row r="571" spans="1:20" x14ac:dyDescent="0.3">
      <c r="A571"/>
      <c r="B571"/>
      <c r="C571"/>
      <c r="D571"/>
      <c r="E571"/>
      <c r="F571"/>
      <c r="G571"/>
      <c r="H571"/>
      <c r="I571"/>
      <c r="J571"/>
      <c r="K571"/>
      <c r="L571"/>
      <c r="M571"/>
      <c r="N571"/>
      <c r="O571"/>
      <c r="P571"/>
      <c r="Q571"/>
      <c r="R571"/>
      <c r="S571"/>
      <c r="T571"/>
    </row>
    <row r="572" spans="1:20" x14ac:dyDescent="0.3">
      <c r="A572"/>
      <c r="B572"/>
      <c r="C572"/>
      <c r="D572"/>
      <c r="E572"/>
      <c r="F572"/>
      <c r="G572"/>
      <c r="H572"/>
      <c r="I572"/>
      <c r="J572"/>
      <c r="K572"/>
      <c r="L572"/>
      <c r="M572"/>
      <c r="N572"/>
      <c r="O572"/>
      <c r="P572"/>
      <c r="Q572"/>
      <c r="R572"/>
      <c r="S572"/>
      <c r="T572"/>
    </row>
    <row r="573" spans="1:20" x14ac:dyDescent="0.3">
      <c r="A573"/>
      <c r="B573"/>
      <c r="C573"/>
      <c r="D573"/>
      <c r="E573"/>
      <c r="F573"/>
      <c r="G573"/>
      <c r="H573"/>
      <c r="I573"/>
      <c r="J573"/>
      <c r="K573"/>
      <c r="L573"/>
      <c r="M573"/>
      <c r="N573"/>
      <c r="O573"/>
      <c r="P573"/>
      <c r="Q573"/>
      <c r="R573"/>
      <c r="S573"/>
      <c r="T573"/>
    </row>
    <row r="574" spans="1:20" x14ac:dyDescent="0.3">
      <c r="A574"/>
      <c r="B574"/>
      <c r="C574"/>
      <c r="D574"/>
      <c r="E574"/>
      <c r="F574"/>
      <c r="G574"/>
      <c r="H574"/>
      <c r="I574"/>
      <c r="J574"/>
      <c r="K574"/>
      <c r="L574"/>
      <c r="M574"/>
      <c r="N574"/>
      <c r="O574"/>
      <c r="P574"/>
      <c r="Q574"/>
      <c r="R574"/>
      <c r="S574"/>
      <c r="T574"/>
    </row>
    <row r="575" spans="1:20" x14ac:dyDescent="0.3">
      <c r="A575"/>
      <c r="B575"/>
      <c r="C575"/>
      <c r="D575"/>
      <c r="E575"/>
      <c r="F575"/>
      <c r="G575"/>
      <c r="H575"/>
      <c r="I575"/>
      <c r="J575"/>
      <c r="K575"/>
      <c r="L575"/>
      <c r="M575"/>
      <c r="N575"/>
      <c r="O575"/>
      <c r="P575"/>
      <c r="Q575"/>
      <c r="R575"/>
      <c r="S575"/>
      <c r="T575"/>
    </row>
    <row r="576" spans="1:20" x14ac:dyDescent="0.3">
      <c r="A576"/>
      <c r="B576"/>
      <c r="C576"/>
      <c r="D576"/>
      <c r="E576"/>
      <c r="F576"/>
      <c r="G576"/>
      <c r="H576"/>
      <c r="I576"/>
      <c r="J576"/>
      <c r="K576"/>
      <c r="L576"/>
      <c r="M576"/>
      <c r="N576"/>
      <c r="O576"/>
      <c r="P576"/>
      <c r="Q576"/>
      <c r="R576"/>
      <c r="S576"/>
      <c r="T576"/>
    </row>
    <row r="577" spans="1:20" x14ac:dyDescent="0.3">
      <c r="A577"/>
      <c r="B577"/>
      <c r="C577"/>
      <c r="D577"/>
      <c r="E577"/>
      <c r="F577"/>
      <c r="G577"/>
      <c r="H577"/>
      <c r="I577"/>
      <c r="J577"/>
      <c r="K577"/>
      <c r="L577"/>
      <c r="M577"/>
      <c r="N577"/>
      <c r="O577"/>
      <c r="P577"/>
      <c r="Q577"/>
      <c r="R577"/>
      <c r="S577"/>
      <c r="T577"/>
    </row>
    <row r="578" spans="1:20" x14ac:dyDescent="0.3">
      <c r="A578"/>
      <c r="B578"/>
      <c r="C578"/>
      <c r="D578"/>
      <c r="E578"/>
      <c r="F578"/>
      <c r="G578"/>
      <c r="H578"/>
      <c r="I578"/>
      <c r="J578"/>
      <c r="K578"/>
      <c r="L578"/>
      <c r="M578"/>
      <c r="N578"/>
      <c r="O578"/>
      <c r="P578"/>
      <c r="Q578"/>
      <c r="R578"/>
      <c r="S578"/>
      <c r="T578"/>
    </row>
    <row r="579" spans="1:20" x14ac:dyDescent="0.3">
      <c r="A579"/>
      <c r="B579"/>
      <c r="C579"/>
      <c r="D579"/>
      <c r="E579"/>
      <c r="F579"/>
      <c r="G579"/>
      <c r="H579"/>
      <c r="I579"/>
      <c r="J579"/>
      <c r="K579"/>
      <c r="L579"/>
      <c r="M579"/>
      <c r="N579"/>
      <c r="O579"/>
      <c r="P579"/>
      <c r="Q579"/>
      <c r="R579"/>
      <c r="S579"/>
      <c r="T579"/>
    </row>
    <row r="580" spans="1:20" x14ac:dyDescent="0.3">
      <c r="A580"/>
      <c r="B580"/>
      <c r="C580"/>
      <c r="D580"/>
      <c r="E580"/>
      <c r="F580"/>
      <c r="G580"/>
      <c r="H580"/>
      <c r="I580"/>
      <c r="J580"/>
      <c r="K580"/>
      <c r="L580"/>
      <c r="M580"/>
      <c r="N580"/>
      <c r="O580"/>
      <c r="P580"/>
      <c r="Q580"/>
      <c r="R580"/>
      <c r="S580"/>
      <c r="T580"/>
    </row>
    <row r="581" spans="1:20" x14ac:dyDescent="0.3">
      <c r="A581"/>
      <c r="B581"/>
      <c r="C581"/>
      <c r="D581"/>
      <c r="E581"/>
      <c r="F581"/>
      <c r="G581"/>
      <c r="H581"/>
      <c r="I581"/>
      <c r="J581"/>
      <c r="K581"/>
      <c r="L581"/>
      <c r="M581"/>
      <c r="N581"/>
      <c r="O581"/>
      <c r="P581"/>
      <c r="Q581"/>
      <c r="R581"/>
      <c r="S581"/>
      <c r="T581"/>
    </row>
    <row r="582" spans="1:20" x14ac:dyDescent="0.3">
      <c r="A582"/>
      <c r="B582"/>
      <c r="C582"/>
      <c r="D582"/>
      <c r="E582"/>
      <c r="F582"/>
      <c r="G582"/>
      <c r="H582"/>
      <c r="I582"/>
      <c r="J582"/>
      <c r="K582"/>
      <c r="L582"/>
      <c r="M582"/>
      <c r="N582"/>
      <c r="O582"/>
      <c r="P582"/>
      <c r="Q582"/>
      <c r="R582"/>
      <c r="S582"/>
      <c r="T582"/>
    </row>
    <row r="583" spans="1:20" x14ac:dyDescent="0.3">
      <c r="A583"/>
      <c r="B583"/>
      <c r="C583"/>
      <c r="D583"/>
      <c r="E583"/>
      <c r="F583"/>
      <c r="G583"/>
      <c r="H583"/>
      <c r="I583"/>
      <c r="J583"/>
      <c r="K583"/>
      <c r="L583"/>
      <c r="M583"/>
      <c r="N583"/>
      <c r="O583"/>
      <c r="P583"/>
      <c r="Q583"/>
      <c r="R583"/>
      <c r="S583"/>
      <c r="T583"/>
    </row>
    <row r="584" spans="1:20" x14ac:dyDescent="0.3">
      <c r="A584"/>
      <c r="B584"/>
      <c r="C584"/>
      <c r="D584"/>
      <c r="E584"/>
      <c r="F584"/>
      <c r="G584"/>
      <c r="H584"/>
      <c r="I584"/>
      <c r="J584"/>
      <c r="K584"/>
      <c r="L584"/>
      <c r="M584"/>
      <c r="N584"/>
      <c r="O584"/>
      <c r="P584"/>
      <c r="Q584"/>
      <c r="R584"/>
      <c r="S584"/>
      <c r="T584"/>
    </row>
    <row r="585" spans="1:20" x14ac:dyDescent="0.3">
      <c r="A585"/>
      <c r="B585"/>
      <c r="C585"/>
      <c r="D585"/>
      <c r="E585"/>
      <c r="F585"/>
      <c r="G585"/>
      <c r="H585"/>
      <c r="I585"/>
      <c r="J585"/>
      <c r="K585"/>
      <c r="L585"/>
      <c r="M585"/>
      <c r="N585"/>
      <c r="O585"/>
      <c r="P585"/>
      <c r="Q585"/>
      <c r="R585"/>
      <c r="S585"/>
      <c r="T585"/>
    </row>
    <row r="586" spans="1:20" x14ac:dyDescent="0.3">
      <c r="A586"/>
      <c r="B586"/>
      <c r="C586"/>
      <c r="D586"/>
      <c r="E586"/>
      <c r="F586"/>
      <c r="G586"/>
      <c r="H586"/>
      <c r="I586"/>
      <c r="J586"/>
      <c r="K586"/>
      <c r="L586"/>
      <c r="M586"/>
      <c r="N586"/>
      <c r="O586"/>
      <c r="P586"/>
      <c r="Q586"/>
      <c r="R586"/>
      <c r="S586"/>
      <c r="T586"/>
    </row>
    <row r="587" spans="1:20" x14ac:dyDescent="0.3">
      <c r="A587"/>
      <c r="B587"/>
      <c r="C587"/>
      <c r="D587"/>
      <c r="E587"/>
      <c r="F587"/>
      <c r="G587"/>
      <c r="H587"/>
      <c r="I587"/>
      <c r="J587"/>
      <c r="K587"/>
      <c r="L587"/>
      <c r="M587"/>
      <c r="N587"/>
      <c r="O587"/>
      <c r="P587"/>
      <c r="Q587"/>
      <c r="R587"/>
      <c r="S587"/>
      <c r="T587"/>
    </row>
    <row r="588" spans="1:20" x14ac:dyDescent="0.3">
      <c r="A588"/>
      <c r="B588"/>
      <c r="C588"/>
      <c r="D588"/>
      <c r="E588"/>
      <c r="F588"/>
      <c r="G588"/>
      <c r="H588"/>
      <c r="I588"/>
      <c r="J588"/>
      <c r="K588"/>
      <c r="L588"/>
      <c r="M588"/>
      <c r="N588"/>
      <c r="O588"/>
      <c r="P588"/>
      <c r="Q588"/>
      <c r="R588"/>
      <c r="S588"/>
      <c r="T588"/>
    </row>
    <row r="589" spans="1:20" x14ac:dyDescent="0.3">
      <c r="A589"/>
      <c r="B589"/>
      <c r="C589"/>
      <c r="D589"/>
      <c r="E589"/>
      <c r="F589"/>
      <c r="G589"/>
      <c r="H589"/>
      <c r="I589"/>
      <c r="J589"/>
      <c r="K589"/>
      <c r="L589"/>
      <c r="M589"/>
      <c r="N589"/>
      <c r="O589"/>
      <c r="P589"/>
      <c r="Q589"/>
      <c r="R589"/>
      <c r="S589"/>
      <c r="T589"/>
    </row>
    <row r="590" spans="1:20" x14ac:dyDescent="0.3">
      <c r="A590"/>
      <c r="B590"/>
      <c r="C590"/>
      <c r="D590"/>
      <c r="E590"/>
      <c r="F590"/>
      <c r="G590"/>
      <c r="H590"/>
      <c r="I590"/>
      <c r="J590"/>
      <c r="K590"/>
      <c r="L590"/>
      <c r="M590"/>
      <c r="N590"/>
      <c r="O590"/>
      <c r="P590"/>
      <c r="Q590"/>
      <c r="R590"/>
      <c r="S590"/>
      <c r="T590"/>
    </row>
    <row r="591" spans="1:20" x14ac:dyDescent="0.3">
      <c r="A591"/>
      <c r="B591"/>
      <c r="C591"/>
      <c r="D591"/>
      <c r="E591"/>
      <c r="F591"/>
      <c r="G591"/>
      <c r="H591"/>
      <c r="I591"/>
      <c r="J591"/>
      <c r="K591"/>
      <c r="L591"/>
      <c r="M591"/>
      <c r="N591"/>
      <c r="O591"/>
      <c r="P591"/>
      <c r="Q591"/>
      <c r="R591"/>
      <c r="S591"/>
      <c r="T591"/>
    </row>
    <row r="592" spans="1:20" x14ac:dyDescent="0.3">
      <c r="A592"/>
      <c r="B592"/>
      <c r="C592"/>
      <c r="D592"/>
      <c r="E592"/>
      <c r="F592"/>
      <c r="G592"/>
      <c r="H592"/>
      <c r="I592"/>
      <c r="J592"/>
      <c r="K592"/>
      <c r="L592"/>
      <c r="M592"/>
      <c r="N592"/>
      <c r="O592"/>
      <c r="P592"/>
      <c r="Q592"/>
      <c r="R592"/>
      <c r="S592"/>
      <c r="T592"/>
    </row>
    <row r="593" spans="1:20" x14ac:dyDescent="0.3">
      <c r="A593"/>
      <c r="B593"/>
      <c r="C593"/>
      <c r="D593"/>
      <c r="E593"/>
      <c r="F593"/>
      <c r="G593"/>
      <c r="H593"/>
      <c r="I593"/>
      <c r="J593"/>
      <c r="K593"/>
      <c r="L593"/>
      <c r="M593"/>
      <c r="N593"/>
      <c r="O593"/>
      <c r="P593"/>
      <c r="Q593"/>
      <c r="R593"/>
      <c r="S593"/>
      <c r="T593"/>
    </row>
    <row r="594" spans="1:20" x14ac:dyDescent="0.3">
      <c r="A594"/>
      <c r="B594"/>
      <c r="C594"/>
      <c r="D594"/>
      <c r="E594"/>
      <c r="F594"/>
      <c r="G594"/>
      <c r="H594"/>
      <c r="I594"/>
      <c r="J594"/>
      <c r="K594"/>
      <c r="L594"/>
      <c r="M594"/>
      <c r="N594"/>
      <c r="O594"/>
      <c r="P594"/>
      <c r="Q594"/>
      <c r="R594"/>
      <c r="S594"/>
      <c r="T594"/>
    </row>
    <row r="595" spans="1:20" x14ac:dyDescent="0.3">
      <c r="A595"/>
      <c r="B595"/>
      <c r="C595"/>
      <c r="D595"/>
      <c r="E595"/>
      <c r="F595"/>
      <c r="G595"/>
      <c r="H595"/>
      <c r="I595"/>
      <c r="J595"/>
      <c r="K595"/>
      <c r="L595"/>
      <c r="M595"/>
      <c r="N595"/>
      <c r="O595"/>
      <c r="P595"/>
      <c r="Q595"/>
      <c r="R595"/>
      <c r="S595"/>
      <c r="T595"/>
    </row>
    <row r="596" spans="1:20" x14ac:dyDescent="0.3">
      <c r="A596"/>
      <c r="B596"/>
      <c r="C596"/>
      <c r="D596"/>
      <c r="E596"/>
      <c r="F596"/>
      <c r="G596"/>
      <c r="H596"/>
      <c r="I596"/>
      <c r="J596"/>
      <c r="K596"/>
      <c r="L596"/>
      <c r="M596"/>
      <c r="N596"/>
      <c r="O596"/>
      <c r="P596"/>
      <c r="Q596"/>
      <c r="R596"/>
      <c r="S596"/>
      <c r="T596"/>
    </row>
    <row r="597" spans="1:20" x14ac:dyDescent="0.3">
      <c r="A597"/>
      <c r="B597"/>
      <c r="C597"/>
      <c r="D597"/>
      <c r="E597"/>
      <c r="F597"/>
      <c r="G597"/>
      <c r="H597"/>
      <c r="I597"/>
      <c r="J597"/>
      <c r="K597"/>
      <c r="L597"/>
      <c r="M597"/>
      <c r="N597"/>
      <c r="O597"/>
      <c r="P597"/>
      <c r="Q597"/>
      <c r="R597"/>
      <c r="S597"/>
      <c r="T597"/>
    </row>
    <row r="598" spans="1:20" x14ac:dyDescent="0.3">
      <c r="A598"/>
      <c r="B598"/>
      <c r="C598"/>
      <c r="D598"/>
      <c r="E598"/>
      <c r="F598"/>
      <c r="G598"/>
      <c r="H598"/>
      <c r="I598"/>
      <c r="J598"/>
      <c r="K598"/>
      <c r="L598"/>
      <c r="M598"/>
      <c r="N598"/>
      <c r="O598"/>
      <c r="P598"/>
      <c r="Q598"/>
      <c r="R598"/>
      <c r="S598"/>
      <c r="T598"/>
    </row>
    <row r="599" spans="1:20" x14ac:dyDescent="0.3">
      <c r="A599"/>
      <c r="B599"/>
      <c r="C599"/>
      <c r="D599"/>
      <c r="E599"/>
      <c r="F599"/>
      <c r="G599"/>
      <c r="H599"/>
      <c r="I599"/>
      <c r="J599"/>
      <c r="K599"/>
      <c r="L599"/>
      <c r="M599"/>
      <c r="N599"/>
      <c r="O599"/>
      <c r="P599"/>
      <c r="Q599"/>
      <c r="R599"/>
      <c r="S599"/>
      <c r="T599"/>
    </row>
    <row r="600" spans="1:20" x14ac:dyDescent="0.3">
      <c r="A600"/>
      <c r="B600"/>
      <c r="C600"/>
      <c r="D600"/>
      <c r="E600"/>
      <c r="F600"/>
      <c r="G600"/>
      <c r="H600"/>
      <c r="I600"/>
      <c r="J600"/>
      <c r="K600"/>
      <c r="L600"/>
      <c r="M600"/>
      <c r="N600"/>
      <c r="O600"/>
      <c r="P600"/>
      <c r="Q600"/>
      <c r="R600"/>
      <c r="S600"/>
      <c r="T600"/>
    </row>
    <row r="601" spans="1:20" x14ac:dyDescent="0.3">
      <c r="A601"/>
      <c r="B601"/>
      <c r="C601"/>
      <c r="D601"/>
      <c r="E601"/>
      <c r="F601"/>
      <c r="G601"/>
      <c r="H601"/>
      <c r="I601"/>
      <c r="J601"/>
      <c r="K601"/>
      <c r="L601"/>
      <c r="M601"/>
      <c r="N601"/>
      <c r="O601"/>
      <c r="P601"/>
      <c r="Q601"/>
      <c r="R601"/>
      <c r="S601"/>
      <c r="T601"/>
    </row>
    <row r="602" spans="1:20" x14ac:dyDescent="0.3">
      <c r="A602"/>
      <c r="B602"/>
      <c r="C602"/>
      <c r="D602"/>
      <c r="E602"/>
      <c r="F602"/>
      <c r="G602"/>
      <c r="H602"/>
      <c r="I602"/>
      <c r="J602"/>
      <c r="K602"/>
      <c r="L602"/>
      <c r="M602"/>
      <c r="N602"/>
      <c r="O602"/>
      <c r="P602"/>
      <c r="Q602"/>
      <c r="R602"/>
      <c r="S602"/>
      <c r="T602"/>
    </row>
    <row r="603" spans="1:20" x14ac:dyDescent="0.3">
      <c r="A603"/>
      <c r="B603"/>
      <c r="C603"/>
      <c r="D603"/>
      <c r="E603"/>
      <c r="F603"/>
      <c r="G603"/>
      <c r="H603"/>
      <c r="I603"/>
      <c r="J603"/>
      <c r="K603"/>
      <c r="L603"/>
      <c r="M603"/>
      <c r="N603"/>
      <c r="O603"/>
      <c r="P603"/>
      <c r="Q603"/>
      <c r="R603"/>
      <c r="S603"/>
      <c r="T603"/>
    </row>
    <row r="604" spans="1:20" x14ac:dyDescent="0.3">
      <c r="A604"/>
      <c r="B604"/>
      <c r="C604"/>
      <c r="D604"/>
      <c r="E604"/>
      <c r="F604"/>
      <c r="G604"/>
      <c r="H604"/>
      <c r="I604"/>
      <c r="J604"/>
      <c r="K604"/>
      <c r="L604"/>
      <c r="M604"/>
      <c r="N604"/>
      <c r="O604"/>
      <c r="P604"/>
      <c r="Q604"/>
      <c r="R604"/>
      <c r="S604"/>
      <c r="T604"/>
    </row>
    <row r="605" spans="1:20" x14ac:dyDescent="0.3">
      <c r="A605"/>
      <c r="B605"/>
      <c r="C605"/>
      <c r="D605"/>
      <c r="E605"/>
      <c r="F605"/>
      <c r="G605"/>
      <c r="H605"/>
      <c r="I605"/>
      <c r="J605"/>
      <c r="K605"/>
      <c r="L605"/>
      <c r="M605"/>
      <c r="N605"/>
      <c r="O605"/>
      <c r="P605"/>
      <c r="Q605"/>
      <c r="R605"/>
      <c r="S605"/>
      <c r="T605"/>
    </row>
    <row r="606" spans="1:20" x14ac:dyDescent="0.3">
      <c r="A606"/>
      <c r="B606"/>
      <c r="C606"/>
      <c r="D606"/>
      <c r="E606"/>
      <c r="F606"/>
      <c r="G606"/>
      <c r="H606"/>
      <c r="I606"/>
      <c r="J606"/>
      <c r="K606"/>
      <c r="L606"/>
      <c r="M606"/>
      <c r="N606"/>
      <c r="O606"/>
      <c r="P606"/>
      <c r="Q606"/>
      <c r="R606"/>
      <c r="S606"/>
      <c r="T606"/>
    </row>
    <row r="607" spans="1:20" x14ac:dyDescent="0.3">
      <c r="A607"/>
      <c r="B607"/>
      <c r="C607"/>
      <c r="D607"/>
      <c r="E607"/>
      <c r="F607"/>
      <c r="G607"/>
      <c r="H607"/>
      <c r="I607"/>
      <c r="J607"/>
      <c r="K607"/>
      <c r="L607"/>
      <c r="M607"/>
      <c r="N607"/>
      <c r="O607"/>
      <c r="P607"/>
      <c r="Q607"/>
      <c r="R607"/>
      <c r="S607"/>
      <c r="T607"/>
    </row>
    <row r="608" spans="1:20" x14ac:dyDescent="0.3">
      <c r="A608"/>
      <c r="B608"/>
      <c r="C608"/>
      <c r="D608"/>
      <c r="E608"/>
      <c r="F608"/>
      <c r="G608"/>
      <c r="H608"/>
      <c r="I608"/>
      <c r="J608"/>
      <c r="K608"/>
      <c r="L608"/>
      <c r="M608"/>
      <c r="N608"/>
      <c r="O608"/>
      <c r="P608"/>
      <c r="Q608"/>
      <c r="R608"/>
      <c r="S608"/>
      <c r="T608"/>
    </row>
    <row r="609" spans="1:20" x14ac:dyDescent="0.3">
      <c r="A609"/>
      <c r="B609"/>
      <c r="C609"/>
      <c r="D609"/>
      <c r="E609"/>
      <c r="F609"/>
      <c r="G609"/>
      <c r="H609"/>
      <c r="I609"/>
      <c r="J609"/>
      <c r="K609"/>
      <c r="L609"/>
      <c r="M609"/>
      <c r="N609"/>
      <c r="O609"/>
      <c r="P609"/>
      <c r="Q609"/>
      <c r="R609"/>
      <c r="S609"/>
      <c r="T609"/>
    </row>
    <row r="610" spans="1:20" x14ac:dyDescent="0.3">
      <c r="A610"/>
      <c r="B610"/>
      <c r="C610"/>
      <c r="D610"/>
      <c r="E610"/>
      <c r="F610"/>
      <c r="G610"/>
      <c r="H610"/>
      <c r="I610"/>
      <c r="J610"/>
      <c r="K610"/>
      <c r="L610"/>
      <c r="M610"/>
      <c r="N610"/>
      <c r="O610"/>
      <c r="P610"/>
      <c r="Q610"/>
      <c r="R610"/>
      <c r="S610"/>
      <c r="T610"/>
    </row>
    <row r="611" spans="1:20" x14ac:dyDescent="0.3">
      <c r="A611"/>
      <c r="B611"/>
      <c r="C611"/>
      <c r="D611"/>
      <c r="E611"/>
      <c r="F611"/>
      <c r="G611"/>
      <c r="H611"/>
      <c r="I611"/>
      <c r="J611"/>
      <c r="K611"/>
      <c r="L611"/>
      <c r="M611"/>
      <c r="N611"/>
      <c r="O611"/>
      <c r="P611"/>
      <c r="Q611"/>
      <c r="R611"/>
      <c r="S611"/>
      <c r="T611"/>
    </row>
    <row r="612" spans="1:20" x14ac:dyDescent="0.3">
      <c r="A612"/>
      <c r="B612"/>
      <c r="C612"/>
      <c r="D612"/>
      <c r="E612"/>
      <c r="F612"/>
      <c r="G612"/>
      <c r="H612"/>
      <c r="I612"/>
      <c r="J612"/>
      <c r="K612"/>
      <c r="L612"/>
      <c r="M612"/>
      <c r="N612"/>
      <c r="O612"/>
      <c r="P612"/>
      <c r="Q612"/>
      <c r="R612"/>
      <c r="S612"/>
      <c r="T612"/>
    </row>
    <row r="613" spans="1:20" x14ac:dyDescent="0.3">
      <c r="A613"/>
      <c r="B613"/>
      <c r="C613"/>
      <c r="D613"/>
      <c r="E613"/>
      <c r="F613"/>
      <c r="G613"/>
      <c r="H613"/>
      <c r="I613"/>
      <c r="J613"/>
      <c r="K613"/>
      <c r="L613"/>
      <c r="M613"/>
      <c r="N613"/>
      <c r="O613"/>
      <c r="P613"/>
      <c r="Q613"/>
      <c r="R613"/>
      <c r="S613"/>
      <c r="T613"/>
    </row>
    <row r="614" spans="1:20" x14ac:dyDescent="0.3">
      <c r="A614"/>
      <c r="B614"/>
      <c r="C614"/>
      <c r="D614"/>
      <c r="E614"/>
      <c r="F614"/>
      <c r="G614"/>
      <c r="H614"/>
      <c r="I614"/>
      <c r="J614"/>
      <c r="K614"/>
      <c r="L614"/>
      <c r="M614"/>
      <c r="N614"/>
      <c r="O614"/>
      <c r="P614"/>
      <c r="Q614"/>
      <c r="R614"/>
      <c r="S614"/>
      <c r="T614"/>
    </row>
    <row r="615" spans="1:20" x14ac:dyDescent="0.3">
      <c r="A615"/>
      <c r="B615"/>
      <c r="C615"/>
      <c r="D615"/>
      <c r="E615"/>
      <c r="F615"/>
      <c r="G615"/>
      <c r="H615"/>
      <c r="I615"/>
      <c r="J615"/>
      <c r="K615"/>
      <c r="L615"/>
      <c r="M615"/>
      <c r="N615"/>
      <c r="O615"/>
      <c r="P615"/>
      <c r="Q615"/>
      <c r="R615"/>
      <c r="S615"/>
      <c r="T615"/>
    </row>
    <row r="616" spans="1:20" x14ac:dyDescent="0.3">
      <c r="A616"/>
      <c r="B616"/>
      <c r="C616"/>
      <c r="D616"/>
      <c r="E616"/>
      <c r="F616"/>
      <c r="G616"/>
      <c r="H616"/>
      <c r="I616"/>
      <c r="J616"/>
      <c r="K616"/>
      <c r="L616"/>
      <c r="M616"/>
      <c r="N616"/>
      <c r="O616"/>
      <c r="P616"/>
      <c r="Q616"/>
      <c r="R616"/>
      <c r="S616"/>
      <c r="T616"/>
    </row>
    <row r="617" spans="1:20" x14ac:dyDescent="0.3">
      <c r="A617"/>
      <c r="B617"/>
      <c r="C617"/>
      <c r="D617"/>
      <c r="E617"/>
      <c r="F617"/>
      <c r="G617"/>
      <c r="H617"/>
      <c r="I617"/>
      <c r="J617"/>
      <c r="K617"/>
      <c r="L617"/>
      <c r="M617"/>
      <c r="N617"/>
      <c r="O617"/>
      <c r="P617"/>
      <c r="Q617"/>
      <c r="R617"/>
      <c r="S617"/>
      <c r="T617"/>
    </row>
    <row r="618" spans="1:20" x14ac:dyDescent="0.3">
      <c r="A618"/>
      <c r="B618"/>
      <c r="C618"/>
      <c r="D618"/>
      <c r="E618"/>
      <c r="F618"/>
      <c r="G618"/>
      <c r="H618"/>
      <c r="I618"/>
      <c r="J618"/>
      <c r="K618"/>
      <c r="L618"/>
      <c r="M618"/>
      <c r="N618"/>
      <c r="O618"/>
      <c r="P618"/>
      <c r="Q618"/>
      <c r="R618"/>
      <c r="S618"/>
      <c r="T618"/>
    </row>
    <row r="619" spans="1:20" x14ac:dyDescent="0.3">
      <c r="A619"/>
      <c r="B619"/>
      <c r="C619"/>
      <c r="D619"/>
      <c r="E619"/>
      <c r="F619"/>
      <c r="G619"/>
      <c r="H619"/>
      <c r="I619"/>
      <c r="J619"/>
      <c r="K619"/>
      <c r="L619"/>
      <c r="M619"/>
      <c r="N619"/>
      <c r="O619"/>
      <c r="P619"/>
      <c r="Q619"/>
      <c r="R619"/>
      <c r="S619"/>
      <c r="T619"/>
    </row>
    <row r="620" spans="1:20" x14ac:dyDescent="0.3">
      <c r="A620"/>
      <c r="B620"/>
      <c r="C620"/>
      <c r="D620"/>
      <c r="E620"/>
      <c r="F620"/>
      <c r="G620"/>
      <c r="H620"/>
      <c r="I620"/>
      <c r="J620"/>
      <c r="K620"/>
      <c r="L620"/>
      <c r="M620"/>
      <c r="N620"/>
      <c r="O620"/>
      <c r="P620"/>
      <c r="Q620"/>
      <c r="R620"/>
      <c r="S620"/>
      <c r="T620"/>
    </row>
    <row r="621" spans="1:20" x14ac:dyDescent="0.3">
      <c r="A621"/>
      <c r="B621"/>
      <c r="C621"/>
      <c r="D621"/>
      <c r="E621"/>
      <c r="F621"/>
      <c r="G621"/>
      <c r="H621"/>
      <c r="I621"/>
      <c r="J621"/>
      <c r="K621"/>
      <c r="L621"/>
      <c r="M621"/>
      <c r="N621"/>
      <c r="O621"/>
      <c r="P621"/>
      <c r="Q621"/>
      <c r="R621"/>
      <c r="S621"/>
      <c r="T621"/>
    </row>
    <row r="622" spans="1:20" x14ac:dyDescent="0.3">
      <c r="A622"/>
      <c r="B622"/>
      <c r="C622"/>
      <c r="D622"/>
      <c r="E622"/>
      <c r="F622"/>
      <c r="G622"/>
      <c r="H622"/>
      <c r="I622"/>
      <c r="J622"/>
      <c r="K622"/>
      <c r="L622"/>
      <c r="M622"/>
      <c r="N622"/>
      <c r="O622"/>
      <c r="P622"/>
      <c r="Q622"/>
      <c r="R622"/>
      <c r="S622"/>
      <c r="T622"/>
    </row>
    <row r="623" spans="1:20" x14ac:dyDescent="0.3">
      <c r="A623"/>
      <c r="B623"/>
      <c r="C623"/>
      <c r="D623"/>
      <c r="E623"/>
      <c r="F623"/>
      <c r="G623"/>
      <c r="H623"/>
      <c r="I623"/>
      <c r="J623"/>
      <c r="K623"/>
      <c r="L623"/>
      <c r="M623"/>
      <c r="N623"/>
      <c r="O623"/>
      <c r="P623"/>
      <c r="Q623"/>
      <c r="R623"/>
      <c r="S623"/>
      <c r="T623"/>
    </row>
    <row r="624" spans="1:20" x14ac:dyDescent="0.3">
      <c r="A624"/>
      <c r="B624"/>
      <c r="C624"/>
      <c r="D624"/>
      <c r="E624"/>
      <c r="F624"/>
      <c r="G624"/>
      <c r="H624"/>
      <c r="I624"/>
      <c r="J624"/>
      <c r="K624"/>
      <c r="L624"/>
      <c r="M624"/>
      <c r="N624"/>
      <c r="O624"/>
      <c r="P624"/>
      <c r="Q624"/>
      <c r="R624"/>
      <c r="S624"/>
      <c r="T624"/>
    </row>
    <row r="625" spans="1:20" x14ac:dyDescent="0.3">
      <c r="A625"/>
      <c r="B625"/>
      <c r="C625"/>
      <c r="D625"/>
      <c r="E625"/>
      <c r="F625"/>
      <c r="G625"/>
      <c r="H625"/>
      <c r="I625"/>
      <c r="J625"/>
      <c r="K625"/>
      <c r="L625"/>
      <c r="M625"/>
      <c r="N625"/>
      <c r="O625"/>
      <c r="P625"/>
      <c r="Q625"/>
      <c r="R625"/>
      <c r="S625"/>
      <c r="T625"/>
    </row>
    <row r="626" spans="1:20" x14ac:dyDescent="0.3">
      <c r="A626"/>
      <c r="B626"/>
      <c r="C626"/>
      <c r="D626"/>
      <c r="E626"/>
      <c r="F626"/>
      <c r="G626"/>
      <c r="H626"/>
      <c r="I626"/>
      <c r="J626"/>
      <c r="K626"/>
      <c r="L626"/>
      <c r="M626"/>
      <c r="N626"/>
      <c r="O626"/>
      <c r="P626"/>
      <c r="Q626"/>
      <c r="R626"/>
      <c r="S626"/>
      <c r="T626"/>
    </row>
    <row r="627" spans="1:20" x14ac:dyDescent="0.3">
      <c r="A627"/>
      <c r="B627"/>
      <c r="C627"/>
      <c r="D627"/>
      <c r="E627"/>
      <c r="F627"/>
      <c r="G627"/>
      <c r="H627"/>
      <c r="I627"/>
      <c r="J627"/>
      <c r="K627"/>
      <c r="L627"/>
      <c r="M627"/>
      <c r="N627"/>
      <c r="O627"/>
      <c r="P627"/>
      <c r="Q627"/>
      <c r="R627"/>
      <c r="S627"/>
      <c r="T627"/>
    </row>
    <row r="628" spans="1:20" x14ac:dyDescent="0.3">
      <c r="A628"/>
      <c r="B628"/>
      <c r="C628"/>
      <c r="D628"/>
      <c r="E628"/>
      <c r="F628"/>
      <c r="G628"/>
      <c r="H628"/>
      <c r="I628"/>
      <c r="J628"/>
      <c r="K628"/>
      <c r="L628"/>
      <c r="M628"/>
      <c r="N628"/>
      <c r="O628"/>
      <c r="P628"/>
      <c r="Q628"/>
      <c r="R628"/>
      <c r="S628"/>
      <c r="T628"/>
    </row>
    <row r="629" spans="1:20" x14ac:dyDescent="0.3">
      <c r="A629"/>
      <c r="B629"/>
      <c r="C629"/>
      <c r="D629"/>
      <c r="E629"/>
      <c r="F629"/>
      <c r="G629"/>
      <c r="H629"/>
      <c r="I629"/>
      <c r="J629"/>
      <c r="K629"/>
      <c r="L629"/>
      <c r="M629"/>
      <c r="N629"/>
      <c r="O629"/>
      <c r="P629"/>
      <c r="Q629"/>
      <c r="R629"/>
      <c r="S629"/>
      <c r="T629"/>
    </row>
    <row r="630" spans="1:20" x14ac:dyDescent="0.3">
      <c r="A630"/>
      <c r="B630"/>
      <c r="C630"/>
      <c r="D630"/>
      <c r="E630"/>
      <c r="F630"/>
      <c r="G630"/>
      <c r="H630"/>
      <c r="I630"/>
      <c r="J630"/>
      <c r="K630"/>
      <c r="L630"/>
      <c r="M630"/>
      <c r="N630"/>
      <c r="O630"/>
      <c r="P630"/>
      <c r="Q630"/>
      <c r="R630"/>
      <c r="S630"/>
      <c r="T630"/>
    </row>
    <row r="631" spans="1:20" x14ac:dyDescent="0.3">
      <c r="A631"/>
      <c r="B631"/>
      <c r="C631"/>
      <c r="D631"/>
      <c r="E631"/>
      <c r="F631"/>
      <c r="G631"/>
      <c r="H631"/>
      <c r="I631"/>
      <c r="J631"/>
      <c r="K631"/>
      <c r="L631"/>
      <c r="M631"/>
      <c r="N631"/>
      <c r="O631"/>
      <c r="P631"/>
      <c r="Q631"/>
      <c r="R631"/>
      <c r="S631"/>
      <c r="T631"/>
    </row>
    <row r="632" spans="1:20" x14ac:dyDescent="0.3">
      <c r="A632"/>
      <c r="B632"/>
      <c r="C632"/>
      <c r="D632"/>
      <c r="E632"/>
      <c r="F632"/>
      <c r="G632"/>
      <c r="H632"/>
      <c r="I632"/>
      <c r="J632"/>
      <c r="K632"/>
      <c r="L632"/>
      <c r="M632"/>
      <c r="N632"/>
      <c r="O632"/>
      <c r="P632"/>
      <c r="Q632"/>
      <c r="R632"/>
      <c r="S632"/>
      <c r="T632"/>
    </row>
    <row r="633" spans="1:20" x14ac:dyDescent="0.3">
      <c r="A633"/>
      <c r="B633"/>
      <c r="C633"/>
      <c r="D633"/>
      <c r="E633"/>
      <c r="F633"/>
      <c r="G633"/>
      <c r="H633"/>
      <c r="I633"/>
      <c r="J633"/>
      <c r="K633"/>
      <c r="L633"/>
      <c r="M633"/>
      <c r="N633"/>
      <c r="O633"/>
      <c r="P633"/>
      <c r="Q633"/>
      <c r="R633"/>
      <c r="S633"/>
      <c r="T633"/>
    </row>
    <row r="634" spans="1:20" x14ac:dyDescent="0.3">
      <c r="A634"/>
      <c r="B634"/>
      <c r="C634"/>
      <c r="D634"/>
      <c r="E634"/>
      <c r="F634"/>
      <c r="G634"/>
      <c r="H634"/>
      <c r="I634"/>
      <c r="J634"/>
      <c r="K634"/>
      <c r="L634"/>
      <c r="M634"/>
      <c r="N634"/>
      <c r="O634"/>
      <c r="P634"/>
      <c r="Q634"/>
      <c r="R634"/>
      <c r="S634"/>
      <c r="T634"/>
    </row>
    <row r="635" spans="1:20" x14ac:dyDescent="0.3">
      <c r="A635"/>
      <c r="B635"/>
      <c r="C635"/>
      <c r="D635"/>
      <c r="E635"/>
      <c r="F635"/>
      <c r="G635"/>
      <c r="H635"/>
      <c r="I635"/>
      <c r="J635"/>
      <c r="K635"/>
      <c r="L635"/>
      <c r="M635"/>
      <c r="N635"/>
      <c r="O635"/>
      <c r="P635"/>
      <c r="Q635"/>
      <c r="R635"/>
      <c r="S635"/>
      <c r="T635"/>
    </row>
    <row r="636" spans="1:20" x14ac:dyDescent="0.3">
      <c r="A636"/>
      <c r="B636"/>
      <c r="C636"/>
      <c r="D636"/>
      <c r="E636"/>
      <c r="F636"/>
      <c r="G636"/>
      <c r="H636"/>
      <c r="I636"/>
      <c r="J636"/>
      <c r="K636"/>
      <c r="L636"/>
      <c r="M636"/>
      <c r="N636"/>
      <c r="O636"/>
      <c r="P636"/>
      <c r="Q636"/>
      <c r="R636"/>
      <c r="S636"/>
      <c r="T636"/>
    </row>
    <row r="637" spans="1:20" x14ac:dyDescent="0.3">
      <c r="A637"/>
      <c r="B637"/>
      <c r="C637"/>
      <c r="D637"/>
      <c r="E637"/>
      <c r="F637"/>
      <c r="G637"/>
      <c r="H637"/>
      <c r="I637"/>
      <c r="J637"/>
      <c r="K637"/>
      <c r="L637"/>
      <c r="M637"/>
      <c r="N637"/>
      <c r="O637"/>
      <c r="P637"/>
      <c r="Q637"/>
      <c r="R637"/>
      <c r="S637"/>
      <c r="T637"/>
    </row>
    <row r="638" spans="1:20" x14ac:dyDescent="0.3">
      <c r="A638"/>
      <c r="B638"/>
      <c r="C638"/>
      <c r="D638"/>
      <c r="E638"/>
      <c r="F638"/>
      <c r="G638"/>
      <c r="H638"/>
      <c r="I638"/>
      <c r="J638"/>
      <c r="K638"/>
      <c r="L638"/>
      <c r="M638"/>
      <c r="N638"/>
      <c r="O638"/>
      <c r="P638"/>
      <c r="Q638"/>
      <c r="R638"/>
      <c r="S638"/>
      <c r="T638"/>
    </row>
    <row r="639" spans="1:20" x14ac:dyDescent="0.3">
      <c r="A639"/>
      <c r="B639"/>
      <c r="C639"/>
      <c r="D639"/>
      <c r="E639"/>
      <c r="F639"/>
      <c r="G639"/>
      <c r="H639"/>
      <c r="I639"/>
      <c r="J639"/>
      <c r="K639"/>
      <c r="L639"/>
      <c r="M639"/>
      <c r="N639"/>
      <c r="O639"/>
      <c r="P639"/>
      <c r="Q639"/>
      <c r="R639"/>
      <c r="S639"/>
      <c r="T639"/>
    </row>
    <row r="640" spans="1:20" x14ac:dyDescent="0.3">
      <c r="A640"/>
      <c r="B640"/>
      <c r="C640"/>
      <c r="D640"/>
      <c r="E640"/>
      <c r="F640"/>
      <c r="G640"/>
      <c r="H640"/>
      <c r="I640"/>
      <c r="J640"/>
      <c r="K640"/>
      <c r="L640"/>
      <c r="M640"/>
      <c r="N640"/>
      <c r="O640"/>
      <c r="P640"/>
      <c r="Q640"/>
      <c r="R640"/>
      <c r="S640"/>
      <c r="T640"/>
    </row>
    <row r="641" spans="1:20" x14ac:dyDescent="0.3">
      <c r="A641"/>
      <c r="B641"/>
      <c r="C641"/>
      <c r="D641"/>
      <c r="E641"/>
      <c r="F641"/>
      <c r="G641"/>
      <c r="H641"/>
      <c r="I641"/>
      <c r="J641"/>
      <c r="K641"/>
      <c r="L641"/>
      <c r="M641"/>
      <c r="N641"/>
      <c r="O641"/>
      <c r="P641"/>
      <c r="Q641"/>
      <c r="R641"/>
      <c r="S641"/>
      <c r="T641"/>
    </row>
    <row r="642" spans="1:20" x14ac:dyDescent="0.3">
      <c r="A642"/>
      <c r="B642"/>
      <c r="C642"/>
      <c r="D642"/>
      <c r="E642"/>
      <c r="F642"/>
      <c r="G642"/>
      <c r="H642"/>
      <c r="I642"/>
      <c r="J642"/>
      <c r="K642"/>
      <c r="L642"/>
      <c r="M642"/>
      <c r="N642"/>
      <c r="O642"/>
      <c r="P642"/>
      <c r="Q642"/>
      <c r="R642"/>
      <c r="S642"/>
      <c r="T642"/>
    </row>
    <row r="643" spans="1:20" x14ac:dyDescent="0.3">
      <c r="A643"/>
      <c r="B643"/>
      <c r="C643"/>
      <c r="D643"/>
      <c r="E643"/>
      <c r="F643"/>
      <c r="G643"/>
      <c r="H643"/>
      <c r="I643"/>
      <c r="J643"/>
      <c r="K643"/>
      <c r="L643"/>
      <c r="M643"/>
      <c r="N643"/>
      <c r="O643"/>
      <c r="P643"/>
      <c r="Q643"/>
      <c r="R643"/>
      <c r="S643"/>
      <c r="T643"/>
    </row>
    <row r="644" spans="1:20" x14ac:dyDescent="0.3">
      <c r="A644"/>
      <c r="B644"/>
      <c r="C644"/>
      <c r="D644"/>
      <c r="E644"/>
      <c r="F644"/>
      <c r="G644"/>
      <c r="H644"/>
      <c r="I644"/>
      <c r="J644"/>
      <c r="K644"/>
      <c r="L644"/>
      <c r="M644"/>
      <c r="N644"/>
      <c r="O644"/>
      <c r="P644"/>
      <c r="Q644"/>
      <c r="R644"/>
      <c r="S644"/>
      <c r="T644"/>
    </row>
    <row r="645" spans="1:20" x14ac:dyDescent="0.3">
      <c r="A645"/>
      <c r="B645"/>
      <c r="C645"/>
      <c r="D645"/>
      <c r="E645"/>
      <c r="F645"/>
      <c r="G645"/>
      <c r="H645"/>
      <c r="I645"/>
      <c r="J645"/>
      <c r="K645"/>
      <c r="L645"/>
      <c r="M645"/>
      <c r="N645"/>
      <c r="O645"/>
      <c r="P645"/>
      <c r="Q645"/>
      <c r="R645"/>
      <c r="S645"/>
      <c r="T645"/>
    </row>
    <row r="646" spans="1:20" x14ac:dyDescent="0.3">
      <c r="A646"/>
      <c r="B646"/>
      <c r="C646"/>
      <c r="D646"/>
      <c r="E646"/>
      <c r="F646"/>
      <c r="G646"/>
      <c r="H646"/>
      <c r="I646"/>
      <c r="J646"/>
      <c r="K646"/>
      <c r="L646"/>
      <c r="M646"/>
      <c r="N646"/>
      <c r="O646"/>
      <c r="P646"/>
      <c r="Q646"/>
      <c r="R646"/>
      <c r="S646"/>
      <c r="T646"/>
    </row>
    <row r="647" spans="1:20" x14ac:dyDescent="0.3">
      <c r="A647"/>
      <c r="B647"/>
      <c r="C647"/>
      <c r="D647"/>
      <c r="E647"/>
      <c r="F647"/>
      <c r="G647"/>
      <c r="H647"/>
      <c r="I647"/>
      <c r="J647"/>
      <c r="K647"/>
      <c r="L647"/>
      <c r="M647"/>
      <c r="N647"/>
      <c r="O647"/>
      <c r="P647"/>
      <c r="Q647"/>
      <c r="R647"/>
      <c r="S647"/>
      <c r="T647"/>
    </row>
    <row r="648" spans="1:20" x14ac:dyDescent="0.3">
      <c r="A648"/>
      <c r="B648"/>
      <c r="C648"/>
      <c r="D648"/>
      <c r="E648"/>
      <c r="F648"/>
      <c r="G648"/>
      <c r="H648"/>
      <c r="I648"/>
      <c r="J648"/>
      <c r="K648"/>
      <c r="L648"/>
      <c r="M648"/>
      <c r="N648"/>
      <c r="O648"/>
      <c r="P648"/>
      <c r="Q648"/>
      <c r="R648"/>
      <c r="S648"/>
      <c r="T648"/>
    </row>
    <row r="649" spans="1:20" x14ac:dyDescent="0.3">
      <c r="A649"/>
      <c r="B649"/>
      <c r="C649"/>
      <c r="D649"/>
      <c r="E649"/>
      <c r="F649"/>
      <c r="G649"/>
      <c r="H649"/>
      <c r="I649"/>
      <c r="J649"/>
      <c r="K649"/>
      <c r="L649"/>
      <c r="M649"/>
      <c r="N649"/>
      <c r="O649"/>
      <c r="P649"/>
      <c r="Q649"/>
      <c r="R649"/>
      <c r="S649"/>
      <c r="T649"/>
    </row>
    <row r="650" spans="1:20" x14ac:dyDescent="0.3">
      <c r="A650"/>
      <c r="B650"/>
      <c r="C650"/>
      <c r="D650"/>
      <c r="E650"/>
      <c r="F650"/>
      <c r="G650"/>
      <c r="H650"/>
      <c r="I650"/>
      <c r="J650"/>
      <c r="K650"/>
      <c r="L650"/>
      <c r="M650"/>
      <c r="N650"/>
      <c r="O650"/>
      <c r="P650"/>
      <c r="Q650"/>
      <c r="R650"/>
      <c r="S650"/>
      <c r="T650"/>
    </row>
    <row r="651" spans="1:20" x14ac:dyDescent="0.3">
      <c r="A651"/>
      <c r="B651"/>
      <c r="C651"/>
      <c r="D651"/>
      <c r="E651"/>
      <c r="F651"/>
      <c r="G651"/>
      <c r="H651"/>
      <c r="I651"/>
      <c r="J651"/>
      <c r="K651"/>
      <c r="L651"/>
      <c r="M651"/>
      <c r="N651"/>
      <c r="O651"/>
      <c r="P651"/>
      <c r="Q651"/>
      <c r="R651"/>
      <c r="S651"/>
      <c r="T651"/>
    </row>
    <row r="652" spans="1:20" x14ac:dyDescent="0.3">
      <c r="A652"/>
      <c r="B652"/>
      <c r="C652"/>
      <c r="D652"/>
      <c r="E652"/>
      <c r="F652"/>
      <c r="G652"/>
      <c r="H652"/>
      <c r="I652"/>
      <c r="J652"/>
      <c r="K652"/>
      <c r="L652"/>
      <c r="M652"/>
      <c r="N652"/>
      <c r="O652"/>
      <c r="P652"/>
      <c r="Q652"/>
      <c r="R652"/>
      <c r="S652"/>
      <c r="T652"/>
    </row>
    <row r="653" spans="1:20" x14ac:dyDescent="0.3">
      <c r="A653"/>
      <c r="B653"/>
      <c r="C653"/>
      <c r="D653"/>
      <c r="E653"/>
      <c r="F653"/>
      <c r="G653"/>
      <c r="H653"/>
      <c r="I653"/>
      <c r="J653"/>
      <c r="K653"/>
      <c r="L653"/>
      <c r="M653"/>
      <c r="N653"/>
      <c r="O653"/>
      <c r="P653"/>
      <c r="Q653"/>
      <c r="R653"/>
      <c r="S653"/>
      <c r="T653"/>
    </row>
    <row r="654" spans="1:20" x14ac:dyDescent="0.3">
      <c r="A654"/>
      <c r="B654"/>
      <c r="C654"/>
      <c r="D654"/>
      <c r="E654"/>
      <c r="F654"/>
      <c r="G654"/>
      <c r="H654"/>
      <c r="I654"/>
      <c r="J654"/>
      <c r="K654"/>
      <c r="L654"/>
      <c r="M654"/>
      <c r="N654"/>
      <c r="O654"/>
      <c r="P654"/>
      <c r="Q654"/>
      <c r="R654"/>
      <c r="S654"/>
      <c r="T654"/>
    </row>
    <row r="655" spans="1:20" x14ac:dyDescent="0.3">
      <c r="A655"/>
      <c r="B655"/>
      <c r="C655"/>
      <c r="D655"/>
      <c r="E655"/>
      <c r="F655"/>
      <c r="G655"/>
      <c r="H655"/>
      <c r="I655"/>
      <c r="J655"/>
      <c r="K655"/>
      <c r="L655"/>
      <c r="M655"/>
      <c r="N655"/>
      <c r="O655"/>
      <c r="P655"/>
      <c r="Q655"/>
      <c r="R655"/>
      <c r="S655"/>
      <c r="T655"/>
    </row>
    <row r="656" spans="1:20" x14ac:dyDescent="0.3">
      <c r="A656"/>
      <c r="B656"/>
      <c r="C656"/>
      <c r="D656"/>
      <c r="E656"/>
      <c r="F656"/>
      <c r="G656"/>
      <c r="H656"/>
      <c r="I656"/>
      <c r="J656"/>
      <c r="K656"/>
      <c r="L656"/>
      <c r="M656"/>
      <c r="N656"/>
      <c r="O656"/>
      <c r="P656"/>
      <c r="Q656"/>
      <c r="R656"/>
      <c r="S656"/>
      <c r="T656"/>
    </row>
    <row r="657" spans="1:20" x14ac:dyDescent="0.3">
      <c r="A657"/>
      <c r="B657"/>
      <c r="C657"/>
      <c r="D657"/>
      <c r="E657"/>
      <c r="F657"/>
      <c r="G657"/>
      <c r="H657"/>
      <c r="I657"/>
      <c r="J657"/>
      <c r="K657"/>
      <c r="L657"/>
      <c r="M657"/>
      <c r="N657"/>
      <c r="O657"/>
      <c r="P657"/>
      <c r="Q657"/>
      <c r="R657"/>
      <c r="S657"/>
      <c r="T657"/>
    </row>
    <row r="658" spans="1:20" x14ac:dyDescent="0.3">
      <c r="A658"/>
      <c r="B658"/>
      <c r="C658"/>
      <c r="D658"/>
      <c r="E658"/>
      <c r="F658"/>
      <c r="G658"/>
      <c r="H658"/>
      <c r="I658"/>
      <c r="J658"/>
      <c r="K658"/>
      <c r="L658"/>
      <c r="M658"/>
      <c r="N658"/>
      <c r="O658"/>
      <c r="P658"/>
      <c r="Q658"/>
      <c r="R658"/>
      <c r="S658"/>
      <c r="T658"/>
    </row>
    <row r="659" spans="1:20" x14ac:dyDescent="0.3">
      <c r="A659"/>
      <c r="B659"/>
      <c r="C659"/>
      <c r="D659"/>
      <c r="E659"/>
      <c r="F659"/>
      <c r="G659"/>
      <c r="H659"/>
      <c r="I659"/>
      <c r="J659"/>
      <c r="K659"/>
      <c r="L659"/>
      <c r="M659"/>
      <c r="N659"/>
      <c r="O659"/>
      <c r="P659"/>
      <c r="Q659"/>
      <c r="R659"/>
      <c r="S659"/>
      <c r="T659"/>
    </row>
    <row r="660" spans="1:20" x14ac:dyDescent="0.3">
      <c r="A660"/>
      <c r="B660"/>
      <c r="C660"/>
      <c r="D660"/>
      <c r="E660"/>
      <c r="F660"/>
      <c r="G660"/>
      <c r="H660"/>
      <c r="I660"/>
      <c r="J660"/>
      <c r="K660"/>
      <c r="L660"/>
      <c r="M660"/>
      <c r="N660"/>
      <c r="O660"/>
      <c r="P660"/>
      <c r="Q660"/>
      <c r="R660"/>
      <c r="S660"/>
      <c r="T660"/>
    </row>
    <row r="661" spans="1:20" x14ac:dyDescent="0.3">
      <c r="A661"/>
      <c r="B661"/>
      <c r="C661"/>
      <c r="D661"/>
      <c r="E661"/>
      <c r="F661"/>
      <c r="G661"/>
      <c r="H661"/>
      <c r="I661"/>
      <c r="J661"/>
      <c r="K661"/>
      <c r="L661"/>
      <c r="M661"/>
      <c r="N661"/>
      <c r="O661"/>
      <c r="P661"/>
      <c r="Q661"/>
      <c r="R661"/>
      <c r="S661"/>
      <c r="T661"/>
    </row>
    <row r="662" spans="1:20" x14ac:dyDescent="0.3">
      <c r="A662"/>
      <c r="B662"/>
      <c r="C662"/>
      <c r="D662"/>
      <c r="E662"/>
      <c r="F662"/>
      <c r="G662"/>
      <c r="H662"/>
      <c r="I662"/>
      <c r="J662"/>
      <c r="K662"/>
      <c r="L662"/>
      <c r="M662"/>
      <c r="N662"/>
      <c r="O662"/>
      <c r="P662"/>
      <c r="Q662"/>
      <c r="R662"/>
      <c r="S662"/>
      <c r="T662"/>
    </row>
    <row r="663" spans="1:20" x14ac:dyDescent="0.3">
      <c r="A663"/>
      <c r="B663"/>
      <c r="C663"/>
      <c r="D663"/>
      <c r="E663"/>
      <c r="F663"/>
      <c r="G663"/>
      <c r="H663"/>
      <c r="I663"/>
      <c r="J663"/>
      <c r="K663"/>
      <c r="L663"/>
      <c r="M663"/>
      <c r="N663"/>
      <c r="O663"/>
      <c r="P663"/>
      <c r="Q663"/>
      <c r="R663"/>
      <c r="S663"/>
      <c r="T663"/>
    </row>
    <row r="664" spans="1:20" x14ac:dyDescent="0.3">
      <c r="A664"/>
      <c r="B664"/>
      <c r="C664"/>
      <c r="D664"/>
      <c r="E664"/>
      <c r="F664"/>
      <c r="G664"/>
      <c r="H664"/>
      <c r="I664"/>
      <c r="J664"/>
      <c r="K664"/>
      <c r="L664"/>
      <c r="M664"/>
      <c r="N664"/>
      <c r="O664"/>
      <c r="P664"/>
      <c r="Q664"/>
      <c r="R664"/>
      <c r="S664"/>
      <c r="T664"/>
    </row>
    <row r="665" spans="1:20" x14ac:dyDescent="0.3">
      <c r="A665"/>
      <c r="B665"/>
      <c r="C665"/>
      <c r="D665"/>
      <c r="E665"/>
      <c r="F665"/>
      <c r="G665"/>
      <c r="H665"/>
      <c r="I665"/>
      <c r="J665"/>
      <c r="K665"/>
      <c r="L665"/>
      <c r="M665"/>
      <c r="N665"/>
      <c r="O665"/>
      <c r="P665"/>
      <c r="Q665"/>
      <c r="R665"/>
      <c r="S665"/>
      <c r="T665"/>
    </row>
    <row r="666" spans="1:20" x14ac:dyDescent="0.3">
      <c r="A666"/>
      <c r="B666"/>
      <c r="C666"/>
      <c r="D666"/>
      <c r="E666"/>
      <c r="F666"/>
      <c r="G666"/>
      <c r="H666"/>
      <c r="I666"/>
      <c r="J666"/>
      <c r="K666"/>
      <c r="L666"/>
      <c r="M666"/>
      <c r="N666"/>
      <c r="O666"/>
      <c r="P666"/>
      <c r="Q666"/>
      <c r="R666"/>
      <c r="S666"/>
      <c r="T666"/>
    </row>
    <row r="667" spans="1:20" x14ac:dyDescent="0.3">
      <c r="A667"/>
      <c r="B667"/>
      <c r="C667"/>
      <c r="D667"/>
      <c r="E667"/>
      <c r="F667"/>
      <c r="G667"/>
      <c r="H667"/>
      <c r="I667"/>
      <c r="J667"/>
      <c r="K667"/>
      <c r="L667"/>
      <c r="M667"/>
      <c r="N667"/>
      <c r="O667"/>
      <c r="P667"/>
      <c r="Q667"/>
      <c r="R667"/>
      <c r="S667"/>
      <c r="T667"/>
    </row>
    <row r="668" spans="1:20" x14ac:dyDescent="0.3">
      <c r="A668"/>
      <c r="B668"/>
      <c r="C668"/>
      <c r="D668"/>
      <c r="E668"/>
      <c r="F668"/>
      <c r="G668"/>
      <c r="H668"/>
      <c r="I668"/>
      <c r="J668"/>
      <c r="K668"/>
      <c r="L668"/>
      <c r="M668"/>
      <c r="N668"/>
      <c r="O668"/>
      <c r="P668"/>
      <c r="Q668"/>
      <c r="R668"/>
      <c r="S668"/>
      <c r="T668"/>
    </row>
    <row r="669" spans="1:20" x14ac:dyDescent="0.3">
      <c r="A669"/>
      <c r="B669"/>
      <c r="C669"/>
      <c r="D669"/>
      <c r="E669"/>
      <c r="F669"/>
      <c r="G669"/>
      <c r="H669"/>
      <c r="I669"/>
      <c r="J669"/>
      <c r="K669"/>
      <c r="L669"/>
      <c r="M669"/>
      <c r="N669"/>
      <c r="O669"/>
      <c r="P669"/>
      <c r="Q669"/>
      <c r="R669"/>
      <c r="S669"/>
      <c r="T669"/>
    </row>
    <row r="670" spans="1:20" x14ac:dyDescent="0.3">
      <c r="A670"/>
      <c r="B670"/>
      <c r="C670"/>
      <c r="D670"/>
      <c r="E670"/>
      <c r="F670"/>
      <c r="G670"/>
      <c r="H670"/>
      <c r="I670"/>
      <c r="J670"/>
      <c r="K670"/>
      <c r="L670"/>
      <c r="M670"/>
      <c r="N670"/>
      <c r="O670"/>
      <c r="P670"/>
      <c r="Q670"/>
      <c r="R670"/>
      <c r="S670"/>
      <c r="T670"/>
    </row>
    <row r="671" spans="1:20" x14ac:dyDescent="0.3">
      <c r="A671"/>
      <c r="B671"/>
      <c r="C671"/>
      <c r="D671"/>
      <c r="E671"/>
      <c r="F671"/>
      <c r="G671"/>
      <c r="H671"/>
      <c r="I671"/>
      <c r="J671"/>
      <c r="K671"/>
      <c r="L671"/>
      <c r="M671"/>
      <c r="N671"/>
      <c r="O671"/>
      <c r="P671"/>
      <c r="Q671"/>
      <c r="R671"/>
      <c r="S671"/>
      <c r="T671"/>
    </row>
    <row r="672" spans="1:20" x14ac:dyDescent="0.3">
      <c r="A672"/>
      <c r="B672"/>
      <c r="C672"/>
      <c r="D672"/>
      <c r="E672"/>
      <c r="F672"/>
      <c r="G672"/>
      <c r="H672"/>
      <c r="I672"/>
      <c r="J672"/>
      <c r="K672"/>
      <c r="L672"/>
      <c r="M672"/>
      <c r="N672"/>
      <c r="O672"/>
      <c r="P672"/>
      <c r="Q672"/>
      <c r="R672"/>
      <c r="S672"/>
      <c r="T672"/>
    </row>
    <row r="673" spans="1:20" x14ac:dyDescent="0.3">
      <c r="A673"/>
      <c r="B673"/>
      <c r="C673"/>
      <c r="D673"/>
      <c r="E673"/>
      <c r="F673"/>
      <c r="G673"/>
      <c r="H673"/>
      <c r="I673"/>
      <c r="J673"/>
      <c r="K673"/>
      <c r="L673"/>
      <c r="M673"/>
      <c r="N673"/>
      <c r="O673"/>
      <c r="P673"/>
      <c r="Q673"/>
      <c r="R673"/>
      <c r="S673"/>
      <c r="T673"/>
    </row>
    <row r="674" spans="1:20" x14ac:dyDescent="0.3">
      <c r="A674"/>
      <c r="B674"/>
      <c r="C674"/>
      <c r="D674"/>
      <c r="E674"/>
      <c r="F674"/>
      <c r="G674"/>
      <c r="H674"/>
      <c r="I674"/>
      <c r="J674"/>
      <c r="K674"/>
      <c r="L674"/>
      <c r="M674"/>
      <c r="N674"/>
      <c r="O674"/>
      <c r="P674"/>
      <c r="Q674"/>
      <c r="R674"/>
      <c r="S674"/>
      <c r="T674"/>
    </row>
    <row r="675" spans="1:20" x14ac:dyDescent="0.3">
      <c r="A675"/>
      <c r="B675"/>
      <c r="C675"/>
      <c r="D675"/>
      <c r="E675"/>
      <c r="F675"/>
      <c r="G675"/>
      <c r="H675"/>
      <c r="I675"/>
      <c r="J675"/>
      <c r="K675"/>
      <c r="L675"/>
      <c r="M675"/>
      <c r="N675"/>
      <c r="O675"/>
      <c r="P675"/>
      <c r="Q675"/>
      <c r="R675"/>
      <c r="S675"/>
      <c r="T675"/>
    </row>
    <row r="676" spans="1:20" x14ac:dyDescent="0.3">
      <c r="A676"/>
      <c r="B676"/>
      <c r="C676"/>
      <c r="D676"/>
      <c r="E676"/>
      <c r="F676"/>
      <c r="G676"/>
      <c r="H676"/>
      <c r="I676"/>
      <c r="J676"/>
      <c r="K676"/>
      <c r="L676"/>
      <c r="M676"/>
      <c r="N676"/>
      <c r="O676"/>
      <c r="P676"/>
      <c r="Q676"/>
      <c r="R676"/>
      <c r="S676"/>
      <c r="T676"/>
    </row>
    <row r="677" spans="1:20" x14ac:dyDescent="0.3">
      <c r="A677"/>
      <c r="B677"/>
      <c r="C677"/>
      <c r="D677"/>
      <c r="E677"/>
      <c r="F677"/>
      <c r="G677"/>
      <c r="H677"/>
      <c r="I677"/>
      <c r="J677"/>
      <c r="K677"/>
      <c r="L677"/>
      <c r="M677"/>
      <c r="N677"/>
      <c r="O677"/>
      <c r="P677"/>
      <c r="Q677"/>
      <c r="R677"/>
      <c r="S677"/>
      <c r="T677"/>
    </row>
    <row r="678" spans="1:20" x14ac:dyDescent="0.3">
      <c r="A678"/>
      <c r="B678"/>
      <c r="C678"/>
      <c r="D678"/>
      <c r="E678"/>
      <c r="F678"/>
      <c r="G678"/>
      <c r="H678"/>
      <c r="I678"/>
      <c r="J678"/>
      <c r="K678"/>
      <c r="L678"/>
      <c r="M678"/>
      <c r="N678"/>
      <c r="O678"/>
      <c r="P678"/>
      <c r="Q678"/>
      <c r="R678"/>
      <c r="S678"/>
      <c r="T678"/>
    </row>
    <row r="679" spans="1:20" x14ac:dyDescent="0.3">
      <c r="A679"/>
      <c r="B679"/>
      <c r="C679"/>
      <c r="D679"/>
      <c r="E679"/>
      <c r="F679"/>
      <c r="G679"/>
      <c r="H679"/>
      <c r="I679"/>
      <c r="J679"/>
      <c r="K679"/>
      <c r="L679"/>
      <c r="M679"/>
      <c r="N679"/>
      <c r="O679"/>
      <c r="P679"/>
      <c r="Q679"/>
      <c r="R679"/>
      <c r="S679"/>
      <c r="T679"/>
    </row>
    <row r="680" spans="1:20" x14ac:dyDescent="0.3">
      <c r="A680"/>
      <c r="B680"/>
      <c r="C680"/>
      <c r="D680"/>
      <c r="E680"/>
      <c r="F680"/>
      <c r="G680"/>
      <c r="H680"/>
      <c r="I680"/>
      <c r="J680"/>
      <c r="K680"/>
      <c r="L680"/>
      <c r="M680"/>
      <c r="N680"/>
      <c r="O680"/>
      <c r="P680"/>
      <c r="Q680"/>
      <c r="R680"/>
      <c r="S680"/>
      <c r="T680"/>
    </row>
    <row r="681" spans="1:20" x14ac:dyDescent="0.3">
      <c r="A681"/>
      <c r="B681"/>
      <c r="C681"/>
      <c r="D681"/>
      <c r="E681"/>
      <c r="F681"/>
      <c r="G681"/>
      <c r="H681"/>
      <c r="I681"/>
      <c r="J681"/>
      <c r="K681"/>
      <c r="L681"/>
      <c r="M681"/>
      <c r="N681"/>
      <c r="O681"/>
      <c r="P681"/>
      <c r="Q681"/>
      <c r="R681"/>
      <c r="S681"/>
      <c r="T681"/>
    </row>
    <row r="682" spans="1:20" x14ac:dyDescent="0.3">
      <c r="A682"/>
      <c r="B682"/>
      <c r="C682"/>
      <c r="D682"/>
      <c r="E682"/>
      <c r="F682"/>
      <c r="G682"/>
      <c r="H682"/>
      <c r="I682"/>
      <c r="J682"/>
      <c r="K682"/>
      <c r="L682"/>
      <c r="M682"/>
      <c r="N682"/>
      <c r="O682"/>
      <c r="P682"/>
      <c r="Q682"/>
      <c r="R682"/>
      <c r="S682"/>
      <c r="T682"/>
    </row>
    <row r="683" spans="1:20" x14ac:dyDescent="0.3">
      <c r="A683"/>
      <c r="B683"/>
      <c r="C683"/>
      <c r="D683"/>
      <c r="E683"/>
      <c r="F683"/>
      <c r="G683"/>
      <c r="H683"/>
      <c r="I683"/>
      <c r="J683"/>
      <c r="K683"/>
      <c r="L683"/>
      <c r="M683"/>
      <c r="N683"/>
      <c r="O683"/>
      <c r="P683"/>
      <c r="Q683"/>
      <c r="R683"/>
      <c r="S683"/>
      <c r="T683"/>
    </row>
    <row r="684" spans="1:20" x14ac:dyDescent="0.3">
      <c r="A684"/>
      <c r="B684"/>
      <c r="C684"/>
      <c r="D684"/>
      <c r="E684"/>
      <c r="F684"/>
      <c r="G684"/>
      <c r="H684"/>
      <c r="I684"/>
      <c r="J684"/>
      <c r="K684"/>
      <c r="L684"/>
      <c r="M684"/>
      <c r="N684"/>
      <c r="O684"/>
      <c r="P684"/>
      <c r="Q684"/>
      <c r="R684"/>
      <c r="S684"/>
      <c r="T684"/>
    </row>
    <row r="685" spans="1:20" x14ac:dyDescent="0.3">
      <c r="A685"/>
      <c r="B685"/>
      <c r="C685"/>
      <c r="D685"/>
      <c r="E685"/>
      <c r="F685"/>
      <c r="G685"/>
      <c r="H685"/>
      <c r="I685"/>
      <c r="J685"/>
      <c r="K685"/>
      <c r="L685"/>
      <c r="M685"/>
      <c r="N685"/>
      <c r="O685"/>
      <c r="P685"/>
      <c r="Q685"/>
      <c r="R685"/>
      <c r="S685"/>
      <c r="T685"/>
    </row>
    <row r="686" spans="1:20" x14ac:dyDescent="0.3">
      <c r="A686"/>
      <c r="B686"/>
      <c r="C686"/>
      <c r="D686"/>
      <c r="E686"/>
      <c r="F686"/>
      <c r="G686"/>
      <c r="H686"/>
      <c r="I686"/>
      <c r="J686"/>
      <c r="K686"/>
      <c r="L686"/>
      <c r="M686"/>
      <c r="N686"/>
      <c r="O686"/>
      <c r="P686"/>
      <c r="Q686"/>
      <c r="R686"/>
      <c r="S686"/>
      <c r="T686"/>
    </row>
    <row r="687" spans="1:20" x14ac:dyDescent="0.3">
      <c r="A687"/>
      <c r="B687"/>
      <c r="C687"/>
      <c r="D687"/>
      <c r="E687"/>
      <c r="F687"/>
      <c r="G687"/>
      <c r="H687"/>
      <c r="I687"/>
      <c r="J687"/>
      <c r="K687"/>
      <c r="L687"/>
      <c r="M687"/>
      <c r="N687"/>
      <c r="O687"/>
      <c r="P687"/>
      <c r="Q687"/>
      <c r="R687"/>
      <c r="S687"/>
      <c r="T687"/>
    </row>
    <row r="688" spans="1:20" x14ac:dyDescent="0.3">
      <c r="A688"/>
      <c r="B688"/>
      <c r="C688"/>
      <c r="D688"/>
      <c r="E688"/>
      <c r="F688"/>
      <c r="G688"/>
      <c r="H688"/>
      <c r="I688"/>
      <c r="J688"/>
      <c r="K688"/>
      <c r="L688"/>
      <c r="M688"/>
      <c r="N688"/>
      <c r="O688"/>
      <c r="P688"/>
      <c r="Q688"/>
      <c r="R688"/>
      <c r="S688"/>
      <c r="T688"/>
    </row>
    <row r="689" spans="1:20" x14ac:dyDescent="0.3">
      <c r="A689"/>
      <c r="B689"/>
      <c r="C689"/>
      <c r="D689"/>
      <c r="E689"/>
      <c r="F689"/>
      <c r="G689"/>
      <c r="H689"/>
      <c r="I689"/>
      <c r="J689"/>
      <c r="K689"/>
      <c r="L689"/>
      <c r="M689"/>
      <c r="N689"/>
      <c r="O689"/>
      <c r="P689"/>
      <c r="Q689"/>
      <c r="R689"/>
      <c r="S689"/>
      <c r="T689"/>
    </row>
    <row r="690" spans="1:20" x14ac:dyDescent="0.3">
      <c r="A690"/>
      <c r="B690"/>
      <c r="C690"/>
      <c r="D690"/>
      <c r="E690"/>
      <c r="F690"/>
      <c r="G690"/>
      <c r="H690"/>
      <c r="I690"/>
      <c r="J690"/>
      <c r="K690"/>
      <c r="L690"/>
      <c r="M690"/>
      <c r="N690"/>
      <c r="O690"/>
      <c r="P690"/>
      <c r="Q690"/>
      <c r="R690"/>
      <c r="S690"/>
      <c r="T690"/>
    </row>
    <row r="691" spans="1:20" x14ac:dyDescent="0.3">
      <c r="A691"/>
      <c r="B691"/>
      <c r="C691"/>
      <c r="D691"/>
      <c r="E691"/>
      <c r="F691"/>
      <c r="G691"/>
      <c r="H691"/>
      <c r="I691"/>
      <c r="J691"/>
      <c r="K691"/>
      <c r="L691"/>
      <c r="M691"/>
      <c r="N691"/>
      <c r="O691"/>
      <c r="P691"/>
      <c r="Q691"/>
      <c r="R691"/>
      <c r="S691"/>
      <c r="T691"/>
    </row>
    <row r="692" spans="1:20" x14ac:dyDescent="0.3">
      <c r="A692"/>
      <c r="B692"/>
      <c r="C692"/>
      <c r="D692"/>
      <c r="E692"/>
      <c r="F692"/>
      <c r="G692"/>
      <c r="H692"/>
      <c r="I692"/>
      <c r="J692"/>
      <c r="K692"/>
      <c r="L692"/>
      <c r="M692"/>
      <c r="N692"/>
      <c r="O692"/>
      <c r="P692"/>
      <c r="Q692"/>
      <c r="R692"/>
      <c r="S692"/>
      <c r="T692"/>
    </row>
    <row r="693" spans="1:20" x14ac:dyDescent="0.3">
      <c r="A693"/>
      <c r="B693"/>
      <c r="C693"/>
      <c r="D693"/>
      <c r="E693"/>
      <c r="F693"/>
      <c r="G693"/>
      <c r="H693"/>
      <c r="I693"/>
      <c r="J693"/>
      <c r="K693"/>
      <c r="L693"/>
      <c r="M693"/>
      <c r="N693"/>
      <c r="O693"/>
      <c r="P693"/>
      <c r="Q693"/>
      <c r="R693"/>
      <c r="S693"/>
      <c r="T693"/>
    </row>
    <row r="694" spans="1:20" x14ac:dyDescent="0.3">
      <c r="A694"/>
      <c r="B694"/>
      <c r="C694"/>
      <c r="D694"/>
      <c r="E694"/>
      <c r="F694"/>
      <c r="G694"/>
      <c r="H694"/>
      <c r="I694"/>
      <c r="J694"/>
      <c r="K694"/>
      <c r="L694"/>
      <c r="M694"/>
      <c r="N694"/>
      <c r="O694"/>
      <c r="P694"/>
      <c r="Q694"/>
      <c r="R694"/>
      <c r="S694"/>
      <c r="T694"/>
    </row>
    <row r="695" spans="1:20" x14ac:dyDescent="0.3">
      <c r="A695"/>
      <c r="B695"/>
      <c r="C695"/>
      <c r="D695"/>
      <c r="E695"/>
      <c r="F695"/>
      <c r="G695"/>
      <c r="H695"/>
      <c r="I695"/>
      <c r="J695"/>
      <c r="K695"/>
      <c r="L695"/>
      <c r="M695"/>
      <c r="N695"/>
      <c r="O695"/>
      <c r="P695"/>
      <c r="Q695"/>
      <c r="R695"/>
      <c r="S695"/>
      <c r="T695"/>
    </row>
    <row r="696" spans="1:20" x14ac:dyDescent="0.3">
      <c r="A696"/>
      <c r="B696"/>
      <c r="C696"/>
      <c r="D696"/>
      <c r="E696"/>
      <c r="F696"/>
      <c r="G696"/>
      <c r="H696"/>
      <c r="I696"/>
      <c r="J696"/>
      <c r="K696"/>
      <c r="L696"/>
      <c r="M696"/>
      <c r="N696"/>
      <c r="O696"/>
      <c r="P696"/>
      <c r="Q696"/>
      <c r="R696"/>
      <c r="S696"/>
      <c r="T696"/>
    </row>
    <row r="697" spans="1:20" x14ac:dyDescent="0.3">
      <c r="A697"/>
      <c r="B697"/>
      <c r="C697"/>
      <c r="D697"/>
      <c r="E697"/>
      <c r="F697"/>
      <c r="G697"/>
      <c r="H697"/>
      <c r="I697"/>
      <c r="J697"/>
      <c r="K697"/>
      <c r="L697"/>
      <c r="M697"/>
      <c r="N697"/>
      <c r="O697"/>
      <c r="P697"/>
      <c r="Q697"/>
      <c r="R697"/>
      <c r="S697"/>
      <c r="T697"/>
    </row>
    <row r="698" spans="1:20" x14ac:dyDescent="0.3">
      <c r="A698"/>
      <c r="B698"/>
      <c r="C698"/>
      <c r="D698"/>
      <c r="E698"/>
      <c r="F698"/>
      <c r="G698"/>
      <c r="H698"/>
      <c r="I698"/>
      <c r="J698"/>
      <c r="K698"/>
      <c r="L698"/>
      <c r="M698"/>
      <c r="N698"/>
      <c r="O698"/>
      <c r="P698"/>
      <c r="Q698"/>
      <c r="R698"/>
      <c r="S698"/>
      <c r="T698"/>
    </row>
    <row r="699" spans="1:20" x14ac:dyDescent="0.3">
      <c r="A699"/>
      <c r="B699"/>
      <c r="C699"/>
      <c r="D699"/>
      <c r="E699"/>
      <c r="F699"/>
      <c r="G699"/>
      <c r="H699"/>
      <c r="I699"/>
      <c r="J699"/>
      <c r="K699"/>
      <c r="L699"/>
      <c r="M699"/>
      <c r="N699"/>
      <c r="O699"/>
      <c r="P699"/>
      <c r="Q699"/>
      <c r="R699"/>
      <c r="S699"/>
      <c r="T699"/>
    </row>
    <row r="700" spans="1:20" x14ac:dyDescent="0.3">
      <c r="A700"/>
      <c r="B700"/>
      <c r="C700"/>
      <c r="D700"/>
      <c r="E700"/>
      <c r="F700"/>
      <c r="G700"/>
      <c r="H700"/>
      <c r="I700"/>
      <c r="J700"/>
      <c r="K700"/>
      <c r="L700"/>
      <c r="M700"/>
      <c r="N700"/>
      <c r="O700"/>
      <c r="P700"/>
      <c r="Q700"/>
      <c r="R700"/>
      <c r="S700"/>
      <c r="T700"/>
    </row>
    <row r="701" spans="1:20" x14ac:dyDescent="0.3">
      <c r="A701"/>
      <c r="B701"/>
      <c r="C701"/>
      <c r="D701"/>
      <c r="E701"/>
      <c r="F701"/>
      <c r="G701"/>
      <c r="H701"/>
      <c r="I701"/>
      <c r="J701"/>
      <c r="K701"/>
      <c r="L701"/>
      <c r="M701"/>
      <c r="N701"/>
      <c r="O701"/>
      <c r="P701"/>
      <c r="Q701"/>
      <c r="R701"/>
      <c r="S701"/>
      <c r="T701"/>
    </row>
    <row r="702" spans="1:20" x14ac:dyDescent="0.3">
      <c r="A702"/>
      <c r="B702"/>
      <c r="C702"/>
      <c r="D702"/>
      <c r="E702"/>
      <c r="F702"/>
      <c r="G702"/>
      <c r="H702"/>
      <c r="I702"/>
      <c r="J702"/>
      <c r="K702"/>
      <c r="L702"/>
      <c r="M702"/>
      <c r="N702"/>
      <c r="O702"/>
      <c r="P702"/>
      <c r="Q702"/>
      <c r="R702"/>
      <c r="S702"/>
      <c r="T702"/>
    </row>
    <row r="703" spans="1:20" x14ac:dyDescent="0.3">
      <c r="A703"/>
      <c r="B703"/>
      <c r="C703"/>
      <c r="D703"/>
      <c r="E703"/>
      <c r="F703"/>
      <c r="G703"/>
      <c r="H703"/>
      <c r="I703"/>
      <c r="J703"/>
      <c r="K703"/>
      <c r="L703"/>
      <c r="M703"/>
      <c r="N703"/>
      <c r="O703"/>
      <c r="P703"/>
      <c r="Q703"/>
      <c r="R703"/>
      <c r="S703"/>
      <c r="T703"/>
    </row>
    <row r="704" spans="1:20" x14ac:dyDescent="0.3">
      <c r="A704"/>
      <c r="B704"/>
      <c r="C704"/>
      <c r="D704"/>
      <c r="E704"/>
      <c r="F704"/>
      <c r="G704"/>
      <c r="H704"/>
      <c r="I704"/>
      <c r="J704"/>
      <c r="K704"/>
      <c r="L704"/>
      <c r="M704"/>
      <c r="N704"/>
      <c r="O704"/>
      <c r="P704"/>
      <c r="Q704"/>
      <c r="R704"/>
      <c r="S704"/>
      <c r="T704"/>
    </row>
    <row r="705" spans="1:20" x14ac:dyDescent="0.3">
      <c r="A705"/>
      <c r="B705"/>
      <c r="C705"/>
      <c r="D705"/>
      <c r="E705"/>
      <c r="F705"/>
      <c r="G705"/>
      <c r="H705"/>
      <c r="I705"/>
      <c r="J705"/>
      <c r="K705"/>
      <c r="L705"/>
      <c r="M705"/>
      <c r="N705"/>
      <c r="O705"/>
      <c r="P705"/>
      <c r="Q705"/>
      <c r="R705"/>
      <c r="S705"/>
      <c r="T705"/>
    </row>
    <row r="706" spans="1:20" x14ac:dyDescent="0.3">
      <c r="A706"/>
      <c r="B706"/>
      <c r="C706"/>
      <c r="D706"/>
      <c r="E706"/>
      <c r="F706"/>
      <c r="G706"/>
      <c r="H706"/>
      <c r="I706"/>
      <c r="J706"/>
      <c r="K706"/>
      <c r="L706"/>
      <c r="M706"/>
      <c r="N706"/>
      <c r="O706"/>
      <c r="P706"/>
      <c r="Q706"/>
      <c r="R706"/>
      <c r="S706"/>
      <c r="T706"/>
    </row>
    <row r="707" spans="1:20" x14ac:dyDescent="0.3">
      <c r="A707"/>
      <c r="B707"/>
      <c r="C707"/>
      <c r="D707"/>
      <c r="E707"/>
      <c r="F707"/>
      <c r="G707"/>
      <c r="H707"/>
      <c r="I707"/>
      <c r="J707"/>
      <c r="K707"/>
      <c r="L707"/>
      <c r="M707"/>
      <c r="N707"/>
      <c r="O707"/>
      <c r="P707"/>
      <c r="Q707"/>
      <c r="R707"/>
      <c r="S707"/>
      <c r="T707"/>
    </row>
    <row r="708" spans="1:20" x14ac:dyDescent="0.3">
      <c r="A708"/>
      <c r="B708"/>
      <c r="C708"/>
      <c r="D708"/>
      <c r="E708"/>
      <c r="F708"/>
      <c r="G708"/>
      <c r="H708"/>
      <c r="I708"/>
      <c r="J708"/>
      <c r="K708"/>
      <c r="L708"/>
      <c r="M708"/>
      <c r="N708"/>
      <c r="O708"/>
      <c r="P708"/>
      <c r="Q708"/>
      <c r="R708"/>
      <c r="S708"/>
      <c r="T708"/>
    </row>
    <row r="709" spans="1:20" x14ac:dyDescent="0.3">
      <c r="A709"/>
      <c r="B709"/>
      <c r="C709"/>
      <c r="D709"/>
      <c r="E709"/>
      <c r="F709"/>
      <c r="G709"/>
      <c r="H709"/>
      <c r="I709"/>
      <c r="J709"/>
      <c r="K709"/>
      <c r="L709"/>
      <c r="M709"/>
      <c r="N709"/>
      <c r="O709"/>
      <c r="P709"/>
      <c r="Q709"/>
      <c r="R709"/>
      <c r="S709"/>
      <c r="T709"/>
    </row>
    <row r="710" spans="1:20" x14ac:dyDescent="0.3">
      <c r="A710"/>
      <c r="B710"/>
      <c r="C710"/>
      <c r="D710"/>
      <c r="E710"/>
      <c r="F710"/>
      <c r="G710"/>
      <c r="H710"/>
      <c r="I710"/>
      <c r="J710"/>
      <c r="K710"/>
      <c r="L710"/>
      <c r="M710"/>
      <c r="N710"/>
      <c r="O710"/>
      <c r="P710"/>
      <c r="Q710"/>
      <c r="R710"/>
      <c r="S710"/>
      <c r="T710"/>
    </row>
    <row r="711" spans="1:20" x14ac:dyDescent="0.3">
      <c r="A711"/>
      <c r="B711"/>
      <c r="C711"/>
      <c r="D711"/>
      <c r="E711"/>
      <c r="F711"/>
      <c r="G711"/>
      <c r="H711"/>
      <c r="I711"/>
      <c r="J711"/>
      <c r="K711"/>
      <c r="L711"/>
      <c r="M711"/>
      <c r="N711"/>
      <c r="O711"/>
      <c r="P711"/>
      <c r="Q711"/>
      <c r="R711"/>
      <c r="S711"/>
      <c r="T711"/>
    </row>
    <row r="712" spans="1:20" x14ac:dyDescent="0.3">
      <c r="A712"/>
      <c r="B712"/>
      <c r="C712"/>
      <c r="D712"/>
      <c r="E712"/>
      <c r="F712"/>
      <c r="G712"/>
      <c r="H712"/>
      <c r="I712"/>
      <c r="J712"/>
      <c r="K712"/>
      <c r="L712"/>
      <c r="M712"/>
      <c r="N712"/>
      <c r="O712"/>
      <c r="P712"/>
      <c r="Q712"/>
      <c r="R712"/>
      <c r="S712"/>
      <c r="T712"/>
    </row>
    <row r="713" spans="1:20" x14ac:dyDescent="0.3">
      <c r="A713"/>
      <c r="B713"/>
      <c r="C713"/>
      <c r="D713"/>
      <c r="E713"/>
      <c r="F713"/>
      <c r="G713"/>
      <c r="H713"/>
      <c r="I713"/>
      <c r="J713"/>
      <c r="K713"/>
      <c r="L713"/>
      <c r="M713"/>
      <c r="N713"/>
      <c r="O713"/>
      <c r="P713"/>
      <c r="Q713"/>
      <c r="R713"/>
      <c r="S713"/>
      <c r="T713"/>
    </row>
    <row r="714" spans="1:20" x14ac:dyDescent="0.3">
      <c r="A714"/>
      <c r="B714"/>
      <c r="C714"/>
      <c r="D714"/>
      <c r="E714"/>
      <c r="F714"/>
      <c r="G714"/>
      <c r="H714"/>
      <c r="I714"/>
      <c r="J714"/>
      <c r="K714"/>
      <c r="L714"/>
      <c r="M714"/>
      <c r="N714"/>
      <c r="O714"/>
      <c r="P714"/>
      <c r="Q714"/>
      <c r="R714"/>
      <c r="S714"/>
      <c r="T714"/>
    </row>
    <row r="715" spans="1:20" x14ac:dyDescent="0.3">
      <c r="A715"/>
      <c r="B715"/>
      <c r="C715"/>
      <c r="D715"/>
      <c r="E715"/>
      <c r="F715"/>
      <c r="G715"/>
      <c r="H715"/>
      <c r="I715"/>
      <c r="J715"/>
      <c r="K715"/>
      <c r="L715"/>
      <c r="M715"/>
      <c r="N715"/>
      <c r="O715"/>
      <c r="P715"/>
      <c r="Q715"/>
      <c r="R715"/>
      <c r="S715"/>
      <c r="T715"/>
    </row>
    <row r="716" spans="1:20" x14ac:dyDescent="0.3">
      <c r="A716"/>
      <c r="B716"/>
      <c r="C716"/>
      <c r="D716"/>
      <c r="E716"/>
      <c r="F716"/>
      <c r="G716"/>
      <c r="H716"/>
      <c r="I716"/>
      <c r="J716"/>
      <c r="K716"/>
      <c r="L716"/>
      <c r="M716"/>
      <c r="N716"/>
      <c r="O716"/>
      <c r="P716"/>
      <c r="Q716"/>
      <c r="R716"/>
      <c r="S716"/>
      <c r="T716"/>
    </row>
    <row r="717" spans="1:20" x14ac:dyDescent="0.3">
      <c r="A717"/>
      <c r="B717"/>
      <c r="C717"/>
      <c r="D717"/>
      <c r="E717"/>
      <c r="F717"/>
      <c r="G717"/>
      <c r="H717"/>
      <c r="I717"/>
      <c r="J717"/>
      <c r="K717"/>
      <c r="L717"/>
      <c r="M717"/>
      <c r="N717"/>
      <c r="O717"/>
      <c r="P717"/>
      <c r="Q717"/>
      <c r="R717"/>
      <c r="S717"/>
      <c r="T717"/>
    </row>
    <row r="718" spans="1:20" x14ac:dyDescent="0.3">
      <c r="A718"/>
      <c r="B718"/>
      <c r="C718"/>
      <c r="D718"/>
      <c r="E718"/>
      <c r="F718"/>
      <c r="G718"/>
      <c r="H718"/>
      <c r="I718"/>
      <c r="J718"/>
      <c r="K718"/>
      <c r="L718"/>
      <c r="M718"/>
      <c r="N718"/>
      <c r="O718"/>
      <c r="P718"/>
      <c r="Q718"/>
      <c r="R718"/>
      <c r="S718"/>
      <c r="T718"/>
    </row>
    <row r="719" spans="1:20" x14ac:dyDescent="0.3">
      <c r="A719"/>
      <c r="B719"/>
      <c r="C719"/>
      <c r="D719"/>
      <c r="E719"/>
      <c r="F719"/>
      <c r="G719"/>
      <c r="H719"/>
      <c r="I719"/>
      <c r="J719"/>
      <c r="K719"/>
      <c r="L719"/>
      <c r="M719"/>
      <c r="N719"/>
      <c r="O719"/>
      <c r="P719"/>
      <c r="Q719"/>
      <c r="R719"/>
      <c r="S719"/>
      <c r="T719"/>
    </row>
    <row r="720" spans="1:20" x14ac:dyDescent="0.3">
      <c r="A720"/>
      <c r="B720"/>
      <c r="C720"/>
      <c r="D720"/>
      <c r="E720"/>
      <c r="F720"/>
      <c r="G720"/>
      <c r="H720"/>
      <c r="I720"/>
      <c r="J720"/>
      <c r="K720"/>
      <c r="L720"/>
      <c r="M720"/>
      <c r="N720"/>
      <c r="O720"/>
      <c r="P720"/>
      <c r="Q720"/>
      <c r="R720"/>
      <c r="S720"/>
      <c r="T720"/>
    </row>
    <row r="721" spans="1:20" x14ac:dyDescent="0.3">
      <c r="A721"/>
      <c r="B721"/>
      <c r="C721"/>
      <c r="D721"/>
      <c r="E721"/>
      <c r="F721"/>
      <c r="G721"/>
      <c r="H721"/>
      <c r="I721"/>
      <c r="J721"/>
      <c r="K721"/>
      <c r="L721"/>
      <c r="M721"/>
      <c r="N721"/>
      <c r="O721"/>
      <c r="P721"/>
      <c r="Q721"/>
      <c r="R721"/>
      <c r="S721"/>
      <c r="T721"/>
    </row>
    <row r="722" spans="1:20" x14ac:dyDescent="0.3">
      <c r="A722"/>
      <c r="B722"/>
      <c r="C722"/>
      <c r="D722"/>
      <c r="E722"/>
      <c r="F722"/>
      <c r="G722"/>
      <c r="H722"/>
      <c r="I722"/>
      <c r="J722"/>
      <c r="K722"/>
      <c r="L722"/>
      <c r="M722"/>
      <c r="N722"/>
      <c r="O722"/>
      <c r="P722"/>
      <c r="Q722"/>
      <c r="R722"/>
      <c r="S722"/>
      <c r="T722"/>
    </row>
    <row r="723" spans="1:20" x14ac:dyDescent="0.3">
      <c r="A723"/>
      <c r="B723"/>
      <c r="C723"/>
      <c r="D723"/>
      <c r="E723"/>
      <c r="F723"/>
      <c r="G723"/>
      <c r="H723"/>
      <c r="I723"/>
      <c r="J723"/>
      <c r="K723"/>
      <c r="L723"/>
      <c r="M723"/>
      <c r="N723"/>
      <c r="O723"/>
      <c r="P723"/>
      <c r="Q723"/>
      <c r="R723"/>
      <c r="S723"/>
      <c r="T723"/>
    </row>
    <row r="724" spans="1:20" x14ac:dyDescent="0.3">
      <c r="A724"/>
      <c r="B724"/>
      <c r="C724"/>
      <c r="D724"/>
      <c r="E724"/>
      <c r="F724"/>
      <c r="G724"/>
      <c r="H724"/>
      <c r="I724"/>
      <c r="J724"/>
      <c r="K724"/>
      <c r="L724"/>
      <c r="M724"/>
      <c r="N724"/>
      <c r="O724"/>
      <c r="P724"/>
      <c r="Q724"/>
      <c r="R724"/>
      <c r="S724"/>
      <c r="T724"/>
    </row>
    <row r="725" spans="1:20" x14ac:dyDescent="0.3">
      <c r="A725"/>
      <c r="B725"/>
      <c r="C725"/>
      <c r="D725"/>
      <c r="E725"/>
      <c r="F725"/>
      <c r="G725"/>
      <c r="H725"/>
      <c r="I725"/>
      <c r="J725"/>
      <c r="K725"/>
      <c r="L725"/>
      <c r="M725"/>
      <c r="N725"/>
      <c r="O725"/>
      <c r="P725"/>
      <c r="Q725"/>
      <c r="R725"/>
      <c r="S725"/>
      <c r="T725"/>
    </row>
    <row r="726" spans="1:20" x14ac:dyDescent="0.3">
      <c r="A726"/>
      <c r="B726"/>
      <c r="C726"/>
      <c r="D726"/>
      <c r="E726"/>
      <c r="F726"/>
      <c r="G726"/>
      <c r="H726"/>
      <c r="I726"/>
      <c r="J726"/>
      <c r="K726"/>
      <c r="L726"/>
      <c r="M726"/>
      <c r="N726"/>
      <c r="O726"/>
      <c r="P726"/>
      <c r="Q726"/>
      <c r="R726"/>
      <c r="S726"/>
      <c r="T726"/>
    </row>
    <row r="727" spans="1:20" x14ac:dyDescent="0.3">
      <c r="A727"/>
      <c r="B727"/>
      <c r="C727"/>
      <c r="D727"/>
      <c r="E727"/>
      <c r="F727"/>
      <c r="G727"/>
      <c r="H727"/>
      <c r="I727"/>
      <c r="J727"/>
      <c r="K727"/>
      <c r="L727"/>
      <c r="M727"/>
      <c r="N727"/>
      <c r="O727"/>
      <c r="P727"/>
      <c r="Q727"/>
      <c r="R727"/>
      <c r="S727"/>
      <c r="T727"/>
    </row>
    <row r="728" spans="1:20" x14ac:dyDescent="0.3">
      <c r="A728"/>
      <c r="B728"/>
      <c r="C728"/>
      <c r="D728"/>
      <c r="E728"/>
      <c r="F728"/>
      <c r="G728"/>
      <c r="H728"/>
      <c r="I728"/>
      <c r="J728"/>
      <c r="K728"/>
      <c r="L728"/>
      <c r="M728"/>
      <c r="N728"/>
      <c r="O728"/>
      <c r="P728"/>
      <c r="Q728"/>
      <c r="R728"/>
      <c r="S728"/>
      <c r="T728"/>
    </row>
    <row r="729" spans="1:20" x14ac:dyDescent="0.3">
      <c r="A729"/>
      <c r="B729"/>
      <c r="C729"/>
      <c r="D729"/>
      <c r="E729"/>
      <c r="F729"/>
      <c r="G729"/>
      <c r="H729"/>
      <c r="I729"/>
      <c r="J729"/>
      <c r="K729"/>
      <c r="L729"/>
      <c r="M729"/>
      <c r="N729"/>
      <c r="O729"/>
      <c r="P729"/>
      <c r="Q729"/>
      <c r="R729"/>
      <c r="S729"/>
      <c r="T729"/>
    </row>
    <row r="730" spans="1:20" x14ac:dyDescent="0.3">
      <c r="A730"/>
      <c r="B730"/>
      <c r="C730"/>
      <c r="D730"/>
      <c r="E730"/>
      <c r="F730"/>
      <c r="G730"/>
      <c r="H730"/>
      <c r="I730"/>
      <c r="J730"/>
      <c r="K730"/>
      <c r="L730"/>
      <c r="M730"/>
      <c r="N730"/>
      <c r="O730"/>
      <c r="P730"/>
      <c r="Q730"/>
      <c r="R730"/>
      <c r="S730"/>
      <c r="T730"/>
    </row>
    <row r="731" spans="1:20" x14ac:dyDescent="0.3">
      <c r="A731"/>
      <c r="B731"/>
      <c r="C731"/>
      <c r="D731"/>
      <c r="E731"/>
      <c r="F731"/>
      <c r="G731"/>
      <c r="H731"/>
      <c r="I731"/>
      <c r="J731"/>
      <c r="K731"/>
      <c r="L731"/>
      <c r="M731"/>
      <c r="N731"/>
      <c r="O731"/>
      <c r="P731"/>
      <c r="Q731"/>
      <c r="R731"/>
      <c r="S731"/>
      <c r="T731"/>
    </row>
    <row r="732" spans="1:20" x14ac:dyDescent="0.3">
      <c r="A732"/>
      <c r="B732"/>
      <c r="C732"/>
      <c r="D732"/>
      <c r="E732"/>
      <c r="F732"/>
      <c r="G732"/>
      <c r="H732"/>
      <c r="I732"/>
      <c r="J732"/>
      <c r="K732"/>
      <c r="L732"/>
      <c r="M732"/>
      <c r="N732"/>
      <c r="O732"/>
      <c r="P732"/>
      <c r="Q732"/>
      <c r="R732"/>
      <c r="S732"/>
      <c r="T732"/>
    </row>
    <row r="733" spans="1:20" x14ac:dyDescent="0.3">
      <c r="A733"/>
      <c r="B733"/>
      <c r="C733"/>
      <c r="D733"/>
      <c r="E733"/>
      <c r="F733"/>
      <c r="G733"/>
      <c r="H733"/>
      <c r="I733"/>
      <c r="J733"/>
      <c r="K733"/>
      <c r="L733"/>
      <c r="M733"/>
      <c r="N733"/>
      <c r="O733"/>
      <c r="P733"/>
      <c r="Q733"/>
      <c r="R733"/>
      <c r="S733"/>
      <c r="T733"/>
    </row>
    <row r="734" spans="1:20" x14ac:dyDescent="0.3">
      <c r="A734"/>
      <c r="B734"/>
      <c r="C734"/>
      <c r="D734"/>
      <c r="E734"/>
      <c r="F734"/>
      <c r="G734"/>
      <c r="H734"/>
      <c r="I734"/>
      <c r="J734"/>
      <c r="K734"/>
      <c r="L734"/>
      <c r="M734"/>
      <c r="N734"/>
      <c r="O734"/>
      <c r="P734"/>
      <c r="Q734"/>
      <c r="R734"/>
      <c r="S734"/>
      <c r="T734"/>
    </row>
    <row r="735" spans="1:20" x14ac:dyDescent="0.3">
      <c r="A735"/>
      <c r="B735"/>
      <c r="C735"/>
      <c r="D735"/>
      <c r="E735"/>
      <c r="F735"/>
      <c r="G735"/>
      <c r="H735"/>
      <c r="I735"/>
      <c r="J735"/>
      <c r="K735"/>
      <c r="L735"/>
      <c r="M735"/>
      <c r="N735"/>
      <c r="O735"/>
      <c r="P735"/>
      <c r="Q735"/>
      <c r="R735"/>
      <c r="S735"/>
      <c r="T735"/>
    </row>
    <row r="736" spans="1:20" x14ac:dyDescent="0.3">
      <c r="A736"/>
      <c r="B736"/>
      <c r="C736"/>
      <c r="D736"/>
      <c r="E736"/>
      <c r="F736"/>
      <c r="G736"/>
      <c r="H736"/>
      <c r="I736"/>
      <c r="J736"/>
      <c r="K736"/>
      <c r="L736"/>
      <c r="M736"/>
      <c r="N736"/>
      <c r="O736"/>
      <c r="P736"/>
      <c r="Q736"/>
      <c r="R736"/>
      <c r="S736"/>
      <c r="T736"/>
    </row>
    <row r="737" spans="1:20" x14ac:dyDescent="0.3">
      <c r="A737"/>
      <c r="B737"/>
      <c r="C737"/>
      <c r="D737"/>
      <c r="E737"/>
      <c r="F737"/>
      <c r="G737"/>
      <c r="H737"/>
      <c r="I737"/>
      <c r="J737"/>
      <c r="K737"/>
      <c r="L737"/>
      <c r="M737"/>
      <c r="N737"/>
      <c r="O737"/>
      <c r="P737"/>
      <c r="Q737"/>
      <c r="R737"/>
      <c r="S737"/>
      <c r="T737"/>
    </row>
    <row r="738" spans="1:20" x14ac:dyDescent="0.3">
      <c r="A738"/>
      <c r="B738"/>
      <c r="C738"/>
      <c r="D738"/>
      <c r="E738"/>
      <c r="F738"/>
      <c r="G738"/>
      <c r="H738"/>
      <c r="I738"/>
      <c r="J738"/>
      <c r="K738"/>
      <c r="L738"/>
      <c r="M738"/>
      <c r="N738"/>
      <c r="O738"/>
      <c r="P738"/>
      <c r="Q738"/>
      <c r="R738"/>
      <c r="S738"/>
      <c r="T738"/>
    </row>
    <row r="739" spans="1:20" x14ac:dyDescent="0.3">
      <c r="A739"/>
      <c r="B739"/>
      <c r="C739"/>
      <c r="D739"/>
      <c r="E739"/>
      <c r="F739"/>
      <c r="G739"/>
      <c r="H739"/>
      <c r="I739"/>
      <c r="J739"/>
      <c r="K739"/>
      <c r="L739"/>
      <c r="M739"/>
      <c r="N739"/>
      <c r="O739"/>
      <c r="P739"/>
      <c r="Q739"/>
      <c r="R739"/>
      <c r="S739"/>
      <c r="T739"/>
    </row>
    <row r="740" spans="1:20" x14ac:dyDescent="0.3">
      <c r="A740"/>
      <c r="B740"/>
      <c r="C740"/>
      <c r="D740"/>
      <c r="E740"/>
      <c r="F740"/>
      <c r="G740"/>
      <c r="H740"/>
      <c r="I740"/>
      <c r="J740"/>
      <c r="K740"/>
      <c r="L740"/>
      <c r="M740"/>
      <c r="N740"/>
      <c r="O740"/>
      <c r="P740"/>
      <c r="Q740"/>
      <c r="R740"/>
      <c r="S740"/>
      <c r="T740"/>
    </row>
    <row r="741" spans="1:20" x14ac:dyDescent="0.3">
      <c r="A741"/>
      <c r="B741"/>
      <c r="C741"/>
      <c r="D741"/>
      <c r="E741"/>
      <c r="F741"/>
      <c r="G741"/>
      <c r="H741"/>
      <c r="I741"/>
      <c r="J741"/>
      <c r="K741"/>
      <c r="L741"/>
      <c r="M741"/>
      <c r="N741"/>
      <c r="O741"/>
      <c r="P741"/>
      <c r="Q741"/>
      <c r="R741"/>
      <c r="S741"/>
      <c r="T741"/>
    </row>
    <row r="742" spans="1:20" x14ac:dyDescent="0.3">
      <c r="A742"/>
      <c r="B742"/>
      <c r="C742"/>
      <c r="D742"/>
      <c r="E742"/>
      <c r="F742"/>
      <c r="G742"/>
      <c r="H742"/>
      <c r="I742"/>
      <c r="J742"/>
      <c r="K742"/>
      <c r="L742"/>
      <c r="M742"/>
      <c r="N742"/>
      <c r="O742"/>
      <c r="P742"/>
      <c r="Q742"/>
      <c r="R742"/>
      <c r="S742"/>
      <c r="T742"/>
    </row>
    <row r="743" spans="1:20" x14ac:dyDescent="0.3">
      <c r="A743"/>
      <c r="B743"/>
      <c r="C743"/>
      <c r="D743"/>
      <c r="E743"/>
      <c r="F743"/>
      <c r="G743"/>
      <c r="H743"/>
      <c r="I743"/>
      <c r="J743"/>
      <c r="K743"/>
      <c r="L743"/>
      <c r="M743"/>
      <c r="N743"/>
      <c r="O743"/>
      <c r="P743"/>
      <c r="Q743"/>
      <c r="R743"/>
      <c r="S743"/>
      <c r="T743"/>
    </row>
    <row r="744" spans="1:20" x14ac:dyDescent="0.3">
      <c r="A744"/>
      <c r="B744"/>
      <c r="C744"/>
      <c r="D744"/>
      <c r="E744"/>
      <c r="F744"/>
      <c r="G744"/>
      <c r="H744"/>
      <c r="I744"/>
      <c r="J744"/>
      <c r="K744"/>
      <c r="L744"/>
      <c r="M744"/>
      <c r="N744"/>
      <c r="O744"/>
      <c r="P744"/>
      <c r="Q744"/>
      <c r="R744"/>
      <c r="S744"/>
      <c r="T744"/>
    </row>
    <row r="745" spans="1:20" x14ac:dyDescent="0.3">
      <c r="A745"/>
      <c r="B745"/>
      <c r="C745"/>
      <c r="D745"/>
      <c r="E745"/>
      <c r="F745"/>
      <c r="G745"/>
      <c r="H745"/>
      <c r="I745"/>
      <c r="J745"/>
      <c r="K745"/>
      <c r="L745"/>
      <c r="M745"/>
      <c r="N745"/>
      <c r="O745"/>
      <c r="P745"/>
      <c r="Q745"/>
      <c r="R745"/>
      <c r="S745"/>
      <c r="T745"/>
    </row>
    <row r="746" spans="1:20" x14ac:dyDescent="0.3">
      <c r="A746"/>
      <c r="B746"/>
      <c r="C746"/>
      <c r="D746"/>
      <c r="E746"/>
      <c r="F746"/>
      <c r="G746"/>
      <c r="H746"/>
      <c r="I746"/>
      <c r="J746"/>
      <c r="K746"/>
      <c r="L746"/>
      <c r="M746"/>
      <c r="N746"/>
      <c r="O746"/>
      <c r="P746"/>
      <c r="Q746"/>
      <c r="R746"/>
      <c r="S746"/>
      <c r="T746"/>
    </row>
    <row r="747" spans="1:20" x14ac:dyDescent="0.3">
      <c r="A747"/>
      <c r="B747"/>
      <c r="C747"/>
      <c r="D747"/>
      <c r="E747"/>
      <c r="F747"/>
      <c r="G747"/>
      <c r="H747"/>
      <c r="I747"/>
      <c r="J747"/>
      <c r="K747"/>
      <c r="L747"/>
      <c r="M747"/>
      <c r="N747"/>
      <c r="O747"/>
      <c r="P747"/>
      <c r="Q747"/>
      <c r="R747"/>
      <c r="S747"/>
      <c r="T747"/>
    </row>
    <row r="748" spans="1:20" x14ac:dyDescent="0.3">
      <c r="A748"/>
      <c r="B748"/>
      <c r="C748"/>
      <c r="D748"/>
      <c r="E748"/>
      <c r="F748"/>
      <c r="G748"/>
      <c r="H748"/>
      <c r="I748"/>
      <c r="J748"/>
      <c r="K748"/>
      <c r="L748"/>
      <c r="M748"/>
      <c r="N748"/>
      <c r="O748"/>
      <c r="P748"/>
      <c r="Q748"/>
      <c r="R748"/>
      <c r="S748"/>
      <c r="T748"/>
    </row>
    <row r="749" spans="1:20" x14ac:dyDescent="0.3">
      <c r="A749"/>
      <c r="B749"/>
      <c r="C749"/>
      <c r="D749"/>
      <c r="E749"/>
      <c r="F749"/>
      <c r="G749"/>
      <c r="H749"/>
      <c r="I749"/>
      <c r="J749"/>
      <c r="K749"/>
      <c r="L749"/>
      <c r="M749"/>
      <c r="N749"/>
      <c r="O749"/>
      <c r="P749"/>
      <c r="Q749"/>
      <c r="R749"/>
      <c r="S749"/>
      <c r="T749"/>
    </row>
    <row r="750" spans="1:20" x14ac:dyDescent="0.3">
      <c r="A750"/>
      <c r="B750"/>
      <c r="C750"/>
      <c r="D750"/>
      <c r="E750"/>
      <c r="F750"/>
      <c r="G750"/>
      <c r="H750"/>
      <c r="I750"/>
      <c r="J750"/>
      <c r="K750"/>
      <c r="L750"/>
      <c r="M750"/>
      <c r="N750"/>
      <c r="O750"/>
      <c r="P750"/>
      <c r="Q750"/>
      <c r="R750"/>
      <c r="S750"/>
      <c r="T750"/>
    </row>
    <row r="751" spans="1:20" x14ac:dyDescent="0.3">
      <c r="A751"/>
      <c r="B751"/>
      <c r="C751"/>
      <c r="D751"/>
      <c r="E751"/>
      <c r="F751"/>
      <c r="G751"/>
      <c r="H751"/>
      <c r="I751"/>
      <c r="J751"/>
      <c r="K751"/>
      <c r="L751"/>
      <c r="M751"/>
      <c r="N751"/>
      <c r="O751"/>
      <c r="P751"/>
      <c r="Q751"/>
      <c r="R751"/>
      <c r="S751"/>
      <c r="T751"/>
    </row>
    <row r="752" spans="1:20" x14ac:dyDescent="0.3">
      <c r="A752"/>
      <c r="B752"/>
      <c r="C752"/>
      <c r="D752"/>
      <c r="E752"/>
      <c r="F752"/>
      <c r="G752"/>
      <c r="H752"/>
      <c r="I752"/>
      <c r="J752"/>
      <c r="K752"/>
      <c r="L752"/>
      <c r="M752"/>
      <c r="N752"/>
      <c r="O752"/>
      <c r="P752"/>
      <c r="Q752"/>
      <c r="R752"/>
      <c r="S752"/>
      <c r="T752"/>
    </row>
    <row r="753" spans="1:20" x14ac:dyDescent="0.3">
      <c r="A753"/>
      <c r="B753"/>
      <c r="C753"/>
      <c r="D753"/>
      <c r="E753"/>
      <c r="F753"/>
      <c r="G753"/>
      <c r="H753"/>
      <c r="I753"/>
      <c r="J753"/>
      <c r="K753"/>
      <c r="L753"/>
      <c r="M753"/>
      <c r="N753"/>
      <c r="O753"/>
      <c r="P753"/>
      <c r="Q753"/>
      <c r="R753"/>
      <c r="S753"/>
      <c r="T753"/>
    </row>
    <row r="754" spans="1:20" x14ac:dyDescent="0.3">
      <c r="A754"/>
      <c r="B754"/>
      <c r="C754"/>
      <c r="D754"/>
      <c r="E754"/>
      <c r="F754"/>
      <c r="G754"/>
      <c r="H754"/>
      <c r="I754"/>
      <c r="J754"/>
      <c r="K754"/>
      <c r="L754"/>
      <c r="M754"/>
      <c r="N754"/>
      <c r="O754"/>
      <c r="P754"/>
      <c r="Q754"/>
      <c r="R754"/>
      <c r="S754"/>
      <c r="T754"/>
    </row>
    <row r="755" spans="1:20" x14ac:dyDescent="0.3">
      <c r="A755"/>
      <c r="B755"/>
      <c r="C755"/>
      <c r="D755"/>
      <c r="E755"/>
      <c r="F755"/>
      <c r="G755"/>
      <c r="H755"/>
      <c r="I755"/>
      <c r="J755"/>
      <c r="K755"/>
      <c r="L755"/>
      <c r="M755"/>
      <c r="N755"/>
      <c r="O755"/>
      <c r="P755"/>
      <c r="Q755"/>
      <c r="R755"/>
      <c r="S755"/>
      <c r="T755"/>
    </row>
    <row r="756" spans="1:20" x14ac:dyDescent="0.3">
      <c r="A756"/>
      <c r="B756"/>
      <c r="C756"/>
      <c r="D756"/>
      <c r="E756"/>
      <c r="F756"/>
      <c r="G756"/>
      <c r="H756"/>
      <c r="I756"/>
      <c r="J756"/>
      <c r="K756"/>
      <c r="L756"/>
      <c r="M756"/>
      <c r="N756"/>
      <c r="O756"/>
      <c r="P756"/>
      <c r="Q756"/>
      <c r="R756"/>
      <c r="S756"/>
      <c r="T756"/>
    </row>
    <row r="757" spans="1:20" x14ac:dyDescent="0.3">
      <c r="A757"/>
      <c r="B757"/>
      <c r="C757"/>
      <c r="D757"/>
      <c r="E757"/>
      <c r="F757"/>
      <c r="G757"/>
      <c r="H757"/>
      <c r="I757"/>
      <c r="J757"/>
      <c r="K757"/>
      <c r="L757"/>
      <c r="M757"/>
      <c r="N757"/>
      <c r="O757"/>
      <c r="P757"/>
      <c r="Q757"/>
      <c r="R757"/>
      <c r="S757"/>
      <c r="T757"/>
    </row>
    <row r="758" spans="1:20" x14ac:dyDescent="0.3">
      <c r="A758"/>
      <c r="B758"/>
      <c r="C758"/>
      <c r="D758"/>
      <c r="E758"/>
      <c r="F758"/>
      <c r="G758"/>
      <c r="H758"/>
      <c r="I758"/>
      <c r="J758"/>
      <c r="K758"/>
      <c r="L758"/>
      <c r="M758"/>
      <c r="N758"/>
      <c r="O758"/>
      <c r="P758"/>
      <c r="Q758"/>
      <c r="R758"/>
      <c r="S758"/>
      <c r="T758"/>
    </row>
    <row r="759" spans="1:20" x14ac:dyDescent="0.3">
      <c r="A759"/>
      <c r="B759"/>
      <c r="C759"/>
      <c r="D759"/>
      <c r="E759"/>
      <c r="F759"/>
      <c r="G759"/>
      <c r="H759"/>
      <c r="I759"/>
      <c r="J759"/>
      <c r="K759"/>
      <c r="L759"/>
      <c r="M759"/>
      <c r="N759"/>
      <c r="O759"/>
      <c r="P759"/>
      <c r="Q759"/>
      <c r="R759"/>
      <c r="S759"/>
      <c r="T759"/>
    </row>
    <row r="760" spans="1:20" x14ac:dyDescent="0.3">
      <c r="A760"/>
      <c r="B760"/>
      <c r="C760"/>
      <c r="D760"/>
      <c r="E760"/>
      <c r="F760"/>
      <c r="G760"/>
      <c r="H760"/>
      <c r="I760"/>
      <c r="J760"/>
      <c r="K760"/>
      <c r="L760"/>
      <c r="M760"/>
      <c r="N760"/>
      <c r="O760"/>
      <c r="P760"/>
      <c r="Q760"/>
      <c r="R760"/>
      <c r="S760"/>
      <c r="T760"/>
    </row>
    <row r="761" spans="1:20" x14ac:dyDescent="0.3">
      <c r="A761"/>
      <c r="B761"/>
      <c r="C761"/>
      <c r="D761"/>
      <c r="E761"/>
      <c r="F761"/>
      <c r="G761"/>
      <c r="H761"/>
      <c r="I761"/>
      <c r="J761"/>
      <c r="K761"/>
      <c r="L761"/>
      <c r="M761"/>
      <c r="N761"/>
      <c r="O761"/>
      <c r="P761"/>
      <c r="Q761"/>
      <c r="R761"/>
      <c r="S761"/>
      <c r="T761"/>
    </row>
    <row r="762" spans="1:20" x14ac:dyDescent="0.3">
      <c r="A762"/>
      <c r="B762"/>
      <c r="C762"/>
      <c r="D762"/>
      <c r="E762"/>
      <c r="F762"/>
      <c r="G762"/>
      <c r="H762"/>
      <c r="I762"/>
      <c r="J762"/>
      <c r="K762"/>
      <c r="L762"/>
      <c r="M762"/>
      <c r="N762"/>
      <c r="O762"/>
      <c r="P762"/>
      <c r="Q762"/>
      <c r="R762"/>
      <c r="S762"/>
      <c r="T762"/>
    </row>
    <row r="763" spans="1:20" x14ac:dyDescent="0.3">
      <c r="A763"/>
      <c r="B763"/>
      <c r="C763"/>
      <c r="D763"/>
      <c r="E763"/>
      <c r="F763"/>
      <c r="G763"/>
      <c r="H763"/>
      <c r="I763"/>
      <c r="J763"/>
      <c r="K763"/>
      <c r="L763"/>
      <c r="M763"/>
      <c r="N763"/>
      <c r="O763"/>
      <c r="P763"/>
      <c r="Q763"/>
      <c r="R763"/>
      <c r="S763"/>
      <c r="T763"/>
    </row>
    <row r="764" spans="1:20" x14ac:dyDescent="0.3">
      <c r="A764"/>
      <c r="B764"/>
      <c r="C764"/>
      <c r="D764"/>
      <c r="E764"/>
      <c r="F764"/>
      <c r="G764"/>
      <c r="H764"/>
      <c r="I764"/>
      <c r="J764"/>
      <c r="K764"/>
      <c r="L764"/>
      <c r="M764"/>
      <c r="N764"/>
      <c r="O764"/>
      <c r="P764"/>
      <c r="Q764"/>
      <c r="R764"/>
      <c r="S764"/>
      <c r="T764"/>
    </row>
    <row r="765" spans="1:20" x14ac:dyDescent="0.3">
      <c r="A765"/>
      <c r="B765"/>
      <c r="C765"/>
      <c r="D765"/>
      <c r="E765"/>
      <c r="F765"/>
      <c r="G765"/>
      <c r="H765"/>
      <c r="I765"/>
      <c r="J765"/>
      <c r="K765"/>
      <c r="L765"/>
      <c r="M765"/>
      <c r="N765"/>
      <c r="O765"/>
      <c r="P765"/>
      <c r="Q765"/>
      <c r="R765"/>
      <c r="S765"/>
      <c r="T765"/>
    </row>
    <row r="766" spans="1:20" x14ac:dyDescent="0.3">
      <c r="A766"/>
      <c r="B766"/>
      <c r="C766"/>
      <c r="D766"/>
      <c r="E766"/>
      <c r="F766"/>
      <c r="G766"/>
      <c r="H766"/>
      <c r="I766"/>
      <c r="J766"/>
      <c r="K766"/>
      <c r="L766"/>
      <c r="M766"/>
      <c r="N766"/>
      <c r="O766"/>
      <c r="P766"/>
      <c r="Q766"/>
      <c r="R766"/>
      <c r="S766"/>
      <c r="T766"/>
    </row>
    <row r="767" spans="1:20" x14ac:dyDescent="0.3">
      <c r="A767"/>
      <c r="B767"/>
      <c r="C767"/>
      <c r="D767"/>
      <c r="E767"/>
      <c r="F767"/>
      <c r="G767"/>
      <c r="H767"/>
      <c r="I767"/>
      <c r="J767"/>
      <c r="K767"/>
      <c r="L767"/>
      <c r="M767"/>
      <c r="N767"/>
      <c r="O767"/>
      <c r="P767"/>
      <c r="Q767"/>
      <c r="R767"/>
      <c r="S767"/>
      <c r="T767"/>
    </row>
    <row r="768" spans="1:20" x14ac:dyDescent="0.3">
      <c r="A768"/>
      <c r="B768"/>
      <c r="C768"/>
      <c r="D768"/>
      <c r="E768"/>
      <c r="F768"/>
      <c r="G768"/>
      <c r="H768"/>
      <c r="I768"/>
      <c r="J768"/>
      <c r="K768"/>
      <c r="L768"/>
      <c r="M768"/>
      <c r="N768"/>
      <c r="O768"/>
      <c r="P768"/>
      <c r="Q768"/>
      <c r="R768"/>
      <c r="S768"/>
      <c r="T768"/>
    </row>
    <row r="769" spans="1:20" x14ac:dyDescent="0.3">
      <c r="A769"/>
      <c r="B769"/>
      <c r="C769"/>
      <c r="D769"/>
      <c r="E769"/>
      <c r="F769"/>
      <c r="G769"/>
      <c r="H769"/>
      <c r="I769"/>
      <c r="J769"/>
      <c r="K769"/>
      <c r="L769"/>
      <c r="M769"/>
      <c r="N769"/>
      <c r="O769"/>
      <c r="P769"/>
      <c r="Q769"/>
      <c r="R769"/>
      <c r="S769"/>
      <c r="T769"/>
    </row>
    <row r="770" spans="1:20" x14ac:dyDescent="0.3">
      <c r="A770"/>
      <c r="B770"/>
      <c r="C770"/>
      <c r="D770"/>
      <c r="E770"/>
      <c r="F770"/>
      <c r="G770"/>
      <c r="H770"/>
      <c r="I770"/>
      <c r="J770"/>
      <c r="K770"/>
      <c r="L770"/>
      <c r="M770"/>
      <c r="N770"/>
      <c r="O770"/>
      <c r="P770"/>
      <c r="Q770"/>
      <c r="R770"/>
      <c r="S770"/>
      <c r="T770"/>
    </row>
    <row r="771" spans="1:20" x14ac:dyDescent="0.3">
      <c r="A771"/>
      <c r="B771"/>
      <c r="C771"/>
      <c r="D771"/>
      <c r="E771"/>
      <c r="F771"/>
      <c r="G771"/>
      <c r="H771"/>
      <c r="I771"/>
      <c r="J771"/>
      <c r="K771"/>
      <c r="L771"/>
      <c r="M771"/>
      <c r="N771"/>
      <c r="O771"/>
      <c r="P771"/>
      <c r="Q771"/>
      <c r="R771"/>
      <c r="S771"/>
      <c r="T771"/>
    </row>
    <row r="772" spans="1:20" x14ac:dyDescent="0.3">
      <c r="A772"/>
      <c r="B772"/>
      <c r="C772"/>
      <c r="D772"/>
      <c r="E772"/>
      <c r="F772"/>
      <c r="G772"/>
      <c r="H772"/>
      <c r="I772"/>
      <c r="J772"/>
      <c r="K772"/>
      <c r="L772"/>
      <c r="M772"/>
      <c r="N772"/>
      <c r="O772"/>
      <c r="P772"/>
      <c r="Q772"/>
      <c r="R772"/>
      <c r="S772"/>
      <c r="T772"/>
    </row>
    <row r="773" spans="1:20" x14ac:dyDescent="0.3">
      <c r="A773"/>
      <c r="B773"/>
      <c r="C773"/>
      <c r="D773"/>
      <c r="E773"/>
      <c r="F773"/>
      <c r="G773"/>
      <c r="H773"/>
      <c r="I773"/>
      <c r="J773"/>
      <c r="K773"/>
      <c r="L773"/>
      <c r="M773"/>
      <c r="N773"/>
      <c r="O773"/>
      <c r="P773"/>
      <c r="Q773"/>
      <c r="R773"/>
      <c r="S773"/>
      <c r="T773"/>
    </row>
    <row r="774" spans="1:20" x14ac:dyDescent="0.3">
      <c r="A774"/>
      <c r="B774"/>
      <c r="C774"/>
      <c r="D774"/>
      <c r="E774"/>
      <c r="F774"/>
      <c r="G774"/>
      <c r="H774"/>
      <c r="I774"/>
      <c r="J774"/>
      <c r="K774"/>
      <c r="L774"/>
      <c r="M774"/>
      <c r="N774"/>
      <c r="O774"/>
      <c r="P774"/>
      <c r="Q774"/>
      <c r="R774"/>
      <c r="S774"/>
      <c r="T774"/>
    </row>
    <row r="775" spans="1:20" x14ac:dyDescent="0.3">
      <c r="A775"/>
      <c r="B775"/>
      <c r="C775"/>
      <c r="D775"/>
      <c r="E775"/>
      <c r="F775"/>
      <c r="G775"/>
      <c r="H775"/>
      <c r="I775"/>
      <c r="J775"/>
      <c r="K775"/>
      <c r="L775"/>
      <c r="M775"/>
      <c r="N775"/>
      <c r="O775"/>
      <c r="P775"/>
      <c r="Q775"/>
      <c r="R775"/>
      <c r="S775"/>
      <c r="T775"/>
    </row>
    <row r="776" spans="1:20" x14ac:dyDescent="0.3">
      <c r="A776"/>
      <c r="B776"/>
      <c r="C776"/>
      <c r="D776"/>
      <c r="E776"/>
      <c r="F776"/>
      <c r="G776"/>
      <c r="H776"/>
      <c r="I776"/>
      <c r="J776"/>
      <c r="K776"/>
      <c r="L776"/>
      <c r="M776"/>
      <c r="N776"/>
      <c r="O776"/>
      <c r="P776"/>
      <c r="Q776"/>
      <c r="R776"/>
      <c r="S776"/>
      <c r="T776"/>
    </row>
    <row r="777" spans="1:20" x14ac:dyDescent="0.3">
      <c r="A777"/>
      <c r="B777"/>
      <c r="C777"/>
      <c r="D777"/>
      <c r="E777"/>
      <c r="F777"/>
      <c r="G777"/>
      <c r="H777"/>
      <c r="I777"/>
      <c r="J777"/>
      <c r="K777"/>
      <c r="L777"/>
      <c r="M777"/>
      <c r="N777"/>
      <c r="O777"/>
      <c r="P777"/>
      <c r="Q777"/>
      <c r="R777"/>
      <c r="S777"/>
      <c r="T777"/>
    </row>
    <row r="778" spans="1:20" x14ac:dyDescent="0.3">
      <c r="A778"/>
      <c r="B778"/>
      <c r="C778"/>
      <c r="D778"/>
      <c r="E778"/>
      <c r="F778"/>
      <c r="G778"/>
      <c r="H778"/>
      <c r="I778"/>
      <c r="J778"/>
      <c r="K778"/>
      <c r="L778"/>
      <c r="M778"/>
      <c r="N778"/>
      <c r="O778"/>
      <c r="P778"/>
      <c r="Q778"/>
      <c r="R778"/>
      <c r="S778"/>
      <c r="T778"/>
    </row>
    <row r="779" spans="1:20" x14ac:dyDescent="0.3">
      <c r="A779"/>
      <c r="B779"/>
      <c r="C779"/>
      <c r="D779"/>
      <c r="E779"/>
      <c r="F779"/>
      <c r="G779"/>
      <c r="H779"/>
      <c r="I779"/>
      <c r="J779"/>
      <c r="K779"/>
      <c r="L779"/>
      <c r="M779"/>
      <c r="N779"/>
      <c r="O779"/>
      <c r="P779"/>
      <c r="Q779"/>
      <c r="R779"/>
      <c r="S779"/>
      <c r="T779"/>
    </row>
    <row r="780" spans="1:20" x14ac:dyDescent="0.3">
      <c r="A780"/>
      <c r="B780"/>
      <c r="C780"/>
      <c r="D780"/>
      <c r="E780"/>
      <c r="F780"/>
      <c r="G780"/>
      <c r="H780"/>
      <c r="I780"/>
      <c r="J780"/>
      <c r="K780"/>
      <c r="L780"/>
      <c r="M780"/>
      <c r="N780"/>
      <c r="O780"/>
      <c r="P780"/>
      <c r="Q780"/>
      <c r="R780"/>
      <c r="S780"/>
      <c r="T780"/>
    </row>
    <row r="781" spans="1:20" x14ac:dyDescent="0.3">
      <c r="A781"/>
      <c r="B781"/>
      <c r="C781"/>
      <c r="D781"/>
      <c r="E781"/>
      <c r="F781"/>
      <c r="G781"/>
      <c r="H781"/>
      <c r="I781"/>
      <c r="J781"/>
      <c r="K781"/>
      <c r="L781"/>
      <c r="M781"/>
      <c r="N781"/>
      <c r="O781"/>
      <c r="P781"/>
      <c r="Q781"/>
      <c r="R781"/>
      <c r="S781"/>
      <c r="T781"/>
    </row>
    <row r="782" spans="1:20" x14ac:dyDescent="0.3">
      <c r="A782"/>
      <c r="B782"/>
      <c r="C782"/>
      <c r="D782"/>
      <c r="E782"/>
      <c r="F782"/>
      <c r="G782"/>
      <c r="H782"/>
      <c r="I782"/>
      <c r="J782"/>
      <c r="K782"/>
      <c r="L782"/>
      <c r="M782"/>
      <c r="N782"/>
      <c r="O782"/>
      <c r="P782"/>
      <c r="Q782"/>
      <c r="R782"/>
      <c r="S782"/>
      <c r="T782"/>
    </row>
    <row r="783" spans="1:20" x14ac:dyDescent="0.3">
      <c r="A783"/>
      <c r="B783"/>
      <c r="C783"/>
      <c r="D783"/>
      <c r="E783"/>
      <c r="F783"/>
      <c r="G783"/>
      <c r="H783"/>
      <c r="I783"/>
      <c r="J783"/>
      <c r="K783"/>
      <c r="L783"/>
      <c r="M783"/>
      <c r="N783"/>
      <c r="O783"/>
      <c r="P783"/>
      <c r="Q783"/>
      <c r="R783"/>
      <c r="S783"/>
      <c r="T783"/>
    </row>
    <row r="784" spans="1:20" x14ac:dyDescent="0.3">
      <c r="A784"/>
      <c r="B784"/>
      <c r="C784"/>
      <c r="D784"/>
      <c r="E784"/>
      <c r="F784"/>
      <c r="G784"/>
      <c r="H784"/>
      <c r="I784"/>
      <c r="J784"/>
      <c r="K784"/>
      <c r="L784"/>
      <c r="M784"/>
      <c r="N784"/>
      <c r="O784"/>
      <c r="P784"/>
      <c r="Q784"/>
      <c r="R784"/>
      <c r="S784"/>
      <c r="T784"/>
    </row>
    <row r="785" spans="1:20" x14ac:dyDescent="0.3">
      <c r="A785"/>
      <c r="B785"/>
      <c r="C785"/>
      <c r="D785"/>
      <c r="E785"/>
      <c r="F785"/>
      <c r="G785"/>
      <c r="H785"/>
      <c r="I785"/>
      <c r="J785"/>
      <c r="K785"/>
      <c r="L785"/>
      <c r="M785"/>
      <c r="N785"/>
      <c r="O785"/>
      <c r="P785"/>
      <c r="Q785"/>
      <c r="R785"/>
      <c r="S785"/>
      <c r="T785"/>
    </row>
    <row r="786" spans="1:20" x14ac:dyDescent="0.3">
      <c r="A786"/>
      <c r="B786"/>
      <c r="C786"/>
      <c r="D786"/>
      <c r="E786"/>
      <c r="F786"/>
      <c r="G786"/>
      <c r="H786"/>
      <c r="I786"/>
      <c r="J786"/>
      <c r="K786"/>
      <c r="L786"/>
      <c r="M786"/>
      <c r="N786"/>
      <c r="O786"/>
      <c r="P786"/>
      <c r="Q786"/>
      <c r="R786"/>
      <c r="S786"/>
      <c r="T786"/>
    </row>
    <row r="787" spans="1:20" x14ac:dyDescent="0.3">
      <c r="A787"/>
      <c r="B787"/>
      <c r="C787"/>
      <c r="D787"/>
      <c r="E787"/>
      <c r="F787"/>
      <c r="G787"/>
      <c r="H787"/>
      <c r="I787"/>
      <c r="J787"/>
      <c r="K787"/>
      <c r="L787"/>
      <c r="M787"/>
      <c r="N787"/>
      <c r="O787"/>
      <c r="P787"/>
      <c r="Q787"/>
      <c r="R787"/>
      <c r="S787"/>
      <c r="T787"/>
    </row>
    <row r="788" spans="1:20" x14ac:dyDescent="0.3">
      <c r="A788"/>
      <c r="B788"/>
      <c r="C788"/>
      <c r="D788"/>
      <c r="E788"/>
      <c r="F788"/>
      <c r="G788"/>
      <c r="H788"/>
      <c r="I788"/>
      <c r="J788"/>
      <c r="K788"/>
      <c r="L788"/>
      <c r="M788"/>
      <c r="N788"/>
      <c r="O788"/>
      <c r="P788"/>
      <c r="Q788"/>
      <c r="R788"/>
      <c r="S788"/>
      <c r="T788"/>
    </row>
    <row r="789" spans="1:20" x14ac:dyDescent="0.3">
      <c r="A789"/>
      <c r="B789"/>
      <c r="C789"/>
      <c r="D789"/>
      <c r="E789"/>
      <c r="F789"/>
      <c r="G789"/>
      <c r="H789"/>
      <c r="I789"/>
      <c r="J789"/>
      <c r="K789"/>
      <c r="L789"/>
      <c r="M789"/>
      <c r="N789"/>
      <c r="O789"/>
      <c r="P789"/>
      <c r="Q789"/>
      <c r="R789"/>
      <c r="S789"/>
      <c r="T789"/>
    </row>
    <row r="790" spans="1:20" x14ac:dyDescent="0.3">
      <c r="A790"/>
      <c r="B790"/>
      <c r="C790"/>
      <c r="D790"/>
      <c r="E790"/>
      <c r="F790"/>
      <c r="G790"/>
      <c r="H790"/>
      <c r="I790"/>
      <c r="J790"/>
      <c r="K790"/>
      <c r="L790"/>
      <c r="M790"/>
      <c r="N790"/>
      <c r="O790"/>
      <c r="P790"/>
      <c r="Q790"/>
      <c r="R790"/>
      <c r="S790"/>
      <c r="T790"/>
    </row>
    <row r="791" spans="1:20" x14ac:dyDescent="0.3">
      <c r="A791"/>
      <c r="B791"/>
      <c r="C791"/>
      <c r="D791"/>
      <c r="E791"/>
      <c r="F791"/>
      <c r="G791"/>
      <c r="H791"/>
      <c r="I791"/>
      <c r="J791"/>
      <c r="K791"/>
      <c r="L791"/>
      <c r="M791"/>
      <c r="N791"/>
      <c r="O791"/>
      <c r="P791"/>
      <c r="Q791"/>
      <c r="R791"/>
      <c r="S791"/>
      <c r="T791"/>
    </row>
    <row r="792" spans="1:20" x14ac:dyDescent="0.3">
      <c r="A792"/>
      <c r="B792"/>
      <c r="C792"/>
      <c r="D792"/>
      <c r="E792"/>
      <c r="F792"/>
      <c r="G792"/>
      <c r="H792"/>
      <c r="I792"/>
      <c r="J792"/>
      <c r="K792"/>
      <c r="L792"/>
      <c r="M792"/>
      <c r="N792"/>
      <c r="O792"/>
      <c r="P792"/>
      <c r="Q792"/>
      <c r="R792"/>
      <c r="S792"/>
      <c r="T792"/>
    </row>
    <row r="793" spans="1:20" x14ac:dyDescent="0.3">
      <c r="A793"/>
      <c r="B793"/>
      <c r="C793"/>
      <c r="D793"/>
      <c r="E793"/>
      <c r="F793"/>
      <c r="G793"/>
      <c r="H793"/>
      <c r="I793"/>
      <c r="J793"/>
      <c r="K793"/>
      <c r="L793"/>
      <c r="M793"/>
      <c r="N793"/>
      <c r="O793"/>
      <c r="P793"/>
      <c r="Q793"/>
      <c r="R793"/>
      <c r="S793"/>
      <c r="T793"/>
    </row>
    <row r="794" spans="1:20" x14ac:dyDescent="0.3">
      <c r="A794"/>
      <c r="B794"/>
      <c r="C794"/>
      <c r="D794"/>
      <c r="E794"/>
      <c r="F794"/>
      <c r="G794"/>
      <c r="H794"/>
      <c r="I794"/>
      <c r="J794"/>
      <c r="K794"/>
      <c r="L794"/>
      <c r="M794"/>
      <c r="N794"/>
      <c r="O794"/>
      <c r="P794"/>
      <c r="Q794"/>
      <c r="R794"/>
      <c r="S794"/>
      <c r="T794"/>
    </row>
    <row r="795" spans="1:20" x14ac:dyDescent="0.3">
      <c r="A795"/>
      <c r="B795"/>
      <c r="C795"/>
      <c r="D795"/>
      <c r="E795"/>
      <c r="F795"/>
      <c r="G795"/>
      <c r="H795"/>
      <c r="I795"/>
      <c r="J795"/>
      <c r="K795"/>
      <c r="L795"/>
      <c r="M795"/>
      <c r="N795"/>
      <c r="O795"/>
      <c r="P795"/>
      <c r="Q795"/>
      <c r="R795"/>
      <c r="S795"/>
      <c r="T795"/>
    </row>
    <row r="796" spans="1:20" x14ac:dyDescent="0.3">
      <c r="A796"/>
      <c r="B796"/>
      <c r="C796"/>
      <c r="D796"/>
      <c r="E796"/>
      <c r="F796"/>
      <c r="G796"/>
      <c r="H796"/>
      <c r="I796"/>
      <c r="J796"/>
      <c r="K796"/>
      <c r="L796"/>
      <c r="M796"/>
      <c r="N796"/>
      <c r="O796"/>
      <c r="P796"/>
      <c r="Q796"/>
      <c r="R796"/>
      <c r="S796"/>
      <c r="T796"/>
    </row>
    <row r="797" spans="1:20" x14ac:dyDescent="0.3">
      <c r="A797"/>
      <c r="B797"/>
      <c r="C797"/>
      <c r="D797"/>
      <c r="E797"/>
      <c r="F797"/>
      <c r="G797"/>
      <c r="H797"/>
      <c r="I797"/>
      <c r="J797"/>
      <c r="K797"/>
      <c r="L797"/>
      <c r="M797"/>
      <c r="N797"/>
      <c r="O797"/>
      <c r="P797"/>
      <c r="Q797"/>
      <c r="R797"/>
      <c r="S797"/>
      <c r="T797"/>
    </row>
    <row r="798" spans="1:20" x14ac:dyDescent="0.3">
      <c r="A798"/>
      <c r="B798"/>
      <c r="C798"/>
      <c r="D798"/>
      <c r="E798"/>
      <c r="F798"/>
      <c r="G798"/>
      <c r="H798"/>
      <c r="I798"/>
      <c r="J798"/>
      <c r="K798"/>
      <c r="L798"/>
      <c r="M798"/>
      <c r="N798"/>
      <c r="O798"/>
      <c r="P798"/>
      <c r="Q798"/>
      <c r="R798"/>
      <c r="S798"/>
      <c r="T798"/>
    </row>
    <row r="799" spans="1:20" x14ac:dyDescent="0.3">
      <c r="A799"/>
      <c r="B799"/>
      <c r="C799"/>
      <c r="D799"/>
      <c r="E799"/>
      <c r="F799"/>
      <c r="G799"/>
      <c r="H799"/>
      <c r="I799"/>
      <c r="J799"/>
      <c r="K799"/>
      <c r="L799"/>
      <c r="M799"/>
      <c r="N799"/>
      <c r="O799"/>
      <c r="P799"/>
      <c r="Q799"/>
      <c r="R799"/>
      <c r="S799"/>
      <c r="T799"/>
    </row>
    <row r="800" spans="1:20" x14ac:dyDescent="0.3">
      <c r="A800"/>
      <c r="B800"/>
      <c r="C800"/>
      <c r="D800"/>
      <c r="E800"/>
      <c r="F800"/>
      <c r="G800"/>
      <c r="H800"/>
      <c r="I800"/>
      <c r="J800"/>
      <c r="K800"/>
      <c r="L800"/>
      <c r="M800"/>
      <c r="N800"/>
      <c r="O800"/>
      <c r="P800"/>
      <c r="Q800"/>
      <c r="R800"/>
      <c r="S800"/>
      <c r="T800"/>
    </row>
    <row r="801" spans="1:20" x14ac:dyDescent="0.3">
      <c r="A801"/>
      <c r="B801"/>
      <c r="C801"/>
      <c r="D801"/>
      <c r="E801"/>
      <c r="F801"/>
      <c r="G801"/>
      <c r="H801"/>
      <c r="I801"/>
      <c r="J801"/>
      <c r="K801"/>
      <c r="L801"/>
      <c r="M801"/>
      <c r="N801"/>
      <c r="O801"/>
      <c r="P801"/>
      <c r="Q801"/>
      <c r="R801"/>
      <c r="S801"/>
      <c r="T801"/>
    </row>
    <row r="802" spans="1:20" x14ac:dyDescent="0.3">
      <c r="A802"/>
      <c r="B802"/>
      <c r="C802"/>
      <c r="D802"/>
      <c r="E802"/>
      <c r="F802"/>
      <c r="G802"/>
      <c r="H802"/>
      <c r="I802"/>
      <c r="J802"/>
      <c r="K802"/>
      <c r="L802"/>
      <c r="M802"/>
      <c r="N802"/>
      <c r="O802"/>
      <c r="P802"/>
      <c r="Q802"/>
      <c r="R802"/>
      <c r="S802"/>
      <c r="T802"/>
    </row>
    <row r="803" spans="1:20" x14ac:dyDescent="0.3">
      <c r="A803"/>
      <c r="B803"/>
      <c r="C803"/>
      <c r="D803"/>
      <c r="E803"/>
      <c r="F803"/>
      <c r="G803"/>
      <c r="H803"/>
      <c r="I803"/>
      <c r="J803"/>
      <c r="K803"/>
      <c r="L803"/>
      <c r="M803"/>
      <c r="N803"/>
      <c r="O803"/>
      <c r="P803"/>
      <c r="Q803"/>
      <c r="R803"/>
      <c r="S803"/>
      <c r="T803"/>
    </row>
    <row r="804" spans="1:20" x14ac:dyDescent="0.3">
      <c r="A804"/>
      <c r="B804"/>
      <c r="C804"/>
      <c r="D804"/>
      <c r="E804"/>
      <c r="F804"/>
      <c r="G804"/>
      <c r="H804"/>
      <c r="I804"/>
      <c r="J804"/>
      <c r="K804"/>
      <c r="L804"/>
      <c r="M804"/>
      <c r="N804"/>
      <c r="O804"/>
      <c r="P804"/>
      <c r="Q804"/>
      <c r="R804"/>
      <c r="S804"/>
      <c r="T804"/>
    </row>
    <row r="805" spans="1:20" x14ac:dyDescent="0.3">
      <c r="A805"/>
      <c r="B805"/>
      <c r="C805"/>
      <c r="D805"/>
      <c r="E805"/>
      <c r="F805"/>
      <c r="G805"/>
      <c r="H805"/>
      <c r="I805"/>
      <c r="J805"/>
      <c r="K805"/>
      <c r="L805"/>
      <c r="M805"/>
      <c r="N805"/>
      <c r="O805"/>
      <c r="P805"/>
      <c r="Q805"/>
      <c r="R805"/>
      <c r="S805"/>
      <c r="T805"/>
    </row>
    <row r="806" spans="1:20" x14ac:dyDescent="0.3">
      <c r="A806"/>
      <c r="B806"/>
      <c r="C806"/>
      <c r="D806"/>
      <c r="E806"/>
      <c r="F806"/>
      <c r="G806"/>
      <c r="H806"/>
      <c r="I806"/>
      <c r="J806"/>
      <c r="K806"/>
      <c r="L806"/>
      <c r="M806"/>
      <c r="N806"/>
      <c r="O806"/>
      <c r="P806"/>
      <c r="Q806"/>
      <c r="R806"/>
      <c r="S806"/>
      <c r="T806"/>
    </row>
    <row r="807" spans="1:20" x14ac:dyDescent="0.3">
      <c r="A807"/>
      <c r="B807"/>
      <c r="C807"/>
      <c r="D807"/>
      <c r="E807"/>
      <c r="F807"/>
      <c r="G807"/>
      <c r="H807"/>
      <c r="I807"/>
      <c r="J807"/>
      <c r="K807"/>
      <c r="L807"/>
      <c r="M807"/>
      <c r="N807"/>
      <c r="O807"/>
      <c r="P807"/>
      <c r="Q807"/>
      <c r="R807"/>
      <c r="S807"/>
      <c r="T807"/>
    </row>
    <row r="808" spans="1:20" x14ac:dyDescent="0.3">
      <c r="A808"/>
      <c r="B808"/>
      <c r="C808"/>
      <c r="D808"/>
      <c r="E808"/>
      <c r="F808"/>
      <c r="G808"/>
      <c r="H808"/>
      <c r="I808"/>
      <c r="J808"/>
      <c r="K808"/>
      <c r="L808"/>
      <c r="M808"/>
      <c r="N808"/>
      <c r="O808"/>
      <c r="P808"/>
      <c r="Q808"/>
      <c r="R808"/>
      <c r="S808"/>
      <c r="T808"/>
    </row>
    <row r="809" spans="1:20" x14ac:dyDescent="0.3">
      <c r="A809"/>
      <c r="B809"/>
      <c r="C809"/>
      <c r="D809"/>
      <c r="E809"/>
      <c r="F809"/>
      <c r="G809"/>
      <c r="H809"/>
      <c r="I809"/>
      <c r="J809"/>
      <c r="K809"/>
      <c r="L809"/>
      <c r="M809"/>
      <c r="N809"/>
      <c r="O809"/>
      <c r="P809"/>
      <c r="Q809"/>
      <c r="R809"/>
      <c r="S809"/>
      <c r="T809"/>
    </row>
    <row r="810" spans="1:20" x14ac:dyDescent="0.3">
      <c r="A810"/>
      <c r="B810"/>
      <c r="C810"/>
      <c r="D810"/>
      <c r="E810"/>
      <c r="F810"/>
      <c r="G810"/>
      <c r="H810"/>
      <c r="I810"/>
      <c r="J810"/>
      <c r="K810"/>
      <c r="L810"/>
      <c r="M810"/>
      <c r="N810"/>
      <c r="O810"/>
      <c r="P810"/>
      <c r="Q810"/>
      <c r="R810"/>
      <c r="S810"/>
      <c r="T810"/>
    </row>
    <row r="811" spans="1:20" x14ac:dyDescent="0.3">
      <c r="A811"/>
      <c r="B811"/>
      <c r="C811"/>
      <c r="D811"/>
      <c r="E811"/>
      <c r="F811"/>
      <c r="G811"/>
      <c r="H811"/>
      <c r="I811"/>
      <c r="J811"/>
      <c r="K811"/>
      <c r="L811"/>
      <c r="M811"/>
      <c r="N811"/>
      <c r="O811"/>
      <c r="P811"/>
      <c r="Q811"/>
      <c r="R811"/>
      <c r="S811"/>
      <c r="T811"/>
    </row>
    <row r="812" spans="1:20" x14ac:dyDescent="0.3">
      <c r="A812"/>
      <c r="B812"/>
      <c r="C812"/>
      <c r="D812"/>
      <c r="E812"/>
      <c r="F812"/>
      <c r="G812"/>
      <c r="H812"/>
      <c r="I812"/>
      <c r="J812"/>
      <c r="K812"/>
      <c r="L812"/>
      <c r="M812"/>
      <c r="N812"/>
      <c r="O812"/>
      <c r="P812"/>
      <c r="Q812"/>
      <c r="R812"/>
      <c r="S812"/>
      <c r="T812"/>
    </row>
    <row r="813" spans="1:20" x14ac:dyDescent="0.3">
      <c r="A813"/>
      <c r="B813"/>
      <c r="C813"/>
      <c r="D813"/>
      <c r="E813"/>
      <c r="F813"/>
      <c r="G813"/>
      <c r="H813"/>
      <c r="I813"/>
      <c r="J813"/>
      <c r="K813"/>
      <c r="L813"/>
      <c r="M813"/>
      <c r="N813"/>
      <c r="O813"/>
      <c r="P813"/>
      <c r="Q813"/>
      <c r="R813"/>
      <c r="S813"/>
      <c r="T813"/>
    </row>
    <row r="814" spans="1:20" x14ac:dyDescent="0.3">
      <c r="A814"/>
      <c r="B814"/>
      <c r="C814"/>
      <c r="D814"/>
      <c r="E814"/>
      <c r="F814"/>
      <c r="G814"/>
      <c r="H814"/>
      <c r="I814"/>
      <c r="J814"/>
      <c r="K814"/>
      <c r="L814"/>
      <c r="M814"/>
      <c r="N814"/>
      <c r="O814"/>
      <c r="P814"/>
      <c r="Q814"/>
      <c r="R814"/>
      <c r="S814"/>
      <c r="T814"/>
    </row>
    <row r="815" spans="1:20" x14ac:dyDescent="0.3">
      <c r="A815"/>
      <c r="B815"/>
      <c r="C815"/>
      <c r="D815"/>
      <c r="E815"/>
      <c r="F815"/>
      <c r="G815"/>
      <c r="H815"/>
      <c r="I815"/>
      <c r="J815"/>
      <c r="K815"/>
      <c r="L815"/>
      <c r="M815"/>
      <c r="N815"/>
      <c r="O815"/>
      <c r="P815"/>
      <c r="Q815"/>
      <c r="R815"/>
      <c r="S815"/>
      <c r="T815"/>
    </row>
    <row r="816" spans="1:20" x14ac:dyDescent="0.3">
      <c r="A816"/>
      <c r="B816"/>
      <c r="C816"/>
      <c r="D816"/>
      <c r="E816"/>
      <c r="F816"/>
      <c r="G816"/>
      <c r="H816"/>
      <c r="I816"/>
      <c r="J816"/>
      <c r="K816"/>
      <c r="L816"/>
      <c r="M816"/>
      <c r="N816"/>
      <c r="O816"/>
      <c r="P816"/>
      <c r="Q816"/>
      <c r="R816"/>
      <c r="S816"/>
      <c r="T816"/>
    </row>
    <row r="817" spans="1:20" x14ac:dyDescent="0.3">
      <c r="A817"/>
      <c r="B817"/>
      <c r="C817"/>
      <c r="D817"/>
      <c r="E817"/>
      <c r="F817"/>
      <c r="G817"/>
      <c r="H817"/>
      <c r="I817"/>
      <c r="J817"/>
      <c r="K817"/>
      <c r="L817"/>
      <c r="M817"/>
      <c r="N817"/>
      <c r="O817"/>
      <c r="P817"/>
      <c r="Q817"/>
      <c r="R817"/>
      <c r="S817"/>
      <c r="T817"/>
    </row>
    <row r="818" spans="1:20" x14ac:dyDescent="0.3">
      <c r="A818"/>
      <c r="B818"/>
      <c r="C818"/>
      <c r="D818"/>
      <c r="E818"/>
      <c r="F818"/>
      <c r="G818"/>
      <c r="H818"/>
      <c r="I818"/>
      <c r="J818"/>
      <c r="K818"/>
      <c r="L818"/>
      <c r="M818"/>
      <c r="N818"/>
      <c r="O818"/>
      <c r="P818"/>
      <c r="Q818"/>
      <c r="R818"/>
      <c r="S818"/>
      <c r="T818"/>
    </row>
    <row r="819" spans="1:20" x14ac:dyDescent="0.3">
      <c r="A819"/>
      <c r="B819"/>
      <c r="C819"/>
      <c r="D819"/>
      <c r="E819"/>
      <c r="F819"/>
      <c r="G819"/>
      <c r="H819"/>
      <c r="I819"/>
      <c r="J819"/>
      <c r="K819"/>
      <c r="L819"/>
      <c r="M819"/>
      <c r="N819"/>
      <c r="O819"/>
      <c r="P819"/>
      <c r="Q819"/>
      <c r="R819"/>
      <c r="S819"/>
      <c r="T819"/>
    </row>
    <row r="820" spans="1:20" x14ac:dyDescent="0.3">
      <c r="A820"/>
      <c r="B820"/>
      <c r="C820"/>
      <c r="D820"/>
      <c r="E820"/>
      <c r="F820"/>
      <c r="G820"/>
      <c r="H820"/>
      <c r="I820"/>
      <c r="J820"/>
      <c r="K820"/>
      <c r="L820"/>
      <c r="M820"/>
      <c r="N820"/>
      <c r="O820"/>
      <c r="P820"/>
      <c r="Q820"/>
      <c r="R820"/>
      <c r="S820"/>
      <c r="T820"/>
    </row>
    <row r="821" spans="1:20" x14ac:dyDescent="0.3">
      <c r="A821"/>
      <c r="B821"/>
      <c r="C821"/>
      <c r="D821"/>
      <c r="E821"/>
      <c r="F821"/>
      <c r="G821"/>
      <c r="H821"/>
      <c r="I821"/>
      <c r="J821"/>
      <c r="K821"/>
      <c r="L821"/>
      <c r="M821"/>
      <c r="N821"/>
      <c r="O821"/>
      <c r="P821"/>
      <c r="Q821"/>
      <c r="R821"/>
      <c r="S821"/>
      <c r="T821"/>
    </row>
    <row r="822" spans="1:20" x14ac:dyDescent="0.3">
      <c r="A822"/>
      <c r="B822"/>
      <c r="C822"/>
      <c r="D822"/>
      <c r="E822"/>
      <c r="F822"/>
      <c r="G822"/>
      <c r="H822"/>
      <c r="I822"/>
      <c r="J822"/>
      <c r="K822"/>
      <c r="L822"/>
      <c r="M822"/>
      <c r="N822"/>
      <c r="O822"/>
      <c r="P822"/>
      <c r="Q822"/>
      <c r="R822"/>
      <c r="S822"/>
      <c r="T822"/>
    </row>
    <row r="823" spans="1:20" x14ac:dyDescent="0.3">
      <c r="A823"/>
      <c r="B823"/>
      <c r="C823"/>
      <c r="D823"/>
      <c r="E823"/>
      <c r="F823"/>
      <c r="G823"/>
      <c r="H823"/>
      <c r="I823"/>
      <c r="J823"/>
      <c r="K823"/>
      <c r="L823"/>
      <c r="M823"/>
      <c r="N823"/>
      <c r="O823"/>
      <c r="P823"/>
      <c r="Q823"/>
      <c r="R823"/>
      <c r="S823"/>
      <c r="T823"/>
    </row>
    <row r="824" spans="1:20" x14ac:dyDescent="0.3">
      <c r="A824"/>
      <c r="B824"/>
      <c r="C824"/>
      <c r="D824"/>
      <c r="E824"/>
      <c r="F824"/>
      <c r="G824"/>
      <c r="H824"/>
      <c r="I824"/>
      <c r="J824"/>
      <c r="K824"/>
      <c r="L824"/>
      <c r="M824"/>
      <c r="N824"/>
      <c r="O824"/>
      <c r="P824"/>
      <c r="Q824"/>
      <c r="R824"/>
      <c r="S824"/>
      <c r="T824"/>
    </row>
    <row r="825" spans="1:20" x14ac:dyDescent="0.3">
      <c r="A825"/>
      <c r="B825"/>
      <c r="C825"/>
      <c r="D825"/>
      <c r="E825"/>
      <c r="F825"/>
      <c r="G825"/>
      <c r="H825"/>
      <c r="I825"/>
      <c r="J825"/>
      <c r="K825"/>
      <c r="L825"/>
      <c r="M825"/>
      <c r="N825"/>
      <c r="O825"/>
      <c r="P825"/>
      <c r="Q825"/>
      <c r="R825"/>
      <c r="S825"/>
      <c r="T825"/>
    </row>
    <row r="826" spans="1:20" x14ac:dyDescent="0.3">
      <c r="A826"/>
      <c r="B826"/>
      <c r="C826"/>
      <c r="D826"/>
      <c r="E826"/>
      <c r="F826"/>
      <c r="G826"/>
      <c r="H826"/>
      <c r="I826"/>
      <c r="J826"/>
      <c r="K826"/>
      <c r="L826"/>
      <c r="M826"/>
      <c r="N826"/>
      <c r="O826"/>
      <c r="P826"/>
      <c r="Q826"/>
      <c r="R826"/>
      <c r="S826"/>
      <c r="T826"/>
    </row>
    <row r="827" spans="1:20" x14ac:dyDescent="0.3">
      <c r="A827"/>
      <c r="B827"/>
      <c r="C827"/>
      <c r="D827"/>
      <c r="E827"/>
      <c r="F827"/>
      <c r="G827"/>
      <c r="H827"/>
      <c r="I827"/>
      <c r="J827"/>
      <c r="K827"/>
      <c r="L827"/>
      <c r="M827"/>
      <c r="N827"/>
      <c r="O827"/>
      <c r="P827"/>
      <c r="Q827"/>
      <c r="R827"/>
      <c r="S827"/>
      <c r="T827"/>
    </row>
    <row r="828" spans="1:20" x14ac:dyDescent="0.3">
      <c r="A828"/>
      <c r="B828"/>
      <c r="C828"/>
      <c r="D828"/>
      <c r="E828"/>
      <c r="F828"/>
      <c r="G828"/>
      <c r="H828"/>
      <c r="I828"/>
      <c r="J828"/>
      <c r="K828"/>
      <c r="L828"/>
      <c r="M828"/>
      <c r="N828"/>
      <c r="O828"/>
      <c r="P828"/>
      <c r="Q828"/>
      <c r="R828"/>
      <c r="S828"/>
      <c r="T828"/>
    </row>
    <row r="829" spans="1:20" x14ac:dyDescent="0.3">
      <c r="A829"/>
      <c r="B829"/>
      <c r="C829"/>
      <c r="D829"/>
      <c r="E829"/>
      <c r="F829"/>
      <c r="G829"/>
      <c r="H829"/>
      <c r="I829"/>
      <c r="J829"/>
      <c r="K829"/>
      <c r="L829"/>
      <c r="M829"/>
      <c r="N829"/>
      <c r="O829"/>
      <c r="P829"/>
      <c r="Q829"/>
      <c r="R829"/>
      <c r="S829"/>
      <c r="T829"/>
    </row>
    <row r="830" spans="1:20" x14ac:dyDescent="0.3">
      <c r="A830"/>
      <c r="B830"/>
      <c r="C830"/>
      <c r="D830"/>
      <c r="E830"/>
      <c r="F830"/>
      <c r="G830"/>
      <c r="H830"/>
      <c r="I830"/>
      <c r="J830"/>
      <c r="K830"/>
      <c r="L830"/>
      <c r="M830"/>
      <c r="N830"/>
      <c r="O830"/>
      <c r="P830"/>
      <c r="Q830"/>
      <c r="R830"/>
      <c r="S830"/>
      <c r="T830"/>
    </row>
    <row r="831" spans="1:20" x14ac:dyDescent="0.3">
      <c r="A831"/>
      <c r="B831"/>
      <c r="C831"/>
      <c r="D831"/>
      <c r="E831"/>
      <c r="F831"/>
      <c r="G831"/>
      <c r="H831"/>
      <c r="I831"/>
      <c r="J831"/>
      <c r="K831"/>
      <c r="L831"/>
      <c r="M831"/>
      <c r="N831"/>
      <c r="O831"/>
      <c r="P831"/>
      <c r="Q831"/>
      <c r="R831"/>
      <c r="S831"/>
      <c r="T831"/>
    </row>
    <row r="832" spans="1:20" x14ac:dyDescent="0.3">
      <c r="A832"/>
      <c r="B832"/>
      <c r="C832"/>
      <c r="D832"/>
      <c r="E832"/>
      <c r="F832"/>
      <c r="G832"/>
      <c r="H832"/>
      <c r="I832"/>
      <c r="J832"/>
      <c r="K832"/>
      <c r="L832"/>
      <c r="M832"/>
      <c r="N832"/>
      <c r="O832"/>
      <c r="P832"/>
      <c r="Q832"/>
      <c r="R832"/>
      <c r="S832"/>
      <c r="T832"/>
    </row>
    <row r="833" spans="1:20" x14ac:dyDescent="0.3">
      <c r="A833"/>
      <c r="B833"/>
      <c r="C833"/>
      <c r="D833"/>
      <c r="E833"/>
      <c r="F833"/>
      <c r="G833"/>
      <c r="H833"/>
      <c r="I833"/>
      <c r="J833"/>
      <c r="K833"/>
      <c r="L833"/>
      <c r="M833"/>
      <c r="N833"/>
      <c r="O833"/>
      <c r="P833"/>
      <c r="Q833"/>
      <c r="R833"/>
      <c r="S833"/>
      <c r="T833"/>
    </row>
    <row r="834" spans="1:20" x14ac:dyDescent="0.3">
      <c r="A834"/>
      <c r="B834"/>
      <c r="C834"/>
      <c r="D834"/>
      <c r="E834"/>
      <c r="F834"/>
      <c r="G834"/>
      <c r="H834"/>
      <c r="I834"/>
      <c r="J834"/>
      <c r="K834"/>
      <c r="L834"/>
      <c r="M834"/>
      <c r="N834"/>
      <c r="O834"/>
      <c r="P834"/>
      <c r="Q834"/>
      <c r="R834"/>
      <c r="S834"/>
      <c r="T834"/>
    </row>
    <row r="835" spans="1:20" x14ac:dyDescent="0.3">
      <c r="A835"/>
      <c r="B835"/>
      <c r="C835"/>
      <c r="D835"/>
      <c r="E835"/>
      <c r="F835"/>
      <c r="G835"/>
      <c r="H835"/>
      <c r="I835"/>
      <c r="J835"/>
      <c r="K835"/>
      <c r="L835"/>
      <c r="M835"/>
      <c r="N835"/>
      <c r="O835"/>
      <c r="P835"/>
      <c r="Q835"/>
      <c r="R835"/>
      <c r="S835"/>
      <c r="T835"/>
    </row>
    <row r="836" spans="1:20" x14ac:dyDescent="0.3">
      <c r="A836"/>
      <c r="B836"/>
      <c r="C836"/>
      <c r="D836"/>
      <c r="E836"/>
      <c r="F836"/>
      <c r="G836"/>
      <c r="H836"/>
      <c r="I836"/>
      <c r="J836"/>
      <c r="K836"/>
      <c r="L836"/>
      <c r="M836"/>
      <c r="N836"/>
      <c r="O836"/>
      <c r="P836"/>
      <c r="Q836"/>
      <c r="R836"/>
      <c r="S836"/>
      <c r="T836"/>
    </row>
    <row r="837" spans="1:20" x14ac:dyDescent="0.3">
      <c r="A837"/>
      <c r="B837"/>
      <c r="C837"/>
      <c r="D837"/>
      <c r="E837"/>
      <c r="F837"/>
      <c r="G837"/>
      <c r="H837"/>
      <c r="I837"/>
      <c r="J837"/>
      <c r="K837"/>
      <c r="L837"/>
      <c r="M837"/>
      <c r="N837"/>
      <c r="O837"/>
      <c r="P837"/>
      <c r="Q837"/>
      <c r="R837"/>
      <c r="S837"/>
      <c r="T837"/>
    </row>
    <row r="838" spans="1:20" x14ac:dyDescent="0.3">
      <c r="A838"/>
      <c r="B838"/>
      <c r="C838"/>
      <c r="D838"/>
      <c r="E838"/>
      <c r="F838"/>
      <c r="G838"/>
      <c r="H838"/>
      <c r="I838"/>
      <c r="J838"/>
      <c r="K838"/>
      <c r="L838"/>
      <c r="M838"/>
      <c r="N838"/>
      <c r="O838"/>
      <c r="P838"/>
      <c r="Q838"/>
      <c r="R838"/>
      <c r="S838"/>
      <c r="T838"/>
    </row>
    <row r="839" spans="1:20" x14ac:dyDescent="0.3">
      <c r="A839"/>
      <c r="B839"/>
      <c r="C839"/>
      <c r="D839"/>
      <c r="E839"/>
      <c r="F839"/>
      <c r="G839"/>
      <c r="H839"/>
      <c r="I839"/>
      <c r="J839"/>
      <c r="K839"/>
      <c r="L839"/>
      <c r="M839"/>
      <c r="N839"/>
      <c r="O839"/>
      <c r="P839"/>
      <c r="Q839"/>
      <c r="R839"/>
      <c r="S839"/>
      <c r="T839"/>
    </row>
    <row r="840" spans="1:20" x14ac:dyDescent="0.3">
      <c r="A840"/>
      <c r="B840"/>
      <c r="C840"/>
      <c r="D840"/>
      <c r="E840"/>
      <c r="F840"/>
      <c r="G840"/>
      <c r="H840"/>
      <c r="I840"/>
      <c r="J840"/>
      <c r="K840"/>
      <c r="L840"/>
      <c r="M840"/>
      <c r="N840"/>
      <c r="O840"/>
      <c r="P840"/>
      <c r="Q840"/>
      <c r="R840"/>
      <c r="S840"/>
      <c r="T840"/>
    </row>
    <row r="841" spans="1:20" x14ac:dyDescent="0.3">
      <c r="A841"/>
      <c r="B841"/>
      <c r="C841"/>
      <c r="D841"/>
      <c r="E841"/>
      <c r="F841"/>
      <c r="G841"/>
      <c r="H841"/>
      <c r="I841"/>
      <c r="J841"/>
      <c r="K841"/>
      <c r="L841"/>
      <c r="M841"/>
      <c r="N841"/>
      <c r="O841"/>
      <c r="P841"/>
      <c r="Q841"/>
      <c r="R841"/>
      <c r="S841"/>
      <c r="T841"/>
    </row>
    <row r="842" spans="1:20" x14ac:dyDescent="0.3">
      <c r="A842"/>
      <c r="B842"/>
      <c r="C842"/>
      <c r="D842"/>
      <c r="E842"/>
      <c r="F842"/>
      <c r="G842"/>
      <c r="H842"/>
      <c r="I842"/>
      <c r="J842"/>
      <c r="K842"/>
      <c r="L842"/>
      <c r="M842"/>
      <c r="N842"/>
      <c r="O842"/>
      <c r="P842"/>
      <c r="Q842"/>
      <c r="R842"/>
      <c r="S842"/>
      <c r="T842"/>
    </row>
    <row r="843" spans="1:20" x14ac:dyDescent="0.3">
      <c r="A843"/>
      <c r="B843"/>
      <c r="C843"/>
      <c r="D843"/>
      <c r="E843"/>
      <c r="F843"/>
      <c r="G843"/>
      <c r="H843"/>
      <c r="I843"/>
      <c r="J843"/>
      <c r="K843"/>
      <c r="L843"/>
      <c r="M843"/>
      <c r="N843"/>
      <c r="O843"/>
      <c r="P843"/>
      <c r="Q843"/>
      <c r="R843"/>
      <c r="S843"/>
      <c r="T843"/>
    </row>
    <row r="844" spans="1:20" x14ac:dyDescent="0.3">
      <c r="A844"/>
      <c r="B844"/>
      <c r="C844"/>
      <c r="D844"/>
      <c r="E844"/>
      <c r="F844"/>
      <c r="G844"/>
      <c r="H844"/>
      <c r="I844"/>
      <c r="J844"/>
      <c r="K844"/>
      <c r="L844"/>
      <c r="M844"/>
      <c r="N844"/>
      <c r="O844"/>
      <c r="P844"/>
      <c r="Q844"/>
      <c r="R844"/>
      <c r="S844"/>
      <c r="T844"/>
    </row>
    <row r="845" spans="1:20" x14ac:dyDescent="0.3">
      <c r="A845"/>
      <c r="B845"/>
      <c r="C845"/>
      <c r="D845"/>
      <c r="E845"/>
      <c r="F845"/>
      <c r="G845"/>
      <c r="H845"/>
      <c r="I845"/>
      <c r="J845"/>
      <c r="K845"/>
      <c r="L845"/>
      <c r="M845"/>
      <c r="N845"/>
      <c r="O845"/>
      <c r="P845"/>
      <c r="Q845"/>
      <c r="R845"/>
      <c r="S845"/>
      <c r="T845"/>
    </row>
    <row r="846" spans="1:20" x14ac:dyDescent="0.3">
      <c r="A846"/>
      <c r="B846"/>
      <c r="C846"/>
      <c r="D846"/>
      <c r="E846"/>
      <c r="F846"/>
      <c r="G846"/>
      <c r="H846"/>
      <c r="I846"/>
      <c r="J846"/>
      <c r="K846"/>
      <c r="L846"/>
      <c r="M846"/>
      <c r="N846"/>
      <c r="O846"/>
      <c r="P846"/>
      <c r="Q846"/>
      <c r="R846"/>
      <c r="S846"/>
      <c r="T846"/>
    </row>
    <row r="847" spans="1:20" x14ac:dyDescent="0.3">
      <c r="A847"/>
      <c r="B847"/>
      <c r="C847"/>
      <c r="D847"/>
      <c r="E847"/>
      <c r="F847"/>
      <c r="G847"/>
      <c r="H847"/>
      <c r="I847"/>
      <c r="J847"/>
      <c r="K847"/>
      <c r="L847"/>
      <c r="M847"/>
      <c r="N847"/>
      <c r="O847"/>
      <c r="P847"/>
      <c r="Q847"/>
      <c r="R847"/>
      <c r="S847"/>
      <c r="T847"/>
    </row>
    <row r="848" spans="1:20" x14ac:dyDescent="0.3">
      <c r="A848"/>
      <c r="B848"/>
      <c r="C848"/>
      <c r="D848"/>
      <c r="E848"/>
      <c r="F848"/>
      <c r="G848"/>
      <c r="H848"/>
      <c r="I848"/>
      <c r="J848"/>
      <c r="K848"/>
      <c r="L848"/>
      <c r="M848"/>
      <c r="N848"/>
      <c r="O848"/>
      <c r="P848"/>
      <c r="Q848"/>
      <c r="R848"/>
      <c r="S848"/>
      <c r="T848"/>
    </row>
    <row r="849" spans="1:20" x14ac:dyDescent="0.3">
      <c r="A849"/>
      <c r="B849"/>
      <c r="C849"/>
      <c r="D849"/>
      <c r="E849"/>
      <c r="F849"/>
      <c r="G849"/>
      <c r="H849"/>
      <c r="I849"/>
      <c r="J849"/>
      <c r="K849"/>
      <c r="L849"/>
      <c r="M849"/>
      <c r="N849"/>
      <c r="O849"/>
      <c r="P849"/>
      <c r="Q849"/>
      <c r="R849"/>
      <c r="S849"/>
      <c r="T849"/>
    </row>
    <row r="850" spans="1:20" x14ac:dyDescent="0.3">
      <c r="A850"/>
      <c r="B850"/>
      <c r="C850"/>
      <c r="D850"/>
      <c r="E850"/>
      <c r="F850"/>
      <c r="G850"/>
      <c r="H850"/>
      <c r="I850"/>
      <c r="J850"/>
      <c r="K850"/>
      <c r="L850"/>
      <c r="M850"/>
      <c r="N850"/>
      <c r="O850"/>
      <c r="P850"/>
      <c r="Q850"/>
      <c r="R850"/>
      <c r="S850"/>
      <c r="T850"/>
    </row>
    <row r="851" spans="1:20" x14ac:dyDescent="0.3">
      <c r="A851"/>
      <c r="B851"/>
      <c r="C851"/>
      <c r="D851"/>
      <c r="E851"/>
      <c r="F851"/>
      <c r="G851"/>
      <c r="H851"/>
      <c r="I851"/>
      <c r="J851"/>
      <c r="K851"/>
      <c r="L851"/>
      <c r="M851"/>
      <c r="N851"/>
      <c r="O851"/>
      <c r="P851"/>
      <c r="Q851"/>
      <c r="R851"/>
      <c r="S851"/>
      <c r="T851"/>
    </row>
    <row r="852" spans="1:20" x14ac:dyDescent="0.3">
      <c r="A852"/>
      <c r="B852"/>
      <c r="C852"/>
      <c r="D852"/>
      <c r="E852"/>
      <c r="F852"/>
      <c r="G852"/>
      <c r="H852"/>
      <c r="I852"/>
      <c r="J852"/>
      <c r="K852"/>
      <c r="L852"/>
      <c r="M852"/>
      <c r="N852"/>
      <c r="O852"/>
      <c r="P852"/>
      <c r="Q852"/>
      <c r="R852"/>
      <c r="S852"/>
      <c r="T852"/>
    </row>
    <row r="853" spans="1:20" x14ac:dyDescent="0.3">
      <c r="A853"/>
      <c r="B853"/>
      <c r="C853"/>
      <c r="D853"/>
      <c r="E853"/>
      <c r="F853"/>
      <c r="G853"/>
      <c r="H853"/>
      <c r="I853"/>
      <c r="J853"/>
      <c r="K853"/>
      <c r="L853"/>
      <c r="M853"/>
      <c r="N853"/>
      <c r="O853"/>
      <c r="P853"/>
      <c r="Q853"/>
      <c r="R853"/>
      <c r="S853"/>
      <c r="T853"/>
    </row>
    <row r="854" spans="1:20" x14ac:dyDescent="0.3">
      <c r="A854"/>
      <c r="B854"/>
      <c r="C854"/>
      <c r="D854"/>
      <c r="E854"/>
      <c r="F854"/>
      <c r="G854"/>
      <c r="H854"/>
      <c r="I854"/>
      <c r="J854"/>
      <c r="K854"/>
      <c r="L854"/>
      <c r="M854"/>
      <c r="N854"/>
      <c r="O854"/>
      <c r="P854"/>
      <c r="Q854"/>
      <c r="R854"/>
      <c r="S854"/>
      <c r="T854"/>
    </row>
    <row r="855" spans="1:20" x14ac:dyDescent="0.3">
      <c r="A855"/>
      <c r="B855"/>
      <c r="C855"/>
      <c r="D855"/>
      <c r="E855"/>
      <c r="F855"/>
      <c r="G855"/>
      <c r="H855"/>
      <c r="I855"/>
      <c r="J855"/>
      <c r="K855"/>
      <c r="L855"/>
      <c r="M855"/>
      <c r="N855"/>
      <c r="O855"/>
      <c r="P855"/>
      <c r="Q855"/>
      <c r="R855"/>
      <c r="S855"/>
      <c r="T855"/>
    </row>
    <row r="856" spans="1:20" x14ac:dyDescent="0.3">
      <c r="A856"/>
      <c r="B856"/>
      <c r="C856"/>
      <c r="D856"/>
      <c r="E856"/>
      <c r="F856"/>
      <c r="G856"/>
      <c r="H856"/>
      <c r="I856"/>
      <c r="J856"/>
      <c r="K856"/>
      <c r="L856"/>
      <c r="M856"/>
      <c r="N856"/>
      <c r="O856"/>
      <c r="P856"/>
      <c r="Q856"/>
      <c r="R856"/>
      <c r="S856"/>
      <c r="T856"/>
    </row>
    <row r="857" spans="1:20" x14ac:dyDescent="0.3">
      <c r="A857"/>
      <c r="B857"/>
      <c r="C857"/>
      <c r="D857"/>
      <c r="E857"/>
      <c r="F857"/>
      <c r="G857"/>
      <c r="H857"/>
      <c r="I857"/>
      <c r="J857"/>
      <c r="K857"/>
      <c r="L857"/>
      <c r="M857"/>
      <c r="N857"/>
      <c r="O857"/>
      <c r="P857"/>
      <c r="Q857"/>
      <c r="R857"/>
      <c r="S857"/>
      <c r="T857"/>
    </row>
    <row r="858" spans="1:20" x14ac:dyDescent="0.3">
      <c r="A858"/>
      <c r="B858"/>
      <c r="C858"/>
      <c r="D858"/>
      <c r="E858"/>
      <c r="F858"/>
      <c r="G858"/>
      <c r="H858"/>
      <c r="I858"/>
      <c r="J858"/>
      <c r="K858"/>
      <c r="L858"/>
      <c r="M858"/>
      <c r="N858"/>
      <c r="O858"/>
      <c r="P858"/>
      <c r="Q858"/>
      <c r="R858"/>
      <c r="S858"/>
      <c r="T858"/>
    </row>
    <row r="859" spans="1:20" x14ac:dyDescent="0.3">
      <c r="A859"/>
      <c r="B859"/>
      <c r="C859"/>
      <c r="D859"/>
      <c r="E859"/>
      <c r="F859"/>
      <c r="G859"/>
      <c r="H859"/>
      <c r="I859"/>
      <c r="J859"/>
      <c r="K859"/>
      <c r="L859"/>
      <c r="M859"/>
      <c r="N859"/>
      <c r="O859"/>
      <c r="P859"/>
      <c r="Q859"/>
      <c r="R859"/>
      <c r="S859"/>
      <c r="T859"/>
    </row>
    <row r="860" spans="1:20" x14ac:dyDescent="0.3">
      <c r="A860"/>
      <c r="B860"/>
      <c r="C860"/>
      <c r="D860"/>
      <c r="E860"/>
      <c r="F860"/>
      <c r="G860"/>
      <c r="H860"/>
      <c r="I860"/>
      <c r="J860"/>
      <c r="K860"/>
      <c r="L860"/>
      <c r="M860"/>
      <c r="N860"/>
      <c r="O860"/>
      <c r="P860"/>
      <c r="Q860"/>
      <c r="R860"/>
      <c r="S860"/>
      <c r="T860"/>
    </row>
    <row r="861" spans="1:20" x14ac:dyDescent="0.3">
      <c r="A861"/>
      <c r="B861"/>
      <c r="C861"/>
      <c r="D861"/>
      <c r="E861"/>
      <c r="F861"/>
      <c r="G861"/>
      <c r="H861"/>
      <c r="I861"/>
      <c r="J861"/>
      <c r="K861"/>
      <c r="L861"/>
      <c r="M861"/>
      <c r="N861"/>
      <c r="O861"/>
      <c r="P861"/>
      <c r="Q861"/>
      <c r="R861"/>
      <c r="S861"/>
      <c r="T861"/>
    </row>
    <row r="862" spans="1:20" x14ac:dyDescent="0.3">
      <c r="A862"/>
      <c r="B862"/>
      <c r="C862"/>
      <c r="D862"/>
      <c r="E862"/>
      <c r="F862"/>
      <c r="G862"/>
      <c r="H862"/>
      <c r="I862"/>
      <c r="J862"/>
      <c r="K862"/>
      <c r="L862"/>
      <c r="M862"/>
      <c r="N862"/>
      <c r="O862"/>
      <c r="P862"/>
      <c r="Q862"/>
      <c r="R862"/>
      <c r="S862"/>
      <c r="T862"/>
    </row>
    <row r="863" spans="1:20" x14ac:dyDescent="0.3">
      <c r="A863"/>
      <c r="B863"/>
      <c r="C863"/>
      <c r="D863"/>
      <c r="E863"/>
      <c r="F863"/>
      <c r="G863"/>
      <c r="H863"/>
      <c r="I863"/>
      <c r="J863"/>
      <c r="K863"/>
      <c r="L863"/>
      <c r="M863"/>
      <c r="N863"/>
      <c r="O863"/>
      <c r="P863"/>
      <c r="Q863"/>
      <c r="R863"/>
      <c r="S863"/>
      <c r="T863"/>
    </row>
    <row r="864" spans="1:20" x14ac:dyDescent="0.3">
      <c r="A864"/>
      <c r="B864"/>
      <c r="C864"/>
      <c r="D864"/>
      <c r="E864"/>
      <c r="F864"/>
      <c r="G864"/>
      <c r="H864"/>
      <c r="I864"/>
      <c r="J864"/>
      <c r="K864"/>
      <c r="L864"/>
      <c r="M864"/>
      <c r="N864"/>
      <c r="O864"/>
      <c r="P864"/>
      <c r="Q864"/>
      <c r="R864"/>
      <c r="S864"/>
      <c r="T864"/>
    </row>
    <row r="865" spans="1:20" x14ac:dyDescent="0.3">
      <c r="A865"/>
      <c r="B865"/>
      <c r="C865"/>
      <c r="D865"/>
      <c r="E865"/>
      <c r="F865"/>
      <c r="G865"/>
      <c r="H865"/>
      <c r="I865"/>
      <c r="J865"/>
      <c r="K865"/>
      <c r="L865"/>
      <c r="M865"/>
      <c r="N865"/>
      <c r="O865"/>
      <c r="P865"/>
      <c r="Q865"/>
      <c r="R865"/>
      <c r="S865"/>
      <c r="T865"/>
    </row>
    <row r="866" spans="1:20" x14ac:dyDescent="0.3">
      <c r="A866"/>
      <c r="B866"/>
      <c r="C866"/>
      <c r="D866"/>
      <c r="E866"/>
      <c r="F866"/>
      <c r="G866"/>
      <c r="H866"/>
      <c r="I866"/>
      <c r="J866"/>
      <c r="K866"/>
      <c r="L866"/>
      <c r="M866"/>
      <c r="N866"/>
      <c r="O866"/>
      <c r="P866"/>
      <c r="Q866"/>
      <c r="R866"/>
      <c r="S866"/>
      <c r="T866"/>
    </row>
    <row r="867" spans="1:20" x14ac:dyDescent="0.3">
      <c r="A867"/>
      <c r="B867"/>
      <c r="C867"/>
      <c r="D867"/>
      <c r="E867"/>
      <c r="F867"/>
      <c r="G867"/>
      <c r="H867"/>
      <c r="I867"/>
      <c r="J867"/>
      <c r="K867"/>
      <c r="L867"/>
      <c r="M867"/>
      <c r="N867"/>
      <c r="O867"/>
      <c r="P867"/>
      <c r="Q867"/>
      <c r="R867"/>
      <c r="S867"/>
      <c r="T867"/>
    </row>
    <row r="868" spans="1:20" x14ac:dyDescent="0.3">
      <c r="A868"/>
      <c r="B868"/>
      <c r="C868"/>
      <c r="D868"/>
      <c r="E868"/>
      <c r="F868"/>
      <c r="G868"/>
      <c r="H868"/>
      <c r="I868"/>
      <c r="J868"/>
      <c r="K868"/>
      <c r="L868"/>
      <c r="M868"/>
      <c r="N868"/>
      <c r="O868"/>
      <c r="P868"/>
      <c r="Q868"/>
      <c r="R868"/>
      <c r="S868"/>
      <c r="T868"/>
    </row>
    <row r="869" spans="1:20" x14ac:dyDescent="0.3">
      <c r="A869"/>
      <c r="B869"/>
      <c r="C869"/>
      <c r="D869"/>
      <c r="E869"/>
      <c r="F869"/>
      <c r="G869"/>
      <c r="H869"/>
      <c r="I869"/>
      <c r="J869"/>
      <c r="K869"/>
      <c r="L869"/>
      <c r="M869"/>
      <c r="N869"/>
      <c r="O869"/>
      <c r="P869"/>
      <c r="Q869"/>
      <c r="R869"/>
      <c r="S869"/>
      <c r="T869"/>
    </row>
    <row r="870" spans="1:20" x14ac:dyDescent="0.3">
      <c r="A870"/>
      <c r="B870"/>
      <c r="C870"/>
      <c r="D870"/>
      <c r="E870"/>
      <c r="F870"/>
      <c r="G870"/>
      <c r="H870"/>
      <c r="I870"/>
      <c r="J870"/>
      <c r="K870"/>
      <c r="L870"/>
      <c r="M870"/>
      <c r="N870"/>
      <c r="O870"/>
      <c r="P870"/>
      <c r="Q870"/>
      <c r="R870"/>
      <c r="S870"/>
      <c r="T870"/>
    </row>
    <row r="871" spans="1:20" x14ac:dyDescent="0.3">
      <c r="A871"/>
      <c r="B871"/>
      <c r="C871"/>
      <c r="D871"/>
      <c r="E871"/>
      <c r="F871"/>
      <c r="G871"/>
      <c r="H871"/>
      <c r="I871"/>
      <c r="J871"/>
      <c r="K871"/>
      <c r="L871"/>
      <c r="M871"/>
      <c r="N871"/>
      <c r="O871"/>
      <c r="P871"/>
      <c r="Q871"/>
      <c r="R871"/>
      <c r="S871"/>
      <c r="T871"/>
    </row>
    <row r="872" spans="1:20" x14ac:dyDescent="0.3">
      <c r="A872"/>
      <c r="B872"/>
      <c r="C872"/>
      <c r="D872"/>
      <c r="E872"/>
      <c r="F872"/>
      <c r="G872"/>
      <c r="H872"/>
      <c r="I872"/>
      <c r="J872"/>
      <c r="K872"/>
      <c r="L872"/>
      <c r="M872"/>
      <c r="N872"/>
      <c r="O872"/>
      <c r="P872"/>
      <c r="Q872"/>
      <c r="R872"/>
      <c r="S872"/>
      <c r="T872"/>
    </row>
    <row r="873" spans="1:20" x14ac:dyDescent="0.3">
      <c r="A873"/>
      <c r="B873"/>
      <c r="C873"/>
      <c r="D873"/>
      <c r="E873"/>
      <c r="F873"/>
      <c r="G873"/>
      <c r="H873"/>
      <c r="I873"/>
      <c r="J873"/>
      <c r="K873"/>
      <c r="L873"/>
      <c r="M873"/>
      <c r="N873"/>
      <c r="O873"/>
      <c r="P873"/>
      <c r="Q873"/>
      <c r="R873"/>
      <c r="S873"/>
      <c r="T873"/>
    </row>
    <row r="874" spans="1:20" x14ac:dyDescent="0.3">
      <c r="A874"/>
      <c r="B874"/>
      <c r="C874"/>
      <c r="D874"/>
      <c r="E874"/>
      <c r="F874"/>
      <c r="G874"/>
      <c r="H874"/>
      <c r="I874"/>
      <c r="J874"/>
      <c r="K874"/>
      <c r="L874"/>
      <c r="M874"/>
      <c r="N874"/>
      <c r="O874"/>
      <c r="P874"/>
      <c r="Q874"/>
      <c r="R874"/>
      <c r="S874"/>
      <c r="T874"/>
    </row>
    <row r="875" spans="1:20" x14ac:dyDescent="0.3">
      <c r="A875"/>
      <c r="B875"/>
      <c r="C875"/>
      <c r="D875"/>
      <c r="E875"/>
      <c r="F875"/>
      <c r="G875"/>
      <c r="H875"/>
      <c r="I875"/>
      <c r="J875"/>
      <c r="K875"/>
      <c r="L875"/>
      <c r="M875"/>
      <c r="N875"/>
      <c r="O875"/>
      <c r="P875"/>
      <c r="Q875"/>
      <c r="R875"/>
      <c r="S875"/>
      <c r="T875"/>
    </row>
    <row r="876" spans="1:20" x14ac:dyDescent="0.3">
      <c r="A876"/>
      <c r="B876"/>
      <c r="C876"/>
      <c r="D876"/>
      <c r="E876"/>
      <c r="F876"/>
      <c r="G876"/>
      <c r="H876"/>
      <c r="I876"/>
      <c r="J876"/>
      <c r="K876"/>
      <c r="L876"/>
      <c r="M876"/>
      <c r="N876"/>
      <c r="O876"/>
      <c r="P876"/>
      <c r="Q876"/>
      <c r="R876"/>
      <c r="S876"/>
      <c r="T876"/>
    </row>
    <row r="877" spans="1:20" x14ac:dyDescent="0.3">
      <c r="A877"/>
      <c r="B877"/>
      <c r="C877"/>
      <c r="D877"/>
      <c r="E877"/>
      <c r="F877"/>
      <c r="G877"/>
      <c r="H877"/>
      <c r="I877"/>
      <c r="J877"/>
      <c r="K877"/>
      <c r="L877"/>
      <c r="M877"/>
      <c r="N877"/>
      <c r="O877"/>
      <c r="P877"/>
      <c r="Q877"/>
      <c r="R877"/>
      <c r="S877"/>
      <c r="T877"/>
    </row>
    <row r="878" spans="1:20" x14ac:dyDescent="0.3">
      <c r="A878"/>
      <c r="B878"/>
      <c r="C878"/>
      <c r="D878"/>
      <c r="E878"/>
      <c r="F878"/>
      <c r="G878"/>
      <c r="H878"/>
      <c r="I878"/>
      <c r="J878"/>
      <c r="K878"/>
      <c r="L878"/>
      <c r="M878"/>
      <c r="N878"/>
      <c r="O878"/>
      <c r="P878"/>
      <c r="Q878"/>
      <c r="R878"/>
      <c r="S878"/>
      <c r="T878"/>
    </row>
    <row r="879" spans="1:20" x14ac:dyDescent="0.3">
      <c r="A879"/>
      <c r="B879"/>
      <c r="C879"/>
      <c r="D879"/>
      <c r="E879"/>
      <c r="F879"/>
      <c r="G879"/>
      <c r="H879"/>
      <c r="I879"/>
      <c r="J879"/>
      <c r="K879"/>
      <c r="L879"/>
      <c r="M879"/>
      <c r="N879"/>
      <c r="O879"/>
      <c r="P879"/>
      <c r="Q879"/>
      <c r="R879"/>
      <c r="S879"/>
      <c r="T879"/>
    </row>
    <row r="880" spans="1:20" x14ac:dyDescent="0.3">
      <c r="A880"/>
      <c r="B880"/>
      <c r="C880"/>
      <c r="D880"/>
      <c r="E880"/>
      <c r="F880"/>
      <c r="G880"/>
      <c r="H880"/>
      <c r="I880"/>
      <c r="J880"/>
      <c r="K880"/>
      <c r="L880"/>
      <c r="M880"/>
      <c r="N880"/>
      <c r="O880"/>
      <c r="P880"/>
      <c r="Q880"/>
      <c r="R880"/>
      <c r="S880"/>
      <c r="T880"/>
    </row>
    <row r="881" spans="1:20" x14ac:dyDescent="0.3">
      <c r="A881"/>
      <c r="B881"/>
      <c r="C881"/>
      <c r="D881"/>
      <c r="E881"/>
      <c r="F881"/>
      <c r="G881"/>
      <c r="H881"/>
      <c r="I881"/>
      <c r="J881"/>
      <c r="K881"/>
      <c r="L881"/>
      <c r="M881"/>
      <c r="N881"/>
      <c r="O881"/>
      <c r="P881"/>
      <c r="Q881"/>
      <c r="R881"/>
      <c r="S881"/>
      <c r="T881"/>
    </row>
    <row r="882" spans="1:20" x14ac:dyDescent="0.3">
      <c r="A882"/>
      <c r="B882"/>
      <c r="C882"/>
      <c r="D882"/>
      <c r="E882"/>
      <c r="F882"/>
      <c r="G882"/>
      <c r="H882"/>
      <c r="I882"/>
      <c r="J882"/>
      <c r="K882"/>
      <c r="L882"/>
      <c r="M882"/>
      <c r="N882"/>
      <c r="O882"/>
      <c r="P882"/>
      <c r="Q882"/>
      <c r="R882"/>
      <c r="S882"/>
      <c r="T882"/>
    </row>
    <row r="883" spans="1:20" x14ac:dyDescent="0.3">
      <c r="A883"/>
      <c r="B883"/>
      <c r="C883"/>
      <c r="D883"/>
      <c r="E883"/>
      <c r="F883"/>
      <c r="G883"/>
      <c r="H883"/>
      <c r="I883"/>
      <c r="J883"/>
      <c r="K883"/>
      <c r="L883"/>
      <c r="M883"/>
      <c r="N883"/>
      <c r="O883"/>
      <c r="P883"/>
      <c r="Q883"/>
      <c r="R883"/>
      <c r="S883"/>
      <c r="T883"/>
    </row>
    <row r="884" spans="1:20" x14ac:dyDescent="0.3">
      <c r="A884"/>
      <c r="B884"/>
      <c r="C884"/>
      <c r="D884"/>
      <c r="E884"/>
      <c r="F884"/>
      <c r="G884"/>
      <c r="H884"/>
      <c r="I884"/>
      <c r="J884"/>
      <c r="K884"/>
      <c r="L884"/>
      <c r="M884"/>
      <c r="N884"/>
      <c r="O884"/>
      <c r="P884"/>
      <c r="Q884"/>
      <c r="R884"/>
      <c r="S884"/>
      <c r="T884"/>
    </row>
    <row r="885" spans="1:20" x14ac:dyDescent="0.3">
      <c r="A885"/>
      <c r="B885"/>
      <c r="C885"/>
      <c r="D885"/>
      <c r="E885"/>
      <c r="F885"/>
      <c r="G885"/>
      <c r="H885"/>
      <c r="I885"/>
      <c r="J885"/>
      <c r="K885"/>
      <c r="L885"/>
      <c r="M885"/>
      <c r="N885"/>
      <c r="O885"/>
      <c r="P885"/>
      <c r="Q885"/>
      <c r="R885"/>
      <c r="S885"/>
      <c r="T885"/>
    </row>
    <row r="886" spans="1:20" x14ac:dyDescent="0.3">
      <c r="A886"/>
      <c r="B886"/>
      <c r="C886"/>
      <c r="D886"/>
      <c r="E886"/>
      <c r="F886"/>
      <c r="G886"/>
      <c r="H886"/>
      <c r="I886"/>
      <c r="J886"/>
      <c r="K886"/>
      <c r="L886"/>
      <c r="M886"/>
      <c r="N886"/>
      <c r="O886"/>
      <c r="P886"/>
      <c r="Q886"/>
      <c r="R886"/>
      <c r="S886"/>
      <c r="T886"/>
    </row>
    <row r="887" spans="1:20" x14ac:dyDescent="0.3">
      <c r="A887"/>
      <c r="B887"/>
      <c r="C887"/>
      <c r="D887"/>
      <c r="E887"/>
      <c r="F887"/>
      <c r="G887"/>
      <c r="H887"/>
      <c r="I887"/>
      <c r="J887"/>
      <c r="K887"/>
      <c r="L887"/>
      <c r="M887"/>
      <c r="N887"/>
      <c r="O887"/>
      <c r="P887"/>
      <c r="Q887"/>
      <c r="R887"/>
      <c r="S887"/>
      <c r="T887"/>
    </row>
    <row r="888" spans="1:20" x14ac:dyDescent="0.3">
      <c r="A888"/>
      <c r="B888"/>
      <c r="C888"/>
      <c r="D888"/>
      <c r="E888"/>
      <c r="F888"/>
      <c r="G888"/>
      <c r="H888"/>
      <c r="I888"/>
      <c r="J888"/>
      <c r="K888"/>
      <c r="L888"/>
      <c r="M888"/>
      <c r="N888"/>
      <c r="O888"/>
      <c r="P888"/>
      <c r="Q888"/>
      <c r="R888"/>
      <c r="S888"/>
      <c r="T888"/>
    </row>
    <row r="889" spans="1:20" x14ac:dyDescent="0.3">
      <c r="A889"/>
      <c r="B889"/>
      <c r="C889"/>
      <c r="D889"/>
      <c r="E889"/>
      <c r="F889"/>
      <c r="G889"/>
      <c r="H889"/>
      <c r="I889"/>
      <c r="J889"/>
      <c r="K889"/>
      <c r="L889"/>
      <c r="M889"/>
      <c r="N889"/>
      <c r="O889"/>
      <c r="P889"/>
      <c r="Q889"/>
      <c r="R889"/>
      <c r="S889"/>
      <c r="T889"/>
    </row>
    <row r="890" spans="1:20" x14ac:dyDescent="0.3">
      <c r="A890"/>
      <c r="B890"/>
      <c r="C890"/>
      <c r="D890"/>
      <c r="E890"/>
      <c r="F890"/>
      <c r="G890"/>
      <c r="H890"/>
      <c r="I890"/>
      <c r="J890"/>
      <c r="K890"/>
      <c r="L890"/>
      <c r="M890"/>
      <c r="N890"/>
      <c r="O890"/>
      <c r="P890"/>
      <c r="Q890"/>
      <c r="R890"/>
      <c r="S890"/>
      <c r="T890"/>
    </row>
    <row r="891" spans="1:20" x14ac:dyDescent="0.3">
      <c r="A891"/>
      <c r="B891"/>
      <c r="C891"/>
      <c r="D891"/>
      <c r="E891"/>
      <c r="F891"/>
      <c r="G891"/>
      <c r="H891"/>
      <c r="I891"/>
      <c r="J891"/>
      <c r="K891"/>
      <c r="L891"/>
      <c r="M891"/>
      <c r="N891"/>
      <c r="O891"/>
      <c r="P891"/>
      <c r="Q891"/>
      <c r="R891"/>
      <c r="S891"/>
      <c r="T891"/>
    </row>
    <row r="892" spans="1:20" x14ac:dyDescent="0.3">
      <c r="A892"/>
      <c r="B892"/>
      <c r="C892"/>
      <c r="D892"/>
      <c r="E892"/>
      <c r="F892"/>
      <c r="G892"/>
      <c r="H892"/>
      <c r="I892"/>
      <c r="J892"/>
      <c r="K892"/>
      <c r="L892"/>
      <c r="M892"/>
      <c r="N892"/>
      <c r="O892"/>
      <c r="P892"/>
      <c r="Q892"/>
      <c r="R892"/>
      <c r="S892"/>
      <c r="T892"/>
    </row>
    <row r="893" spans="1:20" x14ac:dyDescent="0.3">
      <c r="A893"/>
      <c r="B893"/>
      <c r="C893"/>
      <c r="D893"/>
      <c r="E893"/>
      <c r="F893"/>
      <c r="G893"/>
      <c r="H893"/>
      <c r="I893"/>
      <c r="J893"/>
      <c r="K893"/>
      <c r="L893"/>
      <c r="M893"/>
      <c r="N893"/>
      <c r="O893"/>
      <c r="P893"/>
      <c r="Q893"/>
      <c r="R893"/>
      <c r="S893"/>
      <c r="T893"/>
    </row>
    <row r="894" spans="1:20" x14ac:dyDescent="0.3">
      <c r="A894"/>
      <c r="B894"/>
      <c r="C894"/>
      <c r="D894"/>
      <c r="E894"/>
      <c r="F894"/>
      <c r="G894"/>
      <c r="H894"/>
      <c r="I894"/>
      <c r="J894"/>
      <c r="K894"/>
      <c r="L894"/>
      <c r="M894"/>
      <c r="N894"/>
      <c r="O894"/>
      <c r="P894"/>
      <c r="Q894"/>
      <c r="R894"/>
      <c r="S894"/>
      <c r="T894"/>
    </row>
    <row r="895" spans="1:20" x14ac:dyDescent="0.3">
      <c r="A895"/>
      <c r="B895"/>
      <c r="C895"/>
      <c r="D895"/>
      <c r="E895"/>
      <c r="F895"/>
      <c r="G895"/>
      <c r="H895"/>
      <c r="I895"/>
      <c r="J895"/>
      <c r="K895"/>
      <c r="L895"/>
      <c r="M895"/>
      <c r="N895"/>
      <c r="O895"/>
      <c r="P895"/>
      <c r="Q895"/>
      <c r="R895"/>
      <c r="S895"/>
      <c r="T895"/>
    </row>
    <row r="896" spans="1:20" x14ac:dyDescent="0.3">
      <c r="A896"/>
      <c r="B896"/>
      <c r="C896"/>
      <c r="D896"/>
      <c r="E896"/>
      <c r="F896"/>
      <c r="G896"/>
      <c r="H896"/>
      <c r="I896"/>
      <c r="J896"/>
      <c r="K896"/>
      <c r="L896"/>
      <c r="M896"/>
      <c r="N896"/>
      <c r="O896"/>
      <c r="P896"/>
      <c r="Q896"/>
      <c r="R896"/>
      <c r="S896"/>
      <c r="T896"/>
    </row>
    <row r="897" spans="1:20" x14ac:dyDescent="0.3">
      <c r="A897"/>
      <c r="B897"/>
      <c r="C897"/>
      <c r="D897"/>
      <c r="E897"/>
      <c r="F897"/>
      <c r="G897"/>
      <c r="H897"/>
      <c r="I897"/>
      <c r="J897"/>
      <c r="K897"/>
      <c r="L897"/>
      <c r="M897"/>
      <c r="N897"/>
      <c r="O897"/>
      <c r="P897"/>
      <c r="Q897"/>
      <c r="R897"/>
      <c r="S897"/>
      <c r="T897"/>
    </row>
    <row r="898" spans="1:20" x14ac:dyDescent="0.3">
      <c r="A898"/>
      <c r="B898"/>
      <c r="C898"/>
      <c r="D898"/>
      <c r="E898"/>
      <c r="F898"/>
      <c r="G898"/>
      <c r="H898"/>
      <c r="I898"/>
      <c r="J898"/>
      <c r="K898"/>
      <c r="L898"/>
      <c r="M898"/>
      <c r="N898"/>
      <c r="O898"/>
      <c r="P898"/>
      <c r="Q898"/>
      <c r="R898"/>
      <c r="S898"/>
      <c r="T898"/>
    </row>
    <row r="899" spans="1:20" x14ac:dyDescent="0.3">
      <c r="A899"/>
      <c r="B899"/>
      <c r="C899"/>
      <c r="D899"/>
      <c r="E899"/>
      <c r="F899"/>
      <c r="G899"/>
      <c r="H899"/>
      <c r="I899"/>
      <c r="J899"/>
      <c r="K899"/>
      <c r="L899"/>
      <c r="M899"/>
      <c r="N899"/>
      <c r="O899"/>
      <c r="P899"/>
      <c r="Q899"/>
      <c r="R899"/>
      <c r="S899"/>
      <c r="T899"/>
    </row>
    <row r="900" spans="1:20" x14ac:dyDescent="0.3">
      <c r="A900"/>
      <c r="B900"/>
      <c r="C900"/>
      <c r="D900"/>
      <c r="E900"/>
      <c r="F900"/>
      <c r="G900"/>
      <c r="H900"/>
      <c r="I900"/>
      <c r="J900"/>
      <c r="K900"/>
      <c r="L900"/>
      <c r="M900"/>
      <c r="N900"/>
      <c r="O900"/>
      <c r="P900"/>
      <c r="Q900"/>
      <c r="R900"/>
      <c r="S900"/>
      <c r="T900"/>
    </row>
    <row r="901" spans="1:20" x14ac:dyDescent="0.3">
      <c r="A901"/>
      <c r="B901"/>
      <c r="C901"/>
      <c r="D901"/>
      <c r="E901"/>
      <c r="F901"/>
      <c r="G901"/>
      <c r="H901"/>
      <c r="I901"/>
      <c r="J901"/>
      <c r="K901"/>
      <c r="L901"/>
      <c r="M901"/>
      <c r="N901"/>
      <c r="O901"/>
      <c r="P901"/>
      <c r="Q901"/>
      <c r="R901"/>
      <c r="S901"/>
      <c r="T901"/>
    </row>
    <row r="902" spans="1:20" x14ac:dyDescent="0.3">
      <c r="A902"/>
      <c r="B902"/>
      <c r="C902"/>
      <c r="D902"/>
      <c r="E902"/>
      <c r="F902"/>
      <c r="G902"/>
      <c r="H902"/>
      <c r="I902"/>
      <c r="J902"/>
      <c r="K902"/>
      <c r="L902"/>
      <c r="M902"/>
      <c r="N902"/>
      <c r="O902"/>
      <c r="P902"/>
      <c r="Q902"/>
      <c r="R902"/>
      <c r="S902"/>
      <c r="T902"/>
    </row>
    <row r="903" spans="1:20" x14ac:dyDescent="0.3">
      <c r="A903"/>
      <c r="B903"/>
      <c r="C903"/>
      <c r="D903"/>
      <c r="E903"/>
      <c r="F903"/>
      <c r="G903"/>
      <c r="H903"/>
      <c r="I903"/>
      <c r="J903"/>
      <c r="K903"/>
      <c r="L903"/>
      <c r="M903"/>
      <c r="N903"/>
      <c r="O903"/>
      <c r="P903"/>
      <c r="Q903"/>
      <c r="R903"/>
      <c r="S903"/>
      <c r="T903"/>
    </row>
    <row r="904" spans="1:20" x14ac:dyDescent="0.3">
      <c r="A904"/>
      <c r="B904"/>
      <c r="C904"/>
      <c r="D904"/>
      <c r="E904"/>
      <c r="F904"/>
      <c r="G904"/>
      <c r="H904"/>
      <c r="I904"/>
      <c r="J904"/>
      <c r="K904"/>
      <c r="L904"/>
      <c r="M904"/>
      <c r="N904"/>
      <c r="O904"/>
      <c r="P904"/>
      <c r="Q904"/>
      <c r="R904"/>
      <c r="S904"/>
      <c r="T904"/>
    </row>
    <row r="905" spans="1:20" x14ac:dyDescent="0.3">
      <c r="A905"/>
      <c r="B905"/>
      <c r="C905"/>
      <c r="D905"/>
      <c r="E905"/>
      <c r="F905"/>
      <c r="G905"/>
      <c r="H905"/>
      <c r="I905"/>
      <c r="J905"/>
      <c r="K905"/>
      <c r="L905"/>
      <c r="M905"/>
      <c r="N905"/>
      <c r="O905"/>
      <c r="P905"/>
      <c r="Q905"/>
      <c r="R905"/>
      <c r="S905"/>
      <c r="T905"/>
    </row>
    <row r="906" spans="1:20" x14ac:dyDescent="0.3">
      <c r="A906"/>
      <c r="B906"/>
      <c r="C906"/>
      <c r="D906"/>
      <c r="E906"/>
      <c r="F906"/>
      <c r="G906"/>
      <c r="H906"/>
      <c r="I906"/>
      <c r="J906"/>
      <c r="K906"/>
      <c r="L906"/>
      <c r="M906"/>
      <c r="N906"/>
      <c r="O906"/>
      <c r="P906"/>
      <c r="Q906"/>
      <c r="R906"/>
      <c r="S906"/>
      <c r="T906"/>
    </row>
    <row r="907" spans="1:20" x14ac:dyDescent="0.3">
      <c r="A907"/>
      <c r="B907"/>
      <c r="C907"/>
      <c r="D907"/>
      <c r="E907"/>
      <c r="F907"/>
      <c r="G907"/>
      <c r="H907"/>
      <c r="I907"/>
      <c r="J907"/>
      <c r="K907"/>
      <c r="L907"/>
      <c r="M907"/>
      <c r="N907"/>
      <c r="O907"/>
      <c r="P907"/>
      <c r="Q907"/>
      <c r="R907"/>
      <c r="S907"/>
      <c r="T907"/>
    </row>
    <row r="908" spans="1:20" x14ac:dyDescent="0.3">
      <c r="A908"/>
      <c r="B908"/>
      <c r="C908"/>
      <c r="D908"/>
      <c r="E908"/>
      <c r="F908"/>
      <c r="G908"/>
      <c r="H908"/>
      <c r="I908"/>
      <c r="J908"/>
      <c r="K908"/>
      <c r="L908"/>
      <c r="M908"/>
      <c r="N908"/>
      <c r="O908"/>
      <c r="P908"/>
      <c r="Q908"/>
      <c r="R908"/>
      <c r="S908"/>
      <c r="T908"/>
    </row>
    <row r="909" spans="1:20" x14ac:dyDescent="0.3">
      <c r="A909"/>
      <c r="B909"/>
      <c r="C909"/>
      <c r="D909"/>
      <c r="E909"/>
      <c r="F909"/>
      <c r="G909"/>
      <c r="H909"/>
      <c r="I909"/>
      <c r="J909"/>
      <c r="K909"/>
      <c r="L909"/>
      <c r="M909"/>
      <c r="N909"/>
      <c r="O909"/>
      <c r="P909"/>
      <c r="Q909"/>
      <c r="R909"/>
      <c r="S909"/>
      <c r="T909"/>
    </row>
    <row r="910" spans="1:20" x14ac:dyDescent="0.3">
      <c r="A910"/>
      <c r="B910"/>
      <c r="C910"/>
      <c r="D910"/>
      <c r="E910"/>
      <c r="F910"/>
      <c r="G910"/>
      <c r="H910"/>
      <c r="I910"/>
      <c r="J910"/>
      <c r="K910"/>
      <c r="L910"/>
      <c r="M910"/>
      <c r="N910"/>
      <c r="O910"/>
      <c r="P910"/>
      <c r="Q910"/>
      <c r="R910"/>
      <c r="S910"/>
      <c r="T910"/>
    </row>
    <row r="911" spans="1:20" x14ac:dyDescent="0.3">
      <c r="A911"/>
      <c r="B911"/>
      <c r="C911"/>
      <c r="D911"/>
      <c r="E911"/>
      <c r="F911"/>
      <c r="G911"/>
      <c r="H911"/>
      <c r="I911"/>
      <c r="J911"/>
      <c r="K911"/>
      <c r="L911"/>
      <c r="M911"/>
      <c r="N911"/>
      <c r="O911"/>
      <c r="P911"/>
      <c r="Q911"/>
      <c r="R911"/>
      <c r="S911"/>
      <c r="T911"/>
    </row>
    <row r="912" spans="1:20" x14ac:dyDescent="0.3">
      <c r="A912"/>
      <c r="B912"/>
      <c r="C912"/>
      <c r="D912"/>
      <c r="E912"/>
      <c r="F912"/>
      <c r="G912"/>
      <c r="H912"/>
      <c r="I912"/>
      <c r="J912"/>
      <c r="K912"/>
      <c r="L912"/>
      <c r="M912"/>
      <c r="N912"/>
      <c r="O912"/>
      <c r="P912"/>
      <c r="Q912"/>
      <c r="R912"/>
      <c r="S912"/>
      <c r="T912"/>
    </row>
    <row r="913" spans="1:20" x14ac:dyDescent="0.3">
      <c r="A913"/>
      <c r="B913"/>
      <c r="C913"/>
      <c r="D913"/>
      <c r="E913"/>
      <c r="F913"/>
      <c r="G913"/>
      <c r="H913"/>
      <c r="I913"/>
      <c r="J913"/>
      <c r="K913"/>
      <c r="L913"/>
      <c r="M913"/>
      <c r="N913"/>
      <c r="O913"/>
      <c r="P913"/>
      <c r="Q913"/>
      <c r="R913"/>
      <c r="S913"/>
      <c r="T913"/>
    </row>
    <row r="914" spans="1:20" x14ac:dyDescent="0.3">
      <c r="A914"/>
      <c r="B914"/>
      <c r="C914"/>
      <c r="D914"/>
      <c r="E914"/>
      <c r="F914"/>
      <c r="G914"/>
      <c r="H914"/>
      <c r="I914"/>
      <c r="J914"/>
      <c r="K914"/>
      <c r="L914"/>
      <c r="M914"/>
      <c r="N914"/>
      <c r="O914"/>
      <c r="P914"/>
      <c r="Q914"/>
      <c r="R914"/>
      <c r="S914"/>
      <c r="T914"/>
    </row>
    <row r="915" spans="1:20" x14ac:dyDescent="0.3">
      <c r="A915"/>
      <c r="B915"/>
      <c r="C915"/>
      <c r="D915"/>
      <c r="E915"/>
      <c r="F915"/>
      <c r="G915"/>
      <c r="H915"/>
      <c r="I915"/>
      <c r="J915"/>
      <c r="K915"/>
      <c r="L915"/>
      <c r="M915"/>
      <c r="N915"/>
      <c r="O915"/>
      <c r="P915"/>
      <c r="Q915"/>
      <c r="R915"/>
      <c r="S915"/>
      <c r="T915"/>
    </row>
    <row r="916" spans="1:20" x14ac:dyDescent="0.3">
      <c r="A916"/>
      <c r="B916"/>
      <c r="C916"/>
      <c r="D916"/>
      <c r="E916"/>
      <c r="F916"/>
      <c r="G916"/>
      <c r="H916"/>
      <c r="I916"/>
      <c r="J916"/>
      <c r="K916"/>
      <c r="L916"/>
      <c r="M916"/>
      <c r="N916"/>
      <c r="O916"/>
      <c r="P916"/>
      <c r="Q916"/>
      <c r="R916"/>
      <c r="S916"/>
      <c r="T916"/>
    </row>
    <row r="917" spans="1:20" x14ac:dyDescent="0.3">
      <c r="A917"/>
      <c r="B917"/>
      <c r="C917"/>
      <c r="D917"/>
      <c r="E917"/>
      <c r="F917"/>
      <c r="G917"/>
      <c r="H917"/>
      <c r="I917"/>
      <c r="J917"/>
      <c r="K917"/>
      <c r="L917"/>
      <c r="M917"/>
      <c r="N917"/>
      <c r="O917"/>
      <c r="P917"/>
      <c r="Q917"/>
      <c r="R917"/>
      <c r="S917"/>
      <c r="T917"/>
    </row>
    <row r="918" spans="1:20" x14ac:dyDescent="0.3">
      <c r="A918"/>
      <c r="B918"/>
      <c r="C918"/>
      <c r="D918"/>
      <c r="E918"/>
      <c r="F918"/>
      <c r="G918"/>
      <c r="H918"/>
      <c r="I918"/>
      <c r="J918"/>
      <c r="K918"/>
      <c r="L918"/>
      <c r="M918"/>
      <c r="N918"/>
      <c r="O918"/>
      <c r="P918"/>
      <c r="Q918"/>
      <c r="R918"/>
      <c r="S918"/>
      <c r="T918"/>
    </row>
    <row r="919" spans="1:20" x14ac:dyDescent="0.3">
      <c r="A919"/>
      <c r="B919"/>
      <c r="C919"/>
      <c r="D919"/>
      <c r="E919"/>
      <c r="F919"/>
      <c r="G919"/>
      <c r="H919"/>
      <c r="I919"/>
      <c r="J919"/>
      <c r="K919"/>
      <c r="L919"/>
      <c r="M919"/>
      <c r="N919"/>
      <c r="O919"/>
      <c r="P919"/>
      <c r="Q919"/>
      <c r="R919"/>
      <c r="S919"/>
      <c r="T919"/>
    </row>
    <row r="920" spans="1:20" x14ac:dyDescent="0.3">
      <c r="A920"/>
      <c r="B920"/>
      <c r="C920"/>
      <c r="D920"/>
      <c r="E920"/>
      <c r="F920"/>
      <c r="G920"/>
      <c r="H920"/>
      <c r="I920"/>
      <c r="J920"/>
      <c r="K920"/>
      <c r="L920"/>
      <c r="M920"/>
      <c r="N920"/>
      <c r="O920"/>
      <c r="P920"/>
      <c r="Q920"/>
      <c r="R920"/>
      <c r="S920"/>
      <c r="T920"/>
    </row>
    <row r="921" spans="1:20" x14ac:dyDescent="0.3">
      <c r="A921"/>
      <c r="B921"/>
      <c r="C921"/>
      <c r="D921"/>
      <c r="E921"/>
      <c r="F921"/>
      <c r="G921"/>
      <c r="H921"/>
      <c r="I921"/>
      <c r="J921"/>
      <c r="K921"/>
      <c r="L921"/>
      <c r="M921"/>
      <c r="N921"/>
      <c r="O921"/>
      <c r="P921"/>
      <c r="Q921"/>
      <c r="R921"/>
      <c r="S921"/>
      <c r="T921"/>
    </row>
    <row r="922" spans="1:20" x14ac:dyDescent="0.3">
      <c r="A922"/>
      <c r="B922"/>
      <c r="C922"/>
      <c r="D922"/>
      <c r="E922"/>
      <c r="F922"/>
      <c r="G922"/>
      <c r="H922"/>
      <c r="I922"/>
      <c r="J922"/>
      <c r="K922"/>
      <c r="L922"/>
      <c r="M922"/>
      <c r="N922"/>
      <c r="O922"/>
      <c r="P922"/>
      <c r="Q922"/>
      <c r="R922"/>
      <c r="S922"/>
      <c r="T922"/>
    </row>
    <row r="923" spans="1:20" x14ac:dyDescent="0.3">
      <c r="A923"/>
      <c r="B923"/>
      <c r="C923"/>
      <c r="D923"/>
      <c r="E923"/>
      <c r="F923"/>
      <c r="G923"/>
      <c r="H923"/>
      <c r="I923"/>
      <c r="J923"/>
      <c r="K923"/>
      <c r="L923"/>
      <c r="M923"/>
      <c r="N923"/>
      <c r="O923"/>
      <c r="P923"/>
      <c r="Q923"/>
      <c r="R923"/>
      <c r="S923"/>
      <c r="T923"/>
    </row>
    <row r="924" spans="1:20" x14ac:dyDescent="0.3">
      <c r="A924"/>
      <c r="B924"/>
      <c r="C924"/>
      <c r="D924"/>
      <c r="E924"/>
      <c r="F924"/>
      <c r="G924"/>
      <c r="H924"/>
      <c r="I924"/>
      <c r="J924"/>
      <c r="K924"/>
      <c r="L924"/>
      <c r="M924"/>
      <c r="N924"/>
      <c r="O924"/>
      <c r="P924"/>
      <c r="Q924"/>
      <c r="R924"/>
      <c r="S924"/>
      <c r="T924"/>
    </row>
    <row r="925" spans="1:20" x14ac:dyDescent="0.3">
      <c r="A925"/>
      <c r="B925"/>
      <c r="C925"/>
      <c r="D925"/>
      <c r="E925"/>
      <c r="F925"/>
      <c r="G925"/>
      <c r="H925"/>
      <c r="I925"/>
      <c r="J925"/>
      <c r="K925"/>
      <c r="L925"/>
      <c r="M925"/>
      <c r="N925"/>
      <c r="O925"/>
      <c r="P925"/>
      <c r="Q925"/>
      <c r="R925"/>
      <c r="S925"/>
      <c r="T925"/>
    </row>
    <row r="926" spans="1:20" x14ac:dyDescent="0.3">
      <c r="A926"/>
      <c r="B926"/>
      <c r="C926"/>
      <c r="D926"/>
      <c r="E926"/>
      <c r="F926"/>
      <c r="G926"/>
      <c r="H926"/>
      <c r="I926"/>
      <c r="J926"/>
      <c r="K926"/>
      <c r="L926"/>
      <c r="M926"/>
      <c r="N926"/>
      <c r="O926"/>
      <c r="P926"/>
      <c r="Q926"/>
      <c r="R926"/>
      <c r="S926"/>
      <c r="T926"/>
    </row>
    <row r="927" spans="1:20" x14ac:dyDescent="0.3">
      <c r="A927"/>
      <c r="B927"/>
      <c r="C927"/>
      <c r="D927"/>
      <c r="E927"/>
      <c r="F927"/>
      <c r="G927"/>
      <c r="H927"/>
      <c r="I927"/>
      <c r="J927"/>
      <c r="K927"/>
      <c r="L927"/>
      <c r="M927"/>
      <c r="N927"/>
      <c r="O927"/>
      <c r="P927"/>
      <c r="Q927"/>
      <c r="R927"/>
      <c r="S927"/>
      <c r="T927"/>
    </row>
    <row r="928" spans="1:20" x14ac:dyDescent="0.3">
      <c r="A928"/>
      <c r="B928"/>
      <c r="C928"/>
      <c r="D928"/>
      <c r="E928"/>
      <c r="F928"/>
      <c r="G928"/>
      <c r="H928"/>
      <c r="I928"/>
      <c r="J928"/>
      <c r="K928"/>
      <c r="L928"/>
      <c r="M928"/>
      <c r="N928"/>
      <c r="O928"/>
      <c r="P928"/>
      <c r="Q928"/>
      <c r="R928"/>
      <c r="S928"/>
      <c r="T928"/>
    </row>
    <row r="929" spans="1:20" x14ac:dyDescent="0.3">
      <c r="A929"/>
      <c r="B929"/>
      <c r="C929"/>
      <c r="D929"/>
      <c r="E929"/>
      <c r="F929"/>
      <c r="G929"/>
      <c r="H929"/>
      <c r="I929"/>
      <c r="J929"/>
      <c r="K929"/>
      <c r="L929"/>
      <c r="M929"/>
      <c r="N929"/>
      <c r="O929"/>
      <c r="P929"/>
      <c r="Q929"/>
      <c r="R929"/>
      <c r="S929"/>
      <c r="T929"/>
    </row>
    <row r="930" spans="1:20" x14ac:dyDescent="0.3">
      <c r="A930"/>
      <c r="B930"/>
      <c r="C930"/>
      <c r="D930"/>
      <c r="E930"/>
      <c r="F930"/>
      <c r="G930"/>
      <c r="H930"/>
      <c r="I930"/>
      <c r="J930"/>
      <c r="K930"/>
      <c r="L930"/>
      <c r="M930"/>
      <c r="N930"/>
      <c r="O930"/>
      <c r="P930"/>
      <c r="Q930"/>
      <c r="R930"/>
      <c r="S930"/>
      <c r="T930"/>
    </row>
    <row r="931" spans="1:20" x14ac:dyDescent="0.3">
      <c r="A931"/>
      <c r="B931"/>
      <c r="C931"/>
      <c r="D931"/>
      <c r="E931"/>
      <c r="F931"/>
      <c r="G931"/>
      <c r="H931"/>
      <c r="I931"/>
      <c r="J931"/>
      <c r="K931"/>
      <c r="L931"/>
      <c r="M931"/>
      <c r="N931"/>
      <c r="O931"/>
      <c r="P931"/>
      <c r="Q931"/>
      <c r="R931"/>
      <c r="S931"/>
      <c r="T931"/>
    </row>
    <row r="932" spans="1:20" x14ac:dyDescent="0.3">
      <c r="A932"/>
      <c r="B932"/>
      <c r="C932"/>
      <c r="D932"/>
      <c r="E932"/>
      <c r="F932"/>
      <c r="G932"/>
      <c r="H932"/>
      <c r="I932"/>
      <c r="J932"/>
      <c r="K932"/>
      <c r="L932"/>
      <c r="M932"/>
      <c r="N932"/>
      <c r="O932"/>
      <c r="P932"/>
      <c r="Q932"/>
      <c r="R932"/>
      <c r="S932"/>
      <c r="T932"/>
    </row>
    <row r="933" spans="1:20" x14ac:dyDescent="0.3">
      <c r="A933"/>
      <c r="B933"/>
      <c r="C933"/>
      <c r="D933"/>
      <c r="E933"/>
      <c r="F933"/>
      <c r="G933"/>
      <c r="H933"/>
      <c r="I933"/>
      <c r="J933"/>
      <c r="K933"/>
      <c r="L933"/>
      <c r="M933"/>
      <c r="N933"/>
      <c r="O933"/>
      <c r="P933"/>
      <c r="Q933"/>
      <c r="R933"/>
      <c r="S933"/>
      <c r="T933"/>
    </row>
    <row r="934" spans="1:20" x14ac:dyDescent="0.3">
      <c r="A934"/>
      <c r="B934"/>
      <c r="C934"/>
      <c r="D934"/>
      <c r="E934"/>
      <c r="F934"/>
      <c r="G934"/>
      <c r="H934"/>
      <c r="I934"/>
      <c r="J934"/>
      <c r="K934"/>
      <c r="L934"/>
      <c r="M934"/>
      <c r="N934"/>
      <c r="O934"/>
      <c r="P934"/>
      <c r="Q934"/>
      <c r="R934"/>
      <c r="S934"/>
      <c r="T934"/>
    </row>
    <row r="935" spans="1:20" x14ac:dyDescent="0.3">
      <c r="A935"/>
      <c r="B935"/>
      <c r="C935"/>
      <c r="D935"/>
      <c r="E935"/>
      <c r="F935"/>
      <c r="G935"/>
      <c r="H935"/>
      <c r="I935"/>
      <c r="J935"/>
      <c r="K935"/>
      <c r="L935"/>
      <c r="M935"/>
      <c r="N935"/>
      <c r="O935"/>
      <c r="P935"/>
      <c r="Q935"/>
      <c r="R935"/>
      <c r="S935"/>
      <c r="T935"/>
    </row>
    <row r="936" spans="1:20" x14ac:dyDescent="0.3">
      <c r="A936"/>
      <c r="B936"/>
      <c r="C936"/>
      <c r="D936"/>
      <c r="E936"/>
      <c r="F936"/>
      <c r="G936"/>
      <c r="H936"/>
      <c r="I936"/>
      <c r="J936"/>
      <c r="K936"/>
      <c r="L936"/>
      <c r="M936"/>
      <c r="N936"/>
      <c r="O936"/>
      <c r="P936"/>
      <c r="Q936"/>
      <c r="R936"/>
      <c r="S936"/>
      <c r="T936"/>
    </row>
    <row r="937" spans="1:20" x14ac:dyDescent="0.3">
      <c r="A937"/>
      <c r="B937"/>
      <c r="C937"/>
      <c r="D937"/>
      <c r="E937"/>
      <c r="F937"/>
      <c r="G937"/>
      <c r="H937"/>
      <c r="I937"/>
      <c r="J937"/>
      <c r="K937"/>
      <c r="L937"/>
      <c r="M937"/>
      <c r="N937"/>
      <c r="O937"/>
      <c r="P937"/>
      <c r="Q937"/>
      <c r="R937"/>
      <c r="S937"/>
      <c r="T937"/>
    </row>
    <row r="938" spans="1:20" x14ac:dyDescent="0.3">
      <c r="A938"/>
      <c r="B938"/>
      <c r="C938"/>
      <c r="D938"/>
      <c r="E938"/>
      <c r="F938"/>
      <c r="G938"/>
      <c r="H938"/>
      <c r="I938"/>
      <c r="J938"/>
      <c r="K938"/>
      <c r="L938"/>
      <c r="M938"/>
      <c r="N938"/>
      <c r="O938"/>
      <c r="P938"/>
      <c r="Q938"/>
      <c r="R938"/>
      <c r="S938"/>
      <c r="T938"/>
    </row>
    <row r="939" spans="1:20" x14ac:dyDescent="0.3">
      <c r="A939"/>
      <c r="B939"/>
      <c r="C939"/>
      <c r="D939"/>
      <c r="E939"/>
      <c r="F939"/>
      <c r="G939"/>
      <c r="H939"/>
      <c r="I939"/>
      <c r="J939"/>
      <c r="K939"/>
      <c r="L939"/>
      <c r="M939"/>
      <c r="N939"/>
      <c r="O939"/>
      <c r="P939"/>
      <c r="Q939"/>
      <c r="R939"/>
      <c r="S939"/>
      <c r="T939"/>
    </row>
    <row r="940" spans="1:20" x14ac:dyDescent="0.3">
      <c r="A940"/>
      <c r="B940"/>
      <c r="C940"/>
      <c r="D940"/>
      <c r="E940"/>
      <c r="F940"/>
      <c r="G940"/>
      <c r="H940"/>
      <c r="I940"/>
      <c r="J940"/>
      <c r="K940"/>
      <c r="L940"/>
      <c r="M940"/>
      <c r="N940"/>
      <c r="O940"/>
      <c r="P940"/>
      <c r="Q940"/>
      <c r="R940"/>
      <c r="S940"/>
      <c r="T940"/>
    </row>
    <row r="941" spans="1:20" x14ac:dyDescent="0.3">
      <c r="A941"/>
      <c r="B941"/>
      <c r="C941"/>
      <c r="D941"/>
      <c r="E941"/>
      <c r="F941"/>
      <c r="G941"/>
      <c r="H941"/>
      <c r="I941"/>
      <c r="J941"/>
      <c r="K941"/>
      <c r="L941"/>
      <c r="M941"/>
      <c r="N941"/>
      <c r="O941"/>
      <c r="P941"/>
      <c r="Q941"/>
      <c r="R941"/>
      <c r="S941"/>
      <c r="T941"/>
    </row>
    <row r="942" spans="1:20" x14ac:dyDescent="0.3">
      <c r="A942"/>
      <c r="B942"/>
      <c r="C942"/>
      <c r="D942"/>
      <c r="E942"/>
      <c r="F942"/>
      <c r="G942"/>
      <c r="H942"/>
      <c r="I942"/>
      <c r="J942"/>
      <c r="K942"/>
      <c r="L942"/>
      <c r="M942"/>
      <c r="N942"/>
      <c r="O942"/>
      <c r="P942"/>
      <c r="Q942"/>
      <c r="R942"/>
      <c r="S942"/>
      <c r="T942"/>
    </row>
    <row r="943" spans="1:20" x14ac:dyDescent="0.3">
      <c r="A943"/>
      <c r="B943"/>
      <c r="C943"/>
      <c r="D943"/>
      <c r="E943"/>
      <c r="F943"/>
      <c r="G943"/>
      <c r="H943"/>
      <c r="I943"/>
      <c r="J943"/>
      <c r="K943"/>
      <c r="L943"/>
      <c r="M943"/>
      <c r="N943"/>
      <c r="O943"/>
      <c r="P943"/>
      <c r="Q943"/>
      <c r="R943"/>
      <c r="S943"/>
      <c r="T943"/>
    </row>
    <row r="944" spans="1:20" x14ac:dyDescent="0.3">
      <c r="A944"/>
      <c r="B944"/>
      <c r="C944"/>
      <c r="D944"/>
      <c r="E944"/>
      <c r="F944"/>
      <c r="G944"/>
      <c r="H944"/>
      <c r="I944"/>
      <c r="J944"/>
      <c r="K944"/>
      <c r="L944"/>
      <c r="M944"/>
      <c r="N944"/>
      <c r="O944"/>
      <c r="P944"/>
      <c r="Q944"/>
      <c r="R944"/>
      <c r="S944"/>
      <c r="T944"/>
    </row>
    <row r="945" spans="1:20" x14ac:dyDescent="0.3">
      <c r="A945"/>
      <c r="B945"/>
      <c r="C945"/>
      <c r="D945"/>
      <c r="E945"/>
      <c r="F945"/>
      <c r="G945"/>
      <c r="H945"/>
      <c r="I945"/>
      <c r="J945"/>
      <c r="K945"/>
      <c r="L945"/>
      <c r="M945"/>
      <c r="N945"/>
      <c r="O945"/>
      <c r="P945"/>
      <c r="Q945"/>
      <c r="R945"/>
      <c r="S945"/>
      <c r="T945"/>
    </row>
    <row r="946" spans="1:20" x14ac:dyDescent="0.3">
      <c r="A946"/>
      <c r="B946"/>
      <c r="C946"/>
      <c r="D946"/>
      <c r="E946"/>
      <c r="F946"/>
      <c r="G946"/>
      <c r="H946"/>
      <c r="I946"/>
      <c r="J946"/>
      <c r="K946"/>
      <c r="L946"/>
      <c r="M946"/>
      <c r="N946"/>
      <c r="O946"/>
      <c r="P946"/>
      <c r="Q946"/>
      <c r="R946"/>
      <c r="S946"/>
      <c r="T946"/>
    </row>
    <row r="947" spans="1:20" x14ac:dyDescent="0.3">
      <c r="A947"/>
      <c r="B947"/>
      <c r="C947"/>
      <c r="D947"/>
      <c r="E947"/>
      <c r="F947"/>
      <c r="G947"/>
      <c r="H947"/>
      <c r="I947"/>
      <c r="J947"/>
      <c r="K947"/>
      <c r="L947"/>
      <c r="M947"/>
      <c r="N947"/>
      <c r="O947"/>
      <c r="P947"/>
      <c r="Q947"/>
      <c r="R947"/>
      <c r="S947"/>
      <c r="T947"/>
    </row>
    <row r="948" spans="1:20" x14ac:dyDescent="0.3">
      <c r="A948"/>
      <c r="B948"/>
      <c r="C948"/>
      <c r="D948"/>
      <c r="E948"/>
      <c r="F948"/>
      <c r="G948"/>
      <c r="H948"/>
      <c r="I948"/>
      <c r="J948"/>
      <c r="K948"/>
      <c r="L948"/>
      <c r="M948"/>
      <c r="N948"/>
      <c r="O948"/>
      <c r="P948"/>
      <c r="Q948"/>
      <c r="R948"/>
      <c r="S948"/>
      <c r="T948"/>
    </row>
    <row r="949" spans="1:20" x14ac:dyDescent="0.3">
      <c r="A949"/>
      <c r="B949"/>
      <c r="C949"/>
      <c r="D949"/>
      <c r="E949"/>
      <c r="F949"/>
      <c r="G949"/>
      <c r="H949"/>
      <c r="I949"/>
      <c r="J949"/>
      <c r="K949"/>
      <c r="L949"/>
      <c r="M949"/>
      <c r="N949"/>
      <c r="O949"/>
      <c r="P949"/>
      <c r="Q949"/>
      <c r="R949"/>
      <c r="S949"/>
      <c r="T949"/>
    </row>
    <row r="950" spans="1:20" x14ac:dyDescent="0.3">
      <c r="A950"/>
      <c r="B950"/>
      <c r="C950"/>
      <c r="D950"/>
      <c r="E950"/>
      <c r="F950"/>
      <c r="G950"/>
      <c r="H950"/>
      <c r="I950"/>
      <c r="J950"/>
      <c r="K950"/>
      <c r="L950"/>
      <c r="M950"/>
      <c r="N950"/>
      <c r="O950"/>
      <c r="P950"/>
      <c r="Q950"/>
      <c r="R950"/>
      <c r="S950"/>
      <c r="T950"/>
    </row>
    <row r="951" spans="1:20" x14ac:dyDescent="0.3">
      <c r="A951"/>
      <c r="B951"/>
      <c r="C951"/>
      <c r="D951"/>
      <c r="E951"/>
      <c r="F951"/>
      <c r="G951"/>
      <c r="H951"/>
      <c r="I951"/>
      <c r="J951"/>
      <c r="K951"/>
      <c r="L951"/>
      <c r="M951"/>
      <c r="N951"/>
      <c r="O951"/>
      <c r="P951"/>
      <c r="Q951"/>
      <c r="R951"/>
      <c r="S951"/>
      <c r="T951"/>
    </row>
    <row r="952" spans="1:20" x14ac:dyDescent="0.3">
      <c r="A952"/>
      <c r="B952"/>
      <c r="C952"/>
      <c r="D952"/>
      <c r="E952"/>
      <c r="F952"/>
      <c r="G952"/>
      <c r="H952"/>
      <c r="I952"/>
      <c r="J952"/>
      <c r="K952"/>
      <c r="L952"/>
      <c r="M952"/>
      <c r="N952"/>
      <c r="O952"/>
      <c r="P952"/>
      <c r="Q952"/>
      <c r="R952"/>
      <c r="S952"/>
      <c r="T952"/>
    </row>
    <row r="953" spans="1:20" x14ac:dyDescent="0.3">
      <c r="A953"/>
      <c r="B953"/>
      <c r="C953"/>
      <c r="D953"/>
      <c r="E953"/>
      <c r="F953"/>
      <c r="G953"/>
      <c r="H953"/>
      <c r="I953"/>
      <c r="J953"/>
      <c r="K953"/>
      <c r="L953"/>
      <c r="M953"/>
      <c r="N953"/>
      <c r="O953"/>
      <c r="P953"/>
      <c r="Q953"/>
      <c r="R953"/>
      <c r="S953"/>
      <c r="T953"/>
    </row>
    <row r="954" spans="1:20" x14ac:dyDescent="0.3">
      <c r="A954"/>
      <c r="B954"/>
      <c r="C954"/>
      <c r="D954"/>
      <c r="E954"/>
      <c r="F954"/>
      <c r="G954"/>
      <c r="H954"/>
      <c r="I954"/>
      <c r="J954"/>
      <c r="K954"/>
      <c r="L954"/>
      <c r="M954"/>
      <c r="N954"/>
      <c r="O954"/>
      <c r="P954"/>
      <c r="Q954"/>
      <c r="R954"/>
      <c r="S954"/>
      <c r="T954"/>
    </row>
    <row r="955" spans="1:20" x14ac:dyDescent="0.3">
      <c r="A955"/>
      <c r="B955"/>
      <c r="C955"/>
      <c r="D955"/>
      <c r="E955"/>
      <c r="F955"/>
      <c r="G955"/>
      <c r="H955"/>
      <c r="I955"/>
      <c r="J955"/>
      <c r="K955"/>
      <c r="L955"/>
      <c r="M955"/>
      <c r="N955"/>
      <c r="O955"/>
      <c r="P955"/>
      <c r="Q955"/>
      <c r="R955"/>
      <c r="S955"/>
      <c r="T955"/>
    </row>
    <row r="956" spans="1:20" x14ac:dyDescent="0.3">
      <c r="A956"/>
      <c r="B956"/>
      <c r="C956"/>
      <c r="D956"/>
      <c r="E956"/>
      <c r="F956"/>
      <c r="G956"/>
      <c r="H956"/>
      <c r="I956"/>
      <c r="J956"/>
      <c r="K956"/>
      <c r="L956"/>
      <c r="M956"/>
      <c r="N956"/>
      <c r="O956"/>
      <c r="P956"/>
      <c r="Q956"/>
      <c r="R956"/>
      <c r="S956"/>
      <c r="T956"/>
    </row>
    <row r="957" spans="1:20" x14ac:dyDescent="0.3">
      <c r="A957"/>
      <c r="B957"/>
      <c r="C957"/>
      <c r="D957"/>
      <c r="E957"/>
      <c r="F957"/>
      <c r="G957"/>
      <c r="H957"/>
      <c r="I957"/>
      <c r="J957"/>
      <c r="K957"/>
      <c r="L957"/>
      <c r="M957"/>
      <c r="N957"/>
      <c r="O957"/>
      <c r="P957"/>
      <c r="Q957"/>
      <c r="R957"/>
      <c r="S957"/>
      <c r="T957"/>
    </row>
    <row r="958" spans="1:20" x14ac:dyDescent="0.3">
      <c r="A958"/>
      <c r="B958"/>
      <c r="C958"/>
      <c r="D958"/>
      <c r="E958"/>
      <c r="F958"/>
      <c r="G958"/>
      <c r="H958"/>
      <c r="I958"/>
      <c r="J958"/>
      <c r="K958"/>
      <c r="L958"/>
      <c r="M958"/>
      <c r="N958"/>
      <c r="O958"/>
      <c r="P958"/>
      <c r="Q958"/>
      <c r="R958"/>
      <c r="S958"/>
      <c r="T958"/>
    </row>
    <row r="959" spans="1:20" x14ac:dyDescent="0.3">
      <c r="A959"/>
      <c r="B959"/>
      <c r="C959"/>
      <c r="D959"/>
      <c r="E959"/>
      <c r="F959"/>
      <c r="G959"/>
      <c r="H959"/>
      <c r="I959"/>
      <c r="J959"/>
      <c r="K959"/>
      <c r="L959"/>
      <c r="M959"/>
      <c r="N959"/>
      <c r="O959"/>
      <c r="P959"/>
      <c r="Q959"/>
      <c r="R959"/>
      <c r="S959"/>
      <c r="T959"/>
    </row>
    <row r="960" spans="1:20" x14ac:dyDescent="0.3">
      <c r="A960"/>
      <c r="B960"/>
      <c r="C960"/>
      <c r="D960"/>
      <c r="E960"/>
      <c r="F960"/>
      <c r="G960"/>
      <c r="H960"/>
      <c r="I960"/>
      <c r="J960"/>
      <c r="K960"/>
      <c r="L960"/>
      <c r="M960"/>
      <c r="N960"/>
      <c r="O960"/>
      <c r="P960"/>
      <c r="Q960"/>
      <c r="R960"/>
      <c r="S960"/>
      <c r="T960"/>
    </row>
    <row r="961" spans="1:20" x14ac:dyDescent="0.3">
      <c r="A961"/>
      <c r="B961"/>
      <c r="C961"/>
      <c r="D961"/>
      <c r="E961"/>
      <c r="F961"/>
      <c r="G961"/>
      <c r="H961"/>
      <c r="I961"/>
      <c r="J961"/>
      <c r="K961"/>
      <c r="L961"/>
      <c r="M961"/>
      <c r="N961"/>
      <c r="O961"/>
      <c r="P961"/>
      <c r="Q961"/>
      <c r="R961"/>
      <c r="S961"/>
      <c r="T961"/>
    </row>
    <row r="962" spans="1:20" x14ac:dyDescent="0.3">
      <c r="A962"/>
      <c r="B962"/>
      <c r="C962"/>
      <c r="D962"/>
      <c r="E962"/>
      <c r="F962"/>
      <c r="G962"/>
      <c r="H962"/>
      <c r="I962"/>
      <c r="J962"/>
      <c r="K962"/>
      <c r="L962"/>
      <c r="M962"/>
      <c r="N962"/>
      <c r="O962"/>
      <c r="P962"/>
      <c r="Q962"/>
      <c r="R962"/>
      <c r="S962"/>
      <c r="T962"/>
    </row>
    <row r="963" spans="1:20" x14ac:dyDescent="0.3">
      <c r="A963"/>
      <c r="B963"/>
      <c r="C963"/>
      <c r="D963"/>
      <c r="E963"/>
      <c r="F963"/>
      <c r="G963"/>
      <c r="H963"/>
      <c r="I963"/>
      <c r="J963"/>
      <c r="K963"/>
      <c r="L963"/>
      <c r="M963"/>
      <c r="N963"/>
      <c r="O963"/>
      <c r="P963"/>
      <c r="Q963"/>
      <c r="R963"/>
      <c r="S963"/>
      <c r="T963"/>
    </row>
    <row r="964" spans="1:20" x14ac:dyDescent="0.3">
      <c r="A964"/>
      <c r="B964"/>
      <c r="C964"/>
      <c r="D964"/>
      <c r="E964"/>
      <c r="F964"/>
      <c r="G964"/>
      <c r="H964"/>
      <c r="I964"/>
      <c r="J964"/>
      <c r="K964"/>
      <c r="L964"/>
      <c r="M964"/>
      <c r="N964"/>
      <c r="O964"/>
      <c r="P964"/>
      <c r="Q964"/>
      <c r="R964"/>
      <c r="S964"/>
      <c r="T964"/>
    </row>
    <row r="965" spans="1:20" x14ac:dyDescent="0.3">
      <c r="A965"/>
      <c r="B965"/>
      <c r="C965"/>
      <c r="D965"/>
      <c r="E965"/>
      <c r="F965"/>
      <c r="G965"/>
      <c r="H965"/>
      <c r="I965"/>
      <c r="J965"/>
      <c r="K965"/>
      <c r="L965"/>
      <c r="M965"/>
      <c r="N965"/>
      <c r="O965"/>
      <c r="P965"/>
      <c r="Q965"/>
      <c r="R965"/>
      <c r="S965"/>
      <c r="T965"/>
    </row>
    <row r="966" spans="1:20" x14ac:dyDescent="0.3">
      <c r="A966"/>
      <c r="B966"/>
      <c r="C966"/>
      <c r="D966"/>
      <c r="E966"/>
      <c r="F966"/>
      <c r="G966"/>
      <c r="H966"/>
      <c r="I966"/>
      <c r="J966"/>
      <c r="K966"/>
      <c r="L966"/>
      <c r="M966"/>
      <c r="N966"/>
      <c r="O966"/>
      <c r="P966"/>
      <c r="Q966"/>
      <c r="R966"/>
      <c r="S966"/>
      <c r="T966"/>
    </row>
    <row r="967" spans="1:20" x14ac:dyDescent="0.3">
      <c r="A967"/>
      <c r="B967"/>
      <c r="C967"/>
      <c r="D967"/>
      <c r="E967"/>
      <c r="F967"/>
      <c r="G967"/>
      <c r="H967"/>
      <c r="I967"/>
      <c r="J967"/>
      <c r="K967"/>
      <c r="L967"/>
      <c r="M967"/>
      <c r="N967"/>
      <c r="O967"/>
      <c r="P967"/>
      <c r="Q967"/>
      <c r="R967"/>
      <c r="S967"/>
      <c r="T967"/>
    </row>
    <row r="968" spans="1:20" x14ac:dyDescent="0.3">
      <c r="A968"/>
      <c r="B968"/>
      <c r="C968"/>
      <c r="D968"/>
      <c r="E968"/>
      <c r="F968"/>
      <c r="G968"/>
      <c r="H968"/>
      <c r="I968"/>
      <c r="J968"/>
      <c r="K968"/>
      <c r="L968"/>
      <c r="M968"/>
      <c r="N968"/>
      <c r="O968"/>
      <c r="P968"/>
      <c r="Q968"/>
      <c r="R968"/>
      <c r="S968"/>
      <c r="T968"/>
    </row>
    <row r="969" spans="1:20" x14ac:dyDescent="0.3">
      <c r="A969"/>
      <c r="B969"/>
      <c r="C969"/>
      <c r="D969"/>
      <c r="E969"/>
      <c r="F969"/>
      <c r="G969"/>
      <c r="H969"/>
      <c r="I969"/>
      <c r="J969"/>
      <c r="K969"/>
      <c r="L969"/>
      <c r="M969"/>
      <c r="N969"/>
      <c r="O969"/>
      <c r="P969"/>
      <c r="Q969"/>
      <c r="R969"/>
      <c r="S969"/>
      <c r="T969"/>
    </row>
    <row r="970" spans="1:20" x14ac:dyDescent="0.3">
      <c r="A970"/>
      <c r="B970"/>
      <c r="C970"/>
      <c r="D970"/>
      <c r="E970"/>
      <c r="F970"/>
      <c r="G970"/>
      <c r="H970"/>
      <c r="I970"/>
      <c r="J970"/>
      <c r="K970"/>
      <c r="L970"/>
      <c r="M970"/>
      <c r="N970"/>
      <c r="O970"/>
      <c r="P970"/>
      <c r="Q970"/>
      <c r="R970"/>
      <c r="S970"/>
      <c r="T970"/>
    </row>
    <row r="971" spans="1:20" x14ac:dyDescent="0.3">
      <c r="A971"/>
      <c r="B971"/>
      <c r="C971"/>
      <c r="D971"/>
      <c r="E971"/>
      <c r="F971"/>
      <c r="G971"/>
      <c r="H971"/>
      <c r="I971"/>
      <c r="J971"/>
      <c r="K971"/>
      <c r="L971"/>
      <c r="M971"/>
      <c r="N971"/>
      <c r="O971"/>
      <c r="P971"/>
      <c r="Q971"/>
      <c r="R971"/>
      <c r="S971"/>
      <c r="T971"/>
    </row>
    <row r="972" spans="1:20" x14ac:dyDescent="0.3">
      <c r="A972"/>
      <c r="B972"/>
      <c r="C972"/>
      <c r="D972"/>
      <c r="E972"/>
      <c r="F972"/>
      <c r="G972"/>
      <c r="H972"/>
      <c r="I972"/>
      <c r="J972"/>
      <c r="K972"/>
      <c r="L972"/>
      <c r="M972"/>
      <c r="N972"/>
      <c r="O972"/>
      <c r="P972"/>
      <c r="Q972"/>
      <c r="R972"/>
      <c r="S972"/>
      <c r="T972"/>
    </row>
    <row r="973" spans="1:20" x14ac:dyDescent="0.3">
      <c r="A973"/>
      <c r="B973"/>
      <c r="C973"/>
      <c r="D973"/>
      <c r="E973"/>
      <c r="F973"/>
      <c r="G973"/>
      <c r="H973"/>
      <c r="I973"/>
      <c r="J973"/>
      <c r="K973"/>
      <c r="L973"/>
      <c r="M973"/>
      <c r="N973"/>
      <c r="O973"/>
      <c r="P973"/>
      <c r="Q973"/>
      <c r="R973"/>
      <c r="S973"/>
      <c r="T973"/>
    </row>
    <row r="974" spans="1:20" x14ac:dyDescent="0.3">
      <c r="A974"/>
      <c r="B974"/>
      <c r="C974"/>
      <c r="D974"/>
      <c r="E974"/>
      <c r="F974"/>
      <c r="G974"/>
      <c r="H974"/>
      <c r="I974"/>
      <c r="J974"/>
      <c r="K974"/>
      <c r="L974"/>
      <c r="M974"/>
      <c r="N974"/>
      <c r="O974"/>
      <c r="P974"/>
      <c r="Q974"/>
      <c r="R974"/>
      <c r="S974"/>
      <c r="T974"/>
    </row>
    <row r="975" spans="1:20" x14ac:dyDescent="0.3">
      <c r="A975"/>
      <c r="B975"/>
      <c r="C975"/>
      <c r="D975"/>
      <c r="E975"/>
      <c r="F975"/>
      <c r="G975"/>
      <c r="H975"/>
      <c r="I975"/>
      <c r="J975"/>
      <c r="K975"/>
      <c r="L975"/>
      <c r="M975"/>
      <c r="N975"/>
      <c r="O975"/>
      <c r="P975"/>
      <c r="Q975"/>
      <c r="R975"/>
      <c r="S975"/>
      <c r="T975"/>
    </row>
    <row r="976" spans="1:20" x14ac:dyDescent="0.3">
      <c r="A976"/>
      <c r="B976"/>
      <c r="C976"/>
      <c r="D976"/>
      <c r="E976"/>
      <c r="F976"/>
      <c r="G976"/>
      <c r="H976"/>
      <c r="I976"/>
      <c r="J976"/>
      <c r="K976"/>
      <c r="L976"/>
      <c r="M976"/>
      <c r="N976"/>
      <c r="O976"/>
      <c r="P976"/>
      <c r="Q976"/>
      <c r="R976"/>
      <c r="S976"/>
      <c r="T976"/>
    </row>
    <row r="977" spans="1:20" x14ac:dyDescent="0.3">
      <c r="A977"/>
      <c r="B977"/>
      <c r="C977"/>
      <c r="D977"/>
      <c r="E977"/>
      <c r="F977"/>
      <c r="G977"/>
      <c r="H977"/>
      <c r="I977"/>
      <c r="J977"/>
      <c r="K977"/>
      <c r="L977"/>
      <c r="M977"/>
      <c r="N977"/>
      <c r="O977"/>
      <c r="P977"/>
      <c r="Q977"/>
      <c r="R977"/>
      <c r="S977"/>
      <c r="T977"/>
    </row>
    <row r="978" spans="1:20" x14ac:dyDescent="0.3">
      <c r="A978"/>
      <c r="B978"/>
      <c r="C978"/>
      <c r="D978"/>
      <c r="E978"/>
      <c r="F978"/>
      <c r="G978"/>
      <c r="H978"/>
      <c r="I978"/>
      <c r="J978"/>
      <c r="K978"/>
      <c r="L978"/>
      <c r="M978"/>
      <c r="N978"/>
      <c r="O978"/>
      <c r="P978"/>
      <c r="Q978"/>
      <c r="R978"/>
      <c r="S978"/>
      <c r="T978"/>
    </row>
    <row r="979" spans="1:20" x14ac:dyDescent="0.3">
      <c r="A979"/>
      <c r="B979"/>
      <c r="C979"/>
      <c r="D979"/>
      <c r="E979"/>
      <c r="F979"/>
      <c r="G979"/>
      <c r="H979"/>
      <c r="I979"/>
      <c r="J979"/>
      <c r="K979"/>
      <c r="L979"/>
      <c r="M979"/>
      <c r="N979"/>
      <c r="O979"/>
      <c r="P979"/>
      <c r="Q979"/>
      <c r="R979"/>
      <c r="S979"/>
      <c r="T979"/>
    </row>
    <row r="980" spans="1:20" x14ac:dyDescent="0.3">
      <c r="A980"/>
      <c r="B980"/>
      <c r="C980"/>
      <c r="D980"/>
      <c r="E980"/>
      <c r="F980"/>
      <c r="G980"/>
      <c r="H980"/>
      <c r="I980"/>
      <c r="J980"/>
      <c r="K980"/>
      <c r="L980"/>
      <c r="M980"/>
      <c r="N980"/>
      <c r="O980"/>
      <c r="P980"/>
      <c r="Q980"/>
      <c r="R980"/>
      <c r="S980"/>
      <c r="T980"/>
    </row>
    <row r="981" spans="1:20" x14ac:dyDescent="0.3">
      <c r="A981"/>
      <c r="B981"/>
      <c r="C981"/>
      <c r="D981"/>
      <c r="E981"/>
      <c r="F981"/>
      <c r="G981"/>
      <c r="H981"/>
      <c r="I981"/>
      <c r="J981"/>
      <c r="K981"/>
      <c r="L981"/>
      <c r="M981"/>
      <c r="N981"/>
      <c r="O981"/>
      <c r="P981"/>
      <c r="Q981"/>
      <c r="R981"/>
      <c r="S981"/>
      <c r="T981"/>
    </row>
    <row r="982" spans="1:20" x14ac:dyDescent="0.3">
      <c r="A982"/>
      <c r="B982"/>
      <c r="C982"/>
      <c r="D982"/>
      <c r="E982"/>
      <c r="F982"/>
      <c r="G982"/>
      <c r="H982"/>
      <c r="I982"/>
      <c r="J982"/>
      <c r="K982"/>
      <c r="L982"/>
      <c r="M982"/>
      <c r="N982"/>
      <c r="O982"/>
      <c r="P982"/>
      <c r="Q982"/>
      <c r="R982"/>
      <c r="S982"/>
      <c r="T982"/>
    </row>
    <row r="983" spans="1:20" x14ac:dyDescent="0.3">
      <c r="A983"/>
      <c r="B983"/>
      <c r="C983"/>
      <c r="D983"/>
      <c r="E983"/>
      <c r="F983"/>
      <c r="G983"/>
      <c r="H983"/>
      <c r="I983"/>
      <c r="J983"/>
      <c r="K983"/>
      <c r="L983"/>
      <c r="M983"/>
      <c r="N983"/>
      <c r="O983"/>
      <c r="P983"/>
      <c r="Q983"/>
      <c r="R983"/>
      <c r="S983"/>
      <c r="T983"/>
    </row>
    <row r="984" spans="1:20" x14ac:dyDescent="0.3">
      <c r="A984"/>
      <c r="B984"/>
      <c r="C984"/>
      <c r="D984"/>
      <c r="E984"/>
      <c r="F984"/>
      <c r="G984"/>
      <c r="H984"/>
      <c r="I984"/>
      <c r="J984"/>
      <c r="K984"/>
      <c r="L984"/>
      <c r="M984"/>
      <c r="N984"/>
      <c r="O984"/>
      <c r="P984"/>
      <c r="Q984"/>
      <c r="R984"/>
      <c r="S984"/>
      <c r="T984"/>
    </row>
    <row r="985" spans="1:20" x14ac:dyDescent="0.3">
      <c r="A985"/>
      <c r="B985"/>
      <c r="C985"/>
      <c r="D985"/>
      <c r="E985"/>
      <c r="F985"/>
      <c r="G985"/>
      <c r="H985"/>
      <c r="I985"/>
      <c r="J985"/>
      <c r="K985"/>
      <c r="L985"/>
      <c r="M985"/>
      <c r="N985"/>
      <c r="O985"/>
      <c r="P985"/>
      <c r="Q985"/>
      <c r="R985"/>
      <c r="S985"/>
      <c r="T985"/>
    </row>
    <row r="986" spans="1:20" x14ac:dyDescent="0.3">
      <c r="A986"/>
      <c r="B986"/>
      <c r="C986"/>
      <c r="D986"/>
      <c r="E986"/>
      <c r="F986"/>
      <c r="G986"/>
      <c r="H986"/>
      <c r="I986"/>
      <c r="J986"/>
      <c r="K986"/>
      <c r="L986"/>
      <c r="M986"/>
      <c r="N986"/>
      <c r="O986"/>
      <c r="P986"/>
      <c r="Q986"/>
      <c r="R986"/>
      <c r="S986"/>
      <c r="T986"/>
    </row>
    <row r="987" spans="1:20" x14ac:dyDescent="0.3">
      <c r="A987"/>
      <c r="B987"/>
      <c r="C987"/>
      <c r="D987"/>
      <c r="E987"/>
      <c r="F987"/>
      <c r="G987"/>
      <c r="H987"/>
      <c r="I987"/>
      <c r="J987"/>
      <c r="K987"/>
      <c r="L987"/>
      <c r="M987"/>
      <c r="N987"/>
      <c r="O987"/>
      <c r="P987"/>
      <c r="Q987"/>
      <c r="R987"/>
      <c r="S987"/>
      <c r="T987"/>
    </row>
    <row r="988" spans="1:20" x14ac:dyDescent="0.3">
      <c r="A988"/>
      <c r="B988"/>
      <c r="C988"/>
      <c r="D988"/>
      <c r="E988"/>
      <c r="F988"/>
      <c r="G988"/>
      <c r="H988"/>
      <c r="I988"/>
      <c r="J988"/>
      <c r="K988"/>
      <c r="L988"/>
      <c r="M988"/>
      <c r="N988"/>
      <c r="O988"/>
      <c r="P988"/>
      <c r="Q988"/>
      <c r="R988"/>
      <c r="S988"/>
      <c r="T988"/>
    </row>
    <row r="989" spans="1:20" x14ac:dyDescent="0.3">
      <c r="A989"/>
      <c r="B989"/>
      <c r="C989"/>
      <c r="D989"/>
      <c r="E989"/>
      <c r="F989"/>
      <c r="G989"/>
      <c r="H989"/>
      <c r="I989"/>
      <c r="J989"/>
      <c r="K989"/>
      <c r="L989"/>
      <c r="M989"/>
      <c r="N989"/>
      <c r="O989"/>
      <c r="P989"/>
      <c r="Q989"/>
      <c r="R989"/>
      <c r="S989"/>
      <c r="T989"/>
    </row>
    <row r="990" spans="1:20" x14ac:dyDescent="0.3">
      <c r="A990"/>
      <c r="B990"/>
      <c r="C990"/>
      <c r="D990"/>
      <c r="E990"/>
      <c r="F990"/>
      <c r="G990"/>
      <c r="H990"/>
      <c r="I990"/>
      <c r="J990"/>
      <c r="K990"/>
      <c r="L990"/>
      <c r="M990"/>
      <c r="N990"/>
      <c r="O990"/>
      <c r="P990"/>
      <c r="Q990"/>
      <c r="R990"/>
      <c r="S990"/>
      <c r="T990"/>
    </row>
    <row r="991" spans="1:20" x14ac:dyDescent="0.3">
      <c r="A991"/>
      <c r="B991"/>
      <c r="C991"/>
      <c r="D991"/>
      <c r="E991"/>
      <c r="F991"/>
      <c r="G991"/>
      <c r="H991"/>
      <c r="I991"/>
      <c r="J991"/>
      <c r="K991"/>
      <c r="L991"/>
      <c r="M991"/>
      <c r="N991"/>
      <c r="O991"/>
      <c r="P991"/>
      <c r="Q991"/>
      <c r="R991"/>
      <c r="S991"/>
      <c r="T991"/>
    </row>
    <row r="992" spans="1:20" x14ac:dyDescent="0.3">
      <c r="A992"/>
      <c r="B992"/>
      <c r="C992"/>
      <c r="D992"/>
      <c r="E992"/>
      <c r="F992"/>
      <c r="G992"/>
      <c r="H992"/>
      <c r="I992"/>
      <c r="J992"/>
      <c r="K992"/>
      <c r="L992"/>
      <c r="M992"/>
      <c r="N992"/>
      <c r="O992"/>
      <c r="P992"/>
      <c r="Q992"/>
      <c r="R992"/>
      <c r="S992"/>
      <c r="T992"/>
    </row>
    <row r="993" spans="1:20" x14ac:dyDescent="0.3">
      <c r="A993"/>
      <c r="B993"/>
      <c r="C993"/>
      <c r="D993"/>
      <c r="E993"/>
      <c r="F993"/>
      <c r="G993"/>
      <c r="H993"/>
      <c r="I993"/>
      <c r="J993"/>
      <c r="K993"/>
      <c r="L993"/>
      <c r="M993"/>
      <c r="N993"/>
      <c r="O993"/>
      <c r="P993"/>
      <c r="Q993"/>
      <c r="R993"/>
      <c r="S993"/>
      <c r="T993"/>
    </row>
    <row r="994" spans="1:20" x14ac:dyDescent="0.3">
      <c r="A994"/>
      <c r="B994"/>
      <c r="C994"/>
      <c r="D994"/>
      <c r="E994"/>
      <c r="F994"/>
      <c r="G994"/>
      <c r="H994"/>
      <c r="I994"/>
      <c r="J994"/>
      <c r="K994"/>
      <c r="L994"/>
      <c r="M994"/>
      <c r="N994"/>
      <c r="O994"/>
      <c r="P994"/>
      <c r="Q994"/>
      <c r="R994"/>
      <c r="S994"/>
      <c r="T994"/>
    </row>
    <row r="995" spans="1:20" x14ac:dyDescent="0.3">
      <c r="A995"/>
      <c r="B995"/>
      <c r="C995"/>
      <c r="D995"/>
      <c r="E995"/>
      <c r="F995"/>
      <c r="G995"/>
      <c r="H995"/>
      <c r="I995"/>
      <c r="J995"/>
      <c r="K995"/>
      <c r="L995"/>
      <c r="M995"/>
      <c r="N995"/>
      <c r="O995"/>
      <c r="P995"/>
      <c r="Q995"/>
      <c r="R995"/>
      <c r="S995"/>
      <c r="T995"/>
    </row>
    <row r="996" spans="1:20" x14ac:dyDescent="0.3">
      <c r="A996"/>
      <c r="B996"/>
      <c r="C996"/>
      <c r="D996"/>
      <c r="E996"/>
      <c r="F996"/>
      <c r="G996"/>
      <c r="H996"/>
      <c r="I996"/>
      <c r="J996"/>
      <c r="K996"/>
      <c r="L996"/>
      <c r="M996"/>
      <c r="N996"/>
      <c r="O996"/>
      <c r="P996"/>
      <c r="Q996"/>
      <c r="R996"/>
      <c r="S996"/>
      <c r="T996"/>
    </row>
    <row r="997" spans="1:20" x14ac:dyDescent="0.3">
      <c r="A997"/>
      <c r="B997"/>
      <c r="C997"/>
      <c r="D997"/>
      <c r="E997"/>
      <c r="F997"/>
      <c r="G997"/>
      <c r="H997"/>
      <c r="I997"/>
      <c r="J997"/>
      <c r="K997"/>
      <c r="L997"/>
      <c r="M997"/>
      <c r="N997"/>
      <c r="O997"/>
      <c r="P997"/>
      <c r="Q997"/>
      <c r="R997"/>
      <c r="S997"/>
      <c r="T997"/>
    </row>
    <row r="998" spans="1:20" x14ac:dyDescent="0.3">
      <c r="A998"/>
      <c r="B998"/>
      <c r="C998"/>
      <c r="D998"/>
      <c r="E998"/>
      <c r="F998"/>
      <c r="G998"/>
      <c r="H998"/>
      <c r="I998"/>
      <c r="J998"/>
      <c r="K998"/>
      <c r="L998"/>
      <c r="M998"/>
      <c r="N998"/>
      <c r="O998"/>
      <c r="P998"/>
      <c r="Q998"/>
      <c r="R998"/>
      <c r="S998"/>
      <c r="T998"/>
    </row>
    <row r="999" spans="1:20" x14ac:dyDescent="0.3">
      <c r="A999"/>
      <c r="B999"/>
      <c r="C999"/>
      <c r="D999"/>
      <c r="E999"/>
      <c r="F999"/>
      <c r="G999"/>
      <c r="H999"/>
      <c r="I999"/>
      <c r="J999"/>
      <c r="K999"/>
      <c r="L999"/>
      <c r="M999"/>
      <c r="N999"/>
      <c r="O999"/>
      <c r="P999"/>
      <c r="Q999"/>
      <c r="R999"/>
      <c r="S999"/>
      <c r="T999"/>
    </row>
    <row r="1000" spans="1:20" x14ac:dyDescent="0.3">
      <c r="A1000"/>
      <c r="B1000"/>
      <c r="C1000"/>
      <c r="D1000"/>
      <c r="E1000"/>
      <c r="F1000"/>
      <c r="G1000"/>
      <c r="H1000"/>
      <c r="I1000"/>
      <c r="J1000"/>
      <c r="K1000"/>
      <c r="L1000"/>
      <c r="M1000"/>
      <c r="N1000"/>
      <c r="O1000"/>
      <c r="P1000"/>
      <c r="Q1000"/>
      <c r="R1000"/>
      <c r="S1000"/>
      <c r="T1000"/>
    </row>
    <row r="1001" spans="1:20" x14ac:dyDescent="0.3">
      <c r="A1001"/>
      <c r="B1001"/>
      <c r="C1001"/>
      <c r="D1001"/>
      <c r="E1001"/>
      <c r="F1001"/>
      <c r="G1001"/>
      <c r="H1001"/>
      <c r="I1001"/>
      <c r="J1001"/>
      <c r="K1001"/>
      <c r="L1001"/>
      <c r="M1001"/>
      <c r="N1001"/>
      <c r="O1001"/>
      <c r="P1001"/>
      <c r="Q1001"/>
      <c r="R1001"/>
      <c r="S1001"/>
      <c r="T1001"/>
    </row>
    <row r="1002" spans="1:20" x14ac:dyDescent="0.3">
      <c r="A1002"/>
      <c r="B1002"/>
      <c r="C1002"/>
      <c r="D1002"/>
      <c r="E1002"/>
      <c r="F1002"/>
      <c r="G1002"/>
      <c r="H1002"/>
      <c r="I1002"/>
      <c r="J1002"/>
      <c r="K1002"/>
      <c r="L1002"/>
      <c r="M1002"/>
      <c r="N1002"/>
      <c r="O1002"/>
      <c r="P1002"/>
      <c r="Q1002"/>
      <c r="R1002"/>
      <c r="S1002"/>
      <c r="T1002"/>
    </row>
    <row r="1003" spans="1:20" x14ac:dyDescent="0.3">
      <c r="A1003"/>
      <c r="B1003"/>
      <c r="C1003"/>
      <c r="D1003"/>
      <c r="E1003"/>
      <c r="F1003"/>
      <c r="G1003"/>
      <c r="H1003"/>
      <c r="I1003"/>
      <c r="J1003"/>
      <c r="K1003"/>
      <c r="L1003"/>
      <c r="M1003"/>
      <c r="N1003"/>
      <c r="O1003"/>
      <c r="P1003"/>
      <c r="Q1003"/>
      <c r="R1003"/>
      <c r="S1003"/>
      <c r="T1003"/>
    </row>
    <row r="1004" spans="1:20" x14ac:dyDescent="0.3">
      <c r="A1004"/>
      <c r="B1004"/>
      <c r="C1004"/>
      <c r="D1004"/>
      <c r="E1004"/>
      <c r="F1004"/>
      <c r="G1004"/>
      <c r="H1004"/>
      <c r="I1004"/>
      <c r="J1004"/>
      <c r="K1004"/>
      <c r="L1004"/>
      <c r="M1004"/>
      <c r="N1004"/>
      <c r="O1004"/>
      <c r="P1004"/>
      <c r="Q1004"/>
      <c r="R1004"/>
      <c r="S1004"/>
      <c r="T1004"/>
    </row>
    <row r="1005" spans="1:20" x14ac:dyDescent="0.3">
      <c r="A1005"/>
      <c r="B1005"/>
      <c r="C1005"/>
      <c r="D1005"/>
      <c r="E1005"/>
      <c r="F1005"/>
      <c r="G1005"/>
      <c r="H1005"/>
      <c r="I1005"/>
      <c r="J1005"/>
      <c r="K1005"/>
      <c r="L1005"/>
      <c r="M1005"/>
      <c r="N1005"/>
      <c r="O1005"/>
      <c r="P1005"/>
      <c r="Q1005"/>
      <c r="R1005"/>
      <c r="S1005"/>
      <c r="T1005"/>
    </row>
    <row r="1006" spans="1:20" x14ac:dyDescent="0.3">
      <c r="A1006"/>
      <c r="B1006"/>
      <c r="C1006"/>
      <c r="D1006"/>
      <c r="E1006"/>
      <c r="F1006"/>
      <c r="G1006"/>
      <c r="H1006"/>
      <c r="I1006"/>
      <c r="J1006"/>
      <c r="K1006"/>
      <c r="L1006"/>
      <c r="M1006"/>
      <c r="N1006"/>
      <c r="O1006"/>
      <c r="P1006"/>
      <c r="Q1006"/>
      <c r="R1006"/>
      <c r="S1006"/>
      <c r="T1006"/>
    </row>
    <row r="1007" spans="1:20" x14ac:dyDescent="0.3">
      <c r="A1007"/>
      <c r="B1007"/>
      <c r="C1007"/>
      <c r="D1007"/>
      <c r="E1007"/>
      <c r="F1007"/>
      <c r="G1007"/>
      <c r="H1007"/>
      <c r="I1007"/>
      <c r="J1007"/>
      <c r="K1007"/>
      <c r="L1007"/>
      <c r="M1007"/>
      <c r="N1007"/>
      <c r="O1007"/>
      <c r="P1007"/>
      <c r="Q1007"/>
      <c r="R1007"/>
      <c r="S1007"/>
      <c r="T1007"/>
    </row>
    <row r="1008" spans="1:20" x14ac:dyDescent="0.3">
      <c r="A1008"/>
      <c r="B1008"/>
      <c r="C1008"/>
      <c r="D1008"/>
      <c r="E1008"/>
      <c r="F1008"/>
      <c r="G1008"/>
      <c r="H1008"/>
      <c r="I1008"/>
      <c r="J1008"/>
      <c r="K1008"/>
      <c r="L1008"/>
      <c r="M1008"/>
      <c r="N1008"/>
      <c r="O1008"/>
      <c r="P1008"/>
      <c r="Q1008"/>
      <c r="R1008"/>
      <c r="S1008"/>
      <c r="T1008"/>
    </row>
    <row r="1009" spans="1:20" x14ac:dyDescent="0.3">
      <c r="A1009"/>
      <c r="B1009"/>
      <c r="C1009"/>
      <c r="D1009"/>
      <c r="E1009"/>
      <c r="F1009"/>
      <c r="G1009"/>
      <c r="H1009"/>
      <c r="I1009"/>
      <c r="J1009"/>
      <c r="K1009"/>
      <c r="L1009"/>
      <c r="M1009"/>
      <c r="N1009"/>
      <c r="O1009"/>
      <c r="P1009"/>
      <c r="Q1009"/>
      <c r="R1009"/>
      <c r="S1009"/>
      <c r="T1009"/>
    </row>
    <row r="1010" spans="1:20" x14ac:dyDescent="0.3">
      <c r="A1010"/>
      <c r="B1010"/>
      <c r="C1010"/>
      <c r="D1010"/>
      <c r="E1010"/>
      <c r="F1010"/>
      <c r="G1010"/>
      <c r="H1010"/>
      <c r="I1010"/>
      <c r="J1010"/>
      <c r="K1010"/>
      <c r="L1010"/>
      <c r="M1010"/>
      <c r="N1010"/>
      <c r="O1010"/>
      <c r="P1010"/>
      <c r="Q1010"/>
      <c r="R1010"/>
      <c r="S1010"/>
      <c r="T1010"/>
    </row>
    <row r="1011" spans="1:20" x14ac:dyDescent="0.3">
      <c r="A1011"/>
      <c r="B1011"/>
      <c r="C1011"/>
      <c r="D1011"/>
      <c r="E1011"/>
      <c r="F1011"/>
      <c r="G1011"/>
      <c r="H1011"/>
      <c r="I1011"/>
      <c r="J1011"/>
      <c r="K1011"/>
      <c r="L1011"/>
      <c r="M1011"/>
      <c r="N1011"/>
      <c r="O1011"/>
      <c r="P1011"/>
      <c r="Q1011"/>
      <c r="R1011"/>
      <c r="S1011"/>
      <c r="T1011"/>
    </row>
    <row r="1012" spans="1:20" x14ac:dyDescent="0.3">
      <c r="A1012"/>
      <c r="B1012"/>
      <c r="C1012"/>
      <c r="D1012"/>
      <c r="E1012"/>
      <c r="F1012"/>
      <c r="G1012"/>
      <c r="H1012"/>
      <c r="I1012"/>
      <c r="J1012"/>
      <c r="K1012"/>
      <c r="L1012"/>
      <c r="M1012"/>
      <c r="N1012"/>
      <c r="O1012"/>
      <c r="P1012"/>
      <c r="Q1012"/>
      <c r="R1012"/>
      <c r="S1012"/>
      <c r="T1012"/>
    </row>
    <row r="1013" spans="1:20" x14ac:dyDescent="0.3">
      <c r="A1013"/>
      <c r="B1013"/>
      <c r="C1013"/>
      <c r="D1013"/>
      <c r="E1013"/>
      <c r="F1013"/>
      <c r="G1013"/>
      <c r="H1013"/>
      <c r="I1013"/>
      <c r="J1013"/>
      <c r="K1013"/>
      <c r="L1013"/>
      <c r="M1013"/>
      <c r="N1013"/>
      <c r="O1013"/>
      <c r="P1013"/>
      <c r="Q1013"/>
      <c r="R1013"/>
      <c r="S1013"/>
      <c r="T1013"/>
    </row>
    <row r="1014" spans="1:20" x14ac:dyDescent="0.3">
      <c r="A1014"/>
      <c r="B1014"/>
      <c r="C1014"/>
      <c r="D1014"/>
      <c r="E1014"/>
      <c r="F1014"/>
      <c r="G1014"/>
      <c r="H1014"/>
      <c r="I1014"/>
      <c r="J1014"/>
      <c r="K1014"/>
      <c r="L1014"/>
      <c r="M1014"/>
      <c r="N1014"/>
      <c r="O1014"/>
      <c r="P1014"/>
      <c r="Q1014"/>
      <c r="R1014"/>
      <c r="S1014"/>
      <c r="T1014"/>
    </row>
    <row r="1015" spans="1:20" x14ac:dyDescent="0.3">
      <c r="A1015"/>
      <c r="B1015"/>
      <c r="C1015"/>
      <c r="D1015"/>
      <c r="E1015"/>
      <c r="F1015"/>
      <c r="G1015"/>
      <c r="H1015"/>
      <c r="I1015"/>
      <c r="J1015"/>
      <c r="K1015"/>
      <c r="L1015"/>
      <c r="M1015"/>
      <c r="N1015"/>
      <c r="O1015"/>
      <c r="P1015"/>
      <c r="Q1015"/>
      <c r="R1015"/>
      <c r="S1015"/>
      <c r="T1015"/>
    </row>
    <row r="1016" spans="1:20" x14ac:dyDescent="0.3">
      <c r="A1016"/>
      <c r="B1016"/>
      <c r="C1016"/>
      <c r="D1016"/>
      <c r="E1016"/>
      <c r="F1016"/>
      <c r="G1016"/>
      <c r="H1016"/>
      <c r="I1016"/>
      <c r="J1016"/>
      <c r="K1016"/>
      <c r="L1016"/>
      <c r="M1016"/>
      <c r="N1016"/>
      <c r="O1016"/>
      <c r="P1016"/>
      <c r="Q1016"/>
      <c r="R1016"/>
      <c r="S1016"/>
      <c r="T1016"/>
    </row>
    <row r="1017" spans="1:20" x14ac:dyDescent="0.3">
      <c r="A1017"/>
      <c r="B1017"/>
      <c r="C1017"/>
      <c r="D1017"/>
      <c r="E1017"/>
      <c r="F1017"/>
      <c r="G1017"/>
      <c r="H1017"/>
      <c r="I1017"/>
      <c r="J1017"/>
      <c r="K1017"/>
      <c r="L1017"/>
      <c r="M1017"/>
      <c r="N1017"/>
      <c r="O1017"/>
      <c r="P1017"/>
      <c r="Q1017"/>
      <c r="R1017"/>
      <c r="S1017"/>
      <c r="T1017"/>
    </row>
    <row r="1018" spans="1:20" x14ac:dyDescent="0.3">
      <c r="A1018"/>
      <c r="B1018"/>
      <c r="C1018"/>
      <c r="D1018"/>
      <c r="E1018"/>
      <c r="F1018"/>
      <c r="G1018"/>
      <c r="H1018"/>
      <c r="I1018"/>
      <c r="J1018"/>
      <c r="K1018"/>
      <c r="L1018"/>
      <c r="M1018"/>
      <c r="N1018"/>
      <c r="O1018"/>
      <c r="P1018"/>
      <c r="Q1018"/>
      <c r="R1018"/>
      <c r="S1018"/>
      <c r="T1018"/>
    </row>
    <row r="1019" spans="1:20" x14ac:dyDescent="0.3">
      <c r="A1019"/>
      <c r="B1019"/>
      <c r="C1019"/>
      <c r="D1019"/>
      <c r="E1019"/>
      <c r="F1019"/>
      <c r="G1019"/>
      <c r="H1019"/>
      <c r="I1019"/>
      <c r="J1019"/>
      <c r="K1019"/>
      <c r="L1019"/>
      <c r="M1019"/>
      <c r="N1019"/>
      <c r="O1019"/>
      <c r="P1019"/>
      <c r="Q1019"/>
      <c r="R1019"/>
      <c r="S1019"/>
      <c r="T1019"/>
    </row>
    <row r="1020" spans="1:20" x14ac:dyDescent="0.3">
      <c r="A1020"/>
      <c r="B1020"/>
      <c r="C1020"/>
      <c r="D1020"/>
      <c r="E1020"/>
      <c r="F1020"/>
      <c r="G1020"/>
      <c r="H1020"/>
      <c r="I1020"/>
      <c r="J1020"/>
      <c r="K1020"/>
      <c r="L1020"/>
      <c r="M1020"/>
      <c r="N1020"/>
      <c r="O1020"/>
      <c r="P1020"/>
      <c r="Q1020"/>
      <c r="R1020"/>
      <c r="S1020"/>
      <c r="T1020"/>
    </row>
    <row r="1021" spans="1:20" x14ac:dyDescent="0.3">
      <c r="A1021"/>
      <c r="B1021"/>
      <c r="C1021"/>
      <c r="D1021"/>
      <c r="E1021"/>
      <c r="F1021"/>
      <c r="G1021"/>
      <c r="H1021"/>
      <c r="I1021"/>
      <c r="J1021"/>
      <c r="K1021"/>
      <c r="L1021"/>
      <c r="M1021"/>
      <c r="N1021"/>
      <c r="O1021"/>
      <c r="P1021"/>
      <c r="Q1021"/>
      <c r="R1021"/>
      <c r="S1021"/>
      <c r="T1021"/>
    </row>
    <row r="1022" spans="1:20" x14ac:dyDescent="0.3">
      <c r="A1022"/>
      <c r="B1022"/>
      <c r="C1022"/>
      <c r="D1022"/>
      <c r="E1022"/>
      <c r="F1022"/>
      <c r="G1022"/>
      <c r="H1022"/>
      <c r="I1022"/>
      <c r="J1022"/>
      <c r="K1022"/>
      <c r="L1022"/>
      <c r="M1022"/>
      <c r="N1022"/>
      <c r="O1022"/>
      <c r="P1022"/>
      <c r="Q1022"/>
      <c r="R1022"/>
      <c r="S1022"/>
      <c r="T1022"/>
    </row>
    <row r="1023" spans="1:20" x14ac:dyDescent="0.3">
      <c r="A1023"/>
      <c r="B1023"/>
      <c r="C1023"/>
      <c r="D1023"/>
      <c r="E1023"/>
      <c r="F1023"/>
      <c r="G1023"/>
      <c r="H1023"/>
      <c r="I1023"/>
      <c r="J1023"/>
      <c r="K1023"/>
      <c r="L1023"/>
      <c r="M1023"/>
      <c r="N1023"/>
      <c r="O1023"/>
      <c r="P1023"/>
      <c r="Q1023"/>
      <c r="R1023"/>
      <c r="S1023"/>
      <c r="T1023"/>
    </row>
    <row r="1024" spans="1:20" x14ac:dyDescent="0.3">
      <c r="A1024"/>
      <c r="B1024"/>
      <c r="C1024"/>
      <c r="D1024"/>
      <c r="E1024"/>
      <c r="F1024"/>
      <c r="G1024"/>
      <c r="H1024"/>
      <c r="I1024"/>
      <c r="J1024"/>
      <c r="K1024"/>
      <c r="L1024"/>
      <c r="M1024"/>
      <c r="N1024"/>
      <c r="O1024"/>
      <c r="P1024"/>
      <c r="Q1024"/>
      <c r="R1024"/>
      <c r="S1024"/>
      <c r="T1024"/>
    </row>
    <row r="1025" spans="1:20" x14ac:dyDescent="0.3">
      <c r="A1025"/>
      <c r="B1025"/>
      <c r="C1025"/>
      <c r="D1025"/>
      <c r="E1025"/>
      <c r="F1025"/>
      <c r="G1025"/>
      <c r="H1025"/>
      <c r="I1025"/>
      <c r="J1025"/>
      <c r="K1025"/>
      <c r="L1025"/>
      <c r="M1025"/>
      <c r="N1025"/>
      <c r="O1025"/>
      <c r="P1025"/>
      <c r="Q1025"/>
      <c r="R1025"/>
      <c r="S1025"/>
      <c r="T1025"/>
    </row>
    <row r="1026" spans="1:20" x14ac:dyDescent="0.3">
      <c r="A1026"/>
      <c r="B1026"/>
      <c r="C1026"/>
      <c r="D1026"/>
      <c r="E1026"/>
      <c r="F1026"/>
      <c r="G1026"/>
      <c r="H1026"/>
      <c r="I1026"/>
      <c r="J1026"/>
      <c r="K1026"/>
      <c r="L1026"/>
      <c r="M1026"/>
      <c r="N1026"/>
      <c r="O1026"/>
      <c r="P1026"/>
      <c r="Q1026"/>
      <c r="R1026"/>
      <c r="S1026"/>
      <c r="T1026"/>
    </row>
    <row r="1027" spans="1:20" x14ac:dyDescent="0.3">
      <c r="A1027"/>
      <c r="B1027"/>
      <c r="C1027"/>
      <c r="D1027"/>
      <c r="E1027"/>
      <c r="F1027"/>
      <c r="G1027"/>
      <c r="H1027"/>
      <c r="I1027"/>
      <c r="J1027"/>
      <c r="K1027"/>
      <c r="L1027"/>
      <c r="M1027"/>
      <c r="N1027"/>
      <c r="O1027"/>
      <c r="P1027"/>
      <c r="Q1027"/>
      <c r="R1027"/>
      <c r="S1027"/>
      <c r="T1027"/>
    </row>
    <row r="1028" spans="1:20" x14ac:dyDescent="0.3">
      <c r="A1028"/>
      <c r="B1028"/>
      <c r="C1028"/>
      <c r="D1028"/>
      <c r="E1028"/>
      <c r="F1028"/>
      <c r="G1028"/>
      <c r="H1028"/>
      <c r="I1028"/>
      <c r="J1028"/>
      <c r="K1028"/>
      <c r="L1028"/>
      <c r="M1028"/>
      <c r="N1028"/>
      <c r="O1028"/>
      <c r="P1028"/>
      <c r="Q1028"/>
      <c r="R1028"/>
      <c r="S1028"/>
      <c r="T1028"/>
    </row>
    <row r="1029" spans="1:20" x14ac:dyDescent="0.3">
      <c r="A1029"/>
      <c r="B1029"/>
      <c r="C1029"/>
      <c r="D1029"/>
      <c r="E1029"/>
      <c r="F1029"/>
      <c r="G1029"/>
      <c r="H1029"/>
      <c r="I1029"/>
      <c r="J1029"/>
      <c r="K1029"/>
      <c r="L1029"/>
      <c r="M1029"/>
      <c r="N1029"/>
      <c r="O1029"/>
      <c r="P1029"/>
      <c r="Q1029"/>
      <c r="R1029"/>
      <c r="S1029"/>
      <c r="T1029"/>
    </row>
    <row r="1030" spans="1:20" x14ac:dyDescent="0.3">
      <c r="A1030"/>
      <c r="B1030"/>
      <c r="C1030"/>
      <c r="D1030"/>
      <c r="E1030"/>
      <c r="F1030"/>
      <c r="G1030"/>
      <c r="H1030"/>
      <c r="I1030"/>
      <c r="J1030"/>
      <c r="K1030"/>
      <c r="L1030"/>
      <c r="M1030"/>
      <c r="N1030"/>
      <c r="O1030"/>
      <c r="P1030"/>
      <c r="Q1030"/>
      <c r="R1030"/>
      <c r="S1030"/>
      <c r="T1030"/>
    </row>
    <row r="1031" spans="1:20" x14ac:dyDescent="0.3">
      <c r="A1031"/>
      <c r="B1031"/>
      <c r="C1031"/>
      <c r="D1031"/>
      <c r="E1031"/>
      <c r="F1031"/>
      <c r="G1031"/>
      <c r="H1031"/>
      <c r="I1031"/>
      <c r="J1031"/>
      <c r="K1031"/>
      <c r="L1031"/>
      <c r="M1031"/>
      <c r="N1031"/>
      <c r="O1031"/>
      <c r="P1031"/>
      <c r="Q1031"/>
      <c r="R1031"/>
      <c r="S1031"/>
      <c r="T1031"/>
    </row>
    <row r="1032" spans="1:20" x14ac:dyDescent="0.3">
      <c r="A1032"/>
      <c r="B1032"/>
      <c r="C1032"/>
      <c r="D1032"/>
      <c r="E1032"/>
      <c r="F1032"/>
      <c r="G1032"/>
      <c r="H1032"/>
      <c r="I1032"/>
      <c r="J1032"/>
      <c r="K1032"/>
      <c r="L1032"/>
      <c r="M1032"/>
      <c r="N1032"/>
      <c r="O1032"/>
      <c r="P1032"/>
      <c r="Q1032"/>
      <c r="R1032"/>
      <c r="S1032"/>
      <c r="T1032"/>
    </row>
    <row r="1033" spans="1:20" x14ac:dyDescent="0.3">
      <c r="A1033"/>
      <c r="B1033"/>
      <c r="C1033"/>
      <c r="D1033"/>
      <c r="E1033"/>
      <c r="F1033"/>
      <c r="G1033"/>
      <c r="H1033"/>
      <c r="I1033"/>
      <c r="J1033"/>
      <c r="K1033"/>
      <c r="L1033"/>
      <c r="M1033"/>
      <c r="N1033"/>
      <c r="O1033"/>
      <c r="P1033"/>
      <c r="Q1033"/>
      <c r="R1033"/>
      <c r="S1033"/>
      <c r="T1033"/>
    </row>
    <row r="1034" spans="1:20" x14ac:dyDescent="0.3">
      <c r="A1034"/>
      <c r="B1034"/>
      <c r="C1034"/>
      <c r="D1034"/>
      <c r="E1034"/>
      <c r="F1034"/>
      <c r="G1034"/>
      <c r="H1034"/>
      <c r="I1034"/>
      <c r="J1034"/>
      <c r="K1034"/>
      <c r="L1034"/>
      <c r="M1034"/>
      <c r="N1034"/>
      <c r="O1034"/>
      <c r="P1034"/>
      <c r="Q1034"/>
      <c r="R1034"/>
      <c r="S1034"/>
      <c r="T1034"/>
    </row>
    <row r="1035" spans="1:20" x14ac:dyDescent="0.3">
      <c r="A1035"/>
      <c r="B1035"/>
      <c r="C1035"/>
      <c r="D1035"/>
      <c r="E1035"/>
      <c r="F1035"/>
      <c r="G1035"/>
      <c r="H1035"/>
      <c r="I1035"/>
      <c r="J1035"/>
      <c r="K1035"/>
      <c r="L1035"/>
      <c r="M1035"/>
      <c r="N1035"/>
      <c r="O1035"/>
      <c r="P1035"/>
      <c r="Q1035"/>
      <c r="R1035"/>
      <c r="S1035"/>
      <c r="T1035"/>
    </row>
    <row r="1036" spans="1:20" x14ac:dyDescent="0.3">
      <c r="A1036"/>
      <c r="B1036"/>
      <c r="C1036"/>
      <c r="D1036"/>
      <c r="E1036"/>
      <c r="F1036"/>
      <c r="G1036"/>
      <c r="H1036"/>
      <c r="I1036"/>
      <c r="J1036"/>
      <c r="K1036"/>
      <c r="L1036"/>
      <c r="M1036"/>
      <c r="N1036"/>
      <c r="O1036"/>
      <c r="P1036"/>
      <c r="Q1036"/>
      <c r="R1036"/>
      <c r="S1036"/>
      <c r="T1036"/>
    </row>
    <row r="1037" spans="1:20" x14ac:dyDescent="0.3">
      <c r="A1037"/>
      <c r="B1037"/>
      <c r="C1037"/>
      <c r="D1037"/>
      <c r="E1037"/>
      <c r="F1037"/>
      <c r="G1037"/>
      <c r="H1037"/>
      <c r="I1037"/>
      <c r="J1037"/>
      <c r="K1037"/>
      <c r="L1037"/>
      <c r="M1037"/>
      <c r="N1037"/>
      <c r="O1037"/>
      <c r="P1037"/>
      <c r="Q1037"/>
      <c r="R1037"/>
      <c r="S1037"/>
      <c r="T1037"/>
    </row>
    <row r="1038" spans="1:20" x14ac:dyDescent="0.3">
      <c r="A1038"/>
      <c r="B1038"/>
      <c r="C1038"/>
      <c r="D1038"/>
      <c r="E1038"/>
      <c r="F1038"/>
      <c r="G1038"/>
      <c r="H1038"/>
      <c r="I1038"/>
      <c r="J1038"/>
      <c r="K1038"/>
      <c r="L1038"/>
      <c r="M1038"/>
      <c r="N1038"/>
      <c r="O1038"/>
      <c r="P1038"/>
      <c r="Q1038"/>
      <c r="R1038"/>
      <c r="S1038"/>
      <c r="T1038"/>
    </row>
    <row r="1039" spans="1:20" x14ac:dyDescent="0.3">
      <c r="A1039"/>
      <c r="B1039"/>
      <c r="C1039"/>
      <c r="D1039"/>
      <c r="E1039"/>
      <c r="F1039"/>
      <c r="G1039"/>
      <c r="H1039"/>
      <c r="I1039"/>
      <c r="J1039"/>
      <c r="K1039"/>
      <c r="L1039"/>
      <c r="M1039"/>
      <c r="N1039"/>
      <c r="O1039"/>
      <c r="P1039"/>
      <c r="Q1039"/>
      <c r="R1039"/>
      <c r="S1039"/>
      <c r="T1039"/>
    </row>
    <row r="1040" spans="1:20" x14ac:dyDescent="0.3">
      <c r="A1040"/>
      <c r="B1040"/>
      <c r="C1040"/>
      <c r="D1040"/>
      <c r="E1040"/>
      <c r="F1040"/>
      <c r="G1040"/>
      <c r="H1040"/>
      <c r="I1040"/>
      <c r="J1040"/>
      <c r="K1040"/>
      <c r="L1040"/>
      <c r="M1040"/>
      <c r="N1040"/>
      <c r="O1040"/>
      <c r="P1040"/>
      <c r="Q1040"/>
      <c r="R1040"/>
      <c r="S1040"/>
      <c r="T1040"/>
    </row>
    <row r="1041" spans="1:20" x14ac:dyDescent="0.3">
      <c r="A1041"/>
      <c r="B1041"/>
      <c r="C1041"/>
      <c r="D1041"/>
      <c r="E1041"/>
      <c r="F1041"/>
      <c r="G1041"/>
      <c r="H1041"/>
      <c r="I1041"/>
      <c r="J1041"/>
      <c r="K1041"/>
      <c r="L1041"/>
      <c r="M1041"/>
      <c r="N1041"/>
      <c r="O1041"/>
      <c r="P1041"/>
      <c r="Q1041"/>
      <c r="R1041"/>
      <c r="S1041"/>
      <c r="T1041"/>
    </row>
    <row r="1042" spans="1:20" x14ac:dyDescent="0.3">
      <c r="A1042"/>
      <c r="B1042"/>
      <c r="C1042"/>
      <c r="D1042"/>
      <c r="E1042"/>
      <c r="F1042"/>
      <c r="G1042"/>
      <c r="H1042"/>
      <c r="I1042"/>
      <c r="J1042"/>
      <c r="K1042"/>
      <c r="L1042"/>
      <c r="M1042"/>
      <c r="N1042"/>
      <c r="O1042"/>
      <c r="P1042"/>
      <c r="Q1042"/>
      <c r="R1042"/>
      <c r="S1042"/>
      <c r="T1042"/>
    </row>
    <row r="1043" spans="1:20" x14ac:dyDescent="0.3">
      <c r="A1043"/>
      <c r="B1043"/>
      <c r="C1043"/>
      <c r="D1043"/>
      <c r="E1043"/>
      <c r="F1043"/>
      <c r="G1043"/>
      <c r="H1043"/>
      <c r="I1043"/>
      <c r="J1043"/>
      <c r="K1043"/>
      <c r="L1043"/>
      <c r="M1043"/>
      <c r="N1043"/>
      <c r="O1043"/>
      <c r="P1043"/>
      <c r="Q1043"/>
      <c r="R1043"/>
      <c r="S1043"/>
      <c r="T1043"/>
    </row>
    <row r="1044" spans="1:20" x14ac:dyDescent="0.3">
      <c r="A1044"/>
      <c r="B1044"/>
      <c r="C1044"/>
      <c r="D1044"/>
      <c r="E1044"/>
      <c r="F1044"/>
      <c r="G1044"/>
      <c r="H1044"/>
      <c r="I1044"/>
      <c r="J1044"/>
      <c r="K1044"/>
      <c r="L1044"/>
      <c r="M1044"/>
      <c r="N1044"/>
      <c r="O1044"/>
      <c r="P1044"/>
      <c r="Q1044"/>
      <c r="R1044"/>
      <c r="S1044"/>
      <c r="T1044"/>
    </row>
    <row r="1045" spans="1:20" x14ac:dyDescent="0.3">
      <c r="A1045"/>
      <c r="B1045"/>
      <c r="C1045"/>
      <c r="D1045"/>
      <c r="E1045"/>
      <c r="F1045"/>
      <c r="G1045"/>
      <c r="H1045"/>
      <c r="I1045"/>
      <c r="J1045"/>
      <c r="K1045"/>
      <c r="L1045"/>
      <c r="M1045"/>
      <c r="N1045"/>
      <c r="O1045"/>
      <c r="P1045"/>
      <c r="Q1045"/>
      <c r="R1045"/>
      <c r="S1045"/>
      <c r="T1045"/>
    </row>
    <row r="1046" spans="1:20" x14ac:dyDescent="0.3">
      <c r="A1046"/>
      <c r="B1046"/>
      <c r="C1046"/>
      <c r="D1046"/>
      <c r="E1046"/>
      <c r="F1046"/>
      <c r="G1046"/>
      <c r="H1046"/>
      <c r="I1046"/>
      <c r="J1046"/>
      <c r="K1046"/>
      <c r="L1046"/>
      <c r="M1046"/>
      <c r="N1046"/>
      <c r="O1046"/>
      <c r="P1046"/>
      <c r="Q1046"/>
      <c r="R1046"/>
      <c r="S1046"/>
      <c r="T1046"/>
    </row>
    <row r="1047" spans="1:20" x14ac:dyDescent="0.3">
      <c r="A1047"/>
      <c r="B1047"/>
      <c r="C1047"/>
      <c r="D1047"/>
      <c r="E1047"/>
      <c r="F1047"/>
      <c r="G1047"/>
      <c r="H1047"/>
      <c r="I1047"/>
      <c r="J1047"/>
      <c r="K1047"/>
      <c r="L1047"/>
      <c r="M1047"/>
      <c r="N1047"/>
      <c r="O1047"/>
      <c r="P1047"/>
      <c r="Q1047"/>
      <c r="R1047"/>
      <c r="S1047"/>
      <c r="T1047"/>
    </row>
    <row r="1048" spans="1:20" x14ac:dyDescent="0.3">
      <c r="A1048"/>
      <c r="B1048"/>
      <c r="C1048"/>
      <c r="D1048"/>
      <c r="E1048"/>
      <c r="F1048"/>
      <c r="G1048"/>
      <c r="H1048"/>
      <c r="I1048"/>
      <c r="J1048"/>
      <c r="K1048"/>
      <c r="L1048"/>
      <c r="M1048"/>
      <c r="N1048"/>
      <c r="O1048"/>
      <c r="P1048"/>
      <c r="Q1048"/>
      <c r="R1048"/>
      <c r="S1048"/>
      <c r="T1048"/>
    </row>
    <row r="1049" spans="1:20" x14ac:dyDescent="0.3">
      <c r="A1049"/>
      <c r="B1049"/>
      <c r="C1049"/>
      <c r="D1049"/>
      <c r="E1049"/>
      <c r="F1049"/>
      <c r="G1049"/>
      <c r="H1049"/>
      <c r="I1049"/>
      <c r="J1049"/>
      <c r="K1049"/>
      <c r="L1049"/>
      <c r="M1049"/>
      <c r="N1049"/>
      <c r="O1049"/>
      <c r="P1049"/>
      <c r="Q1049"/>
      <c r="R1049"/>
      <c r="S1049"/>
      <c r="T1049"/>
    </row>
    <row r="1050" spans="1:20" x14ac:dyDescent="0.3">
      <c r="A1050"/>
      <c r="B1050"/>
      <c r="C1050"/>
      <c r="D1050"/>
      <c r="E1050"/>
      <c r="F1050"/>
      <c r="G1050"/>
      <c r="H1050"/>
      <c r="I1050"/>
      <c r="J1050"/>
      <c r="K1050"/>
      <c r="L1050"/>
      <c r="M1050"/>
      <c r="N1050"/>
      <c r="O1050"/>
      <c r="P1050"/>
      <c r="Q1050"/>
      <c r="R1050"/>
      <c r="S1050"/>
      <c r="T1050"/>
    </row>
    <row r="1051" spans="1:20" x14ac:dyDescent="0.3">
      <c r="A1051"/>
      <c r="B1051"/>
      <c r="C1051"/>
      <c r="D1051"/>
      <c r="E1051"/>
      <c r="F1051"/>
      <c r="G1051"/>
      <c r="H1051"/>
      <c r="I1051"/>
      <c r="J1051"/>
      <c r="K1051"/>
      <c r="L1051"/>
      <c r="M1051"/>
      <c r="N1051"/>
      <c r="O1051"/>
      <c r="P1051"/>
      <c r="Q1051"/>
      <c r="R1051"/>
      <c r="S1051"/>
      <c r="T1051"/>
    </row>
    <row r="1052" spans="1:20" x14ac:dyDescent="0.3">
      <c r="A1052"/>
      <c r="B1052"/>
      <c r="C1052"/>
      <c r="D1052"/>
      <c r="E1052"/>
      <c r="F1052"/>
      <c r="G1052"/>
      <c r="H1052"/>
      <c r="I1052"/>
      <c r="J1052"/>
      <c r="K1052"/>
      <c r="L1052"/>
      <c r="M1052"/>
      <c r="N1052"/>
      <c r="O1052"/>
      <c r="P1052"/>
      <c r="Q1052"/>
      <c r="R1052"/>
      <c r="S1052"/>
      <c r="T1052"/>
    </row>
    <row r="1053" spans="1:20" x14ac:dyDescent="0.3">
      <c r="A1053"/>
      <c r="B1053"/>
      <c r="C1053"/>
      <c r="D1053"/>
      <c r="E1053"/>
      <c r="F1053"/>
      <c r="G1053"/>
      <c r="H1053"/>
      <c r="I1053"/>
      <c r="J1053"/>
      <c r="K1053"/>
      <c r="L1053"/>
      <c r="M1053"/>
      <c r="N1053"/>
      <c r="O1053"/>
      <c r="P1053"/>
      <c r="Q1053"/>
      <c r="R1053"/>
      <c r="S1053"/>
      <c r="T1053"/>
    </row>
    <row r="1054" spans="1:20" x14ac:dyDescent="0.3">
      <c r="A1054"/>
      <c r="B1054"/>
      <c r="C1054"/>
      <c r="D1054"/>
      <c r="E1054"/>
      <c r="F1054"/>
      <c r="G1054"/>
      <c r="H1054"/>
      <c r="I1054"/>
      <c r="J1054"/>
      <c r="K1054"/>
      <c r="L1054"/>
      <c r="M1054"/>
      <c r="N1054"/>
      <c r="O1054"/>
      <c r="P1054"/>
      <c r="Q1054"/>
      <c r="R1054"/>
      <c r="S1054"/>
      <c r="T1054"/>
    </row>
    <row r="1055" spans="1:20" x14ac:dyDescent="0.3">
      <c r="A1055"/>
      <c r="B1055"/>
      <c r="C1055"/>
      <c r="D1055"/>
      <c r="E1055"/>
      <c r="F1055"/>
      <c r="G1055"/>
      <c r="H1055"/>
      <c r="I1055"/>
      <c r="J1055"/>
      <c r="K1055"/>
      <c r="L1055"/>
      <c r="M1055"/>
      <c r="N1055"/>
      <c r="O1055"/>
      <c r="P1055"/>
      <c r="Q1055"/>
      <c r="R1055"/>
      <c r="S1055"/>
      <c r="T1055"/>
    </row>
    <row r="1056" spans="1:20" x14ac:dyDescent="0.3">
      <c r="A1056"/>
      <c r="B1056"/>
      <c r="C1056"/>
      <c r="D1056"/>
      <c r="E1056"/>
      <c r="F1056"/>
      <c r="G1056"/>
      <c r="H1056"/>
      <c r="I1056"/>
      <c r="J1056"/>
      <c r="K1056"/>
      <c r="L1056"/>
      <c r="M1056"/>
      <c r="N1056"/>
      <c r="O1056"/>
      <c r="P1056"/>
      <c r="Q1056"/>
      <c r="R1056"/>
      <c r="S1056"/>
      <c r="T1056"/>
    </row>
    <row r="1057" spans="1:20" x14ac:dyDescent="0.3">
      <c r="A1057"/>
      <c r="B1057"/>
      <c r="C1057"/>
      <c r="D1057"/>
      <c r="E1057"/>
      <c r="F1057"/>
      <c r="G1057"/>
      <c r="H1057"/>
      <c r="I1057"/>
      <c r="J1057"/>
      <c r="K1057"/>
      <c r="L1057"/>
      <c r="M1057"/>
      <c r="N1057"/>
      <c r="O1057"/>
      <c r="P1057"/>
      <c r="Q1057"/>
      <c r="R1057"/>
      <c r="S1057"/>
      <c r="T1057"/>
    </row>
    <row r="1058" spans="1:20" x14ac:dyDescent="0.3">
      <c r="A1058"/>
      <c r="B1058"/>
      <c r="C1058"/>
      <c r="D1058"/>
      <c r="E1058"/>
      <c r="F1058"/>
      <c r="G1058"/>
      <c r="H1058"/>
      <c r="I1058"/>
      <c r="J1058"/>
      <c r="K1058"/>
      <c r="L1058"/>
      <c r="M1058"/>
      <c r="N1058"/>
      <c r="O1058"/>
      <c r="P1058"/>
      <c r="Q1058"/>
      <c r="R1058"/>
      <c r="S1058"/>
      <c r="T1058"/>
    </row>
    <row r="1059" spans="1:20" x14ac:dyDescent="0.3">
      <c r="A1059"/>
      <c r="B1059"/>
      <c r="C1059"/>
      <c r="D1059"/>
      <c r="E1059"/>
      <c r="F1059"/>
      <c r="G1059"/>
      <c r="H1059"/>
      <c r="I1059"/>
      <c r="J1059"/>
      <c r="K1059"/>
      <c r="L1059"/>
      <c r="M1059"/>
      <c r="N1059"/>
      <c r="O1059"/>
      <c r="P1059"/>
      <c r="Q1059"/>
      <c r="R1059"/>
      <c r="S1059"/>
      <c r="T1059"/>
    </row>
    <row r="1060" spans="1:20" x14ac:dyDescent="0.3">
      <c r="A1060"/>
      <c r="B1060"/>
      <c r="C1060"/>
      <c r="D1060"/>
      <c r="E1060"/>
      <c r="F1060"/>
      <c r="G1060"/>
      <c r="H1060"/>
      <c r="I1060"/>
      <c r="J1060"/>
      <c r="K1060"/>
      <c r="L1060"/>
      <c r="M1060"/>
      <c r="N1060"/>
      <c r="O1060"/>
      <c r="P1060"/>
      <c r="Q1060"/>
      <c r="R1060"/>
      <c r="S1060"/>
      <c r="T1060"/>
    </row>
    <row r="1061" spans="1:20" x14ac:dyDescent="0.3">
      <c r="A1061"/>
      <c r="B1061"/>
      <c r="C1061"/>
      <c r="D1061"/>
      <c r="E1061"/>
      <c r="F1061"/>
      <c r="G1061"/>
      <c r="H1061"/>
      <c r="I1061"/>
      <c r="J1061"/>
      <c r="K1061"/>
      <c r="L1061"/>
      <c r="M1061"/>
      <c r="N1061"/>
      <c r="O1061"/>
      <c r="P1061"/>
      <c r="Q1061"/>
      <c r="R1061"/>
      <c r="S1061"/>
      <c r="T1061"/>
    </row>
    <row r="1062" spans="1:20" x14ac:dyDescent="0.3">
      <c r="A1062"/>
      <c r="B1062"/>
      <c r="C1062"/>
      <c r="D1062"/>
      <c r="E1062"/>
      <c r="F1062"/>
      <c r="G1062"/>
      <c r="H1062"/>
      <c r="I1062"/>
      <c r="J1062"/>
      <c r="K1062"/>
      <c r="L1062"/>
      <c r="M1062"/>
      <c r="N1062"/>
      <c r="O1062"/>
      <c r="P1062"/>
      <c r="Q1062"/>
      <c r="R1062"/>
      <c r="S1062"/>
      <c r="T1062"/>
    </row>
    <row r="1063" spans="1:20" x14ac:dyDescent="0.3">
      <c r="A1063"/>
      <c r="B1063"/>
      <c r="C1063"/>
      <c r="D1063"/>
      <c r="E1063"/>
      <c r="F1063"/>
      <c r="G1063"/>
      <c r="H1063"/>
      <c r="I1063"/>
      <c r="J1063"/>
      <c r="K1063"/>
      <c r="L1063"/>
      <c r="M1063"/>
      <c r="N1063"/>
      <c r="O1063"/>
      <c r="P1063"/>
      <c r="Q1063"/>
      <c r="R1063"/>
      <c r="S1063"/>
      <c r="T1063"/>
    </row>
    <row r="1064" spans="1:20" x14ac:dyDescent="0.3">
      <c r="A1064"/>
      <c r="B1064"/>
      <c r="C1064"/>
      <c r="D1064"/>
      <c r="E1064"/>
      <c r="F1064"/>
      <c r="G1064"/>
      <c r="H1064"/>
      <c r="I1064"/>
      <c r="J1064"/>
      <c r="K1064"/>
      <c r="L1064"/>
      <c r="M1064"/>
      <c r="N1064"/>
      <c r="O1064"/>
      <c r="P1064"/>
      <c r="Q1064"/>
      <c r="R1064"/>
      <c r="S1064"/>
      <c r="T1064"/>
    </row>
    <row r="1065" spans="1:20" x14ac:dyDescent="0.3">
      <c r="A1065"/>
      <c r="B1065"/>
      <c r="C1065"/>
      <c r="D1065"/>
      <c r="E1065"/>
      <c r="F1065"/>
      <c r="G1065"/>
      <c r="H1065"/>
      <c r="I1065"/>
      <c r="J1065"/>
      <c r="K1065"/>
      <c r="L1065"/>
      <c r="M1065"/>
      <c r="N1065"/>
      <c r="O1065"/>
      <c r="P1065"/>
      <c r="Q1065"/>
      <c r="R1065"/>
      <c r="S1065"/>
      <c r="T1065"/>
    </row>
    <row r="1066" spans="1:20" x14ac:dyDescent="0.3">
      <c r="A1066"/>
      <c r="B1066"/>
      <c r="C1066"/>
      <c r="D1066"/>
      <c r="E1066"/>
      <c r="F1066"/>
      <c r="G1066"/>
      <c r="H1066"/>
      <c r="I1066"/>
      <c r="J1066"/>
      <c r="K1066"/>
      <c r="L1066"/>
      <c r="M1066"/>
      <c r="N1066"/>
      <c r="O1066"/>
      <c r="P1066"/>
      <c r="Q1066"/>
      <c r="R1066"/>
      <c r="S1066"/>
      <c r="T1066"/>
    </row>
    <row r="1067" spans="1:20" x14ac:dyDescent="0.3">
      <c r="A1067"/>
      <c r="B1067"/>
      <c r="C1067"/>
      <c r="D1067"/>
      <c r="E1067"/>
      <c r="F1067"/>
      <c r="G1067"/>
      <c r="H1067"/>
      <c r="I1067"/>
      <c r="J1067"/>
      <c r="K1067"/>
      <c r="L1067"/>
      <c r="M1067"/>
      <c r="N1067"/>
      <c r="O1067"/>
      <c r="P1067"/>
      <c r="Q1067"/>
      <c r="R1067"/>
      <c r="S1067"/>
      <c r="T1067"/>
    </row>
    <row r="1068" spans="1:20" x14ac:dyDescent="0.3">
      <c r="A1068"/>
      <c r="B1068"/>
      <c r="C1068"/>
      <c r="D1068"/>
      <c r="E1068"/>
      <c r="F1068"/>
      <c r="G1068"/>
      <c r="H1068"/>
      <c r="I1068"/>
      <c r="J1068"/>
      <c r="K1068"/>
      <c r="L1068"/>
      <c r="M1068"/>
      <c r="N1068"/>
      <c r="O1068"/>
      <c r="P1068"/>
      <c r="Q1068"/>
      <c r="R1068"/>
      <c r="S1068"/>
      <c r="T1068"/>
    </row>
    <row r="1069" spans="1:20" x14ac:dyDescent="0.3">
      <c r="A1069"/>
      <c r="B1069"/>
      <c r="C1069"/>
      <c r="D1069"/>
      <c r="E1069"/>
      <c r="F1069"/>
      <c r="G1069"/>
      <c r="H1069"/>
      <c r="I1069"/>
      <c r="J1069"/>
      <c r="K1069"/>
      <c r="L1069"/>
      <c r="M1069"/>
      <c r="N1069"/>
      <c r="O1069"/>
      <c r="P1069"/>
      <c r="Q1069"/>
      <c r="R1069"/>
      <c r="S1069"/>
      <c r="T1069"/>
    </row>
    <row r="1070" spans="1:20" x14ac:dyDescent="0.3">
      <c r="A1070"/>
      <c r="B1070"/>
      <c r="C1070"/>
      <c r="D1070"/>
      <c r="E1070"/>
      <c r="F1070"/>
      <c r="G1070"/>
      <c r="H1070"/>
      <c r="I1070"/>
      <c r="J1070"/>
      <c r="K1070"/>
      <c r="L1070"/>
      <c r="M1070"/>
      <c r="N1070"/>
      <c r="O1070"/>
      <c r="P1070"/>
      <c r="Q1070"/>
      <c r="R1070"/>
      <c r="S1070"/>
      <c r="T1070"/>
    </row>
    <row r="1071" spans="1:20" x14ac:dyDescent="0.3">
      <c r="A1071"/>
      <c r="B1071"/>
      <c r="C1071"/>
      <c r="D1071"/>
      <c r="E1071"/>
      <c r="F1071"/>
      <c r="G1071"/>
      <c r="H1071"/>
      <c r="I1071"/>
      <c r="J1071"/>
      <c r="K1071"/>
      <c r="L1071"/>
      <c r="M1071"/>
      <c r="N1071"/>
      <c r="O1071"/>
      <c r="P1071"/>
      <c r="Q1071"/>
      <c r="R1071"/>
      <c r="S1071"/>
      <c r="T1071"/>
    </row>
    <row r="1072" spans="1:20" x14ac:dyDescent="0.3">
      <c r="A1072"/>
      <c r="B1072"/>
      <c r="C1072"/>
      <c r="D1072"/>
      <c r="E1072"/>
      <c r="F1072"/>
      <c r="G1072"/>
      <c r="H1072"/>
      <c r="I1072"/>
      <c r="J1072"/>
      <c r="K1072"/>
      <c r="L1072"/>
      <c r="M1072"/>
      <c r="N1072"/>
      <c r="O1072"/>
      <c r="P1072"/>
      <c r="Q1072"/>
      <c r="R1072"/>
      <c r="S1072"/>
      <c r="T1072"/>
    </row>
    <row r="1073" spans="1:20" x14ac:dyDescent="0.3">
      <c r="A1073"/>
      <c r="B1073"/>
      <c r="C1073"/>
      <c r="D1073"/>
      <c r="E1073"/>
      <c r="F1073"/>
      <c r="G1073"/>
      <c r="H1073"/>
      <c r="I1073"/>
      <c r="J1073"/>
      <c r="K1073"/>
      <c r="L1073"/>
      <c r="M1073"/>
      <c r="N1073"/>
      <c r="O1073"/>
      <c r="P1073"/>
      <c r="Q1073"/>
      <c r="R1073"/>
      <c r="S1073"/>
      <c r="T1073"/>
    </row>
    <row r="1074" spans="1:20" x14ac:dyDescent="0.3">
      <c r="A1074"/>
      <c r="B1074"/>
      <c r="C1074"/>
      <c r="D1074"/>
      <c r="E1074"/>
      <c r="F1074"/>
      <c r="G1074"/>
      <c r="H1074"/>
      <c r="I1074"/>
      <c r="J1074"/>
      <c r="K1074"/>
      <c r="L1074"/>
      <c r="M1074"/>
      <c r="N1074"/>
      <c r="O1074"/>
      <c r="P1074"/>
      <c r="Q1074"/>
      <c r="R1074"/>
      <c r="S1074"/>
      <c r="T1074"/>
    </row>
    <row r="1075" spans="1:20" x14ac:dyDescent="0.3">
      <c r="A1075"/>
      <c r="B1075"/>
      <c r="C1075"/>
      <c r="D1075"/>
      <c r="E1075"/>
      <c r="F1075"/>
      <c r="G1075"/>
      <c r="H1075"/>
      <c r="I1075"/>
      <c r="J1075"/>
      <c r="K1075"/>
      <c r="L1075"/>
      <c r="M1075"/>
      <c r="N1075"/>
      <c r="O1075"/>
      <c r="P1075"/>
      <c r="Q1075"/>
      <c r="R1075"/>
      <c r="S1075"/>
      <c r="T1075"/>
    </row>
    <row r="1076" spans="1:20" x14ac:dyDescent="0.3">
      <c r="A1076"/>
      <c r="B1076"/>
      <c r="C1076"/>
      <c r="D1076"/>
      <c r="E1076"/>
      <c r="F1076"/>
      <c r="G1076"/>
      <c r="H1076"/>
      <c r="I1076"/>
      <c r="J1076"/>
      <c r="K1076"/>
      <c r="L1076"/>
      <c r="M1076"/>
      <c r="N1076"/>
      <c r="O1076"/>
      <c r="P1076"/>
      <c r="Q1076"/>
      <c r="R1076"/>
      <c r="S1076"/>
      <c r="T1076"/>
    </row>
    <row r="1077" spans="1:20" x14ac:dyDescent="0.3">
      <c r="A1077"/>
      <c r="B1077"/>
      <c r="C1077"/>
      <c r="D1077"/>
      <c r="E1077"/>
      <c r="F1077"/>
      <c r="G1077"/>
      <c r="H1077"/>
      <c r="I1077"/>
      <c r="J1077"/>
      <c r="K1077"/>
      <c r="L1077"/>
      <c r="M1077"/>
      <c r="N1077"/>
      <c r="O1077"/>
      <c r="P1077"/>
      <c r="Q1077"/>
      <c r="R1077"/>
      <c r="S1077"/>
      <c r="T1077"/>
    </row>
    <row r="1078" spans="1:20" x14ac:dyDescent="0.3">
      <c r="A1078"/>
      <c r="B1078"/>
      <c r="C1078"/>
      <c r="D1078"/>
      <c r="E1078"/>
      <c r="F1078"/>
      <c r="G1078"/>
      <c r="H1078"/>
      <c r="I1078"/>
      <c r="J1078"/>
      <c r="K1078"/>
      <c r="L1078"/>
      <c r="M1078"/>
      <c r="N1078"/>
      <c r="O1078"/>
      <c r="P1078"/>
      <c r="Q1078"/>
      <c r="R1078"/>
      <c r="S1078"/>
      <c r="T1078"/>
    </row>
    <row r="1079" spans="1:20" x14ac:dyDescent="0.3">
      <c r="A1079"/>
      <c r="B1079"/>
      <c r="C1079"/>
      <c r="D1079"/>
      <c r="E1079"/>
      <c r="F1079"/>
      <c r="G1079"/>
      <c r="H1079"/>
      <c r="I1079"/>
      <c r="J1079"/>
      <c r="K1079"/>
      <c r="L1079"/>
      <c r="M1079"/>
      <c r="N1079"/>
      <c r="O1079"/>
      <c r="P1079"/>
      <c r="Q1079"/>
      <c r="R1079"/>
      <c r="S1079"/>
      <c r="T1079"/>
    </row>
    <row r="1080" spans="1:20" x14ac:dyDescent="0.3">
      <c r="A1080"/>
      <c r="B1080"/>
      <c r="C1080"/>
      <c r="D1080"/>
      <c r="E1080"/>
      <c r="F1080"/>
      <c r="G1080"/>
      <c r="H1080"/>
      <c r="I1080"/>
      <c r="J1080"/>
      <c r="K1080"/>
      <c r="L1080"/>
      <c r="M1080"/>
      <c r="N1080"/>
      <c r="O1080"/>
      <c r="P1080"/>
      <c r="Q1080"/>
      <c r="R1080"/>
      <c r="S1080"/>
      <c r="T1080"/>
    </row>
    <row r="1081" spans="1:20" x14ac:dyDescent="0.3">
      <c r="A1081"/>
      <c r="B1081"/>
      <c r="C1081"/>
      <c r="D1081"/>
      <c r="E1081"/>
      <c r="F1081"/>
      <c r="G1081"/>
      <c r="H1081"/>
      <c r="I1081"/>
      <c r="J1081"/>
      <c r="K1081"/>
      <c r="L1081"/>
      <c r="M1081"/>
      <c r="N1081"/>
      <c r="O1081"/>
      <c r="P1081"/>
      <c r="Q1081"/>
      <c r="R1081"/>
      <c r="S1081"/>
      <c r="T1081"/>
    </row>
    <row r="1082" spans="1:20" x14ac:dyDescent="0.3">
      <c r="A1082"/>
      <c r="B1082"/>
      <c r="C1082"/>
      <c r="D1082"/>
      <c r="E1082"/>
      <c r="F1082"/>
      <c r="G1082"/>
      <c r="H1082"/>
      <c r="I1082"/>
      <c r="J1082"/>
      <c r="K1082"/>
      <c r="L1082"/>
      <c r="M1082"/>
      <c r="N1082"/>
      <c r="O1082"/>
      <c r="P1082"/>
      <c r="Q1082"/>
      <c r="R1082"/>
      <c r="S1082"/>
      <c r="T1082"/>
    </row>
    <row r="1083" spans="1:20" x14ac:dyDescent="0.3">
      <c r="A1083"/>
      <c r="B1083"/>
      <c r="C1083"/>
      <c r="D1083"/>
      <c r="E1083"/>
      <c r="F1083"/>
      <c r="G1083"/>
      <c r="H1083"/>
      <c r="I1083"/>
      <c r="J1083"/>
      <c r="K1083"/>
      <c r="L1083"/>
      <c r="M1083"/>
      <c r="N1083"/>
      <c r="O1083"/>
      <c r="P1083"/>
      <c r="Q1083"/>
      <c r="R1083"/>
      <c r="S1083"/>
      <c r="T1083"/>
    </row>
    <row r="1084" spans="1:20" x14ac:dyDescent="0.3">
      <c r="A1084"/>
      <c r="B1084"/>
      <c r="C1084"/>
      <c r="D1084"/>
      <c r="E1084"/>
      <c r="F1084"/>
      <c r="G1084"/>
      <c r="H1084"/>
      <c r="I1084"/>
      <c r="J1084"/>
      <c r="K1084"/>
      <c r="L1084"/>
      <c r="M1084"/>
      <c r="N1084"/>
      <c r="O1084"/>
      <c r="P1084"/>
      <c r="Q1084"/>
      <c r="R1084"/>
      <c r="S1084"/>
      <c r="T1084"/>
    </row>
    <row r="1085" spans="1:20" x14ac:dyDescent="0.3">
      <c r="A1085"/>
      <c r="B1085"/>
      <c r="C1085"/>
      <c r="D1085"/>
      <c r="E1085"/>
      <c r="F1085"/>
      <c r="G1085"/>
      <c r="H1085"/>
      <c r="I1085"/>
      <c r="J1085"/>
      <c r="K1085"/>
      <c r="L1085"/>
      <c r="M1085"/>
      <c r="N1085"/>
      <c r="O1085"/>
      <c r="P1085"/>
      <c r="Q1085"/>
      <c r="R1085"/>
      <c r="S1085"/>
      <c r="T1085"/>
    </row>
    <row r="1086" spans="1:20" x14ac:dyDescent="0.3">
      <c r="A1086"/>
      <c r="B1086"/>
      <c r="C1086"/>
      <c r="D1086"/>
      <c r="E1086"/>
      <c r="F1086"/>
      <c r="G1086"/>
      <c r="H1086"/>
      <c r="I1086"/>
      <c r="J1086"/>
      <c r="K1086"/>
      <c r="L1086"/>
      <c r="M1086"/>
      <c r="N1086"/>
      <c r="O1086"/>
      <c r="P1086"/>
      <c r="Q1086"/>
      <c r="R1086"/>
      <c r="S1086"/>
      <c r="T1086"/>
    </row>
    <row r="1087" spans="1:20" x14ac:dyDescent="0.3">
      <c r="A1087"/>
      <c r="B1087"/>
      <c r="C1087"/>
      <c r="D1087"/>
      <c r="E1087"/>
      <c r="F1087"/>
      <c r="G1087"/>
      <c r="H1087"/>
      <c r="I1087"/>
      <c r="J1087"/>
      <c r="K1087"/>
      <c r="L1087"/>
      <c r="M1087"/>
      <c r="N1087"/>
      <c r="O1087"/>
      <c r="P1087"/>
      <c r="Q1087"/>
      <c r="R1087"/>
      <c r="S1087"/>
      <c r="T1087"/>
    </row>
    <row r="1088" spans="1:20" x14ac:dyDescent="0.3">
      <c r="A1088"/>
      <c r="B1088"/>
      <c r="C1088"/>
      <c r="D1088"/>
      <c r="E1088"/>
      <c r="F1088"/>
      <c r="G1088"/>
      <c r="H1088"/>
      <c r="I1088"/>
      <c r="J1088"/>
      <c r="K1088"/>
      <c r="L1088"/>
      <c r="M1088"/>
      <c r="N1088"/>
      <c r="O1088"/>
      <c r="P1088"/>
      <c r="Q1088"/>
      <c r="R1088"/>
      <c r="S1088"/>
      <c r="T1088"/>
    </row>
    <row r="1089" spans="1:20" x14ac:dyDescent="0.3">
      <c r="A1089"/>
      <c r="B1089"/>
      <c r="C1089"/>
      <c r="D1089"/>
      <c r="E1089"/>
      <c r="F1089"/>
      <c r="G1089"/>
      <c r="H1089"/>
      <c r="I1089"/>
      <c r="J1089"/>
      <c r="K1089"/>
      <c r="L1089"/>
      <c r="M1089"/>
      <c r="N1089"/>
      <c r="O1089"/>
      <c r="P1089"/>
      <c r="Q1089"/>
      <c r="R1089"/>
      <c r="S1089"/>
      <c r="T1089"/>
    </row>
    <row r="1090" spans="1:20" x14ac:dyDescent="0.3">
      <c r="A1090"/>
      <c r="B1090"/>
      <c r="C1090"/>
      <c r="D1090"/>
      <c r="E1090"/>
      <c r="F1090"/>
      <c r="G1090"/>
      <c r="H1090"/>
      <c r="I1090"/>
      <c r="J1090"/>
      <c r="K1090"/>
      <c r="L1090"/>
      <c r="M1090"/>
      <c r="N1090"/>
      <c r="O1090"/>
      <c r="P1090"/>
      <c r="Q1090"/>
      <c r="R1090"/>
      <c r="S1090"/>
      <c r="T1090"/>
    </row>
    <row r="1091" spans="1:20" x14ac:dyDescent="0.3">
      <c r="A1091"/>
      <c r="B1091"/>
      <c r="C1091"/>
      <c r="D1091"/>
      <c r="E1091"/>
      <c r="F1091"/>
      <c r="G1091"/>
      <c r="H1091"/>
      <c r="I1091"/>
      <c r="J1091"/>
      <c r="K1091"/>
      <c r="L1091"/>
      <c r="M1091"/>
      <c r="N1091"/>
      <c r="O1091"/>
      <c r="P1091"/>
      <c r="Q1091"/>
      <c r="R1091"/>
      <c r="S1091"/>
      <c r="T1091"/>
    </row>
    <row r="1092" spans="1:20" x14ac:dyDescent="0.3">
      <c r="A1092"/>
      <c r="B1092"/>
      <c r="C1092"/>
      <c r="D1092"/>
      <c r="E1092"/>
      <c r="F1092"/>
      <c r="G1092"/>
      <c r="H1092"/>
      <c r="I1092"/>
      <c r="J1092"/>
      <c r="K1092"/>
      <c r="L1092"/>
      <c r="M1092"/>
      <c r="N1092"/>
      <c r="O1092"/>
      <c r="P1092"/>
      <c r="Q1092"/>
      <c r="R1092"/>
      <c r="S1092"/>
      <c r="T1092"/>
    </row>
    <row r="1093" spans="1:20" x14ac:dyDescent="0.3">
      <c r="A1093"/>
      <c r="B1093"/>
      <c r="C1093"/>
      <c r="D1093"/>
      <c r="E1093"/>
      <c r="F1093"/>
      <c r="G1093"/>
      <c r="H1093"/>
      <c r="I1093"/>
      <c r="J1093"/>
      <c r="K1093"/>
      <c r="L1093"/>
      <c r="M1093"/>
      <c r="N1093"/>
      <c r="O1093"/>
      <c r="P1093"/>
      <c r="Q1093"/>
      <c r="R1093"/>
      <c r="S1093"/>
      <c r="T1093"/>
    </row>
    <row r="1094" spans="1:20" x14ac:dyDescent="0.3">
      <c r="A1094"/>
      <c r="B1094"/>
      <c r="C1094"/>
      <c r="D1094"/>
      <c r="E1094"/>
      <c r="F1094"/>
      <c r="G1094"/>
      <c r="H1094"/>
      <c r="I1094"/>
      <c r="J1094"/>
      <c r="K1094"/>
      <c r="L1094"/>
      <c r="M1094"/>
      <c r="N1094"/>
      <c r="O1094"/>
      <c r="P1094"/>
      <c r="Q1094"/>
      <c r="R1094"/>
      <c r="S1094"/>
      <c r="T1094"/>
    </row>
    <row r="1095" spans="1:20" x14ac:dyDescent="0.3">
      <c r="A1095"/>
      <c r="B1095"/>
      <c r="C1095"/>
      <c r="D1095"/>
      <c r="E1095"/>
      <c r="F1095"/>
      <c r="G1095"/>
      <c r="H1095"/>
      <c r="I1095"/>
      <c r="J1095"/>
      <c r="K1095"/>
      <c r="L1095"/>
      <c r="M1095"/>
      <c r="N1095"/>
      <c r="O1095"/>
      <c r="P1095"/>
      <c r="Q1095"/>
      <c r="R1095"/>
      <c r="S1095"/>
      <c r="T1095"/>
    </row>
    <row r="1096" spans="1:20" x14ac:dyDescent="0.3">
      <c r="A1096"/>
      <c r="B1096"/>
      <c r="C1096"/>
      <c r="D1096"/>
      <c r="E1096"/>
      <c r="F1096"/>
      <c r="G1096"/>
      <c r="H1096"/>
      <c r="I1096"/>
      <c r="J1096"/>
      <c r="K1096"/>
      <c r="L1096"/>
      <c r="M1096"/>
      <c r="N1096"/>
      <c r="O1096"/>
      <c r="P1096"/>
      <c r="Q1096"/>
      <c r="R1096"/>
      <c r="S1096"/>
      <c r="T1096"/>
    </row>
    <row r="1097" spans="1:20" x14ac:dyDescent="0.3">
      <c r="A1097"/>
      <c r="B1097"/>
      <c r="C1097"/>
      <c r="D1097"/>
      <c r="E1097"/>
      <c r="F1097"/>
      <c r="G1097"/>
      <c r="H1097"/>
      <c r="I1097"/>
      <c r="J1097"/>
      <c r="K1097"/>
      <c r="L1097"/>
      <c r="M1097"/>
      <c r="N1097"/>
      <c r="O1097"/>
      <c r="P1097"/>
      <c r="Q1097"/>
      <c r="R1097"/>
      <c r="S1097"/>
      <c r="T1097"/>
    </row>
    <row r="1098" spans="1:20" x14ac:dyDescent="0.3">
      <c r="A1098"/>
      <c r="B1098"/>
      <c r="C1098"/>
      <c r="D1098"/>
      <c r="E1098"/>
      <c r="F1098"/>
      <c r="G1098"/>
      <c r="H1098"/>
      <c r="I1098"/>
      <c r="J1098"/>
      <c r="K1098"/>
      <c r="L1098"/>
      <c r="M1098"/>
      <c r="N1098"/>
      <c r="O1098"/>
      <c r="P1098"/>
      <c r="Q1098"/>
      <c r="R1098"/>
      <c r="S1098"/>
      <c r="T1098"/>
    </row>
    <row r="1099" spans="1:20" x14ac:dyDescent="0.3">
      <c r="A1099"/>
      <c r="B1099"/>
      <c r="C1099"/>
      <c r="D1099"/>
      <c r="E1099"/>
      <c r="F1099"/>
      <c r="G1099"/>
      <c r="H1099"/>
      <c r="I1099"/>
      <c r="J1099"/>
      <c r="K1099"/>
      <c r="L1099"/>
      <c r="M1099"/>
      <c r="N1099"/>
      <c r="O1099"/>
      <c r="P1099"/>
      <c r="Q1099"/>
      <c r="R1099"/>
      <c r="S1099"/>
      <c r="T1099"/>
    </row>
    <row r="1100" spans="1:20" x14ac:dyDescent="0.3">
      <c r="A1100"/>
      <c r="B1100"/>
      <c r="C1100"/>
      <c r="D1100"/>
      <c r="E1100"/>
      <c r="F1100"/>
      <c r="G1100"/>
      <c r="H1100"/>
      <c r="I1100"/>
      <c r="J1100"/>
      <c r="K1100"/>
      <c r="L1100"/>
      <c r="M1100"/>
      <c r="N1100"/>
      <c r="O1100"/>
      <c r="P1100"/>
      <c r="Q1100"/>
      <c r="R1100"/>
      <c r="S1100"/>
      <c r="T1100"/>
    </row>
    <row r="1101" spans="1:20" x14ac:dyDescent="0.3">
      <c r="A1101"/>
      <c r="B1101"/>
      <c r="C1101"/>
      <c r="D1101"/>
      <c r="E1101"/>
      <c r="F1101"/>
      <c r="G1101"/>
      <c r="H1101"/>
      <c r="I1101"/>
      <c r="J1101"/>
      <c r="K1101"/>
      <c r="L1101"/>
      <c r="M1101"/>
      <c r="N1101"/>
      <c r="O1101"/>
      <c r="P1101"/>
      <c r="Q1101"/>
      <c r="R1101"/>
      <c r="S1101"/>
      <c r="T1101"/>
    </row>
    <row r="1102" spans="1:20" x14ac:dyDescent="0.3">
      <c r="A1102"/>
      <c r="B1102"/>
      <c r="C1102"/>
      <c r="D1102"/>
      <c r="E1102"/>
      <c r="F1102"/>
      <c r="G1102"/>
      <c r="H1102"/>
      <c r="I1102"/>
      <c r="J1102"/>
      <c r="K1102"/>
      <c r="L1102"/>
      <c r="M1102"/>
      <c r="N1102"/>
      <c r="O1102"/>
      <c r="P1102"/>
      <c r="Q1102"/>
      <c r="R1102"/>
      <c r="S1102"/>
      <c r="T1102"/>
    </row>
    <row r="1103" spans="1:20" x14ac:dyDescent="0.3">
      <c r="A1103"/>
      <c r="B1103"/>
      <c r="C1103"/>
      <c r="D1103"/>
      <c r="E1103"/>
      <c r="F1103"/>
      <c r="G1103"/>
      <c r="H1103"/>
      <c r="I1103"/>
      <c r="J1103"/>
      <c r="K1103"/>
      <c r="L1103"/>
      <c r="M1103"/>
      <c r="N1103"/>
      <c r="O1103"/>
      <c r="P1103"/>
      <c r="Q1103"/>
      <c r="R1103"/>
      <c r="S1103"/>
      <c r="T1103"/>
    </row>
    <row r="1104" spans="1:20" x14ac:dyDescent="0.3">
      <c r="A1104"/>
      <c r="B1104"/>
      <c r="C1104"/>
      <c r="D1104"/>
      <c r="E1104"/>
      <c r="F1104"/>
      <c r="G1104"/>
      <c r="H1104"/>
      <c r="I1104"/>
      <c r="J1104"/>
      <c r="K1104"/>
      <c r="L1104"/>
      <c r="M1104"/>
      <c r="N1104"/>
      <c r="O1104"/>
      <c r="P1104"/>
      <c r="Q1104"/>
      <c r="R1104"/>
      <c r="S1104"/>
      <c r="T1104"/>
    </row>
    <row r="1105" spans="1:20" x14ac:dyDescent="0.3">
      <c r="A1105"/>
      <c r="B1105"/>
      <c r="C1105"/>
      <c r="D1105"/>
      <c r="E1105"/>
      <c r="F1105"/>
      <c r="G1105"/>
      <c r="H1105"/>
      <c r="I1105"/>
      <c r="J1105"/>
      <c r="K1105"/>
      <c r="L1105"/>
      <c r="M1105"/>
      <c r="N1105"/>
      <c r="O1105"/>
      <c r="P1105"/>
      <c r="Q1105"/>
      <c r="R1105"/>
      <c r="S1105"/>
      <c r="T1105"/>
    </row>
    <row r="1106" spans="1:20" x14ac:dyDescent="0.3">
      <c r="A1106"/>
      <c r="B1106"/>
      <c r="C1106"/>
      <c r="D1106"/>
      <c r="E1106"/>
      <c r="F1106"/>
      <c r="G1106"/>
      <c r="H1106"/>
      <c r="I1106"/>
      <c r="J1106"/>
      <c r="K1106"/>
      <c r="L1106"/>
      <c r="M1106"/>
      <c r="N1106"/>
      <c r="O1106"/>
      <c r="P1106"/>
      <c r="Q1106"/>
      <c r="R1106"/>
      <c r="S1106"/>
      <c r="T1106"/>
    </row>
    <row r="1107" spans="1:20" x14ac:dyDescent="0.3">
      <c r="A1107"/>
      <c r="B1107"/>
      <c r="C1107"/>
      <c r="D1107"/>
      <c r="E1107"/>
      <c r="F1107"/>
      <c r="G1107"/>
      <c r="H1107"/>
      <c r="I1107"/>
      <c r="J1107"/>
      <c r="K1107"/>
      <c r="L1107"/>
      <c r="M1107"/>
      <c r="N1107"/>
      <c r="O1107"/>
      <c r="P1107"/>
      <c r="Q1107"/>
      <c r="R1107"/>
      <c r="S1107"/>
      <c r="T1107"/>
    </row>
    <row r="1108" spans="1:20" x14ac:dyDescent="0.3">
      <c r="A1108"/>
      <c r="B1108"/>
      <c r="C1108"/>
      <c r="D1108"/>
      <c r="E1108"/>
      <c r="F1108"/>
      <c r="G1108"/>
      <c r="H1108"/>
      <c r="I1108"/>
      <c r="J1108"/>
      <c r="K1108"/>
      <c r="L1108"/>
      <c r="M1108"/>
      <c r="N1108"/>
      <c r="O1108"/>
      <c r="P1108"/>
      <c r="Q1108"/>
      <c r="R1108"/>
      <c r="S1108"/>
      <c r="T1108"/>
    </row>
    <row r="1109" spans="1:20" x14ac:dyDescent="0.3">
      <c r="A1109"/>
      <c r="B1109"/>
      <c r="C1109"/>
      <c r="D1109"/>
      <c r="E1109"/>
      <c r="F1109"/>
      <c r="G1109"/>
      <c r="H1109"/>
      <c r="I1109"/>
      <c r="J1109"/>
      <c r="K1109"/>
      <c r="L1109"/>
      <c r="M1109"/>
      <c r="N1109"/>
      <c r="O1109"/>
      <c r="P1109"/>
      <c r="Q1109"/>
      <c r="R1109"/>
      <c r="S1109"/>
      <c r="T1109"/>
    </row>
    <row r="1110" spans="1:20" x14ac:dyDescent="0.3">
      <c r="A1110"/>
      <c r="B1110"/>
      <c r="C1110"/>
      <c r="D1110"/>
      <c r="E1110"/>
      <c r="F1110"/>
      <c r="G1110"/>
      <c r="H1110"/>
      <c r="I1110"/>
      <c r="J1110"/>
      <c r="K1110"/>
      <c r="L1110"/>
      <c r="M1110"/>
      <c r="N1110"/>
      <c r="O1110"/>
      <c r="P1110"/>
      <c r="Q1110"/>
      <c r="R1110"/>
      <c r="S1110"/>
      <c r="T1110"/>
    </row>
    <row r="1111" spans="1:20" x14ac:dyDescent="0.3">
      <c r="A1111"/>
      <c r="B1111"/>
      <c r="C1111"/>
      <c r="D1111"/>
      <c r="E1111"/>
      <c r="F1111"/>
      <c r="G1111"/>
      <c r="H1111"/>
      <c r="I1111"/>
      <c r="J1111"/>
      <c r="K1111"/>
      <c r="L1111"/>
      <c r="M1111"/>
      <c r="N1111"/>
      <c r="O1111"/>
      <c r="P1111"/>
      <c r="Q1111"/>
      <c r="R1111"/>
      <c r="S1111"/>
      <c r="T1111"/>
    </row>
    <row r="1112" spans="1:20" x14ac:dyDescent="0.3">
      <c r="A1112"/>
      <c r="B1112"/>
      <c r="C1112"/>
      <c r="D1112"/>
      <c r="E1112"/>
      <c r="F1112"/>
      <c r="G1112"/>
      <c r="H1112"/>
      <c r="I1112"/>
      <c r="J1112"/>
      <c r="K1112"/>
      <c r="L1112"/>
      <c r="M1112"/>
      <c r="N1112"/>
      <c r="O1112"/>
      <c r="P1112"/>
      <c r="Q1112"/>
      <c r="R1112"/>
      <c r="S1112"/>
      <c r="T1112"/>
    </row>
    <row r="1113" spans="1:20" x14ac:dyDescent="0.3">
      <c r="A1113"/>
      <c r="B1113"/>
      <c r="C1113"/>
      <c r="D1113"/>
      <c r="E1113"/>
      <c r="F1113"/>
      <c r="G1113"/>
      <c r="H1113"/>
      <c r="I1113"/>
      <c r="J1113"/>
      <c r="K1113"/>
      <c r="L1113"/>
      <c r="M1113"/>
      <c r="N1113"/>
      <c r="O1113"/>
      <c r="P1113"/>
      <c r="Q1113"/>
      <c r="R1113"/>
      <c r="S1113"/>
      <c r="T1113"/>
    </row>
    <row r="1114" spans="1:20" x14ac:dyDescent="0.3">
      <c r="A1114"/>
      <c r="B1114"/>
      <c r="C1114"/>
      <c r="D1114"/>
      <c r="E1114"/>
      <c r="F1114"/>
      <c r="G1114"/>
      <c r="H1114"/>
      <c r="I1114"/>
      <c r="J1114"/>
      <c r="K1114"/>
      <c r="L1114"/>
      <c r="M1114"/>
      <c r="N1114"/>
      <c r="O1114"/>
      <c r="P1114"/>
      <c r="Q1114"/>
      <c r="R1114"/>
      <c r="S1114"/>
      <c r="T1114"/>
    </row>
    <row r="1115" spans="1:20" x14ac:dyDescent="0.3">
      <c r="A1115"/>
      <c r="B1115"/>
      <c r="C1115"/>
      <c r="D1115"/>
      <c r="E1115"/>
      <c r="F1115"/>
      <c r="G1115"/>
      <c r="H1115"/>
      <c r="I1115"/>
      <c r="J1115"/>
      <c r="K1115"/>
      <c r="L1115"/>
      <c r="M1115"/>
      <c r="N1115"/>
      <c r="O1115"/>
      <c r="P1115"/>
      <c r="Q1115"/>
      <c r="R1115"/>
      <c r="S1115"/>
      <c r="T1115"/>
    </row>
    <row r="1116" spans="1:20" x14ac:dyDescent="0.3">
      <c r="A1116"/>
      <c r="B1116"/>
      <c r="C1116"/>
      <c r="D1116"/>
      <c r="E1116"/>
      <c r="F1116"/>
      <c r="G1116"/>
      <c r="H1116"/>
      <c r="I1116"/>
      <c r="J1116"/>
      <c r="K1116"/>
      <c r="L1116"/>
      <c r="M1116"/>
      <c r="N1116"/>
      <c r="O1116"/>
      <c r="P1116"/>
      <c r="Q1116"/>
      <c r="R1116"/>
      <c r="S1116"/>
      <c r="T1116"/>
    </row>
    <row r="1117" spans="1:20" x14ac:dyDescent="0.3">
      <c r="A1117"/>
      <c r="B1117"/>
      <c r="C1117"/>
      <c r="D1117"/>
      <c r="E1117"/>
      <c r="F1117"/>
      <c r="G1117"/>
      <c r="H1117"/>
      <c r="I1117"/>
      <c r="J1117"/>
      <c r="K1117"/>
      <c r="L1117"/>
      <c r="M1117"/>
      <c r="N1117"/>
      <c r="O1117"/>
      <c r="P1117"/>
      <c r="Q1117"/>
      <c r="R1117"/>
      <c r="S1117"/>
      <c r="T1117"/>
    </row>
    <row r="1118" spans="1:20" x14ac:dyDescent="0.3">
      <c r="A1118"/>
      <c r="B1118"/>
      <c r="C1118"/>
      <c r="D1118"/>
      <c r="E1118"/>
      <c r="F1118"/>
      <c r="G1118"/>
      <c r="H1118"/>
      <c r="I1118"/>
      <c r="J1118"/>
      <c r="K1118"/>
      <c r="L1118"/>
      <c r="M1118"/>
      <c r="N1118"/>
      <c r="O1118"/>
      <c r="P1118"/>
      <c r="Q1118"/>
      <c r="R1118"/>
      <c r="S1118"/>
      <c r="T1118"/>
    </row>
    <row r="1119" spans="1:20" x14ac:dyDescent="0.3">
      <c r="A1119"/>
      <c r="B1119"/>
      <c r="C1119"/>
      <c r="D1119"/>
      <c r="E1119"/>
      <c r="F1119"/>
      <c r="G1119"/>
      <c r="H1119"/>
      <c r="I1119"/>
      <c r="J1119"/>
      <c r="K1119"/>
      <c r="L1119"/>
      <c r="M1119"/>
      <c r="N1119"/>
      <c r="O1119"/>
      <c r="P1119"/>
      <c r="Q1119"/>
      <c r="R1119"/>
      <c r="S1119"/>
      <c r="T1119"/>
    </row>
    <row r="1120" spans="1:20" x14ac:dyDescent="0.3">
      <c r="A1120"/>
      <c r="B1120"/>
      <c r="C1120"/>
      <c r="D1120"/>
      <c r="E1120"/>
      <c r="F1120"/>
      <c r="G1120"/>
      <c r="H1120"/>
      <c r="I1120"/>
      <c r="J1120"/>
      <c r="K1120"/>
      <c r="L1120"/>
      <c r="M1120"/>
      <c r="N1120"/>
      <c r="O1120"/>
      <c r="P1120"/>
      <c r="Q1120"/>
      <c r="R1120"/>
      <c r="S1120"/>
      <c r="T1120"/>
    </row>
    <row r="1121" spans="1:20" x14ac:dyDescent="0.3">
      <c r="A1121"/>
      <c r="B1121"/>
      <c r="C1121"/>
      <c r="D1121"/>
      <c r="E1121"/>
      <c r="F1121"/>
      <c r="G1121"/>
      <c r="H1121"/>
      <c r="I1121"/>
      <c r="J1121"/>
      <c r="K1121"/>
      <c r="L1121"/>
      <c r="M1121"/>
      <c r="N1121"/>
      <c r="O1121"/>
      <c r="P1121"/>
      <c r="Q1121"/>
      <c r="R1121"/>
      <c r="S1121"/>
      <c r="T1121"/>
    </row>
    <row r="1122" spans="1:20" x14ac:dyDescent="0.3">
      <c r="A1122"/>
      <c r="B1122"/>
      <c r="C1122"/>
      <c r="D1122"/>
      <c r="E1122"/>
      <c r="F1122"/>
      <c r="G1122"/>
      <c r="H1122"/>
      <c r="I1122"/>
      <c r="J1122"/>
      <c r="K1122"/>
      <c r="L1122"/>
      <c r="M1122"/>
      <c r="N1122"/>
      <c r="O1122"/>
      <c r="P1122"/>
      <c r="Q1122"/>
      <c r="R1122"/>
      <c r="S1122"/>
      <c r="T1122"/>
    </row>
    <row r="1123" spans="1:20" x14ac:dyDescent="0.3">
      <c r="A1123"/>
      <c r="B1123"/>
      <c r="C1123"/>
      <c r="D1123"/>
      <c r="E1123"/>
      <c r="F1123"/>
      <c r="G1123"/>
      <c r="H1123"/>
      <c r="I1123"/>
      <c r="J1123"/>
      <c r="K1123"/>
      <c r="L1123"/>
      <c r="M1123"/>
      <c r="N1123"/>
      <c r="O1123"/>
      <c r="P1123"/>
      <c r="Q1123"/>
      <c r="R1123"/>
      <c r="S1123"/>
      <c r="T1123"/>
    </row>
    <row r="1124" spans="1:20" x14ac:dyDescent="0.3">
      <c r="A1124"/>
      <c r="B1124"/>
      <c r="C1124"/>
      <c r="D1124"/>
      <c r="E1124"/>
      <c r="F1124"/>
      <c r="G1124"/>
      <c r="H1124"/>
      <c r="I1124"/>
      <c r="J1124"/>
      <c r="K1124"/>
      <c r="L1124"/>
      <c r="M1124"/>
      <c r="N1124"/>
      <c r="O1124"/>
      <c r="P1124"/>
      <c r="Q1124"/>
      <c r="R1124"/>
      <c r="S1124"/>
      <c r="T1124"/>
    </row>
    <row r="1125" spans="1:20" x14ac:dyDescent="0.3">
      <c r="A1125"/>
      <c r="B1125"/>
      <c r="C1125"/>
      <c r="D1125"/>
      <c r="E1125"/>
      <c r="F1125"/>
      <c r="G1125"/>
      <c r="H1125"/>
      <c r="I1125"/>
      <c r="J1125"/>
      <c r="K1125"/>
      <c r="L1125"/>
      <c r="M1125"/>
      <c r="N1125"/>
      <c r="O1125"/>
      <c r="P1125"/>
      <c r="Q1125"/>
      <c r="R1125"/>
      <c r="S1125"/>
      <c r="T1125"/>
    </row>
    <row r="1126" spans="1:20" x14ac:dyDescent="0.3">
      <c r="A1126"/>
      <c r="B1126"/>
      <c r="C1126"/>
      <c r="D1126"/>
      <c r="E1126"/>
      <c r="F1126"/>
      <c r="G1126"/>
      <c r="H1126"/>
      <c r="I1126"/>
      <c r="J1126"/>
      <c r="K1126"/>
      <c r="L1126"/>
      <c r="M1126"/>
      <c r="N1126"/>
      <c r="O1126"/>
      <c r="P1126"/>
      <c r="Q1126"/>
      <c r="R1126"/>
      <c r="S1126"/>
      <c r="T1126"/>
    </row>
    <row r="1127" spans="1:20" x14ac:dyDescent="0.3">
      <c r="A1127"/>
      <c r="B1127"/>
      <c r="C1127"/>
      <c r="D1127"/>
      <c r="E1127"/>
      <c r="F1127"/>
      <c r="G1127"/>
      <c r="H1127"/>
      <c r="I1127"/>
      <c r="J1127"/>
      <c r="K1127"/>
      <c r="L1127"/>
      <c r="M1127"/>
      <c r="N1127"/>
      <c r="O1127"/>
      <c r="P1127"/>
      <c r="Q1127"/>
      <c r="R1127"/>
      <c r="S1127"/>
      <c r="T1127"/>
    </row>
    <row r="1128" spans="1:20" x14ac:dyDescent="0.3">
      <c r="A1128"/>
      <c r="B1128"/>
      <c r="C1128"/>
      <c r="D1128"/>
      <c r="E1128"/>
      <c r="F1128"/>
      <c r="G1128"/>
      <c r="H1128"/>
      <c r="I1128"/>
      <c r="J1128"/>
      <c r="K1128"/>
      <c r="L1128"/>
      <c r="M1128"/>
      <c r="N1128"/>
      <c r="O1128"/>
      <c r="P1128"/>
      <c r="Q1128"/>
      <c r="R1128"/>
      <c r="S1128"/>
      <c r="T1128"/>
    </row>
    <row r="1129" spans="1:20" x14ac:dyDescent="0.3">
      <c r="A1129"/>
      <c r="B1129"/>
      <c r="C1129"/>
      <c r="D1129"/>
      <c r="E1129"/>
      <c r="F1129"/>
      <c r="G1129"/>
      <c r="H1129"/>
      <c r="I1129"/>
      <c r="J1129"/>
      <c r="K1129"/>
      <c r="L1129"/>
      <c r="M1129"/>
      <c r="N1129"/>
      <c r="O1129"/>
      <c r="P1129"/>
      <c r="Q1129"/>
      <c r="R1129"/>
      <c r="S1129"/>
      <c r="T1129"/>
    </row>
    <row r="1130" spans="1:20" x14ac:dyDescent="0.3">
      <c r="A1130"/>
      <c r="B1130"/>
      <c r="C1130"/>
      <c r="D1130"/>
      <c r="E1130"/>
      <c r="F1130"/>
      <c r="G1130"/>
      <c r="H1130"/>
      <c r="I1130"/>
      <c r="J1130"/>
      <c r="K1130"/>
      <c r="L1130"/>
      <c r="M1130"/>
      <c r="N1130"/>
      <c r="O1130"/>
      <c r="P1130"/>
      <c r="Q1130"/>
      <c r="R1130"/>
      <c r="S1130"/>
      <c r="T1130"/>
    </row>
    <row r="1131" spans="1:20" x14ac:dyDescent="0.3">
      <c r="A1131"/>
      <c r="B1131"/>
      <c r="C1131"/>
      <c r="D1131"/>
      <c r="E1131"/>
      <c r="F1131"/>
      <c r="G1131"/>
      <c r="H1131"/>
      <c r="I1131"/>
      <c r="J1131"/>
      <c r="K1131"/>
      <c r="L1131"/>
      <c r="M1131"/>
      <c r="N1131"/>
      <c r="O1131"/>
      <c r="P1131"/>
      <c r="Q1131"/>
      <c r="R1131"/>
      <c r="S1131"/>
      <c r="T1131"/>
    </row>
    <row r="1132" spans="1:20" x14ac:dyDescent="0.3">
      <c r="A1132"/>
      <c r="B1132"/>
      <c r="C1132"/>
      <c r="D1132"/>
      <c r="E1132"/>
      <c r="F1132"/>
      <c r="G1132"/>
      <c r="H1132"/>
      <c r="I1132"/>
      <c r="J1132"/>
      <c r="K1132"/>
      <c r="L1132"/>
      <c r="M1132"/>
      <c r="N1132"/>
      <c r="O1132"/>
      <c r="P1132"/>
      <c r="Q1132"/>
      <c r="R1132"/>
      <c r="S1132"/>
      <c r="T1132"/>
    </row>
    <row r="1133" spans="1:20" x14ac:dyDescent="0.3">
      <c r="A1133"/>
      <c r="B1133"/>
      <c r="C1133"/>
      <c r="D1133"/>
      <c r="E1133"/>
      <c r="F1133"/>
      <c r="G1133"/>
      <c r="H1133"/>
      <c r="I1133"/>
      <c r="J1133"/>
      <c r="K1133"/>
      <c r="L1133"/>
      <c r="M1133"/>
      <c r="N1133"/>
      <c r="O1133"/>
      <c r="P1133"/>
      <c r="Q1133"/>
      <c r="R1133"/>
      <c r="S1133"/>
      <c r="T1133"/>
    </row>
    <row r="1134" spans="1:20" x14ac:dyDescent="0.3">
      <c r="A1134"/>
      <c r="B1134"/>
      <c r="C1134"/>
      <c r="D1134"/>
      <c r="E1134"/>
      <c r="F1134"/>
      <c r="G1134"/>
      <c r="H1134"/>
      <c r="I1134"/>
      <c r="J1134"/>
      <c r="K1134"/>
      <c r="L1134"/>
      <c r="M1134"/>
      <c r="N1134"/>
      <c r="O1134"/>
      <c r="P1134"/>
      <c r="Q1134"/>
      <c r="R1134"/>
      <c r="S1134"/>
      <c r="T1134"/>
    </row>
    <row r="1135" spans="1:20" x14ac:dyDescent="0.3">
      <c r="A1135"/>
      <c r="B1135"/>
      <c r="C1135"/>
      <c r="D1135"/>
      <c r="E1135"/>
      <c r="F1135"/>
      <c r="G1135"/>
      <c r="H1135"/>
      <c r="I1135"/>
      <c r="J1135"/>
      <c r="K1135"/>
      <c r="L1135"/>
      <c r="M1135"/>
      <c r="N1135"/>
      <c r="O1135"/>
      <c r="P1135"/>
      <c r="Q1135"/>
      <c r="R1135"/>
      <c r="S1135"/>
      <c r="T1135"/>
    </row>
    <row r="1136" spans="1:20" x14ac:dyDescent="0.3">
      <c r="A1136"/>
      <c r="B1136"/>
      <c r="C1136"/>
      <c r="D1136"/>
      <c r="E1136"/>
      <c r="F1136"/>
      <c r="G1136"/>
      <c r="H1136"/>
      <c r="I1136"/>
      <c r="J1136"/>
      <c r="K1136"/>
      <c r="L1136"/>
      <c r="M1136"/>
      <c r="N1136"/>
      <c r="O1136"/>
      <c r="P1136"/>
      <c r="Q1136"/>
      <c r="R1136"/>
      <c r="S1136"/>
      <c r="T1136"/>
    </row>
    <row r="1137" spans="1:20" x14ac:dyDescent="0.3">
      <c r="A1137"/>
      <c r="B1137"/>
      <c r="C1137"/>
      <c r="D1137"/>
      <c r="E1137"/>
      <c r="F1137"/>
      <c r="G1137"/>
      <c r="H1137"/>
      <c r="I1137"/>
      <c r="J1137"/>
      <c r="K1137"/>
      <c r="L1137"/>
      <c r="M1137"/>
      <c r="N1137"/>
      <c r="O1137"/>
      <c r="P1137"/>
      <c r="Q1137"/>
      <c r="R1137"/>
      <c r="S1137"/>
      <c r="T1137"/>
    </row>
    <row r="1138" spans="1:20" x14ac:dyDescent="0.3">
      <c r="A1138"/>
      <c r="B1138"/>
      <c r="C1138"/>
      <c r="D1138"/>
      <c r="E1138"/>
      <c r="F1138"/>
      <c r="G1138"/>
      <c r="H1138"/>
      <c r="I1138"/>
      <c r="J1138"/>
      <c r="K1138"/>
      <c r="L1138"/>
      <c r="M1138"/>
      <c r="N1138"/>
      <c r="O1138"/>
      <c r="P1138"/>
      <c r="Q1138"/>
      <c r="R1138"/>
      <c r="S1138"/>
      <c r="T1138"/>
    </row>
    <row r="1139" spans="1:20" x14ac:dyDescent="0.3">
      <c r="A1139"/>
      <c r="B1139"/>
      <c r="C1139"/>
      <c r="D1139"/>
      <c r="E1139"/>
      <c r="F1139"/>
      <c r="G1139"/>
      <c r="H1139"/>
      <c r="I1139"/>
      <c r="J1139"/>
      <c r="K1139"/>
      <c r="L1139"/>
      <c r="M1139"/>
      <c r="N1139"/>
      <c r="O1139"/>
      <c r="P1139"/>
      <c r="Q1139"/>
      <c r="R1139"/>
      <c r="S1139"/>
      <c r="T1139"/>
    </row>
    <row r="1140" spans="1:20" x14ac:dyDescent="0.3">
      <c r="A1140"/>
      <c r="B1140"/>
      <c r="C1140"/>
      <c r="D1140"/>
      <c r="E1140"/>
      <c r="F1140"/>
      <c r="G1140"/>
      <c r="H1140"/>
      <c r="I1140"/>
      <c r="J1140"/>
      <c r="K1140"/>
      <c r="L1140"/>
      <c r="M1140"/>
      <c r="N1140"/>
      <c r="O1140"/>
      <c r="P1140"/>
      <c r="Q1140"/>
      <c r="R1140"/>
      <c r="S1140"/>
      <c r="T1140"/>
    </row>
    <row r="1141" spans="1:20" x14ac:dyDescent="0.3">
      <c r="A1141"/>
      <c r="B1141"/>
      <c r="C1141"/>
      <c r="D1141"/>
      <c r="E1141"/>
      <c r="F1141"/>
      <c r="G1141"/>
      <c r="H1141"/>
      <c r="I1141"/>
      <c r="J1141"/>
      <c r="K1141"/>
      <c r="L1141"/>
      <c r="M1141"/>
      <c r="N1141"/>
      <c r="O1141"/>
      <c r="P1141"/>
      <c r="Q1141"/>
      <c r="R1141"/>
      <c r="S1141"/>
      <c r="T1141"/>
    </row>
    <row r="1142" spans="1:20" x14ac:dyDescent="0.3">
      <c r="A1142"/>
      <c r="B1142"/>
      <c r="C1142"/>
      <c r="D1142"/>
      <c r="E1142"/>
      <c r="F1142"/>
      <c r="G1142"/>
      <c r="H1142"/>
      <c r="I1142"/>
      <c r="J1142"/>
      <c r="K1142"/>
      <c r="L1142"/>
      <c r="M1142"/>
      <c r="N1142"/>
      <c r="O1142"/>
      <c r="P1142"/>
      <c r="Q1142"/>
      <c r="R1142"/>
      <c r="S1142"/>
      <c r="T1142"/>
    </row>
    <row r="1143" spans="1:20" x14ac:dyDescent="0.3">
      <c r="A1143"/>
      <c r="B1143"/>
      <c r="C1143"/>
      <c r="D1143"/>
      <c r="E1143"/>
      <c r="F1143"/>
      <c r="G1143"/>
      <c r="H1143"/>
      <c r="I1143"/>
      <c r="J1143"/>
      <c r="K1143"/>
      <c r="L1143"/>
      <c r="M1143"/>
      <c r="N1143"/>
      <c r="O1143"/>
      <c r="P1143"/>
      <c r="Q1143"/>
      <c r="R1143"/>
      <c r="S1143"/>
      <c r="T1143"/>
    </row>
    <row r="1144" spans="1:20" x14ac:dyDescent="0.3">
      <c r="A1144"/>
      <c r="B1144"/>
      <c r="C1144"/>
      <c r="D1144"/>
      <c r="E1144"/>
      <c r="F1144"/>
      <c r="G1144"/>
      <c r="H1144"/>
      <c r="I1144"/>
      <c r="J1144"/>
      <c r="K1144"/>
      <c r="L1144"/>
      <c r="M1144"/>
      <c r="N1144"/>
      <c r="O1144"/>
      <c r="P1144"/>
      <c r="Q1144"/>
      <c r="R1144"/>
      <c r="S1144"/>
      <c r="T1144"/>
    </row>
    <row r="1145" spans="1:20" x14ac:dyDescent="0.3">
      <c r="A1145"/>
      <c r="B1145"/>
      <c r="C1145"/>
      <c r="D1145"/>
      <c r="E1145"/>
      <c r="F1145"/>
      <c r="G1145"/>
      <c r="H1145"/>
      <c r="I1145"/>
      <c r="J1145"/>
      <c r="K1145"/>
      <c r="L1145"/>
      <c r="M1145"/>
      <c r="N1145"/>
      <c r="O1145"/>
      <c r="P1145"/>
      <c r="Q1145"/>
      <c r="R1145"/>
      <c r="S1145"/>
      <c r="T1145"/>
    </row>
    <row r="1146" spans="1:20" x14ac:dyDescent="0.3">
      <c r="A1146"/>
      <c r="B1146"/>
      <c r="C1146"/>
      <c r="D1146"/>
      <c r="E1146"/>
      <c r="F1146"/>
      <c r="G1146"/>
      <c r="H1146"/>
      <c r="I1146"/>
      <c r="J1146"/>
      <c r="K1146"/>
      <c r="L1146"/>
      <c r="M1146"/>
      <c r="N1146"/>
      <c r="O1146"/>
      <c r="P1146"/>
      <c r="Q1146"/>
      <c r="R1146"/>
      <c r="S1146"/>
      <c r="T1146"/>
    </row>
    <row r="1147" spans="1:20" x14ac:dyDescent="0.3">
      <c r="A1147"/>
      <c r="B1147"/>
      <c r="C1147"/>
      <c r="D1147"/>
      <c r="E1147"/>
      <c r="F1147"/>
      <c r="G1147"/>
      <c r="H1147"/>
      <c r="I1147"/>
      <c r="J1147"/>
      <c r="K1147"/>
      <c r="L1147"/>
      <c r="M1147"/>
      <c r="N1147"/>
      <c r="O1147"/>
      <c r="P1147"/>
      <c r="Q1147"/>
      <c r="R1147"/>
      <c r="S1147"/>
      <c r="T1147"/>
    </row>
    <row r="1148" spans="1:20" x14ac:dyDescent="0.3">
      <c r="A1148"/>
      <c r="B1148"/>
      <c r="C1148"/>
      <c r="D1148"/>
      <c r="E1148"/>
      <c r="F1148"/>
      <c r="G1148"/>
      <c r="H1148"/>
      <c r="I1148"/>
      <c r="J1148"/>
      <c r="K1148"/>
      <c r="L1148"/>
      <c r="M1148"/>
      <c r="N1148"/>
      <c r="O1148"/>
      <c r="P1148"/>
      <c r="Q1148"/>
      <c r="R1148"/>
      <c r="S1148"/>
      <c r="T1148"/>
    </row>
    <row r="1149" spans="1:20" x14ac:dyDescent="0.3">
      <c r="A1149"/>
      <c r="B1149"/>
      <c r="C1149"/>
      <c r="D1149"/>
      <c r="E1149"/>
      <c r="F1149"/>
      <c r="G1149"/>
      <c r="H1149"/>
      <c r="I1149"/>
      <c r="J1149"/>
      <c r="K1149"/>
      <c r="L1149"/>
      <c r="M1149"/>
      <c r="N1149"/>
      <c r="O1149"/>
      <c r="P1149"/>
      <c r="Q1149"/>
      <c r="R1149"/>
      <c r="S1149"/>
      <c r="T1149"/>
    </row>
    <row r="1150" spans="1:20" x14ac:dyDescent="0.3">
      <c r="A1150"/>
      <c r="B1150"/>
      <c r="C1150"/>
      <c r="D1150"/>
      <c r="E1150"/>
      <c r="F1150"/>
      <c r="G1150"/>
      <c r="H1150"/>
      <c r="I1150"/>
      <c r="J1150"/>
      <c r="K1150"/>
      <c r="L1150"/>
      <c r="M1150"/>
      <c r="N1150"/>
      <c r="O1150"/>
      <c r="P1150"/>
      <c r="Q1150"/>
      <c r="R1150"/>
      <c r="S1150"/>
      <c r="T1150"/>
    </row>
    <row r="1151" spans="1:20" x14ac:dyDescent="0.3">
      <c r="A1151"/>
      <c r="B1151"/>
      <c r="C1151"/>
      <c r="D1151"/>
      <c r="E1151"/>
      <c r="F1151"/>
      <c r="G1151"/>
      <c r="H1151"/>
      <c r="I1151"/>
      <c r="J1151"/>
      <c r="K1151"/>
      <c r="L1151"/>
      <c r="M1151"/>
      <c r="N1151"/>
      <c r="O1151"/>
      <c r="P1151"/>
      <c r="Q1151"/>
      <c r="R1151"/>
      <c r="S1151"/>
      <c r="T1151"/>
    </row>
    <row r="1152" spans="1:20" x14ac:dyDescent="0.3">
      <c r="A1152"/>
      <c r="B1152"/>
      <c r="C1152"/>
      <c r="D1152"/>
      <c r="E1152"/>
      <c r="F1152"/>
      <c r="G1152"/>
      <c r="H1152"/>
      <c r="I1152"/>
      <c r="J1152"/>
      <c r="K1152"/>
      <c r="L1152"/>
      <c r="M1152"/>
      <c r="N1152"/>
      <c r="O1152"/>
      <c r="P1152"/>
      <c r="Q1152"/>
      <c r="R1152"/>
      <c r="S1152"/>
      <c r="T1152"/>
    </row>
    <row r="1153" spans="1:20" x14ac:dyDescent="0.3">
      <c r="A1153"/>
      <c r="B1153"/>
      <c r="C1153"/>
      <c r="D1153"/>
      <c r="E1153"/>
      <c r="F1153"/>
      <c r="G1153"/>
      <c r="H1153"/>
      <c r="I1153"/>
      <c r="J1153"/>
      <c r="K1153"/>
      <c r="L1153"/>
      <c r="M1153"/>
      <c r="N1153"/>
      <c r="O1153"/>
      <c r="P1153"/>
      <c r="Q1153"/>
      <c r="R1153"/>
      <c r="S1153"/>
      <c r="T1153"/>
    </row>
    <row r="1154" spans="1:20" x14ac:dyDescent="0.3">
      <c r="A1154"/>
      <c r="B1154"/>
      <c r="C1154"/>
      <c r="D1154"/>
      <c r="E1154"/>
      <c r="F1154"/>
      <c r="G1154"/>
      <c r="H1154"/>
      <c r="I1154"/>
      <c r="J1154"/>
      <c r="K1154"/>
      <c r="L1154"/>
      <c r="M1154"/>
      <c r="N1154"/>
      <c r="O1154"/>
      <c r="P1154"/>
      <c r="Q1154"/>
      <c r="R1154"/>
      <c r="S1154"/>
      <c r="T1154"/>
    </row>
    <row r="1155" spans="1:20" x14ac:dyDescent="0.3">
      <c r="A1155"/>
      <c r="B1155"/>
      <c r="C1155"/>
      <c r="D1155"/>
      <c r="E1155"/>
      <c r="F1155"/>
      <c r="G1155"/>
      <c r="H1155"/>
      <c r="I1155"/>
      <c r="J1155"/>
      <c r="K1155"/>
      <c r="L1155"/>
      <c r="M1155"/>
      <c r="N1155"/>
      <c r="O1155"/>
      <c r="P1155"/>
      <c r="Q1155"/>
      <c r="R1155"/>
      <c r="S1155"/>
      <c r="T1155"/>
    </row>
    <row r="1156" spans="1:20" x14ac:dyDescent="0.3">
      <c r="A1156"/>
      <c r="B1156"/>
      <c r="C1156"/>
      <c r="D1156"/>
      <c r="E1156"/>
      <c r="F1156"/>
      <c r="G1156"/>
      <c r="H1156"/>
      <c r="I1156"/>
      <c r="J1156"/>
      <c r="K1156"/>
      <c r="L1156"/>
      <c r="M1156"/>
      <c r="N1156"/>
      <c r="O1156"/>
      <c r="P1156"/>
      <c r="Q1156"/>
      <c r="R1156"/>
      <c r="S1156"/>
      <c r="T1156"/>
    </row>
    <row r="1157" spans="1:20" x14ac:dyDescent="0.3">
      <c r="A1157"/>
      <c r="B1157"/>
      <c r="C1157"/>
      <c r="D1157"/>
      <c r="E1157"/>
      <c r="F1157"/>
      <c r="G1157"/>
      <c r="H1157"/>
      <c r="I1157"/>
      <c r="J1157"/>
      <c r="K1157"/>
      <c r="L1157"/>
      <c r="M1157"/>
      <c r="N1157"/>
      <c r="O1157"/>
      <c r="P1157"/>
      <c r="Q1157"/>
      <c r="R1157"/>
      <c r="S1157"/>
      <c r="T1157"/>
    </row>
    <row r="1158" spans="1:20" x14ac:dyDescent="0.3">
      <c r="A1158"/>
      <c r="B1158"/>
      <c r="C1158"/>
      <c r="D1158"/>
      <c r="E1158"/>
      <c r="F1158"/>
      <c r="G1158"/>
      <c r="H1158"/>
      <c r="I1158"/>
      <c r="J1158"/>
      <c r="K1158"/>
      <c r="L1158"/>
      <c r="M1158"/>
      <c r="N1158"/>
      <c r="O1158"/>
      <c r="P1158"/>
      <c r="Q1158"/>
      <c r="R1158"/>
      <c r="S1158"/>
      <c r="T1158"/>
    </row>
    <row r="1159" spans="1:20" x14ac:dyDescent="0.3">
      <c r="A1159"/>
      <c r="B1159"/>
      <c r="C1159"/>
      <c r="D1159"/>
      <c r="E1159"/>
      <c r="F1159"/>
      <c r="G1159"/>
      <c r="H1159"/>
      <c r="I1159"/>
      <c r="J1159"/>
      <c r="K1159"/>
      <c r="L1159"/>
      <c r="M1159"/>
      <c r="N1159"/>
      <c r="O1159"/>
      <c r="P1159"/>
      <c r="Q1159"/>
      <c r="R1159"/>
      <c r="S1159"/>
      <c r="T1159"/>
    </row>
    <row r="1160" spans="1:20" x14ac:dyDescent="0.3">
      <c r="A1160"/>
      <c r="B1160"/>
      <c r="C1160"/>
      <c r="D1160"/>
      <c r="E1160"/>
      <c r="F1160"/>
      <c r="G1160"/>
      <c r="H1160"/>
      <c r="I1160"/>
      <c r="J1160"/>
      <c r="K1160"/>
      <c r="L1160"/>
      <c r="M1160"/>
      <c r="N1160"/>
      <c r="O1160"/>
      <c r="P1160"/>
      <c r="Q1160"/>
      <c r="R1160"/>
      <c r="S1160"/>
      <c r="T1160"/>
    </row>
    <row r="1161" spans="1:20" x14ac:dyDescent="0.3">
      <c r="A1161"/>
      <c r="B1161"/>
      <c r="C1161"/>
      <c r="D1161"/>
      <c r="E1161"/>
      <c r="F1161"/>
      <c r="G1161"/>
      <c r="H1161"/>
      <c r="I1161"/>
      <c r="J1161"/>
      <c r="K1161"/>
      <c r="L1161"/>
      <c r="M1161"/>
      <c r="N1161"/>
      <c r="O1161"/>
      <c r="P1161"/>
      <c r="Q1161"/>
      <c r="R1161"/>
      <c r="S1161"/>
      <c r="T1161"/>
    </row>
    <row r="1162" spans="1:20" x14ac:dyDescent="0.3">
      <c r="A1162"/>
      <c r="B1162"/>
      <c r="C1162"/>
      <c r="D1162"/>
      <c r="E1162"/>
      <c r="F1162"/>
      <c r="G1162"/>
      <c r="H1162"/>
      <c r="I1162"/>
      <c r="J1162"/>
      <c r="K1162"/>
      <c r="L1162"/>
      <c r="M1162"/>
      <c r="N1162"/>
      <c r="O1162"/>
      <c r="P1162"/>
      <c r="Q1162"/>
      <c r="R1162"/>
      <c r="S1162"/>
      <c r="T1162"/>
    </row>
    <row r="1163" spans="1:20" x14ac:dyDescent="0.3">
      <c r="A1163"/>
      <c r="B1163"/>
      <c r="C1163"/>
      <c r="D1163"/>
      <c r="E1163"/>
      <c r="F1163"/>
      <c r="G1163"/>
      <c r="H1163"/>
      <c r="I1163"/>
      <c r="J1163"/>
      <c r="K1163"/>
      <c r="L1163"/>
      <c r="M1163"/>
      <c r="N1163"/>
      <c r="O1163"/>
      <c r="P1163"/>
      <c r="Q1163"/>
      <c r="R1163"/>
      <c r="S1163"/>
      <c r="T1163"/>
    </row>
    <row r="1164" spans="1:20" x14ac:dyDescent="0.3">
      <c r="A1164"/>
      <c r="B1164"/>
      <c r="C1164"/>
      <c r="D1164"/>
      <c r="E1164"/>
      <c r="F1164"/>
      <c r="G1164"/>
      <c r="H1164"/>
      <c r="I1164"/>
      <c r="J1164"/>
      <c r="K1164"/>
      <c r="L1164"/>
      <c r="M1164"/>
      <c r="N1164"/>
      <c r="O1164"/>
      <c r="P1164"/>
      <c r="Q1164"/>
      <c r="R1164"/>
      <c r="S1164"/>
      <c r="T1164"/>
    </row>
    <row r="1165" spans="1:20" x14ac:dyDescent="0.3">
      <c r="A1165"/>
      <c r="B1165"/>
      <c r="C1165"/>
      <c r="D1165"/>
      <c r="E1165"/>
      <c r="F1165"/>
      <c r="G1165"/>
      <c r="H1165"/>
      <c r="I1165"/>
      <c r="J1165"/>
      <c r="K1165"/>
      <c r="L1165"/>
      <c r="M1165"/>
      <c r="N1165"/>
      <c r="O1165"/>
      <c r="P1165"/>
      <c r="Q1165"/>
      <c r="R1165"/>
      <c r="S1165"/>
      <c r="T1165"/>
    </row>
    <row r="1166" spans="1:20" x14ac:dyDescent="0.3">
      <c r="A1166"/>
      <c r="B1166"/>
      <c r="C1166"/>
      <c r="D1166"/>
      <c r="E1166"/>
      <c r="F1166"/>
      <c r="G1166"/>
      <c r="H1166"/>
      <c r="I1166"/>
      <c r="J1166"/>
      <c r="K1166"/>
      <c r="L1166"/>
      <c r="M1166"/>
      <c r="N1166"/>
      <c r="O1166"/>
      <c r="P1166"/>
      <c r="Q1166"/>
      <c r="R1166"/>
      <c r="S1166"/>
      <c r="T1166"/>
    </row>
    <row r="1167" spans="1:20" x14ac:dyDescent="0.3">
      <c r="A1167"/>
      <c r="B1167"/>
      <c r="C1167"/>
      <c r="D1167"/>
      <c r="E1167"/>
      <c r="F1167"/>
      <c r="G1167"/>
      <c r="H1167"/>
      <c r="I1167"/>
      <c r="J1167"/>
      <c r="K1167"/>
      <c r="L1167"/>
      <c r="M1167"/>
      <c r="N1167"/>
      <c r="O1167"/>
      <c r="P1167"/>
      <c r="Q1167"/>
      <c r="R1167"/>
      <c r="S1167"/>
      <c r="T1167"/>
    </row>
    <row r="1168" spans="1:20" x14ac:dyDescent="0.3">
      <c r="A1168"/>
      <c r="B1168"/>
      <c r="C1168"/>
      <c r="D1168"/>
      <c r="E1168"/>
      <c r="F1168"/>
      <c r="G1168"/>
      <c r="H1168"/>
      <c r="I1168"/>
      <c r="J1168"/>
      <c r="K1168"/>
      <c r="L1168"/>
      <c r="M1168"/>
      <c r="N1168"/>
      <c r="O1168"/>
      <c r="P1168"/>
      <c r="Q1168"/>
      <c r="R1168"/>
      <c r="S1168"/>
      <c r="T1168"/>
    </row>
    <row r="1169" spans="1:20" x14ac:dyDescent="0.3">
      <c r="A1169"/>
      <c r="B1169"/>
      <c r="C1169"/>
      <c r="D1169"/>
      <c r="E1169"/>
      <c r="F1169"/>
      <c r="G1169"/>
      <c r="H1169"/>
      <c r="I1169"/>
      <c r="J1169"/>
      <c r="K1169"/>
      <c r="L1169"/>
      <c r="M1169"/>
      <c r="N1169"/>
      <c r="O1169"/>
      <c r="P1169"/>
      <c r="Q1169"/>
      <c r="R1169"/>
      <c r="S1169"/>
      <c r="T1169"/>
    </row>
    <row r="1170" spans="1:20" x14ac:dyDescent="0.3">
      <c r="A1170"/>
      <c r="B1170"/>
      <c r="C1170"/>
      <c r="D1170"/>
      <c r="E1170"/>
      <c r="F1170"/>
      <c r="G1170"/>
      <c r="H1170"/>
      <c r="I1170"/>
      <c r="J1170"/>
      <c r="K1170"/>
      <c r="L1170"/>
      <c r="M1170"/>
      <c r="N1170"/>
      <c r="O1170"/>
      <c r="P1170"/>
      <c r="Q1170"/>
      <c r="R1170"/>
      <c r="S1170"/>
      <c r="T1170"/>
    </row>
    <row r="1171" spans="1:20" x14ac:dyDescent="0.3">
      <c r="A1171"/>
      <c r="B1171"/>
      <c r="C1171"/>
      <c r="D1171"/>
      <c r="E1171"/>
      <c r="F1171"/>
      <c r="G1171"/>
      <c r="H1171"/>
      <c r="I1171"/>
      <c r="J1171"/>
      <c r="K1171"/>
      <c r="L1171"/>
      <c r="M1171"/>
      <c r="N1171"/>
      <c r="O1171"/>
      <c r="P1171"/>
      <c r="Q1171"/>
      <c r="R1171"/>
      <c r="S1171"/>
      <c r="T1171"/>
    </row>
    <row r="1172" spans="1:20" x14ac:dyDescent="0.3">
      <c r="A1172"/>
      <c r="B1172"/>
      <c r="C1172"/>
      <c r="D1172"/>
      <c r="E1172"/>
      <c r="F1172"/>
      <c r="G1172"/>
      <c r="H1172"/>
      <c r="I1172"/>
      <c r="J1172"/>
      <c r="K1172"/>
      <c r="L1172"/>
      <c r="M1172"/>
      <c r="N1172"/>
      <c r="O1172"/>
      <c r="P1172"/>
      <c r="Q1172"/>
      <c r="R1172"/>
      <c r="S1172"/>
      <c r="T1172"/>
    </row>
    <row r="1173" spans="1:20" x14ac:dyDescent="0.3">
      <c r="A1173"/>
      <c r="B1173"/>
      <c r="C1173"/>
      <c r="D1173"/>
      <c r="E1173"/>
      <c r="F1173"/>
      <c r="G1173"/>
      <c r="H1173"/>
      <c r="I1173"/>
      <c r="J1173"/>
      <c r="K1173"/>
      <c r="L1173"/>
      <c r="M1173"/>
      <c r="N1173"/>
      <c r="O1173"/>
      <c r="P1173"/>
      <c r="Q1173"/>
      <c r="R1173"/>
      <c r="S1173"/>
      <c r="T1173"/>
    </row>
    <row r="1174" spans="1:20" x14ac:dyDescent="0.3">
      <c r="A1174"/>
      <c r="B1174"/>
      <c r="C1174"/>
      <c r="D1174"/>
      <c r="E1174"/>
      <c r="F1174"/>
      <c r="G1174"/>
      <c r="H1174"/>
      <c r="I1174"/>
      <c r="J1174"/>
      <c r="K1174"/>
      <c r="L1174"/>
      <c r="M1174"/>
      <c r="N1174"/>
      <c r="O1174"/>
      <c r="P1174"/>
      <c r="Q1174"/>
      <c r="R1174"/>
      <c r="S1174"/>
      <c r="T1174"/>
    </row>
    <row r="1175" spans="1:20" x14ac:dyDescent="0.3">
      <c r="A1175"/>
      <c r="B1175"/>
      <c r="C1175"/>
      <c r="D1175"/>
      <c r="E1175"/>
      <c r="F1175"/>
      <c r="G1175"/>
      <c r="H1175"/>
      <c r="I1175"/>
      <c r="J1175"/>
      <c r="K1175"/>
      <c r="L1175"/>
      <c r="M1175"/>
      <c r="N1175"/>
      <c r="O1175"/>
      <c r="P1175"/>
      <c r="Q1175"/>
      <c r="R1175"/>
      <c r="S1175"/>
      <c r="T1175"/>
    </row>
    <row r="1176" spans="1:20" x14ac:dyDescent="0.3">
      <c r="A1176"/>
      <c r="B1176"/>
      <c r="C1176"/>
      <c r="D1176"/>
      <c r="E1176"/>
      <c r="F1176"/>
      <c r="G1176"/>
      <c r="H1176"/>
      <c r="I1176"/>
      <c r="J1176"/>
      <c r="K1176"/>
      <c r="L1176"/>
      <c r="M1176"/>
      <c r="N1176"/>
      <c r="O1176"/>
      <c r="P1176"/>
      <c r="Q1176"/>
      <c r="R1176"/>
      <c r="S1176"/>
      <c r="T1176"/>
    </row>
    <row r="1177" spans="1:20" x14ac:dyDescent="0.3">
      <c r="A1177"/>
      <c r="B1177"/>
      <c r="C1177"/>
      <c r="D1177"/>
      <c r="E1177"/>
      <c r="F1177"/>
      <c r="G1177"/>
      <c r="H1177"/>
      <c r="I1177"/>
      <c r="J1177"/>
      <c r="K1177"/>
      <c r="L1177"/>
      <c r="M1177"/>
      <c r="N1177"/>
      <c r="O1177"/>
      <c r="P1177"/>
      <c r="Q1177"/>
      <c r="R1177"/>
      <c r="S1177"/>
      <c r="T1177"/>
    </row>
    <row r="1178" spans="1:20" x14ac:dyDescent="0.3">
      <c r="A1178"/>
      <c r="B1178"/>
      <c r="C1178"/>
      <c r="D1178"/>
      <c r="E1178"/>
      <c r="F1178"/>
      <c r="G1178"/>
      <c r="H1178"/>
      <c r="I1178"/>
      <c r="J1178"/>
      <c r="K1178"/>
      <c r="L1178"/>
      <c r="M1178"/>
      <c r="N1178"/>
      <c r="O1178"/>
      <c r="P1178"/>
      <c r="Q1178"/>
      <c r="R1178"/>
      <c r="S1178"/>
      <c r="T1178"/>
    </row>
    <row r="1179" spans="1:20" x14ac:dyDescent="0.3">
      <c r="A1179"/>
      <c r="B1179"/>
      <c r="C1179"/>
      <c r="D1179"/>
      <c r="E1179"/>
      <c r="F1179"/>
      <c r="G1179"/>
      <c r="H1179"/>
      <c r="I1179"/>
      <c r="J1179"/>
      <c r="K1179"/>
      <c r="L1179"/>
      <c r="M1179"/>
      <c r="N1179"/>
      <c r="O1179"/>
      <c r="P1179"/>
      <c r="Q1179"/>
      <c r="R1179"/>
      <c r="S1179"/>
      <c r="T1179"/>
    </row>
    <row r="1180" spans="1:20" x14ac:dyDescent="0.3">
      <c r="A1180"/>
      <c r="B1180"/>
      <c r="C1180"/>
      <c r="D1180"/>
      <c r="E1180"/>
      <c r="F1180"/>
      <c r="G1180"/>
      <c r="H1180"/>
      <c r="I1180"/>
      <c r="J1180"/>
      <c r="K1180"/>
      <c r="L1180"/>
      <c r="M1180"/>
      <c r="N1180"/>
      <c r="O1180"/>
      <c r="P1180"/>
      <c r="Q1180"/>
      <c r="R1180"/>
      <c r="S1180"/>
      <c r="T1180"/>
    </row>
    <row r="1181" spans="1:20" x14ac:dyDescent="0.3">
      <c r="A1181"/>
      <c r="B1181"/>
      <c r="C1181"/>
      <c r="D1181"/>
      <c r="E1181"/>
      <c r="F1181"/>
      <c r="G1181"/>
      <c r="H1181"/>
      <c r="I1181"/>
      <c r="J1181"/>
      <c r="K1181"/>
      <c r="L1181"/>
      <c r="M1181"/>
      <c r="N1181"/>
      <c r="O1181"/>
      <c r="P1181"/>
      <c r="Q1181"/>
      <c r="R1181"/>
      <c r="S1181"/>
      <c r="T1181"/>
    </row>
    <row r="1182" spans="1:20" x14ac:dyDescent="0.3">
      <c r="A1182"/>
      <c r="B1182"/>
      <c r="C1182"/>
      <c r="D1182"/>
      <c r="E1182"/>
      <c r="F1182"/>
      <c r="G1182"/>
      <c r="H1182"/>
      <c r="I1182"/>
      <c r="J1182"/>
      <c r="K1182"/>
      <c r="L1182"/>
      <c r="M1182"/>
      <c r="N1182"/>
      <c r="O1182"/>
      <c r="P1182"/>
      <c r="Q1182"/>
      <c r="R1182"/>
      <c r="S1182"/>
      <c r="T1182"/>
    </row>
    <row r="1183" spans="1:20" x14ac:dyDescent="0.3">
      <c r="A1183"/>
      <c r="B1183"/>
      <c r="C1183"/>
      <c r="D1183"/>
      <c r="E1183"/>
      <c r="F1183"/>
      <c r="G1183"/>
      <c r="H1183"/>
      <c r="I1183"/>
      <c r="J1183"/>
      <c r="K1183"/>
      <c r="L1183"/>
      <c r="M1183"/>
      <c r="N1183"/>
      <c r="O1183"/>
      <c r="P1183"/>
      <c r="Q1183"/>
      <c r="R1183"/>
      <c r="S1183"/>
      <c r="T1183"/>
    </row>
    <row r="1184" spans="1:20" x14ac:dyDescent="0.3">
      <c r="A1184"/>
      <c r="B1184"/>
      <c r="C1184"/>
      <c r="D1184"/>
      <c r="E1184"/>
      <c r="F1184"/>
      <c r="G1184"/>
      <c r="H1184"/>
      <c r="I1184"/>
      <c r="J1184"/>
      <c r="K1184"/>
      <c r="L1184"/>
      <c r="M1184"/>
      <c r="N1184"/>
      <c r="O1184"/>
      <c r="P1184"/>
      <c r="Q1184"/>
      <c r="R1184"/>
      <c r="S1184"/>
      <c r="T1184"/>
    </row>
    <row r="1185" spans="1:20" x14ac:dyDescent="0.3">
      <c r="A1185"/>
      <c r="B1185"/>
      <c r="C1185"/>
      <c r="D1185"/>
      <c r="E1185"/>
      <c r="F1185"/>
      <c r="G1185"/>
      <c r="H1185"/>
      <c r="I1185"/>
      <c r="J1185"/>
      <c r="K1185"/>
      <c r="L1185"/>
      <c r="M1185"/>
      <c r="N1185"/>
      <c r="O1185"/>
      <c r="P1185"/>
      <c r="Q1185"/>
      <c r="R1185"/>
      <c r="S1185"/>
      <c r="T1185"/>
    </row>
    <row r="1186" spans="1:20" x14ac:dyDescent="0.3">
      <c r="A1186"/>
      <c r="B1186"/>
      <c r="C1186"/>
      <c r="D1186"/>
      <c r="E1186"/>
      <c r="F1186"/>
      <c r="G1186"/>
      <c r="H1186"/>
      <c r="I1186"/>
      <c r="J1186"/>
      <c r="K1186"/>
      <c r="L1186"/>
      <c r="M1186"/>
      <c r="N1186"/>
      <c r="O1186"/>
      <c r="P1186"/>
      <c r="Q1186"/>
      <c r="R1186"/>
      <c r="S1186"/>
      <c r="T1186"/>
    </row>
    <row r="1187" spans="1:20" x14ac:dyDescent="0.3">
      <c r="A1187"/>
      <c r="B1187"/>
      <c r="C1187"/>
      <c r="D1187"/>
      <c r="E1187"/>
      <c r="F1187"/>
      <c r="G1187"/>
      <c r="H1187"/>
      <c r="I1187"/>
      <c r="J1187"/>
      <c r="K1187"/>
      <c r="L1187"/>
      <c r="M1187"/>
      <c r="N1187"/>
      <c r="O1187"/>
      <c r="P1187"/>
      <c r="Q1187"/>
      <c r="R1187"/>
      <c r="S1187"/>
      <c r="T1187"/>
    </row>
    <row r="1188" spans="1:20" x14ac:dyDescent="0.3">
      <c r="A1188"/>
      <c r="B1188"/>
      <c r="C1188"/>
      <c r="D1188"/>
      <c r="E1188"/>
      <c r="F1188"/>
      <c r="G1188"/>
      <c r="H1188"/>
      <c r="I1188"/>
      <c r="J1188"/>
      <c r="K1188"/>
      <c r="L1188"/>
      <c r="M1188"/>
      <c r="N1188"/>
      <c r="O1188"/>
      <c r="P1188"/>
      <c r="Q1188"/>
      <c r="R1188"/>
      <c r="S1188"/>
      <c r="T1188"/>
    </row>
    <row r="1189" spans="1:20" x14ac:dyDescent="0.3">
      <c r="A1189"/>
      <c r="B1189"/>
      <c r="C1189"/>
      <c r="D1189"/>
      <c r="E1189"/>
      <c r="F1189"/>
      <c r="G1189"/>
      <c r="H1189"/>
      <c r="I1189"/>
      <c r="J1189"/>
      <c r="K1189"/>
      <c r="L1189"/>
      <c r="M1189"/>
      <c r="N1189"/>
      <c r="O1189"/>
      <c r="P1189"/>
      <c r="Q1189"/>
      <c r="R1189"/>
      <c r="S1189"/>
      <c r="T1189"/>
    </row>
    <row r="1190" spans="1:20" x14ac:dyDescent="0.3">
      <c r="A1190"/>
      <c r="B1190"/>
      <c r="C1190"/>
      <c r="D1190"/>
      <c r="E1190"/>
      <c r="F1190"/>
      <c r="G1190"/>
      <c r="H1190"/>
      <c r="I1190"/>
      <c r="J1190"/>
      <c r="K1190"/>
      <c r="L1190"/>
      <c r="M1190"/>
      <c r="N1190"/>
      <c r="O1190"/>
      <c r="P1190"/>
      <c r="Q1190"/>
      <c r="R1190"/>
      <c r="S1190"/>
      <c r="T1190"/>
    </row>
    <row r="1191" spans="1:20" x14ac:dyDescent="0.3">
      <c r="A1191"/>
      <c r="B1191"/>
      <c r="C1191"/>
      <c r="D1191"/>
      <c r="E1191"/>
      <c r="F1191"/>
      <c r="G1191"/>
      <c r="H1191"/>
      <c r="I1191"/>
      <c r="J1191"/>
      <c r="K1191"/>
      <c r="L1191"/>
      <c r="M1191"/>
      <c r="N1191"/>
      <c r="O1191"/>
      <c r="P1191"/>
      <c r="Q1191"/>
      <c r="R1191"/>
      <c r="S1191"/>
      <c r="T1191"/>
    </row>
    <row r="1192" spans="1:20" x14ac:dyDescent="0.3">
      <c r="A1192"/>
      <c r="B1192"/>
      <c r="C1192"/>
      <c r="D1192"/>
      <c r="E1192"/>
      <c r="F1192"/>
      <c r="G1192"/>
      <c r="H1192"/>
      <c r="I1192"/>
      <c r="J1192"/>
      <c r="K1192"/>
      <c r="L1192"/>
      <c r="M1192"/>
      <c r="N1192"/>
      <c r="O1192"/>
      <c r="P1192"/>
      <c r="Q1192"/>
      <c r="R1192"/>
      <c r="S1192"/>
      <c r="T1192"/>
    </row>
    <row r="1193" spans="1:20" x14ac:dyDescent="0.3">
      <c r="A1193"/>
      <c r="B1193"/>
      <c r="C1193"/>
      <c r="D1193"/>
      <c r="E1193"/>
      <c r="F1193"/>
      <c r="G1193"/>
      <c r="H1193"/>
      <c r="I1193"/>
      <c r="J1193"/>
      <c r="K1193"/>
      <c r="L1193"/>
      <c r="M1193"/>
      <c r="N1193"/>
      <c r="O1193"/>
      <c r="P1193"/>
      <c r="Q1193"/>
      <c r="R1193"/>
      <c r="S1193"/>
      <c r="T1193"/>
    </row>
    <row r="1194" spans="1:20" x14ac:dyDescent="0.3">
      <c r="A1194"/>
      <c r="B1194"/>
      <c r="C1194"/>
      <c r="D1194"/>
      <c r="E1194"/>
      <c r="F1194"/>
      <c r="G1194"/>
      <c r="H1194"/>
      <c r="I1194"/>
      <c r="J1194"/>
      <c r="K1194"/>
      <c r="L1194"/>
      <c r="M1194"/>
      <c r="N1194"/>
      <c r="O1194"/>
      <c r="P1194"/>
      <c r="Q1194"/>
      <c r="R1194"/>
      <c r="S1194"/>
      <c r="T1194"/>
    </row>
    <row r="1195" spans="1:20" x14ac:dyDescent="0.3">
      <c r="A1195"/>
      <c r="B1195"/>
      <c r="C1195"/>
      <c r="D1195"/>
      <c r="E1195"/>
      <c r="F1195"/>
      <c r="G1195"/>
      <c r="H1195"/>
      <c r="I1195"/>
      <c r="J1195"/>
      <c r="K1195"/>
      <c r="L1195"/>
      <c r="M1195"/>
      <c r="N1195"/>
      <c r="O1195"/>
      <c r="P1195"/>
      <c r="Q1195"/>
      <c r="R1195"/>
      <c r="S1195"/>
      <c r="T1195"/>
    </row>
    <row r="1196" spans="1:20" x14ac:dyDescent="0.3">
      <c r="A1196"/>
      <c r="B1196"/>
      <c r="C1196"/>
      <c r="D1196"/>
      <c r="E1196"/>
      <c r="F1196"/>
      <c r="G1196"/>
      <c r="H1196"/>
      <c r="I1196"/>
      <c r="J1196"/>
      <c r="K1196"/>
      <c r="L1196"/>
      <c r="M1196"/>
      <c r="N1196"/>
      <c r="O1196"/>
      <c r="P1196"/>
      <c r="Q1196"/>
      <c r="R1196"/>
      <c r="S1196"/>
      <c r="T1196"/>
    </row>
    <row r="1197" spans="1:20" x14ac:dyDescent="0.3">
      <c r="A1197"/>
      <c r="B1197"/>
      <c r="C1197"/>
      <c r="D1197"/>
      <c r="E1197"/>
      <c r="F1197"/>
      <c r="G1197"/>
      <c r="H1197"/>
      <c r="I1197"/>
      <c r="J1197"/>
      <c r="K1197"/>
      <c r="L1197"/>
      <c r="M1197"/>
      <c r="N1197"/>
      <c r="O1197"/>
      <c r="P1197"/>
      <c r="Q1197"/>
      <c r="R1197"/>
      <c r="S1197"/>
      <c r="T1197"/>
    </row>
    <row r="1198" spans="1:20" x14ac:dyDescent="0.3">
      <c r="A1198"/>
      <c r="B1198"/>
      <c r="C1198"/>
      <c r="D1198"/>
      <c r="E1198"/>
      <c r="F1198"/>
      <c r="G1198"/>
      <c r="H1198"/>
      <c r="I1198"/>
      <c r="J1198"/>
      <c r="K1198"/>
      <c r="L1198"/>
      <c r="M1198"/>
      <c r="N1198"/>
      <c r="O1198"/>
      <c r="P1198"/>
      <c r="Q1198"/>
      <c r="R1198"/>
      <c r="S1198"/>
      <c r="T1198"/>
    </row>
    <row r="1199" spans="1:20" x14ac:dyDescent="0.3">
      <c r="A1199"/>
      <c r="B1199"/>
      <c r="C1199"/>
      <c r="D1199"/>
      <c r="E1199"/>
      <c r="F1199"/>
      <c r="G1199"/>
      <c r="H1199"/>
      <c r="I1199"/>
      <c r="J1199"/>
      <c r="K1199"/>
      <c r="L1199"/>
      <c r="M1199"/>
      <c r="N1199"/>
      <c r="O1199"/>
      <c r="P1199"/>
      <c r="Q1199"/>
      <c r="R1199"/>
      <c r="S1199"/>
      <c r="T1199"/>
    </row>
    <row r="1200" spans="1:20" x14ac:dyDescent="0.3">
      <c r="A1200"/>
      <c r="B1200"/>
      <c r="C1200"/>
      <c r="D1200"/>
      <c r="E1200"/>
      <c r="F1200"/>
      <c r="G1200"/>
      <c r="H1200"/>
      <c r="I1200"/>
      <c r="J1200"/>
      <c r="K1200"/>
      <c r="L1200"/>
      <c r="M1200"/>
      <c r="N1200"/>
      <c r="O1200"/>
      <c r="P1200"/>
      <c r="Q1200"/>
      <c r="R1200"/>
      <c r="S1200"/>
      <c r="T1200"/>
    </row>
    <row r="1201" spans="1:20" x14ac:dyDescent="0.3">
      <c r="A1201"/>
      <c r="B1201"/>
      <c r="C1201"/>
      <c r="D1201"/>
      <c r="E1201"/>
      <c r="F1201"/>
      <c r="G1201"/>
      <c r="H1201"/>
      <c r="I1201"/>
      <c r="J1201"/>
      <c r="K1201"/>
      <c r="L1201"/>
      <c r="M1201"/>
      <c r="N1201"/>
      <c r="O1201"/>
      <c r="P1201"/>
      <c r="Q1201"/>
      <c r="R1201"/>
      <c r="S1201"/>
      <c r="T1201"/>
    </row>
    <row r="1202" spans="1:20" x14ac:dyDescent="0.3">
      <c r="A1202"/>
      <c r="B1202"/>
      <c r="C1202"/>
      <c r="D1202"/>
      <c r="E1202"/>
      <c r="F1202"/>
      <c r="G1202"/>
      <c r="H1202"/>
      <c r="I1202"/>
      <c r="J1202"/>
      <c r="K1202"/>
      <c r="L1202"/>
      <c r="M1202"/>
      <c r="N1202"/>
      <c r="O1202"/>
      <c r="P1202"/>
      <c r="Q1202"/>
      <c r="R1202"/>
      <c r="S1202"/>
      <c r="T1202"/>
    </row>
    <row r="1203" spans="1:20" x14ac:dyDescent="0.3">
      <c r="A1203"/>
      <c r="B1203"/>
      <c r="C1203"/>
      <c r="D1203"/>
      <c r="E1203"/>
      <c r="F1203"/>
      <c r="G1203"/>
      <c r="H1203"/>
      <c r="I1203"/>
      <c r="J1203"/>
      <c r="K1203"/>
      <c r="L1203"/>
      <c r="M1203"/>
      <c r="N1203"/>
      <c r="O1203"/>
      <c r="P1203"/>
      <c r="Q1203"/>
      <c r="R1203"/>
      <c r="S1203"/>
      <c r="T1203"/>
    </row>
    <row r="1204" spans="1:20" x14ac:dyDescent="0.3">
      <c r="A1204"/>
      <c r="B1204"/>
      <c r="C1204"/>
      <c r="D1204"/>
      <c r="E1204"/>
      <c r="F1204"/>
      <c r="G1204"/>
      <c r="H1204"/>
      <c r="I1204"/>
      <c r="J1204"/>
      <c r="K1204"/>
      <c r="L1204"/>
      <c r="M1204"/>
      <c r="N1204"/>
      <c r="O1204"/>
      <c r="P1204"/>
      <c r="Q1204"/>
      <c r="R1204"/>
      <c r="S1204"/>
      <c r="T1204"/>
    </row>
    <row r="1205" spans="1:20" x14ac:dyDescent="0.3">
      <c r="A1205"/>
      <c r="B1205"/>
      <c r="C1205"/>
      <c r="D1205"/>
      <c r="E1205"/>
      <c r="F1205"/>
      <c r="G1205"/>
      <c r="H1205"/>
      <c r="I1205"/>
      <c r="J1205"/>
      <c r="K1205"/>
      <c r="L1205"/>
      <c r="M1205"/>
      <c r="N1205"/>
      <c r="O1205"/>
      <c r="P1205"/>
      <c r="Q1205"/>
      <c r="R1205"/>
      <c r="S1205"/>
      <c r="T1205"/>
    </row>
    <row r="1206" spans="1:20" x14ac:dyDescent="0.3">
      <c r="A1206"/>
      <c r="B1206"/>
      <c r="C1206"/>
      <c r="D1206"/>
      <c r="E1206"/>
      <c r="F1206"/>
      <c r="G1206"/>
      <c r="H1206"/>
      <c r="I1206"/>
      <c r="J1206"/>
      <c r="K1206"/>
      <c r="L1206"/>
      <c r="M1206"/>
      <c r="N1206"/>
      <c r="O1206"/>
      <c r="P1206"/>
      <c r="Q1206"/>
      <c r="R1206"/>
      <c r="S1206"/>
      <c r="T1206"/>
    </row>
    <row r="1207" spans="1:20" x14ac:dyDescent="0.3">
      <c r="A1207"/>
      <c r="B1207"/>
      <c r="C1207"/>
      <c r="D1207"/>
      <c r="E1207"/>
      <c r="F1207"/>
      <c r="G1207"/>
      <c r="H1207"/>
      <c r="I1207"/>
      <c r="J1207"/>
      <c r="K1207"/>
      <c r="L1207"/>
      <c r="M1207"/>
      <c r="N1207"/>
      <c r="O1207"/>
      <c r="P1207"/>
      <c r="Q1207"/>
      <c r="R1207"/>
      <c r="S1207"/>
      <c r="T1207"/>
    </row>
    <row r="1208" spans="1:20" x14ac:dyDescent="0.3">
      <c r="A1208"/>
      <c r="B1208"/>
      <c r="C1208"/>
      <c r="D1208"/>
      <c r="E1208"/>
      <c r="F1208"/>
      <c r="G1208"/>
      <c r="H1208"/>
      <c r="I1208"/>
      <c r="J1208"/>
      <c r="K1208"/>
      <c r="L1208"/>
      <c r="M1208"/>
      <c r="N1208"/>
      <c r="O1208"/>
      <c r="P1208"/>
      <c r="Q1208"/>
      <c r="R1208"/>
      <c r="S1208"/>
      <c r="T1208"/>
    </row>
    <row r="1209" spans="1:20" x14ac:dyDescent="0.3">
      <c r="A1209"/>
      <c r="B1209"/>
      <c r="C1209"/>
      <c r="D1209"/>
      <c r="E1209"/>
      <c r="F1209"/>
      <c r="G1209"/>
      <c r="H1209"/>
      <c r="I1209"/>
      <c r="J1209"/>
      <c r="K1209"/>
      <c r="L1209"/>
      <c r="M1209"/>
      <c r="N1209"/>
      <c r="O1209"/>
      <c r="P1209"/>
      <c r="Q1209"/>
      <c r="R1209"/>
      <c r="S1209"/>
      <c r="T1209"/>
    </row>
    <row r="1210" spans="1:20" x14ac:dyDescent="0.3">
      <c r="A1210"/>
      <c r="B1210"/>
      <c r="C1210"/>
      <c r="D1210"/>
      <c r="E1210"/>
      <c r="F1210"/>
      <c r="G1210"/>
      <c r="H1210"/>
      <c r="I1210"/>
      <c r="J1210"/>
      <c r="K1210"/>
      <c r="L1210"/>
      <c r="M1210"/>
      <c r="N1210"/>
      <c r="O1210"/>
      <c r="P1210"/>
      <c r="Q1210"/>
      <c r="R1210"/>
      <c r="S1210"/>
      <c r="T1210"/>
    </row>
    <row r="1211" spans="1:20" x14ac:dyDescent="0.3">
      <c r="A1211"/>
      <c r="B1211"/>
      <c r="C1211"/>
      <c r="D1211"/>
      <c r="E1211"/>
      <c r="F1211"/>
      <c r="G1211"/>
      <c r="H1211"/>
      <c r="I1211"/>
      <c r="J1211"/>
      <c r="K1211"/>
      <c r="L1211"/>
      <c r="M1211"/>
      <c r="N1211"/>
      <c r="O1211"/>
      <c r="P1211"/>
      <c r="Q1211"/>
      <c r="R1211"/>
      <c r="S1211"/>
      <c r="T1211"/>
    </row>
    <row r="1212" spans="1:20" x14ac:dyDescent="0.3">
      <c r="A1212"/>
      <c r="B1212"/>
      <c r="C1212"/>
      <c r="D1212"/>
      <c r="E1212"/>
      <c r="F1212"/>
      <c r="G1212"/>
      <c r="H1212"/>
      <c r="I1212"/>
      <c r="J1212"/>
      <c r="K1212"/>
      <c r="L1212"/>
      <c r="M1212"/>
      <c r="N1212"/>
      <c r="O1212"/>
      <c r="P1212"/>
      <c r="Q1212"/>
      <c r="R1212"/>
      <c r="S1212"/>
      <c r="T1212"/>
    </row>
    <row r="1213" spans="1:20" x14ac:dyDescent="0.3">
      <c r="A1213"/>
      <c r="B1213"/>
      <c r="C1213"/>
      <c r="D1213"/>
      <c r="E1213"/>
      <c r="F1213"/>
      <c r="G1213"/>
      <c r="H1213"/>
      <c r="I1213"/>
      <c r="J1213"/>
      <c r="K1213"/>
      <c r="L1213"/>
      <c r="M1213"/>
      <c r="N1213"/>
      <c r="O1213"/>
      <c r="P1213"/>
      <c r="Q1213"/>
      <c r="R1213"/>
      <c r="S1213"/>
      <c r="T1213"/>
    </row>
    <row r="1214" spans="1:20" x14ac:dyDescent="0.3">
      <c r="A1214"/>
      <c r="B1214"/>
      <c r="C1214"/>
      <c r="D1214"/>
      <c r="E1214"/>
      <c r="F1214"/>
      <c r="G1214"/>
      <c r="H1214"/>
      <c r="I1214"/>
      <c r="J1214"/>
      <c r="K1214"/>
      <c r="L1214"/>
      <c r="M1214"/>
      <c r="N1214"/>
      <c r="O1214"/>
      <c r="P1214"/>
      <c r="Q1214"/>
      <c r="R1214"/>
      <c r="S1214"/>
      <c r="T1214"/>
    </row>
    <row r="1215" spans="1:20" x14ac:dyDescent="0.3">
      <c r="A1215"/>
      <c r="B1215"/>
      <c r="C1215"/>
      <c r="D1215"/>
      <c r="E1215"/>
      <c r="F1215"/>
      <c r="G1215"/>
      <c r="H1215"/>
      <c r="I1215"/>
      <c r="J1215"/>
      <c r="K1215"/>
      <c r="L1215"/>
      <c r="M1215"/>
      <c r="N1215"/>
      <c r="O1215"/>
      <c r="P1215"/>
      <c r="Q1215"/>
      <c r="R1215"/>
      <c r="S1215"/>
      <c r="T1215"/>
    </row>
    <row r="1216" spans="1:20" x14ac:dyDescent="0.3">
      <c r="A1216"/>
      <c r="B1216"/>
      <c r="C1216"/>
      <c r="D1216"/>
      <c r="E1216"/>
      <c r="F1216"/>
      <c r="G1216"/>
      <c r="H1216"/>
      <c r="I1216"/>
      <c r="J1216"/>
      <c r="K1216"/>
      <c r="L1216"/>
      <c r="M1216"/>
      <c r="N1216"/>
      <c r="O1216"/>
      <c r="P1216"/>
      <c r="Q1216"/>
      <c r="R1216"/>
      <c r="S1216"/>
      <c r="T1216"/>
    </row>
    <row r="1217" spans="1:20" x14ac:dyDescent="0.3">
      <c r="A1217"/>
      <c r="B1217"/>
      <c r="C1217"/>
      <c r="D1217"/>
      <c r="E1217"/>
      <c r="F1217"/>
      <c r="G1217"/>
      <c r="H1217"/>
      <c r="I1217"/>
      <c r="J1217"/>
      <c r="K1217"/>
      <c r="L1217"/>
      <c r="M1217"/>
      <c r="N1217"/>
      <c r="O1217"/>
      <c r="P1217"/>
      <c r="Q1217"/>
      <c r="R1217"/>
      <c r="S1217"/>
      <c r="T1217"/>
    </row>
    <row r="1218" spans="1:20" x14ac:dyDescent="0.3">
      <c r="A1218"/>
      <c r="B1218"/>
      <c r="C1218"/>
      <c r="D1218"/>
      <c r="E1218"/>
      <c r="F1218"/>
      <c r="G1218"/>
      <c r="H1218"/>
      <c r="I1218"/>
      <c r="J1218"/>
      <c r="K1218"/>
      <c r="L1218"/>
      <c r="M1218"/>
      <c r="N1218"/>
      <c r="O1218"/>
      <c r="P1218"/>
      <c r="Q1218"/>
      <c r="R1218"/>
      <c r="S1218"/>
      <c r="T1218"/>
    </row>
    <row r="1219" spans="1:20" x14ac:dyDescent="0.3">
      <c r="A1219"/>
      <c r="B1219"/>
      <c r="C1219"/>
      <c r="D1219"/>
      <c r="E1219"/>
      <c r="F1219"/>
      <c r="G1219"/>
      <c r="H1219"/>
      <c r="I1219"/>
      <c r="J1219"/>
      <c r="K1219"/>
      <c r="L1219"/>
      <c r="M1219"/>
      <c r="N1219"/>
      <c r="O1219"/>
      <c r="P1219"/>
      <c r="Q1219"/>
      <c r="R1219"/>
      <c r="S1219"/>
      <c r="T1219"/>
    </row>
    <row r="1220" spans="1:20" x14ac:dyDescent="0.3">
      <c r="A1220"/>
      <c r="B1220"/>
      <c r="C1220"/>
      <c r="D1220"/>
      <c r="E1220"/>
      <c r="F1220"/>
      <c r="G1220"/>
      <c r="H1220"/>
      <c r="I1220"/>
      <c r="J1220"/>
      <c r="K1220"/>
      <c r="L1220"/>
      <c r="M1220"/>
      <c r="N1220"/>
      <c r="O1220"/>
      <c r="P1220"/>
      <c r="Q1220"/>
      <c r="R1220"/>
      <c r="S1220"/>
      <c r="T1220"/>
    </row>
    <row r="1221" spans="1:20" x14ac:dyDescent="0.3">
      <c r="A1221"/>
      <c r="B1221"/>
      <c r="C1221"/>
      <c r="D1221"/>
      <c r="E1221"/>
      <c r="F1221"/>
      <c r="G1221"/>
      <c r="H1221"/>
      <c r="I1221"/>
      <c r="J1221"/>
      <c r="K1221"/>
      <c r="L1221"/>
      <c r="M1221"/>
      <c r="N1221"/>
      <c r="O1221"/>
      <c r="P1221"/>
      <c r="Q1221"/>
      <c r="R1221"/>
      <c r="S1221"/>
      <c r="T1221"/>
    </row>
    <row r="1222" spans="1:20" x14ac:dyDescent="0.3">
      <c r="A1222"/>
      <c r="B1222"/>
      <c r="C1222"/>
      <c r="D1222"/>
      <c r="E1222"/>
      <c r="F1222"/>
      <c r="G1222"/>
      <c r="H1222"/>
      <c r="I1222"/>
      <c r="J1222"/>
      <c r="K1222"/>
      <c r="L1222"/>
      <c r="M1222"/>
      <c r="N1222"/>
      <c r="O1222"/>
      <c r="P1222"/>
      <c r="Q1222"/>
      <c r="R1222"/>
      <c r="S1222"/>
      <c r="T1222"/>
    </row>
    <row r="1223" spans="1:20" x14ac:dyDescent="0.3">
      <c r="A1223"/>
      <c r="B1223"/>
      <c r="C1223"/>
      <c r="D1223"/>
      <c r="E1223"/>
      <c r="F1223"/>
      <c r="G1223"/>
      <c r="H1223"/>
      <c r="I1223"/>
      <c r="J1223"/>
      <c r="K1223"/>
      <c r="L1223"/>
      <c r="M1223"/>
      <c r="N1223"/>
      <c r="O1223"/>
      <c r="P1223"/>
      <c r="Q1223"/>
      <c r="R1223"/>
      <c r="S1223"/>
      <c r="T1223"/>
    </row>
    <row r="1224" spans="1:20" x14ac:dyDescent="0.3">
      <c r="A1224"/>
      <c r="B1224"/>
      <c r="C1224"/>
      <c r="D1224"/>
      <c r="E1224"/>
      <c r="F1224"/>
      <c r="G1224"/>
      <c r="H1224"/>
      <c r="I1224"/>
      <c r="J1224"/>
      <c r="K1224"/>
      <c r="L1224"/>
      <c r="M1224"/>
      <c r="N1224"/>
      <c r="O1224"/>
      <c r="P1224"/>
      <c r="Q1224"/>
      <c r="R1224"/>
      <c r="S1224"/>
      <c r="T1224"/>
    </row>
    <row r="1225" spans="1:20" x14ac:dyDescent="0.3">
      <c r="A1225"/>
      <c r="B1225"/>
      <c r="C1225"/>
      <c r="D1225"/>
      <c r="E1225"/>
      <c r="F1225"/>
      <c r="G1225"/>
      <c r="H1225"/>
      <c r="I1225"/>
      <c r="J1225"/>
      <c r="K1225"/>
      <c r="L1225"/>
      <c r="M1225"/>
      <c r="N1225"/>
      <c r="O1225"/>
      <c r="P1225"/>
      <c r="Q1225"/>
      <c r="R1225"/>
      <c r="S1225"/>
      <c r="T1225"/>
    </row>
    <row r="1226" spans="1:20" x14ac:dyDescent="0.3">
      <c r="A1226"/>
      <c r="B1226"/>
      <c r="C1226"/>
      <c r="D1226"/>
      <c r="E1226"/>
      <c r="F1226"/>
      <c r="G1226"/>
      <c r="H1226"/>
      <c r="I1226"/>
      <c r="J1226"/>
      <c r="K1226"/>
      <c r="L1226"/>
      <c r="M1226"/>
      <c r="N1226"/>
      <c r="O1226"/>
      <c r="P1226"/>
      <c r="Q1226"/>
      <c r="R1226"/>
      <c r="S1226"/>
      <c r="T1226"/>
    </row>
    <row r="1227" spans="1:20" x14ac:dyDescent="0.3">
      <c r="A1227"/>
      <c r="B1227"/>
      <c r="C1227"/>
      <c r="D1227"/>
      <c r="E1227"/>
      <c r="F1227"/>
      <c r="G1227"/>
      <c r="H1227"/>
      <c r="I1227"/>
      <c r="J1227"/>
      <c r="K1227"/>
      <c r="L1227"/>
      <c r="M1227"/>
      <c r="N1227"/>
      <c r="O1227"/>
      <c r="P1227"/>
      <c r="Q1227"/>
      <c r="R1227"/>
      <c r="S1227"/>
      <c r="T1227"/>
    </row>
    <row r="1228" spans="1:20" x14ac:dyDescent="0.3">
      <c r="A1228"/>
      <c r="B1228"/>
      <c r="C1228"/>
      <c r="D1228"/>
      <c r="E1228"/>
      <c r="F1228"/>
      <c r="G1228"/>
      <c r="H1228"/>
      <c r="I1228"/>
      <c r="J1228"/>
      <c r="K1228"/>
      <c r="L1228"/>
      <c r="M1228"/>
      <c r="N1228"/>
      <c r="O1228"/>
      <c r="P1228"/>
      <c r="Q1228"/>
      <c r="R1228"/>
      <c r="S1228"/>
      <c r="T1228"/>
    </row>
    <row r="1229" spans="1:20" x14ac:dyDescent="0.3">
      <c r="A1229"/>
      <c r="B1229"/>
      <c r="C1229"/>
      <c r="D1229"/>
      <c r="E1229"/>
      <c r="F1229"/>
      <c r="G1229"/>
      <c r="H1229"/>
      <c r="I1229"/>
      <c r="J1229"/>
      <c r="K1229"/>
      <c r="L1229"/>
      <c r="M1229"/>
      <c r="N1229"/>
      <c r="O1229"/>
      <c r="P1229"/>
      <c r="Q1229"/>
      <c r="R1229"/>
      <c r="S1229"/>
      <c r="T1229"/>
    </row>
    <row r="1230" spans="1:20" x14ac:dyDescent="0.3">
      <c r="A1230"/>
      <c r="B1230"/>
      <c r="C1230"/>
      <c r="D1230"/>
      <c r="E1230"/>
      <c r="F1230"/>
      <c r="G1230"/>
      <c r="H1230"/>
      <c r="I1230"/>
      <c r="J1230"/>
      <c r="K1230"/>
      <c r="L1230"/>
      <c r="M1230"/>
      <c r="N1230"/>
      <c r="O1230"/>
      <c r="P1230"/>
      <c r="Q1230"/>
      <c r="R1230"/>
      <c r="S1230"/>
      <c r="T1230"/>
    </row>
    <row r="1231" spans="1:20" x14ac:dyDescent="0.3">
      <c r="A1231"/>
      <c r="B1231"/>
      <c r="C1231"/>
      <c r="D1231"/>
      <c r="E1231"/>
      <c r="F1231"/>
      <c r="G1231"/>
      <c r="H1231"/>
      <c r="I1231"/>
      <c r="J1231"/>
      <c r="K1231"/>
      <c r="L1231"/>
      <c r="M1231"/>
      <c r="N1231"/>
      <c r="O1231"/>
      <c r="P1231"/>
      <c r="Q1231"/>
      <c r="R1231"/>
      <c r="S1231"/>
      <c r="T1231"/>
    </row>
    <row r="1232" spans="1:20" x14ac:dyDescent="0.3">
      <c r="A1232"/>
      <c r="B1232"/>
      <c r="C1232"/>
      <c r="D1232"/>
      <c r="E1232"/>
      <c r="F1232"/>
      <c r="G1232"/>
      <c r="H1232"/>
      <c r="I1232"/>
      <c r="J1232"/>
      <c r="K1232"/>
      <c r="L1232"/>
      <c r="M1232"/>
      <c r="N1232"/>
      <c r="O1232"/>
      <c r="P1232"/>
      <c r="Q1232"/>
      <c r="R1232"/>
      <c r="S1232"/>
      <c r="T1232"/>
    </row>
    <row r="1233" spans="1:20" x14ac:dyDescent="0.3">
      <c r="A1233"/>
      <c r="B1233"/>
      <c r="C1233"/>
      <c r="D1233"/>
      <c r="E1233"/>
      <c r="F1233"/>
      <c r="G1233"/>
      <c r="H1233"/>
      <c r="I1233"/>
      <c r="J1233"/>
      <c r="K1233"/>
      <c r="L1233"/>
      <c r="M1233"/>
      <c r="N1233"/>
      <c r="O1233"/>
      <c r="P1233"/>
      <c r="Q1233"/>
      <c r="R1233"/>
      <c r="S1233"/>
      <c r="T1233"/>
    </row>
    <row r="1234" spans="1:20" x14ac:dyDescent="0.3">
      <c r="A1234"/>
      <c r="B1234"/>
      <c r="C1234"/>
      <c r="D1234"/>
      <c r="E1234"/>
      <c r="F1234"/>
      <c r="G1234"/>
      <c r="H1234"/>
      <c r="I1234"/>
      <c r="J1234"/>
      <c r="K1234"/>
      <c r="L1234"/>
      <c r="M1234"/>
      <c r="N1234"/>
      <c r="O1234"/>
      <c r="P1234"/>
      <c r="Q1234"/>
      <c r="R1234"/>
      <c r="S1234"/>
      <c r="T1234"/>
    </row>
    <row r="1235" spans="1:20" x14ac:dyDescent="0.3">
      <c r="A1235"/>
      <c r="B1235"/>
      <c r="C1235"/>
      <c r="D1235"/>
      <c r="E1235"/>
      <c r="F1235"/>
      <c r="G1235"/>
      <c r="H1235"/>
      <c r="I1235"/>
      <c r="J1235"/>
      <c r="K1235"/>
      <c r="L1235"/>
      <c r="M1235"/>
      <c r="N1235"/>
      <c r="O1235"/>
      <c r="P1235"/>
      <c r="Q1235"/>
      <c r="R1235"/>
      <c r="S1235"/>
      <c r="T1235"/>
    </row>
    <row r="1236" spans="1:20" x14ac:dyDescent="0.3">
      <c r="A1236"/>
      <c r="B1236"/>
      <c r="C1236"/>
      <c r="D1236"/>
      <c r="E1236"/>
      <c r="F1236"/>
      <c r="G1236"/>
      <c r="H1236"/>
      <c r="I1236"/>
      <c r="J1236"/>
      <c r="K1236"/>
      <c r="L1236"/>
      <c r="M1236"/>
      <c r="N1236"/>
      <c r="O1236"/>
      <c r="P1236"/>
      <c r="Q1236"/>
      <c r="R1236"/>
      <c r="S1236"/>
      <c r="T1236"/>
    </row>
    <row r="1237" spans="1:20" x14ac:dyDescent="0.3">
      <c r="A1237"/>
      <c r="B1237"/>
      <c r="C1237"/>
      <c r="D1237"/>
      <c r="E1237"/>
      <c r="F1237"/>
      <c r="G1237"/>
      <c r="H1237"/>
      <c r="I1237"/>
      <c r="J1237"/>
      <c r="K1237"/>
      <c r="L1237"/>
      <c r="M1237"/>
      <c r="N1237"/>
      <c r="O1237"/>
      <c r="P1237"/>
      <c r="Q1237"/>
      <c r="R1237"/>
      <c r="S1237"/>
      <c r="T1237"/>
    </row>
    <row r="1238" spans="1:20" x14ac:dyDescent="0.3">
      <c r="A1238"/>
      <c r="B1238"/>
      <c r="C1238"/>
      <c r="D1238"/>
      <c r="E1238"/>
      <c r="F1238"/>
      <c r="G1238"/>
      <c r="H1238"/>
      <c r="I1238"/>
      <c r="J1238"/>
      <c r="K1238"/>
      <c r="L1238"/>
      <c r="M1238"/>
      <c r="N1238"/>
      <c r="O1238"/>
      <c r="P1238"/>
      <c r="Q1238"/>
      <c r="R1238"/>
      <c r="S1238"/>
      <c r="T1238"/>
    </row>
    <row r="1239" spans="1:20" x14ac:dyDescent="0.3">
      <c r="A1239"/>
      <c r="B1239"/>
      <c r="C1239"/>
      <c r="D1239"/>
      <c r="E1239"/>
      <c r="F1239"/>
      <c r="G1239"/>
      <c r="H1239"/>
      <c r="I1239"/>
      <c r="J1239"/>
      <c r="K1239"/>
      <c r="L1239"/>
      <c r="M1239"/>
      <c r="N1239"/>
      <c r="O1239"/>
      <c r="P1239"/>
      <c r="Q1239"/>
      <c r="R1239"/>
      <c r="S1239"/>
      <c r="T1239"/>
    </row>
    <row r="1240" spans="1:20" x14ac:dyDescent="0.3">
      <c r="A1240"/>
      <c r="B1240"/>
      <c r="C1240"/>
      <c r="D1240"/>
      <c r="E1240"/>
      <c r="F1240"/>
      <c r="G1240"/>
      <c r="H1240"/>
      <c r="I1240"/>
      <c r="J1240"/>
      <c r="K1240"/>
      <c r="L1240"/>
      <c r="M1240"/>
      <c r="N1240"/>
      <c r="O1240"/>
      <c r="P1240"/>
      <c r="Q1240"/>
      <c r="R1240"/>
      <c r="S1240"/>
      <c r="T1240"/>
    </row>
    <row r="1241" spans="1:20" x14ac:dyDescent="0.3">
      <c r="A1241"/>
      <c r="B1241"/>
      <c r="C1241"/>
      <c r="D1241"/>
      <c r="E1241"/>
      <c r="F1241"/>
      <c r="G1241"/>
      <c r="H1241"/>
      <c r="I1241"/>
      <c r="J1241"/>
      <c r="K1241"/>
      <c r="L1241"/>
      <c r="M1241"/>
      <c r="N1241"/>
      <c r="O1241"/>
      <c r="P1241"/>
      <c r="Q1241"/>
      <c r="R1241"/>
      <c r="S1241"/>
      <c r="T1241"/>
    </row>
    <row r="1242" spans="1:20" x14ac:dyDescent="0.3">
      <c r="A1242"/>
      <c r="B1242"/>
      <c r="C1242"/>
      <c r="D1242"/>
      <c r="E1242"/>
      <c r="F1242"/>
      <c r="G1242"/>
      <c r="H1242"/>
      <c r="I1242"/>
      <c r="J1242"/>
      <c r="K1242"/>
      <c r="L1242"/>
      <c r="M1242"/>
      <c r="N1242"/>
      <c r="O1242"/>
      <c r="P1242"/>
      <c r="Q1242"/>
      <c r="R1242"/>
      <c r="S1242"/>
      <c r="T1242"/>
    </row>
    <row r="1243" spans="1:20" x14ac:dyDescent="0.3">
      <c r="A1243"/>
      <c r="B1243"/>
      <c r="C1243"/>
      <c r="D1243"/>
      <c r="E1243"/>
      <c r="F1243"/>
      <c r="G1243"/>
      <c r="H1243"/>
      <c r="I1243"/>
      <c r="J1243"/>
      <c r="K1243"/>
      <c r="L1243"/>
      <c r="M1243"/>
      <c r="N1243"/>
      <c r="O1243"/>
      <c r="P1243"/>
      <c r="Q1243"/>
      <c r="R1243"/>
      <c r="S1243"/>
      <c r="T1243"/>
    </row>
    <row r="1244" spans="1:20" x14ac:dyDescent="0.3">
      <c r="A1244"/>
      <c r="B1244"/>
      <c r="C1244"/>
      <c r="D1244"/>
      <c r="E1244"/>
      <c r="F1244"/>
      <c r="G1244"/>
      <c r="H1244"/>
      <c r="I1244"/>
      <c r="J1244"/>
      <c r="K1244"/>
      <c r="L1244"/>
      <c r="M1244"/>
      <c r="N1244"/>
      <c r="O1244"/>
      <c r="P1244"/>
      <c r="Q1244"/>
      <c r="R1244"/>
      <c r="S1244"/>
      <c r="T1244"/>
    </row>
    <row r="1245" spans="1:20" x14ac:dyDescent="0.3">
      <c r="A1245"/>
      <c r="B1245"/>
      <c r="C1245"/>
      <c r="D1245"/>
      <c r="E1245"/>
      <c r="F1245"/>
      <c r="G1245"/>
      <c r="H1245"/>
      <c r="I1245"/>
      <c r="J1245"/>
      <c r="K1245"/>
      <c r="L1245"/>
      <c r="M1245"/>
      <c r="N1245"/>
      <c r="O1245"/>
      <c r="P1245"/>
      <c r="Q1245"/>
      <c r="R1245"/>
      <c r="S1245"/>
      <c r="T1245"/>
    </row>
    <row r="1246" spans="1:20" x14ac:dyDescent="0.3">
      <c r="A1246"/>
      <c r="B1246"/>
      <c r="C1246"/>
      <c r="D1246"/>
      <c r="E1246"/>
      <c r="F1246"/>
      <c r="G1246"/>
      <c r="H1246"/>
      <c r="I1246"/>
      <c r="J1246"/>
      <c r="K1246"/>
      <c r="L1246"/>
      <c r="M1246"/>
      <c r="N1246"/>
      <c r="O1246"/>
      <c r="P1246"/>
      <c r="Q1246"/>
      <c r="R1246"/>
      <c r="S1246"/>
      <c r="T1246"/>
    </row>
    <row r="1247" spans="1:20" x14ac:dyDescent="0.3">
      <c r="A1247"/>
      <c r="B1247"/>
      <c r="C1247"/>
      <c r="D1247"/>
      <c r="E1247"/>
      <c r="F1247"/>
      <c r="G1247"/>
      <c r="H1247"/>
      <c r="I1247"/>
      <c r="J1247"/>
      <c r="K1247"/>
      <c r="L1247"/>
      <c r="M1247"/>
      <c r="N1247"/>
      <c r="O1247"/>
      <c r="P1247"/>
      <c r="Q1247"/>
      <c r="R1247"/>
      <c r="S1247"/>
      <c r="T1247"/>
    </row>
    <row r="1248" spans="1:20" x14ac:dyDescent="0.3">
      <c r="A1248"/>
      <c r="B1248"/>
      <c r="C1248"/>
      <c r="D1248"/>
      <c r="E1248"/>
      <c r="F1248"/>
      <c r="G1248"/>
      <c r="H1248"/>
      <c r="I1248"/>
      <c r="J1248"/>
      <c r="K1248"/>
      <c r="L1248"/>
      <c r="M1248"/>
      <c r="N1248"/>
      <c r="O1248"/>
      <c r="P1248"/>
      <c r="Q1248"/>
      <c r="R1248"/>
      <c r="S1248"/>
      <c r="T1248"/>
    </row>
    <row r="1249" spans="1:20" x14ac:dyDescent="0.3">
      <c r="A1249"/>
      <c r="B1249"/>
      <c r="C1249"/>
      <c r="D1249"/>
      <c r="E1249"/>
      <c r="F1249"/>
      <c r="G1249"/>
      <c r="H1249"/>
      <c r="I1249"/>
      <c r="J1249"/>
      <c r="K1249"/>
      <c r="L1249"/>
      <c r="M1249"/>
      <c r="N1249"/>
      <c r="O1249"/>
      <c r="P1249"/>
      <c r="Q1249"/>
      <c r="R1249"/>
      <c r="S1249"/>
      <c r="T1249"/>
    </row>
    <row r="1250" spans="1:20" x14ac:dyDescent="0.3">
      <c r="A1250"/>
      <c r="B1250"/>
      <c r="C1250"/>
      <c r="D1250"/>
      <c r="E1250"/>
      <c r="F1250"/>
      <c r="G1250"/>
      <c r="H1250"/>
      <c r="I1250"/>
      <c r="J1250"/>
      <c r="K1250"/>
      <c r="L1250"/>
      <c r="M1250"/>
      <c r="N1250"/>
      <c r="O1250"/>
      <c r="P1250"/>
      <c r="Q1250"/>
      <c r="R1250"/>
      <c r="S1250"/>
      <c r="T1250"/>
    </row>
    <row r="1251" spans="1:20" x14ac:dyDescent="0.3">
      <c r="A1251"/>
      <c r="B1251"/>
      <c r="C1251"/>
      <c r="D1251"/>
      <c r="E1251"/>
      <c r="F1251"/>
      <c r="G1251"/>
      <c r="H1251"/>
      <c r="I1251"/>
      <c r="J1251"/>
      <c r="K1251"/>
      <c r="L1251"/>
      <c r="M1251"/>
      <c r="N1251"/>
      <c r="O1251"/>
      <c r="P1251"/>
      <c r="Q1251"/>
      <c r="R1251"/>
      <c r="S1251"/>
      <c r="T1251"/>
    </row>
    <row r="1252" spans="1:20" x14ac:dyDescent="0.3">
      <c r="A1252"/>
      <c r="B1252"/>
      <c r="C1252"/>
      <c r="D1252"/>
      <c r="E1252"/>
      <c r="F1252"/>
      <c r="G1252"/>
      <c r="H1252"/>
      <c r="I1252"/>
      <c r="J1252"/>
      <c r="K1252"/>
      <c r="L1252"/>
      <c r="M1252"/>
      <c r="N1252"/>
      <c r="O1252"/>
      <c r="P1252"/>
      <c r="Q1252"/>
      <c r="R1252"/>
      <c r="S1252"/>
      <c r="T1252"/>
    </row>
    <row r="1253" spans="1:20" x14ac:dyDescent="0.3">
      <c r="A1253"/>
      <c r="B1253"/>
      <c r="C1253"/>
      <c r="D1253"/>
      <c r="E1253"/>
      <c r="F1253"/>
      <c r="G1253"/>
      <c r="H1253"/>
      <c r="I1253"/>
      <c r="J1253"/>
      <c r="K1253"/>
      <c r="L1253"/>
      <c r="M1253"/>
      <c r="N1253"/>
      <c r="O1253"/>
      <c r="P1253"/>
      <c r="Q1253"/>
      <c r="R1253"/>
      <c r="S1253"/>
      <c r="T1253"/>
    </row>
    <row r="1254" spans="1:20" x14ac:dyDescent="0.3">
      <c r="A1254"/>
      <c r="B1254"/>
      <c r="C1254"/>
      <c r="D1254"/>
      <c r="E1254"/>
      <c r="F1254"/>
      <c r="G1254"/>
      <c r="H1254"/>
      <c r="I1254"/>
      <c r="J1254"/>
      <c r="K1254"/>
      <c r="L1254"/>
      <c r="M1254"/>
      <c r="N1254"/>
      <c r="O1254"/>
      <c r="P1254"/>
      <c r="Q1254"/>
      <c r="R1254"/>
      <c r="S1254"/>
      <c r="T1254"/>
    </row>
    <row r="1255" spans="1:20" x14ac:dyDescent="0.3">
      <c r="A1255"/>
      <c r="B1255"/>
      <c r="C1255"/>
      <c r="D1255"/>
      <c r="E1255"/>
      <c r="F1255"/>
      <c r="G1255"/>
      <c r="H1255"/>
      <c r="I1255"/>
      <c r="J1255"/>
      <c r="K1255"/>
      <c r="L1255"/>
      <c r="M1255"/>
      <c r="N1255"/>
      <c r="O1255"/>
      <c r="P1255"/>
      <c r="Q1255"/>
      <c r="R1255"/>
      <c r="S1255"/>
      <c r="T1255"/>
    </row>
    <row r="1256" spans="1:20" x14ac:dyDescent="0.3">
      <c r="A1256"/>
      <c r="B1256"/>
      <c r="C1256"/>
      <c r="D1256"/>
      <c r="E1256"/>
      <c r="F1256"/>
      <c r="G1256"/>
      <c r="H1256"/>
      <c r="I1256"/>
      <c r="J1256"/>
      <c r="K1256"/>
      <c r="L1256"/>
      <c r="M1256"/>
      <c r="N1256"/>
      <c r="O1256"/>
      <c r="P1256"/>
      <c r="Q1256"/>
      <c r="R1256"/>
      <c r="S1256"/>
      <c r="T1256"/>
    </row>
    <row r="1257" spans="1:20" x14ac:dyDescent="0.3">
      <c r="A1257"/>
      <c r="B1257"/>
      <c r="C1257"/>
      <c r="D1257"/>
      <c r="E1257"/>
      <c r="F1257"/>
      <c r="G1257"/>
      <c r="H1257"/>
      <c r="I1257"/>
      <c r="J1257"/>
      <c r="K1257"/>
      <c r="L1257"/>
      <c r="M1257"/>
      <c r="N1257"/>
      <c r="O1257"/>
      <c r="P1257"/>
      <c r="Q1257"/>
      <c r="R1257"/>
      <c r="S1257"/>
      <c r="T1257"/>
    </row>
    <row r="1258" spans="1:20" x14ac:dyDescent="0.3">
      <c r="A1258"/>
      <c r="B1258"/>
      <c r="C1258"/>
      <c r="D1258"/>
      <c r="E1258"/>
      <c r="F1258"/>
      <c r="G1258"/>
      <c r="H1258"/>
      <c r="I1258"/>
      <c r="J1258"/>
      <c r="K1258"/>
      <c r="L1258"/>
      <c r="M1258"/>
      <c r="N1258"/>
      <c r="O1258"/>
      <c r="P1258"/>
      <c r="Q1258"/>
      <c r="R1258"/>
      <c r="S1258"/>
      <c r="T1258"/>
    </row>
    <row r="1259" spans="1:20" x14ac:dyDescent="0.3">
      <c r="A1259"/>
      <c r="B1259"/>
      <c r="C1259"/>
      <c r="D1259"/>
      <c r="E1259"/>
      <c r="F1259"/>
      <c r="G1259"/>
      <c r="H1259"/>
      <c r="I1259"/>
      <c r="J1259"/>
      <c r="K1259"/>
      <c r="L1259"/>
      <c r="M1259"/>
      <c r="N1259"/>
      <c r="O1259"/>
      <c r="P1259"/>
      <c r="Q1259"/>
      <c r="R1259"/>
      <c r="S1259"/>
      <c r="T1259"/>
    </row>
    <row r="1260" spans="1:20" x14ac:dyDescent="0.3">
      <c r="A1260"/>
      <c r="B1260"/>
      <c r="C1260"/>
      <c r="D1260"/>
      <c r="E1260"/>
      <c r="F1260"/>
      <c r="G1260"/>
      <c r="H1260"/>
      <c r="I1260"/>
      <c r="J1260"/>
      <c r="K1260"/>
      <c r="L1260"/>
      <c r="M1260"/>
      <c r="N1260"/>
      <c r="O1260"/>
      <c r="P1260"/>
      <c r="Q1260"/>
      <c r="R1260"/>
      <c r="S1260"/>
      <c r="T1260"/>
    </row>
    <row r="1261" spans="1:20" x14ac:dyDescent="0.3">
      <c r="A1261"/>
      <c r="B1261"/>
      <c r="C1261"/>
      <c r="D1261"/>
      <c r="E1261"/>
      <c r="F1261"/>
      <c r="G1261"/>
      <c r="H1261"/>
      <c r="I1261"/>
      <c r="J1261"/>
      <c r="K1261"/>
      <c r="L1261"/>
      <c r="M1261"/>
      <c r="N1261"/>
      <c r="O1261"/>
      <c r="P1261"/>
      <c r="Q1261"/>
      <c r="R1261"/>
      <c r="S1261"/>
      <c r="T1261"/>
    </row>
    <row r="1262" spans="1:20" x14ac:dyDescent="0.3">
      <c r="A1262"/>
      <c r="B1262"/>
      <c r="C1262"/>
      <c r="D1262"/>
      <c r="E1262"/>
      <c r="F1262"/>
      <c r="G1262"/>
      <c r="H1262"/>
      <c r="I1262"/>
      <c r="J1262"/>
      <c r="K1262"/>
      <c r="L1262"/>
      <c r="M1262"/>
      <c r="N1262"/>
      <c r="O1262"/>
      <c r="P1262"/>
      <c r="Q1262"/>
      <c r="R1262"/>
      <c r="S1262"/>
      <c r="T1262"/>
    </row>
    <row r="1263" spans="1:20" x14ac:dyDescent="0.3">
      <c r="A1263"/>
      <c r="B1263"/>
      <c r="C1263"/>
      <c r="D1263"/>
      <c r="E1263"/>
      <c r="F1263"/>
      <c r="G1263"/>
      <c r="H1263"/>
      <c r="I1263"/>
      <c r="J1263"/>
      <c r="K1263"/>
      <c r="L1263"/>
      <c r="M1263"/>
      <c r="N1263"/>
      <c r="O1263"/>
      <c r="P1263"/>
      <c r="Q1263"/>
      <c r="R1263"/>
      <c r="S1263"/>
      <c r="T1263"/>
    </row>
    <row r="1264" spans="1:20" x14ac:dyDescent="0.3">
      <c r="A1264"/>
      <c r="B1264"/>
      <c r="C1264"/>
      <c r="D1264"/>
      <c r="E1264"/>
      <c r="F1264"/>
      <c r="G1264"/>
      <c r="H1264"/>
      <c r="I1264"/>
      <c r="J1264"/>
      <c r="K1264"/>
      <c r="L1264"/>
      <c r="M1264"/>
      <c r="N1264"/>
      <c r="O1264"/>
      <c r="P1264"/>
      <c r="Q1264"/>
      <c r="R1264"/>
      <c r="S1264"/>
      <c r="T1264"/>
    </row>
    <row r="1265" spans="1:20" x14ac:dyDescent="0.3">
      <c r="A1265"/>
      <c r="B1265"/>
      <c r="C1265"/>
      <c r="D1265"/>
      <c r="E1265"/>
      <c r="F1265"/>
      <c r="G1265"/>
      <c r="H1265"/>
      <c r="I1265"/>
      <c r="J1265"/>
      <c r="K1265"/>
      <c r="L1265"/>
      <c r="M1265"/>
      <c r="N1265"/>
      <c r="O1265"/>
      <c r="P1265"/>
      <c r="Q1265"/>
      <c r="R1265"/>
      <c r="S1265"/>
      <c r="T1265"/>
    </row>
    <row r="1266" spans="1:20" x14ac:dyDescent="0.3">
      <c r="A1266"/>
      <c r="B1266"/>
      <c r="C1266"/>
      <c r="D1266"/>
      <c r="E1266"/>
      <c r="F1266"/>
      <c r="G1266"/>
      <c r="H1266"/>
      <c r="I1266"/>
      <c r="J1266"/>
      <c r="K1266"/>
      <c r="L1266"/>
      <c r="M1266"/>
      <c r="N1266"/>
      <c r="O1266"/>
      <c r="P1266"/>
      <c r="Q1266"/>
      <c r="R1266"/>
      <c r="S1266"/>
      <c r="T1266"/>
    </row>
    <row r="1267" spans="1:20" x14ac:dyDescent="0.3">
      <c r="A1267"/>
      <c r="B1267"/>
      <c r="C1267"/>
      <c r="D1267"/>
      <c r="E1267"/>
      <c r="F1267"/>
      <c r="G1267"/>
      <c r="H1267"/>
      <c r="I1267"/>
      <c r="J1267"/>
      <c r="K1267"/>
      <c r="L1267"/>
      <c r="M1267"/>
      <c r="N1267"/>
      <c r="O1267"/>
      <c r="P1267"/>
      <c r="Q1267"/>
      <c r="R1267"/>
      <c r="S1267"/>
      <c r="T1267"/>
    </row>
    <row r="1268" spans="1:20" x14ac:dyDescent="0.3">
      <c r="A1268"/>
      <c r="B1268"/>
      <c r="C1268"/>
      <c r="D1268"/>
      <c r="E1268"/>
      <c r="F1268"/>
      <c r="G1268"/>
      <c r="H1268"/>
      <c r="I1268"/>
      <c r="J1268"/>
      <c r="K1268"/>
      <c r="L1268"/>
      <c r="M1268"/>
      <c r="N1268"/>
      <c r="O1268"/>
      <c r="P1268"/>
      <c r="Q1268"/>
      <c r="R1268"/>
      <c r="S1268"/>
      <c r="T1268"/>
    </row>
    <row r="1269" spans="1:20" x14ac:dyDescent="0.3">
      <c r="A1269"/>
      <c r="B1269"/>
      <c r="C1269"/>
      <c r="D1269"/>
      <c r="E1269"/>
      <c r="F1269"/>
      <c r="G1269"/>
      <c r="H1269"/>
      <c r="I1269"/>
      <c r="J1269"/>
      <c r="K1269"/>
      <c r="L1269"/>
      <c r="M1269"/>
      <c r="N1269"/>
      <c r="O1269"/>
      <c r="P1269"/>
      <c r="Q1269"/>
      <c r="R1269"/>
      <c r="S1269"/>
      <c r="T1269"/>
    </row>
    <row r="1270" spans="1:20" x14ac:dyDescent="0.3">
      <c r="A1270"/>
      <c r="B1270"/>
      <c r="C1270"/>
      <c r="D1270"/>
      <c r="E1270"/>
      <c r="F1270"/>
      <c r="G1270"/>
      <c r="H1270"/>
      <c r="I1270"/>
      <c r="J1270"/>
      <c r="K1270"/>
      <c r="L1270"/>
      <c r="M1270"/>
      <c r="N1270"/>
      <c r="O1270"/>
      <c r="P1270"/>
      <c r="Q1270"/>
      <c r="R1270"/>
      <c r="S1270"/>
      <c r="T1270"/>
    </row>
    <row r="1271" spans="1:20" x14ac:dyDescent="0.3">
      <c r="A1271"/>
      <c r="B1271"/>
      <c r="C1271"/>
      <c r="D1271"/>
      <c r="E1271"/>
      <c r="F1271"/>
      <c r="G1271"/>
      <c r="H1271"/>
      <c r="I1271"/>
      <c r="J1271"/>
      <c r="K1271"/>
      <c r="L1271"/>
      <c r="M1271"/>
      <c r="N1271"/>
      <c r="O1271"/>
      <c r="P1271"/>
      <c r="Q1271"/>
      <c r="R1271"/>
      <c r="S1271"/>
      <c r="T1271"/>
    </row>
    <row r="1272" spans="1:20" x14ac:dyDescent="0.3">
      <c r="A1272"/>
      <c r="B1272"/>
      <c r="C1272"/>
      <c r="D1272"/>
      <c r="E1272"/>
      <c r="F1272"/>
      <c r="G1272"/>
      <c r="H1272"/>
      <c r="I1272"/>
      <c r="J1272"/>
      <c r="K1272"/>
      <c r="L1272"/>
      <c r="M1272"/>
      <c r="N1272"/>
      <c r="O1272"/>
      <c r="P1272"/>
      <c r="Q1272"/>
      <c r="R1272"/>
      <c r="S1272"/>
      <c r="T1272"/>
    </row>
    <row r="1273" spans="1:20" x14ac:dyDescent="0.3">
      <c r="A1273"/>
      <c r="B1273"/>
      <c r="C1273"/>
      <c r="D1273"/>
      <c r="E1273"/>
      <c r="F1273"/>
      <c r="G1273"/>
      <c r="H1273"/>
      <c r="I1273"/>
      <c r="J1273"/>
      <c r="K1273"/>
      <c r="L1273"/>
      <c r="M1273"/>
      <c r="N1273"/>
      <c r="O1273"/>
      <c r="P1273"/>
      <c r="Q1273"/>
      <c r="R1273"/>
      <c r="S1273"/>
      <c r="T1273"/>
    </row>
    <row r="1274" spans="1:20" x14ac:dyDescent="0.3">
      <c r="A1274"/>
      <c r="B1274"/>
      <c r="C1274"/>
      <c r="D1274"/>
      <c r="E1274"/>
      <c r="F1274"/>
      <c r="G1274"/>
      <c r="H1274"/>
      <c r="I1274"/>
      <c r="J1274"/>
      <c r="K1274"/>
      <c r="L1274"/>
      <c r="M1274"/>
      <c r="N1274"/>
      <c r="O1274"/>
      <c r="P1274"/>
      <c r="Q1274"/>
      <c r="R1274"/>
      <c r="S1274"/>
      <c r="T1274"/>
    </row>
    <row r="1275" spans="1:20" x14ac:dyDescent="0.3">
      <c r="A1275"/>
      <c r="B1275"/>
      <c r="C1275"/>
      <c r="D1275"/>
      <c r="E1275"/>
      <c r="F1275"/>
      <c r="G1275"/>
      <c r="H1275"/>
      <c r="I1275"/>
      <c r="J1275"/>
      <c r="K1275"/>
      <c r="L1275"/>
      <c r="M1275"/>
      <c r="N1275"/>
      <c r="O1275"/>
      <c r="P1275"/>
      <c r="Q1275"/>
      <c r="R1275"/>
      <c r="S1275"/>
      <c r="T1275"/>
    </row>
    <row r="1276" spans="1:20" x14ac:dyDescent="0.3">
      <c r="A1276"/>
      <c r="B1276"/>
      <c r="C1276"/>
      <c r="D1276"/>
      <c r="E1276"/>
      <c r="F1276"/>
      <c r="G1276"/>
      <c r="H1276"/>
      <c r="I1276"/>
      <c r="J1276"/>
      <c r="K1276"/>
      <c r="L1276"/>
      <c r="M1276"/>
      <c r="N1276"/>
      <c r="O1276"/>
      <c r="P1276"/>
      <c r="Q1276"/>
      <c r="R1276"/>
      <c r="S1276"/>
      <c r="T1276"/>
    </row>
    <row r="1277" spans="1:20" x14ac:dyDescent="0.3">
      <c r="A1277"/>
      <c r="B1277"/>
      <c r="C1277"/>
      <c r="D1277"/>
      <c r="E1277"/>
      <c r="F1277"/>
      <c r="G1277"/>
      <c r="H1277"/>
      <c r="I1277"/>
      <c r="J1277"/>
      <c r="K1277"/>
      <c r="L1277"/>
      <c r="M1277"/>
      <c r="N1277"/>
      <c r="O1277"/>
      <c r="P1277"/>
      <c r="Q1277"/>
      <c r="R1277"/>
      <c r="S1277"/>
      <c r="T1277"/>
    </row>
    <row r="1278" spans="1:20" x14ac:dyDescent="0.3">
      <c r="A1278"/>
      <c r="B1278"/>
      <c r="C1278"/>
      <c r="D1278"/>
      <c r="E1278"/>
      <c r="F1278"/>
      <c r="G1278"/>
      <c r="H1278"/>
      <c r="I1278"/>
      <c r="J1278"/>
      <c r="K1278"/>
      <c r="L1278"/>
      <c r="M1278"/>
      <c r="N1278"/>
      <c r="O1278"/>
      <c r="P1278"/>
      <c r="Q1278"/>
      <c r="R1278"/>
      <c r="S1278"/>
      <c r="T1278"/>
    </row>
    <row r="1279" spans="1:20" x14ac:dyDescent="0.3">
      <c r="A1279"/>
      <c r="B1279"/>
      <c r="C1279"/>
      <c r="D1279"/>
      <c r="E1279"/>
      <c r="F1279"/>
      <c r="G1279"/>
      <c r="H1279"/>
      <c r="I1279"/>
      <c r="J1279"/>
      <c r="K1279"/>
      <c r="L1279"/>
      <c r="M1279"/>
      <c r="N1279"/>
      <c r="O1279"/>
      <c r="P1279"/>
      <c r="Q1279"/>
      <c r="R1279"/>
      <c r="S1279"/>
      <c r="T1279"/>
    </row>
    <row r="1280" spans="1:20" x14ac:dyDescent="0.3">
      <c r="A1280"/>
      <c r="B1280"/>
      <c r="C1280"/>
      <c r="D1280"/>
      <c r="E1280"/>
      <c r="F1280"/>
      <c r="G1280"/>
      <c r="H1280"/>
      <c r="I1280"/>
      <c r="J1280"/>
      <c r="K1280"/>
      <c r="L1280"/>
      <c r="M1280"/>
      <c r="N1280"/>
      <c r="O1280"/>
      <c r="P1280"/>
      <c r="Q1280"/>
      <c r="R1280"/>
      <c r="S1280"/>
      <c r="T1280"/>
    </row>
    <row r="1281" spans="1:20" x14ac:dyDescent="0.3">
      <c r="A1281"/>
      <c r="B1281"/>
      <c r="C1281"/>
      <c r="D1281"/>
      <c r="E1281"/>
      <c r="F1281"/>
      <c r="G1281"/>
      <c r="H1281"/>
      <c r="I1281"/>
      <c r="J1281"/>
      <c r="K1281"/>
      <c r="L1281"/>
      <c r="M1281"/>
      <c r="N1281"/>
      <c r="O1281"/>
      <c r="P1281"/>
      <c r="Q1281"/>
      <c r="R1281"/>
      <c r="S1281"/>
      <c r="T1281"/>
    </row>
    <row r="1282" spans="1:20" x14ac:dyDescent="0.3">
      <c r="A1282"/>
      <c r="B1282"/>
      <c r="C1282"/>
      <c r="D1282"/>
      <c r="E1282"/>
      <c r="F1282"/>
      <c r="G1282"/>
      <c r="H1282"/>
      <c r="I1282"/>
      <c r="J1282"/>
      <c r="K1282"/>
      <c r="L1282"/>
      <c r="M1282"/>
      <c r="N1282"/>
      <c r="O1282"/>
      <c r="P1282"/>
      <c r="Q1282"/>
      <c r="R1282"/>
      <c r="S1282"/>
      <c r="T1282"/>
    </row>
    <row r="1283" spans="1:20" x14ac:dyDescent="0.3">
      <c r="A1283"/>
      <c r="B1283"/>
      <c r="C1283"/>
      <c r="D1283"/>
      <c r="E1283"/>
      <c r="F1283"/>
      <c r="G1283"/>
      <c r="H1283"/>
      <c r="I1283"/>
      <c r="J1283"/>
      <c r="K1283"/>
      <c r="L1283"/>
      <c r="M1283"/>
      <c r="N1283"/>
      <c r="O1283"/>
      <c r="P1283"/>
      <c r="Q1283"/>
      <c r="R1283"/>
      <c r="S1283"/>
      <c r="T1283"/>
    </row>
    <row r="1284" spans="1:20" x14ac:dyDescent="0.3">
      <c r="A1284"/>
      <c r="B1284"/>
      <c r="C1284"/>
      <c r="D1284"/>
      <c r="E1284"/>
      <c r="F1284"/>
      <c r="G1284"/>
      <c r="H1284"/>
      <c r="I1284"/>
      <c r="J1284"/>
      <c r="K1284"/>
      <c r="L1284"/>
      <c r="M1284"/>
      <c r="N1284"/>
      <c r="O1284"/>
      <c r="P1284"/>
      <c r="Q1284"/>
      <c r="R1284"/>
      <c r="S1284"/>
      <c r="T1284"/>
    </row>
    <row r="1285" spans="1:20" x14ac:dyDescent="0.3">
      <c r="A1285"/>
      <c r="B1285"/>
      <c r="C1285"/>
      <c r="D1285"/>
      <c r="E1285"/>
      <c r="F1285"/>
      <c r="G1285"/>
      <c r="H1285"/>
      <c r="I1285"/>
      <c r="J1285"/>
      <c r="K1285"/>
      <c r="L1285"/>
      <c r="M1285"/>
      <c r="N1285"/>
      <c r="O1285"/>
      <c r="P1285"/>
      <c r="Q1285"/>
      <c r="R1285"/>
      <c r="S1285"/>
      <c r="T1285"/>
    </row>
    <row r="1286" spans="1:20" x14ac:dyDescent="0.3">
      <c r="A1286"/>
      <c r="B1286"/>
      <c r="C1286"/>
      <c r="D1286"/>
      <c r="E1286"/>
      <c r="F1286"/>
      <c r="G1286"/>
      <c r="H1286"/>
      <c r="I1286"/>
      <c r="J1286"/>
      <c r="K1286"/>
      <c r="L1286"/>
      <c r="M1286"/>
      <c r="N1286"/>
      <c r="O1286"/>
      <c r="P1286"/>
      <c r="Q1286"/>
      <c r="R1286"/>
      <c r="S1286"/>
      <c r="T1286"/>
    </row>
    <row r="1287" spans="1:20" x14ac:dyDescent="0.3">
      <c r="A1287"/>
      <c r="B1287"/>
      <c r="C1287"/>
      <c r="D1287"/>
      <c r="E1287"/>
      <c r="F1287"/>
      <c r="G1287"/>
      <c r="H1287"/>
      <c r="I1287"/>
      <c r="J1287"/>
      <c r="K1287"/>
      <c r="L1287"/>
      <c r="M1287"/>
      <c r="N1287"/>
      <c r="O1287"/>
      <c r="P1287"/>
      <c r="Q1287"/>
      <c r="R1287"/>
      <c r="S1287"/>
      <c r="T1287"/>
    </row>
    <row r="1288" spans="1:20" x14ac:dyDescent="0.3">
      <c r="A1288"/>
      <c r="B1288"/>
      <c r="C1288"/>
      <c r="D1288"/>
      <c r="E1288"/>
      <c r="F1288"/>
      <c r="G1288"/>
      <c r="H1288"/>
      <c r="I1288"/>
      <c r="J1288"/>
      <c r="K1288"/>
      <c r="L1288"/>
      <c r="M1288"/>
      <c r="N1288"/>
      <c r="O1288"/>
      <c r="P1288"/>
      <c r="Q1288"/>
      <c r="R1288"/>
      <c r="S1288"/>
      <c r="T1288"/>
    </row>
    <row r="1289" spans="1:20" x14ac:dyDescent="0.3">
      <c r="A1289"/>
      <c r="B1289"/>
      <c r="C1289"/>
      <c r="D1289"/>
      <c r="E1289"/>
      <c r="F1289"/>
      <c r="G1289"/>
      <c r="H1289"/>
      <c r="I1289"/>
      <c r="J1289"/>
      <c r="K1289"/>
      <c r="L1289"/>
      <c r="M1289"/>
      <c r="N1289"/>
      <c r="O1289"/>
      <c r="P1289"/>
      <c r="Q1289"/>
      <c r="R1289"/>
      <c r="S1289"/>
      <c r="T1289"/>
    </row>
    <row r="1290" spans="1:20" x14ac:dyDescent="0.3">
      <c r="A1290"/>
      <c r="B1290"/>
      <c r="C1290"/>
      <c r="D1290"/>
      <c r="E1290"/>
      <c r="F1290"/>
      <c r="G1290"/>
      <c r="H1290"/>
      <c r="I1290"/>
      <c r="J1290"/>
      <c r="K1290"/>
      <c r="L1290"/>
      <c r="M1290"/>
      <c r="N1290"/>
      <c r="O1290"/>
      <c r="P1290"/>
      <c r="Q1290"/>
      <c r="R1290"/>
      <c r="S1290"/>
      <c r="T1290"/>
    </row>
    <row r="1291" spans="1:20" x14ac:dyDescent="0.3">
      <c r="A1291"/>
      <c r="B1291"/>
      <c r="C1291"/>
      <c r="D1291"/>
      <c r="E1291"/>
      <c r="F1291"/>
      <c r="G1291"/>
      <c r="H1291"/>
      <c r="I1291"/>
      <c r="J1291"/>
      <c r="K1291"/>
      <c r="L1291"/>
      <c r="M1291"/>
      <c r="N1291"/>
      <c r="O1291"/>
      <c r="P1291"/>
      <c r="Q1291"/>
      <c r="R1291"/>
      <c r="S1291"/>
      <c r="T1291"/>
    </row>
    <row r="1292" spans="1:20" x14ac:dyDescent="0.3">
      <c r="A1292"/>
      <c r="B1292"/>
      <c r="C1292"/>
      <c r="D1292"/>
      <c r="E1292"/>
      <c r="F1292"/>
      <c r="G1292"/>
      <c r="H1292"/>
      <c r="I1292"/>
      <c r="J1292"/>
      <c r="K1292"/>
      <c r="L1292"/>
      <c r="M1292"/>
      <c r="N1292"/>
      <c r="O1292"/>
      <c r="P1292"/>
      <c r="Q1292"/>
      <c r="R1292"/>
      <c r="S1292"/>
      <c r="T1292"/>
    </row>
    <row r="1293" spans="1:20" x14ac:dyDescent="0.3">
      <c r="A1293"/>
      <c r="B1293"/>
      <c r="C1293"/>
      <c r="D1293"/>
      <c r="E1293"/>
      <c r="F1293"/>
      <c r="G1293"/>
      <c r="H1293"/>
      <c r="I1293"/>
      <c r="J1293"/>
      <c r="K1293"/>
      <c r="L1293"/>
      <c r="M1293"/>
      <c r="N1293"/>
      <c r="O1293"/>
      <c r="P1293"/>
      <c r="Q1293"/>
      <c r="R1293"/>
      <c r="S1293"/>
      <c r="T1293"/>
    </row>
    <row r="1294" spans="1:20" x14ac:dyDescent="0.3">
      <c r="A1294"/>
      <c r="B1294"/>
      <c r="C1294"/>
      <c r="D1294"/>
      <c r="E1294"/>
      <c r="F1294"/>
      <c r="G1294"/>
      <c r="H1294"/>
      <c r="I1294"/>
      <c r="J1294"/>
      <c r="K1294"/>
      <c r="L1294"/>
      <c r="M1294"/>
      <c r="N1294"/>
      <c r="O1294"/>
      <c r="P1294"/>
      <c r="Q1294"/>
      <c r="R1294"/>
      <c r="S1294"/>
      <c r="T1294"/>
    </row>
    <row r="1295" spans="1:20" x14ac:dyDescent="0.3">
      <c r="A1295"/>
      <c r="B1295"/>
      <c r="C1295"/>
      <c r="D1295"/>
      <c r="E1295"/>
      <c r="F1295"/>
      <c r="G1295"/>
      <c r="H1295"/>
      <c r="I1295"/>
      <c r="J1295"/>
      <c r="K1295"/>
      <c r="L1295"/>
      <c r="M1295"/>
      <c r="N1295"/>
      <c r="O1295"/>
      <c r="P1295"/>
      <c r="Q1295"/>
      <c r="R1295"/>
      <c r="S1295"/>
      <c r="T1295"/>
    </row>
    <row r="1296" spans="1:20" x14ac:dyDescent="0.3">
      <c r="A1296"/>
      <c r="B1296"/>
      <c r="C1296"/>
      <c r="D1296"/>
      <c r="E1296"/>
      <c r="F1296"/>
      <c r="G1296"/>
      <c r="H1296"/>
      <c r="I1296"/>
      <c r="J1296"/>
      <c r="K1296"/>
      <c r="L1296"/>
      <c r="M1296"/>
      <c r="N1296"/>
      <c r="O1296"/>
      <c r="P1296"/>
      <c r="Q1296"/>
      <c r="R1296"/>
      <c r="S1296"/>
      <c r="T1296"/>
    </row>
    <row r="1297" spans="1:20" x14ac:dyDescent="0.3">
      <c r="A1297"/>
      <c r="B1297"/>
      <c r="C1297"/>
      <c r="D1297"/>
      <c r="E1297"/>
      <c r="F1297"/>
      <c r="G1297"/>
      <c r="H1297"/>
      <c r="I1297"/>
      <c r="J1297"/>
      <c r="K1297"/>
      <c r="L1297"/>
      <c r="M1297"/>
      <c r="N1297"/>
      <c r="O1297"/>
      <c r="P1297"/>
      <c r="Q1297"/>
      <c r="R1297"/>
      <c r="S1297"/>
      <c r="T1297"/>
    </row>
    <row r="1298" spans="1:20" x14ac:dyDescent="0.3">
      <c r="A1298"/>
      <c r="B1298"/>
      <c r="C1298"/>
      <c r="D1298"/>
      <c r="E1298"/>
      <c r="F1298"/>
      <c r="G1298"/>
      <c r="H1298"/>
      <c r="I1298"/>
      <c r="J1298"/>
      <c r="K1298"/>
      <c r="L1298"/>
      <c r="M1298"/>
      <c r="N1298"/>
      <c r="O1298"/>
      <c r="P1298"/>
      <c r="Q1298"/>
      <c r="R1298"/>
      <c r="S1298"/>
      <c r="T1298"/>
    </row>
    <row r="1299" spans="1:20" x14ac:dyDescent="0.3">
      <c r="A1299"/>
      <c r="B1299"/>
      <c r="C1299"/>
      <c r="D1299"/>
      <c r="E1299"/>
      <c r="F1299"/>
      <c r="G1299"/>
      <c r="H1299"/>
      <c r="I1299"/>
      <c r="J1299"/>
      <c r="K1299"/>
      <c r="L1299"/>
      <c r="M1299"/>
      <c r="N1299"/>
      <c r="O1299"/>
      <c r="P1299"/>
      <c r="Q1299"/>
      <c r="R1299"/>
      <c r="S1299"/>
      <c r="T1299"/>
    </row>
    <row r="1300" spans="1:20" x14ac:dyDescent="0.3">
      <c r="A1300"/>
      <c r="B1300"/>
      <c r="C1300"/>
      <c r="D1300"/>
      <c r="E1300"/>
      <c r="F1300"/>
      <c r="G1300"/>
      <c r="H1300"/>
      <c r="I1300"/>
      <c r="J1300"/>
      <c r="K1300"/>
      <c r="L1300"/>
      <c r="M1300"/>
      <c r="N1300"/>
      <c r="O1300"/>
      <c r="P1300"/>
      <c r="Q1300"/>
      <c r="R1300"/>
      <c r="S1300"/>
      <c r="T1300"/>
    </row>
    <row r="1301" spans="1:20" x14ac:dyDescent="0.3">
      <c r="A1301"/>
      <c r="B1301"/>
      <c r="C1301"/>
      <c r="D1301"/>
      <c r="E1301"/>
      <c r="F1301"/>
      <c r="G1301"/>
      <c r="H1301"/>
      <c r="I1301"/>
      <c r="J1301"/>
      <c r="K1301"/>
      <c r="L1301"/>
      <c r="M1301"/>
      <c r="N1301"/>
      <c r="O1301"/>
      <c r="P1301"/>
      <c r="Q1301"/>
      <c r="R1301"/>
      <c r="S1301"/>
      <c r="T1301"/>
    </row>
    <row r="1302" spans="1:20" x14ac:dyDescent="0.3">
      <c r="A1302"/>
      <c r="B1302"/>
      <c r="C1302"/>
      <c r="D1302"/>
      <c r="E1302"/>
      <c r="F1302"/>
      <c r="G1302"/>
      <c r="H1302"/>
      <c r="I1302"/>
      <c r="J1302"/>
      <c r="K1302"/>
      <c r="L1302"/>
      <c r="M1302"/>
      <c r="N1302"/>
      <c r="O1302"/>
      <c r="P1302"/>
      <c r="Q1302"/>
      <c r="R1302"/>
      <c r="S1302"/>
      <c r="T1302"/>
    </row>
    <row r="1303" spans="1:20" x14ac:dyDescent="0.3">
      <c r="A1303"/>
      <c r="B1303"/>
      <c r="C1303"/>
      <c r="D1303"/>
      <c r="E1303"/>
      <c r="F1303"/>
      <c r="G1303"/>
      <c r="H1303"/>
      <c r="I1303"/>
      <c r="J1303"/>
      <c r="K1303"/>
      <c r="L1303"/>
      <c r="M1303"/>
      <c r="N1303"/>
      <c r="O1303"/>
      <c r="P1303"/>
      <c r="Q1303"/>
      <c r="R1303"/>
      <c r="S1303"/>
      <c r="T1303"/>
    </row>
    <row r="1304" spans="1:20" x14ac:dyDescent="0.3">
      <c r="A1304"/>
      <c r="B1304"/>
      <c r="C1304"/>
      <c r="D1304"/>
      <c r="E1304"/>
      <c r="F1304"/>
      <c r="G1304"/>
      <c r="H1304"/>
      <c r="I1304"/>
      <c r="J1304"/>
      <c r="K1304"/>
      <c r="L1304"/>
      <c r="M1304"/>
      <c r="N1304"/>
      <c r="O1304"/>
      <c r="P1304"/>
      <c r="Q1304"/>
      <c r="R1304"/>
      <c r="S1304"/>
      <c r="T1304"/>
    </row>
    <row r="1305" spans="1:20" x14ac:dyDescent="0.3">
      <c r="A1305"/>
      <c r="B1305"/>
      <c r="C1305"/>
      <c r="D1305"/>
      <c r="E1305"/>
      <c r="F1305"/>
      <c r="G1305"/>
      <c r="H1305"/>
      <c r="I1305"/>
      <c r="J1305"/>
      <c r="K1305"/>
      <c r="L1305"/>
      <c r="M1305"/>
      <c r="N1305"/>
      <c r="O1305"/>
      <c r="P1305"/>
      <c r="Q1305"/>
      <c r="R1305"/>
      <c r="S1305"/>
      <c r="T1305"/>
    </row>
    <row r="1306" spans="1:20" x14ac:dyDescent="0.3">
      <c r="A1306"/>
      <c r="B1306"/>
      <c r="C1306"/>
      <c r="D1306"/>
      <c r="E1306"/>
      <c r="F1306"/>
      <c r="G1306"/>
      <c r="H1306"/>
      <c r="I1306"/>
      <c r="J1306"/>
      <c r="K1306"/>
      <c r="L1306"/>
      <c r="M1306"/>
      <c r="N1306"/>
      <c r="O1306"/>
      <c r="P1306"/>
      <c r="Q1306"/>
      <c r="R1306"/>
      <c r="S1306"/>
      <c r="T1306"/>
    </row>
    <row r="1307" spans="1:20" x14ac:dyDescent="0.3">
      <c r="A1307"/>
      <c r="B1307"/>
      <c r="C1307"/>
      <c r="D1307"/>
      <c r="E1307"/>
      <c r="F1307"/>
      <c r="G1307"/>
      <c r="H1307"/>
      <c r="I1307"/>
      <c r="J1307"/>
      <c r="K1307"/>
      <c r="L1307"/>
      <c r="M1307"/>
      <c r="N1307"/>
      <c r="O1307"/>
      <c r="P1307"/>
      <c r="Q1307"/>
      <c r="R1307"/>
      <c r="S1307"/>
      <c r="T1307"/>
    </row>
    <row r="1308" spans="1:20" x14ac:dyDescent="0.3">
      <c r="A1308"/>
      <c r="B1308"/>
      <c r="C1308"/>
      <c r="D1308"/>
      <c r="E1308"/>
      <c r="F1308"/>
      <c r="G1308"/>
      <c r="H1308"/>
      <c r="I1308"/>
      <c r="J1308"/>
      <c r="K1308"/>
      <c r="L1308"/>
      <c r="M1308"/>
      <c r="N1308"/>
      <c r="O1308"/>
      <c r="P1308"/>
      <c r="Q1308"/>
      <c r="R1308"/>
      <c r="S1308"/>
      <c r="T1308"/>
    </row>
    <row r="1309" spans="1:20" x14ac:dyDescent="0.3">
      <c r="A1309"/>
      <c r="B1309"/>
      <c r="C1309"/>
      <c r="D1309"/>
      <c r="E1309"/>
      <c r="F1309"/>
      <c r="G1309"/>
      <c r="H1309"/>
      <c r="I1309"/>
      <c r="J1309"/>
      <c r="K1309"/>
      <c r="L1309"/>
      <c r="M1309"/>
      <c r="N1309"/>
      <c r="O1309"/>
      <c r="P1309"/>
      <c r="Q1309"/>
      <c r="R1309"/>
      <c r="S1309"/>
      <c r="T1309"/>
    </row>
    <row r="1310" spans="1:20" x14ac:dyDescent="0.3">
      <c r="A1310"/>
      <c r="B1310"/>
      <c r="C1310"/>
      <c r="D1310"/>
      <c r="E1310"/>
      <c r="F1310"/>
      <c r="G1310"/>
      <c r="H1310"/>
      <c r="I1310"/>
      <c r="J1310"/>
      <c r="K1310"/>
      <c r="L1310"/>
      <c r="M1310"/>
      <c r="N1310"/>
      <c r="O1310"/>
      <c r="P1310"/>
      <c r="Q1310"/>
      <c r="R1310"/>
      <c r="S1310"/>
      <c r="T1310"/>
    </row>
    <row r="1311" spans="1:20" x14ac:dyDescent="0.3">
      <c r="A1311"/>
      <c r="B1311"/>
      <c r="C1311"/>
      <c r="D1311"/>
      <c r="E1311"/>
      <c r="F1311"/>
      <c r="G1311"/>
      <c r="H1311"/>
      <c r="I1311"/>
      <c r="J1311"/>
      <c r="K1311"/>
      <c r="L1311"/>
      <c r="M1311"/>
      <c r="N1311"/>
      <c r="O1311"/>
      <c r="P1311"/>
      <c r="Q1311"/>
      <c r="R1311"/>
      <c r="S1311"/>
      <c r="T1311"/>
    </row>
    <row r="1312" spans="1:20" x14ac:dyDescent="0.3">
      <c r="A1312"/>
      <c r="B1312"/>
      <c r="C1312"/>
      <c r="D1312"/>
      <c r="E1312"/>
      <c r="F1312"/>
      <c r="G1312"/>
      <c r="H1312"/>
      <c r="I1312"/>
      <c r="J1312"/>
      <c r="K1312"/>
      <c r="L1312"/>
      <c r="M1312"/>
      <c r="N1312"/>
      <c r="O1312"/>
      <c r="P1312"/>
      <c r="Q1312"/>
      <c r="R1312"/>
      <c r="S1312"/>
      <c r="T1312"/>
    </row>
    <row r="1313" spans="1:20" x14ac:dyDescent="0.3">
      <c r="A1313"/>
      <c r="B1313"/>
      <c r="C1313"/>
      <c r="D1313"/>
      <c r="E1313"/>
      <c r="F1313"/>
      <c r="G1313"/>
      <c r="H1313"/>
      <c r="I1313"/>
      <c r="J1313"/>
      <c r="K1313"/>
      <c r="L1313"/>
      <c r="M1313"/>
      <c r="N1313"/>
      <c r="O1313"/>
      <c r="P1313"/>
      <c r="Q1313"/>
      <c r="R1313"/>
      <c r="S1313"/>
      <c r="T1313"/>
    </row>
    <row r="1314" spans="1:20" x14ac:dyDescent="0.3">
      <c r="A1314"/>
      <c r="B1314"/>
      <c r="C1314"/>
      <c r="D1314"/>
      <c r="E1314"/>
      <c r="F1314"/>
      <c r="G1314"/>
      <c r="H1314"/>
      <c r="I1314"/>
      <c r="J1314"/>
      <c r="K1314"/>
      <c r="L1314"/>
      <c r="M1314"/>
      <c r="N1314"/>
      <c r="O1314"/>
      <c r="P1314"/>
      <c r="Q1314"/>
      <c r="R1314"/>
      <c r="S1314"/>
      <c r="T1314"/>
    </row>
    <row r="1315" spans="1:20" x14ac:dyDescent="0.3">
      <c r="A1315"/>
      <c r="B1315"/>
      <c r="C1315"/>
      <c r="D1315"/>
      <c r="E1315"/>
      <c r="F1315"/>
      <c r="G1315"/>
      <c r="H1315"/>
      <c r="I1315"/>
      <c r="J1315"/>
      <c r="K1315"/>
      <c r="L1315"/>
      <c r="M1315"/>
      <c r="N1315"/>
      <c r="O1315"/>
      <c r="P1315"/>
      <c r="Q1315"/>
      <c r="R1315"/>
      <c r="S1315"/>
      <c r="T1315"/>
    </row>
    <row r="1316" spans="1:20" x14ac:dyDescent="0.3">
      <c r="A1316"/>
      <c r="B1316"/>
      <c r="C1316"/>
      <c r="D1316"/>
      <c r="E1316"/>
      <c r="F1316"/>
      <c r="G1316"/>
      <c r="H1316"/>
      <c r="I1316"/>
      <c r="J1316"/>
      <c r="K1316"/>
      <c r="L1316"/>
      <c r="M1316"/>
      <c r="N1316"/>
      <c r="O1316"/>
      <c r="P1316"/>
      <c r="Q1316"/>
      <c r="R1316"/>
      <c r="S1316"/>
      <c r="T1316"/>
    </row>
    <row r="1317" spans="1:20" x14ac:dyDescent="0.3">
      <c r="A1317"/>
      <c r="B1317"/>
      <c r="C1317"/>
      <c r="D1317"/>
      <c r="E1317"/>
      <c r="F1317"/>
      <c r="G1317"/>
      <c r="H1317"/>
      <c r="I1317"/>
      <c r="J1317"/>
      <c r="K1317"/>
      <c r="L1317"/>
      <c r="M1317"/>
      <c r="N1317"/>
      <c r="O1317"/>
      <c r="P1317"/>
      <c r="Q1317"/>
      <c r="R1317"/>
      <c r="S1317"/>
      <c r="T1317"/>
    </row>
    <row r="1318" spans="1:20" x14ac:dyDescent="0.3">
      <c r="A1318"/>
      <c r="B1318"/>
      <c r="C1318"/>
      <c r="D1318"/>
      <c r="E1318"/>
      <c r="F1318"/>
      <c r="G1318"/>
      <c r="H1318"/>
      <c r="I1318"/>
      <c r="J1318"/>
      <c r="K1318"/>
      <c r="L1318"/>
      <c r="M1318"/>
      <c r="N1318"/>
      <c r="O1318"/>
      <c r="P1318"/>
      <c r="Q1318"/>
      <c r="R1318"/>
      <c r="S1318"/>
      <c r="T1318"/>
    </row>
    <row r="1319" spans="1:20" x14ac:dyDescent="0.3">
      <c r="A1319"/>
      <c r="B1319"/>
      <c r="C1319"/>
      <c r="D1319"/>
      <c r="E1319"/>
      <c r="F1319"/>
      <c r="G1319"/>
      <c r="H1319"/>
      <c r="I1319"/>
      <c r="J1319"/>
      <c r="K1319"/>
      <c r="L1319"/>
      <c r="M1319"/>
      <c r="N1319"/>
      <c r="O1319"/>
      <c r="P1319"/>
      <c r="Q1319"/>
      <c r="R1319"/>
      <c r="S1319"/>
      <c r="T1319"/>
    </row>
    <row r="1320" spans="1:20" x14ac:dyDescent="0.3">
      <c r="A1320"/>
      <c r="B1320"/>
      <c r="C1320"/>
      <c r="D1320"/>
      <c r="E1320"/>
      <c r="F1320"/>
      <c r="G1320"/>
      <c r="H1320"/>
      <c r="I1320"/>
      <c r="J1320"/>
      <c r="K1320"/>
      <c r="L1320"/>
      <c r="M1320"/>
      <c r="N1320"/>
      <c r="O1320"/>
      <c r="P1320"/>
      <c r="Q1320"/>
      <c r="R1320"/>
      <c r="S1320"/>
      <c r="T1320"/>
    </row>
    <row r="1321" spans="1:20" x14ac:dyDescent="0.3">
      <c r="A1321"/>
      <c r="B1321"/>
      <c r="C1321"/>
      <c r="D1321"/>
      <c r="E1321"/>
      <c r="F1321"/>
      <c r="G1321"/>
      <c r="H1321"/>
      <c r="I1321"/>
      <c r="J1321"/>
      <c r="K1321"/>
      <c r="L1321"/>
      <c r="M1321"/>
      <c r="N1321"/>
      <c r="O1321"/>
      <c r="P1321"/>
      <c r="Q1321"/>
      <c r="R1321"/>
      <c r="S1321"/>
      <c r="T1321"/>
    </row>
    <row r="1322" spans="1:20" x14ac:dyDescent="0.3">
      <c r="A1322"/>
      <c r="B1322"/>
      <c r="C1322"/>
      <c r="D1322"/>
      <c r="E1322"/>
      <c r="F1322"/>
      <c r="G1322"/>
      <c r="H1322"/>
      <c r="I1322"/>
      <c r="J1322"/>
      <c r="K1322"/>
      <c r="L1322"/>
      <c r="M1322"/>
      <c r="N1322"/>
      <c r="O1322"/>
      <c r="P1322"/>
      <c r="Q1322"/>
      <c r="R1322"/>
      <c r="S1322"/>
      <c r="T1322"/>
    </row>
    <row r="1323" spans="1:20" x14ac:dyDescent="0.3">
      <c r="A1323"/>
      <c r="B1323"/>
      <c r="C1323"/>
      <c r="D1323"/>
      <c r="E1323"/>
      <c r="F1323"/>
      <c r="G1323"/>
      <c r="H1323"/>
      <c r="I1323"/>
      <c r="J1323"/>
      <c r="K1323"/>
      <c r="L1323"/>
      <c r="M1323"/>
      <c r="N1323"/>
      <c r="O1323"/>
      <c r="P1323"/>
      <c r="Q1323"/>
      <c r="R1323"/>
      <c r="S1323"/>
      <c r="T1323"/>
    </row>
    <row r="1324" spans="1:20" x14ac:dyDescent="0.3">
      <c r="A1324"/>
      <c r="B1324"/>
      <c r="C1324"/>
      <c r="D1324"/>
      <c r="E1324"/>
      <c r="F1324"/>
      <c r="G1324"/>
      <c r="H1324"/>
      <c r="I1324"/>
      <c r="J1324"/>
      <c r="K1324"/>
      <c r="L1324"/>
      <c r="M1324"/>
      <c r="N1324"/>
      <c r="O1324"/>
      <c r="P1324"/>
      <c r="Q1324"/>
      <c r="R1324"/>
      <c r="S1324"/>
      <c r="T1324"/>
    </row>
    <row r="1325" spans="1:20" x14ac:dyDescent="0.3">
      <c r="A1325"/>
      <c r="B1325"/>
      <c r="C1325"/>
      <c r="D1325"/>
      <c r="E1325"/>
      <c r="F1325"/>
      <c r="G1325"/>
      <c r="H1325"/>
      <c r="I1325"/>
      <c r="J1325"/>
      <c r="K1325"/>
      <c r="L1325"/>
      <c r="M1325"/>
      <c r="N1325"/>
      <c r="O1325"/>
      <c r="P1325"/>
      <c r="Q1325"/>
      <c r="R1325"/>
      <c r="S1325"/>
      <c r="T1325"/>
    </row>
    <row r="1326" spans="1:20" x14ac:dyDescent="0.3">
      <c r="A1326"/>
      <c r="B1326"/>
      <c r="C1326"/>
      <c r="D1326"/>
      <c r="E1326"/>
      <c r="F1326"/>
      <c r="G1326"/>
      <c r="H1326"/>
      <c r="I1326"/>
      <c r="J1326"/>
      <c r="K1326"/>
      <c r="L1326"/>
      <c r="M1326"/>
      <c r="N1326"/>
      <c r="O1326"/>
      <c r="P1326"/>
      <c r="Q1326"/>
      <c r="R1326"/>
      <c r="S1326"/>
      <c r="T1326"/>
    </row>
    <row r="1327" spans="1:20" x14ac:dyDescent="0.3">
      <c r="A1327"/>
      <c r="B1327"/>
      <c r="C1327"/>
      <c r="D1327"/>
      <c r="E1327"/>
      <c r="F1327"/>
      <c r="G1327"/>
      <c r="H1327"/>
      <c r="I1327"/>
      <c r="J1327"/>
      <c r="K1327"/>
      <c r="L1327"/>
      <c r="M1327"/>
      <c r="N1327"/>
      <c r="O1327"/>
      <c r="P1327"/>
      <c r="Q1327"/>
      <c r="R1327"/>
      <c r="S1327"/>
      <c r="T1327"/>
    </row>
    <row r="1328" spans="1:20" x14ac:dyDescent="0.3">
      <c r="A1328"/>
      <c r="B1328"/>
      <c r="C1328"/>
      <c r="D1328"/>
      <c r="E1328"/>
      <c r="F1328"/>
      <c r="G1328"/>
      <c r="H1328"/>
      <c r="I1328"/>
      <c r="J1328"/>
      <c r="K1328"/>
      <c r="L1328"/>
      <c r="M1328"/>
      <c r="N1328"/>
      <c r="O1328"/>
      <c r="P1328"/>
      <c r="Q1328"/>
      <c r="R1328"/>
      <c r="S1328"/>
      <c r="T1328"/>
    </row>
    <row r="1329" spans="1:20" x14ac:dyDescent="0.3">
      <c r="A1329"/>
      <c r="B1329"/>
      <c r="C1329"/>
      <c r="D1329"/>
      <c r="E1329"/>
      <c r="F1329"/>
      <c r="G1329"/>
      <c r="H1329"/>
      <c r="I1329"/>
      <c r="J1329"/>
      <c r="K1329"/>
      <c r="L1329"/>
      <c r="M1329"/>
      <c r="N1329"/>
      <c r="O1329"/>
      <c r="P1329"/>
      <c r="Q1329"/>
      <c r="R1329"/>
      <c r="S1329"/>
      <c r="T1329"/>
    </row>
    <row r="1330" spans="1:20" x14ac:dyDescent="0.3">
      <c r="A1330"/>
      <c r="B1330"/>
      <c r="C1330"/>
      <c r="D1330"/>
      <c r="E1330"/>
      <c r="F1330"/>
      <c r="G1330"/>
      <c r="H1330"/>
      <c r="I1330"/>
      <c r="J1330"/>
      <c r="K1330"/>
      <c r="L1330"/>
      <c r="M1330"/>
      <c r="N1330"/>
      <c r="O1330"/>
      <c r="P1330"/>
      <c r="Q1330"/>
      <c r="R1330"/>
      <c r="S1330"/>
      <c r="T1330"/>
    </row>
    <row r="1331" spans="1:20" x14ac:dyDescent="0.3">
      <c r="A1331"/>
      <c r="B1331"/>
      <c r="C1331"/>
      <c r="D1331"/>
      <c r="E1331"/>
      <c r="F1331"/>
      <c r="G1331"/>
      <c r="H1331"/>
      <c r="I1331"/>
      <c r="J1331"/>
      <c r="K1331"/>
      <c r="L1331"/>
      <c r="M1331"/>
      <c r="N1331"/>
      <c r="O1331"/>
      <c r="P1331"/>
      <c r="Q1331"/>
      <c r="R1331"/>
      <c r="S1331"/>
      <c r="T1331"/>
    </row>
    <row r="1332" spans="1:20" x14ac:dyDescent="0.3">
      <c r="A1332"/>
      <c r="B1332"/>
      <c r="C1332"/>
      <c r="D1332"/>
      <c r="E1332"/>
      <c r="F1332"/>
      <c r="G1332"/>
      <c r="H1332"/>
      <c r="I1332"/>
      <c r="J1332"/>
      <c r="K1332"/>
      <c r="L1332"/>
      <c r="M1332"/>
      <c r="N1332"/>
      <c r="O1332"/>
      <c r="P1332"/>
      <c r="Q1332"/>
      <c r="R1332"/>
      <c r="S1332"/>
      <c r="T1332"/>
    </row>
    <row r="1333" spans="1:20" x14ac:dyDescent="0.3">
      <c r="A1333"/>
      <c r="B1333"/>
      <c r="C1333"/>
      <c r="D1333"/>
      <c r="E1333"/>
      <c r="F1333"/>
      <c r="G1333"/>
      <c r="H1333"/>
      <c r="I1333"/>
      <c r="J1333"/>
      <c r="K1333"/>
      <c r="L1333"/>
      <c r="M1333"/>
      <c r="N1333"/>
      <c r="O1333"/>
      <c r="P1333"/>
      <c r="Q1333"/>
      <c r="R1333"/>
      <c r="S1333"/>
      <c r="T1333"/>
    </row>
    <row r="1334" spans="1:20" x14ac:dyDescent="0.3">
      <c r="A1334"/>
      <c r="B1334"/>
      <c r="C1334"/>
      <c r="D1334"/>
      <c r="E1334"/>
      <c r="F1334"/>
      <c r="G1334"/>
      <c r="H1334"/>
      <c r="I1334"/>
      <c r="J1334"/>
      <c r="K1334"/>
      <c r="L1334"/>
      <c r="M1334"/>
      <c r="N1334"/>
      <c r="O1334"/>
      <c r="P1334"/>
      <c r="Q1334"/>
      <c r="R1334"/>
      <c r="S1334"/>
      <c r="T1334"/>
    </row>
    <row r="1335" spans="1:20" x14ac:dyDescent="0.3">
      <c r="A1335"/>
      <c r="B1335"/>
      <c r="C1335"/>
      <c r="D1335"/>
      <c r="E1335"/>
      <c r="F1335"/>
      <c r="G1335"/>
      <c r="H1335"/>
      <c r="I1335"/>
      <c r="J1335"/>
      <c r="K1335"/>
      <c r="L1335"/>
      <c r="M1335"/>
      <c r="N1335"/>
      <c r="O1335"/>
      <c r="P1335"/>
      <c r="Q1335"/>
      <c r="R1335"/>
      <c r="S1335"/>
      <c r="T1335"/>
    </row>
    <row r="1336" spans="1:20" x14ac:dyDescent="0.3">
      <c r="A1336"/>
      <c r="B1336"/>
      <c r="C1336"/>
      <c r="D1336"/>
      <c r="E1336"/>
      <c r="F1336"/>
      <c r="G1336"/>
      <c r="H1336"/>
      <c r="I1336"/>
      <c r="J1336"/>
      <c r="K1336"/>
      <c r="L1336"/>
      <c r="M1336"/>
      <c r="N1336"/>
      <c r="O1336"/>
      <c r="P1336"/>
      <c r="Q1336"/>
      <c r="R1336"/>
      <c r="S1336"/>
      <c r="T1336"/>
    </row>
    <row r="1337" spans="1:20" x14ac:dyDescent="0.3">
      <c r="A1337"/>
      <c r="B1337"/>
      <c r="C1337"/>
      <c r="D1337"/>
      <c r="E1337"/>
      <c r="F1337"/>
      <c r="G1337"/>
      <c r="H1337"/>
      <c r="I1337"/>
      <c r="J1337"/>
      <c r="K1337"/>
      <c r="L1337"/>
      <c r="M1337"/>
      <c r="N1337"/>
      <c r="O1337"/>
      <c r="P1337"/>
      <c r="Q1337"/>
      <c r="R1337"/>
      <c r="S1337"/>
      <c r="T1337"/>
    </row>
    <row r="1338" spans="1:20" x14ac:dyDescent="0.3">
      <c r="A1338"/>
      <c r="B1338"/>
      <c r="C1338"/>
      <c r="D1338"/>
      <c r="E1338"/>
      <c r="F1338"/>
      <c r="G1338"/>
      <c r="H1338"/>
      <c r="I1338"/>
      <c r="J1338"/>
      <c r="K1338"/>
      <c r="L1338"/>
      <c r="M1338"/>
      <c r="N1338"/>
      <c r="O1338"/>
      <c r="P1338"/>
      <c r="Q1338"/>
      <c r="R1338"/>
      <c r="S1338"/>
      <c r="T1338"/>
    </row>
    <row r="1339" spans="1:20" x14ac:dyDescent="0.3">
      <c r="A1339"/>
      <c r="B1339"/>
      <c r="C1339"/>
      <c r="D1339"/>
      <c r="E1339"/>
      <c r="F1339"/>
      <c r="G1339"/>
      <c r="H1339"/>
      <c r="I1339"/>
      <c r="J1339"/>
      <c r="K1339"/>
      <c r="L1339"/>
      <c r="M1339"/>
      <c r="N1339"/>
      <c r="O1339"/>
      <c r="P1339"/>
      <c r="Q1339"/>
      <c r="R1339"/>
      <c r="S1339"/>
      <c r="T1339"/>
    </row>
    <row r="1340" spans="1:20" x14ac:dyDescent="0.3">
      <c r="A1340"/>
      <c r="B1340"/>
      <c r="C1340"/>
      <c r="D1340"/>
      <c r="E1340"/>
      <c r="F1340"/>
      <c r="G1340"/>
      <c r="H1340"/>
      <c r="I1340"/>
      <c r="J1340"/>
      <c r="K1340"/>
      <c r="L1340"/>
      <c r="M1340"/>
      <c r="N1340"/>
      <c r="O1340"/>
      <c r="P1340"/>
      <c r="Q1340"/>
      <c r="R1340"/>
      <c r="S1340"/>
      <c r="T1340"/>
    </row>
    <row r="1341" spans="1:20" x14ac:dyDescent="0.3">
      <c r="A1341"/>
      <c r="B1341"/>
      <c r="C1341"/>
      <c r="D1341"/>
      <c r="E1341"/>
      <c r="F1341"/>
      <c r="G1341"/>
      <c r="H1341"/>
      <c r="I1341"/>
      <c r="J1341"/>
      <c r="K1341"/>
      <c r="L1341"/>
      <c r="M1341"/>
      <c r="N1341"/>
      <c r="O1341"/>
      <c r="P1341"/>
      <c r="Q1341"/>
      <c r="R1341"/>
      <c r="S1341"/>
      <c r="T1341"/>
    </row>
    <row r="1342" spans="1:20" x14ac:dyDescent="0.3">
      <c r="A1342"/>
      <c r="B1342"/>
      <c r="C1342"/>
      <c r="D1342"/>
      <c r="E1342"/>
      <c r="F1342"/>
      <c r="G1342"/>
      <c r="H1342"/>
      <c r="I1342"/>
      <c r="J1342"/>
      <c r="K1342"/>
      <c r="L1342"/>
      <c r="M1342"/>
      <c r="N1342"/>
      <c r="O1342"/>
      <c r="P1342"/>
      <c r="Q1342"/>
      <c r="R1342"/>
      <c r="S1342"/>
      <c r="T1342"/>
    </row>
    <row r="1343" spans="1:20" x14ac:dyDescent="0.3">
      <c r="A1343"/>
      <c r="B1343"/>
      <c r="C1343"/>
      <c r="D1343"/>
      <c r="E1343"/>
      <c r="F1343"/>
      <c r="G1343"/>
      <c r="H1343"/>
      <c r="I1343"/>
      <c r="J1343"/>
      <c r="K1343"/>
      <c r="L1343"/>
      <c r="M1343"/>
      <c r="N1343"/>
      <c r="O1343"/>
      <c r="P1343"/>
      <c r="Q1343"/>
      <c r="R1343"/>
      <c r="S1343"/>
      <c r="T1343"/>
    </row>
    <row r="1344" spans="1:20" x14ac:dyDescent="0.3">
      <c r="A1344"/>
      <c r="B1344"/>
      <c r="C1344"/>
      <c r="D1344"/>
      <c r="E1344"/>
      <c r="F1344"/>
      <c r="G1344"/>
      <c r="H1344"/>
      <c r="I1344"/>
      <c r="J1344"/>
      <c r="K1344"/>
      <c r="L1344"/>
      <c r="M1344"/>
      <c r="N1344"/>
      <c r="O1344"/>
      <c r="P1344"/>
      <c r="Q1344"/>
      <c r="R1344"/>
      <c r="S1344"/>
      <c r="T1344"/>
    </row>
    <row r="1345" spans="1:20" x14ac:dyDescent="0.3">
      <c r="A1345"/>
      <c r="B1345"/>
      <c r="C1345"/>
      <c r="D1345"/>
      <c r="E1345"/>
      <c r="F1345"/>
      <c r="G1345"/>
      <c r="H1345"/>
      <c r="I1345"/>
      <c r="J1345"/>
      <c r="K1345"/>
      <c r="L1345"/>
      <c r="M1345"/>
      <c r="N1345"/>
      <c r="O1345"/>
      <c r="P1345"/>
      <c r="Q1345"/>
      <c r="R1345"/>
      <c r="S1345"/>
      <c r="T1345"/>
    </row>
    <row r="1346" spans="1:20" x14ac:dyDescent="0.3">
      <c r="A1346"/>
      <c r="B1346"/>
      <c r="C1346"/>
      <c r="D1346"/>
      <c r="E1346"/>
      <c r="F1346"/>
      <c r="G1346"/>
      <c r="H1346"/>
      <c r="I1346"/>
      <c r="J1346"/>
      <c r="K1346"/>
      <c r="L1346"/>
      <c r="M1346"/>
      <c r="N1346"/>
      <c r="O1346"/>
      <c r="P1346"/>
      <c r="Q1346"/>
      <c r="R1346"/>
      <c r="S1346"/>
      <c r="T1346"/>
    </row>
    <row r="1347" spans="1:20" x14ac:dyDescent="0.3">
      <c r="A1347"/>
      <c r="B1347"/>
      <c r="C1347"/>
      <c r="D1347"/>
      <c r="E1347"/>
      <c r="F1347"/>
      <c r="G1347"/>
      <c r="H1347"/>
      <c r="I1347"/>
      <c r="J1347"/>
      <c r="K1347"/>
      <c r="L1347"/>
      <c r="M1347"/>
      <c r="N1347"/>
      <c r="O1347"/>
      <c r="P1347"/>
      <c r="Q1347"/>
      <c r="R1347"/>
      <c r="S1347"/>
      <c r="T1347"/>
    </row>
    <row r="1348" spans="1:20" x14ac:dyDescent="0.3">
      <c r="A1348"/>
      <c r="B1348"/>
      <c r="C1348"/>
      <c r="D1348"/>
      <c r="E1348"/>
      <c r="F1348"/>
      <c r="G1348"/>
      <c r="H1348"/>
      <c r="I1348"/>
      <c r="J1348"/>
      <c r="K1348"/>
      <c r="L1348"/>
      <c r="M1348"/>
      <c r="N1348"/>
      <c r="O1348"/>
      <c r="P1348"/>
      <c r="Q1348"/>
      <c r="R1348"/>
      <c r="S1348"/>
      <c r="T1348"/>
    </row>
    <row r="1349" spans="1:20" x14ac:dyDescent="0.3">
      <c r="A1349"/>
      <c r="B1349"/>
      <c r="C1349"/>
      <c r="D1349"/>
      <c r="E1349"/>
      <c r="F1349"/>
      <c r="G1349"/>
      <c r="H1349"/>
      <c r="I1349"/>
      <c r="J1349"/>
      <c r="K1349"/>
      <c r="L1349"/>
      <c r="M1349"/>
      <c r="N1349"/>
      <c r="O1349"/>
      <c r="P1349"/>
      <c r="Q1349"/>
      <c r="R1349"/>
      <c r="S1349"/>
      <c r="T1349"/>
    </row>
    <row r="1350" spans="1:20" x14ac:dyDescent="0.3">
      <c r="A1350"/>
      <c r="B1350"/>
      <c r="C1350"/>
      <c r="D1350"/>
      <c r="E1350"/>
      <c r="F1350"/>
      <c r="G1350"/>
      <c r="H1350"/>
      <c r="I1350"/>
      <c r="J1350"/>
      <c r="K1350"/>
      <c r="L1350"/>
      <c r="M1350"/>
      <c r="N1350"/>
      <c r="O1350"/>
      <c r="P1350"/>
      <c r="Q1350"/>
      <c r="R1350"/>
      <c r="S1350"/>
      <c r="T1350"/>
    </row>
    <row r="1351" spans="1:20" x14ac:dyDescent="0.3">
      <c r="A1351"/>
      <c r="B1351"/>
      <c r="C1351"/>
      <c r="D1351"/>
      <c r="E1351"/>
      <c r="F1351"/>
      <c r="G1351"/>
      <c r="H1351"/>
      <c r="I1351"/>
      <c r="J1351"/>
      <c r="K1351"/>
      <c r="L1351"/>
      <c r="M1351"/>
      <c r="N1351"/>
      <c r="O1351"/>
      <c r="P1351"/>
      <c r="Q1351"/>
      <c r="R1351"/>
      <c r="S1351"/>
      <c r="T1351"/>
    </row>
    <row r="1352" spans="1:20" x14ac:dyDescent="0.3">
      <c r="A1352"/>
      <c r="B1352"/>
      <c r="C1352"/>
      <c r="D1352"/>
      <c r="E1352"/>
      <c r="F1352"/>
      <c r="G1352"/>
      <c r="H1352"/>
      <c r="I1352"/>
      <c r="J1352"/>
      <c r="K1352"/>
      <c r="L1352"/>
      <c r="M1352"/>
      <c r="N1352"/>
      <c r="O1352"/>
      <c r="P1352"/>
      <c r="Q1352"/>
      <c r="R1352"/>
      <c r="S1352"/>
      <c r="T1352"/>
    </row>
    <row r="1353" spans="1:20" x14ac:dyDescent="0.3">
      <c r="A1353"/>
      <c r="B1353"/>
      <c r="C1353"/>
      <c r="D1353"/>
      <c r="E1353"/>
      <c r="F1353"/>
      <c r="G1353"/>
      <c r="H1353"/>
      <c r="I1353"/>
      <c r="J1353"/>
      <c r="K1353"/>
      <c r="L1353"/>
      <c r="M1353"/>
      <c r="N1353"/>
      <c r="O1353"/>
      <c r="P1353"/>
      <c r="Q1353"/>
      <c r="R1353"/>
      <c r="S1353"/>
      <c r="T1353"/>
    </row>
    <row r="1354" spans="1:20" x14ac:dyDescent="0.3">
      <c r="A1354"/>
      <c r="B1354"/>
      <c r="C1354"/>
      <c r="D1354"/>
      <c r="E1354"/>
      <c r="F1354"/>
      <c r="G1354"/>
      <c r="H1354"/>
      <c r="I1354"/>
      <c r="J1354"/>
      <c r="K1354"/>
      <c r="L1354"/>
      <c r="M1354"/>
      <c r="N1354"/>
      <c r="O1354"/>
      <c r="P1354"/>
      <c r="Q1354"/>
      <c r="R1354"/>
      <c r="S1354"/>
      <c r="T1354"/>
    </row>
    <row r="1355" spans="1:20" x14ac:dyDescent="0.3">
      <c r="A1355"/>
      <c r="B1355"/>
      <c r="C1355"/>
      <c r="D1355"/>
      <c r="E1355"/>
      <c r="F1355"/>
      <c r="G1355"/>
      <c r="H1355"/>
      <c r="I1355"/>
      <c r="J1355"/>
      <c r="K1355"/>
      <c r="L1355"/>
      <c r="M1355"/>
      <c r="N1355"/>
      <c r="O1355"/>
      <c r="P1355"/>
      <c r="Q1355"/>
      <c r="R1355"/>
      <c r="S1355"/>
      <c r="T1355"/>
    </row>
    <row r="1356" spans="1:20" x14ac:dyDescent="0.3">
      <c r="A1356"/>
      <c r="B1356"/>
      <c r="C1356"/>
      <c r="D1356"/>
      <c r="E1356"/>
      <c r="F1356"/>
      <c r="G1356"/>
      <c r="H1356"/>
      <c r="I1356"/>
      <c r="J1356"/>
      <c r="K1356"/>
      <c r="L1356"/>
      <c r="M1356"/>
      <c r="N1356"/>
      <c r="O1356"/>
      <c r="P1356"/>
      <c r="Q1356"/>
      <c r="R1356"/>
      <c r="S1356"/>
      <c r="T1356"/>
    </row>
    <row r="1357" spans="1:20" x14ac:dyDescent="0.3">
      <c r="A1357"/>
      <c r="B1357"/>
      <c r="C1357"/>
      <c r="D1357"/>
      <c r="E1357"/>
      <c r="F1357"/>
      <c r="G1357"/>
      <c r="H1357"/>
      <c r="I1357"/>
      <c r="J1357"/>
      <c r="K1357"/>
      <c r="L1357"/>
      <c r="M1357"/>
      <c r="N1357"/>
      <c r="O1357"/>
      <c r="P1357"/>
      <c r="Q1357"/>
      <c r="R1357"/>
      <c r="S1357"/>
      <c r="T1357"/>
    </row>
    <row r="1358" spans="1:20" x14ac:dyDescent="0.3">
      <c r="A1358"/>
      <c r="B1358"/>
      <c r="C1358"/>
      <c r="D1358"/>
      <c r="E1358"/>
      <c r="F1358"/>
      <c r="G1358"/>
      <c r="H1358"/>
      <c r="I1358"/>
      <c r="J1358"/>
      <c r="K1358"/>
      <c r="L1358"/>
      <c r="M1358"/>
      <c r="N1358"/>
      <c r="O1358"/>
      <c r="P1358"/>
      <c r="Q1358"/>
      <c r="R1358"/>
      <c r="S1358"/>
      <c r="T1358"/>
    </row>
    <row r="1359" spans="1:20" x14ac:dyDescent="0.3">
      <c r="A1359"/>
      <c r="B1359"/>
      <c r="C1359"/>
      <c r="D1359"/>
      <c r="E1359"/>
      <c r="F1359"/>
      <c r="G1359"/>
      <c r="H1359"/>
      <c r="I1359"/>
      <c r="J1359"/>
      <c r="K1359"/>
      <c r="L1359"/>
      <c r="M1359"/>
      <c r="N1359"/>
      <c r="O1359"/>
      <c r="P1359"/>
      <c r="Q1359"/>
      <c r="R1359"/>
      <c r="S1359"/>
      <c r="T1359"/>
    </row>
    <row r="1360" spans="1:20" x14ac:dyDescent="0.3">
      <c r="A1360"/>
      <c r="B1360"/>
      <c r="C1360"/>
      <c r="D1360"/>
      <c r="E1360"/>
      <c r="F1360"/>
      <c r="G1360"/>
      <c r="H1360"/>
      <c r="I1360"/>
      <c r="J1360"/>
      <c r="K1360"/>
      <c r="L1360"/>
      <c r="M1360"/>
      <c r="N1360"/>
      <c r="O1360"/>
      <c r="P1360"/>
      <c r="Q1360"/>
      <c r="R1360"/>
      <c r="S1360"/>
      <c r="T1360"/>
    </row>
    <row r="1361" spans="1:20" x14ac:dyDescent="0.3">
      <c r="A1361"/>
      <c r="B1361"/>
      <c r="C1361"/>
      <c r="D1361"/>
      <c r="E1361"/>
      <c r="F1361"/>
      <c r="G1361"/>
      <c r="H1361"/>
      <c r="I1361"/>
      <c r="J1361"/>
      <c r="K1361"/>
      <c r="L1361"/>
      <c r="M1361"/>
      <c r="N1361"/>
      <c r="O1361"/>
      <c r="P1361"/>
      <c r="Q1361"/>
      <c r="R1361"/>
      <c r="S1361"/>
      <c r="T1361"/>
    </row>
    <row r="1362" spans="1:20" x14ac:dyDescent="0.3">
      <c r="A1362"/>
      <c r="B1362"/>
      <c r="C1362"/>
      <c r="D1362"/>
      <c r="E1362"/>
      <c r="F1362"/>
      <c r="G1362"/>
      <c r="H1362"/>
      <c r="I1362"/>
      <c r="J1362"/>
      <c r="K1362"/>
      <c r="L1362"/>
      <c r="M1362"/>
      <c r="N1362"/>
      <c r="O1362"/>
      <c r="P1362"/>
      <c r="Q1362"/>
      <c r="R1362"/>
      <c r="S1362"/>
      <c r="T1362"/>
    </row>
    <row r="1363" spans="1:20" x14ac:dyDescent="0.3">
      <c r="A1363"/>
      <c r="B1363"/>
      <c r="C1363"/>
      <c r="D1363"/>
      <c r="E1363"/>
      <c r="F1363"/>
      <c r="G1363"/>
      <c r="H1363"/>
      <c r="I1363"/>
      <c r="J1363"/>
      <c r="K1363"/>
      <c r="L1363"/>
      <c r="M1363"/>
      <c r="N1363"/>
      <c r="O1363"/>
      <c r="P1363"/>
      <c r="Q1363"/>
      <c r="R1363"/>
      <c r="S1363"/>
      <c r="T1363"/>
    </row>
    <row r="1364" spans="1:20" x14ac:dyDescent="0.3">
      <c r="A1364"/>
      <c r="B1364"/>
      <c r="C1364"/>
      <c r="D1364"/>
      <c r="E1364"/>
      <c r="F1364"/>
      <c r="G1364"/>
      <c r="H1364"/>
      <c r="I1364"/>
      <c r="J1364"/>
      <c r="K1364"/>
      <c r="L1364"/>
      <c r="M1364"/>
      <c r="N1364"/>
      <c r="O1364"/>
      <c r="P1364"/>
      <c r="Q1364"/>
      <c r="R1364"/>
      <c r="S1364"/>
      <c r="T1364"/>
    </row>
    <row r="1365" spans="1:20" x14ac:dyDescent="0.3">
      <c r="A1365"/>
      <c r="B1365"/>
      <c r="C1365"/>
      <c r="D1365"/>
      <c r="E1365"/>
      <c r="F1365"/>
      <c r="G1365"/>
      <c r="H1365"/>
      <c r="I1365"/>
      <c r="J1365"/>
      <c r="K1365"/>
      <c r="L1365"/>
      <c r="M1365"/>
      <c r="N1365"/>
      <c r="O1365"/>
      <c r="P1365"/>
      <c r="Q1365"/>
      <c r="R1365"/>
      <c r="S1365"/>
      <c r="T1365"/>
    </row>
    <row r="1366" spans="1:20" x14ac:dyDescent="0.3">
      <c r="A1366"/>
      <c r="B1366"/>
      <c r="C1366"/>
      <c r="D1366"/>
      <c r="E1366"/>
      <c r="F1366"/>
      <c r="G1366"/>
      <c r="H1366"/>
      <c r="I1366"/>
      <c r="J1366"/>
      <c r="K1366"/>
      <c r="L1366"/>
      <c r="M1366"/>
      <c r="N1366"/>
      <c r="O1366"/>
      <c r="P1366"/>
      <c r="Q1366"/>
      <c r="R1366"/>
      <c r="S1366"/>
      <c r="T1366"/>
    </row>
    <row r="1367" spans="1:20" x14ac:dyDescent="0.3">
      <c r="A1367"/>
      <c r="B1367"/>
      <c r="C1367"/>
      <c r="D1367"/>
      <c r="E1367"/>
      <c r="F1367"/>
      <c r="G1367"/>
      <c r="H1367"/>
      <c r="I1367"/>
      <c r="J1367"/>
      <c r="K1367"/>
      <c r="L1367"/>
      <c r="M1367"/>
      <c r="N1367"/>
      <c r="O1367"/>
      <c r="P1367"/>
      <c r="Q1367"/>
      <c r="R1367"/>
      <c r="S1367"/>
      <c r="T1367"/>
    </row>
    <row r="1368" spans="1:20" x14ac:dyDescent="0.3">
      <c r="A1368"/>
      <c r="B1368"/>
      <c r="C1368"/>
      <c r="D1368"/>
      <c r="E1368"/>
      <c r="F1368"/>
      <c r="G1368"/>
      <c r="H1368"/>
      <c r="I1368"/>
      <c r="J1368"/>
      <c r="K1368"/>
      <c r="L1368"/>
      <c r="M1368"/>
      <c r="N1368"/>
      <c r="O1368"/>
      <c r="P1368"/>
      <c r="Q1368"/>
      <c r="R1368"/>
      <c r="S1368"/>
      <c r="T1368"/>
    </row>
    <row r="1369" spans="1:20" x14ac:dyDescent="0.3">
      <c r="A1369"/>
      <c r="B1369"/>
      <c r="C1369"/>
      <c r="D1369"/>
      <c r="E1369"/>
      <c r="F1369"/>
      <c r="G1369"/>
      <c r="H1369"/>
      <c r="I1369"/>
      <c r="J1369"/>
      <c r="K1369"/>
      <c r="L1369"/>
      <c r="M1369"/>
      <c r="N1369"/>
      <c r="O1369"/>
      <c r="P1369"/>
      <c r="Q1369"/>
      <c r="R1369"/>
      <c r="S1369"/>
      <c r="T1369"/>
    </row>
    <row r="1370" spans="1:20" x14ac:dyDescent="0.3">
      <c r="A1370"/>
      <c r="B1370"/>
      <c r="C1370"/>
      <c r="D1370"/>
      <c r="E1370"/>
      <c r="F1370"/>
      <c r="G1370"/>
      <c r="H1370"/>
      <c r="I1370"/>
      <c r="J1370"/>
      <c r="K1370"/>
      <c r="L1370"/>
      <c r="M1370"/>
      <c r="N1370"/>
      <c r="O1370"/>
      <c r="P1370"/>
      <c r="Q1370"/>
      <c r="R1370"/>
      <c r="S1370"/>
      <c r="T1370"/>
    </row>
    <row r="1371" spans="1:20" x14ac:dyDescent="0.3">
      <c r="A1371"/>
      <c r="B1371"/>
      <c r="C1371"/>
      <c r="D1371"/>
      <c r="E1371"/>
      <c r="F1371"/>
      <c r="G1371"/>
      <c r="H1371"/>
      <c r="I1371"/>
      <c r="J1371"/>
      <c r="K1371"/>
      <c r="L1371"/>
      <c r="M1371"/>
      <c r="N1371"/>
      <c r="O1371"/>
      <c r="P1371"/>
      <c r="Q1371"/>
      <c r="R1371"/>
      <c r="S1371"/>
      <c r="T1371"/>
    </row>
    <row r="1372" spans="1:20" x14ac:dyDescent="0.3">
      <c r="A1372"/>
      <c r="B1372"/>
      <c r="C1372"/>
      <c r="D1372"/>
      <c r="E1372"/>
      <c r="F1372"/>
      <c r="G1372"/>
      <c r="H1372"/>
      <c r="I1372"/>
      <c r="J1372"/>
      <c r="K1372"/>
      <c r="L1372"/>
      <c r="M1372"/>
      <c r="N1372"/>
      <c r="O1372"/>
      <c r="P1372"/>
      <c r="Q1372"/>
      <c r="R1372"/>
      <c r="S1372"/>
      <c r="T1372"/>
    </row>
    <row r="1373" spans="1:20" x14ac:dyDescent="0.3">
      <c r="A1373"/>
      <c r="B1373"/>
      <c r="C1373"/>
      <c r="D1373"/>
      <c r="E1373"/>
      <c r="F1373"/>
      <c r="G1373"/>
      <c r="H1373"/>
      <c r="I1373"/>
      <c r="J1373"/>
      <c r="K1373"/>
      <c r="L1373"/>
      <c r="M1373"/>
      <c r="N1373"/>
      <c r="O1373"/>
      <c r="P1373"/>
      <c r="Q1373"/>
      <c r="R1373"/>
      <c r="S1373"/>
      <c r="T1373"/>
    </row>
    <row r="1374" spans="1:20" x14ac:dyDescent="0.3">
      <c r="A1374"/>
      <c r="B1374"/>
      <c r="C1374"/>
      <c r="D1374"/>
      <c r="E1374"/>
      <c r="F1374"/>
      <c r="G1374"/>
      <c r="H1374"/>
      <c r="I1374"/>
      <c r="J1374"/>
      <c r="K1374"/>
      <c r="L1374"/>
      <c r="M1374"/>
      <c r="N1374"/>
      <c r="O1374"/>
      <c r="P1374"/>
      <c r="Q1374"/>
      <c r="R1374"/>
      <c r="S1374"/>
      <c r="T1374"/>
    </row>
    <row r="1375" spans="1:20" x14ac:dyDescent="0.3">
      <c r="A1375"/>
      <c r="B1375"/>
      <c r="C1375"/>
      <c r="D1375"/>
      <c r="E1375"/>
      <c r="F1375"/>
      <c r="G1375"/>
      <c r="H1375"/>
      <c r="I1375"/>
      <c r="J1375"/>
      <c r="K1375"/>
      <c r="L1375"/>
      <c r="M1375"/>
      <c r="N1375"/>
      <c r="O1375"/>
      <c r="P1375"/>
      <c r="Q1375"/>
      <c r="R1375"/>
      <c r="S1375"/>
      <c r="T1375"/>
    </row>
    <row r="1376" spans="1:20" x14ac:dyDescent="0.3">
      <c r="A1376"/>
      <c r="B1376"/>
      <c r="C1376"/>
      <c r="D1376"/>
      <c r="E1376"/>
      <c r="F1376"/>
      <c r="G1376"/>
      <c r="H1376"/>
      <c r="I1376"/>
      <c r="J1376"/>
      <c r="K1376"/>
      <c r="L1376"/>
      <c r="M1376"/>
      <c r="N1376"/>
      <c r="O1376"/>
      <c r="P1376"/>
      <c r="Q1376"/>
      <c r="R1376"/>
      <c r="S1376"/>
      <c r="T1376"/>
    </row>
    <row r="1377" spans="1:20" x14ac:dyDescent="0.3">
      <c r="A1377"/>
      <c r="B1377"/>
      <c r="C1377"/>
      <c r="D1377"/>
      <c r="E1377"/>
      <c r="F1377"/>
      <c r="G1377"/>
      <c r="H1377"/>
      <c r="I1377"/>
      <c r="J1377"/>
      <c r="K1377"/>
      <c r="L1377"/>
      <c r="M1377"/>
      <c r="N1377"/>
      <c r="O1377"/>
      <c r="P1377"/>
      <c r="Q1377"/>
      <c r="R1377"/>
      <c r="S1377"/>
      <c r="T1377"/>
    </row>
    <row r="1378" spans="1:20" x14ac:dyDescent="0.3">
      <c r="A1378"/>
      <c r="B1378"/>
      <c r="C1378"/>
      <c r="D1378"/>
      <c r="E1378"/>
      <c r="F1378"/>
      <c r="G1378"/>
      <c r="H1378"/>
      <c r="I1378"/>
      <c r="J1378"/>
      <c r="K1378"/>
      <c r="L1378"/>
      <c r="M1378"/>
      <c r="N1378"/>
      <c r="O1378"/>
      <c r="P1378"/>
      <c r="Q1378"/>
      <c r="R1378"/>
      <c r="S1378"/>
      <c r="T1378"/>
    </row>
    <row r="1379" spans="1:20" x14ac:dyDescent="0.3">
      <c r="A1379"/>
      <c r="B1379"/>
      <c r="C1379"/>
      <c r="D1379"/>
      <c r="E1379"/>
      <c r="F1379"/>
      <c r="G1379"/>
      <c r="H1379"/>
      <c r="I1379"/>
      <c r="J1379"/>
      <c r="K1379"/>
      <c r="L1379"/>
      <c r="M1379"/>
      <c r="N1379"/>
      <c r="O1379"/>
      <c r="P1379"/>
      <c r="Q1379"/>
      <c r="R1379"/>
      <c r="S1379"/>
      <c r="T1379"/>
    </row>
    <row r="1380" spans="1:20" x14ac:dyDescent="0.3">
      <c r="A1380"/>
      <c r="B1380"/>
      <c r="C1380"/>
      <c r="D1380"/>
      <c r="E1380"/>
      <c r="F1380"/>
      <c r="G1380"/>
      <c r="H1380"/>
      <c r="I1380"/>
      <c r="J1380"/>
      <c r="K1380"/>
      <c r="L1380"/>
      <c r="M1380"/>
      <c r="N1380"/>
      <c r="O1380"/>
      <c r="P1380"/>
      <c r="Q1380"/>
      <c r="R1380"/>
      <c r="S1380"/>
      <c r="T1380"/>
    </row>
    <row r="1381" spans="1:20" x14ac:dyDescent="0.3">
      <c r="A1381"/>
      <c r="B1381"/>
      <c r="C1381"/>
      <c r="D1381"/>
      <c r="E1381"/>
      <c r="F1381"/>
      <c r="G1381"/>
      <c r="H1381"/>
      <c r="I1381"/>
      <c r="J1381"/>
      <c r="K1381"/>
      <c r="L1381"/>
      <c r="M1381"/>
      <c r="N1381"/>
      <c r="O1381"/>
      <c r="P1381"/>
      <c r="Q1381"/>
      <c r="R1381"/>
      <c r="S1381"/>
      <c r="T1381"/>
    </row>
    <row r="1382" spans="1:20" x14ac:dyDescent="0.3">
      <c r="A1382"/>
      <c r="B1382"/>
      <c r="C1382"/>
      <c r="D1382"/>
      <c r="E1382"/>
      <c r="F1382"/>
      <c r="G1382"/>
      <c r="H1382"/>
      <c r="I1382"/>
      <c r="J1382"/>
      <c r="K1382"/>
      <c r="L1382"/>
      <c r="M1382"/>
      <c r="N1382"/>
      <c r="O1382"/>
      <c r="P1382"/>
      <c r="Q1382"/>
      <c r="R1382"/>
      <c r="S1382"/>
      <c r="T1382"/>
    </row>
    <row r="1383" spans="1:20" x14ac:dyDescent="0.3">
      <c r="A1383"/>
      <c r="B1383"/>
      <c r="C1383"/>
      <c r="D1383"/>
      <c r="E1383"/>
      <c r="F1383"/>
      <c r="G1383"/>
      <c r="H1383"/>
      <c r="I1383"/>
      <c r="J1383"/>
      <c r="K1383"/>
      <c r="L1383"/>
      <c r="M1383"/>
      <c r="N1383"/>
      <c r="O1383"/>
      <c r="P1383"/>
      <c r="Q1383"/>
      <c r="R1383"/>
      <c r="S1383"/>
      <c r="T1383"/>
    </row>
    <row r="1384" spans="1:20" x14ac:dyDescent="0.3">
      <c r="A1384"/>
      <c r="B1384"/>
      <c r="C1384"/>
      <c r="D1384"/>
      <c r="E1384"/>
      <c r="F1384"/>
      <c r="G1384"/>
      <c r="H1384"/>
      <c r="I1384"/>
      <c r="J1384"/>
      <c r="K1384"/>
      <c r="L1384"/>
      <c r="M1384"/>
      <c r="N1384"/>
      <c r="O1384"/>
      <c r="P1384"/>
      <c r="Q1384"/>
      <c r="R1384"/>
      <c r="S1384"/>
      <c r="T1384"/>
    </row>
    <row r="1385" spans="1:20" x14ac:dyDescent="0.3">
      <c r="A1385"/>
      <c r="B1385"/>
      <c r="C1385"/>
      <c r="D1385"/>
      <c r="E1385"/>
      <c r="F1385"/>
      <c r="G1385"/>
      <c r="H1385"/>
      <c r="I1385"/>
      <c r="J1385"/>
      <c r="K1385"/>
      <c r="L1385"/>
      <c r="M1385"/>
      <c r="N1385"/>
      <c r="O1385"/>
      <c r="P1385"/>
      <c r="Q1385"/>
      <c r="R1385"/>
      <c r="S1385"/>
      <c r="T1385"/>
    </row>
    <row r="1386" spans="1:20" x14ac:dyDescent="0.3">
      <c r="A1386"/>
      <c r="B1386"/>
      <c r="C1386"/>
      <c r="D1386"/>
      <c r="E1386"/>
      <c r="F1386"/>
      <c r="G1386"/>
      <c r="H1386"/>
      <c r="I1386"/>
      <c r="J1386"/>
      <c r="K1386"/>
      <c r="L1386"/>
      <c r="M1386"/>
      <c r="N1386"/>
      <c r="O1386"/>
      <c r="P1386"/>
      <c r="Q1386"/>
      <c r="R1386"/>
      <c r="S1386"/>
      <c r="T1386"/>
    </row>
    <row r="1387" spans="1:20" x14ac:dyDescent="0.3">
      <c r="A1387"/>
      <c r="B1387"/>
      <c r="C1387"/>
      <c r="D1387"/>
      <c r="E1387"/>
      <c r="F1387"/>
      <c r="G1387"/>
      <c r="H1387"/>
      <c r="I1387"/>
      <c r="J1387"/>
      <c r="K1387"/>
      <c r="L1387"/>
      <c r="M1387"/>
      <c r="N1387"/>
      <c r="O1387"/>
      <c r="P1387"/>
      <c r="Q1387"/>
      <c r="R1387"/>
      <c r="S1387"/>
      <c r="T1387"/>
    </row>
    <row r="1388" spans="1:20" x14ac:dyDescent="0.3">
      <c r="A1388"/>
      <c r="B1388"/>
      <c r="C1388"/>
      <c r="D1388"/>
      <c r="E1388"/>
      <c r="F1388"/>
      <c r="G1388"/>
      <c r="H1388"/>
      <c r="I1388"/>
      <c r="J1388"/>
      <c r="K1388"/>
      <c r="L1388"/>
      <c r="M1388"/>
      <c r="N1388"/>
      <c r="O1388"/>
      <c r="P1388"/>
      <c r="Q1388"/>
      <c r="R1388"/>
      <c r="S1388"/>
      <c r="T1388"/>
    </row>
    <row r="1389" spans="1:20" x14ac:dyDescent="0.3">
      <c r="A1389"/>
      <c r="B1389"/>
      <c r="C1389"/>
      <c r="D1389"/>
      <c r="E1389"/>
      <c r="F1389"/>
      <c r="G1389"/>
      <c r="H1389"/>
      <c r="I1389"/>
      <c r="J1389"/>
      <c r="K1389"/>
      <c r="L1389"/>
      <c r="M1389"/>
      <c r="N1389"/>
      <c r="O1389"/>
      <c r="P1389"/>
      <c r="Q1389"/>
      <c r="R1389"/>
      <c r="S1389"/>
      <c r="T1389"/>
    </row>
    <row r="1390" spans="1:20" x14ac:dyDescent="0.3">
      <c r="A1390"/>
      <c r="B1390"/>
      <c r="C1390"/>
      <c r="D1390"/>
      <c r="E1390"/>
      <c r="F1390"/>
      <c r="G1390"/>
      <c r="H1390"/>
      <c r="I1390"/>
      <c r="J1390"/>
      <c r="K1390"/>
      <c r="L1390"/>
      <c r="M1390"/>
      <c r="N1390"/>
      <c r="O1390"/>
      <c r="P1390"/>
      <c r="Q1390"/>
      <c r="R1390"/>
      <c r="S1390"/>
      <c r="T1390"/>
    </row>
    <row r="1391" spans="1:20" x14ac:dyDescent="0.3">
      <c r="A1391"/>
      <c r="B1391"/>
      <c r="C1391"/>
      <c r="D1391"/>
      <c r="E1391"/>
      <c r="F1391"/>
      <c r="G1391"/>
      <c r="H1391"/>
      <c r="I1391"/>
      <c r="J1391"/>
      <c r="K1391"/>
      <c r="L1391"/>
      <c r="M1391"/>
      <c r="N1391"/>
      <c r="O1391"/>
      <c r="P1391"/>
      <c r="Q1391"/>
      <c r="R1391"/>
      <c r="S1391"/>
      <c r="T1391"/>
    </row>
    <row r="1392" spans="1:20" x14ac:dyDescent="0.3">
      <c r="A1392"/>
      <c r="B1392"/>
      <c r="C1392"/>
      <c r="D1392"/>
      <c r="E1392"/>
      <c r="F1392"/>
      <c r="G1392"/>
      <c r="H1392"/>
      <c r="I1392"/>
      <c r="J1392"/>
      <c r="K1392"/>
      <c r="L1392"/>
      <c r="M1392"/>
      <c r="N1392"/>
      <c r="O1392"/>
      <c r="P1392"/>
      <c r="Q1392"/>
      <c r="R1392"/>
      <c r="S1392"/>
      <c r="T1392"/>
    </row>
    <row r="1393" spans="1:20" x14ac:dyDescent="0.3">
      <c r="A1393"/>
      <c r="B1393"/>
      <c r="C1393"/>
      <c r="D1393"/>
      <c r="E1393"/>
      <c r="F1393"/>
      <c r="G1393"/>
      <c r="H1393"/>
      <c r="I1393"/>
      <c r="J1393"/>
      <c r="K1393"/>
      <c r="L1393"/>
      <c r="M1393"/>
      <c r="N1393"/>
      <c r="O1393"/>
      <c r="P1393"/>
      <c r="Q1393"/>
      <c r="R1393"/>
      <c r="S1393"/>
      <c r="T1393"/>
    </row>
    <row r="1394" spans="1:20" x14ac:dyDescent="0.3">
      <c r="A1394"/>
      <c r="B1394"/>
      <c r="C1394"/>
      <c r="D1394"/>
      <c r="E1394"/>
      <c r="F1394"/>
      <c r="G1394"/>
      <c r="H1394"/>
      <c r="I1394"/>
      <c r="J1394"/>
      <c r="K1394"/>
      <c r="L1394"/>
      <c r="M1394"/>
      <c r="N1394"/>
      <c r="O1394"/>
      <c r="P1394"/>
      <c r="Q1394"/>
      <c r="R1394"/>
      <c r="S1394"/>
      <c r="T1394"/>
    </row>
    <row r="1395" spans="1:20" x14ac:dyDescent="0.3">
      <c r="A1395"/>
      <c r="B1395"/>
      <c r="C1395"/>
      <c r="D1395"/>
      <c r="E1395"/>
      <c r="F1395"/>
      <c r="G1395"/>
      <c r="H1395"/>
      <c r="I1395"/>
      <c r="J1395"/>
      <c r="K1395"/>
      <c r="L1395"/>
      <c r="M1395"/>
      <c r="N1395"/>
      <c r="O1395"/>
      <c r="P1395"/>
      <c r="Q1395"/>
      <c r="R1395"/>
      <c r="S1395"/>
      <c r="T1395"/>
    </row>
    <row r="1396" spans="1:20" x14ac:dyDescent="0.3">
      <c r="A1396"/>
      <c r="B1396"/>
      <c r="C1396"/>
      <c r="D1396"/>
      <c r="E1396"/>
      <c r="F1396"/>
      <c r="G1396"/>
      <c r="H1396"/>
      <c r="I1396"/>
      <c r="J1396"/>
      <c r="K1396"/>
      <c r="L1396"/>
      <c r="M1396"/>
      <c r="N1396"/>
      <c r="O1396"/>
      <c r="P1396"/>
      <c r="Q1396"/>
      <c r="R1396"/>
      <c r="S1396"/>
      <c r="T1396"/>
    </row>
    <row r="1397" spans="1:20" x14ac:dyDescent="0.3">
      <c r="A1397"/>
      <c r="B1397"/>
      <c r="C1397"/>
      <c r="D1397"/>
      <c r="E1397"/>
      <c r="F1397"/>
      <c r="G1397"/>
      <c r="H1397"/>
      <c r="I1397"/>
      <c r="J1397"/>
      <c r="K1397"/>
      <c r="L1397"/>
      <c r="M1397"/>
      <c r="N1397"/>
      <c r="O1397"/>
      <c r="P1397"/>
      <c r="Q1397"/>
      <c r="R1397"/>
      <c r="S1397"/>
      <c r="T1397"/>
    </row>
    <row r="1398" spans="1:20" x14ac:dyDescent="0.3">
      <c r="A1398"/>
      <c r="B1398"/>
      <c r="C1398"/>
      <c r="D1398"/>
      <c r="E1398"/>
      <c r="F1398"/>
      <c r="G1398"/>
      <c r="H1398"/>
      <c r="I1398"/>
      <c r="J1398"/>
      <c r="K1398"/>
      <c r="L1398"/>
      <c r="M1398"/>
      <c r="N1398"/>
      <c r="O1398"/>
      <c r="P1398"/>
      <c r="Q1398"/>
      <c r="R1398"/>
      <c r="S1398"/>
      <c r="T1398"/>
    </row>
    <row r="1399" spans="1:20" x14ac:dyDescent="0.3">
      <c r="A1399"/>
      <c r="B1399"/>
      <c r="C1399"/>
      <c r="D1399"/>
      <c r="E1399"/>
      <c r="F1399"/>
      <c r="G1399"/>
      <c r="H1399"/>
      <c r="I1399"/>
      <c r="J1399"/>
      <c r="K1399"/>
      <c r="L1399"/>
      <c r="M1399"/>
      <c r="N1399"/>
      <c r="O1399"/>
      <c r="P1399"/>
      <c r="Q1399"/>
      <c r="R1399"/>
      <c r="S1399"/>
      <c r="T1399"/>
    </row>
    <row r="1400" spans="1:20" x14ac:dyDescent="0.3">
      <c r="A1400"/>
      <c r="B1400"/>
      <c r="C1400"/>
      <c r="D1400"/>
      <c r="E1400"/>
      <c r="F1400"/>
      <c r="G1400"/>
      <c r="H1400"/>
      <c r="I1400"/>
      <c r="J1400"/>
      <c r="K1400"/>
      <c r="L1400"/>
      <c r="M1400"/>
      <c r="N1400"/>
      <c r="O1400"/>
      <c r="P1400"/>
      <c r="Q1400"/>
      <c r="R1400"/>
      <c r="S1400"/>
      <c r="T1400"/>
    </row>
    <row r="1401" spans="1:20" x14ac:dyDescent="0.3">
      <c r="A1401"/>
      <c r="B1401"/>
      <c r="C1401"/>
      <c r="D1401"/>
      <c r="E1401"/>
      <c r="F1401"/>
      <c r="G1401"/>
      <c r="H1401"/>
      <c r="I1401"/>
      <c r="J1401"/>
      <c r="K1401"/>
      <c r="L1401"/>
      <c r="M1401"/>
      <c r="N1401"/>
      <c r="O1401"/>
      <c r="P1401"/>
      <c r="Q1401"/>
      <c r="R1401"/>
      <c r="S1401"/>
      <c r="T1401"/>
    </row>
    <row r="1402" spans="1:20" x14ac:dyDescent="0.3">
      <c r="A1402"/>
      <c r="B1402"/>
      <c r="C1402"/>
      <c r="D1402"/>
      <c r="E1402"/>
      <c r="F1402"/>
      <c r="G1402"/>
      <c r="H1402"/>
      <c r="I1402"/>
      <c r="J1402"/>
      <c r="K1402"/>
      <c r="L1402"/>
      <c r="M1402"/>
      <c r="N1402"/>
      <c r="O1402"/>
      <c r="P1402"/>
      <c r="Q1402"/>
      <c r="R1402"/>
      <c r="S1402"/>
      <c r="T1402"/>
    </row>
    <row r="1403" spans="1:20" x14ac:dyDescent="0.3">
      <c r="A1403"/>
      <c r="B1403"/>
      <c r="C1403"/>
      <c r="D1403"/>
      <c r="E1403"/>
      <c r="F1403"/>
      <c r="G1403"/>
      <c r="H1403"/>
      <c r="I1403"/>
      <c r="J1403"/>
      <c r="K1403"/>
      <c r="L1403"/>
      <c r="M1403"/>
      <c r="N1403"/>
      <c r="O1403"/>
      <c r="P1403"/>
      <c r="Q1403"/>
      <c r="R1403"/>
      <c r="S1403"/>
      <c r="T1403"/>
    </row>
    <row r="1404" spans="1:20" x14ac:dyDescent="0.3">
      <c r="A1404"/>
      <c r="B1404"/>
      <c r="C1404"/>
      <c r="D1404"/>
      <c r="E1404"/>
      <c r="F1404"/>
      <c r="G1404"/>
      <c r="H1404"/>
      <c r="I1404"/>
      <c r="J1404"/>
      <c r="K1404"/>
      <c r="L1404"/>
      <c r="M1404"/>
      <c r="N1404"/>
      <c r="O1404"/>
      <c r="P1404"/>
      <c r="Q1404"/>
      <c r="R1404"/>
      <c r="S1404"/>
      <c r="T1404"/>
    </row>
    <row r="1405" spans="1:20" x14ac:dyDescent="0.3">
      <c r="A1405"/>
      <c r="B1405"/>
      <c r="C1405"/>
      <c r="D1405"/>
      <c r="E1405"/>
      <c r="F1405"/>
      <c r="G1405"/>
      <c r="H1405"/>
      <c r="I1405"/>
      <c r="J1405"/>
      <c r="K1405"/>
      <c r="L1405"/>
      <c r="M1405"/>
      <c r="N1405"/>
      <c r="O1405"/>
      <c r="P1405"/>
      <c r="Q1405"/>
      <c r="R1405"/>
      <c r="S1405"/>
      <c r="T1405"/>
    </row>
    <row r="1406" spans="1:20" x14ac:dyDescent="0.3">
      <c r="A1406"/>
      <c r="B1406"/>
      <c r="C1406"/>
      <c r="D1406"/>
      <c r="E1406"/>
      <c r="F1406"/>
      <c r="G1406"/>
      <c r="H1406"/>
      <c r="I1406"/>
      <c r="J1406"/>
      <c r="K1406"/>
      <c r="L1406"/>
      <c r="M1406"/>
      <c r="N1406"/>
      <c r="O1406"/>
      <c r="P1406"/>
      <c r="Q1406"/>
      <c r="R1406"/>
      <c r="S1406"/>
      <c r="T1406"/>
    </row>
    <row r="1407" spans="1:20" x14ac:dyDescent="0.3">
      <c r="A1407"/>
      <c r="B1407"/>
      <c r="C1407"/>
      <c r="D1407"/>
      <c r="E1407"/>
      <c r="F1407"/>
      <c r="G1407"/>
      <c r="H1407"/>
      <c r="I1407"/>
      <c r="J1407"/>
      <c r="K1407"/>
      <c r="L1407"/>
      <c r="M1407"/>
      <c r="N1407"/>
      <c r="O1407"/>
      <c r="P1407"/>
      <c r="Q1407"/>
      <c r="R1407"/>
      <c r="S1407"/>
      <c r="T1407"/>
    </row>
    <row r="1408" spans="1:20" x14ac:dyDescent="0.3">
      <c r="A1408"/>
      <c r="B1408"/>
      <c r="C1408"/>
      <c r="D1408"/>
      <c r="E1408"/>
      <c r="F1408"/>
      <c r="G1408"/>
      <c r="H1408"/>
      <c r="I1408"/>
      <c r="J1408"/>
      <c r="K1408"/>
      <c r="L1408"/>
      <c r="M1408"/>
      <c r="N1408"/>
      <c r="O1408"/>
      <c r="P1408"/>
      <c r="Q1408"/>
      <c r="R1408"/>
      <c r="S1408"/>
      <c r="T1408"/>
    </row>
    <row r="1409" spans="1:20" x14ac:dyDescent="0.3">
      <c r="A1409"/>
      <c r="B1409"/>
      <c r="C1409"/>
      <c r="D1409"/>
      <c r="E1409"/>
      <c r="F1409"/>
      <c r="G1409"/>
      <c r="H1409"/>
      <c r="I1409"/>
      <c r="J1409"/>
      <c r="K1409"/>
      <c r="L1409"/>
      <c r="M1409"/>
      <c r="N1409"/>
      <c r="O1409"/>
      <c r="P1409"/>
      <c r="Q1409"/>
      <c r="R1409"/>
      <c r="S1409"/>
      <c r="T1409"/>
    </row>
    <row r="1410" spans="1:20" x14ac:dyDescent="0.3">
      <c r="A1410"/>
      <c r="B1410"/>
      <c r="C1410"/>
      <c r="D1410"/>
      <c r="E1410"/>
      <c r="F1410"/>
      <c r="G1410"/>
      <c r="H1410"/>
      <c r="I1410"/>
      <c r="J1410"/>
      <c r="K1410"/>
      <c r="L1410"/>
      <c r="M1410"/>
      <c r="N1410"/>
      <c r="O1410"/>
      <c r="P1410"/>
      <c r="Q1410"/>
      <c r="R1410"/>
      <c r="S1410"/>
      <c r="T1410"/>
    </row>
    <row r="1411" spans="1:20" x14ac:dyDescent="0.3">
      <c r="A1411"/>
      <c r="B1411"/>
      <c r="C1411"/>
      <c r="D1411"/>
      <c r="E1411"/>
      <c r="F1411"/>
      <c r="G1411"/>
      <c r="H1411"/>
      <c r="I1411"/>
      <c r="J1411"/>
      <c r="K1411"/>
      <c r="L1411"/>
      <c r="M1411"/>
      <c r="N1411"/>
      <c r="O1411"/>
      <c r="P1411"/>
      <c r="Q1411"/>
      <c r="R1411"/>
      <c r="S1411"/>
      <c r="T1411"/>
    </row>
    <row r="1412" spans="1:20" x14ac:dyDescent="0.3">
      <c r="A1412"/>
      <c r="B1412"/>
      <c r="C1412"/>
      <c r="D1412"/>
      <c r="E1412"/>
      <c r="F1412"/>
      <c r="G1412"/>
      <c r="H1412"/>
      <c r="I1412"/>
      <c r="J1412"/>
      <c r="K1412"/>
      <c r="L1412"/>
      <c r="M1412"/>
      <c r="N1412"/>
      <c r="O1412"/>
      <c r="P1412"/>
      <c r="Q1412"/>
      <c r="R1412"/>
      <c r="S1412"/>
      <c r="T1412"/>
    </row>
    <row r="1413" spans="1:20" x14ac:dyDescent="0.3">
      <c r="A1413"/>
      <c r="B1413"/>
      <c r="C1413"/>
      <c r="D1413"/>
      <c r="E1413"/>
      <c r="F1413"/>
      <c r="G1413"/>
      <c r="H1413"/>
      <c r="I1413"/>
      <c r="J1413"/>
      <c r="K1413"/>
      <c r="L1413"/>
      <c r="M1413"/>
      <c r="N1413"/>
      <c r="O1413"/>
      <c r="P1413"/>
      <c r="Q1413"/>
      <c r="R1413"/>
      <c r="S1413"/>
      <c r="T1413"/>
    </row>
    <row r="1414" spans="1:20" x14ac:dyDescent="0.3">
      <c r="A1414"/>
      <c r="B1414"/>
      <c r="C1414"/>
      <c r="D1414"/>
      <c r="E1414"/>
      <c r="F1414"/>
      <c r="G1414"/>
      <c r="H1414"/>
      <c r="I1414"/>
      <c r="J1414"/>
      <c r="K1414"/>
      <c r="L1414"/>
      <c r="M1414"/>
      <c r="N1414"/>
      <c r="O1414"/>
      <c r="P1414"/>
      <c r="Q1414"/>
      <c r="R1414"/>
      <c r="S1414"/>
      <c r="T1414"/>
    </row>
    <row r="1415" spans="1:20" x14ac:dyDescent="0.3">
      <c r="A1415"/>
      <c r="B1415"/>
      <c r="C1415"/>
      <c r="D1415"/>
      <c r="E1415"/>
      <c r="F1415"/>
      <c r="G1415"/>
      <c r="H1415"/>
      <c r="I1415"/>
      <c r="J1415"/>
      <c r="K1415"/>
      <c r="L1415"/>
      <c r="M1415"/>
      <c r="N1415"/>
      <c r="O1415"/>
      <c r="P1415"/>
      <c r="Q1415"/>
      <c r="R1415"/>
      <c r="S1415"/>
      <c r="T1415"/>
    </row>
    <row r="1416" spans="1:20" x14ac:dyDescent="0.3">
      <c r="A1416"/>
      <c r="B1416"/>
      <c r="C1416"/>
      <c r="D1416"/>
      <c r="E1416"/>
      <c r="F1416"/>
      <c r="G1416"/>
      <c r="H1416"/>
      <c r="I1416"/>
      <c r="J1416"/>
      <c r="K1416"/>
      <c r="L1416"/>
      <c r="M1416"/>
      <c r="N1416"/>
      <c r="O1416"/>
      <c r="P1416"/>
      <c r="Q1416"/>
      <c r="R1416"/>
      <c r="S1416"/>
      <c r="T1416"/>
    </row>
    <row r="1417" spans="1:20" x14ac:dyDescent="0.3">
      <c r="A1417"/>
      <c r="B1417"/>
      <c r="C1417"/>
      <c r="D1417"/>
      <c r="E1417"/>
      <c r="F1417"/>
      <c r="G1417"/>
      <c r="H1417"/>
      <c r="I1417"/>
      <c r="J1417"/>
      <c r="K1417"/>
      <c r="L1417"/>
      <c r="M1417"/>
      <c r="N1417"/>
      <c r="O1417"/>
      <c r="P1417"/>
      <c r="Q1417"/>
      <c r="R1417"/>
      <c r="S1417"/>
      <c r="T1417"/>
    </row>
    <row r="1418" spans="1:20" x14ac:dyDescent="0.3">
      <c r="A1418"/>
      <c r="B1418"/>
      <c r="C1418"/>
      <c r="D1418"/>
      <c r="E1418"/>
      <c r="F1418"/>
      <c r="G1418"/>
      <c r="H1418"/>
      <c r="I1418"/>
      <c r="J1418"/>
      <c r="K1418"/>
      <c r="L1418"/>
      <c r="M1418"/>
      <c r="N1418"/>
      <c r="O1418"/>
      <c r="P1418"/>
      <c r="Q1418"/>
      <c r="R1418"/>
      <c r="S1418"/>
      <c r="T1418"/>
    </row>
    <row r="1419" spans="1:20" x14ac:dyDescent="0.3">
      <c r="A1419"/>
      <c r="B1419"/>
      <c r="C1419"/>
      <c r="D1419"/>
      <c r="E1419"/>
      <c r="F1419"/>
      <c r="G1419"/>
      <c r="H1419"/>
      <c r="I1419"/>
      <c r="J1419"/>
      <c r="K1419"/>
      <c r="L1419"/>
      <c r="M1419"/>
      <c r="N1419"/>
      <c r="O1419"/>
      <c r="P1419"/>
      <c r="Q1419"/>
      <c r="R1419"/>
      <c r="S1419"/>
      <c r="T1419"/>
    </row>
    <row r="1420" spans="1:20" x14ac:dyDescent="0.3">
      <c r="A1420"/>
      <c r="B1420"/>
      <c r="C1420"/>
      <c r="D1420"/>
      <c r="E1420"/>
      <c r="F1420"/>
      <c r="G1420"/>
      <c r="H1420"/>
      <c r="I1420"/>
      <c r="J1420"/>
      <c r="K1420"/>
      <c r="L1420"/>
      <c r="M1420"/>
      <c r="N1420"/>
      <c r="O1420"/>
      <c r="P1420"/>
      <c r="Q1420"/>
      <c r="R1420"/>
      <c r="S1420"/>
      <c r="T1420"/>
    </row>
    <row r="1421" spans="1:20" x14ac:dyDescent="0.3">
      <c r="A1421"/>
      <c r="B1421"/>
      <c r="C1421"/>
      <c r="D1421"/>
      <c r="E1421"/>
      <c r="F1421"/>
      <c r="G1421"/>
      <c r="H1421"/>
      <c r="I1421"/>
      <c r="J1421"/>
      <c r="K1421"/>
      <c r="L1421"/>
      <c r="M1421"/>
      <c r="N1421"/>
      <c r="O1421"/>
      <c r="P1421"/>
      <c r="Q1421"/>
      <c r="R1421"/>
      <c r="S1421"/>
      <c r="T1421"/>
    </row>
    <row r="1422" spans="1:20" x14ac:dyDescent="0.3">
      <c r="A1422"/>
      <c r="B1422"/>
      <c r="C1422"/>
      <c r="D1422"/>
      <c r="E1422"/>
      <c r="F1422"/>
      <c r="G1422"/>
      <c r="H1422"/>
      <c r="I1422"/>
      <c r="J1422"/>
      <c r="K1422"/>
      <c r="L1422"/>
      <c r="M1422"/>
      <c r="N1422"/>
      <c r="O1422"/>
      <c r="P1422"/>
      <c r="Q1422"/>
      <c r="R1422"/>
      <c r="S1422"/>
      <c r="T1422"/>
    </row>
    <row r="1423" spans="1:20" x14ac:dyDescent="0.3">
      <c r="A1423"/>
      <c r="B1423"/>
      <c r="C1423"/>
      <c r="D1423"/>
      <c r="E1423"/>
      <c r="F1423"/>
      <c r="G1423"/>
      <c r="H1423"/>
      <c r="I1423"/>
      <c r="J1423"/>
      <c r="K1423"/>
      <c r="L1423"/>
      <c r="M1423"/>
      <c r="N1423"/>
      <c r="O1423"/>
      <c r="P1423"/>
      <c r="Q1423"/>
      <c r="R1423"/>
      <c r="S1423"/>
      <c r="T1423"/>
    </row>
    <row r="1424" spans="1:20" x14ac:dyDescent="0.3">
      <c r="A1424"/>
      <c r="B1424"/>
      <c r="C1424"/>
      <c r="D1424"/>
      <c r="E1424"/>
      <c r="F1424"/>
      <c r="G1424"/>
      <c r="H1424"/>
      <c r="I1424"/>
      <c r="J1424"/>
      <c r="K1424"/>
      <c r="L1424"/>
      <c r="M1424"/>
      <c r="N1424"/>
      <c r="O1424"/>
      <c r="P1424"/>
      <c r="Q1424"/>
      <c r="R1424"/>
      <c r="S1424"/>
      <c r="T1424"/>
    </row>
    <row r="1425" spans="1:20" x14ac:dyDescent="0.3">
      <c r="A1425"/>
      <c r="B1425"/>
      <c r="C1425"/>
      <c r="D1425"/>
      <c r="E1425"/>
      <c r="F1425"/>
      <c r="G1425"/>
      <c r="H1425"/>
      <c r="I1425"/>
      <c r="J1425"/>
      <c r="K1425"/>
      <c r="L1425"/>
      <c r="M1425"/>
      <c r="N1425"/>
      <c r="O1425"/>
      <c r="P1425"/>
      <c r="Q1425"/>
      <c r="R1425"/>
      <c r="S1425"/>
      <c r="T1425"/>
    </row>
    <row r="1426" spans="1:20" x14ac:dyDescent="0.3">
      <c r="A1426"/>
      <c r="B1426"/>
      <c r="C1426"/>
      <c r="D1426"/>
      <c r="E1426"/>
      <c r="F1426"/>
      <c r="G1426"/>
      <c r="H1426"/>
      <c r="I1426"/>
      <c r="J1426"/>
      <c r="K1426"/>
      <c r="L1426"/>
      <c r="M1426"/>
      <c r="N1426"/>
      <c r="O1426"/>
      <c r="P1426"/>
      <c r="Q1426"/>
      <c r="R1426"/>
      <c r="S1426"/>
      <c r="T1426"/>
    </row>
    <row r="1427" spans="1:20" x14ac:dyDescent="0.3">
      <c r="A1427"/>
      <c r="B1427"/>
      <c r="C1427"/>
      <c r="D1427"/>
      <c r="E1427"/>
      <c r="F1427"/>
      <c r="G1427"/>
      <c r="H1427"/>
      <c r="I1427"/>
      <c r="J1427"/>
      <c r="K1427"/>
      <c r="L1427"/>
      <c r="M1427"/>
      <c r="N1427"/>
      <c r="O1427"/>
      <c r="P1427"/>
      <c r="Q1427"/>
      <c r="R1427"/>
      <c r="S1427"/>
      <c r="T1427"/>
    </row>
    <row r="1428" spans="1:20" x14ac:dyDescent="0.3">
      <c r="A1428"/>
      <c r="B1428"/>
      <c r="C1428"/>
      <c r="D1428"/>
      <c r="E1428"/>
      <c r="F1428"/>
      <c r="G1428"/>
      <c r="H1428"/>
      <c r="I1428"/>
      <c r="J1428"/>
      <c r="K1428"/>
      <c r="L1428"/>
      <c r="M1428"/>
      <c r="N1428"/>
      <c r="O1428"/>
      <c r="P1428"/>
      <c r="Q1428"/>
      <c r="R1428"/>
      <c r="S1428"/>
      <c r="T1428"/>
    </row>
    <row r="1429" spans="1:20" x14ac:dyDescent="0.3">
      <c r="A1429"/>
      <c r="B1429"/>
      <c r="C1429"/>
      <c r="D1429"/>
      <c r="E1429"/>
      <c r="F1429"/>
      <c r="G1429"/>
      <c r="H1429"/>
      <c r="I1429"/>
      <c r="J1429"/>
      <c r="K1429"/>
      <c r="L1429"/>
      <c r="M1429"/>
      <c r="N1429"/>
      <c r="O1429"/>
      <c r="P1429"/>
      <c r="Q1429"/>
      <c r="R1429"/>
      <c r="S1429"/>
      <c r="T1429"/>
    </row>
    <row r="1430" spans="1:20" x14ac:dyDescent="0.3">
      <c r="A1430"/>
      <c r="B1430"/>
      <c r="C1430"/>
      <c r="D1430"/>
      <c r="E1430"/>
      <c r="F1430"/>
      <c r="G1430"/>
      <c r="H1430"/>
      <c r="I1430"/>
      <c r="J1430"/>
      <c r="K1430"/>
      <c r="L1430"/>
      <c r="M1430"/>
      <c r="N1430"/>
      <c r="O1430"/>
      <c r="P1430"/>
      <c r="Q1430"/>
      <c r="R1430"/>
      <c r="S1430"/>
      <c r="T1430"/>
    </row>
    <row r="1431" spans="1:20" x14ac:dyDescent="0.3">
      <c r="A1431"/>
      <c r="B1431"/>
      <c r="C1431"/>
      <c r="D1431"/>
      <c r="E1431"/>
      <c r="F1431"/>
      <c r="G1431"/>
      <c r="H1431"/>
      <c r="I1431"/>
      <c r="J1431"/>
      <c r="K1431"/>
      <c r="L1431"/>
      <c r="M1431"/>
      <c r="N1431"/>
      <c r="O1431"/>
      <c r="P1431"/>
      <c r="Q1431"/>
      <c r="R1431"/>
      <c r="S1431"/>
      <c r="T1431"/>
    </row>
    <row r="1432" spans="1:20" x14ac:dyDescent="0.3">
      <c r="A1432"/>
      <c r="B1432"/>
      <c r="C1432"/>
      <c r="D1432"/>
      <c r="E1432"/>
      <c r="F1432"/>
      <c r="G1432"/>
      <c r="H1432"/>
      <c r="I1432"/>
      <c r="J1432"/>
      <c r="K1432"/>
      <c r="L1432"/>
      <c r="M1432"/>
      <c r="N1432"/>
      <c r="O1432"/>
      <c r="P1432"/>
      <c r="Q1432"/>
      <c r="R1432"/>
      <c r="S1432"/>
      <c r="T1432"/>
    </row>
    <row r="1433" spans="1:20" x14ac:dyDescent="0.3">
      <c r="A1433"/>
      <c r="B1433"/>
      <c r="C1433"/>
      <c r="D1433"/>
      <c r="E1433"/>
      <c r="F1433"/>
      <c r="G1433"/>
      <c r="H1433"/>
      <c r="I1433"/>
      <c r="J1433"/>
      <c r="K1433"/>
      <c r="L1433"/>
      <c r="M1433"/>
      <c r="N1433"/>
      <c r="O1433"/>
      <c r="P1433"/>
      <c r="Q1433"/>
      <c r="R1433"/>
      <c r="S1433"/>
      <c r="T1433"/>
    </row>
    <row r="1434" spans="1:20" x14ac:dyDescent="0.3">
      <c r="A1434"/>
      <c r="B1434"/>
      <c r="C1434"/>
      <c r="D1434"/>
      <c r="E1434"/>
      <c r="F1434"/>
      <c r="G1434"/>
      <c r="H1434"/>
      <c r="I1434"/>
      <c r="J1434"/>
      <c r="K1434"/>
      <c r="L1434"/>
      <c r="M1434"/>
      <c r="N1434"/>
      <c r="O1434"/>
      <c r="P1434"/>
      <c r="Q1434"/>
      <c r="R1434"/>
      <c r="S1434"/>
      <c r="T1434"/>
    </row>
    <row r="1435" spans="1:20" x14ac:dyDescent="0.3">
      <c r="A1435"/>
      <c r="B1435"/>
      <c r="C1435"/>
      <c r="D1435"/>
      <c r="E1435"/>
      <c r="F1435"/>
      <c r="G1435"/>
      <c r="H1435"/>
      <c r="I1435"/>
      <c r="J1435"/>
      <c r="K1435"/>
      <c r="L1435"/>
      <c r="M1435"/>
      <c r="N1435"/>
      <c r="O1435"/>
      <c r="P1435"/>
      <c r="Q1435"/>
      <c r="R1435"/>
      <c r="S1435"/>
      <c r="T1435"/>
    </row>
    <row r="1436" spans="1:20" x14ac:dyDescent="0.3">
      <c r="A1436"/>
      <c r="B1436"/>
      <c r="C1436"/>
      <c r="D1436"/>
      <c r="E1436"/>
      <c r="F1436"/>
      <c r="G1436"/>
      <c r="H1436"/>
      <c r="I1436"/>
      <c r="J1436"/>
      <c r="K1436"/>
      <c r="L1436"/>
      <c r="M1436"/>
      <c r="N1436"/>
      <c r="O1436"/>
      <c r="P1436"/>
      <c r="Q1436"/>
      <c r="R1436"/>
      <c r="S1436"/>
      <c r="T1436"/>
    </row>
    <row r="1437" spans="1:20" x14ac:dyDescent="0.3">
      <c r="A1437"/>
      <c r="B1437"/>
      <c r="C1437"/>
      <c r="D1437"/>
      <c r="E1437"/>
      <c r="F1437"/>
      <c r="G1437"/>
      <c r="H1437"/>
      <c r="I1437"/>
      <c r="J1437"/>
      <c r="K1437"/>
      <c r="L1437"/>
      <c r="M1437"/>
      <c r="N1437"/>
      <c r="O1437"/>
      <c r="P1437"/>
      <c r="Q1437"/>
      <c r="R1437"/>
      <c r="S1437"/>
      <c r="T1437"/>
    </row>
    <row r="1438" spans="1:20" x14ac:dyDescent="0.3">
      <c r="A1438"/>
      <c r="B1438"/>
      <c r="C1438"/>
      <c r="D1438"/>
      <c r="E1438"/>
      <c r="F1438"/>
      <c r="G1438"/>
      <c r="H1438"/>
      <c r="I1438"/>
      <c r="J1438"/>
      <c r="K1438"/>
      <c r="L1438"/>
      <c r="M1438"/>
      <c r="N1438"/>
      <c r="O1438"/>
      <c r="P1438"/>
      <c r="Q1438"/>
      <c r="R1438"/>
      <c r="S1438"/>
      <c r="T1438"/>
    </row>
    <row r="1439" spans="1:20" x14ac:dyDescent="0.3">
      <c r="A1439"/>
      <c r="B1439"/>
      <c r="C1439"/>
      <c r="D1439"/>
      <c r="E1439"/>
      <c r="F1439"/>
      <c r="G1439"/>
      <c r="H1439"/>
      <c r="I1439"/>
      <c r="J1439"/>
      <c r="K1439"/>
      <c r="L1439"/>
      <c r="M1439"/>
      <c r="N1439"/>
      <c r="O1439"/>
      <c r="P1439"/>
      <c r="Q1439"/>
      <c r="R1439"/>
      <c r="S1439"/>
      <c r="T1439"/>
    </row>
    <row r="1440" spans="1:20" x14ac:dyDescent="0.3">
      <c r="A1440"/>
      <c r="B1440"/>
      <c r="C1440"/>
      <c r="D1440"/>
      <c r="E1440"/>
      <c r="F1440"/>
      <c r="G1440"/>
      <c r="H1440"/>
      <c r="I1440"/>
      <c r="J1440"/>
      <c r="K1440"/>
      <c r="L1440"/>
      <c r="M1440"/>
      <c r="N1440"/>
      <c r="O1440"/>
      <c r="P1440"/>
      <c r="Q1440"/>
      <c r="R1440"/>
      <c r="S1440"/>
      <c r="T1440"/>
    </row>
    <row r="1441" spans="1:20" x14ac:dyDescent="0.3">
      <c r="A1441"/>
      <c r="B1441"/>
      <c r="C1441"/>
      <c r="D1441"/>
      <c r="E1441"/>
      <c r="F1441"/>
      <c r="G1441"/>
      <c r="H1441"/>
      <c r="I1441"/>
      <c r="J1441"/>
      <c r="K1441"/>
      <c r="L1441"/>
      <c r="M1441"/>
      <c r="N1441"/>
      <c r="O1441"/>
      <c r="P1441"/>
      <c r="Q1441"/>
      <c r="R1441"/>
      <c r="S1441"/>
      <c r="T1441"/>
    </row>
    <row r="1442" spans="1:20" x14ac:dyDescent="0.3">
      <c r="A1442"/>
      <c r="B1442"/>
      <c r="C1442"/>
      <c r="D1442"/>
      <c r="E1442"/>
      <c r="F1442"/>
      <c r="G1442"/>
      <c r="H1442"/>
      <c r="I1442"/>
      <c r="J1442"/>
      <c r="K1442"/>
      <c r="L1442"/>
      <c r="M1442"/>
      <c r="N1442"/>
      <c r="O1442"/>
      <c r="P1442"/>
      <c r="Q1442"/>
      <c r="R1442"/>
      <c r="S1442"/>
      <c r="T1442"/>
    </row>
    <row r="1443" spans="1:20" x14ac:dyDescent="0.3">
      <c r="A1443"/>
      <c r="B1443"/>
      <c r="C1443"/>
      <c r="D1443"/>
      <c r="E1443"/>
      <c r="F1443"/>
      <c r="G1443"/>
      <c r="H1443"/>
      <c r="I1443"/>
      <c r="J1443"/>
      <c r="K1443"/>
      <c r="L1443"/>
      <c r="M1443"/>
      <c r="N1443"/>
      <c r="O1443"/>
      <c r="P1443"/>
      <c r="Q1443"/>
      <c r="R1443"/>
      <c r="S1443"/>
      <c r="T1443"/>
    </row>
    <row r="1444" spans="1:20" x14ac:dyDescent="0.3">
      <c r="A1444"/>
      <c r="B1444"/>
      <c r="C1444"/>
      <c r="D1444"/>
      <c r="E1444"/>
      <c r="F1444"/>
      <c r="G1444"/>
      <c r="H1444"/>
      <c r="I1444"/>
      <c r="J1444"/>
      <c r="K1444"/>
      <c r="L1444"/>
      <c r="M1444"/>
      <c r="N1444"/>
      <c r="O1444"/>
      <c r="P1444"/>
      <c r="Q1444"/>
      <c r="R1444"/>
      <c r="S1444"/>
      <c r="T1444"/>
    </row>
    <row r="1445" spans="1:20" x14ac:dyDescent="0.3">
      <c r="A1445"/>
      <c r="B1445"/>
      <c r="C1445"/>
      <c r="D1445"/>
      <c r="E1445"/>
      <c r="F1445"/>
      <c r="G1445"/>
      <c r="H1445"/>
      <c r="I1445"/>
      <c r="J1445"/>
      <c r="K1445"/>
      <c r="L1445"/>
      <c r="M1445"/>
      <c r="N1445"/>
      <c r="O1445"/>
      <c r="P1445"/>
      <c r="Q1445"/>
      <c r="R1445"/>
      <c r="S1445"/>
      <c r="T1445"/>
    </row>
    <row r="1446" spans="1:20" x14ac:dyDescent="0.3">
      <c r="A1446"/>
      <c r="B1446"/>
      <c r="C1446"/>
      <c r="D1446"/>
      <c r="E1446"/>
      <c r="F1446"/>
      <c r="G1446"/>
      <c r="H1446"/>
      <c r="I1446"/>
      <c r="J1446"/>
      <c r="K1446"/>
      <c r="L1446"/>
      <c r="M1446"/>
      <c r="N1446"/>
      <c r="O1446"/>
      <c r="P1446"/>
      <c r="Q1446"/>
      <c r="R1446"/>
      <c r="S1446"/>
      <c r="T1446"/>
    </row>
    <row r="1447" spans="1:20" x14ac:dyDescent="0.3">
      <c r="A1447"/>
      <c r="B1447"/>
      <c r="C1447"/>
      <c r="D1447"/>
      <c r="E1447"/>
      <c r="F1447"/>
      <c r="G1447"/>
      <c r="H1447"/>
      <c r="I1447"/>
      <c r="J1447"/>
      <c r="K1447"/>
      <c r="L1447"/>
      <c r="M1447"/>
      <c r="N1447"/>
      <c r="O1447"/>
      <c r="P1447"/>
      <c r="Q1447"/>
      <c r="R1447"/>
      <c r="S1447"/>
      <c r="T1447"/>
    </row>
    <row r="1448" spans="1:20" x14ac:dyDescent="0.3">
      <c r="A1448"/>
      <c r="B1448"/>
      <c r="C1448"/>
      <c r="D1448"/>
      <c r="E1448"/>
      <c r="F1448"/>
      <c r="G1448"/>
      <c r="H1448"/>
      <c r="I1448"/>
      <c r="J1448"/>
      <c r="K1448"/>
      <c r="L1448"/>
      <c r="M1448"/>
      <c r="N1448"/>
      <c r="O1448"/>
      <c r="P1448"/>
      <c r="Q1448"/>
      <c r="R1448"/>
      <c r="S1448"/>
      <c r="T1448"/>
    </row>
    <row r="1449" spans="1:20" x14ac:dyDescent="0.3">
      <c r="A1449"/>
      <c r="B1449"/>
      <c r="C1449"/>
      <c r="D1449"/>
      <c r="E1449"/>
      <c r="F1449"/>
      <c r="G1449"/>
      <c r="H1449"/>
      <c r="I1449"/>
      <c r="J1449"/>
      <c r="K1449"/>
      <c r="L1449"/>
      <c r="M1449"/>
      <c r="N1449"/>
      <c r="O1449"/>
      <c r="P1449"/>
      <c r="Q1449"/>
      <c r="R1449"/>
      <c r="S1449"/>
      <c r="T1449"/>
    </row>
    <row r="1450" spans="1:20" x14ac:dyDescent="0.3">
      <c r="A1450"/>
      <c r="B1450"/>
      <c r="C1450"/>
      <c r="D1450"/>
      <c r="E1450"/>
      <c r="F1450"/>
      <c r="G1450"/>
      <c r="H1450"/>
      <c r="I1450"/>
      <c r="J1450"/>
      <c r="K1450"/>
      <c r="L1450"/>
      <c r="M1450"/>
      <c r="N1450"/>
      <c r="O1450"/>
      <c r="P1450"/>
      <c r="Q1450"/>
      <c r="R1450"/>
      <c r="S1450"/>
      <c r="T1450"/>
    </row>
    <row r="1451" spans="1:20" x14ac:dyDescent="0.3">
      <c r="A1451"/>
      <c r="B1451"/>
      <c r="C1451"/>
      <c r="D1451"/>
      <c r="E1451"/>
      <c r="F1451"/>
      <c r="G1451"/>
      <c r="H1451"/>
      <c r="I1451"/>
      <c r="J1451"/>
      <c r="K1451"/>
      <c r="L1451"/>
      <c r="M1451"/>
      <c r="N1451"/>
      <c r="O1451"/>
      <c r="P1451"/>
      <c r="Q1451"/>
      <c r="R1451"/>
      <c r="S1451"/>
      <c r="T1451"/>
    </row>
    <row r="1452" spans="1:20" x14ac:dyDescent="0.3">
      <c r="A1452"/>
      <c r="B1452"/>
      <c r="C1452"/>
      <c r="D1452"/>
      <c r="E1452"/>
      <c r="F1452"/>
      <c r="G1452"/>
      <c r="H1452"/>
      <c r="I1452"/>
      <c r="J1452"/>
      <c r="K1452"/>
      <c r="L1452"/>
      <c r="M1452"/>
      <c r="N1452"/>
      <c r="O1452"/>
      <c r="P1452"/>
      <c r="Q1452"/>
      <c r="R1452"/>
      <c r="S1452"/>
      <c r="T1452"/>
    </row>
    <row r="1453" spans="1:20" x14ac:dyDescent="0.3">
      <c r="A1453"/>
      <c r="B1453"/>
      <c r="C1453"/>
      <c r="D1453"/>
      <c r="E1453"/>
      <c r="F1453"/>
      <c r="G1453"/>
      <c r="H1453"/>
      <c r="I1453"/>
      <c r="J1453"/>
      <c r="K1453"/>
      <c r="L1453"/>
      <c r="M1453"/>
      <c r="N1453"/>
      <c r="O1453"/>
      <c r="P1453"/>
      <c r="Q1453"/>
      <c r="R1453"/>
      <c r="S1453"/>
      <c r="T1453"/>
    </row>
    <row r="1454" spans="1:20" x14ac:dyDescent="0.3">
      <c r="A1454"/>
      <c r="B1454"/>
      <c r="C1454"/>
      <c r="D1454"/>
      <c r="E1454"/>
      <c r="F1454"/>
      <c r="G1454"/>
      <c r="H1454"/>
      <c r="I1454"/>
      <c r="J1454"/>
      <c r="K1454"/>
      <c r="L1454"/>
      <c r="M1454"/>
      <c r="N1454"/>
      <c r="O1454"/>
      <c r="P1454"/>
      <c r="Q1454"/>
      <c r="R1454"/>
      <c r="S1454"/>
      <c r="T1454"/>
    </row>
    <row r="1455" spans="1:20" x14ac:dyDescent="0.3">
      <c r="A1455"/>
      <c r="B1455"/>
      <c r="C1455"/>
      <c r="D1455"/>
      <c r="E1455"/>
      <c r="F1455"/>
      <c r="G1455"/>
      <c r="H1455"/>
      <c r="I1455"/>
      <c r="J1455"/>
      <c r="K1455"/>
      <c r="L1455"/>
      <c r="M1455"/>
      <c r="N1455"/>
      <c r="O1455"/>
      <c r="P1455"/>
      <c r="Q1455"/>
      <c r="R1455"/>
      <c r="S1455"/>
      <c r="T1455"/>
    </row>
    <row r="1456" spans="1:20" x14ac:dyDescent="0.3">
      <c r="A1456"/>
      <c r="B1456"/>
      <c r="C1456"/>
      <c r="D1456"/>
      <c r="E1456"/>
      <c r="F1456"/>
      <c r="G1456"/>
      <c r="H1456"/>
      <c r="I1456"/>
      <c r="J1456"/>
      <c r="K1456"/>
      <c r="L1456"/>
      <c r="M1456"/>
      <c r="N1456"/>
      <c r="O1456"/>
      <c r="P1456"/>
      <c r="Q1456"/>
      <c r="R1456"/>
      <c r="S1456"/>
      <c r="T1456"/>
    </row>
    <row r="1457" spans="1:20" x14ac:dyDescent="0.3">
      <c r="A1457"/>
      <c r="B1457"/>
      <c r="C1457"/>
      <c r="D1457"/>
      <c r="E1457"/>
      <c r="F1457"/>
      <c r="G1457"/>
      <c r="H1457"/>
      <c r="I1457"/>
      <c r="J1457"/>
      <c r="K1457"/>
      <c r="L1457"/>
      <c r="M1457"/>
      <c r="N1457"/>
      <c r="O1457"/>
      <c r="P1457"/>
      <c r="Q1457"/>
      <c r="R1457"/>
      <c r="S1457"/>
      <c r="T1457"/>
    </row>
    <row r="1458" spans="1:20" x14ac:dyDescent="0.3">
      <c r="A1458"/>
      <c r="B1458"/>
      <c r="C1458"/>
      <c r="D1458"/>
      <c r="E1458"/>
      <c r="F1458"/>
      <c r="G1458"/>
      <c r="H1458"/>
      <c r="I1458"/>
      <c r="J1458"/>
      <c r="K1458"/>
      <c r="L1458"/>
      <c r="M1458"/>
      <c r="N1458"/>
      <c r="O1458"/>
      <c r="P1458"/>
      <c r="Q1458"/>
      <c r="R1458"/>
      <c r="S1458"/>
      <c r="T1458"/>
    </row>
    <row r="1459" spans="1:20" x14ac:dyDescent="0.3">
      <c r="A1459"/>
      <c r="B1459"/>
      <c r="C1459"/>
      <c r="D1459"/>
      <c r="E1459"/>
      <c r="F1459"/>
      <c r="G1459"/>
      <c r="H1459"/>
      <c r="I1459"/>
      <c r="J1459"/>
      <c r="K1459"/>
      <c r="L1459"/>
      <c r="M1459"/>
      <c r="N1459"/>
      <c r="O1459"/>
      <c r="P1459"/>
      <c r="Q1459"/>
      <c r="R1459"/>
      <c r="S1459"/>
      <c r="T1459"/>
    </row>
    <row r="1460" spans="1:20" x14ac:dyDescent="0.3">
      <c r="A1460"/>
      <c r="B1460"/>
      <c r="C1460"/>
      <c r="D1460"/>
      <c r="E1460"/>
      <c r="F1460"/>
      <c r="G1460"/>
      <c r="H1460"/>
      <c r="I1460"/>
      <c r="J1460"/>
      <c r="K1460"/>
      <c r="L1460"/>
      <c r="M1460"/>
      <c r="N1460"/>
      <c r="O1460"/>
      <c r="P1460"/>
      <c r="Q1460"/>
      <c r="R1460"/>
      <c r="S1460"/>
      <c r="T1460"/>
    </row>
    <row r="1461" spans="1:20" x14ac:dyDescent="0.3">
      <c r="A1461"/>
      <c r="B1461"/>
      <c r="C1461"/>
      <c r="D1461"/>
      <c r="E1461"/>
      <c r="F1461"/>
      <c r="G1461"/>
      <c r="H1461"/>
      <c r="I1461"/>
      <c r="J1461"/>
      <c r="K1461"/>
      <c r="L1461"/>
      <c r="M1461"/>
      <c r="N1461"/>
      <c r="O1461"/>
      <c r="P1461"/>
      <c r="Q1461"/>
      <c r="R1461"/>
      <c r="S1461"/>
      <c r="T1461"/>
    </row>
    <row r="1462" spans="1:20" x14ac:dyDescent="0.3">
      <c r="A1462"/>
      <c r="B1462"/>
      <c r="C1462"/>
      <c r="D1462"/>
      <c r="E1462"/>
      <c r="F1462"/>
      <c r="G1462"/>
      <c r="H1462"/>
      <c r="I1462"/>
      <c r="J1462"/>
      <c r="K1462"/>
      <c r="L1462"/>
      <c r="M1462"/>
      <c r="N1462"/>
      <c r="O1462"/>
      <c r="P1462"/>
      <c r="Q1462"/>
      <c r="R1462"/>
      <c r="S1462"/>
      <c r="T1462"/>
    </row>
    <row r="1463" spans="1:20" x14ac:dyDescent="0.3">
      <c r="A1463"/>
      <c r="B1463"/>
      <c r="C1463"/>
      <c r="D1463"/>
      <c r="E1463"/>
      <c r="F1463"/>
      <c r="G1463"/>
      <c r="H1463"/>
      <c r="I1463"/>
      <c r="J1463"/>
      <c r="K1463"/>
      <c r="L1463"/>
      <c r="M1463"/>
      <c r="N1463"/>
      <c r="O1463"/>
      <c r="P1463"/>
      <c r="Q1463"/>
      <c r="R1463"/>
      <c r="S1463"/>
      <c r="T1463"/>
    </row>
    <row r="1464" spans="1:20" x14ac:dyDescent="0.3">
      <c r="A1464"/>
      <c r="B1464"/>
      <c r="C1464"/>
      <c r="D1464"/>
      <c r="E1464"/>
      <c r="F1464"/>
      <c r="G1464"/>
      <c r="H1464"/>
      <c r="I1464"/>
      <c r="J1464"/>
      <c r="K1464"/>
      <c r="L1464"/>
      <c r="M1464"/>
      <c r="N1464"/>
      <c r="O1464"/>
      <c r="P1464"/>
      <c r="Q1464"/>
      <c r="R1464"/>
      <c r="S1464"/>
      <c r="T1464"/>
    </row>
    <row r="1465" spans="1:20" x14ac:dyDescent="0.3">
      <c r="A1465"/>
      <c r="B1465"/>
      <c r="C1465"/>
      <c r="D1465"/>
      <c r="E1465"/>
      <c r="F1465"/>
      <c r="G1465"/>
      <c r="H1465"/>
      <c r="I1465"/>
      <c r="J1465"/>
      <c r="K1465"/>
      <c r="L1465"/>
      <c r="M1465"/>
      <c r="N1465"/>
      <c r="O1465"/>
      <c r="P1465"/>
      <c r="Q1465"/>
      <c r="R1465"/>
      <c r="S1465"/>
      <c r="T1465"/>
    </row>
    <row r="1466" spans="1:20" x14ac:dyDescent="0.3">
      <c r="A1466"/>
      <c r="B1466"/>
      <c r="C1466"/>
      <c r="D1466"/>
      <c r="E1466"/>
      <c r="F1466"/>
      <c r="G1466"/>
      <c r="H1466"/>
      <c r="I1466"/>
      <c r="J1466"/>
      <c r="K1466"/>
      <c r="L1466"/>
      <c r="M1466"/>
      <c r="N1466"/>
      <c r="O1466"/>
      <c r="P1466"/>
      <c r="Q1466"/>
      <c r="R1466"/>
      <c r="S1466"/>
      <c r="T1466"/>
    </row>
    <row r="1467" spans="1:20" x14ac:dyDescent="0.3">
      <c r="A1467"/>
      <c r="B1467"/>
      <c r="C1467"/>
      <c r="D1467"/>
      <c r="E1467"/>
      <c r="F1467"/>
      <c r="G1467"/>
      <c r="H1467"/>
      <c r="I1467"/>
      <c r="J1467"/>
      <c r="K1467"/>
      <c r="L1467"/>
      <c r="M1467"/>
      <c r="N1467"/>
      <c r="O1467"/>
      <c r="P1467"/>
      <c r="Q1467"/>
      <c r="R1467"/>
      <c r="S1467"/>
      <c r="T1467"/>
    </row>
    <row r="1468" spans="1:20" x14ac:dyDescent="0.3">
      <c r="A1468"/>
      <c r="B1468"/>
      <c r="C1468"/>
      <c r="D1468"/>
      <c r="E1468"/>
      <c r="F1468"/>
      <c r="G1468"/>
      <c r="H1468"/>
      <c r="I1468"/>
      <c r="J1468"/>
      <c r="K1468"/>
      <c r="L1468"/>
      <c r="M1468"/>
      <c r="N1468"/>
      <c r="O1468"/>
      <c r="P1468"/>
      <c r="Q1468"/>
      <c r="R1468"/>
      <c r="S1468"/>
      <c r="T1468"/>
    </row>
    <row r="1469" spans="1:20" x14ac:dyDescent="0.3">
      <c r="A1469"/>
      <c r="B1469"/>
      <c r="C1469"/>
      <c r="D1469"/>
      <c r="E1469"/>
      <c r="F1469"/>
      <c r="G1469"/>
      <c r="H1469"/>
      <c r="I1469"/>
      <c r="J1469"/>
      <c r="K1469"/>
      <c r="L1469"/>
      <c r="M1469"/>
      <c r="N1469"/>
      <c r="O1469"/>
      <c r="P1469"/>
      <c r="Q1469"/>
      <c r="R1469"/>
      <c r="S1469"/>
      <c r="T1469"/>
    </row>
    <row r="1470" spans="1:20" x14ac:dyDescent="0.3">
      <c r="A1470"/>
      <c r="B1470"/>
      <c r="C1470"/>
      <c r="D1470"/>
      <c r="E1470"/>
      <c r="F1470"/>
      <c r="G1470"/>
      <c r="H1470"/>
      <c r="I1470"/>
      <c r="J1470"/>
      <c r="K1470"/>
      <c r="L1470"/>
      <c r="M1470"/>
      <c r="N1470"/>
      <c r="O1470"/>
      <c r="P1470"/>
      <c r="Q1470"/>
      <c r="R1470"/>
      <c r="S1470"/>
      <c r="T1470"/>
    </row>
    <row r="1471" spans="1:20" x14ac:dyDescent="0.3">
      <c r="A1471"/>
      <c r="B1471"/>
      <c r="C1471"/>
      <c r="D1471"/>
      <c r="E1471"/>
      <c r="F1471"/>
      <c r="G1471"/>
      <c r="H1471"/>
      <c r="I1471"/>
      <c r="J1471"/>
      <c r="K1471"/>
      <c r="L1471"/>
      <c r="M1471"/>
      <c r="N1471"/>
      <c r="O1471"/>
      <c r="P1471"/>
      <c r="Q1471"/>
      <c r="R1471"/>
      <c r="S1471"/>
      <c r="T1471"/>
    </row>
    <row r="1472" spans="1:20" x14ac:dyDescent="0.3">
      <c r="A1472"/>
      <c r="B1472"/>
      <c r="C1472"/>
      <c r="D1472"/>
      <c r="E1472"/>
      <c r="F1472"/>
      <c r="G1472"/>
      <c r="H1472"/>
      <c r="I1472"/>
      <c r="J1472"/>
      <c r="K1472"/>
      <c r="L1472"/>
      <c r="M1472"/>
      <c r="N1472"/>
      <c r="O1472"/>
      <c r="P1472"/>
      <c r="Q1472"/>
      <c r="R1472"/>
      <c r="S1472"/>
      <c r="T1472"/>
    </row>
    <row r="1473" spans="1:20" x14ac:dyDescent="0.3">
      <c r="A1473"/>
      <c r="B1473"/>
      <c r="C1473"/>
      <c r="D1473"/>
      <c r="E1473"/>
      <c r="F1473"/>
      <c r="G1473"/>
      <c r="H1473"/>
      <c r="I1473"/>
      <c r="J1473"/>
      <c r="K1473"/>
      <c r="L1473"/>
      <c r="M1473"/>
      <c r="N1473"/>
      <c r="O1473"/>
      <c r="P1473"/>
      <c r="Q1473"/>
      <c r="R1473"/>
      <c r="S1473"/>
      <c r="T1473"/>
    </row>
    <row r="1474" spans="1:20" x14ac:dyDescent="0.3">
      <c r="A1474"/>
      <c r="B1474"/>
      <c r="C1474"/>
      <c r="D1474"/>
      <c r="E1474"/>
      <c r="F1474"/>
      <c r="G1474"/>
      <c r="H1474"/>
      <c r="I1474"/>
      <c r="J1474"/>
      <c r="K1474"/>
      <c r="L1474"/>
      <c r="M1474"/>
      <c r="N1474"/>
      <c r="O1474"/>
      <c r="P1474"/>
      <c r="Q1474"/>
      <c r="R1474"/>
      <c r="S1474"/>
      <c r="T1474"/>
    </row>
    <row r="1475" spans="1:20" x14ac:dyDescent="0.3">
      <c r="A1475"/>
      <c r="B1475"/>
      <c r="C1475"/>
      <c r="D1475"/>
      <c r="E1475"/>
      <c r="F1475"/>
      <c r="G1475"/>
      <c r="H1475"/>
      <c r="I1475"/>
      <c r="J1475"/>
      <c r="K1475"/>
      <c r="L1475"/>
      <c r="M1475"/>
      <c r="N1475"/>
      <c r="O1475"/>
      <c r="P1475"/>
      <c r="Q1475"/>
      <c r="R1475"/>
      <c r="S1475"/>
      <c r="T1475"/>
    </row>
    <row r="1476" spans="1:20" x14ac:dyDescent="0.3">
      <c r="A1476"/>
      <c r="B1476"/>
      <c r="C1476"/>
      <c r="D1476"/>
      <c r="E1476"/>
      <c r="F1476"/>
      <c r="G1476"/>
      <c r="H1476"/>
      <c r="I1476"/>
      <c r="J1476"/>
      <c r="K1476"/>
      <c r="L1476"/>
      <c r="M1476"/>
      <c r="N1476"/>
      <c r="O1476"/>
      <c r="P1476"/>
      <c r="Q1476"/>
      <c r="R1476"/>
      <c r="S1476"/>
      <c r="T1476"/>
    </row>
    <row r="1477" spans="1:20" x14ac:dyDescent="0.3">
      <c r="A1477"/>
      <c r="B1477"/>
      <c r="C1477"/>
      <c r="D1477"/>
      <c r="E1477"/>
      <c r="F1477"/>
      <c r="G1477"/>
      <c r="H1477"/>
      <c r="I1477"/>
      <c r="J1477"/>
      <c r="K1477"/>
      <c r="L1477"/>
      <c r="M1477"/>
      <c r="N1477"/>
      <c r="O1477"/>
      <c r="P1477"/>
      <c r="Q1477"/>
      <c r="R1477"/>
      <c r="S1477"/>
      <c r="T1477"/>
    </row>
    <row r="1478" spans="1:20" x14ac:dyDescent="0.3">
      <c r="A1478"/>
      <c r="B1478"/>
      <c r="C1478"/>
      <c r="D1478"/>
      <c r="E1478"/>
      <c r="F1478"/>
      <c r="G1478"/>
      <c r="H1478"/>
      <c r="I1478"/>
      <c r="J1478"/>
      <c r="K1478"/>
      <c r="L1478"/>
      <c r="M1478"/>
      <c r="N1478"/>
      <c r="O1478"/>
      <c r="P1478"/>
      <c r="Q1478"/>
      <c r="R1478"/>
      <c r="S1478"/>
      <c r="T1478"/>
    </row>
    <row r="1479" spans="1:20" x14ac:dyDescent="0.3">
      <c r="A1479"/>
      <c r="B1479"/>
      <c r="C1479"/>
      <c r="D1479"/>
      <c r="E1479"/>
      <c r="F1479"/>
      <c r="G1479"/>
      <c r="H1479"/>
      <c r="I1479"/>
      <c r="J1479"/>
      <c r="K1479"/>
      <c r="L1479"/>
      <c r="M1479"/>
      <c r="N1479"/>
      <c r="O1479"/>
      <c r="P1479"/>
      <c r="Q1479"/>
      <c r="R1479"/>
      <c r="S1479"/>
      <c r="T1479"/>
    </row>
    <row r="1480" spans="1:20" x14ac:dyDescent="0.3">
      <c r="A1480"/>
      <c r="B1480"/>
      <c r="C1480"/>
      <c r="D1480"/>
      <c r="E1480"/>
      <c r="F1480"/>
      <c r="G1480"/>
      <c r="H1480"/>
      <c r="I1480"/>
      <c r="J1480"/>
      <c r="K1480"/>
      <c r="L1480"/>
      <c r="M1480"/>
      <c r="N1480"/>
      <c r="O1480"/>
      <c r="P1480"/>
      <c r="Q1480"/>
      <c r="R1480"/>
      <c r="S1480"/>
      <c r="T1480"/>
    </row>
    <row r="1481" spans="1:20" x14ac:dyDescent="0.3">
      <c r="A1481"/>
      <c r="B1481"/>
      <c r="C1481"/>
      <c r="D1481"/>
      <c r="E1481"/>
      <c r="F1481"/>
      <c r="G1481"/>
      <c r="H1481"/>
      <c r="I1481"/>
      <c r="J1481"/>
      <c r="K1481"/>
      <c r="L1481"/>
      <c r="M1481"/>
      <c r="N1481"/>
      <c r="O1481"/>
      <c r="P1481"/>
      <c r="Q1481"/>
      <c r="R1481"/>
      <c r="S1481"/>
      <c r="T1481"/>
    </row>
    <row r="1482" spans="1:20" x14ac:dyDescent="0.3">
      <c r="A1482"/>
      <c r="B1482"/>
      <c r="C1482"/>
      <c r="D1482"/>
      <c r="E1482"/>
      <c r="F1482"/>
      <c r="G1482"/>
      <c r="H1482"/>
      <c r="I1482"/>
      <c r="J1482"/>
      <c r="K1482"/>
      <c r="L1482"/>
      <c r="M1482"/>
      <c r="N1482"/>
      <c r="O1482"/>
      <c r="P1482"/>
      <c r="Q1482"/>
      <c r="R1482"/>
      <c r="S1482"/>
      <c r="T1482"/>
    </row>
    <row r="1483" spans="1:20" x14ac:dyDescent="0.3">
      <c r="A1483"/>
      <c r="B1483"/>
      <c r="C1483"/>
      <c r="D1483"/>
      <c r="E1483"/>
      <c r="F1483"/>
      <c r="G1483"/>
      <c r="H1483"/>
      <c r="I1483"/>
      <c r="J1483"/>
      <c r="K1483"/>
      <c r="L1483"/>
      <c r="M1483"/>
      <c r="N1483"/>
      <c r="O1483"/>
      <c r="P1483"/>
      <c r="Q1483"/>
      <c r="R1483"/>
      <c r="S1483"/>
      <c r="T1483"/>
    </row>
    <row r="1484" spans="1:20" x14ac:dyDescent="0.3">
      <c r="A1484"/>
      <c r="B1484"/>
      <c r="C1484"/>
      <c r="D1484"/>
      <c r="E1484"/>
      <c r="F1484"/>
      <c r="G1484"/>
      <c r="H1484"/>
      <c r="I1484"/>
      <c r="J1484"/>
      <c r="K1484"/>
      <c r="L1484"/>
      <c r="M1484"/>
      <c r="N1484"/>
      <c r="O1484"/>
      <c r="P1484"/>
      <c r="Q1484"/>
      <c r="R1484"/>
      <c r="S1484"/>
      <c r="T1484"/>
    </row>
    <row r="1485" spans="1:20" x14ac:dyDescent="0.3">
      <c r="A1485"/>
      <c r="B1485"/>
      <c r="C1485"/>
      <c r="D1485"/>
      <c r="E1485"/>
      <c r="F1485"/>
      <c r="G1485"/>
      <c r="H1485"/>
      <c r="I1485"/>
      <c r="J1485"/>
      <c r="K1485"/>
      <c r="L1485"/>
      <c r="M1485"/>
      <c r="N1485"/>
      <c r="O1485"/>
      <c r="P1485"/>
      <c r="Q1485"/>
      <c r="R1485"/>
      <c r="S1485"/>
      <c r="T1485"/>
    </row>
    <row r="1486" spans="1:20" x14ac:dyDescent="0.3">
      <c r="A1486"/>
      <c r="B1486"/>
      <c r="C1486"/>
      <c r="D1486"/>
      <c r="E1486"/>
      <c r="F1486"/>
      <c r="G1486"/>
      <c r="H1486"/>
      <c r="I1486"/>
      <c r="J1486"/>
      <c r="K1486"/>
      <c r="L1486"/>
      <c r="M1486"/>
      <c r="N1486"/>
      <c r="O1486"/>
      <c r="P1486"/>
      <c r="Q1486"/>
      <c r="R1486"/>
      <c r="S1486"/>
      <c r="T1486"/>
    </row>
    <row r="1487" spans="1:20" x14ac:dyDescent="0.3">
      <c r="A1487"/>
      <c r="B1487"/>
      <c r="C1487"/>
      <c r="D1487"/>
      <c r="E1487"/>
      <c r="F1487"/>
      <c r="G1487"/>
      <c r="H1487"/>
      <c r="I1487"/>
      <c r="J1487"/>
      <c r="K1487"/>
      <c r="L1487"/>
      <c r="M1487"/>
      <c r="N1487"/>
      <c r="O1487"/>
      <c r="P1487"/>
      <c r="Q1487"/>
      <c r="R1487"/>
      <c r="S1487"/>
      <c r="T1487"/>
    </row>
    <row r="1488" spans="1:20" x14ac:dyDescent="0.3">
      <c r="A1488"/>
      <c r="B1488"/>
      <c r="C1488"/>
      <c r="D1488"/>
      <c r="E1488"/>
      <c r="F1488"/>
      <c r="G1488"/>
      <c r="H1488"/>
      <c r="I1488"/>
      <c r="J1488"/>
      <c r="K1488"/>
      <c r="L1488"/>
      <c r="M1488"/>
      <c r="N1488"/>
      <c r="O1488"/>
      <c r="P1488"/>
      <c r="Q1488"/>
      <c r="R1488"/>
      <c r="S1488"/>
      <c r="T1488"/>
    </row>
    <row r="1489" spans="1:20" x14ac:dyDescent="0.3">
      <c r="A1489"/>
      <c r="B1489"/>
      <c r="C1489"/>
      <c r="D1489"/>
      <c r="E1489"/>
      <c r="F1489"/>
      <c r="G1489"/>
      <c r="H1489"/>
      <c r="I1489"/>
      <c r="J1489"/>
      <c r="K1489"/>
      <c r="L1489"/>
      <c r="M1489"/>
      <c r="N1489"/>
      <c r="O1489"/>
      <c r="P1489"/>
      <c r="Q1489"/>
      <c r="R1489"/>
      <c r="S1489"/>
      <c r="T1489"/>
    </row>
    <row r="1490" spans="1:20" x14ac:dyDescent="0.3">
      <c r="A1490"/>
      <c r="B1490"/>
      <c r="C1490"/>
      <c r="D1490"/>
      <c r="E1490"/>
      <c r="F1490"/>
      <c r="G1490"/>
      <c r="H1490"/>
      <c r="I1490"/>
      <c r="J1490"/>
      <c r="K1490"/>
      <c r="L1490"/>
      <c r="M1490"/>
      <c r="N1490"/>
      <c r="O1490"/>
      <c r="P1490"/>
      <c r="Q1490"/>
      <c r="R1490"/>
      <c r="S1490"/>
      <c r="T1490"/>
    </row>
    <row r="1491" spans="1:20" x14ac:dyDescent="0.3">
      <c r="A1491"/>
      <c r="B1491"/>
      <c r="C1491"/>
      <c r="D1491"/>
      <c r="E1491"/>
      <c r="F1491"/>
      <c r="G1491"/>
      <c r="H1491"/>
      <c r="I1491"/>
      <c r="J1491"/>
      <c r="K1491"/>
      <c r="L1491"/>
      <c r="M1491"/>
      <c r="N1491"/>
      <c r="O1491"/>
      <c r="P1491"/>
      <c r="Q1491"/>
      <c r="R1491"/>
      <c r="S1491"/>
      <c r="T1491"/>
    </row>
    <row r="1492" spans="1:20" x14ac:dyDescent="0.3">
      <c r="A1492"/>
      <c r="B1492"/>
      <c r="C1492"/>
      <c r="D1492"/>
      <c r="E1492"/>
      <c r="F1492"/>
      <c r="G1492"/>
      <c r="H1492"/>
      <c r="I1492"/>
      <c r="J1492"/>
      <c r="K1492"/>
      <c r="L1492"/>
      <c r="M1492"/>
      <c r="N1492"/>
      <c r="O1492"/>
      <c r="P1492"/>
      <c r="Q1492"/>
      <c r="R1492"/>
      <c r="S1492"/>
      <c r="T1492"/>
    </row>
    <row r="1493" spans="1:20" x14ac:dyDescent="0.3">
      <c r="A1493"/>
      <c r="B1493"/>
      <c r="C1493"/>
      <c r="D1493"/>
      <c r="E1493"/>
      <c r="F1493"/>
      <c r="G1493"/>
      <c r="H1493"/>
      <c r="I1493"/>
      <c r="J1493"/>
      <c r="K1493"/>
      <c r="L1493"/>
      <c r="M1493"/>
      <c r="N1493"/>
      <c r="O1493"/>
      <c r="P1493"/>
      <c r="Q1493"/>
      <c r="R1493"/>
      <c r="S1493"/>
      <c r="T1493"/>
    </row>
    <row r="1494" spans="1:20" x14ac:dyDescent="0.3">
      <c r="A1494"/>
      <c r="B1494"/>
      <c r="C1494"/>
      <c r="D1494"/>
      <c r="E1494"/>
      <c r="F1494"/>
      <c r="G1494"/>
      <c r="H1494"/>
      <c r="I1494"/>
      <c r="J1494"/>
      <c r="K1494"/>
      <c r="L1494"/>
      <c r="M1494"/>
      <c r="N1494"/>
      <c r="O1494"/>
      <c r="P1494"/>
      <c r="Q1494"/>
      <c r="R1494"/>
      <c r="S1494"/>
      <c r="T1494"/>
    </row>
    <row r="1495" spans="1:20" x14ac:dyDescent="0.3">
      <c r="A1495"/>
      <c r="B1495"/>
      <c r="C1495"/>
      <c r="D1495"/>
      <c r="E1495"/>
      <c r="F1495"/>
      <c r="G1495"/>
      <c r="H1495"/>
      <c r="I1495"/>
      <c r="J1495"/>
      <c r="K1495"/>
      <c r="L1495"/>
      <c r="M1495"/>
      <c r="N1495"/>
      <c r="O1495"/>
      <c r="P1495"/>
      <c r="Q1495"/>
      <c r="R1495"/>
      <c r="S1495"/>
      <c r="T1495"/>
    </row>
    <row r="1496" spans="1:20" x14ac:dyDescent="0.3">
      <c r="A1496"/>
      <c r="B1496"/>
      <c r="C1496"/>
      <c r="D1496"/>
      <c r="E1496"/>
      <c r="F1496"/>
      <c r="G1496"/>
      <c r="H1496"/>
      <c r="I1496"/>
      <c r="J1496"/>
      <c r="K1496"/>
      <c r="L1496"/>
      <c r="M1496"/>
      <c r="N1496"/>
      <c r="O1496"/>
      <c r="P1496"/>
      <c r="Q1496"/>
      <c r="R1496"/>
      <c r="S1496"/>
      <c r="T1496"/>
    </row>
    <row r="1497" spans="1:20" x14ac:dyDescent="0.3">
      <c r="A1497"/>
      <c r="B1497"/>
      <c r="C1497"/>
      <c r="D1497"/>
      <c r="E1497"/>
      <c r="F1497"/>
      <c r="G1497"/>
      <c r="H1497"/>
      <c r="I1497"/>
      <c r="J1497"/>
      <c r="K1497"/>
      <c r="L1497"/>
      <c r="M1497"/>
      <c r="N1497"/>
      <c r="O1497"/>
      <c r="P1497"/>
      <c r="Q1497"/>
      <c r="R1497"/>
      <c r="S1497"/>
      <c r="T1497"/>
    </row>
    <row r="1498" spans="1:20" x14ac:dyDescent="0.3">
      <c r="A1498"/>
      <c r="B1498"/>
      <c r="C1498"/>
      <c r="D1498"/>
      <c r="E1498"/>
      <c r="F1498"/>
      <c r="G1498"/>
      <c r="H1498"/>
      <c r="I1498"/>
      <c r="J1498"/>
      <c r="K1498"/>
      <c r="L1498"/>
      <c r="M1498"/>
      <c r="N1498"/>
      <c r="O1498"/>
      <c r="P1498"/>
      <c r="Q1498"/>
      <c r="R1498"/>
      <c r="S1498"/>
      <c r="T1498"/>
    </row>
    <row r="1499" spans="1:20" x14ac:dyDescent="0.3">
      <c r="A1499"/>
      <c r="B1499"/>
      <c r="C1499"/>
      <c r="D1499"/>
      <c r="E1499"/>
      <c r="F1499"/>
      <c r="G1499"/>
      <c r="H1499"/>
      <c r="I1499"/>
      <c r="J1499"/>
      <c r="K1499"/>
      <c r="L1499"/>
      <c r="M1499"/>
      <c r="N1499"/>
      <c r="O1499"/>
      <c r="P1499"/>
      <c r="Q1499"/>
      <c r="R1499"/>
      <c r="S1499"/>
      <c r="T1499"/>
    </row>
    <row r="1500" spans="1:20" x14ac:dyDescent="0.3">
      <c r="A1500"/>
      <c r="B1500"/>
      <c r="C1500"/>
      <c r="D1500"/>
      <c r="E1500"/>
      <c r="F1500"/>
      <c r="G1500"/>
      <c r="H1500"/>
      <c r="I1500"/>
      <c r="J1500"/>
      <c r="K1500"/>
      <c r="L1500"/>
      <c r="M1500"/>
      <c r="N1500"/>
      <c r="O1500"/>
      <c r="P1500"/>
      <c r="Q1500"/>
      <c r="R1500"/>
      <c r="S1500"/>
      <c r="T1500"/>
    </row>
    <row r="1501" spans="1:20" x14ac:dyDescent="0.3">
      <c r="A1501"/>
      <c r="B1501"/>
      <c r="C1501"/>
      <c r="D1501"/>
      <c r="E1501"/>
      <c r="F1501"/>
      <c r="G1501"/>
      <c r="H1501"/>
      <c r="I1501"/>
      <c r="J1501"/>
      <c r="K1501"/>
      <c r="L1501"/>
      <c r="M1501"/>
      <c r="N1501"/>
      <c r="O1501"/>
      <c r="P1501"/>
      <c r="Q1501"/>
      <c r="R1501"/>
      <c r="S1501"/>
      <c r="T1501"/>
    </row>
    <row r="1502" spans="1:20" x14ac:dyDescent="0.3">
      <c r="A1502"/>
      <c r="B1502"/>
      <c r="C1502"/>
      <c r="D1502"/>
      <c r="E1502"/>
      <c r="F1502"/>
      <c r="G1502"/>
      <c r="H1502"/>
      <c r="I1502"/>
      <c r="J1502"/>
      <c r="K1502"/>
      <c r="L1502"/>
      <c r="M1502"/>
      <c r="N1502"/>
      <c r="O1502"/>
      <c r="P1502"/>
      <c r="Q1502"/>
      <c r="R1502"/>
      <c r="S1502"/>
      <c r="T1502"/>
    </row>
    <row r="1503" spans="1:20" x14ac:dyDescent="0.3">
      <c r="A1503"/>
      <c r="B1503"/>
      <c r="C1503"/>
      <c r="D1503"/>
      <c r="E1503"/>
      <c r="F1503"/>
      <c r="G1503"/>
      <c r="H1503"/>
      <c r="I1503"/>
      <c r="J1503"/>
      <c r="K1503"/>
      <c r="L1503"/>
      <c r="M1503"/>
      <c r="N1503"/>
      <c r="O1503"/>
      <c r="P1503"/>
      <c r="Q1503"/>
      <c r="R1503"/>
      <c r="S1503"/>
      <c r="T1503"/>
    </row>
    <row r="1504" spans="1:20" x14ac:dyDescent="0.3">
      <c r="A1504"/>
      <c r="B1504"/>
      <c r="C1504"/>
      <c r="D1504"/>
      <c r="E1504"/>
      <c r="F1504"/>
      <c r="G1504"/>
      <c r="H1504"/>
      <c r="I1504"/>
      <c r="J1504"/>
      <c r="K1504"/>
      <c r="L1504"/>
      <c r="M1504"/>
      <c r="N1504"/>
      <c r="O1504"/>
      <c r="P1504"/>
      <c r="Q1504"/>
      <c r="R1504"/>
      <c r="S1504"/>
      <c r="T1504"/>
    </row>
    <row r="1505" spans="1:20" x14ac:dyDescent="0.3">
      <c r="A1505"/>
      <c r="B1505"/>
      <c r="C1505"/>
      <c r="D1505"/>
      <c r="E1505"/>
      <c r="F1505"/>
      <c r="G1505"/>
      <c r="H1505"/>
      <c r="I1505"/>
      <c r="J1505"/>
      <c r="K1505"/>
      <c r="L1505"/>
      <c r="M1505"/>
      <c r="N1505"/>
      <c r="O1505"/>
      <c r="P1505"/>
      <c r="Q1505"/>
      <c r="R1505"/>
      <c r="S1505"/>
      <c r="T1505"/>
    </row>
    <row r="1506" spans="1:20" x14ac:dyDescent="0.3">
      <c r="A1506"/>
      <c r="B1506"/>
      <c r="C1506"/>
      <c r="D1506"/>
      <c r="E1506"/>
      <c r="F1506"/>
      <c r="G1506"/>
      <c r="H1506"/>
      <c r="I1506"/>
      <c r="J1506"/>
      <c r="K1506"/>
      <c r="L1506"/>
      <c r="M1506"/>
      <c r="N1506"/>
      <c r="O1506"/>
      <c r="P1506"/>
      <c r="Q1506"/>
      <c r="R1506"/>
      <c r="S1506"/>
      <c r="T1506"/>
    </row>
    <row r="1507" spans="1:20" x14ac:dyDescent="0.3">
      <c r="A1507"/>
      <c r="B1507"/>
      <c r="C1507"/>
      <c r="D1507"/>
      <c r="E1507"/>
      <c r="F1507"/>
      <c r="G1507"/>
      <c r="H1507"/>
      <c r="I1507"/>
      <c r="J1507"/>
      <c r="K1507"/>
      <c r="L1507"/>
      <c r="M1507"/>
      <c r="N1507"/>
      <c r="O1507"/>
      <c r="P1507"/>
      <c r="Q1507"/>
      <c r="R1507"/>
      <c r="S1507"/>
      <c r="T1507"/>
    </row>
    <row r="1508" spans="1:20" x14ac:dyDescent="0.3">
      <c r="A1508"/>
      <c r="B1508"/>
      <c r="C1508"/>
      <c r="D1508"/>
      <c r="E1508"/>
      <c r="F1508"/>
      <c r="G1508"/>
      <c r="H1508"/>
      <c r="I1508"/>
      <c r="J1508"/>
      <c r="K1508"/>
      <c r="L1508"/>
      <c r="M1508"/>
      <c r="N1508"/>
      <c r="O1508"/>
      <c r="P1508"/>
      <c r="Q1508"/>
      <c r="R1508"/>
      <c r="S1508"/>
      <c r="T1508"/>
    </row>
    <row r="1509" spans="1:20" x14ac:dyDescent="0.3">
      <c r="A1509"/>
      <c r="B1509"/>
      <c r="C1509"/>
      <c r="D1509"/>
      <c r="E1509"/>
      <c r="F1509"/>
      <c r="G1509"/>
      <c r="H1509"/>
      <c r="I1509"/>
      <c r="J1509"/>
      <c r="K1509"/>
      <c r="L1509"/>
      <c r="M1509"/>
      <c r="N1509"/>
      <c r="O1509"/>
      <c r="P1509"/>
      <c r="Q1509"/>
      <c r="R1509"/>
      <c r="S1509"/>
      <c r="T1509"/>
    </row>
    <row r="1510" spans="1:20" x14ac:dyDescent="0.3">
      <c r="A1510"/>
      <c r="B1510"/>
      <c r="C1510"/>
      <c r="D1510"/>
      <c r="E1510"/>
      <c r="F1510"/>
      <c r="G1510"/>
      <c r="H1510"/>
      <c r="I1510"/>
      <c r="J1510"/>
      <c r="K1510"/>
      <c r="L1510"/>
      <c r="M1510"/>
      <c r="N1510"/>
      <c r="O1510"/>
      <c r="P1510"/>
      <c r="Q1510"/>
      <c r="R1510"/>
      <c r="S1510"/>
      <c r="T1510"/>
    </row>
    <row r="1511" spans="1:20" x14ac:dyDescent="0.3">
      <c r="A1511"/>
      <c r="B1511"/>
      <c r="C1511"/>
      <c r="D1511"/>
      <c r="E1511"/>
      <c r="F1511"/>
      <c r="G1511"/>
      <c r="H1511"/>
      <c r="I1511"/>
      <c r="J1511"/>
      <c r="K1511"/>
      <c r="L1511"/>
      <c r="M1511"/>
      <c r="N1511"/>
      <c r="O1511"/>
      <c r="P1511"/>
      <c r="Q1511"/>
      <c r="R1511"/>
      <c r="S1511"/>
      <c r="T1511"/>
    </row>
    <row r="1512" spans="1:20" x14ac:dyDescent="0.3">
      <c r="A1512"/>
      <c r="B1512"/>
      <c r="C1512"/>
      <c r="D1512"/>
      <c r="E1512"/>
      <c r="F1512"/>
      <c r="G1512"/>
      <c r="H1512"/>
      <c r="I1512"/>
      <c r="J1512"/>
      <c r="K1512"/>
      <c r="L1512"/>
      <c r="M1512"/>
      <c r="N1512"/>
      <c r="O1512"/>
      <c r="P1512"/>
      <c r="Q1512"/>
      <c r="R1512"/>
      <c r="S1512"/>
      <c r="T1512"/>
    </row>
    <row r="1513" spans="1:20" x14ac:dyDescent="0.3">
      <c r="A1513"/>
      <c r="B1513"/>
      <c r="C1513"/>
      <c r="D1513"/>
      <c r="E1513"/>
      <c r="F1513"/>
      <c r="G1513"/>
      <c r="H1513"/>
      <c r="I1513"/>
      <c r="J1513"/>
      <c r="K1513"/>
      <c r="L1513"/>
      <c r="M1513"/>
      <c r="N1513"/>
      <c r="O1513"/>
      <c r="P1513"/>
      <c r="Q1513"/>
      <c r="R1513"/>
      <c r="S1513"/>
      <c r="T1513"/>
    </row>
    <row r="1514" spans="1:20" x14ac:dyDescent="0.3">
      <c r="A1514"/>
      <c r="B1514"/>
      <c r="C1514"/>
      <c r="D1514"/>
      <c r="E1514"/>
      <c r="F1514"/>
      <c r="G1514"/>
      <c r="H1514"/>
      <c r="I1514"/>
      <c r="J1514"/>
      <c r="K1514"/>
      <c r="L1514"/>
      <c r="M1514"/>
      <c r="N1514"/>
      <c r="O1514"/>
      <c r="P1514"/>
      <c r="Q1514"/>
      <c r="R1514"/>
      <c r="S1514"/>
      <c r="T1514"/>
    </row>
    <row r="1515" spans="1:20" x14ac:dyDescent="0.3">
      <c r="A1515"/>
      <c r="B1515"/>
      <c r="C1515"/>
      <c r="D1515"/>
      <c r="E1515"/>
      <c r="F1515"/>
      <c r="G1515"/>
      <c r="H1515"/>
      <c r="I1515"/>
      <c r="J1515"/>
      <c r="K1515"/>
      <c r="L1515"/>
      <c r="M1515"/>
      <c r="N1515"/>
      <c r="O1515"/>
      <c r="P1515"/>
      <c r="Q1515"/>
      <c r="R1515"/>
      <c r="S1515"/>
      <c r="T1515"/>
    </row>
    <row r="1516" spans="1:20" x14ac:dyDescent="0.3">
      <c r="A1516"/>
      <c r="B1516"/>
      <c r="C1516"/>
      <c r="D1516"/>
      <c r="E1516"/>
      <c r="F1516"/>
      <c r="G1516"/>
      <c r="H1516"/>
      <c r="I1516"/>
      <c r="J1516"/>
      <c r="K1516"/>
      <c r="L1516"/>
      <c r="M1516"/>
      <c r="N1516"/>
      <c r="O1516"/>
      <c r="P1516"/>
      <c r="Q1516"/>
      <c r="R1516"/>
      <c r="S1516"/>
      <c r="T1516"/>
    </row>
    <row r="1517" spans="1:20" x14ac:dyDescent="0.3">
      <c r="A1517"/>
      <c r="B1517"/>
      <c r="C1517"/>
      <c r="D1517"/>
      <c r="E1517"/>
      <c r="F1517"/>
      <c r="G1517"/>
      <c r="H1517"/>
      <c r="I1517"/>
      <c r="J1517"/>
      <c r="K1517"/>
      <c r="L1517"/>
      <c r="M1517"/>
      <c r="N1517"/>
      <c r="O1517"/>
      <c r="P1517"/>
      <c r="Q1517"/>
      <c r="R1517"/>
      <c r="S1517"/>
      <c r="T1517"/>
    </row>
    <row r="1518" spans="1:20" x14ac:dyDescent="0.3">
      <c r="A1518"/>
      <c r="B1518"/>
      <c r="C1518"/>
      <c r="D1518"/>
      <c r="E1518"/>
      <c r="F1518"/>
      <c r="G1518"/>
      <c r="H1518"/>
      <c r="I1518"/>
      <c r="J1518"/>
      <c r="K1518"/>
      <c r="L1518"/>
      <c r="M1518"/>
      <c r="N1518"/>
      <c r="O1518"/>
      <c r="P1518"/>
      <c r="Q1518"/>
      <c r="R1518"/>
      <c r="S1518"/>
      <c r="T1518"/>
    </row>
    <row r="1519" spans="1:20" x14ac:dyDescent="0.3">
      <c r="A1519"/>
      <c r="B1519"/>
      <c r="C1519"/>
      <c r="D1519"/>
      <c r="E1519"/>
      <c r="F1519"/>
      <c r="G1519"/>
      <c r="H1519"/>
      <c r="I1519"/>
      <c r="J1519"/>
      <c r="K1519"/>
      <c r="L1519"/>
      <c r="M1519"/>
      <c r="N1519"/>
      <c r="O1519"/>
      <c r="P1519"/>
      <c r="Q1519"/>
      <c r="R1519"/>
      <c r="S1519"/>
      <c r="T1519"/>
    </row>
    <row r="1520" spans="1:20" x14ac:dyDescent="0.3">
      <c r="A1520"/>
      <c r="B1520"/>
      <c r="C1520"/>
      <c r="D1520"/>
      <c r="E1520"/>
      <c r="F1520"/>
      <c r="G1520"/>
      <c r="H1520"/>
      <c r="I1520"/>
      <c r="J1520"/>
      <c r="K1520"/>
      <c r="L1520"/>
      <c r="M1520"/>
      <c r="N1520"/>
      <c r="O1520"/>
      <c r="P1520"/>
      <c r="Q1520"/>
      <c r="R1520"/>
      <c r="S1520"/>
      <c r="T1520"/>
    </row>
    <row r="1521" spans="1:20" x14ac:dyDescent="0.3">
      <c r="A1521"/>
      <c r="B1521"/>
      <c r="C1521"/>
      <c r="D1521"/>
      <c r="E1521"/>
      <c r="F1521"/>
      <c r="G1521"/>
      <c r="H1521"/>
      <c r="I1521"/>
      <c r="J1521"/>
      <c r="K1521"/>
      <c r="L1521"/>
      <c r="M1521"/>
      <c r="N1521"/>
      <c r="O1521"/>
      <c r="P1521"/>
      <c r="Q1521"/>
      <c r="R1521"/>
      <c r="S1521"/>
      <c r="T1521"/>
    </row>
    <row r="1522" spans="1:20" x14ac:dyDescent="0.3">
      <c r="A1522"/>
      <c r="B1522"/>
      <c r="C1522"/>
      <c r="D1522"/>
      <c r="E1522"/>
      <c r="F1522"/>
      <c r="G1522"/>
      <c r="H1522"/>
      <c r="I1522"/>
      <c r="J1522"/>
      <c r="K1522"/>
      <c r="L1522"/>
      <c r="M1522"/>
      <c r="N1522"/>
      <c r="O1522"/>
      <c r="P1522"/>
      <c r="Q1522"/>
      <c r="R1522"/>
      <c r="S1522"/>
      <c r="T1522"/>
    </row>
    <row r="1523" spans="1:20" x14ac:dyDescent="0.3">
      <c r="A1523"/>
      <c r="B1523"/>
      <c r="C1523"/>
      <c r="D1523"/>
      <c r="E1523"/>
      <c r="F1523"/>
      <c r="G1523"/>
      <c r="H1523"/>
      <c r="I1523"/>
      <c r="J1523"/>
      <c r="K1523"/>
      <c r="L1523"/>
      <c r="M1523"/>
      <c r="N1523"/>
      <c r="O1523"/>
      <c r="P1523"/>
      <c r="Q1523"/>
      <c r="R1523"/>
      <c r="S1523"/>
      <c r="T1523"/>
    </row>
    <row r="1524" spans="1:20" x14ac:dyDescent="0.3">
      <c r="A1524"/>
      <c r="B1524"/>
      <c r="C1524"/>
      <c r="D1524"/>
      <c r="E1524"/>
      <c r="F1524"/>
      <c r="G1524"/>
      <c r="H1524"/>
      <c r="I1524"/>
      <c r="J1524"/>
      <c r="K1524"/>
      <c r="L1524"/>
      <c r="M1524"/>
      <c r="N1524"/>
      <c r="O1524"/>
      <c r="P1524"/>
      <c r="Q1524"/>
      <c r="R1524"/>
      <c r="S1524"/>
      <c r="T1524"/>
    </row>
    <row r="1525" spans="1:20" x14ac:dyDescent="0.3">
      <c r="A1525"/>
      <c r="B1525"/>
      <c r="C1525"/>
      <c r="D1525"/>
      <c r="E1525"/>
      <c r="F1525"/>
      <c r="G1525"/>
      <c r="H1525"/>
      <c r="I1525"/>
      <c r="J1525"/>
      <c r="K1525"/>
      <c r="L1525"/>
      <c r="M1525"/>
      <c r="N1525"/>
      <c r="O1525"/>
      <c r="P1525"/>
      <c r="Q1525"/>
      <c r="R1525"/>
      <c r="S1525"/>
      <c r="T1525"/>
    </row>
    <row r="1526" spans="1:20" x14ac:dyDescent="0.3">
      <c r="A1526"/>
      <c r="B1526"/>
      <c r="C1526"/>
      <c r="D1526"/>
      <c r="E1526"/>
      <c r="F1526"/>
      <c r="G1526"/>
      <c r="H1526"/>
      <c r="I1526"/>
      <c r="J1526"/>
      <c r="K1526"/>
      <c r="L1526"/>
      <c r="M1526"/>
      <c r="N1526"/>
      <c r="O1526"/>
      <c r="P1526"/>
      <c r="Q1526"/>
      <c r="R1526"/>
      <c r="S1526"/>
      <c r="T1526"/>
    </row>
    <row r="1527" spans="1:20" x14ac:dyDescent="0.3">
      <c r="A1527"/>
      <c r="B1527"/>
      <c r="C1527"/>
      <c r="D1527"/>
      <c r="E1527"/>
      <c r="F1527"/>
      <c r="G1527"/>
      <c r="H1527"/>
      <c r="I1527"/>
      <c r="J1527"/>
      <c r="K1527"/>
      <c r="L1527"/>
      <c r="M1527"/>
      <c r="N1527"/>
      <c r="O1527"/>
      <c r="P1527"/>
      <c r="Q1527"/>
      <c r="R1527"/>
      <c r="S1527"/>
      <c r="T1527"/>
    </row>
    <row r="1528" spans="1:20" x14ac:dyDescent="0.3">
      <c r="A1528"/>
      <c r="B1528"/>
      <c r="C1528"/>
      <c r="D1528"/>
      <c r="E1528"/>
      <c r="F1528"/>
      <c r="G1528"/>
      <c r="H1528"/>
      <c r="I1528"/>
      <c r="J1528"/>
      <c r="K1528"/>
      <c r="L1528"/>
      <c r="M1528"/>
      <c r="N1528"/>
      <c r="O1528"/>
      <c r="P1528"/>
      <c r="Q1528"/>
      <c r="R1528"/>
      <c r="S1528"/>
      <c r="T1528"/>
    </row>
    <row r="1529" spans="1:20" x14ac:dyDescent="0.3">
      <c r="A1529"/>
      <c r="B1529"/>
      <c r="C1529"/>
      <c r="D1529"/>
      <c r="E1529"/>
      <c r="F1529"/>
      <c r="G1529"/>
      <c r="H1529"/>
      <c r="I1529"/>
      <c r="J1529"/>
      <c r="K1529"/>
      <c r="L1529"/>
      <c r="M1529"/>
      <c r="N1529"/>
      <c r="O1529"/>
      <c r="P1529"/>
      <c r="Q1529"/>
      <c r="R1529"/>
      <c r="S1529"/>
      <c r="T1529"/>
    </row>
    <row r="1530" spans="1:20" x14ac:dyDescent="0.3">
      <c r="A1530"/>
      <c r="B1530"/>
      <c r="C1530"/>
      <c r="D1530"/>
      <c r="E1530"/>
      <c r="F1530"/>
      <c r="G1530"/>
      <c r="H1530"/>
      <c r="I1530"/>
      <c r="J1530"/>
      <c r="K1530"/>
      <c r="L1530"/>
      <c r="M1530"/>
      <c r="N1530"/>
      <c r="O1530"/>
      <c r="P1530"/>
      <c r="Q1530"/>
      <c r="R1530"/>
      <c r="S1530"/>
      <c r="T1530"/>
    </row>
    <row r="1531" spans="1:20" x14ac:dyDescent="0.3">
      <c r="A1531"/>
      <c r="B1531"/>
      <c r="C1531"/>
      <c r="D1531"/>
      <c r="E1531"/>
      <c r="F1531"/>
      <c r="G1531"/>
      <c r="H1531"/>
      <c r="I1531"/>
      <c r="J1531"/>
      <c r="K1531"/>
      <c r="L1531"/>
      <c r="M1531"/>
      <c r="N1531"/>
      <c r="O1531"/>
      <c r="P1531"/>
      <c r="Q1531"/>
      <c r="R1531"/>
      <c r="S1531"/>
      <c r="T1531"/>
    </row>
    <row r="1532" spans="1:20" x14ac:dyDescent="0.3">
      <c r="A1532"/>
      <c r="B1532"/>
      <c r="C1532"/>
      <c r="D1532"/>
      <c r="E1532"/>
      <c r="F1532"/>
      <c r="G1532"/>
      <c r="H1532"/>
      <c r="I1532"/>
      <c r="J1532"/>
      <c r="K1532"/>
      <c r="L1532"/>
      <c r="M1532"/>
      <c r="N1532"/>
      <c r="O1532"/>
      <c r="P1532"/>
      <c r="Q1532"/>
      <c r="R1532"/>
      <c r="S1532"/>
      <c r="T1532"/>
    </row>
    <row r="1533" spans="1:20" x14ac:dyDescent="0.3">
      <c r="A1533"/>
      <c r="B1533"/>
      <c r="C1533"/>
      <c r="D1533"/>
      <c r="E1533"/>
      <c r="F1533"/>
      <c r="G1533"/>
      <c r="H1533"/>
      <c r="I1533"/>
      <c r="J1533"/>
      <c r="K1533"/>
      <c r="L1533"/>
      <c r="M1533"/>
      <c r="N1533"/>
      <c r="O1533"/>
      <c r="P1533"/>
      <c r="Q1533"/>
      <c r="R1533"/>
      <c r="S1533"/>
      <c r="T1533"/>
    </row>
    <row r="1534" spans="1:20" x14ac:dyDescent="0.3">
      <c r="A1534"/>
      <c r="B1534"/>
      <c r="C1534"/>
      <c r="D1534"/>
      <c r="E1534"/>
      <c r="F1534"/>
      <c r="G1534"/>
      <c r="H1534"/>
      <c r="I1534"/>
      <c r="J1534"/>
      <c r="K1534"/>
      <c r="L1534"/>
      <c r="M1534"/>
      <c r="N1534"/>
      <c r="O1534"/>
      <c r="P1534"/>
      <c r="Q1534"/>
      <c r="R1534"/>
      <c r="S1534"/>
      <c r="T1534"/>
    </row>
    <row r="1535" spans="1:20" x14ac:dyDescent="0.3">
      <c r="A1535"/>
      <c r="B1535"/>
      <c r="C1535"/>
      <c r="D1535"/>
      <c r="E1535"/>
      <c r="F1535"/>
      <c r="G1535"/>
      <c r="H1535"/>
      <c r="I1535"/>
      <c r="J1535"/>
      <c r="K1535"/>
      <c r="L1535"/>
      <c r="M1535"/>
      <c r="N1535"/>
      <c r="O1535"/>
      <c r="P1535"/>
      <c r="Q1535"/>
      <c r="R1535"/>
      <c r="S1535"/>
      <c r="T1535"/>
    </row>
    <row r="1536" spans="1:20" x14ac:dyDescent="0.3">
      <c r="A1536"/>
      <c r="B1536"/>
      <c r="C1536"/>
      <c r="D1536"/>
      <c r="E1536"/>
      <c r="F1536"/>
      <c r="G1536"/>
      <c r="H1536"/>
      <c r="I1536"/>
      <c r="J1536"/>
      <c r="K1536"/>
      <c r="L1536"/>
      <c r="M1536"/>
      <c r="N1536"/>
      <c r="O1536"/>
      <c r="P1536"/>
      <c r="Q1536"/>
      <c r="R1536"/>
      <c r="S1536"/>
      <c r="T1536"/>
    </row>
    <row r="1537" spans="1:20" x14ac:dyDescent="0.3">
      <c r="A1537"/>
      <c r="B1537"/>
      <c r="C1537"/>
      <c r="D1537"/>
      <c r="E1537"/>
      <c r="F1537"/>
      <c r="G1537"/>
      <c r="H1537"/>
      <c r="I1537"/>
      <c r="J1537"/>
      <c r="K1537"/>
      <c r="L1537"/>
      <c r="M1537"/>
      <c r="N1537"/>
      <c r="O1537"/>
      <c r="P1537"/>
      <c r="Q1537"/>
      <c r="R1537"/>
      <c r="S1537"/>
      <c r="T1537"/>
    </row>
    <row r="1538" spans="1:20" x14ac:dyDescent="0.3">
      <c r="A1538"/>
      <c r="B1538"/>
      <c r="C1538"/>
      <c r="D1538"/>
      <c r="E1538"/>
      <c r="F1538"/>
      <c r="G1538"/>
      <c r="H1538"/>
      <c r="I1538"/>
      <c r="J1538"/>
      <c r="K1538"/>
      <c r="L1538"/>
      <c r="M1538"/>
      <c r="N1538"/>
      <c r="O1538"/>
      <c r="P1538"/>
      <c r="Q1538"/>
      <c r="R1538"/>
      <c r="S1538"/>
      <c r="T1538"/>
    </row>
    <row r="1539" spans="1:20" x14ac:dyDescent="0.3">
      <c r="A1539"/>
      <c r="B1539"/>
      <c r="C1539"/>
      <c r="D1539"/>
      <c r="E1539"/>
      <c r="F1539"/>
      <c r="G1539"/>
      <c r="H1539"/>
      <c r="I1539"/>
      <c r="J1539"/>
      <c r="K1539"/>
      <c r="L1539"/>
      <c r="M1539"/>
      <c r="N1539"/>
      <c r="O1539"/>
      <c r="P1539"/>
      <c r="Q1539"/>
      <c r="R1539"/>
      <c r="S1539"/>
      <c r="T1539"/>
    </row>
    <row r="1540" spans="1:20" x14ac:dyDescent="0.3">
      <c r="A1540"/>
      <c r="B1540"/>
      <c r="C1540"/>
      <c r="D1540"/>
      <c r="E1540"/>
      <c r="F1540"/>
      <c r="G1540"/>
      <c r="H1540"/>
      <c r="I1540"/>
      <c r="J1540"/>
      <c r="K1540"/>
      <c r="L1540"/>
      <c r="M1540"/>
      <c r="N1540"/>
      <c r="O1540"/>
      <c r="P1540"/>
      <c r="Q1540"/>
      <c r="R1540"/>
      <c r="S1540"/>
      <c r="T1540"/>
    </row>
    <row r="1541" spans="1:20" x14ac:dyDescent="0.3">
      <c r="A1541"/>
      <c r="B1541"/>
      <c r="C1541"/>
      <c r="D1541"/>
      <c r="E1541"/>
      <c r="F1541"/>
      <c r="G1541"/>
      <c r="H1541"/>
      <c r="I1541"/>
      <c r="J1541"/>
      <c r="K1541"/>
      <c r="L1541"/>
      <c r="M1541"/>
      <c r="N1541"/>
      <c r="O1541"/>
      <c r="P1541"/>
      <c r="Q1541"/>
      <c r="R1541"/>
      <c r="S1541"/>
      <c r="T1541"/>
    </row>
    <row r="1542" spans="1:20" x14ac:dyDescent="0.3">
      <c r="A1542"/>
      <c r="B1542"/>
      <c r="C1542"/>
      <c r="D1542"/>
      <c r="E1542"/>
      <c r="F1542"/>
      <c r="G1542"/>
      <c r="H1542"/>
      <c r="I1542"/>
      <c r="J1542"/>
      <c r="K1542"/>
      <c r="L1542"/>
      <c r="M1542"/>
      <c r="N1542"/>
      <c r="O1542"/>
      <c r="P1542"/>
      <c r="Q1542"/>
      <c r="R1542"/>
      <c r="S1542"/>
      <c r="T1542"/>
    </row>
    <row r="1543" spans="1:20" x14ac:dyDescent="0.3">
      <c r="A1543"/>
      <c r="B1543"/>
      <c r="C1543"/>
      <c r="D1543"/>
      <c r="E1543"/>
      <c r="F1543"/>
      <c r="G1543"/>
      <c r="H1543"/>
      <c r="I1543"/>
      <c r="J1543"/>
      <c r="K1543"/>
      <c r="L1543"/>
      <c r="M1543"/>
      <c r="N1543"/>
      <c r="O1543"/>
      <c r="P1543"/>
      <c r="Q1543"/>
      <c r="R1543"/>
      <c r="S1543"/>
      <c r="T1543"/>
    </row>
    <row r="1544" spans="1:20" x14ac:dyDescent="0.3">
      <c r="A1544"/>
      <c r="B1544"/>
      <c r="C1544"/>
      <c r="D1544"/>
      <c r="E1544"/>
      <c r="F1544"/>
      <c r="G1544"/>
      <c r="H1544"/>
      <c r="I1544"/>
      <c r="J1544"/>
      <c r="K1544"/>
      <c r="L1544"/>
      <c r="M1544"/>
      <c r="N1544"/>
      <c r="O1544"/>
      <c r="P1544"/>
      <c r="Q1544"/>
      <c r="R1544"/>
      <c r="S1544"/>
      <c r="T1544"/>
    </row>
    <row r="1545" spans="1:20" x14ac:dyDescent="0.3">
      <c r="A1545"/>
      <c r="B1545"/>
      <c r="C1545"/>
      <c r="D1545"/>
      <c r="E1545"/>
      <c r="F1545"/>
      <c r="G1545"/>
      <c r="H1545"/>
      <c r="I1545"/>
      <c r="J1545"/>
      <c r="K1545"/>
      <c r="L1545"/>
      <c r="M1545"/>
      <c r="N1545"/>
      <c r="O1545"/>
      <c r="P1545"/>
      <c r="Q1545"/>
      <c r="R1545"/>
      <c r="S1545"/>
      <c r="T1545"/>
    </row>
    <row r="1546" spans="1:20" x14ac:dyDescent="0.3">
      <c r="A1546"/>
      <c r="B1546"/>
      <c r="C1546"/>
      <c r="D1546"/>
      <c r="E1546"/>
      <c r="F1546"/>
      <c r="G1546"/>
      <c r="H1546"/>
      <c r="I1546"/>
      <c r="J1546"/>
      <c r="K1546"/>
      <c r="L1546"/>
      <c r="M1546"/>
      <c r="N1546"/>
      <c r="O1546"/>
      <c r="P1546"/>
      <c r="Q1546"/>
      <c r="R1546"/>
      <c r="S1546"/>
      <c r="T1546"/>
    </row>
    <row r="1547" spans="1:20" x14ac:dyDescent="0.3">
      <c r="A1547"/>
      <c r="B1547"/>
      <c r="C1547"/>
      <c r="D1547"/>
      <c r="E1547"/>
      <c r="F1547"/>
      <c r="G1547"/>
      <c r="H1547"/>
      <c r="I1547"/>
      <c r="J1547"/>
      <c r="K1547"/>
      <c r="L1547"/>
      <c r="M1547"/>
      <c r="N1547"/>
      <c r="O1547"/>
      <c r="P1547"/>
      <c r="Q1547"/>
      <c r="R1547"/>
      <c r="S1547"/>
      <c r="T1547"/>
    </row>
    <row r="1548" spans="1:20" x14ac:dyDescent="0.3">
      <c r="A1548"/>
      <c r="B1548"/>
      <c r="C1548"/>
      <c r="D1548"/>
      <c r="E1548"/>
      <c r="F1548"/>
      <c r="G1548"/>
      <c r="H1548"/>
      <c r="I1548"/>
      <c r="J1548"/>
      <c r="K1548"/>
      <c r="L1548"/>
      <c r="M1548"/>
      <c r="N1548"/>
      <c r="O1548"/>
      <c r="P1548"/>
      <c r="Q1548"/>
      <c r="R1548"/>
      <c r="S1548"/>
      <c r="T1548"/>
    </row>
    <row r="1549" spans="1:20" x14ac:dyDescent="0.3">
      <c r="A1549"/>
      <c r="B1549"/>
      <c r="C1549"/>
      <c r="D1549"/>
      <c r="E1549"/>
      <c r="F1549"/>
      <c r="G1549"/>
      <c r="H1549"/>
      <c r="I1549"/>
      <c r="J1549"/>
      <c r="K1549"/>
      <c r="L1549"/>
      <c r="M1549"/>
      <c r="N1549"/>
      <c r="O1549"/>
      <c r="P1549"/>
      <c r="Q1549"/>
      <c r="R1549"/>
      <c r="S1549"/>
      <c r="T1549"/>
    </row>
    <row r="1550" spans="1:20" x14ac:dyDescent="0.3">
      <c r="A1550"/>
      <c r="B1550"/>
      <c r="C1550"/>
      <c r="D1550"/>
      <c r="E1550"/>
      <c r="F1550"/>
      <c r="G1550"/>
      <c r="H1550"/>
      <c r="I1550"/>
      <c r="J1550"/>
      <c r="K1550"/>
      <c r="L1550"/>
      <c r="M1550"/>
      <c r="N1550"/>
      <c r="O1550"/>
      <c r="P1550"/>
      <c r="Q1550"/>
      <c r="R1550"/>
      <c r="S1550"/>
      <c r="T1550"/>
    </row>
    <row r="1551" spans="1:20" x14ac:dyDescent="0.3">
      <c r="A1551"/>
      <c r="B1551"/>
      <c r="C1551"/>
      <c r="D1551"/>
      <c r="E1551"/>
      <c r="F1551"/>
      <c r="G1551"/>
      <c r="H1551"/>
      <c r="I1551"/>
      <c r="J1551"/>
      <c r="K1551"/>
      <c r="L1551"/>
      <c r="M1551"/>
      <c r="N1551"/>
      <c r="O1551"/>
      <c r="P1551"/>
      <c r="Q1551"/>
      <c r="R1551"/>
      <c r="S1551"/>
      <c r="T1551"/>
    </row>
    <row r="1552" spans="1:20" x14ac:dyDescent="0.3">
      <c r="A1552"/>
      <c r="B1552"/>
      <c r="C1552"/>
      <c r="D1552"/>
      <c r="E1552"/>
      <c r="F1552"/>
      <c r="G1552"/>
      <c r="H1552"/>
      <c r="I1552"/>
      <c r="J1552"/>
      <c r="K1552"/>
      <c r="L1552"/>
      <c r="M1552"/>
      <c r="N1552"/>
      <c r="O1552"/>
      <c r="P1552"/>
      <c r="Q1552"/>
      <c r="R1552"/>
      <c r="S1552"/>
      <c r="T1552"/>
    </row>
    <row r="1553" spans="1:20" x14ac:dyDescent="0.3">
      <c r="A1553"/>
      <c r="B1553"/>
      <c r="C1553"/>
      <c r="D1553"/>
      <c r="E1553"/>
      <c r="F1553"/>
      <c r="G1553"/>
      <c r="H1553"/>
      <c r="I1553"/>
      <c r="J1553"/>
      <c r="K1553"/>
      <c r="L1553"/>
      <c r="M1553"/>
      <c r="N1553"/>
      <c r="O1553"/>
      <c r="P1553"/>
      <c r="Q1553"/>
      <c r="R1553"/>
      <c r="S1553"/>
      <c r="T1553"/>
    </row>
    <row r="1554" spans="1:20" x14ac:dyDescent="0.3">
      <c r="A1554"/>
      <c r="B1554"/>
      <c r="C1554"/>
      <c r="D1554"/>
      <c r="E1554"/>
      <c r="F1554"/>
      <c r="G1554"/>
      <c r="H1554"/>
      <c r="I1554"/>
      <c r="J1554"/>
      <c r="K1554"/>
      <c r="L1554"/>
      <c r="M1554"/>
      <c r="N1554"/>
      <c r="O1554"/>
      <c r="P1554"/>
      <c r="Q1554"/>
      <c r="R1554"/>
      <c r="S1554"/>
      <c r="T1554"/>
    </row>
    <row r="1555" spans="1:20" x14ac:dyDescent="0.3">
      <c r="A1555"/>
      <c r="B1555"/>
      <c r="C1555"/>
      <c r="D1555"/>
      <c r="E1555"/>
      <c r="F1555"/>
      <c r="G1555"/>
      <c r="H1555"/>
      <c r="I1555"/>
      <c r="J1555"/>
      <c r="K1555"/>
      <c r="L1555"/>
      <c r="M1555"/>
      <c r="N1555"/>
      <c r="O1555"/>
      <c r="P1555"/>
      <c r="Q1555"/>
      <c r="R1555"/>
      <c r="S1555"/>
      <c r="T1555"/>
    </row>
    <row r="1556" spans="1:20" x14ac:dyDescent="0.3">
      <c r="A1556"/>
      <c r="B1556"/>
      <c r="C1556"/>
      <c r="D1556"/>
      <c r="E1556"/>
      <c r="F1556"/>
      <c r="G1556"/>
      <c r="H1556"/>
      <c r="I1556"/>
      <c r="J1556"/>
      <c r="K1556"/>
      <c r="L1556"/>
      <c r="M1556"/>
      <c r="N1556"/>
      <c r="O1556"/>
      <c r="P1556"/>
      <c r="Q1556"/>
      <c r="R1556"/>
      <c r="S1556"/>
      <c r="T1556"/>
    </row>
    <row r="1557" spans="1:20" x14ac:dyDescent="0.3">
      <c r="A1557"/>
      <c r="B1557"/>
      <c r="C1557"/>
      <c r="D1557"/>
      <c r="E1557"/>
      <c r="F1557"/>
      <c r="G1557"/>
      <c r="H1557"/>
      <c r="I1557"/>
      <c r="J1557"/>
      <c r="K1557"/>
      <c r="L1557"/>
      <c r="M1557"/>
      <c r="N1557"/>
      <c r="O1557"/>
      <c r="P1557"/>
      <c r="Q1557"/>
      <c r="R1557"/>
      <c r="S1557"/>
      <c r="T1557"/>
    </row>
    <row r="1558" spans="1:20" x14ac:dyDescent="0.3">
      <c r="A1558"/>
      <c r="B1558"/>
      <c r="C1558"/>
      <c r="D1558"/>
      <c r="E1558"/>
      <c r="F1558"/>
      <c r="G1558"/>
      <c r="H1558"/>
      <c r="I1558"/>
      <c r="J1558"/>
      <c r="K1558"/>
      <c r="L1558"/>
      <c r="M1558"/>
      <c r="N1558"/>
      <c r="O1558"/>
      <c r="P1558"/>
      <c r="Q1558"/>
      <c r="R1558"/>
      <c r="S1558"/>
      <c r="T1558"/>
    </row>
    <row r="1559" spans="1:20" x14ac:dyDescent="0.3">
      <c r="A1559"/>
      <c r="B1559"/>
      <c r="C1559"/>
      <c r="D1559"/>
      <c r="E1559"/>
      <c r="F1559"/>
      <c r="G1559"/>
      <c r="H1559"/>
      <c r="I1559"/>
      <c r="J1559"/>
      <c r="K1559"/>
      <c r="L1559"/>
      <c r="M1559"/>
      <c r="N1559"/>
      <c r="O1559"/>
      <c r="P1559"/>
      <c r="Q1559"/>
      <c r="R1559"/>
      <c r="S1559"/>
      <c r="T1559"/>
    </row>
    <row r="1560" spans="1:20" x14ac:dyDescent="0.3">
      <c r="A1560"/>
      <c r="B1560"/>
      <c r="C1560"/>
      <c r="D1560"/>
      <c r="E1560"/>
      <c r="F1560"/>
      <c r="G1560"/>
      <c r="H1560"/>
      <c r="I1560"/>
      <c r="J1560"/>
      <c r="K1560"/>
      <c r="L1560"/>
      <c r="M1560"/>
      <c r="N1560"/>
      <c r="O1560"/>
      <c r="P1560"/>
      <c r="Q1560"/>
      <c r="R1560"/>
      <c r="S1560"/>
      <c r="T1560"/>
    </row>
    <row r="1561" spans="1:20" x14ac:dyDescent="0.3">
      <c r="A1561"/>
      <c r="B1561"/>
      <c r="C1561"/>
      <c r="D1561"/>
      <c r="E1561"/>
      <c r="F1561"/>
      <c r="G1561"/>
      <c r="H1561"/>
      <c r="I1561"/>
      <c r="J1561"/>
      <c r="K1561"/>
      <c r="L1561"/>
      <c r="M1561"/>
      <c r="N1561"/>
      <c r="O1561"/>
      <c r="P1561"/>
      <c r="Q1561"/>
      <c r="R1561"/>
      <c r="S1561"/>
      <c r="T1561"/>
    </row>
    <row r="1562" spans="1:20" x14ac:dyDescent="0.3">
      <c r="A1562"/>
      <c r="B1562"/>
      <c r="C1562"/>
      <c r="D1562"/>
      <c r="E1562"/>
      <c r="F1562"/>
      <c r="G1562"/>
      <c r="H1562"/>
      <c r="I1562"/>
      <c r="J1562"/>
      <c r="K1562"/>
      <c r="L1562"/>
      <c r="M1562"/>
      <c r="N1562"/>
      <c r="O1562"/>
      <c r="P1562"/>
      <c r="Q1562"/>
      <c r="R1562"/>
      <c r="S1562"/>
      <c r="T1562"/>
    </row>
    <row r="1563" spans="1:20" x14ac:dyDescent="0.3">
      <c r="A1563"/>
      <c r="B1563"/>
      <c r="C1563"/>
      <c r="D1563"/>
      <c r="E1563"/>
      <c r="F1563"/>
      <c r="G1563"/>
      <c r="H1563"/>
      <c r="I1563"/>
      <c r="J1563"/>
      <c r="K1563"/>
      <c r="L1563"/>
      <c r="M1563"/>
      <c r="N1563"/>
      <c r="O1563"/>
      <c r="P1563"/>
      <c r="Q1563"/>
      <c r="R1563"/>
      <c r="S1563"/>
      <c r="T1563"/>
    </row>
    <row r="1564" spans="1:20" x14ac:dyDescent="0.3">
      <c r="A1564"/>
      <c r="B1564"/>
      <c r="C1564"/>
      <c r="D1564"/>
      <c r="E1564"/>
      <c r="F1564"/>
      <c r="G1564"/>
      <c r="H1564"/>
      <c r="I1564"/>
      <c r="J1564"/>
      <c r="K1564"/>
      <c r="L1564"/>
      <c r="M1564"/>
      <c r="N1564"/>
      <c r="O1564"/>
      <c r="P1564"/>
      <c r="Q1564"/>
      <c r="R1564"/>
      <c r="S1564"/>
      <c r="T1564"/>
    </row>
    <row r="1565" spans="1:20" x14ac:dyDescent="0.3">
      <c r="A1565"/>
      <c r="B1565"/>
      <c r="C1565"/>
      <c r="D1565"/>
      <c r="E1565"/>
      <c r="F1565"/>
      <c r="G1565"/>
      <c r="H1565"/>
      <c r="I1565"/>
      <c r="J1565"/>
      <c r="K1565"/>
      <c r="L1565"/>
      <c r="M1565"/>
      <c r="N1565"/>
      <c r="O1565"/>
      <c r="P1565"/>
      <c r="Q1565"/>
      <c r="R1565"/>
      <c r="S1565"/>
      <c r="T1565"/>
    </row>
    <row r="1566" spans="1:20" x14ac:dyDescent="0.3">
      <c r="A1566"/>
      <c r="B1566"/>
      <c r="C1566"/>
      <c r="D1566"/>
      <c r="E1566"/>
      <c r="F1566"/>
      <c r="G1566"/>
      <c r="H1566"/>
      <c r="I1566"/>
      <c r="J1566"/>
      <c r="K1566"/>
      <c r="L1566"/>
      <c r="M1566"/>
      <c r="N1566"/>
      <c r="O1566"/>
      <c r="P1566"/>
      <c r="Q1566"/>
      <c r="R1566"/>
      <c r="S1566"/>
      <c r="T1566"/>
    </row>
    <row r="1567" spans="1:20" x14ac:dyDescent="0.3">
      <c r="A1567"/>
      <c r="B1567"/>
      <c r="C1567"/>
      <c r="D1567"/>
      <c r="E1567"/>
      <c r="F1567"/>
      <c r="G1567"/>
      <c r="H1567"/>
      <c r="I1567"/>
      <c r="J1567"/>
      <c r="K1567"/>
      <c r="L1567"/>
      <c r="M1567"/>
      <c r="N1567"/>
      <c r="O1567"/>
      <c r="P1567"/>
      <c r="Q1567"/>
      <c r="R1567"/>
      <c r="S1567"/>
      <c r="T1567"/>
    </row>
    <row r="1568" spans="1:20" x14ac:dyDescent="0.3">
      <c r="A1568"/>
      <c r="B1568"/>
      <c r="C1568"/>
      <c r="D1568"/>
      <c r="E1568"/>
      <c r="F1568"/>
      <c r="G1568"/>
      <c r="H1568"/>
      <c r="I1568"/>
      <c r="J1568"/>
      <c r="K1568"/>
      <c r="L1568"/>
      <c r="M1568"/>
      <c r="N1568"/>
      <c r="O1568"/>
      <c r="P1568"/>
      <c r="Q1568"/>
      <c r="R1568"/>
      <c r="S1568"/>
      <c r="T1568"/>
    </row>
    <row r="1569" spans="1:20" x14ac:dyDescent="0.3">
      <c r="A1569"/>
      <c r="B1569"/>
      <c r="C1569"/>
      <c r="D1569"/>
      <c r="E1569"/>
      <c r="F1569"/>
      <c r="G1569"/>
      <c r="H1569"/>
      <c r="I1569"/>
      <c r="J1569"/>
      <c r="K1569"/>
      <c r="L1569"/>
      <c r="M1569"/>
      <c r="N1569"/>
      <c r="O1569"/>
      <c r="P1569"/>
      <c r="Q1569"/>
      <c r="R1569"/>
      <c r="S1569"/>
      <c r="T1569"/>
    </row>
    <row r="1570" spans="1:20" x14ac:dyDescent="0.3">
      <c r="A1570"/>
      <c r="B1570"/>
      <c r="C1570"/>
      <c r="D1570"/>
      <c r="E1570"/>
      <c r="F1570"/>
      <c r="G1570"/>
      <c r="H1570"/>
      <c r="I1570"/>
      <c r="J1570"/>
      <c r="K1570"/>
      <c r="L1570"/>
      <c r="M1570"/>
      <c r="N1570"/>
      <c r="O1570"/>
      <c r="P1570"/>
      <c r="Q1570"/>
      <c r="R1570"/>
      <c r="S1570"/>
      <c r="T1570"/>
    </row>
    <row r="1571" spans="1:20" x14ac:dyDescent="0.3">
      <c r="A1571"/>
      <c r="B1571"/>
      <c r="C1571"/>
      <c r="D1571"/>
      <c r="E1571"/>
      <c r="F1571"/>
      <c r="G1571"/>
      <c r="H1571"/>
      <c r="I1571"/>
      <c r="J1571"/>
      <c r="K1571"/>
      <c r="L1571"/>
      <c r="M1571"/>
      <c r="N1571"/>
      <c r="O1571"/>
      <c r="P1571"/>
      <c r="Q1571"/>
      <c r="R1571"/>
      <c r="S1571"/>
      <c r="T1571"/>
    </row>
    <row r="1572" spans="1:20" x14ac:dyDescent="0.3">
      <c r="A1572"/>
      <c r="B1572"/>
      <c r="C1572"/>
      <c r="D1572"/>
      <c r="E1572"/>
      <c r="F1572"/>
      <c r="G1572"/>
      <c r="H1572"/>
      <c r="I1572"/>
      <c r="J1572"/>
      <c r="K1572"/>
      <c r="L1572"/>
      <c r="M1572"/>
      <c r="N1572"/>
      <c r="O1572"/>
      <c r="P1572"/>
      <c r="Q1572"/>
      <c r="R1572"/>
      <c r="S1572"/>
      <c r="T1572"/>
    </row>
    <row r="1573" spans="1:20" x14ac:dyDescent="0.3">
      <c r="A1573"/>
      <c r="B1573"/>
      <c r="C1573"/>
      <c r="D1573"/>
      <c r="E1573"/>
      <c r="F1573"/>
      <c r="G1573"/>
      <c r="H1573"/>
      <c r="I1573"/>
      <c r="J1573"/>
      <c r="K1573"/>
      <c r="L1573"/>
      <c r="M1573"/>
      <c r="N1573"/>
      <c r="O1573"/>
      <c r="P1573"/>
      <c r="Q1573"/>
      <c r="R1573"/>
      <c r="S1573"/>
      <c r="T1573"/>
    </row>
    <row r="1574" spans="1:20" x14ac:dyDescent="0.3">
      <c r="A1574"/>
      <c r="B1574"/>
      <c r="C1574"/>
      <c r="D1574"/>
      <c r="E1574"/>
      <c r="F1574"/>
      <c r="G1574"/>
      <c r="H1574"/>
      <c r="I1574"/>
      <c r="J1574"/>
      <c r="K1574"/>
      <c r="L1574"/>
      <c r="M1574"/>
      <c r="N1574"/>
      <c r="O1574"/>
      <c r="P1574"/>
      <c r="Q1574"/>
      <c r="R1574"/>
      <c r="S1574"/>
      <c r="T1574"/>
    </row>
    <row r="1575" spans="1:20" x14ac:dyDescent="0.3">
      <c r="A1575"/>
      <c r="B1575"/>
      <c r="C1575"/>
      <c r="D1575"/>
      <c r="E1575"/>
      <c r="F1575"/>
      <c r="G1575"/>
      <c r="H1575"/>
      <c r="I1575"/>
      <c r="J1575"/>
      <c r="K1575"/>
      <c r="L1575"/>
      <c r="M1575"/>
      <c r="N1575"/>
      <c r="O1575"/>
      <c r="P1575"/>
      <c r="Q1575"/>
      <c r="R1575"/>
      <c r="S1575"/>
      <c r="T1575"/>
    </row>
    <row r="1576" spans="1:20" x14ac:dyDescent="0.3">
      <c r="A1576"/>
      <c r="B1576"/>
      <c r="C1576"/>
      <c r="D1576"/>
      <c r="E1576"/>
      <c r="F1576"/>
      <c r="G1576"/>
      <c r="H1576"/>
      <c r="I1576"/>
      <c r="J1576"/>
      <c r="K1576"/>
      <c r="L1576"/>
      <c r="M1576"/>
      <c r="N1576"/>
      <c r="O1576"/>
      <c r="P1576"/>
      <c r="Q1576"/>
      <c r="R1576"/>
      <c r="S1576"/>
      <c r="T1576"/>
    </row>
    <row r="1577" spans="1:20" x14ac:dyDescent="0.3">
      <c r="A1577"/>
      <c r="B1577"/>
      <c r="C1577"/>
      <c r="D1577"/>
      <c r="E1577"/>
      <c r="F1577"/>
      <c r="G1577"/>
      <c r="H1577"/>
      <c r="I1577"/>
      <c r="J1577"/>
      <c r="K1577"/>
      <c r="L1577"/>
      <c r="M1577"/>
      <c r="N1577"/>
      <c r="O1577"/>
      <c r="P1577"/>
      <c r="Q1577"/>
      <c r="R1577"/>
      <c r="S1577"/>
      <c r="T1577"/>
    </row>
    <row r="1578" spans="1:20" x14ac:dyDescent="0.3">
      <c r="A1578"/>
      <c r="B1578"/>
      <c r="C1578"/>
      <c r="D1578"/>
      <c r="E1578"/>
      <c r="F1578"/>
      <c r="G1578"/>
      <c r="H1578"/>
      <c r="I1578"/>
      <c r="J1578"/>
      <c r="K1578"/>
      <c r="L1578"/>
      <c r="M1578"/>
      <c r="N1578"/>
      <c r="O1578"/>
      <c r="P1578"/>
      <c r="Q1578"/>
      <c r="R1578"/>
      <c r="S1578"/>
      <c r="T1578"/>
    </row>
    <row r="1579" spans="1:20" x14ac:dyDescent="0.3">
      <c r="A1579"/>
      <c r="B1579"/>
      <c r="C1579"/>
      <c r="D1579"/>
      <c r="E1579"/>
      <c r="F1579"/>
      <c r="G1579"/>
      <c r="H1579"/>
      <c r="I1579"/>
      <c r="J1579"/>
      <c r="K1579"/>
      <c r="L1579"/>
      <c r="M1579"/>
      <c r="N1579"/>
      <c r="O1579"/>
      <c r="P1579"/>
      <c r="Q1579"/>
      <c r="R1579"/>
      <c r="S1579"/>
      <c r="T1579"/>
    </row>
    <row r="1580" spans="1:20" x14ac:dyDescent="0.3">
      <c r="A1580"/>
      <c r="B1580"/>
      <c r="C1580"/>
      <c r="D1580"/>
      <c r="E1580"/>
      <c r="F1580"/>
      <c r="G1580"/>
      <c r="H1580"/>
      <c r="I1580"/>
      <c r="J1580"/>
      <c r="K1580"/>
      <c r="L1580"/>
      <c r="M1580"/>
      <c r="N1580"/>
      <c r="O1580"/>
      <c r="P1580"/>
      <c r="Q1580"/>
      <c r="R1580"/>
      <c r="S1580"/>
      <c r="T1580"/>
    </row>
    <row r="1581" spans="1:20" x14ac:dyDescent="0.3">
      <c r="A1581"/>
      <c r="B1581"/>
      <c r="C1581"/>
      <c r="D1581"/>
      <c r="E1581"/>
      <c r="F1581"/>
      <c r="G1581"/>
      <c r="H1581"/>
      <c r="I1581"/>
      <c r="J1581"/>
      <c r="K1581"/>
      <c r="L1581"/>
      <c r="M1581"/>
      <c r="N1581"/>
      <c r="O1581"/>
      <c r="P1581"/>
      <c r="Q1581"/>
      <c r="R1581"/>
      <c r="S1581"/>
      <c r="T1581"/>
    </row>
    <row r="1582" spans="1:20" x14ac:dyDescent="0.3">
      <c r="A1582"/>
      <c r="B1582"/>
      <c r="C1582"/>
      <c r="D1582"/>
      <c r="E1582"/>
      <c r="F1582"/>
      <c r="G1582"/>
      <c r="H1582"/>
      <c r="I1582"/>
      <c r="J1582"/>
      <c r="K1582"/>
      <c r="L1582"/>
      <c r="M1582"/>
      <c r="N1582"/>
      <c r="O1582"/>
      <c r="P1582"/>
      <c r="Q1582"/>
      <c r="R1582"/>
      <c r="S1582"/>
      <c r="T1582"/>
    </row>
    <row r="1583" spans="1:20" x14ac:dyDescent="0.3">
      <c r="A1583"/>
      <c r="B1583"/>
      <c r="C1583"/>
      <c r="D1583"/>
      <c r="E1583"/>
      <c r="F1583"/>
      <c r="G1583"/>
      <c r="H1583"/>
      <c r="I1583"/>
      <c r="J1583"/>
      <c r="K1583"/>
      <c r="L1583"/>
      <c r="M1583"/>
      <c r="N1583"/>
      <c r="O1583"/>
      <c r="P1583"/>
      <c r="Q1583"/>
      <c r="R1583"/>
      <c r="S1583"/>
      <c r="T1583"/>
    </row>
    <row r="1584" spans="1:20" x14ac:dyDescent="0.3">
      <c r="A1584"/>
      <c r="B1584"/>
      <c r="C1584"/>
      <c r="D1584"/>
      <c r="E1584"/>
      <c r="F1584"/>
      <c r="G1584"/>
      <c r="H1584"/>
      <c r="I1584"/>
      <c r="J1584"/>
      <c r="K1584"/>
      <c r="L1584"/>
      <c r="M1584"/>
      <c r="N1584"/>
      <c r="O1584"/>
      <c r="P1584"/>
      <c r="Q1584"/>
      <c r="R1584"/>
      <c r="S1584"/>
      <c r="T1584"/>
    </row>
    <row r="1585" spans="1:20" x14ac:dyDescent="0.3">
      <c r="A1585"/>
      <c r="B1585"/>
      <c r="C1585"/>
      <c r="D1585"/>
      <c r="E1585"/>
      <c r="F1585"/>
      <c r="G1585"/>
      <c r="H1585"/>
      <c r="I1585"/>
      <c r="J1585"/>
      <c r="K1585"/>
      <c r="L1585"/>
      <c r="M1585"/>
      <c r="N1585"/>
      <c r="O1585"/>
      <c r="P1585"/>
      <c r="Q1585"/>
      <c r="R1585"/>
      <c r="S1585"/>
      <c r="T1585"/>
    </row>
    <row r="1586" spans="1:20" x14ac:dyDescent="0.3">
      <c r="A1586"/>
      <c r="B1586"/>
      <c r="C1586"/>
      <c r="D1586"/>
      <c r="E1586"/>
      <c r="F1586"/>
      <c r="G1586"/>
      <c r="H1586"/>
      <c r="I1586"/>
      <c r="J1586"/>
      <c r="K1586"/>
      <c r="L1586"/>
      <c r="M1586"/>
      <c r="N1586"/>
      <c r="O1586"/>
      <c r="P1586"/>
      <c r="Q1586"/>
      <c r="R1586"/>
      <c r="S1586"/>
      <c r="T1586"/>
    </row>
    <row r="1587" spans="1:20" x14ac:dyDescent="0.3">
      <c r="A1587"/>
      <c r="B1587"/>
      <c r="C1587"/>
      <c r="D1587"/>
      <c r="E1587"/>
      <c r="F1587"/>
      <c r="G1587"/>
      <c r="H1587"/>
      <c r="I1587"/>
      <c r="J1587"/>
      <c r="K1587"/>
      <c r="L1587"/>
      <c r="M1587"/>
      <c r="N1587"/>
      <c r="O1587"/>
      <c r="P1587"/>
      <c r="Q1587"/>
      <c r="R1587"/>
      <c r="S1587"/>
      <c r="T1587"/>
    </row>
    <row r="1588" spans="1:20" x14ac:dyDescent="0.3">
      <c r="A1588"/>
      <c r="B1588"/>
      <c r="C1588"/>
      <c r="D1588"/>
      <c r="E1588"/>
      <c r="F1588"/>
      <c r="G1588"/>
      <c r="H1588"/>
      <c r="I1588"/>
      <c r="J1588"/>
      <c r="K1588"/>
      <c r="L1588"/>
      <c r="M1588"/>
      <c r="N1588"/>
      <c r="O1588"/>
      <c r="P1588"/>
      <c r="Q1588"/>
      <c r="R1588"/>
      <c r="S1588"/>
      <c r="T1588"/>
    </row>
    <row r="1589" spans="1:20" x14ac:dyDescent="0.3">
      <c r="A1589"/>
      <c r="B1589"/>
      <c r="C1589"/>
      <c r="D1589"/>
      <c r="E1589"/>
      <c r="F1589"/>
      <c r="G1589"/>
      <c r="H1589"/>
      <c r="I1589"/>
      <c r="J1589"/>
      <c r="K1589"/>
      <c r="L1589"/>
      <c r="M1589"/>
      <c r="N1589"/>
      <c r="O1589"/>
      <c r="P1589"/>
      <c r="Q1589"/>
      <c r="R1589"/>
      <c r="S1589"/>
      <c r="T1589"/>
    </row>
    <row r="1590" spans="1:20" x14ac:dyDescent="0.3">
      <c r="A1590"/>
      <c r="B1590"/>
      <c r="C1590"/>
      <c r="D1590"/>
      <c r="E1590"/>
      <c r="F1590"/>
      <c r="G1590"/>
      <c r="H1590"/>
      <c r="I1590"/>
      <c r="J1590"/>
      <c r="K1590"/>
      <c r="L1590"/>
      <c r="M1590"/>
      <c r="N1590"/>
      <c r="O1590"/>
      <c r="P1590"/>
      <c r="Q1590"/>
      <c r="R1590"/>
      <c r="S1590"/>
      <c r="T1590"/>
    </row>
    <row r="1591" spans="1:20" x14ac:dyDescent="0.3">
      <c r="A1591"/>
      <c r="B1591"/>
      <c r="C1591"/>
      <c r="D1591"/>
      <c r="E1591"/>
      <c r="F1591"/>
      <c r="G1591"/>
      <c r="H1591"/>
      <c r="I1591"/>
      <c r="J1591"/>
      <c r="K1591"/>
      <c r="L1591"/>
      <c r="M1591"/>
      <c r="N1591"/>
      <c r="O1591"/>
      <c r="P1591"/>
      <c r="Q1591"/>
      <c r="R1591"/>
      <c r="S1591"/>
      <c r="T1591"/>
    </row>
    <row r="1592" spans="1:20" x14ac:dyDescent="0.3">
      <c r="A1592"/>
      <c r="B1592"/>
      <c r="C1592"/>
      <c r="D1592"/>
      <c r="E1592"/>
      <c r="F1592"/>
      <c r="G1592"/>
      <c r="H1592"/>
      <c r="I1592"/>
      <c r="J1592"/>
      <c r="K1592"/>
      <c r="L1592"/>
      <c r="M1592"/>
      <c r="N1592"/>
      <c r="O1592"/>
      <c r="P1592"/>
      <c r="Q1592"/>
      <c r="R1592"/>
      <c r="S1592"/>
      <c r="T1592"/>
    </row>
    <row r="1593" spans="1:20" x14ac:dyDescent="0.3">
      <c r="A1593"/>
      <c r="B1593"/>
      <c r="C1593"/>
      <c r="D1593"/>
      <c r="E1593"/>
      <c r="F1593"/>
      <c r="G1593"/>
      <c r="H1593"/>
      <c r="I1593"/>
      <c r="J1593"/>
      <c r="K1593"/>
      <c r="L1593"/>
      <c r="M1593"/>
      <c r="N1593"/>
      <c r="O1593"/>
      <c r="P1593"/>
      <c r="Q1593"/>
      <c r="R1593"/>
      <c r="S1593"/>
      <c r="T1593"/>
    </row>
    <row r="1594" spans="1:20" x14ac:dyDescent="0.3">
      <c r="A1594"/>
      <c r="B1594"/>
      <c r="C1594"/>
      <c r="D1594"/>
      <c r="E1594"/>
      <c r="F1594"/>
      <c r="G1594"/>
      <c r="H1594"/>
      <c r="I1594"/>
      <c r="J1594"/>
      <c r="K1594"/>
      <c r="L1594"/>
      <c r="M1594"/>
      <c r="N1594"/>
      <c r="O1594"/>
      <c r="P1594"/>
      <c r="Q1594"/>
      <c r="R1594"/>
      <c r="S1594"/>
      <c r="T1594"/>
    </row>
    <row r="1595" spans="1:20" x14ac:dyDescent="0.3">
      <c r="A1595"/>
      <c r="B1595"/>
      <c r="C1595"/>
      <c r="D1595"/>
      <c r="E1595"/>
      <c r="F1595"/>
      <c r="G1595"/>
      <c r="H1595"/>
      <c r="I1595"/>
      <c r="J1595"/>
      <c r="K1595"/>
      <c r="L1595"/>
      <c r="M1595"/>
      <c r="N1595"/>
      <c r="O1595"/>
      <c r="P1595"/>
      <c r="Q1595"/>
      <c r="R1595"/>
      <c r="S1595"/>
      <c r="T1595"/>
    </row>
    <row r="1596" spans="1:20" x14ac:dyDescent="0.3">
      <c r="A1596"/>
      <c r="B1596"/>
      <c r="C1596"/>
      <c r="D1596"/>
      <c r="E1596"/>
      <c r="F1596"/>
      <c r="G1596"/>
      <c r="H1596"/>
      <c r="I1596"/>
      <c r="J1596"/>
      <c r="K1596"/>
      <c r="L1596"/>
      <c r="M1596"/>
      <c r="N1596"/>
      <c r="O1596"/>
      <c r="P1596"/>
      <c r="Q1596"/>
      <c r="R1596"/>
      <c r="S1596"/>
      <c r="T1596"/>
    </row>
    <row r="1597" spans="1:20" x14ac:dyDescent="0.3">
      <c r="A1597"/>
      <c r="B1597"/>
      <c r="C1597"/>
      <c r="D1597"/>
      <c r="E1597"/>
      <c r="F1597"/>
      <c r="G1597"/>
      <c r="H1597"/>
      <c r="I1597"/>
      <c r="J1597"/>
      <c r="K1597"/>
      <c r="L1597"/>
      <c r="M1597"/>
      <c r="N1597"/>
      <c r="O1597"/>
      <c r="P1597"/>
      <c r="Q1597"/>
      <c r="R1597"/>
      <c r="S1597"/>
      <c r="T1597"/>
    </row>
    <row r="1598" spans="1:20" x14ac:dyDescent="0.3">
      <c r="A1598"/>
      <c r="B1598"/>
      <c r="C1598"/>
      <c r="D1598"/>
      <c r="E1598"/>
      <c r="F1598"/>
      <c r="G1598"/>
      <c r="H1598"/>
      <c r="I1598"/>
      <c r="J1598"/>
      <c r="K1598"/>
      <c r="L1598"/>
      <c r="M1598"/>
      <c r="N1598"/>
      <c r="O1598"/>
      <c r="P1598"/>
      <c r="Q1598"/>
      <c r="R1598"/>
      <c r="S1598"/>
      <c r="T1598"/>
    </row>
    <row r="1599" spans="1:20" x14ac:dyDescent="0.3">
      <c r="A1599"/>
      <c r="B1599"/>
      <c r="C1599"/>
      <c r="D1599"/>
      <c r="E1599"/>
      <c r="F1599"/>
      <c r="G1599"/>
      <c r="H1599"/>
      <c r="I1599"/>
      <c r="J1599"/>
      <c r="K1599"/>
      <c r="L1599"/>
      <c r="M1599"/>
      <c r="N1599"/>
      <c r="O1599"/>
      <c r="P1599"/>
      <c r="Q1599"/>
      <c r="R1599"/>
      <c r="S1599"/>
      <c r="T1599"/>
    </row>
    <row r="1600" spans="1:20" x14ac:dyDescent="0.3">
      <c r="A1600"/>
      <c r="B1600"/>
      <c r="C1600"/>
      <c r="D1600"/>
      <c r="E1600"/>
      <c r="F1600"/>
      <c r="G1600"/>
      <c r="H1600"/>
      <c r="I1600"/>
      <c r="J1600"/>
      <c r="K1600"/>
      <c r="L1600"/>
      <c r="M1600"/>
      <c r="N1600"/>
      <c r="O1600"/>
      <c r="P1600"/>
      <c r="Q1600"/>
      <c r="R1600"/>
      <c r="S1600"/>
      <c r="T1600"/>
    </row>
    <row r="1601" spans="1:20" x14ac:dyDescent="0.3">
      <c r="A1601"/>
      <c r="B1601"/>
      <c r="C1601"/>
      <c r="D1601"/>
      <c r="E1601"/>
      <c r="F1601"/>
      <c r="G1601"/>
      <c r="H1601"/>
      <c r="I1601"/>
      <c r="J1601"/>
      <c r="K1601"/>
      <c r="L1601"/>
      <c r="M1601"/>
      <c r="N1601"/>
      <c r="O1601"/>
      <c r="P1601"/>
      <c r="Q1601"/>
      <c r="R1601"/>
      <c r="S1601"/>
      <c r="T1601"/>
    </row>
    <row r="1602" spans="1:20" x14ac:dyDescent="0.3">
      <c r="A1602"/>
      <c r="B1602"/>
      <c r="C1602"/>
      <c r="D1602"/>
      <c r="E1602"/>
      <c r="F1602"/>
      <c r="G1602"/>
      <c r="H1602"/>
      <c r="I1602"/>
      <c r="J1602"/>
      <c r="K1602"/>
      <c r="L1602"/>
      <c r="M1602"/>
      <c r="N1602"/>
      <c r="O1602"/>
      <c r="P1602"/>
      <c r="Q1602"/>
      <c r="R1602"/>
      <c r="S1602"/>
      <c r="T1602"/>
    </row>
    <row r="1603" spans="1:20" x14ac:dyDescent="0.3">
      <c r="A1603"/>
      <c r="B1603"/>
      <c r="C1603"/>
      <c r="D1603"/>
      <c r="E1603"/>
      <c r="F1603"/>
      <c r="G1603"/>
      <c r="H1603"/>
      <c r="I1603"/>
      <c r="J1603"/>
      <c r="K1603"/>
      <c r="L1603"/>
      <c r="M1603"/>
      <c r="N1603"/>
      <c r="O1603"/>
      <c r="P1603"/>
      <c r="Q1603"/>
      <c r="R1603"/>
      <c r="S1603"/>
      <c r="T1603"/>
    </row>
    <row r="1604" spans="1:20" x14ac:dyDescent="0.3">
      <c r="A1604"/>
      <c r="B1604"/>
      <c r="C1604"/>
      <c r="D1604"/>
      <c r="E1604"/>
      <c r="F1604"/>
      <c r="G1604"/>
      <c r="H1604"/>
      <c r="I1604"/>
      <c r="J1604"/>
      <c r="K1604"/>
      <c r="L1604"/>
      <c r="M1604"/>
      <c r="N1604"/>
      <c r="O1604"/>
      <c r="P1604"/>
      <c r="Q1604"/>
      <c r="R1604"/>
      <c r="S1604"/>
      <c r="T1604"/>
    </row>
    <row r="1605" spans="1:20" x14ac:dyDescent="0.3">
      <c r="A1605"/>
      <c r="B1605"/>
      <c r="C1605"/>
      <c r="D1605"/>
      <c r="E1605"/>
      <c r="F1605"/>
      <c r="G1605"/>
      <c r="H1605"/>
      <c r="I1605"/>
      <c r="J1605"/>
      <c r="K1605"/>
      <c r="L1605"/>
      <c r="M1605"/>
      <c r="N1605"/>
      <c r="O1605"/>
      <c r="P1605"/>
      <c r="Q1605"/>
      <c r="R1605"/>
      <c r="S1605"/>
      <c r="T1605"/>
    </row>
    <row r="1606" spans="1:20" x14ac:dyDescent="0.3">
      <c r="A1606"/>
      <c r="B1606"/>
      <c r="C1606"/>
      <c r="D1606"/>
      <c r="E1606"/>
      <c r="F1606"/>
      <c r="G1606"/>
      <c r="H1606"/>
      <c r="I1606"/>
      <c r="J1606"/>
      <c r="K1606"/>
      <c r="L1606"/>
      <c r="M1606"/>
      <c r="N1606"/>
      <c r="O1606"/>
      <c r="P1606"/>
      <c r="Q1606"/>
      <c r="R1606"/>
      <c r="S1606"/>
      <c r="T1606"/>
    </row>
    <row r="1607" spans="1:20" x14ac:dyDescent="0.3">
      <c r="A1607"/>
      <c r="B1607"/>
      <c r="C1607"/>
      <c r="D1607"/>
      <c r="E1607"/>
      <c r="F1607"/>
      <c r="G1607"/>
      <c r="H1607"/>
      <c r="I1607"/>
      <c r="J1607"/>
      <c r="K1607"/>
      <c r="L1607"/>
      <c r="M1607"/>
      <c r="N1607"/>
      <c r="O1607"/>
      <c r="P1607"/>
      <c r="Q1607"/>
      <c r="R1607"/>
      <c r="S1607"/>
      <c r="T1607"/>
    </row>
    <row r="1608" spans="1:20" x14ac:dyDescent="0.3">
      <c r="A1608"/>
      <c r="B1608"/>
      <c r="C1608"/>
      <c r="D1608"/>
      <c r="E1608"/>
      <c r="F1608"/>
      <c r="G1608"/>
      <c r="H1608"/>
      <c r="I1608"/>
      <c r="J1608"/>
      <c r="K1608"/>
      <c r="L1608"/>
      <c r="M1608"/>
      <c r="N1608"/>
      <c r="O1608"/>
      <c r="P1608"/>
      <c r="Q1608"/>
      <c r="R1608"/>
      <c r="S1608"/>
      <c r="T1608"/>
    </row>
    <row r="1609" spans="1:20" x14ac:dyDescent="0.3">
      <c r="A1609"/>
      <c r="B1609"/>
      <c r="C1609"/>
      <c r="D1609"/>
      <c r="E1609"/>
      <c r="F1609"/>
      <c r="G1609"/>
      <c r="H1609"/>
      <c r="I1609"/>
      <c r="J1609"/>
      <c r="K1609"/>
      <c r="L1609"/>
      <c r="M1609"/>
      <c r="N1609"/>
      <c r="O1609"/>
      <c r="P1609"/>
      <c r="Q1609"/>
      <c r="R1609"/>
      <c r="S1609"/>
      <c r="T1609"/>
    </row>
    <row r="1610" spans="1:20" x14ac:dyDescent="0.3">
      <c r="A1610"/>
      <c r="B1610"/>
      <c r="C1610"/>
      <c r="D1610"/>
      <c r="E1610"/>
      <c r="F1610"/>
      <c r="G1610"/>
      <c r="H1610"/>
      <c r="I1610"/>
      <c r="J1610"/>
      <c r="K1610"/>
      <c r="L1610"/>
      <c r="M1610"/>
      <c r="N1610"/>
      <c r="O1610"/>
      <c r="P1610"/>
      <c r="Q1610"/>
      <c r="R1610"/>
      <c r="S1610"/>
      <c r="T1610"/>
    </row>
    <row r="1611" spans="1:20" x14ac:dyDescent="0.3">
      <c r="A1611"/>
      <c r="B1611"/>
      <c r="C1611"/>
      <c r="D1611"/>
      <c r="E1611"/>
      <c r="F1611"/>
      <c r="G1611"/>
      <c r="H1611"/>
      <c r="I1611"/>
      <c r="J1611"/>
      <c r="K1611"/>
      <c r="L1611"/>
      <c r="M1611"/>
      <c r="N1611"/>
      <c r="O1611"/>
      <c r="P1611"/>
      <c r="Q1611"/>
      <c r="R1611"/>
      <c r="S1611"/>
      <c r="T1611"/>
    </row>
    <row r="1612" spans="1:20" x14ac:dyDescent="0.3">
      <c r="A1612"/>
      <c r="B1612"/>
      <c r="C1612"/>
      <c r="D1612"/>
      <c r="E1612"/>
      <c r="F1612"/>
      <c r="G1612"/>
      <c r="H1612"/>
      <c r="I1612"/>
      <c r="J1612"/>
      <c r="K1612"/>
      <c r="L1612"/>
      <c r="M1612"/>
      <c r="N1612"/>
      <c r="O1612"/>
      <c r="P1612"/>
      <c r="Q1612"/>
      <c r="R1612"/>
      <c r="S1612"/>
      <c r="T1612"/>
    </row>
    <row r="1613" spans="1:20" x14ac:dyDescent="0.3">
      <c r="A1613"/>
      <c r="B1613"/>
      <c r="C1613"/>
      <c r="D1613"/>
      <c r="E1613"/>
      <c r="F1613"/>
      <c r="G1613"/>
      <c r="H1613"/>
      <c r="I1613"/>
      <c r="J1613"/>
      <c r="K1613"/>
      <c r="L1613"/>
      <c r="M1613"/>
      <c r="N1613"/>
      <c r="O1613"/>
      <c r="P1613"/>
      <c r="Q1613"/>
      <c r="R1613"/>
      <c r="S1613"/>
      <c r="T1613"/>
    </row>
    <row r="1614" spans="1:20" x14ac:dyDescent="0.3">
      <c r="A1614"/>
      <c r="B1614"/>
      <c r="C1614"/>
      <c r="D1614"/>
      <c r="E1614"/>
      <c r="F1614"/>
      <c r="G1614"/>
      <c r="H1614"/>
      <c r="I1614"/>
      <c r="J1614"/>
      <c r="K1614"/>
      <c r="L1614"/>
      <c r="M1614"/>
      <c r="N1614"/>
      <c r="O1614"/>
      <c r="P1614"/>
      <c r="Q1614"/>
      <c r="R1614"/>
      <c r="S1614"/>
      <c r="T1614"/>
    </row>
    <row r="1615" spans="1:20" x14ac:dyDescent="0.3">
      <c r="A1615"/>
      <c r="B1615"/>
      <c r="C1615"/>
      <c r="D1615"/>
      <c r="E1615"/>
      <c r="F1615"/>
      <c r="G1615"/>
      <c r="H1615"/>
      <c r="I1615"/>
      <c r="J1615"/>
      <c r="K1615"/>
      <c r="L1615"/>
      <c r="M1615"/>
      <c r="N1615"/>
      <c r="O1615"/>
      <c r="P1615"/>
      <c r="Q1615"/>
      <c r="R1615"/>
      <c r="S1615"/>
      <c r="T1615"/>
    </row>
    <row r="1616" spans="1:20" x14ac:dyDescent="0.3">
      <c r="A1616"/>
      <c r="B1616"/>
      <c r="C1616"/>
      <c r="D1616"/>
      <c r="E1616"/>
      <c r="F1616"/>
      <c r="G1616"/>
      <c r="H1616"/>
      <c r="I1616"/>
      <c r="J1616"/>
      <c r="K1616"/>
      <c r="L1616"/>
      <c r="M1616"/>
      <c r="N1616"/>
      <c r="O1616"/>
      <c r="P1616"/>
      <c r="Q1616"/>
      <c r="R1616"/>
      <c r="S1616"/>
      <c r="T1616"/>
    </row>
    <row r="1617" spans="1:20" x14ac:dyDescent="0.3">
      <c r="A1617"/>
      <c r="B1617"/>
      <c r="C1617"/>
      <c r="D1617"/>
      <c r="E1617"/>
      <c r="F1617"/>
      <c r="G1617"/>
      <c r="H1617"/>
      <c r="I1617"/>
      <c r="J1617"/>
      <c r="K1617"/>
      <c r="L1617"/>
      <c r="M1617"/>
      <c r="N1617"/>
      <c r="O1617"/>
      <c r="P1617"/>
      <c r="Q1617"/>
      <c r="R1617"/>
      <c r="S1617"/>
      <c r="T1617"/>
    </row>
    <row r="1618" spans="1:20" x14ac:dyDescent="0.3">
      <c r="A1618"/>
      <c r="B1618"/>
      <c r="C1618"/>
      <c r="D1618"/>
      <c r="E1618"/>
      <c r="F1618"/>
      <c r="G1618"/>
      <c r="H1618"/>
      <c r="I1618"/>
      <c r="J1618"/>
      <c r="K1618"/>
      <c r="L1618"/>
      <c r="M1618"/>
      <c r="N1618"/>
      <c r="O1618"/>
      <c r="P1618"/>
      <c r="Q1618"/>
      <c r="R1618"/>
      <c r="S1618"/>
      <c r="T1618"/>
    </row>
    <row r="1619" spans="1:20" x14ac:dyDescent="0.3">
      <c r="A1619"/>
      <c r="B1619"/>
      <c r="C1619"/>
      <c r="D1619"/>
      <c r="E1619"/>
      <c r="F1619"/>
      <c r="G1619"/>
      <c r="H1619"/>
      <c r="I1619"/>
      <c r="J1619"/>
      <c r="K1619"/>
      <c r="L1619"/>
      <c r="M1619"/>
      <c r="N1619"/>
      <c r="O1619"/>
      <c r="P1619"/>
      <c r="Q1619"/>
      <c r="R1619"/>
      <c r="S1619"/>
      <c r="T1619"/>
    </row>
    <row r="1620" spans="1:20" x14ac:dyDescent="0.3">
      <c r="A1620"/>
      <c r="B1620"/>
      <c r="C1620"/>
      <c r="D1620"/>
      <c r="E1620"/>
      <c r="F1620"/>
      <c r="G1620"/>
      <c r="H1620"/>
      <c r="I1620"/>
      <c r="J1620"/>
      <c r="K1620"/>
      <c r="L1620"/>
      <c r="M1620"/>
      <c r="N1620"/>
      <c r="O1620"/>
      <c r="P1620"/>
      <c r="Q1620"/>
      <c r="R1620"/>
      <c r="S1620"/>
      <c r="T1620"/>
    </row>
    <row r="1621" spans="1:20" x14ac:dyDescent="0.3">
      <c r="A1621"/>
      <c r="B1621"/>
      <c r="C1621"/>
      <c r="D1621"/>
      <c r="E1621"/>
      <c r="F1621"/>
      <c r="G1621"/>
      <c r="H1621"/>
      <c r="I1621"/>
      <c r="J1621"/>
      <c r="K1621"/>
      <c r="L1621"/>
      <c r="M1621"/>
      <c r="N1621"/>
      <c r="O1621"/>
      <c r="P1621"/>
      <c r="Q1621"/>
      <c r="R1621"/>
      <c r="S1621"/>
      <c r="T1621"/>
    </row>
    <row r="1622" spans="1:20" x14ac:dyDescent="0.3">
      <c r="A1622"/>
      <c r="B1622"/>
      <c r="C1622"/>
      <c r="D1622"/>
      <c r="E1622"/>
      <c r="F1622"/>
      <c r="G1622"/>
      <c r="H1622"/>
      <c r="I1622"/>
      <c r="J1622"/>
      <c r="K1622"/>
      <c r="L1622"/>
      <c r="M1622"/>
      <c r="N1622"/>
      <c r="O1622"/>
      <c r="P1622"/>
      <c r="Q1622"/>
      <c r="R1622"/>
      <c r="S1622"/>
      <c r="T1622"/>
    </row>
    <row r="1623" spans="1:20" x14ac:dyDescent="0.3">
      <c r="A1623"/>
      <c r="B1623"/>
      <c r="C1623"/>
      <c r="D1623"/>
      <c r="E1623"/>
      <c r="F1623"/>
      <c r="G1623"/>
      <c r="H1623"/>
      <c r="I1623"/>
      <c r="J1623"/>
      <c r="K1623"/>
      <c r="L1623"/>
      <c r="M1623"/>
      <c r="N1623"/>
      <c r="O1623"/>
      <c r="P1623"/>
      <c r="Q1623"/>
      <c r="R1623"/>
      <c r="S1623"/>
      <c r="T1623"/>
    </row>
    <row r="1624" spans="1:20" x14ac:dyDescent="0.3">
      <c r="A1624"/>
      <c r="B1624"/>
      <c r="C1624"/>
      <c r="D1624"/>
      <c r="E1624"/>
      <c r="F1624"/>
      <c r="G1624"/>
      <c r="H1624"/>
      <c r="I1624"/>
      <c r="J1624"/>
      <c r="K1624"/>
      <c r="L1624"/>
      <c r="M1624"/>
      <c r="N1624"/>
      <c r="O1624"/>
      <c r="P1624"/>
      <c r="Q1624"/>
      <c r="R1624"/>
      <c r="S1624"/>
      <c r="T1624"/>
    </row>
    <row r="1625" spans="1:20" x14ac:dyDescent="0.3">
      <c r="A1625"/>
      <c r="B1625"/>
      <c r="C1625"/>
      <c r="D1625"/>
      <c r="E1625"/>
      <c r="F1625"/>
      <c r="G1625"/>
      <c r="H1625"/>
      <c r="I1625"/>
      <c r="J1625"/>
      <c r="K1625"/>
      <c r="L1625"/>
      <c r="M1625"/>
      <c r="N1625"/>
      <c r="O1625"/>
      <c r="P1625"/>
      <c r="Q1625"/>
      <c r="R1625"/>
      <c r="S1625"/>
      <c r="T1625"/>
    </row>
    <row r="1626" spans="1:20" x14ac:dyDescent="0.3">
      <c r="A1626"/>
      <c r="B1626"/>
      <c r="C1626"/>
      <c r="D1626"/>
      <c r="E1626"/>
      <c r="F1626"/>
      <c r="G1626"/>
      <c r="H1626"/>
      <c r="I1626"/>
      <c r="J1626"/>
      <c r="K1626"/>
      <c r="L1626"/>
      <c r="M1626"/>
      <c r="N1626"/>
      <c r="O1626"/>
      <c r="P1626"/>
      <c r="Q1626"/>
      <c r="R1626"/>
      <c r="S1626"/>
      <c r="T1626"/>
    </row>
    <row r="1627" spans="1:20" x14ac:dyDescent="0.3">
      <c r="A1627"/>
      <c r="B1627"/>
      <c r="C1627"/>
      <c r="D1627"/>
      <c r="E1627"/>
      <c r="F1627"/>
      <c r="G1627"/>
      <c r="H1627"/>
      <c r="I1627"/>
      <c r="J1627"/>
      <c r="K1627"/>
      <c r="L1627"/>
      <c r="M1627"/>
      <c r="N1627"/>
      <c r="O1627"/>
      <c r="P1627"/>
      <c r="Q1627"/>
      <c r="R1627"/>
      <c r="S1627"/>
      <c r="T1627"/>
    </row>
    <row r="1628" spans="1:20" x14ac:dyDescent="0.3">
      <c r="A1628"/>
      <c r="B1628"/>
      <c r="C1628"/>
      <c r="D1628"/>
      <c r="E1628"/>
      <c r="F1628"/>
      <c r="G1628"/>
      <c r="H1628"/>
      <c r="I1628"/>
      <c r="J1628"/>
      <c r="K1628"/>
      <c r="L1628"/>
      <c r="M1628"/>
      <c r="N1628"/>
      <c r="O1628"/>
      <c r="P1628"/>
      <c r="Q1628"/>
      <c r="R1628"/>
      <c r="S1628"/>
      <c r="T1628"/>
    </row>
    <row r="1629" spans="1:20" x14ac:dyDescent="0.3">
      <c r="A1629"/>
      <c r="B1629"/>
      <c r="C1629"/>
      <c r="D1629"/>
      <c r="E1629"/>
      <c r="F1629"/>
      <c r="G1629"/>
      <c r="H1629"/>
      <c r="I1629"/>
      <c r="J1629"/>
      <c r="K1629"/>
      <c r="L1629"/>
      <c r="M1629"/>
      <c r="N1629"/>
      <c r="O1629"/>
      <c r="P1629"/>
      <c r="Q1629"/>
      <c r="R1629"/>
      <c r="S1629"/>
      <c r="T1629"/>
    </row>
    <row r="1630" spans="1:20" x14ac:dyDescent="0.3">
      <c r="A1630"/>
      <c r="B1630"/>
      <c r="C1630"/>
      <c r="D1630"/>
      <c r="E1630"/>
      <c r="F1630"/>
      <c r="G1630"/>
      <c r="H1630"/>
      <c r="I1630"/>
      <c r="J1630"/>
      <c r="K1630"/>
      <c r="L1630"/>
      <c r="M1630"/>
      <c r="N1630"/>
      <c r="O1630"/>
      <c r="P1630"/>
      <c r="Q1630"/>
      <c r="R1630"/>
      <c r="S1630"/>
      <c r="T1630"/>
    </row>
    <row r="1631" spans="1:20" x14ac:dyDescent="0.3">
      <c r="A1631"/>
      <c r="B1631"/>
      <c r="C1631"/>
      <c r="D1631"/>
      <c r="E1631"/>
      <c r="F1631"/>
      <c r="G1631"/>
      <c r="H1631"/>
      <c r="I1631"/>
      <c r="J1631"/>
      <c r="K1631"/>
      <c r="L1631"/>
      <c r="M1631"/>
      <c r="N1631"/>
      <c r="O1631"/>
      <c r="P1631"/>
      <c r="Q1631"/>
      <c r="R1631"/>
      <c r="S1631"/>
      <c r="T1631"/>
    </row>
    <row r="1632" spans="1:20" x14ac:dyDescent="0.3">
      <c r="A1632"/>
      <c r="B1632"/>
      <c r="C1632"/>
      <c r="D1632"/>
      <c r="E1632"/>
      <c r="F1632"/>
      <c r="G1632"/>
      <c r="H1632"/>
      <c r="I1632"/>
      <c r="J1632"/>
      <c r="K1632"/>
      <c r="L1632"/>
      <c r="M1632"/>
      <c r="N1632"/>
      <c r="O1632"/>
      <c r="P1632"/>
      <c r="Q1632"/>
      <c r="R1632"/>
      <c r="S1632"/>
      <c r="T1632"/>
    </row>
    <row r="1633" spans="1:20" x14ac:dyDescent="0.3">
      <c r="A1633"/>
      <c r="B1633"/>
      <c r="C1633"/>
      <c r="D1633"/>
      <c r="E1633"/>
      <c r="F1633"/>
      <c r="G1633"/>
      <c r="H1633"/>
      <c r="I1633"/>
      <c r="J1633"/>
      <c r="K1633"/>
      <c r="L1633"/>
      <c r="M1633"/>
      <c r="N1633"/>
      <c r="O1633"/>
      <c r="P1633"/>
      <c r="Q1633"/>
      <c r="R1633"/>
      <c r="S1633"/>
      <c r="T1633"/>
    </row>
    <row r="1634" spans="1:20" x14ac:dyDescent="0.3">
      <c r="A1634"/>
      <c r="B1634"/>
      <c r="C1634"/>
      <c r="D1634"/>
      <c r="E1634"/>
      <c r="F1634"/>
      <c r="G1634"/>
      <c r="H1634"/>
      <c r="I1634"/>
      <c r="J1634"/>
      <c r="K1634"/>
      <c r="L1634"/>
      <c r="M1634"/>
      <c r="N1634"/>
      <c r="O1634"/>
      <c r="P1634"/>
      <c r="Q1634"/>
      <c r="R1634"/>
      <c r="S1634"/>
      <c r="T1634"/>
    </row>
    <row r="1635" spans="1:20" x14ac:dyDescent="0.3">
      <c r="A1635"/>
      <c r="B1635"/>
      <c r="C1635"/>
      <c r="D1635"/>
      <c r="E1635"/>
      <c r="F1635"/>
      <c r="G1635"/>
      <c r="H1635"/>
      <c r="I1635"/>
      <c r="J1635"/>
      <c r="K1635"/>
      <c r="L1635"/>
      <c r="M1635"/>
      <c r="N1635"/>
      <c r="O1635"/>
      <c r="P1635"/>
      <c r="Q1635"/>
      <c r="R1635"/>
      <c r="S1635"/>
      <c r="T1635"/>
    </row>
    <row r="1636" spans="1:20" x14ac:dyDescent="0.3">
      <c r="A1636"/>
      <c r="B1636"/>
      <c r="C1636"/>
      <c r="D1636"/>
      <c r="E1636"/>
      <c r="F1636"/>
      <c r="G1636"/>
      <c r="H1636"/>
      <c r="I1636"/>
      <c r="J1636"/>
      <c r="K1636"/>
      <c r="L1636"/>
      <c r="M1636"/>
      <c r="N1636"/>
      <c r="O1636"/>
      <c r="P1636"/>
      <c r="Q1636"/>
      <c r="R1636"/>
      <c r="S1636"/>
      <c r="T1636"/>
    </row>
    <row r="1637" spans="1:20" x14ac:dyDescent="0.3">
      <c r="A1637"/>
      <c r="B1637"/>
      <c r="C1637"/>
      <c r="D1637"/>
      <c r="E1637"/>
      <c r="F1637"/>
      <c r="G1637"/>
      <c r="H1637"/>
      <c r="I1637"/>
      <c r="J1637"/>
      <c r="K1637"/>
      <c r="L1637"/>
      <c r="M1637"/>
      <c r="N1637"/>
      <c r="O1637"/>
      <c r="P1637"/>
      <c r="Q1637"/>
      <c r="R1637"/>
      <c r="S1637"/>
      <c r="T1637"/>
    </row>
    <row r="1638" spans="1:20" x14ac:dyDescent="0.3">
      <c r="A1638"/>
      <c r="B1638"/>
      <c r="C1638"/>
      <c r="D1638"/>
      <c r="E1638"/>
      <c r="F1638"/>
      <c r="G1638"/>
      <c r="H1638"/>
      <c r="I1638"/>
      <c r="J1638"/>
      <c r="K1638"/>
      <c r="L1638"/>
      <c r="M1638"/>
      <c r="N1638"/>
      <c r="O1638"/>
      <c r="P1638"/>
      <c r="Q1638"/>
      <c r="R1638"/>
      <c r="S1638"/>
      <c r="T1638"/>
    </row>
    <row r="1639" spans="1:20" x14ac:dyDescent="0.3">
      <c r="A1639"/>
      <c r="B1639"/>
      <c r="C1639"/>
      <c r="D1639"/>
      <c r="E1639"/>
      <c r="F1639"/>
      <c r="G1639"/>
      <c r="H1639"/>
      <c r="I1639"/>
      <c r="J1639"/>
      <c r="K1639"/>
      <c r="L1639"/>
      <c r="M1639"/>
      <c r="N1639"/>
      <c r="O1639"/>
      <c r="P1639"/>
      <c r="Q1639"/>
      <c r="R1639"/>
      <c r="S1639"/>
      <c r="T1639"/>
    </row>
    <row r="1640" spans="1:20" x14ac:dyDescent="0.3">
      <c r="A1640"/>
      <c r="B1640"/>
      <c r="C1640"/>
      <c r="D1640"/>
      <c r="E1640"/>
      <c r="F1640"/>
      <c r="G1640"/>
      <c r="H1640"/>
      <c r="I1640"/>
      <c r="J1640"/>
      <c r="K1640"/>
      <c r="L1640"/>
      <c r="M1640"/>
      <c r="N1640"/>
      <c r="O1640"/>
      <c r="P1640"/>
      <c r="Q1640"/>
      <c r="R1640"/>
      <c r="S1640"/>
      <c r="T1640"/>
    </row>
    <row r="1641" spans="1:20" x14ac:dyDescent="0.3">
      <c r="A1641"/>
      <c r="B1641"/>
      <c r="C1641"/>
      <c r="D1641"/>
      <c r="E1641"/>
      <c r="F1641"/>
      <c r="G1641"/>
      <c r="H1641"/>
      <c r="I1641"/>
      <c r="J1641"/>
      <c r="K1641"/>
      <c r="L1641"/>
      <c r="M1641"/>
      <c r="N1641"/>
      <c r="O1641"/>
      <c r="P1641"/>
      <c r="Q1641"/>
      <c r="R1641"/>
      <c r="S1641"/>
      <c r="T1641"/>
    </row>
    <row r="1642" spans="1:20" x14ac:dyDescent="0.3">
      <c r="A1642"/>
      <c r="B1642"/>
      <c r="C1642"/>
      <c r="D1642"/>
      <c r="E1642"/>
      <c r="F1642"/>
      <c r="G1642"/>
      <c r="H1642"/>
      <c r="I1642"/>
      <c r="J1642"/>
      <c r="K1642"/>
      <c r="L1642"/>
      <c r="M1642"/>
      <c r="N1642"/>
      <c r="O1642"/>
      <c r="P1642"/>
      <c r="Q1642"/>
      <c r="R1642"/>
      <c r="S1642"/>
      <c r="T1642"/>
    </row>
    <row r="1643" spans="1:20" x14ac:dyDescent="0.3">
      <c r="A1643"/>
      <c r="B1643"/>
      <c r="C1643"/>
      <c r="D1643"/>
      <c r="E1643"/>
      <c r="F1643"/>
      <c r="G1643"/>
      <c r="H1643"/>
      <c r="I1643"/>
      <c r="J1643"/>
      <c r="K1643"/>
      <c r="L1643"/>
      <c r="M1643"/>
      <c r="N1643"/>
      <c r="O1643"/>
      <c r="P1643"/>
      <c r="Q1643"/>
      <c r="R1643"/>
      <c r="S1643"/>
      <c r="T1643"/>
    </row>
    <row r="1644" spans="1:20" x14ac:dyDescent="0.3">
      <c r="A1644"/>
      <c r="B1644"/>
      <c r="C1644"/>
      <c r="D1644"/>
      <c r="E1644"/>
      <c r="F1644"/>
      <c r="G1644"/>
      <c r="H1644"/>
      <c r="I1644"/>
      <c r="J1644"/>
      <c r="K1644"/>
      <c r="L1644"/>
      <c r="M1644"/>
      <c r="N1644"/>
      <c r="O1644"/>
      <c r="P1644"/>
      <c r="Q1644"/>
      <c r="R1644"/>
      <c r="S1644"/>
      <c r="T1644"/>
    </row>
    <row r="1645" spans="1:20" x14ac:dyDescent="0.3">
      <c r="A1645"/>
      <c r="B1645"/>
      <c r="C1645"/>
      <c r="D1645"/>
      <c r="E1645"/>
      <c r="F1645"/>
      <c r="G1645"/>
      <c r="H1645"/>
      <c r="I1645"/>
      <c r="J1645"/>
      <c r="K1645"/>
      <c r="L1645"/>
      <c r="M1645"/>
      <c r="N1645"/>
      <c r="O1645"/>
      <c r="P1645"/>
      <c r="Q1645"/>
      <c r="R1645"/>
      <c r="S1645"/>
      <c r="T1645"/>
    </row>
    <row r="1646" spans="1:20" x14ac:dyDescent="0.3">
      <c r="A1646"/>
      <c r="B1646"/>
      <c r="C1646"/>
      <c r="D1646"/>
      <c r="E1646"/>
      <c r="F1646"/>
      <c r="G1646"/>
      <c r="H1646"/>
      <c r="I1646"/>
      <c r="J1646"/>
      <c r="K1646"/>
      <c r="L1646"/>
      <c r="M1646"/>
      <c r="N1646"/>
      <c r="O1646"/>
      <c r="P1646"/>
      <c r="Q1646"/>
      <c r="R1646"/>
      <c r="S1646"/>
      <c r="T1646"/>
    </row>
    <row r="1647" spans="1:20" x14ac:dyDescent="0.3">
      <c r="A1647"/>
      <c r="B1647"/>
      <c r="C1647"/>
      <c r="D1647"/>
      <c r="E1647"/>
      <c r="F1647"/>
      <c r="G1647"/>
      <c r="H1647"/>
      <c r="I1647"/>
      <c r="J1647"/>
      <c r="K1647"/>
      <c r="L1647"/>
      <c r="M1647"/>
      <c r="N1647"/>
      <c r="O1647"/>
      <c r="P1647"/>
      <c r="Q1647"/>
      <c r="R1647"/>
      <c r="S1647"/>
      <c r="T1647"/>
    </row>
    <row r="1648" spans="1:20" x14ac:dyDescent="0.3">
      <c r="A1648"/>
      <c r="B1648"/>
      <c r="C1648"/>
      <c r="D1648"/>
      <c r="E1648"/>
      <c r="F1648"/>
      <c r="G1648"/>
      <c r="H1648"/>
      <c r="I1648"/>
      <c r="J1648"/>
      <c r="K1648"/>
      <c r="L1648"/>
      <c r="M1648"/>
      <c r="N1648"/>
      <c r="O1648"/>
      <c r="P1648"/>
      <c r="Q1648"/>
      <c r="R1648"/>
      <c r="S1648"/>
      <c r="T1648"/>
    </row>
    <row r="1649" spans="1:20" x14ac:dyDescent="0.3">
      <c r="A1649"/>
      <c r="B1649"/>
      <c r="C1649"/>
      <c r="D1649"/>
      <c r="E1649"/>
      <c r="F1649"/>
      <c r="G1649"/>
      <c r="H1649"/>
      <c r="I1649"/>
      <c r="J1649"/>
      <c r="K1649"/>
      <c r="L1649"/>
      <c r="M1649"/>
      <c r="N1649"/>
      <c r="O1649"/>
      <c r="P1649"/>
      <c r="Q1649"/>
      <c r="R1649"/>
      <c r="S1649"/>
      <c r="T1649"/>
    </row>
    <row r="1650" spans="1:20" x14ac:dyDescent="0.3">
      <c r="A1650"/>
      <c r="B1650"/>
      <c r="C1650"/>
      <c r="D1650"/>
      <c r="E1650"/>
      <c r="F1650"/>
      <c r="G1650"/>
      <c r="H1650"/>
      <c r="I1650"/>
      <c r="J1650"/>
      <c r="K1650"/>
      <c r="L1650"/>
      <c r="M1650"/>
      <c r="N1650"/>
      <c r="O1650"/>
      <c r="P1650"/>
      <c r="Q1650"/>
      <c r="R1650"/>
      <c r="S1650"/>
      <c r="T1650"/>
    </row>
    <row r="1651" spans="1:20" x14ac:dyDescent="0.3">
      <c r="A1651"/>
      <c r="B1651"/>
      <c r="C1651"/>
      <c r="D1651"/>
      <c r="E1651"/>
      <c r="F1651"/>
      <c r="G1651"/>
      <c r="H1651"/>
      <c r="I1651"/>
      <c r="J1651"/>
      <c r="K1651"/>
      <c r="L1651"/>
      <c r="M1651"/>
      <c r="N1651"/>
      <c r="O1651"/>
      <c r="P1651"/>
      <c r="Q1651"/>
      <c r="R1651"/>
      <c r="S1651"/>
      <c r="T1651"/>
    </row>
    <row r="1652" spans="1:20" x14ac:dyDescent="0.3">
      <c r="A1652"/>
      <c r="B1652"/>
      <c r="C1652"/>
      <c r="D1652"/>
      <c r="E1652"/>
      <c r="F1652"/>
      <c r="G1652"/>
      <c r="H1652"/>
      <c r="I1652"/>
      <c r="J1652"/>
      <c r="K1652"/>
      <c r="L1652"/>
      <c r="M1652"/>
      <c r="N1652"/>
      <c r="O1652"/>
      <c r="P1652"/>
      <c r="Q1652"/>
      <c r="R1652"/>
      <c r="S1652"/>
      <c r="T1652"/>
    </row>
    <row r="1653" spans="1:20" x14ac:dyDescent="0.3">
      <c r="A1653"/>
      <c r="B1653"/>
      <c r="C1653"/>
      <c r="D1653"/>
      <c r="E1653"/>
      <c r="F1653"/>
      <c r="G1653"/>
      <c r="H1653"/>
      <c r="I1653"/>
      <c r="J1653"/>
      <c r="K1653"/>
      <c r="L1653"/>
      <c r="M1653"/>
      <c r="N1653"/>
      <c r="O1653"/>
      <c r="P1653"/>
      <c r="Q1653"/>
      <c r="R1653"/>
      <c r="S1653"/>
      <c r="T1653"/>
    </row>
    <row r="1654" spans="1:20" x14ac:dyDescent="0.3">
      <c r="A1654"/>
      <c r="B1654"/>
      <c r="C1654"/>
      <c r="D1654"/>
      <c r="E1654"/>
      <c r="F1654"/>
      <c r="G1654"/>
      <c r="H1654"/>
      <c r="I1654"/>
      <c r="J1654"/>
      <c r="K1654"/>
      <c r="L1654"/>
      <c r="M1654"/>
      <c r="N1654"/>
      <c r="O1654"/>
      <c r="P1654"/>
      <c r="Q1654"/>
      <c r="R1654"/>
      <c r="S1654"/>
      <c r="T1654"/>
    </row>
    <row r="1655" spans="1:20" x14ac:dyDescent="0.3">
      <c r="A1655"/>
      <c r="B1655"/>
      <c r="C1655"/>
      <c r="D1655"/>
      <c r="E1655"/>
      <c r="F1655"/>
      <c r="G1655"/>
      <c r="H1655"/>
      <c r="I1655"/>
      <c r="J1655"/>
      <c r="K1655"/>
      <c r="L1655"/>
      <c r="M1655"/>
      <c r="N1655"/>
      <c r="O1655"/>
      <c r="P1655"/>
      <c r="Q1655"/>
      <c r="R1655"/>
      <c r="S1655"/>
      <c r="T1655"/>
    </row>
    <row r="1656" spans="1:20" x14ac:dyDescent="0.3">
      <c r="A1656"/>
      <c r="B1656"/>
      <c r="C1656"/>
      <c r="D1656"/>
      <c r="E1656"/>
      <c r="F1656"/>
      <c r="G1656"/>
      <c r="H1656"/>
      <c r="I1656"/>
      <c r="J1656"/>
      <c r="K1656"/>
      <c r="L1656"/>
      <c r="M1656"/>
      <c r="N1656"/>
      <c r="O1656"/>
      <c r="P1656"/>
      <c r="Q1656"/>
      <c r="R1656"/>
      <c r="S1656"/>
      <c r="T1656"/>
    </row>
    <row r="1657" spans="1:20" x14ac:dyDescent="0.3">
      <c r="A1657"/>
      <c r="B1657"/>
      <c r="C1657"/>
      <c r="D1657"/>
      <c r="E1657"/>
      <c r="F1657"/>
      <c r="G1657"/>
      <c r="H1657"/>
      <c r="I1657"/>
      <c r="J1657"/>
      <c r="K1657"/>
      <c r="L1657"/>
      <c r="M1657"/>
      <c r="N1657"/>
      <c r="O1657"/>
      <c r="P1657"/>
      <c r="Q1657"/>
      <c r="R1657"/>
      <c r="S1657"/>
      <c r="T1657"/>
    </row>
    <row r="1658" spans="1:20" x14ac:dyDescent="0.3">
      <c r="A1658"/>
      <c r="B1658"/>
      <c r="C1658"/>
      <c r="D1658"/>
      <c r="E1658"/>
      <c r="F1658"/>
      <c r="G1658"/>
      <c r="H1658"/>
      <c r="I1658"/>
      <c r="J1658"/>
      <c r="K1658"/>
      <c r="L1658"/>
      <c r="M1658"/>
      <c r="N1658"/>
      <c r="O1658"/>
      <c r="P1658"/>
      <c r="Q1658"/>
      <c r="R1658"/>
      <c r="S1658"/>
      <c r="T1658"/>
    </row>
    <row r="1659" spans="1:20" x14ac:dyDescent="0.3">
      <c r="A1659"/>
      <c r="B1659"/>
      <c r="C1659"/>
      <c r="D1659"/>
      <c r="E1659"/>
      <c r="F1659"/>
      <c r="G1659"/>
      <c r="H1659"/>
      <c r="I1659"/>
      <c r="J1659"/>
      <c r="K1659"/>
      <c r="L1659"/>
      <c r="M1659"/>
      <c r="N1659"/>
      <c r="O1659"/>
      <c r="P1659"/>
      <c r="Q1659"/>
      <c r="R1659"/>
      <c r="S1659"/>
      <c r="T1659"/>
    </row>
    <row r="1660" spans="1:20" x14ac:dyDescent="0.3">
      <c r="A1660"/>
      <c r="B1660"/>
      <c r="C1660"/>
      <c r="D1660"/>
      <c r="E1660"/>
      <c r="F1660"/>
      <c r="G1660"/>
      <c r="H1660"/>
      <c r="I1660"/>
      <c r="J1660"/>
      <c r="K1660"/>
      <c r="L1660"/>
      <c r="M1660"/>
      <c r="N1660"/>
      <c r="O1660"/>
      <c r="P1660"/>
      <c r="Q1660"/>
      <c r="R1660"/>
      <c r="S1660"/>
      <c r="T1660"/>
    </row>
    <row r="1661" spans="1:20" x14ac:dyDescent="0.3">
      <c r="A1661"/>
      <c r="B1661"/>
      <c r="C1661"/>
      <c r="D1661"/>
      <c r="E1661"/>
      <c r="F1661"/>
      <c r="G1661"/>
      <c r="H1661"/>
      <c r="I1661"/>
      <c r="J1661"/>
      <c r="K1661"/>
      <c r="L1661"/>
      <c r="M1661"/>
      <c r="N1661"/>
      <c r="O1661"/>
      <c r="P1661"/>
      <c r="Q1661"/>
      <c r="R1661"/>
      <c r="S1661"/>
      <c r="T1661"/>
    </row>
    <row r="1662" spans="1:20" x14ac:dyDescent="0.3">
      <c r="A1662"/>
      <c r="B1662"/>
      <c r="C1662"/>
      <c r="D1662"/>
      <c r="E1662"/>
      <c r="F1662"/>
      <c r="G1662"/>
      <c r="H1662"/>
      <c r="I1662"/>
      <c r="J1662"/>
      <c r="K1662"/>
      <c r="L1662"/>
      <c r="M1662"/>
      <c r="N1662"/>
      <c r="O1662"/>
      <c r="P1662"/>
      <c r="Q1662"/>
      <c r="R1662"/>
      <c r="S1662"/>
      <c r="T1662"/>
    </row>
    <row r="1663" spans="1:20" x14ac:dyDescent="0.3">
      <c r="A1663"/>
      <c r="B1663"/>
      <c r="C1663"/>
      <c r="D1663"/>
      <c r="E1663"/>
      <c r="F1663"/>
      <c r="G1663"/>
      <c r="H1663"/>
      <c r="I1663"/>
      <c r="J1663"/>
      <c r="K1663"/>
      <c r="L1663"/>
      <c r="M1663"/>
      <c r="N1663"/>
      <c r="O1663"/>
      <c r="P1663"/>
      <c r="Q1663"/>
      <c r="R1663"/>
      <c r="S1663"/>
      <c r="T1663"/>
    </row>
    <row r="1664" spans="1:20" x14ac:dyDescent="0.3">
      <c r="A1664"/>
      <c r="B1664"/>
      <c r="C1664"/>
      <c r="D1664"/>
      <c r="E1664"/>
      <c r="F1664"/>
      <c r="G1664"/>
      <c r="H1664"/>
      <c r="I1664"/>
      <c r="J1664"/>
      <c r="K1664"/>
      <c r="L1664"/>
      <c r="M1664"/>
      <c r="N1664"/>
      <c r="O1664"/>
      <c r="P1664"/>
      <c r="Q1664"/>
      <c r="R1664"/>
      <c r="S1664"/>
      <c r="T1664"/>
    </row>
    <row r="1665" spans="1:20" x14ac:dyDescent="0.3">
      <c r="A1665"/>
      <c r="B1665"/>
      <c r="C1665"/>
      <c r="D1665"/>
      <c r="E1665"/>
      <c r="F1665"/>
      <c r="G1665"/>
      <c r="H1665"/>
      <c r="I1665"/>
      <c r="J1665"/>
      <c r="K1665"/>
      <c r="L1665"/>
      <c r="M1665"/>
      <c r="N1665"/>
      <c r="O1665"/>
      <c r="P1665"/>
      <c r="Q1665"/>
      <c r="R1665"/>
      <c r="S1665"/>
      <c r="T1665"/>
    </row>
    <row r="1666" spans="1:20" x14ac:dyDescent="0.3">
      <c r="A1666"/>
      <c r="B1666"/>
      <c r="C1666"/>
      <c r="D1666"/>
      <c r="E1666"/>
      <c r="F1666"/>
      <c r="G1666"/>
      <c r="H1666"/>
      <c r="I1666"/>
      <c r="J1666"/>
      <c r="K1666"/>
      <c r="L1666"/>
      <c r="M1666"/>
      <c r="N1666"/>
      <c r="O1666"/>
      <c r="P1666"/>
      <c r="Q1666"/>
      <c r="R1666"/>
      <c r="S1666"/>
      <c r="T1666"/>
    </row>
    <row r="1667" spans="1:20" x14ac:dyDescent="0.3">
      <c r="A1667"/>
      <c r="B1667"/>
      <c r="C1667"/>
      <c r="D1667"/>
      <c r="E1667"/>
      <c r="F1667"/>
      <c r="G1667"/>
      <c r="H1667"/>
      <c r="I1667"/>
      <c r="J1667"/>
      <c r="K1667"/>
      <c r="L1667"/>
      <c r="M1667"/>
      <c r="N1667"/>
      <c r="O1667"/>
      <c r="P1667"/>
      <c r="Q1667"/>
      <c r="R1667"/>
      <c r="S1667"/>
      <c r="T1667"/>
    </row>
    <row r="1668" spans="1:20" x14ac:dyDescent="0.3">
      <c r="A1668"/>
      <c r="B1668"/>
      <c r="C1668"/>
      <c r="D1668"/>
      <c r="E1668"/>
      <c r="F1668"/>
      <c r="G1668"/>
      <c r="H1668"/>
      <c r="I1668"/>
      <c r="J1668"/>
      <c r="K1668"/>
      <c r="L1668"/>
      <c r="M1668"/>
      <c r="N1668"/>
      <c r="O1668"/>
      <c r="P1668"/>
      <c r="Q1668"/>
      <c r="R1668"/>
      <c r="S1668"/>
      <c r="T1668"/>
    </row>
    <row r="1669" spans="1:20" x14ac:dyDescent="0.3">
      <c r="A1669"/>
      <c r="B1669"/>
      <c r="C1669"/>
      <c r="D1669"/>
      <c r="E1669"/>
      <c r="F1669"/>
      <c r="G1669"/>
      <c r="H1669"/>
      <c r="I1669"/>
      <c r="J1669"/>
      <c r="K1669"/>
      <c r="L1669"/>
      <c r="M1669"/>
      <c r="N1669"/>
      <c r="O1669"/>
      <c r="P1669"/>
      <c r="Q1669"/>
      <c r="R1669"/>
      <c r="S1669"/>
      <c r="T1669"/>
    </row>
    <row r="1670" spans="1:20" x14ac:dyDescent="0.3">
      <c r="A1670"/>
      <c r="B1670"/>
      <c r="C1670"/>
      <c r="D1670"/>
      <c r="E1670"/>
      <c r="F1670"/>
      <c r="G1670"/>
      <c r="H1670"/>
      <c r="I1670"/>
      <c r="J1670"/>
      <c r="K1670"/>
      <c r="L1670"/>
      <c r="M1670"/>
      <c r="N1670"/>
      <c r="O1670"/>
      <c r="P1670"/>
      <c r="Q1670"/>
      <c r="R1670"/>
      <c r="S1670"/>
      <c r="T1670"/>
    </row>
    <row r="1671" spans="1:20" x14ac:dyDescent="0.3">
      <c r="A1671"/>
      <c r="B1671"/>
      <c r="C1671"/>
      <c r="D1671"/>
      <c r="E1671"/>
      <c r="F1671"/>
      <c r="G1671"/>
      <c r="H1671"/>
      <c r="I1671"/>
      <c r="J1671"/>
      <c r="K1671"/>
      <c r="L1671"/>
      <c r="M1671"/>
      <c r="N1671"/>
      <c r="O1671"/>
      <c r="P1671"/>
      <c r="Q1671"/>
      <c r="R1671"/>
      <c r="S1671"/>
      <c r="T1671"/>
    </row>
    <row r="1672" spans="1:20" x14ac:dyDescent="0.3">
      <c r="A1672"/>
      <c r="B1672"/>
      <c r="C1672"/>
      <c r="D1672"/>
      <c r="E1672"/>
      <c r="F1672"/>
      <c r="G1672"/>
      <c r="H1672"/>
      <c r="I1672"/>
      <c r="J1672"/>
      <c r="K1672"/>
      <c r="L1672"/>
      <c r="M1672"/>
      <c r="N1672"/>
      <c r="O1672"/>
      <c r="P1672"/>
      <c r="Q1672"/>
      <c r="R1672"/>
      <c r="S1672"/>
      <c r="T1672"/>
    </row>
    <row r="1673" spans="1:20" x14ac:dyDescent="0.3">
      <c r="A1673"/>
      <c r="B1673"/>
      <c r="C1673"/>
      <c r="D1673"/>
      <c r="E1673"/>
      <c r="F1673"/>
      <c r="G1673"/>
      <c r="H1673"/>
      <c r="I1673"/>
      <c r="J1673"/>
      <c r="K1673"/>
      <c r="L1673"/>
      <c r="M1673"/>
      <c r="N1673"/>
      <c r="O1673"/>
      <c r="P1673"/>
      <c r="Q1673"/>
      <c r="R1673"/>
      <c r="S1673"/>
      <c r="T1673"/>
    </row>
    <row r="1674" spans="1:20" x14ac:dyDescent="0.3">
      <c r="A1674"/>
      <c r="B1674"/>
      <c r="C1674"/>
      <c r="D1674"/>
      <c r="E1674"/>
      <c r="F1674"/>
      <c r="G1674"/>
      <c r="H1674"/>
      <c r="I1674"/>
      <c r="J1674"/>
      <c r="K1674"/>
      <c r="L1674"/>
      <c r="M1674"/>
      <c r="N1674"/>
      <c r="O1674"/>
      <c r="P1674"/>
      <c r="Q1674"/>
      <c r="R1674"/>
      <c r="S1674"/>
      <c r="T1674"/>
    </row>
    <row r="1675" spans="1:20" x14ac:dyDescent="0.3">
      <c r="A1675"/>
      <c r="B1675"/>
      <c r="C1675"/>
      <c r="D1675"/>
      <c r="E1675"/>
      <c r="F1675"/>
      <c r="G1675"/>
      <c r="H1675"/>
      <c r="I1675"/>
      <c r="J1675"/>
      <c r="K1675"/>
      <c r="L1675"/>
      <c r="M1675"/>
      <c r="N1675"/>
      <c r="O1675"/>
      <c r="P1675"/>
      <c r="Q1675"/>
      <c r="R1675"/>
      <c r="S1675"/>
      <c r="T1675"/>
    </row>
    <row r="1676" spans="1:20" x14ac:dyDescent="0.3">
      <c r="A1676"/>
      <c r="B1676"/>
      <c r="C1676"/>
      <c r="D1676"/>
      <c r="E1676"/>
      <c r="F1676"/>
      <c r="G1676"/>
      <c r="H1676"/>
      <c r="I1676"/>
      <c r="J1676"/>
      <c r="K1676"/>
      <c r="L1676"/>
      <c r="M1676"/>
      <c r="N1676"/>
      <c r="O1676"/>
      <c r="P1676"/>
      <c r="Q1676"/>
      <c r="R1676"/>
      <c r="S1676"/>
      <c r="T1676"/>
    </row>
    <row r="1677" spans="1:20" x14ac:dyDescent="0.3">
      <c r="A1677"/>
      <c r="B1677"/>
      <c r="C1677"/>
      <c r="D1677"/>
      <c r="E1677"/>
      <c r="F1677"/>
      <c r="G1677"/>
      <c r="H1677"/>
      <c r="I1677"/>
      <c r="J1677"/>
      <c r="K1677"/>
      <c r="L1677"/>
      <c r="M1677"/>
      <c r="N1677"/>
      <c r="O1677"/>
      <c r="P1677"/>
      <c r="Q1677"/>
      <c r="R1677"/>
      <c r="S1677"/>
      <c r="T1677"/>
    </row>
    <row r="1678" spans="1:20" x14ac:dyDescent="0.3">
      <c r="A1678"/>
      <c r="B1678"/>
      <c r="C1678"/>
      <c r="D1678"/>
      <c r="E1678"/>
      <c r="F1678"/>
      <c r="G1678"/>
      <c r="H1678"/>
      <c r="I1678"/>
      <c r="J1678"/>
      <c r="K1678"/>
      <c r="L1678"/>
      <c r="M1678"/>
      <c r="N1678"/>
      <c r="O1678"/>
      <c r="P1678"/>
      <c r="Q1678"/>
      <c r="R1678"/>
      <c r="S1678"/>
      <c r="T1678"/>
    </row>
    <row r="1679" spans="1:20" x14ac:dyDescent="0.3">
      <c r="A1679"/>
      <c r="B1679"/>
      <c r="C1679"/>
      <c r="D1679"/>
      <c r="E1679"/>
      <c r="F1679"/>
      <c r="G1679"/>
      <c r="H1679"/>
      <c r="I1679"/>
      <c r="J1679"/>
      <c r="K1679"/>
      <c r="L1679"/>
      <c r="M1679"/>
      <c r="N1679"/>
      <c r="O1679"/>
      <c r="P1679"/>
      <c r="Q1679"/>
      <c r="R1679"/>
      <c r="S1679"/>
      <c r="T1679"/>
    </row>
    <row r="1680" spans="1:20" x14ac:dyDescent="0.3">
      <c r="A1680"/>
      <c r="B1680"/>
      <c r="C1680"/>
      <c r="D1680"/>
      <c r="E1680"/>
      <c r="F1680"/>
      <c r="G1680"/>
      <c r="H1680"/>
      <c r="I1680"/>
      <c r="J1680"/>
      <c r="K1680"/>
      <c r="L1680"/>
      <c r="M1680"/>
      <c r="N1680"/>
      <c r="O1680"/>
      <c r="P1680"/>
      <c r="Q1680"/>
      <c r="R1680"/>
      <c r="S1680"/>
      <c r="T1680"/>
    </row>
    <row r="1681" spans="1:20" x14ac:dyDescent="0.3">
      <c r="A1681"/>
      <c r="B1681"/>
      <c r="C1681"/>
      <c r="D1681"/>
      <c r="E1681"/>
      <c r="F1681"/>
      <c r="G1681"/>
      <c r="H1681"/>
      <c r="I1681"/>
      <c r="J1681"/>
      <c r="K1681"/>
      <c r="L1681"/>
      <c r="M1681"/>
      <c r="N1681"/>
      <c r="O1681"/>
      <c r="P1681"/>
      <c r="Q1681"/>
      <c r="R1681"/>
      <c r="S1681"/>
      <c r="T1681"/>
    </row>
    <row r="1682" spans="1:20" x14ac:dyDescent="0.3">
      <c r="A1682"/>
      <c r="B1682"/>
      <c r="C1682"/>
      <c r="D1682"/>
      <c r="E1682"/>
      <c r="F1682"/>
      <c r="G1682"/>
      <c r="H1682"/>
      <c r="I1682"/>
      <c r="J1682"/>
      <c r="K1682"/>
      <c r="L1682"/>
      <c r="M1682"/>
      <c r="N1682"/>
      <c r="O1682"/>
      <c r="P1682"/>
      <c r="Q1682"/>
      <c r="R1682"/>
      <c r="S1682"/>
      <c r="T1682"/>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CBD96-8D32-4DA0-960A-0B7AD4FDBD56}">
  <dimension ref="A1:O217"/>
  <sheetViews>
    <sheetView workbookViewId="0">
      <pane ySplit="5" topLeftCell="A6" activePane="bottomLeft" state="frozen"/>
      <selection pane="bottomLeft" activeCell="F17" sqref="F17"/>
    </sheetView>
  </sheetViews>
  <sheetFormatPr defaultRowHeight="14.4" x14ac:dyDescent="0.3"/>
  <cols>
    <col min="1" max="1" width="17.21875" bestFit="1" customWidth="1"/>
    <col min="2" max="2" width="37.6640625" bestFit="1" customWidth="1"/>
    <col min="3" max="3" width="14.21875" style="48" bestFit="1" customWidth="1"/>
    <col min="4" max="4" width="14.21875" bestFit="1" customWidth="1"/>
    <col min="5" max="5" width="10.77734375" bestFit="1" customWidth="1"/>
    <col min="6" max="6" width="6" bestFit="1" customWidth="1"/>
    <col min="9" max="9" width="24.33203125" customWidth="1"/>
  </cols>
  <sheetData>
    <row r="1" spans="1:15" x14ac:dyDescent="0.3">
      <c r="A1" s="133" t="s">
        <v>4</v>
      </c>
      <c r="B1" t="s">
        <v>43</v>
      </c>
    </row>
    <row r="2" spans="1:15" x14ac:dyDescent="0.3">
      <c r="A2" s="133" t="s">
        <v>0</v>
      </c>
      <c r="B2" t="s">
        <v>821</v>
      </c>
    </row>
    <row r="4" spans="1:15" x14ac:dyDescent="0.3">
      <c r="A4" s="133" t="s">
        <v>1559</v>
      </c>
      <c r="C4" s="133" t="s">
        <v>53</v>
      </c>
      <c r="D4" s="48"/>
      <c r="E4" s="48"/>
    </row>
    <row r="5" spans="1:15" x14ac:dyDescent="0.3">
      <c r="A5" s="136" t="s">
        <v>5</v>
      </c>
      <c r="B5" s="136" t="s">
        <v>56</v>
      </c>
      <c r="C5" t="s">
        <v>1272</v>
      </c>
      <c r="D5" t="s">
        <v>57</v>
      </c>
      <c r="E5" s="2" t="s">
        <v>52</v>
      </c>
    </row>
    <row r="6" spans="1:15" x14ac:dyDescent="0.3">
      <c r="A6" t="s">
        <v>26</v>
      </c>
      <c r="B6" t="s">
        <v>110</v>
      </c>
      <c r="C6" s="48">
        <v>168</v>
      </c>
      <c r="D6" s="48">
        <v>52.895000000000003</v>
      </c>
      <c r="E6" s="48">
        <v>220.89500000000001</v>
      </c>
      <c r="K6" t="s">
        <v>1564</v>
      </c>
      <c r="L6" t="s">
        <v>172</v>
      </c>
      <c r="M6" t="s">
        <v>1560</v>
      </c>
      <c r="N6" t="s">
        <v>1565</v>
      </c>
      <c r="O6" t="s">
        <v>1566</v>
      </c>
    </row>
    <row r="7" spans="1:15" x14ac:dyDescent="0.3">
      <c r="B7" t="s">
        <v>111</v>
      </c>
      <c r="D7" s="48">
        <v>504</v>
      </c>
      <c r="E7" s="48">
        <v>504</v>
      </c>
      <c r="I7" t="s">
        <v>1561</v>
      </c>
      <c r="J7">
        <v>3500</v>
      </c>
      <c r="K7">
        <v>200</v>
      </c>
      <c r="L7">
        <v>500</v>
      </c>
      <c r="M7">
        <v>900</v>
      </c>
      <c r="N7">
        <f>J7-(M7+L7+K7)</f>
        <v>1900</v>
      </c>
      <c r="O7">
        <v>400</v>
      </c>
    </row>
    <row r="8" spans="1:15" x14ac:dyDescent="0.3">
      <c r="B8" t="s">
        <v>99</v>
      </c>
      <c r="D8" s="48">
        <v>545.66499999999996</v>
      </c>
      <c r="E8" s="48">
        <v>545.66499999999996</v>
      </c>
      <c r="I8" t="s">
        <v>1311</v>
      </c>
      <c r="J8">
        <v>1200</v>
      </c>
      <c r="K8" t="s">
        <v>1</v>
      </c>
    </row>
    <row r="9" spans="1:15" x14ac:dyDescent="0.3">
      <c r="B9" t="s">
        <v>67</v>
      </c>
      <c r="D9" s="48">
        <v>17.024999999999999</v>
      </c>
      <c r="E9" s="48">
        <v>17.024999999999999</v>
      </c>
      <c r="I9" t="s">
        <v>1562</v>
      </c>
      <c r="J9">
        <f>9000-(J7+J8+J10)</f>
        <v>4170</v>
      </c>
    </row>
    <row r="10" spans="1:15" x14ac:dyDescent="0.3">
      <c r="B10" t="s">
        <v>86</v>
      </c>
      <c r="D10" s="48">
        <v>133.69</v>
      </c>
      <c r="E10" s="48">
        <v>133.69</v>
      </c>
      <c r="I10" t="s">
        <v>1563</v>
      </c>
      <c r="J10">
        <v>130</v>
      </c>
    </row>
    <row r="11" spans="1:15" x14ac:dyDescent="0.3">
      <c r="A11" t="s">
        <v>1555</v>
      </c>
      <c r="C11" s="48">
        <v>168</v>
      </c>
      <c r="D11" s="48">
        <v>1253.2750000000001</v>
      </c>
      <c r="E11" s="48">
        <v>1421.2750000000001</v>
      </c>
      <c r="I11" t="s">
        <v>168</v>
      </c>
      <c r="J11">
        <f>SUM(J7:J10)</f>
        <v>9000</v>
      </c>
    </row>
    <row r="12" spans="1:15" x14ac:dyDescent="0.3">
      <c r="A12" t="s">
        <v>45</v>
      </c>
      <c r="B12" t="s">
        <v>68</v>
      </c>
      <c r="D12" s="48">
        <v>378</v>
      </c>
      <c r="E12" s="48">
        <v>378</v>
      </c>
    </row>
    <row r="13" spans="1:15" x14ac:dyDescent="0.3">
      <c r="B13" t="s">
        <v>89</v>
      </c>
      <c r="C13" s="48">
        <v>680</v>
      </c>
      <c r="D13" s="48"/>
      <c r="E13" s="135">
        <v>680</v>
      </c>
      <c r="F13">
        <v>270</v>
      </c>
    </row>
    <row r="14" spans="1:15" x14ac:dyDescent="0.3">
      <c r="B14" t="s">
        <v>90</v>
      </c>
      <c r="D14" s="48">
        <v>44.255000000000003</v>
      </c>
      <c r="E14" s="48">
        <v>44.255000000000003</v>
      </c>
    </row>
    <row r="15" spans="1:15" x14ac:dyDescent="0.3">
      <c r="B15" t="s">
        <v>113</v>
      </c>
      <c r="D15" s="48">
        <v>1151.95</v>
      </c>
      <c r="E15" s="48">
        <v>1151.95</v>
      </c>
    </row>
    <row r="16" spans="1:15" x14ac:dyDescent="0.3">
      <c r="B16" t="s">
        <v>114</v>
      </c>
      <c r="D16" s="48">
        <v>21</v>
      </c>
      <c r="E16" s="48">
        <v>21</v>
      </c>
    </row>
    <row r="17" spans="2:6" x14ac:dyDescent="0.3">
      <c r="B17" t="s">
        <v>91</v>
      </c>
      <c r="C17" s="48">
        <v>42</v>
      </c>
      <c r="D17" s="135">
        <v>1714.115</v>
      </c>
      <c r="E17" s="48">
        <v>1756.115</v>
      </c>
      <c r="F17" s="48">
        <v>1000</v>
      </c>
    </row>
    <row r="18" spans="2:6" x14ac:dyDescent="0.3">
      <c r="B18" t="s">
        <v>115</v>
      </c>
      <c r="C18" s="48">
        <v>63</v>
      </c>
      <c r="D18" s="48">
        <v>1232.7749999999999</v>
      </c>
      <c r="E18" s="48">
        <v>1295.7749999999999</v>
      </c>
      <c r="F18" s="48">
        <v>450</v>
      </c>
    </row>
    <row r="19" spans="2:6" x14ac:dyDescent="0.3">
      <c r="B19" t="s">
        <v>424</v>
      </c>
      <c r="C19" s="48">
        <v>23</v>
      </c>
      <c r="D19" s="48"/>
      <c r="E19" s="48">
        <v>23</v>
      </c>
    </row>
    <row r="20" spans="2:6" x14ac:dyDescent="0.3">
      <c r="B20" t="s">
        <v>75</v>
      </c>
      <c r="D20" s="48">
        <v>714</v>
      </c>
      <c r="E20" s="48">
        <v>714</v>
      </c>
    </row>
    <row r="21" spans="2:6" x14ac:dyDescent="0.3">
      <c r="B21" t="s">
        <v>116</v>
      </c>
      <c r="C21" s="48">
        <v>279</v>
      </c>
      <c r="D21" s="48">
        <v>1031.1399999999999</v>
      </c>
      <c r="E21" s="48">
        <v>1310.1399999999999</v>
      </c>
    </row>
    <row r="22" spans="2:6" x14ac:dyDescent="0.3">
      <c r="B22" t="s">
        <v>117</v>
      </c>
      <c r="D22" s="48">
        <v>1008</v>
      </c>
      <c r="E22" s="48">
        <v>1008</v>
      </c>
    </row>
    <row r="23" spans="2:6" x14ac:dyDescent="0.3">
      <c r="B23" t="s">
        <v>119</v>
      </c>
      <c r="D23" s="48">
        <v>806.92000000000007</v>
      </c>
      <c r="E23" s="48">
        <v>806.92000000000007</v>
      </c>
    </row>
    <row r="24" spans="2:6" x14ac:dyDescent="0.3">
      <c r="B24" t="s">
        <v>120</v>
      </c>
      <c r="D24" s="48">
        <v>319.46499999999997</v>
      </c>
      <c r="E24" s="48">
        <v>319.46499999999997</v>
      </c>
    </row>
    <row r="25" spans="2:6" x14ac:dyDescent="0.3">
      <c r="B25" t="s">
        <v>92</v>
      </c>
      <c r="D25" s="48">
        <v>43.480000000000004</v>
      </c>
      <c r="E25" s="48">
        <v>43.480000000000004</v>
      </c>
      <c r="F25">
        <v>40</v>
      </c>
    </row>
    <row r="26" spans="2:6" x14ac:dyDescent="0.3">
      <c r="B26" t="s">
        <v>81</v>
      </c>
      <c r="D26" s="135">
        <v>1873.1699999999998</v>
      </c>
      <c r="E26" s="48">
        <v>1873.1699999999998</v>
      </c>
      <c r="F26">
        <v>930</v>
      </c>
    </row>
    <row r="27" spans="2:6" x14ac:dyDescent="0.3">
      <c r="B27" t="s">
        <v>121</v>
      </c>
      <c r="C27" s="48">
        <v>21</v>
      </c>
      <c r="D27" s="48">
        <v>277</v>
      </c>
      <c r="E27" s="48">
        <v>298</v>
      </c>
    </row>
    <row r="28" spans="2:6" x14ac:dyDescent="0.3">
      <c r="B28" t="s">
        <v>96</v>
      </c>
      <c r="C28" s="48">
        <v>42</v>
      </c>
      <c r="D28" s="48">
        <v>298.435</v>
      </c>
      <c r="E28" s="48">
        <v>340.435</v>
      </c>
      <c r="F28" s="48">
        <v>100</v>
      </c>
    </row>
    <row r="29" spans="2:6" x14ac:dyDescent="0.3">
      <c r="B29" t="s">
        <v>122</v>
      </c>
      <c r="D29" s="48">
        <v>190.57</v>
      </c>
      <c r="E29" s="48">
        <v>190.57</v>
      </c>
    </row>
    <row r="30" spans="2:6" x14ac:dyDescent="0.3">
      <c r="B30" t="s">
        <v>97</v>
      </c>
      <c r="D30" s="48">
        <v>2510.3450000000003</v>
      </c>
      <c r="E30" s="48">
        <v>2510.3450000000003</v>
      </c>
      <c r="F30">
        <v>930</v>
      </c>
    </row>
    <row r="31" spans="2:6" x14ac:dyDescent="0.3">
      <c r="B31" t="s">
        <v>64</v>
      </c>
      <c r="D31" s="48">
        <v>474.51</v>
      </c>
      <c r="E31" s="137">
        <v>474.51</v>
      </c>
    </row>
    <row r="32" spans="2:6" x14ac:dyDescent="0.3">
      <c r="B32" t="s">
        <v>67</v>
      </c>
      <c r="D32" s="48">
        <v>65.06</v>
      </c>
      <c r="E32" s="137">
        <v>65.06</v>
      </c>
    </row>
    <row r="33" spans="1:5" x14ac:dyDescent="0.3">
      <c r="A33" t="s">
        <v>1556</v>
      </c>
      <c r="C33" s="48">
        <v>1150</v>
      </c>
      <c r="D33" s="48">
        <v>14154.189999999999</v>
      </c>
      <c r="E33" s="48">
        <v>15304.189999999999</v>
      </c>
    </row>
    <row r="34" spans="1:5" x14ac:dyDescent="0.3">
      <c r="A34" t="s">
        <v>44</v>
      </c>
      <c r="B34" t="s">
        <v>113</v>
      </c>
      <c r="D34" s="48">
        <v>269.71499999999997</v>
      </c>
      <c r="E34" s="48">
        <v>269.71499999999997</v>
      </c>
    </row>
    <row r="35" spans="1:5" x14ac:dyDescent="0.3">
      <c r="B35" t="s">
        <v>91</v>
      </c>
      <c r="D35" s="137">
        <v>308</v>
      </c>
      <c r="E35" s="48">
        <v>308</v>
      </c>
    </row>
    <row r="36" spans="1:5" x14ac:dyDescent="0.3">
      <c r="B36" t="s">
        <v>1435</v>
      </c>
      <c r="D36" s="137">
        <v>145</v>
      </c>
      <c r="E36" s="48">
        <v>145</v>
      </c>
    </row>
    <row r="37" spans="1:5" x14ac:dyDescent="0.3">
      <c r="B37" s="138" t="s">
        <v>1396</v>
      </c>
      <c r="D37" s="48">
        <v>112</v>
      </c>
      <c r="E37" s="48">
        <v>112</v>
      </c>
    </row>
    <row r="38" spans="1:5" x14ac:dyDescent="0.3">
      <c r="B38" t="s">
        <v>118</v>
      </c>
      <c r="D38" s="137">
        <v>218.595</v>
      </c>
      <c r="E38" s="48">
        <v>218.595</v>
      </c>
    </row>
    <row r="39" spans="1:5" x14ac:dyDescent="0.3">
      <c r="B39" t="s">
        <v>81</v>
      </c>
      <c r="D39" s="137">
        <v>252</v>
      </c>
      <c r="E39" s="48">
        <v>252</v>
      </c>
    </row>
    <row r="40" spans="1:5" x14ac:dyDescent="0.3">
      <c r="B40" t="s">
        <v>127</v>
      </c>
      <c r="D40" s="48">
        <v>58</v>
      </c>
      <c r="E40" s="48">
        <v>58</v>
      </c>
    </row>
    <row r="41" spans="1:5" x14ac:dyDescent="0.3">
      <c r="B41" s="138" t="s">
        <v>96</v>
      </c>
      <c r="D41" s="48">
        <v>175.16</v>
      </c>
      <c r="E41" s="48">
        <v>175.16</v>
      </c>
    </row>
    <row r="42" spans="1:5" x14ac:dyDescent="0.3">
      <c r="B42" t="s">
        <v>97</v>
      </c>
      <c r="D42" s="137">
        <v>140</v>
      </c>
      <c r="E42" s="48">
        <v>140</v>
      </c>
    </row>
    <row r="43" spans="1:5" x14ac:dyDescent="0.3">
      <c r="A43" t="s">
        <v>1557</v>
      </c>
      <c r="D43" s="48">
        <v>1678.47</v>
      </c>
      <c r="E43" s="48">
        <v>1678.47</v>
      </c>
    </row>
    <row r="44" spans="1:5" x14ac:dyDescent="0.3">
      <c r="A44" t="s">
        <v>46</v>
      </c>
      <c r="B44" t="s">
        <v>124</v>
      </c>
      <c r="D44" s="48">
        <v>350</v>
      </c>
      <c r="E44" s="48">
        <v>350</v>
      </c>
    </row>
    <row r="45" spans="1:5" x14ac:dyDescent="0.3">
      <c r="B45" t="s">
        <v>125</v>
      </c>
      <c r="D45" s="48">
        <v>23</v>
      </c>
      <c r="E45" s="48">
        <v>23</v>
      </c>
    </row>
    <row r="46" spans="1:5" x14ac:dyDescent="0.3">
      <c r="B46" t="s">
        <v>91</v>
      </c>
      <c r="D46" s="48">
        <v>633.63000000000011</v>
      </c>
      <c r="E46" s="48">
        <v>633.63000000000011</v>
      </c>
    </row>
    <row r="47" spans="1:5" x14ac:dyDescent="0.3">
      <c r="B47" t="s">
        <v>126</v>
      </c>
      <c r="D47" s="48">
        <v>478</v>
      </c>
      <c r="E47" s="48">
        <v>478</v>
      </c>
    </row>
    <row r="48" spans="1:5" x14ac:dyDescent="0.3">
      <c r="B48" t="s">
        <v>823</v>
      </c>
      <c r="D48" s="48">
        <v>4.4800000000000004</v>
      </c>
      <c r="E48" s="48">
        <v>4.4800000000000004</v>
      </c>
    </row>
    <row r="49" spans="1:5" x14ac:dyDescent="0.3">
      <c r="B49" t="s">
        <v>127</v>
      </c>
      <c r="D49" s="48">
        <v>92</v>
      </c>
      <c r="E49" s="48">
        <v>92</v>
      </c>
    </row>
    <row r="50" spans="1:5" x14ac:dyDescent="0.3">
      <c r="B50" t="s">
        <v>605</v>
      </c>
      <c r="D50" s="48">
        <v>18.59</v>
      </c>
      <c r="E50" s="48">
        <v>18.59</v>
      </c>
    </row>
    <row r="51" spans="1:5" x14ac:dyDescent="0.3">
      <c r="A51" t="s">
        <v>1558</v>
      </c>
      <c r="D51" s="48">
        <v>1599.7</v>
      </c>
      <c r="E51" s="48">
        <v>1599.7</v>
      </c>
    </row>
    <row r="52" spans="1:5" x14ac:dyDescent="0.3">
      <c r="A52" t="s">
        <v>52</v>
      </c>
      <c r="C52" s="48">
        <v>1318</v>
      </c>
      <c r="D52" s="48">
        <v>18685.635000000002</v>
      </c>
      <c r="E52" s="48">
        <v>20003.635000000002</v>
      </c>
    </row>
    <row r="53" spans="1:5" x14ac:dyDescent="0.3">
      <c r="C53"/>
    </row>
    <row r="54" spans="1:5" x14ac:dyDescent="0.3">
      <c r="C54"/>
    </row>
    <row r="55" spans="1:5" x14ac:dyDescent="0.3">
      <c r="C55"/>
    </row>
    <row r="56" spans="1:5" x14ac:dyDescent="0.3">
      <c r="C56"/>
    </row>
    <row r="57" spans="1:5" x14ac:dyDescent="0.3">
      <c r="C57"/>
    </row>
    <row r="58" spans="1:5" x14ac:dyDescent="0.3">
      <c r="C58"/>
    </row>
    <row r="59" spans="1:5" x14ac:dyDescent="0.3">
      <c r="C59"/>
    </row>
    <row r="60" spans="1:5" x14ac:dyDescent="0.3">
      <c r="C60"/>
    </row>
    <row r="61" spans="1:5" x14ac:dyDescent="0.3">
      <c r="C61"/>
    </row>
    <row r="62" spans="1:5" x14ac:dyDescent="0.3">
      <c r="C62"/>
    </row>
    <row r="63" spans="1:5" x14ac:dyDescent="0.3">
      <c r="C63"/>
    </row>
    <row r="64" spans="1:5"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row r="179" spans="3:3" x14ac:dyDescent="0.3">
      <c r="C179"/>
    </row>
    <row r="180" spans="3:3" x14ac:dyDescent="0.3">
      <c r="C180"/>
    </row>
    <row r="181" spans="3:3" x14ac:dyDescent="0.3">
      <c r="C181"/>
    </row>
    <row r="182" spans="3:3" x14ac:dyDescent="0.3">
      <c r="C182"/>
    </row>
    <row r="183" spans="3:3" x14ac:dyDescent="0.3">
      <c r="C183"/>
    </row>
    <row r="184" spans="3:3" x14ac:dyDescent="0.3">
      <c r="C184"/>
    </row>
    <row r="185" spans="3:3" x14ac:dyDescent="0.3">
      <c r="C185"/>
    </row>
    <row r="186" spans="3:3" x14ac:dyDescent="0.3">
      <c r="C186"/>
    </row>
    <row r="187" spans="3:3" x14ac:dyDescent="0.3">
      <c r="C187"/>
    </row>
    <row r="188" spans="3:3" x14ac:dyDescent="0.3">
      <c r="C188"/>
    </row>
    <row r="189" spans="3:3" x14ac:dyDescent="0.3">
      <c r="C189"/>
    </row>
    <row r="190" spans="3:3" x14ac:dyDescent="0.3">
      <c r="C190"/>
    </row>
    <row r="191" spans="3:3" x14ac:dyDescent="0.3">
      <c r="C191"/>
    </row>
    <row r="192" spans="3:3" x14ac:dyDescent="0.3">
      <c r="C192"/>
    </row>
    <row r="193" spans="3:3" x14ac:dyDescent="0.3">
      <c r="C193"/>
    </row>
    <row r="194" spans="3:3" x14ac:dyDescent="0.3">
      <c r="C194"/>
    </row>
    <row r="195" spans="3:3" x14ac:dyDescent="0.3">
      <c r="C195"/>
    </row>
    <row r="196" spans="3:3" x14ac:dyDescent="0.3">
      <c r="C196"/>
    </row>
    <row r="197" spans="3:3" x14ac:dyDescent="0.3">
      <c r="C197"/>
    </row>
    <row r="198" spans="3:3" x14ac:dyDescent="0.3">
      <c r="C198"/>
    </row>
    <row r="199" spans="3:3" x14ac:dyDescent="0.3">
      <c r="C199"/>
    </row>
    <row r="200" spans="3:3" x14ac:dyDescent="0.3">
      <c r="C200"/>
    </row>
    <row r="201" spans="3:3" x14ac:dyDescent="0.3">
      <c r="C201"/>
    </row>
    <row r="202" spans="3:3" x14ac:dyDescent="0.3">
      <c r="C202"/>
    </row>
    <row r="203" spans="3:3" x14ac:dyDescent="0.3">
      <c r="C203"/>
    </row>
    <row r="204" spans="3:3" x14ac:dyDescent="0.3">
      <c r="C204"/>
    </row>
    <row r="205" spans="3:3" x14ac:dyDescent="0.3">
      <c r="C205"/>
    </row>
    <row r="206" spans="3:3" x14ac:dyDescent="0.3">
      <c r="C206"/>
    </row>
    <row r="207" spans="3:3" x14ac:dyDescent="0.3">
      <c r="C207"/>
    </row>
    <row r="208" spans="3:3" x14ac:dyDescent="0.3">
      <c r="C208"/>
    </row>
    <row r="209" spans="3:3" x14ac:dyDescent="0.3">
      <c r="C209"/>
    </row>
    <row r="210" spans="3:3" x14ac:dyDescent="0.3">
      <c r="C210"/>
    </row>
    <row r="211" spans="3:3" x14ac:dyDescent="0.3">
      <c r="C211"/>
    </row>
    <row r="212" spans="3:3" x14ac:dyDescent="0.3">
      <c r="C212"/>
    </row>
    <row r="213" spans="3:3" x14ac:dyDescent="0.3">
      <c r="C213"/>
    </row>
    <row r="214" spans="3:3" x14ac:dyDescent="0.3">
      <c r="C214"/>
    </row>
    <row r="215" spans="3:3" x14ac:dyDescent="0.3">
      <c r="C215"/>
    </row>
    <row r="216" spans="3:3" x14ac:dyDescent="0.3">
      <c r="C216"/>
    </row>
    <row r="217" spans="3:3" x14ac:dyDescent="0.3">
      <c r="C2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92D050"/>
  </sheetPr>
  <dimension ref="A1:AY961"/>
  <sheetViews>
    <sheetView showGridLines="0" topLeftCell="I1" zoomScale="90" zoomScaleNormal="90" workbookViewId="0">
      <pane ySplit="1" topLeftCell="A2" activePane="bottomLeft" state="frozen"/>
      <selection pane="bottomLeft" activeCell="R2" sqref="R2"/>
    </sheetView>
  </sheetViews>
  <sheetFormatPr defaultColWidth="8.77734375" defaultRowHeight="15" customHeight="1" x14ac:dyDescent="0.25"/>
  <cols>
    <col min="1" max="1" width="5" style="87" customWidth="1"/>
    <col min="2" max="2" width="10.21875" style="88" bestFit="1" customWidth="1"/>
    <col min="3" max="3" width="8" style="87" customWidth="1"/>
    <col min="4" max="4" width="9" style="95" customWidth="1"/>
    <col min="5" max="5" width="4" style="89" customWidth="1"/>
    <col min="6" max="6" width="13.77734375" style="87" customWidth="1"/>
    <col min="7" max="7" width="13.44140625" style="87" customWidth="1"/>
    <col min="8" max="8" width="13.5546875" style="87" hidden="1" customWidth="1"/>
    <col min="9" max="9" width="6.21875" style="87" customWidth="1"/>
    <col min="10" max="10" width="14" style="87" customWidth="1"/>
    <col min="11" max="11" width="8" style="87" customWidth="1"/>
    <col min="12" max="12" width="6.44140625" style="91" customWidth="1"/>
    <col min="13" max="13" width="6.21875" style="95" customWidth="1"/>
    <col min="14" max="14" width="9.77734375" style="89" hidden="1" customWidth="1"/>
    <col min="15" max="15" width="25.21875" style="92" hidden="1" customWidth="1"/>
    <col min="16" max="16" width="13.5546875" style="93" customWidth="1"/>
    <col min="17" max="17" width="7.5546875" style="87" customWidth="1"/>
    <col min="18" max="18" width="17.21875" style="87" customWidth="1"/>
    <col min="19" max="19" width="6.21875" style="87" customWidth="1"/>
    <col min="20" max="20" width="7.44140625" style="87" customWidth="1"/>
    <col min="21" max="21" width="27.5546875" style="90" customWidth="1"/>
    <col min="22" max="22" width="9.33203125" style="87" customWidth="1"/>
    <col min="23" max="23" width="31.21875" style="89" customWidth="1"/>
    <col min="24" max="24" width="6.21875" style="89" customWidth="1"/>
    <col min="25" max="25" width="14.21875" style="89" customWidth="1"/>
    <col min="26" max="28" width="7.5546875" style="89" customWidth="1"/>
    <col min="29" max="29" width="5.77734375" style="94" customWidth="1"/>
    <col min="30" max="30" width="6.21875" style="89" customWidth="1"/>
    <col min="31" max="31" width="6.21875" style="87" customWidth="1"/>
    <col min="32" max="32" width="5.44140625" style="94" customWidth="1"/>
    <col min="33" max="33" width="5" style="89" customWidth="1"/>
    <col min="34" max="34" width="6.21875" style="89" customWidth="1"/>
    <col min="35" max="35" width="6.77734375" style="89" customWidth="1"/>
    <col min="36" max="36" width="5.44140625" style="89" customWidth="1"/>
    <col min="37" max="37" width="8.77734375" style="129" customWidth="1"/>
    <col min="38" max="38" width="6.5546875" style="89" customWidth="1"/>
    <col min="39" max="39" width="6.44140625" style="89" customWidth="1"/>
    <col min="40" max="40" width="7.77734375" style="89" customWidth="1"/>
    <col min="41" max="44" width="6.44140625" style="89" customWidth="1"/>
    <col min="45" max="45" width="6.77734375" style="89" customWidth="1"/>
    <col min="46" max="50" width="6.44140625" style="89" customWidth="1"/>
    <col min="51" max="51" width="8.77734375" style="89" customWidth="1"/>
    <col min="52" max="16384" width="8.77734375" style="110"/>
  </cols>
  <sheetData>
    <row r="1" spans="1:51" s="76" customFormat="1" ht="47.1" customHeight="1" x14ac:dyDescent="0.3">
      <c r="A1" s="53" t="s">
        <v>134</v>
      </c>
      <c r="B1" s="54" t="s">
        <v>135</v>
      </c>
      <c r="C1" s="55" t="s">
        <v>136</v>
      </c>
      <c r="D1" s="56" t="s">
        <v>137</v>
      </c>
      <c r="E1" s="56" t="s">
        <v>138</v>
      </c>
      <c r="F1" s="57" t="s">
        <v>139</v>
      </c>
      <c r="G1" s="58" t="s">
        <v>140</v>
      </c>
      <c r="H1" s="58" t="s">
        <v>53</v>
      </c>
      <c r="I1" s="59" t="s">
        <v>4</v>
      </c>
      <c r="J1" s="60" t="s">
        <v>5</v>
      </c>
      <c r="K1" s="60" t="s">
        <v>141</v>
      </c>
      <c r="L1" s="61" t="s">
        <v>142</v>
      </c>
      <c r="M1" s="100" t="s">
        <v>0</v>
      </c>
      <c r="N1" s="62" t="s">
        <v>143</v>
      </c>
      <c r="O1" s="63" t="s">
        <v>144</v>
      </c>
      <c r="P1" s="60" t="s">
        <v>145</v>
      </c>
      <c r="Q1" s="64" t="s">
        <v>146</v>
      </c>
      <c r="R1" s="65" t="s">
        <v>147</v>
      </c>
      <c r="S1" s="66" t="s">
        <v>148</v>
      </c>
      <c r="T1" s="64" t="s">
        <v>149</v>
      </c>
      <c r="U1" s="67" t="s">
        <v>56</v>
      </c>
      <c r="V1" s="56" t="s">
        <v>150</v>
      </c>
      <c r="W1" s="68" t="s">
        <v>151</v>
      </c>
      <c r="X1" s="68" t="s">
        <v>152</v>
      </c>
      <c r="Y1" s="68" t="s">
        <v>153</v>
      </c>
      <c r="Z1" s="68" t="s">
        <v>154</v>
      </c>
      <c r="AA1" s="68" t="s">
        <v>155</v>
      </c>
      <c r="AB1" s="78" t="s">
        <v>156</v>
      </c>
      <c r="AC1" s="56" t="s">
        <v>157</v>
      </c>
      <c r="AD1" s="64" t="s">
        <v>158</v>
      </c>
      <c r="AE1" s="64" t="s">
        <v>159</v>
      </c>
      <c r="AF1" s="69" t="s">
        <v>160</v>
      </c>
      <c r="AG1" s="70" t="s">
        <v>161</v>
      </c>
      <c r="AH1" s="70" t="s">
        <v>162</v>
      </c>
      <c r="AI1" s="70" t="s">
        <v>163</v>
      </c>
      <c r="AJ1" s="70" t="s">
        <v>164</v>
      </c>
      <c r="AK1" s="128" t="s">
        <v>879</v>
      </c>
      <c r="AL1" s="71" t="s">
        <v>1479</v>
      </c>
      <c r="AM1" s="72" t="s">
        <v>166</v>
      </c>
      <c r="AN1" s="73" t="s">
        <v>873</v>
      </c>
      <c r="AO1" s="73" t="s">
        <v>1733</v>
      </c>
      <c r="AP1" s="73" t="s">
        <v>1734</v>
      </c>
      <c r="AQ1" s="73" t="s">
        <v>1735</v>
      </c>
      <c r="AR1" s="73" t="s">
        <v>1736</v>
      </c>
      <c r="AS1" s="74" t="s">
        <v>167</v>
      </c>
      <c r="AT1" s="139" t="s">
        <v>874</v>
      </c>
      <c r="AU1" s="139" t="s">
        <v>1737</v>
      </c>
      <c r="AV1" s="139" t="s">
        <v>1738</v>
      </c>
      <c r="AW1" s="139" t="s">
        <v>1739</v>
      </c>
      <c r="AX1" s="139" t="s">
        <v>1740</v>
      </c>
      <c r="AY1" s="75" t="s">
        <v>1746</v>
      </c>
    </row>
    <row r="2" spans="1:51" ht="15" customHeight="1" x14ac:dyDescent="0.25">
      <c r="A2" s="9">
        <v>744</v>
      </c>
      <c r="B2" s="13">
        <v>45680</v>
      </c>
      <c r="C2" s="9" t="s">
        <v>169</v>
      </c>
      <c r="D2" s="9">
        <v>9518454162</v>
      </c>
      <c r="E2" s="8">
        <v>2</v>
      </c>
      <c r="F2" s="9" t="s">
        <v>351</v>
      </c>
      <c r="G2" s="9" t="s">
        <v>1303</v>
      </c>
      <c r="H2" s="9" t="s">
        <v>57</v>
      </c>
      <c r="I2" s="9" t="s">
        <v>48</v>
      </c>
      <c r="J2" s="9" t="s">
        <v>39</v>
      </c>
      <c r="K2" s="9" t="s">
        <v>233</v>
      </c>
      <c r="L2" s="39"/>
      <c r="M2" s="7" t="s">
        <v>1</v>
      </c>
      <c r="N2" s="8"/>
      <c r="O2" s="40"/>
      <c r="P2" s="15" t="s">
        <v>220</v>
      </c>
      <c r="Q2" s="9" t="s">
        <v>264</v>
      </c>
      <c r="R2" s="9" t="s">
        <v>1568</v>
      </c>
      <c r="S2" s="9" t="s">
        <v>858</v>
      </c>
      <c r="T2" s="9">
        <v>941597</v>
      </c>
      <c r="U2" s="16" t="s">
        <v>106</v>
      </c>
      <c r="V2" s="9">
        <v>1633706</v>
      </c>
      <c r="W2" s="8" t="s">
        <v>347</v>
      </c>
      <c r="X2" s="8" t="s">
        <v>317</v>
      </c>
      <c r="Y2" s="8" t="s">
        <v>352</v>
      </c>
      <c r="Z2" s="8">
        <v>3</v>
      </c>
      <c r="AA2" s="8">
        <v>5</v>
      </c>
      <c r="AB2" s="8" t="s">
        <v>176</v>
      </c>
      <c r="AC2" s="8" t="s">
        <v>228</v>
      </c>
      <c r="AD2" s="14" t="s">
        <v>229</v>
      </c>
      <c r="AE2" s="8" t="s">
        <v>342</v>
      </c>
      <c r="AF2" s="14">
        <v>0.42</v>
      </c>
      <c r="AG2" s="8">
        <v>1220</v>
      </c>
      <c r="AH2" s="8">
        <v>0</v>
      </c>
      <c r="AI2" s="8">
        <v>140</v>
      </c>
      <c r="AJ2" s="8">
        <v>115.745</v>
      </c>
      <c r="AK2" s="127">
        <v>0</v>
      </c>
      <c r="AL2" s="103">
        <v>0</v>
      </c>
      <c r="AM2" s="8">
        <v>24.254999999999999</v>
      </c>
      <c r="AN2" s="21">
        <v>0</v>
      </c>
      <c r="AO2" s="21">
        <v>0</v>
      </c>
      <c r="AP2" s="21">
        <v>24.254999999999999</v>
      </c>
      <c r="AQ2" s="21">
        <v>0</v>
      </c>
      <c r="AR2" s="21">
        <v>0</v>
      </c>
      <c r="AS2" s="8">
        <v>24.254999999999999</v>
      </c>
      <c r="AT2" s="21">
        <v>0</v>
      </c>
      <c r="AU2" s="21">
        <v>0</v>
      </c>
      <c r="AV2" s="21">
        <v>24.254999999999999</v>
      </c>
      <c r="AW2" s="21">
        <v>0</v>
      </c>
      <c r="AX2" s="21">
        <v>0</v>
      </c>
      <c r="AY2" s="8">
        <v>0</v>
      </c>
    </row>
    <row r="3" spans="1:51" ht="15" customHeight="1" x14ac:dyDescent="0.25">
      <c r="A3" s="9">
        <v>742</v>
      </c>
      <c r="B3" s="13">
        <v>45660</v>
      </c>
      <c r="C3" s="9" t="s">
        <v>169</v>
      </c>
      <c r="D3" s="9">
        <v>9518403237</v>
      </c>
      <c r="E3" s="8">
        <v>8</v>
      </c>
      <c r="F3" s="9" t="s">
        <v>375</v>
      </c>
      <c r="G3" s="9" t="s">
        <v>1687</v>
      </c>
      <c r="H3" s="9" t="s">
        <v>57</v>
      </c>
      <c r="I3" s="9" t="s">
        <v>25</v>
      </c>
      <c r="J3" s="9" t="s">
        <v>31</v>
      </c>
      <c r="K3" s="9">
        <v>2000</v>
      </c>
      <c r="L3" s="39"/>
      <c r="M3" s="7" t="s">
        <v>1</v>
      </c>
      <c r="N3" s="8"/>
      <c r="O3" s="40"/>
      <c r="P3" s="15" t="s">
        <v>220</v>
      </c>
      <c r="Q3" s="9" t="s">
        <v>180</v>
      </c>
      <c r="R3" s="9" t="s">
        <v>1569</v>
      </c>
      <c r="S3" s="9" t="s">
        <v>859</v>
      </c>
      <c r="T3" s="9">
        <v>121328</v>
      </c>
      <c r="U3" s="16" t="s">
        <v>81</v>
      </c>
      <c r="V3" s="9">
        <v>3239572</v>
      </c>
      <c r="W3" s="8" t="s">
        <v>376</v>
      </c>
      <c r="X3" s="8" t="s">
        <v>175</v>
      </c>
      <c r="Y3" s="8"/>
      <c r="Z3" s="8"/>
      <c r="AA3" s="8"/>
      <c r="AB3" s="8" t="s">
        <v>183</v>
      </c>
      <c r="AC3" s="8" t="s">
        <v>210</v>
      </c>
      <c r="AD3" s="14" t="s">
        <v>211</v>
      </c>
      <c r="AE3" s="8" t="s">
        <v>212</v>
      </c>
      <c r="AF3" s="14">
        <v>0.48</v>
      </c>
      <c r="AG3" s="8">
        <v>1000</v>
      </c>
      <c r="AH3" s="8">
        <v>2500</v>
      </c>
      <c r="AI3" s="8">
        <v>24</v>
      </c>
      <c r="AJ3" s="8">
        <v>0</v>
      </c>
      <c r="AK3" s="127">
        <v>0</v>
      </c>
      <c r="AL3" s="103">
        <v>2.8849999999999998</v>
      </c>
      <c r="AM3" s="8">
        <v>0</v>
      </c>
      <c r="AN3" s="21">
        <v>0</v>
      </c>
      <c r="AO3" s="21">
        <v>0</v>
      </c>
      <c r="AP3" s="21">
        <v>0</v>
      </c>
      <c r="AQ3" s="21">
        <v>0</v>
      </c>
      <c r="AR3" s="21">
        <v>0</v>
      </c>
      <c r="AS3" s="8">
        <v>2.8849999999999998</v>
      </c>
      <c r="AT3" s="21">
        <v>2.8849999999999998</v>
      </c>
      <c r="AU3" s="21">
        <v>0</v>
      </c>
      <c r="AV3" s="21">
        <v>0</v>
      </c>
      <c r="AW3" s="21">
        <v>0</v>
      </c>
      <c r="AX3" s="21">
        <v>0</v>
      </c>
      <c r="AY3" s="8">
        <v>0</v>
      </c>
    </row>
    <row r="4" spans="1:51" ht="15" customHeight="1" x14ac:dyDescent="0.25">
      <c r="A4" s="9">
        <v>744</v>
      </c>
      <c r="B4" s="13">
        <v>45680</v>
      </c>
      <c r="C4" s="9" t="s">
        <v>169</v>
      </c>
      <c r="D4" s="9">
        <v>9518453235</v>
      </c>
      <c r="E4" s="8">
        <v>7</v>
      </c>
      <c r="F4" s="9" t="s">
        <v>393</v>
      </c>
      <c r="G4" s="9" t="s">
        <v>1303</v>
      </c>
      <c r="H4" s="9" t="s">
        <v>57</v>
      </c>
      <c r="I4" s="9" t="s">
        <v>48</v>
      </c>
      <c r="J4" s="9" t="s">
        <v>39</v>
      </c>
      <c r="K4" s="9">
        <v>1000</v>
      </c>
      <c r="L4" s="39"/>
      <c r="M4" s="7" t="s">
        <v>1</v>
      </c>
      <c r="N4" s="8"/>
      <c r="O4" s="40"/>
      <c r="P4" s="15" t="s">
        <v>220</v>
      </c>
      <c r="Q4" s="9" t="s">
        <v>264</v>
      </c>
      <c r="R4" s="9" t="s">
        <v>225</v>
      </c>
      <c r="S4" s="9" t="s">
        <v>858</v>
      </c>
      <c r="T4" s="9">
        <v>940016</v>
      </c>
      <c r="U4" s="16" t="s">
        <v>133</v>
      </c>
      <c r="V4" s="9">
        <v>3883538</v>
      </c>
      <c r="W4" s="8" t="s">
        <v>226</v>
      </c>
      <c r="X4" s="8">
        <v>70</v>
      </c>
      <c r="Y4" s="8" t="s">
        <v>333</v>
      </c>
      <c r="Z4" s="8"/>
      <c r="AA4" s="8"/>
      <c r="AB4" s="8" t="s">
        <v>176</v>
      </c>
      <c r="AC4" s="8" t="s">
        <v>228</v>
      </c>
      <c r="AD4" s="14" t="s">
        <v>229</v>
      </c>
      <c r="AE4" s="8" t="s">
        <v>230</v>
      </c>
      <c r="AF4" s="14">
        <v>0.3</v>
      </c>
      <c r="AG4" s="8">
        <v>1220</v>
      </c>
      <c r="AH4" s="8">
        <v>0</v>
      </c>
      <c r="AI4" s="8">
        <v>28</v>
      </c>
      <c r="AJ4" s="8">
        <v>0</v>
      </c>
      <c r="AK4" s="127">
        <v>0</v>
      </c>
      <c r="AL4" s="103">
        <v>0</v>
      </c>
      <c r="AM4" s="8">
        <v>28</v>
      </c>
      <c r="AN4" s="21">
        <v>0</v>
      </c>
      <c r="AO4" s="21">
        <v>0</v>
      </c>
      <c r="AP4" s="21">
        <v>28</v>
      </c>
      <c r="AQ4" s="21">
        <v>0</v>
      </c>
      <c r="AR4" s="21">
        <v>0</v>
      </c>
      <c r="AS4" s="8">
        <v>28</v>
      </c>
      <c r="AT4" s="21">
        <v>0</v>
      </c>
      <c r="AU4" s="21">
        <v>0</v>
      </c>
      <c r="AV4" s="21">
        <v>28</v>
      </c>
      <c r="AW4" s="21">
        <v>0</v>
      </c>
      <c r="AX4" s="21">
        <v>0</v>
      </c>
      <c r="AY4" s="8">
        <v>0</v>
      </c>
    </row>
    <row r="5" spans="1:51" ht="15" customHeight="1" x14ac:dyDescent="0.25">
      <c r="A5" s="9">
        <v>744</v>
      </c>
      <c r="B5" s="13">
        <v>45710</v>
      </c>
      <c r="C5" s="9" t="s">
        <v>169</v>
      </c>
      <c r="D5" s="9">
        <v>9518543125</v>
      </c>
      <c r="E5" s="8">
        <v>6</v>
      </c>
      <c r="F5" s="9" t="s">
        <v>402</v>
      </c>
      <c r="G5" s="9" t="s">
        <v>1303</v>
      </c>
      <c r="H5" s="9" t="s">
        <v>57</v>
      </c>
      <c r="I5" s="9" t="s">
        <v>48</v>
      </c>
      <c r="J5" s="9" t="s">
        <v>39</v>
      </c>
      <c r="K5" s="9" t="s">
        <v>233</v>
      </c>
      <c r="L5" s="39"/>
      <c r="M5" s="7" t="s">
        <v>1</v>
      </c>
      <c r="N5" s="8"/>
      <c r="O5" s="40"/>
      <c r="P5" s="15" t="s">
        <v>220</v>
      </c>
      <c r="Q5" s="9" t="s">
        <v>264</v>
      </c>
      <c r="R5" s="9" t="s">
        <v>225</v>
      </c>
      <c r="S5" s="9" t="s">
        <v>858</v>
      </c>
      <c r="T5" s="9">
        <v>940016</v>
      </c>
      <c r="U5" s="16" t="s">
        <v>133</v>
      </c>
      <c r="V5" s="9">
        <v>3883538</v>
      </c>
      <c r="W5" s="8" t="s">
        <v>226</v>
      </c>
      <c r="X5" s="8" t="s">
        <v>236</v>
      </c>
      <c r="Y5" s="8" t="s">
        <v>403</v>
      </c>
      <c r="Z5" s="8">
        <v>3</v>
      </c>
      <c r="AA5" s="8">
        <v>5</v>
      </c>
      <c r="AB5" s="8" t="s">
        <v>176</v>
      </c>
      <c r="AC5" s="8" t="s">
        <v>228</v>
      </c>
      <c r="AD5" s="14" t="s">
        <v>229</v>
      </c>
      <c r="AE5" s="8" t="s">
        <v>230</v>
      </c>
      <c r="AF5" s="14">
        <v>0.3</v>
      </c>
      <c r="AG5" s="8">
        <v>1220</v>
      </c>
      <c r="AH5" s="8">
        <v>0</v>
      </c>
      <c r="AI5" s="8">
        <v>28</v>
      </c>
      <c r="AJ5" s="8">
        <v>0</v>
      </c>
      <c r="AK5" s="127">
        <v>28</v>
      </c>
      <c r="AL5" s="103">
        <v>0</v>
      </c>
      <c r="AM5" s="8">
        <v>28</v>
      </c>
      <c r="AN5" s="21">
        <v>0</v>
      </c>
      <c r="AO5" s="21">
        <v>0</v>
      </c>
      <c r="AP5" s="21">
        <v>28</v>
      </c>
      <c r="AQ5" s="21">
        <v>0</v>
      </c>
      <c r="AR5" s="21">
        <v>0</v>
      </c>
      <c r="AS5" s="8">
        <v>28</v>
      </c>
      <c r="AT5" s="21">
        <v>0</v>
      </c>
      <c r="AU5" s="21">
        <v>0</v>
      </c>
      <c r="AV5" s="21">
        <v>28</v>
      </c>
      <c r="AW5" s="21">
        <v>0</v>
      </c>
      <c r="AX5" s="21">
        <v>0</v>
      </c>
      <c r="AY5" s="8">
        <v>0</v>
      </c>
    </row>
    <row r="6" spans="1:51" ht="15" customHeight="1" x14ac:dyDescent="0.3">
      <c r="A6" s="9">
        <v>743</v>
      </c>
      <c r="B6" s="13">
        <v>45691</v>
      </c>
      <c r="C6" s="9" t="s">
        <v>169</v>
      </c>
      <c r="D6" s="9">
        <v>9518489859</v>
      </c>
      <c r="E6" s="8">
        <v>3</v>
      </c>
      <c r="F6" s="9" t="s">
        <v>405</v>
      </c>
      <c r="G6" s="9" t="s">
        <v>314</v>
      </c>
      <c r="H6" s="9" t="s">
        <v>57</v>
      </c>
      <c r="I6" s="9" t="s">
        <v>43</v>
      </c>
      <c r="J6" s="9" t="s">
        <v>46</v>
      </c>
      <c r="K6" s="9" t="s">
        <v>170</v>
      </c>
      <c r="L6" s="39"/>
      <c r="M6" s="7" t="s">
        <v>1</v>
      </c>
      <c r="N6" s="8"/>
      <c r="O6" s="40"/>
      <c r="P6" s="15" t="s">
        <v>239</v>
      </c>
      <c r="Q6" s="9" t="s">
        <v>214</v>
      </c>
      <c r="R6" s="50" t="s">
        <v>240</v>
      </c>
      <c r="S6" s="9" t="s">
        <v>858</v>
      </c>
      <c r="T6" s="9">
        <v>942923</v>
      </c>
      <c r="U6" s="16" t="s">
        <v>127</v>
      </c>
      <c r="V6" s="9">
        <v>3777532</v>
      </c>
      <c r="W6" s="8" t="s">
        <v>406</v>
      </c>
      <c r="X6" s="8" t="s">
        <v>407</v>
      </c>
      <c r="Y6" s="8" t="s">
        <v>175</v>
      </c>
      <c r="Z6" s="8"/>
      <c r="AA6" s="8"/>
      <c r="AB6" s="8" t="s">
        <v>183</v>
      </c>
      <c r="AC6" s="8" t="s">
        <v>269</v>
      </c>
      <c r="AD6" s="14" t="s">
        <v>270</v>
      </c>
      <c r="AE6" s="8" t="s">
        <v>165</v>
      </c>
      <c r="AF6" s="14">
        <v>0.45</v>
      </c>
      <c r="AG6" s="8">
        <v>1015</v>
      </c>
      <c r="AH6" s="8">
        <v>0</v>
      </c>
      <c r="AI6" s="8">
        <v>23</v>
      </c>
      <c r="AJ6" s="8">
        <v>0</v>
      </c>
      <c r="AK6" s="127">
        <v>23</v>
      </c>
      <c r="AL6" s="103">
        <v>0</v>
      </c>
      <c r="AM6" s="8">
        <v>23</v>
      </c>
      <c r="AN6" s="21">
        <v>0</v>
      </c>
      <c r="AO6" s="21">
        <v>0</v>
      </c>
      <c r="AP6" s="21">
        <v>0</v>
      </c>
      <c r="AQ6" s="21">
        <v>23</v>
      </c>
      <c r="AR6" s="21">
        <v>0</v>
      </c>
      <c r="AS6" s="8">
        <v>23</v>
      </c>
      <c r="AT6" s="21">
        <v>0</v>
      </c>
      <c r="AU6" s="21">
        <v>0</v>
      </c>
      <c r="AV6" s="21">
        <v>0</v>
      </c>
      <c r="AW6" s="21">
        <v>23</v>
      </c>
      <c r="AX6" s="21">
        <v>0</v>
      </c>
      <c r="AY6" s="8">
        <v>0</v>
      </c>
    </row>
    <row r="7" spans="1:51" ht="15" customHeight="1" x14ac:dyDescent="0.3">
      <c r="A7" s="9">
        <v>743</v>
      </c>
      <c r="B7" s="13">
        <v>45694</v>
      </c>
      <c r="C7" s="9" t="s">
        <v>169</v>
      </c>
      <c r="D7" s="9">
        <v>9518498429</v>
      </c>
      <c r="E7" s="8">
        <v>1</v>
      </c>
      <c r="F7" s="9" t="s">
        <v>410</v>
      </c>
      <c r="G7" s="9" t="s">
        <v>314</v>
      </c>
      <c r="H7" s="9" t="s">
        <v>57</v>
      </c>
      <c r="I7" s="9" t="s">
        <v>43</v>
      </c>
      <c r="J7" s="9" t="s">
        <v>46</v>
      </c>
      <c r="K7" s="9" t="s">
        <v>170</v>
      </c>
      <c r="L7" s="39"/>
      <c r="M7" s="7" t="s">
        <v>1</v>
      </c>
      <c r="N7" s="8"/>
      <c r="O7" s="40"/>
      <c r="P7" s="15" t="s">
        <v>216</v>
      </c>
      <c r="Q7" s="9" t="s">
        <v>180</v>
      </c>
      <c r="R7" s="50" t="s">
        <v>267</v>
      </c>
      <c r="S7" s="9" t="s">
        <v>858</v>
      </c>
      <c r="T7" s="9">
        <v>103671</v>
      </c>
      <c r="U7" s="16" t="s">
        <v>125</v>
      </c>
      <c r="V7" s="9">
        <v>3776939</v>
      </c>
      <c r="W7" s="8" t="s">
        <v>411</v>
      </c>
      <c r="X7" s="8" t="s">
        <v>407</v>
      </c>
      <c r="Y7" s="8" t="s">
        <v>175</v>
      </c>
      <c r="Z7" s="8"/>
      <c r="AA7" s="8"/>
      <c r="AB7" s="8" t="s">
        <v>183</v>
      </c>
      <c r="AC7" s="8" t="s">
        <v>269</v>
      </c>
      <c r="AD7" s="14" t="s">
        <v>270</v>
      </c>
      <c r="AE7" s="8" t="s">
        <v>165</v>
      </c>
      <c r="AF7" s="14">
        <v>0.4</v>
      </c>
      <c r="AG7" s="8">
        <v>1015</v>
      </c>
      <c r="AH7" s="8">
        <v>0</v>
      </c>
      <c r="AI7" s="8">
        <v>23</v>
      </c>
      <c r="AJ7" s="8">
        <v>0</v>
      </c>
      <c r="AK7" s="127">
        <v>23</v>
      </c>
      <c r="AL7" s="103">
        <v>0</v>
      </c>
      <c r="AM7" s="8">
        <v>23</v>
      </c>
      <c r="AN7" s="21">
        <v>0</v>
      </c>
      <c r="AO7" s="21">
        <v>0</v>
      </c>
      <c r="AP7" s="21">
        <v>0</v>
      </c>
      <c r="AQ7" s="21">
        <v>23</v>
      </c>
      <c r="AR7" s="21">
        <v>0</v>
      </c>
      <c r="AS7" s="8">
        <v>23</v>
      </c>
      <c r="AT7" s="21">
        <v>0</v>
      </c>
      <c r="AU7" s="21">
        <v>0</v>
      </c>
      <c r="AV7" s="21">
        <v>0</v>
      </c>
      <c r="AW7" s="21">
        <v>23</v>
      </c>
      <c r="AX7" s="21">
        <v>0</v>
      </c>
      <c r="AY7" s="8">
        <v>0</v>
      </c>
    </row>
    <row r="8" spans="1:51" ht="15" customHeight="1" x14ac:dyDescent="0.3">
      <c r="A8" s="9">
        <v>743</v>
      </c>
      <c r="B8" s="13">
        <v>45692</v>
      </c>
      <c r="C8" s="9" t="s">
        <v>169</v>
      </c>
      <c r="D8" s="9">
        <v>9518493932</v>
      </c>
      <c r="E8" s="8">
        <v>1</v>
      </c>
      <c r="F8" s="9" t="s">
        <v>414</v>
      </c>
      <c r="G8" s="9" t="s">
        <v>1303</v>
      </c>
      <c r="H8" s="9" t="s">
        <v>57</v>
      </c>
      <c r="I8" s="9" t="s">
        <v>38</v>
      </c>
      <c r="J8" s="9" t="s">
        <v>41</v>
      </c>
      <c r="K8" s="9" t="s">
        <v>233</v>
      </c>
      <c r="L8" s="39"/>
      <c r="M8" s="7" t="s">
        <v>1</v>
      </c>
      <c r="N8" s="8"/>
      <c r="O8" s="40"/>
      <c r="P8" s="15" t="s">
        <v>289</v>
      </c>
      <c r="Q8" s="9" t="s">
        <v>188</v>
      </c>
      <c r="R8" s="50" t="s">
        <v>343</v>
      </c>
      <c r="S8" s="9" t="s">
        <v>858</v>
      </c>
      <c r="T8" s="9">
        <v>184591</v>
      </c>
      <c r="U8" s="16" t="s">
        <v>108</v>
      </c>
      <c r="V8" s="9">
        <v>3884496</v>
      </c>
      <c r="W8" s="8" t="s">
        <v>415</v>
      </c>
      <c r="X8" s="8" t="s">
        <v>317</v>
      </c>
      <c r="Y8" s="8"/>
      <c r="Z8" s="8">
        <v>7</v>
      </c>
      <c r="AA8" s="8">
        <v>15</v>
      </c>
      <c r="AB8" s="8" t="s">
        <v>176</v>
      </c>
      <c r="AC8" s="8" t="s">
        <v>222</v>
      </c>
      <c r="AD8" s="14" t="s">
        <v>223</v>
      </c>
      <c r="AE8" s="8" t="s">
        <v>372</v>
      </c>
      <c r="AF8" s="14">
        <v>0.9</v>
      </c>
      <c r="AG8" s="8">
        <v>1220</v>
      </c>
      <c r="AH8" s="8">
        <v>0</v>
      </c>
      <c r="AI8" s="8">
        <v>252</v>
      </c>
      <c r="AJ8" s="8">
        <v>219.09</v>
      </c>
      <c r="AK8" s="127">
        <v>32.909999999999997</v>
      </c>
      <c r="AL8" s="103">
        <v>0</v>
      </c>
      <c r="AM8" s="8">
        <v>32.909999999999997</v>
      </c>
      <c r="AN8" s="21">
        <v>0</v>
      </c>
      <c r="AO8" s="21">
        <v>0</v>
      </c>
      <c r="AP8" s="21">
        <v>32.909999999999997</v>
      </c>
      <c r="AQ8" s="21">
        <v>0</v>
      </c>
      <c r="AR8" s="21">
        <v>0</v>
      </c>
      <c r="AS8" s="8">
        <v>32.909999999999997</v>
      </c>
      <c r="AT8" s="21">
        <v>0</v>
      </c>
      <c r="AU8" s="21">
        <v>0</v>
      </c>
      <c r="AV8" s="21">
        <v>32.909999999999997</v>
      </c>
      <c r="AW8" s="21">
        <v>0</v>
      </c>
      <c r="AX8" s="21">
        <v>0</v>
      </c>
      <c r="AY8" s="8">
        <v>0</v>
      </c>
    </row>
    <row r="9" spans="1:51" ht="15" customHeight="1" x14ac:dyDescent="0.3">
      <c r="A9" s="9">
        <v>743</v>
      </c>
      <c r="B9" s="13">
        <v>45700</v>
      </c>
      <c r="C9" s="9" t="s">
        <v>169</v>
      </c>
      <c r="D9" s="9">
        <v>9518514116</v>
      </c>
      <c r="E9" s="8">
        <v>2</v>
      </c>
      <c r="F9" s="9" t="s">
        <v>420</v>
      </c>
      <c r="G9" s="9" t="s">
        <v>1687</v>
      </c>
      <c r="H9" s="9" t="s">
        <v>57</v>
      </c>
      <c r="I9" s="9" t="s">
        <v>38</v>
      </c>
      <c r="J9" s="9" t="s">
        <v>39</v>
      </c>
      <c r="K9" s="9" t="s">
        <v>233</v>
      </c>
      <c r="L9" s="39"/>
      <c r="M9" s="7" t="s">
        <v>1</v>
      </c>
      <c r="N9" s="8"/>
      <c r="O9" s="40"/>
      <c r="P9" s="15" t="s">
        <v>244</v>
      </c>
      <c r="Q9" s="9" t="s">
        <v>264</v>
      </c>
      <c r="R9" s="50" t="s">
        <v>419</v>
      </c>
      <c r="S9" s="9" t="s">
        <v>858</v>
      </c>
      <c r="T9" s="9">
        <v>942290</v>
      </c>
      <c r="U9" s="16" t="s">
        <v>106</v>
      </c>
      <c r="V9" s="9">
        <v>3946362</v>
      </c>
      <c r="W9" s="8" t="s">
        <v>416</v>
      </c>
      <c r="X9" s="8" t="s">
        <v>317</v>
      </c>
      <c r="Y9" s="8"/>
      <c r="Z9" s="8">
        <v>3</v>
      </c>
      <c r="AA9" s="8">
        <v>5</v>
      </c>
      <c r="AB9" s="8" t="s">
        <v>176</v>
      </c>
      <c r="AC9" s="8" t="s">
        <v>222</v>
      </c>
      <c r="AD9" s="14" t="s">
        <v>223</v>
      </c>
      <c r="AE9" s="8" t="s">
        <v>417</v>
      </c>
      <c r="AF9" s="14">
        <v>0.47</v>
      </c>
      <c r="AG9" s="8">
        <v>1220</v>
      </c>
      <c r="AH9" s="8">
        <v>0</v>
      </c>
      <c r="AI9" s="8">
        <v>224</v>
      </c>
      <c r="AJ9" s="8">
        <v>153.11500000000001</v>
      </c>
      <c r="AK9" s="127">
        <v>4.0549999999999997</v>
      </c>
      <c r="AL9" s="103">
        <v>39.250000000000007</v>
      </c>
      <c r="AM9" s="8">
        <v>0</v>
      </c>
      <c r="AN9" s="21">
        <v>0</v>
      </c>
      <c r="AO9" s="21">
        <v>0</v>
      </c>
      <c r="AP9" s="21">
        <v>0</v>
      </c>
      <c r="AQ9" s="21">
        <v>0</v>
      </c>
      <c r="AR9" s="21">
        <v>0</v>
      </c>
      <c r="AS9" s="8">
        <v>39.250000000000007</v>
      </c>
      <c r="AT9" s="21">
        <v>39.250000000000007</v>
      </c>
      <c r="AU9" s="21">
        <v>0</v>
      </c>
      <c r="AV9" s="21">
        <v>0</v>
      </c>
      <c r="AW9" s="21">
        <v>0</v>
      </c>
      <c r="AX9" s="21">
        <v>0</v>
      </c>
      <c r="AY9" s="8">
        <v>0</v>
      </c>
    </row>
    <row r="10" spans="1:51" ht="15" customHeight="1" x14ac:dyDescent="0.25">
      <c r="A10" s="9">
        <v>744</v>
      </c>
      <c r="B10" s="13">
        <v>45700</v>
      </c>
      <c r="C10" s="9" t="s">
        <v>169</v>
      </c>
      <c r="D10" s="9">
        <v>9518513319</v>
      </c>
      <c r="E10" s="8">
        <v>4</v>
      </c>
      <c r="F10" s="77" t="s">
        <v>433</v>
      </c>
      <c r="G10" s="9" t="s">
        <v>1687</v>
      </c>
      <c r="H10" s="9" t="s">
        <v>57</v>
      </c>
      <c r="I10" s="9" t="s">
        <v>48</v>
      </c>
      <c r="J10" s="9" t="s">
        <v>39</v>
      </c>
      <c r="K10" s="9" t="s">
        <v>233</v>
      </c>
      <c r="L10" s="39"/>
      <c r="M10" s="7" t="s">
        <v>1</v>
      </c>
      <c r="N10" s="8"/>
      <c r="O10" s="40"/>
      <c r="P10" s="15" t="s">
        <v>220</v>
      </c>
      <c r="Q10" s="9" t="s">
        <v>264</v>
      </c>
      <c r="R10" s="9" t="s">
        <v>1568</v>
      </c>
      <c r="S10" s="9" t="s">
        <v>858</v>
      </c>
      <c r="T10" s="9">
        <v>941597</v>
      </c>
      <c r="U10" s="16" t="s">
        <v>106</v>
      </c>
      <c r="V10" s="9">
        <v>1633706</v>
      </c>
      <c r="W10" s="8" t="s">
        <v>347</v>
      </c>
      <c r="X10" s="8" t="s">
        <v>317</v>
      </c>
      <c r="Y10" s="8" t="s">
        <v>434</v>
      </c>
      <c r="Z10" s="8">
        <v>3</v>
      </c>
      <c r="AA10" s="8">
        <v>5</v>
      </c>
      <c r="AB10" s="8" t="s">
        <v>176</v>
      </c>
      <c r="AC10" s="8" t="s">
        <v>228</v>
      </c>
      <c r="AD10" s="14" t="s">
        <v>229</v>
      </c>
      <c r="AE10" s="8" t="s">
        <v>342</v>
      </c>
      <c r="AF10" s="14">
        <v>0.42</v>
      </c>
      <c r="AG10" s="8">
        <v>1220</v>
      </c>
      <c r="AH10" s="8">
        <v>0</v>
      </c>
      <c r="AI10" s="8">
        <v>28</v>
      </c>
      <c r="AJ10" s="8">
        <v>23.27</v>
      </c>
      <c r="AK10" s="127">
        <v>4.7300000000000004</v>
      </c>
      <c r="AL10" s="103">
        <v>23.27</v>
      </c>
      <c r="AM10" s="8">
        <v>0</v>
      </c>
      <c r="AN10" s="21">
        <v>0</v>
      </c>
      <c r="AO10" s="21">
        <v>0</v>
      </c>
      <c r="AP10" s="21">
        <v>0</v>
      </c>
      <c r="AQ10" s="21">
        <v>0</v>
      </c>
      <c r="AR10" s="21">
        <v>0</v>
      </c>
      <c r="AS10" s="8">
        <v>23.27</v>
      </c>
      <c r="AT10" s="21">
        <v>23.27</v>
      </c>
      <c r="AU10" s="21">
        <v>0</v>
      </c>
      <c r="AV10" s="21">
        <v>0</v>
      </c>
      <c r="AW10" s="21">
        <v>0</v>
      </c>
      <c r="AX10" s="21">
        <v>0</v>
      </c>
      <c r="AY10" s="8">
        <v>0</v>
      </c>
    </row>
    <row r="11" spans="1:51" ht="15" customHeight="1" x14ac:dyDescent="0.25">
      <c r="A11" s="9">
        <v>742</v>
      </c>
      <c r="B11" s="13">
        <v>45660</v>
      </c>
      <c r="C11" s="9" t="s">
        <v>193</v>
      </c>
      <c r="D11" s="9">
        <v>9518403770</v>
      </c>
      <c r="E11" s="8">
        <v>1</v>
      </c>
      <c r="F11" s="9" t="s">
        <v>442</v>
      </c>
      <c r="G11" s="9" t="s">
        <v>1687</v>
      </c>
      <c r="H11" s="9" t="s">
        <v>57</v>
      </c>
      <c r="I11" s="9" t="s">
        <v>25</v>
      </c>
      <c r="J11" s="9" t="s">
        <v>33</v>
      </c>
      <c r="K11" s="9" t="s">
        <v>170</v>
      </c>
      <c r="L11" s="39"/>
      <c r="M11" s="7" t="s">
        <v>1</v>
      </c>
      <c r="N11" s="8"/>
      <c r="O11" s="40"/>
      <c r="P11" s="15" t="s">
        <v>239</v>
      </c>
      <c r="Q11" s="9" t="s">
        <v>214</v>
      </c>
      <c r="R11" s="9" t="s">
        <v>240</v>
      </c>
      <c r="S11" s="9" t="s">
        <v>858</v>
      </c>
      <c r="T11" s="9">
        <v>600103</v>
      </c>
      <c r="U11" s="16" t="s">
        <v>102</v>
      </c>
      <c r="V11" s="9">
        <v>3820032</v>
      </c>
      <c r="W11" s="8" t="s">
        <v>278</v>
      </c>
      <c r="X11" s="8" t="s">
        <v>265</v>
      </c>
      <c r="Y11" s="8" t="s">
        <v>175</v>
      </c>
      <c r="Z11" s="8">
        <v>10</v>
      </c>
      <c r="AA11" s="8">
        <v>27</v>
      </c>
      <c r="AB11" s="8" t="s">
        <v>176</v>
      </c>
      <c r="AC11" s="8" t="s">
        <v>190</v>
      </c>
      <c r="AD11" s="14" t="s">
        <v>276</v>
      </c>
      <c r="AE11" s="8" t="s">
        <v>277</v>
      </c>
      <c r="AF11" s="14">
        <v>2</v>
      </c>
      <c r="AG11" s="8">
        <v>1300</v>
      </c>
      <c r="AH11" s="8">
        <v>0</v>
      </c>
      <c r="AI11" s="8">
        <v>240</v>
      </c>
      <c r="AJ11" s="8">
        <v>212.97499999999999</v>
      </c>
      <c r="AK11" s="127">
        <v>0</v>
      </c>
      <c r="AL11" s="103">
        <v>78.600000000000009</v>
      </c>
      <c r="AM11" s="8">
        <v>0</v>
      </c>
      <c r="AN11" s="21">
        <v>0</v>
      </c>
      <c r="AO11" s="21">
        <v>0</v>
      </c>
      <c r="AP11" s="21">
        <v>0</v>
      </c>
      <c r="AQ11" s="21">
        <v>0</v>
      </c>
      <c r="AR11" s="21">
        <v>0</v>
      </c>
      <c r="AS11" s="8">
        <v>78.600000000000009</v>
      </c>
      <c r="AT11" s="21">
        <v>78.600000000000009</v>
      </c>
      <c r="AU11" s="21">
        <v>0</v>
      </c>
      <c r="AV11" s="21">
        <v>0</v>
      </c>
      <c r="AW11" s="21">
        <v>0</v>
      </c>
      <c r="AX11" s="21">
        <v>0</v>
      </c>
      <c r="AY11" s="8">
        <v>0</v>
      </c>
    </row>
    <row r="12" spans="1:51" ht="15" customHeight="1" x14ac:dyDescent="0.25">
      <c r="A12" s="9">
        <v>742</v>
      </c>
      <c r="B12" s="13">
        <v>45693</v>
      </c>
      <c r="C12" s="9" t="s">
        <v>169</v>
      </c>
      <c r="D12" s="9">
        <v>9518495920</v>
      </c>
      <c r="E12" s="8">
        <v>7</v>
      </c>
      <c r="F12" s="9" t="s">
        <v>443</v>
      </c>
      <c r="G12" s="9" t="s">
        <v>1687</v>
      </c>
      <c r="H12" s="9" t="s">
        <v>57</v>
      </c>
      <c r="I12" s="9" t="s">
        <v>25</v>
      </c>
      <c r="J12" s="9" t="s">
        <v>31</v>
      </c>
      <c r="K12" s="9">
        <v>2000</v>
      </c>
      <c r="L12" s="39"/>
      <c r="M12" s="7" t="s">
        <v>1</v>
      </c>
      <c r="N12" s="8"/>
      <c r="O12" s="40"/>
      <c r="P12" s="15" t="s">
        <v>194</v>
      </c>
      <c r="Q12" s="9" t="s">
        <v>172</v>
      </c>
      <c r="R12" s="9" t="s">
        <v>286</v>
      </c>
      <c r="S12" s="9" t="s">
        <v>859</v>
      </c>
      <c r="T12" s="9">
        <v>931525</v>
      </c>
      <c r="U12" s="16" t="s">
        <v>75</v>
      </c>
      <c r="V12" s="9">
        <v>3240761</v>
      </c>
      <c r="W12" s="8" t="s">
        <v>444</v>
      </c>
      <c r="X12" s="8" t="s">
        <v>175</v>
      </c>
      <c r="Y12" s="8" t="s">
        <v>175</v>
      </c>
      <c r="Z12" s="8"/>
      <c r="AA12" s="8"/>
      <c r="AB12" s="8" t="s">
        <v>176</v>
      </c>
      <c r="AC12" s="8" t="s">
        <v>210</v>
      </c>
      <c r="AD12" s="14" t="s">
        <v>218</v>
      </c>
      <c r="AE12" s="8" t="s">
        <v>250</v>
      </c>
      <c r="AF12" s="14">
        <v>0.5</v>
      </c>
      <c r="AG12" s="8">
        <v>1250</v>
      </c>
      <c r="AH12" s="8">
        <v>2030</v>
      </c>
      <c r="AI12" s="8">
        <v>27</v>
      </c>
      <c r="AJ12" s="8">
        <v>10.005000000000001</v>
      </c>
      <c r="AK12" s="127">
        <v>1.6</v>
      </c>
      <c r="AL12" s="103">
        <v>13.105</v>
      </c>
      <c r="AM12" s="8">
        <v>0</v>
      </c>
      <c r="AN12" s="21">
        <v>0</v>
      </c>
      <c r="AO12" s="21">
        <v>0</v>
      </c>
      <c r="AP12" s="21">
        <v>0</v>
      </c>
      <c r="AQ12" s="21">
        <v>0</v>
      </c>
      <c r="AR12" s="21">
        <v>0</v>
      </c>
      <c r="AS12" s="8">
        <v>13.105</v>
      </c>
      <c r="AT12" s="21">
        <v>13.105</v>
      </c>
      <c r="AU12" s="21">
        <v>0</v>
      </c>
      <c r="AV12" s="21">
        <v>0</v>
      </c>
      <c r="AW12" s="21">
        <v>0</v>
      </c>
      <c r="AX12" s="21">
        <v>0</v>
      </c>
      <c r="AY12" s="8">
        <v>0</v>
      </c>
    </row>
    <row r="13" spans="1:51" ht="15" customHeight="1" x14ac:dyDescent="0.25">
      <c r="A13" s="9">
        <v>743</v>
      </c>
      <c r="B13" s="13">
        <v>45708</v>
      </c>
      <c r="C13" s="9" t="s">
        <v>169</v>
      </c>
      <c r="D13" s="9">
        <v>9518535988</v>
      </c>
      <c r="E13" s="8">
        <v>2</v>
      </c>
      <c r="F13" s="9" t="s">
        <v>447</v>
      </c>
      <c r="G13" s="9" t="s">
        <v>1687</v>
      </c>
      <c r="H13" s="9" t="s">
        <v>57</v>
      </c>
      <c r="I13" s="9" t="s">
        <v>38</v>
      </c>
      <c r="J13" s="9" t="s">
        <v>39</v>
      </c>
      <c r="K13" s="9" t="s">
        <v>233</v>
      </c>
      <c r="L13" s="39"/>
      <c r="M13" s="7" t="s">
        <v>1</v>
      </c>
      <c r="N13" s="8"/>
      <c r="O13" s="40"/>
      <c r="P13" s="15" t="s">
        <v>220</v>
      </c>
      <c r="Q13" s="9" t="s">
        <v>264</v>
      </c>
      <c r="R13" s="9" t="s">
        <v>1568</v>
      </c>
      <c r="S13" s="9" t="s">
        <v>858</v>
      </c>
      <c r="T13" s="9">
        <v>942283</v>
      </c>
      <c r="U13" s="16" t="s">
        <v>106</v>
      </c>
      <c r="V13" s="9">
        <v>1881988</v>
      </c>
      <c r="W13" s="8" t="s">
        <v>448</v>
      </c>
      <c r="X13" s="8" t="s">
        <v>317</v>
      </c>
      <c r="Y13" s="8" t="s">
        <v>175</v>
      </c>
      <c r="Z13" s="8">
        <v>3</v>
      </c>
      <c r="AA13" s="8">
        <v>5</v>
      </c>
      <c r="AB13" s="8" t="s">
        <v>176</v>
      </c>
      <c r="AC13" s="8" t="s">
        <v>222</v>
      </c>
      <c r="AD13" s="14" t="s">
        <v>223</v>
      </c>
      <c r="AE13" s="8" t="s">
        <v>224</v>
      </c>
      <c r="AF13" s="14">
        <v>0.5</v>
      </c>
      <c r="AG13" s="8">
        <v>1220</v>
      </c>
      <c r="AH13" s="8">
        <v>0</v>
      </c>
      <c r="AI13" s="8">
        <v>28</v>
      </c>
      <c r="AJ13" s="8">
        <v>0</v>
      </c>
      <c r="AK13" s="127">
        <v>0.53500000000000003</v>
      </c>
      <c r="AL13" s="103">
        <v>27.465</v>
      </c>
      <c r="AM13" s="8">
        <v>0</v>
      </c>
      <c r="AN13" s="21">
        <v>0</v>
      </c>
      <c r="AO13" s="21">
        <v>0</v>
      </c>
      <c r="AP13" s="21">
        <v>0</v>
      </c>
      <c r="AQ13" s="21">
        <v>0</v>
      </c>
      <c r="AR13" s="21">
        <v>0</v>
      </c>
      <c r="AS13" s="8">
        <v>27.465</v>
      </c>
      <c r="AT13" s="21">
        <v>27.465</v>
      </c>
      <c r="AU13" s="21">
        <v>0</v>
      </c>
      <c r="AV13" s="21">
        <v>0</v>
      </c>
      <c r="AW13" s="21">
        <v>0</v>
      </c>
      <c r="AX13" s="21">
        <v>0</v>
      </c>
      <c r="AY13" s="8">
        <v>0</v>
      </c>
    </row>
    <row r="14" spans="1:51" ht="15" customHeight="1" x14ac:dyDescent="0.25">
      <c r="A14" s="9">
        <v>743</v>
      </c>
      <c r="B14" s="13">
        <v>45708</v>
      </c>
      <c r="C14" s="9" t="s">
        <v>169</v>
      </c>
      <c r="D14" s="9">
        <v>9518535988</v>
      </c>
      <c r="E14" s="8">
        <v>3</v>
      </c>
      <c r="F14" s="9" t="s">
        <v>449</v>
      </c>
      <c r="G14" s="9" t="s">
        <v>1687</v>
      </c>
      <c r="H14" s="9" t="s">
        <v>57</v>
      </c>
      <c r="I14" s="9" t="s">
        <v>38</v>
      </c>
      <c r="J14" s="9" t="s">
        <v>39</v>
      </c>
      <c r="K14" s="9" t="s">
        <v>233</v>
      </c>
      <c r="L14" s="39"/>
      <c r="M14" s="7" t="s">
        <v>1</v>
      </c>
      <c r="N14" s="8"/>
      <c r="O14" s="40"/>
      <c r="P14" s="15" t="s">
        <v>220</v>
      </c>
      <c r="Q14" s="9" t="s">
        <v>264</v>
      </c>
      <c r="R14" s="9" t="s">
        <v>1568</v>
      </c>
      <c r="S14" s="9" t="s">
        <v>858</v>
      </c>
      <c r="T14" s="9">
        <v>942283</v>
      </c>
      <c r="U14" s="16" t="s">
        <v>106</v>
      </c>
      <c r="V14" s="9">
        <v>1882004</v>
      </c>
      <c r="W14" s="8" t="s">
        <v>427</v>
      </c>
      <c r="X14" s="8" t="s">
        <v>317</v>
      </c>
      <c r="Y14" s="8" t="s">
        <v>175</v>
      </c>
      <c r="Z14" s="8">
        <v>3</v>
      </c>
      <c r="AA14" s="8">
        <v>5</v>
      </c>
      <c r="AB14" s="8" t="s">
        <v>176</v>
      </c>
      <c r="AC14" s="8" t="s">
        <v>222</v>
      </c>
      <c r="AD14" s="14" t="s">
        <v>223</v>
      </c>
      <c r="AE14" s="8" t="s">
        <v>224</v>
      </c>
      <c r="AF14" s="14">
        <v>0.55000000000000004</v>
      </c>
      <c r="AG14" s="8">
        <v>1220</v>
      </c>
      <c r="AH14" s="8">
        <v>0</v>
      </c>
      <c r="AI14" s="8">
        <v>28</v>
      </c>
      <c r="AJ14" s="8">
        <v>9.3699999999999992</v>
      </c>
      <c r="AK14" s="127">
        <v>0.82</v>
      </c>
      <c r="AL14" s="103">
        <v>9.0250000000000004</v>
      </c>
      <c r="AM14" s="8">
        <v>0</v>
      </c>
      <c r="AN14" s="21">
        <v>0</v>
      </c>
      <c r="AO14" s="21">
        <v>0</v>
      </c>
      <c r="AP14" s="21">
        <v>0</v>
      </c>
      <c r="AQ14" s="21">
        <v>0</v>
      </c>
      <c r="AR14" s="21">
        <v>0</v>
      </c>
      <c r="AS14" s="8">
        <v>9.0250000000000004</v>
      </c>
      <c r="AT14" s="21">
        <v>9.0250000000000004</v>
      </c>
      <c r="AU14" s="21">
        <v>0</v>
      </c>
      <c r="AV14" s="21">
        <v>0</v>
      </c>
      <c r="AW14" s="21">
        <v>0</v>
      </c>
      <c r="AX14" s="21">
        <v>0</v>
      </c>
      <c r="AY14" s="8">
        <v>0</v>
      </c>
    </row>
    <row r="15" spans="1:51" ht="15" customHeight="1" x14ac:dyDescent="0.25">
      <c r="A15" s="9">
        <v>742</v>
      </c>
      <c r="B15" s="13">
        <v>45701</v>
      </c>
      <c r="C15" s="9" t="s">
        <v>193</v>
      </c>
      <c r="D15" s="9">
        <v>9518517180</v>
      </c>
      <c r="E15" s="8">
        <v>6</v>
      </c>
      <c r="F15" s="9" t="s">
        <v>452</v>
      </c>
      <c r="G15" s="9" t="s">
        <v>1687</v>
      </c>
      <c r="H15" s="9" t="s">
        <v>57</v>
      </c>
      <c r="I15" s="9" t="s">
        <v>25</v>
      </c>
      <c r="J15" s="9" t="s">
        <v>29</v>
      </c>
      <c r="K15" s="9" t="s">
        <v>233</v>
      </c>
      <c r="L15" s="39"/>
      <c r="M15" s="7" t="s">
        <v>1</v>
      </c>
      <c r="N15" s="8"/>
      <c r="O15" s="40" t="s">
        <v>1335</v>
      </c>
      <c r="P15" s="15" t="s">
        <v>194</v>
      </c>
      <c r="Q15" s="9" t="s">
        <v>172</v>
      </c>
      <c r="R15" s="9" t="s">
        <v>195</v>
      </c>
      <c r="S15" s="9" t="s">
        <v>858</v>
      </c>
      <c r="T15" s="9">
        <v>600250</v>
      </c>
      <c r="U15" s="16" t="s">
        <v>64</v>
      </c>
      <c r="V15" s="9">
        <v>3587949</v>
      </c>
      <c r="W15" s="8" t="s">
        <v>196</v>
      </c>
      <c r="X15" s="8" t="s">
        <v>265</v>
      </c>
      <c r="Y15" s="8" t="s">
        <v>175</v>
      </c>
      <c r="Z15" s="8">
        <v>8</v>
      </c>
      <c r="AA15" s="8">
        <v>14</v>
      </c>
      <c r="AB15" s="8" t="s">
        <v>176</v>
      </c>
      <c r="AC15" s="8" t="s">
        <v>190</v>
      </c>
      <c r="AD15" s="14" t="s">
        <v>197</v>
      </c>
      <c r="AE15" s="8" t="s">
        <v>198</v>
      </c>
      <c r="AF15" s="14">
        <v>0.5</v>
      </c>
      <c r="AG15" s="8">
        <v>1250</v>
      </c>
      <c r="AH15" s="8">
        <v>0</v>
      </c>
      <c r="AI15" s="8">
        <v>290</v>
      </c>
      <c r="AJ15" s="8">
        <v>255.79499999999999</v>
      </c>
      <c r="AK15" s="127">
        <v>9.06</v>
      </c>
      <c r="AL15" s="103">
        <v>24.47</v>
      </c>
      <c r="AM15" s="8">
        <v>0</v>
      </c>
      <c r="AN15" s="21">
        <v>0</v>
      </c>
      <c r="AO15" s="21">
        <v>0</v>
      </c>
      <c r="AP15" s="21">
        <v>0</v>
      </c>
      <c r="AQ15" s="21">
        <v>0</v>
      </c>
      <c r="AR15" s="21">
        <v>0</v>
      </c>
      <c r="AS15" s="8">
        <v>24.47</v>
      </c>
      <c r="AT15" s="21">
        <v>24.47</v>
      </c>
      <c r="AU15" s="21">
        <v>0</v>
      </c>
      <c r="AV15" s="21">
        <v>0</v>
      </c>
      <c r="AW15" s="21">
        <v>0</v>
      </c>
      <c r="AX15" s="21">
        <v>0</v>
      </c>
      <c r="AY15" s="8">
        <v>0</v>
      </c>
    </row>
    <row r="16" spans="1:51" ht="15" customHeight="1" x14ac:dyDescent="0.25">
      <c r="A16" s="9">
        <v>742</v>
      </c>
      <c r="B16" s="13">
        <v>45701</v>
      </c>
      <c r="C16" s="9" t="s">
        <v>193</v>
      </c>
      <c r="D16" s="9">
        <v>9518517180</v>
      </c>
      <c r="E16" s="8">
        <v>7</v>
      </c>
      <c r="F16" s="9" t="s">
        <v>453</v>
      </c>
      <c r="G16" s="9" t="s">
        <v>1687</v>
      </c>
      <c r="H16" s="9" t="s">
        <v>57</v>
      </c>
      <c r="I16" s="9" t="s">
        <v>25</v>
      </c>
      <c r="J16" s="9" t="s">
        <v>29</v>
      </c>
      <c r="K16" s="9" t="s">
        <v>233</v>
      </c>
      <c r="L16" s="39"/>
      <c r="M16" s="7" t="s">
        <v>1</v>
      </c>
      <c r="N16" s="8"/>
      <c r="O16" s="40" t="s">
        <v>1335</v>
      </c>
      <c r="P16" s="15" t="s">
        <v>194</v>
      </c>
      <c r="Q16" s="9" t="s">
        <v>172</v>
      </c>
      <c r="R16" s="9" t="s">
        <v>195</v>
      </c>
      <c r="S16" s="9" t="s">
        <v>858</v>
      </c>
      <c r="T16" s="9">
        <v>600250</v>
      </c>
      <c r="U16" s="16" t="s">
        <v>64</v>
      </c>
      <c r="V16" s="9">
        <v>3587949</v>
      </c>
      <c r="W16" s="8" t="s">
        <v>196</v>
      </c>
      <c r="X16" s="8" t="s">
        <v>265</v>
      </c>
      <c r="Y16" s="8" t="s">
        <v>175</v>
      </c>
      <c r="Z16" s="8">
        <v>8</v>
      </c>
      <c r="AA16" s="8">
        <v>14</v>
      </c>
      <c r="AB16" s="8" t="s">
        <v>176</v>
      </c>
      <c r="AC16" s="8" t="s">
        <v>190</v>
      </c>
      <c r="AD16" s="14" t="s">
        <v>197</v>
      </c>
      <c r="AE16" s="8" t="s">
        <v>198</v>
      </c>
      <c r="AF16" s="14">
        <v>0.5</v>
      </c>
      <c r="AG16" s="8">
        <v>1250</v>
      </c>
      <c r="AH16" s="8">
        <v>0</v>
      </c>
      <c r="AI16" s="8">
        <v>290</v>
      </c>
      <c r="AJ16" s="8">
        <v>242.87</v>
      </c>
      <c r="AK16" s="127">
        <v>9.75</v>
      </c>
      <c r="AL16" s="103">
        <v>24.975000000000001</v>
      </c>
      <c r="AM16" s="8">
        <v>0</v>
      </c>
      <c r="AN16" s="21">
        <v>0</v>
      </c>
      <c r="AO16" s="21">
        <v>0</v>
      </c>
      <c r="AP16" s="21">
        <v>0</v>
      </c>
      <c r="AQ16" s="21">
        <v>0</v>
      </c>
      <c r="AR16" s="21">
        <v>0</v>
      </c>
      <c r="AS16" s="8">
        <v>24.975000000000001</v>
      </c>
      <c r="AT16" s="21">
        <v>24.975000000000001</v>
      </c>
      <c r="AU16" s="21">
        <v>0</v>
      </c>
      <c r="AV16" s="21">
        <v>0</v>
      </c>
      <c r="AW16" s="21">
        <v>0</v>
      </c>
      <c r="AX16" s="21">
        <v>0</v>
      </c>
      <c r="AY16" s="8">
        <v>0</v>
      </c>
    </row>
    <row r="17" spans="1:51" ht="15" customHeight="1" x14ac:dyDescent="0.25">
      <c r="A17" s="9">
        <v>742</v>
      </c>
      <c r="B17" s="13">
        <v>45694</v>
      </c>
      <c r="C17" s="9" t="s">
        <v>169</v>
      </c>
      <c r="D17" s="9">
        <v>9518498155</v>
      </c>
      <c r="E17" s="8">
        <v>5</v>
      </c>
      <c r="F17" s="9" t="s">
        <v>461</v>
      </c>
      <c r="G17" s="9" t="s">
        <v>320</v>
      </c>
      <c r="H17" s="9" t="s">
        <v>57</v>
      </c>
      <c r="I17" s="9" t="s">
        <v>25</v>
      </c>
      <c r="J17" s="9" t="s">
        <v>30</v>
      </c>
      <c r="K17" s="9" t="s">
        <v>170</v>
      </c>
      <c r="L17" s="39"/>
      <c r="M17" s="7" t="s">
        <v>1</v>
      </c>
      <c r="N17" s="8"/>
      <c r="O17" s="40"/>
      <c r="P17" s="15" t="s">
        <v>213</v>
      </c>
      <c r="Q17" s="9" t="s">
        <v>214</v>
      </c>
      <c r="R17" s="9" t="s">
        <v>215</v>
      </c>
      <c r="S17" s="9" t="s">
        <v>858</v>
      </c>
      <c r="T17" s="9">
        <v>946077</v>
      </c>
      <c r="U17" s="16" t="s">
        <v>83</v>
      </c>
      <c r="V17" s="9">
        <v>1801798</v>
      </c>
      <c r="W17" s="8" t="s">
        <v>462</v>
      </c>
      <c r="X17" s="8" t="s">
        <v>265</v>
      </c>
      <c r="Y17" s="8" t="s">
        <v>175</v>
      </c>
      <c r="Z17" s="8">
        <v>8</v>
      </c>
      <c r="AA17" s="8">
        <v>29</v>
      </c>
      <c r="AB17" s="8" t="s">
        <v>183</v>
      </c>
      <c r="AC17" s="8" t="s">
        <v>190</v>
      </c>
      <c r="AD17" s="14" t="s">
        <v>191</v>
      </c>
      <c r="AE17" s="8" t="s">
        <v>192</v>
      </c>
      <c r="AF17" s="14">
        <v>1</v>
      </c>
      <c r="AG17" s="8">
        <v>900</v>
      </c>
      <c r="AH17" s="8">
        <v>0</v>
      </c>
      <c r="AI17" s="8">
        <v>21</v>
      </c>
      <c r="AJ17" s="8">
        <v>0</v>
      </c>
      <c r="AK17" s="127">
        <v>21</v>
      </c>
      <c r="AL17" s="103">
        <v>0</v>
      </c>
      <c r="AM17" s="8">
        <v>21</v>
      </c>
      <c r="AN17" s="21">
        <v>0</v>
      </c>
      <c r="AO17" s="21">
        <v>0</v>
      </c>
      <c r="AP17" s="21">
        <v>0</v>
      </c>
      <c r="AQ17" s="21">
        <v>0</v>
      </c>
      <c r="AR17" s="21">
        <v>21</v>
      </c>
      <c r="AS17" s="8">
        <v>0</v>
      </c>
      <c r="AT17" s="21">
        <v>0</v>
      </c>
      <c r="AU17" s="21">
        <v>0</v>
      </c>
      <c r="AV17" s="21">
        <v>0</v>
      </c>
      <c r="AW17" s="21">
        <v>0</v>
      </c>
      <c r="AX17" s="21">
        <v>0</v>
      </c>
      <c r="AY17" s="8">
        <v>21</v>
      </c>
    </row>
    <row r="18" spans="1:51" ht="15" customHeight="1" x14ac:dyDescent="0.25">
      <c r="A18" s="9">
        <v>744</v>
      </c>
      <c r="B18" s="13">
        <v>45708</v>
      </c>
      <c r="C18" s="9" t="s">
        <v>169</v>
      </c>
      <c r="D18" s="9">
        <v>9518536065</v>
      </c>
      <c r="E18" s="8">
        <v>1</v>
      </c>
      <c r="F18" s="77" t="s">
        <v>463</v>
      </c>
      <c r="G18" s="9" t="s">
        <v>335</v>
      </c>
      <c r="H18" s="9" t="s">
        <v>57</v>
      </c>
      <c r="I18" s="9" t="s">
        <v>48</v>
      </c>
      <c r="J18" s="9" t="s">
        <v>39</v>
      </c>
      <c r="K18" s="9" t="s">
        <v>233</v>
      </c>
      <c r="L18" s="39"/>
      <c r="M18" s="7" t="s">
        <v>1</v>
      </c>
      <c r="N18" s="8"/>
      <c r="O18" s="40"/>
      <c r="P18" s="15" t="s">
        <v>220</v>
      </c>
      <c r="Q18" s="9" t="s">
        <v>264</v>
      </c>
      <c r="R18" s="9" t="s">
        <v>1568</v>
      </c>
      <c r="S18" s="9" t="s">
        <v>858</v>
      </c>
      <c r="T18" s="9">
        <v>941597</v>
      </c>
      <c r="U18" s="16" t="s">
        <v>106</v>
      </c>
      <c r="V18" s="9">
        <v>1640840</v>
      </c>
      <c r="W18" s="8" t="s">
        <v>404</v>
      </c>
      <c r="X18" s="8" t="s">
        <v>317</v>
      </c>
      <c r="Y18" s="8" t="s">
        <v>412</v>
      </c>
      <c r="Z18" s="8">
        <v>3</v>
      </c>
      <c r="AA18" s="8">
        <v>5</v>
      </c>
      <c r="AB18" s="8" t="s">
        <v>176</v>
      </c>
      <c r="AC18" s="8" t="s">
        <v>228</v>
      </c>
      <c r="AD18" s="14" t="s">
        <v>229</v>
      </c>
      <c r="AE18" s="8" t="s">
        <v>342</v>
      </c>
      <c r="AF18" s="14">
        <v>0.45</v>
      </c>
      <c r="AG18" s="8">
        <v>1220</v>
      </c>
      <c r="AH18" s="8">
        <v>0</v>
      </c>
      <c r="AI18" s="8">
        <v>55.99</v>
      </c>
      <c r="AJ18" s="8">
        <v>37.11</v>
      </c>
      <c r="AK18" s="127">
        <v>18.88</v>
      </c>
      <c r="AL18" s="103">
        <v>0</v>
      </c>
      <c r="AM18" s="8">
        <v>0</v>
      </c>
      <c r="AN18" s="21">
        <v>0</v>
      </c>
      <c r="AO18" s="21">
        <v>0</v>
      </c>
      <c r="AP18" s="21">
        <v>0</v>
      </c>
      <c r="AQ18" s="21">
        <v>0</v>
      </c>
      <c r="AR18" s="21">
        <v>0</v>
      </c>
      <c r="AS18" s="8">
        <v>0</v>
      </c>
      <c r="AT18" s="21">
        <v>0</v>
      </c>
      <c r="AU18" s="21">
        <v>0</v>
      </c>
      <c r="AV18" s="21">
        <v>0</v>
      </c>
      <c r="AW18" s="21">
        <v>0</v>
      </c>
      <c r="AX18" s="21">
        <v>0</v>
      </c>
      <c r="AY18" s="8">
        <v>0</v>
      </c>
    </row>
    <row r="19" spans="1:51" ht="15" customHeight="1" x14ac:dyDescent="0.25">
      <c r="A19" s="9">
        <v>742</v>
      </c>
      <c r="B19" s="13">
        <v>45698</v>
      </c>
      <c r="C19" s="9" t="s">
        <v>169</v>
      </c>
      <c r="D19" s="9">
        <v>9518507185</v>
      </c>
      <c r="E19" s="8">
        <v>12</v>
      </c>
      <c r="F19" s="9" t="s">
        <v>479</v>
      </c>
      <c r="G19" s="9" t="s">
        <v>1303</v>
      </c>
      <c r="H19" s="9" t="s">
        <v>57</v>
      </c>
      <c r="I19" s="9" t="s">
        <v>25</v>
      </c>
      <c r="J19" s="9" t="s">
        <v>31</v>
      </c>
      <c r="K19" s="9">
        <v>2000</v>
      </c>
      <c r="L19" s="39"/>
      <c r="M19" s="7" t="s">
        <v>1</v>
      </c>
      <c r="N19" s="8"/>
      <c r="O19" s="40"/>
      <c r="P19" s="15" t="s">
        <v>220</v>
      </c>
      <c r="Q19" s="9" t="s">
        <v>180</v>
      </c>
      <c r="R19" s="9" t="s">
        <v>261</v>
      </c>
      <c r="S19" s="9" t="s">
        <v>859</v>
      </c>
      <c r="T19" s="9">
        <v>185794</v>
      </c>
      <c r="U19" s="16" t="s">
        <v>97</v>
      </c>
      <c r="V19" s="9">
        <v>3240792</v>
      </c>
      <c r="W19" s="8" t="s">
        <v>467</v>
      </c>
      <c r="X19" s="8" t="s">
        <v>175</v>
      </c>
      <c r="Y19" s="8" t="s">
        <v>175</v>
      </c>
      <c r="Z19" s="8"/>
      <c r="AA19" s="8"/>
      <c r="AB19" s="8" t="s">
        <v>176</v>
      </c>
      <c r="AC19" s="8" t="s">
        <v>210</v>
      </c>
      <c r="AD19" s="14" t="s">
        <v>218</v>
      </c>
      <c r="AE19" s="8" t="s">
        <v>250</v>
      </c>
      <c r="AF19" s="14">
        <v>0.6</v>
      </c>
      <c r="AG19" s="8">
        <v>1250</v>
      </c>
      <c r="AH19" s="8">
        <v>2500</v>
      </c>
      <c r="AI19" s="8">
        <v>39</v>
      </c>
      <c r="AJ19" s="8">
        <v>19.82</v>
      </c>
      <c r="AK19" s="127">
        <v>14.32</v>
      </c>
      <c r="AL19" s="103">
        <v>0</v>
      </c>
      <c r="AM19" s="8">
        <v>14.32</v>
      </c>
      <c r="AN19" s="21">
        <v>0</v>
      </c>
      <c r="AO19" s="21">
        <v>0</v>
      </c>
      <c r="AP19" s="21">
        <v>14.32</v>
      </c>
      <c r="AQ19" s="21">
        <v>0</v>
      </c>
      <c r="AR19" s="21">
        <v>0</v>
      </c>
      <c r="AS19" s="8">
        <v>14.32</v>
      </c>
      <c r="AT19" s="21">
        <v>0</v>
      </c>
      <c r="AU19" s="21">
        <v>0</v>
      </c>
      <c r="AV19" s="21">
        <v>14.32</v>
      </c>
      <c r="AW19" s="21">
        <v>0</v>
      </c>
      <c r="AX19" s="21">
        <v>0</v>
      </c>
      <c r="AY19" s="8">
        <v>0</v>
      </c>
    </row>
    <row r="20" spans="1:51" ht="15" customHeight="1" x14ac:dyDescent="0.25">
      <c r="A20" s="9">
        <v>742</v>
      </c>
      <c r="B20" s="13">
        <v>45681</v>
      </c>
      <c r="C20" s="9" t="s">
        <v>193</v>
      </c>
      <c r="D20" s="9">
        <v>4000495825</v>
      </c>
      <c r="E20" s="8">
        <v>1</v>
      </c>
      <c r="F20" s="9" t="s">
        <v>487</v>
      </c>
      <c r="G20" s="9" t="s">
        <v>1687</v>
      </c>
      <c r="H20" s="9" t="s">
        <v>57</v>
      </c>
      <c r="I20" s="9" t="s">
        <v>50</v>
      </c>
      <c r="J20" s="9" t="s">
        <v>33</v>
      </c>
      <c r="K20" s="9" t="s">
        <v>170</v>
      </c>
      <c r="L20" s="39"/>
      <c r="M20" s="7" t="s">
        <v>1</v>
      </c>
      <c r="N20" s="8"/>
      <c r="O20" s="40"/>
      <c r="P20" s="15" t="s">
        <v>239</v>
      </c>
      <c r="Q20" s="9" t="s">
        <v>214</v>
      </c>
      <c r="R20" s="9" t="s">
        <v>240</v>
      </c>
      <c r="S20" s="9" t="s">
        <v>858</v>
      </c>
      <c r="T20" s="9">
        <v>600103</v>
      </c>
      <c r="U20" s="16" t="s">
        <v>102</v>
      </c>
      <c r="V20" s="9">
        <v>3173079</v>
      </c>
      <c r="W20" s="8" t="s">
        <v>476</v>
      </c>
      <c r="X20" s="8" t="s">
        <v>265</v>
      </c>
      <c r="Y20" s="8" t="s">
        <v>175</v>
      </c>
      <c r="Z20" s="8">
        <v>17</v>
      </c>
      <c r="AA20" s="8">
        <v>27.5</v>
      </c>
      <c r="AB20" s="8" t="s">
        <v>176</v>
      </c>
      <c r="AC20" s="8">
        <v>768</v>
      </c>
      <c r="AD20" s="14" t="s">
        <v>242</v>
      </c>
      <c r="AE20" s="8" t="s">
        <v>243</v>
      </c>
      <c r="AF20" s="14">
        <v>4.0999999999999996</v>
      </c>
      <c r="AG20" s="8">
        <v>1250</v>
      </c>
      <c r="AH20" s="8">
        <v>0</v>
      </c>
      <c r="AI20" s="8">
        <v>75</v>
      </c>
      <c r="AJ20" s="8">
        <v>24.76</v>
      </c>
      <c r="AK20" s="127">
        <v>0</v>
      </c>
      <c r="AL20" s="103">
        <v>24.51</v>
      </c>
      <c r="AM20" s="8">
        <v>0</v>
      </c>
      <c r="AN20" s="21">
        <v>0</v>
      </c>
      <c r="AO20" s="21">
        <v>0</v>
      </c>
      <c r="AP20" s="21">
        <v>0</v>
      </c>
      <c r="AQ20" s="21">
        <v>0</v>
      </c>
      <c r="AR20" s="21">
        <v>0</v>
      </c>
      <c r="AS20" s="8">
        <v>24.51</v>
      </c>
      <c r="AT20" s="21">
        <v>24.51</v>
      </c>
      <c r="AU20" s="21">
        <v>0</v>
      </c>
      <c r="AV20" s="21">
        <v>0</v>
      </c>
      <c r="AW20" s="21">
        <v>0</v>
      </c>
      <c r="AX20" s="21">
        <v>0</v>
      </c>
      <c r="AY20" s="8">
        <v>0</v>
      </c>
    </row>
    <row r="21" spans="1:51" ht="15" customHeight="1" x14ac:dyDescent="0.25">
      <c r="A21" s="9">
        <v>742</v>
      </c>
      <c r="B21" s="13">
        <v>45705</v>
      </c>
      <c r="C21" s="9" t="s">
        <v>193</v>
      </c>
      <c r="D21" s="9">
        <v>9518527449</v>
      </c>
      <c r="E21" s="8">
        <v>9</v>
      </c>
      <c r="F21" s="9" t="s">
        <v>489</v>
      </c>
      <c r="G21" s="9" t="s">
        <v>335</v>
      </c>
      <c r="H21" s="9" t="s">
        <v>57</v>
      </c>
      <c r="I21" s="9" t="s">
        <v>25</v>
      </c>
      <c r="J21" s="9" t="s">
        <v>33</v>
      </c>
      <c r="K21" s="9" t="s">
        <v>170</v>
      </c>
      <c r="L21" s="39"/>
      <c r="M21" s="7" t="s">
        <v>1</v>
      </c>
      <c r="N21" s="8"/>
      <c r="O21" s="40"/>
      <c r="P21" s="15" t="s">
        <v>179</v>
      </c>
      <c r="Q21" s="9" t="s">
        <v>180</v>
      </c>
      <c r="R21" s="9" t="s">
        <v>240</v>
      </c>
      <c r="S21" s="9" t="s">
        <v>858</v>
      </c>
      <c r="T21" s="9">
        <v>650742</v>
      </c>
      <c r="U21" s="16" t="s">
        <v>101</v>
      </c>
      <c r="V21" s="9">
        <v>2279503</v>
      </c>
      <c r="W21" s="8" t="s">
        <v>484</v>
      </c>
      <c r="X21" s="8" t="s">
        <v>265</v>
      </c>
      <c r="Y21" s="8" t="s">
        <v>175</v>
      </c>
      <c r="Z21" s="8">
        <v>10</v>
      </c>
      <c r="AA21" s="8">
        <v>27</v>
      </c>
      <c r="AB21" s="8" t="s">
        <v>176</v>
      </c>
      <c r="AC21" s="8" t="s">
        <v>190</v>
      </c>
      <c r="AD21" s="14" t="s">
        <v>280</v>
      </c>
      <c r="AE21" s="8" t="s">
        <v>281</v>
      </c>
      <c r="AF21" s="14">
        <v>1.6</v>
      </c>
      <c r="AG21" s="8">
        <v>1270</v>
      </c>
      <c r="AH21" s="8">
        <v>0</v>
      </c>
      <c r="AI21" s="8">
        <v>200</v>
      </c>
      <c r="AJ21" s="8">
        <v>179.79499999999999</v>
      </c>
      <c r="AK21" s="127">
        <v>20.204999999999998</v>
      </c>
      <c r="AL21" s="103">
        <v>0</v>
      </c>
      <c r="AM21" s="8">
        <v>20.204999999999998</v>
      </c>
      <c r="AN21" s="21">
        <v>0</v>
      </c>
      <c r="AO21" s="21">
        <v>20.204999999999998</v>
      </c>
      <c r="AP21" s="21">
        <v>0</v>
      </c>
      <c r="AQ21" s="21">
        <v>0</v>
      </c>
      <c r="AR21" s="21">
        <v>0</v>
      </c>
      <c r="AS21" s="8">
        <v>20.204999999999998</v>
      </c>
      <c r="AT21" s="21">
        <v>0</v>
      </c>
      <c r="AU21" s="21">
        <v>20.204999999999998</v>
      </c>
      <c r="AV21" s="21">
        <v>0</v>
      </c>
      <c r="AW21" s="21">
        <v>0</v>
      </c>
      <c r="AX21" s="21">
        <v>0</v>
      </c>
      <c r="AY21" s="8">
        <v>0</v>
      </c>
    </row>
    <row r="22" spans="1:51" ht="15" customHeight="1" x14ac:dyDescent="0.25">
      <c r="A22" s="9">
        <v>742</v>
      </c>
      <c r="B22" s="13">
        <v>45705</v>
      </c>
      <c r="C22" s="9" t="s">
        <v>193</v>
      </c>
      <c r="D22" s="9">
        <v>9518526154</v>
      </c>
      <c r="E22" s="8">
        <v>3</v>
      </c>
      <c r="F22" s="9" t="s">
        <v>493</v>
      </c>
      <c r="G22" s="9" t="s">
        <v>335</v>
      </c>
      <c r="H22" s="9" t="s">
        <v>57</v>
      </c>
      <c r="I22" s="9" t="s">
        <v>35</v>
      </c>
      <c r="J22" s="9" t="s">
        <v>36</v>
      </c>
      <c r="K22" s="9" t="s">
        <v>170</v>
      </c>
      <c r="L22" s="39"/>
      <c r="M22" s="7" t="s">
        <v>1</v>
      </c>
      <c r="N22" s="8"/>
      <c r="O22" s="40"/>
      <c r="P22" s="15" t="s">
        <v>201</v>
      </c>
      <c r="Q22" s="9" t="s">
        <v>172</v>
      </c>
      <c r="R22" s="9" t="s">
        <v>299</v>
      </c>
      <c r="S22" s="9" t="s">
        <v>858</v>
      </c>
      <c r="T22" s="9">
        <v>650250</v>
      </c>
      <c r="U22" s="16" t="s">
        <v>103</v>
      </c>
      <c r="V22" s="9">
        <v>3825819</v>
      </c>
      <c r="W22" s="8" t="s">
        <v>494</v>
      </c>
      <c r="X22" s="8" t="s">
        <v>265</v>
      </c>
      <c r="Y22" s="8" t="s">
        <v>175</v>
      </c>
      <c r="Z22" s="8">
        <v>22</v>
      </c>
      <c r="AA22" s="8">
        <v>25</v>
      </c>
      <c r="AB22" s="8" t="s">
        <v>176</v>
      </c>
      <c r="AC22" s="8" t="s">
        <v>292</v>
      </c>
      <c r="AD22" s="14" t="s">
        <v>293</v>
      </c>
      <c r="AE22" s="8" t="s">
        <v>294</v>
      </c>
      <c r="AF22" s="14">
        <v>0.56999999999999995</v>
      </c>
      <c r="AG22" s="8">
        <v>1235</v>
      </c>
      <c r="AH22" s="8">
        <v>0</v>
      </c>
      <c r="AI22" s="8">
        <v>280</v>
      </c>
      <c r="AJ22" s="8">
        <v>260.31</v>
      </c>
      <c r="AK22" s="127">
        <v>19.66</v>
      </c>
      <c r="AL22" s="103">
        <v>0</v>
      </c>
      <c r="AM22" s="8">
        <v>19.66</v>
      </c>
      <c r="AN22" s="21">
        <v>0</v>
      </c>
      <c r="AO22" s="21">
        <v>19.66</v>
      </c>
      <c r="AP22" s="21">
        <v>0</v>
      </c>
      <c r="AQ22" s="21">
        <v>0</v>
      </c>
      <c r="AR22" s="21">
        <v>0</v>
      </c>
      <c r="AS22" s="8">
        <v>19.66</v>
      </c>
      <c r="AT22" s="21">
        <v>0</v>
      </c>
      <c r="AU22" s="21">
        <v>19.66</v>
      </c>
      <c r="AV22" s="21">
        <v>0</v>
      </c>
      <c r="AW22" s="21">
        <v>0</v>
      </c>
      <c r="AX22" s="21">
        <v>0</v>
      </c>
      <c r="AY22" s="8">
        <v>0</v>
      </c>
    </row>
    <row r="23" spans="1:51" ht="15" customHeight="1" x14ac:dyDescent="0.25">
      <c r="A23" s="9">
        <v>742</v>
      </c>
      <c r="B23" s="13">
        <v>45705</v>
      </c>
      <c r="C23" s="9" t="s">
        <v>193</v>
      </c>
      <c r="D23" s="9">
        <v>9518526154</v>
      </c>
      <c r="E23" s="8">
        <v>4</v>
      </c>
      <c r="F23" s="9" t="s">
        <v>495</v>
      </c>
      <c r="G23" s="9" t="s">
        <v>1687</v>
      </c>
      <c r="H23" s="9" t="s">
        <v>57</v>
      </c>
      <c r="I23" s="9" t="s">
        <v>35</v>
      </c>
      <c r="J23" s="9" t="s">
        <v>36</v>
      </c>
      <c r="K23" s="9" t="s">
        <v>170</v>
      </c>
      <c r="L23" s="39"/>
      <c r="M23" s="7" t="s">
        <v>1</v>
      </c>
      <c r="N23" s="8"/>
      <c r="O23" s="40"/>
      <c r="P23" s="15" t="s">
        <v>201</v>
      </c>
      <c r="Q23" s="9" t="s">
        <v>172</v>
      </c>
      <c r="R23" s="9" t="s">
        <v>299</v>
      </c>
      <c r="S23" s="9" t="s">
        <v>858</v>
      </c>
      <c r="T23" s="9">
        <v>650250</v>
      </c>
      <c r="U23" s="16" t="s">
        <v>103</v>
      </c>
      <c r="V23" s="9">
        <v>3825819</v>
      </c>
      <c r="W23" s="8" t="s">
        <v>494</v>
      </c>
      <c r="X23" s="8" t="s">
        <v>265</v>
      </c>
      <c r="Y23" s="8" t="s">
        <v>175</v>
      </c>
      <c r="Z23" s="8">
        <v>22</v>
      </c>
      <c r="AA23" s="8">
        <v>25</v>
      </c>
      <c r="AB23" s="8" t="s">
        <v>176</v>
      </c>
      <c r="AC23" s="8" t="s">
        <v>292</v>
      </c>
      <c r="AD23" s="14" t="s">
        <v>293</v>
      </c>
      <c r="AE23" s="8" t="s">
        <v>294</v>
      </c>
      <c r="AF23" s="14">
        <v>0.56999999999999995</v>
      </c>
      <c r="AG23" s="8">
        <v>1235</v>
      </c>
      <c r="AH23" s="8">
        <v>0</v>
      </c>
      <c r="AI23" s="8">
        <v>168</v>
      </c>
      <c r="AJ23" s="8">
        <v>152.58500000000001</v>
      </c>
      <c r="AK23" s="127">
        <v>15.305</v>
      </c>
      <c r="AL23" s="103">
        <v>20.52</v>
      </c>
      <c r="AM23" s="8">
        <v>0</v>
      </c>
      <c r="AN23" s="21">
        <v>0</v>
      </c>
      <c r="AO23" s="21">
        <v>0</v>
      </c>
      <c r="AP23" s="21">
        <v>0</v>
      </c>
      <c r="AQ23" s="21">
        <v>0</v>
      </c>
      <c r="AR23" s="21">
        <v>0</v>
      </c>
      <c r="AS23" s="8">
        <v>20.52</v>
      </c>
      <c r="AT23" s="21">
        <v>20.52</v>
      </c>
      <c r="AU23" s="21">
        <v>0</v>
      </c>
      <c r="AV23" s="21">
        <v>0</v>
      </c>
      <c r="AW23" s="21">
        <v>0</v>
      </c>
      <c r="AX23" s="21">
        <v>0</v>
      </c>
      <c r="AY23" s="8">
        <v>0</v>
      </c>
    </row>
    <row r="24" spans="1:51" ht="15" customHeight="1" x14ac:dyDescent="0.25">
      <c r="A24" s="9">
        <v>743</v>
      </c>
      <c r="B24" s="13">
        <v>45694</v>
      </c>
      <c r="C24" s="9" t="s">
        <v>169</v>
      </c>
      <c r="D24" s="9">
        <v>9518498761</v>
      </c>
      <c r="E24" s="8">
        <v>2</v>
      </c>
      <c r="F24" s="99" t="s">
        <v>498</v>
      </c>
      <c r="G24" s="9" t="s">
        <v>1687</v>
      </c>
      <c r="H24" s="9" t="s">
        <v>57</v>
      </c>
      <c r="I24" s="9" t="s">
        <v>43</v>
      </c>
      <c r="J24" s="9" t="s">
        <v>45</v>
      </c>
      <c r="K24" s="9">
        <v>2000</v>
      </c>
      <c r="L24" s="39"/>
      <c r="M24" s="7" t="s">
        <v>1</v>
      </c>
      <c r="N24" s="8"/>
      <c r="O24" s="40" t="s">
        <v>1335</v>
      </c>
      <c r="P24" s="15" t="s">
        <v>220</v>
      </c>
      <c r="Q24" s="9" t="s">
        <v>180</v>
      </c>
      <c r="R24" s="9" t="s">
        <v>1569</v>
      </c>
      <c r="S24" s="9" t="s">
        <v>858</v>
      </c>
      <c r="T24" s="9">
        <v>121328</v>
      </c>
      <c r="U24" s="16" t="s">
        <v>81</v>
      </c>
      <c r="V24" s="9">
        <v>1191955</v>
      </c>
      <c r="W24" s="8" t="s">
        <v>473</v>
      </c>
      <c r="X24" s="8">
        <v>80</v>
      </c>
      <c r="Y24" s="8" t="s">
        <v>175</v>
      </c>
      <c r="Z24" s="8"/>
      <c r="AA24" s="8"/>
      <c r="AB24" s="8" t="s">
        <v>183</v>
      </c>
      <c r="AC24" s="8" t="s">
        <v>238</v>
      </c>
      <c r="AD24" s="14" t="s">
        <v>185</v>
      </c>
      <c r="AE24" s="8" t="s">
        <v>186</v>
      </c>
      <c r="AF24" s="14">
        <v>0.3</v>
      </c>
      <c r="AG24" s="8">
        <v>900</v>
      </c>
      <c r="AH24" s="8">
        <v>0</v>
      </c>
      <c r="AI24" s="8">
        <v>105</v>
      </c>
      <c r="AJ24" s="8">
        <v>38.814999999999998</v>
      </c>
      <c r="AK24" s="127">
        <v>7.4249999999999998</v>
      </c>
      <c r="AL24" s="103">
        <v>5.915</v>
      </c>
      <c r="AM24" s="8">
        <v>0</v>
      </c>
      <c r="AN24" s="21">
        <v>0</v>
      </c>
      <c r="AO24" s="21">
        <v>0</v>
      </c>
      <c r="AP24" s="21">
        <v>0</v>
      </c>
      <c r="AQ24" s="21">
        <v>0</v>
      </c>
      <c r="AR24" s="21">
        <v>0</v>
      </c>
      <c r="AS24" s="8">
        <v>5.915</v>
      </c>
      <c r="AT24" s="21">
        <v>5.915</v>
      </c>
      <c r="AU24" s="21">
        <v>0</v>
      </c>
      <c r="AV24" s="21">
        <v>0</v>
      </c>
      <c r="AW24" s="21">
        <v>0</v>
      </c>
      <c r="AX24" s="21">
        <v>0</v>
      </c>
      <c r="AY24" s="8">
        <v>0</v>
      </c>
    </row>
    <row r="25" spans="1:51" ht="15" customHeight="1" x14ac:dyDescent="0.25">
      <c r="A25" s="9">
        <v>742</v>
      </c>
      <c r="B25" s="13">
        <v>45691</v>
      </c>
      <c r="C25" s="9" t="s">
        <v>169</v>
      </c>
      <c r="D25" s="9">
        <v>9518490750</v>
      </c>
      <c r="E25" s="8">
        <v>5</v>
      </c>
      <c r="F25" s="9" t="s">
        <v>510</v>
      </c>
      <c r="G25" s="9" t="s">
        <v>1303</v>
      </c>
      <c r="H25" s="9" t="s">
        <v>57</v>
      </c>
      <c r="I25" s="9" t="s">
        <v>25</v>
      </c>
      <c r="J25" s="9" t="s">
        <v>31</v>
      </c>
      <c r="K25" s="9">
        <v>2000</v>
      </c>
      <c r="L25" s="39"/>
      <c r="M25" s="7" t="s">
        <v>1</v>
      </c>
      <c r="N25" s="8"/>
      <c r="O25" s="40" t="s">
        <v>1335</v>
      </c>
      <c r="P25" s="15" t="s">
        <v>179</v>
      </c>
      <c r="Q25" s="9" t="s">
        <v>180</v>
      </c>
      <c r="R25" s="9" t="s">
        <v>181</v>
      </c>
      <c r="S25" s="9" t="s">
        <v>859</v>
      </c>
      <c r="T25" s="9">
        <v>117061</v>
      </c>
      <c r="U25" s="16" t="s">
        <v>89</v>
      </c>
      <c r="V25" s="9">
        <v>3239567</v>
      </c>
      <c r="W25" s="8" t="s">
        <v>255</v>
      </c>
      <c r="X25" s="8" t="s">
        <v>175</v>
      </c>
      <c r="Y25" s="8" t="s">
        <v>175</v>
      </c>
      <c r="Z25" s="8"/>
      <c r="AA25" s="8"/>
      <c r="AB25" s="8" t="s">
        <v>183</v>
      </c>
      <c r="AC25" s="8" t="s">
        <v>210</v>
      </c>
      <c r="AD25" s="14" t="s">
        <v>211</v>
      </c>
      <c r="AE25" s="8" t="s">
        <v>212</v>
      </c>
      <c r="AF25" s="14">
        <v>0.45</v>
      </c>
      <c r="AG25" s="8">
        <v>1000</v>
      </c>
      <c r="AH25" s="8">
        <v>2500</v>
      </c>
      <c r="AI25" s="8">
        <v>75</v>
      </c>
      <c r="AJ25" s="8">
        <v>0</v>
      </c>
      <c r="AK25" s="127">
        <v>33.155000000000001</v>
      </c>
      <c r="AL25" s="103">
        <v>26.539999999999996</v>
      </c>
      <c r="AM25" s="8">
        <v>33.155000000000001</v>
      </c>
      <c r="AN25" s="21">
        <v>33.155000000000001</v>
      </c>
      <c r="AO25" s="21">
        <v>0</v>
      </c>
      <c r="AP25" s="21">
        <v>0</v>
      </c>
      <c r="AQ25" s="21">
        <v>0</v>
      </c>
      <c r="AR25" s="21">
        <v>0</v>
      </c>
      <c r="AS25" s="8">
        <v>59.694999999999993</v>
      </c>
      <c r="AT25" s="21">
        <v>0</v>
      </c>
      <c r="AU25" s="21">
        <v>59.694999999999993</v>
      </c>
      <c r="AV25" s="21">
        <v>0</v>
      </c>
      <c r="AW25" s="21">
        <v>0</v>
      </c>
      <c r="AX25" s="21">
        <v>0</v>
      </c>
      <c r="AY25" s="8">
        <v>0</v>
      </c>
    </row>
    <row r="26" spans="1:51" ht="15" customHeight="1" x14ac:dyDescent="0.25">
      <c r="A26" s="9">
        <v>742</v>
      </c>
      <c r="B26" s="13">
        <v>45702</v>
      </c>
      <c r="C26" s="9" t="s">
        <v>169</v>
      </c>
      <c r="D26" s="9">
        <v>9518518906</v>
      </c>
      <c r="E26" s="8">
        <v>6</v>
      </c>
      <c r="F26" s="9" t="s">
        <v>511</v>
      </c>
      <c r="G26" s="9" t="s">
        <v>320</v>
      </c>
      <c r="H26" s="9" t="s">
        <v>57</v>
      </c>
      <c r="I26" s="9" t="s">
        <v>25</v>
      </c>
      <c r="J26" s="9" t="s">
        <v>31</v>
      </c>
      <c r="K26" s="9" t="s">
        <v>170</v>
      </c>
      <c r="L26" s="39"/>
      <c r="M26" s="7" t="s">
        <v>1</v>
      </c>
      <c r="N26" s="8"/>
      <c r="O26" s="40"/>
      <c r="P26" s="15" t="s">
        <v>194</v>
      </c>
      <c r="Q26" s="9" t="s">
        <v>172</v>
      </c>
      <c r="R26" s="9" t="s">
        <v>286</v>
      </c>
      <c r="S26" s="9" t="s">
        <v>859</v>
      </c>
      <c r="T26" s="9">
        <v>931525</v>
      </c>
      <c r="U26" s="16" t="s">
        <v>75</v>
      </c>
      <c r="V26" s="9">
        <v>3912458</v>
      </c>
      <c r="W26" s="8" t="s">
        <v>512</v>
      </c>
      <c r="X26" s="8" t="s">
        <v>265</v>
      </c>
      <c r="Y26" s="8" t="s">
        <v>175</v>
      </c>
      <c r="Z26" s="8">
        <v>0</v>
      </c>
      <c r="AA26" s="8">
        <v>0</v>
      </c>
      <c r="AB26" s="8" t="s">
        <v>176</v>
      </c>
      <c r="AC26" s="8" t="s">
        <v>210</v>
      </c>
      <c r="AD26" s="14" t="s">
        <v>218</v>
      </c>
      <c r="AE26" s="8" t="s">
        <v>250</v>
      </c>
      <c r="AF26" s="14">
        <v>0.7</v>
      </c>
      <c r="AG26" s="8">
        <v>1250</v>
      </c>
      <c r="AH26" s="8">
        <v>1925</v>
      </c>
      <c r="AI26" s="8">
        <v>33</v>
      </c>
      <c r="AJ26" s="8">
        <v>0</v>
      </c>
      <c r="AK26" s="127">
        <v>33</v>
      </c>
      <c r="AL26" s="103">
        <v>0</v>
      </c>
      <c r="AM26" s="8">
        <v>33</v>
      </c>
      <c r="AN26" s="21">
        <v>0</v>
      </c>
      <c r="AO26" s="21">
        <v>0</v>
      </c>
      <c r="AP26" s="21">
        <v>33</v>
      </c>
      <c r="AQ26" s="21">
        <v>0</v>
      </c>
      <c r="AR26" s="21">
        <v>0</v>
      </c>
      <c r="AS26" s="8">
        <v>33</v>
      </c>
      <c r="AT26" s="21">
        <v>0</v>
      </c>
      <c r="AU26" s="21">
        <v>0</v>
      </c>
      <c r="AV26" s="21">
        <v>33</v>
      </c>
      <c r="AW26" s="21">
        <v>0</v>
      </c>
      <c r="AX26" s="21">
        <v>0</v>
      </c>
      <c r="AY26" s="8">
        <v>0</v>
      </c>
    </row>
    <row r="27" spans="1:51" ht="15" customHeight="1" x14ac:dyDescent="0.25">
      <c r="A27" s="9">
        <v>742</v>
      </c>
      <c r="B27" s="13">
        <v>45691</v>
      </c>
      <c r="C27" s="9" t="s">
        <v>169</v>
      </c>
      <c r="D27" s="9">
        <v>9518490750</v>
      </c>
      <c r="E27" s="8">
        <v>16</v>
      </c>
      <c r="F27" s="9" t="s">
        <v>513</v>
      </c>
      <c r="G27" s="9" t="s">
        <v>1303</v>
      </c>
      <c r="H27" s="9" t="s">
        <v>57</v>
      </c>
      <c r="I27" s="9" t="s">
        <v>25</v>
      </c>
      <c r="J27" s="9" t="s">
        <v>31</v>
      </c>
      <c r="K27" s="9">
        <v>2000</v>
      </c>
      <c r="L27" s="39"/>
      <c r="M27" s="7" t="s">
        <v>1</v>
      </c>
      <c r="N27" s="8"/>
      <c r="O27" s="40"/>
      <c r="P27" s="15" t="s">
        <v>179</v>
      </c>
      <c r="Q27" s="9" t="s">
        <v>180</v>
      </c>
      <c r="R27" s="9" t="s">
        <v>181</v>
      </c>
      <c r="S27" s="9" t="s">
        <v>859</v>
      </c>
      <c r="T27" s="9">
        <v>117061</v>
      </c>
      <c r="U27" s="16" t="s">
        <v>89</v>
      </c>
      <c r="V27" s="9">
        <v>3240836</v>
      </c>
      <c r="W27" s="8" t="s">
        <v>285</v>
      </c>
      <c r="X27" s="8" t="s">
        <v>175</v>
      </c>
      <c r="Y27" s="8" t="s">
        <v>175</v>
      </c>
      <c r="Z27" s="8"/>
      <c r="AA27" s="8"/>
      <c r="AB27" s="8" t="s">
        <v>183</v>
      </c>
      <c r="AC27" s="8" t="s">
        <v>210</v>
      </c>
      <c r="AD27" s="14" t="s">
        <v>218</v>
      </c>
      <c r="AE27" s="8" t="s">
        <v>250</v>
      </c>
      <c r="AF27" s="14">
        <v>1</v>
      </c>
      <c r="AG27" s="8">
        <v>1000</v>
      </c>
      <c r="AH27" s="8">
        <v>2500</v>
      </c>
      <c r="AI27" s="8">
        <v>75</v>
      </c>
      <c r="AJ27" s="8">
        <v>20.545000000000002</v>
      </c>
      <c r="AK27" s="127">
        <v>33.21</v>
      </c>
      <c r="AL27" s="103">
        <v>0</v>
      </c>
      <c r="AM27" s="8">
        <v>33.21</v>
      </c>
      <c r="AN27" s="21">
        <v>0</v>
      </c>
      <c r="AO27" s="21">
        <v>33.21</v>
      </c>
      <c r="AP27" s="21">
        <v>0</v>
      </c>
      <c r="AQ27" s="21">
        <v>0</v>
      </c>
      <c r="AR27" s="21">
        <v>0</v>
      </c>
      <c r="AS27" s="8">
        <v>33.21</v>
      </c>
      <c r="AT27" s="21">
        <v>0</v>
      </c>
      <c r="AU27" s="21">
        <v>33.21</v>
      </c>
      <c r="AV27" s="21">
        <v>0</v>
      </c>
      <c r="AW27" s="21">
        <v>0</v>
      </c>
      <c r="AX27" s="21">
        <v>0</v>
      </c>
      <c r="AY27" s="8">
        <v>0</v>
      </c>
    </row>
    <row r="28" spans="1:51" ht="15" customHeight="1" x14ac:dyDescent="0.25">
      <c r="A28" s="9">
        <v>742</v>
      </c>
      <c r="B28" s="13">
        <v>45702</v>
      </c>
      <c r="C28" s="9" t="s">
        <v>169</v>
      </c>
      <c r="D28" s="9">
        <v>9518519644</v>
      </c>
      <c r="E28" s="8">
        <v>7</v>
      </c>
      <c r="F28" s="9" t="s">
        <v>516</v>
      </c>
      <c r="G28" s="9" t="s">
        <v>320</v>
      </c>
      <c r="H28" s="9" t="s">
        <v>57</v>
      </c>
      <c r="I28" s="9" t="s">
        <v>25</v>
      </c>
      <c r="J28" s="9" t="s">
        <v>31</v>
      </c>
      <c r="K28" s="9">
        <v>2000</v>
      </c>
      <c r="L28" s="39"/>
      <c r="M28" s="7" t="s">
        <v>1</v>
      </c>
      <c r="N28" s="8"/>
      <c r="O28" s="40"/>
      <c r="P28" s="15" t="s">
        <v>199</v>
      </c>
      <c r="Q28" s="9" t="s">
        <v>180</v>
      </c>
      <c r="R28" s="9" t="s">
        <v>318</v>
      </c>
      <c r="S28" s="9" t="s">
        <v>859</v>
      </c>
      <c r="T28" s="9">
        <v>103227</v>
      </c>
      <c r="U28" s="16" t="s">
        <v>91</v>
      </c>
      <c r="V28" s="9">
        <v>3239567</v>
      </c>
      <c r="W28" s="8" t="s">
        <v>255</v>
      </c>
      <c r="X28" s="8" t="s">
        <v>175</v>
      </c>
      <c r="Y28" s="8" t="s">
        <v>175</v>
      </c>
      <c r="Z28" s="8"/>
      <c r="AA28" s="8"/>
      <c r="AB28" s="8" t="s">
        <v>183</v>
      </c>
      <c r="AC28" s="8" t="s">
        <v>210</v>
      </c>
      <c r="AD28" s="14" t="s">
        <v>211</v>
      </c>
      <c r="AE28" s="8" t="s">
        <v>212</v>
      </c>
      <c r="AF28" s="14">
        <v>0.45</v>
      </c>
      <c r="AG28" s="8">
        <v>1000</v>
      </c>
      <c r="AH28" s="8">
        <v>2500</v>
      </c>
      <c r="AI28" s="8">
        <v>51</v>
      </c>
      <c r="AJ28" s="8">
        <v>0</v>
      </c>
      <c r="AK28" s="127">
        <v>30.13</v>
      </c>
      <c r="AL28" s="103">
        <v>20.87</v>
      </c>
      <c r="AM28" s="8">
        <v>30.13</v>
      </c>
      <c r="AN28" s="21">
        <v>0</v>
      </c>
      <c r="AO28" s="21">
        <v>30.13</v>
      </c>
      <c r="AP28" s="21">
        <v>0</v>
      </c>
      <c r="AQ28" s="21">
        <v>0</v>
      </c>
      <c r="AR28" s="21">
        <v>0</v>
      </c>
      <c r="AS28" s="8">
        <v>51</v>
      </c>
      <c r="AT28" s="21">
        <v>0</v>
      </c>
      <c r="AU28" s="21">
        <v>0</v>
      </c>
      <c r="AV28" s="21">
        <v>51</v>
      </c>
      <c r="AW28" s="21">
        <v>0</v>
      </c>
      <c r="AX28" s="21">
        <v>0</v>
      </c>
      <c r="AY28" s="8">
        <v>0</v>
      </c>
    </row>
    <row r="29" spans="1:51" ht="15" customHeight="1" x14ac:dyDescent="0.25">
      <c r="A29" s="9">
        <v>742</v>
      </c>
      <c r="B29" s="13">
        <v>45702</v>
      </c>
      <c r="C29" s="9" t="s">
        <v>169</v>
      </c>
      <c r="D29" s="9">
        <v>9518519644</v>
      </c>
      <c r="E29" s="8">
        <v>9</v>
      </c>
      <c r="F29" s="9" t="s">
        <v>517</v>
      </c>
      <c r="G29" s="9" t="s">
        <v>1687</v>
      </c>
      <c r="H29" s="9" t="s">
        <v>57</v>
      </c>
      <c r="I29" s="9" t="s">
        <v>25</v>
      </c>
      <c r="J29" s="9" t="s">
        <v>31</v>
      </c>
      <c r="K29" s="9">
        <v>2000</v>
      </c>
      <c r="L29" s="39"/>
      <c r="M29" s="7" t="s">
        <v>1</v>
      </c>
      <c r="N29" s="8"/>
      <c r="O29" s="40"/>
      <c r="P29" s="15" t="s">
        <v>199</v>
      </c>
      <c r="Q29" s="9" t="s">
        <v>180</v>
      </c>
      <c r="R29" s="9" t="s">
        <v>318</v>
      </c>
      <c r="S29" s="9" t="s">
        <v>859</v>
      </c>
      <c r="T29" s="9">
        <v>103227</v>
      </c>
      <c r="U29" s="16" t="s">
        <v>91</v>
      </c>
      <c r="V29" s="9">
        <v>3239572</v>
      </c>
      <c r="W29" s="8" t="s">
        <v>376</v>
      </c>
      <c r="X29" s="8" t="s">
        <v>175</v>
      </c>
      <c r="Y29" s="8" t="s">
        <v>175</v>
      </c>
      <c r="Z29" s="8"/>
      <c r="AA29" s="8"/>
      <c r="AB29" s="8" t="s">
        <v>183</v>
      </c>
      <c r="AC29" s="8" t="s">
        <v>210</v>
      </c>
      <c r="AD29" s="14" t="s">
        <v>211</v>
      </c>
      <c r="AE29" s="8" t="s">
        <v>212</v>
      </c>
      <c r="AF29" s="14">
        <v>0.48</v>
      </c>
      <c r="AG29" s="8">
        <v>1000</v>
      </c>
      <c r="AH29" s="8">
        <v>2500</v>
      </c>
      <c r="AI29" s="8">
        <v>24</v>
      </c>
      <c r="AJ29" s="8">
        <v>0</v>
      </c>
      <c r="AK29" s="127">
        <v>3.74</v>
      </c>
      <c r="AL29" s="103">
        <v>20.259999999999998</v>
      </c>
      <c r="AM29" s="8">
        <v>0</v>
      </c>
      <c r="AN29" s="21">
        <v>0</v>
      </c>
      <c r="AO29" s="21">
        <v>0</v>
      </c>
      <c r="AP29" s="21">
        <v>0</v>
      </c>
      <c r="AQ29" s="21">
        <v>0</v>
      </c>
      <c r="AR29" s="21">
        <v>0</v>
      </c>
      <c r="AS29" s="8">
        <v>20.259999999999998</v>
      </c>
      <c r="AT29" s="21">
        <v>20.259999999999998</v>
      </c>
      <c r="AU29" s="21">
        <v>0</v>
      </c>
      <c r="AV29" s="21">
        <v>0</v>
      </c>
      <c r="AW29" s="21">
        <v>0</v>
      </c>
      <c r="AX29" s="21">
        <v>0</v>
      </c>
      <c r="AY29" s="8">
        <v>0</v>
      </c>
    </row>
    <row r="30" spans="1:51" ht="15" customHeight="1" x14ac:dyDescent="0.25">
      <c r="A30" s="9">
        <v>742</v>
      </c>
      <c r="B30" s="13">
        <v>45702</v>
      </c>
      <c r="C30" s="9" t="s">
        <v>169</v>
      </c>
      <c r="D30" s="9">
        <v>9518520213</v>
      </c>
      <c r="E30" s="8">
        <v>7</v>
      </c>
      <c r="F30" s="9" t="s">
        <v>518</v>
      </c>
      <c r="G30" s="9" t="s">
        <v>1687</v>
      </c>
      <c r="H30" s="9" t="s">
        <v>57</v>
      </c>
      <c r="I30" s="9" t="s">
        <v>25</v>
      </c>
      <c r="J30" s="9" t="s">
        <v>31</v>
      </c>
      <c r="K30" s="9">
        <v>2000</v>
      </c>
      <c r="L30" s="39"/>
      <c r="M30" s="7" t="s">
        <v>1</v>
      </c>
      <c r="N30" s="8"/>
      <c r="O30" s="40" t="s">
        <v>1335</v>
      </c>
      <c r="P30" s="15" t="s">
        <v>199</v>
      </c>
      <c r="Q30" s="9" t="s">
        <v>180</v>
      </c>
      <c r="R30" s="9" t="s">
        <v>200</v>
      </c>
      <c r="S30" s="9" t="s">
        <v>859</v>
      </c>
      <c r="T30" s="9">
        <v>103227</v>
      </c>
      <c r="U30" s="16" t="s">
        <v>91</v>
      </c>
      <c r="V30" s="9">
        <v>3239567</v>
      </c>
      <c r="W30" s="8" t="s">
        <v>255</v>
      </c>
      <c r="X30" s="8" t="s">
        <v>175</v>
      </c>
      <c r="Y30" s="8" t="s">
        <v>175</v>
      </c>
      <c r="Z30" s="8"/>
      <c r="AA30" s="8"/>
      <c r="AB30" s="8" t="s">
        <v>183</v>
      </c>
      <c r="AC30" s="8" t="s">
        <v>210</v>
      </c>
      <c r="AD30" s="14" t="s">
        <v>211</v>
      </c>
      <c r="AE30" s="8" t="s">
        <v>212</v>
      </c>
      <c r="AF30" s="14">
        <v>0.45</v>
      </c>
      <c r="AG30" s="8">
        <v>1000</v>
      </c>
      <c r="AH30" s="8">
        <v>2500</v>
      </c>
      <c r="AI30" s="8">
        <v>51</v>
      </c>
      <c r="AJ30" s="8">
        <v>0</v>
      </c>
      <c r="AK30" s="127">
        <v>8.92</v>
      </c>
      <c r="AL30" s="103">
        <v>42.079999999999991</v>
      </c>
      <c r="AM30" s="8">
        <v>0</v>
      </c>
      <c r="AN30" s="21">
        <v>0</v>
      </c>
      <c r="AO30" s="21">
        <v>0</v>
      </c>
      <c r="AP30" s="21">
        <v>0</v>
      </c>
      <c r="AQ30" s="21">
        <v>0</v>
      </c>
      <c r="AR30" s="21">
        <v>0</v>
      </c>
      <c r="AS30" s="8">
        <v>42.079999999999991</v>
      </c>
      <c r="AT30" s="21">
        <v>42.079999999999991</v>
      </c>
      <c r="AU30" s="21">
        <v>0</v>
      </c>
      <c r="AV30" s="21">
        <v>0</v>
      </c>
      <c r="AW30" s="21">
        <v>0</v>
      </c>
      <c r="AX30" s="21">
        <v>0</v>
      </c>
      <c r="AY30" s="8">
        <v>0</v>
      </c>
    </row>
    <row r="31" spans="1:51" ht="15" customHeight="1" x14ac:dyDescent="0.25">
      <c r="A31" s="9">
        <v>742</v>
      </c>
      <c r="B31" s="13">
        <v>45702</v>
      </c>
      <c r="C31" s="9" t="s">
        <v>169</v>
      </c>
      <c r="D31" s="9">
        <v>9518520213</v>
      </c>
      <c r="E31" s="8">
        <v>9</v>
      </c>
      <c r="F31" s="9" t="s">
        <v>519</v>
      </c>
      <c r="G31" s="9" t="s">
        <v>1303</v>
      </c>
      <c r="H31" s="9" t="s">
        <v>57</v>
      </c>
      <c r="I31" s="9" t="s">
        <v>25</v>
      </c>
      <c r="J31" s="9" t="s">
        <v>31</v>
      </c>
      <c r="K31" s="9">
        <v>2000</v>
      </c>
      <c r="L31" s="39"/>
      <c r="M31" s="7" t="s">
        <v>1</v>
      </c>
      <c r="N31" s="8"/>
      <c r="O31" s="40"/>
      <c r="P31" s="15" t="s">
        <v>199</v>
      </c>
      <c r="Q31" s="9" t="s">
        <v>180</v>
      </c>
      <c r="R31" s="9" t="s">
        <v>200</v>
      </c>
      <c r="S31" s="9" t="s">
        <v>859</v>
      </c>
      <c r="T31" s="9">
        <v>103227</v>
      </c>
      <c r="U31" s="16" t="s">
        <v>91</v>
      </c>
      <c r="V31" s="9">
        <v>3239572</v>
      </c>
      <c r="W31" s="8" t="s">
        <v>376</v>
      </c>
      <c r="X31" s="8" t="s">
        <v>175</v>
      </c>
      <c r="Y31" s="8" t="s">
        <v>175</v>
      </c>
      <c r="Z31" s="8"/>
      <c r="AA31" s="8"/>
      <c r="AB31" s="8" t="s">
        <v>183</v>
      </c>
      <c r="AC31" s="8" t="s">
        <v>210</v>
      </c>
      <c r="AD31" s="14" t="s">
        <v>211</v>
      </c>
      <c r="AE31" s="8" t="s">
        <v>212</v>
      </c>
      <c r="AF31" s="14">
        <v>0.48</v>
      </c>
      <c r="AG31" s="8">
        <v>1000</v>
      </c>
      <c r="AH31" s="8">
        <v>2500</v>
      </c>
      <c r="AI31" s="8">
        <v>24</v>
      </c>
      <c r="AJ31" s="8">
        <v>0</v>
      </c>
      <c r="AK31" s="127">
        <v>24</v>
      </c>
      <c r="AL31" s="103">
        <v>20.595000000000002</v>
      </c>
      <c r="AM31" s="8">
        <v>24</v>
      </c>
      <c r="AN31" s="21">
        <v>24</v>
      </c>
      <c r="AO31" s="21">
        <v>0</v>
      </c>
      <c r="AP31" s="21">
        <v>0</v>
      </c>
      <c r="AQ31" s="21">
        <v>0</v>
      </c>
      <c r="AR31" s="21">
        <v>0</v>
      </c>
      <c r="AS31" s="8">
        <v>44.594999999999999</v>
      </c>
      <c r="AT31" s="21">
        <v>0</v>
      </c>
      <c r="AU31" s="21">
        <v>44.594999999999999</v>
      </c>
      <c r="AV31" s="21">
        <v>0</v>
      </c>
      <c r="AW31" s="21">
        <v>0</v>
      </c>
      <c r="AX31" s="21">
        <v>0</v>
      </c>
      <c r="AY31" s="8">
        <v>0</v>
      </c>
    </row>
    <row r="32" spans="1:51" ht="15" customHeight="1" x14ac:dyDescent="0.25">
      <c r="A32" s="9">
        <v>743</v>
      </c>
      <c r="B32" s="13">
        <v>45694</v>
      </c>
      <c r="C32" s="9" t="s">
        <v>169</v>
      </c>
      <c r="D32" s="9">
        <v>9518498761</v>
      </c>
      <c r="E32" s="8">
        <v>3</v>
      </c>
      <c r="F32" s="99" t="s">
        <v>520</v>
      </c>
      <c r="G32" s="9" t="s">
        <v>1687</v>
      </c>
      <c r="H32" s="9" t="s">
        <v>57</v>
      </c>
      <c r="I32" s="9" t="s">
        <v>43</v>
      </c>
      <c r="J32" s="9" t="s">
        <v>45</v>
      </c>
      <c r="K32" s="9">
        <v>2000</v>
      </c>
      <c r="L32" s="39"/>
      <c r="M32" s="7" t="s">
        <v>1</v>
      </c>
      <c r="N32" s="8"/>
      <c r="O32" s="40" t="s">
        <v>1335</v>
      </c>
      <c r="P32" s="15" t="s">
        <v>220</v>
      </c>
      <c r="Q32" s="9" t="s">
        <v>180</v>
      </c>
      <c r="R32" s="9" t="s">
        <v>1569</v>
      </c>
      <c r="S32" s="9" t="s">
        <v>858</v>
      </c>
      <c r="T32" s="9">
        <v>121328</v>
      </c>
      <c r="U32" s="16" t="s">
        <v>81</v>
      </c>
      <c r="V32" s="9">
        <v>1191956</v>
      </c>
      <c r="W32" s="8" t="s">
        <v>440</v>
      </c>
      <c r="X32" s="8">
        <v>80</v>
      </c>
      <c r="Y32" s="8" t="s">
        <v>175</v>
      </c>
      <c r="Z32" s="8"/>
      <c r="AA32" s="8"/>
      <c r="AB32" s="8" t="s">
        <v>183</v>
      </c>
      <c r="AC32" s="8" t="s">
        <v>238</v>
      </c>
      <c r="AD32" s="14" t="s">
        <v>185</v>
      </c>
      <c r="AE32" s="8" t="s">
        <v>186</v>
      </c>
      <c r="AF32" s="14">
        <v>0.35</v>
      </c>
      <c r="AG32" s="8">
        <v>900</v>
      </c>
      <c r="AH32" s="8">
        <v>0</v>
      </c>
      <c r="AI32" s="8">
        <v>105</v>
      </c>
      <c r="AJ32" s="8">
        <v>0</v>
      </c>
      <c r="AK32" s="127">
        <v>7.1150000000000002</v>
      </c>
      <c r="AL32" s="103">
        <v>6.4550000000000001</v>
      </c>
      <c r="AM32" s="8">
        <v>0</v>
      </c>
      <c r="AN32" s="21">
        <v>0</v>
      </c>
      <c r="AO32" s="21">
        <v>0</v>
      </c>
      <c r="AP32" s="21">
        <v>0</v>
      </c>
      <c r="AQ32" s="21">
        <v>0</v>
      </c>
      <c r="AR32" s="21">
        <v>0</v>
      </c>
      <c r="AS32" s="8">
        <v>6.4550000000000001</v>
      </c>
      <c r="AT32" s="21">
        <v>6.4550000000000001</v>
      </c>
      <c r="AU32" s="21">
        <v>0</v>
      </c>
      <c r="AV32" s="21">
        <v>0</v>
      </c>
      <c r="AW32" s="21">
        <v>0</v>
      </c>
      <c r="AX32" s="21">
        <v>0</v>
      </c>
      <c r="AY32" s="8">
        <v>0</v>
      </c>
    </row>
    <row r="33" spans="1:51" ht="15" customHeight="1" x14ac:dyDescent="0.25">
      <c r="A33" s="9">
        <v>742</v>
      </c>
      <c r="B33" s="13">
        <v>45698</v>
      </c>
      <c r="C33" s="9" t="s">
        <v>169</v>
      </c>
      <c r="D33" s="9">
        <v>9518506961</v>
      </c>
      <c r="E33" s="8">
        <v>1</v>
      </c>
      <c r="F33" s="9" t="s">
        <v>522</v>
      </c>
      <c r="G33" s="9" t="s">
        <v>1687</v>
      </c>
      <c r="H33" s="9" t="s">
        <v>57</v>
      </c>
      <c r="I33" s="9" t="s">
        <v>25</v>
      </c>
      <c r="J33" s="9" t="s">
        <v>30</v>
      </c>
      <c r="K33" s="9">
        <v>2000</v>
      </c>
      <c r="L33" s="39"/>
      <c r="M33" s="7" t="s">
        <v>1</v>
      </c>
      <c r="N33" s="8"/>
      <c r="O33" s="40"/>
      <c r="P33" s="15" t="s">
        <v>171</v>
      </c>
      <c r="Q33" s="9" t="s">
        <v>172</v>
      </c>
      <c r="R33" s="9" t="s">
        <v>173</v>
      </c>
      <c r="S33" s="9" t="s">
        <v>858</v>
      </c>
      <c r="T33" s="9">
        <v>831432</v>
      </c>
      <c r="U33" s="16" t="s">
        <v>71</v>
      </c>
      <c r="V33" s="9">
        <v>1804908</v>
      </c>
      <c r="W33" s="8" t="s">
        <v>251</v>
      </c>
      <c r="X33" s="8" t="s">
        <v>175</v>
      </c>
      <c r="Y33" s="8" t="s">
        <v>175</v>
      </c>
      <c r="Z33" s="8"/>
      <c r="AA33" s="8"/>
      <c r="AB33" s="8" t="s">
        <v>176</v>
      </c>
      <c r="AC33" s="8" t="s">
        <v>190</v>
      </c>
      <c r="AD33" s="14" t="s">
        <v>211</v>
      </c>
      <c r="AE33" s="8" t="s">
        <v>252</v>
      </c>
      <c r="AF33" s="14">
        <v>0.5</v>
      </c>
      <c r="AG33" s="8">
        <v>1250</v>
      </c>
      <c r="AH33" s="8">
        <v>0</v>
      </c>
      <c r="AI33" s="8">
        <v>261</v>
      </c>
      <c r="AJ33" s="8">
        <v>238.05500000000001</v>
      </c>
      <c r="AK33" s="127">
        <v>1.56</v>
      </c>
      <c r="AL33" s="103">
        <v>12.98</v>
      </c>
      <c r="AM33" s="8">
        <v>0</v>
      </c>
      <c r="AN33" s="21">
        <v>0</v>
      </c>
      <c r="AO33" s="21">
        <v>0</v>
      </c>
      <c r="AP33" s="21">
        <v>0</v>
      </c>
      <c r="AQ33" s="21">
        <v>0</v>
      </c>
      <c r="AR33" s="21">
        <v>0</v>
      </c>
      <c r="AS33" s="8">
        <v>12.98</v>
      </c>
      <c r="AT33" s="21">
        <v>12.98</v>
      </c>
      <c r="AU33" s="21">
        <v>0</v>
      </c>
      <c r="AV33" s="21">
        <v>0</v>
      </c>
      <c r="AW33" s="21">
        <v>0</v>
      </c>
      <c r="AX33" s="21">
        <v>0</v>
      </c>
      <c r="AY33" s="8">
        <v>0</v>
      </c>
    </row>
    <row r="34" spans="1:51" ht="15" customHeight="1" x14ac:dyDescent="0.25">
      <c r="A34" s="9">
        <v>742</v>
      </c>
      <c r="B34" s="13">
        <v>45698</v>
      </c>
      <c r="C34" s="9" t="s">
        <v>169</v>
      </c>
      <c r="D34" s="9">
        <v>9518506961</v>
      </c>
      <c r="E34" s="8">
        <v>3</v>
      </c>
      <c r="F34" s="9" t="s">
        <v>523</v>
      </c>
      <c r="G34" s="9" t="s">
        <v>1687</v>
      </c>
      <c r="H34" s="9" t="s">
        <v>57</v>
      </c>
      <c r="I34" s="9" t="s">
        <v>25</v>
      </c>
      <c r="J34" s="9" t="s">
        <v>30</v>
      </c>
      <c r="K34" s="9">
        <v>2000</v>
      </c>
      <c r="L34" s="39"/>
      <c r="M34" s="7" t="s">
        <v>1</v>
      </c>
      <c r="N34" s="8"/>
      <c r="O34" s="40"/>
      <c r="P34" s="15" t="s">
        <v>171</v>
      </c>
      <c r="Q34" s="9" t="s">
        <v>172</v>
      </c>
      <c r="R34" s="9" t="s">
        <v>173</v>
      </c>
      <c r="S34" s="9" t="s">
        <v>858</v>
      </c>
      <c r="T34" s="9">
        <v>831432</v>
      </c>
      <c r="U34" s="16" t="s">
        <v>71</v>
      </c>
      <c r="V34" s="9">
        <v>1804908</v>
      </c>
      <c r="W34" s="8" t="s">
        <v>251</v>
      </c>
      <c r="X34" s="8" t="s">
        <v>175</v>
      </c>
      <c r="Y34" s="8" t="s">
        <v>175</v>
      </c>
      <c r="Z34" s="8"/>
      <c r="AA34" s="8"/>
      <c r="AB34" s="8" t="s">
        <v>176</v>
      </c>
      <c r="AC34" s="8" t="s">
        <v>190</v>
      </c>
      <c r="AD34" s="14" t="s">
        <v>211</v>
      </c>
      <c r="AE34" s="8" t="s">
        <v>252</v>
      </c>
      <c r="AF34" s="14">
        <v>0.5</v>
      </c>
      <c r="AG34" s="8">
        <v>1250</v>
      </c>
      <c r="AH34" s="8">
        <v>0</v>
      </c>
      <c r="AI34" s="8">
        <v>261</v>
      </c>
      <c r="AJ34" s="8">
        <v>232.95500000000001</v>
      </c>
      <c r="AK34" s="127">
        <v>2.5150000000000001</v>
      </c>
      <c r="AL34" s="103">
        <v>12.27</v>
      </c>
      <c r="AM34" s="8">
        <v>0</v>
      </c>
      <c r="AN34" s="21">
        <v>0</v>
      </c>
      <c r="AO34" s="21">
        <v>0</v>
      </c>
      <c r="AP34" s="21">
        <v>0</v>
      </c>
      <c r="AQ34" s="21">
        <v>0</v>
      </c>
      <c r="AR34" s="21">
        <v>0</v>
      </c>
      <c r="AS34" s="8">
        <v>12.27</v>
      </c>
      <c r="AT34" s="21">
        <v>12.27</v>
      </c>
      <c r="AU34" s="21">
        <v>0</v>
      </c>
      <c r="AV34" s="21">
        <v>0</v>
      </c>
      <c r="AW34" s="21">
        <v>0</v>
      </c>
      <c r="AX34" s="21">
        <v>0</v>
      </c>
      <c r="AY34" s="8">
        <v>0</v>
      </c>
    </row>
    <row r="35" spans="1:51" ht="15" customHeight="1" x14ac:dyDescent="0.25">
      <c r="A35" s="9">
        <v>742</v>
      </c>
      <c r="B35" s="13">
        <v>45694</v>
      </c>
      <c r="C35" s="9" t="s">
        <v>169</v>
      </c>
      <c r="D35" s="9">
        <v>9518499138</v>
      </c>
      <c r="E35" s="8">
        <v>7</v>
      </c>
      <c r="F35" s="9" t="s">
        <v>540</v>
      </c>
      <c r="G35" s="9" t="s">
        <v>1303</v>
      </c>
      <c r="H35" s="9" t="s">
        <v>57</v>
      </c>
      <c r="I35" s="9" t="s">
        <v>25</v>
      </c>
      <c r="J35" s="9" t="s">
        <v>31</v>
      </c>
      <c r="K35" s="9">
        <v>2000</v>
      </c>
      <c r="L35" s="39"/>
      <c r="M35" s="7" t="s">
        <v>1</v>
      </c>
      <c r="N35" s="8"/>
      <c r="O35" s="40"/>
      <c r="P35" s="15" t="s">
        <v>220</v>
      </c>
      <c r="Q35" s="9" t="s">
        <v>180</v>
      </c>
      <c r="R35" s="9" t="s">
        <v>1569</v>
      </c>
      <c r="S35" s="9" t="s">
        <v>859</v>
      </c>
      <c r="T35" s="9">
        <v>121328</v>
      </c>
      <c r="U35" s="16" t="s">
        <v>81</v>
      </c>
      <c r="V35" s="9">
        <v>3152199</v>
      </c>
      <c r="W35" s="8" t="s">
        <v>538</v>
      </c>
      <c r="X35" s="8" t="s">
        <v>175</v>
      </c>
      <c r="Y35" s="8" t="s">
        <v>175</v>
      </c>
      <c r="Z35" s="8"/>
      <c r="AA35" s="8"/>
      <c r="AB35" s="8" t="s">
        <v>183</v>
      </c>
      <c r="AC35" s="8" t="s">
        <v>210</v>
      </c>
      <c r="AD35" s="14" t="s">
        <v>211</v>
      </c>
      <c r="AE35" s="8" t="s">
        <v>212</v>
      </c>
      <c r="AF35" s="14">
        <v>0.43</v>
      </c>
      <c r="AG35" s="8">
        <v>1000</v>
      </c>
      <c r="AH35" s="8">
        <v>2500</v>
      </c>
      <c r="AI35" s="8">
        <v>60</v>
      </c>
      <c r="AJ35" s="8">
        <v>0</v>
      </c>
      <c r="AK35" s="127">
        <v>39.590000000000003</v>
      </c>
      <c r="AL35" s="103">
        <v>0</v>
      </c>
      <c r="AM35" s="8">
        <v>39.590000000000003</v>
      </c>
      <c r="AN35" s="21">
        <v>39.590000000000003</v>
      </c>
      <c r="AO35" s="21">
        <v>0</v>
      </c>
      <c r="AP35" s="21">
        <v>0</v>
      </c>
      <c r="AQ35" s="21">
        <v>0</v>
      </c>
      <c r="AR35" s="21">
        <v>0</v>
      </c>
      <c r="AS35" s="8">
        <v>39.590000000000003</v>
      </c>
      <c r="AT35" s="21">
        <v>0</v>
      </c>
      <c r="AU35" s="21">
        <v>39.590000000000003</v>
      </c>
      <c r="AV35" s="21">
        <v>0</v>
      </c>
      <c r="AW35" s="21">
        <v>0</v>
      </c>
      <c r="AX35" s="21">
        <v>0</v>
      </c>
      <c r="AY35" s="8">
        <v>0</v>
      </c>
    </row>
    <row r="36" spans="1:51" ht="15" customHeight="1" x14ac:dyDescent="0.25">
      <c r="A36" s="9">
        <v>743</v>
      </c>
      <c r="B36" s="13">
        <v>45702</v>
      </c>
      <c r="C36" s="9" t="s">
        <v>169</v>
      </c>
      <c r="D36" s="9">
        <v>9518519620</v>
      </c>
      <c r="E36" s="8">
        <v>5</v>
      </c>
      <c r="F36" s="99" t="s">
        <v>541</v>
      </c>
      <c r="G36" s="9" t="s">
        <v>1687</v>
      </c>
      <c r="H36" s="9" t="s">
        <v>57</v>
      </c>
      <c r="I36" s="9" t="s">
        <v>43</v>
      </c>
      <c r="J36" s="9" t="s">
        <v>45</v>
      </c>
      <c r="K36" s="9">
        <v>2000</v>
      </c>
      <c r="L36" s="39"/>
      <c r="M36" s="7" t="s">
        <v>1</v>
      </c>
      <c r="N36" s="8"/>
      <c r="O36" s="40"/>
      <c r="P36" s="15" t="s">
        <v>199</v>
      </c>
      <c r="Q36" s="9" t="s">
        <v>180</v>
      </c>
      <c r="R36" s="9" t="s">
        <v>318</v>
      </c>
      <c r="S36" s="9" t="s">
        <v>858</v>
      </c>
      <c r="T36" s="9">
        <v>103227</v>
      </c>
      <c r="U36" s="16" t="s">
        <v>91</v>
      </c>
      <c r="V36" s="9">
        <v>1854424</v>
      </c>
      <c r="W36" s="8" t="s">
        <v>319</v>
      </c>
      <c r="X36" s="8">
        <v>80</v>
      </c>
      <c r="Y36" s="8" t="s">
        <v>175</v>
      </c>
      <c r="Z36" s="8"/>
      <c r="AA36" s="8"/>
      <c r="AB36" s="8" t="s">
        <v>183</v>
      </c>
      <c r="AC36" s="8" t="s">
        <v>238</v>
      </c>
      <c r="AD36" s="14" t="s">
        <v>185</v>
      </c>
      <c r="AE36" s="8" t="s">
        <v>186</v>
      </c>
      <c r="AF36" s="14">
        <v>0.6</v>
      </c>
      <c r="AG36" s="8">
        <v>900</v>
      </c>
      <c r="AH36" s="8">
        <v>0</v>
      </c>
      <c r="AI36" s="8">
        <v>210</v>
      </c>
      <c r="AJ36" s="8">
        <v>0</v>
      </c>
      <c r="AK36" s="127">
        <v>16.295000000000002</v>
      </c>
      <c r="AL36" s="103">
        <v>51.834999999999994</v>
      </c>
      <c r="AM36" s="8">
        <v>0</v>
      </c>
      <c r="AN36" s="21">
        <v>0</v>
      </c>
      <c r="AO36" s="21">
        <v>0</v>
      </c>
      <c r="AP36" s="21">
        <v>0</v>
      </c>
      <c r="AQ36" s="21">
        <v>0</v>
      </c>
      <c r="AR36" s="21">
        <v>0</v>
      </c>
      <c r="AS36" s="8">
        <v>51.834999999999994</v>
      </c>
      <c r="AT36" s="21">
        <v>51.834999999999994</v>
      </c>
      <c r="AU36" s="21">
        <v>0</v>
      </c>
      <c r="AV36" s="21">
        <v>0</v>
      </c>
      <c r="AW36" s="21">
        <v>0</v>
      </c>
      <c r="AX36" s="21">
        <v>0</v>
      </c>
      <c r="AY36" s="8">
        <v>0</v>
      </c>
    </row>
    <row r="37" spans="1:51" ht="15" customHeight="1" x14ac:dyDescent="0.25">
      <c r="A37" s="9">
        <v>743</v>
      </c>
      <c r="B37" s="13">
        <v>45670</v>
      </c>
      <c r="C37" s="9" t="s">
        <v>169</v>
      </c>
      <c r="D37" s="9">
        <v>9518424820</v>
      </c>
      <c r="E37" s="8">
        <v>7</v>
      </c>
      <c r="F37" s="99" t="s">
        <v>542</v>
      </c>
      <c r="G37" s="9" t="s">
        <v>1687</v>
      </c>
      <c r="H37" s="9" t="s">
        <v>57</v>
      </c>
      <c r="I37" s="9" t="s">
        <v>43</v>
      </c>
      <c r="J37" s="9" t="s">
        <v>45</v>
      </c>
      <c r="K37" s="9">
        <v>2000</v>
      </c>
      <c r="L37" s="39"/>
      <c r="M37" s="7" t="s">
        <v>1</v>
      </c>
      <c r="N37" s="8"/>
      <c r="O37" s="40"/>
      <c r="P37" s="15" t="s">
        <v>207</v>
      </c>
      <c r="Q37" s="9" t="s">
        <v>180</v>
      </c>
      <c r="R37" s="9" t="s">
        <v>306</v>
      </c>
      <c r="S37" s="9" t="s">
        <v>858</v>
      </c>
      <c r="T37" s="9">
        <v>100922</v>
      </c>
      <c r="U37" s="16" t="s">
        <v>115</v>
      </c>
      <c r="V37" s="9">
        <v>3215894</v>
      </c>
      <c r="W37" s="8" t="s">
        <v>307</v>
      </c>
      <c r="X37" s="8" t="s">
        <v>175</v>
      </c>
      <c r="Y37" s="8" t="s">
        <v>175</v>
      </c>
      <c r="Z37" s="8"/>
      <c r="AA37" s="8"/>
      <c r="AB37" s="8" t="s">
        <v>183</v>
      </c>
      <c r="AC37" s="8" t="s">
        <v>238</v>
      </c>
      <c r="AD37" s="14" t="s">
        <v>185</v>
      </c>
      <c r="AE37" s="8" t="s">
        <v>309</v>
      </c>
      <c r="AF37" s="14">
        <v>0.6</v>
      </c>
      <c r="AG37" s="8">
        <v>900</v>
      </c>
      <c r="AH37" s="8">
        <v>0</v>
      </c>
      <c r="AI37" s="8">
        <v>105</v>
      </c>
      <c r="AJ37" s="8">
        <v>15.17</v>
      </c>
      <c r="AK37" s="127">
        <v>0</v>
      </c>
      <c r="AL37" s="103">
        <v>31.17</v>
      </c>
      <c r="AM37" s="8">
        <v>0</v>
      </c>
      <c r="AN37" s="21">
        <v>0</v>
      </c>
      <c r="AO37" s="21">
        <v>0</v>
      </c>
      <c r="AP37" s="21">
        <v>0</v>
      </c>
      <c r="AQ37" s="21">
        <v>0</v>
      </c>
      <c r="AR37" s="21">
        <v>0</v>
      </c>
      <c r="AS37" s="8">
        <v>31.17</v>
      </c>
      <c r="AT37" s="21">
        <v>31.17</v>
      </c>
      <c r="AU37" s="21">
        <v>0</v>
      </c>
      <c r="AV37" s="21">
        <v>0</v>
      </c>
      <c r="AW37" s="21">
        <v>0</v>
      </c>
      <c r="AX37" s="21">
        <v>0</v>
      </c>
      <c r="AY37" s="8">
        <v>0</v>
      </c>
    </row>
    <row r="38" spans="1:51" ht="15" customHeight="1" x14ac:dyDescent="0.25">
      <c r="A38" s="9">
        <v>742</v>
      </c>
      <c r="B38" s="13">
        <v>45702</v>
      </c>
      <c r="C38" s="9" t="s">
        <v>169</v>
      </c>
      <c r="D38" s="9">
        <v>9518518311</v>
      </c>
      <c r="E38" s="8">
        <v>3</v>
      </c>
      <c r="F38" s="9" t="s">
        <v>543</v>
      </c>
      <c r="G38" s="9" t="s">
        <v>1303</v>
      </c>
      <c r="H38" s="9" t="s">
        <v>57</v>
      </c>
      <c r="I38" s="9" t="s">
        <v>25</v>
      </c>
      <c r="J38" s="9" t="s">
        <v>30</v>
      </c>
      <c r="K38" s="9">
        <v>2000</v>
      </c>
      <c r="L38" s="39"/>
      <c r="M38" s="7" t="s">
        <v>1</v>
      </c>
      <c r="N38" s="8"/>
      <c r="O38" s="40" t="s">
        <v>1335</v>
      </c>
      <c r="P38" s="15" t="s">
        <v>321</v>
      </c>
      <c r="Q38" s="9" t="s">
        <v>214</v>
      </c>
      <c r="R38" s="9" t="s">
        <v>340</v>
      </c>
      <c r="S38" s="9" t="s">
        <v>858</v>
      </c>
      <c r="T38" s="9">
        <v>947126</v>
      </c>
      <c r="U38" s="16" t="s">
        <v>66</v>
      </c>
      <c r="V38" s="9">
        <v>1804908</v>
      </c>
      <c r="W38" s="8" t="s">
        <v>251</v>
      </c>
      <c r="X38" s="8" t="s">
        <v>175</v>
      </c>
      <c r="Y38" s="8" t="s">
        <v>175</v>
      </c>
      <c r="Z38" s="8"/>
      <c r="AA38" s="8"/>
      <c r="AB38" s="8" t="s">
        <v>176</v>
      </c>
      <c r="AC38" s="8" t="s">
        <v>190</v>
      </c>
      <c r="AD38" s="14" t="s">
        <v>211</v>
      </c>
      <c r="AE38" s="8" t="s">
        <v>252</v>
      </c>
      <c r="AF38" s="14">
        <v>0.5</v>
      </c>
      <c r="AG38" s="8">
        <v>1250</v>
      </c>
      <c r="AH38" s="8">
        <v>0</v>
      </c>
      <c r="AI38" s="8">
        <v>87</v>
      </c>
      <c r="AJ38" s="8">
        <v>0</v>
      </c>
      <c r="AK38" s="127">
        <v>61.61</v>
      </c>
      <c r="AL38" s="103">
        <v>0</v>
      </c>
      <c r="AM38" s="8">
        <v>61.61</v>
      </c>
      <c r="AN38" s="21">
        <v>0</v>
      </c>
      <c r="AO38" s="21">
        <v>61.61</v>
      </c>
      <c r="AP38" s="21">
        <v>0</v>
      </c>
      <c r="AQ38" s="21">
        <v>0</v>
      </c>
      <c r="AR38" s="21">
        <v>0</v>
      </c>
      <c r="AS38" s="8">
        <v>61.61</v>
      </c>
      <c r="AT38" s="21">
        <v>0</v>
      </c>
      <c r="AU38" s="21">
        <v>61.61</v>
      </c>
      <c r="AV38" s="21">
        <v>0</v>
      </c>
      <c r="AW38" s="21">
        <v>0</v>
      </c>
      <c r="AX38" s="21">
        <v>0</v>
      </c>
      <c r="AY38" s="8">
        <v>0</v>
      </c>
    </row>
    <row r="39" spans="1:51" ht="15" customHeight="1" x14ac:dyDescent="0.25">
      <c r="A39" s="9">
        <v>742</v>
      </c>
      <c r="B39" s="13">
        <v>45702</v>
      </c>
      <c r="C39" s="9" t="s">
        <v>169</v>
      </c>
      <c r="D39" s="9">
        <v>9518518311</v>
      </c>
      <c r="E39" s="8">
        <v>7</v>
      </c>
      <c r="F39" s="9" t="s">
        <v>544</v>
      </c>
      <c r="G39" s="9" t="s">
        <v>320</v>
      </c>
      <c r="H39" s="9" t="s">
        <v>57</v>
      </c>
      <c r="I39" s="9" t="s">
        <v>25</v>
      </c>
      <c r="J39" s="9" t="s">
        <v>30</v>
      </c>
      <c r="K39" s="9">
        <v>2000</v>
      </c>
      <c r="L39" s="39"/>
      <c r="M39" s="7" t="s">
        <v>1</v>
      </c>
      <c r="N39" s="8"/>
      <c r="O39" s="40"/>
      <c r="P39" s="15" t="s">
        <v>321</v>
      </c>
      <c r="Q39" s="9" t="s">
        <v>214</v>
      </c>
      <c r="R39" s="9" t="s">
        <v>340</v>
      </c>
      <c r="S39" s="9" t="s">
        <v>858</v>
      </c>
      <c r="T39" s="9">
        <v>947126</v>
      </c>
      <c r="U39" s="16" t="s">
        <v>66</v>
      </c>
      <c r="V39" s="9">
        <v>2398457</v>
      </c>
      <c r="W39" s="8" t="s">
        <v>507</v>
      </c>
      <c r="X39" s="8" t="s">
        <v>175</v>
      </c>
      <c r="Y39" s="8" t="s">
        <v>175</v>
      </c>
      <c r="Z39" s="8"/>
      <c r="AA39" s="8"/>
      <c r="AB39" s="8" t="s">
        <v>176</v>
      </c>
      <c r="AC39" s="8" t="s">
        <v>190</v>
      </c>
      <c r="AD39" s="14" t="s">
        <v>191</v>
      </c>
      <c r="AE39" s="8" t="s">
        <v>192</v>
      </c>
      <c r="AF39" s="14">
        <v>1</v>
      </c>
      <c r="AG39" s="8">
        <v>1320</v>
      </c>
      <c r="AH39" s="8">
        <v>0</v>
      </c>
      <c r="AI39" s="8">
        <v>210</v>
      </c>
      <c r="AJ39" s="8">
        <v>184.95</v>
      </c>
      <c r="AK39" s="127">
        <v>25.05</v>
      </c>
      <c r="AL39" s="103">
        <v>0</v>
      </c>
      <c r="AM39" s="8">
        <v>25.05</v>
      </c>
      <c r="AN39" s="21">
        <v>0</v>
      </c>
      <c r="AO39" s="21">
        <v>25.05</v>
      </c>
      <c r="AP39" s="21">
        <v>0</v>
      </c>
      <c r="AQ39" s="21">
        <v>0</v>
      </c>
      <c r="AR39" s="21">
        <v>0</v>
      </c>
      <c r="AS39" s="8">
        <v>25.05</v>
      </c>
      <c r="AT39" s="21">
        <v>0</v>
      </c>
      <c r="AU39" s="21">
        <v>25.05</v>
      </c>
      <c r="AV39" s="21">
        <v>0</v>
      </c>
      <c r="AW39" s="21">
        <v>0</v>
      </c>
      <c r="AX39" s="21">
        <v>0</v>
      </c>
      <c r="AY39" s="8">
        <v>0</v>
      </c>
    </row>
    <row r="40" spans="1:51" ht="15" customHeight="1" x14ac:dyDescent="0.25">
      <c r="A40" s="9">
        <v>742</v>
      </c>
      <c r="B40" s="13">
        <v>45698</v>
      </c>
      <c r="C40" s="9" t="s">
        <v>169</v>
      </c>
      <c r="D40" s="9">
        <v>9518507185</v>
      </c>
      <c r="E40" s="8">
        <v>6</v>
      </c>
      <c r="F40" s="9" t="s">
        <v>545</v>
      </c>
      <c r="G40" s="9" t="s">
        <v>320</v>
      </c>
      <c r="H40" s="9" t="s">
        <v>57</v>
      </c>
      <c r="I40" s="9" t="s">
        <v>25</v>
      </c>
      <c r="J40" s="9" t="s">
        <v>31</v>
      </c>
      <c r="K40" s="9">
        <v>2000</v>
      </c>
      <c r="L40" s="39"/>
      <c r="M40" s="7" t="s">
        <v>1</v>
      </c>
      <c r="N40" s="8"/>
      <c r="O40" s="40"/>
      <c r="P40" s="15" t="s">
        <v>220</v>
      </c>
      <c r="Q40" s="9" t="s">
        <v>180</v>
      </c>
      <c r="R40" s="9" t="s">
        <v>261</v>
      </c>
      <c r="S40" s="9" t="s">
        <v>859</v>
      </c>
      <c r="T40" s="9">
        <v>185794</v>
      </c>
      <c r="U40" s="16" t="s">
        <v>97</v>
      </c>
      <c r="V40" s="9">
        <v>3239567</v>
      </c>
      <c r="W40" s="8" t="s">
        <v>255</v>
      </c>
      <c r="X40" s="8" t="s">
        <v>175</v>
      </c>
      <c r="Y40" s="8" t="s">
        <v>175</v>
      </c>
      <c r="Z40" s="8"/>
      <c r="AA40" s="8"/>
      <c r="AB40" s="8" t="s">
        <v>183</v>
      </c>
      <c r="AC40" s="8" t="s">
        <v>210</v>
      </c>
      <c r="AD40" s="14" t="s">
        <v>211</v>
      </c>
      <c r="AE40" s="8" t="s">
        <v>212</v>
      </c>
      <c r="AF40" s="14">
        <v>0.45</v>
      </c>
      <c r="AG40" s="8">
        <v>1000</v>
      </c>
      <c r="AH40" s="8">
        <v>2500</v>
      </c>
      <c r="AI40" s="8">
        <v>39</v>
      </c>
      <c r="AJ40" s="8">
        <v>0</v>
      </c>
      <c r="AK40" s="127">
        <v>18.18</v>
      </c>
      <c r="AL40" s="103">
        <v>2.97</v>
      </c>
      <c r="AM40" s="8">
        <v>18.18</v>
      </c>
      <c r="AN40" s="21">
        <v>0</v>
      </c>
      <c r="AO40" s="21">
        <v>18.18</v>
      </c>
      <c r="AP40" s="21">
        <v>0</v>
      </c>
      <c r="AQ40" s="21">
        <v>0</v>
      </c>
      <c r="AR40" s="21">
        <v>0</v>
      </c>
      <c r="AS40" s="8">
        <v>21.15</v>
      </c>
      <c r="AT40" s="21">
        <v>0</v>
      </c>
      <c r="AU40" s="21">
        <v>0</v>
      </c>
      <c r="AV40" s="21">
        <v>21.15</v>
      </c>
      <c r="AW40" s="21">
        <v>0</v>
      </c>
      <c r="AX40" s="21">
        <v>0</v>
      </c>
      <c r="AY40" s="8">
        <v>0</v>
      </c>
    </row>
    <row r="41" spans="1:51" ht="15" customHeight="1" x14ac:dyDescent="0.25">
      <c r="A41" s="9">
        <v>742</v>
      </c>
      <c r="B41" s="13">
        <v>45693</v>
      </c>
      <c r="C41" s="9" t="s">
        <v>169</v>
      </c>
      <c r="D41" s="9">
        <v>9518495161</v>
      </c>
      <c r="E41" s="8">
        <v>1</v>
      </c>
      <c r="F41" s="9" t="s">
        <v>558</v>
      </c>
      <c r="G41" s="9" t="s">
        <v>1687</v>
      </c>
      <c r="H41" s="9" t="s">
        <v>57</v>
      </c>
      <c r="I41" s="9" t="s">
        <v>25</v>
      </c>
      <c r="J41" s="9" t="s">
        <v>31</v>
      </c>
      <c r="K41" s="9">
        <v>2000</v>
      </c>
      <c r="L41" s="39"/>
      <c r="M41" s="7" t="s">
        <v>1</v>
      </c>
      <c r="N41" s="8"/>
      <c r="O41" s="40"/>
      <c r="P41" s="15" t="s">
        <v>220</v>
      </c>
      <c r="Q41" s="9" t="s">
        <v>180</v>
      </c>
      <c r="R41" s="9" t="s">
        <v>221</v>
      </c>
      <c r="S41" s="9" t="s">
        <v>859</v>
      </c>
      <c r="T41" s="9">
        <v>165053</v>
      </c>
      <c r="U41" s="16" t="s">
        <v>99</v>
      </c>
      <c r="V41" s="9">
        <v>3239567</v>
      </c>
      <c r="W41" s="8" t="s">
        <v>255</v>
      </c>
      <c r="X41" s="8" t="s">
        <v>175</v>
      </c>
      <c r="Y41" s="8" t="s">
        <v>175</v>
      </c>
      <c r="Z41" s="8"/>
      <c r="AA41" s="8"/>
      <c r="AB41" s="8" t="s">
        <v>183</v>
      </c>
      <c r="AC41" s="8" t="s">
        <v>210</v>
      </c>
      <c r="AD41" s="14" t="s">
        <v>211</v>
      </c>
      <c r="AE41" s="8" t="s">
        <v>212</v>
      </c>
      <c r="AF41" s="14">
        <v>0.45</v>
      </c>
      <c r="AG41" s="8">
        <v>1000</v>
      </c>
      <c r="AH41" s="8">
        <v>2500</v>
      </c>
      <c r="AI41" s="8">
        <v>21</v>
      </c>
      <c r="AJ41" s="8">
        <v>0</v>
      </c>
      <c r="AK41" s="127">
        <v>0.14499999999999999</v>
      </c>
      <c r="AL41" s="103">
        <v>20.855</v>
      </c>
      <c r="AM41" s="8">
        <v>0</v>
      </c>
      <c r="AN41" s="21">
        <v>0</v>
      </c>
      <c r="AO41" s="21">
        <v>0</v>
      </c>
      <c r="AP41" s="21">
        <v>0</v>
      </c>
      <c r="AQ41" s="21">
        <v>0</v>
      </c>
      <c r="AR41" s="21">
        <v>0</v>
      </c>
      <c r="AS41" s="8">
        <v>20.855</v>
      </c>
      <c r="AT41" s="21">
        <v>20.855</v>
      </c>
      <c r="AU41" s="21">
        <v>0</v>
      </c>
      <c r="AV41" s="21">
        <v>0</v>
      </c>
      <c r="AW41" s="21">
        <v>0</v>
      </c>
      <c r="AX41" s="21">
        <v>0</v>
      </c>
      <c r="AY41" s="8">
        <v>0</v>
      </c>
    </row>
    <row r="42" spans="1:51" ht="15" customHeight="1" x14ac:dyDescent="0.25">
      <c r="A42" s="9">
        <v>743</v>
      </c>
      <c r="B42" s="13">
        <v>45707</v>
      </c>
      <c r="C42" s="9" t="s">
        <v>169</v>
      </c>
      <c r="D42" s="9">
        <v>9518532816</v>
      </c>
      <c r="E42" s="8">
        <v>7</v>
      </c>
      <c r="F42" s="99" t="s">
        <v>561</v>
      </c>
      <c r="G42" s="9" t="s">
        <v>1303</v>
      </c>
      <c r="H42" s="9" t="s">
        <v>57</v>
      </c>
      <c r="I42" s="9" t="s">
        <v>43</v>
      </c>
      <c r="J42" s="9" t="s">
        <v>45</v>
      </c>
      <c r="K42" s="9">
        <v>2000</v>
      </c>
      <c r="L42" s="39"/>
      <c r="M42" s="7" t="s">
        <v>1</v>
      </c>
      <c r="N42" s="8"/>
      <c r="O42" s="40"/>
      <c r="P42" s="15" t="s">
        <v>220</v>
      </c>
      <c r="Q42" s="9" t="s">
        <v>180</v>
      </c>
      <c r="R42" s="9" t="s">
        <v>1569</v>
      </c>
      <c r="S42" s="9" t="s">
        <v>858</v>
      </c>
      <c r="T42" s="9">
        <v>121328</v>
      </c>
      <c r="U42" s="16" t="s">
        <v>81</v>
      </c>
      <c r="V42" s="9">
        <v>1854429</v>
      </c>
      <c r="W42" s="8" t="s">
        <v>474</v>
      </c>
      <c r="X42" s="8">
        <v>80</v>
      </c>
      <c r="Y42" s="8" t="s">
        <v>175</v>
      </c>
      <c r="Z42" s="8"/>
      <c r="AA42" s="8"/>
      <c r="AB42" s="8" t="s">
        <v>183</v>
      </c>
      <c r="AC42" s="8" t="s">
        <v>238</v>
      </c>
      <c r="AD42" s="14" t="s">
        <v>185</v>
      </c>
      <c r="AE42" s="8" t="s">
        <v>186</v>
      </c>
      <c r="AF42" s="14">
        <v>0.63</v>
      </c>
      <c r="AG42" s="8">
        <v>900</v>
      </c>
      <c r="AH42" s="8">
        <v>0</v>
      </c>
      <c r="AI42" s="8">
        <v>21</v>
      </c>
      <c r="AJ42" s="8">
        <v>0</v>
      </c>
      <c r="AK42" s="127">
        <v>21</v>
      </c>
      <c r="AL42" s="103">
        <v>0</v>
      </c>
      <c r="AM42" s="8">
        <v>21</v>
      </c>
      <c r="AN42" s="21">
        <v>0</v>
      </c>
      <c r="AO42" s="21">
        <v>21</v>
      </c>
      <c r="AP42" s="21">
        <v>0</v>
      </c>
      <c r="AQ42" s="21">
        <v>0</v>
      </c>
      <c r="AR42" s="21">
        <v>0</v>
      </c>
      <c r="AS42" s="8">
        <v>21</v>
      </c>
      <c r="AT42" s="21">
        <v>0</v>
      </c>
      <c r="AU42" s="21">
        <v>21</v>
      </c>
      <c r="AV42" s="21">
        <v>0</v>
      </c>
      <c r="AW42" s="21">
        <v>0</v>
      </c>
      <c r="AX42" s="21">
        <v>0</v>
      </c>
      <c r="AY42" s="8">
        <v>0</v>
      </c>
    </row>
    <row r="43" spans="1:51" ht="15" customHeight="1" x14ac:dyDescent="0.25">
      <c r="A43" s="9">
        <v>744</v>
      </c>
      <c r="B43" s="13">
        <v>45710</v>
      </c>
      <c r="C43" s="9" t="s">
        <v>169</v>
      </c>
      <c r="D43" s="9">
        <v>9518543125</v>
      </c>
      <c r="E43" s="8">
        <v>5</v>
      </c>
      <c r="F43" s="9" t="s">
        <v>562</v>
      </c>
      <c r="G43" s="9" t="s">
        <v>335</v>
      </c>
      <c r="H43" s="9" t="s">
        <v>57</v>
      </c>
      <c r="I43" s="9" t="s">
        <v>48</v>
      </c>
      <c r="J43" s="9" t="s">
        <v>39</v>
      </c>
      <c r="K43" s="9" t="s">
        <v>233</v>
      </c>
      <c r="L43" s="39"/>
      <c r="M43" s="7" t="s">
        <v>1</v>
      </c>
      <c r="N43" s="8"/>
      <c r="O43" s="40"/>
      <c r="P43" s="15" t="s">
        <v>220</v>
      </c>
      <c r="Q43" s="9" t="s">
        <v>264</v>
      </c>
      <c r="R43" s="9" t="s">
        <v>225</v>
      </c>
      <c r="S43" s="9" t="s">
        <v>858</v>
      </c>
      <c r="T43" s="9">
        <v>940016</v>
      </c>
      <c r="U43" s="16" t="s">
        <v>133</v>
      </c>
      <c r="V43" s="9">
        <v>3900141</v>
      </c>
      <c r="W43" s="8" t="s">
        <v>563</v>
      </c>
      <c r="X43" s="8" t="s">
        <v>236</v>
      </c>
      <c r="Y43" s="8" t="s">
        <v>403</v>
      </c>
      <c r="Z43" s="8">
        <v>3</v>
      </c>
      <c r="AA43" s="8">
        <v>5</v>
      </c>
      <c r="AB43" s="8" t="s">
        <v>176</v>
      </c>
      <c r="AC43" s="8" t="s">
        <v>228</v>
      </c>
      <c r="AD43" s="14" t="s">
        <v>229</v>
      </c>
      <c r="AE43" s="8" t="s">
        <v>230</v>
      </c>
      <c r="AF43" s="14">
        <v>0.43</v>
      </c>
      <c r="AG43" s="8">
        <v>1220</v>
      </c>
      <c r="AH43" s="8">
        <v>0</v>
      </c>
      <c r="AI43" s="8">
        <v>112</v>
      </c>
      <c r="AJ43" s="8">
        <v>0</v>
      </c>
      <c r="AK43" s="127">
        <v>47.685000000000002</v>
      </c>
      <c r="AL43" s="103">
        <v>3.7450000000000001</v>
      </c>
      <c r="AM43" s="8">
        <v>47.685000000000002</v>
      </c>
      <c r="AN43" s="21">
        <v>0</v>
      </c>
      <c r="AO43" s="21">
        <v>0</v>
      </c>
      <c r="AP43" s="21">
        <v>47.685000000000002</v>
      </c>
      <c r="AQ43" s="21">
        <v>0</v>
      </c>
      <c r="AR43" s="21">
        <v>0</v>
      </c>
      <c r="AS43" s="8">
        <v>51.43</v>
      </c>
      <c r="AT43" s="21">
        <v>0</v>
      </c>
      <c r="AU43" s="21">
        <v>0</v>
      </c>
      <c r="AV43" s="21">
        <v>0</v>
      </c>
      <c r="AW43" s="21">
        <v>51.43</v>
      </c>
      <c r="AX43" s="21">
        <v>0</v>
      </c>
      <c r="AY43" s="8">
        <v>0</v>
      </c>
    </row>
    <row r="44" spans="1:51" ht="15" customHeight="1" x14ac:dyDescent="0.25">
      <c r="A44" s="9">
        <v>744</v>
      </c>
      <c r="B44" s="13">
        <v>45710</v>
      </c>
      <c r="C44" s="9" t="s">
        <v>169</v>
      </c>
      <c r="D44" s="9">
        <v>9518543125</v>
      </c>
      <c r="E44" s="8">
        <v>3</v>
      </c>
      <c r="F44" s="9" t="s">
        <v>565</v>
      </c>
      <c r="G44" s="9" t="s">
        <v>1303</v>
      </c>
      <c r="H44" s="9" t="s">
        <v>57</v>
      </c>
      <c r="I44" s="9" t="s">
        <v>48</v>
      </c>
      <c r="J44" s="9" t="s">
        <v>39</v>
      </c>
      <c r="K44" s="9" t="s">
        <v>233</v>
      </c>
      <c r="L44" s="39"/>
      <c r="M44" s="7" t="s">
        <v>1</v>
      </c>
      <c r="N44" s="8"/>
      <c r="O44" s="40"/>
      <c r="P44" s="15" t="s">
        <v>220</v>
      </c>
      <c r="Q44" s="9" t="s">
        <v>264</v>
      </c>
      <c r="R44" s="9" t="s">
        <v>225</v>
      </c>
      <c r="S44" s="9" t="s">
        <v>858</v>
      </c>
      <c r="T44" s="9">
        <v>940016</v>
      </c>
      <c r="U44" s="16" t="s">
        <v>133</v>
      </c>
      <c r="V44" s="9">
        <v>3797658</v>
      </c>
      <c r="W44" s="8" t="s">
        <v>235</v>
      </c>
      <c r="X44" s="8" t="s">
        <v>236</v>
      </c>
      <c r="Y44" s="8" t="s">
        <v>227</v>
      </c>
      <c r="Z44" s="8">
        <v>3</v>
      </c>
      <c r="AA44" s="8">
        <v>5</v>
      </c>
      <c r="AB44" s="8" t="s">
        <v>176</v>
      </c>
      <c r="AC44" s="8" t="s">
        <v>228</v>
      </c>
      <c r="AD44" s="14" t="s">
        <v>229</v>
      </c>
      <c r="AE44" s="8" t="s">
        <v>230</v>
      </c>
      <c r="AF44" s="14">
        <v>0.4</v>
      </c>
      <c r="AG44" s="8">
        <v>1220</v>
      </c>
      <c r="AH44" s="8">
        <v>0</v>
      </c>
      <c r="AI44" s="8">
        <v>195.99</v>
      </c>
      <c r="AJ44" s="8">
        <v>165.41499999999999</v>
      </c>
      <c r="AK44" s="127">
        <v>28.98</v>
      </c>
      <c r="AL44" s="103">
        <v>0</v>
      </c>
      <c r="AM44" s="8">
        <v>28.98</v>
      </c>
      <c r="AN44" s="21">
        <v>0</v>
      </c>
      <c r="AO44" s="21">
        <v>28.98</v>
      </c>
      <c r="AP44" s="21">
        <v>0</v>
      </c>
      <c r="AQ44" s="21">
        <v>0</v>
      </c>
      <c r="AR44" s="21">
        <v>0</v>
      </c>
      <c r="AS44" s="8">
        <v>28.98</v>
      </c>
      <c r="AT44" s="21">
        <v>0</v>
      </c>
      <c r="AU44" s="21">
        <v>28.98</v>
      </c>
      <c r="AV44" s="21">
        <v>0</v>
      </c>
      <c r="AW44" s="21">
        <v>0</v>
      </c>
      <c r="AX44" s="21">
        <v>0</v>
      </c>
      <c r="AY44" s="8">
        <v>0</v>
      </c>
    </row>
    <row r="45" spans="1:51" ht="15" customHeight="1" x14ac:dyDescent="0.25">
      <c r="A45" s="9">
        <v>744</v>
      </c>
      <c r="B45" s="13">
        <v>45710</v>
      </c>
      <c r="C45" s="9" t="s">
        <v>169</v>
      </c>
      <c r="D45" s="9">
        <v>9518543125</v>
      </c>
      <c r="E45" s="8">
        <v>4</v>
      </c>
      <c r="F45" s="9" t="s">
        <v>566</v>
      </c>
      <c r="G45" s="9" t="s">
        <v>1687</v>
      </c>
      <c r="H45" s="9" t="s">
        <v>57</v>
      </c>
      <c r="I45" s="9" t="s">
        <v>48</v>
      </c>
      <c r="J45" s="9" t="s">
        <v>39</v>
      </c>
      <c r="K45" s="9" t="s">
        <v>233</v>
      </c>
      <c r="L45" s="39"/>
      <c r="M45" s="7" t="s">
        <v>1</v>
      </c>
      <c r="N45" s="8"/>
      <c r="O45" s="40"/>
      <c r="P45" s="15" t="s">
        <v>220</v>
      </c>
      <c r="Q45" s="9" t="s">
        <v>264</v>
      </c>
      <c r="R45" s="9" t="s">
        <v>225</v>
      </c>
      <c r="S45" s="9" t="s">
        <v>858</v>
      </c>
      <c r="T45" s="9">
        <v>940016</v>
      </c>
      <c r="U45" s="16" t="s">
        <v>133</v>
      </c>
      <c r="V45" s="9">
        <v>3797658</v>
      </c>
      <c r="W45" s="8" t="s">
        <v>235</v>
      </c>
      <c r="X45" s="8" t="s">
        <v>236</v>
      </c>
      <c r="Y45" s="8" t="s">
        <v>403</v>
      </c>
      <c r="Z45" s="8">
        <v>3</v>
      </c>
      <c r="AA45" s="8">
        <v>5</v>
      </c>
      <c r="AB45" s="8" t="s">
        <v>176</v>
      </c>
      <c r="AC45" s="8" t="s">
        <v>228</v>
      </c>
      <c r="AD45" s="14" t="s">
        <v>229</v>
      </c>
      <c r="AE45" s="8" t="s">
        <v>230</v>
      </c>
      <c r="AF45" s="14">
        <v>0.4</v>
      </c>
      <c r="AG45" s="8">
        <v>1220</v>
      </c>
      <c r="AH45" s="8">
        <v>0</v>
      </c>
      <c r="AI45" s="8">
        <v>252</v>
      </c>
      <c r="AJ45" s="8">
        <v>121.72</v>
      </c>
      <c r="AK45" s="127">
        <v>15.49</v>
      </c>
      <c r="AL45" s="103">
        <v>10.039999999999999</v>
      </c>
      <c r="AM45" s="8">
        <v>15.49</v>
      </c>
      <c r="AN45" s="21">
        <v>0</v>
      </c>
      <c r="AO45" s="21">
        <v>0</v>
      </c>
      <c r="AP45" s="21">
        <v>15.49</v>
      </c>
      <c r="AQ45" s="21">
        <v>0</v>
      </c>
      <c r="AR45" s="21">
        <v>0</v>
      </c>
      <c r="AS45" s="8">
        <v>25.53</v>
      </c>
      <c r="AT45" s="21">
        <v>0</v>
      </c>
      <c r="AU45" s="21">
        <v>0</v>
      </c>
      <c r="AV45" s="21">
        <v>0</v>
      </c>
      <c r="AW45" s="21">
        <v>25.53</v>
      </c>
      <c r="AX45" s="21">
        <v>0</v>
      </c>
      <c r="AY45" s="8">
        <v>0</v>
      </c>
    </row>
    <row r="46" spans="1:51" ht="15" customHeight="1" x14ac:dyDescent="0.25">
      <c r="A46" s="9">
        <v>742</v>
      </c>
      <c r="B46" s="13">
        <v>45710</v>
      </c>
      <c r="C46" s="9" t="s">
        <v>169</v>
      </c>
      <c r="D46" s="9">
        <v>9518542152</v>
      </c>
      <c r="E46" s="8">
        <v>1</v>
      </c>
      <c r="F46" s="9" t="s">
        <v>570</v>
      </c>
      <c r="G46" s="9" t="s">
        <v>1687</v>
      </c>
      <c r="H46" s="9" t="s">
        <v>57</v>
      </c>
      <c r="I46" s="9" t="s">
        <v>25</v>
      </c>
      <c r="J46" s="9" t="s">
        <v>28</v>
      </c>
      <c r="K46" s="9">
        <v>1000</v>
      </c>
      <c r="L46" s="39"/>
      <c r="M46" s="7" t="s">
        <v>1</v>
      </c>
      <c r="N46" s="8"/>
      <c r="O46" s="40"/>
      <c r="P46" s="15" t="s">
        <v>571</v>
      </c>
      <c r="Q46" s="9" t="s">
        <v>188</v>
      </c>
      <c r="R46" s="9" t="s">
        <v>572</v>
      </c>
      <c r="S46" s="9" t="s">
        <v>858</v>
      </c>
      <c r="T46" s="9">
        <v>189405</v>
      </c>
      <c r="U46" s="16" t="s">
        <v>62</v>
      </c>
      <c r="V46" s="9">
        <v>2164800</v>
      </c>
      <c r="W46" s="8" t="s">
        <v>501</v>
      </c>
      <c r="X46" s="8"/>
      <c r="Y46" s="8"/>
      <c r="Z46" s="8"/>
      <c r="AA46" s="8"/>
      <c r="AB46" s="8" t="s">
        <v>183</v>
      </c>
      <c r="AC46" s="8" t="s">
        <v>190</v>
      </c>
      <c r="AD46" s="14" t="s">
        <v>191</v>
      </c>
      <c r="AE46" s="8" t="s">
        <v>384</v>
      </c>
      <c r="AF46" s="14">
        <v>0.97</v>
      </c>
      <c r="AG46" s="8">
        <v>913</v>
      </c>
      <c r="AH46" s="8">
        <v>0</v>
      </c>
      <c r="AI46" s="8">
        <v>209.999</v>
      </c>
      <c r="AJ46" s="8">
        <v>172.685</v>
      </c>
      <c r="AK46" s="127">
        <v>3.2839999999999998</v>
      </c>
      <c r="AL46" s="103">
        <v>7.32</v>
      </c>
      <c r="AM46" s="8">
        <v>0</v>
      </c>
      <c r="AN46" s="21">
        <v>0</v>
      </c>
      <c r="AO46" s="21">
        <v>0</v>
      </c>
      <c r="AP46" s="21">
        <v>0</v>
      </c>
      <c r="AQ46" s="21">
        <v>0</v>
      </c>
      <c r="AR46" s="21">
        <v>0</v>
      </c>
      <c r="AS46" s="8">
        <v>7.32</v>
      </c>
      <c r="AT46" s="21">
        <v>7.32</v>
      </c>
      <c r="AU46" s="21">
        <v>0</v>
      </c>
      <c r="AV46" s="21">
        <v>0</v>
      </c>
      <c r="AW46" s="21">
        <v>0</v>
      </c>
      <c r="AX46" s="21">
        <v>0</v>
      </c>
      <c r="AY46" s="8">
        <v>0</v>
      </c>
    </row>
    <row r="47" spans="1:51" ht="15" customHeight="1" x14ac:dyDescent="0.25">
      <c r="A47" s="9">
        <v>742</v>
      </c>
      <c r="B47" s="13">
        <v>45710</v>
      </c>
      <c r="C47" s="9" t="s">
        <v>169</v>
      </c>
      <c r="D47" s="9">
        <v>9518542152</v>
      </c>
      <c r="E47" s="8">
        <v>3</v>
      </c>
      <c r="F47" s="9" t="s">
        <v>573</v>
      </c>
      <c r="G47" s="9" t="s">
        <v>1303</v>
      </c>
      <c r="H47" s="9" t="s">
        <v>57</v>
      </c>
      <c r="I47" s="9" t="s">
        <v>25</v>
      </c>
      <c r="J47" s="9" t="s">
        <v>28</v>
      </c>
      <c r="K47" s="9">
        <v>1000</v>
      </c>
      <c r="L47" s="39"/>
      <c r="M47" s="7" t="s">
        <v>1</v>
      </c>
      <c r="N47" s="8"/>
      <c r="O47" s="40"/>
      <c r="P47" s="15" t="s">
        <v>571</v>
      </c>
      <c r="Q47" s="9" t="s">
        <v>188</v>
      </c>
      <c r="R47" s="9" t="s">
        <v>572</v>
      </c>
      <c r="S47" s="9" t="s">
        <v>858</v>
      </c>
      <c r="T47" s="9">
        <v>189405</v>
      </c>
      <c r="U47" s="16" t="s">
        <v>62</v>
      </c>
      <c r="V47" s="9">
        <v>2164803</v>
      </c>
      <c r="W47" s="8" t="s">
        <v>502</v>
      </c>
      <c r="X47" s="8"/>
      <c r="Y47" s="8"/>
      <c r="Z47" s="8"/>
      <c r="AA47" s="8"/>
      <c r="AB47" s="8" t="s">
        <v>183</v>
      </c>
      <c r="AC47" s="8" t="s">
        <v>190</v>
      </c>
      <c r="AD47" s="14" t="s">
        <v>191</v>
      </c>
      <c r="AE47" s="8" t="s">
        <v>384</v>
      </c>
      <c r="AF47" s="14">
        <v>1.2</v>
      </c>
      <c r="AG47" s="8">
        <v>910</v>
      </c>
      <c r="AH47" s="8">
        <v>0</v>
      </c>
      <c r="AI47" s="8">
        <v>294</v>
      </c>
      <c r="AJ47" s="8">
        <v>245.136</v>
      </c>
      <c r="AK47" s="127">
        <v>31.724</v>
      </c>
      <c r="AL47" s="103">
        <v>35.950000000000003</v>
      </c>
      <c r="AM47" s="8">
        <v>31.724</v>
      </c>
      <c r="AN47" s="21">
        <v>0</v>
      </c>
      <c r="AO47" s="21">
        <v>31.724</v>
      </c>
      <c r="AP47" s="21">
        <v>0</v>
      </c>
      <c r="AQ47" s="21">
        <v>0</v>
      </c>
      <c r="AR47" s="21">
        <v>0</v>
      </c>
      <c r="AS47" s="8">
        <v>67.674000000000007</v>
      </c>
      <c r="AT47" s="21">
        <v>0</v>
      </c>
      <c r="AU47" s="21">
        <v>0</v>
      </c>
      <c r="AV47" s="21">
        <v>67.674000000000007</v>
      </c>
      <c r="AW47" s="21">
        <v>0</v>
      </c>
      <c r="AX47" s="21">
        <v>0</v>
      </c>
      <c r="AY47" s="8">
        <v>0</v>
      </c>
    </row>
    <row r="48" spans="1:51" ht="15" customHeight="1" x14ac:dyDescent="0.25">
      <c r="A48" s="9">
        <v>743</v>
      </c>
      <c r="B48" s="13">
        <v>45707</v>
      </c>
      <c r="C48" s="9" t="s">
        <v>169</v>
      </c>
      <c r="D48" s="9">
        <v>9518532380</v>
      </c>
      <c r="E48" s="8">
        <v>1</v>
      </c>
      <c r="F48" s="9" t="s">
        <v>575</v>
      </c>
      <c r="G48" s="9" t="s">
        <v>576</v>
      </c>
      <c r="H48" s="9" t="s">
        <v>57</v>
      </c>
      <c r="I48" s="9" t="s">
        <v>38</v>
      </c>
      <c r="J48" s="9" t="s">
        <v>41</v>
      </c>
      <c r="K48" s="9">
        <v>1000</v>
      </c>
      <c r="L48" s="39"/>
      <c r="M48" s="7" t="s">
        <v>1</v>
      </c>
      <c r="N48" s="8"/>
      <c r="O48" s="40"/>
      <c r="P48" s="15" t="s">
        <v>289</v>
      </c>
      <c r="Q48" s="9" t="s">
        <v>188</v>
      </c>
      <c r="R48" s="9" t="s">
        <v>574</v>
      </c>
      <c r="S48" s="9" t="s">
        <v>858</v>
      </c>
      <c r="T48" s="9">
        <v>944226</v>
      </c>
      <c r="U48" s="16" t="s">
        <v>302</v>
      </c>
      <c r="V48" s="9">
        <v>3865176</v>
      </c>
      <c r="W48" s="8" t="s">
        <v>409</v>
      </c>
      <c r="X48" s="8"/>
      <c r="Y48" s="8"/>
      <c r="Z48" s="8"/>
      <c r="AA48" s="8"/>
      <c r="AB48" s="8" t="s">
        <v>176</v>
      </c>
      <c r="AC48" s="8" t="s">
        <v>222</v>
      </c>
      <c r="AD48" s="14" t="s">
        <v>223</v>
      </c>
      <c r="AE48" s="8" t="s">
        <v>372</v>
      </c>
      <c r="AF48" s="14">
        <v>0.9</v>
      </c>
      <c r="AG48" s="8">
        <v>1250</v>
      </c>
      <c r="AH48" s="8">
        <v>0</v>
      </c>
      <c r="AI48" s="8">
        <v>289.99</v>
      </c>
      <c r="AJ48" s="8">
        <v>248.51</v>
      </c>
      <c r="AK48" s="127">
        <v>41.48</v>
      </c>
      <c r="AL48" s="103">
        <v>0</v>
      </c>
      <c r="AM48" s="8">
        <v>41.48</v>
      </c>
      <c r="AN48" s="21">
        <v>0</v>
      </c>
      <c r="AO48" s="21">
        <v>0</v>
      </c>
      <c r="AP48" s="21">
        <v>0</v>
      </c>
      <c r="AQ48" s="21">
        <v>0</v>
      </c>
      <c r="AR48" s="21">
        <v>41.48</v>
      </c>
      <c r="AS48" s="8">
        <v>41.48</v>
      </c>
      <c r="AT48" s="21">
        <v>0</v>
      </c>
      <c r="AU48" s="21">
        <v>0</v>
      </c>
      <c r="AV48" s="21">
        <v>0</v>
      </c>
      <c r="AW48" s="21">
        <v>0</v>
      </c>
      <c r="AX48" s="21">
        <v>41.48</v>
      </c>
      <c r="AY48" s="8">
        <v>0</v>
      </c>
    </row>
    <row r="49" spans="1:51" ht="15" customHeight="1" x14ac:dyDescent="0.25">
      <c r="A49" s="9">
        <v>743</v>
      </c>
      <c r="B49" s="13">
        <v>45707</v>
      </c>
      <c r="C49" s="9" t="s">
        <v>169</v>
      </c>
      <c r="D49" s="9">
        <v>9518532383</v>
      </c>
      <c r="E49" s="8">
        <v>1</v>
      </c>
      <c r="F49" s="9" t="s">
        <v>577</v>
      </c>
      <c r="G49" s="9" t="s">
        <v>576</v>
      </c>
      <c r="H49" s="9" t="s">
        <v>57</v>
      </c>
      <c r="I49" s="9" t="s">
        <v>38</v>
      </c>
      <c r="J49" s="9" t="s">
        <v>41</v>
      </c>
      <c r="K49" s="9">
        <v>1000</v>
      </c>
      <c r="L49" s="39">
        <v>4800</v>
      </c>
      <c r="M49" s="7" t="s">
        <v>1</v>
      </c>
      <c r="N49" s="8"/>
      <c r="O49" s="40"/>
      <c r="P49" s="15" t="s">
        <v>289</v>
      </c>
      <c r="Q49" s="9" t="s">
        <v>188</v>
      </c>
      <c r="R49" s="9" t="s">
        <v>574</v>
      </c>
      <c r="S49" s="9" t="s">
        <v>858</v>
      </c>
      <c r="T49" s="9">
        <v>944226</v>
      </c>
      <c r="U49" s="16" t="s">
        <v>302</v>
      </c>
      <c r="V49" s="9">
        <v>3865176</v>
      </c>
      <c r="W49" s="8" t="s">
        <v>409</v>
      </c>
      <c r="X49" s="8"/>
      <c r="Y49" s="8"/>
      <c r="Z49" s="8"/>
      <c r="AA49" s="8"/>
      <c r="AB49" s="8" t="s">
        <v>176</v>
      </c>
      <c r="AC49" s="8" t="s">
        <v>222</v>
      </c>
      <c r="AD49" s="14" t="s">
        <v>223</v>
      </c>
      <c r="AE49" s="8" t="s">
        <v>372</v>
      </c>
      <c r="AF49" s="14">
        <v>0.9</v>
      </c>
      <c r="AG49" s="8">
        <v>1250</v>
      </c>
      <c r="AH49" s="8">
        <v>0</v>
      </c>
      <c r="AI49" s="8">
        <v>290</v>
      </c>
      <c r="AJ49" s="8">
        <v>0</v>
      </c>
      <c r="AK49" s="127">
        <v>290</v>
      </c>
      <c r="AL49" s="103">
        <v>26.564999999999998</v>
      </c>
      <c r="AM49" s="8">
        <v>290</v>
      </c>
      <c r="AN49" s="21">
        <v>0</v>
      </c>
      <c r="AO49" s="21">
        <v>0</v>
      </c>
      <c r="AP49" s="21">
        <v>290</v>
      </c>
      <c r="AQ49" s="21">
        <v>0</v>
      </c>
      <c r="AR49" s="21">
        <v>0</v>
      </c>
      <c r="AS49" s="8">
        <v>316.565</v>
      </c>
      <c r="AT49" s="21">
        <v>0</v>
      </c>
      <c r="AU49" s="21">
        <v>0</v>
      </c>
      <c r="AV49" s="21">
        <v>0</v>
      </c>
      <c r="AW49" s="21">
        <v>316.565</v>
      </c>
      <c r="AX49" s="21">
        <v>0</v>
      </c>
      <c r="AY49" s="8">
        <v>0</v>
      </c>
    </row>
    <row r="50" spans="1:51" ht="15" customHeight="1" x14ac:dyDescent="0.25">
      <c r="A50" s="9">
        <v>743</v>
      </c>
      <c r="B50" s="13">
        <v>45707</v>
      </c>
      <c r="C50" s="9" t="s">
        <v>169</v>
      </c>
      <c r="D50" s="9">
        <v>9518532386</v>
      </c>
      <c r="E50" s="8">
        <v>1</v>
      </c>
      <c r="F50" s="9" t="s">
        <v>578</v>
      </c>
      <c r="G50" s="9" t="s">
        <v>576</v>
      </c>
      <c r="H50" s="9" t="s">
        <v>57</v>
      </c>
      <c r="I50" s="9" t="s">
        <v>38</v>
      </c>
      <c r="J50" s="9" t="s">
        <v>41</v>
      </c>
      <c r="K50" s="9">
        <v>1000</v>
      </c>
      <c r="L50" s="39"/>
      <c r="M50" s="7" t="s">
        <v>1</v>
      </c>
      <c r="N50" s="8"/>
      <c r="O50" s="40"/>
      <c r="P50" s="15" t="s">
        <v>289</v>
      </c>
      <c r="Q50" s="9" t="s">
        <v>188</v>
      </c>
      <c r="R50" s="9" t="s">
        <v>574</v>
      </c>
      <c r="S50" s="9" t="s">
        <v>858</v>
      </c>
      <c r="T50" s="9">
        <v>944226</v>
      </c>
      <c r="U50" s="16" t="s">
        <v>302</v>
      </c>
      <c r="V50" s="9">
        <v>3865176</v>
      </c>
      <c r="W50" s="8" t="s">
        <v>409</v>
      </c>
      <c r="X50" s="8"/>
      <c r="Y50" s="8"/>
      <c r="Z50" s="8"/>
      <c r="AA50" s="8"/>
      <c r="AB50" s="8" t="s">
        <v>176</v>
      </c>
      <c r="AC50" s="8" t="s">
        <v>222</v>
      </c>
      <c r="AD50" s="14" t="s">
        <v>223</v>
      </c>
      <c r="AE50" s="8" t="s">
        <v>372</v>
      </c>
      <c r="AF50" s="14">
        <v>0.9</v>
      </c>
      <c r="AG50" s="8">
        <v>1250</v>
      </c>
      <c r="AH50" s="8">
        <v>0</v>
      </c>
      <c r="AI50" s="8">
        <v>290</v>
      </c>
      <c r="AJ50" s="8">
        <v>0</v>
      </c>
      <c r="AK50" s="127">
        <v>290</v>
      </c>
      <c r="AL50" s="103">
        <v>0</v>
      </c>
      <c r="AM50" s="8">
        <v>290</v>
      </c>
      <c r="AN50" s="21">
        <v>0</v>
      </c>
      <c r="AO50" s="21">
        <v>0</v>
      </c>
      <c r="AP50" s="21">
        <v>290</v>
      </c>
      <c r="AQ50" s="21">
        <v>0</v>
      </c>
      <c r="AR50" s="21">
        <v>0</v>
      </c>
      <c r="AS50" s="8">
        <v>290</v>
      </c>
      <c r="AT50" s="21">
        <v>0</v>
      </c>
      <c r="AU50" s="21">
        <v>0</v>
      </c>
      <c r="AV50" s="21">
        <v>290</v>
      </c>
      <c r="AW50" s="21">
        <v>0</v>
      </c>
      <c r="AX50" s="21">
        <v>0</v>
      </c>
      <c r="AY50" s="8">
        <v>0</v>
      </c>
    </row>
    <row r="51" spans="1:51" ht="15" customHeight="1" x14ac:dyDescent="0.25">
      <c r="A51" s="9">
        <v>744</v>
      </c>
      <c r="B51" s="13">
        <v>45710</v>
      </c>
      <c r="C51" s="9" t="s">
        <v>169</v>
      </c>
      <c r="D51" s="9">
        <v>9518542994</v>
      </c>
      <c r="E51" s="8">
        <v>7</v>
      </c>
      <c r="F51" s="9" t="s">
        <v>582</v>
      </c>
      <c r="G51" s="9" t="s">
        <v>320</v>
      </c>
      <c r="H51" s="9" t="s">
        <v>57</v>
      </c>
      <c r="I51" s="9" t="s">
        <v>48</v>
      </c>
      <c r="J51" s="9" t="s">
        <v>39</v>
      </c>
      <c r="K51" s="9">
        <v>1000</v>
      </c>
      <c r="L51" s="39"/>
      <c r="M51" s="7" t="s">
        <v>1</v>
      </c>
      <c r="N51" s="8"/>
      <c r="O51" s="40"/>
      <c r="P51" s="15" t="s">
        <v>220</v>
      </c>
      <c r="Q51" s="9" t="s">
        <v>264</v>
      </c>
      <c r="R51" s="9" t="s">
        <v>1568</v>
      </c>
      <c r="S51" s="9" t="s">
        <v>858</v>
      </c>
      <c r="T51" s="9">
        <v>941597</v>
      </c>
      <c r="U51" s="16" t="s">
        <v>105</v>
      </c>
      <c r="V51" s="9">
        <v>3902332</v>
      </c>
      <c r="W51" s="8" t="s">
        <v>353</v>
      </c>
      <c r="X51" s="8"/>
      <c r="Y51" s="8"/>
      <c r="Z51" s="8"/>
      <c r="AA51" s="8"/>
      <c r="AB51" s="8" t="s">
        <v>176</v>
      </c>
      <c r="AC51" s="8" t="s">
        <v>228</v>
      </c>
      <c r="AD51" s="14" t="s">
        <v>229</v>
      </c>
      <c r="AE51" s="8" t="s">
        <v>354</v>
      </c>
      <c r="AF51" s="14">
        <v>0.5</v>
      </c>
      <c r="AG51" s="8">
        <v>1220</v>
      </c>
      <c r="AH51" s="8">
        <v>0</v>
      </c>
      <c r="AI51" s="8">
        <v>83.99</v>
      </c>
      <c r="AJ51" s="8">
        <v>0</v>
      </c>
      <c r="AK51" s="127">
        <v>83.99</v>
      </c>
      <c r="AL51" s="103">
        <v>0</v>
      </c>
      <c r="AM51" s="8">
        <v>83.99</v>
      </c>
      <c r="AN51" s="21">
        <v>0</v>
      </c>
      <c r="AO51" s="21">
        <v>83.99</v>
      </c>
      <c r="AP51" s="21">
        <v>0</v>
      </c>
      <c r="AQ51" s="21">
        <v>0</v>
      </c>
      <c r="AR51" s="21">
        <v>0</v>
      </c>
      <c r="AS51" s="8">
        <v>83.99</v>
      </c>
      <c r="AT51" s="21">
        <v>0</v>
      </c>
      <c r="AU51" s="21">
        <v>83.99</v>
      </c>
      <c r="AV51" s="21">
        <v>0</v>
      </c>
      <c r="AW51" s="21">
        <v>0</v>
      </c>
      <c r="AX51" s="21">
        <v>0</v>
      </c>
      <c r="AY51" s="8">
        <v>0</v>
      </c>
    </row>
    <row r="52" spans="1:51" ht="15" customHeight="1" x14ac:dyDescent="0.25">
      <c r="A52" s="9">
        <v>744</v>
      </c>
      <c r="B52" s="13">
        <v>45710</v>
      </c>
      <c r="C52" s="9" t="s">
        <v>169</v>
      </c>
      <c r="D52" s="9">
        <v>9518543125</v>
      </c>
      <c r="E52" s="8">
        <v>7</v>
      </c>
      <c r="F52" s="9" t="s">
        <v>583</v>
      </c>
      <c r="G52" s="9" t="s">
        <v>1303</v>
      </c>
      <c r="H52" s="9" t="s">
        <v>57</v>
      </c>
      <c r="I52" s="9" t="s">
        <v>48</v>
      </c>
      <c r="J52" s="9" t="s">
        <v>39</v>
      </c>
      <c r="K52" s="9">
        <v>1000</v>
      </c>
      <c r="L52" s="39"/>
      <c r="M52" s="7" t="s">
        <v>1</v>
      </c>
      <c r="N52" s="8"/>
      <c r="O52" s="40"/>
      <c r="P52" s="15" t="s">
        <v>220</v>
      </c>
      <c r="Q52" s="9" t="s">
        <v>264</v>
      </c>
      <c r="R52" s="9" t="s">
        <v>225</v>
      </c>
      <c r="S52" s="9" t="s">
        <v>858</v>
      </c>
      <c r="T52" s="9">
        <v>940016</v>
      </c>
      <c r="U52" s="16" t="s">
        <v>133</v>
      </c>
      <c r="V52" s="9">
        <v>3930916</v>
      </c>
      <c r="W52" s="8" t="s">
        <v>332</v>
      </c>
      <c r="X52" s="8"/>
      <c r="Y52" s="8"/>
      <c r="Z52" s="8"/>
      <c r="AA52" s="8"/>
      <c r="AB52" s="8" t="s">
        <v>176</v>
      </c>
      <c r="AC52" s="8" t="s">
        <v>228</v>
      </c>
      <c r="AD52" s="14" t="s">
        <v>229</v>
      </c>
      <c r="AE52" s="8" t="s">
        <v>230</v>
      </c>
      <c r="AF52" s="14">
        <v>0.35</v>
      </c>
      <c r="AG52" s="8">
        <v>1220</v>
      </c>
      <c r="AH52" s="8">
        <v>0</v>
      </c>
      <c r="AI52" s="8">
        <v>56</v>
      </c>
      <c r="AJ52" s="8">
        <v>37.26</v>
      </c>
      <c r="AK52" s="127">
        <v>18.739999999999998</v>
      </c>
      <c r="AL52" s="103">
        <v>0</v>
      </c>
      <c r="AM52" s="8">
        <v>18.739999999999998</v>
      </c>
      <c r="AN52" s="21">
        <v>0</v>
      </c>
      <c r="AO52" s="21">
        <v>0</v>
      </c>
      <c r="AP52" s="21">
        <v>18.739999999999998</v>
      </c>
      <c r="AQ52" s="21">
        <v>0</v>
      </c>
      <c r="AR52" s="21">
        <v>0</v>
      </c>
      <c r="AS52" s="8">
        <v>18.739999999999998</v>
      </c>
      <c r="AT52" s="21">
        <v>0</v>
      </c>
      <c r="AU52" s="21">
        <v>0</v>
      </c>
      <c r="AV52" s="21">
        <v>18.739999999999998</v>
      </c>
      <c r="AW52" s="21">
        <v>0</v>
      </c>
      <c r="AX52" s="21">
        <v>0</v>
      </c>
      <c r="AY52" s="8">
        <v>0</v>
      </c>
    </row>
    <row r="53" spans="1:51" ht="15" customHeight="1" x14ac:dyDescent="0.25">
      <c r="A53" s="9">
        <v>744</v>
      </c>
      <c r="B53" s="13">
        <v>45710</v>
      </c>
      <c r="C53" s="9" t="s">
        <v>169</v>
      </c>
      <c r="D53" s="9">
        <v>9518543214</v>
      </c>
      <c r="E53" s="8">
        <v>6</v>
      </c>
      <c r="F53" s="9" t="s">
        <v>584</v>
      </c>
      <c r="G53" s="9" t="s">
        <v>335</v>
      </c>
      <c r="H53" s="9" t="s">
        <v>57</v>
      </c>
      <c r="I53" s="9" t="s">
        <v>48</v>
      </c>
      <c r="J53" s="9" t="s">
        <v>39</v>
      </c>
      <c r="K53" s="9">
        <v>1000</v>
      </c>
      <c r="L53" s="39"/>
      <c r="M53" s="7" t="s">
        <v>1</v>
      </c>
      <c r="N53" s="8"/>
      <c r="O53" s="40"/>
      <c r="P53" s="15" t="s">
        <v>220</v>
      </c>
      <c r="Q53" s="9" t="s">
        <v>264</v>
      </c>
      <c r="R53" s="9" t="s">
        <v>225</v>
      </c>
      <c r="S53" s="9" t="s">
        <v>858</v>
      </c>
      <c r="T53" s="9">
        <v>940016</v>
      </c>
      <c r="U53" s="16" t="s">
        <v>133</v>
      </c>
      <c r="V53" s="9">
        <v>3900141</v>
      </c>
      <c r="W53" s="8" t="s">
        <v>563</v>
      </c>
      <c r="X53" s="8"/>
      <c r="Y53" s="8"/>
      <c r="Z53" s="8"/>
      <c r="AA53" s="8"/>
      <c r="AB53" s="8" t="s">
        <v>176</v>
      </c>
      <c r="AC53" s="8" t="s">
        <v>228</v>
      </c>
      <c r="AD53" s="14" t="s">
        <v>229</v>
      </c>
      <c r="AE53" s="8" t="s">
        <v>230</v>
      </c>
      <c r="AF53" s="14">
        <v>0.43</v>
      </c>
      <c r="AG53" s="8">
        <v>1220</v>
      </c>
      <c r="AH53" s="8">
        <v>0</v>
      </c>
      <c r="AI53" s="8">
        <v>28</v>
      </c>
      <c r="AJ53" s="8">
        <v>0</v>
      </c>
      <c r="AK53" s="127">
        <v>28</v>
      </c>
      <c r="AL53" s="103">
        <v>0</v>
      </c>
      <c r="AM53" s="8">
        <v>28</v>
      </c>
      <c r="AN53" s="21">
        <v>0</v>
      </c>
      <c r="AO53" s="21">
        <v>0</v>
      </c>
      <c r="AP53" s="21">
        <v>28</v>
      </c>
      <c r="AQ53" s="21">
        <v>0</v>
      </c>
      <c r="AR53" s="21">
        <v>0</v>
      </c>
      <c r="AS53" s="8">
        <v>28</v>
      </c>
      <c r="AT53" s="21">
        <v>0</v>
      </c>
      <c r="AU53" s="21">
        <v>0</v>
      </c>
      <c r="AV53" s="21">
        <v>28</v>
      </c>
      <c r="AW53" s="21">
        <v>0</v>
      </c>
      <c r="AX53" s="21">
        <v>0</v>
      </c>
      <c r="AY53" s="8">
        <v>0</v>
      </c>
    </row>
    <row r="54" spans="1:51" ht="15" customHeight="1" x14ac:dyDescent="0.25">
      <c r="A54" s="9">
        <v>744</v>
      </c>
      <c r="B54" s="13">
        <v>45710</v>
      </c>
      <c r="C54" s="9" t="s">
        <v>169</v>
      </c>
      <c r="D54" s="9">
        <v>9518543214</v>
      </c>
      <c r="E54" s="8">
        <v>7</v>
      </c>
      <c r="F54" s="9" t="s">
        <v>585</v>
      </c>
      <c r="G54" s="9" t="s">
        <v>1687</v>
      </c>
      <c r="H54" s="9" t="s">
        <v>57</v>
      </c>
      <c r="I54" s="9" t="s">
        <v>48</v>
      </c>
      <c r="J54" s="9" t="s">
        <v>39</v>
      </c>
      <c r="K54" s="9">
        <v>1000</v>
      </c>
      <c r="L54" s="39"/>
      <c r="M54" s="7" t="s">
        <v>1</v>
      </c>
      <c r="N54" s="8"/>
      <c r="O54" s="40"/>
      <c r="P54" s="15" t="s">
        <v>220</v>
      </c>
      <c r="Q54" s="9" t="s">
        <v>264</v>
      </c>
      <c r="R54" s="9" t="s">
        <v>225</v>
      </c>
      <c r="S54" s="9" t="s">
        <v>858</v>
      </c>
      <c r="T54" s="9">
        <v>940016</v>
      </c>
      <c r="U54" s="16" t="s">
        <v>133</v>
      </c>
      <c r="V54" s="9">
        <v>3900141</v>
      </c>
      <c r="W54" s="8" t="s">
        <v>563</v>
      </c>
      <c r="X54" s="8"/>
      <c r="Y54" s="8"/>
      <c r="Z54" s="8"/>
      <c r="AA54" s="8"/>
      <c r="AB54" s="8" t="s">
        <v>176</v>
      </c>
      <c r="AC54" s="8" t="s">
        <v>228</v>
      </c>
      <c r="AD54" s="14" t="s">
        <v>229</v>
      </c>
      <c r="AE54" s="8" t="s">
        <v>230</v>
      </c>
      <c r="AF54" s="14">
        <v>0.43</v>
      </c>
      <c r="AG54" s="8">
        <v>1220</v>
      </c>
      <c r="AH54" s="8">
        <v>0</v>
      </c>
      <c r="AI54" s="8">
        <v>28</v>
      </c>
      <c r="AJ54" s="8">
        <v>17.59</v>
      </c>
      <c r="AK54" s="127">
        <v>8.2550000000000008</v>
      </c>
      <c r="AL54" s="103">
        <v>19.734999999999999</v>
      </c>
      <c r="AM54" s="8">
        <v>0</v>
      </c>
      <c r="AN54" s="21">
        <v>0</v>
      </c>
      <c r="AO54" s="21">
        <v>0</v>
      </c>
      <c r="AP54" s="21">
        <v>0</v>
      </c>
      <c r="AQ54" s="21">
        <v>0</v>
      </c>
      <c r="AR54" s="21">
        <v>0</v>
      </c>
      <c r="AS54" s="8">
        <v>19.734999999999999</v>
      </c>
      <c r="AT54" s="21">
        <v>19.734999999999999</v>
      </c>
      <c r="AU54" s="21">
        <v>0</v>
      </c>
      <c r="AV54" s="21">
        <v>0</v>
      </c>
      <c r="AW54" s="21">
        <v>0</v>
      </c>
      <c r="AX54" s="21">
        <v>0</v>
      </c>
      <c r="AY54" s="8">
        <v>0</v>
      </c>
    </row>
    <row r="55" spans="1:51" ht="15" customHeight="1" x14ac:dyDescent="0.25">
      <c r="A55" s="9">
        <v>742</v>
      </c>
      <c r="B55" s="13">
        <v>45667</v>
      </c>
      <c r="C55" s="9" t="s">
        <v>169</v>
      </c>
      <c r="D55" s="9">
        <v>9518419100</v>
      </c>
      <c r="E55" s="8">
        <v>7</v>
      </c>
      <c r="F55" s="9" t="s">
        <v>590</v>
      </c>
      <c r="G55" s="9" t="s">
        <v>1687</v>
      </c>
      <c r="H55" s="9" t="s">
        <v>57</v>
      </c>
      <c r="I55" s="9" t="s">
        <v>50</v>
      </c>
      <c r="J55" s="9" t="s">
        <v>26</v>
      </c>
      <c r="K55" s="9">
        <v>2000</v>
      </c>
      <c r="L55" s="39"/>
      <c r="M55" s="7" t="s">
        <v>1</v>
      </c>
      <c r="N55" s="8"/>
      <c r="O55" s="40"/>
      <c r="P55" s="15" t="s">
        <v>239</v>
      </c>
      <c r="Q55" s="9" t="s">
        <v>214</v>
      </c>
      <c r="R55" s="9" t="s">
        <v>240</v>
      </c>
      <c r="S55" s="9" t="s">
        <v>858</v>
      </c>
      <c r="T55" s="9">
        <v>932179</v>
      </c>
      <c r="U55" s="16" t="s">
        <v>128</v>
      </c>
      <c r="V55" s="9">
        <v>1294722</v>
      </c>
      <c r="W55" s="8" t="s">
        <v>591</v>
      </c>
      <c r="X55" s="8"/>
      <c r="Y55" s="8"/>
      <c r="Z55" s="8"/>
      <c r="AA55" s="8"/>
      <c r="AB55" s="8" t="s">
        <v>176</v>
      </c>
      <c r="AC55" s="8">
        <v>768</v>
      </c>
      <c r="AD55" s="14" t="s">
        <v>242</v>
      </c>
      <c r="AE55" s="8" t="s">
        <v>243</v>
      </c>
      <c r="AF55" s="14">
        <v>3.15</v>
      </c>
      <c r="AG55" s="8">
        <v>1250</v>
      </c>
      <c r="AH55" s="8">
        <v>0</v>
      </c>
      <c r="AI55" s="8">
        <v>50</v>
      </c>
      <c r="AJ55" s="8">
        <v>24.75</v>
      </c>
      <c r="AK55" s="127">
        <v>0</v>
      </c>
      <c r="AL55" s="103">
        <v>24.37</v>
      </c>
      <c r="AM55" s="8">
        <v>0</v>
      </c>
      <c r="AN55" s="21">
        <v>0</v>
      </c>
      <c r="AO55" s="21">
        <v>0</v>
      </c>
      <c r="AP55" s="21">
        <v>0</v>
      </c>
      <c r="AQ55" s="21">
        <v>0</v>
      </c>
      <c r="AR55" s="21">
        <v>0</v>
      </c>
      <c r="AS55" s="8">
        <v>24.37</v>
      </c>
      <c r="AT55" s="21">
        <v>24.37</v>
      </c>
      <c r="AU55" s="21">
        <v>0</v>
      </c>
      <c r="AV55" s="21">
        <v>0</v>
      </c>
      <c r="AW55" s="21">
        <v>0</v>
      </c>
      <c r="AX55" s="21">
        <v>0</v>
      </c>
      <c r="AY55" s="8">
        <v>0</v>
      </c>
    </row>
    <row r="56" spans="1:51" ht="15" customHeight="1" x14ac:dyDescent="0.25">
      <c r="A56" s="9">
        <v>744</v>
      </c>
      <c r="B56" s="13">
        <v>45715</v>
      </c>
      <c r="C56" s="9" t="s">
        <v>169</v>
      </c>
      <c r="D56" s="9">
        <v>9518560278</v>
      </c>
      <c r="E56" s="8">
        <v>5</v>
      </c>
      <c r="F56" s="9" t="s">
        <v>598</v>
      </c>
      <c r="G56" s="9" t="s">
        <v>1303</v>
      </c>
      <c r="H56" s="9" t="s">
        <v>57</v>
      </c>
      <c r="I56" s="9" t="s">
        <v>48</v>
      </c>
      <c r="J56" s="9" t="s">
        <v>39</v>
      </c>
      <c r="K56" s="9" t="s">
        <v>233</v>
      </c>
      <c r="L56" s="39"/>
      <c r="M56" s="7" t="s">
        <v>1</v>
      </c>
      <c r="N56" s="8"/>
      <c r="O56" s="40"/>
      <c r="P56" s="15" t="s">
        <v>220</v>
      </c>
      <c r="Q56" s="9" t="s">
        <v>264</v>
      </c>
      <c r="R56" s="9" t="s">
        <v>1568</v>
      </c>
      <c r="S56" s="9" t="s">
        <v>858</v>
      </c>
      <c r="T56" s="9">
        <v>941597</v>
      </c>
      <c r="U56" s="16" t="s">
        <v>133</v>
      </c>
      <c r="V56" s="9">
        <v>1633706</v>
      </c>
      <c r="W56" s="8" t="s">
        <v>347</v>
      </c>
      <c r="X56" s="8" t="s">
        <v>317</v>
      </c>
      <c r="Y56" s="8"/>
      <c r="Z56" s="8"/>
      <c r="AA56" s="8"/>
      <c r="AB56" s="8" t="s">
        <v>176</v>
      </c>
      <c r="AC56" s="8" t="s">
        <v>228</v>
      </c>
      <c r="AD56" s="14" t="s">
        <v>229</v>
      </c>
      <c r="AE56" s="8" t="s">
        <v>342</v>
      </c>
      <c r="AF56" s="14">
        <v>0.42</v>
      </c>
      <c r="AG56" s="8">
        <v>1220</v>
      </c>
      <c r="AH56" s="8">
        <v>0</v>
      </c>
      <c r="AI56" s="8">
        <v>28</v>
      </c>
      <c r="AJ56" s="8">
        <v>0</v>
      </c>
      <c r="AK56" s="127">
        <v>28</v>
      </c>
      <c r="AL56" s="103">
        <v>0</v>
      </c>
      <c r="AM56" s="8">
        <v>28</v>
      </c>
      <c r="AN56" s="21">
        <v>28</v>
      </c>
      <c r="AO56" s="21">
        <v>0</v>
      </c>
      <c r="AP56" s="21">
        <v>0</v>
      </c>
      <c r="AQ56" s="21">
        <v>0</v>
      </c>
      <c r="AR56" s="21">
        <v>0</v>
      </c>
      <c r="AS56" s="8">
        <v>28</v>
      </c>
      <c r="AT56" s="21">
        <v>0</v>
      </c>
      <c r="AU56" s="21">
        <v>28</v>
      </c>
      <c r="AV56" s="21">
        <v>0</v>
      </c>
      <c r="AW56" s="21">
        <v>0</v>
      </c>
      <c r="AX56" s="21">
        <v>0</v>
      </c>
      <c r="AY56" s="8">
        <v>0</v>
      </c>
    </row>
    <row r="57" spans="1:51" ht="15" customHeight="1" x14ac:dyDescent="0.25">
      <c r="A57" s="9">
        <v>744</v>
      </c>
      <c r="B57" s="13">
        <v>45717</v>
      </c>
      <c r="C57" s="9" t="s">
        <v>169</v>
      </c>
      <c r="D57" s="9">
        <v>9518567119</v>
      </c>
      <c r="E57" s="8">
        <v>1</v>
      </c>
      <c r="F57" s="9" t="s">
        <v>601</v>
      </c>
      <c r="G57" s="9" t="s">
        <v>1687</v>
      </c>
      <c r="H57" s="9" t="s">
        <v>57</v>
      </c>
      <c r="I57" s="9" t="s">
        <v>48</v>
      </c>
      <c r="J57" s="9" t="s">
        <v>39</v>
      </c>
      <c r="K57" s="9" t="s">
        <v>233</v>
      </c>
      <c r="L57" s="39"/>
      <c r="M57" s="7" t="s">
        <v>1</v>
      </c>
      <c r="N57" s="8"/>
      <c r="O57" s="40"/>
      <c r="P57" s="15" t="s">
        <v>220</v>
      </c>
      <c r="Q57" s="9" t="s">
        <v>264</v>
      </c>
      <c r="R57" s="9" t="s">
        <v>1568</v>
      </c>
      <c r="S57" s="9" t="s">
        <v>858</v>
      </c>
      <c r="T57" s="9">
        <v>941597</v>
      </c>
      <c r="U57" s="16" t="s">
        <v>106</v>
      </c>
      <c r="V57" s="9">
        <v>1636510</v>
      </c>
      <c r="W57" s="8" t="s">
        <v>341</v>
      </c>
      <c r="X57" s="8"/>
      <c r="Y57" s="8"/>
      <c r="Z57" s="8"/>
      <c r="AA57" s="8"/>
      <c r="AB57" s="8" t="s">
        <v>176</v>
      </c>
      <c r="AC57" s="8" t="s">
        <v>228</v>
      </c>
      <c r="AD57" s="14" t="s">
        <v>229</v>
      </c>
      <c r="AE57" s="8" t="s">
        <v>342</v>
      </c>
      <c r="AF57" s="14">
        <v>0.55000000000000004</v>
      </c>
      <c r="AG57" s="8">
        <v>1220</v>
      </c>
      <c r="AH57" s="8">
        <v>0</v>
      </c>
      <c r="AI57" s="8">
        <v>196</v>
      </c>
      <c r="AJ57" s="8">
        <v>174.685</v>
      </c>
      <c r="AK57" s="127">
        <v>21.315000000000001</v>
      </c>
      <c r="AL57" s="103">
        <v>3.3050000000000002</v>
      </c>
      <c r="AM57" s="8">
        <v>21.315000000000001</v>
      </c>
      <c r="AN57" s="21">
        <v>21.315000000000001</v>
      </c>
      <c r="AO57" s="21">
        <v>0</v>
      </c>
      <c r="AP57" s="21">
        <v>0</v>
      </c>
      <c r="AQ57" s="21">
        <v>0</v>
      </c>
      <c r="AR57" s="21">
        <v>0</v>
      </c>
      <c r="AS57" s="8">
        <v>24.62</v>
      </c>
      <c r="AT57" s="21">
        <v>0</v>
      </c>
      <c r="AU57" s="21">
        <v>24.62</v>
      </c>
      <c r="AV57" s="21">
        <v>0</v>
      </c>
      <c r="AW57" s="21">
        <v>0</v>
      </c>
      <c r="AX57" s="21">
        <v>0</v>
      </c>
      <c r="AY57" s="8">
        <v>0</v>
      </c>
    </row>
    <row r="58" spans="1:51" ht="15" customHeight="1" x14ac:dyDescent="0.25">
      <c r="A58" s="9">
        <v>742</v>
      </c>
      <c r="B58" s="13">
        <v>45715</v>
      </c>
      <c r="C58" s="9" t="s">
        <v>193</v>
      </c>
      <c r="D58" s="9">
        <v>9518560055</v>
      </c>
      <c r="E58" s="8">
        <v>1</v>
      </c>
      <c r="F58" s="9" t="s">
        <v>606</v>
      </c>
      <c r="G58" s="9" t="s">
        <v>1303</v>
      </c>
      <c r="H58" s="9" t="s">
        <v>57</v>
      </c>
      <c r="I58" s="9" t="s">
        <v>35</v>
      </c>
      <c r="J58" s="9" t="s">
        <v>36</v>
      </c>
      <c r="K58" s="9">
        <v>2000</v>
      </c>
      <c r="L58" s="39"/>
      <c r="M58" s="7" t="s">
        <v>1</v>
      </c>
      <c r="N58" s="8"/>
      <c r="O58" s="40"/>
      <c r="P58" s="15" t="s">
        <v>201</v>
      </c>
      <c r="Q58" s="9" t="s">
        <v>172</v>
      </c>
      <c r="R58" s="9" t="s">
        <v>299</v>
      </c>
      <c r="S58" s="9" t="s">
        <v>858</v>
      </c>
      <c r="T58" s="9">
        <v>650250</v>
      </c>
      <c r="U58" s="16" t="s">
        <v>103</v>
      </c>
      <c r="V58" s="9">
        <v>2306895</v>
      </c>
      <c r="W58" s="8" t="s">
        <v>300</v>
      </c>
      <c r="X58" s="8"/>
      <c r="Y58" s="8"/>
      <c r="Z58" s="8"/>
      <c r="AA58" s="8"/>
      <c r="AB58" s="8" t="s">
        <v>176</v>
      </c>
      <c r="AC58" s="8" t="s">
        <v>292</v>
      </c>
      <c r="AD58" s="14" t="s">
        <v>293</v>
      </c>
      <c r="AE58" s="8" t="s">
        <v>294</v>
      </c>
      <c r="AF58" s="14">
        <v>0.32</v>
      </c>
      <c r="AG58" s="8">
        <v>1245</v>
      </c>
      <c r="AH58" s="8">
        <v>0</v>
      </c>
      <c r="AI58" s="8">
        <v>290</v>
      </c>
      <c r="AJ58" s="8">
        <v>0</v>
      </c>
      <c r="AK58" s="127">
        <v>262.31</v>
      </c>
      <c r="AL58" s="103">
        <v>53.404999999999994</v>
      </c>
      <c r="AM58" s="8">
        <v>262.31</v>
      </c>
      <c r="AN58" s="21">
        <v>0</v>
      </c>
      <c r="AO58" s="21">
        <v>0</v>
      </c>
      <c r="AP58" s="21">
        <v>0</v>
      </c>
      <c r="AQ58" s="21">
        <v>262.31</v>
      </c>
      <c r="AR58" s="21">
        <v>0</v>
      </c>
      <c r="AS58" s="8">
        <v>315.71499999999997</v>
      </c>
      <c r="AT58" s="21">
        <v>0</v>
      </c>
      <c r="AU58" s="21">
        <v>0</v>
      </c>
      <c r="AV58" s="21">
        <v>0</v>
      </c>
      <c r="AW58" s="21">
        <v>0</v>
      </c>
      <c r="AX58" s="21">
        <v>315.71499999999997</v>
      </c>
      <c r="AY58" s="8">
        <v>0</v>
      </c>
    </row>
    <row r="59" spans="1:51" ht="15" customHeight="1" x14ac:dyDescent="0.25">
      <c r="A59" s="9">
        <v>742</v>
      </c>
      <c r="B59" s="13">
        <v>45723</v>
      </c>
      <c r="C59" s="9" t="s">
        <v>169</v>
      </c>
      <c r="D59" s="9">
        <v>9518583094</v>
      </c>
      <c r="E59" s="8">
        <v>3</v>
      </c>
      <c r="F59" s="9" t="s">
        <v>1760</v>
      </c>
      <c r="G59" s="9" t="s">
        <v>1687</v>
      </c>
      <c r="H59" s="9" t="s">
        <v>57</v>
      </c>
      <c r="I59" s="9" t="s">
        <v>25</v>
      </c>
      <c r="J59" s="9" t="s">
        <v>31</v>
      </c>
      <c r="K59" s="9">
        <v>2000</v>
      </c>
      <c r="L59" s="39"/>
      <c r="M59" s="7" t="s">
        <v>1</v>
      </c>
      <c r="N59" s="8"/>
      <c r="O59" s="40" t="s">
        <v>1335</v>
      </c>
      <c r="P59" s="15" t="s">
        <v>194</v>
      </c>
      <c r="Q59" s="9" t="s">
        <v>172</v>
      </c>
      <c r="R59" s="9" t="s">
        <v>286</v>
      </c>
      <c r="S59" s="9" t="s">
        <v>859</v>
      </c>
      <c r="T59" s="9">
        <v>931525</v>
      </c>
      <c r="U59" s="16" t="s">
        <v>75</v>
      </c>
      <c r="V59" s="9">
        <v>3437524</v>
      </c>
      <c r="W59" s="8" t="s">
        <v>334</v>
      </c>
      <c r="X59" s="8"/>
      <c r="Y59" s="8"/>
      <c r="Z59" s="8"/>
      <c r="AA59" s="8"/>
      <c r="AB59" s="8" t="s">
        <v>176</v>
      </c>
      <c r="AC59" s="8" t="s">
        <v>210</v>
      </c>
      <c r="AD59" s="14" t="s">
        <v>211</v>
      </c>
      <c r="AE59" s="8" t="s">
        <v>212</v>
      </c>
      <c r="AF59" s="14">
        <v>0.4</v>
      </c>
      <c r="AG59" s="8">
        <v>1250</v>
      </c>
      <c r="AH59" s="8">
        <v>2030</v>
      </c>
      <c r="AI59" s="8">
        <v>108</v>
      </c>
      <c r="AJ59" s="8">
        <v>71.95</v>
      </c>
      <c r="AK59" s="127">
        <v>10.47</v>
      </c>
      <c r="AL59" s="103">
        <v>2.7250000000000001</v>
      </c>
      <c r="AM59" s="8">
        <v>0</v>
      </c>
      <c r="AN59" s="21">
        <v>0</v>
      </c>
      <c r="AO59" s="21">
        <v>0</v>
      </c>
      <c r="AP59" s="21">
        <v>0</v>
      </c>
      <c r="AQ59" s="21">
        <v>0</v>
      </c>
      <c r="AR59" s="21">
        <v>0</v>
      </c>
      <c r="AS59" s="8">
        <v>2.7250000000000001</v>
      </c>
      <c r="AT59" s="21">
        <v>2.7250000000000001</v>
      </c>
      <c r="AU59" s="21">
        <v>0</v>
      </c>
      <c r="AV59" s="21">
        <v>0</v>
      </c>
      <c r="AW59" s="21">
        <v>0</v>
      </c>
      <c r="AX59" s="21">
        <v>0</v>
      </c>
      <c r="AY59" s="8">
        <v>0</v>
      </c>
    </row>
    <row r="60" spans="1:51" ht="15" customHeight="1" x14ac:dyDescent="0.25">
      <c r="A60" s="9">
        <v>744</v>
      </c>
      <c r="B60" s="13">
        <v>45722</v>
      </c>
      <c r="C60" s="9" t="s">
        <v>169</v>
      </c>
      <c r="D60" s="9">
        <v>9518578543</v>
      </c>
      <c r="E60" s="8">
        <v>1</v>
      </c>
      <c r="F60" s="9" t="s">
        <v>611</v>
      </c>
      <c r="G60" s="9" t="s">
        <v>1687</v>
      </c>
      <c r="H60" s="9" t="s">
        <v>57</v>
      </c>
      <c r="I60" s="9" t="s">
        <v>48</v>
      </c>
      <c r="J60" s="9" t="s">
        <v>39</v>
      </c>
      <c r="K60" s="9" t="s">
        <v>233</v>
      </c>
      <c r="L60" s="39"/>
      <c r="M60" s="7" t="s">
        <v>1</v>
      </c>
      <c r="N60" s="8"/>
      <c r="O60" s="40"/>
      <c r="P60" s="15" t="s">
        <v>245</v>
      </c>
      <c r="Q60" s="9" t="s">
        <v>264</v>
      </c>
      <c r="R60" s="9" t="s">
        <v>256</v>
      </c>
      <c r="S60" s="9" t="s">
        <v>858</v>
      </c>
      <c r="T60" s="9">
        <v>940074</v>
      </c>
      <c r="U60" s="16" t="s">
        <v>106</v>
      </c>
      <c r="V60" s="9">
        <v>3960056</v>
      </c>
      <c r="W60" s="8" t="s">
        <v>612</v>
      </c>
      <c r="X60" s="8" t="s">
        <v>317</v>
      </c>
      <c r="Y60" s="8" t="s">
        <v>613</v>
      </c>
      <c r="Z60" s="8">
        <v>3</v>
      </c>
      <c r="AA60" s="8">
        <v>5</v>
      </c>
      <c r="AB60" s="8" t="s">
        <v>176</v>
      </c>
      <c r="AC60" s="8" t="s">
        <v>228</v>
      </c>
      <c r="AD60" s="14" t="s">
        <v>229</v>
      </c>
      <c r="AE60" s="8" t="s">
        <v>614</v>
      </c>
      <c r="AF60" s="14">
        <v>0.53</v>
      </c>
      <c r="AG60" s="8">
        <v>1220</v>
      </c>
      <c r="AH60" s="8">
        <v>0</v>
      </c>
      <c r="AI60" s="8">
        <v>56</v>
      </c>
      <c r="AJ60" s="8">
        <v>0</v>
      </c>
      <c r="AK60" s="127">
        <v>3.1349999999999998</v>
      </c>
      <c r="AL60" s="103">
        <v>52.864999999999995</v>
      </c>
      <c r="AM60" s="8">
        <v>3.1349999999999998</v>
      </c>
      <c r="AN60" s="21">
        <v>3.1349999999999998</v>
      </c>
      <c r="AO60" s="21">
        <v>0</v>
      </c>
      <c r="AP60" s="21">
        <v>0</v>
      </c>
      <c r="AQ60" s="21">
        <v>0</v>
      </c>
      <c r="AR60" s="21">
        <v>0</v>
      </c>
      <c r="AS60" s="8">
        <v>55.999999999999993</v>
      </c>
      <c r="AT60" s="21">
        <v>0</v>
      </c>
      <c r="AU60" s="21">
        <v>55.999999999999993</v>
      </c>
      <c r="AV60" s="21">
        <v>0</v>
      </c>
      <c r="AW60" s="21">
        <v>0</v>
      </c>
      <c r="AX60" s="21">
        <v>0</v>
      </c>
      <c r="AY60" s="8">
        <v>0</v>
      </c>
    </row>
    <row r="61" spans="1:51" ht="15" customHeight="1" x14ac:dyDescent="0.25">
      <c r="A61" s="9">
        <v>744</v>
      </c>
      <c r="B61" s="13">
        <v>45724</v>
      </c>
      <c r="C61" s="9" t="s">
        <v>169</v>
      </c>
      <c r="D61" s="9">
        <v>9518585087</v>
      </c>
      <c r="E61" s="8">
        <v>2</v>
      </c>
      <c r="F61" s="9" t="s">
        <v>615</v>
      </c>
      <c r="G61" s="9" t="s">
        <v>1303</v>
      </c>
      <c r="H61" s="9" t="s">
        <v>57</v>
      </c>
      <c r="I61" s="9" t="s">
        <v>48</v>
      </c>
      <c r="J61" s="9" t="s">
        <v>39</v>
      </c>
      <c r="K61" s="9" t="s">
        <v>233</v>
      </c>
      <c r="L61" s="39"/>
      <c r="M61" s="7" t="s">
        <v>1</v>
      </c>
      <c r="N61" s="8"/>
      <c r="O61" s="40"/>
      <c r="P61" s="15" t="s">
        <v>245</v>
      </c>
      <c r="Q61" s="9" t="s">
        <v>264</v>
      </c>
      <c r="R61" s="9" t="s">
        <v>256</v>
      </c>
      <c r="S61" s="9" t="s">
        <v>858</v>
      </c>
      <c r="T61" s="9">
        <v>940074</v>
      </c>
      <c r="U61" s="16" t="s">
        <v>106</v>
      </c>
      <c r="V61" s="9">
        <v>3960056</v>
      </c>
      <c r="W61" s="8" t="s">
        <v>612</v>
      </c>
      <c r="X61" s="8" t="s">
        <v>317</v>
      </c>
      <c r="Y61" s="8" t="s">
        <v>616</v>
      </c>
      <c r="Z61" s="8">
        <v>3</v>
      </c>
      <c r="AA61" s="8">
        <v>5</v>
      </c>
      <c r="AB61" s="8" t="s">
        <v>176</v>
      </c>
      <c r="AC61" s="8" t="s">
        <v>228</v>
      </c>
      <c r="AD61" s="14" t="s">
        <v>229</v>
      </c>
      <c r="AE61" s="8" t="s">
        <v>614</v>
      </c>
      <c r="AF61" s="14">
        <v>0.53</v>
      </c>
      <c r="AG61" s="8">
        <v>1220</v>
      </c>
      <c r="AH61" s="8">
        <v>0</v>
      </c>
      <c r="AI61" s="8">
        <v>223.98</v>
      </c>
      <c r="AJ61" s="8">
        <v>208.31</v>
      </c>
      <c r="AK61" s="127">
        <v>15.67</v>
      </c>
      <c r="AL61" s="103">
        <v>0</v>
      </c>
      <c r="AM61" s="8">
        <v>15.67</v>
      </c>
      <c r="AN61" s="21">
        <v>0</v>
      </c>
      <c r="AO61" s="21">
        <v>0</v>
      </c>
      <c r="AP61" s="21">
        <v>15.67</v>
      </c>
      <c r="AQ61" s="21">
        <v>0</v>
      </c>
      <c r="AR61" s="21">
        <v>0</v>
      </c>
      <c r="AS61" s="8">
        <v>15.67</v>
      </c>
      <c r="AT61" s="21">
        <v>0</v>
      </c>
      <c r="AU61" s="21">
        <v>0</v>
      </c>
      <c r="AV61" s="21">
        <v>15.67</v>
      </c>
      <c r="AW61" s="21">
        <v>0</v>
      </c>
      <c r="AX61" s="21">
        <v>0</v>
      </c>
      <c r="AY61" s="8">
        <v>0</v>
      </c>
    </row>
    <row r="62" spans="1:51" ht="15" customHeight="1" x14ac:dyDescent="0.25">
      <c r="A62" s="9">
        <v>744</v>
      </c>
      <c r="B62" s="13">
        <v>45727</v>
      </c>
      <c r="C62" s="9" t="s">
        <v>169</v>
      </c>
      <c r="D62" s="9">
        <v>9518593369</v>
      </c>
      <c r="E62" s="8">
        <v>1</v>
      </c>
      <c r="F62" s="9" t="s">
        <v>618</v>
      </c>
      <c r="G62" s="9" t="s">
        <v>1687</v>
      </c>
      <c r="H62" s="9" t="s">
        <v>57</v>
      </c>
      <c r="I62" s="9" t="s">
        <v>48</v>
      </c>
      <c r="J62" s="9" t="s">
        <v>39</v>
      </c>
      <c r="K62" s="9" t="s">
        <v>233</v>
      </c>
      <c r="L62" s="39"/>
      <c r="M62" s="7" t="s">
        <v>1</v>
      </c>
      <c r="N62" s="8"/>
      <c r="O62" s="40"/>
      <c r="P62" s="15" t="s">
        <v>220</v>
      </c>
      <c r="Q62" s="9" t="s">
        <v>264</v>
      </c>
      <c r="R62" s="9" t="s">
        <v>225</v>
      </c>
      <c r="S62" s="9" t="s">
        <v>858</v>
      </c>
      <c r="T62" s="9">
        <v>940016</v>
      </c>
      <c r="U62" s="16" t="s">
        <v>133</v>
      </c>
      <c r="V62" s="9">
        <v>3964963</v>
      </c>
      <c r="W62" s="8" t="s">
        <v>619</v>
      </c>
      <c r="X62" s="8" t="s">
        <v>317</v>
      </c>
      <c r="Y62" s="8" t="s">
        <v>613</v>
      </c>
      <c r="Z62" s="8">
        <v>3</v>
      </c>
      <c r="AA62" s="8">
        <v>5</v>
      </c>
      <c r="AB62" s="8" t="s">
        <v>176</v>
      </c>
      <c r="AC62" s="8" t="s">
        <v>228</v>
      </c>
      <c r="AD62" s="14" t="s">
        <v>229</v>
      </c>
      <c r="AE62" s="8" t="s">
        <v>614</v>
      </c>
      <c r="AF62" s="14">
        <v>0.68</v>
      </c>
      <c r="AG62" s="8">
        <v>1220</v>
      </c>
      <c r="AH62" s="8">
        <v>0</v>
      </c>
      <c r="AI62" s="8">
        <v>28</v>
      </c>
      <c r="AJ62" s="8">
        <v>0</v>
      </c>
      <c r="AK62" s="127">
        <v>9.2799999999999994</v>
      </c>
      <c r="AL62" s="103">
        <v>18.720000000000002</v>
      </c>
      <c r="AM62" s="8">
        <v>9.2799999999999994</v>
      </c>
      <c r="AN62" s="21">
        <v>9.2799999999999994</v>
      </c>
      <c r="AO62" s="21">
        <v>0</v>
      </c>
      <c r="AP62" s="21">
        <v>0</v>
      </c>
      <c r="AQ62" s="21">
        <v>0</v>
      </c>
      <c r="AR62" s="21">
        <v>0</v>
      </c>
      <c r="AS62" s="8">
        <v>28</v>
      </c>
      <c r="AT62" s="21">
        <v>0</v>
      </c>
      <c r="AU62" s="21">
        <v>28</v>
      </c>
      <c r="AV62" s="21">
        <v>0</v>
      </c>
      <c r="AW62" s="21">
        <v>0</v>
      </c>
      <c r="AX62" s="21">
        <v>0</v>
      </c>
      <c r="AY62" s="8">
        <v>0</v>
      </c>
    </row>
    <row r="63" spans="1:51" ht="15" customHeight="1" x14ac:dyDescent="0.25">
      <c r="A63" s="9">
        <v>742</v>
      </c>
      <c r="B63" s="13">
        <v>45733</v>
      </c>
      <c r="C63" s="9" t="s">
        <v>193</v>
      </c>
      <c r="D63" s="9">
        <v>9518607093</v>
      </c>
      <c r="E63" s="8">
        <v>6</v>
      </c>
      <c r="F63" s="9" t="s">
        <v>624</v>
      </c>
      <c r="G63" s="9" t="s">
        <v>335</v>
      </c>
      <c r="H63" s="9" t="s">
        <v>57</v>
      </c>
      <c r="I63" s="9" t="s">
        <v>25</v>
      </c>
      <c r="J63" s="9" t="s">
        <v>29</v>
      </c>
      <c r="K63" s="9" t="s">
        <v>233</v>
      </c>
      <c r="L63" s="39"/>
      <c r="M63" s="7" t="s">
        <v>1</v>
      </c>
      <c r="N63" s="8"/>
      <c r="O63" s="40"/>
      <c r="P63" s="15" t="s">
        <v>194</v>
      </c>
      <c r="Q63" s="9" t="s">
        <v>172</v>
      </c>
      <c r="R63" s="9" t="s">
        <v>195</v>
      </c>
      <c r="S63" s="9" t="s">
        <v>858</v>
      </c>
      <c r="T63" s="9">
        <v>600250</v>
      </c>
      <c r="U63" s="16" t="s">
        <v>64</v>
      </c>
      <c r="V63" s="9">
        <v>2439203</v>
      </c>
      <c r="W63" s="8" t="s">
        <v>288</v>
      </c>
      <c r="X63" s="8" t="s">
        <v>265</v>
      </c>
      <c r="Y63" s="8" t="s">
        <v>175</v>
      </c>
      <c r="Z63" s="8">
        <v>8</v>
      </c>
      <c r="AA63" s="8">
        <v>13</v>
      </c>
      <c r="AB63" s="8" t="s">
        <v>183</v>
      </c>
      <c r="AC63" s="8" t="s">
        <v>190</v>
      </c>
      <c r="AD63" s="14" t="s">
        <v>197</v>
      </c>
      <c r="AE63" s="8" t="s">
        <v>198</v>
      </c>
      <c r="AF63" s="14">
        <v>0.5</v>
      </c>
      <c r="AG63" s="8">
        <v>1160</v>
      </c>
      <c r="AH63" s="8">
        <v>0</v>
      </c>
      <c r="AI63" s="8">
        <v>297</v>
      </c>
      <c r="AJ63" s="8">
        <v>230.85</v>
      </c>
      <c r="AK63" s="127">
        <v>31.06</v>
      </c>
      <c r="AL63" s="103">
        <v>24.535</v>
      </c>
      <c r="AM63" s="8">
        <v>31.06</v>
      </c>
      <c r="AN63" s="21">
        <v>0</v>
      </c>
      <c r="AO63" s="21">
        <v>0</v>
      </c>
      <c r="AP63" s="21">
        <v>31.06</v>
      </c>
      <c r="AQ63" s="21">
        <v>0</v>
      </c>
      <c r="AR63" s="21">
        <v>0</v>
      </c>
      <c r="AS63" s="8">
        <v>55.594999999999999</v>
      </c>
      <c r="AT63" s="21">
        <v>0</v>
      </c>
      <c r="AU63" s="21">
        <v>0</v>
      </c>
      <c r="AV63" s="21">
        <v>0</v>
      </c>
      <c r="AW63" s="21">
        <v>55.594999999999999</v>
      </c>
      <c r="AX63" s="21">
        <v>0</v>
      </c>
      <c r="AY63" s="8">
        <v>0</v>
      </c>
    </row>
    <row r="64" spans="1:51" ht="15" customHeight="1" x14ac:dyDescent="0.25">
      <c r="A64" s="9">
        <v>742</v>
      </c>
      <c r="B64" s="13">
        <v>45722</v>
      </c>
      <c r="C64" s="9" t="s">
        <v>169</v>
      </c>
      <c r="D64" s="9">
        <v>9518578859</v>
      </c>
      <c r="E64" s="8">
        <v>1</v>
      </c>
      <c r="F64" s="9" t="s">
        <v>626</v>
      </c>
      <c r="G64" s="9" t="s">
        <v>1687</v>
      </c>
      <c r="H64" s="9" t="s">
        <v>57</v>
      </c>
      <c r="I64" s="9" t="s">
        <v>25</v>
      </c>
      <c r="J64" s="9" t="s">
        <v>31</v>
      </c>
      <c r="K64" s="9" t="s">
        <v>170</v>
      </c>
      <c r="L64" s="39"/>
      <c r="M64" s="7" t="s">
        <v>1</v>
      </c>
      <c r="N64" s="8"/>
      <c r="O64" s="40"/>
      <c r="P64" s="15" t="s">
        <v>194</v>
      </c>
      <c r="Q64" s="9" t="s">
        <v>172</v>
      </c>
      <c r="R64" s="9" t="s">
        <v>361</v>
      </c>
      <c r="S64" s="9" t="s">
        <v>859</v>
      </c>
      <c r="T64" s="9">
        <v>933952</v>
      </c>
      <c r="U64" s="16" t="s">
        <v>68</v>
      </c>
      <c r="V64" s="9">
        <v>3240761</v>
      </c>
      <c r="W64" s="8" t="s">
        <v>444</v>
      </c>
      <c r="X64" s="8" t="s">
        <v>265</v>
      </c>
      <c r="Y64" s="8" t="s">
        <v>175</v>
      </c>
      <c r="Z64" s="8">
        <v>0</v>
      </c>
      <c r="AA64" s="8">
        <v>0</v>
      </c>
      <c r="AB64" s="8" t="s">
        <v>176</v>
      </c>
      <c r="AC64" s="8" t="s">
        <v>210</v>
      </c>
      <c r="AD64" s="14" t="s">
        <v>218</v>
      </c>
      <c r="AE64" s="8" t="s">
        <v>250</v>
      </c>
      <c r="AF64" s="14">
        <v>0.5</v>
      </c>
      <c r="AG64" s="8">
        <v>1250</v>
      </c>
      <c r="AH64" s="8">
        <v>2030</v>
      </c>
      <c r="AI64" s="8">
        <v>108</v>
      </c>
      <c r="AJ64" s="8">
        <v>38.72</v>
      </c>
      <c r="AK64" s="127">
        <v>7.5149999999999997</v>
      </c>
      <c r="AL64" s="103">
        <v>9.48</v>
      </c>
      <c r="AM64" s="8">
        <v>0</v>
      </c>
      <c r="AN64" s="21">
        <v>0</v>
      </c>
      <c r="AO64" s="21">
        <v>0</v>
      </c>
      <c r="AP64" s="21">
        <v>0</v>
      </c>
      <c r="AQ64" s="21">
        <v>0</v>
      </c>
      <c r="AR64" s="21">
        <v>0</v>
      </c>
      <c r="AS64" s="8">
        <v>9.48</v>
      </c>
      <c r="AT64" s="21">
        <v>9.48</v>
      </c>
      <c r="AU64" s="21">
        <v>0</v>
      </c>
      <c r="AV64" s="21">
        <v>0</v>
      </c>
      <c r="AW64" s="21">
        <v>0</v>
      </c>
      <c r="AX64" s="21">
        <v>0</v>
      </c>
      <c r="AY64" s="8">
        <v>0</v>
      </c>
    </row>
    <row r="65" spans="1:51" ht="15" customHeight="1" x14ac:dyDescent="0.25">
      <c r="A65" s="9">
        <v>742</v>
      </c>
      <c r="B65" s="13">
        <v>45729</v>
      </c>
      <c r="C65" s="9" t="s">
        <v>169</v>
      </c>
      <c r="D65" s="9">
        <v>9518598795</v>
      </c>
      <c r="E65" s="8">
        <v>5</v>
      </c>
      <c r="F65" s="9" t="s">
        <v>628</v>
      </c>
      <c r="G65" s="9" t="s">
        <v>335</v>
      </c>
      <c r="H65" s="9" t="s">
        <v>57</v>
      </c>
      <c r="I65" s="9" t="s">
        <v>25</v>
      </c>
      <c r="J65" s="9" t="s">
        <v>30</v>
      </c>
      <c r="K65" s="9" t="s">
        <v>170</v>
      </c>
      <c r="L65" s="39"/>
      <c r="M65" s="7" t="s">
        <v>1</v>
      </c>
      <c r="N65" s="8"/>
      <c r="O65" s="40"/>
      <c r="P65" s="15" t="s">
        <v>245</v>
      </c>
      <c r="Q65" s="9" t="s">
        <v>214</v>
      </c>
      <c r="R65" s="9" t="s">
        <v>337</v>
      </c>
      <c r="S65" s="9" t="s">
        <v>858</v>
      </c>
      <c r="T65" s="9">
        <v>822271</v>
      </c>
      <c r="U65" s="16" t="s">
        <v>86</v>
      </c>
      <c r="V65" s="9">
        <v>1804867</v>
      </c>
      <c r="W65" s="8" t="s">
        <v>553</v>
      </c>
      <c r="X65" s="8" t="s">
        <v>265</v>
      </c>
      <c r="Y65" s="8" t="s">
        <v>175</v>
      </c>
      <c r="Z65" s="8">
        <v>5</v>
      </c>
      <c r="AA65" s="8">
        <v>29</v>
      </c>
      <c r="AB65" s="8" t="s">
        <v>176</v>
      </c>
      <c r="AC65" s="8" t="s">
        <v>190</v>
      </c>
      <c r="AD65" s="14" t="s">
        <v>191</v>
      </c>
      <c r="AE65" s="8" t="s">
        <v>192</v>
      </c>
      <c r="AF65" s="14">
        <v>1.6</v>
      </c>
      <c r="AG65" s="8">
        <v>1250</v>
      </c>
      <c r="AH65" s="8">
        <v>0</v>
      </c>
      <c r="AI65" s="8">
        <v>87</v>
      </c>
      <c r="AJ65" s="8">
        <v>69.715000000000003</v>
      </c>
      <c r="AK65" s="127">
        <v>17.285</v>
      </c>
      <c r="AL65" s="103">
        <v>0</v>
      </c>
      <c r="AM65" s="8">
        <v>17.285</v>
      </c>
      <c r="AN65" s="21">
        <v>17.285</v>
      </c>
      <c r="AO65" s="21">
        <v>0</v>
      </c>
      <c r="AP65" s="21">
        <v>0</v>
      </c>
      <c r="AQ65" s="21">
        <v>0</v>
      </c>
      <c r="AR65" s="21">
        <v>0</v>
      </c>
      <c r="AS65" s="8">
        <v>17.285</v>
      </c>
      <c r="AT65" s="21">
        <v>0</v>
      </c>
      <c r="AU65" s="21">
        <v>17.285</v>
      </c>
      <c r="AV65" s="21">
        <v>0</v>
      </c>
      <c r="AW65" s="21">
        <v>0</v>
      </c>
      <c r="AX65" s="21">
        <v>0</v>
      </c>
      <c r="AY65" s="8">
        <v>0</v>
      </c>
    </row>
    <row r="66" spans="1:51" ht="15" customHeight="1" x14ac:dyDescent="0.25">
      <c r="A66" s="9">
        <v>742</v>
      </c>
      <c r="B66" s="13">
        <v>45722</v>
      </c>
      <c r="C66" s="9" t="s">
        <v>169</v>
      </c>
      <c r="D66" s="9">
        <v>9518579878</v>
      </c>
      <c r="E66" s="8">
        <v>3</v>
      </c>
      <c r="F66" s="9" t="s">
        <v>630</v>
      </c>
      <c r="G66" s="9" t="s">
        <v>1687</v>
      </c>
      <c r="H66" s="9" t="s">
        <v>57</v>
      </c>
      <c r="I66" s="9" t="s">
        <v>25</v>
      </c>
      <c r="J66" s="9" t="s">
        <v>31</v>
      </c>
      <c r="K66" s="9" t="s">
        <v>170</v>
      </c>
      <c r="L66" s="39"/>
      <c r="M66" s="7" t="s">
        <v>1</v>
      </c>
      <c r="N66" s="8"/>
      <c r="O66" s="40"/>
      <c r="P66" s="15" t="s">
        <v>194</v>
      </c>
      <c r="Q66" s="9" t="s">
        <v>172</v>
      </c>
      <c r="R66" s="9" t="s">
        <v>286</v>
      </c>
      <c r="S66" s="9" t="s">
        <v>859</v>
      </c>
      <c r="T66" s="9">
        <v>931525</v>
      </c>
      <c r="U66" s="16" t="s">
        <v>75</v>
      </c>
      <c r="V66" s="9">
        <v>3240765</v>
      </c>
      <c r="W66" s="8" t="s">
        <v>360</v>
      </c>
      <c r="X66" s="8" t="s">
        <v>265</v>
      </c>
      <c r="Y66" s="8" t="s">
        <v>175</v>
      </c>
      <c r="Z66" s="8">
        <v>0</v>
      </c>
      <c r="AA66" s="8">
        <v>0</v>
      </c>
      <c r="AB66" s="8" t="s">
        <v>176</v>
      </c>
      <c r="AC66" s="8" t="s">
        <v>210</v>
      </c>
      <c r="AD66" s="14" t="s">
        <v>218</v>
      </c>
      <c r="AE66" s="8" t="s">
        <v>250</v>
      </c>
      <c r="AF66" s="14">
        <v>0.5</v>
      </c>
      <c r="AG66" s="8">
        <v>1250</v>
      </c>
      <c r="AH66" s="8">
        <v>2500</v>
      </c>
      <c r="AI66" s="8">
        <v>27</v>
      </c>
      <c r="AJ66" s="8">
        <v>0</v>
      </c>
      <c r="AK66" s="127">
        <v>1.9750000000000001</v>
      </c>
      <c r="AL66" s="103">
        <v>2.585</v>
      </c>
      <c r="AM66" s="8">
        <v>0</v>
      </c>
      <c r="AN66" s="21">
        <v>0</v>
      </c>
      <c r="AO66" s="21">
        <v>0</v>
      </c>
      <c r="AP66" s="21">
        <v>0</v>
      </c>
      <c r="AQ66" s="21">
        <v>0</v>
      </c>
      <c r="AR66" s="21">
        <v>0</v>
      </c>
      <c r="AS66" s="8">
        <v>2.585</v>
      </c>
      <c r="AT66" s="21">
        <v>2.585</v>
      </c>
      <c r="AU66" s="21">
        <v>0</v>
      </c>
      <c r="AV66" s="21">
        <v>0</v>
      </c>
      <c r="AW66" s="21">
        <v>0</v>
      </c>
      <c r="AX66" s="21">
        <v>0</v>
      </c>
      <c r="AY66" s="8">
        <v>0</v>
      </c>
    </row>
    <row r="67" spans="1:51" ht="15" customHeight="1" x14ac:dyDescent="0.25">
      <c r="A67" s="9">
        <v>742</v>
      </c>
      <c r="B67" s="13">
        <v>45723</v>
      </c>
      <c r="C67" s="9" t="s">
        <v>169</v>
      </c>
      <c r="D67" s="9">
        <v>9518583094</v>
      </c>
      <c r="E67" s="8">
        <v>7</v>
      </c>
      <c r="F67" s="9" t="s">
        <v>632</v>
      </c>
      <c r="G67" s="9" t="s">
        <v>1687</v>
      </c>
      <c r="H67" s="9" t="s">
        <v>57</v>
      </c>
      <c r="I67" s="9" t="s">
        <v>25</v>
      </c>
      <c r="J67" s="9" t="s">
        <v>31</v>
      </c>
      <c r="K67" s="9" t="s">
        <v>170</v>
      </c>
      <c r="L67" s="39"/>
      <c r="M67" s="7" t="s">
        <v>1</v>
      </c>
      <c r="N67" s="8"/>
      <c r="O67" s="40"/>
      <c r="P67" s="15" t="s">
        <v>194</v>
      </c>
      <c r="Q67" s="9" t="s">
        <v>172</v>
      </c>
      <c r="R67" s="9" t="s">
        <v>286</v>
      </c>
      <c r="S67" s="9" t="s">
        <v>859</v>
      </c>
      <c r="T67" s="9">
        <v>931525</v>
      </c>
      <c r="U67" s="16" t="s">
        <v>75</v>
      </c>
      <c r="V67" s="9">
        <v>3247972</v>
      </c>
      <c r="W67" s="8" t="s">
        <v>478</v>
      </c>
      <c r="X67" s="8" t="s">
        <v>265</v>
      </c>
      <c r="Y67" s="8" t="s">
        <v>175</v>
      </c>
      <c r="Z67" s="8">
        <v>0</v>
      </c>
      <c r="AA67" s="8">
        <v>0</v>
      </c>
      <c r="AB67" s="8" t="s">
        <v>176</v>
      </c>
      <c r="AC67" s="8" t="s">
        <v>210</v>
      </c>
      <c r="AD67" s="14" t="s">
        <v>218</v>
      </c>
      <c r="AE67" s="8" t="s">
        <v>250</v>
      </c>
      <c r="AF67" s="14">
        <v>0.6</v>
      </c>
      <c r="AG67" s="8">
        <v>1250</v>
      </c>
      <c r="AH67" s="8">
        <v>2020</v>
      </c>
      <c r="AI67" s="8">
        <v>54</v>
      </c>
      <c r="AJ67" s="8">
        <v>2.875</v>
      </c>
      <c r="AK67" s="127">
        <v>3.26</v>
      </c>
      <c r="AL67" s="103">
        <v>2.5499999999999998</v>
      </c>
      <c r="AM67" s="8">
        <v>0</v>
      </c>
      <c r="AN67" s="21">
        <v>0</v>
      </c>
      <c r="AO67" s="21">
        <v>0</v>
      </c>
      <c r="AP67" s="21">
        <v>0</v>
      </c>
      <c r="AQ67" s="21">
        <v>0</v>
      </c>
      <c r="AR67" s="21">
        <v>0</v>
      </c>
      <c r="AS67" s="8">
        <v>2.5499999999999998</v>
      </c>
      <c r="AT67" s="21">
        <v>2.5499999999999998</v>
      </c>
      <c r="AU67" s="21">
        <v>0</v>
      </c>
      <c r="AV67" s="21">
        <v>0</v>
      </c>
      <c r="AW67" s="21">
        <v>0</v>
      </c>
      <c r="AX67" s="21">
        <v>0</v>
      </c>
      <c r="AY67" s="8">
        <v>0</v>
      </c>
    </row>
    <row r="68" spans="1:51" ht="15" customHeight="1" x14ac:dyDescent="0.25">
      <c r="A68" s="9">
        <v>742</v>
      </c>
      <c r="B68" s="13">
        <v>45702</v>
      </c>
      <c r="C68" s="9" t="s">
        <v>169</v>
      </c>
      <c r="D68" s="9">
        <v>9518519930</v>
      </c>
      <c r="E68" s="8">
        <v>2</v>
      </c>
      <c r="F68" s="9" t="s">
        <v>633</v>
      </c>
      <c r="G68" s="9" t="s">
        <v>335</v>
      </c>
      <c r="H68" s="9" t="s">
        <v>57</v>
      </c>
      <c r="I68" s="9" t="s">
        <v>25</v>
      </c>
      <c r="J68" s="9" t="s">
        <v>30</v>
      </c>
      <c r="K68" s="9" t="s">
        <v>170</v>
      </c>
      <c r="L68" s="39"/>
      <c r="M68" s="7" t="s">
        <v>1</v>
      </c>
      <c r="N68" s="8"/>
      <c r="O68" s="40"/>
      <c r="P68" s="15" t="s">
        <v>201</v>
      </c>
      <c r="Q68" s="9" t="s">
        <v>172</v>
      </c>
      <c r="R68" s="9" t="s">
        <v>202</v>
      </c>
      <c r="S68" s="9" t="s">
        <v>858</v>
      </c>
      <c r="T68" s="9">
        <v>936997</v>
      </c>
      <c r="U68" s="16" t="s">
        <v>80</v>
      </c>
      <c r="V68" s="9">
        <v>1801798</v>
      </c>
      <c r="W68" s="8" t="s">
        <v>462</v>
      </c>
      <c r="X68" s="8" t="s">
        <v>265</v>
      </c>
      <c r="Y68" s="8" t="s">
        <v>175</v>
      </c>
      <c r="Z68" s="8">
        <v>10</v>
      </c>
      <c r="AA68" s="8">
        <v>28</v>
      </c>
      <c r="AB68" s="8" t="s">
        <v>183</v>
      </c>
      <c r="AC68" s="8" t="s">
        <v>190</v>
      </c>
      <c r="AD68" s="14" t="s">
        <v>191</v>
      </c>
      <c r="AE68" s="8" t="s">
        <v>192</v>
      </c>
      <c r="AF68" s="14">
        <v>1</v>
      </c>
      <c r="AG68" s="8">
        <v>900</v>
      </c>
      <c r="AH68" s="8">
        <v>0</v>
      </c>
      <c r="AI68" s="8">
        <v>42</v>
      </c>
      <c r="AJ68" s="8">
        <v>0</v>
      </c>
      <c r="AK68" s="127">
        <v>42</v>
      </c>
      <c r="AL68" s="103">
        <v>0</v>
      </c>
      <c r="AM68" s="8">
        <v>42</v>
      </c>
      <c r="AN68" s="21">
        <v>0</v>
      </c>
      <c r="AO68" s="21">
        <v>0</v>
      </c>
      <c r="AP68" s="21">
        <v>0</v>
      </c>
      <c r="AQ68" s="21">
        <v>0</v>
      </c>
      <c r="AR68" s="21">
        <v>42</v>
      </c>
      <c r="AS68" s="8">
        <v>0</v>
      </c>
      <c r="AT68" s="21">
        <v>0</v>
      </c>
      <c r="AU68" s="21">
        <v>0</v>
      </c>
      <c r="AV68" s="21">
        <v>0</v>
      </c>
      <c r="AW68" s="21">
        <v>0</v>
      </c>
      <c r="AX68" s="21">
        <v>0</v>
      </c>
      <c r="AY68" s="8">
        <v>42</v>
      </c>
    </row>
    <row r="69" spans="1:51" ht="15" customHeight="1" x14ac:dyDescent="0.25">
      <c r="A69" s="9">
        <v>742</v>
      </c>
      <c r="B69" s="13">
        <v>45715</v>
      </c>
      <c r="C69" s="9" t="s">
        <v>193</v>
      </c>
      <c r="D69" s="9">
        <v>9518560055</v>
      </c>
      <c r="E69" s="8">
        <v>2</v>
      </c>
      <c r="F69" s="9" t="s">
        <v>635</v>
      </c>
      <c r="G69" s="9" t="s">
        <v>1303</v>
      </c>
      <c r="H69" s="9" t="s">
        <v>57</v>
      </c>
      <c r="I69" s="9" t="s">
        <v>35</v>
      </c>
      <c r="J69" s="9" t="s">
        <v>36</v>
      </c>
      <c r="K69" s="9" t="s">
        <v>170</v>
      </c>
      <c r="L69" s="39"/>
      <c r="M69" s="7" t="s">
        <v>1</v>
      </c>
      <c r="N69" s="8"/>
      <c r="O69" s="40"/>
      <c r="P69" s="15" t="s">
        <v>244</v>
      </c>
      <c r="Q69" s="9" t="s">
        <v>188</v>
      </c>
      <c r="R69" s="9" t="s">
        <v>299</v>
      </c>
      <c r="S69" s="9" t="s">
        <v>858</v>
      </c>
      <c r="T69" s="9">
        <v>650250</v>
      </c>
      <c r="U69" s="16" t="s">
        <v>103</v>
      </c>
      <c r="V69" s="9">
        <v>2306895</v>
      </c>
      <c r="W69" s="8" t="s">
        <v>300</v>
      </c>
      <c r="X69" s="8" t="s">
        <v>265</v>
      </c>
      <c r="Y69" s="8" t="s">
        <v>175</v>
      </c>
      <c r="Z69" s="8">
        <v>20</v>
      </c>
      <c r="AA69" s="8">
        <v>25</v>
      </c>
      <c r="AB69" s="8" t="s">
        <v>176</v>
      </c>
      <c r="AC69" s="8" t="s">
        <v>292</v>
      </c>
      <c r="AD69" s="14" t="s">
        <v>293</v>
      </c>
      <c r="AE69" s="8" t="s">
        <v>294</v>
      </c>
      <c r="AF69" s="14">
        <v>0.32</v>
      </c>
      <c r="AG69" s="8">
        <v>1245</v>
      </c>
      <c r="AH69" s="8">
        <v>0</v>
      </c>
      <c r="AI69" s="8">
        <v>232</v>
      </c>
      <c r="AJ69" s="8">
        <v>24.22</v>
      </c>
      <c r="AK69" s="127">
        <v>153.505</v>
      </c>
      <c r="AL69" s="103">
        <v>54.699999999999996</v>
      </c>
      <c r="AM69" s="8">
        <v>153.505</v>
      </c>
      <c r="AN69" s="21">
        <v>0</v>
      </c>
      <c r="AO69" s="21">
        <v>0</v>
      </c>
      <c r="AP69" s="21">
        <v>0</v>
      </c>
      <c r="AQ69" s="21">
        <v>153.505</v>
      </c>
      <c r="AR69" s="21">
        <v>0</v>
      </c>
      <c r="AS69" s="8">
        <v>208.20499999999998</v>
      </c>
      <c r="AT69" s="21">
        <v>0</v>
      </c>
      <c r="AU69" s="21">
        <v>0</v>
      </c>
      <c r="AV69" s="21">
        <v>0</v>
      </c>
      <c r="AW69" s="21">
        <v>0</v>
      </c>
      <c r="AX69" s="21">
        <v>208.20499999999998</v>
      </c>
      <c r="AY69" s="8">
        <v>0</v>
      </c>
    </row>
    <row r="70" spans="1:51" ht="15" customHeight="1" x14ac:dyDescent="0.25">
      <c r="A70" s="9">
        <v>742</v>
      </c>
      <c r="B70" s="13">
        <v>45733</v>
      </c>
      <c r="C70" s="9" t="s">
        <v>193</v>
      </c>
      <c r="D70" s="9">
        <v>9518607093</v>
      </c>
      <c r="E70" s="8">
        <v>2</v>
      </c>
      <c r="F70" s="9" t="s">
        <v>638</v>
      </c>
      <c r="G70" s="9" t="s">
        <v>335</v>
      </c>
      <c r="H70" s="9" t="s">
        <v>57</v>
      </c>
      <c r="I70" s="9" t="s">
        <v>25</v>
      </c>
      <c r="J70" s="9" t="s">
        <v>29</v>
      </c>
      <c r="K70" s="9" t="s">
        <v>233</v>
      </c>
      <c r="L70" s="39"/>
      <c r="M70" s="7" t="s">
        <v>1</v>
      </c>
      <c r="N70" s="8"/>
      <c r="O70" s="40"/>
      <c r="P70" s="15" t="s">
        <v>194</v>
      </c>
      <c r="Q70" s="9" t="s">
        <v>172</v>
      </c>
      <c r="R70" s="9" t="s">
        <v>195</v>
      </c>
      <c r="S70" s="9" t="s">
        <v>858</v>
      </c>
      <c r="T70" s="9">
        <v>600250</v>
      </c>
      <c r="U70" s="16" t="s">
        <v>64</v>
      </c>
      <c r="V70" s="9">
        <v>2439203</v>
      </c>
      <c r="W70" s="8" t="s">
        <v>288</v>
      </c>
      <c r="X70" s="8" t="s">
        <v>265</v>
      </c>
      <c r="Y70" s="8" t="s">
        <v>175</v>
      </c>
      <c r="Z70" s="8">
        <v>8</v>
      </c>
      <c r="AA70" s="8">
        <v>13</v>
      </c>
      <c r="AB70" s="8" t="s">
        <v>183</v>
      </c>
      <c r="AC70" s="8" t="s">
        <v>190</v>
      </c>
      <c r="AD70" s="14" t="s">
        <v>197</v>
      </c>
      <c r="AE70" s="8" t="s">
        <v>198</v>
      </c>
      <c r="AF70" s="14">
        <v>0.5</v>
      </c>
      <c r="AG70" s="8">
        <v>1160</v>
      </c>
      <c r="AH70" s="8">
        <v>0</v>
      </c>
      <c r="AI70" s="8">
        <v>297</v>
      </c>
      <c r="AJ70" s="8">
        <v>263.22500000000002</v>
      </c>
      <c r="AK70" s="127">
        <v>22.15</v>
      </c>
      <c r="AL70" s="103">
        <v>0</v>
      </c>
      <c r="AM70" s="8">
        <v>22.15</v>
      </c>
      <c r="AN70" s="21">
        <v>0</v>
      </c>
      <c r="AO70" s="21">
        <v>0</v>
      </c>
      <c r="AP70" s="21">
        <v>22.15</v>
      </c>
      <c r="AQ70" s="21">
        <v>0</v>
      </c>
      <c r="AR70" s="21">
        <v>0</v>
      </c>
      <c r="AS70" s="8">
        <v>22.15</v>
      </c>
      <c r="AT70" s="21">
        <v>0</v>
      </c>
      <c r="AU70" s="21">
        <v>0</v>
      </c>
      <c r="AV70" s="21">
        <v>22.15</v>
      </c>
      <c r="AW70" s="21">
        <v>0</v>
      </c>
      <c r="AX70" s="21">
        <v>0</v>
      </c>
      <c r="AY70" s="8">
        <v>0</v>
      </c>
    </row>
    <row r="71" spans="1:51" ht="15" customHeight="1" x14ac:dyDescent="0.25">
      <c r="A71" s="9">
        <v>742</v>
      </c>
      <c r="B71" s="13">
        <v>45733</v>
      </c>
      <c r="C71" s="9" t="s">
        <v>193</v>
      </c>
      <c r="D71" s="9">
        <v>9518607093</v>
      </c>
      <c r="E71" s="8">
        <v>7</v>
      </c>
      <c r="F71" s="9" t="s">
        <v>639</v>
      </c>
      <c r="G71" s="9" t="s">
        <v>335</v>
      </c>
      <c r="H71" s="9" t="s">
        <v>57</v>
      </c>
      <c r="I71" s="9" t="s">
        <v>25</v>
      </c>
      <c r="J71" s="9" t="s">
        <v>29</v>
      </c>
      <c r="K71" s="9" t="s">
        <v>233</v>
      </c>
      <c r="L71" s="39"/>
      <c r="M71" s="7" t="s">
        <v>1</v>
      </c>
      <c r="N71" s="8"/>
      <c r="O71" s="40"/>
      <c r="P71" s="15" t="s">
        <v>194</v>
      </c>
      <c r="Q71" s="9" t="s">
        <v>172</v>
      </c>
      <c r="R71" s="9" t="s">
        <v>195</v>
      </c>
      <c r="S71" s="9" t="s">
        <v>858</v>
      </c>
      <c r="T71" s="9">
        <v>600250</v>
      </c>
      <c r="U71" s="16" t="s">
        <v>64</v>
      </c>
      <c r="V71" s="9">
        <v>2439203</v>
      </c>
      <c r="W71" s="8" t="s">
        <v>288</v>
      </c>
      <c r="X71" s="8" t="s">
        <v>265</v>
      </c>
      <c r="Y71" s="8" t="s">
        <v>175</v>
      </c>
      <c r="Z71" s="8">
        <v>8</v>
      </c>
      <c r="AA71" s="8">
        <v>13</v>
      </c>
      <c r="AB71" s="8" t="s">
        <v>183</v>
      </c>
      <c r="AC71" s="8" t="s">
        <v>190</v>
      </c>
      <c r="AD71" s="14" t="s">
        <v>197</v>
      </c>
      <c r="AE71" s="8" t="s">
        <v>198</v>
      </c>
      <c r="AF71" s="14">
        <v>0.5</v>
      </c>
      <c r="AG71" s="8">
        <v>1160</v>
      </c>
      <c r="AH71" s="8">
        <v>0</v>
      </c>
      <c r="AI71" s="8">
        <v>297</v>
      </c>
      <c r="AJ71" s="8">
        <v>98.6</v>
      </c>
      <c r="AK71" s="127">
        <v>51.02</v>
      </c>
      <c r="AL71" s="103">
        <v>86.044999999999987</v>
      </c>
      <c r="AM71" s="8">
        <v>51.02</v>
      </c>
      <c r="AN71" s="21">
        <v>0</v>
      </c>
      <c r="AO71" s="21">
        <v>51.02</v>
      </c>
      <c r="AP71" s="21">
        <v>0</v>
      </c>
      <c r="AQ71" s="21">
        <v>0</v>
      </c>
      <c r="AR71" s="21">
        <v>0</v>
      </c>
      <c r="AS71" s="8">
        <v>137.065</v>
      </c>
      <c r="AT71" s="21">
        <v>0</v>
      </c>
      <c r="AU71" s="21">
        <v>0</v>
      </c>
      <c r="AV71" s="21">
        <v>137.065</v>
      </c>
      <c r="AW71" s="21">
        <v>0</v>
      </c>
      <c r="AX71" s="21">
        <v>0</v>
      </c>
      <c r="AY71" s="8">
        <v>0</v>
      </c>
    </row>
    <row r="72" spans="1:51" ht="15" customHeight="1" x14ac:dyDescent="0.25">
      <c r="A72" s="9">
        <v>742</v>
      </c>
      <c r="B72" s="13">
        <v>45733</v>
      </c>
      <c r="C72" s="9" t="s">
        <v>193</v>
      </c>
      <c r="D72" s="9">
        <v>9518607093</v>
      </c>
      <c r="E72" s="8">
        <v>8</v>
      </c>
      <c r="F72" s="9" t="s">
        <v>640</v>
      </c>
      <c r="G72" s="9" t="s">
        <v>1303</v>
      </c>
      <c r="H72" s="9" t="s">
        <v>57</v>
      </c>
      <c r="I72" s="9" t="s">
        <v>25</v>
      </c>
      <c r="J72" s="9" t="s">
        <v>29</v>
      </c>
      <c r="K72" s="9" t="s">
        <v>233</v>
      </c>
      <c r="L72" s="39"/>
      <c r="M72" s="7" t="s">
        <v>1</v>
      </c>
      <c r="N72" s="8"/>
      <c r="O72" s="40" t="s">
        <v>1335</v>
      </c>
      <c r="P72" s="15" t="s">
        <v>194</v>
      </c>
      <c r="Q72" s="9" t="s">
        <v>172</v>
      </c>
      <c r="R72" s="9" t="s">
        <v>195</v>
      </c>
      <c r="S72" s="9" t="s">
        <v>858</v>
      </c>
      <c r="T72" s="9">
        <v>600250</v>
      </c>
      <c r="U72" s="16" t="s">
        <v>64</v>
      </c>
      <c r="V72" s="9">
        <v>2439203</v>
      </c>
      <c r="W72" s="8" t="s">
        <v>288</v>
      </c>
      <c r="X72" s="8" t="s">
        <v>265</v>
      </c>
      <c r="Y72" s="8" t="s">
        <v>175</v>
      </c>
      <c r="Z72" s="8">
        <v>8</v>
      </c>
      <c r="AA72" s="8">
        <v>13</v>
      </c>
      <c r="AB72" s="8" t="s">
        <v>183</v>
      </c>
      <c r="AC72" s="8" t="s">
        <v>190</v>
      </c>
      <c r="AD72" s="14" t="s">
        <v>197</v>
      </c>
      <c r="AE72" s="8" t="s">
        <v>198</v>
      </c>
      <c r="AF72" s="14">
        <v>0.5</v>
      </c>
      <c r="AG72" s="8">
        <v>1160</v>
      </c>
      <c r="AH72" s="8">
        <v>0</v>
      </c>
      <c r="AI72" s="8">
        <v>297</v>
      </c>
      <c r="AJ72" s="8">
        <v>270.15499999999997</v>
      </c>
      <c r="AK72" s="127">
        <v>26.844999999999999</v>
      </c>
      <c r="AL72" s="103">
        <v>0</v>
      </c>
      <c r="AM72" s="8">
        <v>26.844999999999999</v>
      </c>
      <c r="AN72" s="21">
        <v>0</v>
      </c>
      <c r="AO72" s="21">
        <v>26.844999999999999</v>
      </c>
      <c r="AP72" s="21">
        <v>0</v>
      </c>
      <c r="AQ72" s="21">
        <v>0</v>
      </c>
      <c r="AR72" s="21">
        <v>0</v>
      </c>
      <c r="AS72" s="8">
        <v>26.844999999999999</v>
      </c>
      <c r="AT72" s="21">
        <v>0</v>
      </c>
      <c r="AU72" s="21">
        <v>26.844999999999999</v>
      </c>
      <c r="AV72" s="21">
        <v>0</v>
      </c>
      <c r="AW72" s="21">
        <v>0</v>
      </c>
      <c r="AX72" s="21">
        <v>0</v>
      </c>
      <c r="AY72" s="8">
        <v>0</v>
      </c>
    </row>
    <row r="73" spans="1:51" ht="15" customHeight="1" x14ac:dyDescent="0.25">
      <c r="A73" s="9">
        <v>742</v>
      </c>
      <c r="B73" s="13">
        <v>45733</v>
      </c>
      <c r="C73" s="9" t="s">
        <v>193</v>
      </c>
      <c r="D73" s="9">
        <v>9518607093</v>
      </c>
      <c r="E73" s="8">
        <v>9</v>
      </c>
      <c r="F73" s="9" t="s">
        <v>641</v>
      </c>
      <c r="G73" s="9" t="s">
        <v>1303</v>
      </c>
      <c r="H73" s="9" t="s">
        <v>57</v>
      </c>
      <c r="I73" s="9" t="s">
        <v>25</v>
      </c>
      <c r="J73" s="9" t="s">
        <v>29</v>
      </c>
      <c r="K73" s="9" t="s">
        <v>233</v>
      </c>
      <c r="L73" s="39"/>
      <c r="M73" s="7" t="s">
        <v>1</v>
      </c>
      <c r="N73" s="8"/>
      <c r="O73" s="40" t="s">
        <v>1335</v>
      </c>
      <c r="P73" s="15" t="s">
        <v>194</v>
      </c>
      <c r="Q73" s="9" t="s">
        <v>172</v>
      </c>
      <c r="R73" s="9" t="s">
        <v>195</v>
      </c>
      <c r="S73" s="9" t="s">
        <v>858</v>
      </c>
      <c r="T73" s="9">
        <v>600250</v>
      </c>
      <c r="U73" s="16" t="s">
        <v>64</v>
      </c>
      <c r="V73" s="9">
        <v>2439203</v>
      </c>
      <c r="W73" s="8" t="s">
        <v>288</v>
      </c>
      <c r="X73" s="8" t="s">
        <v>265</v>
      </c>
      <c r="Y73" s="8" t="s">
        <v>175</v>
      </c>
      <c r="Z73" s="8">
        <v>8</v>
      </c>
      <c r="AA73" s="8">
        <v>13</v>
      </c>
      <c r="AB73" s="8" t="s">
        <v>183</v>
      </c>
      <c r="AC73" s="8" t="s">
        <v>190</v>
      </c>
      <c r="AD73" s="14" t="s">
        <v>197</v>
      </c>
      <c r="AE73" s="8" t="s">
        <v>198</v>
      </c>
      <c r="AF73" s="14">
        <v>0.5</v>
      </c>
      <c r="AG73" s="8">
        <v>1160</v>
      </c>
      <c r="AH73" s="8">
        <v>0</v>
      </c>
      <c r="AI73" s="8">
        <v>297</v>
      </c>
      <c r="AJ73" s="8">
        <v>231.64</v>
      </c>
      <c r="AK73" s="127">
        <v>40.630000000000003</v>
      </c>
      <c r="AL73" s="103">
        <v>36.344999999999999</v>
      </c>
      <c r="AM73" s="8">
        <v>40.630000000000003</v>
      </c>
      <c r="AN73" s="21">
        <v>0</v>
      </c>
      <c r="AO73" s="21">
        <v>40.630000000000003</v>
      </c>
      <c r="AP73" s="21">
        <v>0</v>
      </c>
      <c r="AQ73" s="21">
        <v>0</v>
      </c>
      <c r="AR73" s="21">
        <v>0</v>
      </c>
      <c r="AS73" s="8">
        <v>76.974999999999994</v>
      </c>
      <c r="AT73" s="21">
        <v>0</v>
      </c>
      <c r="AU73" s="21">
        <v>0</v>
      </c>
      <c r="AV73" s="21">
        <v>76.974999999999994</v>
      </c>
      <c r="AW73" s="21">
        <v>0</v>
      </c>
      <c r="AX73" s="21">
        <v>0</v>
      </c>
      <c r="AY73" s="8">
        <v>0</v>
      </c>
    </row>
    <row r="74" spans="1:51" ht="15" customHeight="1" x14ac:dyDescent="0.25">
      <c r="A74" s="9">
        <v>742</v>
      </c>
      <c r="B74" s="13">
        <v>45733</v>
      </c>
      <c r="C74" s="9" t="s">
        <v>193</v>
      </c>
      <c r="D74" s="9">
        <v>9518607093</v>
      </c>
      <c r="E74" s="8">
        <v>10</v>
      </c>
      <c r="F74" s="9" t="s">
        <v>642</v>
      </c>
      <c r="G74" s="9" t="s">
        <v>1303</v>
      </c>
      <c r="H74" s="9" t="s">
        <v>57</v>
      </c>
      <c r="I74" s="9" t="s">
        <v>25</v>
      </c>
      <c r="J74" s="9" t="s">
        <v>29</v>
      </c>
      <c r="K74" s="9" t="s">
        <v>233</v>
      </c>
      <c r="L74" s="39"/>
      <c r="M74" s="7" t="s">
        <v>1</v>
      </c>
      <c r="N74" s="8"/>
      <c r="O74" s="40" t="s">
        <v>1335</v>
      </c>
      <c r="P74" s="15" t="s">
        <v>194</v>
      </c>
      <c r="Q74" s="9" t="s">
        <v>172</v>
      </c>
      <c r="R74" s="9" t="s">
        <v>195</v>
      </c>
      <c r="S74" s="9" t="s">
        <v>858</v>
      </c>
      <c r="T74" s="9">
        <v>600250</v>
      </c>
      <c r="U74" s="16" t="s">
        <v>64</v>
      </c>
      <c r="V74" s="9">
        <v>2439203</v>
      </c>
      <c r="W74" s="8" t="s">
        <v>288</v>
      </c>
      <c r="X74" s="8" t="s">
        <v>265</v>
      </c>
      <c r="Y74" s="8" t="s">
        <v>175</v>
      </c>
      <c r="Z74" s="8">
        <v>8</v>
      </c>
      <c r="AA74" s="8">
        <v>13</v>
      </c>
      <c r="AB74" s="8" t="s">
        <v>183</v>
      </c>
      <c r="AC74" s="8" t="s">
        <v>190</v>
      </c>
      <c r="AD74" s="14" t="s">
        <v>197</v>
      </c>
      <c r="AE74" s="8" t="s">
        <v>198</v>
      </c>
      <c r="AF74" s="14">
        <v>0.5</v>
      </c>
      <c r="AG74" s="8">
        <v>1160</v>
      </c>
      <c r="AH74" s="8">
        <v>0</v>
      </c>
      <c r="AI74" s="8">
        <v>297</v>
      </c>
      <c r="AJ74" s="8">
        <v>209.22499999999999</v>
      </c>
      <c r="AK74" s="127">
        <v>75.405000000000001</v>
      </c>
      <c r="AL74" s="103">
        <v>36.564999999999998</v>
      </c>
      <c r="AM74" s="8">
        <v>75.405000000000001</v>
      </c>
      <c r="AN74" s="21">
        <v>0</v>
      </c>
      <c r="AO74" s="21">
        <v>75.405000000000001</v>
      </c>
      <c r="AP74" s="21">
        <v>0</v>
      </c>
      <c r="AQ74" s="21">
        <v>0</v>
      </c>
      <c r="AR74" s="21">
        <v>0</v>
      </c>
      <c r="AS74" s="8">
        <v>111.97</v>
      </c>
      <c r="AT74" s="21">
        <v>0</v>
      </c>
      <c r="AU74" s="21">
        <v>0</v>
      </c>
      <c r="AV74" s="21">
        <v>111.97</v>
      </c>
      <c r="AW74" s="21">
        <v>0</v>
      </c>
      <c r="AX74" s="21">
        <v>0</v>
      </c>
      <c r="AY74" s="8">
        <v>0</v>
      </c>
    </row>
    <row r="75" spans="1:51" ht="15" customHeight="1" x14ac:dyDescent="0.25">
      <c r="A75" s="9">
        <v>742</v>
      </c>
      <c r="B75" s="13">
        <v>45720</v>
      </c>
      <c r="C75" s="9" t="s">
        <v>193</v>
      </c>
      <c r="D75" s="9">
        <v>4000500393</v>
      </c>
      <c r="E75" s="8">
        <v>1</v>
      </c>
      <c r="F75" s="9" t="s">
        <v>643</v>
      </c>
      <c r="G75" s="9" t="s">
        <v>1687</v>
      </c>
      <c r="H75" s="9" t="s">
        <v>57</v>
      </c>
      <c r="I75" s="9" t="s">
        <v>50</v>
      </c>
      <c r="J75" s="9" t="s">
        <v>33</v>
      </c>
      <c r="K75" s="9" t="s">
        <v>170</v>
      </c>
      <c r="L75" s="39"/>
      <c r="M75" s="7" t="s">
        <v>1</v>
      </c>
      <c r="N75" s="8"/>
      <c r="O75" s="40"/>
      <c r="P75" s="15" t="s">
        <v>239</v>
      </c>
      <c r="Q75" s="9" t="s">
        <v>214</v>
      </c>
      <c r="R75" s="9" t="s">
        <v>240</v>
      </c>
      <c r="S75" s="9" t="s">
        <v>858</v>
      </c>
      <c r="T75" s="9">
        <v>600103</v>
      </c>
      <c r="U75" s="16" t="s">
        <v>102</v>
      </c>
      <c r="V75" s="9">
        <v>1424552</v>
      </c>
      <c r="W75" s="8" t="s">
        <v>644</v>
      </c>
      <c r="X75" s="8" t="s">
        <v>265</v>
      </c>
      <c r="Y75" s="8" t="s">
        <v>175</v>
      </c>
      <c r="Z75" s="8">
        <v>17</v>
      </c>
      <c r="AA75" s="8">
        <v>25</v>
      </c>
      <c r="AB75" s="8" t="s">
        <v>176</v>
      </c>
      <c r="AC75" s="8">
        <v>768</v>
      </c>
      <c r="AD75" s="14" t="s">
        <v>242</v>
      </c>
      <c r="AE75" s="8" t="s">
        <v>243</v>
      </c>
      <c r="AF75" s="14">
        <v>2.0099999999999998</v>
      </c>
      <c r="AG75" s="8">
        <v>1250</v>
      </c>
      <c r="AH75" s="8">
        <v>0</v>
      </c>
      <c r="AI75" s="8">
        <v>75</v>
      </c>
      <c r="AJ75" s="8">
        <v>22.79</v>
      </c>
      <c r="AK75" s="127">
        <v>8.39</v>
      </c>
      <c r="AL75" s="103">
        <v>21.85</v>
      </c>
      <c r="AM75" s="8">
        <v>0</v>
      </c>
      <c r="AN75" s="21">
        <v>0</v>
      </c>
      <c r="AO75" s="21">
        <v>0</v>
      </c>
      <c r="AP75" s="21">
        <v>0</v>
      </c>
      <c r="AQ75" s="21">
        <v>0</v>
      </c>
      <c r="AR75" s="21">
        <v>0</v>
      </c>
      <c r="AS75" s="8">
        <v>21.85</v>
      </c>
      <c r="AT75" s="21">
        <v>21.85</v>
      </c>
      <c r="AU75" s="21">
        <v>0</v>
      </c>
      <c r="AV75" s="21">
        <v>0</v>
      </c>
      <c r="AW75" s="21">
        <v>0</v>
      </c>
      <c r="AX75" s="21">
        <v>0</v>
      </c>
      <c r="AY75" s="8">
        <v>0</v>
      </c>
    </row>
    <row r="76" spans="1:51" ht="15" customHeight="1" x14ac:dyDescent="0.25">
      <c r="A76" s="9">
        <v>742</v>
      </c>
      <c r="B76" s="13">
        <v>45727</v>
      </c>
      <c r="C76" s="9" t="s">
        <v>169</v>
      </c>
      <c r="D76" s="9">
        <v>9518591774</v>
      </c>
      <c r="E76" s="8">
        <v>16</v>
      </c>
      <c r="F76" s="9" t="s">
        <v>648</v>
      </c>
      <c r="G76" s="9" t="s">
        <v>1303</v>
      </c>
      <c r="H76" s="9" t="s">
        <v>57</v>
      </c>
      <c r="I76" s="9" t="s">
        <v>25</v>
      </c>
      <c r="J76" s="9" t="s">
        <v>30</v>
      </c>
      <c r="K76" s="9" t="s">
        <v>170</v>
      </c>
      <c r="L76" s="39"/>
      <c r="M76" s="7" t="s">
        <v>1</v>
      </c>
      <c r="N76" s="8"/>
      <c r="O76" s="40" t="s">
        <v>1335</v>
      </c>
      <c r="P76" s="15" t="s">
        <v>273</v>
      </c>
      <c r="Q76" s="9" t="s">
        <v>172</v>
      </c>
      <c r="R76" s="9" t="s">
        <v>274</v>
      </c>
      <c r="S76" s="9" t="s">
        <v>858</v>
      </c>
      <c r="T76" s="9">
        <v>936527</v>
      </c>
      <c r="U76" s="16" t="s">
        <v>82</v>
      </c>
      <c r="V76" s="9">
        <v>2193599</v>
      </c>
      <c r="W76" s="8" t="s">
        <v>649</v>
      </c>
      <c r="X76" s="8" t="s">
        <v>265</v>
      </c>
      <c r="Y76" s="8" t="s">
        <v>175</v>
      </c>
      <c r="Z76" s="8">
        <v>10</v>
      </c>
      <c r="AA76" s="8">
        <v>30</v>
      </c>
      <c r="AB76" s="8" t="s">
        <v>176</v>
      </c>
      <c r="AC76" s="8" t="s">
        <v>190</v>
      </c>
      <c r="AD76" s="14" t="s">
        <v>191</v>
      </c>
      <c r="AE76" s="8" t="s">
        <v>192</v>
      </c>
      <c r="AF76" s="14">
        <v>1.4</v>
      </c>
      <c r="AG76" s="8">
        <v>1250</v>
      </c>
      <c r="AH76" s="8">
        <v>0</v>
      </c>
      <c r="AI76" s="8">
        <v>29</v>
      </c>
      <c r="AJ76" s="8">
        <v>0</v>
      </c>
      <c r="AK76" s="127">
        <v>29</v>
      </c>
      <c r="AL76" s="103">
        <v>0</v>
      </c>
      <c r="AM76" s="8">
        <v>29</v>
      </c>
      <c r="AN76" s="21">
        <v>29</v>
      </c>
      <c r="AO76" s="21">
        <v>0</v>
      </c>
      <c r="AP76" s="21">
        <v>0</v>
      </c>
      <c r="AQ76" s="21">
        <v>0</v>
      </c>
      <c r="AR76" s="21">
        <v>0</v>
      </c>
      <c r="AS76" s="8">
        <v>29</v>
      </c>
      <c r="AT76" s="21">
        <v>0</v>
      </c>
      <c r="AU76" s="21">
        <v>29</v>
      </c>
      <c r="AV76" s="21">
        <v>0</v>
      </c>
      <c r="AW76" s="21">
        <v>0</v>
      </c>
      <c r="AX76" s="21">
        <v>0</v>
      </c>
      <c r="AY76" s="8">
        <v>0</v>
      </c>
    </row>
    <row r="77" spans="1:51" ht="15" customHeight="1" x14ac:dyDescent="0.25">
      <c r="A77" s="9">
        <v>742</v>
      </c>
      <c r="B77" s="13">
        <v>45732</v>
      </c>
      <c r="C77" s="9" t="s">
        <v>169</v>
      </c>
      <c r="D77" s="9">
        <v>9518604323</v>
      </c>
      <c r="E77" s="8">
        <v>6</v>
      </c>
      <c r="F77" s="9" t="s">
        <v>656</v>
      </c>
      <c r="G77" s="9" t="s">
        <v>1303</v>
      </c>
      <c r="H77" s="9" t="s">
        <v>57</v>
      </c>
      <c r="I77" s="9" t="s">
        <v>25</v>
      </c>
      <c r="J77" s="9" t="s">
        <v>31</v>
      </c>
      <c r="K77" s="9">
        <v>2000</v>
      </c>
      <c r="L77" s="39"/>
      <c r="M77" s="7" t="s">
        <v>1</v>
      </c>
      <c r="N77" s="8"/>
      <c r="O77" s="40" t="s">
        <v>1335</v>
      </c>
      <c r="P77" s="15" t="s">
        <v>179</v>
      </c>
      <c r="Q77" s="9" t="s">
        <v>180</v>
      </c>
      <c r="R77" s="9" t="s">
        <v>181</v>
      </c>
      <c r="S77" s="9" t="s">
        <v>859</v>
      </c>
      <c r="T77" s="9">
        <v>117061</v>
      </c>
      <c r="U77" s="16" t="s">
        <v>90</v>
      </c>
      <c r="V77" s="9">
        <v>3240760</v>
      </c>
      <c r="W77" s="8" t="s">
        <v>287</v>
      </c>
      <c r="X77" s="8" t="s">
        <v>265</v>
      </c>
      <c r="Y77" s="8" t="s">
        <v>175</v>
      </c>
      <c r="Z77" s="8">
        <v>0.1</v>
      </c>
      <c r="AA77" s="8">
        <v>5</v>
      </c>
      <c r="AB77" s="8" t="s">
        <v>183</v>
      </c>
      <c r="AC77" s="8" t="s">
        <v>210</v>
      </c>
      <c r="AD77" s="14" t="s">
        <v>218</v>
      </c>
      <c r="AE77" s="8" t="s">
        <v>250</v>
      </c>
      <c r="AF77" s="14">
        <v>0.5</v>
      </c>
      <c r="AG77" s="8">
        <v>1000</v>
      </c>
      <c r="AH77" s="8">
        <v>2500</v>
      </c>
      <c r="AI77" s="8">
        <v>30</v>
      </c>
      <c r="AJ77" s="8">
        <v>0</v>
      </c>
      <c r="AK77" s="127">
        <v>30</v>
      </c>
      <c r="AL77" s="103">
        <v>0</v>
      </c>
      <c r="AM77" s="8">
        <v>30</v>
      </c>
      <c r="AN77" s="21">
        <v>0</v>
      </c>
      <c r="AO77" s="21">
        <v>30</v>
      </c>
      <c r="AP77" s="21">
        <v>0</v>
      </c>
      <c r="AQ77" s="21">
        <v>0</v>
      </c>
      <c r="AR77" s="21">
        <v>0</v>
      </c>
      <c r="AS77" s="8">
        <v>30</v>
      </c>
      <c r="AT77" s="21">
        <v>0</v>
      </c>
      <c r="AU77" s="21">
        <v>30</v>
      </c>
      <c r="AV77" s="21">
        <v>0</v>
      </c>
      <c r="AW77" s="21">
        <v>0</v>
      </c>
      <c r="AX77" s="21">
        <v>0</v>
      </c>
      <c r="AY77" s="8">
        <v>0</v>
      </c>
    </row>
    <row r="78" spans="1:51" ht="15" customHeight="1" x14ac:dyDescent="0.25">
      <c r="A78" s="9">
        <v>742</v>
      </c>
      <c r="B78" s="13">
        <v>45732</v>
      </c>
      <c r="C78" s="9" t="s">
        <v>169</v>
      </c>
      <c r="D78" s="9">
        <v>9518604323</v>
      </c>
      <c r="E78" s="8">
        <v>14</v>
      </c>
      <c r="F78" s="9" t="s">
        <v>657</v>
      </c>
      <c r="G78" s="9" t="s">
        <v>1687</v>
      </c>
      <c r="H78" s="9" t="s">
        <v>57</v>
      </c>
      <c r="I78" s="9" t="s">
        <v>25</v>
      </c>
      <c r="J78" s="9" t="s">
        <v>31</v>
      </c>
      <c r="K78" s="9">
        <v>2000</v>
      </c>
      <c r="L78" s="39"/>
      <c r="M78" s="7" t="s">
        <v>1</v>
      </c>
      <c r="N78" s="8"/>
      <c r="O78" s="40" t="s">
        <v>1335</v>
      </c>
      <c r="P78" s="15" t="s">
        <v>179</v>
      </c>
      <c r="Q78" s="9" t="s">
        <v>180</v>
      </c>
      <c r="R78" s="9" t="s">
        <v>181</v>
      </c>
      <c r="S78" s="9" t="s">
        <v>859</v>
      </c>
      <c r="T78" s="9">
        <v>117061</v>
      </c>
      <c r="U78" s="16" t="s">
        <v>90</v>
      </c>
      <c r="V78" s="9">
        <v>3240818</v>
      </c>
      <c r="W78" s="8" t="s">
        <v>249</v>
      </c>
      <c r="X78" s="8" t="s">
        <v>265</v>
      </c>
      <c r="Y78" s="8" t="s">
        <v>175</v>
      </c>
      <c r="Z78" s="8">
        <v>0.1</v>
      </c>
      <c r="AA78" s="8">
        <v>5</v>
      </c>
      <c r="AB78" s="8" t="s">
        <v>183</v>
      </c>
      <c r="AC78" s="8" t="s">
        <v>210</v>
      </c>
      <c r="AD78" s="14" t="s">
        <v>218</v>
      </c>
      <c r="AE78" s="8" t="s">
        <v>250</v>
      </c>
      <c r="AF78" s="14">
        <v>0.9</v>
      </c>
      <c r="AG78" s="8">
        <v>1000</v>
      </c>
      <c r="AH78" s="8">
        <v>2500</v>
      </c>
      <c r="AI78" s="8">
        <v>24</v>
      </c>
      <c r="AJ78" s="8">
        <v>20.335000000000001</v>
      </c>
      <c r="AK78" s="127">
        <v>-1.9350000000000001</v>
      </c>
      <c r="AL78" s="103">
        <v>2.61</v>
      </c>
      <c r="AM78" s="8">
        <v>0</v>
      </c>
      <c r="AN78" s="21">
        <v>0</v>
      </c>
      <c r="AO78" s="21">
        <v>0</v>
      </c>
      <c r="AP78" s="21">
        <v>0</v>
      </c>
      <c r="AQ78" s="21">
        <v>0</v>
      </c>
      <c r="AR78" s="21">
        <v>0</v>
      </c>
      <c r="AS78" s="8">
        <v>2.61</v>
      </c>
      <c r="AT78" s="21">
        <v>2.61</v>
      </c>
      <c r="AU78" s="21">
        <v>0</v>
      </c>
      <c r="AV78" s="21">
        <v>0</v>
      </c>
      <c r="AW78" s="21">
        <v>0</v>
      </c>
      <c r="AX78" s="21">
        <v>0</v>
      </c>
      <c r="AY78" s="8">
        <v>0</v>
      </c>
    </row>
    <row r="79" spans="1:51" ht="15" customHeight="1" x14ac:dyDescent="0.25">
      <c r="A79" s="9">
        <v>742</v>
      </c>
      <c r="B79" s="13">
        <v>45727</v>
      </c>
      <c r="C79" s="9" t="s">
        <v>169</v>
      </c>
      <c r="D79" s="9">
        <v>9518591774</v>
      </c>
      <c r="E79" s="8">
        <v>6</v>
      </c>
      <c r="F79" s="9" t="s">
        <v>665</v>
      </c>
      <c r="G79" s="9" t="s">
        <v>1303</v>
      </c>
      <c r="H79" s="9" t="s">
        <v>57</v>
      </c>
      <c r="I79" s="9" t="s">
        <v>25</v>
      </c>
      <c r="J79" s="9" t="s">
        <v>30</v>
      </c>
      <c r="K79" s="9" t="s">
        <v>170</v>
      </c>
      <c r="L79" s="39"/>
      <c r="M79" s="7" t="s">
        <v>1</v>
      </c>
      <c r="N79" s="8"/>
      <c r="O79" s="40"/>
      <c r="P79" s="15" t="s">
        <v>273</v>
      </c>
      <c r="Q79" s="9" t="s">
        <v>172</v>
      </c>
      <c r="R79" s="9" t="s">
        <v>274</v>
      </c>
      <c r="S79" s="9" t="s">
        <v>858</v>
      </c>
      <c r="T79" s="9">
        <v>936527</v>
      </c>
      <c r="U79" s="16" t="s">
        <v>82</v>
      </c>
      <c r="V79" s="9">
        <v>1801290</v>
      </c>
      <c r="W79" s="8" t="s">
        <v>330</v>
      </c>
      <c r="X79" s="8" t="s">
        <v>265</v>
      </c>
      <c r="Y79" s="8" t="s">
        <v>175</v>
      </c>
      <c r="Z79" s="8">
        <v>10</v>
      </c>
      <c r="AA79" s="8">
        <v>30</v>
      </c>
      <c r="AB79" s="8" t="s">
        <v>176</v>
      </c>
      <c r="AC79" s="8" t="s">
        <v>190</v>
      </c>
      <c r="AD79" s="14" t="s">
        <v>191</v>
      </c>
      <c r="AE79" s="8" t="s">
        <v>192</v>
      </c>
      <c r="AF79" s="14">
        <v>0.6</v>
      </c>
      <c r="AG79" s="8">
        <v>1250</v>
      </c>
      <c r="AH79" s="8">
        <v>0</v>
      </c>
      <c r="AI79" s="8">
        <v>58</v>
      </c>
      <c r="AJ79" s="8">
        <v>38.869999999999997</v>
      </c>
      <c r="AK79" s="127">
        <v>19.13</v>
      </c>
      <c r="AL79" s="103">
        <v>0</v>
      </c>
      <c r="AM79" s="8">
        <v>19.13</v>
      </c>
      <c r="AN79" s="21">
        <v>19.13</v>
      </c>
      <c r="AO79" s="21">
        <v>0</v>
      </c>
      <c r="AP79" s="21">
        <v>0</v>
      </c>
      <c r="AQ79" s="21">
        <v>0</v>
      </c>
      <c r="AR79" s="21">
        <v>0</v>
      </c>
      <c r="AS79" s="8">
        <v>19.13</v>
      </c>
      <c r="AT79" s="21">
        <v>0</v>
      </c>
      <c r="AU79" s="21">
        <v>19.13</v>
      </c>
      <c r="AV79" s="21">
        <v>0</v>
      </c>
      <c r="AW79" s="21">
        <v>0</v>
      </c>
      <c r="AX79" s="21">
        <v>0</v>
      </c>
      <c r="AY79" s="8">
        <v>0</v>
      </c>
    </row>
    <row r="80" spans="1:51" ht="15" customHeight="1" x14ac:dyDescent="0.25">
      <c r="A80" s="9">
        <v>742</v>
      </c>
      <c r="B80" s="13">
        <v>45729</v>
      </c>
      <c r="C80" s="9" t="s">
        <v>169</v>
      </c>
      <c r="D80" s="9">
        <v>9518598795</v>
      </c>
      <c r="E80" s="8">
        <v>3</v>
      </c>
      <c r="F80" s="9" t="s">
        <v>667</v>
      </c>
      <c r="G80" s="9" t="s">
        <v>335</v>
      </c>
      <c r="H80" s="9" t="s">
        <v>57</v>
      </c>
      <c r="I80" s="9" t="s">
        <v>25</v>
      </c>
      <c r="J80" s="9" t="s">
        <v>30</v>
      </c>
      <c r="K80" s="9" t="s">
        <v>170</v>
      </c>
      <c r="L80" s="39"/>
      <c r="M80" s="7" t="s">
        <v>1</v>
      </c>
      <c r="N80" s="8"/>
      <c r="O80" s="40"/>
      <c r="P80" s="15" t="s">
        <v>245</v>
      </c>
      <c r="Q80" s="9" t="s">
        <v>214</v>
      </c>
      <c r="R80" s="9" t="s">
        <v>337</v>
      </c>
      <c r="S80" s="9" t="s">
        <v>858</v>
      </c>
      <c r="T80" s="9">
        <v>822271</v>
      </c>
      <c r="U80" s="16" t="s">
        <v>86</v>
      </c>
      <c r="V80" s="9">
        <v>2155233</v>
      </c>
      <c r="W80" s="8" t="s">
        <v>315</v>
      </c>
      <c r="X80" s="8" t="s">
        <v>265</v>
      </c>
      <c r="Y80" s="8" t="s">
        <v>175</v>
      </c>
      <c r="Z80" s="8">
        <v>5</v>
      </c>
      <c r="AA80" s="8">
        <v>29</v>
      </c>
      <c r="AB80" s="8" t="s">
        <v>176</v>
      </c>
      <c r="AC80" s="8" t="s">
        <v>190</v>
      </c>
      <c r="AD80" s="14" t="s">
        <v>191</v>
      </c>
      <c r="AE80" s="8" t="s">
        <v>192</v>
      </c>
      <c r="AF80" s="14">
        <v>2.5</v>
      </c>
      <c r="AG80" s="8">
        <v>1250</v>
      </c>
      <c r="AH80" s="8">
        <v>0</v>
      </c>
      <c r="AI80" s="8">
        <v>58</v>
      </c>
      <c r="AJ80" s="8">
        <v>27.545000000000002</v>
      </c>
      <c r="AK80" s="127">
        <v>30.454999999999998</v>
      </c>
      <c r="AL80" s="103">
        <v>0</v>
      </c>
      <c r="AM80" s="8">
        <v>30.454999999999998</v>
      </c>
      <c r="AN80" s="21">
        <v>30.454999999999998</v>
      </c>
      <c r="AO80" s="21">
        <v>0</v>
      </c>
      <c r="AP80" s="21">
        <v>0</v>
      </c>
      <c r="AQ80" s="21">
        <v>0</v>
      </c>
      <c r="AR80" s="21">
        <v>0</v>
      </c>
      <c r="AS80" s="8">
        <v>30.454999999999998</v>
      </c>
      <c r="AT80" s="21">
        <v>0</v>
      </c>
      <c r="AU80" s="21">
        <v>30.454999999999998</v>
      </c>
      <c r="AV80" s="21">
        <v>0</v>
      </c>
      <c r="AW80" s="21">
        <v>0</v>
      </c>
      <c r="AX80" s="21">
        <v>0</v>
      </c>
      <c r="AY80" s="8">
        <v>0</v>
      </c>
    </row>
    <row r="81" spans="1:51" ht="15" customHeight="1" x14ac:dyDescent="0.25">
      <c r="A81" s="9">
        <v>742</v>
      </c>
      <c r="B81" s="13">
        <v>45729</v>
      </c>
      <c r="C81" s="9" t="s">
        <v>169</v>
      </c>
      <c r="D81" s="9">
        <v>9518598795</v>
      </c>
      <c r="E81" s="8">
        <v>7</v>
      </c>
      <c r="F81" s="9" t="s">
        <v>668</v>
      </c>
      <c r="G81" s="9" t="s">
        <v>335</v>
      </c>
      <c r="H81" s="9" t="s">
        <v>57</v>
      </c>
      <c r="I81" s="9" t="s">
        <v>25</v>
      </c>
      <c r="J81" s="9" t="s">
        <v>30</v>
      </c>
      <c r="K81" s="9" t="s">
        <v>170</v>
      </c>
      <c r="L81" s="39">
        <v>3200</v>
      </c>
      <c r="M81" s="7" t="s">
        <v>1</v>
      </c>
      <c r="N81" s="8"/>
      <c r="O81" s="40"/>
      <c r="P81" s="15" t="s">
        <v>245</v>
      </c>
      <c r="Q81" s="9" t="s">
        <v>214</v>
      </c>
      <c r="R81" s="9" t="s">
        <v>337</v>
      </c>
      <c r="S81" s="9" t="s">
        <v>858</v>
      </c>
      <c r="T81" s="9">
        <v>822271</v>
      </c>
      <c r="U81" s="16" t="s">
        <v>86</v>
      </c>
      <c r="V81" s="9">
        <v>1802550</v>
      </c>
      <c r="W81" s="8" t="s">
        <v>669</v>
      </c>
      <c r="X81" s="8" t="s">
        <v>265</v>
      </c>
      <c r="Y81" s="8" t="s">
        <v>175</v>
      </c>
      <c r="Z81" s="8">
        <v>5</v>
      </c>
      <c r="AA81" s="8">
        <v>29</v>
      </c>
      <c r="AB81" s="8" t="s">
        <v>176</v>
      </c>
      <c r="AC81" s="8" t="s">
        <v>190</v>
      </c>
      <c r="AD81" s="14" t="s">
        <v>191</v>
      </c>
      <c r="AE81" s="8" t="s">
        <v>192</v>
      </c>
      <c r="AF81" s="14">
        <v>2.2999999999999998</v>
      </c>
      <c r="AG81" s="8">
        <v>1250</v>
      </c>
      <c r="AH81" s="8">
        <v>0</v>
      </c>
      <c r="AI81" s="8">
        <v>29</v>
      </c>
      <c r="AJ81" s="8">
        <v>0</v>
      </c>
      <c r="AK81" s="127">
        <v>29</v>
      </c>
      <c r="AL81" s="103">
        <v>0</v>
      </c>
      <c r="AM81" s="8">
        <v>29</v>
      </c>
      <c r="AN81" s="21">
        <v>29</v>
      </c>
      <c r="AO81" s="21">
        <v>0</v>
      </c>
      <c r="AP81" s="21">
        <v>0</v>
      </c>
      <c r="AQ81" s="21">
        <v>0</v>
      </c>
      <c r="AR81" s="21">
        <v>0</v>
      </c>
      <c r="AS81" s="8">
        <v>29</v>
      </c>
      <c r="AT81" s="21">
        <v>0</v>
      </c>
      <c r="AU81" s="21">
        <v>29</v>
      </c>
      <c r="AV81" s="21">
        <v>0</v>
      </c>
      <c r="AW81" s="21">
        <v>0</v>
      </c>
      <c r="AX81" s="21">
        <v>0</v>
      </c>
      <c r="AY81" s="8">
        <v>0</v>
      </c>
    </row>
    <row r="82" spans="1:51" ht="15" customHeight="1" x14ac:dyDescent="0.25">
      <c r="A82" s="9">
        <v>742</v>
      </c>
      <c r="B82" s="13">
        <v>45727</v>
      </c>
      <c r="C82" s="9" t="s">
        <v>169</v>
      </c>
      <c r="D82" s="9">
        <v>9518591869</v>
      </c>
      <c r="E82" s="8">
        <v>15</v>
      </c>
      <c r="F82" s="9" t="s">
        <v>671</v>
      </c>
      <c r="G82" s="9" t="s">
        <v>1687</v>
      </c>
      <c r="H82" s="9" t="s">
        <v>57</v>
      </c>
      <c r="I82" s="9" t="s">
        <v>25</v>
      </c>
      <c r="J82" s="9" t="s">
        <v>30</v>
      </c>
      <c r="K82" s="9" t="s">
        <v>170</v>
      </c>
      <c r="L82" s="39"/>
      <c r="M82" s="7" t="s">
        <v>1</v>
      </c>
      <c r="N82" s="8"/>
      <c r="O82" s="40" t="s">
        <v>1335</v>
      </c>
      <c r="P82" s="15" t="s">
        <v>171</v>
      </c>
      <c r="Q82" s="9" t="s">
        <v>172</v>
      </c>
      <c r="R82" s="9" t="s">
        <v>173</v>
      </c>
      <c r="S82" s="9" t="s">
        <v>858</v>
      </c>
      <c r="T82" s="9">
        <v>936527</v>
      </c>
      <c r="U82" s="16" t="s">
        <v>82</v>
      </c>
      <c r="V82" s="9">
        <v>187541</v>
      </c>
      <c r="W82" s="8" t="s">
        <v>465</v>
      </c>
      <c r="X82" s="8" t="s">
        <v>265</v>
      </c>
      <c r="Y82" s="8" t="s">
        <v>175</v>
      </c>
      <c r="Z82" s="8">
        <v>10</v>
      </c>
      <c r="AA82" s="8">
        <v>30</v>
      </c>
      <c r="AB82" s="8" t="s">
        <v>176</v>
      </c>
      <c r="AC82" s="8" t="s">
        <v>190</v>
      </c>
      <c r="AD82" s="14" t="s">
        <v>191</v>
      </c>
      <c r="AE82" s="8" t="s">
        <v>192</v>
      </c>
      <c r="AF82" s="14">
        <v>2</v>
      </c>
      <c r="AG82" s="8">
        <v>1250</v>
      </c>
      <c r="AH82" s="8">
        <v>0</v>
      </c>
      <c r="AI82" s="8">
        <v>29</v>
      </c>
      <c r="AJ82" s="8">
        <v>0</v>
      </c>
      <c r="AK82" s="127">
        <v>7.45</v>
      </c>
      <c r="AL82" s="103">
        <v>21.55</v>
      </c>
      <c r="AM82" s="8">
        <v>0</v>
      </c>
      <c r="AN82" s="21">
        <v>0</v>
      </c>
      <c r="AO82" s="21">
        <v>0</v>
      </c>
      <c r="AP82" s="21">
        <v>0</v>
      </c>
      <c r="AQ82" s="21">
        <v>0</v>
      </c>
      <c r="AR82" s="21">
        <v>0</v>
      </c>
      <c r="AS82" s="8">
        <v>21.55</v>
      </c>
      <c r="AT82" s="21">
        <v>21.55</v>
      </c>
      <c r="AU82" s="21">
        <v>0</v>
      </c>
      <c r="AV82" s="21">
        <v>0</v>
      </c>
      <c r="AW82" s="21">
        <v>0</v>
      </c>
      <c r="AX82" s="21">
        <v>0</v>
      </c>
      <c r="AY82" s="8">
        <v>0</v>
      </c>
    </row>
    <row r="83" spans="1:51" ht="15" customHeight="1" x14ac:dyDescent="0.25">
      <c r="A83" s="9">
        <v>744</v>
      </c>
      <c r="B83" s="13">
        <v>45722</v>
      </c>
      <c r="C83" s="9" t="s">
        <v>169</v>
      </c>
      <c r="D83" s="9">
        <v>9518579911</v>
      </c>
      <c r="E83" s="8">
        <v>6</v>
      </c>
      <c r="F83" s="9" t="s">
        <v>674</v>
      </c>
      <c r="G83" s="9" t="s">
        <v>1303</v>
      </c>
      <c r="H83" s="9" t="s">
        <v>57</v>
      </c>
      <c r="I83" s="9" t="s">
        <v>48</v>
      </c>
      <c r="J83" s="9" t="s">
        <v>39</v>
      </c>
      <c r="K83" s="9" t="s">
        <v>233</v>
      </c>
      <c r="L83" s="39"/>
      <c r="M83" s="7" t="s">
        <v>1</v>
      </c>
      <c r="N83" s="8"/>
      <c r="O83" s="40"/>
      <c r="P83" s="9" t="s">
        <v>264</v>
      </c>
      <c r="Q83" s="9" t="s">
        <v>264</v>
      </c>
      <c r="R83" s="9" t="s">
        <v>264</v>
      </c>
      <c r="S83" s="9" t="s">
        <v>858</v>
      </c>
      <c r="T83" s="9">
        <v>941597</v>
      </c>
      <c r="U83" s="16" t="s">
        <v>106</v>
      </c>
      <c r="V83" s="9">
        <v>3960726</v>
      </c>
      <c r="W83" s="8" t="s">
        <v>672</v>
      </c>
      <c r="X83" s="8" t="s">
        <v>317</v>
      </c>
      <c r="Y83" s="8" t="s">
        <v>675</v>
      </c>
      <c r="Z83" s="8">
        <v>3</v>
      </c>
      <c r="AA83" s="8">
        <v>5</v>
      </c>
      <c r="AB83" s="8" t="s">
        <v>176</v>
      </c>
      <c r="AC83" s="8" t="s">
        <v>228</v>
      </c>
      <c r="AD83" s="14" t="s">
        <v>229</v>
      </c>
      <c r="AE83" s="8" t="s">
        <v>354</v>
      </c>
      <c r="AF83" s="14">
        <v>0.45</v>
      </c>
      <c r="AG83" s="8">
        <v>1220</v>
      </c>
      <c r="AH83" s="8">
        <v>0</v>
      </c>
      <c r="AI83" s="8">
        <v>28</v>
      </c>
      <c r="AJ83" s="8">
        <v>0</v>
      </c>
      <c r="AK83" s="127">
        <v>28</v>
      </c>
      <c r="AL83" s="103">
        <v>0</v>
      </c>
      <c r="AM83" s="8">
        <v>28</v>
      </c>
      <c r="AN83" s="21">
        <v>28</v>
      </c>
      <c r="AO83" s="21">
        <v>0</v>
      </c>
      <c r="AP83" s="21">
        <v>0</v>
      </c>
      <c r="AQ83" s="21">
        <v>0</v>
      </c>
      <c r="AR83" s="21">
        <v>0</v>
      </c>
      <c r="AS83" s="8">
        <v>28</v>
      </c>
      <c r="AT83" s="21">
        <v>0</v>
      </c>
      <c r="AU83" s="21">
        <v>28</v>
      </c>
      <c r="AV83" s="21">
        <v>0</v>
      </c>
      <c r="AW83" s="21">
        <v>0</v>
      </c>
      <c r="AX83" s="21">
        <v>0</v>
      </c>
      <c r="AY83" s="8">
        <v>0</v>
      </c>
    </row>
    <row r="84" spans="1:51" ht="15" customHeight="1" x14ac:dyDescent="0.25">
      <c r="A84" s="9">
        <v>742</v>
      </c>
      <c r="B84" s="13">
        <v>45708</v>
      </c>
      <c r="C84" s="9" t="s">
        <v>169</v>
      </c>
      <c r="D84" s="9">
        <v>9518535833</v>
      </c>
      <c r="E84" s="8">
        <v>24</v>
      </c>
      <c r="F84" s="9" t="s">
        <v>676</v>
      </c>
      <c r="G84" s="9" t="s">
        <v>1303</v>
      </c>
      <c r="H84" s="9" t="s">
        <v>57</v>
      </c>
      <c r="I84" s="9" t="s">
        <v>25</v>
      </c>
      <c r="J84" s="9" t="s">
        <v>31</v>
      </c>
      <c r="K84" s="9" t="s">
        <v>170</v>
      </c>
      <c r="L84" s="39"/>
      <c r="M84" s="7" t="s">
        <v>1</v>
      </c>
      <c r="N84" s="8"/>
      <c r="O84" s="40"/>
      <c r="P84" s="15" t="s">
        <v>245</v>
      </c>
      <c r="Q84" s="9" t="s">
        <v>214</v>
      </c>
      <c r="R84" s="9" t="s">
        <v>246</v>
      </c>
      <c r="S84" s="9" t="s">
        <v>859</v>
      </c>
      <c r="T84" s="9">
        <v>938550</v>
      </c>
      <c r="U84" s="16" t="s">
        <v>69</v>
      </c>
      <c r="V84" s="9">
        <v>3239564</v>
      </c>
      <c r="W84" s="8" t="s">
        <v>377</v>
      </c>
      <c r="X84" s="8" t="s">
        <v>265</v>
      </c>
      <c r="Y84" s="8" t="s">
        <v>175</v>
      </c>
      <c r="Z84" s="8">
        <v>0</v>
      </c>
      <c r="AA84" s="8">
        <v>0</v>
      </c>
      <c r="AB84" s="8" t="s">
        <v>183</v>
      </c>
      <c r="AC84" s="8" t="s">
        <v>210</v>
      </c>
      <c r="AD84" s="14" t="s">
        <v>211</v>
      </c>
      <c r="AE84" s="8" t="s">
        <v>212</v>
      </c>
      <c r="AF84" s="14">
        <v>0.45</v>
      </c>
      <c r="AG84" s="8">
        <v>1000</v>
      </c>
      <c r="AH84" s="8">
        <v>1980</v>
      </c>
      <c r="AI84" s="8">
        <v>45</v>
      </c>
      <c r="AJ84" s="8">
        <v>0</v>
      </c>
      <c r="AK84" s="127">
        <v>45</v>
      </c>
      <c r="AL84" s="103">
        <v>0</v>
      </c>
      <c r="AM84" s="8">
        <v>45</v>
      </c>
      <c r="AN84" s="21">
        <v>45</v>
      </c>
      <c r="AO84" s="21">
        <v>0</v>
      </c>
      <c r="AP84" s="21">
        <v>0</v>
      </c>
      <c r="AQ84" s="21">
        <v>0</v>
      </c>
      <c r="AR84" s="21">
        <v>0</v>
      </c>
      <c r="AS84" s="8">
        <v>45</v>
      </c>
      <c r="AT84" s="21">
        <v>0</v>
      </c>
      <c r="AU84" s="21">
        <v>45</v>
      </c>
      <c r="AV84" s="21">
        <v>0</v>
      </c>
      <c r="AW84" s="21">
        <v>0</v>
      </c>
      <c r="AX84" s="21">
        <v>0</v>
      </c>
      <c r="AY84" s="8">
        <v>0</v>
      </c>
    </row>
    <row r="85" spans="1:51" ht="15" customHeight="1" x14ac:dyDescent="0.25">
      <c r="A85" s="9">
        <v>742</v>
      </c>
      <c r="B85" s="13">
        <v>45729</v>
      </c>
      <c r="C85" s="9" t="s">
        <v>169</v>
      </c>
      <c r="D85" s="9">
        <v>9518598795</v>
      </c>
      <c r="E85" s="8">
        <v>8</v>
      </c>
      <c r="F85" s="9" t="s">
        <v>677</v>
      </c>
      <c r="G85" s="9" t="s">
        <v>1687</v>
      </c>
      <c r="H85" s="9" t="s">
        <v>57</v>
      </c>
      <c r="I85" s="9" t="s">
        <v>25</v>
      </c>
      <c r="J85" s="9" t="s">
        <v>30</v>
      </c>
      <c r="K85" s="9" t="s">
        <v>170</v>
      </c>
      <c r="L85" s="39"/>
      <c r="M85" s="7" t="s">
        <v>1</v>
      </c>
      <c r="N85" s="8"/>
      <c r="O85" s="40"/>
      <c r="P85" s="15" t="s">
        <v>245</v>
      </c>
      <c r="Q85" s="9" t="s">
        <v>214</v>
      </c>
      <c r="R85" s="9" t="s">
        <v>337</v>
      </c>
      <c r="S85" s="9" t="s">
        <v>858</v>
      </c>
      <c r="T85" s="9">
        <v>822271</v>
      </c>
      <c r="U85" s="16" t="s">
        <v>86</v>
      </c>
      <c r="V85" s="9">
        <v>1804854</v>
      </c>
      <c r="W85" s="8" t="s">
        <v>331</v>
      </c>
      <c r="X85" s="8" t="s">
        <v>265</v>
      </c>
      <c r="Y85" s="8" t="s">
        <v>175</v>
      </c>
      <c r="Z85" s="8">
        <v>5</v>
      </c>
      <c r="AA85" s="8">
        <v>29</v>
      </c>
      <c r="AB85" s="8" t="s">
        <v>176</v>
      </c>
      <c r="AC85" s="8" t="s">
        <v>190</v>
      </c>
      <c r="AD85" s="14" t="s">
        <v>191</v>
      </c>
      <c r="AE85" s="8" t="s">
        <v>192</v>
      </c>
      <c r="AF85" s="14">
        <v>1.2</v>
      </c>
      <c r="AG85" s="8">
        <v>1250</v>
      </c>
      <c r="AH85" s="8">
        <v>0</v>
      </c>
      <c r="AI85" s="8">
        <v>203</v>
      </c>
      <c r="AJ85" s="8">
        <v>0</v>
      </c>
      <c r="AK85" s="127">
        <v>33.07</v>
      </c>
      <c r="AL85" s="103">
        <v>63.55</v>
      </c>
      <c r="AM85" s="8">
        <v>0</v>
      </c>
      <c r="AN85" s="21">
        <v>0</v>
      </c>
      <c r="AO85" s="21">
        <v>0</v>
      </c>
      <c r="AP85" s="21">
        <v>0</v>
      </c>
      <c r="AQ85" s="21">
        <v>0</v>
      </c>
      <c r="AR85" s="21">
        <v>0</v>
      </c>
      <c r="AS85" s="8">
        <v>63.55</v>
      </c>
      <c r="AT85" s="21">
        <v>63.55</v>
      </c>
      <c r="AU85" s="21">
        <v>0</v>
      </c>
      <c r="AV85" s="21">
        <v>0</v>
      </c>
      <c r="AW85" s="21">
        <v>0</v>
      </c>
      <c r="AX85" s="21">
        <v>0</v>
      </c>
      <c r="AY85" s="8">
        <v>0</v>
      </c>
    </row>
    <row r="86" spans="1:51" ht="15" customHeight="1" x14ac:dyDescent="0.25">
      <c r="A86" s="9">
        <v>742</v>
      </c>
      <c r="B86" s="13">
        <v>45719</v>
      </c>
      <c r="C86" s="9" t="s">
        <v>169</v>
      </c>
      <c r="D86" s="9">
        <v>9518569788</v>
      </c>
      <c r="E86" s="8">
        <v>7</v>
      </c>
      <c r="F86" s="9" t="s">
        <v>678</v>
      </c>
      <c r="G86" s="9" t="s">
        <v>1303</v>
      </c>
      <c r="H86" s="9" t="s">
        <v>57</v>
      </c>
      <c r="I86" s="9" t="s">
        <v>25</v>
      </c>
      <c r="J86" s="9" t="s">
        <v>31</v>
      </c>
      <c r="K86" s="9" t="s">
        <v>170</v>
      </c>
      <c r="L86" s="39"/>
      <c r="M86" s="7" t="s">
        <v>1</v>
      </c>
      <c r="N86" s="8"/>
      <c r="O86" s="40"/>
      <c r="P86" s="15" t="s">
        <v>216</v>
      </c>
      <c r="Q86" s="9" t="s">
        <v>180</v>
      </c>
      <c r="R86" s="9" t="s">
        <v>217</v>
      </c>
      <c r="S86" s="9" t="s">
        <v>858</v>
      </c>
      <c r="T86" s="9">
        <v>116649</v>
      </c>
      <c r="U86" s="16" t="s">
        <v>96</v>
      </c>
      <c r="V86" s="9">
        <v>3516022</v>
      </c>
      <c r="W86" s="8" t="s">
        <v>679</v>
      </c>
      <c r="X86" s="8" t="s">
        <v>265</v>
      </c>
      <c r="Y86" s="8" t="s">
        <v>175</v>
      </c>
      <c r="Z86" s="8">
        <v>13</v>
      </c>
      <c r="AA86" s="8">
        <v>29</v>
      </c>
      <c r="AB86" s="8" t="s">
        <v>176</v>
      </c>
      <c r="AC86" s="8" t="s">
        <v>190</v>
      </c>
      <c r="AD86" s="14" t="s">
        <v>218</v>
      </c>
      <c r="AE86" s="8" t="s">
        <v>219</v>
      </c>
      <c r="AF86" s="14">
        <v>0.8</v>
      </c>
      <c r="AG86" s="8">
        <v>1250</v>
      </c>
      <c r="AH86" s="8">
        <v>0</v>
      </c>
      <c r="AI86" s="8">
        <v>58</v>
      </c>
      <c r="AJ86" s="8">
        <v>0</v>
      </c>
      <c r="AK86" s="127">
        <v>32.72</v>
      </c>
      <c r="AL86" s="103">
        <v>0</v>
      </c>
      <c r="AM86" s="8">
        <v>32.72</v>
      </c>
      <c r="AN86" s="21">
        <v>0</v>
      </c>
      <c r="AO86" s="21">
        <v>32.72</v>
      </c>
      <c r="AP86" s="21">
        <v>0</v>
      </c>
      <c r="AQ86" s="21">
        <v>0</v>
      </c>
      <c r="AR86" s="21">
        <v>0</v>
      </c>
      <c r="AS86" s="8">
        <v>32.72</v>
      </c>
      <c r="AT86" s="21">
        <v>0</v>
      </c>
      <c r="AU86" s="21">
        <v>32.72</v>
      </c>
      <c r="AV86" s="21">
        <v>0</v>
      </c>
      <c r="AW86" s="21">
        <v>0</v>
      </c>
      <c r="AX86" s="21">
        <v>0</v>
      </c>
      <c r="AY86" s="8">
        <v>0</v>
      </c>
    </row>
    <row r="87" spans="1:51" ht="15" customHeight="1" x14ac:dyDescent="0.25">
      <c r="A87" s="9">
        <v>744</v>
      </c>
      <c r="B87" s="13">
        <v>45734</v>
      </c>
      <c r="C87" s="9" t="s">
        <v>169</v>
      </c>
      <c r="D87" s="9">
        <v>9518609830</v>
      </c>
      <c r="E87" s="8">
        <v>5</v>
      </c>
      <c r="F87" s="9" t="s">
        <v>683</v>
      </c>
      <c r="G87" s="9" t="s">
        <v>1303</v>
      </c>
      <c r="H87" s="9" t="s">
        <v>57</v>
      </c>
      <c r="I87" s="9" t="s">
        <v>48</v>
      </c>
      <c r="J87" s="9" t="s">
        <v>39</v>
      </c>
      <c r="K87" s="9" t="s">
        <v>233</v>
      </c>
      <c r="L87" s="39"/>
      <c r="M87" s="7" t="s">
        <v>1</v>
      </c>
      <c r="N87" s="8"/>
      <c r="O87" s="40"/>
      <c r="P87" s="15" t="s">
        <v>220</v>
      </c>
      <c r="Q87" s="9" t="s">
        <v>264</v>
      </c>
      <c r="R87" s="9" t="s">
        <v>225</v>
      </c>
      <c r="S87" s="9" t="s">
        <v>858</v>
      </c>
      <c r="T87" s="9">
        <v>940016</v>
      </c>
      <c r="U87" s="16" t="s">
        <v>133</v>
      </c>
      <c r="V87" s="9">
        <v>3879501</v>
      </c>
      <c r="W87" s="8" t="s">
        <v>621</v>
      </c>
      <c r="X87" s="8" t="s">
        <v>236</v>
      </c>
      <c r="Y87" s="8" t="s">
        <v>622</v>
      </c>
      <c r="Z87" s="8">
        <v>3</v>
      </c>
      <c r="AA87" s="8">
        <v>5</v>
      </c>
      <c r="AB87" s="8" t="s">
        <v>176</v>
      </c>
      <c r="AC87" s="8" t="s">
        <v>228</v>
      </c>
      <c r="AD87" s="14" t="s">
        <v>229</v>
      </c>
      <c r="AE87" s="8" t="s">
        <v>230</v>
      </c>
      <c r="AF87" s="14">
        <v>0.45</v>
      </c>
      <c r="AG87" s="8">
        <v>1220</v>
      </c>
      <c r="AH87" s="8">
        <v>0</v>
      </c>
      <c r="AI87" s="8">
        <v>28</v>
      </c>
      <c r="AJ87" s="8">
        <v>0</v>
      </c>
      <c r="AK87" s="127">
        <v>28</v>
      </c>
      <c r="AL87" s="103">
        <v>0</v>
      </c>
      <c r="AM87" s="8">
        <v>28</v>
      </c>
      <c r="AN87" s="21">
        <v>0</v>
      </c>
      <c r="AO87" s="21">
        <v>0</v>
      </c>
      <c r="AP87" s="21">
        <v>28</v>
      </c>
      <c r="AQ87" s="21">
        <v>0</v>
      </c>
      <c r="AR87" s="21">
        <v>0</v>
      </c>
      <c r="AS87" s="8">
        <v>28</v>
      </c>
      <c r="AT87" s="21">
        <v>0</v>
      </c>
      <c r="AU87" s="21">
        <v>0</v>
      </c>
      <c r="AV87" s="21">
        <v>28</v>
      </c>
      <c r="AW87" s="21">
        <v>0</v>
      </c>
      <c r="AX87" s="21">
        <v>0</v>
      </c>
      <c r="AY87" s="8">
        <v>0</v>
      </c>
    </row>
    <row r="88" spans="1:51" ht="15" customHeight="1" x14ac:dyDescent="0.25">
      <c r="A88" s="9">
        <v>742</v>
      </c>
      <c r="B88" s="13">
        <v>45732</v>
      </c>
      <c r="C88" s="9" t="s">
        <v>169</v>
      </c>
      <c r="D88" s="9">
        <v>9518604323</v>
      </c>
      <c r="E88" s="8">
        <v>4</v>
      </c>
      <c r="F88" s="9" t="s">
        <v>686</v>
      </c>
      <c r="G88" s="9" t="s">
        <v>1687</v>
      </c>
      <c r="H88" s="9" t="s">
        <v>57</v>
      </c>
      <c r="I88" s="9" t="s">
        <v>25</v>
      </c>
      <c r="J88" s="9" t="s">
        <v>31</v>
      </c>
      <c r="K88" s="9">
        <v>2000</v>
      </c>
      <c r="L88" s="39"/>
      <c r="M88" s="7" t="s">
        <v>1</v>
      </c>
      <c r="N88" s="8"/>
      <c r="O88" s="40"/>
      <c r="P88" s="15" t="s">
        <v>179</v>
      </c>
      <c r="Q88" s="9" t="s">
        <v>180</v>
      </c>
      <c r="R88" s="9" t="s">
        <v>181</v>
      </c>
      <c r="S88" s="9" t="s">
        <v>859</v>
      </c>
      <c r="T88" s="9">
        <v>117061</v>
      </c>
      <c r="U88" s="16" t="s">
        <v>90</v>
      </c>
      <c r="V88" s="9">
        <v>3239567</v>
      </c>
      <c r="W88" s="8" t="s">
        <v>255</v>
      </c>
      <c r="X88" s="8" t="s">
        <v>265</v>
      </c>
      <c r="Y88" s="8" t="s">
        <v>175</v>
      </c>
      <c r="Z88" s="8">
        <v>0.1</v>
      </c>
      <c r="AA88" s="8">
        <v>5</v>
      </c>
      <c r="AB88" s="8" t="s">
        <v>183</v>
      </c>
      <c r="AC88" s="8" t="s">
        <v>210</v>
      </c>
      <c r="AD88" s="14" t="s">
        <v>211</v>
      </c>
      <c r="AE88" s="8" t="s">
        <v>212</v>
      </c>
      <c r="AF88" s="14">
        <v>0.45</v>
      </c>
      <c r="AG88" s="8">
        <v>1000</v>
      </c>
      <c r="AH88" s="8">
        <v>2500</v>
      </c>
      <c r="AI88" s="8">
        <v>21</v>
      </c>
      <c r="AJ88" s="8">
        <v>0</v>
      </c>
      <c r="AK88" s="127">
        <v>0.30499999999999999</v>
      </c>
      <c r="AL88" s="103">
        <v>20.695</v>
      </c>
      <c r="AM88" s="8">
        <v>0</v>
      </c>
      <c r="AN88" s="21">
        <v>0</v>
      </c>
      <c r="AO88" s="21">
        <v>0</v>
      </c>
      <c r="AP88" s="21">
        <v>0</v>
      </c>
      <c r="AQ88" s="21">
        <v>0</v>
      </c>
      <c r="AR88" s="21">
        <v>0</v>
      </c>
      <c r="AS88" s="8">
        <v>20.695</v>
      </c>
      <c r="AT88" s="21">
        <v>20.695</v>
      </c>
      <c r="AU88" s="21">
        <v>0</v>
      </c>
      <c r="AV88" s="21">
        <v>0</v>
      </c>
      <c r="AW88" s="21">
        <v>0</v>
      </c>
      <c r="AX88" s="21">
        <v>0</v>
      </c>
      <c r="AY88" s="8">
        <v>0</v>
      </c>
    </row>
    <row r="89" spans="1:51" ht="15" customHeight="1" x14ac:dyDescent="0.25">
      <c r="A89" s="9">
        <v>744</v>
      </c>
      <c r="B89" s="13">
        <v>45728</v>
      </c>
      <c r="C89" s="9" t="s">
        <v>169</v>
      </c>
      <c r="D89" s="9">
        <v>9518596024</v>
      </c>
      <c r="E89" s="8">
        <v>1</v>
      </c>
      <c r="F89" s="9" t="s">
        <v>687</v>
      </c>
      <c r="G89" s="9" t="s">
        <v>335</v>
      </c>
      <c r="H89" s="9" t="s">
        <v>57</v>
      </c>
      <c r="I89" s="9" t="s">
        <v>48</v>
      </c>
      <c r="J89" s="9" t="s">
        <v>39</v>
      </c>
      <c r="K89" s="9" t="s">
        <v>233</v>
      </c>
      <c r="L89" s="39"/>
      <c r="M89" s="7" t="s">
        <v>1</v>
      </c>
      <c r="N89" s="8"/>
      <c r="O89" s="40"/>
      <c r="P89" s="9" t="s">
        <v>264</v>
      </c>
      <c r="Q89" s="9" t="s">
        <v>264</v>
      </c>
      <c r="R89" s="9" t="s">
        <v>264</v>
      </c>
      <c r="S89" s="9" t="s">
        <v>858</v>
      </c>
      <c r="T89" s="9">
        <v>941597</v>
      </c>
      <c r="U89" s="16" t="s">
        <v>106</v>
      </c>
      <c r="V89" s="9">
        <v>3858001</v>
      </c>
      <c r="W89" s="8" t="s">
        <v>295</v>
      </c>
      <c r="X89" s="8" t="s">
        <v>296</v>
      </c>
      <c r="Y89" s="8" t="s">
        <v>297</v>
      </c>
      <c r="Z89" s="8">
        <v>3</v>
      </c>
      <c r="AA89" s="8">
        <v>5</v>
      </c>
      <c r="AB89" s="8" t="s">
        <v>176</v>
      </c>
      <c r="AC89" s="8" t="s">
        <v>228</v>
      </c>
      <c r="AD89" s="14" t="s">
        <v>229</v>
      </c>
      <c r="AE89" s="8" t="s">
        <v>298</v>
      </c>
      <c r="AF89" s="14">
        <v>0.45</v>
      </c>
      <c r="AG89" s="8">
        <v>1220</v>
      </c>
      <c r="AH89" s="8">
        <v>0</v>
      </c>
      <c r="AI89" s="8">
        <v>56</v>
      </c>
      <c r="AJ89" s="8">
        <v>0</v>
      </c>
      <c r="AK89" s="127">
        <v>56</v>
      </c>
      <c r="AL89" s="103">
        <v>0</v>
      </c>
      <c r="AM89" s="8">
        <v>56</v>
      </c>
      <c r="AN89" s="21">
        <v>56</v>
      </c>
      <c r="AO89" s="21">
        <v>0</v>
      </c>
      <c r="AP89" s="21">
        <v>0</v>
      </c>
      <c r="AQ89" s="21">
        <v>0</v>
      </c>
      <c r="AR89" s="21">
        <v>0</v>
      </c>
      <c r="AS89" s="8">
        <v>56</v>
      </c>
      <c r="AT89" s="21">
        <v>0</v>
      </c>
      <c r="AU89" s="21">
        <v>56</v>
      </c>
      <c r="AV89" s="21">
        <v>0</v>
      </c>
      <c r="AW89" s="21">
        <v>0</v>
      </c>
      <c r="AX89" s="21">
        <v>0</v>
      </c>
      <c r="AY89" s="8">
        <v>0</v>
      </c>
    </row>
    <row r="90" spans="1:51" ht="15" customHeight="1" x14ac:dyDescent="0.25">
      <c r="A90" s="9">
        <v>742</v>
      </c>
      <c r="B90" s="13">
        <v>45727</v>
      </c>
      <c r="C90" s="9" t="s">
        <v>169</v>
      </c>
      <c r="D90" s="9">
        <v>9518591774</v>
      </c>
      <c r="E90" s="8">
        <v>17</v>
      </c>
      <c r="F90" s="9" t="s">
        <v>689</v>
      </c>
      <c r="G90" s="9" t="s">
        <v>1687</v>
      </c>
      <c r="H90" s="9" t="s">
        <v>57</v>
      </c>
      <c r="I90" s="9" t="s">
        <v>25</v>
      </c>
      <c r="J90" s="9" t="s">
        <v>30</v>
      </c>
      <c r="K90" s="9" t="s">
        <v>170</v>
      </c>
      <c r="L90" s="39"/>
      <c r="M90" s="7" t="s">
        <v>1</v>
      </c>
      <c r="N90" s="8"/>
      <c r="O90" s="40" t="s">
        <v>1335</v>
      </c>
      <c r="P90" s="15" t="s">
        <v>273</v>
      </c>
      <c r="Q90" s="9" t="s">
        <v>172</v>
      </c>
      <c r="R90" s="9" t="s">
        <v>274</v>
      </c>
      <c r="S90" s="9" t="s">
        <v>858</v>
      </c>
      <c r="T90" s="9">
        <v>936527</v>
      </c>
      <c r="U90" s="16" t="s">
        <v>82</v>
      </c>
      <c r="V90" s="9">
        <v>2334995</v>
      </c>
      <c r="W90" s="8" t="s">
        <v>460</v>
      </c>
      <c r="X90" s="8" t="s">
        <v>265</v>
      </c>
      <c r="Y90" s="8" t="s">
        <v>175</v>
      </c>
      <c r="Z90" s="8">
        <v>10</v>
      </c>
      <c r="AA90" s="8">
        <v>30</v>
      </c>
      <c r="AB90" s="8" t="s">
        <v>176</v>
      </c>
      <c r="AC90" s="8" t="s">
        <v>190</v>
      </c>
      <c r="AD90" s="14" t="s">
        <v>191</v>
      </c>
      <c r="AE90" s="8" t="s">
        <v>192</v>
      </c>
      <c r="AF90" s="14">
        <v>1.5</v>
      </c>
      <c r="AG90" s="8">
        <v>1250</v>
      </c>
      <c r="AH90" s="8">
        <v>0</v>
      </c>
      <c r="AI90" s="8">
        <v>29</v>
      </c>
      <c r="AJ90" s="8">
        <v>0</v>
      </c>
      <c r="AK90" s="127">
        <v>3.8</v>
      </c>
      <c r="AL90" s="103">
        <v>12.414999999999999</v>
      </c>
      <c r="AM90" s="8">
        <v>0</v>
      </c>
      <c r="AN90" s="21">
        <v>0</v>
      </c>
      <c r="AO90" s="21">
        <v>0</v>
      </c>
      <c r="AP90" s="21">
        <v>0</v>
      </c>
      <c r="AQ90" s="21">
        <v>0</v>
      </c>
      <c r="AR90" s="21">
        <v>0</v>
      </c>
      <c r="AS90" s="8">
        <v>12.414999999999999</v>
      </c>
      <c r="AT90" s="21">
        <v>12.414999999999999</v>
      </c>
      <c r="AU90" s="21">
        <v>0</v>
      </c>
      <c r="AV90" s="21">
        <v>0</v>
      </c>
      <c r="AW90" s="21">
        <v>0</v>
      </c>
      <c r="AX90" s="21">
        <v>0</v>
      </c>
      <c r="AY90" s="8">
        <v>0</v>
      </c>
    </row>
    <row r="91" spans="1:51" ht="15" customHeight="1" x14ac:dyDescent="0.25">
      <c r="A91" s="9">
        <v>744</v>
      </c>
      <c r="B91" s="13">
        <v>45735</v>
      </c>
      <c r="C91" s="9" t="s">
        <v>169</v>
      </c>
      <c r="D91" s="9">
        <v>9518612364</v>
      </c>
      <c r="E91" s="8">
        <v>2</v>
      </c>
      <c r="F91" s="9" t="s">
        <v>696</v>
      </c>
      <c r="G91" s="9" t="s">
        <v>335</v>
      </c>
      <c r="H91" s="9" t="s">
        <v>57</v>
      </c>
      <c r="I91" s="9" t="s">
        <v>48</v>
      </c>
      <c r="J91" s="9" t="s">
        <v>39</v>
      </c>
      <c r="K91" s="9" t="s">
        <v>233</v>
      </c>
      <c r="L91" s="39"/>
      <c r="M91" s="7" t="s">
        <v>1</v>
      </c>
      <c r="N91" s="8"/>
      <c r="O91" s="40"/>
      <c r="P91" s="15" t="s">
        <v>220</v>
      </c>
      <c r="Q91" s="9" t="s">
        <v>264</v>
      </c>
      <c r="R91" s="9" t="s">
        <v>225</v>
      </c>
      <c r="S91" s="9" t="s">
        <v>858</v>
      </c>
      <c r="T91" s="9">
        <v>940016</v>
      </c>
      <c r="U91" s="16" t="s">
        <v>133</v>
      </c>
      <c r="V91" s="9">
        <v>3883538</v>
      </c>
      <c r="W91" s="8" t="s">
        <v>697</v>
      </c>
      <c r="X91" s="8" t="s">
        <v>236</v>
      </c>
      <c r="Y91" s="8" t="s">
        <v>227</v>
      </c>
      <c r="Z91" s="8">
        <v>3.5</v>
      </c>
      <c r="AA91" s="8">
        <v>5</v>
      </c>
      <c r="AB91" s="8" t="s">
        <v>176</v>
      </c>
      <c r="AC91" s="8" t="s">
        <v>228</v>
      </c>
      <c r="AD91" s="14" t="s">
        <v>229</v>
      </c>
      <c r="AE91" s="8" t="s">
        <v>230</v>
      </c>
      <c r="AF91" s="14">
        <v>0.3</v>
      </c>
      <c r="AG91" s="8">
        <v>1220</v>
      </c>
      <c r="AH91" s="8">
        <v>0</v>
      </c>
      <c r="AI91" s="8">
        <v>56</v>
      </c>
      <c r="AJ91" s="8">
        <v>0</v>
      </c>
      <c r="AK91" s="127">
        <v>56</v>
      </c>
      <c r="AL91" s="103">
        <v>0</v>
      </c>
      <c r="AM91" s="8">
        <v>56</v>
      </c>
      <c r="AN91" s="21">
        <v>0</v>
      </c>
      <c r="AO91" s="21">
        <v>56</v>
      </c>
      <c r="AP91" s="21">
        <v>0</v>
      </c>
      <c r="AQ91" s="21">
        <v>0</v>
      </c>
      <c r="AR91" s="21">
        <v>0</v>
      </c>
      <c r="AS91" s="8">
        <v>56</v>
      </c>
      <c r="AT91" s="21">
        <v>0</v>
      </c>
      <c r="AU91" s="21">
        <v>56</v>
      </c>
      <c r="AV91" s="21">
        <v>0</v>
      </c>
      <c r="AW91" s="21">
        <v>0</v>
      </c>
      <c r="AX91" s="21">
        <v>0</v>
      </c>
      <c r="AY91" s="8">
        <v>0</v>
      </c>
    </row>
    <row r="92" spans="1:51" ht="15" customHeight="1" x14ac:dyDescent="0.25">
      <c r="A92" s="9">
        <v>743</v>
      </c>
      <c r="B92" s="13">
        <v>45729</v>
      </c>
      <c r="C92" s="9" t="s">
        <v>169</v>
      </c>
      <c r="D92" s="9">
        <v>9518598100</v>
      </c>
      <c r="E92" s="8">
        <v>5</v>
      </c>
      <c r="F92" s="99" t="s">
        <v>698</v>
      </c>
      <c r="G92" s="9" t="s">
        <v>1687</v>
      </c>
      <c r="H92" s="9" t="s">
        <v>57</v>
      </c>
      <c r="I92" s="9" t="s">
        <v>43</v>
      </c>
      <c r="J92" s="9" t="s">
        <v>45</v>
      </c>
      <c r="K92" s="9" t="s">
        <v>170</v>
      </c>
      <c r="L92" s="39"/>
      <c r="M92" s="7" t="s">
        <v>1</v>
      </c>
      <c r="N92" s="8"/>
      <c r="O92" s="40" t="s">
        <v>1335</v>
      </c>
      <c r="P92" s="15" t="s">
        <v>199</v>
      </c>
      <c r="Q92" s="9" t="s">
        <v>180</v>
      </c>
      <c r="R92" s="9" t="s">
        <v>318</v>
      </c>
      <c r="S92" s="9" t="s">
        <v>858</v>
      </c>
      <c r="T92" s="9">
        <v>103227</v>
      </c>
      <c r="U92" s="16" t="s">
        <v>91</v>
      </c>
      <c r="V92" s="9">
        <v>1854424</v>
      </c>
      <c r="W92" s="8" t="s">
        <v>319</v>
      </c>
      <c r="X92" s="8" t="s">
        <v>308</v>
      </c>
      <c r="Y92" s="8" t="s">
        <v>175</v>
      </c>
      <c r="Z92" s="8">
        <v>2</v>
      </c>
      <c r="AA92" s="8">
        <v>6</v>
      </c>
      <c r="AB92" s="8" t="s">
        <v>183</v>
      </c>
      <c r="AC92" s="8" t="s">
        <v>238</v>
      </c>
      <c r="AD92" s="14" t="s">
        <v>185</v>
      </c>
      <c r="AE92" s="8" t="s">
        <v>186</v>
      </c>
      <c r="AF92" s="14">
        <v>0.6</v>
      </c>
      <c r="AG92" s="8">
        <v>900</v>
      </c>
      <c r="AH92" s="8">
        <v>0</v>
      </c>
      <c r="AI92" s="8">
        <v>210</v>
      </c>
      <c r="AJ92" s="8">
        <v>14.654999999999999</v>
      </c>
      <c r="AK92" s="127">
        <v>11.34</v>
      </c>
      <c r="AL92" s="103">
        <v>19.5</v>
      </c>
      <c r="AM92" s="8">
        <v>0</v>
      </c>
      <c r="AN92" s="21">
        <v>0</v>
      </c>
      <c r="AO92" s="21">
        <v>0</v>
      </c>
      <c r="AP92" s="21">
        <v>0</v>
      </c>
      <c r="AQ92" s="21">
        <v>0</v>
      </c>
      <c r="AR92" s="21">
        <v>0</v>
      </c>
      <c r="AS92" s="8">
        <v>19.5</v>
      </c>
      <c r="AT92" s="21">
        <v>19.5</v>
      </c>
      <c r="AU92" s="21">
        <v>0</v>
      </c>
      <c r="AV92" s="21">
        <v>0</v>
      </c>
      <c r="AW92" s="21">
        <v>0</v>
      </c>
      <c r="AX92" s="21">
        <v>0</v>
      </c>
      <c r="AY92" s="8">
        <v>0</v>
      </c>
    </row>
    <row r="93" spans="1:51" ht="15" customHeight="1" x14ac:dyDescent="0.25">
      <c r="A93" s="9">
        <v>742</v>
      </c>
      <c r="B93" s="13">
        <v>45722</v>
      </c>
      <c r="C93" s="9" t="s">
        <v>169</v>
      </c>
      <c r="D93" s="9">
        <v>9518578782</v>
      </c>
      <c r="E93" s="8">
        <v>7</v>
      </c>
      <c r="F93" s="9" t="s">
        <v>701</v>
      </c>
      <c r="G93" s="9" t="s">
        <v>1303</v>
      </c>
      <c r="H93" s="9" t="s">
        <v>57</v>
      </c>
      <c r="I93" s="9" t="s">
        <v>25</v>
      </c>
      <c r="J93" s="9" t="s">
        <v>30</v>
      </c>
      <c r="K93" s="9" t="s">
        <v>170</v>
      </c>
      <c r="L93" s="39"/>
      <c r="M93" s="7" t="s">
        <v>1</v>
      </c>
      <c r="N93" s="8"/>
      <c r="O93" s="40" t="s">
        <v>1335</v>
      </c>
      <c r="P93" s="15" t="s">
        <v>245</v>
      </c>
      <c r="Q93" s="9" t="s">
        <v>214</v>
      </c>
      <c r="R93" s="9" t="s">
        <v>322</v>
      </c>
      <c r="S93" s="9" t="s">
        <v>858</v>
      </c>
      <c r="T93" s="9">
        <v>939422</v>
      </c>
      <c r="U93" s="16" t="s">
        <v>88</v>
      </c>
      <c r="V93" s="9">
        <v>1804826</v>
      </c>
      <c r="W93" s="8" t="s">
        <v>338</v>
      </c>
      <c r="X93" s="8" t="s">
        <v>265</v>
      </c>
      <c r="Y93" s="8" t="s">
        <v>175</v>
      </c>
      <c r="Z93" s="8">
        <v>17</v>
      </c>
      <c r="AA93" s="8">
        <v>30</v>
      </c>
      <c r="AB93" s="8" t="s">
        <v>176</v>
      </c>
      <c r="AC93" s="8" t="s">
        <v>190</v>
      </c>
      <c r="AD93" s="14" t="s">
        <v>191</v>
      </c>
      <c r="AE93" s="8" t="s">
        <v>192</v>
      </c>
      <c r="AF93" s="14">
        <v>0.9</v>
      </c>
      <c r="AG93" s="8">
        <v>1250</v>
      </c>
      <c r="AH93" s="8">
        <v>0</v>
      </c>
      <c r="AI93" s="8">
        <v>29</v>
      </c>
      <c r="AJ93" s="8">
        <v>0</v>
      </c>
      <c r="AK93" s="127">
        <v>29</v>
      </c>
      <c r="AL93" s="103">
        <v>0</v>
      </c>
      <c r="AM93" s="8">
        <v>29</v>
      </c>
      <c r="AN93" s="21">
        <v>29</v>
      </c>
      <c r="AO93" s="21">
        <v>0</v>
      </c>
      <c r="AP93" s="21">
        <v>0</v>
      </c>
      <c r="AQ93" s="21">
        <v>0</v>
      </c>
      <c r="AR93" s="21">
        <v>0</v>
      </c>
      <c r="AS93" s="8">
        <v>29</v>
      </c>
      <c r="AT93" s="21">
        <v>0</v>
      </c>
      <c r="AU93" s="21">
        <v>29</v>
      </c>
      <c r="AV93" s="21">
        <v>0</v>
      </c>
      <c r="AW93" s="21">
        <v>0</v>
      </c>
      <c r="AX93" s="21">
        <v>0</v>
      </c>
      <c r="AY93" s="8">
        <v>0</v>
      </c>
    </row>
    <row r="94" spans="1:51" ht="15" customHeight="1" x14ac:dyDescent="0.25">
      <c r="A94" s="9">
        <v>742</v>
      </c>
      <c r="B94" s="13">
        <v>45727</v>
      </c>
      <c r="C94" s="9" t="s">
        <v>169</v>
      </c>
      <c r="D94" s="9">
        <v>9518592206</v>
      </c>
      <c r="E94" s="8">
        <v>6</v>
      </c>
      <c r="F94" s="9" t="s">
        <v>703</v>
      </c>
      <c r="G94" s="9" t="s">
        <v>1687</v>
      </c>
      <c r="H94" s="9" t="s">
        <v>57</v>
      </c>
      <c r="I94" s="9" t="s">
        <v>25</v>
      </c>
      <c r="J94" s="9" t="s">
        <v>30</v>
      </c>
      <c r="K94" s="9" t="s">
        <v>170</v>
      </c>
      <c r="L94" s="39"/>
      <c r="M94" s="7" t="s">
        <v>1</v>
      </c>
      <c r="N94" s="8"/>
      <c r="O94" s="40"/>
      <c r="P94" s="15" t="s">
        <v>245</v>
      </c>
      <c r="Q94" s="9" t="s">
        <v>214</v>
      </c>
      <c r="R94" s="9" t="s">
        <v>322</v>
      </c>
      <c r="S94" s="9" t="s">
        <v>858</v>
      </c>
      <c r="T94" s="9">
        <v>939422</v>
      </c>
      <c r="U94" s="16" t="s">
        <v>88</v>
      </c>
      <c r="V94" s="9">
        <v>292577</v>
      </c>
      <c r="W94" s="8" t="s">
        <v>661</v>
      </c>
      <c r="X94" s="8" t="s">
        <v>265</v>
      </c>
      <c r="Y94" s="8" t="s">
        <v>175</v>
      </c>
      <c r="Z94" s="8">
        <v>10</v>
      </c>
      <c r="AA94" s="8">
        <v>30</v>
      </c>
      <c r="AB94" s="8" t="s">
        <v>176</v>
      </c>
      <c r="AC94" s="8" t="s">
        <v>190</v>
      </c>
      <c r="AD94" s="14" t="s">
        <v>191</v>
      </c>
      <c r="AE94" s="8" t="s">
        <v>192</v>
      </c>
      <c r="AF94" s="14">
        <v>2.02</v>
      </c>
      <c r="AG94" s="8">
        <v>1250</v>
      </c>
      <c r="AH94" s="8">
        <v>0</v>
      </c>
      <c r="AI94" s="8">
        <v>29</v>
      </c>
      <c r="AJ94" s="8">
        <v>0</v>
      </c>
      <c r="AK94" s="127">
        <v>4.1100000000000003</v>
      </c>
      <c r="AL94" s="103">
        <v>24.89</v>
      </c>
      <c r="AM94" s="8">
        <v>0</v>
      </c>
      <c r="AN94" s="21">
        <v>0</v>
      </c>
      <c r="AO94" s="21">
        <v>0</v>
      </c>
      <c r="AP94" s="21">
        <v>0</v>
      </c>
      <c r="AQ94" s="21">
        <v>0</v>
      </c>
      <c r="AR94" s="21">
        <v>0</v>
      </c>
      <c r="AS94" s="8">
        <v>24.89</v>
      </c>
      <c r="AT94" s="21">
        <v>24.89</v>
      </c>
      <c r="AU94" s="21">
        <v>0</v>
      </c>
      <c r="AV94" s="21">
        <v>0</v>
      </c>
      <c r="AW94" s="21">
        <v>0</v>
      </c>
      <c r="AX94" s="21">
        <v>0</v>
      </c>
      <c r="AY94" s="8">
        <v>0</v>
      </c>
    </row>
    <row r="95" spans="1:51" ht="15" customHeight="1" x14ac:dyDescent="0.25">
      <c r="A95" s="9">
        <v>742</v>
      </c>
      <c r="B95" s="13">
        <v>45722</v>
      </c>
      <c r="C95" s="9" t="s">
        <v>169</v>
      </c>
      <c r="D95" s="9">
        <v>9518578782</v>
      </c>
      <c r="E95" s="8">
        <v>16</v>
      </c>
      <c r="F95" s="9" t="s">
        <v>705</v>
      </c>
      <c r="G95" s="9" t="s">
        <v>1687</v>
      </c>
      <c r="H95" s="9" t="s">
        <v>57</v>
      </c>
      <c r="I95" s="9" t="s">
        <v>25</v>
      </c>
      <c r="J95" s="9" t="s">
        <v>30</v>
      </c>
      <c r="K95" s="9" t="s">
        <v>170</v>
      </c>
      <c r="L95" s="39"/>
      <c r="M95" s="7" t="s">
        <v>1</v>
      </c>
      <c r="N95" s="8"/>
      <c r="O95" s="40"/>
      <c r="P95" s="15" t="s">
        <v>245</v>
      </c>
      <c r="Q95" s="9" t="s">
        <v>214</v>
      </c>
      <c r="R95" s="9" t="s">
        <v>322</v>
      </c>
      <c r="S95" s="9" t="s">
        <v>858</v>
      </c>
      <c r="T95" s="9">
        <v>939422</v>
      </c>
      <c r="U95" s="16" t="s">
        <v>88</v>
      </c>
      <c r="V95" s="9">
        <v>292577</v>
      </c>
      <c r="W95" s="8" t="s">
        <v>661</v>
      </c>
      <c r="X95" s="8" t="s">
        <v>265</v>
      </c>
      <c r="Y95" s="8" t="s">
        <v>175</v>
      </c>
      <c r="Z95" s="8">
        <v>17</v>
      </c>
      <c r="AA95" s="8">
        <v>30</v>
      </c>
      <c r="AB95" s="8" t="s">
        <v>176</v>
      </c>
      <c r="AC95" s="8" t="s">
        <v>190</v>
      </c>
      <c r="AD95" s="14" t="s">
        <v>191</v>
      </c>
      <c r="AE95" s="8" t="s">
        <v>192</v>
      </c>
      <c r="AF95" s="14">
        <v>2.02</v>
      </c>
      <c r="AG95" s="8">
        <v>1250</v>
      </c>
      <c r="AH95" s="8">
        <v>0</v>
      </c>
      <c r="AI95" s="8">
        <v>29</v>
      </c>
      <c r="AJ95" s="8">
        <v>0</v>
      </c>
      <c r="AK95" s="127">
        <v>4.1050000000000004</v>
      </c>
      <c r="AL95" s="103">
        <v>24.895</v>
      </c>
      <c r="AM95" s="8">
        <v>0</v>
      </c>
      <c r="AN95" s="21">
        <v>0</v>
      </c>
      <c r="AO95" s="21">
        <v>0</v>
      </c>
      <c r="AP95" s="21">
        <v>0</v>
      </c>
      <c r="AQ95" s="21">
        <v>0</v>
      </c>
      <c r="AR95" s="21">
        <v>0</v>
      </c>
      <c r="AS95" s="8">
        <v>24.895</v>
      </c>
      <c r="AT95" s="21">
        <v>24.895</v>
      </c>
      <c r="AU95" s="21">
        <v>0</v>
      </c>
      <c r="AV95" s="21">
        <v>0</v>
      </c>
      <c r="AW95" s="21">
        <v>0</v>
      </c>
      <c r="AX95" s="21">
        <v>0</v>
      </c>
      <c r="AY95" s="8">
        <v>0</v>
      </c>
    </row>
    <row r="96" spans="1:51" ht="15" customHeight="1" x14ac:dyDescent="0.25">
      <c r="A96" s="9">
        <v>742</v>
      </c>
      <c r="B96" s="13">
        <v>45729</v>
      </c>
      <c r="C96" s="9" t="s">
        <v>169</v>
      </c>
      <c r="D96" s="9">
        <v>9518599347</v>
      </c>
      <c r="E96" s="8">
        <v>1</v>
      </c>
      <c r="F96" s="9" t="s">
        <v>706</v>
      </c>
      <c r="G96" s="9" t="s">
        <v>335</v>
      </c>
      <c r="H96" s="9" t="s">
        <v>57</v>
      </c>
      <c r="I96" s="9" t="s">
        <v>25</v>
      </c>
      <c r="J96" s="9" t="s">
        <v>30</v>
      </c>
      <c r="K96" s="9" t="s">
        <v>170</v>
      </c>
      <c r="L96" s="39"/>
      <c r="M96" s="7" t="s">
        <v>1</v>
      </c>
      <c r="N96" s="8"/>
      <c r="O96" s="40"/>
      <c r="P96" s="15" t="s">
        <v>245</v>
      </c>
      <c r="Q96" s="9" t="s">
        <v>214</v>
      </c>
      <c r="R96" s="9" t="s">
        <v>322</v>
      </c>
      <c r="S96" s="9" t="s">
        <v>858</v>
      </c>
      <c r="T96" s="9">
        <v>939422</v>
      </c>
      <c r="U96" s="16" t="s">
        <v>88</v>
      </c>
      <c r="V96" s="9">
        <v>2386037</v>
      </c>
      <c r="W96" s="8" t="s">
        <v>707</v>
      </c>
      <c r="X96" s="8" t="s">
        <v>265</v>
      </c>
      <c r="Y96" s="8" t="s">
        <v>175</v>
      </c>
      <c r="Z96" s="8">
        <v>10</v>
      </c>
      <c r="AA96" s="8">
        <v>30</v>
      </c>
      <c r="AB96" s="8" t="s">
        <v>176</v>
      </c>
      <c r="AC96" s="8" t="s">
        <v>190</v>
      </c>
      <c r="AD96" s="14" t="s">
        <v>191</v>
      </c>
      <c r="AE96" s="8" t="s">
        <v>192</v>
      </c>
      <c r="AF96" s="14">
        <v>1.1000000000000001</v>
      </c>
      <c r="AG96" s="8">
        <v>1320</v>
      </c>
      <c r="AH96" s="8">
        <v>0</v>
      </c>
      <c r="AI96" s="8">
        <v>60</v>
      </c>
      <c r="AJ96" s="8">
        <v>0</v>
      </c>
      <c r="AK96" s="127">
        <v>60</v>
      </c>
      <c r="AL96" s="103">
        <v>0</v>
      </c>
      <c r="AM96" s="8">
        <v>60</v>
      </c>
      <c r="AN96" s="21">
        <v>60</v>
      </c>
      <c r="AO96" s="21">
        <v>0</v>
      </c>
      <c r="AP96" s="21">
        <v>0</v>
      </c>
      <c r="AQ96" s="21">
        <v>0</v>
      </c>
      <c r="AR96" s="21">
        <v>0</v>
      </c>
      <c r="AS96" s="8">
        <v>60</v>
      </c>
      <c r="AT96" s="21">
        <v>0</v>
      </c>
      <c r="AU96" s="21">
        <v>60</v>
      </c>
      <c r="AV96" s="21">
        <v>0</v>
      </c>
      <c r="AW96" s="21">
        <v>0</v>
      </c>
      <c r="AX96" s="21">
        <v>0</v>
      </c>
      <c r="AY96" s="8">
        <v>0</v>
      </c>
    </row>
    <row r="97" spans="1:51" ht="15" customHeight="1" x14ac:dyDescent="0.25">
      <c r="A97" s="9">
        <v>742</v>
      </c>
      <c r="B97" s="13">
        <v>45733</v>
      </c>
      <c r="C97" s="9" t="s">
        <v>169</v>
      </c>
      <c r="D97" s="9">
        <v>9518606284</v>
      </c>
      <c r="E97" s="8">
        <v>12</v>
      </c>
      <c r="F97" s="9" t="s">
        <v>708</v>
      </c>
      <c r="G97" s="9" t="s">
        <v>335</v>
      </c>
      <c r="H97" s="9" t="s">
        <v>57</v>
      </c>
      <c r="I97" s="9" t="s">
        <v>25</v>
      </c>
      <c r="J97" s="9" t="s">
        <v>31</v>
      </c>
      <c r="K97" s="9">
        <v>2000</v>
      </c>
      <c r="L97" s="39"/>
      <c r="M97" s="7" t="s">
        <v>1</v>
      </c>
      <c r="N97" s="8"/>
      <c r="O97" s="40"/>
      <c r="P97" s="15" t="s">
        <v>213</v>
      </c>
      <c r="Q97" s="9" t="s">
        <v>214</v>
      </c>
      <c r="R97" s="9" t="s">
        <v>215</v>
      </c>
      <c r="S97" s="9" t="s">
        <v>859</v>
      </c>
      <c r="T97" s="9">
        <v>946077</v>
      </c>
      <c r="U97" s="16" t="s">
        <v>83</v>
      </c>
      <c r="V97" s="9">
        <v>3410101</v>
      </c>
      <c r="W97" s="8" t="s">
        <v>373</v>
      </c>
      <c r="X97" s="8" t="s">
        <v>265</v>
      </c>
      <c r="Y97" s="8" t="s">
        <v>175</v>
      </c>
      <c r="Z97" s="8">
        <v>0</v>
      </c>
      <c r="AA97" s="8">
        <v>0</v>
      </c>
      <c r="AB97" s="8" t="s">
        <v>183</v>
      </c>
      <c r="AC97" s="8" t="s">
        <v>210</v>
      </c>
      <c r="AD97" s="14" t="s">
        <v>218</v>
      </c>
      <c r="AE97" s="8" t="s">
        <v>250</v>
      </c>
      <c r="AF97" s="14">
        <v>0.75</v>
      </c>
      <c r="AG97" s="8">
        <v>1000</v>
      </c>
      <c r="AH97" s="8">
        <v>2500</v>
      </c>
      <c r="AI97" s="8">
        <v>21</v>
      </c>
      <c r="AJ97" s="8">
        <v>0</v>
      </c>
      <c r="AK97" s="127">
        <v>21</v>
      </c>
      <c r="AL97" s="103">
        <v>0</v>
      </c>
      <c r="AM97" s="8">
        <v>21</v>
      </c>
      <c r="AN97" s="21">
        <v>0</v>
      </c>
      <c r="AO97" s="21">
        <v>21</v>
      </c>
      <c r="AP97" s="21">
        <v>0</v>
      </c>
      <c r="AQ97" s="21">
        <v>0</v>
      </c>
      <c r="AR97" s="21">
        <v>0</v>
      </c>
      <c r="AS97" s="8">
        <v>21</v>
      </c>
      <c r="AT97" s="21">
        <v>0</v>
      </c>
      <c r="AU97" s="21">
        <v>21</v>
      </c>
      <c r="AV97" s="21">
        <v>0</v>
      </c>
      <c r="AW97" s="21">
        <v>0</v>
      </c>
      <c r="AX97" s="21">
        <v>0</v>
      </c>
      <c r="AY97" s="8">
        <v>0</v>
      </c>
    </row>
    <row r="98" spans="1:51" ht="15" customHeight="1" x14ac:dyDescent="0.25">
      <c r="A98" s="9">
        <v>742</v>
      </c>
      <c r="B98" s="13">
        <v>45733</v>
      </c>
      <c r="C98" s="9" t="s">
        <v>169</v>
      </c>
      <c r="D98" s="9">
        <v>9518606284</v>
      </c>
      <c r="E98" s="8">
        <v>15</v>
      </c>
      <c r="F98" s="9" t="s">
        <v>709</v>
      </c>
      <c r="G98" s="9" t="s">
        <v>335</v>
      </c>
      <c r="H98" s="9" t="s">
        <v>57</v>
      </c>
      <c r="I98" s="9" t="s">
        <v>25</v>
      </c>
      <c r="J98" s="9" t="s">
        <v>31</v>
      </c>
      <c r="K98" s="9">
        <v>2000</v>
      </c>
      <c r="L98" s="39"/>
      <c r="M98" s="7" t="s">
        <v>1</v>
      </c>
      <c r="N98" s="8"/>
      <c r="O98" s="40"/>
      <c r="P98" s="15" t="s">
        <v>213</v>
      </c>
      <c r="Q98" s="9" t="s">
        <v>214</v>
      </c>
      <c r="R98" s="9" t="s">
        <v>215</v>
      </c>
      <c r="S98" s="9" t="s">
        <v>859</v>
      </c>
      <c r="T98" s="9">
        <v>946077</v>
      </c>
      <c r="U98" s="16" t="s">
        <v>83</v>
      </c>
      <c r="V98" s="9">
        <v>3240812</v>
      </c>
      <c r="W98" s="8" t="s">
        <v>284</v>
      </c>
      <c r="X98" s="8" t="s">
        <v>265</v>
      </c>
      <c r="Y98" s="8" t="s">
        <v>175</v>
      </c>
      <c r="Z98" s="8">
        <v>0</v>
      </c>
      <c r="AA98" s="8">
        <v>0</v>
      </c>
      <c r="AB98" s="8" t="s">
        <v>183</v>
      </c>
      <c r="AC98" s="8" t="s">
        <v>210</v>
      </c>
      <c r="AD98" s="14" t="s">
        <v>218</v>
      </c>
      <c r="AE98" s="8" t="s">
        <v>250</v>
      </c>
      <c r="AF98" s="14">
        <v>0.8</v>
      </c>
      <c r="AG98" s="8">
        <v>1000</v>
      </c>
      <c r="AH98" s="8">
        <v>2500</v>
      </c>
      <c r="AI98" s="8">
        <v>21</v>
      </c>
      <c r="AJ98" s="8">
        <v>0</v>
      </c>
      <c r="AK98" s="127">
        <v>21</v>
      </c>
      <c r="AL98" s="103">
        <v>0</v>
      </c>
      <c r="AM98" s="8">
        <v>21</v>
      </c>
      <c r="AN98" s="21">
        <v>0</v>
      </c>
      <c r="AO98" s="21">
        <v>21</v>
      </c>
      <c r="AP98" s="21">
        <v>0</v>
      </c>
      <c r="AQ98" s="21">
        <v>0</v>
      </c>
      <c r="AR98" s="21">
        <v>0</v>
      </c>
      <c r="AS98" s="8">
        <v>21</v>
      </c>
      <c r="AT98" s="21">
        <v>0</v>
      </c>
      <c r="AU98" s="21">
        <v>21</v>
      </c>
      <c r="AV98" s="21">
        <v>0</v>
      </c>
      <c r="AW98" s="21">
        <v>0</v>
      </c>
      <c r="AX98" s="21">
        <v>0</v>
      </c>
      <c r="AY98" s="8">
        <v>0</v>
      </c>
    </row>
    <row r="99" spans="1:51" ht="15" customHeight="1" x14ac:dyDescent="0.25">
      <c r="A99" s="9">
        <v>742</v>
      </c>
      <c r="B99" s="13">
        <v>45733</v>
      </c>
      <c r="C99" s="9" t="s">
        <v>169</v>
      </c>
      <c r="D99" s="9">
        <v>9518606598</v>
      </c>
      <c r="E99" s="8">
        <v>5</v>
      </c>
      <c r="F99" s="9" t="s">
        <v>710</v>
      </c>
      <c r="G99" s="9" t="s">
        <v>1687</v>
      </c>
      <c r="H99" s="9" t="s">
        <v>57</v>
      </c>
      <c r="I99" s="9" t="s">
        <v>25</v>
      </c>
      <c r="J99" s="9" t="s">
        <v>30</v>
      </c>
      <c r="K99" s="9" t="s">
        <v>170</v>
      </c>
      <c r="L99" s="39"/>
      <c r="M99" s="7" t="s">
        <v>1</v>
      </c>
      <c r="N99" s="8"/>
      <c r="O99" s="40" t="s">
        <v>1335</v>
      </c>
      <c r="P99" s="15" t="s">
        <v>213</v>
      </c>
      <c r="Q99" s="9" t="s">
        <v>214</v>
      </c>
      <c r="R99" s="9" t="s">
        <v>215</v>
      </c>
      <c r="S99" s="9" t="s">
        <v>858</v>
      </c>
      <c r="T99" s="9">
        <v>946077</v>
      </c>
      <c r="U99" s="16" t="s">
        <v>83</v>
      </c>
      <c r="V99" s="9">
        <v>2334995</v>
      </c>
      <c r="W99" s="8" t="s">
        <v>460</v>
      </c>
      <c r="X99" s="8" t="s">
        <v>265</v>
      </c>
      <c r="Y99" s="8" t="s">
        <v>175</v>
      </c>
      <c r="Z99" s="8">
        <v>8</v>
      </c>
      <c r="AA99" s="8">
        <v>29</v>
      </c>
      <c r="AB99" s="8" t="s">
        <v>176</v>
      </c>
      <c r="AC99" s="8" t="s">
        <v>190</v>
      </c>
      <c r="AD99" s="14" t="s">
        <v>191</v>
      </c>
      <c r="AE99" s="8" t="s">
        <v>192</v>
      </c>
      <c r="AF99" s="14">
        <v>1.5</v>
      </c>
      <c r="AG99" s="8">
        <v>1250</v>
      </c>
      <c r="AH99" s="8">
        <v>0</v>
      </c>
      <c r="AI99" s="8">
        <v>29</v>
      </c>
      <c r="AJ99" s="8">
        <v>0</v>
      </c>
      <c r="AK99" s="127">
        <v>7.38</v>
      </c>
      <c r="AL99" s="103">
        <v>21.62</v>
      </c>
      <c r="AM99" s="8">
        <v>0</v>
      </c>
      <c r="AN99" s="21">
        <v>0</v>
      </c>
      <c r="AO99" s="21">
        <v>0</v>
      </c>
      <c r="AP99" s="21">
        <v>0</v>
      </c>
      <c r="AQ99" s="21">
        <v>0</v>
      </c>
      <c r="AR99" s="21">
        <v>0</v>
      </c>
      <c r="AS99" s="8">
        <v>21.62</v>
      </c>
      <c r="AT99" s="21">
        <v>21.62</v>
      </c>
      <c r="AU99" s="21">
        <v>0</v>
      </c>
      <c r="AV99" s="21">
        <v>0</v>
      </c>
      <c r="AW99" s="21">
        <v>0</v>
      </c>
      <c r="AX99" s="21">
        <v>0</v>
      </c>
      <c r="AY99" s="8">
        <v>0</v>
      </c>
    </row>
    <row r="100" spans="1:51" ht="15" customHeight="1" x14ac:dyDescent="0.25">
      <c r="A100" s="9">
        <v>743</v>
      </c>
      <c r="B100" s="13">
        <v>45720</v>
      </c>
      <c r="C100" s="9" t="s">
        <v>169</v>
      </c>
      <c r="D100" s="9">
        <v>9518572384</v>
      </c>
      <c r="E100" s="8">
        <v>1</v>
      </c>
      <c r="F100" s="99" t="s">
        <v>715</v>
      </c>
      <c r="G100" s="9" t="s">
        <v>1687</v>
      </c>
      <c r="H100" s="9" t="s">
        <v>57</v>
      </c>
      <c r="I100" s="9" t="s">
        <v>43</v>
      </c>
      <c r="J100" s="9" t="s">
        <v>45</v>
      </c>
      <c r="K100" s="9" t="s">
        <v>170</v>
      </c>
      <c r="L100" s="39"/>
      <c r="M100" s="7" t="s">
        <v>1</v>
      </c>
      <c r="N100" s="8"/>
      <c r="O100" s="40"/>
      <c r="P100" s="15" t="s">
        <v>220</v>
      </c>
      <c r="Q100" s="9" t="s">
        <v>180</v>
      </c>
      <c r="R100" s="9" t="s">
        <v>1569</v>
      </c>
      <c r="S100" s="9" t="s">
        <v>858</v>
      </c>
      <c r="T100" s="9">
        <v>121328</v>
      </c>
      <c r="U100" s="16" t="s">
        <v>81</v>
      </c>
      <c r="V100" s="9">
        <v>1178439</v>
      </c>
      <c r="W100" s="8" t="s">
        <v>446</v>
      </c>
      <c r="X100" s="8" t="s">
        <v>308</v>
      </c>
      <c r="Y100" s="8" t="s">
        <v>175</v>
      </c>
      <c r="Z100" s="8">
        <v>4</v>
      </c>
      <c r="AA100" s="8">
        <v>12</v>
      </c>
      <c r="AB100" s="8" t="s">
        <v>183</v>
      </c>
      <c r="AC100" s="8" t="s">
        <v>238</v>
      </c>
      <c r="AD100" s="14" t="s">
        <v>185</v>
      </c>
      <c r="AE100" s="8" t="s">
        <v>186</v>
      </c>
      <c r="AF100" s="14">
        <v>0.4</v>
      </c>
      <c r="AG100" s="8">
        <v>900</v>
      </c>
      <c r="AH100" s="8">
        <v>0</v>
      </c>
      <c r="AI100" s="8">
        <v>84</v>
      </c>
      <c r="AJ100" s="8">
        <v>0</v>
      </c>
      <c r="AK100" s="127">
        <v>8.4</v>
      </c>
      <c r="AL100" s="103">
        <v>8.9700000000000006</v>
      </c>
      <c r="AM100" s="8">
        <v>0</v>
      </c>
      <c r="AN100" s="21">
        <v>0</v>
      </c>
      <c r="AO100" s="21">
        <v>0</v>
      </c>
      <c r="AP100" s="21">
        <v>0</v>
      </c>
      <c r="AQ100" s="21">
        <v>0</v>
      </c>
      <c r="AR100" s="21">
        <v>0</v>
      </c>
      <c r="AS100" s="8">
        <v>8.9700000000000006</v>
      </c>
      <c r="AT100" s="21">
        <v>8.9700000000000006</v>
      </c>
      <c r="AU100" s="21">
        <v>0</v>
      </c>
      <c r="AV100" s="21">
        <v>0</v>
      </c>
      <c r="AW100" s="21">
        <v>0</v>
      </c>
      <c r="AX100" s="21">
        <v>0</v>
      </c>
      <c r="AY100" s="8">
        <v>0</v>
      </c>
    </row>
    <row r="101" spans="1:51" ht="15" customHeight="1" x14ac:dyDescent="0.25">
      <c r="A101" s="9">
        <v>742</v>
      </c>
      <c r="B101" s="13">
        <v>45722</v>
      </c>
      <c r="C101" s="9" t="s">
        <v>169</v>
      </c>
      <c r="D101" s="9">
        <v>9518578782</v>
      </c>
      <c r="E101" s="8">
        <v>6</v>
      </c>
      <c r="F101" s="9" t="s">
        <v>716</v>
      </c>
      <c r="G101" s="9" t="s">
        <v>335</v>
      </c>
      <c r="H101" s="9" t="s">
        <v>57</v>
      </c>
      <c r="I101" s="9" t="s">
        <v>25</v>
      </c>
      <c r="J101" s="9" t="s">
        <v>30</v>
      </c>
      <c r="K101" s="9" t="s">
        <v>170</v>
      </c>
      <c r="L101" s="39"/>
      <c r="M101" s="7" t="s">
        <v>1</v>
      </c>
      <c r="N101" s="8"/>
      <c r="O101" s="40"/>
      <c r="P101" s="15" t="s">
        <v>245</v>
      </c>
      <c r="Q101" s="9" t="s">
        <v>214</v>
      </c>
      <c r="R101" s="9" t="s">
        <v>322</v>
      </c>
      <c r="S101" s="9" t="s">
        <v>858</v>
      </c>
      <c r="T101" s="9">
        <v>939422</v>
      </c>
      <c r="U101" s="16" t="s">
        <v>88</v>
      </c>
      <c r="V101" s="9">
        <v>215066</v>
      </c>
      <c r="W101" s="8" t="s">
        <v>323</v>
      </c>
      <c r="X101" s="8" t="s">
        <v>265</v>
      </c>
      <c r="Y101" s="8" t="s">
        <v>175</v>
      </c>
      <c r="Z101" s="8">
        <v>10</v>
      </c>
      <c r="AA101" s="8">
        <v>30</v>
      </c>
      <c r="AB101" s="8" t="s">
        <v>176</v>
      </c>
      <c r="AC101" s="8" t="s">
        <v>190</v>
      </c>
      <c r="AD101" s="14" t="s">
        <v>191</v>
      </c>
      <c r="AE101" s="8" t="s">
        <v>192</v>
      </c>
      <c r="AF101" s="14">
        <v>0.9</v>
      </c>
      <c r="AG101" s="8">
        <v>1220</v>
      </c>
      <c r="AH101" s="8">
        <v>0</v>
      </c>
      <c r="AI101" s="8">
        <v>28</v>
      </c>
      <c r="AJ101" s="8">
        <v>0</v>
      </c>
      <c r="AK101" s="127">
        <v>28</v>
      </c>
      <c r="AL101" s="103">
        <v>0</v>
      </c>
      <c r="AM101" s="8">
        <v>28</v>
      </c>
      <c r="AN101" s="21">
        <v>0</v>
      </c>
      <c r="AO101" s="21">
        <v>0</v>
      </c>
      <c r="AP101" s="21">
        <v>0</v>
      </c>
      <c r="AQ101" s="21">
        <v>28</v>
      </c>
      <c r="AR101" s="21">
        <v>0</v>
      </c>
      <c r="AS101" s="8">
        <v>28</v>
      </c>
      <c r="AT101" s="21">
        <v>0</v>
      </c>
      <c r="AU101" s="21">
        <v>0</v>
      </c>
      <c r="AV101" s="21">
        <v>0</v>
      </c>
      <c r="AW101" s="21">
        <v>28</v>
      </c>
      <c r="AX101" s="21">
        <v>0</v>
      </c>
      <c r="AY101" s="8">
        <v>0</v>
      </c>
    </row>
    <row r="102" spans="1:51" ht="15" customHeight="1" x14ac:dyDescent="0.25">
      <c r="A102" s="9">
        <v>742</v>
      </c>
      <c r="B102" s="13">
        <v>45722</v>
      </c>
      <c r="C102" s="9" t="s">
        <v>169</v>
      </c>
      <c r="D102" s="9">
        <v>9518578782</v>
      </c>
      <c r="E102" s="8">
        <v>8</v>
      </c>
      <c r="F102" s="9" t="s">
        <v>717</v>
      </c>
      <c r="G102" s="9" t="s">
        <v>335</v>
      </c>
      <c r="H102" s="9" t="s">
        <v>57</v>
      </c>
      <c r="I102" s="9" t="s">
        <v>25</v>
      </c>
      <c r="J102" s="9" t="s">
        <v>30</v>
      </c>
      <c r="K102" s="9" t="s">
        <v>170</v>
      </c>
      <c r="L102" s="39"/>
      <c r="M102" s="7" t="s">
        <v>1</v>
      </c>
      <c r="N102" s="8"/>
      <c r="O102" s="40"/>
      <c r="P102" s="15" t="s">
        <v>245</v>
      </c>
      <c r="Q102" s="9" t="s">
        <v>214</v>
      </c>
      <c r="R102" s="9" t="s">
        <v>322</v>
      </c>
      <c r="S102" s="9" t="s">
        <v>858</v>
      </c>
      <c r="T102" s="9">
        <v>939422</v>
      </c>
      <c r="U102" s="16" t="s">
        <v>88</v>
      </c>
      <c r="V102" s="9">
        <v>223287</v>
      </c>
      <c r="W102" s="8" t="s">
        <v>699</v>
      </c>
      <c r="X102" s="8" t="s">
        <v>265</v>
      </c>
      <c r="Y102" s="8" t="s">
        <v>175</v>
      </c>
      <c r="Z102" s="8">
        <v>10</v>
      </c>
      <c r="AA102" s="8">
        <v>30</v>
      </c>
      <c r="AB102" s="8" t="s">
        <v>176</v>
      </c>
      <c r="AC102" s="8" t="s">
        <v>190</v>
      </c>
      <c r="AD102" s="14" t="s">
        <v>191</v>
      </c>
      <c r="AE102" s="8" t="s">
        <v>192</v>
      </c>
      <c r="AF102" s="14">
        <v>1</v>
      </c>
      <c r="AG102" s="8">
        <v>1220</v>
      </c>
      <c r="AH102" s="8">
        <v>0</v>
      </c>
      <c r="AI102" s="8">
        <v>56</v>
      </c>
      <c r="AJ102" s="8">
        <v>0</v>
      </c>
      <c r="AK102" s="127">
        <v>56</v>
      </c>
      <c r="AL102" s="103">
        <v>0</v>
      </c>
      <c r="AM102" s="8">
        <v>56</v>
      </c>
      <c r="AN102" s="21">
        <v>0</v>
      </c>
      <c r="AO102" s="21">
        <v>0</v>
      </c>
      <c r="AP102" s="21">
        <v>0</v>
      </c>
      <c r="AQ102" s="21">
        <v>56</v>
      </c>
      <c r="AR102" s="21">
        <v>0</v>
      </c>
      <c r="AS102" s="8">
        <v>56</v>
      </c>
      <c r="AT102" s="21">
        <v>0</v>
      </c>
      <c r="AU102" s="21">
        <v>0</v>
      </c>
      <c r="AV102" s="21">
        <v>0</v>
      </c>
      <c r="AW102" s="21">
        <v>56</v>
      </c>
      <c r="AX102" s="21">
        <v>0</v>
      </c>
      <c r="AY102" s="8">
        <v>0</v>
      </c>
    </row>
    <row r="103" spans="1:51" ht="15" customHeight="1" x14ac:dyDescent="0.25">
      <c r="A103" s="9">
        <v>744</v>
      </c>
      <c r="B103" s="13">
        <v>45722</v>
      </c>
      <c r="C103" s="9" t="s">
        <v>169</v>
      </c>
      <c r="D103" s="9">
        <v>9518579956</v>
      </c>
      <c r="E103" s="8">
        <v>1</v>
      </c>
      <c r="F103" s="9" t="s">
        <v>718</v>
      </c>
      <c r="G103" s="9" t="s">
        <v>335</v>
      </c>
      <c r="H103" s="9" t="s">
        <v>57</v>
      </c>
      <c r="I103" s="9" t="s">
        <v>48</v>
      </c>
      <c r="J103" s="9" t="s">
        <v>39</v>
      </c>
      <c r="K103" s="9" t="s">
        <v>233</v>
      </c>
      <c r="L103" s="39"/>
      <c r="M103" s="7" t="s">
        <v>1</v>
      </c>
      <c r="N103" s="8"/>
      <c r="O103" s="40"/>
      <c r="P103" s="9" t="s">
        <v>264</v>
      </c>
      <c r="Q103" s="9" t="s">
        <v>264</v>
      </c>
      <c r="R103" s="9" t="s">
        <v>264</v>
      </c>
      <c r="S103" s="9" t="s">
        <v>858</v>
      </c>
      <c r="T103" s="9">
        <v>941597</v>
      </c>
      <c r="U103" s="16" t="s">
        <v>106</v>
      </c>
      <c r="V103" s="9">
        <v>3858001</v>
      </c>
      <c r="W103" s="8" t="s">
        <v>295</v>
      </c>
      <c r="X103" s="8" t="s">
        <v>296</v>
      </c>
      <c r="Y103" s="8" t="s">
        <v>297</v>
      </c>
      <c r="Z103" s="8">
        <v>3</v>
      </c>
      <c r="AA103" s="8">
        <v>5</v>
      </c>
      <c r="AB103" s="8" t="s">
        <v>176</v>
      </c>
      <c r="AC103" s="8" t="s">
        <v>228</v>
      </c>
      <c r="AD103" s="14" t="s">
        <v>229</v>
      </c>
      <c r="AE103" s="8" t="s">
        <v>298</v>
      </c>
      <c r="AF103" s="14">
        <v>0.45</v>
      </c>
      <c r="AG103" s="8">
        <v>1220</v>
      </c>
      <c r="AH103" s="8">
        <v>0</v>
      </c>
      <c r="AI103" s="8">
        <v>56</v>
      </c>
      <c r="AJ103" s="8">
        <v>0</v>
      </c>
      <c r="AK103" s="127">
        <v>56</v>
      </c>
      <c r="AL103" s="103">
        <v>0</v>
      </c>
      <c r="AM103" s="8">
        <v>56</v>
      </c>
      <c r="AN103" s="21">
        <v>56</v>
      </c>
      <c r="AO103" s="21">
        <v>0</v>
      </c>
      <c r="AP103" s="21">
        <v>0</v>
      </c>
      <c r="AQ103" s="21">
        <v>0</v>
      </c>
      <c r="AR103" s="21">
        <v>0</v>
      </c>
      <c r="AS103" s="8">
        <v>56</v>
      </c>
      <c r="AT103" s="21">
        <v>0</v>
      </c>
      <c r="AU103" s="21">
        <v>56</v>
      </c>
      <c r="AV103" s="21">
        <v>0</v>
      </c>
      <c r="AW103" s="21">
        <v>0</v>
      </c>
      <c r="AX103" s="21">
        <v>0</v>
      </c>
      <c r="AY103" s="8">
        <v>0</v>
      </c>
    </row>
    <row r="104" spans="1:51" ht="15" customHeight="1" x14ac:dyDescent="0.25">
      <c r="A104" s="9">
        <v>742</v>
      </c>
      <c r="B104" s="13">
        <v>45702</v>
      </c>
      <c r="C104" s="9" t="s">
        <v>169</v>
      </c>
      <c r="D104" s="9">
        <v>9518519930</v>
      </c>
      <c r="E104" s="8">
        <v>6</v>
      </c>
      <c r="F104" s="9" t="s">
        <v>719</v>
      </c>
      <c r="G104" s="9" t="s">
        <v>335</v>
      </c>
      <c r="H104" s="9" t="s">
        <v>57</v>
      </c>
      <c r="I104" s="9" t="s">
        <v>25</v>
      </c>
      <c r="J104" s="9" t="s">
        <v>30</v>
      </c>
      <c r="K104" s="9" t="s">
        <v>170</v>
      </c>
      <c r="L104" s="39"/>
      <c r="M104" s="7" t="s">
        <v>1</v>
      </c>
      <c r="N104" s="8"/>
      <c r="O104" s="40"/>
      <c r="P104" s="15" t="s">
        <v>201</v>
      </c>
      <c r="Q104" s="9" t="s">
        <v>172</v>
      </c>
      <c r="R104" s="9" t="s">
        <v>202</v>
      </c>
      <c r="S104" s="9" t="s">
        <v>858</v>
      </c>
      <c r="T104" s="9">
        <v>936997</v>
      </c>
      <c r="U104" s="16" t="s">
        <v>80</v>
      </c>
      <c r="V104" s="9">
        <v>2356622</v>
      </c>
      <c r="W104" s="8" t="s">
        <v>720</v>
      </c>
      <c r="X104" s="8" t="s">
        <v>265</v>
      </c>
      <c r="Y104" s="8" t="s">
        <v>175</v>
      </c>
      <c r="Z104" s="8">
        <v>10</v>
      </c>
      <c r="AA104" s="8">
        <v>28</v>
      </c>
      <c r="AB104" s="8" t="s">
        <v>183</v>
      </c>
      <c r="AC104" s="8" t="s">
        <v>190</v>
      </c>
      <c r="AD104" s="14" t="s">
        <v>191</v>
      </c>
      <c r="AE104" s="8" t="s">
        <v>192</v>
      </c>
      <c r="AF104" s="14">
        <v>1.2</v>
      </c>
      <c r="AG104" s="8">
        <v>900</v>
      </c>
      <c r="AH104" s="8">
        <v>0</v>
      </c>
      <c r="AI104" s="8">
        <v>21</v>
      </c>
      <c r="AJ104" s="8">
        <v>0</v>
      </c>
      <c r="AK104" s="127">
        <v>21</v>
      </c>
      <c r="AL104" s="103">
        <v>0</v>
      </c>
      <c r="AM104" s="8">
        <v>21</v>
      </c>
      <c r="AN104" s="21">
        <v>0</v>
      </c>
      <c r="AO104" s="21">
        <v>0</v>
      </c>
      <c r="AP104" s="21">
        <v>0</v>
      </c>
      <c r="AQ104" s="21">
        <v>0</v>
      </c>
      <c r="AR104" s="21">
        <v>21</v>
      </c>
      <c r="AS104" s="8">
        <v>0</v>
      </c>
      <c r="AT104" s="21">
        <v>0</v>
      </c>
      <c r="AU104" s="21">
        <v>0</v>
      </c>
      <c r="AV104" s="21">
        <v>0</v>
      </c>
      <c r="AW104" s="21">
        <v>0</v>
      </c>
      <c r="AX104" s="21">
        <v>0</v>
      </c>
      <c r="AY104" s="8">
        <v>21</v>
      </c>
    </row>
    <row r="105" spans="1:51" ht="15" customHeight="1" x14ac:dyDescent="0.25">
      <c r="A105" s="9">
        <v>742</v>
      </c>
      <c r="B105" s="13">
        <v>45667</v>
      </c>
      <c r="C105" s="9" t="s">
        <v>169</v>
      </c>
      <c r="D105" s="9">
        <v>9518420076</v>
      </c>
      <c r="E105" s="8">
        <v>1</v>
      </c>
      <c r="F105" s="9" t="s">
        <v>723</v>
      </c>
      <c r="G105" s="9" t="s">
        <v>1687</v>
      </c>
      <c r="H105" s="9" t="s">
        <v>57</v>
      </c>
      <c r="I105" s="9" t="s">
        <v>50</v>
      </c>
      <c r="J105" s="9" t="s">
        <v>26</v>
      </c>
      <c r="K105" s="9" t="s">
        <v>170</v>
      </c>
      <c r="L105" s="39"/>
      <c r="M105" s="7" t="s">
        <v>1</v>
      </c>
      <c r="N105" s="8"/>
      <c r="O105" s="40"/>
      <c r="P105" s="15" t="s">
        <v>321</v>
      </c>
      <c r="Q105" s="9" t="s">
        <v>214</v>
      </c>
      <c r="R105" s="9" t="s">
        <v>322</v>
      </c>
      <c r="S105" s="9" t="s">
        <v>858</v>
      </c>
      <c r="T105" s="9">
        <v>946441</v>
      </c>
      <c r="U105" s="16" t="s">
        <v>629</v>
      </c>
      <c r="V105" s="9">
        <v>1252834</v>
      </c>
      <c r="W105" s="8" t="s">
        <v>312</v>
      </c>
      <c r="X105" s="8" t="s">
        <v>265</v>
      </c>
      <c r="Y105" s="8" t="s">
        <v>175</v>
      </c>
      <c r="Z105" s="8">
        <v>17</v>
      </c>
      <c r="AA105" s="8">
        <v>27.5</v>
      </c>
      <c r="AB105" s="8" t="s">
        <v>176</v>
      </c>
      <c r="AC105" s="8">
        <v>768</v>
      </c>
      <c r="AD105" s="14" t="s">
        <v>242</v>
      </c>
      <c r="AE105" s="8" t="s">
        <v>243</v>
      </c>
      <c r="AF105" s="14">
        <v>3</v>
      </c>
      <c r="AG105" s="8">
        <v>1250</v>
      </c>
      <c r="AH105" s="8">
        <v>0</v>
      </c>
      <c r="AI105" s="8">
        <v>25</v>
      </c>
      <c r="AJ105" s="8">
        <v>0</v>
      </c>
      <c r="AK105" s="127">
        <v>0</v>
      </c>
      <c r="AL105" s="103">
        <v>24.56</v>
      </c>
      <c r="AM105" s="8">
        <v>0</v>
      </c>
      <c r="AN105" s="21">
        <v>0</v>
      </c>
      <c r="AO105" s="21">
        <v>0</v>
      </c>
      <c r="AP105" s="21">
        <v>0</v>
      </c>
      <c r="AQ105" s="21">
        <v>0</v>
      </c>
      <c r="AR105" s="21">
        <v>0</v>
      </c>
      <c r="AS105" s="8">
        <v>24.56</v>
      </c>
      <c r="AT105" s="21">
        <v>24.56</v>
      </c>
      <c r="AU105" s="21">
        <v>0</v>
      </c>
      <c r="AV105" s="21">
        <v>0</v>
      </c>
      <c r="AW105" s="21">
        <v>0</v>
      </c>
      <c r="AX105" s="21">
        <v>0</v>
      </c>
      <c r="AY105" s="8">
        <v>0</v>
      </c>
    </row>
    <row r="106" spans="1:51" ht="15" customHeight="1" x14ac:dyDescent="0.25">
      <c r="A106" s="9">
        <v>742</v>
      </c>
      <c r="B106" s="13">
        <v>45673</v>
      </c>
      <c r="C106" s="9" t="s">
        <v>169</v>
      </c>
      <c r="D106" s="9">
        <v>9518433421</v>
      </c>
      <c r="E106" s="8">
        <v>20</v>
      </c>
      <c r="F106" s="9" t="s">
        <v>726</v>
      </c>
      <c r="G106" s="9" t="s">
        <v>1687</v>
      </c>
      <c r="H106" s="9" t="s">
        <v>57</v>
      </c>
      <c r="I106" s="9" t="s">
        <v>25</v>
      </c>
      <c r="J106" s="9" t="s">
        <v>31</v>
      </c>
      <c r="K106" s="9" t="s">
        <v>170</v>
      </c>
      <c r="L106" s="39"/>
      <c r="M106" s="7" t="s">
        <v>1</v>
      </c>
      <c r="N106" s="8"/>
      <c r="O106" s="40"/>
      <c r="P106" s="15" t="s">
        <v>245</v>
      </c>
      <c r="Q106" s="9" t="s">
        <v>214</v>
      </c>
      <c r="R106" s="9" t="s">
        <v>246</v>
      </c>
      <c r="S106" s="9" t="s">
        <v>859</v>
      </c>
      <c r="T106" s="9">
        <v>938550</v>
      </c>
      <c r="U106" s="16" t="s">
        <v>69</v>
      </c>
      <c r="V106" s="9">
        <v>3239564</v>
      </c>
      <c r="W106" s="8" t="s">
        <v>377</v>
      </c>
      <c r="X106" s="8" t="s">
        <v>265</v>
      </c>
      <c r="Y106" s="8" t="s">
        <v>175</v>
      </c>
      <c r="Z106" s="8">
        <v>0</v>
      </c>
      <c r="AA106" s="8">
        <v>0</v>
      </c>
      <c r="AB106" s="8" t="s">
        <v>183</v>
      </c>
      <c r="AC106" s="8" t="s">
        <v>210</v>
      </c>
      <c r="AD106" s="14" t="s">
        <v>211</v>
      </c>
      <c r="AE106" s="8" t="s">
        <v>212</v>
      </c>
      <c r="AF106" s="14">
        <v>0.45</v>
      </c>
      <c r="AG106" s="8">
        <v>1000</v>
      </c>
      <c r="AH106" s="8">
        <v>1980</v>
      </c>
      <c r="AI106" s="8">
        <v>90</v>
      </c>
      <c r="AJ106" s="8">
        <v>0</v>
      </c>
      <c r="AK106" s="127">
        <v>0</v>
      </c>
      <c r="AL106" s="103">
        <v>2.59</v>
      </c>
      <c r="AM106" s="8">
        <v>0</v>
      </c>
      <c r="AN106" s="21">
        <v>0</v>
      </c>
      <c r="AO106" s="21">
        <v>0</v>
      </c>
      <c r="AP106" s="21">
        <v>0</v>
      </c>
      <c r="AQ106" s="21">
        <v>0</v>
      </c>
      <c r="AR106" s="21">
        <v>0</v>
      </c>
      <c r="AS106" s="8">
        <v>2.59</v>
      </c>
      <c r="AT106" s="21">
        <v>2.59</v>
      </c>
      <c r="AU106" s="21">
        <v>0</v>
      </c>
      <c r="AV106" s="21">
        <v>0</v>
      </c>
      <c r="AW106" s="21">
        <v>0</v>
      </c>
      <c r="AX106" s="21">
        <v>0</v>
      </c>
      <c r="AY106" s="8">
        <v>0</v>
      </c>
    </row>
    <row r="107" spans="1:51" ht="15" customHeight="1" x14ac:dyDescent="0.25">
      <c r="A107" s="9">
        <v>742</v>
      </c>
      <c r="B107" s="13">
        <v>45694</v>
      </c>
      <c r="C107" s="9" t="s">
        <v>169</v>
      </c>
      <c r="D107" s="9">
        <v>9518499138</v>
      </c>
      <c r="E107" s="8">
        <v>9</v>
      </c>
      <c r="F107" s="9" t="s">
        <v>727</v>
      </c>
      <c r="G107" s="9" t="s">
        <v>1303</v>
      </c>
      <c r="H107" s="9" t="s">
        <v>57</v>
      </c>
      <c r="I107" s="9" t="s">
        <v>25</v>
      </c>
      <c r="J107" s="9" t="s">
        <v>31</v>
      </c>
      <c r="K107" s="9" t="s">
        <v>170</v>
      </c>
      <c r="L107" s="39"/>
      <c r="M107" s="7" t="s">
        <v>1</v>
      </c>
      <c r="N107" s="8"/>
      <c r="O107" s="40"/>
      <c r="P107" s="15" t="s">
        <v>220</v>
      </c>
      <c r="Q107" s="9" t="s">
        <v>180</v>
      </c>
      <c r="R107" s="9" t="s">
        <v>1569</v>
      </c>
      <c r="S107" s="9" t="s">
        <v>859</v>
      </c>
      <c r="T107" s="9">
        <v>121328</v>
      </c>
      <c r="U107" s="16" t="s">
        <v>81</v>
      </c>
      <c r="V107" s="9">
        <v>3239572</v>
      </c>
      <c r="W107" s="8" t="s">
        <v>376</v>
      </c>
      <c r="X107" s="8" t="s">
        <v>265</v>
      </c>
      <c r="Y107" s="8" t="s">
        <v>175</v>
      </c>
      <c r="Z107" s="8">
        <v>2.8</v>
      </c>
      <c r="AA107" s="8">
        <v>3.2</v>
      </c>
      <c r="AB107" s="8" t="s">
        <v>183</v>
      </c>
      <c r="AC107" s="8" t="s">
        <v>210</v>
      </c>
      <c r="AD107" s="14" t="s">
        <v>211</v>
      </c>
      <c r="AE107" s="8" t="s">
        <v>212</v>
      </c>
      <c r="AF107" s="14">
        <v>0.48</v>
      </c>
      <c r="AG107" s="8">
        <v>1000</v>
      </c>
      <c r="AH107" s="8">
        <v>2500</v>
      </c>
      <c r="AI107" s="8">
        <v>24</v>
      </c>
      <c r="AJ107" s="8">
        <v>0</v>
      </c>
      <c r="AK107" s="127">
        <v>24</v>
      </c>
      <c r="AL107" s="103">
        <v>0</v>
      </c>
      <c r="AM107" s="8">
        <v>24</v>
      </c>
      <c r="AN107" s="21">
        <v>24</v>
      </c>
      <c r="AO107" s="21">
        <v>0</v>
      </c>
      <c r="AP107" s="21">
        <v>0</v>
      </c>
      <c r="AQ107" s="21">
        <v>0</v>
      </c>
      <c r="AR107" s="21">
        <v>0</v>
      </c>
      <c r="AS107" s="8">
        <v>24</v>
      </c>
      <c r="AT107" s="21">
        <v>0</v>
      </c>
      <c r="AU107" s="21">
        <v>24</v>
      </c>
      <c r="AV107" s="21">
        <v>0</v>
      </c>
      <c r="AW107" s="21">
        <v>0</v>
      </c>
      <c r="AX107" s="21">
        <v>0</v>
      </c>
      <c r="AY107" s="8">
        <v>0</v>
      </c>
    </row>
    <row r="108" spans="1:51" ht="15" customHeight="1" x14ac:dyDescent="0.25">
      <c r="A108" s="9">
        <v>742</v>
      </c>
      <c r="B108" s="13">
        <v>45706</v>
      </c>
      <c r="C108" s="9" t="s">
        <v>169</v>
      </c>
      <c r="D108" s="9">
        <v>9518529595</v>
      </c>
      <c r="E108" s="8">
        <v>6</v>
      </c>
      <c r="F108" s="9" t="s">
        <v>728</v>
      </c>
      <c r="G108" s="9" t="s">
        <v>1303</v>
      </c>
      <c r="H108" s="9" t="s">
        <v>57</v>
      </c>
      <c r="I108" s="9" t="s">
        <v>25</v>
      </c>
      <c r="J108" s="9" t="s">
        <v>30</v>
      </c>
      <c r="K108" s="9" t="s">
        <v>170</v>
      </c>
      <c r="L108" s="39"/>
      <c r="M108" s="7" t="s">
        <v>1</v>
      </c>
      <c r="N108" s="8"/>
      <c r="O108" s="40"/>
      <c r="P108" s="15" t="s">
        <v>245</v>
      </c>
      <c r="Q108" s="9" t="s">
        <v>214</v>
      </c>
      <c r="R108" s="9" t="s">
        <v>337</v>
      </c>
      <c r="S108" s="9" t="s">
        <v>858</v>
      </c>
      <c r="T108" s="9">
        <v>161312</v>
      </c>
      <c r="U108" s="16" t="s">
        <v>74</v>
      </c>
      <c r="V108" s="9">
        <v>2390540</v>
      </c>
      <c r="W108" s="8" t="s">
        <v>700</v>
      </c>
      <c r="X108" s="8" t="s">
        <v>265</v>
      </c>
      <c r="Y108" s="8" t="s">
        <v>175</v>
      </c>
      <c r="Z108" s="8">
        <v>5</v>
      </c>
      <c r="AA108" s="8">
        <v>29</v>
      </c>
      <c r="AB108" s="8" t="s">
        <v>176</v>
      </c>
      <c r="AC108" s="8" t="s">
        <v>190</v>
      </c>
      <c r="AD108" s="14" t="s">
        <v>191</v>
      </c>
      <c r="AE108" s="8" t="s">
        <v>192</v>
      </c>
      <c r="AF108" s="14">
        <v>1.8</v>
      </c>
      <c r="AG108" s="8">
        <v>1250</v>
      </c>
      <c r="AH108" s="8">
        <v>0</v>
      </c>
      <c r="AI108" s="8">
        <v>29</v>
      </c>
      <c r="AJ108" s="8">
        <v>0</v>
      </c>
      <c r="AK108" s="127">
        <v>29</v>
      </c>
      <c r="AL108" s="103">
        <v>0</v>
      </c>
      <c r="AM108" s="8">
        <v>29</v>
      </c>
      <c r="AN108" s="21">
        <v>29</v>
      </c>
      <c r="AO108" s="21">
        <v>0</v>
      </c>
      <c r="AP108" s="21">
        <v>0</v>
      </c>
      <c r="AQ108" s="21">
        <v>0</v>
      </c>
      <c r="AR108" s="21">
        <v>0</v>
      </c>
      <c r="AS108" s="8">
        <v>29</v>
      </c>
      <c r="AT108" s="21">
        <v>0</v>
      </c>
      <c r="AU108" s="21">
        <v>29</v>
      </c>
      <c r="AV108" s="21">
        <v>0</v>
      </c>
      <c r="AW108" s="21">
        <v>0</v>
      </c>
      <c r="AX108" s="21">
        <v>0</v>
      </c>
      <c r="AY108" s="8">
        <v>0</v>
      </c>
    </row>
    <row r="109" spans="1:51" ht="15" customHeight="1" x14ac:dyDescent="0.25">
      <c r="A109" s="9">
        <v>744</v>
      </c>
      <c r="B109" s="13">
        <v>45734</v>
      </c>
      <c r="C109" s="9" t="s">
        <v>169</v>
      </c>
      <c r="D109" s="9">
        <v>9518610301</v>
      </c>
      <c r="E109" s="8">
        <v>6</v>
      </c>
      <c r="F109" s="9" t="s">
        <v>729</v>
      </c>
      <c r="G109" s="9" t="s">
        <v>1303</v>
      </c>
      <c r="H109" s="9" t="s">
        <v>57</v>
      </c>
      <c r="I109" s="9" t="s">
        <v>48</v>
      </c>
      <c r="J109" s="9" t="s">
        <v>39</v>
      </c>
      <c r="K109" s="9" t="s">
        <v>233</v>
      </c>
      <c r="L109" s="39"/>
      <c r="M109" s="7" t="s">
        <v>1</v>
      </c>
      <c r="N109" s="8"/>
      <c r="O109" s="40"/>
      <c r="P109" s="15" t="s">
        <v>220</v>
      </c>
      <c r="Q109" s="9" t="s">
        <v>264</v>
      </c>
      <c r="R109" s="9" t="s">
        <v>1568</v>
      </c>
      <c r="S109" s="9" t="s">
        <v>858</v>
      </c>
      <c r="T109" s="9">
        <v>941597</v>
      </c>
      <c r="U109" s="16" t="s">
        <v>106</v>
      </c>
      <c r="V109" s="9">
        <v>3940122</v>
      </c>
      <c r="W109" s="8" t="s">
        <v>684</v>
      </c>
      <c r="X109" s="8" t="s">
        <v>317</v>
      </c>
      <c r="Y109" s="8" t="s">
        <v>673</v>
      </c>
      <c r="Z109" s="8">
        <v>3</v>
      </c>
      <c r="AA109" s="8">
        <v>5</v>
      </c>
      <c r="AB109" s="8" t="s">
        <v>176</v>
      </c>
      <c r="AC109" s="8" t="s">
        <v>228</v>
      </c>
      <c r="AD109" s="14" t="s">
        <v>229</v>
      </c>
      <c r="AE109" s="8" t="s">
        <v>354</v>
      </c>
      <c r="AF109" s="14">
        <v>0.47</v>
      </c>
      <c r="AG109" s="8">
        <v>1220</v>
      </c>
      <c r="AH109" s="8">
        <v>0</v>
      </c>
      <c r="AI109" s="8">
        <v>28</v>
      </c>
      <c r="AJ109" s="8">
        <v>0</v>
      </c>
      <c r="AK109" s="127">
        <v>28</v>
      </c>
      <c r="AL109" s="103">
        <v>0</v>
      </c>
      <c r="AM109" s="8">
        <v>28</v>
      </c>
      <c r="AN109" s="21">
        <v>0</v>
      </c>
      <c r="AO109" s="21">
        <v>0</v>
      </c>
      <c r="AP109" s="21">
        <v>0</v>
      </c>
      <c r="AQ109" s="21">
        <v>28</v>
      </c>
      <c r="AR109" s="21">
        <v>0</v>
      </c>
      <c r="AS109" s="8">
        <v>28</v>
      </c>
      <c r="AT109" s="21">
        <v>0</v>
      </c>
      <c r="AU109" s="21">
        <v>0</v>
      </c>
      <c r="AV109" s="21">
        <v>0</v>
      </c>
      <c r="AW109" s="21">
        <v>28</v>
      </c>
      <c r="AX109" s="21">
        <v>0</v>
      </c>
      <c r="AY109" s="8">
        <v>0</v>
      </c>
    </row>
    <row r="110" spans="1:51" ht="15" customHeight="1" x14ac:dyDescent="0.25">
      <c r="A110" s="9">
        <v>742</v>
      </c>
      <c r="B110" s="13">
        <v>45673</v>
      </c>
      <c r="C110" s="9" t="s">
        <v>169</v>
      </c>
      <c r="D110" s="9">
        <v>9518433421</v>
      </c>
      <c r="E110" s="8">
        <v>21</v>
      </c>
      <c r="F110" s="9" t="s">
        <v>734</v>
      </c>
      <c r="G110" s="9" t="s">
        <v>1687</v>
      </c>
      <c r="H110" s="9" t="s">
        <v>57</v>
      </c>
      <c r="I110" s="9" t="s">
        <v>25</v>
      </c>
      <c r="J110" s="9" t="s">
        <v>31</v>
      </c>
      <c r="K110" s="9" t="s">
        <v>170</v>
      </c>
      <c r="L110" s="39"/>
      <c r="M110" s="7" t="s">
        <v>1</v>
      </c>
      <c r="N110" s="8"/>
      <c r="O110" s="40"/>
      <c r="P110" s="15" t="s">
        <v>245</v>
      </c>
      <c r="Q110" s="9" t="s">
        <v>214</v>
      </c>
      <c r="R110" s="9" t="s">
        <v>246</v>
      </c>
      <c r="S110" s="9" t="s">
        <v>859</v>
      </c>
      <c r="T110" s="9">
        <v>938550</v>
      </c>
      <c r="U110" s="16" t="s">
        <v>69</v>
      </c>
      <c r="V110" s="9">
        <v>3240756</v>
      </c>
      <c r="W110" s="8" t="s">
        <v>724</v>
      </c>
      <c r="X110" s="8" t="s">
        <v>265</v>
      </c>
      <c r="Y110" s="8" t="s">
        <v>175</v>
      </c>
      <c r="Z110" s="8">
        <v>0</v>
      </c>
      <c r="AA110" s="8">
        <v>0</v>
      </c>
      <c r="AB110" s="8" t="s">
        <v>183</v>
      </c>
      <c r="AC110" s="8" t="s">
        <v>210</v>
      </c>
      <c r="AD110" s="14" t="s">
        <v>218</v>
      </c>
      <c r="AE110" s="8" t="s">
        <v>250</v>
      </c>
      <c r="AF110" s="14">
        <v>0.5</v>
      </c>
      <c r="AG110" s="8">
        <v>1000</v>
      </c>
      <c r="AH110" s="8">
        <v>1980</v>
      </c>
      <c r="AI110" s="8">
        <v>69</v>
      </c>
      <c r="AJ110" s="8">
        <v>0</v>
      </c>
      <c r="AK110" s="127">
        <v>0</v>
      </c>
      <c r="AL110" s="103">
        <v>31.75</v>
      </c>
      <c r="AM110" s="8">
        <v>0</v>
      </c>
      <c r="AN110" s="21">
        <v>0</v>
      </c>
      <c r="AO110" s="21">
        <v>0</v>
      </c>
      <c r="AP110" s="21">
        <v>0</v>
      </c>
      <c r="AQ110" s="21">
        <v>0</v>
      </c>
      <c r="AR110" s="21">
        <v>0</v>
      </c>
      <c r="AS110" s="8">
        <v>31.75</v>
      </c>
      <c r="AT110" s="21">
        <v>31.75</v>
      </c>
      <c r="AU110" s="21">
        <v>0</v>
      </c>
      <c r="AV110" s="21">
        <v>0</v>
      </c>
      <c r="AW110" s="21">
        <v>0</v>
      </c>
      <c r="AX110" s="21">
        <v>0</v>
      </c>
      <c r="AY110" s="8">
        <v>0</v>
      </c>
    </row>
    <row r="111" spans="1:51" ht="15" customHeight="1" x14ac:dyDescent="0.25">
      <c r="A111" s="9">
        <v>742</v>
      </c>
      <c r="B111" s="13">
        <v>45735</v>
      </c>
      <c r="C111" s="9" t="s">
        <v>169</v>
      </c>
      <c r="D111" s="9">
        <v>9518613877</v>
      </c>
      <c r="E111" s="8">
        <v>4</v>
      </c>
      <c r="F111" s="9" t="s">
        <v>736</v>
      </c>
      <c r="G111" s="9" t="s">
        <v>1687</v>
      </c>
      <c r="H111" s="9" t="s">
        <v>57</v>
      </c>
      <c r="I111" s="9" t="s">
        <v>50</v>
      </c>
      <c r="J111" s="9" t="s">
        <v>26</v>
      </c>
      <c r="K111" s="9" t="s">
        <v>170</v>
      </c>
      <c r="L111" s="39"/>
      <c r="M111" s="7" t="s">
        <v>1</v>
      </c>
      <c r="N111" s="8"/>
      <c r="O111" s="40"/>
      <c r="P111" s="15" t="s">
        <v>239</v>
      </c>
      <c r="Q111" s="9" t="s">
        <v>214</v>
      </c>
      <c r="R111" s="9" t="s">
        <v>240</v>
      </c>
      <c r="S111" s="9" t="s">
        <v>858</v>
      </c>
      <c r="T111" s="9">
        <v>801611</v>
      </c>
      <c r="U111" s="16" t="s">
        <v>132</v>
      </c>
      <c r="V111" s="9">
        <v>1179966</v>
      </c>
      <c r="W111" s="8" t="s">
        <v>174</v>
      </c>
      <c r="X111" s="8" t="s">
        <v>265</v>
      </c>
      <c r="Y111" s="8" t="s">
        <v>175</v>
      </c>
      <c r="Z111" s="8">
        <v>15</v>
      </c>
      <c r="AA111" s="8">
        <v>25</v>
      </c>
      <c r="AB111" s="8" t="s">
        <v>176</v>
      </c>
      <c r="AC111" s="8">
        <v>768</v>
      </c>
      <c r="AD111" s="14" t="s">
        <v>177</v>
      </c>
      <c r="AE111" s="8" t="s">
        <v>178</v>
      </c>
      <c r="AF111" s="14">
        <v>2</v>
      </c>
      <c r="AG111" s="8">
        <v>1250</v>
      </c>
      <c r="AH111" s="8">
        <v>0</v>
      </c>
      <c r="AI111" s="8">
        <v>30</v>
      </c>
      <c r="AJ111" s="8">
        <v>0</v>
      </c>
      <c r="AK111" s="127">
        <v>3.95</v>
      </c>
      <c r="AL111" s="103">
        <v>26.04</v>
      </c>
      <c r="AM111" s="8">
        <v>0</v>
      </c>
      <c r="AN111" s="21">
        <v>0</v>
      </c>
      <c r="AO111" s="21">
        <v>0</v>
      </c>
      <c r="AP111" s="21">
        <v>0</v>
      </c>
      <c r="AQ111" s="21">
        <v>0</v>
      </c>
      <c r="AR111" s="21">
        <v>0</v>
      </c>
      <c r="AS111" s="8">
        <v>26.04</v>
      </c>
      <c r="AT111" s="21">
        <v>26.04</v>
      </c>
      <c r="AU111" s="21">
        <v>0</v>
      </c>
      <c r="AV111" s="21">
        <v>0</v>
      </c>
      <c r="AW111" s="21">
        <v>0</v>
      </c>
      <c r="AX111" s="21">
        <v>0</v>
      </c>
      <c r="AY111" s="8">
        <v>0</v>
      </c>
    </row>
    <row r="112" spans="1:51" ht="15" customHeight="1" x14ac:dyDescent="0.25">
      <c r="A112" s="9">
        <v>742</v>
      </c>
      <c r="B112" s="13">
        <v>45735</v>
      </c>
      <c r="C112" s="9" t="s">
        <v>169</v>
      </c>
      <c r="D112" s="9">
        <v>9518613858</v>
      </c>
      <c r="E112" s="8">
        <v>1</v>
      </c>
      <c r="F112" s="9" t="s">
        <v>737</v>
      </c>
      <c r="G112" s="9" t="s">
        <v>335</v>
      </c>
      <c r="H112" s="9" t="s">
        <v>57</v>
      </c>
      <c r="I112" s="9" t="s">
        <v>50</v>
      </c>
      <c r="J112" s="9" t="s">
        <v>26</v>
      </c>
      <c r="K112" s="9" t="s">
        <v>170</v>
      </c>
      <c r="L112" s="39"/>
      <c r="M112" s="7" t="s">
        <v>1</v>
      </c>
      <c r="N112" s="8"/>
      <c r="O112" s="40"/>
      <c r="P112" s="15" t="s">
        <v>239</v>
      </c>
      <c r="Q112" s="9" t="s">
        <v>214</v>
      </c>
      <c r="R112" s="9" t="s">
        <v>240</v>
      </c>
      <c r="S112" s="9" t="s">
        <v>858</v>
      </c>
      <c r="T112" s="9">
        <v>932179</v>
      </c>
      <c r="U112" s="16" t="s">
        <v>128</v>
      </c>
      <c r="V112" s="9">
        <v>1371338</v>
      </c>
      <c r="W112" s="8" t="s">
        <v>362</v>
      </c>
      <c r="X112" s="8" t="s">
        <v>265</v>
      </c>
      <c r="Y112" s="8" t="s">
        <v>175</v>
      </c>
      <c r="Z112" s="8">
        <v>15</v>
      </c>
      <c r="AA112" s="8">
        <v>25</v>
      </c>
      <c r="AB112" s="8" t="s">
        <v>176</v>
      </c>
      <c r="AC112" s="8">
        <v>768</v>
      </c>
      <c r="AD112" s="14" t="s">
        <v>242</v>
      </c>
      <c r="AE112" s="8" t="s">
        <v>243</v>
      </c>
      <c r="AF112" s="14">
        <v>2.2999999999999998</v>
      </c>
      <c r="AG112" s="8">
        <v>1250</v>
      </c>
      <c r="AH112" s="8">
        <v>0</v>
      </c>
      <c r="AI112" s="8">
        <v>50</v>
      </c>
      <c r="AJ112" s="8">
        <v>24.41</v>
      </c>
      <c r="AK112" s="127">
        <v>25.59</v>
      </c>
      <c r="AL112" s="103">
        <v>0</v>
      </c>
      <c r="AM112" s="8">
        <v>25.59</v>
      </c>
      <c r="AN112" s="21">
        <v>0</v>
      </c>
      <c r="AO112" s="21">
        <v>0</v>
      </c>
      <c r="AP112" s="21">
        <v>0</v>
      </c>
      <c r="AQ112" s="21">
        <v>25.59</v>
      </c>
      <c r="AR112" s="21">
        <v>0</v>
      </c>
      <c r="AS112" s="8">
        <v>25.59</v>
      </c>
      <c r="AT112" s="21">
        <v>0</v>
      </c>
      <c r="AU112" s="21">
        <v>0</v>
      </c>
      <c r="AV112" s="21">
        <v>0</v>
      </c>
      <c r="AW112" s="21">
        <v>25.59</v>
      </c>
      <c r="AX112" s="21">
        <v>0</v>
      </c>
      <c r="AY112" s="8">
        <v>0</v>
      </c>
    </row>
    <row r="113" spans="1:51" ht="15" customHeight="1" x14ac:dyDescent="0.25">
      <c r="A113" s="9">
        <v>742</v>
      </c>
      <c r="B113" s="13">
        <v>45735</v>
      </c>
      <c r="C113" s="9" t="s">
        <v>169</v>
      </c>
      <c r="D113" s="9">
        <v>9518613858</v>
      </c>
      <c r="E113" s="8">
        <v>4</v>
      </c>
      <c r="F113" s="9" t="s">
        <v>738</v>
      </c>
      <c r="G113" s="9" t="s">
        <v>335</v>
      </c>
      <c r="H113" s="9" t="s">
        <v>57</v>
      </c>
      <c r="I113" s="9" t="s">
        <v>50</v>
      </c>
      <c r="J113" s="9" t="s">
        <v>26</v>
      </c>
      <c r="K113" s="9" t="s">
        <v>170</v>
      </c>
      <c r="L113" s="39"/>
      <c r="M113" s="7" t="s">
        <v>1</v>
      </c>
      <c r="N113" s="8"/>
      <c r="O113" s="40"/>
      <c r="P113" s="15" t="s">
        <v>239</v>
      </c>
      <c r="Q113" s="9" t="s">
        <v>214</v>
      </c>
      <c r="R113" s="9" t="s">
        <v>240</v>
      </c>
      <c r="S113" s="9" t="s">
        <v>858</v>
      </c>
      <c r="T113" s="9">
        <v>932179</v>
      </c>
      <c r="U113" s="16" t="s">
        <v>128</v>
      </c>
      <c r="V113" s="9">
        <v>1179966</v>
      </c>
      <c r="W113" s="8" t="s">
        <v>174</v>
      </c>
      <c r="X113" s="8" t="s">
        <v>265</v>
      </c>
      <c r="Y113" s="8" t="s">
        <v>175</v>
      </c>
      <c r="Z113" s="8">
        <v>15</v>
      </c>
      <c r="AA113" s="8">
        <v>25</v>
      </c>
      <c r="AB113" s="8" t="s">
        <v>176</v>
      </c>
      <c r="AC113" s="8">
        <v>768</v>
      </c>
      <c r="AD113" s="14" t="s">
        <v>177</v>
      </c>
      <c r="AE113" s="8" t="s">
        <v>178</v>
      </c>
      <c r="AF113" s="14">
        <v>2</v>
      </c>
      <c r="AG113" s="8">
        <v>1250</v>
      </c>
      <c r="AH113" s="8">
        <v>0</v>
      </c>
      <c r="AI113" s="8">
        <v>25</v>
      </c>
      <c r="AJ113" s="8">
        <v>0</v>
      </c>
      <c r="AK113" s="127">
        <v>25</v>
      </c>
      <c r="AL113" s="103">
        <v>0</v>
      </c>
      <c r="AM113" s="8">
        <v>25</v>
      </c>
      <c r="AN113" s="21">
        <v>0</v>
      </c>
      <c r="AO113" s="21">
        <v>25</v>
      </c>
      <c r="AP113" s="21">
        <v>0</v>
      </c>
      <c r="AQ113" s="21">
        <v>0</v>
      </c>
      <c r="AR113" s="21">
        <v>0</v>
      </c>
      <c r="AS113" s="8">
        <v>25</v>
      </c>
      <c r="AT113" s="21">
        <v>0</v>
      </c>
      <c r="AU113" s="21">
        <v>25</v>
      </c>
      <c r="AV113" s="21">
        <v>0</v>
      </c>
      <c r="AW113" s="21">
        <v>0</v>
      </c>
      <c r="AX113" s="21">
        <v>0</v>
      </c>
      <c r="AY113" s="8">
        <v>0</v>
      </c>
    </row>
    <row r="114" spans="1:51" ht="15" customHeight="1" x14ac:dyDescent="0.25">
      <c r="A114" s="9">
        <v>742</v>
      </c>
      <c r="B114" s="13">
        <v>45735</v>
      </c>
      <c r="C114" s="9" t="s">
        <v>169</v>
      </c>
      <c r="D114" s="9">
        <v>9518613349</v>
      </c>
      <c r="E114" s="8">
        <v>1</v>
      </c>
      <c r="F114" s="9" t="s">
        <v>739</v>
      </c>
      <c r="G114" s="9" t="s">
        <v>1687</v>
      </c>
      <c r="H114" s="9" t="s">
        <v>57</v>
      </c>
      <c r="I114" s="9" t="s">
        <v>25</v>
      </c>
      <c r="J114" s="9" t="s">
        <v>31</v>
      </c>
      <c r="K114" s="9" t="s">
        <v>170</v>
      </c>
      <c r="L114" s="39"/>
      <c r="M114" s="7" t="s">
        <v>1</v>
      </c>
      <c r="N114" s="8"/>
      <c r="O114" s="40"/>
      <c r="P114" s="15" t="s">
        <v>179</v>
      </c>
      <c r="Q114" s="9" t="s">
        <v>180</v>
      </c>
      <c r="R114" s="9" t="s">
        <v>181</v>
      </c>
      <c r="S114" s="9" t="s">
        <v>859</v>
      </c>
      <c r="T114" s="9">
        <v>117061</v>
      </c>
      <c r="U114" s="16" t="s">
        <v>90</v>
      </c>
      <c r="V114" s="9">
        <v>3240785</v>
      </c>
      <c r="W114" s="8" t="s">
        <v>467</v>
      </c>
      <c r="X114" s="8" t="s">
        <v>265</v>
      </c>
      <c r="Y114" s="8" t="s">
        <v>175</v>
      </c>
      <c r="Z114" s="8">
        <v>0.1</v>
      </c>
      <c r="AA114" s="8">
        <v>5</v>
      </c>
      <c r="AB114" s="8" t="s">
        <v>176</v>
      </c>
      <c r="AC114" s="8" t="s">
        <v>210</v>
      </c>
      <c r="AD114" s="14" t="s">
        <v>218</v>
      </c>
      <c r="AE114" s="8" t="s">
        <v>250</v>
      </c>
      <c r="AF114" s="14">
        <v>0.6</v>
      </c>
      <c r="AG114" s="8">
        <v>1250</v>
      </c>
      <c r="AH114" s="8">
        <v>2500</v>
      </c>
      <c r="AI114" s="8">
        <v>50</v>
      </c>
      <c r="AJ114" s="8">
        <v>5.7</v>
      </c>
      <c r="AK114" s="127">
        <v>0.97499999999999998</v>
      </c>
      <c r="AL114" s="103">
        <v>2.84</v>
      </c>
      <c r="AM114" s="8">
        <v>0</v>
      </c>
      <c r="AN114" s="21">
        <v>0</v>
      </c>
      <c r="AO114" s="21">
        <v>0</v>
      </c>
      <c r="AP114" s="21">
        <v>0</v>
      </c>
      <c r="AQ114" s="21">
        <v>0</v>
      </c>
      <c r="AR114" s="21">
        <v>0</v>
      </c>
      <c r="AS114" s="8">
        <v>2.84</v>
      </c>
      <c r="AT114" s="21">
        <v>2.84</v>
      </c>
      <c r="AU114" s="21">
        <v>0</v>
      </c>
      <c r="AV114" s="21">
        <v>0</v>
      </c>
      <c r="AW114" s="21">
        <v>0</v>
      </c>
      <c r="AX114" s="21">
        <v>0</v>
      </c>
      <c r="AY114" s="8">
        <v>0</v>
      </c>
    </row>
    <row r="115" spans="1:51" ht="15" customHeight="1" x14ac:dyDescent="0.25">
      <c r="A115" s="9">
        <v>743</v>
      </c>
      <c r="B115" s="13">
        <v>45742</v>
      </c>
      <c r="C115" s="9" t="s">
        <v>169</v>
      </c>
      <c r="D115" s="9">
        <v>9518636677</v>
      </c>
      <c r="E115" s="8">
        <v>1</v>
      </c>
      <c r="F115" s="9" t="s">
        <v>1761</v>
      </c>
      <c r="G115" s="9" t="s">
        <v>1687</v>
      </c>
      <c r="H115" s="9" t="s">
        <v>57</v>
      </c>
      <c r="I115" s="9" t="s">
        <v>38</v>
      </c>
      <c r="J115" s="9" t="s">
        <v>55</v>
      </c>
      <c r="K115" s="9">
        <v>1000</v>
      </c>
      <c r="L115" s="39"/>
      <c r="M115" s="7" t="s">
        <v>1</v>
      </c>
      <c r="N115" s="8"/>
      <c r="O115" s="40"/>
      <c r="P115" s="15" t="s">
        <v>207</v>
      </c>
      <c r="Q115" s="9" t="s">
        <v>180</v>
      </c>
      <c r="R115" s="9" t="s">
        <v>1570</v>
      </c>
      <c r="S115" s="9" t="s">
        <v>858</v>
      </c>
      <c r="T115" s="9">
        <v>101122</v>
      </c>
      <c r="U115" s="16" t="s">
        <v>740</v>
      </c>
      <c r="V115" s="9">
        <v>3988091</v>
      </c>
      <c r="W115" s="8" t="s">
        <v>741</v>
      </c>
      <c r="X115" s="8">
        <v>70</v>
      </c>
      <c r="Y115" s="8"/>
      <c r="Z115" s="8">
        <v>7.0010000000000003</v>
      </c>
      <c r="AA115" s="8">
        <v>15</v>
      </c>
      <c r="AB115" s="8" t="s">
        <v>176</v>
      </c>
      <c r="AC115" s="8" t="s">
        <v>222</v>
      </c>
      <c r="AD115" s="14" t="s">
        <v>223</v>
      </c>
      <c r="AE115" s="8" t="s">
        <v>301</v>
      </c>
      <c r="AF115" s="14">
        <v>0.44</v>
      </c>
      <c r="AG115" s="8">
        <v>1240</v>
      </c>
      <c r="AH115" s="8">
        <v>0</v>
      </c>
      <c r="AI115" s="8">
        <v>560</v>
      </c>
      <c r="AJ115" s="8">
        <v>476.56</v>
      </c>
      <c r="AK115" s="127">
        <v>1.2050000000000001</v>
      </c>
      <c r="AL115" s="103">
        <v>13.69</v>
      </c>
      <c r="AM115" s="8">
        <v>0</v>
      </c>
      <c r="AN115" s="21">
        <v>0</v>
      </c>
      <c r="AO115" s="21">
        <v>0</v>
      </c>
      <c r="AP115" s="21">
        <v>0</v>
      </c>
      <c r="AQ115" s="21">
        <v>0</v>
      </c>
      <c r="AR115" s="21">
        <v>0</v>
      </c>
      <c r="AS115" s="8">
        <v>13.69</v>
      </c>
      <c r="AT115" s="21">
        <v>13.69</v>
      </c>
      <c r="AU115" s="21">
        <v>0</v>
      </c>
      <c r="AV115" s="21">
        <v>0</v>
      </c>
      <c r="AW115" s="21">
        <v>0</v>
      </c>
      <c r="AX115" s="21">
        <v>0</v>
      </c>
      <c r="AY115" s="8">
        <v>0</v>
      </c>
    </row>
    <row r="116" spans="1:51" ht="15" customHeight="1" x14ac:dyDescent="0.25">
      <c r="A116" s="9">
        <v>743</v>
      </c>
      <c r="B116" s="13">
        <v>45742</v>
      </c>
      <c r="C116" s="9" t="s">
        <v>169</v>
      </c>
      <c r="D116" s="9">
        <v>9518636677</v>
      </c>
      <c r="E116" s="8">
        <v>2</v>
      </c>
      <c r="F116" s="9" t="s">
        <v>1762</v>
      </c>
      <c r="G116" s="9" t="s">
        <v>1687</v>
      </c>
      <c r="H116" s="9" t="s">
        <v>57</v>
      </c>
      <c r="I116" s="9" t="s">
        <v>38</v>
      </c>
      <c r="J116" s="9" t="s">
        <v>55</v>
      </c>
      <c r="K116" s="9">
        <v>1000</v>
      </c>
      <c r="L116" s="39"/>
      <c r="M116" s="7" t="s">
        <v>1</v>
      </c>
      <c r="N116" s="8"/>
      <c r="O116" s="40"/>
      <c r="P116" s="15" t="s">
        <v>207</v>
      </c>
      <c r="Q116" s="9" t="s">
        <v>180</v>
      </c>
      <c r="R116" s="9" t="s">
        <v>1570</v>
      </c>
      <c r="S116" s="9" t="s">
        <v>858</v>
      </c>
      <c r="T116" s="9">
        <v>101122</v>
      </c>
      <c r="U116" s="16" t="s">
        <v>740</v>
      </c>
      <c r="V116" s="9">
        <v>3988091</v>
      </c>
      <c r="W116" s="8" t="s">
        <v>741</v>
      </c>
      <c r="X116" s="8">
        <v>70</v>
      </c>
      <c r="Y116" s="8"/>
      <c r="Z116" s="8">
        <v>7.0010000000000003</v>
      </c>
      <c r="AA116" s="8">
        <v>15</v>
      </c>
      <c r="AB116" s="8" t="s">
        <v>176</v>
      </c>
      <c r="AC116" s="8" t="s">
        <v>222</v>
      </c>
      <c r="AD116" s="14" t="s">
        <v>223</v>
      </c>
      <c r="AE116" s="8" t="s">
        <v>301</v>
      </c>
      <c r="AF116" s="14">
        <v>0.44</v>
      </c>
      <c r="AG116" s="8">
        <v>1240</v>
      </c>
      <c r="AH116" s="8">
        <v>0</v>
      </c>
      <c r="AI116" s="8">
        <v>560</v>
      </c>
      <c r="AJ116" s="8">
        <v>490.19499999999999</v>
      </c>
      <c r="AK116" s="127">
        <v>17.844999999999999</v>
      </c>
      <c r="AL116" s="103">
        <v>26.92</v>
      </c>
      <c r="AM116" s="8">
        <v>0</v>
      </c>
      <c r="AN116" s="21">
        <v>0</v>
      </c>
      <c r="AO116" s="21">
        <v>0</v>
      </c>
      <c r="AP116" s="21">
        <v>0</v>
      </c>
      <c r="AQ116" s="21">
        <v>0</v>
      </c>
      <c r="AR116" s="21">
        <v>0</v>
      </c>
      <c r="AS116" s="8">
        <v>26.92</v>
      </c>
      <c r="AT116" s="21">
        <v>26.92</v>
      </c>
      <c r="AU116" s="21">
        <v>0</v>
      </c>
      <c r="AV116" s="21">
        <v>0</v>
      </c>
      <c r="AW116" s="21">
        <v>0</v>
      </c>
      <c r="AX116" s="21">
        <v>0</v>
      </c>
      <c r="AY116" s="8">
        <v>0</v>
      </c>
    </row>
    <row r="117" spans="1:51" ht="15" customHeight="1" x14ac:dyDescent="0.25">
      <c r="A117" s="9">
        <v>743</v>
      </c>
      <c r="B117" s="13">
        <v>45742</v>
      </c>
      <c r="C117" s="9" t="s">
        <v>169</v>
      </c>
      <c r="D117" s="9">
        <v>9518636677</v>
      </c>
      <c r="E117" s="8">
        <v>3</v>
      </c>
      <c r="F117" s="9" t="s">
        <v>1763</v>
      </c>
      <c r="G117" s="9" t="s">
        <v>1687</v>
      </c>
      <c r="H117" s="9" t="s">
        <v>57</v>
      </c>
      <c r="I117" s="9" t="s">
        <v>38</v>
      </c>
      <c r="J117" s="9" t="s">
        <v>55</v>
      </c>
      <c r="K117" s="9">
        <v>1000</v>
      </c>
      <c r="L117" s="39"/>
      <c r="M117" s="7" t="s">
        <v>1</v>
      </c>
      <c r="N117" s="8"/>
      <c r="O117" s="40"/>
      <c r="P117" s="15" t="s">
        <v>207</v>
      </c>
      <c r="Q117" s="9" t="s">
        <v>180</v>
      </c>
      <c r="R117" s="9" t="s">
        <v>1570</v>
      </c>
      <c r="S117" s="9" t="s">
        <v>858</v>
      </c>
      <c r="T117" s="9">
        <v>101122</v>
      </c>
      <c r="U117" s="16" t="s">
        <v>740</v>
      </c>
      <c r="V117" s="9">
        <v>3988091</v>
      </c>
      <c r="W117" s="8" t="s">
        <v>741</v>
      </c>
      <c r="X117" s="8">
        <v>70</v>
      </c>
      <c r="Y117" s="8"/>
      <c r="Z117" s="8">
        <v>7.0010000000000003</v>
      </c>
      <c r="AA117" s="8">
        <v>15</v>
      </c>
      <c r="AB117" s="8" t="s">
        <v>176</v>
      </c>
      <c r="AC117" s="8" t="s">
        <v>222</v>
      </c>
      <c r="AD117" s="14" t="s">
        <v>223</v>
      </c>
      <c r="AE117" s="8" t="s">
        <v>301</v>
      </c>
      <c r="AF117" s="14">
        <v>0.44</v>
      </c>
      <c r="AG117" s="8">
        <v>1240</v>
      </c>
      <c r="AH117" s="8">
        <v>0</v>
      </c>
      <c r="AI117" s="8">
        <v>560</v>
      </c>
      <c r="AJ117" s="8">
        <v>436.78500000000003</v>
      </c>
      <c r="AK117" s="127">
        <v>7.42</v>
      </c>
      <c r="AL117" s="103">
        <v>22.495000000000001</v>
      </c>
      <c r="AM117" s="8">
        <v>0</v>
      </c>
      <c r="AN117" s="21">
        <v>0</v>
      </c>
      <c r="AO117" s="21">
        <v>0</v>
      </c>
      <c r="AP117" s="21">
        <v>0</v>
      </c>
      <c r="AQ117" s="21">
        <v>0</v>
      </c>
      <c r="AR117" s="21">
        <v>0</v>
      </c>
      <c r="AS117" s="8">
        <v>22.495000000000001</v>
      </c>
      <c r="AT117" s="21">
        <v>22.495000000000001</v>
      </c>
      <c r="AU117" s="21">
        <v>0</v>
      </c>
      <c r="AV117" s="21">
        <v>0</v>
      </c>
      <c r="AW117" s="21">
        <v>0</v>
      </c>
      <c r="AX117" s="21">
        <v>0</v>
      </c>
      <c r="AY117" s="8">
        <v>0</v>
      </c>
    </row>
    <row r="118" spans="1:51" ht="15" customHeight="1" x14ac:dyDescent="0.25">
      <c r="A118" s="9">
        <v>743</v>
      </c>
      <c r="B118" s="13">
        <v>45742</v>
      </c>
      <c r="C118" s="9" t="s">
        <v>169</v>
      </c>
      <c r="D118" s="9">
        <v>9518636677</v>
      </c>
      <c r="E118" s="8">
        <v>4</v>
      </c>
      <c r="F118" s="9" t="s">
        <v>1764</v>
      </c>
      <c r="G118" s="9" t="s">
        <v>1303</v>
      </c>
      <c r="H118" s="9" t="s">
        <v>57</v>
      </c>
      <c r="I118" s="9" t="s">
        <v>38</v>
      </c>
      <c r="J118" s="9" t="s">
        <v>55</v>
      </c>
      <c r="K118" s="9">
        <v>1000</v>
      </c>
      <c r="L118" s="39"/>
      <c r="M118" s="7" t="s">
        <v>1</v>
      </c>
      <c r="N118" s="8"/>
      <c r="O118" s="40"/>
      <c r="P118" s="15" t="s">
        <v>207</v>
      </c>
      <c r="Q118" s="9" t="s">
        <v>180</v>
      </c>
      <c r="R118" s="9" t="s">
        <v>1570</v>
      </c>
      <c r="S118" s="9" t="s">
        <v>858</v>
      </c>
      <c r="T118" s="9">
        <v>101122</v>
      </c>
      <c r="U118" s="16" t="s">
        <v>740</v>
      </c>
      <c r="V118" s="9">
        <v>3988091</v>
      </c>
      <c r="W118" s="8" t="s">
        <v>741</v>
      </c>
      <c r="X118" s="8">
        <v>70</v>
      </c>
      <c r="Y118" s="8"/>
      <c r="Z118" s="8">
        <v>7.0010000000000003</v>
      </c>
      <c r="AA118" s="8">
        <v>15</v>
      </c>
      <c r="AB118" s="8" t="s">
        <v>176</v>
      </c>
      <c r="AC118" s="8" t="s">
        <v>222</v>
      </c>
      <c r="AD118" s="14" t="s">
        <v>223</v>
      </c>
      <c r="AE118" s="8" t="s">
        <v>301</v>
      </c>
      <c r="AF118" s="14">
        <v>0.44</v>
      </c>
      <c r="AG118" s="8">
        <v>1240</v>
      </c>
      <c r="AH118" s="8">
        <v>0</v>
      </c>
      <c r="AI118" s="8">
        <v>560</v>
      </c>
      <c r="AJ118" s="8">
        <v>97.635000000000005</v>
      </c>
      <c r="AK118" s="127">
        <v>42.74</v>
      </c>
      <c r="AL118" s="103">
        <v>22.97</v>
      </c>
      <c r="AM118" s="8">
        <v>42.74</v>
      </c>
      <c r="AN118" s="21">
        <v>0</v>
      </c>
      <c r="AO118" s="21">
        <v>0</v>
      </c>
      <c r="AP118" s="21">
        <v>0</v>
      </c>
      <c r="AQ118" s="21">
        <v>0</v>
      </c>
      <c r="AR118" s="21">
        <v>42.74</v>
      </c>
      <c r="AS118" s="8">
        <v>65.710000000000008</v>
      </c>
      <c r="AT118" s="21">
        <v>0</v>
      </c>
      <c r="AU118" s="21">
        <v>0</v>
      </c>
      <c r="AV118" s="21">
        <v>0</v>
      </c>
      <c r="AW118" s="21">
        <v>0</v>
      </c>
      <c r="AX118" s="21">
        <v>65.710000000000008</v>
      </c>
      <c r="AY118" s="8">
        <v>0</v>
      </c>
    </row>
    <row r="119" spans="1:51" ht="15" customHeight="1" x14ac:dyDescent="0.25">
      <c r="A119" s="9">
        <v>743</v>
      </c>
      <c r="B119" s="13">
        <v>45742</v>
      </c>
      <c r="C119" s="9" t="s">
        <v>169</v>
      </c>
      <c r="D119" s="9">
        <v>9518636677</v>
      </c>
      <c r="E119" s="8">
        <v>5</v>
      </c>
      <c r="F119" s="9" t="s">
        <v>1765</v>
      </c>
      <c r="G119" s="9" t="s">
        <v>1303</v>
      </c>
      <c r="H119" s="9" t="s">
        <v>57</v>
      </c>
      <c r="I119" s="9" t="s">
        <v>38</v>
      </c>
      <c r="J119" s="9" t="s">
        <v>55</v>
      </c>
      <c r="K119" s="9">
        <v>1000</v>
      </c>
      <c r="L119" s="39"/>
      <c r="M119" s="7" t="s">
        <v>1</v>
      </c>
      <c r="N119" s="8"/>
      <c r="O119" s="40"/>
      <c r="P119" s="15" t="s">
        <v>207</v>
      </c>
      <c r="Q119" s="9" t="s">
        <v>180</v>
      </c>
      <c r="R119" s="9" t="s">
        <v>1570</v>
      </c>
      <c r="S119" s="9" t="s">
        <v>858</v>
      </c>
      <c r="T119" s="9">
        <v>101122</v>
      </c>
      <c r="U119" s="16" t="s">
        <v>740</v>
      </c>
      <c r="V119" s="9">
        <v>3988091</v>
      </c>
      <c r="W119" s="8" t="s">
        <v>741</v>
      </c>
      <c r="X119" s="8">
        <v>70</v>
      </c>
      <c r="Y119" s="8"/>
      <c r="Z119" s="8">
        <v>7.0010000000000003</v>
      </c>
      <c r="AA119" s="8">
        <v>15</v>
      </c>
      <c r="AB119" s="8" t="s">
        <v>176</v>
      </c>
      <c r="AC119" s="8" t="s">
        <v>222</v>
      </c>
      <c r="AD119" s="14" t="s">
        <v>223</v>
      </c>
      <c r="AE119" s="8" t="s">
        <v>301</v>
      </c>
      <c r="AF119" s="14">
        <v>0.44</v>
      </c>
      <c r="AG119" s="8">
        <v>1240</v>
      </c>
      <c r="AH119" s="8">
        <v>0</v>
      </c>
      <c r="AI119" s="8">
        <v>560</v>
      </c>
      <c r="AJ119" s="8">
        <v>0</v>
      </c>
      <c r="AK119" s="127">
        <v>49.354999999999997</v>
      </c>
      <c r="AL119" s="103">
        <v>51.29</v>
      </c>
      <c r="AM119" s="8">
        <v>49.354999999999997</v>
      </c>
      <c r="AN119" s="21">
        <v>0</v>
      </c>
      <c r="AO119" s="21">
        <v>49.354999999999997</v>
      </c>
      <c r="AP119" s="21">
        <v>0</v>
      </c>
      <c r="AQ119" s="21">
        <v>0</v>
      </c>
      <c r="AR119" s="21">
        <v>0</v>
      </c>
      <c r="AS119" s="8">
        <v>100.645</v>
      </c>
      <c r="AT119" s="21">
        <v>0</v>
      </c>
      <c r="AU119" s="21">
        <v>0</v>
      </c>
      <c r="AV119" s="21">
        <v>100.645</v>
      </c>
      <c r="AW119" s="21">
        <v>0</v>
      </c>
      <c r="AX119" s="21">
        <v>0</v>
      </c>
      <c r="AY119" s="8">
        <v>0</v>
      </c>
    </row>
    <row r="120" spans="1:51" ht="15" customHeight="1" x14ac:dyDescent="0.25">
      <c r="A120" s="9">
        <v>743</v>
      </c>
      <c r="B120" s="13">
        <v>45742</v>
      </c>
      <c r="C120" s="9" t="s">
        <v>169</v>
      </c>
      <c r="D120" s="9">
        <v>9518636677</v>
      </c>
      <c r="E120" s="8">
        <v>6</v>
      </c>
      <c r="F120" s="9" t="s">
        <v>1766</v>
      </c>
      <c r="G120" s="9" t="s">
        <v>1303</v>
      </c>
      <c r="H120" s="9" t="s">
        <v>57</v>
      </c>
      <c r="I120" s="9" t="s">
        <v>38</v>
      </c>
      <c r="J120" s="9" t="s">
        <v>55</v>
      </c>
      <c r="K120" s="9">
        <v>1000</v>
      </c>
      <c r="L120" s="39"/>
      <c r="M120" s="7" t="s">
        <v>1</v>
      </c>
      <c r="N120" s="8"/>
      <c r="O120" s="40"/>
      <c r="P120" s="15" t="s">
        <v>207</v>
      </c>
      <c r="Q120" s="9" t="s">
        <v>180</v>
      </c>
      <c r="R120" s="9" t="s">
        <v>1570</v>
      </c>
      <c r="S120" s="9" t="s">
        <v>858</v>
      </c>
      <c r="T120" s="9">
        <v>101122</v>
      </c>
      <c r="U120" s="16" t="s">
        <v>740</v>
      </c>
      <c r="V120" s="9">
        <v>3988091</v>
      </c>
      <c r="W120" s="8" t="s">
        <v>741</v>
      </c>
      <c r="X120" s="8">
        <v>70</v>
      </c>
      <c r="Y120" s="8"/>
      <c r="Z120" s="8">
        <v>7.0010000000000003</v>
      </c>
      <c r="AA120" s="8">
        <v>15</v>
      </c>
      <c r="AB120" s="8" t="s">
        <v>176</v>
      </c>
      <c r="AC120" s="8" t="s">
        <v>222</v>
      </c>
      <c r="AD120" s="14" t="s">
        <v>223</v>
      </c>
      <c r="AE120" s="8" t="s">
        <v>301</v>
      </c>
      <c r="AF120" s="14">
        <v>0.44</v>
      </c>
      <c r="AG120" s="8">
        <v>1240</v>
      </c>
      <c r="AH120" s="8">
        <v>0</v>
      </c>
      <c r="AI120" s="8">
        <v>224</v>
      </c>
      <c r="AJ120" s="8">
        <v>0</v>
      </c>
      <c r="AK120" s="127">
        <v>36.884999999999998</v>
      </c>
      <c r="AL120" s="103">
        <v>13.984999999999999</v>
      </c>
      <c r="AM120" s="8">
        <v>36.884999999999998</v>
      </c>
      <c r="AN120" s="21">
        <v>36.884999999999998</v>
      </c>
      <c r="AO120" s="21">
        <v>0</v>
      </c>
      <c r="AP120" s="21">
        <v>0</v>
      </c>
      <c r="AQ120" s="21">
        <v>0</v>
      </c>
      <c r="AR120" s="21">
        <v>0</v>
      </c>
      <c r="AS120" s="8">
        <v>50.87</v>
      </c>
      <c r="AT120" s="21">
        <v>0</v>
      </c>
      <c r="AU120" s="21">
        <v>50.87</v>
      </c>
      <c r="AV120" s="21">
        <v>0</v>
      </c>
      <c r="AW120" s="21">
        <v>0</v>
      </c>
      <c r="AX120" s="21">
        <v>0</v>
      </c>
      <c r="AY120" s="8">
        <v>0</v>
      </c>
    </row>
    <row r="121" spans="1:51" ht="15" customHeight="1" x14ac:dyDescent="0.25">
      <c r="A121" s="9">
        <v>742</v>
      </c>
      <c r="B121" s="13">
        <v>45663</v>
      </c>
      <c r="C121" s="9" t="s">
        <v>169</v>
      </c>
      <c r="D121" s="9">
        <v>9518407392</v>
      </c>
      <c r="E121" s="8">
        <v>4</v>
      </c>
      <c r="F121" s="9" t="s">
        <v>1767</v>
      </c>
      <c r="G121" s="9" t="s">
        <v>1687</v>
      </c>
      <c r="H121" s="9" t="s">
        <v>57</v>
      </c>
      <c r="I121" s="9" t="s">
        <v>25</v>
      </c>
      <c r="J121" s="9" t="s">
        <v>31</v>
      </c>
      <c r="K121" s="9">
        <v>2000</v>
      </c>
      <c r="L121" s="39"/>
      <c r="M121" s="7" t="s">
        <v>1</v>
      </c>
      <c r="N121" s="8"/>
      <c r="O121" s="40"/>
      <c r="P121" s="15" t="s">
        <v>245</v>
      </c>
      <c r="Q121" s="9" t="s">
        <v>214</v>
      </c>
      <c r="R121" s="9" t="s">
        <v>1571</v>
      </c>
      <c r="S121" s="9" t="s">
        <v>859</v>
      </c>
      <c r="T121" s="9">
        <v>116465</v>
      </c>
      <c r="U121" s="16" t="s">
        <v>98</v>
      </c>
      <c r="V121" s="9">
        <v>3239548</v>
      </c>
      <c r="W121" s="8" t="s">
        <v>486</v>
      </c>
      <c r="X121" s="8"/>
      <c r="Y121" s="8"/>
      <c r="Z121" s="8"/>
      <c r="AA121" s="8"/>
      <c r="AB121" s="8" t="s">
        <v>183</v>
      </c>
      <c r="AC121" s="8" t="s">
        <v>210</v>
      </c>
      <c r="AD121" s="14" t="s">
        <v>211</v>
      </c>
      <c r="AE121" s="8" t="s">
        <v>212</v>
      </c>
      <c r="AF121" s="14">
        <v>0.4</v>
      </c>
      <c r="AG121" s="8">
        <v>900</v>
      </c>
      <c r="AH121" s="8">
        <v>2500</v>
      </c>
      <c r="AI121" s="8">
        <v>21</v>
      </c>
      <c r="AJ121" s="8">
        <v>0</v>
      </c>
      <c r="AK121" s="127">
        <v>0</v>
      </c>
      <c r="AL121" s="103">
        <v>2.7349999999999999</v>
      </c>
      <c r="AM121" s="8">
        <v>0</v>
      </c>
      <c r="AN121" s="21">
        <v>0</v>
      </c>
      <c r="AO121" s="21">
        <v>0</v>
      </c>
      <c r="AP121" s="21">
        <v>0</v>
      </c>
      <c r="AQ121" s="21">
        <v>0</v>
      </c>
      <c r="AR121" s="21">
        <v>0</v>
      </c>
      <c r="AS121" s="8">
        <v>2.7349999999999999</v>
      </c>
      <c r="AT121" s="21">
        <v>2.7349999999999999</v>
      </c>
      <c r="AU121" s="21">
        <v>0</v>
      </c>
      <c r="AV121" s="21">
        <v>0</v>
      </c>
      <c r="AW121" s="21">
        <v>0</v>
      </c>
      <c r="AX121" s="21">
        <v>0</v>
      </c>
      <c r="AY121" s="8">
        <v>0</v>
      </c>
    </row>
    <row r="122" spans="1:51" ht="15" customHeight="1" x14ac:dyDescent="0.25">
      <c r="A122" s="9">
        <v>742</v>
      </c>
      <c r="B122" s="13">
        <v>45680</v>
      </c>
      <c r="C122" s="9" t="s">
        <v>169</v>
      </c>
      <c r="D122" s="9">
        <v>9518454228</v>
      </c>
      <c r="E122" s="8">
        <v>1</v>
      </c>
      <c r="F122" s="9" t="s">
        <v>1768</v>
      </c>
      <c r="G122" s="9" t="s">
        <v>1687</v>
      </c>
      <c r="H122" s="9" t="s">
        <v>57</v>
      </c>
      <c r="I122" s="9" t="s">
        <v>25</v>
      </c>
      <c r="J122" s="9" t="s">
        <v>31</v>
      </c>
      <c r="K122" s="9">
        <v>2000</v>
      </c>
      <c r="L122" s="39"/>
      <c r="M122" s="7" t="s">
        <v>1</v>
      </c>
      <c r="N122" s="8"/>
      <c r="O122" s="40" t="s">
        <v>1335</v>
      </c>
      <c r="P122" s="15" t="s">
        <v>244</v>
      </c>
      <c r="Q122" s="9" t="s">
        <v>172</v>
      </c>
      <c r="R122" s="9" t="s">
        <v>311</v>
      </c>
      <c r="S122" s="9" t="s">
        <v>859</v>
      </c>
      <c r="T122" s="9">
        <v>103092</v>
      </c>
      <c r="U122" s="16" t="s">
        <v>100</v>
      </c>
      <c r="V122" s="9">
        <v>3239557</v>
      </c>
      <c r="W122" s="8" t="s">
        <v>750</v>
      </c>
      <c r="X122" s="8"/>
      <c r="Y122" s="8"/>
      <c r="Z122" s="8"/>
      <c r="AA122" s="8"/>
      <c r="AB122" s="8" t="s">
        <v>176</v>
      </c>
      <c r="AC122" s="8" t="s">
        <v>210</v>
      </c>
      <c r="AD122" s="14" t="s">
        <v>211</v>
      </c>
      <c r="AE122" s="8" t="s">
        <v>212</v>
      </c>
      <c r="AF122" s="14">
        <v>0.4</v>
      </c>
      <c r="AG122" s="8">
        <v>1250</v>
      </c>
      <c r="AH122" s="8">
        <v>0</v>
      </c>
      <c r="AI122" s="8">
        <v>60</v>
      </c>
      <c r="AJ122" s="8">
        <v>0</v>
      </c>
      <c r="AK122" s="127">
        <v>0</v>
      </c>
      <c r="AL122" s="103">
        <v>34.164999999999999</v>
      </c>
      <c r="AM122" s="8">
        <v>0</v>
      </c>
      <c r="AN122" s="21">
        <v>0</v>
      </c>
      <c r="AO122" s="21">
        <v>0</v>
      </c>
      <c r="AP122" s="21">
        <v>0</v>
      </c>
      <c r="AQ122" s="21">
        <v>0</v>
      </c>
      <c r="AR122" s="21">
        <v>0</v>
      </c>
      <c r="AS122" s="8">
        <v>34.164999999999999</v>
      </c>
      <c r="AT122" s="21">
        <v>34.164999999999999</v>
      </c>
      <c r="AU122" s="21">
        <v>0</v>
      </c>
      <c r="AV122" s="21">
        <v>0</v>
      </c>
      <c r="AW122" s="21">
        <v>0</v>
      </c>
      <c r="AX122" s="21">
        <v>0</v>
      </c>
      <c r="AY122" s="8">
        <v>0</v>
      </c>
    </row>
    <row r="123" spans="1:51" ht="15" customHeight="1" x14ac:dyDescent="0.25">
      <c r="A123" s="9">
        <v>742</v>
      </c>
      <c r="B123" s="13">
        <v>45698</v>
      </c>
      <c r="C123" s="9" t="s">
        <v>169</v>
      </c>
      <c r="D123" s="9">
        <v>9518507185</v>
      </c>
      <c r="E123" s="8">
        <v>1</v>
      </c>
      <c r="F123" s="9" t="s">
        <v>1769</v>
      </c>
      <c r="G123" s="9" t="s">
        <v>1303</v>
      </c>
      <c r="H123" s="9" t="s">
        <v>57</v>
      </c>
      <c r="I123" s="9" t="s">
        <v>25</v>
      </c>
      <c r="J123" s="9" t="s">
        <v>31</v>
      </c>
      <c r="K123" s="9">
        <v>2000</v>
      </c>
      <c r="L123" s="39"/>
      <c r="M123" s="7" t="s">
        <v>1</v>
      </c>
      <c r="N123" s="8"/>
      <c r="O123" s="40"/>
      <c r="P123" s="15" t="s">
        <v>220</v>
      </c>
      <c r="Q123" s="9" t="s">
        <v>180</v>
      </c>
      <c r="R123" s="9" t="s">
        <v>1572</v>
      </c>
      <c r="S123" s="9" t="s">
        <v>859</v>
      </c>
      <c r="T123" s="9">
        <v>185794</v>
      </c>
      <c r="U123" s="16" t="s">
        <v>97</v>
      </c>
      <c r="V123" s="9">
        <v>3239408</v>
      </c>
      <c r="W123" s="8" t="s">
        <v>262</v>
      </c>
      <c r="X123" s="8"/>
      <c r="Y123" s="8"/>
      <c r="Z123" s="8"/>
      <c r="AA123" s="8"/>
      <c r="AB123" s="8" t="s">
        <v>183</v>
      </c>
      <c r="AC123" s="8" t="s">
        <v>210</v>
      </c>
      <c r="AD123" s="14" t="s">
        <v>211</v>
      </c>
      <c r="AE123" s="8" t="s">
        <v>212</v>
      </c>
      <c r="AF123" s="14">
        <v>0.3</v>
      </c>
      <c r="AG123" s="8">
        <v>900</v>
      </c>
      <c r="AH123" s="8">
        <v>2500</v>
      </c>
      <c r="AI123" s="8">
        <v>60</v>
      </c>
      <c r="AJ123" s="8">
        <v>0</v>
      </c>
      <c r="AK123" s="127">
        <v>43.854999999999997</v>
      </c>
      <c r="AL123" s="103">
        <v>0</v>
      </c>
      <c r="AM123" s="8">
        <v>43.854999999999997</v>
      </c>
      <c r="AN123" s="21">
        <v>0</v>
      </c>
      <c r="AO123" s="21">
        <v>0</v>
      </c>
      <c r="AP123" s="21">
        <v>43.854999999999997</v>
      </c>
      <c r="AQ123" s="21">
        <v>0</v>
      </c>
      <c r="AR123" s="21">
        <v>0</v>
      </c>
      <c r="AS123" s="8">
        <v>43.854999999999997</v>
      </c>
      <c r="AT123" s="21">
        <v>0</v>
      </c>
      <c r="AU123" s="21">
        <v>0</v>
      </c>
      <c r="AV123" s="21">
        <v>43.854999999999997</v>
      </c>
      <c r="AW123" s="21">
        <v>0</v>
      </c>
      <c r="AX123" s="21">
        <v>0</v>
      </c>
      <c r="AY123" s="8">
        <v>0</v>
      </c>
    </row>
    <row r="124" spans="1:51" ht="15" customHeight="1" x14ac:dyDescent="0.25">
      <c r="A124" s="9">
        <v>742</v>
      </c>
      <c r="B124" s="13">
        <v>45698</v>
      </c>
      <c r="C124" s="9" t="s">
        <v>169</v>
      </c>
      <c r="D124" s="9">
        <v>9518507185</v>
      </c>
      <c r="E124" s="8">
        <v>3</v>
      </c>
      <c r="F124" s="9" t="s">
        <v>1770</v>
      </c>
      <c r="G124" s="9" t="s">
        <v>1303</v>
      </c>
      <c r="H124" s="9" t="s">
        <v>57</v>
      </c>
      <c r="I124" s="9" t="s">
        <v>25</v>
      </c>
      <c r="J124" s="9" t="s">
        <v>31</v>
      </c>
      <c r="K124" s="9">
        <v>2000</v>
      </c>
      <c r="L124" s="39"/>
      <c r="M124" s="7" t="s">
        <v>1</v>
      </c>
      <c r="N124" s="8"/>
      <c r="O124" s="40"/>
      <c r="P124" s="15" t="s">
        <v>220</v>
      </c>
      <c r="Q124" s="9" t="s">
        <v>180</v>
      </c>
      <c r="R124" s="9" t="s">
        <v>1572</v>
      </c>
      <c r="S124" s="9" t="s">
        <v>859</v>
      </c>
      <c r="T124" s="9">
        <v>185794</v>
      </c>
      <c r="U124" s="16" t="s">
        <v>97</v>
      </c>
      <c r="V124" s="9">
        <v>3239542</v>
      </c>
      <c r="W124" s="8" t="s">
        <v>485</v>
      </c>
      <c r="X124" s="8"/>
      <c r="Y124" s="8"/>
      <c r="Z124" s="8"/>
      <c r="AA124" s="8"/>
      <c r="AB124" s="8" t="s">
        <v>183</v>
      </c>
      <c r="AC124" s="8" t="s">
        <v>210</v>
      </c>
      <c r="AD124" s="14" t="s">
        <v>211</v>
      </c>
      <c r="AE124" s="8" t="s">
        <v>212</v>
      </c>
      <c r="AF124" s="14">
        <v>0.35</v>
      </c>
      <c r="AG124" s="8">
        <v>1000</v>
      </c>
      <c r="AH124" s="8">
        <v>2500</v>
      </c>
      <c r="AI124" s="8">
        <v>21</v>
      </c>
      <c r="AJ124" s="8">
        <v>0</v>
      </c>
      <c r="AK124" s="127">
        <v>21</v>
      </c>
      <c r="AL124" s="103">
        <v>0</v>
      </c>
      <c r="AM124" s="8">
        <v>21</v>
      </c>
      <c r="AN124" s="21">
        <v>0</v>
      </c>
      <c r="AO124" s="21">
        <v>21</v>
      </c>
      <c r="AP124" s="21">
        <v>0</v>
      </c>
      <c r="AQ124" s="21">
        <v>0</v>
      </c>
      <c r="AR124" s="21">
        <v>0</v>
      </c>
      <c r="AS124" s="8">
        <v>21</v>
      </c>
      <c r="AT124" s="21">
        <v>0</v>
      </c>
      <c r="AU124" s="21">
        <v>21</v>
      </c>
      <c r="AV124" s="21">
        <v>0</v>
      </c>
      <c r="AW124" s="21">
        <v>0</v>
      </c>
      <c r="AX124" s="21">
        <v>0</v>
      </c>
      <c r="AY124" s="8">
        <v>0</v>
      </c>
    </row>
    <row r="125" spans="1:51" ht="15" customHeight="1" x14ac:dyDescent="0.25">
      <c r="A125" s="9">
        <v>742</v>
      </c>
      <c r="B125" s="13">
        <v>45698</v>
      </c>
      <c r="C125" s="9" t="s">
        <v>169</v>
      </c>
      <c r="D125" s="9">
        <v>9518507185</v>
      </c>
      <c r="E125" s="8">
        <v>4</v>
      </c>
      <c r="F125" s="9" t="s">
        <v>1771</v>
      </c>
      <c r="G125" s="9" t="s">
        <v>1303</v>
      </c>
      <c r="H125" s="9" t="s">
        <v>57</v>
      </c>
      <c r="I125" s="9" t="s">
        <v>25</v>
      </c>
      <c r="J125" s="9" t="s">
        <v>31</v>
      </c>
      <c r="K125" s="9">
        <v>2000</v>
      </c>
      <c r="L125" s="39"/>
      <c r="M125" s="7" t="s">
        <v>1</v>
      </c>
      <c r="N125" s="8"/>
      <c r="O125" s="40"/>
      <c r="P125" s="15" t="s">
        <v>220</v>
      </c>
      <c r="Q125" s="9" t="s">
        <v>180</v>
      </c>
      <c r="R125" s="9" t="s">
        <v>1572</v>
      </c>
      <c r="S125" s="9" t="s">
        <v>859</v>
      </c>
      <c r="T125" s="9">
        <v>185794</v>
      </c>
      <c r="U125" s="16" t="s">
        <v>97</v>
      </c>
      <c r="V125" s="9">
        <v>3239548</v>
      </c>
      <c r="W125" s="8" t="s">
        <v>486</v>
      </c>
      <c r="X125" s="8"/>
      <c r="Y125" s="8"/>
      <c r="Z125" s="8"/>
      <c r="AA125" s="8"/>
      <c r="AB125" s="8" t="s">
        <v>183</v>
      </c>
      <c r="AC125" s="8" t="s">
        <v>210</v>
      </c>
      <c r="AD125" s="14" t="s">
        <v>211</v>
      </c>
      <c r="AE125" s="8" t="s">
        <v>212</v>
      </c>
      <c r="AF125" s="14">
        <v>0.4</v>
      </c>
      <c r="AG125" s="8">
        <v>900</v>
      </c>
      <c r="AH125" s="8">
        <v>2500</v>
      </c>
      <c r="AI125" s="8">
        <v>30</v>
      </c>
      <c r="AJ125" s="8">
        <v>0</v>
      </c>
      <c r="AK125" s="127">
        <v>30</v>
      </c>
      <c r="AL125" s="103">
        <v>8.4750000000000014</v>
      </c>
      <c r="AM125" s="8">
        <v>30</v>
      </c>
      <c r="AN125" s="21">
        <v>30</v>
      </c>
      <c r="AO125" s="21">
        <v>0</v>
      </c>
      <c r="AP125" s="21">
        <v>0</v>
      </c>
      <c r="AQ125" s="21">
        <v>0</v>
      </c>
      <c r="AR125" s="21">
        <v>0</v>
      </c>
      <c r="AS125" s="8">
        <v>38.475000000000001</v>
      </c>
      <c r="AT125" s="21">
        <v>0</v>
      </c>
      <c r="AU125" s="21">
        <v>38.475000000000001</v>
      </c>
      <c r="AV125" s="21">
        <v>0</v>
      </c>
      <c r="AW125" s="21">
        <v>0</v>
      </c>
      <c r="AX125" s="21">
        <v>0</v>
      </c>
      <c r="AY125" s="8">
        <v>0</v>
      </c>
    </row>
    <row r="126" spans="1:51" ht="15" customHeight="1" x14ac:dyDescent="0.25">
      <c r="A126" s="9">
        <v>742</v>
      </c>
      <c r="B126" s="13">
        <v>45698</v>
      </c>
      <c r="C126" s="9" t="s">
        <v>169</v>
      </c>
      <c r="D126" s="9">
        <v>9518507657</v>
      </c>
      <c r="E126" s="8">
        <v>4</v>
      </c>
      <c r="F126" s="9" t="s">
        <v>1772</v>
      </c>
      <c r="G126" s="9" t="s">
        <v>335</v>
      </c>
      <c r="H126" s="9" t="s">
        <v>57</v>
      </c>
      <c r="I126" s="9" t="s">
        <v>25</v>
      </c>
      <c r="J126" s="9" t="s">
        <v>31</v>
      </c>
      <c r="K126" s="9">
        <v>2000</v>
      </c>
      <c r="L126" s="39"/>
      <c r="M126" s="7" t="s">
        <v>1</v>
      </c>
      <c r="N126" s="8"/>
      <c r="O126" s="40"/>
      <c r="P126" s="15" t="s">
        <v>216</v>
      </c>
      <c r="Q126" s="9" t="s">
        <v>180</v>
      </c>
      <c r="R126" s="9" t="s">
        <v>1574</v>
      </c>
      <c r="S126" s="9" t="s">
        <v>858</v>
      </c>
      <c r="T126" s="9">
        <v>116649</v>
      </c>
      <c r="U126" s="16" t="s">
        <v>96</v>
      </c>
      <c r="V126" s="9">
        <v>3516003</v>
      </c>
      <c r="W126" s="8" t="s">
        <v>754</v>
      </c>
      <c r="X126" s="8"/>
      <c r="Y126" s="8"/>
      <c r="Z126" s="8"/>
      <c r="AA126" s="8"/>
      <c r="AB126" s="8" t="s">
        <v>183</v>
      </c>
      <c r="AC126" s="8" t="s">
        <v>190</v>
      </c>
      <c r="AD126" s="14" t="s">
        <v>218</v>
      </c>
      <c r="AE126" s="8" t="s">
        <v>219</v>
      </c>
      <c r="AF126" s="14">
        <v>0.6</v>
      </c>
      <c r="AG126" s="8">
        <v>1000</v>
      </c>
      <c r="AH126" s="8">
        <v>0</v>
      </c>
      <c r="AI126" s="8">
        <v>46</v>
      </c>
      <c r="AJ126" s="8">
        <v>0</v>
      </c>
      <c r="AK126" s="127">
        <v>25.055</v>
      </c>
      <c r="AL126" s="103">
        <v>20.945</v>
      </c>
      <c r="AM126" s="8">
        <v>25.055</v>
      </c>
      <c r="AN126" s="21">
        <v>0</v>
      </c>
      <c r="AO126" s="21">
        <v>25.055</v>
      </c>
      <c r="AP126" s="21">
        <v>0</v>
      </c>
      <c r="AQ126" s="21">
        <v>0</v>
      </c>
      <c r="AR126" s="21">
        <v>0</v>
      </c>
      <c r="AS126" s="8">
        <v>46</v>
      </c>
      <c r="AT126" s="21">
        <v>0</v>
      </c>
      <c r="AU126" s="21">
        <v>0</v>
      </c>
      <c r="AV126" s="21">
        <v>46</v>
      </c>
      <c r="AW126" s="21">
        <v>0</v>
      </c>
      <c r="AX126" s="21">
        <v>0</v>
      </c>
      <c r="AY126" s="8">
        <v>0</v>
      </c>
    </row>
    <row r="127" spans="1:51" ht="15" customHeight="1" x14ac:dyDescent="0.25">
      <c r="A127" s="9">
        <v>742</v>
      </c>
      <c r="B127" s="13">
        <v>45698</v>
      </c>
      <c r="C127" s="9" t="s">
        <v>169</v>
      </c>
      <c r="D127" s="9">
        <v>9518507657</v>
      </c>
      <c r="E127" s="8">
        <v>5</v>
      </c>
      <c r="F127" s="9" t="s">
        <v>1773</v>
      </c>
      <c r="G127" s="9" t="s">
        <v>335</v>
      </c>
      <c r="H127" s="9" t="s">
        <v>57</v>
      </c>
      <c r="I127" s="9" t="s">
        <v>25</v>
      </c>
      <c r="J127" s="9" t="s">
        <v>31</v>
      </c>
      <c r="K127" s="9">
        <v>2000</v>
      </c>
      <c r="L127" s="39"/>
      <c r="M127" s="7" t="s">
        <v>1</v>
      </c>
      <c r="N127" s="8"/>
      <c r="O127" s="40"/>
      <c r="P127" s="15" t="s">
        <v>216</v>
      </c>
      <c r="Q127" s="9" t="s">
        <v>180</v>
      </c>
      <c r="R127" s="9" t="s">
        <v>1574</v>
      </c>
      <c r="S127" s="9" t="s">
        <v>858</v>
      </c>
      <c r="T127" s="9">
        <v>116649</v>
      </c>
      <c r="U127" s="16" t="s">
        <v>96</v>
      </c>
      <c r="V127" s="9">
        <v>3241808</v>
      </c>
      <c r="W127" s="8" t="s">
        <v>755</v>
      </c>
      <c r="X127" s="8"/>
      <c r="Y127" s="8"/>
      <c r="Z127" s="8"/>
      <c r="AA127" s="8"/>
      <c r="AB127" s="8" t="s">
        <v>176</v>
      </c>
      <c r="AC127" s="8" t="s">
        <v>190</v>
      </c>
      <c r="AD127" s="14" t="s">
        <v>211</v>
      </c>
      <c r="AE127" s="8" t="s">
        <v>395</v>
      </c>
      <c r="AF127" s="14">
        <v>0.4</v>
      </c>
      <c r="AG127" s="8">
        <v>1250</v>
      </c>
      <c r="AH127" s="8">
        <v>0</v>
      </c>
      <c r="AI127" s="8">
        <v>58</v>
      </c>
      <c r="AJ127" s="8">
        <v>0</v>
      </c>
      <c r="AK127" s="127">
        <v>58</v>
      </c>
      <c r="AL127" s="103">
        <v>0</v>
      </c>
      <c r="AM127" s="8">
        <v>58</v>
      </c>
      <c r="AN127" s="21">
        <v>0</v>
      </c>
      <c r="AO127" s="21">
        <v>0</v>
      </c>
      <c r="AP127" s="21">
        <v>0</v>
      </c>
      <c r="AQ127" s="21">
        <v>58</v>
      </c>
      <c r="AR127" s="21">
        <v>0</v>
      </c>
      <c r="AS127" s="8">
        <v>58</v>
      </c>
      <c r="AT127" s="21">
        <v>0</v>
      </c>
      <c r="AU127" s="21">
        <v>0</v>
      </c>
      <c r="AV127" s="21">
        <v>0</v>
      </c>
      <c r="AW127" s="21">
        <v>58</v>
      </c>
      <c r="AX127" s="21">
        <v>0</v>
      </c>
      <c r="AY127" s="8">
        <v>0</v>
      </c>
    </row>
    <row r="128" spans="1:51" ht="15" customHeight="1" x14ac:dyDescent="0.25">
      <c r="A128" s="9">
        <v>742</v>
      </c>
      <c r="B128" s="13">
        <v>45698</v>
      </c>
      <c r="C128" s="9" t="s">
        <v>169</v>
      </c>
      <c r="D128" s="9">
        <v>9518507657</v>
      </c>
      <c r="E128" s="8">
        <v>6</v>
      </c>
      <c r="F128" s="9" t="s">
        <v>1774</v>
      </c>
      <c r="G128" s="9" t="s">
        <v>335</v>
      </c>
      <c r="H128" s="9" t="s">
        <v>57</v>
      </c>
      <c r="I128" s="9" t="s">
        <v>25</v>
      </c>
      <c r="J128" s="9" t="s">
        <v>31</v>
      </c>
      <c r="K128" s="9">
        <v>2000</v>
      </c>
      <c r="L128" s="39"/>
      <c r="M128" s="7" t="s">
        <v>1</v>
      </c>
      <c r="N128" s="8"/>
      <c r="O128" s="40"/>
      <c r="P128" s="15" t="s">
        <v>216</v>
      </c>
      <c r="Q128" s="9" t="s">
        <v>180</v>
      </c>
      <c r="R128" s="9" t="s">
        <v>1574</v>
      </c>
      <c r="S128" s="9" t="s">
        <v>858</v>
      </c>
      <c r="T128" s="9">
        <v>116649</v>
      </c>
      <c r="U128" s="16" t="s">
        <v>96</v>
      </c>
      <c r="V128" s="9">
        <v>3241804</v>
      </c>
      <c r="W128" s="8" t="s">
        <v>756</v>
      </c>
      <c r="X128" s="8"/>
      <c r="Y128" s="8"/>
      <c r="Z128" s="8"/>
      <c r="AA128" s="8"/>
      <c r="AB128" s="8" t="s">
        <v>183</v>
      </c>
      <c r="AC128" s="8" t="s">
        <v>190</v>
      </c>
      <c r="AD128" s="14" t="s">
        <v>211</v>
      </c>
      <c r="AE128" s="8" t="s">
        <v>395</v>
      </c>
      <c r="AF128" s="14">
        <v>0.35</v>
      </c>
      <c r="AG128" s="8">
        <v>1000</v>
      </c>
      <c r="AH128" s="8">
        <v>0</v>
      </c>
      <c r="AI128" s="8">
        <v>23</v>
      </c>
      <c r="AJ128" s="8">
        <v>0</v>
      </c>
      <c r="AK128" s="127">
        <v>23</v>
      </c>
      <c r="AL128" s="103">
        <v>0</v>
      </c>
      <c r="AM128" s="8">
        <v>23</v>
      </c>
      <c r="AN128" s="21">
        <v>0</v>
      </c>
      <c r="AO128" s="21">
        <v>0</v>
      </c>
      <c r="AP128" s="21">
        <v>0</v>
      </c>
      <c r="AQ128" s="21">
        <v>23</v>
      </c>
      <c r="AR128" s="21">
        <v>0</v>
      </c>
      <c r="AS128" s="8">
        <v>23</v>
      </c>
      <c r="AT128" s="21">
        <v>0</v>
      </c>
      <c r="AU128" s="21">
        <v>0</v>
      </c>
      <c r="AV128" s="21">
        <v>0</v>
      </c>
      <c r="AW128" s="21">
        <v>23</v>
      </c>
      <c r="AX128" s="21">
        <v>0</v>
      </c>
      <c r="AY128" s="8">
        <v>0</v>
      </c>
    </row>
    <row r="129" spans="1:51" ht="15" customHeight="1" x14ac:dyDescent="0.25">
      <c r="A129" s="9">
        <v>742</v>
      </c>
      <c r="B129" s="13">
        <v>45698</v>
      </c>
      <c r="C129" s="9" t="s">
        <v>169</v>
      </c>
      <c r="D129" s="9">
        <v>9518507657</v>
      </c>
      <c r="E129" s="8">
        <v>7</v>
      </c>
      <c r="F129" s="9" t="s">
        <v>1775</v>
      </c>
      <c r="G129" s="9" t="s">
        <v>1303</v>
      </c>
      <c r="H129" s="9" t="s">
        <v>57</v>
      </c>
      <c r="I129" s="9" t="s">
        <v>25</v>
      </c>
      <c r="J129" s="9" t="s">
        <v>31</v>
      </c>
      <c r="K129" s="9">
        <v>2000</v>
      </c>
      <c r="L129" s="39"/>
      <c r="M129" s="7" t="s">
        <v>1</v>
      </c>
      <c r="N129" s="8"/>
      <c r="O129" s="40"/>
      <c r="P129" s="15" t="s">
        <v>216</v>
      </c>
      <c r="Q129" s="9" t="s">
        <v>180</v>
      </c>
      <c r="R129" s="9" t="s">
        <v>1574</v>
      </c>
      <c r="S129" s="9" t="s">
        <v>859</v>
      </c>
      <c r="T129" s="9">
        <v>116649</v>
      </c>
      <c r="U129" s="16" t="s">
        <v>96</v>
      </c>
      <c r="V129" s="9">
        <v>3239557</v>
      </c>
      <c r="W129" s="8" t="s">
        <v>750</v>
      </c>
      <c r="X129" s="8"/>
      <c r="Y129" s="8"/>
      <c r="Z129" s="8"/>
      <c r="AA129" s="8"/>
      <c r="AB129" s="8" t="s">
        <v>176</v>
      </c>
      <c r="AC129" s="8" t="s">
        <v>210</v>
      </c>
      <c r="AD129" s="14" t="s">
        <v>211</v>
      </c>
      <c r="AE129" s="8" t="s">
        <v>212</v>
      </c>
      <c r="AF129" s="14">
        <v>0.4</v>
      </c>
      <c r="AG129" s="8">
        <v>1250</v>
      </c>
      <c r="AH129" s="8">
        <v>0</v>
      </c>
      <c r="AI129" s="8">
        <v>54</v>
      </c>
      <c r="AJ129" s="8">
        <v>0</v>
      </c>
      <c r="AK129" s="127">
        <v>19.850000000000001</v>
      </c>
      <c r="AL129" s="103">
        <v>5.7750000000000004</v>
      </c>
      <c r="AM129" s="8">
        <v>19.850000000000001</v>
      </c>
      <c r="AN129" s="21">
        <v>0</v>
      </c>
      <c r="AO129" s="21">
        <v>19.850000000000001</v>
      </c>
      <c r="AP129" s="21">
        <v>0</v>
      </c>
      <c r="AQ129" s="21">
        <v>0</v>
      </c>
      <c r="AR129" s="21">
        <v>0</v>
      </c>
      <c r="AS129" s="8">
        <v>25.625</v>
      </c>
      <c r="AT129" s="21">
        <v>0</v>
      </c>
      <c r="AU129" s="21">
        <v>0</v>
      </c>
      <c r="AV129" s="21">
        <v>25.625</v>
      </c>
      <c r="AW129" s="21">
        <v>0</v>
      </c>
      <c r="AX129" s="21">
        <v>0</v>
      </c>
      <c r="AY129" s="8">
        <v>0</v>
      </c>
    </row>
    <row r="130" spans="1:51" ht="15" customHeight="1" x14ac:dyDescent="0.25">
      <c r="A130" s="9">
        <v>742</v>
      </c>
      <c r="B130" s="13">
        <v>45702</v>
      </c>
      <c r="C130" s="9" t="s">
        <v>169</v>
      </c>
      <c r="D130" s="9">
        <v>9518519567</v>
      </c>
      <c r="E130" s="8">
        <v>1</v>
      </c>
      <c r="F130" s="9" t="s">
        <v>1776</v>
      </c>
      <c r="G130" s="9" t="s">
        <v>335</v>
      </c>
      <c r="H130" s="9" t="s">
        <v>57</v>
      </c>
      <c r="I130" s="9" t="s">
        <v>25</v>
      </c>
      <c r="J130" s="9" t="s">
        <v>31</v>
      </c>
      <c r="K130" s="9">
        <v>2000</v>
      </c>
      <c r="L130" s="39"/>
      <c r="M130" s="7" t="s">
        <v>1</v>
      </c>
      <c r="N130" s="8"/>
      <c r="O130" s="40"/>
      <c r="P130" s="15" t="s">
        <v>207</v>
      </c>
      <c r="Q130" s="9" t="s">
        <v>180</v>
      </c>
      <c r="R130" s="9" t="s">
        <v>208</v>
      </c>
      <c r="S130" s="9" t="s">
        <v>859</v>
      </c>
      <c r="T130" s="9">
        <v>925093</v>
      </c>
      <c r="U130" s="16" t="s">
        <v>79</v>
      </c>
      <c r="V130" s="9">
        <v>3239408</v>
      </c>
      <c r="W130" s="8" t="s">
        <v>262</v>
      </c>
      <c r="X130" s="8"/>
      <c r="Y130" s="8"/>
      <c r="Z130" s="8"/>
      <c r="AA130" s="8"/>
      <c r="AB130" s="8" t="s">
        <v>183</v>
      </c>
      <c r="AC130" s="8" t="s">
        <v>210</v>
      </c>
      <c r="AD130" s="14" t="s">
        <v>211</v>
      </c>
      <c r="AE130" s="8" t="s">
        <v>212</v>
      </c>
      <c r="AF130" s="14">
        <v>0.3</v>
      </c>
      <c r="AG130" s="8">
        <v>900</v>
      </c>
      <c r="AH130" s="8">
        <v>2500</v>
      </c>
      <c r="AI130" s="8">
        <v>48</v>
      </c>
      <c r="AJ130" s="8">
        <v>0</v>
      </c>
      <c r="AK130" s="127">
        <v>48</v>
      </c>
      <c r="AL130" s="103">
        <v>0</v>
      </c>
      <c r="AM130" s="8">
        <v>48</v>
      </c>
      <c r="AN130" s="21">
        <v>0</v>
      </c>
      <c r="AO130" s="21">
        <v>0</v>
      </c>
      <c r="AP130" s="21">
        <v>48</v>
      </c>
      <c r="AQ130" s="21">
        <v>0</v>
      </c>
      <c r="AR130" s="21">
        <v>0</v>
      </c>
      <c r="AS130" s="8">
        <v>48</v>
      </c>
      <c r="AT130" s="21">
        <v>0</v>
      </c>
      <c r="AU130" s="21">
        <v>0</v>
      </c>
      <c r="AV130" s="21">
        <v>48</v>
      </c>
      <c r="AW130" s="21">
        <v>0</v>
      </c>
      <c r="AX130" s="21">
        <v>0</v>
      </c>
      <c r="AY130" s="8">
        <v>0</v>
      </c>
    </row>
    <row r="131" spans="1:51" ht="15" customHeight="1" x14ac:dyDescent="0.25">
      <c r="A131" s="9">
        <v>742</v>
      </c>
      <c r="B131" s="13">
        <v>45702</v>
      </c>
      <c r="C131" s="9" t="s">
        <v>169</v>
      </c>
      <c r="D131" s="9">
        <v>9518519644</v>
      </c>
      <c r="E131" s="8">
        <v>5</v>
      </c>
      <c r="F131" s="9" t="s">
        <v>1777</v>
      </c>
      <c r="G131" s="9" t="s">
        <v>1303</v>
      </c>
      <c r="H131" s="9" t="s">
        <v>57</v>
      </c>
      <c r="I131" s="9" t="s">
        <v>25</v>
      </c>
      <c r="J131" s="9" t="s">
        <v>31</v>
      </c>
      <c r="K131" s="9">
        <v>2000</v>
      </c>
      <c r="L131" s="39"/>
      <c r="M131" s="7" t="s">
        <v>1</v>
      </c>
      <c r="N131" s="8"/>
      <c r="O131" s="40" t="s">
        <v>1335</v>
      </c>
      <c r="P131" s="15" t="s">
        <v>199</v>
      </c>
      <c r="Q131" s="9" t="s">
        <v>180</v>
      </c>
      <c r="R131" s="9" t="s">
        <v>1575</v>
      </c>
      <c r="S131" s="9" t="s">
        <v>859</v>
      </c>
      <c r="T131" s="9">
        <v>103227</v>
      </c>
      <c r="U131" s="16" t="s">
        <v>91</v>
      </c>
      <c r="V131" s="9">
        <v>3239542</v>
      </c>
      <c r="W131" s="8" t="s">
        <v>485</v>
      </c>
      <c r="X131" s="8"/>
      <c r="Y131" s="8"/>
      <c r="Z131" s="8"/>
      <c r="AA131" s="8"/>
      <c r="AB131" s="8" t="s">
        <v>183</v>
      </c>
      <c r="AC131" s="8" t="s">
        <v>210</v>
      </c>
      <c r="AD131" s="14" t="s">
        <v>211</v>
      </c>
      <c r="AE131" s="8" t="s">
        <v>212</v>
      </c>
      <c r="AF131" s="14">
        <v>0.35</v>
      </c>
      <c r="AG131" s="8">
        <v>1000</v>
      </c>
      <c r="AH131" s="8">
        <v>2500</v>
      </c>
      <c r="AI131" s="8">
        <v>51</v>
      </c>
      <c r="AJ131" s="8">
        <v>0</v>
      </c>
      <c r="AK131" s="127">
        <v>51</v>
      </c>
      <c r="AL131" s="103">
        <v>0</v>
      </c>
      <c r="AM131" s="8">
        <v>51</v>
      </c>
      <c r="AN131" s="21">
        <v>0</v>
      </c>
      <c r="AO131" s="21">
        <v>51</v>
      </c>
      <c r="AP131" s="21">
        <v>0</v>
      </c>
      <c r="AQ131" s="21">
        <v>0</v>
      </c>
      <c r="AR131" s="21">
        <v>0</v>
      </c>
      <c r="AS131" s="8">
        <v>51</v>
      </c>
      <c r="AT131" s="21">
        <v>0</v>
      </c>
      <c r="AU131" s="21">
        <v>51</v>
      </c>
      <c r="AV131" s="21">
        <v>0</v>
      </c>
      <c r="AW131" s="21">
        <v>0</v>
      </c>
      <c r="AX131" s="21">
        <v>0</v>
      </c>
      <c r="AY131" s="8">
        <v>0</v>
      </c>
    </row>
    <row r="132" spans="1:51" ht="15" customHeight="1" x14ac:dyDescent="0.25">
      <c r="A132" s="9">
        <v>742</v>
      </c>
      <c r="B132" s="13">
        <v>45702</v>
      </c>
      <c r="C132" s="9" t="s">
        <v>169</v>
      </c>
      <c r="D132" s="9">
        <v>9518519644</v>
      </c>
      <c r="E132" s="8">
        <v>6</v>
      </c>
      <c r="F132" s="9" t="s">
        <v>1778</v>
      </c>
      <c r="G132" s="9" t="s">
        <v>335</v>
      </c>
      <c r="H132" s="9" t="s">
        <v>57</v>
      </c>
      <c r="I132" s="9" t="s">
        <v>25</v>
      </c>
      <c r="J132" s="9" t="s">
        <v>31</v>
      </c>
      <c r="K132" s="9">
        <v>2000</v>
      </c>
      <c r="L132" s="39"/>
      <c r="M132" s="7" t="s">
        <v>1</v>
      </c>
      <c r="N132" s="8"/>
      <c r="O132" s="40"/>
      <c r="P132" s="15" t="s">
        <v>199</v>
      </c>
      <c r="Q132" s="9" t="s">
        <v>180</v>
      </c>
      <c r="R132" s="9" t="s">
        <v>1575</v>
      </c>
      <c r="S132" s="9" t="s">
        <v>859</v>
      </c>
      <c r="T132" s="9">
        <v>103227</v>
      </c>
      <c r="U132" s="16" t="s">
        <v>91</v>
      </c>
      <c r="V132" s="9">
        <v>3239554</v>
      </c>
      <c r="W132" s="8" t="s">
        <v>248</v>
      </c>
      <c r="X132" s="8"/>
      <c r="Y132" s="8"/>
      <c r="Z132" s="8"/>
      <c r="AA132" s="8"/>
      <c r="AB132" s="8" t="s">
        <v>183</v>
      </c>
      <c r="AC132" s="8" t="s">
        <v>210</v>
      </c>
      <c r="AD132" s="14" t="s">
        <v>211</v>
      </c>
      <c r="AE132" s="8" t="s">
        <v>212</v>
      </c>
      <c r="AF132" s="14">
        <v>0.4</v>
      </c>
      <c r="AG132" s="8">
        <v>1000</v>
      </c>
      <c r="AH132" s="8">
        <v>2500</v>
      </c>
      <c r="AI132" s="8">
        <v>36</v>
      </c>
      <c r="AJ132" s="8">
        <v>0</v>
      </c>
      <c r="AK132" s="127">
        <v>36</v>
      </c>
      <c r="AL132" s="103">
        <v>0</v>
      </c>
      <c r="AM132" s="8">
        <v>36</v>
      </c>
      <c r="AN132" s="21">
        <v>0</v>
      </c>
      <c r="AO132" s="21">
        <v>0</v>
      </c>
      <c r="AP132" s="21">
        <v>36</v>
      </c>
      <c r="AQ132" s="21">
        <v>0</v>
      </c>
      <c r="AR132" s="21">
        <v>0</v>
      </c>
      <c r="AS132" s="8">
        <v>36</v>
      </c>
      <c r="AT132" s="21">
        <v>0</v>
      </c>
      <c r="AU132" s="21">
        <v>0</v>
      </c>
      <c r="AV132" s="21">
        <v>36</v>
      </c>
      <c r="AW132" s="21">
        <v>0</v>
      </c>
      <c r="AX132" s="21">
        <v>0</v>
      </c>
      <c r="AY132" s="8">
        <v>0</v>
      </c>
    </row>
    <row r="133" spans="1:51" ht="15" customHeight="1" x14ac:dyDescent="0.25">
      <c r="A133" s="9">
        <v>742</v>
      </c>
      <c r="B133" s="13">
        <v>45702</v>
      </c>
      <c r="C133" s="9" t="s">
        <v>169</v>
      </c>
      <c r="D133" s="9">
        <v>9518520213</v>
      </c>
      <c r="E133" s="8">
        <v>4</v>
      </c>
      <c r="F133" s="9" t="s">
        <v>1779</v>
      </c>
      <c r="G133" s="9" t="s">
        <v>1303</v>
      </c>
      <c r="H133" s="9" t="s">
        <v>57</v>
      </c>
      <c r="I133" s="9" t="s">
        <v>25</v>
      </c>
      <c r="J133" s="9" t="s">
        <v>31</v>
      </c>
      <c r="K133" s="9">
        <v>2000</v>
      </c>
      <c r="L133" s="39"/>
      <c r="M133" s="7" t="s">
        <v>1</v>
      </c>
      <c r="N133" s="8"/>
      <c r="O133" s="40"/>
      <c r="P133" s="15" t="s">
        <v>199</v>
      </c>
      <c r="Q133" s="9" t="s">
        <v>180</v>
      </c>
      <c r="R133" s="9" t="s">
        <v>1576</v>
      </c>
      <c r="S133" s="9" t="s">
        <v>859</v>
      </c>
      <c r="T133" s="9">
        <v>103227</v>
      </c>
      <c r="U133" s="16" t="s">
        <v>91</v>
      </c>
      <c r="V133" s="9">
        <v>3239536</v>
      </c>
      <c r="W133" s="8" t="s">
        <v>209</v>
      </c>
      <c r="X133" s="8"/>
      <c r="Y133" s="8"/>
      <c r="Z133" s="8"/>
      <c r="AA133" s="8"/>
      <c r="AB133" s="8" t="s">
        <v>183</v>
      </c>
      <c r="AC133" s="8" t="s">
        <v>210</v>
      </c>
      <c r="AD133" s="14" t="s">
        <v>211</v>
      </c>
      <c r="AE133" s="8" t="s">
        <v>212</v>
      </c>
      <c r="AF133" s="14">
        <v>0.35</v>
      </c>
      <c r="AG133" s="8">
        <v>900</v>
      </c>
      <c r="AH133" s="8">
        <v>2500</v>
      </c>
      <c r="AI133" s="8">
        <v>51</v>
      </c>
      <c r="AJ133" s="8">
        <v>0</v>
      </c>
      <c r="AK133" s="127">
        <v>51</v>
      </c>
      <c r="AL133" s="103">
        <v>0</v>
      </c>
      <c r="AM133" s="8">
        <v>51</v>
      </c>
      <c r="AN133" s="21">
        <v>0</v>
      </c>
      <c r="AO133" s="21">
        <v>51</v>
      </c>
      <c r="AP133" s="21">
        <v>0</v>
      </c>
      <c r="AQ133" s="21">
        <v>0</v>
      </c>
      <c r="AR133" s="21">
        <v>0</v>
      </c>
      <c r="AS133" s="8">
        <v>51</v>
      </c>
      <c r="AT133" s="21">
        <v>0</v>
      </c>
      <c r="AU133" s="21">
        <v>51</v>
      </c>
      <c r="AV133" s="21">
        <v>0</v>
      </c>
      <c r="AW133" s="21">
        <v>0</v>
      </c>
      <c r="AX133" s="21">
        <v>0</v>
      </c>
      <c r="AY133" s="8">
        <v>0</v>
      </c>
    </row>
    <row r="134" spans="1:51" ht="15" customHeight="1" x14ac:dyDescent="0.25">
      <c r="A134" s="9">
        <v>742</v>
      </c>
      <c r="B134" s="13">
        <v>45702</v>
      </c>
      <c r="C134" s="9" t="s">
        <v>169</v>
      </c>
      <c r="D134" s="9">
        <v>9518520213</v>
      </c>
      <c r="E134" s="8">
        <v>5</v>
      </c>
      <c r="F134" s="9" t="s">
        <v>1780</v>
      </c>
      <c r="G134" s="9" t="s">
        <v>1303</v>
      </c>
      <c r="H134" s="9" t="s">
        <v>57</v>
      </c>
      <c r="I134" s="9" t="s">
        <v>25</v>
      </c>
      <c r="J134" s="9" t="s">
        <v>31</v>
      </c>
      <c r="K134" s="9">
        <v>2000</v>
      </c>
      <c r="L134" s="39"/>
      <c r="M134" s="7" t="s">
        <v>1</v>
      </c>
      <c r="N134" s="8"/>
      <c r="O134" s="40" t="s">
        <v>1335</v>
      </c>
      <c r="P134" s="15" t="s">
        <v>199</v>
      </c>
      <c r="Q134" s="9" t="s">
        <v>180</v>
      </c>
      <c r="R134" s="9" t="s">
        <v>1576</v>
      </c>
      <c r="S134" s="9" t="s">
        <v>859</v>
      </c>
      <c r="T134" s="9">
        <v>103227</v>
      </c>
      <c r="U134" s="16" t="s">
        <v>91</v>
      </c>
      <c r="V134" s="9">
        <v>3239542</v>
      </c>
      <c r="W134" s="8" t="s">
        <v>485</v>
      </c>
      <c r="X134" s="8"/>
      <c r="Y134" s="8"/>
      <c r="Z134" s="8"/>
      <c r="AA134" s="8"/>
      <c r="AB134" s="8" t="s">
        <v>183</v>
      </c>
      <c r="AC134" s="8" t="s">
        <v>210</v>
      </c>
      <c r="AD134" s="14" t="s">
        <v>211</v>
      </c>
      <c r="AE134" s="8" t="s">
        <v>212</v>
      </c>
      <c r="AF134" s="14">
        <v>0.35</v>
      </c>
      <c r="AG134" s="8">
        <v>1000</v>
      </c>
      <c r="AH134" s="8">
        <v>2500</v>
      </c>
      <c r="AI134" s="8">
        <v>51</v>
      </c>
      <c r="AJ134" s="8">
        <v>0</v>
      </c>
      <c r="AK134" s="127">
        <v>51</v>
      </c>
      <c r="AL134" s="103">
        <v>0</v>
      </c>
      <c r="AM134" s="8">
        <v>51</v>
      </c>
      <c r="AN134" s="21">
        <v>0</v>
      </c>
      <c r="AO134" s="21">
        <v>51</v>
      </c>
      <c r="AP134" s="21">
        <v>0</v>
      </c>
      <c r="AQ134" s="21">
        <v>0</v>
      </c>
      <c r="AR134" s="21">
        <v>0</v>
      </c>
      <c r="AS134" s="8">
        <v>51</v>
      </c>
      <c r="AT134" s="21">
        <v>0</v>
      </c>
      <c r="AU134" s="21">
        <v>51</v>
      </c>
      <c r="AV134" s="21">
        <v>0</v>
      </c>
      <c r="AW134" s="21">
        <v>0</v>
      </c>
      <c r="AX134" s="21">
        <v>0</v>
      </c>
      <c r="AY134" s="8">
        <v>0</v>
      </c>
    </row>
    <row r="135" spans="1:51" ht="15" customHeight="1" x14ac:dyDescent="0.25">
      <c r="A135" s="9">
        <v>742</v>
      </c>
      <c r="B135" s="13">
        <v>45702</v>
      </c>
      <c r="C135" s="9" t="s">
        <v>169</v>
      </c>
      <c r="D135" s="9">
        <v>9518520213</v>
      </c>
      <c r="E135" s="8">
        <v>6</v>
      </c>
      <c r="F135" s="9" t="s">
        <v>1781</v>
      </c>
      <c r="G135" s="9" t="s">
        <v>335</v>
      </c>
      <c r="H135" s="9" t="s">
        <v>57</v>
      </c>
      <c r="I135" s="9" t="s">
        <v>25</v>
      </c>
      <c r="J135" s="9" t="s">
        <v>31</v>
      </c>
      <c r="K135" s="9">
        <v>2000</v>
      </c>
      <c r="L135" s="39"/>
      <c r="M135" s="7" t="s">
        <v>1</v>
      </c>
      <c r="N135" s="8"/>
      <c r="O135" s="40"/>
      <c r="P135" s="15" t="s">
        <v>199</v>
      </c>
      <c r="Q135" s="9" t="s">
        <v>180</v>
      </c>
      <c r="R135" s="9" t="s">
        <v>1576</v>
      </c>
      <c r="S135" s="9" t="s">
        <v>859</v>
      </c>
      <c r="T135" s="9">
        <v>103227</v>
      </c>
      <c r="U135" s="16" t="s">
        <v>91</v>
      </c>
      <c r="V135" s="9">
        <v>3239554</v>
      </c>
      <c r="W135" s="8" t="s">
        <v>248</v>
      </c>
      <c r="X135" s="8"/>
      <c r="Y135" s="8"/>
      <c r="Z135" s="8"/>
      <c r="AA135" s="8"/>
      <c r="AB135" s="8" t="s">
        <v>183</v>
      </c>
      <c r="AC135" s="8" t="s">
        <v>210</v>
      </c>
      <c r="AD135" s="14" t="s">
        <v>211</v>
      </c>
      <c r="AE135" s="8" t="s">
        <v>212</v>
      </c>
      <c r="AF135" s="14">
        <v>0.4</v>
      </c>
      <c r="AG135" s="8">
        <v>1000</v>
      </c>
      <c r="AH135" s="8">
        <v>2500</v>
      </c>
      <c r="AI135" s="8">
        <v>36</v>
      </c>
      <c r="AJ135" s="8">
        <v>0</v>
      </c>
      <c r="AK135" s="127">
        <v>36</v>
      </c>
      <c r="AL135" s="103">
        <v>0</v>
      </c>
      <c r="AM135" s="8">
        <v>36</v>
      </c>
      <c r="AN135" s="21">
        <v>0</v>
      </c>
      <c r="AO135" s="21">
        <v>0</v>
      </c>
      <c r="AP135" s="21">
        <v>0</v>
      </c>
      <c r="AQ135" s="21">
        <v>36</v>
      </c>
      <c r="AR135" s="21">
        <v>0</v>
      </c>
      <c r="AS135" s="8">
        <v>36</v>
      </c>
      <c r="AT135" s="21">
        <v>0</v>
      </c>
      <c r="AU135" s="21">
        <v>0</v>
      </c>
      <c r="AV135" s="21">
        <v>0</v>
      </c>
      <c r="AW135" s="21">
        <v>36</v>
      </c>
      <c r="AX135" s="21">
        <v>0</v>
      </c>
      <c r="AY135" s="8">
        <v>0</v>
      </c>
    </row>
    <row r="136" spans="1:51" ht="15" customHeight="1" x14ac:dyDescent="0.25">
      <c r="A136" s="9">
        <v>744</v>
      </c>
      <c r="B136" s="13">
        <v>45703</v>
      </c>
      <c r="C136" s="9" t="s">
        <v>169</v>
      </c>
      <c r="D136" s="9">
        <v>9518522888</v>
      </c>
      <c r="E136" s="8">
        <v>1</v>
      </c>
      <c r="F136" s="9" t="s">
        <v>1782</v>
      </c>
      <c r="G136" s="9" t="s">
        <v>335</v>
      </c>
      <c r="H136" s="9" t="s">
        <v>57</v>
      </c>
      <c r="I136" s="9" t="s">
        <v>48</v>
      </c>
      <c r="J136" s="9" t="s">
        <v>39</v>
      </c>
      <c r="K136" s="9">
        <v>1000</v>
      </c>
      <c r="L136" s="39"/>
      <c r="M136" s="7" t="s">
        <v>1</v>
      </c>
      <c r="N136" s="8"/>
      <c r="O136" s="40"/>
      <c r="P136" s="15" t="s">
        <v>220</v>
      </c>
      <c r="Q136" s="9" t="s">
        <v>264</v>
      </c>
      <c r="R136" s="9" t="s">
        <v>1568</v>
      </c>
      <c r="S136" s="9" t="s">
        <v>858</v>
      </c>
      <c r="T136" s="9">
        <v>941597</v>
      </c>
      <c r="U136" s="16" t="s">
        <v>105</v>
      </c>
      <c r="V136" s="9">
        <v>3902332</v>
      </c>
      <c r="W136" s="8" t="s">
        <v>353</v>
      </c>
      <c r="X136" s="8"/>
      <c r="Y136" s="8"/>
      <c r="Z136" s="8"/>
      <c r="AA136" s="8"/>
      <c r="AB136" s="8" t="s">
        <v>176</v>
      </c>
      <c r="AC136" s="8" t="s">
        <v>228</v>
      </c>
      <c r="AD136" s="14" t="s">
        <v>229</v>
      </c>
      <c r="AE136" s="8" t="s">
        <v>354</v>
      </c>
      <c r="AF136" s="14">
        <v>0.5</v>
      </c>
      <c r="AG136" s="8">
        <v>1220</v>
      </c>
      <c r="AH136" s="8">
        <v>0</v>
      </c>
      <c r="AI136" s="8">
        <v>28</v>
      </c>
      <c r="AJ136" s="8">
        <v>0</v>
      </c>
      <c r="AK136" s="127">
        <v>28</v>
      </c>
      <c r="AL136" s="103">
        <v>0</v>
      </c>
      <c r="AM136" s="8">
        <v>28</v>
      </c>
      <c r="AN136" s="21">
        <v>0</v>
      </c>
      <c r="AO136" s="21">
        <v>0</v>
      </c>
      <c r="AP136" s="21">
        <v>0</v>
      </c>
      <c r="AQ136" s="21">
        <v>28</v>
      </c>
      <c r="AR136" s="21">
        <v>0</v>
      </c>
      <c r="AS136" s="8">
        <v>28</v>
      </c>
      <c r="AT136" s="21">
        <v>0</v>
      </c>
      <c r="AU136" s="21">
        <v>0</v>
      </c>
      <c r="AV136" s="21">
        <v>0</v>
      </c>
      <c r="AW136" s="21">
        <v>28</v>
      </c>
      <c r="AX136" s="21">
        <v>0</v>
      </c>
      <c r="AY136" s="8">
        <v>0</v>
      </c>
    </row>
    <row r="137" spans="1:51" ht="15" customHeight="1" x14ac:dyDescent="0.25">
      <c r="A137" s="9">
        <v>743</v>
      </c>
      <c r="B137" s="13">
        <v>45706</v>
      </c>
      <c r="C137" s="9" t="s">
        <v>169</v>
      </c>
      <c r="D137" s="9">
        <v>9518528325</v>
      </c>
      <c r="E137" s="8">
        <v>6</v>
      </c>
      <c r="F137" s="99" t="s">
        <v>1783</v>
      </c>
      <c r="G137" s="9" t="s">
        <v>1687</v>
      </c>
      <c r="H137" s="9" t="s">
        <v>57</v>
      </c>
      <c r="I137" s="9" t="s">
        <v>43</v>
      </c>
      <c r="J137" s="9" t="s">
        <v>45</v>
      </c>
      <c r="K137" s="9">
        <v>2000</v>
      </c>
      <c r="L137" s="39"/>
      <c r="M137" s="7" t="s">
        <v>1</v>
      </c>
      <c r="N137" s="8"/>
      <c r="O137" s="40" t="s">
        <v>1335</v>
      </c>
      <c r="P137" s="15" t="s">
        <v>207</v>
      </c>
      <c r="Q137" s="9" t="s">
        <v>180</v>
      </c>
      <c r="R137" s="9" t="s">
        <v>1577</v>
      </c>
      <c r="S137" s="9" t="s">
        <v>858</v>
      </c>
      <c r="T137" s="9">
        <v>100922</v>
      </c>
      <c r="U137" s="16" t="s">
        <v>115</v>
      </c>
      <c r="V137" s="9">
        <v>1142897</v>
      </c>
      <c r="W137" s="8" t="s">
        <v>307</v>
      </c>
      <c r="X137" s="8"/>
      <c r="Y137" s="8"/>
      <c r="Z137" s="8"/>
      <c r="AA137" s="8"/>
      <c r="AB137" s="8" t="s">
        <v>183</v>
      </c>
      <c r="AC137" s="8" t="s">
        <v>238</v>
      </c>
      <c r="AD137" s="14" t="s">
        <v>185</v>
      </c>
      <c r="AE137" s="8" t="s">
        <v>309</v>
      </c>
      <c r="AF137" s="14">
        <v>0.6</v>
      </c>
      <c r="AG137" s="8">
        <v>900</v>
      </c>
      <c r="AH137" s="8">
        <v>0</v>
      </c>
      <c r="AI137" s="8">
        <v>105</v>
      </c>
      <c r="AJ137" s="8">
        <v>92.66</v>
      </c>
      <c r="AK137" s="127">
        <v>7.87</v>
      </c>
      <c r="AL137" s="103">
        <v>11.5</v>
      </c>
      <c r="AM137" s="8">
        <v>0</v>
      </c>
      <c r="AN137" s="21">
        <v>0</v>
      </c>
      <c r="AO137" s="21">
        <v>0</v>
      </c>
      <c r="AP137" s="21">
        <v>0</v>
      </c>
      <c r="AQ137" s="21">
        <v>0</v>
      </c>
      <c r="AR137" s="21">
        <v>0</v>
      </c>
      <c r="AS137" s="8">
        <v>11.5</v>
      </c>
      <c r="AT137" s="21">
        <v>11.5</v>
      </c>
      <c r="AU137" s="21">
        <v>0</v>
      </c>
      <c r="AV137" s="21">
        <v>0</v>
      </c>
      <c r="AW137" s="21">
        <v>0</v>
      </c>
      <c r="AX137" s="21">
        <v>0</v>
      </c>
      <c r="AY137" s="8">
        <v>0</v>
      </c>
    </row>
    <row r="138" spans="1:51" ht="15" customHeight="1" x14ac:dyDescent="0.25">
      <c r="A138" s="9">
        <v>742</v>
      </c>
      <c r="B138" s="13">
        <v>45706</v>
      </c>
      <c r="C138" s="9" t="s">
        <v>169</v>
      </c>
      <c r="D138" s="9">
        <v>9518529569</v>
      </c>
      <c r="E138" s="8">
        <v>1</v>
      </c>
      <c r="F138" s="9" t="s">
        <v>1784</v>
      </c>
      <c r="G138" s="9" t="s">
        <v>1687</v>
      </c>
      <c r="H138" s="9" t="s">
        <v>57</v>
      </c>
      <c r="I138" s="9" t="s">
        <v>25</v>
      </c>
      <c r="J138" s="9" t="s">
        <v>31</v>
      </c>
      <c r="K138" s="9">
        <v>2000</v>
      </c>
      <c r="L138" s="39"/>
      <c r="M138" s="7" t="s">
        <v>1</v>
      </c>
      <c r="N138" s="8"/>
      <c r="O138" s="40"/>
      <c r="P138" s="15" t="s">
        <v>187</v>
      </c>
      <c r="Q138" s="9" t="s">
        <v>172</v>
      </c>
      <c r="R138" s="9" t="s">
        <v>189</v>
      </c>
      <c r="S138" s="9" t="s">
        <v>859</v>
      </c>
      <c r="T138" s="9">
        <v>116137</v>
      </c>
      <c r="U138" s="16" t="s">
        <v>78</v>
      </c>
      <c r="V138" s="9">
        <v>3239557</v>
      </c>
      <c r="W138" s="8" t="s">
        <v>750</v>
      </c>
      <c r="X138" s="8"/>
      <c r="Y138" s="8"/>
      <c r="Z138" s="8"/>
      <c r="AA138" s="8"/>
      <c r="AB138" s="8" t="s">
        <v>176</v>
      </c>
      <c r="AC138" s="8" t="s">
        <v>210</v>
      </c>
      <c r="AD138" s="14" t="s">
        <v>211</v>
      </c>
      <c r="AE138" s="8" t="s">
        <v>212</v>
      </c>
      <c r="AF138" s="14">
        <v>0.4</v>
      </c>
      <c r="AG138" s="8">
        <v>1250</v>
      </c>
      <c r="AH138" s="8">
        <v>0</v>
      </c>
      <c r="AI138" s="8">
        <v>48</v>
      </c>
      <c r="AJ138" s="8">
        <v>0</v>
      </c>
      <c r="AK138" s="127">
        <v>2.1800000000000002</v>
      </c>
      <c r="AL138" s="103">
        <v>20.040000000000003</v>
      </c>
      <c r="AM138" s="8">
        <v>0</v>
      </c>
      <c r="AN138" s="21">
        <v>0</v>
      </c>
      <c r="AO138" s="21">
        <v>0</v>
      </c>
      <c r="AP138" s="21">
        <v>0</v>
      </c>
      <c r="AQ138" s="21">
        <v>0</v>
      </c>
      <c r="AR138" s="21">
        <v>0</v>
      </c>
      <c r="AS138" s="8">
        <v>20.040000000000003</v>
      </c>
      <c r="AT138" s="21">
        <v>20.040000000000003</v>
      </c>
      <c r="AU138" s="21">
        <v>0</v>
      </c>
      <c r="AV138" s="21">
        <v>0</v>
      </c>
      <c r="AW138" s="21">
        <v>0</v>
      </c>
      <c r="AX138" s="21">
        <v>0</v>
      </c>
      <c r="AY138" s="8">
        <v>0</v>
      </c>
    </row>
    <row r="139" spans="1:51" ht="15" customHeight="1" x14ac:dyDescent="0.25">
      <c r="A139" s="9">
        <v>742</v>
      </c>
      <c r="B139" s="13">
        <v>45706</v>
      </c>
      <c r="C139" s="9" t="s">
        <v>169</v>
      </c>
      <c r="D139" s="9">
        <v>9518529688</v>
      </c>
      <c r="E139" s="8">
        <v>1</v>
      </c>
      <c r="F139" s="9" t="s">
        <v>1785</v>
      </c>
      <c r="G139" s="9" t="s">
        <v>1303</v>
      </c>
      <c r="H139" s="9" t="s">
        <v>57</v>
      </c>
      <c r="I139" s="9" t="s">
        <v>25</v>
      </c>
      <c r="J139" s="9" t="s">
        <v>31</v>
      </c>
      <c r="K139" s="9">
        <v>2000</v>
      </c>
      <c r="L139" s="39"/>
      <c r="M139" s="7" t="s">
        <v>1</v>
      </c>
      <c r="N139" s="8"/>
      <c r="O139" s="40"/>
      <c r="P139" s="15" t="s">
        <v>187</v>
      </c>
      <c r="Q139" s="9" t="s">
        <v>172</v>
      </c>
      <c r="R139" s="9" t="s">
        <v>189</v>
      </c>
      <c r="S139" s="9" t="s">
        <v>859</v>
      </c>
      <c r="T139" s="9">
        <v>116137</v>
      </c>
      <c r="U139" s="16" t="s">
        <v>78</v>
      </c>
      <c r="V139" s="9">
        <v>3239543</v>
      </c>
      <c r="W139" s="8" t="s">
        <v>757</v>
      </c>
      <c r="X139" s="8"/>
      <c r="Y139" s="8"/>
      <c r="Z139" s="8"/>
      <c r="AA139" s="8"/>
      <c r="AB139" s="8" t="s">
        <v>176</v>
      </c>
      <c r="AC139" s="8" t="s">
        <v>210</v>
      </c>
      <c r="AD139" s="14" t="s">
        <v>211</v>
      </c>
      <c r="AE139" s="8" t="s">
        <v>212</v>
      </c>
      <c r="AF139" s="14">
        <v>0.35</v>
      </c>
      <c r="AG139" s="8">
        <v>1250</v>
      </c>
      <c r="AH139" s="8">
        <v>0</v>
      </c>
      <c r="AI139" s="8">
        <v>24</v>
      </c>
      <c r="AJ139" s="8">
        <v>0</v>
      </c>
      <c r="AK139" s="127">
        <v>24</v>
      </c>
      <c r="AL139" s="103">
        <v>0</v>
      </c>
      <c r="AM139" s="8">
        <v>24</v>
      </c>
      <c r="AN139" s="21">
        <v>24</v>
      </c>
      <c r="AO139" s="21">
        <v>0</v>
      </c>
      <c r="AP139" s="21">
        <v>0</v>
      </c>
      <c r="AQ139" s="21">
        <v>0</v>
      </c>
      <c r="AR139" s="21">
        <v>0</v>
      </c>
      <c r="AS139" s="8">
        <v>24</v>
      </c>
      <c r="AT139" s="21">
        <v>0</v>
      </c>
      <c r="AU139" s="21">
        <v>24</v>
      </c>
      <c r="AV139" s="21">
        <v>0</v>
      </c>
      <c r="AW139" s="21">
        <v>0</v>
      </c>
      <c r="AX139" s="21">
        <v>0</v>
      </c>
      <c r="AY139" s="8">
        <v>0</v>
      </c>
    </row>
    <row r="140" spans="1:51" ht="15" customHeight="1" x14ac:dyDescent="0.25">
      <c r="A140" s="9">
        <v>742</v>
      </c>
      <c r="B140" s="13">
        <v>45707</v>
      </c>
      <c r="C140" s="9" t="s">
        <v>169</v>
      </c>
      <c r="D140" s="9">
        <v>9518533557</v>
      </c>
      <c r="E140" s="8">
        <v>2</v>
      </c>
      <c r="F140" s="9" t="s">
        <v>1786</v>
      </c>
      <c r="G140" s="9" t="s">
        <v>1303</v>
      </c>
      <c r="H140" s="9" t="s">
        <v>57</v>
      </c>
      <c r="I140" s="9" t="s">
        <v>25</v>
      </c>
      <c r="J140" s="9" t="s">
        <v>31</v>
      </c>
      <c r="K140" s="9">
        <v>2000</v>
      </c>
      <c r="L140" s="39"/>
      <c r="M140" s="7" t="s">
        <v>1</v>
      </c>
      <c r="N140" s="8"/>
      <c r="O140" s="40"/>
      <c r="P140" s="15" t="s">
        <v>207</v>
      </c>
      <c r="Q140" s="9" t="s">
        <v>180</v>
      </c>
      <c r="R140" s="9" t="s">
        <v>208</v>
      </c>
      <c r="S140" s="9" t="s">
        <v>859</v>
      </c>
      <c r="T140" s="9">
        <v>101278</v>
      </c>
      <c r="U140" s="16" t="s">
        <v>95</v>
      </c>
      <c r="V140" s="9">
        <v>3711646</v>
      </c>
      <c r="W140" s="8" t="s">
        <v>758</v>
      </c>
      <c r="X140" s="8"/>
      <c r="Y140" s="8"/>
      <c r="Z140" s="8"/>
      <c r="AA140" s="8"/>
      <c r="AB140" s="8" t="s">
        <v>176</v>
      </c>
      <c r="AC140" s="8" t="s">
        <v>210</v>
      </c>
      <c r="AD140" s="14" t="s">
        <v>211</v>
      </c>
      <c r="AE140" s="8" t="s">
        <v>212</v>
      </c>
      <c r="AF140" s="14">
        <v>0.33</v>
      </c>
      <c r="AG140" s="8">
        <v>1250</v>
      </c>
      <c r="AH140" s="8">
        <v>2500</v>
      </c>
      <c r="AI140" s="8">
        <v>30</v>
      </c>
      <c r="AJ140" s="8">
        <v>0</v>
      </c>
      <c r="AK140" s="127">
        <v>30</v>
      </c>
      <c r="AL140" s="103">
        <v>0</v>
      </c>
      <c r="AM140" s="8">
        <v>30</v>
      </c>
      <c r="AN140" s="21">
        <v>30</v>
      </c>
      <c r="AO140" s="21">
        <v>0</v>
      </c>
      <c r="AP140" s="21">
        <v>0</v>
      </c>
      <c r="AQ140" s="21">
        <v>0</v>
      </c>
      <c r="AR140" s="21">
        <v>0</v>
      </c>
      <c r="AS140" s="8">
        <v>30</v>
      </c>
      <c r="AT140" s="21">
        <v>0</v>
      </c>
      <c r="AU140" s="21">
        <v>30</v>
      </c>
      <c r="AV140" s="21">
        <v>0</v>
      </c>
      <c r="AW140" s="21">
        <v>0</v>
      </c>
      <c r="AX140" s="21">
        <v>0</v>
      </c>
      <c r="AY140" s="8">
        <v>0</v>
      </c>
    </row>
    <row r="141" spans="1:51" ht="15" customHeight="1" x14ac:dyDescent="0.25">
      <c r="A141" s="9">
        <v>742</v>
      </c>
      <c r="B141" s="13">
        <v>45707</v>
      </c>
      <c r="C141" s="9" t="s">
        <v>169</v>
      </c>
      <c r="D141" s="9">
        <v>9518533557</v>
      </c>
      <c r="E141" s="8">
        <v>3</v>
      </c>
      <c r="F141" s="9" t="s">
        <v>1787</v>
      </c>
      <c r="G141" s="9" t="s">
        <v>1303</v>
      </c>
      <c r="H141" s="9" t="s">
        <v>57</v>
      </c>
      <c r="I141" s="9" t="s">
        <v>25</v>
      </c>
      <c r="J141" s="9" t="s">
        <v>31</v>
      </c>
      <c r="K141" s="9">
        <v>2000</v>
      </c>
      <c r="L141" s="39"/>
      <c r="M141" s="7" t="s">
        <v>1</v>
      </c>
      <c r="N141" s="8"/>
      <c r="O141" s="40" t="s">
        <v>1335</v>
      </c>
      <c r="P141" s="15" t="s">
        <v>207</v>
      </c>
      <c r="Q141" s="9" t="s">
        <v>180</v>
      </c>
      <c r="R141" s="9" t="s">
        <v>208</v>
      </c>
      <c r="S141" s="9" t="s">
        <v>859</v>
      </c>
      <c r="T141" s="9">
        <v>101278</v>
      </c>
      <c r="U141" s="16" t="s">
        <v>95</v>
      </c>
      <c r="V141" s="9">
        <v>3239536</v>
      </c>
      <c r="W141" s="8" t="s">
        <v>209</v>
      </c>
      <c r="X141" s="8"/>
      <c r="Y141" s="8"/>
      <c r="Z141" s="8"/>
      <c r="AA141" s="8"/>
      <c r="AB141" s="8" t="s">
        <v>183</v>
      </c>
      <c r="AC141" s="8" t="s">
        <v>210</v>
      </c>
      <c r="AD141" s="14" t="s">
        <v>211</v>
      </c>
      <c r="AE141" s="8" t="s">
        <v>212</v>
      </c>
      <c r="AF141" s="14">
        <v>0.35</v>
      </c>
      <c r="AG141" s="8">
        <v>900</v>
      </c>
      <c r="AH141" s="8">
        <v>2500</v>
      </c>
      <c r="AI141" s="8">
        <v>60</v>
      </c>
      <c r="AJ141" s="8">
        <v>36.69</v>
      </c>
      <c r="AK141" s="127">
        <v>23.31</v>
      </c>
      <c r="AL141" s="103">
        <v>0</v>
      </c>
      <c r="AM141" s="8">
        <v>23.31</v>
      </c>
      <c r="AN141" s="21">
        <v>23.31</v>
      </c>
      <c r="AO141" s="21">
        <v>0</v>
      </c>
      <c r="AP141" s="21">
        <v>0</v>
      </c>
      <c r="AQ141" s="21">
        <v>0</v>
      </c>
      <c r="AR141" s="21">
        <v>0</v>
      </c>
      <c r="AS141" s="8">
        <v>23.31</v>
      </c>
      <c r="AT141" s="21">
        <v>0</v>
      </c>
      <c r="AU141" s="21">
        <v>23.31</v>
      </c>
      <c r="AV141" s="21">
        <v>0</v>
      </c>
      <c r="AW141" s="21">
        <v>0</v>
      </c>
      <c r="AX141" s="21">
        <v>0</v>
      </c>
      <c r="AY141" s="8">
        <v>0</v>
      </c>
    </row>
    <row r="142" spans="1:51" ht="15" customHeight="1" x14ac:dyDescent="0.25">
      <c r="A142" s="9">
        <v>742</v>
      </c>
      <c r="B142" s="13">
        <v>45707</v>
      </c>
      <c r="C142" s="9" t="s">
        <v>169</v>
      </c>
      <c r="D142" s="9">
        <v>9518533557</v>
      </c>
      <c r="E142" s="8">
        <v>4</v>
      </c>
      <c r="F142" s="9" t="s">
        <v>1788</v>
      </c>
      <c r="G142" s="9" t="s">
        <v>1687</v>
      </c>
      <c r="H142" s="9" t="s">
        <v>57</v>
      </c>
      <c r="I142" s="9" t="s">
        <v>25</v>
      </c>
      <c r="J142" s="9" t="s">
        <v>31</v>
      </c>
      <c r="K142" s="9">
        <v>2000</v>
      </c>
      <c r="L142" s="39"/>
      <c r="M142" s="7" t="s">
        <v>1</v>
      </c>
      <c r="N142" s="8"/>
      <c r="O142" s="40" t="s">
        <v>1335</v>
      </c>
      <c r="P142" s="15" t="s">
        <v>207</v>
      </c>
      <c r="Q142" s="9" t="s">
        <v>180</v>
      </c>
      <c r="R142" s="9" t="s">
        <v>208</v>
      </c>
      <c r="S142" s="9" t="s">
        <v>859</v>
      </c>
      <c r="T142" s="9">
        <v>101278</v>
      </c>
      <c r="U142" s="16" t="s">
        <v>95</v>
      </c>
      <c r="V142" s="9">
        <v>3239548</v>
      </c>
      <c r="W142" s="8" t="s">
        <v>486</v>
      </c>
      <c r="X142" s="8"/>
      <c r="Y142" s="8"/>
      <c r="Z142" s="8"/>
      <c r="AA142" s="8"/>
      <c r="AB142" s="8" t="s">
        <v>183</v>
      </c>
      <c r="AC142" s="8" t="s">
        <v>210</v>
      </c>
      <c r="AD142" s="14" t="s">
        <v>211</v>
      </c>
      <c r="AE142" s="8" t="s">
        <v>212</v>
      </c>
      <c r="AF142" s="14">
        <v>0.4</v>
      </c>
      <c r="AG142" s="8">
        <v>900</v>
      </c>
      <c r="AH142" s="8">
        <v>2500</v>
      </c>
      <c r="AI142" s="8">
        <v>30</v>
      </c>
      <c r="AJ142" s="8">
        <v>0</v>
      </c>
      <c r="AK142" s="127">
        <v>10.74</v>
      </c>
      <c r="AL142" s="103">
        <v>19.260000000000002</v>
      </c>
      <c r="AM142" s="8">
        <v>0</v>
      </c>
      <c r="AN142" s="21">
        <v>0</v>
      </c>
      <c r="AO142" s="21">
        <v>0</v>
      </c>
      <c r="AP142" s="21">
        <v>0</v>
      </c>
      <c r="AQ142" s="21">
        <v>0</v>
      </c>
      <c r="AR142" s="21">
        <v>0</v>
      </c>
      <c r="AS142" s="8">
        <v>19.260000000000002</v>
      </c>
      <c r="AT142" s="21">
        <v>19.260000000000002</v>
      </c>
      <c r="AU142" s="21">
        <v>0</v>
      </c>
      <c r="AV142" s="21">
        <v>0</v>
      </c>
      <c r="AW142" s="21">
        <v>0</v>
      </c>
      <c r="AX142" s="21">
        <v>0</v>
      </c>
      <c r="AY142" s="8">
        <v>0</v>
      </c>
    </row>
    <row r="143" spans="1:51" ht="15" customHeight="1" x14ac:dyDescent="0.25">
      <c r="A143" s="9">
        <v>742</v>
      </c>
      <c r="B143" s="13">
        <v>45707</v>
      </c>
      <c r="C143" s="9" t="s">
        <v>169</v>
      </c>
      <c r="D143" s="9">
        <v>9518533557</v>
      </c>
      <c r="E143" s="8">
        <v>5</v>
      </c>
      <c r="F143" s="9" t="s">
        <v>1789</v>
      </c>
      <c r="G143" s="9" t="s">
        <v>335</v>
      </c>
      <c r="H143" s="9" t="s">
        <v>57</v>
      </c>
      <c r="I143" s="9" t="s">
        <v>25</v>
      </c>
      <c r="J143" s="9" t="s">
        <v>31</v>
      </c>
      <c r="K143" s="9">
        <v>2000</v>
      </c>
      <c r="L143" s="39"/>
      <c r="M143" s="7" t="s">
        <v>1</v>
      </c>
      <c r="N143" s="8"/>
      <c r="O143" s="40"/>
      <c r="P143" s="15" t="s">
        <v>207</v>
      </c>
      <c r="Q143" s="9" t="s">
        <v>180</v>
      </c>
      <c r="R143" s="9" t="s">
        <v>208</v>
      </c>
      <c r="S143" s="9" t="s">
        <v>859</v>
      </c>
      <c r="T143" s="9">
        <v>101278</v>
      </c>
      <c r="U143" s="16" t="s">
        <v>95</v>
      </c>
      <c r="V143" s="9">
        <v>3239557</v>
      </c>
      <c r="W143" s="8" t="s">
        <v>750</v>
      </c>
      <c r="X143" s="8"/>
      <c r="Y143" s="8"/>
      <c r="Z143" s="8"/>
      <c r="AA143" s="8"/>
      <c r="AB143" s="8" t="s">
        <v>176</v>
      </c>
      <c r="AC143" s="8" t="s">
        <v>210</v>
      </c>
      <c r="AD143" s="14" t="s">
        <v>211</v>
      </c>
      <c r="AE143" s="8" t="s">
        <v>212</v>
      </c>
      <c r="AF143" s="14">
        <v>0.4</v>
      </c>
      <c r="AG143" s="8">
        <v>1250</v>
      </c>
      <c r="AH143" s="8">
        <v>0</v>
      </c>
      <c r="AI143" s="8">
        <v>30</v>
      </c>
      <c r="AJ143" s="8">
        <v>0</v>
      </c>
      <c r="AK143" s="127">
        <v>30</v>
      </c>
      <c r="AL143" s="103">
        <v>0</v>
      </c>
      <c r="AM143" s="8">
        <v>30</v>
      </c>
      <c r="AN143" s="21">
        <v>0</v>
      </c>
      <c r="AO143" s="21">
        <v>0</v>
      </c>
      <c r="AP143" s="21">
        <v>0</v>
      </c>
      <c r="AQ143" s="21">
        <v>30</v>
      </c>
      <c r="AR143" s="21">
        <v>0</v>
      </c>
      <c r="AS143" s="8">
        <v>30</v>
      </c>
      <c r="AT143" s="21">
        <v>0</v>
      </c>
      <c r="AU143" s="21">
        <v>0</v>
      </c>
      <c r="AV143" s="21">
        <v>0</v>
      </c>
      <c r="AW143" s="21">
        <v>30</v>
      </c>
      <c r="AX143" s="21">
        <v>0</v>
      </c>
      <c r="AY143" s="8">
        <v>0</v>
      </c>
    </row>
    <row r="144" spans="1:51" ht="15" customHeight="1" x14ac:dyDescent="0.25">
      <c r="A144" s="9">
        <v>743</v>
      </c>
      <c r="B144" s="13">
        <v>45710</v>
      </c>
      <c r="C144" s="9" t="s">
        <v>169</v>
      </c>
      <c r="D144" s="9">
        <v>9518542770</v>
      </c>
      <c r="E144" s="8">
        <v>7</v>
      </c>
      <c r="F144" s="9" t="s">
        <v>1790</v>
      </c>
      <c r="G144" s="9" t="s">
        <v>335</v>
      </c>
      <c r="H144" s="9" t="s">
        <v>57</v>
      </c>
      <c r="I144" s="9" t="s">
        <v>38</v>
      </c>
      <c r="J144" s="9" t="s">
        <v>39</v>
      </c>
      <c r="K144" s="9">
        <v>1000</v>
      </c>
      <c r="L144" s="39">
        <v>4000</v>
      </c>
      <c r="M144" s="7" t="s">
        <v>1</v>
      </c>
      <c r="N144" s="8"/>
      <c r="O144" s="40"/>
      <c r="P144" s="15" t="s">
        <v>220</v>
      </c>
      <c r="Q144" s="9" t="s">
        <v>264</v>
      </c>
      <c r="R144" s="9" t="s">
        <v>1568</v>
      </c>
      <c r="S144" s="9" t="s">
        <v>858</v>
      </c>
      <c r="T144" s="9">
        <v>942283</v>
      </c>
      <c r="U144" s="16" t="s">
        <v>105</v>
      </c>
      <c r="V144" s="9">
        <v>3239573</v>
      </c>
      <c r="W144" s="8" t="s">
        <v>429</v>
      </c>
      <c r="X144" s="8"/>
      <c r="Y144" s="8"/>
      <c r="Z144" s="8"/>
      <c r="AA144" s="8"/>
      <c r="AB144" s="8" t="s">
        <v>176</v>
      </c>
      <c r="AC144" s="8" t="s">
        <v>222</v>
      </c>
      <c r="AD144" s="14" t="s">
        <v>223</v>
      </c>
      <c r="AE144" s="8" t="s">
        <v>224</v>
      </c>
      <c r="AF144" s="14">
        <v>0.42</v>
      </c>
      <c r="AG144" s="8">
        <v>1220</v>
      </c>
      <c r="AH144" s="8">
        <v>0</v>
      </c>
      <c r="AI144" s="8">
        <v>56</v>
      </c>
      <c r="AJ144" s="8">
        <v>0</v>
      </c>
      <c r="AK144" s="127">
        <v>56</v>
      </c>
      <c r="AL144" s="103">
        <v>0</v>
      </c>
      <c r="AM144" s="8">
        <v>56</v>
      </c>
      <c r="AN144" s="21">
        <v>0</v>
      </c>
      <c r="AO144" s="21">
        <v>56</v>
      </c>
      <c r="AP144" s="21">
        <v>0</v>
      </c>
      <c r="AQ144" s="21">
        <v>0</v>
      </c>
      <c r="AR144" s="21">
        <v>0</v>
      </c>
      <c r="AS144" s="8">
        <v>56</v>
      </c>
      <c r="AT144" s="21">
        <v>0</v>
      </c>
      <c r="AU144" s="21">
        <v>0</v>
      </c>
      <c r="AV144" s="21">
        <v>56</v>
      </c>
      <c r="AW144" s="21">
        <v>0</v>
      </c>
      <c r="AX144" s="21">
        <v>0</v>
      </c>
      <c r="AY144" s="8">
        <v>0</v>
      </c>
    </row>
    <row r="145" spans="1:51" ht="15" customHeight="1" x14ac:dyDescent="0.25">
      <c r="A145" s="9">
        <v>743</v>
      </c>
      <c r="B145" s="13">
        <v>45712</v>
      </c>
      <c r="C145" s="9" t="s">
        <v>169</v>
      </c>
      <c r="D145" s="9">
        <v>9518546801</v>
      </c>
      <c r="E145" s="8">
        <v>2</v>
      </c>
      <c r="F145" s="9" t="s">
        <v>1791</v>
      </c>
      <c r="G145" s="9" t="s">
        <v>335</v>
      </c>
      <c r="H145" s="9" t="s">
        <v>57</v>
      </c>
      <c r="I145" s="9" t="s">
        <v>43</v>
      </c>
      <c r="J145" s="9" t="s">
        <v>46</v>
      </c>
      <c r="K145" s="9">
        <v>2000</v>
      </c>
      <c r="L145" s="39">
        <v>1700</v>
      </c>
      <c r="M145" s="7" t="s">
        <v>1</v>
      </c>
      <c r="N145" s="8"/>
      <c r="O145" s="40"/>
      <c r="P145" s="15" t="s">
        <v>239</v>
      </c>
      <c r="Q145" s="9" t="s">
        <v>214</v>
      </c>
      <c r="R145" s="9" t="s">
        <v>1578</v>
      </c>
      <c r="S145" s="9" t="s">
        <v>858</v>
      </c>
      <c r="T145" s="9">
        <v>942923</v>
      </c>
      <c r="U145" s="16" t="s">
        <v>126</v>
      </c>
      <c r="V145" s="9">
        <v>222922</v>
      </c>
      <c r="W145" s="8" t="s">
        <v>759</v>
      </c>
      <c r="X145" s="8"/>
      <c r="Y145" s="8"/>
      <c r="Z145" s="8"/>
      <c r="AA145" s="8"/>
      <c r="AB145" s="8" t="s">
        <v>183</v>
      </c>
      <c r="AC145" s="8" t="s">
        <v>269</v>
      </c>
      <c r="AD145" s="14" t="s">
        <v>185</v>
      </c>
      <c r="AE145" s="8" t="s">
        <v>165</v>
      </c>
      <c r="AF145" s="14">
        <v>0.3</v>
      </c>
      <c r="AG145" s="8">
        <v>1015</v>
      </c>
      <c r="AH145" s="8">
        <v>0</v>
      </c>
      <c r="AI145" s="8">
        <v>207</v>
      </c>
      <c r="AJ145" s="8">
        <v>0</v>
      </c>
      <c r="AK145" s="127">
        <v>207</v>
      </c>
      <c r="AL145" s="103">
        <v>0</v>
      </c>
      <c r="AM145" s="8">
        <v>207</v>
      </c>
      <c r="AN145" s="21">
        <v>0</v>
      </c>
      <c r="AO145" s="21">
        <v>0</v>
      </c>
      <c r="AP145" s="21">
        <v>0</v>
      </c>
      <c r="AQ145" s="21">
        <v>0</v>
      </c>
      <c r="AR145" s="21">
        <v>207</v>
      </c>
      <c r="AS145" s="8">
        <v>207</v>
      </c>
      <c r="AT145" s="21">
        <v>0</v>
      </c>
      <c r="AU145" s="21">
        <v>0</v>
      </c>
      <c r="AV145" s="21">
        <v>0</v>
      </c>
      <c r="AW145" s="21">
        <v>0</v>
      </c>
      <c r="AX145" s="21">
        <v>207</v>
      </c>
      <c r="AY145" s="8">
        <v>0</v>
      </c>
    </row>
    <row r="146" spans="1:51" ht="15" customHeight="1" x14ac:dyDescent="0.25">
      <c r="A146" s="9">
        <v>742</v>
      </c>
      <c r="B146" s="13">
        <v>45713</v>
      </c>
      <c r="C146" s="9" t="s">
        <v>169</v>
      </c>
      <c r="D146" s="9">
        <v>9518550511</v>
      </c>
      <c r="E146" s="8">
        <v>8</v>
      </c>
      <c r="F146" s="9" t="s">
        <v>1792</v>
      </c>
      <c r="G146" s="9" t="s">
        <v>335</v>
      </c>
      <c r="H146" s="9" t="s">
        <v>57</v>
      </c>
      <c r="I146" s="9" t="s">
        <v>25</v>
      </c>
      <c r="J146" s="9" t="s">
        <v>32</v>
      </c>
      <c r="K146" s="9">
        <v>2000</v>
      </c>
      <c r="L146" s="39"/>
      <c r="M146" s="7" t="s">
        <v>1</v>
      </c>
      <c r="N146" s="8"/>
      <c r="O146" s="40"/>
      <c r="P146" s="15" t="s">
        <v>239</v>
      </c>
      <c r="Q146" s="9" t="s">
        <v>214</v>
      </c>
      <c r="R146" s="9" t="s">
        <v>1579</v>
      </c>
      <c r="S146" s="9" t="s">
        <v>858</v>
      </c>
      <c r="T146" s="9">
        <v>939268</v>
      </c>
      <c r="U146" s="16" t="s">
        <v>85</v>
      </c>
      <c r="V146" s="9">
        <v>2420540</v>
      </c>
      <c r="W146" s="8" t="s">
        <v>560</v>
      </c>
      <c r="X146" s="8"/>
      <c r="Y146" s="8"/>
      <c r="Z146" s="8"/>
      <c r="AA146" s="8"/>
      <c r="AB146" s="8" t="s">
        <v>176</v>
      </c>
      <c r="AC146" s="8" t="s">
        <v>190</v>
      </c>
      <c r="AD146" s="14" t="s">
        <v>191</v>
      </c>
      <c r="AE146" s="8" t="s">
        <v>530</v>
      </c>
      <c r="AF146" s="14">
        <v>2.5</v>
      </c>
      <c r="AG146" s="8">
        <v>1250</v>
      </c>
      <c r="AH146" s="8">
        <v>0</v>
      </c>
      <c r="AI146" s="8">
        <v>116</v>
      </c>
      <c r="AJ146" s="8">
        <v>90.424999999999997</v>
      </c>
      <c r="AK146" s="127">
        <v>25.574999999999999</v>
      </c>
      <c r="AL146" s="103">
        <v>0</v>
      </c>
      <c r="AM146" s="8">
        <v>25.574999999999999</v>
      </c>
      <c r="AN146" s="21">
        <v>0</v>
      </c>
      <c r="AO146" s="21">
        <v>0</v>
      </c>
      <c r="AP146" s="21">
        <v>25.574999999999999</v>
      </c>
      <c r="AQ146" s="21">
        <v>0</v>
      </c>
      <c r="AR146" s="21">
        <v>0</v>
      </c>
      <c r="AS146" s="8">
        <v>25.574999999999999</v>
      </c>
      <c r="AT146" s="21">
        <v>0</v>
      </c>
      <c r="AU146" s="21">
        <v>0</v>
      </c>
      <c r="AV146" s="21">
        <v>25.574999999999999</v>
      </c>
      <c r="AW146" s="21">
        <v>0</v>
      </c>
      <c r="AX146" s="21">
        <v>0</v>
      </c>
      <c r="AY146" s="8">
        <v>0</v>
      </c>
    </row>
    <row r="147" spans="1:51" ht="15" customHeight="1" x14ac:dyDescent="0.25">
      <c r="A147" s="9">
        <v>4310</v>
      </c>
      <c r="B147" s="13">
        <v>45715</v>
      </c>
      <c r="C147" s="9" t="s">
        <v>193</v>
      </c>
      <c r="D147" s="9">
        <v>9518559566</v>
      </c>
      <c r="E147" s="8">
        <v>1</v>
      </c>
      <c r="F147" s="9" t="s">
        <v>1793</v>
      </c>
      <c r="G147" s="9" t="s">
        <v>1687</v>
      </c>
      <c r="H147" s="9" t="s">
        <v>57</v>
      </c>
      <c r="I147" s="9" t="s">
        <v>25</v>
      </c>
      <c r="J147" s="9" t="s">
        <v>29</v>
      </c>
      <c r="K147" s="9">
        <v>1000</v>
      </c>
      <c r="L147" s="39"/>
      <c r="M147" s="7" t="s">
        <v>1</v>
      </c>
      <c r="N147" s="8"/>
      <c r="O147" s="40" t="s">
        <v>1335</v>
      </c>
      <c r="P147" s="15" t="s">
        <v>207</v>
      </c>
      <c r="Q147" s="9" t="s">
        <v>180</v>
      </c>
      <c r="R147" s="9" t="s">
        <v>1580</v>
      </c>
      <c r="S147" s="9" t="s">
        <v>858</v>
      </c>
      <c r="T147" s="9">
        <v>600250</v>
      </c>
      <c r="U147" s="16" t="s">
        <v>67</v>
      </c>
      <c r="V147" s="9">
        <v>3659268</v>
      </c>
      <c r="W147" s="8" t="s">
        <v>325</v>
      </c>
      <c r="X147" s="8"/>
      <c r="Y147" s="8"/>
      <c r="Z147" s="8"/>
      <c r="AA147" s="8"/>
      <c r="AB147" s="8" t="s">
        <v>176</v>
      </c>
      <c r="AC147" s="8" t="s">
        <v>190</v>
      </c>
      <c r="AD147" s="14" t="s">
        <v>197</v>
      </c>
      <c r="AE147" s="8" t="s">
        <v>326</v>
      </c>
      <c r="AF147" s="14">
        <v>0.5</v>
      </c>
      <c r="AG147" s="8">
        <v>1217</v>
      </c>
      <c r="AH147" s="8">
        <v>0</v>
      </c>
      <c r="AI147" s="8">
        <v>140</v>
      </c>
      <c r="AJ147" s="8">
        <v>0</v>
      </c>
      <c r="AK147" s="127">
        <v>15.63</v>
      </c>
      <c r="AL147" s="103">
        <v>41.314999999999998</v>
      </c>
      <c r="AM147" s="8">
        <v>0</v>
      </c>
      <c r="AN147" s="21">
        <v>0</v>
      </c>
      <c r="AO147" s="21">
        <v>0</v>
      </c>
      <c r="AP147" s="21">
        <v>0</v>
      </c>
      <c r="AQ147" s="21">
        <v>0</v>
      </c>
      <c r="AR147" s="21">
        <v>0</v>
      </c>
      <c r="AS147" s="8">
        <v>41.314999999999998</v>
      </c>
      <c r="AT147" s="21">
        <v>41.314999999999998</v>
      </c>
      <c r="AU147" s="21">
        <v>0</v>
      </c>
      <c r="AV147" s="21">
        <v>0</v>
      </c>
      <c r="AW147" s="21">
        <v>0</v>
      </c>
      <c r="AX147" s="21">
        <v>0</v>
      </c>
      <c r="AY147" s="8">
        <v>0</v>
      </c>
    </row>
    <row r="148" spans="1:51" ht="15" customHeight="1" x14ac:dyDescent="0.25">
      <c r="A148" s="9">
        <v>742</v>
      </c>
      <c r="B148" s="13">
        <v>45719</v>
      </c>
      <c r="C148" s="9" t="s">
        <v>169</v>
      </c>
      <c r="D148" s="9">
        <v>9518569788</v>
      </c>
      <c r="E148" s="8">
        <v>1</v>
      </c>
      <c r="F148" s="9" t="s">
        <v>1794</v>
      </c>
      <c r="G148" s="9" t="s">
        <v>335</v>
      </c>
      <c r="H148" s="9" t="s">
        <v>57</v>
      </c>
      <c r="I148" s="9" t="s">
        <v>25</v>
      </c>
      <c r="J148" s="9" t="s">
        <v>31</v>
      </c>
      <c r="K148" s="9">
        <v>2000</v>
      </c>
      <c r="L148" s="39"/>
      <c r="M148" s="7" t="s">
        <v>1</v>
      </c>
      <c r="N148" s="8"/>
      <c r="O148" s="40"/>
      <c r="P148" s="15" t="s">
        <v>216</v>
      </c>
      <c r="Q148" s="9" t="s">
        <v>180</v>
      </c>
      <c r="R148" s="9" t="s">
        <v>1574</v>
      </c>
      <c r="S148" s="9" t="s">
        <v>859</v>
      </c>
      <c r="T148" s="9">
        <v>116649</v>
      </c>
      <c r="U148" s="16" t="s">
        <v>96</v>
      </c>
      <c r="V148" s="9">
        <v>3239542</v>
      </c>
      <c r="W148" s="8" t="s">
        <v>485</v>
      </c>
      <c r="X148" s="8"/>
      <c r="Y148" s="8"/>
      <c r="Z148" s="8"/>
      <c r="AA148" s="8"/>
      <c r="AB148" s="8" t="s">
        <v>183</v>
      </c>
      <c r="AC148" s="8" t="s">
        <v>210</v>
      </c>
      <c r="AD148" s="14" t="s">
        <v>211</v>
      </c>
      <c r="AE148" s="8" t="s">
        <v>212</v>
      </c>
      <c r="AF148" s="14">
        <v>0.35</v>
      </c>
      <c r="AG148" s="8">
        <v>1000</v>
      </c>
      <c r="AH148" s="8">
        <v>2500</v>
      </c>
      <c r="AI148" s="8">
        <v>24</v>
      </c>
      <c r="AJ148" s="8">
        <v>0</v>
      </c>
      <c r="AK148" s="127">
        <v>24</v>
      </c>
      <c r="AL148" s="103">
        <v>0</v>
      </c>
      <c r="AM148" s="8">
        <v>24</v>
      </c>
      <c r="AN148" s="21">
        <v>0</v>
      </c>
      <c r="AO148" s="21">
        <v>0</v>
      </c>
      <c r="AP148" s="21">
        <v>0</v>
      </c>
      <c r="AQ148" s="21">
        <v>24</v>
      </c>
      <c r="AR148" s="21">
        <v>0</v>
      </c>
      <c r="AS148" s="8">
        <v>24</v>
      </c>
      <c r="AT148" s="21">
        <v>0</v>
      </c>
      <c r="AU148" s="21">
        <v>0</v>
      </c>
      <c r="AV148" s="21">
        <v>0</v>
      </c>
      <c r="AW148" s="21">
        <v>24</v>
      </c>
      <c r="AX148" s="21">
        <v>0</v>
      </c>
      <c r="AY148" s="8">
        <v>0</v>
      </c>
    </row>
    <row r="149" spans="1:51" ht="15" customHeight="1" x14ac:dyDescent="0.25">
      <c r="A149" s="9">
        <v>743</v>
      </c>
      <c r="B149" s="13">
        <v>45724</v>
      </c>
      <c r="C149" s="9" t="s">
        <v>169</v>
      </c>
      <c r="D149" s="9">
        <v>9518584468</v>
      </c>
      <c r="E149" s="8">
        <v>1</v>
      </c>
      <c r="F149" s="9" t="s">
        <v>1795</v>
      </c>
      <c r="G149" s="9" t="s">
        <v>1687</v>
      </c>
      <c r="H149" s="9" t="s">
        <v>57</v>
      </c>
      <c r="I149" s="9" t="s">
        <v>38</v>
      </c>
      <c r="J149" s="9" t="s">
        <v>39</v>
      </c>
      <c r="K149" s="9">
        <v>1000</v>
      </c>
      <c r="L149" s="39"/>
      <c r="M149" s="7" t="s">
        <v>1</v>
      </c>
      <c r="N149" s="8"/>
      <c r="O149" s="40"/>
      <c r="P149" s="15" t="s">
        <v>245</v>
      </c>
      <c r="Q149" s="9" t="s">
        <v>264</v>
      </c>
      <c r="R149" s="9" t="s">
        <v>1581</v>
      </c>
      <c r="S149" s="9" t="s">
        <v>858</v>
      </c>
      <c r="T149" s="9">
        <v>942294</v>
      </c>
      <c r="U149" s="16" t="s">
        <v>105</v>
      </c>
      <c r="V149" s="9">
        <v>3946362</v>
      </c>
      <c r="W149" s="8" t="s">
        <v>416</v>
      </c>
      <c r="X149" s="8"/>
      <c r="Y149" s="8"/>
      <c r="Z149" s="8"/>
      <c r="AA149" s="8"/>
      <c r="AB149" s="8" t="s">
        <v>176</v>
      </c>
      <c r="AC149" s="8" t="s">
        <v>222</v>
      </c>
      <c r="AD149" s="14" t="s">
        <v>223</v>
      </c>
      <c r="AE149" s="8" t="s">
        <v>417</v>
      </c>
      <c r="AF149" s="14">
        <v>0.47</v>
      </c>
      <c r="AG149" s="8">
        <v>1220</v>
      </c>
      <c r="AH149" s="8">
        <v>0</v>
      </c>
      <c r="AI149" s="8">
        <v>168</v>
      </c>
      <c r="AJ149" s="8">
        <v>114.02</v>
      </c>
      <c r="AK149" s="127">
        <v>0.17499999999999999</v>
      </c>
      <c r="AL149" s="103">
        <v>11.31</v>
      </c>
      <c r="AM149" s="8">
        <v>0</v>
      </c>
      <c r="AN149" s="21">
        <v>0</v>
      </c>
      <c r="AO149" s="21">
        <v>0</v>
      </c>
      <c r="AP149" s="21">
        <v>0</v>
      </c>
      <c r="AQ149" s="21">
        <v>0</v>
      </c>
      <c r="AR149" s="21">
        <v>0</v>
      </c>
      <c r="AS149" s="8">
        <v>11.31</v>
      </c>
      <c r="AT149" s="21">
        <v>11.31</v>
      </c>
      <c r="AU149" s="21">
        <v>0</v>
      </c>
      <c r="AV149" s="21">
        <v>0</v>
      </c>
      <c r="AW149" s="21">
        <v>0</v>
      </c>
      <c r="AX149" s="21">
        <v>0</v>
      </c>
      <c r="AY149" s="8">
        <v>0</v>
      </c>
    </row>
    <row r="150" spans="1:51" ht="15" customHeight="1" x14ac:dyDescent="0.25">
      <c r="A150" s="9">
        <v>742</v>
      </c>
      <c r="B150" s="13">
        <v>45724</v>
      </c>
      <c r="C150" s="9" t="s">
        <v>169</v>
      </c>
      <c r="D150" s="9">
        <v>9518585068</v>
      </c>
      <c r="E150" s="8">
        <v>1</v>
      </c>
      <c r="F150" s="9" t="s">
        <v>1796</v>
      </c>
      <c r="G150" s="9" t="s">
        <v>1303</v>
      </c>
      <c r="H150" s="9" t="s">
        <v>57</v>
      </c>
      <c r="I150" s="9" t="s">
        <v>25</v>
      </c>
      <c r="J150" s="9" t="s">
        <v>31</v>
      </c>
      <c r="K150" s="9">
        <v>2000</v>
      </c>
      <c r="L150" s="39"/>
      <c r="M150" s="7" t="s">
        <v>1</v>
      </c>
      <c r="N150" s="8"/>
      <c r="O150" s="40" t="s">
        <v>1335</v>
      </c>
      <c r="P150" s="15" t="s">
        <v>216</v>
      </c>
      <c r="Q150" s="9" t="s">
        <v>180</v>
      </c>
      <c r="R150" s="9" t="s">
        <v>1574</v>
      </c>
      <c r="S150" s="9" t="s">
        <v>858</v>
      </c>
      <c r="T150" s="9">
        <v>116649</v>
      </c>
      <c r="U150" s="16" t="s">
        <v>96</v>
      </c>
      <c r="V150" s="9">
        <v>3516009</v>
      </c>
      <c r="W150" s="8" t="s">
        <v>765</v>
      </c>
      <c r="X150" s="8"/>
      <c r="Y150" s="8"/>
      <c r="Z150" s="8"/>
      <c r="AA150" s="8"/>
      <c r="AB150" s="8" t="s">
        <v>176</v>
      </c>
      <c r="AC150" s="8" t="s">
        <v>190</v>
      </c>
      <c r="AD150" s="14" t="s">
        <v>218</v>
      </c>
      <c r="AE150" s="8" t="s">
        <v>219</v>
      </c>
      <c r="AF150" s="14">
        <v>0.7</v>
      </c>
      <c r="AG150" s="8">
        <v>1250</v>
      </c>
      <c r="AH150" s="8">
        <v>0</v>
      </c>
      <c r="AI150" s="8">
        <v>87</v>
      </c>
      <c r="AJ150" s="8">
        <v>0</v>
      </c>
      <c r="AK150" s="127">
        <v>60.71</v>
      </c>
      <c r="AL150" s="103">
        <v>0</v>
      </c>
      <c r="AM150" s="8">
        <v>60.71</v>
      </c>
      <c r="AN150" s="21">
        <v>0</v>
      </c>
      <c r="AO150" s="21">
        <v>60.71</v>
      </c>
      <c r="AP150" s="21">
        <v>0</v>
      </c>
      <c r="AQ150" s="21">
        <v>0</v>
      </c>
      <c r="AR150" s="21">
        <v>0</v>
      </c>
      <c r="AS150" s="8">
        <v>60.71</v>
      </c>
      <c r="AT150" s="21">
        <v>0</v>
      </c>
      <c r="AU150" s="21">
        <v>60.71</v>
      </c>
      <c r="AV150" s="21">
        <v>0</v>
      </c>
      <c r="AW150" s="21">
        <v>0</v>
      </c>
      <c r="AX150" s="21">
        <v>0</v>
      </c>
      <c r="AY150" s="8">
        <v>0</v>
      </c>
    </row>
    <row r="151" spans="1:51" ht="15" customHeight="1" x14ac:dyDescent="0.25">
      <c r="A151" s="9">
        <v>742</v>
      </c>
      <c r="B151" s="13">
        <v>45727</v>
      </c>
      <c r="C151" s="9" t="s">
        <v>169</v>
      </c>
      <c r="D151" s="9">
        <v>9518592268</v>
      </c>
      <c r="E151" s="8">
        <v>1</v>
      </c>
      <c r="F151" s="9" t="s">
        <v>1797</v>
      </c>
      <c r="G151" s="9" t="s">
        <v>335</v>
      </c>
      <c r="H151" s="9" t="s">
        <v>57</v>
      </c>
      <c r="I151" s="9" t="s">
        <v>25</v>
      </c>
      <c r="J151" s="9" t="s">
        <v>31</v>
      </c>
      <c r="K151" s="9">
        <v>2000</v>
      </c>
      <c r="L151" s="39"/>
      <c r="M151" s="7" t="s">
        <v>1</v>
      </c>
      <c r="N151" s="8"/>
      <c r="O151" s="40"/>
      <c r="P151" s="15" t="s">
        <v>207</v>
      </c>
      <c r="Q151" s="9" t="s">
        <v>180</v>
      </c>
      <c r="R151" s="9" t="s">
        <v>722</v>
      </c>
      <c r="S151" s="9" t="s">
        <v>859</v>
      </c>
      <c r="T151" s="9">
        <v>948783</v>
      </c>
      <c r="U151" s="16" t="s">
        <v>96</v>
      </c>
      <c r="V151" s="9">
        <v>3239557</v>
      </c>
      <c r="W151" s="8" t="s">
        <v>750</v>
      </c>
      <c r="X151" s="8"/>
      <c r="Y151" s="8"/>
      <c r="Z151" s="8"/>
      <c r="AA151" s="8"/>
      <c r="AB151" s="8" t="s">
        <v>176</v>
      </c>
      <c r="AC151" s="8" t="s">
        <v>210</v>
      </c>
      <c r="AD151" s="14" t="s">
        <v>211</v>
      </c>
      <c r="AE151" s="8" t="s">
        <v>212</v>
      </c>
      <c r="AF151" s="14">
        <v>0.4</v>
      </c>
      <c r="AG151" s="8">
        <v>1250</v>
      </c>
      <c r="AH151" s="8">
        <v>0</v>
      </c>
      <c r="AI151" s="8">
        <v>27</v>
      </c>
      <c r="AJ151" s="8">
        <v>0</v>
      </c>
      <c r="AK151" s="127">
        <v>27</v>
      </c>
      <c r="AL151" s="103">
        <v>0</v>
      </c>
      <c r="AM151" s="8">
        <v>27</v>
      </c>
      <c r="AN151" s="21">
        <v>0</v>
      </c>
      <c r="AO151" s="21">
        <v>0</v>
      </c>
      <c r="AP151" s="21">
        <v>0</v>
      </c>
      <c r="AQ151" s="21">
        <v>27</v>
      </c>
      <c r="AR151" s="21">
        <v>0</v>
      </c>
      <c r="AS151" s="8">
        <v>27</v>
      </c>
      <c r="AT151" s="21">
        <v>0</v>
      </c>
      <c r="AU151" s="21">
        <v>0</v>
      </c>
      <c r="AV151" s="21">
        <v>0</v>
      </c>
      <c r="AW151" s="21">
        <v>27</v>
      </c>
      <c r="AX151" s="21">
        <v>0</v>
      </c>
      <c r="AY151" s="8">
        <v>0</v>
      </c>
    </row>
    <row r="152" spans="1:51" ht="15" customHeight="1" x14ac:dyDescent="0.25">
      <c r="A152" s="9">
        <v>744</v>
      </c>
      <c r="B152" s="13">
        <v>45729</v>
      </c>
      <c r="C152" s="9" t="s">
        <v>169</v>
      </c>
      <c r="D152" s="9">
        <v>9518599122</v>
      </c>
      <c r="E152" s="8">
        <v>3</v>
      </c>
      <c r="F152" s="9" t="s">
        <v>1798</v>
      </c>
      <c r="G152" s="9" t="s">
        <v>335</v>
      </c>
      <c r="H152" s="9" t="s">
        <v>57</v>
      </c>
      <c r="I152" s="9" t="s">
        <v>48</v>
      </c>
      <c r="J152" s="9" t="s">
        <v>39</v>
      </c>
      <c r="K152" s="9">
        <v>1000</v>
      </c>
      <c r="L152" s="39"/>
      <c r="M152" s="7" t="s">
        <v>1</v>
      </c>
      <c r="N152" s="8"/>
      <c r="O152" s="40"/>
      <c r="P152" s="15" t="s">
        <v>220</v>
      </c>
      <c r="Q152" s="9" t="s">
        <v>264</v>
      </c>
      <c r="R152" s="9" t="s">
        <v>1568</v>
      </c>
      <c r="S152" s="9" t="s">
        <v>858</v>
      </c>
      <c r="T152" s="9">
        <v>941597</v>
      </c>
      <c r="U152" s="16" t="s">
        <v>105</v>
      </c>
      <c r="V152" s="9">
        <v>3902332</v>
      </c>
      <c r="W152" s="8" t="s">
        <v>353</v>
      </c>
      <c r="X152" s="8"/>
      <c r="Y152" s="8"/>
      <c r="Z152" s="8"/>
      <c r="AA152" s="8"/>
      <c r="AB152" s="8" t="s">
        <v>176</v>
      </c>
      <c r="AC152" s="8" t="s">
        <v>228</v>
      </c>
      <c r="AD152" s="14" t="s">
        <v>229</v>
      </c>
      <c r="AE152" s="8" t="s">
        <v>354</v>
      </c>
      <c r="AF152" s="14">
        <v>0.5</v>
      </c>
      <c r="AG152" s="8">
        <v>1220</v>
      </c>
      <c r="AH152" s="8">
        <v>0</v>
      </c>
      <c r="AI152" s="8">
        <v>28</v>
      </c>
      <c r="AJ152" s="8">
        <v>0</v>
      </c>
      <c r="AK152" s="127">
        <v>28</v>
      </c>
      <c r="AL152" s="103">
        <v>0</v>
      </c>
      <c r="AM152" s="8">
        <v>28</v>
      </c>
      <c r="AN152" s="21">
        <v>0</v>
      </c>
      <c r="AO152" s="21">
        <v>0</v>
      </c>
      <c r="AP152" s="21">
        <v>0</v>
      </c>
      <c r="AQ152" s="21">
        <v>28</v>
      </c>
      <c r="AR152" s="21">
        <v>0</v>
      </c>
      <c r="AS152" s="8">
        <v>28</v>
      </c>
      <c r="AT152" s="21">
        <v>0</v>
      </c>
      <c r="AU152" s="21">
        <v>0</v>
      </c>
      <c r="AV152" s="21">
        <v>0</v>
      </c>
      <c r="AW152" s="21">
        <v>28</v>
      </c>
      <c r="AX152" s="21">
        <v>0</v>
      </c>
      <c r="AY152" s="8">
        <v>0</v>
      </c>
    </row>
    <row r="153" spans="1:51" ht="15" customHeight="1" x14ac:dyDescent="0.25">
      <c r="A153" s="9">
        <v>742</v>
      </c>
      <c r="B153" s="13">
        <v>45732</v>
      </c>
      <c r="C153" s="9" t="s">
        <v>169</v>
      </c>
      <c r="D153" s="9">
        <v>9518604267</v>
      </c>
      <c r="E153" s="8">
        <v>1</v>
      </c>
      <c r="F153" s="9" t="s">
        <v>1799</v>
      </c>
      <c r="G153" s="9" t="s">
        <v>335</v>
      </c>
      <c r="H153" s="9" t="s">
        <v>57</v>
      </c>
      <c r="I153" s="9" t="s">
        <v>35</v>
      </c>
      <c r="J153" s="9" t="s">
        <v>28</v>
      </c>
      <c r="K153" s="9">
        <v>1000</v>
      </c>
      <c r="L153" s="39"/>
      <c r="M153" s="7" t="s">
        <v>1</v>
      </c>
      <c r="N153" s="8"/>
      <c r="O153" s="40"/>
      <c r="P153" s="15" t="s">
        <v>289</v>
      </c>
      <c r="Q153" s="9" t="s">
        <v>188</v>
      </c>
      <c r="R153" s="9" t="s">
        <v>1582</v>
      </c>
      <c r="S153" s="9" t="s">
        <v>858</v>
      </c>
      <c r="T153" s="9">
        <v>189108</v>
      </c>
      <c r="U153" s="16" t="s">
        <v>104</v>
      </c>
      <c r="V153" s="9">
        <v>3577912</v>
      </c>
      <c r="W153" s="8" t="s">
        <v>602</v>
      </c>
      <c r="X153" s="8"/>
      <c r="Y153" s="8"/>
      <c r="Z153" s="8"/>
      <c r="AA153" s="8"/>
      <c r="AB153" s="8" t="s">
        <v>176</v>
      </c>
      <c r="AC153" s="8" t="s">
        <v>292</v>
      </c>
      <c r="AD153" s="14" t="s">
        <v>293</v>
      </c>
      <c r="AE153" s="8" t="s">
        <v>294</v>
      </c>
      <c r="AF153" s="14">
        <v>0.36</v>
      </c>
      <c r="AG153" s="8">
        <v>1320</v>
      </c>
      <c r="AH153" s="8">
        <v>0</v>
      </c>
      <c r="AI153" s="8">
        <v>300</v>
      </c>
      <c r="AJ153" s="8">
        <v>0</v>
      </c>
      <c r="AK153" s="127">
        <v>65.415000000000006</v>
      </c>
      <c r="AL153" s="103">
        <v>55.954999999999998</v>
      </c>
      <c r="AM153" s="8">
        <v>65.415000000000006</v>
      </c>
      <c r="AN153" s="21">
        <v>0</v>
      </c>
      <c r="AO153" s="21">
        <v>65.415000000000006</v>
      </c>
      <c r="AP153" s="21">
        <v>0</v>
      </c>
      <c r="AQ153" s="21">
        <v>0</v>
      </c>
      <c r="AR153" s="21">
        <v>0</v>
      </c>
      <c r="AS153" s="8">
        <v>121.37</v>
      </c>
      <c r="AT153" s="21">
        <v>0</v>
      </c>
      <c r="AU153" s="21">
        <v>0</v>
      </c>
      <c r="AV153" s="21">
        <v>121.37</v>
      </c>
      <c r="AW153" s="21">
        <v>0</v>
      </c>
      <c r="AX153" s="21">
        <v>0</v>
      </c>
      <c r="AY153" s="8">
        <v>0</v>
      </c>
    </row>
    <row r="154" spans="1:51" ht="15" customHeight="1" x14ac:dyDescent="0.25">
      <c r="A154" s="9">
        <v>742</v>
      </c>
      <c r="B154" s="13">
        <v>45732</v>
      </c>
      <c r="C154" s="9" t="s">
        <v>169</v>
      </c>
      <c r="D154" s="9">
        <v>9518604267</v>
      </c>
      <c r="E154" s="8">
        <v>3</v>
      </c>
      <c r="F154" s="9" t="s">
        <v>1800</v>
      </c>
      <c r="G154" s="9" t="s">
        <v>335</v>
      </c>
      <c r="H154" s="9" t="s">
        <v>57</v>
      </c>
      <c r="I154" s="9" t="s">
        <v>35</v>
      </c>
      <c r="J154" s="9" t="s">
        <v>28</v>
      </c>
      <c r="K154" s="9">
        <v>1000</v>
      </c>
      <c r="L154" s="39"/>
      <c r="M154" s="7" t="s">
        <v>1</v>
      </c>
      <c r="N154" s="8"/>
      <c r="O154" s="40"/>
      <c r="P154" s="15" t="s">
        <v>289</v>
      </c>
      <c r="Q154" s="9" t="s">
        <v>188</v>
      </c>
      <c r="R154" s="9" t="s">
        <v>1582</v>
      </c>
      <c r="S154" s="9" t="s">
        <v>858</v>
      </c>
      <c r="T154" s="9">
        <v>189108</v>
      </c>
      <c r="U154" s="16" t="s">
        <v>104</v>
      </c>
      <c r="V154" s="9">
        <v>3577912</v>
      </c>
      <c r="W154" s="8" t="s">
        <v>602</v>
      </c>
      <c r="X154" s="8"/>
      <c r="Y154" s="8"/>
      <c r="Z154" s="8"/>
      <c r="AA154" s="8"/>
      <c r="AB154" s="8" t="s">
        <v>176</v>
      </c>
      <c r="AC154" s="8" t="s">
        <v>292</v>
      </c>
      <c r="AD154" s="14" t="s">
        <v>293</v>
      </c>
      <c r="AE154" s="8" t="s">
        <v>294</v>
      </c>
      <c r="AF154" s="14">
        <v>0.36</v>
      </c>
      <c r="AG154" s="8">
        <v>1320</v>
      </c>
      <c r="AH154" s="8">
        <v>0</v>
      </c>
      <c r="AI154" s="8">
        <v>270</v>
      </c>
      <c r="AJ154" s="8">
        <v>0</v>
      </c>
      <c r="AK154" s="127">
        <v>63.314999999999998</v>
      </c>
      <c r="AL154" s="103">
        <v>125.26499999999999</v>
      </c>
      <c r="AM154" s="8">
        <v>63.314999999999998</v>
      </c>
      <c r="AN154" s="21">
        <v>0</v>
      </c>
      <c r="AO154" s="21">
        <v>63.314999999999998</v>
      </c>
      <c r="AP154" s="21">
        <v>0</v>
      </c>
      <c r="AQ154" s="21">
        <v>0</v>
      </c>
      <c r="AR154" s="21">
        <v>0</v>
      </c>
      <c r="AS154" s="8">
        <v>188.57999999999998</v>
      </c>
      <c r="AT154" s="21">
        <v>0</v>
      </c>
      <c r="AU154" s="21">
        <v>0</v>
      </c>
      <c r="AV154" s="21">
        <v>188.57999999999998</v>
      </c>
      <c r="AW154" s="21">
        <v>0</v>
      </c>
      <c r="AX154" s="21">
        <v>0</v>
      </c>
      <c r="AY154" s="8">
        <v>0</v>
      </c>
    </row>
    <row r="155" spans="1:51" ht="15" customHeight="1" x14ac:dyDescent="0.25">
      <c r="A155" s="9">
        <v>742</v>
      </c>
      <c r="B155" s="13">
        <v>45733</v>
      </c>
      <c r="C155" s="9" t="s">
        <v>169</v>
      </c>
      <c r="D155" s="9">
        <v>9518605539</v>
      </c>
      <c r="E155" s="8">
        <v>3</v>
      </c>
      <c r="F155" s="9" t="s">
        <v>1801</v>
      </c>
      <c r="G155" s="9" t="s">
        <v>1687</v>
      </c>
      <c r="H155" s="9" t="s">
        <v>57</v>
      </c>
      <c r="I155" s="9" t="s">
        <v>25</v>
      </c>
      <c r="J155" s="9" t="s">
        <v>31</v>
      </c>
      <c r="K155" s="9">
        <v>2000</v>
      </c>
      <c r="L155" s="39"/>
      <c r="M155" s="7" t="s">
        <v>1</v>
      </c>
      <c r="N155" s="8"/>
      <c r="O155" s="40"/>
      <c r="P155" s="15" t="s">
        <v>207</v>
      </c>
      <c r="Q155" s="9" t="s">
        <v>180</v>
      </c>
      <c r="R155" s="9" t="s">
        <v>208</v>
      </c>
      <c r="S155" s="9" t="s">
        <v>859</v>
      </c>
      <c r="T155" s="9">
        <v>925093</v>
      </c>
      <c r="U155" s="16" t="s">
        <v>79</v>
      </c>
      <c r="V155" s="9">
        <v>3239548</v>
      </c>
      <c r="W155" s="8" t="s">
        <v>486</v>
      </c>
      <c r="X155" s="8"/>
      <c r="Y155" s="8"/>
      <c r="Z155" s="8"/>
      <c r="AA155" s="8"/>
      <c r="AB155" s="8" t="s">
        <v>183</v>
      </c>
      <c r="AC155" s="8" t="s">
        <v>210</v>
      </c>
      <c r="AD155" s="14" t="s">
        <v>211</v>
      </c>
      <c r="AE155" s="8" t="s">
        <v>212</v>
      </c>
      <c r="AF155" s="14">
        <v>0.4</v>
      </c>
      <c r="AG155" s="8">
        <v>900</v>
      </c>
      <c r="AH155" s="8">
        <v>2500</v>
      </c>
      <c r="AI155" s="8">
        <v>24</v>
      </c>
      <c r="AJ155" s="8">
        <v>0</v>
      </c>
      <c r="AK155" s="127">
        <v>4.3449999999999998</v>
      </c>
      <c r="AL155" s="103">
        <v>19.654999999999998</v>
      </c>
      <c r="AM155" s="8">
        <v>0</v>
      </c>
      <c r="AN155" s="21">
        <v>0</v>
      </c>
      <c r="AO155" s="21">
        <v>0</v>
      </c>
      <c r="AP155" s="21">
        <v>0</v>
      </c>
      <c r="AQ155" s="21">
        <v>0</v>
      </c>
      <c r="AR155" s="21">
        <v>0</v>
      </c>
      <c r="AS155" s="8">
        <v>19.654999999999998</v>
      </c>
      <c r="AT155" s="21">
        <v>19.654999999999998</v>
      </c>
      <c r="AU155" s="21">
        <v>0</v>
      </c>
      <c r="AV155" s="21">
        <v>0</v>
      </c>
      <c r="AW155" s="21">
        <v>0</v>
      </c>
      <c r="AX155" s="21">
        <v>0</v>
      </c>
      <c r="AY155" s="8">
        <v>0</v>
      </c>
    </row>
    <row r="156" spans="1:51" ht="15" customHeight="1" x14ac:dyDescent="0.25">
      <c r="A156" s="9">
        <v>743</v>
      </c>
      <c r="B156" s="13">
        <v>45734</v>
      </c>
      <c r="C156" s="9" t="s">
        <v>169</v>
      </c>
      <c r="D156" s="9">
        <v>9518609826</v>
      </c>
      <c r="E156" s="8">
        <v>2</v>
      </c>
      <c r="F156" s="9" t="s">
        <v>1802</v>
      </c>
      <c r="G156" s="9" t="s">
        <v>1687</v>
      </c>
      <c r="H156" s="9" t="s">
        <v>57</v>
      </c>
      <c r="I156" s="9" t="s">
        <v>38</v>
      </c>
      <c r="J156" s="9" t="s">
        <v>39</v>
      </c>
      <c r="K156" s="9">
        <v>1000</v>
      </c>
      <c r="L156" s="39"/>
      <c r="M156" s="7" t="s">
        <v>1</v>
      </c>
      <c r="N156" s="8"/>
      <c r="O156" s="40"/>
      <c r="P156" s="15" t="s">
        <v>220</v>
      </c>
      <c r="Q156" s="9" t="s">
        <v>264</v>
      </c>
      <c r="R156" s="9" t="s">
        <v>1573</v>
      </c>
      <c r="S156" s="9" t="s">
        <v>858</v>
      </c>
      <c r="T156" s="9">
        <v>942284</v>
      </c>
      <c r="U156" s="16" t="s">
        <v>105</v>
      </c>
      <c r="V156" s="9">
        <v>3946364</v>
      </c>
      <c r="W156" s="8" t="s">
        <v>418</v>
      </c>
      <c r="X156" s="8"/>
      <c r="Y156" s="8"/>
      <c r="Z156" s="8"/>
      <c r="AA156" s="8"/>
      <c r="AB156" s="8" t="s">
        <v>176</v>
      </c>
      <c r="AC156" s="8" t="s">
        <v>222</v>
      </c>
      <c r="AD156" s="14" t="s">
        <v>223</v>
      </c>
      <c r="AE156" s="8" t="s">
        <v>417</v>
      </c>
      <c r="AF156" s="14">
        <v>0.5</v>
      </c>
      <c r="AG156" s="8">
        <v>1220</v>
      </c>
      <c r="AH156" s="8">
        <v>0</v>
      </c>
      <c r="AI156" s="8">
        <v>112</v>
      </c>
      <c r="AJ156" s="8">
        <v>26.84</v>
      </c>
      <c r="AK156" s="127">
        <v>1.9750000000000001</v>
      </c>
      <c r="AL156" s="103">
        <v>9.32</v>
      </c>
      <c r="AM156" s="8">
        <v>0</v>
      </c>
      <c r="AN156" s="21">
        <v>0</v>
      </c>
      <c r="AO156" s="21">
        <v>0</v>
      </c>
      <c r="AP156" s="21">
        <v>0</v>
      </c>
      <c r="AQ156" s="21">
        <v>0</v>
      </c>
      <c r="AR156" s="21">
        <v>0</v>
      </c>
      <c r="AS156" s="8">
        <v>9.32</v>
      </c>
      <c r="AT156" s="21">
        <v>9.32</v>
      </c>
      <c r="AU156" s="21">
        <v>0</v>
      </c>
      <c r="AV156" s="21">
        <v>0</v>
      </c>
      <c r="AW156" s="21">
        <v>0</v>
      </c>
      <c r="AX156" s="21">
        <v>0</v>
      </c>
      <c r="AY156" s="8">
        <v>0</v>
      </c>
    </row>
    <row r="157" spans="1:51" ht="15" customHeight="1" x14ac:dyDescent="0.25">
      <c r="A157" s="9">
        <v>743</v>
      </c>
      <c r="B157" s="13">
        <v>45735</v>
      </c>
      <c r="C157" s="9" t="s">
        <v>169</v>
      </c>
      <c r="D157" s="9">
        <v>9518613003</v>
      </c>
      <c r="E157" s="8">
        <v>1</v>
      </c>
      <c r="F157" s="9" t="s">
        <v>1803</v>
      </c>
      <c r="G157" s="9" t="s">
        <v>335</v>
      </c>
      <c r="H157" s="9" t="s">
        <v>57</v>
      </c>
      <c r="I157" s="9" t="s">
        <v>38</v>
      </c>
      <c r="J157" s="9" t="s">
        <v>41</v>
      </c>
      <c r="K157" s="9">
        <v>1000</v>
      </c>
      <c r="L157" s="39"/>
      <c r="M157" s="7" t="s">
        <v>1</v>
      </c>
      <c r="N157" s="8"/>
      <c r="O157" s="40"/>
      <c r="P157" s="15" t="s">
        <v>321</v>
      </c>
      <c r="Q157" s="9" t="s">
        <v>214</v>
      </c>
      <c r="R157" s="9" t="s">
        <v>371</v>
      </c>
      <c r="S157" s="9" t="s">
        <v>858</v>
      </c>
      <c r="T157" s="9">
        <v>947959</v>
      </c>
      <c r="U157" s="16" t="s">
        <v>109</v>
      </c>
      <c r="V157" s="9">
        <v>3886225</v>
      </c>
      <c r="W157" s="8" t="s">
        <v>768</v>
      </c>
      <c r="X157" s="8"/>
      <c r="Y157" s="8"/>
      <c r="Z157" s="8"/>
      <c r="AA157" s="8"/>
      <c r="AB157" s="8" t="s">
        <v>176</v>
      </c>
      <c r="AC157" s="8" t="s">
        <v>222</v>
      </c>
      <c r="AD157" s="14" t="s">
        <v>223</v>
      </c>
      <c r="AE157" s="8" t="s">
        <v>372</v>
      </c>
      <c r="AF157" s="14">
        <v>0.9</v>
      </c>
      <c r="AG157" s="8">
        <v>1242</v>
      </c>
      <c r="AH157" s="8">
        <v>0</v>
      </c>
      <c r="AI157" s="8">
        <v>224</v>
      </c>
      <c r="AJ157" s="8">
        <v>80.319999999999993</v>
      </c>
      <c r="AK157" s="127">
        <v>143.68</v>
      </c>
      <c r="AL157" s="103">
        <v>13.3</v>
      </c>
      <c r="AM157" s="8">
        <v>143.68</v>
      </c>
      <c r="AN157" s="21">
        <v>0</v>
      </c>
      <c r="AO157" s="21">
        <v>0</v>
      </c>
      <c r="AP157" s="21">
        <v>0</v>
      </c>
      <c r="AQ157" s="21">
        <v>0</v>
      </c>
      <c r="AR157" s="21">
        <v>143.68</v>
      </c>
      <c r="AS157" s="8">
        <v>156.98000000000002</v>
      </c>
      <c r="AT157" s="21">
        <v>0</v>
      </c>
      <c r="AU157" s="21">
        <v>0</v>
      </c>
      <c r="AV157" s="21">
        <v>0</v>
      </c>
      <c r="AW157" s="21">
        <v>0</v>
      </c>
      <c r="AX157" s="21">
        <v>156.98000000000002</v>
      </c>
      <c r="AY157" s="8">
        <v>0</v>
      </c>
    </row>
    <row r="158" spans="1:51" ht="15" customHeight="1" x14ac:dyDescent="0.25">
      <c r="A158" s="9">
        <v>743</v>
      </c>
      <c r="B158" s="13">
        <v>45735</v>
      </c>
      <c r="C158" s="9" t="s">
        <v>169</v>
      </c>
      <c r="D158" s="9">
        <v>9518613003</v>
      </c>
      <c r="E158" s="8">
        <v>2</v>
      </c>
      <c r="F158" s="9" t="s">
        <v>1804</v>
      </c>
      <c r="G158" s="9" t="s">
        <v>335</v>
      </c>
      <c r="H158" s="9" t="s">
        <v>57</v>
      </c>
      <c r="I158" s="9" t="s">
        <v>38</v>
      </c>
      <c r="J158" s="9" t="s">
        <v>41</v>
      </c>
      <c r="K158" s="9">
        <v>1000</v>
      </c>
      <c r="L158" s="39"/>
      <c r="M158" s="7" t="s">
        <v>1</v>
      </c>
      <c r="N158" s="8"/>
      <c r="O158" s="40"/>
      <c r="P158" s="15" t="s">
        <v>321</v>
      </c>
      <c r="Q158" s="9" t="s">
        <v>214</v>
      </c>
      <c r="R158" s="9" t="s">
        <v>371</v>
      </c>
      <c r="S158" s="9" t="s">
        <v>858</v>
      </c>
      <c r="T158" s="9">
        <v>947959</v>
      </c>
      <c r="U158" s="16" t="s">
        <v>109</v>
      </c>
      <c r="V158" s="9">
        <v>3886225</v>
      </c>
      <c r="W158" s="8" t="s">
        <v>768</v>
      </c>
      <c r="X158" s="8"/>
      <c r="Y158" s="8"/>
      <c r="Z158" s="8"/>
      <c r="AA158" s="8"/>
      <c r="AB158" s="8" t="s">
        <v>176</v>
      </c>
      <c r="AC158" s="8" t="s">
        <v>222</v>
      </c>
      <c r="AD158" s="14" t="s">
        <v>223</v>
      </c>
      <c r="AE158" s="8" t="s">
        <v>372</v>
      </c>
      <c r="AF158" s="14">
        <v>0.9</v>
      </c>
      <c r="AG158" s="8">
        <v>1242</v>
      </c>
      <c r="AH158" s="8">
        <v>0</v>
      </c>
      <c r="AI158" s="8">
        <v>112</v>
      </c>
      <c r="AJ158" s="8">
        <v>10.210000000000001</v>
      </c>
      <c r="AK158" s="127">
        <v>101.79</v>
      </c>
      <c r="AL158" s="103">
        <v>10.210000000000001</v>
      </c>
      <c r="AM158" s="8">
        <v>101.79</v>
      </c>
      <c r="AN158" s="21">
        <v>0</v>
      </c>
      <c r="AO158" s="21">
        <v>0</v>
      </c>
      <c r="AP158" s="21">
        <v>0</v>
      </c>
      <c r="AQ158" s="21">
        <v>0</v>
      </c>
      <c r="AR158" s="21">
        <v>101.79</v>
      </c>
      <c r="AS158" s="8">
        <v>112</v>
      </c>
      <c r="AT158" s="21">
        <v>0</v>
      </c>
      <c r="AU158" s="21">
        <v>0</v>
      </c>
      <c r="AV158" s="21">
        <v>0</v>
      </c>
      <c r="AW158" s="21">
        <v>0</v>
      </c>
      <c r="AX158" s="21">
        <v>112</v>
      </c>
      <c r="AY158" s="8">
        <v>0</v>
      </c>
    </row>
    <row r="159" spans="1:51" ht="15" customHeight="1" x14ac:dyDescent="0.25">
      <c r="A159" s="9">
        <v>743</v>
      </c>
      <c r="B159" s="13">
        <v>45735</v>
      </c>
      <c r="C159" s="9" t="s">
        <v>169</v>
      </c>
      <c r="D159" s="9">
        <v>9518613067</v>
      </c>
      <c r="E159" s="8">
        <v>1</v>
      </c>
      <c r="F159" s="9" t="s">
        <v>1805</v>
      </c>
      <c r="G159" s="9" t="s">
        <v>335</v>
      </c>
      <c r="H159" s="9" t="s">
        <v>57</v>
      </c>
      <c r="I159" s="9" t="s">
        <v>38</v>
      </c>
      <c r="J159" s="9" t="s">
        <v>41</v>
      </c>
      <c r="K159" s="9">
        <v>1000</v>
      </c>
      <c r="L159" s="39"/>
      <c r="M159" s="7" t="s">
        <v>1</v>
      </c>
      <c r="N159" s="8"/>
      <c r="O159" s="40"/>
      <c r="P159" s="15" t="s">
        <v>321</v>
      </c>
      <c r="Q159" s="9" t="s">
        <v>214</v>
      </c>
      <c r="R159" s="9" t="s">
        <v>371</v>
      </c>
      <c r="S159" s="9" t="s">
        <v>858</v>
      </c>
      <c r="T159" s="9">
        <v>947959</v>
      </c>
      <c r="U159" s="16" t="s">
        <v>109</v>
      </c>
      <c r="V159" s="9">
        <v>3886225</v>
      </c>
      <c r="W159" s="8" t="s">
        <v>768</v>
      </c>
      <c r="X159" s="8"/>
      <c r="Y159" s="8"/>
      <c r="Z159" s="8"/>
      <c r="AA159" s="8"/>
      <c r="AB159" s="8" t="s">
        <v>176</v>
      </c>
      <c r="AC159" s="8" t="s">
        <v>222</v>
      </c>
      <c r="AD159" s="14" t="s">
        <v>223</v>
      </c>
      <c r="AE159" s="8" t="s">
        <v>372</v>
      </c>
      <c r="AF159" s="14">
        <v>0.9</v>
      </c>
      <c r="AG159" s="8">
        <v>1242</v>
      </c>
      <c r="AH159" s="8">
        <v>0</v>
      </c>
      <c r="AI159" s="8">
        <v>168</v>
      </c>
      <c r="AJ159" s="8">
        <v>19.829999999999998</v>
      </c>
      <c r="AK159" s="127">
        <v>134.41499999999999</v>
      </c>
      <c r="AL159" s="103">
        <v>40.675000000000004</v>
      </c>
      <c r="AM159" s="8">
        <v>120.68</v>
      </c>
      <c r="AN159" s="21">
        <v>120.68</v>
      </c>
      <c r="AO159" s="21">
        <v>0</v>
      </c>
      <c r="AP159" s="21">
        <v>0</v>
      </c>
      <c r="AQ159" s="21">
        <v>0</v>
      </c>
      <c r="AR159" s="21">
        <v>0</v>
      </c>
      <c r="AS159" s="8">
        <v>161.35500000000002</v>
      </c>
      <c r="AT159" s="21">
        <v>0</v>
      </c>
      <c r="AU159" s="21">
        <v>161.35500000000002</v>
      </c>
      <c r="AV159" s="21">
        <v>0</v>
      </c>
      <c r="AW159" s="21">
        <v>0</v>
      </c>
      <c r="AX159" s="21">
        <v>0</v>
      </c>
      <c r="AY159" s="8">
        <v>0</v>
      </c>
    </row>
    <row r="160" spans="1:51" ht="15" customHeight="1" x14ac:dyDescent="0.25">
      <c r="A160" s="9">
        <v>743</v>
      </c>
      <c r="B160" s="13">
        <v>45735</v>
      </c>
      <c r="C160" s="9" t="s">
        <v>169</v>
      </c>
      <c r="D160" s="9">
        <v>9518613067</v>
      </c>
      <c r="E160" s="8">
        <v>2</v>
      </c>
      <c r="F160" s="9" t="s">
        <v>1806</v>
      </c>
      <c r="G160" s="9" t="s">
        <v>335</v>
      </c>
      <c r="H160" s="9" t="s">
        <v>57</v>
      </c>
      <c r="I160" s="9" t="s">
        <v>38</v>
      </c>
      <c r="J160" s="9" t="s">
        <v>41</v>
      </c>
      <c r="K160" s="9">
        <v>1000</v>
      </c>
      <c r="L160" s="39"/>
      <c r="M160" s="7" t="s">
        <v>1</v>
      </c>
      <c r="N160" s="8"/>
      <c r="O160" s="40"/>
      <c r="P160" s="15" t="s">
        <v>321</v>
      </c>
      <c r="Q160" s="9" t="s">
        <v>214</v>
      </c>
      <c r="R160" s="9" t="s">
        <v>371</v>
      </c>
      <c r="S160" s="9" t="s">
        <v>858</v>
      </c>
      <c r="T160" s="9">
        <v>947959</v>
      </c>
      <c r="U160" s="16" t="s">
        <v>109</v>
      </c>
      <c r="V160" s="9">
        <v>3886225</v>
      </c>
      <c r="W160" s="8" t="s">
        <v>768</v>
      </c>
      <c r="X160" s="8"/>
      <c r="Y160" s="8"/>
      <c r="Z160" s="8"/>
      <c r="AA160" s="8"/>
      <c r="AB160" s="8" t="s">
        <v>176</v>
      </c>
      <c r="AC160" s="8" t="s">
        <v>222</v>
      </c>
      <c r="AD160" s="14" t="s">
        <v>223</v>
      </c>
      <c r="AE160" s="8" t="s">
        <v>372</v>
      </c>
      <c r="AF160" s="14">
        <v>0.9</v>
      </c>
      <c r="AG160" s="8">
        <v>1242</v>
      </c>
      <c r="AH160" s="8">
        <v>0</v>
      </c>
      <c r="AI160" s="8">
        <v>140</v>
      </c>
      <c r="AJ160" s="8">
        <v>0</v>
      </c>
      <c r="AK160" s="127">
        <v>140</v>
      </c>
      <c r="AL160" s="103">
        <v>0</v>
      </c>
      <c r="AM160" s="8">
        <v>140</v>
      </c>
      <c r="AN160" s="21">
        <v>0</v>
      </c>
      <c r="AO160" s="21">
        <v>0</v>
      </c>
      <c r="AP160" s="21">
        <v>0</v>
      </c>
      <c r="AQ160" s="21">
        <v>0</v>
      </c>
      <c r="AR160" s="21">
        <v>140</v>
      </c>
      <c r="AS160" s="8">
        <v>140</v>
      </c>
      <c r="AT160" s="21">
        <v>0</v>
      </c>
      <c r="AU160" s="21">
        <v>0</v>
      </c>
      <c r="AV160" s="21">
        <v>0</v>
      </c>
      <c r="AW160" s="21">
        <v>0</v>
      </c>
      <c r="AX160" s="21">
        <v>140</v>
      </c>
      <c r="AY160" s="8">
        <v>0</v>
      </c>
    </row>
    <row r="161" spans="1:51" ht="15" customHeight="1" x14ac:dyDescent="0.25">
      <c r="A161" s="9">
        <v>742</v>
      </c>
      <c r="B161" s="13">
        <v>45735</v>
      </c>
      <c r="C161" s="9" t="s">
        <v>169</v>
      </c>
      <c r="D161" s="9">
        <v>9518613530</v>
      </c>
      <c r="E161" s="8">
        <v>1</v>
      </c>
      <c r="F161" s="9" t="s">
        <v>1807</v>
      </c>
      <c r="G161" s="9" t="s">
        <v>1303</v>
      </c>
      <c r="H161" s="9" t="s">
        <v>57</v>
      </c>
      <c r="I161" s="9" t="s">
        <v>25</v>
      </c>
      <c r="J161" s="9" t="s">
        <v>28</v>
      </c>
      <c r="K161" s="9">
        <v>1000</v>
      </c>
      <c r="L161" s="39"/>
      <c r="M161" s="7" t="s">
        <v>1</v>
      </c>
      <c r="N161" s="8"/>
      <c r="O161" s="40"/>
      <c r="P161" s="15" t="s">
        <v>213</v>
      </c>
      <c r="Q161" s="9" t="s">
        <v>214</v>
      </c>
      <c r="R161" s="9" t="s">
        <v>1583</v>
      </c>
      <c r="S161" s="9" t="s">
        <v>858</v>
      </c>
      <c r="T161" s="9">
        <v>188238</v>
      </c>
      <c r="U161" s="16" t="s">
        <v>59</v>
      </c>
      <c r="V161" s="9">
        <v>2421723</v>
      </c>
      <c r="W161" s="8" t="s">
        <v>499</v>
      </c>
      <c r="X161" s="8"/>
      <c r="Y161" s="8"/>
      <c r="Z161" s="8"/>
      <c r="AA161" s="8"/>
      <c r="AB161" s="8" t="s">
        <v>183</v>
      </c>
      <c r="AC161" s="8" t="s">
        <v>190</v>
      </c>
      <c r="AD161" s="14" t="s">
        <v>191</v>
      </c>
      <c r="AE161" s="8" t="s">
        <v>384</v>
      </c>
      <c r="AF161" s="14">
        <v>0.77</v>
      </c>
      <c r="AG161" s="8">
        <v>920</v>
      </c>
      <c r="AH161" s="8">
        <v>0</v>
      </c>
      <c r="AI161" s="8">
        <v>273</v>
      </c>
      <c r="AJ161" s="8">
        <v>0</v>
      </c>
      <c r="AK161" s="127">
        <v>99.71</v>
      </c>
      <c r="AL161" s="103">
        <v>0</v>
      </c>
      <c r="AM161" s="8">
        <v>99.71</v>
      </c>
      <c r="AN161" s="21">
        <v>0</v>
      </c>
      <c r="AO161" s="21">
        <v>99.71</v>
      </c>
      <c r="AP161" s="21">
        <v>0</v>
      </c>
      <c r="AQ161" s="21">
        <v>0</v>
      </c>
      <c r="AR161" s="21">
        <v>0</v>
      </c>
      <c r="AS161" s="8">
        <v>99.71</v>
      </c>
      <c r="AT161" s="21">
        <v>0</v>
      </c>
      <c r="AU161" s="21">
        <v>0</v>
      </c>
      <c r="AV161" s="21">
        <v>99.71</v>
      </c>
      <c r="AW161" s="21">
        <v>0</v>
      </c>
      <c r="AX161" s="21">
        <v>0</v>
      </c>
      <c r="AY161" s="8">
        <v>0</v>
      </c>
    </row>
    <row r="162" spans="1:51" ht="15" customHeight="1" x14ac:dyDescent="0.25">
      <c r="A162" s="9">
        <v>742</v>
      </c>
      <c r="B162" s="13">
        <v>45735</v>
      </c>
      <c r="C162" s="9" t="s">
        <v>169</v>
      </c>
      <c r="D162" s="9">
        <v>9518613638</v>
      </c>
      <c r="E162" s="8">
        <v>2</v>
      </c>
      <c r="F162" s="9" t="s">
        <v>1808</v>
      </c>
      <c r="G162" s="9" t="s">
        <v>1687</v>
      </c>
      <c r="H162" s="9" t="s">
        <v>57</v>
      </c>
      <c r="I162" s="9" t="s">
        <v>25</v>
      </c>
      <c r="J162" s="9" t="s">
        <v>28</v>
      </c>
      <c r="K162" s="9">
        <v>1000</v>
      </c>
      <c r="L162" s="39"/>
      <c r="M162" s="7" t="s">
        <v>1</v>
      </c>
      <c r="N162" s="8"/>
      <c r="O162" s="40"/>
      <c r="P162" s="15" t="s">
        <v>245</v>
      </c>
      <c r="Q162" s="9" t="s">
        <v>214</v>
      </c>
      <c r="R162" s="9" t="s">
        <v>246</v>
      </c>
      <c r="S162" s="9" t="s">
        <v>858</v>
      </c>
      <c r="T162" s="9">
        <v>187214</v>
      </c>
      <c r="U162" s="16" t="s">
        <v>60</v>
      </c>
      <c r="V162" s="9">
        <v>2421724</v>
      </c>
      <c r="W162" s="8" t="s">
        <v>350</v>
      </c>
      <c r="X162" s="8"/>
      <c r="Y162" s="8"/>
      <c r="Z162" s="8"/>
      <c r="AA162" s="8"/>
      <c r="AB162" s="8" t="s">
        <v>176</v>
      </c>
      <c r="AC162" s="8" t="s">
        <v>190</v>
      </c>
      <c r="AD162" s="14" t="s">
        <v>191</v>
      </c>
      <c r="AE162" s="8" t="s">
        <v>346</v>
      </c>
      <c r="AF162" s="14">
        <v>0.97</v>
      </c>
      <c r="AG162" s="8">
        <v>1310</v>
      </c>
      <c r="AH162" s="8">
        <v>0</v>
      </c>
      <c r="AI162" s="8">
        <v>30</v>
      </c>
      <c r="AJ162" s="8">
        <v>0</v>
      </c>
      <c r="AK162" s="127">
        <v>5.2850000000000001</v>
      </c>
      <c r="AL162" s="103">
        <v>24.715000000000003</v>
      </c>
      <c r="AM162" s="8">
        <v>0</v>
      </c>
      <c r="AN162" s="21">
        <v>0</v>
      </c>
      <c r="AO162" s="21">
        <v>0</v>
      </c>
      <c r="AP162" s="21">
        <v>0</v>
      </c>
      <c r="AQ162" s="21">
        <v>0</v>
      </c>
      <c r="AR162" s="21">
        <v>0</v>
      </c>
      <c r="AS162" s="8">
        <v>24.715000000000003</v>
      </c>
      <c r="AT162" s="21">
        <v>24.715000000000003</v>
      </c>
      <c r="AU162" s="21">
        <v>0</v>
      </c>
      <c r="AV162" s="21">
        <v>0</v>
      </c>
      <c r="AW162" s="21">
        <v>0</v>
      </c>
      <c r="AX162" s="21">
        <v>0</v>
      </c>
      <c r="AY162" s="8">
        <v>0</v>
      </c>
    </row>
    <row r="163" spans="1:51" ht="15" customHeight="1" x14ac:dyDescent="0.25">
      <c r="A163" s="9">
        <v>742</v>
      </c>
      <c r="B163" s="13">
        <v>45735</v>
      </c>
      <c r="C163" s="9" t="s">
        <v>169</v>
      </c>
      <c r="D163" s="9">
        <v>9518613638</v>
      </c>
      <c r="E163" s="8">
        <v>3</v>
      </c>
      <c r="F163" s="9" t="s">
        <v>1809</v>
      </c>
      <c r="G163" s="9" t="s">
        <v>1303</v>
      </c>
      <c r="H163" s="9" t="s">
        <v>57</v>
      </c>
      <c r="I163" s="9" t="s">
        <v>25</v>
      </c>
      <c r="J163" s="9" t="s">
        <v>28</v>
      </c>
      <c r="K163" s="9">
        <v>1000</v>
      </c>
      <c r="L163" s="39">
        <v>4500</v>
      </c>
      <c r="M163" s="7" t="s">
        <v>1</v>
      </c>
      <c r="N163" s="8"/>
      <c r="O163" s="40"/>
      <c r="P163" s="15" t="s">
        <v>245</v>
      </c>
      <c r="Q163" s="9" t="s">
        <v>214</v>
      </c>
      <c r="R163" s="9" t="s">
        <v>246</v>
      </c>
      <c r="S163" s="9" t="s">
        <v>858</v>
      </c>
      <c r="T163" s="9">
        <v>187214</v>
      </c>
      <c r="U163" s="16" t="s">
        <v>60</v>
      </c>
      <c r="V163" s="9">
        <v>2164803</v>
      </c>
      <c r="W163" s="8" t="s">
        <v>502</v>
      </c>
      <c r="X163" s="8"/>
      <c r="Y163" s="8"/>
      <c r="Z163" s="8"/>
      <c r="AA163" s="8"/>
      <c r="AB163" s="8" t="s">
        <v>183</v>
      </c>
      <c r="AC163" s="8" t="s">
        <v>190</v>
      </c>
      <c r="AD163" s="14" t="s">
        <v>191</v>
      </c>
      <c r="AE163" s="8" t="s">
        <v>384</v>
      </c>
      <c r="AF163" s="14">
        <v>1.2</v>
      </c>
      <c r="AG163" s="8">
        <v>910</v>
      </c>
      <c r="AH163" s="8">
        <v>0</v>
      </c>
      <c r="AI163" s="8">
        <v>42</v>
      </c>
      <c r="AJ163" s="8">
        <v>0</v>
      </c>
      <c r="AK163" s="127">
        <v>24.36</v>
      </c>
      <c r="AL163" s="103">
        <v>0</v>
      </c>
      <c r="AM163" s="8">
        <v>24.36</v>
      </c>
      <c r="AN163" s="21">
        <v>24.36</v>
      </c>
      <c r="AO163" s="21">
        <v>0</v>
      </c>
      <c r="AP163" s="21">
        <v>0</v>
      </c>
      <c r="AQ163" s="21">
        <v>0</v>
      </c>
      <c r="AR163" s="21">
        <v>0</v>
      </c>
      <c r="AS163" s="8">
        <v>24.36</v>
      </c>
      <c r="AT163" s="21">
        <v>0</v>
      </c>
      <c r="AU163" s="21">
        <v>24.36</v>
      </c>
      <c r="AV163" s="21">
        <v>0</v>
      </c>
      <c r="AW163" s="21">
        <v>0</v>
      </c>
      <c r="AX163" s="21">
        <v>0</v>
      </c>
      <c r="AY163" s="8">
        <v>0</v>
      </c>
    </row>
    <row r="164" spans="1:51" ht="15" customHeight="1" x14ac:dyDescent="0.25">
      <c r="A164" s="9">
        <v>2341</v>
      </c>
      <c r="B164" s="13">
        <v>45736</v>
      </c>
      <c r="C164" s="9" t="s">
        <v>193</v>
      </c>
      <c r="D164" s="9">
        <v>9518615307</v>
      </c>
      <c r="E164" s="8">
        <v>2</v>
      </c>
      <c r="F164" s="9" t="s">
        <v>1810</v>
      </c>
      <c r="G164" s="9" t="s">
        <v>1687</v>
      </c>
      <c r="H164" s="9" t="s">
        <v>57</v>
      </c>
      <c r="I164" s="9" t="s">
        <v>25</v>
      </c>
      <c r="J164" s="9" t="s">
        <v>28</v>
      </c>
      <c r="K164" s="9">
        <v>1000</v>
      </c>
      <c r="L164" s="39"/>
      <c r="M164" s="7" t="s">
        <v>1</v>
      </c>
      <c r="N164" s="8"/>
      <c r="O164" s="40"/>
      <c r="P164" s="15" t="s">
        <v>201</v>
      </c>
      <c r="Q164" s="9" t="s">
        <v>172</v>
      </c>
      <c r="R164" s="9" t="s">
        <v>1584</v>
      </c>
      <c r="S164" s="9" t="s">
        <v>858</v>
      </c>
      <c r="T164" s="9">
        <v>925428</v>
      </c>
      <c r="U164" s="16" t="s">
        <v>203</v>
      </c>
      <c r="V164" s="9">
        <v>3741589</v>
      </c>
      <c r="W164" s="8" t="s">
        <v>206</v>
      </c>
      <c r="X164" s="8"/>
      <c r="Y164" s="8"/>
      <c r="Z164" s="8"/>
      <c r="AA164" s="8"/>
      <c r="AB164" s="8" t="s">
        <v>176</v>
      </c>
      <c r="AC164" s="8" t="s">
        <v>190</v>
      </c>
      <c r="AD164" s="14" t="s">
        <v>204</v>
      </c>
      <c r="AE164" s="8" t="s">
        <v>205</v>
      </c>
      <c r="AF164" s="14">
        <v>1.5</v>
      </c>
      <c r="AG164" s="8">
        <v>1250</v>
      </c>
      <c r="AH164" s="8">
        <v>0</v>
      </c>
      <c r="AI164" s="8">
        <v>290</v>
      </c>
      <c r="AJ164" s="8">
        <v>24.85</v>
      </c>
      <c r="AK164" s="127">
        <v>12.94</v>
      </c>
      <c r="AL164" s="103">
        <v>24.77</v>
      </c>
      <c r="AM164" s="8">
        <v>0</v>
      </c>
      <c r="AN164" s="21">
        <v>0</v>
      </c>
      <c r="AO164" s="21">
        <v>0</v>
      </c>
      <c r="AP164" s="21">
        <v>0</v>
      </c>
      <c r="AQ164" s="21">
        <v>0</v>
      </c>
      <c r="AR164" s="21">
        <v>0</v>
      </c>
      <c r="AS164" s="8">
        <v>24.77</v>
      </c>
      <c r="AT164" s="21">
        <v>24.77</v>
      </c>
      <c r="AU164" s="21">
        <v>0</v>
      </c>
      <c r="AV164" s="21">
        <v>0</v>
      </c>
      <c r="AW164" s="21">
        <v>0</v>
      </c>
      <c r="AX164" s="21">
        <v>0</v>
      </c>
      <c r="AY164" s="8">
        <v>0</v>
      </c>
    </row>
    <row r="165" spans="1:51" ht="15" customHeight="1" x14ac:dyDescent="0.25">
      <c r="A165" s="9">
        <v>743</v>
      </c>
      <c r="B165" s="13">
        <v>45712</v>
      </c>
      <c r="C165" s="9" t="s">
        <v>193</v>
      </c>
      <c r="D165" s="9">
        <v>9518546063</v>
      </c>
      <c r="E165" s="8">
        <v>5</v>
      </c>
      <c r="F165" s="99" t="s">
        <v>769</v>
      </c>
      <c r="G165" s="9" t="s">
        <v>1303</v>
      </c>
      <c r="H165" s="9" t="s">
        <v>57</v>
      </c>
      <c r="I165" s="9" t="s">
        <v>43</v>
      </c>
      <c r="J165" s="9" t="s">
        <v>45</v>
      </c>
      <c r="K165" s="9">
        <v>2000</v>
      </c>
      <c r="L165" s="39"/>
      <c r="M165" s="7" t="s">
        <v>1</v>
      </c>
      <c r="N165" s="8"/>
      <c r="O165" s="40"/>
      <c r="P165" s="15" t="s">
        <v>207</v>
      </c>
      <c r="Q165" s="9" t="s">
        <v>180</v>
      </c>
      <c r="R165" s="9" t="s">
        <v>1585</v>
      </c>
      <c r="S165" s="9" t="s">
        <v>858</v>
      </c>
      <c r="T165" s="9">
        <v>600250</v>
      </c>
      <c r="U165" s="16" t="s">
        <v>67</v>
      </c>
      <c r="V165" s="9">
        <v>1854424</v>
      </c>
      <c r="W165" s="8" t="s">
        <v>319</v>
      </c>
      <c r="X165" s="8">
        <v>80</v>
      </c>
      <c r="Y165" s="8"/>
      <c r="Z165" s="8"/>
      <c r="AA165" s="8"/>
      <c r="AB165" s="8" t="s">
        <v>183</v>
      </c>
      <c r="AC165" s="8" t="s">
        <v>238</v>
      </c>
      <c r="AD165" s="14" t="s">
        <v>185</v>
      </c>
      <c r="AE165" s="8" t="s">
        <v>186</v>
      </c>
      <c r="AF165" s="14">
        <v>0.6</v>
      </c>
      <c r="AG165" s="8">
        <v>900</v>
      </c>
      <c r="AH165" s="8">
        <v>0</v>
      </c>
      <c r="AI165" s="8">
        <v>294</v>
      </c>
      <c r="AJ165" s="8">
        <v>187.24</v>
      </c>
      <c r="AK165" s="127">
        <v>65.06</v>
      </c>
      <c r="AL165" s="103">
        <v>92.054999999999993</v>
      </c>
      <c r="AM165" s="8">
        <v>65.06</v>
      </c>
      <c r="AN165" s="21">
        <v>0</v>
      </c>
      <c r="AO165" s="21">
        <v>65.06</v>
      </c>
      <c r="AP165" s="21">
        <v>0</v>
      </c>
      <c r="AQ165" s="21">
        <v>0</v>
      </c>
      <c r="AR165" s="21">
        <v>0</v>
      </c>
      <c r="AS165" s="8">
        <v>157.11500000000001</v>
      </c>
      <c r="AT165" s="21">
        <v>0</v>
      </c>
      <c r="AU165" s="21">
        <v>0</v>
      </c>
      <c r="AV165" s="21">
        <v>157.11500000000001</v>
      </c>
      <c r="AW165" s="21">
        <v>0</v>
      </c>
      <c r="AX165" s="21">
        <v>0</v>
      </c>
      <c r="AY165" s="8">
        <v>0</v>
      </c>
    </row>
    <row r="166" spans="1:51" ht="15" customHeight="1" x14ac:dyDescent="0.25">
      <c r="A166" s="9">
        <v>742</v>
      </c>
      <c r="B166" s="13">
        <v>45737</v>
      </c>
      <c r="C166" s="9" t="s">
        <v>169</v>
      </c>
      <c r="D166" s="9">
        <v>9518619441</v>
      </c>
      <c r="E166" s="8">
        <v>1</v>
      </c>
      <c r="F166" s="9" t="s">
        <v>770</v>
      </c>
      <c r="G166" s="9" t="s">
        <v>335</v>
      </c>
      <c r="H166" s="9" t="s">
        <v>57</v>
      </c>
      <c r="I166" s="9" t="s">
        <v>50</v>
      </c>
      <c r="J166" s="9" t="s">
        <v>26</v>
      </c>
      <c r="K166" s="9" t="s">
        <v>170</v>
      </c>
      <c r="L166" s="39"/>
      <c r="M166" s="7" t="s">
        <v>1</v>
      </c>
      <c r="N166" s="8"/>
      <c r="O166" s="40"/>
      <c r="P166" s="15" t="s">
        <v>171</v>
      </c>
      <c r="Q166" s="9" t="s">
        <v>172</v>
      </c>
      <c r="R166" s="9" t="s">
        <v>173</v>
      </c>
      <c r="S166" s="9" t="s">
        <v>858</v>
      </c>
      <c r="T166" s="9">
        <v>116735</v>
      </c>
      <c r="U166" s="16" t="s">
        <v>130</v>
      </c>
      <c r="V166" s="9">
        <v>3187346</v>
      </c>
      <c r="W166" s="8" t="s">
        <v>771</v>
      </c>
      <c r="X166" s="8" t="s">
        <v>265</v>
      </c>
      <c r="Y166" s="8" t="s">
        <v>175</v>
      </c>
      <c r="Z166" s="8">
        <v>17</v>
      </c>
      <c r="AA166" s="8">
        <v>28</v>
      </c>
      <c r="AB166" s="8" t="s">
        <v>176</v>
      </c>
      <c r="AC166" s="8">
        <v>768</v>
      </c>
      <c r="AD166" s="14" t="s">
        <v>177</v>
      </c>
      <c r="AE166" s="8" t="s">
        <v>178</v>
      </c>
      <c r="AF166" s="14">
        <v>2.0099999999999998</v>
      </c>
      <c r="AG166" s="8">
        <v>1250</v>
      </c>
      <c r="AH166" s="8">
        <v>0</v>
      </c>
      <c r="AI166" s="8">
        <v>100</v>
      </c>
      <c r="AJ166" s="8">
        <v>0</v>
      </c>
      <c r="AK166" s="127">
        <v>99.99</v>
      </c>
      <c r="AL166" s="103">
        <v>0</v>
      </c>
      <c r="AM166" s="8">
        <v>99.99</v>
      </c>
      <c r="AN166" s="21">
        <v>0</v>
      </c>
      <c r="AO166" s="21">
        <v>0</v>
      </c>
      <c r="AP166" s="21">
        <v>99.99</v>
      </c>
      <c r="AQ166" s="21">
        <v>0</v>
      </c>
      <c r="AR166" s="21">
        <v>0</v>
      </c>
      <c r="AS166" s="8">
        <v>99.99</v>
      </c>
      <c r="AT166" s="21">
        <v>0</v>
      </c>
      <c r="AU166" s="21">
        <v>0</v>
      </c>
      <c r="AV166" s="21">
        <v>0</v>
      </c>
      <c r="AW166" s="21">
        <v>99.99</v>
      </c>
      <c r="AX166" s="21">
        <v>0</v>
      </c>
      <c r="AY166" s="8">
        <v>0</v>
      </c>
    </row>
    <row r="167" spans="1:51" ht="15" customHeight="1" x14ac:dyDescent="0.25">
      <c r="A167" s="9">
        <v>742</v>
      </c>
      <c r="B167" s="13">
        <v>45737</v>
      </c>
      <c r="C167" s="9" t="s">
        <v>169</v>
      </c>
      <c r="D167" s="9">
        <v>9518619441</v>
      </c>
      <c r="E167" s="8">
        <v>2</v>
      </c>
      <c r="F167" s="9" t="s">
        <v>772</v>
      </c>
      <c r="G167" s="9" t="s">
        <v>335</v>
      </c>
      <c r="H167" s="9" t="s">
        <v>57</v>
      </c>
      <c r="I167" s="9" t="s">
        <v>50</v>
      </c>
      <c r="J167" s="9" t="s">
        <v>26</v>
      </c>
      <c r="K167" s="9" t="s">
        <v>170</v>
      </c>
      <c r="L167" s="39"/>
      <c r="M167" s="7" t="s">
        <v>1</v>
      </c>
      <c r="N167" s="8"/>
      <c r="O167" s="40"/>
      <c r="P167" s="15" t="s">
        <v>171</v>
      </c>
      <c r="Q167" s="9" t="s">
        <v>172</v>
      </c>
      <c r="R167" s="9" t="s">
        <v>173</v>
      </c>
      <c r="S167" s="9" t="s">
        <v>858</v>
      </c>
      <c r="T167" s="9">
        <v>116735</v>
      </c>
      <c r="U167" s="16" t="s">
        <v>130</v>
      </c>
      <c r="V167" s="9">
        <v>3187346</v>
      </c>
      <c r="W167" s="8" t="s">
        <v>771</v>
      </c>
      <c r="X167" s="8" t="s">
        <v>265</v>
      </c>
      <c r="Y167" s="8" t="s">
        <v>175</v>
      </c>
      <c r="Z167" s="8">
        <v>17</v>
      </c>
      <c r="AA167" s="8">
        <v>28</v>
      </c>
      <c r="AB167" s="8" t="s">
        <v>176</v>
      </c>
      <c r="AC167" s="8">
        <v>768</v>
      </c>
      <c r="AD167" s="14" t="s">
        <v>177</v>
      </c>
      <c r="AE167" s="8" t="s">
        <v>178</v>
      </c>
      <c r="AF167" s="14">
        <v>2.0099999999999998</v>
      </c>
      <c r="AG167" s="8">
        <v>1250</v>
      </c>
      <c r="AH167" s="8">
        <v>0</v>
      </c>
      <c r="AI167" s="8">
        <v>25</v>
      </c>
      <c r="AJ167" s="8">
        <v>0</v>
      </c>
      <c r="AK167" s="127">
        <v>24.99</v>
      </c>
      <c r="AL167" s="103">
        <v>0</v>
      </c>
      <c r="AM167" s="8">
        <v>24.99</v>
      </c>
      <c r="AN167" s="21">
        <v>0</v>
      </c>
      <c r="AO167" s="21">
        <v>24.99</v>
      </c>
      <c r="AP167" s="21">
        <v>0</v>
      </c>
      <c r="AQ167" s="21">
        <v>0</v>
      </c>
      <c r="AR167" s="21">
        <v>0</v>
      </c>
      <c r="AS167" s="8">
        <v>24.99</v>
      </c>
      <c r="AT167" s="21">
        <v>0</v>
      </c>
      <c r="AU167" s="21">
        <v>24.99</v>
      </c>
      <c r="AV167" s="21">
        <v>0</v>
      </c>
      <c r="AW167" s="21">
        <v>0</v>
      </c>
      <c r="AX167" s="21">
        <v>0</v>
      </c>
      <c r="AY167" s="8">
        <v>0</v>
      </c>
    </row>
    <row r="168" spans="1:51" ht="15" customHeight="1" x14ac:dyDescent="0.25">
      <c r="A168" s="9">
        <v>744</v>
      </c>
      <c r="B168" s="13">
        <v>45729</v>
      </c>
      <c r="C168" s="9" t="s">
        <v>169</v>
      </c>
      <c r="D168" s="9">
        <v>9518598728</v>
      </c>
      <c r="E168" s="8">
        <v>1</v>
      </c>
      <c r="F168" s="9" t="s">
        <v>773</v>
      </c>
      <c r="G168" s="9" t="s">
        <v>1687</v>
      </c>
      <c r="H168" s="9" t="s">
        <v>57</v>
      </c>
      <c r="I168" s="9" t="s">
        <v>48</v>
      </c>
      <c r="J168" s="9" t="s">
        <v>39</v>
      </c>
      <c r="K168" s="9" t="s">
        <v>233</v>
      </c>
      <c r="L168" s="39"/>
      <c r="M168" s="7" t="s">
        <v>1</v>
      </c>
      <c r="N168" s="8"/>
      <c r="O168" s="40"/>
      <c r="P168" s="15" t="s">
        <v>187</v>
      </c>
      <c r="Q168" s="9" t="s">
        <v>264</v>
      </c>
      <c r="R168" s="9" t="s">
        <v>234</v>
      </c>
      <c r="S168" s="9" t="s">
        <v>858</v>
      </c>
      <c r="T168" s="9">
        <v>940008</v>
      </c>
      <c r="U168" s="16" t="s">
        <v>133</v>
      </c>
      <c r="V168" s="9">
        <v>3960057</v>
      </c>
      <c r="W168" s="8" t="s">
        <v>774</v>
      </c>
      <c r="X168" s="8" t="s">
        <v>317</v>
      </c>
      <c r="Y168" s="8" t="s">
        <v>775</v>
      </c>
      <c r="Z168" s="8">
        <v>3</v>
      </c>
      <c r="AA168" s="8">
        <v>5</v>
      </c>
      <c r="AB168" s="8" t="s">
        <v>176</v>
      </c>
      <c r="AC168" s="8" t="s">
        <v>228</v>
      </c>
      <c r="AD168" s="14" t="s">
        <v>229</v>
      </c>
      <c r="AE168" s="8" t="s">
        <v>614</v>
      </c>
      <c r="AF168" s="14">
        <v>0.63</v>
      </c>
      <c r="AG168" s="8">
        <v>1220</v>
      </c>
      <c r="AH168" s="8">
        <v>0</v>
      </c>
      <c r="AI168" s="8">
        <v>83.99</v>
      </c>
      <c r="AJ168" s="8">
        <v>31.885000000000002</v>
      </c>
      <c r="AK168" s="127">
        <v>12.775</v>
      </c>
      <c r="AL168" s="103">
        <v>27.604999999999997</v>
      </c>
      <c r="AM168" s="8">
        <v>12.775</v>
      </c>
      <c r="AN168" s="21">
        <v>0</v>
      </c>
      <c r="AO168" s="21">
        <v>0</v>
      </c>
      <c r="AP168" s="21">
        <v>12.775</v>
      </c>
      <c r="AQ168" s="21">
        <v>0</v>
      </c>
      <c r="AR168" s="21">
        <v>0</v>
      </c>
      <c r="AS168" s="8">
        <v>40.379999999999995</v>
      </c>
      <c r="AT168" s="21">
        <v>0</v>
      </c>
      <c r="AU168" s="21">
        <v>0</v>
      </c>
      <c r="AV168" s="21">
        <v>0</v>
      </c>
      <c r="AW168" s="21">
        <v>40.379999999999995</v>
      </c>
      <c r="AX168" s="21">
        <v>0</v>
      </c>
      <c r="AY168" s="8">
        <v>0</v>
      </c>
    </row>
    <row r="169" spans="1:51" ht="15" customHeight="1" x14ac:dyDescent="0.25">
      <c r="A169" s="9">
        <v>744</v>
      </c>
      <c r="B169" s="13">
        <v>45729</v>
      </c>
      <c r="C169" s="9" t="s">
        <v>169</v>
      </c>
      <c r="D169" s="9">
        <v>9518598806</v>
      </c>
      <c r="E169" s="8">
        <v>1</v>
      </c>
      <c r="F169" s="9" t="s">
        <v>776</v>
      </c>
      <c r="G169" s="9" t="s">
        <v>335</v>
      </c>
      <c r="H169" s="9" t="s">
        <v>57</v>
      </c>
      <c r="I169" s="9" t="s">
        <v>48</v>
      </c>
      <c r="J169" s="9" t="s">
        <v>39</v>
      </c>
      <c r="K169" s="9" t="s">
        <v>233</v>
      </c>
      <c r="L169" s="39"/>
      <c r="M169" s="7" t="s">
        <v>1</v>
      </c>
      <c r="N169" s="8"/>
      <c r="O169" s="40"/>
      <c r="P169" s="15" t="s">
        <v>220</v>
      </c>
      <c r="Q169" s="9" t="s">
        <v>264</v>
      </c>
      <c r="R169" s="9" t="s">
        <v>1568</v>
      </c>
      <c r="S169" s="9" t="s">
        <v>858</v>
      </c>
      <c r="T169" s="9">
        <v>941597</v>
      </c>
      <c r="U169" s="16" t="s">
        <v>106</v>
      </c>
      <c r="V169" s="9">
        <v>3961812</v>
      </c>
      <c r="W169" s="8" t="s">
        <v>777</v>
      </c>
      <c r="X169" s="8" t="s">
        <v>317</v>
      </c>
      <c r="Y169" s="8" t="s">
        <v>401</v>
      </c>
      <c r="Z169" s="8">
        <v>3</v>
      </c>
      <c r="AA169" s="8">
        <v>5</v>
      </c>
      <c r="AB169" s="8" t="s">
        <v>176</v>
      </c>
      <c r="AC169" s="8" t="s">
        <v>228</v>
      </c>
      <c r="AD169" s="14" t="s">
        <v>229</v>
      </c>
      <c r="AE169" s="8" t="s">
        <v>354</v>
      </c>
      <c r="AF169" s="14">
        <v>0.7</v>
      </c>
      <c r="AG169" s="8">
        <v>1220</v>
      </c>
      <c r="AH169" s="8">
        <v>0</v>
      </c>
      <c r="AI169" s="8">
        <v>56</v>
      </c>
      <c r="AJ169" s="8">
        <v>38.204999999999998</v>
      </c>
      <c r="AK169" s="127">
        <v>17.795000000000002</v>
      </c>
      <c r="AL169" s="103">
        <v>0</v>
      </c>
      <c r="AM169" s="8">
        <v>17.795000000000002</v>
      </c>
      <c r="AN169" s="21">
        <v>17.795000000000002</v>
      </c>
      <c r="AO169" s="21">
        <v>0</v>
      </c>
      <c r="AP169" s="21">
        <v>0</v>
      </c>
      <c r="AQ169" s="21">
        <v>0</v>
      </c>
      <c r="AR169" s="21">
        <v>0</v>
      </c>
      <c r="AS169" s="8">
        <v>17.795000000000002</v>
      </c>
      <c r="AT169" s="21">
        <v>0</v>
      </c>
      <c r="AU169" s="21">
        <v>17.795000000000002</v>
      </c>
      <c r="AV169" s="21">
        <v>0</v>
      </c>
      <c r="AW169" s="21">
        <v>0</v>
      </c>
      <c r="AX169" s="21">
        <v>0</v>
      </c>
      <c r="AY169" s="8">
        <v>0</v>
      </c>
    </row>
    <row r="170" spans="1:51" ht="15" customHeight="1" x14ac:dyDescent="0.25">
      <c r="A170" s="9">
        <v>744</v>
      </c>
      <c r="B170" s="13">
        <v>45729</v>
      </c>
      <c r="C170" s="9" t="s">
        <v>169</v>
      </c>
      <c r="D170" s="9">
        <v>9518598889</v>
      </c>
      <c r="E170" s="8">
        <v>1</v>
      </c>
      <c r="F170" s="9" t="s">
        <v>778</v>
      </c>
      <c r="G170" s="9" t="s">
        <v>335</v>
      </c>
      <c r="H170" s="9" t="s">
        <v>57</v>
      </c>
      <c r="I170" s="9" t="s">
        <v>48</v>
      </c>
      <c r="J170" s="9" t="s">
        <v>39</v>
      </c>
      <c r="K170" s="9" t="s">
        <v>233</v>
      </c>
      <c r="L170" s="39"/>
      <c r="M170" s="7" t="s">
        <v>1</v>
      </c>
      <c r="N170" s="8"/>
      <c r="O170" s="40"/>
      <c r="P170" s="15" t="s">
        <v>220</v>
      </c>
      <c r="Q170" s="9" t="s">
        <v>264</v>
      </c>
      <c r="R170" s="9" t="s">
        <v>1568</v>
      </c>
      <c r="S170" s="9" t="s">
        <v>858</v>
      </c>
      <c r="T170" s="9">
        <v>941597</v>
      </c>
      <c r="U170" s="16" t="s">
        <v>106</v>
      </c>
      <c r="V170" s="9">
        <v>3902332</v>
      </c>
      <c r="W170" s="8" t="s">
        <v>353</v>
      </c>
      <c r="X170" s="8" t="s">
        <v>317</v>
      </c>
      <c r="Y170" s="8" t="s">
        <v>355</v>
      </c>
      <c r="Z170" s="8">
        <v>2</v>
      </c>
      <c r="AA170" s="8">
        <v>5.0999999999999996</v>
      </c>
      <c r="AB170" s="8" t="s">
        <v>176</v>
      </c>
      <c r="AC170" s="8" t="s">
        <v>228</v>
      </c>
      <c r="AD170" s="14" t="s">
        <v>229</v>
      </c>
      <c r="AE170" s="8" t="s">
        <v>354</v>
      </c>
      <c r="AF170" s="14">
        <v>0.5</v>
      </c>
      <c r="AG170" s="8">
        <v>1220</v>
      </c>
      <c r="AH170" s="8">
        <v>0</v>
      </c>
      <c r="AI170" s="8">
        <v>140</v>
      </c>
      <c r="AJ170" s="8">
        <v>122.02500000000001</v>
      </c>
      <c r="AK170" s="127">
        <v>17.975000000000001</v>
      </c>
      <c r="AL170" s="103">
        <v>0</v>
      </c>
      <c r="AM170" s="8">
        <v>0</v>
      </c>
      <c r="AN170" s="21">
        <v>0</v>
      </c>
      <c r="AO170" s="21">
        <v>0</v>
      </c>
      <c r="AP170" s="21">
        <v>0</v>
      </c>
      <c r="AQ170" s="21">
        <v>0</v>
      </c>
      <c r="AR170" s="21">
        <v>0</v>
      </c>
      <c r="AS170" s="8">
        <v>0</v>
      </c>
      <c r="AT170" s="21">
        <v>0</v>
      </c>
      <c r="AU170" s="21">
        <v>0</v>
      </c>
      <c r="AV170" s="21">
        <v>0</v>
      </c>
      <c r="AW170" s="21">
        <v>0</v>
      </c>
      <c r="AX170" s="21">
        <v>0</v>
      </c>
      <c r="AY170" s="8">
        <v>0</v>
      </c>
    </row>
    <row r="171" spans="1:51" ht="15" customHeight="1" x14ac:dyDescent="0.25">
      <c r="A171" s="9">
        <v>742</v>
      </c>
      <c r="B171" s="13">
        <v>45738</v>
      </c>
      <c r="C171" s="9" t="s">
        <v>169</v>
      </c>
      <c r="D171" s="9">
        <v>9518624222</v>
      </c>
      <c r="E171" s="8">
        <v>2</v>
      </c>
      <c r="F171" s="9" t="s">
        <v>780</v>
      </c>
      <c r="G171" s="9" t="s">
        <v>1687</v>
      </c>
      <c r="H171" s="9" t="s">
        <v>57</v>
      </c>
      <c r="I171" s="9" t="s">
        <v>25</v>
      </c>
      <c r="J171" s="9" t="s">
        <v>32</v>
      </c>
      <c r="K171" s="9" t="s">
        <v>170</v>
      </c>
      <c r="L171" s="39"/>
      <c r="M171" s="7" t="s">
        <v>1</v>
      </c>
      <c r="N171" s="8"/>
      <c r="O171" s="40"/>
      <c r="P171" s="15" t="s">
        <v>273</v>
      </c>
      <c r="Q171" s="9" t="s">
        <v>172</v>
      </c>
      <c r="R171" s="9" t="s">
        <v>274</v>
      </c>
      <c r="S171" s="9" t="s">
        <v>858</v>
      </c>
      <c r="T171" s="9">
        <v>184986</v>
      </c>
      <c r="U171" s="16" t="s">
        <v>84</v>
      </c>
      <c r="V171" s="9">
        <v>2420508</v>
      </c>
      <c r="W171" s="8" t="s">
        <v>781</v>
      </c>
      <c r="X171" s="8" t="s">
        <v>265</v>
      </c>
      <c r="Y171" s="8" t="s">
        <v>175</v>
      </c>
      <c r="Z171" s="8">
        <v>15</v>
      </c>
      <c r="AA171" s="8">
        <v>29</v>
      </c>
      <c r="AB171" s="8" t="s">
        <v>176</v>
      </c>
      <c r="AC171" s="8" t="s">
        <v>190</v>
      </c>
      <c r="AD171" s="14" t="s">
        <v>191</v>
      </c>
      <c r="AE171" s="8" t="s">
        <v>530</v>
      </c>
      <c r="AF171" s="14">
        <v>0.5</v>
      </c>
      <c r="AG171" s="8">
        <v>1250</v>
      </c>
      <c r="AH171" s="8">
        <v>0</v>
      </c>
      <c r="AI171" s="8">
        <v>116</v>
      </c>
      <c r="AJ171" s="8">
        <v>75.22</v>
      </c>
      <c r="AK171" s="127">
        <v>14.44</v>
      </c>
      <c r="AL171" s="103">
        <v>23.234999999999999</v>
      </c>
      <c r="AM171" s="8">
        <v>0</v>
      </c>
      <c r="AN171" s="21">
        <v>0</v>
      </c>
      <c r="AO171" s="21">
        <v>0</v>
      </c>
      <c r="AP171" s="21">
        <v>0</v>
      </c>
      <c r="AQ171" s="21">
        <v>0</v>
      </c>
      <c r="AR171" s="21">
        <v>0</v>
      </c>
      <c r="AS171" s="8">
        <v>23.234999999999999</v>
      </c>
      <c r="AT171" s="21">
        <v>23.234999999999999</v>
      </c>
      <c r="AU171" s="21">
        <v>0</v>
      </c>
      <c r="AV171" s="21">
        <v>0</v>
      </c>
      <c r="AW171" s="21">
        <v>0</v>
      </c>
      <c r="AX171" s="21">
        <v>0</v>
      </c>
      <c r="AY171" s="8">
        <v>0</v>
      </c>
    </row>
    <row r="172" spans="1:51" ht="15" customHeight="1" x14ac:dyDescent="0.25">
      <c r="A172" s="9">
        <v>742</v>
      </c>
      <c r="B172" s="13">
        <v>45737</v>
      </c>
      <c r="C172" s="9" t="s">
        <v>169</v>
      </c>
      <c r="D172" s="9">
        <v>9518619991</v>
      </c>
      <c r="E172" s="8">
        <v>3</v>
      </c>
      <c r="F172" s="9" t="s">
        <v>783</v>
      </c>
      <c r="G172" s="9" t="s">
        <v>1687</v>
      </c>
      <c r="H172" s="9" t="s">
        <v>57</v>
      </c>
      <c r="I172" s="9" t="s">
        <v>25</v>
      </c>
      <c r="J172" s="9" t="s">
        <v>31</v>
      </c>
      <c r="K172" s="9" t="s">
        <v>170</v>
      </c>
      <c r="L172" s="39"/>
      <c r="M172" s="7" t="s">
        <v>1</v>
      </c>
      <c r="N172" s="8"/>
      <c r="O172" s="40" t="s">
        <v>1335</v>
      </c>
      <c r="P172" s="15" t="s">
        <v>363</v>
      </c>
      <c r="Q172" s="9" t="s">
        <v>180</v>
      </c>
      <c r="R172" s="9" t="s">
        <v>364</v>
      </c>
      <c r="S172" s="9" t="s">
        <v>859</v>
      </c>
      <c r="T172" s="9">
        <v>931662</v>
      </c>
      <c r="U172" s="16" t="s">
        <v>94</v>
      </c>
      <c r="V172" s="9">
        <v>3239560</v>
      </c>
      <c r="W172" s="8" t="s">
        <v>370</v>
      </c>
      <c r="X172" s="8" t="s">
        <v>265</v>
      </c>
      <c r="Y172" s="8" t="s">
        <v>175</v>
      </c>
      <c r="Z172" s="8">
        <v>0</v>
      </c>
      <c r="AA172" s="8">
        <v>0</v>
      </c>
      <c r="AB172" s="8" t="s">
        <v>183</v>
      </c>
      <c r="AC172" s="8" t="s">
        <v>210</v>
      </c>
      <c r="AD172" s="14" t="s">
        <v>211</v>
      </c>
      <c r="AE172" s="8" t="s">
        <v>212</v>
      </c>
      <c r="AF172" s="14">
        <v>0.45</v>
      </c>
      <c r="AG172" s="8">
        <v>900</v>
      </c>
      <c r="AH172" s="8">
        <v>2500</v>
      </c>
      <c r="AI172" s="8">
        <v>42</v>
      </c>
      <c r="AJ172" s="8">
        <v>36.71</v>
      </c>
      <c r="AK172" s="127">
        <v>5.29</v>
      </c>
      <c r="AL172" s="103">
        <v>2.6</v>
      </c>
      <c r="AM172" s="8">
        <v>0</v>
      </c>
      <c r="AN172" s="21">
        <v>0</v>
      </c>
      <c r="AO172" s="21">
        <v>0</v>
      </c>
      <c r="AP172" s="21">
        <v>0</v>
      </c>
      <c r="AQ172" s="21">
        <v>0</v>
      </c>
      <c r="AR172" s="21">
        <v>0</v>
      </c>
      <c r="AS172" s="8">
        <v>2.6</v>
      </c>
      <c r="AT172" s="21">
        <v>2.6</v>
      </c>
      <c r="AU172" s="21">
        <v>0</v>
      </c>
      <c r="AV172" s="21">
        <v>0</v>
      </c>
      <c r="AW172" s="21">
        <v>0</v>
      </c>
      <c r="AX172" s="21">
        <v>0</v>
      </c>
      <c r="AY172" s="8">
        <v>0</v>
      </c>
    </row>
    <row r="173" spans="1:51" ht="15" customHeight="1" x14ac:dyDescent="0.25">
      <c r="A173" s="9">
        <v>744</v>
      </c>
      <c r="B173" s="13">
        <v>45738</v>
      </c>
      <c r="C173" s="9" t="s">
        <v>169</v>
      </c>
      <c r="D173" s="9">
        <v>9518623514</v>
      </c>
      <c r="E173" s="8">
        <v>1</v>
      </c>
      <c r="F173" s="9" t="s">
        <v>784</v>
      </c>
      <c r="G173" s="9" t="s">
        <v>335</v>
      </c>
      <c r="H173" s="9" t="s">
        <v>57</v>
      </c>
      <c r="I173" s="9" t="s">
        <v>48</v>
      </c>
      <c r="J173" s="9" t="s">
        <v>39</v>
      </c>
      <c r="K173" s="9" t="s">
        <v>233</v>
      </c>
      <c r="L173" s="39"/>
      <c r="M173" s="7" t="s">
        <v>1</v>
      </c>
      <c r="N173" s="8"/>
      <c r="O173" s="40"/>
      <c r="P173" s="15" t="s">
        <v>220</v>
      </c>
      <c r="Q173" s="9" t="s">
        <v>264</v>
      </c>
      <c r="R173" s="9" t="s">
        <v>1568</v>
      </c>
      <c r="S173" s="9" t="s">
        <v>858</v>
      </c>
      <c r="T173" s="9">
        <v>941597</v>
      </c>
      <c r="U173" s="16" t="s">
        <v>106</v>
      </c>
      <c r="V173" s="9">
        <v>3712516</v>
      </c>
      <c r="W173" s="8" t="s">
        <v>257</v>
      </c>
      <c r="X173" s="8" t="s">
        <v>317</v>
      </c>
      <c r="Y173" s="8" t="s">
        <v>258</v>
      </c>
      <c r="Z173" s="8">
        <v>3</v>
      </c>
      <c r="AA173" s="8">
        <v>5</v>
      </c>
      <c r="AB173" s="8" t="s">
        <v>176</v>
      </c>
      <c r="AC173" s="8" t="s">
        <v>228</v>
      </c>
      <c r="AD173" s="14" t="s">
        <v>229</v>
      </c>
      <c r="AE173" s="8" t="s">
        <v>259</v>
      </c>
      <c r="AF173" s="14">
        <v>0.45</v>
      </c>
      <c r="AG173" s="8">
        <v>1220</v>
      </c>
      <c r="AH173" s="8">
        <v>0</v>
      </c>
      <c r="AI173" s="8">
        <v>140</v>
      </c>
      <c r="AJ173" s="8">
        <v>0</v>
      </c>
      <c r="AK173" s="127">
        <v>140</v>
      </c>
      <c r="AL173" s="103">
        <v>0</v>
      </c>
      <c r="AM173" s="8">
        <v>140</v>
      </c>
      <c r="AN173" s="21">
        <v>0</v>
      </c>
      <c r="AO173" s="21">
        <v>0</v>
      </c>
      <c r="AP173" s="21">
        <v>140</v>
      </c>
      <c r="AQ173" s="21">
        <v>0</v>
      </c>
      <c r="AR173" s="21">
        <v>0</v>
      </c>
      <c r="AS173" s="8">
        <v>140</v>
      </c>
      <c r="AT173" s="21">
        <v>0</v>
      </c>
      <c r="AU173" s="21">
        <v>0</v>
      </c>
      <c r="AV173" s="21">
        <v>140</v>
      </c>
      <c r="AW173" s="21">
        <v>0</v>
      </c>
      <c r="AX173" s="21">
        <v>0</v>
      </c>
      <c r="AY173" s="8">
        <v>0</v>
      </c>
    </row>
    <row r="174" spans="1:51" ht="15" customHeight="1" x14ac:dyDescent="0.25">
      <c r="A174" s="9">
        <v>743</v>
      </c>
      <c r="B174" s="13">
        <v>45736</v>
      </c>
      <c r="C174" s="9" t="s">
        <v>169</v>
      </c>
      <c r="D174" s="9">
        <v>9518616273</v>
      </c>
      <c r="E174" s="8">
        <v>2</v>
      </c>
      <c r="F174" s="9" t="s">
        <v>786</v>
      </c>
      <c r="G174" s="9" t="s">
        <v>1687</v>
      </c>
      <c r="H174" s="9" t="s">
        <v>57</v>
      </c>
      <c r="I174" s="9" t="s">
        <v>43</v>
      </c>
      <c r="J174" s="9" t="s">
        <v>46</v>
      </c>
      <c r="K174" s="9">
        <v>2000</v>
      </c>
      <c r="L174" s="39"/>
      <c r="M174" s="7" t="s">
        <v>1</v>
      </c>
      <c r="N174" s="8"/>
      <c r="O174" s="40"/>
      <c r="P174" s="15" t="s">
        <v>199</v>
      </c>
      <c r="Q174" s="9" t="s">
        <v>180</v>
      </c>
      <c r="R174" s="9" t="s">
        <v>1576</v>
      </c>
      <c r="S174" s="9" t="s">
        <v>858</v>
      </c>
      <c r="T174" s="9">
        <v>931671</v>
      </c>
      <c r="U174" s="16" t="s">
        <v>91</v>
      </c>
      <c r="V174" s="9">
        <v>3777535</v>
      </c>
      <c r="W174" s="8" t="s">
        <v>268</v>
      </c>
      <c r="X174" s="8" t="s">
        <v>175</v>
      </c>
      <c r="Y174" s="8" t="s">
        <v>175</v>
      </c>
      <c r="Z174" s="8"/>
      <c r="AA174" s="8"/>
      <c r="AB174" s="8" t="s">
        <v>183</v>
      </c>
      <c r="AC174" s="8" t="s">
        <v>269</v>
      </c>
      <c r="AD174" s="14" t="s">
        <v>270</v>
      </c>
      <c r="AE174" s="8" t="s">
        <v>165</v>
      </c>
      <c r="AF174" s="14">
        <v>0.4</v>
      </c>
      <c r="AG174" s="8">
        <v>900</v>
      </c>
      <c r="AH174" s="8">
        <v>0</v>
      </c>
      <c r="AI174" s="8">
        <v>126</v>
      </c>
      <c r="AJ174" s="8">
        <v>0</v>
      </c>
      <c r="AK174" s="127">
        <v>61.82</v>
      </c>
      <c r="AL174" s="103">
        <v>4.0599999999999996</v>
      </c>
      <c r="AM174" s="8">
        <v>0</v>
      </c>
      <c r="AN174" s="21">
        <v>0</v>
      </c>
      <c r="AO174" s="21">
        <v>0</v>
      </c>
      <c r="AP174" s="21">
        <v>0</v>
      </c>
      <c r="AQ174" s="21">
        <v>0</v>
      </c>
      <c r="AR174" s="21">
        <v>0</v>
      </c>
      <c r="AS174" s="8">
        <v>4.0599999999999996</v>
      </c>
      <c r="AT174" s="21">
        <v>4.0599999999999996</v>
      </c>
      <c r="AU174" s="21">
        <v>0</v>
      </c>
      <c r="AV174" s="21">
        <v>0</v>
      </c>
      <c r="AW174" s="21">
        <v>0</v>
      </c>
      <c r="AX174" s="21">
        <v>0</v>
      </c>
      <c r="AY174" s="8">
        <v>0</v>
      </c>
    </row>
    <row r="175" spans="1:51" ht="15" customHeight="1" x14ac:dyDescent="0.25">
      <c r="A175" s="9">
        <v>743</v>
      </c>
      <c r="B175" s="13">
        <v>45736</v>
      </c>
      <c r="C175" s="9" t="s">
        <v>169</v>
      </c>
      <c r="D175" s="9">
        <v>9518616273</v>
      </c>
      <c r="E175" s="8">
        <v>3</v>
      </c>
      <c r="F175" s="9" t="s">
        <v>787</v>
      </c>
      <c r="G175" s="9" t="s">
        <v>1687</v>
      </c>
      <c r="H175" s="9" t="s">
        <v>57</v>
      </c>
      <c r="I175" s="9" t="s">
        <v>43</v>
      </c>
      <c r="J175" s="9" t="s">
        <v>46</v>
      </c>
      <c r="K175" s="9">
        <v>2000</v>
      </c>
      <c r="L175" s="39"/>
      <c r="M175" s="7" t="s">
        <v>1</v>
      </c>
      <c r="N175" s="8"/>
      <c r="O175" s="40"/>
      <c r="P175" s="15" t="s">
        <v>199</v>
      </c>
      <c r="Q175" s="9" t="s">
        <v>180</v>
      </c>
      <c r="R175" s="9" t="s">
        <v>1576</v>
      </c>
      <c r="S175" s="9" t="s">
        <v>858</v>
      </c>
      <c r="T175" s="9">
        <v>931671</v>
      </c>
      <c r="U175" s="16" t="s">
        <v>91</v>
      </c>
      <c r="V175" s="9">
        <v>3767014</v>
      </c>
      <c r="W175" s="8" t="s">
        <v>788</v>
      </c>
      <c r="X175" s="8" t="s">
        <v>175</v>
      </c>
      <c r="Y175" s="8" t="s">
        <v>175</v>
      </c>
      <c r="Z175" s="8"/>
      <c r="AA175" s="8"/>
      <c r="AB175" s="8" t="s">
        <v>176</v>
      </c>
      <c r="AC175" s="8" t="s">
        <v>269</v>
      </c>
      <c r="AD175" s="14" t="s">
        <v>270</v>
      </c>
      <c r="AE175" s="8" t="s">
        <v>165</v>
      </c>
      <c r="AF175" s="14">
        <v>0.4</v>
      </c>
      <c r="AG175" s="8">
        <v>1350</v>
      </c>
      <c r="AH175" s="8">
        <v>0</v>
      </c>
      <c r="AI175" s="8">
        <v>124</v>
      </c>
      <c r="AJ175" s="8">
        <v>0</v>
      </c>
      <c r="AK175" s="127">
        <v>9.7149999999999999</v>
      </c>
      <c r="AL175" s="103">
        <v>74.62</v>
      </c>
      <c r="AM175" s="8">
        <v>0</v>
      </c>
      <c r="AN175" s="21">
        <v>0</v>
      </c>
      <c r="AO175" s="21">
        <v>0</v>
      </c>
      <c r="AP175" s="21">
        <v>0</v>
      </c>
      <c r="AQ175" s="21">
        <v>0</v>
      </c>
      <c r="AR175" s="21">
        <v>0</v>
      </c>
      <c r="AS175" s="8">
        <v>74.62</v>
      </c>
      <c r="AT175" s="21">
        <v>74.62</v>
      </c>
      <c r="AU175" s="21">
        <v>0</v>
      </c>
      <c r="AV175" s="21">
        <v>0</v>
      </c>
      <c r="AW175" s="21">
        <v>0</v>
      </c>
      <c r="AX175" s="21">
        <v>0</v>
      </c>
      <c r="AY175" s="8">
        <v>0</v>
      </c>
    </row>
    <row r="176" spans="1:51" ht="15" customHeight="1" x14ac:dyDescent="0.25">
      <c r="A176" s="9">
        <v>743</v>
      </c>
      <c r="B176" s="13">
        <v>45736</v>
      </c>
      <c r="C176" s="9" t="s">
        <v>169</v>
      </c>
      <c r="D176" s="9">
        <v>9518616273</v>
      </c>
      <c r="E176" s="8">
        <v>4</v>
      </c>
      <c r="F176" s="9" t="s">
        <v>789</v>
      </c>
      <c r="G176" s="9" t="s">
        <v>1687</v>
      </c>
      <c r="H176" s="9" t="s">
        <v>57</v>
      </c>
      <c r="I176" s="9" t="s">
        <v>43</v>
      </c>
      <c r="J176" s="9" t="s">
        <v>46</v>
      </c>
      <c r="K176" s="9">
        <v>2000</v>
      </c>
      <c r="L176" s="39"/>
      <c r="M176" s="7" t="s">
        <v>1</v>
      </c>
      <c r="N176" s="8"/>
      <c r="O176" s="40"/>
      <c r="P176" s="15" t="s">
        <v>199</v>
      </c>
      <c r="Q176" s="9" t="s">
        <v>180</v>
      </c>
      <c r="R176" s="9" t="s">
        <v>1576</v>
      </c>
      <c r="S176" s="9" t="s">
        <v>858</v>
      </c>
      <c r="T176" s="9">
        <v>931671</v>
      </c>
      <c r="U176" s="16" t="s">
        <v>91</v>
      </c>
      <c r="V176" s="9">
        <v>3774103</v>
      </c>
      <c r="W176" s="8" t="s">
        <v>610</v>
      </c>
      <c r="X176" s="8" t="s">
        <v>175</v>
      </c>
      <c r="Y176" s="8" t="s">
        <v>175</v>
      </c>
      <c r="Z176" s="8"/>
      <c r="AA176" s="8"/>
      <c r="AB176" s="8" t="s">
        <v>176</v>
      </c>
      <c r="AC176" s="8" t="s">
        <v>269</v>
      </c>
      <c r="AD176" s="14" t="s">
        <v>185</v>
      </c>
      <c r="AE176" s="8" t="s">
        <v>165</v>
      </c>
      <c r="AF176" s="14">
        <v>0.45</v>
      </c>
      <c r="AG176" s="8">
        <v>1350</v>
      </c>
      <c r="AH176" s="8">
        <v>0</v>
      </c>
      <c r="AI176" s="8">
        <v>124</v>
      </c>
      <c r="AJ176" s="8">
        <v>0</v>
      </c>
      <c r="AK176" s="127">
        <v>11.89</v>
      </c>
      <c r="AL176" s="103">
        <v>81.194999999999993</v>
      </c>
      <c r="AM176" s="8">
        <v>0</v>
      </c>
      <c r="AN176" s="21">
        <v>0</v>
      </c>
      <c r="AO176" s="21">
        <v>0</v>
      </c>
      <c r="AP176" s="21">
        <v>0</v>
      </c>
      <c r="AQ176" s="21">
        <v>0</v>
      </c>
      <c r="AR176" s="21">
        <v>0</v>
      </c>
      <c r="AS176" s="8">
        <v>81.194999999999993</v>
      </c>
      <c r="AT176" s="21">
        <v>81.194999999999993</v>
      </c>
      <c r="AU176" s="21">
        <v>0</v>
      </c>
      <c r="AV176" s="21">
        <v>0</v>
      </c>
      <c r="AW176" s="21">
        <v>0</v>
      </c>
      <c r="AX176" s="21">
        <v>0</v>
      </c>
      <c r="AY176" s="8">
        <v>0</v>
      </c>
    </row>
    <row r="177" spans="1:51" ht="15" customHeight="1" x14ac:dyDescent="0.25">
      <c r="A177" s="9">
        <v>742</v>
      </c>
      <c r="B177" s="13">
        <v>45736</v>
      </c>
      <c r="C177" s="9" t="s">
        <v>169</v>
      </c>
      <c r="D177" s="9">
        <v>9518617132</v>
      </c>
      <c r="E177" s="8">
        <v>2</v>
      </c>
      <c r="F177" s="9" t="s">
        <v>790</v>
      </c>
      <c r="G177" s="9" t="s">
        <v>335</v>
      </c>
      <c r="H177" s="9" t="s">
        <v>57</v>
      </c>
      <c r="I177" s="9" t="s">
        <v>25</v>
      </c>
      <c r="J177" s="9" t="s">
        <v>785</v>
      </c>
      <c r="K177" s="9">
        <v>2000</v>
      </c>
      <c r="L177" s="39"/>
      <c r="M177" s="7" t="s">
        <v>1</v>
      </c>
      <c r="N177" s="8"/>
      <c r="O177" s="40"/>
      <c r="P177" s="15" t="s">
        <v>199</v>
      </c>
      <c r="Q177" s="9" t="s">
        <v>180</v>
      </c>
      <c r="R177" s="9" t="s">
        <v>1575</v>
      </c>
      <c r="S177" s="9" t="s">
        <v>859</v>
      </c>
      <c r="T177" s="9">
        <v>103227</v>
      </c>
      <c r="U177" s="16" t="s">
        <v>91</v>
      </c>
      <c r="V177" s="9">
        <v>3239557</v>
      </c>
      <c r="W177" s="8" t="s">
        <v>750</v>
      </c>
      <c r="X177" s="8" t="s">
        <v>175</v>
      </c>
      <c r="Y177" s="8" t="s">
        <v>175</v>
      </c>
      <c r="Z177" s="8"/>
      <c r="AA177" s="8"/>
      <c r="AB177" s="8" t="s">
        <v>176</v>
      </c>
      <c r="AC177" s="8" t="s">
        <v>210</v>
      </c>
      <c r="AD177" s="14" t="s">
        <v>211</v>
      </c>
      <c r="AE177" s="8" t="s">
        <v>212</v>
      </c>
      <c r="AF177" s="14">
        <v>0.4</v>
      </c>
      <c r="AG177" s="8">
        <v>1250</v>
      </c>
      <c r="AH177" s="8">
        <v>0</v>
      </c>
      <c r="AI177" s="8">
        <v>24</v>
      </c>
      <c r="AJ177" s="8">
        <v>0</v>
      </c>
      <c r="AK177" s="127">
        <v>24</v>
      </c>
      <c r="AL177" s="103">
        <v>0</v>
      </c>
      <c r="AM177" s="8">
        <v>24</v>
      </c>
      <c r="AN177" s="21">
        <v>0</v>
      </c>
      <c r="AO177" s="21">
        <v>0</v>
      </c>
      <c r="AP177" s="21">
        <v>0</v>
      </c>
      <c r="AQ177" s="21">
        <v>24</v>
      </c>
      <c r="AR177" s="21">
        <v>0</v>
      </c>
      <c r="AS177" s="8">
        <v>24</v>
      </c>
      <c r="AT177" s="21">
        <v>0</v>
      </c>
      <c r="AU177" s="21">
        <v>0</v>
      </c>
      <c r="AV177" s="21">
        <v>0</v>
      </c>
      <c r="AW177" s="21">
        <v>24</v>
      </c>
      <c r="AX177" s="21">
        <v>0</v>
      </c>
      <c r="AY177" s="8">
        <v>0</v>
      </c>
    </row>
    <row r="178" spans="1:51" ht="15" customHeight="1" x14ac:dyDescent="0.25">
      <c r="A178" s="9">
        <v>742</v>
      </c>
      <c r="B178" s="13">
        <v>45739</v>
      </c>
      <c r="C178" s="9" t="s">
        <v>169</v>
      </c>
      <c r="D178" s="9">
        <v>9518625201</v>
      </c>
      <c r="E178" s="8">
        <v>1</v>
      </c>
      <c r="F178" s="9" t="s">
        <v>791</v>
      </c>
      <c r="G178" s="9" t="s">
        <v>335</v>
      </c>
      <c r="H178" s="9" t="s">
        <v>57</v>
      </c>
      <c r="I178" s="9" t="s">
        <v>25</v>
      </c>
      <c r="J178" s="9" t="s">
        <v>29</v>
      </c>
      <c r="K178" s="9">
        <v>1000</v>
      </c>
      <c r="L178" s="39"/>
      <c r="M178" s="7" t="s">
        <v>1</v>
      </c>
      <c r="N178" s="8"/>
      <c r="O178" s="40"/>
      <c r="P178" s="15" t="s">
        <v>289</v>
      </c>
      <c r="Q178" s="9" t="s">
        <v>188</v>
      </c>
      <c r="R178" s="9" t="s">
        <v>328</v>
      </c>
      <c r="S178" s="9" t="s">
        <v>858</v>
      </c>
      <c r="T178" s="9">
        <v>188891</v>
      </c>
      <c r="U178" s="16" t="s">
        <v>65</v>
      </c>
      <c r="V178" s="9">
        <v>2439203</v>
      </c>
      <c r="W178" s="8" t="s">
        <v>288</v>
      </c>
      <c r="X178" s="8" t="s">
        <v>175</v>
      </c>
      <c r="Y178" s="8" t="s">
        <v>175</v>
      </c>
      <c r="Z178" s="8"/>
      <c r="AA178" s="8"/>
      <c r="AB178" s="8" t="s">
        <v>183</v>
      </c>
      <c r="AC178" s="8" t="s">
        <v>190</v>
      </c>
      <c r="AD178" s="14" t="s">
        <v>197</v>
      </c>
      <c r="AE178" s="8" t="s">
        <v>198</v>
      </c>
      <c r="AF178" s="14">
        <v>0.5</v>
      </c>
      <c r="AG178" s="8">
        <v>1160</v>
      </c>
      <c r="AH178" s="8">
        <v>0</v>
      </c>
      <c r="AI178" s="8">
        <v>296.99</v>
      </c>
      <c r="AJ178" s="8">
        <v>147.345</v>
      </c>
      <c r="AK178" s="127">
        <v>33.344999999999999</v>
      </c>
      <c r="AL178" s="103">
        <v>18.625</v>
      </c>
      <c r="AM178" s="8">
        <v>33.344999999999999</v>
      </c>
      <c r="AN178" s="21">
        <v>0</v>
      </c>
      <c r="AO178" s="21">
        <v>33.344999999999999</v>
      </c>
      <c r="AP178" s="21">
        <v>0</v>
      </c>
      <c r="AQ178" s="21">
        <v>0</v>
      </c>
      <c r="AR178" s="21">
        <v>0</v>
      </c>
      <c r="AS178" s="8">
        <v>51.97</v>
      </c>
      <c r="AT178" s="21">
        <v>0</v>
      </c>
      <c r="AU178" s="21">
        <v>0</v>
      </c>
      <c r="AV178" s="21">
        <v>51.97</v>
      </c>
      <c r="AW178" s="21">
        <v>0</v>
      </c>
      <c r="AX178" s="21">
        <v>0</v>
      </c>
      <c r="AY178" s="8">
        <v>0</v>
      </c>
    </row>
    <row r="179" spans="1:51" ht="15" customHeight="1" x14ac:dyDescent="0.25">
      <c r="A179" s="9">
        <v>742</v>
      </c>
      <c r="B179" s="13">
        <v>45737</v>
      </c>
      <c r="C179" s="9" t="s">
        <v>169</v>
      </c>
      <c r="D179" s="9">
        <v>9518619991</v>
      </c>
      <c r="E179" s="8">
        <v>2</v>
      </c>
      <c r="F179" s="9" t="s">
        <v>792</v>
      </c>
      <c r="G179" s="9" t="s">
        <v>1687</v>
      </c>
      <c r="H179" s="9" t="s">
        <v>57</v>
      </c>
      <c r="I179" s="9" t="s">
        <v>25</v>
      </c>
      <c r="J179" s="9" t="s">
        <v>785</v>
      </c>
      <c r="K179" s="9">
        <v>2000</v>
      </c>
      <c r="L179" s="39"/>
      <c r="M179" s="7" t="s">
        <v>1</v>
      </c>
      <c r="N179" s="8"/>
      <c r="O179" s="40"/>
      <c r="P179" s="15" t="s">
        <v>363</v>
      </c>
      <c r="Q179" s="9" t="s">
        <v>180</v>
      </c>
      <c r="R179" s="9" t="s">
        <v>1586</v>
      </c>
      <c r="S179" s="9" t="s">
        <v>859</v>
      </c>
      <c r="T179" s="9">
        <v>931662</v>
      </c>
      <c r="U179" s="16" t="s">
        <v>93</v>
      </c>
      <c r="V179" s="9">
        <v>3239548</v>
      </c>
      <c r="W179" s="8" t="s">
        <v>486</v>
      </c>
      <c r="X179" s="8" t="s">
        <v>175</v>
      </c>
      <c r="Y179" s="8" t="s">
        <v>175</v>
      </c>
      <c r="Z179" s="8"/>
      <c r="AA179" s="8"/>
      <c r="AB179" s="8" t="s">
        <v>183</v>
      </c>
      <c r="AC179" s="8" t="s">
        <v>210</v>
      </c>
      <c r="AD179" s="14" t="s">
        <v>211</v>
      </c>
      <c r="AE179" s="8" t="s">
        <v>212</v>
      </c>
      <c r="AF179" s="14">
        <v>0.4</v>
      </c>
      <c r="AG179" s="8">
        <v>900</v>
      </c>
      <c r="AH179" s="8">
        <v>2500</v>
      </c>
      <c r="AI179" s="8">
        <v>21</v>
      </c>
      <c r="AJ179" s="8">
        <v>0</v>
      </c>
      <c r="AK179" s="127">
        <v>1.21</v>
      </c>
      <c r="AL179" s="103">
        <v>8.4849999999999994</v>
      </c>
      <c r="AM179" s="8">
        <v>0</v>
      </c>
      <c r="AN179" s="21">
        <v>0</v>
      </c>
      <c r="AO179" s="21">
        <v>0</v>
      </c>
      <c r="AP179" s="21">
        <v>0</v>
      </c>
      <c r="AQ179" s="21">
        <v>0</v>
      </c>
      <c r="AR179" s="21">
        <v>0</v>
      </c>
      <c r="AS179" s="8">
        <v>8.4849999999999994</v>
      </c>
      <c r="AT179" s="21">
        <v>8.4849999999999994</v>
      </c>
      <c r="AU179" s="21">
        <v>0</v>
      </c>
      <c r="AV179" s="21">
        <v>0</v>
      </c>
      <c r="AW179" s="21">
        <v>0</v>
      </c>
      <c r="AX179" s="21">
        <v>0</v>
      </c>
      <c r="AY179" s="8">
        <v>0</v>
      </c>
    </row>
    <row r="180" spans="1:51" ht="15" customHeight="1" x14ac:dyDescent="0.25">
      <c r="A180" s="9">
        <v>743</v>
      </c>
      <c r="B180" s="13">
        <v>45734</v>
      </c>
      <c r="C180" s="9" t="s">
        <v>169</v>
      </c>
      <c r="D180" s="9">
        <v>9518610691</v>
      </c>
      <c r="E180" s="8">
        <v>3</v>
      </c>
      <c r="F180" s="9" t="s">
        <v>794</v>
      </c>
      <c r="G180" s="9" t="s">
        <v>1687</v>
      </c>
      <c r="H180" s="9" t="s">
        <v>57</v>
      </c>
      <c r="I180" s="9" t="s">
        <v>43</v>
      </c>
      <c r="J180" s="9" t="s">
        <v>26</v>
      </c>
      <c r="K180" s="9">
        <v>2000</v>
      </c>
      <c r="L180" s="39"/>
      <c r="M180" s="7" t="s">
        <v>1</v>
      </c>
      <c r="N180" s="8"/>
      <c r="O180" s="40"/>
      <c r="P180" s="15" t="s">
        <v>793</v>
      </c>
      <c r="Q180" s="9" t="s">
        <v>172</v>
      </c>
      <c r="R180" s="9" t="s">
        <v>1587</v>
      </c>
      <c r="S180" s="9" t="s">
        <v>858</v>
      </c>
      <c r="T180" s="9">
        <v>115190</v>
      </c>
      <c r="U180" s="16" t="s">
        <v>110</v>
      </c>
      <c r="V180" s="9">
        <v>3897429</v>
      </c>
      <c r="W180" s="8" t="s">
        <v>743</v>
      </c>
      <c r="X180" s="8" t="s">
        <v>175</v>
      </c>
      <c r="Y180" s="8" t="s">
        <v>175</v>
      </c>
      <c r="Z180" s="8"/>
      <c r="AA180" s="8"/>
      <c r="AB180" s="8" t="s">
        <v>183</v>
      </c>
      <c r="AC180" s="8" t="s">
        <v>269</v>
      </c>
      <c r="AD180" s="14" t="s">
        <v>388</v>
      </c>
      <c r="AE180" s="8" t="s">
        <v>744</v>
      </c>
      <c r="AF180" s="14">
        <v>0.35</v>
      </c>
      <c r="AG180" s="8">
        <v>900</v>
      </c>
      <c r="AH180" s="8">
        <v>0</v>
      </c>
      <c r="AI180" s="8">
        <v>126</v>
      </c>
      <c r="AJ180" s="8">
        <v>0</v>
      </c>
      <c r="AK180" s="127">
        <v>9.5350000000000001</v>
      </c>
      <c r="AL180" s="103">
        <v>43.215000000000003</v>
      </c>
      <c r="AM180" s="8">
        <v>0</v>
      </c>
      <c r="AN180" s="21">
        <v>0</v>
      </c>
      <c r="AO180" s="21">
        <v>0</v>
      </c>
      <c r="AP180" s="21">
        <v>0</v>
      </c>
      <c r="AQ180" s="21">
        <v>0</v>
      </c>
      <c r="AR180" s="21">
        <v>0</v>
      </c>
      <c r="AS180" s="8">
        <v>43.215000000000003</v>
      </c>
      <c r="AT180" s="21">
        <v>43.215000000000003</v>
      </c>
      <c r="AU180" s="21">
        <v>0</v>
      </c>
      <c r="AV180" s="21">
        <v>0</v>
      </c>
      <c r="AW180" s="21">
        <v>0</v>
      </c>
      <c r="AX180" s="21">
        <v>0</v>
      </c>
      <c r="AY180" s="8">
        <v>0</v>
      </c>
    </row>
    <row r="181" spans="1:51" ht="15" customHeight="1" x14ac:dyDescent="0.25">
      <c r="A181" s="9">
        <v>743</v>
      </c>
      <c r="B181" s="13">
        <v>45734</v>
      </c>
      <c r="C181" s="9" t="s">
        <v>169</v>
      </c>
      <c r="D181" s="9">
        <v>9518610691</v>
      </c>
      <c r="E181" s="8">
        <v>4</v>
      </c>
      <c r="F181" s="9" t="s">
        <v>795</v>
      </c>
      <c r="G181" s="9" t="s">
        <v>1687</v>
      </c>
      <c r="H181" s="9" t="s">
        <v>57</v>
      </c>
      <c r="I181" s="9" t="s">
        <v>43</v>
      </c>
      <c r="J181" s="9" t="s">
        <v>26</v>
      </c>
      <c r="K181" s="9">
        <v>2000</v>
      </c>
      <c r="L181" s="39"/>
      <c r="M181" s="7" t="s">
        <v>1</v>
      </c>
      <c r="N181" s="8"/>
      <c r="O181" s="40"/>
      <c r="P181" s="15" t="s">
        <v>793</v>
      </c>
      <c r="Q181" s="9" t="s">
        <v>172</v>
      </c>
      <c r="R181" s="9" t="s">
        <v>1587</v>
      </c>
      <c r="S181" s="9" t="s">
        <v>858</v>
      </c>
      <c r="T181" s="9">
        <v>115190</v>
      </c>
      <c r="U181" s="16" t="s">
        <v>110</v>
      </c>
      <c r="V181" s="9">
        <v>3897430</v>
      </c>
      <c r="W181" s="8" t="s">
        <v>746</v>
      </c>
      <c r="X181" s="8" t="s">
        <v>175</v>
      </c>
      <c r="Y181" s="8" t="s">
        <v>175</v>
      </c>
      <c r="Z181" s="8"/>
      <c r="AA181" s="8"/>
      <c r="AB181" s="8" t="s">
        <v>183</v>
      </c>
      <c r="AC181" s="8" t="s">
        <v>269</v>
      </c>
      <c r="AD181" s="14" t="s">
        <v>388</v>
      </c>
      <c r="AE181" s="8" t="s">
        <v>744</v>
      </c>
      <c r="AF181" s="14">
        <v>0.4</v>
      </c>
      <c r="AG181" s="8">
        <v>900</v>
      </c>
      <c r="AH181" s="8">
        <v>0</v>
      </c>
      <c r="AI181" s="8">
        <v>126</v>
      </c>
      <c r="AJ181" s="8">
        <v>0</v>
      </c>
      <c r="AK181" s="127">
        <v>6.0549999999999997</v>
      </c>
      <c r="AL181" s="103">
        <v>59.179999999999986</v>
      </c>
      <c r="AM181" s="8">
        <v>0</v>
      </c>
      <c r="AN181" s="21">
        <v>0</v>
      </c>
      <c r="AO181" s="21">
        <v>0</v>
      </c>
      <c r="AP181" s="21">
        <v>0</v>
      </c>
      <c r="AQ181" s="21">
        <v>0</v>
      </c>
      <c r="AR181" s="21">
        <v>0</v>
      </c>
      <c r="AS181" s="8">
        <v>59.179999999999986</v>
      </c>
      <c r="AT181" s="21">
        <v>59.179999999999986</v>
      </c>
      <c r="AU181" s="21">
        <v>0</v>
      </c>
      <c r="AV181" s="21">
        <v>0</v>
      </c>
      <c r="AW181" s="21">
        <v>0</v>
      </c>
      <c r="AX181" s="21">
        <v>0</v>
      </c>
      <c r="AY181" s="8">
        <v>0</v>
      </c>
    </row>
    <row r="182" spans="1:51" ht="15" customHeight="1" x14ac:dyDescent="0.25">
      <c r="A182" s="9">
        <v>743</v>
      </c>
      <c r="B182" s="13">
        <v>45734</v>
      </c>
      <c r="C182" s="9" t="s">
        <v>169</v>
      </c>
      <c r="D182" s="9">
        <v>9518610691</v>
      </c>
      <c r="E182" s="8">
        <v>5</v>
      </c>
      <c r="F182" s="9" t="s">
        <v>796</v>
      </c>
      <c r="G182" s="9" t="s">
        <v>1303</v>
      </c>
      <c r="H182" s="9" t="s">
        <v>57</v>
      </c>
      <c r="I182" s="9" t="s">
        <v>43</v>
      </c>
      <c r="J182" s="9" t="s">
        <v>26</v>
      </c>
      <c r="K182" s="9">
        <v>2000</v>
      </c>
      <c r="L182" s="39"/>
      <c r="M182" s="7" t="s">
        <v>1</v>
      </c>
      <c r="N182" s="8"/>
      <c r="O182" s="40"/>
      <c r="P182" s="15" t="s">
        <v>793</v>
      </c>
      <c r="Q182" s="9" t="s">
        <v>172</v>
      </c>
      <c r="R182" s="9" t="s">
        <v>1587</v>
      </c>
      <c r="S182" s="9" t="s">
        <v>858</v>
      </c>
      <c r="T182" s="9">
        <v>115190</v>
      </c>
      <c r="U182" s="16" t="s">
        <v>110</v>
      </c>
      <c r="V182" s="9">
        <v>3897501</v>
      </c>
      <c r="W182" s="8" t="s">
        <v>747</v>
      </c>
      <c r="X182" s="8" t="s">
        <v>175</v>
      </c>
      <c r="Y182" s="8" t="s">
        <v>175</v>
      </c>
      <c r="Z182" s="8"/>
      <c r="AA182" s="8"/>
      <c r="AB182" s="8" t="s">
        <v>183</v>
      </c>
      <c r="AC182" s="8" t="s">
        <v>269</v>
      </c>
      <c r="AD182" s="14" t="s">
        <v>388</v>
      </c>
      <c r="AE182" s="8" t="s">
        <v>744</v>
      </c>
      <c r="AF182" s="14">
        <v>0.5</v>
      </c>
      <c r="AG182" s="8">
        <v>900</v>
      </c>
      <c r="AH182" s="8">
        <v>0</v>
      </c>
      <c r="AI182" s="8">
        <v>126</v>
      </c>
      <c r="AJ182" s="8">
        <v>0</v>
      </c>
      <c r="AK182" s="127">
        <v>28.67</v>
      </c>
      <c r="AL182" s="103">
        <v>0</v>
      </c>
      <c r="AM182" s="8">
        <v>28.67</v>
      </c>
      <c r="AN182" s="21">
        <v>28.67</v>
      </c>
      <c r="AO182" s="21">
        <v>0</v>
      </c>
      <c r="AP182" s="21">
        <v>0</v>
      </c>
      <c r="AQ182" s="21">
        <v>0</v>
      </c>
      <c r="AR182" s="21">
        <v>0</v>
      </c>
      <c r="AS182" s="8">
        <v>28.67</v>
      </c>
      <c r="AT182" s="21">
        <v>0</v>
      </c>
      <c r="AU182" s="21">
        <v>28.67</v>
      </c>
      <c r="AV182" s="21">
        <v>0</v>
      </c>
      <c r="AW182" s="21">
        <v>0</v>
      </c>
      <c r="AX182" s="21">
        <v>0</v>
      </c>
      <c r="AY182" s="8">
        <v>0</v>
      </c>
    </row>
    <row r="183" spans="1:51" ht="15" customHeight="1" x14ac:dyDescent="0.25">
      <c r="A183" s="9">
        <v>742</v>
      </c>
      <c r="B183" s="13">
        <v>45738</v>
      </c>
      <c r="C183" s="9" t="s">
        <v>169</v>
      </c>
      <c r="D183" s="9">
        <v>9518624222</v>
      </c>
      <c r="E183" s="8">
        <v>4</v>
      </c>
      <c r="F183" s="9" t="s">
        <v>797</v>
      </c>
      <c r="G183" s="9" t="s">
        <v>335</v>
      </c>
      <c r="H183" s="9" t="s">
        <v>57</v>
      </c>
      <c r="I183" s="9" t="s">
        <v>25</v>
      </c>
      <c r="J183" s="9" t="s">
        <v>30</v>
      </c>
      <c r="K183" s="9">
        <v>2000</v>
      </c>
      <c r="L183" s="39"/>
      <c r="M183" s="7" t="s">
        <v>1</v>
      </c>
      <c r="N183" s="8"/>
      <c r="O183" s="40"/>
      <c r="P183" s="15" t="s">
        <v>273</v>
      </c>
      <c r="Q183" s="9" t="s">
        <v>172</v>
      </c>
      <c r="R183" s="9" t="s">
        <v>1588</v>
      </c>
      <c r="S183" s="9" t="s">
        <v>858</v>
      </c>
      <c r="T183" s="9">
        <v>184986</v>
      </c>
      <c r="U183" s="16" t="s">
        <v>84</v>
      </c>
      <c r="V183" s="9">
        <v>1804772</v>
      </c>
      <c r="W183" s="8" t="s">
        <v>272</v>
      </c>
      <c r="X183" s="8" t="s">
        <v>175</v>
      </c>
      <c r="Y183" s="8" t="s">
        <v>175</v>
      </c>
      <c r="Z183" s="8"/>
      <c r="AA183" s="8"/>
      <c r="AB183" s="8" t="s">
        <v>176</v>
      </c>
      <c r="AC183" s="8" t="s">
        <v>190</v>
      </c>
      <c r="AD183" s="14" t="s">
        <v>191</v>
      </c>
      <c r="AE183" s="8" t="s">
        <v>192</v>
      </c>
      <c r="AF183" s="14">
        <v>0.4</v>
      </c>
      <c r="AG183" s="8">
        <v>1250</v>
      </c>
      <c r="AH183" s="8">
        <v>0</v>
      </c>
      <c r="AI183" s="8">
        <v>87</v>
      </c>
      <c r="AJ183" s="8">
        <v>0</v>
      </c>
      <c r="AK183" s="127">
        <v>87</v>
      </c>
      <c r="AL183" s="103">
        <v>0</v>
      </c>
      <c r="AM183" s="8">
        <v>87</v>
      </c>
      <c r="AN183" s="21">
        <v>0</v>
      </c>
      <c r="AO183" s="21">
        <v>0</v>
      </c>
      <c r="AP183" s="21">
        <v>0</v>
      </c>
      <c r="AQ183" s="21">
        <v>87</v>
      </c>
      <c r="AR183" s="21">
        <v>0</v>
      </c>
      <c r="AS183" s="8">
        <v>87</v>
      </c>
      <c r="AT183" s="21">
        <v>0</v>
      </c>
      <c r="AU183" s="21">
        <v>0</v>
      </c>
      <c r="AV183" s="21">
        <v>0</v>
      </c>
      <c r="AW183" s="21">
        <v>87</v>
      </c>
      <c r="AX183" s="21">
        <v>0</v>
      </c>
      <c r="AY183" s="8">
        <v>0</v>
      </c>
    </row>
    <row r="184" spans="1:51" ht="15" customHeight="1" x14ac:dyDescent="0.25">
      <c r="A184" s="9">
        <v>744</v>
      </c>
      <c r="B184" s="13">
        <v>45729</v>
      </c>
      <c r="C184" s="9" t="s">
        <v>169</v>
      </c>
      <c r="D184" s="9">
        <v>9518598889</v>
      </c>
      <c r="E184" s="8">
        <v>2</v>
      </c>
      <c r="F184" s="9" t="s">
        <v>798</v>
      </c>
      <c r="G184" s="9" t="s">
        <v>335</v>
      </c>
      <c r="H184" s="9" t="s">
        <v>57</v>
      </c>
      <c r="I184" s="9" t="s">
        <v>48</v>
      </c>
      <c r="J184" s="9" t="s">
        <v>39</v>
      </c>
      <c r="K184" s="9">
        <v>1000</v>
      </c>
      <c r="L184" s="39"/>
      <c r="M184" s="7" t="s">
        <v>1</v>
      </c>
      <c r="N184" s="8"/>
      <c r="O184" s="40"/>
      <c r="P184" s="15" t="s">
        <v>220</v>
      </c>
      <c r="Q184" s="9" t="s">
        <v>264</v>
      </c>
      <c r="R184" s="9" t="s">
        <v>1568</v>
      </c>
      <c r="S184" s="9" t="s">
        <v>858</v>
      </c>
      <c r="T184" s="9">
        <v>941597</v>
      </c>
      <c r="U184" s="16" t="s">
        <v>105</v>
      </c>
      <c r="V184" s="9">
        <v>3902332</v>
      </c>
      <c r="W184" s="8" t="s">
        <v>353</v>
      </c>
      <c r="X184" s="8">
        <v>150</v>
      </c>
      <c r="Y184" s="8" t="s">
        <v>413</v>
      </c>
      <c r="Z184" s="8"/>
      <c r="AA184" s="8"/>
      <c r="AB184" s="8" t="s">
        <v>176</v>
      </c>
      <c r="AC184" s="8" t="s">
        <v>228</v>
      </c>
      <c r="AD184" s="14" t="s">
        <v>229</v>
      </c>
      <c r="AE184" s="8" t="s">
        <v>354</v>
      </c>
      <c r="AF184" s="14">
        <v>0.5</v>
      </c>
      <c r="AG184" s="8">
        <v>1220</v>
      </c>
      <c r="AH184" s="8">
        <v>0</v>
      </c>
      <c r="AI184" s="8">
        <v>84</v>
      </c>
      <c r="AJ184" s="8">
        <v>0</v>
      </c>
      <c r="AK184" s="127">
        <v>84</v>
      </c>
      <c r="AL184" s="103">
        <v>0</v>
      </c>
      <c r="AM184" s="8">
        <v>0</v>
      </c>
      <c r="AN184" s="21">
        <v>0</v>
      </c>
      <c r="AO184" s="21">
        <v>0</v>
      </c>
      <c r="AP184" s="21">
        <v>0</v>
      </c>
      <c r="AQ184" s="21">
        <v>0</v>
      </c>
      <c r="AR184" s="21">
        <v>0</v>
      </c>
      <c r="AS184" s="8">
        <v>0</v>
      </c>
      <c r="AT184" s="21">
        <v>0</v>
      </c>
      <c r="AU184" s="21">
        <v>0</v>
      </c>
      <c r="AV184" s="21">
        <v>0</v>
      </c>
      <c r="AW184" s="21">
        <v>0</v>
      </c>
      <c r="AX184" s="21">
        <v>0</v>
      </c>
      <c r="AY184" s="8">
        <v>0</v>
      </c>
    </row>
    <row r="185" spans="1:51" ht="15" customHeight="1" x14ac:dyDescent="0.25">
      <c r="A185" s="9">
        <v>744</v>
      </c>
      <c r="B185" s="13">
        <v>45736</v>
      </c>
      <c r="C185" s="9" t="s">
        <v>169</v>
      </c>
      <c r="D185" s="9">
        <v>9518617046</v>
      </c>
      <c r="E185" s="8">
        <v>1</v>
      </c>
      <c r="F185" s="9" t="s">
        <v>799</v>
      </c>
      <c r="G185" s="9" t="s">
        <v>1303</v>
      </c>
      <c r="H185" s="9" t="s">
        <v>57</v>
      </c>
      <c r="I185" s="9" t="s">
        <v>48</v>
      </c>
      <c r="J185" s="9" t="s">
        <v>39</v>
      </c>
      <c r="K185" s="9">
        <v>1000</v>
      </c>
      <c r="L185" s="39"/>
      <c r="M185" s="7" t="s">
        <v>1</v>
      </c>
      <c r="N185" s="8"/>
      <c r="O185" s="40"/>
      <c r="P185" s="15" t="s">
        <v>220</v>
      </c>
      <c r="Q185" s="9" t="s">
        <v>264</v>
      </c>
      <c r="R185" s="9" t="s">
        <v>1568</v>
      </c>
      <c r="S185" s="9" t="s">
        <v>858</v>
      </c>
      <c r="T185" s="9">
        <v>941597</v>
      </c>
      <c r="U185" s="16" t="s">
        <v>105</v>
      </c>
      <c r="V185" s="9">
        <v>3902332</v>
      </c>
      <c r="W185" s="8" t="s">
        <v>353</v>
      </c>
      <c r="X185" s="8">
        <v>150</v>
      </c>
      <c r="Y185" s="8" t="s">
        <v>357</v>
      </c>
      <c r="Z185" s="8"/>
      <c r="AA185" s="8"/>
      <c r="AB185" s="8" t="s">
        <v>176</v>
      </c>
      <c r="AC185" s="8" t="s">
        <v>228</v>
      </c>
      <c r="AD185" s="14" t="s">
        <v>229</v>
      </c>
      <c r="AE185" s="8" t="s">
        <v>354</v>
      </c>
      <c r="AF185" s="14">
        <v>0.5</v>
      </c>
      <c r="AG185" s="8">
        <v>1220</v>
      </c>
      <c r="AH185" s="8">
        <v>0</v>
      </c>
      <c r="AI185" s="8">
        <v>56</v>
      </c>
      <c r="AJ185" s="8">
        <v>0</v>
      </c>
      <c r="AK185" s="127">
        <v>13.135</v>
      </c>
      <c r="AL185" s="103">
        <v>0</v>
      </c>
      <c r="AM185" s="8">
        <v>13.135</v>
      </c>
      <c r="AN185" s="21">
        <v>0</v>
      </c>
      <c r="AO185" s="21">
        <v>0</v>
      </c>
      <c r="AP185" s="21">
        <v>13.135</v>
      </c>
      <c r="AQ185" s="21">
        <v>0</v>
      </c>
      <c r="AR185" s="21">
        <v>0</v>
      </c>
      <c r="AS185" s="8">
        <v>13.135</v>
      </c>
      <c r="AT185" s="21">
        <v>0</v>
      </c>
      <c r="AU185" s="21">
        <v>0</v>
      </c>
      <c r="AV185" s="21">
        <v>13.135</v>
      </c>
      <c r="AW185" s="21">
        <v>0</v>
      </c>
      <c r="AX185" s="21">
        <v>0</v>
      </c>
      <c r="AY185" s="8">
        <v>0</v>
      </c>
    </row>
    <row r="186" spans="1:51" ht="15" customHeight="1" x14ac:dyDescent="0.25">
      <c r="A186" s="9">
        <v>744</v>
      </c>
      <c r="B186" s="13">
        <v>45736</v>
      </c>
      <c r="C186" s="9" t="s">
        <v>169</v>
      </c>
      <c r="D186" s="9">
        <v>9518617046</v>
      </c>
      <c r="E186" s="8">
        <v>2</v>
      </c>
      <c r="F186" s="9" t="s">
        <v>800</v>
      </c>
      <c r="G186" s="9" t="s">
        <v>335</v>
      </c>
      <c r="H186" s="9" t="s">
        <v>57</v>
      </c>
      <c r="I186" s="9" t="s">
        <v>48</v>
      </c>
      <c r="J186" s="9" t="s">
        <v>39</v>
      </c>
      <c r="K186" s="9">
        <v>1000</v>
      </c>
      <c r="L186" s="39"/>
      <c r="M186" s="7" t="s">
        <v>1</v>
      </c>
      <c r="N186" s="8"/>
      <c r="O186" s="40"/>
      <c r="P186" s="15" t="s">
        <v>220</v>
      </c>
      <c r="Q186" s="9" t="s">
        <v>264</v>
      </c>
      <c r="R186" s="9" t="s">
        <v>1568</v>
      </c>
      <c r="S186" s="9" t="s">
        <v>858</v>
      </c>
      <c r="T186" s="9">
        <v>941597</v>
      </c>
      <c r="U186" s="16" t="s">
        <v>105</v>
      </c>
      <c r="V186" s="9">
        <v>3902332</v>
      </c>
      <c r="W186" s="8" t="s">
        <v>353</v>
      </c>
      <c r="X186" s="8">
        <v>150</v>
      </c>
      <c r="Y186" s="8" t="s">
        <v>399</v>
      </c>
      <c r="Z186" s="8"/>
      <c r="AA186" s="8"/>
      <c r="AB186" s="8" t="s">
        <v>176</v>
      </c>
      <c r="AC186" s="8" t="s">
        <v>228</v>
      </c>
      <c r="AD186" s="14" t="s">
        <v>229</v>
      </c>
      <c r="AE186" s="8" t="s">
        <v>354</v>
      </c>
      <c r="AF186" s="14">
        <v>0.5</v>
      </c>
      <c r="AG186" s="8">
        <v>1220</v>
      </c>
      <c r="AH186" s="8">
        <v>0</v>
      </c>
      <c r="AI186" s="8">
        <v>28</v>
      </c>
      <c r="AJ186" s="8">
        <v>0</v>
      </c>
      <c r="AK186" s="127">
        <v>28</v>
      </c>
      <c r="AL186" s="103">
        <v>0</v>
      </c>
      <c r="AM186" s="8">
        <v>28</v>
      </c>
      <c r="AN186" s="21">
        <v>0</v>
      </c>
      <c r="AO186" s="21">
        <v>0</v>
      </c>
      <c r="AP186" s="21">
        <v>0</v>
      </c>
      <c r="AQ186" s="21">
        <v>28</v>
      </c>
      <c r="AR186" s="21">
        <v>0</v>
      </c>
      <c r="AS186" s="8">
        <v>28</v>
      </c>
      <c r="AT186" s="21">
        <v>0</v>
      </c>
      <c r="AU186" s="21">
        <v>0</v>
      </c>
      <c r="AV186" s="21">
        <v>0</v>
      </c>
      <c r="AW186" s="21">
        <v>28</v>
      </c>
      <c r="AX186" s="21">
        <v>0</v>
      </c>
      <c r="AY186" s="8">
        <v>0</v>
      </c>
    </row>
    <row r="187" spans="1:51" ht="15" customHeight="1" x14ac:dyDescent="0.25">
      <c r="A187" s="9">
        <v>743</v>
      </c>
      <c r="B187" s="13">
        <v>45738</v>
      </c>
      <c r="C187" s="9" t="s">
        <v>169</v>
      </c>
      <c r="D187" s="9">
        <v>9518624203</v>
      </c>
      <c r="E187" s="8">
        <v>1</v>
      </c>
      <c r="F187" s="9" t="s">
        <v>801</v>
      </c>
      <c r="G187" s="9" t="s">
        <v>1687</v>
      </c>
      <c r="H187" s="9" t="s">
        <v>57</v>
      </c>
      <c r="I187" s="9" t="s">
        <v>38</v>
      </c>
      <c r="J187" s="9" t="s">
        <v>39</v>
      </c>
      <c r="K187" s="9">
        <v>1000</v>
      </c>
      <c r="L187" s="39"/>
      <c r="M187" s="7" t="s">
        <v>1</v>
      </c>
      <c r="N187" s="8"/>
      <c r="O187" s="40"/>
      <c r="P187" s="15" t="s">
        <v>220</v>
      </c>
      <c r="Q187" s="9" t="s">
        <v>264</v>
      </c>
      <c r="R187" s="9" t="s">
        <v>1568</v>
      </c>
      <c r="S187" s="9" t="s">
        <v>858</v>
      </c>
      <c r="T187" s="9">
        <v>942283</v>
      </c>
      <c r="U187" s="16" t="s">
        <v>105</v>
      </c>
      <c r="V187" s="9">
        <v>3239573</v>
      </c>
      <c r="W187" s="8" t="s">
        <v>429</v>
      </c>
      <c r="X187" s="8">
        <v>150</v>
      </c>
      <c r="Y187" s="8" t="s">
        <v>175</v>
      </c>
      <c r="Z187" s="8"/>
      <c r="AA187" s="8"/>
      <c r="AB187" s="8" t="s">
        <v>176</v>
      </c>
      <c r="AC187" s="8" t="s">
        <v>222</v>
      </c>
      <c r="AD187" s="14" t="s">
        <v>223</v>
      </c>
      <c r="AE187" s="8" t="s">
        <v>224</v>
      </c>
      <c r="AF187" s="14">
        <v>0.42</v>
      </c>
      <c r="AG187" s="8">
        <v>1220</v>
      </c>
      <c r="AH187" s="8">
        <v>0</v>
      </c>
      <c r="AI187" s="8">
        <v>84</v>
      </c>
      <c r="AJ187" s="8">
        <v>50.41</v>
      </c>
      <c r="AK187" s="127">
        <v>6.1</v>
      </c>
      <c r="AL187" s="103">
        <v>14.204999999999998</v>
      </c>
      <c r="AM187" s="8">
        <v>0</v>
      </c>
      <c r="AN187" s="21">
        <v>0</v>
      </c>
      <c r="AO187" s="21">
        <v>0</v>
      </c>
      <c r="AP187" s="21">
        <v>0</v>
      </c>
      <c r="AQ187" s="21">
        <v>0</v>
      </c>
      <c r="AR187" s="21">
        <v>0</v>
      </c>
      <c r="AS187" s="8">
        <v>14.204999999999998</v>
      </c>
      <c r="AT187" s="21">
        <v>14.204999999999998</v>
      </c>
      <c r="AU187" s="21">
        <v>0</v>
      </c>
      <c r="AV187" s="21">
        <v>0</v>
      </c>
      <c r="AW187" s="21">
        <v>0</v>
      </c>
      <c r="AX187" s="21">
        <v>0</v>
      </c>
      <c r="AY187" s="8">
        <v>0</v>
      </c>
    </row>
    <row r="188" spans="1:51" ht="15" customHeight="1" x14ac:dyDescent="0.25">
      <c r="A188" s="9">
        <v>743</v>
      </c>
      <c r="B188" s="13">
        <v>45738</v>
      </c>
      <c r="C188" s="9" t="s">
        <v>169</v>
      </c>
      <c r="D188" s="9">
        <v>9518624203</v>
      </c>
      <c r="E188" s="8">
        <v>3</v>
      </c>
      <c r="F188" s="9" t="s">
        <v>802</v>
      </c>
      <c r="G188" s="9" t="s">
        <v>1303</v>
      </c>
      <c r="H188" s="9" t="s">
        <v>57</v>
      </c>
      <c r="I188" s="9" t="s">
        <v>38</v>
      </c>
      <c r="J188" s="9" t="s">
        <v>39</v>
      </c>
      <c r="K188" s="9">
        <v>1000</v>
      </c>
      <c r="L188" s="39"/>
      <c r="M188" s="7" t="s">
        <v>1</v>
      </c>
      <c r="N188" s="8"/>
      <c r="O188" s="40"/>
      <c r="P188" s="15" t="s">
        <v>220</v>
      </c>
      <c r="Q188" s="9" t="s">
        <v>264</v>
      </c>
      <c r="R188" s="9" t="s">
        <v>1568</v>
      </c>
      <c r="S188" s="9" t="s">
        <v>858</v>
      </c>
      <c r="T188" s="9">
        <v>942283</v>
      </c>
      <c r="U188" s="16" t="s">
        <v>105</v>
      </c>
      <c r="V188" s="9">
        <v>3239573</v>
      </c>
      <c r="W188" s="8" t="s">
        <v>429</v>
      </c>
      <c r="X188" s="8">
        <v>150</v>
      </c>
      <c r="Y188" s="8" t="s">
        <v>175</v>
      </c>
      <c r="Z188" s="8"/>
      <c r="AA188" s="8"/>
      <c r="AB188" s="8" t="s">
        <v>176</v>
      </c>
      <c r="AC188" s="8" t="s">
        <v>222</v>
      </c>
      <c r="AD188" s="14" t="s">
        <v>223</v>
      </c>
      <c r="AE188" s="8" t="s">
        <v>224</v>
      </c>
      <c r="AF188" s="14">
        <v>0.42</v>
      </c>
      <c r="AG188" s="8">
        <v>1220</v>
      </c>
      <c r="AH188" s="8">
        <v>0</v>
      </c>
      <c r="AI188" s="8">
        <v>224</v>
      </c>
      <c r="AJ188" s="8">
        <v>163.405</v>
      </c>
      <c r="AK188" s="127">
        <v>29.75</v>
      </c>
      <c r="AL188" s="103">
        <v>23.12</v>
      </c>
      <c r="AM188" s="8">
        <v>29.75</v>
      </c>
      <c r="AN188" s="21">
        <v>0</v>
      </c>
      <c r="AO188" s="21">
        <v>29.75</v>
      </c>
      <c r="AP188" s="21">
        <v>0</v>
      </c>
      <c r="AQ188" s="21">
        <v>0</v>
      </c>
      <c r="AR188" s="21">
        <v>0</v>
      </c>
      <c r="AS188" s="8">
        <v>52.870000000000005</v>
      </c>
      <c r="AT188" s="21">
        <v>0</v>
      </c>
      <c r="AU188" s="21">
        <v>0</v>
      </c>
      <c r="AV188" s="21">
        <v>52.870000000000005</v>
      </c>
      <c r="AW188" s="21">
        <v>0</v>
      </c>
      <c r="AX188" s="21">
        <v>0</v>
      </c>
      <c r="AY188" s="8">
        <v>0</v>
      </c>
    </row>
    <row r="189" spans="1:51" ht="15" customHeight="1" x14ac:dyDescent="0.25">
      <c r="A189" s="9">
        <v>743</v>
      </c>
      <c r="B189" s="13">
        <v>45738</v>
      </c>
      <c r="C189" s="9" t="s">
        <v>169</v>
      </c>
      <c r="D189" s="9">
        <v>9518624203</v>
      </c>
      <c r="E189" s="8">
        <v>4</v>
      </c>
      <c r="F189" s="9" t="s">
        <v>803</v>
      </c>
      <c r="G189" s="9" t="s">
        <v>335</v>
      </c>
      <c r="H189" s="9" t="s">
        <v>57</v>
      </c>
      <c r="I189" s="9" t="s">
        <v>38</v>
      </c>
      <c r="J189" s="9" t="s">
        <v>39</v>
      </c>
      <c r="K189" s="9">
        <v>1000</v>
      </c>
      <c r="L189" s="39"/>
      <c r="M189" s="7" t="s">
        <v>1</v>
      </c>
      <c r="N189" s="8"/>
      <c r="O189" s="40"/>
      <c r="P189" s="15" t="s">
        <v>220</v>
      </c>
      <c r="Q189" s="9" t="s">
        <v>264</v>
      </c>
      <c r="R189" s="9" t="s">
        <v>1568</v>
      </c>
      <c r="S189" s="9" t="s">
        <v>858</v>
      </c>
      <c r="T189" s="9">
        <v>942283</v>
      </c>
      <c r="U189" s="16" t="s">
        <v>105</v>
      </c>
      <c r="V189" s="9">
        <v>1881969</v>
      </c>
      <c r="W189" s="8" t="s">
        <v>428</v>
      </c>
      <c r="X189" s="8">
        <v>150</v>
      </c>
      <c r="Y189" s="8" t="s">
        <v>175</v>
      </c>
      <c r="Z189" s="8"/>
      <c r="AA189" s="8"/>
      <c r="AB189" s="8" t="s">
        <v>176</v>
      </c>
      <c r="AC189" s="8" t="s">
        <v>222</v>
      </c>
      <c r="AD189" s="14" t="s">
        <v>223</v>
      </c>
      <c r="AE189" s="8" t="s">
        <v>224</v>
      </c>
      <c r="AF189" s="14">
        <v>0.45</v>
      </c>
      <c r="AG189" s="8">
        <v>1220</v>
      </c>
      <c r="AH189" s="8">
        <v>0</v>
      </c>
      <c r="AI189" s="8">
        <v>224</v>
      </c>
      <c r="AJ189" s="8">
        <v>21.66</v>
      </c>
      <c r="AK189" s="127">
        <v>60.524999999999999</v>
      </c>
      <c r="AL189" s="103">
        <v>113.91499999999999</v>
      </c>
      <c r="AM189" s="8">
        <v>60.524999999999999</v>
      </c>
      <c r="AN189" s="21">
        <v>60.524999999999999</v>
      </c>
      <c r="AO189" s="21">
        <v>0</v>
      </c>
      <c r="AP189" s="21">
        <v>0</v>
      </c>
      <c r="AQ189" s="21">
        <v>0</v>
      </c>
      <c r="AR189" s="21">
        <v>0</v>
      </c>
      <c r="AS189" s="8">
        <v>174.44</v>
      </c>
      <c r="AT189" s="21">
        <v>0</v>
      </c>
      <c r="AU189" s="21">
        <v>174.44</v>
      </c>
      <c r="AV189" s="21">
        <v>0</v>
      </c>
      <c r="AW189" s="21">
        <v>0</v>
      </c>
      <c r="AX189" s="21">
        <v>0</v>
      </c>
      <c r="AY189" s="8">
        <v>0</v>
      </c>
    </row>
    <row r="190" spans="1:51" ht="15" customHeight="1" x14ac:dyDescent="0.25">
      <c r="A190" s="9">
        <v>743</v>
      </c>
      <c r="B190" s="13">
        <v>45738</v>
      </c>
      <c r="C190" s="9" t="s">
        <v>169</v>
      </c>
      <c r="D190" s="9">
        <v>9518624203</v>
      </c>
      <c r="E190" s="8">
        <v>5</v>
      </c>
      <c r="F190" s="9" t="s">
        <v>804</v>
      </c>
      <c r="G190" s="9" t="s">
        <v>335</v>
      </c>
      <c r="H190" s="9" t="s">
        <v>57</v>
      </c>
      <c r="I190" s="9" t="s">
        <v>38</v>
      </c>
      <c r="J190" s="9" t="s">
        <v>39</v>
      </c>
      <c r="K190" s="9">
        <v>1000</v>
      </c>
      <c r="L190" s="39"/>
      <c r="M190" s="7" t="s">
        <v>1</v>
      </c>
      <c r="N190" s="8"/>
      <c r="O190" s="40"/>
      <c r="P190" s="15" t="s">
        <v>220</v>
      </c>
      <c r="Q190" s="9" t="s">
        <v>264</v>
      </c>
      <c r="R190" s="9" t="s">
        <v>1568</v>
      </c>
      <c r="S190" s="9" t="s">
        <v>858</v>
      </c>
      <c r="T190" s="9">
        <v>942283</v>
      </c>
      <c r="U190" s="16" t="s">
        <v>105</v>
      </c>
      <c r="V190" s="9">
        <v>1881969</v>
      </c>
      <c r="W190" s="8" t="s">
        <v>428</v>
      </c>
      <c r="X190" s="8">
        <v>150</v>
      </c>
      <c r="Y190" s="8" t="s">
        <v>175</v>
      </c>
      <c r="Z190" s="8"/>
      <c r="AA190" s="8"/>
      <c r="AB190" s="8" t="s">
        <v>176</v>
      </c>
      <c r="AC190" s="8" t="s">
        <v>222</v>
      </c>
      <c r="AD190" s="14" t="s">
        <v>223</v>
      </c>
      <c r="AE190" s="8" t="s">
        <v>224</v>
      </c>
      <c r="AF190" s="14">
        <v>0.45</v>
      </c>
      <c r="AG190" s="8">
        <v>1220</v>
      </c>
      <c r="AH190" s="8">
        <v>0</v>
      </c>
      <c r="AI190" s="8">
        <v>224</v>
      </c>
      <c r="AJ190" s="8">
        <v>0</v>
      </c>
      <c r="AK190" s="127">
        <v>224</v>
      </c>
      <c r="AL190" s="103">
        <v>0</v>
      </c>
      <c r="AM190" s="8">
        <v>224</v>
      </c>
      <c r="AN190" s="21">
        <v>0</v>
      </c>
      <c r="AO190" s="21">
        <v>224</v>
      </c>
      <c r="AP190" s="21">
        <v>0</v>
      </c>
      <c r="AQ190" s="21">
        <v>0</v>
      </c>
      <c r="AR190" s="21">
        <v>0</v>
      </c>
      <c r="AS190" s="8">
        <v>224</v>
      </c>
      <c r="AT190" s="21">
        <v>0</v>
      </c>
      <c r="AU190" s="21">
        <v>0</v>
      </c>
      <c r="AV190" s="21">
        <v>224</v>
      </c>
      <c r="AW190" s="21">
        <v>0</v>
      </c>
      <c r="AX190" s="21">
        <v>0</v>
      </c>
      <c r="AY190" s="8">
        <v>0</v>
      </c>
    </row>
    <row r="191" spans="1:51" ht="15" customHeight="1" x14ac:dyDescent="0.25">
      <c r="A191" s="9">
        <v>743</v>
      </c>
      <c r="B191" s="13">
        <v>45738</v>
      </c>
      <c r="C191" s="9" t="s">
        <v>169</v>
      </c>
      <c r="D191" s="9">
        <v>9518624203</v>
      </c>
      <c r="E191" s="8">
        <v>6</v>
      </c>
      <c r="F191" s="9" t="s">
        <v>805</v>
      </c>
      <c r="G191" s="9" t="s">
        <v>335</v>
      </c>
      <c r="H191" s="9" t="s">
        <v>57</v>
      </c>
      <c r="I191" s="9" t="s">
        <v>38</v>
      </c>
      <c r="J191" s="9" t="s">
        <v>39</v>
      </c>
      <c r="K191" s="9">
        <v>1000</v>
      </c>
      <c r="L191" s="39"/>
      <c r="M191" s="7" t="s">
        <v>1</v>
      </c>
      <c r="N191" s="8"/>
      <c r="O191" s="40"/>
      <c r="P191" s="15" t="s">
        <v>220</v>
      </c>
      <c r="Q191" s="9" t="s">
        <v>264</v>
      </c>
      <c r="R191" s="9" t="s">
        <v>1568</v>
      </c>
      <c r="S191" s="9" t="s">
        <v>858</v>
      </c>
      <c r="T191" s="9">
        <v>942283</v>
      </c>
      <c r="U191" s="16" t="s">
        <v>105</v>
      </c>
      <c r="V191" s="9">
        <v>3239573</v>
      </c>
      <c r="W191" s="8" t="s">
        <v>429</v>
      </c>
      <c r="X191" s="8">
        <v>150</v>
      </c>
      <c r="Y191" s="8" t="s">
        <v>175</v>
      </c>
      <c r="Z191" s="8"/>
      <c r="AA191" s="8"/>
      <c r="AB191" s="8" t="s">
        <v>176</v>
      </c>
      <c r="AC191" s="8" t="s">
        <v>222</v>
      </c>
      <c r="AD191" s="14" t="s">
        <v>223</v>
      </c>
      <c r="AE191" s="8" t="s">
        <v>224</v>
      </c>
      <c r="AF191" s="14">
        <v>0.42</v>
      </c>
      <c r="AG191" s="8">
        <v>1220</v>
      </c>
      <c r="AH191" s="8">
        <v>0</v>
      </c>
      <c r="AI191" s="8">
        <v>196</v>
      </c>
      <c r="AJ191" s="8">
        <v>0</v>
      </c>
      <c r="AK191" s="127">
        <v>196</v>
      </c>
      <c r="AL191" s="103">
        <v>0</v>
      </c>
      <c r="AM191" s="8">
        <v>196</v>
      </c>
      <c r="AN191" s="21">
        <v>0</v>
      </c>
      <c r="AO191" s="21">
        <v>0</v>
      </c>
      <c r="AP191" s="21">
        <v>0</v>
      </c>
      <c r="AQ191" s="21">
        <v>196</v>
      </c>
      <c r="AR191" s="21">
        <v>0</v>
      </c>
      <c r="AS191" s="8">
        <v>196</v>
      </c>
      <c r="AT191" s="21">
        <v>0</v>
      </c>
      <c r="AU191" s="21">
        <v>0</v>
      </c>
      <c r="AV191" s="21">
        <v>0</v>
      </c>
      <c r="AW191" s="21">
        <v>196</v>
      </c>
      <c r="AX191" s="21">
        <v>0</v>
      </c>
      <c r="AY191" s="8">
        <v>0</v>
      </c>
    </row>
    <row r="192" spans="1:51" ht="15" customHeight="1" x14ac:dyDescent="0.25">
      <c r="A192" s="9">
        <v>743</v>
      </c>
      <c r="B192" s="13">
        <v>45738</v>
      </c>
      <c r="C192" s="9" t="s">
        <v>169</v>
      </c>
      <c r="D192" s="9">
        <v>9518624203</v>
      </c>
      <c r="E192" s="8">
        <v>7</v>
      </c>
      <c r="F192" s="9" t="s">
        <v>806</v>
      </c>
      <c r="G192" s="9" t="s">
        <v>335</v>
      </c>
      <c r="H192" s="9" t="s">
        <v>57</v>
      </c>
      <c r="I192" s="9" t="s">
        <v>38</v>
      </c>
      <c r="J192" s="9" t="s">
        <v>39</v>
      </c>
      <c r="K192" s="9">
        <v>1000</v>
      </c>
      <c r="L192" s="39"/>
      <c r="M192" s="7" t="s">
        <v>1</v>
      </c>
      <c r="N192" s="8"/>
      <c r="O192" s="40"/>
      <c r="P192" s="15" t="s">
        <v>220</v>
      </c>
      <c r="Q192" s="9" t="s">
        <v>264</v>
      </c>
      <c r="R192" s="9" t="s">
        <v>1568</v>
      </c>
      <c r="S192" s="9" t="s">
        <v>858</v>
      </c>
      <c r="T192" s="9">
        <v>942283</v>
      </c>
      <c r="U192" s="16" t="s">
        <v>105</v>
      </c>
      <c r="V192" s="9">
        <v>1881969</v>
      </c>
      <c r="W192" s="8" t="s">
        <v>428</v>
      </c>
      <c r="X192" s="8">
        <v>150</v>
      </c>
      <c r="Y192" s="8" t="s">
        <v>175</v>
      </c>
      <c r="Z192" s="8"/>
      <c r="AA192" s="8"/>
      <c r="AB192" s="8" t="s">
        <v>176</v>
      </c>
      <c r="AC192" s="8" t="s">
        <v>222</v>
      </c>
      <c r="AD192" s="14" t="s">
        <v>223</v>
      </c>
      <c r="AE192" s="8" t="s">
        <v>224</v>
      </c>
      <c r="AF192" s="14">
        <v>0.45</v>
      </c>
      <c r="AG192" s="8">
        <v>1220</v>
      </c>
      <c r="AH192" s="8">
        <v>0</v>
      </c>
      <c r="AI192" s="8">
        <v>224</v>
      </c>
      <c r="AJ192" s="8">
        <v>0</v>
      </c>
      <c r="AK192" s="127">
        <v>224</v>
      </c>
      <c r="AL192" s="103">
        <v>0</v>
      </c>
      <c r="AM192" s="8">
        <v>224</v>
      </c>
      <c r="AN192" s="21">
        <v>0</v>
      </c>
      <c r="AO192" s="21">
        <v>224</v>
      </c>
      <c r="AP192" s="21">
        <v>0</v>
      </c>
      <c r="AQ192" s="21">
        <v>0</v>
      </c>
      <c r="AR192" s="21">
        <v>0</v>
      </c>
      <c r="AS192" s="8">
        <v>224</v>
      </c>
      <c r="AT192" s="21">
        <v>0</v>
      </c>
      <c r="AU192" s="21">
        <v>0</v>
      </c>
      <c r="AV192" s="21">
        <v>224</v>
      </c>
      <c r="AW192" s="21">
        <v>0</v>
      </c>
      <c r="AX192" s="21">
        <v>0</v>
      </c>
      <c r="AY192" s="8">
        <v>0</v>
      </c>
    </row>
    <row r="193" spans="1:51" ht="15" customHeight="1" x14ac:dyDescent="0.25">
      <c r="A193" s="9">
        <v>743</v>
      </c>
      <c r="B193" s="13">
        <v>45738</v>
      </c>
      <c r="C193" s="9" t="s">
        <v>169</v>
      </c>
      <c r="D193" s="9">
        <v>9518624203</v>
      </c>
      <c r="E193" s="8">
        <v>9</v>
      </c>
      <c r="F193" s="9" t="s">
        <v>807</v>
      </c>
      <c r="G193" s="9" t="s">
        <v>1687</v>
      </c>
      <c r="H193" s="9" t="s">
        <v>57</v>
      </c>
      <c r="I193" s="9" t="s">
        <v>38</v>
      </c>
      <c r="J193" s="9" t="s">
        <v>39</v>
      </c>
      <c r="K193" s="9">
        <v>1000</v>
      </c>
      <c r="L193" s="39"/>
      <c r="M193" s="7" t="s">
        <v>1</v>
      </c>
      <c r="N193" s="8"/>
      <c r="O193" s="40"/>
      <c r="P193" s="15" t="s">
        <v>220</v>
      </c>
      <c r="Q193" s="9" t="s">
        <v>264</v>
      </c>
      <c r="R193" s="9" t="s">
        <v>1568</v>
      </c>
      <c r="S193" s="9" t="s">
        <v>858</v>
      </c>
      <c r="T193" s="9">
        <v>942283</v>
      </c>
      <c r="U193" s="16" t="s">
        <v>105</v>
      </c>
      <c r="V193" s="9">
        <v>1881969</v>
      </c>
      <c r="W193" s="8" t="s">
        <v>428</v>
      </c>
      <c r="X193" s="8">
        <v>150</v>
      </c>
      <c r="Y193" s="8" t="s">
        <v>175</v>
      </c>
      <c r="Z193" s="8"/>
      <c r="AA193" s="8"/>
      <c r="AB193" s="8" t="s">
        <v>176</v>
      </c>
      <c r="AC193" s="8" t="s">
        <v>222</v>
      </c>
      <c r="AD193" s="14" t="s">
        <v>223</v>
      </c>
      <c r="AE193" s="8" t="s">
        <v>224</v>
      </c>
      <c r="AF193" s="14">
        <v>0.45</v>
      </c>
      <c r="AG193" s="8">
        <v>1220</v>
      </c>
      <c r="AH193" s="8">
        <v>0</v>
      </c>
      <c r="AI193" s="8">
        <v>224</v>
      </c>
      <c r="AJ193" s="8">
        <v>153.74</v>
      </c>
      <c r="AK193" s="127">
        <v>16.02</v>
      </c>
      <c r="AL193" s="103">
        <v>4.17</v>
      </c>
      <c r="AM193" s="8">
        <v>0</v>
      </c>
      <c r="AN193" s="21">
        <v>0</v>
      </c>
      <c r="AO193" s="21">
        <v>0</v>
      </c>
      <c r="AP193" s="21">
        <v>0</v>
      </c>
      <c r="AQ193" s="21">
        <v>0</v>
      </c>
      <c r="AR193" s="21">
        <v>0</v>
      </c>
      <c r="AS193" s="8">
        <v>4.17</v>
      </c>
      <c r="AT193" s="21">
        <v>4.17</v>
      </c>
      <c r="AU193" s="21">
        <v>0</v>
      </c>
      <c r="AV193" s="21">
        <v>0</v>
      </c>
      <c r="AW193" s="21">
        <v>0</v>
      </c>
      <c r="AX193" s="21">
        <v>0</v>
      </c>
      <c r="AY193" s="8">
        <v>0</v>
      </c>
    </row>
    <row r="194" spans="1:51" ht="15" customHeight="1" x14ac:dyDescent="0.25">
      <c r="A194" s="9">
        <v>743</v>
      </c>
      <c r="B194" s="13">
        <v>45738</v>
      </c>
      <c r="C194" s="9" t="s">
        <v>169</v>
      </c>
      <c r="D194" s="9">
        <v>9518624203</v>
      </c>
      <c r="E194" s="8">
        <v>12</v>
      </c>
      <c r="F194" s="9" t="s">
        <v>808</v>
      </c>
      <c r="G194" s="9" t="s">
        <v>1303</v>
      </c>
      <c r="H194" s="9" t="s">
        <v>57</v>
      </c>
      <c r="I194" s="9" t="s">
        <v>38</v>
      </c>
      <c r="J194" s="9" t="s">
        <v>39</v>
      </c>
      <c r="K194" s="9">
        <v>1000</v>
      </c>
      <c r="L194" s="39"/>
      <c r="M194" s="7" t="s">
        <v>1</v>
      </c>
      <c r="N194" s="8"/>
      <c r="O194" s="40"/>
      <c r="P194" s="15" t="s">
        <v>220</v>
      </c>
      <c r="Q194" s="9" t="s">
        <v>264</v>
      </c>
      <c r="R194" s="9" t="s">
        <v>1568</v>
      </c>
      <c r="S194" s="9" t="s">
        <v>858</v>
      </c>
      <c r="T194" s="9">
        <v>942283</v>
      </c>
      <c r="U194" s="16" t="s">
        <v>105</v>
      </c>
      <c r="V194" s="9">
        <v>1882004</v>
      </c>
      <c r="W194" s="8" t="s">
        <v>427</v>
      </c>
      <c r="X194" s="8">
        <v>150</v>
      </c>
      <c r="Y194" s="8" t="s">
        <v>175</v>
      </c>
      <c r="Z194" s="8"/>
      <c r="AA194" s="8"/>
      <c r="AB194" s="8" t="s">
        <v>176</v>
      </c>
      <c r="AC194" s="8" t="s">
        <v>222</v>
      </c>
      <c r="AD194" s="14" t="s">
        <v>223</v>
      </c>
      <c r="AE194" s="8" t="s">
        <v>224</v>
      </c>
      <c r="AF194" s="14">
        <v>0.55000000000000004</v>
      </c>
      <c r="AG194" s="8">
        <v>1220</v>
      </c>
      <c r="AH194" s="8">
        <v>0</v>
      </c>
      <c r="AI194" s="8">
        <v>28</v>
      </c>
      <c r="AJ194" s="8">
        <v>0</v>
      </c>
      <c r="AK194" s="127">
        <v>28</v>
      </c>
      <c r="AL194" s="103">
        <v>0</v>
      </c>
      <c r="AM194" s="8">
        <v>28</v>
      </c>
      <c r="AN194" s="21">
        <v>0</v>
      </c>
      <c r="AO194" s="21">
        <v>28</v>
      </c>
      <c r="AP194" s="21">
        <v>0</v>
      </c>
      <c r="AQ194" s="21">
        <v>0</v>
      </c>
      <c r="AR194" s="21">
        <v>0</v>
      </c>
      <c r="AS194" s="8">
        <v>28</v>
      </c>
      <c r="AT194" s="21">
        <v>0</v>
      </c>
      <c r="AU194" s="21">
        <v>0</v>
      </c>
      <c r="AV194" s="21">
        <v>28</v>
      </c>
      <c r="AW194" s="21">
        <v>0</v>
      </c>
      <c r="AX194" s="21">
        <v>0</v>
      </c>
      <c r="AY194" s="8">
        <v>0</v>
      </c>
    </row>
    <row r="195" spans="1:51" ht="15" customHeight="1" x14ac:dyDescent="0.25">
      <c r="A195" s="9">
        <v>743</v>
      </c>
      <c r="B195" s="13">
        <v>45738</v>
      </c>
      <c r="C195" s="9" t="s">
        <v>169</v>
      </c>
      <c r="D195" s="9">
        <v>9518624203</v>
      </c>
      <c r="E195" s="8">
        <v>13</v>
      </c>
      <c r="F195" s="9" t="s">
        <v>809</v>
      </c>
      <c r="G195" s="9" t="s">
        <v>1303</v>
      </c>
      <c r="H195" s="9" t="s">
        <v>57</v>
      </c>
      <c r="I195" s="9" t="s">
        <v>38</v>
      </c>
      <c r="J195" s="9" t="s">
        <v>39</v>
      </c>
      <c r="K195" s="9">
        <v>1000</v>
      </c>
      <c r="L195" s="39"/>
      <c r="M195" s="7" t="s">
        <v>1</v>
      </c>
      <c r="N195" s="8"/>
      <c r="O195" s="40"/>
      <c r="P195" s="15" t="s">
        <v>220</v>
      </c>
      <c r="Q195" s="9" t="s">
        <v>264</v>
      </c>
      <c r="R195" s="9" t="s">
        <v>1568</v>
      </c>
      <c r="S195" s="9" t="s">
        <v>858</v>
      </c>
      <c r="T195" s="9">
        <v>942283</v>
      </c>
      <c r="U195" s="16" t="s">
        <v>105</v>
      </c>
      <c r="V195" s="9">
        <v>1881969</v>
      </c>
      <c r="W195" s="8" t="s">
        <v>428</v>
      </c>
      <c r="X195" s="8">
        <v>150</v>
      </c>
      <c r="Y195" s="8" t="s">
        <v>175</v>
      </c>
      <c r="Z195" s="8"/>
      <c r="AA195" s="8"/>
      <c r="AB195" s="8" t="s">
        <v>176</v>
      </c>
      <c r="AC195" s="8" t="s">
        <v>222</v>
      </c>
      <c r="AD195" s="14" t="s">
        <v>223</v>
      </c>
      <c r="AE195" s="8" t="s">
        <v>224</v>
      </c>
      <c r="AF195" s="14">
        <v>0.45</v>
      </c>
      <c r="AG195" s="8">
        <v>1220</v>
      </c>
      <c r="AH195" s="8">
        <v>0</v>
      </c>
      <c r="AI195" s="8">
        <v>196</v>
      </c>
      <c r="AJ195" s="8">
        <v>0</v>
      </c>
      <c r="AK195" s="127">
        <v>82</v>
      </c>
      <c r="AL195" s="103">
        <v>81.77000000000001</v>
      </c>
      <c r="AM195" s="8">
        <v>82</v>
      </c>
      <c r="AN195" s="21">
        <v>82</v>
      </c>
      <c r="AO195" s="21">
        <v>0</v>
      </c>
      <c r="AP195" s="21">
        <v>0</v>
      </c>
      <c r="AQ195" s="21">
        <v>0</v>
      </c>
      <c r="AR195" s="21">
        <v>0</v>
      </c>
      <c r="AS195" s="8">
        <v>163.77000000000001</v>
      </c>
      <c r="AT195" s="21">
        <v>0</v>
      </c>
      <c r="AU195" s="21">
        <v>163.77000000000001</v>
      </c>
      <c r="AV195" s="21">
        <v>0</v>
      </c>
      <c r="AW195" s="21">
        <v>0</v>
      </c>
      <c r="AX195" s="21">
        <v>0</v>
      </c>
      <c r="AY195" s="8">
        <v>0</v>
      </c>
    </row>
    <row r="196" spans="1:51" ht="15" customHeight="1" x14ac:dyDescent="0.25">
      <c r="A196" s="9">
        <v>742</v>
      </c>
      <c r="B196" s="13">
        <v>45741</v>
      </c>
      <c r="C196" s="9" t="s">
        <v>169</v>
      </c>
      <c r="D196" s="9">
        <v>9518632737</v>
      </c>
      <c r="E196" s="8">
        <v>1</v>
      </c>
      <c r="F196" s="9" t="s">
        <v>1811</v>
      </c>
      <c r="G196" s="9" t="s">
        <v>1303</v>
      </c>
      <c r="H196" s="9" t="s">
        <v>57</v>
      </c>
      <c r="I196" s="9" t="s">
        <v>25</v>
      </c>
      <c r="J196" s="9" t="s">
        <v>28</v>
      </c>
      <c r="K196" s="9">
        <v>1000</v>
      </c>
      <c r="L196" s="39"/>
      <c r="M196" s="7" t="s">
        <v>1</v>
      </c>
      <c r="N196" s="8"/>
      <c r="O196" s="40"/>
      <c r="P196" s="15" t="s">
        <v>171</v>
      </c>
      <c r="Q196" s="9" t="s">
        <v>172</v>
      </c>
      <c r="R196" s="9" t="s">
        <v>173</v>
      </c>
      <c r="S196" s="9" t="s">
        <v>858</v>
      </c>
      <c r="T196" s="9">
        <v>189430</v>
      </c>
      <c r="U196" s="16" t="s">
        <v>61</v>
      </c>
      <c r="V196" s="9">
        <v>2164792</v>
      </c>
      <c r="W196" s="8" t="s">
        <v>500</v>
      </c>
      <c r="X196" s="8"/>
      <c r="Y196" s="8"/>
      <c r="Z196" s="8"/>
      <c r="AA196" s="8"/>
      <c r="AB196" s="8" t="s">
        <v>183</v>
      </c>
      <c r="AC196" s="8" t="s">
        <v>190</v>
      </c>
      <c r="AD196" s="14" t="s">
        <v>191</v>
      </c>
      <c r="AE196" s="8" t="s">
        <v>384</v>
      </c>
      <c r="AF196" s="14">
        <v>0.9</v>
      </c>
      <c r="AG196" s="8">
        <v>913</v>
      </c>
      <c r="AH196" s="8">
        <v>0</v>
      </c>
      <c r="AI196" s="8">
        <v>63</v>
      </c>
      <c r="AJ196" s="8">
        <v>0</v>
      </c>
      <c r="AK196" s="127">
        <v>63</v>
      </c>
      <c r="AL196" s="103">
        <v>0</v>
      </c>
      <c r="AM196" s="8">
        <v>63</v>
      </c>
      <c r="AN196" s="21">
        <v>0</v>
      </c>
      <c r="AO196" s="21">
        <v>63</v>
      </c>
      <c r="AP196" s="21">
        <v>0</v>
      </c>
      <c r="AQ196" s="21">
        <v>0</v>
      </c>
      <c r="AR196" s="21">
        <v>0</v>
      </c>
      <c r="AS196" s="8">
        <v>63</v>
      </c>
      <c r="AT196" s="21">
        <v>0</v>
      </c>
      <c r="AU196" s="21">
        <v>0</v>
      </c>
      <c r="AV196" s="21">
        <v>63</v>
      </c>
      <c r="AW196" s="21">
        <v>0</v>
      </c>
      <c r="AX196" s="21">
        <v>0</v>
      </c>
      <c r="AY196" s="8">
        <v>0</v>
      </c>
    </row>
    <row r="197" spans="1:51" ht="15" customHeight="1" x14ac:dyDescent="0.25">
      <c r="A197" s="9">
        <v>742</v>
      </c>
      <c r="B197" s="13">
        <v>45741</v>
      </c>
      <c r="C197" s="9" t="s">
        <v>169</v>
      </c>
      <c r="D197" s="9">
        <v>9518632737</v>
      </c>
      <c r="E197" s="8">
        <v>2</v>
      </c>
      <c r="F197" s="9" t="s">
        <v>1812</v>
      </c>
      <c r="G197" s="9" t="s">
        <v>1303</v>
      </c>
      <c r="H197" s="9" t="s">
        <v>57</v>
      </c>
      <c r="I197" s="9" t="s">
        <v>25</v>
      </c>
      <c r="J197" s="9" t="s">
        <v>28</v>
      </c>
      <c r="K197" s="9">
        <v>1000</v>
      </c>
      <c r="L197" s="39"/>
      <c r="M197" s="7" t="s">
        <v>1</v>
      </c>
      <c r="N197" s="8"/>
      <c r="O197" s="40"/>
      <c r="P197" s="15" t="s">
        <v>171</v>
      </c>
      <c r="Q197" s="9" t="s">
        <v>172</v>
      </c>
      <c r="R197" s="9" t="s">
        <v>173</v>
      </c>
      <c r="S197" s="9" t="s">
        <v>858</v>
      </c>
      <c r="T197" s="9">
        <v>189430</v>
      </c>
      <c r="U197" s="16" t="s">
        <v>61</v>
      </c>
      <c r="V197" s="9">
        <v>2164800</v>
      </c>
      <c r="W197" s="8" t="s">
        <v>501</v>
      </c>
      <c r="X197" s="8"/>
      <c r="Y197" s="8"/>
      <c r="Z197" s="8"/>
      <c r="AA197" s="8"/>
      <c r="AB197" s="8" t="s">
        <v>183</v>
      </c>
      <c r="AC197" s="8" t="s">
        <v>190</v>
      </c>
      <c r="AD197" s="14" t="s">
        <v>191</v>
      </c>
      <c r="AE197" s="8" t="s">
        <v>384</v>
      </c>
      <c r="AF197" s="14">
        <v>0.97</v>
      </c>
      <c r="AG197" s="8">
        <v>913</v>
      </c>
      <c r="AH197" s="8">
        <v>0</v>
      </c>
      <c r="AI197" s="8">
        <v>63</v>
      </c>
      <c r="AJ197" s="8">
        <v>0</v>
      </c>
      <c r="AK197" s="127">
        <v>63</v>
      </c>
      <c r="AL197" s="103">
        <v>0</v>
      </c>
      <c r="AM197" s="8">
        <v>63</v>
      </c>
      <c r="AN197" s="21">
        <v>0</v>
      </c>
      <c r="AO197" s="21">
        <v>63</v>
      </c>
      <c r="AP197" s="21">
        <v>0</v>
      </c>
      <c r="AQ197" s="21">
        <v>0</v>
      </c>
      <c r="AR197" s="21">
        <v>0</v>
      </c>
      <c r="AS197" s="8">
        <v>63</v>
      </c>
      <c r="AT197" s="21">
        <v>0</v>
      </c>
      <c r="AU197" s="21">
        <v>0</v>
      </c>
      <c r="AV197" s="21">
        <v>63</v>
      </c>
      <c r="AW197" s="21">
        <v>0</v>
      </c>
      <c r="AX197" s="21">
        <v>0</v>
      </c>
      <c r="AY197" s="8">
        <v>0</v>
      </c>
    </row>
    <row r="198" spans="1:51" ht="15" customHeight="1" x14ac:dyDescent="0.25">
      <c r="A198" s="9">
        <v>742</v>
      </c>
      <c r="B198" s="13">
        <v>45737</v>
      </c>
      <c r="C198" s="9" t="s">
        <v>169</v>
      </c>
      <c r="D198" s="9">
        <v>9518620375</v>
      </c>
      <c r="E198" s="8">
        <v>2</v>
      </c>
      <c r="F198" s="9" t="s">
        <v>811</v>
      </c>
      <c r="G198" s="9" t="s">
        <v>335</v>
      </c>
      <c r="H198" s="9" t="s">
        <v>57</v>
      </c>
      <c r="I198" s="9" t="s">
        <v>25</v>
      </c>
      <c r="J198" s="9" t="s">
        <v>54</v>
      </c>
      <c r="K198" s="9">
        <v>3000</v>
      </c>
      <c r="L198" s="39">
        <v>1000</v>
      </c>
      <c r="M198" s="7" t="s">
        <v>1</v>
      </c>
      <c r="N198" s="8"/>
      <c r="O198" s="40"/>
      <c r="P198" s="15" t="s">
        <v>239</v>
      </c>
      <c r="Q198" s="9" t="s">
        <v>214</v>
      </c>
      <c r="R198" s="9" t="s">
        <v>1579</v>
      </c>
      <c r="S198" s="9" t="s">
        <v>858</v>
      </c>
      <c r="T198" s="9">
        <v>157491</v>
      </c>
      <c r="U198" s="16" t="s">
        <v>85</v>
      </c>
      <c r="V198" s="9">
        <v>2420518</v>
      </c>
      <c r="W198" s="8" t="s">
        <v>760</v>
      </c>
      <c r="X198" s="8"/>
      <c r="Y198" s="8"/>
      <c r="Z198" s="8"/>
      <c r="AA198" s="8"/>
      <c r="AB198" s="8" t="s">
        <v>176</v>
      </c>
      <c r="AC198" s="8" t="s">
        <v>190</v>
      </c>
      <c r="AD198" s="14" t="s">
        <v>191</v>
      </c>
      <c r="AE198" s="8" t="s">
        <v>530</v>
      </c>
      <c r="AF198" s="14">
        <v>1</v>
      </c>
      <c r="AG198" s="8">
        <v>1250</v>
      </c>
      <c r="AH198" s="8">
        <v>0</v>
      </c>
      <c r="AI198" s="8">
        <v>261</v>
      </c>
      <c r="AJ198" s="8">
        <v>20.76</v>
      </c>
      <c r="AK198" s="127">
        <v>240.24</v>
      </c>
      <c r="AL198" s="103">
        <v>0</v>
      </c>
      <c r="AM198" s="8">
        <v>240.24</v>
      </c>
      <c r="AN198" s="21">
        <v>0</v>
      </c>
      <c r="AO198" s="21">
        <v>0</v>
      </c>
      <c r="AP198" s="21">
        <v>0</v>
      </c>
      <c r="AQ198" s="21">
        <v>0</v>
      </c>
      <c r="AR198" s="21">
        <v>240.24</v>
      </c>
      <c r="AS198" s="8">
        <v>240.24</v>
      </c>
      <c r="AT198" s="21">
        <v>0</v>
      </c>
      <c r="AU198" s="21">
        <v>0</v>
      </c>
      <c r="AV198" s="21">
        <v>0</v>
      </c>
      <c r="AW198" s="21">
        <v>0</v>
      </c>
      <c r="AX198" s="21">
        <v>240.24</v>
      </c>
      <c r="AY198" s="8">
        <v>0</v>
      </c>
    </row>
    <row r="199" spans="1:51" ht="15" customHeight="1" x14ac:dyDescent="0.25">
      <c r="A199" s="9">
        <v>742</v>
      </c>
      <c r="B199" s="13">
        <v>45719</v>
      </c>
      <c r="C199" s="9" t="s">
        <v>169</v>
      </c>
      <c r="D199" s="9">
        <v>9518569795</v>
      </c>
      <c r="E199" s="8">
        <v>20</v>
      </c>
      <c r="F199" s="9" t="s">
        <v>812</v>
      </c>
      <c r="G199" s="9" t="s">
        <v>335</v>
      </c>
      <c r="H199" s="9" t="s">
        <v>57</v>
      </c>
      <c r="I199" s="9" t="s">
        <v>25</v>
      </c>
      <c r="J199" s="9" t="s">
        <v>31</v>
      </c>
      <c r="K199" s="9">
        <v>2000</v>
      </c>
      <c r="L199" s="39"/>
      <c r="M199" s="7" t="s">
        <v>1</v>
      </c>
      <c r="N199" s="8"/>
      <c r="O199" s="40"/>
      <c r="P199" s="15" t="s">
        <v>207</v>
      </c>
      <c r="Q199" s="9" t="s">
        <v>180</v>
      </c>
      <c r="R199" s="9" t="s">
        <v>722</v>
      </c>
      <c r="S199" s="9" t="s">
        <v>859</v>
      </c>
      <c r="T199" s="9">
        <v>948783</v>
      </c>
      <c r="U199" s="16" t="s">
        <v>96</v>
      </c>
      <c r="V199" s="9">
        <v>3239554</v>
      </c>
      <c r="W199" s="8" t="s">
        <v>248</v>
      </c>
      <c r="X199" s="8"/>
      <c r="Y199" s="8"/>
      <c r="Z199" s="8"/>
      <c r="AA199" s="8"/>
      <c r="AB199" s="8" t="s">
        <v>183</v>
      </c>
      <c r="AC199" s="8" t="s">
        <v>210</v>
      </c>
      <c r="AD199" s="14" t="s">
        <v>211</v>
      </c>
      <c r="AE199" s="8" t="s">
        <v>212</v>
      </c>
      <c r="AF199" s="14">
        <v>0.4</v>
      </c>
      <c r="AG199" s="8">
        <v>1000</v>
      </c>
      <c r="AH199" s="8">
        <v>2500</v>
      </c>
      <c r="AI199" s="8">
        <v>24</v>
      </c>
      <c r="AJ199" s="8">
        <v>0</v>
      </c>
      <c r="AK199" s="127">
        <v>24</v>
      </c>
      <c r="AL199" s="103">
        <v>0</v>
      </c>
      <c r="AM199" s="8">
        <v>24</v>
      </c>
      <c r="AN199" s="21">
        <v>0</v>
      </c>
      <c r="AO199" s="21">
        <v>0</v>
      </c>
      <c r="AP199" s="21">
        <v>0</v>
      </c>
      <c r="AQ199" s="21">
        <v>24</v>
      </c>
      <c r="AR199" s="21">
        <v>0</v>
      </c>
      <c r="AS199" s="8">
        <v>24</v>
      </c>
      <c r="AT199" s="21">
        <v>0</v>
      </c>
      <c r="AU199" s="21">
        <v>0</v>
      </c>
      <c r="AV199" s="21">
        <v>0</v>
      </c>
      <c r="AW199" s="21">
        <v>24</v>
      </c>
      <c r="AX199" s="21">
        <v>0</v>
      </c>
      <c r="AY199" s="8">
        <v>0</v>
      </c>
    </row>
    <row r="200" spans="1:51" ht="15" customHeight="1" x14ac:dyDescent="0.25">
      <c r="A200" s="9">
        <v>744</v>
      </c>
      <c r="B200" s="13">
        <v>45742</v>
      </c>
      <c r="C200" s="9" t="s">
        <v>169</v>
      </c>
      <c r="D200" s="9">
        <v>9518636039</v>
      </c>
      <c r="E200" s="8">
        <v>1</v>
      </c>
      <c r="F200" s="9" t="s">
        <v>813</v>
      </c>
      <c r="G200" s="9" t="s">
        <v>1303</v>
      </c>
      <c r="H200" s="9" t="s">
        <v>57</v>
      </c>
      <c r="I200" s="9" t="s">
        <v>48</v>
      </c>
      <c r="J200" s="9" t="s">
        <v>39</v>
      </c>
      <c r="K200" s="9" t="s">
        <v>233</v>
      </c>
      <c r="L200" s="39"/>
      <c r="M200" s="7" t="s">
        <v>1</v>
      </c>
      <c r="N200" s="8"/>
      <c r="O200" s="40"/>
      <c r="P200" s="15" t="s">
        <v>220</v>
      </c>
      <c r="Q200" s="9" t="s">
        <v>264</v>
      </c>
      <c r="R200" s="9" t="s">
        <v>225</v>
      </c>
      <c r="S200" s="9" t="s">
        <v>858</v>
      </c>
      <c r="T200" s="9">
        <v>940016</v>
      </c>
      <c r="U200" s="16" t="s">
        <v>133</v>
      </c>
      <c r="V200" s="9">
        <v>3797658</v>
      </c>
      <c r="W200" s="8" t="s">
        <v>235</v>
      </c>
      <c r="X200" s="8"/>
      <c r="Y200" s="8"/>
      <c r="Z200" s="8"/>
      <c r="AA200" s="8"/>
      <c r="AB200" s="8" t="s">
        <v>176</v>
      </c>
      <c r="AC200" s="8" t="s">
        <v>228</v>
      </c>
      <c r="AD200" s="14" t="s">
        <v>229</v>
      </c>
      <c r="AE200" s="8" t="s">
        <v>230</v>
      </c>
      <c r="AF200" s="14">
        <v>0.4</v>
      </c>
      <c r="AG200" s="8">
        <v>1220</v>
      </c>
      <c r="AH200" s="8">
        <v>0</v>
      </c>
      <c r="AI200" s="8">
        <v>134</v>
      </c>
      <c r="AJ200" s="8">
        <v>71.564999999999998</v>
      </c>
      <c r="AK200" s="127">
        <v>62.435000000000002</v>
      </c>
      <c r="AL200" s="103">
        <v>0</v>
      </c>
      <c r="AM200" s="8">
        <v>62.435000000000002</v>
      </c>
      <c r="AN200" s="21">
        <v>0</v>
      </c>
      <c r="AO200" s="21">
        <v>0</v>
      </c>
      <c r="AP200" s="21">
        <v>62.435000000000002</v>
      </c>
      <c r="AQ200" s="21">
        <v>0</v>
      </c>
      <c r="AR200" s="21">
        <v>0</v>
      </c>
      <c r="AS200" s="8">
        <v>62.435000000000002</v>
      </c>
      <c r="AT200" s="21">
        <v>0</v>
      </c>
      <c r="AU200" s="21">
        <v>0</v>
      </c>
      <c r="AV200" s="21">
        <v>62.435000000000002</v>
      </c>
      <c r="AW200" s="21">
        <v>0</v>
      </c>
      <c r="AX200" s="21">
        <v>0</v>
      </c>
      <c r="AY200" s="8">
        <v>0</v>
      </c>
    </row>
    <row r="201" spans="1:51" ht="15" customHeight="1" x14ac:dyDescent="0.25">
      <c r="A201" s="9">
        <v>744</v>
      </c>
      <c r="B201" s="13">
        <v>45742</v>
      </c>
      <c r="C201" s="9" t="s">
        <v>169</v>
      </c>
      <c r="D201" s="9">
        <v>9518636039</v>
      </c>
      <c r="E201" s="8">
        <v>2</v>
      </c>
      <c r="F201" s="9" t="s">
        <v>814</v>
      </c>
      <c r="G201" s="9" t="s">
        <v>1687</v>
      </c>
      <c r="H201" s="9" t="s">
        <v>57</v>
      </c>
      <c r="I201" s="9" t="s">
        <v>48</v>
      </c>
      <c r="J201" s="9" t="s">
        <v>39</v>
      </c>
      <c r="K201" s="9" t="s">
        <v>233</v>
      </c>
      <c r="L201" s="39"/>
      <c r="M201" s="7" t="s">
        <v>1</v>
      </c>
      <c r="N201" s="8"/>
      <c r="O201" s="40"/>
      <c r="P201" s="15" t="s">
        <v>220</v>
      </c>
      <c r="Q201" s="9" t="s">
        <v>264</v>
      </c>
      <c r="R201" s="9" t="s">
        <v>225</v>
      </c>
      <c r="S201" s="9" t="s">
        <v>858</v>
      </c>
      <c r="T201" s="9">
        <v>940016</v>
      </c>
      <c r="U201" s="16" t="s">
        <v>133</v>
      </c>
      <c r="V201" s="9">
        <v>3797658</v>
      </c>
      <c r="W201" s="8" t="s">
        <v>235</v>
      </c>
      <c r="X201" s="8"/>
      <c r="Y201" s="8"/>
      <c r="Z201" s="8"/>
      <c r="AA201" s="8"/>
      <c r="AB201" s="8" t="s">
        <v>176</v>
      </c>
      <c r="AC201" s="8" t="s">
        <v>228</v>
      </c>
      <c r="AD201" s="14" t="s">
        <v>229</v>
      </c>
      <c r="AE201" s="8" t="s">
        <v>230</v>
      </c>
      <c r="AF201" s="14">
        <v>0.4</v>
      </c>
      <c r="AG201" s="8">
        <v>1220</v>
      </c>
      <c r="AH201" s="8">
        <v>0</v>
      </c>
      <c r="AI201" s="8">
        <v>168</v>
      </c>
      <c r="AJ201" s="8">
        <v>109.99</v>
      </c>
      <c r="AK201" s="127">
        <v>12.895</v>
      </c>
      <c r="AL201" s="103">
        <v>4.915</v>
      </c>
      <c r="AM201" s="8">
        <v>12.895</v>
      </c>
      <c r="AN201" s="21">
        <v>0</v>
      </c>
      <c r="AO201" s="21">
        <v>12.895</v>
      </c>
      <c r="AP201" s="21">
        <v>0</v>
      </c>
      <c r="AQ201" s="21">
        <v>0</v>
      </c>
      <c r="AR201" s="21">
        <v>0</v>
      </c>
      <c r="AS201" s="8">
        <v>17.809999999999999</v>
      </c>
      <c r="AT201" s="21">
        <v>0</v>
      </c>
      <c r="AU201" s="21">
        <v>0</v>
      </c>
      <c r="AV201" s="21">
        <v>17.809999999999999</v>
      </c>
      <c r="AW201" s="21">
        <v>0</v>
      </c>
      <c r="AX201" s="21">
        <v>0</v>
      </c>
      <c r="AY201" s="8">
        <v>0</v>
      </c>
    </row>
    <row r="202" spans="1:51" ht="15" customHeight="1" x14ac:dyDescent="0.25">
      <c r="A202" s="9">
        <v>744</v>
      </c>
      <c r="B202" s="13">
        <v>45742</v>
      </c>
      <c r="C202" s="9" t="s">
        <v>169</v>
      </c>
      <c r="D202" s="9">
        <v>9518636039</v>
      </c>
      <c r="E202" s="8">
        <v>3</v>
      </c>
      <c r="F202" s="9" t="s">
        <v>815</v>
      </c>
      <c r="G202" s="9" t="s">
        <v>576</v>
      </c>
      <c r="H202" s="9" t="s">
        <v>57</v>
      </c>
      <c r="I202" s="9" t="s">
        <v>48</v>
      </c>
      <c r="J202" s="9" t="s">
        <v>39</v>
      </c>
      <c r="K202" s="9" t="s">
        <v>233</v>
      </c>
      <c r="L202" s="39"/>
      <c r="M202" s="7" t="s">
        <v>1</v>
      </c>
      <c r="N202" s="8"/>
      <c r="O202" s="40"/>
      <c r="P202" s="15" t="s">
        <v>220</v>
      </c>
      <c r="Q202" s="9" t="s">
        <v>264</v>
      </c>
      <c r="R202" s="9" t="s">
        <v>225</v>
      </c>
      <c r="S202" s="9" t="s">
        <v>858</v>
      </c>
      <c r="T202" s="9">
        <v>940016</v>
      </c>
      <c r="U202" s="16" t="s">
        <v>133</v>
      </c>
      <c r="V202" s="9">
        <v>3883538</v>
      </c>
      <c r="W202" s="8" t="s">
        <v>697</v>
      </c>
      <c r="X202" s="8"/>
      <c r="Y202" s="8"/>
      <c r="Z202" s="8"/>
      <c r="AA202" s="8"/>
      <c r="AB202" s="8" t="s">
        <v>176</v>
      </c>
      <c r="AC202" s="8" t="s">
        <v>228</v>
      </c>
      <c r="AD202" s="14" t="s">
        <v>229</v>
      </c>
      <c r="AE202" s="8" t="s">
        <v>230</v>
      </c>
      <c r="AF202" s="14">
        <v>0.3</v>
      </c>
      <c r="AG202" s="8">
        <v>1220</v>
      </c>
      <c r="AH202" s="8">
        <v>0</v>
      </c>
      <c r="AI202" s="8">
        <v>56</v>
      </c>
      <c r="AJ202" s="8">
        <v>4.5949999999999998</v>
      </c>
      <c r="AK202" s="127">
        <v>51.405000000000001</v>
      </c>
      <c r="AL202" s="103">
        <v>0</v>
      </c>
      <c r="AM202" s="8">
        <v>51.405000000000001</v>
      </c>
      <c r="AN202" s="21">
        <v>0</v>
      </c>
      <c r="AO202" s="21">
        <v>51.405000000000001</v>
      </c>
      <c r="AP202" s="21">
        <v>0</v>
      </c>
      <c r="AQ202" s="21">
        <v>0</v>
      </c>
      <c r="AR202" s="21">
        <v>0</v>
      </c>
      <c r="AS202" s="8">
        <v>51.405000000000001</v>
      </c>
      <c r="AT202" s="21">
        <v>0</v>
      </c>
      <c r="AU202" s="21">
        <v>51.405000000000001</v>
      </c>
      <c r="AV202" s="21">
        <v>0</v>
      </c>
      <c r="AW202" s="21">
        <v>0</v>
      </c>
      <c r="AX202" s="21">
        <v>0</v>
      </c>
      <c r="AY202" s="8">
        <v>0</v>
      </c>
    </row>
    <row r="203" spans="1:51" ht="15" customHeight="1" x14ac:dyDescent="0.25">
      <c r="A203" s="9">
        <v>742</v>
      </c>
      <c r="B203" s="13">
        <v>45736</v>
      </c>
      <c r="C203" s="9" t="s">
        <v>169</v>
      </c>
      <c r="D203" s="9">
        <v>9518617583</v>
      </c>
      <c r="E203" s="8">
        <v>1</v>
      </c>
      <c r="F203" s="9" t="s">
        <v>816</v>
      </c>
      <c r="G203" s="9" t="s">
        <v>576</v>
      </c>
      <c r="H203" s="9" t="s">
        <v>57</v>
      </c>
      <c r="I203" s="9" t="s">
        <v>25</v>
      </c>
      <c r="J203" s="9" t="s">
        <v>29</v>
      </c>
      <c r="K203" s="9" t="s">
        <v>233</v>
      </c>
      <c r="L203" s="39"/>
      <c r="M203" s="7" t="s">
        <v>1</v>
      </c>
      <c r="N203" s="8"/>
      <c r="O203" s="40"/>
      <c r="P203" s="15" t="s">
        <v>289</v>
      </c>
      <c r="Q203" s="9" t="s">
        <v>188</v>
      </c>
      <c r="R203" s="9" t="s">
        <v>328</v>
      </c>
      <c r="S203" s="9" t="s">
        <v>858</v>
      </c>
      <c r="T203" s="9">
        <v>188891</v>
      </c>
      <c r="U203" s="16" t="s">
        <v>65</v>
      </c>
      <c r="V203" s="9">
        <v>2439203</v>
      </c>
      <c r="W203" s="8" t="s">
        <v>288</v>
      </c>
      <c r="X203" s="8"/>
      <c r="Y203" s="8"/>
      <c r="Z203" s="8"/>
      <c r="AA203" s="8"/>
      <c r="AB203" s="8" t="s">
        <v>183</v>
      </c>
      <c r="AC203" s="8" t="s">
        <v>190</v>
      </c>
      <c r="AD203" s="14" t="s">
        <v>197</v>
      </c>
      <c r="AE203" s="8" t="s">
        <v>198</v>
      </c>
      <c r="AF203" s="14">
        <v>0.5</v>
      </c>
      <c r="AG203" s="8">
        <v>1160</v>
      </c>
      <c r="AH203" s="8">
        <v>0</v>
      </c>
      <c r="AI203" s="8">
        <v>297</v>
      </c>
      <c r="AJ203" s="8">
        <v>0</v>
      </c>
      <c r="AK203" s="127">
        <v>297</v>
      </c>
      <c r="AL203" s="103">
        <v>0</v>
      </c>
      <c r="AM203" s="8">
        <v>297</v>
      </c>
      <c r="AN203" s="21">
        <v>0</v>
      </c>
      <c r="AO203" s="21">
        <v>297</v>
      </c>
      <c r="AP203" s="21">
        <v>0</v>
      </c>
      <c r="AQ203" s="21">
        <v>0</v>
      </c>
      <c r="AR203" s="21">
        <v>0</v>
      </c>
      <c r="AS203" s="8">
        <v>297</v>
      </c>
      <c r="AT203" s="21">
        <v>0</v>
      </c>
      <c r="AU203" s="21">
        <v>297</v>
      </c>
      <c r="AV203" s="21">
        <v>0</v>
      </c>
      <c r="AW203" s="21">
        <v>0</v>
      </c>
      <c r="AX203" s="21">
        <v>0</v>
      </c>
      <c r="AY203" s="8">
        <v>0</v>
      </c>
    </row>
    <row r="204" spans="1:51" ht="15" customHeight="1" x14ac:dyDescent="0.25">
      <c r="A204" s="9">
        <v>743</v>
      </c>
      <c r="B204" s="13">
        <v>45740</v>
      </c>
      <c r="C204" s="9" t="s">
        <v>169</v>
      </c>
      <c r="D204" s="9">
        <v>9518634000</v>
      </c>
      <c r="E204" s="8">
        <v>2</v>
      </c>
      <c r="F204" s="9" t="s">
        <v>819</v>
      </c>
      <c r="G204" s="9" t="s">
        <v>335</v>
      </c>
      <c r="H204" s="9" t="s">
        <v>57</v>
      </c>
      <c r="I204" s="9" t="s">
        <v>38</v>
      </c>
      <c r="J204" s="9" t="s">
        <v>41</v>
      </c>
      <c r="K204" s="9" t="s">
        <v>233</v>
      </c>
      <c r="L204" s="39"/>
      <c r="M204" s="7" t="s">
        <v>1</v>
      </c>
      <c r="N204" s="8"/>
      <c r="O204" s="40"/>
      <c r="P204" s="15" t="s">
        <v>289</v>
      </c>
      <c r="Q204" s="9" t="s">
        <v>188</v>
      </c>
      <c r="R204" s="9" t="s">
        <v>343</v>
      </c>
      <c r="S204" s="9" t="s">
        <v>858</v>
      </c>
      <c r="T204" s="9">
        <v>947011</v>
      </c>
      <c r="U204" s="16" t="s">
        <v>817</v>
      </c>
      <c r="V204" s="9">
        <v>3875613</v>
      </c>
      <c r="W204" s="8" t="s">
        <v>818</v>
      </c>
      <c r="X204" s="8"/>
      <c r="Y204" s="8"/>
      <c r="Z204" s="8"/>
      <c r="AA204" s="8"/>
      <c r="AB204" s="8" t="s">
        <v>176</v>
      </c>
      <c r="AC204" s="8" t="s">
        <v>222</v>
      </c>
      <c r="AD204" s="14" t="s">
        <v>223</v>
      </c>
      <c r="AE204" s="8" t="s">
        <v>372</v>
      </c>
      <c r="AF204" s="14">
        <v>0.8</v>
      </c>
      <c r="AG204" s="8">
        <v>1250</v>
      </c>
      <c r="AH204" s="8">
        <v>0</v>
      </c>
      <c r="AI204" s="8">
        <v>261</v>
      </c>
      <c r="AJ204" s="8">
        <v>126.7</v>
      </c>
      <c r="AK204" s="127">
        <v>134.30000000000001</v>
      </c>
      <c r="AL204" s="103">
        <v>27.6</v>
      </c>
      <c r="AM204" s="8">
        <v>134.30000000000001</v>
      </c>
      <c r="AN204" s="21">
        <v>0</v>
      </c>
      <c r="AO204" s="21">
        <v>0</v>
      </c>
      <c r="AP204" s="21">
        <v>134.30000000000001</v>
      </c>
      <c r="AQ204" s="21">
        <v>0</v>
      </c>
      <c r="AR204" s="21">
        <v>0</v>
      </c>
      <c r="AS204" s="8">
        <v>161.9</v>
      </c>
      <c r="AT204" s="21">
        <v>0</v>
      </c>
      <c r="AU204" s="21">
        <v>0</v>
      </c>
      <c r="AV204" s="21">
        <v>0</v>
      </c>
      <c r="AW204" s="21">
        <v>161.9</v>
      </c>
      <c r="AX204" s="21">
        <v>0</v>
      </c>
      <c r="AY204" s="8">
        <v>0</v>
      </c>
    </row>
    <row r="205" spans="1:51" ht="15" customHeight="1" x14ac:dyDescent="0.25">
      <c r="A205" s="9">
        <v>743</v>
      </c>
      <c r="B205" s="13">
        <v>45740</v>
      </c>
      <c r="C205" s="9" t="s">
        <v>169</v>
      </c>
      <c r="D205" s="9">
        <v>9518634000</v>
      </c>
      <c r="E205" s="8">
        <v>1</v>
      </c>
      <c r="F205" s="9" t="s">
        <v>820</v>
      </c>
      <c r="G205" s="9" t="s">
        <v>335</v>
      </c>
      <c r="H205" s="9" t="s">
        <v>57</v>
      </c>
      <c r="I205" s="9" t="s">
        <v>38</v>
      </c>
      <c r="J205" s="9" t="s">
        <v>41</v>
      </c>
      <c r="K205" s="9" t="s">
        <v>233</v>
      </c>
      <c r="L205" s="39"/>
      <c r="M205" s="7" t="s">
        <v>1</v>
      </c>
      <c r="N205" s="8"/>
      <c r="O205" s="40"/>
      <c r="P205" s="15" t="s">
        <v>289</v>
      </c>
      <c r="Q205" s="9" t="s">
        <v>188</v>
      </c>
      <c r="R205" s="9" t="s">
        <v>343</v>
      </c>
      <c r="S205" s="9" t="s">
        <v>858</v>
      </c>
      <c r="T205" s="9">
        <v>947011</v>
      </c>
      <c r="U205" s="16" t="s">
        <v>817</v>
      </c>
      <c r="V205" s="9">
        <v>3875613</v>
      </c>
      <c r="W205" s="8" t="s">
        <v>818</v>
      </c>
      <c r="X205" s="8"/>
      <c r="Y205" s="8"/>
      <c r="Z205" s="8"/>
      <c r="AA205" s="8"/>
      <c r="AB205" s="8" t="s">
        <v>176</v>
      </c>
      <c r="AC205" s="8" t="s">
        <v>222</v>
      </c>
      <c r="AD205" s="14" t="s">
        <v>223</v>
      </c>
      <c r="AE205" s="8" t="s">
        <v>372</v>
      </c>
      <c r="AF205" s="14">
        <v>0.8</v>
      </c>
      <c r="AG205" s="8">
        <v>1250</v>
      </c>
      <c r="AH205" s="8">
        <v>0</v>
      </c>
      <c r="AI205" s="8">
        <v>261</v>
      </c>
      <c r="AJ205" s="8">
        <v>88.71</v>
      </c>
      <c r="AK205" s="127">
        <v>172.29</v>
      </c>
      <c r="AL205" s="103">
        <v>0</v>
      </c>
      <c r="AM205" s="8">
        <v>172.29</v>
      </c>
      <c r="AN205" s="21">
        <v>0</v>
      </c>
      <c r="AO205" s="21">
        <v>0</v>
      </c>
      <c r="AP205" s="21">
        <v>0</v>
      </c>
      <c r="AQ205" s="21">
        <v>0</v>
      </c>
      <c r="AR205" s="21">
        <v>172.29</v>
      </c>
      <c r="AS205" s="8">
        <v>172.29</v>
      </c>
      <c r="AT205" s="21">
        <v>0</v>
      </c>
      <c r="AU205" s="21">
        <v>0</v>
      </c>
      <c r="AV205" s="21">
        <v>0</v>
      </c>
      <c r="AW205" s="21">
        <v>0</v>
      </c>
      <c r="AX205" s="21">
        <v>172.29</v>
      </c>
      <c r="AY205" s="8">
        <v>0</v>
      </c>
    </row>
    <row r="206" spans="1:51" ht="15" customHeight="1" x14ac:dyDescent="0.25">
      <c r="A206" s="9">
        <v>743</v>
      </c>
      <c r="B206" s="13"/>
      <c r="C206" s="9" t="s">
        <v>169</v>
      </c>
      <c r="D206" s="9">
        <v>9518497466</v>
      </c>
      <c r="E206" s="8">
        <v>1</v>
      </c>
      <c r="F206" s="9" t="s">
        <v>822</v>
      </c>
      <c r="G206" s="9" t="s">
        <v>1687</v>
      </c>
      <c r="H206" s="9" t="s">
        <v>57</v>
      </c>
      <c r="I206" s="9" t="s">
        <v>43</v>
      </c>
      <c r="J206" s="9" t="s">
        <v>46</v>
      </c>
      <c r="K206" s="9">
        <v>2000</v>
      </c>
      <c r="L206" s="39"/>
      <c r="M206" s="7" t="s">
        <v>1</v>
      </c>
      <c r="N206" s="8"/>
      <c r="O206" s="40"/>
      <c r="P206" s="15" t="s">
        <v>239</v>
      </c>
      <c r="Q206" s="9" t="s">
        <v>214</v>
      </c>
      <c r="R206" s="9" t="s">
        <v>1578</v>
      </c>
      <c r="S206" s="9" t="s">
        <v>858</v>
      </c>
      <c r="T206" s="9">
        <v>942923</v>
      </c>
      <c r="U206" s="16" t="s">
        <v>823</v>
      </c>
      <c r="V206" s="9">
        <v>3708868</v>
      </c>
      <c r="W206" s="8"/>
      <c r="X206" s="8"/>
      <c r="Y206" s="8"/>
      <c r="Z206" s="8"/>
      <c r="AA206" s="8"/>
      <c r="AB206" s="8" t="s">
        <v>176</v>
      </c>
      <c r="AC206" s="8" t="s">
        <v>269</v>
      </c>
      <c r="AD206" s="14"/>
      <c r="AE206" s="8" t="s">
        <v>165</v>
      </c>
      <c r="AF206" s="14">
        <v>0.5</v>
      </c>
      <c r="AG206" s="8">
        <v>1350</v>
      </c>
      <c r="AH206" s="8">
        <v>0</v>
      </c>
      <c r="AI206" s="8">
        <v>93</v>
      </c>
      <c r="AJ206" s="8">
        <v>0</v>
      </c>
      <c r="AK206" s="127">
        <v>4.4800000000000004</v>
      </c>
      <c r="AL206" s="103">
        <v>28.869999999999997</v>
      </c>
      <c r="AM206" s="8">
        <v>0</v>
      </c>
      <c r="AN206" s="21">
        <v>0</v>
      </c>
      <c r="AO206" s="21">
        <v>0</v>
      </c>
      <c r="AP206" s="21">
        <v>0</v>
      </c>
      <c r="AQ206" s="21">
        <v>0</v>
      </c>
      <c r="AR206" s="21">
        <v>0</v>
      </c>
      <c r="AS206" s="8">
        <v>28.869999999999997</v>
      </c>
      <c r="AT206" s="21">
        <v>28.869999999999997</v>
      </c>
      <c r="AU206" s="21">
        <v>0</v>
      </c>
      <c r="AV206" s="21">
        <v>0</v>
      </c>
      <c r="AW206" s="21">
        <v>0</v>
      </c>
      <c r="AX206" s="21">
        <v>0</v>
      </c>
      <c r="AY206" s="8">
        <v>0</v>
      </c>
    </row>
    <row r="207" spans="1:51" ht="15" customHeight="1" x14ac:dyDescent="0.25">
      <c r="A207" s="9">
        <v>742</v>
      </c>
      <c r="B207" s="13">
        <v>45741</v>
      </c>
      <c r="C207" s="9" t="s">
        <v>169</v>
      </c>
      <c r="D207" s="9">
        <v>9518631417</v>
      </c>
      <c r="E207" s="8">
        <v>1</v>
      </c>
      <c r="F207" s="9" t="s">
        <v>824</v>
      </c>
      <c r="G207" s="9" t="s">
        <v>576</v>
      </c>
      <c r="H207" s="9" t="s">
        <v>57</v>
      </c>
      <c r="I207" s="9" t="s">
        <v>50</v>
      </c>
      <c r="J207" s="9" t="s">
        <v>26</v>
      </c>
      <c r="K207" s="9">
        <v>2000</v>
      </c>
      <c r="L207" s="39"/>
      <c r="M207" s="7" t="s">
        <v>1</v>
      </c>
      <c r="N207" s="8"/>
      <c r="O207" s="40"/>
      <c r="P207" s="15" t="s">
        <v>239</v>
      </c>
      <c r="Q207" s="9" t="s">
        <v>214</v>
      </c>
      <c r="R207" s="9" t="s">
        <v>1589</v>
      </c>
      <c r="S207" s="9" t="s">
        <v>858</v>
      </c>
      <c r="T207" s="9">
        <v>932179</v>
      </c>
      <c r="U207" s="16" t="s">
        <v>128</v>
      </c>
      <c r="V207" s="9">
        <v>1210083</v>
      </c>
      <c r="W207" s="8" t="s">
        <v>305</v>
      </c>
      <c r="X207" s="8"/>
      <c r="Y207" s="8"/>
      <c r="Z207" s="8"/>
      <c r="AA207" s="8"/>
      <c r="AB207" s="8" t="s">
        <v>176</v>
      </c>
      <c r="AC207" s="8">
        <v>768</v>
      </c>
      <c r="AD207" s="14" t="s">
        <v>242</v>
      </c>
      <c r="AE207" s="8" t="s">
        <v>243</v>
      </c>
      <c r="AF207" s="14">
        <v>2</v>
      </c>
      <c r="AG207" s="8">
        <v>1250</v>
      </c>
      <c r="AH207" s="8">
        <v>0</v>
      </c>
      <c r="AI207" s="8">
        <v>75</v>
      </c>
      <c r="AJ207" s="8">
        <v>0</v>
      </c>
      <c r="AK207" s="127">
        <v>75</v>
      </c>
      <c r="AL207" s="103">
        <v>0</v>
      </c>
      <c r="AM207" s="8">
        <v>75</v>
      </c>
      <c r="AN207" s="21">
        <v>0</v>
      </c>
      <c r="AO207" s="21">
        <v>0</v>
      </c>
      <c r="AP207" s="21">
        <v>0</v>
      </c>
      <c r="AQ207" s="21">
        <v>75</v>
      </c>
      <c r="AR207" s="21">
        <v>0</v>
      </c>
      <c r="AS207" s="8">
        <v>75</v>
      </c>
      <c r="AT207" s="21">
        <v>0</v>
      </c>
      <c r="AU207" s="21">
        <v>0</v>
      </c>
      <c r="AV207" s="21">
        <v>0</v>
      </c>
      <c r="AW207" s="21">
        <v>75</v>
      </c>
      <c r="AX207" s="21">
        <v>0</v>
      </c>
      <c r="AY207" s="8">
        <v>0</v>
      </c>
    </row>
    <row r="208" spans="1:51" ht="15" customHeight="1" x14ac:dyDescent="0.25">
      <c r="A208" s="9">
        <v>744</v>
      </c>
      <c r="B208" s="13">
        <v>45735</v>
      </c>
      <c r="C208" s="9" t="s">
        <v>169</v>
      </c>
      <c r="D208" s="9">
        <v>9518613727</v>
      </c>
      <c r="E208" s="8">
        <v>1</v>
      </c>
      <c r="F208" s="9" t="s">
        <v>825</v>
      </c>
      <c r="G208" s="9" t="s">
        <v>1687</v>
      </c>
      <c r="H208" s="9" t="s">
        <v>57</v>
      </c>
      <c r="I208" s="9" t="s">
        <v>48</v>
      </c>
      <c r="J208" s="9" t="s">
        <v>39</v>
      </c>
      <c r="K208" s="9">
        <v>1000</v>
      </c>
      <c r="L208" s="39"/>
      <c r="M208" s="7" t="s">
        <v>1</v>
      </c>
      <c r="N208" s="8"/>
      <c r="O208" s="40"/>
      <c r="P208" s="15" t="s">
        <v>220</v>
      </c>
      <c r="Q208" s="9" t="s">
        <v>264</v>
      </c>
      <c r="R208" s="9" t="s">
        <v>1568</v>
      </c>
      <c r="S208" s="9" t="s">
        <v>858</v>
      </c>
      <c r="T208" s="9">
        <v>941597</v>
      </c>
      <c r="U208" s="16" t="s">
        <v>106</v>
      </c>
      <c r="V208" s="9">
        <v>3941967</v>
      </c>
      <c r="W208" s="8" t="s">
        <v>810</v>
      </c>
      <c r="X208" s="8"/>
      <c r="Y208" s="8"/>
      <c r="Z208" s="8"/>
      <c r="AA208" s="8"/>
      <c r="AB208" s="8" t="s">
        <v>176</v>
      </c>
      <c r="AC208" s="8" t="s">
        <v>228</v>
      </c>
      <c r="AD208" s="14"/>
      <c r="AE208" s="8" t="s">
        <v>354</v>
      </c>
      <c r="AF208" s="14">
        <v>0.6</v>
      </c>
      <c r="AG208" s="8">
        <v>1220</v>
      </c>
      <c r="AH208" s="8">
        <v>0</v>
      </c>
      <c r="AI208" s="8">
        <v>112</v>
      </c>
      <c r="AJ208" s="8">
        <v>92.275000000000006</v>
      </c>
      <c r="AK208" s="127">
        <v>8.2349999999999994</v>
      </c>
      <c r="AL208" s="103">
        <v>26.47</v>
      </c>
      <c r="AM208" s="8">
        <v>0</v>
      </c>
      <c r="AN208" s="21">
        <v>0</v>
      </c>
      <c r="AO208" s="21">
        <v>0</v>
      </c>
      <c r="AP208" s="21">
        <v>0</v>
      </c>
      <c r="AQ208" s="21">
        <v>0</v>
      </c>
      <c r="AR208" s="21">
        <v>0</v>
      </c>
      <c r="AS208" s="8">
        <v>26.47</v>
      </c>
      <c r="AT208" s="21">
        <v>26.47</v>
      </c>
      <c r="AU208" s="21">
        <v>0</v>
      </c>
      <c r="AV208" s="21">
        <v>0</v>
      </c>
      <c r="AW208" s="21">
        <v>0</v>
      </c>
      <c r="AX208" s="21">
        <v>0</v>
      </c>
      <c r="AY208" s="8">
        <v>0</v>
      </c>
    </row>
    <row r="209" spans="1:51" ht="15" customHeight="1" x14ac:dyDescent="0.25">
      <c r="A209" s="9">
        <v>744</v>
      </c>
      <c r="B209" s="13">
        <v>45736</v>
      </c>
      <c r="C209" s="9" t="s">
        <v>169</v>
      </c>
      <c r="D209" s="9">
        <v>9518617046</v>
      </c>
      <c r="E209" s="8">
        <v>9</v>
      </c>
      <c r="F209" s="9" t="s">
        <v>826</v>
      </c>
      <c r="G209" s="9" t="s">
        <v>1687</v>
      </c>
      <c r="H209" s="9" t="s">
        <v>57</v>
      </c>
      <c r="I209" s="9" t="s">
        <v>48</v>
      </c>
      <c r="J209" s="9" t="s">
        <v>39</v>
      </c>
      <c r="K209" s="9">
        <v>1000</v>
      </c>
      <c r="L209" s="39"/>
      <c r="M209" s="7" t="s">
        <v>1</v>
      </c>
      <c r="N209" s="8"/>
      <c r="O209" s="40"/>
      <c r="P209" s="15" t="s">
        <v>220</v>
      </c>
      <c r="Q209" s="9" t="s">
        <v>264</v>
      </c>
      <c r="R209" s="9" t="s">
        <v>1568</v>
      </c>
      <c r="S209" s="9" t="s">
        <v>858</v>
      </c>
      <c r="T209" s="9">
        <v>941597</v>
      </c>
      <c r="U209" s="16" t="s">
        <v>106</v>
      </c>
      <c r="V209" s="9">
        <v>3941967</v>
      </c>
      <c r="W209" s="8" t="s">
        <v>810</v>
      </c>
      <c r="X209" s="8"/>
      <c r="Y209" s="8"/>
      <c r="Z209" s="8"/>
      <c r="AA209" s="8"/>
      <c r="AB209" s="8" t="s">
        <v>176</v>
      </c>
      <c r="AC209" s="8" t="s">
        <v>228</v>
      </c>
      <c r="AD209" s="14"/>
      <c r="AE209" s="8" t="s">
        <v>354</v>
      </c>
      <c r="AF209" s="14">
        <v>0.6</v>
      </c>
      <c r="AG209" s="8">
        <v>1220</v>
      </c>
      <c r="AH209" s="8">
        <v>0</v>
      </c>
      <c r="AI209" s="8">
        <v>56</v>
      </c>
      <c r="AJ209" s="8">
        <v>0</v>
      </c>
      <c r="AK209" s="127">
        <v>36.229999999999997</v>
      </c>
      <c r="AL209" s="103">
        <v>19.77</v>
      </c>
      <c r="AM209" s="8">
        <v>36.229999999999997</v>
      </c>
      <c r="AN209" s="21">
        <v>36.229999999999997</v>
      </c>
      <c r="AO209" s="21">
        <v>0</v>
      </c>
      <c r="AP209" s="21">
        <v>0</v>
      </c>
      <c r="AQ209" s="21">
        <v>0</v>
      </c>
      <c r="AR209" s="21">
        <v>0</v>
      </c>
      <c r="AS209" s="8">
        <v>56</v>
      </c>
      <c r="AT209" s="21">
        <v>0</v>
      </c>
      <c r="AU209" s="21">
        <v>56</v>
      </c>
      <c r="AV209" s="21">
        <v>0</v>
      </c>
      <c r="AW209" s="21">
        <v>0</v>
      </c>
      <c r="AX209" s="21">
        <v>0</v>
      </c>
      <c r="AY209" s="8">
        <v>0</v>
      </c>
    </row>
    <row r="210" spans="1:51" ht="15" customHeight="1" x14ac:dyDescent="0.25">
      <c r="A210" s="9">
        <v>744</v>
      </c>
      <c r="B210" s="13">
        <v>45742</v>
      </c>
      <c r="C210" s="9" t="s">
        <v>169</v>
      </c>
      <c r="D210" s="9">
        <v>9518637595</v>
      </c>
      <c r="E210" s="8">
        <v>2</v>
      </c>
      <c r="F210" s="9" t="s">
        <v>827</v>
      </c>
      <c r="G210" s="9" t="s">
        <v>1303</v>
      </c>
      <c r="H210" s="9" t="s">
        <v>57</v>
      </c>
      <c r="I210" s="9" t="s">
        <v>48</v>
      </c>
      <c r="J210" s="9" t="s">
        <v>39</v>
      </c>
      <c r="K210" s="9">
        <v>1000</v>
      </c>
      <c r="L210" s="39"/>
      <c r="M210" s="7" t="s">
        <v>1</v>
      </c>
      <c r="N210" s="8"/>
      <c r="O210" s="40"/>
      <c r="P210" s="15" t="s">
        <v>220</v>
      </c>
      <c r="Q210" s="9" t="s">
        <v>264</v>
      </c>
      <c r="R210" s="9" t="s">
        <v>1568</v>
      </c>
      <c r="S210" s="9" t="s">
        <v>858</v>
      </c>
      <c r="T210" s="9">
        <v>941597</v>
      </c>
      <c r="U210" s="16" t="s">
        <v>106</v>
      </c>
      <c r="V210" s="9">
        <v>3902332</v>
      </c>
      <c r="W210" s="8" t="s">
        <v>353</v>
      </c>
      <c r="X210" s="8"/>
      <c r="Y210" s="8"/>
      <c r="Z210" s="8"/>
      <c r="AA210" s="8"/>
      <c r="AB210" s="8" t="s">
        <v>176</v>
      </c>
      <c r="AC210" s="8" t="s">
        <v>228</v>
      </c>
      <c r="AD210" s="14"/>
      <c r="AE210" s="8" t="s">
        <v>354</v>
      </c>
      <c r="AF210" s="14">
        <v>0.5</v>
      </c>
      <c r="AG210" s="8">
        <v>1220</v>
      </c>
      <c r="AH210" s="8">
        <v>0</v>
      </c>
      <c r="AI210" s="8">
        <v>56</v>
      </c>
      <c r="AJ210" s="8">
        <v>44.075000000000003</v>
      </c>
      <c r="AK210" s="127">
        <v>11.925000000000001</v>
      </c>
      <c r="AL210" s="103">
        <v>0</v>
      </c>
      <c r="AM210" s="8">
        <v>11.925000000000001</v>
      </c>
      <c r="AN210" s="21">
        <v>11.925000000000001</v>
      </c>
      <c r="AO210" s="21">
        <v>0</v>
      </c>
      <c r="AP210" s="21">
        <v>0</v>
      </c>
      <c r="AQ210" s="21">
        <v>0</v>
      </c>
      <c r="AR210" s="21">
        <v>0</v>
      </c>
      <c r="AS210" s="8">
        <v>11.925000000000001</v>
      </c>
      <c r="AT210" s="21">
        <v>0</v>
      </c>
      <c r="AU210" s="21">
        <v>11.925000000000001</v>
      </c>
      <c r="AV210" s="21">
        <v>0</v>
      </c>
      <c r="AW210" s="21">
        <v>0</v>
      </c>
      <c r="AX210" s="21">
        <v>0</v>
      </c>
      <c r="AY210" s="8">
        <v>0</v>
      </c>
    </row>
    <row r="211" spans="1:51" ht="15" customHeight="1" x14ac:dyDescent="0.25">
      <c r="A211" s="9">
        <v>744</v>
      </c>
      <c r="B211" s="13">
        <v>45743</v>
      </c>
      <c r="C211" s="9" t="s">
        <v>169</v>
      </c>
      <c r="D211" s="9">
        <v>9518644023</v>
      </c>
      <c r="E211" s="8">
        <v>1</v>
      </c>
      <c r="F211" s="9" t="s">
        <v>828</v>
      </c>
      <c r="G211" s="9" t="s">
        <v>576</v>
      </c>
      <c r="H211" s="9" t="s">
        <v>57</v>
      </c>
      <c r="I211" s="9" t="s">
        <v>48</v>
      </c>
      <c r="J211" s="9" t="s">
        <v>39</v>
      </c>
      <c r="K211" s="9">
        <v>1000</v>
      </c>
      <c r="L211" s="39"/>
      <c r="M211" s="7" t="s">
        <v>1</v>
      </c>
      <c r="N211" s="8"/>
      <c r="O211" s="40"/>
      <c r="P211" s="15" t="s">
        <v>220</v>
      </c>
      <c r="Q211" s="9" t="s">
        <v>264</v>
      </c>
      <c r="R211" s="9" t="s">
        <v>1568</v>
      </c>
      <c r="S211" s="9" t="s">
        <v>858</v>
      </c>
      <c r="T211" s="9">
        <v>941597</v>
      </c>
      <c r="U211" s="16" t="s">
        <v>106</v>
      </c>
      <c r="V211" s="9">
        <v>3902332</v>
      </c>
      <c r="W211" s="8" t="s">
        <v>353</v>
      </c>
      <c r="X211" s="8"/>
      <c r="Y211" s="8"/>
      <c r="Z211" s="8"/>
      <c r="AA211" s="8"/>
      <c r="AB211" s="8" t="s">
        <v>176</v>
      </c>
      <c r="AC211" s="8" t="s">
        <v>228</v>
      </c>
      <c r="AD211" s="14"/>
      <c r="AE211" s="8" t="s">
        <v>354</v>
      </c>
      <c r="AF211" s="14">
        <v>0.5</v>
      </c>
      <c r="AG211" s="8">
        <v>1220</v>
      </c>
      <c r="AH211" s="8">
        <v>0</v>
      </c>
      <c r="AI211" s="8">
        <v>28</v>
      </c>
      <c r="AJ211" s="8">
        <v>0</v>
      </c>
      <c r="AK211" s="127">
        <v>28</v>
      </c>
      <c r="AL211" s="103">
        <v>0</v>
      </c>
      <c r="AM211" s="8">
        <v>28</v>
      </c>
      <c r="AN211" s="21">
        <v>0</v>
      </c>
      <c r="AO211" s="21">
        <v>28</v>
      </c>
      <c r="AP211" s="21">
        <v>0</v>
      </c>
      <c r="AQ211" s="21">
        <v>0</v>
      </c>
      <c r="AR211" s="21">
        <v>0</v>
      </c>
      <c r="AS211" s="8">
        <v>28</v>
      </c>
      <c r="AT211" s="21">
        <v>0</v>
      </c>
      <c r="AU211" s="21">
        <v>28</v>
      </c>
      <c r="AV211" s="21">
        <v>0</v>
      </c>
      <c r="AW211" s="21">
        <v>0</v>
      </c>
      <c r="AX211" s="21">
        <v>0</v>
      </c>
      <c r="AY211" s="8">
        <v>0</v>
      </c>
    </row>
    <row r="212" spans="1:51" ht="15" customHeight="1" x14ac:dyDescent="0.25">
      <c r="A212" s="9">
        <v>744</v>
      </c>
      <c r="B212" s="13">
        <v>45738</v>
      </c>
      <c r="C212" s="9" t="s">
        <v>169</v>
      </c>
      <c r="D212" s="9">
        <v>9518624252</v>
      </c>
      <c r="E212" s="8">
        <v>21</v>
      </c>
      <c r="F212" s="9" t="s">
        <v>829</v>
      </c>
      <c r="G212" s="9" t="s">
        <v>576</v>
      </c>
      <c r="H212" s="9" t="s">
        <v>57</v>
      </c>
      <c r="I212" s="9" t="s">
        <v>48</v>
      </c>
      <c r="J212" s="9" t="s">
        <v>39</v>
      </c>
      <c r="K212" s="9">
        <v>1000</v>
      </c>
      <c r="L212" s="39"/>
      <c r="M212" s="7" t="s">
        <v>1</v>
      </c>
      <c r="N212" s="8"/>
      <c r="O212" s="40"/>
      <c r="P212" s="15" t="s">
        <v>220</v>
      </c>
      <c r="Q212" s="9" t="s">
        <v>264</v>
      </c>
      <c r="R212" s="9" t="s">
        <v>1568</v>
      </c>
      <c r="S212" s="9" t="s">
        <v>858</v>
      </c>
      <c r="T212" s="9">
        <v>941597</v>
      </c>
      <c r="U212" s="16" t="s">
        <v>106</v>
      </c>
      <c r="V212" s="9">
        <v>3902332</v>
      </c>
      <c r="W212" s="8" t="s">
        <v>353</v>
      </c>
      <c r="X212" s="8"/>
      <c r="Y212" s="8"/>
      <c r="Z212" s="8"/>
      <c r="AA212" s="8"/>
      <c r="AB212" s="8" t="s">
        <v>176</v>
      </c>
      <c r="AC212" s="8" t="s">
        <v>228</v>
      </c>
      <c r="AD212" s="14"/>
      <c r="AE212" s="8" t="s">
        <v>354</v>
      </c>
      <c r="AF212" s="14">
        <v>0.5</v>
      </c>
      <c r="AG212" s="8">
        <v>1220</v>
      </c>
      <c r="AH212" s="8">
        <v>0</v>
      </c>
      <c r="AI212" s="8">
        <v>56</v>
      </c>
      <c r="AJ212" s="8">
        <v>0</v>
      </c>
      <c r="AK212" s="127">
        <v>56</v>
      </c>
      <c r="AL212" s="103">
        <v>0</v>
      </c>
      <c r="AM212" s="8">
        <v>0</v>
      </c>
      <c r="AN212" s="21">
        <v>0</v>
      </c>
      <c r="AO212" s="21">
        <v>0</v>
      </c>
      <c r="AP212" s="21">
        <v>0</v>
      </c>
      <c r="AQ212" s="21">
        <v>0</v>
      </c>
      <c r="AR212" s="21">
        <v>0</v>
      </c>
      <c r="AS212" s="8">
        <v>0</v>
      </c>
      <c r="AT212" s="21">
        <v>0</v>
      </c>
      <c r="AU212" s="21">
        <v>0</v>
      </c>
      <c r="AV212" s="21">
        <v>0</v>
      </c>
      <c r="AW212" s="21">
        <v>0</v>
      </c>
      <c r="AX212" s="21">
        <v>0</v>
      </c>
      <c r="AY212" s="8">
        <v>0</v>
      </c>
    </row>
    <row r="213" spans="1:51" ht="15" customHeight="1" x14ac:dyDescent="0.25">
      <c r="A213" s="9">
        <v>744</v>
      </c>
      <c r="B213" s="13">
        <v>45738</v>
      </c>
      <c r="C213" s="9" t="s">
        <v>169</v>
      </c>
      <c r="D213" s="9">
        <v>9518624252</v>
      </c>
      <c r="E213" s="8">
        <v>19</v>
      </c>
      <c r="F213" s="9" t="s">
        <v>830</v>
      </c>
      <c r="G213" s="9" t="s">
        <v>576</v>
      </c>
      <c r="H213" s="9" t="s">
        <v>57</v>
      </c>
      <c r="I213" s="9" t="s">
        <v>48</v>
      </c>
      <c r="J213" s="9" t="s">
        <v>39</v>
      </c>
      <c r="K213" s="9">
        <v>1000</v>
      </c>
      <c r="L213" s="39"/>
      <c r="M213" s="7" t="s">
        <v>1</v>
      </c>
      <c r="N213" s="8"/>
      <c r="O213" s="40"/>
      <c r="P213" s="15" t="s">
        <v>220</v>
      </c>
      <c r="Q213" s="9" t="s">
        <v>264</v>
      </c>
      <c r="R213" s="9" t="s">
        <v>1568</v>
      </c>
      <c r="S213" s="9" t="s">
        <v>858</v>
      </c>
      <c r="T213" s="9">
        <v>941597</v>
      </c>
      <c r="U213" s="16" t="s">
        <v>106</v>
      </c>
      <c r="V213" s="9">
        <v>3902332</v>
      </c>
      <c r="W213" s="8" t="s">
        <v>353</v>
      </c>
      <c r="X213" s="8"/>
      <c r="Y213" s="8"/>
      <c r="Z213" s="8"/>
      <c r="AA213" s="8"/>
      <c r="AB213" s="8" t="s">
        <v>176</v>
      </c>
      <c r="AC213" s="8" t="s">
        <v>228</v>
      </c>
      <c r="AD213" s="14"/>
      <c r="AE213" s="8" t="s">
        <v>354</v>
      </c>
      <c r="AF213" s="14">
        <v>0.5</v>
      </c>
      <c r="AG213" s="8">
        <v>1220</v>
      </c>
      <c r="AH213" s="8">
        <v>0</v>
      </c>
      <c r="AI213" s="8">
        <v>168</v>
      </c>
      <c r="AJ213" s="8">
        <v>0</v>
      </c>
      <c r="AK213" s="127">
        <v>168</v>
      </c>
      <c r="AL213" s="103">
        <v>0</v>
      </c>
      <c r="AM213" s="8">
        <v>0</v>
      </c>
      <c r="AN213" s="21">
        <v>0</v>
      </c>
      <c r="AO213" s="21">
        <v>0</v>
      </c>
      <c r="AP213" s="21">
        <v>0</v>
      </c>
      <c r="AQ213" s="21">
        <v>0</v>
      </c>
      <c r="AR213" s="21">
        <v>0</v>
      </c>
      <c r="AS213" s="8">
        <v>0</v>
      </c>
      <c r="AT213" s="21">
        <v>0</v>
      </c>
      <c r="AU213" s="21">
        <v>0</v>
      </c>
      <c r="AV213" s="21">
        <v>0</v>
      </c>
      <c r="AW213" s="21">
        <v>0</v>
      </c>
      <c r="AX213" s="21">
        <v>0</v>
      </c>
      <c r="AY213" s="8">
        <v>0</v>
      </c>
    </row>
    <row r="214" spans="1:51" ht="15" customHeight="1" x14ac:dyDescent="0.25">
      <c r="A214" s="9">
        <v>744</v>
      </c>
      <c r="B214" s="13">
        <v>45738</v>
      </c>
      <c r="C214" s="9" t="s">
        <v>169</v>
      </c>
      <c r="D214" s="9">
        <v>9518624252</v>
      </c>
      <c r="E214" s="8">
        <v>15</v>
      </c>
      <c r="F214" s="9" t="s">
        <v>831</v>
      </c>
      <c r="G214" s="9" t="s">
        <v>576</v>
      </c>
      <c r="H214" s="9" t="s">
        <v>57</v>
      </c>
      <c r="I214" s="9" t="s">
        <v>48</v>
      </c>
      <c r="J214" s="9" t="s">
        <v>39</v>
      </c>
      <c r="K214" s="9">
        <v>1000</v>
      </c>
      <c r="L214" s="39"/>
      <c r="M214" s="7" t="s">
        <v>1</v>
      </c>
      <c r="N214" s="8"/>
      <c r="O214" s="40"/>
      <c r="P214" s="15" t="s">
        <v>220</v>
      </c>
      <c r="Q214" s="9" t="s">
        <v>264</v>
      </c>
      <c r="R214" s="9" t="s">
        <v>1568</v>
      </c>
      <c r="S214" s="9" t="s">
        <v>858</v>
      </c>
      <c r="T214" s="9">
        <v>941597</v>
      </c>
      <c r="U214" s="16" t="s">
        <v>106</v>
      </c>
      <c r="V214" s="9">
        <v>3902332</v>
      </c>
      <c r="W214" s="8" t="s">
        <v>353</v>
      </c>
      <c r="X214" s="8"/>
      <c r="Y214" s="8"/>
      <c r="Z214" s="8"/>
      <c r="AA214" s="8"/>
      <c r="AB214" s="8" t="s">
        <v>176</v>
      </c>
      <c r="AC214" s="8" t="s">
        <v>228</v>
      </c>
      <c r="AD214" s="14"/>
      <c r="AE214" s="8" t="s">
        <v>354</v>
      </c>
      <c r="AF214" s="14">
        <v>0.5</v>
      </c>
      <c r="AG214" s="8">
        <v>1220</v>
      </c>
      <c r="AH214" s="8">
        <v>0</v>
      </c>
      <c r="AI214" s="8">
        <v>168</v>
      </c>
      <c r="AJ214" s="8">
        <v>0</v>
      </c>
      <c r="AK214" s="127">
        <v>168</v>
      </c>
      <c r="AL214" s="103">
        <v>0</v>
      </c>
      <c r="AM214" s="8">
        <v>168</v>
      </c>
      <c r="AN214" s="21">
        <v>168</v>
      </c>
      <c r="AO214" s="21">
        <v>0</v>
      </c>
      <c r="AP214" s="21">
        <v>0</v>
      </c>
      <c r="AQ214" s="21">
        <v>0</v>
      </c>
      <c r="AR214" s="21">
        <v>0</v>
      </c>
      <c r="AS214" s="8">
        <v>168</v>
      </c>
      <c r="AT214" s="21">
        <v>0</v>
      </c>
      <c r="AU214" s="21">
        <v>168</v>
      </c>
      <c r="AV214" s="21">
        <v>0</v>
      </c>
      <c r="AW214" s="21">
        <v>0</v>
      </c>
      <c r="AX214" s="21">
        <v>0</v>
      </c>
      <c r="AY214" s="8">
        <v>0</v>
      </c>
    </row>
    <row r="215" spans="1:51" ht="15" customHeight="1" x14ac:dyDescent="0.25">
      <c r="A215" s="9">
        <v>744</v>
      </c>
      <c r="B215" s="13">
        <v>45738</v>
      </c>
      <c r="C215" s="9" t="s">
        <v>169</v>
      </c>
      <c r="D215" s="9">
        <v>9518624252</v>
      </c>
      <c r="E215" s="8">
        <v>14</v>
      </c>
      <c r="F215" s="9" t="s">
        <v>832</v>
      </c>
      <c r="G215" s="9" t="s">
        <v>1687</v>
      </c>
      <c r="H215" s="9" t="s">
        <v>57</v>
      </c>
      <c r="I215" s="9" t="s">
        <v>48</v>
      </c>
      <c r="J215" s="9" t="s">
        <v>39</v>
      </c>
      <c r="K215" s="9">
        <v>1000</v>
      </c>
      <c r="L215" s="39"/>
      <c r="M215" s="7" t="s">
        <v>1</v>
      </c>
      <c r="N215" s="8"/>
      <c r="O215" s="40"/>
      <c r="P215" s="15" t="s">
        <v>220</v>
      </c>
      <c r="Q215" s="9" t="s">
        <v>264</v>
      </c>
      <c r="R215" s="9" t="s">
        <v>1568</v>
      </c>
      <c r="S215" s="9" t="s">
        <v>858</v>
      </c>
      <c r="T215" s="9">
        <v>941597</v>
      </c>
      <c r="U215" s="16" t="s">
        <v>106</v>
      </c>
      <c r="V215" s="9">
        <v>3902332</v>
      </c>
      <c r="W215" s="8" t="s">
        <v>353</v>
      </c>
      <c r="X215" s="8"/>
      <c r="Y215" s="8"/>
      <c r="Z215" s="8"/>
      <c r="AA215" s="8"/>
      <c r="AB215" s="8" t="s">
        <v>176</v>
      </c>
      <c r="AC215" s="8" t="s">
        <v>228</v>
      </c>
      <c r="AD215" s="14"/>
      <c r="AE215" s="8" t="s">
        <v>354</v>
      </c>
      <c r="AF215" s="14">
        <v>0.5</v>
      </c>
      <c r="AG215" s="8">
        <v>1220</v>
      </c>
      <c r="AH215" s="8">
        <v>0</v>
      </c>
      <c r="AI215" s="8">
        <v>195.99</v>
      </c>
      <c r="AJ215" s="8">
        <v>162.22499999999999</v>
      </c>
      <c r="AK215" s="127">
        <v>12.664999999999999</v>
      </c>
      <c r="AL215" s="103">
        <v>3.9049999999999998</v>
      </c>
      <c r="AM215" s="8">
        <v>12.664999999999999</v>
      </c>
      <c r="AN215" s="21">
        <v>12.664999999999999</v>
      </c>
      <c r="AO215" s="21">
        <v>0</v>
      </c>
      <c r="AP215" s="21">
        <v>0</v>
      </c>
      <c r="AQ215" s="21">
        <v>0</v>
      </c>
      <c r="AR215" s="21">
        <v>0</v>
      </c>
      <c r="AS215" s="8">
        <v>16.57</v>
      </c>
      <c r="AT215" s="21">
        <v>0</v>
      </c>
      <c r="AU215" s="21">
        <v>16.57</v>
      </c>
      <c r="AV215" s="21">
        <v>0</v>
      </c>
      <c r="AW215" s="21">
        <v>0</v>
      </c>
      <c r="AX215" s="21">
        <v>0</v>
      </c>
      <c r="AY215" s="8">
        <v>0</v>
      </c>
    </row>
    <row r="216" spans="1:51" ht="15" customHeight="1" x14ac:dyDescent="0.25">
      <c r="A216" s="9">
        <v>744</v>
      </c>
      <c r="B216" s="13">
        <v>45738</v>
      </c>
      <c r="C216" s="9" t="s">
        <v>169</v>
      </c>
      <c r="D216" s="9">
        <v>9518624252</v>
      </c>
      <c r="E216" s="8">
        <v>8</v>
      </c>
      <c r="F216" s="9" t="s">
        <v>833</v>
      </c>
      <c r="G216" s="9" t="s">
        <v>576</v>
      </c>
      <c r="H216" s="9" t="s">
        <v>57</v>
      </c>
      <c r="I216" s="9" t="s">
        <v>48</v>
      </c>
      <c r="J216" s="9" t="s">
        <v>39</v>
      </c>
      <c r="K216" s="9">
        <v>1000</v>
      </c>
      <c r="L216" s="39"/>
      <c r="M216" s="7" t="s">
        <v>1</v>
      </c>
      <c r="N216" s="8"/>
      <c r="O216" s="40"/>
      <c r="P216" s="15" t="s">
        <v>220</v>
      </c>
      <c r="Q216" s="9" t="s">
        <v>264</v>
      </c>
      <c r="R216" s="9" t="s">
        <v>1568</v>
      </c>
      <c r="S216" s="9" t="s">
        <v>858</v>
      </c>
      <c r="T216" s="9">
        <v>941597</v>
      </c>
      <c r="U216" s="16" t="s">
        <v>106</v>
      </c>
      <c r="V216" s="9">
        <v>3902332</v>
      </c>
      <c r="W216" s="8" t="s">
        <v>353</v>
      </c>
      <c r="X216" s="8"/>
      <c r="Y216" s="8"/>
      <c r="Z216" s="8"/>
      <c r="AA216" s="8"/>
      <c r="AB216" s="8" t="s">
        <v>176</v>
      </c>
      <c r="AC216" s="8" t="s">
        <v>228</v>
      </c>
      <c r="AD216" s="14"/>
      <c r="AE216" s="8" t="s">
        <v>354</v>
      </c>
      <c r="AF216" s="14">
        <v>0.5</v>
      </c>
      <c r="AG216" s="8">
        <v>1220</v>
      </c>
      <c r="AH216" s="8">
        <v>0</v>
      </c>
      <c r="AI216" s="8">
        <v>28</v>
      </c>
      <c r="AJ216" s="8">
        <v>0</v>
      </c>
      <c r="AK216" s="127">
        <v>28</v>
      </c>
      <c r="AL216" s="103">
        <v>0</v>
      </c>
      <c r="AM216" s="8">
        <v>0</v>
      </c>
      <c r="AN216" s="21">
        <v>0</v>
      </c>
      <c r="AO216" s="21">
        <v>0</v>
      </c>
      <c r="AP216" s="21">
        <v>0</v>
      </c>
      <c r="AQ216" s="21">
        <v>0</v>
      </c>
      <c r="AR216" s="21">
        <v>0</v>
      </c>
      <c r="AS216" s="8">
        <v>0</v>
      </c>
      <c r="AT216" s="21">
        <v>0</v>
      </c>
      <c r="AU216" s="21">
        <v>0</v>
      </c>
      <c r="AV216" s="21">
        <v>0</v>
      </c>
      <c r="AW216" s="21">
        <v>0</v>
      </c>
      <c r="AX216" s="21">
        <v>0</v>
      </c>
      <c r="AY216" s="8">
        <v>0</v>
      </c>
    </row>
    <row r="217" spans="1:51" ht="15" customHeight="1" x14ac:dyDescent="0.25">
      <c r="A217" s="9">
        <v>744</v>
      </c>
      <c r="B217" s="13">
        <v>45738</v>
      </c>
      <c r="C217" s="9" t="s">
        <v>169</v>
      </c>
      <c r="D217" s="9">
        <v>9518624252</v>
      </c>
      <c r="E217" s="8">
        <v>7</v>
      </c>
      <c r="F217" s="9" t="s">
        <v>834</v>
      </c>
      <c r="G217" s="9" t="s">
        <v>576</v>
      </c>
      <c r="H217" s="9" t="s">
        <v>57</v>
      </c>
      <c r="I217" s="9" t="s">
        <v>48</v>
      </c>
      <c r="J217" s="9" t="s">
        <v>39</v>
      </c>
      <c r="K217" s="9">
        <v>1000</v>
      </c>
      <c r="L217" s="39"/>
      <c r="M217" s="7" t="s">
        <v>1</v>
      </c>
      <c r="N217" s="8"/>
      <c r="O217" s="40"/>
      <c r="P217" s="15" t="s">
        <v>220</v>
      </c>
      <c r="Q217" s="9" t="s">
        <v>264</v>
      </c>
      <c r="R217" s="9" t="s">
        <v>1568</v>
      </c>
      <c r="S217" s="9" t="s">
        <v>858</v>
      </c>
      <c r="T217" s="9">
        <v>941597</v>
      </c>
      <c r="U217" s="16" t="s">
        <v>106</v>
      </c>
      <c r="V217" s="9">
        <v>3902332</v>
      </c>
      <c r="W217" s="8" t="s">
        <v>353</v>
      </c>
      <c r="X217" s="8"/>
      <c r="Y217" s="8"/>
      <c r="Z217" s="8"/>
      <c r="AA217" s="8"/>
      <c r="AB217" s="8" t="s">
        <v>176</v>
      </c>
      <c r="AC217" s="8" t="s">
        <v>228</v>
      </c>
      <c r="AD217" s="14"/>
      <c r="AE217" s="8" t="s">
        <v>354</v>
      </c>
      <c r="AF217" s="14">
        <v>0.5</v>
      </c>
      <c r="AG217" s="8">
        <v>1220</v>
      </c>
      <c r="AH217" s="8">
        <v>0</v>
      </c>
      <c r="AI217" s="8">
        <v>28</v>
      </c>
      <c r="AJ217" s="8">
        <v>0</v>
      </c>
      <c r="AK217" s="127">
        <v>28</v>
      </c>
      <c r="AL217" s="103">
        <v>0</v>
      </c>
      <c r="AM217" s="8">
        <v>0</v>
      </c>
      <c r="AN217" s="21">
        <v>0</v>
      </c>
      <c r="AO217" s="21">
        <v>0</v>
      </c>
      <c r="AP217" s="21">
        <v>0</v>
      </c>
      <c r="AQ217" s="21">
        <v>0</v>
      </c>
      <c r="AR217" s="21">
        <v>0</v>
      </c>
      <c r="AS217" s="8">
        <v>0</v>
      </c>
      <c r="AT217" s="21">
        <v>0</v>
      </c>
      <c r="AU217" s="21">
        <v>0</v>
      </c>
      <c r="AV217" s="21">
        <v>0</v>
      </c>
      <c r="AW217" s="21">
        <v>0</v>
      </c>
      <c r="AX217" s="21">
        <v>0</v>
      </c>
      <c r="AY217" s="8">
        <v>0</v>
      </c>
    </row>
    <row r="218" spans="1:51" ht="15" customHeight="1" x14ac:dyDescent="0.25">
      <c r="A218" s="9">
        <v>744</v>
      </c>
      <c r="B218" s="13">
        <v>45738</v>
      </c>
      <c r="C218" s="9" t="s">
        <v>169</v>
      </c>
      <c r="D218" s="9">
        <v>9518624252</v>
      </c>
      <c r="E218" s="8">
        <v>4</v>
      </c>
      <c r="F218" s="9" t="s">
        <v>835</v>
      </c>
      <c r="G218" s="9" t="s">
        <v>576</v>
      </c>
      <c r="H218" s="9" t="s">
        <v>57</v>
      </c>
      <c r="I218" s="9" t="s">
        <v>48</v>
      </c>
      <c r="J218" s="9" t="s">
        <v>39</v>
      </c>
      <c r="K218" s="9">
        <v>1000</v>
      </c>
      <c r="L218" s="39"/>
      <c r="M218" s="7" t="s">
        <v>1</v>
      </c>
      <c r="N218" s="8"/>
      <c r="O218" s="40"/>
      <c r="P218" s="15" t="s">
        <v>220</v>
      </c>
      <c r="Q218" s="9" t="s">
        <v>264</v>
      </c>
      <c r="R218" s="9" t="s">
        <v>1568</v>
      </c>
      <c r="S218" s="9" t="s">
        <v>858</v>
      </c>
      <c r="T218" s="9">
        <v>941597</v>
      </c>
      <c r="U218" s="16" t="s">
        <v>106</v>
      </c>
      <c r="V218" s="9">
        <v>3902332</v>
      </c>
      <c r="W218" s="8" t="s">
        <v>353</v>
      </c>
      <c r="X218" s="8"/>
      <c r="Y218" s="8"/>
      <c r="Z218" s="8"/>
      <c r="AA218" s="8"/>
      <c r="AB218" s="8" t="s">
        <v>176</v>
      </c>
      <c r="AC218" s="8" t="s">
        <v>228</v>
      </c>
      <c r="AD218" s="14"/>
      <c r="AE218" s="8" t="s">
        <v>354</v>
      </c>
      <c r="AF218" s="14">
        <v>0.5</v>
      </c>
      <c r="AG218" s="8">
        <v>1220</v>
      </c>
      <c r="AH218" s="8">
        <v>0</v>
      </c>
      <c r="AI218" s="8">
        <v>56</v>
      </c>
      <c r="AJ218" s="8">
        <v>26.85</v>
      </c>
      <c r="AK218" s="127">
        <v>29.15</v>
      </c>
      <c r="AL218" s="103">
        <v>0</v>
      </c>
      <c r="AM218" s="8">
        <v>0</v>
      </c>
      <c r="AN218" s="21">
        <v>0</v>
      </c>
      <c r="AO218" s="21">
        <v>0</v>
      </c>
      <c r="AP218" s="21">
        <v>0</v>
      </c>
      <c r="AQ218" s="21">
        <v>0</v>
      </c>
      <c r="AR218" s="21">
        <v>0</v>
      </c>
      <c r="AS218" s="8">
        <v>0</v>
      </c>
      <c r="AT218" s="21">
        <v>0</v>
      </c>
      <c r="AU218" s="21">
        <v>0</v>
      </c>
      <c r="AV218" s="21">
        <v>0</v>
      </c>
      <c r="AW218" s="21">
        <v>0</v>
      </c>
      <c r="AX218" s="21">
        <v>0</v>
      </c>
      <c r="AY218" s="8">
        <v>0</v>
      </c>
    </row>
    <row r="219" spans="1:51" ht="15" customHeight="1" x14ac:dyDescent="0.25">
      <c r="A219" s="9">
        <v>744</v>
      </c>
      <c r="B219" s="13">
        <v>45738</v>
      </c>
      <c r="C219" s="9" t="s">
        <v>169</v>
      </c>
      <c r="D219" s="9">
        <v>9518624252</v>
      </c>
      <c r="E219" s="8">
        <v>2</v>
      </c>
      <c r="F219" s="9" t="s">
        <v>836</v>
      </c>
      <c r="G219" s="9" t="s">
        <v>576</v>
      </c>
      <c r="H219" s="9" t="s">
        <v>57</v>
      </c>
      <c r="I219" s="9" t="s">
        <v>48</v>
      </c>
      <c r="J219" s="9" t="s">
        <v>39</v>
      </c>
      <c r="K219" s="9">
        <v>1000</v>
      </c>
      <c r="L219" s="39"/>
      <c r="M219" s="7" t="s">
        <v>1</v>
      </c>
      <c r="N219" s="8"/>
      <c r="O219" s="40"/>
      <c r="P219" s="15" t="s">
        <v>220</v>
      </c>
      <c r="Q219" s="9" t="s">
        <v>264</v>
      </c>
      <c r="R219" s="9" t="s">
        <v>1568</v>
      </c>
      <c r="S219" s="9" t="s">
        <v>858</v>
      </c>
      <c r="T219" s="9">
        <v>941597</v>
      </c>
      <c r="U219" s="16" t="s">
        <v>106</v>
      </c>
      <c r="V219" s="9">
        <v>3902332</v>
      </c>
      <c r="W219" s="8" t="s">
        <v>353</v>
      </c>
      <c r="X219" s="8"/>
      <c r="Y219" s="8"/>
      <c r="Z219" s="8"/>
      <c r="AA219" s="8"/>
      <c r="AB219" s="8" t="s">
        <v>176</v>
      </c>
      <c r="AC219" s="8" t="s">
        <v>228</v>
      </c>
      <c r="AD219" s="14"/>
      <c r="AE219" s="8" t="s">
        <v>354</v>
      </c>
      <c r="AF219" s="14">
        <v>0.5</v>
      </c>
      <c r="AG219" s="8">
        <v>1220</v>
      </c>
      <c r="AH219" s="8">
        <v>0</v>
      </c>
      <c r="AI219" s="8">
        <v>112</v>
      </c>
      <c r="AJ219" s="8">
        <v>0</v>
      </c>
      <c r="AK219" s="127">
        <v>112</v>
      </c>
      <c r="AL219" s="103">
        <v>0</v>
      </c>
      <c r="AM219" s="8">
        <v>112</v>
      </c>
      <c r="AN219" s="21">
        <v>0</v>
      </c>
      <c r="AO219" s="21">
        <v>112</v>
      </c>
      <c r="AP219" s="21">
        <v>0</v>
      </c>
      <c r="AQ219" s="21">
        <v>0</v>
      </c>
      <c r="AR219" s="21">
        <v>0</v>
      </c>
      <c r="AS219" s="8">
        <v>112</v>
      </c>
      <c r="AT219" s="21">
        <v>0</v>
      </c>
      <c r="AU219" s="21">
        <v>112</v>
      </c>
      <c r="AV219" s="21">
        <v>0</v>
      </c>
      <c r="AW219" s="21">
        <v>0</v>
      </c>
      <c r="AX219" s="21">
        <v>0</v>
      </c>
      <c r="AY219" s="8">
        <v>0</v>
      </c>
    </row>
    <row r="220" spans="1:51" ht="15" customHeight="1" x14ac:dyDescent="0.25">
      <c r="A220" s="9">
        <v>744</v>
      </c>
      <c r="B220" s="13">
        <v>45738</v>
      </c>
      <c r="C220" s="9" t="s">
        <v>169</v>
      </c>
      <c r="D220" s="9">
        <v>9518624252</v>
      </c>
      <c r="E220" s="8">
        <v>1</v>
      </c>
      <c r="F220" s="9" t="s">
        <v>837</v>
      </c>
      <c r="G220" s="9" t="s">
        <v>576</v>
      </c>
      <c r="H220" s="9" t="s">
        <v>57</v>
      </c>
      <c r="I220" s="9" t="s">
        <v>48</v>
      </c>
      <c r="J220" s="9" t="s">
        <v>39</v>
      </c>
      <c r="K220" s="9">
        <v>1000</v>
      </c>
      <c r="L220" s="39"/>
      <c r="M220" s="7" t="s">
        <v>1</v>
      </c>
      <c r="N220" s="8"/>
      <c r="O220" s="40"/>
      <c r="P220" s="15" t="s">
        <v>220</v>
      </c>
      <c r="Q220" s="9" t="s">
        <v>264</v>
      </c>
      <c r="R220" s="9" t="s">
        <v>1568</v>
      </c>
      <c r="S220" s="9" t="s">
        <v>858</v>
      </c>
      <c r="T220" s="9">
        <v>941597</v>
      </c>
      <c r="U220" s="16" t="s">
        <v>106</v>
      </c>
      <c r="V220" s="9">
        <v>3902332</v>
      </c>
      <c r="W220" s="8" t="s">
        <v>353</v>
      </c>
      <c r="X220" s="8"/>
      <c r="Y220" s="8"/>
      <c r="Z220" s="8"/>
      <c r="AA220" s="8"/>
      <c r="AB220" s="8" t="s">
        <v>176</v>
      </c>
      <c r="AC220" s="8" t="s">
        <v>228</v>
      </c>
      <c r="AD220" s="14"/>
      <c r="AE220" s="8" t="s">
        <v>354</v>
      </c>
      <c r="AF220" s="14">
        <v>0.5</v>
      </c>
      <c r="AG220" s="8">
        <v>1220</v>
      </c>
      <c r="AH220" s="8">
        <v>0</v>
      </c>
      <c r="AI220" s="8">
        <v>196</v>
      </c>
      <c r="AJ220" s="8">
        <v>0</v>
      </c>
      <c r="AK220" s="127">
        <v>196</v>
      </c>
      <c r="AL220" s="103">
        <v>0</v>
      </c>
      <c r="AM220" s="8">
        <v>196</v>
      </c>
      <c r="AN220" s="21">
        <v>0</v>
      </c>
      <c r="AO220" s="21">
        <v>0</v>
      </c>
      <c r="AP220" s="21">
        <v>0</v>
      </c>
      <c r="AQ220" s="21">
        <v>0</v>
      </c>
      <c r="AR220" s="21">
        <v>196</v>
      </c>
      <c r="AS220" s="8">
        <v>0</v>
      </c>
      <c r="AT220" s="21">
        <v>0</v>
      </c>
      <c r="AU220" s="21">
        <v>0</v>
      </c>
      <c r="AV220" s="21">
        <v>0</v>
      </c>
      <c r="AW220" s="21">
        <v>0</v>
      </c>
      <c r="AX220" s="21">
        <v>0</v>
      </c>
      <c r="AY220" s="8">
        <v>196</v>
      </c>
    </row>
    <row r="221" spans="1:51" ht="15" customHeight="1" x14ac:dyDescent="0.25">
      <c r="A221" s="9">
        <v>743</v>
      </c>
      <c r="B221" s="13">
        <v>45742</v>
      </c>
      <c r="C221" s="9" t="s">
        <v>169</v>
      </c>
      <c r="D221" s="9">
        <v>9518635704</v>
      </c>
      <c r="E221" s="8">
        <v>1</v>
      </c>
      <c r="F221" s="9" t="s">
        <v>841</v>
      </c>
      <c r="G221" s="9" t="s">
        <v>576</v>
      </c>
      <c r="H221" s="9" t="s">
        <v>57</v>
      </c>
      <c r="I221" s="9" t="s">
        <v>38</v>
      </c>
      <c r="J221" s="9" t="s">
        <v>39</v>
      </c>
      <c r="K221" s="9">
        <v>1000</v>
      </c>
      <c r="L221" s="39"/>
      <c r="M221" s="7" t="s">
        <v>1</v>
      </c>
      <c r="N221" s="8"/>
      <c r="O221" s="40"/>
      <c r="P221" s="15" t="s">
        <v>245</v>
      </c>
      <c r="Q221" s="9" t="s">
        <v>264</v>
      </c>
      <c r="R221" s="9" t="s">
        <v>1581</v>
      </c>
      <c r="S221" s="9" t="s">
        <v>858</v>
      </c>
      <c r="T221" s="9">
        <v>942294</v>
      </c>
      <c r="U221" s="16" t="s">
        <v>106</v>
      </c>
      <c r="V221" s="9">
        <v>3239573</v>
      </c>
      <c r="W221" s="8" t="s">
        <v>429</v>
      </c>
      <c r="X221" s="8"/>
      <c r="Y221" s="8"/>
      <c r="Z221" s="8"/>
      <c r="AA221" s="8"/>
      <c r="AB221" s="8" t="s">
        <v>176</v>
      </c>
      <c r="AC221" s="8" t="s">
        <v>222</v>
      </c>
      <c r="AD221" s="14" t="s">
        <v>223</v>
      </c>
      <c r="AE221" s="8" t="s">
        <v>224</v>
      </c>
      <c r="AF221" s="14">
        <v>0.42</v>
      </c>
      <c r="AG221" s="8">
        <v>1220</v>
      </c>
      <c r="AH221" s="8">
        <v>0</v>
      </c>
      <c r="AI221" s="8">
        <v>28</v>
      </c>
      <c r="AJ221" s="8">
        <v>0</v>
      </c>
      <c r="AK221" s="127">
        <v>18.555</v>
      </c>
      <c r="AL221" s="103">
        <v>9.4450000000000003</v>
      </c>
      <c r="AM221" s="8">
        <v>18.555</v>
      </c>
      <c r="AN221" s="21">
        <v>18.555</v>
      </c>
      <c r="AO221" s="21">
        <v>0</v>
      </c>
      <c r="AP221" s="21">
        <v>0</v>
      </c>
      <c r="AQ221" s="21">
        <v>0</v>
      </c>
      <c r="AR221" s="21">
        <v>0</v>
      </c>
      <c r="AS221" s="8">
        <v>28</v>
      </c>
      <c r="AT221" s="21">
        <v>0</v>
      </c>
      <c r="AU221" s="21">
        <v>28</v>
      </c>
      <c r="AV221" s="21">
        <v>0</v>
      </c>
      <c r="AW221" s="21">
        <v>0</v>
      </c>
      <c r="AX221" s="21">
        <v>0</v>
      </c>
      <c r="AY221" s="8">
        <v>0</v>
      </c>
    </row>
    <row r="222" spans="1:51" ht="15" customHeight="1" x14ac:dyDescent="0.25">
      <c r="A222" s="9">
        <v>743</v>
      </c>
      <c r="B222" s="13">
        <v>45735</v>
      </c>
      <c r="C222" s="9" t="s">
        <v>169</v>
      </c>
      <c r="D222" s="9">
        <v>9518613800</v>
      </c>
      <c r="E222" s="8">
        <v>1</v>
      </c>
      <c r="F222" s="9" t="s">
        <v>842</v>
      </c>
      <c r="G222" s="9" t="s">
        <v>1687</v>
      </c>
      <c r="H222" s="9" t="s">
        <v>57</v>
      </c>
      <c r="I222" s="9" t="s">
        <v>38</v>
      </c>
      <c r="J222" s="9" t="s">
        <v>39</v>
      </c>
      <c r="K222" s="9">
        <v>1000</v>
      </c>
      <c r="L222" s="39"/>
      <c r="M222" s="7" t="s">
        <v>1</v>
      </c>
      <c r="N222" s="8"/>
      <c r="O222" s="40"/>
      <c r="P222" s="15" t="s">
        <v>220</v>
      </c>
      <c r="Q222" s="9" t="s">
        <v>264</v>
      </c>
      <c r="R222" s="9" t="s">
        <v>1568</v>
      </c>
      <c r="S222" s="9" t="s">
        <v>858</v>
      </c>
      <c r="T222" s="9">
        <v>942283</v>
      </c>
      <c r="U222" s="16" t="s">
        <v>106</v>
      </c>
      <c r="V222" s="9">
        <v>1882004</v>
      </c>
      <c r="W222" s="8" t="s">
        <v>427</v>
      </c>
      <c r="X222" s="8"/>
      <c r="Y222" s="8"/>
      <c r="Z222" s="8"/>
      <c r="AA222" s="8"/>
      <c r="AB222" s="8" t="s">
        <v>176</v>
      </c>
      <c r="AC222" s="8" t="s">
        <v>222</v>
      </c>
      <c r="AD222" s="14" t="s">
        <v>223</v>
      </c>
      <c r="AE222" s="8" t="s">
        <v>224</v>
      </c>
      <c r="AF222" s="14">
        <v>0.55000000000000004</v>
      </c>
      <c r="AG222" s="8">
        <v>1220</v>
      </c>
      <c r="AH222" s="8">
        <v>0</v>
      </c>
      <c r="AI222" s="8">
        <v>28</v>
      </c>
      <c r="AJ222" s="8">
        <v>0</v>
      </c>
      <c r="AK222" s="127">
        <v>0.62</v>
      </c>
      <c r="AL222" s="103">
        <v>27.380000000000003</v>
      </c>
      <c r="AM222" s="8">
        <v>0</v>
      </c>
      <c r="AN222" s="21">
        <v>0</v>
      </c>
      <c r="AO222" s="21">
        <v>0</v>
      </c>
      <c r="AP222" s="21">
        <v>0</v>
      </c>
      <c r="AQ222" s="21">
        <v>0</v>
      </c>
      <c r="AR222" s="21">
        <v>0</v>
      </c>
      <c r="AS222" s="8">
        <v>27.380000000000003</v>
      </c>
      <c r="AT222" s="21">
        <v>27.380000000000003</v>
      </c>
      <c r="AU222" s="21">
        <v>0</v>
      </c>
      <c r="AV222" s="21">
        <v>0</v>
      </c>
      <c r="AW222" s="21">
        <v>0</v>
      </c>
      <c r="AX222" s="21">
        <v>0</v>
      </c>
      <c r="AY222" s="8">
        <v>0</v>
      </c>
    </row>
    <row r="223" spans="1:51" ht="15" customHeight="1" x14ac:dyDescent="0.25">
      <c r="A223" s="9">
        <v>743</v>
      </c>
      <c r="B223" s="13">
        <v>45742</v>
      </c>
      <c r="C223" s="9" t="s">
        <v>169</v>
      </c>
      <c r="D223" s="9">
        <v>9518635704</v>
      </c>
      <c r="E223" s="8">
        <v>2</v>
      </c>
      <c r="F223" s="9" t="s">
        <v>843</v>
      </c>
      <c r="G223" s="9" t="s">
        <v>1687</v>
      </c>
      <c r="H223" s="9" t="s">
        <v>57</v>
      </c>
      <c r="I223" s="9" t="s">
        <v>38</v>
      </c>
      <c r="J223" s="9" t="s">
        <v>39</v>
      </c>
      <c r="K223" s="9">
        <v>1000</v>
      </c>
      <c r="L223" s="39"/>
      <c r="M223" s="7" t="s">
        <v>1</v>
      </c>
      <c r="N223" s="8"/>
      <c r="O223" s="40"/>
      <c r="P223" s="15" t="s">
        <v>245</v>
      </c>
      <c r="Q223" s="9" t="s">
        <v>264</v>
      </c>
      <c r="R223" s="9" t="s">
        <v>1581</v>
      </c>
      <c r="S223" s="9" t="s">
        <v>858</v>
      </c>
      <c r="T223" s="9">
        <v>942294</v>
      </c>
      <c r="U223" s="16" t="s">
        <v>106</v>
      </c>
      <c r="V223" s="9">
        <v>1881969</v>
      </c>
      <c r="W223" s="8" t="s">
        <v>428</v>
      </c>
      <c r="X223" s="8"/>
      <c r="Y223" s="8"/>
      <c r="Z223" s="8"/>
      <c r="AA223" s="8"/>
      <c r="AB223" s="8" t="s">
        <v>176</v>
      </c>
      <c r="AC223" s="8" t="s">
        <v>222</v>
      </c>
      <c r="AD223" s="14" t="s">
        <v>223</v>
      </c>
      <c r="AE223" s="8" t="s">
        <v>224</v>
      </c>
      <c r="AF223" s="14">
        <v>0.45</v>
      </c>
      <c r="AG223" s="8">
        <v>1220</v>
      </c>
      <c r="AH223" s="8">
        <v>0</v>
      </c>
      <c r="AI223" s="8">
        <v>56</v>
      </c>
      <c r="AJ223" s="8">
        <v>0</v>
      </c>
      <c r="AK223" s="127">
        <v>2.4</v>
      </c>
      <c r="AL223" s="103">
        <v>53.599999999999994</v>
      </c>
      <c r="AM223" s="8">
        <v>0</v>
      </c>
      <c r="AN223" s="21">
        <v>0</v>
      </c>
      <c r="AO223" s="21">
        <v>0</v>
      </c>
      <c r="AP223" s="21">
        <v>0</v>
      </c>
      <c r="AQ223" s="21">
        <v>0</v>
      </c>
      <c r="AR223" s="21">
        <v>0</v>
      </c>
      <c r="AS223" s="8">
        <v>53.599999999999994</v>
      </c>
      <c r="AT223" s="21">
        <v>53.599999999999994</v>
      </c>
      <c r="AU223" s="21">
        <v>0</v>
      </c>
      <c r="AV223" s="21">
        <v>0</v>
      </c>
      <c r="AW223" s="21">
        <v>0</v>
      </c>
      <c r="AX223" s="21">
        <v>0</v>
      </c>
      <c r="AY223" s="8">
        <v>0</v>
      </c>
    </row>
    <row r="224" spans="1:51" ht="15" customHeight="1" x14ac:dyDescent="0.25">
      <c r="A224" s="9">
        <v>743</v>
      </c>
      <c r="B224" s="13">
        <v>45736</v>
      </c>
      <c r="C224" s="9" t="s">
        <v>169</v>
      </c>
      <c r="D224" s="9">
        <v>9518617039</v>
      </c>
      <c r="E224" s="8">
        <v>1</v>
      </c>
      <c r="F224" s="9" t="s">
        <v>844</v>
      </c>
      <c r="G224" s="9" t="s">
        <v>1303</v>
      </c>
      <c r="H224" s="9" t="s">
        <v>57</v>
      </c>
      <c r="I224" s="9" t="s">
        <v>38</v>
      </c>
      <c r="J224" s="9" t="s">
        <v>39</v>
      </c>
      <c r="K224" s="9">
        <v>1000</v>
      </c>
      <c r="L224" s="39"/>
      <c r="M224" s="7" t="s">
        <v>1</v>
      </c>
      <c r="N224" s="8"/>
      <c r="O224" s="40"/>
      <c r="P224" s="15" t="s">
        <v>220</v>
      </c>
      <c r="Q224" s="9" t="s">
        <v>264</v>
      </c>
      <c r="R224" s="9" t="s">
        <v>1568</v>
      </c>
      <c r="S224" s="9" t="s">
        <v>858</v>
      </c>
      <c r="T224" s="9">
        <v>942283</v>
      </c>
      <c r="U224" s="16" t="s">
        <v>106</v>
      </c>
      <c r="V224" s="9">
        <v>1881969</v>
      </c>
      <c r="W224" s="8" t="s">
        <v>428</v>
      </c>
      <c r="X224" s="8"/>
      <c r="Y224" s="8"/>
      <c r="Z224" s="8"/>
      <c r="AA224" s="8"/>
      <c r="AB224" s="8" t="s">
        <v>176</v>
      </c>
      <c r="AC224" s="8" t="s">
        <v>222</v>
      </c>
      <c r="AD224" s="14" t="s">
        <v>223</v>
      </c>
      <c r="AE224" s="8" t="s">
        <v>224</v>
      </c>
      <c r="AF224" s="14">
        <v>0.45</v>
      </c>
      <c r="AG224" s="8">
        <v>1220</v>
      </c>
      <c r="AH224" s="8">
        <v>0</v>
      </c>
      <c r="AI224" s="8">
        <v>252</v>
      </c>
      <c r="AJ224" s="8">
        <v>0</v>
      </c>
      <c r="AK224" s="127">
        <v>252</v>
      </c>
      <c r="AL224" s="103">
        <v>0</v>
      </c>
      <c r="AM224" s="8">
        <v>252</v>
      </c>
      <c r="AN224" s="21">
        <v>0</v>
      </c>
      <c r="AO224" s="21">
        <v>0</v>
      </c>
      <c r="AP224" s="21">
        <v>252</v>
      </c>
      <c r="AQ224" s="21">
        <v>0</v>
      </c>
      <c r="AR224" s="21">
        <v>0</v>
      </c>
      <c r="AS224" s="8">
        <v>252</v>
      </c>
      <c r="AT224" s="21">
        <v>0</v>
      </c>
      <c r="AU224" s="21">
        <v>0</v>
      </c>
      <c r="AV224" s="21">
        <v>252</v>
      </c>
      <c r="AW224" s="21">
        <v>0</v>
      </c>
      <c r="AX224" s="21">
        <v>0</v>
      </c>
      <c r="AY224" s="8">
        <v>0</v>
      </c>
    </row>
    <row r="225" spans="1:51" ht="15" customHeight="1" x14ac:dyDescent="0.25">
      <c r="A225" s="9">
        <v>743</v>
      </c>
      <c r="B225" s="13">
        <v>45736</v>
      </c>
      <c r="C225" s="9" t="s">
        <v>169</v>
      </c>
      <c r="D225" s="9">
        <v>9518617039</v>
      </c>
      <c r="E225" s="8">
        <v>4</v>
      </c>
      <c r="F225" s="9" t="s">
        <v>845</v>
      </c>
      <c r="G225" s="9" t="s">
        <v>1687</v>
      </c>
      <c r="H225" s="9" t="s">
        <v>57</v>
      </c>
      <c r="I225" s="9" t="s">
        <v>38</v>
      </c>
      <c r="J225" s="9" t="s">
        <v>39</v>
      </c>
      <c r="K225" s="9">
        <v>1000</v>
      </c>
      <c r="L225" s="39"/>
      <c r="M225" s="7" t="s">
        <v>1</v>
      </c>
      <c r="N225" s="8"/>
      <c r="O225" s="40"/>
      <c r="P225" s="15" t="s">
        <v>220</v>
      </c>
      <c r="Q225" s="9" t="s">
        <v>264</v>
      </c>
      <c r="R225" s="9" t="s">
        <v>1568</v>
      </c>
      <c r="S225" s="9" t="s">
        <v>858</v>
      </c>
      <c r="T225" s="9">
        <v>942283</v>
      </c>
      <c r="U225" s="16" t="s">
        <v>106</v>
      </c>
      <c r="V225" s="9">
        <v>1882004</v>
      </c>
      <c r="W225" s="8" t="s">
        <v>427</v>
      </c>
      <c r="X225" s="8"/>
      <c r="Y225" s="8"/>
      <c r="Z225" s="8"/>
      <c r="AA225" s="8"/>
      <c r="AB225" s="8" t="s">
        <v>176</v>
      </c>
      <c r="AC225" s="8" t="s">
        <v>222</v>
      </c>
      <c r="AD225" s="14" t="s">
        <v>223</v>
      </c>
      <c r="AE225" s="8" t="s">
        <v>224</v>
      </c>
      <c r="AF225" s="14">
        <v>0.55000000000000004</v>
      </c>
      <c r="AG225" s="8">
        <v>1220</v>
      </c>
      <c r="AH225" s="8">
        <v>0</v>
      </c>
      <c r="AI225" s="8">
        <v>112</v>
      </c>
      <c r="AJ225" s="8">
        <v>0</v>
      </c>
      <c r="AK225" s="127">
        <v>3.36</v>
      </c>
      <c r="AL225" s="103">
        <v>71.67</v>
      </c>
      <c r="AM225" s="8">
        <v>0</v>
      </c>
      <c r="AN225" s="21">
        <v>0</v>
      </c>
      <c r="AO225" s="21">
        <v>0</v>
      </c>
      <c r="AP225" s="21">
        <v>0</v>
      </c>
      <c r="AQ225" s="21">
        <v>0</v>
      </c>
      <c r="AR225" s="21">
        <v>0</v>
      </c>
      <c r="AS225" s="8">
        <v>71.67</v>
      </c>
      <c r="AT225" s="21">
        <v>71.67</v>
      </c>
      <c r="AU225" s="21">
        <v>0</v>
      </c>
      <c r="AV225" s="21">
        <v>0</v>
      </c>
      <c r="AW225" s="21">
        <v>0</v>
      </c>
      <c r="AX225" s="21">
        <v>0</v>
      </c>
      <c r="AY225" s="8">
        <v>0</v>
      </c>
    </row>
    <row r="226" spans="1:51" ht="15" customHeight="1" x14ac:dyDescent="0.25">
      <c r="A226" s="9">
        <v>742</v>
      </c>
      <c r="B226" s="13">
        <v>45730</v>
      </c>
      <c r="C226" s="9" t="s">
        <v>193</v>
      </c>
      <c r="D226" s="9">
        <v>4000500995</v>
      </c>
      <c r="E226" s="8">
        <v>4</v>
      </c>
      <c r="F226" s="9" t="s">
        <v>846</v>
      </c>
      <c r="G226" s="9" t="s">
        <v>1687</v>
      </c>
      <c r="H226" s="9" t="s">
        <v>57</v>
      </c>
      <c r="I226" s="9" t="s">
        <v>50</v>
      </c>
      <c r="J226" s="9" t="s">
        <v>33</v>
      </c>
      <c r="K226" s="9">
        <v>2000</v>
      </c>
      <c r="L226" s="39"/>
      <c r="M226" s="7" t="s">
        <v>1</v>
      </c>
      <c r="N226" s="8"/>
      <c r="O226" s="40"/>
      <c r="P226" s="15" t="e">
        <v>#N/A</v>
      </c>
      <c r="Q226" s="9" t="s">
        <v>214</v>
      </c>
      <c r="R226" s="9" t="s">
        <v>240</v>
      </c>
      <c r="S226" s="9" t="s">
        <v>858</v>
      </c>
      <c r="T226" s="9">
        <v>600103</v>
      </c>
      <c r="U226" s="16" t="s">
        <v>102</v>
      </c>
      <c r="V226" s="9">
        <v>1250221</v>
      </c>
      <c r="W226" s="8" t="s">
        <v>313</v>
      </c>
      <c r="X226" s="8"/>
      <c r="Y226" s="8"/>
      <c r="Z226" s="8"/>
      <c r="AA226" s="8"/>
      <c r="AB226" s="8" t="s">
        <v>176</v>
      </c>
      <c r="AC226" s="8">
        <v>768</v>
      </c>
      <c r="AD226" s="14" t="s">
        <v>242</v>
      </c>
      <c r="AE226" s="8" t="s">
        <v>243</v>
      </c>
      <c r="AF226" s="14">
        <v>2.5</v>
      </c>
      <c r="AG226" s="8">
        <v>1250</v>
      </c>
      <c r="AH226" s="8">
        <v>0</v>
      </c>
      <c r="AI226" s="8">
        <v>200</v>
      </c>
      <c r="AJ226" s="8">
        <v>123.21</v>
      </c>
      <c r="AK226" s="127">
        <v>3.5649999999999999</v>
      </c>
      <c r="AL226" s="103">
        <v>48.864999999999995</v>
      </c>
      <c r="AM226" s="8">
        <v>0</v>
      </c>
      <c r="AN226" s="21">
        <v>0</v>
      </c>
      <c r="AO226" s="21">
        <v>0</v>
      </c>
      <c r="AP226" s="21">
        <v>0</v>
      </c>
      <c r="AQ226" s="21">
        <v>0</v>
      </c>
      <c r="AR226" s="21">
        <v>0</v>
      </c>
      <c r="AS226" s="8">
        <v>48.864999999999995</v>
      </c>
      <c r="AT226" s="21">
        <v>48.864999999999995</v>
      </c>
      <c r="AU226" s="21">
        <v>0</v>
      </c>
      <c r="AV226" s="21">
        <v>0</v>
      </c>
      <c r="AW226" s="21">
        <v>0</v>
      </c>
      <c r="AX226" s="21">
        <v>0</v>
      </c>
      <c r="AY226" s="8">
        <v>0</v>
      </c>
    </row>
    <row r="227" spans="1:51" ht="15" customHeight="1" x14ac:dyDescent="0.25">
      <c r="A227" s="9">
        <v>742</v>
      </c>
      <c r="B227" s="13">
        <v>45741</v>
      </c>
      <c r="C227" s="9" t="s">
        <v>169</v>
      </c>
      <c r="D227" s="9">
        <v>9518631417</v>
      </c>
      <c r="E227" s="8">
        <v>4</v>
      </c>
      <c r="F227" s="9" t="s">
        <v>847</v>
      </c>
      <c r="G227" s="9" t="s">
        <v>576</v>
      </c>
      <c r="H227" s="9" t="s">
        <v>57</v>
      </c>
      <c r="I227" s="9" t="s">
        <v>50</v>
      </c>
      <c r="J227" s="9" t="s">
        <v>26</v>
      </c>
      <c r="K227" s="9">
        <v>2000</v>
      </c>
      <c r="L227" s="39"/>
      <c r="M227" s="7" t="s">
        <v>1</v>
      </c>
      <c r="N227" s="8"/>
      <c r="O227" s="40"/>
      <c r="P227" s="15" t="s">
        <v>239</v>
      </c>
      <c r="Q227" s="9" t="s">
        <v>214</v>
      </c>
      <c r="R227" s="9" t="s">
        <v>1589</v>
      </c>
      <c r="S227" s="9" t="s">
        <v>858</v>
      </c>
      <c r="T227" s="9">
        <v>932179</v>
      </c>
      <c r="U227" s="16" t="s">
        <v>128</v>
      </c>
      <c r="V227" s="9">
        <v>1210086</v>
      </c>
      <c r="W227" s="8" t="s">
        <v>592</v>
      </c>
      <c r="X227" s="8"/>
      <c r="Y227" s="8"/>
      <c r="Z227" s="8"/>
      <c r="AA227" s="8"/>
      <c r="AB227" s="8" t="s">
        <v>176</v>
      </c>
      <c r="AC227" s="8">
        <v>768</v>
      </c>
      <c r="AD227" s="14" t="s">
        <v>242</v>
      </c>
      <c r="AE227" s="8" t="s">
        <v>243</v>
      </c>
      <c r="AF227" s="14">
        <v>4</v>
      </c>
      <c r="AG227" s="8">
        <v>1250</v>
      </c>
      <c r="AH227" s="8">
        <v>0</v>
      </c>
      <c r="AI227" s="8">
        <v>50</v>
      </c>
      <c r="AJ227" s="8">
        <v>0</v>
      </c>
      <c r="AK227" s="127">
        <v>50</v>
      </c>
      <c r="AL227" s="103">
        <v>0</v>
      </c>
      <c r="AM227" s="8">
        <v>50</v>
      </c>
      <c r="AN227" s="21">
        <v>0</v>
      </c>
      <c r="AO227" s="21">
        <v>50</v>
      </c>
      <c r="AP227" s="21">
        <v>0</v>
      </c>
      <c r="AQ227" s="21">
        <v>0</v>
      </c>
      <c r="AR227" s="21">
        <v>0</v>
      </c>
      <c r="AS227" s="8">
        <v>50</v>
      </c>
      <c r="AT227" s="21">
        <v>0</v>
      </c>
      <c r="AU227" s="21">
        <v>50</v>
      </c>
      <c r="AV227" s="21">
        <v>0</v>
      </c>
      <c r="AW227" s="21">
        <v>0</v>
      </c>
      <c r="AX227" s="21">
        <v>0</v>
      </c>
      <c r="AY227" s="8">
        <v>0</v>
      </c>
    </row>
    <row r="228" spans="1:51" ht="15" customHeight="1" x14ac:dyDescent="0.25">
      <c r="A228" s="9">
        <v>744</v>
      </c>
      <c r="B228" s="13">
        <v>45745</v>
      </c>
      <c r="C228" s="9" t="s">
        <v>169</v>
      </c>
      <c r="D228" s="9">
        <v>9518651680</v>
      </c>
      <c r="E228" s="8">
        <v>3</v>
      </c>
      <c r="F228" s="9" t="s">
        <v>1813</v>
      </c>
      <c r="G228" s="9" t="s">
        <v>1687</v>
      </c>
      <c r="H228" s="9" t="s">
        <v>57</v>
      </c>
      <c r="I228" s="9" t="s">
        <v>48</v>
      </c>
      <c r="J228" s="9" t="s">
        <v>39</v>
      </c>
      <c r="K228" s="9">
        <v>1000</v>
      </c>
      <c r="L228" s="39"/>
      <c r="M228" s="7" t="s">
        <v>1</v>
      </c>
      <c r="N228" s="8"/>
      <c r="O228" s="40"/>
      <c r="P228" s="15" t="s">
        <v>220</v>
      </c>
      <c r="Q228" s="9" t="s">
        <v>264</v>
      </c>
      <c r="R228" s="9" t="s">
        <v>225</v>
      </c>
      <c r="S228" s="9" t="s">
        <v>858</v>
      </c>
      <c r="T228" s="9">
        <v>940016</v>
      </c>
      <c r="U228" s="16" t="s">
        <v>133</v>
      </c>
      <c r="V228" s="9">
        <v>3900141</v>
      </c>
      <c r="W228" s="8" t="s">
        <v>646</v>
      </c>
      <c r="X228" s="8" t="s">
        <v>236</v>
      </c>
      <c r="Y228" s="8"/>
      <c r="Z228" s="8"/>
      <c r="AA228" s="8"/>
      <c r="AB228" s="8" t="s">
        <v>176</v>
      </c>
      <c r="AC228" s="8" t="s">
        <v>228</v>
      </c>
      <c r="AD228" s="14" t="s">
        <v>229</v>
      </c>
      <c r="AE228" s="8" t="s">
        <v>230</v>
      </c>
      <c r="AF228" s="14">
        <v>0.43</v>
      </c>
      <c r="AG228" s="8">
        <v>1220</v>
      </c>
      <c r="AH228" s="8">
        <v>0</v>
      </c>
      <c r="AI228" s="8">
        <v>28</v>
      </c>
      <c r="AJ228" s="8">
        <v>0</v>
      </c>
      <c r="AK228" s="127">
        <v>10.42</v>
      </c>
      <c r="AL228" s="103">
        <v>17.559999999999999</v>
      </c>
      <c r="AM228" s="8">
        <v>10.42</v>
      </c>
      <c r="AN228" s="21">
        <v>0</v>
      </c>
      <c r="AO228" s="21">
        <v>0</v>
      </c>
      <c r="AP228" s="21">
        <v>10.42</v>
      </c>
      <c r="AQ228" s="21">
        <v>0</v>
      </c>
      <c r="AR228" s="21">
        <v>0</v>
      </c>
      <c r="AS228" s="8">
        <v>27.979999999999997</v>
      </c>
      <c r="AT228" s="21">
        <v>0</v>
      </c>
      <c r="AU228" s="21">
        <v>0</v>
      </c>
      <c r="AV228" s="21">
        <v>0</v>
      </c>
      <c r="AW228" s="21">
        <v>27.979999999999997</v>
      </c>
      <c r="AX228" s="21">
        <v>0</v>
      </c>
      <c r="AY228" s="8">
        <v>0</v>
      </c>
    </row>
    <row r="229" spans="1:51" ht="15" customHeight="1" x14ac:dyDescent="0.25">
      <c r="A229" s="9">
        <v>744</v>
      </c>
      <c r="B229" s="13">
        <v>45729</v>
      </c>
      <c r="C229" s="9" t="s">
        <v>169</v>
      </c>
      <c r="D229" s="9">
        <v>9518598830</v>
      </c>
      <c r="E229" s="8">
        <v>1</v>
      </c>
      <c r="F229" s="9" t="s">
        <v>1814</v>
      </c>
      <c r="G229" s="9" t="s">
        <v>1687</v>
      </c>
      <c r="H229" s="9" t="s">
        <v>57</v>
      </c>
      <c r="I229" s="9" t="s">
        <v>48</v>
      </c>
      <c r="J229" s="9" t="s">
        <v>39</v>
      </c>
      <c r="K229" s="9">
        <v>1000</v>
      </c>
      <c r="L229" s="39"/>
      <c r="M229" s="7" t="s">
        <v>1</v>
      </c>
      <c r="N229" s="8"/>
      <c r="O229" s="40"/>
      <c r="P229" s="15" t="s">
        <v>220</v>
      </c>
      <c r="Q229" s="9" t="s">
        <v>264</v>
      </c>
      <c r="R229" s="9" t="s">
        <v>225</v>
      </c>
      <c r="S229" s="9" t="s">
        <v>858</v>
      </c>
      <c r="T229" s="9">
        <v>940016</v>
      </c>
      <c r="U229" s="16" t="s">
        <v>133</v>
      </c>
      <c r="V229" s="9">
        <v>3797658</v>
      </c>
      <c r="W229" s="8" t="s">
        <v>235</v>
      </c>
      <c r="X229" s="8" t="s">
        <v>236</v>
      </c>
      <c r="Y229" s="8"/>
      <c r="Z229" s="8"/>
      <c r="AA229" s="8"/>
      <c r="AB229" s="8" t="s">
        <v>176</v>
      </c>
      <c r="AC229" s="8" t="s">
        <v>228</v>
      </c>
      <c r="AD229" s="14" t="s">
        <v>229</v>
      </c>
      <c r="AE229" s="8" t="s">
        <v>230</v>
      </c>
      <c r="AF229" s="14">
        <v>0.4</v>
      </c>
      <c r="AG229" s="8">
        <v>1220</v>
      </c>
      <c r="AH229" s="8">
        <v>0</v>
      </c>
      <c r="AI229" s="8">
        <v>112</v>
      </c>
      <c r="AJ229" s="8">
        <v>71.814999999999998</v>
      </c>
      <c r="AK229" s="127">
        <v>33.984999999999999</v>
      </c>
      <c r="AL229" s="103">
        <v>2.6549999999999998</v>
      </c>
      <c r="AM229" s="8">
        <v>33.984999999999999</v>
      </c>
      <c r="AN229" s="21">
        <v>0</v>
      </c>
      <c r="AO229" s="21">
        <v>33.984999999999999</v>
      </c>
      <c r="AP229" s="21">
        <v>0</v>
      </c>
      <c r="AQ229" s="21">
        <v>0</v>
      </c>
      <c r="AR229" s="21">
        <v>0</v>
      </c>
      <c r="AS229" s="8">
        <v>36.64</v>
      </c>
      <c r="AT229" s="21">
        <v>0</v>
      </c>
      <c r="AU229" s="21">
        <v>0</v>
      </c>
      <c r="AV229" s="21">
        <v>36.64</v>
      </c>
      <c r="AW229" s="21">
        <v>0</v>
      </c>
      <c r="AX229" s="21">
        <v>0</v>
      </c>
      <c r="AY229" s="8">
        <v>0</v>
      </c>
    </row>
    <row r="230" spans="1:51" ht="15" customHeight="1" x14ac:dyDescent="0.25">
      <c r="A230" s="9">
        <v>744</v>
      </c>
      <c r="B230" s="13">
        <v>45745</v>
      </c>
      <c r="C230" s="9" t="s">
        <v>169</v>
      </c>
      <c r="D230" s="9">
        <v>9518652226</v>
      </c>
      <c r="E230" s="8">
        <v>1</v>
      </c>
      <c r="F230" s="9" t="s">
        <v>1815</v>
      </c>
      <c r="G230" s="9" t="s">
        <v>1687</v>
      </c>
      <c r="H230" s="9" t="s">
        <v>57</v>
      </c>
      <c r="I230" s="9" t="s">
        <v>48</v>
      </c>
      <c r="J230" s="9" t="s">
        <v>39</v>
      </c>
      <c r="K230" s="9">
        <v>1000</v>
      </c>
      <c r="L230" s="39"/>
      <c r="M230" s="7" t="s">
        <v>1</v>
      </c>
      <c r="N230" s="8"/>
      <c r="O230" s="40"/>
      <c r="P230" s="15" t="s">
        <v>220</v>
      </c>
      <c r="Q230" s="9" t="s">
        <v>264</v>
      </c>
      <c r="R230" s="9" t="s">
        <v>225</v>
      </c>
      <c r="S230" s="9" t="s">
        <v>858</v>
      </c>
      <c r="T230" s="9">
        <v>940016</v>
      </c>
      <c r="U230" s="16" t="s">
        <v>133</v>
      </c>
      <c r="V230" s="9">
        <v>3522241</v>
      </c>
      <c r="W230" s="8" t="s">
        <v>348</v>
      </c>
      <c r="X230" s="8" t="s">
        <v>349</v>
      </c>
      <c r="Y230" s="8"/>
      <c r="Z230" s="8"/>
      <c r="AA230" s="8"/>
      <c r="AB230" s="8" t="s">
        <v>176</v>
      </c>
      <c r="AC230" s="8" t="s">
        <v>228</v>
      </c>
      <c r="AD230" s="14" t="s">
        <v>229</v>
      </c>
      <c r="AE230" s="8" t="s">
        <v>232</v>
      </c>
      <c r="AF230" s="14">
        <v>0.43</v>
      </c>
      <c r="AG230" s="8">
        <v>1220</v>
      </c>
      <c r="AH230" s="8">
        <v>0</v>
      </c>
      <c r="AI230" s="8">
        <v>55.99</v>
      </c>
      <c r="AJ230" s="8">
        <v>54.505000000000003</v>
      </c>
      <c r="AK230" s="127">
        <v>-3.55</v>
      </c>
      <c r="AL230" s="103">
        <v>28.8</v>
      </c>
      <c r="AM230" s="8">
        <v>0</v>
      </c>
      <c r="AN230" s="21">
        <v>0</v>
      </c>
      <c r="AO230" s="21">
        <v>0</v>
      </c>
      <c r="AP230" s="21">
        <v>0</v>
      </c>
      <c r="AQ230" s="21">
        <v>0</v>
      </c>
      <c r="AR230" s="21">
        <v>0</v>
      </c>
      <c r="AS230" s="8">
        <v>28.8</v>
      </c>
      <c r="AT230" s="21">
        <v>28.8</v>
      </c>
      <c r="AU230" s="21">
        <v>0</v>
      </c>
      <c r="AV230" s="21">
        <v>0</v>
      </c>
      <c r="AW230" s="21">
        <v>0</v>
      </c>
      <c r="AX230" s="21">
        <v>0</v>
      </c>
      <c r="AY230" s="8">
        <v>0</v>
      </c>
    </row>
    <row r="231" spans="1:51" ht="15" customHeight="1" x14ac:dyDescent="0.25">
      <c r="A231" s="9">
        <v>744</v>
      </c>
      <c r="B231" s="13">
        <v>45742</v>
      </c>
      <c r="C231" s="9" t="s">
        <v>169</v>
      </c>
      <c r="D231" s="9">
        <v>9518635916</v>
      </c>
      <c r="E231" s="8">
        <v>2</v>
      </c>
      <c r="F231" s="9" t="s">
        <v>1816</v>
      </c>
      <c r="G231" s="9" t="s">
        <v>1687</v>
      </c>
      <c r="H231" s="9" t="s">
        <v>57</v>
      </c>
      <c r="I231" s="9" t="s">
        <v>48</v>
      </c>
      <c r="J231" s="9" t="s">
        <v>39</v>
      </c>
      <c r="K231" s="9">
        <v>1000</v>
      </c>
      <c r="L231" s="39"/>
      <c r="M231" s="7" t="s">
        <v>1</v>
      </c>
      <c r="N231" s="8"/>
      <c r="O231" s="40"/>
      <c r="P231" s="15" t="s">
        <v>220</v>
      </c>
      <c r="Q231" s="9" t="s">
        <v>264</v>
      </c>
      <c r="R231" s="9" t="s">
        <v>225</v>
      </c>
      <c r="S231" s="9" t="s">
        <v>858</v>
      </c>
      <c r="T231" s="9">
        <v>940016</v>
      </c>
      <c r="U231" s="16" t="s">
        <v>133</v>
      </c>
      <c r="V231" s="9">
        <v>3522241</v>
      </c>
      <c r="W231" s="8" t="s">
        <v>348</v>
      </c>
      <c r="X231" s="8" t="s">
        <v>349</v>
      </c>
      <c r="Y231" s="8"/>
      <c r="Z231" s="8"/>
      <c r="AA231" s="8"/>
      <c r="AB231" s="8" t="s">
        <v>176</v>
      </c>
      <c r="AC231" s="8" t="s">
        <v>228</v>
      </c>
      <c r="AD231" s="14" t="s">
        <v>229</v>
      </c>
      <c r="AE231" s="8" t="s">
        <v>232</v>
      </c>
      <c r="AF231" s="14">
        <v>0.43</v>
      </c>
      <c r="AG231" s="8">
        <v>1220</v>
      </c>
      <c r="AH231" s="8">
        <v>0</v>
      </c>
      <c r="AI231" s="8">
        <v>280</v>
      </c>
      <c r="AJ231" s="8">
        <v>204.54499999999999</v>
      </c>
      <c r="AK231" s="127">
        <v>60.405000000000001</v>
      </c>
      <c r="AL231" s="103">
        <v>7.5549999999999997</v>
      </c>
      <c r="AM231" s="8">
        <v>60.405000000000001</v>
      </c>
      <c r="AN231" s="21">
        <v>0</v>
      </c>
      <c r="AO231" s="21">
        <v>0</v>
      </c>
      <c r="AP231" s="21">
        <v>60.405000000000001</v>
      </c>
      <c r="AQ231" s="21">
        <v>0</v>
      </c>
      <c r="AR231" s="21">
        <v>0</v>
      </c>
      <c r="AS231" s="8">
        <v>67.960000000000008</v>
      </c>
      <c r="AT231" s="21">
        <v>0</v>
      </c>
      <c r="AU231" s="21">
        <v>0</v>
      </c>
      <c r="AV231" s="21">
        <v>0</v>
      </c>
      <c r="AW231" s="21">
        <v>67.960000000000008</v>
      </c>
      <c r="AX231" s="21">
        <v>0</v>
      </c>
      <c r="AY231" s="8">
        <v>0</v>
      </c>
    </row>
    <row r="232" spans="1:51" ht="15" customHeight="1" x14ac:dyDescent="0.25">
      <c r="A232" s="9">
        <v>744</v>
      </c>
      <c r="B232" s="13">
        <v>45745</v>
      </c>
      <c r="C232" s="9" t="s">
        <v>169</v>
      </c>
      <c r="D232" s="9">
        <v>9518651680</v>
      </c>
      <c r="E232" s="8">
        <v>4</v>
      </c>
      <c r="F232" s="9" t="s">
        <v>1817</v>
      </c>
      <c r="G232" s="9" t="s">
        <v>1303</v>
      </c>
      <c r="H232" s="9" t="s">
        <v>57</v>
      </c>
      <c r="I232" s="9" t="s">
        <v>48</v>
      </c>
      <c r="J232" s="9" t="s">
        <v>39</v>
      </c>
      <c r="K232" s="9">
        <v>1000</v>
      </c>
      <c r="L232" s="39"/>
      <c r="M232" s="7" t="s">
        <v>1</v>
      </c>
      <c r="N232" s="8"/>
      <c r="O232" s="40"/>
      <c r="P232" s="15" t="s">
        <v>220</v>
      </c>
      <c r="Q232" s="9" t="s">
        <v>264</v>
      </c>
      <c r="R232" s="9" t="s">
        <v>225</v>
      </c>
      <c r="S232" s="9" t="s">
        <v>858</v>
      </c>
      <c r="T232" s="9">
        <v>940016</v>
      </c>
      <c r="U232" s="16" t="s">
        <v>133</v>
      </c>
      <c r="V232" s="9">
        <v>3797658</v>
      </c>
      <c r="W232" s="8" t="s">
        <v>235</v>
      </c>
      <c r="X232" s="8" t="s">
        <v>236</v>
      </c>
      <c r="Y232" s="8"/>
      <c r="Z232" s="8"/>
      <c r="AA232" s="8"/>
      <c r="AB232" s="8" t="s">
        <v>176</v>
      </c>
      <c r="AC232" s="8" t="s">
        <v>228</v>
      </c>
      <c r="AD232" s="14" t="s">
        <v>229</v>
      </c>
      <c r="AE232" s="8" t="s">
        <v>230</v>
      </c>
      <c r="AF232" s="14">
        <v>0.4</v>
      </c>
      <c r="AG232" s="8">
        <v>1220</v>
      </c>
      <c r="AH232" s="8">
        <v>0</v>
      </c>
      <c r="AI232" s="8">
        <v>28</v>
      </c>
      <c r="AJ232" s="8">
        <v>0</v>
      </c>
      <c r="AK232" s="127">
        <v>28</v>
      </c>
      <c r="AL232" s="103">
        <v>0</v>
      </c>
      <c r="AM232" s="8">
        <v>28</v>
      </c>
      <c r="AN232" s="21">
        <v>0</v>
      </c>
      <c r="AO232" s="21">
        <v>0</v>
      </c>
      <c r="AP232" s="21">
        <v>28</v>
      </c>
      <c r="AQ232" s="21">
        <v>0</v>
      </c>
      <c r="AR232" s="21">
        <v>0</v>
      </c>
      <c r="AS232" s="8">
        <v>28</v>
      </c>
      <c r="AT232" s="21">
        <v>0</v>
      </c>
      <c r="AU232" s="21">
        <v>0</v>
      </c>
      <c r="AV232" s="21">
        <v>28</v>
      </c>
      <c r="AW232" s="21">
        <v>0</v>
      </c>
      <c r="AX232" s="21">
        <v>0</v>
      </c>
      <c r="AY232" s="8">
        <v>0</v>
      </c>
    </row>
    <row r="233" spans="1:51" ht="15" customHeight="1" x14ac:dyDescent="0.25">
      <c r="A233" s="9">
        <v>744</v>
      </c>
      <c r="B233" s="13">
        <v>45745</v>
      </c>
      <c r="C233" s="9" t="s">
        <v>169</v>
      </c>
      <c r="D233" s="9">
        <v>9518651680</v>
      </c>
      <c r="E233" s="8">
        <v>5</v>
      </c>
      <c r="F233" s="9" t="s">
        <v>1818</v>
      </c>
      <c r="G233" s="9" t="s">
        <v>1687</v>
      </c>
      <c r="H233" s="9" t="s">
        <v>57</v>
      </c>
      <c r="I233" s="9" t="s">
        <v>48</v>
      </c>
      <c r="J233" s="9" t="s">
        <v>39</v>
      </c>
      <c r="K233" s="9">
        <v>1000</v>
      </c>
      <c r="L233" s="39"/>
      <c r="M233" s="7" t="s">
        <v>1</v>
      </c>
      <c r="N233" s="8"/>
      <c r="O233" s="40"/>
      <c r="P233" s="15" t="s">
        <v>220</v>
      </c>
      <c r="Q233" s="9" t="s">
        <v>264</v>
      </c>
      <c r="R233" s="9" t="s">
        <v>225</v>
      </c>
      <c r="S233" s="9" t="s">
        <v>858</v>
      </c>
      <c r="T233" s="9">
        <v>940016</v>
      </c>
      <c r="U233" s="16" t="s">
        <v>133</v>
      </c>
      <c r="V233" s="9">
        <v>3879501</v>
      </c>
      <c r="W233" s="8" t="s">
        <v>621</v>
      </c>
      <c r="X233" s="8" t="s">
        <v>236</v>
      </c>
      <c r="Y233" s="8"/>
      <c r="Z233" s="8"/>
      <c r="AA233" s="8"/>
      <c r="AB233" s="8" t="s">
        <v>176</v>
      </c>
      <c r="AC233" s="8" t="s">
        <v>228</v>
      </c>
      <c r="AD233" s="14" t="s">
        <v>229</v>
      </c>
      <c r="AE233" s="8" t="s">
        <v>230</v>
      </c>
      <c r="AF233" s="14">
        <v>0.45</v>
      </c>
      <c r="AG233" s="8">
        <v>1220</v>
      </c>
      <c r="AH233" s="8">
        <v>0</v>
      </c>
      <c r="AI233" s="8">
        <v>84</v>
      </c>
      <c r="AJ233" s="8">
        <v>0</v>
      </c>
      <c r="AK233" s="127">
        <v>0.32500000000000001</v>
      </c>
      <c r="AL233" s="103">
        <v>8.1849999999999987</v>
      </c>
      <c r="AM233" s="8">
        <v>0</v>
      </c>
      <c r="AN233" s="21">
        <v>0</v>
      </c>
      <c r="AO233" s="21">
        <v>0</v>
      </c>
      <c r="AP233" s="21">
        <v>0</v>
      </c>
      <c r="AQ233" s="21">
        <v>0</v>
      </c>
      <c r="AR233" s="21">
        <v>0</v>
      </c>
      <c r="AS233" s="8">
        <v>8.1849999999999987</v>
      </c>
      <c r="AT233" s="21">
        <v>8.1849999999999987</v>
      </c>
      <c r="AU233" s="21">
        <v>0</v>
      </c>
      <c r="AV233" s="21">
        <v>0</v>
      </c>
      <c r="AW233" s="21">
        <v>0</v>
      </c>
      <c r="AX233" s="21">
        <v>0</v>
      </c>
      <c r="AY233" s="8">
        <v>0</v>
      </c>
    </row>
    <row r="234" spans="1:51" ht="15" customHeight="1" x14ac:dyDescent="0.25">
      <c r="A234" s="9">
        <v>744</v>
      </c>
      <c r="B234" s="13">
        <v>45742</v>
      </c>
      <c r="C234" s="9" t="s">
        <v>169</v>
      </c>
      <c r="D234" s="9">
        <v>9518635916</v>
      </c>
      <c r="E234" s="8">
        <v>4</v>
      </c>
      <c r="F234" s="9" t="s">
        <v>1819</v>
      </c>
      <c r="G234" s="9" t="s">
        <v>1687</v>
      </c>
      <c r="H234" s="9" t="s">
        <v>57</v>
      </c>
      <c r="I234" s="9" t="s">
        <v>48</v>
      </c>
      <c r="J234" s="9" t="s">
        <v>39</v>
      </c>
      <c r="K234" s="9">
        <v>1000</v>
      </c>
      <c r="L234" s="39"/>
      <c r="M234" s="7" t="s">
        <v>1</v>
      </c>
      <c r="N234" s="8"/>
      <c r="O234" s="40"/>
      <c r="P234" s="15" t="s">
        <v>220</v>
      </c>
      <c r="Q234" s="9" t="s">
        <v>264</v>
      </c>
      <c r="R234" s="9" t="s">
        <v>225</v>
      </c>
      <c r="S234" s="9" t="s">
        <v>858</v>
      </c>
      <c r="T234" s="9">
        <v>940016</v>
      </c>
      <c r="U234" s="16" t="s">
        <v>133</v>
      </c>
      <c r="V234" s="9">
        <v>3522241</v>
      </c>
      <c r="W234" s="8" t="s">
        <v>348</v>
      </c>
      <c r="X234" s="8" t="s">
        <v>349</v>
      </c>
      <c r="Y234" s="8"/>
      <c r="Z234" s="8"/>
      <c r="AA234" s="8"/>
      <c r="AB234" s="8" t="s">
        <v>176</v>
      </c>
      <c r="AC234" s="8" t="s">
        <v>228</v>
      </c>
      <c r="AD234" s="14" t="s">
        <v>229</v>
      </c>
      <c r="AE234" s="8" t="s">
        <v>232</v>
      </c>
      <c r="AF234" s="14">
        <v>0.43</v>
      </c>
      <c r="AG234" s="8">
        <v>1220</v>
      </c>
      <c r="AH234" s="8">
        <v>0</v>
      </c>
      <c r="AI234" s="8">
        <v>56</v>
      </c>
      <c r="AJ234" s="8">
        <v>27.02</v>
      </c>
      <c r="AK234" s="127">
        <v>10.28</v>
      </c>
      <c r="AL234" s="103">
        <v>14.484999999999999</v>
      </c>
      <c r="AM234" s="8">
        <v>0</v>
      </c>
      <c r="AN234" s="21">
        <v>0</v>
      </c>
      <c r="AO234" s="21">
        <v>0</v>
      </c>
      <c r="AP234" s="21">
        <v>0</v>
      </c>
      <c r="AQ234" s="21">
        <v>0</v>
      </c>
      <c r="AR234" s="21">
        <v>0</v>
      </c>
      <c r="AS234" s="8">
        <v>14.484999999999999</v>
      </c>
      <c r="AT234" s="21">
        <v>14.484999999999999</v>
      </c>
      <c r="AU234" s="21">
        <v>0</v>
      </c>
      <c r="AV234" s="21">
        <v>0</v>
      </c>
      <c r="AW234" s="21">
        <v>0</v>
      </c>
      <c r="AX234" s="21">
        <v>0</v>
      </c>
      <c r="AY234" s="8">
        <v>0</v>
      </c>
    </row>
    <row r="235" spans="1:51" ht="15" customHeight="1" x14ac:dyDescent="0.25">
      <c r="A235" s="9">
        <v>744</v>
      </c>
      <c r="B235" s="13">
        <v>45738</v>
      </c>
      <c r="C235" s="9" t="s">
        <v>169</v>
      </c>
      <c r="D235" s="9">
        <v>9518624252</v>
      </c>
      <c r="E235" s="8">
        <v>11</v>
      </c>
      <c r="F235" s="9" t="s">
        <v>1820</v>
      </c>
      <c r="G235" s="9" t="s">
        <v>1687</v>
      </c>
      <c r="H235" s="9" t="s">
        <v>57</v>
      </c>
      <c r="I235" s="9" t="s">
        <v>48</v>
      </c>
      <c r="J235" s="9" t="s">
        <v>39</v>
      </c>
      <c r="K235" s="9">
        <v>1000</v>
      </c>
      <c r="L235" s="39"/>
      <c r="M235" s="7" t="s">
        <v>1</v>
      </c>
      <c r="N235" s="8"/>
      <c r="O235" s="40"/>
      <c r="P235" s="15" t="s">
        <v>220</v>
      </c>
      <c r="Q235" s="9" t="s">
        <v>264</v>
      </c>
      <c r="R235" s="9" t="s">
        <v>1568</v>
      </c>
      <c r="S235" s="9" t="s">
        <v>858</v>
      </c>
      <c r="T235" s="9">
        <v>941597</v>
      </c>
      <c r="U235" s="16" t="s">
        <v>106</v>
      </c>
      <c r="V235" s="9">
        <v>3940122</v>
      </c>
      <c r="W235" s="8" t="s">
        <v>684</v>
      </c>
      <c r="X235" s="8" t="s">
        <v>317</v>
      </c>
      <c r="Y235" s="8"/>
      <c r="Z235" s="8"/>
      <c r="AA235" s="8"/>
      <c r="AB235" s="8" t="s">
        <v>176</v>
      </c>
      <c r="AC235" s="8" t="s">
        <v>228</v>
      </c>
      <c r="AD235" s="14" t="s">
        <v>229</v>
      </c>
      <c r="AE235" s="8" t="s">
        <v>354</v>
      </c>
      <c r="AF235" s="14">
        <v>0.47</v>
      </c>
      <c r="AG235" s="8">
        <v>1220</v>
      </c>
      <c r="AH235" s="8">
        <v>0</v>
      </c>
      <c r="AI235" s="8">
        <v>28</v>
      </c>
      <c r="AJ235" s="8">
        <v>0</v>
      </c>
      <c r="AK235" s="127">
        <v>2.27</v>
      </c>
      <c r="AL235" s="103">
        <v>2.76</v>
      </c>
      <c r="AM235" s="8">
        <v>0</v>
      </c>
      <c r="AN235" s="21">
        <v>0</v>
      </c>
      <c r="AO235" s="21">
        <v>0</v>
      </c>
      <c r="AP235" s="21">
        <v>0</v>
      </c>
      <c r="AQ235" s="21">
        <v>0</v>
      </c>
      <c r="AR235" s="21">
        <v>0</v>
      </c>
      <c r="AS235" s="8">
        <v>2.76</v>
      </c>
      <c r="AT235" s="21">
        <v>2.76</v>
      </c>
      <c r="AU235" s="21">
        <v>0</v>
      </c>
      <c r="AV235" s="21">
        <v>0</v>
      </c>
      <c r="AW235" s="21">
        <v>0</v>
      </c>
      <c r="AX235" s="21">
        <v>0</v>
      </c>
      <c r="AY235" s="8">
        <v>0</v>
      </c>
    </row>
    <row r="236" spans="1:51" ht="15" customHeight="1" x14ac:dyDescent="0.25">
      <c r="A236" s="9">
        <v>744</v>
      </c>
      <c r="B236" s="13">
        <v>45729</v>
      </c>
      <c r="C236" s="9" t="s">
        <v>169</v>
      </c>
      <c r="D236" s="9">
        <v>9518598962</v>
      </c>
      <c r="E236" s="8">
        <v>2</v>
      </c>
      <c r="F236" s="9" t="s">
        <v>1821</v>
      </c>
      <c r="G236" s="9" t="s">
        <v>576</v>
      </c>
      <c r="H236" s="9" t="s">
        <v>57</v>
      </c>
      <c r="I236" s="9" t="s">
        <v>48</v>
      </c>
      <c r="J236" s="9" t="s">
        <v>39</v>
      </c>
      <c r="K236" s="9">
        <v>1000</v>
      </c>
      <c r="L236" s="39"/>
      <c r="M236" s="7" t="s">
        <v>1</v>
      </c>
      <c r="N236" s="8"/>
      <c r="O236" s="40"/>
      <c r="P236" s="15" t="s">
        <v>220</v>
      </c>
      <c r="Q236" s="9" t="s">
        <v>264</v>
      </c>
      <c r="R236" s="9" t="s">
        <v>1568</v>
      </c>
      <c r="S236" s="9" t="s">
        <v>858</v>
      </c>
      <c r="T236" s="9">
        <v>941597</v>
      </c>
      <c r="U236" s="16" t="s">
        <v>106</v>
      </c>
      <c r="V236" s="9">
        <v>3902332</v>
      </c>
      <c r="W236" s="8" t="s">
        <v>353</v>
      </c>
      <c r="X236" s="8" t="s">
        <v>317</v>
      </c>
      <c r="Y236" s="8"/>
      <c r="Z236" s="8"/>
      <c r="AA236" s="8"/>
      <c r="AB236" s="8" t="s">
        <v>176</v>
      </c>
      <c r="AC236" s="8" t="s">
        <v>228</v>
      </c>
      <c r="AD236" s="14" t="s">
        <v>229</v>
      </c>
      <c r="AE236" s="8" t="s">
        <v>354</v>
      </c>
      <c r="AF236" s="14">
        <v>0.5</v>
      </c>
      <c r="AG236" s="8">
        <v>1220</v>
      </c>
      <c r="AH236" s="8">
        <v>0</v>
      </c>
      <c r="AI236" s="8">
        <v>84</v>
      </c>
      <c r="AJ236" s="8">
        <v>0</v>
      </c>
      <c r="AK236" s="127">
        <v>84</v>
      </c>
      <c r="AL236" s="103">
        <v>0</v>
      </c>
      <c r="AM236" s="8">
        <v>0</v>
      </c>
      <c r="AN236" s="21">
        <v>0</v>
      </c>
      <c r="AO236" s="21">
        <v>0</v>
      </c>
      <c r="AP236" s="21">
        <v>0</v>
      </c>
      <c r="AQ236" s="21">
        <v>0</v>
      </c>
      <c r="AR236" s="21">
        <v>0</v>
      </c>
      <c r="AS236" s="8">
        <v>0</v>
      </c>
      <c r="AT236" s="21">
        <v>0</v>
      </c>
      <c r="AU236" s="21">
        <v>0</v>
      </c>
      <c r="AV236" s="21">
        <v>0</v>
      </c>
      <c r="AW236" s="21">
        <v>0</v>
      </c>
      <c r="AX236" s="21">
        <v>0</v>
      </c>
      <c r="AY236" s="8">
        <v>0</v>
      </c>
    </row>
    <row r="237" spans="1:51" ht="15" customHeight="1" x14ac:dyDescent="0.25">
      <c r="A237" s="9">
        <v>744</v>
      </c>
      <c r="B237" s="13">
        <v>45745</v>
      </c>
      <c r="C237" s="9" t="s">
        <v>169</v>
      </c>
      <c r="D237" s="9">
        <v>9518651680</v>
      </c>
      <c r="E237" s="8">
        <v>7</v>
      </c>
      <c r="F237" s="9" t="s">
        <v>1822</v>
      </c>
      <c r="G237" s="9" t="s">
        <v>576</v>
      </c>
      <c r="H237" s="9" t="s">
        <v>57</v>
      </c>
      <c r="I237" s="9" t="s">
        <v>48</v>
      </c>
      <c r="J237" s="9" t="s">
        <v>39</v>
      </c>
      <c r="K237" s="9">
        <v>1000</v>
      </c>
      <c r="L237" s="39"/>
      <c r="M237" s="7" t="s">
        <v>1</v>
      </c>
      <c r="N237" s="8"/>
      <c r="O237" s="40"/>
      <c r="P237" s="15" t="s">
        <v>220</v>
      </c>
      <c r="Q237" s="9" t="s">
        <v>264</v>
      </c>
      <c r="R237" s="9" t="s">
        <v>225</v>
      </c>
      <c r="S237" s="9" t="s">
        <v>858</v>
      </c>
      <c r="T237" s="9">
        <v>940016</v>
      </c>
      <c r="U237" s="16" t="s">
        <v>133</v>
      </c>
      <c r="V237" s="9">
        <v>3879501</v>
      </c>
      <c r="W237" s="8" t="s">
        <v>621</v>
      </c>
      <c r="X237" s="8" t="s">
        <v>236</v>
      </c>
      <c r="Y237" s="8"/>
      <c r="Z237" s="8"/>
      <c r="AA237" s="8"/>
      <c r="AB237" s="8" t="s">
        <v>176</v>
      </c>
      <c r="AC237" s="8" t="s">
        <v>228</v>
      </c>
      <c r="AD237" s="14" t="s">
        <v>229</v>
      </c>
      <c r="AE237" s="8" t="s">
        <v>230</v>
      </c>
      <c r="AF237" s="14">
        <v>0.45</v>
      </c>
      <c r="AG237" s="8">
        <v>1220</v>
      </c>
      <c r="AH237" s="8">
        <v>0</v>
      </c>
      <c r="AI237" s="8">
        <v>28</v>
      </c>
      <c r="AJ237" s="8">
        <v>0</v>
      </c>
      <c r="AK237" s="127">
        <v>28</v>
      </c>
      <c r="AL237" s="103">
        <v>0</v>
      </c>
      <c r="AM237" s="8">
        <v>28</v>
      </c>
      <c r="AN237" s="21">
        <v>0</v>
      </c>
      <c r="AO237" s="21">
        <v>0</v>
      </c>
      <c r="AP237" s="21">
        <v>28</v>
      </c>
      <c r="AQ237" s="21">
        <v>0</v>
      </c>
      <c r="AR237" s="21">
        <v>0</v>
      </c>
      <c r="AS237" s="8">
        <v>28</v>
      </c>
      <c r="AT237" s="21">
        <v>0</v>
      </c>
      <c r="AU237" s="21">
        <v>0</v>
      </c>
      <c r="AV237" s="21">
        <v>0</v>
      </c>
      <c r="AW237" s="21">
        <v>28</v>
      </c>
      <c r="AX237" s="21">
        <v>0</v>
      </c>
      <c r="AY237" s="8">
        <v>0</v>
      </c>
    </row>
    <row r="238" spans="1:51" ht="15" customHeight="1" x14ac:dyDescent="0.25">
      <c r="A238" s="9">
        <v>744</v>
      </c>
      <c r="B238" s="13">
        <v>45738</v>
      </c>
      <c r="C238" s="9" t="s">
        <v>169</v>
      </c>
      <c r="D238" s="9">
        <v>9518624252</v>
      </c>
      <c r="E238" s="8">
        <v>13</v>
      </c>
      <c r="F238" s="9" t="s">
        <v>1823</v>
      </c>
      <c r="G238" s="9" t="s">
        <v>576</v>
      </c>
      <c r="H238" s="9" t="s">
        <v>57</v>
      </c>
      <c r="I238" s="9" t="s">
        <v>48</v>
      </c>
      <c r="J238" s="9" t="s">
        <v>39</v>
      </c>
      <c r="K238" s="9">
        <v>1000</v>
      </c>
      <c r="L238" s="39"/>
      <c r="M238" s="7" t="s">
        <v>1</v>
      </c>
      <c r="N238" s="8"/>
      <c r="O238" s="40"/>
      <c r="P238" s="15" t="s">
        <v>220</v>
      </c>
      <c r="Q238" s="9" t="s">
        <v>264</v>
      </c>
      <c r="R238" s="9" t="s">
        <v>1568</v>
      </c>
      <c r="S238" s="9" t="s">
        <v>858</v>
      </c>
      <c r="T238" s="9">
        <v>941597</v>
      </c>
      <c r="U238" s="16" t="s">
        <v>106</v>
      </c>
      <c r="V238" s="9">
        <v>3940122</v>
      </c>
      <c r="W238" s="8" t="s">
        <v>684</v>
      </c>
      <c r="X238" s="8" t="s">
        <v>317</v>
      </c>
      <c r="Y238" s="8"/>
      <c r="Z238" s="8"/>
      <c r="AA238" s="8"/>
      <c r="AB238" s="8" t="s">
        <v>176</v>
      </c>
      <c r="AC238" s="8" t="s">
        <v>228</v>
      </c>
      <c r="AD238" s="14" t="s">
        <v>229</v>
      </c>
      <c r="AE238" s="8" t="s">
        <v>354</v>
      </c>
      <c r="AF238" s="14">
        <v>0.47</v>
      </c>
      <c r="AG238" s="8">
        <v>1220</v>
      </c>
      <c r="AH238" s="8">
        <v>0</v>
      </c>
      <c r="AI238" s="8">
        <v>28</v>
      </c>
      <c r="AJ238" s="8">
        <v>0</v>
      </c>
      <c r="AK238" s="127">
        <v>28</v>
      </c>
      <c r="AL238" s="103">
        <v>0</v>
      </c>
      <c r="AM238" s="8">
        <v>0</v>
      </c>
      <c r="AN238" s="21">
        <v>0</v>
      </c>
      <c r="AO238" s="21">
        <v>0</v>
      </c>
      <c r="AP238" s="21">
        <v>0</v>
      </c>
      <c r="AQ238" s="21">
        <v>0</v>
      </c>
      <c r="AR238" s="21">
        <v>0</v>
      </c>
      <c r="AS238" s="8">
        <v>0</v>
      </c>
      <c r="AT238" s="21">
        <v>0</v>
      </c>
      <c r="AU238" s="21">
        <v>0</v>
      </c>
      <c r="AV238" s="21">
        <v>0</v>
      </c>
      <c r="AW238" s="21">
        <v>0</v>
      </c>
      <c r="AX238" s="21">
        <v>0</v>
      </c>
      <c r="AY238" s="8">
        <v>0</v>
      </c>
    </row>
    <row r="239" spans="1:51" ht="15" customHeight="1" x14ac:dyDescent="0.25">
      <c r="A239" s="9">
        <v>744</v>
      </c>
      <c r="B239" s="13">
        <v>45724</v>
      </c>
      <c r="C239" s="9" t="s">
        <v>169</v>
      </c>
      <c r="D239" s="9" t="s">
        <v>1824</v>
      </c>
      <c r="E239" s="8" t="s">
        <v>1759</v>
      </c>
      <c r="F239" s="9" t="s">
        <v>848</v>
      </c>
      <c r="G239" s="9" t="s">
        <v>576</v>
      </c>
      <c r="H239" s="9" t="s">
        <v>57</v>
      </c>
      <c r="I239" s="9" t="s">
        <v>48</v>
      </c>
      <c r="J239" s="9" t="s">
        <v>39</v>
      </c>
      <c r="K239" s="9">
        <v>1000</v>
      </c>
      <c r="L239" s="39"/>
      <c r="M239" s="7" t="s">
        <v>1</v>
      </c>
      <c r="N239" s="8"/>
      <c r="O239" s="40"/>
      <c r="P239" s="15" t="s">
        <v>245</v>
      </c>
      <c r="Q239" s="9" t="s">
        <v>264</v>
      </c>
      <c r="R239" s="9" t="s">
        <v>1590</v>
      </c>
      <c r="S239" s="9" t="s">
        <v>858</v>
      </c>
      <c r="T239" s="9">
        <v>940074</v>
      </c>
      <c r="U239" s="16" t="s">
        <v>133</v>
      </c>
      <c r="V239" s="9">
        <v>3960056</v>
      </c>
      <c r="W239" s="8" t="s">
        <v>860</v>
      </c>
      <c r="X239" s="8"/>
      <c r="Y239" s="8"/>
      <c r="Z239" s="8"/>
      <c r="AA239" s="8"/>
      <c r="AB239" s="8" t="s">
        <v>176</v>
      </c>
      <c r="AC239" s="8" t="s">
        <v>228</v>
      </c>
      <c r="AD239" s="14"/>
      <c r="AE239" s="8" t="s">
        <v>614</v>
      </c>
      <c r="AF239" s="14">
        <v>0.53</v>
      </c>
      <c r="AG239" s="8">
        <v>1220</v>
      </c>
      <c r="AH239" s="8">
        <v>0</v>
      </c>
      <c r="AI239" s="8">
        <v>224</v>
      </c>
      <c r="AJ239" s="8">
        <v>0</v>
      </c>
      <c r="AK239" s="127">
        <v>87.52</v>
      </c>
      <c r="AL239" s="103">
        <v>136.47999999999999</v>
      </c>
      <c r="AM239" s="8">
        <v>87.52</v>
      </c>
      <c r="AN239" s="21">
        <v>87.52</v>
      </c>
      <c r="AO239" s="21">
        <v>0</v>
      </c>
      <c r="AP239" s="21">
        <v>0</v>
      </c>
      <c r="AQ239" s="21">
        <v>0</v>
      </c>
      <c r="AR239" s="21">
        <v>0</v>
      </c>
      <c r="AS239" s="8">
        <v>224</v>
      </c>
      <c r="AT239" s="21">
        <v>0</v>
      </c>
      <c r="AU239" s="21">
        <v>224</v>
      </c>
      <c r="AV239" s="21">
        <v>0</v>
      </c>
      <c r="AW239" s="21">
        <v>0</v>
      </c>
      <c r="AX239" s="21">
        <v>0</v>
      </c>
      <c r="AY239" s="8">
        <v>0</v>
      </c>
    </row>
    <row r="240" spans="1:51" ht="15" customHeight="1" x14ac:dyDescent="0.25">
      <c r="A240" s="9">
        <v>744</v>
      </c>
      <c r="B240" s="13">
        <v>45724</v>
      </c>
      <c r="C240" s="9" t="s">
        <v>169</v>
      </c>
      <c r="D240" s="9" t="s">
        <v>1824</v>
      </c>
      <c r="E240" s="8" t="s">
        <v>1825</v>
      </c>
      <c r="F240" s="9" t="s">
        <v>849</v>
      </c>
      <c r="G240" s="9" t="s">
        <v>576</v>
      </c>
      <c r="H240" s="9" t="s">
        <v>57</v>
      </c>
      <c r="I240" s="9" t="s">
        <v>48</v>
      </c>
      <c r="J240" s="9" t="s">
        <v>39</v>
      </c>
      <c r="K240" s="9">
        <v>1000</v>
      </c>
      <c r="L240" s="39"/>
      <c r="M240" s="7" t="s">
        <v>1</v>
      </c>
      <c r="N240" s="8"/>
      <c r="O240" s="40"/>
      <c r="P240" s="15" t="s">
        <v>245</v>
      </c>
      <c r="Q240" s="9" t="s">
        <v>264</v>
      </c>
      <c r="R240" s="9" t="s">
        <v>1590</v>
      </c>
      <c r="S240" s="9" t="s">
        <v>858</v>
      </c>
      <c r="T240" s="9">
        <v>940074</v>
      </c>
      <c r="U240" s="16" t="s">
        <v>133</v>
      </c>
      <c r="V240" s="9">
        <v>3960056</v>
      </c>
      <c r="W240" s="8" t="s">
        <v>860</v>
      </c>
      <c r="X240" s="8"/>
      <c r="Y240" s="8"/>
      <c r="Z240" s="8"/>
      <c r="AA240" s="8"/>
      <c r="AB240" s="8" t="s">
        <v>176</v>
      </c>
      <c r="AC240" s="8" t="s">
        <v>228</v>
      </c>
      <c r="AD240" s="14"/>
      <c r="AE240" s="8" t="s">
        <v>614</v>
      </c>
      <c r="AF240" s="14">
        <v>0.53</v>
      </c>
      <c r="AG240" s="8">
        <v>1220</v>
      </c>
      <c r="AH240" s="8">
        <v>0</v>
      </c>
      <c r="AI240" s="8">
        <v>84</v>
      </c>
      <c r="AJ240" s="8">
        <v>0</v>
      </c>
      <c r="AK240" s="127">
        <v>49.41</v>
      </c>
      <c r="AL240" s="103">
        <v>34.58</v>
      </c>
      <c r="AM240" s="8">
        <v>49.41</v>
      </c>
      <c r="AN240" s="21">
        <v>49.41</v>
      </c>
      <c r="AO240" s="21">
        <v>0</v>
      </c>
      <c r="AP240" s="21">
        <v>0</v>
      </c>
      <c r="AQ240" s="21">
        <v>0</v>
      </c>
      <c r="AR240" s="21">
        <v>0</v>
      </c>
      <c r="AS240" s="8">
        <v>83.99</v>
      </c>
      <c r="AT240" s="21">
        <v>0</v>
      </c>
      <c r="AU240" s="21">
        <v>83.99</v>
      </c>
      <c r="AV240" s="21">
        <v>0</v>
      </c>
      <c r="AW240" s="21">
        <v>0</v>
      </c>
      <c r="AX240" s="21">
        <v>0</v>
      </c>
      <c r="AY240" s="8">
        <v>0</v>
      </c>
    </row>
    <row r="241" spans="1:51" ht="15" customHeight="1" x14ac:dyDescent="0.25">
      <c r="A241" s="9">
        <v>744</v>
      </c>
      <c r="B241" s="13">
        <v>45737</v>
      </c>
      <c r="C241" s="9" t="s">
        <v>169</v>
      </c>
      <c r="D241" s="9" t="s">
        <v>1826</v>
      </c>
      <c r="E241" s="8" t="s">
        <v>1759</v>
      </c>
      <c r="F241" s="9" t="s">
        <v>850</v>
      </c>
      <c r="G241" s="9" t="s">
        <v>1687</v>
      </c>
      <c r="H241" s="9" t="s">
        <v>57</v>
      </c>
      <c r="I241" s="9" t="s">
        <v>48</v>
      </c>
      <c r="J241" s="9" t="s">
        <v>39</v>
      </c>
      <c r="K241" s="9">
        <v>1000</v>
      </c>
      <c r="L241" s="39"/>
      <c r="M241" s="7" t="s">
        <v>1</v>
      </c>
      <c r="N241" s="8"/>
      <c r="O241" s="40"/>
      <c r="P241" s="15" t="s">
        <v>220</v>
      </c>
      <c r="Q241" s="9" t="s">
        <v>264</v>
      </c>
      <c r="R241" s="9" t="s">
        <v>225</v>
      </c>
      <c r="S241" s="9" t="s">
        <v>858</v>
      </c>
      <c r="T241" s="9">
        <v>940016</v>
      </c>
      <c r="U241" s="16" t="s">
        <v>133</v>
      </c>
      <c r="V241" s="9">
        <v>3960056</v>
      </c>
      <c r="W241" s="8" t="s">
        <v>612</v>
      </c>
      <c r="X241" s="8"/>
      <c r="Y241" s="8"/>
      <c r="Z241" s="8"/>
      <c r="AA241" s="8"/>
      <c r="AB241" s="8" t="s">
        <v>176</v>
      </c>
      <c r="AC241" s="8" t="s">
        <v>228</v>
      </c>
      <c r="AD241" s="14"/>
      <c r="AE241" s="8" t="s">
        <v>614</v>
      </c>
      <c r="AF241" s="14">
        <v>0.53</v>
      </c>
      <c r="AG241" s="8">
        <v>1220</v>
      </c>
      <c r="AH241" s="8">
        <v>0</v>
      </c>
      <c r="AI241" s="8">
        <v>56</v>
      </c>
      <c r="AJ241" s="8">
        <v>0</v>
      </c>
      <c r="AK241" s="127">
        <v>27.024999999999999</v>
      </c>
      <c r="AL241" s="103">
        <v>28.975000000000001</v>
      </c>
      <c r="AM241" s="8">
        <v>27.024999999999999</v>
      </c>
      <c r="AN241" s="21">
        <v>27.024999999999999</v>
      </c>
      <c r="AO241" s="21">
        <v>0</v>
      </c>
      <c r="AP241" s="21">
        <v>0</v>
      </c>
      <c r="AQ241" s="21">
        <v>0</v>
      </c>
      <c r="AR241" s="21">
        <v>0</v>
      </c>
      <c r="AS241" s="8">
        <v>56</v>
      </c>
      <c r="AT241" s="21">
        <v>0</v>
      </c>
      <c r="AU241" s="21">
        <v>56</v>
      </c>
      <c r="AV241" s="21">
        <v>0</v>
      </c>
      <c r="AW241" s="21">
        <v>0</v>
      </c>
      <c r="AX241" s="21">
        <v>0</v>
      </c>
      <c r="AY241" s="8">
        <v>0</v>
      </c>
    </row>
    <row r="242" spans="1:51" ht="15" customHeight="1" x14ac:dyDescent="0.25">
      <c r="A242" s="9">
        <v>744</v>
      </c>
      <c r="B242" s="13">
        <v>45745</v>
      </c>
      <c r="C242" s="9" t="s">
        <v>169</v>
      </c>
      <c r="D242" s="101" t="s">
        <v>1827</v>
      </c>
      <c r="E242" s="102" t="s">
        <v>1828</v>
      </c>
      <c r="F242" s="101" t="s">
        <v>851</v>
      </c>
      <c r="G242" s="9" t="s">
        <v>1303</v>
      </c>
      <c r="H242" s="9" t="s">
        <v>57</v>
      </c>
      <c r="I242" s="9" t="s">
        <v>48</v>
      </c>
      <c r="J242" s="9" t="s">
        <v>39</v>
      </c>
      <c r="K242" s="9">
        <v>1000</v>
      </c>
      <c r="L242" s="39"/>
      <c r="M242" s="7" t="s">
        <v>1</v>
      </c>
      <c r="N242" s="8"/>
      <c r="O242" s="40"/>
      <c r="P242" s="15" t="s">
        <v>187</v>
      </c>
      <c r="Q242" s="9" t="s">
        <v>264</v>
      </c>
      <c r="R242" s="9" t="s">
        <v>1591</v>
      </c>
      <c r="S242" s="9" t="s">
        <v>858</v>
      </c>
      <c r="T242" s="9">
        <v>940008</v>
      </c>
      <c r="U242" s="16" t="s">
        <v>133</v>
      </c>
      <c r="V242" s="9">
        <v>3522241</v>
      </c>
      <c r="W242" s="8" t="s">
        <v>348</v>
      </c>
      <c r="X242" s="8"/>
      <c r="Y242" s="8"/>
      <c r="Z242" s="8"/>
      <c r="AA242" s="8"/>
      <c r="AB242" s="8" t="s">
        <v>176</v>
      </c>
      <c r="AC242" s="8" t="s">
        <v>228</v>
      </c>
      <c r="AD242" s="14"/>
      <c r="AE242" s="8" t="s">
        <v>232</v>
      </c>
      <c r="AF242" s="14">
        <v>0.43</v>
      </c>
      <c r="AG242" s="8">
        <v>1220</v>
      </c>
      <c r="AH242" s="8">
        <v>0</v>
      </c>
      <c r="AI242" s="8">
        <v>28</v>
      </c>
      <c r="AJ242" s="8">
        <v>0</v>
      </c>
      <c r="AK242" s="127">
        <v>28</v>
      </c>
      <c r="AL242" s="103">
        <v>0</v>
      </c>
      <c r="AM242" s="8">
        <v>28</v>
      </c>
      <c r="AN242" s="21">
        <v>0</v>
      </c>
      <c r="AO242" s="21">
        <v>0</v>
      </c>
      <c r="AP242" s="21">
        <v>0</v>
      </c>
      <c r="AQ242" s="21">
        <v>0</v>
      </c>
      <c r="AR242" s="21">
        <v>28</v>
      </c>
      <c r="AS242" s="8">
        <v>0</v>
      </c>
      <c r="AT242" s="21">
        <v>0</v>
      </c>
      <c r="AU242" s="21">
        <v>0</v>
      </c>
      <c r="AV242" s="21">
        <v>0</v>
      </c>
      <c r="AW242" s="21">
        <v>0</v>
      </c>
      <c r="AX242" s="21">
        <v>0</v>
      </c>
      <c r="AY242" s="8">
        <v>28</v>
      </c>
    </row>
    <row r="243" spans="1:51" ht="15" customHeight="1" x14ac:dyDescent="0.25">
      <c r="A243" s="9">
        <v>742</v>
      </c>
      <c r="B243" s="13">
        <v>45743</v>
      </c>
      <c r="C243" s="9" t="s">
        <v>169</v>
      </c>
      <c r="D243" s="9">
        <v>9518644656</v>
      </c>
      <c r="E243" s="8">
        <v>3</v>
      </c>
      <c r="F243" s="9" t="s">
        <v>852</v>
      </c>
      <c r="G243" s="104" t="s">
        <v>576</v>
      </c>
      <c r="H243" s="9" t="s">
        <v>57</v>
      </c>
      <c r="I243" s="9" t="s">
        <v>25</v>
      </c>
      <c r="J243" s="9" t="s">
        <v>31</v>
      </c>
      <c r="K243" s="9">
        <v>2000</v>
      </c>
      <c r="L243" s="39"/>
      <c r="M243" s="7" t="s">
        <v>1</v>
      </c>
      <c r="N243" s="8"/>
      <c r="O243" s="40"/>
      <c r="P243" s="15" t="s">
        <v>207</v>
      </c>
      <c r="Q243" s="9" t="s">
        <v>180</v>
      </c>
      <c r="R243" s="9" t="s">
        <v>722</v>
      </c>
      <c r="S243" s="9" t="s">
        <v>859</v>
      </c>
      <c r="T243" s="9">
        <v>948783</v>
      </c>
      <c r="U243" s="16" t="s">
        <v>96</v>
      </c>
      <c r="V243" s="9">
        <v>3542989</v>
      </c>
      <c r="W243" s="8" t="s">
        <v>857</v>
      </c>
      <c r="X243" s="8"/>
      <c r="Y243" s="8"/>
      <c r="Z243" s="8"/>
      <c r="AA243" s="8"/>
      <c r="AB243" s="8" t="s">
        <v>183</v>
      </c>
      <c r="AC243" s="8" t="s">
        <v>210</v>
      </c>
      <c r="AD243" s="14" t="s">
        <v>218</v>
      </c>
      <c r="AE243" s="8" t="s">
        <v>250</v>
      </c>
      <c r="AF243" s="14">
        <v>0.7</v>
      </c>
      <c r="AG243" s="8">
        <v>1000</v>
      </c>
      <c r="AH243" s="8">
        <v>2000</v>
      </c>
      <c r="AI243" s="8">
        <v>24</v>
      </c>
      <c r="AJ243" s="8">
        <v>0</v>
      </c>
      <c r="AK243" s="127">
        <v>24</v>
      </c>
      <c r="AL243" s="103">
        <v>0</v>
      </c>
      <c r="AM243" s="8">
        <v>24</v>
      </c>
      <c r="AN243" s="21">
        <v>0</v>
      </c>
      <c r="AO243" s="21">
        <v>24</v>
      </c>
      <c r="AP243" s="21">
        <v>0</v>
      </c>
      <c r="AQ243" s="21">
        <v>0</v>
      </c>
      <c r="AR243" s="21">
        <v>0</v>
      </c>
      <c r="AS243" s="8">
        <v>24</v>
      </c>
      <c r="AT243" s="21">
        <v>0</v>
      </c>
      <c r="AU243" s="21">
        <v>24</v>
      </c>
      <c r="AV243" s="21">
        <v>0</v>
      </c>
      <c r="AW243" s="21">
        <v>0</v>
      </c>
      <c r="AX243" s="21">
        <v>0</v>
      </c>
      <c r="AY243" s="8">
        <v>0</v>
      </c>
    </row>
    <row r="244" spans="1:51" ht="15" customHeight="1" x14ac:dyDescent="0.25">
      <c r="A244" s="9">
        <v>742</v>
      </c>
      <c r="B244" s="13">
        <v>45743</v>
      </c>
      <c r="C244" s="9" t="s">
        <v>169</v>
      </c>
      <c r="D244" s="9">
        <v>9518644656</v>
      </c>
      <c r="E244" s="8">
        <v>4</v>
      </c>
      <c r="F244" s="9" t="s">
        <v>853</v>
      </c>
      <c r="G244" s="9" t="s">
        <v>1303</v>
      </c>
      <c r="H244" s="9" t="s">
        <v>57</v>
      </c>
      <c r="I244" s="9" t="s">
        <v>25</v>
      </c>
      <c r="J244" s="9" t="s">
        <v>31</v>
      </c>
      <c r="K244" s="9">
        <v>2000</v>
      </c>
      <c r="L244" s="39"/>
      <c r="M244" s="7" t="s">
        <v>1</v>
      </c>
      <c r="N244" s="8"/>
      <c r="O244" s="40"/>
      <c r="P244" s="15" t="s">
        <v>207</v>
      </c>
      <c r="Q244" s="9" t="s">
        <v>180</v>
      </c>
      <c r="R244" s="9" t="s">
        <v>722</v>
      </c>
      <c r="S244" s="9" t="s">
        <v>859</v>
      </c>
      <c r="T244" s="9">
        <v>948783</v>
      </c>
      <c r="U244" s="16" t="s">
        <v>96</v>
      </c>
      <c r="V244" s="9">
        <v>3240778</v>
      </c>
      <c r="W244" s="8" t="s">
        <v>253</v>
      </c>
      <c r="X244" s="8"/>
      <c r="Y244" s="8"/>
      <c r="Z244" s="8"/>
      <c r="AA244" s="8"/>
      <c r="AB244" s="8" t="s">
        <v>183</v>
      </c>
      <c r="AC244" s="8" t="s">
        <v>210</v>
      </c>
      <c r="AD244" s="14" t="s">
        <v>218</v>
      </c>
      <c r="AE244" s="8" t="s">
        <v>250</v>
      </c>
      <c r="AF244" s="14">
        <v>0.6</v>
      </c>
      <c r="AG244" s="8">
        <v>1000</v>
      </c>
      <c r="AH244" s="8">
        <v>2500</v>
      </c>
      <c r="AI244" s="8">
        <v>24</v>
      </c>
      <c r="AJ244" s="8">
        <v>0</v>
      </c>
      <c r="AK244" s="127">
        <v>24</v>
      </c>
      <c r="AL244" s="103">
        <v>0</v>
      </c>
      <c r="AM244" s="8">
        <v>24</v>
      </c>
      <c r="AN244" s="21">
        <v>0</v>
      </c>
      <c r="AO244" s="21">
        <v>24</v>
      </c>
      <c r="AP244" s="21">
        <v>0</v>
      </c>
      <c r="AQ244" s="21">
        <v>0</v>
      </c>
      <c r="AR244" s="21">
        <v>0</v>
      </c>
      <c r="AS244" s="8">
        <v>24</v>
      </c>
      <c r="AT244" s="21">
        <v>0</v>
      </c>
      <c r="AU244" s="21">
        <v>24</v>
      </c>
      <c r="AV244" s="21">
        <v>0</v>
      </c>
      <c r="AW244" s="21">
        <v>0</v>
      </c>
      <c r="AX244" s="21">
        <v>0</v>
      </c>
      <c r="AY244" s="8">
        <v>0</v>
      </c>
    </row>
    <row r="245" spans="1:51" ht="15" customHeight="1" x14ac:dyDescent="0.25">
      <c r="A245" s="9">
        <v>742</v>
      </c>
      <c r="B245" s="13">
        <v>45743</v>
      </c>
      <c r="C245" s="9" t="s">
        <v>169</v>
      </c>
      <c r="D245" s="9">
        <v>9518644656</v>
      </c>
      <c r="E245" s="8">
        <v>5</v>
      </c>
      <c r="F245" s="9" t="s">
        <v>854</v>
      </c>
      <c r="G245" s="9" t="s">
        <v>1687</v>
      </c>
      <c r="H245" s="9" t="s">
        <v>57</v>
      </c>
      <c r="I245" s="9" t="s">
        <v>25</v>
      </c>
      <c r="J245" s="9" t="s">
        <v>31</v>
      </c>
      <c r="K245" s="9">
        <v>2000</v>
      </c>
      <c r="L245" s="39"/>
      <c r="M245" s="7" t="s">
        <v>1</v>
      </c>
      <c r="N245" s="8"/>
      <c r="O245" s="40"/>
      <c r="P245" s="15" t="s">
        <v>207</v>
      </c>
      <c r="Q245" s="9" t="s">
        <v>180</v>
      </c>
      <c r="R245" s="9" t="s">
        <v>722</v>
      </c>
      <c r="S245" s="9" t="s">
        <v>859</v>
      </c>
      <c r="T245" s="9">
        <v>948783</v>
      </c>
      <c r="U245" s="16" t="s">
        <v>96</v>
      </c>
      <c r="V245" s="9">
        <v>3402254</v>
      </c>
      <c r="W245" s="8" t="s">
        <v>655</v>
      </c>
      <c r="X245" s="8"/>
      <c r="Y245" s="8"/>
      <c r="Z245" s="8"/>
      <c r="AA245" s="8"/>
      <c r="AB245" s="8" t="s">
        <v>183</v>
      </c>
      <c r="AC245" s="8" t="s">
        <v>210</v>
      </c>
      <c r="AD245" s="14" t="s">
        <v>218</v>
      </c>
      <c r="AE245" s="8" t="s">
        <v>250</v>
      </c>
      <c r="AF245" s="14">
        <v>0.6</v>
      </c>
      <c r="AG245" s="8">
        <v>1000</v>
      </c>
      <c r="AH245" s="8">
        <v>2000</v>
      </c>
      <c r="AI245" s="8">
        <v>24</v>
      </c>
      <c r="AJ245" s="8">
        <v>0</v>
      </c>
      <c r="AK245" s="127">
        <v>2.7650000000000001</v>
      </c>
      <c r="AL245" s="103">
        <v>21.234999999999999</v>
      </c>
      <c r="AM245" s="8">
        <v>0</v>
      </c>
      <c r="AN245" s="21">
        <v>0</v>
      </c>
      <c r="AO245" s="21">
        <v>0</v>
      </c>
      <c r="AP245" s="21">
        <v>0</v>
      </c>
      <c r="AQ245" s="21">
        <v>0</v>
      </c>
      <c r="AR245" s="21">
        <v>0</v>
      </c>
      <c r="AS245" s="8">
        <v>21.234999999999999</v>
      </c>
      <c r="AT245" s="21">
        <v>21.234999999999999</v>
      </c>
      <c r="AU245" s="21">
        <v>0</v>
      </c>
      <c r="AV245" s="21">
        <v>0</v>
      </c>
      <c r="AW245" s="21">
        <v>0</v>
      </c>
      <c r="AX245" s="21">
        <v>0</v>
      </c>
      <c r="AY245" s="8">
        <v>0</v>
      </c>
    </row>
    <row r="246" spans="1:51" ht="15" customHeight="1" x14ac:dyDescent="0.25">
      <c r="A246" s="9">
        <v>742</v>
      </c>
      <c r="B246" s="13">
        <v>45743</v>
      </c>
      <c r="C246" s="9" t="s">
        <v>169</v>
      </c>
      <c r="D246" s="9">
        <v>9518644656</v>
      </c>
      <c r="E246" s="8">
        <v>6</v>
      </c>
      <c r="F246" s="9" t="s">
        <v>855</v>
      </c>
      <c r="G246" s="9" t="s">
        <v>1687</v>
      </c>
      <c r="H246" s="9" t="s">
        <v>57</v>
      </c>
      <c r="I246" s="9" t="s">
        <v>25</v>
      </c>
      <c r="J246" s="9" t="s">
        <v>31</v>
      </c>
      <c r="K246" s="9">
        <v>2000</v>
      </c>
      <c r="L246" s="39"/>
      <c r="M246" s="7" t="s">
        <v>1</v>
      </c>
      <c r="N246" s="8"/>
      <c r="O246" s="40"/>
      <c r="P246" s="15" t="s">
        <v>207</v>
      </c>
      <c r="Q246" s="9" t="s">
        <v>180</v>
      </c>
      <c r="R246" s="9" t="s">
        <v>722</v>
      </c>
      <c r="S246" s="9" t="s">
        <v>859</v>
      </c>
      <c r="T246" s="9">
        <v>948783</v>
      </c>
      <c r="U246" s="16" t="s">
        <v>96</v>
      </c>
      <c r="V246" s="9">
        <v>3240760</v>
      </c>
      <c r="W246" s="8" t="s">
        <v>287</v>
      </c>
      <c r="X246" s="8"/>
      <c r="Y246" s="8"/>
      <c r="Z246" s="8"/>
      <c r="AA246" s="8"/>
      <c r="AB246" s="8" t="s">
        <v>183</v>
      </c>
      <c r="AC246" s="8" t="s">
        <v>210</v>
      </c>
      <c r="AD246" s="14" t="s">
        <v>218</v>
      </c>
      <c r="AE246" s="8" t="s">
        <v>250</v>
      </c>
      <c r="AF246" s="14">
        <v>0.5</v>
      </c>
      <c r="AG246" s="8">
        <v>1000</v>
      </c>
      <c r="AH246" s="8">
        <v>2500</v>
      </c>
      <c r="AI246" s="8">
        <v>24</v>
      </c>
      <c r="AJ246" s="8">
        <v>0</v>
      </c>
      <c r="AK246" s="127">
        <v>3.3849999999999998</v>
      </c>
      <c r="AL246" s="103">
        <v>20.615000000000002</v>
      </c>
      <c r="AM246" s="8">
        <v>0</v>
      </c>
      <c r="AN246" s="21">
        <v>0</v>
      </c>
      <c r="AO246" s="21">
        <v>0</v>
      </c>
      <c r="AP246" s="21">
        <v>0</v>
      </c>
      <c r="AQ246" s="21">
        <v>0</v>
      </c>
      <c r="AR246" s="21">
        <v>0</v>
      </c>
      <c r="AS246" s="8">
        <v>20.615000000000002</v>
      </c>
      <c r="AT246" s="21">
        <v>20.615000000000002</v>
      </c>
      <c r="AU246" s="21">
        <v>0</v>
      </c>
      <c r="AV246" s="21">
        <v>0</v>
      </c>
      <c r="AW246" s="21">
        <v>0</v>
      </c>
      <c r="AX246" s="21">
        <v>0</v>
      </c>
      <c r="AY246" s="8">
        <v>0</v>
      </c>
    </row>
    <row r="247" spans="1:51" ht="15" customHeight="1" x14ac:dyDescent="0.25">
      <c r="A247" s="9">
        <v>742</v>
      </c>
      <c r="B247" s="13">
        <v>45743</v>
      </c>
      <c r="C247" s="9" t="s">
        <v>169</v>
      </c>
      <c r="D247" s="9">
        <v>9518644656</v>
      </c>
      <c r="E247" s="8">
        <v>7</v>
      </c>
      <c r="F247" s="9" t="s">
        <v>856</v>
      </c>
      <c r="G247" s="9" t="s">
        <v>1687</v>
      </c>
      <c r="H247" s="9" t="s">
        <v>57</v>
      </c>
      <c r="I247" s="9" t="s">
        <v>25</v>
      </c>
      <c r="J247" s="9" t="s">
        <v>31</v>
      </c>
      <c r="K247" s="9">
        <v>2000</v>
      </c>
      <c r="L247" s="39"/>
      <c r="M247" s="7" t="s">
        <v>1</v>
      </c>
      <c r="N247" s="8"/>
      <c r="O247" s="40"/>
      <c r="P247" s="15" t="s">
        <v>207</v>
      </c>
      <c r="Q247" s="9" t="s">
        <v>180</v>
      </c>
      <c r="R247" s="9" t="s">
        <v>722</v>
      </c>
      <c r="S247" s="9" t="s">
        <v>859</v>
      </c>
      <c r="T247" s="9">
        <v>948783</v>
      </c>
      <c r="U247" s="16" t="s">
        <v>96</v>
      </c>
      <c r="V247" s="9">
        <v>3240757</v>
      </c>
      <c r="W247" s="8" t="s">
        <v>557</v>
      </c>
      <c r="X247" s="8"/>
      <c r="Y247" s="8"/>
      <c r="Z247" s="8"/>
      <c r="AA247" s="8"/>
      <c r="AB247" s="8" t="s">
        <v>183</v>
      </c>
      <c r="AC247" s="8" t="s">
        <v>210</v>
      </c>
      <c r="AD247" s="14" t="s">
        <v>218</v>
      </c>
      <c r="AE247" s="8" t="s">
        <v>250</v>
      </c>
      <c r="AF247" s="14">
        <v>0.5</v>
      </c>
      <c r="AG247" s="8">
        <v>1000</v>
      </c>
      <c r="AH247" s="8">
        <v>2000</v>
      </c>
      <c r="AI247" s="8">
        <v>24</v>
      </c>
      <c r="AJ247" s="8">
        <v>0</v>
      </c>
      <c r="AK247" s="127">
        <v>5.6050000000000004</v>
      </c>
      <c r="AL247" s="103">
        <v>18.395</v>
      </c>
      <c r="AM247" s="8">
        <v>0</v>
      </c>
      <c r="AN247" s="21">
        <v>0</v>
      </c>
      <c r="AO247" s="21">
        <v>0</v>
      </c>
      <c r="AP247" s="21">
        <v>0</v>
      </c>
      <c r="AQ247" s="21">
        <v>0</v>
      </c>
      <c r="AR247" s="21">
        <v>0</v>
      </c>
      <c r="AS247" s="8">
        <v>18.395</v>
      </c>
      <c r="AT247" s="21">
        <v>18.395</v>
      </c>
      <c r="AU247" s="21">
        <v>0</v>
      </c>
      <c r="AV247" s="21">
        <v>0</v>
      </c>
      <c r="AW247" s="21">
        <v>0</v>
      </c>
      <c r="AX247" s="21">
        <v>0</v>
      </c>
      <c r="AY247" s="8">
        <v>0</v>
      </c>
    </row>
    <row r="248" spans="1:51" ht="15" customHeight="1" x14ac:dyDescent="0.25">
      <c r="A248" s="9">
        <v>742</v>
      </c>
      <c r="B248" s="13">
        <v>45664</v>
      </c>
      <c r="C248" s="9" t="s">
        <v>169</v>
      </c>
      <c r="D248" s="9" t="s">
        <v>1829</v>
      </c>
      <c r="E248" s="8" t="s">
        <v>1759</v>
      </c>
      <c r="F248" s="9" t="s">
        <v>435</v>
      </c>
      <c r="G248" s="9" t="s">
        <v>1687</v>
      </c>
      <c r="H248" s="9" t="s">
        <v>57</v>
      </c>
      <c r="I248" s="9" t="s">
        <v>25</v>
      </c>
      <c r="J248" s="9" t="s">
        <v>26</v>
      </c>
      <c r="K248" s="9">
        <v>2000</v>
      </c>
      <c r="L248" s="39"/>
      <c r="M248" s="7" t="s">
        <v>1</v>
      </c>
      <c r="N248" s="8"/>
      <c r="O248" s="40"/>
      <c r="P248" s="15" t="s">
        <v>273</v>
      </c>
      <c r="Q248" s="9" t="s">
        <v>172</v>
      </c>
      <c r="R248" s="9" t="s">
        <v>1588</v>
      </c>
      <c r="S248" s="9" t="s">
        <v>858</v>
      </c>
      <c r="T248" s="9">
        <v>184986</v>
      </c>
      <c r="U248" s="16" t="s">
        <v>84</v>
      </c>
      <c r="V248" s="9">
        <v>2439201</v>
      </c>
      <c r="W248" s="8" t="s">
        <v>436</v>
      </c>
      <c r="X248" s="8"/>
      <c r="Y248" s="8"/>
      <c r="Z248" s="8"/>
      <c r="AA248" s="8"/>
      <c r="AB248" s="8"/>
      <c r="AC248" s="8" t="s">
        <v>190</v>
      </c>
      <c r="AD248" s="14" t="s">
        <v>197</v>
      </c>
      <c r="AE248" s="8" t="s">
        <v>198</v>
      </c>
      <c r="AF248" s="14">
        <v>0.5</v>
      </c>
      <c r="AG248" s="8">
        <v>1170</v>
      </c>
      <c r="AH248" s="8"/>
      <c r="AI248" s="8">
        <v>296.95999999999998</v>
      </c>
      <c r="AJ248" s="8">
        <v>241.11</v>
      </c>
      <c r="AK248" s="127">
        <v>0</v>
      </c>
      <c r="AL248" s="103">
        <v>20.77</v>
      </c>
      <c r="AM248" s="8">
        <v>0</v>
      </c>
      <c r="AN248" s="21">
        <v>0</v>
      </c>
      <c r="AO248" s="21">
        <v>0</v>
      </c>
      <c r="AP248" s="21">
        <v>0</v>
      </c>
      <c r="AQ248" s="21">
        <v>0</v>
      </c>
      <c r="AR248" s="21">
        <v>0</v>
      </c>
      <c r="AS248" s="8">
        <v>20.77</v>
      </c>
      <c r="AT248" s="21">
        <v>20.77</v>
      </c>
      <c r="AU248" s="21">
        <v>0</v>
      </c>
      <c r="AV248" s="21">
        <v>0</v>
      </c>
      <c r="AW248" s="21">
        <v>0</v>
      </c>
      <c r="AX248" s="21">
        <v>0</v>
      </c>
      <c r="AY248" s="8">
        <v>0</v>
      </c>
    </row>
    <row r="249" spans="1:51" ht="15" customHeight="1" x14ac:dyDescent="0.25">
      <c r="A249" s="9">
        <v>742</v>
      </c>
      <c r="B249" s="13">
        <v>45664</v>
      </c>
      <c r="C249" s="9" t="s">
        <v>169</v>
      </c>
      <c r="D249" s="9" t="s">
        <v>1830</v>
      </c>
      <c r="E249" s="8" t="s">
        <v>1759</v>
      </c>
      <c r="F249" s="9" t="s">
        <v>454</v>
      </c>
      <c r="G249" s="9" t="s">
        <v>1687</v>
      </c>
      <c r="H249" s="9" t="s">
        <v>57</v>
      </c>
      <c r="I249" s="9" t="s">
        <v>25</v>
      </c>
      <c r="J249" s="9" t="s">
        <v>26</v>
      </c>
      <c r="K249" s="9">
        <v>2000</v>
      </c>
      <c r="L249" s="39"/>
      <c r="M249" s="7" t="s">
        <v>1</v>
      </c>
      <c r="N249" s="8"/>
      <c r="O249" s="40"/>
      <c r="P249" s="15" t="s">
        <v>273</v>
      </c>
      <c r="Q249" s="9" t="s">
        <v>172</v>
      </c>
      <c r="R249" s="9" t="s">
        <v>1588</v>
      </c>
      <c r="S249" s="9" t="s">
        <v>858</v>
      </c>
      <c r="T249" s="9">
        <v>184986</v>
      </c>
      <c r="U249" s="16" t="s">
        <v>84</v>
      </c>
      <c r="V249" s="9">
        <v>2439201</v>
      </c>
      <c r="W249" s="8" t="s">
        <v>436</v>
      </c>
      <c r="X249" s="8"/>
      <c r="Y249" s="8"/>
      <c r="Z249" s="8"/>
      <c r="AA249" s="8"/>
      <c r="AB249" s="8"/>
      <c r="AC249" s="8" t="s">
        <v>190</v>
      </c>
      <c r="AD249" s="14" t="s">
        <v>197</v>
      </c>
      <c r="AE249" s="8" t="s">
        <v>198</v>
      </c>
      <c r="AF249" s="14">
        <v>0.5</v>
      </c>
      <c r="AG249" s="8">
        <v>1170</v>
      </c>
      <c r="AH249" s="8"/>
      <c r="AI249" s="8">
        <v>296.99</v>
      </c>
      <c r="AJ249" s="8">
        <v>201.4</v>
      </c>
      <c r="AK249" s="127">
        <v>0</v>
      </c>
      <c r="AL249" s="103">
        <v>33.82</v>
      </c>
      <c r="AM249" s="8">
        <v>0</v>
      </c>
      <c r="AN249" s="21">
        <v>0</v>
      </c>
      <c r="AO249" s="21">
        <v>0</v>
      </c>
      <c r="AP249" s="21">
        <v>0</v>
      </c>
      <c r="AQ249" s="21">
        <v>0</v>
      </c>
      <c r="AR249" s="21">
        <v>0</v>
      </c>
      <c r="AS249" s="8">
        <v>33.82</v>
      </c>
      <c r="AT249" s="21">
        <v>33.82</v>
      </c>
      <c r="AU249" s="21">
        <v>0</v>
      </c>
      <c r="AV249" s="21">
        <v>0</v>
      </c>
      <c r="AW249" s="21">
        <v>0</v>
      </c>
      <c r="AX249" s="21">
        <v>0</v>
      </c>
      <c r="AY249" s="8">
        <v>0</v>
      </c>
    </row>
    <row r="250" spans="1:51" ht="15" customHeight="1" x14ac:dyDescent="0.25">
      <c r="A250" s="9">
        <v>742</v>
      </c>
      <c r="B250" s="13">
        <v>45693</v>
      </c>
      <c r="C250" s="9" t="s">
        <v>169</v>
      </c>
      <c r="D250" s="9" t="s">
        <v>1831</v>
      </c>
      <c r="E250" s="8" t="s">
        <v>1832</v>
      </c>
      <c r="F250" s="9" t="s">
        <v>526</v>
      </c>
      <c r="G250" s="9" t="s">
        <v>1687</v>
      </c>
      <c r="H250" s="9" t="s">
        <v>57</v>
      </c>
      <c r="I250" s="9" t="s">
        <v>25</v>
      </c>
      <c r="J250" s="9" t="s">
        <v>31</v>
      </c>
      <c r="K250" s="9">
        <v>2000</v>
      </c>
      <c r="L250" s="39"/>
      <c r="M250" s="7" t="s">
        <v>1</v>
      </c>
      <c r="N250" s="8"/>
      <c r="O250" s="40"/>
      <c r="P250" s="15" t="s">
        <v>194</v>
      </c>
      <c r="Q250" s="9" t="s">
        <v>172</v>
      </c>
      <c r="R250" s="9" t="s">
        <v>286</v>
      </c>
      <c r="S250" s="9" t="s">
        <v>859</v>
      </c>
      <c r="T250" s="9">
        <v>931525</v>
      </c>
      <c r="U250" s="16" t="s">
        <v>75</v>
      </c>
      <c r="V250" s="9">
        <v>3765561</v>
      </c>
      <c r="W250" s="8" t="s">
        <v>358</v>
      </c>
      <c r="X250" s="8"/>
      <c r="Y250" s="8"/>
      <c r="Z250" s="8"/>
      <c r="AA250" s="8"/>
      <c r="AB250" s="8"/>
      <c r="AC250" s="8" t="s">
        <v>210</v>
      </c>
      <c r="AD250" s="14" t="s">
        <v>218</v>
      </c>
      <c r="AE250" s="8" t="s">
        <v>250</v>
      </c>
      <c r="AF250" s="14">
        <v>0.7</v>
      </c>
      <c r="AG250" s="8">
        <v>1000</v>
      </c>
      <c r="AH250" s="8"/>
      <c r="AI250" s="8">
        <v>27</v>
      </c>
      <c r="AJ250" s="8">
        <v>20.315000000000001</v>
      </c>
      <c r="AK250" s="127">
        <v>6.6849999999999996</v>
      </c>
      <c r="AL250" s="103">
        <v>2.59</v>
      </c>
      <c r="AM250" s="8">
        <v>0</v>
      </c>
      <c r="AN250" s="21">
        <v>0</v>
      </c>
      <c r="AO250" s="21">
        <v>0</v>
      </c>
      <c r="AP250" s="21">
        <v>0</v>
      </c>
      <c r="AQ250" s="21">
        <v>0</v>
      </c>
      <c r="AR250" s="21">
        <v>0</v>
      </c>
      <c r="AS250" s="8">
        <v>2.59</v>
      </c>
      <c r="AT250" s="21">
        <v>2.59</v>
      </c>
      <c r="AU250" s="21">
        <v>0</v>
      </c>
      <c r="AV250" s="21">
        <v>0</v>
      </c>
      <c r="AW250" s="21">
        <v>0</v>
      </c>
      <c r="AX250" s="21">
        <v>0</v>
      </c>
      <c r="AY250" s="8">
        <v>0</v>
      </c>
    </row>
    <row r="251" spans="1:51" ht="15" customHeight="1" x14ac:dyDescent="0.25">
      <c r="A251" s="9">
        <v>742</v>
      </c>
      <c r="B251" s="13">
        <v>45695</v>
      </c>
      <c r="C251" s="9" t="s">
        <v>169</v>
      </c>
      <c r="D251" s="9" t="s">
        <v>1833</v>
      </c>
      <c r="E251" s="8" t="s">
        <v>1759</v>
      </c>
      <c r="F251" s="9" t="s">
        <v>397</v>
      </c>
      <c r="G251" s="79" t="s">
        <v>1303</v>
      </c>
      <c r="H251" s="9" t="s">
        <v>57</v>
      </c>
      <c r="I251" s="9" t="s">
        <v>35</v>
      </c>
      <c r="J251" s="9" t="s">
        <v>28</v>
      </c>
      <c r="K251" s="9">
        <v>1000</v>
      </c>
      <c r="L251" s="39">
        <v>500</v>
      </c>
      <c r="M251" s="7" t="s">
        <v>1</v>
      </c>
      <c r="N251" s="8"/>
      <c r="O251" s="40"/>
      <c r="P251" s="15" t="s">
        <v>289</v>
      </c>
      <c r="Q251" s="9" t="s">
        <v>188</v>
      </c>
      <c r="R251" s="9" t="s">
        <v>1582</v>
      </c>
      <c r="S251" s="9" t="s">
        <v>858</v>
      </c>
      <c r="T251" s="9">
        <v>189108</v>
      </c>
      <c r="U251" s="16" t="s">
        <v>104</v>
      </c>
      <c r="V251" s="9">
        <v>2320878</v>
      </c>
      <c r="W251" s="8" t="s">
        <v>398</v>
      </c>
      <c r="X251" s="8"/>
      <c r="Y251" s="8"/>
      <c r="Z251" s="8"/>
      <c r="AA251" s="8"/>
      <c r="AB251" s="8"/>
      <c r="AC251" s="8" t="s">
        <v>292</v>
      </c>
      <c r="AD251" s="14" t="s">
        <v>293</v>
      </c>
      <c r="AE251" s="8" t="s">
        <v>294</v>
      </c>
      <c r="AF251" s="14">
        <v>0.36</v>
      </c>
      <c r="AG251" s="8">
        <v>1250</v>
      </c>
      <c r="AH251" s="8"/>
      <c r="AI251" s="8">
        <v>261</v>
      </c>
      <c r="AJ251" s="8">
        <v>117.85</v>
      </c>
      <c r="AK251" s="127">
        <v>143.15</v>
      </c>
      <c r="AL251" s="103">
        <v>0</v>
      </c>
      <c r="AM251" s="8">
        <v>143.15</v>
      </c>
      <c r="AN251" s="21">
        <v>0</v>
      </c>
      <c r="AO251" s="21">
        <v>0</v>
      </c>
      <c r="AP251" s="21">
        <v>0</v>
      </c>
      <c r="AQ251" s="21">
        <v>0</v>
      </c>
      <c r="AR251" s="21">
        <v>143.15</v>
      </c>
      <c r="AS251" s="8">
        <v>0</v>
      </c>
      <c r="AT251" s="21">
        <v>0</v>
      </c>
      <c r="AU251" s="21">
        <v>0</v>
      </c>
      <c r="AV251" s="21">
        <v>0</v>
      </c>
      <c r="AW251" s="21">
        <v>0</v>
      </c>
      <c r="AX251" s="21">
        <v>0</v>
      </c>
      <c r="AY251" s="8">
        <v>143.15</v>
      </c>
    </row>
    <row r="252" spans="1:51" ht="15" customHeight="1" x14ac:dyDescent="0.25">
      <c r="A252" s="9">
        <v>744</v>
      </c>
      <c r="B252" s="13">
        <v>45710</v>
      </c>
      <c r="C252" s="9" t="s">
        <v>169</v>
      </c>
      <c r="D252" s="9" t="s">
        <v>1834</v>
      </c>
      <c r="E252" s="8" t="s">
        <v>1828</v>
      </c>
      <c r="F252" s="9" t="s">
        <v>569</v>
      </c>
      <c r="G252" s="79" t="s">
        <v>1303</v>
      </c>
      <c r="H252" s="9" t="s">
        <v>57</v>
      </c>
      <c r="I252" s="9" t="s">
        <v>48</v>
      </c>
      <c r="J252" s="9" t="s">
        <v>39</v>
      </c>
      <c r="K252" s="9">
        <v>1000</v>
      </c>
      <c r="L252" s="39"/>
      <c r="M252" s="7" t="s">
        <v>1</v>
      </c>
      <c r="N252" s="8"/>
      <c r="O252" s="40"/>
      <c r="P252" s="15" t="s">
        <v>220</v>
      </c>
      <c r="Q252" s="9" t="s">
        <v>264</v>
      </c>
      <c r="R252" s="9" t="s">
        <v>225</v>
      </c>
      <c r="S252" s="9" t="s">
        <v>858</v>
      </c>
      <c r="T252" s="9">
        <v>940016</v>
      </c>
      <c r="U252" s="16" t="s">
        <v>133</v>
      </c>
      <c r="V252" s="9">
        <v>3797658</v>
      </c>
      <c r="W252" s="8" t="s">
        <v>235</v>
      </c>
      <c r="X252" s="8"/>
      <c r="Y252" s="8"/>
      <c r="Z252" s="8"/>
      <c r="AA252" s="8"/>
      <c r="AB252" s="8"/>
      <c r="AC252" s="8" t="s">
        <v>228</v>
      </c>
      <c r="AD252" s="14" t="s">
        <v>229</v>
      </c>
      <c r="AE252" s="8" t="s">
        <v>230</v>
      </c>
      <c r="AF252" s="14">
        <v>0.4</v>
      </c>
      <c r="AG252" s="8">
        <v>1220</v>
      </c>
      <c r="AH252" s="8"/>
      <c r="AI252" s="8">
        <v>279.99</v>
      </c>
      <c r="AJ252" s="8">
        <v>257.065</v>
      </c>
      <c r="AK252" s="127">
        <v>22.925000000000001</v>
      </c>
      <c r="AL252" s="103">
        <v>0</v>
      </c>
      <c r="AM252" s="8">
        <v>22.925000000000001</v>
      </c>
      <c r="AN252" s="21">
        <v>0</v>
      </c>
      <c r="AO252" s="21">
        <v>0</v>
      </c>
      <c r="AP252" s="21">
        <v>22.925000000000001</v>
      </c>
      <c r="AQ252" s="21">
        <v>0</v>
      </c>
      <c r="AR252" s="21">
        <v>0</v>
      </c>
      <c r="AS252" s="8">
        <v>22.925000000000001</v>
      </c>
      <c r="AT252" s="21">
        <v>0</v>
      </c>
      <c r="AU252" s="21">
        <v>0</v>
      </c>
      <c r="AV252" s="21">
        <v>0</v>
      </c>
      <c r="AW252" s="21">
        <v>22.925000000000001</v>
      </c>
      <c r="AX252" s="21">
        <v>0</v>
      </c>
      <c r="AY252" s="8">
        <v>0</v>
      </c>
    </row>
    <row r="253" spans="1:51" ht="15" customHeight="1" x14ac:dyDescent="0.25">
      <c r="A253" s="9">
        <v>743</v>
      </c>
      <c r="B253" s="13">
        <v>45715</v>
      </c>
      <c r="C253" s="9" t="s">
        <v>169</v>
      </c>
      <c r="D253" s="9" t="s">
        <v>1835</v>
      </c>
      <c r="E253" s="8" t="s">
        <v>1759</v>
      </c>
      <c r="F253" s="9" t="s">
        <v>604</v>
      </c>
      <c r="G253" s="79" t="s">
        <v>1303</v>
      </c>
      <c r="H253" s="9" t="s">
        <v>57</v>
      </c>
      <c r="I253" s="9" t="s">
        <v>43</v>
      </c>
      <c r="J253" s="9" t="s">
        <v>46</v>
      </c>
      <c r="K253" s="9">
        <v>2000</v>
      </c>
      <c r="L253" s="39"/>
      <c r="M253" s="7" t="s">
        <v>1</v>
      </c>
      <c r="N253" s="8"/>
      <c r="O253" s="40"/>
      <c r="P253" s="15" t="s">
        <v>289</v>
      </c>
      <c r="Q253" s="9" t="s">
        <v>188</v>
      </c>
      <c r="R253" s="9" t="s">
        <v>1592</v>
      </c>
      <c r="S253" s="9" t="s">
        <v>858</v>
      </c>
      <c r="T253" s="9">
        <v>158122</v>
      </c>
      <c r="U253" s="16" t="s">
        <v>605</v>
      </c>
      <c r="V253" s="9">
        <v>3708868</v>
      </c>
      <c r="W253" s="8" t="s">
        <v>603</v>
      </c>
      <c r="X253" s="8"/>
      <c r="Y253" s="8"/>
      <c r="Z253" s="8"/>
      <c r="AA253" s="8"/>
      <c r="AB253" s="8"/>
      <c r="AC253" s="8" t="s">
        <v>269</v>
      </c>
      <c r="AD253" s="14" t="s">
        <v>270</v>
      </c>
      <c r="AE253" s="8" t="s">
        <v>165</v>
      </c>
      <c r="AF253" s="14">
        <v>0.5</v>
      </c>
      <c r="AG253" s="8">
        <v>1350</v>
      </c>
      <c r="AH253" s="8"/>
      <c r="AI253" s="8">
        <v>217</v>
      </c>
      <c r="AJ253" s="8">
        <v>198.41</v>
      </c>
      <c r="AK253" s="127">
        <v>18.59</v>
      </c>
      <c r="AL253" s="103">
        <v>0</v>
      </c>
      <c r="AM253" s="8">
        <v>18.59</v>
      </c>
      <c r="AN253" s="21">
        <v>0</v>
      </c>
      <c r="AO253" s="21">
        <v>0</v>
      </c>
      <c r="AP253" s="21">
        <v>18.59</v>
      </c>
      <c r="AQ253" s="21">
        <v>0</v>
      </c>
      <c r="AR253" s="21">
        <v>0</v>
      </c>
      <c r="AS253" s="8">
        <v>18.59</v>
      </c>
      <c r="AT253" s="21">
        <v>0</v>
      </c>
      <c r="AU253" s="21">
        <v>0</v>
      </c>
      <c r="AV253" s="21">
        <v>0</v>
      </c>
      <c r="AW253" s="21">
        <v>18.59</v>
      </c>
      <c r="AX253" s="21">
        <v>0</v>
      </c>
      <c r="AY253" s="8">
        <v>0</v>
      </c>
    </row>
    <row r="254" spans="1:51" ht="15" customHeight="1" x14ac:dyDescent="0.25">
      <c r="A254" s="9">
        <v>742</v>
      </c>
      <c r="B254" s="13">
        <v>45722</v>
      </c>
      <c r="C254" s="9" t="s">
        <v>169</v>
      </c>
      <c r="D254" s="9" t="s">
        <v>1836</v>
      </c>
      <c r="E254" s="8" t="s">
        <v>1759</v>
      </c>
      <c r="F254" s="9" t="s">
        <v>651</v>
      </c>
      <c r="G254" s="79" t="s">
        <v>1303</v>
      </c>
      <c r="H254" s="9" t="s">
        <v>57</v>
      </c>
      <c r="I254" s="9" t="s">
        <v>50</v>
      </c>
      <c r="J254" s="9" t="s">
        <v>26</v>
      </c>
      <c r="K254" s="9">
        <v>2000</v>
      </c>
      <c r="L254" s="39"/>
      <c r="M254" s="7" t="s">
        <v>1</v>
      </c>
      <c r="N254" s="8"/>
      <c r="O254" s="40"/>
      <c r="P254" s="15" t="s">
        <v>321</v>
      </c>
      <c r="Q254" s="9" t="s">
        <v>214</v>
      </c>
      <c r="R254" s="9" t="s">
        <v>1593</v>
      </c>
      <c r="S254" s="9" t="s">
        <v>858</v>
      </c>
      <c r="T254" s="9">
        <v>847544</v>
      </c>
      <c r="U254" s="16" t="s">
        <v>72</v>
      </c>
      <c r="V254" s="9">
        <v>1250221</v>
      </c>
      <c r="W254" s="8" t="s">
        <v>313</v>
      </c>
      <c r="X254" s="8"/>
      <c r="Y254" s="8"/>
      <c r="Z254" s="8"/>
      <c r="AA254" s="8"/>
      <c r="AB254" s="8"/>
      <c r="AC254" s="8">
        <v>768</v>
      </c>
      <c r="AD254" s="14" t="s">
        <v>242</v>
      </c>
      <c r="AE254" s="8" t="s">
        <v>243</v>
      </c>
      <c r="AF254" s="14">
        <v>2.5</v>
      </c>
      <c r="AG254" s="8">
        <v>1250</v>
      </c>
      <c r="AH254" s="8"/>
      <c r="AI254" s="8">
        <v>99.995000000000005</v>
      </c>
      <c r="AJ254" s="8">
        <v>24.34</v>
      </c>
      <c r="AK254" s="127">
        <v>53.71</v>
      </c>
      <c r="AL254" s="103">
        <v>21.945</v>
      </c>
      <c r="AM254" s="8">
        <v>53.71</v>
      </c>
      <c r="AN254" s="21">
        <v>0</v>
      </c>
      <c r="AO254" s="21">
        <v>53.71</v>
      </c>
      <c r="AP254" s="21">
        <v>0</v>
      </c>
      <c r="AQ254" s="21">
        <v>0</v>
      </c>
      <c r="AR254" s="21">
        <v>0</v>
      </c>
      <c r="AS254" s="8">
        <v>75.655000000000001</v>
      </c>
      <c r="AT254" s="21">
        <v>0</v>
      </c>
      <c r="AU254" s="21">
        <v>0</v>
      </c>
      <c r="AV254" s="21">
        <v>75.655000000000001</v>
      </c>
      <c r="AW254" s="21">
        <v>0</v>
      </c>
      <c r="AX254" s="21">
        <v>0</v>
      </c>
      <c r="AY254" s="8">
        <v>0</v>
      </c>
    </row>
    <row r="255" spans="1:51" ht="15" customHeight="1" x14ac:dyDescent="0.25">
      <c r="A255" s="9">
        <v>742</v>
      </c>
      <c r="B255" s="13">
        <v>45722</v>
      </c>
      <c r="C255" s="9" t="s">
        <v>169</v>
      </c>
      <c r="D255" s="9" t="s">
        <v>1837</v>
      </c>
      <c r="E255" s="8" t="s">
        <v>1828</v>
      </c>
      <c r="F255" s="9" t="s">
        <v>866</v>
      </c>
      <c r="G255" s="9" t="s">
        <v>1687</v>
      </c>
      <c r="H255" s="9" t="s">
        <v>57</v>
      </c>
      <c r="I255" s="9" t="s">
        <v>25</v>
      </c>
      <c r="J255" s="9" t="s">
        <v>31</v>
      </c>
      <c r="K255" s="9">
        <v>2000</v>
      </c>
      <c r="L255" s="39"/>
      <c r="M255" s="7" t="s">
        <v>1</v>
      </c>
      <c r="N255" s="8"/>
      <c r="O255" s="40"/>
      <c r="P255" s="15" t="s">
        <v>194</v>
      </c>
      <c r="Q255" s="9" t="s">
        <v>172</v>
      </c>
      <c r="R255" s="9" t="s">
        <v>286</v>
      </c>
      <c r="S255" s="9" t="s">
        <v>859</v>
      </c>
      <c r="T255" s="9">
        <v>931525</v>
      </c>
      <c r="U255" s="16" t="s">
        <v>75</v>
      </c>
      <c r="V255" s="9">
        <v>3239568</v>
      </c>
      <c r="W255" s="8" t="s">
        <v>459</v>
      </c>
      <c r="X255" s="8"/>
      <c r="Y255" s="8"/>
      <c r="Z255" s="8"/>
      <c r="AA255" s="8"/>
      <c r="AB255" s="8"/>
      <c r="AC255" s="8" t="s">
        <v>210</v>
      </c>
      <c r="AD255" s="14" t="s">
        <v>211</v>
      </c>
      <c r="AE255" s="8" t="s">
        <v>212</v>
      </c>
      <c r="AF255" s="14">
        <v>0.45</v>
      </c>
      <c r="AG255" s="8">
        <v>1250</v>
      </c>
      <c r="AH255" s="8"/>
      <c r="AI255" s="8">
        <v>54</v>
      </c>
      <c r="AJ255" s="8">
        <v>50.51</v>
      </c>
      <c r="AK255" s="127">
        <v>0.77</v>
      </c>
      <c r="AL255" s="103">
        <v>2.72</v>
      </c>
      <c r="AM255" s="8">
        <v>0</v>
      </c>
      <c r="AN255" s="21">
        <v>0</v>
      </c>
      <c r="AO255" s="21">
        <v>0</v>
      </c>
      <c r="AP255" s="21">
        <v>0</v>
      </c>
      <c r="AQ255" s="21">
        <v>0</v>
      </c>
      <c r="AR255" s="21">
        <v>0</v>
      </c>
      <c r="AS255" s="8">
        <v>2.72</v>
      </c>
      <c r="AT255" s="21">
        <v>2.72</v>
      </c>
      <c r="AU255" s="21">
        <v>0</v>
      </c>
      <c r="AV255" s="21">
        <v>0</v>
      </c>
      <c r="AW255" s="21">
        <v>0</v>
      </c>
      <c r="AX255" s="21">
        <v>0</v>
      </c>
      <c r="AY255" s="8">
        <v>0</v>
      </c>
    </row>
    <row r="256" spans="1:51" ht="15" customHeight="1" x14ac:dyDescent="0.25">
      <c r="A256" s="9">
        <v>742</v>
      </c>
      <c r="B256" s="13">
        <v>45729</v>
      </c>
      <c r="C256" s="9" t="s">
        <v>169</v>
      </c>
      <c r="D256" s="9" t="s">
        <v>1838</v>
      </c>
      <c r="E256" s="8" t="s">
        <v>1839</v>
      </c>
      <c r="F256" s="9" t="s">
        <v>691</v>
      </c>
      <c r="G256" s="79" t="s">
        <v>1303</v>
      </c>
      <c r="H256" s="9" t="s">
        <v>57</v>
      </c>
      <c r="I256" s="9" t="s">
        <v>25</v>
      </c>
      <c r="J256" s="9" t="s">
        <v>30</v>
      </c>
      <c r="K256" s="9">
        <v>2000</v>
      </c>
      <c r="L256" s="39"/>
      <c r="M256" s="7" t="s">
        <v>1</v>
      </c>
      <c r="N256" s="8"/>
      <c r="O256" s="40"/>
      <c r="P256" s="15" t="s">
        <v>245</v>
      </c>
      <c r="Q256" s="9" t="s">
        <v>214</v>
      </c>
      <c r="R256" s="9" t="s">
        <v>1594</v>
      </c>
      <c r="S256" s="9" t="s">
        <v>858</v>
      </c>
      <c r="T256" s="9">
        <v>822271</v>
      </c>
      <c r="U256" s="16" t="s">
        <v>85</v>
      </c>
      <c r="V256" s="9">
        <v>1801804</v>
      </c>
      <c r="W256" s="8" t="s">
        <v>339</v>
      </c>
      <c r="X256" s="8"/>
      <c r="Y256" s="8"/>
      <c r="Z256" s="8"/>
      <c r="AA256" s="8"/>
      <c r="AB256" s="8"/>
      <c r="AC256" s="8" t="s">
        <v>190</v>
      </c>
      <c r="AD256" s="14" t="s">
        <v>191</v>
      </c>
      <c r="AE256" s="8" t="s">
        <v>192</v>
      </c>
      <c r="AF256" s="14">
        <v>1</v>
      </c>
      <c r="AG256" s="8">
        <v>1250</v>
      </c>
      <c r="AH256" s="8"/>
      <c r="AI256" s="8">
        <v>87</v>
      </c>
      <c r="AJ256" s="8">
        <v>48.87</v>
      </c>
      <c r="AK256" s="127">
        <v>38.130000000000003</v>
      </c>
      <c r="AL256" s="103">
        <v>0</v>
      </c>
      <c r="AM256" s="8">
        <v>38.130000000000003</v>
      </c>
      <c r="AN256" s="21">
        <v>0</v>
      </c>
      <c r="AO256" s="21">
        <v>38.130000000000003</v>
      </c>
      <c r="AP256" s="21">
        <v>0</v>
      </c>
      <c r="AQ256" s="21">
        <v>0</v>
      </c>
      <c r="AR256" s="21">
        <v>0</v>
      </c>
      <c r="AS256" s="8">
        <v>38.130000000000003</v>
      </c>
      <c r="AT256" s="21">
        <v>0</v>
      </c>
      <c r="AU256" s="21">
        <v>38.130000000000003</v>
      </c>
      <c r="AV256" s="21">
        <v>0</v>
      </c>
      <c r="AW256" s="21">
        <v>0</v>
      </c>
      <c r="AX256" s="21">
        <v>0</v>
      </c>
      <c r="AY256" s="8">
        <v>0</v>
      </c>
    </row>
    <row r="257" spans="1:51" ht="15" customHeight="1" x14ac:dyDescent="0.25">
      <c r="A257" s="9">
        <v>742</v>
      </c>
      <c r="B257" s="13">
        <v>45740</v>
      </c>
      <c r="C257" s="9" t="s">
        <v>169</v>
      </c>
      <c r="D257" s="9" t="s">
        <v>1840</v>
      </c>
      <c r="E257" s="8" t="s">
        <v>1825</v>
      </c>
      <c r="F257" s="9" t="s">
        <v>867</v>
      </c>
      <c r="G257" s="9" t="s">
        <v>1687</v>
      </c>
      <c r="H257" s="9" t="s">
        <v>57</v>
      </c>
      <c r="I257" s="9" t="s">
        <v>25</v>
      </c>
      <c r="J257" s="9" t="s">
        <v>31</v>
      </c>
      <c r="K257" s="9">
        <v>2000</v>
      </c>
      <c r="L257" s="39"/>
      <c r="M257" s="7" t="s">
        <v>1</v>
      </c>
      <c r="N257" s="8"/>
      <c r="O257" s="40"/>
      <c r="P257" s="15" t="s">
        <v>216</v>
      </c>
      <c r="Q257" s="9" t="s">
        <v>180</v>
      </c>
      <c r="R257" s="9" t="s">
        <v>1574</v>
      </c>
      <c r="S257" s="9" t="s">
        <v>859</v>
      </c>
      <c r="T257" s="9">
        <v>116649</v>
      </c>
      <c r="U257" s="16" t="s">
        <v>96</v>
      </c>
      <c r="V257" s="9">
        <v>3240790</v>
      </c>
      <c r="W257" s="8" t="s">
        <v>254</v>
      </c>
      <c r="X257" s="8"/>
      <c r="Y257" s="8"/>
      <c r="Z257" s="8"/>
      <c r="AA257" s="8"/>
      <c r="AB257" s="8"/>
      <c r="AC257" s="8" t="s">
        <v>210</v>
      </c>
      <c r="AD257" s="14" t="s">
        <v>218</v>
      </c>
      <c r="AE257" s="8" t="s">
        <v>250</v>
      </c>
      <c r="AF257" s="14">
        <v>0.7</v>
      </c>
      <c r="AG257" s="8">
        <v>1000</v>
      </c>
      <c r="AH257" s="8"/>
      <c r="AI257" s="8">
        <v>42</v>
      </c>
      <c r="AJ257" s="8">
        <v>20.484999999999999</v>
      </c>
      <c r="AK257" s="127">
        <v>0.63</v>
      </c>
      <c r="AL257" s="103">
        <v>20.884999999999998</v>
      </c>
      <c r="AM257" s="8">
        <v>0</v>
      </c>
      <c r="AN257" s="21">
        <v>0</v>
      </c>
      <c r="AO257" s="21">
        <v>0</v>
      </c>
      <c r="AP257" s="21">
        <v>0</v>
      </c>
      <c r="AQ257" s="21">
        <v>0</v>
      </c>
      <c r="AR257" s="21">
        <v>0</v>
      </c>
      <c r="AS257" s="8">
        <v>20.884999999999998</v>
      </c>
      <c r="AT257" s="21">
        <v>20.884999999999998</v>
      </c>
      <c r="AU257" s="21">
        <v>0</v>
      </c>
      <c r="AV257" s="21">
        <v>0</v>
      </c>
      <c r="AW257" s="21">
        <v>0</v>
      </c>
      <c r="AX257" s="21">
        <v>0</v>
      </c>
      <c r="AY257" s="8">
        <v>0</v>
      </c>
    </row>
    <row r="258" spans="1:51" ht="15" customHeight="1" x14ac:dyDescent="0.25">
      <c r="A258" s="9">
        <v>742</v>
      </c>
      <c r="B258" s="13">
        <v>45740</v>
      </c>
      <c r="C258" s="9" t="s">
        <v>169</v>
      </c>
      <c r="D258" s="9" t="s">
        <v>1841</v>
      </c>
      <c r="E258" s="8" t="s">
        <v>1825</v>
      </c>
      <c r="F258" s="9" t="s">
        <v>868</v>
      </c>
      <c r="G258" s="9" t="s">
        <v>1687</v>
      </c>
      <c r="H258" s="9" t="s">
        <v>57</v>
      </c>
      <c r="I258" s="9" t="s">
        <v>25</v>
      </c>
      <c r="J258" s="9" t="s">
        <v>30</v>
      </c>
      <c r="K258" s="9">
        <v>2000</v>
      </c>
      <c r="L258" s="39"/>
      <c r="M258" s="7" t="s">
        <v>1</v>
      </c>
      <c r="N258" s="8"/>
      <c r="O258" s="40" t="s">
        <v>1390</v>
      </c>
      <c r="P258" s="15" t="s">
        <v>245</v>
      </c>
      <c r="Q258" s="9" t="s">
        <v>214</v>
      </c>
      <c r="R258" s="9" t="s">
        <v>1595</v>
      </c>
      <c r="S258" s="9" t="s">
        <v>859</v>
      </c>
      <c r="T258" s="9">
        <v>116465</v>
      </c>
      <c r="U258" s="16" t="s">
        <v>98</v>
      </c>
      <c r="V258" s="9">
        <v>353956</v>
      </c>
      <c r="W258" s="8" t="s">
        <v>871</v>
      </c>
      <c r="X258" s="8"/>
      <c r="Y258" s="8"/>
      <c r="Z258" s="8"/>
      <c r="AA258" s="8"/>
      <c r="AB258" s="8"/>
      <c r="AC258" s="8" t="s">
        <v>210</v>
      </c>
      <c r="AD258" s="14" t="s">
        <v>191</v>
      </c>
      <c r="AE258" s="8" t="s">
        <v>192</v>
      </c>
      <c r="AF258" s="14">
        <v>0.7</v>
      </c>
      <c r="AG258" s="8">
        <v>1250</v>
      </c>
      <c r="AH258" s="8"/>
      <c r="AI258" s="8">
        <v>60</v>
      </c>
      <c r="AJ258" s="8">
        <v>8.6950000000000003</v>
      </c>
      <c r="AK258" s="127">
        <v>51.305</v>
      </c>
      <c r="AL258" s="103">
        <v>2.9049999999999998</v>
      </c>
      <c r="AM258" s="8">
        <v>0</v>
      </c>
      <c r="AN258" s="21">
        <v>0</v>
      </c>
      <c r="AO258" s="21">
        <v>0</v>
      </c>
      <c r="AP258" s="21">
        <v>0</v>
      </c>
      <c r="AQ258" s="21">
        <v>0</v>
      </c>
      <c r="AR258" s="21">
        <v>0</v>
      </c>
      <c r="AS258" s="8">
        <v>2.9049999999999998</v>
      </c>
      <c r="AT258" s="21">
        <v>2.9049999999999998</v>
      </c>
      <c r="AU258" s="21">
        <v>0</v>
      </c>
      <c r="AV258" s="21">
        <v>0</v>
      </c>
      <c r="AW258" s="21">
        <v>0</v>
      </c>
      <c r="AX258" s="21">
        <v>0</v>
      </c>
      <c r="AY258" s="8">
        <v>0</v>
      </c>
    </row>
    <row r="259" spans="1:51" ht="15" customHeight="1" x14ac:dyDescent="0.25">
      <c r="A259" s="9">
        <v>744</v>
      </c>
      <c r="B259" s="13">
        <v>45742</v>
      </c>
      <c r="C259" s="9" t="s">
        <v>169</v>
      </c>
      <c r="D259" s="9" t="s">
        <v>1842</v>
      </c>
      <c r="E259" s="8" t="s">
        <v>1825</v>
      </c>
      <c r="F259" s="9" t="s">
        <v>869</v>
      </c>
      <c r="G259" s="9" t="s">
        <v>1687</v>
      </c>
      <c r="H259" s="9" t="s">
        <v>57</v>
      </c>
      <c r="I259" s="9" t="s">
        <v>48</v>
      </c>
      <c r="J259" s="9" t="s">
        <v>39</v>
      </c>
      <c r="K259" s="9">
        <v>1000</v>
      </c>
      <c r="L259" s="39"/>
      <c r="M259" s="7" t="s">
        <v>1</v>
      </c>
      <c r="N259" s="8"/>
      <c r="O259" s="40" t="s">
        <v>1335</v>
      </c>
      <c r="P259" s="15" t="s">
        <v>220</v>
      </c>
      <c r="Q259" s="9" t="s">
        <v>264</v>
      </c>
      <c r="R259" s="9" t="s">
        <v>225</v>
      </c>
      <c r="S259" s="9" t="s">
        <v>858</v>
      </c>
      <c r="T259" s="9">
        <v>940016</v>
      </c>
      <c r="U259" s="16" t="s">
        <v>133</v>
      </c>
      <c r="V259" s="9">
        <v>3522241</v>
      </c>
      <c r="W259" s="8" t="s">
        <v>348</v>
      </c>
      <c r="X259" s="8"/>
      <c r="Y259" s="8"/>
      <c r="Z259" s="8"/>
      <c r="AA259" s="8"/>
      <c r="AB259" s="8"/>
      <c r="AC259" s="8" t="s">
        <v>228</v>
      </c>
      <c r="AD259" s="14" t="s">
        <v>229</v>
      </c>
      <c r="AE259" s="8" t="s">
        <v>232</v>
      </c>
      <c r="AF259" s="14">
        <v>0.43</v>
      </c>
      <c r="AG259" s="8">
        <v>1220</v>
      </c>
      <c r="AH259" s="8"/>
      <c r="AI259" s="8">
        <v>168</v>
      </c>
      <c r="AJ259" s="8">
        <v>96.16</v>
      </c>
      <c r="AK259" s="127">
        <v>0.19</v>
      </c>
      <c r="AL259" s="103">
        <v>3.64</v>
      </c>
      <c r="AM259" s="8">
        <v>0</v>
      </c>
      <c r="AN259" s="21">
        <v>0</v>
      </c>
      <c r="AO259" s="21">
        <v>0</v>
      </c>
      <c r="AP259" s="21">
        <v>0</v>
      </c>
      <c r="AQ259" s="21">
        <v>0</v>
      </c>
      <c r="AR259" s="21">
        <v>0</v>
      </c>
      <c r="AS259" s="8">
        <v>3.64</v>
      </c>
      <c r="AT259" s="21">
        <v>3.64</v>
      </c>
      <c r="AU259" s="21">
        <v>0</v>
      </c>
      <c r="AV259" s="21">
        <v>0</v>
      </c>
      <c r="AW259" s="21">
        <v>0</v>
      </c>
      <c r="AX259" s="21">
        <v>0</v>
      </c>
      <c r="AY259" s="8">
        <v>0</v>
      </c>
    </row>
    <row r="260" spans="1:51" ht="15" customHeight="1" x14ac:dyDescent="0.25">
      <c r="A260" s="9">
        <v>742</v>
      </c>
      <c r="B260" s="13">
        <v>45750</v>
      </c>
      <c r="C260" s="9" t="s">
        <v>193</v>
      </c>
      <c r="D260" s="9">
        <v>9518665983</v>
      </c>
      <c r="E260" s="8">
        <v>1</v>
      </c>
      <c r="F260" s="9" t="s">
        <v>1843</v>
      </c>
      <c r="G260" s="79" t="s">
        <v>576</v>
      </c>
      <c r="H260" s="9" t="s">
        <v>57</v>
      </c>
      <c r="I260" s="9" t="s">
        <v>35</v>
      </c>
      <c r="J260" s="9" t="s">
        <v>36</v>
      </c>
      <c r="K260" s="9">
        <v>2000</v>
      </c>
      <c r="L260" s="39"/>
      <c r="M260" s="7" t="s">
        <v>1</v>
      </c>
      <c r="N260" s="8"/>
      <c r="O260" s="40"/>
      <c r="P260" s="15" t="s">
        <v>244</v>
      </c>
      <c r="Q260" s="9" t="s">
        <v>188</v>
      </c>
      <c r="R260" s="9" t="s">
        <v>1282</v>
      </c>
      <c r="S260" s="9" t="s">
        <v>858</v>
      </c>
      <c r="T260" s="9">
        <v>650783</v>
      </c>
      <c r="U260" s="16" t="s">
        <v>875</v>
      </c>
      <c r="V260" s="9">
        <v>3996848</v>
      </c>
      <c r="W260" s="8" t="s">
        <v>876</v>
      </c>
      <c r="X260" s="8"/>
      <c r="Y260" s="8"/>
      <c r="Z260" s="8"/>
      <c r="AA260" s="8"/>
      <c r="AB260" s="8"/>
      <c r="AC260" s="8" t="s">
        <v>292</v>
      </c>
      <c r="AD260" s="14" t="s">
        <v>293</v>
      </c>
      <c r="AE260" s="8" t="s">
        <v>294</v>
      </c>
      <c r="AF260" s="14">
        <v>0.34499999999999997</v>
      </c>
      <c r="AG260" s="8">
        <v>1220</v>
      </c>
      <c r="AH260" s="8"/>
      <c r="AI260" s="8">
        <v>56</v>
      </c>
      <c r="AJ260" s="8">
        <v>0</v>
      </c>
      <c r="AK260" s="127">
        <v>56</v>
      </c>
      <c r="AL260" s="103">
        <v>0</v>
      </c>
      <c r="AM260" s="8">
        <v>56</v>
      </c>
      <c r="AN260" s="21">
        <v>0</v>
      </c>
      <c r="AO260" s="21">
        <v>56</v>
      </c>
      <c r="AP260" s="21">
        <v>0</v>
      </c>
      <c r="AQ260" s="21">
        <v>0</v>
      </c>
      <c r="AR260" s="21">
        <v>0</v>
      </c>
      <c r="AS260" s="8">
        <v>56</v>
      </c>
      <c r="AT260" s="21">
        <v>0</v>
      </c>
      <c r="AU260" s="21">
        <v>56</v>
      </c>
      <c r="AV260" s="21">
        <v>0</v>
      </c>
      <c r="AW260" s="21">
        <v>0</v>
      </c>
      <c r="AX260" s="21">
        <v>0</v>
      </c>
      <c r="AY260" s="8">
        <v>0</v>
      </c>
    </row>
    <row r="261" spans="1:51" ht="15" customHeight="1" x14ac:dyDescent="0.25">
      <c r="A261" s="9">
        <v>742</v>
      </c>
      <c r="B261" s="13">
        <v>45750</v>
      </c>
      <c r="C261" s="9" t="s">
        <v>193</v>
      </c>
      <c r="D261" s="9">
        <v>9518665983</v>
      </c>
      <c r="E261" s="8">
        <v>2</v>
      </c>
      <c r="F261" s="9" t="s">
        <v>1844</v>
      </c>
      <c r="G261" s="79" t="s">
        <v>576</v>
      </c>
      <c r="H261" s="9" t="s">
        <v>57</v>
      </c>
      <c r="I261" s="9" t="s">
        <v>35</v>
      </c>
      <c r="J261" s="9" t="s">
        <v>36</v>
      </c>
      <c r="K261" s="9">
        <v>2000</v>
      </c>
      <c r="L261" s="39"/>
      <c r="M261" s="7" t="s">
        <v>1</v>
      </c>
      <c r="N261" s="8"/>
      <c r="O261" s="40"/>
      <c r="P261" s="15" t="s">
        <v>244</v>
      </c>
      <c r="Q261" s="9" t="s">
        <v>188</v>
      </c>
      <c r="R261" s="9" t="s">
        <v>1282</v>
      </c>
      <c r="S261" s="9" t="s">
        <v>858</v>
      </c>
      <c r="T261" s="9">
        <v>650783</v>
      </c>
      <c r="U261" s="16" t="s">
        <v>875</v>
      </c>
      <c r="V261" s="9">
        <v>3996849</v>
      </c>
      <c r="W261" s="8" t="s">
        <v>877</v>
      </c>
      <c r="X261" s="8"/>
      <c r="Y261" s="8"/>
      <c r="Z261" s="8"/>
      <c r="AA261" s="8"/>
      <c r="AB261" s="8"/>
      <c r="AC261" s="8" t="s">
        <v>292</v>
      </c>
      <c r="AD261" s="14" t="s">
        <v>293</v>
      </c>
      <c r="AE261" s="8" t="s">
        <v>294</v>
      </c>
      <c r="AF261" s="14">
        <v>0.374</v>
      </c>
      <c r="AG261" s="8">
        <v>1220</v>
      </c>
      <c r="AH261" s="8"/>
      <c r="AI261" s="8">
        <v>196</v>
      </c>
      <c r="AJ261" s="8">
        <v>0</v>
      </c>
      <c r="AK261" s="127">
        <v>196</v>
      </c>
      <c r="AL261" s="103">
        <v>0</v>
      </c>
      <c r="AM261" s="8">
        <v>196</v>
      </c>
      <c r="AN261" s="21">
        <v>0</v>
      </c>
      <c r="AO261" s="21">
        <v>196</v>
      </c>
      <c r="AP261" s="21">
        <v>0</v>
      </c>
      <c r="AQ261" s="21">
        <v>0</v>
      </c>
      <c r="AR261" s="21">
        <v>0</v>
      </c>
      <c r="AS261" s="8">
        <v>196</v>
      </c>
      <c r="AT261" s="21">
        <v>0</v>
      </c>
      <c r="AU261" s="21">
        <v>0</v>
      </c>
      <c r="AV261" s="21">
        <v>196</v>
      </c>
      <c r="AW261" s="21">
        <v>0</v>
      </c>
      <c r="AX261" s="21">
        <v>0</v>
      </c>
      <c r="AY261" s="8">
        <v>0</v>
      </c>
    </row>
    <row r="262" spans="1:51" ht="15" customHeight="1" x14ac:dyDescent="0.25">
      <c r="A262" s="9">
        <v>742</v>
      </c>
      <c r="B262" s="13">
        <v>45750</v>
      </c>
      <c r="C262" s="9" t="s">
        <v>193</v>
      </c>
      <c r="D262" s="9">
        <v>9518665983</v>
      </c>
      <c r="E262" s="8">
        <v>3</v>
      </c>
      <c r="F262" s="9" t="s">
        <v>1845</v>
      </c>
      <c r="G262" s="79" t="s">
        <v>576</v>
      </c>
      <c r="H262" s="9" t="s">
        <v>57</v>
      </c>
      <c r="I262" s="9" t="s">
        <v>35</v>
      </c>
      <c r="J262" s="9" t="s">
        <v>36</v>
      </c>
      <c r="K262" s="9">
        <v>2000</v>
      </c>
      <c r="L262" s="39">
        <v>1000</v>
      </c>
      <c r="M262" s="7" t="s">
        <v>1</v>
      </c>
      <c r="N262" s="8"/>
      <c r="O262" s="40"/>
      <c r="P262" s="15" t="s">
        <v>244</v>
      </c>
      <c r="Q262" s="9" t="s">
        <v>188</v>
      </c>
      <c r="R262" s="9" t="s">
        <v>1282</v>
      </c>
      <c r="S262" s="9" t="s">
        <v>858</v>
      </c>
      <c r="T262" s="9">
        <v>650783</v>
      </c>
      <c r="U262" s="16" t="s">
        <v>875</v>
      </c>
      <c r="V262" s="9">
        <v>3996850</v>
      </c>
      <c r="W262" s="8" t="s">
        <v>878</v>
      </c>
      <c r="X262" s="8"/>
      <c r="Y262" s="8"/>
      <c r="Z262" s="8"/>
      <c r="AA262" s="8"/>
      <c r="AB262" s="8"/>
      <c r="AC262" s="8" t="s">
        <v>292</v>
      </c>
      <c r="AD262" s="14" t="s">
        <v>293</v>
      </c>
      <c r="AE262" s="8" t="s">
        <v>294</v>
      </c>
      <c r="AF262" s="14">
        <v>0.44500000000000001</v>
      </c>
      <c r="AG262" s="8">
        <v>1220</v>
      </c>
      <c r="AH262" s="8"/>
      <c r="AI262" s="8">
        <v>168</v>
      </c>
      <c r="AJ262" s="8">
        <v>0</v>
      </c>
      <c r="AK262" s="127">
        <v>168</v>
      </c>
      <c r="AL262" s="103">
        <v>0</v>
      </c>
      <c r="AM262" s="8">
        <v>168</v>
      </c>
      <c r="AN262" s="21">
        <v>0</v>
      </c>
      <c r="AO262" s="21">
        <v>168</v>
      </c>
      <c r="AP262" s="21">
        <v>0</v>
      </c>
      <c r="AQ262" s="21">
        <v>0</v>
      </c>
      <c r="AR262" s="21">
        <v>0</v>
      </c>
      <c r="AS262" s="8">
        <v>168</v>
      </c>
      <c r="AT262" s="21">
        <v>0</v>
      </c>
      <c r="AU262" s="21">
        <v>0</v>
      </c>
      <c r="AV262" s="21">
        <v>168</v>
      </c>
      <c r="AW262" s="21">
        <v>0</v>
      </c>
      <c r="AX262" s="21">
        <v>0</v>
      </c>
      <c r="AY262" s="8">
        <v>0</v>
      </c>
    </row>
    <row r="263" spans="1:51" ht="15" customHeight="1" x14ac:dyDescent="0.25">
      <c r="A263" s="9">
        <v>742</v>
      </c>
      <c r="B263" s="13">
        <v>45750</v>
      </c>
      <c r="C263" s="9" t="s">
        <v>169</v>
      </c>
      <c r="D263" s="9">
        <v>9518666887</v>
      </c>
      <c r="E263" s="8">
        <v>5</v>
      </c>
      <c r="F263" s="9" t="s">
        <v>884</v>
      </c>
      <c r="G263" s="79" t="s">
        <v>1303</v>
      </c>
      <c r="H263" s="9" t="s">
        <v>57</v>
      </c>
      <c r="I263" s="9" t="s">
        <v>25</v>
      </c>
      <c r="J263" s="9" t="s">
        <v>31</v>
      </c>
      <c r="K263" s="9" t="s">
        <v>170</v>
      </c>
      <c r="L263" s="39"/>
      <c r="M263" s="7" t="s">
        <v>1</v>
      </c>
      <c r="N263" s="8"/>
      <c r="O263" s="40"/>
      <c r="P263" s="15"/>
      <c r="Q263" s="9" t="s">
        <v>172</v>
      </c>
      <c r="R263" s="9" t="s">
        <v>286</v>
      </c>
      <c r="S263" s="9"/>
      <c r="T263" s="9">
        <v>931525</v>
      </c>
      <c r="U263" s="16" t="s">
        <v>75</v>
      </c>
      <c r="V263" s="9">
        <v>3444592</v>
      </c>
      <c r="W263" s="8" t="s">
        <v>472</v>
      </c>
      <c r="X263" s="8" t="s">
        <v>265</v>
      </c>
      <c r="Y263" s="8" t="s">
        <v>175</v>
      </c>
      <c r="Z263" s="8">
        <v>0</v>
      </c>
      <c r="AA263" s="8">
        <v>0</v>
      </c>
      <c r="AB263" s="8"/>
      <c r="AC263" s="8" t="s">
        <v>210</v>
      </c>
      <c r="AD263" s="14" t="s">
        <v>211</v>
      </c>
      <c r="AE263" s="8" t="s">
        <v>212</v>
      </c>
      <c r="AF263" s="14">
        <v>0.45</v>
      </c>
      <c r="AG263" s="8">
        <v>1250</v>
      </c>
      <c r="AH263" s="8">
        <v>2030</v>
      </c>
      <c r="AI263" s="8">
        <v>27</v>
      </c>
      <c r="AJ263" s="8">
        <v>0</v>
      </c>
      <c r="AK263" s="127">
        <v>27</v>
      </c>
      <c r="AL263" s="103">
        <v>0</v>
      </c>
      <c r="AM263" s="8">
        <v>27</v>
      </c>
      <c r="AN263" s="21">
        <v>0</v>
      </c>
      <c r="AO263" s="21">
        <v>0</v>
      </c>
      <c r="AP263" s="21">
        <v>27</v>
      </c>
      <c r="AQ263" s="21">
        <v>0</v>
      </c>
      <c r="AR263" s="21">
        <v>0</v>
      </c>
      <c r="AS263" s="8">
        <v>27</v>
      </c>
      <c r="AT263" s="21">
        <v>0</v>
      </c>
      <c r="AU263" s="21">
        <v>0</v>
      </c>
      <c r="AV263" s="21">
        <v>27</v>
      </c>
      <c r="AW263" s="21">
        <v>0</v>
      </c>
      <c r="AX263" s="21">
        <v>0</v>
      </c>
      <c r="AY263" s="8">
        <v>0</v>
      </c>
    </row>
    <row r="264" spans="1:51" ht="15" customHeight="1" x14ac:dyDescent="0.25">
      <c r="A264" s="9">
        <v>742</v>
      </c>
      <c r="B264" s="13">
        <v>45694</v>
      </c>
      <c r="C264" s="9" t="s">
        <v>169</v>
      </c>
      <c r="D264" s="9">
        <v>9518497626</v>
      </c>
      <c r="E264" s="8">
        <v>16</v>
      </c>
      <c r="F264" s="9" t="s">
        <v>537</v>
      </c>
      <c r="G264" s="9" t="s">
        <v>1687</v>
      </c>
      <c r="H264" s="9" t="s">
        <v>57</v>
      </c>
      <c r="I264" s="9" t="s">
        <v>25</v>
      </c>
      <c r="J264" s="9" t="s">
        <v>30</v>
      </c>
      <c r="K264" s="9" t="s">
        <v>170</v>
      </c>
      <c r="L264" s="39"/>
      <c r="M264" s="7" t="s">
        <v>1</v>
      </c>
      <c r="N264" s="8"/>
      <c r="O264" s="40"/>
      <c r="P264" s="15"/>
      <c r="Q264" s="9" t="s">
        <v>214</v>
      </c>
      <c r="R264" s="9" t="s">
        <v>215</v>
      </c>
      <c r="S264" s="9"/>
      <c r="T264" s="9">
        <v>946077</v>
      </c>
      <c r="U264" s="16" t="s">
        <v>83</v>
      </c>
      <c r="V264" s="9">
        <v>353957</v>
      </c>
      <c r="W264" s="8" t="s">
        <v>508</v>
      </c>
      <c r="X264" s="8" t="s">
        <v>265</v>
      </c>
      <c r="Y264" s="8" t="s">
        <v>175</v>
      </c>
      <c r="Z264" s="8">
        <v>0</v>
      </c>
      <c r="AA264" s="8">
        <v>0</v>
      </c>
      <c r="AB264" s="8"/>
      <c r="AC264" s="8" t="s">
        <v>210</v>
      </c>
      <c r="AD264" s="14" t="s">
        <v>191</v>
      </c>
      <c r="AE264" s="8" t="s">
        <v>192</v>
      </c>
      <c r="AF264" s="14">
        <v>0.8</v>
      </c>
      <c r="AG264" s="8">
        <v>1250</v>
      </c>
      <c r="AH264" s="8">
        <v>2500</v>
      </c>
      <c r="AI264" s="8">
        <v>27</v>
      </c>
      <c r="AJ264" s="8">
        <v>0</v>
      </c>
      <c r="AK264" s="127">
        <v>4.62</v>
      </c>
      <c r="AL264" s="103">
        <v>5.74</v>
      </c>
      <c r="AM264" s="8">
        <v>0</v>
      </c>
      <c r="AN264" s="21">
        <v>0</v>
      </c>
      <c r="AO264" s="21">
        <v>0</v>
      </c>
      <c r="AP264" s="21">
        <v>0</v>
      </c>
      <c r="AQ264" s="21">
        <v>0</v>
      </c>
      <c r="AR264" s="21">
        <v>0</v>
      </c>
      <c r="AS264" s="8">
        <v>5.74</v>
      </c>
      <c r="AT264" s="21">
        <v>5.74</v>
      </c>
      <c r="AU264" s="21">
        <v>0</v>
      </c>
      <c r="AV264" s="21">
        <v>0</v>
      </c>
      <c r="AW264" s="21">
        <v>0</v>
      </c>
      <c r="AX264" s="21">
        <v>0</v>
      </c>
      <c r="AY264" s="8">
        <v>0</v>
      </c>
    </row>
    <row r="265" spans="1:51" ht="15" customHeight="1" x14ac:dyDescent="0.25">
      <c r="A265" s="9">
        <v>744</v>
      </c>
      <c r="B265" s="13">
        <v>45766</v>
      </c>
      <c r="C265" s="9" t="s">
        <v>169</v>
      </c>
      <c r="D265" s="9">
        <v>9518704836</v>
      </c>
      <c r="E265" s="8">
        <v>1</v>
      </c>
      <c r="F265" s="9" t="s">
        <v>885</v>
      </c>
      <c r="G265" s="9" t="s">
        <v>1687</v>
      </c>
      <c r="H265" s="9" t="s">
        <v>57</v>
      </c>
      <c r="I265" s="9" t="s">
        <v>48</v>
      </c>
      <c r="J265" s="9" t="s">
        <v>39</v>
      </c>
      <c r="K265" s="9" t="s">
        <v>233</v>
      </c>
      <c r="L265" s="39"/>
      <c r="M265" s="7" t="s">
        <v>1</v>
      </c>
      <c r="N265" s="8"/>
      <c r="O265" s="40"/>
      <c r="P265" s="15"/>
      <c r="Q265" s="9" t="s">
        <v>264</v>
      </c>
      <c r="R265" s="9" t="s">
        <v>265</v>
      </c>
      <c r="S265" s="9"/>
      <c r="T265" s="9">
        <v>941597</v>
      </c>
      <c r="U265" s="16" t="s">
        <v>106</v>
      </c>
      <c r="V265" s="9">
        <v>1633706</v>
      </c>
      <c r="W265" s="8" t="s">
        <v>347</v>
      </c>
      <c r="X265" s="8" t="s">
        <v>317</v>
      </c>
      <c r="Y265" s="8" t="s">
        <v>1175</v>
      </c>
      <c r="Z265" s="8">
        <v>3</v>
      </c>
      <c r="AA265" s="8">
        <v>5</v>
      </c>
      <c r="AB265" s="8"/>
      <c r="AC265" s="8" t="s">
        <v>228</v>
      </c>
      <c r="AD265" s="14" t="s">
        <v>229</v>
      </c>
      <c r="AE265" s="8" t="s">
        <v>342</v>
      </c>
      <c r="AF265" s="14">
        <v>0.42</v>
      </c>
      <c r="AG265" s="8">
        <v>1220</v>
      </c>
      <c r="AH265" s="8">
        <v>0</v>
      </c>
      <c r="AI265" s="8">
        <v>28</v>
      </c>
      <c r="AJ265" s="8">
        <v>0</v>
      </c>
      <c r="AK265" s="127">
        <v>3.4849999999999999</v>
      </c>
      <c r="AL265" s="103">
        <v>24.515000000000001</v>
      </c>
      <c r="AM265" s="8">
        <v>0</v>
      </c>
      <c r="AN265" s="21">
        <v>0</v>
      </c>
      <c r="AO265" s="21">
        <v>0</v>
      </c>
      <c r="AP265" s="21">
        <v>0</v>
      </c>
      <c r="AQ265" s="21">
        <v>0</v>
      </c>
      <c r="AR265" s="21">
        <v>0</v>
      </c>
      <c r="AS265" s="8">
        <v>24.515000000000001</v>
      </c>
      <c r="AT265" s="21">
        <v>24.515000000000001</v>
      </c>
      <c r="AU265" s="21">
        <v>0</v>
      </c>
      <c r="AV265" s="21">
        <v>0</v>
      </c>
      <c r="AW265" s="21">
        <v>0</v>
      </c>
      <c r="AX265" s="21">
        <v>0</v>
      </c>
      <c r="AY265" s="8">
        <v>0</v>
      </c>
    </row>
    <row r="266" spans="1:51" ht="15" customHeight="1" x14ac:dyDescent="0.25">
      <c r="A266" s="9">
        <v>742</v>
      </c>
      <c r="B266" s="13">
        <v>45730</v>
      </c>
      <c r="C266" s="9" t="s">
        <v>193</v>
      </c>
      <c r="D266" s="9">
        <v>4000500995</v>
      </c>
      <c r="E266" s="8">
        <v>1</v>
      </c>
      <c r="F266" s="9" t="s">
        <v>886</v>
      </c>
      <c r="G266" s="79" t="s">
        <v>1303</v>
      </c>
      <c r="H266" s="9" t="s">
        <v>57</v>
      </c>
      <c r="I266" s="9" t="s">
        <v>50</v>
      </c>
      <c r="J266" s="9" t="s">
        <v>26</v>
      </c>
      <c r="K266" s="9" t="s">
        <v>170</v>
      </c>
      <c r="L266" s="39"/>
      <c r="M266" s="7" t="s">
        <v>1</v>
      </c>
      <c r="N266" s="8"/>
      <c r="O266" s="40"/>
      <c r="P266" s="15"/>
      <c r="Q266" s="9" t="s">
        <v>214</v>
      </c>
      <c r="R266" s="9" t="s">
        <v>240</v>
      </c>
      <c r="S266" s="9"/>
      <c r="T266" s="9">
        <v>600103</v>
      </c>
      <c r="U266" s="16" t="s">
        <v>102</v>
      </c>
      <c r="V266" s="9">
        <v>3226987</v>
      </c>
      <c r="W266" s="8" t="s">
        <v>241</v>
      </c>
      <c r="X266" s="8" t="s">
        <v>265</v>
      </c>
      <c r="Y266" s="8" t="s">
        <v>175</v>
      </c>
      <c r="Z266" s="8">
        <v>10</v>
      </c>
      <c r="AA266" s="8">
        <v>27</v>
      </c>
      <c r="AB266" s="8"/>
      <c r="AC266" s="8">
        <v>768</v>
      </c>
      <c r="AD266" s="14" t="s">
        <v>242</v>
      </c>
      <c r="AE266" s="8" t="s">
        <v>243</v>
      </c>
      <c r="AF266" s="14">
        <v>1.9</v>
      </c>
      <c r="AG266" s="8">
        <v>1250</v>
      </c>
      <c r="AH266" s="8">
        <v>0</v>
      </c>
      <c r="AI266" s="8">
        <v>250</v>
      </c>
      <c r="AJ266" s="8">
        <v>0</v>
      </c>
      <c r="AK266" s="127">
        <v>230.27</v>
      </c>
      <c r="AL266" s="103">
        <v>19.73</v>
      </c>
      <c r="AM266" s="8">
        <v>230.27</v>
      </c>
      <c r="AN266" s="21">
        <v>0</v>
      </c>
      <c r="AO266" s="21">
        <v>0</v>
      </c>
      <c r="AP266" s="21">
        <v>230.27</v>
      </c>
      <c r="AQ266" s="21">
        <v>0</v>
      </c>
      <c r="AR266" s="21">
        <v>0</v>
      </c>
      <c r="AS266" s="8">
        <v>250</v>
      </c>
      <c r="AT266" s="21">
        <v>0</v>
      </c>
      <c r="AU266" s="21">
        <v>0</v>
      </c>
      <c r="AV266" s="21">
        <v>0</v>
      </c>
      <c r="AW266" s="21">
        <v>250</v>
      </c>
      <c r="AX266" s="21">
        <v>0</v>
      </c>
      <c r="AY266" s="8">
        <v>0</v>
      </c>
    </row>
    <row r="267" spans="1:51" ht="15" customHeight="1" x14ac:dyDescent="0.25">
      <c r="A267" s="9">
        <v>742</v>
      </c>
      <c r="B267" s="13">
        <v>45730</v>
      </c>
      <c r="C267" s="9" t="s">
        <v>193</v>
      </c>
      <c r="D267" s="9">
        <v>4000500995</v>
      </c>
      <c r="E267" s="8">
        <v>2</v>
      </c>
      <c r="F267" s="9" t="s">
        <v>887</v>
      </c>
      <c r="G267" s="79" t="s">
        <v>1303</v>
      </c>
      <c r="H267" s="9" t="s">
        <v>57</v>
      </c>
      <c r="I267" s="9" t="s">
        <v>50</v>
      </c>
      <c r="J267" s="9" t="s">
        <v>26</v>
      </c>
      <c r="K267" s="9" t="s">
        <v>170</v>
      </c>
      <c r="L267" s="39"/>
      <c r="M267" s="7" t="s">
        <v>1</v>
      </c>
      <c r="N267" s="8"/>
      <c r="O267" s="40"/>
      <c r="P267" s="15"/>
      <c r="Q267" s="9" t="s">
        <v>214</v>
      </c>
      <c r="R267" s="9" t="s">
        <v>240</v>
      </c>
      <c r="S267" s="9"/>
      <c r="T267" s="9">
        <v>600103</v>
      </c>
      <c r="U267" s="16" t="s">
        <v>102</v>
      </c>
      <c r="V267" s="9">
        <v>1210083</v>
      </c>
      <c r="W267" s="8" t="s">
        <v>305</v>
      </c>
      <c r="X267" s="8" t="s">
        <v>265</v>
      </c>
      <c r="Y267" s="8" t="s">
        <v>175</v>
      </c>
      <c r="Z267" s="8">
        <v>10</v>
      </c>
      <c r="AA267" s="8">
        <v>27</v>
      </c>
      <c r="AB267" s="8"/>
      <c r="AC267" s="8">
        <v>768</v>
      </c>
      <c r="AD267" s="14" t="s">
        <v>242</v>
      </c>
      <c r="AE267" s="8" t="s">
        <v>243</v>
      </c>
      <c r="AF267" s="14">
        <v>2</v>
      </c>
      <c r="AG267" s="8">
        <v>1250</v>
      </c>
      <c r="AH267" s="8">
        <v>0</v>
      </c>
      <c r="AI267" s="8">
        <v>200</v>
      </c>
      <c r="AJ267" s="8">
        <v>0</v>
      </c>
      <c r="AK267" s="127">
        <v>200</v>
      </c>
      <c r="AL267" s="103">
        <v>0</v>
      </c>
      <c r="AM267" s="8">
        <v>200</v>
      </c>
      <c r="AN267" s="21">
        <v>0</v>
      </c>
      <c r="AO267" s="21">
        <v>0</v>
      </c>
      <c r="AP267" s="21">
        <v>0</v>
      </c>
      <c r="AQ267" s="21">
        <v>200</v>
      </c>
      <c r="AR267" s="21">
        <v>0</v>
      </c>
      <c r="AS267" s="8">
        <v>200</v>
      </c>
      <c r="AT267" s="21">
        <v>0</v>
      </c>
      <c r="AU267" s="21">
        <v>0</v>
      </c>
      <c r="AV267" s="21">
        <v>0</v>
      </c>
      <c r="AW267" s="21">
        <v>200</v>
      </c>
      <c r="AX267" s="21">
        <v>0</v>
      </c>
      <c r="AY267" s="8">
        <v>0</v>
      </c>
    </row>
    <row r="268" spans="1:51" ht="15" customHeight="1" x14ac:dyDescent="0.25">
      <c r="A268" s="9">
        <v>742</v>
      </c>
      <c r="B268" s="13">
        <v>45730</v>
      </c>
      <c r="C268" s="9" t="s">
        <v>193</v>
      </c>
      <c r="D268" s="9">
        <v>9518600669</v>
      </c>
      <c r="E268" s="8">
        <v>1</v>
      </c>
      <c r="F268" s="9" t="s">
        <v>888</v>
      </c>
      <c r="G268" s="79" t="s">
        <v>1303</v>
      </c>
      <c r="H268" s="9" t="s">
        <v>57</v>
      </c>
      <c r="I268" s="9" t="s">
        <v>25</v>
      </c>
      <c r="J268" s="9" t="s">
        <v>33</v>
      </c>
      <c r="K268" s="9" t="s">
        <v>170</v>
      </c>
      <c r="L268" s="39"/>
      <c r="M268" s="7" t="s">
        <v>1</v>
      </c>
      <c r="N268" s="8"/>
      <c r="O268" s="40"/>
      <c r="P268" s="15"/>
      <c r="Q268" s="9" t="s">
        <v>214</v>
      </c>
      <c r="R268" s="9" t="s">
        <v>240</v>
      </c>
      <c r="S268" s="9"/>
      <c r="T268" s="9">
        <v>650742</v>
      </c>
      <c r="U268" s="16" t="s">
        <v>101</v>
      </c>
      <c r="V268" s="9">
        <v>3820031</v>
      </c>
      <c r="W268" s="8" t="s">
        <v>275</v>
      </c>
      <c r="X268" s="8" t="s">
        <v>265</v>
      </c>
      <c r="Y268" s="8" t="s">
        <v>175</v>
      </c>
      <c r="Z268" s="8">
        <v>10</v>
      </c>
      <c r="AA268" s="8">
        <v>27</v>
      </c>
      <c r="AB268" s="8"/>
      <c r="AC268" s="8" t="s">
        <v>190</v>
      </c>
      <c r="AD268" s="14" t="s">
        <v>276</v>
      </c>
      <c r="AE268" s="8" t="s">
        <v>277</v>
      </c>
      <c r="AF268" s="14">
        <v>1.6</v>
      </c>
      <c r="AG268" s="8">
        <v>1300</v>
      </c>
      <c r="AH268" s="8">
        <v>0</v>
      </c>
      <c r="AI268" s="8">
        <v>180</v>
      </c>
      <c r="AJ268" s="8">
        <v>41.24</v>
      </c>
      <c r="AK268" s="127">
        <v>138.76</v>
      </c>
      <c r="AL268" s="103">
        <v>0</v>
      </c>
      <c r="AM268" s="8">
        <v>138.76</v>
      </c>
      <c r="AN268" s="21">
        <v>0</v>
      </c>
      <c r="AO268" s="21">
        <v>0</v>
      </c>
      <c r="AP268" s="21">
        <v>138.76</v>
      </c>
      <c r="AQ268" s="21">
        <v>0</v>
      </c>
      <c r="AR268" s="21">
        <v>0</v>
      </c>
      <c r="AS268" s="8">
        <v>138.76</v>
      </c>
      <c r="AT268" s="21">
        <v>0</v>
      </c>
      <c r="AU268" s="21">
        <v>0</v>
      </c>
      <c r="AV268" s="21">
        <v>138.76</v>
      </c>
      <c r="AW268" s="21">
        <v>0</v>
      </c>
      <c r="AX268" s="21">
        <v>0</v>
      </c>
      <c r="AY268" s="8">
        <v>0</v>
      </c>
    </row>
    <row r="269" spans="1:51" ht="15" customHeight="1" x14ac:dyDescent="0.25">
      <c r="A269" s="9">
        <v>742</v>
      </c>
      <c r="B269" s="13">
        <v>45730</v>
      </c>
      <c r="C269" s="9" t="s">
        <v>193</v>
      </c>
      <c r="D269" s="9">
        <v>9518600669</v>
      </c>
      <c r="E269" s="8">
        <v>2</v>
      </c>
      <c r="F269" s="9" t="s">
        <v>889</v>
      </c>
      <c r="G269" s="79" t="s">
        <v>1303</v>
      </c>
      <c r="H269" s="9" t="s">
        <v>57</v>
      </c>
      <c r="I269" s="9" t="s">
        <v>25</v>
      </c>
      <c r="J269" s="9" t="s">
        <v>33</v>
      </c>
      <c r="K269" s="9" t="s">
        <v>170</v>
      </c>
      <c r="L269" s="39"/>
      <c r="M269" s="7" t="s">
        <v>1</v>
      </c>
      <c r="N269" s="8"/>
      <c r="O269" s="40"/>
      <c r="P269" s="15"/>
      <c r="Q269" s="9" t="s">
        <v>214</v>
      </c>
      <c r="R269" s="9" t="s">
        <v>240</v>
      </c>
      <c r="S269" s="9"/>
      <c r="T269" s="9">
        <v>650742</v>
      </c>
      <c r="U269" s="16" t="s">
        <v>101</v>
      </c>
      <c r="V269" s="9">
        <v>3820032</v>
      </c>
      <c r="W269" s="8" t="s">
        <v>278</v>
      </c>
      <c r="X269" s="8" t="s">
        <v>265</v>
      </c>
      <c r="Y269" s="8" t="s">
        <v>175</v>
      </c>
      <c r="Z269" s="8">
        <v>10</v>
      </c>
      <c r="AA269" s="8">
        <v>27</v>
      </c>
      <c r="AB269" s="8"/>
      <c r="AC269" s="8" t="s">
        <v>190</v>
      </c>
      <c r="AD269" s="14" t="s">
        <v>276</v>
      </c>
      <c r="AE269" s="8" t="s">
        <v>277</v>
      </c>
      <c r="AF269" s="14">
        <v>2</v>
      </c>
      <c r="AG269" s="8">
        <v>1300</v>
      </c>
      <c r="AH269" s="8">
        <v>0</v>
      </c>
      <c r="AI269" s="8">
        <v>300</v>
      </c>
      <c r="AJ269" s="8">
        <v>0</v>
      </c>
      <c r="AK269" s="127">
        <v>300</v>
      </c>
      <c r="AL269" s="103">
        <v>0</v>
      </c>
      <c r="AM269" s="8">
        <v>300</v>
      </c>
      <c r="AN269" s="21">
        <v>0</v>
      </c>
      <c r="AO269" s="21">
        <v>0</v>
      </c>
      <c r="AP269" s="21">
        <v>300</v>
      </c>
      <c r="AQ269" s="21">
        <v>0</v>
      </c>
      <c r="AR269" s="21">
        <v>0</v>
      </c>
      <c r="AS269" s="8">
        <v>300</v>
      </c>
      <c r="AT269" s="21">
        <v>0</v>
      </c>
      <c r="AU269" s="21">
        <v>0</v>
      </c>
      <c r="AV269" s="21">
        <v>300</v>
      </c>
      <c r="AW269" s="21">
        <v>0</v>
      </c>
      <c r="AX269" s="21">
        <v>0</v>
      </c>
      <c r="AY269" s="8">
        <v>0</v>
      </c>
    </row>
    <row r="270" spans="1:51" ht="15" customHeight="1" x14ac:dyDescent="0.25">
      <c r="A270" s="9">
        <v>742</v>
      </c>
      <c r="B270" s="13">
        <v>45730</v>
      </c>
      <c r="C270" s="9" t="s">
        <v>193</v>
      </c>
      <c r="D270" s="9">
        <v>9518600669</v>
      </c>
      <c r="E270" s="8">
        <v>5</v>
      </c>
      <c r="F270" s="9" t="s">
        <v>890</v>
      </c>
      <c r="G270" s="79" t="s">
        <v>1303</v>
      </c>
      <c r="H270" s="9" t="s">
        <v>57</v>
      </c>
      <c r="I270" s="9" t="s">
        <v>25</v>
      </c>
      <c r="J270" s="9" t="s">
        <v>33</v>
      </c>
      <c r="K270" s="9" t="s">
        <v>170</v>
      </c>
      <c r="L270" s="39"/>
      <c r="M270" s="7" t="s">
        <v>1</v>
      </c>
      <c r="N270" s="8"/>
      <c r="O270" s="40"/>
      <c r="P270" s="15"/>
      <c r="Q270" s="9" t="s">
        <v>214</v>
      </c>
      <c r="R270" s="9" t="s">
        <v>240</v>
      </c>
      <c r="S270" s="9"/>
      <c r="T270" s="9">
        <v>650742</v>
      </c>
      <c r="U270" s="16" t="s">
        <v>101</v>
      </c>
      <c r="V270" s="9">
        <v>2150938</v>
      </c>
      <c r="W270" s="8" t="s">
        <v>488</v>
      </c>
      <c r="X270" s="8" t="s">
        <v>265</v>
      </c>
      <c r="Y270" s="8" t="s">
        <v>175</v>
      </c>
      <c r="Z270" s="8">
        <v>10</v>
      </c>
      <c r="AA270" s="8">
        <v>27</v>
      </c>
      <c r="AB270" s="8"/>
      <c r="AC270" s="8" t="s">
        <v>190</v>
      </c>
      <c r="AD270" s="14" t="s">
        <v>481</v>
      </c>
      <c r="AE270" s="8" t="s">
        <v>482</v>
      </c>
      <c r="AF270" s="14">
        <v>1</v>
      </c>
      <c r="AG270" s="8">
        <v>1250</v>
      </c>
      <c r="AH270" s="8">
        <v>0</v>
      </c>
      <c r="AI270" s="8">
        <v>116</v>
      </c>
      <c r="AJ270" s="8">
        <v>0</v>
      </c>
      <c r="AK270" s="127">
        <v>47.774999999999999</v>
      </c>
      <c r="AL270" s="103">
        <v>52.405000000000001</v>
      </c>
      <c r="AM270" s="8">
        <v>47.774999999999999</v>
      </c>
      <c r="AN270" s="21">
        <v>0</v>
      </c>
      <c r="AO270" s="21">
        <v>47.774999999999999</v>
      </c>
      <c r="AP270" s="21">
        <v>0</v>
      </c>
      <c r="AQ270" s="21">
        <v>0</v>
      </c>
      <c r="AR270" s="21">
        <v>0</v>
      </c>
      <c r="AS270" s="8">
        <v>100.18</v>
      </c>
      <c r="AT270" s="21">
        <v>0</v>
      </c>
      <c r="AU270" s="21">
        <v>0</v>
      </c>
      <c r="AV270" s="21">
        <v>100.18</v>
      </c>
      <c r="AW270" s="21">
        <v>0</v>
      </c>
      <c r="AX270" s="21">
        <v>0</v>
      </c>
      <c r="AY270" s="8">
        <v>0</v>
      </c>
    </row>
    <row r="271" spans="1:51" ht="15" customHeight="1" x14ac:dyDescent="0.25">
      <c r="A271" s="9">
        <v>742</v>
      </c>
      <c r="B271" s="13">
        <v>45730</v>
      </c>
      <c r="C271" s="9" t="s">
        <v>193</v>
      </c>
      <c r="D271" s="9">
        <v>9518600669</v>
      </c>
      <c r="E271" s="8">
        <v>6</v>
      </c>
      <c r="F271" s="9" t="s">
        <v>891</v>
      </c>
      <c r="G271" s="79" t="s">
        <v>1303</v>
      </c>
      <c r="H271" s="9" t="s">
        <v>57</v>
      </c>
      <c r="I271" s="9" t="s">
        <v>25</v>
      </c>
      <c r="J271" s="9" t="s">
        <v>33</v>
      </c>
      <c r="K271" s="9" t="s">
        <v>170</v>
      </c>
      <c r="L271" s="39"/>
      <c r="M271" s="7" t="s">
        <v>1</v>
      </c>
      <c r="N271" s="8"/>
      <c r="O271" s="40"/>
      <c r="P271" s="15"/>
      <c r="Q271" s="9" t="s">
        <v>214</v>
      </c>
      <c r="R271" s="9" t="s">
        <v>240</v>
      </c>
      <c r="S271" s="9"/>
      <c r="T271" s="9">
        <v>650742</v>
      </c>
      <c r="U271" s="16" t="s">
        <v>101</v>
      </c>
      <c r="V271" s="9">
        <v>2150940</v>
      </c>
      <c r="W271" s="8" t="s">
        <v>1143</v>
      </c>
      <c r="X271" s="8" t="s">
        <v>265</v>
      </c>
      <c r="Y271" s="8" t="s">
        <v>175</v>
      </c>
      <c r="Z271" s="8">
        <v>10</v>
      </c>
      <c r="AA271" s="8">
        <v>27</v>
      </c>
      <c r="AB271" s="8"/>
      <c r="AC271" s="8" t="s">
        <v>190</v>
      </c>
      <c r="AD271" s="14" t="s">
        <v>481</v>
      </c>
      <c r="AE271" s="8" t="s">
        <v>482</v>
      </c>
      <c r="AF271" s="14">
        <v>1.2</v>
      </c>
      <c r="AG271" s="8">
        <v>1250</v>
      </c>
      <c r="AH271" s="8">
        <v>0</v>
      </c>
      <c r="AI271" s="8">
        <v>116</v>
      </c>
      <c r="AJ271" s="8">
        <v>0</v>
      </c>
      <c r="AK271" s="127">
        <v>89.15</v>
      </c>
      <c r="AL271" s="103">
        <v>39.65</v>
      </c>
      <c r="AM271" s="8">
        <v>89.15</v>
      </c>
      <c r="AN271" s="21">
        <v>89.15</v>
      </c>
      <c r="AO271" s="21">
        <v>0</v>
      </c>
      <c r="AP271" s="21">
        <v>0</v>
      </c>
      <c r="AQ271" s="21">
        <v>0</v>
      </c>
      <c r="AR271" s="21">
        <v>0</v>
      </c>
      <c r="AS271" s="8">
        <v>128.80000000000001</v>
      </c>
      <c r="AT271" s="21">
        <v>0</v>
      </c>
      <c r="AU271" s="21">
        <v>128.80000000000001</v>
      </c>
      <c r="AV271" s="21">
        <v>0</v>
      </c>
      <c r="AW271" s="21">
        <v>0</v>
      </c>
      <c r="AX271" s="21">
        <v>0</v>
      </c>
      <c r="AY271" s="8">
        <v>0</v>
      </c>
    </row>
    <row r="272" spans="1:51" ht="15" customHeight="1" x14ac:dyDescent="0.25">
      <c r="A272" s="9">
        <v>742</v>
      </c>
      <c r="B272" s="13">
        <v>45730</v>
      </c>
      <c r="C272" s="9" t="s">
        <v>193</v>
      </c>
      <c r="D272" s="9">
        <v>9518600669</v>
      </c>
      <c r="E272" s="8">
        <v>7</v>
      </c>
      <c r="F272" s="9" t="s">
        <v>892</v>
      </c>
      <c r="G272" s="79" t="s">
        <v>1303</v>
      </c>
      <c r="H272" s="9" t="s">
        <v>57</v>
      </c>
      <c r="I272" s="9" t="s">
        <v>25</v>
      </c>
      <c r="J272" s="9" t="s">
        <v>33</v>
      </c>
      <c r="K272" s="9" t="s">
        <v>170</v>
      </c>
      <c r="L272" s="39"/>
      <c r="M272" s="7" t="s">
        <v>1</v>
      </c>
      <c r="N272" s="8"/>
      <c r="O272" s="40"/>
      <c r="P272" s="15"/>
      <c r="Q272" s="9" t="s">
        <v>214</v>
      </c>
      <c r="R272" s="9" t="s">
        <v>240</v>
      </c>
      <c r="S272" s="9"/>
      <c r="T272" s="9">
        <v>650742</v>
      </c>
      <c r="U272" s="16" t="s">
        <v>101</v>
      </c>
      <c r="V272" s="9">
        <v>2397430</v>
      </c>
      <c r="W272" s="8" t="s">
        <v>1144</v>
      </c>
      <c r="X272" s="8" t="s">
        <v>265</v>
      </c>
      <c r="Y272" s="8" t="s">
        <v>175</v>
      </c>
      <c r="Z272" s="8">
        <v>10</v>
      </c>
      <c r="AA272" s="8">
        <v>27</v>
      </c>
      <c r="AB272" s="8"/>
      <c r="AC272" s="8" t="s">
        <v>190</v>
      </c>
      <c r="AD272" s="14" t="s">
        <v>481</v>
      </c>
      <c r="AE272" s="8" t="s">
        <v>482</v>
      </c>
      <c r="AF272" s="14">
        <v>1.4</v>
      </c>
      <c r="AG272" s="8">
        <v>1250</v>
      </c>
      <c r="AH272" s="8">
        <v>0</v>
      </c>
      <c r="AI272" s="8">
        <v>29</v>
      </c>
      <c r="AJ272" s="8">
        <v>0</v>
      </c>
      <c r="AK272" s="127">
        <v>29</v>
      </c>
      <c r="AL272" s="103">
        <v>13.1</v>
      </c>
      <c r="AM272" s="8">
        <v>29</v>
      </c>
      <c r="AN272" s="21">
        <v>29</v>
      </c>
      <c r="AO272" s="21">
        <v>0</v>
      </c>
      <c r="AP272" s="21">
        <v>0</v>
      </c>
      <c r="AQ272" s="21">
        <v>0</v>
      </c>
      <c r="AR272" s="21">
        <v>0</v>
      </c>
      <c r="AS272" s="8">
        <v>42.1</v>
      </c>
      <c r="AT272" s="21">
        <v>0</v>
      </c>
      <c r="AU272" s="21">
        <v>42.1</v>
      </c>
      <c r="AV272" s="21">
        <v>0</v>
      </c>
      <c r="AW272" s="21">
        <v>0</v>
      </c>
      <c r="AX272" s="21">
        <v>0</v>
      </c>
      <c r="AY272" s="8">
        <v>0</v>
      </c>
    </row>
    <row r="273" spans="1:51" ht="15" customHeight="1" x14ac:dyDescent="0.25">
      <c r="A273" s="9">
        <v>742</v>
      </c>
      <c r="B273" s="13">
        <v>45730</v>
      </c>
      <c r="C273" s="9" t="s">
        <v>193</v>
      </c>
      <c r="D273" s="9">
        <v>9518600669</v>
      </c>
      <c r="E273" s="8">
        <v>8</v>
      </c>
      <c r="F273" s="9" t="s">
        <v>893</v>
      </c>
      <c r="G273" s="79" t="s">
        <v>1303</v>
      </c>
      <c r="H273" s="9" t="s">
        <v>57</v>
      </c>
      <c r="I273" s="9" t="s">
        <v>25</v>
      </c>
      <c r="J273" s="9" t="s">
        <v>33</v>
      </c>
      <c r="K273" s="9" t="s">
        <v>170</v>
      </c>
      <c r="L273" s="39"/>
      <c r="M273" s="7" t="s">
        <v>1</v>
      </c>
      <c r="N273" s="8"/>
      <c r="O273" s="40"/>
      <c r="P273" s="15"/>
      <c r="Q273" s="9" t="s">
        <v>214</v>
      </c>
      <c r="R273" s="9" t="s">
        <v>240</v>
      </c>
      <c r="S273" s="9"/>
      <c r="T273" s="9">
        <v>650742</v>
      </c>
      <c r="U273" s="16" t="s">
        <v>101</v>
      </c>
      <c r="V273" s="9">
        <v>2150942</v>
      </c>
      <c r="W273" s="8" t="s">
        <v>480</v>
      </c>
      <c r="X273" s="8" t="s">
        <v>265</v>
      </c>
      <c r="Y273" s="8" t="s">
        <v>175</v>
      </c>
      <c r="Z273" s="8">
        <v>10</v>
      </c>
      <c r="AA273" s="8">
        <v>27</v>
      </c>
      <c r="AB273" s="8"/>
      <c r="AC273" s="8" t="s">
        <v>190</v>
      </c>
      <c r="AD273" s="14" t="s">
        <v>481</v>
      </c>
      <c r="AE273" s="8" t="s">
        <v>482</v>
      </c>
      <c r="AF273" s="14">
        <v>1.6</v>
      </c>
      <c r="AG273" s="8">
        <v>1250</v>
      </c>
      <c r="AH273" s="8">
        <v>0</v>
      </c>
      <c r="AI273" s="8">
        <v>290</v>
      </c>
      <c r="AJ273" s="8">
        <v>106.24</v>
      </c>
      <c r="AK273" s="127">
        <v>130.58000000000001</v>
      </c>
      <c r="AL273" s="103">
        <v>26.63</v>
      </c>
      <c r="AM273" s="8">
        <v>130.58000000000001</v>
      </c>
      <c r="AN273" s="21">
        <v>130.58000000000001</v>
      </c>
      <c r="AO273" s="21">
        <v>0</v>
      </c>
      <c r="AP273" s="21">
        <v>0</v>
      </c>
      <c r="AQ273" s="21">
        <v>0</v>
      </c>
      <c r="AR273" s="21">
        <v>0</v>
      </c>
      <c r="AS273" s="8">
        <v>157.21</v>
      </c>
      <c r="AT273" s="21">
        <v>0</v>
      </c>
      <c r="AU273" s="21">
        <v>157.21</v>
      </c>
      <c r="AV273" s="21">
        <v>0</v>
      </c>
      <c r="AW273" s="21">
        <v>0</v>
      </c>
      <c r="AX273" s="21">
        <v>0</v>
      </c>
      <c r="AY273" s="8">
        <v>0</v>
      </c>
    </row>
    <row r="274" spans="1:51" ht="15" customHeight="1" x14ac:dyDescent="0.25">
      <c r="A274" s="9">
        <v>742</v>
      </c>
      <c r="B274" s="13">
        <v>45730</v>
      </c>
      <c r="C274" s="9" t="s">
        <v>193</v>
      </c>
      <c r="D274" s="9">
        <v>9518600669</v>
      </c>
      <c r="E274" s="8">
        <v>9</v>
      </c>
      <c r="F274" s="9" t="s">
        <v>894</v>
      </c>
      <c r="G274" s="79" t="s">
        <v>1303</v>
      </c>
      <c r="H274" s="9" t="s">
        <v>57</v>
      </c>
      <c r="I274" s="9" t="s">
        <v>25</v>
      </c>
      <c r="J274" s="9" t="s">
        <v>33</v>
      </c>
      <c r="K274" s="9" t="s">
        <v>170</v>
      </c>
      <c r="L274" s="39"/>
      <c r="M274" s="7" t="s">
        <v>1</v>
      </c>
      <c r="N274" s="8"/>
      <c r="O274" s="40"/>
      <c r="P274" s="15"/>
      <c r="Q274" s="9" t="s">
        <v>214</v>
      </c>
      <c r="R274" s="9" t="s">
        <v>240</v>
      </c>
      <c r="S274" s="9"/>
      <c r="T274" s="9">
        <v>650742</v>
      </c>
      <c r="U274" s="16" t="s">
        <v>101</v>
      </c>
      <c r="V274" s="9">
        <v>2150943</v>
      </c>
      <c r="W274" s="8" t="s">
        <v>483</v>
      </c>
      <c r="X274" s="8" t="s">
        <v>265</v>
      </c>
      <c r="Y274" s="8" t="s">
        <v>175</v>
      </c>
      <c r="Z274" s="8">
        <v>10</v>
      </c>
      <c r="AA274" s="8">
        <v>27</v>
      </c>
      <c r="AB274" s="8"/>
      <c r="AC274" s="8" t="s">
        <v>190</v>
      </c>
      <c r="AD274" s="14" t="s">
        <v>481</v>
      </c>
      <c r="AE274" s="8" t="s">
        <v>482</v>
      </c>
      <c r="AF274" s="14">
        <v>1.9</v>
      </c>
      <c r="AG274" s="8">
        <v>1250</v>
      </c>
      <c r="AH274" s="8">
        <v>0</v>
      </c>
      <c r="AI274" s="8">
        <v>174</v>
      </c>
      <c r="AJ274" s="8">
        <v>26.28</v>
      </c>
      <c r="AK274" s="127">
        <v>121.29</v>
      </c>
      <c r="AL274" s="103">
        <v>0</v>
      </c>
      <c r="AM274" s="8">
        <v>121.29</v>
      </c>
      <c r="AN274" s="21">
        <v>0</v>
      </c>
      <c r="AO274" s="21">
        <v>0</v>
      </c>
      <c r="AP274" s="21">
        <v>121.29</v>
      </c>
      <c r="AQ274" s="21">
        <v>0</v>
      </c>
      <c r="AR274" s="21">
        <v>0</v>
      </c>
      <c r="AS274" s="8">
        <v>121.29</v>
      </c>
      <c r="AT274" s="21">
        <v>0</v>
      </c>
      <c r="AU274" s="21">
        <v>0</v>
      </c>
      <c r="AV274" s="21">
        <v>121.29</v>
      </c>
      <c r="AW274" s="21">
        <v>0</v>
      </c>
      <c r="AX274" s="21">
        <v>0</v>
      </c>
      <c r="AY274" s="8">
        <v>0</v>
      </c>
    </row>
    <row r="275" spans="1:51" ht="15" customHeight="1" x14ac:dyDescent="0.25">
      <c r="A275" s="9">
        <v>742</v>
      </c>
      <c r="B275" s="13">
        <v>45730</v>
      </c>
      <c r="C275" s="9" t="s">
        <v>193</v>
      </c>
      <c r="D275" s="9">
        <v>9518600669</v>
      </c>
      <c r="E275" s="8">
        <v>10</v>
      </c>
      <c r="F275" s="9" t="s">
        <v>895</v>
      </c>
      <c r="G275" s="79" t="s">
        <v>1303</v>
      </c>
      <c r="H275" s="9" t="s">
        <v>57</v>
      </c>
      <c r="I275" s="9" t="s">
        <v>25</v>
      </c>
      <c r="J275" s="9" t="s">
        <v>33</v>
      </c>
      <c r="K275" s="9" t="s">
        <v>170</v>
      </c>
      <c r="L275" s="39"/>
      <c r="M275" s="7" t="s">
        <v>1</v>
      </c>
      <c r="N275" s="8"/>
      <c r="O275" s="40"/>
      <c r="P275" s="15"/>
      <c r="Q275" s="9" t="s">
        <v>214</v>
      </c>
      <c r="R275" s="9" t="s">
        <v>240</v>
      </c>
      <c r="S275" s="9"/>
      <c r="T275" s="9">
        <v>650742</v>
      </c>
      <c r="U275" s="16" t="s">
        <v>101</v>
      </c>
      <c r="V275" s="9">
        <v>2279476</v>
      </c>
      <c r="W275" s="8" t="s">
        <v>279</v>
      </c>
      <c r="X275" s="8" t="s">
        <v>265</v>
      </c>
      <c r="Y275" s="8" t="s">
        <v>175</v>
      </c>
      <c r="Z275" s="8">
        <v>10</v>
      </c>
      <c r="AA275" s="8">
        <v>27</v>
      </c>
      <c r="AB275" s="8"/>
      <c r="AC275" s="8" t="s">
        <v>190</v>
      </c>
      <c r="AD275" s="14" t="s">
        <v>280</v>
      </c>
      <c r="AE275" s="8" t="s">
        <v>281</v>
      </c>
      <c r="AF275" s="14">
        <v>1.4</v>
      </c>
      <c r="AG275" s="8">
        <v>1270</v>
      </c>
      <c r="AH275" s="8">
        <v>0</v>
      </c>
      <c r="AI275" s="8">
        <v>58</v>
      </c>
      <c r="AJ275" s="8">
        <v>0</v>
      </c>
      <c r="AK275" s="127">
        <v>58</v>
      </c>
      <c r="AL275" s="103">
        <v>0</v>
      </c>
      <c r="AM275" s="8">
        <v>58</v>
      </c>
      <c r="AN275" s="21">
        <v>58</v>
      </c>
      <c r="AO275" s="21">
        <v>0</v>
      </c>
      <c r="AP275" s="21">
        <v>0</v>
      </c>
      <c r="AQ275" s="21">
        <v>0</v>
      </c>
      <c r="AR275" s="21">
        <v>0</v>
      </c>
      <c r="AS275" s="8">
        <v>58</v>
      </c>
      <c r="AT275" s="21">
        <v>0</v>
      </c>
      <c r="AU275" s="21">
        <v>58</v>
      </c>
      <c r="AV275" s="21">
        <v>0</v>
      </c>
      <c r="AW275" s="21">
        <v>0</v>
      </c>
      <c r="AX275" s="21">
        <v>0</v>
      </c>
      <c r="AY275" s="8">
        <v>0</v>
      </c>
    </row>
    <row r="276" spans="1:51" ht="15" customHeight="1" x14ac:dyDescent="0.25">
      <c r="A276" s="9">
        <v>742</v>
      </c>
      <c r="B276" s="13">
        <v>45730</v>
      </c>
      <c r="C276" s="9" t="s">
        <v>193</v>
      </c>
      <c r="D276" s="9">
        <v>9518600669</v>
      </c>
      <c r="E276" s="8">
        <v>11</v>
      </c>
      <c r="F276" s="9" t="s">
        <v>896</v>
      </c>
      <c r="G276" s="79" t="s">
        <v>1303</v>
      </c>
      <c r="H276" s="9" t="s">
        <v>57</v>
      </c>
      <c r="I276" s="9" t="s">
        <v>25</v>
      </c>
      <c r="J276" s="9" t="s">
        <v>33</v>
      </c>
      <c r="K276" s="9" t="s">
        <v>170</v>
      </c>
      <c r="L276" s="39"/>
      <c r="M276" s="7" t="s">
        <v>1</v>
      </c>
      <c r="N276" s="8"/>
      <c r="O276" s="40"/>
      <c r="P276" s="15"/>
      <c r="Q276" s="9" t="s">
        <v>214</v>
      </c>
      <c r="R276" s="9" t="s">
        <v>240</v>
      </c>
      <c r="S276" s="9"/>
      <c r="T276" s="9">
        <v>650742</v>
      </c>
      <c r="U276" s="16" t="s">
        <v>101</v>
      </c>
      <c r="V276" s="9">
        <v>2279503</v>
      </c>
      <c r="W276" s="8" t="s">
        <v>484</v>
      </c>
      <c r="X276" s="8" t="s">
        <v>265</v>
      </c>
      <c r="Y276" s="8" t="s">
        <v>175</v>
      </c>
      <c r="Z276" s="8">
        <v>10</v>
      </c>
      <c r="AA276" s="8">
        <v>27</v>
      </c>
      <c r="AB276" s="8"/>
      <c r="AC276" s="8" t="s">
        <v>190</v>
      </c>
      <c r="AD276" s="14" t="s">
        <v>280</v>
      </c>
      <c r="AE276" s="8" t="s">
        <v>281</v>
      </c>
      <c r="AF276" s="14">
        <v>1.6</v>
      </c>
      <c r="AG276" s="8">
        <v>1270</v>
      </c>
      <c r="AH276" s="8">
        <v>0</v>
      </c>
      <c r="AI276" s="8">
        <v>58</v>
      </c>
      <c r="AJ276" s="8">
        <v>0</v>
      </c>
      <c r="AK276" s="127">
        <v>19.53</v>
      </c>
      <c r="AL276" s="103">
        <v>26.479999999999997</v>
      </c>
      <c r="AM276" s="8">
        <v>19.53</v>
      </c>
      <c r="AN276" s="21">
        <v>19.53</v>
      </c>
      <c r="AO276" s="21">
        <v>0</v>
      </c>
      <c r="AP276" s="21">
        <v>0</v>
      </c>
      <c r="AQ276" s="21">
        <v>0</v>
      </c>
      <c r="AR276" s="21">
        <v>0</v>
      </c>
      <c r="AS276" s="8">
        <v>46.01</v>
      </c>
      <c r="AT276" s="21">
        <v>0</v>
      </c>
      <c r="AU276" s="21">
        <v>46.01</v>
      </c>
      <c r="AV276" s="21">
        <v>0</v>
      </c>
      <c r="AW276" s="21">
        <v>0</v>
      </c>
      <c r="AX276" s="21">
        <v>0</v>
      </c>
      <c r="AY276" s="8">
        <v>0</v>
      </c>
    </row>
    <row r="277" spans="1:51" ht="15" customHeight="1" x14ac:dyDescent="0.25">
      <c r="A277" s="9">
        <v>742</v>
      </c>
      <c r="B277" s="13">
        <v>45730</v>
      </c>
      <c r="C277" s="9" t="s">
        <v>193</v>
      </c>
      <c r="D277" s="9">
        <v>9518600669</v>
      </c>
      <c r="E277" s="8">
        <v>12</v>
      </c>
      <c r="F277" s="9" t="s">
        <v>897</v>
      </c>
      <c r="G277" s="79" t="s">
        <v>1303</v>
      </c>
      <c r="H277" s="9" t="s">
        <v>57</v>
      </c>
      <c r="I277" s="9" t="s">
        <v>25</v>
      </c>
      <c r="J277" s="9" t="s">
        <v>33</v>
      </c>
      <c r="K277" s="9" t="s">
        <v>170</v>
      </c>
      <c r="L277" s="39"/>
      <c r="M277" s="7" t="s">
        <v>1</v>
      </c>
      <c r="N277" s="8"/>
      <c r="O277" s="40"/>
      <c r="P277" s="15"/>
      <c r="Q277" s="9" t="s">
        <v>214</v>
      </c>
      <c r="R277" s="9" t="s">
        <v>240</v>
      </c>
      <c r="S277" s="9"/>
      <c r="T277" s="9">
        <v>650742</v>
      </c>
      <c r="U277" s="16" t="s">
        <v>101</v>
      </c>
      <c r="V277" s="9">
        <v>2279483</v>
      </c>
      <c r="W277" s="8" t="s">
        <v>1145</v>
      </c>
      <c r="X277" s="8" t="s">
        <v>265</v>
      </c>
      <c r="Y277" s="8" t="s">
        <v>175</v>
      </c>
      <c r="Z277" s="8">
        <v>10</v>
      </c>
      <c r="AA277" s="8">
        <v>27</v>
      </c>
      <c r="AB277" s="8"/>
      <c r="AC277" s="8" t="s">
        <v>190</v>
      </c>
      <c r="AD277" s="14" t="s">
        <v>280</v>
      </c>
      <c r="AE277" s="8" t="s">
        <v>281</v>
      </c>
      <c r="AF277" s="14">
        <v>2</v>
      </c>
      <c r="AG277" s="8">
        <v>1270</v>
      </c>
      <c r="AH277" s="8">
        <v>0</v>
      </c>
      <c r="AI277" s="8">
        <v>174</v>
      </c>
      <c r="AJ277" s="8">
        <v>0</v>
      </c>
      <c r="AK277" s="127">
        <v>95.075000000000003</v>
      </c>
      <c r="AL277" s="103">
        <v>66.63</v>
      </c>
      <c r="AM277" s="8">
        <v>95.075000000000003</v>
      </c>
      <c r="AN277" s="21">
        <v>95.075000000000003</v>
      </c>
      <c r="AO277" s="21">
        <v>0</v>
      </c>
      <c r="AP277" s="21">
        <v>0</v>
      </c>
      <c r="AQ277" s="21">
        <v>0</v>
      </c>
      <c r="AR277" s="21">
        <v>0</v>
      </c>
      <c r="AS277" s="8">
        <v>161.70499999999998</v>
      </c>
      <c r="AT277" s="21">
        <v>0</v>
      </c>
      <c r="AU277" s="21">
        <v>161.70499999999998</v>
      </c>
      <c r="AV277" s="21">
        <v>0</v>
      </c>
      <c r="AW277" s="21">
        <v>0</v>
      </c>
      <c r="AX277" s="21">
        <v>0</v>
      </c>
      <c r="AY277" s="8">
        <v>0</v>
      </c>
    </row>
    <row r="278" spans="1:51" ht="15" customHeight="1" x14ac:dyDescent="0.25">
      <c r="A278" s="9">
        <v>742</v>
      </c>
      <c r="B278" s="13">
        <v>45730</v>
      </c>
      <c r="C278" s="9" t="s">
        <v>193</v>
      </c>
      <c r="D278" s="9">
        <v>9518600669</v>
      </c>
      <c r="E278" s="8">
        <v>13</v>
      </c>
      <c r="F278" s="9" t="s">
        <v>898</v>
      </c>
      <c r="G278" s="79" t="s">
        <v>1303</v>
      </c>
      <c r="H278" s="9" t="s">
        <v>57</v>
      </c>
      <c r="I278" s="9" t="s">
        <v>25</v>
      </c>
      <c r="J278" s="9" t="s">
        <v>33</v>
      </c>
      <c r="K278" s="9" t="s">
        <v>170</v>
      </c>
      <c r="L278" s="39">
        <v>1300</v>
      </c>
      <c r="M278" s="7" t="s">
        <v>1</v>
      </c>
      <c r="N278" s="8"/>
      <c r="O278" s="40"/>
      <c r="P278" s="15"/>
      <c r="Q278" s="9" t="s">
        <v>214</v>
      </c>
      <c r="R278" s="9" t="s">
        <v>240</v>
      </c>
      <c r="S278" s="9"/>
      <c r="T278" s="9">
        <v>650742</v>
      </c>
      <c r="U278" s="16" t="s">
        <v>101</v>
      </c>
      <c r="V278" s="9">
        <v>2150942</v>
      </c>
      <c r="W278" s="8" t="s">
        <v>480</v>
      </c>
      <c r="X278" s="8" t="s">
        <v>265</v>
      </c>
      <c r="Y278" s="8" t="s">
        <v>175</v>
      </c>
      <c r="Z278" s="8">
        <v>10</v>
      </c>
      <c r="AA278" s="8">
        <v>27</v>
      </c>
      <c r="AB278" s="8"/>
      <c r="AC278" s="8" t="s">
        <v>190</v>
      </c>
      <c r="AD278" s="14" t="s">
        <v>481</v>
      </c>
      <c r="AE278" s="8" t="s">
        <v>482</v>
      </c>
      <c r="AF278" s="14">
        <v>1.6</v>
      </c>
      <c r="AG278" s="8">
        <v>1250</v>
      </c>
      <c r="AH278" s="8">
        <v>0</v>
      </c>
      <c r="AI278" s="8">
        <v>290</v>
      </c>
      <c r="AJ278" s="8">
        <v>0</v>
      </c>
      <c r="AK278" s="127">
        <v>290</v>
      </c>
      <c r="AL278" s="103">
        <v>0</v>
      </c>
      <c r="AM278" s="8">
        <v>290</v>
      </c>
      <c r="AN278" s="21">
        <v>0</v>
      </c>
      <c r="AO278" s="21">
        <v>0</v>
      </c>
      <c r="AP278" s="21">
        <v>290</v>
      </c>
      <c r="AQ278" s="21">
        <v>0</v>
      </c>
      <c r="AR278" s="21">
        <v>0</v>
      </c>
      <c r="AS278" s="8">
        <v>290</v>
      </c>
      <c r="AT278" s="21">
        <v>0</v>
      </c>
      <c r="AU278" s="21">
        <v>0</v>
      </c>
      <c r="AV278" s="21">
        <v>290</v>
      </c>
      <c r="AW278" s="21">
        <v>0</v>
      </c>
      <c r="AX278" s="21">
        <v>0</v>
      </c>
      <c r="AY278" s="8">
        <v>0</v>
      </c>
    </row>
    <row r="279" spans="1:51" ht="15" customHeight="1" x14ac:dyDescent="0.25">
      <c r="A279" s="9">
        <v>743</v>
      </c>
      <c r="B279" s="13">
        <v>45752</v>
      </c>
      <c r="C279" s="9" t="s">
        <v>169</v>
      </c>
      <c r="D279" s="9">
        <v>9518671430</v>
      </c>
      <c r="E279" s="8">
        <v>1</v>
      </c>
      <c r="F279" s="9" t="s">
        <v>899</v>
      </c>
      <c r="G279" s="9" t="s">
        <v>1687</v>
      </c>
      <c r="H279" s="9" t="s">
        <v>57</v>
      </c>
      <c r="I279" s="9" t="s">
        <v>38</v>
      </c>
      <c r="J279" s="9" t="s">
        <v>39</v>
      </c>
      <c r="K279" s="9" t="s">
        <v>233</v>
      </c>
      <c r="L279" s="39"/>
      <c r="M279" s="7" t="s">
        <v>1</v>
      </c>
      <c r="N279" s="8"/>
      <c r="O279" s="40"/>
      <c r="P279" s="15"/>
      <c r="Q279" s="9" t="s">
        <v>264</v>
      </c>
      <c r="R279" s="9" t="s">
        <v>234</v>
      </c>
      <c r="S279" s="9"/>
      <c r="T279" s="9">
        <v>942293</v>
      </c>
      <c r="U279" s="16" t="s">
        <v>106</v>
      </c>
      <c r="V279" s="9">
        <v>3946364</v>
      </c>
      <c r="W279" s="8" t="s">
        <v>418</v>
      </c>
      <c r="X279" s="8" t="s">
        <v>317</v>
      </c>
      <c r="Y279" s="8" t="s">
        <v>175</v>
      </c>
      <c r="Z279" s="8">
        <v>3</v>
      </c>
      <c r="AA279" s="8">
        <v>5</v>
      </c>
      <c r="AB279" s="8"/>
      <c r="AC279" s="8" t="s">
        <v>222</v>
      </c>
      <c r="AD279" s="14" t="s">
        <v>223</v>
      </c>
      <c r="AE279" s="8" t="s">
        <v>417</v>
      </c>
      <c r="AF279" s="14">
        <v>0.5</v>
      </c>
      <c r="AG279" s="8">
        <v>1220</v>
      </c>
      <c r="AH279" s="8">
        <v>0</v>
      </c>
      <c r="AI279" s="8">
        <v>28</v>
      </c>
      <c r="AJ279" s="8">
        <v>0</v>
      </c>
      <c r="AK279" s="127">
        <v>0.71</v>
      </c>
      <c r="AL279" s="103">
        <v>4.76</v>
      </c>
      <c r="AM279" s="8">
        <v>0</v>
      </c>
      <c r="AN279" s="21">
        <v>0</v>
      </c>
      <c r="AO279" s="21">
        <v>0</v>
      </c>
      <c r="AP279" s="21">
        <v>0</v>
      </c>
      <c r="AQ279" s="21">
        <v>0</v>
      </c>
      <c r="AR279" s="21">
        <v>0</v>
      </c>
      <c r="AS279" s="8">
        <v>4.76</v>
      </c>
      <c r="AT279" s="21">
        <v>4.76</v>
      </c>
      <c r="AU279" s="21">
        <v>0</v>
      </c>
      <c r="AV279" s="21">
        <v>0</v>
      </c>
      <c r="AW279" s="21">
        <v>0</v>
      </c>
      <c r="AX279" s="21">
        <v>0</v>
      </c>
      <c r="AY279" s="8">
        <v>0</v>
      </c>
    </row>
    <row r="280" spans="1:51" ht="15" customHeight="1" x14ac:dyDescent="0.25">
      <c r="A280" s="9">
        <v>743</v>
      </c>
      <c r="B280" s="13">
        <v>45745</v>
      </c>
      <c r="C280" s="9" t="s">
        <v>169</v>
      </c>
      <c r="D280" s="9">
        <v>9518653333</v>
      </c>
      <c r="E280" s="8">
        <v>1</v>
      </c>
      <c r="F280" s="9" t="s">
        <v>900</v>
      </c>
      <c r="G280" s="79" t="s">
        <v>1303</v>
      </c>
      <c r="H280" s="9" t="s">
        <v>57</v>
      </c>
      <c r="I280" s="9" t="s">
        <v>38</v>
      </c>
      <c r="J280" s="9" t="s">
        <v>39</v>
      </c>
      <c r="K280" s="9" t="s">
        <v>233</v>
      </c>
      <c r="L280" s="39"/>
      <c r="M280" s="7" t="s">
        <v>1</v>
      </c>
      <c r="N280" s="8"/>
      <c r="O280" s="40"/>
      <c r="P280" s="15"/>
      <c r="Q280" s="9" t="s">
        <v>264</v>
      </c>
      <c r="R280" s="9" t="s">
        <v>234</v>
      </c>
      <c r="S280" s="9"/>
      <c r="T280" s="9">
        <v>942293</v>
      </c>
      <c r="U280" s="16" t="s">
        <v>106</v>
      </c>
      <c r="V280" s="9">
        <v>3946362</v>
      </c>
      <c r="W280" s="8" t="s">
        <v>416</v>
      </c>
      <c r="X280" s="8" t="s">
        <v>317</v>
      </c>
      <c r="Y280" s="8" t="s">
        <v>175</v>
      </c>
      <c r="Z280" s="8">
        <v>3</v>
      </c>
      <c r="AA280" s="8">
        <v>5</v>
      </c>
      <c r="AB280" s="8"/>
      <c r="AC280" s="8" t="s">
        <v>222</v>
      </c>
      <c r="AD280" s="14" t="s">
        <v>223</v>
      </c>
      <c r="AE280" s="8" t="s">
        <v>417</v>
      </c>
      <c r="AF280" s="14">
        <v>0.47</v>
      </c>
      <c r="AG280" s="8">
        <v>1220</v>
      </c>
      <c r="AH280" s="8">
        <v>0</v>
      </c>
      <c r="AI280" s="8">
        <v>280</v>
      </c>
      <c r="AJ280" s="8">
        <v>23.13</v>
      </c>
      <c r="AK280" s="127">
        <v>46.395000000000003</v>
      </c>
      <c r="AL280" s="103">
        <v>146.49499999999998</v>
      </c>
      <c r="AM280" s="8">
        <v>46.395000000000003</v>
      </c>
      <c r="AN280" s="21">
        <v>0</v>
      </c>
      <c r="AO280" s="21">
        <v>46.395000000000003</v>
      </c>
      <c r="AP280" s="21">
        <v>0</v>
      </c>
      <c r="AQ280" s="21">
        <v>0</v>
      </c>
      <c r="AR280" s="21">
        <v>0</v>
      </c>
      <c r="AS280" s="8">
        <v>192.89</v>
      </c>
      <c r="AT280" s="21">
        <v>0</v>
      </c>
      <c r="AU280" s="21">
        <v>0</v>
      </c>
      <c r="AV280" s="21">
        <v>192.89</v>
      </c>
      <c r="AW280" s="21">
        <v>0</v>
      </c>
      <c r="AX280" s="21">
        <v>0</v>
      </c>
      <c r="AY280" s="8">
        <v>0</v>
      </c>
    </row>
    <row r="281" spans="1:51" ht="15" customHeight="1" x14ac:dyDescent="0.25">
      <c r="A281" s="9">
        <v>743</v>
      </c>
      <c r="B281" s="13">
        <v>45745</v>
      </c>
      <c r="C281" s="9" t="s">
        <v>169</v>
      </c>
      <c r="D281" s="9">
        <v>9518653333</v>
      </c>
      <c r="E281" s="8">
        <v>2</v>
      </c>
      <c r="F281" s="9" t="s">
        <v>901</v>
      </c>
      <c r="G281" s="9" t="s">
        <v>1687</v>
      </c>
      <c r="H281" s="9" t="s">
        <v>57</v>
      </c>
      <c r="I281" s="9" t="s">
        <v>38</v>
      </c>
      <c r="J281" s="9" t="s">
        <v>39</v>
      </c>
      <c r="K281" s="9" t="s">
        <v>233</v>
      </c>
      <c r="L281" s="39"/>
      <c r="M281" s="7" t="s">
        <v>1</v>
      </c>
      <c r="N281" s="8"/>
      <c r="O281" s="40"/>
      <c r="P281" s="15"/>
      <c r="Q281" s="9" t="s">
        <v>264</v>
      </c>
      <c r="R281" s="9" t="s">
        <v>234</v>
      </c>
      <c r="S281" s="9"/>
      <c r="T281" s="9">
        <v>942293</v>
      </c>
      <c r="U281" s="16" t="s">
        <v>106</v>
      </c>
      <c r="V281" s="9">
        <v>3946362</v>
      </c>
      <c r="W281" s="8" t="s">
        <v>416</v>
      </c>
      <c r="X281" s="8" t="s">
        <v>317</v>
      </c>
      <c r="Y281" s="8" t="s">
        <v>175</v>
      </c>
      <c r="Z281" s="8">
        <v>3</v>
      </c>
      <c r="AA281" s="8">
        <v>5</v>
      </c>
      <c r="AB281" s="8"/>
      <c r="AC281" s="8" t="s">
        <v>222</v>
      </c>
      <c r="AD281" s="14" t="s">
        <v>223</v>
      </c>
      <c r="AE281" s="8" t="s">
        <v>417</v>
      </c>
      <c r="AF281" s="14">
        <v>0.47</v>
      </c>
      <c r="AG281" s="8">
        <v>1220</v>
      </c>
      <c r="AH281" s="8">
        <v>0</v>
      </c>
      <c r="AI281" s="8">
        <v>140</v>
      </c>
      <c r="AJ281" s="8">
        <v>21.53</v>
      </c>
      <c r="AK281" s="127">
        <v>4.3</v>
      </c>
      <c r="AL281" s="103">
        <v>8.6649999999999991</v>
      </c>
      <c r="AM281" s="8">
        <v>0</v>
      </c>
      <c r="AN281" s="21">
        <v>0</v>
      </c>
      <c r="AO281" s="21">
        <v>0</v>
      </c>
      <c r="AP281" s="21">
        <v>0</v>
      </c>
      <c r="AQ281" s="21">
        <v>0</v>
      </c>
      <c r="AR281" s="21">
        <v>0</v>
      </c>
      <c r="AS281" s="8">
        <v>8.6649999999999991</v>
      </c>
      <c r="AT281" s="21">
        <v>8.6649999999999991</v>
      </c>
      <c r="AU281" s="21">
        <v>0</v>
      </c>
      <c r="AV281" s="21">
        <v>0</v>
      </c>
      <c r="AW281" s="21">
        <v>0</v>
      </c>
      <c r="AX281" s="21">
        <v>0</v>
      </c>
      <c r="AY281" s="8">
        <v>0</v>
      </c>
    </row>
    <row r="282" spans="1:51" ht="15" customHeight="1" x14ac:dyDescent="0.25">
      <c r="A282" s="9">
        <v>743</v>
      </c>
      <c r="B282" s="13">
        <v>45743</v>
      </c>
      <c r="C282" s="9" t="s">
        <v>169</v>
      </c>
      <c r="D282" s="9">
        <v>9518643800</v>
      </c>
      <c r="E282" s="8">
        <v>1</v>
      </c>
      <c r="F282" s="9" t="s">
        <v>902</v>
      </c>
      <c r="G282" s="79" t="s">
        <v>1303</v>
      </c>
      <c r="H282" s="9" t="s">
        <v>57</v>
      </c>
      <c r="I282" s="9" t="s">
        <v>38</v>
      </c>
      <c r="J282" s="9" t="s">
        <v>41</v>
      </c>
      <c r="K282" s="9" t="s">
        <v>233</v>
      </c>
      <c r="L282" s="39"/>
      <c r="M282" s="7" t="s">
        <v>1</v>
      </c>
      <c r="N282" s="8"/>
      <c r="O282" s="40"/>
      <c r="P282" s="15"/>
      <c r="Q282" s="9" t="s">
        <v>188</v>
      </c>
      <c r="R282" s="9" t="s">
        <v>574</v>
      </c>
      <c r="S282" s="9"/>
      <c r="T282" s="9">
        <v>944226</v>
      </c>
      <c r="U282" s="16" t="s">
        <v>609</v>
      </c>
      <c r="V282" s="9">
        <v>3889776</v>
      </c>
      <c r="W282" s="8" t="s">
        <v>303</v>
      </c>
      <c r="X282" s="8" t="s">
        <v>317</v>
      </c>
      <c r="Y282" s="8" t="s">
        <v>175</v>
      </c>
      <c r="Z282" s="8">
        <v>10</v>
      </c>
      <c r="AA282" s="8">
        <v>18</v>
      </c>
      <c r="AB282" s="8"/>
      <c r="AC282" s="8" t="s">
        <v>222</v>
      </c>
      <c r="AD282" s="14" t="s">
        <v>223</v>
      </c>
      <c r="AE282" s="8" t="s">
        <v>304</v>
      </c>
      <c r="AF282" s="14">
        <v>0.9</v>
      </c>
      <c r="AG282" s="8">
        <v>1249</v>
      </c>
      <c r="AH282" s="8">
        <v>0</v>
      </c>
      <c r="AI282" s="8">
        <v>232</v>
      </c>
      <c r="AJ282" s="8">
        <v>171.435</v>
      </c>
      <c r="AK282" s="127">
        <v>60.564999999999998</v>
      </c>
      <c r="AL282" s="103">
        <v>0</v>
      </c>
      <c r="AM282" s="8">
        <v>60.564999999999998</v>
      </c>
      <c r="AN282" s="21">
        <v>60.564999999999998</v>
      </c>
      <c r="AO282" s="21">
        <v>0</v>
      </c>
      <c r="AP282" s="21">
        <v>0</v>
      </c>
      <c r="AQ282" s="21">
        <v>0</v>
      </c>
      <c r="AR282" s="21">
        <v>0</v>
      </c>
      <c r="AS282" s="8">
        <v>60.564999999999998</v>
      </c>
      <c r="AT282" s="21">
        <v>0</v>
      </c>
      <c r="AU282" s="21">
        <v>60.564999999999998</v>
      </c>
      <c r="AV282" s="21">
        <v>0</v>
      </c>
      <c r="AW282" s="21">
        <v>0</v>
      </c>
      <c r="AX282" s="21">
        <v>0</v>
      </c>
      <c r="AY282" s="8">
        <v>0</v>
      </c>
    </row>
    <row r="283" spans="1:51" ht="15" customHeight="1" x14ac:dyDescent="0.25">
      <c r="A283" s="9">
        <v>743</v>
      </c>
      <c r="B283" s="13">
        <v>45745</v>
      </c>
      <c r="C283" s="9" t="s">
        <v>169</v>
      </c>
      <c r="D283" s="9">
        <v>9518652258</v>
      </c>
      <c r="E283" s="8">
        <v>2</v>
      </c>
      <c r="F283" s="9" t="s">
        <v>903</v>
      </c>
      <c r="G283" s="9" t="s">
        <v>1687</v>
      </c>
      <c r="H283" s="9" t="s">
        <v>57</v>
      </c>
      <c r="I283" s="9" t="s">
        <v>38</v>
      </c>
      <c r="J283" s="9" t="s">
        <v>39</v>
      </c>
      <c r="K283" s="9" t="s">
        <v>233</v>
      </c>
      <c r="L283" s="39"/>
      <c r="M283" s="7" t="s">
        <v>1</v>
      </c>
      <c r="N283" s="8"/>
      <c r="O283" s="40"/>
      <c r="P283" s="15"/>
      <c r="Q283" s="9" t="s">
        <v>264</v>
      </c>
      <c r="R283" s="9" t="s">
        <v>221</v>
      </c>
      <c r="S283" s="9"/>
      <c r="T283" s="9">
        <v>942284</v>
      </c>
      <c r="U283" s="16" t="s">
        <v>106</v>
      </c>
      <c r="V283" s="9">
        <v>3946363</v>
      </c>
      <c r="W283" s="8" t="s">
        <v>421</v>
      </c>
      <c r="X283" s="8" t="s">
        <v>317</v>
      </c>
      <c r="Y283" s="8" t="s">
        <v>175</v>
      </c>
      <c r="Z283" s="8">
        <v>3</v>
      </c>
      <c r="AA283" s="8">
        <v>5</v>
      </c>
      <c r="AB283" s="8"/>
      <c r="AC283" s="8" t="s">
        <v>222</v>
      </c>
      <c r="AD283" s="14" t="s">
        <v>223</v>
      </c>
      <c r="AE283" s="8" t="s">
        <v>417</v>
      </c>
      <c r="AF283" s="14">
        <v>0.6</v>
      </c>
      <c r="AG283" s="8">
        <v>1220</v>
      </c>
      <c r="AH283" s="8">
        <v>0</v>
      </c>
      <c r="AI283" s="8">
        <v>56</v>
      </c>
      <c r="AJ283" s="8">
        <v>0</v>
      </c>
      <c r="AK283" s="127">
        <v>11.4</v>
      </c>
      <c r="AL283" s="103">
        <v>13.43</v>
      </c>
      <c r="AM283" s="8">
        <v>11.4</v>
      </c>
      <c r="AN283" s="21">
        <v>0</v>
      </c>
      <c r="AO283" s="21">
        <v>11.4</v>
      </c>
      <c r="AP283" s="21">
        <v>0</v>
      </c>
      <c r="AQ283" s="21">
        <v>0</v>
      </c>
      <c r="AR283" s="21">
        <v>0</v>
      </c>
      <c r="AS283" s="8">
        <v>24.83</v>
      </c>
      <c r="AT283" s="21">
        <v>0</v>
      </c>
      <c r="AU283" s="21">
        <v>0</v>
      </c>
      <c r="AV283" s="21">
        <v>24.83</v>
      </c>
      <c r="AW283" s="21">
        <v>0</v>
      </c>
      <c r="AX283" s="21">
        <v>0</v>
      </c>
      <c r="AY283" s="8">
        <v>0</v>
      </c>
    </row>
    <row r="284" spans="1:51" ht="15" customHeight="1" x14ac:dyDescent="0.25">
      <c r="A284" s="9">
        <v>742</v>
      </c>
      <c r="B284" s="13">
        <v>45750</v>
      </c>
      <c r="C284" s="9" t="s">
        <v>169</v>
      </c>
      <c r="D284" s="9">
        <v>9518667422</v>
      </c>
      <c r="E284" s="8">
        <v>3</v>
      </c>
      <c r="F284" s="9" t="s">
        <v>904</v>
      </c>
      <c r="G284" s="79" t="s">
        <v>1303</v>
      </c>
      <c r="H284" s="9" t="s">
        <v>57</v>
      </c>
      <c r="I284" s="9" t="s">
        <v>25</v>
      </c>
      <c r="J284" s="9" t="s">
        <v>30</v>
      </c>
      <c r="K284" s="9" t="s">
        <v>170</v>
      </c>
      <c r="L284" s="39"/>
      <c r="M284" s="7" t="s">
        <v>1</v>
      </c>
      <c r="N284" s="8"/>
      <c r="O284" s="40"/>
      <c r="P284" s="15"/>
      <c r="Q284" s="9" t="s">
        <v>214</v>
      </c>
      <c r="R284" s="9" t="s">
        <v>240</v>
      </c>
      <c r="S284" s="9"/>
      <c r="T284" s="9">
        <v>165992</v>
      </c>
      <c r="U284" s="16" t="s">
        <v>129</v>
      </c>
      <c r="V284" s="9">
        <v>185675</v>
      </c>
      <c r="W284" s="8" t="s">
        <v>271</v>
      </c>
      <c r="X284" s="8" t="s">
        <v>265</v>
      </c>
      <c r="Y284" s="8" t="s">
        <v>175</v>
      </c>
      <c r="Z284" s="8">
        <v>2</v>
      </c>
      <c r="AA284" s="8">
        <v>30</v>
      </c>
      <c r="AB284" s="8"/>
      <c r="AC284" s="8" t="s">
        <v>190</v>
      </c>
      <c r="AD284" s="14" t="s">
        <v>191</v>
      </c>
      <c r="AE284" s="8" t="s">
        <v>192</v>
      </c>
      <c r="AF284" s="14">
        <v>0.5</v>
      </c>
      <c r="AG284" s="8">
        <v>1250</v>
      </c>
      <c r="AH284" s="8">
        <v>0</v>
      </c>
      <c r="AI284" s="8">
        <v>58</v>
      </c>
      <c r="AJ284" s="8">
        <v>0</v>
      </c>
      <c r="AK284" s="127">
        <v>33.094999999999999</v>
      </c>
      <c r="AL284" s="103">
        <v>0</v>
      </c>
      <c r="AM284" s="8">
        <v>33.094999999999999</v>
      </c>
      <c r="AN284" s="21">
        <v>33.094999999999999</v>
      </c>
      <c r="AO284" s="21">
        <v>0</v>
      </c>
      <c r="AP284" s="21">
        <v>0</v>
      </c>
      <c r="AQ284" s="21">
        <v>0</v>
      </c>
      <c r="AR284" s="21">
        <v>0</v>
      </c>
      <c r="AS284" s="8">
        <v>33.094999999999999</v>
      </c>
      <c r="AT284" s="21">
        <v>0</v>
      </c>
      <c r="AU284" s="21">
        <v>33.094999999999999</v>
      </c>
      <c r="AV284" s="21">
        <v>0</v>
      </c>
      <c r="AW284" s="21">
        <v>0</v>
      </c>
      <c r="AX284" s="21">
        <v>0</v>
      </c>
      <c r="AY284" s="8">
        <v>0</v>
      </c>
    </row>
    <row r="285" spans="1:51" ht="15" customHeight="1" x14ac:dyDescent="0.25">
      <c r="A285" s="9">
        <v>742</v>
      </c>
      <c r="B285" s="13">
        <v>45747</v>
      </c>
      <c r="C285" s="9" t="s">
        <v>169</v>
      </c>
      <c r="D285" s="9">
        <v>9518660656</v>
      </c>
      <c r="E285" s="8">
        <v>2</v>
      </c>
      <c r="F285" s="9" t="s">
        <v>905</v>
      </c>
      <c r="G285" s="9" t="s">
        <v>1303</v>
      </c>
      <c r="H285" s="9" t="s">
        <v>57</v>
      </c>
      <c r="I285" s="9" t="s">
        <v>25</v>
      </c>
      <c r="J285" s="9" t="s">
        <v>31</v>
      </c>
      <c r="K285" s="9" t="s">
        <v>170</v>
      </c>
      <c r="L285" s="39"/>
      <c r="M285" s="7" t="s">
        <v>1</v>
      </c>
      <c r="N285" s="8"/>
      <c r="O285" s="40" t="s">
        <v>1335</v>
      </c>
      <c r="P285" s="15"/>
      <c r="Q285" s="9" t="s">
        <v>180</v>
      </c>
      <c r="R285" s="9" t="s">
        <v>208</v>
      </c>
      <c r="S285" s="9"/>
      <c r="T285" s="9">
        <v>101278</v>
      </c>
      <c r="U285" s="16" t="s">
        <v>95</v>
      </c>
      <c r="V285" s="9">
        <v>3239548</v>
      </c>
      <c r="W285" s="8" t="s">
        <v>486</v>
      </c>
      <c r="X285" s="8" t="s">
        <v>265</v>
      </c>
      <c r="Y285" s="8" t="s">
        <v>175</v>
      </c>
      <c r="Z285" s="8">
        <v>0</v>
      </c>
      <c r="AA285" s="8">
        <v>0</v>
      </c>
      <c r="AB285" s="8"/>
      <c r="AC285" s="8" t="s">
        <v>210</v>
      </c>
      <c r="AD285" s="14" t="s">
        <v>211</v>
      </c>
      <c r="AE285" s="8" t="s">
        <v>212</v>
      </c>
      <c r="AF285" s="14">
        <v>0.4</v>
      </c>
      <c r="AG285" s="8">
        <v>900</v>
      </c>
      <c r="AH285" s="8">
        <v>2500</v>
      </c>
      <c r="AI285" s="8">
        <v>51</v>
      </c>
      <c r="AJ285" s="8">
        <v>0</v>
      </c>
      <c r="AK285" s="127">
        <v>51</v>
      </c>
      <c r="AL285" s="103">
        <v>0</v>
      </c>
      <c r="AM285" s="8">
        <v>51</v>
      </c>
      <c r="AN285" s="21">
        <v>0</v>
      </c>
      <c r="AO285" s="21">
        <v>51</v>
      </c>
      <c r="AP285" s="21">
        <v>0</v>
      </c>
      <c r="AQ285" s="21">
        <v>0</v>
      </c>
      <c r="AR285" s="21">
        <v>0</v>
      </c>
      <c r="AS285" s="8">
        <v>51</v>
      </c>
      <c r="AT285" s="21">
        <v>0</v>
      </c>
      <c r="AU285" s="21">
        <v>51</v>
      </c>
      <c r="AV285" s="21">
        <v>0</v>
      </c>
      <c r="AW285" s="21">
        <v>0</v>
      </c>
      <c r="AX285" s="21">
        <v>0</v>
      </c>
      <c r="AY285" s="8">
        <v>0</v>
      </c>
    </row>
    <row r="286" spans="1:51" ht="15" customHeight="1" x14ac:dyDescent="0.25">
      <c r="A286" s="9">
        <v>744</v>
      </c>
      <c r="B286" s="13">
        <v>45752</v>
      </c>
      <c r="C286" s="9" t="s">
        <v>169</v>
      </c>
      <c r="D286" s="9">
        <v>9518671083</v>
      </c>
      <c r="E286" s="8">
        <v>1</v>
      </c>
      <c r="F286" s="9" t="s">
        <v>906</v>
      </c>
      <c r="G286" s="79" t="s">
        <v>1303</v>
      </c>
      <c r="H286" s="9" t="s">
        <v>57</v>
      </c>
      <c r="I286" s="9" t="s">
        <v>48</v>
      </c>
      <c r="J286" s="9" t="s">
        <v>39</v>
      </c>
      <c r="K286" s="9" t="s">
        <v>233</v>
      </c>
      <c r="L286" s="39"/>
      <c r="M286" s="7" t="s">
        <v>1</v>
      </c>
      <c r="N286" s="8"/>
      <c r="O286" s="40"/>
      <c r="P286" s="15"/>
      <c r="Q286" s="9" t="s">
        <v>264</v>
      </c>
      <c r="R286" s="9" t="s">
        <v>234</v>
      </c>
      <c r="S286" s="9"/>
      <c r="T286" s="9">
        <v>940008</v>
      </c>
      <c r="U286" s="16" t="s">
        <v>133</v>
      </c>
      <c r="V286" s="9">
        <v>3522241</v>
      </c>
      <c r="W286" s="8" t="s">
        <v>348</v>
      </c>
      <c r="X286" s="8" t="s">
        <v>349</v>
      </c>
      <c r="Y286" s="8" t="s">
        <v>1176</v>
      </c>
      <c r="Z286" s="8">
        <v>3</v>
      </c>
      <c r="AA286" s="8">
        <v>5</v>
      </c>
      <c r="AB286" s="8"/>
      <c r="AC286" s="8" t="s">
        <v>228</v>
      </c>
      <c r="AD286" s="14" t="s">
        <v>229</v>
      </c>
      <c r="AE286" s="8" t="s">
        <v>232</v>
      </c>
      <c r="AF286" s="14">
        <v>0.43</v>
      </c>
      <c r="AG286" s="8">
        <v>1220</v>
      </c>
      <c r="AH286" s="8">
        <v>0</v>
      </c>
      <c r="AI286" s="8">
        <v>83.998999999999995</v>
      </c>
      <c r="AJ286" s="8">
        <v>0</v>
      </c>
      <c r="AK286" s="127">
        <v>83.998999999999995</v>
      </c>
      <c r="AL286" s="103">
        <v>0</v>
      </c>
      <c r="AM286" s="8">
        <v>83.998999999999995</v>
      </c>
      <c r="AN286" s="21">
        <v>0</v>
      </c>
      <c r="AO286" s="21">
        <v>0</v>
      </c>
      <c r="AP286" s="21">
        <v>0</v>
      </c>
      <c r="AQ286" s="21">
        <v>0</v>
      </c>
      <c r="AR286" s="21">
        <v>83.998999999999995</v>
      </c>
      <c r="AS286" s="8">
        <v>0</v>
      </c>
      <c r="AT286" s="21">
        <v>0</v>
      </c>
      <c r="AU286" s="21">
        <v>0</v>
      </c>
      <c r="AV286" s="21">
        <v>0</v>
      </c>
      <c r="AW286" s="21">
        <v>0</v>
      </c>
      <c r="AX286" s="21">
        <v>0</v>
      </c>
      <c r="AY286" s="8">
        <v>83.998999999999995</v>
      </c>
    </row>
    <row r="287" spans="1:51" ht="15" customHeight="1" x14ac:dyDescent="0.25">
      <c r="A287" s="9">
        <v>744</v>
      </c>
      <c r="B287" s="13">
        <v>45752</v>
      </c>
      <c r="C287" s="9" t="s">
        <v>169</v>
      </c>
      <c r="D287" s="9">
        <v>9518671225</v>
      </c>
      <c r="E287" s="8">
        <v>1</v>
      </c>
      <c r="F287" s="9" t="s">
        <v>907</v>
      </c>
      <c r="G287" s="79" t="s">
        <v>1303</v>
      </c>
      <c r="H287" s="9" t="s">
        <v>57</v>
      </c>
      <c r="I287" s="9" t="s">
        <v>48</v>
      </c>
      <c r="J287" s="9" t="s">
        <v>39</v>
      </c>
      <c r="K287" s="9" t="s">
        <v>233</v>
      </c>
      <c r="L287" s="39">
        <v>9000</v>
      </c>
      <c r="M287" s="7" t="s">
        <v>1</v>
      </c>
      <c r="N287" s="8"/>
      <c r="O287" s="40"/>
      <c r="P287" s="15"/>
      <c r="Q287" s="9" t="s">
        <v>264</v>
      </c>
      <c r="R287" s="9" t="s">
        <v>225</v>
      </c>
      <c r="S287" s="9"/>
      <c r="T287" s="9">
        <v>940016</v>
      </c>
      <c r="U287" s="16" t="s">
        <v>133</v>
      </c>
      <c r="V287" s="9">
        <v>3996225</v>
      </c>
      <c r="W287" s="8" t="s">
        <v>1146</v>
      </c>
      <c r="X287" s="8" t="s">
        <v>1174</v>
      </c>
      <c r="Y287" s="8" t="s">
        <v>231</v>
      </c>
      <c r="Z287" s="8">
        <v>3</v>
      </c>
      <c r="AA287" s="8">
        <v>5</v>
      </c>
      <c r="AB287" s="8"/>
      <c r="AC287" s="8" t="s">
        <v>228</v>
      </c>
      <c r="AD287" s="14" t="s">
        <v>229</v>
      </c>
      <c r="AE287" s="8" t="s">
        <v>1170</v>
      </c>
      <c r="AF287" s="14">
        <v>0.4</v>
      </c>
      <c r="AG287" s="8">
        <v>1220</v>
      </c>
      <c r="AH287" s="8">
        <v>0</v>
      </c>
      <c r="AI287" s="8">
        <v>56</v>
      </c>
      <c r="AJ287" s="8">
        <v>0</v>
      </c>
      <c r="AK287" s="127">
        <v>24.76</v>
      </c>
      <c r="AL287" s="103">
        <v>35.905000000000001</v>
      </c>
      <c r="AM287" s="8">
        <v>24.76</v>
      </c>
      <c r="AN287" s="21">
        <v>0</v>
      </c>
      <c r="AO287" s="21">
        <v>24.76</v>
      </c>
      <c r="AP287" s="21">
        <v>0</v>
      </c>
      <c r="AQ287" s="21">
        <v>0</v>
      </c>
      <c r="AR287" s="21">
        <v>0</v>
      </c>
      <c r="AS287" s="8">
        <v>60.665000000000006</v>
      </c>
      <c r="AT287" s="21">
        <v>0</v>
      </c>
      <c r="AU287" s="21">
        <v>0</v>
      </c>
      <c r="AV287" s="21">
        <v>60.665000000000006</v>
      </c>
      <c r="AW287" s="21">
        <v>0</v>
      </c>
      <c r="AX287" s="21">
        <v>0</v>
      </c>
      <c r="AY287" s="8">
        <v>0</v>
      </c>
    </row>
    <row r="288" spans="1:51" ht="15" customHeight="1" x14ac:dyDescent="0.25">
      <c r="A288" s="9">
        <v>744</v>
      </c>
      <c r="B288" s="13">
        <v>45752</v>
      </c>
      <c r="C288" s="9" t="s">
        <v>169</v>
      </c>
      <c r="D288" s="9">
        <v>9518671225</v>
      </c>
      <c r="E288" s="8">
        <v>2</v>
      </c>
      <c r="F288" s="9" t="s">
        <v>908</v>
      </c>
      <c r="G288" s="79" t="s">
        <v>1303</v>
      </c>
      <c r="H288" s="9" t="s">
        <v>57</v>
      </c>
      <c r="I288" s="9" t="s">
        <v>48</v>
      </c>
      <c r="J288" s="9" t="s">
        <v>39</v>
      </c>
      <c r="K288" s="9" t="s">
        <v>233</v>
      </c>
      <c r="L288" s="39"/>
      <c r="M288" s="7" t="s">
        <v>1</v>
      </c>
      <c r="N288" s="8"/>
      <c r="O288" s="40"/>
      <c r="P288" s="15"/>
      <c r="Q288" s="9" t="s">
        <v>264</v>
      </c>
      <c r="R288" s="9" t="s">
        <v>225</v>
      </c>
      <c r="S288" s="9"/>
      <c r="T288" s="9">
        <v>940016</v>
      </c>
      <c r="U288" s="16" t="s">
        <v>133</v>
      </c>
      <c r="V288" s="9">
        <v>3996225</v>
      </c>
      <c r="W288" s="8" t="s">
        <v>1146</v>
      </c>
      <c r="X288" s="8" t="s">
        <v>1174</v>
      </c>
      <c r="Y288" s="8" t="s">
        <v>1176</v>
      </c>
      <c r="Z288" s="8">
        <v>3</v>
      </c>
      <c r="AA288" s="8">
        <v>5</v>
      </c>
      <c r="AB288" s="8"/>
      <c r="AC288" s="8" t="s">
        <v>228</v>
      </c>
      <c r="AD288" s="14" t="s">
        <v>229</v>
      </c>
      <c r="AE288" s="8" t="s">
        <v>1170</v>
      </c>
      <c r="AF288" s="14">
        <v>0.4</v>
      </c>
      <c r="AG288" s="8">
        <v>1220</v>
      </c>
      <c r="AH288" s="8">
        <v>0</v>
      </c>
      <c r="AI288" s="8">
        <v>55.999000000000002</v>
      </c>
      <c r="AJ288" s="8">
        <v>0</v>
      </c>
      <c r="AK288" s="127">
        <v>55.999000000000002</v>
      </c>
      <c r="AL288" s="103">
        <v>0</v>
      </c>
      <c r="AM288" s="8">
        <v>55.999000000000002</v>
      </c>
      <c r="AN288" s="21">
        <v>0</v>
      </c>
      <c r="AO288" s="21">
        <v>55.999000000000002</v>
      </c>
      <c r="AP288" s="21">
        <v>0</v>
      </c>
      <c r="AQ288" s="21">
        <v>0</v>
      </c>
      <c r="AR288" s="21">
        <v>0</v>
      </c>
      <c r="AS288" s="8">
        <v>55.999000000000002</v>
      </c>
      <c r="AT288" s="21">
        <v>0</v>
      </c>
      <c r="AU288" s="21">
        <v>55.999000000000002</v>
      </c>
      <c r="AV288" s="21">
        <v>0</v>
      </c>
      <c r="AW288" s="21">
        <v>0</v>
      </c>
      <c r="AX288" s="21">
        <v>0</v>
      </c>
      <c r="AY288" s="8">
        <v>0</v>
      </c>
    </row>
    <row r="289" spans="1:51" ht="15" customHeight="1" x14ac:dyDescent="0.25">
      <c r="A289" s="9">
        <v>742</v>
      </c>
      <c r="B289" s="13">
        <v>45737</v>
      </c>
      <c r="C289" s="9" t="s">
        <v>169</v>
      </c>
      <c r="D289" s="9">
        <v>9518620006</v>
      </c>
      <c r="E289" s="8">
        <v>1</v>
      </c>
      <c r="F289" s="9" t="s">
        <v>909</v>
      </c>
      <c r="G289" s="79" t="s">
        <v>1303</v>
      </c>
      <c r="H289" s="9" t="s">
        <v>57</v>
      </c>
      <c r="I289" s="9" t="s">
        <v>25</v>
      </c>
      <c r="J289" s="9" t="s">
        <v>31</v>
      </c>
      <c r="K289" s="9" t="s">
        <v>170</v>
      </c>
      <c r="L289" s="39"/>
      <c r="M289" s="7" t="s">
        <v>1</v>
      </c>
      <c r="N289" s="8"/>
      <c r="O289" s="40"/>
      <c r="P289" s="15"/>
      <c r="Q289" s="9" t="s">
        <v>180</v>
      </c>
      <c r="R289" s="9" t="s">
        <v>364</v>
      </c>
      <c r="S289" s="9"/>
      <c r="T289" s="9">
        <v>931662</v>
      </c>
      <c r="U289" s="16" t="s">
        <v>94</v>
      </c>
      <c r="V289" s="9">
        <v>3239567</v>
      </c>
      <c r="W289" s="8" t="s">
        <v>255</v>
      </c>
      <c r="X289" s="8" t="s">
        <v>265</v>
      </c>
      <c r="Y289" s="8" t="s">
        <v>175</v>
      </c>
      <c r="Z289" s="8">
        <v>0</v>
      </c>
      <c r="AA289" s="8">
        <v>0</v>
      </c>
      <c r="AB289" s="8"/>
      <c r="AC289" s="8" t="s">
        <v>210</v>
      </c>
      <c r="AD289" s="14" t="s">
        <v>211</v>
      </c>
      <c r="AE289" s="8" t="s">
        <v>212</v>
      </c>
      <c r="AF289" s="14">
        <v>0.45</v>
      </c>
      <c r="AG289" s="8">
        <v>1000</v>
      </c>
      <c r="AH289" s="8">
        <v>2500</v>
      </c>
      <c r="AI289" s="8">
        <v>24</v>
      </c>
      <c r="AJ289" s="8">
        <v>0</v>
      </c>
      <c r="AK289" s="127">
        <v>24</v>
      </c>
      <c r="AL289" s="103">
        <v>0</v>
      </c>
      <c r="AM289" s="8">
        <v>24</v>
      </c>
      <c r="AN289" s="21">
        <v>0</v>
      </c>
      <c r="AO289" s="21">
        <v>24</v>
      </c>
      <c r="AP289" s="21">
        <v>0</v>
      </c>
      <c r="AQ289" s="21">
        <v>0</v>
      </c>
      <c r="AR289" s="21">
        <v>0</v>
      </c>
      <c r="AS289" s="8">
        <v>24</v>
      </c>
      <c r="AT289" s="21">
        <v>0</v>
      </c>
      <c r="AU289" s="21">
        <v>24</v>
      </c>
      <c r="AV289" s="21">
        <v>0</v>
      </c>
      <c r="AW289" s="21">
        <v>0</v>
      </c>
      <c r="AX289" s="21">
        <v>0</v>
      </c>
      <c r="AY289" s="8">
        <v>0</v>
      </c>
    </row>
    <row r="290" spans="1:51" ht="15" customHeight="1" x14ac:dyDescent="0.25">
      <c r="A290" s="9">
        <v>742</v>
      </c>
      <c r="B290" s="13">
        <v>45737</v>
      </c>
      <c r="C290" s="9" t="s">
        <v>169</v>
      </c>
      <c r="D290" s="9">
        <v>9518620159</v>
      </c>
      <c r="E290" s="8">
        <v>5</v>
      </c>
      <c r="F290" s="9" t="s">
        <v>910</v>
      </c>
      <c r="G290" s="9" t="s">
        <v>1303</v>
      </c>
      <c r="H290" s="9" t="s">
        <v>57</v>
      </c>
      <c r="I290" s="9" t="s">
        <v>25</v>
      </c>
      <c r="J290" s="9" t="s">
        <v>31</v>
      </c>
      <c r="K290" s="9" t="s">
        <v>170</v>
      </c>
      <c r="L290" s="39"/>
      <c r="M290" s="7" t="s">
        <v>1</v>
      </c>
      <c r="N290" s="8"/>
      <c r="O290" s="40"/>
      <c r="P290" s="15"/>
      <c r="Q290" s="9" t="s">
        <v>180</v>
      </c>
      <c r="R290" s="9" t="s">
        <v>364</v>
      </c>
      <c r="S290" s="9"/>
      <c r="T290" s="9">
        <v>931662</v>
      </c>
      <c r="U290" s="16" t="s">
        <v>94</v>
      </c>
      <c r="V290" s="9">
        <v>3240765</v>
      </c>
      <c r="W290" s="8" t="s">
        <v>360</v>
      </c>
      <c r="X290" s="8" t="s">
        <v>265</v>
      </c>
      <c r="Y290" s="8" t="s">
        <v>175</v>
      </c>
      <c r="Z290" s="8">
        <v>0</v>
      </c>
      <c r="AA290" s="8">
        <v>0</v>
      </c>
      <c r="AB290" s="8"/>
      <c r="AC290" s="8" t="s">
        <v>210</v>
      </c>
      <c r="AD290" s="14" t="s">
        <v>218</v>
      </c>
      <c r="AE290" s="8" t="s">
        <v>250</v>
      </c>
      <c r="AF290" s="14">
        <v>0.5</v>
      </c>
      <c r="AG290" s="8">
        <v>1250</v>
      </c>
      <c r="AH290" s="8">
        <v>2500</v>
      </c>
      <c r="AI290" s="8">
        <v>30</v>
      </c>
      <c r="AJ290" s="8">
        <v>0</v>
      </c>
      <c r="AK290" s="127">
        <v>30</v>
      </c>
      <c r="AL290" s="103">
        <v>0</v>
      </c>
      <c r="AM290" s="8">
        <v>30</v>
      </c>
      <c r="AN290" s="21">
        <v>30</v>
      </c>
      <c r="AO290" s="21">
        <v>0</v>
      </c>
      <c r="AP290" s="21">
        <v>0</v>
      </c>
      <c r="AQ290" s="21">
        <v>0</v>
      </c>
      <c r="AR290" s="21">
        <v>0</v>
      </c>
      <c r="AS290" s="8">
        <v>30</v>
      </c>
      <c r="AT290" s="21">
        <v>0</v>
      </c>
      <c r="AU290" s="21">
        <v>30</v>
      </c>
      <c r="AV290" s="21">
        <v>0</v>
      </c>
      <c r="AW290" s="21">
        <v>0</v>
      </c>
      <c r="AX290" s="21">
        <v>0</v>
      </c>
      <c r="AY290" s="8">
        <v>0</v>
      </c>
    </row>
    <row r="291" spans="1:51" ht="15" customHeight="1" x14ac:dyDescent="0.25">
      <c r="A291" s="9">
        <v>743</v>
      </c>
      <c r="B291" s="13">
        <v>45750</v>
      </c>
      <c r="C291" s="9" t="s">
        <v>169</v>
      </c>
      <c r="D291" s="9">
        <v>9518666258</v>
      </c>
      <c r="E291" s="8">
        <v>1</v>
      </c>
      <c r="F291" s="9" t="s">
        <v>911</v>
      </c>
      <c r="G291" s="79" t="s">
        <v>1303</v>
      </c>
      <c r="H291" s="9" t="s">
        <v>57</v>
      </c>
      <c r="I291" s="9" t="s">
        <v>38</v>
      </c>
      <c r="J291" s="9" t="s">
        <v>39</v>
      </c>
      <c r="K291" s="9" t="s">
        <v>233</v>
      </c>
      <c r="L291" s="39"/>
      <c r="M291" s="7" t="s">
        <v>1</v>
      </c>
      <c r="N291" s="8"/>
      <c r="O291" s="40"/>
      <c r="P291" s="15"/>
      <c r="Q291" s="9" t="s">
        <v>264</v>
      </c>
      <c r="R291" s="9" t="s">
        <v>221</v>
      </c>
      <c r="S291" s="9"/>
      <c r="T291" s="9">
        <v>942284</v>
      </c>
      <c r="U291" s="16" t="s">
        <v>106</v>
      </c>
      <c r="V291" s="9">
        <v>1881969</v>
      </c>
      <c r="W291" s="8" t="s">
        <v>428</v>
      </c>
      <c r="X291" s="8" t="s">
        <v>317</v>
      </c>
      <c r="Y291" s="8" t="s">
        <v>175</v>
      </c>
      <c r="Z291" s="8">
        <v>3</v>
      </c>
      <c r="AA291" s="8">
        <v>5</v>
      </c>
      <c r="AB291" s="8"/>
      <c r="AC291" s="8" t="s">
        <v>222</v>
      </c>
      <c r="AD291" s="14" t="s">
        <v>223</v>
      </c>
      <c r="AE291" s="8" t="s">
        <v>224</v>
      </c>
      <c r="AF291" s="14">
        <v>0.45</v>
      </c>
      <c r="AG291" s="8">
        <v>1220</v>
      </c>
      <c r="AH291" s="8">
        <v>0</v>
      </c>
      <c r="AI291" s="8">
        <v>280</v>
      </c>
      <c r="AJ291" s="8">
        <v>0</v>
      </c>
      <c r="AK291" s="127">
        <v>24.385000000000002</v>
      </c>
      <c r="AL291" s="103">
        <v>190.63</v>
      </c>
      <c r="AM291" s="8">
        <v>24.385000000000002</v>
      </c>
      <c r="AN291" s="21">
        <v>24.385000000000002</v>
      </c>
      <c r="AO291" s="21">
        <v>0</v>
      </c>
      <c r="AP291" s="21">
        <v>0</v>
      </c>
      <c r="AQ291" s="21">
        <v>0</v>
      </c>
      <c r="AR291" s="21">
        <v>0</v>
      </c>
      <c r="AS291" s="8">
        <v>215.01499999999999</v>
      </c>
      <c r="AT291" s="21">
        <v>0</v>
      </c>
      <c r="AU291" s="21">
        <v>215.01499999999999</v>
      </c>
      <c r="AV291" s="21">
        <v>0</v>
      </c>
      <c r="AW291" s="21">
        <v>0</v>
      </c>
      <c r="AX291" s="21">
        <v>0</v>
      </c>
      <c r="AY291" s="8">
        <v>0</v>
      </c>
    </row>
    <row r="292" spans="1:51" ht="15" customHeight="1" x14ac:dyDescent="0.25">
      <c r="A292" s="9">
        <v>743</v>
      </c>
      <c r="B292" s="13">
        <v>45750</v>
      </c>
      <c r="C292" s="9" t="s">
        <v>169</v>
      </c>
      <c r="D292" s="9">
        <v>9518666258</v>
      </c>
      <c r="E292" s="8">
        <v>2</v>
      </c>
      <c r="F292" s="9" t="s">
        <v>912</v>
      </c>
      <c r="G292" s="9" t="s">
        <v>1687</v>
      </c>
      <c r="H292" s="9" t="s">
        <v>57</v>
      </c>
      <c r="I292" s="9" t="s">
        <v>38</v>
      </c>
      <c r="J292" s="9" t="s">
        <v>39</v>
      </c>
      <c r="K292" s="9" t="s">
        <v>233</v>
      </c>
      <c r="L292" s="39"/>
      <c r="M292" s="7" t="s">
        <v>1</v>
      </c>
      <c r="N292" s="8"/>
      <c r="O292" s="40"/>
      <c r="P292" s="15"/>
      <c r="Q292" s="9" t="s">
        <v>264</v>
      </c>
      <c r="R292" s="9" t="s">
        <v>221</v>
      </c>
      <c r="S292" s="9"/>
      <c r="T292" s="9">
        <v>942284</v>
      </c>
      <c r="U292" s="16" t="s">
        <v>106</v>
      </c>
      <c r="V292" s="9">
        <v>1881969</v>
      </c>
      <c r="W292" s="8" t="s">
        <v>428</v>
      </c>
      <c r="X292" s="8" t="s">
        <v>317</v>
      </c>
      <c r="Y292" s="8" t="s">
        <v>175</v>
      </c>
      <c r="Z292" s="8">
        <v>3</v>
      </c>
      <c r="AA292" s="8">
        <v>5</v>
      </c>
      <c r="AB292" s="8"/>
      <c r="AC292" s="8" t="s">
        <v>222</v>
      </c>
      <c r="AD292" s="14" t="s">
        <v>223</v>
      </c>
      <c r="AE292" s="8" t="s">
        <v>224</v>
      </c>
      <c r="AF292" s="14">
        <v>0.45</v>
      </c>
      <c r="AG292" s="8">
        <v>1220</v>
      </c>
      <c r="AH292" s="8">
        <v>0</v>
      </c>
      <c r="AI292" s="8">
        <v>84</v>
      </c>
      <c r="AJ292" s="8">
        <v>0</v>
      </c>
      <c r="AK292" s="127">
        <v>6.3250000000000002</v>
      </c>
      <c r="AL292" s="103">
        <v>22.410000000000004</v>
      </c>
      <c r="AM292" s="8">
        <v>0</v>
      </c>
      <c r="AN292" s="21">
        <v>0</v>
      </c>
      <c r="AO292" s="21">
        <v>0</v>
      </c>
      <c r="AP292" s="21">
        <v>0</v>
      </c>
      <c r="AQ292" s="21">
        <v>0</v>
      </c>
      <c r="AR292" s="21">
        <v>0</v>
      </c>
      <c r="AS292" s="8">
        <v>22.410000000000004</v>
      </c>
      <c r="AT292" s="21">
        <v>22.410000000000004</v>
      </c>
      <c r="AU292" s="21">
        <v>0</v>
      </c>
      <c r="AV292" s="21">
        <v>0</v>
      </c>
      <c r="AW292" s="21">
        <v>0</v>
      </c>
      <c r="AX292" s="21">
        <v>0</v>
      </c>
      <c r="AY292" s="8">
        <v>0</v>
      </c>
    </row>
    <row r="293" spans="1:51" ht="15" customHeight="1" x14ac:dyDescent="0.25">
      <c r="A293" s="9">
        <v>744</v>
      </c>
      <c r="B293" s="13">
        <v>45752</v>
      </c>
      <c r="C293" s="9" t="s">
        <v>169</v>
      </c>
      <c r="D293" s="9">
        <v>9518671154</v>
      </c>
      <c r="E293" s="8">
        <v>1</v>
      </c>
      <c r="F293" s="9" t="s">
        <v>913</v>
      </c>
      <c r="G293" s="9" t="s">
        <v>1303</v>
      </c>
      <c r="H293" s="9" t="s">
        <v>57</v>
      </c>
      <c r="I293" s="9" t="s">
        <v>48</v>
      </c>
      <c r="J293" s="9" t="s">
        <v>39</v>
      </c>
      <c r="K293" s="9" t="s">
        <v>233</v>
      </c>
      <c r="L293" s="39"/>
      <c r="M293" s="7" t="s">
        <v>1</v>
      </c>
      <c r="N293" s="8"/>
      <c r="O293" s="40"/>
      <c r="P293" s="15"/>
      <c r="Q293" s="9" t="s">
        <v>264</v>
      </c>
      <c r="R293" s="9" t="s">
        <v>234</v>
      </c>
      <c r="S293" s="9"/>
      <c r="T293" s="9">
        <v>940008</v>
      </c>
      <c r="U293" s="16" t="s">
        <v>133</v>
      </c>
      <c r="V293" s="9">
        <v>3996225</v>
      </c>
      <c r="W293" s="8" t="s">
        <v>1146</v>
      </c>
      <c r="X293" s="8" t="s">
        <v>1174</v>
      </c>
      <c r="Y293" s="8" t="s">
        <v>231</v>
      </c>
      <c r="Z293" s="8">
        <v>3</v>
      </c>
      <c r="AA293" s="8">
        <v>5</v>
      </c>
      <c r="AB293" s="8"/>
      <c r="AC293" s="8" t="s">
        <v>228</v>
      </c>
      <c r="AD293" s="14" t="s">
        <v>229</v>
      </c>
      <c r="AE293" s="8" t="s">
        <v>1170</v>
      </c>
      <c r="AF293" s="14">
        <v>0.4</v>
      </c>
      <c r="AG293" s="8">
        <v>1220</v>
      </c>
      <c r="AH293" s="8">
        <v>0</v>
      </c>
      <c r="AI293" s="8">
        <v>28</v>
      </c>
      <c r="AJ293" s="8">
        <v>0</v>
      </c>
      <c r="AK293" s="127">
        <v>28</v>
      </c>
      <c r="AL293" s="103">
        <v>0</v>
      </c>
      <c r="AM293" s="8">
        <v>28</v>
      </c>
      <c r="AN293" s="21">
        <v>0</v>
      </c>
      <c r="AO293" s="21">
        <v>28</v>
      </c>
      <c r="AP293" s="21">
        <v>0</v>
      </c>
      <c r="AQ293" s="21">
        <v>0</v>
      </c>
      <c r="AR293" s="21">
        <v>0</v>
      </c>
      <c r="AS293" s="8">
        <v>28</v>
      </c>
      <c r="AT293" s="21">
        <v>0</v>
      </c>
      <c r="AU293" s="21">
        <v>28</v>
      </c>
      <c r="AV293" s="21">
        <v>0</v>
      </c>
      <c r="AW293" s="21">
        <v>0</v>
      </c>
      <c r="AX293" s="21">
        <v>0</v>
      </c>
      <c r="AY293" s="8">
        <v>0</v>
      </c>
    </row>
    <row r="294" spans="1:51" ht="15" customHeight="1" x14ac:dyDescent="0.25">
      <c r="A294" s="9">
        <v>744</v>
      </c>
      <c r="B294" s="13">
        <v>45752</v>
      </c>
      <c r="C294" s="9" t="s">
        <v>169</v>
      </c>
      <c r="D294" s="9">
        <v>9518671154</v>
      </c>
      <c r="E294" s="8">
        <v>2</v>
      </c>
      <c r="F294" s="9" t="s">
        <v>914</v>
      </c>
      <c r="G294" s="9" t="s">
        <v>1303</v>
      </c>
      <c r="H294" s="9" t="s">
        <v>57</v>
      </c>
      <c r="I294" s="9" t="s">
        <v>48</v>
      </c>
      <c r="J294" s="9" t="s">
        <v>39</v>
      </c>
      <c r="K294" s="9" t="s">
        <v>233</v>
      </c>
      <c r="L294" s="39"/>
      <c r="M294" s="7" t="s">
        <v>1</v>
      </c>
      <c r="N294" s="8"/>
      <c r="O294" s="40"/>
      <c r="P294" s="15"/>
      <c r="Q294" s="9" t="s">
        <v>264</v>
      </c>
      <c r="R294" s="9" t="s">
        <v>234</v>
      </c>
      <c r="S294" s="9"/>
      <c r="T294" s="9">
        <v>940008</v>
      </c>
      <c r="U294" s="16" t="s">
        <v>133</v>
      </c>
      <c r="V294" s="9">
        <v>3996225</v>
      </c>
      <c r="W294" s="8" t="s">
        <v>1146</v>
      </c>
      <c r="X294" s="8" t="s">
        <v>1174</v>
      </c>
      <c r="Y294" s="8" t="s">
        <v>1178</v>
      </c>
      <c r="Z294" s="8">
        <v>3</v>
      </c>
      <c r="AA294" s="8">
        <v>5</v>
      </c>
      <c r="AB294" s="8"/>
      <c r="AC294" s="8" t="s">
        <v>228</v>
      </c>
      <c r="AD294" s="14" t="s">
        <v>229</v>
      </c>
      <c r="AE294" s="8" t="s">
        <v>1170</v>
      </c>
      <c r="AF294" s="14">
        <v>0.4</v>
      </c>
      <c r="AG294" s="8">
        <v>1220</v>
      </c>
      <c r="AH294" s="8">
        <v>0</v>
      </c>
      <c r="AI294" s="8">
        <v>28</v>
      </c>
      <c r="AJ294" s="8">
        <v>0</v>
      </c>
      <c r="AK294" s="127">
        <v>28</v>
      </c>
      <c r="AL294" s="103">
        <v>0</v>
      </c>
      <c r="AM294" s="8">
        <v>28</v>
      </c>
      <c r="AN294" s="21">
        <v>0</v>
      </c>
      <c r="AO294" s="21">
        <v>0</v>
      </c>
      <c r="AP294" s="21">
        <v>0</v>
      </c>
      <c r="AQ294" s="21">
        <v>28</v>
      </c>
      <c r="AR294" s="21">
        <v>0</v>
      </c>
      <c r="AS294" s="8">
        <v>28</v>
      </c>
      <c r="AT294" s="21">
        <v>0</v>
      </c>
      <c r="AU294" s="21">
        <v>0</v>
      </c>
      <c r="AV294" s="21">
        <v>0</v>
      </c>
      <c r="AW294" s="21">
        <v>28</v>
      </c>
      <c r="AX294" s="21">
        <v>0</v>
      </c>
      <c r="AY294" s="8">
        <v>0</v>
      </c>
    </row>
    <row r="295" spans="1:51" ht="15" customHeight="1" x14ac:dyDescent="0.25">
      <c r="A295" s="9">
        <v>744</v>
      </c>
      <c r="B295" s="13">
        <v>45745</v>
      </c>
      <c r="C295" s="9" t="s">
        <v>169</v>
      </c>
      <c r="D295" s="9">
        <v>9518653378</v>
      </c>
      <c r="E295" s="8">
        <v>1</v>
      </c>
      <c r="F295" s="9" t="s">
        <v>915</v>
      </c>
      <c r="G295" s="9" t="s">
        <v>1303</v>
      </c>
      <c r="H295" s="9" t="s">
        <v>57</v>
      </c>
      <c r="I295" s="9" t="s">
        <v>48</v>
      </c>
      <c r="J295" s="9" t="s">
        <v>39</v>
      </c>
      <c r="K295" s="9" t="s">
        <v>233</v>
      </c>
      <c r="L295" s="39"/>
      <c r="M295" s="7" t="s">
        <v>1</v>
      </c>
      <c r="N295" s="8"/>
      <c r="O295" s="40"/>
      <c r="P295" s="15"/>
      <c r="Q295" s="9" t="s">
        <v>264</v>
      </c>
      <c r="R295" s="9" t="s">
        <v>234</v>
      </c>
      <c r="S295" s="9"/>
      <c r="T295" s="9">
        <v>940008</v>
      </c>
      <c r="U295" s="16" t="s">
        <v>133</v>
      </c>
      <c r="V295" s="9">
        <v>3727860</v>
      </c>
      <c r="W295" s="8" t="s">
        <v>1147</v>
      </c>
      <c r="X295" s="8" t="s">
        <v>1174</v>
      </c>
      <c r="Y295" s="8" t="s">
        <v>1178</v>
      </c>
      <c r="Z295" s="8">
        <v>3</v>
      </c>
      <c r="AA295" s="8">
        <v>5</v>
      </c>
      <c r="AB295" s="8"/>
      <c r="AC295" s="8" t="s">
        <v>228</v>
      </c>
      <c r="AD295" s="14" t="s">
        <v>229</v>
      </c>
      <c r="AE295" s="8" t="s">
        <v>1170</v>
      </c>
      <c r="AF295" s="14">
        <v>0.43</v>
      </c>
      <c r="AG295" s="8">
        <v>1220</v>
      </c>
      <c r="AH295" s="8">
        <v>0</v>
      </c>
      <c r="AI295" s="8">
        <v>56</v>
      </c>
      <c r="AJ295" s="8">
        <v>0</v>
      </c>
      <c r="AK295" s="127">
        <v>53.99</v>
      </c>
      <c r="AL295" s="103">
        <v>0</v>
      </c>
      <c r="AM295" s="8">
        <v>53.99</v>
      </c>
      <c r="AN295" s="21">
        <v>0</v>
      </c>
      <c r="AO295" s="21">
        <v>0</v>
      </c>
      <c r="AP295" s="21">
        <v>0</v>
      </c>
      <c r="AQ295" s="21">
        <v>53.99</v>
      </c>
      <c r="AR295" s="21">
        <v>0</v>
      </c>
      <c r="AS295" s="8">
        <v>53.99</v>
      </c>
      <c r="AT295" s="21">
        <v>0</v>
      </c>
      <c r="AU295" s="21">
        <v>0</v>
      </c>
      <c r="AV295" s="21">
        <v>0</v>
      </c>
      <c r="AW295" s="21">
        <v>53.99</v>
      </c>
      <c r="AX295" s="21">
        <v>0</v>
      </c>
      <c r="AY295" s="8">
        <v>0</v>
      </c>
    </row>
    <row r="296" spans="1:51" ht="15" customHeight="1" x14ac:dyDescent="0.25">
      <c r="A296" s="9">
        <v>744</v>
      </c>
      <c r="B296" s="13">
        <v>45745</v>
      </c>
      <c r="C296" s="9" t="s">
        <v>169</v>
      </c>
      <c r="D296" s="9">
        <v>9518653378</v>
      </c>
      <c r="E296" s="8">
        <v>2</v>
      </c>
      <c r="F296" s="9" t="s">
        <v>916</v>
      </c>
      <c r="G296" s="9" t="s">
        <v>1687</v>
      </c>
      <c r="H296" s="9" t="s">
        <v>57</v>
      </c>
      <c r="I296" s="9" t="s">
        <v>48</v>
      </c>
      <c r="J296" s="9" t="s">
        <v>39</v>
      </c>
      <c r="K296" s="9" t="s">
        <v>233</v>
      </c>
      <c r="L296" s="39"/>
      <c r="M296" s="7" t="s">
        <v>1</v>
      </c>
      <c r="N296" s="8"/>
      <c r="O296" s="40"/>
      <c r="P296" s="15"/>
      <c r="Q296" s="9" t="s">
        <v>264</v>
      </c>
      <c r="R296" s="9" t="s">
        <v>234</v>
      </c>
      <c r="S296" s="9"/>
      <c r="T296" s="9">
        <v>940008</v>
      </c>
      <c r="U296" s="16" t="s">
        <v>133</v>
      </c>
      <c r="V296" s="9">
        <v>3727860</v>
      </c>
      <c r="W296" s="8" t="s">
        <v>1147</v>
      </c>
      <c r="X296" s="8" t="s">
        <v>1174</v>
      </c>
      <c r="Y296" s="8" t="s">
        <v>1179</v>
      </c>
      <c r="Z296" s="8">
        <v>3</v>
      </c>
      <c r="AA296" s="8">
        <v>5</v>
      </c>
      <c r="AB296" s="8"/>
      <c r="AC296" s="8" t="s">
        <v>228</v>
      </c>
      <c r="AD296" s="14" t="s">
        <v>229</v>
      </c>
      <c r="AE296" s="8" t="s">
        <v>1170</v>
      </c>
      <c r="AF296" s="14">
        <v>0.43</v>
      </c>
      <c r="AG296" s="8">
        <v>1220</v>
      </c>
      <c r="AH296" s="8">
        <v>0</v>
      </c>
      <c r="AI296" s="8">
        <v>28</v>
      </c>
      <c r="AJ296" s="8">
        <v>0</v>
      </c>
      <c r="AK296" s="127">
        <v>0.94</v>
      </c>
      <c r="AL296" s="103">
        <v>4.8449999999999998</v>
      </c>
      <c r="AM296" s="8">
        <v>0</v>
      </c>
      <c r="AN296" s="21">
        <v>0</v>
      </c>
      <c r="AO296" s="21">
        <v>0</v>
      </c>
      <c r="AP296" s="21">
        <v>0</v>
      </c>
      <c r="AQ296" s="21">
        <v>0</v>
      </c>
      <c r="AR296" s="21">
        <v>0</v>
      </c>
      <c r="AS296" s="8">
        <v>4.8449999999999998</v>
      </c>
      <c r="AT296" s="21">
        <v>4.8449999999999998</v>
      </c>
      <c r="AU296" s="21">
        <v>0</v>
      </c>
      <c r="AV296" s="21">
        <v>0</v>
      </c>
      <c r="AW296" s="21">
        <v>0</v>
      </c>
      <c r="AX296" s="21">
        <v>0</v>
      </c>
      <c r="AY296" s="8">
        <v>0</v>
      </c>
    </row>
    <row r="297" spans="1:51" ht="15" customHeight="1" x14ac:dyDescent="0.25">
      <c r="A297" s="9">
        <v>744</v>
      </c>
      <c r="B297" s="13">
        <v>45747</v>
      </c>
      <c r="C297" s="9" t="s">
        <v>169</v>
      </c>
      <c r="D297" s="9">
        <v>9518660506</v>
      </c>
      <c r="E297" s="8">
        <v>1</v>
      </c>
      <c r="F297" s="9" t="s">
        <v>917</v>
      </c>
      <c r="G297" s="9" t="s">
        <v>1687</v>
      </c>
      <c r="H297" s="9" t="s">
        <v>57</v>
      </c>
      <c r="I297" s="9" t="s">
        <v>48</v>
      </c>
      <c r="J297" s="9" t="s">
        <v>39</v>
      </c>
      <c r="K297" s="9" t="s">
        <v>233</v>
      </c>
      <c r="L297" s="39"/>
      <c r="M297" s="7" t="s">
        <v>1</v>
      </c>
      <c r="N297" s="8"/>
      <c r="O297" s="40"/>
      <c r="P297" s="15"/>
      <c r="Q297" s="9" t="s">
        <v>264</v>
      </c>
      <c r="R297" s="9" t="s">
        <v>234</v>
      </c>
      <c r="S297" s="9"/>
      <c r="T297" s="9">
        <v>940008</v>
      </c>
      <c r="U297" s="16" t="s">
        <v>133</v>
      </c>
      <c r="V297" s="9">
        <v>3727860</v>
      </c>
      <c r="W297" s="8" t="s">
        <v>1147</v>
      </c>
      <c r="X297" s="8" t="s">
        <v>1174</v>
      </c>
      <c r="Y297" s="8" t="s">
        <v>231</v>
      </c>
      <c r="Z297" s="8">
        <v>3</v>
      </c>
      <c r="AA297" s="8">
        <v>5</v>
      </c>
      <c r="AB297" s="8"/>
      <c r="AC297" s="8" t="s">
        <v>228</v>
      </c>
      <c r="AD297" s="14" t="s">
        <v>229</v>
      </c>
      <c r="AE297" s="8" t="s">
        <v>1170</v>
      </c>
      <c r="AF297" s="14">
        <v>0.43</v>
      </c>
      <c r="AG297" s="8">
        <v>1220</v>
      </c>
      <c r="AH297" s="8">
        <v>0</v>
      </c>
      <c r="AI297" s="8">
        <v>56</v>
      </c>
      <c r="AJ297" s="8">
        <v>22.98</v>
      </c>
      <c r="AK297" s="127">
        <v>1.4550000000000001</v>
      </c>
      <c r="AL297" s="103">
        <v>31.565000000000001</v>
      </c>
      <c r="AM297" s="8">
        <v>0</v>
      </c>
      <c r="AN297" s="21">
        <v>0</v>
      </c>
      <c r="AO297" s="21">
        <v>0</v>
      </c>
      <c r="AP297" s="21">
        <v>0</v>
      </c>
      <c r="AQ297" s="21">
        <v>0</v>
      </c>
      <c r="AR297" s="21">
        <v>0</v>
      </c>
      <c r="AS297" s="8">
        <v>31.565000000000001</v>
      </c>
      <c r="AT297" s="21">
        <v>31.565000000000001</v>
      </c>
      <c r="AU297" s="21">
        <v>0</v>
      </c>
      <c r="AV297" s="21">
        <v>0</v>
      </c>
      <c r="AW297" s="21">
        <v>0</v>
      </c>
      <c r="AX297" s="21">
        <v>0</v>
      </c>
      <c r="AY297" s="8">
        <v>0</v>
      </c>
    </row>
    <row r="298" spans="1:51" ht="15" customHeight="1" x14ac:dyDescent="0.25">
      <c r="A298" s="9">
        <v>743</v>
      </c>
      <c r="B298" s="13">
        <v>45741</v>
      </c>
      <c r="C298" s="9" t="s">
        <v>169</v>
      </c>
      <c r="D298" s="9">
        <v>9518632689</v>
      </c>
      <c r="E298" s="8">
        <v>1</v>
      </c>
      <c r="F298" s="9" t="s">
        <v>918</v>
      </c>
      <c r="G298" s="9" t="s">
        <v>1303</v>
      </c>
      <c r="H298" s="9" t="s">
        <v>57</v>
      </c>
      <c r="I298" s="9" t="s">
        <v>38</v>
      </c>
      <c r="J298" s="9" t="s">
        <v>41</v>
      </c>
      <c r="K298" s="9" t="s">
        <v>233</v>
      </c>
      <c r="L298" s="39"/>
      <c r="M298" s="7" t="s">
        <v>1</v>
      </c>
      <c r="N298" s="8"/>
      <c r="O298" s="40"/>
      <c r="P298" s="15"/>
      <c r="Q298" s="9" t="s">
        <v>188</v>
      </c>
      <c r="R298" s="9" t="s">
        <v>574</v>
      </c>
      <c r="S298" s="9"/>
      <c r="T298" s="9">
        <v>944226</v>
      </c>
      <c r="U298" s="16" t="s">
        <v>609</v>
      </c>
      <c r="V298" s="9">
        <v>3889776</v>
      </c>
      <c r="W298" s="8" t="s">
        <v>303</v>
      </c>
      <c r="X298" s="8" t="s">
        <v>317</v>
      </c>
      <c r="Y298" s="8" t="s">
        <v>175</v>
      </c>
      <c r="Z298" s="8">
        <v>10</v>
      </c>
      <c r="AA298" s="8">
        <v>18</v>
      </c>
      <c r="AB298" s="8"/>
      <c r="AC298" s="8" t="s">
        <v>222</v>
      </c>
      <c r="AD298" s="14" t="s">
        <v>223</v>
      </c>
      <c r="AE298" s="8" t="s">
        <v>304</v>
      </c>
      <c r="AF298" s="14">
        <v>0.9</v>
      </c>
      <c r="AG298" s="8">
        <v>1249</v>
      </c>
      <c r="AH298" s="8">
        <v>0</v>
      </c>
      <c r="AI298" s="8">
        <v>290</v>
      </c>
      <c r="AJ298" s="8">
        <v>266.60000000000002</v>
      </c>
      <c r="AK298" s="127">
        <v>23.4</v>
      </c>
      <c r="AL298" s="103">
        <v>12.37</v>
      </c>
      <c r="AM298" s="8">
        <v>23.4</v>
      </c>
      <c r="AN298" s="21">
        <v>0</v>
      </c>
      <c r="AO298" s="21">
        <v>0</v>
      </c>
      <c r="AP298" s="21">
        <v>0</v>
      </c>
      <c r="AQ298" s="21">
        <v>0</v>
      </c>
      <c r="AR298" s="21">
        <v>23.4</v>
      </c>
      <c r="AS298" s="8">
        <v>35.769999999999996</v>
      </c>
      <c r="AT298" s="21">
        <v>0</v>
      </c>
      <c r="AU298" s="21">
        <v>0</v>
      </c>
      <c r="AV298" s="21">
        <v>0</v>
      </c>
      <c r="AW298" s="21">
        <v>0</v>
      </c>
      <c r="AX298" s="21">
        <v>35.769999999999996</v>
      </c>
      <c r="AY298" s="8">
        <v>0</v>
      </c>
    </row>
    <row r="299" spans="1:51" ht="15" customHeight="1" x14ac:dyDescent="0.25">
      <c r="A299" s="9">
        <v>742</v>
      </c>
      <c r="B299" s="13">
        <v>45749</v>
      </c>
      <c r="C299" s="9" t="s">
        <v>169</v>
      </c>
      <c r="D299" s="9">
        <v>9518665413</v>
      </c>
      <c r="E299" s="8">
        <v>2</v>
      </c>
      <c r="F299" s="9" t="s">
        <v>919</v>
      </c>
      <c r="G299" s="79" t="s">
        <v>1303</v>
      </c>
      <c r="H299" s="9" t="s">
        <v>57</v>
      </c>
      <c r="I299" s="9" t="s">
        <v>25</v>
      </c>
      <c r="J299" s="9" t="s">
        <v>31</v>
      </c>
      <c r="K299" s="9" t="s">
        <v>170</v>
      </c>
      <c r="L299" s="39"/>
      <c r="M299" s="7" t="s">
        <v>1</v>
      </c>
      <c r="N299" s="8"/>
      <c r="O299" s="40"/>
      <c r="P299" s="15"/>
      <c r="Q299" s="9" t="s">
        <v>180</v>
      </c>
      <c r="R299" s="9" t="s">
        <v>217</v>
      </c>
      <c r="S299" s="9"/>
      <c r="T299" s="9">
        <v>116649</v>
      </c>
      <c r="U299" s="16" t="s">
        <v>96</v>
      </c>
      <c r="V299" s="9">
        <v>3240849</v>
      </c>
      <c r="W299" s="8" t="s">
        <v>535</v>
      </c>
      <c r="X299" s="8" t="s">
        <v>265</v>
      </c>
      <c r="Y299" s="8" t="s">
        <v>175</v>
      </c>
      <c r="Z299" s="8">
        <v>2</v>
      </c>
      <c r="AA299" s="8">
        <v>3</v>
      </c>
      <c r="AB299" s="8"/>
      <c r="AC299" s="8" t="s">
        <v>210</v>
      </c>
      <c r="AD299" s="14" t="s">
        <v>218</v>
      </c>
      <c r="AE299" s="8" t="s">
        <v>250</v>
      </c>
      <c r="AF299" s="14">
        <v>1.2</v>
      </c>
      <c r="AG299" s="8">
        <v>1250</v>
      </c>
      <c r="AH299" s="8">
        <v>2500</v>
      </c>
      <c r="AI299" s="8">
        <v>24</v>
      </c>
      <c r="AJ299" s="8">
        <v>0</v>
      </c>
      <c r="AK299" s="127">
        <v>21.445</v>
      </c>
      <c r="AL299" s="103">
        <v>0</v>
      </c>
      <c r="AM299" s="8">
        <v>21.445</v>
      </c>
      <c r="AN299" s="21">
        <v>0</v>
      </c>
      <c r="AO299" s="21">
        <v>0</v>
      </c>
      <c r="AP299" s="21">
        <v>21.445</v>
      </c>
      <c r="AQ299" s="21">
        <v>0</v>
      </c>
      <c r="AR299" s="21">
        <v>0</v>
      </c>
      <c r="AS299" s="8">
        <v>21.445</v>
      </c>
      <c r="AT299" s="21">
        <v>0</v>
      </c>
      <c r="AU299" s="21">
        <v>0</v>
      </c>
      <c r="AV299" s="21">
        <v>21.445</v>
      </c>
      <c r="AW299" s="21">
        <v>0</v>
      </c>
      <c r="AX299" s="21">
        <v>0</v>
      </c>
      <c r="AY299" s="8">
        <v>0</v>
      </c>
    </row>
    <row r="300" spans="1:51" ht="15" customHeight="1" x14ac:dyDescent="0.25">
      <c r="A300" s="9">
        <v>742</v>
      </c>
      <c r="B300" s="13">
        <v>45757</v>
      </c>
      <c r="C300" s="9" t="s">
        <v>169</v>
      </c>
      <c r="D300" s="9">
        <v>9518682933</v>
      </c>
      <c r="E300" s="8">
        <v>1</v>
      </c>
      <c r="F300" s="9" t="s">
        <v>920</v>
      </c>
      <c r="G300" s="9" t="s">
        <v>1687</v>
      </c>
      <c r="H300" s="9" t="s">
        <v>57</v>
      </c>
      <c r="I300" s="9" t="s">
        <v>50</v>
      </c>
      <c r="J300" s="9" t="s">
        <v>26</v>
      </c>
      <c r="K300" s="9" t="s">
        <v>170</v>
      </c>
      <c r="L300" s="39"/>
      <c r="M300" s="7" t="s">
        <v>1</v>
      </c>
      <c r="N300" s="8"/>
      <c r="O300" s="40"/>
      <c r="P300" s="15"/>
      <c r="Q300" s="9" t="s">
        <v>180</v>
      </c>
      <c r="R300" s="9" t="s">
        <v>208</v>
      </c>
      <c r="S300" s="9"/>
      <c r="T300" s="9">
        <v>154464</v>
      </c>
      <c r="U300" s="16" t="s">
        <v>86</v>
      </c>
      <c r="V300" s="9">
        <v>1252834</v>
      </c>
      <c r="W300" s="8" t="s">
        <v>312</v>
      </c>
      <c r="X300" s="8" t="s">
        <v>265</v>
      </c>
      <c r="Y300" s="8" t="s">
        <v>175</v>
      </c>
      <c r="Z300" s="8">
        <v>13</v>
      </c>
      <c r="AA300" s="8">
        <v>30</v>
      </c>
      <c r="AB300" s="8"/>
      <c r="AC300" s="8">
        <v>768</v>
      </c>
      <c r="AD300" s="14" t="s">
        <v>242</v>
      </c>
      <c r="AE300" s="8" t="s">
        <v>243</v>
      </c>
      <c r="AF300" s="14">
        <v>3</v>
      </c>
      <c r="AG300" s="8">
        <v>1250</v>
      </c>
      <c r="AH300" s="8">
        <v>0</v>
      </c>
      <c r="AI300" s="8">
        <v>150</v>
      </c>
      <c r="AJ300" s="8">
        <v>45.21</v>
      </c>
      <c r="AK300" s="127">
        <v>10.414999999999999</v>
      </c>
      <c r="AL300" s="103">
        <v>94.374999999999986</v>
      </c>
      <c r="AM300" s="8">
        <v>0</v>
      </c>
      <c r="AN300" s="21">
        <v>0</v>
      </c>
      <c r="AO300" s="21">
        <v>0</v>
      </c>
      <c r="AP300" s="21">
        <v>0</v>
      </c>
      <c r="AQ300" s="21">
        <v>0</v>
      </c>
      <c r="AR300" s="21">
        <v>0</v>
      </c>
      <c r="AS300" s="8">
        <v>94.374999999999986</v>
      </c>
      <c r="AT300" s="21">
        <v>94.374999999999986</v>
      </c>
      <c r="AU300" s="21">
        <v>0</v>
      </c>
      <c r="AV300" s="21">
        <v>0</v>
      </c>
      <c r="AW300" s="21">
        <v>0</v>
      </c>
      <c r="AX300" s="21">
        <v>0</v>
      </c>
      <c r="AY300" s="8">
        <v>0</v>
      </c>
    </row>
    <row r="301" spans="1:51" ht="15" customHeight="1" x14ac:dyDescent="0.25">
      <c r="A301" s="9">
        <v>742</v>
      </c>
      <c r="B301" s="13">
        <v>45757</v>
      </c>
      <c r="C301" s="9" t="s">
        <v>169</v>
      </c>
      <c r="D301" s="9">
        <v>9518682933</v>
      </c>
      <c r="E301" s="8">
        <v>2</v>
      </c>
      <c r="F301" s="9" t="s">
        <v>921</v>
      </c>
      <c r="G301" s="79" t="s">
        <v>1303</v>
      </c>
      <c r="H301" s="9" t="s">
        <v>57</v>
      </c>
      <c r="I301" s="9" t="s">
        <v>50</v>
      </c>
      <c r="J301" s="9" t="s">
        <v>26</v>
      </c>
      <c r="K301" s="9" t="s">
        <v>170</v>
      </c>
      <c r="L301" s="39"/>
      <c r="M301" s="7" t="s">
        <v>1</v>
      </c>
      <c r="N301" s="8"/>
      <c r="O301" s="40"/>
      <c r="P301" s="15"/>
      <c r="Q301" s="9" t="s">
        <v>180</v>
      </c>
      <c r="R301" s="9" t="s">
        <v>208</v>
      </c>
      <c r="S301" s="9"/>
      <c r="T301" s="9">
        <v>154464</v>
      </c>
      <c r="U301" s="16" t="s">
        <v>86</v>
      </c>
      <c r="V301" s="9">
        <v>1250221</v>
      </c>
      <c r="W301" s="8" t="s">
        <v>313</v>
      </c>
      <c r="X301" s="8" t="s">
        <v>265</v>
      </c>
      <c r="Y301" s="8" t="s">
        <v>175</v>
      </c>
      <c r="Z301" s="8">
        <v>13</v>
      </c>
      <c r="AA301" s="8">
        <v>30</v>
      </c>
      <c r="AB301" s="8"/>
      <c r="AC301" s="8">
        <v>768</v>
      </c>
      <c r="AD301" s="14" t="s">
        <v>242</v>
      </c>
      <c r="AE301" s="8" t="s">
        <v>243</v>
      </c>
      <c r="AF301" s="14">
        <v>2.5</v>
      </c>
      <c r="AG301" s="8">
        <v>1250</v>
      </c>
      <c r="AH301" s="8">
        <v>0</v>
      </c>
      <c r="AI301" s="8">
        <v>75</v>
      </c>
      <c r="AJ301" s="8">
        <v>0</v>
      </c>
      <c r="AK301" s="127">
        <v>75</v>
      </c>
      <c r="AL301" s="103">
        <v>0</v>
      </c>
      <c r="AM301" s="8">
        <v>75</v>
      </c>
      <c r="AN301" s="21">
        <v>0</v>
      </c>
      <c r="AO301" s="21">
        <v>75</v>
      </c>
      <c r="AP301" s="21">
        <v>0</v>
      </c>
      <c r="AQ301" s="21">
        <v>0</v>
      </c>
      <c r="AR301" s="21">
        <v>0</v>
      </c>
      <c r="AS301" s="8">
        <v>75</v>
      </c>
      <c r="AT301" s="21">
        <v>0</v>
      </c>
      <c r="AU301" s="21">
        <v>75</v>
      </c>
      <c r="AV301" s="21">
        <v>0</v>
      </c>
      <c r="AW301" s="21">
        <v>0</v>
      </c>
      <c r="AX301" s="21">
        <v>0</v>
      </c>
      <c r="AY301" s="8">
        <v>0</v>
      </c>
    </row>
    <row r="302" spans="1:51" ht="15" customHeight="1" x14ac:dyDescent="0.25">
      <c r="A302" s="9">
        <v>742</v>
      </c>
      <c r="B302" s="13">
        <v>45757</v>
      </c>
      <c r="C302" s="9" t="s">
        <v>169</v>
      </c>
      <c r="D302" s="9">
        <v>9518682933</v>
      </c>
      <c r="E302" s="8">
        <v>3</v>
      </c>
      <c r="F302" s="9" t="s">
        <v>922</v>
      </c>
      <c r="G302" s="9" t="s">
        <v>1687</v>
      </c>
      <c r="H302" s="9" t="s">
        <v>57</v>
      </c>
      <c r="I302" s="9" t="s">
        <v>50</v>
      </c>
      <c r="J302" s="9" t="s">
        <v>26</v>
      </c>
      <c r="K302" s="9" t="s">
        <v>170</v>
      </c>
      <c r="L302" s="39"/>
      <c r="M302" s="7" t="s">
        <v>1</v>
      </c>
      <c r="N302" s="8"/>
      <c r="O302" s="40"/>
      <c r="P302" s="15"/>
      <c r="Q302" s="9" t="s">
        <v>180</v>
      </c>
      <c r="R302" s="9" t="s">
        <v>208</v>
      </c>
      <c r="S302" s="9"/>
      <c r="T302" s="9">
        <v>154464</v>
      </c>
      <c r="U302" s="16" t="s">
        <v>86</v>
      </c>
      <c r="V302" s="9">
        <v>1210083</v>
      </c>
      <c r="W302" s="8" t="s">
        <v>305</v>
      </c>
      <c r="X302" s="8" t="s">
        <v>265</v>
      </c>
      <c r="Y302" s="8" t="s">
        <v>175</v>
      </c>
      <c r="Z302" s="8">
        <v>13</v>
      </c>
      <c r="AA302" s="8">
        <v>30</v>
      </c>
      <c r="AB302" s="8"/>
      <c r="AC302" s="8">
        <v>768</v>
      </c>
      <c r="AD302" s="14" t="s">
        <v>242</v>
      </c>
      <c r="AE302" s="8" t="s">
        <v>243</v>
      </c>
      <c r="AF302" s="14">
        <v>2</v>
      </c>
      <c r="AG302" s="8">
        <v>1250</v>
      </c>
      <c r="AH302" s="8">
        <v>0</v>
      </c>
      <c r="AI302" s="8">
        <v>75</v>
      </c>
      <c r="AJ302" s="8">
        <v>0</v>
      </c>
      <c r="AK302" s="127">
        <v>9.4849999999999994</v>
      </c>
      <c r="AL302" s="103">
        <v>65.514999999999986</v>
      </c>
      <c r="AM302" s="8">
        <v>0</v>
      </c>
      <c r="AN302" s="21">
        <v>0</v>
      </c>
      <c r="AO302" s="21">
        <v>0</v>
      </c>
      <c r="AP302" s="21">
        <v>0</v>
      </c>
      <c r="AQ302" s="21">
        <v>0</v>
      </c>
      <c r="AR302" s="21">
        <v>0</v>
      </c>
      <c r="AS302" s="8">
        <v>65.514999999999986</v>
      </c>
      <c r="AT302" s="21">
        <v>65.514999999999986</v>
      </c>
      <c r="AU302" s="21">
        <v>0</v>
      </c>
      <c r="AV302" s="21">
        <v>0</v>
      </c>
      <c r="AW302" s="21">
        <v>0</v>
      </c>
      <c r="AX302" s="21">
        <v>0</v>
      </c>
      <c r="AY302" s="8">
        <v>0</v>
      </c>
    </row>
    <row r="303" spans="1:51" ht="15" customHeight="1" x14ac:dyDescent="0.25">
      <c r="A303" s="9">
        <v>743</v>
      </c>
      <c r="B303" s="13">
        <v>45731</v>
      </c>
      <c r="C303" s="9" t="s">
        <v>169</v>
      </c>
      <c r="D303" s="9">
        <v>9518602675</v>
      </c>
      <c r="E303" s="8">
        <v>1</v>
      </c>
      <c r="F303" s="9" t="s">
        <v>663</v>
      </c>
      <c r="G303" s="9" t="s">
        <v>1303</v>
      </c>
      <c r="H303" s="9" t="s">
        <v>57</v>
      </c>
      <c r="I303" s="9" t="s">
        <v>43</v>
      </c>
      <c r="J303" s="9" t="s">
        <v>45</v>
      </c>
      <c r="K303" s="9" t="s">
        <v>170</v>
      </c>
      <c r="L303" s="39"/>
      <c r="M303" s="7" t="s">
        <v>1</v>
      </c>
      <c r="N303" s="8"/>
      <c r="O303" s="40"/>
      <c r="P303" s="15"/>
      <c r="Q303" s="9" t="s">
        <v>180</v>
      </c>
      <c r="R303" s="9" t="s">
        <v>261</v>
      </c>
      <c r="S303" s="9"/>
      <c r="T303" s="9">
        <v>185794</v>
      </c>
      <c r="U303" s="16" t="s">
        <v>97</v>
      </c>
      <c r="V303" s="9">
        <v>1191955</v>
      </c>
      <c r="W303" s="8" t="s">
        <v>473</v>
      </c>
      <c r="X303" s="8" t="s">
        <v>308</v>
      </c>
      <c r="Y303" s="8" t="s">
        <v>175</v>
      </c>
      <c r="Z303" s="8">
        <v>5</v>
      </c>
      <c r="AA303" s="8">
        <v>15</v>
      </c>
      <c r="AB303" s="8"/>
      <c r="AC303" s="8" t="s">
        <v>238</v>
      </c>
      <c r="AD303" s="14" t="s">
        <v>185</v>
      </c>
      <c r="AE303" s="8" t="s">
        <v>186</v>
      </c>
      <c r="AF303" s="14">
        <v>0.3</v>
      </c>
      <c r="AG303" s="8">
        <v>900</v>
      </c>
      <c r="AH303" s="8">
        <v>0</v>
      </c>
      <c r="AI303" s="8">
        <v>105</v>
      </c>
      <c r="AJ303" s="8">
        <v>0</v>
      </c>
      <c r="AK303" s="127">
        <v>105</v>
      </c>
      <c r="AL303" s="103">
        <v>0</v>
      </c>
      <c r="AM303" s="8">
        <v>105</v>
      </c>
      <c r="AN303" s="21">
        <v>0</v>
      </c>
      <c r="AO303" s="21">
        <v>0</v>
      </c>
      <c r="AP303" s="21">
        <v>0</v>
      </c>
      <c r="AQ303" s="21">
        <v>105</v>
      </c>
      <c r="AR303" s="21">
        <v>0</v>
      </c>
      <c r="AS303" s="8">
        <v>105</v>
      </c>
      <c r="AT303" s="21">
        <v>0</v>
      </c>
      <c r="AU303" s="21">
        <v>0</v>
      </c>
      <c r="AV303" s="21">
        <v>0</v>
      </c>
      <c r="AW303" s="21">
        <v>105</v>
      </c>
      <c r="AX303" s="21">
        <v>0</v>
      </c>
      <c r="AY303" s="8">
        <v>0</v>
      </c>
    </row>
    <row r="304" spans="1:51" ht="15" customHeight="1" x14ac:dyDescent="0.25">
      <c r="A304" s="9">
        <v>743</v>
      </c>
      <c r="B304" s="13">
        <v>45727</v>
      </c>
      <c r="C304" s="9" t="s">
        <v>169</v>
      </c>
      <c r="D304" s="9">
        <v>9518593433</v>
      </c>
      <c r="E304" s="8">
        <v>5</v>
      </c>
      <c r="F304" s="9" t="s">
        <v>664</v>
      </c>
      <c r="G304" s="9" t="s">
        <v>1687</v>
      </c>
      <c r="H304" s="9" t="s">
        <v>57</v>
      </c>
      <c r="I304" s="9" t="s">
        <v>43</v>
      </c>
      <c r="J304" s="9" t="s">
        <v>45</v>
      </c>
      <c r="K304" s="9" t="s">
        <v>170</v>
      </c>
      <c r="L304" s="39"/>
      <c r="M304" s="7" t="s">
        <v>1</v>
      </c>
      <c r="N304" s="8"/>
      <c r="O304" s="40"/>
      <c r="P304" s="15"/>
      <c r="Q304" s="9" t="s">
        <v>180</v>
      </c>
      <c r="R304" s="9" t="s">
        <v>265</v>
      </c>
      <c r="S304" s="9"/>
      <c r="T304" s="9">
        <v>121328</v>
      </c>
      <c r="U304" s="16" t="s">
        <v>81</v>
      </c>
      <c r="V304" s="9">
        <v>1854418</v>
      </c>
      <c r="W304" s="8" t="s">
        <v>456</v>
      </c>
      <c r="X304" s="8" t="s">
        <v>308</v>
      </c>
      <c r="Y304" s="8" t="s">
        <v>175</v>
      </c>
      <c r="Z304" s="8">
        <v>4</v>
      </c>
      <c r="AA304" s="8">
        <v>12</v>
      </c>
      <c r="AB304" s="8"/>
      <c r="AC304" s="8" t="s">
        <v>238</v>
      </c>
      <c r="AD304" s="14" t="s">
        <v>185</v>
      </c>
      <c r="AE304" s="8" t="s">
        <v>186</v>
      </c>
      <c r="AF304" s="14">
        <v>0.5</v>
      </c>
      <c r="AG304" s="8">
        <v>900</v>
      </c>
      <c r="AH304" s="8">
        <v>0</v>
      </c>
      <c r="AI304" s="8">
        <v>84</v>
      </c>
      <c r="AJ304" s="8">
        <v>0</v>
      </c>
      <c r="AK304" s="127">
        <v>5.0750000000000002</v>
      </c>
      <c r="AL304" s="103">
        <v>9.64</v>
      </c>
      <c r="AM304" s="8">
        <v>0</v>
      </c>
      <c r="AN304" s="21">
        <v>0</v>
      </c>
      <c r="AO304" s="21">
        <v>0</v>
      </c>
      <c r="AP304" s="21">
        <v>0</v>
      </c>
      <c r="AQ304" s="21">
        <v>0</v>
      </c>
      <c r="AR304" s="21">
        <v>0</v>
      </c>
      <c r="AS304" s="8">
        <v>9.64</v>
      </c>
      <c r="AT304" s="21">
        <v>9.64</v>
      </c>
      <c r="AU304" s="21">
        <v>0</v>
      </c>
      <c r="AV304" s="21">
        <v>0</v>
      </c>
      <c r="AW304" s="21">
        <v>0</v>
      </c>
      <c r="AX304" s="21">
        <v>0</v>
      </c>
      <c r="AY304" s="8">
        <v>0</v>
      </c>
    </row>
    <row r="305" spans="1:51" ht="15" customHeight="1" x14ac:dyDescent="0.25">
      <c r="A305" s="9">
        <v>744</v>
      </c>
      <c r="B305" s="13">
        <v>45762</v>
      </c>
      <c r="C305" s="9" t="s">
        <v>169</v>
      </c>
      <c r="D305" s="9">
        <v>9518695456</v>
      </c>
      <c r="E305" s="8">
        <v>1</v>
      </c>
      <c r="F305" s="9" t="s">
        <v>923</v>
      </c>
      <c r="G305" s="79" t="s">
        <v>1303</v>
      </c>
      <c r="H305" s="9" t="s">
        <v>57</v>
      </c>
      <c r="I305" s="9" t="s">
        <v>48</v>
      </c>
      <c r="J305" s="9" t="s">
        <v>39</v>
      </c>
      <c r="K305" s="9" t="s">
        <v>233</v>
      </c>
      <c r="L305" s="39"/>
      <c r="M305" s="7" t="s">
        <v>1</v>
      </c>
      <c r="N305" s="8"/>
      <c r="O305" s="40"/>
      <c r="P305" s="15"/>
      <c r="Q305" s="9" t="s">
        <v>264</v>
      </c>
      <c r="R305" s="9" t="s">
        <v>225</v>
      </c>
      <c r="S305" s="9"/>
      <c r="T305" s="9">
        <v>940016</v>
      </c>
      <c r="U305" s="16" t="s">
        <v>133</v>
      </c>
      <c r="V305" s="9">
        <v>3522241</v>
      </c>
      <c r="W305" s="8" t="s">
        <v>348</v>
      </c>
      <c r="X305" s="8" t="s">
        <v>349</v>
      </c>
      <c r="Y305" s="8" t="s">
        <v>1180</v>
      </c>
      <c r="Z305" s="8">
        <v>3</v>
      </c>
      <c r="AA305" s="8">
        <v>5</v>
      </c>
      <c r="AB305" s="8"/>
      <c r="AC305" s="8" t="s">
        <v>228</v>
      </c>
      <c r="AD305" s="14" t="s">
        <v>229</v>
      </c>
      <c r="AE305" s="8" t="s">
        <v>232</v>
      </c>
      <c r="AF305" s="14">
        <v>0.43</v>
      </c>
      <c r="AG305" s="8">
        <v>1220</v>
      </c>
      <c r="AH305" s="8">
        <v>0</v>
      </c>
      <c r="AI305" s="8">
        <v>140</v>
      </c>
      <c r="AJ305" s="8">
        <v>0</v>
      </c>
      <c r="AK305" s="127">
        <v>140</v>
      </c>
      <c r="AL305" s="103">
        <v>0</v>
      </c>
      <c r="AM305" s="8">
        <v>140</v>
      </c>
      <c r="AN305" s="21">
        <v>0</v>
      </c>
      <c r="AO305" s="21">
        <v>0</v>
      </c>
      <c r="AP305" s="21">
        <v>0</v>
      </c>
      <c r="AQ305" s="21">
        <v>140</v>
      </c>
      <c r="AR305" s="21">
        <v>0</v>
      </c>
      <c r="AS305" s="8">
        <v>140</v>
      </c>
      <c r="AT305" s="21">
        <v>0</v>
      </c>
      <c r="AU305" s="21">
        <v>0</v>
      </c>
      <c r="AV305" s="21">
        <v>0</v>
      </c>
      <c r="AW305" s="21">
        <v>140</v>
      </c>
      <c r="AX305" s="21">
        <v>0</v>
      </c>
      <c r="AY305" s="8">
        <v>0</v>
      </c>
    </row>
    <row r="306" spans="1:51" ht="15" customHeight="1" x14ac:dyDescent="0.25">
      <c r="A306" s="9">
        <v>743</v>
      </c>
      <c r="B306" s="13">
        <v>45758</v>
      </c>
      <c r="C306" s="9" t="s">
        <v>169</v>
      </c>
      <c r="D306" s="9">
        <v>9518683949</v>
      </c>
      <c r="E306" s="8">
        <v>3</v>
      </c>
      <c r="F306" s="9" t="s">
        <v>924</v>
      </c>
      <c r="G306" s="9" t="s">
        <v>1687</v>
      </c>
      <c r="H306" s="9" t="s">
        <v>57</v>
      </c>
      <c r="I306" s="9" t="s">
        <v>43</v>
      </c>
      <c r="J306" s="9" t="s">
        <v>45</v>
      </c>
      <c r="K306" s="9" t="s">
        <v>170</v>
      </c>
      <c r="L306" s="39"/>
      <c r="M306" s="7" t="s">
        <v>1</v>
      </c>
      <c r="N306" s="8"/>
      <c r="O306" s="40"/>
      <c r="P306" s="15"/>
      <c r="Q306" s="9" t="s">
        <v>180</v>
      </c>
      <c r="R306" s="9" t="s">
        <v>439</v>
      </c>
      <c r="S306" s="9"/>
      <c r="T306" s="9">
        <v>100922</v>
      </c>
      <c r="U306" s="16" t="s">
        <v>115</v>
      </c>
      <c r="V306" s="9">
        <v>1191956</v>
      </c>
      <c r="W306" s="8" t="s">
        <v>440</v>
      </c>
      <c r="X306" s="8" t="s">
        <v>308</v>
      </c>
      <c r="Y306" s="8" t="s">
        <v>175</v>
      </c>
      <c r="Z306" s="8">
        <v>5</v>
      </c>
      <c r="AA306" s="8">
        <v>15</v>
      </c>
      <c r="AB306" s="8"/>
      <c r="AC306" s="8" t="s">
        <v>238</v>
      </c>
      <c r="AD306" s="14" t="s">
        <v>185</v>
      </c>
      <c r="AE306" s="8" t="s">
        <v>186</v>
      </c>
      <c r="AF306" s="14">
        <v>0.35</v>
      </c>
      <c r="AG306" s="8">
        <v>900</v>
      </c>
      <c r="AH306" s="8">
        <v>0</v>
      </c>
      <c r="AI306" s="8">
        <v>63</v>
      </c>
      <c r="AJ306" s="8">
        <v>0</v>
      </c>
      <c r="AK306" s="127">
        <v>43.26</v>
      </c>
      <c r="AL306" s="103">
        <v>19.740000000000002</v>
      </c>
      <c r="AM306" s="8">
        <v>43.26</v>
      </c>
      <c r="AN306" s="21">
        <v>43.26</v>
      </c>
      <c r="AO306" s="21">
        <v>0</v>
      </c>
      <c r="AP306" s="21">
        <v>0</v>
      </c>
      <c r="AQ306" s="21">
        <v>0</v>
      </c>
      <c r="AR306" s="21">
        <v>0</v>
      </c>
      <c r="AS306" s="8">
        <v>63</v>
      </c>
      <c r="AT306" s="21">
        <v>0</v>
      </c>
      <c r="AU306" s="21">
        <v>63</v>
      </c>
      <c r="AV306" s="21">
        <v>0</v>
      </c>
      <c r="AW306" s="21">
        <v>0</v>
      </c>
      <c r="AX306" s="21">
        <v>0</v>
      </c>
      <c r="AY306" s="8">
        <v>0</v>
      </c>
    </row>
    <row r="307" spans="1:51" ht="15" customHeight="1" x14ac:dyDescent="0.25">
      <c r="A307" s="9">
        <v>744</v>
      </c>
      <c r="B307" s="13">
        <v>45762</v>
      </c>
      <c r="C307" s="9" t="s">
        <v>169</v>
      </c>
      <c r="D307" s="9">
        <v>9518693957</v>
      </c>
      <c r="E307" s="8">
        <v>1</v>
      </c>
      <c r="F307" s="9" t="s">
        <v>925</v>
      </c>
      <c r="G307" s="79" t="s">
        <v>1303</v>
      </c>
      <c r="H307" s="9" t="s">
        <v>57</v>
      </c>
      <c r="I307" s="9" t="s">
        <v>48</v>
      </c>
      <c r="J307" s="9" t="s">
        <v>39</v>
      </c>
      <c r="K307" s="9" t="s">
        <v>233</v>
      </c>
      <c r="L307" s="39"/>
      <c r="M307" s="7" t="s">
        <v>1</v>
      </c>
      <c r="N307" s="8"/>
      <c r="O307" s="40"/>
      <c r="P307" s="15"/>
      <c r="Q307" s="9" t="s">
        <v>264</v>
      </c>
      <c r="R307" s="9" t="s">
        <v>265</v>
      </c>
      <c r="S307" s="9"/>
      <c r="T307" s="9">
        <v>941597</v>
      </c>
      <c r="U307" s="16" t="s">
        <v>106</v>
      </c>
      <c r="V307" s="9">
        <v>1633706</v>
      </c>
      <c r="W307" s="8" t="s">
        <v>347</v>
      </c>
      <c r="X307" s="8" t="s">
        <v>317</v>
      </c>
      <c r="Y307" s="8" t="s">
        <v>1177</v>
      </c>
      <c r="Z307" s="8">
        <v>3</v>
      </c>
      <c r="AA307" s="8">
        <v>5</v>
      </c>
      <c r="AB307" s="8"/>
      <c r="AC307" s="8" t="s">
        <v>228</v>
      </c>
      <c r="AD307" s="14" t="s">
        <v>229</v>
      </c>
      <c r="AE307" s="8" t="s">
        <v>342</v>
      </c>
      <c r="AF307" s="14">
        <v>0.42</v>
      </c>
      <c r="AG307" s="8">
        <v>1220</v>
      </c>
      <c r="AH307" s="8">
        <v>0</v>
      </c>
      <c r="AI307" s="8">
        <v>28</v>
      </c>
      <c r="AJ307" s="8">
        <v>0</v>
      </c>
      <c r="AK307" s="127">
        <v>28</v>
      </c>
      <c r="AL307" s="103">
        <v>0</v>
      </c>
      <c r="AM307" s="8">
        <v>28</v>
      </c>
      <c r="AN307" s="21">
        <v>0</v>
      </c>
      <c r="AO307" s="21">
        <v>0</v>
      </c>
      <c r="AP307" s="21">
        <v>0</v>
      </c>
      <c r="AQ307" s="21">
        <v>0</v>
      </c>
      <c r="AR307" s="21">
        <v>28</v>
      </c>
      <c r="AS307" s="8">
        <v>0</v>
      </c>
      <c r="AT307" s="21">
        <v>0</v>
      </c>
      <c r="AU307" s="21">
        <v>0</v>
      </c>
      <c r="AV307" s="21">
        <v>0</v>
      </c>
      <c r="AW307" s="21">
        <v>0</v>
      </c>
      <c r="AX307" s="21">
        <v>0</v>
      </c>
      <c r="AY307" s="8">
        <v>28</v>
      </c>
    </row>
    <row r="308" spans="1:51" ht="15" customHeight="1" x14ac:dyDescent="0.25">
      <c r="A308" s="9">
        <v>743</v>
      </c>
      <c r="B308" s="13">
        <v>45761</v>
      </c>
      <c r="C308" s="9" t="s">
        <v>169</v>
      </c>
      <c r="D308" s="9">
        <v>9518692220</v>
      </c>
      <c r="E308" s="8">
        <v>12</v>
      </c>
      <c r="F308" s="9" t="s">
        <v>926</v>
      </c>
      <c r="G308" s="79" t="s">
        <v>1303</v>
      </c>
      <c r="H308" s="9" t="s">
        <v>57</v>
      </c>
      <c r="I308" s="9" t="s">
        <v>43</v>
      </c>
      <c r="J308" s="9" t="s">
        <v>44</v>
      </c>
      <c r="K308" s="9" t="s">
        <v>170</v>
      </c>
      <c r="L308" s="39"/>
      <c r="M308" s="7" t="s">
        <v>1</v>
      </c>
      <c r="N308" s="8"/>
      <c r="O308" s="40"/>
      <c r="P308" s="15"/>
      <c r="Q308" s="9" t="s">
        <v>180</v>
      </c>
      <c r="R308" s="9" t="s">
        <v>265</v>
      </c>
      <c r="S308" s="9"/>
      <c r="T308" s="9">
        <v>121328</v>
      </c>
      <c r="U308" s="16" t="s">
        <v>81</v>
      </c>
      <c r="V308" s="9">
        <v>1854416</v>
      </c>
      <c r="W308" s="8" t="s">
        <v>430</v>
      </c>
      <c r="X308" s="8" t="s">
        <v>308</v>
      </c>
      <c r="Y308" s="8" t="s">
        <v>175</v>
      </c>
      <c r="Z308" s="8">
        <v>4</v>
      </c>
      <c r="AA308" s="8">
        <v>12</v>
      </c>
      <c r="AB308" s="8"/>
      <c r="AC308" s="8" t="s">
        <v>238</v>
      </c>
      <c r="AD308" s="14" t="s">
        <v>185</v>
      </c>
      <c r="AE308" s="8" t="s">
        <v>309</v>
      </c>
      <c r="AF308" s="14">
        <v>0.45</v>
      </c>
      <c r="AG308" s="8">
        <v>1220</v>
      </c>
      <c r="AH308" s="8">
        <v>0</v>
      </c>
      <c r="AI308" s="8">
        <v>28</v>
      </c>
      <c r="AJ308" s="8">
        <v>0</v>
      </c>
      <c r="AK308" s="127">
        <v>28</v>
      </c>
      <c r="AL308" s="103">
        <v>0</v>
      </c>
      <c r="AM308" s="8">
        <v>28</v>
      </c>
      <c r="AN308" s="21">
        <v>0</v>
      </c>
      <c r="AO308" s="21">
        <v>0</v>
      </c>
      <c r="AP308" s="21">
        <v>28</v>
      </c>
      <c r="AQ308" s="21">
        <v>0</v>
      </c>
      <c r="AR308" s="21">
        <v>0</v>
      </c>
      <c r="AS308" s="8">
        <v>28</v>
      </c>
      <c r="AT308" s="21">
        <v>0</v>
      </c>
      <c r="AU308" s="21">
        <v>0</v>
      </c>
      <c r="AV308" s="21">
        <v>28</v>
      </c>
      <c r="AW308" s="21">
        <v>0</v>
      </c>
      <c r="AX308" s="21">
        <v>0</v>
      </c>
      <c r="AY308" s="8">
        <v>0</v>
      </c>
    </row>
    <row r="309" spans="1:51" ht="15" customHeight="1" x14ac:dyDescent="0.25">
      <c r="A309" s="9">
        <v>743</v>
      </c>
      <c r="B309" s="13">
        <v>45761</v>
      </c>
      <c r="C309" s="9" t="s">
        <v>169</v>
      </c>
      <c r="D309" s="9">
        <v>9518692220</v>
      </c>
      <c r="E309" s="8">
        <v>14</v>
      </c>
      <c r="F309" s="9" t="s">
        <v>927</v>
      </c>
      <c r="G309" s="79" t="s">
        <v>1303</v>
      </c>
      <c r="H309" s="9" t="s">
        <v>57</v>
      </c>
      <c r="I309" s="9" t="s">
        <v>43</v>
      </c>
      <c r="J309" s="9" t="s">
        <v>44</v>
      </c>
      <c r="K309" s="9" t="s">
        <v>170</v>
      </c>
      <c r="L309" s="39">
        <v>1200</v>
      </c>
      <c r="M309" s="7" t="s">
        <v>1</v>
      </c>
      <c r="N309" s="8"/>
      <c r="O309" s="40"/>
      <c r="P309" s="15"/>
      <c r="Q309" s="9" t="s">
        <v>180</v>
      </c>
      <c r="R309" s="9" t="s">
        <v>265</v>
      </c>
      <c r="S309" s="9"/>
      <c r="T309" s="9">
        <v>121328</v>
      </c>
      <c r="U309" s="16" t="s">
        <v>81</v>
      </c>
      <c r="V309" s="9">
        <v>1300227</v>
      </c>
      <c r="W309" s="8" t="s">
        <v>496</v>
      </c>
      <c r="X309" s="8" t="s">
        <v>308</v>
      </c>
      <c r="Y309" s="8" t="s">
        <v>175</v>
      </c>
      <c r="Z309" s="8">
        <v>4</v>
      </c>
      <c r="AA309" s="8">
        <v>12</v>
      </c>
      <c r="AB309" s="8"/>
      <c r="AC309" s="8" t="s">
        <v>238</v>
      </c>
      <c r="AD309" s="14" t="s">
        <v>185</v>
      </c>
      <c r="AE309" s="8" t="s">
        <v>309</v>
      </c>
      <c r="AF309" s="14">
        <v>0.6</v>
      </c>
      <c r="AG309" s="8">
        <v>1220</v>
      </c>
      <c r="AH309" s="8">
        <v>0</v>
      </c>
      <c r="AI309" s="8">
        <v>56</v>
      </c>
      <c r="AJ309" s="8">
        <v>0</v>
      </c>
      <c r="AK309" s="127">
        <v>56</v>
      </c>
      <c r="AL309" s="103">
        <v>0</v>
      </c>
      <c r="AM309" s="8">
        <v>56</v>
      </c>
      <c r="AN309" s="21">
        <v>0</v>
      </c>
      <c r="AO309" s="21">
        <v>0</v>
      </c>
      <c r="AP309" s="21">
        <v>56</v>
      </c>
      <c r="AQ309" s="21">
        <v>0</v>
      </c>
      <c r="AR309" s="21">
        <v>0</v>
      </c>
      <c r="AS309" s="8">
        <v>56</v>
      </c>
      <c r="AT309" s="21">
        <v>0</v>
      </c>
      <c r="AU309" s="21">
        <v>0</v>
      </c>
      <c r="AV309" s="21">
        <v>56</v>
      </c>
      <c r="AW309" s="21">
        <v>0</v>
      </c>
      <c r="AX309" s="21">
        <v>0</v>
      </c>
      <c r="AY309" s="8">
        <v>0</v>
      </c>
    </row>
    <row r="310" spans="1:51" ht="15" customHeight="1" x14ac:dyDescent="0.25">
      <c r="A310" s="9">
        <v>744</v>
      </c>
      <c r="B310" s="13">
        <v>45755</v>
      </c>
      <c r="C310" s="9" t="s">
        <v>169</v>
      </c>
      <c r="D310" s="9">
        <v>9518676905</v>
      </c>
      <c r="E310" s="8">
        <v>7</v>
      </c>
      <c r="F310" s="9" t="s">
        <v>928</v>
      </c>
      <c r="G310" s="79" t="s">
        <v>1303</v>
      </c>
      <c r="H310" s="9" t="s">
        <v>57</v>
      </c>
      <c r="I310" s="9" t="s">
        <v>48</v>
      </c>
      <c r="J310" s="9" t="s">
        <v>39</v>
      </c>
      <c r="K310" s="9" t="s">
        <v>233</v>
      </c>
      <c r="L310" s="39"/>
      <c r="M310" s="7" t="s">
        <v>1</v>
      </c>
      <c r="N310" s="8"/>
      <c r="O310" s="40"/>
      <c r="P310" s="15"/>
      <c r="Q310" s="9" t="s">
        <v>264</v>
      </c>
      <c r="R310" s="9" t="s">
        <v>265</v>
      </c>
      <c r="S310" s="9"/>
      <c r="T310" s="9">
        <v>941597</v>
      </c>
      <c r="U310" s="16" t="s">
        <v>106</v>
      </c>
      <c r="V310" s="9">
        <v>3941967</v>
      </c>
      <c r="W310" s="8" t="s">
        <v>810</v>
      </c>
      <c r="X310" s="8" t="s">
        <v>317</v>
      </c>
      <c r="Y310" s="8" t="s">
        <v>355</v>
      </c>
      <c r="Z310" s="8">
        <v>3</v>
      </c>
      <c r="AA310" s="8">
        <v>5</v>
      </c>
      <c r="AB310" s="8"/>
      <c r="AC310" s="8" t="s">
        <v>228</v>
      </c>
      <c r="AD310" s="14" t="s">
        <v>229</v>
      </c>
      <c r="AE310" s="8" t="s">
        <v>354</v>
      </c>
      <c r="AF310" s="14">
        <v>0.6</v>
      </c>
      <c r="AG310" s="8">
        <v>1220</v>
      </c>
      <c r="AH310" s="8">
        <v>0</v>
      </c>
      <c r="AI310" s="8">
        <v>112</v>
      </c>
      <c r="AJ310" s="8">
        <v>0</v>
      </c>
      <c r="AK310" s="127">
        <v>106.97499999999999</v>
      </c>
      <c r="AL310" s="103">
        <v>0</v>
      </c>
      <c r="AM310" s="8">
        <v>106.97499999999999</v>
      </c>
      <c r="AN310" s="21">
        <v>106.97499999999999</v>
      </c>
      <c r="AO310" s="21">
        <v>0</v>
      </c>
      <c r="AP310" s="21">
        <v>0</v>
      </c>
      <c r="AQ310" s="21">
        <v>0</v>
      </c>
      <c r="AR310" s="21">
        <v>0</v>
      </c>
      <c r="AS310" s="8">
        <v>106.97499999999999</v>
      </c>
      <c r="AT310" s="21">
        <v>0</v>
      </c>
      <c r="AU310" s="21">
        <v>106.97499999999999</v>
      </c>
      <c r="AV310" s="21">
        <v>0</v>
      </c>
      <c r="AW310" s="21">
        <v>0</v>
      </c>
      <c r="AX310" s="21">
        <v>0</v>
      </c>
      <c r="AY310" s="8">
        <v>0</v>
      </c>
    </row>
    <row r="311" spans="1:51" ht="15" customHeight="1" x14ac:dyDescent="0.25">
      <c r="A311" s="9">
        <v>744</v>
      </c>
      <c r="B311" s="13">
        <v>45756</v>
      </c>
      <c r="C311" s="9" t="s">
        <v>169</v>
      </c>
      <c r="D311" s="9">
        <v>9518679911</v>
      </c>
      <c r="E311" s="8">
        <v>1</v>
      </c>
      <c r="F311" s="9" t="s">
        <v>929</v>
      </c>
      <c r="G311" s="9" t="s">
        <v>1687</v>
      </c>
      <c r="H311" s="9" t="s">
        <v>57</v>
      </c>
      <c r="I311" s="9" t="s">
        <v>48</v>
      </c>
      <c r="J311" s="9" t="s">
        <v>39</v>
      </c>
      <c r="K311" s="9" t="s">
        <v>233</v>
      </c>
      <c r="L311" s="39"/>
      <c r="M311" s="7" t="s">
        <v>1</v>
      </c>
      <c r="N311" s="8"/>
      <c r="O311" s="40"/>
      <c r="P311" s="15"/>
      <c r="Q311" s="9" t="s">
        <v>264</v>
      </c>
      <c r="R311" s="9" t="s">
        <v>265</v>
      </c>
      <c r="S311" s="9"/>
      <c r="T311" s="9">
        <v>941597</v>
      </c>
      <c r="U311" s="16" t="s">
        <v>106</v>
      </c>
      <c r="V311" s="9">
        <v>4001001</v>
      </c>
      <c r="W311" s="8" t="s">
        <v>1148</v>
      </c>
      <c r="X311" s="8" t="s">
        <v>317</v>
      </c>
      <c r="Y311" s="8" t="s">
        <v>355</v>
      </c>
      <c r="Z311" s="8">
        <v>3</v>
      </c>
      <c r="AA311" s="8">
        <v>5</v>
      </c>
      <c r="AB311" s="8"/>
      <c r="AC311" s="8" t="s">
        <v>228</v>
      </c>
      <c r="AD311" s="14" t="s">
        <v>229</v>
      </c>
      <c r="AE311" s="8" t="s">
        <v>354</v>
      </c>
      <c r="AF311" s="14">
        <v>0.63</v>
      </c>
      <c r="AG311" s="8">
        <v>1220</v>
      </c>
      <c r="AH311" s="8">
        <v>0</v>
      </c>
      <c r="AI311" s="8">
        <v>84</v>
      </c>
      <c r="AJ311" s="8">
        <v>0</v>
      </c>
      <c r="AK311" s="127">
        <v>8.33</v>
      </c>
      <c r="AL311" s="103">
        <v>23.119999999999997</v>
      </c>
      <c r="AM311" s="8">
        <v>8.33</v>
      </c>
      <c r="AN311" s="21">
        <v>8.33</v>
      </c>
      <c r="AO311" s="21">
        <v>0</v>
      </c>
      <c r="AP311" s="21">
        <v>0</v>
      </c>
      <c r="AQ311" s="21">
        <v>0</v>
      </c>
      <c r="AR311" s="21">
        <v>0</v>
      </c>
      <c r="AS311" s="8">
        <v>31.449999999999996</v>
      </c>
      <c r="AT311" s="21">
        <v>0</v>
      </c>
      <c r="AU311" s="21">
        <v>31.449999999999996</v>
      </c>
      <c r="AV311" s="21">
        <v>0</v>
      </c>
      <c r="AW311" s="21">
        <v>0</v>
      </c>
      <c r="AX311" s="21">
        <v>0</v>
      </c>
      <c r="AY311" s="8">
        <v>0</v>
      </c>
    </row>
    <row r="312" spans="1:51" ht="15" customHeight="1" x14ac:dyDescent="0.25">
      <c r="A312" s="9">
        <v>742</v>
      </c>
      <c r="B312" s="13">
        <v>45743</v>
      </c>
      <c r="C312" s="9" t="s">
        <v>169</v>
      </c>
      <c r="D312" s="9">
        <v>9518644656</v>
      </c>
      <c r="E312" s="8">
        <v>1</v>
      </c>
      <c r="F312" s="9" t="s">
        <v>930</v>
      </c>
      <c r="G312" s="79" t="s">
        <v>1303</v>
      </c>
      <c r="H312" s="9" t="s">
        <v>57</v>
      </c>
      <c r="I312" s="9" t="s">
        <v>25</v>
      </c>
      <c r="J312" s="9" t="s">
        <v>31</v>
      </c>
      <c r="K312" s="9" t="s">
        <v>170</v>
      </c>
      <c r="L312" s="39"/>
      <c r="M312" s="7" t="s">
        <v>1</v>
      </c>
      <c r="N312" s="8"/>
      <c r="O312" s="40"/>
      <c r="P312" s="15"/>
      <c r="Q312" s="9" t="s">
        <v>180</v>
      </c>
      <c r="R312" s="9" t="s">
        <v>722</v>
      </c>
      <c r="S312" s="9"/>
      <c r="T312" s="9">
        <v>948783</v>
      </c>
      <c r="U312" s="16" t="s">
        <v>96</v>
      </c>
      <c r="V312" s="9">
        <v>3410101</v>
      </c>
      <c r="W312" s="8" t="s">
        <v>373</v>
      </c>
      <c r="X312" s="8" t="s">
        <v>265</v>
      </c>
      <c r="Y312" s="8" t="s">
        <v>175</v>
      </c>
      <c r="Z312" s="8">
        <v>2</v>
      </c>
      <c r="AA312" s="8">
        <v>3</v>
      </c>
      <c r="AB312" s="8"/>
      <c r="AC312" s="8" t="s">
        <v>210</v>
      </c>
      <c r="AD312" s="14" t="s">
        <v>218</v>
      </c>
      <c r="AE312" s="8" t="s">
        <v>250</v>
      </c>
      <c r="AF312" s="14">
        <v>0.75</v>
      </c>
      <c r="AG312" s="8">
        <v>1000</v>
      </c>
      <c r="AH312" s="8">
        <v>2500</v>
      </c>
      <c r="AI312" s="8">
        <v>24</v>
      </c>
      <c r="AJ312" s="8">
        <v>0</v>
      </c>
      <c r="AK312" s="127">
        <v>24</v>
      </c>
      <c r="AL312" s="103">
        <v>0</v>
      </c>
      <c r="AM312" s="8">
        <v>24</v>
      </c>
      <c r="AN312" s="21">
        <v>0</v>
      </c>
      <c r="AO312" s="21">
        <v>24</v>
      </c>
      <c r="AP312" s="21">
        <v>0</v>
      </c>
      <c r="AQ312" s="21">
        <v>0</v>
      </c>
      <c r="AR312" s="21">
        <v>0</v>
      </c>
      <c r="AS312" s="8">
        <v>24</v>
      </c>
      <c r="AT312" s="21">
        <v>0</v>
      </c>
      <c r="AU312" s="21">
        <v>24</v>
      </c>
      <c r="AV312" s="21">
        <v>0</v>
      </c>
      <c r="AW312" s="21">
        <v>0</v>
      </c>
      <c r="AX312" s="21">
        <v>0</v>
      </c>
      <c r="AY312" s="8">
        <v>0</v>
      </c>
    </row>
    <row r="313" spans="1:51" ht="15" customHeight="1" x14ac:dyDescent="0.25">
      <c r="A313" s="9">
        <v>743</v>
      </c>
      <c r="B313" s="13">
        <v>45727</v>
      </c>
      <c r="C313" s="9" t="s">
        <v>169</v>
      </c>
      <c r="D313" s="9">
        <v>9518593433</v>
      </c>
      <c r="E313" s="8">
        <v>1</v>
      </c>
      <c r="F313" s="9" t="s">
        <v>670</v>
      </c>
      <c r="G313" s="79" t="s">
        <v>1303</v>
      </c>
      <c r="H313" s="9" t="s">
        <v>57</v>
      </c>
      <c r="I313" s="9" t="s">
        <v>43</v>
      </c>
      <c r="J313" s="9" t="s">
        <v>45</v>
      </c>
      <c r="K313" s="9" t="s">
        <v>170</v>
      </c>
      <c r="L313" s="39"/>
      <c r="M313" s="7" t="s">
        <v>1</v>
      </c>
      <c r="N313" s="8"/>
      <c r="O313" s="40"/>
      <c r="P313" s="15"/>
      <c r="Q313" s="9" t="s">
        <v>180</v>
      </c>
      <c r="R313" s="9" t="s">
        <v>265</v>
      </c>
      <c r="S313" s="9"/>
      <c r="T313" s="9">
        <v>121328</v>
      </c>
      <c r="U313" s="16" t="s">
        <v>81</v>
      </c>
      <c r="V313" s="9">
        <v>1191955</v>
      </c>
      <c r="W313" s="8" t="s">
        <v>473</v>
      </c>
      <c r="X313" s="8" t="s">
        <v>308</v>
      </c>
      <c r="Y313" s="8" t="s">
        <v>175</v>
      </c>
      <c r="Z313" s="8">
        <v>4</v>
      </c>
      <c r="AA313" s="8">
        <v>12</v>
      </c>
      <c r="AB313" s="8"/>
      <c r="AC313" s="8" t="s">
        <v>238</v>
      </c>
      <c r="AD313" s="14" t="s">
        <v>185</v>
      </c>
      <c r="AE313" s="8" t="s">
        <v>186</v>
      </c>
      <c r="AF313" s="14">
        <v>0.3</v>
      </c>
      <c r="AG313" s="8">
        <v>900</v>
      </c>
      <c r="AH313" s="8">
        <v>0</v>
      </c>
      <c r="AI313" s="8">
        <v>21</v>
      </c>
      <c r="AJ313" s="8">
        <v>0</v>
      </c>
      <c r="AK313" s="127">
        <v>21</v>
      </c>
      <c r="AL313" s="103">
        <v>0</v>
      </c>
      <c r="AM313" s="8">
        <v>21</v>
      </c>
      <c r="AN313" s="21">
        <v>21</v>
      </c>
      <c r="AO313" s="21">
        <v>0</v>
      </c>
      <c r="AP313" s="21">
        <v>0</v>
      </c>
      <c r="AQ313" s="21">
        <v>0</v>
      </c>
      <c r="AR313" s="21">
        <v>0</v>
      </c>
      <c r="AS313" s="8">
        <v>21</v>
      </c>
      <c r="AT313" s="21">
        <v>0</v>
      </c>
      <c r="AU313" s="21">
        <v>21</v>
      </c>
      <c r="AV313" s="21">
        <v>0</v>
      </c>
      <c r="AW313" s="21">
        <v>0</v>
      </c>
      <c r="AX313" s="21">
        <v>0</v>
      </c>
      <c r="AY313" s="8">
        <v>0</v>
      </c>
    </row>
    <row r="314" spans="1:51" ht="15" customHeight="1" x14ac:dyDescent="0.25">
      <c r="A314" s="9">
        <v>742</v>
      </c>
      <c r="B314" s="13">
        <v>45740</v>
      </c>
      <c r="C314" s="9" t="s">
        <v>169</v>
      </c>
      <c r="D314" s="9">
        <v>9518629852</v>
      </c>
      <c r="E314" s="8">
        <v>1</v>
      </c>
      <c r="F314" s="9" t="s">
        <v>931</v>
      </c>
      <c r="G314" s="9" t="s">
        <v>1303</v>
      </c>
      <c r="H314" s="9" t="s">
        <v>57</v>
      </c>
      <c r="I314" s="9" t="s">
        <v>25</v>
      </c>
      <c r="J314" s="9" t="s">
        <v>31</v>
      </c>
      <c r="K314" s="9" t="s">
        <v>170</v>
      </c>
      <c r="L314" s="39"/>
      <c r="M314" s="7" t="s">
        <v>1</v>
      </c>
      <c r="N314" s="8"/>
      <c r="O314" s="40"/>
      <c r="P314" s="15" t="s">
        <v>244</v>
      </c>
      <c r="Q314" s="9" t="s">
        <v>188</v>
      </c>
      <c r="R314" s="9" t="s">
        <v>311</v>
      </c>
      <c r="S314" s="9"/>
      <c r="T314" s="9">
        <v>932086</v>
      </c>
      <c r="U314" s="16" t="s">
        <v>123</v>
      </c>
      <c r="V314" s="9">
        <v>3240765</v>
      </c>
      <c r="W314" s="8" t="s">
        <v>360</v>
      </c>
      <c r="X314" s="8" t="s">
        <v>265</v>
      </c>
      <c r="Y314" s="8" t="s">
        <v>175</v>
      </c>
      <c r="Z314" s="8">
        <v>2.5</v>
      </c>
      <c r="AA314" s="8">
        <v>3.5</v>
      </c>
      <c r="AB314" s="8"/>
      <c r="AC314" s="8" t="s">
        <v>210</v>
      </c>
      <c r="AD314" s="14" t="s">
        <v>218</v>
      </c>
      <c r="AE314" s="8" t="s">
        <v>250</v>
      </c>
      <c r="AF314" s="14">
        <v>0.5</v>
      </c>
      <c r="AG314" s="8">
        <v>1250</v>
      </c>
      <c r="AH314" s="8">
        <v>2500</v>
      </c>
      <c r="AI314" s="8">
        <v>24</v>
      </c>
      <c r="AJ314" s="8">
        <v>2.91</v>
      </c>
      <c r="AK314" s="127">
        <v>21.09</v>
      </c>
      <c r="AL314" s="103">
        <v>0</v>
      </c>
      <c r="AM314" s="8">
        <v>21.09</v>
      </c>
      <c r="AN314" s="21">
        <v>21.09</v>
      </c>
      <c r="AO314" s="21">
        <v>0</v>
      </c>
      <c r="AP314" s="21">
        <v>0</v>
      </c>
      <c r="AQ314" s="21">
        <v>0</v>
      </c>
      <c r="AR314" s="21">
        <v>0</v>
      </c>
      <c r="AS314" s="8">
        <v>21.09</v>
      </c>
      <c r="AT314" s="21">
        <v>0</v>
      </c>
      <c r="AU314" s="21">
        <v>21.09</v>
      </c>
      <c r="AV314" s="21">
        <v>0</v>
      </c>
      <c r="AW314" s="21">
        <v>0</v>
      </c>
      <c r="AX314" s="21">
        <v>0</v>
      </c>
      <c r="AY314" s="8">
        <v>0</v>
      </c>
    </row>
    <row r="315" spans="1:51" ht="15" customHeight="1" x14ac:dyDescent="0.25">
      <c r="A315" s="9">
        <v>742</v>
      </c>
      <c r="B315" s="13">
        <v>45740</v>
      </c>
      <c r="C315" s="9" t="s">
        <v>169</v>
      </c>
      <c r="D315" s="9">
        <v>9518629852</v>
      </c>
      <c r="E315" s="8">
        <v>2</v>
      </c>
      <c r="F315" s="9" t="s">
        <v>932</v>
      </c>
      <c r="G315" s="79" t="s">
        <v>1303</v>
      </c>
      <c r="H315" s="9" t="s">
        <v>57</v>
      </c>
      <c r="I315" s="9" t="s">
        <v>25</v>
      </c>
      <c r="J315" s="9" t="s">
        <v>31</v>
      </c>
      <c r="K315" s="9" t="s">
        <v>170</v>
      </c>
      <c r="L315" s="39"/>
      <c r="M315" s="7" t="s">
        <v>1</v>
      </c>
      <c r="N315" s="8"/>
      <c r="O315" s="40"/>
      <c r="P315" s="15" t="s">
        <v>244</v>
      </c>
      <c r="Q315" s="9" t="s">
        <v>188</v>
      </c>
      <c r="R315" s="9" t="s">
        <v>311</v>
      </c>
      <c r="S315" s="9"/>
      <c r="T315" s="9">
        <v>932086</v>
      </c>
      <c r="U315" s="16" t="s">
        <v>123</v>
      </c>
      <c r="V315" s="9">
        <v>3240785</v>
      </c>
      <c r="W315" s="8" t="s">
        <v>467</v>
      </c>
      <c r="X315" s="8" t="s">
        <v>265</v>
      </c>
      <c r="Y315" s="8" t="s">
        <v>175</v>
      </c>
      <c r="Z315" s="8">
        <v>2.5</v>
      </c>
      <c r="AA315" s="8">
        <v>3.5</v>
      </c>
      <c r="AB315" s="8"/>
      <c r="AC315" s="8" t="s">
        <v>210</v>
      </c>
      <c r="AD315" s="14" t="s">
        <v>218</v>
      </c>
      <c r="AE315" s="8" t="s">
        <v>250</v>
      </c>
      <c r="AF315" s="14">
        <v>0.6</v>
      </c>
      <c r="AG315" s="8">
        <v>1250</v>
      </c>
      <c r="AH315" s="8">
        <v>2500</v>
      </c>
      <c r="AI315" s="8">
        <v>24</v>
      </c>
      <c r="AJ315" s="8">
        <v>0</v>
      </c>
      <c r="AK315" s="127">
        <v>24</v>
      </c>
      <c r="AL315" s="103">
        <v>0</v>
      </c>
      <c r="AM315" s="8">
        <v>24</v>
      </c>
      <c r="AN315" s="21">
        <v>0</v>
      </c>
      <c r="AO315" s="21">
        <v>0</v>
      </c>
      <c r="AP315" s="21">
        <v>24</v>
      </c>
      <c r="AQ315" s="21">
        <v>0</v>
      </c>
      <c r="AR315" s="21">
        <v>0</v>
      </c>
      <c r="AS315" s="8">
        <v>24</v>
      </c>
      <c r="AT315" s="21">
        <v>0</v>
      </c>
      <c r="AU315" s="21">
        <v>0</v>
      </c>
      <c r="AV315" s="21">
        <v>24</v>
      </c>
      <c r="AW315" s="21">
        <v>0</v>
      </c>
      <c r="AX315" s="21">
        <v>0</v>
      </c>
      <c r="AY315" s="8">
        <v>0</v>
      </c>
    </row>
    <row r="316" spans="1:51" ht="15" customHeight="1" x14ac:dyDescent="0.25">
      <c r="A316" s="9">
        <v>742</v>
      </c>
      <c r="B316" s="13">
        <v>45740</v>
      </c>
      <c r="C316" s="9" t="s">
        <v>169</v>
      </c>
      <c r="D316" s="9">
        <v>9518629852</v>
      </c>
      <c r="E316" s="8">
        <v>3</v>
      </c>
      <c r="F316" s="9" t="s">
        <v>933</v>
      </c>
      <c r="G316" s="79" t="s">
        <v>1303</v>
      </c>
      <c r="H316" s="9" t="s">
        <v>57</v>
      </c>
      <c r="I316" s="9" t="s">
        <v>25</v>
      </c>
      <c r="J316" s="9" t="s">
        <v>31</v>
      </c>
      <c r="K316" s="9" t="s">
        <v>170</v>
      </c>
      <c r="L316" s="39"/>
      <c r="M316" s="7" t="s">
        <v>1</v>
      </c>
      <c r="N316" s="8"/>
      <c r="O316" s="40"/>
      <c r="P316" s="15" t="s">
        <v>244</v>
      </c>
      <c r="Q316" s="9" t="s">
        <v>188</v>
      </c>
      <c r="R316" s="9" t="s">
        <v>311</v>
      </c>
      <c r="S316" s="9"/>
      <c r="T316" s="9">
        <v>932086</v>
      </c>
      <c r="U316" s="16" t="s">
        <v>123</v>
      </c>
      <c r="V316" s="9">
        <v>3240786</v>
      </c>
      <c r="W316" s="8" t="s">
        <v>497</v>
      </c>
      <c r="X316" s="8" t="s">
        <v>265</v>
      </c>
      <c r="Y316" s="8" t="s">
        <v>175</v>
      </c>
      <c r="Z316" s="8">
        <v>2.5</v>
      </c>
      <c r="AA316" s="8">
        <v>3.5</v>
      </c>
      <c r="AB316" s="8"/>
      <c r="AC316" s="8" t="s">
        <v>210</v>
      </c>
      <c r="AD316" s="14" t="s">
        <v>218</v>
      </c>
      <c r="AE316" s="8" t="s">
        <v>250</v>
      </c>
      <c r="AF316" s="14">
        <v>0.7</v>
      </c>
      <c r="AG316" s="8">
        <v>1250</v>
      </c>
      <c r="AH316" s="8">
        <v>2500</v>
      </c>
      <c r="AI316" s="8">
        <v>24</v>
      </c>
      <c r="AJ316" s="8">
        <v>0</v>
      </c>
      <c r="AK316" s="127">
        <v>24</v>
      </c>
      <c r="AL316" s="103">
        <v>0</v>
      </c>
      <c r="AM316" s="8">
        <v>24</v>
      </c>
      <c r="AN316" s="21">
        <v>0</v>
      </c>
      <c r="AO316" s="21">
        <v>0</v>
      </c>
      <c r="AP316" s="21">
        <v>24</v>
      </c>
      <c r="AQ316" s="21">
        <v>0</v>
      </c>
      <c r="AR316" s="21">
        <v>0</v>
      </c>
      <c r="AS316" s="8">
        <v>24</v>
      </c>
      <c r="AT316" s="21">
        <v>0</v>
      </c>
      <c r="AU316" s="21">
        <v>0</v>
      </c>
      <c r="AV316" s="21">
        <v>24</v>
      </c>
      <c r="AW316" s="21">
        <v>0</v>
      </c>
      <c r="AX316" s="21">
        <v>0</v>
      </c>
      <c r="AY316" s="8">
        <v>0</v>
      </c>
    </row>
    <row r="317" spans="1:51" ht="15" customHeight="1" x14ac:dyDescent="0.25">
      <c r="A317" s="9">
        <v>742</v>
      </c>
      <c r="B317" s="13">
        <v>45742</v>
      </c>
      <c r="C317" s="9" t="s">
        <v>169</v>
      </c>
      <c r="D317" s="9">
        <v>9518637097</v>
      </c>
      <c r="E317" s="8">
        <v>2</v>
      </c>
      <c r="F317" s="9" t="s">
        <v>934</v>
      </c>
      <c r="G317" s="79" t="s">
        <v>1303</v>
      </c>
      <c r="H317" s="9" t="s">
        <v>57</v>
      </c>
      <c r="I317" s="9" t="s">
        <v>25</v>
      </c>
      <c r="J317" s="9" t="s">
        <v>31</v>
      </c>
      <c r="K317" s="9" t="s">
        <v>170</v>
      </c>
      <c r="L317" s="39"/>
      <c r="M317" s="7" t="s">
        <v>1</v>
      </c>
      <c r="N317" s="8"/>
      <c r="O317" s="40"/>
      <c r="P317" s="15"/>
      <c r="Q317" s="9" t="s">
        <v>180</v>
      </c>
      <c r="R317" s="9" t="s">
        <v>364</v>
      </c>
      <c r="S317" s="9"/>
      <c r="T317" s="9">
        <v>139336</v>
      </c>
      <c r="U317" s="16" t="s">
        <v>92</v>
      </c>
      <c r="V317" s="9">
        <v>3240778</v>
      </c>
      <c r="W317" s="8" t="s">
        <v>253</v>
      </c>
      <c r="X317" s="8" t="s">
        <v>265</v>
      </c>
      <c r="Y317" s="8" t="s">
        <v>175</v>
      </c>
      <c r="Z317" s="8">
        <v>1</v>
      </c>
      <c r="AA317" s="8">
        <v>3</v>
      </c>
      <c r="AB317" s="8"/>
      <c r="AC317" s="8" t="s">
        <v>210</v>
      </c>
      <c r="AD317" s="14" t="s">
        <v>218</v>
      </c>
      <c r="AE317" s="8" t="s">
        <v>250</v>
      </c>
      <c r="AF317" s="14">
        <v>0.6</v>
      </c>
      <c r="AG317" s="8">
        <v>1000</v>
      </c>
      <c r="AH317" s="8">
        <v>2500</v>
      </c>
      <c r="AI317" s="8">
        <v>60</v>
      </c>
      <c r="AJ317" s="8">
        <v>18.875</v>
      </c>
      <c r="AK317" s="127">
        <v>41.125</v>
      </c>
      <c r="AL317" s="103">
        <v>5.91</v>
      </c>
      <c r="AM317" s="8">
        <v>41.125</v>
      </c>
      <c r="AN317" s="21">
        <v>0</v>
      </c>
      <c r="AO317" s="21">
        <v>41.125</v>
      </c>
      <c r="AP317" s="21">
        <v>0</v>
      </c>
      <c r="AQ317" s="21">
        <v>0</v>
      </c>
      <c r="AR317" s="21">
        <v>0</v>
      </c>
      <c r="AS317" s="8">
        <v>47.034999999999997</v>
      </c>
      <c r="AT317" s="21">
        <v>0</v>
      </c>
      <c r="AU317" s="21">
        <v>0</v>
      </c>
      <c r="AV317" s="21">
        <v>47.034999999999997</v>
      </c>
      <c r="AW317" s="21">
        <v>0</v>
      </c>
      <c r="AX317" s="21">
        <v>0</v>
      </c>
      <c r="AY317" s="8">
        <v>0</v>
      </c>
    </row>
    <row r="318" spans="1:51" ht="15" customHeight="1" x14ac:dyDescent="0.25">
      <c r="A318" s="9">
        <v>742</v>
      </c>
      <c r="B318" s="13">
        <v>45740</v>
      </c>
      <c r="C318" s="9" t="s">
        <v>169</v>
      </c>
      <c r="D318" s="9">
        <v>9518629852</v>
      </c>
      <c r="E318" s="8">
        <v>4</v>
      </c>
      <c r="F318" s="9" t="s">
        <v>935</v>
      </c>
      <c r="G318" s="79" t="s">
        <v>1303</v>
      </c>
      <c r="H318" s="9" t="s">
        <v>57</v>
      </c>
      <c r="I318" s="9" t="s">
        <v>25</v>
      </c>
      <c r="J318" s="9" t="s">
        <v>31</v>
      </c>
      <c r="K318" s="9" t="s">
        <v>170</v>
      </c>
      <c r="L318" s="39"/>
      <c r="M318" s="7" t="s">
        <v>1</v>
      </c>
      <c r="N318" s="8"/>
      <c r="O318" s="40"/>
      <c r="P318" s="15" t="s">
        <v>244</v>
      </c>
      <c r="Q318" s="9" t="s">
        <v>188</v>
      </c>
      <c r="R318" s="9" t="s">
        <v>311</v>
      </c>
      <c r="S318" s="9"/>
      <c r="T318" s="9">
        <v>932086</v>
      </c>
      <c r="U318" s="16" t="s">
        <v>123</v>
      </c>
      <c r="V318" s="9">
        <v>3240808</v>
      </c>
      <c r="W318" s="8" t="s">
        <v>525</v>
      </c>
      <c r="X318" s="8" t="s">
        <v>265</v>
      </c>
      <c r="Y318" s="8" t="s">
        <v>175</v>
      </c>
      <c r="Z318" s="8">
        <v>2.5</v>
      </c>
      <c r="AA318" s="8">
        <v>3.5</v>
      </c>
      <c r="AB318" s="8"/>
      <c r="AC318" s="8" t="s">
        <v>210</v>
      </c>
      <c r="AD318" s="14" t="s">
        <v>218</v>
      </c>
      <c r="AE318" s="8" t="s">
        <v>250</v>
      </c>
      <c r="AF318" s="14">
        <v>0.8</v>
      </c>
      <c r="AG318" s="8">
        <v>1250</v>
      </c>
      <c r="AH318" s="8">
        <v>2500</v>
      </c>
      <c r="AI318" s="8">
        <v>48</v>
      </c>
      <c r="AJ318" s="8">
        <v>0</v>
      </c>
      <c r="AK318" s="127">
        <v>21.92</v>
      </c>
      <c r="AL318" s="103">
        <v>26.08</v>
      </c>
      <c r="AM318" s="8">
        <v>21.92</v>
      </c>
      <c r="AN318" s="21">
        <v>0</v>
      </c>
      <c r="AO318" s="21">
        <v>0</v>
      </c>
      <c r="AP318" s="21">
        <v>21.92</v>
      </c>
      <c r="AQ318" s="21">
        <v>0</v>
      </c>
      <c r="AR318" s="21">
        <v>0</v>
      </c>
      <c r="AS318" s="8">
        <v>48</v>
      </c>
      <c r="AT318" s="21">
        <v>0</v>
      </c>
      <c r="AU318" s="21">
        <v>0</v>
      </c>
      <c r="AV318" s="21">
        <v>0</v>
      </c>
      <c r="AW318" s="21">
        <v>48</v>
      </c>
      <c r="AX318" s="21">
        <v>0</v>
      </c>
      <c r="AY318" s="8">
        <v>0</v>
      </c>
    </row>
    <row r="319" spans="1:51" ht="15" customHeight="1" x14ac:dyDescent="0.25">
      <c r="A319" s="9">
        <v>742</v>
      </c>
      <c r="B319" s="13">
        <v>45740</v>
      </c>
      <c r="C319" s="9" t="s">
        <v>169</v>
      </c>
      <c r="D319" s="9">
        <v>9518629852</v>
      </c>
      <c r="E319" s="8">
        <v>5</v>
      </c>
      <c r="F319" s="9" t="s">
        <v>936</v>
      </c>
      <c r="G319" s="79" t="s">
        <v>1303</v>
      </c>
      <c r="H319" s="9" t="s">
        <v>57</v>
      </c>
      <c r="I319" s="9" t="s">
        <v>25</v>
      </c>
      <c r="J319" s="9" t="s">
        <v>31</v>
      </c>
      <c r="K319" s="9" t="s">
        <v>170</v>
      </c>
      <c r="L319" s="39"/>
      <c r="M319" s="7" t="s">
        <v>1</v>
      </c>
      <c r="N319" s="8"/>
      <c r="O319" s="40"/>
      <c r="P319" s="15" t="s">
        <v>244</v>
      </c>
      <c r="Q319" s="9" t="s">
        <v>188</v>
      </c>
      <c r="R319" s="9" t="s">
        <v>311</v>
      </c>
      <c r="S319" s="9"/>
      <c r="T319" s="9">
        <v>932086</v>
      </c>
      <c r="U319" s="16" t="s">
        <v>123</v>
      </c>
      <c r="V319" s="9">
        <v>3240837</v>
      </c>
      <c r="W319" s="8" t="s">
        <v>528</v>
      </c>
      <c r="X319" s="8" t="s">
        <v>265</v>
      </c>
      <c r="Y319" s="8" t="s">
        <v>175</v>
      </c>
      <c r="Z319" s="8">
        <v>2.5</v>
      </c>
      <c r="AA319" s="8">
        <v>3.5</v>
      </c>
      <c r="AB319" s="8"/>
      <c r="AC319" s="8" t="s">
        <v>210</v>
      </c>
      <c r="AD319" s="14" t="s">
        <v>218</v>
      </c>
      <c r="AE319" s="8" t="s">
        <v>250</v>
      </c>
      <c r="AF319" s="14">
        <v>1</v>
      </c>
      <c r="AG319" s="8">
        <v>1250</v>
      </c>
      <c r="AH319" s="8">
        <v>2500</v>
      </c>
      <c r="AI319" s="8">
        <v>99</v>
      </c>
      <c r="AJ319" s="8">
        <v>0</v>
      </c>
      <c r="AK319" s="127">
        <v>99</v>
      </c>
      <c r="AL319" s="103">
        <v>0</v>
      </c>
      <c r="AM319" s="8">
        <v>99</v>
      </c>
      <c r="AN319" s="21">
        <v>0</v>
      </c>
      <c r="AO319" s="21">
        <v>0</v>
      </c>
      <c r="AP319" s="21">
        <v>99</v>
      </c>
      <c r="AQ319" s="21">
        <v>0</v>
      </c>
      <c r="AR319" s="21">
        <v>0</v>
      </c>
      <c r="AS319" s="8">
        <v>99</v>
      </c>
      <c r="AT319" s="21">
        <v>0</v>
      </c>
      <c r="AU319" s="21">
        <v>0</v>
      </c>
      <c r="AV319" s="21">
        <v>99</v>
      </c>
      <c r="AW319" s="21">
        <v>0</v>
      </c>
      <c r="AX319" s="21">
        <v>0</v>
      </c>
      <c r="AY319" s="8">
        <v>0</v>
      </c>
    </row>
    <row r="320" spans="1:51" ht="15" customHeight="1" x14ac:dyDescent="0.25">
      <c r="A320" s="9">
        <v>742</v>
      </c>
      <c r="B320" s="13">
        <v>45740</v>
      </c>
      <c r="C320" s="9" t="s">
        <v>169</v>
      </c>
      <c r="D320" s="9">
        <v>9518629852</v>
      </c>
      <c r="E320" s="8">
        <v>6</v>
      </c>
      <c r="F320" s="9" t="s">
        <v>937</v>
      </c>
      <c r="G320" s="79" t="s">
        <v>1303</v>
      </c>
      <c r="H320" s="9" t="s">
        <v>57</v>
      </c>
      <c r="I320" s="9" t="s">
        <v>25</v>
      </c>
      <c r="J320" s="9" t="s">
        <v>31</v>
      </c>
      <c r="K320" s="9" t="s">
        <v>170</v>
      </c>
      <c r="L320" s="39"/>
      <c r="M320" s="7" t="s">
        <v>1</v>
      </c>
      <c r="N320" s="8"/>
      <c r="O320" s="40"/>
      <c r="P320" s="15" t="s">
        <v>244</v>
      </c>
      <c r="Q320" s="9" t="s">
        <v>188</v>
      </c>
      <c r="R320" s="9" t="s">
        <v>311</v>
      </c>
      <c r="S320" s="9"/>
      <c r="T320" s="9">
        <v>932086</v>
      </c>
      <c r="U320" s="16" t="s">
        <v>123</v>
      </c>
      <c r="V320" s="9">
        <v>3240851</v>
      </c>
      <c r="W320" s="8" t="s">
        <v>535</v>
      </c>
      <c r="X320" s="8" t="s">
        <v>265</v>
      </c>
      <c r="Y320" s="8" t="s">
        <v>175</v>
      </c>
      <c r="Z320" s="8">
        <v>2.5</v>
      </c>
      <c r="AA320" s="8">
        <v>3.5</v>
      </c>
      <c r="AB320" s="8"/>
      <c r="AC320" s="8" t="s">
        <v>210</v>
      </c>
      <c r="AD320" s="14" t="s">
        <v>218</v>
      </c>
      <c r="AE320" s="8" t="s">
        <v>250</v>
      </c>
      <c r="AF320" s="14">
        <v>1.2</v>
      </c>
      <c r="AG320" s="8">
        <v>1250</v>
      </c>
      <c r="AH320" s="8">
        <v>2500</v>
      </c>
      <c r="AI320" s="8">
        <v>99</v>
      </c>
      <c r="AJ320" s="8">
        <v>0</v>
      </c>
      <c r="AK320" s="127">
        <v>99</v>
      </c>
      <c r="AL320" s="103">
        <v>0</v>
      </c>
      <c r="AM320" s="8">
        <v>99</v>
      </c>
      <c r="AN320" s="21">
        <v>0</v>
      </c>
      <c r="AO320" s="21">
        <v>0</v>
      </c>
      <c r="AP320" s="21">
        <v>99</v>
      </c>
      <c r="AQ320" s="21">
        <v>0</v>
      </c>
      <c r="AR320" s="21">
        <v>0</v>
      </c>
      <c r="AS320" s="8">
        <v>99</v>
      </c>
      <c r="AT320" s="21">
        <v>0</v>
      </c>
      <c r="AU320" s="21">
        <v>0</v>
      </c>
      <c r="AV320" s="21">
        <v>99</v>
      </c>
      <c r="AW320" s="21">
        <v>0</v>
      </c>
      <c r="AX320" s="21">
        <v>0</v>
      </c>
      <c r="AY320" s="8">
        <v>0</v>
      </c>
    </row>
    <row r="321" spans="1:51" ht="15" customHeight="1" x14ac:dyDescent="0.25">
      <c r="A321" s="9">
        <v>742</v>
      </c>
      <c r="B321" s="13">
        <v>45740</v>
      </c>
      <c r="C321" s="9" t="s">
        <v>169</v>
      </c>
      <c r="D321" s="9">
        <v>9518629852</v>
      </c>
      <c r="E321" s="8">
        <v>7</v>
      </c>
      <c r="F321" s="9" t="s">
        <v>938</v>
      </c>
      <c r="G321" s="79" t="s">
        <v>1303</v>
      </c>
      <c r="H321" s="9" t="s">
        <v>57</v>
      </c>
      <c r="I321" s="9" t="s">
        <v>25</v>
      </c>
      <c r="J321" s="9" t="s">
        <v>31</v>
      </c>
      <c r="K321" s="9" t="s">
        <v>170</v>
      </c>
      <c r="L321" s="39"/>
      <c r="M321" s="7" t="s">
        <v>1</v>
      </c>
      <c r="N321" s="8"/>
      <c r="O321" s="40"/>
      <c r="P321" s="15" t="s">
        <v>244</v>
      </c>
      <c r="Q321" s="9" t="s">
        <v>188</v>
      </c>
      <c r="R321" s="9" t="s">
        <v>311</v>
      </c>
      <c r="S321" s="9"/>
      <c r="T321" s="9">
        <v>932086</v>
      </c>
      <c r="U321" s="16" t="s">
        <v>123</v>
      </c>
      <c r="V321" s="9">
        <v>3240863</v>
      </c>
      <c r="W321" s="8" t="s">
        <v>748</v>
      </c>
      <c r="X321" s="8" t="s">
        <v>265</v>
      </c>
      <c r="Y321" s="8" t="s">
        <v>175</v>
      </c>
      <c r="Z321" s="8">
        <v>2.5</v>
      </c>
      <c r="AA321" s="8">
        <v>3.5</v>
      </c>
      <c r="AB321" s="8"/>
      <c r="AC321" s="8" t="s">
        <v>210</v>
      </c>
      <c r="AD321" s="14" t="s">
        <v>218</v>
      </c>
      <c r="AE321" s="8" t="s">
        <v>250</v>
      </c>
      <c r="AF321" s="14">
        <v>1.5</v>
      </c>
      <c r="AG321" s="8">
        <v>1250</v>
      </c>
      <c r="AH321" s="8">
        <v>2500</v>
      </c>
      <c r="AI321" s="8">
        <v>99</v>
      </c>
      <c r="AJ321" s="8">
        <v>0</v>
      </c>
      <c r="AK321" s="127">
        <v>47.695</v>
      </c>
      <c r="AL321" s="103">
        <v>16.91</v>
      </c>
      <c r="AM321" s="8">
        <v>47.695</v>
      </c>
      <c r="AN321" s="21">
        <v>0</v>
      </c>
      <c r="AO321" s="21">
        <v>0</v>
      </c>
      <c r="AP321" s="21">
        <v>47.695</v>
      </c>
      <c r="AQ321" s="21">
        <v>0</v>
      </c>
      <c r="AR321" s="21">
        <v>0</v>
      </c>
      <c r="AS321" s="8">
        <v>64.605000000000004</v>
      </c>
      <c r="AT321" s="21">
        <v>0</v>
      </c>
      <c r="AU321" s="21">
        <v>0</v>
      </c>
      <c r="AV321" s="21">
        <v>0</v>
      </c>
      <c r="AW321" s="21">
        <v>64.605000000000004</v>
      </c>
      <c r="AX321" s="21">
        <v>0</v>
      </c>
      <c r="AY321" s="8">
        <v>0</v>
      </c>
    </row>
    <row r="322" spans="1:51" ht="15" customHeight="1" x14ac:dyDescent="0.25">
      <c r="A322" s="9">
        <v>742</v>
      </c>
      <c r="B322" s="13">
        <v>45740</v>
      </c>
      <c r="C322" s="9" t="s">
        <v>169</v>
      </c>
      <c r="D322" s="9">
        <v>9518629852</v>
      </c>
      <c r="E322" s="8">
        <v>9</v>
      </c>
      <c r="F322" s="9" t="s">
        <v>939</v>
      </c>
      <c r="G322" s="79" t="s">
        <v>1303</v>
      </c>
      <c r="H322" s="9" t="s">
        <v>57</v>
      </c>
      <c r="I322" s="9" t="s">
        <v>25</v>
      </c>
      <c r="J322" s="9" t="s">
        <v>31</v>
      </c>
      <c r="K322" s="9" t="s">
        <v>170</v>
      </c>
      <c r="L322" s="39"/>
      <c r="M322" s="7" t="s">
        <v>1</v>
      </c>
      <c r="N322" s="8"/>
      <c r="O322" s="40"/>
      <c r="P322" s="15" t="s">
        <v>244</v>
      </c>
      <c r="Q322" s="9" t="s">
        <v>188</v>
      </c>
      <c r="R322" s="9" t="s">
        <v>311</v>
      </c>
      <c r="S322" s="9"/>
      <c r="T322" s="9">
        <v>932086</v>
      </c>
      <c r="U322" s="16" t="s">
        <v>123</v>
      </c>
      <c r="V322" s="9">
        <v>3240869</v>
      </c>
      <c r="W322" s="8" t="s">
        <v>1149</v>
      </c>
      <c r="X322" s="8" t="s">
        <v>265</v>
      </c>
      <c r="Y322" s="8" t="s">
        <v>175</v>
      </c>
      <c r="Z322" s="8">
        <v>2.5</v>
      </c>
      <c r="AA322" s="8">
        <v>3.5</v>
      </c>
      <c r="AB322" s="8"/>
      <c r="AC322" s="8" t="s">
        <v>210</v>
      </c>
      <c r="AD322" s="14" t="s">
        <v>218</v>
      </c>
      <c r="AE322" s="8" t="s">
        <v>250</v>
      </c>
      <c r="AF322" s="14">
        <v>2</v>
      </c>
      <c r="AG322" s="8">
        <v>1250</v>
      </c>
      <c r="AH322" s="8">
        <v>2500</v>
      </c>
      <c r="AI322" s="8">
        <v>75</v>
      </c>
      <c r="AJ322" s="8">
        <v>0</v>
      </c>
      <c r="AK322" s="127">
        <v>75</v>
      </c>
      <c r="AL322" s="103">
        <v>0</v>
      </c>
      <c r="AM322" s="8">
        <v>75</v>
      </c>
      <c r="AN322" s="21">
        <v>0</v>
      </c>
      <c r="AO322" s="21">
        <v>0</v>
      </c>
      <c r="AP322" s="21">
        <v>0</v>
      </c>
      <c r="AQ322" s="21">
        <v>75</v>
      </c>
      <c r="AR322" s="21">
        <v>0</v>
      </c>
      <c r="AS322" s="8">
        <v>75</v>
      </c>
      <c r="AT322" s="21">
        <v>0</v>
      </c>
      <c r="AU322" s="21">
        <v>0</v>
      </c>
      <c r="AV322" s="21">
        <v>0</v>
      </c>
      <c r="AW322" s="21">
        <v>75</v>
      </c>
      <c r="AX322" s="21">
        <v>0</v>
      </c>
      <c r="AY322" s="8">
        <v>0</v>
      </c>
    </row>
    <row r="323" spans="1:51" ht="15" customHeight="1" x14ac:dyDescent="0.25">
      <c r="A323" s="9">
        <v>743</v>
      </c>
      <c r="B323" s="13">
        <v>45712</v>
      </c>
      <c r="C323" s="9" t="s">
        <v>193</v>
      </c>
      <c r="D323" s="9">
        <v>9518546063</v>
      </c>
      <c r="E323" s="8">
        <v>3</v>
      </c>
      <c r="F323" s="9" t="s">
        <v>940</v>
      </c>
      <c r="G323" s="9" t="s">
        <v>1303</v>
      </c>
      <c r="H323" s="9" t="s">
        <v>57</v>
      </c>
      <c r="I323" s="9" t="s">
        <v>43</v>
      </c>
      <c r="J323" s="9" t="s">
        <v>45</v>
      </c>
      <c r="K323" s="9" t="s">
        <v>170</v>
      </c>
      <c r="L323" s="39"/>
      <c r="M323" s="7" t="s">
        <v>1</v>
      </c>
      <c r="N323" s="8"/>
      <c r="O323" s="40"/>
      <c r="P323" s="15"/>
      <c r="Q323" s="9" t="s">
        <v>180</v>
      </c>
      <c r="R323" s="9" t="s">
        <v>380</v>
      </c>
      <c r="S323" s="9"/>
      <c r="T323" s="9">
        <v>600250</v>
      </c>
      <c r="U323" s="16" t="s">
        <v>64</v>
      </c>
      <c r="V323" s="9">
        <v>1178439</v>
      </c>
      <c r="W323" s="8" t="s">
        <v>446</v>
      </c>
      <c r="X323" s="8" t="s">
        <v>308</v>
      </c>
      <c r="Y323" s="8" t="s">
        <v>175</v>
      </c>
      <c r="Z323" s="8">
        <v>8</v>
      </c>
      <c r="AA323" s="8">
        <v>15</v>
      </c>
      <c r="AB323" s="8"/>
      <c r="AC323" s="8" t="s">
        <v>238</v>
      </c>
      <c r="AD323" s="14" t="s">
        <v>185</v>
      </c>
      <c r="AE323" s="8" t="s">
        <v>186</v>
      </c>
      <c r="AF323" s="14">
        <v>0.4</v>
      </c>
      <c r="AG323" s="8">
        <v>900</v>
      </c>
      <c r="AH323" s="8">
        <v>0</v>
      </c>
      <c r="AI323" s="8">
        <v>420</v>
      </c>
      <c r="AJ323" s="8">
        <v>0</v>
      </c>
      <c r="AK323" s="127">
        <v>252</v>
      </c>
      <c r="AL323" s="103">
        <v>0</v>
      </c>
      <c r="AM323" s="8">
        <v>252</v>
      </c>
      <c r="AN323" s="21">
        <v>0</v>
      </c>
      <c r="AO323" s="21">
        <v>0</v>
      </c>
      <c r="AP323" s="21">
        <v>0</v>
      </c>
      <c r="AQ323" s="21">
        <v>0</v>
      </c>
      <c r="AR323" s="21">
        <v>252</v>
      </c>
      <c r="AS323" s="8">
        <v>0</v>
      </c>
      <c r="AT323" s="21">
        <v>0</v>
      </c>
      <c r="AU323" s="21">
        <v>0</v>
      </c>
      <c r="AV323" s="21">
        <v>0</v>
      </c>
      <c r="AW323" s="21">
        <v>0</v>
      </c>
      <c r="AX323" s="21">
        <v>0</v>
      </c>
      <c r="AY323" s="8">
        <v>252</v>
      </c>
    </row>
    <row r="324" spans="1:51" ht="15" customHeight="1" x14ac:dyDescent="0.25">
      <c r="A324" s="9">
        <v>743</v>
      </c>
      <c r="B324" s="13">
        <v>45712</v>
      </c>
      <c r="C324" s="9" t="s">
        <v>193</v>
      </c>
      <c r="D324" s="9">
        <v>9518546063</v>
      </c>
      <c r="E324" s="8">
        <v>4</v>
      </c>
      <c r="F324" s="9" t="s">
        <v>941</v>
      </c>
      <c r="G324" s="79" t="s">
        <v>1303</v>
      </c>
      <c r="H324" s="9" t="s">
        <v>57</v>
      </c>
      <c r="I324" s="9" t="s">
        <v>43</v>
      </c>
      <c r="J324" s="9" t="s">
        <v>45</v>
      </c>
      <c r="K324" s="9" t="s">
        <v>170</v>
      </c>
      <c r="L324" s="39"/>
      <c r="M324" s="7" t="s">
        <v>1</v>
      </c>
      <c r="N324" s="8"/>
      <c r="O324" s="40"/>
      <c r="P324" s="15"/>
      <c r="Q324" s="9" t="s">
        <v>180</v>
      </c>
      <c r="R324" s="9" t="s">
        <v>380</v>
      </c>
      <c r="S324" s="9"/>
      <c r="T324" s="9">
        <v>600250</v>
      </c>
      <c r="U324" s="16" t="s">
        <v>64</v>
      </c>
      <c r="V324" s="9">
        <v>1854418</v>
      </c>
      <c r="W324" s="8" t="s">
        <v>456</v>
      </c>
      <c r="X324" s="8" t="s">
        <v>308</v>
      </c>
      <c r="Y324" s="8" t="s">
        <v>175</v>
      </c>
      <c r="Z324" s="8">
        <v>8</v>
      </c>
      <c r="AA324" s="8">
        <v>15</v>
      </c>
      <c r="AB324" s="8"/>
      <c r="AC324" s="8" t="s">
        <v>238</v>
      </c>
      <c r="AD324" s="14" t="s">
        <v>185</v>
      </c>
      <c r="AE324" s="8" t="s">
        <v>186</v>
      </c>
      <c r="AF324" s="14">
        <v>0.5</v>
      </c>
      <c r="AG324" s="8">
        <v>900</v>
      </c>
      <c r="AH324" s="8">
        <v>0</v>
      </c>
      <c r="AI324" s="8">
        <v>357</v>
      </c>
      <c r="AJ324" s="8">
        <v>0</v>
      </c>
      <c r="AK324" s="127">
        <v>222.51</v>
      </c>
      <c r="AL324" s="103">
        <v>58.519999999999996</v>
      </c>
      <c r="AM324" s="8">
        <v>222.51</v>
      </c>
      <c r="AN324" s="21">
        <v>0</v>
      </c>
      <c r="AO324" s="21">
        <v>222.51</v>
      </c>
      <c r="AP324" s="21">
        <v>0</v>
      </c>
      <c r="AQ324" s="21">
        <v>0</v>
      </c>
      <c r="AR324" s="21">
        <v>0</v>
      </c>
      <c r="AS324" s="8">
        <v>281.02999999999997</v>
      </c>
      <c r="AT324" s="21">
        <v>0</v>
      </c>
      <c r="AU324" s="21">
        <v>0</v>
      </c>
      <c r="AV324" s="21">
        <v>281.02999999999997</v>
      </c>
      <c r="AW324" s="21">
        <v>0</v>
      </c>
      <c r="AX324" s="21">
        <v>0</v>
      </c>
      <c r="AY324" s="8">
        <v>0</v>
      </c>
    </row>
    <row r="325" spans="1:51" ht="15" customHeight="1" x14ac:dyDescent="0.25">
      <c r="A325" s="9">
        <v>742</v>
      </c>
      <c r="B325" s="13">
        <v>45737</v>
      </c>
      <c r="C325" s="9" t="s">
        <v>169</v>
      </c>
      <c r="D325" s="9">
        <v>9518620674</v>
      </c>
      <c r="E325" s="8">
        <v>26</v>
      </c>
      <c r="F325" s="9" t="s">
        <v>942</v>
      </c>
      <c r="G325" s="79" t="s">
        <v>1303</v>
      </c>
      <c r="H325" s="9" t="s">
        <v>57</v>
      </c>
      <c r="I325" s="9" t="s">
        <v>25</v>
      </c>
      <c r="J325" s="9" t="s">
        <v>31</v>
      </c>
      <c r="K325" s="9" t="s">
        <v>170</v>
      </c>
      <c r="L325" s="39"/>
      <c r="M325" s="7" t="s">
        <v>1</v>
      </c>
      <c r="N325" s="8"/>
      <c r="O325" s="40"/>
      <c r="P325" s="15"/>
      <c r="Q325" s="9" t="s">
        <v>214</v>
      </c>
      <c r="R325" s="9" t="s">
        <v>246</v>
      </c>
      <c r="S325" s="9"/>
      <c r="T325" s="9">
        <v>938550</v>
      </c>
      <c r="U325" s="16" t="s">
        <v>69</v>
      </c>
      <c r="V325" s="9">
        <v>3240775</v>
      </c>
      <c r="W325" s="8" t="s">
        <v>634</v>
      </c>
      <c r="X325" s="8" t="s">
        <v>265</v>
      </c>
      <c r="Y325" s="8" t="s">
        <v>175</v>
      </c>
      <c r="Z325" s="8">
        <v>0</v>
      </c>
      <c r="AA325" s="8">
        <v>0</v>
      </c>
      <c r="AB325" s="8"/>
      <c r="AC325" s="8" t="s">
        <v>210</v>
      </c>
      <c r="AD325" s="14" t="s">
        <v>218</v>
      </c>
      <c r="AE325" s="8" t="s">
        <v>250</v>
      </c>
      <c r="AF325" s="14">
        <v>0.6</v>
      </c>
      <c r="AG325" s="8">
        <v>1000</v>
      </c>
      <c r="AH325" s="8">
        <v>1980</v>
      </c>
      <c r="AI325" s="8">
        <v>45</v>
      </c>
      <c r="AJ325" s="8">
        <v>0</v>
      </c>
      <c r="AK325" s="127">
        <v>45</v>
      </c>
      <c r="AL325" s="103">
        <v>0</v>
      </c>
      <c r="AM325" s="8">
        <v>45</v>
      </c>
      <c r="AN325" s="21">
        <v>0</v>
      </c>
      <c r="AO325" s="21">
        <v>45</v>
      </c>
      <c r="AP325" s="21">
        <v>0</v>
      </c>
      <c r="AQ325" s="21">
        <v>0</v>
      </c>
      <c r="AR325" s="21">
        <v>0</v>
      </c>
      <c r="AS325" s="8">
        <v>45</v>
      </c>
      <c r="AT325" s="21">
        <v>0</v>
      </c>
      <c r="AU325" s="21">
        <v>45</v>
      </c>
      <c r="AV325" s="21">
        <v>0</v>
      </c>
      <c r="AW325" s="21">
        <v>0</v>
      </c>
      <c r="AX325" s="21">
        <v>0</v>
      </c>
      <c r="AY325" s="8">
        <v>0</v>
      </c>
    </row>
    <row r="326" spans="1:51" ht="15" customHeight="1" x14ac:dyDescent="0.25">
      <c r="A326" s="9">
        <v>742</v>
      </c>
      <c r="B326" s="13">
        <v>45734</v>
      </c>
      <c r="C326" s="9" t="s">
        <v>169</v>
      </c>
      <c r="D326" s="9">
        <v>9518610768</v>
      </c>
      <c r="E326" s="8">
        <v>3</v>
      </c>
      <c r="F326" s="9" t="s">
        <v>725</v>
      </c>
      <c r="G326" s="9" t="s">
        <v>1303</v>
      </c>
      <c r="H326" s="9" t="s">
        <v>57</v>
      </c>
      <c r="I326" s="9" t="s">
        <v>25</v>
      </c>
      <c r="J326" s="9" t="s">
        <v>31</v>
      </c>
      <c r="K326" s="9" t="s">
        <v>170</v>
      </c>
      <c r="L326" s="39"/>
      <c r="M326" s="7" t="s">
        <v>1</v>
      </c>
      <c r="N326" s="8"/>
      <c r="O326" s="40"/>
      <c r="P326" s="15"/>
      <c r="Q326" s="9" t="s">
        <v>172</v>
      </c>
      <c r="R326" s="9" t="s">
        <v>286</v>
      </c>
      <c r="S326" s="9"/>
      <c r="T326" s="9">
        <v>931525</v>
      </c>
      <c r="U326" s="16" t="s">
        <v>75</v>
      </c>
      <c r="V326" s="9">
        <v>3240761</v>
      </c>
      <c r="W326" s="8" t="s">
        <v>444</v>
      </c>
      <c r="X326" s="8" t="s">
        <v>265</v>
      </c>
      <c r="Y326" s="8" t="s">
        <v>175</v>
      </c>
      <c r="Z326" s="8">
        <v>0</v>
      </c>
      <c r="AA326" s="8">
        <v>0</v>
      </c>
      <c r="AB326" s="8"/>
      <c r="AC326" s="8" t="s">
        <v>210</v>
      </c>
      <c r="AD326" s="14" t="s">
        <v>218</v>
      </c>
      <c r="AE326" s="8" t="s">
        <v>250</v>
      </c>
      <c r="AF326" s="14">
        <v>0.5</v>
      </c>
      <c r="AG326" s="8">
        <v>1250</v>
      </c>
      <c r="AH326" s="8">
        <v>2030</v>
      </c>
      <c r="AI326" s="8">
        <v>54</v>
      </c>
      <c r="AJ326" s="8">
        <v>0</v>
      </c>
      <c r="AK326" s="127">
        <v>54</v>
      </c>
      <c r="AL326" s="103">
        <v>0</v>
      </c>
      <c r="AM326" s="8">
        <v>54</v>
      </c>
      <c r="AN326" s="21">
        <v>0</v>
      </c>
      <c r="AO326" s="21">
        <v>54</v>
      </c>
      <c r="AP326" s="21">
        <v>0</v>
      </c>
      <c r="AQ326" s="21">
        <v>0</v>
      </c>
      <c r="AR326" s="21">
        <v>0</v>
      </c>
      <c r="AS326" s="8">
        <v>54</v>
      </c>
      <c r="AT326" s="21">
        <v>0</v>
      </c>
      <c r="AU326" s="21">
        <v>54</v>
      </c>
      <c r="AV326" s="21">
        <v>0</v>
      </c>
      <c r="AW326" s="21">
        <v>0</v>
      </c>
      <c r="AX326" s="21">
        <v>0</v>
      </c>
      <c r="AY326" s="8">
        <v>0</v>
      </c>
    </row>
    <row r="327" spans="1:51" ht="15" customHeight="1" x14ac:dyDescent="0.25">
      <c r="A327" s="9">
        <v>744</v>
      </c>
      <c r="B327" s="13">
        <v>45745</v>
      </c>
      <c r="C327" s="9" t="s">
        <v>169</v>
      </c>
      <c r="D327" s="9">
        <v>9518651680</v>
      </c>
      <c r="E327" s="8">
        <v>1</v>
      </c>
      <c r="F327" s="9" t="s">
        <v>943</v>
      </c>
      <c r="G327" s="79" t="s">
        <v>1303</v>
      </c>
      <c r="H327" s="9" t="s">
        <v>57</v>
      </c>
      <c r="I327" s="9" t="s">
        <v>48</v>
      </c>
      <c r="J327" s="9" t="s">
        <v>39</v>
      </c>
      <c r="K327" s="9" t="s">
        <v>233</v>
      </c>
      <c r="L327" s="39"/>
      <c r="M327" s="7" t="s">
        <v>1</v>
      </c>
      <c r="N327" s="8"/>
      <c r="O327" s="40"/>
      <c r="P327" s="15"/>
      <c r="Q327" s="9" t="s">
        <v>264</v>
      </c>
      <c r="R327" s="9" t="s">
        <v>225</v>
      </c>
      <c r="S327" s="9"/>
      <c r="T327" s="9">
        <v>940016</v>
      </c>
      <c r="U327" s="16" t="s">
        <v>133</v>
      </c>
      <c r="V327" s="9">
        <v>3879501</v>
      </c>
      <c r="W327" s="8" t="s">
        <v>621</v>
      </c>
      <c r="X327" s="8" t="s">
        <v>236</v>
      </c>
      <c r="Y327" s="8" t="s">
        <v>227</v>
      </c>
      <c r="Z327" s="8">
        <v>3</v>
      </c>
      <c r="AA327" s="8">
        <v>5</v>
      </c>
      <c r="AB327" s="8"/>
      <c r="AC327" s="8" t="s">
        <v>228</v>
      </c>
      <c r="AD327" s="14" t="s">
        <v>229</v>
      </c>
      <c r="AE327" s="8" t="s">
        <v>230</v>
      </c>
      <c r="AF327" s="14">
        <v>0.45</v>
      </c>
      <c r="AG327" s="8">
        <v>1220</v>
      </c>
      <c r="AH327" s="8">
        <v>0</v>
      </c>
      <c r="AI327" s="8">
        <v>56</v>
      </c>
      <c r="AJ327" s="8">
        <v>3.7749999999999999</v>
      </c>
      <c r="AK327" s="127">
        <v>52.225000000000001</v>
      </c>
      <c r="AL327" s="103">
        <v>0</v>
      </c>
      <c r="AM327" s="8">
        <v>52.225000000000001</v>
      </c>
      <c r="AN327" s="21">
        <v>0</v>
      </c>
      <c r="AO327" s="21">
        <v>0</v>
      </c>
      <c r="AP327" s="21">
        <v>52.225000000000001</v>
      </c>
      <c r="AQ327" s="21">
        <v>0</v>
      </c>
      <c r="AR327" s="21">
        <v>0</v>
      </c>
      <c r="AS327" s="8">
        <v>52.225000000000001</v>
      </c>
      <c r="AT327" s="21">
        <v>0</v>
      </c>
      <c r="AU327" s="21">
        <v>0</v>
      </c>
      <c r="AV327" s="21">
        <v>0</v>
      </c>
      <c r="AW327" s="21">
        <v>52.225000000000001</v>
      </c>
      <c r="AX327" s="21">
        <v>0</v>
      </c>
      <c r="AY327" s="8">
        <v>0</v>
      </c>
    </row>
    <row r="328" spans="1:51" ht="15" customHeight="1" x14ac:dyDescent="0.25">
      <c r="A328" s="9">
        <v>744</v>
      </c>
      <c r="B328" s="13">
        <v>45745</v>
      </c>
      <c r="C328" s="9" t="s">
        <v>169</v>
      </c>
      <c r="D328" s="9">
        <v>9518651680</v>
      </c>
      <c r="E328" s="8">
        <v>2</v>
      </c>
      <c r="F328" s="9" t="s">
        <v>944</v>
      </c>
      <c r="G328" s="79" t="s">
        <v>1303</v>
      </c>
      <c r="H328" s="9" t="s">
        <v>57</v>
      </c>
      <c r="I328" s="9" t="s">
        <v>48</v>
      </c>
      <c r="J328" s="9" t="s">
        <v>39</v>
      </c>
      <c r="K328" s="9" t="s">
        <v>233</v>
      </c>
      <c r="L328" s="39"/>
      <c r="M328" s="7" t="s">
        <v>1</v>
      </c>
      <c r="N328" s="8"/>
      <c r="O328" s="40"/>
      <c r="P328" s="15"/>
      <c r="Q328" s="9" t="s">
        <v>264</v>
      </c>
      <c r="R328" s="9" t="s">
        <v>225</v>
      </c>
      <c r="S328" s="9"/>
      <c r="T328" s="9">
        <v>940016</v>
      </c>
      <c r="U328" s="16" t="s">
        <v>133</v>
      </c>
      <c r="V328" s="9">
        <v>3797658</v>
      </c>
      <c r="W328" s="8" t="s">
        <v>235</v>
      </c>
      <c r="X328" s="8" t="s">
        <v>236</v>
      </c>
      <c r="Y328" s="8" t="s">
        <v>227</v>
      </c>
      <c r="Z328" s="8">
        <v>3</v>
      </c>
      <c r="AA328" s="8">
        <v>5</v>
      </c>
      <c r="AB328" s="8"/>
      <c r="AC328" s="8" t="s">
        <v>228</v>
      </c>
      <c r="AD328" s="14" t="s">
        <v>229</v>
      </c>
      <c r="AE328" s="8" t="s">
        <v>230</v>
      </c>
      <c r="AF328" s="14">
        <v>0.4</v>
      </c>
      <c r="AG328" s="8">
        <v>1220</v>
      </c>
      <c r="AH328" s="8">
        <v>0</v>
      </c>
      <c r="AI328" s="8">
        <v>224</v>
      </c>
      <c r="AJ328" s="8">
        <v>0</v>
      </c>
      <c r="AK328" s="127">
        <v>21.07</v>
      </c>
      <c r="AL328" s="103">
        <v>57.394999999999996</v>
      </c>
      <c r="AM328" s="8">
        <v>21.07</v>
      </c>
      <c r="AN328" s="21">
        <v>0</v>
      </c>
      <c r="AO328" s="21">
        <v>21.07</v>
      </c>
      <c r="AP328" s="21">
        <v>0</v>
      </c>
      <c r="AQ328" s="21">
        <v>0</v>
      </c>
      <c r="AR328" s="21">
        <v>0</v>
      </c>
      <c r="AS328" s="8">
        <v>78.465000000000003</v>
      </c>
      <c r="AT328" s="21">
        <v>0</v>
      </c>
      <c r="AU328" s="21">
        <v>0</v>
      </c>
      <c r="AV328" s="21">
        <v>78.465000000000003</v>
      </c>
      <c r="AW328" s="21">
        <v>0</v>
      </c>
      <c r="AX328" s="21">
        <v>0</v>
      </c>
      <c r="AY328" s="8">
        <v>0</v>
      </c>
    </row>
    <row r="329" spans="1:51" ht="15" customHeight="1" x14ac:dyDescent="0.25">
      <c r="A329" s="9">
        <v>744</v>
      </c>
      <c r="B329" s="13">
        <v>45755</v>
      </c>
      <c r="C329" s="9" t="s">
        <v>169</v>
      </c>
      <c r="D329" s="9">
        <v>9518677543</v>
      </c>
      <c r="E329" s="8">
        <v>1</v>
      </c>
      <c r="F329" s="9" t="s">
        <v>945</v>
      </c>
      <c r="G329" s="79" t="s">
        <v>1303</v>
      </c>
      <c r="H329" s="9" t="s">
        <v>57</v>
      </c>
      <c r="I329" s="9" t="s">
        <v>48</v>
      </c>
      <c r="J329" s="9" t="s">
        <v>39</v>
      </c>
      <c r="K329" s="9" t="s">
        <v>233</v>
      </c>
      <c r="L329" s="39"/>
      <c r="M329" s="7" t="s">
        <v>1</v>
      </c>
      <c r="N329" s="8"/>
      <c r="O329" s="40"/>
      <c r="P329" s="15"/>
      <c r="Q329" s="9" t="s">
        <v>264</v>
      </c>
      <c r="R329" s="9" t="s">
        <v>265</v>
      </c>
      <c r="S329" s="9"/>
      <c r="T329" s="9">
        <v>941597</v>
      </c>
      <c r="U329" s="16" t="s">
        <v>106</v>
      </c>
      <c r="V329" s="9">
        <v>3974072</v>
      </c>
      <c r="W329" s="8" t="s">
        <v>839</v>
      </c>
      <c r="X329" s="8" t="s">
        <v>317</v>
      </c>
      <c r="Y329" s="8" t="s">
        <v>1181</v>
      </c>
      <c r="Z329" s="8">
        <v>2</v>
      </c>
      <c r="AA329" s="8">
        <v>5</v>
      </c>
      <c r="AB329" s="8"/>
      <c r="AC329" s="8" t="s">
        <v>228</v>
      </c>
      <c r="AD329" s="14" t="s">
        <v>229</v>
      </c>
      <c r="AE329" s="8" t="s">
        <v>838</v>
      </c>
      <c r="AF329" s="14">
        <v>0.53</v>
      </c>
      <c r="AG329" s="8">
        <v>1220</v>
      </c>
      <c r="AH329" s="8">
        <v>0</v>
      </c>
      <c r="AI329" s="8">
        <v>279.99</v>
      </c>
      <c r="AJ329" s="8">
        <v>58.45</v>
      </c>
      <c r="AK329" s="127">
        <v>213.255</v>
      </c>
      <c r="AL329" s="103">
        <v>0</v>
      </c>
      <c r="AM329" s="8">
        <v>213.255</v>
      </c>
      <c r="AN329" s="21">
        <v>0</v>
      </c>
      <c r="AO329" s="21">
        <v>0</v>
      </c>
      <c r="AP329" s="21">
        <v>213.255</v>
      </c>
      <c r="AQ329" s="21">
        <v>0</v>
      </c>
      <c r="AR329" s="21">
        <v>0</v>
      </c>
      <c r="AS329" s="8">
        <v>213.255</v>
      </c>
      <c r="AT329" s="21">
        <v>0</v>
      </c>
      <c r="AU329" s="21">
        <v>0</v>
      </c>
      <c r="AV329" s="21">
        <v>0</v>
      </c>
      <c r="AW329" s="21">
        <v>213.255</v>
      </c>
      <c r="AX329" s="21">
        <v>0</v>
      </c>
      <c r="AY329" s="8">
        <v>0</v>
      </c>
    </row>
    <row r="330" spans="1:51" ht="15" customHeight="1" x14ac:dyDescent="0.25">
      <c r="A330" s="9">
        <v>743</v>
      </c>
      <c r="B330" s="13">
        <v>45761</v>
      </c>
      <c r="C330" s="9" t="s">
        <v>169</v>
      </c>
      <c r="D330" s="9">
        <v>9518692220</v>
      </c>
      <c r="E330" s="8">
        <v>6</v>
      </c>
      <c r="F330" s="9" t="s">
        <v>946</v>
      </c>
      <c r="G330" s="9" t="s">
        <v>1303</v>
      </c>
      <c r="H330" s="9" t="s">
        <v>57</v>
      </c>
      <c r="I330" s="9" t="s">
        <v>43</v>
      </c>
      <c r="J330" s="9" t="s">
        <v>45</v>
      </c>
      <c r="K330" s="9" t="s">
        <v>170</v>
      </c>
      <c r="L330" s="39"/>
      <c r="M330" s="7" t="s">
        <v>1</v>
      </c>
      <c r="N330" s="8"/>
      <c r="O330" s="40"/>
      <c r="P330" s="15"/>
      <c r="Q330" s="9" t="s">
        <v>180</v>
      </c>
      <c r="R330" s="9" t="s">
        <v>265</v>
      </c>
      <c r="S330" s="9"/>
      <c r="T330" s="9">
        <v>121328</v>
      </c>
      <c r="U330" s="16" t="s">
        <v>81</v>
      </c>
      <c r="V330" s="9">
        <v>1178439</v>
      </c>
      <c r="W330" s="8" t="s">
        <v>446</v>
      </c>
      <c r="X330" s="8" t="s">
        <v>308</v>
      </c>
      <c r="Y330" s="8" t="s">
        <v>175</v>
      </c>
      <c r="Z330" s="8">
        <v>4</v>
      </c>
      <c r="AA330" s="8">
        <v>12</v>
      </c>
      <c r="AB330" s="8"/>
      <c r="AC330" s="8" t="s">
        <v>238</v>
      </c>
      <c r="AD330" s="14" t="s">
        <v>185</v>
      </c>
      <c r="AE330" s="8" t="s">
        <v>186</v>
      </c>
      <c r="AF330" s="14">
        <v>0.4</v>
      </c>
      <c r="AG330" s="8">
        <v>900</v>
      </c>
      <c r="AH330" s="8">
        <v>0</v>
      </c>
      <c r="AI330" s="8">
        <v>147</v>
      </c>
      <c r="AJ330" s="8">
        <v>0</v>
      </c>
      <c r="AK330" s="127">
        <v>147</v>
      </c>
      <c r="AL330" s="103">
        <v>0</v>
      </c>
      <c r="AM330" s="8">
        <v>147</v>
      </c>
      <c r="AN330" s="21">
        <v>0</v>
      </c>
      <c r="AO330" s="21">
        <v>0</v>
      </c>
      <c r="AP330" s="21">
        <v>147</v>
      </c>
      <c r="AQ330" s="21">
        <v>0</v>
      </c>
      <c r="AR330" s="21">
        <v>0</v>
      </c>
      <c r="AS330" s="8">
        <v>147</v>
      </c>
      <c r="AT330" s="21">
        <v>0</v>
      </c>
      <c r="AU330" s="21">
        <v>0</v>
      </c>
      <c r="AV330" s="21">
        <v>147</v>
      </c>
      <c r="AW330" s="21">
        <v>0</v>
      </c>
      <c r="AX330" s="21">
        <v>0</v>
      </c>
      <c r="AY330" s="8">
        <v>0</v>
      </c>
    </row>
    <row r="331" spans="1:51" ht="15" customHeight="1" x14ac:dyDescent="0.25">
      <c r="A331" s="9">
        <v>743</v>
      </c>
      <c r="B331" s="13">
        <v>45762</v>
      </c>
      <c r="C331" s="9" t="s">
        <v>169</v>
      </c>
      <c r="D331" s="9">
        <v>9518694054</v>
      </c>
      <c r="E331" s="8">
        <v>3</v>
      </c>
      <c r="F331" s="9" t="s">
        <v>947</v>
      </c>
      <c r="G331" s="9" t="s">
        <v>1303</v>
      </c>
      <c r="H331" s="9" t="s">
        <v>57</v>
      </c>
      <c r="I331" s="9" t="s">
        <v>43</v>
      </c>
      <c r="J331" s="9" t="s">
        <v>45</v>
      </c>
      <c r="K331" s="9" t="s">
        <v>170</v>
      </c>
      <c r="L331" s="39"/>
      <c r="M331" s="7" t="s">
        <v>1</v>
      </c>
      <c r="N331" s="8"/>
      <c r="O331" s="40"/>
      <c r="P331" s="15"/>
      <c r="Q331" s="9" t="s">
        <v>180</v>
      </c>
      <c r="R331" s="9" t="s">
        <v>318</v>
      </c>
      <c r="S331" s="9"/>
      <c r="T331" s="9">
        <v>103227</v>
      </c>
      <c r="U331" s="16" t="s">
        <v>91</v>
      </c>
      <c r="V331" s="9">
        <v>1178439</v>
      </c>
      <c r="W331" s="8" t="s">
        <v>446</v>
      </c>
      <c r="X331" s="8" t="s">
        <v>308</v>
      </c>
      <c r="Y331" s="8" t="s">
        <v>175</v>
      </c>
      <c r="Z331" s="8">
        <v>2</v>
      </c>
      <c r="AA331" s="8">
        <v>6</v>
      </c>
      <c r="AB331" s="8"/>
      <c r="AC331" s="8" t="s">
        <v>238</v>
      </c>
      <c r="AD331" s="14" t="s">
        <v>185</v>
      </c>
      <c r="AE331" s="8" t="s">
        <v>186</v>
      </c>
      <c r="AF331" s="14">
        <v>0.4</v>
      </c>
      <c r="AG331" s="8">
        <v>900</v>
      </c>
      <c r="AH331" s="8">
        <v>0</v>
      </c>
      <c r="AI331" s="8">
        <v>294</v>
      </c>
      <c r="AJ331" s="8">
        <v>0</v>
      </c>
      <c r="AK331" s="127">
        <v>294</v>
      </c>
      <c r="AL331" s="103">
        <v>0</v>
      </c>
      <c r="AM331" s="8">
        <v>294</v>
      </c>
      <c r="AN331" s="21">
        <v>0</v>
      </c>
      <c r="AO331" s="21">
        <v>0</v>
      </c>
      <c r="AP331" s="21">
        <v>0</v>
      </c>
      <c r="AQ331" s="21">
        <v>0</v>
      </c>
      <c r="AR331" s="21">
        <v>294</v>
      </c>
      <c r="AS331" s="8">
        <v>0</v>
      </c>
      <c r="AT331" s="21">
        <v>0</v>
      </c>
      <c r="AU331" s="21">
        <v>0</v>
      </c>
      <c r="AV331" s="21">
        <v>0</v>
      </c>
      <c r="AW331" s="21">
        <v>0</v>
      </c>
      <c r="AX331" s="21">
        <v>0</v>
      </c>
      <c r="AY331" s="8">
        <v>294</v>
      </c>
    </row>
    <row r="332" spans="1:51" ht="15" customHeight="1" x14ac:dyDescent="0.25">
      <c r="A332" s="9">
        <v>743</v>
      </c>
      <c r="B332" s="13">
        <v>45762</v>
      </c>
      <c r="C332" s="9" t="s">
        <v>169</v>
      </c>
      <c r="D332" s="9">
        <v>9518694174</v>
      </c>
      <c r="E332" s="8">
        <v>1</v>
      </c>
      <c r="F332" s="9" t="s">
        <v>948</v>
      </c>
      <c r="G332" s="79" t="s">
        <v>1303</v>
      </c>
      <c r="H332" s="9" t="s">
        <v>57</v>
      </c>
      <c r="I332" s="9" t="s">
        <v>43</v>
      </c>
      <c r="J332" s="9" t="s">
        <v>44</v>
      </c>
      <c r="K332" s="9" t="s">
        <v>170</v>
      </c>
      <c r="L332" s="39"/>
      <c r="M332" s="7" t="s">
        <v>1</v>
      </c>
      <c r="N332" s="8"/>
      <c r="O332" s="40"/>
      <c r="P332" s="15"/>
      <c r="Q332" s="9" t="s">
        <v>180</v>
      </c>
      <c r="R332" s="9" t="s">
        <v>318</v>
      </c>
      <c r="S332" s="9"/>
      <c r="T332" s="9">
        <v>103227</v>
      </c>
      <c r="U332" s="16" t="s">
        <v>91</v>
      </c>
      <c r="V332" s="9">
        <v>1854410</v>
      </c>
      <c r="W332" s="8" t="s">
        <v>394</v>
      </c>
      <c r="X332" s="8" t="s">
        <v>308</v>
      </c>
      <c r="Y332" s="8" t="s">
        <v>175</v>
      </c>
      <c r="Z332" s="8">
        <v>2</v>
      </c>
      <c r="AA332" s="8">
        <v>6</v>
      </c>
      <c r="AB332" s="8"/>
      <c r="AC332" s="8" t="s">
        <v>238</v>
      </c>
      <c r="AD332" s="14" t="s">
        <v>185</v>
      </c>
      <c r="AE332" s="8" t="s">
        <v>186</v>
      </c>
      <c r="AF332" s="14">
        <v>0.4</v>
      </c>
      <c r="AG332" s="8">
        <v>1220</v>
      </c>
      <c r="AH332" s="8">
        <v>0</v>
      </c>
      <c r="AI332" s="8">
        <v>84</v>
      </c>
      <c r="AJ332" s="8">
        <v>0</v>
      </c>
      <c r="AK332" s="127">
        <v>84</v>
      </c>
      <c r="AL332" s="103">
        <v>0</v>
      </c>
      <c r="AM332" s="8">
        <v>84</v>
      </c>
      <c r="AN332" s="21">
        <v>0</v>
      </c>
      <c r="AO332" s="21">
        <v>0</v>
      </c>
      <c r="AP332" s="21">
        <v>84</v>
      </c>
      <c r="AQ332" s="21">
        <v>0</v>
      </c>
      <c r="AR332" s="21">
        <v>0</v>
      </c>
      <c r="AS332" s="8">
        <v>84</v>
      </c>
      <c r="AT332" s="21">
        <v>0</v>
      </c>
      <c r="AU332" s="21">
        <v>0</v>
      </c>
      <c r="AV332" s="21">
        <v>84</v>
      </c>
      <c r="AW332" s="21">
        <v>0</v>
      </c>
      <c r="AX332" s="21">
        <v>0</v>
      </c>
      <c r="AY332" s="8">
        <v>0</v>
      </c>
    </row>
    <row r="333" spans="1:51" ht="15" customHeight="1" x14ac:dyDescent="0.25">
      <c r="A333" s="9">
        <v>743</v>
      </c>
      <c r="B333" s="13">
        <v>45762</v>
      </c>
      <c r="C333" s="9" t="s">
        <v>169</v>
      </c>
      <c r="D333" s="9">
        <v>9518694174</v>
      </c>
      <c r="E333" s="8">
        <v>2</v>
      </c>
      <c r="F333" s="9" t="s">
        <v>949</v>
      </c>
      <c r="G333" s="79" t="s">
        <v>1303</v>
      </c>
      <c r="H333" s="9" t="s">
        <v>57</v>
      </c>
      <c r="I333" s="9" t="s">
        <v>43</v>
      </c>
      <c r="J333" s="9" t="s">
        <v>44</v>
      </c>
      <c r="K333" s="9" t="s">
        <v>170</v>
      </c>
      <c r="L333" s="39"/>
      <c r="M333" s="7" t="s">
        <v>1</v>
      </c>
      <c r="N333" s="8"/>
      <c r="O333" s="40"/>
      <c r="P333" s="15"/>
      <c r="Q333" s="9" t="s">
        <v>180</v>
      </c>
      <c r="R333" s="9" t="s">
        <v>318</v>
      </c>
      <c r="S333" s="9"/>
      <c r="T333" s="9">
        <v>103227</v>
      </c>
      <c r="U333" s="16" t="s">
        <v>91</v>
      </c>
      <c r="V333" s="9">
        <v>1851101</v>
      </c>
      <c r="W333" s="8" t="s">
        <v>432</v>
      </c>
      <c r="X333" s="8" t="s">
        <v>308</v>
      </c>
      <c r="Y333" s="8" t="s">
        <v>175</v>
      </c>
      <c r="Z333" s="8">
        <v>2</v>
      </c>
      <c r="AA333" s="8">
        <v>4</v>
      </c>
      <c r="AB333" s="8"/>
      <c r="AC333" s="8" t="s">
        <v>238</v>
      </c>
      <c r="AD333" s="14" t="s">
        <v>185</v>
      </c>
      <c r="AE333" s="8" t="s">
        <v>186</v>
      </c>
      <c r="AF333" s="14">
        <v>0.5</v>
      </c>
      <c r="AG333" s="8">
        <v>1220</v>
      </c>
      <c r="AH333" s="8">
        <v>0</v>
      </c>
      <c r="AI333" s="8">
        <v>112</v>
      </c>
      <c r="AJ333" s="8">
        <v>0</v>
      </c>
      <c r="AK333" s="127">
        <v>112</v>
      </c>
      <c r="AL333" s="103">
        <v>0</v>
      </c>
      <c r="AM333" s="8">
        <v>112</v>
      </c>
      <c r="AN333" s="21">
        <v>0</v>
      </c>
      <c r="AO333" s="21">
        <v>0</v>
      </c>
      <c r="AP333" s="21">
        <v>112</v>
      </c>
      <c r="AQ333" s="21">
        <v>0</v>
      </c>
      <c r="AR333" s="21">
        <v>0</v>
      </c>
      <c r="AS333" s="8">
        <v>112</v>
      </c>
      <c r="AT333" s="21">
        <v>0</v>
      </c>
      <c r="AU333" s="21">
        <v>0</v>
      </c>
      <c r="AV333" s="21">
        <v>112</v>
      </c>
      <c r="AW333" s="21">
        <v>0</v>
      </c>
      <c r="AX333" s="21">
        <v>0</v>
      </c>
      <c r="AY333" s="8">
        <v>0</v>
      </c>
    </row>
    <row r="334" spans="1:51" ht="15" customHeight="1" x14ac:dyDescent="0.25">
      <c r="A334" s="9">
        <v>743</v>
      </c>
      <c r="B334" s="13">
        <v>45762</v>
      </c>
      <c r="C334" s="9" t="s">
        <v>169</v>
      </c>
      <c r="D334" s="9">
        <v>9518694174</v>
      </c>
      <c r="E334" s="8">
        <v>3</v>
      </c>
      <c r="F334" s="9" t="s">
        <v>950</v>
      </c>
      <c r="G334" s="79" t="s">
        <v>1303</v>
      </c>
      <c r="H334" s="9" t="s">
        <v>57</v>
      </c>
      <c r="I334" s="9" t="s">
        <v>43</v>
      </c>
      <c r="J334" s="9" t="s">
        <v>44</v>
      </c>
      <c r="K334" s="9" t="s">
        <v>170</v>
      </c>
      <c r="L334" s="39"/>
      <c r="M334" s="7" t="s">
        <v>1</v>
      </c>
      <c r="N334" s="8"/>
      <c r="O334" s="40"/>
      <c r="P334" s="15"/>
      <c r="Q334" s="9" t="s">
        <v>180</v>
      </c>
      <c r="R334" s="9" t="s">
        <v>318</v>
      </c>
      <c r="S334" s="9"/>
      <c r="T334" s="9">
        <v>103227</v>
      </c>
      <c r="U334" s="16" t="s">
        <v>91</v>
      </c>
      <c r="V334" s="9">
        <v>1334725</v>
      </c>
      <c r="W334" s="8" t="s">
        <v>475</v>
      </c>
      <c r="X334" s="8" t="s">
        <v>308</v>
      </c>
      <c r="Y334" s="8" t="s">
        <v>175</v>
      </c>
      <c r="Z334" s="8">
        <v>2</v>
      </c>
      <c r="AA334" s="8">
        <v>4</v>
      </c>
      <c r="AB334" s="8"/>
      <c r="AC334" s="8" t="s">
        <v>238</v>
      </c>
      <c r="AD334" s="14" t="s">
        <v>185</v>
      </c>
      <c r="AE334" s="8" t="s">
        <v>186</v>
      </c>
      <c r="AF334" s="14">
        <v>0.6</v>
      </c>
      <c r="AG334" s="8">
        <v>1220</v>
      </c>
      <c r="AH334" s="8">
        <v>0</v>
      </c>
      <c r="AI334" s="8">
        <v>112</v>
      </c>
      <c r="AJ334" s="8">
        <v>0</v>
      </c>
      <c r="AK334" s="127">
        <v>112</v>
      </c>
      <c r="AL334" s="103">
        <v>0</v>
      </c>
      <c r="AM334" s="8">
        <v>112</v>
      </c>
      <c r="AN334" s="21">
        <v>0</v>
      </c>
      <c r="AO334" s="21">
        <v>112</v>
      </c>
      <c r="AP334" s="21">
        <v>0</v>
      </c>
      <c r="AQ334" s="21">
        <v>0</v>
      </c>
      <c r="AR334" s="21">
        <v>0</v>
      </c>
      <c r="AS334" s="8">
        <v>112</v>
      </c>
      <c r="AT334" s="21">
        <v>0</v>
      </c>
      <c r="AU334" s="21">
        <v>112</v>
      </c>
      <c r="AV334" s="21">
        <v>0</v>
      </c>
      <c r="AW334" s="21">
        <v>0</v>
      </c>
      <c r="AX334" s="21">
        <v>0</v>
      </c>
      <c r="AY334" s="8">
        <v>0</v>
      </c>
    </row>
    <row r="335" spans="1:51" ht="15" customHeight="1" x14ac:dyDescent="0.25">
      <c r="A335" s="9">
        <v>744</v>
      </c>
      <c r="B335" s="13">
        <v>45747</v>
      </c>
      <c r="C335" s="9" t="s">
        <v>169</v>
      </c>
      <c r="D335" s="9">
        <v>9518660695</v>
      </c>
      <c r="E335" s="8">
        <v>1</v>
      </c>
      <c r="F335" s="9" t="s">
        <v>951</v>
      </c>
      <c r="G335" s="9" t="s">
        <v>1687</v>
      </c>
      <c r="H335" s="9" t="s">
        <v>57</v>
      </c>
      <c r="I335" s="9" t="s">
        <v>48</v>
      </c>
      <c r="J335" s="9" t="s">
        <v>39</v>
      </c>
      <c r="K335" s="9" t="s">
        <v>233</v>
      </c>
      <c r="L335" s="39"/>
      <c r="M335" s="7" t="s">
        <v>1</v>
      </c>
      <c r="N335" s="8"/>
      <c r="O335" s="40"/>
      <c r="P335" s="15"/>
      <c r="Q335" s="9" t="s">
        <v>264</v>
      </c>
      <c r="R335" s="9" t="s">
        <v>225</v>
      </c>
      <c r="S335" s="9"/>
      <c r="T335" s="9">
        <v>940016</v>
      </c>
      <c r="U335" s="16" t="s">
        <v>133</v>
      </c>
      <c r="V335" s="9">
        <v>3553033</v>
      </c>
      <c r="W335" s="8" t="s">
        <v>861</v>
      </c>
      <c r="X335" s="8" t="s">
        <v>349</v>
      </c>
      <c r="Y335" s="8" t="s">
        <v>231</v>
      </c>
      <c r="Z335" s="8">
        <v>3</v>
      </c>
      <c r="AA335" s="8">
        <v>5</v>
      </c>
      <c r="AB335" s="8"/>
      <c r="AC335" s="8" t="s">
        <v>228</v>
      </c>
      <c r="AD335" s="14" t="s">
        <v>229</v>
      </c>
      <c r="AE335" s="8" t="s">
        <v>232</v>
      </c>
      <c r="AF335" s="14">
        <v>0.48</v>
      </c>
      <c r="AG335" s="8">
        <v>1220</v>
      </c>
      <c r="AH335" s="8">
        <v>0</v>
      </c>
      <c r="AI335" s="8">
        <v>28</v>
      </c>
      <c r="AJ335" s="8">
        <v>0</v>
      </c>
      <c r="AK335" s="127">
        <v>7.46</v>
      </c>
      <c r="AL335" s="103">
        <v>2.3149999999999999</v>
      </c>
      <c r="AM335" s="8">
        <v>0</v>
      </c>
      <c r="AN335" s="21">
        <v>0</v>
      </c>
      <c r="AO335" s="21">
        <v>0</v>
      </c>
      <c r="AP335" s="21">
        <v>0</v>
      </c>
      <c r="AQ335" s="21">
        <v>0</v>
      </c>
      <c r="AR335" s="21">
        <v>0</v>
      </c>
      <c r="AS335" s="8">
        <v>2.3149999999999999</v>
      </c>
      <c r="AT335" s="21">
        <v>2.3149999999999999</v>
      </c>
      <c r="AU335" s="21">
        <v>0</v>
      </c>
      <c r="AV335" s="21">
        <v>0</v>
      </c>
      <c r="AW335" s="21">
        <v>0</v>
      </c>
      <c r="AX335" s="21">
        <v>0</v>
      </c>
      <c r="AY335" s="8">
        <v>0</v>
      </c>
    </row>
    <row r="336" spans="1:51" ht="15" customHeight="1" x14ac:dyDescent="0.25">
      <c r="A336" s="9">
        <v>742</v>
      </c>
      <c r="B336" s="13">
        <v>45762</v>
      </c>
      <c r="C336" s="9" t="s">
        <v>193</v>
      </c>
      <c r="D336" s="9">
        <v>9518695452</v>
      </c>
      <c r="E336" s="8">
        <v>1</v>
      </c>
      <c r="F336" s="9" t="s">
        <v>952</v>
      </c>
      <c r="G336" s="79" t="s">
        <v>1303</v>
      </c>
      <c r="H336" s="9" t="s">
        <v>57</v>
      </c>
      <c r="I336" s="9" t="s">
        <v>25</v>
      </c>
      <c r="J336" s="9" t="s">
        <v>29</v>
      </c>
      <c r="K336" s="9" t="s">
        <v>233</v>
      </c>
      <c r="L336" s="39"/>
      <c r="M336" s="7" t="s">
        <v>1</v>
      </c>
      <c r="N336" s="8"/>
      <c r="O336" s="40"/>
      <c r="P336" s="15"/>
      <c r="Q336" s="9" t="s">
        <v>180</v>
      </c>
      <c r="R336" s="9" t="s">
        <v>195</v>
      </c>
      <c r="S336" s="9"/>
      <c r="T336" s="9">
        <v>600250</v>
      </c>
      <c r="U336" s="16" t="s">
        <v>64</v>
      </c>
      <c r="V336" s="9">
        <v>3587949</v>
      </c>
      <c r="W336" s="8" t="s">
        <v>196</v>
      </c>
      <c r="X336" s="8" t="s">
        <v>265</v>
      </c>
      <c r="Y336" s="8" t="s">
        <v>175</v>
      </c>
      <c r="Z336" s="8">
        <v>8</v>
      </c>
      <c r="AA336" s="8">
        <v>14</v>
      </c>
      <c r="AB336" s="8"/>
      <c r="AC336" s="8" t="s">
        <v>190</v>
      </c>
      <c r="AD336" s="14" t="s">
        <v>197</v>
      </c>
      <c r="AE336" s="8" t="s">
        <v>198</v>
      </c>
      <c r="AF336" s="14">
        <v>0.5</v>
      </c>
      <c r="AG336" s="8">
        <v>1250</v>
      </c>
      <c r="AH336" s="8">
        <v>0</v>
      </c>
      <c r="AI336" s="8">
        <v>290</v>
      </c>
      <c r="AJ336" s="8">
        <v>0</v>
      </c>
      <c r="AK336" s="127">
        <v>290</v>
      </c>
      <c r="AL336" s="103">
        <v>0</v>
      </c>
      <c r="AM336" s="8">
        <v>290</v>
      </c>
      <c r="AN336" s="21">
        <v>0</v>
      </c>
      <c r="AO336" s="21">
        <v>0</v>
      </c>
      <c r="AP336" s="21">
        <v>290</v>
      </c>
      <c r="AQ336" s="21">
        <v>0</v>
      </c>
      <c r="AR336" s="21">
        <v>0</v>
      </c>
      <c r="AS336" s="8">
        <v>290</v>
      </c>
      <c r="AT336" s="21">
        <v>0</v>
      </c>
      <c r="AU336" s="21">
        <v>0</v>
      </c>
      <c r="AV336" s="21">
        <v>290</v>
      </c>
      <c r="AW336" s="21">
        <v>0</v>
      </c>
      <c r="AX336" s="21">
        <v>0</v>
      </c>
      <c r="AY336" s="8">
        <v>0</v>
      </c>
    </row>
    <row r="337" spans="1:51" ht="15" customHeight="1" x14ac:dyDescent="0.25">
      <c r="A337" s="9">
        <v>743</v>
      </c>
      <c r="B337" s="13">
        <v>45761</v>
      </c>
      <c r="C337" s="9" t="s">
        <v>169</v>
      </c>
      <c r="D337" s="9">
        <v>9518692103</v>
      </c>
      <c r="E337" s="8">
        <v>13</v>
      </c>
      <c r="F337" s="9" t="s">
        <v>953</v>
      </c>
      <c r="G337" s="79" t="s">
        <v>1303</v>
      </c>
      <c r="H337" s="9" t="s">
        <v>57</v>
      </c>
      <c r="I337" s="9" t="s">
        <v>43</v>
      </c>
      <c r="J337" s="9" t="s">
        <v>44</v>
      </c>
      <c r="K337" s="9" t="s">
        <v>170</v>
      </c>
      <c r="L337" s="39"/>
      <c r="M337" s="7" t="s">
        <v>1</v>
      </c>
      <c r="N337" s="8"/>
      <c r="O337" s="40"/>
      <c r="P337" s="15"/>
      <c r="Q337" s="9" t="s">
        <v>180</v>
      </c>
      <c r="R337" s="9" t="s">
        <v>261</v>
      </c>
      <c r="S337" s="9"/>
      <c r="T337" s="9">
        <v>185794</v>
      </c>
      <c r="U337" s="16" t="s">
        <v>97</v>
      </c>
      <c r="V337" s="9">
        <v>1300229</v>
      </c>
      <c r="W337" s="8" t="s">
        <v>396</v>
      </c>
      <c r="X337" s="8" t="s">
        <v>308</v>
      </c>
      <c r="Y337" s="8" t="s">
        <v>175</v>
      </c>
      <c r="Z337" s="8">
        <v>4</v>
      </c>
      <c r="AA337" s="8">
        <v>12</v>
      </c>
      <c r="AB337" s="8"/>
      <c r="AC337" s="8" t="s">
        <v>238</v>
      </c>
      <c r="AD337" s="14" t="s">
        <v>185</v>
      </c>
      <c r="AE337" s="8" t="s">
        <v>309</v>
      </c>
      <c r="AF337" s="14">
        <v>0.4</v>
      </c>
      <c r="AG337" s="8">
        <v>1220</v>
      </c>
      <c r="AH337" s="8">
        <v>0</v>
      </c>
      <c r="AI337" s="8">
        <v>28</v>
      </c>
      <c r="AJ337" s="8">
        <v>0</v>
      </c>
      <c r="AK337" s="127">
        <v>28</v>
      </c>
      <c r="AL337" s="103">
        <v>0</v>
      </c>
      <c r="AM337" s="8">
        <v>28</v>
      </c>
      <c r="AN337" s="21">
        <v>0</v>
      </c>
      <c r="AO337" s="21">
        <v>0</v>
      </c>
      <c r="AP337" s="21">
        <v>28</v>
      </c>
      <c r="AQ337" s="21">
        <v>0</v>
      </c>
      <c r="AR337" s="21">
        <v>0</v>
      </c>
      <c r="AS337" s="8">
        <v>28</v>
      </c>
      <c r="AT337" s="21">
        <v>0</v>
      </c>
      <c r="AU337" s="21">
        <v>0</v>
      </c>
      <c r="AV337" s="21">
        <v>28</v>
      </c>
      <c r="AW337" s="21">
        <v>0</v>
      </c>
      <c r="AX337" s="21">
        <v>0</v>
      </c>
      <c r="AY337" s="8">
        <v>0</v>
      </c>
    </row>
    <row r="338" spans="1:51" ht="15" customHeight="1" x14ac:dyDescent="0.25">
      <c r="A338" s="9">
        <v>743</v>
      </c>
      <c r="B338" s="13">
        <v>45761</v>
      </c>
      <c r="C338" s="9" t="s">
        <v>169</v>
      </c>
      <c r="D338" s="9">
        <v>9518692103</v>
      </c>
      <c r="E338" s="8">
        <v>14</v>
      </c>
      <c r="F338" s="9" t="s">
        <v>954</v>
      </c>
      <c r="G338" s="79" t="s">
        <v>1303</v>
      </c>
      <c r="H338" s="9" t="s">
        <v>57</v>
      </c>
      <c r="I338" s="9" t="s">
        <v>43</v>
      </c>
      <c r="J338" s="9" t="s">
        <v>44</v>
      </c>
      <c r="K338" s="9" t="s">
        <v>170</v>
      </c>
      <c r="L338" s="39"/>
      <c r="M338" s="7" t="s">
        <v>1</v>
      </c>
      <c r="N338" s="8"/>
      <c r="O338" s="40"/>
      <c r="P338" s="15"/>
      <c r="Q338" s="9" t="s">
        <v>180</v>
      </c>
      <c r="R338" s="9" t="s">
        <v>261</v>
      </c>
      <c r="S338" s="9"/>
      <c r="T338" s="9">
        <v>185794</v>
      </c>
      <c r="U338" s="16" t="s">
        <v>97</v>
      </c>
      <c r="V338" s="9">
        <v>1300228</v>
      </c>
      <c r="W338" s="8" t="s">
        <v>437</v>
      </c>
      <c r="X338" s="8" t="s">
        <v>308</v>
      </c>
      <c r="Y338" s="8" t="s">
        <v>175</v>
      </c>
      <c r="Z338" s="8">
        <v>4</v>
      </c>
      <c r="AA338" s="8">
        <v>12</v>
      </c>
      <c r="AB338" s="8"/>
      <c r="AC338" s="8" t="s">
        <v>238</v>
      </c>
      <c r="AD338" s="14" t="s">
        <v>185</v>
      </c>
      <c r="AE338" s="8" t="s">
        <v>309</v>
      </c>
      <c r="AF338" s="14">
        <v>0.5</v>
      </c>
      <c r="AG338" s="8">
        <v>1220</v>
      </c>
      <c r="AH338" s="8">
        <v>0</v>
      </c>
      <c r="AI338" s="8">
        <v>56</v>
      </c>
      <c r="AJ338" s="8">
        <v>0</v>
      </c>
      <c r="AK338" s="127">
        <v>56</v>
      </c>
      <c r="AL338" s="103">
        <v>0</v>
      </c>
      <c r="AM338" s="8">
        <v>56</v>
      </c>
      <c r="AN338" s="21">
        <v>0</v>
      </c>
      <c r="AO338" s="21">
        <v>0</v>
      </c>
      <c r="AP338" s="21">
        <v>56</v>
      </c>
      <c r="AQ338" s="21">
        <v>0</v>
      </c>
      <c r="AR338" s="21">
        <v>0</v>
      </c>
      <c r="AS338" s="8">
        <v>56</v>
      </c>
      <c r="AT338" s="21">
        <v>0</v>
      </c>
      <c r="AU338" s="21">
        <v>0</v>
      </c>
      <c r="AV338" s="21">
        <v>56</v>
      </c>
      <c r="AW338" s="21">
        <v>0</v>
      </c>
      <c r="AX338" s="21">
        <v>0</v>
      </c>
      <c r="AY338" s="8">
        <v>0</v>
      </c>
    </row>
    <row r="339" spans="1:51" ht="15" customHeight="1" x14ac:dyDescent="0.25">
      <c r="A339" s="9">
        <v>743</v>
      </c>
      <c r="B339" s="13">
        <v>45761</v>
      </c>
      <c r="C339" s="9" t="s">
        <v>169</v>
      </c>
      <c r="D339" s="9">
        <v>9518692103</v>
      </c>
      <c r="E339" s="8">
        <v>15</v>
      </c>
      <c r="F339" s="9" t="s">
        <v>955</v>
      </c>
      <c r="G339" s="79" t="s">
        <v>1303</v>
      </c>
      <c r="H339" s="9" t="s">
        <v>57</v>
      </c>
      <c r="I339" s="9" t="s">
        <v>43</v>
      </c>
      <c r="J339" s="9" t="s">
        <v>44</v>
      </c>
      <c r="K339" s="9" t="s">
        <v>170</v>
      </c>
      <c r="L339" s="39"/>
      <c r="M339" s="7" t="s">
        <v>1</v>
      </c>
      <c r="N339" s="8"/>
      <c r="O339" s="40"/>
      <c r="P339" s="15"/>
      <c r="Q339" s="9" t="s">
        <v>180</v>
      </c>
      <c r="R339" s="9" t="s">
        <v>261</v>
      </c>
      <c r="S339" s="9"/>
      <c r="T339" s="9">
        <v>185794</v>
      </c>
      <c r="U339" s="16" t="s">
        <v>97</v>
      </c>
      <c r="V339" s="9">
        <v>1300227</v>
      </c>
      <c r="W339" s="8" t="s">
        <v>496</v>
      </c>
      <c r="X339" s="8" t="s">
        <v>308</v>
      </c>
      <c r="Y339" s="8" t="s">
        <v>175</v>
      </c>
      <c r="Z339" s="8">
        <v>4</v>
      </c>
      <c r="AA339" s="8">
        <v>12</v>
      </c>
      <c r="AB339" s="8"/>
      <c r="AC339" s="8" t="s">
        <v>238</v>
      </c>
      <c r="AD339" s="14" t="s">
        <v>185</v>
      </c>
      <c r="AE339" s="8" t="s">
        <v>309</v>
      </c>
      <c r="AF339" s="14">
        <v>0.6</v>
      </c>
      <c r="AG339" s="8">
        <v>1220</v>
      </c>
      <c r="AH339" s="8">
        <v>0</v>
      </c>
      <c r="AI339" s="8">
        <v>56</v>
      </c>
      <c r="AJ339" s="8">
        <v>0</v>
      </c>
      <c r="AK339" s="127">
        <v>56</v>
      </c>
      <c r="AL339" s="103">
        <v>0</v>
      </c>
      <c r="AM339" s="8">
        <v>56</v>
      </c>
      <c r="AN339" s="21">
        <v>0</v>
      </c>
      <c r="AO339" s="21">
        <v>0</v>
      </c>
      <c r="AP339" s="21">
        <v>56</v>
      </c>
      <c r="AQ339" s="21">
        <v>0</v>
      </c>
      <c r="AR339" s="21">
        <v>0</v>
      </c>
      <c r="AS339" s="8">
        <v>56</v>
      </c>
      <c r="AT339" s="21">
        <v>0</v>
      </c>
      <c r="AU339" s="21">
        <v>0</v>
      </c>
      <c r="AV339" s="21">
        <v>0</v>
      </c>
      <c r="AW339" s="21">
        <v>56</v>
      </c>
      <c r="AX339" s="21">
        <v>0</v>
      </c>
      <c r="AY339" s="8">
        <v>0</v>
      </c>
    </row>
    <row r="340" spans="1:51" ht="15" customHeight="1" x14ac:dyDescent="0.25">
      <c r="A340" s="9">
        <v>743</v>
      </c>
      <c r="B340" s="13">
        <v>45762</v>
      </c>
      <c r="C340" s="9" t="s">
        <v>169</v>
      </c>
      <c r="D340" s="9">
        <v>9518694054</v>
      </c>
      <c r="E340" s="8">
        <v>2</v>
      </c>
      <c r="F340" s="9" t="s">
        <v>956</v>
      </c>
      <c r="G340" s="9" t="s">
        <v>1303</v>
      </c>
      <c r="H340" s="9" t="s">
        <v>57</v>
      </c>
      <c r="I340" s="9" t="s">
        <v>43</v>
      </c>
      <c r="J340" s="9" t="s">
        <v>45</v>
      </c>
      <c r="K340" s="9" t="s">
        <v>170</v>
      </c>
      <c r="L340" s="39"/>
      <c r="M340" s="7" t="s">
        <v>1</v>
      </c>
      <c r="N340" s="8"/>
      <c r="O340" s="40"/>
      <c r="P340" s="15"/>
      <c r="Q340" s="9" t="s">
        <v>180</v>
      </c>
      <c r="R340" s="9" t="s">
        <v>318</v>
      </c>
      <c r="S340" s="9"/>
      <c r="T340" s="9">
        <v>103227</v>
      </c>
      <c r="U340" s="16" t="s">
        <v>91</v>
      </c>
      <c r="V340" s="9">
        <v>1191956</v>
      </c>
      <c r="W340" s="8" t="s">
        <v>440</v>
      </c>
      <c r="X340" s="8" t="s">
        <v>308</v>
      </c>
      <c r="Y340" s="8" t="s">
        <v>175</v>
      </c>
      <c r="Z340" s="8">
        <v>2</v>
      </c>
      <c r="AA340" s="8">
        <v>6</v>
      </c>
      <c r="AB340" s="8"/>
      <c r="AC340" s="8" t="s">
        <v>238</v>
      </c>
      <c r="AD340" s="14" t="s">
        <v>185</v>
      </c>
      <c r="AE340" s="8" t="s">
        <v>186</v>
      </c>
      <c r="AF340" s="14">
        <v>0.35</v>
      </c>
      <c r="AG340" s="8">
        <v>900</v>
      </c>
      <c r="AH340" s="8">
        <v>0</v>
      </c>
      <c r="AI340" s="8">
        <v>252</v>
      </c>
      <c r="AJ340" s="8">
        <v>0</v>
      </c>
      <c r="AK340" s="127">
        <v>252</v>
      </c>
      <c r="AL340" s="103">
        <v>0</v>
      </c>
      <c r="AM340" s="8">
        <v>252</v>
      </c>
      <c r="AN340" s="21">
        <v>0</v>
      </c>
      <c r="AO340" s="21">
        <v>0</v>
      </c>
      <c r="AP340" s="21">
        <v>252</v>
      </c>
      <c r="AQ340" s="21">
        <v>0</v>
      </c>
      <c r="AR340" s="21">
        <v>0</v>
      </c>
      <c r="AS340" s="8">
        <v>252</v>
      </c>
      <c r="AT340" s="21">
        <v>0</v>
      </c>
      <c r="AU340" s="21">
        <v>0</v>
      </c>
      <c r="AV340" s="21">
        <v>252</v>
      </c>
      <c r="AW340" s="21">
        <v>0</v>
      </c>
      <c r="AX340" s="21">
        <v>0</v>
      </c>
      <c r="AY340" s="8">
        <v>0</v>
      </c>
    </row>
    <row r="341" spans="1:51" ht="15" customHeight="1" x14ac:dyDescent="0.25">
      <c r="A341" s="9">
        <v>743</v>
      </c>
      <c r="B341" s="13">
        <v>45762</v>
      </c>
      <c r="C341" s="9" t="s">
        <v>169</v>
      </c>
      <c r="D341" s="9">
        <v>9518694054</v>
      </c>
      <c r="E341" s="8">
        <v>4</v>
      </c>
      <c r="F341" s="9" t="s">
        <v>957</v>
      </c>
      <c r="G341" s="9" t="s">
        <v>1303</v>
      </c>
      <c r="H341" s="9" t="s">
        <v>57</v>
      </c>
      <c r="I341" s="9" t="s">
        <v>43</v>
      </c>
      <c r="J341" s="9" t="s">
        <v>45</v>
      </c>
      <c r="K341" s="9" t="s">
        <v>170</v>
      </c>
      <c r="L341" s="39"/>
      <c r="M341" s="7" t="s">
        <v>1</v>
      </c>
      <c r="N341" s="8"/>
      <c r="O341" s="40"/>
      <c r="P341" s="15"/>
      <c r="Q341" s="9" t="s">
        <v>180</v>
      </c>
      <c r="R341" s="9" t="s">
        <v>318</v>
      </c>
      <c r="S341" s="9"/>
      <c r="T341" s="9">
        <v>103227</v>
      </c>
      <c r="U341" s="16" t="s">
        <v>91</v>
      </c>
      <c r="V341" s="9">
        <v>1854418</v>
      </c>
      <c r="W341" s="8" t="s">
        <v>456</v>
      </c>
      <c r="X341" s="8" t="s">
        <v>308</v>
      </c>
      <c r="Y341" s="8" t="s">
        <v>175</v>
      </c>
      <c r="Z341" s="8">
        <v>2</v>
      </c>
      <c r="AA341" s="8">
        <v>6</v>
      </c>
      <c r="AB341" s="8"/>
      <c r="AC341" s="8" t="s">
        <v>238</v>
      </c>
      <c r="AD341" s="14" t="s">
        <v>185</v>
      </c>
      <c r="AE341" s="8" t="s">
        <v>186</v>
      </c>
      <c r="AF341" s="14">
        <v>0.5</v>
      </c>
      <c r="AG341" s="8">
        <v>900</v>
      </c>
      <c r="AH341" s="8">
        <v>0</v>
      </c>
      <c r="AI341" s="8">
        <v>294</v>
      </c>
      <c r="AJ341" s="8">
        <v>0</v>
      </c>
      <c r="AK341" s="127">
        <v>294</v>
      </c>
      <c r="AL341" s="103">
        <v>0</v>
      </c>
      <c r="AM341" s="8">
        <v>294</v>
      </c>
      <c r="AN341" s="21">
        <v>0</v>
      </c>
      <c r="AO341" s="21">
        <v>0</v>
      </c>
      <c r="AP341" s="21">
        <v>0</v>
      </c>
      <c r="AQ341" s="21">
        <v>294</v>
      </c>
      <c r="AR341" s="21">
        <v>0</v>
      </c>
      <c r="AS341" s="8">
        <v>294</v>
      </c>
      <c r="AT341" s="21">
        <v>0</v>
      </c>
      <c r="AU341" s="21">
        <v>0</v>
      </c>
      <c r="AV341" s="21">
        <v>0</v>
      </c>
      <c r="AW341" s="21">
        <v>294</v>
      </c>
      <c r="AX341" s="21">
        <v>0</v>
      </c>
      <c r="AY341" s="8">
        <v>0</v>
      </c>
    </row>
    <row r="342" spans="1:51" ht="15" customHeight="1" x14ac:dyDescent="0.25">
      <c r="A342" s="9">
        <v>743</v>
      </c>
      <c r="B342" s="13">
        <v>45758</v>
      </c>
      <c r="C342" s="9" t="s">
        <v>169</v>
      </c>
      <c r="D342" s="9">
        <v>9518683949</v>
      </c>
      <c r="E342" s="8">
        <v>1</v>
      </c>
      <c r="F342" s="9" t="s">
        <v>958</v>
      </c>
      <c r="G342" s="79" t="s">
        <v>1303</v>
      </c>
      <c r="H342" s="9" t="s">
        <v>57</v>
      </c>
      <c r="I342" s="9" t="s">
        <v>43</v>
      </c>
      <c r="J342" s="9" t="s">
        <v>45</v>
      </c>
      <c r="K342" s="9" t="s">
        <v>170</v>
      </c>
      <c r="L342" s="39"/>
      <c r="M342" s="7" t="s">
        <v>1</v>
      </c>
      <c r="N342" s="8"/>
      <c r="O342" s="40"/>
      <c r="P342" s="15"/>
      <c r="Q342" s="9" t="s">
        <v>180</v>
      </c>
      <c r="R342" s="9" t="s">
        <v>439</v>
      </c>
      <c r="S342" s="9"/>
      <c r="T342" s="9">
        <v>100922</v>
      </c>
      <c r="U342" s="16" t="s">
        <v>115</v>
      </c>
      <c r="V342" s="9">
        <v>1851065</v>
      </c>
      <c r="W342" s="8" t="s">
        <v>422</v>
      </c>
      <c r="X342" s="8" t="s">
        <v>308</v>
      </c>
      <c r="Y342" s="8" t="s">
        <v>175</v>
      </c>
      <c r="Z342" s="8">
        <v>5</v>
      </c>
      <c r="AA342" s="8">
        <v>15</v>
      </c>
      <c r="AB342" s="8"/>
      <c r="AC342" s="8" t="s">
        <v>238</v>
      </c>
      <c r="AD342" s="14" t="s">
        <v>185</v>
      </c>
      <c r="AE342" s="8" t="s">
        <v>186</v>
      </c>
      <c r="AF342" s="14">
        <v>0.25</v>
      </c>
      <c r="AG342" s="8">
        <v>900</v>
      </c>
      <c r="AH342" s="8">
        <v>0</v>
      </c>
      <c r="AI342" s="8">
        <v>21</v>
      </c>
      <c r="AJ342" s="8">
        <v>0</v>
      </c>
      <c r="AK342" s="127">
        <v>21</v>
      </c>
      <c r="AL342" s="103">
        <v>0</v>
      </c>
      <c r="AM342" s="8">
        <v>21</v>
      </c>
      <c r="AN342" s="21">
        <v>0</v>
      </c>
      <c r="AO342" s="21">
        <v>0</v>
      </c>
      <c r="AP342" s="21">
        <v>21</v>
      </c>
      <c r="AQ342" s="21">
        <v>0</v>
      </c>
      <c r="AR342" s="21">
        <v>0</v>
      </c>
      <c r="AS342" s="8">
        <v>21</v>
      </c>
      <c r="AT342" s="21">
        <v>0</v>
      </c>
      <c r="AU342" s="21">
        <v>0</v>
      </c>
      <c r="AV342" s="21">
        <v>0</v>
      </c>
      <c r="AW342" s="21">
        <v>21</v>
      </c>
      <c r="AX342" s="21">
        <v>0</v>
      </c>
      <c r="AY342" s="8">
        <v>0</v>
      </c>
    </row>
    <row r="343" spans="1:51" ht="15" customHeight="1" x14ac:dyDescent="0.25">
      <c r="A343" s="9">
        <v>742</v>
      </c>
      <c r="B343" s="13">
        <v>45765</v>
      </c>
      <c r="C343" s="9" t="s">
        <v>169</v>
      </c>
      <c r="D343" s="9">
        <v>9518703480</v>
      </c>
      <c r="E343" s="8">
        <v>7</v>
      </c>
      <c r="F343" s="9" t="s">
        <v>959</v>
      </c>
      <c r="G343" s="79" t="s">
        <v>1303</v>
      </c>
      <c r="H343" s="9" t="s">
        <v>57</v>
      </c>
      <c r="I343" s="9" t="s">
        <v>25</v>
      </c>
      <c r="J343" s="9" t="s">
        <v>28</v>
      </c>
      <c r="K343" s="9" t="s">
        <v>233</v>
      </c>
      <c r="L343" s="39"/>
      <c r="M343" s="7" t="s">
        <v>1</v>
      </c>
      <c r="N343" s="8"/>
      <c r="O343" s="40" t="s">
        <v>1395</v>
      </c>
      <c r="P343" s="15"/>
      <c r="Q343" s="9" t="s">
        <v>214</v>
      </c>
      <c r="R343" s="9" t="s">
        <v>382</v>
      </c>
      <c r="S343" s="9"/>
      <c r="T343" s="9">
        <v>188238</v>
      </c>
      <c r="U343" s="16" t="s">
        <v>59</v>
      </c>
      <c r="V343" s="9">
        <v>2279492</v>
      </c>
      <c r="W343" s="8" t="s">
        <v>1150</v>
      </c>
      <c r="X343" s="8" t="s">
        <v>265</v>
      </c>
      <c r="Y343" s="8" t="s">
        <v>175</v>
      </c>
      <c r="Z343" s="8">
        <v>8</v>
      </c>
      <c r="AA343" s="8">
        <v>12</v>
      </c>
      <c r="AB343" s="8"/>
      <c r="AC343" s="8" t="s">
        <v>190</v>
      </c>
      <c r="AD343" s="14" t="s">
        <v>191</v>
      </c>
      <c r="AE343" s="8" t="s">
        <v>346</v>
      </c>
      <c r="AF343" s="14">
        <v>0.9</v>
      </c>
      <c r="AG343" s="8">
        <v>1220</v>
      </c>
      <c r="AH343" s="8">
        <v>0</v>
      </c>
      <c r="AI343" s="8">
        <v>28</v>
      </c>
      <c r="AJ343" s="8">
        <v>0</v>
      </c>
      <c r="AK343" s="127">
        <v>28</v>
      </c>
      <c r="AL343" s="103">
        <v>0</v>
      </c>
      <c r="AM343" s="8">
        <v>28</v>
      </c>
      <c r="AN343" s="21">
        <v>0</v>
      </c>
      <c r="AO343" s="21">
        <v>0</v>
      </c>
      <c r="AP343" s="21">
        <v>0</v>
      </c>
      <c r="AQ343" s="21">
        <v>28</v>
      </c>
      <c r="AR343" s="21">
        <v>0</v>
      </c>
      <c r="AS343" s="8">
        <v>28</v>
      </c>
      <c r="AT343" s="21">
        <v>0</v>
      </c>
      <c r="AU343" s="21">
        <v>0</v>
      </c>
      <c r="AV343" s="21">
        <v>0</v>
      </c>
      <c r="AW343" s="21">
        <v>28</v>
      </c>
      <c r="AX343" s="21">
        <v>0</v>
      </c>
      <c r="AY343" s="8">
        <v>0</v>
      </c>
    </row>
    <row r="344" spans="1:51" ht="15" customHeight="1" x14ac:dyDescent="0.25">
      <c r="A344" s="9">
        <v>742</v>
      </c>
      <c r="B344" s="13">
        <v>45740</v>
      </c>
      <c r="C344" s="9" t="s">
        <v>169</v>
      </c>
      <c r="D344" s="9">
        <v>9518628976</v>
      </c>
      <c r="E344" s="8">
        <v>7</v>
      </c>
      <c r="F344" s="9" t="s">
        <v>960</v>
      </c>
      <c r="G344" s="79" t="s">
        <v>1303</v>
      </c>
      <c r="H344" s="9" t="s">
        <v>57</v>
      </c>
      <c r="I344" s="9" t="s">
        <v>25</v>
      </c>
      <c r="J344" s="9" t="s">
        <v>30</v>
      </c>
      <c r="K344" s="9" t="s">
        <v>170</v>
      </c>
      <c r="L344" s="39"/>
      <c r="M344" s="7" t="s">
        <v>1</v>
      </c>
      <c r="N344" s="8"/>
      <c r="O344" s="40"/>
      <c r="P344" s="15"/>
      <c r="Q344" s="9" t="s">
        <v>214</v>
      </c>
      <c r="R344" s="9" t="s">
        <v>450</v>
      </c>
      <c r="S344" s="9"/>
      <c r="T344" s="9">
        <v>116465</v>
      </c>
      <c r="U344" s="16" t="s">
        <v>98</v>
      </c>
      <c r="V344" s="9">
        <v>189866</v>
      </c>
      <c r="W344" s="8" t="s">
        <v>550</v>
      </c>
      <c r="X344" s="8" t="s">
        <v>265</v>
      </c>
      <c r="Y344" s="8" t="s">
        <v>175</v>
      </c>
      <c r="Z344" s="8">
        <v>0</v>
      </c>
      <c r="AA344" s="8">
        <v>0</v>
      </c>
      <c r="AB344" s="8"/>
      <c r="AC344" s="8" t="s">
        <v>210</v>
      </c>
      <c r="AD344" s="14" t="s">
        <v>191</v>
      </c>
      <c r="AE344" s="8" t="s">
        <v>192</v>
      </c>
      <c r="AF344" s="14">
        <v>1.2</v>
      </c>
      <c r="AG344" s="8">
        <v>1250</v>
      </c>
      <c r="AH344" s="8">
        <v>2500</v>
      </c>
      <c r="AI344" s="8">
        <v>60</v>
      </c>
      <c r="AJ344" s="8">
        <v>0</v>
      </c>
      <c r="AK344" s="127">
        <v>60</v>
      </c>
      <c r="AL344" s="103">
        <v>0</v>
      </c>
      <c r="AM344" s="8">
        <v>60</v>
      </c>
      <c r="AN344" s="21">
        <v>0</v>
      </c>
      <c r="AO344" s="21">
        <v>0</v>
      </c>
      <c r="AP344" s="21">
        <v>0</v>
      </c>
      <c r="AQ344" s="21">
        <v>60</v>
      </c>
      <c r="AR344" s="21">
        <v>0</v>
      </c>
      <c r="AS344" s="8">
        <v>60</v>
      </c>
      <c r="AT344" s="21">
        <v>0</v>
      </c>
      <c r="AU344" s="21">
        <v>0</v>
      </c>
      <c r="AV344" s="21">
        <v>0</v>
      </c>
      <c r="AW344" s="21">
        <v>60</v>
      </c>
      <c r="AX344" s="21">
        <v>0</v>
      </c>
      <c r="AY344" s="8">
        <v>0</v>
      </c>
    </row>
    <row r="345" spans="1:51" ht="15" customHeight="1" x14ac:dyDescent="0.25">
      <c r="A345" s="9">
        <v>742</v>
      </c>
      <c r="B345" s="13">
        <v>45762</v>
      </c>
      <c r="C345" s="9" t="s">
        <v>169</v>
      </c>
      <c r="D345" s="9">
        <v>9518694586</v>
      </c>
      <c r="E345" s="8">
        <v>1</v>
      </c>
      <c r="F345" s="9" t="s">
        <v>961</v>
      </c>
      <c r="G345" s="79" t="s">
        <v>1303</v>
      </c>
      <c r="H345" s="9" t="s">
        <v>57</v>
      </c>
      <c r="I345" s="9" t="s">
        <v>25</v>
      </c>
      <c r="J345" s="9" t="s">
        <v>28</v>
      </c>
      <c r="K345" s="9" t="s">
        <v>233</v>
      </c>
      <c r="L345" s="39"/>
      <c r="M345" s="7" t="s">
        <v>1</v>
      </c>
      <c r="N345" s="8"/>
      <c r="O345" s="40"/>
      <c r="P345" s="15"/>
      <c r="Q345" s="9" t="s">
        <v>214</v>
      </c>
      <c r="R345" s="9" t="s">
        <v>594</v>
      </c>
      <c r="S345" s="9"/>
      <c r="T345" s="9">
        <v>948926</v>
      </c>
      <c r="U345" s="16" t="s">
        <v>882</v>
      </c>
      <c r="V345" s="9">
        <v>2426388</v>
      </c>
      <c r="W345" s="8" t="s">
        <v>595</v>
      </c>
      <c r="X345" s="8" t="s">
        <v>265</v>
      </c>
      <c r="Y345" s="8" t="s">
        <v>175</v>
      </c>
      <c r="Z345" s="8">
        <v>6</v>
      </c>
      <c r="AA345" s="8">
        <v>8</v>
      </c>
      <c r="AB345" s="8"/>
      <c r="AC345" s="8" t="s">
        <v>190</v>
      </c>
      <c r="AD345" s="14" t="s">
        <v>191</v>
      </c>
      <c r="AE345" s="8" t="s">
        <v>346</v>
      </c>
      <c r="AF345" s="14">
        <v>0.9</v>
      </c>
      <c r="AG345" s="8">
        <v>1320</v>
      </c>
      <c r="AH345" s="8">
        <v>0</v>
      </c>
      <c r="AI345" s="8">
        <v>90</v>
      </c>
      <c r="AJ345" s="8">
        <v>0</v>
      </c>
      <c r="AK345" s="127">
        <v>90</v>
      </c>
      <c r="AL345" s="103">
        <v>0</v>
      </c>
      <c r="AM345" s="8">
        <v>90</v>
      </c>
      <c r="AN345" s="21">
        <v>0</v>
      </c>
      <c r="AO345" s="21">
        <v>0</v>
      </c>
      <c r="AP345" s="21">
        <v>90</v>
      </c>
      <c r="AQ345" s="21">
        <v>0</v>
      </c>
      <c r="AR345" s="21">
        <v>0</v>
      </c>
      <c r="AS345" s="8">
        <v>90</v>
      </c>
      <c r="AT345" s="21">
        <v>0</v>
      </c>
      <c r="AU345" s="21">
        <v>0</v>
      </c>
      <c r="AV345" s="21">
        <v>0</v>
      </c>
      <c r="AW345" s="21">
        <v>90</v>
      </c>
      <c r="AX345" s="21">
        <v>0</v>
      </c>
      <c r="AY345" s="8">
        <v>0</v>
      </c>
    </row>
    <row r="346" spans="1:51" ht="15" customHeight="1" x14ac:dyDescent="0.25">
      <c r="A346" s="9">
        <v>744</v>
      </c>
      <c r="B346" s="13">
        <v>45762</v>
      </c>
      <c r="C346" s="9" t="s">
        <v>169</v>
      </c>
      <c r="D346" s="9">
        <v>9518694961</v>
      </c>
      <c r="E346" s="8">
        <v>1</v>
      </c>
      <c r="F346" s="9" t="s">
        <v>962</v>
      </c>
      <c r="G346" s="79" t="s">
        <v>1303</v>
      </c>
      <c r="H346" s="9" t="s">
        <v>57</v>
      </c>
      <c r="I346" s="9" t="s">
        <v>48</v>
      </c>
      <c r="J346" s="9" t="s">
        <v>39</v>
      </c>
      <c r="K346" s="9" t="s">
        <v>233</v>
      </c>
      <c r="L346" s="39"/>
      <c r="M346" s="7" t="s">
        <v>1</v>
      </c>
      <c r="N346" s="8"/>
      <c r="O346" s="40"/>
      <c r="P346" s="15"/>
      <c r="Q346" s="9" t="s">
        <v>264</v>
      </c>
      <c r="R346" s="9" t="s">
        <v>225</v>
      </c>
      <c r="S346" s="9"/>
      <c r="T346" s="9">
        <v>940016</v>
      </c>
      <c r="U346" s="16" t="s">
        <v>133</v>
      </c>
      <c r="V346" s="9">
        <v>3879501</v>
      </c>
      <c r="W346" s="8" t="s">
        <v>621</v>
      </c>
      <c r="X346" s="8" t="s">
        <v>236</v>
      </c>
      <c r="Y346" s="8" t="s">
        <v>227</v>
      </c>
      <c r="Z346" s="8">
        <v>3</v>
      </c>
      <c r="AA346" s="8">
        <v>5</v>
      </c>
      <c r="AB346" s="8"/>
      <c r="AC346" s="8" t="s">
        <v>228</v>
      </c>
      <c r="AD346" s="14" t="s">
        <v>229</v>
      </c>
      <c r="AE346" s="8" t="s">
        <v>230</v>
      </c>
      <c r="AF346" s="14">
        <v>0.45</v>
      </c>
      <c r="AG346" s="8">
        <v>1220</v>
      </c>
      <c r="AH346" s="8">
        <v>0</v>
      </c>
      <c r="AI346" s="8">
        <v>28</v>
      </c>
      <c r="AJ346" s="8">
        <v>0</v>
      </c>
      <c r="AK346" s="127">
        <v>28</v>
      </c>
      <c r="AL346" s="103">
        <v>0</v>
      </c>
      <c r="AM346" s="8">
        <v>28</v>
      </c>
      <c r="AN346" s="21">
        <v>0</v>
      </c>
      <c r="AO346" s="21">
        <v>0</v>
      </c>
      <c r="AP346" s="21">
        <v>28</v>
      </c>
      <c r="AQ346" s="21">
        <v>0</v>
      </c>
      <c r="AR346" s="21">
        <v>0</v>
      </c>
      <c r="AS346" s="8">
        <v>28</v>
      </c>
      <c r="AT346" s="21">
        <v>0</v>
      </c>
      <c r="AU346" s="21">
        <v>0</v>
      </c>
      <c r="AV346" s="21">
        <v>0</v>
      </c>
      <c r="AW346" s="21">
        <v>28</v>
      </c>
      <c r="AX346" s="21">
        <v>0</v>
      </c>
      <c r="AY346" s="8">
        <v>0</v>
      </c>
    </row>
    <row r="347" spans="1:51" ht="15" customHeight="1" x14ac:dyDescent="0.25">
      <c r="A347" s="9">
        <v>742</v>
      </c>
      <c r="B347" s="13">
        <v>45694</v>
      </c>
      <c r="C347" s="9" t="s">
        <v>169</v>
      </c>
      <c r="D347" s="9">
        <v>9518497626</v>
      </c>
      <c r="E347" s="8">
        <v>6</v>
      </c>
      <c r="F347" s="9" t="s">
        <v>547</v>
      </c>
      <c r="G347" s="79" t="s">
        <v>1303</v>
      </c>
      <c r="H347" s="9" t="s">
        <v>57</v>
      </c>
      <c r="I347" s="9" t="s">
        <v>25</v>
      </c>
      <c r="J347" s="9" t="s">
        <v>31</v>
      </c>
      <c r="K347" s="9" t="s">
        <v>170</v>
      </c>
      <c r="L347" s="39"/>
      <c r="M347" s="7" t="s">
        <v>1</v>
      </c>
      <c r="N347" s="8"/>
      <c r="O347" s="40"/>
      <c r="P347" s="15"/>
      <c r="Q347" s="9" t="s">
        <v>214</v>
      </c>
      <c r="R347" s="9" t="s">
        <v>215</v>
      </c>
      <c r="S347" s="9"/>
      <c r="T347" s="9">
        <v>946077</v>
      </c>
      <c r="U347" s="16" t="s">
        <v>83</v>
      </c>
      <c r="V347" s="9">
        <v>3239566</v>
      </c>
      <c r="W347" s="8" t="s">
        <v>546</v>
      </c>
      <c r="X347" s="8" t="s">
        <v>265</v>
      </c>
      <c r="Y347" s="8" t="s">
        <v>175</v>
      </c>
      <c r="Z347" s="8">
        <v>0</v>
      </c>
      <c r="AA347" s="8">
        <v>0</v>
      </c>
      <c r="AB347" s="8"/>
      <c r="AC347" s="8" t="s">
        <v>210</v>
      </c>
      <c r="AD347" s="14" t="s">
        <v>211</v>
      </c>
      <c r="AE347" s="8" t="s">
        <v>212</v>
      </c>
      <c r="AF347" s="14">
        <v>0.45</v>
      </c>
      <c r="AG347" s="8">
        <v>1000</v>
      </c>
      <c r="AH347" s="8">
        <v>2440</v>
      </c>
      <c r="AI347" s="8">
        <v>42</v>
      </c>
      <c r="AJ347" s="8">
        <v>0</v>
      </c>
      <c r="AK347" s="127">
        <v>42</v>
      </c>
      <c r="AL347" s="103">
        <v>0</v>
      </c>
      <c r="AM347" s="8">
        <v>42</v>
      </c>
      <c r="AN347" s="21">
        <v>0</v>
      </c>
      <c r="AO347" s="21">
        <v>42</v>
      </c>
      <c r="AP347" s="21">
        <v>0</v>
      </c>
      <c r="AQ347" s="21">
        <v>0</v>
      </c>
      <c r="AR347" s="21">
        <v>0</v>
      </c>
      <c r="AS347" s="8">
        <v>42</v>
      </c>
      <c r="AT347" s="21">
        <v>0</v>
      </c>
      <c r="AU347" s="21">
        <v>42</v>
      </c>
      <c r="AV347" s="21">
        <v>0</v>
      </c>
      <c r="AW347" s="21">
        <v>0</v>
      </c>
      <c r="AX347" s="21">
        <v>0</v>
      </c>
      <c r="AY347" s="8">
        <v>0</v>
      </c>
    </row>
    <row r="348" spans="1:51" ht="15" customHeight="1" x14ac:dyDescent="0.25">
      <c r="A348" s="9">
        <v>743</v>
      </c>
      <c r="B348" s="13">
        <v>45731</v>
      </c>
      <c r="C348" s="9" t="s">
        <v>169</v>
      </c>
      <c r="D348" s="9">
        <v>9518602675</v>
      </c>
      <c r="E348" s="8">
        <v>4</v>
      </c>
      <c r="F348" s="9" t="s">
        <v>680</v>
      </c>
      <c r="G348" s="79" t="s">
        <v>1303</v>
      </c>
      <c r="H348" s="9" t="s">
        <v>57</v>
      </c>
      <c r="I348" s="9" t="s">
        <v>43</v>
      </c>
      <c r="J348" s="9" t="s">
        <v>45</v>
      </c>
      <c r="K348" s="9" t="s">
        <v>170</v>
      </c>
      <c r="L348" s="39"/>
      <c r="M348" s="7" t="s">
        <v>1</v>
      </c>
      <c r="N348" s="8"/>
      <c r="O348" s="40"/>
      <c r="P348" s="15"/>
      <c r="Q348" s="9" t="s">
        <v>180</v>
      </c>
      <c r="R348" s="9" t="s">
        <v>261</v>
      </c>
      <c r="S348" s="9"/>
      <c r="T348" s="9">
        <v>185794</v>
      </c>
      <c r="U348" s="16" t="s">
        <v>97</v>
      </c>
      <c r="V348" s="9">
        <v>1854418</v>
      </c>
      <c r="W348" s="8" t="s">
        <v>456</v>
      </c>
      <c r="X348" s="8" t="s">
        <v>308</v>
      </c>
      <c r="Y348" s="8" t="s">
        <v>175</v>
      </c>
      <c r="Z348" s="8">
        <v>5</v>
      </c>
      <c r="AA348" s="8">
        <v>15</v>
      </c>
      <c r="AB348" s="8"/>
      <c r="AC348" s="8" t="s">
        <v>238</v>
      </c>
      <c r="AD348" s="14" t="s">
        <v>185</v>
      </c>
      <c r="AE348" s="8" t="s">
        <v>186</v>
      </c>
      <c r="AF348" s="14">
        <v>0.5</v>
      </c>
      <c r="AG348" s="8">
        <v>900</v>
      </c>
      <c r="AH348" s="8">
        <v>0</v>
      </c>
      <c r="AI348" s="8">
        <v>210</v>
      </c>
      <c r="AJ348" s="8">
        <v>0</v>
      </c>
      <c r="AK348" s="127">
        <v>111.84</v>
      </c>
      <c r="AL348" s="103">
        <v>42.295000000000002</v>
      </c>
      <c r="AM348" s="8">
        <v>111.84</v>
      </c>
      <c r="AN348" s="21">
        <v>0</v>
      </c>
      <c r="AO348" s="21">
        <v>111.84</v>
      </c>
      <c r="AP348" s="21">
        <v>0</v>
      </c>
      <c r="AQ348" s="21">
        <v>0</v>
      </c>
      <c r="AR348" s="21">
        <v>0</v>
      </c>
      <c r="AS348" s="8">
        <v>154.13499999999999</v>
      </c>
      <c r="AT348" s="21">
        <v>0</v>
      </c>
      <c r="AU348" s="21">
        <v>0</v>
      </c>
      <c r="AV348" s="21">
        <v>154.13499999999999</v>
      </c>
      <c r="AW348" s="21">
        <v>0</v>
      </c>
      <c r="AX348" s="21">
        <v>0</v>
      </c>
      <c r="AY348" s="8">
        <v>0</v>
      </c>
    </row>
    <row r="349" spans="1:51" ht="15" customHeight="1" x14ac:dyDescent="0.25">
      <c r="A349" s="9">
        <v>743</v>
      </c>
      <c r="B349" s="13">
        <v>45731</v>
      </c>
      <c r="C349" s="9" t="s">
        <v>169</v>
      </c>
      <c r="D349" s="9">
        <v>9518602675</v>
      </c>
      <c r="E349" s="8">
        <v>5</v>
      </c>
      <c r="F349" s="9" t="s">
        <v>681</v>
      </c>
      <c r="G349" s="79" t="s">
        <v>1303</v>
      </c>
      <c r="H349" s="9" t="s">
        <v>57</v>
      </c>
      <c r="I349" s="9" t="s">
        <v>43</v>
      </c>
      <c r="J349" s="9" t="s">
        <v>45</v>
      </c>
      <c r="K349" s="9" t="s">
        <v>170</v>
      </c>
      <c r="L349" s="39"/>
      <c r="M349" s="7" t="s">
        <v>1</v>
      </c>
      <c r="N349" s="8"/>
      <c r="O349" s="40"/>
      <c r="P349" s="15"/>
      <c r="Q349" s="9" t="s">
        <v>180</v>
      </c>
      <c r="R349" s="9" t="s">
        <v>261</v>
      </c>
      <c r="S349" s="9"/>
      <c r="T349" s="9">
        <v>185794</v>
      </c>
      <c r="U349" s="16" t="s">
        <v>97</v>
      </c>
      <c r="V349" s="9">
        <v>1854424</v>
      </c>
      <c r="W349" s="8" t="s">
        <v>319</v>
      </c>
      <c r="X349" s="8" t="s">
        <v>308</v>
      </c>
      <c r="Y349" s="8" t="s">
        <v>175</v>
      </c>
      <c r="Z349" s="8">
        <v>5</v>
      </c>
      <c r="AA349" s="8">
        <v>15</v>
      </c>
      <c r="AB349" s="8"/>
      <c r="AC349" s="8" t="s">
        <v>238</v>
      </c>
      <c r="AD349" s="14" t="s">
        <v>185</v>
      </c>
      <c r="AE349" s="8" t="s">
        <v>186</v>
      </c>
      <c r="AF349" s="14">
        <v>0.6</v>
      </c>
      <c r="AG349" s="8">
        <v>900</v>
      </c>
      <c r="AH349" s="8">
        <v>0</v>
      </c>
      <c r="AI349" s="8">
        <v>210</v>
      </c>
      <c r="AJ349" s="8">
        <v>0</v>
      </c>
      <c r="AK349" s="127">
        <v>210</v>
      </c>
      <c r="AL349" s="103">
        <v>9.8350000000000009</v>
      </c>
      <c r="AM349" s="8">
        <v>210</v>
      </c>
      <c r="AN349" s="21">
        <v>0</v>
      </c>
      <c r="AO349" s="21">
        <v>210</v>
      </c>
      <c r="AP349" s="21">
        <v>0</v>
      </c>
      <c r="AQ349" s="21">
        <v>0</v>
      </c>
      <c r="AR349" s="21">
        <v>0</v>
      </c>
      <c r="AS349" s="8">
        <v>219.83500000000001</v>
      </c>
      <c r="AT349" s="21">
        <v>0</v>
      </c>
      <c r="AU349" s="21">
        <v>0</v>
      </c>
      <c r="AV349" s="21">
        <v>219.83500000000001</v>
      </c>
      <c r="AW349" s="21">
        <v>0</v>
      </c>
      <c r="AX349" s="21">
        <v>0</v>
      </c>
      <c r="AY349" s="8">
        <v>0</v>
      </c>
    </row>
    <row r="350" spans="1:51" ht="15" customHeight="1" x14ac:dyDescent="0.25">
      <c r="A350" s="9">
        <v>742</v>
      </c>
      <c r="B350" s="13">
        <v>45720</v>
      </c>
      <c r="C350" s="9" t="s">
        <v>169</v>
      </c>
      <c r="D350" s="9">
        <v>9518572111</v>
      </c>
      <c r="E350" s="8">
        <v>1</v>
      </c>
      <c r="F350" s="9" t="s">
        <v>685</v>
      </c>
      <c r="G350" s="79" t="s">
        <v>1303</v>
      </c>
      <c r="H350" s="9" t="s">
        <v>57</v>
      </c>
      <c r="I350" s="9" t="s">
        <v>25</v>
      </c>
      <c r="J350" s="9" t="s">
        <v>31</v>
      </c>
      <c r="K350" s="9" t="s">
        <v>170</v>
      </c>
      <c r="L350" s="39"/>
      <c r="M350" s="7" t="s">
        <v>1</v>
      </c>
      <c r="N350" s="8"/>
      <c r="O350" s="40"/>
      <c r="P350" s="15"/>
      <c r="Q350" s="9" t="s">
        <v>180</v>
      </c>
      <c r="R350" s="9" t="s">
        <v>221</v>
      </c>
      <c r="S350" s="9"/>
      <c r="T350" s="9">
        <v>165053</v>
      </c>
      <c r="U350" s="16" t="s">
        <v>99</v>
      </c>
      <c r="V350" s="9">
        <v>3239567</v>
      </c>
      <c r="W350" s="8" t="s">
        <v>255</v>
      </c>
      <c r="X350" s="8" t="s">
        <v>265</v>
      </c>
      <c r="Y350" s="8" t="s">
        <v>175</v>
      </c>
      <c r="Z350" s="8">
        <v>2.8</v>
      </c>
      <c r="AA350" s="8">
        <v>3.2</v>
      </c>
      <c r="AB350" s="8"/>
      <c r="AC350" s="8" t="s">
        <v>210</v>
      </c>
      <c r="AD350" s="14" t="s">
        <v>211</v>
      </c>
      <c r="AE350" s="8" t="s">
        <v>212</v>
      </c>
      <c r="AF350" s="14">
        <v>0.45</v>
      </c>
      <c r="AG350" s="8">
        <v>1000</v>
      </c>
      <c r="AH350" s="8">
        <v>2500</v>
      </c>
      <c r="AI350" s="8">
        <v>21</v>
      </c>
      <c r="AJ350" s="8">
        <v>0</v>
      </c>
      <c r="AK350" s="127">
        <v>21</v>
      </c>
      <c r="AL350" s="103">
        <v>0</v>
      </c>
      <c r="AM350" s="8">
        <v>21</v>
      </c>
      <c r="AN350" s="21">
        <v>0</v>
      </c>
      <c r="AO350" s="21">
        <v>21</v>
      </c>
      <c r="AP350" s="21">
        <v>0</v>
      </c>
      <c r="AQ350" s="21">
        <v>0</v>
      </c>
      <c r="AR350" s="21">
        <v>0</v>
      </c>
      <c r="AS350" s="8">
        <v>21</v>
      </c>
      <c r="AT350" s="21">
        <v>0</v>
      </c>
      <c r="AU350" s="21">
        <v>21</v>
      </c>
      <c r="AV350" s="21">
        <v>0</v>
      </c>
      <c r="AW350" s="21">
        <v>0</v>
      </c>
      <c r="AX350" s="21">
        <v>0</v>
      </c>
      <c r="AY350" s="8">
        <v>0</v>
      </c>
    </row>
    <row r="351" spans="1:51" ht="15" customHeight="1" x14ac:dyDescent="0.25">
      <c r="A351" s="9">
        <v>742</v>
      </c>
      <c r="B351" s="13">
        <v>45729</v>
      </c>
      <c r="C351" s="9" t="s">
        <v>169</v>
      </c>
      <c r="D351" s="9">
        <v>9518598795</v>
      </c>
      <c r="E351" s="8">
        <v>2</v>
      </c>
      <c r="F351" s="9" t="s">
        <v>690</v>
      </c>
      <c r="G351" s="9" t="s">
        <v>1687</v>
      </c>
      <c r="H351" s="9" t="s">
        <v>57</v>
      </c>
      <c r="I351" s="9" t="s">
        <v>25</v>
      </c>
      <c r="J351" s="9" t="s">
        <v>30</v>
      </c>
      <c r="K351" s="9" t="s">
        <v>170</v>
      </c>
      <c r="L351" s="39"/>
      <c r="M351" s="7" t="s">
        <v>1</v>
      </c>
      <c r="N351" s="8"/>
      <c r="O351" s="40" t="s">
        <v>1391</v>
      </c>
      <c r="P351" s="15"/>
      <c r="Q351" s="9" t="s">
        <v>214</v>
      </c>
      <c r="R351" s="9" t="s">
        <v>337</v>
      </c>
      <c r="S351" s="9"/>
      <c r="T351" s="9">
        <v>822271</v>
      </c>
      <c r="U351" s="16" t="s">
        <v>86</v>
      </c>
      <c r="V351" s="9">
        <v>1801456</v>
      </c>
      <c r="W351" s="8" t="s">
        <v>457</v>
      </c>
      <c r="X351" s="8" t="s">
        <v>265</v>
      </c>
      <c r="Y351" s="8" t="s">
        <v>175</v>
      </c>
      <c r="Z351" s="8">
        <v>5</v>
      </c>
      <c r="AA351" s="8">
        <v>29</v>
      </c>
      <c r="AB351" s="8"/>
      <c r="AC351" s="8" t="s">
        <v>190</v>
      </c>
      <c r="AD351" s="14" t="s">
        <v>191</v>
      </c>
      <c r="AE351" s="8" t="s">
        <v>192</v>
      </c>
      <c r="AF351" s="14">
        <v>0.7</v>
      </c>
      <c r="AG351" s="8">
        <v>1250</v>
      </c>
      <c r="AH351" s="8">
        <v>0</v>
      </c>
      <c r="AI351" s="8">
        <v>145</v>
      </c>
      <c r="AJ351" s="8">
        <v>8.2850000000000001</v>
      </c>
      <c r="AK351" s="127">
        <v>59.8</v>
      </c>
      <c r="AL351" s="103">
        <v>12.16</v>
      </c>
      <c r="AM351" s="8">
        <v>0</v>
      </c>
      <c r="AN351" s="21">
        <v>0</v>
      </c>
      <c r="AO351" s="21">
        <v>0</v>
      </c>
      <c r="AP351" s="21">
        <v>0</v>
      </c>
      <c r="AQ351" s="21">
        <v>0</v>
      </c>
      <c r="AR351" s="21">
        <v>0</v>
      </c>
      <c r="AS351" s="8">
        <v>12.16</v>
      </c>
      <c r="AT351" s="21">
        <v>12.16</v>
      </c>
      <c r="AU351" s="21">
        <v>0</v>
      </c>
      <c r="AV351" s="21">
        <v>0</v>
      </c>
      <c r="AW351" s="21">
        <v>0</v>
      </c>
      <c r="AX351" s="21">
        <v>0</v>
      </c>
      <c r="AY351" s="8">
        <v>0</v>
      </c>
    </row>
    <row r="352" spans="1:51" ht="15" customHeight="1" x14ac:dyDescent="0.25">
      <c r="A352" s="9">
        <v>742</v>
      </c>
      <c r="B352" s="13">
        <v>45742</v>
      </c>
      <c r="C352" s="9" t="s">
        <v>169</v>
      </c>
      <c r="D352" s="9">
        <v>9518637097</v>
      </c>
      <c r="E352" s="8">
        <v>4</v>
      </c>
      <c r="F352" s="9" t="s">
        <v>963</v>
      </c>
      <c r="G352" s="9" t="s">
        <v>1303</v>
      </c>
      <c r="H352" s="9" t="s">
        <v>57</v>
      </c>
      <c r="I352" s="9" t="s">
        <v>25</v>
      </c>
      <c r="J352" s="9" t="s">
        <v>31</v>
      </c>
      <c r="K352" s="9" t="s">
        <v>170</v>
      </c>
      <c r="L352" s="39"/>
      <c r="M352" s="7" t="s">
        <v>1</v>
      </c>
      <c r="N352" s="8"/>
      <c r="O352" s="40"/>
      <c r="P352" s="15"/>
      <c r="Q352" s="9" t="s">
        <v>180</v>
      </c>
      <c r="R352" s="9" t="s">
        <v>364</v>
      </c>
      <c r="S352" s="9"/>
      <c r="T352" s="9">
        <v>139336</v>
      </c>
      <c r="U352" s="16" t="s">
        <v>92</v>
      </c>
      <c r="V352" s="9">
        <v>3239568</v>
      </c>
      <c r="W352" s="8" t="s">
        <v>459</v>
      </c>
      <c r="X352" s="8" t="s">
        <v>265</v>
      </c>
      <c r="Y352" s="8" t="s">
        <v>175</v>
      </c>
      <c r="Z352" s="8">
        <v>1</v>
      </c>
      <c r="AA352" s="8">
        <v>3</v>
      </c>
      <c r="AB352" s="8"/>
      <c r="AC352" s="8" t="s">
        <v>210</v>
      </c>
      <c r="AD352" s="14" t="s">
        <v>211</v>
      </c>
      <c r="AE352" s="8" t="s">
        <v>212</v>
      </c>
      <c r="AF352" s="14">
        <v>0.45</v>
      </c>
      <c r="AG352" s="8">
        <v>1250</v>
      </c>
      <c r="AH352" s="8">
        <v>2500</v>
      </c>
      <c r="AI352" s="8">
        <v>60</v>
      </c>
      <c r="AJ352" s="8">
        <v>2.6150000000000002</v>
      </c>
      <c r="AK352" s="127">
        <v>31.57</v>
      </c>
      <c r="AL352" s="103">
        <v>2.6150000000000002</v>
      </c>
      <c r="AM352" s="8">
        <v>31.57</v>
      </c>
      <c r="AN352" s="21">
        <v>31.57</v>
      </c>
      <c r="AO352" s="21">
        <v>0</v>
      </c>
      <c r="AP352" s="21">
        <v>0</v>
      </c>
      <c r="AQ352" s="21">
        <v>0</v>
      </c>
      <c r="AR352" s="21">
        <v>0</v>
      </c>
      <c r="AS352" s="8">
        <v>34.185000000000002</v>
      </c>
      <c r="AT352" s="21">
        <v>0</v>
      </c>
      <c r="AU352" s="21">
        <v>34.185000000000002</v>
      </c>
      <c r="AV352" s="21">
        <v>0</v>
      </c>
      <c r="AW352" s="21">
        <v>0</v>
      </c>
      <c r="AX352" s="21">
        <v>0</v>
      </c>
      <c r="AY352" s="8">
        <v>0</v>
      </c>
    </row>
    <row r="353" spans="1:51" ht="15" customHeight="1" x14ac:dyDescent="0.25">
      <c r="A353" s="9">
        <v>744</v>
      </c>
      <c r="B353" s="13">
        <v>45734</v>
      </c>
      <c r="C353" s="9" t="s">
        <v>169</v>
      </c>
      <c r="D353" s="9">
        <v>9518610301</v>
      </c>
      <c r="E353" s="8">
        <v>7</v>
      </c>
      <c r="F353" s="9" t="s">
        <v>730</v>
      </c>
      <c r="G353" s="9" t="s">
        <v>1687</v>
      </c>
      <c r="H353" s="9" t="s">
        <v>57</v>
      </c>
      <c r="I353" s="9" t="s">
        <v>48</v>
      </c>
      <c r="J353" s="9" t="s">
        <v>39</v>
      </c>
      <c r="K353" s="9" t="s">
        <v>233</v>
      </c>
      <c r="L353" s="39"/>
      <c r="M353" s="7" t="s">
        <v>1</v>
      </c>
      <c r="N353" s="8"/>
      <c r="O353" s="40"/>
      <c r="P353" s="15"/>
      <c r="Q353" s="9" t="s">
        <v>264</v>
      </c>
      <c r="R353" s="9" t="s">
        <v>265</v>
      </c>
      <c r="S353" s="9"/>
      <c r="T353" s="9">
        <v>941597</v>
      </c>
      <c r="U353" s="16" t="s">
        <v>106</v>
      </c>
      <c r="V353" s="9">
        <v>3940122</v>
      </c>
      <c r="W353" s="8" t="s">
        <v>684</v>
      </c>
      <c r="X353" s="8" t="s">
        <v>317</v>
      </c>
      <c r="Y353" s="8" t="s">
        <v>692</v>
      </c>
      <c r="Z353" s="8">
        <v>3</v>
      </c>
      <c r="AA353" s="8">
        <v>5</v>
      </c>
      <c r="AB353" s="8"/>
      <c r="AC353" s="8" t="s">
        <v>228</v>
      </c>
      <c r="AD353" s="14" t="s">
        <v>229</v>
      </c>
      <c r="AE353" s="8" t="s">
        <v>354</v>
      </c>
      <c r="AF353" s="14">
        <v>0.47</v>
      </c>
      <c r="AG353" s="8">
        <v>1220</v>
      </c>
      <c r="AH353" s="8">
        <v>0</v>
      </c>
      <c r="AI353" s="8">
        <v>28</v>
      </c>
      <c r="AJ353" s="8">
        <v>0</v>
      </c>
      <c r="AK353" s="127">
        <v>0.26500000000000001</v>
      </c>
      <c r="AL353" s="103">
        <v>8.7799999999999994</v>
      </c>
      <c r="AM353" s="8">
        <v>0</v>
      </c>
      <c r="AN353" s="21">
        <v>0</v>
      </c>
      <c r="AO353" s="21">
        <v>0</v>
      </c>
      <c r="AP353" s="21">
        <v>0</v>
      </c>
      <c r="AQ353" s="21">
        <v>0</v>
      </c>
      <c r="AR353" s="21">
        <v>0</v>
      </c>
      <c r="AS353" s="8">
        <v>8.7799999999999994</v>
      </c>
      <c r="AT353" s="21">
        <v>8.7799999999999994</v>
      </c>
      <c r="AU353" s="21">
        <v>0</v>
      </c>
      <c r="AV353" s="21">
        <v>0</v>
      </c>
      <c r="AW353" s="21">
        <v>0</v>
      </c>
      <c r="AX353" s="21">
        <v>0</v>
      </c>
      <c r="AY353" s="8">
        <v>0</v>
      </c>
    </row>
    <row r="354" spans="1:51" ht="15" customHeight="1" x14ac:dyDescent="0.25">
      <c r="A354" s="9">
        <v>743</v>
      </c>
      <c r="B354" s="13">
        <v>45733</v>
      </c>
      <c r="C354" s="9" t="s">
        <v>169</v>
      </c>
      <c r="D354" s="9">
        <v>9518607443</v>
      </c>
      <c r="E354" s="8">
        <v>3</v>
      </c>
      <c r="F354" s="9" t="s">
        <v>964</v>
      </c>
      <c r="G354" s="9" t="s">
        <v>1687</v>
      </c>
      <c r="H354" s="9" t="s">
        <v>57</v>
      </c>
      <c r="I354" s="9" t="s">
        <v>43</v>
      </c>
      <c r="J354" s="9" t="s">
        <v>45</v>
      </c>
      <c r="K354" s="9" t="s">
        <v>170</v>
      </c>
      <c r="L354" s="39"/>
      <c r="M354" s="7" t="s">
        <v>1</v>
      </c>
      <c r="N354" s="8"/>
      <c r="O354" s="40"/>
      <c r="P354" s="15"/>
      <c r="Q354" s="9" t="s">
        <v>180</v>
      </c>
      <c r="R354" s="9" t="s">
        <v>265</v>
      </c>
      <c r="S354" s="9"/>
      <c r="T354" s="9">
        <v>121328</v>
      </c>
      <c r="U354" s="16" t="s">
        <v>81</v>
      </c>
      <c r="V354" s="9">
        <v>1854424</v>
      </c>
      <c r="W354" s="8" t="s">
        <v>319</v>
      </c>
      <c r="X354" s="8" t="s">
        <v>308</v>
      </c>
      <c r="Y354" s="8" t="s">
        <v>175</v>
      </c>
      <c r="Z354" s="8">
        <v>4</v>
      </c>
      <c r="AA354" s="8">
        <v>12</v>
      </c>
      <c r="AB354" s="8"/>
      <c r="AC354" s="8" t="s">
        <v>238</v>
      </c>
      <c r="AD354" s="14" t="s">
        <v>185</v>
      </c>
      <c r="AE354" s="8" t="s">
        <v>186</v>
      </c>
      <c r="AF354" s="14">
        <v>0.6</v>
      </c>
      <c r="AG354" s="8">
        <v>900</v>
      </c>
      <c r="AH354" s="8">
        <v>0</v>
      </c>
      <c r="AI354" s="8">
        <v>84</v>
      </c>
      <c r="AJ354" s="8">
        <v>0</v>
      </c>
      <c r="AK354" s="127">
        <v>15.935</v>
      </c>
      <c r="AL354" s="103">
        <v>68.064999999999998</v>
      </c>
      <c r="AM354" s="8">
        <v>0</v>
      </c>
      <c r="AN354" s="21">
        <v>0</v>
      </c>
      <c r="AO354" s="21">
        <v>0</v>
      </c>
      <c r="AP354" s="21">
        <v>0</v>
      </c>
      <c r="AQ354" s="21">
        <v>0</v>
      </c>
      <c r="AR354" s="21">
        <v>0</v>
      </c>
      <c r="AS354" s="8">
        <v>68.064999999999998</v>
      </c>
      <c r="AT354" s="21">
        <v>68.064999999999998</v>
      </c>
      <c r="AU354" s="21">
        <v>0</v>
      </c>
      <c r="AV354" s="21">
        <v>0</v>
      </c>
      <c r="AW354" s="21">
        <v>0</v>
      </c>
      <c r="AX354" s="21">
        <v>0</v>
      </c>
      <c r="AY354" s="8">
        <v>0</v>
      </c>
    </row>
    <row r="355" spans="1:51" ht="15" customHeight="1" x14ac:dyDescent="0.25">
      <c r="A355" s="9">
        <v>742</v>
      </c>
      <c r="B355" s="13">
        <v>45740</v>
      </c>
      <c r="C355" s="9" t="s">
        <v>169</v>
      </c>
      <c r="D355" s="9">
        <v>9518628976</v>
      </c>
      <c r="E355" s="8">
        <v>2</v>
      </c>
      <c r="F355" s="9" t="s">
        <v>965</v>
      </c>
      <c r="G355" s="79" t="s">
        <v>1303</v>
      </c>
      <c r="H355" s="9" t="s">
        <v>57</v>
      </c>
      <c r="I355" s="9" t="s">
        <v>25</v>
      </c>
      <c r="J355" s="9" t="s">
        <v>30</v>
      </c>
      <c r="K355" s="9" t="s">
        <v>170</v>
      </c>
      <c r="L355" s="39"/>
      <c r="M355" s="7" t="s">
        <v>1</v>
      </c>
      <c r="N355" s="8"/>
      <c r="O355" s="40"/>
      <c r="P355" s="15"/>
      <c r="Q355" s="9" t="s">
        <v>214</v>
      </c>
      <c r="R355" s="9" t="s">
        <v>450</v>
      </c>
      <c r="S355" s="9"/>
      <c r="T355" s="9">
        <v>116465</v>
      </c>
      <c r="U355" s="16" t="s">
        <v>98</v>
      </c>
      <c r="V355" s="9">
        <v>279230</v>
      </c>
      <c r="W355" s="8" t="s">
        <v>1151</v>
      </c>
      <c r="X355" s="8" t="s">
        <v>265</v>
      </c>
      <c r="Y355" s="8" t="s">
        <v>175</v>
      </c>
      <c r="Z355" s="8">
        <v>0</v>
      </c>
      <c r="AA355" s="8">
        <v>0</v>
      </c>
      <c r="AB355" s="8"/>
      <c r="AC355" s="8" t="s">
        <v>210</v>
      </c>
      <c r="AD355" s="14" t="s">
        <v>191</v>
      </c>
      <c r="AE355" s="8" t="s">
        <v>192</v>
      </c>
      <c r="AF355" s="14">
        <v>0.6</v>
      </c>
      <c r="AG355" s="8">
        <v>1250</v>
      </c>
      <c r="AH355" s="8">
        <v>2500</v>
      </c>
      <c r="AI355" s="8">
        <v>60</v>
      </c>
      <c r="AJ355" s="8">
        <v>0</v>
      </c>
      <c r="AK355" s="127">
        <v>60</v>
      </c>
      <c r="AL355" s="103">
        <v>0</v>
      </c>
      <c r="AM355" s="8">
        <v>60</v>
      </c>
      <c r="AN355" s="21">
        <v>0</v>
      </c>
      <c r="AO355" s="21">
        <v>0</v>
      </c>
      <c r="AP355" s="21">
        <v>0</v>
      </c>
      <c r="AQ355" s="21">
        <v>0</v>
      </c>
      <c r="AR355" s="21">
        <v>60</v>
      </c>
      <c r="AS355" s="8">
        <v>0</v>
      </c>
      <c r="AT355" s="21">
        <v>0</v>
      </c>
      <c r="AU355" s="21">
        <v>0</v>
      </c>
      <c r="AV355" s="21">
        <v>0</v>
      </c>
      <c r="AW355" s="21">
        <v>0</v>
      </c>
      <c r="AX355" s="21">
        <v>0</v>
      </c>
      <c r="AY355" s="8">
        <v>60</v>
      </c>
    </row>
    <row r="356" spans="1:51" ht="15" customHeight="1" x14ac:dyDescent="0.25">
      <c r="A356" s="9">
        <v>743</v>
      </c>
      <c r="B356" s="13">
        <v>45736</v>
      </c>
      <c r="C356" s="9" t="s">
        <v>169</v>
      </c>
      <c r="D356" s="9">
        <v>9518617039</v>
      </c>
      <c r="E356" s="8">
        <v>3</v>
      </c>
      <c r="F356" s="9" t="s">
        <v>966</v>
      </c>
      <c r="G356" s="79" t="s">
        <v>1303</v>
      </c>
      <c r="H356" s="9" t="s">
        <v>57</v>
      </c>
      <c r="I356" s="9" t="s">
        <v>38</v>
      </c>
      <c r="J356" s="9" t="s">
        <v>39</v>
      </c>
      <c r="K356" s="9" t="s">
        <v>233</v>
      </c>
      <c r="L356" s="39"/>
      <c r="M356" s="7" t="s">
        <v>1</v>
      </c>
      <c r="N356" s="8"/>
      <c r="O356" s="40"/>
      <c r="P356" s="15"/>
      <c r="Q356" s="9" t="s">
        <v>264</v>
      </c>
      <c r="R356" s="9" t="s">
        <v>265</v>
      </c>
      <c r="S356" s="9"/>
      <c r="T356" s="9">
        <v>942283</v>
      </c>
      <c r="U356" s="16" t="s">
        <v>106</v>
      </c>
      <c r="V356" s="9">
        <v>1881969</v>
      </c>
      <c r="W356" s="8" t="s">
        <v>428</v>
      </c>
      <c r="X356" s="8" t="s">
        <v>317</v>
      </c>
      <c r="Y356" s="8" t="s">
        <v>175</v>
      </c>
      <c r="Z356" s="8">
        <v>3</v>
      </c>
      <c r="AA356" s="8">
        <v>5</v>
      </c>
      <c r="AB356" s="8"/>
      <c r="AC356" s="8" t="s">
        <v>222</v>
      </c>
      <c r="AD356" s="14" t="s">
        <v>223</v>
      </c>
      <c r="AE356" s="8" t="s">
        <v>224</v>
      </c>
      <c r="AF356" s="14">
        <v>0.45</v>
      </c>
      <c r="AG356" s="8">
        <v>1220</v>
      </c>
      <c r="AH356" s="8">
        <v>0</v>
      </c>
      <c r="AI356" s="8">
        <v>140</v>
      </c>
      <c r="AJ356" s="8">
        <v>0</v>
      </c>
      <c r="AK356" s="127">
        <v>140</v>
      </c>
      <c r="AL356" s="103">
        <v>0</v>
      </c>
      <c r="AM356" s="8">
        <v>140</v>
      </c>
      <c r="AN356" s="21">
        <v>0</v>
      </c>
      <c r="AO356" s="21">
        <v>0</v>
      </c>
      <c r="AP356" s="21">
        <v>0</v>
      </c>
      <c r="AQ356" s="21">
        <v>140</v>
      </c>
      <c r="AR356" s="21">
        <v>0</v>
      </c>
      <c r="AS356" s="8">
        <v>140</v>
      </c>
      <c r="AT356" s="21">
        <v>0</v>
      </c>
      <c r="AU356" s="21">
        <v>0</v>
      </c>
      <c r="AV356" s="21">
        <v>0</v>
      </c>
      <c r="AW356" s="21">
        <v>0</v>
      </c>
      <c r="AX356" s="21">
        <v>140</v>
      </c>
      <c r="AY356" s="8">
        <v>0</v>
      </c>
    </row>
    <row r="357" spans="1:51" ht="15" customHeight="1" x14ac:dyDescent="0.25">
      <c r="A357" s="9">
        <v>744</v>
      </c>
      <c r="B357" s="13">
        <v>45745</v>
      </c>
      <c r="C357" s="9" t="s">
        <v>169</v>
      </c>
      <c r="D357" s="9">
        <v>9518652442</v>
      </c>
      <c r="E357" s="8">
        <v>1</v>
      </c>
      <c r="F357" s="9" t="s">
        <v>967</v>
      </c>
      <c r="G357" s="79" t="s">
        <v>1303</v>
      </c>
      <c r="H357" s="9" t="s">
        <v>57</v>
      </c>
      <c r="I357" s="9" t="s">
        <v>48</v>
      </c>
      <c r="J357" s="9" t="s">
        <v>39</v>
      </c>
      <c r="K357" s="9" t="s">
        <v>233</v>
      </c>
      <c r="L357" s="39"/>
      <c r="M357" s="7" t="s">
        <v>1</v>
      </c>
      <c r="N357" s="8"/>
      <c r="O357" s="40"/>
      <c r="P357" s="15"/>
      <c r="Q357" s="9" t="s">
        <v>264</v>
      </c>
      <c r="R357" s="9" t="s">
        <v>265</v>
      </c>
      <c r="S357" s="9"/>
      <c r="T357" s="9">
        <v>941597</v>
      </c>
      <c r="U357" s="16" t="s">
        <v>106</v>
      </c>
      <c r="V357" s="9">
        <v>3940122</v>
      </c>
      <c r="W357" s="8" t="s">
        <v>684</v>
      </c>
      <c r="X357" s="8" t="s">
        <v>317</v>
      </c>
      <c r="Y357" s="8" t="s">
        <v>413</v>
      </c>
      <c r="Z357" s="8">
        <v>3</v>
      </c>
      <c r="AA357" s="8">
        <v>5</v>
      </c>
      <c r="AB357" s="8"/>
      <c r="AC357" s="8" t="s">
        <v>228</v>
      </c>
      <c r="AD357" s="14" t="s">
        <v>229</v>
      </c>
      <c r="AE357" s="8" t="s">
        <v>354</v>
      </c>
      <c r="AF357" s="14">
        <v>0.47</v>
      </c>
      <c r="AG357" s="8">
        <v>1220</v>
      </c>
      <c r="AH357" s="8">
        <v>0</v>
      </c>
      <c r="AI357" s="8">
        <v>28</v>
      </c>
      <c r="AJ357" s="8">
        <v>0</v>
      </c>
      <c r="AK357" s="127">
        <v>28</v>
      </c>
      <c r="AL357" s="103">
        <v>0</v>
      </c>
      <c r="AM357" s="8">
        <v>28</v>
      </c>
      <c r="AN357" s="21">
        <v>0</v>
      </c>
      <c r="AO357" s="21">
        <v>0</v>
      </c>
      <c r="AP357" s="21">
        <v>0</v>
      </c>
      <c r="AQ357" s="21">
        <v>28</v>
      </c>
      <c r="AR357" s="21">
        <v>0</v>
      </c>
      <c r="AS357" s="8">
        <v>28</v>
      </c>
      <c r="AT357" s="21">
        <v>0</v>
      </c>
      <c r="AU357" s="21">
        <v>0</v>
      </c>
      <c r="AV357" s="21">
        <v>0</v>
      </c>
      <c r="AW357" s="21">
        <v>28</v>
      </c>
      <c r="AX357" s="21">
        <v>0</v>
      </c>
      <c r="AY357" s="8">
        <v>0</v>
      </c>
    </row>
    <row r="358" spans="1:51" ht="15" customHeight="1" x14ac:dyDescent="0.25">
      <c r="A358" s="9">
        <v>742</v>
      </c>
      <c r="B358" s="13">
        <v>45743</v>
      </c>
      <c r="C358" s="9" t="s">
        <v>169</v>
      </c>
      <c r="D358" s="9">
        <v>9518644656</v>
      </c>
      <c r="E358" s="8">
        <v>11</v>
      </c>
      <c r="F358" s="9" t="s">
        <v>968</v>
      </c>
      <c r="G358" s="9" t="s">
        <v>1303</v>
      </c>
      <c r="H358" s="9" t="s">
        <v>57</v>
      </c>
      <c r="I358" s="9" t="s">
        <v>25</v>
      </c>
      <c r="J358" s="9" t="s">
        <v>31</v>
      </c>
      <c r="K358" s="9" t="s">
        <v>170</v>
      </c>
      <c r="L358" s="39"/>
      <c r="M358" s="7" t="s">
        <v>1</v>
      </c>
      <c r="N358" s="8"/>
      <c r="O358" s="40"/>
      <c r="P358" s="15"/>
      <c r="Q358" s="9" t="s">
        <v>180</v>
      </c>
      <c r="R358" s="9" t="s">
        <v>722</v>
      </c>
      <c r="S358" s="9"/>
      <c r="T358" s="9">
        <v>948783</v>
      </c>
      <c r="U358" s="16" t="s">
        <v>96</v>
      </c>
      <c r="V358" s="9">
        <v>3240765</v>
      </c>
      <c r="W358" s="8" t="s">
        <v>360</v>
      </c>
      <c r="X358" s="8" t="s">
        <v>265</v>
      </c>
      <c r="Y358" s="8" t="s">
        <v>175</v>
      </c>
      <c r="Z358" s="8">
        <v>0</v>
      </c>
      <c r="AA358" s="8">
        <v>0</v>
      </c>
      <c r="AB358" s="8"/>
      <c r="AC358" s="8" t="s">
        <v>210</v>
      </c>
      <c r="AD358" s="14" t="s">
        <v>218</v>
      </c>
      <c r="AE358" s="8" t="s">
        <v>250</v>
      </c>
      <c r="AF358" s="14">
        <v>0.5</v>
      </c>
      <c r="AG358" s="8">
        <v>1250</v>
      </c>
      <c r="AH358" s="8">
        <v>2500</v>
      </c>
      <c r="AI358" s="8">
        <v>24</v>
      </c>
      <c r="AJ358" s="8">
        <v>0</v>
      </c>
      <c r="AK358" s="127">
        <v>24</v>
      </c>
      <c r="AL358" s="103">
        <v>0</v>
      </c>
      <c r="AM358" s="8">
        <v>24</v>
      </c>
      <c r="AN358" s="21">
        <v>24</v>
      </c>
      <c r="AO358" s="21">
        <v>0</v>
      </c>
      <c r="AP358" s="21">
        <v>0</v>
      </c>
      <c r="AQ358" s="21">
        <v>0</v>
      </c>
      <c r="AR358" s="21">
        <v>0</v>
      </c>
      <c r="AS358" s="8">
        <v>24</v>
      </c>
      <c r="AT358" s="21">
        <v>0</v>
      </c>
      <c r="AU358" s="21">
        <v>24</v>
      </c>
      <c r="AV358" s="21">
        <v>0</v>
      </c>
      <c r="AW358" s="21">
        <v>0</v>
      </c>
      <c r="AX358" s="21">
        <v>0</v>
      </c>
      <c r="AY358" s="8">
        <v>0</v>
      </c>
    </row>
    <row r="359" spans="1:51" ht="15" customHeight="1" x14ac:dyDescent="0.25">
      <c r="A359" s="9">
        <v>742</v>
      </c>
      <c r="B359" s="13">
        <v>45737</v>
      </c>
      <c r="C359" s="9" t="s">
        <v>169</v>
      </c>
      <c r="D359" s="9">
        <v>9518620674</v>
      </c>
      <c r="E359" s="8">
        <v>19</v>
      </c>
      <c r="F359" s="9" t="s">
        <v>969</v>
      </c>
      <c r="G359" s="79" t="s">
        <v>1303</v>
      </c>
      <c r="H359" s="9" t="s">
        <v>57</v>
      </c>
      <c r="I359" s="9" t="s">
        <v>25</v>
      </c>
      <c r="J359" s="9" t="s">
        <v>30</v>
      </c>
      <c r="K359" s="9" t="s">
        <v>170</v>
      </c>
      <c r="L359" s="39"/>
      <c r="M359" s="7" t="s">
        <v>1</v>
      </c>
      <c r="N359" s="8"/>
      <c r="O359" s="40"/>
      <c r="P359" s="15"/>
      <c r="Q359" s="9" t="s">
        <v>214</v>
      </c>
      <c r="R359" s="9" t="s">
        <v>246</v>
      </c>
      <c r="S359" s="9"/>
      <c r="T359" s="9">
        <v>938550</v>
      </c>
      <c r="U359" s="16" t="s">
        <v>69</v>
      </c>
      <c r="V359" s="9">
        <v>1804867</v>
      </c>
      <c r="W359" s="8" t="s">
        <v>553</v>
      </c>
      <c r="X359" s="8" t="s">
        <v>265</v>
      </c>
      <c r="Y359" s="8" t="s">
        <v>175</v>
      </c>
      <c r="Z359" s="8">
        <v>6</v>
      </c>
      <c r="AA359" s="8">
        <v>18</v>
      </c>
      <c r="AB359" s="8"/>
      <c r="AC359" s="8" t="s">
        <v>190</v>
      </c>
      <c r="AD359" s="14" t="s">
        <v>191</v>
      </c>
      <c r="AE359" s="8" t="s">
        <v>192</v>
      </c>
      <c r="AF359" s="14">
        <v>1.6</v>
      </c>
      <c r="AG359" s="8">
        <v>1250</v>
      </c>
      <c r="AH359" s="8">
        <v>0</v>
      </c>
      <c r="AI359" s="8">
        <v>29</v>
      </c>
      <c r="AJ359" s="8">
        <v>0</v>
      </c>
      <c r="AK359" s="127">
        <v>29</v>
      </c>
      <c r="AL359" s="103">
        <v>0</v>
      </c>
      <c r="AM359" s="8">
        <v>29</v>
      </c>
      <c r="AN359" s="21">
        <v>29</v>
      </c>
      <c r="AO359" s="21">
        <v>0</v>
      </c>
      <c r="AP359" s="21">
        <v>0</v>
      </c>
      <c r="AQ359" s="21">
        <v>0</v>
      </c>
      <c r="AR359" s="21">
        <v>0</v>
      </c>
      <c r="AS359" s="8">
        <v>29</v>
      </c>
      <c r="AT359" s="21">
        <v>0</v>
      </c>
      <c r="AU359" s="21">
        <v>29</v>
      </c>
      <c r="AV359" s="21">
        <v>0</v>
      </c>
      <c r="AW359" s="21">
        <v>0</v>
      </c>
      <c r="AX359" s="21">
        <v>0</v>
      </c>
      <c r="AY359" s="8">
        <v>0</v>
      </c>
    </row>
    <row r="360" spans="1:51" ht="15" customHeight="1" x14ac:dyDescent="0.25">
      <c r="A360" s="9">
        <v>742</v>
      </c>
      <c r="B360" s="13">
        <v>45737</v>
      </c>
      <c r="C360" s="9" t="s">
        <v>169</v>
      </c>
      <c r="D360" s="9">
        <v>9518620159</v>
      </c>
      <c r="E360" s="8">
        <v>1</v>
      </c>
      <c r="F360" s="9" t="s">
        <v>970</v>
      </c>
      <c r="G360" s="9" t="s">
        <v>1687</v>
      </c>
      <c r="H360" s="9" t="s">
        <v>57</v>
      </c>
      <c r="I360" s="9" t="s">
        <v>25</v>
      </c>
      <c r="J360" s="9" t="s">
        <v>30</v>
      </c>
      <c r="K360" s="9" t="s">
        <v>170</v>
      </c>
      <c r="L360" s="39"/>
      <c r="M360" s="7" t="s">
        <v>1</v>
      </c>
      <c r="N360" s="8"/>
      <c r="O360" s="40"/>
      <c r="P360" s="15"/>
      <c r="Q360" s="9" t="s">
        <v>180</v>
      </c>
      <c r="R360" s="9" t="s">
        <v>364</v>
      </c>
      <c r="S360" s="9"/>
      <c r="T360" s="9">
        <v>931662</v>
      </c>
      <c r="U360" s="16" t="s">
        <v>94</v>
      </c>
      <c r="V360" s="9">
        <v>322579</v>
      </c>
      <c r="W360" s="8" t="s">
        <v>1152</v>
      </c>
      <c r="X360" s="8" t="s">
        <v>265</v>
      </c>
      <c r="Y360" s="8" t="s">
        <v>175</v>
      </c>
      <c r="Z360" s="8">
        <v>0</v>
      </c>
      <c r="AA360" s="8">
        <v>0</v>
      </c>
      <c r="AB360" s="8"/>
      <c r="AC360" s="8" t="s">
        <v>210</v>
      </c>
      <c r="AD360" s="14" t="s">
        <v>211</v>
      </c>
      <c r="AE360" s="8" t="s">
        <v>252</v>
      </c>
      <c r="AF360" s="14">
        <v>0.8</v>
      </c>
      <c r="AG360" s="8">
        <v>1250</v>
      </c>
      <c r="AH360" s="8">
        <v>2500</v>
      </c>
      <c r="AI360" s="8">
        <v>30</v>
      </c>
      <c r="AJ360" s="8">
        <v>0</v>
      </c>
      <c r="AK360" s="127">
        <v>4.03</v>
      </c>
      <c r="AL360" s="103">
        <v>25.97</v>
      </c>
      <c r="AM360" s="8">
        <v>0</v>
      </c>
      <c r="AN360" s="21">
        <v>0</v>
      </c>
      <c r="AO360" s="21">
        <v>0</v>
      </c>
      <c r="AP360" s="21">
        <v>0</v>
      </c>
      <c r="AQ360" s="21">
        <v>0</v>
      </c>
      <c r="AR360" s="21">
        <v>0</v>
      </c>
      <c r="AS360" s="8">
        <v>25.97</v>
      </c>
      <c r="AT360" s="21">
        <v>25.97</v>
      </c>
      <c r="AU360" s="21">
        <v>0</v>
      </c>
      <c r="AV360" s="21">
        <v>0</v>
      </c>
      <c r="AW360" s="21">
        <v>0</v>
      </c>
      <c r="AX360" s="21">
        <v>0</v>
      </c>
      <c r="AY360" s="8">
        <v>0</v>
      </c>
    </row>
    <row r="361" spans="1:51" ht="15" customHeight="1" x14ac:dyDescent="0.25">
      <c r="A361" s="9">
        <v>742</v>
      </c>
      <c r="B361" s="13">
        <v>45750</v>
      </c>
      <c r="C361" s="9" t="s">
        <v>169</v>
      </c>
      <c r="D361" s="9">
        <v>9518667687</v>
      </c>
      <c r="E361" s="8">
        <v>1</v>
      </c>
      <c r="F361" s="9" t="s">
        <v>971</v>
      </c>
      <c r="G361" s="79" t="s">
        <v>1303</v>
      </c>
      <c r="H361" s="9" t="s">
        <v>57</v>
      </c>
      <c r="I361" s="9" t="s">
        <v>25</v>
      </c>
      <c r="J361" s="9" t="s">
        <v>30</v>
      </c>
      <c r="K361" s="9" t="s">
        <v>170</v>
      </c>
      <c r="L361" s="39"/>
      <c r="M361" s="7" t="s">
        <v>1</v>
      </c>
      <c r="N361" s="8"/>
      <c r="O361" s="40"/>
      <c r="P361" s="15"/>
      <c r="Q361" s="9" t="s">
        <v>214</v>
      </c>
      <c r="R361" s="9" t="s">
        <v>240</v>
      </c>
      <c r="S361" s="9"/>
      <c r="T361" s="9">
        <v>932244</v>
      </c>
      <c r="U361" s="16" t="s">
        <v>70</v>
      </c>
      <c r="V361" s="9">
        <v>1804814</v>
      </c>
      <c r="W361" s="8" t="s">
        <v>468</v>
      </c>
      <c r="X361" s="8" t="s">
        <v>265</v>
      </c>
      <c r="Y361" s="8" t="s">
        <v>175</v>
      </c>
      <c r="Z361" s="8">
        <v>10</v>
      </c>
      <c r="AA361" s="8">
        <v>28</v>
      </c>
      <c r="AB361" s="8"/>
      <c r="AC361" s="8" t="s">
        <v>190</v>
      </c>
      <c r="AD361" s="14" t="s">
        <v>191</v>
      </c>
      <c r="AE361" s="8" t="s">
        <v>192</v>
      </c>
      <c r="AF361" s="14">
        <v>0.8</v>
      </c>
      <c r="AG361" s="8">
        <v>1250</v>
      </c>
      <c r="AH361" s="8">
        <v>0</v>
      </c>
      <c r="AI361" s="8">
        <v>145</v>
      </c>
      <c r="AJ361" s="8">
        <v>0</v>
      </c>
      <c r="AK361" s="127">
        <v>145</v>
      </c>
      <c r="AL361" s="103">
        <v>0</v>
      </c>
      <c r="AM361" s="8">
        <v>145</v>
      </c>
      <c r="AN361" s="21">
        <v>0</v>
      </c>
      <c r="AO361" s="21">
        <v>0</v>
      </c>
      <c r="AP361" s="21">
        <v>0</v>
      </c>
      <c r="AQ361" s="21">
        <v>145</v>
      </c>
      <c r="AR361" s="21">
        <v>0</v>
      </c>
      <c r="AS361" s="8">
        <v>145</v>
      </c>
      <c r="AT361" s="21">
        <v>0</v>
      </c>
      <c r="AU361" s="21">
        <v>0</v>
      </c>
      <c r="AV361" s="21">
        <v>0</v>
      </c>
      <c r="AW361" s="21">
        <v>145</v>
      </c>
      <c r="AX361" s="21">
        <v>0</v>
      </c>
      <c r="AY361" s="8">
        <v>0</v>
      </c>
    </row>
    <row r="362" spans="1:51" ht="15" customHeight="1" x14ac:dyDescent="0.25">
      <c r="A362" s="9">
        <v>744</v>
      </c>
      <c r="B362" s="13">
        <v>45755</v>
      </c>
      <c r="C362" s="9" t="s">
        <v>169</v>
      </c>
      <c r="D362" s="9">
        <v>9518677543</v>
      </c>
      <c r="E362" s="8">
        <v>2</v>
      </c>
      <c r="F362" s="9" t="s">
        <v>972</v>
      </c>
      <c r="G362" s="79" t="s">
        <v>1303</v>
      </c>
      <c r="H362" s="9" t="s">
        <v>57</v>
      </c>
      <c r="I362" s="9" t="s">
        <v>48</v>
      </c>
      <c r="J362" s="9" t="s">
        <v>39</v>
      </c>
      <c r="K362" s="9" t="s">
        <v>233</v>
      </c>
      <c r="L362" s="39"/>
      <c r="M362" s="7" t="s">
        <v>1</v>
      </c>
      <c r="N362" s="8"/>
      <c r="O362" s="40"/>
      <c r="P362" s="15"/>
      <c r="Q362" s="9" t="s">
        <v>264</v>
      </c>
      <c r="R362" s="9" t="s">
        <v>265</v>
      </c>
      <c r="S362" s="9"/>
      <c r="T362" s="9">
        <v>941597</v>
      </c>
      <c r="U362" s="16" t="s">
        <v>106</v>
      </c>
      <c r="V362" s="9">
        <v>3974072</v>
      </c>
      <c r="W362" s="8" t="s">
        <v>839</v>
      </c>
      <c r="X362" s="8" t="s">
        <v>317</v>
      </c>
      <c r="Y362" s="8" t="s">
        <v>1181</v>
      </c>
      <c r="Z362" s="8">
        <v>3</v>
      </c>
      <c r="AA362" s="8">
        <v>5</v>
      </c>
      <c r="AB362" s="8"/>
      <c r="AC362" s="8" t="s">
        <v>228</v>
      </c>
      <c r="AD362" s="14" t="s">
        <v>229</v>
      </c>
      <c r="AE362" s="8" t="s">
        <v>838</v>
      </c>
      <c r="AF362" s="14">
        <v>0.53</v>
      </c>
      <c r="AG362" s="8">
        <v>1220</v>
      </c>
      <c r="AH362" s="8">
        <v>0</v>
      </c>
      <c r="AI362" s="8">
        <v>28</v>
      </c>
      <c r="AJ362" s="8">
        <v>3.0750000000000002</v>
      </c>
      <c r="AK362" s="127">
        <v>24.925000000000001</v>
      </c>
      <c r="AL362" s="103">
        <v>0</v>
      </c>
      <c r="AM362" s="8">
        <v>24.925000000000001</v>
      </c>
      <c r="AN362" s="21">
        <v>0</v>
      </c>
      <c r="AO362" s="21">
        <v>0</v>
      </c>
      <c r="AP362" s="21">
        <v>24.925000000000001</v>
      </c>
      <c r="AQ362" s="21">
        <v>0</v>
      </c>
      <c r="AR362" s="21">
        <v>0</v>
      </c>
      <c r="AS362" s="8">
        <v>24.925000000000001</v>
      </c>
      <c r="AT362" s="21">
        <v>0</v>
      </c>
      <c r="AU362" s="21">
        <v>0</v>
      </c>
      <c r="AV362" s="21">
        <v>0</v>
      </c>
      <c r="AW362" s="21">
        <v>24.925000000000001</v>
      </c>
      <c r="AX362" s="21">
        <v>0</v>
      </c>
      <c r="AY362" s="8">
        <v>0</v>
      </c>
    </row>
    <row r="363" spans="1:51" ht="15" customHeight="1" x14ac:dyDescent="0.25">
      <c r="A363" s="9">
        <v>744</v>
      </c>
      <c r="B363" s="13">
        <v>45764</v>
      </c>
      <c r="C363" s="9" t="s">
        <v>169</v>
      </c>
      <c r="D363" s="9">
        <v>9518700594</v>
      </c>
      <c r="E363" s="8">
        <v>1</v>
      </c>
      <c r="F363" s="9" t="s">
        <v>973</v>
      </c>
      <c r="G363" s="79" t="s">
        <v>1303</v>
      </c>
      <c r="H363" s="9" t="s">
        <v>57</v>
      </c>
      <c r="I363" s="9" t="s">
        <v>48</v>
      </c>
      <c r="J363" s="9" t="s">
        <v>39</v>
      </c>
      <c r="K363" s="9" t="s">
        <v>233</v>
      </c>
      <c r="L363" s="39"/>
      <c r="M363" s="7" t="s">
        <v>1</v>
      </c>
      <c r="N363" s="8"/>
      <c r="O363" s="40"/>
      <c r="P363" s="15"/>
      <c r="Q363" s="9" t="s">
        <v>264</v>
      </c>
      <c r="R363" s="9" t="s">
        <v>225</v>
      </c>
      <c r="S363" s="9"/>
      <c r="T363" s="9">
        <v>940016</v>
      </c>
      <c r="U363" s="16" t="s">
        <v>133</v>
      </c>
      <c r="V363" s="9">
        <v>3941967</v>
      </c>
      <c r="W363" s="8" t="s">
        <v>810</v>
      </c>
      <c r="X363" s="8" t="s">
        <v>317</v>
      </c>
      <c r="Y363" s="8" t="s">
        <v>401</v>
      </c>
      <c r="Z363" s="8">
        <v>3</v>
      </c>
      <c r="AA363" s="8">
        <v>5</v>
      </c>
      <c r="AB363" s="8"/>
      <c r="AC363" s="8" t="s">
        <v>228</v>
      </c>
      <c r="AD363" s="14" t="s">
        <v>229</v>
      </c>
      <c r="AE363" s="8" t="s">
        <v>354</v>
      </c>
      <c r="AF363" s="14">
        <v>0.6</v>
      </c>
      <c r="AG363" s="8">
        <v>1220</v>
      </c>
      <c r="AH363" s="8">
        <v>0</v>
      </c>
      <c r="AI363" s="8">
        <v>56</v>
      </c>
      <c r="AJ363" s="8">
        <v>0</v>
      </c>
      <c r="AK363" s="127">
        <v>56</v>
      </c>
      <c r="AL363" s="103">
        <v>0</v>
      </c>
      <c r="AM363" s="8">
        <v>56</v>
      </c>
      <c r="AN363" s="21">
        <v>0</v>
      </c>
      <c r="AO363" s="21">
        <v>56</v>
      </c>
      <c r="AP363" s="21">
        <v>0</v>
      </c>
      <c r="AQ363" s="21">
        <v>0</v>
      </c>
      <c r="AR363" s="21">
        <v>0</v>
      </c>
      <c r="AS363" s="8">
        <v>56</v>
      </c>
      <c r="AT363" s="21">
        <v>0</v>
      </c>
      <c r="AU363" s="21">
        <v>56</v>
      </c>
      <c r="AV363" s="21">
        <v>0</v>
      </c>
      <c r="AW363" s="21">
        <v>0</v>
      </c>
      <c r="AX363" s="21">
        <v>0</v>
      </c>
      <c r="AY363" s="8">
        <v>0</v>
      </c>
    </row>
    <row r="364" spans="1:51" ht="15" customHeight="1" x14ac:dyDescent="0.25">
      <c r="A364" s="9">
        <v>744</v>
      </c>
      <c r="B364" s="13">
        <v>45764</v>
      </c>
      <c r="C364" s="9" t="s">
        <v>169</v>
      </c>
      <c r="D364" s="9">
        <v>9518700504</v>
      </c>
      <c r="E364" s="8">
        <v>1</v>
      </c>
      <c r="F364" s="9" t="s">
        <v>974</v>
      </c>
      <c r="G364" s="9" t="s">
        <v>1687</v>
      </c>
      <c r="H364" s="9" t="s">
        <v>57</v>
      </c>
      <c r="I364" s="9" t="s">
        <v>48</v>
      </c>
      <c r="J364" s="9" t="s">
        <v>39</v>
      </c>
      <c r="K364" s="9" t="s">
        <v>233</v>
      </c>
      <c r="L364" s="39"/>
      <c r="M364" s="7" t="s">
        <v>1</v>
      </c>
      <c r="N364" s="8"/>
      <c r="O364" s="40"/>
      <c r="P364" s="15"/>
      <c r="Q364" s="9" t="s">
        <v>264</v>
      </c>
      <c r="R364" s="9" t="s">
        <v>225</v>
      </c>
      <c r="S364" s="9"/>
      <c r="T364" s="9">
        <v>940016</v>
      </c>
      <c r="U364" s="16" t="s">
        <v>133</v>
      </c>
      <c r="V364" s="9">
        <v>3964963</v>
      </c>
      <c r="W364" s="8" t="s">
        <v>619</v>
      </c>
      <c r="X364" s="8" t="s">
        <v>317</v>
      </c>
      <c r="Y364" s="8" t="s">
        <v>613</v>
      </c>
      <c r="Z364" s="8">
        <v>3</v>
      </c>
      <c r="AA364" s="8">
        <v>5</v>
      </c>
      <c r="AB364" s="8"/>
      <c r="AC364" s="8" t="s">
        <v>228</v>
      </c>
      <c r="AD364" s="14" t="s">
        <v>229</v>
      </c>
      <c r="AE364" s="8" t="s">
        <v>614</v>
      </c>
      <c r="AF364" s="14">
        <v>0.68</v>
      </c>
      <c r="AG364" s="8">
        <v>1220</v>
      </c>
      <c r="AH364" s="8">
        <v>0</v>
      </c>
      <c r="AI364" s="8">
        <v>27.998999999999999</v>
      </c>
      <c r="AJ364" s="8">
        <v>0</v>
      </c>
      <c r="AK364" s="127">
        <v>2.1339999999999999</v>
      </c>
      <c r="AL364" s="103">
        <v>25.865000000000002</v>
      </c>
      <c r="AM364" s="8">
        <v>2.1339999999999999</v>
      </c>
      <c r="AN364" s="21">
        <v>2.1339999999999999</v>
      </c>
      <c r="AO364" s="21">
        <v>0</v>
      </c>
      <c r="AP364" s="21">
        <v>0</v>
      </c>
      <c r="AQ364" s="21">
        <v>0</v>
      </c>
      <c r="AR364" s="21">
        <v>0</v>
      </c>
      <c r="AS364" s="8">
        <v>27.999000000000002</v>
      </c>
      <c r="AT364" s="21">
        <v>0</v>
      </c>
      <c r="AU364" s="21">
        <v>27.999000000000002</v>
      </c>
      <c r="AV364" s="21">
        <v>0</v>
      </c>
      <c r="AW364" s="21">
        <v>0</v>
      </c>
      <c r="AX364" s="21">
        <v>0</v>
      </c>
      <c r="AY364" s="8">
        <v>0</v>
      </c>
    </row>
    <row r="365" spans="1:51" ht="15" customHeight="1" x14ac:dyDescent="0.25">
      <c r="A365" s="9">
        <v>742</v>
      </c>
      <c r="B365" s="13">
        <v>45762</v>
      </c>
      <c r="C365" s="9" t="s">
        <v>193</v>
      </c>
      <c r="D365" s="9">
        <v>9518695452</v>
      </c>
      <c r="E365" s="8">
        <v>2</v>
      </c>
      <c r="F365" s="9" t="s">
        <v>975</v>
      </c>
      <c r="G365" s="79" t="s">
        <v>1303</v>
      </c>
      <c r="H365" s="9" t="s">
        <v>57</v>
      </c>
      <c r="I365" s="9" t="s">
        <v>25</v>
      </c>
      <c r="J365" s="9" t="s">
        <v>29</v>
      </c>
      <c r="K365" s="9" t="s">
        <v>233</v>
      </c>
      <c r="L365" s="39"/>
      <c r="M365" s="7" t="s">
        <v>1</v>
      </c>
      <c r="N365" s="8"/>
      <c r="O365" s="40"/>
      <c r="P365" s="15"/>
      <c r="Q365" s="9" t="s">
        <v>180</v>
      </c>
      <c r="R365" s="9" t="s">
        <v>195</v>
      </c>
      <c r="S365" s="9"/>
      <c r="T365" s="9">
        <v>600250</v>
      </c>
      <c r="U365" s="16" t="s">
        <v>64</v>
      </c>
      <c r="V365" s="9">
        <v>3587949</v>
      </c>
      <c r="W365" s="8" t="s">
        <v>196</v>
      </c>
      <c r="X365" s="8" t="s">
        <v>265</v>
      </c>
      <c r="Y365" s="8" t="s">
        <v>175</v>
      </c>
      <c r="Z365" s="8">
        <v>8</v>
      </c>
      <c r="AA365" s="8">
        <v>14</v>
      </c>
      <c r="AB365" s="8"/>
      <c r="AC365" s="8" t="s">
        <v>190</v>
      </c>
      <c r="AD365" s="14" t="s">
        <v>197</v>
      </c>
      <c r="AE365" s="8" t="s">
        <v>198</v>
      </c>
      <c r="AF365" s="14">
        <v>0.5</v>
      </c>
      <c r="AG365" s="8">
        <v>1250</v>
      </c>
      <c r="AH365" s="8">
        <v>0</v>
      </c>
      <c r="AI365" s="8">
        <v>87</v>
      </c>
      <c r="AJ365" s="8">
        <v>0</v>
      </c>
      <c r="AK365" s="127">
        <v>63.05</v>
      </c>
      <c r="AL365" s="103">
        <v>11.41</v>
      </c>
      <c r="AM365" s="8">
        <v>63.05</v>
      </c>
      <c r="AN365" s="21">
        <v>0</v>
      </c>
      <c r="AO365" s="21">
        <v>63.05</v>
      </c>
      <c r="AP365" s="21">
        <v>0</v>
      </c>
      <c r="AQ365" s="21">
        <v>0</v>
      </c>
      <c r="AR365" s="21">
        <v>0</v>
      </c>
      <c r="AS365" s="8">
        <v>74.459999999999994</v>
      </c>
      <c r="AT365" s="21">
        <v>0</v>
      </c>
      <c r="AU365" s="21">
        <v>0</v>
      </c>
      <c r="AV365" s="21">
        <v>74.459999999999994</v>
      </c>
      <c r="AW365" s="21">
        <v>0</v>
      </c>
      <c r="AX365" s="21">
        <v>0</v>
      </c>
      <c r="AY365" s="8">
        <v>0</v>
      </c>
    </row>
    <row r="366" spans="1:51" ht="15" customHeight="1" x14ac:dyDescent="0.25">
      <c r="A366" s="9">
        <v>742</v>
      </c>
      <c r="B366" s="13">
        <v>45762</v>
      </c>
      <c r="C366" s="9" t="s">
        <v>193</v>
      </c>
      <c r="D366" s="9">
        <v>9518695452</v>
      </c>
      <c r="E366" s="8">
        <v>3</v>
      </c>
      <c r="F366" s="9" t="s">
        <v>976</v>
      </c>
      <c r="G366" s="79" t="s">
        <v>1303</v>
      </c>
      <c r="H366" s="9" t="s">
        <v>57</v>
      </c>
      <c r="I366" s="9" t="s">
        <v>25</v>
      </c>
      <c r="J366" s="9" t="s">
        <v>29</v>
      </c>
      <c r="K366" s="9" t="s">
        <v>233</v>
      </c>
      <c r="L366" s="39"/>
      <c r="M366" s="7" t="s">
        <v>1</v>
      </c>
      <c r="N366" s="8"/>
      <c r="O366" s="40"/>
      <c r="P366" s="15"/>
      <c r="Q366" s="9" t="s">
        <v>180</v>
      </c>
      <c r="R366" s="9" t="s">
        <v>195</v>
      </c>
      <c r="S366" s="9"/>
      <c r="T366" s="9">
        <v>600250</v>
      </c>
      <c r="U366" s="16" t="s">
        <v>64</v>
      </c>
      <c r="V366" s="9">
        <v>3587949</v>
      </c>
      <c r="W366" s="8" t="s">
        <v>196</v>
      </c>
      <c r="X366" s="8" t="s">
        <v>265</v>
      </c>
      <c r="Y366" s="8" t="s">
        <v>175</v>
      </c>
      <c r="Z366" s="8">
        <v>8</v>
      </c>
      <c r="AA366" s="8">
        <v>14</v>
      </c>
      <c r="AB366" s="8"/>
      <c r="AC366" s="8" t="s">
        <v>190</v>
      </c>
      <c r="AD366" s="14" t="s">
        <v>197</v>
      </c>
      <c r="AE366" s="8" t="s">
        <v>198</v>
      </c>
      <c r="AF366" s="14">
        <v>0.5</v>
      </c>
      <c r="AG366" s="8">
        <v>1250</v>
      </c>
      <c r="AH366" s="8">
        <v>0</v>
      </c>
      <c r="AI366" s="8">
        <v>290</v>
      </c>
      <c r="AJ366" s="8">
        <v>0</v>
      </c>
      <c r="AK366" s="127">
        <v>290</v>
      </c>
      <c r="AL366" s="103">
        <v>0</v>
      </c>
      <c r="AM366" s="8">
        <v>290</v>
      </c>
      <c r="AN366" s="21">
        <v>0</v>
      </c>
      <c r="AO366" s="21">
        <v>0</v>
      </c>
      <c r="AP366" s="21">
        <v>0</v>
      </c>
      <c r="AQ366" s="21">
        <v>290</v>
      </c>
      <c r="AR366" s="21">
        <v>0</v>
      </c>
      <c r="AS366" s="8">
        <v>290</v>
      </c>
      <c r="AT366" s="21">
        <v>0</v>
      </c>
      <c r="AU366" s="21">
        <v>0</v>
      </c>
      <c r="AV366" s="21">
        <v>0</v>
      </c>
      <c r="AW366" s="21">
        <v>290</v>
      </c>
      <c r="AX366" s="21">
        <v>0</v>
      </c>
      <c r="AY366" s="8">
        <v>0</v>
      </c>
    </row>
    <row r="367" spans="1:51" ht="15" customHeight="1" x14ac:dyDescent="0.25">
      <c r="A367" s="9">
        <v>742</v>
      </c>
      <c r="B367" s="13">
        <v>45762</v>
      </c>
      <c r="C367" s="9" t="s">
        <v>193</v>
      </c>
      <c r="D367" s="9">
        <v>9518695452</v>
      </c>
      <c r="E367" s="8">
        <v>4</v>
      </c>
      <c r="F367" s="9" t="s">
        <v>977</v>
      </c>
      <c r="G367" s="79" t="s">
        <v>1303</v>
      </c>
      <c r="H367" s="9" t="s">
        <v>57</v>
      </c>
      <c r="I367" s="9" t="s">
        <v>25</v>
      </c>
      <c r="J367" s="9" t="s">
        <v>29</v>
      </c>
      <c r="K367" s="9" t="s">
        <v>233</v>
      </c>
      <c r="L367" s="39"/>
      <c r="M367" s="7" t="s">
        <v>1</v>
      </c>
      <c r="N367" s="8"/>
      <c r="O367" s="40"/>
      <c r="P367" s="15"/>
      <c r="Q367" s="9" t="s">
        <v>180</v>
      </c>
      <c r="R367" s="9" t="s">
        <v>195</v>
      </c>
      <c r="S367" s="9"/>
      <c r="T367" s="9">
        <v>600250</v>
      </c>
      <c r="U367" s="16" t="s">
        <v>64</v>
      </c>
      <c r="V367" s="9">
        <v>2439203</v>
      </c>
      <c r="W367" s="8" t="s">
        <v>288</v>
      </c>
      <c r="X367" s="8" t="s">
        <v>265</v>
      </c>
      <c r="Y367" s="8" t="s">
        <v>175</v>
      </c>
      <c r="Z367" s="8">
        <v>8</v>
      </c>
      <c r="AA367" s="8">
        <v>13</v>
      </c>
      <c r="AB367" s="8"/>
      <c r="AC367" s="8" t="s">
        <v>190</v>
      </c>
      <c r="AD367" s="14" t="s">
        <v>197</v>
      </c>
      <c r="AE367" s="8" t="s">
        <v>198</v>
      </c>
      <c r="AF367" s="14">
        <v>0.5</v>
      </c>
      <c r="AG367" s="8">
        <v>1160</v>
      </c>
      <c r="AH367" s="8">
        <v>0</v>
      </c>
      <c r="AI367" s="8">
        <v>297</v>
      </c>
      <c r="AJ367" s="8">
        <v>0</v>
      </c>
      <c r="AK367" s="127">
        <v>297</v>
      </c>
      <c r="AL367" s="103">
        <v>0</v>
      </c>
      <c r="AM367" s="8">
        <v>297</v>
      </c>
      <c r="AN367" s="21">
        <v>0</v>
      </c>
      <c r="AO367" s="21">
        <v>0</v>
      </c>
      <c r="AP367" s="21">
        <v>297</v>
      </c>
      <c r="AQ367" s="21">
        <v>0</v>
      </c>
      <c r="AR367" s="21">
        <v>0</v>
      </c>
      <c r="AS367" s="8">
        <v>297</v>
      </c>
      <c r="AT367" s="21">
        <v>0</v>
      </c>
      <c r="AU367" s="21">
        <v>0</v>
      </c>
      <c r="AV367" s="21">
        <v>297</v>
      </c>
      <c r="AW367" s="21">
        <v>0</v>
      </c>
      <c r="AX367" s="21">
        <v>0</v>
      </c>
      <c r="AY367" s="8">
        <v>0</v>
      </c>
    </row>
    <row r="368" spans="1:51" ht="15" customHeight="1" x14ac:dyDescent="0.25">
      <c r="A368" s="9">
        <v>742</v>
      </c>
      <c r="B368" s="13">
        <v>45762</v>
      </c>
      <c r="C368" s="9" t="s">
        <v>193</v>
      </c>
      <c r="D368" s="9">
        <v>9518695452</v>
      </c>
      <c r="E368" s="8">
        <v>5</v>
      </c>
      <c r="F368" s="9" t="s">
        <v>978</v>
      </c>
      <c r="G368" s="79" t="s">
        <v>1303</v>
      </c>
      <c r="H368" s="9" t="s">
        <v>57</v>
      </c>
      <c r="I368" s="9" t="s">
        <v>25</v>
      </c>
      <c r="J368" s="9" t="s">
        <v>29</v>
      </c>
      <c r="K368" s="9" t="s">
        <v>233</v>
      </c>
      <c r="L368" s="39"/>
      <c r="M368" s="7" t="s">
        <v>1</v>
      </c>
      <c r="N368" s="8"/>
      <c r="O368" s="40"/>
      <c r="P368" s="15"/>
      <c r="Q368" s="9" t="s">
        <v>180</v>
      </c>
      <c r="R368" s="9" t="s">
        <v>195</v>
      </c>
      <c r="S368" s="9"/>
      <c r="T368" s="9">
        <v>600250</v>
      </c>
      <c r="U368" s="16" t="s">
        <v>64</v>
      </c>
      <c r="V368" s="9">
        <v>2439203</v>
      </c>
      <c r="W368" s="8" t="s">
        <v>288</v>
      </c>
      <c r="X368" s="8" t="s">
        <v>265</v>
      </c>
      <c r="Y368" s="8" t="s">
        <v>175</v>
      </c>
      <c r="Z368" s="8">
        <v>8</v>
      </c>
      <c r="AA368" s="8">
        <v>13</v>
      </c>
      <c r="AB368" s="8"/>
      <c r="AC368" s="8" t="s">
        <v>190</v>
      </c>
      <c r="AD368" s="14" t="s">
        <v>197</v>
      </c>
      <c r="AE368" s="8" t="s">
        <v>198</v>
      </c>
      <c r="AF368" s="14">
        <v>0.5</v>
      </c>
      <c r="AG368" s="8">
        <v>1160</v>
      </c>
      <c r="AH368" s="8">
        <v>0</v>
      </c>
      <c r="AI368" s="8">
        <v>297</v>
      </c>
      <c r="AJ368" s="8">
        <v>0</v>
      </c>
      <c r="AK368" s="127">
        <v>297</v>
      </c>
      <c r="AL368" s="103">
        <v>0</v>
      </c>
      <c r="AM368" s="8">
        <v>297</v>
      </c>
      <c r="AN368" s="21">
        <v>0</v>
      </c>
      <c r="AO368" s="21">
        <v>0</v>
      </c>
      <c r="AP368" s="21">
        <v>0</v>
      </c>
      <c r="AQ368" s="21">
        <v>297</v>
      </c>
      <c r="AR368" s="21">
        <v>0</v>
      </c>
      <c r="AS368" s="8">
        <v>297</v>
      </c>
      <c r="AT368" s="21">
        <v>0</v>
      </c>
      <c r="AU368" s="21">
        <v>0</v>
      </c>
      <c r="AV368" s="21">
        <v>0</v>
      </c>
      <c r="AW368" s="21">
        <v>297</v>
      </c>
      <c r="AX368" s="21">
        <v>0</v>
      </c>
      <c r="AY368" s="8">
        <v>0</v>
      </c>
    </row>
    <row r="369" spans="1:51" ht="15" customHeight="1" x14ac:dyDescent="0.25">
      <c r="A369" s="9">
        <v>742</v>
      </c>
      <c r="B369" s="13">
        <v>45765</v>
      </c>
      <c r="C369" s="9" t="s">
        <v>169</v>
      </c>
      <c r="D369" s="9">
        <v>9518703251</v>
      </c>
      <c r="E369" s="8">
        <v>1</v>
      </c>
      <c r="F369" s="9" t="s">
        <v>979</v>
      </c>
      <c r="G369" s="79" t="s">
        <v>1303</v>
      </c>
      <c r="H369" s="9" t="s">
        <v>57</v>
      </c>
      <c r="I369" s="9" t="s">
        <v>25</v>
      </c>
      <c r="J369" s="9" t="s">
        <v>28</v>
      </c>
      <c r="K369" s="9" t="s">
        <v>233</v>
      </c>
      <c r="L369" s="39"/>
      <c r="M369" s="7" t="s">
        <v>1</v>
      </c>
      <c r="N369" s="8"/>
      <c r="O369" s="40" t="s">
        <v>1395</v>
      </c>
      <c r="P369" s="15"/>
      <c r="Q369" s="9" t="s">
        <v>188</v>
      </c>
      <c r="R369" s="9" t="s">
        <v>343</v>
      </c>
      <c r="S369" s="9"/>
      <c r="T369" s="9">
        <v>189022</v>
      </c>
      <c r="U369" s="16" t="s">
        <v>344</v>
      </c>
      <c r="V369" s="9">
        <v>2402200</v>
      </c>
      <c r="W369" s="8" t="s">
        <v>564</v>
      </c>
      <c r="X369" s="8" t="s">
        <v>265</v>
      </c>
      <c r="Y369" s="8" t="s">
        <v>175</v>
      </c>
      <c r="Z369" s="8">
        <v>8</v>
      </c>
      <c r="AA369" s="8">
        <v>12</v>
      </c>
      <c r="AB369" s="8"/>
      <c r="AC369" s="8" t="s">
        <v>190</v>
      </c>
      <c r="AD369" s="14" t="s">
        <v>191</v>
      </c>
      <c r="AE369" s="8" t="s">
        <v>346</v>
      </c>
      <c r="AF369" s="14">
        <v>0.9</v>
      </c>
      <c r="AG369" s="8">
        <v>1315</v>
      </c>
      <c r="AH369" s="8">
        <v>0</v>
      </c>
      <c r="AI369" s="8">
        <v>30</v>
      </c>
      <c r="AJ369" s="8">
        <v>0</v>
      </c>
      <c r="AK369" s="127">
        <v>30</v>
      </c>
      <c r="AL369" s="103">
        <v>0</v>
      </c>
      <c r="AM369" s="8">
        <v>30</v>
      </c>
      <c r="AN369" s="21">
        <v>0</v>
      </c>
      <c r="AO369" s="21">
        <v>0</v>
      </c>
      <c r="AP369" s="21">
        <v>30</v>
      </c>
      <c r="AQ369" s="21">
        <v>0</v>
      </c>
      <c r="AR369" s="21">
        <v>0</v>
      </c>
      <c r="AS369" s="8">
        <v>30</v>
      </c>
      <c r="AT369" s="21">
        <v>0</v>
      </c>
      <c r="AU369" s="21">
        <v>0</v>
      </c>
      <c r="AV369" s="21">
        <v>0</v>
      </c>
      <c r="AW369" s="21">
        <v>30</v>
      </c>
      <c r="AX369" s="21">
        <v>0</v>
      </c>
      <c r="AY369" s="8">
        <v>0</v>
      </c>
    </row>
    <row r="370" spans="1:51" ht="15" customHeight="1" x14ac:dyDescent="0.25">
      <c r="A370" s="9">
        <v>742</v>
      </c>
      <c r="B370" s="13">
        <v>45765</v>
      </c>
      <c r="C370" s="9" t="s">
        <v>169</v>
      </c>
      <c r="D370" s="9">
        <v>9518703251</v>
      </c>
      <c r="E370" s="8">
        <v>3</v>
      </c>
      <c r="F370" s="9" t="s">
        <v>980</v>
      </c>
      <c r="G370" s="79" t="s">
        <v>1303</v>
      </c>
      <c r="H370" s="9" t="s">
        <v>57</v>
      </c>
      <c r="I370" s="9" t="s">
        <v>25</v>
      </c>
      <c r="J370" s="9" t="s">
        <v>28</v>
      </c>
      <c r="K370" s="9" t="s">
        <v>233</v>
      </c>
      <c r="L370" s="39"/>
      <c r="M370" s="7" t="s">
        <v>1</v>
      </c>
      <c r="N370" s="8"/>
      <c r="O370" s="40" t="s">
        <v>1395</v>
      </c>
      <c r="P370" s="15"/>
      <c r="Q370" s="9" t="s">
        <v>188</v>
      </c>
      <c r="R370" s="9" t="s">
        <v>343</v>
      </c>
      <c r="S370" s="9"/>
      <c r="T370" s="9">
        <v>189022</v>
      </c>
      <c r="U370" s="16" t="s">
        <v>344</v>
      </c>
      <c r="V370" s="9">
        <v>2164814</v>
      </c>
      <c r="W370" s="8" t="s">
        <v>345</v>
      </c>
      <c r="X370" s="8" t="s">
        <v>265</v>
      </c>
      <c r="Y370" s="8" t="s">
        <v>175</v>
      </c>
      <c r="Z370" s="8">
        <v>7</v>
      </c>
      <c r="AA370" s="8">
        <v>10</v>
      </c>
      <c r="AB370" s="8"/>
      <c r="AC370" s="8" t="s">
        <v>190</v>
      </c>
      <c r="AD370" s="14" t="s">
        <v>191</v>
      </c>
      <c r="AE370" s="8" t="s">
        <v>346</v>
      </c>
      <c r="AF370" s="14">
        <v>0.97</v>
      </c>
      <c r="AG370" s="8">
        <v>1315</v>
      </c>
      <c r="AH370" s="8">
        <v>0</v>
      </c>
      <c r="AI370" s="8">
        <v>60</v>
      </c>
      <c r="AJ370" s="8">
        <v>0</v>
      </c>
      <c r="AK370" s="127">
        <v>60</v>
      </c>
      <c r="AL370" s="103">
        <v>0</v>
      </c>
      <c r="AM370" s="8">
        <v>60</v>
      </c>
      <c r="AN370" s="21">
        <v>0</v>
      </c>
      <c r="AO370" s="21">
        <v>0</v>
      </c>
      <c r="AP370" s="21">
        <v>60</v>
      </c>
      <c r="AQ370" s="21">
        <v>0</v>
      </c>
      <c r="AR370" s="21">
        <v>0</v>
      </c>
      <c r="AS370" s="8">
        <v>60</v>
      </c>
      <c r="AT370" s="21">
        <v>0</v>
      </c>
      <c r="AU370" s="21">
        <v>0</v>
      </c>
      <c r="AV370" s="21">
        <v>0</v>
      </c>
      <c r="AW370" s="21">
        <v>60</v>
      </c>
      <c r="AX370" s="21">
        <v>0</v>
      </c>
      <c r="AY370" s="8">
        <v>0</v>
      </c>
    </row>
    <row r="371" spans="1:51" ht="15" customHeight="1" x14ac:dyDescent="0.25">
      <c r="A371" s="9">
        <v>744</v>
      </c>
      <c r="B371" s="13">
        <v>45757</v>
      </c>
      <c r="C371" s="9" t="s">
        <v>169</v>
      </c>
      <c r="D371" s="9">
        <v>9518682295</v>
      </c>
      <c r="E371" s="8">
        <v>1</v>
      </c>
      <c r="F371" s="9" t="s">
        <v>981</v>
      </c>
      <c r="G371" s="79" t="s">
        <v>1303</v>
      </c>
      <c r="H371" s="9" t="s">
        <v>57</v>
      </c>
      <c r="I371" s="9" t="s">
        <v>48</v>
      </c>
      <c r="J371" s="9" t="s">
        <v>39</v>
      </c>
      <c r="K371" s="9" t="s">
        <v>233</v>
      </c>
      <c r="L371" s="39"/>
      <c r="M371" s="7" t="s">
        <v>1</v>
      </c>
      <c r="N371" s="8"/>
      <c r="O371" s="40"/>
      <c r="P371" s="15"/>
      <c r="Q371" s="9" t="s">
        <v>264</v>
      </c>
      <c r="R371" s="9" t="s">
        <v>225</v>
      </c>
      <c r="S371" s="9"/>
      <c r="T371" s="9">
        <v>940016</v>
      </c>
      <c r="U371" s="16" t="s">
        <v>133</v>
      </c>
      <c r="V371" s="9">
        <v>3960056</v>
      </c>
      <c r="W371" s="8" t="s">
        <v>612</v>
      </c>
      <c r="X371" s="8" t="s">
        <v>317</v>
      </c>
      <c r="Y371" s="8" t="s">
        <v>613</v>
      </c>
      <c r="Z371" s="8">
        <v>3</v>
      </c>
      <c r="AA371" s="8">
        <v>5</v>
      </c>
      <c r="AB371" s="8"/>
      <c r="AC371" s="8" t="s">
        <v>228</v>
      </c>
      <c r="AD371" s="14" t="s">
        <v>229</v>
      </c>
      <c r="AE371" s="8" t="s">
        <v>614</v>
      </c>
      <c r="AF371" s="14">
        <v>0.53</v>
      </c>
      <c r="AG371" s="8">
        <v>1220</v>
      </c>
      <c r="AH371" s="8">
        <v>0</v>
      </c>
      <c r="AI371" s="8">
        <v>28</v>
      </c>
      <c r="AJ371" s="8">
        <v>0</v>
      </c>
      <c r="AK371" s="127">
        <v>19.75</v>
      </c>
      <c r="AL371" s="103">
        <v>8.25</v>
      </c>
      <c r="AM371" s="8">
        <v>19.75</v>
      </c>
      <c r="AN371" s="21">
        <v>19.75</v>
      </c>
      <c r="AO371" s="21">
        <v>0</v>
      </c>
      <c r="AP371" s="21">
        <v>0</v>
      </c>
      <c r="AQ371" s="21">
        <v>0</v>
      </c>
      <c r="AR371" s="21">
        <v>0</v>
      </c>
      <c r="AS371" s="8">
        <v>28</v>
      </c>
      <c r="AT371" s="21">
        <v>0</v>
      </c>
      <c r="AU371" s="21">
        <v>28</v>
      </c>
      <c r="AV371" s="21">
        <v>0</v>
      </c>
      <c r="AW371" s="21">
        <v>0</v>
      </c>
      <c r="AX371" s="21">
        <v>0</v>
      </c>
      <c r="AY371" s="8">
        <v>0</v>
      </c>
    </row>
    <row r="372" spans="1:51" ht="15" customHeight="1" x14ac:dyDescent="0.25">
      <c r="A372" s="9">
        <v>742</v>
      </c>
      <c r="B372" s="13">
        <v>45758</v>
      </c>
      <c r="C372" s="9" t="s">
        <v>169</v>
      </c>
      <c r="D372" s="9">
        <v>9518684484</v>
      </c>
      <c r="E372" s="8">
        <v>10</v>
      </c>
      <c r="F372" s="9" t="s">
        <v>982</v>
      </c>
      <c r="G372" s="9" t="s">
        <v>1303</v>
      </c>
      <c r="H372" s="9" t="s">
        <v>57</v>
      </c>
      <c r="I372" s="9" t="s">
        <v>25</v>
      </c>
      <c r="J372" s="9" t="s">
        <v>31</v>
      </c>
      <c r="K372" s="9" t="s">
        <v>170</v>
      </c>
      <c r="L372" s="39"/>
      <c r="M372" s="7" t="s">
        <v>1</v>
      </c>
      <c r="N372" s="8"/>
      <c r="O372" s="40" t="s">
        <v>1335</v>
      </c>
      <c r="P372" s="15"/>
      <c r="Q372" s="9" t="s">
        <v>214</v>
      </c>
      <c r="R372" s="9" t="s">
        <v>246</v>
      </c>
      <c r="S372" s="9"/>
      <c r="T372" s="9">
        <v>938550</v>
      </c>
      <c r="U372" s="16" t="s">
        <v>69</v>
      </c>
      <c r="V372" s="9">
        <v>3239548</v>
      </c>
      <c r="W372" s="8" t="s">
        <v>486</v>
      </c>
      <c r="X372" s="8" t="s">
        <v>265</v>
      </c>
      <c r="Y372" s="8" t="s">
        <v>175</v>
      </c>
      <c r="Z372" s="8">
        <v>0</v>
      </c>
      <c r="AA372" s="8">
        <v>0</v>
      </c>
      <c r="AB372" s="8"/>
      <c r="AC372" s="8" t="s">
        <v>210</v>
      </c>
      <c r="AD372" s="14" t="s">
        <v>211</v>
      </c>
      <c r="AE372" s="8" t="s">
        <v>212</v>
      </c>
      <c r="AF372" s="14">
        <v>0.4</v>
      </c>
      <c r="AG372" s="8">
        <v>900</v>
      </c>
      <c r="AH372" s="8">
        <v>2500</v>
      </c>
      <c r="AI372" s="8">
        <v>51</v>
      </c>
      <c r="AJ372" s="8">
        <v>0</v>
      </c>
      <c r="AK372" s="127">
        <v>51</v>
      </c>
      <c r="AL372" s="103">
        <v>0</v>
      </c>
      <c r="AM372" s="8">
        <v>51</v>
      </c>
      <c r="AN372" s="21">
        <v>0</v>
      </c>
      <c r="AO372" s="21">
        <v>51</v>
      </c>
      <c r="AP372" s="21">
        <v>0</v>
      </c>
      <c r="AQ372" s="21">
        <v>0</v>
      </c>
      <c r="AR372" s="21">
        <v>0</v>
      </c>
      <c r="AS372" s="8">
        <v>51</v>
      </c>
      <c r="AT372" s="21">
        <v>0</v>
      </c>
      <c r="AU372" s="21">
        <v>51</v>
      </c>
      <c r="AV372" s="21">
        <v>0</v>
      </c>
      <c r="AW372" s="21">
        <v>0</v>
      </c>
      <c r="AX372" s="21">
        <v>0</v>
      </c>
      <c r="AY372" s="8">
        <v>0</v>
      </c>
    </row>
    <row r="373" spans="1:51" ht="15" customHeight="1" x14ac:dyDescent="0.25">
      <c r="A373" s="9">
        <v>744</v>
      </c>
      <c r="B373" s="13">
        <v>45762</v>
      </c>
      <c r="C373" s="9" t="s">
        <v>169</v>
      </c>
      <c r="D373" s="9">
        <v>9518693944</v>
      </c>
      <c r="E373" s="8">
        <v>1</v>
      </c>
      <c r="F373" s="9" t="s">
        <v>983</v>
      </c>
      <c r="G373" s="79" t="s">
        <v>1303</v>
      </c>
      <c r="H373" s="9" t="s">
        <v>57</v>
      </c>
      <c r="I373" s="9" t="s">
        <v>48</v>
      </c>
      <c r="J373" s="9" t="s">
        <v>39</v>
      </c>
      <c r="K373" s="9" t="s">
        <v>233</v>
      </c>
      <c r="L373" s="39"/>
      <c r="M373" s="7" t="s">
        <v>1</v>
      </c>
      <c r="N373" s="8"/>
      <c r="O373" s="40"/>
      <c r="P373" s="15"/>
      <c r="Q373" s="9" t="s">
        <v>264</v>
      </c>
      <c r="R373" s="9" t="s">
        <v>265</v>
      </c>
      <c r="S373" s="9"/>
      <c r="T373" s="9">
        <v>941597</v>
      </c>
      <c r="U373" s="16" t="s">
        <v>106</v>
      </c>
      <c r="V373" s="9">
        <v>3941967</v>
      </c>
      <c r="W373" s="8" t="s">
        <v>810</v>
      </c>
      <c r="X373" s="8" t="s">
        <v>317</v>
      </c>
      <c r="Y373" s="8" t="s">
        <v>692</v>
      </c>
      <c r="Z373" s="8">
        <v>3</v>
      </c>
      <c r="AA373" s="8">
        <v>5</v>
      </c>
      <c r="AB373" s="8"/>
      <c r="AC373" s="8" t="s">
        <v>228</v>
      </c>
      <c r="AD373" s="14" t="s">
        <v>229</v>
      </c>
      <c r="AE373" s="8" t="s">
        <v>354</v>
      </c>
      <c r="AF373" s="14">
        <v>0.6</v>
      </c>
      <c r="AG373" s="8">
        <v>1220</v>
      </c>
      <c r="AH373" s="8">
        <v>0</v>
      </c>
      <c r="AI373" s="8">
        <v>28</v>
      </c>
      <c r="AJ373" s="8">
        <v>0</v>
      </c>
      <c r="AK373" s="127">
        <v>24.63</v>
      </c>
      <c r="AL373" s="103">
        <v>3.37</v>
      </c>
      <c r="AM373" s="8">
        <v>24.63</v>
      </c>
      <c r="AN373" s="21">
        <v>0</v>
      </c>
      <c r="AO373" s="21">
        <v>0</v>
      </c>
      <c r="AP373" s="21">
        <v>24.63</v>
      </c>
      <c r="AQ373" s="21">
        <v>0</v>
      </c>
      <c r="AR373" s="21">
        <v>0</v>
      </c>
      <c r="AS373" s="8">
        <v>28</v>
      </c>
      <c r="AT373" s="21">
        <v>0</v>
      </c>
      <c r="AU373" s="21">
        <v>0</v>
      </c>
      <c r="AV373" s="21">
        <v>0</v>
      </c>
      <c r="AW373" s="21">
        <v>28</v>
      </c>
      <c r="AX373" s="21">
        <v>0</v>
      </c>
      <c r="AY373" s="8">
        <v>0</v>
      </c>
    </row>
    <row r="374" spans="1:51" ht="15" customHeight="1" x14ac:dyDescent="0.25">
      <c r="A374" s="9">
        <v>743</v>
      </c>
      <c r="B374" s="13">
        <v>45731</v>
      </c>
      <c r="C374" s="9" t="s">
        <v>169</v>
      </c>
      <c r="D374" s="9">
        <v>9518602675</v>
      </c>
      <c r="E374" s="8">
        <v>3</v>
      </c>
      <c r="F374" s="9" t="s">
        <v>693</v>
      </c>
      <c r="G374" s="79" t="s">
        <v>1303</v>
      </c>
      <c r="H374" s="9" t="s">
        <v>57</v>
      </c>
      <c r="I374" s="9" t="s">
        <v>43</v>
      </c>
      <c r="J374" s="9" t="s">
        <v>45</v>
      </c>
      <c r="K374" s="9" t="s">
        <v>170</v>
      </c>
      <c r="L374" s="39"/>
      <c r="M374" s="7" t="s">
        <v>1</v>
      </c>
      <c r="N374" s="8"/>
      <c r="O374" s="40"/>
      <c r="P374" s="15"/>
      <c r="Q374" s="9" t="s">
        <v>180</v>
      </c>
      <c r="R374" s="9" t="s">
        <v>261</v>
      </c>
      <c r="S374" s="9"/>
      <c r="T374" s="9">
        <v>185794</v>
      </c>
      <c r="U374" s="16" t="s">
        <v>97</v>
      </c>
      <c r="V374" s="9">
        <v>1178439</v>
      </c>
      <c r="W374" s="8" t="s">
        <v>446</v>
      </c>
      <c r="X374" s="8" t="s">
        <v>308</v>
      </c>
      <c r="Y374" s="8" t="s">
        <v>175</v>
      </c>
      <c r="Z374" s="8">
        <v>5</v>
      </c>
      <c r="AA374" s="8">
        <v>15</v>
      </c>
      <c r="AB374" s="8"/>
      <c r="AC374" s="8" t="s">
        <v>238</v>
      </c>
      <c r="AD374" s="14" t="s">
        <v>185</v>
      </c>
      <c r="AE374" s="8" t="s">
        <v>186</v>
      </c>
      <c r="AF374" s="14">
        <v>0.4</v>
      </c>
      <c r="AG374" s="8">
        <v>900</v>
      </c>
      <c r="AH374" s="8">
        <v>0</v>
      </c>
      <c r="AI374" s="8">
        <v>210</v>
      </c>
      <c r="AJ374" s="8">
        <v>0</v>
      </c>
      <c r="AK374" s="127">
        <v>210</v>
      </c>
      <c r="AL374" s="103">
        <v>0</v>
      </c>
      <c r="AM374" s="8">
        <v>210</v>
      </c>
      <c r="AN374" s="21">
        <v>0</v>
      </c>
      <c r="AO374" s="21">
        <v>0</v>
      </c>
      <c r="AP374" s="21">
        <v>210</v>
      </c>
      <c r="AQ374" s="21">
        <v>0</v>
      </c>
      <c r="AR374" s="21">
        <v>0</v>
      </c>
      <c r="AS374" s="8">
        <v>210</v>
      </c>
      <c r="AT374" s="21">
        <v>0</v>
      </c>
      <c r="AU374" s="21">
        <v>0</v>
      </c>
      <c r="AV374" s="21">
        <v>0</v>
      </c>
      <c r="AW374" s="21">
        <v>210</v>
      </c>
      <c r="AX374" s="21">
        <v>0</v>
      </c>
      <c r="AY374" s="8">
        <v>0</v>
      </c>
    </row>
    <row r="375" spans="1:51" ht="15" customHeight="1" x14ac:dyDescent="0.25">
      <c r="A375" s="9">
        <v>744</v>
      </c>
      <c r="B375" s="13">
        <v>45734</v>
      </c>
      <c r="C375" s="9" t="s">
        <v>169</v>
      </c>
      <c r="D375" s="9">
        <v>9518610301</v>
      </c>
      <c r="E375" s="8">
        <v>2</v>
      </c>
      <c r="F375" s="9" t="s">
        <v>695</v>
      </c>
      <c r="G375" s="9" t="s">
        <v>1687</v>
      </c>
      <c r="H375" s="9" t="s">
        <v>57</v>
      </c>
      <c r="I375" s="9" t="s">
        <v>48</v>
      </c>
      <c r="J375" s="9" t="s">
        <v>39</v>
      </c>
      <c r="K375" s="9" t="s">
        <v>233</v>
      </c>
      <c r="L375" s="39"/>
      <c r="M375" s="7" t="s">
        <v>1</v>
      </c>
      <c r="N375" s="8"/>
      <c r="O375" s="40"/>
      <c r="P375" s="15"/>
      <c r="Q375" s="9" t="s">
        <v>264</v>
      </c>
      <c r="R375" s="9" t="s">
        <v>265</v>
      </c>
      <c r="S375" s="9"/>
      <c r="T375" s="9">
        <v>941597</v>
      </c>
      <c r="U375" s="16" t="s">
        <v>106</v>
      </c>
      <c r="V375" s="9">
        <v>3940122</v>
      </c>
      <c r="W375" s="8" t="s">
        <v>684</v>
      </c>
      <c r="X375" s="8" t="s">
        <v>317</v>
      </c>
      <c r="Y375" s="8" t="s">
        <v>692</v>
      </c>
      <c r="Z375" s="8">
        <v>3</v>
      </c>
      <c r="AA375" s="8">
        <v>5</v>
      </c>
      <c r="AB375" s="8"/>
      <c r="AC375" s="8" t="s">
        <v>228</v>
      </c>
      <c r="AD375" s="14" t="s">
        <v>229</v>
      </c>
      <c r="AE375" s="8" t="s">
        <v>354</v>
      </c>
      <c r="AF375" s="14">
        <v>0.47</v>
      </c>
      <c r="AG375" s="8">
        <v>1220</v>
      </c>
      <c r="AH375" s="8">
        <v>0</v>
      </c>
      <c r="AI375" s="8">
        <v>28</v>
      </c>
      <c r="AJ375" s="8">
        <v>0</v>
      </c>
      <c r="AK375" s="127">
        <v>0.34</v>
      </c>
      <c r="AL375" s="103">
        <v>18.264999999999997</v>
      </c>
      <c r="AM375" s="8">
        <v>0</v>
      </c>
      <c r="AN375" s="21">
        <v>0</v>
      </c>
      <c r="AO375" s="21">
        <v>0</v>
      </c>
      <c r="AP375" s="21">
        <v>0</v>
      </c>
      <c r="AQ375" s="21">
        <v>0</v>
      </c>
      <c r="AR375" s="21">
        <v>0</v>
      </c>
      <c r="AS375" s="8">
        <v>18.264999999999997</v>
      </c>
      <c r="AT375" s="21">
        <v>18.264999999999997</v>
      </c>
      <c r="AU375" s="21">
        <v>0</v>
      </c>
      <c r="AV375" s="21">
        <v>0</v>
      </c>
      <c r="AW375" s="21">
        <v>0</v>
      </c>
      <c r="AX375" s="21">
        <v>0</v>
      </c>
      <c r="AY375" s="8">
        <v>0</v>
      </c>
    </row>
    <row r="376" spans="1:51" ht="15" customHeight="1" x14ac:dyDescent="0.25">
      <c r="A376" s="9">
        <v>742</v>
      </c>
      <c r="B376" s="13">
        <v>45740</v>
      </c>
      <c r="C376" s="9" t="s">
        <v>169</v>
      </c>
      <c r="D376" s="9">
        <v>9518628391</v>
      </c>
      <c r="E376" s="8">
        <v>2</v>
      </c>
      <c r="F376" s="9" t="s">
        <v>984</v>
      </c>
      <c r="G376" s="9" t="s">
        <v>1687</v>
      </c>
      <c r="H376" s="9" t="s">
        <v>57</v>
      </c>
      <c r="I376" s="9" t="s">
        <v>25</v>
      </c>
      <c r="J376" s="9" t="s">
        <v>31</v>
      </c>
      <c r="K376" s="9" t="s">
        <v>170</v>
      </c>
      <c r="L376" s="39"/>
      <c r="M376" s="7" t="s">
        <v>1</v>
      </c>
      <c r="N376" s="8"/>
      <c r="O376" s="40"/>
      <c r="P376" s="15"/>
      <c r="Q376" s="9" t="s">
        <v>172</v>
      </c>
      <c r="R376" s="9" t="s">
        <v>361</v>
      </c>
      <c r="S376" s="9"/>
      <c r="T376" s="9">
        <v>115841</v>
      </c>
      <c r="U376" s="16" t="s">
        <v>76</v>
      </c>
      <c r="V376" s="9">
        <v>3240781</v>
      </c>
      <c r="W376" s="8" t="s">
        <v>466</v>
      </c>
      <c r="X376" s="8" t="s">
        <v>265</v>
      </c>
      <c r="Y376" s="8" t="s">
        <v>175</v>
      </c>
      <c r="Z376" s="8">
        <v>0</v>
      </c>
      <c r="AA376" s="8">
        <v>0</v>
      </c>
      <c r="AB376" s="8"/>
      <c r="AC376" s="8" t="s">
        <v>210</v>
      </c>
      <c r="AD376" s="14" t="s">
        <v>218</v>
      </c>
      <c r="AE376" s="8" t="s">
        <v>250</v>
      </c>
      <c r="AF376" s="14">
        <v>0.6</v>
      </c>
      <c r="AG376" s="8">
        <v>1250</v>
      </c>
      <c r="AH376" s="8">
        <v>2030</v>
      </c>
      <c r="AI376" s="8">
        <v>27</v>
      </c>
      <c r="AJ376" s="8">
        <v>0</v>
      </c>
      <c r="AK376" s="127">
        <v>0.86499999999999999</v>
      </c>
      <c r="AL376" s="103">
        <v>5.8250000000000002</v>
      </c>
      <c r="AM376" s="8">
        <v>0</v>
      </c>
      <c r="AN376" s="21">
        <v>0</v>
      </c>
      <c r="AO376" s="21">
        <v>0</v>
      </c>
      <c r="AP376" s="21">
        <v>0</v>
      </c>
      <c r="AQ376" s="21">
        <v>0</v>
      </c>
      <c r="AR376" s="21">
        <v>0</v>
      </c>
      <c r="AS376" s="8">
        <v>5.8250000000000002</v>
      </c>
      <c r="AT376" s="21">
        <v>5.8250000000000002</v>
      </c>
      <c r="AU376" s="21">
        <v>0</v>
      </c>
      <c r="AV376" s="21">
        <v>0</v>
      </c>
      <c r="AW376" s="21">
        <v>0</v>
      </c>
      <c r="AX376" s="21">
        <v>0</v>
      </c>
      <c r="AY376" s="8">
        <v>0</v>
      </c>
    </row>
    <row r="377" spans="1:51" ht="15" customHeight="1" x14ac:dyDescent="0.25">
      <c r="A377" s="9">
        <v>742</v>
      </c>
      <c r="B377" s="13">
        <v>45740</v>
      </c>
      <c r="C377" s="9" t="s">
        <v>169</v>
      </c>
      <c r="D377" s="9">
        <v>9518628321</v>
      </c>
      <c r="E377" s="8">
        <v>2</v>
      </c>
      <c r="F377" s="9" t="s">
        <v>985</v>
      </c>
      <c r="G377" s="79" t="s">
        <v>1303</v>
      </c>
      <c r="H377" s="9" t="s">
        <v>57</v>
      </c>
      <c r="I377" s="9" t="s">
        <v>25</v>
      </c>
      <c r="J377" s="9" t="s">
        <v>31</v>
      </c>
      <c r="K377" s="9" t="s">
        <v>170</v>
      </c>
      <c r="L377" s="39"/>
      <c r="M377" s="7" t="s">
        <v>1</v>
      </c>
      <c r="N377" s="8"/>
      <c r="O377" s="40"/>
      <c r="P377" s="15"/>
      <c r="Q377" s="9" t="s">
        <v>172</v>
      </c>
      <c r="R377" s="9" t="s">
        <v>286</v>
      </c>
      <c r="S377" s="9"/>
      <c r="T377" s="9">
        <v>115841</v>
      </c>
      <c r="U377" s="16" t="s">
        <v>76</v>
      </c>
      <c r="V377" s="9">
        <v>3240761</v>
      </c>
      <c r="W377" s="8" t="s">
        <v>444</v>
      </c>
      <c r="X377" s="8" t="s">
        <v>265</v>
      </c>
      <c r="Y377" s="8" t="s">
        <v>175</v>
      </c>
      <c r="Z377" s="8">
        <v>0</v>
      </c>
      <c r="AA377" s="8">
        <v>0</v>
      </c>
      <c r="AB377" s="8"/>
      <c r="AC377" s="8" t="s">
        <v>210</v>
      </c>
      <c r="AD377" s="14" t="s">
        <v>218</v>
      </c>
      <c r="AE377" s="8" t="s">
        <v>250</v>
      </c>
      <c r="AF377" s="14">
        <v>0.5</v>
      </c>
      <c r="AG377" s="8">
        <v>1250</v>
      </c>
      <c r="AH377" s="8">
        <v>2030</v>
      </c>
      <c r="AI377" s="8">
        <v>150</v>
      </c>
      <c r="AJ377" s="8">
        <v>0</v>
      </c>
      <c r="AK377" s="127">
        <v>46.45</v>
      </c>
      <c r="AL377" s="103">
        <v>43.905000000000001</v>
      </c>
      <c r="AM377" s="8">
        <v>46.45</v>
      </c>
      <c r="AN377" s="21">
        <v>46.45</v>
      </c>
      <c r="AO377" s="21">
        <v>0</v>
      </c>
      <c r="AP377" s="21">
        <v>0</v>
      </c>
      <c r="AQ377" s="21">
        <v>0</v>
      </c>
      <c r="AR377" s="21">
        <v>0</v>
      </c>
      <c r="AS377" s="8">
        <v>90.355000000000004</v>
      </c>
      <c r="AT377" s="21">
        <v>0</v>
      </c>
      <c r="AU377" s="21">
        <v>90.355000000000004</v>
      </c>
      <c r="AV377" s="21">
        <v>0</v>
      </c>
      <c r="AW377" s="21">
        <v>0</v>
      </c>
      <c r="AX377" s="21">
        <v>0</v>
      </c>
      <c r="AY377" s="8">
        <v>0</v>
      </c>
    </row>
    <row r="378" spans="1:51" ht="15" customHeight="1" x14ac:dyDescent="0.25">
      <c r="A378" s="9">
        <v>742</v>
      </c>
      <c r="B378" s="13">
        <v>45740</v>
      </c>
      <c r="C378" s="9" t="s">
        <v>169</v>
      </c>
      <c r="D378" s="9">
        <v>9518628321</v>
      </c>
      <c r="E378" s="8">
        <v>4</v>
      </c>
      <c r="F378" s="9" t="s">
        <v>986</v>
      </c>
      <c r="G378" s="79" t="s">
        <v>1303</v>
      </c>
      <c r="H378" s="9" t="s">
        <v>57</v>
      </c>
      <c r="I378" s="9" t="s">
        <v>25</v>
      </c>
      <c r="J378" s="9" t="s">
        <v>31</v>
      </c>
      <c r="K378" s="9" t="s">
        <v>170</v>
      </c>
      <c r="L378" s="39"/>
      <c r="M378" s="7" t="s">
        <v>1</v>
      </c>
      <c r="N378" s="8"/>
      <c r="O378" s="40"/>
      <c r="P378" s="15"/>
      <c r="Q378" s="9" t="s">
        <v>172</v>
      </c>
      <c r="R378" s="9" t="s">
        <v>286</v>
      </c>
      <c r="S378" s="9"/>
      <c r="T378" s="9">
        <v>115841</v>
      </c>
      <c r="U378" s="16" t="s">
        <v>76</v>
      </c>
      <c r="V378" s="9">
        <v>3240781</v>
      </c>
      <c r="W378" s="8" t="s">
        <v>466</v>
      </c>
      <c r="X378" s="8" t="s">
        <v>265</v>
      </c>
      <c r="Y378" s="8" t="s">
        <v>175</v>
      </c>
      <c r="Z378" s="8">
        <v>0</v>
      </c>
      <c r="AA378" s="8">
        <v>0</v>
      </c>
      <c r="AB378" s="8"/>
      <c r="AC378" s="8" t="s">
        <v>210</v>
      </c>
      <c r="AD378" s="14" t="s">
        <v>218</v>
      </c>
      <c r="AE378" s="8" t="s">
        <v>250</v>
      </c>
      <c r="AF378" s="14">
        <v>0.6</v>
      </c>
      <c r="AG378" s="8">
        <v>1250</v>
      </c>
      <c r="AH378" s="8">
        <v>2030</v>
      </c>
      <c r="AI378" s="8">
        <v>27</v>
      </c>
      <c r="AJ378" s="8">
        <v>0</v>
      </c>
      <c r="AK378" s="127">
        <v>27</v>
      </c>
      <c r="AL378" s="103">
        <v>0</v>
      </c>
      <c r="AM378" s="8">
        <v>27</v>
      </c>
      <c r="AN378" s="21">
        <v>0</v>
      </c>
      <c r="AO378" s="21">
        <v>0</v>
      </c>
      <c r="AP378" s="21">
        <v>27</v>
      </c>
      <c r="AQ378" s="21">
        <v>0</v>
      </c>
      <c r="AR378" s="21">
        <v>0</v>
      </c>
      <c r="AS378" s="8">
        <v>27</v>
      </c>
      <c r="AT378" s="21">
        <v>0</v>
      </c>
      <c r="AU378" s="21">
        <v>0</v>
      </c>
      <c r="AV378" s="21">
        <v>27</v>
      </c>
      <c r="AW378" s="21">
        <v>0</v>
      </c>
      <c r="AX378" s="21">
        <v>0</v>
      </c>
      <c r="AY378" s="8">
        <v>0</v>
      </c>
    </row>
    <row r="379" spans="1:51" ht="15" customHeight="1" x14ac:dyDescent="0.25">
      <c r="A379" s="9">
        <v>742</v>
      </c>
      <c r="B379" s="13">
        <v>45740</v>
      </c>
      <c r="C379" s="9" t="s">
        <v>169</v>
      </c>
      <c r="D379" s="9">
        <v>9518628321</v>
      </c>
      <c r="E379" s="8">
        <v>5</v>
      </c>
      <c r="F379" s="9" t="s">
        <v>987</v>
      </c>
      <c r="G379" s="9" t="s">
        <v>1687</v>
      </c>
      <c r="H379" s="9" t="s">
        <v>57</v>
      </c>
      <c r="I379" s="9" t="s">
        <v>25</v>
      </c>
      <c r="J379" s="9" t="s">
        <v>31</v>
      </c>
      <c r="K379" s="9" t="s">
        <v>170</v>
      </c>
      <c r="L379" s="39"/>
      <c r="M379" s="7" t="s">
        <v>1</v>
      </c>
      <c r="N379" s="8"/>
      <c r="O379" s="40"/>
      <c r="P379" s="15"/>
      <c r="Q379" s="9" t="s">
        <v>172</v>
      </c>
      <c r="R379" s="9" t="s">
        <v>286</v>
      </c>
      <c r="S379" s="9"/>
      <c r="T379" s="9">
        <v>115841</v>
      </c>
      <c r="U379" s="16" t="s">
        <v>76</v>
      </c>
      <c r="V379" s="9">
        <v>3240787</v>
      </c>
      <c r="W379" s="8" t="s">
        <v>509</v>
      </c>
      <c r="X379" s="8" t="s">
        <v>265</v>
      </c>
      <c r="Y379" s="8" t="s">
        <v>175</v>
      </c>
      <c r="Z379" s="8">
        <v>0</v>
      </c>
      <c r="AA379" s="8">
        <v>0</v>
      </c>
      <c r="AB379" s="8"/>
      <c r="AC379" s="8" t="s">
        <v>210</v>
      </c>
      <c r="AD379" s="14" t="s">
        <v>218</v>
      </c>
      <c r="AE379" s="8" t="s">
        <v>250</v>
      </c>
      <c r="AF379" s="14">
        <v>0.7</v>
      </c>
      <c r="AG379" s="8">
        <v>1250</v>
      </c>
      <c r="AH379" s="8">
        <v>1930</v>
      </c>
      <c r="AI379" s="8">
        <v>27</v>
      </c>
      <c r="AJ379" s="8">
        <v>0</v>
      </c>
      <c r="AK379" s="127">
        <v>0.66500000000000004</v>
      </c>
      <c r="AL379" s="103">
        <v>26.335000000000004</v>
      </c>
      <c r="AM379" s="8">
        <v>0</v>
      </c>
      <c r="AN379" s="21">
        <v>0</v>
      </c>
      <c r="AO379" s="21">
        <v>0</v>
      </c>
      <c r="AP379" s="21">
        <v>0</v>
      </c>
      <c r="AQ379" s="21">
        <v>0</v>
      </c>
      <c r="AR379" s="21">
        <v>0</v>
      </c>
      <c r="AS379" s="8">
        <v>26.335000000000004</v>
      </c>
      <c r="AT379" s="21">
        <v>26.335000000000004</v>
      </c>
      <c r="AU379" s="21">
        <v>0</v>
      </c>
      <c r="AV379" s="21">
        <v>0</v>
      </c>
      <c r="AW379" s="21">
        <v>0</v>
      </c>
      <c r="AX379" s="21">
        <v>0</v>
      </c>
      <c r="AY379" s="8">
        <v>0</v>
      </c>
    </row>
    <row r="380" spans="1:51" ht="15" customHeight="1" x14ac:dyDescent="0.25">
      <c r="A380" s="9">
        <v>743</v>
      </c>
      <c r="B380" s="13">
        <v>45741</v>
      </c>
      <c r="C380" s="9" t="s">
        <v>169</v>
      </c>
      <c r="D380" s="9">
        <v>9518631278</v>
      </c>
      <c r="E380" s="8">
        <v>2</v>
      </c>
      <c r="F380" s="9" t="s">
        <v>988</v>
      </c>
      <c r="G380" s="79" t="s">
        <v>1303</v>
      </c>
      <c r="H380" s="9" t="s">
        <v>57</v>
      </c>
      <c r="I380" s="9" t="s">
        <v>43</v>
      </c>
      <c r="J380" s="9" t="s">
        <v>45</v>
      </c>
      <c r="K380" s="9" t="s">
        <v>170</v>
      </c>
      <c r="L380" s="39"/>
      <c r="M380" s="7" t="s">
        <v>1</v>
      </c>
      <c r="N380" s="8"/>
      <c r="O380" s="40"/>
      <c r="P380" s="15"/>
      <c r="Q380" s="9" t="s">
        <v>180</v>
      </c>
      <c r="R380" s="9" t="s">
        <v>306</v>
      </c>
      <c r="S380" s="9"/>
      <c r="T380" s="9">
        <v>100922</v>
      </c>
      <c r="U380" s="16" t="s">
        <v>115</v>
      </c>
      <c r="V380" s="9">
        <v>1191956</v>
      </c>
      <c r="W380" s="8" t="s">
        <v>440</v>
      </c>
      <c r="X380" s="8" t="s">
        <v>308</v>
      </c>
      <c r="Y380" s="8" t="s">
        <v>175</v>
      </c>
      <c r="Z380" s="8">
        <v>5</v>
      </c>
      <c r="AA380" s="8">
        <v>15</v>
      </c>
      <c r="AB380" s="8"/>
      <c r="AC380" s="8" t="s">
        <v>238</v>
      </c>
      <c r="AD380" s="14" t="s">
        <v>185</v>
      </c>
      <c r="AE380" s="8" t="s">
        <v>186</v>
      </c>
      <c r="AF380" s="14">
        <v>0.35</v>
      </c>
      <c r="AG380" s="8">
        <v>900</v>
      </c>
      <c r="AH380" s="8">
        <v>0</v>
      </c>
      <c r="AI380" s="8">
        <v>105</v>
      </c>
      <c r="AJ380" s="8">
        <v>0</v>
      </c>
      <c r="AK380" s="127">
        <v>105</v>
      </c>
      <c r="AL380" s="103">
        <v>0</v>
      </c>
      <c r="AM380" s="8">
        <v>105</v>
      </c>
      <c r="AN380" s="21">
        <v>0</v>
      </c>
      <c r="AO380" s="21">
        <v>105</v>
      </c>
      <c r="AP380" s="21">
        <v>0</v>
      </c>
      <c r="AQ380" s="21">
        <v>0</v>
      </c>
      <c r="AR380" s="21">
        <v>0</v>
      </c>
      <c r="AS380" s="8">
        <v>105</v>
      </c>
      <c r="AT380" s="21">
        <v>0</v>
      </c>
      <c r="AU380" s="21">
        <v>105</v>
      </c>
      <c r="AV380" s="21">
        <v>0</v>
      </c>
      <c r="AW380" s="21">
        <v>0</v>
      </c>
      <c r="AX380" s="21">
        <v>0</v>
      </c>
      <c r="AY380" s="8">
        <v>0</v>
      </c>
    </row>
    <row r="381" spans="1:51" ht="15" customHeight="1" x14ac:dyDescent="0.25">
      <c r="A381" s="9">
        <v>743</v>
      </c>
      <c r="B381" s="13">
        <v>45741</v>
      </c>
      <c r="C381" s="9" t="s">
        <v>169</v>
      </c>
      <c r="D381" s="9">
        <v>9518631278</v>
      </c>
      <c r="E381" s="8">
        <v>1</v>
      </c>
      <c r="F381" s="9" t="s">
        <v>989</v>
      </c>
      <c r="G381" s="79" t="s">
        <v>1303</v>
      </c>
      <c r="H381" s="9" t="s">
        <v>57</v>
      </c>
      <c r="I381" s="9" t="s">
        <v>43</v>
      </c>
      <c r="J381" s="9" t="s">
        <v>45</v>
      </c>
      <c r="K381" s="9" t="s">
        <v>170</v>
      </c>
      <c r="L381" s="39">
        <v>4200</v>
      </c>
      <c r="M381" s="7" t="s">
        <v>1</v>
      </c>
      <c r="N381" s="8"/>
      <c r="O381" s="40"/>
      <c r="P381" s="15"/>
      <c r="Q381" s="9" t="s">
        <v>180</v>
      </c>
      <c r="R381" s="9" t="s">
        <v>306</v>
      </c>
      <c r="S381" s="9"/>
      <c r="T381" s="9">
        <v>100922</v>
      </c>
      <c r="U381" s="16" t="s">
        <v>115</v>
      </c>
      <c r="V381" s="9">
        <v>1191955</v>
      </c>
      <c r="W381" s="8" t="s">
        <v>473</v>
      </c>
      <c r="X381" s="8" t="s">
        <v>308</v>
      </c>
      <c r="Y381" s="8" t="s">
        <v>175</v>
      </c>
      <c r="Z381" s="8">
        <v>5</v>
      </c>
      <c r="AA381" s="8">
        <v>15</v>
      </c>
      <c r="AB381" s="8"/>
      <c r="AC381" s="8" t="s">
        <v>238</v>
      </c>
      <c r="AD381" s="14" t="s">
        <v>185</v>
      </c>
      <c r="AE381" s="8" t="s">
        <v>186</v>
      </c>
      <c r="AF381" s="14">
        <v>0.3</v>
      </c>
      <c r="AG381" s="8">
        <v>900</v>
      </c>
      <c r="AH381" s="8">
        <v>0</v>
      </c>
      <c r="AI381" s="8">
        <v>105</v>
      </c>
      <c r="AJ381" s="8">
        <v>0</v>
      </c>
      <c r="AK381" s="127">
        <v>105</v>
      </c>
      <c r="AL381" s="103">
        <v>0</v>
      </c>
      <c r="AM381" s="8">
        <v>105</v>
      </c>
      <c r="AN381" s="21">
        <v>0</v>
      </c>
      <c r="AO381" s="21">
        <v>0</v>
      </c>
      <c r="AP381" s="21">
        <v>0</v>
      </c>
      <c r="AQ381" s="21">
        <v>105</v>
      </c>
      <c r="AR381" s="21">
        <v>0</v>
      </c>
      <c r="AS381" s="8">
        <v>105</v>
      </c>
      <c r="AT381" s="21">
        <v>0</v>
      </c>
      <c r="AU381" s="21">
        <v>0</v>
      </c>
      <c r="AV381" s="21">
        <v>0</v>
      </c>
      <c r="AW381" s="21">
        <v>105</v>
      </c>
      <c r="AX381" s="21">
        <v>0</v>
      </c>
      <c r="AY381" s="8">
        <v>0</v>
      </c>
    </row>
    <row r="382" spans="1:51" ht="15" customHeight="1" x14ac:dyDescent="0.25">
      <c r="A382" s="9">
        <v>744</v>
      </c>
      <c r="B382" s="13">
        <v>45742</v>
      </c>
      <c r="C382" s="9" t="s">
        <v>169</v>
      </c>
      <c r="D382" s="9">
        <v>9518637595</v>
      </c>
      <c r="E382" s="8">
        <v>4</v>
      </c>
      <c r="F382" s="9" t="s">
        <v>990</v>
      </c>
      <c r="G382" s="79" t="s">
        <v>1303</v>
      </c>
      <c r="H382" s="9" t="s">
        <v>57</v>
      </c>
      <c r="I382" s="9" t="s">
        <v>48</v>
      </c>
      <c r="J382" s="9" t="s">
        <v>39</v>
      </c>
      <c r="K382" s="9" t="s">
        <v>233</v>
      </c>
      <c r="L382" s="39"/>
      <c r="M382" s="7" t="s">
        <v>1</v>
      </c>
      <c r="N382" s="8"/>
      <c r="O382" s="40"/>
      <c r="P382" s="15"/>
      <c r="Q382" s="9" t="s">
        <v>264</v>
      </c>
      <c r="R382" s="9" t="s">
        <v>265</v>
      </c>
      <c r="S382" s="9"/>
      <c r="T382" s="9">
        <v>941597</v>
      </c>
      <c r="U382" s="16" t="s">
        <v>106</v>
      </c>
      <c r="V382" s="9">
        <v>3902332</v>
      </c>
      <c r="W382" s="8" t="s">
        <v>353</v>
      </c>
      <c r="X382" s="8" t="s">
        <v>317</v>
      </c>
      <c r="Y382" s="8" t="s">
        <v>692</v>
      </c>
      <c r="Z382" s="8">
        <v>3</v>
      </c>
      <c r="AA382" s="8">
        <v>5</v>
      </c>
      <c r="AB382" s="8"/>
      <c r="AC382" s="8" t="s">
        <v>228</v>
      </c>
      <c r="AD382" s="14" t="s">
        <v>229</v>
      </c>
      <c r="AE382" s="8" t="s">
        <v>354</v>
      </c>
      <c r="AF382" s="14">
        <v>0.5</v>
      </c>
      <c r="AG382" s="8">
        <v>1220</v>
      </c>
      <c r="AH382" s="8">
        <v>0</v>
      </c>
      <c r="AI382" s="8">
        <v>280</v>
      </c>
      <c r="AJ382" s="8">
        <v>4.72</v>
      </c>
      <c r="AK382" s="127">
        <v>71.694999999999993</v>
      </c>
      <c r="AL382" s="103">
        <v>82.894999999999996</v>
      </c>
      <c r="AM382" s="8">
        <v>71.694999999999993</v>
      </c>
      <c r="AN382" s="21">
        <v>0</v>
      </c>
      <c r="AO382" s="21">
        <v>0</v>
      </c>
      <c r="AP382" s="21">
        <v>71.694999999999993</v>
      </c>
      <c r="AQ382" s="21">
        <v>0</v>
      </c>
      <c r="AR382" s="21">
        <v>0</v>
      </c>
      <c r="AS382" s="8">
        <v>154.58999999999997</v>
      </c>
      <c r="AT382" s="21">
        <v>0</v>
      </c>
      <c r="AU382" s="21">
        <v>0</v>
      </c>
      <c r="AV382" s="21">
        <v>0</v>
      </c>
      <c r="AW382" s="21">
        <v>154.58999999999997</v>
      </c>
      <c r="AX382" s="21">
        <v>0</v>
      </c>
      <c r="AY382" s="8">
        <v>0</v>
      </c>
    </row>
    <row r="383" spans="1:51" ht="15" customHeight="1" x14ac:dyDescent="0.25">
      <c r="A383" s="9">
        <v>744</v>
      </c>
      <c r="B383" s="13">
        <v>45742</v>
      </c>
      <c r="C383" s="9" t="s">
        <v>169</v>
      </c>
      <c r="D383" s="9">
        <v>9518637595</v>
      </c>
      <c r="E383" s="8">
        <v>5</v>
      </c>
      <c r="F383" s="9" t="s">
        <v>991</v>
      </c>
      <c r="G383" s="79" t="s">
        <v>1303</v>
      </c>
      <c r="H383" s="9" t="s">
        <v>57</v>
      </c>
      <c r="I383" s="9" t="s">
        <v>48</v>
      </c>
      <c r="J383" s="9" t="s">
        <v>39</v>
      </c>
      <c r="K383" s="9" t="s">
        <v>233</v>
      </c>
      <c r="L383" s="39"/>
      <c r="M383" s="7" t="s">
        <v>1</v>
      </c>
      <c r="N383" s="8"/>
      <c r="O383" s="40"/>
      <c r="P383" s="15"/>
      <c r="Q383" s="9" t="s">
        <v>264</v>
      </c>
      <c r="R383" s="9" t="s">
        <v>265</v>
      </c>
      <c r="S383" s="9"/>
      <c r="T383" s="9">
        <v>941597</v>
      </c>
      <c r="U383" s="16" t="s">
        <v>106</v>
      </c>
      <c r="V383" s="9">
        <v>3902332</v>
      </c>
      <c r="W383" s="8" t="s">
        <v>353</v>
      </c>
      <c r="X383" s="8" t="s">
        <v>317</v>
      </c>
      <c r="Y383" s="8" t="s">
        <v>692</v>
      </c>
      <c r="Z383" s="8">
        <v>3</v>
      </c>
      <c r="AA383" s="8">
        <v>5</v>
      </c>
      <c r="AB383" s="8"/>
      <c r="AC383" s="8" t="s">
        <v>228</v>
      </c>
      <c r="AD383" s="14" t="s">
        <v>229</v>
      </c>
      <c r="AE383" s="8" t="s">
        <v>354</v>
      </c>
      <c r="AF383" s="14">
        <v>0.5</v>
      </c>
      <c r="AG383" s="8">
        <v>1220</v>
      </c>
      <c r="AH383" s="8">
        <v>0</v>
      </c>
      <c r="AI383" s="8">
        <v>140</v>
      </c>
      <c r="AJ383" s="8">
        <v>0</v>
      </c>
      <c r="AK383" s="127">
        <v>136.215</v>
      </c>
      <c r="AL383" s="103">
        <v>3.7850000000000001</v>
      </c>
      <c r="AM383" s="8">
        <v>0</v>
      </c>
      <c r="AN383" s="21">
        <v>0</v>
      </c>
      <c r="AO383" s="21">
        <v>0</v>
      </c>
      <c r="AP383" s="21">
        <v>0</v>
      </c>
      <c r="AQ383" s="21">
        <v>0</v>
      </c>
      <c r="AR383" s="21">
        <v>0</v>
      </c>
      <c r="AS383" s="8">
        <v>3.7850000000000001</v>
      </c>
      <c r="AT383" s="21">
        <v>3.7850000000000001</v>
      </c>
      <c r="AU383" s="21">
        <v>0</v>
      </c>
      <c r="AV383" s="21">
        <v>0</v>
      </c>
      <c r="AW383" s="21">
        <v>0</v>
      </c>
      <c r="AX383" s="21">
        <v>0</v>
      </c>
      <c r="AY383" s="8">
        <v>0</v>
      </c>
    </row>
    <row r="384" spans="1:51" ht="15" customHeight="1" x14ac:dyDescent="0.25">
      <c r="A384" s="9">
        <v>742</v>
      </c>
      <c r="B384" s="13">
        <v>45740</v>
      </c>
      <c r="C384" s="9" t="s">
        <v>169</v>
      </c>
      <c r="D384" s="9">
        <v>9518628391</v>
      </c>
      <c r="E384" s="8">
        <v>1</v>
      </c>
      <c r="F384" s="9" t="s">
        <v>992</v>
      </c>
      <c r="G384" s="79" t="s">
        <v>1303</v>
      </c>
      <c r="H384" s="9" t="s">
        <v>57</v>
      </c>
      <c r="I384" s="9" t="s">
        <v>25</v>
      </c>
      <c r="J384" s="9" t="s">
        <v>31</v>
      </c>
      <c r="K384" s="9" t="s">
        <v>170</v>
      </c>
      <c r="L384" s="39"/>
      <c r="M384" s="7" t="s">
        <v>1</v>
      </c>
      <c r="N384" s="8"/>
      <c r="O384" s="40"/>
      <c r="P384" s="15"/>
      <c r="Q384" s="9" t="s">
        <v>172</v>
      </c>
      <c r="R384" s="9" t="s">
        <v>361</v>
      </c>
      <c r="S384" s="9"/>
      <c r="T384" s="9">
        <v>115841</v>
      </c>
      <c r="U384" s="16" t="s">
        <v>76</v>
      </c>
      <c r="V384" s="9">
        <v>3444592</v>
      </c>
      <c r="W384" s="8" t="s">
        <v>472</v>
      </c>
      <c r="X384" s="8" t="s">
        <v>265</v>
      </c>
      <c r="Y384" s="8" t="s">
        <v>175</v>
      </c>
      <c r="Z384" s="8">
        <v>0</v>
      </c>
      <c r="AA384" s="8">
        <v>0</v>
      </c>
      <c r="AB384" s="8"/>
      <c r="AC384" s="8" t="s">
        <v>210</v>
      </c>
      <c r="AD384" s="14" t="s">
        <v>211</v>
      </c>
      <c r="AE384" s="8" t="s">
        <v>212</v>
      </c>
      <c r="AF384" s="14">
        <v>0.45</v>
      </c>
      <c r="AG384" s="8">
        <v>1250</v>
      </c>
      <c r="AH384" s="8">
        <v>2030</v>
      </c>
      <c r="AI384" s="8">
        <v>24</v>
      </c>
      <c r="AJ384" s="8">
        <v>0</v>
      </c>
      <c r="AK384" s="127">
        <v>24</v>
      </c>
      <c r="AL384" s="103">
        <v>0</v>
      </c>
      <c r="AM384" s="8">
        <v>24</v>
      </c>
      <c r="AN384" s="21">
        <v>0</v>
      </c>
      <c r="AO384" s="21">
        <v>0</v>
      </c>
      <c r="AP384" s="21">
        <v>0</v>
      </c>
      <c r="AQ384" s="21">
        <v>24</v>
      </c>
      <c r="AR384" s="21">
        <v>0</v>
      </c>
      <c r="AS384" s="8">
        <v>24</v>
      </c>
      <c r="AT384" s="21">
        <v>0</v>
      </c>
      <c r="AU384" s="21">
        <v>0</v>
      </c>
      <c r="AV384" s="21">
        <v>0</v>
      </c>
      <c r="AW384" s="21">
        <v>24</v>
      </c>
      <c r="AX384" s="21">
        <v>0</v>
      </c>
      <c r="AY384" s="8">
        <v>0</v>
      </c>
    </row>
    <row r="385" spans="1:51" ht="15" customHeight="1" x14ac:dyDescent="0.25">
      <c r="A385" s="9">
        <v>742</v>
      </c>
      <c r="B385" s="13">
        <v>45740</v>
      </c>
      <c r="C385" s="9" t="s">
        <v>169</v>
      </c>
      <c r="D385" s="9">
        <v>9518628321</v>
      </c>
      <c r="E385" s="8">
        <v>3</v>
      </c>
      <c r="F385" s="9" t="s">
        <v>993</v>
      </c>
      <c r="G385" s="79" t="s">
        <v>1303</v>
      </c>
      <c r="H385" s="9" t="s">
        <v>57</v>
      </c>
      <c r="I385" s="9" t="s">
        <v>25</v>
      </c>
      <c r="J385" s="9" t="s">
        <v>31</v>
      </c>
      <c r="K385" s="9" t="s">
        <v>170</v>
      </c>
      <c r="L385" s="39"/>
      <c r="M385" s="7" t="s">
        <v>1</v>
      </c>
      <c r="N385" s="8"/>
      <c r="O385" s="40"/>
      <c r="P385" s="15"/>
      <c r="Q385" s="9" t="s">
        <v>172</v>
      </c>
      <c r="R385" s="9" t="s">
        <v>286</v>
      </c>
      <c r="S385" s="9"/>
      <c r="T385" s="9">
        <v>115841</v>
      </c>
      <c r="U385" s="16" t="s">
        <v>76</v>
      </c>
      <c r="V385" s="9">
        <v>3444592</v>
      </c>
      <c r="W385" s="8" t="s">
        <v>472</v>
      </c>
      <c r="X385" s="8" t="s">
        <v>265</v>
      </c>
      <c r="Y385" s="8" t="s">
        <v>175</v>
      </c>
      <c r="Z385" s="8">
        <v>0</v>
      </c>
      <c r="AA385" s="8">
        <v>0</v>
      </c>
      <c r="AB385" s="8"/>
      <c r="AC385" s="8" t="s">
        <v>210</v>
      </c>
      <c r="AD385" s="14" t="s">
        <v>211</v>
      </c>
      <c r="AE385" s="8" t="s">
        <v>212</v>
      </c>
      <c r="AF385" s="14">
        <v>0.45</v>
      </c>
      <c r="AG385" s="8">
        <v>1250</v>
      </c>
      <c r="AH385" s="8">
        <v>2030</v>
      </c>
      <c r="AI385" s="8">
        <v>27</v>
      </c>
      <c r="AJ385" s="8">
        <v>0</v>
      </c>
      <c r="AK385" s="127">
        <v>27</v>
      </c>
      <c r="AL385" s="103">
        <v>0</v>
      </c>
      <c r="AM385" s="8">
        <v>27</v>
      </c>
      <c r="AN385" s="21">
        <v>0</v>
      </c>
      <c r="AO385" s="21">
        <v>0</v>
      </c>
      <c r="AP385" s="21">
        <v>0</v>
      </c>
      <c r="AQ385" s="21">
        <v>27</v>
      </c>
      <c r="AR385" s="21">
        <v>0</v>
      </c>
      <c r="AS385" s="8">
        <v>27</v>
      </c>
      <c r="AT385" s="21">
        <v>0</v>
      </c>
      <c r="AU385" s="21">
        <v>0</v>
      </c>
      <c r="AV385" s="21">
        <v>0</v>
      </c>
      <c r="AW385" s="21">
        <v>27</v>
      </c>
      <c r="AX385" s="21">
        <v>0</v>
      </c>
      <c r="AY385" s="8">
        <v>0</v>
      </c>
    </row>
    <row r="386" spans="1:51" ht="15" customHeight="1" x14ac:dyDescent="0.25">
      <c r="A386" s="9">
        <v>743</v>
      </c>
      <c r="B386" s="13">
        <v>45729</v>
      </c>
      <c r="C386" s="9" t="s">
        <v>169</v>
      </c>
      <c r="D386" s="9">
        <v>9518598100</v>
      </c>
      <c r="E386" s="8">
        <v>6</v>
      </c>
      <c r="F386" s="9" t="s">
        <v>994</v>
      </c>
      <c r="G386" s="79" t="s">
        <v>1303</v>
      </c>
      <c r="H386" s="9" t="s">
        <v>57</v>
      </c>
      <c r="I386" s="9" t="s">
        <v>43</v>
      </c>
      <c r="J386" s="9" t="s">
        <v>45</v>
      </c>
      <c r="K386" s="9" t="s">
        <v>170</v>
      </c>
      <c r="L386" s="39"/>
      <c r="M386" s="7" t="s">
        <v>1</v>
      </c>
      <c r="N386" s="8"/>
      <c r="O386" s="40"/>
      <c r="P386" s="15"/>
      <c r="Q386" s="9" t="s">
        <v>180</v>
      </c>
      <c r="R386" s="9" t="s">
        <v>318</v>
      </c>
      <c r="S386" s="9"/>
      <c r="T386" s="9">
        <v>103227</v>
      </c>
      <c r="U386" s="16" t="s">
        <v>91</v>
      </c>
      <c r="V386" s="9">
        <v>1854429</v>
      </c>
      <c r="W386" s="8" t="s">
        <v>474</v>
      </c>
      <c r="X386" s="8" t="s">
        <v>308</v>
      </c>
      <c r="Y386" s="8" t="s">
        <v>175</v>
      </c>
      <c r="Z386" s="8">
        <v>2</v>
      </c>
      <c r="AA386" s="8">
        <v>6</v>
      </c>
      <c r="AB386" s="8"/>
      <c r="AC386" s="8" t="s">
        <v>238</v>
      </c>
      <c r="AD386" s="14" t="s">
        <v>185</v>
      </c>
      <c r="AE386" s="8" t="s">
        <v>186</v>
      </c>
      <c r="AF386" s="14">
        <v>0.63</v>
      </c>
      <c r="AG386" s="8">
        <v>900</v>
      </c>
      <c r="AH386" s="8">
        <v>0</v>
      </c>
      <c r="AI386" s="8">
        <v>84</v>
      </c>
      <c r="AJ386" s="8">
        <v>0</v>
      </c>
      <c r="AK386" s="127">
        <v>25.145</v>
      </c>
      <c r="AL386" s="103">
        <v>63.535000000000004</v>
      </c>
      <c r="AM386" s="8">
        <v>25.145</v>
      </c>
      <c r="AN386" s="21">
        <v>25.145</v>
      </c>
      <c r="AO386" s="21">
        <v>0</v>
      </c>
      <c r="AP386" s="21">
        <v>0</v>
      </c>
      <c r="AQ386" s="21">
        <v>0</v>
      </c>
      <c r="AR386" s="21">
        <v>0</v>
      </c>
      <c r="AS386" s="8">
        <v>88.68</v>
      </c>
      <c r="AT386" s="21">
        <v>0</v>
      </c>
      <c r="AU386" s="21">
        <v>88.68</v>
      </c>
      <c r="AV386" s="21">
        <v>0</v>
      </c>
      <c r="AW386" s="21">
        <v>0</v>
      </c>
      <c r="AX386" s="21">
        <v>0</v>
      </c>
      <c r="AY386" s="8">
        <v>0</v>
      </c>
    </row>
    <row r="387" spans="1:51" ht="15" customHeight="1" x14ac:dyDescent="0.25">
      <c r="A387" s="9">
        <v>742</v>
      </c>
      <c r="B387" s="13">
        <v>45742</v>
      </c>
      <c r="C387" s="9" t="s">
        <v>169</v>
      </c>
      <c r="D387" s="9">
        <v>9518637426</v>
      </c>
      <c r="E387" s="8">
        <v>1</v>
      </c>
      <c r="F387" s="9" t="s">
        <v>995</v>
      </c>
      <c r="G387" s="79" t="s">
        <v>1303</v>
      </c>
      <c r="H387" s="9" t="s">
        <v>57</v>
      </c>
      <c r="I387" s="9" t="s">
        <v>25</v>
      </c>
      <c r="J387" s="9" t="s">
        <v>30</v>
      </c>
      <c r="K387" s="9" t="s">
        <v>170</v>
      </c>
      <c r="L387" s="39"/>
      <c r="M387" s="7" t="s">
        <v>1</v>
      </c>
      <c r="N387" s="8"/>
      <c r="O387" s="40"/>
      <c r="P387" s="15"/>
      <c r="Q387" s="9" t="s">
        <v>180</v>
      </c>
      <c r="R387" s="9" t="s">
        <v>364</v>
      </c>
      <c r="S387" s="9"/>
      <c r="T387" s="9">
        <v>139336</v>
      </c>
      <c r="U387" s="16" t="s">
        <v>92</v>
      </c>
      <c r="V387" s="9">
        <v>322577</v>
      </c>
      <c r="W387" s="8" t="s">
        <v>1153</v>
      </c>
      <c r="X387" s="8" t="s">
        <v>265</v>
      </c>
      <c r="Y387" s="8" t="s">
        <v>175</v>
      </c>
      <c r="Z387" s="8">
        <v>2</v>
      </c>
      <c r="AA387" s="8">
        <v>3</v>
      </c>
      <c r="AB387" s="8"/>
      <c r="AC387" s="8" t="s">
        <v>210</v>
      </c>
      <c r="AD387" s="14" t="s">
        <v>211</v>
      </c>
      <c r="AE387" s="8" t="s">
        <v>252</v>
      </c>
      <c r="AF387" s="14">
        <v>1.6</v>
      </c>
      <c r="AG387" s="8">
        <v>1250</v>
      </c>
      <c r="AH387" s="8">
        <v>2500</v>
      </c>
      <c r="AI387" s="8">
        <v>60</v>
      </c>
      <c r="AJ387" s="8">
        <v>0</v>
      </c>
      <c r="AK387" s="127">
        <v>60</v>
      </c>
      <c r="AL387" s="103">
        <v>0</v>
      </c>
      <c r="AM387" s="8">
        <v>60</v>
      </c>
      <c r="AN387" s="21">
        <v>0</v>
      </c>
      <c r="AO387" s="21">
        <v>0</v>
      </c>
      <c r="AP387" s="21">
        <v>0</v>
      </c>
      <c r="AQ387" s="21">
        <v>60</v>
      </c>
      <c r="AR387" s="21">
        <v>0</v>
      </c>
      <c r="AS387" s="8">
        <v>60</v>
      </c>
      <c r="AT387" s="21">
        <v>0</v>
      </c>
      <c r="AU387" s="21">
        <v>0</v>
      </c>
      <c r="AV387" s="21">
        <v>0</v>
      </c>
      <c r="AW387" s="21">
        <v>60</v>
      </c>
      <c r="AX387" s="21">
        <v>0</v>
      </c>
      <c r="AY387" s="8">
        <v>0</v>
      </c>
    </row>
    <row r="388" spans="1:51" ht="15" customHeight="1" x14ac:dyDescent="0.25">
      <c r="A388" s="9">
        <v>743</v>
      </c>
      <c r="B388" s="13">
        <v>45761</v>
      </c>
      <c r="C388" s="9" t="s">
        <v>169</v>
      </c>
      <c r="D388" s="9">
        <v>9518692220</v>
      </c>
      <c r="E388" s="8">
        <v>8</v>
      </c>
      <c r="F388" s="9" t="s">
        <v>996</v>
      </c>
      <c r="G388" s="79" t="s">
        <v>1303</v>
      </c>
      <c r="H388" s="9" t="s">
        <v>57</v>
      </c>
      <c r="I388" s="9" t="s">
        <v>43</v>
      </c>
      <c r="J388" s="9" t="s">
        <v>45</v>
      </c>
      <c r="K388" s="9" t="s">
        <v>170</v>
      </c>
      <c r="L388" s="39"/>
      <c r="M388" s="7" t="s">
        <v>1</v>
      </c>
      <c r="N388" s="8"/>
      <c r="O388" s="40"/>
      <c r="P388" s="15"/>
      <c r="Q388" s="9" t="s">
        <v>180</v>
      </c>
      <c r="R388" s="9" t="s">
        <v>265</v>
      </c>
      <c r="S388" s="9"/>
      <c r="T388" s="9">
        <v>121328</v>
      </c>
      <c r="U388" s="16" t="s">
        <v>81</v>
      </c>
      <c r="V388" s="9">
        <v>1854418</v>
      </c>
      <c r="W388" s="8" t="s">
        <v>456</v>
      </c>
      <c r="X388" s="8" t="s">
        <v>308</v>
      </c>
      <c r="Y388" s="8" t="s">
        <v>175</v>
      </c>
      <c r="Z388" s="8">
        <v>4</v>
      </c>
      <c r="AA388" s="8">
        <v>12</v>
      </c>
      <c r="AB388" s="8"/>
      <c r="AC388" s="8" t="s">
        <v>238</v>
      </c>
      <c r="AD388" s="14" t="s">
        <v>185</v>
      </c>
      <c r="AE388" s="8" t="s">
        <v>186</v>
      </c>
      <c r="AF388" s="14">
        <v>0.5</v>
      </c>
      <c r="AG388" s="8">
        <v>900</v>
      </c>
      <c r="AH388" s="8">
        <v>0</v>
      </c>
      <c r="AI388" s="8">
        <v>147</v>
      </c>
      <c r="AJ388" s="8">
        <v>0</v>
      </c>
      <c r="AK388" s="127">
        <v>147</v>
      </c>
      <c r="AL388" s="103">
        <v>0</v>
      </c>
      <c r="AM388" s="8">
        <v>147</v>
      </c>
      <c r="AN388" s="21">
        <v>0</v>
      </c>
      <c r="AO388" s="21">
        <v>147</v>
      </c>
      <c r="AP388" s="21">
        <v>0</v>
      </c>
      <c r="AQ388" s="21">
        <v>0</v>
      </c>
      <c r="AR388" s="21">
        <v>0</v>
      </c>
      <c r="AS388" s="8">
        <v>147</v>
      </c>
      <c r="AT388" s="21">
        <v>0</v>
      </c>
      <c r="AU388" s="21">
        <v>147</v>
      </c>
      <c r="AV388" s="21">
        <v>0</v>
      </c>
      <c r="AW388" s="21">
        <v>0</v>
      </c>
      <c r="AX388" s="21">
        <v>0</v>
      </c>
      <c r="AY388" s="8">
        <v>0</v>
      </c>
    </row>
    <row r="389" spans="1:51" ht="15" customHeight="1" x14ac:dyDescent="0.25">
      <c r="A389" s="9">
        <v>743</v>
      </c>
      <c r="B389" s="13">
        <v>45761</v>
      </c>
      <c r="C389" s="9" t="s">
        <v>169</v>
      </c>
      <c r="D389" s="9">
        <v>9518692220</v>
      </c>
      <c r="E389" s="8">
        <v>9</v>
      </c>
      <c r="F389" s="9" t="s">
        <v>997</v>
      </c>
      <c r="G389" s="9" t="s">
        <v>1303</v>
      </c>
      <c r="H389" s="9" t="s">
        <v>57</v>
      </c>
      <c r="I389" s="9" t="s">
        <v>43</v>
      </c>
      <c r="J389" s="9" t="s">
        <v>45</v>
      </c>
      <c r="K389" s="9" t="s">
        <v>170</v>
      </c>
      <c r="L389" s="39"/>
      <c r="M389" s="7" t="s">
        <v>1</v>
      </c>
      <c r="N389" s="8"/>
      <c r="O389" s="40"/>
      <c r="P389" s="15"/>
      <c r="Q389" s="9" t="s">
        <v>180</v>
      </c>
      <c r="R389" s="9" t="s">
        <v>265</v>
      </c>
      <c r="S389" s="9"/>
      <c r="T389" s="9">
        <v>121328</v>
      </c>
      <c r="U389" s="16" t="s">
        <v>81</v>
      </c>
      <c r="V389" s="9">
        <v>1854418</v>
      </c>
      <c r="W389" s="8" t="s">
        <v>456</v>
      </c>
      <c r="X389" s="8" t="s">
        <v>308</v>
      </c>
      <c r="Y389" s="8" t="s">
        <v>175</v>
      </c>
      <c r="Z389" s="8">
        <v>4</v>
      </c>
      <c r="AA389" s="8">
        <v>12</v>
      </c>
      <c r="AB389" s="8"/>
      <c r="AC389" s="8" t="s">
        <v>238</v>
      </c>
      <c r="AD389" s="14" t="s">
        <v>185</v>
      </c>
      <c r="AE389" s="8" t="s">
        <v>186</v>
      </c>
      <c r="AF389" s="14">
        <v>0.5</v>
      </c>
      <c r="AG389" s="8">
        <v>900</v>
      </c>
      <c r="AH389" s="8">
        <v>0</v>
      </c>
      <c r="AI389" s="8">
        <v>147</v>
      </c>
      <c r="AJ389" s="8">
        <v>0</v>
      </c>
      <c r="AK389" s="127">
        <v>147</v>
      </c>
      <c r="AL389" s="103">
        <v>0</v>
      </c>
      <c r="AM389" s="8">
        <v>147</v>
      </c>
      <c r="AN389" s="21">
        <v>0</v>
      </c>
      <c r="AO389" s="21">
        <v>0</v>
      </c>
      <c r="AP389" s="21">
        <v>0</v>
      </c>
      <c r="AQ389" s="21">
        <v>147</v>
      </c>
      <c r="AR389" s="21">
        <v>0</v>
      </c>
      <c r="AS389" s="8">
        <v>147</v>
      </c>
      <c r="AT389" s="21">
        <v>0</v>
      </c>
      <c r="AU389" s="21">
        <v>0</v>
      </c>
      <c r="AV389" s="21">
        <v>0</v>
      </c>
      <c r="AW389" s="21">
        <v>0</v>
      </c>
      <c r="AX389" s="21">
        <v>147</v>
      </c>
      <c r="AY389" s="8">
        <v>0</v>
      </c>
    </row>
    <row r="390" spans="1:51" ht="15" customHeight="1" x14ac:dyDescent="0.25">
      <c r="A390" s="9">
        <v>744</v>
      </c>
      <c r="B390" s="13">
        <v>45745</v>
      </c>
      <c r="C390" s="9" t="s">
        <v>169</v>
      </c>
      <c r="D390" s="9">
        <v>9518653307</v>
      </c>
      <c r="E390" s="8">
        <v>4</v>
      </c>
      <c r="F390" s="9" t="s">
        <v>998</v>
      </c>
      <c r="G390" s="79" t="s">
        <v>1303</v>
      </c>
      <c r="H390" s="9" t="s">
        <v>57</v>
      </c>
      <c r="I390" s="9" t="s">
        <v>48</v>
      </c>
      <c r="J390" s="9" t="s">
        <v>39</v>
      </c>
      <c r="K390" s="9" t="s">
        <v>233</v>
      </c>
      <c r="L390" s="39"/>
      <c r="M390" s="7" t="s">
        <v>1</v>
      </c>
      <c r="N390" s="8"/>
      <c r="O390" s="40"/>
      <c r="P390" s="15"/>
      <c r="Q390" s="9" t="s">
        <v>264</v>
      </c>
      <c r="R390" s="9" t="s">
        <v>234</v>
      </c>
      <c r="S390" s="9"/>
      <c r="T390" s="9">
        <v>940008</v>
      </c>
      <c r="U390" s="16" t="s">
        <v>133</v>
      </c>
      <c r="V390" s="9">
        <v>3522241</v>
      </c>
      <c r="W390" s="8" t="s">
        <v>348</v>
      </c>
      <c r="X390" s="8" t="s">
        <v>349</v>
      </c>
      <c r="Y390" s="8" t="s">
        <v>1179</v>
      </c>
      <c r="Z390" s="8">
        <v>3</v>
      </c>
      <c r="AA390" s="8">
        <v>5</v>
      </c>
      <c r="AB390" s="8"/>
      <c r="AC390" s="8" t="s">
        <v>228</v>
      </c>
      <c r="AD390" s="14" t="s">
        <v>229</v>
      </c>
      <c r="AE390" s="8" t="s">
        <v>232</v>
      </c>
      <c r="AF390" s="14">
        <v>0.43</v>
      </c>
      <c r="AG390" s="8">
        <v>1220</v>
      </c>
      <c r="AH390" s="8">
        <v>0</v>
      </c>
      <c r="AI390" s="8">
        <v>280</v>
      </c>
      <c r="AJ390" s="8">
        <v>0</v>
      </c>
      <c r="AK390" s="127">
        <v>50.17</v>
      </c>
      <c r="AL390" s="103">
        <v>25.11</v>
      </c>
      <c r="AM390" s="8">
        <v>50.17</v>
      </c>
      <c r="AN390" s="21">
        <v>0</v>
      </c>
      <c r="AO390" s="21">
        <v>0</v>
      </c>
      <c r="AP390" s="21">
        <v>50.17</v>
      </c>
      <c r="AQ390" s="21">
        <v>0</v>
      </c>
      <c r="AR390" s="21">
        <v>0</v>
      </c>
      <c r="AS390" s="8">
        <v>75.28</v>
      </c>
      <c r="AT390" s="21">
        <v>0</v>
      </c>
      <c r="AU390" s="21">
        <v>0</v>
      </c>
      <c r="AV390" s="21">
        <v>0</v>
      </c>
      <c r="AW390" s="21">
        <v>75.28</v>
      </c>
      <c r="AX390" s="21">
        <v>0</v>
      </c>
      <c r="AY390" s="8">
        <v>0</v>
      </c>
    </row>
    <row r="391" spans="1:51" ht="15" customHeight="1" x14ac:dyDescent="0.25">
      <c r="A391" s="9">
        <v>744</v>
      </c>
      <c r="B391" s="13">
        <v>45750</v>
      </c>
      <c r="C391" s="9" t="s">
        <v>169</v>
      </c>
      <c r="D391" s="9">
        <v>9518666670</v>
      </c>
      <c r="E391" s="8">
        <v>1</v>
      </c>
      <c r="F391" s="9" t="s">
        <v>999</v>
      </c>
      <c r="G391" s="79" t="s">
        <v>1303</v>
      </c>
      <c r="H391" s="9" t="s">
        <v>57</v>
      </c>
      <c r="I391" s="9" t="s">
        <v>48</v>
      </c>
      <c r="J391" s="9" t="s">
        <v>39</v>
      </c>
      <c r="K391" s="9" t="s">
        <v>233</v>
      </c>
      <c r="L391" s="39"/>
      <c r="M391" s="7" t="s">
        <v>1</v>
      </c>
      <c r="N391" s="8"/>
      <c r="O391" s="40"/>
      <c r="P391" s="15"/>
      <c r="Q391" s="9" t="s">
        <v>264</v>
      </c>
      <c r="R391" s="9" t="s">
        <v>265</v>
      </c>
      <c r="S391" s="9"/>
      <c r="T391" s="9">
        <v>941597</v>
      </c>
      <c r="U391" s="16" t="s">
        <v>106</v>
      </c>
      <c r="V391" s="9">
        <v>3940122</v>
      </c>
      <c r="W391" s="8" t="s">
        <v>684</v>
      </c>
      <c r="X391" s="8" t="s">
        <v>317</v>
      </c>
      <c r="Y391" s="8" t="s">
        <v>413</v>
      </c>
      <c r="Z391" s="8">
        <v>3</v>
      </c>
      <c r="AA391" s="8">
        <v>5</v>
      </c>
      <c r="AB391" s="8"/>
      <c r="AC391" s="8" t="s">
        <v>228</v>
      </c>
      <c r="AD391" s="14" t="s">
        <v>229</v>
      </c>
      <c r="AE391" s="8" t="s">
        <v>354</v>
      </c>
      <c r="AF391" s="14">
        <v>0.47</v>
      </c>
      <c r="AG391" s="8">
        <v>1220</v>
      </c>
      <c r="AH391" s="8">
        <v>0</v>
      </c>
      <c r="AI391" s="8">
        <v>28</v>
      </c>
      <c r="AJ391" s="8">
        <v>0</v>
      </c>
      <c r="AK391" s="127">
        <v>28</v>
      </c>
      <c r="AL391" s="103">
        <v>0</v>
      </c>
      <c r="AM391" s="8">
        <v>28</v>
      </c>
      <c r="AN391" s="21">
        <v>0</v>
      </c>
      <c r="AO391" s="21">
        <v>0</v>
      </c>
      <c r="AP391" s="21">
        <v>0</v>
      </c>
      <c r="AQ391" s="21">
        <v>28</v>
      </c>
      <c r="AR391" s="21">
        <v>0</v>
      </c>
      <c r="AS391" s="8">
        <v>28</v>
      </c>
      <c r="AT391" s="21">
        <v>0</v>
      </c>
      <c r="AU391" s="21">
        <v>0</v>
      </c>
      <c r="AV391" s="21">
        <v>0</v>
      </c>
      <c r="AW391" s="21">
        <v>28</v>
      </c>
      <c r="AX391" s="21">
        <v>0</v>
      </c>
      <c r="AY391" s="8">
        <v>0</v>
      </c>
    </row>
    <row r="392" spans="1:51" ht="15" customHeight="1" x14ac:dyDescent="0.25">
      <c r="A392" s="9">
        <v>742</v>
      </c>
      <c r="B392" s="13">
        <v>45757</v>
      </c>
      <c r="C392" s="9" t="s">
        <v>169</v>
      </c>
      <c r="D392" s="9">
        <v>9518683200</v>
      </c>
      <c r="E392" s="8">
        <v>10</v>
      </c>
      <c r="F392" s="9" t="s">
        <v>1000</v>
      </c>
      <c r="G392" s="79" t="s">
        <v>1303</v>
      </c>
      <c r="H392" s="9" t="s">
        <v>57</v>
      </c>
      <c r="I392" s="9" t="s">
        <v>25</v>
      </c>
      <c r="J392" s="9" t="s">
        <v>31</v>
      </c>
      <c r="K392" s="9" t="s">
        <v>170</v>
      </c>
      <c r="L392" s="39"/>
      <c r="M392" s="7" t="s">
        <v>1</v>
      </c>
      <c r="N392" s="8"/>
      <c r="O392" s="40"/>
      <c r="P392" s="15"/>
      <c r="Q392" s="9" t="s">
        <v>214</v>
      </c>
      <c r="R392" s="9" t="s">
        <v>215</v>
      </c>
      <c r="S392" s="9"/>
      <c r="T392" s="9">
        <v>946077</v>
      </c>
      <c r="U392" s="16" t="s">
        <v>83</v>
      </c>
      <c r="V392" s="9">
        <v>3240776</v>
      </c>
      <c r="W392" s="8" t="s">
        <v>490</v>
      </c>
      <c r="X392" s="8" t="s">
        <v>265</v>
      </c>
      <c r="Y392" s="8" t="s">
        <v>175</v>
      </c>
      <c r="Z392" s="8">
        <v>0</v>
      </c>
      <c r="AA392" s="8">
        <v>0</v>
      </c>
      <c r="AB392" s="8"/>
      <c r="AC392" s="8" t="s">
        <v>210</v>
      </c>
      <c r="AD392" s="14" t="s">
        <v>218</v>
      </c>
      <c r="AE392" s="8" t="s">
        <v>250</v>
      </c>
      <c r="AF392" s="14">
        <v>0.6</v>
      </c>
      <c r="AG392" s="8">
        <v>1000</v>
      </c>
      <c r="AH392" s="8">
        <v>2440</v>
      </c>
      <c r="AI392" s="8">
        <v>69</v>
      </c>
      <c r="AJ392" s="8">
        <v>0</v>
      </c>
      <c r="AK392" s="127">
        <v>69</v>
      </c>
      <c r="AL392" s="103">
        <v>0</v>
      </c>
      <c r="AM392" s="8">
        <v>69</v>
      </c>
      <c r="AN392" s="21">
        <v>0</v>
      </c>
      <c r="AO392" s="21">
        <v>69</v>
      </c>
      <c r="AP392" s="21">
        <v>0</v>
      </c>
      <c r="AQ392" s="21">
        <v>0</v>
      </c>
      <c r="AR392" s="21">
        <v>0</v>
      </c>
      <c r="AS392" s="8">
        <v>69</v>
      </c>
      <c r="AT392" s="21">
        <v>0</v>
      </c>
      <c r="AU392" s="21">
        <v>69</v>
      </c>
      <c r="AV392" s="21">
        <v>0</v>
      </c>
      <c r="AW392" s="21">
        <v>0</v>
      </c>
      <c r="AX392" s="21">
        <v>0</v>
      </c>
      <c r="AY392" s="8">
        <v>0</v>
      </c>
    </row>
    <row r="393" spans="1:51" ht="15" customHeight="1" x14ac:dyDescent="0.25">
      <c r="A393" s="9">
        <v>742</v>
      </c>
      <c r="B393" s="13">
        <v>45757</v>
      </c>
      <c r="C393" s="9" t="s">
        <v>169</v>
      </c>
      <c r="D393" s="9">
        <v>9518683200</v>
      </c>
      <c r="E393" s="8">
        <v>11</v>
      </c>
      <c r="F393" s="9" t="s">
        <v>1001</v>
      </c>
      <c r="G393" s="9" t="s">
        <v>1687</v>
      </c>
      <c r="H393" s="9" t="s">
        <v>57</v>
      </c>
      <c r="I393" s="9" t="s">
        <v>25</v>
      </c>
      <c r="J393" s="9" t="s">
        <v>31</v>
      </c>
      <c r="K393" s="9" t="s">
        <v>170</v>
      </c>
      <c r="L393" s="39"/>
      <c r="M393" s="7" t="s">
        <v>1</v>
      </c>
      <c r="N393" s="8"/>
      <c r="O393" s="40"/>
      <c r="P393" s="15"/>
      <c r="Q393" s="9" t="s">
        <v>214</v>
      </c>
      <c r="R393" s="9" t="s">
        <v>215</v>
      </c>
      <c r="S393" s="9"/>
      <c r="T393" s="9">
        <v>946077</v>
      </c>
      <c r="U393" s="16" t="s">
        <v>83</v>
      </c>
      <c r="V393" s="9">
        <v>3240785</v>
      </c>
      <c r="W393" s="8" t="s">
        <v>467</v>
      </c>
      <c r="X393" s="8" t="s">
        <v>265</v>
      </c>
      <c r="Y393" s="8" t="s">
        <v>175</v>
      </c>
      <c r="Z393" s="8">
        <v>0</v>
      </c>
      <c r="AA393" s="8">
        <v>0</v>
      </c>
      <c r="AB393" s="8"/>
      <c r="AC393" s="8" t="s">
        <v>210</v>
      </c>
      <c r="AD393" s="14" t="s">
        <v>218</v>
      </c>
      <c r="AE393" s="8" t="s">
        <v>250</v>
      </c>
      <c r="AF393" s="14">
        <v>0.6</v>
      </c>
      <c r="AG393" s="8">
        <v>1250</v>
      </c>
      <c r="AH393" s="8">
        <v>2500</v>
      </c>
      <c r="AI393" s="8">
        <v>18</v>
      </c>
      <c r="AJ393" s="8">
        <v>2.7</v>
      </c>
      <c r="AK393" s="127">
        <v>15.3</v>
      </c>
      <c r="AL393" s="103">
        <v>2.7</v>
      </c>
      <c r="AM393" s="8">
        <v>0</v>
      </c>
      <c r="AN393" s="21">
        <v>0</v>
      </c>
      <c r="AO393" s="21">
        <v>0</v>
      </c>
      <c r="AP393" s="21">
        <v>0</v>
      </c>
      <c r="AQ393" s="21">
        <v>0</v>
      </c>
      <c r="AR393" s="21">
        <v>0</v>
      </c>
      <c r="AS393" s="8">
        <v>2.7</v>
      </c>
      <c r="AT393" s="21">
        <v>2.7</v>
      </c>
      <c r="AU393" s="21">
        <v>0</v>
      </c>
      <c r="AV393" s="21">
        <v>0</v>
      </c>
      <c r="AW393" s="21">
        <v>0</v>
      </c>
      <c r="AX393" s="21">
        <v>0</v>
      </c>
      <c r="AY393" s="8">
        <v>0</v>
      </c>
    </row>
    <row r="394" spans="1:51" ht="15" customHeight="1" x14ac:dyDescent="0.25">
      <c r="A394" s="9">
        <v>742</v>
      </c>
      <c r="B394" s="13">
        <v>45757</v>
      </c>
      <c r="C394" s="9" t="s">
        <v>169</v>
      </c>
      <c r="D394" s="9">
        <v>9518683200</v>
      </c>
      <c r="E394" s="8">
        <v>13</v>
      </c>
      <c r="F394" s="9" t="s">
        <v>1002</v>
      </c>
      <c r="G394" s="79" t="s">
        <v>1303</v>
      </c>
      <c r="H394" s="9" t="s">
        <v>57</v>
      </c>
      <c r="I394" s="9" t="s">
        <v>25</v>
      </c>
      <c r="J394" s="9" t="s">
        <v>31</v>
      </c>
      <c r="K394" s="9" t="s">
        <v>170</v>
      </c>
      <c r="L394" s="39"/>
      <c r="M394" s="7" t="s">
        <v>1</v>
      </c>
      <c r="N394" s="8"/>
      <c r="O394" s="40"/>
      <c r="P394" s="15"/>
      <c r="Q394" s="9" t="s">
        <v>214</v>
      </c>
      <c r="R394" s="9" t="s">
        <v>215</v>
      </c>
      <c r="S394" s="9"/>
      <c r="T394" s="9">
        <v>946077</v>
      </c>
      <c r="U394" s="16" t="s">
        <v>83</v>
      </c>
      <c r="V394" s="9">
        <v>3240812</v>
      </c>
      <c r="W394" s="8" t="s">
        <v>284</v>
      </c>
      <c r="X394" s="8" t="s">
        <v>265</v>
      </c>
      <c r="Y394" s="8" t="s">
        <v>175</v>
      </c>
      <c r="Z394" s="8">
        <v>0</v>
      </c>
      <c r="AA394" s="8">
        <v>0</v>
      </c>
      <c r="AB394" s="8"/>
      <c r="AC394" s="8" t="s">
        <v>210</v>
      </c>
      <c r="AD394" s="14" t="s">
        <v>218</v>
      </c>
      <c r="AE394" s="8" t="s">
        <v>250</v>
      </c>
      <c r="AF394" s="14">
        <v>0.8</v>
      </c>
      <c r="AG394" s="8">
        <v>1000</v>
      </c>
      <c r="AH394" s="8">
        <v>2500</v>
      </c>
      <c r="AI394" s="8">
        <v>24</v>
      </c>
      <c r="AJ394" s="8">
        <v>0</v>
      </c>
      <c r="AK394" s="127">
        <v>24</v>
      </c>
      <c r="AL394" s="103">
        <v>0</v>
      </c>
      <c r="AM394" s="8">
        <v>24</v>
      </c>
      <c r="AN394" s="21">
        <v>0</v>
      </c>
      <c r="AO394" s="21">
        <v>24</v>
      </c>
      <c r="AP394" s="21">
        <v>0</v>
      </c>
      <c r="AQ394" s="21">
        <v>0</v>
      </c>
      <c r="AR394" s="21">
        <v>0</v>
      </c>
      <c r="AS394" s="8">
        <v>24</v>
      </c>
      <c r="AT394" s="21">
        <v>0</v>
      </c>
      <c r="AU394" s="21">
        <v>24</v>
      </c>
      <c r="AV394" s="21">
        <v>0</v>
      </c>
      <c r="AW394" s="21">
        <v>0</v>
      </c>
      <c r="AX394" s="21">
        <v>0</v>
      </c>
      <c r="AY394" s="8">
        <v>0</v>
      </c>
    </row>
    <row r="395" spans="1:51" ht="15" customHeight="1" x14ac:dyDescent="0.25">
      <c r="A395" s="9">
        <v>744</v>
      </c>
      <c r="B395" s="13">
        <v>45755</v>
      </c>
      <c r="C395" s="9" t="s">
        <v>169</v>
      </c>
      <c r="D395" s="9">
        <v>9518677599</v>
      </c>
      <c r="E395" s="8">
        <v>1</v>
      </c>
      <c r="F395" s="9" t="s">
        <v>1003</v>
      </c>
      <c r="G395" s="79" t="s">
        <v>1303</v>
      </c>
      <c r="H395" s="9" t="s">
        <v>57</v>
      </c>
      <c r="I395" s="9" t="s">
        <v>48</v>
      </c>
      <c r="J395" s="9" t="s">
        <v>39</v>
      </c>
      <c r="K395" s="9" t="s">
        <v>233</v>
      </c>
      <c r="L395" s="39"/>
      <c r="M395" s="7" t="s">
        <v>1</v>
      </c>
      <c r="N395" s="8"/>
      <c r="O395" s="40"/>
      <c r="P395" s="15"/>
      <c r="Q395" s="9" t="s">
        <v>264</v>
      </c>
      <c r="R395" s="9" t="s">
        <v>265</v>
      </c>
      <c r="S395" s="9"/>
      <c r="T395" s="9">
        <v>941597</v>
      </c>
      <c r="U395" s="16" t="s">
        <v>106</v>
      </c>
      <c r="V395" s="9">
        <v>3933289</v>
      </c>
      <c r="W395" s="8" t="s">
        <v>1154</v>
      </c>
      <c r="X395" s="8" t="s">
        <v>296</v>
      </c>
      <c r="Y395" s="8" t="s">
        <v>392</v>
      </c>
      <c r="Z395" s="8">
        <v>3</v>
      </c>
      <c r="AA395" s="8">
        <v>5</v>
      </c>
      <c r="AB395" s="8"/>
      <c r="AC395" s="8" t="s">
        <v>228</v>
      </c>
      <c r="AD395" s="14" t="s">
        <v>229</v>
      </c>
      <c r="AE395" s="8" t="s">
        <v>391</v>
      </c>
      <c r="AF395" s="14">
        <v>0.5</v>
      </c>
      <c r="AG395" s="8">
        <v>1220</v>
      </c>
      <c r="AH395" s="8">
        <v>0</v>
      </c>
      <c r="AI395" s="8">
        <v>28</v>
      </c>
      <c r="AJ395" s="8">
        <v>0</v>
      </c>
      <c r="AK395" s="127">
        <v>28</v>
      </c>
      <c r="AL395" s="103">
        <v>0</v>
      </c>
      <c r="AM395" s="8">
        <v>28</v>
      </c>
      <c r="AN395" s="21">
        <v>0</v>
      </c>
      <c r="AO395" s="21">
        <v>28</v>
      </c>
      <c r="AP395" s="21">
        <v>0</v>
      </c>
      <c r="AQ395" s="21">
        <v>0</v>
      </c>
      <c r="AR395" s="21">
        <v>0</v>
      </c>
      <c r="AS395" s="8">
        <v>28</v>
      </c>
      <c r="AT395" s="21">
        <v>0</v>
      </c>
      <c r="AU395" s="21">
        <v>28</v>
      </c>
      <c r="AV395" s="21">
        <v>0</v>
      </c>
      <c r="AW395" s="21">
        <v>0</v>
      </c>
      <c r="AX395" s="21">
        <v>0</v>
      </c>
      <c r="AY395" s="8">
        <v>0</v>
      </c>
    </row>
    <row r="396" spans="1:51" ht="15" customHeight="1" x14ac:dyDescent="0.25">
      <c r="A396" s="9">
        <v>744</v>
      </c>
      <c r="B396" s="13">
        <v>45751</v>
      </c>
      <c r="C396" s="9" t="s">
        <v>169</v>
      </c>
      <c r="D396" s="9">
        <v>9518670143</v>
      </c>
      <c r="E396" s="8">
        <v>1</v>
      </c>
      <c r="F396" s="9" t="s">
        <v>1004</v>
      </c>
      <c r="G396" s="9" t="s">
        <v>1687</v>
      </c>
      <c r="H396" s="9" t="s">
        <v>57</v>
      </c>
      <c r="I396" s="9" t="s">
        <v>48</v>
      </c>
      <c r="J396" s="9" t="s">
        <v>39</v>
      </c>
      <c r="K396" s="9" t="s">
        <v>233</v>
      </c>
      <c r="L396" s="39"/>
      <c r="M396" s="7" t="s">
        <v>1</v>
      </c>
      <c r="N396" s="8"/>
      <c r="O396" s="40"/>
      <c r="P396" s="15"/>
      <c r="Q396" s="9" t="s">
        <v>264</v>
      </c>
      <c r="R396" s="9" t="s">
        <v>234</v>
      </c>
      <c r="S396" s="9"/>
      <c r="T396" s="9">
        <v>940008</v>
      </c>
      <c r="U396" s="16" t="s">
        <v>133</v>
      </c>
      <c r="V396" s="9">
        <v>3998148</v>
      </c>
      <c r="W396" s="8" t="s">
        <v>1155</v>
      </c>
      <c r="X396" s="8" t="s">
        <v>317</v>
      </c>
      <c r="Y396" s="8" t="s">
        <v>613</v>
      </c>
      <c r="Z396" s="8">
        <v>3</v>
      </c>
      <c r="AA396" s="8">
        <v>5</v>
      </c>
      <c r="AB396" s="8"/>
      <c r="AC396" s="8" t="s">
        <v>228</v>
      </c>
      <c r="AD396" s="14" t="s">
        <v>229</v>
      </c>
      <c r="AE396" s="8" t="s">
        <v>614</v>
      </c>
      <c r="AF396" s="14">
        <v>0.6</v>
      </c>
      <c r="AG396" s="8">
        <v>1220</v>
      </c>
      <c r="AH396" s="8">
        <v>0</v>
      </c>
      <c r="AI396" s="8">
        <v>28</v>
      </c>
      <c r="AJ396" s="8">
        <v>0</v>
      </c>
      <c r="AK396" s="127">
        <v>1.9450000000000001</v>
      </c>
      <c r="AL396" s="103">
        <v>26.055</v>
      </c>
      <c r="AM396" s="8">
        <v>1.9450000000000001</v>
      </c>
      <c r="AN396" s="21">
        <v>1.9450000000000001</v>
      </c>
      <c r="AO396" s="21">
        <v>0</v>
      </c>
      <c r="AP396" s="21">
        <v>0</v>
      </c>
      <c r="AQ396" s="21">
        <v>0</v>
      </c>
      <c r="AR396" s="21">
        <v>0</v>
      </c>
      <c r="AS396" s="8">
        <v>28</v>
      </c>
      <c r="AT396" s="21">
        <v>0</v>
      </c>
      <c r="AU396" s="21">
        <v>28</v>
      </c>
      <c r="AV396" s="21">
        <v>0</v>
      </c>
      <c r="AW396" s="21">
        <v>0</v>
      </c>
      <c r="AX396" s="21">
        <v>0</v>
      </c>
      <c r="AY396" s="8">
        <v>0</v>
      </c>
    </row>
    <row r="397" spans="1:51" ht="15" customHeight="1" x14ac:dyDescent="0.25">
      <c r="A397" s="9">
        <v>743</v>
      </c>
      <c r="B397" s="13">
        <v>45758</v>
      </c>
      <c r="C397" s="9" t="s">
        <v>169</v>
      </c>
      <c r="D397" s="9">
        <v>9518683949</v>
      </c>
      <c r="E397" s="8">
        <v>7</v>
      </c>
      <c r="F397" s="9" t="s">
        <v>1005</v>
      </c>
      <c r="G397" s="9" t="s">
        <v>1687</v>
      </c>
      <c r="H397" s="9" t="s">
        <v>57</v>
      </c>
      <c r="I397" s="9" t="s">
        <v>43</v>
      </c>
      <c r="J397" s="9" t="s">
        <v>45</v>
      </c>
      <c r="K397" s="9" t="s">
        <v>170</v>
      </c>
      <c r="L397" s="39"/>
      <c r="M397" s="7" t="s">
        <v>1</v>
      </c>
      <c r="N397" s="8"/>
      <c r="O397" s="40"/>
      <c r="P397" s="15"/>
      <c r="Q397" s="9" t="s">
        <v>180</v>
      </c>
      <c r="R397" s="9" t="s">
        <v>439</v>
      </c>
      <c r="S397" s="9"/>
      <c r="T397" s="9">
        <v>100922</v>
      </c>
      <c r="U397" s="16" t="s">
        <v>115</v>
      </c>
      <c r="V397" s="9">
        <v>1854424</v>
      </c>
      <c r="W397" s="8" t="s">
        <v>319</v>
      </c>
      <c r="X397" s="8" t="s">
        <v>308</v>
      </c>
      <c r="Y397" s="8" t="s">
        <v>175</v>
      </c>
      <c r="Z397" s="8">
        <v>5</v>
      </c>
      <c r="AA397" s="8">
        <v>15</v>
      </c>
      <c r="AB397" s="8"/>
      <c r="AC397" s="8" t="s">
        <v>238</v>
      </c>
      <c r="AD397" s="14" t="s">
        <v>185</v>
      </c>
      <c r="AE397" s="8" t="s">
        <v>186</v>
      </c>
      <c r="AF397" s="14">
        <v>0.6</v>
      </c>
      <c r="AG397" s="8">
        <v>900</v>
      </c>
      <c r="AH397" s="8">
        <v>0</v>
      </c>
      <c r="AI397" s="8">
        <v>105</v>
      </c>
      <c r="AJ397" s="8">
        <v>0</v>
      </c>
      <c r="AK397" s="127">
        <v>26.645</v>
      </c>
      <c r="AL397" s="103">
        <v>90.545000000000002</v>
      </c>
      <c r="AM397" s="8">
        <v>26.645</v>
      </c>
      <c r="AN397" s="21">
        <v>26.645</v>
      </c>
      <c r="AO397" s="21">
        <v>0</v>
      </c>
      <c r="AP397" s="21">
        <v>0</v>
      </c>
      <c r="AQ397" s="21">
        <v>0</v>
      </c>
      <c r="AR397" s="21">
        <v>0</v>
      </c>
      <c r="AS397" s="8">
        <v>117.19</v>
      </c>
      <c r="AT397" s="21">
        <v>0</v>
      </c>
      <c r="AU397" s="21">
        <v>117.19</v>
      </c>
      <c r="AV397" s="21">
        <v>0</v>
      </c>
      <c r="AW397" s="21">
        <v>0</v>
      </c>
      <c r="AX397" s="21">
        <v>0</v>
      </c>
      <c r="AY397" s="8">
        <v>0</v>
      </c>
    </row>
    <row r="398" spans="1:51" ht="15" customHeight="1" x14ac:dyDescent="0.25">
      <c r="A398" s="9">
        <v>742</v>
      </c>
      <c r="B398" s="13">
        <v>45762</v>
      </c>
      <c r="C398" s="9" t="s">
        <v>193</v>
      </c>
      <c r="D398" s="9">
        <v>9518695452</v>
      </c>
      <c r="E398" s="8">
        <v>6</v>
      </c>
      <c r="F398" s="9" t="s">
        <v>1006</v>
      </c>
      <c r="G398" s="79" t="s">
        <v>1303</v>
      </c>
      <c r="H398" s="9" t="s">
        <v>57</v>
      </c>
      <c r="I398" s="9" t="s">
        <v>25</v>
      </c>
      <c r="J398" s="9" t="s">
        <v>29</v>
      </c>
      <c r="K398" s="9" t="s">
        <v>233</v>
      </c>
      <c r="L398" s="39">
        <v>3500</v>
      </c>
      <c r="M398" s="7" t="s">
        <v>1</v>
      </c>
      <c r="N398" s="8"/>
      <c r="O398" s="40"/>
      <c r="P398" s="15"/>
      <c r="Q398" s="9" t="s">
        <v>180</v>
      </c>
      <c r="R398" s="9" t="s">
        <v>195</v>
      </c>
      <c r="S398" s="9"/>
      <c r="T398" s="9">
        <v>600250</v>
      </c>
      <c r="U398" s="16" t="s">
        <v>64</v>
      </c>
      <c r="V398" s="9">
        <v>2439203</v>
      </c>
      <c r="W398" s="8" t="s">
        <v>288</v>
      </c>
      <c r="X398" s="8" t="s">
        <v>265</v>
      </c>
      <c r="Y398" s="8" t="s">
        <v>175</v>
      </c>
      <c r="Z398" s="8">
        <v>8</v>
      </c>
      <c r="AA398" s="8">
        <v>13</v>
      </c>
      <c r="AB398" s="8"/>
      <c r="AC398" s="8" t="s">
        <v>190</v>
      </c>
      <c r="AD398" s="14" t="s">
        <v>197</v>
      </c>
      <c r="AE398" s="8" t="s">
        <v>198</v>
      </c>
      <c r="AF398" s="14">
        <v>0.5</v>
      </c>
      <c r="AG398" s="8">
        <v>1160</v>
      </c>
      <c r="AH398" s="8">
        <v>0</v>
      </c>
      <c r="AI398" s="8">
        <v>297</v>
      </c>
      <c r="AJ398" s="8">
        <v>0</v>
      </c>
      <c r="AK398" s="127">
        <v>297</v>
      </c>
      <c r="AL398" s="103">
        <v>0</v>
      </c>
      <c r="AM398" s="8">
        <v>297</v>
      </c>
      <c r="AN398" s="21">
        <v>0</v>
      </c>
      <c r="AO398" s="21">
        <v>0</v>
      </c>
      <c r="AP398" s="21">
        <v>0</v>
      </c>
      <c r="AQ398" s="21">
        <v>297</v>
      </c>
      <c r="AR398" s="21">
        <v>0</v>
      </c>
      <c r="AS398" s="8">
        <v>297</v>
      </c>
      <c r="AT398" s="21">
        <v>0</v>
      </c>
      <c r="AU398" s="21">
        <v>0</v>
      </c>
      <c r="AV398" s="21">
        <v>0</v>
      </c>
      <c r="AW398" s="21">
        <v>0</v>
      </c>
      <c r="AX398" s="21">
        <v>297</v>
      </c>
      <c r="AY398" s="8">
        <v>0</v>
      </c>
    </row>
    <row r="399" spans="1:51" ht="15" customHeight="1" x14ac:dyDescent="0.25">
      <c r="A399" s="9">
        <v>742</v>
      </c>
      <c r="B399" s="13">
        <v>45762</v>
      </c>
      <c r="C399" s="9" t="s">
        <v>193</v>
      </c>
      <c r="D399" s="9">
        <v>9518695452</v>
      </c>
      <c r="E399" s="8">
        <v>7</v>
      </c>
      <c r="F399" s="9" t="s">
        <v>1007</v>
      </c>
      <c r="G399" s="79" t="s">
        <v>1303</v>
      </c>
      <c r="H399" s="9" t="s">
        <v>57</v>
      </c>
      <c r="I399" s="9" t="s">
        <v>25</v>
      </c>
      <c r="J399" s="9" t="s">
        <v>29</v>
      </c>
      <c r="K399" s="9" t="s">
        <v>233</v>
      </c>
      <c r="L399" s="39"/>
      <c r="M399" s="7" t="s">
        <v>1</v>
      </c>
      <c r="N399" s="8"/>
      <c r="O399" s="40"/>
      <c r="P399" s="15"/>
      <c r="Q399" s="9" t="s">
        <v>180</v>
      </c>
      <c r="R399" s="9" t="s">
        <v>195</v>
      </c>
      <c r="S399" s="9"/>
      <c r="T399" s="9">
        <v>600250</v>
      </c>
      <c r="U399" s="16" t="s">
        <v>64</v>
      </c>
      <c r="V399" s="9">
        <v>2439203</v>
      </c>
      <c r="W399" s="8" t="s">
        <v>288</v>
      </c>
      <c r="X399" s="8" t="s">
        <v>265</v>
      </c>
      <c r="Y399" s="8" t="s">
        <v>175</v>
      </c>
      <c r="Z399" s="8">
        <v>8</v>
      </c>
      <c r="AA399" s="8">
        <v>13</v>
      </c>
      <c r="AB399" s="8"/>
      <c r="AC399" s="8" t="s">
        <v>190</v>
      </c>
      <c r="AD399" s="14" t="s">
        <v>197</v>
      </c>
      <c r="AE399" s="8" t="s">
        <v>198</v>
      </c>
      <c r="AF399" s="14">
        <v>0.5</v>
      </c>
      <c r="AG399" s="8">
        <v>1160</v>
      </c>
      <c r="AH399" s="8">
        <v>0</v>
      </c>
      <c r="AI399" s="8">
        <v>297</v>
      </c>
      <c r="AJ399" s="8">
        <v>0</v>
      </c>
      <c r="AK399" s="127">
        <v>297</v>
      </c>
      <c r="AL399" s="103">
        <v>0</v>
      </c>
      <c r="AM399" s="8">
        <v>297</v>
      </c>
      <c r="AN399" s="21">
        <v>0</v>
      </c>
      <c r="AO399" s="21">
        <v>0</v>
      </c>
      <c r="AP399" s="21">
        <v>0</v>
      </c>
      <c r="AQ399" s="21">
        <v>297</v>
      </c>
      <c r="AR399" s="21">
        <v>0</v>
      </c>
      <c r="AS399" s="8">
        <v>297</v>
      </c>
      <c r="AT399" s="21">
        <v>0</v>
      </c>
      <c r="AU399" s="21">
        <v>0</v>
      </c>
      <c r="AV399" s="21">
        <v>0</v>
      </c>
      <c r="AW399" s="21">
        <v>0</v>
      </c>
      <c r="AX399" s="21">
        <v>297</v>
      </c>
      <c r="AY399" s="8">
        <v>0</v>
      </c>
    </row>
    <row r="400" spans="1:51" ht="15" customHeight="1" x14ac:dyDescent="0.25">
      <c r="A400" s="9">
        <v>742</v>
      </c>
      <c r="B400" s="13">
        <v>45743</v>
      </c>
      <c r="C400" s="9" t="s">
        <v>169</v>
      </c>
      <c r="D400" s="9">
        <v>9518644656</v>
      </c>
      <c r="E400" s="8">
        <v>13</v>
      </c>
      <c r="F400" s="9" t="s">
        <v>1008</v>
      </c>
      <c r="G400" s="79" t="s">
        <v>1303</v>
      </c>
      <c r="H400" s="9" t="s">
        <v>57</v>
      </c>
      <c r="I400" s="9" t="s">
        <v>25</v>
      </c>
      <c r="J400" s="9" t="s">
        <v>31</v>
      </c>
      <c r="K400" s="9" t="s">
        <v>170</v>
      </c>
      <c r="L400" s="39"/>
      <c r="M400" s="7" t="s">
        <v>1</v>
      </c>
      <c r="N400" s="8"/>
      <c r="O400" s="40"/>
      <c r="P400" s="15"/>
      <c r="Q400" s="9" t="s">
        <v>180</v>
      </c>
      <c r="R400" s="9" t="s">
        <v>722</v>
      </c>
      <c r="S400" s="9"/>
      <c r="T400" s="9">
        <v>948783</v>
      </c>
      <c r="U400" s="16" t="s">
        <v>96</v>
      </c>
      <c r="V400" s="9">
        <v>3914106</v>
      </c>
      <c r="W400" s="8" t="s">
        <v>1156</v>
      </c>
      <c r="X400" s="8" t="s">
        <v>265</v>
      </c>
      <c r="Y400" s="8" t="s">
        <v>175</v>
      </c>
      <c r="Z400" s="8">
        <v>2</v>
      </c>
      <c r="AA400" s="8">
        <v>3</v>
      </c>
      <c r="AB400" s="8"/>
      <c r="AC400" s="8" t="s">
        <v>210</v>
      </c>
      <c r="AD400" s="14" t="s">
        <v>218</v>
      </c>
      <c r="AE400" s="8" t="s">
        <v>250</v>
      </c>
      <c r="AF400" s="14">
        <v>0.55000000000000004</v>
      </c>
      <c r="AG400" s="8">
        <v>1250</v>
      </c>
      <c r="AH400" s="8">
        <v>2500</v>
      </c>
      <c r="AI400" s="8">
        <v>24</v>
      </c>
      <c r="AJ400" s="8">
        <v>0</v>
      </c>
      <c r="AK400" s="127">
        <v>24</v>
      </c>
      <c r="AL400" s="103">
        <v>0</v>
      </c>
      <c r="AM400" s="8">
        <v>24</v>
      </c>
      <c r="AN400" s="21">
        <v>0</v>
      </c>
      <c r="AO400" s="21">
        <v>0</v>
      </c>
      <c r="AP400" s="21">
        <v>24</v>
      </c>
      <c r="AQ400" s="21">
        <v>0</v>
      </c>
      <c r="AR400" s="21">
        <v>0</v>
      </c>
      <c r="AS400" s="8">
        <v>24</v>
      </c>
      <c r="AT400" s="21">
        <v>0</v>
      </c>
      <c r="AU400" s="21">
        <v>0</v>
      </c>
      <c r="AV400" s="21">
        <v>24</v>
      </c>
      <c r="AW400" s="21">
        <v>0</v>
      </c>
      <c r="AX400" s="21">
        <v>0</v>
      </c>
      <c r="AY400" s="8">
        <v>0</v>
      </c>
    </row>
    <row r="401" spans="1:51" ht="15" customHeight="1" x14ac:dyDescent="0.25">
      <c r="A401" s="9">
        <v>744</v>
      </c>
      <c r="B401" s="13">
        <v>45762</v>
      </c>
      <c r="C401" s="9" t="s">
        <v>169</v>
      </c>
      <c r="D401" s="9">
        <v>9518693944</v>
      </c>
      <c r="E401" s="8">
        <v>2</v>
      </c>
      <c r="F401" s="9" t="s">
        <v>1009</v>
      </c>
      <c r="G401" s="79" t="s">
        <v>1303</v>
      </c>
      <c r="H401" s="9" t="s">
        <v>57</v>
      </c>
      <c r="I401" s="9" t="s">
        <v>48</v>
      </c>
      <c r="J401" s="9" t="s">
        <v>39</v>
      </c>
      <c r="K401" s="9" t="s">
        <v>233</v>
      </c>
      <c r="L401" s="39"/>
      <c r="M401" s="7" t="s">
        <v>1</v>
      </c>
      <c r="N401" s="8"/>
      <c r="O401" s="40"/>
      <c r="P401" s="15"/>
      <c r="Q401" s="9" t="s">
        <v>264</v>
      </c>
      <c r="R401" s="9" t="s">
        <v>265</v>
      </c>
      <c r="S401" s="9"/>
      <c r="T401" s="9">
        <v>941597</v>
      </c>
      <c r="U401" s="16" t="s">
        <v>106</v>
      </c>
      <c r="V401" s="9">
        <v>3902332</v>
      </c>
      <c r="W401" s="8" t="s">
        <v>353</v>
      </c>
      <c r="X401" s="8" t="s">
        <v>317</v>
      </c>
      <c r="Y401" s="8" t="s">
        <v>673</v>
      </c>
      <c r="Z401" s="8">
        <v>3</v>
      </c>
      <c r="AA401" s="8">
        <v>5</v>
      </c>
      <c r="AB401" s="8"/>
      <c r="AC401" s="8" t="s">
        <v>228</v>
      </c>
      <c r="AD401" s="14" t="s">
        <v>229</v>
      </c>
      <c r="AE401" s="8" t="s">
        <v>354</v>
      </c>
      <c r="AF401" s="14">
        <v>0.5</v>
      </c>
      <c r="AG401" s="8">
        <v>1220</v>
      </c>
      <c r="AH401" s="8">
        <v>0</v>
      </c>
      <c r="AI401" s="8">
        <v>28</v>
      </c>
      <c r="AJ401" s="8">
        <v>0</v>
      </c>
      <c r="AK401" s="127">
        <v>28</v>
      </c>
      <c r="AL401" s="103">
        <v>0</v>
      </c>
      <c r="AM401" s="8">
        <v>28</v>
      </c>
      <c r="AN401" s="21">
        <v>0</v>
      </c>
      <c r="AO401" s="21">
        <v>0</v>
      </c>
      <c r="AP401" s="21">
        <v>0</v>
      </c>
      <c r="AQ401" s="21">
        <v>28</v>
      </c>
      <c r="AR401" s="21">
        <v>0</v>
      </c>
      <c r="AS401" s="8">
        <v>28</v>
      </c>
      <c r="AT401" s="21">
        <v>0</v>
      </c>
      <c r="AU401" s="21">
        <v>0</v>
      </c>
      <c r="AV401" s="21">
        <v>0</v>
      </c>
      <c r="AW401" s="21">
        <v>28</v>
      </c>
      <c r="AX401" s="21">
        <v>0</v>
      </c>
      <c r="AY401" s="8">
        <v>0</v>
      </c>
    </row>
    <row r="402" spans="1:51" ht="15" customHeight="1" x14ac:dyDescent="0.25">
      <c r="A402" s="9">
        <v>744</v>
      </c>
      <c r="B402" s="13">
        <v>45755</v>
      </c>
      <c r="C402" s="9" t="s">
        <v>169</v>
      </c>
      <c r="D402" s="9">
        <v>9518676905</v>
      </c>
      <c r="E402" s="8">
        <v>2</v>
      </c>
      <c r="F402" s="9" t="s">
        <v>1010</v>
      </c>
      <c r="G402" s="79" t="s">
        <v>1303</v>
      </c>
      <c r="H402" s="9" t="s">
        <v>57</v>
      </c>
      <c r="I402" s="9" t="s">
        <v>48</v>
      </c>
      <c r="J402" s="9" t="s">
        <v>39</v>
      </c>
      <c r="K402" s="9" t="s">
        <v>233</v>
      </c>
      <c r="L402" s="39"/>
      <c r="M402" s="7" t="s">
        <v>1</v>
      </c>
      <c r="N402" s="8"/>
      <c r="O402" s="40"/>
      <c r="P402" s="15"/>
      <c r="Q402" s="9" t="s">
        <v>264</v>
      </c>
      <c r="R402" s="9" t="s">
        <v>265</v>
      </c>
      <c r="S402" s="9"/>
      <c r="T402" s="9">
        <v>941597</v>
      </c>
      <c r="U402" s="16" t="s">
        <v>106</v>
      </c>
      <c r="V402" s="9">
        <v>3902332</v>
      </c>
      <c r="W402" s="8" t="s">
        <v>353</v>
      </c>
      <c r="X402" s="8" t="s">
        <v>317</v>
      </c>
      <c r="Y402" s="8" t="s">
        <v>399</v>
      </c>
      <c r="Z402" s="8">
        <v>3</v>
      </c>
      <c r="AA402" s="8">
        <v>5</v>
      </c>
      <c r="AB402" s="8"/>
      <c r="AC402" s="8" t="s">
        <v>228</v>
      </c>
      <c r="AD402" s="14" t="s">
        <v>229</v>
      </c>
      <c r="AE402" s="8" t="s">
        <v>354</v>
      </c>
      <c r="AF402" s="14">
        <v>0.5</v>
      </c>
      <c r="AG402" s="8">
        <v>1220</v>
      </c>
      <c r="AH402" s="8">
        <v>0</v>
      </c>
      <c r="AI402" s="8">
        <v>56</v>
      </c>
      <c r="AJ402" s="8">
        <v>0</v>
      </c>
      <c r="AK402" s="127">
        <v>56</v>
      </c>
      <c r="AL402" s="103">
        <v>0</v>
      </c>
      <c r="AM402" s="8">
        <v>56</v>
      </c>
      <c r="AN402" s="21">
        <v>0</v>
      </c>
      <c r="AO402" s="21">
        <v>0</v>
      </c>
      <c r="AP402" s="21">
        <v>0</v>
      </c>
      <c r="AQ402" s="21">
        <v>56</v>
      </c>
      <c r="AR402" s="21">
        <v>0</v>
      </c>
      <c r="AS402" s="8">
        <v>56</v>
      </c>
      <c r="AT402" s="21">
        <v>0</v>
      </c>
      <c r="AU402" s="21">
        <v>0</v>
      </c>
      <c r="AV402" s="21">
        <v>0</v>
      </c>
      <c r="AW402" s="21">
        <v>56</v>
      </c>
      <c r="AX402" s="21">
        <v>0</v>
      </c>
      <c r="AY402" s="8">
        <v>0</v>
      </c>
    </row>
    <row r="403" spans="1:51" ht="15" customHeight="1" x14ac:dyDescent="0.25">
      <c r="A403" s="9">
        <v>744</v>
      </c>
      <c r="B403" s="13">
        <v>45755</v>
      </c>
      <c r="C403" s="9" t="s">
        <v>169</v>
      </c>
      <c r="D403" s="9">
        <v>9518676905</v>
      </c>
      <c r="E403" s="8">
        <v>3</v>
      </c>
      <c r="F403" s="9" t="s">
        <v>1011</v>
      </c>
      <c r="G403" s="79" t="s">
        <v>1303</v>
      </c>
      <c r="H403" s="9" t="s">
        <v>57</v>
      </c>
      <c r="I403" s="9" t="s">
        <v>48</v>
      </c>
      <c r="J403" s="9" t="s">
        <v>39</v>
      </c>
      <c r="K403" s="9" t="s">
        <v>233</v>
      </c>
      <c r="L403" s="39"/>
      <c r="M403" s="7" t="s">
        <v>1</v>
      </c>
      <c r="N403" s="8"/>
      <c r="O403" s="40"/>
      <c r="P403" s="15"/>
      <c r="Q403" s="9" t="s">
        <v>264</v>
      </c>
      <c r="R403" s="9" t="s">
        <v>265</v>
      </c>
      <c r="S403" s="9"/>
      <c r="T403" s="9">
        <v>941597</v>
      </c>
      <c r="U403" s="16" t="s">
        <v>106</v>
      </c>
      <c r="V403" s="9">
        <v>3902332</v>
      </c>
      <c r="W403" s="8" t="s">
        <v>353</v>
      </c>
      <c r="X403" s="8" t="s">
        <v>317</v>
      </c>
      <c r="Y403" s="8" t="s">
        <v>1182</v>
      </c>
      <c r="Z403" s="8">
        <v>3</v>
      </c>
      <c r="AA403" s="8">
        <v>5</v>
      </c>
      <c r="AB403" s="8"/>
      <c r="AC403" s="8" t="s">
        <v>228</v>
      </c>
      <c r="AD403" s="14" t="s">
        <v>229</v>
      </c>
      <c r="AE403" s="8" t="s">
        <v>354</v>
      </c>
      <c r="AF403" s="14">
        <v>0.5</v>
      </c>
      <c r="AG403" s="8">
        <v>1220</v>
      </c>
      <c r="AH403" s="8">
        <v>0</v>
      </c>
      <c r="AI403" s="8">
        <v>84</v>
      </c>
      <c r="AJ403" s="8">
        <v>0</v>
      </c>
      <c r="AK403" s="127">
        <v>84</v>
      </c>
      <c r="AL403" s="103">
        <v>0</v>
      </c>
      <c r="AM403" s="8">
        <v>84</v>
      </c>
      <c r="AN403" s="21">
        <v>0</v>
      </c>
      <c r="AO403" s="21">
        <v>0</v>
      </c>
      <c r="AP403" s="21">
        <v>0</v>
      </c>
      <c r="AQ403" s="21">
        <v>84</v>
      </c>
      <c r="AR403" s="21">
        <v>0</v>
      </c>
      <c r="AS403" s="8">
        <v>84</v>
      </c>
      <c r="AT403" s="21">
        <v>0</v>
      </c>
      <c r="AU403" s="21">
        <v>0</v>
      </c>
      <c r="AV403" s="21">
        <v>0</v>
      </c>
      <c r="AW403" s="21">
        <v>84</v>
      </c>
      <c r="AX403" s="21">
        <v>0</v>
      </c>
      <c r="AY403" s="8">
        <v>0</v>
      </c>
    </row>
    <row r="404" spans="1:51" ht="15" customHeight="1" x14ac:dyDescent="0.25">
      <c r="A404" s="9">
        <v>744</v>
      </c>
      <c r="B404" s="13">
        <v>45757</v>
      </c>
      <c r="C404" s="9" t="s">
        <v>169</v>
      </c>
      <c r="D404" s="9">
        <v>9518682471</v>
      </c>
      <c r="E404" s="8">
        <v>1</v>
      </c>
      <c r="F404" s="9" t="s">
        <v>1012</v>
      </c>
      <c r="G404" s="79" t="s">
        <v>1303</v>
      </c>
      <c r="H404" s="9" t="s">
        <v>57</v>
      </c>
      <c r="I404" s="9" t="s">
        <v>48</v>
      </c>
      <c r="J404" s="9" t="s">
        <v>39</v>
      </c>
      <c r="K404" s="9" t="s">
        <v>233</v>
      </c>
      <c r="L404" s="39"/>
      <c r="M404" s="7" t="s">
        <v>1</v>
      </c>
      <c r="N404" s="8"/>
      <c r="O404" s="40"/>
      <c r="P404" s="15"/>
      <c r="Q404" s="9" t="s">
        <v>264</v>
      </c>
      <c r="R404" s="9" t="s">
        <v>265</v>
      </c>
      <c r="S404" s="9"/>
      <c r="T404" s="9">
        <v>941597</v>
      </c>
      <c r="U404" s="16" t="s">
        <v>106</v>
      </c>
      <c r="V404" s="9">
        <v>3902332</v>
      </c>
      <c r="W404" s="8" t="s">
        <v>353</v>
      </c>
      <c r="X404" s="8" t="s">
        <v>317</v>
      </c>
      <c r="Y404" s="8" t="s">
        <v>355</v>
      </c>
      <c r="Z404" s="8">
        <v>3</v>
      </c>
      <c r="AA404" s="8">
        <v>5</v>
      </c>
      <c r="AB404" s="8"/>
      <c r="AC404" s="8" t="s">
        <v>228</v>
      </c>
      <c r="AD404" s="14" t="s">
        <v>229</v>
      </c>
      <c r="AE404" s="8" t="s">
        <v>354</v>
      </c>
      <c r="AF404" s="14">
        <v>0.5</v>
      </c>
      <c r="AG404" s="8">
        <v>1220</v>
      </c>
      <c r="AH404" s="8">
        <v>0</v>
      </c>
      <c r="AI404" s="8">
        <v>28</v>
      </c>
      <c r="AJ404" s="8">
        <v>0</v>
      </c>
      <c r="AK404" s="127">
        <v>28</v>
      </c>
      <c r="AL404" s="103">
        <v>0</v>
      </c>
      <c r="AM404" s="8">
        <v>28</v>
      </c>
      <c r="AN404" s="21">
        <v>28</v>
      </c>
      <c r="AO404" s="21">
        <v>0</v>
      </c>
      <c r="AP404" s="21">
        <v>0</v>
      </c>
      <c r="AQ404" s="21">
        <v>0</v>
      </c>
      <c r="AR404" s="21">
        <v>0</v>
      </c>
      <c r="AS404" s="8">
        <v>28</v>
      </c>
      <c r="AT404" s="21">
        <v>0</v>
      </c>
      <c r="AU404" s="21">
        <v>28</v>
      </c>
      <c r="AV404" s="21">
        <v>0</v>
      </c>
      <c r="AW404" s="21">
        <v>0</v>
      </c>
      <c r="AX404" s="21">
        <v>0</v>
      </c>
      <c r="AY404" s="8">
        <v>0</v>
      </c>
    </row>
    <row r="405" spans="1:51" ht="15" customHeight="1" x14ac:dyDescent="0.25">
      <c r="A405" s="9">
        <v>742</v>
      </c>
      <c r="B405" s="13">
        <v>45749</v>
      </c>
      <c r="C405" s="9" t="s">
        <v>169</v>
      </c>
      <c r="D405" s="9">
        <v>9518665413</v>
      </c>
      <c r="E405" s="8">
        <v>1</v>
      </c>
      <c r="F405" s="9" t="s">
        <v>1013</v>
      </c>
      <c r="G405" s="79" t="s">
        <v>1303</v>
      </c>
      <c r="H405" s="9" t="s">
        <v>57</v>
      </c>
      <c r="I405" s="9" t="s">
        <v>25</v>
      </c>
      <c r="J405" s="9" t="s">
        <v>30</v>
      </c>
      <c r="K405" s="9" t="s">
        <v>170</v>
      </c>
      <c r="L405" s="39"/>
      <c r="M405" s="7" t="s">
        <v>1</v>
      </c>
      <c r="N405" s="8"/>
      <c r="O405" s="40"/>
      <c r="P405" s="15"/>
      <c r="Q405" s="9" t="s">
        <v>180</v>
      </c>
      <c r="R405" s="9" t="s">
        <v>217</v>
      </c>
      <c r="S405" s="9"/>
      <c r="T405" s="9">
        <v>116649</v>
      </c>
      <c r="U405" s="16" t="s">
        <v>96</v>
      </c>
      <c r="V405" s="9">
        <v>189866</v>
      </c>
      <c r="W405" s="8" t="s">
        <v>550</v>
      </c>
      <c r="X405" s="8" t="s">
        <v>265</v>
      </c>
      <c r="Y405" s="8" t="s">
        <v>175</v>
      </c>
      <c r="Z405" s="8">
        <v>2</v>
      </c>
      <c r="AA405" s="8">
        <v>3</v>
      </c>
      <c r="AB405" s="8"/>
      <c r="AC405" s="8" t="s">
        <v>210</v>
      </c>
      <c r="AD405" s="14" t="s">
        <v>191</v>
      </c>
      <c r="AE405" s="8" t="s">
        <v>192</v>
      </c>
      <c r="AF405" s="14">
        <v>1.2</v>
      </c>
      <c r="AG405" s="8">
        <v>1250</v>
      </c>
      <c r="AH405" s="8">
        <v>2500</v>
      </c>
      <c r="AI405" s="8">
        <v>24</v>
      </c>
      <c r="AJ405" s="8">
        <v>0</v>
      </c>
      <c r="AK405" s="127">
        <v>24</v>
      </c>
      <c r="AL405" s="103">
        <v>0</v>
      </c>
      <c r="AM405" s="8">
        <v>24</v>
      </c>
      <c r="AN405" s="21">
        <v>0</v>
      </c>
      <c r="AO405" s="21">
        <v>0</v>
      </c>
      <c r="AP405" s="21">
        <v>24</v>
      </c>
      <c r="AQ405" s="21">
        <v>0</v>
      </c>
      <c r="AR405" s="21">
        <v>0</v>
      </c>
      <c r="AS405" s="8">
        <v>24</v>
      </c>
      <c r="AT405" s="21">
        <v>0</v>
      </c>
      <c r="AU405" s="21">
        <v>0</v>
      </c>
      <c r="AV405" s="21">
        <v>24</v>
      </c>
      <c r="AW405" s="21">
        <v>0</v>
      </c>
      <c r="AX405" s="21">
        <v>0</v>
      </c>
      <c r="AY405" s="8">
        <v>0</v>
      </c>
    </row>
    <row r="406" spans="1:51" ht="15" customHeight="1" x14ac:dyDescent="0.25">
      <c r="A406" s="9">
        <v>744</v>
      </c>
      <c r="B406" s="13">
        <v>45752</v>
      </c>
      <c r="C406" s="9" t="s">
        <v>169</v>
      </c>
      <c r="D406" s="9">
        <v>9518671384</v>
      </c>
      <c r="E406" s="8">
        <v>2</v>
      </c>
      <c r="F406" s="9" t="s">
        <v>1014</v>
      </c>
      <c r="G406" s="79" t="s">
        <v>1303</v>
      </c>
      <c r="H406" s="9" t="s">
        <v>57</v>
      </c>
      <c r="I406" s="9" t="s">
        <v>48</v>
      </c>
      <c r="J406" s="9" t="s">
        <v>39</v>
      </c>
      <c r="K406" s="9" t="s">
        <v>233</v>
      </c>
      <c r="L406" s="39"/>
      <c r="M406" s="7" t="s">
        <v>1</v>
      </c>
      <c r="N406" s="8"/>
      <c r="O406" s="40"/>
      <c r="P406" s="15"/>
      <c r="Q406" s="9" t="s">
        <v>264</v>
      </c>
      <c r="R406" s="9" t="s">
        <v>225</v>
      </c>
      <c r="S406" s="9"/>
      <c r="T406" s="9">
        <v>940016</v>
      </c>
      <c r="U406" s="16" t="s">
        <v>133</v>
      </c>
      <c r="V406" s="9">
        <v>3941967</v>
      </c>
      <c r="W406" s="8" t="s">
        <v>810</v>
      </c>
      <c r="X406" s="8" t="s">
        <v>317</v>
      </c>
      <c r="Y406" s="8" t="s">
        <v>401</v>
      </c>
      <c r="Z406" s="8">
        <v>3</v>
      </c>
      <c r="AA406" s="8">
        <v>5</v>
      </c>
      <c r="AB406" s="8"/>
      <c r="AC406" s="8" t="s">
        <v>228</v>
      </c>
      <c r="AD406" s="14" t="s">
        <v>229</v>
      </c>
      <c r="AE406" s="8" t="s">
        <v>354</v>
      </c>
      <c r="AF406" s="14">
        <v>0.6</v>
      </c>
      <c r="AG406" s="8">
        <v>1220</v>
      </c>
      <c r="AH406" s="8">
        <v>0</v>
      </c>
      <c r="AI406" s="8">
        <v>56</v>
      </c>
      <c r="AJ406" s="8">
        <v>0</v>
      </c>
      <c r="AK406" s="127">
        <v>56</v>
      </c>
      <c r="AL406" s="103">
        <v>0</v>
      </c>
      <c r="AM406" s="8">
        <v>56</v>
      </c>
      <c r="AN406" s="21">
        <v>0</v>
      </c>
      <c r="AO406" s="21">
        <v>56</v>
      </c>
      <c r="AP406" s="21">
        <v>0</v>
      </c>
      <c r="AQ406" s="21">
        <v>0</v>
      </c>
      <c r="AR406" s="21">
        <v>0</v>
      </c>
      <c r="AS406" s="8">
        <v>56</v>
      </c>
      <c r="AT406" s="21">
        <v>0</v>
      </c>
      <c r="AU406" s="21">
        <v>56</v>
      </c>
      <c r="AV406" s="21">
        <v>0</v>
      </c>
      <c r="AW406" s="21">
        <v>0</v>
      </c>
      <c r="AX406" s="21">
        <v>0</v>
      </c>
      <c r="AY406" s="8">
        <v>0</v>
      </c>
    </row>
    <row r="407" spans="1:51" ht="15" customHeight="1" x14ac:dyDescent="0.25">
      <c r="A407" s="9">
        <v>744</v>
      </c>
      <c r="B407" s="13">
        <v>45752</v>
      </c>
      <c r="C407" s="9" t="s">
        <v>169</v>
      </c>
      <c r="D407" s="9">
        <v>9518671242</v>
      </c>
      <c r="E407" s="8">
        <v>1</v>
      </c>
      <c r="F407" s="9" t="s">
        <v>1015</v>
      </c>
      <c r="G407" s="79" t="s">
        <v>1303</v>
      </c>
      <c r="H407" s="9" t="s">
        <v>57</v>
      </c>
      <c r="I407" s="9" t="s">
        <v>48</v>
      </c>
      <c r="J407" s="9" t="s">
        <v>39</v>
      </c>
      <c r="K407" s="9" t="s">
        <v>233</v>
      </c>
      <c r="L407" s="39"/>
      <c r="M407" s="7" t="s">
        <v>1</v>
      </c>
      <c r="N407" s="8"/>
      <c r="O407" s="40"/>
      <c r="P407" s="15"/>
      <c r="Q407" s="9" t="s">
        <v>264</v>
      </c>
      <c r="R407" s="9" t="s">
        <v>225</v>
      </c>
      <c r="S407" s="9"/>
      <c r="T407" s="9">
        <v>940016</v>
      </c>
      <c r="U407" s="16" t="s">
        <v>133</v>
      </c>
      <c r="V407" s="9">
        <v>3522241</v>
      </c>
      <c r="W407" s="8" t="s">
        <v>348</v>
      </c>
      <c r="X407" s="8" t="s">
        <v>349</v>
      </c>
      <c r="Y407" s="8" t="s">
        <v>1176</v>
      </c>
      <c r="Z407" s="8">
        <v>3</v>
      </c>
      <c r="AA407" s="8">
        <v>5</v>
      </c>
      <c r="AB407" s="8"/>
      <c r="AC407" s="8" t="s">
        <v>228</v>
      </c>
      <c r="AD407" s="14" t="s">
        <v>229</v>
      </c>
      <c r="AE407" s="8" t="s">
        <v>232</v>
      </c>
      <c r="AF407" s="14">
        <v>0.43</v>
      </c>
      <c r="AG407" s="8">
        <v>1220</v>
      </c>
      <c r="AH407" s="8">
        <v>0</v>
      </c>
      <c r="AI407" s="8">
        <v>27.998999999999999</v>
      </c>
      <c r="AJ407" s="8">
        <v>0</v>
      </c>
      <c r="AK407" s="127">
        <v>27.998999999999999</v>
      </c>
      <c r="AL407" s="103">
        <v>0</v>
      </c>
      <c r="AM407" s="8">
        <v>27.998999999999999</v>
      </c>
      <c r="AN407" s="21">
        <v>0</v>
      </c>
      <c r="AO407" s="21">
        <v>0</v>
      </c>
      <c r="AP407" s="21">
        <v>27.998999999999999</v>
      </c>
      <c r="AQ407" s="21">
        <v>0</v>
      </c>
      <c r="AR407" s="21">
        <v>0</v>
      </c>
      <c r="AS407" s="8">
        <v>27.998999999999999</v>
      </c>
      <c r="AT407" s="21">
        <v>0</v>
      </c>
      <c r="AU407" s="21">
        <v>0</v>
      </c>
      <c r="AV407" s="21">
        <v>0</v>
      </c>
      <c r="AW407" s="21">
        <v>27.998999999999999</v>
      </c>
      <c r="AX407" s="21">
        <v>0</v>
      </c>
      <c r="AY407" s="8">
        <v>0</v>
      </c>
    </row>
    <row r="408" spans="1:51" ht="15" customHeight="1" x14ac:dyDescent="0.25">
      <c r="A408" s="9">
        <v>744</v>
      </c>
      <c r="B408" s="13">
        <v>45752</v>
      </c>
      <c r="C408" s="9" t="s">
        <v>169</v>
      </c>
      <c r="D408" s="9">
        <v>9518671209</v>
      </c>
      <c r="E408" s="8">
        <v>1</v>
      </c>
      <c r="F408" s="9" t="s">
        <v>1016</v>
      </c>
      <c r="G408" s="79" t="s">
        <v>1303</v>
      </c>
      <c r="H408" s="9" t="s">
        <v>57</v>
      </c>
      <c r="I408" s="9" t="s">
        <v>48</v>
      </c>
      <c r="J408" s="9" t="s">
        <v>39</v>
      </c>
      <c r="K408" s="9" t="s">
        <v>233</v>
      </c>
      <c r="L408" s="39"/>
      <c r="M408" s="7" t="s">
        <v>1</v>
      </c>
      <c r="N408" s="8"/>
      <c r="O408" s="40"/>
      <c r="P408" s="15"/>
      <c r="Q408" s="9" t="s">
        <v>264</v>
      </c>
      <c r="R408" s="9" t="s">
        <v>225</v>
      </c>
      <c r="S408" s="9"/>
      <c r="T408" s="9">
        <v>940016</v>
      </c>
      <c r="U408" s="16" t="s">
        <v>133</v>
      </c>
      <c r="V408" s="9">
        <v>3522241</v>
      </c>
      <c r="W408" s="8" t="s">
        <v>348</v>
      </c>
      <c r="X408" s="8" t="s">
        <v>349</v>
      </c>
      <c r="Y408" s="8" t="s">
        <v>1176</v>
      </c>
      <c r="Z408" s="8">
        <v>3</v>
      </c>
      <c r="AA408" s="8">
        <v>5</v>
      </c>
      <c r="AB408" s="8"/>
      <c r="AC408" s="8" t="s">
        <v>228</v>
      </c>
      <c r="AD408" s="14" t="s">
        <v>229</v>
      </c>
      <c r="AE408" s="8" t="s">
        <v>232</v>
      </c>
      <c r="AF408" s="14">
        <v>0.43</v>
      </c>
      <c r="AG408" s="8">
        <v>1220</v>
      </c>
      <c r="AH408" s="8">
        <v>0</v>
      </c>
      <c r="AI408" s="8">
        <v>55.999000000000002</v>
      </c>
      <c r="AJ408" s="8">
        <v>0</v>
      </c>
      <c r="AK408" s="127">
        <v>55.999000000000002</v>
      </c>
      <c r="AL408" s="103">
        <v>0</v>
      </c>
      <c r="AM408" s="8">
        <v>55.999000000000002</v>
      </c>
      <c r="AN408" s="21">
        <v>0</v>
      </c>
      <c r="AO408" s="21">
        <v>0</v>
      </c>
      <c r="AP408" s="21">
        <v>55.999000000000002</v>
      </c>
      <c r="AQ408" s="21">
        <v>0</v>
      </c>
      <c r="AR408" s="21">
        <v>0</v>
      </c>
      <c r="AS408" s="8">
        <v>55.999000000000002</v>
      </c>
      <c r="AT408" s="21">
        <v>0</v>
      </c>
      <c r="AU408" s="21">
        <v>0</v>
      </c>
      <c r="AV408" s="21">
        <v>0</v>
      </c>
      <c r="AW408" s="21">
        <v>55.999000000000002</v>
      </c>
      <c r="AX408" s="21">
        <v>0</v>
      </c>
      <c r="AY408" s="8">
        <v>0</v>
      </c>
    </row>
    <row r="409" spans="1:51" ht="15" customHeight="1" x14ac:dyDescent="0.25">
      <c r="A409" s="9">
        <v>743</v>
      </c>
      <c r="B409" s="13">
        <v>45749</v>
      </c>
      <c r="C409" s="9" t="s">
        <v>169</v>
      </c>
      <c r="D409" s="9">
        <v>9518664230</v>
      </c>
      <c r="E409" s="8">
        <v>1</v>
      </c>
      <c r="F409" s="9" t="s">
        <v>1017</v>
      </c>
      <c r="G409" s="9" t="s">
        <v>1303</v>
      </c>
      <c r="H409" s="9" t="s">
        <v>57</v>
      </c>
      <c r="I409" s="9" t="s">
        <v>43</v>
      </c>
      <c r="J409" s="9" t="s">
        <v>45</v>
      </c>
      <c r="K409" s="9" t="s">
        <v>170</v>
      </c>
      <c r="L409" s="39"/>
      <c r="M409" s="7" t="s">
        <v>1</v>
      </c>
      <c r="N409" s="8"/>
      <c r="O409" s="40"/>
      <c r="P409" s="15"/>
      <c r="Q409" s="9" t="s">
        <v>180</v>
      </c>
      <c r="R409" s="9" t="s">
        <v>364</v>
      </c>
      <c r="S409" s="9"/>
      <c r="T409" s="9">
        <v>139336</v>
      </c>
      <c r="U409" s="16" t="s">
        <v>92</v>
      </c>
      <c r="V409" s="9">
        <v>1191955</v>
      </c>
      <c r="W409" s="8" t="s">
        <v>473</v>
      </c>
      <c r="X409" s="8" t="s">
        <v>308</v>
      </c>
      <c r="Y409" s="8" t="s">
        <v>175</v>
      </c>
      <c r="Z409" s="8">
        <v>3</v>
      </c>
      <c r="AA409" s="8">
        <v>5</v>
      </c>
      <c r="AB409" s="8"/>
      <c r="AC409" s="8" t="s">
        <v>238</v>
      </c>
      <c r="AD409" s="14" t="s">
        <v>185</v>
      </c>
      <c r="AE409" s="8" t="s">
        <v>186</v>
      </c>
      <c r="AF409" s="14">
        <v>0.3</v>
      </c>
      <c r="AG409" s="8">
        <v>900</v>
      </c>
      <c r="AH409" s="8">
        <v>0</v>
      </c>
      <c r="AI409" s="8">
        <v>21</v>
      </c>
      <c r="AJ409" s="8">
        <v>0</v>
      </c>
      <c r="AK409" s="127">
        <v>21</v>
      </c>
      <c r="AL409" s="103">
        <v>0</v>
      </c>
      <c r="AM409" s="8">
        <v>21</v>
      </c>
      <c r="AN409" s="21">
        <v>0</v>
      </c>
      <c r="AO409" s="21">
        <v>0</v>
      </c>
      <c r="AP409" s="21">
        <v>0</v>
      </c>
      <c r="AQ409" s="21">
        <v>21</v>
      </c>
      <c r="AR409" s="21">
        <v>0</v>
      </c>
      <c r="AS409" s="8">
        <v>21</v>
      </c>
      <c r="AT409" s="21">
        <v>0</v>
      </c>
      <c r="AU409" s="21">
        <v>0</v>
      </c>
      <c r="AV409" s="21">
        <v>0</v>
      </c>
      <c r="AW409" s="21">
        <v>0</v>
      </c>
      <c r="AX409" s="21">
        <v>21</v>
      </c>
      <c r="AY409" s="8">
        <v>0</v>
      </c>
    </row>
    <row r="410" spans="1:51" ht="15" customHeight="1" x14ac:dyDescent="0.25">
      <c r="A410" s="9">
        <v>744</v>
      </c>
      <c r="B410" s="13">
        <v>45729</v>
      </c>
      <c r="C410" s="9" t="s">
        <v>169</v>
      </c>
      <c r="D410" s="9">
        <v>9518599122</v>
      </c>
      <c r="E410" s="8">
        <v>1</v>
      </c>
      <c r="F410" s="9" t="s">
        <v>1018</v>
      </c>
      <c r="G410" s="79" t="s">
        <v>1303</v>
      </c>
      <c r="H410" s="9" t="s">
        <v>57</v>
      </c>
      <c r="I410" s="9" t="s">
        <v>48</v>
      </c>
      <c r="J410" s="9" t="s">
        <v>39</v>
      </c>
      <c r="K410" s="9" t="s">
        <v>233</v>
      </c>
      <c r="L410" s="39"/>
      <c r="M410" s="7" t="s">
        <v>1</v>
      </c>
      <c r="N410" s="8"/>
      <c r="O410" s="40"/>
      <c r="P410" s="15"/>
      <c r="Q410" s="9" t="s">
        <v>264</v>
      </c>
      <c r="R410" s="9" t="s">
        <v>265</v>
      </c>
      <c r="S410" s="9"/>
      <c r="T410" s="9">
        <v>941597</v>
      </c>
      <c r="U410" s="16" t="s">
        <v>106</v>
      </c>
      <c r="V410" s="9">
        <v>3902332</v>
      </c>
      <c r="W410" s="8" t="s">
        <v>353</v>
      </c>
      <c r="X410" s="8" t="s">
        <v>317</v>
      </c>
      <c r="Y410" s="8" t="s">
        <v>413</v>
      </c>
      <c r="Z410" s="8">
        <v>3</v>
      </c>
      <c r="AA410" s="8">
        <v>5</v>
      </c>
      <c r="AB410" s="8"/>
      <c r="AC410" s="8" t="s">
        <v>228</v>
      </c>
      <c r="AD410" s="14" t="s">
        <v>229</v>
      </c>
      <c r="AE410" s="8" t="s">
        <v>354</v>
      </c>
      <c r="AF410" s="14">
        <v>0.5</v>
      </c>
      <c r="AG410" s="8">
        <v>1220</v>
      </c>
      <c r="AH410" s="8">
        <v>0</v>
      </c>
      <c r="AI410" s="8">
        <v>28</v>
      </c>
      <c r="AJ410" s="8">
        <v>0</v>
      </c>
      <c r="AK410" s="127">
        <v>28</v>
      </c>
      <c r="AL410" s="103">
        <v>0</v>
      </c>
      <c r="AM410" s="8">
        <v>28</v>
      </c>
      <c r="AN410" s="21">
        <v>0</v>
      </c>
      <c r="AO410" s="21">
        <v>0</v>
      </c>
      <c r="AP410" s="21">
        <v>0</v>
      </c>
      <c r="AQ410" s="21">
        <v>28</v>
      </c>
      <c r="AR410" s="21">
        <v>0</v>
      </c>
      <c r="AS410" s="8">
        <v>28</v>
      </c>
      <c r="AT410" s="21">
        <v>0</v>
      </c>
      <c r="AU410" s="21">
        <v>0</v>
      </c>
      <c r="AV410" s="21">
        <v>0</v>
      </c>
      <c r="AW410" s="21">
        <v>28</v>
      </c>
      <c r="AX410" s="21">
        <v>0</v>
      </c>
      <c r="AY410" s="8">
        <v>0</v>
      </c>
    </row>
    <row r="411" spans="1:51" ht="15" customHeight="1" x14ac:dyDescent="0.25">
      <c r="A411" s="9">
        <v>742</v>
      </c>
      <c r="B411" s="13">
        <v>45727</v>
      </c>
      <c r="C411" s="9" t="s">
        <v>169</v>
      </c>
      <c r="D411" s="9">
        <v>9518591774</v>
      </c>
      <c r="E411" s="8">
        <v>19</v>
      </c>
      <c r="F411" s="9" t="s">
        <v>1019</v>
      </c>
      <c r="G411" s="9" t="s">
        <v>1303</v>
      </c>
      <c r="H411" s="9" t="s">
        <v>57</v>
      </c>
      <c r="I411" s="9" t="s">
        <v>25</v>
      </c>
      <c r="J411" s="9" t="s">
        <v>30</v>
      </c>
      <c r="K411" s="9" t="s">
        <v>170</v>
      </c>
      <c r="L411" s="39"/>
      <c r="M411" s="7" t="s">
        <v>1</v>
      </c>
      <c r="N411" s="8"/>
      <c r="O411" s="40"/>
      <c r="P411" s="15"/>
      <c r="Q411" s="9" t="s">
        <v>172</v>
      </c>
      <c r="R411" s="9" t="s">
        <v>274</v>
      </c>
      <c r="S411" s="9"/>
      <c r="T411" s="9">
        <v>936527</v>
      </c>
      <c r="U411" s="16" t="s">
        <v>82</v>
      </c>
      <c r="V411" s="9">
        <v>2390540</v>
      </c>
      <c r="W411" s="8" t="s">
        <v>700</v>
      </c>
      <c r="X411" s="8" t="s">
        <v>265</v>
      </c>
      <c r="Y411" s="8" t="s">
        <v>175</v>
      </c>
      <c r="Z411" s="8">
        <v>10</v>
      </c>
      <c r="AA411" s="8">
        <v>30</v>
      </c>
      <c r="AB411" s="8"/>
      <c r="AC411" s="8" t="s">
        <v>190</v>
      </c>
      <c r="AD411" s="14" t="s">
        <v>191</v>
      </c>
      <c r="AE411" s="8" t="s">
        <v>192</v>
      </c>
      <c r="AF411" s="14">
        <v>1.8</v>
      </c>
      <c r="AG411" s="8">
        <v>1250</v>
      </c>
      <c r="AH411" s="8">
        <v>0</v>
      </c>
      <c r="AI411" s="8">
        <v>29</v>
      </c>
      <c r="AJ411" s="8">
        <v>0</v>
      </c>
      <c r="AK411" s="127">
        <v>29</v>
      </c>
      <c r="AL411" s="103">
        <v>0</v>
      </c>
      <c r="AM411" s="8">
        <v>29</v>
      </c>
      <c r="AN411" s="21">
        <v>29</v>
      </c>
      <c r="AO411" s="21">
        <v>0</v>
      </c>
      <c r="AP411" s="21">
        <v>0</v>
      </c>
      <c r="AQ411" s="21">
        <v>0</v>
      </c>
      <c r="AR411" s="21">
        <v>0</v>
      </c>
      <c r="AS411" s="8">
        <v>29</v>
      </c>
      <c r="AT411" s="21">
        <v>0</v>
      </c>
      <c r="AU411" s="21">
        <v>29</v>
      </c>
      <c r="AV411" s="21">
        <v>0</v>
      </c>
      <c r="AW411" s="21">
        <v>0</v>
      </c>
      <c r="AX411" s="21">
        <v>0</v>
      </c>
      <c r="AY411" s="8">
        <v>0</v>
      </c>
    </row>
    <row r="412" spans="1:51" ht="15" customHeight="1" x14ac:dyDescent="0.25">
      <c r="A412" s="9">
        <v>742</v>
      </c>
      <c r="B412" s="13">
        <v>45741</v>
      </c>
      <c r="C412" s="9" t="s">
        <v>169</v>
      </c>
      <c r="D412" s="9">
        <v>9518633792</v>
      </c>
      <c r="E412" s="8">
        <v>1</v>
      </c>
      <c r="F412" s="9" t="s">
        <v>1020</v>
      </c>
      <c r="G412" s="79" t="s">
        <v>1303</v>
      </c>
      <c r="H412" s="9" t="s">
        <v>57</v>
      </c>
      <c r="I412" s="9" t="s">
        <v>25</v>
      </c>
      <c r="J412" s="9" t="s">
        <v>30</v>
      </c>
      <c r="K412" s="9" t="s">
        <v>170</v>
      </c>
      <c r="L412" s="39"/>
      <c r="M412" s="7" t="s">
        <v>1</v>
      </c>
      <c r="N412" s="8"/>
      <c r="O412" s="40"/>
      <c r="P412" s="15"/>
      <c r="Q412" s="9" t="s">
        <v>214</v>
      </c>
      <c r="R412" s="9" t="s">
        <v>240</v>
      </c>
      <c r="S412" s="9"/>
      <c r="T412" s="9">
        <v>939268</v>
      </c>
      <c r="U412" s="16" t="s">
        <v>86</v>
      </c>
      <c r="V412" s="9">
        <v>185675</v>
      </c>
      <c r="W412" s="8" t="s">
        <v>271</v>
      </c>
      <c r="X412" s="8" t="s">
        <v>265</v>
      </c>
      <c r="Y412" s="8" t="s">
        <v>175</v>
      </c>
      <c r="Z412" s="8">
        <v>2</v>
      </c>
      <c r="AA412" s="8">
        <v>30</v>
      </c>
      <c r="AB412" s="8"/>
      <c r="AC412" s="8" t="s">
        <v>190</v>
      </c>
      <c r="AD412" s="14" t="s">
        <v>191</v>
      </c>
      <c r="AE412" s="8" t="s">
        <v>192</v>
      </c>
      <c r="AF412" s="14">
        <v>0.5</v>
      </c>
      <c r="AG412" s="8">
        <v>1250</v>
      </c>
      <c r="AH412" s="8">
        <v>0</v>
      </c>
      <c r="AI412" s="8">
        <v>203</v>
      </c>
      <c r="AJ412" s="8">
        <v>0</v>
      </c>
      <c r="AK412" s="127">
        <v>166.21</v>
      </c>
      <c r="AL412" s="103">
        <v>36.79</v>
      </c>
      <c r="AM412" s="8">
        <v>166.21</v>
      </c>
      <c r="AN412" s="21">
        <v>0</v>
      </c>
      <c r="AO412" s="21">
        <v>166.21</v>
      </c>
      <c r="AP412" s="21">
        <v>0</v>
      </c>
      <c r="AQ412" s="21">
        <v>0</v>
      </c>
      <c r="AR412" s="21">
        <v>0</v>
      </c>
      <c r="AS412" s="8">
        <v>203</v>
      </c>
      <c r="AT412" s="21">
        <v>0</v>
      </c>
      <c r="AU412" s="21">
        <v>0</v>
      </c>
      <c r="AV412" s="21">
        <v>203</v>
      </c>
      <c r="AW412" s="21">
        <v>0</v>
      </c>
      <c r="AX412" s="21">
        <v>0</v>
      </c>
      <c r="AY412" s="8">
        <v>0</v>
      </c>
    </row>
    <row r="413" spans="1:51" ht="15" customHeight="1" x14ac:dyDescent="0.25">
      <c r="A413" s="9">
        <v>743</v>
      </c>
      <c r="B413" s="13">
        <v>45758</v>
      </c>
      <c r="C413" s="9" t="s">
        <v>169</v>
      </c>
      <c r="D413" s="9">
        <v>9518683949</v>
      </c>
      <c r="E413" s="8">
        <v>4</v>
      </c>
      <c r="F413" s="9" t="s">
        <v>1021</v>
      </c>
      <c r="G413" s="79" t="s">
        <v>1303</v>
      </c>
      <c r="H413" s="9" t="s">
        <v>57</v>
      </c>
      <c r="I413" s="9" t="s">
        <v>43</v>
      </c>
      <c r="J413" s="9" t="s">
        <v>45</v>
      </c>
      <c r="K413" s="9" t="s">
        <v>170</v>
      </c>
      <c r="L413" s="39"/>
      <c r="M413" s="7" t="s">
        <v>1</v>
      </c>
      <c r="N413" s="8"/>
      <c r="O413" s="40"/>
      <c r="P413" s="15"/>
      <c r="Q413" s="9" t="s">
        <v>180</v>
      </c>
      <c r="R413" s="9" t="s">
        <v>439</v>
      </c>
      <c r="S413" s="9"/>
      <c r="T413" s="9">
        <v>100922</v>
      </c>
      <c r="U413" s="16" t="s">
        <v>115</v>
      </c>
      <c r="V413" s="9">
        <v>1178439</v>
      </c>
      <c r="W413" s="8" t="s">
        <v>446</v>
      </c>
      <c r="X413" s="8" t="s">
        <v>308</v>
      </c>
      <c r="Y413" s="8" t="s">
        <v>175</v>
      </c>
      <c r="Z413" s="8">
        <v>5</v>
      </c>
      <c r="AA413" s="8">
        <v>15</v>
      </c>
      <c r="AB413" s="8"/>
      <c r="AC413" s="8" t="s">
        <v>238</v>
      </c>
      <c r="AD413" s="14" t="s">
        <v>185</v>
      </c>
      <c r="AE413" s="8" t="s">
        <v>186</v>
      </c>
      <c r="AF413" s="14">
        <v>0.4</v>
      </c>
      <c r="AG413" s="8">
        <v>900</v>
      </c>
      <c r="AH413" s="8">
        <v>0</v>
      </c>
      <c r="AI413" s="8">
        <v>147</v>
      </c>
      <c r="AJ413" s="8">
        <v>0</v>
      </c>
      <c r="AK413" s="127">
        <v>147</v>
      </c>
      <c r="AL413" s="103">
        <v>0</v>
      </c>
      <c r="AM413" s="8">
        <v>147</v>
      </c>
      <c r="AN413" s="21">
        <v>0</v>
      </c>
      <c r="AO413" s="21">
        <v>147</v>
      </c>
      <c r="AP413" s="21">
        <v>0</v>
      </c>
      <c r="AQ413" s="21">
        <v>0</v>
      </c>
      <c r="AR413" s="21">
        <v>0</v>
      </c>
      <c r="AS413" s="8">
        <v>147</v>
      </c>
      <c r="AT413" s="21">
        <v>0</v>
      </c>
      <c r="AU413" s="21">
        <v>0</v>
      </c>
      <c r="AV413" s="21">
        <v>147</v>
      </c>
      <c r="AW413" s="21">
        <v>0</v>
      </c>
      <c r="AX413" s="21">
        <v>0</v>
      </c>
      <c r="AY413" s="8">
        <v>0</v>
      </c>
    </row>
    <row r="414" spans="1:51" ht="15" customHeight="1" x14ac:dyDescent="0.25">
      <c r="A414" s="9">
        <v>744</v>
      </c>
      <c r="B414" s="13">
        <v>45750</v>
      </c>
      <c r="C414" s="9" t="s">
        <v>169</v>
      </c>
      <c r="D414" s="9">
        <v>9518666670</v>
      </c>
      <c r="E414" s="8">
        <v>2</v>
      </c>
      <c r="F414" s="9" t="s">
        <v>1022</v>
      </c>
      <c r="G414" s="79" t="s">
        <v>1303</v>
      </c>
      <c r="H414" s="9" t="s">
        <v>57</v>
      </c>
      <c r="I414" s="9" t="s">
        <v>48</v>
      </c>
      <c r="J414" s="9" t="s">
        <v>39</v>
      </c>
      <c r="K414" s="9" t="s">
        <v>233</v>
      </c>
      <c r="L414" s="39"/>
      <c r="M414" s="7" t="s">
        <v>1</v>
      </c>
      <c r="N414" s="8"/>
      <c r="O414" s="40"/>
      <c r="P414" s="15"/>
      <c r="Q414" s="9" t="s">
        <v>264</v>
      </c>
      <c r="R414" s="9" t="s">
        <v>265</v>
      </c>
      <c r="S414" s="9"/>
      <c r="T414" s="9">
        <v>941597</v>
      </c>
      <c r="U414" s="16" t="s">
        <v>106</v>
      </c>
      <c r="V414" s="9">
        <v>3940122</v>
      </c>
      <c r="W414" s="8" t="s">
        <v>684</v>
      </c>
      <c r="X414" s="8" t="s">
        <v>317</v>
      </c>
      <c r="Y414" s="8" t="s">
        <v>413</v>
      </c>
      <c r="Z414" s="8">
        <v>3</v>
      </c>
      <c r="AA414" s="8">
        <v>5</v>
      </c>
      <c r="AB414" s="8"/>
      <c r="AC414" s="8" t="s">
        <v>228</v>
      </c>
      <c r="AD414" s="14" t="s">
        <v>229</v>
      </c>
      <c r="AE414" s="8" t="s">
        <v>354</v>
      </c>
      <c r="AF414" s="14">
        <v>0.47</v>
      </c>
      <c r="AG414" s="8">
        <v>1220</v>
      </c>
      <c r="AH414" s="8">
        <v>0</v>
      </c>
      <c r="AI414" s="8">
        <v>28</v>
      </c>
      <c r="AJ414" s="8">
        <v>0</v>
      </c>
      <c r="AK414" s="127">
        <v>28</v>
      </c>
      <c r="AL414" s="103">
        <v>0</v>
      </c>
      <c r="AM414" s="8">
        <v>28</v>
      </c>
      <c r="AN414" s="21">
        <v>0</v>
      </c>
      <c r="AO414" s="21">
        <v>0</v>
      </c>
      <c r="AP414" s="21">
        <v>0</v>
      </c>
      <c r="AQ414" s="21">
        <v>28</v>
      </c>
      <c r="AR414" s="21">
        <v>0</v>
      </c>
      <c r="AS414" s="8">
        <v>28</v>
      </c>
      <c r="AT414" s="21">
        <v>0</v>
      </c>
      <c r="AU414" s="21">
        <v>0</v>
      </c>
      <c r="AV414" s="21">
        <v>0</v>
      </c>
      <c r="AW414" s="21">
        <v>28</v>
      </c>
      <c r="AX414" s="21">
        <v>0</v>
      </c>
      <c r="AY414" s="8">
        <v>0</v>
      </c>
    </row>
    <row r="415" spans="1:51" ht="15" customHeight="1" x14ac:dyDescent="0.25">
      <c r="A415" s="9">
        <v>742</v>
      </c>
      <c r="B415" s="13">
        <v>45757</v>
      </c>
      <c r="C415" s="9" t="s">
        <v>169</v>
      </c>
      <c r="D415" s="9">
        <v>9518683200</v>
      </c>
      <c r="E415" s="8">
        <v>19</v>
      </c>
      <c r="F415" s="9" t="s">
        <v>1023</v>
      </c>
      <c r="G415" s="9" t="s">
        <v>1687</v>
      </c>
      <c r="H415" s="9" t="s">
        <v>57</v>
      </c>
      <c r="I415" s="9" t="s">
        <v>25</v>
      </c>
      <c r="J415" s="9" t="s">
        <v>30</v>
      </c>
      <c r="K415" s="9" t="s">
        <v>170</v>
      </c>
      <c r="L415" s="39"/>
      <c r="M415" s="7" t="s">
        <v>1</v>
      </c>
      <c r="N415" s="8"/>
      <c r="O415" s="40"/>
      <c r="P415" s="15"/>
      <c r="Q415" s="9" t="s">
        <v>214</v>
      </c>
      <c r="R415" s="9" t="s">
        <v>215</v>
      </c>
      <c r="S415" s="9"/>
      <c r="T415" s="9">
        <v>946077</v>
      </c>
      <c r="U415" s="16" t="s">
        <v>83</v>
      </c>
      <c r="V415" s="9">
        <v>281630</v>
      </c>
      <c r="W415" s="8" t="s">
        <v>554</v>
      </c>
      <c r="X415" s="8" t="s">
        <v>265</v>
      </c>
      <c r="Y415" s="8" t="s">
        <v>175</v>
      </c>
      <c r="Z415" s="8">
        <v>0</v>
      </c>
      <c r="AA415" s="8">
        <v>0</v>
      </c>
      <c r="AB415" s="8"/>
      <c r="AC415" s="8" t="s">
        <v>210</v>
      </c>
      <c r="AD415" s="14" t="s">
        <v>191</v>
      </c>
      <c r="AE415" s="8" t="s">
        <v>192</v>
      </c>
      <c r="AF415" s="14">
        <v>1.6</v>
      </c>
      <c r="AG415" s="8">
        <v>1250</v>
      </c>
      <c r="AH415" s="8">
        <v>2500</v>
      </c>
      <c r="AI415" s="8">
        <v>30</v>
      </c>
      <c r="AJ415" s="8">
        <v>0</v>
      </c>
      <c r="AK415" s="127">
        <v>8.15</v>
      </c>
      <c r="AL415" s="103">
        <v>7.85</v>
      </c>
      <c r="AM415" s="8">
        <v>0</v>
      </c>
      <c r="AN415" s="21">
        <v>0</v>
      </c>
      <c r="AO415" s="21">
        <v>0</v>
      </c>
      <c r="AP415" s="21">
        <v>0</v>
      </c>
      <c r="AQ415" s="21">
        <v>0</v>
      </c>
      <c r="AR415" s="21">
        <v>0</v>
      </c>
      <c r="AS415" s="8">
        <v>7.85</v>
      </c>
      <c r="AT415" s="21">
        <v>7.85</v>
      </c>
      <c r="AU415" s="21">
        <v>0</v>
      </c>
      <c r="AV415" s="21">
        <v>0</v>
      </c>
      <c r="AW415" s="21">
        <v>0</v>
      </c>
      <c r="AX415" s="21">
        <v>0</v>
      </c>
      <c r="AY415" s="8">
        <v>0</v>
      </c>
    </row>
    <row r="416" spans="1:51" ht="15" customHeight="1" x14ac:dyDescent="0.25">
      <c r="A416" s="9">
        <v>742</v>
      </c>
      <c r="B416" s="13">
        <v>45755</v>
      </c>
      <c r="C416" s="9" t="s">
        <v>169</v>
      </c>
      <c r="D416" s="9">
        <v>9518677464</v>
      </c>
      <c r="E416" s="8">
        <v>1</v>
      </c>
      <c r="F416" s="9" t="s">
        <v>1024</v>
      </c>
      <c r="G416" s="79" t="s">
        <v>1303</v>
      </c>
      <c r="H416" s="9" t="s">
        <v>57</v>
      </c>
      <c r="I416" s="9" t="s">
        <v>25</v>
      </c>
      <c r="J416" s="9" t="s">
        <v>30</v>
      </c>
      <c r="K416" s="9" t="s">
        <v>170</v>
      </c>
      <c r="L416" s="39"/>
      <c r="M416" s="7" t="s">
        <v>1</v>
      </c>
      <c r="N416" s="8"/>
      <c r="O416" s="40"/>
      <c r="P416" s="15"/>
      <c r="Q416" s="9" t="s">
        <v>180</v>
      </c>
      <c r="R416" s="9" t="s">
        <v>217</v>
      </c>
      <c r="S416" s="9"/>
      <c r="T416" s="9">
        <v>116649</v>
      </c>
      <c r="U416" s="16" t="s">
        <v>96</v>
      </c>
      <c r="V416" s="9">
        <v>350229</v>
      </c>
      <c r="W416" s="8" t="s">
        <v>1157</v>
      </c>
      <c r="X416" s="8" t="s">
        <v>265</v>
      </c>
      <c r="Y416" s="8" t="s">
        <v>175</v>
      </c>
      <c r="Z416" s="8">
        <v>6</v>
      </c>
      <c r="AA416" s="8">
        <v>24</v>
      </c>
      <c r="AB416" s="8"/>
      <c r="AC416" s="8" t="s">
        <v>190</v>
      </c>
      <c r="AD416" s="14" t="s">
        <v>191</v>
      </c>
      <c r="AE416" s="8" t="s">
        <v>192</v>
      </c>
      <c r="AF416" s="14">
        <v>0.55000000000000004</v>
      </c>
      <c r="AG416" s="8">
        <v>1250</v>
      </c>
      <c r="AH416" s="8">
        <v>0</v>
      </c>
      <c r="AI416" s="8">
        <v>86.99</v>
      </c>
      <c r="AJ416" s="8">
        <v>0</v>
      </c>
      <c r="AK416" s="127">
        <v>86.99</v>
      </c>
      <c r="AL416" s="103">
        <v>0</v>
      </c>
      <c r="AM416" s="8">
        <v>86.99</v>
      </c>
      <c r="AN416" s="21">
        <v>0</v>
      </c>
      <c r="AO416" s="21">
        <v>86.99</v>
      </c>
      <c r="AP416" s="21">
        <v>0</v>
      </c>
      <c r="AQ416" s="21">
        <v>0</v>
      </c>
      <c r="AR416" s="21">
        <v>0</v>
      </c>
      <c r="AS416" s="8">
        <v>86.99</v>
      </c>
      <c r="AT416" s="21">
        <v>0</v>
      </c>
      <c r="AU416" s="21">
        <v>86.99</v>
      </c>
      <c r="AV416" s="21">
        <v>0</v>
      </c>
      <c r="AW416" s="21">
        <v>0</v>
      </c>
      <c r="AX416" s="21">
        <v>0</v>
      </c>
      <c r="AY416" s="8">
        <v>0</v>
      </c>
    </row>
    <row r="417" spans="1:51" ht="15" customHeight="1" x14ac:dyDescent="0.25">
      <c r="A417" s="9">
        <v>742</v>
      </c>
      <c r="B417" s="13">
        <v>45762</v>
      </c>
      <c r="C417" s="9" t="s">
        <v>193</v>
      </c>
      <c r="D417" s="9">
        <v>9518695452</v>
      </c>
      <c r="E417" s="8">
        <v>8</v>
      </c>
      <c r="F417" s="9" t="s">
        <v>1025</v>
      </c>
      <c r="G417" s="79" t="s">
        <v>1303</v>
      </c>
      <c r="H417" s="9" t="s">
        <v>57</v>
      </c>
      <c r="I417" s="9" t="s">
        <v>25</v>
      </c>
      <c r="J417" s="9" t="s">
        <v>29</v>
      </c>
      <c r="K417" s="9" t="s">
        <v>233</v>
      </c>
      <c r="L417" s="39"/>
      <c r="M417" s="7" t="s">
        <v>1</v>
      </c>
      <c r="N417" s="8"/>
      <c r="O417" s="40"/>
      <c r="P417" s="15"/>
      <c r="Q417" s="9" t="s">
        <v>180</v>
      </c>
      <c r="R417" s="9" t="s">
        <v>195</v>
      </c>
      <c r="S417" s="9"/>
      <c r="T417" s="9">
        <v>600250</v>
      </c>
      <c r="U417" s="16" t="s">
        <v>64</v>
      </c>
      <c r="V417" s="9">
        <v>2439203</v>
      </c>
      <c r="W417" s="8" t="s">
        <v>288</v>
      </c>
      <c r="X417" s="8" t="s">
        <v>265</v>
      </c>
      <c r="Y417" s="8" t="s">
        <v>175</v>
      </c>
      <c r="Z417" s="8">
        <v>8</v>
      </c>
      <c r="AA417" s="8">
        <v>13</v>
      </c>
      <c r="AB417" s="8"/>
      <c r="AC417" s="8" t="s">
        <v>190</v>
      </c>
      <c r="AD417" s="14" t="s">
        <v>197</v>
      </c>
      <c r="AE417" s="8" t="s">
        <v>198</v>
      </c>
      <c r="AF417" s="14">
        <v>0.5</v>
      </c>
      <c r="AG417" s="8">
        <v>1160</v>
      </c>
      <c r="AH417" s="8">
        <v>0</v>
      </c>
      <c r="AI417" s="8">
        <v>297</v>
      </c>
      <c r="AJ417" s="8">
        <v>0</v>
      </c>
      <c r="AK417" s="127">
        <v>297</v>
      </c>
      <c r="AL417" s="103">
        <v>0</v>
      </c>
      <c r="AM417" s="8">
        <v>297</v>
      </c>
      <c r="AN417" s="21">
        <v>0</v>
      </c>
      <c r="AO417" s="21">
        <v>0</v>
      </c>
      <c r="AP417" s="21">
        <v>297</v>
      </c>
      <c r="AQ417" s="21">
        <v>0</v>
      </c>
      <c r="AR417" s="21">
        <v>0</v>
      </c>
      <c r="AS417" s="8">
        <v>297</v>
      </c>
      <c r="AT417" s="21">
        <v>0</v>
      </c>
      <c r="AU417" s="21">
        <v>0</v>
      </c>
      <c r="AV417" s="21">
        <v>297</v>
      </c>
      <c r="AW417" s="21">
        <v>0</v>
      </c>
      <c r="AX417" s="21">
        <v>0</v>
      </c>
      <c r="AY417" s="8">
        <v>0</v>
      </c>
    </row>
    <row r="418" spans="1:51" ht="15" customHeight="1" x14ac:dyDescent="0.25">
      <c r="A418" s="9">
        <v>742</v>
      </c>
      <c r="B418" s="13">
        <v>45750</v>
      </c>
      <c r="C418" s="9" t="s">
        <v>169</v>
      </c>
      <c r="D418" s="9">
        <v>9518666887</v>
      </c>
      <c r="E418" s="8">
        <v>2</v>
      </c>
      <c r="F418" s="9" t="s">
        <v>1026</v>
      </c>
      <c r="G418" s="9" t="s">
        <v>1687</v>
      </c>
      <c r="H418" s="9" t="s">
        <v>57</v>
      </c>
      <c r="I418" s="9" t="s">
        <v>25</v>
      </c>
      <c r="J418" s="9" t="s">
        <v>31</v>
      </c>
      <c r="K418" s="9" t="s">
        <v>170</v>
      </c>
      <c r="L418" s="39"/>
      <c r="M418" s="7" t="s">
        <v>1</v>
      </c>
      <c r="N418" s="8"/>
      <c r="O418" s="40" t="s">
        <v>1335</v>
      </c>
      <c r="P418" s="15"/>
      <c r="Q418" s="9" t="s">
        <v>172</v>
      </c>
      <c r="R418" s="9" t="s">
        <v>286</v>
      </c>
      <c r="S418" s="9"/>
      <c r="T418" s="9">
        <v>931525</v>
      </c>
      <c r="U418" s="16" t="s">
        <v>75</v>
      </c>
      <c r="V418" s="9">
        <v>3239568</v>
      </c>
      <c r="W418" s="8" t="s">
        <v>459</v>
      </c>
      <c r="X418" s="8" t="s">
        <v>265</v>
      </c>
      <c r="Y418" s="8" t="s">
        <v>175</v>
      </c>
      <c r="Z418" s="8">
        <v>0</v>
      </c>
      <c r="AA418" s="8">
        <v>0</v>
      </c>
      <c r="AB418" s="8"/>
      <c r="AC418" s="8" t="s">
        <v>210</v>
      </c>
      <c r="AD418" s="14" t="s">
        <v>211</v>
      </c>
      <c r="AE418" s="8" t="s">
        <v>212</v>
      </c>
      <c r="AF418" s="14">
        <v>0.45</v>
      </c>
      <c r="AG418" s="8">
        <v>1250</v>
      </c>
      <c r="AH418" s="8">
        <v>2500</v>
      </c>
      <c r="AI418" s="8">
        <v>60</v>
      </c>
      <c r="AJ418" s="8">
        <v>0</v>
      </c>
      <c r="AK418" s="127">
        <v>8.3949999999999996</v>
      </c>
      <c r="AL418" s="103">
        <v>51.60499999999999</v>
      </c>
      <c r="AM418" s="8">
        <v>0</v>
      </c>
      <c r="AN418" s="21">
        <v>0</v>
      </c>
      <c r="AO418" s="21">
        <v>0</v>
      </c>
      <c r="AP418" s="21">
        <v>0</v>
      </c>
      <c r="AQ418" s="21">
        <v>0</v>
      </c>
      <c r="AR418" s="21">
        <v>0</v>
      </c>
      <c r="AS418" s="8">
        <v>51.60499999999999</v>
      </c>
      <c r="AT418" s="21">
        <v>51.60499999999999</v>
      </c>
      <c r="AU418" s="21">
        <v>0</v>
      </c>
      <c r="AV418" s="21">
        <v>0</v>
      </c>
      <c r="AW418" s="21">
        <v>0</v>
      </c>
      <c r="AX418" s="21">
        <v>0</v>
      </c>
      <c r="AY418" s="8">
        <v>0</v>
      </c>
    </row>
    <row r="419" spans="1:51" ht="15" customHeight="1" x14ac:dyDescent="0.25">
      <c r="A419" s="9">
        <v>744</v>
      </c>
      <c r="B419" s="13">
        <v>45755</v>
      </c>
      <c r="C419" s="9" t="s">
        <v>169</v>
      </c>
      <c r="D419" s="9">
        <v>9518676905</v>
      </c>
      <c r="E419" s="8">
        <v>1</v>
      </c>
      <c r="F419" s="9" t="s">
        <v>1027</v>
      </c>
      <c r="G419" s="79" t="s">
        <v>1303</v>
      </c>
      <c r="H419" s="9" t="s">
        <v>57</v>
      </c>
      <c r="I419" s="9" t="s">
        <v>48</v>
      </c>
      <c r="J419" s="9" t="s">
        <v>39</v>
      </c>
      <c r="K419" s="9" t="s">
        <v>233</v>
      </c>
      <c r="L419" s="39"/>
      <c r="M419" s="7" t="s">
        <v>1</v>
      </c>
      <c r="N419" s="8"/>
      <c r="O419" s="40"/>
      <c r="P419" s="15"/>
      <c r="Q419" s="9" t="s">
        <v>264</v>
      </c>
      <c r="R419" s="9" t="s">
        <v>265</v>
      </c>
      <c r="S419" s="9"/>
      <c r="T419" s="9">
        <v>941597</v>
      </c>
      <c r="U419" s="16" t="s">
        <v>106</v>
      </c>
      <c r="V419" s="9">
        <v>3902332</v>
      </c>
      <c r="W419" s="8" t="s">
        <v>353</v>
      </c>
      <c r="X419" s="8" t="s">
        <v>317</v>
      </c>
      <c r="Y419" s="8" t="s">
        <v>355</v>
      </c>
      <c r="Z419" s="8">
        <v>3</v>
      </c>
      <c r="AA419" s="8">
        <v>5</v>
      </c>
      <c r="AB419" s="8"/>
      <c r="AC419" s="8" t="s">
        <v>228</v>
      </c>
      <c r="AD419" s="14" t="s">
        <v>229</v>
      </c>
      <c r="AE419" s="8" t="s">
        <v>354</v>
      </c>
      <c r="AF419" s="14">
        <v>0.5</v>
      </c>
      <c r="AG419" s="8">
        <v>1220</v>
      </c>
      <c r="AH419" s="8">
        <v>0</v>
      </c>
      <c r="AI419" s="8">
        <v>196</v>
      </c>
      <c r="AJ419" s="8">
        <v>0</v>
      </c>
      <c r="AK419" s="127">
        <v>158.22</v>
      </c>
      <c r="AL419" s="103">
        <v>37.78</v>
      </c>
      <c r="AM419" s="8">
        <v>158.22</v>
      </c>
      <c r="AN419" s="21">
        <v>158.22</v>
      </c>
      <c r="AO419" s="21">
        <v>0</v>
      </c>
      <c r="AP419" s="21">
        <v>0</v>
      </c>
      <c r="AQ419" s="21">
        <v>0</v>
      </c>
      <c r="AR419" s="21">
        <v>0</v>
      </c>
      <c r="AS419" s="8">
        <v>196</v>
      </c>
      <c r="AT419" s="21">
        <v>0</v>
      </c>
      <c r="AU419" s="21">
        <v>196</v>
      </c>
      <c r="AV419" s="21">
        <v>0</v>
      </c>
      <c r="AW419" s="21">
        <v>0</v>
      </c>
      <c r="AX419" s="21">
        <v>0</v>
      </c>
      <c r="AY419" s="8">
        <v>0</v>
      </c>
    </row>
    <row r="420" spans="1:51" ht="15" customHeight="1" x14ac:dyDescent="0.25">
      <c r="A420" s="9">
        <v>744</v>
      </c>
      <c r="B420" s="13">
        <v>45755</v>
      </c>
      <c r="C420" s="9" t="s">
        <v>169</v>
      </c>
      <c r="D420" s="9">
        <v>9518676905</v>
      </c>
      <c r="E420" s="8">
        <v>4</v>
      </c>
      <c r="F420" s="9" t="s">
        <v>1028</v>
      </c>
      <c r="G420" s="79" t="s">
        <v>1303</v>
      </c>
      <c r="H420" s="9" t="s">
        <v>57</v>
      </c>
      <c r="I420" s="9" t="s">
        <v>48</v>
      </c>
      <c r="J420" s="9" t="s">
        <v>39</v>
      </c>
      <c r="K420" s="9" t="s">
        <v>233</v>
      </c>
      <c r="L420" s="39"/>
      <c r="M420" s="7" t="s">
        <v>1</v>
      </c>
      <c r="N420" s="8"/>
      <c r="O420" s="40"/>
      <c r="P420" s="15"/>
      <c r="Q420" s="9" t="s">
        <v>264</v>
      </c>
      <c r="R420" s="9" t="s">
        <v>265</v>
      </c>
      <c r="S420" s="9"/>
      <c r="T420" s="9">
        <v>941597</v>
      </c>
      <c r="U420" s="16" t="s">
        <v>106</v>
      </c>
      <c r="V420" s="9">
        <v>3902332</v>
      </c>
      <c r="W420" s="8" t="s">
        <v>353</v>
      </c>
      <c r="X420" s="8" t="s">
        <v>317</v>
      </c>
      <c r="Y420" s="8" t="s">
        <v>413</v>
      </c>
      <c r="Z420" s="8">
        <v>3</v>
      </c>
      <c r="AA420" s="8">
        <v>5</v>
      </c>
      <c r="AB420" s="8"/>
      <c r="AC420" s="8" t="s">
        <v>228</v>
      </c>
      <c r="AD420" s="14" t="s">
        <v>229</v>
      </c>
      <c r="AE420" s="8" t="s">
        <v>354</v>
      </c>
      <c r="AF420" s="14">
        <v>0.5</v>
      </c>
      <c r="AG420" s="8">
        <v>1220</v>
      </c>
      <c r="AH420" s="8">
        <v>0</v>
      </c>
      <c r="AI420" s="8">
        <v>112</v>
      </c>
      <c r="AJ420" s="8">
        <v>0</v>
      </c>
      <c r="AK420" s="127">
        <v>112</v>
      </c>
      <c r="AL420" s="103">
        <v>0</v>
      </c>
      <c r="AM420" s="8">
        <v>112</v>
      </c>
      <c r="AN420" s="21">
        <v>0</v>
      </c>
      <c r="AO420" s="21">
        <v>112</v>
      </c>
      <c r="AP420" s="21">
        <v>0</v>
      </c>
      <c r="AQ420" s="21">
        <v>0</v>
      </c>
      <c r="AR420" s="21">
        <v>0</v>
      </c>
      <c r="AS420" s="8">
        <v>112</v>
      </c>
      <c r="AT420" s="21">
        <v>0</v>
      </c>
      <c r="AU420" s="21">
        <v>112</v>
      </c>
      <c r="AV420" s="21">
        <v>0</v>
      </c>
      <c r="AW420" s="21">
        <v>0</v>
      </c>
      <c r="AX420" s="21">
        <v>0</v>
      </c>
      <c r="AY420" s="8">
        <v>0</v>
      </c>
    </row>
    <row r="421" spans="1:51" ht="15" customHeight="1" x14ac:dyDescent="0.25">
      <c r="A421" s="9">
        <v>744</v>
      </c>
      <c r="B421" s="13">
        <v>45755</v>
      </c>
      <c r="C421" s="9" t="s">
        <v>169</v>
      </c>
      <c r="D421" s="9">
        <v>9518676905</v>
      </c>
      <c r="E421" s="8">
        <v>10</v>
      </c>
      <c r="F421" s="9" t="s">
        <v>1029</v>
      </c>
      <c r="G421" s="9" t="s">
        <v>1687</v>
      </c>
      <c r="H421" s="9" t="s">
        <v>57</v>
      </c>
      <c r="I421" s="9" t="s">
        <v>48</v>
      </c>
      <c r="J421" s="9" t="s">
        <v>39</v>
      </c>
      <c r="K421" s="9" t="s">
        <v>233</v>
      </c>
      <c r="L421" s="39"/>
      <c r="M421" s="7" t="s">
        <v>1</v>
      </c>
      <c r="N421" s="8"/>
      <c r="O421" s="40"/>
      <c r="P421" s="15"/>
      <c r="Q421" s="9" t="s">
        <v>264</v>
      </c>
      <c r="R421" s="9" t="s">
        <v>265</v>
      </c>
      <c r="S421" s="9"/>
      <c r="T421" s="9">
        <v>941597</v>
      </c>
      <c r="U421" s="16" t="s">
        <v>106</v>
      </c>
      <c r="V421" s="9">
        <v>3926984</v>
      </c>
      <c r="W421" s="8" t="s">
        <v>870</v>
      </c>
      <c r="X421" s="8" t="s">
        <v>317</v>
      </c>
      <c r="Y421" s="8" t="s">
        <v>355</v>
      </c>
      <c r="Z421" s="8">
        <v>3</v>
      </c>
      <c r="AA421" s="8">
        <v>5</v>
      </c>
      <c r="AB421" s="8"/>
      <c r="AC421" s="8" t="s">
        <v>228</v>
      </c>
      <c r="AD421" s="14" t="s">
        <v>229</v>
      </c>
      <c r="AE421" s="8" t="s">
        <v>354</v>
      </c>
      <c r="AF421" s="14">
        <v>0.53</v>
      </c>
      <c r="AG421" s="8">
        <v>1220</v>
      </c>
      <c r="AH421" s="8">
        <v>0</v>
      </c>
      <c r="AI421" s="8">
        <v>84</v>
      </c>
      <c r="AJ421" s="8">
        <v>0</v>
      </c>
      <c r="AK421" s="127">
        <v>6.2450000000000001</v>
      </c>
      <c r="AL421" s="103">
        <v>49.955000000000005</v>
      </c>
      <c r="AM421" s="8">
        <v>0</v>
      </c>
      <c r="AN421" s="21">
        <v>0</v>
      </c>
      <c r="AO421" s="21">
        <v>0</v>
      </c>
      <c r="AP421" s="21">
        <v>0</v>
      </c>
      <c r="AQ421" s="21">
        <v>0</v>
      </c>
      <c r="AR421" s="21">
        <v>0</v>
      </c>
      <c r="AS421" s="8">
        <v>49.955000000000005</v>
      </c>
      <c r="AT421" s="21">
        <v>49.955000000000005</v>
      </c>
      <c r="AU421" s="21">
        <v>0</v>
      </c>
      <c r="AV421" s="21">
        <v>0</v>
      </c>
      <c r="AW421" s="21">
        <v>0</v>
      </c>
      <c r="AX421" s="21">
        <v>0</v>
      </c>
      <c r="AY421" s="8">
        <v>0</v>
      </c>
    </row>
    <row r="422" spans="1:51" ht="15" customHeight="1" x14ac:dyDescent="0.25">
      <c r="A422" s="9">
        <v>744</v>
      </c>
      <c r="B422" s="13">
        <v>45762</v>
      </c>
      <c r="C422" s="9" t="s">
        <v>169</v>
      </c>
      <c r="D422" s="9">
        <v>9518695502</v>
      </c>
      <c r="E422" s="8">
        <v>1</v>
      </c>
      <c r="F422" s="9" t="s">
        <v>1030</v>
      </c>
      <c r="G422" s="79" t="s">
        <v>1303</v>
      </c>
      <c r="H422" s="9" t="s">
        <v>57</v>
      </c>
      <c r="I422" s="9" t="s">
        <v>48</v>
      </c>
      <c r="J422" s="9" t="s">
        <v>39</v>
      </c>
      <c r="K422" s="9" t="s">
        <v>233</v>
      </c>
      <c r="L422" s="39"/>
      <c r="M422" s="7" t="s">
        <v>1</v>
      </c>
      <c r="N422" s="8"/>
      <c r="O422" s="40"/>
      <c r="P422" s="15"/>
      <c r="Q422" s="9" t="s">
        <v>264</v>
      </c>
      <c r="R422" s="9" t="s">
        <v>256</v>
      </c>
      <c r="S422" s="9"/>
      <c r="T422" s="9">
        <v>940074</v>
      </c>
      <c r="U422" s="16" t="s">
        <v>106</v>
      </c>
      <c r="V422" s="9">
        <v>3965294</v>
      </c>
      <c r="W422" s="8" t="s">
        <v>1158</v>
      </c>
      <c r="X422" s="8" t="s">
        <v>317</v>
      </c>
      <c r="Y422" s="8" t="s">
        <v>613</v>
      </c>
      <c r="Z422" s="8">
        <v>3</v>
      </c>
      <c r="AA422" s="8">
        <v>5</v>
      </c>
      <c r="AB422" s="8"/>
      <c r="AC422" s="8" t="s">
        <v>228</v>
      </c>
      <c r="AD422" s="14" t="s">
        <v>229</v>
      </c>
      <c r="AE422" s="8" t="s">
        <v>614</v>
      </c>
      <c r="AF422" s="14">
        <v>0.57999999999999996</v>
      </c>
      <c r="AG422" s="8">
        <v>1220</v>
      </c>
      <c r="AH422" s="8">
        <v>0</v>
      </c>
      <c r="AI422" s="8">
        <v>83.998999999999995</v>
      </c>
      <c r="AJ422" s="8">
        <v>0</v>
      </c>
      <c r="AK422" s="127">
        <v>83.998999999999995</v>
      </c>
      <c r="AL422" s="103">
        <v>0</v>
      </c>
      <c r="AM422" s="8">
        <v>83.998999999999995</v>
      </c>
      <c r="AN422" s="21">
        <v>0</v>
      </c>
      <c r="AO422" s="21">
        <v>83.998999999999995</v>
      </c>
      <c r="AP422" s="21">
        <v>0</v>
      </c>
      <c r="AQ422" s="21">
        <v>0</v>
      </c>
      <c r="AR422" s="21">
        <v>0</v>
      </c>
      <c r="AS422" s="8">
        <v>83.998999999999995</v>
      </c>
      <c r="AT422" s="21">
        <v>0</v>
      </c>
      <c r="AU422" s="21">
        <v>83.998999999999995</v>
      </c>
      <c r="AV422" s="21">
        <v>0</v>
      </c>
      <c r="AW422" s="21">
        <v>0</v>
      </c>
      <c r="AX422" s="21">
        <v>0</v>
      </c>
      <c r="AY422" s="8">
        <v>0</v>
      </c>
    </row>
    <row r="423" spans="1:51" ht="15" customHeight="1" x14ac:dyDescent="0.25">
      <c r="A423" s="9">
        <v>744</v>
      </c>
      <c r="B423" s="13">
        <v>45757</v>
      </c>
      <c r="C423" s="9" t="s">
        <v>169</v>
      </c>
      <c r="D423" s="9">
        <v>9518682471</v>
      </c>
      <c r="E423" s="8">
        <v>2</v>
      </c>
      <c r="F423" s="9" t="s">
        <v>1031</v>
      </c>
      <c r="G423" s="79" t="s">
        <v>1303</v>
      </c>
      <c r="H423" s="9" t="s">
        <v>57</v>
      </c>
      <c r="I423" s="9" t="s">
        <v>48</v>
      </c>
      <c r="J423" s="9" t="s">
        <v>39</v>
      </c>
      <c r="K423" s="9" t="s">
        <v>233</v>
      </c>
      <c r="L423" s="39"/>
      <c r="M423" s="7" t="s">
        <v>1</v>
      </c>
      <c r="N423" s="8"/>
      <c r="O423" s="40"/>
      <c r="P423" s="15"/>
      <c r="Q423" s="9" t="s">
        <v>264</v>
      </c>
      <c r="R423" s="9" t="s">
        <v>265</v>
      </c>
      <c r="S423" s="9"/>
      <c r="T423" s="9">
        <v>941597</v>
      </c>
      <c r="U423" s="16" t="s">
        <v>106</v>
      </c>
      <c r="V423" s="9">
        <v>3902332</v>
      </c>
      <c r="W423" s="8" t="s">
        <v>353</v>
      </c>
      <c r="X423" s="8" t="s">
        <v>317</v>
      </c>
      <c r="Y423" s="8" t="s">
        <v>355</v>
      </c>
      <c r="Z423" s="8">
        <v>3</v>
      </c>
      <c r="AA423" s="8">
        <v>5</v>
      </c>
      <c r="AB423" s="8"/>
      <c r="AC423" s="8" t="s">
        <v>228</v>
      </c>
      <c r="AD423" s="14" t="s">
        <v>229</v>
      </c>
      <c r="AE423" s="8" t="s">
        <v>354</v>
      </c>
      <c r="AF423" s="14">
        <v>0.5</v>
      </c>
      <c r="AG423" s="8">
        <v>1220</v>
      </c>
      <c r="AH423" s="8">
        <v>0</v>
      </c>
      <c r="AI423" s="8">
        <v>28</v>
      </c>
      <c r="AJ423" s="8">
        <v>0</v>
      </c>
      <c r="AK423" s="127">
        <v>28</v>
      </c>
      <c r="AL423" s="103">
        <v>0</v>
      </c>
      <c r="AM423" s="8">
        <v>28</v>
      </c>
      <c r="AN423" s="21">
        <v>28</v>
      </c>
      <c r="AO423" s="21">
        <v>0</v>
      </c>
      <c r="AP423" s="21">
        <v>0</v>
      </c>
      <c r="AQ423" s="21">
        <v>0</v>
      </c>
      <c r="AR423" s="21">
        <v>0</v>
      </c>
      <c r="AS423" s="8">
        <v>28</v>
      </c>
      <c r="AT423" s="21">
        <v>0</v>
      </c>
      <c r="AU423" s="21">
        <v>28</v>
      </c>
      <c r="AV423" s="21">
        <v>0</v>
      </c>
      <c r="AW423" s="21">
        <v>0</v>
      </c>
      <c r="AX423" s="21">
        <v>0</v>
      </c>
      <c r="AY423" s="8">
        <v>0</v>
      </c>
    </row>
    <row r="424" spans="1:51" ht="15" customHeight="1" x14ac:dyDescent="0.25">
      <c r="A424" s="9">
        <v>744</v>
      </c>
      <c r="B424" s="13">
        <v>45757</v>
      </c>
      <c r="C424" s="9" t="s">
        <v>169</v>
      </c>
      <c r="D424" s="9">
        <v>9518682471</v>
      </c>
      <c r="E424" s="8">
        <v>3</v>
      </c>
      <c r="F424" s="9" t="s">
        <v>1032</v>
      </c>
      <c r="G424" s="79" t="s">
        <v>1303</v>
      </c>
      <c r="H424" s="9" t="s">
        <v>57</v>
      </c>
      <c r="I424" s="9" t="s">
        <v>48</v>
      </c>
      <c r="J424" s="9" t="s">
        <v>39</v>
      </c>
      <c r="K424" s="9" t="s">
        <v>233</v>
      </c>
      <c r="L424" s="39"/>
      <c r="M424" s="7" t="s">
        <v>1</v>
      </c>
      <c r="N424" s="8"/>
      <c r="O424" s="40"/>
      <c r="P424" s="15"/>
      <c r="Q424" s="9" t="s">
        <v>264</v>
      </c>
      <c r="R424" s="9" t="s">
        <v>265</v>
      </c>
      <c r="S424" s="9"/>
      <c r="T424" s="9">
        <v>941597</v>
      </c>
      <c r="U424" s="16" t="s">
        <v>106</v>
      </c>
      <c r="V424" s="9">
        <v>3902332</v>
      </c>
      <c r="W424" s="8" t="s">
        <v>353</v>
      </c>
      <c r="X424" s="8" t="s">
        <v>317</v>
      </c>
      <c r="Y424" s="8" t="s">
        <v>401</v>
      </c>
      <c r="Z424" s="8">
        <v>3</v>
      </c>
      <c r="AA424" s="8">
        <v>5</v>
      </c>
      <c r="AB424" s="8"/>
      <c r="AC424" s="8" t="s">
        <v>228</v>
      </c>
      <c r="AD424" s="14" t="s">
        <v>229</v>
      </c>
      <c r="AE424" s="8" t="s">
        <v>354</v>
      </c>
      <c r="AF424" s="14">
        <v>0.5</v>
      </c>
      <c r="AG424" s="8">
        <v>1220</v>
      </c>
      <c r="AH424" s="8">
        <v>0</v>
      </c>
      <c r="AI424" s="8">
        <v>28</v>
      </c>
      <c r="AJ424" s="8">
        <v>0</v>
      </c>
      <c r="AK424" s="127">
        <v>28</v>
      </c>
      <c r="AL424" s="103">
        <v>0</v>
      </c>
      <c r="AM424" s="8">
        <v>28</v>
      </c>
      <c r="AN424" s="21">
        <v>0</v>
      </c>
      <c r="AO424" s="21">
        <v>0</v>
      </c>
      <c r="AP424" s="21">
        <v>0</v>
      </c>
      <c r="AQ424" s="21">
        <v>28</v>
      </c>
      <c r="AR424" s="21">
        <v>0</v>
      </c>
      <c r="AS424" s="8">
        <v>28</v>
      </c>
      <c r="AT424" s="21">
        <v>0</v>
      </c>
      <c r="AU424" s="21">
        <v>0</v>
      </c>
      <c r="AV424" s="21">
        <v>0</v>
      </c>
      <c r="AW424" s="21">
        <v>28</v>
      </c>
      <c r="AX424" s="21">
        <v>0</v>
      </c>
      <c r="AY424" s="8">
        <v>0</v>
      </c>
    </row>
    <row r="425" spans="1:51" ht="15" customHeight="1" x14ac:dyDescent="0.25">
      <c r="A425" s="9">
        <v>744</v>
      </c>
      <c r="B425" s="13">
        <v>45757</v>
      </c>
      <c r="C425" s="9" t="s">
        <v>169</v>
      </c>
      <c r="D425" s="9">
        <v>9518682471</v>
      </c>
      <c r="E425" s="8">
        <v>4</v>
      </c>
      <c r="F425" s="9" t="s">
        <v>1033</v>
      </c>
      <c r="G425" s="79" t="s">
        <v>1303</v>
      </c>
      <c r="H425" s="9" t="s">
        <v>57</v>
      </c>
      <c r="I425" s="9" t="s">
        <v>48</v>
      </c>
      <c r="J425" s="9" t="s">
        <v>39</v>
      </c>
      <c r="K425" s="9" t="s">
        <v>233</v>
      </c>
      <c r="L425" s="39"/>
      <c r="M425" s="7" t="s">
        <v>1</v>
      </c>
      <c r="N425" s="8"/>
      <c r="O425" s="40"/>
      <c r="P425" s="15"/>
      <c r="Q425" s="9" t="s">
        <v>264</v>
      </c>
      <c r="R425" s="9" t="s">
        <v>265</v>
      </c>
      <c r="S425" s="9"/>
      <c r="T425" s="9">
        <v>941597</v>
      </c>
      <c r="U425" s="16" t="s">
        <v>106</v>
      </c>
      <c r="V425" s="9">
        <v>3902332</v>
      </c>
      <c r="W425" s="8" t="s">
        <v>353</v>
      </c>
      <c r="X425" s="8" t="s">
        <v>317</v>
      </c>
      <c r="Y425" s="8" t="s">
        <v>401</v>
      </c>
      <c r="Z425" s="8">
        <v>3</v>
      </c>
      <c r="AA425" s="8">
        <v>5</v>
      </c>
      <c r="AB425" s="8"/>
      <c r="AC425" s="8" t="s">
        <v>228</v>
      </c>
      <c r="AD425" s="14" t="s">
        <v>229</v>
      </c>
      <c r="AE425" s="8" t="s">
        <v>354</v>
      </c>
      <c r="AF425" s="14">
        <v>0.5</v>
      </c>
      <c r="AG425" s="8">
        <v>1220</v>
      </c>
      <c r="AH425" s="8">
        <v>0</v>
      </c>
      <c r="AI425" s="8">
        <v>28</v>
      </c>
      <c r="AJ425" s="8">
        <v>0</v>
      </c>
      <c r="AK425" s="127">
        <v>28</v>
      </c>
      <c r="AL425" s="103">
        <v>0</v>
      </c>
      <c r="AM425" s="8">
        <v>28</v>
      </c>
      <c r="AN425" s="21">
        <v>0</v>
      </c>
      <c r="AO425" s="21">
        <v>0</v>
      </c>
      <c r="AP425" s="21">
        <v>0</v>
      </c>
      <c r="AQ425" s="21">
        <v>28</v>
      </c>
      <c r="AR425" s="21">
        <v>0</v>
      </c>
      <c r="AS425" s="8">
        <v>28</v>
      </c>
      <c r="AT425" s="21">
        <v>0</v>
      </c>
      <c r="AU425" s="21">
        <v>0</v>
      </c>
      <c r="AV425" s="21">
        <v>0</v>
      </c>
      <c r="AW425" s="21">
        <v>28</v>
      </c>
      <c r="AX425" s="21">
        <v>0</v>
      </c>
      <c r="AY425" s="8">
        <v>0</v>
      </c>
    </row>
    <row r="426" spans="1:51" ht="15" customHeight="1" x14ac:dyDescent="0.25">
      <c r="A426" s="9">
        <v>744</v>
      </c>
      <c r="B426" s="13">
        <v>45757</v>
      </c>
      <c r="C426" s="9" t="s">
        <v>169</v>
      </c>
      <c r="D426" s="9">
        <v>9518682471</v>
      </c>
      <c r="E426" s="8">
        <v>5</v>
      </c>
      <c r="F426" s="9" t="s">
        <v>1034</v>
      </c>
      <c r="G426" s="79" t="s">
        <v>1303</v>
      </c>
      <c r="H426" s="9" t="s">
        <v>57</v>
      </c>
      <c r="I426" s="9" t="s">
        <v>48</v>
      </c>
      <c r="J426" s="9" t="s">
        <v>39</v>
      </c>
      <c r="K426" s="9" t="s">
        <v>233</v>
      </c>
      <c r="L426" s="39"/>
      <c r="M426" s="7" t="s">
        <v>1</v>
      </c>
      <c r="N426" s="8"/>
      <c r="O426" s="40"/>
      <c r="P426" s="15"/>
      <c r="Q426" s="9" t="s">
        <v>264</v>
      </c>
      <c r="R426" s="9" t="s">
        <v>265</v>
      </c>
      <c r="S426" s="9"/>
      <c r="T426" s="9">
        <v>941597</v>
      </c>
      <c r="U426" s="16" t="s">
        <v>106</v>
      </c>
      <c r="V426" s="9">
        <v>3902332</v>
      </c>
      <c r="W426" s="8" t="s">
        <v>353</v>
      </c>
      <c r="X426" s="8" t="s">
        <v>317</v>
      </c>
      <c r="Y426" s="8" t="s">
        <v>673</v>
      </c>
      <c r="Z426" s="8">
        <v>3</v>
      </c>
      <c r="AA426" s="8">
        <v>5</v>
      </c>
      <c r="AB426" s="8"/>
      <c r="AC426" s="8" t="s">
        <v>228</v>
      </c>
      <c r="AD426" s="14" t="s">
        <v>229</v>
      </c>
      <c r="AE426" s="8" t="s">
        <v>354</v>
      </c>
      <c r="AF426" s="14">
        <v>0.5</v>
      </c>
      <c r="AG426" s="8">
        <v>1220</v>
      </c>
      <c r="AH426" s="8">
        <v>0</v>
      </c>
      <c r="AI426" s="8">
        <v>28</v>
      </c>
      <c r="AJ426" s="8">
        <v>0</v>
      </c>
      <c r="AK426" s="127">
        <v>28</v>
      </c>
      <c r="AL426" s="103">
        <v>0</v>
      </c>
      <c r="AM426" s="8">
        <v>28</v>
      </c>
      <c r="AN426" s="21">
        <v>0</v>
      </c>
      <c r="AO426" s="21">
        <v>0</v>
      </c>
      <c r="AP426" s="21">
        <v>0</v>
      </c>
      <c r="AQ426" s="21">
        <v>28</v>
      </c>
      <c r="AR426" s="21">
        <v>0</v>
      </c>
      <c r="AS426" s="8">
        <v>28</v>
      </c>
      <c r="AT426" s="21">
        <v>0</v>
      </c>
      <c r="AU426" s="21">
        <v>0</v>
      </c>
      <c r="AV426" s="21">
        <v>0</v>
      </c>
      <c r="AW426" s="21">
        <v>28</v>
      </c>
      <c r="AX426" s="21">
        <v>0</v>
      </c>
      <c r="AY426" s="8">
        <v>0</v>
      </c>
    </row>
    <row r="427" spans="1:51" ht="15" customHeight="1" x14ac:dyDescent="0.25">
      <c r="A427" s="9">
        <v>744</v>
      </c>
      <c r="B427" s="13">
        <v>45757</v>
      </c>
      <c r="C427" s="9" t="s">
        <v>169</v>
      </c>
      <c r="D427" s="9">
        <v>9518682471</v>
      </c>
      <c r="E427" s="8">
        <v>6</v>
      </c>
      <c r="F427" s="9" t="s">
        <v>1035</v>
      </c>
      <c r="G427" s="79" t="s">
        <v>1303</v>
      </c>
      <c r="H427" s="9" t="s">
        <v>57</v>
      </c>
      <c r="I427" s="9" t="s">
        <v>48</v>
      </c>
      <c r="J427" s="9" t="s">
        <v>39</v>
      </c>
      <c r="K427" s="9" t="s">
        <v>233</v>
      </c>
      <c r="L427" s="39"/>
      <c r="M427" s="7" t="s">
        <v>1</v>
      </c>
      <c r="N427" s="8"/>
      <c r="O427" s="40"/>
      <c r="P427" s="15"/>
      <c r="Q427" s="9" t="s">
        <v>264</v>
      </c>
      <c r="R427" s="9" t="s">
        <v>265</v>
      </c>
      <c r="S427" s="9"/>
      <c r="T427" s="9">
        <v>941597</v>
      </c>
      <c r="U427" s="16" t="s">
        <v>106</v>
      </c>
      <c r="V427" s="9">
        <v>3902332</v>
      </c>
      <c r="W427" s="8" t="s">
        <v>353</v>
      </c>
      <c r="X427" s="8" t="s">
        <v>317</v>
      </c>
      <c r="Y427" s="8" t="s">
        <v>357</v>
      </c>
      <c r="Z427" s="8">
        <v>3</v>
      </c>
      <c r="AA427" s="8">
        <v>5</v>
      </c>
      <c r="AB427" s="8"/>
      <c r="AC427" s="8" t="s">
        <v>228</v>
      </c>
      <c r="AD427" s="14" t="s">
        <v>229</v>
      </c>
      <c r="AE427" s="8" t="s">
        <v>354</v>
      </c>
      <c r="AF427" s="14">
        <v>0.5</v>
      </c>
      <c r="AG427" s="8">
        <v>1220</v>
      </c>
      <c r="AH427" s="8">
        <v>0</v>
      </c>
      <c r="AI427" s="8">
        <v>56</v>
      </c>
      <c r="AJ427" s="8">
        <v>0</v>
      </c>
      <c r="AK427" s="127">
        <v>56</v>
      </c>
      <c r="AL427" s="103">
        <v>0</v>
      </c>
      <c r="AM427" s="8">
        <v>56</v>
      </c>
      <c r="AN427" s="21">
        <v>0</v>
      </c>
      <c r="AO427" s="21">
        <v>0</v>
      </c>
      <c r="AP427" s="21">
        <v>0</v>
      </c>
      <c r="AQ427" s="21">
        <v>56</v>
      </c>
      <c r="AR427" s="21">
        <v>0</v>
      </c>
      <c r="AS427" s="8">
        <v>56</v>
      </c>
      <c r="AT427" s="21">
        <v>0</v>
      </c>
      <c r="AU427" s="21">
        <v>0</v>
      </c>
      <c r="AV427" s="21">
        <v>0</v>
      </c>
      <c r="AW427" s="21">
        <v>56</v>
      </c>
      <c r="AX427" s="21">
        <v>0</v>
      </c>
      <c r="AY427" s="8">
        <v>0</v>
      </c>
    </row>
    <row r="428" spans="1:51" ht="15" customHeight="1" x14ac:dyDescent="0.25">
      <c r="A428" s="9">
        <v>744</v>
      </c>
      <c r="B428" s="13">
        <v>45757</v>
      </c>
      <c r="C428" s="9" t="s">
        <v>169</v>
      </c>
      <c r="D428" s="9">
        <v>9518682471</v>
      </c>
      <c r="E428" s="8">
        <v>7</v>
      </c>
      <c r="F428" s="9" t="s">
        <v>1036</v>
      </c>
      <c r="G428" s="79" t="s">
        <v>1303</v>
      </c>
      <c r="H428" s="9" t="s">
        <v>57</v>
      </c>
      <c r="I428" s="9" t="s">
        <v>48</v>
      </c>
      <c r="J428" s="9" t="s">
        <v>39</v>
      </c>
      <c r="K428" s="9" t="s">
        <v>233</v>
      </c>
      <c r="L428" s="39"/>
      <c r="M428" s="7" t="s">
        <v>1</v>
      </c>
      <c r="N428" s="8"/>
      <c r="O428" s="40"/>
      <c r="P428" s="15"/>
      <c r="Q428" s="9" t="s">
        <v>264</v>
      </c>
      <c r="R428" s="9" t="s">
        <v>265</v>
      </c>
      <c r="S428" s="9"/>
      <c r="T428" s="9">
        <v>941597</v>
      </c>
      <c r="U428" s="16" t="s">
        <v>106</v>
      </c>
      <c r="V428" s="9">
        <v>3902332</v>
      </c>
      <c r="W428" s="8" t="s">
        <v>353</v>
      </c>
      <c r="X428" s="8" t="s">
        <v>317</v>
      </c>
      <c r="Y428" s="8" t="s">
        <v>675</v>
      </c>
      <c r="Z428" s="8">
        <v>3</v>
      </c>
      <c r="AA428" s="8">
        <v>5</v>
      </c>
      <c r="AB428" s="8"/>
      <c r="AC428" s="8" t="s">
        <v>228</v>
      </c>
      <c r="AD428" s="14" t="s">
        <v>229</v>
      </c>
      <c r="AE428" s="8" t="s">
        <v>354</v>
      </c>
      <c r="AF428" s="14">
        <v>0.5</v>
      </c>
      <c r="AG428" s="8">
        <v>1220</v>
      </c>
      <c r="AH428" s="8">
        <v>0</v>
      </c>
      <c r="AI428" s="8">
        <v>28</v>
      </c>
      <c r="AJ428" s="8">
        <v>0</v>
      </c>
      <c r="AK428" s="127">
        <v>28</v>
      </c>
      <c r="AL428" s="103">
        <v>0</v>
      </c>
      <c r="AM428" s="8">
        <v>28</v>
      </c>
      <c r="AN428" s="21">
        <v>0</v>
      </c>
      <c r="AO428" s="21">
        <v>0</v>
      </c>
      <c r="AP428" s="21">
        <v>0</v>
      </c>
      <c r="AQ428" s="21">
        <v>28</v>
      </c>
      <c r="AR428" s="21">
        <v>0</v>
      </c>
      <c r="AS428" s="8">
        <v>28</v>
      </c>
      <c r="AT428" s="21">
        <v>0</v>
      </c>
      <c r="AU428" s="21">
        <v>0</v>
      </c>
      <c r="AV428" s="21">
        <v>0</v>
      </c>
      <c r="AW428" s="21">
        <v>28</v>
      </c>
      <c r="AX428" s="21">
        <v>0</v>
      </c>
      <c r="AY428" s="8">
        <v>0</v>
      </c>
    </row>
    <row r="429" spans="1:51" ht="15" customHeight="1" x14ac:dyDescent="0.25">
      <c r="A429" s="9">
        <v>742</v>
      </c>
      <c r="B429" s="13">
        <v>45751</v>
      </c>
      <c r="C429" s="9" t="s">
        <v>169</v>
      </c>
      <c r="D429" s="9">
        <v>9518670066</v>
      </c>
      <c r="E429" s="8">
        <v>5</v>
      </c>
      <c r="F429" s="9" t="s">
        <v>1037</v>
      </c>
      <c r="G429" s="79" t="s">
        <v>1303</v>
      </c>
      <c r="H429" s="9" t="s">
        <v>57</v>
      </c>
      <c r="I429" s="9" t="s">
        <v>25</v>
      </c>
      <c r="J429" s="9" t="s">
        <v>31</v>
      </c>
      <c r="K429" s="9" t="s">
        <v>170</v>
      </c>
      <c r="L429" s="39"/>
      <c r="M429" s="7" t="s">
        <v>1</v>
      </c>
      <c r="N429" s="8"/>
      <c r="O429" s="40"/>
      <c r="P429" s="15"/>
      <c r="Q429" s="9" t="s">
        <v>172</v>
      </c>
      <c r="R429" s="9" t="s">
        <v>286</v>
      </c>
      <c r="S429" s="9"/>
      <c r="T429" s="9">
        <v>931525</v>
      </c>
      <c r="U429" s="16" t="s">
        <v>75</v>
      </c>
      <c r="V429" s="9">
        <v>3444592</v>
      </c>
      <c r="W429" s="8" t="s">
        <v>472</v>
      </c>
      <c r="X429" s="8" t="s">
        <v>265</v>
      </c>
      <c r="Y429" s="8" t="s">
        <v>175</v>
      </c>
      <c r="Z429" s="8">
        <v>0</v>
      </c>
      <c r="AA429" s="8">
        <v>0</v>
      </c>
      <c r="AB429" s="8"/>
      <c r="AC429" s="8" t="s">
        <v>210</v>
      </c>
      <c r="AD429" s="14" t="s">
        <v>211</v>
      </c>
      <c r="AE429" s="8" t="s">
        <v>212</v>
      </c>
      <c r="AF429" s="14">
        <v>0.45</v>
      </c>
      <c r="AG429" s="8">
        <v>1250</v>
      </c>
      <c r="AH429" s="8">
        <v>2030</v>
      </c>
      <c r="AI429" s="8">
        <v>81</v>
      </c>
      <c r="AJ429" s="8">
        <v>0</v>
      </c>
      <c r="AK429" s="127">
        <v>81</v>
      </c>
      <c r="AL429" s="103">
        <v>0</v>
      </c>
      <c r="AM429" s="8">
        <v>81</v>
      </c>
      <c r="AN429" s="21">
        <v>0</v>
      </c>
      <c r="AO429" s="21">
        <v>0</v>
      </c>
      <c r="AP429" s="21">
        <v>81</v>
      </c>
      <c r="AQ429" s="21">
        <v>0</v>
      </c>
      <c r="AR429" s="21">
        <v>0</v>
      </c>
      <c r="AS429" s="8">
        <v>81</v>
      </c>
      <c r="AT429" s="21">
        <v>0</v>
      </c>
      <c r="AU429" s="21">
        <v>0</v>
      </c>
      <c r="AV429" s="21">
        <v>81</v>
      </c>
      <c r="AW429" s="21">
        <v>0</v>
      </c>
      <c r="AX429" s="21">
        <v>0</v>
      </c>
      <c r="AY429" s="8">
        <v>0</v>
      </c>
    </row>
    <row r="430" spans="1:51" ht="15" customHeight="1" x14ac:dyDescent="0.25">
      <c r="A430" s="9">
        <v>742</v>
      </c>
      <c r="B430" s="13">
        <v>45751</v>
      </c>
      <c r="C430" s="9" t="s">
        <v>169</v>
      </c>
      <c r="D430" s="9">
        <v>9518670119</v>
      </c>
      <c r="E430" s="8">
        <v>7</v>
      </c>
      <c r="F430" s="9" t="s">
        <v>1038</v>
      </c>
      <c r="G430" s="79" t="s">
        <v>1303</v>
      </c>
      <c r="H430" s="9" t="s">
        <v>57</v>
      </c>
      <c r="I430" s="9" t="s">
        <v>25</v>
      </c>
      <c r="J430" s="9" t="s">
        <v>30</v>
      </c>
      <c r="K430" s="9" t="s">
        <v>170</v>
      </c>
      <c r="L430" s="39"/>
      <c r="M430" s="7" t="s">
        <v>1</v>
      </c>
      <c r="N430" s="8"/>
      <c r="O430" s="40"/>
      <c r="P430" s="15"/>
      <c r="Q430" s="9" t="s">
        <v>214</v>
      </c>
      <c r="R430" s="9" t="s">
        <v>322</v>
      </c>
      <c r="S430" s="9"/>
      <c r="T430" s="9">
        <v>939422</v>
      </c>
      <c r="U430" s="16" t="s">
        <v>88</v>
      </c>
      <c r="V430" s="9">
        <v>1801804</v>
      </c>
      <c r="W430" s="8" t="s">
        <v>339</v>
      </c>
      <c r="X430" s="8" t="s">
        <v>265</v>
      </c>
      <c r="Y430" s="8" t="s">
        <v>175</v>
      </c>
      <c r="Z430" s="8">
        <v>10</v>
      </c>
      <c r="AA430" s="8">
        <v>30</v>
      </c>
      <c r="AB430" s="8"/>
      <c r="AC430" s="8" t="s">
        <v>190</v>
      </c>
      <c r="AD430" s="14" t="s">
        <v>191</v>
      </c>
      <c r="AE430" s="8" t="s">
        <v>192</v>
      </c>
      <c r="AF430" s="14">
        <v>1</v>
      </c>
      <c r="AG430" s="8">
        <v>1250</v>
      </c>
      <c r="AH430" s="8">
        <v>0</v>
      </c>
      <c r="AI430" s="8">
        <v>29</v>
      </c>
      <c r="AJ430" s="8">
        <v>0</v>
      </c>
      <c r="AK430" s="127">
        <v>29</v>
      </c>
      <c r="AL430" s="103">
        <v>0</v>
      </c>
      <c r="AM430" s="8">
        <v>29</v>
      </c>
      <c r="AN430" s="21">
        <v>0</v>
      </c>
      <c r="AO430" s="21">
        <v>29</v>
      </c>
      <c r="AP430" s="21">
        <v>0</v>
      </c>
      <c r="AQ430" s="21">
        <v>0</v>
      </c>
      <c r="AR430" s="21">
        <v>0</v>
      </c>
      <c r="AS430" s="8">
        <v>29</v>
      </c>
      <c r="AT430" s="21">
        <v>0</v>
      </c>
      <c r="AU430" s="21">
        <v>29</v>
      </c>
      <c r="AV430" s="21">
        <v>0</v>
      </c>
      <c r="AW430" s="21">
        <v>0</v>
      </c>
      <c r="AX430" s="21">
        <v>0</v>
      </c>
      <c r="AY430" s="8">
        <v>0</v>
      </c>
    </row>
    <row r="431" spans="1:51" ht="15" customHeight="1" x14ac:dyDescent="0.25">
      <c r="A431" s="9">
        <v>742</v>
      </c>
      <c r="B431" s="13">
        <v>45740</v>
      </c>
      <c r="C431" s="9" t="s">
        <v>169</v>
      </c>
      <c r="D431" s="9">
        <v>9518628976</v>
      </c>
      <c r="E431" s="8">
        <v>16</v>
      </c>
      <c r="F431" s="9" t="s">
        <v>1039</v>
      </c>
      <c r="G431" s="79" t="s">
        <v>1303</v>
      </c>
      <c r="H431" s="9" t="s">
        <v>57</v>
      </c>
      <c r="I431" s="9" t="s">
        <v>25</v>
      </c>
      <c r="J431" s="9" t="s">
        <v>30</v>
      </c>
      <c r="K431" s="9" t="s">
        <v>170</v>
      </c>
      <c r="L431" s="39"/>
      <c r="M431" s="7" t="s">
        <v>1</v>
      </c>
      <c r="N431" s="8"/>
      <c r="O431" s="40"/>
      <c r="P431" s="15"/>
      <c r="Q431" s="9" t="s">
        <v>214</v>
      </c>
      <c r="R431" s="9" t="s">
        <v>450</v>
      </c>
      <c r="S431" s="9"/>
      <c r="T431" s="9">
        <v>116465</v>
      </c>
      <c r="U431" s="16" t="s">
        <v>98</v>
      </c>
      <c r="V431" s="9">
        <v>2155233</v>
      </c>
      <c r="W431" s="8" t="s">
        <v>315</v>
      </c>
      <c r="X431" s="8" t="s">
        <v>265</v>
      </c>
      <c r="Y431" s="8" t="s">
        <v>175</v>
      </c>
      <c r="Z431" s="8">
        <v>6</v>
      </c>
      <c r="AA431" s="8">
        <v>18</v>
      </c>
      <c r="AB431" s="8"/>
      <c r="AC431" s="8" t="s">
        <v>190</v>
      </c>
      <c r="AD431" s="14" t="s">
        <v>191</v>
      </c>
      <c r="AE431" s="8" t="s">
        <v>192</v>
      </c>
      <c r="AF431" s="14">
        <v>2.5</v>
      </c>
      <c r="AG431" s="8">
        <v>1250</v>
      </c>
      <c r="AH431" s="8">
        <v>0</v>
      </c>
      <c r="AI431" s="8">
        <v>29</v>
      </c>
      <c r="AJ431" s="8">
        <v>0</v>
      </c>
      <c r="AK431" s="127">
        <v>29</v>
      </c>
      <c r="AL431" s="103">
        <v>0</v>
      </c>
      <c r="AM431" s="8">
        <v>29</v>
      </c>
      <c r="AN431" s="21">
        <v>0</v>
      </c>
      <c r="AO431" s="21">
        <v>0</v>
      </c>
      <c r="AP431" s="21">
        <v>0</v>
      </c>
      <c r="AQ431" s="21">
        <v>29</v>
      </c>
      <c r="AR431" s="21">
        <v>0</v>
      </c>
      <c r="AS431" s="8">
        <v>29</v>
      </c>
      <c r="AT431" s="21">
        <v>0</v>
      </c>
      <c r="AU431" s="21">
        <v>0</v>
      </c>
      <c r="AV431" s="21">
        <v>0</v>
      </c>
      <c r="AW431" s="21">
        <v>29</v>
      </c>
      <c r="AX431" s="21">
        <v>0</v>
      </c>
      <c r="AY431" s="8">
        <v>0</v>
      </c>
    </row>
    <row r="432" spans="1:51" ht="15" customHeight="1" x14ac:dyDescent="0.25">
      <c r="A432" s="9">
        <v>742</v>
      </c>
      <c r="B432" s="13">
        <v>45722</v>
      </c>
      <c r="C432" s="9" t="s">
        <v>169</v>
      </c>
      <c r="D432" s="9">
        <v>9518578782</v>
      </c>
      <c r="E432" s="8">
        <v>13</v>
      </c>
      <c r="F432" s="9" t="s">
        <v>702</v>
      </c>
      <c r="G432" s="79" t="s">
        <v>1303</v>
      </c>
      <c r="H432" s="9" t="s">
        <v>57</v>
      </c>
      <c r="I432" s="9" t="s">
        <v>25</v>
      </c>
      <c r="J432" s="9" t="s">
        <v>30</v>
      </c>
      <c r="K432" s="9" t="s">
        <v>170</v>
      </c>
      <c r="L432" s="39"/>
      <c r="M432" s="7" t="s">
        <v>1</v>
      </c>
      <c r="N432" s="8"/>
      <c r="O432" s="40"/>
      <c r="P432" s="15"/>
      <c r="Q432" s="9" t="s">
        <v>214</v>
      </c>
      <c r="R432" s="9" t="s">
        <v>322</v>
      </c>
      <c r="S432" s="9"/>
      <c r="T432" s="9">
        <v>939422</v>
      </c>
      <c r="U432" s="16" t="s">
        <v>88</v>
      </c>
      <c r="V432" s="9">
        <v>3855287</v>
      </c>
      <c r="W432" s="8" t="s">
        <v>556</v>
      </c>
      <c r="X432" s="8" t="s">
        <v>265</v>
      </c>
      <c r="Y432" s="8" t="s">
        <v>175</v>
      </c>
      <c r="Z432" s="8">
        <v>10</v>
      </c>
      <c r="AA432" s="8">
        <v>30</v>
      </c>
      <c r="AB432" s="8"/>
      <c r="AC432" s="8" t="s">
        <v>190</v>
      </c>
      <c r="AD432" s="14" t="s">
        <v>191</v>
      </c>
      <c r="AE432" s="8" t="s">
        <v>192</v>
      </c>
      <c r="AF432" s="14">
        <v>1.62</v>
      </c>
      <c r="AG432" s="8">
        <v>1250</v>
      </c>
      <c r="AH432" s="8">
        <v>0</v>
      </c>
      <c r="AI432" s="8">
        <v>87</v>
      </c>
      <c r="AJ432" s="8">
        <v>0</v>
      </c>
      <c r="AK432" s="127">
        <v>87</v>
      </c>
      <c r="AL432" s="103">
        <v>0</v>
      </c>
      <c r="AM432" s="8">
        <v>87</v>
      </c>
      <c r="AN432" s="21">
        <v>0</v>
      </c>
      <c r="AO432" s="21">
        <v>87</v>
      </c>
      <c r="AP432" s="21">
        <v>0</v>
      </c>
      <c r="AQ432" s="21">
        <v>0</v>
      </c>
      <c r="AR432" s="21">
        <v>0</v>
      </c>
      <c r="AS432" s="8">
        <v>87</v>
      </c>
      <c r="AT432" s="21">
        <v>0</v>
      </c>
      <c r="AU432" s="21">
        <v>87</v>
      </c>
      <c r="AV432" s="21">
        <v>0</v>
      </c>
      <c r="AW432" s="21">
        <v>0</v>
      </c>
      <c r="AX432" s="21">
        <v>0</v>
      </c>
      <c r="AY432" s="8">
        <v>0</v>
      </c>
    </row>
    <row r="433" spans="1:51" ht="15" customHeight="1" x14ac:dyDescent="0.25">
      <c r="A433" s="9">
        <v>742</v>
      </c>
      <c r="B433" s="13">
        <v>45722</v>
      </c>
      <c r="C433" s="9" t="s">
        <v>169</v>
      </c>
      <c r="D433" s="9">
        <v>9518578782</v>
      </c>
      <c r="E433" s="8">
        <v>15</v>
      </c>
      <c r="F433" s="9" t="s">
        <v>704</v>
      </c>
      <c r="G433" s="79" t="s">
        <v>1303</v>
      </c>
      <c r="H433" s="9" t="s">
        <v>57</v>
      </c>
      <c r="I433" s="9" t="s">
        <v>25</v>
      </c>
      <c r="J433" s="9" t="s">
        <v>30</v>
      </c>
      <c r="K433" s="9" t="s">
        <v>170</v>
      </c>
      <c r="L433" s="39"/>
      <c r="M433" s="7" t="s">
        <v>1</v>
      </c>
      <c r="N433" s="8"/>
      <c r="O433" s="40"/>
      <c r="P433" s="15"/>
      <c r="Q433" s="9" t="s">
        <v>214</v>
      </c>
      <c r="R433" s="9" t="s">
        <v>322</v>
      </c>
      <c r="S433" s="9"/>
      <c r="T433" s="9">
        <v>939422</v>
      </c>
      <c r="U433" s="16" t="s">
        <v>88</v>
      </c>
      <c r="V433" s="9">
        <v>1884117</v>
      </c>
      <c r="W433" s="8" t="s">
        <v>426</v>
      </c>
      <c r="X433" s="8" t="s">
        <v>265</v>
      </c>
      <c r="Y433" s="8" t="s">
        <v>175</v>
      </c>
      <c r="Z433" s="8">
        <v>10</v>
      </c>
      <c r="AA433" s="8">
        <v>30</v>
      </c>
      <c r="AB433" s="8"/>
      <c r="AC433" s="8" t="s">
        <v>190</v>
      </c>
      <c r="AD433" s="14" t="s">
        <v>191</v>
      </c>
      <c r="AE433" s="8" t="s">
        <v>192</v>
      </c>
      <c r="AF433" s="14">
        <v>2</v>
      </c>
      <c r="AG433" s="8">
        <v>1250</v>
      </c>
      <c r="AH433" s="8">
        <v>0</v>
      </c>
      <c r="AI433" s="8">
        <v>58</v>
      </c>
      <c r="AJ433" s="8">
        <v>12.47</v>
      </c>
      <c r="AK433" s="127">
        <v>45.53</v>
      </c>
      <c r="AL433" s="103">
        <v>0</v>
      </c>
      <c r="AM433" s="8">
        <v>45.53</v>
      </c>
      <c r="AN433" s="21">
        <v>0</v>
      </c>
      <c r="AO433" s="21">
        <v>0</v>
      </c>
      <c r="AP433" s="21">
        <v>0</v>
      </c>
      <c r="AQ433" s="21">
        <v>45.53</v>
      </c>
      <c r="AR433" s="21">
        <v>0</v>
      </c>
      <c r="AS433" s="8">
        <v>45.53</v>
      </c>
      <c r="AT433" s="21">
        <v>0</v>
      </c>
      <c r="AU433" s="21">
        <v>0</v>
      </c>
      <c r="AV433" s="21">
        <v>0</v>
      </c>
      <c r="AW433" s="21">
        <v>45.53</v>
      </c>
      <c r="AX433" s="21">
        <v>0</v>
      </c>
      <c r="AY433" s="8">
        <v>0</v>
      </c>
    </row>
    <row r="434" spans="1:51" ht="15" customHeight="1" x14ac:dyDescent="0.25">
      <c r="A434" s="9">
        <v>742</v>
      </c>
      <c r="B434" s="13">
        <v>45733</v>
      </c>
      <c r="C434" s="9" t="s">
        <v>169</v>
      </c>
      <c r="D434" s="9">
        <v>9518606704</v>
      </c>
      <c r="E434" s="8">
        <v>5</v>
      </c>
      <c r="F434" s="9" t="s">
        <v>1040</v>
      </c>
      <c r="G434" s="79" t="s">
        <v>1303</v>
      </c>
      <c r="H434" s="9" t="s">
        <v>57</v>
      </c>
      <c r="I434" s="9" t="s">
        <v>25</v>
      </c>
      <c r="J434" s="9" t="s">
        <v>32</v>
      </c>
      <c r="K434" s="9" t="s">
        <v>170</v>
      </c>
      <c r="L434" s="39"/>
      <c r="M434" s="7" t="s">
        <v>1</v>
      </c>
      <c r="N434" s="8"/>
      <c r="O434" s="40"/>
      <c r="P434" s="15"/>
      <c r="Q434" s="9" t="s">
        <v>214</v>
      </c>
      <c r="R434" s="9" t="s">
        <v>240</v>
      </c>
      <c r="S434" s="9"/>
      <c r="T434" s="9">
        <v>939268</v>
      </c>
      <c r="U434" s="16" t="s">
        <v>86</v>
      </c>
      <c r="V434" s="9">
        <v>2420521</v>
      </c>
      <c r="W434" s="8" t="s">
        <v>533</v>
      </c>
      <c r="X434" s="8" t="s">
        <v>265</v>
      </c>
      <c r="Y434" s="8" t="s">
        <v>175</v>
      </c>
      <c r="Z434" s="8">
        <v>10</v>
      </c>
      <c r="AA434" s="8">
        <v>30</v>
      </c>
      <c r="AB434" s="8"/>
      <c r="AC434" s="8" t="s">
        <v>190</v>
      </c>
      <c r="AD434" s="14" t="s">
        <v>191</v>
      </c>
      <c r="AE434" s="8" t="s">
        <v>530</v>
      </c>
      <c r="AF434" s="14">
        <v>1.2</v>
      </c>
      <c r="AG434" s="8">
        <v>1250</v>
      </c>
      <c r="AH434" s="8">
        <v>0</v>
      </c>
      <c r="AI434" s="8">
        <v>87</v>
      </c>
      <c r="AJ434" s="8">
        <v>0</v>
      </c>
      <c r="AK434" s="127">
        <v>87</v>
      </c>
      <c r="AL434" s="103">
        <v>0</v>
      </c>
      <c r="AM434" s="8">
        <v>87</v>
      </c>
      <c r="AN434" s="21">
        <v>0</v>
      </c>
      <c r="AO434" s="21">
        <v>87</v>
      </c>
      <c r="AP434" s="21">
        <v>0</v>
      </c>
      <c r="AQ434" s="21">
        <v>0</v>
      </c>
      <c r="AR434" s="21">
        <v>0</v>
      </c>
      <c r="AS434" s="8">
        <v>87</v>
      </c>
      <c r="AT434" s="21">
        <v>0</v>
      </c>
      <c r="AU434" s="21">
        <v>87</v>
      </c>
      <c r="AV434" s="21">
        <v>0</v>
      </c>
      <c r="AW434" s="21">
        <v>0</v>
      </c>
      <c r="AX434" s="21">
        <v>0</v>
      </c>
      <c r="AY434" s="8">
        <v>0</v>
      </c>
    </row>
    <row r="435" spans="1:51" ht="15" customHeight="1" x14ac:dyDescent="0.25">
      <c r="A435" s="9">
        <v>742</v>
      </c>
      <c r="B435" s="13">
        <v>45742</v>
      </c>
      <c r="C435" s="9" t="s">
        <v>169</v>
      </c>
      <c r="D435" s="9">
        <v>9518637097</v>
      </c>
      <c r="E435" s="8">
        <v>5</v>
      </c>
      <c r="F435" s="9" t="s">
        <v>1041</v>
      </c>
      <c r="G435" s="79" t="s">
        <v>1303</v>
      </c>
      <c r="H435" s="9" t="s">
        <v>57</v>
      </c>
      <c r="I435" s="9" t="s">
        <v>25</v>
      </c>
      <c r="J435" s="9" t="s">
        <v>31</v>
      </c>
      <c r="K435" s="9" t="s">
        <v>170</v>
      </c>
      <c r="L435" s="39"/>
      <c r="M435" s="7" t="s">
        <v>1</v>
      </c>
      <c r="N435" s="8"/>
      <c r="O435" s="40"/>
      <c r="P435" s="15"/>
      <c r="Q435" s="9" t="s">
        <v>180</v>
      </c>
      <c r="R435" s="9" t="s">
        <v>364</v>
      </c>
      <c r="S435" s="9"/>
      <c r="T435" s="9">
        <v>139336</v>
      </c>
      <c r="U435" s="16" t="s">
        <v>92</v>
      </c>
      <c r="V435" s="9">
        <v>3240792</v>
      </c>
      <c r="W435" s="8" t="s">
        <v>467</v>
      </c>
      <c r="X435" s="8" t="s">
        <v>265</v>
      </c>
      <c r="Y435" s="8" t="s">
        <v>175</v>
      </c>
      <c r="Z435" s="8">
        <v>1</v>
      </c>
      <c r="AA435" s="8">
        <v>3</v>
      </c>
      <c r="AB435" s="8"/>
      <c r="AC435" s="8" t="s">
        <v>210</v>
      </c>
      <c r="AD435" s="14" t="s">
        <v>218</v>
      </c>
      <c r="AE435" s="8" t="s">
        <v>250</v>
      </c>
      <c r="AF435" s="14">
        <v>0.6</v>
      </c>
      <c r="AG435" s="8">
        <v>1250</v>
      </c>
      <c r="AH435" s="8">
        <v>2500</v>
      </c>
      <c r="AI435" s="8">
        <v>60</v>
      </c>
      <c r="AJ435" s="8">
        <v>0</v>
      </c>
      <c r="AK435" s="127">
        <v>60</v>
      </c>
      <c r="AL435" s="103">
        <v>0</v>
      </c>
      <c r="AM435" s="8">
        <v>60</v>
      </c>
      <c r="AN435" s="21">
        <v>0</v>
      </c>
      <c r="AO435" s="21">
        <v>0</v>
      </c>
      <c r="AP435" s="21">
        <v>60</v>
      </c>
      <c r="AQ435" s="21">
        <v>0</v>
      </c>
      <c r="AR435" s="21">
        <v>0</v>
      </c>
      <c r="AS435" s="8">
        <v>60</v>
      </c>
      <c r="AT435" s="21">
        <v>0</v>
      </c>
      <c r="AU435" s="21">
        <v>0</v>
      </c>
      <c r="AV435" s="21">
        <v>60</v>
      </c>
      <c r="AW435" s="21">
        <v>0</v>
      </c>
      <c r="AX435" s="21">
        <v>0</v>
      </c>
      <c r="AY435" s="8">
        <v>0</v>
      </c>
    </row>
    <row r="436" spans="1:51" ht="15" customHeight="1" x14ac:dyDescent="0.25">
      <c r="A436" s="9">
        <v>742</v>
      </c>
      <c r="B436" s="13">
        <v>45719</v>
      </c>
      <c r="C436" s="9" t="s">
        <v>169</v>
      </c>
      <c r="D436" s="9">
        <v>9518569795</v>
      </c>
      <c r="E436" s="8">
        <v>18</v>
      </c>
      <c r="F436" s="9" t="s">
        <v>1042</v>
      </c>
      <c r="G436" s="79" t="s">
        <v>1303</v>
      </c>
      <c r="H436" s="9" t="s">
        <v>57</v>
      </c>
      <c r="I436" s="9" t="s">
        <v>25</v>
      </c>
      <c r="J436" s="9" t="s">
        <v>31</v>
      </c>
      <c r="K436" s="9" t="s">
        <v>170</v>
      </c>
      <c r="L436" s="39"/>
      <c r="M436" s="7" t="s">
        <v>1</v>
      </c>
      <c r="N436" s="8"/>
      <c r="O436" s="40"/>
      <c r="P436" s="15"/>
      <c r="Q436" s="9" t="s">
        <v>180</v>
      </c>
      <c r="R436" s="9" t="s">
        <v>722</v>
      </c>
      <c r="S436" s="9"/>
      <c r="T436" s="9">
        <v>948783</v>
      </c>
      <c r="U436" s="16" t="s">
        <v>96</v>
      </c>
      <c r="V436" s="9">
        <v>3239567</v>
      </c>
      <c r="W436" s="8" t="s">
        <v>255</v>
      </c>
      <c r="X436" s="8" t="s">
        <v>265</v>
      </c>
      <c r="Y436" s="8" t="s">
        <v>175</v>
      </c>
      <c r="Z436" s="8">
        <v>2</v>
      </c>
      <c r="AA436" s="8">
        <v>3</v>
      </c>
      <c r="AB436" s="8"/>
      <c r="AC436" s="8" t="s">
        <v>210</v>
      </c>
      <c r="AD436" s="14" t="s">
        <v>211</v>
      </c>
      <c r="AE436" s="8" t="s">
        <v>212</v>
      </c>
      <c r="AF436" s="14">
        <v>0.45</v>
      </c>
      <c r="AG436" s="8">
        <v>1000</v>
      </c>
      <c r="AH436" s="8">
        <v>2500</v>
      </c>
      <c r="AI436" s="8">
        <v>24</v>
      </c>
      <c r="AJ436" s="8">
        <v>0</v>
      </c>
      <c r="AK436" s="127">
        <v>24</v>
      </c>
      <c r="AL436" s="103">
        <v>0</v>
      </c>
      <c r="AM436" s="8">
        <v>24</v>
      </c>
      <c r="AN436" s="21">
        <v>0</v>
      </c>
      <c r="AO436" s="21">
        <v>24</v>
      </c>
      <c r="AP436" s="21">
        <v>0</v>
      </c>
      <c r="AQ436" s="21">
        <v>0</v>
      </c>
      <c r="AR436" s="21">
        <v>0</v>
      </c>
      <c r="AS436" s="8">
        <v>24</v>
      </c>
      <c r="AT436" s="21">
        <v>0</v>
      </c>
      <c r="AU436" s="21">
        <v>24</v>
      </c>
      <c r="AV436" s="21">
        <v>0</v>
      </c>
      <c r="AW436" s="21">
        <v>0</v>
      </c>
      <c r="AX436" s="21">
        <v>0</v>
      </c>
      <c r="AY436" s="8">
        <v>0</v>
      </c>
    </row>
    <row r="437" spans="1:51" ht="15" customHeight="1" x14ac:dyDescent="0.25">
      <c r="A437" s="9">
        <v>742</v>
      </c>
      <c r="B437" s="13">
        <v>45737</v>
      </c>
      <c r="C437" s="9" t="s">
        <v>169</v>
      </c>
      <c r="D437" s="9">
        <v>9518620674</v>
      </c>
      <c r="E437" s="8">
        <v>11</v>
      </c>
      <c r="F437" s="9" t="s">
        <v>1043</v>
      </c>
      <c r="G437" s="79" t="s">
        <v>1303</v>
      </c>
      <c r="H437" s="9" t="s">
        <v>57</v>
      </c>
      <c r="I437" s="9" t="s">
        <v>25</v>
      </c>
      <c r="J437" s="9" t="s">
        <v>30</v>
      </c>
      <c r="K437" s="9" t="s">
        <v>170</v>
      </c>
      <c r="L437" s="39"/>
      <c r="M437" s="7" t="s">
        <v>1</v>
      </c>
      <c r="N437" s="8"/>
      <c r="O437" s="40"/>
      <c r="P437" s="15"/>
      <c r="Q437" s="9" t="s">
        <v>214</v>
      </c>
      <c r="R437" s="9" t="s">
        <v>246</v>
      </c>
      <c r="S437" s="9"/>
      <c r="T437" s="9">
        <v>938550</v>
      </c>
      <c r="U437" s="16" t="s">
        <v>69</v>
      </c>
      <c r="V437" s="9">
        <v>1801290</v>
      </c>
      <c r="W437" s="8" t="s">
        <v>330</v>
      </c>
      <c r="X437" s="8" t="s">
        <v>265</v>
      </c>
      <c r="Y437" s="8" t="s">
        <v>175</v>
      </c>
      <c r="Z437" s="8">
        <v>6</v>
      </c>
      <c r="AA437" s="8">
        <v>18</v>
      </c>
      <c r="AB437" s="8"/>
      <c r="AC437" s="8" t="s">
        <v>190</v>
      </c>
      <c r="AD437" s="14" t="s">
        <v>191</v>
      </c>
      <c r="AE437" s="8" t="s">
        <v>192</v>
      </c>
      <c r="AF437" s="14">
        <v>0.6</v>
      </c>
      <c r="AG437" s="8">
        <v>1250</v>
      </c>
      <c r="AH437" s="8">
        <v>0</v>
      </c>
      <c r="AI437" s="8">
        <v>29</v>
      </c>
      <c r="AJ437" s="8">
        <v>0</v>
      </c>
      <c r="AK437" s="127">
        <v>29</v>
      </c>
      <c r="AL437" s="103">
        <v>0</v>
      </c>
      <c r="AM437" s="8">
        <v>29</v>
      </c>
      <c r="AN437" s="21">
        <v>29</v>
      </c>
      <c r="AO437" s="21">
        <v>0</v>
      </c>
      <c r="AP437" s="21">
        <v>0</v>
      </c>
      <c r="AQ437" s="21">
        <v>0</v>
      </c>
      <c r="AR437" s="21">
        <v>0</v>
      </c>
      <c r="AS437" s="8">
        <v>29</v>
      </c>
      <c r="AT437" s="21">
        <v>0</v>
      </c>
      <c r="AU437" s="21">
        <v>29</v>
      </c>
      <c r="AV437" s="21">
        <v>0</v>
      </c>
      <c r="AW437" s="21">
        <v>0</v>
      </c>
      <c r="AX437" s="21">
        <v>0</v>
      </c>
      <c r="AY437" s="8">
        <v>0</v>
      </c>
    </row>
    <row r="438" spans="1:51" ht="15" customHeight="1" x14ac:dyDescent="0.25">
      <c r="A438" s="9">
        <v>742</v>
      </c>
      <c r="B438" s="13">
        <v>45737</v>
      </c>
      <c r="C438" s="9" t="s">
        <v>169</v>
      </c>
      <c r="D438" s="9">
        <v>9518620674</v>
      </c>
      <c r="E438" s="8">
        <v>13</v>
      </c>
      <c r="F438" s="9" t="s">
        <v>1044</v>
      </c>
      <c r="G438" s="79" t="s">
        <v>1303</v>
      </c>
      <c r="H438" s="9" t="s">
        <v>57</v>
      </c>
      <c r="I438" s="9" t="s">
        <v>25</v>
      </c>
      <c r="J438" s="9" t="s">
        <v>30</v>
      </c>
      <c r="K438" s="9" t="s">
        <v>170</v>
      </c>
      <c r="L438" s="39"/>
      <c r="M438" s="7" t="s">
        <v>1</v>
      </c>
      <c r="N438" s="8"/>
      <c r="O438" s="40"/>
      <c r="P438" s="15"/>
      <c r="Q438" s="9" t="s">
        <v>214</v>
      </c>
      <c r="R438" s="9" t="s">
        <v>246</v>
      </c>
      <c r="S438" s="9"/>
      <c r="T438" s="9">
        <v>938550</v>
      </c>
      <c r="U438" s="16" t="s">
        <v>69</v>
      </c>
      <c r="V438" s="9">
        <v>1801456</v>
      </c>
      <c r="W438" s="8" t="s">
        <v>457</v>
      </c>
      <c r="X438" s="8" t="s">
        <v>265</v>
      </c>
      <c r="Y438" s="8" t="s">
        <v>175</v>
      </c>
      <c r="Z438" s="8">
        <v>6</v>
      </c>
      <c r="AA438" s="8">
        <v>18</v>
      </c>
      <c r="AB438" s="8"/>
      <c r="AC438" s="8" t="s">
        <v>190</v>
      </c>
      <c r="AD438" s="14" t="s">
        <v>191</v>
      </c>
      <c r="AE438" s="8" t="s">
        <v>192</v>
      </c>
      <c r="AF438" s="14">
        <v>0.7</v>
      </c>
      <c r="AG438" s="8">
        <v>1250</v>
      </c>
      <c r="AH438" s="8">
        <v>0</v>
      </c>
      <c r="AI438" s="8">
        <v>58</v>
      </c>
      <c r="AJ438" s="8">
        <v>0</v>
      </c>
      <c r="AK438" s="127">
        <v>58</v>
      </c>
      <c r="AL438" s="103">
        <v>0</v>
      </c>
      <c r="AM438" s="8">
        <v>58</v>
      </c>
      <c r="AN438" s="21">
        <v>58</v>
      </c>
      <c r="AO438" s="21">
        <v>0</v>
      </c>
      <c r="AP438" s="21">
        <v>0</v>
      </c>
      <c r="AQ438" s="21">
        <v>0</v>
      </c>
      <c r="AR438" s="21">
        <v>0</v>
      </c>
      <c r="AS438" s="8">
        <v>58</v>
      </c>
      <c r="AT438" s="21">
        <v>0</v>
      </c>
      <c r="AU438" s="21">
        <v>58</v>
      </c>
      <c r="AV438" s="21">
        <v>0</v>
      </c>
      <c r="AW438" s="21">
        <v>0</v>
      </c>
      <c r="AX438" s="21">
        <v>0</v>
      </c>
      <c r="AY438" s="8">
        <v>0</v>
      </c>
    </row>
    <row r="439" spans="1:51" ht="15" customHeight="1" x14ac:dyDescent="0.25">
      <c r="A439" s="9">
        <v>742</v>
      </c>
      <c r="B439" s="13">
        <v>45737</v>
      </c>
      <c r="C439" s="9" t="s">
        <v>169</v>
      </c>
      <c r="D439" s="9">
        <v>9518620674</v>
      </c>
      <c r="E439" s="8">
        <v>16</v>
      </c>
      <c r="F439" s="9" t="s">
        <v>1045</v>
      </c>
      <c r="G439" s="79" t="s">
        <v>1303</v>
      </c>
      <c r="H439" s="9" t="s">
        <v>57</v>
      </c>
      <c r="I439" s="9" t="s">
        <v>25</v>
      </c>
      <c r="J439" s="9" t="s">
        <v>30</v>
      </c>
      <c r="K439" s="9" t="s">
        <v>170</v>
      </c>
      <c r="L439" s="39"/>
      <c r="M439" s="7" t="s">
        <v>1</v>
      </c>
      <c r="N439" s="8"/>
      <c r="O439" s="40"/>
      <c r="P439" s="15"/>
      <c r="Q439" s="9" t="s">
        <v>214</v>
      </c>
      <c r="R439" s="9" t="s">
        <v>246</v>
      </c>
      <c r="S439" s="9"/>
      <c r="T439" s="9">
        <v>938550</v>
      </c>
      <c r="U439" s="16" t="s">
        <v>69</v>
      </c>
      <c r="V439" s="9">
        <v>1801804</v>
      </c>
      <c r="W439" s="8" t="s">
        <v>339</v>
      </c>
      <c r="X439" s="8" t="s">
        <v>265</v>
      </c>
      <c r="Y439" s="8" t="s">
        <v>175</v>
      </c>
      <c r="Z439" s="8">
        <v>6</v>
      </c>
      <c r="AA439" s="8">
        <v>18</v>
      </c>
      <c r="AB439" s="8"/>
      <c r="AC439" s="8" t="s">
        <v>190</v>
      </c>
      <c r="AD439" s="14" t="s">
        <v>191</v>
      </c>
      <c r="AE439" s="8" t="s">
        <v>192</v>
      </c>
      <c r="AF439" s="14">
        <v>1</v>
      </c>
      <c r="AG439" s="8">
        <v>1250</v>
      </c>
      <c r="AH439" s="8">
        <v>0</v>
      </c>
      <c r="AI439" s="8">
        <v>87</v>
      </c>
      <c r="AJ439" s="8">
        <v>0</v>
      </c>
      <c r="AK439" s="127">
        <v>70.72</v>
      </c>
      <c r="AL439" s="103">
        <v>0</v>
      </c>
      <c r="AM439" s="8">
        <v>70.72</v>
      </c>
      <c r="AN439" s="21">
        <v>0</v>
      </c>
      <c r="AO439" s="21">
        <v>70.72</v>
      </c>
      <c r="AP439" s="21">
        <v>0</v>
      </c>
      <c r="AQ439" s="21">
        <v>0</v>
      </c>
      <c r="AR439" s="21">
        <v>0</v>
      </c>
      <c r="AS439" s="8">
        <v>70.72</v>
      </c>
      <c r="AT439" s="21">
        <v>0</v>
      </c>
      <c r="AU439" s="21">
        <v>70.72</v>
      </c>
      <c r="AV439" s="21">
        <v>0</v>
      </c>
      <c r="AW439" s="21">
        <v>0</v>
      </c>
      <c r="AX439" s="21">
        <v>0</v>
      </c>
      <c r="AY439" s="8">
        <v>0</v>
      </c>
    </row>
    <row r="440" spans="1:51" ht="15" customHeight="1" x14ac:dyDescent="0.25">
      <c r="A440" s="9">
        <v>744</v>
      </c>
      <c r="B440" s="13">
        <v>45745</v>
      </c>
      <c r="C440" s="9" t="s">
        <v>169</v>
      </c>
      <c r="D440" s="9">
        <v>9518651680</v>
      </c>
      <c r="E440" s="8">
        <v>6</v>
      </c>
      <c r="F440" s="9" t="s">
        <v>1046</v>
      </c>
      <c r="G440" s="79" t="s">
        <v>1303</v>
      </c>
      <c r="H440" s="9" t="s">
        <v>57</v>
      </c>
      <c r="I440" s="9" t="s">
        <v>48</v>
      </c>
      <c r="J440" s="9" t="s">
        <v>39</v>
      </c>
      <c r="K440" s="9" t="s">
        <v>233</v>
      </c>
      <c r="L440" s="39"/>
      <c r="M440" s="7" t="s">
        <v>1</v>
      </c>
      <c r="N440" s="8"/>
      <c r="O440" s="40"/>
      <c r="P440" s="15"/>
      <c r="Q440" s="9" t="s">
        <v>264</v>
      </c>
      <c r="R440" s="9" t="s">
        <v>225</v>
      </c>
      <c r="S440" s="9"/>
      <c r="T440" s="9">
        <v>940016</v>
      </c>
      <c r="U440" s="16" t="s">
        <v>133</v>
      </c>
      <c r="V440" s="9">
        <v>3879501</v>
      </c>
      <c r="W440" s="8" t="s">
        <v>621</v>
      </c>
      <c r="X440" s="8" t="s">
        <v>236</v>
      </c>
      <c r="Y440" s="8" t="s">
        <v>688</v>
      </c>
      <c r="Z440" s="8">
        <v>3</v>
      </c>
      <c r="AA440" s="8">
        <v>5</v>
      </c>
      <c r="AB440" s="8"/>
      <c r="AC440" s="8" t="s">
        <v>228</v>
      </c>
      <c r="AD440" s="14" t="s">
        <v>229</v>
      </c>
      <c r="AE440" s="8" t="s">
        <v>230</v>
      </c>
      <c r="AF440" s="14">
        <v>0.45</v>
      </c>
      <c r="AG440" s="8">
        <v>1220</v>
      </c>
      <c r="AH440" s="8">
        <v>0</v>
      </c>
      <c r="AI440" s="8">
        <v>56</v>
      </c>
      <c r="AJ440" s="8">
        <v>8.8049999999999997</v>
      </c>
      <c r="AK440" s="127">
        <v>47.195</v>
      </c>
      <c r="AL440" s="103">
        <v>0</v>
      </c>
      <c r="AM440" s="8">
        <v>47.195</v>
      </c>
      <c r="AN440" s="21">
        <v>0</v>
      </c>
      <c r="AO440" s="21">
        <v>0</v>
      </c>
      <c r="AP440" s="21">
        <v>47.195</v>
      </c>
      <c r="AQ440" s="21">
        <v>0</v>
      </c>
      <c r="AR440" s="21">
        <v>0</v>
      </c>
      <c r="AS440" s="8">
        <v>47.195</v>
      </c>
      <c r="AT440" s="21">
        <v>0</v>
      </c>
      <c r="AU440" s="21">
        <v>0</v>
      </c>
      <c r="AV440" s="21">
        <v>0</v>
      </c>
      <c r="AW440" s="21">
        <v>47.195</v>
      </c>
      <c r="AX440" s="21">
        <v>0</v>
      </c>
      <c r="AY440" s="8">
        <v>0</v>
      </c>
    </row>
    <row r="441" spans="1:51" ht="15" customHeight="1" x14ac:dyDescent="0.25">
      <c r="A441" s="9">
        <v>744</v>
      </c>
      <c r="B441" s="13">
        <v>45745</v>
      </c>
      <c r="C441" s="9" t="s">
        <v>169</v>
      </c>
      <c r="D441" s="9">
        <v>9518652646</v>
      </c>
      <c r="E441" s="8">
        <v>1</v>
      </c>
      <c r="F441" s="9" t="s">
        <v>1047</v>
      </c>
      <c r="G441" s="79" t="s">
        <v>1303</v>
      </c>
      <c r="H441" s="9" t="s">
        <v>57</v>
      </c>
      <c r="I441" s="9" t="s">
        <v>48</v>
      </c>
      <c r="J441" s="9" t="s">
        <v>39</v>
      </c>
      <c r="K441" s="9" t="s">
        <v>233</v>
      </c>
      <c r="L441" s="39"/>
      <c r="M441" s="7" t="s">
        <v>1</v>
      </c>
      <c r="N441" s="8"/>
      <c r="O441" s="40"/>
      <c r="P441" s="15"/>
      <c r="Q441" s="9" t="s">
        <v>264</v>
      </c>
      <c r="R441" s="9" t="s">
        <v>265</v>
      </c>
      <c r="S441" s="9"/>
      <c r="T441" s="9">
        <v>941597</v>
      </c>
      <c r="U441" s="16" t="s">
        <v>106</v>
      </c>
      <c r="V441" s="9">
        <v>3902332</v>
      </c>
      <c r="W441" s="8" t="s">
        <v>353</v>
      </c>
      <c r="X441" s="8" t="s">
        <v>317</v>
      </c>
      <c r="Y441" s="8" t="s">
        <v>692</v>
      </c>
      <c r="Z441" s="8">
        <v>3</v>
      </c>
      <c r="AA441" s="8">
        <v>5</v>
      </c>
      <c r="AB441" s="8"/>
      <c r="AC441" s="8" t="s">
        <v>228</v>
      </c>
      <c r="AD441" s="14" t="s">
        <v>229</v>
      </c>
      <c r="AE441" s="8" t="s">
        <v>354</v>
      </c>
      <c r="AF441" s="14">
        <v>0.5</v>
      </c>
      <c r="AG441" s="8">
        <v>1220</v>
      </c>
      <c r="AH441" s="8">
        <v>0</v>
      </c>
      <c r="AI441" s="8">
        <v>28</v>
      </c>
      <c r="AJ441" s="8">
        <v>0</v>
      </c>
      <c r="AK441" s="127">
        <v>28</v>
      </c>
      <c r="AL441" s="103">
        <v>0</v>
      </c>
      <c r="AM441" s="8">
        <v>28</v>
      </c>
      <c r="AN441" s="21">
        <v>0</v>
      </c>
      <c r="AO441" s="21">
        <v>0</v>
      </c>
      <c r="AP441" s="21">
        <v>28</v>
      </c>
      <c r="AQ441" s="21">
        <v>0</v>
      </c>
      <c r="AR441" s="21">
        <v>0</v>
      </c>
      <c r="AS441" s="8">
        <v>28</v>
      </c>
      <c r="AT441" s="21">
        <v>0</v>
      </c>
      <c r="AU441" s="21">
        <v>0</v>
      </c>
      <c r="AV441" s="21">
        <v>0</v>
      </c>
      <c r="AW441" s="21">
        <v>28</v>
      </c>
      <c r="AX441" s="21">
        <v>0</v>
      </c>
      <c r="AY441" s="8">
        <v>0</v>
      </c>
    </row>
    <row r="442" spans="1:51" ht="15" customHeight="1" x14ac:dyDescent="0.25">
      <c r="A442" s="9">
        <v>744</v>
      </c>
      <c r="B442" s="13">
        <v>45743</v>
      </c>
      <c r="C442" s="9" t="s">
        <v>169</v>
      </c>
      <c r="D442" s="9">
        <v>9518644023</v>
      </c>
      <c r="E442" s="8">
        <v>2</v>
      </c>
      <c r="F442" s="9" t="s">
        <v>1048</v>
      </c>
      <c r="G442" s="79" t="s">
        <v>1303</v>
      </c>
      <c r="H442" s="9" t="s">
        <v>57</v>
      </c>
      <c r="I442" s="9" t="s">
        <v>48</v>
      </c>
      <c r="J442" s="9" t="s">
        <v>39</v>
      </c>
      <c r="K442" s="9" t="s">
        <v>233</v>
      </c>
      <c r="L442" s="39"/>
      <c r="M442" s="7" t="s">
        <v>1</v>
      </c>
      <c r="N442" s="8"/>
      <c r="O442" s="40"/>
      <c r="P442" s="15"/>
      <c r="Q442" s="9" t="s">
        <v>264</v>
      </c>
      <c r="R442" s="9" t="s">
        <v>265</v>
      </c>
      <c r="S442" s="9"/>
      <c r="T442" s="9">
        <v>941597</v>
      </c>
      <c r="U442" s="16" t="s">
        <v>106</v>
      </c>
      <c r="V442" s="9">
        <v>3902332</v>
      </c>
      <c r="W442" s="8" t="s">
        <v>353</v>
      </c>
      <c r="X442" s="8" t="s">
        <v>317</v>
      </c>
      <c r="Y442" s="8" t="s">
        <v>692</v>
      </c>
      <c r="Z442" s="8">
        <v>3</v>
      </c>
      <c r="AA442" s="8">
        <v>5</v>
      </c>
      <c r="AB442" s="8"/>
      <c r="AC442" s="8" t="s">
        <v>228</v>
      </c>
      <c r="AD442" s="14" t="s">
        <v>229</v>
      </c>
      <c r="AE442" s="8" t="s">
        <v>354</v>
      </c>
      <c r="AF442" s="14">
        <v>0.5</v>
      </c>
      <c r="AG442" s="8">
        <v>1220</v>
      </c>
      <c r="AH442" s="8">
        <v>0</v>
      </c>
      <c r="AI442" s="8">
        <v>28</v>
      </c>
      <c r="AJ442" s="8">
        <v>0</v>
      </c>
      <c r="AK442" s="127">
        <v>28</v>
      </c>
      <c r="AL442" s="103">
        <v>0</v>
      </c>
      <c r="AM442" s="8">
        <v>28</v>
      </c>
      <c r="AN442" s="21">
        <v>0</v>
      </c>
      <c r="AO442" s="21">
        <v>0</v>
      </c>
      <c r="AP442" s="21">
        <v>28</v>
      </c>
      <c r="AQ442" s="21">
        <v>0</v>
      </c>
      <c r="AR442" s="21">
        <v>0</v>
      </c>
      <c r="AS442" s="8">
        <v>28</v>
      </c>
      <c r="AT442" s="21">
        <v>0</v>
      </c>
      <c r="AU442" s="21">
        <v>0</v>
      </c>
      <c r="AV442" s="21">
        <v>0</v>
      </c>
      <c r="AW442" s="21">
        <v>28</v>
      </c>
      <c r="AX442" s="21">
        <v>0</v>
      </c>
      <c r="AY442" s="8">
        <v>0</v>
      </c>
    </row>
    <row r="443" spans="1:51" ht="15" customHeight="1" x14ac:dyDescent="0.25">
      <c r="A443" s="9">
        <v>744</v>
      </c>
      <c r="B443" s="13">
        <v>45743</v>
      </c>
      <c r="C443" s="9" t="s">
        <v>169</v>
      </c>
      <c r="D443" s="9">
        <v>9518644023</v>
      </c>
      <c r="E443" s="8">
        <v>3</v>
      </c>
      <c r="F443" s="9" t="s">
        <v>1049</v>
      </c>
      <c r="G443" s="79" t="s">
        <v>1303</v>
      </c>
      <c r="H443" s="9" t="s">
        <v>57</v>
      </c>
      <c r="I443" s="9" t="s">
        <v>48</v>
      </c>
      <c r="J443" s="9" t="s">
        <v>39</v>
      </c>
      <c r="K443" s="9" t="s">
        <v>233</v>
      </c>
      <c r="L443" s="39"/>
      <c r="M443" s="7" t="s">
        <v>1</v>
      </c>
      <c r="N443" s="8"/>
      <c r="O443" s="40"/>
      <c r="P443" s="15"/>
      <c r="Q443" s="9" t="s">
        <v>264</v>
      </c>
      <c r="R443" s="9" t="s">
        <v>265</v>
      </c>
      <c r="S443" s="9"/>
      <c r="T443" s="9">
        <v>941597</v>
      </c>
      <c r="U443" s="16" t="s">
        <v>106</v>
      </c>
      <c r="V443" s="9">
        <v>3902332</v>
      </c>
      <c r="W443" s="8" t="s">
        <v>353</v>
      </c>
      <c r="X443" s="8" t="s">
        <v>317</v>
      </c>
      <c r="Y443" s="8" t="s">
        <v>692</v>
      </c>
      <c r="Z443" s="8">
        <v>3</v>
      </c>
      <c r="AA443" s="8">
        <v>5</v>
      </c>
      <c r="AB443" s="8"/>
      <c r="AC443" s="8" t="s">
        <v>228</v>
      </c>
      <c r="AD443" s="14" t="s">
        <v>229</v>
      </c>
      <c r="AE443" s="8" t="s">
        <v>354</v>
      </c>
      <c r="AF443" s="14">
        <v>0.5</v>
      </c>
      <c r="AG443" s="8">
        <v>1220</v>
      </c>
      <c r="AH443" s="8">
        <v>0</v>
      </c>
      <c r="AI443" s="8">
        <v>28</v>
      </c>
      <c r="AJ443" s="8">
        <v>0</v>
      </c>
      <c r="AK443" s="127">
        <v>28</v>
      </c>
      <c r="AL443" s="103">
        <v>0</v>
      </c>
      <c r="AM443" s="8">
        <v>28</v>
      </c>
      <c r="AN443" s="21">
        <v>0</v>
      </c>
      <c r="AO443" s="21">
        <v>0</v>
      </c>
      <c r="AP443" s="21">
        <v>28</v>
      </c>
      <c r="AQ443" s="21">
        <v>0</v>
      </c>
      <c r="AR443" s="21">
        <v>0</v>
      </c>
      <c r="AS443" s="8">
        <v>28</v>
      </c>
      <c r="AT443" s="21">
        <v>0</v>
      </c>
      <c r="AU443" s="21">
        <v>0</v>
      </c>
      <c r="AV443" s="21">
        <v>0</v>
      </c>
      <c r="AW443" s="21">
        <v>28</v>
      </c>
      <c r="AX443" s="21">
        <v>0</v>
      </c>
      <c r="AY443" s="8">
        <v>0</v>
      </c>
    </row>
    <row r="444" spans="1:51" ht="15" customHeight="1" x14ac:dyDescent="0.25">
      <c r="A444" s="9">
        <v>744</v>
      </c>
      <c r="B444" s="13">
        <v>45743</v>
      </c>
      <c r="C444" s="9" t="s">
        <v>169</v>
      </c>
      <c r="D444" s="9">
        <v>9518644023</v>
      </c>
      <c r="E444" s="8">
        <v>4</v>
      </c>
      <c r="F444" s="9" t="s">
        <v>1050</v>
      </c>
      <c r="G444" s="79" t="s">
        <v>1303</v>
      </c>
      <c r="H444" s="9" t="s">
        <v>57</v>
      </c>
      <c r="I444" s="9" t="s">
        <v>48</v>
      </c>
      <c r="J444" s="9" t="s">
        <v>39</v>
      </c>
      <c r="K444" s="9" t="s">
        <v>233</v>
      </c>
      <c r="L444" s="39"/>
      <c r="M444" s="7" t="s">
        <v>1</v>
      </c>
      <c r="N444" s="8"/>
      <c r="O444" s="40"/>
      <c r="P444" s="15"/>
      <c r="Q444" s="9" t="s">
        <v>264</v>
      </c>
      <c r="R444" s="9" t="s">
        <v>265</v>
      </c>
      <c r="S444" s="9"/>
      <c r="T444" s="9">
        <v>941597</v>
      </c>
      <c r="U444" s="16" t="s">
        <v>106</v>
      </c>
      <c r="V444" s="9">
        <v>3902332</v>
      </c>
      <c r="W444" s="8" t="s">
        <v>353</v>
      </c>
      <c r="X444" s="8" t="s">
        <v>317</v>
      </c>
      <c r="Y444" s="8" t="s">
        <v>692</v>
      </c>
      <c r="Z444" s="8">
        <v>3</v>
      </c>
      <c r="AA444" s="8">
        <v>5</v>
      </c>
      <c r="AB444" s="8"/>
      <c r="AC444" s="8" t="s">
        <v>228</v>
      </c>
      <c r="AD444" s="14" t="s">
        <v>229</v>
      </c>
      <c r="AE444" s="8" t="s">
        <v>354</v>
      </c>
      <c r="AF444" s="14">
        <v>0.5</v>
      </c>
      <c r="AG444" s="8">
        <v>1220</v>
      </c>
      <c r="AH444" s="8">
        <v>0</v>
      </c>
      <c r="AI444" s="8">
        <v>28</v>
      </c>
      <c r="AJ444" s="8">
        <v>0</v>
      </c>
      <c r="AK444" s="127">
        <v>28</v>
      </c>
      <c r="AL444" s="103">
        <v>0</v>
      </c>
      <c r="AM444" s="8">
        <v>28</v>
      </c>
      <c r="AN444" s="21">
        <v>0</v>
      </c>
      <c r="AO444" s="21">
        <v>0</v>
      </c>
      <c r="AP444" s="21">
        <v>28</v>
      </c>
      <c r="AQ444" s="21">
        <v>0</v>
      </c>
      <c r="AR444" s="21">
        <v>0</v>
      </c>
      <c r="AS444" s="8">
        <v>28</v>
      </c>
      <c r="AT444" s="21">
        <v>0</v>
      </c>
      <c r="AU444" s="21">
        <v>0</v>
      </c>
      <c r="AV444" s="21">
        <v>0</v>
      </c>
      <c r="AW444" s="21">
        <v>28</v>
      </c>
      <c r="AX444" s="21">
        <v>0</v>
      </c>
      <c r="AY444" s="8">
        <v>0</v>
      </c>
    </row>
    <row r="445" spans="1:51" ht="15" customHeight="1" x14ac:dyDescent="0.25">
      <c r="A445" s="9">
        <v>744</v>
      </c>
      <c r="B445" s="13">
        <v>45741</v>
      </c>
      <c r="C445" s="9" t="s">
        <v>169</v>
      </c>
      <c r="D445" s="9">
        <v>9518633048</v>
      </c>
      <c r="E445" s="8">
        <v>1</v>
      </c>
      <c r="F445" s="9" t="s">
        <v>1051</v>
      </c>
      <c r="G445" s="79" t="s">
        <v>1303</v>
      </c>
      <c r="H445" s="9" t="s">
        <v>57</v>
      </c>
      <c r="I445" s="9" t="s">
        <v>48</v>
      </c>
      <c r="J445" s="9" t="s">
        <v>39</v>
      </c>
      <c r="K445" s="9" t="s">
        <v>233</v>
      </c>
      <c r="L445" s="39"/>
      <c r="M445" s="7" t="s">
        <v>1</v>
      </c>
      <c r="N445" s="8"/>
      <c r="O445" s="40"/>
      <c r="P445" s="15"/>
      <c r="Q445" s="9" t="s">
        <v>264</v>
      </c>
      <c r="R445" s="9" t="s">
        <v>265</v>
      </c>
      <c r="S445" s="9"/>
      <c r="T445" s="9">
        <v>941597</v>
      </c>
      <c r="U445" s="16" t="s">
        <v>106</v>
      </c>
      <c r="V445" s="9">
        <v>3902332</v>
      </c>
      <c r="W445" s="8" t="s">
        <v>353</v>
      </c>
      <c r="X445" s="8" t="s">
        <v>317</v>
      </c>
      <c r="Y445" s="8" t="s">
        <v>692</v>
      </c>
      <c r="Z445" s="8">
        <v>3</v>
      </c>
      <c r="AA445" s="8">
        <v>5</v>
      </c>
      <c r="AB445" s="8"/>
      <c r="AC445" s="8" t="s">
        <v>228</v>
      </c>
      <c r="AD445" s="14" t="s">
        <v>229</v>
      </c>
      <c r="AE445" s="8" t="s">
        <v>354</v>
      </c>
      <c r="AF445" s="14">
        <v>0.5</v>
      </c>
      <c r="AG445" s="8">
        <v>1220</v>
      </c>
      <c r="AH445" s="8">
        <v>0</v>
      </c>
      <c r="AI445" s="8">
        <v>28</v>
      </c>
      <c r="AJ445" s="8">
        <v>0</v>
      </c>
      <c r="AK445" s="127">
        <v>28</v>
      </c>
      <c r="AL445" s="103">
        <v>0</v>
      </c>
      <c r="AM445" s="8">
        <v>28</v>
      </c>
      <c r="AN445" s="21">
        <v>0</v>
      </c>
      <c r="AO445" s="21">
        <v>0</v>
      </c>
      <c r="AP445" s="21">
        <v>28</v>
      </c>
      <c r="AQ445" s="21">
        <v>0</v>
      </c>
      <c r="AR445" s="21">
        <v>0</v>
      </c>
      <c r="AS445" s="8">
        <v>28</v>
      </c>
      <c r="AT445" s="21">
        <v>0</v>
      </c>
      <c r="AU445" s="21">
        <v>0</v>
      </c>
      <c r="AV445" s="21">
        <v>0</v>
      </c>
      <c r="AW445" s="21">
        <v>28</v>
      </c>
      <c r="AX445" s="21">
        <v>0</v>
      </c>
      <c r="AY445" s="8">
        <v>0</v>
      </c>
    </row>
    <row r="446" spans="1:51" ht="15" customHeight="1" x14ac:dyDescent="0.25">
      <c r="A446" s="9">
        <v>744</v>
      </c>
      <c r="B446" s="13">
        <v>45741</v>
      </c>
      <c r="C446" s="9" t="s">
        <v>169</v>
      </c>
      <c r="D446" s="9">
        <v>9518633048</v>
      </c>
      <c r="E446" s="8">
        <v>2</v>
      </c>
      <c r="F446" s="9" t="s">
        <v>1052</v>
      </c>
      <c r="G446" s="79" t="s">
        <v>1303</v>
      </c>
      <c r="H446" s="9" t="s">
        <v>57</v>
      </c>
      <c r="I446" s="9" t="s">
        <v>48</v>
      </c>
      <c r="J446" s="9" t="s">
        <v>39</v>
      </c>
      <c r="K446" s="9" t="s">
        <v>233</v>
      </c>
      <c r="L446" s="39"/>
      <c r="M446" s="7" t="s">
        <v>1</v>
      </c>
      <c r="N446" s="8"/>
      <c r="O446" s="40"/>
      <c r="P446" s="15"/>
      <c r="Q446" s="9" t="s">
        <v>264</v>
      </c>
      <c r="R446" s="9" t="s">
        <v>265</v>
      </c>
      <c r="S446" s="9"/>
      <c r="T446" s="9">
        <v>941597</v>
      </c>
      <c r="U446" s="16" t="s">
        <v>106</v>
      </c>
      <c r="V446" s="9">
        <v>3902332</v>
      </c>
      <c r="W446" s="8" t="s">
        <v>353</v>
      </c>
      <c r="X446" s="8" t="s">
        <v>317</v>
      </c>
      <c r="Y446" s="8" t="s">
        <v>400</v>
      </c>
      <c r="Z446" s="8">
        <v>3</v>
      </c>
      <c r="AA446" s="8">
        <v>5</v>
      </c>
      <c r="AB446" s="8"/>
      <c r="AC446" s="8" t="s">
        <v>228</v>
      </c>
      <c r="AD446" s="14" t="s">
        <v>229</v>
      </c>
      <c r="AE446" s="8" t="s">
        <v>354</v>
      </c>
      <c r="AF446" s="14">
        <v>0.5</v>
      </c>
      <c r="AG446" s="8">
        <v>1220</v>
      </c>
      <c r="AH446" s="8">
        <v>0</v>
      </c>
      <c r="AI446" s="8">
        <v>28</v>
      </c>
      <c r="AJ446" s="8">
        <v>0</v>
      </c>
      <c r="AK446" s="127">
        <v>28</v>
      </c>
      <c r="AL446" s="103">
        <v>0</v>
      </c>
      <c r="AM446" s="8">
        <v>28</v>
      </c>
      <c r="AN446" s="21">
        <v>0</v>
      </c>
      <c r="AO446" s="21">
        <v>0</v>
      </c>
      <c r="AP446" s="21">
        <v>0</v>
      </c>
      <c r="AQ446" s="21">
        <v>28</v>
      </c>
      <c r="AR446" s="21">
        <v>0</v>
      </c>
      <c r="AS446" s="8">
        <v>28</v>
      </c>
      <c r="AT446" s="21">
        <v>0</v>
      </c>
      <c r="AU446" s="21">
        <v>0</v>
      </c>
      <c r="AV446" s="21">
        <v>0</v>
      </c>
      <c r="AW446" s="21">
        <v>28</v>
      </c>
      <c r="AX446" s="21">
        <v>0</v>
      </c>
      <c r="AY446" s="8">
        <v>0</v>
      </c>
    </row>
    <row r="447" spans="1:51" ht="15" customHeight="1" x14ac:dyDescent="0.25">
      <c r="A447" s="9">
        <v>744</v>
      </c>
      <c r="B447" s="13">
        <v>45752</v>
      </c>
      <c r="C447" s="9" t="s">
        <v>169</v>
      </c>
      <c r="D447" s="9">
        <v>9518671384</v>
      </c>
      <c r="E447" s="8">
        <v>1</v>
      </c>
      <c r="F447" s="9" t="s">
        <v>1053</v>
      </c>
      <c r="G447" s="79" t="s">
        <v>1303</v>
      </c>
      <c r="H447" s="9" t="s">
        <v>57</v>
      </c>
      <c r="I447" s="9" t="s">
        <v>48</v>
      </c>
      <c r="J447" s="9" t="s">
        <v>39</v>
      </c>
      <c r="K447" s="9" t="s">
        <v>233</v>
      </c>
      <c r="L447" s="39"/>
      <c r="M447" s="7" t="s">
        <v>1</v>
      </c>
      <c r="N447" s="8"/>
      <c r="O447" s="40"/>
      <c r="P447" s="15"/>
      <c r="Q447" s="9" t="s">
        <v>264</v>
      </c>
      <c r="R447" s="9" t="s">
        <v>225</v>
      </c>
      <c r="S447" s="9"/>
      <c r="T447" s="9">
        <v>940016</v>
      </c>
      <c r="U447" s="16" t="s">
        <v>133</v>
      </c>
      <c r="V447" s="9">
        <v>3902332</v>
      </c>
      <c r="W447" s="8" t="s">
        <v>353</v>
      </c>
      <c r="X447" s="8" t="s">
        <v>317</v>
      </c>
      <c r="Y447" s="8" t="s">
        <v>357</v>
      </c>
      <c r="Z447" s="8">
        <v>3</v>
      </c>
      <c r="AA447" s="8">
        <v>5</v>
      </c>
      <c r="AB447" s="8"/>
      <c r="AC447" s="8" t="s">
        <v>228</v>
      </c>
      <c r="AD447" s="14" t="s">
        <v>229</v>
      </c>
      <c r="AE447" s="8" t="s">
        <v>354</v>
      </c>
      <c r="AF447" s="14">
        <v>0.5</v>
      </c>
      <c r="AG447" s="8">
        <v>1220</v>
      </c>
      <c r="AH447" s="8">
        <v>0</v>
      </c>
      <c r="AI447" s="8">
        <v>112</v>
      </c>
      <c r="AJ447" s="8">
        <v>0</v>
      </c>
      <c r="AK447" s="127">
        <v>112</v>
      </c>
      <c r="AL447" s="103">
        <v>0</v>
      </c>
      <c r="AM447" s="8">
        <v>112</v>
      </c>
      <c r="AN447" s="21">
        <v>0</v>
      </c>
      <c r="AO447" s="21">
        <v>112</v>
      </c>
      <c r="AP447" s="21">
        <v>0</v>
      </c>
      <c r="AQ447" s="21">
        <v>0</v>
      </c>
      <c r="AR447" s="21">
        <v>0</v>
      </c>
      <c r="AS447" s="8">
        <v>112</v>
      </c>
      <c r="AT447" s="21">
        <v>0</v>
      </c>
      <c r="AU447" s="21">
        <v>112</v>
      </c>
      <c r="AV447" s="21">
        <v>0</v>
      </c>
      <c r="AW447" s="21">
        <v>0</v>
      </c>
      <c r="AX447" s="21">
        <v>0</v>
      </c>
      <c r="AY447" s="8">
        <v>0</v>
      </c>
    </row>
    <row r="448" spans="1:51" ht="15" customHeight="1" x14ac:dyDescent="0.25">
      <c r="A448" s="9">
        <v>742</v>
      </c>
      <c r="B448" s="13">
        <v>45762</v>
      </c>
      <c r="C448" s="9" t="s">
        <v>169</v>
      </c>
      <c r="D448" s="9">
        <v>9518694586</v>
      </c>
      <c r="E448" s="8">
        <v>2</v>
      </c>
      <c r="F448" s="9" t="s">
        <v>1054</v>
      </c>
      <c r="G448" s="79" t="s">
        <v>1303</v>
      </c>
      <c r="H448" s="9" t="s">
        <v>57</v>
      </c>
      <c r="I448" s="9" t="s">
        <v>25</v>
      </c>
      <c r="J448" s="9" t="s">
        <v>28</v>
      </c>
      <c r="K448" s="9" t="s">
        <v>233</v>
      </c>
      <c r="L448" s="39"/>
      <c r="M448" s="7" t="s">
        <v>1</v>
      </c>
      <c r="N448" s="8"/>
      <c r="O448" s="40"/>
      <c r="P448" s="15"/>
      <c r="Q448" s="9" t="s">
        <v>214</v>
      </c>
      <c r="R448" s="9" t="s">
        <v>594</v>
      </c>
      <c r="S448" s="9"/>
      <c r="T448" s="9">
        <v>948926</v>
      </c>
      <c r="U448" s="16" t="s">
        <v>882</v>
      </c>
      <c r="V448" s="9">
        <v>2426078</v>
      </c>
      <c r="W448" s="8" t="s">
        <v>596</v>
      </c>
      <c r="X448" s="8" t="s">
        <v>265</v>
      </c>
      <c r="Y448" s="8" t="s">
        <v>175</v>
      </c>
      <c r="Z448" s="8">
        <v>5.98</v>
      </c>
      <c r="AA448" s="8">
        <v>8</v>
      </c>
      <c r="AB448" s="8"/>
      <c r="AC448" s="8" t="s">
        <v>190</v>
      </c>
      <c r="AD448" s="14" t="s">
        <v>191</v>
      </c>
      <c r="AE448" s="8" t="s">
        <v>346</v>
      </c>
      <c r="AF448" s="14">
        <v>1</v>
      </c>
      <c r="AG448" s="8">
        <v>1320</v>
      </c>
      <c r="AH448" s="8">
        <v>0</v>
      </c>
      <c r="AI448" s="8">
        <v>90</v>
      </c>
      <c r="AJ448" s="8">
        <v>0</v>
      </c>
      <c r="AK448" s="127">
        <v>63.51</v>
      </c>
      <c r="AL448" s="103">
        <v>26.47</v>
      </c>
      <c r="AM448" s="8">
        <v>63.51</v>
      </c>
      <c r="AN448" s="21">
        <v>0</v>
      </c>
      <c r="AO448" s="21">
        <v>0</v>
      </c>
      <c r="AP448" s="21">
        <v>63.51</v>
      </c>
      <c r="AQ448" s="21">
        <v>0</v>
      </c>
      <c r="AR448" s="21">
        <v>0</v>
      </c>
      <c r="AS448" s="8">
        <v>89.97999999999999</v>
      </c>
      <c r="AT448" s="21">
        <v>0</v>
      </c>
      <c r="AU448" s="21">
        <v>0</v>
      </c>
      <c r="AV448" s="21">
        <v>0</v>
      </c>
      <c r="AW448" s="21">
        <v>89.97999999999999</v>
      </c>
      <c r="AX448" s="21">
        <v>0</v>
      </c>
      <c r="AY448" s="8">
        <v>0</v>
      </c>
    </row>
    <row r="449" spans="1:51" ht="15" customHeight="1" x14ac:dyDescent="0.25">
      <c r="A449" s="9">
        <v>742</v>
      </c>
      <c r="B449" s="13">
        <v>45744</v>
      </c>
      <c r="C449" s="9" t="s">
        <v>169</v>
      </c>
      <c r="D449" s="9">
        <v>9518649438</v>
      </c>
      <c r="E449" s="8">
        <v>3</v>
      </c>
      <c r="F449" s="9" t="s">
        <v>1055</v>
      </c>
      <c r="G449" s="79" t="s">
        <v>1303</v>
      </c>
      <c r="H449" s="9" t="s">
        <v>57</v>
      </c>
      <c r="I449" s="9" t="s">
        <v>25</v>
      </c>
      <c r="J449" s="9" t="s">
        <v>30</v>
      </c>
      <c r="K449" s="9" t="s">
        <v>170</v>
      </c>
      <c r="L449" s="39"/>
      <c r="M449" s="7" t="s">
        <v>1</v>
      </c>
      <c r="N449" s="8"/>
      <c r="O449" s="40"/>
      <c r="P449" s="15"/>
      <c r="Q449" s="9" t="s">
        <v>214</v>
      </c>
      <c r="R449" s="9" t="s">
        <v>246</v>
      </c>
      <c r="S449" s="9"/>
      <c r="T449" s="9">
        <v>116465</v>
      </c>
      <c r="U449" s="16" t="s">
        <v>98</v>
      </c>
      <c r="V449" s="9">
        <v>1804867</v>
      </c>
      <c r="W449" s="8" t="s">
        <v>553</v>
      </c>
      <c r="X449" s="8" t="s">
        <v>265</v>
      </c>
      <c r="Y449" s="8" t="s">
        <v>175</v>
      </c>
      <c r="Z449" s="8">
        <v>6</v>
      </c>
      <c r="AA449" s="8">
        <v>18</v>
      </c>
      <c r="AB449" s="8"/>
      <c r="AC449" s="8" t="s">
        <v>190</v>
      </c>
      <c r="AD449" s="14" t="s">
        <v>191</v>
      </c>
      <c r="AE449" s="8" t="s">
        <v>192</v>
      </c>
      <c r="AF449" s="14">
        <v>1.6</v>
      </c>
      <c r="AG449" s="8">
        <v>1250</v>
      </c>
      <c r="AH449" s="8">
        <v>0</v>
      </c>
      <c r="AI449" s="8">
        <v>29</v>
      </c>
      <c r="AJ449" s="8">
        <v>0</v>
      </c>
      <c r="AK449" s="127">
        <v>29</v>
      </c>
      <c r="AL449" s="103">
        <v>0</v>
      </c>
      <c r="AM449" s="8">
        <v>29</v>
      </c>
      <c r="AN449" s="21">
        <v>0</v>
      </c>
      <c r="AO449" s="21">
        <v>29</v>
      </c>
      <c r="AP449" s="21">
        <v>0</v>
      </c>
      <c r="AQ449" s="21">
        <v>0</v>
      </c>
      <c r="AR449" s="21">
        <v>0</v>
      </c>
      <c r="AS449" s="8">
        <v>29</v>
      </c>
      <c r="AT449" s="21">
        <v>0</v>
      </c>
      <c r="AU449" s="21">
        <v>29</v>
      </c>
      <c r="AV449" s="21">
        <v>0</v>
      </c>
      <c r="AW449" s="21">
        <v>0</v>
      </c>
      <c r="AX449" s="21">
        <v>0</v>
      </c>
      <c r="AY449" s="8">
        <v>0</v>
      </c>
    </row>
    <row r="450" spans="1:51" ht="15" customHeight="1" x14ac:dyDescent="0.25">
      <c r="A450" s="9">
        <v>742</v>
      </c>
      <c r="B450" s="13">
        <v>45744</v>
      </c>
      <c r="C450" s="9" t="s">
        <v>169</v>
      </c>
      <c r="D450" s="9">
        <v>9518649438</v>
      </c>
      <c r="E450" s="8">
        <v>4</v>
      </c>
      <c r="F450" s="9" t="s">
        <v>1056</v>
      </c>
      <c r="G450" s="79" t="s">
        <v>1303</v>
      </c>
      <c r="H450" s="9" t="s">
        <v>57</v>
      </c>
      <c r="I450" s="9" t="s">
        <v>25</v>
      </c>
      <c r="J450" s="9" t="s">
        <v>30</v>
      </c>
      <c r="K450" s="9" t="s">
        <v>170</v>
      </c>
      <c r="L450" s="39"/>
      <c r="M450" s="7" t="s">
        <v>1</v>
      </c>
      <c r="N450" s="8"/>
      <c r="O450" s="40"/>
      <c r="P450" s="15"/>
      <c r="Q450" s="9" t="s">
        <v>214</v>
      </c>
      <c r="R450" s="9" t="s">
        <v>246</v>
      </c>
      <c r="S450" s="9"/>
      <c r="T450" s="9">
        <v>116465</v>
      </c>
      <c r="U450" s="16" t="s">
        <v>98</v>
      </c>
      <c r="V450" s="9">
        <v>1884117</v>
      </c>
      <c r="W450" s="8" t="s">
        <v>426</v>
      </c>
      <c r="X450" s="8" t="s">
        <v>265</v>
      </c>
      <c r="Y450" s="8" t="s">
        <v>175</v>
      </c>
      <c r="Z450" s="8">
        <v>6</v>
      </c>
      <c r="AA450" s="8">
        <v>18</v>
      </c>
      <c r="AB450" s="8"/>
      <c r="AC450" s="8" t="s">
        <v>190</v>
      </c>
      <c r="AD450" s="14" t="s">
        <v>191</v>
      </c>
      <c r="AE450" s="8" t="s">
        <v>192</v>
      </c>
      <c r="AF450" s="14">
        <v>2</v>
      </c>
      <c r="AG450" s="8">
        <v>1250</v>
      </c>
      <c r="AH450" s="8">
        <v>0</v>
      </c>
      <c r="AI450" s="8">
        <v>29</v>
      </c>
      <c r="AJ450" s="8">
        <v>0</v>
      </c>
      <c r="AK450" s="127">
        <v>29</v>
      </c>
      <c r="AL450" s="103">
        <v>0</v>
      </c>
      <c r="AM450" s="8">
        <v>29</v>
      </c>
      <c r="AN450" s="21">
        <v>0</v>
      </c>
      <c r="AO450" s="21">
        <v>0</v>
      </c>
      <c r="AP450" s="21">
        <v>29</v>
      </c>
      <c r="AQ450" s="21">
        <v>0</v>
      </c>
      <c r="AR450" s="21">
        <v>0</v>
      </c>
      <c r="AS450" s="8">
        <v>29</v>
      </c>
      <c r="AT450" s="21">
        <v>0</v>
      </c>
      <c r="AU450" s="21">
        <v>0</v>
      </c>
      <c r="AV450" s="21">
        <v>29</v>
      </c>
      <c r="AW450" s="21">
        <v>0</v>
      </c>
      <c r="AX450" s="21">
        <v>0</v>
      </c>
      <c r="AY450" s="8">
        <v>0</v>
      </c>
    </row>
    <row r="451" spans="1:51" ht="15" customHeight="1" x14ac:dyDescent="0.25">
      <c r="A451" s="9">
        <v>742</v>
      </c>
      <c r="B451" s="13">
        <v>45692</v>
      </c>
      <c r="C451" s="9" t="s">
        <v>169</v>
      </c>
      <c r="D451" s="9">
        <v>9518492304</v>
      </c>
      <c r="E451" s="8">
        <v>3</v>
      </c>
      <c r="F451" s="9" t="s">
        <v>524</v>
      </c>
      <c r="G451" s="9" t="s">
        <v>1687</v>
      </c>
      <c r="H451" s="9" t="s">
        <v>57</v>
      </c>
      <c r="I451" s="9" t="s">
        <v>25</v>
      </c>
      <c r="J451" s="9" t="s">
        <v>26</v>
      </c>
      <c r="K451" s="9" t="s">
        <v>170</v>
      </c>
      <c r="L451" s="39"/>
      <c r="M451" s="7" t="s">
        <v>1</v>
      </c>
      <c r="N451" s="8"/>
      <c r="O451" s="40"/>
      <c r="P451" s="15"/>
      <c r="Q451" s="9" t="s">
        <v>188</v>
      </c>
      <c r="R451" s="9" t="s">
        <v>469</v>
      </c>
      <c r="S451" s="9"/>
      <c r="T451" s="9">
        <v>940707</v>
      </c>
      <c r="U451" s="16" t="s">
        <v>470</v>
      </c>
      <c r="V451" s="9">
        <v>2170009</v>
      </c>
      <c r="W451" s="8" t="s">
        <v>383</v>
      </c>
      <c r="X451" s="8" t="s">
        <v>265</v>
      </c>
      <c r="Y451" s="8" t="s">
        <v>175</v>
      </c>
      <c r="Z451" s="8">
        <v>6</v>
      </c>
      <c r="AA451" s="8">
        <v>10</v>
      </c>
      <c r="AB451" s="8"/>
      <c r="AC451" s="8" t="s">
        <v>190</v>
      </c>
      <c r="AD451" s="14" t="s">
        <v>191</v>
      </c>
      <c r="AE451" s="8" t="s">
        <v>384</v>
      </c>
      <c r="AF451" s="14">
        <v>1.2</v>
      </c>
      <c r="AG451" s="8">
        <v>914</v>
      </c>
      <c r="AH451" s="8">
        <v>0</v>
      </c>
      <c r="AI451" s="8">
        <v>146.99</v>
      </c>
      <c r="AJ451" s="8">
        <v>52.695</v>
      </c>
      <c r="AK451" s="127">
        <v>94.295000000000002</v>
      </c>
      <c r="AL451" s="103">
        <v>7.88</v>
      </c>
      <c r="AM451" s="8">
        <v>0</v>
      </c>
      <c r="AN451" s="21">
        <v>0</v>
      </c>
      <c r="AO451" s="21">
        <v>0</v>
      </c>
      <c r="AP451" s="21">
        <v>0</v>
      </c>
      <c r="AQ451" s="21">
        <v>0</v>
      </c>
      <c r="AR451" s="21">
        <v>0</v>
      </c>
      <c r="AS451" s="8">
        <v>7.88</v>
      </c>
      <c r="AT451" s="21">
        <v>7.88</v>
      </c>
      <c r="AU451" s="21">
        <v>0</v>
      </c>
      <c r="AV451" s="21">
        <v>0</v>
      </c>
      <c r="AW451" s="21">
        <v>0</v>
      </c>
      <c r="AX451" s="21">
        <v>0</v>
      </c>
      <c r="AY451" s="8">
        <v>0</v>
      </c>
    </row>
    <row r="452" spans="1:51" ht="15" customHeight="1" x14ac:dyDescent="0.25">
      <c r="A452" s="9">
        <v>744</v>
      </c>
      <c r="B452" s="13">
        <v>45738</v>
      </c>
      <c r="C452" s="9" t="s">
        <v>169</v>
      </c>
      <c r="D452" s="9">
        <v>9518624252</v>
      </c>
      <c r="E452" s="8">
        <v>5</v>
      </c>
      <c r="F452" s="9" t="s">
        <v>1057</v>
      </c>
      <c r="G452" s="79" t="s">
        <v>1303</v>
      </c>
      <c r="H452" s="9" t="s">
        <v>57</v>
      </c>
      <c r="I452" s="9" t="s">
        <v>48</v>
      </c>
      <c r="J452" s="9" t="s">
        <v>39</v>
      </c>
      <c r="K452" s="9" t="s">
        <v>233</v>
      </c>
      <c r="L452" s="39"/>
      <c r="M452" s="7" t="s">
        <v>1</v>
      </c>
      <c r="N452" s="8"/>
      <c r="O452" s="40"/>
      <c r="P452" s="15"/>
      <c r="Q452" s="9" t="s">
        <v>264</v>
      </c>
      <c r="R452" s="9" t="s">
        <v>265</v>
      </c>
      <c r="S452" s="9"/>
      <c r="T452" s="9">
        <v>941597</v>
      </c>
      <c r="U452" s="16" t="s">
        <v>106</v>
      </c>
      <c r="V452" s="9">
        <v>3902332</v>
      </c>
      <c r="W452" s="8" t="s">
        <v>353</v>
      </c>
      <c r="X452" s="8" t="s">
        <v>317</v>
      </c>
      <c r="Y452" s="8" t="s">
        <v>1182</v>
      </c>
      <c r="Z452" s="8">
        <v>3</v>
      </c>
      <c r="AA452" s="8">
        <v>5</v>
      </c>
      <c r="AB452" s="8"/>
      <c r="AC452" s="8" t="s">
        <v>228</v>
      </c>
      <c r="AD452" s="14" t="s">
        <v>229</v>
      </c>
      <c r="AE452" s="8" t="s">
        <v>354</v>
      </c>
      <c r="AF452" s="14">
        <v>0.5</v>
      </c>
      <c r="AG452" s="8">
        <v>1220</v>
      </c>
      <c r="AH452" s="8">
        <v>0</v>
      </c>
      <c r="AI452" s="8">
        <v>84</v>
      </c>
      <c r="AJ452" s="8">
        <v>0</v>
      </c>
      <c r="AK452" s="127">
        <v>84</v>
      </c>
      <c r="AL452" s="103">
        <v>0</v>
      </c>
      <c r="AM452" s="8">
        <v>84</v>
      </c>
      <c r="AN452" s="21">
        <v>0</v>
      </c>
      <c r="AO452" s="21">
        <v>84</v>
      </c>
      <c r="AP452" s="21">
        <v>0</v>
      </c>
      <c r="AQ452" s="21">
        <v>0</v>
      </c>
      <c r="AR452" s="21">
        <v>0</v>
      </c>
      <c r="AS452" s="8">
        <v>84</v>
      </c>
      <c r="AT452" s="21">
        <v>0</v>
      </c>
      <c r="AU452" s="21">
        <v>0</v>
      </c>
      <c r="AV452" s="21">
        <v>84</v>
      </c>
      <c r="AW452" s="21">
        <v>0</v>
      </c>
      <c r="AX452" s="21">
        <v>0</v>
      </c>
      <c r="AY452" s="8">
        <v>0</v>
      </c>
    </row>
    <row r="453" spans="1:51" ht="15" customHeight="1" x14ac:dyDescent="0.25">
      <c r="A453" s="9">
        <v>744</v>
      </c>
      <c r="B453" s="13">
        <v>45738</v>
      </c>
      <c r="C453" s="9" t="s">
        <v>169</v>
      </c>
      <c r="D453" s="9">
        <v>9518624252</v>
      </c>
      <c r="E453" s="8">
        <v>20</v>
      </c>
      <c r="F453" s="9" t="s">
        <v>1058</v>
      </c>
      <c r="G453" s="79" t="s">
        <v>1303</v>
      </c>
      <c r="H453" s="9" t="s">
        <v>57</v>
      </c>
      <c r="I453" s="9" t="s">
        <v>48</v>
      </c>
      <c r="J453" s="9" t="s">
        <v>39</v>
      </c>
      <c r="K453" s="9" t="s">
        <v>233</v>
      </c>
      <c r="L453" s="39"/>
      <c r="M453" s="7" t="s">
        <v>1</v>
      </c>
      <c r="N453" s="8"/>
      <c r="O453" s="40"/>
      <c r="P453" s="15"/>
      <c r="Q453" s="9" t="s">
        <v>264</v>
      </c>
      <c r="R453" s="9" t="s">
        <v>265</v>
      </c>
      <c r="S453" s="9"/>
      <c r="T453" s="9">
        <v>941597</v>
      </c>
      <c r="U453" s="16" t="s">
        <v>106</v>
      </c>
      <c r="V453" s="9">
        <v>3902332</v>
      </c>
      <c r="W453" s="8" t="s">
        <v>353</v>
      </c>
      <c r="X453" s="8" t="s">
        <v>317</v>
      </c>
      <c r="Y453" s="8" t="s">
        <v>401</v>
      </c>
      <c r="Z453" s="8">
        <v>3</v>
      </c>
      <c r="AA453" s="8">
        <v>5</v>
      </c>
      <c r="AB453" s="8"/>
      <c r="AC453" s="8" t="s">
        <v>228</v>
      </c>
      <c r="AD453" s="14" t="s">
        <v>229</v>
      </c>
      <c r="AE453" s="8" t="s">
        <v>354</v>
      </c>
      <c r="AF453" s="14">
        <v>0.5</v>
      </c>
      <c r="AG453" s="8">
        <v>1220</v>
      </c>
      <c r="AH453" s="8">
        <v>0</v>
      </c>
      <c r="AI453" s="8">
        <v>84</v>
      </c>
      <c r="AJ453" s="8">
        <v>0</v>
      </c>
      <c r="AK453" s="127">
        <v>84</v>
      </c>
      <c r="AL453" s="103">
        <v>0</v>
      </c>
      <c r="AM453" s="8">
        <v>0</v>
      </c>
      <c r="AN453" s="21">
        <v>0</v>
      </c>
      <c r="AO453" s="21">
        <v>0</v>
      </c>
      <c r="AP453" s="21">
        <v>0</v>
      </c>
      <c r="AQ453" s="21">
        <v>0</v>
      </c>
      <c r="AR453" s="21">
        <v>0</v>
      </c>
      <c r="AS453" s="8">
        <v>0</v>
      </c>
      <c r="AT453" s="21">
        <v>0</v>
      </c>
      <c r="AU453" s="21">
        <v>0</v>
      </c>
      <c r="AV453" s="21">
        <v>0</v>
      </c>
      <c r="AW453" s="21">
        <v>0</v>
      </c>
      <c r="AX453" s="21">
        <v>0</v>
      </c>
      <c r="AY453" s="8">
        <v>0</v>
      </c>
    </row>
    <row r="454" spans="1:51" ht="15" customHeight="1" x14ac:dyDescent="0.25">
      <c r="A454" s="9">
        <v>744</v>
      </c>
      <c r="B454" s="13">
        <v>45729</v>
      </c>
      <c r="C454" s="9" t="s">
        <v>169</v>
      </c>
      <c r="D454" s="9">
        <v>9518598962</v>
      </c>
      <c r="E454" s="8">
        <v>1</v>
      </c>
      <c r="F454" s="9" t="s">
        <v>1059</v>
      </c>
      <c r="G454" s="9" t="s">
        <v>1687</v>
      </c>
      <c r="H454" s="9" t="s">
        <v>57</v>
      </c>
      <c r="I454" s="9" t="s">
        <v>48</v>
      </c>
      <c r="J454" s="9" t="s">
        <v>39</v>
      </c>
      <c r="K454" s="9" t="s">
        <v>233</v>
      </c>
      <c r="L454" s="39"/>
      <c r="M454" s="7" t="s">
        <v>1</v>
      </c>
      <c r="N454" s="8"/>
      <c r="O454" s="40"/>
      <c r="P454" s="15"/>
      <c r="Q454" s="9" t="s">
        <v>264</v>
      </c>
      <c r="R454" s="9" t="s">
        <v>265</v>
      </c>
      <c r="S454" s="9"/>
      <c r="T454" s="9">
        <v>941597</v>
      </c>
      <c r="U454" s="16" t="s">
        <v>106</v>
      </c>
      <c r="V454" s="9">
        <v>3902332</v>
      </c>
      <c r="W454" s="8" t="s">
        <v>353</v>
      </c>
      <c r="X454" s="8" t="s">
        <v>317</v>
      </c>
      <c r="Y454" s="8" t="s">
        <v>1183</v>
      </c>
      <c r="Z454" s="8">
        <v>2</v>
      </c>
      <c r="AA454" s="8">
        <v>5.0999999999999996</v>
      </c>
      <c r="AB454" s="8"/>
      <c r="AC454" s="8" t="s">
        <v>228</v>
      </c>
      <c r="AD454" s="14" t="s">
        <v>229</v>
      </c>
      <c r="AE454" s="8" t="s">
        <v>354</v>
      </c>
      <c r="AF454" s="14">
        <v>0.5</v>
      </c>
      <c r="AG454" s="8">
        <v>1220</v>
      </c>
      <c r="AH454" s="8">
        <v>0</v>
      </c>
      <c r="AI454" s="8">
        <v>56</v>
      </c>
      <c r="AJ454" s="8">
        <v>0</v>
      </c>
      <c r="AK454" s="127">
        <v>30.274999999999999</v>
      </c>
      <c r="AL454" s="103">
        <v>17.400000000000002</v>
      </c>
      <c r="AM454" s="8">
        <v>30.274999999999999</v>
      </c>
      <c r="AN454" s="21">
        <v>0</v>
      </c>
      <c r="AO454" s="21">
        <v>0</v>
      </c>
      <c r="AP454" s="21">
        <v>30.274999999999999</v>
      </c>
      <c r="AQ454" s="21">
        <v>0</v>
      </c>
      <c r="AR454" s="21">
        <v>0</v>
      </c>
      <c r="AS454" s="8">
        <v>47.674999999999997</v>
      </c>
      <c r="AT454" s="21">
        <v>0</v>
      </c>
      <c r="AU454" s="21">
        <v>0</v>
      </c>
      <c r="AV454" s="21">
        <v>0</v>
      </c>
      <c r="AW454" s="21">
        <v>47.674999999999997</v>
      </c>
      <c r="AX454" s="21">
        <v>0</v>
      </c>
      <c r="AY454" s="8">
        <v>0</v>
      </c>
    </row>
    <row r="455" spans="1:51" ht="15" customHeight="1" x14ac:dyDescent="0.25">
      <c r="A455" s="9">
        <v>744</v>
      </c>
      <c r="B455" s="13">
        <v>45736</v>
      </c>
      <c r="C455" s="9" t="s">
        <v>169</v>
      </c>
      <c r="D455" s="9">
        <v>9518617046</v>
      </c>
      <c r="E455" s="8">
        <v>12</v>
      </c>
      <c r="F455" s="9" t="s">
        <v>1060</v>
      </c>
      <c r="G455" s="79" t="s">
        <v>1303</v>
      </c>
      <c r="H455" s="9" t="s">
        <v>57</v>
      </c>
      <c r="I455" s="9" t="s">
        <v>48</v>
      </c>
      <c r="J455" s="9" t="s">
        <v>39</v>
      </c>
      <c r="K455" s="9" t="s">
        <v>233</v>
      </c>
      <c r="L455" s="39"/>
      <c r="M455" s="7" t="s">
        <v>1</v>
      </c>
      <c r="N455" s="8"/>
      <c r="O455" s="40"/>
      <c r="P455" s="15"/>
      <c r="Q455" s="9" t="s">
        <v>264</v>
      </c>
      <c r="R455" s="9" t="s">
        <v>265</v>
      </c>
      <c r="S455" s="9"/>
      <c r="T455" s="9">
        <v>941597</v>
      </c>
      <c r="U455" s="16" t="s">
        <v>106</v>
      </c>
      <c r="V455" s="9">
        <v>3902332</v>
      </c>
      <c r="W455" s="8" t="s">
        <v>353</v>
      </c>
      <c r="X455" s="8" t="s">
        <v>317</v>
      </c>
      <c r="Y455" s="8" t="s">
        <v>673</v>
      </c>
      <c r="Z455" s="8">
        <v>3</v>
      </c>
      <c r="AA455" s="8">
        <v>5</v>
      </c>
      <c r="AB455" s="8"/>
      <c r="AC455" s="8" t="s">
        <v>228</v>
      </c>
      <c r="AD455" s="14" t="s">
        <v>229</v>
      </c>
      <c r="AE455" s="8" t="s">
        <v>354</v>
      </c>
      <c r="AF455" s="14">
        <v>0.5</v>
      </c>
      <c r="AG455" s="8">
        <v>1220</v>
      </c>
      <c r="AH455" s="8">
        <v>0</v>
      </c>
      <c r="AI455" s="8">
        <v>28</v>
      </c>
      <c r="AJ455" s="8">
        <v>0</v>
      </c>
      <c r="AK455" s="127">
        <v>28</v>
      </c>
      <c r="AL455" s="103">
        <v>0</v>
      </c>
      <c r="AM455" s="8">
        <v>28</v>
      </c>
      <c r="AN455" s="21">
        <v>0</v>
      </c>
      <c r="AO455" s="21">
        <v>0</v>
      </c>
      <c r="AP455" s="21">
        <v>0</v>
      </c>
      <c r="AQ455" s="21">
        <v>28</v>
      </c>
      <c r="AR455" s="21">
        <v>0</v>
      </c>
      <c r="AS455" s="8">
        <v>28</v>
      </c>
      <c r="AT455" s="21">
        <v>0</v>
      </c>
      <c r="AU455" s="21">
        <v>0</v>
      </c>
      <c r="AV455" s="21">
        <v>0</v>
      </c>
      <c r="AW455" s="21">
        <v>28</v>
      </c>
      <c r="AX455" s="21">
        <v>0</v>
      </c>
      <c r="AY455" s="8">
        <v>0</v>
      </c>
    </row>
    <row r="456" spans="1:51" ht="15" customHeight="1" x14ac:dyDescent="0.25">
      <c r="A456" s="9">
        <v>744</v>
      </c>
      <c r="B456" s="13">
        <v>45734</v>
      </c>
      <c r="C456" s="9" t="s">
        <v>169</v>
      </c>
      <c r="D456" s="9">
        <v>9518610301</v>
      </c>
      <c r="E456" s="8">
        <v>5</v>
      </c>
      <c r="F456" s="9" t="s">
        <v>1061</v>
      </c>
      <c r="G456" s="79" t="s">
        <v>1303</v>
      </c>
      <c r="H456" s="9" t="s">
        <v>57</v>
      </c>
      <c r="I456" s="9" t="s">
        <v>48</v>
      </c>
      <c r="J456" s="9" t="s">
        <v>39</v>
      </c>
      <c r="K456" s="9" t="s">
        <v>233</v>
      </c>
      <c r="L456" s="39"/>
      <c r="M456" s="7" t="s">
        <v>1</v>
      </c>
      <c r="N456" s="8"/>
      <c r="O456" s="40"/>
      <c r="P456" s="15"/>
      <c r="Q456" s="9" t="s">
        <v>264</v>
      </c>
      <c r="R456" s="9" t="s">
        <v>265</v>
      </c>
      <c r="S456" s="9"/>
      <c r="T456" s="9">
        <v>941597</v>
      </c>
      <c r="U456" s="16" t="s">
        <v>106</v>
      </c>
      <c r="V456" s="9">
        <v>3902332</v>
      </c>
      <c r="W456" s="8" t="s">
        <v>353</v>
      </c>
      <c r="X456" s="8" t="s">
        <v>317</v>
      </c>
      <c r="Y456" s="8" t="s">
        <v>413</v>
      </c>
      <c r="Z456" s="8">
        <v>3</v>
      </c>
      <c r="AA456" s="8">
        <v>5</v>
      </c>
      <c r="AB456" s="8"/>
      <c r="AC456" s="8" t="s">
        <v>228</v>
      </c>
      <c r="AD456" s="14" t="s">
        <v>229</v>
      </c>
      <c r="AE456" s="8" t="s">
        <v>354</v>
      </c>
      <c r="AF456" s="14">
        <v>0.5</v>
      </c>
      <c r="AG456" s="8">
        <v>1220</v>
      </c>
      <c r="AH456" s="8">
        <v>0</v>
      </c>
      <c r="AI456" s="8">
        <v>28</v>
      </c>
      <c r="AJ456" s="8">
        <v>0</v>
      </c>
      <c r="AK456" s="127">
        <v>28</v>
      </c>
      <c r="AL456" s="103">
        <v>0</v>
      </c>
      <c r="AM456" s="8">
        <v>28</v>
      </c>
      <c r="AN456" s="21">
        <v>0</v>
      </c>
      <c r="AO456" s="21">
        <v>0</v>
      </c>
      <c r="AP456" s="21">
        <v>0</v>
      </c>
      <c r="AQ456" s="21">
        <v>28</v>
      </c>
      <c r="AR456" s="21">
        <v>0</v>
      </c>
      <c r="AS456" s="8">
        <v>28</v>
      </c>
      <c r="AT456" s="21">
        <v>0</v>
      </c>
      <c r="AU456" s="21">
        <v>0</v>
      </c>
      <c r="AV456" s="21">
        <v>0</v>
      </c>
      <c r="AW456" s="21">
        <v>28</v>
      </c>
      <c r="AX456" s="21">
        <v>0</v>
      </c>
      <c r="AY456" s="8">
        <v>0</v>
      </c>
    </row>
    <row r="457" spans="1:51" ht="15" customHeight="1" x14ac:dyDescent="0.25">
      <c r="A457" s="9">
        <v>742</v>
      </c>
      <c r="B457" s="13">
        <v>45744</v>
      </c>
      <c r="C457" s="9" t="s">
        <v>169</v>
      </c>
      <c r="D457" s="9">
        <v>9518649334</v>
      </c>
      <c r="E457" s="8">
        <v>7</v>
      </c>
      <c r="F457" s="9" t="s">
        <v>1062</v>
      </c>
      <c r="G457" s="79" t="s">
        <v>1303</v>
      </c>
      <c r="H457" s="9" t="s">
        <v>57</v>
      </c>
      <c r="I457" s="9" t="s">
        <v>50</v>
      </c>
      <c r="J457" s="9" t="s">
        <v>26</v>
      </c>
      <c r="K457" s="9" t="s">
        <v>170</v>
      </c>
      <c r="L457" s="39"/>
      <c r="M457" s="7" t="s">
        <v>1</v>
      </c>
      <c r="N457" s="8"/>
      <c r="O457" s="40"/>
      <c r="P457" s="15"/>
      <c r="Q457" s="9" t="s">
        <v>172</v>
      </c>
      <c r="R457" s="9" t="s">
        <v>173</v>
      </c>
      <c r="S457" s="9"/>
      <c r="T457" s="9">
        <v>936528</v>
      </c>
      <c r="U457" s="16" t="s">
        <v>111</v>
      </c>
      <c r="V457" s="9">
        <v>1422306</v>
      </c>
      <c r="W457" s="8" t="s">
        <v>492</v>
      </c>
      <c r="X457" s="8" t="s">
        <v>265</v>
      </c>
      <c r="Y457" s="8" t="s">
        <v>175</v>
      </c>
      <c r="Z457" s="8">
        <v>17</v>
      </c>
      <c r="AA457" s="8">
        <v>26</v>
      </c>
      <c r="AB457" s="8"/>
      <c r="AC457" s="8">
        <v>768</v>
      </c>
      <c r="AD457" s="14" t="s">
        <v>177</v>
      </c>
      <c r="AE457" s="8" t="s">
        <v>178</v>
      </c>
      <c r="AF457" s="14">
        <v>3</v>
      </c>
      <c r="AG457" s="8">
        <v>1250</v>
      </c>
      <c r="AH457" s="8">
        <v>0</v>
      </c>
      <c r="AI457" s="8">
        <v>50</v>
      </c>
      <c r="AJ457" s="8">
        <v>0</v>
      </c>
      <c r="AK457" s="127">
        <v>27.98</v>
      </c>
      <c r="AL457" s="103">
        <v>22.02</v>
      </c>
      <c r="AM457" s="8">
        <v>27.98</v>
      </c>
      <c r="AN457" s="21">
        <v>0</v>
      </c>
      <c r="AO457" s="21">
        <v>27.98</v>
      </c>
      <c r="AP457" s="21">
        <v>0</v>
      </c>
      <c r="AQ457" s="21">
        <v>0</v>
      </c>
      <c r="AR457" s="21">
        <v>0</v>
      </c>
      <c r="AS457" s="8">
        <v>50</v>
      </c>
      <c r="AT457" s="21">
        <v>0</v>
      </c>
      <c r="AU457" s="21">
        <v>0</v>
      </c>
      <c r="AV457" s="21">
        <v>50</v>
      </c>
      <c r="AW457" s="21">
        <v>0</v>
      </c>
      <c r="AX457" s="21">
        <v>0</v>
      </c>
      <c r="AY457" s="8">
        <v>0</v>
      </c>
    </row>
    <row r="458" spans="1:51" ht="15" customHeight="1" x14ac:dyDescent="0.25">
      <c r="A458" s="9">
        <v>743</v>
      </c>
      <c r="B458" s="13">
        <v>45733</v>
      </c>
      <c r="C458" s="9" t="s">
        <v>169</v>
      </c>
      <c r="D458" s="9">
        <v>9518607479</v>
      </c>
      <c r="E458" s="8">
        <v>1</v>
      </c>
      <c r="F458" s="9" t="s">
        <v>1063</v>
      </c>
      <c r="G458" s="79" t="s">
        <v>1303</v>
      </c>
      <c r="H458" s="9" t="s">
        <v>57</v>
      </c>
      <c r="I458" s="9" t="s">
        <v>43</v>
      </c>
      <c r="J458" s="9" t="s">
        <v>45</v>
      </c>
      <c r="K458" s="9" t="s">
        <v>170</v>
      </c>
      <c r="L458" s="39"/>
      <c r="M458" s="7" t="s">
        <v>1</v>
      </c>
      <c r="N458" s="8"/>
      <c r="O458" s="40"/>
      <c r="P458" s="15"/>
      <c r="Q458" s="9" t="s">
        <v>180</v>
      </c>
      <c r="R458" s="9" t="s">
        <v>265</v>
      </c>
      <c r="S458" s="9"/>
      <c r="T458" s="9">
        <v>121328</v>
      </c>
      <c r="U458" s="16" t="s">
        <v>81</v>
      </c>
      <c r="V458" s="9">
        <v>1191955</v>
      </c>
      <c r="W458" s="8" t="s">
        <v>473</v>
      </c>
      <c r="X458" s="8" t="s">
        <v>308</v>
      </c>
      <c r="Y458" s="8" t="s">
        <v>175</v>
      </c>
      <c r="Z458" s="8">
        <v>4</v>
      </c>
      <c r="AA458" s="8">
        <v>12</v>
      </c>
      <c r="AB458" s="8"/>
      <c r="AC458" s="8" t="s">
        <v>238</v>
      </c>
      <c r="AD458" s="14" t="s">
        <v>185</v>
      </c>
      <c r="AE458" s="8" t="s">
        <v>186</v>
      </c>
      <c r="AF458" s="14">
        <v>0.3</v>
      </c>
      <c r="AG458" s="8">
        <v>900</v>
      </c>
      <c r="AH458" s="8">
        <v>0</v>
      </c>
      <c r="AI458" s="8">
        <v>42</v>
      </c>
      <c r="AJ458" s="8">
        <v>0</v>
      </c>
      <c r="AK458" s="127">
        <v>42</v>
      </c>
      <c r="AL458" s="103">
        <v>0</v>
      </c>
      <c r="AM458" s="8">
        <v>42</v>
      </c>
      <c r="AN458" s="21">
        <v>0</v>
      </c>
      <c r="AO458" s="21">
        <v>0</v>
      </c>
      <c r="AP458" s="21">
        <v>0</v>
      </c>
      <c r="AQ458" s="21">
        <v>42</v>
      </c>
      <c r="AR458" s="21">
        <v>0</v>
      </c>
      <c r="AS458" s="8">
        <v>42</v>
      </c>
      <c r="AT458" s="21">
        <v>0</v>
      </c>
      <c r="AU458" s="21">
        <v>0</v>
      </c>
      <c r="AV458" s="21">
        <v>0</v>
      </c>
      <c r="AW458" s="21">
        <v>0</v>
      </c>
      <c r="AX458" s="21">
        <v>42</v>
      </c>
      <c r="AY458" s="8">
        <v>0</v>
      </c>
    </row>
    <row r="459" spans="1:51" ht="15" customHeight="1" x14ac:dyDescent="0.25">
      <c r="A459" s="9">
        <v>744</v>
      </c>
      <c r="B459" s="13">
        <v>45696</v>
      </c>
      <c r="C459" s="9" t="s">
        <v>169</v>
      </c>
      <c r="D459" s="9">
        <v>9518503922</v>
      </c>
      <c r="E459" s="8">
        <v>1</v>
      </c>
      <c r="F459" s="9" t="s">
        <v>1064</v>
      </c>
      <c r="G459" s="79" t="s">
        <v>1303</v>
      </c>
      <c r="H459" s="9" t="s">
        <v>57</v>
      </c>
      <c r="I459" s="9" t="s">
        <v>48</v>
      </c>
      <c r="J459" s="9" t="s">
        <v>39</v>
      </c>
      <c r="K459" s="9" t="s">
        <v>233</v>
      </c>
      <c r="L459" s="39"/>
      <c r="M459" s="7" t="s">
        <v>1</v>
      </c>
      <c r="N459" s="8"/>
      <c r="O459" s="40"/>
      <c r="P459" s="15"/>
      <c r="Q459" s="9" t="s">
        <v>264</v>
      </c>
      <c r="R459" s="9" t="s">
        <v>265</v>
      </c>
      <c r="S459" s="9"/>
      <c r="T459" s="9">
        <v>941597</v>
      </c>
      <c r="U459" s="16" t="s">
        <v>106</v>
      </c>
      <c r="V459" s="9">
        <v>3941967</v>
      </c>
      <c r="W459" s="8" t="s">
        <v>810</v>
      </c>
      <c r="X459" s="8" t="s">
        <v>317</v>
      </c>
      <c r="Y459" s="8" t="s">
        <v>401</v>
      </c>
      <c r="Z459" s="8">
        <v>3</v>
      </c>
      <c r="AA459" s="8">
        <v>5</v>
      </c>
      <c r="AB459" s="8"/>
      <c r="AC459" s="8" t="s">
        <v>228</v>
      </c>
      <c r="AD459" s="14" t="s">
        <v>229</v>
      </c>
      <c r="AE459" s="8" t="s">
        <v>354</v>
      </c>
      <c r="AF459" s="14">
        <v>0.6</v>
      </c>
      <c r="AG459" s="8">
        <v>1220</v>
      </c>
      <c r="AH459" s="8">
        <v>0</v>
      </c>
      <c r="AI459" s="8">
        <v>56</v>
      </c>
      <c r="AJ459" s="8">
        <v>0</v>
      </c>
      <c r="AK459" s="127">
        <v>43.43</v>
      </c>
      <c r="AL459" s="103">
        <v>3.5449999999999999</v>
      </c>
      <c r="AM459" s="8">
        <v>0</v>
      </c>
      <c r="AN459" s="21">
        <v>0</v>
      </c>
      <c r="AO459" s="21">
        <v>0</v>
      </c>
      <c r="AP459" s="21">
        <v>0</v>
      </c>
      <c r="AQ459" s="21">
        <v>0</v>
      </c>
      <c r="AR459" s="21">
        <v>0</v>
      </c>
      <c r="AS459" s="8">
        <v>3.5449999999999999</v>
      </c>
      <c r="AT459" s="21">
        <v>3.5449999999999999</v>
      </c>
      <c r="AU459" s="21">
        <v>0</v>
      </c>
      <c r="AV459" s="21">
        <v>0</v>
      </c>
      <c r="AW459" s="21">
        <v>0</v>
      </c>
      <c r="AX459" s="21">
        <v>0</v>
      </c>
      <c r="AY459" s="8">
        <v>0</v>
      </c>
    </row>
    <row r="460" spans="1:51" ht="15" customHeight="1" x14ac:dyDescent="0.25">
      <c r="A460" s="9">
        <v>742</v>
      </c>
      <c r="B460" s="13">
        <v>45737</v>
      </c>
      <c r="C460" s="9" t="s">
        <v>169</v>
      </c>
      <c r="D460" s="9">
        <v>9518620674</v>
      </c>
      <c r="E460" s="8">
        <v>15</v>
      </c>
      <c r="F460" s="9" t="s">
        <v>1065</v>
      </c>
      <c r="G460" s="79" t="s">
        <v>1303</v>
      </c>
      <c r="H460" s="9" t="s">
        <v>57</v>
      </c>
      <c r="I460" s="9" t="s">
        <v>25</v>
      </c>
      <c r="J460" s="9" t="s">
        <v>30</v>
      </c>
      <c r="K460" s="9" t="s">
        <v>170</v>
      </c>
      <c r="L460" s="39"/>
      <c r="M460" s="7" t="s">
        <v>1</v>
      </c>
      <c r="N460" s="8"/>
      <c r="O460" s="40"/>
      <c r="P460" s="15"/>
      <c r="Q460" s="9" t="s">
        <v>214</v>
      </c>
      <c r="R460" s="9" t="s">
        <v>246</v>
      </c>
      <c r="S460" s="9"/>
      <c r="T460" s="9">
        <v>938550</v>
      </c>
      <c r="U460" s="16" t="s">
        <v>69</v>
      </c>
      <c r="V460" s="9">
        <v>1804814</v>
      </c>
      <c r="W460" s="8" t="s">
        <v>468</v>
      </c>
      <c r="X460" s="8" t="s">
        <v>265</v>
      </c>
      <c r="Y460" s="8" t="s">
        <v>175</v>
      </c>
      <c r="Z460" s="8">
        <v>6</v>
      </c>
      <c r="AA460" s="8">
        <v>18</v>
      </c>
      <c r="AB460" s="8"/>
      <c r="AC460" s="8" t="s">
        <v>190</v>
      </c>
      <c r="AD460" s="14" t="s">
        <v>191</v>
      </c>
      <c r="AE460" s="8" t="s">
        <v>192</v>
      </c>
      <c r="AF460" s="14">
        <v>0.8</v>
      </c>
      <c r="AG460" s="8">
        <v>1250</v>
      </c>
      <c r="AH460" s="8">
        <v>0</v>
      </c>
      <c r="AI460" s="8">
        <v>58</v>
      </c>
      <c r="AJ460" s="8">
        <v>0</v>
      </c>
      <c r="AK460" s="127">
        <v>58</v>
      </c>
      <c r="AL460" s="103">
        <v>0</v>
      </c>
      <c r="AM460" s="8">
        <v>58</v>
      </c>
      <c r="AN460" s="21">
        <v>0</v>
      </c>
      <c r="AO460" s="21">
        <v>58</v>
      </c>
      <c r="AP460" s="21">
        <v>0</v>
      </c>
      <c r="AQ460" s="21">
        <v>0</v>
      </c>
      <c r="AR460" s="21">
        <v>0</v>
      </c>
      <c r="AS460" s="8">
        <v>58</v>
      </c>
      <c r="AT460" s="21">
        <v>0</v>
      </c>
      <c r="AU460" s="21">
        <v>58</v>
      </c>
      <c r="AV460" s="21">
        <v>0</v>
      </c>
      <c r="AW460" s="21">
        <v>0</v>
      </c>
      <c r="AX460" s="21">
        <v>0</v>
      </c>
      <c r="AY460" s="8">
        <v>0</v>
      </c>
    </row>
    <row r="461" spans="1:51" ht="15" customHeight="1" x14ac:dyDescent="0.25">
      <c r="A461" s="9">
        <v>742</v>
      </c>
      <c r="B461" s="13">
        <v>45743</v>
      </c>
      <c r="C461" s="9" t="s">
        <v>169</v>
      </c>
      <c r="D461" s="9">
        <v>9518645033</v>
      </c>
      <c r="E461" s="8">
        <v>2</v>
      </c>
      <c r="F461" s="9" t="s">
        <v>1066</v>
      </c>
      <c r="G461" s="9" t="s">
        <v>1303</v>
      </c>
      <c r="H461" s="9" t="s">
        <v>57</v>
      </c>
      <c r="I461" s="9" t="s">
        <v>25</v>
      </c>
      <c r="J461" s="9" t="s">
        <v>30</v>
      </c>
      <c r="K461" s="9" t="s">
        <v>170</v>
      </c>
      <c r="L461" s="39"/>
      <c r="M461" s="7" t="s">
        <v>1</v>
      </c>
      <c r="N461" s="8"/>
      <c r="O461" s="40"/>
      <c r="P461" s="15"/>
      <c r="Q461" s="9" t="s">
        <v>214</v>
      </c>
      <c r="R461" s="9" t="s">
        <v>337</v>
      </c>
      <c r="S461" s="9"/>
      <c r="T461" s="9">
        <v>161312</v>
      </c>
      <c r="U461" s="16" t="s">
        <v>74</v>
      </c>
      <c r="V461" s="9">
        <v>2398456</v>
      </c>
      <c r="W461" s="8" t="s">
        <v>336</v>
      </c>
      <c r="X461" s="8" t="s">
        <v>265</v>
      </c>
      <c r="Y461" s="8" t="s">
        <v>175</v>
      </c>
      <c r="Z461" s="8">
        <v>5</v>
      </c>
      <c r="AA461" s="8">
        <v>29</v>
      </c>
      <c r="AB461" s="8"/>
      <c r="AC461" s="8" t="s">
        <v>190</v>
      </c>
      <c r="AD461" s="14" t="s">
        <v>191</v>
      </c>
      <c r="AE461" s="8" t="s">
        <v>192</v>
      </c>
      <c r="AF461" s="14">
        <v>0.8</v>
      </c>
      <c r="AG461" s="8">
        <v>1320</v>
      </c>
      <c r="AH461" s="8">
        <v>0</v>
      </c>
      <c r="AI461" s="8">
        <v>30</v>
      </c>
      <c r="AJ461" s="8">
        <v>0</v>
      </c>
      <c r="AK461" s="127">
        <v>30</v>
      </c>
      <c r="AL461" s="103">
        <v>0</v>
      </c>
      <c r="AM461" s="8">
        <v>30</v>
      </c>
      <c r="AN461" s="21">
        <v>0</v>
      </c>
      <c r="AO461" s="21">
        <v>30</v>
      </c>
      <c r="AP461" s="21">
        <v>0</v>
      </c>
      <c r="AQ461" s="21">
        <v>0</v>
      </c>
      <c r="AR461" s="21">
        <v>0</v>
      </c>
      <c r="AS461" s="8">
        <v>30</v>
      </c>
      <c r="AT461" s="21">
        <v>0</v>
      </c>
      <c r="AU461" s="21">
        <v>30</v>
      </c>
      <c r="AV461" s="21">
        <v>0</v>
      </c>
      <c r="AW461" s="21">
        <v>0</v>
      </c>
      <c r="AX461" s="21">
        <v>0</v>
      </c>
      <c r="AY461" s="8">
        <v>0</v>
      </c>
    </row>
    <row r="462" spans="1:51" ht="15" customHeight="1" x14ac:dyDescent="0.25">
      <c r="A462" s="9">
        <v>744</v>
      </c>
      <c r="B462" s="13">
        <v>45745</v>
      </c>
      <c r="C462" s="9" t="s">
        <v>169</v>
      </c>
      <c r="D462" s="9">
        <v>9518651680</v>
      </c>
      <c r="E462" s="8">
        <v>9</v>
      </c>
      <c r="F462" s="9" t="s">
        <v>1067</v>
      </c>
      <c r="G462" s="79" t="s">
        <v>1303</v>
      </c>
      <c r="H462" s="9" t="s">
        <v>57</v>
      </c>
      <c r="I462" s="9" t="s">
        <v>48</v>
      </c>
      <c r="J462" s="9" t="s">
        <v>39</v>
      </c>
      <c r="K462" s="9" t="s">
        <v>233</v>
      </c>
      <c r="L462" s="39"/>
      <c r="M462" s="7" t="s">
        <v>1</v>
      </c>
      <c r="N462" s="8"/>
      <c r="O462" s="40"/>
      <c r="P462" s="15"/>
      <c r="Q462" s="9" t="s">
        <v>264</v>
      </c>
      <c r="R462" s="9" t="s">
        <v>225</v>
      </c>
      <c r="S462" s="9"/>
      <c r="T462" s="9">
        <v>940016</v>
      </c>
      <c r="U462" s="16" t="s">
        <v>133</v>
      </c>
      <c r="V462" s="9">
        <v>3879501</v>
      </c>
      <c r="W462" s="8" t="s">
        <v>621</v>
      </c>
      <c r="X462" s="8" t="s">
        <v>236</v>
      </c>
      <c r="Y462" s="8" t="s">
        <v>694</v>
      </c>
      <c r="Z462" s="8">
        <v>3</v>
      </c>
      <c r="AA462" s="8">
        <v>5</v>
      </c>
      <c r="AB462" s="8"/>
      <c r="AC462" s="8" t="s">
        <v>228</v>
      </c>
      <c r="AD462" s="14" t="s">
        <v>229</v>
      </c>
      <c r="AE462" s="8" t="s">
        <v>230</v>
      </c>
      <c r="AF462" s="14">
        <v>0.45</v>
      </c>
      <c r="AG462" s="8">
        <v>1220</v>
      </c>
      <c r="AH462" s="8">
        <v>0</v>
      </c>
      <c r="AI462" s="8">
        <v>28</v>
      </c>
      <c r="AJ462" s="8">
        <v>0</v>
      </c>
      <c r="AK462" s="127">
        <v>28</v>
      </c>
      <c r="AL462" s="103">
        <v>0</v>
      </c>
      <c r="AM462" s="8">
        <v>28</v>
      </c>
      <c r="AN462" s="21">
        <v>0</v>
      </c>
      <c r="AO462" s="21">
        <v>0</v>
      </c>
      <c r="AP462" s="21">
        <v>28</v>
      </c>
      <c r="AQ462" s="21">
        <v>0</v>
      </c>
      <c r="AR462" s="21">
        <v>0</v>
      </c>
      <c r="AS462" s="8">
        <v>28</v>
      </c>
      <c r="AT462" s="21">
        <v>0</v>
      </c>
      <c r="AU462" s="21">
        <v>0</v>
      </c>
      <c r="AV462" s="21">
        <v>0</v>
      </c>
      <c r="AW462" s="21">
        <v>28</v>
      </c>
      <c r="AX462" s="21">
        <v>0</v>
      </c>
      <c r="AY462" s="8">
        <v>0</v>
      </c>
    </row>
    <row r="463" spans="1:51" ht="15" customHeight="1" x14ac:dyDescent="0.25">
      <c r="A463" s="9">
        <v>744</v>
      </c>
      <c r="B463" s="13">
        <v>45745</v>
      </c>
      <c r="C463" s="9" t="s">
        <v>169</v>
      </c>
      <c r="D463" s="9">
        <v>9518651680</v>
      </c>
      <c r="E463" s="8">
        <v>10</v>
      </c>
      <c r="F463" s="9" t="s">
        <v>1068</v>
      </c>
      <c r="G463" s="79" t="s">
        <v>1303</v>
      </c>
      <c r="H463" s="9" t="s">
        <v>57</v>
      </c>
      <c r="I463" s="9" t="s">
        <v>48</v>
      </c>
      <c r="J463" s="9" t="s">
        <v>39</v>
      </c>
      <c r="K463" s="9" t="s">
        <v>233</v>
      </c>
      <c r="L463" s="39"/>
      <c r="M463" s="7" t="s">
        <v>1</v>
      </c>
      <c r="N463" s="8"/>
      <c r="O463" s="40"/>
      <c r="P463" s="15"/>
      <c r="Q463" s="9" t="s">
        <v>264</v>
      </c>
      <c r="R463" s="9" t="s">
        <v>225</v>
      </c>
      <c r="S463" s="9"/>
      <c r="T463" s="9">
        <v>940016</v>
      </c>
      <c r="U463" s="16" t="s">
        <v>133</v>
      </c>
      <c r="V463" s="9">
        <v>3879501</v>
      </c>
      <c r="W463" s="8" t="s">
        <v>621</v>
      </c>
      <c r="X463" s="8" t="s">
        <v>236</v>
      </c>
      <c r="Y463" s="8" t="s">
        <v>227</v>
      </c>
      <c r="Z463" s="8">
        <v>3</v>
      </c>
      <c r="AA463" s="8">
        <v>5</v>
      </c>
      <c r="AB463" s="8"/>
      <c r="AC463" s="8" t="s">
        <v>228</v>
      </c>
      <c r="AD463" s="14" t="s">
        <v>229</v>
      </c>
      <c r="AE463" s="8" t="s">
        <v>230</v>
      </c>
      <c r="AF463" s="14">
        <v>0.45</v>
      </c>
      <c r="AG463" s="8">
        <v>1220</v>
      </c>
      <c r="AH463" s="8">
        <v>0</v>
      </c>
      <c r="AI463" s="8">
        <v>84</v>
      </c>
      <c r="AJ463" s="8">
        <v>5.0149999999999997</v>
      </c>
      <c r="AK463" s="127">
        <v>78.984999999999999</v>
      </c>
      <c r="AL463" s="103">
        <v>0</v>
      </c>
      <c r="AM463" s="8">
        <v>78.984999999999999</v>
      </c>
      <c r="AN463" s="21">
        <v>0</v>
      </c>
      <c r="AO463" s="21">
        <v>0</v>
      </c>
      <c r="AP463" s="21">
        <v>78.984999999999999</v>
      </c>
      <c r="AQ463" s="21">
        <v>0</v>
      </c>
      <c r="AR463" s="21">
        <v>0</v>
      </c>
      <c r="AS463" s="8">
        <v>78.984999999999999</v>
      </c>
      <c r="AT463" s="21">
        <v>0</v>
      </c>
      <c r="AU463" s="21">
        <v>0</v>
      </c>
      <c r="AV463" s="21">
        <v>0</v>
      </c>
      <c r="AW463" s="21">
        <v>78.984999999999999</v>
      </c>
      <c r="AX463" s="21">
        <v>0</v>
      </c>
      <c r="AY463" s="8">
        <v>0</v>
      </c>
    </row>
    <row r="464" spans="1:51" ht="15" customHeight="1" x14ac:dyDescent="0.25">
      <c r="A464" s="9">
        <v>742</v>
      </c>
      <c r="B464" s="13">
        <v>45743</v>
      </c>
      <c r="C464" s="9" t="s">
        <v>169</v>
      </c>
      <c r="D464" s="9">
        <v>9518645033</v>
      </c>
      <c r="E464" s="8">
        <v>5</v>
      </c>
      <c r="F464" s="9" t="s">
        <v>1069</v>
      </c>
      <c r="G464" s="79" t="s">
        <v>1303</v>
      </c>
      <c r="H464" s="9" t="s">
        <v>57</v>
      </c>
      <c r="I464" s="9" t="s">
        <v>25</v>
      </c>
      <c r="J464" s="9" t="s">
        <v>30</v>
      </c>
      <c r="K464" s="9" t="s">
        <v>170</v>
      </c>
      <c r="L464" s="39"/>
      <c r="M464" s="7" t="s">
        <v>1</v>
      </c>
      <c r="N464" s="8"/>
      <c r="O464" s="40"/>
      <c r="P464" s="15"/>
      <c r="Q464" s="9" t="s">
        <v>214</v>
      </c>
      <c r="R464" s="9" t="s">
        <v>337</v>
      </c>
      <c r="S464" s="9"/>
      <c r="T464" s="9">
        <v>161312</v>
      </c>
      <c r="U464" s="16" t="s">
        <v>74</v>
      </c>
      <c r="V464" s="9">
        <v>2390540</v>
      </c>
      <c r="W464" s="8" t="s">
        <v>700</v>
      </c>
      <c r="X464" s="8" t="s">
        <v>265</v>
      </c>
      <c r="Y464" s="8" t="s">
        <v>175</v>
      </c>
      <c r="Z464" s="8">
        <v>5</v>
      </c>
      <c r="AA464" s="8">
        <v>29</v>
      </c>
      <c r="AB464" s="8"/>
      <c r="AC464" s="8" t="s">
        <v>190</v>
      </c>
      <c r="AD464" s="14" t="s">
        <v>191</v>
      </c>
      <c r="AE464" s="8" t="s">
        <v>192</v>
      </c>
      <c r="AF464" s="14">
        <v>1.8</v>
      </c>
      <c r="AG464" s="8">
        <v>1250</v>
      </c>
      <c r="AH464" s="8">
        <v>0</v>
      </c>
      <c r="AI464" s="8">
        <v>29</v>
      </c>
      <c r="AJ464" s="8">
        <v>0</v>
      </c>
      <c r="AK464" s="127">
        <v>29</v>
      </c>
      <c r="AL464" s="103">
        <v>0</v>
      </c>
      <c r="AM464" s="8">
        <v>29</v>
      </c>
      <c r="AN464" s="21">
        <v>0</v>
      </c>
      <c r="AO464" s="21">
        <v>29</v>
      </c>
      <c r="AP464" s="21">
        <v>0</v>
      </c>
      <c r="AQ464" s="21">
        <v>0</v>
      </c>
      <c r="AR464" s="21">
        <v>0</v>
      </c>
      <c r="AS464" s="8">
        <v>29</v>
      </c>
      <c r="AT464" s="21">
        <v>0</v>
      </c>
      <c r="AU464" s="21">
        <v>29</v>
      </c>
      <c r="AV464" s="21">
        <v>0</v>
      </c>
      <c r="AW464" s="21">
        <v>0</v>
      </c>
      <c r="AX464" s="21">
        <v>0</v>
      </c>
      <c r="AY464" s="8">
        <v>0</v>
      </c>
    </row>
    <row r="465" spans="1:51" ht="15" customHeight="1" x14ac:dyDescent="0.25">
      <c r="A465" s="9">
        <v>742</v>
      </c>
      <c r="B465" s="13">
        <v>45722</v>
      </c>
      <c r="C465" s="9" t="s">
        <v>169</v>
      </c>
      <c r="D465" s="9">
        <v>9518578782</v>
      </c>
      <c r="E465" s="8">
        <v>1</v>
      </c>
      <c r="F465" s="9" t="s">
        <v>1070</v>
      </c>
      <c r="G465" s="79" t="s">
        <v>1303</v>
      </c>
      <c r="H465" s="9" t="s">
        <v>57</v>
      </c>
      <c r="I465" s="9" t="s">
        <v>25</v>
      </c>
      <c r="J465" s="9" t="s">
        <v>30</v>
      </c>
      <c r="K465" s="9" t="s">
        <v>170</v>
      </c>
      <c r="L465" s="39"/>
      <c r="M465" s="7" t="s">
        <v>1</v>
      </c>
      <c r="N465" s="8"/>
      <c r="O465" s="40"/>
      <c r="P465" s="15"/>
      <c r="Q465" s="9" t="s">
        <v>214</v>
      </c>
      <c r="R465" s="9" t="s">
        <v>322</v>
      </c>
      <c r="S465" s="9"/>
      <c r="T465" s="9">
        <v>939422</v>
      </c>
      <c r="U465" s="16" t="s">
        <v>88</v>
      </c>
      <c r="V465" s="9">
        <v>185675</v>
      </c>
      <c r="W465" s="8" t="s">
        <v>271</v>
      </c>
      <c r="X465" s="8" t="s">
        <v>265</v>
      </c>
      <c r="Y465" s="8" t="s">
        <v>175</v>
      </c>
      <c r="Z465" s="8">
        <v>17</v>
      </c>
      <c r="AA465" s="8">
        <v>30</v>
      </c>
      <c r="AB465" s="8"/>
      <c r="AC465" s="8" t="s">
        <v>190</v>
      </c>
      <c r="AD465" s="14" t="s">
        <v>191</v>
      </c>
      <c r="AE465" s="8" t="s">
        <v>192</v>
      </c>
      <c r="AF465" s="14">
        <v>0.5</v>
      </c>
      <c r="AG465" s="8">
        <v>1250</v>
      </c>
      <c r="AH465" s="8">
        <v>0</v>
      </c>
      <c r="AI465" s="8">
        <v>29</v>
      </c>
      <c r="AJ465" s="8">
        <v>0</v>
      </c>
      <c r="AK465" s="127">
        <v>29</v>
      </c>
      <c r="AL465" s="103">
        <v>0</v>
      </c>
      <c r="AM465" s="8">
        <v>29</v>
      </c>
      <c r="AN465" s="21">
        <v>0</v>
      </c>
      <c r="AO465" s="21">
        <v>0</v>
      </c>
      <c r="AP465" s="21">
        <v>0</v>
      </c>
      <c r="AQ465" s="21">
        <v>29</v>
      </c>
      <c r="AR465" s="21">
        <v>0</v>
      </c>
      <c r="AS465" s="8">
        <v>29</v>
      </c>
      <c r="AT465" s="21">
        <v>0</v>
      </c>
      <c r="AU465" s="21">
        <v>0</v>
      </c>
      <c r="AV465" s="21">
        <v>0</v>
      </c>
      <c r="AW465" s="21">
        <v>29</v>
      </c>
      <c r="AX465" s="21">
        <v>0</v>
      </c>
      <c r="AY465" s="8">
        <v>0</v>
      </c>
    </row>
    <row r="466" spans="1:51" ht="15" customHeight="1" x14ac:dyDescent="0.25">
      <c r="A466" s="9">
        <v>742</v>
      </c>
      <c r="B466" s="13">
        <v>45744</v>
      </c>
      <c r="C466" s="9" t="s">
        <v>169</v>
      </c>
      <c r="D466" s="9">
        <v>9518649438</v>
      </c>
      <c r="E466" s="8">
        <v>1</v>
      </c>
      <c r="F466" s="9" t="s">
        <v>1071</v>
      </c>
      <c r="G466" s="79" t="s">
        <v>1303</v>
      </c>
      <c r="H466" s="9" t="s">
        <v>57</v>
      </c>
      <c r="I466" s="9" t="s">
        <v>25</v>
      </c>
      <c r="J466" s="9" t="s">
        <v>30</v>
      </c>
      <c r="K466" s="9" t="s">
        <v>170</v>
      </c>
      <c r="L466" s="39"/>
      <c r="M466" s="7" t="s">
        <v>1</v>
      </c>
      <c r="N466" s="8"/>
      <c r="O466" s="40"/>
      <c r="P466" s="15"/>
      <c r="Q466" s="9" t="s">
        <v>214</v>
      </c>
      <c r="R466" s="9" t="s">
        <v>246</v>
      </c>
      <c r="S466" s="9"/>
      <c r="T466" s="9">
        <v>116465</v>
      </c>
      <c r="U466" s="16" t="s">
        <v>98</v>
      </c>
      <c r="V466" s="9">
        <v>1801804</v>
      </c>
      <c r="W466" s="8" t="s">
        <v>339</v>
      </c>
      <c r="X466" s="8" t="s">
        <v>265</v>
      </c>
      <c r="Y466" s="8" t="s">
        <v>175</v>
      </c>
      <c r="Z466" s="8">
        <v>6</v>
      </c>
      <c r="AA466" s="8">
        <v>18</v>
      </c>
      <c r="AB466" s="8"/>
      <c r="AC466" s="8" t="s">
        <v>190</v>
      </c>
      <c r="AD466" s="14" t="s">
        <v>191</v>
      </c>
      <c r="AE466" s="8" t="s">
        <v>192</v>
      </c>
      <c r="AF466" s="14">
        <v>1</v>
      </c>
      <c r="AG466" s="8">
        <v>1250</v>
      </c>
      <c r="AH466" s="8">
        <v>0</v>
      </c>
      <c r="AI466" s="8">
        <v>58</v>
      </c>
      <c r="AJ466" s="8">
        <v>0</v>
      </c>
      <c r="AK466" s="127">
        <v>58</v>
      </c>
      <c r="AL466" s="103">
        <v>0</v>
      </c>
      <c r="AM466" s="8">
        <v>58</v>
      </c>
      <c r="AN466" s="21">
        <v>0</v>
      </c>
      <c r="AO466" s="21">
        <v>0</v>
      </c>
      <c r="AP466" s="21">
        <v>0</v>
      </c>
      <c r="AQ466" s="21">
        <v>58</v>
      </c>
      <c r="AR466" s="21">
        <v>0</v>
      </c>
      <c r="AS466" s="8">
        <v>58</v>
      </c>
      <c r="AT466" s="21">
        <v>0</v>
      </c>
      <c r="AU466" s="21">
        <v>0</v>
      </c>
      <c r="AV466" s="21">
        <v>0</v>
      </c>
      <c r="AW466" s="21">
        <v>58</v>
      </c>
      <c r="AX466" s="21">
        <v>0</v>
      </c>
      <c r="AY466" s="8">
        <v>0</v>
      </c>
    </row>
    <row r="467" spans="1:51" ht="15" customHeight="1" x14ac:dyDescent="0.25">
      <c r="A467" s="9">
        <v>742</v>
      </c>
      <c r="B467" s="13">
        <v>45744</v>
      </c>
      <c r="C467" s="9" t="s">
        <v>169</v>
      </c>
      <c r="D467" s="9">
        <v>9518649334</v>
      </c>
      <c r="E467" s="8">
        <v>3</v>
      </c>
      <c r="F467" s="9" t="s">
        <v>1072</v>
      </c>
      <c r="G467" s="79" t="s">
        <v>1303</v>
      </c>
      <c r="H467" s="9" t="s">
        <v>57</v>
      </c>
      <c r="I467" s="9" t="s">
        <v>50</v>
      </c>
      <c r="J467" s="9" t="s">
        <v>26</v>
      </c>
      <c r="K467" s="9" t="s">
        <v>170</v>
      </c>
      <c r="L467" s="39"/>
      <c r="M467" s="7" t="s">
        <v>1</v>
      </c>
      <c r="N467" s="8"/>
      <c r="O467" s="40"/>
      <c r="P467" s="15"/>
      <c r="Q467" s="9" t="s">
        <v>172</v>
      </c>
      <c r="R467" s="9" t="s">
        <v>173</v>
      </c>
      <c r="S467" s="9"/>
      <c r="T467" s="9">
        <v>936528</v>
      </c>
      <c r="U467" s="16" t="s">
        <v>111</v>
      </c>
      <c r="V467" s="9">
        <v>1115279</v>
      </c>
      <c r="W467" s="8" t="s">
        <v>1159</v>
      </c>
      <c r="X467" s="8" t="s">
        <v>265</v>
      </c>
      <c r="Y467" s="8" t="s">
        <v>175</v>
      </c>
      <c r="Z467" s="8">
        <v>17</v>
      </c>
      <c r="AA467" s="8">
        <v>26</v>
      </c>
      <c r="AB467" s="8"/>
      <c r="AC467" s="8">
        <v>768</v>
      </c>
      <c r="AD467" s="14" t="s">
        <v>177</v>
      </c>
      <c r="AE467" s="8" t="s">
        <v>178</v>
      </c>
      <c r="AF467" s="14">
        <v>2.2999999999999998</v>
      </c>
      <c r="AG467" s="8">
        <v>1250</v>
      </c>
      <c r="AH467" s="8">
        <v>0</v>
      </c>
      <c r="AI467" s="8">
        <v>100</v>
      </c>
      <c r="AJ467" s="8">
        <v>0</v>
      </c>
      <c r="AK467" s="127">
        <v>71.305000000000007</v>
      </c>
      <c r="AL467" s="103">
        <v>28.695</v>
      </c>
      <c r="AM467" s="8">
        <v>71.305000000000007</v>
      </c>
      <c r="AN467" s="21">
        <v>0</v>
      </c>
      <c r="AO467" s="21">
        <v>0</v>
      </c>
      <c r="AP467" s="21">
        <v>71.305000000000007</v>
      </c>
      <c r="AQ467" s="21">
        <v>0</v>
      </c>
      <c r="AR467" s="21">
        <v>0</v>
      </c>
      <c r="AS467" s="8">
        <v>100</v>
      </c>
      <c r="AT467" s="21">
        <v>0</v>
      </c>
      <c r="AU467" s="21">
        <v>0</v>
      </c>
      <c r="AV467" s="21">
        <v>0</v>
      </c>
      <c r="AW467" s="21">
        <v>100</v>
      </c>
      <c r="AX467" s="21">
        <v>0</v>
      </c>
      <c r="AY467" s="8">
        <v>0</v>
      </c>
    </row>
    <row r="468" spans="1:51" ht="15" customHeight="1" x14ac:dyDescent="0.25">
      <c r="A468" s="9">
        <v>742</v>
      </c>
      <c r="B468" s="13">
        <v>45737</v>
      </c>
      <c r="C468" s="9" t="s">
        <v>169</v>
      </c>
      <c r="D468" s="9">
        <v>9518620159</v>
      </c>
      <c r="E468" s="8">
        <v>2</v>
      </c>
      <c r="F468" s="9" t="s">
        <v>1073</v>
      </c>
      <c r="G468" s="79" t="s">
        <v>1303</v>
      </c>
      <c r="H468" s="9" t="s">
        <v>57</v>
      </c>
      <c r="I468" s="9" t="s">
        <v>25</v>
      </c>
      <c r="J468" s="9" t="s">
        <v>30</v>
      </c>
      <c r="K468" s="9" t="s">
        <v>170</v>
      </c>
      <c r="L468" s="39"/>
      <c r="M468" s="7" t="s">
        <v>1</v>
      </c>
      <c r="N468" s="8"/>
      <c r="O468" s="40"/>
      <c r="P468" s="15"/>
      <c r="Q468" s="9" t="s">
        <v>180</v>
      </c>
      <c r="R468" s="9" t="s">
        <v>364</v>
      </c>
      <c r="S468" s="9"/>
      <c r="T468" s="9">
        <v>931662</v>
      </c>
      <c r="U468" s="16" t="s">
        <v>94</v>
      </c>
      <c r="V468" s="9">
        <v>463611</v>
      </c>
      <c r="W468" s="8" t="s">
        <v>1160</v>
      </c>
      <c r="X468" s="8" t="s">
        <v>265</v>
      </c>
      <c r="Y468" s="8" t="s">
        <v>175</v>
      </c>
      <c r="Z468" s="8">
        <v>0</v>
      </c>
      <c r="AA468" s="8">
        <v>0</v>
      </c>
      <c r="AB468" s="8"/>
      <c r="AC468" s="8" t="s">
        <v>210</v>
      </c>
      <c r="AD468" s="14" t="s">
        <v>211</v>
      </c>
      <c r="AE468" s="8" t="s">
        <v>252</v>
      </c>
      <c r="AF468" s="14">
        <v>0.95</v>
      </c>
      <c r="AG468" s="8">
        <v>1250</v>
      </c>
      <c r="AH468" s="8">
        <v>2500</v>
      </c>
      <c r="AI468" s="8">
        <v>30</v>
      </c>
      <c r="AJ468" s="8">
        <v>0</v>
      </c>
      <c r="AK468" s="127">
        <v>30</v>
      </c>
      <c r="AL468" s="103">
        <v>0</v>
      </c>
      <c r="AM468" s="8">
        <v>30</v>
      </c>
      <c r="AN468" s="21">
        <v>0</v>
      </c>
      <c r="AO468" s="21">
        <v>0</v>
      </c>
      <c r="AP468" s="21">
        <v>0</v>
      </c>
      <c r="AQ468" s="21">
        <v>30</v>
      </c>
      <c r="AR468" s="21">
        <v>0</v>
      </c>
      <c r="AS468" s="8">
        <v>30</v>
      </c>
      <c r="AT468" s="21">
        <v>0</v>
      </c>
      <c r="AU468" s="21">
        <v>0</v>
      </c>
      <c r="AV468" s="21">
        <v>0</v>
      </c>
      <c r="AW468" s="21">
        <v>30</v>
      </c>
      <c r="AX468" s="21">
        <v>0</v>
      </c>
      <c r="AY468" s="8">
        <v>0</v>
      </c>
    </row>
    <row r="469" spans="1:51" ht="15" customHeight="1" x14ac:dyDescent="0.25">
      <c r="A469" s="9">
        <v>742</v>
      </c>
      <c r="B469" s="13">
        <v>45765</v>
      </c>
      <c r="C469" s="9" t="s">
        <v>169</v>
      </c>
      <c r="D469" s="9">
        <v>9518703431</v>
      </c>
      <c r="E469" s="8">
        <v>3</v>
      </c>
      <c r="F469" s="9" t="s">
        <v>1074</v>
      </c>
      <c r="G469" s="9" t="s">
        <v>1687</v>
      </c>
      <c r="H469" s="9" t="s">
        <v>57</v>
      </c>
      <c r="I469" s="9" t="s">
        <v>25</v>
      </c>
      <c r="J469" s="9" t="s">
        <v>28</v>
      </c>
      <c r="K469" s="9" t="s">
        <v>233</v>
      </c>
      <c r="L469" s="39"/>
      <c r="M469" s="7" t="s">
        <v>1</v>
      </c>
      <c r="N469" s="8"/>
      <c r="O469" s="40"/>
      <c r="P469" s="15"/>
      <c r="Q469" s="9" t="s">
        <v>172</v>
      </c>
      <c r="R469" s="9" t="s">
        <v>173</v>
      </c>
      <c r="S469" s="9"/>
      <c r="T469" s="9">
        <v>189430</v>
      </c>
      <c r="U469" s="16" t="s">
        <v>61</v>
      </c>
      <c r="V469" s="9">
        <v>2170008</v>
      </c>
      <c r="W469" s="8" t="s">
        <v>567</v>
      </c>
      <c r="X469" s="8" t="s">
        <v>265</v>
      </c>
      <c r="Y469" s="8" t="s">
        <v>175</v>
      </c>
      <c r="Z469" s="8">
        <v>7</v>
      </c>
      <c r="AA469" s="8">
        <v>12</v>
      </c>
      <c r="AB469" s="8"/>
      <c r="AC469" s="8" t="s">
        <v>190</v>
      </c>
      <c r="AD469" s="14" t="s">
        <v>191</v>
      </c>
      <c r="AE469" s="8" t="s">
        <v>346</v>
      </c>
      <c r="AF469" s="14">
        <v>0.97</v>
      </c>
      <c r="AG469" s="8">
        <v>1220</v>
      </c>
      <c r="AH469" s="8">
        <v>0</v>
      </c>
      <c r="AI469" s="8">
        <v>168</v>
      </c>
      <c r="AJ469" s="8">
        <v>0</v>
      </c>
      <c r="AK469" s="127">
        <v>50.13</v>
      </c>
      <c r="AL469" s="103">
        <v>15.775</v>
      </c>
      <c r="AM469" s="8">
        <v>0</v>
      </c>
      <c r="AN469" s="21">
        <v>0</v>
      </c>
      <c r="AO469" s="21">
        <v>0</v>
      </c>
      <c r="AP469" s="21">
        <v>0</v>
      </c>
      <c r="AQ469" s="21">
        <v>0</v>
      </c>
      <c r="AR469" s="21">
        <v>0</v>
      </c>
      <c r="AS469" s="8">
        <v>15.775</v>
      </c>
      <c r="AT469" s="21">
        <v>15.775</v>
      </c>
      <c r="AU469" s="21">
        <v>0</v>
      </c>
      <c r="AV469" s="21">
        <v>0</v>
      </c>
      <c r="AW469" s="21">
        <v>0</v>
      </c>
      <c r="AX469" s="21">
        <v>0</v>
      </c>
      <c r="AY469" s="8">
        <v>0</v>
      </c>
    </row>
    <row r="470" spans="1:51" ht="15" customHeight="1" x14ac:dyDescent="0.25">
      <c r="A470" s="9">
        <v>742</v>
      </c>
      <c r="B470" s="13">
        <v>45749</v>
      </c>
      <c r="C470" s="9" t="s">
        <v>169</v>
      </c>
      <c r="D470" s="9">
        <v>9518664768</v>
      </c>
      <c r="E470" s="8">
        <v>1</v>
      </c>
      <c r="F470" s="9" t="s">
        <v>1075</v>
      </c>
      <c r="G470" s="79" t="s">
        <v>1303</v>
      </c>
      <c r="H470" s="9" t="s">
        <v>57</v>
      </c>
      <c r="I470" s="9" t="s">
        <v>25</v>
      </c>
      <c r="J470" s="9" t="s">
        <v>31</v>
      </c>
      <c r="K470" s="9" t="s">
        <v>170</v>
      </c>
      <c r="L470" s="39"/>
      <c r="M470" s="7" t="s">
        <v>1</v>
      </c>
      <c r="N470" s="8"/>
      <c r="O470" s="40"/>
      <c r="P470" s="15"/>
      <c r="Q470" s="9" t="s">
        <v>180</v>
      </c>
      <c r="R470" s="9" t="s">
        <v>217</v>
      </c>
      <c r="S470" s="9"/>
      <c r="T470" s="9">
        <v>116649</v>
      </c>
      <c r="U470" s="16" t="s">
        <v>96</v>
      </c>
      <c r="V470" s="9">
        <v>3658709</v>
      </c>
      <c r="W470" s="8" t="s">
        <v>1161</v>
      </c>
      <c r="X470" s="8" t="s">
        <v>265</v>
      </c>
      <c r="Y470" s="8" t="s">
        <v>175</v>
      </c>
      <c r="Z470" s="8">
        <v>4</v>
      </c>
      <c r="AA470" s="8">
        <v>28</v>
      </c>
      <c r="AB470" s="8"/>
      <c r="AC470" s="8" t="s">
        <v>190</v>
      </c>
      <c r="AD470" s="14" t="s">
        <v>218</v>
      </c>
      <c r="AE470" s="8" t="s">
        <v>219</v>
      </c>
      <c r="AF470" s="14">
        <v>1</v>
      </c>
      <c r="AG470" s="8">
        <v>1250</v>
      </c>
      <c r="AH470" s="8">
        <v>0</v>
      </c>
      <c r="AI470" s="8">
        <v>29</v>
      </c>
      <c r="AJ470" s="8">
        <v>0</v>
      </c>
      <c r="AK470" s="127">
        <v>29</v>
      </c>
      <c r="AL470" s="103">
        <v>0</v>
      </c>
      <c r="AM470" s="8">
        <v>29</v>
      </c>
      <c r="AN470" s="21">
        <v>0</v>
      </c>
      <c r="AO470" s="21">
        <v>29</v>
      </c>
      <c r="AP470" s="21">
        <v>0</v>
      </c>
      <c r="AQ470" s="21">
        <v>0</v>
      </c>
      <c r="AR470" s="21">
        <v>0</v>
      </c>
      <c r="AS470" s="8">
        <v>29</v>
      </c>
      <c r="AT470" s="21">
        <v>0</v>
      </c>
      <c r="AU470" s="21">
        <v>29</v>
      </c>
      <c r="AV470" s="21">
        <v>0</v>
      </c>
      <c r="AW470" s="21">
        <v>0</v>
      </c>
      <c r="AX470" s="21">
        <v>0</v>
      </c>
      <c r="AY470" s="8">
        <v>0</v>
      </c>
    </row>
    <row r="471" spans="1:51" ht="15" customHeight="1" x14ac:dyDescent="0.25">
      <c r="A471" s="9">
        <v>744</v>
      </c>
      <c r="B471" s="13">
        <v>45755</v>
      </c>
      <c r="C471" s="9" t="s">
        <v>169</v>
      </c>
      <c r="D471" s="9">
        <v>9518676905</v>
      </c>
      <c r="E471" s="8">
        <v>6</v>
      </c>
      <c r="F471" s="9" t="s">
        <v>1076</v>
      </c>
      <c r="G471" s="79" t="s">
        <v>1303</v>
      </c>
      <c r="H471" s="9" t="s">
        <v>57</v>
      </c>
      <c r="I471" s="9" t="s">
        <v>48</v>
      </c>
      <c r="J471" s="9" t="s">
        <v>39</v>
      </c>
      <c r="K471" s="9" t="s">
        <v>233</v>
      </c>
      <c r="L471" s="39"/>
      <c r="M471" s="7" t="s">
        <v>1</v>
      </c>
      <c r="N471" s="8"/>
      <c r="O471" s="40"/>
      <c r="P471" s="15"/>
      <c r="Q471" s="9" t="s">
        <v>264</v>
      </c>
      <c r="R471" s="9" t="s">
        <v>265</v>
      </c>
      <c r="S471" s="9"/>
      <c r="T471" s="9">
        <v>941597</v>
      </c>
      <c r="U471" s="16" t="s">
        <v>106</v>
      </c>
      <c r="V471" s="9">
        <v>3902332</v>
      </c>
      <c r="W471" s="8" t="s">
        <v>353</v>
      </c>
      <c r="X471" s="8" t="s">
        <v>317</v>
      </c>
      <c r="Y471" s="8" t="s">
        <v>357</v>
      </c>
      <c r="Z471" s="8">
        <v>3</v>
      </c>
      <c r="AA471" s="8">
        <v>5</v>
      </c>
      <c r="AB471" s="8"/>
      <c r="AC471" s="8" t="s">
        <v>228</v>
      </c>
      <c r="AD471" s="14" t="s">
        <v>229</v>
      </c>
      <c r="AE471" s="8" t="s">
        <v>354</v>
      </c>
      <c r="AF471" s="14">
        <v>0.5</v>
      </c>
      <c r="AG471" s="8">
        <v>1220</v>
      </c>
      <c r="AH471" s="8">
        <v>0</v>
      </c>
      <c r="AI471" s="8">
        <v>56</v>
      </c>
      <c r="AJ471" s="8">
        <v>0</v>
      </c>
      <c r="AK471" s="127">
        <v>56</v>
      </c>
      <c r="AL471" s="103">
        <v>0</v>
      </c>
      <c r="AM471" s="8">
        <v>56</v>
      </c>
      <c r="AN471" s="21">
        <v>0</v>
      </c>
      <c r="AO471" s="21">
        <v>0</v>
      </c>
      <c r="AP471" s="21">
        <v>0</v>
      </c>
      <c r="AQ471" s="21">
        <v>56</v>
      </c>
      <c r="AR471" s="21">
        <v>0</v>
      </c>
      <c r="AS471" s="8">
        <v>56</v>
      </c>
      <c r="AT471" s="21">
        <v>0</v>
      </c>
      <c r="AU471" s="21">
        <v>0</v>
      </c>
      <c r="AV471" s="21">
        <v>0</v>
      </c>
      <c r="AW471" s="21">
        <v>56</v>
      </c>
      <c r="AX471" s="21">
        <v>0</v>
      </c>
      <c r="AY471" s="8">
        <v>0</v>
      </c>
    </row>
    <row r="472" spans="1:51" ht="15" customHeight="1" x14ac:dyDescent="0.25">
      <c r="A472" s="9">
        <v>744</v>
      </c>
      <c r="B472" s="13">
        <v>45755</v>
      </c>
      <c r="C472" s="9" t="s">
        <v>169</v>
      </c>
      <c r="D472" s="9">
        <v>9518676905</v>
      </c>
      <c r="E472" s="8">
        <v>8</v>
      </c>
      <c r="F472" s="9" t="s">
        <v>1077</v>
      </c>
      <c r="G472" s="79" t="s">
        <v>1303</v>
      </c>
      <c r="H472" s="9" t="s">
        <v>57</v>
      </c>
      <c r="I472" s="9" t="s">
        <v>48</v>
      </c>
      <c r="J472" s="9" t="s">
        <v>39</v>
      </c>
      <c r="K472" s="9" t="s">
        <v>233</v>
      </c>
      <c r="L472" s="39"/>
      <c r="M472" s="7" t="s">
        <v>1</v>
      </c>
      <c r="N472" s="8"/>
      <c r="O472" s="40"/>
      <c r="P472" s="15"/>
      <c r="Q472" s="9" t="s">
        <v>264</v>
      </c>
      <c r="R472" s="9" t="s">
        <v>265</v>
      </c>
      <c r="S472" s="9"/>
      <c r="T472" s="9">
        <v>941597</v>
      </c>
      <c r="U472" s="16" t="s">
        <v>106</v>
      </c>
      <c r="V472" s="9">
        <v>3902332</v>
      </c>
      <c r="W472" s="8" t="s">
        <v>353</v>
      </c>
      <c r="X472" s="8" t="s">
        <v>317</v>
      </c>
      <c r="Y472" s="8" t="s">
        <v>400</v>
      </c>
      <c r="Z472" s="8">
        <v>3</v>
      </c>
      <c r="AA472" s="8">
        <v>5</v>
      </c>
      <c r="AB472" s="8"/>
      <c r="AC472" s="8" t="s">
        <v>228</v>
      </c>
      <c r="AD472" s="14" t="s">
        <v>229</v>
      </c>
      <c r="AE472" s="8" t="s">
        <v>354</v>
      </c>
      <c r="AF472" s="14">
        <v>0.5</v>
      </c>
      <c r="AG472" s="8">
        <v>1220</v>
      </c>
      <c r="AH472" s="8">
        <v>0</v>
      </c>
      <c r="AI472" s="8">
        <v>84</v>
      </c>
      <c r="AJ472" s="8">
        <v>0</v>
      </c>
      <c r="AK472" s="127">
        <v>84</v>
      </c>
      <c r="AL472" s="103">
        <v>0</v>
      </c>
      <c r="AM472" s="8">
        <v>84</v>
      </c>
      <c r="AN472" s="21">
        <v>0</v>
      </c>
      <c r="AO472" s="21">
        <v>0</v>
      </c>
      <c r="AP472" s="21">
        <v>0</v>
      </c>
      <c r="AQ472" s="21">
        <v>84</v>
      </c>
      <c r="AR472" s="21">
        <v>0</v>
      </c>
      <c r="AS472" s="8">
        <v>84</v>
      </c>
      <c r="AT472" s="21">
        <v>0</v>
      </c>
      <c r="AU472" s="21">
        <v>0</v>
      </c>
      <c r="AV472" s="21">
        <v>0</v>
      </c>
      <c r="AW472" s="21">
        <v>84</v>
      </c>
      <c r="AX472" s="21">
        <v>0</v>
      </c>
      <c r="AY472" s="8">
        <v>0</v>
      </c>
    </row>
    <row r="473" spans="1:51" ht="15" customHeight="1" x14ac:dyDescent="0.25">
      <c r="A473" s="9">
        <v>744</v>
      </c>
      <c r="B473" s="13">
        <v>45755</v>
      </c>
      <c r="C473" s="9" t="s">
        <v>169</v>
      </c>
      <c r="D473" s="9">
        <v>9518676905</v>
      </c>
      <c r="E473" s="8">
        <v>9</v>
      </c>
      <c r="F473" s="9" t="s">
        <v>1078</v>
      </c>
      <c r="G473" s="79" t="s">
        <v>1303</v>
      </c>
      <c r="H473" s="9" t="s">
        <v>57</v>
      </c>
      <c r="I473" s="9" t="s">
        <v>48</v>
      </c>
      <c r="J473" s="9" t="s">
        <v>39</v>
      </c>
      <c r="K473" s="9" t="s">
        <v>233</v>
      </c>
      <c r="L473" s="39"/>
      <c r="M473" s="7" t="s">
        <v>1</v>
      </c>
      <c r="N473" s="8"/>
      <c r="O473" s="40"/>
      <c r="P473" s="15"/>
      <c r="Q473" s="9" t="s">
        <v>264</v>
      </c>
      <c r="R473" s="9" t="s">
        <v>265</v>
      </c>
      <c r="S473" s="9"/>
      <c r="T473" s="9">
        <v>941597</v>
      </c>
      <c r="U473" s="16" t="s">
        <v>106</v>
      </c>
      <c r="V473" s="9">
        <v>3902332</v>
      </c>
      <c r="W473" s="8" t="s">
        <v>353</v>
      </c>
      <c r="X473" s="8" t="s">
        <v>317</v>
      </c>
      <c r="Y473" s="8" t="s">
        <v>673</v>
      </c>
      <c r="Z473" s="8">
        <v>3</v>
      </c>
      <c r="AA473" s="8">
        <v>5</v>
      </c>
      <c r="AB473" s="8"/>
      <c r="AC473" s="8" t="s">
        <v>228</v>
      </c>
      <c r="AD473" s="14" t="s">
        <v>229</v>
      </c>
      <c r="AE473" s="8" t="s">
        <v>354</v>
      </c>
      <c r="AF473" s="14">
        <v>0.5</v>
      </c>
      <c r="AG473" s="8">
        <v>1220</v>
      </c>
      <c r="AH473" s="8">
        <v>0</v>
      </c>
      <c r="AI473" s="8">
        <v>28</v>
      </c>
      <c r="AJ473" s="8">
        <v>0</v>
      </c>
      <c r="AK473" s="127">
        <v>28</v>
      </c>
      <c r="AL473" s="103">
        <v>0</v>
      </c>
      <c r="AM473" s="8">
        <v>28</v>
      </c>
      <c r="AN473" s="21">
        <v>0</v>
      </c>
      <c r="AO473" s="21">
        <v>0</v>
      </c>
      <c r="AP473" s="21">
        <v>0</v>
      </c>
      <c r="AQ473" s="21">
        <v>28</v>
      </c>
      <c r="AR473" s="21">
        <v>0</v>
      </c>
      <c r="AS473" s="8">
        <v>28</v>
      </c>
      <c r="AT473" s="21">
        <v>0</v>
      </c>
      <c r="AU473" s="21">
        <v>0</v>
      </c>
      <c r="AV473" s="21">
        <v>0</v>
      </c>
      <c r="AW473" s="21">
        <v>28</v>
      </c>
      <c r="AX473" s="21">
        <v>0</v>
      </c>
      <c r="AY473" s="8">
        <v>0</v>
      </c>
    </row>
    <row r="474" spans="1:51" ht="15" customHeight="1" x14ac:dyDescent="0.25">
      <c r="A474" s="9">
        <v>742</v>
      </c>
      <c r="B474" s="13">
        <v>45741</v>
      </c>
      <c r="C474" s="9" t="s">
        <v>193</v>
      </c>
      <c r="D474" s="9">
        <v>9518632148</v>
      </c>
      <c r="E474" s="8">
        <v>2</v>
      </c>
      <c r="F474" s="9" t="s">
        <v>1079</v>
      </c>
      <c r="G474" s="9" t="s">
        <v>1687</v>
      </c>
      <c r="H474" s="9" t="s">
        <v>57</v>
      </c>
      <c r="I474" s="9" t="s">
        <v>25</v>
      </c>
      <c r="J474" s="9" t="s">
        <v>29</v>
      </c>
      <c r="K474" s="9" t="s">
        <v>233</v>
      </c>
      <c r="L474" s="39"/>
      <c r="M474" s="7" t="s">
        <v>1</v>
      </c>
      <c r="N474" s="8"/>
      <c r="O474" s="40" t="s">
        <v>1335</v>
      </c>
      <c r="P474" s="15"/>
      <c r="Q474" s="9" t="s">
        <v>214</v>
      </c>
      <c r="R474" s="9" t="s">
        <v>324</v>
      </c>
      <c r="S474" s="9"/>
      <c r="T474" s="9">
        <v>600250</v>
      </c>
      <c r="U474" s="16" t="s">
        <v>64</v>
      </c>
      <c r="V474" s="9">
        <v>3704262</v>
      </c>
      <c r="W474" s="8" t="s">
        <v>597</v>
      </c>
      <c r="X474" s="8" t="s">
        <v>265</v>
      </c>
      <c r="Y474" s="8" t="s">
        <v>175</v>
      </c>
      <c r="Z474" s="8">
        <v>8</v>
      </c>
      <c r="AA474" s="8">
        <v>11</v>
      </c>
      <c r="AB474" s="8"/>
      <c r="AC474" s="8" t="s">
        <v>190</v>
      </c>
      <c r="AD474" s="14" t="s">
        <v>197</v>
      </c>
      <c r="AE474" s="8" t="s">
        <v>326</v>
      </c>
      <c r="AF474" s="14">
        <v>1</v>
      </c>
      <c r="AG474" s="8">
        <v>1250</v>
      </c>
      <c r="AH474" s="8">
        <v>0</v>
      </c>
      <c r="AI474" s="8">
        <v>87</v>
      </c>
      <c r="AJ474" s="8">
        <v>0</v>
      </c>
      <c r="AK474" s="127">
        <v>9.5050000000000008</v>
      </c>
      <c r="AL474" s="103">
        <v>26.435000000000002</v>
      </c>
      <c r="AM474" s="8">
        <v>0</v>
      </c>
      <c r="AN474" s="21">
        <v>0</v>
      </c>
      <c r="AO474" s="21">
        <v>0</v>
      </c>
      <c r="AP474" s="21">
        <v>0</v>
      </c>
      <c r="AQ474" s="21">
        <v>0</v>
      </c>
      <c r="AR474" s="21">
        <v>0</v>
      </c>
      <c r="AS474" s="8">
        <v>26.435000000000002</v>
      </c>
      <c r="AT474" s="21">
        <v>26.435000000000002</v>
      </c>
      <c r="AU474" s="21">
        <v>0</v>
      </c>
      <c r="AV474" s="21">
        <v>0</v>
      </c>
      <c r="AW474" s="21">
        <v>0</v>
      </c>
      <c r="AX474" s="21">
        <v>0</v>
      </c>
      <c r="AY474" s="8">
        <v>0</v>
      </c>
    </row>
    <row r="475" spans="1:51" ht="15" customHeight="1" x14ac:dyDescent="0.25">
      <c r="A475" s="9">
        <v>742</v>
      </c>
      <c r="B475" s="13">
        <v>45765</v>
      </c>
      <c r="C475" s="9" t="s">
        <v>169</v>
      </c>
      <c r="D475" s="9">
        <v>9518703480</v>
      </c>
      <c r="E475" s="8">
        <v>4</v>
      </c>
      <c r="F475" s="9" t="s">
        <v>1080</v>
      </c>
      <c r="G475" s="79" t="s">
        <v>1303</v>
      </c>
      <c r="H475" s="9" t="s">
        <v>57</v>
      </c>
      <c r="I475" s="9" t="s">
        <v>25</v>
      </c>
      <c r="J475" s="9" t="s">
        <v>28</v>
      </c>
      <c r="K475" s="9" t="s">
        <v>233</v>
      </c>
      <c r="L475" s="39"/>
      <c r="M475" s="7" t="s">
        <v>1</v>
      </c>
      <c r="N475" s="8"/>
      <c r="O475" s="40" t="s">
        <v>1395</v>
      </c>
      <c r="P475" s="15"/>
      <c r="Q475" s="9" t="s">
        <v>214</v>
      </c>
      <c r="R475" s="9" t="s">
        <v>382</v>
      </c>
      <c r="S475" s="9"/>
      <c r="T475" s="9">
        <v>188238</v>
      </c>
      <c r="U475" s="16" t="s">
        <v>59</v>
      </c>
      <c r="V475" s="9">
        <v>2170008</v>
      </c>
      <c r="W475" s="8" t="s">
        <v>567</v>
      </c>
      <c r="X475" s="8" t="s">
        <v>265</v>
      </c>
      <c r="Y475" s="8" t="s">
        <v>175</v>
      </c>
      <c r="Z475" s="8">
        <v>8</v>
      </c>
      <c r="AA475" s="8">
        <v>12</v>
      </c>
      <c r="AB475" s="8"/>
      <c r="AC475" s="8" t="s">
        <v>190</v>
      </c>
      <c r="AD475" s="14" t="s">
        <v>191</v>
      </c>
      <c r="AE475" s="8" t="s">
        <v>346</v>
      </c>
      <c r="AF475" s="14">
        <v>0.97</v>
      </c>
      <c r="AG475" s="8">
        <v>1220</v>
      </c>
      <c r="AH475" s="8">
        <v>0</v>
      </c>
      <c r="AI475" s="8">
        <v>224</v>
      </c>
      <c r="AJ475" s="8">
        <v>0</v>
      </c>
      <c r="AK475" s="127">
        <v>224</v>
      </c>
      <c r="AL475" s="103">
        <v>0</v>
      </c>
      <c r="AM475" s="8">
        <v>224</v>
      </c>
      <c r="AN475" s="21">
        <v>0</v>
      </c>
      <c r="AO475" s="21">
        <v>0</v>
      </c>
      <c r="AP475" s="21">
        <v>224</v>
      </c>
      <c r="AQ475" s="21">
        <v>0</v>
      </c>
      <c r="AR475" s="21">
        <v>0</v>
      </c>
      <c r="AS475" s="8">
        <v>224</v>
      </c>
      <c r="AT475" s="21">
        <v>0</v>
      </c>
      <c r="AU475" s="21">
        <v>0</v>
      </c>
      <c r="AV475" s="21">
        <v>0</v>
      </c>
      <c r="AW475" s="21">
        <v>224</v>
      </c>
      <c r="AX475" s="21">
        <v>0</v>
      </c>
      <c r="AY475" s="8">
        <v>0</v>
      </c>
    </row>
    <row r="476" spans="1:51" ht="15" customHeight="1" x14ac:dyDescent="0.25">
      <c r="A476" s="9">
        <v>742</v>
      </c>
      <c r="B476" s="13">
        <v>45765</v>
      </c>
      <c r="C476" s="9" t="s">
        <v>169</v>
      </c>
      <c r="D476" s="9">
        <v>9518703480</v>
      </c>
      <c r="E476" s="8">
        <v>8</v>
      </c>
      <c r="F476" s="9" t="s">
        <v>1081</v>
      </c>
      <c r="G476" s="79" t="s">
        <v>1303</v>
      </c>
      <c r="H476" s="9" t="s">
        <v>57</v>
      </c>
      <c r="I476" s="9" t="s">
        <v>25</v>
      </c>
      <c r="J476" s="9" t="s">
        <v>28</v>
      </c>
      <c r="K476" s="9" t="s">
        <v>233</v>
      </c>
      <c r="L476" s="39"/>
      <c r="M476" s="7" t="s">
        <v>1</v>
      </c>
      <c r="N476" s="8"/>
      <c r="O476" s="40" t="s">
        <v>1395</v>
      </c>
      <c r="P476" s="15"/>
      <c r="Q476" s="9" t="s">
        <v>214</v>
      </c>
      <c r="R476" s="9" t="s">
        <v>382</v>
      </c>
      <c r="S476" s="9"/>
      <c r="T476" s="9">
        <v>188238</v>
      </c>
      <c r="U476" s="16" t="s">
        <v>59</v>
      </c>
      <c r="V476" s="9">
        <v>2170008</v>
      </c>
      <c r="W476" s="8" t="s">
        <v>567</v>
      </c>
      <c r="X476" s="8" t="s">
        <v>265</v>
      </c>
      <c r="Y476" s="8" t="s">
        <v>175</v>
      </c>
      <c r="Z476" s="8">
        <v>8</v>
      </c>
      <c r="AA476" s="8">
        <v>12</v>
      </c>
      <c r="AB476" s="8"/>
      <c r="AC476" s="8" t="s">
        <v>190</v>
      </c>
      <c r="AD476" s="14" t="s">
        <v>191</v>
      </c>
      <c r="AE476" s="8" t="s">
        <v>346</v>
      </c>
      <c r="AF476" s="14">
        <v>0.97</v>
      </c>
      <c r="AG476" s="8">
        <v>1220</v>
      </c>
      <c r="AH476" s="8">
        <v>0</v>
      </c>
      <c r="AI476" s="8">
        <v>280</v>
      </c>
      <c r="AJ476" s="8">
        <v>0</v>
      </c>
      <c r="AK476" s="127">
        <v>280</v>
      </c>
      <c r="AL476" s="103">
        <v>0</v>
      </c>
      <c r="AM476" s="8">
        <v>280</v>
      </c>
      <c r="AN476" s="21">
        <v>0</v>
      </c>
      <c r="AO476" s="21">
        <v>0</v>
      </c>
      <c r="AP476" s="21">
        <v>280</v>
      </c>
      <c r="AQ476" s="21">
        <v>0</v>
      </c>
      <c r="AR476" s="21">
        <v>0</v>
      </c>
      <c r="AS476" s="8">
        <v>280</v>
      </c>
      <c r="AT476" s="21">
        <v>0</v>
      </c>
      <c r="AU476" s="21">
        <v>0</v>
      </c>
      <c r="AV476" s="21">
        <v>0</v>
      </c>
      <c r="AW476" s="21">
        <v>280</v>
      </c>
      <c r="AX476" s="21">
        <v>0</v>
      </c>
      <c r="AY476" s="8">
        <v>0</v>
      </c>
    </row>
    <row r="477" spans="1:51" ht="15" customHeight="1" x14ac:dyDescent="0.25">
      <c r="A477" s="9">
        <v>743</v>
      </c>
      <c r="B477" s="13">
        <v>45749</v>
      </c>
      <c r="C477" s="9" t="s">
        <v>169</v>
      </c>
      <c r="D477" s="9">
        <v>9518664230</v>
      </c>
      <c r="E477" s="8">
        <v>3</v>
      </c>
      <c r="F477" s="9" t="s">
        <v>1082</v>
      </c>
      <c r="G477" s="9" t="s">
        <v>1303</v>
      </c>
      <c r="H477" s="9" t="s">
        <v>57</v>
      </c>
      <c r="I477" s="9" t="s">
        <v>43</v>
      </c>
      <c r="J477" s="9" t="s">
        <v>45</v>
      </c>
      <c r="K477" s="9" t="s">
        <v>170</v>
      </c>
      <c r="L477" s="39"/>
      <c r="M477" s="7" t="s">
        <v>1</v>
      </c>
      <c r="N477" s="8"/>
      <c r="O477" s="40"/>
      <c r="P477" s="15"/>
      <c r="Q477" s="9" t="s">
        <v>180</v>
      </c>
      <c r="R477" s="9" t="s">
        <v>364</v>
      </c>
      <c r="S477" s="9"/>
      <c r="T477" s="9">
        <v>139336</v>
      </c>
      <c r="U477" s="16" t="s">
        <v>92</v>
      </c>
      <c r="V477" s="9">
        <v>1178439</v>
      </c>
      <c r="W477" s="8" t="s">
        <v>446</v>
      </c>
      <c r="X477" s="8" t="s">
        <v>308</v>
      </c>
      <c r="Y477" s="8" t="s">
        <v>175</v>
      </c>
      <c r="Z477" s="8">
        <v>3</v>
      </c>
      <c r="AA477" s="8">
        <v>5</v>
      </c>
      <c r="AB477" s="8"/>
      <c r="AC477" s="8" t="s">
        <v>238</v>
      </c>
      <c r="AD477" s="14" t="s">
        <v>185</v>
      </c>
      <c r="AE477" s="8" t="s">
        <v>186</v>
      </c>
      <c r="AF477" s="14">
        <v>0.4</v>
      </c>
      <c r="AG477" s="8">
        <v>900</v>
      </c>
      <c r="AH477" s="8">
        <v>0</v>
      </c>
      <c r="AI477" s="8">
        <v>42</v>
      </c>
      <c r="AJ477" s="8">
        <v>0</v>
      </c>
      <c r="AK477" s="127">
        <v>22.48</v>
      </c>
      <c r="AL477" s="103">
        <v>19.52</v>
      </c>
      <c r="AM477" s="8">
        <v>22.48</v>
      </c>
      <c r="AN477" s="21">
        <v>0</v>
      </c>
      <c r="AO477" s="21">
        <v>22.48</v>
      </c>
      <c r="AP477" s="21">
        <v>0</v>
      </c>
      <c r="AQ477" s="21">
        <v>0</v>
      </c>
      <c r="AR477" s="21">
        <v>0</v>
      </c>
      <c r="AS477" s="8">
        <v>42</v>
      </c>
      <c r="AT477" s="21">
        <v>0</v>
      </c>
      <c r="AU477" s="21">
        <v>0</v>
      </c>
      <c r="AV477" s="21">
        <v>42</v>
      </c>
      <c r="AW477" s="21">
        <v>0</v>
      </c>
      <c r="AX477" s="21">
        <v>0</v>
      </c>
      <c r="AY477" s="8">
        <v>0</v>
      </c>
    </row>
    <row r="478" spans="1:51" ht="15" customHeight="1" x14ac:dyDescent="0.25">
      <c r="A478" s="9">
        <v>744</v>
      </c>
      <c r="B478" s="13">
        <v>45762</v>
      </c>
      <c r="C478" s="9" t="s">
        <v>169</v>
      </c>
      <c r="D478" s="9">
        <v>9518695426</v>
      </c>
      <c r="E478" s="8">
        <v>2</v>
      </c>
      <c r="F478" s="9" t="s">
        <v>1083</v>
      </c>
      <c r="G478" s="79" t="s">
        <v>1303</v>
      </c>
      <c r="H478" s="9" t="s">
        <v>57</v>
      </c>
      <c r="I478" s="9" t="s">
        <v>48</v>
      </c>
      <c r="J478" s="9" t="s">
        <v>39</v>
      </c>
      <c r="K478" s="9" t="s">
        <v>233</v>
      </c>
      <c r="L478" s="39"/>
      <c r="M478" s="7" t="s">
        <v>1</v>
      </c>
      <c r="N478" s="8"/>
      <c r="O478" s="40"/>
      <c r="P478" s="15"/>
      <c r="Q478" s="9" t="s">
        <v>264</v>
      </c>
      <c r="R478" s="9" t="s">
        <v>234</v>
      </c>
      <c r="S478" s="9"/>
      <c r="T478" s="9">
        <v>940008</v>
      </c>
      <c r="U478" s="16" t="s">
        <v>133</v>
      </c>
      <c r="V478" s="9">
        <v>3522241</v>
      </c>
      <c r="W478" s="8" t="s">
        <v>348</v>
      </c>
      <c r="X478" s="8" t="s">
        <v>349</v>
      </c>
      <c r="Y478" s="8" t="s">
        <v>1180</v>
      </c>
      <c r="Z478" s="8">
        <v>3</v>
      </c>
      <c r="AA478" s="8">
        <v>5</v>
      </c>
      <c r="AB478" s="8"/>
      <c r="AC478" s="8" t="s">
        <v>228</v>
      </c>
      <c r="AD478" s="14" t="s">
        <v>229</v>
      </c>
      <c r="AE478" s="8" t="s">
        <v>232</v>
      </c>
      <c r="AF478" s="14">
        <v>0.43</v>
      </c>
      <c r="AG478" s="8">
        <v>1220</v>
      </c>
      <c r="AH478" s="8">
        <v>0</v>
      </c>
      <c r="AI478" s="8">
        <v>140</v>
      </c>
      <c r="AJ478" s="8">
        <v>0</v>
      </c>
      <c r="AK478" s="127">
        <v>140</v>
      </c>
      <c r="AL478" s="103">
        <v>0</v>
      </c>
      <c r="AM478" s="8">
        <v>140</v>
      </c>
      <c r="AN478" s="21">
        <v>0</v>
      </c>
      <c r="AO478" s="21">
        <v>0</v>
      </c>
      <c r="AP478" s="21">
        <v>140</v>
      </c>
      <c r="AQ478" s="21">
        <v>0</v>
      </c>
      <c r="AR478" s="21">
        <v>0</v>
      </c>
      <c r="AS478" s="8">
        <v>140</v>
      </c>
      <c r="AT478" s="21">
        <v>0</v>
      </c>
      <c r="AU478" s="21">
        <v>0</v>
      </c>
      <c r="AV478" s="21">
        <v>0</v>
      </c>
      <c r="AW478" s="21">
        <v>140</v>
      </c>
      <c r="AX478" s="21">
        <v>0</v>
      </c>
      <c r="AY478" s="8">
        <v>0</v>
      </c>
    </row>
    <row r="479" spans="1:51" ht="15" customHeight="1" x14ac:dyDescent="0.25">
      <c r="A479" s="9">
        <v>744</v>
      </c>
      <c r="B479" s="13">
        <v>45710</v>
      </c>
      <c r="C479" s="9" t="s">
        <v>169</v>
      </c>
      <c r="D479" s="9">
        <v>9518542873</v>
      </c>
      <c r="E479" s="8">
        <v>3</v>
      </c>
      <c r="F479" s="9" t="s">
        <v>579</v>
      </c>
      <c r="G479" s="79" t="s">
        <v>1303</v>
      </c>
      <c r="H479" s="9" t="s">
        <v>57</v>
      </c>
      <c r="I479" s="9" t="s">
        <v>48</v>
      </c>
      <c r="J479" s="9" t="s">
        <v>39</v>
      </c>
      <c r="K479" s="9" t="s">
        <v>233</v>
      </c>
      <c r="L479" s="39"/>
      <c r="M479" s="7" t="s">
        <v>1</v>
      </c>
      <c r="N479" s="8"/>
      <c r="O479" s="40"/>
      <c r="P479" s="15"/>
      <c r="Q479" s="9" t="s">
        <v>264</v>
      </c>
      <c r="R479" s="9" t="s">
        <v>265</v>
      </c>
      <c r="S479" s="9"/>
      <c r="T479" s="9">
        <v>941597</v>
      </c>
      <c r="U479" s="16" t="s">
        <v>106</v>
      </c>
      <c r="V479" s="9">
        <v>3624035</v>
      </c>
      <c r="W479" s="8" t="s">
        <v>580</v>
      </c>
      <c r="X479" s="8" t="s">
        <v>317</v>
      </c>
      <c r="Y479" s="8" t="s">
        <v>1184</v>
      </c>
      <c r="Z479" s="8">
        <v>3</v>
      </c>
      <c r="AA479" s="8">
        <v>5</v>
      </c>
      <c r="AB479" s="8"/>
      <c r="AC479" s="8" t="s">
        <v>228</v>
      </c>
      <c r="AD479" s="14" t="s">
        <v>229</v>
      </c>
      <c r="AE479" s="8" t="s">
        <v>342</v>
      </c>
      <c r="AF479" s="14">
        <v>0.39</v>
      </c>
      <c r="AG479" s="8">
        <v>1220</v>
      </c>
      <c r="AH479" s="8">
        <v>0</v>
      </c>
      <c r="AI479" s="8">
        <v>28</v>
      </c>
      <c r="AJ479" s="8">
        <v>0</v>
      </c>
      <c r="AK479" s="127">
        <v>28</v>
      </c>
      <c r="AL479" s="103">
        <v>0</v>
      </c>
      <c r="AM479" s="8">
        <v>0</v>
      </c>
      <c r="AN479" s="21">
        <v>0</v>
      </c>
      <c r="AO479" s="21">
        <v>0</v>
      </c>
      <c r="AP479" s="21">
        <v>0</v>
      </c>
      <c r="AQ479" s="21">
        <v>0</v>
      </c>
      <c r="AR479" s="21">
        <v>0</v>
      </c>
      <c r="AS479" s="8">
        <v>0</v>
      </c>
      <c r="AT479" s="21">
        <v>0</v>
      </c>
      <c r="AU479" s="21">
        <v>0</v>
      </c>
      <c r="AV479" s="21">
        <v>0</v>
      </c>
      <c r="AW479" s="21">
        <v>0</v>
      </c>
      <c r="AX479" s="21">
        <v>0</v>
      </c>
      <c r="AY479" s="8">
        <v>0</v>
      </c>
    </row>
    <row r="480" spans="1:51" ht="15" customHeight="1" x14ac:dyDescent="0.25">
      <c r="A480" s="9">
        <v>742</v>
      </c>
      <c r="B480" s="13">
        <v>45733</v>
      </c>
      <c r="C480" s="9" t="s">
        <v>169</v>
      </c>
      <c r="D480" s="9">
        <v>9518606598</v>
      </c>
      <c r="E480" s="8">
        <v>2</v>
      </c>
      <c r="F480" s="9" t="s">
        <v>711</v>
      </c>
      <c r="G480" s="79" t="s">
        <v>1303</v>
      </c>
      <c r="H480" s="9" t="s">
        <v>57</v>
      </c>
      <c r="I480" s="9" t="s">
        <v>25</v>
      </c>
      <c r="J480" s="9" t="s">
        <v>30</v>
      </c>
      <c r="K480" s="9" t="s">
        <v>170</v>
      </c>
      <c r="L480" s="39"/>
      <c r="M480" s="7" t="s">
        <v>1</v>
      </c>
      <c r="N480" s="8"/>
      <c r="O480" s="40"/>
      <c r="P480" s="15"/>
      <c r="Q480" s="9" t="s">
        <v>214</v>
      </c>
      <c r="R480" s="9" t="s">
        <v>215</v>
      </c>
      <c r="S480" s="9"/>
      <c r="T480" s="9">
        <v>946077</v>
      </c>
      <c r="U480" s="16" t="s">
        <v>83</v>
      </c>
      <c r="V480" s="9">
        <v>1804814</v>
      </c>
      <c r="W480" s="8" t="s">
        <v>468</v>
      </c>
      <c r="X480" s="8" t="s">
        <v>265</v>
      </c>
      <c r="Y480" s="8" t="s">
        <v>175</v>
      </c>
      <c r="Z480" s="8">
        <v>8</v>
      </c>
      <c r="AA480" s="8">
        <v>29</v>
      </c>
      <c r="AB480" s="8"/>
      <c r="AC480" s="8" t="s">
        <v>190</v>
      </c>
      <c r="AD480" s="14" t="s">
        <v>191</v>
      </c>
      <c r="AE480" s="8" t="s">
        <v>192</v>
      </c>
      <c r="AF480" s="14">
        <v>0.8</v>
      </c>
      <c r="AG480" s="8">
        <v>1250</v>
      </c>
      <c r="AH480" s="8">
        <v>0</v>
      </c>
      <c r="AI480" s="8">
        <v>29</v>
      </c>
      <c r="AJ480" s="8">
        <v>0</v>
      </c>
      <c r="AK480" s="127">
        <v>29</v>
      </c>
      <c r="AL480" s="103">
        <v>0</v>
      </c>
      <c r="AM480" s="8">
        <v>29</v>
      </c>
      <c r="AN480" s="21">
        <v>0</v>
      </c>
      <c r="AO480" s="21">
        <v>29</v>
      </c>
      <c r="AP480" s="21">
        <v>0</v>
      </c>
      <c r="AQ480" s="21">
        <v>0</v>
      </c>
      <c r="AR480" s="21">
        <v>0</v>
      </c>
      <c r="AS480" s="8">
        <v>29</v>
      </c>
      <c r="AT480" s="21">
        <v>0</v>
      </c>
      <c r="AU480" s="21">
        <v>29</v>
      </c>
      <c r="AV480" s="21">
        <v>0</v>
      </c>
      <c r="AW480" s="21">
        <v>0</v>
      </c>
      <c r="AX480" s="21">
        <v>0</v>
      </c>
      <c r="AY480" s="8">
        <v>0</v>
      </c>
    </row>
    <row r="481" spans="1:51" ht="15" customHeight="1" x14ac:dyDescent="0.25">
      <c r="A481" s="9">
        <v>742</v>
      </c>
      <c r="B481" s="13">
        <v>45733</v>
      </c>
      <c r="C481" s="9" t="s">
        <v>169</v>
      </c>
      <c r="D481" s="9">
        <v>9518606598</v>
      </c>
      <c r="E481" s="8">
        <v>6</v>
      </c>
      <c r="F481" s="9" t="s">
        <v>712</v>
      </c>
      <c r="G481" s="79" t="s">
        <v>1303</v>
      </c>
      <c r="H481" s="9" t="s">
        <v>57</v>
      </c>
      <c r="I481" s="9" t="s">
        <v>25</v>
      </c>
      <c r="J481" s="9" t="s">
        <v>30</v>
      </c>
      <c r="K481" s="9" t="s">
        <v>170</v>
      </c>
      <c r="L481" s="39"/>
      <c r="M481" s="7" t="s">
        <v>1</v>
      </c>
      <c r="N481" s="8"/>
      <c r="O481" s="40"/>
      <c r="P481" s="15"/>
      <c r="Q481" s="9" t="s">
        <v>214</v>
      </c>
      <c r="R481" s="9" t="s">
        <v>215</v>
      </c>
      <c r="S481" s="9"/>
      <c r="T481" s="9">
        <v>946077</v>
      </c>
      <c r="U481" s="16" t="s">
        <v>83</v>
      </c>
      <c r="V481" s="9">
        <v>1804867</v>
      </c>
      <c r="W481" s="8" t="s">
        <v>553</v>
      </c>
      <c r="X481" s="8" t="s">
        <v>265</v>
      </c>
      <c r="Y481" s="8" t="s">
        <v>175</v>
      </c>
      <c r="Z481" s="8">
        <v>8</v>
      </c>
      <c r="AA481" s="8">
        <v>29</v>
      </c>
      <c r="AB481" s="8"/>
      <c r="AC481" s="8" t="s">
        <v>190</v>
      </c>
      <c r="AD481" s="14" t="s">
        <v>191</v>
      </c>
      <c r="AE481" s="8" t="s">
        <v>192</v>
      </c>
      <c r="AF481" s="14">
        <v>1.6</v>
      </c>
      <c r="AG481" s="8">
        <v>1250</v>
      </c>
      <c r="AH481" s="8">
        <v>0</v>
      </c>
      <c r="AI481" s="8">
        <v>29</v>
      </c>
      <c r="AJ481" s="8">
        <v>0</v>
      </c>
      <c r="AK481" s="127">
        <v>29</v>
      </c>
      <c r="AL481" s="103">
        <v>0</v>
      </c>
      <c r="AM481" s="8">
        <v>29</v>
      </c>
      <c r="AN481" s="21">
        <v>0</v>
      </c>
      <c r="AO481" s="21">
        <v>29</v>
      </c>
      <c r="AP481" s="21">
        <v>0</v>
      </c>
      <c r="AQ481" s="21">
        <v>0</v>
      </c>
      <c r="AR481" s="21">
        <v>0</v>
      </c>
      <c r="AS481" s="8">
        <v>29</v>
      </c>
      <c r="AT481" s="21">
        <v>0</v>
      </c>
      <c r="AU481" s="21">
        <v>29</v>
      </c>
      <c r="AV481" s="21">
        <v>0</v>
      </c>
      <c r="AW481" s="21">
        <v>0</v>
      </c>
      <c r="AX481" s="21">
        <v>0</v>
      </c>
      <c r="AY481" s="8">
        <v>0</v>
      </c>
    </row>
    <row r="482" spans="1:51" ht="15" customHeight="1" x14ac:dyDescent="0.25">
      <c r="A482" s="9">
        <v>742</v>
      </c>
      <c r="B482" s="13">
        <v>45733</v>
      </c>
      <c r="C482" s="9" t="s">
        <v>169</v>
      </c>
      <c r="D482" s="9">
        <v>9518606284</v>
      </c>
      <c r="E482" s="8">
        <v>8</v>
      </c>
      <c r="F482" s="9" t="s">
        <v>713</v>
      </c>
      <c r="G482" s="9" t="s">
        <v>1303</v>
      </c>
      <c r="H482" s="9" t="s">
        <v>57</v>
      </c>
      <c r="I482" s="9" t="s">
        <v>25</v>
      </c>
      <c r="J482" s="9" t="s">
        <v>31</v>
      </c>
      <c r="K482" s="9" t="s">
        <v>170</v>
      </c>
      <c r="L482" s="39"/>
      <c r="M482" s="7" t="s">
        <v>1</v>
      </c>
      <c r="N482" s="8"/>
      <c r="O482" s="40"/>
      <c r="P482" s="15"/>
      <c r="Q482" s="9" t="s">
        <v>214</v>
      </c>
      <c r="R482" s="9" t="s">
        <v>215</v>
      </c>
      <c r="S482" s="9"/>
      <c r="T482" s="9">
        <v>946077</v>
      </c>
      <c r="U482" s="16" t="s">
        <v>83</v>
      </c>
      <c r="V482" s="9">
        <v>3240765</v>
      </c>
      <c r="W482" s="8" t="s">
        <v>360</v>
      </c>
      <c r="X482" s="8" t="s">
        <v>265</v>
      </c>
      <c r="Y482" s="8" t="s">
        <v>175</v>
      </c>
      <c r="Z482" s="8">
        <v>0</v>
      </c>
      <c r="AA482" s="8">
        <v>0</v>
      </c>
      <c r="AB482" s="8"/>
      <c r="AC482" s="8" t="s">
        <v>210</v>
      </c>
      <c r="AD482" s="14" t="s">
        <v>218</v>
      </c>
      <c r="AE482" s="8" t="s">
        <v>250</v>
      </c>
      <c r="AF482" s="14">
        <v>0.5</v>
      </c>
      <c r="AG482" s="8">
        <v>1250</v>
      </c>
      <c r="AH482" s="8">
        <v>2500</v>
      </c>
      <c r="AI482" s="8">
        <v>30</v>
      </c>
      <c r="AJ482" s="8">
        <v>0</v>
      </c>
      <c r="AK482" s="127">
        <v>30</v>
      </c>
      <c r="AL482" s="103">
        <v>0</v>
      </c>
      <c r="AM482" s="8">
        <v>30</v>
      </c>
      <c r="AN482" s="21">
        <v>0</v>
      </c>
      <c r="AO482" s="21">
        <v>0</v>
      </c>
      <c r="AP482" s="21">
        <v>30</v>
      </c>
      <c r="AQ482" s="21">
        <v>0</v>
      </c>
      <c r="AR482" s="21">
        <v>0</v>
      </c>
      <c r="AS482" s="8">
        <v>30</v>
      </c>
      <c r="AT482" s="21">
        <v>0</v>
      </c>
      <c r="AU482" s="21">
        <v>0</v>
      </c>
      <c r="AV482" s="21">
        <v>30</v>
      </c>
      <c r="AW482" s="21">
        <v>0</v>
      </c>
      <c r="AX482" s="21">
        <v>0</v>
      </c>
      <c r="AY482" s="8">
        <v>0</v>
      </c>
    </row>
    <row r="483" spans="1:51" ht="15" customHeight="1" x14ac:dyDescent="0.25">
      <c r="A483" s="9">
        <v>742</v>
      </c>
      <c r="B483" s="13">
        <v>45733</v>
      </c>
      <c r="C483" s="9" t="s">
        <v>169</v>
      </c>
      <c r="D483" s="9">
        <v>9518606284</v>
      </c>
      <c r="E483" s="8">
        <v>16</v>
      </c>
      <c r="F483" s="9" t="s">
        <v>714</v>
      </c>
      <c r="G483" s="79" t="s">
        <v>1303</v>
      </c>
      <c r="H483" s="9" t="s">
        <v>57</v>
      </c>
      <c r="I483" s="9" t="s">
        <v>25</v>
      </c>
      <c r="J483" s="9" t="s">
        <v>31</v>
      </c>
      <c r="K483" s="9" t="s">
        <v>170</v>
      </c>
      <c r="L483" s="39"/>
      <c r="M483" s="7" t="s">
        <v>1</v>
      </c>
      <c r="N483" s="8"/>
      <c r="O483" s="40"/>
      <c r="P483" s="15"/>
      <c r="Q483" s="9" t="s">
        <v>214</v>
      </c>
      <c r="R483" s="9" t="s">
        <v>215</v>
      </c>
      <c r="S483" s="9"/>
      <c r="T483" s="9">
        <v>946077</v>
      </c>
      <c r="U483" s="16" t="s">
        <v>83</v>
      </c>
      <c r="V483" s="9">
        <v>3410102</v>
      </c>
      <c r="W483" s="8" t="s">
        <v>445</v>
      </c>
      <c r="X483" s="8" t="s">
        <v>265</v>
      </c>
      <c r="Y483" s="8" t="s">
        <v>175</v>
      </c>
      <c r="Z483" s="8">
        <v>0</v>
      </c>
      <c r="AA483" s="8">
        <v>0</v>
      </c>
      <c r="AB483" s="8"/>
      <c r="AC483" s="8" t="s">
        <v>210</v>
      </c>
      <c r="AD483" s="14" t="s">
        <v>218</v>
      </c>
      <c r="AE483" s="8" t="s">
        <v>250</v>
      </c>
      <c r="AF483" s="14">
        <v>0.95</v>
      </c>
      <c r="AG483" s="8">
        <v>1000</v>
      </c>
      <c r="AH483" s="8">
        <v>2500</v>
      </c>
      <c r="AI483" s="8">
        <v>21</v>
      </c>
      <c r="AJ483" s="8">
        <v>0</v>
      </c>
      <c r="AK483" s="127">
        <v>21</v>
      </c>
      <c r="AL483" s="103">
        <v>0</v>
      </c>
      <c r="AM483" s="8">
        <v>21</v>
      </c>
      <c r="AN483" s="21">
        <v>0</v>
      </c>
      <c r="AO483" s="21">
        <v>21</v>
      </c>
      <c r="AP483" s="21">
        <v>0</v>
      </c>
      <c r="AQ483" s="21">
        <v>0</v>
      </c>
      <c r="AR483" s="21">
        <v>0</v>
      </c>
      <c r="AS483" s="8">
        <v>21</v>
      </c>
      <c r="AT483" s="21">
        <v>0</v>
      </c>
      <c r="AU483" s="21">
        <v>21</v>
      </c>
      <c r="AV483" s="21">
        <v>0</v>
      </c>
      <c r="AW483" s="21">
        <v>0</v>
      </c>
      <c r="AX483" s="21">
        <v>0</v>
      </c>
      <c r="AY483" s="8">
        <v>0</v>
      </c>
    </row>
    <row r="484" spans="1:51" ht="15" customHeight="1" x14ac:dyDescent="0.25">
      <c r="A484" s="9">
        <v>742</v>
      </c>
      <c r="B484" s="13">
        <v>45733</v>
      </c>
      <c r="C484" s="9" t="s">
        <v>169</v>
      </c>
      <c r="D484" s="9">
        <v>9518606284</v>
      </c>
      <c r="E484" s="8">
        <v>20</v>
      </c>
      <c r="F484" s="9" t="s">
        <v>731</v>
      </c>
      <c r="G484" s="79" t="s">
        <v>1303</v>
      </c>
      <c r="H484" s="9" t="s">
        <v>57</v>
      </c>
      <c r="I484" s="9" t="s">
        <v>25</v>
      </c>
      <c r="J484" s="9" t="s">
        <v>31</v>
      </c>
      <c r="K484" s="9" t="s">
        <v>170</v>
      </c>
      <c r="L484" s="39"/>
      <c r="M484" s="7" t="s">
        <v>1</v>
      </c>
      <c r="N484" s="8"/>
      <c r="O484" s="40"/>
      <c r="P484" s="15"/>
      <c r="Q484" s="9" t="s">
        <v>214</v>
      </c>
      <c r="R484" s="9" t="s">
        <v>215</v>
      </c>
      <c r="S484" s="9"/>
      <c r="T484" s="9">
        <v>946077</v>
      </c>
      <c r="U484" s="16" t="s">
        <v>83</v>
      </c>
      <c r="V484" s="9">
        <v>3240839</v>
      </c>
      <c r="W484" s="8" t="s">
        <v>732</v>
      </c>
      <c r="X484" s="8" t="s">
        <v>265</v>
      </c>
      <c r="Y484" s="8" t="s">
        <v>175</v>
      </c>
      <c r="Z484" s="8">
        <v>0</v>
      </c>
      <c r="AA484" s="8">
        <v>0</v>
      </c>
      <c r="AB484" s="8"/>
      <c r="AC484" s="8" t="s">
        <v>210</v>
      </c>
      <c r="AD484" s="14" t="s">
        <v>218</v>
      </c>
      <c r="AE484" s="8" t="s">
        <v>250</v>
      </c>
      <c r="AF484" s="14">
        <v>1.2</v>
      </c>
      <c r="AG484" s="8">
        <v>1000</v>
      </c>
      <c r="AH484" s="8">
        <v>2500</v>
      </c>
      <c r="AI484" s="8">
        <v>21</v>
      </c>
      <c r="AJ484" s="8">
        <v>0</v>
      </c>
      <c r="AK484" s="127">
        <v>21</v>
      </c>
      <c r="AL484" s="103">
        <v>0</v>
      </c>
      <c r="AM484" s="8">
        <v>21</v>
      </c>
      <c r="AN484" s="21">
        <v>0</v>
      </c>
      <c r="AO484" s="21">
        <v>0</v>
      </c>
      <c r="AP484" s="21">
        <v>0</v>
      </c>
      <c r="AQ484" s="21">
        <v>21</v>
      </c>
      <c r="AR484" s="21">
        <v>0</v>
      </c>
      <c r="AS484" s="8">
        <v>21</v>
      </c>
      <c r="AT484" s="21">
        <v>0</v>
      </c>
      <c r="AU484" s="21">
        <v>0</v>
      </c>
      <c r="AV484" s="21">
        <v>0</v>
      </c>
      <c r="AW484" s="21">
        <v>21</v>
      </c>
      <c r="AX484" s="21">
        <v>0</v>
      </c>
      <c r="AY484" s="8">
        <v>0</v>
      </c>
    </row>
    <row r="485" spans="1:51" ht="15" customHeight="1" x14ac:dyDescent="0.25">
      <c r="A485" s="9">
        <v>742</v>
      </c>
      <c r="B485" s="13">
        <v>45733</v>
      </c>
      <c r="C485" s="9" t="s">
        <v>169</v>
      </c>
      <c r="D485" s="9">
        <v>9518606284</v>
      </c>
      <c r="E485" s="8">
        <v>6</v>
      </c>
      <c r="F485" s="9" t="s">
        <v>733</v>
      </c>
      <c r="G485" s="79" t="s">
        <v>1303</v>
      </c>
      <c r="H485" s="9" t="s">
        <v>57</v>
      </c>
      <c r="I485" s="9" t="s">
        <v>25</v>
      </c>
      <c r="J485" s="9" t="s">
        <v>31</v>
      </c>
      <c r="K485" s="9" t="s">
        <v>170</v>
      </c>
      <c r="L485" s="39"/>
      <c r="M485" s="7" t="s">
        <v>1</v>
      </c>
      <c r="N485" s="8"/>
      <c r="O485" s="40"/>
      <c r="P485" s="15"/>
      <c r="Q485" s="9" t="s">
        <v>214</v>
      </c>
      <c r="R485" s="9" t="s">
        <v>215</v>
      </c>
      <c r="S485" s="9"/>
      <c r="T485" s="9">
        <v>946077</v>
      </c>
      <c r="U485" s="16" t="s">
        <v>83</v>
      </c>
      <c r="V485" s="9">
        <v>3239566</v>
      </c>
      <c r="W485" s="8" t="s">
        <v>546</v>
      </c>
      <c r="X485" s="8" t="s">
        <v>265</v>
      </c>
      <c r="Y485" s="8" t="s">
        <v>175</v>
      </c>
      <c r="Z485" s="8">
        <v>0</v>
      </c>
      <c r="AA485" s="8">
        <v>0</v>
      </c>
      <c r="AB485" s="8"/>
      <c r="AC485" s="8" t="s">
        <v>210</v>
      </c>
      <c r="AD485" s="14" t="s">
        <v>211</v>
      </c>
      <c r="AE485" s="8" t="s">
        <v>212</v>
      </c>
      <c r="AF485" s="14">
        <v>0.45</v>
      </c>
      <c r="AG485" s="8">
        <v>1000</v>
      </c>
      <c r="AH485" s="8">
        <v>2440</v>
      </c>
      <c r="AI485" s="8">
        <v>42</v>
      </c>
      <c r="AJ485" s="8">
        <v>0</v>
      </c>
      <c r="AK485" s="127">
        <v>42</v>
      </c>
      <c r="AL485" s="103">
        <v>0</v>
      </c>
      <c r="AM485" s="8">
        <v>42</v>
      </c>
      <c r="AN485" s="21">
        <v>0</v>
      </c>
      <c r="AO485" s="21">
        <v>42</v>
      </c>
      <c r="AP485" s="21">
        <v>0</v>
      </c>
      <c r="AQ485" s="21">
        <v>0</v>
      </c>
      <c r="AR485" s="21">
        <v>0</v>
      </c>
      <c r="AS485" s="8">
        <v>42</v>
      </c>
      <c r="AT485" s="21">
        <v>0</v>
      </c>
      <c r="AU485" s="21">
        <v>42</v>
      </c>
      <c r="AV485" s="21">
        <v>0</v>
      </c>
      <c r="AW485" s="21">
        <v>0</v>
      </c>
      <c r="AX485" s="21">
        <v>0</v>
      </c>
      <c r="AY485" s="8">
        <v>0</v>
      </c>
    </row>
    <row r="486" spans="1:51" ht="15" customHeight="1" x14ac:dyDescent="0.25">
      <c r="A486" s="9">
        <v>744</v>
      </c>
      <c r="B486" s="13">
        <v>45738</v>
      </c>
      <c r="C486" s="9" t="s">
        <v>169</v>
      </c>
      <c r="D486" s="9">
        <v>9518624252</v>
      </c>
      <c r="E486" s="8">
        <v>17</v>
      </c>
      <c r="F486" s="9" t="s">
        <v>1084</v>
      </c>
      <c r="G486" s="79" t="s">
        <v>1303</v>
      </c>
      <c r="H486" s="9" t="s">
        <v>57</v>
      </c>
      <c r="I486" s="9" t="s">
        <v>48</v>
      </c>
      <c r="J486" s="9" t="s">
        <v>39</v>
      </c>
      <c r="K486" s="9" t="s">
        <v>233</v>
      </c>
      <c r="L486" s="39"/>
      <c r="M486" s="7" t="s">
        <v>1</v>
      </c>
      <c r="N486" s="8"/>
      <c r="O486" s="40"/>
      <c r="P486" s="15"/>
      <c r="Q486" s="9" t="s">
        <v>264</v>
      </c>
      <c r="R486" s="9" t="s">
        <v>265</v>
      </c>
      <c r="S486" s="9"/>
      <c r="T486" s="9">
        <v>941597</v>
      </c>
      <c r="U486" s="16" t="s">
        <v>106</v>
      </c>
      <c r="V486" s="9">
        <v>3902332</v>
      </c>
      <c r="W486" s="8" t="s">
        <v>353</v>
      </c>
      <c r="X486" s="8" t="s">
        <v>317</v>
      </c>
      <c r="Y486" s="8" t="s">
        <v>413</v>
      </c>
      <c r="Z486" s="8">
        <v>3</v>
      </c>
      <c r="AA486" s="8">
        <v>5</v>
      </c>
      <c r="AB486" s="8"/>
      <c r="AC486" s="8" t="s">
        <v>228</v>
      </c>
      <c r="AD486" s="14" t="s">
        <v>229</v>
      </c>
      <c r="AE486" s="8" t="s">
        <v>354</v>
      </c>
      <c r="AF486" s="14">
        <v>0.5</v>
      </c>
      <c r="AG486" s="8">
        <v>1220</v>
      </c>
      <c r="AH486" s="8">
        <v>0</v>
      </c>
      <c r="AI486" s="8">
        <v>28</v>
      </c>
      <c r="AJ486" s="8">
        <v>0</v>
      </c>
      <c r="AK486" s="127">
        <v>28</v>
      </c>
      <c r="AL486" s="103">
        <v>0</v>
      </c>
      <c r="AM486" s="8">
        <v>0</v>
      </c>
      <c r="AN486" s="21">
        <v>0</v>
      </c>
      <c r="AO486" s="21">
        <v>0</v>
      </c>
      <c r="AP486" s="21">
        <v>0</v>
      </c>
      <c r="AQ486" s="21">
        <v>0</v>
      </c>
      <c r="AR486" s="21">
        <v>0</v>
      </c>
      <c r="AS486" s="8">
        <v>0</v>
      </c>
      <c r="AT486" s="21">
        <v>0</v>
      </c>
      <c r="AU486" s="21">
        <v>0</v>
      </c>
      <c r="AV486" s="21">
        <v>0</v>
      </c>
      <c r="AW486" s="21">
        <v>0</v>
      </c>
      <c r="AX486" s="21">
        <v>0</v>
      </c>
      <c r="AY486" s="8">
        <v>0</v>
      </c>
    </row>
    <row r="487" spans="1:51" ht="15" customHeight="1" x14ac:dyDescent="0.25">
      <c r="A487" s="9">
        <v>744</v>
      </c>
      <c r="B487" s="13">
        <v>45738</v>
      </c>
      <c r="C487" s="9" t="s">
        <v>169</v>
      </c>
      <c r="D487" s="9">
        <v>9518624252</v>
      </c>
      <c r="E487" s="8">
        <v>18</v>
      </c>
      <c r="F487" s="9" t="s">
        <v>1085</v>
      </c>
      <c r="G487" s="79" t="s">
        <v>1303</v>
      </c>
      <c r="H487" s="9" t="s">
        <v>57</v>
      </c>
      <c r="I487" s="9" t="s">
        <v>48</v>
      </c>
      <c r="J487" s="9" t="s">
        <v>39</v>
      </c>
      <c r="K487" s="9" t="s">
        <v>233</v>
      </c>
      <c r="L487" s="39"/>
      <c r="M487" s="7" t="s">
        <v>1</v>
      </c>
      <c r="N487" s="8"/>
      <c r="O487" s="40"/>
      <c r="P487" s="15"/>
      <c r="Q487" s="9" t="s">
        <v>264</v>
      </c>
      <c r="R487" s="9" t="s">
        <v>265</v>
      </c>
      <c r="S487" s="9"/>
      <c r="T487" s="9">
        <v>941597</v>
      </c>
      <c r="U487" s="16" t="s">
        <v>106</v>
      </c>
      <c r="V487" s="9">
        <v>3902332</v>
      </c>
      <c r="W487" s="8" t="s">
        <v>353</v>
      </c>
      <c r="X487" s="8" t="s">
        <v>317</v>
      </c>
      <c r="Y487" s="8" t="s">
        <v>673</v>
      </c>
      <c r="Z487" s="8">
        <v>3</v>
      </c>
      <c r="AA487" s="8">
        <v>5</v>
      </c>
      <c r="AB487" s="8"/>
      <c r="AC487" s="8" t="s">
        <v>228</v>
      </c>
      <c r="AD487" s="14" t="s">
        <v>229</v>
      </c>
      <c r="AE487" s="8" t="s">
        <v>354</v>
      </c>
      <c r="AF487" s="14">
        <v>0.5</v>
      </c>
      <c r="AG487" s="8">
        <v>1220</v>
      </c>
      <c r="AH487" s="8">
        <v>0</v>
      </c>
      <c r="AI487" s="8">
        <v>28</v>
      </c>
      <c r="AJ487" s="8">
        <v>0</v>
      </c>
      <c r="AK487" s="127">
        <v>28</v>
      </c>
      <c r="AL487" s="103">
        <v>0</v>
      </c>
      <c r="AM487" s="8">
        <v>0</v>
      </c>
      <c r="AN487" s="21">
        <v>0</v>
      </c>
      <c r="AO487" s="21">
        <v>0</v>
      </c>
      <c r="AP487" s="21">
        <v>0</v>
      </c>
      <c r="AQ487" s="21">
        <v>0</v>
      </c>
      <c r="AR487" s="21">
        <v>0</v>
      </c>
      <c r="AS487" s="8">
        <v>0</v>
      </c>
      <c r="AT487" s="21">
        <v>0</v>
      </c>
      <c r="AU487" s="21">
        <v>0</v>
      </c>
      <c r="AV487" s="21">
        <v>0</v>
      </c>
      <c r="AW487" s="21">
        <v>0</v>
      </c>
      <c r="AX487" s="21">
        <v>0</v>
      </c>
      <c r="AY487" s="8">
        <v>0</v>
      </c>
    </row>
    <row r="488" spans="1:51" ht="15" customHeight="1" x14ac:dyDescent="0.25">
      <c r="A488" s="9">
        <v>744</v>
      </c>
      <c r="B488" s="13">
        <v>45738</v>
      </c>
      <c r="C488" s="9" t="s">
        <v>169</v>
      </c>
      <c r="D488" s="9">
        <v>9518624252</v>
      </c>
      <c r="E488" s="8">
        <v>22</v>
      </c>
      <c r="F488" s="9" t="s">
        <v>1086</v>
      </c>
      <c r="G488" s="79" t="s">
        <v>1303</v>
      </c>
      <c r="H488" s="9" t="s">
        <v>57</v>
      </c>
      <c r="I488" s="9" t="s">
        <v>48</v>
      </c>
      <c r="J488" s="9" t="s">
        <v>39</v>
      </c>
      <c r="K488" s="9" t="s">
        <v>233</v>
      </c>
      <c r="L488" s="39"/>
      <c r="M488" s="7" t="s">
        <v>1</v>
      </c>
      <c r="N488" s="8"/>
      <c r="O488" s="40"/>
      <c r="P488" s="15"/>
      <c r="Q488" s="9" t="s">
        <v>264</v>
      </c>
      <c r="R488" s="9" t="s">
        <v>265</v>
      </c>
      <c r="S488" s="9"/>
      <c r="T488" s="9">
        <v>941597</v>
      </c>
      <c r="U488" s="16" t="s">
        <v>106</v>
      </c>
      <c r="V488" s="9">
        <v>3902332</v>
      </c>
      <c r="W488" s="8" t="s">
        <v>353</v>
      </c>
      <c r="X488" s="8" t="s">
        <v>317</v>
      </c>
      <c r="Y488" s="8" t="s">
        <v>673</v>
      </c>
      <c r="Z488" s="8">
        <v>3</v>
      </c>
      <c r="AA488" s="8">
        <v>5</v>
      </c>
      <c r="AB488" s="8"/>
      <c r="AC488" s="8" t="s">
        <v>228</v>
      </c>
      <c r="AD488" s="14" t="s">
        <v>229</v>
      </c>
      <c r="AE488" s="8" t="s">
        <v>354</v>
      </c>
      <c r="AF488" s="14">
        <v>0.5</v>
      </c>
      <c r="AG488" s="8">
        <v>1220</v>
      </c>
      <c r="AH488" s="8">
        <v>0</v>
      </c>
      <c r="AI488" s="8">
        <v>28</v>
      </c>
      <c r="AJ488" s="8">
        <v>0</v>
      </c>
      <c r="AK488" s="127">
        <v>28</v>
      </c>
      <c r="AL488" s="103">
        <v>0</v>
      </c>
      <c r="AM488" s="8">
        <v>0</v>
      </c>
      <c r="AN488" s="21">
        <v>0</v>
      </c>
      <c r="AO488" s="21">
        <v>0</v>
      </c>
      <c r="AP488" s="21">
        <v>0</v>
      </c>
      <c r="AQ488" s="21">
        <v>0</v>
      </c>
      <c r="AR488" s="21">
        <v>0</v>
      </c>
      <c r="AS488" s="8">
        <v>0</v>
      </c>
      <c r="AT488" s="21">
        <v>0</v>
      </c>
      <c r="AU488" s="21">
        <v>0</v>
      </c>
      <c r="AV488" s="21">
        <v>0</v>
      </c>
      <c r="AW488" s="21">
        <v>0</v>
      </c>
      <c r="AX488" s="21">
        <v>0</v>
      </c>
      <c r="AY488" s="8">
        <v>0</v>
      </c>
    </row>
    <row r="489" spans="1:51" ht="15" customHeight="1" x14ac:dyDescent="0.25">
      <c r="A489" s="9">
        <v>744</v>
      </c>
      <c r="B489" s="13">
        <v>45736</v>
      </c>
      <c r="C489" s="9" t="s">
        <v>169</v>
      </c>
      <c r="D489" s="9">
        <v>9518617046</v>
      </c>
      <c r="E489" s="8">
        <v>10</v>
      </c>
      <c r="F489" s="9" t="s">
        <v>1087</v>
      </c>
      <c r="G489" s="79" t="s">
        <v>1303</v>
      </c>
      <c r="H489" s="9" t="s">
        <v>57</v>
      </c>
      <c r="I489" s="9" t="s">
        <v>48</v>
      </c>
      <c r="J489" s="9" t="s">
        <v>39</v>
      </c>
      <c r="K489" s="9" t="s">
        <v>233</v>
      </c>
      <c r="L489" s="39"/>
      <c r="M489" s="7" t="s">
        <v>1</v>
      </c>
      <c r="N489" s="8"/>
      <c r="O489" s="40"/>
      <c r="P489" s="15"/>
      <c r="Q489" s="9" t="s">
        <v>264</v>
      </c>
      <c r="R489" s="9" t="s">
        <v>265</v>
      </c>
      <c r="S489" s="9"/>
      <c r="T489" s="9">
        <v>941597</v>
      </c>
      <c r="U489" s="16" t="s">
        <v>106</v>
      </c>
      <c r="V489" s="9">
        <v>3902332</v>
      </c>
      <c r="W489" s="8" t="s">
        <v>353</v>
      </c>
      <c r="X489" s="8" t="s">
        <v>317</v>
      </c>
      <c r="Y489" s="8" t="s">
        <v>1185</v>
      </c>
      <c r="Z489" s="8">
        <v>3</v>
      </c>
      <c r="AA489" s="8">
        <v>5</v>
      </c>
      <c r="AB489" s="8"/>
      <c r="AC489" s="8" t="s">
        <v>228</v>
      </c>
      <c r="AD489" s="14" t="s">
        <v>229</v>
      </c>
      <c r="AE489" s="8" t="s">
        <v>354</v>
      </c>
      <c r="AF489" s="14">
        <v>0.5</v>
      </c>
      <c r="AG489" s="8">
        <v>1220</v>
      </c>
      <c r="AH489" s="8">
        <v>0</v>
      </c>
      <c r="AI489" s="8">
        <v>28</v>
      </c>
      <c r="AJ489" s="8">
        <v>0</v>
      </c>
      <c r="AK489" s="127">
        <v>28</v>
      </c>
      <c r="AL489" s="103">
        <v>0</v>
      </c>
      <c r="AM489" s="8">
        <v>28</v>
      </c>
      <c r="AN489" s="21">
        <v>0</v>
      </c>
      <c r="AO489" s="21">
        <v>0</v>
      </c>
      <c r="AP489" s="21">
        <v>0</v>
      </c>
      <c r="AQ489" s="21">
        <v>28</v>
      </c>
      <c r="AR489" s="21">
        <v>0</v>
      </c>
      <c r="AS489" s="8">
        <v>28</v>
      </c>
      <c r="AT489" s="21">
        <v>0</v>
      </c>
      <c r="AU489" s="21">
        <v>0</v>
      </c>
      <c r="AV489" s="21">
        <v>0</v>
      </c>
      <c r="AW489" s="21">
        <v>28</v>
      </c>
      <c r="AX489" s="21">
        <v>0</v>
      </c>
      <c r="AY489" s="8">
        <v>0</v>
      </c>
    </row>
    <row r="490" spans="1:51" ht="15" customHeight="1" x14ac:dyDescent="0.25">
      <c r="A490" s="9">
        <v>744</v>
      </c>
      <c r="B490" s="13">
        <v>45736</v>
      </c>
      <c r="C490" s="9" t="s">
        <v>169</v>
      </c>
      <c r="D490" s="9">
        <v>9518617046</v>
      </c>
      <c r="E490" s="8">
        <v>11</v>
      </c>
      <c r="F490" s="9" t="s">
        <v>1088</v>
      </c>
      <c r="G490" s="79" t="s">
        <v>1303</v>
      </c>
      <c r="H490" s="9" t="s">
        <v>57</v>
      </c>
      <c r="I490" s="9" t="s">
        <v>48</v>
      </c>
      <c r="J490" s="9" t="s">
        <v>39</v>
      </c>
      <c r="K490" s="9" t="s">
        <v>233</v>
      </c>
      <c r="L490" s="39"/>
      <c r="M490" s="7" t="s">
        <v>1</v>
      </c>
      <c r="N490" s="8"/>
      <c r="O490" s="40"/>
      <c r="P490" s="15"/>
      <c r="Q490" s="9" t="s">
        <v>264</v>
      </c>
      <c r="R490" s="9" t="s">
        <v>265</v>
      </c>
      <c r="S490" s="9"/>
      <c r="T490" s="9">
        <v>941597</v>
      </c>
      <c r="U490" s="16" t="s">
        <v>106</v>
      </c>
      <c r="V490" s="9">
        <v>3902332</v>
      </c>
      <c r="W490" s="8" t="s">
        <v>353</v>
      </c>
      <c r="X490" s="8" t="s">
        <v>317</v>
      </c>
      <c r="Y490" s="8" t="s">
        <v>1186</v>
      </c>
      <c r="Z490" s="8">
        <v>3</v>
      </c>
      <c r="AA490" s="8">
        <v>5</v>
      </c>
      <c r="AB490" s="8"/>
      <c r="AC490" s="8" t="s">
        <v>228</v>
      </c>
      <c r="AD490" s="14" t="s">
        <v>229</v>
      </c>
      <c r="AE490" s="8" t="s">
        <v>354</v>
      </c>
      <c r="AF490" s="14">
        <v>0.5</v>
      </c>
      <c r="AG490" s="8">
        <v>1220</v>
      </c>
      <c r="AH490" s="8">
        <v>0</v>
      </c>
      <c r="AI490" s="8">
        <v>28</v>
      </c>
      <c r="AJ490" s="8">
        <v>0</v>
      </c>
      <c r="AK490" s="127">
        <v>28</v>
      </c>
      <c r="AL490" s="103">
        <v>0</v>
      </c>
      <c r="AM490" s="8">
        <v>28</v>
      </c>
      <c r="AN490" s="21">
        <v>0</v>
      </c>
      <c r="AO490" s="21">
        <v>0</v>
      </c>
      <c r="AP490" s="21">
        <v>0</v>
      </c>
      <c r="AQ490" s="21">
        <v>28</v>
      </c>
      <c r="AR490" s="21">
        <v>0</v>
      </c>
      <c r="AS490" s="8">
        <v>28</v>
      </c>
      <c r="AT490" s="21">
        <v>0</v>
      </c>
      <c r="AU490" s="21">
        <v>0</v>
      </c>
      <c r="AV490" s="21">
        <v>0</v>
      </c>
      <c r="AW490" s="21">
        <v>28</v>
      </c>
      <c r="AX490" s="21">
        <v>0</v>
      </c>
      <c r="AY490" s="8">
        <v>0</v>
      </c>
    </row>
    <row r="491" spans="1:51" ht="15" customHeight="1" x14ac:dyDescent="0.25">
      <c r="A491" s="9">
        <v>744</v>
      </c>
      <c r="B491" s="13">
        <v>45742</v>
      </c>
      <c r="C491" s="9" t="s">
        <v>169</v>
      </c>
      <c r="D491" s="9">
        <v>9518637595</v>
      </c>
      <c r="E491" s="8">
        <v>6</v>
      </c>
      <c r="F491" s="9" t="s">
        <v>1089</v>
      </c>
      <c r="G491" s="79" t="s">
        <v>1303</v>
      </c>
      <c r="H491" s="9" t="s">
        <v>57</v>
      </c>
      <c r="I491" s="9" t="s">
        <v>48</v>
      </c>
      <c r="J491" s="9" t="s">
        <v>39</v>
      </c>
      <c r="K491" s="9" t="s">
        <v>233</v>
      </c>
      <c r="L491" s="39"/>
      <c r="M491" s="7" t="s">
        <v>1</v>
      </c>
      <c r="N491" s="8"/>
      <c r="O491" s="40"/>
      <c r="P491" s="15"/>
      <c r="Q491" s="9" t="s">
        <v>264</v>
      </c>
      <c r="R491" s="9" t="s">
        <v>265</v>
      </c>
      <c r="S491" s="9"/>
      <c r="T491" s="9">
        <v>941597</v>
      </c>
      <c r="U491" s="16" t="s">
        <v>106</v>
      </c>
      <c r="V491" s="9">
        <v>3941967</v>
      </c>
      <c r="W491" s="8" t="s">
        <v>810</v>
      </c>
      <c r="X491" s="8" t="s">
        <v>317</v>
      </c>
      <c r="Y491" s="8" t="s">
        <v>1187</v>
      </c>
      <c r="Z491" s="8">
        <v>3</v>
      </c>
      <c r="AA491" s="8">
        <v>5</v>
      </c>
      <c r="AB491" s="8"/>
      <c r="AC491" s="8" t="s">
        <v>228</v>
      </c>
      <c r="AD491" s="14" t="s">
        <v>229</v>
      </c>
      <c r="AE491" s="8" t="s">
        <v>354</v>
      </c>
      <c r="AF491" s="14">
        <v>0.6</v>
      </c>
      <c r="AG491" s="8">
        <v>1220</v>
      </c>
      <c r="AH491" s="8">
        <v>0</v>
      </c>
      <c r="AI491" s="8">
        <v>28</v>
      </c>
      <c r="AJ491" s="8">
        <v>0</v>
      </c>
      <c r="AK491" s="127">
        <v>28</v>
      </c>
      <c r="AL491" s="103">
        <v>0</v>
      </c>
      <c r="AM491" s="8">
        <v>28</v>
      </c>
      <c r="AN491" s="21">
        <v>0</v>
      </c>
      <c r="AO491" s="21">
        <v>0</v>
      </c>
      <c r="AP491" s="21">
        <v>0</v>
      </c>
      <c r="AQ491" s="21">
        <v>28</v>
      </c>
      <c r="AR491" s="21">
        <v>0</v>
      </c>
      <c r="AS491" s="8">
        <v>28</v>
      </c>
      <c r="AT491" s="21">
        <v>0</v>
      </c>
      <c r="AU491" s="21">
        <v>0</v>
      </c>
      <c r="AV491" s="21">
        <v>0</v>
      </c>
      <c r="AW491" s="21">
        <v>28</v>
      </c>
      <c r="AX491" s="21">
        <v>0</v>
      </c>
      <c r="AY491" s="8">
        <v>0</v>
      </c>
    </row>
    <row r="492" spans="1:51" ht="15" customHeight="1" x14ac:dyDescent="0.25">
      <c r="A492" s="9">
        <v>742</v>
      </c>
      <c r="B492" s="13">
        <v>45733</v>
      </c>
      <c r="C492" s="9" t="s">
        <v>169</v>
      </c>
      <c r="D492" s="9">
        <v>9518606284</v>
      </c>
      <c r="E492" s="8">
        <v>14</v>
      </c>
      <c r="F492" s="9" t="s">
        <v>1090</v>
      </c>
      <c r="G492" s="9" t="s">
        <v>1303</v>
      </c>
      <c r="H492" s="9" t="s">
        <v>57</v>
      </c>
      <c r="I492" s="9" t="s">
        <v>25</v>
      </c>
      <c r="J492" s="9" t="s">
        <v>30</v>
      </c>
      <c r="K492" s="9" t="s">
        <v>170</v>
      </c>
      <c r="L492" s="39"/>
      <c r="M492" s="7" t="s">
        <v>1</v>
      </c>
      <c r="N492" s="8"/>
      <c r="O492" s="40"/>
      <c r="P492" s="15"/>
      <c r="Q492" s="9" t="s">
        <v>214</v>
      </c>
      <c r="R492" s="9" t="s">
        <v>215</v>
      </c>
      <c r="S492" s="9"/>
      <c r="T492" s="9">
        <v>946077</v>
      </c>
      <c r="U492" s="16" t="s">
        <v>83</v>
      </c>
      <c r="V492" s="9">
        <v>353957</v>
      </c>
      <c r="W492" s="8" t="s">
        <v>508</v>
      </c>
      <c r="X492" s="8" t="s">
        <v>265</v>
      </c>
      <c r="Y492" s="8" t="s">
        <v>175</v>
      </c>
      <c r="Z492" s="8">
        <v>0</v>
      </c>
      <c r="AA492" s="8">
        <v>0</v>
      </c>
      <c r="AB492" s="8"/>
      <c r="AC492" s="8" t="s">
        <v>210</v>
      </c>
      <c r="AD492" s="14" t="s">
        <v>191</v>
      </c>
      <c r="AE492" s="8" t="s">
        <v>192</v>
      </c>
      <c r="AF492" s="14">
        <v>0.8</v>
      </c>
      <c r="AG492" s="8">
        <v>1250</v>
      </c>
      <c r="AH492" s="8">
        <v>2500</v>
      </c>
      <c r="AI492" s="8">
        <v>30</v>
      </c>
      <c r="AJ492" s="8">
        <v>0</v>
      </c>
      <c r="AK492" s="127">
        <v>30</v>
      </c>
      <c r="AL492" s="103">
        <v>0</v>
      </c>
      <c r="AM492" s="8">
        <v>30</v>
      </c>
      <c r="AN492" s="21">
        <v>0</v>
      </c>
      <c r="AO492" s="21">
        <v>30</v>
      </c>
      <c r="AP492" s="21">
        <v>0</v>
      </c>
      <c r="AQ492" s="21">
        <v>0</v>
      </c>
      <c r="AR492" s="21">
        <v>0</v>
      </c>
      <c r="AS492" s="8">
        <v>30</v>
      </c>
      <c r="AT492" s="21">
        <v>0</v>
      </c>
      <c r="AU492" s="21">
        <v>30</v>
      </c>
      <c r="AV492" s="21">
        <v>0</v>
      </c>
      <c r="AW492" s="21">
        <v>0</v>
      </c>
      <c r="AX492" s="21">
        <v>0</v>
      </c>
      <c r="AY492" s="8">
        <v>0</v>
      </c>
    </row>
    <row r="493" spans="1:51" ht="15" customHeight="1" x14ac:dyDescent="0.25">
      <c r="A493" s="9">
        <v>742</v>
      </c>
      <c r="B493" s="13">
        <v>45733</v>
      </c>
      <c r="C493" s="9" t="s">
        <v>169</v>
      </c>
      <c r="D493" s="9">
        <v>9518606284</v>
      </c>
      <c r="E493" s="8">
        <v>17</v>
      </c>
      <c r="F493" s="9" t="s">
        <v>1091</v>
      </c>
      <c r="G493" s="79" t="s">
        <v>1303</v>
      </c>
      <c r="H493" s="9" t="s">
        <v>57</v>
      </c>
      <c r="I493" s="9" t="s">
        <v>25</v>
      </c>
      <c r="J493" s="9" t="s">
        <v>30</v>
      </c>
      <c r="K493" s="9" t="s">
        <v>170</v>
      </c>
      <c r="L493" s="39"/>
      <c r="M493" s="7" t="s">
        <v>1</v>
      </c>
      <c r="N493" s="8"/>
      <c r="O493" s="40"/>
      <c r="P493" s="15"/>
      <c r="Q493" s="9" t="s">
        <v>214</v>
      </c>
      <c r="R493" s="9" t="s">
        <v>215</v>
      </c>
      <c r="S493" s="9"/>
      <c r="T493" s="9">
        <v>946077</v>
      </c>
      <c r="U493" s="16" t="s">
        <v>83</v>
      </c>
      <c r="V493" s="9">
        <v>1406015</v>
      </c>
      <c r="W493" s="8" t="s">
        <v>464</v>
      </c>
      <c r="X493" s="8" t="s">
        <v>265</v>
      </c>
      <c r="Y493" s="8" t="s">
        <v>175</v>
      </c>
      <c r="Z493" s="8">
        <v>0</v>
      </c>
      <c r="AA493" s="8">
        <v>0</v>
      </c>
      <c r="AB493" s="8"/>
      <c r="AC493" s="8" t="s">
        <v>210</v>
      </c>
      <c r="AD493" s="14" t="s">
        <v>191</v>
      </c>
      <c r="AE493" s="8" t="s">
        <v>192</v>
      </c>
      <c r="AF493" s="14">
        <v>0.95</v>
      </c>
      <c r="AG493" s="8">
        <v>1250</v>
      </c>
      <c r="AH493" s="8">
        <v>2500</v>
      </c>
      <c r="AI493" s="8">
        <v>30</v>
      </c>
      <c r="AJ493" s="8">
        <v>0</v>
      </c>
      <c r="AK493" s="127">
        <v>30</v>
      </c>
      <c r="AL493" s="103">
        <v>0</v>
      </c>
      <c r="AM493" s="8">
        <v>30</v>
      </c>
      <c r="AN493" s="21">
        <v>0</v>
      </c>
      <c r="AO493" s="21">
        <v>0</v>
      </c>
      <c r="AP493" s="21">
        <v>0</v>
      </c>
      <c r="AQ493" s="21">
        <v>30</v>
      </c>
      <c r="AR493" s="21">
        <v>0</v>
      </c>
      <c r="AS493" s="8">
        <v>30</v>
      </c>
      <c r="AT493" s="21">
        <v>0</v>
      </c>
      <c r="AU493" s="21">
        <v>0</v>
      </c>
      <c r="AV493" s="21">
        <v>0</v>
      </c>
      <c r="AW493" s="21">
        <v>30</v>
      </c>
      <c r="AX493" s="21">
        <v>0</v>
      </c>
      <c r="AY493" s="8">
        <v>0</v>
      </c>
    </row>
    <row r="494" spans="1:51" ht="15" customHeight="1" x14ac:dyDescent="0.25">
      <c r="A494" s="9">
        <v>742</v>
      </c>
      <c r="B494" s="13">
        <v>45734</v>
      </c>
      <c r="C494" s="9" t="s">
        <v>169</v>
      </c>
      <c r="D494" s="9">
        <v>9518610997</v>
      </c>
      <c r="E494" s="8">
        <v>1</v>
      </c>
      <c r="F494" s="9" t="s">
        <v>1092</v>
      </c>
      <c r="G494" s="79" t="s">
        <v>1303</v>
      </c>
      <c r="H494" s="9" t="s">
        <v>57</v>
      </c>
      <c r="I494" s="9" t="s">
        <v>25</v>
      </c>
      <c r="J494" s="9" t="s">
        <v>30</v>
      </c>
      <c r="K494" s="9" t="s">
        <v>170</v>
      </c>
      <c r="L494" s="39"/>
      <c r="M494" s="7" t="s">
        <v>1</v>
      </c>
      <c r="N494" s="8"/>
      <c r="O494" s="40"/>
      <c r="P494" s="15"/>
      <c r="Q494" s="9" t="s">
        <v>214</v>
      </c>
      <c r="R494" s="9" t="s">
        <v>322</v>
      </c>
      <c r="S494" s="9"/>
      <c r="T494" s="9">
        <v>939422</v>
      </c>
      <c r="U494" s="16" t="s">
        <v>88</v>
      </c>
      <c r="V494" s="9">
        <v>1804826</v>
      </c>
      <c r="W494" s="8" t="s">
        <v>338</v>
      </c>
      <c r="X494" s="8" t="s">
        <v>265</v>
      </c>
      <c r="Y494" s="8" t="s">
        <v>175</v>
      </c>
      <c r="Z494" s="8">
        <v>10</v>
      </c>
      <c r="AA494" s="8">
        <v>30</v>
      </c>
      <c r="AB494" s="8"/>
      <c r="AC494" s="8" t="s">
        <v>190</v>
      </c>
      <c r="AD494" s="14" t="s">
        <v>191</v>
      </c>
      <c r="AE494" s="8" t="s">
        <v>192</v>
      </c>
      <c r="AF494" s="14">
        <v>0.9</v>
      </c>
      <c r="AG494" s="8">
        <v>1250</v>
      </c>
      <c r="AH494" s="8">
        <v>0</v>
      </c>
      <c r="AI494" s="8">
        <v>58</v>
      </c>
      <c r="AJ494" s="8">
        <v>0</v>
      </c>
      <c r="AK494" s="127">
        <v>58</v>
      </c>
      <c r="AL494" s="103">
        <v>0</v>
      </c>
      <c r="AM494" s="8">
        <v>58</v>
      </c>
      <c r="AN494" s="21">
        <v>0</v>
      </c>
      <c r="AO494" s="21">
        <v>0</v>
      </c>
      <c r="AP494" s="21">
        <v>58</v>
      </c>
      <c r="AQ494" s="21">
        <v>0</v>
      </c>
      <c r="AR494" s="21">
        <v>0</v>
      </c>
      <c r="AS494" s="8">
        <v>58</v>
      </c>
      <c r="AT494" s="21">
        <v>0</v>
      </c>
      <c r="AU494" s="21">
        <v>0</v>
      </c>
      <c r="AV494" s="21">
        <v>58</v>
      </c>
      <c r="AW494" s="21">
        <v>0</v>
      </c>
      <c r="AX494" s="21">
        <v>0</v>
      </c>
      <c r="AY494" s="8">
        <v>0</v>
      </c>
    </row>
    <row r="495" spans="1:51" ht="15" customHeight="1" x14ac:dyDescent="0.25">
      <c r="A495" s="9">
        <v>742</v>
      </c>
      <c r="B495" s="13">
        <v>45744</v>
      </c>
      <c r="C495" s="9" t="s">
        <v>169</v>
      </c>
      <c r="D495" s="9">
        <v>9518649438</v>
      </c>
      <c r="E495" s="8">
        <v>11</v>
      </c>
      <c r="F495" s="9" t="s">
        <v>1093</v>
      </c>
      <c r="G495" s="79" t="s">
        <v>1303</v>
      </c>
      <c r="H495" s="9" t="s">
        <v>57</v>
      </c>
      <c r="I495" s="9" t="s">
        <v>25</v>
      </c>
      <c r="J495" s="9" t="s">
        <v>31</v>
      </c>
      <c r="K495" s="9" t="s">
        <v>170</v>
      </c>
      <c r="L495" s="39"/>
      <c r="M495" s="7" t="s">
        <v>1</v>
      </c>
      <c r="N495" s="8"/>
      <c r="O495" s="40"/>
      <c r="P495" s="15"/>
      <c r="Q495" s="9" t="s">
        <v>214</v>
      </c>
      <c r="R495" s="9" t="s">
        <v>246</v>
      </c>
      <c r="S495" s="9"/>
      <c r="T495" s="9">
        <v>116465</v>
      </c>
      <c r="U495" s="16" t="s">
        <v>98</v>
      </c>
      <c r="V495" s="9">
        <v>3239564</v>
      </c>
      <c r="W495" s="8" t="s">
        <v>377</v>
      </c>
      <c r="X495" s="8" t="s">
        <v>265</v>
      </c>
      <c r="Y495" s="8" t="s">
        <v>175</v>
      </c>
      <c r="Z495" s="8">
        <v>0</v>
      </c>
      <c r="AA495" s="8">
        <v>0</v>
      </c>
      <c r="AB495" s="8"/>
      <c r="AC495" s="8" t="s">
        <v>210</v>
      </c>
      <c r="AD495" s="14" t="s">
        <v>211</v>
      </c>
      <c r="AE495" s="8" t="s">
        <v>212</v>
      </c>
      <c r="AF495" s="14">
        <v>0.45</v>
      </c>
      <c r="AG495" s="8">
        <v>1000</v>
      </c>
      <c r="AH495" s="8">
        <v>1980</v>
      </c>
      <c r="AI495" s="8">
        <v>21</v>
      </c>
      <c r="AJ495" s="8">
        <v>0</v>
      </c>
      <c r="AK495" s="127">
        <v>21</v>
      </c>
      <c r="AL495" s="103">
        <v>0</v>
      </c>
      <c r="AM495" s="8">
        <v>21</v>
      </c>
      <c r="AN495" s="21">
        <v>0</v>
      </c>
      <c r="AO495" s="21">
        <v>21</v>
      </c>
      <c r="AP495" s="21">
        <v>0</v>
      </c>
      <c r="AQ495" s="21">
        <v>0</v>
      </c>
      <c r="AR495" s="21">
        <v>0</v>
      </c>
      <c r="AS495" s="8">
        <v>21</v>
      </c>
      <c r="AT495" s="21">
        <v>0</v>
      </c>
      <c r="AU495" s="21">
        <v>21</v>
      </c>
      <c r="AV495" s="21">
        <v>0</v>
      </c>
      <c r="AW495" s="21">
        <v>0</v>
      </c>
      <c r="AX495" s="21">
        <v>0</v>
      </c>
      <c r="AY495" s="8">
        <v>0</v>
      </c>
    </row>
    <row r="496" spans="1:51" ht="15" customHeight="1" x14ac:dyDescent="0.25">
      <c r="A496" s="9">
        <v>744</v>
      </c>
      <c r="B496" s="13">
        <v>45752</v>
      </c>
      <c r="C496" s="9" t="s">
        <v>169</v>
      </c>
      <c r="D496" s="9">
        <v>9518671154</v>
      </c>
      <c r="E496" s="8">
        <v>3</v>
      </c>
      <c r="F496" s="9" t="s">
        <v>1094</v>
      </c>
      <c r="G496" s="79" t="s">
        <v>1303</v>
      </c>
      <c r="H496" s="9" t="s">
        <v>57</v>
      </c>
      <c r="I496" s="9" t="s">
        <v>48</v>
      </c>
      <c r="J496" s="9" t="s">
        <v>39</v>
      </c>
      <c r="K496" s="9" t="s">
        <v>233</v>
      </c>
      <c r="L496" s="39"/>
      <c r="M496" s="7" t="s">
        <v>1</v>
      </c>
      <c r="N496" s="8"/>
      <c r="O496" s="40"/>
      <c r="P496" s="15"/>
      <c r="Q496" s="9" t="s">
        <v>264</v>
      </c>
      <c r="R496" s="9" t="s">
        <v>234</v>
      </c>
      <c r="S496" s="9"/>
      <c r="T496" s="9">
        <v>940008</v>
      </c>
      <c r="U496" s="16" t="s">
        <v>133</v>
      </c>
      <c r="V496" s="9">
        <v>3996225</v>
      </c>
      <c r="W496" s="8" t="s">
        <v>1146</v>
      </c>
      <c r="X496" s="8" t="s">
        <v>1174</v>
      </c>
      <c r="Y496" s="8" t="s">
        <v>1176</v>
      </c>
      <c r="Z496" s="8">
        <v>3</v>
      </c>
      <c r="AA496" s="8">
        <v>5</v>
      </c>
      <c r="AB496" s="8"/>
      <c r="AC496" s="8" t="s">
        <v>228</v>
      </c>
      <c r="AD496" s="14" t="s">
        <v>229</v>
      </c>
      <c r="AE496" s="8" t="s">
        <v>1170</v>
      </c>
      <c r="AF496" s="14">
        <v>0.4</v>
      </c>
      <c r="AG496" s="8">
        <v>1220</v>
      </c>
      <c r="AH496" s="8">
        <v>0</v>
      </c>
      <c r="AI496" s="8">
        <v>27.998999999999999</v>
      </c>
      <c r="AJ496" s="8">
        <v>0</v>
      </c>
      <c r="AK496" s="127">
        <v>27.998999999999999</v>
      </c>
      <c r="AL496" s="103">
        <v>0</v>
      </c>
      <c r="AM496" s="8">
        <v>27.998999999999999</v>
      </c>
      <c r="AN496" s="21">
        <v>0</v>
      </c>
      <c r="AO496" s="21">
        <v>27.998999999999999</v>
      </c>
      <c r="AP496" s="21">
        <v>0</v>
      </c>
      <c r="AQ496" s="21">
        <v>0</v>
      </c>
      <c r="AR496" s="21">
        <v>0</v>
      </c>
      <c r="AS496" s="8">
        <v>27.998999999999999</v>
      </c>
      <c r="AT496" s="21">
        <v>0</v>
      </c>
      <c r="AU496" s="21">
        <v>0</v>
      </c>
      <c r="AV496" s="21">
        <v>27.998999999999999</v>
      </c>
      <c r="AW496" s="21">
        <v>0</v>
      </c>
      <c r="AX496" s="21">
        <v>0</v>
      </c>
      <c r="AY496" s="8">
        <v>0</v>
      </c>
    </row>
    <row r="497" spans="1:51" ht="15" customHeight="1" x14ac:dyDescent="0.25">
      <c r="A497" s="9">
        <v>744</v>
      </c>
      <c r="B497" s="13">
        <v>45752</v>
      </c>
      <c r="C497" s="9" t="s">
        <v>169</v>
      </c>
      <c r="D497" s="9">
        <v>9518671154</v>
      </c>
      <c r="E497" s="8">
        <v>4</v>
      </c>
      <c r="F497" s="9" t="s">
        <v>1095</v>
      </c>
      <c r="G497" s="9" t="s">
        <v>1687</v>
      </c>
      <c r="H497" s="9" t="s">
        <v>57</v>
      </c>
      <c r="I497" s="9" t="s">
        <v>48</v>
      </c>
      <c r="J497" s="9" t="s">
        <v>39</v>
      </c>
      <c r="K497" s="9" t="s">
        <v>233</v>
      </c>
      <c r="L497" s="39"/>
      <c r="M497" s="7" t="s">
        <v>1</v>
      </c>
      <c r="N497" s="8"/>
      <c r="O497" s="40"/>
      <c r="P497" s="15"/>
      <c r="Q497" s="9" t="s">
        <v>264</v>
      </c>
      <c r="R497" s="9" t="s">
        <v>234</v>
      </c>
      <c r="S497" s="9"/>
      <c r="T497" s="9">
        <v>940008</v>
      </c>
      <c r="U497" s="16" t="s">
        <v>133</v>
      </c>
      <c r="V497" s="9">
        <v>3996225</v>
      </c>
      <c r="W497" s="8" t="s">
        <v>1146</v>
      </c>
      <c r="X497" s="8" t="s">
        <v>1174</v>
      </c>
      <c r="Y497" s="8" t="s">
        <v>1179</v>
      </c>
      <c r="Z497" s="8">
        <v>3</v>
      </c>
      <c r="AA497" s="8">
        <v>5</v>
      </c>
      <c r="AB497" s="8"/>
      <c r="AC497" s="8" t="s">
        <v>228</v>
      </c>
      <c r="AD497" s="14" t="s">
        <v>229</v>
      </c>
      <c r="AE497" s="8" t="s">
        <v>1170</v>
      </c>
      <c r="AF497" s="14">
        <v>0.4</v>
      </c>
      <c r="AG497" s="8">
        <v>1220</v>
      </c>
      <c r="AH497" s="8">
        <v>0</v>
      </c>
      <c r="AI497" s="8">
        <v>28</v>
      </c>
      <c r="AJ497" s="8">
        <v>0</v>
      </c>
      <c r="AK497" s="127">
        <v>3.4</v>
      </c>
      <c r="AL497" s="103">
        <v>2.4249999999999998</v>
      </c>
      <c r="AM497" s="8">
        <v>0</v>
      </c>
      <c r="AN497" s="21">
        <v>0</v>
      </c>
      <c r="AO497" s="21">
        <v>0</v>
      </c>
      <c r="AP497" s="21">
        <v>0</v>
      </c>
      <c r="AQ497" s="21">
        <v>0</v>
      </c>
      <c r="AR497" s="21">
        <v>0</v>
      </c>
      <c r="AS497" s="8">
        <v>2.4249999999999998</v>
      </c>
      <c r="AT497" s="21">
        <v>2.4249999999999998</v>
      </c>
      <c r="AU497" s="21">
        <v>0</v>
      </c>
      <c r="AV497" s="21">
        <v>0</v>
      </c>
      <c r="AW497" s="21">
        <v>0</v>
      </c>
      <c r="AX497" s="21">
        <v>0</v>
      </c>
      <c r="AY497" s="8">
        <v>0</v>
      </c>
    </row>
    <row r="498" spans="1:51" ht="15" customHeight="1" x14ac:dyDescent="0.25">
      <c r="A498" s="9">
        <v>742</v>
      </c>
      <c r="B498" s="13">
        <v>45765</v>
      </c>
      <c r="C498" s="9" t="s">
        <v>169</v>
      </c>
      <c r="D498" s="9">
        <v>9518703251</v>
      </c>
      <c r="E498" s="8">
        <v>2</v>
      </c>
      <c r="F498" s="9" t="s">
        <v>1096</v>
      </c>
      <c r="G498" s="79" t="s">
        <v>1303</v>
      </c>
      <c r="H498" s="9" t="s">
        <v>57</v>
      </c>
      <c r="I498" s="9" t="s">
        <v>25</v>
      </c>
      <c r="J498" s="9" t="s">
        <v>28</v>
      </c>
      <c r="K498" s="9" t="s">
        <v>233</v>
      </c>
      <c r="L498" s="39"/>
      <c r="M498" s="7" t="s">
        <v>1</v>
      </c>
      <c r="N498" s="8"/>
      <c r="O498" s="40" t="s">
        <v>1395</v>
      </c>
      <c r="P498" s="15"/>
      <c r="Q498" s="9" t="s">
        <v>188</v>
      </c>
      <c r="R498" s="9" t="s">
        <v>343</v>
      </c>
      <c r="S498" s="9"/>
      <c r="T498" s="9">
        <v>189022</v>
      </c>
      <c r="U498" s="16" t="s">
        <v>344</v>
      </c>
      <c r="V498" s="9">
        <v>2164807</v>
      </c>
      <c r="W498" s="8" t="s">
        <v>568</v>
      </c>
      <c r="X498" s="8" t="s">
        <v>265</v>
      </c>
      <c r="Y498" s="8" t="s">
        <v>175</v>
      </c>
      <c r="Z498" s="8">
        <v>8</v>
      </c>
      <c r="AA498" s="8">
        <v>12</v>
      </c>
      <c r="AB498" s="8"/>
      <c r="AC498" s="8" t="s">
        <v>190</v>
      </c>
      <c r="AD498" s="14" t="s">
        <v>191</v>
      </c>
      <c r="AE498" s="8" t="s">
        <v>346</v>
      </c>
      <c r="AF498" s="14">
        <v>1.2</v>
      </c>
      <c r="AG498" s="8">
        <v>1315</v>
      </c>
      <c r="AH498" s="8">
        <v>0</v>
      </c>
      <c r="AI498" s="8">
        <v>60.999000000000002</v>
      </c>
      <c r="AJ498" s="8">
        <v>0</v>
      </c>
      <c r="AK498" s="127">
        <v>60.999000000000002</v>
      </c>
      <c r="AL498" s="103">
        <v>0</v>
      </c>
      <c r="AM498" s="8">
        <v>60.999000000000002</v>
      </c>
      <c r="AN498" s="21">
        <v>0</v>
      </c>
      <c r="AO498" s="21">
        <v>0</v>
      </c>
      <c r="AP498" s="21">
        <v>60.999000000000002</v>
      </c>
      <c r="AQ498" s="21">
        <v>0</v>
      </c>
      <c r="AR498" s="21">
        <v>0</v>
      </c>
      <c r="AS498" s="8">
        <v>60.999000000000002</v>
      </c>
      <c r="AT498" s="21">
        <v>0</v>
      </c>
      <c r="AU498" s="21">
        <v>0</v>
      </c>
      <c r="AV498" s="21">
        <v>0</v>
      </c>
      <c r="AW498" s="21">
        <v>60.999000000000002</v>
      </c>
      <c r="AX498" s="21">
        <v>0</v>
      </c>
      <c r="AY498" s="8">
        <v>0</v>
      </c>
    </row>
    <row r="499" spans="1:51" ht="15" customHeight="1" x14ac:dyDescent="0.25">
      <c r="A499" s="9">
        <v>744</v>
      </c>
      <c r="B499" s="13">
        <v>45755</v>
      </c>
      <c r="C499" s="9" t="s">
        <v>169</v>
      </c>
      <c r="D499" s="9">
        <v>9518676905</v>
      </c>
      <c r="E499" s="8">
        <v>5</v>
      </c>
      <c r="F499" s="9" t="s">
        <v>1097</v>
      </c>
      <c r="G499" s="79" t="s">
        <v>1303</v>
      </c>
      <c r="H499" s="9" t="s">
        <v>57</v>
      </c>
      <c r="I499" s="9" t="s">
        <v>48</v>
      </c>
      <c r="J499" s="9" t="s">
        <v>39</v>
      </c>
      <c r="K499" s="9" t="s">
        <v>233</v>
      </c>
      <c r="L499" s="39"/>
      <c r="M499" s="7" t="s">
        <v>1</v>
      </c>
      <c r="N499" s="8"/>
      <c r="O499" s="40"/>
      <c r="P499" s="15"/>
      <c r="Q499" s="9" t="s">
        <v>264</v>
      </c>
      <c r="R499" s="9" t="s">
        <v>265</v>
      </c>
      <c r="S499" s="9"/>
      <c r="T499" s="9">
        <v>941597</v>
      </c>
      <c r="U499" s="16" t="s">
        <v>106</v>
      </c>
      <c r="V499" s="9">
        <v>3902332</v>
      </c>
      <c r="W499" s="8" t="s">
        <v>353</v>
      </c>
      <c r="X499" s="8" t="s">
        <v>317</v>
      </c>
      <c r="Y499" s="8" t="s">
        <v>692</v>
      </c>
      <c r="Z499" s="8">
        <v>3</v>
      </c>
      <c r="AA499" s="8">
        <v>5</v>
      </c>
      <c r="AB499" s="8"/>
      <c r="AC499" s="8" t="s">
        <v>228</v>
      </c>
      <c r="AD499" s="14" t="s">
        <v>229</v>
      </c>
      <c r="AE499" s="8" t="s">
        <v>354</v>
      </c>
      <c r="AF499" s="14">
        <v>0.5</v>
      </c>
      <c r="AG499" s="8">
        <v>1220</v>
      </c>
      <c r="AH499" s="8">
        <v>0</v>
      </c>
      <c r="AI499" s="8">
        <v>56</v>
      </c>
      <c r="AJ499" s="8">
        <v>0</v>
      </c>
      <c r="AK499" s="127">
        <v>22.215</v>
      </c>
      <c r="AL499" s="103">
        <v>33.784999999999997</v>
      </c>
      <c r="AM499" s="8">
        <v>22.215</v>
      </c>
      <c r="AN499" s="21">
        <v>0</v>
      </c>
      <c r="AO499" s="21">
        <v>0</v>
      </c>
      <c r="AP499" s="21">
        <v>0</v>
      </c>
      <c r="AQ499" s="21">
        <v>22.215</v>
      </c>
      <c r="AR499" s="21">
        <v>0</v>
      </c>
      <c r="AS499" s="8">
        <v>56</v>
      </c>
      <c r="AT499" s="21">
        <v>0</v>
      </c>
      <c r="AU499" s="21">
        <v>0</v>
      </c>
      <c r="AV499" s="21">
        <v>0</v>
      </c>
      <c r="AW499" s="21">
        <v>0</v>
      </c>
      <c r="AX499" s="21">
        <v>56</v>
      </c>
      <c r="AY499" s="8">
        <v>0</v>
      </c>
    </row>
    <row r="500" spans="1:51" ht="15" customHeight="1" x14ac:dyDescent="0.25">
      <c r="A500" s="9">
        <v>742</v>
      </c>
      <c r="B500" s="13">
        <v>45701</v>
      </c>
      <c r="C500" s="9" t="s">
        <v>193</v>
      </c>
      <c r="D500" s="9">
        <v>9518517180</v>
      </c>
      <c r="E500" s="8">
        <v>2</v>
      </c>
      <c r="F500" s="9" t="s">
        <v>455</v>
      </c>
      <c r="G500" s="79" t="s">
        <v>1303</v>
      </c>
      <c r="H500" s="9" t="s">
        <v>57</v>
      </c>
      <c r="I500" s="9" t="s">
        <v>25</v>
      </c>
      <c r="J500" s="9" t="s">
        <v>29</v>
      </c>
      <c r="K500" s="9" t="s">
        <v>233</v>
      </c>
      <c r="L500" s="39"/>
      <c r="M500" s="7" t="s">
        <v>1</v>
      </c>
      <c r="N500" s="8"/>
      <c r="O500" s="40"/>
      <c r="P500" s="15"/>
      <c r="Q500" s="9" t="s">
        <v>180</v>
      </c>
      <c r="R500" s="9" t="s">
        <v>195</v>
      </c>
      <c r="S500" s="9"/>
      <c r="T500" s="9">
        <v>600250</v>
      </c>
      <c r="U500" s="16" t="s">
        <v>64</v>
      </c>
      <c r="V500" s="9">
        <v>2439203</v>
      </c>
      <c r="W500" s="8" t="s">
        <v>288</v>
      </c>
      <c r="X500" s="8" t="s">
        <v>265</v>
      </c>
      <c r="Y500" s="8" t="s">
        <v>175</v>
      </c>
      <c r="Z500" s="8">
        <v>8</v>
      </c>
      <c r="AA500" s="8">
        <v>13</v>
      </c>
      <c r="AB500" s="8"/>
      <c r="AC500" s="8" t="s">
        <v>190</v>
      </c>
      <c r="AD500" s="14" t="s">
        <v>197</v>
      </c>
      <c r="AE500" s="8" t="s">
        <v>198</v>
      </c>
      <c r="AF500" s="14">
        <v>0.5</v>
      </c>
      <c r="AG500" s="8">
        <v>1160</v>
      </c>
      <c r="AH500" s="8">
        <v>0</v>
      </c>
      <c r="AI500" s="8">
        <v>297</v>
      </c>
      <c r="AJ500" s="8">
        <v>279.79500000000002</v>
      </c>
      <c r="AK500" s="127">
        <v>17.204999999999998</v>
      </c>
      <c r="AL500" s="103">
        <v>0</v>
      </c>
      <c r="AM500" s="8">
        <v>17.204999999999998</v>
      </c>
      <c r="AN500" s="21">
        <v>0</v>
      </c>
      <c r="AO500" s="21">
        <v>0</v>
      </c>
      <c r="AP500" s="21">
        <v>17.204999999999998</v>
      </c>
      <c r="AQ500" s="21">
        <v>0</v>
      </c>
      <c r="AR500" s="21">
        <v>0</v>
      </c>
      <c r="AS500" s="8">
        <v>17.204999999999998</v>
      </c>
      <c r="AT500" s="21">
        <v>0</v>
      </c>
      <c r="AU500" s="21">
        <v>0</v>
      </c>
      <c r="AV500" s="21">
        <v>0</v>
      </c>
      <c r="AW500" s="21">
        <v>17.204999999999998</v>
      </c>
      <c r="AX500" s="21">
        <v>0</v>
      </c>
      <c r="AY500" s="8">
        <v>0</v>
      </c>
    </row>
    <row r="501" spans="1:51" ht="15" customHeight="1" x14ac:dyDescent="0.25">
      <c r="A501" s="9">
        <v>743</v>
      </c>
      <c r="B501" s="13">
        <v>45702</v>
      </c>
      <c r="C501" s="9" t="s">
        <v>169</v>
      </c>
      <c r="D501" s="9">
        <v>9518519620</v>
      </c>
      <c r="E501" s="8">
        <v>1</v>
      </c>
      <c r="F501" s="9" t="s">
        <v>515</v>
      </c>
      <c r="G501" s="79" t="s">
        <v>1303</v>
      </c>
      <c r="H501" s="9" t="s">
        <v>57</v>
      </c>
      <c r="I501" s="9" t="s">
        <v>43</v>
      </c>
      <c r="J501" s="9" t="s">
        <v>45</v>
      </c>
      <c r="K501" s="9" t="s">
        <v>170</v>
      </c>
      <c r="L501" s="39"/>
      <c r="M501" s="7" t="s">
        <v>1</v>
      </c>
      <c r="N501" s="8"/>
      <c r="O501" s="40"/>
      <c r="P501" s="15"/>
      <c r="Q501" s="9" t="s">
        <v>180</v>
      </c>
      <c r="R501" s="9" t="s">
        <v>318</v>
      </c>
      <c r="S501" s="9"/>
      <c r="T501" s="9">
        <v>103227</v>
      </c>
      <c r="U501" s="16" t="s">
        <v>91</v>
      </c>
      <c r="V501" s="9">
        <v>1191955</v>
      </c>
      <c r="W501" s="8" t="s">
        <v>473</v>
      </c>
      <c r="X501" s="8" t="s">
        <v>308</v>
      </c>
      <c r="Y501" s="8" t="s">
        <v>175</v>
      </c>
      <c r="Z501" s="8">
        <v>1.75</v>
      </c>
      <c r="AA501" s="8">
        <v>6</v>
      </c>
      <c r="AB501" s="8"/>
      <c r="AC501" s="8" t="s">
        <v>238</v>
      </c>
      <c r="AD501" s="14" t="s">
        <v>185</v>
      </c>
      <c r="AE501" s="8" t="s">
        <v>186</v>
      </c>
      <c r="AF501" s="14">
        <v>0.3</v>
      </c>
      <c r="AG501" s="8">
        <v>900</v>
      </c>
      <c r="AH501" s="8">
        <v>0</v>
      </c>
      <c r="AI501" s="8">
        <v>147</v>
      </c>
      <c r="AJ501" s="8">
        <v>2.54</v>
      </c>
      <c r="AK501" s="127">
        <v>144.46</v>
      </c>
      <c r="AL501" s="103">
        <v>0</v>
      </c>
      <c r="AM501" s="8">
        <v>144.46</v>
      </c>
      <c r="AN501" s="21">
        <v>0</v>
      </c>
      <c r="AO501" s="21">
        <v>144.46</v>
      </c>
      <c r="AP501" s="21">
        <v>0</v>
      </c>
      <c r="AQ501" s="21">
        <v>0</v>
      </c>
      <c r="AR501" s="21">
        <v>0</v>
      </c>
      <c r="AS501" s="8">
        <v>144.46</v>
      </c>
      <c r="AT501" s="21">
        <v>0</v>
      </c>
      <c r="AU501" s="21">
        <v>0</v>
      </c>
      <c r="AV501" s="21">
        <v>144.46</v>
      </c>
      <c r="AW501" s="21">
        <v>0</v>
      </c>
      <c r="AX501" s="21">
        <v>0</v>
      </c>
      <c r="AY501" s="8">
        <v>0</v>
      </c>
    </row>
    <row r="502" spans="1:51" ht="15" customHeight="1" x14ac:dyDescent="0.25">
      <c r="A502" s="9">
        <v>743</v>
      </c>
      <c r="B502" s="13">
        <v>45698</v>
      </c>
      <c r="C502" s="9" t="s">
        <v>169</v>
      </c>
      <c r="D502" s="9">
        <v>9518508377</v>
      </c>
      <c r="E502" s="8">
        <v>1</v>
      </c>
      <c r="F502" s="9" t="s">
        <v>423</v>
      </c>
      <c r="G502" s="79" t="s">
        <v>1303</v>
      </c>
      <c r="H502" s="9" t="s">
        <v>57</v>
      </c>
      <c r="I502" s="9" t="s">
        <v>43</v>
      </c>
      <c r="J502" s="9" t="s">
        <v>45</v>
      </c>
      <c r="K502" s="9" t="s">
        <v>170</v>
      </c>
      <c r="L502" s="39"/>
      <c r="M502" s="7" t="s">
        <v>1</v>
      </c>
      <c r="N502" s="8"/>
      <c r="O502" s="40"/>
      <c r="P502" s="15"/>
      <c r="Q502" s="9" t="s">
        <v>180</v>
      </c>
      <c r="R502" s="9" t="s">
        <v>261</v>
      </c>
      <c r="S502" s="9"/>
      <c r="T502" s="9">
        <v>185794</v>
      </c>
      <c r="U502" s="16" t="s">
        <v>97</v>
      </c>
      <c r="V502" s="9">
        <v>1851065</v>
      </c>
      <c r="W502" s="8" t="s">
        <v>422</v>
      </c>
      <c r="X502" s="8" t="s">
        <v>308</v>
      </c>
      <c r="Y502" s="8" t="s">
        <v>175</v>
      </c>
      <c r="Z502" s="8">
        <v>4</v>
      </c>
      <c r="AA502" s="8">
        <v>12</v>
      </c>
      <c r="AB502" s="8"/>
      <c r="AC502" s="8" t="s">
        <v>238</v>
      </c>
      <c r="AD502" s="14" t="s">
        <v>185</v>
      </c>
      <c r="AE502" s="8" t="s">
        <v>186</v>
      </c>
      <c r="AF502" s="14">
        <v>0.25</v>
      </c>
      <c r="AG502" s="8">
        <v>900</v>
      </c>
      <c r="AH502" s="8">
        <v>0</v>
      </c>
      <c r="AI502" s="8">
        <v>21</v>
      </c>
      <c r="AJ502" s="8">
        <v>0</v>
      </c>
      <c r="AK502" s="127">
        <v>21</v>
      </c>
      <c r="AL502" s="103">
        <v>0</v>
      </c>
      <c r="AM502" s="8">
        <v>21</v>
      </c>
      <c r="AN502" s="21">
        <v>0</v>
      </c>
      <c r="AO502" s="21">
        <v>0</v>
      </c>
      <c r="AP502" s="21">
        <v>21</v>
      </c>
      <c r="AQ502" s="21">
        <v>0</v>
      </c>
      <c r="AR502" s="21">
        <v>0</v>
      </c>
      <c r="AS502" s="8">
        <v>21</v>
      </c>
      <c r="AT502" s="21">
        <v>0</v>
      </c>
      <c r="AU502" s="21">
        <v>0</v>
      </c>
      <c r="AV502" s="21">
        <v>0</v>
      </c>
      <c r="AW502" s="21">
        <v>21</v>
      </c>
      <c r="AX502" s="21">
        <v>0</v>
      </c>
      <c r="AY502" s="8">
        <v>0</v>
      </c>
    </row>
    <row r="503" spans="1:51" ht="15" customHeight="1" x14ac:dyDescent="0.25">
      <c r="A503" s="9">
        <v>743</v>
      </c>
      <c r="B503" s="13">
        <v>45707</v>
      </c>
      <c r="C503" s="9" t="s">
        <v>169</v>
      </c>
      <c r="D503" s="9">
        <v>9518532816</v>
      </c>
      <c r="E503" s="8">
        <v>1</v>
      </c>
      <c r="F503" s="9" t="s">
        <v>491</v>
      </c>
      <c r="G503" s="79" t="s">
        <v>1303</v>
      </c>
      <c r="H503" s="9" t="s">
        <v>57</v>
      </c>
      <c r="I503" s="9" t="s">
        <v>43</v>
      </c>
      <c r="J503" s="9" t="s">
        <v>45</v>
      </c>
      <c r="K503" s="9" t="s">
        <v>170</v>
      </c>
      <c r="L503" s="39"/>
      <c r="M503" s="7" t="s">
        <v>1</v>
      </c>
      <c r="N503" s="8"/>
      <c r="O503" s="40"/>
      <c r="P503" s="15"/>
      <c r="Q503" s="9" t="s">
        <v>180</v>
      </c>
      <c r="R503" s="9" t="s">
        <v>265</v>
      </c>
      <c r="S503" s="9"/>
      <c r="T503" s="9">
        <v>121328</v>
      </c>
      <c r="U503" s="16" t="s">
        <v>81</v>
      </c>
      <c r="V503" s="9">
        <v>1191955</v>
      </c>
      <c r="W503" s="8" t="s">
        <v>473</v>
      </c>
      <c r="X503" s="8" t="s">
        <v>308</v>
      </c>
      <c r="Y503" s="8" t="s">
        <v>175</v>
      </c>
      <c r="Z503" s="8">
        <v>4</v>
      </c>
      <c r="AA503" s="8">
        <v>12</v>
      </c>
      <c r="AB503" s="8"/>
      <c r="AC503" s="8" t="s">
        <v>238</v>
      </c>
      <c r="AD503" s="14" t="s">
        <v>185</v>
      </c>
      <c r="AE503" s="8" t="s">
        <v>186</v>
      </c>
      <c r="AF503" s="14">
        <v>0.3</v>
      </c>
      <c r="AG503" s="8">
        <v>900</v>
      </c>
      <c r="AH503" s="8">
        <v>0</v>
      </c>
      <c r="AI503" s="8">
        <v>63</v>
      </c>
      <c r="AJ503" s="8">
        <v>19.64</v>
      </c>
      <c r="AK503" s="127">
        <v>43.36</v>
      </c>
      <c r="AL503" s="103">
        <v>0</v>
      </c>
      <c r="AM503" s="8">
        <v>43.36</v>
      </c>
      <c r="AN503" s="21">
        <v>0</v>
      </c>
      <c r="AO503" s="21">
        <v>0</v>
      </c>
      <c r="AP503" s="21">
        <v>0</v>
      </c>
      <c r="AQ503" s="21">
        <v>43.36</v>
      </c>
      <c r="AR503" s="21">
        <v>0</v>
      </c>
      <c r="AS503" s="8">
        <v>43.36</v>
      </c>
      <c r="AT503" s="21">
        <v>0</v>
      </c>
      <c r="AU503" s="21">
        <v>0</v>
      </c>
      <c r="AV503" s="21">
        <v>0</v>
      </c>
      <c r="AW503" s="21">
        <v>0</v>
      </c>
      <c r="AX503" s="21">
        <v>43.36</v>
      </c>
      <c r="AY503" s="8">
        <v>0</v>
      </c>
    </row>
    <row r="504" spans="1:51" ht="15" customHeight="1" x14ac:dyDescent="0.25">
      <c r="A504" s="9">
        <v>743</v>
      </c>
      <c r="B504" s="13">
        <v>45698</v>
      </c>
      <c r="C504" s="9" t="s">
        <v>169</v>
      </c>
      <c r="D504" s="9">
        <v>9518508377</v>
      </c>
      <c r="E504" s="8">
        <v>3</v>
      </c>
      <c r="F504" s="9" t="s">
        <v>514</v>
      </c>
      <c r="G504" s="79" t="s">
        <v>1303</v>
      </c>
      <c r="H504" s="9" t="s">
        <v>57</v>
      </c>
      <c r="I504" s="9" t="s">
        <v>43</v>
      </c>
      <c r="J504" s="9" t="s">
        <v>45</v>
      </c>
      <c r="K504" s="9" t="s">
        <v>170</v>
      </c>
      <c r="L504" s="39"/>
      <c r="M504" s="7" t="s">
        <v>1</v>
      </c>
      <c r="N504" s="8"/>
      <c r="O504" s="40"/>
      <c r="P504" s="15"/>
      <c r="Q504" s="9" t="s">
        <v>180</v>
      </c>
      <c r="R504" s="9" t="s">
        <v>261</v>
      </c>
      <c r="S504" s="9"/>
      <c r="T504" s="9">
        <v>185794</v>
      </c>
      <c r="U504" s="16" t="s">
        <v>97</v>
      </c>
      <c r="V504" s="9">
        <v>1191955</v>
      </c>
      <c r="W504" s="8" t="s">
        <v>473</v>
      </c>
      <c r="X504" s="8" t="s">
        <v>308</v>
      </c>
      <c r="Y504" s="8" t="s">
        <v>175</v>
      </c>
      <c r="Z504" s="8">
        <v>4</v>
      </c>
      <c r="AA504" s="8">
        <v>12</v>
      </c>
      <c r="AB504" s="8"/>
      <c r="AC504" s="8" t="s">
        <v>238</v>
      </c>
      <c r="AD504" s="14" t="s">
        <v>185</v>
      </c>
      <c r="AE504" s="8" t="s">
        <v>186</v>
      </c>
      <c r="AF504" s="14">
        <v>0.3</v>
      </c>
      <c r="AG504" s="8">
        <v>900</v>
      </c>
      <c r="AH504" s="8">
        <v>0</v>
      </c>
      <c r="AI504" s="8">
        <v>105</v>
      </c>
      <c r="AJ504" s="8">
        <v>0</v>
      </c>
      <c r="AK504" s="127">
        <v>105</v>
      </c>
      <c r="AL504" s="103">
        <v>0</v>
      </c>
      <c r="AM504" s="8">
        <v>105</v>
      </c>
      <c r="AN504" s="21">
        <v>0</v>
      </c>
      <c r="AO504" s="21">
        <v>0</v>
      </c>
      <c r="AP504" s="21">
        <v>0</v>
      </c>
      <c r="AQ504" s="21">
        <v>105</v>
      </c>
      <c r="AR504" s="21">
        <v>0</v>
      </c>
      <c r="AS504" s="8">
        <v>105</v>
      </c>
      <c r="AT504" s="21">
        <v>0</v>
      </c>
      <c r="AU504" s="21">
        <v>0</v>
      </c>
      <c r="AV504" s="21">
        <v>0</v>
      </c>
      <c r="AW504" s="21">
        <v>0</v>
      </c>
      <c r="AX504" s="21">
        <v>105</v>
      </c>
      <c r="AY504" s="8">
        <v>0</v>
      </c>
    </row>
    <row r="505" spans="1:51" ht="15" customHeight="1" x14ac:dyDescent="0.25">
      <c r="A505" s="9">
        <v>742</v>
      </c>
      <c r="B505" s="13">
        <v>45741</v>
      </c>
      <c r="C505" s="9" t="s">
        <v>169</v>
      </c>
      <c r="D505" s="9">
        <v>9518633147</v>
      </c>
      <c r="E505" s="8">
        <v>1</v>
      </c>
      <c r="F505" s="9" t="s">
        <v>1098</v>
      </c>
      <c r="G505" s="79" t="s">
        <v>1303</v>
      </c>
      <c r="H505" s="9" t="s">
        <v>57</v>
      </c>
      <c r="I505" s="9" t="s">
        <v>25</v>
      </c>
      <c r="J505" s="9" t="s">
        <v>30</v>
      </c>
      <c r="K505" s="9" t="s">
        <v>170</v>
      </c>
      <c r="L505" s="39"/>
      <c r="M505" s="7" t="s">
        <v>1</v>
      </c>
      <c r="N505" s="8"/>
      <c r="O505" s="40"/>
      <c r="P505" s="15"/>
      <c r="Q505" s="9" t="s">
        <v>214</v>
      </c>
      <c r="R505" s="9" t="s">
        <v>340</v>
      </c>
      <c r="S505" s="9"/>
      <c r="T505" s="9">
        <v>947126</v>
      </c>
      <c r="U505" s="16" t="s">
        <v>66</v>
      </c>
      <c r="V505" s="9">
        <v>1804814</v>
      </c>
      <c r="W505" s="8" t="s">
        <v>468</v>
      </c>
      <c r="X505" s="8" t="s">
        <v>265</v>
      </c>
      <c r="Y505" s="8" t="s">
        <v>175</v>
      </c>
      <c r="Z505" s="8">
        <v>5</v>
      </c>
      <c r="AA505" s="8">
        <v>30</v>
      </c>
      <c r="AB505" s="8"/>
      <c r="AC505" s="8" t="s">
        <v>190</v>
      </c>
      <c r="AD505" s="14" t="s">
        <v>191</v>
      </c>
      <c r="AE505" s="8" t="s">
        <v>192</v>
      </c>
      <c r="AF505" s="14">
        <v>0.8</v>
      </c>
      <c r="AG505" s="8">
        <v>1250</v>
      </c>
      <c r="AH505" s="8">
        <v>0</v>
      </c>
      <c r="AI505" s="8">
        <v>58</v>
      </c>
      <c r="AJ505" s="8">
        <v>0</v>
      </c>
      <c r="AK505" s="127">
        <v>38.44</v>
      </c>
      <c r="AL505" s="103">
        <v>0</v>
      </c>
      <c r="AM505" s="8">
        <v>38.44</v>
      </c>
      <c r="AN505" s="21">
        <v>0</v>
      </c>
      <c r="AO505" s="21">
        <v>38.44</v>
      </c>
      <c r="AP505" s="21">
        <v>0</v>
      </c>
      <c r="AQ505" s="21">
        <v>0</v>
      </c>
      <c r="AR505" s="21">
        <v>0</v>
      </c>
      <c r="AS505" s="8">
        <v>38.44</v>
      </c>
      <c r="AT505" s="21">
        <v>0</v>
      </c>
      <c r="AU505" s="21">
        <v>0</v>
      </c>
      <c r="AV505" s="21">
        <v>38.44</v>
      </c>
      <c r="AW505" s="21">
        <v>0</v>
      </c>
      <c r="AX505" s="21">
        <v>0</v>
      </c>
      <c r="AY505" s="8">
        <v>0</v>
      </c>
    </row>
    <row r="506" spans="1:51" ht="15" customHeight="1" x14ac:dyDescent="0.25">
      <c r="A506" s="9">
        <v>742</v>
      </c>
      <c r="B506" s="13">
        <v>45741</v>
      </c>
      <c r="C506" s="9" t="s">
        <v>169</v>
      </c>
      <c r="D506" s="9">
        <v>9518633147</v>
      </c>
      <c r="E506" s="8">
        <v>4</v>
      </c>
      <c r="F506" s="9" t="s">
        <v>1099</v>
      </c>
      <c r="G506" s="79" t="s">
        <v>1303</v>
      </c>
      <c r="H506" s="9" t="s">
        <v>57</v>
      </c>
      <c r="I506" s="9" t="s">
        <v>25</v>
      </c>
      <c r="J506" s="9" t="s">
        <v>30</v>
      </c>
      <c r="K506" s="9" t="s">
        <v>170</v>
      </c>
      <c r="L506" s="39"/>
      <c r="M506" s="7" t="s">
        <v>1</v>
      </c>
      <c r="N506" s="8"/>
      <c r="O506" s="40"/>
      <c r="P506" s="15"/>
      <c r="Q506" s="9" t="s">
        <v>214</v>
      </c>
      <c r="R506" s="9" t="s">
        <v>340</v>
      </c>
      <c r="S506" s="9"/>
      <c r="T506" s="9">
        <v>947126</v>
      </c>
      <c r="U506" s="16" t="s">
        <v>66</v>
      </c>
      <c r="V506" s="9">
        <v>2334995</v>
      </c>
      <c r="W506" s="8" t="s">
        <v>460</v>
      </c>
      <c r="X506" s="8" t="s">
        <v>265</v>
      </c>
      <c r="Y506" s="8" t="s">
        <v>175</v>
      </c>
      <c r="Z506" s="8">
        <v>5</v>
      </c>
      <c r="AA506" s="8">
        <v>30</v>
      </c>
      <c r="AB506" s="8"/>
      <c r="AC506" s="8" t="s">
        <v>190</v>
      </c>
      <c r="AD506" s="14" t="s">
        <v>191</v>
      </c>
      <c r="AE506" s="8" t="s">
        <v>192</v>
      </c>
      <c r="AF506" s="14">
        <v>1.5</v>
      </c>
      <c r="AG506" s="8">
        <v>1250</v>
      </c>
      <c r="AH506" s="8">
        <v>0</v>
      </c>
      <c r="AI506" s="8">
        <v>58</v>
      </c>
      <c r="AJ506" s="8">
        <v>0</v>
      </c>
      <c r="AK506" s="127">
        <v>32.659999999999997</v>
      </c>
      <c r="AL506" s="103">
        <v>25.34</v>
      </c>
      <c r="AM506" s="8">
        <v>32.659999999999997</v>
      </c>
      <c r="AN506" s="21">
        <v>0</v>
      </c>
      <c r="AO506" s="21">
        <v>32.659999999999997</v>
      </c>
      <c r="AP506" s="21">
        <v>0</v>
      </c>
      <c r="AQ506" s="21">
        <v>0</v>
      </c>
      <c r="AR506" s="21">
        <v>0</v>
      </c>
      <c r="AS506" s="8">
        <v>58</v>
      </c>
      <c r="AT506" s="21">
        <v>0</v>
      </c>
      <c r="AU506" s="21">
        <v>0</v>
      </c>
      <c r="AV506" s="21">
        <v>58</v>
      </c>
      <c r="AW506" s="21">
        <v>0</v>
      </c>
      <c r="AX506" s="21">
        <v>0</v>
      </c>
      <c r="AY506" s="8">
        <v>0</v>
      </c>
    </row>
    <row r="507" spans="1:51" ht="15" customHeight="1" x14ac:dyDescent="0.25">
      <c r="A507" s="9">
        <v>742</v>
      </c>
      <c r="B507" s="13">
        <v>45741</v>
      </c>
      <c r="C507" s="9" t="s">
        <v>169</v>
      </c>
      <c r="D507" s="9">
        <v>9518633147</v>
      </c>
      <c r="E507" s="8">
        <v>6</v>
      </c>
      <c r="F507" s="9" t="s">
        <v>1100</v>
      </c>
      <c r="G507" s="79" t="s">
        <v>1303</v>
      </c>
      <c r="H507" s="9" t="s">
        <v>57</v>
      </c>
      <c r="I507" s="9" t="s">
        <v>25</v>
      </c>
      <c r="J507" s="9" t="s">
        <v>30</v>
      </c>
      <c r="K507" s="9" t="s">
        <v>170</v>
      </c>
      <c r="L507" s="39"/>
      <c r="M507" s="7" t="s">
        <v>1</v>
      </c>
      <c r="N507" s="8"/>
      <c r="O507" s="40"/>
      <c r="P507" s="15"/>
      <c r="Q507" s="9" t="s">
        <v>214</v>
      </c>
      <c r="R507" s="9" t="s">
        <v>340</v>
      </c>
      <c r="S507" s="9"/>
      <c r="T507" s="9">
        <v>947126</v>
      </c>
      <c r="U507" s="16" t="s">
        <v>66</v>
      </c>
      <c r="V507" s="9">
        <v>1884117</v>
      </c>
      <c r="W507" s="8" t="s">
        <v>426</v>
      </c>
      <c r="X507" s="8" t="s">
        <v>265</v>
      </c>
      <c r="Y507" s="8" t="s">
        <v>175</v>
      </c>
      <c r="Z507" s="8">
        <v>5</v>
      </c>
      <c r="AA507" s="8">
        <v>30</v>
      </c>
      <c r="AB507" s="8"/>
      <c r="AC507" s="8" t="s">
        <v>190</v>
      </c>
      <c r="AD507" s="14" t="s">
        <v>191</v>
      </c>
      <c r="AE507" s="8" t="s">
        <v>192</v>
      </c>
      <c r="AF507" s="14">
        <v>2</v>
      </c>
      <c r="AG507" s="8">
        <v>1250</v>
      </c>
      <c r="AH507" s="8">
        <v>0</v>
      </c>
      <c r="AI507" s="8">
        <v>29</v>
      </c>
      <c r="AJ507" s="8">
        <v>0</v>
      </c>
      <c r="AK507" s="127">
        <v>29</v>
      </c>
      <c r="AL507" s="103">
        <v>0</v>
      </c>
      <c r="AM507" s="8">
        <v>29</v>
      </c>
      <c r="AN507" s="21">
        <v>0</v>
      </c>
      <c r="AO507" s="21">
        <v>0</v>
      </c>
      <c r="AP507" s="21">
        <v>0</v>
      </c>
      <c r="AQ507" s="21">
        <v>29</v>
      </c>
      <c r="AR507" s="21">
        <v>0</v>
      </c>
      <c r="AS507" s="8">
        <v>29</v>
      </c>
      <c r="AT507" s="21">
        <v>0</v>
      </c>
      <c r="AU507" s="21">
        <v>0</v>
      </c>
      <c r="AV507" s="21">
        <v>0</v>
      </c>
      <c r="AW507" s="21">
        <v>29</v>
      </c>
      <c r="AX507" s="21">
        <v>0</v>
      </c>
      <c r="AY507" s="8">
        <v>0</v>
      </c>
    </row>
    <row r="508" spans="1:51" ht="15" customHeight="1" x14ac:dyDescent="0.25">
      <c r="A508" s="9">
        <v>742</v>
      </c>
      <c r="B508" s="13">
        <v>45731</v>
      </c>
      <c r="C508" s="9" t="s">
        <v>169</v>
      </c>
      <c r="D508" s="9">
        <v>9518602390</v>
      </c>
      <c r="E508" s="8">
        <v>4</v>
      </c>
      <c r="F508" s="9" t="s">
        <v>1101</v>
      </c>
      <c r="G508" s="9" t="s">
        <v>1303</v>
      </c>
      <c r="H508" s="9" t="s">
        <v>57</v>
      </c>
      <c r="I508" s="9" t="s">
        <v>25</v>
      </c>
      <c r="J508" s="9" t="s">
        <v>30</v>
      </c>
      <c r="K508" s="9" t="s">
        <v>170</v>
      </c>
      <c r="L508" s="39"/>
      <c r="M508" s="7" t="s">
        <v>1</v>
      </c>
      <c r="N508" s="8"/>
      <c r="O508" s="40"/>
      <c r="P508" s="15"/>
      <c r="Q508" s="9" t="s">
        <v>172</v>
      </c>
      <c r="R508" s="9" t="s">
        <v>189</v>
      </c>
      <c r="S508" s="9"/>
      <c r="T508" s="9">
        <v>116137</v>
      </c>
      <c r="U508" s="16" t="s">
        <v>77</v>
      </c>
      <c r="V508" s="9">
        <v>1801290</v>
      </c>
      <c r="W508" s="8" t="s">
        <v>330</v>
      </c>
      <c r="X508" s="8" t="s">
        <v>265</v>
      </c>
      <c r="Y508" s="8" t="s">
        <v>175</v>
      </c>
      <c r="Z508" s="8">
        <v>10</v>
      </c>
      <c r="AA508" s="8">
        <v>25</v>
      </c>
      <c r="AB508" s="8"/>
      <c r="AC508" s="8" t="s">
        <v>190</v>
      </c>
      <c r="AD508" s="14" t="s">
        <v>191</v>
      </c>
      <c r="AE508" s="8" t="s">
        <v>192</v>
      </c>
      <c r="AF508" s="14">
        <v>0.6</v>
      </c>
      <c r="AG508" s="8">
        <v>1250</v>
      </c>
      <c r="AH508" s="8">
        <v>0</v>
      </c>
      <c r="AI508" s="8">
        <v>58</v>
      </c>
      <c r="AJ508" s="8">
        <v>22.475000000000001</v>
      </c>
      <c r="AK508" s="127">
        <v>35.524999999999999</v>
      </c>
      <c r="AL508" s="103">
        <v>0</v>
      </c>
      <c r="AM508" s="8">
        <v>35.524999999999999</v>
      </c>
      <c r="AN508" s="21">
        <v>0</v>
      </c>
      <c r="AO508" s="21">
        <v>35.524999999999999</v>
      </c>
      <c r="AP508" s="21">
        <v>0</v>
      </c>
      <c r="AQ508" s="21">
        <v>0</v>
      </c>
      <c r="AR508" s="21">
        <v>0</v>
      </c>
      <c r="AS508" s="8">
        <v>35.524999999999999</v>
      </c>
      <c r="AT508" s="21">
        <v>0</v>
      </c>
      <c r="AU508" s="21">
        <v>0</v>
      </c>
      <c r="AV508" s="21">
        <v>35.524999999999999</v>
      </c>
      <c r="AW508" s="21">
        <v>0</v>
      </c>
      <c r="AX508" s="21">
        <v>0</v>
      </c>
      <c r="AY508" s="8">
        <v>0</v>
      </c>
    </row>
    <row r="509" spans="1:51" ht="15" customHeight="1" x14ac:dyDescent="0.25">
      <c r="A509" s="9">
        <v>742</v>
      </c>
      <c r="B509" s="13">
        <v>45741</v>
      </c>
      <c r="C509" s="9" t="s">
        <v>169</v>
      </c>
      <c r="D509" s="9">
        <v>9518633147</v>
      </c>
      <c r="E509" s="8">
        <v>5</v>
      </c>
      <c r="F509" s="9" t="s">
        <v>1102</v>
      </c>
      <c r="G509" s="79" t="s">
        <v>1303</v>
      </c>
      <c r="H509" s="9" t="s">
        <v>57</v>
      </c>
      <c r="I509" s="9" t="s">
        <v>25</v>
      </c>
      <c r="J509" s="9" t="s">
        <v>30</v>
      </c>
      <c r="K509" s="9" t="s">
        <v>170</v>
      </c>
      <c r="L509" s="39"/>
      <c r="M509" s="7" t="s">
        <v>1</v>
      </c>
      <c r="N509" s="8"/>
      <c r="O509" s="40"/>
      <c r="P509" s="15"/>
      <c r="Q509" s="9" t="s">
        <v>214</v>
      </c>
      <c r="R509" s="9" t="s">
        <v>340</v>
      </c>
      <c r="S509" s="9"/>
      <c r="T509" s="9">
        <v>947126</v>
      </c>
      <c r="U509" s="16" t="s">
        <v>66</v>
      </c>
      <c r="V509" s="9">
        <v>187538</v>
      </c>
      <c r="W509" s="8" t="s">
        <v>555</v>
      </c>
      <c r="X509" s="8" t="s">
        <v>265</v>
      </c>
      <c r="Y509" s="8" t="s">
        <v>175</v>
      </c>
      <c r="Z509" s="8">
        <v>5</v>
      </c>
      <c r="AA509" s="8">
        <v>30</v>
      </c>
      <c r="AB509" s="8"/>
      <c r="AC509" s="8" t="s">
        <v>190</v>
      </c>
      <c r="AD509" s="14" t="s">
        <v>191</v>
      </c>
      <c r="AE509" s="8" t="s">
        <v>192</v>
      </c>
      <c r="AF509" s="14">
        <v>1.6</v>
      </c>
      <c r="AG509" s="8">
        <v>1250</v>
      </c>
      <c r="AH509" s="8">
        <v>0</v>
      </c>
      <c r="AI509" s="8">
        <v>87</v>
      </c>
      <c r="AJ509" s="8">
        <v>0</v>
      </c>
      <c r="AK509" s="127">
        <v>87</v>
      </c>
      <c r="AL509" s="103">
        <v>0</v>
      </c>
      <c r="AM509" s="8">
        <v>87</v>
      </c>
      <c r="AN509" s="21">
        <v>0</v>
      </c>
      <c r="AO509" s="21">
        <v>0</v>
      </c>
      <c r="AP509" s="21">
        <v>87</v>
      </c>
      <c r="AQ509" s="21">
        <v>0</v>
      </c>
      <c r="AR509" s="21">
        <v>0</v>
      </c>
      <c r="AS509" s="8">
        <v>87</v>
      </c>
      <c r="AT509" s="21">
        <v>0</v>
      </c>
      <c r="AU509" s="21">
        <v>0</v>
      </c>
      <c r="AV509" s="21">
        <v>87</v>
      </c>
      <c r="AW509" s="21">
        <v>0</v>
      </c>
      <c r="AX509" s="21">
        <v>0</v>
      </c>
      <c r="AY509" s="8">
        <v>0</v>
      </c>
    </row>
    <row r="510" spans="1:51" ht="15" customHeight="1" x14ac:dyDescent="0.25">
      <c r="A510" s="9">
        <v>742</v>
      </c>
      <c r="B510" s="13">
        <v>45707</v>
      </c>
      <c r="C510" s="9" t="s">
        <v>169</v>
      </c>
      <c r="D510" s="9">
        <v>9518533596</v>
      </c>
      <c r="E510" s="8">
        <v>5</v>
      </c>
      <c r="F510" s="9" t="s">
        <v>1103</v>
      </c>
      <c r="G510" s="79" t="s">
        <v>1303</v>
      </c>
      <c r="H510" s="9" t="s">
        <v>57</v>
      </c>
      <c r="I510" s="9" t="s">
        <v>25</v>
      </c>
      <c r="J510" s="9" t="s">
        <v>32</v>
      </c>
      <c r="K510" s="9" t="s">
        <v>170</v>
      </c>
      <c r="L510" s="39"/>
      <c r="M510" s="7" t="s">
        <v>1</v>
      </c>
      <c r="N510" s="8"/>
      <c r="O510" s="40"/>
      <c r="P510" s="15"/>
      <c r="Q510" s="9" t="s">
        <v>180</v>
      </c>
      <c r="R510" s="9" t="s">
        <v>477</v>
      </c>
      <c r="S510" s="9"/>
      <c r="T510" s="9">
        <v>155536</v>
      </c>
      <c r="U510" s="16" t="s">
        <v>86</v>
      </c>
      <c r="V510" s="9">
        <v>2420540</v>
      </c>
      <c r="W510" s="8" t="s">
        <v>560</v>
      </c>
      <c r="X510" s="8" t="s">
        <v>265</v>
      </c>
      <c r="Y510" s="8" t="s">
        <v>175</v>
      </c>
      <c r="Z510" s="8">
        <v>13</v>
      </c>
      <c r="AA510" s="8">
        <v>29</v>
      </c>
      <c r="AB510" s="8"/>
      <c r="AC510" s="8" t="s">
        <v>190</v>
      </c>
      <c r="AD510" s="14" t="s">
        <v>191</v>
      </c>
      <c r="AE510" s="8" t="s">
        <v>530</v>
      </c>
      <c r="AF510" s="14">
        <v>2.5</v>
      </c>
      <c r="AG510" s="8">
        <v>1250</v>
      </c>
      <c r="AH510" s="8">
        <v>0</v>
      </c>
      <c r="AI510" s="8">
        <v>87</v>
      </c>
      <c r="AJ510" s="8">
        <v>0</v>
      </c>
      <c r="AK510" s="127">
        <v>87</v>
      </c>
      <c r="AL510" s="103">
        <v>0</v>
      </c>
      <c r="AM510" s="8">
        <v>87</v>
      </c>
      <c r="AN510" s="21">
        <v>0</v>
      </c>
      <c r="AO510" s="21">
        <v>0</v>
      </c>
      <c r="AP510" s="21">
        <v>87</v>
      </c>
      <c r="AQ510" s="21">
        <v>0</v>
      </c>
      <c r="AR510" s="21">
        <v>0</v>
      </c>
      <c r="AS510" s="8">
        <v>87</v>
      </c>
      <c r="AT510" s="21">
        <v>0</v>
      </c>
      <c r="AU510" s="21">
        <v>0</v>
      </c>
      <c r="AV510" s="21">
        <v>87</v>
      </c>
      <c r="AW510" s="21">
        <v>0</v>
      </c>
      <c r="AX510" s="21">
        <v>0</v>
      </c>
      <c r="AY510" s="8">
        <v>0</v>
      </c>
    </row>
    <row r="511" spans="1:51" ht="15" customHeight="1" x14ac:dyDescent="0.25">
      <c r="A511" s="9">
        <v>742</v>
      </c>
      <c r="B511" s="13">
        <v>45708</v>
      </c>
      <c r="C511" s="9" t="s">
        <v>169</v>
      </c>
      <c r="D511" s="9">
        <v>9518535833</v>
      </c>
      <c r="E511" s="8">
        <v>17</v>
      </c>
      <c r="F511" s="9" t="s">
        <v>549</v>
      </c>
      <c r="G511" s="79" t="s">
        <v>1303</v>
      </c>
      <c r="H511" s="9" t="s">
        <v>57</v>
      </c>
      <c r="I511" s="9" t="s">
        <v>25</v>
      </c>
      <c r="J511" s="9" t="s">
        <v>30</v>
      </c>
      <c r="K511" s="9" t="s">
        <v>170</v>
      </c>
      <c r="L511" s="39"/>
      <c r="M511" s="7" t="s">
        <v>1</v>
      </c>
      <c r="N511" s="8"/>
      <c r="O511" s="40"/>
      <c r="P511" s="15"/>
      <c r="Q511" s="9" t="s">
        <v>214</v>
      </c>
      <c r="R511" s="9" t="s">
        <v>246</v>
      </c>
      <c r="S511" s="9"/>
      <c r="T511" s="9">
        <v>938550</v>
      </c>
      <c r="U511" s="16" t="s">
        <v>69</v>
      </c>
      <c r="V511" s="9">
        <v>1804854</v>
      </c>
      <c r="W511" s="8" t="s">
        <v>331</v>
      </c>
      <c r="X511" s="8" t="s">
        <v>265</v>
      </c>
      <c r="Y511" s="8" t="s">
        <v>175</v>
      </c>
      <c r="Z511" s="8">
        <v>6</v>
      </c>
      <c r="AA511" s="8">
        <v>18</v>
      </c>
      <c r="AB511" s="8"/>
      <c r="AC511" s="8" t="s">
        <v>190</v>
      </c>
      <c r="AD511" s="14" t="s">
        <v>191</v>
      </c>
      <c r="AE511" s="8" t="s">
        <v>192</v>
      </c>
      <c r="AF511" s="14">
        <v>1.2</v>
      </c>
      <c r="AG511" s="8">
        <v>1250</v>
      </c>
      <c r="AH511" s="8">
        <v>0</v>
      </c>
      <c r="AI511" s="8">
        <v>57.99</v>
      </c>
      <c r="AJ511" s="8">
        <v>38.090000000000003</v>
      </c>
      <c r="AK511" s="127">
        <v>19.899999999999999</v>
      </c>
      <c r="AL511" s="103">
        <v>0</v>
      </c>
      <c r="AM511" s="8">
        <v>19.899999999999999</v>
      </c>
      <c r="AN511" s="21">
        <v>0</v>
      </c>
      <c r="AO511" s="21">
        <v>0</v>
      </c>
      <c r="AP511" s="21">
        <v>0</v>
      </c>
      <c r="AQ511" s="21">
        <v>19.899999999999999</v>
      </c>
      <c r="AR511" s="21">
        <v>0</v>
      </c>
      <c r="AS511" s="8">
        <v>19.899999999999999</v>
      </c>
      <c r="AT511" s="21">
        <v>0</v>
      </c>
      <c r="AU511" s="21">
        <v>0</v>
      </c>
      <c r="AV511" s="21">
        <v>0</v>
      </c>
      <c r="AW511" s="21">
        <v>19.899999999999999</v>
      </c>
      <c r="AX511" s="21">
        <v>0</v>
      </c>
      <c r="AY511" s="8">
        <v>0</v>
      </c>
    </row>
    <row r="512" spans="1:51" ht="15" customHeight="1" x14ac:dyDescent="0.25">
      <c r="A512" s="9">
        <v>742</v>
      </c>
      <c r="B512" s="13">
        <v>45701</v>
      </c>
      <c r="C512" s="9" t="s">
        <v>169</v>
      </c>
      <c r="D512" s="9">
        <v>9518517048</v>
      </c>
      <c r="E512" s="8">
        <v>1</v>
      </c>
      <c r="F512" s="9" t="s">
        <v>471</v>
      </c>
      <c r="G512" s="79" t="s">
        <v>1303</v>
      </c>
      <c r="H512" s="9" t="s">
        <v>57</v>
      </c>
      <c r="I512" s="9" t="s">
        <v>25</v>
      </c>
      <c r="J512" s="9" t="s">
        <v>30</v>
      </c>
      <c r="K512" s="9" t="s">
        <v>170</v>
      </c>
      <c r="L512" s="39"/>
      <c r="M512" s="7" t="s">
        <v>1</v>
      </c>
      <c r="N512" s="8"/>
      <c r="O512" s="40"/>
      <c r="P512" s="15"/>
      <c r="Q512" s="9" t="s">
        <v>180</v>
      </c>
      <c r="R512" s="9" t="s">
        <v>221</v>
      </c>
      <c r="S512" s="9"/>
      <c r="T512" s="9">
        <v>165053</v>
      </c>
      <c r="U512" s="16" t="s">
        <v>99</v>
      </c>
      <c r="V512" s="9">
        <v>1804772</v>
      </c>
      <c r="W512" s="8" t="s">
        <v>272</v>
      </c>
      <c r="X512" s="8" t="s">
        <v>265</v>
      </c>
      <c r="Y512" s="8" t="s">
        <v>175</v>
      </c>
      <c r="Z512" s="8">
        <v>20</v>
      </c>
      <c r="AA512" s="8">
        <v>29</v>
      </c>
      <c r="AB512" s="8"/>
      <c r="AC512" s="8" t="s">
        <v>190</v>
      </c>
      <c r="AD512" s="14" t="s">
        <v>191</v>
      </c>
      <c r="AE512" s="8" t="s">
        <v>192</v>
      </c>
      <c r="AF512" s="14">
        <v>0.4</v>
      </c>
      <c r="AG512" s="8">
        <v>1250</v>
      </c>
      <c r="AH512" s="8">
        <v>0</v>
      </c>
      <c r="AI512" s="8">
        <v>87</v>
      </c>
      <c r="AJ512" s="8">
        <v>50.064999999999998</v>
      </c>
      <c r="AK512" s="127">
        <v>36.935000000000002</v>
      </c>
      <c r="AL512" s="103">
        <v>0</v>
      </c>
      <c r="AM512" s="8">
        <v>36.935000000000002</v>
      </c>
      <c r="AN512" s="21">
        <v>0</v>
      </c>
      <c r="AO512" s="21">
        <v>0</v>
      </c>
      <c r="AP512" s="21">
        <v>0</v>
      </c>
      <c r="AQ512" s="21">
        <v>36.935000000000002</v>
      </c>
      <c r="AR512" s="21">
        <v>0</v>
      </c>
      <c r="AS512" s="8">
        <v>36.935000000000002</v>
      </c>
      <c r="AT512" s="21">
        <v>0</v>
      </c>
      <c r="AU512" s="21">
        <v>0</v>
      </c>
      <c r="AV512" s="21">
        <v>0</v>
      </c>
      <c r="AW512" s="21">
        <v>36.935000000000002</v>
      </c>
      <c r="AX512" s="21">
        <v>0</v>
      </c>
      <c r="AY512" s="8">
        <v>0</v>
      </c>
    </row>
    <row r="513" spans="1:51" ht="15" customHeight="1" x14ac:dyDescent="0.25">
      <c r="A513" s="9">
        <v>744</v>
      </c>
      <c r="B513" s="13">
        <v>45710</v>
      </c>
      <c r="C513" s="9" t="s">
        <v>169</v>
      </c>
      <c r="D513" s="9">
        <v>9518543214</v>
      </c>
      <c r="E513" s="8">
        <v>9</v>
      </c>
      <c r="F513" s="9" t="s">
        <v>586</v>
      </c>
      <c r="G513" s="9" t="s">
        <v>1687</v>
      </c>
      <c r="H513" s="9" t="s">
        <v>57</v>
      </c>
      <c r="I513" s="9" t="s">
        <v>48</v>
      </c>
      <c r="J513" s="9" t="s">
        <v>39</v>
      </c>
      <c r="K513" s="9" t="s">
        <v>233</v>
      </c>
      <c r="L513" s="39"/>
      <c r="M513" s="7" t="s">
        <v>1</v>
      </c>
      <c r="N513" s="8"/>
      <c r="O513" s="40"/>
      <c r="P513" s="15"/>
      <c r="Q513" s="9" t="s">
        <v>264</v>
      </c>
      <c r="R513" s="9" t="s">
        <v>225</v>
      </c>
      <c r="S513" s="9"/>
      <c r="T513" s="9">
        <v>940016</v>
      </c>
      <c r="U513" s="16" t="s">
        <v>133</v>
      </c>
      <c r="V513" s="9">
        <v>3900141</v>
      </c>
      <c r="W513" s="8" t="s">
        <v>646</v>
      </c>
      <c r="X513" s="8" t="s">
        <v>236</v>
      </c>
      <c r="Y513" s="8" t="s">
        <v>1188</v>
      </c>
      <c r="Z513" s="8">
        <v>3</v>
      </c>
      <c r="AA513" s="8">
        <v>5</v>
      </c>
      <c r="AB513" s="8"/>
      <c r="AC513" s="8" t="s">
        <v>228</v>
      </c>
      <c r="AD513" s="14" t="s">
        <v>229</v>
      </c>
      <c r="AE513" s="8" t="s">
        <v>230</v>
      </c>
      <c r="AF513" s="14">
        <v>0.43</v>
      </c>
      <c r="AG513" s="8">
        <v>1220</v>
      </c>
      <c r="AH513" s="8">
        <v>0</v>
      </c>
      <c r="AI513" s="8">
        <v>28</v>
      </c>
      <c r="AJ513" s="8">
        <v>0</v>
      </c>
      <c r="AK513" s="127">
        <v>1.0900000000000001</v>
      </c>
      <c r="AL513" s="103">
        <v>4.5</v>
      </c>
      <c r="AM513" s="8">
        <v>0</v>
      </c>
      <c r="AN513" s="21">
        <v>0</v>
      </c>
      <c r="AO513" s="21">
        <v>0</v>
      </c>
      <c r="AP513" s="21">
        <v>0</v>
      </c>
      <c r="AQ513" s="21">
        <v>0</v>
      </c>
      <c r="AR513" s="21">
        <v>0</v>
      </c>
      <c r="AS513" s="8">
        <v>4.5</v>
      </c>
      <c r="AT513" s="21">
        <v>4.5</v>
      </c>
      <c r="AU513" s="21">
        <v>0</v>
      </c>
      <c r="AV513" s="21">
        <v>0</v>
      </c>
      <c r="AW513" s="21">
        <v>0</v>
      </c>
      <c r="AX513" s="21">
        <v>0</v>
      </c>
      <c r="AY513" s="8">
        <v>0</v>
      </c>
    </row>
    <row r="514" spans="1:51" ht="15" customHeight="1" x14ac:dyDescent="0.25">
      <c r="A514" s="9">
        <v>742</v>
      </c>
      <c r="B514" s="13">
        <v>45694</v>
      </c>
      <c r="C514" s="9" t="s">
        <v>169</v>
      </c>
      <c r="D514" s="9">
        <v>9518497626</v>
      </c>
      <c r="E514" s="8">
        <v>22</v>
      </c>
      <c r="F514" s="9" t="s">
        <v>551</v>
      </c>
      <c r="G514" s="79" t="s">
        <v>1303</v>
      </c>
      <c r="H514" s="9" t="s">
        <v>57</v>
      </c>
      <c r="I514" s="9" t="s">
        <v>25</v>
      </c>
      <c r="J514" s="9" t="s">
        <v>30</v>
      </c>
      <c r="K514" s="9" t="s">
        <v>170</v>
      </c>
      <c r="L514" s="39"/>
      <c r="M514" s="7" t="s">
        <v>1</v>
      </c>
      <c r="N514" s="8"/>
      <c r="O514" s="40"/>
      <c r="P514" s="15"/>
      <c r="Q514" s="9" t="s">
        <v>214</v>
      </c>
      <c r="R514" s="9" t="s">
        <v>215</v>
      </c>
      <c r="S514" s="9"/>
      <c r="T514" s="9">
        <v>946077</v>
      </c>
      <c r="U514" s="16" t="s">
        <v>83</v>
      </c>
      <c r="V514" s="9">
        <v>194544</v>
      </c>
      <c r="W514" s="8" t="s">
        <v>552</v>
      </c>
      <c r="X514" s="8" t="s">
        <v>265</v>
      </c>
      <c r="Y514" s="8" t="s">
        <v>175</v>
      </c>
      <c r="Z514" s="8">
        <v>0</v>
      </c>
      <c r="AA514" s="8">
        <v>0</v>
      </c>
      <c r="AB514" s="8"/>
      <c r="AC514" s="8" t="s">
        <v>210</v>
      </c>
      <c r="AD514" s="14" t="s">
        <v>191</v>
      </c>
      <c r="AE514" s="8" t="s">
        <v>192</v>
      </c>
      <c r="AF514" s="14">
        <v>1.5</v>
      </c>
      <c r="AG514" s="8">
        <v>1250</v>
      </c>
      <c r="AH514" s="8">
        <v>2500</v>
      </c>
      <c r="AI514" s="8">
        <v>27</v>
      </c>
      <c r="AJ514" s="8">
        <v>0</v>
      </c>
      <c r="AK514" s="127">
        <v>27</v>
      </c>
      <c r="AL514" s="103">
        <v>0</v>
      </c>
      <c r="AM514" s="8">
        <v>27</v>
      </c>
      <c r="AN514" s="21">
        <v>0</v>
      </c>
      <c r="AO514" s="21">
        <v>0</v>
      </c>
      <c r="AP514" s="21">
        <v>0</v>
      </c>
      <c r="AQ514" s="21">
        <v>27</v>
      </c>
      <c r="AR514" s="21">
        <v>0</v>
      </c>
      <c r="AS514" s="8">
        <v>27</v>
      </c>
      <c r="AT514" s="21">
        <v>0</v>
      </c>
      <c r="AU514" s="21">
        <v>0</v>
      </c>
      <c r="AV514" s="21">
        <v>0</v>
      </c>
      <c r="AW514" s="21">
        <v>27</v>
      </c>
      <c r="AX514" s="21">
        <v>0</v>
      </c>
      <c r="AY514" s="8">
        <v>0</v>
      </c>
    </row>
    <row r="515" spans="1:51" ht="15" customHeight="1" x14ac:dyDescent="0.25">
      <c r="A515" s="9">
        <v>742</v>
      </c>
      <c r="B515" s="13">
        <v>45708</v>
      </c>
      <c r="C515" s="9" t="s">
        <v>169</v>
      </c>
      <c r="D515" s="9">
        <v>9518535833</v>
      </c>
      <c r="E515" s="8">
        <v>9</v>
      </c>
      <c r="F515" s="9" t="s">
        <v>505</v>
      </c>
      <c r="G515" s="79" t="s">
        <v>1303</v>
      </c>
      <c r="H515" s="9" t="s">
        <v>57</v>
      </c>
      <c r="I515" s="9" t="s">
        <v>25</v>
      </c>
      <c r="J515" s="9" t="s">
        <v>30</v>
      </c>
      <c r="K515" s="9" t="s">
        <v>170</v>
      </c>
      <c r="L515" s="39"/>
      <c r="M515" s="7" t="s">
        <v>1</v>
      </c>
      <c r="N515" s="8"/>
      <c r="O515" s="40"/>
      <c r="P515" s="15"/>
      <c r="Q515" s="9" t="s">
        <v>214</v>
      </c>
      <c r="R515" s="9" t="s">
        <v>246</v>
      </c>
      <c r="S515" s="9"/>
      <c r="T515" s="9">
        <v>938550</v>
      </c>
      <c r="U515" s="16" t="s">
        <v>69</v>
      </c>
      <c r="V515" s="9">
        <v>1801286</v>
      </c>
      <c r="W515" s="8" t="s">
        <v>506</v>
      </c>
      <c r="X515" s="8" t="s">
        <v>265</v>
      </c>
      <c r="Y515" s="8" t="s">
        <v>175</v>
      </c>
      <c r="Z515" s="8">
        <v>6</v>
      </c>
      <c r="AA515" s="8">
        <v>18</v>
      </c>
      <c r="AB515" s="8"/>
      <c r="AC515" s="8" t="s">
        <v>190</v>
      </c>
      <c r="AD515" s="14" t="s">
        <v>191</v>
      </c>
      <c r="AE515" s="8" t="s">
        <v>192</v>
      </c>
      <c r="AF515" s="14">
        <v>0.6</v>
      </c>
      <c r="AG515" s="8">
        <v>1000</v>
      </c>
      <c r="AH515" s="8">
        <v>0</v>
      </c>
      <c r="AI515" s="8">
        <v>46</v>
      </c>
      <c r="AJ515" s="8">
        <v>0</v>
      </c>
      <c r="AK515" s="127">
        <v>46</v>
      </c>
      <c r="AL515" s="103">
        <v>0</v>
      </c>
      <c r="AM515" s="8">
        <v>46</v>
      </c>
      <c r="AN515" s="21">
        <v>0</v>
      </c>
      <c r="AO515" s="21">
        <v>0</v>
      </c>
      <c r="AP515" s="21">
        <v>0</v>
      </c>
      <c r="AQ515" s="21">
        <v>0</v>
      </c>
      <c r="AR515" s="21">
        <v>46</v>
      </c>
      <c r="AS515" s="8">
        <v>0</v>
      </c>
      <c r="AT515" s="21">
        <v>0</v>
      </c>
      <c r="AU515" s="21">
        <v>0</v>
      </c>
      <c r="AV515" s="21">
        <v>0</v>
      </c>
      <c r="AW515" s="21">
        <v>0</v>
      </c>
      <c r="AX515" s="21">
        <v>0</v>
      </c>
      <c r="AY515" s="8">
        <v>46</v>
      </c>
    </row>
    <row r="516" spans="1:51" ht="15" customHeight="1" x14ac:dyDescent="0.25">
      <c r="A516" s="9">
        <v>743</v>
      </c>
      <c r="B516" s="13">
        <v>45713</v>
      </c>
      <c r="C516" s="9" t="s">
        <v>169</v>
      </c>
      <c r="D516" s="9">
        <v>9518550430</v>
      </c>
      <c r="E516" s="8">
        <v>1</v>
      </c>
      <c r="F516" s="9" t="s">
        <v>1104</v>
      </c>
      <c r="G516" s="79" t="s">
        <v>1303</v>
      </c>
      <c r="H516" s="9" t="s">
        <v>57</v>
      </c>
      <c r="I516" s="9" t="s">
        <v>38</v>
      </c>
      <c r="J516" s="9" t="s">
        <v>39</v>
      </c>
      <c r="K516" s="9" t="s">
        <v>233</v>
      </c>
      <c r="L516" s="39"/>
      <c r="M516" s="7" t="s">
        <v>1</v>
      </c>
      <c r="N516" s="8"/>
      <c r="O516" s="40"/>
      <c r="P516" s="15"/>
      <c r="Q516" s="9" t="s">
        <v>264</v>
      </c>
      <c r="R516" s="9" t="s">
        <v>265</v>
      </c>
      <c r="S516" s="9"/>
      <c r="T516" s="9">
        <v>942283</v>
      </c>
      <c r="U516" s="16" t="s">
        <v>106</v>
      </c>
      <c r="V516" s="9">
        <v>1882004</v>
      </c>
      <c r="W516" s="8" t="s">
        <v>427</v>
      </c>
      <c r="X516" s="8" t="s">
        <v>317</v>
      </c>
      <c r="Y516" s="8" t="s">
        <v>175</v>
      </c>
      <c r="Z516" s="8">
        <v>3</v>
      </c>
      <c r="AA516" s="8">
        <v>5</v>
      </c>
      <c r="AB516" s="8"/>
      <c r="AC516" s="8" t="s">
        <v>222</v>
      </c>
      <c r="AD516" s="14" t="s">
        <v>223</v>
      </c>
      <c r="AE516" s="8" t="s">
        <v>224</v>
      </c>
      <c r="AF516" s="14">
        <v>0.55000000000000004</v>
      </c>
      <c r="AG516" s="8">
        <v>1220</v>
      </c>
      <c r="AH516" s="8">
        <v>0</v>
      </c>
      <c r="AI516" s="8">
        <v>28</v>
      </c>
      <c r="AJ516" s="8">
        <v>0</v>
      </c>
      <c r="AK516" s="127">
        <v>28</v>
      </c>
      <c r="AL516" s="103">
        <v>0</v>
      </c>
      <c r="AM516" s="8">
        <v>28</v>
      </c>
      <c r="AN516" s="21">
        <v>0</v>
      </c>
      <c r="AO516" s="21">
        <v>28</v>
      </c>
      <c r="AP516" s="21">
        <v>0</v>
      </c>
      <c r="AQ516" s="21">
        <v>0</v>
      </c>
      <c r="AR516" s="21">
        <v>0</v>
      </c>
      <c r="AS516" s="8">
        <v>28</v>
      </c>
      <c r="AT516" s="21">
        <v>0</v>
      </c>
      <c r="AU516" s="21">
        <v>0</v>
      </c>
      <c r="AV516" s="21">
        <v>28</v>
      </c>
      <c r="AW516" s="21">
        <v>0</v>
      </c>
      <c r="AX516" s="21">
        <v>0</v>
      </c>
      <c r="AY516" s="8">
        <v>0</v>
      </c>
    </row>
    <row r="517" spans="1:51" ht="15" customHeight="1" x14ac:dyDescent="0.25">
      <c r="A517" s="9">
        <v>742</v>
      </c>
      <c r="B517" s="13">
        <v>45712</v>
      </c>
      <c r="C517" s="9" t="s">
        <v>193</v>
      </c>
      <c r="D517" s="9">
        <v>9518546113</v>
      </c>
      <c r="E517" s="8">
        <v>1</v>
      </c>
      <c r="F517" s="9" t="s">
        <v>587</v>
      </c>
      <c r="G517" s="79" t="s">
        <v>1303</v>
      </c>
      <c r="H517" s="9" t="s">
        <v>57</v>
      </c>
      <c r="I517" s="9" t="s">
        <v>25</v>
      </c>
      <c r="J517" s="9" t="s">
        <v>29</v>
      </c>
      <c r="K517" s="9" t="s">
        <v>233</v>
      </c>
      <c r="L517" s="39"/>
      <c r="M517" s="7" t="s">
        <v>1</v>
      </c>
      <c r="N517" s="8"/>
      <c r="O517" s="40"/>
      <c r="P517" s="15"/>
      <c r="Q517" s="9" t="s">
        <v>188</v>
      </c>
      <c r="R517" s="9" t="s">
        <v>329</v>
      </c>
      <c r="S517" s="9"/>
      <c r="T517" s="9">
        <v>600250</v>
      </c>
      <c r="U517" s="16" t="s">
        <v>64</v>
      </c>
      <c r="V517" s="9">
        <v>2439203</v>
      </c>
      <c r="W517" s="8" t="s">
        <v>288</v>
      </c>
      <c r="X517" s="8" t="s">
        <v>265</v>
      </c>
      <c r="Y517" s="8" t="s">
        <v>175</v>
      </c>
      <c r="Z517" s="8">
        <v>22</v>
      </c>
      <c r="AA517" s="8">
        <v>30</v>
      </c>
      <c r="AB517" s="8"/>
      <c r="AC517" s="8" t="s">
        <v>190</v>
      </c>
      <c r="AD517" s="14" t="s">
        <v>197</v>
      </c>
      <c r="AE517" s="8" t="s">
        <v>198</v>
      </c>
      <c r="AF517" s="14">
        <v>0.5</v>
      </c>
      <c r="AG517" s="8">
        <v>1160</v>
      </c>
      <c r="AH517" s="8">
        <v>0</v>
      </c>
      <c r="AI517" s="8">
        <v>297</v>
      </c>
      <c r="AJ517" s="8">
        <v>270.64999999999998</v>
      </c>
      <c r="AK517" s="127">
        <v>26.35</v>
      </c>
      <c r="AL517" s="103">
        <v>0</v>
      </c>
      <c r="AM517" s="8">
        <v>26.35</v>
      </c>
      <c r="AN517" s="21">
        <v>0</v>
      </c>
      <c r="AO517" s="21">
        <v>0</v>
      </c>
      <c r="AP517" s="21">
        <v>26.35</v>
      </c>
      <c r="AQ517" s="21">
        <v>0</v>
      </c>
      <c r="AR517" s="21">
        <v>0</v>
      </c>
      <c r="AS517" s="8">
        <v>26.35</v>
      </c>
      <c r="AT517" s="21">
        <v>0</v>
      </c>
      <c r="AU517" s="21">
        <v>0</v>
      </c>
      <c r="AV517" s="21">
        <v>0</v>
      </c>
      <c r="AW517" s="21">
        <v>26.35</v>
      </c>
      <c r="AX517" s="21">
        <v>0</v>
      </c>
      <c r="AY517" s="8">
        <v>0</v>
      </c>
    </row>
    <row r="518" spans="1:51" ht="15" customHeight="1" x14ac:dyDescent="0.25">
      <c r="A518" s="9">
        <v>742</v>
      </c>
      <c r="B518" s="13">
        <v>45705</v>
      </c>
      <c r="C518" s="9" t="s">
        <v>169</v>
      </c>
      <c r="D518" s="9">
        <v>9518527188</v>
      </c>
      <c r="E518" s="8">
        <v>1</v>
      </c>
      <c r="F518" s="9" t="s">
        <v>600</v>
      </c>
      <c r="G518" s="79" t="s">
        <v>1303</v>
      </c>
      <c r="H518" s="9" t="s">
        <v>57</v>
      </c>
      <c r="I518" s="9" t="s">
        <v>50</v>
      </c>
      <c r="J518" s="9" t="s">
        <v>26</v>
      </c>
      <c r="K518" s="9" t="s">
        <v>170</v>
      </c>
      <c r="L518" s="39"/>
      <c r="M518" s="7" t="s">
        <v>1</v>
      </c>
      <c r="N518" s="8"/>
      <c r="O518" s="40"/>
      <c r="P518" s="15"/>
      <c r="Q518" s="9" t="s">
        <v>214</v>
      </c>
      <c r="R518" s="9" t="s">
        <v>240</v>
      </c>
      <c r="S518" s="9"/>
      <c r="T518" s="9">
        <v>932179</v>
      </c>
      <c r="U518" s="16" t="s">
        <v>128</v>
      </c>
      <c r="V518" s="9">
        <v>1250221</v>
      </c>
      <c r="W518" s="8" t="s">
        <v>313</v>
      </c>
      <c r="X518" s="8" t="s">
        <v>265</v>
      </c>
      <c r="Y518" s="8" t="s">
        <v>175</v>
      </c>
      <c r="Z518" s="8">
        <v>17</v>
      </c>
      <c r="AA518" s="8">
        <v>27.5</v>
      </c>
      <c r="AB518" s="8"/>
      <c r="AC518" s="8">
        <v>768</v>
      </c>
      <c r="AD518" s="14" t="s">
        <v>242</v>
      </c>
      <c r="AE518" s="8" t="s">
        <v>243</v>
      </c>
      <c r="AF518" s="14">
        <v>2.5</v>
      </c>
      <c r="AG518" s="8">
        <v>1250</v>
      </c>
      <c r="AH518" s="8">
        <v>0</v>
      </c>
      <c r="AI518" s="8">
        <v>100</v>
      </c>
      <c r="AJ518" s="8">
        <v>0</v>
      </c>
      <c r="AK518" s="127">
        <v>100</v>
      </c>
      <c r="AL518" s="103">
        <v>0</v>
      </c>
      <c r="AM518" s="8">
        <v>100</v>
      </c>
      <c r="AN518" s="21">
        <v>0</v>
      </c>
      <c r="AO518" s="21">
        <v>0</v>
      </c>
      <c r="AP518" s="21">
        <v>0</v>
      </c>
      <c r="AQ518" s="21">
        <v>0</v>
      </c>
      <c r="AR518" s="21">
        <v>100</v>
      </c>
      <c r="AS518" s="8">
        <v>100</v>
      </c>
      <c r="AT518" s="21">
        <v>0</v>
      </c>
      <c r="AU518" s="21">
        <v>0</v>
      </c>
      <c r="AV518" s="21">
        <v>0</v>
      </c>
      <c r="AW518" s="21">
        <v>0</v>
      </c>
      <c r="AX518" s="21">
        <v>100</v>
      </c>
      <c r="AY518" s="8">
        <v>0</v>
      </c>
    </row>
    <row r="519" spans="1:51" ht="15" customHeight="1" x14ac:dyDescent="0.25">
      <c r="A519" s="9">
        <v>742</v>
      </c>
      <c r="B519" s="13">
        <v>45712</v>
      </c>
      <c r="C519" s="9" t="s">
        <v>193</v>
      </c>
      <c r="D519" s="9">
        <v>9518546113</v>
      </c>
      <c r="E519" s="8">
        <v>2</v>
      </c>
      <c r="F519" s="9" t="s">
        <v>588</v>
      </c>
      <c r="G519" s="79" t="s">
        <v>1303</v>
      </c>
      <c r="H519" s="9" t="s">
        <v>57</v>
      </c>
      <c r="I519" s="9" t="s">
        <v>25</v>
      </c>
      <c r="J519" s="9" t="s">
        <v>29</v>
      </c>
      <c r="K519" s="9" t="s">
        <v>233</v>
      </c>
      <c r="L519" s="39"/>
      <c r="M519" s="7" t="s">
        <v>1461</v>
      </c>
      <c r="N519" s="8"/>
      <c r="O519" s="40"/>
      <c r="P519" s="15"/>
      <c r="Q519" s="9" t="s">
        <v>188</v>
      </c>
      <c r="R519" s="9" t="s">
        <v>329</v>
      </c>
      <c r="S519" s="9"/>
      <c r="T519" s="9">
        <v>600250</v>
      </c>
      <c r="U519" s="16" t="s">
        <v>64</v>
      </c>
      <c r="V519" s="9">
        <v>2439203</v>
      </c>
      <c r="W519" s="8" t="s">
        <v>288</v>
      </c>
      <c r="X519" s="8" t="s">
        <v>265</v>
      </c>
      <c r="Y519" s="8" t="s">
        <v>175</v>
      </c>
      <c r="Z519" s="8">
        <v>11.6</v>
      </c>
      <c r="AA519" s="8">
        <v>30</v>
      </c>
      <c r="AB519" s="8"/>
      <c r="AC519" s="8" t="s">
        <v>190</v>
      </c>
      <c r="AD519" s="14" t="s">
        <v>197</v>
      </c>
      <c r="AE519" s="8" t="s">
        <v>198</v>
      </c>
      <c r="AF519" s="14">
        <v>0.5</v>
      </c>
      <c r="AG519" s="8">
        <v>1160</v>
      </c>
      <c r="AH519" s="8">
        <v>0</v>
      </c>
      <c r="AI519" s="8">
        <v>296.99</v>
      </c>
      <c r="AJ519" s="8">
        <v>185.405</v>
      </c>
      <c r="AK519" s="127">
        <v>206.08</v>
      </c>
      <c r="AL519" s="103">
        <v>0</v>
      </c>
      <c r="AM519" s="8">
        <v>206.08</v>
      </c>
      <c r="AN519" s="21">
        <v>0</v>
      </c>
      <c r="AO519" s="21">
        <v>0</v>
      </c>
      <c r="AP519" s="21">
        <v>206.08</v>
      </c>
      <c r="AQ519" s="21">
        <v>0</v>
      </c>
      <c r="AR519" s="21">
        <v>0</v>
      </c>
      <c r="AS519" s="8">
        <v>206.08</v>
      </c>
      <c r="AT519" s="21">
        <v>0</v>
      </c>
      <c r="AU519" s="21">
        <v>0</v>
      </c>
      <c r="AV519" s="21">
        <v>0</v>
      </c>
      <c r="AW519" s="21">
        <v>206.08</v>
      </c>
      <c r="AX519" s="21">
        <v>0</v>
      </c>
      <c r="AY519" s="8">
        <v>0</v>
      </c>
    </row>
    <row r="520" spans="1:51" ht="15" customHeight="1" x14ac:dyDescent="0.25">
      <c r="A520" s="9">
        <v>742</v>
      </c>
      <c r="B520" s="13">
        <v>45694</v>
      </c>
      <c r="C520" s="9" t="s">
        <v>169</v>
      </c>
      <c r="D520" s="9">
        <v>9518498088</v>
      </c>
      <c r="E520" s="8">
        <v>1</v>
      </c>
      <c r="F520" s="9" t="s">
        <v>503</v>
      </c>
      <c r="G520" s="79" t="s">
        <v>1303</v>
      </c>
      <c r="H520" s="9" t="s">
        <v>57</v>
      </c>
      <c r="I520" s="9" t="s">
        <v>25</v>
      </c>
      <c r="J520" s="9" t="s">
        <v>30</v>
      </c>
      <c r="K520" s="9" t="s">
        <v>170</v>
      </c>
      <c r="L520" s="39"/>
      <c r="M520" s="7" t="s">
        <v>1</v>
      </c>
      <c r="N520" s="8"/>
      <c r="O520" s="40"/>
      <c r="P520" s="15"/>
      <c r="Q520" s="9" t="s">
        <v>214</v>
      </c>
      <c r="R520" s="9" t="s">
        <v>246</v>
      </c>
      <c r="S520" s="9"/>
      <c r="T520" s="9">
        <v>938550</v>
      </c>
      <c r="U520" s="16" t="s">
        <v>69</v>
      </c>
      <c r="V520" s="9">
        <v>3931386</v>
      </c>
      <c r="W520" s="8" t="s">
        <v>504</v>
      </c>
      <c r="X520" s="8" t="s">
        <v>265</v>
      </c>
      <c r="Y520" s="8" t="s">
        <v>175</v>
      </c>
      <c r="Z520" s="8">
        <v>6</v>
      </c>
      <c r="AA520" s="8">
        <v>18</v>
      </c>
      <c r="AB520" s="8"/>
      <c r="AC520" s="8" t="s">
        <v>190</v>
      </c>
      <c r="AD520" s="14" t="s">
        <v>191</v>
      </c>
      <c r="AE520" s="8" t="s">
        <v>192</v>
      </c>
      <c r="AF520" s="14">
        <v>0.7</v>
      </c>
      <c r="AG520" s="8">
        <v>925</v>
      </c>
      <c r="AH520" s="8">
        <v>0</v>
      </c>
      <c r="AI520" s="8">
        <v>42</v>
      </c>
      <c r="AJ520" s="8">
        <v>0</v>
      </c>
      <c r="AK520" s="127">
        <v>42</v>
      </c>
      <c r="AL520" s="103">
        <v>0</v>
      </c>
      <c r="AM520" s="8">
        <v>42</v>
      </c>
      <c r="AN520" s="21">
        <v>0</v>
      </c>
      <c r="AO520" s="21">
        <v>0</v>
      </c>
      <c r="AP520" s="21">
        <v>0</v>
      </c>
      <c r="AQ520" s="21">
        <v>0</v>
      </c>
      <c r="AR520" s="21">
        <v>42</v>
      </c>
      <c r="AS520" s="8">
        <v>0</v>
      </c>
      <c r="AT520" s="21">
        <v>0</v>
      </c>
      <c r="AU520" s="21">
        <v>0</v>
      </c>
      <c r="AV520" s="21">
        <v>0</v>
      </c>
      <c r="AW520" s="21">
        <v>0</v>
      </c>
      <c r="AX520" s="21">
        <v>0</v>
      </c>
      <c r="AY520" s="8">
        <v>42</v>
      </c>
    </row>
    <row r="521" spans="1:51" ht="15" customHeight="1" x14ac:dyDescent="0.25">
      <c r="A521" s="9">
        <v>742</v>
      </c>
      <c r="B521" s="13">
        <v>45699</v>
      </c>
      <c r="C521" s="9" t="s">
        <v>169</v>
      </c>
      <c r="D521" s="9">
        <v>9518510371</v>
      </c>
      <c r="E521" s="8">
        <v>4</v>
      </c>
      <c r="F521" s="9" t="s">
        <v>721</v>
      </c>
      <c r="G521" s="79" t="s">
        <v>1303</v>
      </c>
      <c r="H521" s="9" t="s">
        <v>57</v>
      </c>
      <c r="I521" s="9" t="s">
        <v>25</v>
      </c>
      <c r="J521" s="9" t="s">
        <v>31</v>
      </c>
      <c r="K521" s="9" t="s">
        <v>170</v>
      </c>
      <c r="L521" s="39"/>
      <c r="M521" s="7" t="s">
        <v>1</v>
      </c>
      <c r="N521" s="8"/>
      <c r="O521" s="40"/>
      <c r="P521" s="15"/>
      <c r="Q521" s="9" t="s">
        <v>172</v>
      </c>
      <c r="R521" s="9" t="s">
        <v>359</v>
      </c>
      <c r="S521" s="9"/>
      <c r="T521" s="9">
        <v>115841</v>
      </c>
      <c r="U521" s="16" t="s">
        <v>76</v>
      </c>
      <c r="V521" s="9">
        <v>3240792</v>
      </c>
      <c r="W521" s="8" t="s">
        <v>467</v>
      </c>
      <c r="X521" s="8" t="s">
        <v>265</v>
      </c>
      <c r="Y521" s="8" t="s">
        <v>175</v>
      </c>
      <c r="Z521" s="8">
        <v>0</v>
      </c>
      <c r="AA521" s="8">
        <v>0</v>
      </c>
      <c r="AB521" s="8"/>
      <c r="AC521" s="8" t="s">
        <v>210</v>
      </c>
      <c r="AD521" s="14" t="s">
        <v>218</v>
      </c>
      <c r="AE521" s="8" t="s">
        <v>250</v>
      </c>
      <c r="AF521" s="14">
        <v>0.6</v>
      </c>
      <c r="AG521" s="8">
        <v>1250</v>
      </c>
      <c r="AH521" s="8">
        <v>2500</v>
      </c>
      <c r="AI521" s="8">
        <v>39</v>
      </c>
      <c r="AJ521" s="8">
        <v>0</v>
      </c>
      <c r="AK521" s="127">
        <v>39</v>
      </c>
      <c r="AL521" s="103">
        <v>0</v>
      </c>
      <c r="AM521" s="8">
        <v>39</v>
      </c>
      <c r="AN521" s="21">
        <v>0</v>
      </c>
      <c r="AO521" s="21">
        <v>0</v>
      </c>
      <c r="AP521" s="21">
        <v>39</v>
      </c>
      <c r="AQ521" s="21">
        <v>0</v>
      </c>
      <c r="AR521" s="21">
        <v>0</v>
      </c>
      <c r="AS521" s="8">
        <v>39</v>
      </c>
      <c r="AT521" s="21">
        <v>0</v>
      </c>
      <c r="AU521" s="21">
        <v>0</v>
      </c>
      <c r="AV521" s="21">
        <v>39</v>
      </c>
      <c r="AW521" s="21">
        <v>0</v>
      </c>
      <c r="AX521" s="21">
        <v>0</v>
      </c>
      <c r="AY521" s="8">
        <v>0</v>
      </c>
    </row>
    <row r="522" spans="1:51" ht="15" customHeight="1" x14ac:dyDescent="0.25">
      <c r="A522" s="9">
        <v>742</v>
      </c>
      <c r="B522" s="13">
        <v>45695</v>
      </c>
      <c r="C522" s="9" t="s">
        <v>169</v>
      </c>
      <c r="D522" s="9">
        <v>9518500267</v>
      </c>
      <c r="E522" s="8">
        <v>3</v>
      </c>
      <c r="F522" s="9" t="s">
        <v>531</v>
      </c>
      <c r="G522" s="79" t="s">
        <v>1303</v>
      </c>
      <c r="H522" s="9" t="s">
        <v>57</v>
      </c>
      <c r="I522" s="9" t="s">
        <v>25</v>
      </c>
      <c r="J522" s="9" t="s">
        <v>32</v>
      </c>
      <c r="K522" s="9" t="s">
        <v>170</v>
      </c>
      <c r="L522" s="39">
        <v>500</v>
      </c>
      <c r="M522" s="7" t="s">
        <v>1</v>
      </c>
      <c r="N522" s="8"/>
      <c r="O522" s="40"/>
      <c r="P522" s="15"/>
      <c r="Q522" s="9" t="s">
        <v>214</v>
      </c>
      <c r="R522" s="9" t="s">
        <v>240</v>
      </c>
      <c r="S522" s="9"/>
      <c r="T522" s="9">
        <v>939268</v>
      </c>
      <c r="U522" s="16" t="s">
        <v>86</v>
      </c>
      <c r="V522" s="9">
        <v>2420520</v>
      </c>
      <c r="W522" s="8" t="s">
        <v>532</v>
      </c>
      <c r="X522" s="8" t="s">
        <v>265</v>
      </c>
      <c r="Y522" s="8" t="s">
        <v>175</v>
      </c>
      <c r="Z522" s="8">
        <v>2</v>
      </c>
      <c r="AA522" s="8">
        <v>26</v>
      </c>
      <c r="AB522" s="8"/>
      <c r="AC522" s="8" t="s">
        <v>190</v>
      </c>
      <c r="AD522" s="14" t="s">
        <v>191</v>
      </c>
      <c r="AE522" s="8" t="s">
        <v>530</v>
      </c>
      <c r="AF522" s="14">
        <v>1.1499999999999999</v>
      </c>
      <c r="AG522" s="8">
        <v>1250</v>
      </c>
      <c r="AH522" s="8">
        <v>0</v>
      </c>
      <c r="AI522" s="8">
        <v>29</v>
      </c>
      <c r="AJ522" s="8">
        <v>0</v>
      </c>
      <c r="AK522" s="127">
        <v>29</v>
      </c>
      <c r="AL522" s="103">
        <v>0</v>
      </c>
      <c r="AM522" s="8">
        <v>29</v>
      </c>
      <c r="AN522" s="21">
        <v>0</v>
      </c>
      <c r="AO522" s="21">
        <v>29</v>
      </c>
      <c r="AP522" s="21">
        <v>0</v>
      </c>
      <c r="AQ522" s="21">
        <v>0</v>
      </c>
      <c r="AR522" s="21">
        <v>0</v>
      </c>
      <c r="AS522" s="8">
        <v>29</v>
      </c>
      <c r="AT522" s="21">
        <v>0</v>
      </c>
      <c r="AU522" s="21">
        <v>29</v>
      </c>
      <c r="AV522" s="21">
        <v>0</v>
      </c>
      <c r="AW522" s="21">
        <v>0</v>
      </c>
      <c r="AX522" s="21">
        <v>0</v>
      </c>
      <c r="AY522" s="8">
        <v>0</v>
      </c>
    </row>
    <row r="523" spans="1:51" ht="15" customHeight="1" x14ac:dyDescent="0.25">
      <c r="A523" s="9">
        <v>743</v>
      </c>
      <c r="B523" s="13">
        <v>45693</v>
      </c>
      <c r="C523" s="9" t="s">
        <v>169</v>
      </c>
      <c r="D523" s="9">
        <v>9518495843</v>
      </c>
      <c r="E523" s="8">
        <v>1</v>
      </c>
      <c r="F523" s="9" t="s">
        <v>438</v>
      </c>
      <c r="G523" s="79" t="s">
        <v>1303</v>
      </c>
      <c r="H523" s="9" t="s">
        <v>57</v>
      </c>
      <c r="I523" s="9" t="s">
        <v>43</v>
      </c>
      <c r="J523" s="9" t="s">
        <v>45</v>
      </c>
      <c r="K523" s="9" t="s">
        <v>170</v>
      </c>
      <c r="L523" s="39"/>
      <c r="M523" s="7" t="s">
        <v>1</v>
      </c>
      <c r="N523" s="8"/>
      <c r="O523" s="40"/>
      <c r="P523" s="15"/>
      <c r="Q523" s="9" t="s">
        <v>180</v>
      </c>
      <c r="R523" s="9" t="s">
        <v>306</v>
      </c>
      <c r="S523" s="9"/>
      <c r="T523" s="9">
        <v>100922</v>
      </c>
      <c r="U523" s="16" t="s">
        <v>115</v>
      </c>
      <c r="V523" s="9">
        <v>1851065</v>
      </c>
      <c r="W523" s="8" t="s">
        <v>422</v>
      </c>
      <c r="X523" s="8" t="s">
        <v>308</v>
      </c>
      <c r="Y523" s="8" t="s">
        <v>175</v>
      </c>
      <c r="Z523" s="8">
        <v>5</v>
      </c>
      <c r="AA523" s="8">
        <v>15</v>
      </c>
      <c r="AB523" s="8"/>
      <c r="AC523" s="8" t="s">
        <v>238</v>
      </c>
      <c r="AD523" s="14" t="s">
        <v>185</v>
      </c>
      <c r="AE523" s="8" t="s">
        <v>186</v>
      </c>
      <c r="AF523" s="14">
        <v>0.25</v>
      </c>
      <c r="AG523" s="8">
        <v>900</v>
      </c>
      <c r="AH523" s="8">
        <v>0</v>
      </c>
      <c r="AI523" s="8">
        <v>63</v>
      </c>
      <c r="AJ523" s="8">
        <v>0</v>
      </c>
      <c r="AK523" s="127">
        <v>63</v>
      </c>
      <c r="AL523" s="103">
        <v>0</v>
      </c>
      <c r="AM523" s="8">
        <v>63</v>
      </c>
      <c r="AN523" s="21">
        <v>0</v>
      </c>
      <c r="AO523" s="21">
        <v>0</v>
      </c>
      <c r="AP523" s="21">
        <v>0</v>
      </c>
      <c r="AQ523" s="21">
        <v>63</v>
      </c>
      <c r="AR523" s="21">
        <v>0</v>
      </c>
      <c r="AS523" s="8">
        <v>63</v>
      </c>
      <c r="AT523" s="21">
        <v>0</v>
      </c>
      <c r="AU523" s="21">
        <v>0</v>
      </c>
      <c r="AV523" s="21">
        <v>0</v>
      </c>
      <c r="AW523" s="21">
        <v>0</v>
      </c>
      <c r="AX523" s="21">
        <v>63</v>
      </c>
      <c r="AY523" s="8">
        <v>0</v>
      </c>
    </row>
    <row r="524" spans="1:51" ht="15" customHeight="1" x14ac:dyDescent="0.25">
      <c r="A524" s="9">
        <v>743</v>
      </c>
      <c r="B524" s="13">
        <v>45707</v>
      </c>
      <c r="C524" s="9" t="s">
        <v>169</v>
      </c>
      <c r="D524" s="9">
        <v>9518532816</v>
      </c>
      <c r="E524" s="8">
        <v>2</v>
      </c>
      <c r="F524" s="9" t="s">
        <v>521</v>
      </c>
      <c r="G524" s="79" t="s">
        <v>1303</v>
      </c>
      <c r="H524" s="9" t="s">
        <v>57</v>
      </c>
      <c r="I524" s="9" t="s">
        <v>43</v>
      </c>
      <c r="J524" s="9" t="s">
        <v>45</v>
      </c>
      <c r="K524" s="9" t="s">
        <v>170</v>
      </c>
      <c r="L524" s="39"/>
      <c r="M524" s="7" t="s">
        <v>1</v>
      </c>
      <c r="N524" s="8"/>
      <c r="O524" s="40"/>
      <c r="P524" s="15"/>
      <c r="Q524" s="9" t="s">
        <v>180</v>
      </c>
      <c r="R524" s="9" t="s">
        <v>265</v>
      </c>
      <c r="S524" s="9"/>
      <c r="T524" s="9">
        <v>121328</v>
      </c>
      <c r="U524" s="16" t="s">
        <v>81</v>
      </c>
      <c r="V524" s="9">
        <v>1191956</v>
      </c>
      <c r="W524" s="8" t="s">
        <v>440</v>
      </c>
      <c r="X524" s="8" t="s">
        <v>308</v>
      </c>
      <c r="Y524" s="8" t="s">
        <v>175</v>
      </c>
      <c r="Z524" s="8">
        <v>4</v>
      </c>
      <c r="AA524" s="8">
        <v>12</v>
      </c>
      <c r="AB524" s="8"/>
      <c r="AC524" s="8" t="s">
        <v>238</v>
      </c>
      <c r="AD524" s="14" t="s">
        <v>185</v>
      </c>
      <c r="AE524" s="8" t="s">
        <v>186</v>
      </c>
      <c r="AF524" s="14">
        <v>0.35</v>
      </c>
      <c r="AG524" s="8">
        <v>900</v>
      </c>
      <c r="AH524" s="8">
        <v>0</v>
      </c>
      <c r="AI524" s="8">
        <v>147</v>
      </c>
      <c r="AJ524" s="8">
        <v>41.344999999999999</v>
      </c>
      <c r="AK524" s="127">
        <v>105.655</v>
      </c>
      <c r="AL524" s="103">
        <v>0</v>
      </c>
      <c r="AM524" s="8">
        <v>105.655</v>
      </c>
      <c r="AN524" s="21">
        <v>0</v>
      </c>
      <c r="AO524" s="21">
        <v>0</v>
      </c>
      <c r="AP524" s="21">
        <v>105.655</v>
      </c>
      <c r="AQ524" s="21">
        <v>0</v>
      </c>
      <c r="AR524" s="21">
        <v>0</v>
      </c>
      <c r="AS524" s="8">
        <v>105.655</v>
      </c>
      <c r="AT524" s="21">
        <v>0</v>
      </c>
      <c r="AU524" s="21">
        <v>0</v>
      </c>
      <c r="AV524" s="21">
        <v>0</v>
      </c>
      <c r="AW524" s="21">
        <v>105.655</v>
      </c>
      <c r="AX524" s="21">
        <v>0</v>
      </c>
      <c r="AY524" s="8">
        <v>0</v>
      </c>
    </row>
    <row r="525" spans="1:51" ht="15" customHeight="1" x14ac:dyDescent="0.25">
      <c r="A525" s="9">
        <v>742</v>
      </c>
      <c r="B525" s="13">
        <v>45730</v>
      </c>
      <c r="C525" s="9" t="s">
        <v>193</v>
      </c>
      <c r="D525" s="9">
        <v>4000500995</v>
      </c>
      <c r="E525" s="8">
        <v>7</v>
      </c>
      <c r="F525" s="9" t="s">
        <v>1105</v>
      </c>
      <c r="G525" s="79" t="s">
        <v>1303</v>
      </c>
      <c r="H525" s="9" t="s">
        <v>57</v>
      </c>
      <c r="I525" s="9" t="s">
        <v>50</v>
      </c>
      <c r="J525" s="9" t="s">
        <v>26</v>
      </c>
      <c r="K525" s="9" t="s">
        <v>170</v>
      </c>
      <c r="L525" s="39"/>
      <c r="M525" s="7" t="s">
        <v>1</v>
      </c>
      <c r="N525" s="8"/>
      <c r="O525" s="40"/>
      <c r="P525" s="15"/>
      <c r="Q525" s="9" t="s">
        <v>214</v>
      </c>
      <c r="R525" s="9" t="s">
        <v>240</v>
      </c>
      <c r="S525" s="9"/>
      <c r="T525" s="9">
        <v>600103</v>
      </c>
      <c r="U525" s="16" t="s">
        <v>102</v>
      </c>
      <c r="V525" s="9">
        <v>3226988</v>
      </c>
      <c r="W525" s="8" t="s">
        <v>599</v>
      </c>
      <c r="X525" s="8" t="s">
        <v>265</v>
      </c>
      <c r="Y525" s="8" t="s">
        <v>175</v>
      </c>
      <c r="Z525" s="8">
        <v>10</v>
      </c>
      <c r="AA525" s="8">
        <v>27</v>
      </c>
      <c r="AB525" s="8"/>
      <c r="AC525" s="8">
        <v>768</v>
      </c>
      <c r="AD525" s="14" t="s">
        <v>242</v>
      </c>
      <c r="AE525" s="8" t="s">
        <v>243</v>
      </c>
      <c r="AF525" s="14">
        <v>3.4</v>
      </c>
      <c r="AG525" s="8">
        <v>1250</v>
      </c>
      <c r="AH525" s="8">
        <v>0</v>
      </c>
      <c r="AI525" s="8">
        <v>50</v>
      </c>
      <c r="AJ525" s="8">
        <v>0</v>
      </c>
      <c r="AK525" s="127">
        <v>50</v>
      </c>
      <c r="AL525" s="103">
        <v>0</v>
      </c>
      <c r="AM525" s="8">
        <v>50</v>
      </c>
      <c r="AN525" s="21">
        <v>0</v>
      </c>
      <c r="AO525" s="21">
        <v>0</v>
      </c>
      <c r="AP525" s="21">
        <v>0</v>
      </c>
      <c r="AQ525" s="21">
        <v>50</v>
      </c>
      <c r="AR525" s="21">
        <v>0</v>
      </c>
      <c r="AS525" s="8">
        <v>50</v>
      </c>
      <c r="AT525" s="21">
        <v>0</v>
      </c>
      <c r="AU525" s="21">
        <v>0</v>
      </c>
      <c r="AV525" s="21">
        <v>0</v>
      </c>
      <c r="AW525" s="21">
        <v>50</v>
      </c>
      <c r="AX525" s="21">
        <v>0</v>
      </c>
      <c r="AY525" s="8">
        <v>0</v>
      </c>
    </row>
    <row r="526" spans="1:51" ht="15" customHeight="1" x14ac:dyDescent="0.25">
      <c r="A526" s="9">
        <v>743</v>
      </c>
      <c r="B526" s="13">
        <v>45744</v>
      </c>
      <c r="C526" s="9" t="s">
        <v>169</v>
      </c>
      <c r="D526" s="9">
        <v>9518649108</v>
      </c>
      <c r="E526" s="8">
        <v>1</v>
      </c>
      <c r="F526" s="9" t="s">
        <v>1106</v>
      </c>
      <c r="G526" s="9" t="s">
        <v>1303</v>
      </c>
      <c r="H526" s="9" t="s">
        <v>57</v>
      </c>
      <c r="I526" s="9" t="s">
        <v>38</v>
      </c>
      <c r="J526" s="9" t="s">
        <v>41</v>
      </c>
      <c r="K526" s="9" t="s">
        <v>233</v>
      </c>
      <c r="L526" s="39"/>
      <c r="M526" s="7" t="s">
        <v>1</v>
      </c>
      <c r="N526" s="8"/>
      <c r="O526" s="40"/>
      <c r="P526" s="15"/>
      <c r="Q526" s="9" t="s">
        <v>188</v>
      </c>
      <c r="R526" s="9" t="s">
        <v>574</v>
      </c>
      <c r="S526" s="9"/>
      <c r="T526" s="9">
        <v>944226</v>
      </c>
      <c r="U526" s="16" t="s">
        <v>609</v>
      </c>
      <c r="V526" s="9">
        <v>3982724</v>
      </c>
      <c r="W526" s="8" t="s">
        <v>1162</v>
      </c>
      <c r="X526" s="8" t="s">
        <v>317</v>
      </c>
      <c r="Y526" s="8" t="s">
        <v>175</v>
      </c>
      <c r="Z526" s="8">
        <v>10</v>
      </c>
      <c r="AA526" s="8">
        <v>17</v>
      </c>
      <c r="AB526" s="8"/>
      <c r="AC526" s="8" t="s">
        <v>222</v>
      </c>
      <c r="AD526" s="14" t="s">
        <v>223</v>
      </c>
      <c r="AE526" s="8" t="s">
        <v>372</v>
      </c>
      <c r="AF526" s="14">
        <v>0.9</v>
      </c>
      <c r="AG526" s="8">
        <v>1200</v>
      </c>
      <c r="AH526" s="8">
        <v>0</v>
      </c>
      <c r="AI526" s="8">
        <v>297</v>
      </c>
      <c r="AJ526" s="8">
        <v>0</v>
      </c>
      <c r="AK526" s="127">
        <v>297</v>
      </c>
      <c r="AL526" s="103">
        <v>0</v>
      </c>
      <c r="AM526" s="8">
        <v>297</v>
      </c>
      <c r="AN526" s="21">
        <v>0</v>
      </c>
      <c r="AO526" s="21">
        <v>0</v>
      </c>
      <c r="AP526" s="21">
        <v>297</v>
      </c>
      <c r="AQ526" s="21">
        <v>0</v>
      </c>
      <c r="AR526" s="21">
        <v>0</v>
      </c>
      <c r="AS526" s="8">
        <v>297</v>
      </c>
      <c r="AT526" s="21">
        <v>0</v>
      </c>
      <c r="AU526" s="21">
        <v>0</v>
      </c>
      <c r="AV526" s="21">
        <v>297</v>
      </c>
      <c r="AW526" s="21">
        <v>0</v>
      </c>
      <c r="AX526" s="21">
        <v>0</v>
      </c>
      <c r="AY526" s="8">
        <v>0</v>
      </c>
    </row>
    <row r="527" spans="1:51" ht="15" customHeight="1" x14ac:dyDescent="0.25">
      <c r="A527" s="9">
        <v>743</v>
      </c>
      <c r="B527" s="13">
        <v>45745</v>
      </c>
      <c r="C527" s="9" t="s">
        <v>169</v>
      </c>
      <c r="D527" s="9">
        <v>9518652119</v>
      </c>
      <c r="E527" s="8">
        <v>2</v>
      </c>
      <c r="F527" s="9" t="s">
        <v>1107</v>
      </c>
      <c r="G527" s="79" t="s">
        <v>1303</v>
      </c>
      <c r="H527" s="9" t="s">
        <v>57</v>
      </c>
      <c r="I527" s="9" t="s">
        <v>43</v>
      </c>
      <c r="J527" s="9" t="s">
        <v>44</v>
      </c>
      <c r="K527" s="9" t="s">
        <v>170</v>
      </c>
      <c r="L527" s="39"/>
      <c r="M527" s="7" t="s">
        <v>1</v>
      </c>
      <c r="N527" s="8"/>
      <c r="O527" s="40"/>
      <c r="P527" s="15" t="s">
        <v>244</v>
      </c>
      <c r="Q527" s="9" t="s">
        <v>188</v>
      </c>
      <c r="R527" s="9" t="s">
        <v>311</v>
      </c>
      <c r="S527" s="9"/>
      <c r="T527" s="9">
        <v>930519</v>
      </c>
      <c r="U527" s="16" t="s">
        <v>118</v>
      </c>
      <c r="V527" s="9">
        <v>1854410</v>
      </c>
      <c r="W527" s="8" t="s">
        <v>394</v>
      </c>
      <c r="X527" s="8" t="s">
        <v>308</v>
      </c>
      <c r="Y527" s="8" t="s">
        <v>175</v>
      </c>
      <c r="Z527" s="8">
        <v>4</v>
      </c>
      <c r="AA527" s="8">
        <v>6</v>
      </c>
      <c r="AB527" s="8"/>
      <c r="AC527" s="8" t="s">
        <v>238</v>
      </c>
      <c r="AD527" s="14" t="s">
        <v>185</v>
      </c>
      <c r="AE527" s="8" t="s">
        <v>186</v>
      </c>
      <c r="AF527" s="14">
        <v>0.4</v>
      </c>
      <c r="AG527" s="8">
        <v>1220</v>
      </c>
      <c r="AH527" s="8">
        <v>0</v>
      </c>
      <c r="AI527" s="8">
        <v>28</v>
      </c>
      <c r="AJ527" s="8">
        <v>0</v>
      </c>
      <c r="AK527" s="127">
        <v>28</v>
      </c>
      <c r="AL527" s="103">
        <v>0</v>
      </c>
      <c r="AM527" s="8">
        <v>28</v>
      </c>
      <c r="AN527" s="21">
        <v>0</v>
      </c>
      <c r="AO527" s="21">
        <v>0</v>
      </c>
      <c r="AP527" s="21">
        <v>28</v>
      </c>
      <c r="AQ527" s="21">
        <v>0</v>
      </c>
      <c r="AR527" s="21">
        <v>0</v>
      </c>
      <c r="AS527" s="8">
        <v>28</v>
      </c>
      <c r="AT527" s="21">
        <v>0</v>
      </c>
      <c r="AU527" s="21">
        <v>0</v>
      </c>
      <c r="AV527" s="21">
        <v>0</v>
      </c>
      <c r="AW527" s="21">
        <v>28</v>
      </c>
      <c r="AX527" s="21">
        <v>0</v>
      </c>
      <c r="AY527" s="8">
        <v>0</v>
      </c>
    </row>
    <row r="528" spans="1:51" ht="15" customHeight="1" x14ac:dyDescent="0.25">
      <c r="A528" s="9">
        <v>742</v>
      </c>
      <c r="B528" s="13">
        <v>45743</v>
      </c>
      <c r="C528" s="9" t="s">
        <v>169</v>
      </c>
      <c r="D528" s="9">
        <v>9518645033</v>
      </c>
      <c r="E528" s="8">
        <v>4</v>
      </c>
      <c r="F528" s="9" t="s">
        <v>1108</v>
      </c>
      <c r="G528" s="79" t="s">
        <v>1303</v>
      </c>
      <c r="H528" s="9" t="s">
        <v>57</v>
      </c>
      <c r="I528" s="9" t="s">
        <v>25</v>
      </c>
      <c r="J528" s="9" t="s">
        <v>30</v>
      </c>
      <c r="K528" s="9" t="s">
        <v>170</v>
      </c>
      <c r="L528" s="39"/>
      <c r="M528" s="7" t="s">
        <v>1</v>
      </c>
      <c r="N528" s="8"/>
      <c r="O528" s="40"/>
      <c r="P528" s="15"/>
      <c r="Q528" s="9" t="s">
        <v>214</v>
      </c>
      <c r="R528" s="9" t="s">
        <v>337</v>
      </c>
      <c r="S528" s="9"/>
      <c r="T528" s="9">
        <v>161312</v>
      </c>
      <c r="U528" s="16" t="s">
        <v>74</v>
      </c>
      <c r="V528" s="9">
        <v>2398457</v>
      </c>
      <c r="W528" s="8" t="s">
        <v>507</v>
      </c>
      <c r="X528" s="8" t="s">
        <v>265</v>
      </c>
      <c r="Y528" s="8" t="s">
        <v>175</v>
      </c>
      <c r="Z528" s="8">
        <v>5</v>
      </c>
      <c r="AA528" s="8">
        <v>29</v>
      </c>
      <c r="AB528" s="8"/>
      <c r="AC528" s="8" t="s">
        <v>190</v>
      </c>
      <c r="AD528" s="14" t="s">
        <v>191</v>
      </c>
      <c r="AE528" s="8" t="s">
        <v>192</v>
      </c>
      <c r="AF528" s="14">
        <v>1</v>
      </c>
      <c r="AG528" s="8">
        <v>1320</v>
      </c>
      <c r="AH528" s="8">
        <v>0</v>
      </c>
      <c r="AI528" s="8">
        <v>210</v>
      </c>
      <c r="AJ528" s="8">
        <v>0</v>
      </c>
      <c r="AK528" s="127">
        <v>210</v>
      </c>
      <c r="AL528" s="103">
        <v>0</v>
      </c>
      <c r="AM528" s="8">
        <v>210</v>
      </c>
      <c r="AN528" s="21">
        <v>0</v>
      </c>
      <c r="AO528" s="21">
        <v>0</v>
      </c>
      <c r="AP528" s="21">
        <v>0</v>
      </c>
      <c r="AQ528" s="21">
        <v>210</v>
      </c>
      <c r="AR528" s="21">
        <v>0</v>
      </c>
      <c r="AS528" s="8">
        <v>210</v>
      </c>
      <c r="AT528" s="21">
        <v>0</v>
      </c>
      <c r="AU528" s="21">
        <v>0</v>
      </c>
      <c r="AV528" s="21">
        <v>0</v>
      </c>
      <c r="AW528" s="21">
        <v>0</v>
      </c>
      <c r="AX528" s="21">
        <v>210</v>
      </c>
      <c r="AY528" s="8">
        <v>0</v>
      </c>
    </row>
    <row r="529" spans="1:51" ht="15" customHeight="1" x14ac:dyDescent="0.25">
      <c r="A529" s="9">
        <v>742</v>
      </c>
      <c r="B529" s="13">
        <v>45744</v>
      </c>
      <c r="C529" s="9" t="s">
        <v>169</v>
      </c>
      <c r="D529" s="9">
        <v>9518649438</v>
      </c>
      <c r="E529" s="8">
        <v>2</v>
      </c>
      <c r="F529" s="9" t="s">
        <v>1109</v>
      </c>
      <c r="G529" s="79" t="s">
        <v>1303</v>
      </c>
      <c r="H529" s="9" t="s">
        <v>57</v>
      </c>
      <c r="I529" s="9" t="s">
        <v>25</v>
      </c>
      <c r="J529" s="9" t="s">
        <v>30</v>
      </c>
      <c r="K529" s="9" t="s">
        <v>170</v>
      </c>
      <c r="L529" s="39"/>
      <c r="M529" s="7" t="s">
        <v>1</v>
      </c>
      <c r="N529" s="8"/>
      <c r="O529" s="40"/>
      <c r="P529" s="15"/>
      <c r="Q529" s="9" t="s">
        <v>214</v>
      </c>
      <c r="R529" s="9" t="s">
        <v>246</v>
      </c>
      <c r="S529" s="9"/>
      <c r="T529" s="9">
        <v>116465</v>
      </c>
      <c r="U529" s="16" t="s">
        <v>98</v>
      </c>
      <c r="V529" s="9">
        <v>1804854</v>
      </c>
      <c r="W529" s="8" t="s">
        <v>331</v>
      </c>
      <c r="X529" s="8" t="s">
        <v>265</v>
      </c>
      <c r="Y529" s="8" t="s">
        <v>175</v>
      </c>
      <c r="Z529" s="8">
        <v>6</v>
      </c>
      <c r="AA529" s="8">
        <v>18</v>
      </c>
      <c r="AB529" s="8"/>
      <c r="AC529" s="8" t="s">
        <v>190</v>
      </c>
      <c r="AD529" s="14" t="s">
        <v>191</v>
      </c>
      <c r="AE529" s="8" t="s">
        <v>192</v>
      </c>
      <c r="AF529" s="14">
        <v>1.2</v>
      </c>
      <c r="AG529" s="8">
        <v>1250</v>
      </c>
      <c r="AH529" s="8">
        <v>0</v>
      </c>
      <c r="AI529" s="8">
        <v>29</v>
      </c>
      <c r="AJ529" s="8">
        <v>0</v>
      </c>
      <c r="AK529" s="127">
        <v>29</v>
      </c>
      <c r="AL529" s="103">
        <v>0</v>
      </c>
      <c r="AM529" s="8">
        <v>29</v>
      </c>
      <c r="AN529" s="21">
        <v>0</v>
      </c>
      <c r="AO529" s="21">
        <v>0</v>
      </c>
      <c r="AP529" s="21">
        <v>0</v>
      </c>
      <c r="AQ529" s="21">
        <v>29</v>
      </c>
      <c r="AR529" s="21">
        <v>0</v>
      </c>
      <c r="AS529" s="8">
        <v>29</v>
      </c>
      <c r="AT529" s="21">
        <v>0</v>
      </c>
      <c r="AU529" s="21">
        <v>0</v>
      </c>
      <c r="AV529" s="21">
        <v>0</v>
      </c>
      <c r="AW529" s="21">
        <v>0</v>
      </c>
      <c r="AX529" s="21">
        <v>29</v>
      </c>
      <c r="AY529" s="8">
        <v>0</v>
      </c>
    </row>
    <row r="530" spans="1:51" ht="15" customHeight="1" x14ac:dyDescent="0.25">
      <c r="A530" s="9">
        <v>742</v>
      </c>
      <c r="B530" s="13">
        <v>45750</v>
      </c>
      <c r="C530" s="9" t="s">
        <v>169</v>
      </c>
      <c r="D530" s="9">
        <v>9518666879</v>
      </c>
      <c r="E530" s="8">
        <v>1</v>
      </c>
      <c r="F530" s="9" t="s">
        <v>1110</v>
      </c>
      <c r="G530" s="79" t="s">
        <v>1303</v>
      </c>
      <c r="H530" s="9" t="s">
        <v>57</v>
      </c>
      <c r="I530" s="9" t="s">
        <v>50</v>
      </c>
      <c r="J530" s="9" t="s">
        <v>26</v>
      </c>
      <c r="K530" s="9" t="s">
        <v>170</v>
      </c>
      <c r="L530" s="39">
        <v>3600</v>
      </c>
      <c r="M530" s="7" t="s">
        <v>1</v>
      </c>
      <c r="N530" s="8"/>
      <c r="O530" s="40"/>
      <c r="P530" s="15"/>
      <c r="Q530" s="9" t="s">
        <v>214</v>
      </c>
      <c r="R530" s="9" t="s">
        <v>246</v>
      </c>
      <c r="S530" s="9"/>
      <c r="T530" s="9">
        <v>102888</v>
      </c>
      <c r="U530" s="16" t="s">
        <v>425</v>
      </c>
      <c r="V530" s="9">
        <v>1210086</v>
      </c>
      <c r="W530" s="8" t="s">
        <v>592</v>
      </c>
      <c r="X530" s="8" t="s">
        <v>265</v>
      </c>
      <c r="Y530" s="8" t="s">
        <v>175</v>
      </c>
      <c r="Z530" s="8">
        <v>18</v>
      </c>
      <c r="AA530" s="8">
        <v>27</v>
      </c>
      <c r="AB530" s="8"/>
      <c r="AC530" s="8">
        <v>768</v>
      </c>
      <c r="AD530" s="14" t="s">
        <v>242</v>
      </c>
      <c r="AE530" s="8" t="s">
        <v>243</v>
      </c>
      <c r="AF530" s="14">
        <v>4</v>
      </c>
      <c r="AG530" s="8">
        <v>1250</v>
      </c>
      <c r="AH530" s="8">
        <v>0</v>
      </c>
      <c r="AI530" s="8">
        <v>25</v>
      </c>
      <c r="AJ530" s="8">
        <v>0</v>
      </c>
      <c r="AK530" s="127">
        <v>25</v>
      </c>
      <c r="AL530" s="103">
        <v>0</v>
      </c>
      <c r="AM530" s="8">
        <v>25</v>
      </c>
      <c r="AN530" s="21">
        <v>0</v>
      </c>
      <c r="AO530" s="21">
        <v>0</v>
      </c>
      <c r="AP530" s="21">
        <v>0</v>
      </c>
      <c r="AQ530" s="21">
        <v>25</v>
      </c>
      <c r="AR530" s="21">
        <v>0</v>
      </c>
      <c r="AS530" s="8">
        <v>25</v>
      </c>
      <c r="AT530" s="21">
        <v>0</v>
      </c>
      <c r="AU530" s="21">
        <v>0</v>
      </c>
      <c r="AV530" s="21">
        <v>0</v>
      </c>
      <c r="AW530" s="21">
        <v>25</v>
      </c>
      <c r="AX530" s="21">
        <v>0</v>
      </c>
      <c r="AY530" s="8">
        <v>0</v>
      </c>
    </row>
    <row r="531" spans="1:51" ht="15" customHeight="1" x14ac:dyDescent="0.25">
      <c r="A531" s="9">
        <v>742</v>
      </c>
      <c r="B531" s="13">
        <v>45693</v>
      </c>
      <c r="C531" s="9" t="s">
        <v>169</v>
      </c>
      <c r="D531" s="9">
        <v>9518495920</v>
      </c>
      <c r="E531" s="8">
        <v>4</v>
      </c>
      <c r="F531" s="9" t="s">
        <v>1111</v>
      </c>
      <c r="G531" s="79" t="s">
        <v>1303</v>
      </c>
      <c r="H531" s="9" t="s">
        <v>57</v>
      </c>
      <c r="I531" s="9" t="s">
        <v>25</v>
      </c>
      <c r="J531" s="9" t="s">
        <v>31</v>
      </c>
      <c r="K531" s="9" t="s">
        <v>170</v>
      </c>
      <c r="L531" s="39"/>
      <c r="M531" s="7" t="s">
        <v>1</v>
      </c>
      <c r="N531" s="8"/>
      <c r="O531" s="40"/>
      <c r="P531" s="15"/>
      <c r="Q531" s="9" t="s">
        <v>172</v>
      </c>
      <c r="R531" s="9" t="s">
        <v>286</v>
      </c>
      <c r="S531" s="9"/>
      <c r="T531" s="9">
        <v>931525</v>
      </c>
      <c r="U531" s="16" t="s">
        <v>75</v>
      </c>
      <c r="V531" s="9">
        <v>3240863</v>
      </c>
      <c r="W531" s="8" t="s">
        <v>748</v>
      </c>
      <c r="X531" s="8" t="s">
        <v>265</v>
      </c>
      <c r="Y531" s="8" t="s">
        <v>175</v>
      </c>
      <c r="Z531" s="8">
        <v>0</v>
      </c>
      <c r="AA531" s="8">
        <v>0</v>
      </c>
      <c r="AB531" s="8"/>
      <c r="AC531" s="8" t="s">
        <v>210</v>
      </c>
      <c r="AD531" s="14" t="s">
        <v>218</v>
      </c>
      <c r="AE531" s="8" t="s">
        <v>250</v>
      </c>
      <c r="AF531" s="14">
        <v>1.5</v>
      </c>
      <c r="AG531" s="8">
        <v>1250</v>
      </c>
      <c r="AH531" s="8">
        <v>2500</v>
      </c>
      <c r="AI531" s="8">
        <v>27</v>
      </c>
      <c r="AJ531" s="8">
        <v>0</v>
      </c>
      <c r="AK531" s="127">
        <v>27</v>
      </c>
      <c r="AL531" s="103">
        <v>0</v>
      </c>
      <c r="AM531" s="8">
        <v>27</v>
      </c>
      <c r="AN531" s="21">
        <v>0</v>
      </c>
      <c r="AO531" s="21">
        <v>0</v>
      </c>
      <c r="AP531" s="21">
        <v>0</v>
      </c>
      <c r="AQ531" s="21">
        <v>27</v>
      </c>
      <c r="AR531" s="21">
        <v>0</v>
      </c>
      <c r="AS531" s="8">
        <v>27</v>
      </c>
      <c r="AT531" s="21">
        <v>0</v>
      </c>
      <c r="AU531" s="21">
        <v>0</v>
      </c>
      <c r="AV531" s="21">
        <v>0</v>
      </c>
      <c r="AW531" s="21">
        <v>27</v>
      </c>
      <c r="AX531" s="21">
        <v>0</v>
      </c>
      <c r="AY531" s="8">
        <v>0</v>
      </c>
    </row>
    <row r="532" spans="1:51" ht="15" customHeight="1" x14ac:dyDescent="0.25">
      <c r="A532" s="9">
        <v>742</v>
      </c>
      <c r="B532" s="13">
        <v>45749</v>
      </c>
      <c r="C532" s="9" t="s">
        <v>169</v>
      </c>
      <c r="D532" s="9">
        <v>9518664956</v>
      </c>
      <c r="E532" s="8">
        <v>1</v>
      </c>
      <c r="F532" s="9" t="s">
        <v>1112</v>
      </c>
      <c r="G532" s="79" t="s">
        <v>1303</v>
      </c>
      <c r="H532" s="9" t="s">
        <v>57</v>
      </c>
      <c r="I532" s="9" t="s">
        <v>25</v>
      </c>
      <c r="J532" s="9" t="s">
        <v>30</v>
      </c>
      <c r="K532" s="9" t="s">
        <v>170</v>
      </c>
      <c r="L532" s="39"/>
      <c r="M532" s="7" t="s">
        <v>1</v>
      </c>
      <c r="N532" s="8"/>
      <c r="O532" s="40"/>
      <c r="P532" s="15"/>
      <c r="Q532" s="9" t="s">
        <v>214</v>
      </c>
      <c r="R532" s="9" t="s">
        <v>246</v>
      </c>
      <c r="S532" s="9"/>
      <c r="T532" s="9">
        <v>102888</v>
      </c>
      <c r="U532" s="16" t="s">
        <v>425</v>
      </c>
      <c r="V532" s="9">
        <v>1804814</v>
      </c>
      <c r="W532" s="8" t="s">
        <v>468</v>
      </c>
      <c r="X532" s="8" t="s">
        <v>265</v>
      </c>
      <c r="Y532" s="8" t="s">
        <v>175</v>
      </c>
      <c r="Z532" s="8">
        <v>6</v>
      </c>
      <c r="AA532" s="8">
        <v>18</v>
      </c>
      <c r="AB532" s="8"/>
      <c r="AC532" s="8" t="s">
        <v>190</v>
      </c>
      <c r="AD532" s="14" t="s">
        <v>191</v>
      </c>
      <c r="AE532" s="8" t="s">
        <v>192</v>
      </c>
      <c r="AF532" s="14">
        <v>0.8</v>
      </c>
      <c r="AG532" s="8">
        <v>1250</v>
      </c>
      <c r="AH532" s="8">
        <v>0</v>
      </c>
      <c r="AI532" s="8">
        <v>29</v>
      </c>
      <c r="AJ532" s="8">
        <v>0</v>
      </c>
      <c r="AK532" s="127">
        <v>29</v>
      </c>
      <c r="AL532" s="103">
        <v>0</v>
      </c>
      <c r="AM532" s="8">
        <v>29</v>
      </c>
      <c r="AN532" s="21">
        <v>0</v>
      </c>
      <c r="AO532" s="21">
        <v>29</v>
      </c>
      <c r="AP532" s="21">
        <v>0</v>
      </c>
      <c r="AQ532" s="21">
        <v>0</v>
      </c>
      <c r="AR532" s="21">
        <v>0</v>
      </c>
      <c r="AS532" s="8">
        <v>29</v>
      </c>
      <c r="AT532" s="21">
        <v>0</v>
      </c>
      <c r="AU532" s="21">
        <v>0</v>
      </c>
      <c r="AV532" s="21">
        <v>29</v>
      </c>
      <c r="AW532" s="21">
        <v>0</v>
      </c>
      <c r="AX532" s="21">
        <v>0</v>
      </c>
      <c r="AY532" s="8">
        <v>0</v>
      </c>
    </row>
    <row r="533" spans="1:51" ht="15" customHeight="1" x14ac:dyDescent="0.25">
      <c r="A533" s="9">
        <v>743</v>
      </c>
      <c r="B533" s="13">
        <v>45741</v>
      </c>
      <c r="C533" s="9" t="s">
        <v>169</v>
      </c>
      <c r="D533" s="9">
        <v>9518633224</v>
      </c>
      <c r="E533" s="8">
        <v>1</v>
      </c>
      <c r="F533" s="9" t="s">
        <v>1113</v>
      </c>
      <c r="G533" s="9" t="s">
        <v>1303</v>
      </c>
      <c r="H533" s="9" t="s">
        <v>57</v>
      </c>
      <c r="I533" s="9" t="s">
        <v>38</v>
      </c>
      <c r="J533" s="9" t="s">
        <v>41</v>
      </c>
      <c r="K533" s="9" t="s">
        <v>233</v>
      </c>
      <c r="L533" s="39"/>
      <c r="M533" s="7" t="s">
        <v>1</v>
      </c>
      <c r="N533" s="8"/>
      <c r="O533" s="40"/>
      <c r="P533" s="15"/>
      <c r="Q533" s="9" t="s">
        <v>188</v>
      </c>
      <c r="R533" s="9" t="s">
        <v>343</v>
      </c>
      <c r="S533" s="9"/>
      <c r="T533" s="9">
        <v>184591</v>
      </c>
      <c r="U533" s="16" t="s">
        <v>108</v>
      </c>
      <c r="V533" s="9">
        <v>3875613</v>
      </c>
      <c r="W533" s="8" t="s">
        <v>818</v>
      </c>
      <c r="X533" s="8" t="s">
        <v>317</v>
      </c>
      <c r="Y533" s="8" t="s">
        <v>175</v>
      </c>
      <c r="Z533" s="8">
        <v>8</v>
      </c>
      <c r="AA533" s="8">
        <v>18</v>
      </c>
      <c r="AB533" s="8"/>
      <c r="AC533" s="8" t="s">
        <v>222</v>
      </c>
      <c r="AD533" s="14" t="s">
        <v>223</v>
      </c>
      <c r="AE533" s="8" t="s">
        <v>372</v>
      </c>
      <c r="AF533" s="14">
        <v>0.8</v>
      </c>
      <c r="AG533" s="8">
        <v>1250</v>
      </c>
      <c r="AH533" s="8">
        <v>0</v>
      </c>
      <c r="AI533" s="8">
        <v>261</v>
      </c>
      <c r="AJ533" s="8">
        <v>240.84</v>
      </c>
      <c r="AK533" s="127">
        <v>20.16</v>
      </c>
      <c r="AL533" s="103">
        <v>0</v>
      </c>
      <c r="AM533" s="8">
        <v>20.16</v>
      </c>
      <c r="AN533" s="21">
        <v>0</v>
      </c>
      <c r="AO533" s="21">
        <v>0</v>
      </c>
      <c r="AP533" s="21">
        <v>0</v>
      </c>
      <c r="AQ533" s="21">
        <v>0</v>
      </c>
      <c r="AR533" s="21">
        <v>20.16</v>
      </c>
      <c r="AS533" s="8">
        <v>20.16</v>
      </c>
      <c r="AT533" s="21">
        <v>0</v>
      </c>
      <c r="AU533" s="21">
        <v>0</v>
      </c>
      <c r="AV533" s="21">
        <v>0</v>
      </c>
      <c r="AW533" s="21">
        <v>0</v>
      </c>
      <c r="AX533" s="21">
        <v>20.16</v>
      </c>
      <c r="AY533" s="8">
        <v>0</v>
      </c>
    </row>
    <row r="534" spans="1:51" ht="15" customHeight="1" x14ac:dyDescent="0.25">
      <c r="A534" s="9">
        <v>743</v>
      </c>
      <c r="B534" s="13">
        <v>45741</v>
      </c>
      <c r="C534" s="9" t="s">
        <v>169</v>
      </c>
      <c r="D534" s="9">
        <v>9518633224</v>
      </c>
      <c r="E534" s="8">
        <v>2</v>
      </c>
      <c r="F534" s="9" t="s">
        <v>1114</v>
      </c>
      <c r="G534" s="79" t="s">
        <v>1303</v>
      </c>
      <c r="H534" s="9" t="s">
        <v>57</v>
      </c>
      <c r="I534" s="9" t="s">
        <v>38</v>
      </c>
      <c r="J534" s="9" t="s">
        <v>41</v>
      </c>
      <c r="K534" s="9" t="s">
        <v>233</v>
      </c>
      <c r="L534" s="39"/>
      <c r="M534" s="7" t="s">
        <v>1</v>
      </c>
      <c r="N534" s="8"/>
      <c r="O534" s="40"/>
      <c r="P534" s="15"/>
      <c r="Q534" s="9" t="s">
        <v>188</v>
      </c>
      <c r="R534" s="9" t="s">
        <v>343</v>
      </c>
      <c r="S534" s="9"/>
      <c r="T534" s="9">
        <v>184591</v>
      </c>
      <c r="U534" s="16" t="s">
        <v>108</v>
      </c>
      <c r="V534" s="9">
        <v>3875613</v>
      </c>
      <c r="W534" s="8" t="s">
        <v>818</v>
      </c>
      <c r="X534" s="8" t="s">
        <v>317</v>
      </c>
      <c r="Y534" s="8" t="s">
        <v>175</v>
      </c>
      <c r="Z534" s="8">
        <v>8</v>
      </c>
      <c r="AA534" s="8">
        <v>18</v>
      </c>
      <c r="AB534" s="8"/>
      <c r="AC534" s="8" t="s">
        <v>222</v>
      </c>
      <c r="AD534" s="14" t="s">
        <v>223</v>
      </c>
      <c r="AE534" s="8" t="s">
        <v>372</v>
      </c>
      <c r="AF534" s="14">
        <v>0.8</v>
      </c>
      <c r="AG534" s="8">
        <v>1250</v>
      </c>
      <c r="AH534" s="8">
        <v>0</v>
      </c>
      <c r="AI534" s="8">
        <v>261</v>
      </c>
      <c r="AJ534" s="8">
        <v>0</v>
      </c>
      <c r="AK534" s="127">
        <v>261</v>
      </c>
      <c r="AL534" s="103">
        <v>0</v>
      </c>
      <c r="AM534" s="8">
        <v>261</v>
      </c>
      <c r="AN534" s="21">
        <v>0</v>
      </c>
      <c r="AO534" s="21">
        <v>0</v>
      </c>
      <c r="AP534" s="21">
        <v>0</v>
      </c>
      <c r="AQ534" s="21">
        <v>0</v>
      </c>
      <c r="AR534" s="21">
        <v>261</v>
      </c>
      <c r="AS534" s="8">
        <v>261</v>
      </c>
      <c r="AT534" s="21">
        <v>0</v>
      </c>
      <c r="AU534" s="21">
        <v>0</v>
      </c>
      <c r="AV534" s="21">
        <v>0</v>
      </c>
      <c r="AW534" s="21">
        <v>0</v>
      </c>
      <c r="AX534" s="21">
        <v>261</v>
      </c>
      <c r="AY534" s="8">
        <v>0</v>
      </c>
    </row>
    <row r="535" spans="1:51" ht="15" customHeight="1" x14ac:dyDescent="0.25">
      <c r="A535" s="9">
        <v>742</v>
      </c>
      <c r="B535" s="13">
        <v>45732</v>
      </c>
      <c r="C535" s="9" t="s">
        <v>169</v>
      </c>
      <c r="D535" s="9">
        <v>9518604267</v>
      </c>
      <c r="E535" s="8">
        <v>2</v>
      </c>
      <c r="F535" s="9" t="s">
        <v>1115</v>
      </c>
      <c r="G535" s="79" t="s">
        <v>1303</v>
      </c>
      <c r="H535" s="9" t="s">
        <v>57</v>
      </c>
      <c r="I535" s="9" t="s">
        <v>35</v>
      </c>
      <c r="J535" s="9" t="s">
        <v>28</v>
      </c>
      <c r="K535" s="9" t="s">
        <v>233</v>
      </c>
      <c r="L535" s="39"/>
      <c r="M535" s="7" t="s">
        <v>1</v>
      </c>
      <c r="N535" s="8"/>
      <c r="O535" s="40"/>
      <c r="P535" s="15"/>
      <c r="Q535" s="9" t="s">
        <v>188</v>
      </c>
      <c r="R535" s="9" t="s">
        <v>290</v>
      </c>
      <c r="S535" s="9"/>
      <c r="T535" s="9">
        <v>189108</v>
      </c>
      <c r="U535" s="16" t="s">
        <v>291</v>
      </c>
      <c r="V535" s="9">
        <v>3577912</v>
      </c>
      <c r="W535" s="8" t="s">
        <v>602</v>
      </c>
      <c r="X535" s="8" t="s">
        <v>265</v>
      </c>
      <c r="Y535" s="8" t="s">
        <v>175</v>
      </c>
      <c r="Z535" s="8">
        <v>10</v>
      </c>
      <c r="AA535" s="8">
        <v>22</v>
      </c>
      <c r="AB535" s="8"/>
      <c r="AC535" s="8" t="s">
        <v>292</v>
      </c>
      <c r="AD535" s="14" t="s">
        <v>293</v>
      </c>
      <c r="AE535" s="8" t="s">
        <v>294</v>
      </c>
      <c r="AF535" s="14">
        <v>0.36</v>
      </c>
      <c r="AG535" s="8">
        <v>1320</v>
      </c>
      <c r="AH535" s="8">
        <v>0</v>
      </c>
      <c r="AI535" s="8">
        <v>300</v>
      </c>
      <c r="AJ535" s="8">
        <v>0</v>
      </c>
      <c r="AK535" s="127">
        <v>285.89</v>
      </c>
      <c r="AL535" s="103">
        <v>14.11</v>
      </c>
      <c r="AM535" s="8">
        <v>285.89</v>
      </c>
      <c r="AN535" s="21">
        <v>0</v>
      </c>
      <c r="AO535" s="21">
        <v>0</v>
      </c>
      <c r="AP535" s="21">
        <v>285.89</v>
      </c>
      <c r="AQ535" s="21">
        <v>0</v>
      </c>
      <c r="AR535" s="21">
        <v>0</v>
      </c>
      <c r="AS535" s="8">
        <v>300</v>
      </c>
      <c r="AT535" s="21">
        <v>0</v>
      </c>
      <c r="AU535" s="21">
        <v>0</v>
      </c>
      <c r="AV535" s="21">
        <v>0</v>
      </c>
      <c r="AW535" s="21">
        <v>300</v>
      </c>
      <c r="AX535" s="21">
        <v>0</v>
      </c>
      <c r="AY535" s="8">
        <v>0</v>
      </c>
    </row>
    <row r="536" spans="1:51" ht="15" customHeight="1" x14ac:dyDescent="0.25">
      <c r="A536" s="9">
        <v>742</v>
      </c>
      <c r="B536" s="13">
        <v>45750</v>
      </c>
      <c r="C536" s="9" t="s">
        <v>169</v>
      </c>
      <c r="D536" s="9">
        <v>9518666216</v>
      </c>
      <c r="E536" s="8">
        <v>2</v>
      </c>
      <c r="F536" s="9" t="s">
        <v>1116</v>
      </c>
      <c r="G536" s="79" t="s">
        <v>1303</v>
      </c>
      <c r="H536" s="9" t="s">
        <v>57</v>
      </c>
      <c r="I536" s="9" t="s">
        <v>25</v>
      </c>
      <c r="J536" s="9" t="s">
        <v>31</v>
      </c>
      <c r="K536" s="9" t="s">
        <v>170</v>
      </c>
      <c r="L536" s="39"/>
      <c r="M536" s="7" t="s">
        <v>1</v>
      </c>
      <c r="N536" s="8"/>
      <c r="O536" s="40"/>
      <c r="P536" s="15"/>
      <c r="Q536" s="9" t="s">
        <v>180</v>
      </c>
      <c r="R536" s="9" t="s">
        <v>208</v>
      </c>
      <c r="S536" s="9"/>
      <c r="T536" s="9">
        <v>101278</v>
      </c>
      <c r="U536" s="16" t="s">
        <v>95</v>
      </c>
      <c r="V536" s="9">
        <v>3239567</v>
      </c>
      <c r="W536" s="8" t="s">
        <v>255</v>
      </c>
      <c r="X536" s="8" t="s">
        <v>265</v>
      </c>
      <c r="Y536" s="8" t="s">
        <v>175</v>
      </c>
      <c r="Z536" s="8">
        <v>0</v>
      </c>
      <c r="AA536" s="8">
        <v>0</v>
      </c>
      <c r="AB536" s="8"/>
      <c r="AC536" s="8" t="s">
        <v>210</v>
      </c>
      <c r="AD536" s="14" t="s">
        <v>211</v>
      </c>
      <c r="AE536" s="8" t="s">
        <v>212</v>
      </c>
      <c r="AF536" s="14">
        <v>0.45</v>
      </c>
      <c r="AG536" s="8">
        <v>1000</v>
      </c>
      <c r="AH536" s="8">
        <v>2500</v>
      </c>
      <c r="AI536" s="8">
        <v>27</v>
      </c>
      <c r="AJ536" s="8">
        <v>0</v>
      </c>
      <c r="AK536" s="127">
        <v>27</v>
      </c>
      <c r="AL536" s="103">
        <v>0</v>
      </c>
      <c r="AM536" s="8">
        <v>27</v>
      </c>
      <c r="AN536" s="21">
        <v>0</v>
      </c>
      <c r="AO536" s="21">
        <v>0</v>
      </c>
      <c r="AP536" s="21">
        <v>0</v>
      </c>
      <c r="AQ536" s="21">
        <v>27</v>
      </c>
      <c r="AR536" s="21">
        <v>0</v>
      </c>
      <c r="AS536" s="8">
        <v>27</v>
      </c>
      <c r="AT536" s="21">
        <v>0</v>
      </c>
      <c r="AU536" s="21">
        <v>0</v>
      </c>
      <c r="AV536" s="21">
        <v>0</v>
      </c>
      <c r="AW536" s="21">
        <v>27</v>
      </c>
      <c r="AX536" s="21">
        <v>0</v>
      </c>
      <c r="AY536" s="8">
        <v>0</v>
      </c>
    </row>
    <row r="537" spans="1:51" ht="15" customHeight="1" x14ac:dyDescent="0.25">
      <c r="A537" s="9">
        <v>742</v>
      </c>
      <c r="B537" s="13">
        <v>45747</v>
      </c>
      <c r="C537" s="9" t="s">
        <v>779</v>
      </c>
      <c r="D537" s="9">
        <v>9518660606</v>
      </c>
      <c r="E537" s="8">
        <v>1</v>
      </c>
      <c r="F537" s="9" t="s">
        <v>1117</v>
      </c>
      <c r="G537" s="9" t="s">
        <v>1687</v>
      </c>
      <c r="H537" s="9" t="s">
        <v>57</v>
      </c>
      <c r="I537" s="9" t="s">
        <v>50</v>
      </c>
      <c r="J537" s="9" t="s">
        <v>54</v>
      </c>
      <c r="K537" s="9" t="s">
        <v>881</v>
      </c>
      <c r="L537" s="39"/>
      <c r="M537" s="7" t="s">
        <v>1</v>
      </c>
      <c r="N537" s="8"/>
      <c r="O537" s="40"/>
      <c r="P537" s="15"/>
      <c r="Q537" s="9" t="s">
        <v>214</v>
      </c>
      <c r="R537" s="9" t="s">
        <v>240</v>
      </c>
      <c r="S537" s="9"/>
      <c r="T537" s="9">
        <v>157491</v>
      </c>
      <c r="U537" s="16" t="s">
        <v>86</v>
      </c>
      <c r="V537" s="9">
        <v>1309819</v>
      </c>
      <c r="W537" s="8" t="s">
        <v>1164</v>
      </c>
      <c r="X537" s="8" t="s">
        <v>265</v>
      </c>
      <c r="Y537" s="8" t="s">
        <v>175</v>
      </c>
      <c r="Z537" s="8">
        <v>17</v>
      </c>
      <c r="AA537" s="8">
        <v>27.5</v>
      </c>
      <c r="AB537" s="8"/>
      <c r="AC537" s="8">
        <v>768</v>
      </c>
      <c r="AD537" s="14" t="s">
        <v>1171</v>
      </c>
      <c r="AE537" s="8" t="s">
        <v>1172</v>
      </c>
      <c r="AF537" s="14">
        <v>3</v>
      </c>
      <c r="AG537" s="8">
        <v>1250</v>
      </c>
      <c r="AH537" s="8">
        <v>0</v>
      </c>
      <c r="AI537" s="8">
        <v>50</v>
      </c>
      <c r="AJ537" s="8">
        <v>0</v>
      </c>
      <c r="AK537" s="127">
        <v>0</v>
      </c>
      <c r="AL537" s="103">
        <v>24.07</v>
      </c>
      <c r="AM537" s="8">
        <v>0</v>
      </c>
      <c r="AN537" s="21">
        <v>0</v>
      </c>
      <c r="AO537" s="21">
        <v>0</v>
      </c>
      <c r="AP537" s="21">
        <v>0</v>
      </c>
      <c r="AQ537" s="21">
        <v>0</v>
      </c>
      <c r="AR537" s="21">
        <v>0</v>
      </c>
      <c r="AS537" s="8">
        <v>24.07</v>
      </c>
      <c r="AT537" s="21">
        <v>24.07</v>
      </c>
      <c r="AU537" s="21">
        <v>0</v>
      </c>
      <c r="AV537" s="21">
        <v>0</v>
      </c>
      <c r="AW537" s="21">
        <v>0</v>
      </c>
      <c r="AX537" s="21">
        <v>0</v>
      </c>
      <c r="AY537" s="8">
        <v>0</v>
      </c>
    </row>
    <row r="538" spans="1:51" ht="15" customHeight="1" x14ac:dyDescent="0.25">
      <c r="A538" s="9">
        <v>742</v>
      </c>
      <c r="B538" s="13">
        <v>45747</v>
      </c>
      <c r="C538" s="9" t="s">
        <v>779</v>
      </c>
      <c r="D538" s="9">
        <v>9518660606</v>
      </c>
      <c r="E538" s="8">
        <v>2</v>
      </c>
      <c r="F538" s="9" t="s">
        <v>1118</v>
      </c>
      <c r="G538" s="9" t="s">
        <v>1687</v>
      </c>
      <c r="H538" s="9" t="s">
        <v>57</v>
      </c>
      <c r="I538" s="9" t="s">
        <v>50</v>
      </c>
      <c r="J538" s="9" t="s">
        <v>54</v>
      </c>
      <c r="K538" s="9" t="s">
        <v>881</v>
      </c>
      <c r="L538" s="39"/>
      <c r="M538" s="7" t="s">
        <v>1</v>
      </c>
      <c r="N538" s="8"/>
      <c r="O538" s="40"/>
      <c r="P538" s="15"/>
      <c r="Q538" s="9" t="s">
        <v>214</v>
      </c>
      <c r="R538" s="9" t="s">
        <v>240</v>
      </c>
      <c r="S538" s="9"/>
      <c r="T538" s="9">
        <v>157491</v>
      </c>
      <c r="U538" s="16" t="s">
        <v>86</v>
      </c>
      <c r="V538" s="9">
        <v>1309820</v>
      </c>
      <c r="W538" s="8" t="s">
        <v>1165</v>
      </c>
      <c r="X538" s="8" t="s">
        <v>265</v>
      </c>
      <c r="Y538" s="8" t="s">
        <v>175</v>
      </c>
      <c r="Z538" s="8">
        <v>17</v>
      </c>
      <c r="AA538" s="8">
        <v>27.5</v>
      </c>
      <c r="AB538" s="8"/>
      <c r="AC538" s="8">
        <v>768</v>
      </c>
      <c r="AD538" s="14" t="s">
        <v>1171</v>
      </c>
      <c r="AE538" s="8" t="s">
        <v>1172</v>
      </c>
      <c r="AF538" s="14">
        <v>3.2</v>
      </c>
      <c r="AG538" s="8">
        <v>1250</v>
      </c>
      <c r="AH538" s="8">
        <v>0</v>
      </c>
      <c r="AI538" s="8">
        <v>50</v>
      </c>
      <c r="AJ538" s="8">
        <v>0</v>
      </c>
      <c r="AK538" s="127">
        <v>0</v>
      </c>
      <c r="AL538" s="103">
        <v>48.674999999999997</v>
      </c>
      <c r="AM538" s="8">
        <v>0</v>
      </c>
      <c r="AN538" s="21">
        <v>0</v>
      </c>
      <c r="AO538" s="21">
        <v>0</v>
      </c>
      <c r="AP538" s="21">
        <v>0</v>
      </c>
      <c r="AQ538" s="21">
        <v>0</v>
      </c>
      <c r="AR538" s="21">
        <v>0</v>
      </c>
      <c r="AS538" s="8">
        <v>48.674999999999997</v>
      </c>
      <c r="AT538" s="21">
        <v>48.674999999999997</v>
      </c>
      <c r="AU538" s="21">
        <v>0</v>
      </c>
      <c r="AV538" s="21">
        <v>0</v>
      </c>
      <c r="AW538" s="21">
        <v>0</v>
      </c>
      <c r="AX538" s="21">
        <v>0</v>
      </c>
      <c r="AY538" s="8">
        <v>0</v>
      </c>
    </row>
    <row r="539" spans="1:51" ht="15" customHeight="1" x14ac:dyDescent="0.25">
      <c r="A539" s="9">
        <v>742</v>
      </c>
      <c r="B539" s="13">
        <v>45740</v>
      </c>
      <c r="C539" s="9" t="s">
        <v>169</v>
      </c>
      <c r="D539" s="9">
        <v>9518628976</v>
      </c>
      <c r="E539" s="8">
        <v>4</v>
      </c>
      <c r="F539" s="9" t="s">
        <v>1119</v>
      </c>
      <c r="G539" s="9" t="s">
        <v>1303</v>
      </c>
      <c r="H539" s="9" t="s">
        <v>57</v>
      </c>
      <c r="I539" s="9" t="s">
        <v>25</v>
      </c>
      <c r="J539" s="9" t="s">
        <v>30</v>
      </c>
      <c r="K539" s="9" t="s">
        <v>170</v>
      </c>
      <c r="L539" s="39"/>
      <c r="M539" s="7" t="s">
        <v>1</v>
      </c>
      <c r="N539" s="8"/>
      <c r="O539" s="40"/>
      <c r="P539" s="15"/>
      <c r="Q539" s="9" t="s">
        <v>214</v>
      </c>
      <c r="R539" s="9" t="s">
        <v>450</v>
      </c>
      <c r="S539" s="9"/>
      <c r="T539" s="9">
        <v>116465</v>
      </c>
      <c r="U539" s="16" t="s">
        <v>98</v>
      </c>
      <c r="V539" s="9">
        <v>353957</v>
      </c>
      <c r="W539" s="8" t="s">
        <v>508</v>
      </c>
      <c r="X539" s="8" t="s">
        <v>265</v>
      </c>
      <c r="Y539" s="8" t="s">
        <v>175</v>
      </c>
      <c r="Z539" s="8">
        <v>0</v>
      </c>
      <c r="AA539" s="8">
        <v>0</v>
      </c>
      <c r="AB539" s="8"/>
      <c r="AC539" s="8" t="s">
        <v>210</v>
      </c>
      <c r="AD539" s="14" t="s">
        <v>191</v>
      </c>
      <c r="AE539" s="8" t="s">
        <v>192</v>
      </c>
      <c r="AF539" s="14">
        <v>0.8</v>
      </c>
      <c r="AG539" s="8">
        <v>1250</v>
      </c>
      <c r="AH539" s="8">
        <v>2500</v>
      </c>
      <c r="AI539" s="8">
        <v>60</v>
      </c>
      <c r="AJ539" s="8">
        <v>0</v>
      </c>
      <c r="AK539" s="127">
        <v>60</v>
      </c>
      <c r="AL539" s="103">
        <v>0</v>
      </c>
      <c r="AM539" s="8">
        <v>60</v>
      </c>
      <c r="AN539" s="21">
        <v>0</v>
      </c>
      <c r="AO539" s="21">
        <v>60</v>
      </c>
      <c r="AP539" s="21">
        <v>0</v>
      </c>
      <c r="AQ539" s="21">
        <v>0</v>
      </c>
      <c r="AR539" s="21">
        <v>0</v>
      </c>
      <c r="AS539" s="8">
        <v>60</v>
      </c>
      <c r="AT539" s="21">
        <v>0</v>
      </c>
      <c r="AU539" s="21">
        <v>0</v>
      </c>
      <c r="AV539" s="21">
        <v>60</v>
      </c>
      <c r="AW539" s="21">
        <v>0</v>
      </c>
      <c r="AX539" s="21">
        <v>0</v>
      </c>
      <c r="AY539" s="8">
        <v>0</v>
      </c>
    </row>
    <row r="540" spans="1:51" ht="15" customHeight="1" x14ac:dyDescent="0.25">
      <c r="A540" s="9">
        <v>742</v>
      </c>
      <c r="B540" s="13">
        <v>45722</v>
      </c>
      <c r="C540" s="9" t="s">
        <v>169</v>
      </c>
      <c r="D540" s="9">
        <v>9518578381</v>
      </c>
      <c r="E540" s="8">
        <v>2</v>
      </c>
      <c r="F540" s="9" t="s">
        <v>652</v>
      </c>
      <c r="G540" s="9" t="s">
        <v>1303</v>
      </c>
      <c r="H540" s="9" t="s">
        <v>57</v>
      </c>
      <c r="I540" s="9" t="s">
        <v>50</v>
      </c>
      <c r="J540" s="9" t="s">
        <v>26</v>
      </c>
      <c r="K540" s="9" t="s">
        <v>170</v>
      </c>
      <c r="L540" s="39"/>
      <c r="M540" s="7" t="s">
        <v>1</v>
      </c>
      <c r="N540" s="8"/>
      <c r="O540" s="40"/>
      <c r="P540" s="15"/>
      <c r="Q540" s="9" t="s">
        <v>214</v>
      </c>
      <c r="R540" s="9" t="s">
        <v>322</v>
      </c>
      <c r="S540" s="9"/>
      <c r="T540" s="9">
        <v>847544</v>
      </c>
      <c r="U540" s="16" t="s">
        <v>72</v>
      </c>
      <c r="V540" s="9">
        <v>1294719</v>
      </c>
      <c r="W540" s="8" t="s">
        <v>589</v>
      </c>
      <c r="X540" s="8" t="s">
        <v>265</v>
      </c>
      <c r="Y540" s="8" t="s">
        <v>175</v>
      </c>
      <c r="Z540" s="8">
        <v>13</v>
      </c>
      <c r="AA540" s="8">
        <v>27</v>
      </c>
      <c r="AB540" s="8"/>
      <c r="AC540" s="8">
        <v>768</v>
      </c>
      <c r="AD540" s="14" t="s">
        <v>242</v>
      </c>
      <c r="AE540" s="8" t="s">
        <v>243</v>
      </c>
      <c r="AF540" s="14">
        <v>2.9</v>
      </c>
      <c r="AG540" s="8">
        <v>1250</v>
      </c>
      <c r="AH540" s="8">
        <v>0</v>
      </c>
      <c r="AI540" s="8">
        <v>50</v>
      </c>
      <c r="AJ540" s="8">
        <v>24.524999999999999</v>
      </c>
      <c r="AK540" s="127">
        <v>25.475000000000001</v>
      </c>
      <c r="AL540" s="103">
        <v>0</v>
      </c>
      <c r="AM540" s="8">
        <v>25.475000000000001</v>
      </c>
      <c r="AN540" s="21">
        <v>0</v>
      </c>
      <c r="AO540" s="21">
        <v>0</v>
      </c>
      <c r="AP540" s="21">
        <v>0</v>
      </c>
      <c r="AQ540" s="21">
        <v>25.475000000000001</v>
      </c>
      <c r="AR540" s="21">
        <v>0</v>
      </c>
      <c r="AS540" s="8">
        <v>25.475000000000001</v>
      </c>
      <c r="AT540" s="21">
        <v>0</v>
      </c>
      <c r="AU540" s="21">
        <v>0</v>
      </c>
      <c r="AV540" s="21">
        <v>0</v>
      </c>
      <c r="AW540" s="21">
        <v>0</v>
      </c>
      <c r="AX540" s="21">
        <v>25.475000000000001</v>
      </c>
      <c r="AY540" s="8">
        <v>0</v>
      </c>
    </row>
    <row r="541" spans="1:51" ht="15" customHeight="1" x14ac:dyDescent="0.25">
      <c r="A541" s="9">
        <v>743</v>
      </c>
      <c r="B541" s="13">
        <v>45727</v>
      </c>
      <c r="C541" s="9" t="s">
        <v>169</v>
      </c>
      <c r="D541" s="9">
        <v>9518593433</v>
      </c>
      <c r="E541" s="8">
        <v>2</v>
      </c>
      <c r="F541" s="9" t="s">
        <v>620</v>
      </c>
      <c r="G541" s="79" t="s">
        <v>1303</v>
      </c>
      <c r="H541" s="9" t="s">
        <v>57</v>
      </c>
      <c r="I541" s="9" t="s">
        <v>43</v>
      </c>
      <c r="J541" s="9" t="s">
        <v>45</v>
      </c>
      <c r="K541" s="9" t="s">
        <v>170</v>
      </c>
      <c r="L541" s="39"/>
      <c r="M541" s="7" t="s">
        <v>1</v>
      </c>
      <c r="N541" s="8"/>
      <c r="O541" s="40"/>
      <c r="P541" s="15"/>
      <c r="Q541" s="9" t="s">
        <v>180</v>
      </c>
      <c r="R541" s="9" t="s">
        <v>265</v>
      </c>
      <c r="S541" s="9"/>
      <c r="T541" s="9">
        <v>121328</v>
      </c>
      <c r="U541" s="16" t="s">
        <v>81</v>
      </c>
      <c r="V541" s="9">
        <v>1191956</v>
      </c>
      <c r="W541" s="8" t="s">
        <v>440</v>
      </c>
      <c r="X541" s="8" t="s">
        <v>308</v>
      </c>
      <c r="Y541" s="8" t="s">
        <v>175</v>
      </c>
      <c r="Z541" s="8">
        <v>4</v>
      </c>
      <c r="AA541" s="8">
        <v>12</v>
      </c>
      <c r="AB541" s="8"/>
      <c r="AC541" s="8" t="s">
        <v>238</v>
      </c>
      <c r="AD541" s="14" t="s">
        <v>185</v>
      </c>
      <c r="AE541" s="8" t="s">
        <v>186</v>
      </c>
      <c r="AF541" s="14">
        <v>0.35</v>
      </c>
      <c r="AG541" s="8">
        <v>900</v>
      </c>
      <c r="AH541" s="8">
        <v>0</v>
      </c>
      <c r="AI541" s="8">
        <v>42</v>
      </c>
      <c r="AJ541" s="8">
        <v>0</v>
      </c>
      <c r="AK541" s="127">
        <v>22.125</v>
      </c>
      <c r="AL541" s="103">
        <v>0</v>
      </c>
      <c r="AM541" s="8">
        <v>22.125</v>
      </c>
      <c r="AN541" s="21">
        <v>0</v>
      </c>
      <c r="AO541" s="21">
        <v>22.125</v>
      </c>
      <c r="AP541" s="21">
        <v>0</v>
      </c>
      <c r="AQ541" s="21">
        <v>0</v>
      </c>
      <c r="AR541" s="21">
        <v>0</v>
      </c>
      <c r="AS541" s="8">
        <v>22.125</v>
      </c>
      <c r="AT541" s="21">
        <v>0</v>
      </c>
      <c r="AU541" s="21">
        <v>0</v>
      </c>
      <c r="AV541" s="21">
        <v>22.125</v>
      </c>
      <c r="AW541" s="21">
        <v>0</v>
      </c>
      <c r="AX541" s="21">
        <v>0</v>
      </c>
      <c r="AY541" s="8">
        <v>0</v>
      </c>
    </row>
    <row r="542" spans="1:51" ht="15" customHeight="1" x14ac:dyDescent="0.25">
      <c r="A542" s="9">
        <v>742</v>
      </c>
      <c r="B542" s="13">
        <v>45726</v>
      </c>
      <c r="C542" s="9" t="s">
        <v>169</v>
      </c>
      <c r="D542" s="9">
        <v>9518587895</v>
      </c>
      <c r="E542" s="8">
        <v>1</v>
      </c>
      <c r="F542" s="9" t="s">
        <v>653</v>
      </c>
      <c r="G542" s="79" t="s">
        <v>1303</v>
      </c>
      <c r="H542" s="9" t="s">
        <v>57</v>
      </c>
      <c r="I542" s="9" t="s">
        <v>25</v>
      </c>
      <c r="J542" s="9" t="s">
        <v>31</v>
      </c>
      <c r="K542" s="9" t="s">
        <v>170</v>
      </c>
      <c r="L542" s="39"/>
      <c r="M542" s="7" t="s">
        <v>1</v>
      </c>
      <c r="N542" s="8"/>
      <c r="O542" s="40"/>
      <c r="P542" s="15"/>
      <c r="Q542" s="9" t="s">
        <v>180</v>
      </c>
      <c r="R542" s="9" t="s">
        <v>217</v>
      </c>
      <c r="S542" s="9"/>
      <c r="T542" s="9">
        <v>116649</v>
      </c>
      <c r="U542" s="16" t="s">
        <v>96</v>
      </c>
      <c r="V542" s="9">
        <v>3515918</v>
      </c>
      <c r="W542" s="8" t="s">
        <v>654</v>
      </c>
      <c r="X542" s="8" t="s">
        <v>265</v>
      </c>
      <c r="Y542" s="8" t="s">
        <v>175</v>
      </c>
      <c r="Z542" s="8">
        <v>15</v>
      </c>
      <c r="AA542" s="8">
        <v>28</v>
      </c>
      <c r="AB542" s="8"/>
      <c r="AC542" s="8" t="s">
        <v>190</v>
      </c>
      <c r="AD542" s="14" t="s">
        <v>218</v>
      </c>
      <c r="AE542" s="8" t="s">
        <v>219</v>
      </c>
      <c r="AF542" s="14">
        <v>0.55000000000000004</v>
      </c>
      <c r="AG542" s="8">
        <v>1250</v>
      </c>
      <c r="AH542" s="8">
        <v>0</v>
      </c>
      <c r="AI542" s="8">
        <v>58</v>
      </c>
      <c r="AJ542" s="8">
        <v>0</v>
      </c>
      <c r="AK542" s="127">
        <v>58</v>
      </c>
      <c r="AL542" s="103">
        <v>0</v>
      </c>
      <c r="AM542" s="8">
        <v>58</v>
      </c>
      <c r="AN542" s="21">
        <v>0</v>
      </c>
      <c r="AO542" s="21">
        <v>0</v>
      </c>
      <c r="AP542" s="21">
        <v>58</v>
      </c>
      <c r="AQ542" s="21">
        <v>0</v>
      </c>
      <c r="AR542" s="21">
        <v>0</v>
      </c>
      <c r="AS542" s="8">
        <v>58</v>
      </c>
      <c r="AT542" s="21">
        <v>0</v>
      </c>
      <c r="AU542" s="21">
        <v>0</v>
      </c>
      <c r="AV542" s="21">
        <v>58</v>
      </c>
      <c r="AW542" s="21">
        <v>0</v>
      </c>
      <c r="AX542" s="21">
        <v>0</v>
      </c>
      <c r="AY542" s="8">
        <v>0</v>
      </c>
    </row>
    <row r="543" spans="1:51" ht="15" customHeight="1" x14ac:dyDescent="0.25">
      <c r="A543" s="9">
        <v>742</v>
      </c>
      <c r="B543" s="13">
        <v>45741</v>
      </c>
      <c r="C543" s="9" t="s">
        <v>169</v>
      </c>
      <c r="D543" s="9">
        <v>9518632737</v>
      </c>
      <c r="E543" s="8">
        <v>3</v>
      </c>
      <c r="F543" s="9" t="s">
        <v>1120</v>
      </c>
      <c r="G543" s="9" t="s">
        <v>1687</v>
      </c>
      <c r="H543" s="9" t="s">
        <v>57</v>
      </c>
      <c r="I543" s="9" t="s">
        <v>25</v>
      </c>
      <c r="J543" s="9" t="s">
        <v>28</v>
      </c>
      <c r="K543" s="9" t="s">
        <v>233</v>
      </c>
      <c r="L543" s="39"/>
      <c r="M543" s="7" t="s">
        <v>1</v>
      </c>
      <c r="N543" s="8"/>
      <c r="O543" s="40"/>
      <c r="P543" s="15"/>
      <c r="Q543" s="9" t="s">
        <v>172</v>
      </c>
      <c r="R543" s="9" t="s">
        <v>173</v>
      </c>
      <c r="S543" s="9"/>
      <c r="T543" s="9">
        <v>189430</v>
      </c>
      <c r="U543" s="16" t="s">
        <v>61</v>
      </c>
      <c r="V543" s="9">
        <v>2170008</v>
      </c>
      <c r="W543" s="8" t="s">
        <v>567</v>
      </c>
      <c r="X543" s="8" t="s">
        <v>265</v>
      </c>
      <c r="Y543" s="8" t="s">
        <v>175</v>
      </c>
      <c r="Z543" s="8">
        <v>7</v>
      </c>
      <c r="AA543" s="8">
        <v>12</v>
      </c>
      <c r="AB543" s="8"/>
      <c r="AC543" s="8" t="s">
        <v>190</v>
      </c>
      <c r="AD543" s="14" t="s">
        <v>191</v>
      </c>
      <c r="AE543" s="8" t="s">
        <v>346</v>
      </c>
      <c r="AF543" s="14">
        <v>0.97</v>
      </c>
      <c r="AG543" s="8">
        <v>1220</v>
      </c>
      <c r="AH543" s="8">
        <v>0</v>
      </c>
      <c r="AI543" s="8">
        <v>56</v>
      </c>
      <c r="AJ543" s="8">
        <v>0</v>
      </c>
      <c r="AK543" s="127">
        <v>5.8</v>
      </c>
      <c r="AL543" s="103">
        <v>8.5850000000000009</v>
      </c>
      <c r="AM543" s="8">
        <v>0</v>
      </c>
      <c r="AN543" s="21">
        <v>0</v>
      </c>
      <c r="AO543" s="21">
        <v>0</v>
      </c>
      <c r="AP543" s="21">
        <v>0</v>
      </c>
      <c r="AQ543" s="21">
        <v>0</v>
      </c>
      <c r="AR543" s="21">
        <v>0</v>
      </c>
      <c r="AS543" s="8">
        <v>8.5850000000000009</v>
      </c>
      <c r="AT543" s="21">
        <v>8.5850000000000009</v>
      </c>
      <c r="AU543" s="21">
        <v>0</v>
      </c>
      <c r="AV543" s="21">
        <v>0</v>
      </c>
      <c r="AW543" s="21">
        <v>0</v>
      </c>
      <c r="AX543" s="21">
        <v>0</v>
      </c>
      <c r="AY543" s="8">
        <v>0</v>
      </c>
    </row>
    <row r="544" spans="1:51" ht="15" customHeight="1" x14ac:dyDescent="0.25">
      <c r="A544" s="9">
        <v>743</v>
      </c>
      <c r="B544" s="13">
        <v>45745</v>
      </c>
      <c r="C544" s="9" t="s">
        <v>169</v>
      </c>
      <c r="D544" s="9">
        <v>9518652119</v>
      </c>
      <c r="E544" s="8">
        <v>3</v>
      </c>
      <c r="F544" s="9" t="s">
        <v>1121</v>
      </c>
      <c r="G544" s="79" t="s">
        <v>1303</v>
      </c>
      <c r="H544" s="9" t="s">
        <v>57</v>
      </c>
      <c r="I544" s="9" t="s">
        <v>43</v>
      </c>
      <c r="J544" s="9" t="s">
        <v>44</v>
      </c>
      <c r="K544" s="9" t="s">
        <v>170</v>
      </c>
      <c r="L544" s="39"/>
      <c r="M544" s="7" t="s">
        <v>1</v>
      </c>
      <c r="N544" s="8"/>
      <c r="O544" s="40"/>
      <c r="P544" s="15" t="s">
        <v>244</v>
      </c>
      <c r="Q544" s="9" t="s">
        <v>188</v>
      </c>
      <c r="R544" s="9" t="s">
        <v>311</v>
      </c>
      <c r="S544" s="9"/>
      <c r="T544" s="9">
        <v>930519</v>
      </c>
      <c r="U544" s="16" t="s">
        <v>118</v>
      </c>
      <c r="V544" s="9">
        <v>1300227</v>
      </c>
      <c r="W544" s="8" t="s">
        <v>496</v>
      </c>
      <c r="X544" s="8" t="s">
        <v>308</v>
      </c>
      <c r="Y544" s="8" t="s">
        <v>175</v>
      </c>
      <c r="Z544" s="8">
        <v>4</v>
      </c>
      <c r="AA544" s="8">
        <v>6</v>
      </c>
      <c r="AB544" s="8"/>
      <c r="AC544" s="8" t="s">
        <v>238</v>
      </c>
      <c r="AD544" s="14" t="s">
        <v>185</v>
      </c>
      <c r="AE544" s="8" t="s">
        <v>309</v>
      </c>
      <c r="AF544" s="14">
        <v>0.6</v>
      </c>
      <c r="AG544" s="8">
        <v>1220</v>
      </c>
      <c r="AH544" s="8">
        <v>0</v>
      </c>
      <c r="AI544" s="8">
        <v>112</v>
      </c>
      <c r="AJ544" s="8">
        <v>0</v>
      </c>
      <c r="AK544" s="127">
        <v>112</v>
      </c>
      <c r="AL544" s="103">
        <v>0</v>
      </c>
      <c r="AM544" s="8">
        <v>112</v>
      </c>
      <c r="AN544" s="21">
        <v>0</v>
      </c>
      <c r="AO544" s="21">
        <v>0</v>
      </c>
      <c r="AP544" s="21">
        <v>112</v>
      </c>
      <c r="AQ544" s="21">
        <v>0</v>
      </c>
      <c r="AR544" s="21">
        <v>0</v>
      </c>
      <c r="AS544" s="8">
        <v>112</v>
      </c>
      <c r="AT544" s="21">
        <v>0</v>
      </c>
      <c r="AU544" s="21">
        <v>0</v>
      </c>
      <c r="AV544" s="21">
        <v>0</v>
      </c>
      <c r="AW544" s="21">
        <v>112</v>
      </c>
      <c r="AX544" s="21">
        <v>0</v>
      </c>
      <c r="AY544" s="8">
        <v>0</v>
      </c>
    </row>
    <row r="545" spans="1:51" ht="15" customHeight="1" x14ac:dyDescent="0.25">
      <c r="A545" s="9">
        <v>743</v>
      </c>
      <c r="B545" s="13">
        <v>45743</v>
      </c>
      <c r="C545" s="9" t="s">
        <v>169</v>
      </c>
      <c r="D545" s="9">
        <v>9518644154</v>
      </c>
      <c r="E545" s="8">
        <v>1</v>
      </c>
      <c r="F545" s="9" t="s">
        <v>1122</v>
      </c>
      <c r="G545" s="79" t="s">
        <v>1303</v>
      </c>
      <c r="H545" s="9" t="s">
        <v>57</v>
      </c>
      <c r="I545" s="9" t="s">
        <v>43</v>
      </c>
      <c r="J545" s="9" t="s">
        <v>44</v>
      </c>
      <c r="K545" s="9" t="s">
        <v>170</v>
      </c>
      <c r="L545" s="39"/>
      <c r="M545" s="7" t="s">
        <v>1</v>
      </c>
      <c r="N545" s="8"/>
      <c r="O545" s="40"/>
      <c r="P545" s="15"/>
      <c r="Q545" s="9" t="s">
        <v>180</v>
      </c>
      <c r="R545" s="9" t="s">
        <v>265</v>
      </c>
      <c r="S545" s="9"/>
      <c r="T545" s="9">
        <v>121328</v>
      </c>
      <c r="U545" s="16" t="s">
        <v>81</v>
      </c>
      <c r="V545" s="9">
        <v>1300229</v>
      </c>
      <c r="W545" s="8" t="s">
        <v>396</v>
      </c>
      <c r="X545" s="8" t="s">
        <v>308</v>
      </c>
      <c r="Y545" s="8" t="s">
        <v>175</v>
      </c>
      <c r="Z545" s="8">
        <v>4</v>
      </c>
      <c r="AA545" s="8">
        <v>12</v>
      </c>
      <c r="AB545" s="8"/>
      <c r="AC545" s="8" t="s">
        <v>238</v>
      </c>
      <c r="AD545" s="14" t="s">
        <v>185</v>
      </c>
      <c r="AE545" s="8" t="s">
        <v>309</v>
      </c>
      <c r="AF545" s="14">
        <v>0.4</v>
      </c>
      <c r="AG545" s="8">
        <v>1220</v>
      </c>
      <c r="AH545" s="8">
        <v>0</v>
      </c>
      <c r="AI545" s="8">
        <v>84</v>
      </c>
      <c r="AJ545" s="8">
        <v>0</v>
      </c>
      <c r="AK545" s="127">
        <v>84</v>
      </c>
      <c r="AL545" s="103">
        <v>0</v>
      </c>
      <c r="AM545" s="8">
        <v>84</v>
      </c>
      <c r="AN545" s="21">
        <v>0</v>
      </c>
      <c r="AO545" s="21">
        <v>0</v>
      </c>
      <c r="AP545" s="21">
        <v>84</v>
      </c>
      <c r="AQ545" s="21">
        <v>0</v>
      </c>
      <c r="AR545" s="21">
        <v>0</v>
      </c>
      <c r="AS545" s="8">
        <v>84</v>
      </c>
      <c r="AT545" s="21">
        <v>0</v>
      </c>
      <c r="AU545" s="21">
        <v>0</v>
      </c>
      <c r="AV545" s="21">
        <v>0</v>
      </c>
      <c r="AW545" s="21">
        <v>84</v>
      </c>
      <c r="AX545" s="21">
        <v>0</v>
      </c>
      <c r="AY545" s="8">
        <v>0</v>
      </c>
    </row>
    <row r="546" spans="1:51" ht="15" customHeight="1" x14ac:dyDescent="0.25">
      <c r="A546" s="9">
        <v>742</v>
      </c>
      <c r="B546" s="13">
        <v>45742</v>
      </c>
      <c r="C546" s="9" t="s">
        <v>169</v>
      </c>
      <c r="D546" s="9">
        <v>9518637097</v>
      </c>
      <c r="E546" s="8">
        <v>1</v>
      </c>
      <c r="F546" s="9" t="s">
        <v>1123</v>
      </c>
      <c r="G546" s="9" t="s">
        <v>1687</v>
      </c>
      <c r="H546" s="9" t="s">
        <v>57</v>
      </c>
      <c r="I546" s="9" t="s">
        <v>25</v>
      </c>
      <c r="J546" s="9" t="s">
        <v>31</v>
      </c>
      <c r="K546" s="9" t="s">
        <v>170</v>
      </c>
      <c r="L546" s="39"/>
      <c r="M546" s="7" t="s">
        <v>1</v>
      </c>
      <c r="N546" s="8"/>
      <c r="O546" s="40"/>
      <c r="P546" s="15"/>
      <c r="Q546" s="9" t="s">
        <v>180</v>
      </c>
      <c r="R546" s="9" t="s">
        <v>364</v>
      </c>
      <c r="S546" s="9"/>
      <c r="T546" s="9">
        <v>139336</v>
      </c>
      <c r="U546" s="16" t="s">
        <v>92</v>
      </c>
      <c r="V546" s="9">
        <v>3239560</v>
      </c>
      <c r="W546" s="8" t="s">
        <v>370</v>
      </c>
      <c r="X546" s="8" t="s">
        <v>265</v>
      </c>
      <c r="Y546" s="8" t="s">
        <v>175</v>
      </c>
      <c r="Z546" s="8">
        <v>1</v>
      </c>
      <c r="AA546" s="8">
        <v>3</v>
      </c>
      <c r="AB546" s="8"/>
      <c r="AC546" s="8" t="s">
        <v>210</v>
      </c>
      <c r="AD546" s="14" t="s">
        <v>211</v>
      </c>
      <c r="AE546" s="8" t="s">
        <v>212</v>
      </c>
      <c r="AF546" s="14">
        <v>0.45</v>
      </c>
      <c r="AG546" s="8">
        <v>900</v>
      </c>
      <c r="AH546" s="8">
        <v>2500</v>
      </c>
      <c r="AI546" s="8">
        <v>60</v>
      </c>
      <c r="AJ546" s="8">
        <v>0</v>
      </c>
      <c r="AK546" s="127">
        <v>1.2150000000000001</v>
      </c>
      <c r="AL546" s="103">
        <v>5.57</v>
      </c>
      <c r="AM546" s="8">
        <v>0</v>
      </c>
      <c r="AN546" s="21">
        <v>0</v>
      </c>
      <c r="AO546" s="21">
        <v>0</v>
      </c>
      <c r="AP546" s="21">
        <v>0</v>
      </c>
      <c r="AQ546" s="21">
        <v>0</v>
      </c>
      <c r="AR546" s="21">
        <v>0</v>
      </c>
      <c r="AS546" s="8">
        <v>5.57</v>
      </c>
      <c r="AT546" s="21">
        <v>5.57</v>
      </c>
      <c r="AU546" s="21">
        <v>0</v>
      </c>
      <c r="AV546" s="21">
        <v>0</v>
      </c>
      <c r="AW546" s="21">
        <v>0</v>
      </c>
      <c r="AX546" s="21">
        <v>0</v>
      </c>
      <c r="AY546" s="8">
        <v>0</v>
      </c>
    </row>
    <row r="547" spans="1:51" ht="15" customHeight="1" x14ac:dyDescent="0.25">
      <c r="A547" s="9">
        <v>742</v>
      </c>
      <c r="B547" s="13">
        <v>45730</v>
      </c>
      <c r="C547" s="9" t="s">
        <v>193</v>
      </c>
      <c r="D547" s="9">
        <v>4000500995</v>
      </c>
      <c r="E547" s="8">
        <v>3</v>
      </c>
      <c r="F547" s="9" t="s">
        <v>1124</v>
      </c>
      <c r="G547" s="79" t="s">
        <v>1303</v>
      </c>
      <c r="H547" s="9" t="s">
        <v>57</v>
      </c>
      <c r="I547" s="9" t="s">
        <v>50</v>
      </c>
      <c r="J547" s="9" t="s">
        <v>26</v>
      </c>
      <c r="K547" s="9" t="s">
        <v>170</v>
      </c>
      <c r="L547" s="39"/>
      <c r="M547" s="7" t="s">
        <v>1</v>
      </c>
      <c r="N547" s="8"/>
      <c r="O547" s="40"/>
      <c r="P547" s="15"/>
      <c r="Q547" s="9" t="s">
        <v>214</v>
      </c>
      <c r="R547" s="9" t="s">
        <v>240</v>
      </c>
      <c r="S547" s="9"/>
      <c r="T547" s="9">
        <v>600103</v>
      </c>
      <c r="U547" s="16" t="s">
        <v>102</v>
      </c>
      <c r="V547" s="9">
        <v>1371338</v>
      </c>
      <c r="W547" s="8" t="s">
        <v>362</v>
      </c>
      <c r="X547" s="8" t="s">
        <v>265</v>
      </c>
      <c r="Y547" s="8" t="s">
        <v>175</v>
      </c>
      <c r="Z547" s="8">
        <v>10</v>
      </c>
      <c r="AA547" s="8">
        <v>27</v>
      </c>
      <c r="AB547" s="8"/>
      <c r="AC547" s="8">
        <v>768</v>
      </c>
      <c r="AD547" s="14" t="s">
        <v>242</v>
      </c>
      <c r="AE547" s="8" t="s">
        <v>243</v>
      </c>
      <c r="AF547" s="14">
        <v>2.2999999999999998</v>
      </c>
      <c r="AG547" s="8">
        <v>1250</v>
      </c>
      <c r="AH547" s="8">
        <v>0</v>
      </c>
      <c r="AI547" s="8">
        <v>25</v>
      </c>
      <c r="AJ547" s="8">
        <v>0</v>
      </c>
      <c r="AK547" s="127">
        <v>25</v>
      </c>
      <c r="AL547" s="103">
        <v>0</v>
      </c>
      <c r="AM547" s="8">
        <v>25</v>
      </c>
      <c r="AN547" s="21">
        <v>0</v>
      </c>
      <c r="AO547" s="21">
        <v>0</v>
      </c>
      <c r="AP547" s="21">
        <v>0</v>
      </c>
      <c r="AQ547" s="21">
        <v>25</v>
      </c>
      <c r="AR547" s="21">
        <v>0</v>
      </c>
      <c r="AS547" s="8">
        <v>25</v>
      </c>
      <c r="AT547" s="21">
        <v>0</v>
      </c>
      <c r="AU547" s="21">
        <v>0</v>
      </c>
      <c r="AV547" s="21">
        <v>0</v>
      </c>
      <c r="AW547" s="21">
        <v>0</v>
      </c>
      <c r="AX547" s="21">
        <v>25</v>
      </c>
      <c r="AY547" s="8">
        <v>0</v>
      </c>
    </row>
    <row r="548" spans="1:51" ht="15" customHeight="1" x14ac:dyDescent="0.25">
      <c r="A548" s="9">
        <v>742</v>
      </c>
      <c r="B548" s="13">
        <v>45726</v>
      </c>
      <c r="C548" s="9" t="s">
        <v>880</v>
      </c>
      <c r="D548" s="9">
        <v>9518587628</v>
      </c>
      <c r="E548" s="8">
        <v>1</v>
      </c>
      <c r="F548" s="9" t="s">
        <v>1125</v>
      </c>
      <c r="G548" s="9" t="s">
        <v>1687</v>
      </c>
      <c r="H548" s="9" t="s">
        <v>57</v>
      </c>
      <c r="I548" s="9" t="s">
        <v>25</v>
      </c>
      <c r="J548" s="9" t="s">
        <v>872</v>
      </c>
      <c r="K548" s="9" t="s">
        <v>170</v>
      </c>
      <c r="L548" s="39"/>
      <c r="M548" s="7" t="s">
        <v>1</v>
      </c>
      <c r="N548" s="8"/>
      <c r="O548" s="40"/>
      <c r="P548" s="15"/>
      <c r="Q548" s="9" t="s">
        <v>214</v>
      </c>
      <c r="R548" s="9" t="s">
        <v>215</v>
      </c>
      <c r="S548" s="9"/>
      <c r="T548" s="9">
        <v>189858</v>
      </c>
      <c r="U548" s="16" t="s">
        <v>883</v>
      </c>
      <c r="V548" s="9">
        <v>3532128</v>
      </c>
      <c r="W548" s="8" t="s">
        <v>1166</v>
      </c>
      <c r="X548" s="8" t="s">
        <v>265</v>
      </c>
      <c r="Y548" s="8" t="s">
        <v>175</v>
      </c>
      <c r="Z548" s="8">
        <v>2</v>
      </c>
      <c r="AA548" s="8">
        <v>3</v>
      </c>
      <c r="AB548" s="8"/>
      <c r="AC548" s="8" t="s">
        <v>210</v>
      </c>
      <c r="AD548" s="14" t="s">
        <v>211</v>
      </c>
      <c r="AE548" s="8" t="s">
        <v>1173</v>
      </c>
      <c r="AF548" s="14">
        <v>0.38</v>
      </c>
      <c r="AG548" s="8">
        <v>1219</v>
      </c>
      <c r="AH548" s="8">
        <v>2438</v>
      </c>
      <c r="AI548" s="8">
        <v>26</v>
      </c>
      <c r="AJ548" s="8">
        <v>0</v>
      </c>
      <c r="AK548" s="127">
        <v>2.86</v>
      </c>
      <c r="AL548" s="103">
        <v>23.14</v>
      </c>
      <c r="AM548" s="8">
        <v>0</v>
      </c>
      <c r="AN548" s="21">
        <v>0</v>
      </c>
      <c r="AO548" s="21">
        <v>0</v>
      </c>
      <c r="AP548" s="21">
        <v>0</v>
      </c>
      <c r="AQ548" s="21">
        <v>0</v>
      </c>
      <c r="AR548" s="21">
        <v>0</v>
      </c>
      <c r="AS548" s="8">
        <v>23.14</v>
      </c>
      <c r="AT548" s="21">
        <v>23.14</v>
      </c>
      <c r="AU548" s="21">
        <v>0</v>
      </c>
      <c r="AV548" s="21">
        <v>0</v>
      </c>
      <c r="AW548" s="21">
        <v>0</v>
      </c>
      <c r="AX548" s="21">
        <v>0</v>
      </c>
      <c r="AY548" s="8">
        <v>0</v>
      </c>
    </row>
    <row r="549" spans="1:51" ht="15" customHeight="1" x14ac:dyDescent="0.25">
      <c r="A549" s="9">
        <v>744</v>
      </c>
      <c r="B549" s="13">
        <v>45693</v>
      </c>
      <c r="C549" s="9" t="s">
        <v>169</v>
      </c>
      <c r="D549" s="9">
        <v>9518494843</v>
      </c>
      <c r="E549" s="8">
        <v>1</v>
      </c>
      <c r="F549" s="9" t="s">
        <v>1126</v>
      </c>
      <c r="G549" s="79" t="s">
        <v>1303</v>
      </c>
      <c r="H549" s="9" t="s">
        <v>57</v>
      </c>
      <c r="I549" s="9" t="s">
        <v>48</v>
      </c>
      <c r="J549" s="9" t="s">
        <v>39</v>
      </c>
      <c r="K549" s="9" t="s">
        <v>233</v>
      </c>
      <c r="L549" s="39"/>
      <c r="M549" s="7" t="s">
        <v>1</v>
      </c>
      <c r="N549" s="8"/>
      <c r="O549" s="40"/>
      <c r="P549" s="15"/>
      <c r="Q549" s="9" t="s">
        <v>264</v>
      </c>
      <c r="R549" s="9" t="s">
        <v>265</v>
      </c>
      <c r="S549" s="9"/>
      <c r="T549" s="9">
        <v>941597</v>
      </c>
      <c r="U549" s="16" t="s">
        <v>106</v>
      </c>
      <c r="V549" s="9">
        <v>3902332</v>
      </c>
      <c r="W549" s="8" t="s">
        <v>353</v>
      </c>
      <c r="X549" s="8" t="s">
        <v>317</v>
      </c>
      <c r="Y549" s="8" t="s">
        <v>1189</v>
      </c>
      <c r="Z549" s="8">
        <v>3</v>
      </c>
      <c r="AA549" s="8">
        <v>5</v>
      </c>
      <c r="AB549" s="8"/>
      <c r="AC549" s="8" t="s">
        <v>228</v>
      </c>
      <c r="AD549" s="14" t="s">
        <v>229</v>
      </c>
      <c r="AE549" s="8" t="s">
        <v>354</v>
      </c>
      <c r="AF549" s="14">
        <v>0.5</v>
      </c>
      <c r="AG549" s="8">
        <v>1220</v>
      </c>
      <c r="AH549" s="8">
        <v>0</v>
      </c>
      <c r="AI549" s="8">
        <v>28</v>
      </c>
      <c r="AJ549" s="8">
        <v>4.4950000000000001</v>
      </c>
      <c r="AK549" s="127">
        <v>23.504999999999999</v>
      </c>
      <c r="AL549" s="103">
        <v>0</v>
      </c>
      <c r="AM549" s="8">
        <v>0</v>
      </c>
      <c r="AN549" s="21">
        <v>0</v>
      </c>
      <c r="AO549" s="21">
        <v>0</v>
      </c>
      <c r="AP549" s="21">
        <v>0</v>
      </c>
      <c r="AQ549" s="21">
        <v>0</v>
      </c>
      <c r="AR549" s="21">
        <v>0</v>
      </c>
      <c r="AS549" s="8">
        <v>0</v>
      </c>
      <c r="AT549" s="21">
        <v>0</v>
      </c>
      <c r="AU549" s="21">
        <v>0</v>
      </c>
      <c r="AV549" s="21">
        <v>0</v>
      </c>
      <c r="AW549" s="21">
        <v>0</v>
      </c>
      <c r="AX549" s="21">
        <v>0</v>
      </c>
      <c r="AY549" s="8">
        <v>0</v>
      </c>
    </row>
    <row r="550" spans="1:51" ht="15" customHeight="1" x14ac:dyDescent="0.25">
      <c r="A550" s="9">
        <v>742</v>
      </c>
      <c r="B550" s="13">
        <v>45741</v>
      </c>
      <c r="C550" s="9" t="s">
        <v>193</v>
      </c>
      <c r="D550" s="9">
        <v>9518632148</v>
      </c>
      <c r="E550" s="8">
        <v>1</v>
      </c>
      <c r="F550" s="9" t="s">
        <v>1127</v>
      </c>
      <c r="G550" s="79" t="s">
        <v>1303</v>
      </c>
      <c r="H550" s="9" t="s">
        <v>57</v>
      </c>
      <c r="I550" s="9" t="s">
        <v>25</v>
      </c>
      <c r="J550" s="9" t="s">
        <v>29</v>
      </c>
      <c r="K550" s="9" t="s">
        <v>233</v>
      </c>
      <c r="L550" s="39"/>
      <c r="M550" s="7" t="s">
        <v>1</v>
      </c>
      <c r="N550" s="8"/>
      <c r="O550" s="40" t="s">
        <v>1392</v>
      </c>
      <c r="P550" s="15"/>
      <c r="Q550" s="9" t="s">
        <v>214</v>
      </c>
      <c r="R550" s="9" t="s">
        <v>324</v>
      </c>
      <c r="S550" s="9"/>
      <c r="T550" s="9">
        <v>600250</v>
      </c>
      <c r="U550" s="16" t="s">
        <v>64</v>
      </c>
      <c r="V550" s="9">
        <v>3659268</v>
      </c>
      <c r="W550" s="8" t="s">
        <v>325</v>
      </c>
      <c r="X550" s="8" t="s">
        <v>265</v>
      </c>
      <c r="Y550" s="8" t="s">
        <v>175</v>
      </c>
      <c r="Z550" s="8">
        <v>8</v>
      </c>
      <c r="AA550" s="8">
        <v>11</v>
      </c>
      <c r="AB550" s="8"/>
      <c r="AC550" s="8" t="s">
        <v>190</v>
      </c>
      <c r="AD550" s="14" t="s">
        <v>197</v>
      </c>
      <c r="AE550" s="8" t="s">
        <v>326</v>
      </c>
      <c r="AF550" s="14">
        <v>0.5</v>
      </c>
      <c r="AG550" s="8">
        <v>1217</v>
      </c>
      <c r="AH550" s="8">
        <v>0</v>
      </c>
      <c r="AI550" s="8">
        <v>140</v>
      </c>
      <c r="AJ550" s="8">
        <v>0</v>
      </c>
      <c r="AK550" s="127">
        <v>139.99</v>
      </c>
      <c r="AL550" s="103">
        <v>0</v>
      </c>
      <c r="AM550" s="8">
        <v>139.99</v>
      </c>
      <c r="AN550" s="21">
        <v>0</v>
      </c>
      <c r="AO550" s="21">
        <v>0</v>
      </c>
      <c r="AP550" s="21">
        <v>0</v>
      </c>
      <c r="AQ550" s="21">
        <v>0</v>
      </c>
      <c r="AR550" s="21">
        <v>139.99</v>
      </c>
      <c r="AS550" s="8">
        <v>0</v>
      </c>
      <c r="AT550" s="21">
        <v>0</v>
      </c>
      <c r="AU550" s="21">
        <v>0</v>
      </c>
      <c r="AV550" s="21">
        <v>0</v>
      </c>
      <c r="AW550" s="21">
        <v>0</v>
      </c>
      <c r="AX550" s="21">
        <v>0</v>
      </c>
      <c r="AY550" s="8">
        <v>139.99</v>
      </c>
    </row>
    <row r="551" spans="1:51" ht="15" customHeight="1" x14ac:dyDescent="0.25">
      <c r="A551" s="9">
        <v>743</v>
      </c>
      <c r="B551" s="13">
        <v>45733</v>
      </c>
      <c r="C551" s="9" t="s">
        <v>169</v>
      </c>
      <c r="D551" s="9">
        <v>9518607443</v>
      </c>
      <c r="E551" s="8">
        <v>2</v>
      </c>
      <c r="F551" s="9" t="s">
        <v>1128</v>
      </c>
      <c r="G551" s="79" t="s">
        <v>1303</v>
      </c>
      <c r="H551" s="9" t="s">
        <v>57</v>
      </c>
      <c r="I551" s="9" t="s">
        <v>43</v>
      </c>
      <c r="J551" s="9" t="s">
        <v>45</v>
      </c>
      <c r="K551" s="9" t="s">
        <v>170</v>
      </c>
      <c r="L551" s="39"/>
      <c r="M551" s="7" t="s">
        <v>1</v>
      </c>
      <c r="N551" s="8"/>
      <c r="O551" s="40"/>
      <c r="P551" s="15"/>
      <c r="Q551" s="9" t="s">
        <v>180</v>
      </c>
      <c r="R551" s="9" t="s">
        <v>265</v>
      </c>
      <c r="S551" s="9"/>
      <c r="T551" s="9">
        <v>121328</v>
      </c>
      <c r="U551" s="16" t="s">
        <v>81</v>
      </c>
      <c r="V551" s="9">
        <v>1854418</v>
      </c>
      <c r="W551" s="8" t="s">
        <v>456</v>
      </c>
      <c r="X551" s="8" t="s">
        <v>308</v>
      </c>
      <c r="Y551" s="8" t="s">
        <v>175</v>
      </c>
      <c r="Z551" s="8">
        <v>4</v>
      </c>
      <c r="AA551" s="8">
        <v>12</v>
      </c>
      <c r="AB551" s="8"/>
      <c r="AC551" s="8" t="s">
        <v>238</v>
      </c>
      <c r="AD551" s="14" t="s">
        <v>185</v>
      </c>
      <c r="AE551" s="8" t="s">
        <v>186</v>
      </c>
      <c r="AF551" s="14">
        <v>0.5</v>
      </c>
      <c r="AG551" s="8">
        <v>900</v>
      </c>
      <c r="AH551" s="8">
        <v>0</v>
      </c>
      <c r="AI551" s="8">
        <v>42</v>
      </c>
      <c r="AJ551" s="8">
        <v>0</v>
      </c>
      <c r="AK551" s="127">
        <v>42</v>
      </c>
      <c r="AL551" s="103">
        <v>0</v>
      </c>
      <c r="AM551" s="8">
        <v>42</v>
      </c>
      <c r="AN551" s="21">
        <v>42</v>
      </c>
      <c r="AO551" s="21">
        <v>0</v>
      </c>
      <c r="AP551" s="21">
        <v>0</v>
      </c>
      <c r="AQ551" s="21">
        <v>0</v>
      </c>
      <c r="AR551" s="21">
        <v>0</v>
      </c>
      <c r="AS551" s="8">
        <v>42</v>
      </c>
      <c r="AT551" s="21">
        <v>0</v>
      </c>
      <c r="AU551" s="21">
        <v>42</v>
      </c>
      <c r="AV551" s="21">
        <v>0</v>
      </c>
      <c r="AW551" s="21">
        <v>0</v>
      </c>
      <c r="AX551" s="21">
        <v>0</v>
      </c>
      <c r="AY551" s="8">
        <v>0</v>
      </c>
    </row>
    <row r="552" spans="1:51" ht="15" customHeight="1" x14ac:dyDescent="0.25">
      <c r="A552" s="9">
        <v>743</v>
      </c>
      <c r="B552" s="13">
        <v>45733</v>
      </c>
      <c r="C552" s="9" t="s">
        <v>169</v>
      </c>
      <c r="D552" s="9">
        <v>9518607406</v>
      </c>
      <c r="E552" s="8">
        <v>2</v>
      </c>
      <c r="F552" s="9" t="s">
        <v>1129</v>
      </c>
      <c r="G552" s="9" t="s">
        <v>1687</v>
      </c>
      <c r="H552" s="9" t="s">
        <v>57</v>
      </c>
      <c r="I552" s="9" t="s">
        <v>43</v>
      </c>
      <c r="J552" s="9" t="s">
        <v>45</v>
      </c>
      <c r="K552" s="9" t="s">
        <v>170</v>
      </c>
      <c r="L552" s="39"/>
      <c r="M552" s="7" t="s">
        <v>1</v>
      </c>
      <c r="N552" s="8"/>
      <c r="O552" s="40"/>
      <c r="P552" s="15"/>
      <c r="Q552" s="9" t="s">
        <v>180</v>
      </c>
      <c r="R552" s="9" t="s">
        <v>181</v>
      </c>
      <c r="S552" s="9"/>
      <c r="T552" s="9">
        <v>117061</v>
      </c>
      <c r="U552" s="16" t="s">
        <v>90</v>
      </c>
      <c r="V552" s="9">
        <v>1191955</v>
      </c>
      <c r="W552" s="8" t="s">
        <v>473</v>
      </c>
      <c r="X552" s="8" t="s">
        <v>308</v>
      </c>
      <c r="Y552" s="8" t="s">
        <v>175</v>
      </c>
      <c r="Z552" s="8">
        <v>3.9</v>
      </c>
      <c r="AA552" s="8">
        <v>5</v>
      </c>
      <c r="AB552" s="8"/>
      <c r="AC552" s="8" t="s">
        <v>238</v>
      </c>
      <c r="AD552" s="14" t="s">
        <v>185</v>
      </c>
      <c r="AE552" s="8" t="s">
        <v>186</v>
      </c>
      <c r="AF552" s="14">
        <v>0.3</v>
      </c>
      <c r="AG552" s="8">
        <v>900</v>
      </c>
      <c r="AH552" s="8">
        <v>0</v>
      </c>
      <c r="AI552" s="8">
        <v>42</v>
      </c>
      <c r="AJ552" s="8">
        <v>0</v>
      </c>
      <c r="AK552" s="127">
        <v>2.2549999999999999</v>
      </c>
      <c r="AL552" s="103">
        <v>9.9700000000000006</v>
      </c>
      <c r="AM552" s="8">
        <v>0</v>
      </c>
      <c r="AN552" s="21">
        <v>0</v>
      </c>
      <c r="AO552" s="21">
        <v>0</v>
      </c>
      <c r="AP552" s="21">
        <v>0</v>
      </c>
      <c r="AQ552" s="21">
        <v>0</v>
      </c>
      <c r="AR552" s="21">
        <v>0</v>
      </c>
      <c r="AS552" s="8">
        <v>9.9700000000000006</v>
      </c>
      <c r="AT552" s="21">
        <v>9.9700000000000006</v>
      </c>
      <c r="AU552" s="21">
        <v>0</v>
      </c>
      <c r="AV552" s="21">
        <v>0</v>
      </c>
      <c r="AW552" s="21">
        <v>0</v>
      </c>
      <c r="AX552" s="21">
        <v>0</v>
      </c>
      <c r="AY552" s="8">
        <v>0</v>
      </c>
    </row>
    <row r="553" spans="1:51" ht="15" customHeight="1" x14ac:dyDescent="0.25">
      <c r="A553" s="9">
        <v>742</v>
      </c>
      <c r="B553" s="13">
        <v>45732</v>
      </c>
      <c r="C553" s="9" t="s">
        <v>169</v>
      </c>
      <c r="D553" s="9">
        <v>9518604323</v>
      </c>
      <c r="E553" s="8">
        <v>18</v>
      </c>
      <c r="F553" s="9" t="s">
        <v>1130</v>
      </c>
      <c r="G553" s="79" t="s">
        <v>1303</v>
      </c>
      <c r="H553" s="9" t="s">
        <v>57</v>
      </c>
      <c r="I553" s="9" t="s">
        <v>25</v>
      </c>
      <c r="J553" s="9" t="s">
        <v>31</v>
      </c>
      <c r="K553" s="9" t="s">
        <v>170</v>
      </c>
      <c r="L553" s="39"/>
      <c r="M553" s="7" t="s">
        <v>1</v>
      </c>
      <c r="N553" s="8"/>
      <c r="O553" s="40"/>
      <c r="P553" s="15"/>
      <c r="Q553" s="9" t="s">
        <v>180</v>
      </c>
      <c r="R553" s="9" t="s">
        <v>181</v>
      </c>
      <c r="S553" s="9"/>
      <c r="T553" s="9">
        <v>117061</v>
      </c>
      <c r="U553" s="16" t="s">
        <v>90</v>
      </c>
      <c r="V553" s="9">
        <v>3240863</v>
      </c>
      <c r="W553" s="8" t="s">
        <v>748</v>
      </c>
      <c r="X553" s="8" t="s">
        <v>265</v>
      </c>
      <c r="Y553" s="8" t="s">
        <v>175</v>
      </c>
      <c r="Z553" s="8">
        <v>0.1</v>
      </c>
      <c r="AA553" s="8">
        <v>5</v>
      </c>
      <c r="AB553" s="8"/>
      <c r="AC553" s="8" t="s">
        <v>210</v>
      </c>
      <c r="AD553" s="14" t="s">
        <v>218</v>
      </c>
      <c r="AE553" s="8" t="s">
        <v>250</v>
      </c>
      <c r="AF553" s="14">
        <v>1.5</v>
      </c>
      <c r="AG553" s="8">
        <v>1250</v>
      </c>
      <c r="AH553" s="8">
        <v>2500</v>
      </c>
      <c r="AI553" s="8">
        <v>75</v>
      </c>
      <c r="AJ553" s="8">
        <v>0</v>
      </c>
      <c r="AK553" s="127">
        <v>75</v>
      </c>
      <c r="AL553" s="103">
        <v>0</v>
      </c>
      <c r="AM553" s="8">
        <v>75</v>
      </c>
      <c r="AN553" s="21">
        <v>0</v>
      </c>
      <c r="AO553" s="21">
        <v>0</v>
      </c>
      <c r="AP553" s="21">
        <v>0</v>
      </c>
      <c r="AQ553" s="21">
        <v>75</v>
      </c>
      <c r="AR553" s="21">
        <v>0</v>
      </c>
      <c r="AS553" s="8">
        <v>75</v>
      </c>
      <c r="AT553" s="21">
        <v>0</v>
      </c>
      <c r="AU553" s="21">
        <v>0</v>
      </c>
      <c r="AV553" s="21">
        <v>0</v>
      </c>
      <c r="AW553" s="21">
        <v>0</v>
      </c>
      <c r="AX553" s="21">
        <v>75</v>
      </c>
      <c r="AY553" s="8">
        <v>0</v>
      </c>
    </row>
    <row r="554" spans="1:51" ht="15" customHeight="1" x14ac:dyDescent="0.25">
      <c r="A554" s="9">
        <v>742</v>
      </c>
      <c r="B554" s="13">
        <v>45691</v>
      </c>
      <c r="C554" s="9" t="s">
        <v>169</v>
      </c>
      <c r="D554" s="9">
        <v>9518490750</v>
      </c>
      <c r="E554" s="8">
        <v>15</v>
      </c>
      <c r="F554" s="9" t="s">
        <v>1131</v>
      </c>
      <c r="G554" s="79" t="s">
        <v>1303</v>
      </c>
      <c r="H554" s="9" t="s">
        <v>57</v>
      </c>
      <c r="I554" s="9" t="s">
        <v>25</v>
      </c>
      <c r="J554" s="9" t="s">
        <v>31</v>
      </c>
      <c r="K554" s="9" t="s">
        <v>170</v>
      </c>
      <c r="L554" s="39">
        <v>5500</v>
      </c>
      <c r="M554" s="7" t="s">
        <v>1</v>
      </c>
      <c r="N554" s="8"/>
      <c r="O554" s="40"/>
      <c r="P554" s="15"/>
      <c r="Q554" s="9" t="s">
        <v>180</v>
      </c>
      <c r="R554" s="9" t="s">
        <v>181</v>
      </c>
      <c r="S554" s="9"/>
      <c r="T554" s="9">
        <v>117061</v>
      </c>
      <c r="U554" s="16" t="s">
        <v>90</v>
      </c>
      <c r="V554" s="9">
        <v>3240863</v>
      </c>
      <c r="W554" s="8" t="s">
        <v>748</v>
      </c>
      <c r="X554" s="8" t="s">
        <v>265</v>
      </c>
      <c r="Y554" s="8" t="s">
        <v>175</v>
      </c>
      <c r="Z554" s="8">
        <v>0.1</v>
      </c>
      <c r="AA554" s="8">
        <v>5</v>
      </c>
      <c r="AB554" s="8"/>
      <c r="AC554" s="8" t="s">
        <v>210</v>
      </c>
      <c r="AD554" s="14" t="s">
        <v>218</v>
      </c>
      <c r="AE554" s="8" t="s">
        <v>250</v>
      </c>
      <c r="AF554" s="14">
        <v>1.5</v>
      </c>
      <c r="AG554" s="8">
        <v>1250</v>
      </c>
      <c r="AH554" s="8">
        <v>2500</v>
      </c>
      <c r="AI554" s="8">
        <v>90</v>
      </c>
      <c r="AJ554" s="8">
        <v>0</v>
      </c>
      <c r="AK554" s="127">
        <v>90</v>
      </c>
      <c r="AL554" s="103">
        <v>0</v>
      </c>
      <c r="AM554" s="8">
        <v>90</v>
      </c>
      <c r="AN554" s="21">
        <v>0</v>
      </c>
      <c r="AO554" s="21">
        <v>0</v>
      </c>
      <c r="AP554" s="21">
        <v>0</v>
      </c>
      <c r="AQ554" s="21">
        <v>90</v>
      </c>
      <c r="AR554" s="21">
        <v>0</v>
      </c>
      <c r="AS554" s="8">
        <v>90</v>
      </c>
      <c r="AT554" s="21">
        <v>0</v>
      </c>
      <c r="AU554" s="21">
        <v>0</v>
      </c>
      <c r="AV554" s="21">
        <v>0</v>
      </c>
      <c r="AW554" s="21">
        <v>0</v>
      </c>
      <c r="AX554" s="21">
        <v>90</v>
      </c>
      <c r="AY554" s="8">
        <v>0</v>
      </c>
    </row>
    <row r="555" spans="1:51" ht="15" customHeight="1" x14ac:dyDescent="0.25">
      <c r="A555" s="9">
        <v>743</v>
      </c>
      <c r="B555" s="13">
        <v>45743</v>
      </c>
      <c r="C555" s="9" t="s">
        <v>169</v>
      </c>
      <c r="D555" s="9">
        <v>9518644652</v>
      </c>
      <c r="E555" s="8">
        <v>1</v>
      </c>
      <c r="F555" s="9" t="s">
        <v>1132</v>
      </c>
      <c r="G555" s="79" t="s">
        <v>1303</v>
      </c>
      <c r="H555" s="9" t="s">
        <v>57</v>
      </c>
      <c r="I555" s="9" t="s">
        <v>38</v>
      </c>
      <c r="J555" s="9" t="s">
        <v>41</v>
      </c>
      <c r="K555" s="9" t="s">
        <v>233</v>
      </c>
      <c r="L555" s="39"/>
      <c r="M555" s="7" t="s">
        <v>1</v>
      </c>
      <c r="N555" s="8"/>
      <c r="O555" s="40"/>
      <c r="P555" s="15"/>
      <c r="Q555" s="9" t="s">
        <v>188</v>
      </c>
      <c r="R555" s="9" t="s">
        <v>574</v>
      </c>
      <c r="S555" s="9"/>
      <c r="T555" s="9">
        <v>944226</v>
      </c>
      <c r="U555" s="16" t="s">
        <v>609</v>
      </c>
      <c r="V555" s="9">
        <v>3982724</v>
      </c>
      <c r="W555" s="8" t="s">
        <v>1162</v>
      </c>
      <c r="X555" s="8" t="s">
        <v>317</v>
      </c>
      <c r="Y555" s="8" t="s">
        <v>175</v>
      </c>
      <c r="Z555" s="8">
        <v>10</v>
      </c>
      <c r="AA555" s="8">
        <v>17</v>
      </c>
      <c r="AB555" s="8"/>
      <c r="AC555" s="8" t="s">
        <v>222</v>
      </c>
      <c r="AD555" s="14" t="s">
        <v>223</v>
      </c>
      <c r="AE555" s="8" t="s">
        <v>372</v>
      </c>
      <c r="AF555" s="14">
        <v>0.9</v>
      </c>
      <c r="AG555" s="8">
        <v>1200</v>
      </c>
      <c r="AH555" s="8">
        <v>0</v>
      </c>
      <c r="AI555" s="8">
        <v>297</v>
      </c>
      <c r="AJ555" s="8">
        <v>0</v>
      </c>
      <c r="AK555" s="127">
        <v>297</v>
      </c>
      <c r="AL555" s="103">
        <v>44.765000000000001</v>
      </c>
      <c r="AM555" s="8">
        <v>262.72500000000002</v>
      </c>
      <c r="AN555" s="21">
        <v>262.72500000000002</v>
      </c>
      <c r="AO555" s="21">
        <v>0</v>
      </c>
      <c r="AP555" s="21">
        <v>0</v>
      </c>
      <c r="AQ555" s="21">
        <v>0</v>
      </c>
      <c r="AR555" s="21">
        <v>0</v>
      </c>
      <c r="AS555" s="8">
        <v>307.49</v>
      </c>
      <c r="AT555" s="21">
        <v>0</v>
      </c>
      <c r="AU555" s="21">
        <v>307.49</v>
      </c>
      <c r="AV555" s="21">
        <v>0</v>
      </c>
      <c r="AW555" s="21">
        <v>0</v>
      </c>
      <c r="AX555" s="21">
        <v>0</v>
      </c>
      <c r="AY555" s="8">
        <v>0</v>
      </c>
    </row>
    <row r="556" spans="1:51" ht="15" customHeight="1" x14ac:dyDescent="0.25">
      <c r="A556" s="9">
        <v>743</v>
      </c>
      <c r="B556" s="13">
        <v>45744</v>
      </c>
      <c r="C556" s="9" t="s">
        <v>169</v>
      </c>
      <c r="D556" s="9">
        <v>9518649017</v>
      </c>
      <c r="E556" s="8">
        <v>1</v>
      </c>
      <c r="F556" s="9" t="s">
        <v>1133</v>
      </c>
      <c r="G556" s="9" t="s">
        <v>1303</v>
      </c>
      <c r="H556" s="9" t="s">
        <v>57</v>
      </c>
      <c r="I556" s="9" t="s">
        <v>38</v>
      </c>
      <c r="J556" s="9" t="s">
        <v>41</v>
      </c>
      <c r="K556" s="9" t="s">
        <v>233</v>
      </c>
      <c r="L556" s="39"/>
      <c r="M556" s="7" t="s">
        <v>1</v>
      </c>
      <c r="N556" s="8"/>
      <c r="O556" s="40"/>
      <c r="P556" s="15"/>
      <c r="Q556" s="9" t="s">
        <v>188</v>
      </c>
      <c r="R556" s="9" t="s">
        <v>574</v>
      </c>
      <c r="S556" s="9"/>
      <c r="T556" s="9">
        <v>944226</v>
      </c>
      <c r="U556" s="16" t="s">
        <v>609</v>
      </c>
      <c r="V556" s="9">
        <v>3982724</v>
      </c>
      <c r="W556" s="8" t="s">
        <v>1162</v>
      </c>
      <c r="X556" s="8" t="s">
        <v>317</v>
      </c>
      <c r="Y556" s="8" t="s">
        <v>175</v>
      </c>
      <c r="Z556" s="8">
        <v>10</v>
      </c>
      <c r="AA556" s="8">
        <v>17</v>
      </c>
      <c r="AB556" s="8"/>
      <c r="AC556" s="8" t="s">
        <v>222</v>
      </c>
      <c r="AD556" s="14" t="s">
        <v>223</v>
      </c>
      <c r="AE556" s="8" t="s">
        <v>372</v>
      </c>
      <c r="AF556" s="14">
        <v>0.9</v>
      </c>
      <c r="AG556" s="8">
        <v>1200</v>
      </c>
      <c r="AH556" s="8">
        <v>0</v>
      </c>
      <c r="AI556" s="8">
        <v>270</v>
      </c>
      <c r="AJ556" s="8">
        <v>0</v>
      </c>
      <c r="AK556" s="127">
        <v>270</v>
      </c>
      <c r="AL556" s="103">
        <v>63.72999999999999</v>
      </c>
      <c r="AM556" s="8">
        <v>230.19499999999999</v>
      </c>
      <c r="AN556" s="21">
        <v>230.19499999999999</v>
      </c>
      <c r="AO556" s="21">
        <v>0</v>
      </c>
      <c r="AP556" s="21">
        <v>0</v>
      </c>
      <c r="AQ556" s="21">
        <v>0</v>
      </c>
      <c r="AR556" s="21">
        <v>0</v>
      </c>
      <c r="AS556" s="8">
        <v>293.92499999999995</v>
      </c>
      <c r="AT556" s="21">
        <v>0</v>
      </c>
      <c r="AU556" s="21">
        <v>293.92499999999995</v>
      </c>
      <c r="AV556" s="21">
        <v>0</v>
      </c>
      <c r="AW556" s="21">
        <v>0</v>
      </c>
      <c r="AX556" s="21">
        <v>0</v>
      </c>
      <c r="AY556" s="8">
        <v>0</v>
      </c>
    </row>
    <row r="557" spans="1:51" ht="15" customHeight="1" x14ac:dyDescent="0.25">
      <c r="A557" s="9">
        <v>742</v>
      </c>
      <c r="B557" s="13">
        <v>45713</v>
      </c>
      <c r="C557" s="9" t="s">
        <v>169</v>
      </c>
      <c r="D557" s="9">
        <v>9518550511</v>
      </c>
      <c r="E557" s="8">
        <v>6</v>
      </c>
      <c r="F557" s="9" t="s">
        <v>1134</v>
      </c>
      <c r="G557" s="79" t="s">
        <v>1303</v>
      </c>
      <c r="H557" s="9" t="s">
        <v>57</v>
      </c>
      <c r="I557" s="9" t="s">
        <v>25</v>
      </c>
      <c r="J557" s="9" t="s">
        <v>32</v>
      </c>
      <c r="K557" s="9" t="s">
        <v>170</v>
      </c>
      <c r="L557" s="39"/>
      <c r="M557" s="7" t="s">
        <v>1</v>
      </c>
      <c r="N557" s="8"/>
      <c r="O557" s="40"/>
      <c r="P557" s="15"/>
      <c r="Q557" s="9" t="s">
        <v>214</v>
      </c>
      <c r="R557" s="9" t="s">
        <v>240</v>
      </c>
      <c r="S557" s="9"/>
      <c r="T557" s="9">
        <v>939268</v>
      </c>
      <c r="U557" s="16" t="s">
        <v>86</v>
      </c>
      <c r="V557" s="9">
        <v>2420525</v>
      </c>
      <c r="W557" s="8" t="s">
        <v>559</v>
      </c>
      <c r="X557" s="8" t="s">
        <v>265</v>
      </c>
      <c r="Y557" s="8" t="s">
        <v>175</v>
      </c>
      <c r="Z557" s="8">
        <v>2</v>
      </c>
      <c r="AA557" s="8">
        <v>28</v>
      </c>
      <c r="AB557" s="8"/>
      <c r="AC557" s="8" t="s">
        <v>190</v>
      </c>
      <c r="AD557" s="14" t="s">
        <v>191</v>
      </c>
      <c r="AE557" s="8" t="s">
        <v>530</v>
      </c>
      <c r="AF557" s="14">
        <v>2</v>
      </c>
      <c r="AG557" s="8">
        <v>1250</v>
      </c>
      <c r="AH557" s="8">
        <v>0</v>
      </c>
      <c r="AI557" s="8">
        <v>203</v>
      </c>
      <c r="AJ557" s="8">
        <v>0</v>
      </c>
      <c r="AK557" s="127">
        <v>176.81</v>
      </c>
      <c r="AL557" s="103">
        <v>0</v>
      </c>
      <c r="AM557" s="8">
        <v>176.81</v>
      </c>
      <c r="AN557" s="21">
        <v>0</v>
      </c>
      <c r="AO557" s="21">
        <v>176.81</v>
      </c>
      <c r="AP557" s="21">
        <v>0</v>
      </c>
      <c r="AQ557" s="21">
        <v>0</v>
      </c>
      <c r="AR557" s="21">
        <v>0</v>
      </c>
      <c r="AS557" s="8">
        <v>176.81</v>
      </c>
      <c r="AT557" s="21">
        <v>0</v>
      </c>
      <c r="AU557" s="21">
        <v>176.81</v>
      </c>
      <c r="AV557" s="21">
        <v>0</v>
      </c>
      <c r="AW557" s="21">
        <v>0</v>
      </c>
      <c r="AX557" s="21">
        <v>0</v>
      </c>
      <c r="AY557" s="8">
        <v>0</v>
      </c>
    </row>
    <row r="558" spans="1:51" ht="15" customHeight="1" x14ac:dyDescent="0.25">
      <c r="A558" s="9">
        <v>742</v>
      </c>
      <c r="B558" s="13">
        <v>45713</v>
      </c>
      <c r="C558" s="9" t="s">
        <v>169</v>
      </c>
      <c r="D558" s="9">
        <v>9518550511</v>
      </c>
      <c r="E558" s="8">
        <v>7</v>
      </c>
      <c r="F558" s="9" t="s">
        <v>1135</v>
      </c>
      <c r="G558" s="79" t="s">
        <v>1303</v>
      </c>
      <c r="H558" s="9" t="s">
        <v>57</v>
      </c>
      <c r="I558" s="9" t="s">
        <v>25</v>
      </c>
      <c r="J558" s="9" t="s">
        <v>32</v>
      </c>
      <c r="K558" s="9" t="s">
        <v>170</v>
      </c>
      <c r="L558" s="39"/>
      <c r="M558" s="7" t="s">
        <v>1</v>
      </c>
      <c r="N558" s="8"/>
      <c r="O558" s="40"/>
      <c r="P558" s="15"/>
      <c r="Q558" s="9" t="s">
        <v>214</v>
      </c>
      <c r="R558" s="9" t="s">
        <v>240</v>
      </c>
      <c r="S558" s="9"/>
      <c r="T558" s="9">
        <v>939268</v>
      </c>
      <c r="U558" s="16" t="s">
        <v>86</v>
      </c>
      <c r="V558" s="9">
        <v>2420615</v>
      </c>
      <c r="W558" s="8" t="s">
        <v>761</v>
      </c>
      <c r="X558" s="8" t="s">
        <v>265</v>
      </c>
      <c r="Y558" s="8" t="s">
        <v>175</v>
      </c>
      <c r="Z558" s="8">
        <v>2</v>
      </c>
      <c r="AA558" s="8">
        <v>28</v>
      </c>
      <c r="AB558" s="8"/>
      <c r="AC558" s="8" t="s">
        <v>190</v>
      </c>
      <c r="AD558" s="14" t="s">
        <v>191</v>
      </c>
      <c r="AE558" s="8" t="s">
        <v>530</v>
      </c>
      <c r="AF558" s="14">
        <v>2.2999999999999998</v>
      </c>
      <c r="AG558" s="8">
        <v>1250</v>
      </c>
      <c r="AH558" s="8">
        <v>0</v>
      </c>
      <c r="AI558" s="8">
        <v>58</v>
      </c>
      <c r="AJ558" s="8">
        <v>0</v>
      </c>
      <c r="AK558" s="127">
        <v>58</v>
      </c>
      <c r="AL558" s="103">
        <v>0</v>
      </c>
      <c r="AM558" s="8">
        <v>58</v>
      </c>
      <c r="AN558" s="21">
        <v>0</v>
      </c>
      <c r="AO558" s="21">
        <v>0</v>
      </c>
      <c r="AP558" s="21">
        <v>58</v>
      </c>
      <c r="AQ558" s="21">
        <v>0</v>
      </c>
      <c r="AR558" s="21">
        <v>0</v>
      </c>
      <c r="AS558" s="8">
        <v>58</v>
      </c>
      <c r="AT558" s="21">
        <v>0</v>
      </c>
      <c r="AU558" s="21">
        <v>0</v>
      </c>
      <c r="AV558" s="21">
        <v>58</v>
      </c>
      <c r="AW558" s="21">
        <v>0</v>
      </c>
      <c r="AX558" s="21">
        <v>0</v>
      </c>
      <c r="AY558" s="8">
        <v>0</v>
      </c>
    </row>
    <row r="559" spans="1:51" ht="15" customHeight="1" x14ac:dyDescent="0.25">
      <c r="A559" s="9">
        <v>743</v>
      </c>
      <c r="B559" s="13">
        <v>45744</v>
      </c>
      <c r="C559" s="9" t="s">
        <v>169</v>
      </c>
      <c r="D559" s="9">
        <v>9518648408</v>
      </c>
      <c r="E559" s="8">
        <v>2</v>
      </c>
      <c r="F559" s="9" t="s">
        <v>1136</v>
      </c>
      <c r="G559" s="79" t="s">
        <v>1303</v>
      </c>
      <c r="H559" s="9" t="s">
        <v>57</v>
      </c>
      <c r="I559" s="9" t="s">
        <v>43</v>
      </c>
      <c r="J559" s="9" t="s">
        <v>44</v>
      </c>
      <c r="K559" s="9" t="s">
        <v>170</v>
      </c>
      <c r="L559" s="39"/>
      <c r="M559" s="7" t="s">
        <v>1</v>
      </c>
      <c r="N559" s="8"/>
      <c r="O559" s="40"/>
      <c r="P559" s="15" t="s">
        <v>244</v>
      </c>
      <c r="Q559" s="9" t="s">
        <v>188</v>
      </c>
      <c r="R559" s="9" t="s">
        <v>311</v>
      </c>
      <c r="S559" s="9"/>
      <c r="T559" s="9">
        <v>930519</v>
      </c>
      <c r="U559" s="16" t="s">
        <v>118</v>
      </c>
      <c r="V559" s="9">
        <v>1851101</v>
      </c>
      <c r="W559" s="8" t="s">
        <v>432</v>
      </c>
      <c r="X559" s="8" t="s">
        <v>308</v>
      </c>
      <c r="Y559" s="8" t="s">
        <v>175</v>
      </c>
      <c r="Z559" s="8">
        <v>3</v>
      </c>
      <c r="AA559" s="8">
        <v>5</v>
      </c>
      <c r="AB559" s="8"/>
      <c r="AC559" s="8" t="s">
        <v>238</v>
      </c>
      <c r="AD559" s="14" t="s">
        <v>185</v>
      </c>
      <c r="AE559" s="8" t="s">
        <v>186</v>
      </c>
      <c r="AF559" s="14">
        <v>0.5</v>
      </c>
      <c r="AG559" s="8">
        <v>1220</v>
      </c>
      <c r="AH559" s="8">
        <v>0</v>
      </c>
      <c r="AI559" s="8">
        <v>28</v>
      </c>
      <c r="AJ559" s="8">
        <v>0</v>
      </c>
      <c r="AK559" s="127">
        <v>28</v>
      </c>
      <c r="AL559" s="103">
        <v>0</v>
      </c>
      <c r="AM559" s="8">
        <v>28</v>
      </c>
      <c r="AN559" s="21">
        <v>0</v>
      </c>
      <c r="AO559" s="21">
        <v>0</v>
      </c>
      <c r="AP559" s="21">
        <v>28</v>
      </c>
      <c r="AQ559" s="21">
        <v>0</v>
      </c>
      <c r="AR559" s="21">
        <v>0</v>
      </c>
      <c r="AS559" s="8">
        <v>28</v>
      </c>
      <c r="AT559" s="21">
        <v>0</v>
      </c>
      <c r="AU559" s="21">
        <v>0</v>
      </c>
      <c r="AV559" s="21">
        <v>0</v>
      </c>
      <c r="AW559" s="21">
        <v>28</v>
      </c>
      <c r="AX559" s="21">
        <v>0</v>
      </c>
      <c r="AY559" s="8">
        <v>0</v>
      </c>
    </row>
    <row r="560" spans="1:51" ht="15" customHeight="1" x14ac:dyDescent="0.25">
      <c r="A560" s="9">
        <v>743</v>
      </c>
      <c r="B560" s="13">
        <v>45744</v>
      </c>
      <c r="C560" s="9" t="s">
        <v>169</v>
      </c>
      <c r="D560" s="9">
        <v>9518648408</v>
      </c>
      <c r="E560" s="8">
        <v>3</v>
      </c>
      <c r="F560" s="9" t="s">
        <v>1137</v>
      </c>
      <c r="G560" s="79" t="s">
        <v>1303</v>
      </c>
      <c r="H560" s="9" t="s">
        <v>57</v>
      </c>
      <c r="I560" s="9" t="s">
        <v>43</v>
      </c>
      <c r="J560" s="9" t="s">
        <v>44</v>
      </c>
      <c r="K560" s="9" t="s">
        <v>170</v>
      </c>
      <c r="L560" s="39"/>
      <c r="M560" s="7" t="s">
        <v>1</v>
      </c>
      <c r="N560" s="8"/>
      <c r="O560" s="40"/>
      <c r="P560" s="15" t="s">
        <v>244</v>
      </c>
      <c r="Q560" s="9" t="s">
        <v>188</v>
      </c>
      <c r="R560" s="9" t="s">
        <v>311</v>
      </c>
      <c r="S560" s="9"/>
      <c r="T560" s="9">
        <v>930519</v>
      </c>
      <c r="U560" s="16" t="s">
        <v>118</v>
      </c>
      <c r="V560" s="9">
        <v>1334725</v>
      </c>
      <c r="W560" s="8" t="s">
        <v>475</v>
      </c>
      <c r="X560" s="8" t="s">
        <v>308</v>
      </c>
      <c r="Y560" s="8" t="s">
        <v>175</v>
      </c>
      <c r="Z560" s="8">
        <v>3</v>
      </c>
      <c r="AA560" s="8">
        <v>5.4</v>
      </c>
      <c r="AB560" s="8"/>
      <c r="AC560" s="8" t="s">
        <v>238</v>
      </c>
      <c r="AD560" s="14" t="s">
        <v>185</v>
      </c>
      <c r="AE560" s="8" t="s">
        <v>186</v>
      </c>
      <c r="AF560" s="14">
        <v>0.6</v>
      </c>
      <c r="AG560" s="8">
        <v>1220</v>
      </c>
      <c r="AH560" s="8">
        <v>0</v>
      </c>
      <c r="AI560" s="8">
        <v>55.99</v>
      </c>
      <c r="AJ560" s="8">
        <v>5.3949999999999996</v>
      </c>
      <c r="AK560" s="127">
        <v>50.594999999999999</v>
      </c>
      <c r="AL560" s="103">
        <v>0</v>
      </c>
      <c r="AM560" s="8">
        <v>50.594999999999999</v>
      </c>
      <c r="AN560" s="21">
        <v>0</v>
      </c>
      <c r="AO560" s="21">
        <v>0</v>
      </c>
      <c r="AP560" s="21">
        <v>50.594999999999999</v>
      </c>
      <c r="AQ560" s="21">
        <v>0</v>
      </c>
      <c r="AR560" s="21">
        <v>0</v>
      </c>
      <c r="AS560" s="8">
        <v>50.594999999999999</v>
      </c>
      <c r="AT560" s="21">
        <v>0</v>
      </c>
      <c r="AU560" s="21">
        <v>0</v>
      </c>
      <c r="AV560" s="21">
        <v>0</v>
      </c>
      <c r="AW560" s="21">
        <v>50.594999999999999</v>
      </c>
      <c r="AX560" s="21">
        <v>0</v>
      </c>
      <c r="AY560" s="8">
        <v>0</v>
      </c>
    </row>
    <row r="561" spans="1:51" ht="15" customHeight="1" x14ac:dyDescent="0.25">
      <c r="A561" s="9">
        <v>742</v>
      </c>
      <c r="B561" s="13">
        <v>45730</v>
      </c>
      <c r="C561" s="9" t="s">
        <v>193</v>
      </c>
      <c r="D561" s="9">
        <v>4000500995</v>
      </c>
      <c r="E561" s="8">
        <v>5</v>
      </c>
      <c r="F561" s="9" t="s">
        <v>1138</v>
      </c>
      <c r="G561" s="79" t="s">
        <v>1303</v>
      </c>
      <c r="H561" s="9" t="s">
        <v>57</v>
      </c>
      <c r="I561" s="9" t="s">
        <v>50</v>
      </c>
      <c r="J561" s="9" t="s">
        <v>26</v>
      </c>
      <c r="K561" s="9" t="s">
        <v>170</v>
      </c>
      <c r="L561" s="39"/>
      <c r="M561" s="7" t="s">
        <v>1</v>
      </c>
      <c r="N561" s="8"/>
      <c r="O561" s="40"/>
      <c r="P561" s="15"/>
      <c r="Q561" s="9" t="s">
        <v>214</v>
      </c>
      <c r="R561" s="9" t="s">
        <v>240</v>
      </c>
      <c r="S561" s="9"/>
      <c r="T561" s="9">
        <v>600103</v>
      </c>
      <c r="U561" s="16" t="s">
        <v>102</v>
      </c>
      <c r="V561" s="9">
        <v>1294719</v>
      </c>
      <c r="W561" s="8" t="s">
        <v>589</v>
      </c>
      <c r="X561" s="8" t="s">
        <v>265</v>
      </c>
      <c r="Y561" s="8" t="s">
        <v>175</v>
      </c>
      <c r="Z561" s="8">
        <v>10</v>
      </c>
      <c r="AA561" s="8">
        <v>27</v>
      </c>
      <c r="AB561" s="8"/>
      <c r="AC561" s="8">
        <v>768</v>
      </c>
      <c r="AD561" s="14" t="s">
        <v>242</v>
      </c>
      <c r="AE561" s="8" t="s">
        <v>243</v>
      </c>
      <c r="AF561" s="14">
        <v>2.9</v>
      </c>
      <c r="AG561" s="8">
        <v>1250</v>
      </c>
      <c r="AH561" s="8">
        <v>0</v>
      </c>
      <c r="AI561" s="8">
        <v>50</v>
      </c>
      <c r="AJ561" s="8">
        <v>0</v>
      </c>
      <c r="AK561" s="127">
        <v>50</v>
      </c>
      <c r="AL561" s="103">
        <v>0</v>
      </c>
      <c r="AM561" s="8">
        <v>50</v>
      </c>
      <c r="AN561" s="21">
        <v>0</v>
      </c>
      <c r="AO561" s="21">
        <v>0</v>
      </c>
      <c r="AP561" s="21">
        <v>0</v>
      </c>
      <c r="AQ561" s="21">
        <v>50</v>
      </c>
      <c r="AR561" s="21">
        <v>0</v>
      </c>
      <c r="AS561" s="8">
        <v>50</v>
      </c>
      <c r="AT561" s="21">
        <v>0</v>
      </c>
      <c r="AU561" s="21">
        <v>0</v>
      </c>
      <c r="AV561" s="21">
        <v>0</v>
      </c>
      <c r="AW561" s="21">
        <v>0</v>
      </c>
      <c r="AX561" s="21">
        <v>50</v>
      </c>
      <c r="AY561" s="8">
        <v>0</v>
      </c>
    </row>
    <row r="562" spans="1:51" ht="15" customHeight="1" x14ac:dyDescent="0.25">
      <c r="A562" s="9">
        <v>742</v>
      </c>
      <c r="B562" s="13">
        <v>45730</v>
      </c>
      <c r="C562" s="9" t="s">
        <v>193</v>
      </c>
      <c r="D562" s="9">
        <v>4000500995</v>
      </c>
      <c r="E562" s="8">
        <v>6</v>
      </c>
      <c r="F562" s="9" t="s">
        <v>1139</v>
      </c>
      <c r="G562" s="79" t="s">
        <v>1303</v>
      </c>
      <c r="H562" s="9" t="s">
        <v>57</v>
      </c>
      <c r="I562" s="9" t="s">
        <v>50</v>
      </c>
      <c r="J562" s="9" t="s">
        <v>26</v>
      </c>
      <c r="K562" s="9" t="s">
        <v>170</v>
      </c>
      <c r="L562" s="39"/>
      <c r="M562" s="7" t="s">
        <v>1</v>
      </c>
      <c r="N562" s="8"/>
      <c r="O562" s="40"/>
      <c r="P562" s="15"/>
      <c r="Q562" s="9" t="s">
        <v>214</v>
      </c>
      <c r="R562" s="9" t="s">
        <v>240</v>
      </c>
      <c r="S562" s="9"/>
      <c r="T562" s="9">
        <v>600103</v>
      </c>
      <c r="U562" s="16" t="s">
        <v>102</v>
      </c>
      <c r="V562" s="9">
        <v>1294722</v>
      </c>
      <c r="W562" s="8" t="s">
        <v>591</v>
      </c>
      <c r="X562" s="8" t="s">
        <v>265</v>
      </c>
      <c r="Y562" s="8" t="s">
        <v>175</v>
      </c>
      <c r="Z562" s="8">
        <v>10</v>
      </c>
      <c r="AA562" s="8">
        <v>27</v>
      </c>
      <c r="AB562" s="8"/>
      <c r="AC562" s="8">
        <v>768</v>
      </c>
      <c r="AD562" s="14" t="s">
        <v>242</v>
      </c>
      <c r="AE562" s="8" t="s">
        <v>243</v>
      </c>
      <c r="AF562" s="14">
        <v>3.15</v>
      </c>
      <c r="AG562" s="8">
        <v>1250</v>
      </c>
      <c r="AH562" s="8">
        <v>0</v>
      </c>
      <c r="AI562" s="8">
        <v>50</v>
      </c>
      <c r="AJ562" s="8">
        <v>0</v>
      </c>
      <c r="AK562" s="127">
        <v>50</v>
      </c>
      <c r="AL562" s="103">
        <v>0</v>
      </c>
      <c r="AM562" s="8">
        <v>50</v>
      </c>
      <c r="AN562" s="21">
        <v>0</v>
      </c>
      <c r="AO562" s="21">
        <v>0</v>
      </c>
      <c r="AP562" s="21">
        <v>0</v>
      </c>
      <c r="AQ562" s="21">
        <v>50</v>
      </c>
      <c r="AR562" s="21">
        <v>0</v>
      </c>
      <c r="AS562" s="8">
        <v>50</v>
      </c>
      <c r="AT562" s="21">
        <v>0</v>
      </c>
      <c r="AU562" s="21">
        <v>0</v>
      </c>
      <c r="AV562" s="21">
        <v>0</v>
      </c>
      <c r="AW562" s="21">
        <v>0</v>
      </c>
      <c r="AX562" s="21">
        <v>50</v>
      </c>
      <c r="AY562" s="8">
        <v>0</v>
      </c>
    </row>
    <row r="563" spans="1:51" ht="15" customHeight="1" x14ac:dyDescent="0.25">
      <c r="A563" s="9">
        <v>742</v>
      </c>
      <c r="B563" s="13">
        <v>45699</v>
      </c>
      <c r="C563" s="9" t="s">
        <v>169</v>
      </c>
      <c r="D563" s="9">
        <v>9518510093</v>
      </c>
      <c r="E563" s="8">
        <v>11</v>
      </c>
      <c r="F563" s="9" t="s">
        <v>636</v>
      </c>
      <c r="G563" s="9" t="s">
        <v>1687</v>
      </c>
      <c r="H563" s="9" t="s">
        <v>57</v>
      </c>
      <c r="I563" s="9" t="s">
        <v>25</v>
      </c>
      <c r="J563" s="9" t="s">
        <v>30</v>
      </c>
      <c r="K563" s="9" t="s">
        <v>170</v>
      </c>
      <c r="L563" s="39"/>
      <c r="M563" s="7" t="s">
        <v>1</v>
      </c>
      <c r="N563" s="8"/>
      <c r="O563" s="40"/>
      <c r="P563" s="15"/>
      <c r="Q563" s="9" t="s">
        <v>172</v>
      </c>
      <c r="R563" s="9" t="s">
        <v>237</v>
      </c>
      <c r="S563" s="9"/>
      <c r="T563" s="9">
        <v>101499</v>
      </c>
      <c r="U563" s="16" t="s">
        <v>73</v>
      </c>
      <c r="V563" s="9">
        <v>2334995</v>
      </c>
      <c r="W563" s="8" t="s">
        <v>460</v>
      </c>
      <c r="X563" s="8" t="s">
        <v>265</v>
      </c>
      <c r="Y563" s="8" t="s">
        <v>175</v>
      </c>
      <c r="Z563" s="8">
        <v>10</v>
      </c>
      <c r="AA563" s="8">
        <v>30</v>
      </c>
      <c r="AB563" s="8"/>
      <c r="AC563" s="8" t="s">
        <v>190</v>
      </c>
      <c r="AD563" s="14" t="s">
        <v>191</v>
      </c>
      <c r="AE563" s="8" t="s">
        <v>192</v>
      </c>
      <c r="AF563" s="14">
        <v>1.5</v>
      </c>
      <c r="AG563" s="8">
        <v>1250</v>
      </c>
      <c r="AH563" s="8">
        <v>0</v>
      </c>
      <c r="AI563" s="8">
        <v>29</v>
      </c>
      <c r="AJ563" s="8">
        <v>0</v>
      </c>
      <c r="AK563" s="127">
        <v>3.4550000000000001</v>
      </c>
      <c r="AL563" s="103">
        <v>25.545000000000002</v>
      </c>
      <c r="AM563" s="8">
        <v>0</v>
      </c>
      <c r="AN563" s="21">
        <v>0</v>
      </c>
      <c r="AO563" s="21">
        <v>0</v>
      </c>
      <c r="AP563" s="21">
        <v>0</v>
      </c>
      <c r="AQ563" s="21">
        <v>0</v>
      </c>
      <c r="AR563" s="21">
        <v>0</v>
      </c>
      <c r="AS563" s="8">
        <v>25.545000000000002</v>
      </c>
      <c r="AT563" s="21">
        <v>25.545000000000002</v>
      </c>
      <c r="AU563" s="21">
        <v>0</v>
      </c>
      <c r="AV563" s="21">
        <v>0</v>
      </c>
      <c r="AW563" s="21">
        <v>0</v>
      </c>
      <c r="AX563" s="21">
        <v>0</v>
      </c>
      <c r="AY563" s="8">
        <v>0</v>
      </c>
    </row>
    <row r="564" spans="1:51" ht="15" customHeight="1" x14ac:dyDescent="0.25">
      <c r="A564" s="9">
        <v>744</v>
      </c>
      <c r="B564" s="13">
        <v>45710</v>
      </c>
      <c r="C564" s="9" t="s">
        <v>169</v>
      </c>
      <c r="D564" s="9">
        <v>9518542873</v>
      </c>
      <c r="E564" s="8">
        <v>6</v>
      </c>
      <c r="F564" s="9" t="s">
        <v>581</v>
      </c>
      <c r="G564" s="79" t="s">
        <v>1303</v>
      </c>
      <c r="H564" s="9" t="s">
        <v>57</v>
      </c>
      <c r="I564" s="9" t="s">
        <v>48</v>
      </c>
      <c r="J564" s="9" t="s">
        <v>39</v>
      </c>
      <c r="K564" s="9" t="s">
        <v>233</v>
      </c>
      <c r="L564" s="39"/>
      <c r="M564" s="7" t="s">
        <v>1</v>
      </c>
      <c r="N564" s="8"/>
      <c r="O564" s="40"/>
      <c r="P564" s="15"/>
      <c r="Q564" s="9" t="s">
        <v>264</v>
      </c>
      <c r="R564" s="9" t="s">
        <v>265</v>
      </c>
      <c r="S564" s="9"/>
      <c r="T564" s="9">
        <v>941597</v>
      </c>
      <c r="U564" s="16" t="s">
        <v>106</v>
      </c>
      <c r="V564" s="9">
        <v>3624035</v>
      </c>
      <c r="W564" s="8" t="s">
        <v>580</v>
      </c>
      <c r="X564" s="8" t="s">
        <v>317</v>
      </c>
      <c r="Y564" s="8" t="s">
        <v>266</v>
      </c>
      <c r="Z564" s="8">
        <v>3</v>
      </c>
      <c r="AA564" s="8">
        <v>5</v>
      </c>
      <c r="AB564" s="8"/>
      <c r="AC564" s="8" t="s">
        <v>228</v>
      </c>
      <c r="AD564" s="14" t="s">
        <v>229</v>
      </c>
      <c r="AE564" s="8" t="s">
        <v>342</v>
      </c>
      <c r="AF564" s="14">
        <v>0.39</v>
      </c>
      <c r="AG564" s="8">
        <v>1220</v>
      </c>
      <c r="AH564" s="8">
        <v>0</v>
      </c>
      <c r="AI564" s="8">
        <v>28</v>
      </c>
      <c r="AJ564" s="8">
        <v>0</v>
      </c>
      <c r="AK564" s="127">
        <v>28</v>
      </c>
      <c r="AL564" s="103">
        <v>0</v>
      </c>
      <c r="AM564" s="8">
        <v>0</v>
      </c>
      <c r="AN564" s="21">
        <v>0</v>
      </c>
      <c r="AO564" s="21">
        <v>0</v>
      </c>
      <c r="AP564" s="21">
        <v>0</v>
      </c>
      <c r="AQ564" s="21">
        <v>0</v>
      </c>
      <c r="AR564" s="21">
        <v>0</v>
      </c>
      <c r="AS564" s="8">
        <v>0</v>
      </c>
      <c r="AT564" s="21">
        <v>0</v>
      </c>
      <c r="AU564" s="21">
        <v>0</v>
      </c>
      <c r="AV564" s="21">
        <v>0</v>
      </c>
      <c r="AW564" s="21">
        <v>0</v>
      </c>
      <c r="AX564" s="21">
        <v>0</v>
      </c>
      <c r="AY564" s="8">
        <v>0</v>
      </c>
    </row>
    <row r="565" spans="1:51" ht="15" customHeight="1" x14ac:dyDescent="0.25">
      <c r="A565" s="9">
        <v>742</v>
      </c>
      <c r="B565" s="13">
        <v>45722</v>
      </c>
      <c r="C565" s="9" t="s">
        <v>169</v>
      </c>
      <c r="D565" s="9">
        <v>9518579878</v>
      </c>
      <c r="E565" s="8">
        <v>7</v>
      </c>
      <c r="F565" s="9" t="s">
        <v>631</v>
      </c>
      <c r="G565" s="79" t="s">
        <v>1303</v>
      </c>
      <c r="H565" s="9" t="s">
        <v>57</v>
      </c>
      <c r="I565" s="9" t="s">
        <v>25</v>
      </c>
      <c r="J565" s="9" t="s">
        <v>31</v>
      </c>
      <c r="K565" s="9" t="s">
        <v>170</v>
      </c>
      <c r="L565" s="39"/>
      <c r="M565" s="7" t="s">
        <v>1</v>
      </c>
      <c r="N565" s="8"/>
      <c r="O565" s="40"/>
      <c r="P565" s="15"/>
      <c r="Q565" s="9" t="s">
        <v>172</v>
      </c>
      <c r="R565" s="9" t="s">
        <v>286</v>
      </c>
      <c r="S565" s="9"/>
      <c r="T565" s="9">
        <v>931525</v>
      </c>
      <c r="U565" s="16" t="s">
        <v>75</v>
      </c>
      <c r="V565" s="9">
        <v>3240781</v>
      </c>
      <c r="W565" s="8" t="s">
        <v>466</v>
      </c>
      <c r="X565" s="8" t="s">
        <v>265</v>
      </c>
      <c r="Y565" s="8" t="s">
        <v>175</v>
      </c>
      <c r="Z565" s="8">
        <v>0</v>
      </c>
      <c r="AA565" s="8">
        <v>0</v>
      </c>
      <c r="AB565" s="8"/>
      <c r="AC565" s="8" t="s">
        <v>210</v>
      </c>
      <c r="AD565" s="14" t="s">
        <v>218</v>
      </c>
      <c r="AE565" s="8" t="s">
        <v>250</v>
      </c>
      <c r="AF565" s="14">
        <v>0.6</v>
      </c>
      <c r="AG565" s="8">
        <v>1250</v>
      </c>
      <c r="AH565" s="8">
        <v>2030</v>
      </c>
      <c r="AI565" s="8">
        <v>27</v>
      </c>
      <c r="AJ565" s="8">
        <v>0</v>
      </c>
      <c r="AK565" s="127">
        <v>27</v>
      </c>
      <c r="AL565" s="103">
        <v>0</v>
      </c>
      <c r="AM565" s="8">
        <v>27</v>
      </c>
      <c r="AN565" s="21">
        <v>0</v>
      </c>
      <c r="AO565" s="21">
        <v>0</v>
      </c>
      <c r="AP565" s="21">
        <v>27</v>
      </c>
      <c r="AQ565" s="21">
        <v>0</v>
      </c>
      <c r="AR565" s="21">
        <v>0</v>
      </c>
      <c r="AS565" s="8">
        <v>27</v>
      </c>
      <c r="AT565" s="21">
        <v>0</v>
      </c>
      <c r="AU565" s="21">
        <v>0</v>
      </c>
      <c r="AV565" s="21">
        <v>27</v>
      </c>
      <c r="AW565" s="21">
        <v>0</v>
      </c>
      <c r="AX565" s="21">
        <v>0</v>
      </c>
      <c r="AY565" s="8">
        <v>0</v>
      </c>
    </row>
    <row r="566" spans="1:51" ht="15" customHeight="1" x14ac:dyDescent="0.25">
      <c r="A566" s="9">
        <v>743</v>
      </c>
      <c r="B566" s="13">
        <v>45731</v>
      </c>
      <c r="C566" s="9" t="s">
        <v>169</v>
      </c>
      <c r="D566" s="9">
        <v>9518602675</v>
      </c>
      <c r="E566" s="8">
        <v>2</v>
      </c>
      <c r="F566" s="9" t="s">
        <v>637</v>
      </c>
      <c r="G566" s="79" t="s">
        <v>1303</v>
      </c>
      <c r="H566" s="9" t="s">
        <v>57</v>
      </c>
      <c r="I566" s="9" t="s">
        <v>43</v>
      </c>
      <c r="J566" s="9" t="s">
        <v>45</v>
      </c>
      <c r="K566" s="9" t="s">
        <v>170</v>
      </c>
      <c r="L566" s="39"/>
      <c r="M566" s="7" t="s">
        <v>1</v>
      </c>
      <c r="N566" s="8"/>
      <c r="O566" s="40"/>
      <c r="P566" s="15"/>
      <c r="Q566" s="9" t="s">
        <v>180</v>
      </c>
      <c r="R566" s="9" t="s">
        <v>261</v>
      </c>
      <c r="S566" s="9"/>
      <c r="T566" s="9">
        <v>185794</v>
      </c>
      <c r="U566" s="16" t="s">
        <v>97</v>
      </c>
      <c r="V566" s="9">
        <v>1191956</v>
      </c>
      <c r="W566" s="8" t="s">
        <v>440</v>
      </c>
      <c r="X566" s="8" t="s">
        <v>308</v>
      </c>
      <c r="Y566" s="8" t="s">
        <v>175</v>
      </c>
      <c r="Z566" s="8">
        <v>5</v>
      </c>
      <c r="AA566" s="8">
        <v>15</v>
      </c>
      <c r="AB566" s="8"/>
      <c r="AC566" s="8" t="s">
        <v>238</v>
      </c>
      <c r="AD566" s="14" t="s">
        <v>185</v>
      </c>
      <c r="AE566" s="8" t="s">
        <v>186</v>
      </c>
      <c r="AF566" s="14">
        <v>0.35</v>
      </c>
      <c r="AG566" s="8">
        <v>900</v>
      </c>
      <c r="AH566" s="8">
        <v>0</v>
      </c>
      <c r="AI566" s="8">
        <v>147</v>
      </c>
      <c r="AJ566" s="8">
        <v>0</v>
      </c>
      <c r="AK566" s="127">
        <v>147</v>
      </c>
      <c r="AL566" s="103">
        <v>0</v>
      </c>
      <c r="AM566" s="8">
        <v>147</v>
      </c>
      <c r="AN566" s="21">
        <v>0</v>
      </c>
      <c r="AO566" s="21">
        <v>0</v>
      </c>
      <c r="AP566" s="21">
        <v>147</v>
      </c>
      <c r="AQ566" s="21">
        <v>0</v>
      </c>
      <c r="AR566" s="21">
        <v>0</v>
      </c>
      <c r="AS566" s="8">
        <v>147</v>
      </c>
      <c r="AT566" s="21">
        <v>0</v>
      </c>
      <c r="AU566" s="21">
        <v>0</v>
      </c>
      <c r="AV566" s="21">
        <v>0</v>
      </c>
      <c r="AW566" s="21">
        <v>147</v>
      </c>
      <c r="AX566" s="21">
        <v>0</v>
      </c>
      <c r="AY566" s="8">
        <v>0</v>
      </c>
    </row>
    <row r="567" spans="1:51" ht="15" customHeight="1" x14ac:dyDescent="0.25">
      <c r="A567" s="9">
        <v>742</v>
      </c>
      <c r="B567" s="13">
        <v>45733</v>
      </c>
      <c r="C567" s="9" t="s">
        <v>193</v>
      </c>
      <c r="D567" s="9">
        <v>9518607093</v>
      </c>
      <c r="E567" s="8">
        <v>1</v>
      </c>
      <c r="F567" s="9" t="s">
        <v>623</v>
      </c>
      <c r="G567" s="79" t="s">
        <v>1303</v>
      </c>
      <c r="H567" s="9" t="s">
        <v>57</v>
      </c>
      <c r="I567" s="9" t="s">
        <v>25</v>
      </c>
      <c r="J567" s="9" t="s">
        <v>29</v>
      </c>
      <c r="K567" s="9" t="s">
        <v>233</v>
      </c>
      <c r="L567" s="39"/>
      <c r="M567" s="7" t="s">
        <v>1</v>
      </c>
      <c r="N567" s="8"/>
      <c r="O567" s="40"/>
      <c r="P567" s="15"/>
      <c r="Q567" s="9" t="s">
        <v>180</v>
      </c>
      <c r="R567" s="9" t="s">
        <v>195</v>
      </c>
      <c r="S567" s="9"/>
      <c r="T567" s="9">
        <v>600250</v>
      </c>
      <c r="U567" s="16" t="s">
        <v>64</v>
      </c>
      <c r="V567" s="9">
        <v>2439203</v>
      </c>
      <c r="W567" s="8" t="s">
        <v>288</v>
      </c>
      <c r="X567" s="8" t="s">
        <v>265</v>
      </c>
      <c r="Y567" s="8" t="s">
        <v>175</v>
      </c>
      <c r="Z567" s="8">
        <v>8</v>
      </c>
      <c r="AA567" s="8">
        <v>13</v>
      </c>
      <c r="AB567" s="8"/>
      <c r="AC567" s="8" t="s">
        <v>190</v>
      </c>
      <c r="AD567" s="14" t="s">
        <v>197</v>
      </c>
      <c r="AE567" s="8" t="s">
        <v>198</v>
      </c>
      <c r="AF567" s="14">
        <v>0.5</v>
      </c>
      <c r="AG567" s="8">
        <v>1160</v>
      </c>
      <c r="AH567" s="8">
        <v>0</v>
      </c>
      <c r="AI567" s="8">
        <v>297</v>
      </c>
      <c r="AJ567" s="8">
        <v>186.64</v>
      </c>
      <c r="AK567" s="127">
        <v>110.36</v>
      </c>
      <c r="AL567" s="103">
        <v>0</v>
      </c>
      <c r="AM567" s="8">
        <v>110.36</v>
      </c>
      <c r="AN567" s="21">
        <v>0</v>
      </c>
      <c r="AO567" s="21">
        <v>0</v>
      </c>
      <c r="AP567" s="21">
        <v>110.36</v>
      </c>
      <c r="AQ567" s="21">
        <v>0</v>
      </c>
      <c r="AR567" s="21">
        <v>0</v>
      </c>
      <c r="AS567" s="8">
        <v>110.36</v>
      </c>
      <c r="AT567" s="21">
        <v>0</v>
      </c>
      <c r="AU567" s="21">
        <v>0</v>
      </c>
      <c r="AV567" s="21">
        <v>0</v>
      </c>
      <c r="AW567" s="21">
        <v>110.36</v>
      </c>
      <c r="AX567" s="21">
        <v>0</v>
      </c>
      <c r="AY567" s="8">
        <v>0</v>
      </c>
    </row>
    <row r="568" spans="1:51" ht="15" customHeight="1" x14ac:dyDescent="0.25">
      <c r="A568" s="9">
        <v>742</v>
      </c>
      <c r="B568" s="13">
        <v>45719</v>
      </c>
      <c r="C568" s="9" t="s">
        <v>169</v>
      </c>
      <c r="D568" s="9">
        <v>9518569788</v>
      </c>
      <c r="E568" s="8">
        <v>8</v>
      </c>
      <c r="F568" s="9" t="s">
        <v>1140</v>
      </c>
      <c r="G568" s="79" t="s">
        <v>1303</v>
      </c>
      <c r="H568" s="9" t="s">
        <v>57</v>
      </c>
      <c r="I568" s="9" t="s">
        <v>25</v>
      </c>
      <c r="J568" s="9" t="s">
        <v>30</v>
      </c>
      <c r="K568" s="9" t="s">
        <v>170</v>
      </c>
      <c r="L568" s="39"/>
      <c r="M568" s="7" t="s">
        <v>1</v>
      </c>
      <c r="N568" s="8"/>
      <c r="O568" s="40"/>
      <c r="P568" s="15"/>
      <c r="Q568" s="9" t="s">
        <v>180</v>
      </c>
      <c r="R568" s="9" t="s">
        <v>217</v>
      </c>
      <c r="S568" s="9"/>
      <c r="T568" s="9">
        <v>116649</v>
      </c>
      <c r="U568" s="16" t="s">
        <v>96</v>
      </c>
      <c r="V568" s="9">
        <v>1804814</v>
      </c>
      <c r="W568" s="8" t="s">
        <v>468</v>
      </c>
      <c r="X568" s="8" t="s">
        <v>265</v>
      </c>
      <c r="Y568" s="8" t="s">
        <v>175</v>
      </c>
      <c r="Z568" s="8">
        <v>7</v>
      </c>
      <c r="AA568" s="8">
        <v>12</v>
      </c>
      <c r="AB568" s="8"/>
      <c r="AC568" s="8" t="s">
        <v>190</v>
      </c>
      <c r="AD568" s="14" t="s">
        <v>191</v>
      </c>
      <c r="AE568" s="8" t="s">
        <v>192</v>
      </c>
      <c r="AF568" s="14">
        <v>0.8</v>
      </c>
      <c r="AG568" s="8">
        <v>1250</v>
      </c>
      <c r="AH568" s="8">
        <v>0</v>
      </c>
      <c r="AI568" s="8">
        <v>58</v>
      </c>
      <c r="AJ568" s="8">
        <v>40.270000000000003</v>
      </c>
      <c r="AK568" s="127">
        <v>17.73</v>
      </c>
      <c r="AL568" s="103">
        <v>0</v>
      </c>
      <c r="AM568" s="8">
        <v>17.73</v>
      </c>
      <c r="AN568" s="21">
        <v>0</v>
      </c>
      <c r="AO568" s="21">
        <v>0</v>
      </c>
      <c r="AP568" s="21">
        <v>0</v>
      </c>
      <c r="AQ568" s="21">
        <v>17.73</v>
      </c>
      <c r="AR568" s="21">
        <v>0</v>
      </c>
      <c r="AS568" s="8">
        <v>17.73</v>
      </c>
      <c r="AT568" s="21">
        <v>0</v>
      </c>
      <c r="AU568" s="21">
        <v>0</v>
      </c>
      <c r="AV568" s="21">
        <v>0</v>
      </c>
      <c r="AW568" s="21">
        <v>0</v>
      </c>
      <c r="AX568" s="21">
        <v>17.73</v>
      </c>
      <c r="AY568" s="8">
        <v>0</v>
      </c>
    </row>
    <row r="569" spans="1:51" ht="15" customHeight="1" x14ac:dyDescent="0.25">
      <c r="A569" s="9">
        <v>743</v>
      </c>
      <c r="B569" s="13">
        <v>45728</v>
      </c>
      <c r="C569" s="9" t="s">
        <v>169</v>
      </c>
      <c r="D569" s="9">
        <v>9518596806</v>
      </c>
      <c r="E569" s="8">
        <v>2</v>
      </c>
      <c r="F569" s="9" t="s">
        <v>625</v>
      </c>
      <c r="G569" s="79" t="s">
        <v>1303</v>
      </c>
      <c r="H569" s="9" t="s">
        <v>57</v>
      </c>
      <c r="I569" s="9" t="s">
        <v>43</v>
      </c>
      <c r="J569" s="9" t="s">
        <v>45</v>
      </c>
      <c r="K569" s="9" t="s">
        <v>170</v>
      </c>
      <c r="L569" s="39"/>
      <c r="M569" s="7" t="s">
        <v>1</v>
      </c>
      <c r="N569" s="8"/>
      <c r="O569" s="40"/>
      <c r="P569" s="15"/>
      <c r="Q569" s="9" t="s">
        <v>180</v>
      </c>
      <c r="R569" s="9" t="s">
        <v>265</v>
      </c>
      <c r="S569" s="9"/>
      <c r="T569" s="9">
        <v>121328</v>
      </c>
      <c r="U569" s="16" t="s">
        <v>81</v>
      </c>
      <c r="V569" s="9">
        <v>1191956</v>
      </c>
      <c r="W569" s="8" t="s">
        <v>440</v>
      </c>
      <c r="X569" s="8" t="s">
        <v>308</v>
      </c>
      <c r="Y569" s="8" t="s">
        <v>175</v>
      </c>
      <c r="Z569" s="8">
        <v>4</v>
      </c>
      <c r="AA569" s="8">
        <v>12</v>
      </c>
      <c r="AB569" s="8"/>
      <c r="AC569" s="8" t="s">
        <v>238</v>
      </c>
      <c r="AD569" s="14" t="s">
        <v>185</v>
      </c>
      <c r="AE569" s="8" t="s">
        <v>186</v>
      </c>
      <c r="AF569" s="14">
        <v>0.35</v>
      </c>
      <c r="AG569" s="8">
        <v>900</v>
      </c>
      <c r="AH569" s="8">
        <v>0</v>
      </c>
      <c r="AI569" s="8">
        <v>42</v>
      </c>
      <c r="AJ569" s="8">
        <v>0</v>
      </c>
      <c r="AK569" s="127">
        <v>42</v>
      </c>
      <c r="AL569" s="103">
        <v>0</v>
      </c>
      <c r="AM569" s="8">
        <v>42</v>
      </c>
      <c r="AN569" s="21">
        <v>0</v>
      </c>
      <c r="AO569" s="21">
        <v>42</v>
      </c>
      <c r="AP569" s="21">
        <v>0</v>
      </c>
      <c r="AQ569" s="21">
        <v>0</v>
      </c>
      <c r="AR569" s="21">
        <v>0</v>
      </c>
      <c r="AS569" s="8">
        <v>42</v>
      </c>
      <c r="AT569" s="21">
        <v>0</v>
      </c>
      <c r="AU569" s="21">
        <v>0</v>
      </c>
      <c r="AV569" s="21">
        <v>42</v>
      </c>
      <c r="AW569" s="21">
        <v>0</v>
      </c>
      <c r="AX569" s="21">
        <v>0</v>
      </c>
      <c r="AY569" s="8">
        <v>0</v>
      </c>
    </row>
    <row r="570" spans="1:51" ht="15" customHeight="1" x14ac:dyDescent="0.25">
      <c r="A570" s="9">
        <v>742</v>
      </c>
      <c r="B570" s="13">
        <v>45732</v>
      </c>
      <c r="C570" s="9" t="s">
        <v>169</v>
      </c>
      <c r="D570" s="9">
        <v>9518604323</v>
      </c>
      <c r="E570" s="8">
        <v>17</v>
      </c>
      <c r="F570" s="9" t="s">
        <v>658</v>
      </c>
      <c r="G570" s="79" t="s">
        <v>1303</v>
      </c>
      <c r="H570" s="9" t="s">
        <v>57</v>
      </c>
      <c r="I570" s="9" t="s">
        <v>25</v>
      </c>
      <c r="J570" s="9" t="s">
        <v>31</v>
      </c>
      <c r="K570" s="9" t="s">
        <v>170</v>
      </c>
      <c r="L570" s="39"/>
      <c r="M570" s="7" t="s">
        <v>1</v>
      </c>
      <c r="N570" s="8"/>
      <c r="O570" s="40"/>
      <c r="P570" s="15"/>
      <c r="Q570" s="9" t="s">
        <v>180</v>
      </c>
      <c r="R570" s="9" t="s">
        <v>181</v>
      </c>
      <c r="S570" s="9"/>
      <c r="T570" s="9">
        <v>117061</v>
      </c>
      <c r="U570" s="16" t="s">
        <v>90</v>
      </c>
      <c r="V570" s="9">
        <v>3240851</v>
      </c>
      <c r="W570" s="8" t="s">
        <v>535</v>
      </c>
      <c r="X570" s="8" t="s">
        <v>265</v>
      </c>
      <c r="Y570" s="8" t="s">
        <v>175</v>
      </c>
      <c r="Z570" s="8">
        <v>0.1</v>
      </c>
      <c r="AA570" s="8">
        <v>5</v>
      </c>
      <c r="AB570" s="8"/>
      <c r="AC570" s="8" t="s">
        <v>210</v>
      </c>
      <c r="AD570" s="14" t="s">
        <v>218</v>
      </c>
      <c r="AE570" s="8" t="s">
        <v>250</v>
      </c>
      <c r="AF570" s="14">
        <v>1.2</v>
      </c>
      <c r="AG570" s="8">
        <v>1250</v>
      </c>
      <c r="AH570" s="8">
        <v>2500</v>
      </c>
      <c r="AI570" s="8">
        <v>30</v>
      </c>
      <c r="AJ570" s="8">
        <v>0</v>
      </c>
      <c r="AK570" s="127">
        <v>30</v>
      </c>
      <c r="AL570" s="103">
        <v>0</v>
      </c>
      <c r="AM570" s="8">
        <v>30</v>
      </c>
      <c r="AN570" s="21">
        <v>0</v>
      </c>
      <c r="AO570" s="21">
        <v>0</v>
      </c>
      <c r="AP570" s="21">
        <v>30</v>
      </c>
      <c r="AQ570" s="21">
        <v>0</v>
      </c>
      <c r="AR570" s="21">
        <v>0</v>
      </c>
      <c r="AS570" s="8">
        <v>30</v>
      </c>
      <c r="AT570" s="21">
        <v>0</v>
      </c>
      <c r="AU570" s="21">
        <v>0</v>
      </c>
      <c r="AV570" s="21">
        <v>30</v>
      </c>
      <c r="AW570" s="21">
        <v>0</v>
      </c>
      <c r="AX570" s="21">
        <v>0</v>
      </c>
      <c r="AY570" s="8">
        <v>0</v>
      </c>
    </row>
    <row r="571" spans="1:51" ht="15" customHeight="1" x14ac:dyDescent="0.25">
      <c r="A571" s="9">
        <v>744</v>
      </c>
      <c r="B571" s="13">
        <v>45735</v>
      </c>
      <c r="C571" s="9" t="s">
        <v>169</v>
      </c>
      <c r="D571" s="9">
        <v>9518612385</v>
      </c>
      <c r="E571" s="8">
        <v>8</v>
      </c>
      <c r="F571" s="9" t="s">
        <v>645</v>
      </c>
      <c r="G571" s="79" t="s">
        <v>1303</v>
      </c>
      <c r="H571" s="9" t="s">
        <v>57</v>
      </c>
      <c r="I571" s="9" t="s">
        <v>48</v>
      </c>
      <c r="J571" s="9" t="s">
        <v>39</v>
      </c>
      <c r="K571" s="9" t="s">
        <v>233</v>
      </c>
      <c r="L571" s="39"/>
      <c r="M571" s="7" t="s">
        <v>1</v>
      </c>
      <c r="N571" s="8"/>
      <c r="O571" s="40"/>
      <c r="P571" s="15"/>
      <c r="Q571" s="9" t="s">
        <v>264</v>
      </c>
      <c r="R571" s="9" t="s">
        <v>225</v>
      </c>
      <c r="S571" s="9"/>
      <c r="T571" s="9">
        <v>940016</v>
      </c>
      <c r="U571" s="16" t="s">
        <v>133</v>
      </c>
      <c r="V571" s="9">
        <v>3900141</v>
      </c>
      <c r="W571" s="8" t="s">
        <v>646</v>
      </c>
      <c r="X571" s="8" t="s">
        <v>236</v>
      </c>
      <c r="Y571" s="8" t="s">
        <v>647</v>
      </c>
      <c r="Z571" s="8">
        <v>3</v>
      </c>
      <c r="AA571" s="8">
        <v>5</v>
      </c>
      <c r="AB571" s="8"/>
      <c r="AC571" s="8" t="s">
        <v>228</v>
      </c>
      <c r="AD571" s="14" t="s">
        <v>229</v>
      </c>
      <c r="AE571" s="8" t="s">
        <v>230</v>
      </c>
      <c r="AF571" s="14">
        <v>0.43</v>
      </c>
      <c r="AG571" s="8">
        <v>1220</v>
      </c>
      <c r="AH571" s="8">
        <v>0</v>
      </c>
      <c r="AI571" s="8">
        <v>28</v>
      </c>
      <c r="AJ571" s="8">
        <v>0</v>
      </c>
      <c r="AK571" s="127">
        <v>28</v>
      </c>
      <c r="AL571" s="103">
        <v>0</v>
      </c>
      <c r="AM571" s="8">
        <v>28</v>
      </c>
      <c r="AN571" s="21">
        <v>0</v>
      </c>
      <c r="AO571" s="21">
        <v>0</v>
      </c>
      <c r="AP571" s="21">
        <v>28</v>
      </c>
      <c r="AQ571" s="21">
        <v>0</v>
      </c>
      <c r="AR571" s="21">
        <v>0</v>
      </c>
      <c r="AS571" s="8">
        <v>28</v>
      </c>
      <c r="AT571" s="21">
        <v>0</v>
      </c>
      <c r="AU571" s="21">
        <v>0</v>
      </c>
      <c r="AV571" s="21">
        <v>0</v>
      </c>
      <c r="AW571" s="21">
        <v>28</v>
      </c>
      <c r="AX571" s="21">
        <v>0</v>
      </c>
      <c r="AY571" s="8">
        <v>0</v>
      </c>
    </row>
    <row r="572" spans="1:51" ht="15" customHeight="1" x14ac:dyDescent="0.25">
      <c r="A572" s="9">
        <v>742</v>
      </c>
      <c r="B572" s="13">
        <v>45732</v>
      </c>
      <c r="C572" s="9" t="s">
        <v>169</v>
      </c>
      <c r="D572" s="9">
        <v>9518604323</v>
      </c>
      <c r="E572" s="8">
        <v>7</v>
      </c>
      <c r="F572" s="9" t="s">
        <v>659</v>
      </c>
      <c r="G572" s="79" t="s">
        <v>1303</v>
      </c>
      <c r="H572" s="9" t="s">
        <v>57</v>
      </c>
      <c r="I572" s="9" t="s">
        <v>25</v>
      </c>
      <c r="J572" s="9" t="s">
        <v>31</v>
      </c>
      <c r="K572" s="9" t="s">
        <v>170</v>
      </c>
      <c r="L572" s="39"/>
      <c r="M572" s="7" t="s">
        <v>1</v>
      </c>
      <c r="N572" s="8"/>
      <c r="O572" s="40"/>
      <c r="P572" s="15"/>
      <c r="Q572" s="9" t="s">
        <v>180</v>
      </c>
      <c r="R572" s="9" t="s">
        <v>181</v>
      </c>
      <c r="S572" s="9"/>
      <c r="T572" s="9">
        <v>117061</v>
      </c>
      <c r="U572" s="16" t="s">
        <v>90</v>
      </c>
      <c r="V572" s="9">
        <v>3240765</v>
      </c>
      <c r="W572" s="8" t="s">
        <v>360</v>
      </c>
      <c r="X572" s="8" t="s">
        <v>265</v>
      </c>
      <c r="Y572" s="8" t="s">
        <v>175</v>
      </c>
      <c r="Z572" s="8">
        <v>0.1</v>
      </c>
      <c r="AA572" s="8">
        <v>5</v>
      </c>
      <c r="AB572" s="8"/>
      <c r="AC572" s="8" t="s">
        <v>210</v>
      </c>
      <c r="AD572" s="14" t="s">
        <v>218</v>
      </c>
      <c r="AE572" s="8" t="s">
        <v>250</v>
      </c>
      <c r="AF572" s="14">
        <v>0.5</v>
      </c>
      <c r="AG572" s="8">
        <v>1250</v>
      </c>
      <c r="AH572" s="8">
        <v>2500</v>
      </c>
      <c r="AI572" s="8">
        <v>48</v>
      </c>
      <c r="AJ572" s="8">
        <v>0</v>
      </c>
      <c r="AK572" s="127">
        <v>48</v>
      </c>
      <c r="AL572" s="103">
        <v>13.5</v>
      </c>
      <c r="AM572" s="8">
        <v>48</v>
      </c>
      <c r="AN572" s="21">
        <v>48</v>
      </c>
      <c r="AO572" s="21">
        <v>0</v>
      </c>
      <c r="AP572" s="21">
        <v>0</v>
      </c>
      <c r="AQ572" s="21">
        <v>0</v>
      </c>
      <c r="AR572" s="21">
        <v>0</v>
      </c>
      <c r="AS572" s="8">
        <v>61.5</v>
      </c>
      <c r="AT572" s="21">
        <v>0</v>
      </c>
      <c r="AU572" s="21">
        <v>61.5</v>
      </c>
      <c r="AV572" s="21">
        <v>0</v>
      </c>
      <c r="AW572" s="21">
        <v>0</v>
      </c>
      <c r="AX572" s="21">
        <v>0</v>
      </c>
      <c r="AY572" s="8">
        <v>0</v>
      </c>
    </row>
    <row r="573" spans="1:51" ht="15" customHeight="1" x14ac:dyDescent="0.25">
      <c r="A573" s="9">
        <v>742</v>
      </c>
      <c r="B573" s="13">
        <v>45732</v>
      </c>
      <c r="C573" s="9" t="s">
        <v>169</v>
      </c>
      <c r="D573" s="9">
        <v>9518604323</v>
      </c>
      <c r="E573" s="8">
        <v>11</v>
      </c>
      <c r="F573" s="9" t="s">
        <v>660</v>
      </c>
      <c r="G573" s="79" t="s">
        <v>1303</v>
      </c>
      <c r="H573" s="9" t="s">
        <v>57</v>
      </c>
      <c r="I573" s="9" t="s">
        <v>25</v>
      </c>
      <c r="J573" s="9" t="s">
        <v>31</v>
      </c>
      <c r="K573" s="9" t="s">
        <v>170</v>
      </c>
      <c r="L573" s="39"/>
      <c r="M573" s="7" t="s">
        <v>1</v>
      </c>
      <c r="N573" s="8"/>
      <c r="O573" s="40"/>
      <c r="P573" s="15"/>
      <c r="Q573" s="9" t="s">
        <v>180</v>
      </c>
      <c r="R573" s="9" t="s">
        <v>181</v>
      </c>
      <c r="S573" s="9"/>
      <c r="T573" s="9">
        <v>117061</v>
      </c>
      <c r="U573" s="16" t="s">
        <v>90</v>
      </c>
      <c r="V573" s="9">
        <v>3240786</v>
      </c>
      <c r="W573" s="8" t="s">
        <v>497</v>
      </c>
      <c r="X573" s="8" t="s">
        <v>265</v>
      </c>
      <c r="Y573" s="8" t="s">
        <v>175</v>
      </c>
      <c r="Z573" s="8">
        <v>0.1</v>
      </c>
      <c r="AA573" s="8">
        <v>5</v>
      </c>
      <c r="AB573" s="8"/>
      <c r="AC573" s="8" t="s">
        <v>210</v>
      </c>
      <c r="AD573" s="14" t="s">
        <v>218</v>
      </c>
      <c r="AE573" s="8" t="s">
        <v>250</v>
      </c>
      <c r="AF573" s="14">
        <v>0.7</v>
      </c>
      <c r="AG573" s="8">
        <v>1250</v>
      </c>
      <c r="AH573" s="8">
        <v>2500</v>
      </c>
      <c r="AI573" s="8">
        <v>24</v>
      </c>
      <c r="AJ573" s="8">
        <v>0</v>
      </c>
      <c r="AK573" s="127">
        <v>18.21</v>
      </c>
      <c r="AL573" s="103">
        <v>5.7899999999999991</v>
      </c>
      <c r="AM573" s="8">
        <v>18.21</v>
      </c>
      <c r="AN573" s="21">
        <v>0</v>
      </c>
      <c r="AO573" s="21">
        <v>0</v>
      </c>
      <c r="AP573" s="21">
        <v>18.21</v>
      </c>
      <c r="AQ573" s="21">
        <v>0</v>
      </c>
      <c r="AR573" s="21">
        <v>0</v>
      </c>
      <c r="AS573" s="8">
        <v>24</v>
      </c>
      <c r="AT573" s="21">
        <v>0</v>
      </c>
      <c r="AU573" s="21">
        <v>0</v>
      </c>
      <c r="AV573" s="21">
        <v>0</v>
      </c>
      <c r="AW573" s="21">
        <v>24</v>
      </c>
      <c r="AX573" s="21">
        <v>0</v>
      </c>
      <c r="AY573" s="8">
        <v>0</v>
      </c>
    </row>
    <row r="574" spans="1:51" ht="15" customHeight="1" x14ac:dyDescent="0.25">
      <c r="A574" s="9">
        <v>743</v>
      </c>
      <c r="B574" s="13">
        <v>45733</v>
      </c>
      <c r="C574" s="9" t="s">
        <v>169</v>
      </c>
      <c r="D574" s="9">
        <v>9518607443</v>
      </c>
      <c r="E574" s="8">
        <v>1</v>
      </c>
      <c r="F574" s="9" t="s">
        <v>662</v>
      </c>
      <c r="G574" s="79" t="s">
        <v>1303</v>
      </c>
      <c r="H574" s="9" t="s">
        <v>57</v>
      </c>
      <c r="I574" s="9" t="s">
        <v>43</v>
      </c>
      <c r="J574" s="9" t="s">
        <v>45</v>
      </c>
      <c r="K574" s="9" t="s">
        <v>170</v>
      </c>
      <c r="L574" s="39"/>
      <c r="M574" s="7" t="s">
        <v>1</v>
      </c>
      <c r="N574" s="8"/>
      <c r="O574" s="40"/>
      <c r="P574" s="15"/>
      <c r="Q574" s="9" t="s">
        <v>180</v>
      </c>
      <c r="R574" s="9" t="s">
        <v>265</v>
      </c>
      <c r="S574" s="9"/>
      <c r="T574" s="9">
        <v>121328</v>
      </c>
      <c r="U574" s="16" t="s">
        <v>81</v>
      </c>
      <c r="V574" s="9">
        <v>1191955</v>
      </c>
      <c r="W574" s="8" t="s">
        <v>473</v>
      </c>
      <c r="X574" s="8" t="s">
        <v>308</v>
      </c>
      <c r="Y574" s="8" t="s">
        <v>175</v>
      </c>
      <c r="Z574" s="8">
        <v>4</v>
      </c>
      <c r="AA574" s="8">
        <v>12</v>
      </c>
      <c r="AB574" s="8"/>
      <c r="AC574" s="8" t="s">
        <v>238</v>
      </c>
      <c r="AD574" s="14" t="s">
        <v>185</v>
      </c>
      <c r="AE574" s="8" t="s">
        <v>186</v>
      </c>
      <c r="AF574" s="14">
        <v>0.3</v>
      </c>
      <c r="AG574" s="8">
        <v>900</v>
      </c>
      <c r="AH574" s="8">
        <v>0</v>
      </c>
      <c r="AI574" s="8">
        <v>21</v>
      </c>
      <c r="AJ574" s="8">
        <v>0</v>
      </c>
      <c r="AK574" s="127">
        <v>21</v>
      </c>
      <c r="AL574" s="103">
        <v>0</v>
      </c>
      <c r="AM574" s="8">
        <v>21</v>
      </c>
      <c r="AN574" s="21">
        <v>0</v>
      </c>
      <c r="AO574" s="21">
        <v>0</v>
      </c>
      <c r="AP574" s="21">
        <v>21</v>
      </c>
      <c r="AQ574" s="21">
        <v>0</v>
      </c>
      <c r="AR574" s="21">
        <v>0</v>
      </c>
      <c r="AS574" s="8">
        <v>21</v>
      </c>
      <c r="AT574" s="21">
        <v>0</v>
      </c>
      <c r="AU574" s="21">
        <v>0</v>
      </c>
      <c r="AV574" s="21">
        <v>0</v>
      </c>
      <c r="AW574" s="21">
        <v>21</v>
      </c>
      <c r="AX574" s="21">
        <v>0</v>
      </c>
      <c r="AY574" s="8">
        <v>0</v>
      </c>
    </row>
    <row r="575" spans="1:51" ht="15" customHeight="1" x14ac:dyDescent="0.25">
      <c r="A575" s="9">
        <v>743</v>
      </c>
      <c r="B575" s="13">
        <v>45720</v>
      </c>
      <c r="C575" s="9" t="s">
        <v>169</v>
      </c>
      <c r="D575" s="9">
        <v>9518572384</v>
      </c>
      <c r="E575" s="8">
        <v>2</v>
      </c>
      <c r="F575" s="9" t="s">
        <v>650</v>
      </c>
      <c r="G575" s="79" t="s">
        <v>1303</v>
      </c>
      <c r="H575" s="9" t="s">
        <v>57</v>
      </c>
      <c r="I575" s="9" t="s">
        <v>43</v>
      </c>
      <c r="J575" s="9" t="s">
        <v>45</v>
      </c>
      <c r="K575" s="9" t="s">
        <v>170</v>
      </c>
      <c r="L575" s="39"/>
      <c r="M575" s="7" t="s">
        <v>1</v>
      </c>
      <c r="N575" s="8"/>
      <c r="O575" s="40"/>
      <c r="P575" s="15"/>
      <c r="Q575" s="9" t="s">
        <v>180</v>
      </c>
      <c r="R575" s="9" t="s">
        <v>265</v>
      </c>
      <c r="S575" s="9"/>
      <c r="T575" s="9">
        <v>121328</v>
      </c>
      <c r="U575" s="16" t="s">
        <v>81</v>
      </c>
      <c r="V575" s="9">
        <v>1854418</v>
      </c>
      <c r="W575" s="8" t="s">
        <v>456</v>
      </c>
      <c r="X575" s="8" t="s">
        <v>308</v>
      </c>
      <c r="Y575" s="8" t="s">
        <v>175</v>
      </c>
      <c r="Z575" s="8">
        <v>4</v>
      </c>
      <c r="AA575" s="8">
        <v>12</v>
      </c>
      <c r="AB575" s="8"/>
      <c r="AC575" s="8" t="s">
        <v>238</v>
      </c>
      <c r="AD575" s="14" t="s">
        <v>185</v>
      </c>
      <c r="AE575" s="8" t="s">
        <v>186</v>
      </c>
      <c r="AF575" s="14">
        <v>0.5</v>
      </c>
      <c r="AG575" s="8">
        <v>900</v>
      </c>
      <c r="AH575" s="8">
        <v>0</v>
      </c>
      <c r="AI575" s="8">
        <v>105</v>
      </c>
      <c r="AJ575" s="8">
        <v>0</v>
      </c>
      <c r="AK575" s="127">
        <v>105</v>
      </c>
      <c r="AL575" s="103">
        <v>0</v>
      </c>
      <c r="AM575" s="8">
        <v>105</v>
      </c>
      <c r="AN575" s="21">
        <v>0</v>
      </c>
      <c r="AO575" s="21">
        <v>105</v>
      </c>
      <c r="AP575" s="21">
        <v>0</v>
      </c>
      <c r="AQ575" s="21">
        <v>0</v>
      </c>
      <c r="AR575" s="21">
        <v>0</v>
      </c>
      <c r="AS575" s="8">
        <v>105</v>
      </c>
      <c r="AT575" s="21">
        <v>0</v>
      </c>
      <c r="AU575" s="21">
        <v>0</v>
      </c>
      <c r="AV575" s="21">
        <v>105</v>
      </c>
      <c r="AW575" s="21">
        <v>0</v>
      </c>
      <c r="AX575" s="21">
        <v>0</v>
      </c>
      <c r="AY575" s="8">
        <v>0</v>
      </c>
    </row>
    <row r="576" spans="1:51" ht="15" customHeight="1" x14ac:dyDescent="0.25">
      <c r="A576" s="9">
        <v>742</v>
      </c>
      <c r="B576" s="13">
        <v>45713</v>
      </c>
      <c r="C576" s="9" t="s">
        <v>169</v>
      </c>
      <c r="D576" s="9">
        <v>9518550511</v>
      </c>
      <c r="E576" s="8">
        <v>4</v>
      </c>
      <c r="F576" s="9" t="s">
        <v>1141</v>
      </c>
      <c r="G576" s="79" t="s">
        <v>1303</v>
      </c>
      <c r="H576" s="9" t="s">
        <v>57</v>
      </c>
      <c r="I576" s="9" t="s">
        <v>25</v>
      </c>
      <c r="J576" s="9" t="s">
        <v>32</v>
      </c>
      <c r="K576" s="9" t="s">
        <v>170</v>
      </c>
      <c r="L576" s="39"/>
      <c r="M576" s="7" t="s">
        <v>1</v>
      </c>
      <c r="N576" s="8"/>
      <c r="O576" s="40"/>
      <c r="P576" s="15"/>
      <c r="Q576" s="9" t="s">
        <v>214</v>
      </c>
      <c r="R576" s="9" t="s">
        <v>240</v>
      </c>
      <c r="S576" s="9"/>
      <c r="T576" s="9">
        <v>939268</v>
      </c>
      <c r="U576" s="16" t="s">
        <v>86</v>
      </c>
      <c r="V576" s="9">
        <v>2420521</v>
      </c>
      <c r="W576" s="8" t="s">
        <v>533</v>
      </c>
      <c r="X576" s="8" t="s">
        <v>265</v>
      </c>
      <c r="Y576" s="8" t="s">
        <v>175</v>
      </c>
      <c r="Z576" s="8">
        <v>2</v>
      </c>
      <c r="AA576" s="8">
        <v>28</v>
      </c>
      <c r="AB576" s="8"/>
      <c r="AC576" s="8" t="s">
        <v>190</v>
      </c>
      <c r="AD576" s="14" t="s">
        <v>191</v>
      </c>
      <c r="AE576" s="8" t="s">
        <v>530</v>
      </c>
      <c r="AF576" s="14">
        <v>1.2</v>
      </c>
      <c r="AG576" s="8">
        <v>1250</v>
      </c>
      <c r="AH576" s="8">
        <v>0</v>
      </c>
      <c r="AI576" s="8">
        <v>116</v>
      </c>
      <c r="AJ576" s="8">
        <v>26.12</v>
      </c>
      <c r="AK576" s="127">
        <v>89.88</v>
      </c>
      <c r="AL576" s="103">
        <v>0</v>
      </c>
      <c r="AM576" s="8">
        <v>89.88</v>
      </c>
      <c r="AN576" s="21">
        <v>0</v>
      </c>
      <c r="AO576" s="21">
        <v>89.88</v>
      </c>
      <c r="AP576" s="21">
        <v>0</v>
      </c>
      <c r="AQ576" s="21">
        <v>0</v>
      </c>
      <c r="AR576" s="21">
        <v>0</v>
      </c>
      <c r="AS576" s="8">
        <v>89.88</v>
      </c>
      <c r="AT576" s="21">
        <v>0</v>
      </c>
      <c r="AU576" s="21">
        <v>89.88</v>
      </c>
      <c r="AV576" s="21">
        <v>0</v>
      </c>
      <c r="AW576" s="21">
        <v>0</v>
      </c>
      <c r="AX576" s="21">
        <v>0</v>
      </c>
      <c r="AY576" s="8">
        <v>0</v>
      </c>
    </row>
    <row r="577" spans="1:51" ht="15" customHeight="1" x14ac:dyDescent="0.25">
      <c r="A577" s="9">
        <v>743</v>
      </c>
      <c r="B577" s="13">
        <v>45694</v>
      </c>
      <c r="C577" s="9" t="s">
        <v>169</v>
      </c>
      <c r="D577" s="9">
        <v>9518498761</v>
      </c>
      <c r="E577" s="8">
        <v>6</v>
      </c>
      <c r="F577" s="9" t="s">
        <v>529</v>
      </c>
      <c r="G577" s="79" t="s">
        <v>1303</v>
      </c>
      <c r="H577" s="9" t="s">
        <v>57</v>
      </c>
      <c r="I577" s="9" t="s">
        <v>43</v>
      </c>
      <c r="J577" s="9" t="s">
        <v>45</v>
      </c>
      <c r="K577" s="9" t="s">
        <v>170</v>
      </c>
      <c r="L577" s="39"/>
      <c r="M577" s="7" t="s">
        <v>1</v>
      </c>
      <c r="N577" s="8"/>
      <c r="O577" s="40"/>
      <c r="P577" s="15"/>
      <c r="Q577" s="9" t="s">
        <v>180</v>
      </c>
      <c r="R577" s="9" t="s">
        <v>265</v>
      </c>
      <c r="S577" s="9"/>
      <c r="T577" s="9">
        <v>121328</v>
      </c>
      <c r="U577" s="16" t="s">
        <v>81</v>
      </c>
      <c r="V577" s="9">
        <v>1854413</v>
      </c>
      <c r="W577" s="8" t="s">
        <v>390</v>
      </c>
      <c r="X577" s="8" t="s">
        <v>308</v>
      </c>
      <c r="Y577" s="8" t="s">
        <v>175</v>
      </c>
      <c r="Z577" s="8">
        <v>4</v>
      </c>
      <c r="AA577" s="8">
        <v>12</v>
      </c>
      <c r="AB577" s="8"/>
      <c r="AC577" s="8" t="s">
        <v>238</v>
      </c>
      <c r="AD577" s="14" t="s">
        <v>185</v>
      </c>
      <c r="AE577" s="8" t="s">
        <v>186</v>
      </c>
      <c r="AF577" s="14">
        <v>0.45</v>
      </c>
      <c r="AG577" s="8">
        <v>900</v>
      </c>
      <c r="AH577" s="8">
        <v>0</v>
      </c>
      <c r="AI577" s="8">
        <v>21</v>
      </c>
      <c r="AJ577" s="8">
        <v>0</v>
      </c>
      <c r="AK577" s="127">
        <v>21</v>
      </c>
      <c r="AL577" s="103">
        <v>0</v>
      </c>
      <c r="AM577" s="8">
        <v>21</v>
      </c>
      <c r="AN577" s="21">
        <v>0</v>
      </c>
      <c r="AO577" s="21">
        <v>21</v>
      </c>
      <c r="AP577" s="21">
        <v>0</v>
      </c>
      <c r="AQ577" s="21">
        <v>0</v>
      </c>
      <c r="AR577" s="21">
        <v>0</v>
      </c>
      <c r="AS577" s="8">
        <v>21</v>
      </c>
      <c r="AT577" s="21">
        <v>0</v>
      </c>
      <c r="AU577" s="21">
        <v>0</v>
      </c>
      <c r="AV577" s="21">
        <v>21</v>
      </c>
      <c r="AW577" s="21">
        <v>0</v>
      </c>
      <c r="AX577" s="21">
        <v>0</v>
      </c>
      <c r="AY577" s="8">
        <v>0</v>
      </c>
    </row>
    <row r="578" spans="1:51" ht="15" customHeight="1" x14ac:dyDescent="0.25">
      <c r="A578" s="9">
        <v>742</v>
      </c>
      <c r="B578" s="13">
        <v>45758</v>
      </c>
      <c r="C578" s="9" t="s">
        <v>169</v>
      </c>
      <c r="D578" s="9">
        <v>9518685638</v>
      </c>
      <c r="E578" s="8">
        <v>7</v>
      </c>
      <c r="F578" s="9" t="s">
        <v>1190</v>
      </c>
      <c r="G578" s="79" t="s">
        <v>1303</v>
      </c>
      <c r="H578" s="9" t="s">
        <v>57</v>
      </c>
      <c r="I578" s="9" t="s">
        <v>25</v>
      </c>
      <c r="J578" s="9" t="s">
        <v>31</v>
      </c>
      <c r="K578" s="9">
        <v>2000</v>
      </c>
      <c r="L578" s="39"/>
      <c r="M578" s="7" t="s">
        <v>1</v>
      </c>
      <c r="N578" s="8"/>
      <c r="O578" s="40"/>
      <c r="P578" s="15" t="s">
        <v>194</v>
      </c>
      <c r="Q578" s="9" t="s">
        <v>172</v>
      </c>
      <c r="R578" s="9"/>
      <c r="S578" s="9"/>
      <c r="T578" s="9">
        <v>933952</v>
      </c>
      <c r="U578" s="16" t="s">
        <v>68</v>
      </c>
      <c r="V578" s="9">
        <v>3240761</v>
      </c>
      <c r="W578" s="8" t="s">
        <v>444</v>
      </c>
      <c r="X578" s="8" t="s">
        <v>175</v>
      </c>
      <c r="Y578" s="8"/>
      <c r="Z578" s="8"/>
      <c r="AA578" s="8"/>
      <c r="AB578" s="8"/>
      <c r="AC578" s="8" t="s">
        <v>210</v>
      </c>
      <c r="AD578" s="14" t="s">
        <v>218</v>
      </c>
      <c r="AE578" s="8" t="s">
        <v>250</v>
      </c>
      <c r="AF578" s="14">
        <v>0.5</v>
      </c>
      <c r="AG578" s="8">
        <v>1250</v>
      </c>
      <c r="AH578" s="8">
        <v>2030</v>
      </c>
      <c r="AI578" s="8">
        <v>108</v>
      </c>
      <c r="AJ578" s="8">
        <v>0</v>
      </c>
      <c r="AK578" s="127">
        <v>81.63</v>
      </c>
      <c r="AL578" s="103">
        <v>26.37</v>
      </c>
      <c r="AM578" s="8">
        <v>81.63</v>
      </c>
      <c r="AN578" s="21">
        <v>0</v>
      </c>
      <c r="AO578" s="21">
        <v>0</v>
      </c>
      <c r="AP578" s="21">
        <v>81.63</v>
      </c>
      <c r="AQ578" s="21">
        <v>0</v>
      </c>
      <c r="AR578" s="21">
        <v>0</v>
      </c>
      <c r="AS578" s="8">
        <v>108</v>
      </c>
      <c r="AT578" s="21">
        <v>0</v>
      </c>
      <c r="AU578" s="21">
        <v>0</v>
      </c>
      <c r="AV578" s="21">
        <v>0</v>
      </c>
      <c r="AW578" s="21">
        <v>108</v>
      </c>
      <c r="AX578" s="21">
        <v>0</v>
      </c>
      <c r="AY578" s="8">
        <v>0</v>
      </c>
    </row>
    <row r="579" spans="1:51" ht="15" customHeight="1" x14ac:dyDescent="0.25">
      <c r="A579" s="9">
        <v>743</v>
      </c>
      <c r="B579" s="13">
        <v>45750</v>
      </c>
      <c r="C579" s="9" t="s">
        <v>169</v>
      </c>
      <c r="D579" s="9">
        <v>9518667160</v>
      </c>
      <c r="E579" s="8">
        <v>1</v>
      </c>
      <c r="F579" s="9" t="s">
        <v>1191</v>
      </c>
      <c r="G579" s="79" t="s">
        <v>1303</v>
      </c>
      <c r="H579" s="9" t="s">
        <v>57</v>
      </c>
      <c r="I579" s="9" t="s">
        <v>43</v>
      </c>
      <c r="J579" s="9" t="s">
        <v>46</v>
      </c>
      <c r="K579" s="9">
        <v>2000</v>
      </c>
      <c r="L579" s="39"/>
      <c r="M579" s="7" t="s">
        <v>1</v>
      </c>
      <c r="N579" s="8"/>
      <c r="O579" s="40"/>
      <c r="P579" s="15" t="s">
        <v>216</v>
      </c>
      <c r="Q579" s="9" t="s">
        <v>180</v>
      </c>
      <c r="R579" s="9"/>
      <c r="S579" s="9"/>
      <c r="T579" s="9">
        <v>103671</v>
      </c>
      <c r="U579" s="16" t="s">
        <v>124</v>
      </c>
      <c r="V579" s="9">
        <v>3777535</v>
      </c>
      <c r="W579" s="8" t="s">
        <v>268</v>
      </c>
      <c r="X579" s="8" t="s">
        <v>175</v>
      </c>
      <c r="Y579" s="8"/>
      <c r="Z579" s="8"/>
      <c r="AA579" s="8"/>
      <c r="AB579" s="8"/>
      <c r="AC579" s="8" t="s">
        <v>269</v>
      </c>
      <c r="AD579" s="14" t="s">
        <v>270</v>
      </c>
      <c r="AE579" s="8" t="s">
        <v>165</v>
      </c>
      <c r="AF579" s="14">
        <v>0.4</v>
      </c>
      <c r="AG579" s="8">
        <v>900</v>
      </c>
      <c r="AH579" s="8">
        <v>0</v>
      </c>
      <c r="AI579" s="8">
        <v>21</v>
      </c>
      <c r="AJ579" s="8">
        <v>0</v>
      </c>
      <c r="AK579" s="127">
        <v>147</v>
      </c>
      <c r="AL579" s="103">
        <v>0</v>
      </c>
      <c r="AM579" s="8">
        <v>147</v>
      </c>
      <c r="AN579" s="21">
        <v>0</v>
      </c>
      <c r="AO579" s="21">
        <v>0</v>
      </c>
      <c r="AP579" s="21">
        <v>0</v>
      </c>
      <c r="AQ579" s="21">
        <v>147</v>
      </c>
      <c r="AR579" s="21">
        <v>0</v>
      </c>
      <c r="AS579" s="8">
        <v>147</v>
      </c>
      <c r="AT579" s="21">
        <v>0</v>
      </c>
      <c r="AU579" s="21">
        <v>0</v>
      </c>
      <c r="AV579" s="21">
        <v>0</v>
      </c>
      <c r="AW579" s="21">
        <v>147</v>
      </c>
      <c r="AX579" s="21">
        <v>0</v>
      </c>
      <c r="AY579" s="8">
        <v>0</v>
      </c>
    </row>
    <row r="580" spans="1:51" ht="15" customHeight="1" x14ac:dyDescent="0.25">
      <c r="A580" s="9">
        <v>743</v>
      </c>
      <c r="B580" s="13">
        <v>45750</v>
      </c>
      <c r="C580" s="9" t="s">
        <v>169</v>
      </c>
      <c r="D580" s="9">
        <v>9518667160</v>
      </c>
      <c r="E580" s="8">
        <v>2</v>
      </c>
      <c r="F580" s="9" t="s">
        <v>1192</v>
      </c>
      <c r="G580" s="79" t="s">
        <v>1303</v>
      </c>
      <c r="H580" s="9" t="s">
        <v>57</v>
      </c>
      <c r="I580" s="9" t="s">
        <v>43</v>
      </c>
      <c r="J580" s="9" t="s">
        <v>46</v>
      </c>
      <c r="K580" s="9">
        <v>2000</v>
      </c>
      <c r="L580" s="39"/>
      <c r="M580" s="7" t="s">
        <v>1</v>
      </c>
      <c r="N580" s="8"/>
      <c r="O580" s="40"/>
      <c r="P580" s="15" t="s">
        <v>216</v>
      </c>
      <c r="Q580" s="9" t="s">
        <v>180</v>
      </c>
      <c r="R580" s="9"/>
      <c r="S580" s="9"/>
      <c r="T580" s="9">
        <v>103671</v>
      </c>
      <c r="U580" s="16" t="s">
        <v>124</v>
      </c>
      <c r="V580" s="9">
        <v>3708869</v>
      </c>
      <c r="W580" s="8" t="s">
        <v>1274</v>
      </c>
      <c r="X580" s="8" t="s">
        <v>175</v>
      </c>
      <c r="Y580" s="8"/>
      <c r="Z580" s="8"/>
      <c r="AA580" s="8"/>
      <c r="AB580" s="8"/>
      <c r="AC580" s="8" t="s">
        <v>269</v>
      </c>
      <c r="AD580" s="14" t="s">
        <v>270</v>
      </c>
      <c r="AE580" s="8" t="s">
        <v>165</v>
      </c>
      <c r="AF580" s="14">
        <v>0.5</v>
      </c>
      <c r="AG580" s="8">
        <v>900</v>
      </c>
      <c r="AH580" s="8">
        <v>0</v>
      </c>
      <c r="AI580" s="8">
        <v>21</v>
      </c>
      <c r="AJ580" s="8">
        <v>0</v>
      </c>
      <c r="AK580" s="127">
        <v>63</v>
      </c>
      <c r="AL580" s="103">
        <v>0</v>
      </c>
      <c r="AM580" s="8">
        <v>63</v>
      </c>
      <c r="AN580" s="21">
        <v>0</v>
      </c>
      <c r="AO580" s="21">
        <v>0</v>
      </c>
      <c r="AP580" s="21">
        <v>0</v>
      </c>
      <c r="AQ580" s="21">
        <v>63</v>
      </c>
      <c r="AR580" s="21">
        <v>0</v>
      </c>
      <c r="AS580" s="8">
        <v>63</v>
      </c>
      <c r="AT580" s="21">
        <v>0</v>
      </c>
      <c r="AU580" s="21">
        <v>0</v>
      </c>
      <c r="AV580" s="21">
        <v>0</v>
      </c>
      <c r="AW580" s="21">
        <v>63</v>
      </c>
      <c r="AX580" s="21">
        <v>0</v>
      </c>
      <c r="AY580" s="8">
        <v>0</v>
      </c>
    </row>
    <row r="581" spans="1:51" ht="15" customHeight="1" x14ac:dyDescent="0.25">
      <c r="A581" s="9">
        <v>743</v>
      </c>
      <c r="B581" s="13">
        <v>45750</v>
      </c>
      <c r="C581" s="9" t="s">
        <v>169</v>
      </c>
      <c r="D581" s="9">
        <v>9518667160</v>
      </c>
      <c r="E581" s="8">
        <v>3</v>
      </c>
      <c r="F581" s="9" t="s">
        <v>1193</v>
      </c>
      <c r="G581" s="79" t="s">
        <v>1303</v>
      </c>
      <c r="H581" s="9" t="s">
        <v>57</v>
      </c>
      <c r="I581" s="9" t="s">
        <v>43</v>
      </c>
      <c r="J581" s="9" t="s">
        <v>46</v>
      </c>
      <c r="K581" s="9">
        <v>2000</v>
      </c>
      <c r="L581" s="39"/>
      <c r="M581" s="7" t="s">
        <v>1</v>
      </c>
      <c r="N581" s="8"/>
      <c r="O581" s="40"/>
      <c r="P581" s="15" t="s">
        <v>216</v>
      </c>
      <c r="Q581" s="9" t="s">
        <v>180</v>
      </c>
      <c r="R581" s="9"/>
      <c r="S581" s="9"/>
      <c r="T581" s="9">
        <v>103671</v>
      </c>
      <c r="U581" s="16" t="s">
        <v>124</v>
      </c>
      <c r="V581" s="9">
        <v>3776940</v>
      </c>
      <c r="W581" s="8" t="s">
        <v>408</v>
      </c>
      <c r="X581" s="8" t="s">
        <v>175</v>
      </c>
      <c r="Y581" s="8"/>
      <c r="Z581" s="8"/>
      <c r="AA581" s="8"/>
      <c r="AB581" s="8"/>
      <c r="AC581" s="8" t="s">
        <v>269</v>
      </c>
      <c r="AD581" s="14" t="s">
        <v>270</v>
      </c>
      <c r="AE581" s="8" t="s">
        <v>165</v>
      </c>
      <c r="AF581" s="14">
        <v>0.35</v>
      </c>
      <c r="AG581" s="8">
        <v>1015</v>
      </c>
      <c r="AH581" s="8">
        <v>0</v>
      </c>
      <c r="AI581" s="8">
        <v>46</v>
      </c>
      <c r="AJ581" s="8">
        <v>0</v>
      </c>
      <c r="AK581" s="127">
        <v>46</v>
      </c>
      <c r="AL581" s="103">
        <v>0</v>
      </c>
      <c r="AM581" s="8">
        <v>46</v>
      </c>
      <c r="AN581" s="21">
        <v>0</v>
      </c>
      <c r="AO581" s="21">
        <v>0</v>
      </c>
      <c r="AP581" s="21">
        <v>0</v>
      </c>
      <c r="AQ581" s="21">
        <v>46</v>
      </c>
      <c r="AR581" s="21">
        <v>0</v>
      </c>
      <c r="AS581" s="8">
        <v>46</v>
      </c>
      <c r="AT581" s="21">
        <v>0</v>
      </c>
      <c r="AU581" s="21">
        <v>0</v>
      </c>
      <c r="AV581" s="21">
        <v>0</v>
      </c>
      <c r="AW581" s="21">
        <v>46</v>
      </c>
      <c r="AX581" s="21">
        <v>0</v>
      </c>
      <c r="AY581" s="8">
        <v>0</v>
      </c>
    </row>
    <row r="582" spans="1:51" ht="15" customHeight="1" x14ac:dyDescent="0.25">
      <c r="A582" s="9">
        <v>742</v>
      </c>
      <c r="B582" s="13">
        <v>45737</v>
      </c>
      <c r="C582" s="9" t="s">
        <v>169</v>
      </c>
      <c r="D582" s="9">
        <v>9518620674</v>
      </c>
      <c r="E582" s="8">
        <v>21</v>
      </c>
      <c r="F582" s="9" t="s">
        <v>1194</v>
      </c>
      <c r="G582" s="79" t="s">
        <v>1303</v>
      </c>
      <c r="H582" s="9" t="s">
        <v>57</v>
      </c>
      <c r="I582" s="9" t="s">
        <v>25</v>
      </c>
      <c r="J582" s="9" t="s">
        <v>31</v>
      </c>
      <c r="K582" s="9">
        <v>2000</v>
      </c>
      <c r="L582" s="39"/>
      <c r="M582" s="7" t="s">
        <v>1</v>
      </c>
      <c r="N582" s="8"/>
      <c r="O582" s="40"/>
      <c r="P582" s="15" t="s">
        <v>245</v>
      </c>
      <c r="Q582" s="9" t="s">
        <v>214</v>
      </c>
      <c r="R582" s="9"/>
      <c r="S582" s="9"/>
      <c r="T582" s="9">
        <v>938550</v>
      </c>
      <c r="U582" s="16" t="s">
        <v>69</v>
      </c>
      <c r="V582" s="9">
        <v>3239536</v>
      </c>
      <c r="W582" s="8" t="s">
        <v>209</v>
      </c>
      <c r="X582" s="8" t="s">
        <v>175</v>
      </c>
      <c r="Y582" s="8"/>
      <c r="Z582" s="8"/>
      <c r="AA582" s="8"/>
      <c r="AB582" s="8"/>
      <c r="AC582" s="8" t="s">
        <v>210</v>
      </c>
      <c r="AD582" s="14" t="s">
        <v>211</v>
      </c>
      <c r="AE582" s="8" t="s">
        <v>212</v>
      </c>
      <c r="AF582" s="14">
        <v>0.35</v>
      </c>
      <c r="AG582" s="8">
        <v>900</v>
      </c>
      <c r="AH582" s="8">
        <v>2500</v>
      </c>
      <c r="AI582" s="8">
        <v>42</v>
      </c>
      <c r="AJ582" s="8">
        <v>0</v>
      </c>
      <c r="AK582" s="127">
        <v>42</v>
      </c>
      <c r="AL582" s="103">
        <v>0</v>
      </c>
      <c r="AM582" s="8">
        <v>42</v>
      </c>
      <c r="AN582" s="21">
        <v>0</v>
      </c>
      <c r="AO582" s="21">
        <v>42</v>
      </c>
      <c r="AP582" s="21">
        <v>0</v>
      </c>
      <c r="AQ582" s="21">
        <v>0</v>
      </c>
      <c r="AR582" s="21">
        <v>0</v>
      </c>
      <c r="AS582" s="8">
        <v>42</v>
      </c>
      <c r="AT582" s="21">
        <v>0</v>
      </c>
      <c r="AU582" s="21">
        <v>42</v>
      </c>
      <c r="AV582" s="21">
        <v>0</v>
      </c>
      <c r="AW582" s="21">
        <v>0</v>
      </c>
      <c r="AX582" s="21">
        <v>0</v>
      </c>
      <c r="AY582" s="8">
        <v>0</v>
      </c>
    </row>
    <row r="583" spans="1:51" ht="15" customHeight="1" x14ac:dyDescent="0.25">
      <c r="A583" s="9">
        <v>742</v>
      </c>
      <c r="B583" s="13">
        <v>45737</v>
      </c>
      <c r="C583" s="9" t="s">
        <v>169</v>
      </c>
      <c r="D583" s="9">
        <v>9518620674</v>
      </c>
      <c r="E583" s="8">
        <v>23</v>
      </c>
      <c r="F583" s="9" t="s">
        <v>1195</v>
      </c>
      <c r="G583" s="79" t="s">
        <v>1303</v>
      </c>
      <c r="H583" s="9" t="s">
        <v>57</v>
      </c>
      <c r="I583" s="9" t="s">
        <v>25</v>
      </c>
      <c r="J583" s="9" t="s">
        <v>31</v>
      </c>
      <c r="K583" s="9">
        <v>2000</v>
      </c>
      <c r="L583" s="39"/>
      <c r="M583" s="7" t="s">
        <v>1</v>
      </c>
      <c r="N583" s="8"/>
      <c r="O583" s="40"/>
      <c r="P583" s="15" t="s">
        <v>245</v>
      </c>
      <c r="Q583" s="9" t="s">
        <v>214</v>
      </c>
      <c r="R583" s="9"/>
      <c r="S583" s="9"/>
      <c r="T583" s="9">
        <v>938550</v>
      </c>
      <c r="U583" s="16" t="s">
        <v>69</v>
      </c>
      <c r="V583" s="9">
        <v>3239552</v>
      </c>
      <c r="W583" s="8" t="s">
        <v>247</v>
      </c>
      <c r="X583" s="8" t="s">
        <v>175</v>
      </c>
      <c r="Y583" s="8"/>
      <c r="Z583" s="8"/>
      <c r="AA583" s="8"/>
      <c r="AB583" s="8"/>
      <c r="AC583" s="8" t="s">
        <v>210</v>
      </c>
      <c r="AD583" s="14" t="s">
        <v>211</v>
      </c>
      <c r="AE583" s="8" t="s">
        <v>212</v>
      </c>
      <c r="AF583" s="14">
        <v>0.4</v>
      </c>
      <c r="AG583" s="8">
        <v>1000</v>
      </c>
      <c r="AH583" s="8">
        <v>1980</v>
      </c>
      <c r="AI583" s="8">
        <v>45</v>
      </c>
      <c r="AJ583" s="8">
        <v>0</v>
      </c>
      <c r="AK583" s="127">
        <v>45</v>
      </c>
      <c r="AL583" s="103">
        <v>0</v>
      </c>
      <c r="AM583" s="8">
        <v>45</v>
      </c>
      <c r="AN583" s="21">
        <v>0</v>
      </c>
      <c r="AO583" s="21">
        <v>0</v>
      </c>
      <c r="AP583" s="21">
        <v>0</v>
      </c>
      <c r="AQ583" s="21">
        <v>45</v>
      </c>
      <c r="AR583" s="21">
        <v>0</v>
      </c>
      <c r="AS583" s="8">
        <v>45</v>
      </c>
      <c r="AT583" s="21">
        <v>0</v>
      </c>
      <c r="AU583" s="21">
        <v>0</v>
      </c>
      <c r="AV583" s="21">
        <v>0</v>
      </c>
      <c r="AW583" s="21">
        <v>0</v>
      </c>
      <c r="AX583" s="21">
        <v>45</v>
      </c>
      <c r="AY583" s="8">
        <v>0</v>
      </c>
    </row>
    <row r="584" spans="1:51" ht="15" customHeight="1" x14ac:dyDescent="0.25">
      <c r="A584" s="9">
        <v>742</v>
      </c>
      <c r="B584" s="13">
        <v>45737</v>
      </c>
      <c r="C584" s="9" t="s">
        <v>169</v>
      </c>
      <c r="D584" s="9">
        <v>9518620674</v>
      </c>
      <c r="E584" s="8">
        <v>25</v>
      </c>
      <c r="F584" s="9" t="s">
        <v>1196</v>
      </c>
      <c r="G584" s="79" t="s">
        <v>1303</v>
      </c>
      <c r="H584" s="9" t="s">
        <v>57</v>
      </c>
      <c r="I584" s="9" t="s">
        <v>25</v>
      </c>
      <c r="J584" s="9" t="s">
        <v>31</v>
      </c>
      <c r="K584" s="9">
        <v>2000</v>
      </c>
      <c r="L584" s="39"/>
      <c r="M584" s="7" t="s">
        <v>1</v>
      </c>
      <c r="N584" s="8"/>
      <c r="O584" s="40"/>
      <c r="P584" s="15" t="s">
        <v>245</v>
      </c>
      <c r="Q584" s="9" t="s">
        <v>214</v>
      </c>
      <c r="R584" s="9"/>
      <c r="S584" s="9"/>
      <c r="T584" s="9">
        <v>938550</v>
      </c>
      <c r="U584" s="16" t="s">
        <v>69</v>
      </c>
      <c r="V584" s="9">
        <v>3239564</v>
      </c>
      <c r="W584" s="8" t="s">
        <v>377</v>
      </c>
      <c r="X584" s="8" t="s">
        <v>175</v>
      </c>
      <c r="Y584" s="8"/>
      <c r="Z584" s="8"/>
      <c r="AA584" s="8"/>
      <c r="AB584" s="8"/>
      <c r="AC584" s="8" t="s">
        <v>210</v>
      </c>
      <c r="AD584" s="14" t="s">
        <v>211</v>
      </c>
      <c r="AE584" s="8" t="s">
        <v>212</v>
      </c>
      <c r="AF584" s="14">
        <v>0.45</v>
      </c>
      <c r="AG584" s="8">
        <v>1000</v>
      </c>
      <c r="AH584" s="8">
        <v>1980</v>
      </c>
      <c r="AI584" s="8">
        <v>45</v>
      </c>
      <c r="AJ584" s="8">
        <v>0</v>
      </c>
      <c r="AK584" s="127">
        <v>45</v>
      </c>
      <c r="AL584" s="103">
        <v>0</v>
      </c>
      <c r="AM584" s="8">
        <v>45</v>
      </c>
      <c r="AN584" s="21">
        <v>0</v>
      </c>
      <c r="AO584" s="21">
        <v>45</v>
      </c>
      <c r="AP584" s="21">
        <v>0</v>
      </c>
      <c r="AQ584" s="21">
        <v>0</v>
      </c>
      <c r="AR584" s="21">
        <v>0</v>
      </c>
      <c r="AS584" s="8">
        <v>45</v>
      </c>
      <c r="AT584" s="21">
        <v>0</v>
      </c>
      <c r="AU584" s="21">
        <v>45</v>
      </c>
      <c r="AV584" s="21">
        <v>0</v>
      </c>
      <c r="AW584" s="21">
        <v>0</v>
      </c>
      <c r="AX584" s="21">
        <v>0</v>
      </c>
      <c r="AY584" s="8">
        <v>0</v>
      </c>
    </row>
    <row r="585" spans="1:51" ht="15" customHeight="1" x14ac:dyDescent="0.25">
      <c r="A585" s="9">
        <v>742</v>
      </c>
      <c r="B585" s="13">
        <v>45758</v>
      </c>
      <c r="C585" s="9" t="s">
        <v>169</v>
      </c>
      <c r="D585" s="9">
        <v>9518684484</v>
      </c>
      <c r="E585" s="8">
        <v>7</v>
      </c>
      <c r="F585" s="9" t="s">
        <v>1197</v>
      </c>
      <c r="G585" s="9" t="s">
        <v>1303</v>
      </c>
      <c r="H585" s="9" t="s">
        <v>57</v>
      </c>
      <c r="I585" s="9" t="s">
        <v>25</v>
      </c>
      <c r="J585" s="9" t="s">
        <v>30</v>
      </c>
      <c r="K585" s="9">
        <v>2000</v>
      </c>
      <c r="L585" s="39"/>
      <c r="M585" s="7" t="s">
        <v>1</v>
      </c>
      <c r="N585" s="8"/>
      <c r="O585" s="40"/>
      <c r="P585" s="15" t="s">
        <v>245</v>
      </c>
      <c r="Q585" s="9" t="s">
        <v>214</v>
      </c>
      <c r="R585" s="9"/>
      <c r="S585" s="9"/>
      <c r="T585" s="9">
        <v>938550</v>
      </c>
      <c r="U585" s="16" t="s">
        <v>69</v>
      </c>
      <c r="V585" s="9">
        <v>322578</v>
      </c>
      <c r="W585" s="8" t="s">
        <v>536</v>
      </c>
      <c r="X585" s="8" t="s">
        <v>175</v>
      </c>
      <c r="Y585" s="8"/>
      <c r="Z585" s="8"/>
      <c r="AA585" s="8"/>
      <c r="AB585" s="8"/>
      <c r="AC585" s="8" t="s">
        <v>210</v>
      </c>
      <c r="AD585" s="14" t="s">
        <v>211</v>
      </c>
      <c r="AE585" s="8" t="s">
        <v>252</v>
      </c>
      <c r="AF585" s="14">
        <v>0.5</v>
      </c>
      <c r="AG585" s="8">
        <v>1250</v>
      </c>
      <c r="AH585" s="8">
        <v>0</v>
      </c>
      <c r="AI585" s="8">
        <v>51</v>
      </c>
      <c r="AJ585" s="8">
        <v>0</v>
      </c>
      <c r="AK585" s="127">
        <v>51</v>
      </c>
      <c r="AL585" s="103">
        <v>0</v>
      </c>
      <c r="AM585" s="8">
        <v>51</v>
      </c>
      <c r="AN585" s="21">
        <v>51</v>
      </c>
      <c r="AO585" s="21">
        <v>0</v>
      </c>
      <c r="AP585" s="21">
        <v>0</v>
      </c>
      <c r="AQ585" s="21">
        <v>0</v>
      </c>
      <c r="AR585" s="21">
        <v>0</v>
      </c>
      <c r="AS585" s="8">
        <v>51</v>
      </c>
      <c r="AT585" s="21">
        <v>0</v>
      </c>
      <c r="AU585" s="21">
        <v>51</v>
      </c>
      <c r="AV585" s="21">
        <v>0</v>
      </c>
      <c r="AW585" s="21">
        <v>0</v>
      </c>
      <c r="AX585" s="21">
        <v>0</v>
      </c>
      <c r="AY585" s="8">
        <v>0</v>
      </c>
    </row>
    <row r="586" spans="1:51" ht="15" customHeight="1" x14ac:dyDescent="0.25">
      <c r="A586" s="9">
        <v>742</v>
      </c>
      <c r="B586" s="13">
        <v>45758</v>
      </c>
      <c r="C586" s="9" t="s">
        <v>169</v>
      </c>
      <c r="D586" s="9">
        <v>9518684484</v>
      </c>
      <c r="E586" s="8">
        <v>9</v>
      </c>
      <c r="F586" s="9" t="s">
        <v>1198</v>
      </c>
      <c r="G586" s="79" t="s">
        <v>1303</v>
      </c>
      <c r="H586" s="9" t="s">
        <v>57</v>
      </c>
      <c r="I586" s="9" t="s">
        <v>25</v>
      </c>
      <c r="J586" s="9" t="s">
        <v>31</v>
      </c>
      <c r="K586" s="9">
        <v>2000</v>
      </c>
      <c r="L586" s="39"/>
      <c r="M586" s="7" t="s">
        <v>1</v>
      </c>
      <c r="N586" s="8"/>
      <c r="O586" s="40"/>
      <c r="P586" s="15" t="s">
        <v>245</v>
      </c>
      <c r="Q586" s="9" t="s">
        <v>214</v>
      </c>
      <c r="R586" s="9"/>
      <c r="S586" s="9"/>
      <c r="T586" s="9">
        <v>938550</v>
      </c>
      <c r="U586" s="16" t="s">
        <v>69</v>
      </c>
      <c r="V586" s="9">
        <v>3239536</v>
      </c>
      <c r="W586" s="8" t="s">
        <v>209</v>
      </c>
      <c r="X586" s="8" t="s">
        <v>175</v>
      </c>
      <c r="Y586" s="8"/>
      <c r="Z586" s="8"/>
      <c r="AA586" s="8"/>
      <c r="AB586" s="8"/>
      <c r="AC586" s="8" t="s">
        <v>210</v>
      </c>
      <c r="AD586" s="14" t="s">
        <v>211</v>
      </c>
      <c r="AE586" s="8" t="s">
        <v>212</v>
      </c>
      <c r="AF586" s="14">
        <v>0.35</v>
      </c>
      <c r="AG586" s="8">
        <v>900</v>
      </c>
      <c r="AH586" s="8">
        <v>2500</v>
      </c>
      <c r="AI586" s="8">
        <v>51</v>
      </c>
      <c r="AJ586" s="8">
        <v>0</v>
      </c>
      <c r="AK586" s="127">
        <v>51</v>
      </c>
      <c r="AL586" s="103">
        <v>0</v>
      </c>
      <c r="AM586" s="8">
        <v>51</v>
      </c>
      <c r="AN586" s="21">
        <v>0</v>
      </c>
      <c r="AO586" s="21">
        <v>51</v>
      </c>
      <c r="AP586" s="21">
        <v>0</v>
      </c>
      <c r="AQ586" s="21">
        <v>0</v>
      </c>
      <c r="AR586" s="21">
        <v>0</v>
      </c>
      <c r="AS586" s="8">
        <v>51</v>
      </c>
      <c r="AT586" s="21">
        <v>0</v>
      </c>
      <c r="AU586" s="21">
        <v>51</v>
      </c>
      <c r="AV586" s="21">
        <v>0</v>
      </c>
      <c r="AW586" s="21">
        <v>0</v>
      </c>
      <c r="AX586" s="21">
        <v>0</v>
      </c>
      <c r="AY586" s="8">
        <v>0</v>
      </c>
    </row>
    <row r="587" spans="1:51" ht="15" customHeight="1" x14ac:dyDescent="0.25">
      <c r="A587" s="9">
        <v>742</v>
      </c>
      <c r="B587" s="13">
        <v>45758</v>
      </c>
      <c r="C587" s="9" t="s">
        <v>169</v>
      </c>
      <c r="D587" s="9">
        <v>9518684484</v>
      </c>
      <c r="E587" s="8">
        <v>11</v>
      </c>
      <c r="F587" s="9" t="s">
        <v>1199</v>
      </c>
      <c r="G587" s="79" t="s">
        <v>1303</v>
      </c>
      <c r="H587" s="9" t="s">
        <v>57</v>
      </c>
      <c r="I587" s="9" t="s">
        <v>25</v>
      </c>
      <c r="J587" s="9" t="s">
        <v>31</v>
      </c>
      <c r="K587" s="9">
        <v>2000</v>
      </c>
      <c r="L587" s="39"/>
      <c r="M587" s="7" t="s">
        <v>1</v>
      </c>
      <c r="N587" s="8"/>
      <c r="O587" s="40"/>
      <c r="P587" s="15" t="s">
        <v>245</v>
      </c>
      <c r="Q587" s="9" t="s">
        <v>214</v>
      </c>
      <c r="R587" s="9"/>
      <c r="S587" s="9"/>
      <c r="T587" s="9">
        <v>938550</v>
      </c>
      <c r="U587" s="16" t="s">
        <v>69</v>
      </c>
      <c r="V587" s="9">
        <v>3239552</v>
      </c>
      <c r="W587" s="8" t="s">
        <v>247</v>
      </c>
      <c r="X587" s="8" t="s">
        <v>175</v>
      </c>
      <c r="Y587" s="8"/>
      <c r="Z587" s="8"/>
      <c r="AA587" s="8"/>
      <c r="AB587" s="8"/>
      <c r="AC587" s="8" t="s">
        <v>210</v>
      </c>
      <c r="AD587" s="14" t="s">
        <v>211</v>
      </c>
      <c r="AE587" s="8" t="s">
        <v>212</v>
      </c>
      <c r="AF587" s="14">
        <v>0.4</v>
      </c>
      <c r="AG587" s="8">
        <v>1000</v>
      </c>
      <c r="AH587" s="8">
        <v>1980</v>
      </c>
      <c r="AI587" s="8">
        <v>75</v>
      </c>
      <c r="AJ587" s="8">
        <v>0</v>
      </c>
      <c r="AK587" s="127">
        <v>75</v>
      </c>
      <c r="AL587" s="103">
        <v>0</v>
      </c>
      <c r="AM587" s="8">
        <v>75</v>
      </c>
      <c r="AN587" s="21">
        <v>0</v>
      </c>
      <c r="AO587" s="21">
        <v>0</v>
      </c>
      <c r="AP587" s="21">
        <v>0</v>
      </c>
      <c r="AQ587" s="21">
        <v>0</v>
      </c>
      <c r="AR587" s="21">
        <v>75</v>
      </c>
      <c r="AS587" s="8">
        <v>75</v>
      </c>
      <c r="AT587" s="21">
        <v>0</v>
      </c>
      <c r="AU587" s="21">
        <v>0</v>
      </c>
      <c r="AV587" s="21">
        <v>0</v>
      </c>
      <c r="AW587" s="21">
        <v>0</v>
      </c>
      <c r="AX587" s="21">
        <v>75</v>
      </c>
      <c r="AY587" s="8">
        <v>0</v>
      </c>
    </row>
    <row r="588" spans="1:51" ht="15" customHeight="1" x14ac:dyDescent="0.25">
      <c r="A588" s="9">
        <v>742</v>
      </c>
      <c r="B588" s="13">
        <v>45758</v>
      </c>
      <c r="C588" s="9" t="s">
        <v>169</v>
      </c>
      <c r="D588" s="9">
        <v>9518684484</v>
      </c>
      <c r="E588" s="8">
        <v>12</v>
      </c>
      <c r="F588" s="9" t="s">
        <v>1200</v>
      </c>
      <c r="G588" s="79" t="s">
        <v>1303</v>
      </c>
      <c r="H588" s="9" t="s">
        <v>57</v>
      </c>
      <c r="I588" s="9" t="s">
        <v>25</v>
      </c>
      <c r="J588" s="9" t="s">
        <v>31</v>
      </c>
      <c r="K588" s="9">
        <v>2000</v>
      </c>
      <c r="L588" s="39"/>
      <c r="M588" s="7" t="s">
        <v>1</v>
      </c>
      <c r="N588" s="8"/>
      <c r="O588" s="40"/>
      <c r="P588" s="15" t="s">
        <v>245</v>
      </c>
      <c r="Q588" s="9" t="s">
        <v>214</v>
      </c>
      <c r="R588" s="9"/>
      <c r="S588" s="9"/>
      <c r="T588" s="9">
        <v>938550</v>
      </c>
      <c r="U588" s="16" t="s">
        <v>69</v>
      </c>
      <c r="V588" s="9">
        <v>3239564</v>
      </c>
      <c r="W588" s="8" t="s">
        <v>377</v>
      </c>
      <c r="X588" s="8" t="s">
        <v>175</v>
      </c>
      <c r="Y588" s="8"/>
      <c r="Z588" s="8"/>
      <c r="AA588" s="8"/>
      <c r="AB588" s="8"/>
      <c r="AC588" s="8" t="s">
        <v>210</v>
      </c>
      <c r="AD588" s="14" t="s">
        <v>211</v>
      </c>
      <c r="AE588" s="8" t="s">
        <v>212</v>
      </c>
      <c r="AF588" s="14">
        <v>0.45</v>
      </c>
      <c r="AG588" s="8">
        <v>1000</v>
      </c>
      <c r="AH588" s="8">
        <v>1980</v>
      </c>
      <c r="AI588" s="8">
        <v>60</v>
      </c>
      <c r="AJ588" s="8">
        <v>0</v>
      </c>
      <c r="AK588" s="127">
        <v>60</v>
      </c>
      <c r="AL588" s="103">
        <v>0</v>
      </c>
      <c r="AM588" s="8">
        <v>60</v>
      </c>
      <c r="AN588" s="21">
        <v>0</v>
      </c>
      <c r="AO588" s="21">
        <v>0</v>
      </c>
      <c r="AP588" s="21">
        <v>60</v>
      </c>
      <c r="AQ588" s="21">
        <v>0</v>
      </c>
      <c r="AR588" s="21">
        <v>0</v>
      </c>
      <c r="AS588" s="8">
        <v>60</v>
      </c>
      <c r="AT588" s="21">
        <v>0</v>
      </c>
      <c r="AU588" s="21">
        <v>0</v>
      </c>
      <c r="AV588" s="21">
        <v>60</v>
      </c>
      <c r="AW588" s="21">
        <v>0</v>
      </c>
      <c r="AX588" s="21">
        <v>0</v>
      </c>
      <c r="AY588" s="8">
        <v>0</v>
      </c>
    </row>
    <row r="589" spans="1:51" ht="15" customHeight="1" x14ac:dyDescent="0.25">
      <c r="A589" s="9">
        <v>742</v>
      </c>
      <c r="B589" s="13">
        <v>45758</v>
      </c>
      <c r="C589" s="9" t="s">
        <v>169</v>
      </c>
      <c r="D589" s="9">
        <v>9518684484</v>
      </c>
      <c r="E589" s="8">
        <v>13</v>
      </c>
      <c r="F589" s="9" t="s">
        <v>1201</v>
      </c>
      <c r="G589" s="9" t="s">
        <v>1303</v>
      </c>
      <c r="H589" s="9" t="s">
        <v>57</v>
      </c>
      <c r="I589" s="9" t="s">
        <v>25</v>
      </c>
      <c r="J589" s="9" t="s">
        <v>31</v>
      </c>
      <c r="K589" s="9">
        <v>2000</v>
      </c>
      <c r="L589" s="39"/>
      <c r="M589" s="7" t="s">
        <v>1</v>
      </c>
      <c r="N589" s="8"/>
      <c r="O589" s="40"/>
      <c r="P589" s="15" t="s">
        <v>245</v>
      </c>
      <c r="Q589" s="9" t="s">
        <v>214</v>
      </c>
      <c r="R589" s="9"/>
      <c r="S589" s="9"/>
      <c r="T589" s="9">
        <v>938550</v>
      </c>
      <c r="U589" s="16" t="s">
        <v>69</v>
      </c>
      <c r="V589" s="9">
        <v>3533339</v>
      </c>
      <c r="W589" s="8" t="s">
        <v>1275</v>
      </c>
      <c r="X589" s="8" t="s">
        <v>175</v>
      </c>
      <c r="Y589" s="8"/>
      <c r="Z589" s="8"/>
      <c r="AA589" s="8"/>
      <c r="AB589" s="8"/>
      <c r="AC589" s="8" t="s">
        <v>210</v>
      </c>
      <c r="AD589" s="14" t="s">
        <v>211</v>
      </c>
      <c r="AE589" s="8" t="s">
        <v>212</v>
      </c>
      <c r="AF589" s="14">
        <v>0.45</v>
      </c>
      <c r="AG589" s="8">
        <v>1000</v>
      </c>
      <c r="AH589" s="8">
        <v>2000</v>
      </c>
      <c r="AI589" s="8">
        <v>24</v>
      </c>
      <c r="AJ589" s="8">
        <v>0</v>
      </c>
      <c r="AK589" s="127">
        <v>24</v>
      </c>
      <c r="AL589" s="103">
        <v>0</v>
      </c>
      <c r="AM589" s="8">
        <v>24</v>
      </c>
      <c r="AN589" s="21">
        <v>0</v>
      </c>
      <c r="AO589" s="21">
        <v>0</v>
      </c>
      <c r="AP589" s="21">
        <v>24</v>
      </c>
      <c r="AQ589" s="21">
        <v>0</v>
      </c>
      <c r="AR589" s="21">
        <v>0</v>
      </c>
      <c r="AS589" s="8">
        <v>24</v>
      </c>
      <c r="AT589" s="21">
        <v>0</v>
      </c>
      <c r="AU589" s="21">
        <v>0</v>
      </c>
      <c r="AV589" s="21">
        <v>24</v>
      </c>
      <c r="AW589" s="21">
        <v>0</v>
      </c>
      <c r="AX589" s="21">
        <v>0</v>
      </c>
      <c r="AY589" s="8">
        <v>0</v>
      </c>
    </row>
    <row r="590" spans="1:51" ht="15" customHeight="1" x14ac:dyDescent="0.25">
      <c r="A590" s="9">
        <v>742</v>
      </c>
      <c r="B590" s="13">
        <v>45758</v>
      </c>
      <c r="C590" s="9" t="s">
        <v>169</v>
      </c>
      <c r="D590" s="9">
        <v>9518684484</v>
      </c>
      <c r="E590" s="8">
        <v>14</v>
      </c>
      <c r="F590" s="9" t="s">
        <v>1202</v>
      </c>
      <c r="G590" s="79" t="s">
        <v>1303</v>
      </c>
      <c r="H590" s="9" t="s">
        <v>57</v>
      </c>
      <c r="I590" s="9" t="s">
        <v>25</v>
      </c>
      <c r="J590" s="9" t="s">
        <v>31</v>
      </c>
      <c r="K590" s="9">
        <v>2000</v>
      </c>
      <c r="L590" s="39"/>
      <c r="M590" s="7" t="s">
        <v>1</v>
      </c>
      <c r="N590" s="8"/>
      <c r="O590" s="40"/>
      <c r="P590" s="15" t="s">
        <v>245</v>
      </c>
      <c r="Q590" s="9" t="s">
        <v>214</v>
      </c>
      <c r="R590" s="9"/>
      <c r="S590" s="9"/>
      <c r="T590" s="9">
        <v>938550</v>
      </c>
      <c r="U590" s="16" t="s">
        <v>69</v>
      </c>
      <c r="V590" s="9">
        <v>3239539</v>
      </c>
      <c r="W590" s="8" t="s">
        <v>365</v>
      </c>
      <c r="X590" s="8" t="s">
        <v>175</v>
      </c>
      <c r="Y590" s="8"/>
      <c r="Z590" s="8"/>
      <c r="AA590" s="8"/>
      <c r="AB590" s="8"/>
      <c r="AC590" s="8" t="s">
        <v>210</v>
      </c>
      <c r="AD590" s="14" t="s">
        <v>211</v>
      </c>
      <c r="AE590" s="8" t="s">
        <v>212</v>
      </c>
      <c r="AF590" s="14">
        <v>0.35</v>
      </c>
      <c r="AG590" s="8">
        <v>1000</v>
      </c>
      <c r="AH590" s="8">
        <v>1980</v>
      </c>
      <c r="AI590" s="8">
        <v>51</v>
      </c>
      <c r="AJ590" s="8">
        <v>0</v>
      </c>
      <c r="AK590" s="127">
        <v>51</v>
      </c>
      <c r="AL590" s="103">
        <v>0</v>
      </c>
      <c r="AM590" s="8">
        <v>51</v>
      </c>
      <c r="AN590" s="21">
        <v>0</v>
      </c>
      <c r="AO590" s="21">
        <v>0</v>
      </c>
      <c r="AP590" s="21">
        <v>0</v>
      </c>
      <c r="AQ590" s="21">
        <v>51</v>
      </c>
      <c r="AR590" s="21">
        <v>0</v>
      </c>
      <c r="AS590" s="8">
        <v>51</v>
      </c>
      <c r="AT590" s="21">
        <v>0</v>
      </c>
      <c r="AU590" s="21">
        <v>0</v>
      </c>
      <c r="AV590" s="21">
        <v>0</v>
      </c>
      <c r="AW590" s="21">
        <v>0</v>
      </c>
      <c r="AX590" s="21">
        <v>51</v>
      </c>
      <c r="AY590" s="8">
        <v>0</v>
      </c>
    </row>
    <row r="591" spans="1:51" ht="15" customHeight="1" x14ac:dyDescent="0.25">
      <c r="A591" s="9">
        <v>742</v>
      </c>
      <c r="B591" s="13">
        <v>45732</v>
      </c>
      <c r="C591" s="9" t="s">
        <v>169</v>
      </c>
      <c r="D591" s="9">
        <v>9518604323</v>
      </c>
      <c r="E591" s="8">
        <v>1</v>
      </c>
      <c r="F591" s="9" t="s">
        <v>1203</v>
      </c>
      <c r="G591" s="79" t="s">
        <v>1303</v>
      </c>
      <c r="H591" s="9" t="s">
        <v>57</v>
      </c>
      <c r="I591" s="9" t="s">
        <v>25</v>
      </c>
      <c r="J591" s="9" t="s">
        <v>31</v>
      </c>
      <c r="K591" s="9">
        <v>2000</v>
      </c>
      <c r="L591" s="39"/>
      <c r="M591" s="7" t="s">
        <v>1</v>
      </c>
      <c r="N591" s="8"/>
      <c r="O591" s="40"/>
      <c r="P591" s="15" t="s">
        <v>179</v>
      </c>
      <c r="Q591" s="9" t="s">
        <v>180</v>
      </c>
      <c r="R591" s="9"/>
      <c r="S591" s="9"/>
      <c r="T591" s="9">
        <v>117061</v>
      </c>
      <c r="U591" s="16" t="s">
        <v>89</v>
      </c>
      <c r="V591" s="9">
        <v>3239536</v>
      </c>
      <c r="W591" s="8" t="s">
        <v>209</v>
      </c>
      <c r="X591" s="8" t="s">
        <v>175</v>
      </c>
      <c r="Y591" s="8"/>
      <c r="Z591" s="8"/>
      <c r="AA591" s="8"/>
      <c r="AB591" s="8"/>
      <c r="AC591" s="8" t="s">
        <v>210</v>
      </c>
      <c r="AD591" s="14" t="s">
        <v>211</v>
      </c>
      <c r="AE591" s="8" t="s">
        <v>212</v>
      </c>
      <c r="AF591" s="14">
        <v>0.35</v>
      </c>
      <c r="AG591" s="8">
        <v>900</v>
      </c>
      <c r="AH591" s="8">
        <v>2500</v>
      </c>
      <c r="AI591" s="8">
        <v>21</v>
      </c>
      <c r="AJ591" s="8">
        <v>0</v>
      </c>
      <c r="AK591" s="127">
        <v>21</v>
      </c>
      <c r="AL591" s="103">
        <v>0</v>
      </c>
      <c r="AM591" s="8">
        <v>21</v>
      </c>
      <c r="AN591" s="21">
        <v>21</v>
      </c>
      <c r="AO591" s="21">
        <v>0</v>
      </c>
      <c r="AP591" s="21">
        <v>0</v>
      </c>
      <c r="AQ591" s="21">
        <v>0</v>
      </c>
      <c r="AR591" s="21">
        <v>0</v>
      </c>
      <c r="AS591" s="8">
        <v>21</v>
      </c>
      <c r="AT591" s="21">
        <v>0</v>
      </c>
      <c r="AU591" s="21">
        <v>21</v>
      </c>
      <c r="AV591" s="21">
        <v>0</v>
      </c>
      <c r="AW591" s="21">
        <v>0</v>
      </c>
      <c r="AX591" s="21">
        <v>0</v>
      </c>
      <c r="AY591" s="8">
        <v>0</v>
      </c>
    </row>
    <row r="592" spans="1:51" ht="15" customHeight="1" x14ac:dyDescent="0.25">
      <c r="A592" s="9">
        <v>742</v>
      </c>
      <c r="B592" s="13">
        <v>45732</v>
      </c>
      <c r="C592" s="9" t="s">
        <v>169</v>
      </c>
      <c r="D592" s="9">
        <v>9518604323</v>
      </c>
      <c r="E592" s="8">
        <v>3</v>
      </c>
      <c r="F592" s="9" t="s">
        <v>1204</v>
      </c>
      <c r="G592" s="79" t="s">
        <v>1303</v>
      </c>
      <c r="H592" s="9" t="s">
        <v>57</v>
      </c>
      <c r="I592" s="9" t="s">
        <v>25</v>
      </c>
      <c r="J592" s="9" t="s">
        <v>31</v>
      </c>
      <c r="K592" s="9">
        <v>2000</v>
      </c>
      <c r="L592" s="39"/>
      <c r="M592" s="7" t="s">
        <v>1</v>
      </c>
      <c r="N592" s="8"/>
      <c r="O592" s="40"/>
      <c r="P592" s="15" t="s">
        <v>179</v>
      </c>
      <c r="Q592" s="9" t="s">
        <v>180</v>
      </c>
      <c r="R592" s="9"/>
      <c r="S592" s="9"/>
      <c r="T592" s="9">
        <v>117061</v>
      </c>
      <c r="U592" s="16" t="s">
        <v>89</v>
      </c>
      <c r="V592" s="9">
        <v>3239554</v>
      </c>
      <c r="W592" s="8" t="s">
        <v>248</v>
      </c>
      <c r="X592" s="8" t="s">
        <v>175</v>
      </c>
      <c r="Y592" s="8"/>
      <c r="Z592" s="8"/>
      <c r="AA592" s="8"/>
      <c r="AB592" s="8"/>
      <c r="AC592" s="8" t="s">
        <v>210</v>
      </c>
      <c r="AD592" s="14" t="s">
        <v>211</v>
      </c>
      <c r="AE592" s="8" t="s">
        <v>212</v>
      </c>
      <c r="AF592" s="14">
        <v>0.4</v>
      </c>
      <c r="AG592" s="8">
        <v>1000</v>
      </c>
      <c r="AH592" s="8">
        <v>2500</v>
      </c>
      <c r="AI592" s="8">
        <v>75</v>
      </c>
      <c r="AJ592" s="8">
        <v>0</v>
      </c>
      <c r="AK592" s="127">
        <v>75</v>
      </c>
      <c r="AL592" s="103">
        <v>0</v>
      </c>
      <c r="AM592" s="8">
        <v>75</v>
      </c>
      <c r="AN592" s="21">
        <v>0</v>
      </c>
      <c r="AO592" s="21">
        <v>0</v>
      </c>
      <c r="AP592" s="21">
        <v>0</v>
      </c>
      <c r="AQ592" s="21">
        <v>0</v>
      </c>
      <c r="AR592" s="21">
        <v>75</v>
      </c>
      <c r="AS592" s="8">
        <v>75</v>
      </c>
      <c r="AT592" s="21">
        <v>0</v>
      </c>
      <c r="AU592" s="21">
        <v>0</v>
      </c>
      <c r="AV592" s="21">
        <v>0</v>
      </c>
      <c r="AW592" s="21">
        <v>0</v>
      </c>
      <c r="AX592" s="21">
        <v>75</v>
      </c>
      <c r="AY592" s="8">
        <v>0</v>
      </c>
    </row>
    <row r="593" spans="1:51" ht="15" customHeight="1" x14ac:dyDescent="0.25">
      <c r="A593" s="9">
        <v>743</v>
      </c>
      <c r="B593" s="13">
        <v>45733</v>
      </c>
      <c r="C593" s="9" t="s">
        <v>169</v>
      </c>
      <c r="D593" s="9">
        <v>9518605386</v>
      </c>
      <c r="E593" s="8">
        <v>4</v>
      </c>
      <c r="F593" s="9" t="s">
        <v>1205</v>
      </c>
      <c r="G593" s="79" t="s">
        <v>1303</v>
      </c>
      <c r="H593" s="9" t="s">
        <v>1272</v>
      </c>
      <c r="I593" s="9" t="s">
        <v>43</v>
      </c>
      <c r="J593" s="9" t="s">
        <v>45</v>
      </c>
      <c r="K593" s="9">
        <v>2000</v>
      </c>
      <c r="L593" s="39"/>
      <c r="M593" s="7" t="s">
        <v>1</v>
      </c>
      <c r="N593" s="8"/>
      <c r="O593" s="40"/>
      <c r="P593" s="15" t="s">
        <v>179</v>
      </c>
      <c r="Q593" s="9" t="s">
        <v>180</v>
      </c>
      <c r="R593" s="9"/>
      <c r="S593" s="9"/>
      <c r="T593" s="9">
        <v>117061</v>
      </c>
      <c r="U593" s="16" t="s">
        <v>89</v>
      </c>
      <c r="V593" s="9">
        <v>3484328</v>
      </c>
      <c r="W593" s="8" t="s">
        <v>608</v>
      </c>
      <c r="X593" s="8">
        <v>80</v>
      </c>
      <c r="Y593" s="8"/>
      <c r="Z593" s="8"/>
      <c r="AA593" s="8"/>
      <c r="AB593" s="8"/>
      <c r="AC593" s="8" t="s">
        <v>184</v>
      </c>
      <c r="AD593" s="14" t="s">
        <v>185</v>
      </c>
      <c r="AE593" s="8" t="s">
        <v>186</v>
      </c>
      <c r="AF593" s="14">
        <v>0.5</v>
      </c>
      <c r="AG593" s="8">
        <v>900</v>
      </c>
      <c r="AH593" s="8">
        <v>0</v>
      </c>
      <c r="AI593" s="8">
        <v>80</v>
      </c>
      <c r="AJ593" s="8">
        <v>0</v>
      </c>
      <c r="AK593" s="127">
        <v>80</v>
      </c>
      <c r="AL593" s="103">
        <v>0</v>
      </c>
      <c r="AM593" s="8">
        <v>80</v>
      </c>
      <c r="AN593" s="21">
        <v>0</v>
      </c>
      <c r="AO593" s="21">
        <v>80</v>
      </c>
      <c r="AP593" s="21">
        <v>0</v>
      </c>
      <c r="AQ593" s="21">
        <v>0</v>
      </c>
      <c r="AR593" s="21">
        <v>0</v>
      </c>
      <c r="AS593" s="8">
        <v>80</v>
      </c>
      <c r="AT593" s="21">
        <v>0</v>
      </c>
      <c r="AU593" s="21">
        <v>0</v>
      </c>
      <c r="AV593" s="21">
        <v>80</v>
      </c>
      <c r="AW593" s="21">
        <v>0</v>
      </c>
      <c r="AX593" s="21">
        <v>0</v>
      </c>
      <c r="AY593" s="8">
        <v>0</v>
      </c>
    </row>
    <row r="594" spans="1:51" ht="15" customHeight="1" x14ac:dyDescent="0.25">
      <c r="A594" s="9">
        <v>743</v>
      </c>
      <c r="B594" s="13">
        <v>45733</v>
      </c>
      <c r="C594" s="9" t="s">
        <v>169</v>
      </c>
      <c r="D594" s="9">
        <v>9518605386</v>
      </c>
      <c r="E594" s="8">
        <v>5</v>
      </c>
      <c r="F594" s="9" t="s">
        <v>1206</v>
      </c>
      <c r="G594" s="79" t="s">
        <v>1303</v>
      </c>
      <c r="H594" s="9" t="s">
        <v>1272</v>
      </c>
      <c r="I594" s="9" t="s">
        <v>43</v>
      </c>
      <c r="J594" s="9" t="s">
        <v>45</v>
      </c>
      <c r="K594" s="9">
        <v>2000</v>
      </c>
      <c r="L594" s="39"/>
      <c r="M594" s="7" t="s">
        <v>1</v>
      </c>
      <c r="N594" s="8"/>
      <c r="O594" s="40"/>
      <c r="P594" s="15" t="s">
        <v>179</v>
      </c>
      <c r="Q594" s="9" t="s">
        <v>180</v>
      </c>
      <c r="R594" s="9"/>
      <c r="S594" s="9"/>
      <c r="T594" s="9">
        <v>117061</v>
      </c>
      <c r="U594" s="16" t="s">
        <v>89</v>
      </c>
      <c r="V594" s="9">
        <v>3484329</v>
      </c>
      <c r="W594" s="8" t="s">
        <v>766</v>
      </c>
      <c r="X594" s="8">
        <v>80</v>
      </c>
      <c r="Y594" s="8"/>
      <c r="Z594" s="8"/>
      <c r="AA594" s="8"/>
      <c r="AB594" s="8"/>
      <c r="AC594" s="8" t="s">
        <v>184</v>
      </c>
      <c r="AD594" s="14" t="s">
        <v>185</v>
      </c>
      <c r="AE594" s="8" t="s">
        <v>186</v>
      </c>
      <c r="AF594" s="14">
        <v>0.6</v>
      </c>
      <c r="AG594" s="8">
        <v>900</v>
      </c>
      <c r="AH594" s="8">
        <v>2500</v>
      </c>
      <c r="AI594" s="8">
        <v>40</v>
      </c>
      <c r="AJ594" s="8">
        <v>0</v>
      </c>
      <c r="AK594" s="127">
        <v>40</v>
      </c>
      <c r="AL594" s="103">
        <v>0</v>
      </c>
      <c r="AM594" s="8">
        <v>40</v>
      </c>
      <c r="AN594" s="21">
        <v>0</v>
      </c>
      <c r="AO594" s="21">
        <v>40</v>
      </c>
      <c r="AP594" s="21">
        <v>0</v>
      </c>
      <c r="AQ594" s="21">
        <v>0</v>
      </c>
      <c r="AR594" s="21">
        <v>0</v>
      </c>
      <c r="AS594" s="8">
        <v>40</v>
      </c>
      <c r="AT594" s="21">
        <v>0</v>
      </c>
      <c r="AU594" s="21">
        <v>0</v>
      </c>
      <c r="AV594" s="21">
        <v>40</v>
      </c>
      <c r="AW594" s="21">
        <v>0</v>
      </c>
      <c r="AX594" s="21">
        <v>0</v>
      </c>
      <c r="AY594" s="8">
        <v>0</v>
      </c>
    </row>
    <row r="595" spans="1:51" ht="15" customHeight="1" x14ac:dyDescent="0.25">
      <c r="A595" s="9">
        <v>743</v>
      </c>
      <c r="B595" s="13">
        <v>45735</v>
      </c>
      <c r="C595" s="9" t="s">
        <v>169</v>
      </c>
      <c r="D595" s="9">
        <v>9518613250</v>
      </c>
      <c r="E595" s="8">
        <v>1</v>
      </c>
      <c r="F595" s="9" t="s">
        <v>1207</v>
      </c>
      <c r="G595" s="79" t="s">
        <v>1303</v>
      </c>
      <c r="H595" s="9" t="s">
        <v>1272</v>
      </c>
      <c r="I595" s="9" t="s">
        <v>43</v>
      </c>
      <c r="J595" s="9" t="s">
        <v>45</v>
      </c>
      <c r="K595" s="9">
        <v>2000</v>
      </c>
      <c r="L595" s="39"/>
      <c r="M595" s="7" t="s">
        <v>1</v>
      </c>
      <c r="N595" s="8"/>
      <c r="O595" s="40"/>
      <c r="P595" s="15" t="s">
        <v>179</v>
      </c>
      <c r="Q595" s="9" t="s">
        <v>180</v>
      </c>
      <c r="R595" s="9"/>
      <c r="S595" s="9"/>
      <c r="T595" s="9">
        <v>117061</v>
      </c>
      <c r="U595" s="16" t="s">
        <v>89</v>
      </c>
      <c r="V595" s="9">
        <v>3484324</v>
      </c>
      <c r="W595" s="8" t="s">
        <v>182</v>
      </c>
      <c r="X595" s="8">
        <v>80</v>
      </c>
      <c r="Y595" s="8"/>
      <c r="Z595" s="8"/>
      <c r="AA595" s="8"/>
      <c r="AB595" s="8"/>
      <c r="AC595" s="8" t="s">
        <v>184</v>
      </c>
      <c r="AD595" s="14" t="s">
        <v>185</v>
      </c>
      <c r="AE595" s="8" t="s">
        <v>186</v>
      </c>
      <c r="AF595" s="14">
        <v>0.3</v>
      </c>
      <c r="AG595" s="8">
        <v>900</v>
      </c>
      <c r="AH595" s="8">
        <v>2500</v>
      </c>
      <c r="AI595" s="8">
        <v>80</v>
      </c>
      <c r="AJ595" s="8">
        <v>0</v>
      </c>
      <c r="AK595" s="127">
        <v>80</v>
      </c>
      <c r="AL595" s="103">
        <v>0</v>
      </c>
      <c r="AM595" s="8">
        <v>80</v>
      </c>
      <c r="AN595" s="21">
        <v>0</v>
      </c>
      <c r="AO595" s="21">
        <v>0</v>
      </c>
      <c r="AP595" s="21">
        <v>0</v>
      </c>
      <c r="AQ595" s="21">
        <v>80</v>
      </c>
      <c r="AR595" s="21">
        <v>0</v>
      </c>
      <c r="AS595" s="8">
        <v>80</v>
      </c>
      <c r="AT595" s="21">
        <v>0</v>
      </c>
      <c r="AU595" s="21">
        <v>0</v>
      </c>
      <c r="AV595" s="21">
        <v>0</v>
      </c>
      <c r="AW595" s="21">
        <v>0</v>
      </c>
      <c r="AX595" s="21">
        <v>80</v>
      </c>
      <c r="AY595" s="8">
        <v>0</v>
      </c>
    </row>
    <row r="596" spans="1:51" ht="15" customHeight="1" x14ac:dyDescent="0.25">
      <c r="A596" s="9">
        <v>743</v>
      </c>
      <c r="B596" s="13">
        <v>45757</v>
      </c>
      <c r="C596" s="9" t="s">
        <v>169</v>
      </c>
      <c r="D596" s="9">
        <v>9518681493</v>
      </c>
      <c r="E596" s="8">
        <v>1</v>
      </c>
      <c r="F596" s="9" t="s">
        <v>1208</v>
      </c>
      <c r="G596" s="9" t="s">
        <v>1687</v>
      </c>
      <c r="H596" s="9" t="s">
        <v>57</v>
      </c>
      <c r="I596" s="9" t="s">
        <v>43</v>
      </c>
      <c r="J596" s="9" t="s">
        <v>46</v>
      </c>
      <c r="K596" s="9">
        <v>2000</v>
      </c>
      <c r="L596" s="39"/>
      <c r="M596" s="7" t="s">
        <v>1</v>
      </c>
      <c r="N596" s="8"/>
      <c r="O596" s="40"/>
      <c r="P596" s="15" t="s">
        <v>199</v>
      </c>
      <c r="Q596" s="9" t="s">
        <v>180</v>
      </c>
      <c r="R596" s="9"/>
      <c r="S596" s="9"/>
      <c r="T596" s="9">
        <v>931671</v>
      </c>
      <c r="U596" s="16" t="s">
        <v>91</v>
      </c>
      <c r="V596" s="9">
        <v>3907468</v>
      </c>
      <c r="W596" s="8" t="s">
        <v>1276</v>
      </c>
      <c r="X596" s="8" t="s">
        <v>175</v>
      </c>
      <c r="Y596" s="8"/>
      <c r="Z596" s="8"/>
      <c r="AA596" s="8"/>
      <c r="AB596" s="8"/>
      <c r="AC596" s="8" t="s">
        <v>269</v>
      </c>
      <c r="AD596" s="14" t="s">
        <v>185</v>
      </c>
      <c r="AE596" s="8" t="s">
        <v>165</v>
      </c>
      <c r="AF596" s="14">
        <v>0.35</v>
      </c>
      <c r="AG596" s="8">
        <v>1350</v>
      </c>
      <c r="AH596" s="8">
        <v>0</v>
      </c>
      <c r="AI596" s="8">
        <v>62</v>
      </c>
      <c r="AJ596" s="8">
        <v>0</v>
      </c>
      <c r="AK596" s="127">
        <v>8.2050000000000001</v>
      </c>
      <c r="AL596" s="103">
        <v>13.909999999999998</v>
      </c>
      <c r="AM596" s="8">
        <v>0</v>
      </c>
      <c r="AN596" s="21">
        <v>0</v>
      </c>
      <c r="AO596" s="21">
        <v>0</v>
      </c>
      <c r="AP596" s="21">
        <v>0</v>
      </c>
      <c r="AQ596" s="21">
        <v>0</v>
      </c>
      <c r="AR596" s="21">
        <v>0</v>
      </c>
      <c r="AS596" s="8">
        <v>13.909999999999998</v>
      </c>
      <c r="AT596" s="21">
        <v>13.909999999999998</v>
      </c>
      <c r="AU596" s="21">
        <v>0</v>
      </c>
      <c r="AV596" s="21">
        <v>0</v>
      </c>
      <c r="AW596" s="21">
        <v>0</v>
      </c>
      <c r="AX596" s="21">
        <v>0</v>
      </c>
      <c r="AY596" s="8">
        <v>0</v>
      </c>
    </row>
    <row r="597" spans="1:51" ht="15" customHeight="1" x14ac:dyDescent="0.25">
      <c r="A597" s="9">
        <v>743</v>
      </c>
      <c r="B597" s="13">
        <v>45757</v>
      </c>
      <c r="C597" s="9" t="s">
        <v>169</v>
      </c>
      <c r="D597" s="9">
        <v>9518681493</v>
      </c>
      <c r="E597" s="8">
        <v>2</v>
      </c>
      <c r="F597" s="9" t="s">
        <v>1209</v>
      </c>
      <c r="G597" s="79" t="s">
        <v>1303</v>
      </c>
      <c r="H597" s="9" t="s">
        <v>57</v>
      </c>
      <c r="I597" s="9" t="s">
        <v>43</v>
      </c>
      <c r="J597" s="9" t="s">
        <v>46</v>
      </c>
      <c r="K597" s="9">
        <v>2000</v>
      </c>
      <c r="L597" s="39"/>
      <c r="M597" s="7" t="s">
        <v>1</v>
      </c>
      <c r="N597" s="8"/>
      <c r="O597" s="40"/>
      <c r="P597" s="15" t="s">
        <v>199</v>
      </c>
      <c r="Q597" s="9" t="s">
        <v>180</v>
      </c>
      <c r="R597" s="9"/>
      <c r="S597" s="9"/>
      <c r="T597" s="9">
        <v>931671</v>
      </c>
      <c r="U597" s="16" t="s">
        <v>91</v>
      </c>
      <c r="V597" s="9">
        <v>3767014</v>
      </c>
      <c r="W597" s="8" t="s">
        <v>788</v>
      </c>
      <c r="X597" s="8" t="s">
        <v>175</v>
      </c>
      <c r="Y597" s="8"/>
      <c r="Z597" s="8"/>
      <c r="AA597" s="8"/>
      <c r="AB597" s="8"/>
      <c r="AC597" s="8" t="s">
        <v>269</v>
      </c>
      <c r="AD597" s="14" t="s">
        <v>270</v>
      </c>
      <c r="AE597" s="8" t="s">
        <v>165</v>
      </c>
      <c r="AF597" s="14">
        <v>0.4</v>
      </c>
      <c r="AG597" s="8">
        <v>1350</v>
      </c>
      <c r="AH597" s="8">
        <v>0</v>
      </c>
      <c r="AI597" s="8">
        <v>93</v>
      </c>
      <c r="AJ597" s="8">
        <v>0</v>
      </c>
      <c r="AK597" s="127">
        <v>93</v>
      </c>
      <c r="AL597" s="103">
        <v>0</v>
      </c>
      <c r="AM597" s="8">
        <v>93</v>
      </c>
      <c r="AN597" s="21">
        <v>0</v>
      </c>
      <c r="AO597" s="21">
        <v>0</v>
      </c>
      <c r="AP597" s="21">
        <v>0</v>
      </c>
      <c r="AQ597" s="21">
        <v>93</v>
      </c>
      <c r="AR597" s="21">
        <v>0</v>
      </c>
      <c r="AS597" s="8">
        <v>93</v>
      </c>
      <c r="AT597" s="21">
        <v>0</v>
      </c>
      <c r="AU597" s="21">
        <v>0</v>
      </c>
      <c r="AV597" s="21">
        <v>0</v>
      </c>
      <c r="AW597" s="21">
        <v>93</v>
      </c>
      <c r="AX597" s="21">
        <v>0</v>
      </c>
      <c r="AY597" s="8">
        <v>0</v>
      </c>
    </row>
    <row r="598" spans="1:51" ht="15" customHeight="1" x14ac:dyDescent="0.25">
      <c r="A598" s="9">
        <v>743</v>
      </c>
      <c r="B598" s="13">
        <v>45757</v>
      </c>
      <c r="C598" s="9" t="s">
        <v>169</v>
      </c>
      <c r="D598" s="9">
        <v>9518681493</v>
      </c>
      <c r="E598" s="8">
        <v>3</v>
      </c>
      <c r="F598" s="9" t="s">
        <v>1210</v>
      </c>
      <c r="G598" s="79" t="s">
        <v>1303</v>
      </c>
      <c r="H598" s="9" t="s">
        <v>57</v>
      </c>
      <c r="I598" s="9" t="s">
        <v>43</v>
      </c>
      <c r="J598" s="9" t="s">
        <v>46</v>
      </c>
      <c r="K598" s="9">
        <v>2000</v>
      </c>
      <c r="L598" s="39"/>
      <c r="M598" s="7" t="s">
        <v>1</v>
      </c>
      <c r="N598" s="8"/>
      <c r="O598" s="40"/>
      <c r="P598" s="15" t="s">
        <v>199</v>
      </c>
      <c r="Q598" s="9" t="s">
        <v>180</v>
      </c>
      <c r="R598" s="9"/>
      <c r="S598" s="9"/>
      <c r="T598" s="9">
        <v>931671</v>
      </c>
      <c r="U598" s="16" t="s">
        <v>91</v>
      </c>
      <c r="V598" s="9">
        <v>3774103</v>
      </c>
      <c r="W598" s="8" t="s">
        <v>610</v>
      </c>
      <c r="X598" s="8" t="s">
        <v>175</v>
      </c>
      <c r="Y598" s="8"/>
      <c r="Z598" s="8"/>
      <c r="AA598" s="8"/>
      <c r="AB598" s="8"/>
      <c r="AC598" s="8" t="s">
        <v>269</v>
      </c>
      <c r="AD598" s="14" t="s">
        <v>185</v>
      </c>
      <c r="AE598" s="8" t="s">
        <v>165</v>
      </c>
      <c r="AF598" s="14">
        <v>0.45</v>
      </c>
      <c r="AG598" s="8">
        <v>1350</v>
      </c>
      <c r="AH598" s="8">
        <v>0</v>
      </c>
      <c r="AI598" s="8">
        <v>93</v>
      </c>
      <c r="AJ598" s="8">
        <v>0</v>
      </c>
      <c r="AK598" s="127">
        <v>93</v>
      </c>
      <c r="AL598" s="103">
        <v>0</v>
      </c>
      <c r="AM598" s="8">
        <v>93</v>
      </c>
      <c r="AN598" s="21">
        <v>0</v>
      </c>
      <c r="AO598" s="21">
        <v>0</v>
      </c>
      <c r="AP598" s="21">
        <v>0</v>
      </c>
      <c r="AQ598" s="21">
        <v>93</v>
      </c>
      <c r="AR598" s="21">
        <v>0</v>
      </c>
      <c r="AS598" s="8">
        <v>93</v>
      </c>
      <c r="AT598" s="21">
        <v>0</v>
      </c>
      <c r="AU598" s="21">
        <v>0</v>
      </c>
      <c r="AV598" s="21">
        <v>0</v>
      </c>
      <c r="AW598" s="21">
        <v>93</v>
      </c>
      <c r="AX598" s="21">
        <v>0</v>
      </c>
      <c r="AY598" s="8">
        <v>0</v>
      </c>
    </row>
    <row r="599" spans="1:51" ht="15" customHeight="1" x14ac:dyDescent="0.25">
      <c r="A599" s="9">
        <v>743</v>
      </c>
      <c r="B599" s="13">
        <v>45757</v>
      </c>
      <c r="C599" s="9" t="s">
        <v>169</v>
      </c>
      <c r="D599" s="9">
        <v>9518681493</v>
      </c>
      <c r="E599" s="8">
        <v>4</v>
      </c>
      <c r="F599" s="9" t="s">
        <v>1211</v>
      </c>
      <c r="G599" s="79" t="s">
        <v>1303</v>
      </c>
      <c r="H599" s="9" t="s">
        <v>57</v>
      </c>
      <c r="I599" s="9" t="s">
        <v>43</v>
      </c>
      <c r="J599" s="9" t="s">
        <v>46</v>
      </c>
      <c r="K599" s="9">
        <v>2000</v>
      </c>
      <c r="L599" s="39"/>
      <c r="M599" s="7" t="s">
        <v>1</v>
      </c>
      <c r="N599" s="8"/>
      <c r="O599" s="40"/>
      <c r="P599" s="15" t="s">
        <v>199</v>
      </c>
      <c r="Q599" s="9" t="s">
        <v>180</v>
      </c>
      <c r="R599" s="9"/>
      <c r="S599" s="9"/>
      <c r="T599" s="9">
        <v>931671</v>
      </c>
      <c r="U599" s="16" t="s">
        <v>91</v>
      </c>
      <c r="V599" s="9">
        <v>3708868</v>
      </c>
      <c r="W599" s="8" t="s">
        <v>603</v>
      </c>
      <c r="X599" s="8" t="s">
        <v>175</v>
      </c>
      <c r="Y599" s="8"/>
      <c r="Z599" s="8"/>
      <c r="AA599" s="8"/>
      <c r="AB599" s="8"/>
      <c r="AC599" s="8" t="s">
        <v>269</v>
      </c>
      <c r="AD599" s="14" t="s">
        <v>270</v>
      </c>
      <c r="AE599" s="8" t="s">
        <v>165</v>
      </c>
      <c r="AF599" s="14">
        <v>0.5</v>
      </c>
      <c r="AG599" s="8">
        <v>1350</v>
      </c>
      <c r="AH599" s="8">
        <v>0</v>
      </c>
      <c r="AI599" s="8">
        <v>62</v>
      </c>
      <c r="AJ599" s="8">
        <v>0</v>
      </c>
      <c r="AK599" s="127">
        <v>62</v>
      </c>
      <c r="AL599" s="103">
        <v>0</v>
      </c>
      <c r="AM599" s="8">
        <v>62</v>
      </c>
      <c r="AN599" s="21">
        <v>0</v>
      </c>
      <c r="AO599" s="21">
        <v>0</v>
      </c>
      <c r="AP599" s="21">
        <v>62</v>
      </c>
      <c r="AQ599" s="21">
        <v>0</v>
      </c>
      <c r="AR599" s="21">
        <v>0</v>
      </c>
      <c r="AS599" s="8">
        <v>62</v>
      </c>
      <c r="AT599" s="21">
        <v>0</v>
      </c>
      <c r="AU599" s="21">
        <v>0</v>
      </c>
      <c r="AV599" s="21">
        <v>0</v>
      </c>
      <c r="AW599" s="21">
        <v>62</v>
      </c>
      <c r="AX599" s="21">
        <v>0</v>
      </c>
      <c r="AY599" s="8">
        <v>0</v>
      </c>
    </row>
    <row r="600" spans="1:51" ht="15" customHeight="1" x14ac:dyDescent="0.25">
      <c r="A600" s="9">
        <v>743</v>
      </c>
      <c r="B600" s="13">
        <v>45757</v>
      </c>
      <c r="C600" s="9" t="s">
        <v>169</v>
      </c>
      <c r="D600" s="9">
        <v>9518681493</v>
      </c>
      <c r="E600" s="8">
        <v>5</v>
      </c>
      <c r="F600" s="9" t="s">
        <v>1212</v>
      </c>
      <c r="G600" s="79" t="s">
        <v>1303</v>
      </c>
      <c r="H600" s="9" t="s">
        <v>57</v>
      </c>
      <c r="I600" s="9" t="s">
        <v>43</v>
      </c>
      <c r="J600" s="9" t="s">
        <v>46</v>
      </c>
      <c r="K600" s="9">
        <v>2000</v>
      </c>
      <c r="L600" s="39"/>
      <c r="M600" s="7" t="s">
        <v>1</v>
      </c>
      <c r="N600" s="8"/>
      <c r="O600" s="40"/>
      <c r="P600" s="15" t="s">
        <v>199</v>
      </c>
      <c r="Q600" s="9" t="s">
        <v>180</v>
      </c>
      <c r="R600" s="9"/>
      <c r="S600" s="9"/>
      <c r="T600" s="9">
        <v>931671</v>
      </c>
      <c r="U600" s="16" t="s">
        <v>91</v>
      </c>
      <c r="V600" s="9">
        <v>3708867</v>
      </c>
      <c r="W600" s="8" t="s">
        <v>385</v>
      </c>
      <c r="X600" s="8" t="s">
        <v>175</v>
      </c>
      <c r="Y600" s="8"/>
      <c r="Z600" s="8"/>
      <c r="AA600" s="8"/>
      <c r="AB600" s="8"/>
      <c r="AC600" s="8" t="s">
        <v>269</v>
      </c>
      <c r="AD600" s="14" t="s">
        <v>270</v>
      </c>
      <c r="AE600" s="8" t="s">
        <v>165</v>
      </c>
      <c r="AF600" s="14">
        <v>0.3</v>
      </c>
      <c r="AG600" s="8">
        <v>900</v>
      </c>
      <c r="AH600" s="8">
        <v>0</v>
      </c>
      <c r="AI600" s="8">
        <v>63</v>
      </c>
      <c r="AJ600" s="8">
        <v>0</v>
      </c>
      <c r="AK600" s="127">
        <v>63</v>
      </c>
      <c r="AL600" s="103">
        <v>0</v>
      </c>
      <c r="AM600" s="8">
        <v>63</v>
      </c>
      <c r="AN600" s="21">
        <v>0</v>
      </c>
      <c r="AO600" s="21">
        <v>0</v>
      </c>
      <c r="AP600" s="21">
        <v>0</v>
      </c>
      <c r="AQ600" s="21">
        <v>63</v>
      </c>
      <c r="AR600" s="21">
        <v>0</v>
      </c>
      <c r="AS600" s="8">
        <v>63</v>
      </c>
      <c r="AT600" s="21">
        <v>0</v>
      </c>
      <c r="AU600" s="21">
        <v>0</v>
      </c>
      <c r="AV600" s="21">
        <v>0</v>
      </c>
      <c r="AW600" s="21">
        <v>0</v>
      </c>
      <c r="AX600" s="21">
        <v>63</v>
      </c>
      <c r="AY600" s="8">
        <v>0</v>
      </c>
    </row>
    <row r="601" spans="1:51" ht="15" customHeight="1" x14ac:dyDescent="0.25">
      <c r="A601" s="9">
        <v>743</v>
      </c>
      <c r="B601" s="13">
        <v>45757</v>
      </c>
      <c r="C601" s="9" t="s">
        <v>169</v>
      </c>
      <c r="D601" s="9">
        <v>9518681493</v>
      </c>
      <c r="E601" s="8">
        <v>6</v>
      </c>
      <c r="F601" s="9" t="s">
        <v>1213</v>
      </c>
      <c r="G601" s="79" t="s">
        <v>1303</v>
      </c>
      <c r="H601" s="9" t="s">
        <v>57</v>
      </c>
      <c r="I601" s="9" t="s">
        <v>43</v>
      </c>
      <c r="J601" s="9" t="s">
        <v>46</v>
      </c>
      <c r="K601" s="9">
        <v>2000</v>
      </c>
      <c r="L601" s="39"/>
      <c r="M601" s="7" t="s">
        <v>1</v>
      </c>
      <c r="N601" s="8"/>
      <c r="O601" s="40"/>
      <c r="P601" s="15" t="s">
        <v>199</v>
      </c>
      <c r="Q601" s="9" t="s">
        <v>180</v>
      </c>
      <c r="R601" s="9"/>
      <c r="S601" s="9"/>
      <c r="T601" s="9">
        <v>931671</v>
      </c>
      <c r="U601" s="16" t="s">
        <v>91</v>
      </c>
      <c r="V601" s="9">
        <v>3768542</v>
      </c>
      <c r="W601" s="8" t="s">
        <v>386</v>
      </c>
      <c r="X601" s="8" t="s">
        <v>175</v>
      </c>
      <c r="Y601" s="8"/>
      <c r="Z601" s="8"/>
      <c r="AA601" s="8"/>
      <c r="AB601" s="8"/>
      <c r="AC601" s="8" t="s">
        <v>269</v>
      </c>
      <c r="AD601" s="14" t="s">
        <v>270</v>
      </c>
      <c r="AE601" s="8" t="s">
        <v>165</v>
      </c>
      <c r="AF601" s="14">
        <v>0.35</v>
      </c>
      <c r="AG601" s="8">
        <v>900</v>
      </c>
      <c r="AH601" s="8">
        <v>0</v>
      </c>
      <c r="AI601" s="8">
        <v>105</v>
      </c>
      <c r="AJ601" s="8">
        <v>0</v>
      </c>
      <c r="AK601" s="127">
        <v>105</v>
      </c>
      <c r="AL601" s="103">
        <v>0</v>
      </c>
      <c r="AM601" s="8">
        <v>105</v>
      </c>
      <c r="AN601" s="21">
        <v>0</v>
      </c>
      <c r="AO601" s="21">
        <v>0</v>
      </c>
      <c r="AP601" s="21">
        <v>0</v>
      </c>
      <c r="AQ601" s="21">
        <v>105</v>
      </c>
      <c r="AR601" s="21">
        <v>0</v>
      </c>
      <c r="AS601" s="8">
        <v>105</v>
      </c>
      <c r="AT601" s="21">
        <v>0</v>
      </c>
      <c r="AU601" s="21">
        <v>0</v>
      </c>
      <c r="AV601" s="21">
        <v>0</v>
      </c>
      <c r="AW601" s="21">
        <v>0</v>
      </c>
      <c r="AX601" s="21">
        <v>105</v>
      </c>
      <c r="AY601" s="8">
        <v>0</v>
      </c>
    </row>
    <row r="602" spans="1:51" ht="15" customHeight="1" x14ac:dyDescent="0.25">
      <c r="A602" s="9">
        <v>743</v>
      </c>
      <c r="B602" s="13">
        <v>45757</v>
      </c>
      <c r="C602" s="9" t="s">
        <v>169</v>
      </c>
      <c r="D602" s="9">
        <v>9518681493</v>
      </c>
      <c r="E602" s="8">
        <v>7</v>
      </c>
      <c r="F602" s="9" t="s">
        <v>1214</v>
      </c>
      <c r="G602" s="79" t="s">
        <v>1303</v>
      </c>
      <c r="H602" s="9" t="s">
        <v>57</v>
      </c>
      <c r="I602" s="9" t="s">
        <v>43</v>
      </c>
      <c r="J602" s="9" t="s">
        <v>46</v>
      </c>
      <c r="K602" s="9">
        <v>2000</v>
      </c>
      <c r="L602" s="39"/>
      <c r="M602" s="7" t="s">
        <v>1</v>
      </c>
      <c r="N602" s="8"/>
      <c r="O602" s="40"/>
      <c r="P602" s="15" t="s">
        <v>199</v>
      </c>
      <c r="Q602" s="9" t="s">
        <v>180</v>
      </c>
      <c r="R602" s="9"/>
      <c r="S602" s="9"/>
      <c r="T602" s="9">
        <v>931671</v>
      </c>
      <c r="U602" s="16" t="s">
        <v>91</v>
      </c>
      <c r="V602" s="9">
        <v>3777535</v>
      </c>
      <c r="W602" s="8" t="s">
        <v>268</v>
      </c>
      <c r="X602" s="8" t="s">
        <v>175</v>
      </c>
      <c r="Y602" s="8"/>
      <c r="Z602" s="8"/>
      <c r="AA602" s="8"/>
      <c r="AB602" s="8"/>
      <c r="AC602" s="8" t="s">
        <v>269</v>
      </c>
      <c r="AD602" s="14" t="s">
        <v>270</v>
      </c>
      <c r="AE602" s="8" t="s">
        <v>165</v>
      </c>
      <c r="AF602" s="14">
        <v>0.4</v>
      </c>
      <c r="AG602" s="8">
        <v>900</v>
      </c>
      <c r="AH602" s="8">
        <v>0</v>
      </c>
      <c r="AI602" s="8">
        <v>105</v>
      </c>
      <c r="AJ602" s="8">
        <v>0</v>
      </c>
      <c r="AK602" s="127">
        <v>105</v>
      </c>
      <c r="AL602" s="103">
        <v>0</v>
      </c>
      <c r="AM602" s="8">
        <v>105</v>
      </c>
      <c r="AN602" s="21">
        <v>0</v>
      </c>
      <c r="AO602" s="21">
        <v>0</v>
      </c>
      <c r="AP602" s="21">
        <v>0</v>
      </c>
      <c r="AQ602" s="21">
        <v>105</v>
      </c>
      <c r="AR602" s="21">
        <v>0</v>
      </c>
      <c r="AS602" s="8">
        <v>105</v>
      </c>
      <c r="AT602" s="21">
        <v>0</v>
      </c>
      <c r="AU602" s="21">
        <v>0</v>
      </c>
      <c r="AV602" s="21">
        <v>0</v>
      </c>
      <c r="AW602" s="21">
        <v>0</v>
      </c>
      <c r="AX602" s="21">
        <v>105</v>
      </c>
      <c r="AY602" s="8">
        <v>0</v>
      </c>
    </row>
    <row r="603" spans="1:51" ht="15" customHeight="1" x14ac:dyDescent="0.25">
      <c r="A603" s="9">
        <v>742</v>
      </c>
      <c r="B603" s="13">
        <v>45762</v>
      </c>
      <c r="C603" s="9" t="s">
        <v>169</v>
      </c>
      <c r="D603" s="9">
        <v>9518694924</v>
      </c>
      <c r="E603" s="8">
        <v>9</v>
      </c>
      <c r="F603" s="9" t="s">
        <v>1215</v>
      </c>
      <c r="G603" s="9" t="s">
        <v>1303</v>
      </c>
      <c r="H603" s="9" t="s">
        <v>57</v>
      </c>
      <c r="I603" s="9" t="s">
        <v>25</v>
      </c>
      <c r="J603" s="9" t="s">
        <v>31</v>
      </c>
      <c r="K603" s="9">
        <v>2000</v>
      </c>
      <c r="L603" s="39"/>
      <c r="M603" s="7" t="s">
        <v>1</v>
      </c>
      <c r="N603" s="8"/>
      <c r="O603" s="40"/>
      <c r="P603" s="15" t="s">
        <v>199</v>
      </c>
      <c r="Q603" s="9" t="s">
        <v>180</v>
      </c>
      <c r="R603" s="9"/>
      <c r="S603" s="9"/>
      <c r="T603" s="9">
        <v>103227</v>
      </c>
      <c r="U603" s="16" t="s">
        <v>91</v>
      </c>
      <c r="V603" s="9">
        <v>3240778</v>
      </c>
      <c r="W603" s="8" t="s">
        <v>253</v>
      </c>
      <c r="X603" s="8" t="s">
        <v>175</v>
      </c>
      <c r="Y603" s="8"/>
      <c r="Z603" s="8"/>
      <c r="AA603" s="8"/>
      <c r="AB603" s="8"/>
      <c r="AC603" s="8" t="s">
        <v>210</v>
      </c>
      <c r="AD603" s="14" t="s">
        <v>218</v>
      </c>
      <c r="AE603" s="8" t="s">
        <v>250</v>
      </c>
      <c r="AF603" s="14">
        <v>0.6</v>
      </c>
      <c r="AG603" s="8">
        <v>1000</v>
      </c>
      <c r="AH603" s="8">
        <v>2500</v>
      </c>
      <c r="AI603" s="8">
        <v>24</v>
      </c>
      <c r="AJ603" s="8">
        <v>0</v>
      </c>
      <c r="AK603" s="127">
        <v>24</v>
      </c>
      <c r="AL603" s="103">
        <v>0</v>
      </c>
      <c r="AM603" s="8">
        <v>24</v>
      </c>
      <c r="AN603" s="21">
        <v>0</v>
      </c>
      <c r="AO603" s="21">
        <v>24</v>
      </c>
      <c r="AP603" s="21">
        <v>0</v>
      </c>
      <c r="AQ603" s="21">
        <v>0</v>
      </c>
      <c r="AR603" s="21">
        <v>0</v>
      </c>
      <c r="AS603" s="8">
        <v>24</v>
      </c>
      <c r="AT603" s="21">
        <v>0</v>
      </c>
      <c r="AU603" s="21">
        <v>0</v>
      </c>
      <c r="AV603" s="21">
        <v>24</v>
      </c>
      <c r="AW603" s="21">
        <v>0</v>
      </c>
      <c r="AX603" s="21">
        <v>0</v>
      </c>
      <c r="AY603" s="8">
        <v>0</v>
      </c>
    </row>
    <row r="604" spans="1:51" ht="15" customHeight="1" x14ac:dyDescent="0.25">
      <c r="A604" s="9">
        <v>743</v>
      </c>
      <c r="B604" s="13">
        <v>45741</v>
      </c>
      <c r="C604" s="9" t="s">
        <v>169</v>
      </c>
      <c r="D604" s="9">
        <v>9518631278</v>
      </c>
      <c r="E604" s="8">
        <v>6</v>
      </c>
      <c r="F604" s="9" t="s">
        <v>1216</v>
      </c>
      <c r="G604" s="79" t="s">
        <v>1303</v>
      </c>
      <c r="H604" s="9" t="s">
        <v>57</v>
      </c>
      <c r="I604" s="9" t="s">
        <v>43</v>
      </c>
      <c r="J604" s="9" t="s">
        <v>45</v>
      </c>
      <c r="K604" s="9">
        <v>2000</v>
      </c>
      <c r="L604" s="39"/>
      <c r="M604" s="7" t="s">
        <v>1</v>
      </c>
      <c r="N604" s="8"/>
      <c r="O604" s="40"/>
      <c r="P604" s="15" t="s">
        <v>207</v>
      </c>
      <c r="Q604" s="9" t="s">
        <v>180</v>
      </c>
      <c r="R604" s="9"/>
      <c r="S604" s="9"/>
      <c r="T604" s="9">
        <v>100922</v>
      </c>
      <c r="U604" s="16" t="s">
        <v>115</v>
      </c>
      <c r="V604" s="9">
        <v>3215894</v>
      </c>
      <c r="W604" s="8" t="s">
        <v>307</v>
      </c>
      <c r="X604" s="8" t="s">
        <v>175</v>
      </c>
      <c r="Y604" s="8"/>
      <c r="Z604" s="8"/>
      <c r="AA604" s="8"/>
      <c r="AB604" s="8"/>
      <c r="AC604" s="8" t="s">
        <v>238</v>
      </c>
      <c r="AD604" s="14" t="s">
        <v>185</v>
      </c>
      <c r="AE604" s="8" t="s">
        <v>309</v>
      </c>
      <c r="AF604" s="14">
        <v>0.6</v>
      </c>
      <c r="AG604" s="8">
        <v>900</v>
      </c>
      <c r="AH604" s="8">
        <v>0</v>
      </c>
      <c r="AI604" s="8">
        <v>105</v>
      </c>
      <c r="AJ604" s="8">
        <v>0</v>
      </c>
      <c r="AK604" s="127">
        <v>105</v>
      </c>
      <c r="AL604" s="103">
        <v>0</v>
      </c>
      <c r="AM604" s="8">
        <v>105</v>
      </c>
      <c r="AN604" s="21">
        <v>105</v>
      </c>
      <c r="AO604" s="21">
        <v>0</v>
      </c>
      <c r="AP604" s="21">
        <v>0</v>
      </c>
      <c r="AQ604" s="21">
        <v>0</v>
      </c>
      <c r="AR604" s="21">
        <v>0</v>
      </c>
      <c r="AS604" s="8">
        <v>105</v>
      </c>
      <c r="AT604" s="21">
        <v>0</v>
      </c>
      <c r="AU604" s="21">
        <v>105</v>
      </c>
      <c r="AV604" s="21">
        <v>0</v>
      </c>
      <c r="AW604" s="21">
        <v>0</v>
      </c>
      <c r="AX604" s="21">
        <v>0</v>
      </c>
      <c r="AY604" s="8">
        <v>0</v>
      </c>
    </row>
    <row r="605" spans="1:51" ht="15" customHeight="1" x14ac:dyDescent="0.25">
      <c r="A605" s="9">
        <v>742</v>
      </c>
      <c r="B605" s="13">
        <v>45762</v>
      </c>
      <c r="C605" s="9" t="s">
        <v>169</v>
      </c>
      <c r="D605" s="9">
        <v>9518694569</v>
      </c>
      <c r="E605" s="8">
        <v>1</v>
      </c>
      <c r="F605" s="9" t="s">
        <v>1217</v>
      </c>
      <c r="G605" s="79" t="s">
        <v>1303</v>
      </c>
      <c r="H605" s="9" t="s">
        <v>57</v>
      </c>
      <c r="I605" s="9" t="s">
        <v>25</v>
      </c>
      <c r="J605" s="9" t="s">
        <v>28</v>
      </c>
      <c r="K605" s="9">
        <v>1000</v>
      </c>
      <c r="L605" s="39"/>
      <c r="M605" s="7" t="s">
        <v>1</v>
      </c>
      <c r="N605" s="8"/>
      <c r="O605" s="40"/>
      <c r="P605" s="15" t="s">
        <v>213</v>
      </c>
      <c r="Q605" s="9" t="s">
        <v>214</v>
      </c>
      <c r="R605" s="9"/>
      <c r="S605" s="9"/>
      <c r="T605" s="9">
        <v>948853</v>
      </c>
      <c r="U605" s="16" t="s">
        <v>882</v>
      </c>
      <c r="V605" s="9">
        <v>3945230</v>
      </c>
      <c r="W605" s="8" t="s">
        <v>617</v>
      </c>
      <c r="X605" s="8" t="s">
        <v>175</v>
      </c>
      <c r="Y605" s="8"/>
      <c r="Z605" s="8"/>
      <c r="AA605" s="8"/>
      <c r="AB605" s="8"/>
      <c r="AC605" s="8" t="s">
        <v>210</v>
      </c>
      <c r="AD605" s="14" t="s">
        <v>191</v>
      </c>
      <c r="AE605" s="8" t="s">
        <v>384</v>
      </c>
      <c r="AF605" s="14">
        <v>0.8</v>
      </c>
      <c r="AG605" s="8">
        <v>920</v>
      </c>
      <c r="AH605" s="8">
        <v>0</v>
      </c>
      <c r="AI605" s="8">
        <v>270</v>
      </c>
      <c r="AJ605" s="8">
        <v>0</v>
      </c>
      <c r="AK605" s="127">
        <v>270</v>
      </c>
      <c r="AL605" s="103">
        <v>0</v>
      </c>
      <c r="AM605" s="8">
        <v>270</v>
      </c>
      <c r="AN605" s="21">
        <v>0</v>
      </c>
      <c r="AO605" s="21">
        <v>0</v>
      </c>
      <c r="AP605" s="21">
        <v>0</v>
      </c>
      <c r="AQ605" s="21">
        <v>0</v>
      </c>
      <c r="AR605" s="21">
        <v>270</v>
      </c>
      <c r="AS605" s="8">
        <v>270</v>
      </c>
      <c r="AT605" s="21">
        <v>0</v>
      </c>
      <c r="AU605" s="21">
        <v>0</v>
      </c>
      <c r="AV605" s="21">
        <v>0</v>
      </c>
      <c r="AW605" s="21">
        <v>0</v>
      </c>
      <c r="AX605" s="21">
        <v>270</v>
      </c>
      <c r="AY605" s="8">
        <v>0</v>
      </c>
    </row>
    <row r="606" spans="1:51" ht="15" customHeight="1" x14ac:dyDescent="0.25">
      <c r="A606" s="9">
        <v>742</v>
      </c>
      <c r="B606" s="13">
        <v>45756</v>
      </c>
      <c r="C606" s="9" t="s">
        <v>169</v>
      </c>
      <c r="D606" s="9">
        <v>9518680501</v>
      </c>
      <c r="E606" s="8">
        <v>2</v>
      </c>
      <c r="F606" s="9" t="s">
        <v>1218</v>
      </c>
      <c r="G606" s="79" t="s">
        <v>1303</v>
      </c>
      <c r="H606" s="9" t="s">
        <v>57</v>
      </c>
      <c r="I606" s="9" t="s">
        <v>50</v>
      </c>
      <c r="J606" s="9" t="s">
        <v>26</v>
      </c>
      <c r="K606" s="9">
        <v>2000</v>
      </c>
      <c r="L606" s="39"/>
      <c r="M606" s="7" t="s">
        <v>1</v>
      </c>
      <c r="N606" s="8"/>
      <c r="O606" s="40"/>
      <c r="P606" s="15" t="s">
        <v>239</v>
      </c>
      <c r="Q606" s="9" t="s">
        <v>214</v>
      </c>
      <c r="R606" s="9"/>
      <c r="S606" s="9"/>
      <c r="T606" s="9">
        <v>932179</v>
      </c>
      <c r="U606" s="16" t="s">
        <v>128</v>
      </c>
      <c r="V606" s="9">
        <v>1250221</v>
      </c>
      <c r="W606" s="8" t="s">
        <v>313</v>
      </c>
      <c r="X606" s="8" t="s">
        <v>175</v>
      </c>
      <c r="Y606" s="8"/>
      <c r="Z606" s="8"/>
      <c r="AA606" s="8"/>
      <c r="AB606" s="8"/>
      <c r="AC606" s="8">
        <v>768</v>
      </c>
      <c r="AD606" s="14" t="s">
        <v>242</v>
      </c>
      <c r="AE606" s="8" t="s">
        <v>243</v>
      </c>
      <c r="AF606" s="14">
        <v>0</v>
      </c>
      <c r="AG606" s="8">
        <v>0</v>
      </c>
      <c r="AH606" s="8">
        <v>0</v>
      </c>
      <c r="AI606" s="8">
        <v>100</v>
      </c>
      <c r="AJ606" s="8">
        <v>0</v>
      </c>
      <c r="AK606" s="127">
        <v>100</v>
      </c>
      <c r="AL606" s="103">
        <v>0</v>
      </c>
      <c r="AM606" s="8">
        <v>100</v>
      </c>
      <c r="AN606" s="21">
        <v>0</v>
      </c>
      <c r="AO606" s="21">
        <v>0</v>
      </c>
      <c r="AP606" s="21">
        <v>0</v>
      </c>
      <c r="AQ606" s="21">
        <v>0</v>
      </c>
      <c r="AR606" s="21">
        <v>100</v>
      </c>
      <c r="AS606" s="8">
        <v>100</v>
      </c>
      <c r="AT606" s="21">
        <v>0</v>
      </c>
      <c r="AU606" s="21">
        <v>0</v>
      </c>
      <c r="AV606" s="21">
        <v>0</v>
      </c>
      <c r="AW606" s="21">
        <v>0</v>
      </c>
      <c r="AX606" s="21">
        <v>100</v>
      </c>
      <c r="AY606" s="8">
        <v>0</v>
      </c>
    </row>
    <row r="607" spans="1:51" ht="15" customHeight="1" x14ac:dyDescent="0.25">
      <c r="A607" s="9">
        <v>742</v>
      </c>
      <c r="B607" s="13">
        <v>45756</v>
      </c>
      <c r="C607" s="9" t="s">
        <v>169</v>
      </c>
      <c r="D607" s="9">
        <v>9518680501</v>
      </c>
      <c r="E607" s="8">
        <v>3</v>
      </c>
      <c r="F607" s="9" t="s">
        <v>1219</v>
      </c>
      <c r="G607" s="79" t="s">
        <v>1303</v>
      </c>
      <c r="H607" s="9" t="s">
        <v>57</v>
      </c>
      <c r="I607" s="9" t="s">
        <v>50</v>
      </c>
      <c r="J607" s="9" t="s">
        <v>26</v>
      </c>
      <c r="K607" s="9">
        <v>2000</v>
      </c>
      <c r="L607" s="39"/>
      <c r="M607" s="7" t="s">
        <v>1</v>
      </c>
      <c r="N607" s="8"/>
      <c r="O607" s="40"/>
      <c r="P607" s="15" t="s">
        <v>239</v>
      </c>
      <c r="Q607" s="9" t="s">
        <v>214</v>
      </c>
      <c r="R607" s="9"/>
      <c r="S607" s="9"/>
      <c r="T607" s="9">
        <v>932179</v>
      </c>
      <c r="U607" s="16" t="s">
        <v>128</v>
      </c>
      <c r="V607" s="9">
        <v>1252834</v>
      </c>
      <c r="W607" s="8" t="s">
        <v>312</v>
      </c>
      <c r="X607" s="8" t="s">
        <v>175</v>
      </c>
      <c r="Y607" s="8"/>
      <c r="Z607" s="8"/>
      <c r="AA607" s="8"/>
      <c r="AB607" s="8"/>
      <c r="AC607" s="8">
        <v>768</v>
      </c>
      <c r="AD607" s="14" t="s">
        <v>242</v>
      </c>
      <c r="AE607" s="8" t="s">
        <v>243</v>
      </c>
      <c r="AF607" s="14">
        <v>3</v>
      </c>
      <c r="AG607" s="8">
        <v>1250</v>
      </c>
      <c r="AH607" s="8">
        <v>0</v>
      </c>
      <c r="AI607" s="8">
        <v>75</v>
      </c>
      <c r="AJ607" s="8">
        <v>0</v>
      </c>
      <c r="AK607" s="127">
        <v>75</v>
      </c>
      <c r="AL607" s="103">
        <v>0</v>
      </c>
      <c r="AM607" s="8">
        <v>75</v>
      </c>
      <c r="AN607" s="21">
        <v>0</v>
      </c>
      <c r="AO607" s="21">
        <v>75</v>
      </c>
      <c r="AP607" s="21">
        <v>0</v>
      </c>
      <c r="AQ607" s="21">
        <v>0</v>
      </c>
      <c r="AR607" s="21">
        <v>0</v>
      </c>
      <c r="AS607" s="8">
        <v>75</v>
      </c>
      <c r="AT607" s="21">
        <v>0</v>
      </c>
      <c r="AU607" s="21">
        <v>0</v>
      </c>
      <c r="AV607" s="21">
        <v>75</v>
      </c>
      <c r="AW607" s="21">
        <v>0</v>
      </c>
      <c r="AX607" s="21">
        <v>0</v>
      </c>
      <c r="AY607" s="8">
        <v>0</v>
      </c>
    </row>
    <row r="608" spans="1:51" ht="15" customHeight="1" x14ac:dyDescent="0.25">
      <c r="A608" s="9">
        <v>742</v>
      </c>
      <c r="B608" s="13">
        <v>45756</v>
      </c>
      <c r="C608" s="9" t="s">
        <v>169</v>
      </c>
      <c r="D608" s="9">
        <v>9518680501</v>
      </c>
      <c r="E608" s="8">
        <v>4</v>
      </c>
      <c r="F608" s="9" t="s">
        <v>1220</v>
      </c>
      <c r="G608" s="79" t="s">
        <v>1303</v>
      </c>
      <c r="H608" s="9" t="s">
        <v>57</v>
      </c>
      <c r="I608" s="9" t="s">
        <v>50</v>
      </c>
      <c r="J608" s="9" t="s">
        <v>26</v>
      </c>
      <c r="K608" s="9">
        <v>2000</v>
      </c>
      <c r="L608" s="39"/>
      <c r="M608" s="7" t="s">
        <v>1</v>
      </c>
      <c r="N608" s="8"/>
      <c r="O608" s="40"/>
      <c r="P608" s="15" t="s">
        <v>239</v>
      </c>
      <c r="Q608" s="9" t="s">
        <v>214</v>
      </c>
      <c r="R608" s="9"/>
      <c r="S608" s="9"/>
      <c r="T608" s="9">
        <v>932179</v>
      </c>
      <c r="U608" s="16" t="s">
        <v>128</v>
      </c>
      <c r="V608" s="9">
        <v>1210086</v>
      </c>
      <c r="W608" s="8" t="s">
        <v>592</v>
      </c>
      <c r="X608" s="8" t="s">
        <v>175</v>
      </c>
      <c r="Y608" s="8"/>
      <c r="Z608" s="8"/>
      <c r="AA608" s="8"/>
      <c r="AB608" s="8"/>
      <c r="AC608" s="8">
        <v>768</v>
      </c>
      <c r="AD608" s="14" t="s">
        <v>242</v>
      </c>
      <c r="AE608" s="8" t="s">
        <v>243</v>
      </c>
      <c r="AF608" s="14">
        <v>4</v>
      </c>
      <c r="AG608" s="8">
        <v>1250</v>
      </c>
      <c r="AH608" s="8">
        <v>0</v>
      </c>
      <c r="AI608" s="8">
        <v>75</v>
      </c>
      <c r="AJ608" s="8">
        <v>0</v>
      </c>
      <c r="AK608" s="127">
        <v>75</v>
      </c>
      <c r="AL608" s="103">
        <v>0</v>
      </c>
      <c r="AM608" s="8">
        <v>75</v>
      </c>
      <c r="AN608" s="21">
        <v>0</v>
      </c>
      <c r="AO608" s="21">
        <v>75</v>
      </c>
      <c r="AP608" s="21">
        <v>0</v>
      </c>
      <c r="AQ608" s="21">
        <v>0</v>
      </c>
      <c r="AR608" s="21">
        <v>0</v>
      </c>
      <c r="AS608" s="8">
        <v>75</v>
      </c>
      <c r="AT608" s="21">
        <v>0</v>
      </c>
      <c r="AU608" s="21">
        <v>0</v>
      </c>
      <c r="AV608" s="21">
        <v>75</v>
      </c>
      <c r="AW608" s="21">
        <v>0</v>
      </c>
      <c r="AX608" s="21">
        <v>0</v>
      </c>
      <c r="AY608" s="8">
        <v>0</v>
      </c>
    </row>
    <row r="609" spans="1:51" ht="15" customHeight="1" x14ac:dyDescent="0.25">
      <c r="A609" s="9">
        <v>742</v>
      </c>
      <c r="B609" s="13">
        <v>45756</v>
      </c>
      <c r="C609" s="9" t="s">
        <v>169</v>
      </c>
      <c r="D609" s="9">
        <v>9518680501</v>
      </c>
      <c r="E609" s="8">
        <v>5</v>
      </c>
      <c r="F609" s="9" t="s">
        <v>1221</v>
      </c>
      <c r="G609" s="79" t="s">
        <v>1303</v>
      </c>
      <c r="H609" s="9" t="s">
        <v>57</v>
      </c>
      <c r="I609" s="9" t="s">
        <v>50</v>
      </c>
      <c r="J609" s="9" t="s">
        <v>26</v>
      </c>
      <c r="K609" s="9">
        <v>2000</v>
      </c>
      <c r="L609" s="39"/>
      <c r="M609" s="7" t="s">
        <v>1</v>
      </c>
      <c r="N609" s="8"/>
      <c r="O609" s="40"/>
      <c r="P609" s="15" t="s">
        <v>239</v>
      </c>
      <c r="Q609" s="9" t="s">
        <v>214</v>
      </c>
      <c r="R609" s="9"/>
      <c r="S609" s="9"/>
      <c r="T609" s="9">
        <v>932179</v>
      </c>
      <c r="U609" s="16" t="s">
        <v>128</v>
      </c>
      <c r="V609" s="9">
        <v>1210097</v>
      </c>
      <c r="W609" s="8" t="s">
        <v>593</v>
      </c>
      <c r="X609" s="8" t="s">
        <v>175</v>
      </c>
      <c r="Y609" s="8"/>
      <c r="Z609" s="8"/>
      <c r="AA609" s="8"/>
      <c r="AB609" s="8"/>
      <c r="AC609" s="8">
        <v>768</v>
      </c>
      <c r="AD609" s="14" t="s">
        <v>242</v>
      </c>
      <c r="AE609" s="8" t="s">
        <v>243</v>
      </c>
      <c r="AF609" s="14">
        <v>5</v>
      </c>
      <c r="AG609" s="8">
        <v>1250</v>
      </c>
      <c r="AH609" s="8">
        <v>0</v>
      </c>
      <c r="AI609" s="8">
        <v>75</v>
      </c>
      <c r="AJ609" s="8">
        <v>0</v>
      </c>
      <c r="AK609" s="127">
        <v>75</v>
      </c>
      <c r="AL609" s="103">
        <v>0</v>
      </c>
      <c r="AM609" s="8">
        <v>87</v>
      </c>
      <c r="AN609" s="21">
        <v>0</v>
      </c>
      <c r="AO609" s="21">
        <v>87</v>
      </c>
      <c r="AP609" s="21">
        <v>0</v>
      </c>
      <c r="AQ609" s="21">
        <v>0</v>
      </c>
      <c r="AR609" s="21">
        <v>0</v>
      </c>
      <c r="AS609" s="8">
        <v>87</v>
      </c>
      <c r="AT609" s="21">
        <v>0</v>
      </c>
      <c r="AU609" s="21">
        <v>0</v>
      </c>
      <c r="AV609" s="21">
        <v>87</v>
      </c>
      <c r="AW609" s="21">
        <v>0</v>
      </c>
      <c r="AX609" s="21">
        <v>0</v>
      </c>
      <c r="AY609" s="8">
        <v>0</v>
      </c>
    </row>
    <row r="610" spans="1:51" ht="15" customHeight="1" x14ac:dyDescent="0.25">
      <c r="A610" s="9">
        <v>742</v>
      </c>
      <c r="B610" s="13">
        <v>45756</v>
      </c>
      <c r="C610" s="9" t="s">
        <v>169</v>
      </c>
      <c r="D610" s="9">
        <v>9518680501</v>
      </c>
      <c r="E610" s="8">
        <v>6</v>
      </c>
      <c r="F610" s="9" t="s">
        <v>1222</v>
      </c>
      <c r="G610" s="79" t="s">
        <v>1303</v>
      </c>
      <c r="H610" s="9" t="s">
        <v>57</v>
      </c>
      <c r="I610" s="9" t="s">
        <v>50</v>
      </c>
      <c r="J610" s="9" t="s">
        <v>26</v>
      </c>
      <c r="K610" s="9">
        <v>2000</v>
      </c>
      <c r="L610" s="39"/>
      <c r="M610" s="7" t="s">
        <v>1</v>
      </c>
      <c r="N610" s="8"/>
      <c r="O610" s="40"/>
      <c r="P610" s="15" t="s">
        <v>239</v>
      </c>
      <c r="Q610" s="9" t="s">
        <v>214</v>
      </c>
      <c r="R610" s="9"/>
      <c r="S610" s="9"/>
      <c r="T610" s="9">
        <v>932179</v>
      </c>
      <c r="U610" s="16" t="s">
        <v>128</v>
      </c>
      <c r="V610" s="9">
        <v>1210083</v>
      </c>
      <c r="W610" s="8" t="s">
        <v>305</v>
      </c>
      <c r="X610" s="8" t="s">
        <v>175</v>
      </c>
      <c r="Y610" s="8"/>
      <c r="Z610" s="8"/>
      <c r="AA610" s="8"/>
      <c r="AB610" s="8"/>
      <c r="AC610" s="8">
        <v>768</v>
      </c>
      <c r="AD610" s="14" t="s">
        <v>242</v>
      </c>
      <c r="AE610" s="8" t="s">
        <v>243</v>
      </c>
      <c r="AF610" s="14">
        <v>2</v>
      </c>
      <c r="AG610" s="8">
        <v>1250</v>
      </c>
      <c r="AH610" s="8">
        <v>0</v>
      </c>
      <c r="AI610" s="8">
        <v>75</v>
      </c>
      <c r="AJ610" s="8">
        <v>0</v>
      </c>
      <c r="AK610" s="127">
        <v>75</v>
      </c>
      <c r="AL610" s="103">
        <v>0</v>
      </c>
      <c r="AM610" s="8">
        <v>75</v>
      </c>
      <c r="AN610" s="21">
        <v>0</v>
      </c>
      <c r="AO610" s="21">
        <v>0</v>
      </c>
      <c r="AP610" s="21">
        <v>0</v>
      </c>
      <c r="AQ610" s="21">
        <v>75</v>
      </c>
      <c r="AR610" s="21">
        <v>0</v>
      </c>
      <c r="AS610" s="8">
        <v>75</v>
      </c>
      <c r="AT610" s="21">
        <v>0</v>
      </c>
      <c r="AU610" s="21">
        <v>0</v>
      </c>
      <c r="AV610" s="21">
        <v>0</v>
      </c>
      <c r="AW610" s="21">
        <v>0</v>
      </c>
      <c r="AX610" s="21">
        <v>75</v>
      </c>
      <c r="AY610" s="8">
        <v>0</v>
      </c>
    </row>
    <row r="611" spans="1:51" ht="15" customHeight="1" x14ac:dyDescent="0.25">
      <c r="A611" s="9">
        <v>742</v>
      </c>
      <c r="B611" s="13">
        <v>45757</v>
      </c>
      <c r="C611" s="9" t="s">
        <v>169</v>
      </c>
      <c r="D611" s="9">
        <v>9518681889</v>
      </c>
      <c r="E611" s="8">
        <v>2</v>
      </c>
      <c r="F611" s="9" t="s">
        <v>1223</v>
      </c>
      <c r="G611" s="9" t="s">
        <v>1687</v>
      </c>
      <c r="H611" s="9" t="s">
        <v>57</v>
      </c>
      <c r="I611" s="9" t="s">
        <v>25</v>
      </c>
      <c r="J611" s="9" t="s">
        <v>30</v>
      </c>
      <c r="K611" s="9">
        <v>2000</v>
      </c>
      <c r="L611" s="39"/>
      <c r="M611" s="7" t="s">
        <v>1</v>
      </c>
      <c r="N611" s="8"/>
      <c r="O611" s="40"/>
      <c r="P611" s="15" t="s">
        <v>239</v>
      </c>
      <c r="Q611" s="9" t="s">
        <v>214</v>
      </c>
      <c r="R611" s="9"/>
      <c r="S611" s="9"/>
      <c r="T611" s="9">
        <v>932244</v>
      </c>
      <c r="U611" s="16" t="s">
        <v>70</v>
      </c>
      <c r="V611" s="9">
        <v>3238263</v>
      </c>
      <c r="W611" s="8" t="s">
        <v>1277</v>
      </c>
      <c r="X611" s="8" t="s">
        <v>175</v>
      </c>
      <c r="Y611" s="8"/>
      <c r="Z611" s="8"/>
      <c r="AA611" s="8"/>
      <c r="AB611" s="8"/>
      <c r="AC611" s="8" t="s">
        <v>210</v>
      </c>
      <c r="AD611" s="14" t="s">
        <v>191</v>
      </c>
      <c r="AE611" s="8" t="s">
        <v>192</v>
      </c>
      <c r="AF611" s="14">
        <v>0.4</v>
      </c>
      <c r="AG611" s="8">
        <v>1250</v>
      </c>
      <c r="AH611" s="8">
        <v>2500</v>
      </c>
      <c r="AI611" s="8">
        <v>51</v>
      </c>
      <c r="AJ611" s="8">
        <v>0</v>
      </c>
      <c r="AK611" s="127">
        <v>11.335000000000001</v>
      </c>
      <c r="AL611" s="103">
        <v>2.0550000000000002</v>
      </c>
      <c r="AM611" s="8">
        <v>0</v>
      </c>
      <c r="AN611" s="21">
        <v>0</v>
      </c>
      <c r="AO611" s="21">
        <v>0</v>
      </c>
      <c r="AP611" s="21">
        <v>0</v>
      </c>
      <c r="AQ611" s="21">
        <v>0</v>
      </c>
      <c r="AR611" s="21">
        <v>0</v>
      </c>
      <c r="AS611" s="8">
        <v>2.0550000000000002</v>
      </c>
      <c r="AT611" s="21">
        <v>2.0550000000000002</v>
      </c>
      <c r="AU611" s="21">
        <v>0</v>
      </c>
      <c r="AV611" s="21">
        <v>0</v>
      </c>
      <c r="AW611" s="21">
        <v>0</v>
      </c>
      <c r="AX611" s="21">
        <v>0</v>
      </c>
      <c r="AY611" s="8">
        <v>0</v>
      </c>
    </row>
    <row r="612" spans="1:51" ht="15" customHeight="1" x14ac:dyDescent="0.25">
      <c r="A612" s="9">
        <v>742</v>
      </c>
      <c r="B612" s="13">
        <v>45764</v>
      </c>
      <c r="C612" s="9" t="s">
        <v>169</v>
      </c>
      <c r="D612" s="9">
        <v>9518698491</v>
      </c>
      <c r="E612" s="8">
        <v>1</v>
      </c>
      <c r="F612" s="9" t="s">
        <v>1224</v>
      </c>
      <c r="G612" s="9" t="s">
        <v>1303</v>
      </c>
      <c r="H612" s="9" t="s">
        <v>57</v>
      </c>
      <c r="I612" s="9" t="s">
        <v>25</v>
      </c>
      <c r="J612" s="9" t="s">
        <v>29</v>
      </c>
      <c r="K612" s="9">
        <v>1000</v>
      </c>
      <c r="L612" s="39"/>
      <c r="M612" s="7" t="s">
        <v>1461</v>
      </c>
      <c r="N612" s="8"/>
      <c r="O612" s="40"/>
      <c r="P612" s="15" t="s">
        <v>289</v>
      </c>
      <c r="Q612" s="9" t="s">
        <v>188</v>
      </c>
      <c r="R612" s="9"/>
      <c r="S612" s="9"/>
      <c r="T612" s="9">
        <v>188891</v>
      </c>
      <c r="U612" s="16" t="s">
        <v>65</v>
      </c>
      <c r="V612" s="9">
        <v>2439203</v>
      </c>
      <c r="W612" s="8" t="s">
        <v>288</v>
      </c>
      <c r="X612" s="8" t="s">
        <v>175</v>
      </c>
      <c r="Y612" s="8"/>
      <c r="Z612" s="8"/>
      <c r="AA612" s="8"/>
      <c r="AB612" s="8"/>
      <c r="AC612" s="8" t="s">
        <v>190</v>
      </c>
      <c r="AD612" s="14" t="s">
        <v>197</v>
      </c>
      <c r="AE612" s="8" t="s">
        <v>198</v>
      </c>
      <c r="AF612" s="14">
        <v>0.5</v>
      </c>
      <c r="AG612" s="8">
        <v>1160</v>
      </c>
      <c r="AH612" s="8">
        <v>0</v>
      </c>
      <c r="AI612" s="8">
        <v>54</v>
      </c>
      <c r="AJ612" s="8">
        <v>0</v>
      </c>
      <c r="AK612" s="127">
        <v>54</v>
      </c>
      <c r="AL612" s="103">
        <v>0</v>
      </c>
      <c r="AM612" s="8">
        <v>54</v>
      </c>
      <c r="AN612" s="21">
        <v>0</v>
      </c>
      <c r="AO612" s="21">
        <v>0</v>
      </c>
      <c r="AP612" s="21">
        <v>0</v>
      </c>
      <c r="AQ612" s="21">
        <v>54</v>
      </c>
      <c r="AR612" s="21">
        <v>0</v>
      </c>
      <c r="AS612" s="8">
        <v>54</v>
      </c>
      <c r="AT612" s="21">
        <v>0</v>
      </c>
      <c r="AU612" s="21">
        <v>0</v>
      </c>
      <c r="AV612" s="21">
        <v>0</v>
      </c>
      <c r="AW612" s="21">
        <v>0</v>
      </c>
      <c r="AX612" s="21">
        <v>54</v>
      </c>
      <c r="AY612" s="8">
        <v>0</v>
      </c>
    </row>
    <row r="613" spans="1:51" ht="15" customHeight="1" x14ac:dyDescent="0.25">
      <c r="A613" s="9">
        <v>742</v>
      </c>
      <c r="B613" s="13">
        <v>45750</v>
      </c>
      <c r="C613" s="9" t="s">
        <v>169</v>
      </c>
      <c r="D613" s="9">
        <v>9518666887</v>
      </c>
      <c r="E613" s="8">
        <v>1</v>
      </c>
      <c r="F613" s="9" t="s">
        <v>1225</v>
      </c>
      <c r="G613" s="79" t="s">
        <v>1303</v>
      </c>
      <c r="H613" s="9" t="s">
        <v>57</v>
      </c>
      <c r="I613" s="9" t="s">
        <v>25</v>
      </c>
      <c r="J613" s="9" t="s">
        <v>31</v>
      </c>
      <c r="K613" s="9">
        <v>2000</v>
      </c>
      <c r="L613" s="39"/>
      <c r="M613" s="7" t="s">
        <v>1</v>
      </c>
      <c r="N613" s="8"/>
      <c r="O613" s="40"/>
      <c r="P613" s="15" t="s">
        <v>194</v>
      </c>
      <c r="Q613" s="9" t="s">
        <v>172</v>
      </c>
      <c r="R613" s="9"/>
      <c r="S613" s="9"/>
      <c r="T613" s="9">
        <v>931525</v>
      </c>
      <c r="U613" s="16" t="s">
        <v>75</v>
      </c>
      <c r="V613" s="9">
        <v>3239543</v>
      </c>
      <c r="W613" s="8" t="s">
        <v>757</v>
      </c>
      <c r="X613" s="8" t="s">
        <v>175</v>
      </c>
      <c r="Y613" s="8"/>
      <c r="Z613" s="8"/>
      <c r="AA613" s="8"/>
      <c r="AB613" s="8"/>
      <c r="AC613" s="8" t="s">
        <v>210</v>
      </c>
      <c r="AD613" s="14" t="s">
        <v>211</v>
      </c>
      <c r="AE613" s="8" t="s">
        <v>212</v>
      </c>
      <c r="AF613" s="14">
        <v>0.35</v>
      </c>
      <c r="AG613" s="8">
        <v>1250</v>
      </c>
      <c r="AH613" s="8">
        <v>0</v>
      </c>
      <c r="AI613" s="8">
        <v>27</v>
      </c>
      <c r="AJ613" s="8">
        <v>0</v>
      </c>
      <c r="AK613" s="127">
        <v>27</v>
      </c>
      <c r="AL613" s="103">
        <v>0</v>
      </c>
      <c r="AM613" s="8">
        <v>27</v>
      </c>
      <c r="AN613" s="21">
        <v>0</v>
      </c>
      <c r="AO613" s="21">
        <v>0</v>
      </c>
      <c r="AP613" s="21">
        <v>0</v>
      </c>
      <c r="AQ613" s="21">
        <v>27</v>
      </c>
      <c r="AR613" s="21">
        <v>0</v>
      </c>
      <c r="AS613" s="8">
        <v>27</v>
      </c>
      <c r="AT613" s="21">
        <v>0</v>
      </c>
      <c r="AU613" s="21">
        <v>0</v>
      </c>
      <c r="AV613" s="21">
        <v>0</v>
      </c>
      <c r="AW613" s="21">
        <v>0</v>
      </c>
      <c r="AX613" s="21">
        <v>27</v>
      </c>
      <c r="AY613" s="8">
        <v>0</v>
      </c>
    </row>
    <row r="614" spans="1:51" ht="15" customHeight="1" x14ac:dyDescent="0.25">
      <c r="A614" s="9">
        <v>742</v>
      </c>
      <c r="B614" s="13">
        <v>45750</v>
      </c>
      <c r="C614" s="9" t="s">
        <v>169</v>
      </c>
      <c r="D614" s="9">
        <v>9518666887</v>
      </c>
      <c r="E614" s="8">
        <v>6</v>
      </c>
      <c r="F614" s="9" t="s">
        <v>1226</v>
      </c>
      <c r="G614" s="9" t="s">
        <v>1303</v>
      </c>
      <c r="H614" s="9" t="s">
        <v>57</v>
      </c>
      <c r="I614" s="9" t="s">
        <v>25</v>
      </c>
      <c r="J614" s="9" t="s">
        <v>31</v>
      </c>
      <c r="K614" s="9">
        <v>2000</v>
      </c>
      <c r="L614" s="39"/>
      <c r="M614" s="7" t="s">
        <v>1</v>
      </c>
      <c r="N614" s="8"/>
      <c r="O614" s="40"/>
      <c r="P614" s="15" t="s">
        <v>194</v>
      </c>
      <c r="Q614" s="9" t="s">
        <v>172</v>
      </c>
      <c r="R614" s="9"/>
      <c r="S614" s="9"/>
      <c r="T614" s="9">
        <v>931525</v>
      </c>
      <c r="U614" s="16" t="s">
        <v>75</v>
      </c>
      <c r="V614" s="9">
        <v>3240761</v>
      </c>
      <c r="W614" s="8" t="s">
        <v>444</v>
      </c>
      <c r="X614" s="8" t="s">
        <v>175</v>
      </c>
      <c r="Y614" s="8"/>
      <c r="Z614" s="8"/>
      <c r="AA614" s="8"/>
      <c r="AB614" s="8"/>
      <c r="AC614" s="8" t="s">
        <v>210</v>
      </c>
      <c r="AD614" s="14" t="s">
        <v>218</v>
      </c>
      <c r="AE614" s="8" t="s">
        <v>250</v>
      </c>
      <c r="AF614" s="14">
        <v>0.5</v>
      </c>
      <c r="AG614" s="8">
        <v>1250</v>
      </c>
      <c r="AH614" s="8">
        <v>2030</v>
      </c>
      <c r="AI614" s="8">
        <v>81</v>
      </c>
      <c r="AJ614" s="8">
        <v>0</v>
      </c>
      <c r="AK614" s="127">
        <v>81</v>
      </c>
      <c r="AL614" s="103">
        <v>0</v>
      </c>
      <c r="AM614" s="8">
        <v>81</v>
      </c>
      <c r="AN614" s="21">
        <v>0</v>
      </c>
      <c r="AO614" s="21">
        <v>81</v>
      </c>
      <c r="AP614" s="21">
        <v>0</v>
      </c>
      <c r="AQ614" s="21">
        <v>0</v>
      </c>
      <c r="AR614" s="21">
        <v>0</v>
      </c>
      <c r="AS614" s="8">
        <v>81</v>
      </c>
      <c r="AT614" s="21">
        <v>0</v>
      </c>
      <c r="AU614" s="21">
        <v>0</v>
      </c>
      <c r="AV614" s="21">
        <v>81</v>
      </c>
      <c r="AW614" s="21">
        <v>0</v>
      </c>
      <c r="AX614" s="21">
        <v>0</v>
      </c>
      <c r="AY614" s="8">
        <v>0</v>
      </c>
    </row>
    <row r="615" spans="1:51" ht="15" customHeight="1" x14ac:dyDescent="0.25">
      <c r="A615" s="9">
        <v>742</v>
      </c>
      <c r="B615" s="13">
        <v>45750</v>
      </c>
      <c r="C615" s="9" t="s">
        <v>169</v>
      </c>
      <c r="D615" s="9">
        <v>9518666887</v>
      </c>
      <c r="E615" s="8">
        <v>7</v>
      </c>
      <c r="F615" s="9" t="s">
        <v>1227</v>
      </c>
      <c r="G615" s="9" t="s">
        <v>1303</v>
      </c>
      <c r="H615" s="9" t="s">
        <v>57</v>
      </c>
      <c r="I615" s="9" t="s">
        <v>25</v>
      </c>
      <c r="J615" s="9" t="s">
        <v>31</v>
      </c>
      <c r="K615" s="9">
        <v>2000</v>
      </c>
      <c r="L615" s="39"/>
      <c r="M615" s="7" t="s">
        <v>1</v>
      </c>
      <c r="N615" s="8"/>
      <c r="O615" s="40"/>
      <c r="P615" s="15" t="s">
        <v>194</v>
      </c>
      <c r="Q615" s="9" t="s">
        <v>172</v>
      </c>
      <c r="R615" s="9"/>
      <c r="S615" s="9"/>
      <c r="T615" s="9">
        <v>931525</v>
      </c>
      <c r="U615" s="16" t="s">
        <v>75</v>
      </c>
      <c r="V615" s="9">
        <v>3240781</v>
      </c>
      <c r="W615" s="8" t="s">
        <v>466</v>
      </c>
      <c r="X615" s="8" t="s">
        <v>175</v>
      </c>
      <c r="Y615" s="8"/>
      <c r="Z615" s="8"/>
      <c r="AA615" s="8"/>
      <c r="AB615" s="8"/>
      <c r="AC615" s="8" t="s">
        <v>210</v>
      </c>
      <c r="AD615" s="14" t="s">
        <v>218</v>
      </c>
      <c r="AE615" s="8" t="s">
        <v>250</v>
      </c>
      <c r="AF615" s="14">
        <v>0.6</v>
      </c>
      <c r="AG615" s="8">
        <v>1250</v>
      </c>
      <c r="AH615" s="8">
        <v>2030</v>
      </c>
      <c r="AI615" s="8">
        <v>27</v>
      </c>
      <c r="AJ615" s="8">
        <v>0</v>
      </c>
      <c r="AK615" s="127">
        <v>27</v>
      </c>
      <c r="AL615" s="103">
        <v>0</v>
      </c>
      <c r="AM615" s="8">
        <v>27</v>
      </c>
      <c r="AN615" s="21">
        <v>0</v>
      </c>
      <c r="AO615" s="21">
        <v>27</v>
      </c>
      <c r="AP615" s="21">
        <v>0</v>
      </c>
      <c r="AQ615" s="21">
        <v>0</v>
      </c>
      <c r="AR615" s="21">
        <v>0</v>
      </c>
      <c r="AS615" s="8">
        <v>27</v>
      </c>
      <c r="AT615" s="21">
        <v>0</v>
      </c>
      <c r="AU615" s="21">
        <v>0</v>
      </c>
      <c r="AV615" s="21">
        <v>27</v>
      </c>
      <c r="AW615" s="21">
        <v>0</v>
      </c>
      <c r="AX615" s="21">
        <v>0</v>
      </c>
      <c r="AY615" s="8">
        <v>0</v>
      </c>
    </row>
    <row r="616" spans="1:51" ht="15" customHeight="1" x14ac:dyDescent="0.25">
      <c r="A616" s="9">
        <v>742</v>
      </c>
      <c r="B616" s="13">
        <v>45750</v>
      </c>
      <c r="C616" s="9" t="s">
        <v>169</v>
      </c>
      <c r="D616" s="9">
        <v>9518666887</v>
      </c>
      <c r="E616" s="8">
        <v>8</v>
      </c>
      <c r="F616" s="9" t="s">
        <v>1228</v>
      </c>
      <c r="G616" s="79" t="s">
        <v>1303</v>
      </c>
      <c r="H616" s="9" t="s">
        <v>57</v>
      </c>
      <c r="I616" s="9" t="s">
        <v>25</v>
      </c>
      <c r="J616" s="9" t="s">
        <v>31</v>
      </c>
      <c r="K616" s="9">
        <v>2000</v>
      </c>
      <c r="L616" s="39"/>
      <c r="M616" s="7" t="s">
        <v>1</v>
      </c>
      <c r="N616" s="8"/>
      <c r="O616" s="40"/>
      <c r="P616" s="15" t="s">
        <v>194</v>
      </c>
      <c r="Q616" s="9" t="s">
        <v>172</v>
      </c>
      <c r="R616" s="9"/>
      <c r="S616" s="9"/>
      <c r="T616" s="9">
        <v>931525</v>
      </c>
      <c r="U616" s="16" t="s">
        <v>75</v>
      </c>
      <c r="V616" s="9">
        <v>3409561</v>
      </c>
      <c r="W616" s="8" t="s">
        <v>527</v>
      </c>
      <c r="X616" s="8" t="s">
        <v>175</v>
      </c>
      <c r="Y616" s="8"/>
      <c r="Z616" s="8"/>
      <c r="AA616" s="8"/>
      <c r="AB616" s="8"/>
      <c r="AC616" s="8" t="s">
        <v>210</v>
      </c>
      <c r="AD616" s="14" t="s">
        <v>218</v>
      </c>
      <c r="AE616" s="8" t="s">
        <v>250</v>
      </c>
      <c r="AF616" s="14">
        <v>0.6</v>
      </c>
      <c r="AG616" s="8">
        <v>1000</v>
      </c>
      <c r="AH616" s="8">
        <v>1930</v>
      </c>
      <c r="AI616" s="8">
        <v>27</v>
      </c>
      <c r="AJ616" s="8">
        <v>0</v>
      </c>
      <c r="AK616" s="127">
        <v>27</v>
      </c>
      <c r="AL616" s="103">
        <v>0</v>
      </c>
      <c r="AM616" s="8">
        <v>27</v>
      </c>
      <c r="AN616" s="21">
        <v>0</v>
      </c>
      <c r="AO616" s="21">
        <v>27</v>
      </c>
      <c r="AP616" s="21">
        <v>0</v>
      </c>
      <c r="AQ616" s="21">
        <v>0</v>
      </c>
      <c r="AR616" s="21">
        <v>0</v>
      </c>
      <c r="AS616" s="8">
        <v>27</v>
      </c>
      <c r="AT616" s="21">
        <v>0</v>
      </c>
      <c r="AU616" s="21">
        <v>0</v>
      </c>
      <c r="AV616" s="21">
        <v>27</v>
      </c>
      <c r="AW616" s="21">
        <v>0</v>
      </c>
      <c r="AX616" s="21">
        <v>0</v>
      </c>
      <c r="AY616" s="8">
        <v>0</v>
      </c>
    </row>
    <row r="617" spans="1:51" ht="15" customHeight="1" x14ac:dyDescent="0.25">
      <c r="A617" s="9">
        <v>742</v>
      </c>
      <c r="B617" s="13">
        <v>45750</v>
      </c>
      <c r="C617" s="9" t="s">
        <v>169</v>
      </c>
      <c r="D617" s="9">
        <v>9518666887</v>
      </c>
      <c r="E617" s="8">
        <v>9</v>
      </c>
      <c r="F617" s="9" t="s">
        <v>1229</v>
      </c>
      <c r="G617" s="79" t="s">
        <v>1303</v>
      </c>
      <c r="H617" s="9" t="s">
        <v>57</v>
      </c>
      <c r="I617" s="9" t="s">
        <v>25</v>
      </c>
      <c r="J617" s="9" t="s">
        <v>31</v>
      </c>
      <c r="K617" s="9">
        <v>2000</v>
      </c>
      <c r="L617" s="39"/>
      <c r="M617" s="7" t="s">
        <v>1</v>
      </c>
      <c r="N617" s="8"/>
      <c r="O617" s="40"/>
      <c r="P617" s="15" t="s">
        <v>194</v>
      </c>
      <c r="Q617" s="9" t="s">
        <v>172</v>
      </c>
      <c r="R617" s="9"/>
      <c r="S617" s="9"/>
      <c r="T617" s="9">
        <v>931525</v>
      </c>
      <c r="U617" s="16" t="s">
        <v>75</v>
      </c>
      <c r="V617" s="9">
        <v>3240781</v>
      </c>
      <c r="W617" s="8" t="s">
        <v>466</v>
      </c>
      <c r="X617" s="8" t="s">
        <v>175</v>
      </c>
      <c r="Y617" s="8"/>
      <c r="Z617" s="8"/>
      <c r="AA617" s="8"/>
      <c r="AB617" s="8"/>
      <c r="AC617" s="8" t="s">
        <v>210</v>
      </c>
      <c r="AD617" s="14" t="s">
        <v>218</v>
      </c>
      <c r="AE617" s="8" t="s">
        <v>250</v>
      </c>
      <c r="AF617" s="14">
        <v>0.6</v>
      </c>
      <c r="AG617" s="8">
        <v>1250</v>
      </c>
      <c r="AH617" s="8">
        <v>2030</v>
      </c>
      <c r="AI617" s="8">
        <v>27</v>
      </c>
      <c r="AJ617" s="8">
        <v>0</v>
      </c>
      <c r="AK617" s="127">
        <v>27</v>
      </c>
      <c r="AL617" s="103">
        <v>0</v>
      </c>
      <c r="AM617" s="8">
        <v>27</v>
      </c>
      <c r="AN617" s="21">
        <v>0</v>
      </c>
      <c r="AO617" s="21">
        <v>0</v>
      </c>
      <c r="AP617" s="21">
        <v>27</v>
      </c>
      <c r="AQ617" s="21">
        <v>0</v>
      </c>
      <c r="AR617" s="21">
        <v>0</v>
      </c>
      <c r="AS617" s="8">
        <v>27</v>
      </c>
      <c r="AT617" s="21">
        <v>0</v>
      </c>
      <c r="AU617" s="21">
        <v>0</v>
      </c>
      <c r="AV617" s="21">
        <v>27</v>
      </c>
      <c r="AW617" s="21">
        <v>0</v>
      </c>
      <c r="AX617" s="21">
        <v>0</v>
      </c>
      <c r="AY617" s="8">
        <v>0</v>
      </c>
    </row>
    <row r="618" spans="1:51" ht="15" customHeight="1" x14ac:dyDescent="0.25">
      <c r="A618" s="9">
        <v>742</v>
      </c>
      <c r="B618" s="13">
        <v>45751</v>
      </c>
      <c r="C618" s="9" t="s">
        <v>169</v>
      </c>
      <c r="D618" s="9">
        <v>9518670066</v>
      </c>
      <c r="E618" s="8">
        <v>1</v>
      </c>
      <c r="F618" s="9" t="s">
        <v>1230</v>
      </c>
      <c r="G618" s="79" t="s">
        <v>1303</v>
      </c>
      <c r="H618" s="9" t="s">
        <v>57</v>
      </c>
      <c r="I618" s="9" t="s">
        <v>25</v>
      </c>
      <c r="J618" s="9" t="s">
        <v>31</v>
      </c>
      <c r="K618" s="9">
        <v>2000</v>
      </c>
      <c r="L618" s="39"/>
      <c r="M618" s="7" t="s">
        <v>1</v>
      </c>
      <c r="N618" s="8"/>
      <c r="O618" s="40"/>
      <c r="P618" s="15" t="s">
        <v>194</v>
      </c>
      <c r="Q618" s="9" t="s">
        <v>172</v>
      </c>
      <c r="R618" s="9"/>
      <c r="S618" s="9"/>
      <c r="T618" s="9">
        <v>931525</v>
      </c>
      <c r="U618" s="16" t="s">
        <v>75</v>
      </c>
      <c r="V618" s="9">
        <v>3239536</v>
      </c>
      <c r="W618" s="8" t="s">
        <v>209</v>
      </c>
      <c r="X618" s="8" t="s">
        <v>175</v>
      </c>
      <c r="Y618" s="8"/>
      <c r="Z618" s="8"/>
      <c r="AA618" s="8"/>
      <c r="AB618" s="8"/>
      <c r="AC618" s="8" t="s">
        <v>210</v>
      </c>
      <c r="AD618" s="14" t="s">
        <v>211</v>
      </c>
      <c r="AE618" s="8" t="s">
        <v>212</v>
      </c>
      <c r="AF618" s="14">
        <v>0.35</v>
      </c>
      <c r="AG618" s="8">
        <v>900</v>
      </c>
      <c r="AH618" s="8">
        <v>2500</v>
      </c>
      <c r="AI618" s="8">
        <v>27</v>
      </c>
      <c r="AJ618" s="8">
        <v>0</v>
      </c>
      <c r="AK618" s="127">
        <v>27</v>
      </c>
      <c r="AL618" s="103">
        <v>0</v>
      </c>
      <c r="AM618" s="8">
        <v>27</v>
      </c>
      <c r="AN618" s="21">
        <v>27</v>
      </c>
      <c r="AO618" s="21">
        <v>0</v>
      </c>
      <c r="AP618" s="21">
        <v>0</v>
      </c>
      <c r="AQ618" s="21">
        <v>0</v>
      </c>
      <c r="AR618" s="21">
        <v>0</v>
      </c>
      <c r="AS618" s="8">
        <v>27</v>
      </c>
      <c r="AT618" s="21">
        <v>0</v>
      </c>
      <c r="AU618" s="21">
        <v>27</v>
      </c>
      <c r="AV618" s="21">
        <v>0</v>
      </c>
      <c r="AW618" s="21">
        <v>0</v>
      </c>
      <c r="AX618" s="21">
        <v>0</v>
      </c>
      <c r="AY618" s="8">
        <v>0</v>
      </c>
    </row>
    <row r="619" spans="1:51" ht="15" customHeight="1" x14ac:dyDescent="0.25">
      <c r="A619" s="9">
        <v>742</v>
      </c>
      <c r="B619" s="13">
        <v>45751</v>
      </c>
      <c r="C619" s="9" t="s">
        <v>169</v>
      </c>
      <c r="D619" s="9">
        <v>9518670066</v>
      </c>
      <c r="E619" s="8">
        <v>2</v>
      </c>
      <c r="F619" s="9" t="s">
        <v>1231</v>
      </c>
      <c r="G619" s="79" t="s">
        <v>1303</v>
      </c>
      <c r="H619" s="9" t="s">
        <v>57</v>
      </c>
      <c r="I619" s="9" t="s">
        <v>25</v>
      </c>
      <c r="J619" s="9" t="s">
        <v>31</v>
      </c>
      <c r="K619" s="9">
        <v>2000</v>
      </c>
      <c r="L619" s="39"/>
      <c r="M619" s="7" t="s">
        <v>1</v>
      </c>
      <c r="N619" s="8"/>
      <c r="O619" s="40"/>
      <c r="P619" s="15" t="s">
        <v>194</v>
      </c>
      <c r="Q619" s="9" t="s">
        <v>172</v>
      </c>
      <c r="R619" s="9"/>
      <c r="S619" s="9"/>
      <c r="T619" s="9">
        <v>931525</v>
      </c>
      <c r="U619" s="16" t="s">
        <v>75</v>
      </c>
      <c r="V619" s="9">
        <v>3239548</v>
      </c>
      <c r="W619" s="8" t="s">
        <v>486</v>
      </c>
      <c r="X619" s="8" t="s">
        <v>175</v>
      </c>
      <c r="Y619" s="8"/>
      <c r="Z619" s="8"/>
      <c r="AA619" s="8"/>
      <c r="AB619" s="8"/>
      <c r="AC619" s="8" t="s">
        <v>210</v>
      </c>
      <c r="AD619" s="14" t="s">
        <v>211</v>
      </c>
      <c r="AE619" s="8" t="s">
        <v>212</v>
      </c>
      <c r="AF619" s="14">
        <v>0.4</v>
      </c>
      <c r="AG619" s="8">
        <v>900</v>
      </c>
      <c r="AH619" s="8">
        <v>2500</v>
      </c>
      <c r="AI619" s="8">
        <v>27</v>
      </c>
      <c r="AJ619" s="8">
        <v>0</v>
      </c>
      <c r="AK619" s="127">
        <v>27</v>
      </c>
      <c r="AL619" s="103">
        <v>0</v>
      </c>
      <c r="AM619" s="8">
        <v>27</v>
      </c>
      <c r="AN619" s="21">
        <v>0</v>
      </c>
      <c r="AO619" s="21">
        <v>27</v>
      </c>
      <c r="AP619" s="21">
        <v>0</v>
      </c>
      <c r="AQ619" s="21">
        <v>0</v>
      </c>
      <c r="AR619" s="21">
        <v>0</v>
      </c>
      <c r="AS619" s="8">
        <v>27</v>
      </c>
      <c r="AT619" s="21">
        <v>0</v>
      </c>
      <c r="AU619" s="21">
        <v>0</v>
      </c>
      <c r="AV619" s="21">
        <v>27</v>
      </c>
      <c r="AW619" s="21">
        <v>0</v>
      </c>
      <c r="AX619" s="21">
        <v>0</v>
      </c>
      <c r="AY619" s="8">
        <v>0</v>
      </c>
    </row>
    <row r="620" spans="1:51" ht="15" customHeight="1" x14ac:dyDescent="0.25">
      <c r="A620" s="9">
        <v>742</v>
      </c>
      <c r="B620" s="13">
        <v>45751</v>
      </c>
      <c r="C620" s="9" t="s">
        <v>169</v>
      </c>
      <c r="D620" s="9">
        <v>9518670066</v>
      </c>
      <c r="E620" s="8">
        <v>6</v>
      </c>
      <c r="F620" s="9" t="s">
        <v>1232</v>
      </c>
      <c r="G620" s="79" t="s">
        <v>1303</v>
      </c>
      <c r="H620" s="9" t="s">
        <v>57</v>
      </c>
      <c r="I620" s="9" t="s">
        <v>25</v>
      </c>
      <c r="J620" s="9" t="s">
        <v>31</v>
      </c>
      <c r="K620" s="9">
        <v>2000</v>
      </c>
      <c r="L620" s="39"/>
      <c r="M620" s="7" t="s">
        <v>1</v>
      </c>
      <c r="N620" s="8"/>
      <c r="O620" s="40"/>
      <c r="P620" s="15" t="s">
        <v>194</v>
      </c>
      <c r="Q620" s="9" t="s">
        <v>172</v>
      </c>
      <c r="R620" s="9"/>
      <c r="S620" s="9"/>
      <c r="T620" s="9">
        <v>931525</v>
      </c>
      <c r="U620" s="16" t="s">
        <v>75</v>
      </c>
      <c r="V620" s="9">
        <v>3240761</v>
      </c>
      <c r="W620" s="8" t="s">
        <v>444</v>
      </c>
      <c r="X620" s="8" t="s">
        <v>175</v>
      </c>
      <c r="Y620" s="8"/>
      <c r="Z620" s="8"/>
      <c r="AA620" s="8"/>
      <c r="AB620" s="8"/>
      <c r="AC620" s="8" t="s">
        <v>210</v>
      </c>
      <c r="AD620" s="14" t="s">
        <v>218</v>
      </c>
      <c r="AE620" s="8" t="s">
        <v>250</v>
      </c>
      <c r="AF620" s="14">
        <v>0.5</v>
      </c>
      <c r="AG620" s="8">
        <v>1250</v>
      </c>
      <c r="AH620" s="8">
        <v>2030</v>
      </c>
      <c r="AI620" s="8">
        <v>108</v>
      </c>
      <c r="AJ620" s="8">
        <v>0</v>
      </c>
      <c r="AK620" s="127">
        <v>108</v>
      </c>
      <c r="AL620" s="103">
        <v>0</v>
      </c>
      <c r="AM620" s="8">
        <v>108</v>
      </c>
      <c r="AN620" s="21">
        <v>0</v>
      </c>
      <c r="AO620" s="21">
        <v>0</v>
      </c>
      <c r="AP620" s="21">
        <v>108</v>
      </c>
      <c r="AQ620" s="21">
        <v>0</v>
      </c>
      <c r="AR620" s="21">
        <v>0</v>
      </c>
      <c r="AS620" s="8">
        <v>108</v>
      </c>
      <c r="AT620" s="21">
        <v>0</v>
      </c>
      <c r="AU620" s="21">
        <v>0</v>
      </c>
      <c r="AV620" s="21">
        <v>108</v>
      </c>
      <c r="AW620" s="21">
        <v>0</v>
      </c>
      <c r="AX620" s="21">
        <v>0</v>
      </c>
      <c r="AY620" s="8">
        <v>0</v>
      </c>
    </row>
    <row r="621" spans="1:51" ht="15" customHeight="1" x14ac:dyDescent="0.25">
      <c r="A621" s="9">
        <v>742</v>
      </c>
      <c r="B621" s="13">
        <v>45751</v>
      </c>
      <c r="C621" s="9" t="s">
        <v>169</v>
      </c>
      <c r="D621" s="9">
        <v>9518670066</v>
      </c>
      <c r="E621" s="8">
        <v>7</v>
      </c>
      <c r="F621" s="9" t="s">
        <v>1233</v>
      </c>
      <c r="G621" s="79" t="s">
        <v>1303</v>
      </c>
      <c r="H621" s="9" t="s">
        <v>57</v>
      </c>
      <c r="I621" s="9" t="s">
        <v>25</v>
      </c>
      <c r="J621" s="9" t="s">
        <v>31</v>
      </c>
      <c r="K621" s="9">
        <v>2000</v>
      </c>
      <c r="L621" s="39"/>
      <c r="M621" s="7" t="s">
        <v>1</v>
      </c>
      <c r="N621" s="8"/>
      <c r="O621" s="40"/>
      <c r="P621" s="15" t="s">
        <v>194</v>
      </c>
      <c r="Q621" s="9" t="s">
        <v>172</v>
      </c>
      <c r="R621" s="9"/>
      <c r="S621" s="9"/>
      <c r="T621" s="9">
        <v>931525</v>
      </c>
      <c r="U621" s="16" t="s">
        <v>75</v>
      </c>
      <c r="V621" s="9">
        <v>3247971</v>
      </c>
      <c r="W621" s="8" t="s">
        <v>627</v>
      </c>
      <c r="X621" s="8" t="s">
        <v>175</v>
      </c>
      <c r="Y621" s="8"/>
      <c r="Z621" s="8"/>
      <c r="AA621" s="8"/>
      <c r="AB621" s="8"/>
      <c r="AC621" s="8" t="s">
        <v>210</v>
      </c>
      <c r="AD621" s="14" t="s">
        <v>218</v>
      </c>
      <c r="AE621" s="8" t="s">
        <v>250</v>
      </c>
      <c r="AF621" s="14">
        <v>0.5</v>
      </c>
      <c r="AG621" s="8">
        <v>1250</v>
      </c>
      <c r="AH621" s="8">
        <v>2020</v>
      </c>
      <c r="AI621" s="8">
        <v>54</v>
      </c>
      <c r="AJ621" s="8">
        <v>0</v>
      </c>
      <c r="AK621" s="127">
        <v>54</v>
      </c>
      <c r="AL621" s="103">
        <v>0</v>
      </c>
      <c r="AM621" s="8">
        <v>54</v>
      </c>
      <c r="AN621" s="21">
        <v>0</v>
      </c>
      <c r="AO621" s="21">
        <v>0</v>
      </c>
      <c r="AP621" s="21">
        <v>54</v>
      </c>
      <c r="AQ621" s="21">
        <v>0</v>
      </c>
      <c r="AR621" s="21">
        <v>0</v>
      </c>
      <c r="AS621" s="8">
        <v>54</v>
      </c>
      <c r="AT621" s="21">
        <v>0</v>
      </c>
      <c r="AU621" s="21">
        <v>0</v>
      </c>
      <c r="AV621" s="21">
        <v>0</v>
      </c>
      <c r="AW621" s="21">
        <v>54</v>
      </c>
      <c r="AX621" s="21">
        <v>0</v>
      </c>
      <c r="AY621" s="8">
        <v>0</v>
      </c>
    </row>
    <row r="622" spans="1:51" ht="15" customHeight="1" x14ac:dyDescent="0.25">
      <c r="A622" s="9">
        <v>742</v>
      </c>
      <c r="B622" s="13">
        <v>45751</v>
      </c>
      <c r="C622" s="9" t="s">
        <v>169</v>
      </c>
      <c r="D622" s="9">
        <v>9518670066</v>
      </c>
      <c r="E622" s="8">
        <v>8</v>
      </c>
      <c r="F622" s="9" t="s">
        <v>1234</v>
      </c>
      <c r="G622" s="79" t="s">
        <v>1303</v>
      </c>
      <c r="H622" s="9" t="s">
        <v>57</v>
      </c>
      <c r="I622" s="9" t="s">
        <v>25</v>
      </c>
      <c r="J622" s="9" t="s">
        <v>31</v>
      </c>
      <c r="K622" s="9">
        <v>2000</v>
      </c>
      <c r="L622" s="39"/>
      <c r="M622" s="7" t="s">
        <v>1</v>
      </c>
      <c r="N622" s="8"/>
      <c r="O622" s="40"/>
      <c r="P622" s="15" t="s">
        <v>194</v>
      </c>
      <c r="Q622" s="9" t="s">
        <v>172</v>
      </c>
      <c r="R622" s="9"/>
      <c r="S622" s="9"/>
      <c r="T622" s="9">
        <v>931525</v>
      </c>
      <c r="U622" s="16" t="s">
        <v>75</v>
      </c>
      <c r="V622" s="9">
        <v>3247972</v>
      </c>
      <c r="W622" s="8" t="s">
        <v>478</v>
      </c>
      <c r="X622" s="8" t="s">
        <v>175</v>
      </c>
      <c r="Y622" s="8"/>
      <c r="Z622" s="8"/>
      <c r="AA622" s="8"/>
      <c r="AB622" s="8"/>
      <c r="AC622" s="8" t="s">
        <v>210</v>
      </c>
      <c r="AD622" s="14" t="s">
        <v>218</v>
      </c>
      <c r="AE622" s="8" t="s">
        <v>250</v>
      </c>
      <c r="AF622" s="14">
        <v>0.6</v>
      </c>
      <c r="AG622" s="8">
        <v>1250</v>
      </c>
      <c r="AH622" s="8">
        <v>2020</v>
      </c>
      <c r="AI622" s="8">
        <v>54</v>
      </c>
      <c r="AJ622" s="8">
        <v>0</v>
      </c>
      <c r="AK622" s="127">
        <v>54</v>
      </c>
      <c r="AL622" s="103">
        <v>0</v>
      </c>
      <c r="AM622" s="8">
        <v>54</v>
      </c>
      <c r="AN622" s="21">
        <v>0</v>
      </c>
      <c r="AO622" s="21">
        <v>0</v>
      </c>
      <c r="AP622" s="21">
        <v>54</v>
      </c>
      <c r="AQ622" s="21">
        <v>0</v>
      </c>
      <c r="AR622" s="21">
        <v>0</v>
      </c>
      <c r="AS622" s="8">
        <v>54</v>
      </c>
      <c r="AT622" s="21">
        <v>0</v>
      </c>
      <c r="AU622" s="21">
        <v>0</v>
      </c>
      <c r="AV622" s="21">
        <v>0</v>
      </c>
      <c r="AW622" s="21">
        <v>54</v>
      </c>
      <c r="AX622" s="21">
        <v>0</v>
      </c>
      <c r="AY622" s="8">
        <v>0</v>
      </c>
    </row>
    <row r="623" spans="1:51" ht="15" customHeight="1" x14ac:dyDescent="0.25">
      <c r="A623" s="9">
        <v>742</v>
      </c>
      <c r="B623" s="13">
        <v>45751</v>
      </c>
      <c r="C623" s="9" t="s">
        <v>169</v>
      </c>
      <c r="D623" s="9">
        <v>9518670066</v>
      </c>
      <c r="E623" s="8">
        <v>9</v>
      </c>
      <c r="F623" s="9" t="s">
        <v>1235</v>
      </c>
      <c r="G623" s="79" t="s">
        <v>1303</v>
      </c>
      <c r="H623" s="9" t="s">
        <v>57</v>
      </c>
      <c r="I623" s="9" t="s">
        <v>25</v>
      </c>
      <c r="J623" s="9" t="s">
        <v>31</v>
      </c>
      <c r="K623" s="9">
        <v>2000</v>
      </c>
      <c r="L623" s="39"/>
      <c r="M623" s="7" t="s">
        <v>1</v>
      </c>
      <c r="N623" s="8"/>
      <c r="O623" s="40"/>
      <c r="P623" s="15" t="s">
        <v>194</v>
      </c>
      <c r="Q623" s="9" t="s">
        <v>172</v>
      </c>
      <c r="R623" s="9"/>
      <c r="S623" s="9"/>
      <c r="T623" s="9">
        <v>931525</v>
      </c>
      <c r="U623" s="16" t="s">
        <v>75</v>
      </c>
      <c r="V623" s="9">
        <v>3240781</v>
      </c>
      <c r="W623" s="8" t="s">
        <v>466</v>
      </c>
      <c r="X623" s="8" t="s">
        <v>175</v>
      </c>
      <c r="Y623" s="8"/>
      <c r="Z623" s="8"/>
      <c r="AA623" s="8"/>
      <c r="AB623" s="8"/>
      <c r="AC623" s="8" t="s">
        <v>210</v>
      </c>
      <c r="AD623" s="14" t="s">
        <v>218</v>
      </c>
      <c r="AE623" s="8" t="s">
        <v>250</v>
      </c>
      <c r="AF623" s="14">
        <v>0.6</v>
      </c>
      <c r="AG623" s="8">
        <v>1250</v>
      </c>
      <c r="AH623" s="8">
        <v>2030</v>
      </c>
      <c r="AI623" s="8">
        <v>54</v>
      </c>
      <c r="AJ623" s="8">
        <v>0</v>
      </c>
      <c r="AK623" s="127">
        <v>54</v>
      </c>
      <c r="AL623" s="103">
        <v>0</v>
      </c>
      <c r="AM623" s="8">
        <v>54</v>
      </c>
      <c r="AN623" s="21">
        <v>0</v>
      </c>
      <c r="AO623" s="21">
        <v>0</v>
      </c>
      <c r="AP623" s="21">
        <v>54</v>
      </c>
      <c r="AQ623" s="21">
        <v>0</v>
      </c>
      <c r="AR623" s="21">
        <v>0</v>
      </c>
      <c r="AS623" s="8">
        <v>54</v>
      </c>
      <c r="AT623" s="21">
        <v>0</v>
      </c>
      <c r="AU623" s="21">
        <v>0</v>
      </c>
      <c r="AV623" s="21">
        <v>0</v>
      </c>
      <c r="AW623" s="21">
        <v>54</v>
      </c>
      <c r="AX623" s="21">
        <v>0</v>
      </c>
      <c r="AY623" s="8">
        <v>0</v>
      </c>
    </row>
    <row r="624" spans="1:51" ht="15" customHeight="1" x14ac:dyDescent="0.25">
      <c r="A624" s="9">
        <v>742</v>
      </c>
      <c r="B624" s="13">
        <v>45751</v>
      </c>
      <c r="C624" s="9" t="s">
        <v>169</v>
      </c>
      <c r="D624" s="9">
        <v>9518670066</v>
      </c>
      <c r="E624" s="8">
        <v>12</v>
      </c>
      <c r="F624" s="9" t="s">
        <v>1236</v>
      </c>
      <c r="G624" s="79" t="s">
        <v>1303</v>
      </c>
      <c r="H624" s="9" t="s">
        <v>57</v>
      </c>
      <c r="I624" s="9" t="s">
        <v>25</v>
      </c>
      <c r="J624" s="9" t="s">
        <v>31</v>
      </c>
      <c r="K624" s="9">
        <v>2000</v>
      </c>
      <c r="L624" s="39"/>
      <c r="M624" s="7" t="s">
        <v>1</v>
      </c>
      <c r="N624" s="8"/>
      <c r="O624" s="40"/>
      <c r="P624" s="15" t="s">
        <v>194</v>
      </c>
      <c r="Q624" s="9" t="s">
        <v>172</v>
      </c>
      <c r="R624" s="9"/>
      <c r="S624" s="9"/>
      <c r="T624" s="9">
        <v>931525</v>
      </c>
      <c r="U624" s="16" t="s">
        <v>75</v>
      </c>
      <c r="V624" s="9">
        <v>3240863</v>
      </c>
      <c r="W624" s="8" t="s">
        <v>748</v>
      </c>
      <c r="X624" s="8" t="s">
        <v>175</v>
      </c>
      <c r="Y624" s="8"/>
      <c r="Z624" s="8"/>
      <c r="AA624" s="8"/>
      <c r="AB624" s="8"/>
      <c r="AC624" s="8" t="s">
        <v>210</v>
      </c>
      <c r="AD624" s="14" t="s">
        <v>218</v>
      </c>
      <c r="AE624" s="8" t="s">
        <v>250</v>
      </c>
      <c r="AF624" s="14">
        <v>1.5</v>
      </c>
      <c r="AG624" s="8">
        <v>1250</v>
      </c>
      <c r="AH624" s="8">
        <v>0</v>
      </c>
      <c r="AI624" s="8">
        <v>27</v>
      </c>
      <c r="AJ624" s="8">
        <v>0</v>
      </c>
      <c r="AK624" s="127">
        <v>27</v>
      </c>
      <c r="AL624" s="103">
        <v>0</v>
      </c>
      <c r="AM624" s="8">
        <v>27</v>
      </c>
      <c r="AN624" s="21">
        <v>0</v>
      </c>
      <c r="AO624" s="21">
        <v>0</v>
      </c>
      <c r="AP624" s="21">
        <v>0</v>
      </c>
      <c r="AQ624" s="21">
        <v>27</v>
      </c>
      <c r="AR624" s="21">
        <v>0</v>
      </c>
      <c r="AS624" s="8">
        <v>27</v>
      </c>
      <c r="AT624" s="21">
        <v>0</v>
      </c>
      <c r="AU624" s="21">
        <v>0</v>
      </c>
      <c r="AV624" s="21">
        <v>0</v>
      </c>
      <c r="AW624" s="21">
        <v>0</v>
      </c>
      <c r="AX624" s="21">
        <v>27</v>
      </c>
      <c r="AY624" s="8">
        <v>0</v>
      </c>
    </row>
    <row r="625" spans="1:51" ht="15" customHeight="1" x14ac:dyDescent="0.25">
      <c r="A625" s="9">
        <v>742</v>
      </c>
      <c r="B625" s="13">
        <v>45761</v>
      </c>
      <c r="C625" s="9" t="s">
        <v>169</v>
      </c>
      <c r="D625" s="9">
        <v>9518692009</v>
      </c>
      <c r="E625" s="8">
        <v>1</v>
      </c>
      <c r="F625" s="9" t="s">
        <v>1237</v>
      </c>
      <c r="G625" s="79" t="s">
        <v>1303</v>
      </c>
      <c r="H625" s="9" t="s">
        <v>57</v>
      </c>
      <c r="I625" s="9" t="s">
        <v>50</v>
      </c>
      <c r="J625" s="9" t="s">
        <v>26</v>
      </c>
      <c r="K625" s="9">
        <v>2000</v>
      </c>
      <c r="L625" s="39"/>
      <c r="M625" s="7" t="s">
        <v>1</v>
      </c>
      <c r="N625" s="8"/>
      <c r="O625" s="40"/>
      <c r="P625" s="15" t="s">
        <v>321</v>
      </c>
      <c r="Q625" s="9" t="s">
        <v>214</v>
      </c>
      <c r="R625" s="9"/>
      <c r="S625" s="9"/>
      <c r="T625" s="9">
        <v>946441</v>
      </c>
      <c r="U625" s="16" t="s">
        <v>629</v>
      </c>
      <c r="V625" s="9">
        <v>1210086</v>
      </c>
      <c r="W625" s="8" t="s">
        <v>592</v>
      </c>
      <c r="X625" s="8" t="s">
        <v>175</v>
      </c>
      <c r="Y625" s="8"/>
      <c r="Z625" s="8"/>
      <c r="AA625" s="8"/>
      <c r="AB625" s="8"/>
      <c r="AC625" s="8">
        <v>768</v>
      </c>
      <c r="AD625" s="14" t="s">
        <v>242</v>
      </c>
      <c r="AE625" s="8" t="s">
        <v>243</v>
      </c>
      <c r="AF625" s="14">
        <v>4</v>
      </c>
      <c r="AG625" s="8">
        <v>1250</v>
      </c>
      <c r="AH625" s="8">
        <v>0</v>
      </c>
      <c r="AI625" s="8">
        <v>25</v>
      </c>
      <c r="AJ625" s="8">
        <v>0</v>
      </c>
      <c r="AK625" s="127">
        <v>25</v>
      </c>
      <c r="AL625" s="103">
        <v>0</v>
      </c>
      <c r="AM625" s="8">
        <v>25</v>
      </c>
      <c r="AN625" s="21">
        <v>0</v>
      </c>
      <c r="AO625" s="21">
        <v>0</v>
      </c>
      <c r="AP625" s="21">
        <v>0</v>
      </c>
      <c r="AQ625" s="21">
        <v>25</v>
      </c>
      <c r="AR625" s="21">
        <v>0</v>
      </c>
      <c r="AS625" s="8">
        <v>25</v>
      </c>
      <c r="AT625" s="21">
        <v>0</v>
      </c>
      <c r="AU625" s="21">
        <v>0</v>
      </c>
      <c r="AV625" s="21">
        <v>0</v>
      </c>
      <c r="AW625" s="21">
        <v>0</v>
      </c>
      <c r="AX625" s="21">
        <v>25</v>
      </c>
      <c r="AY625" s="8">
        <v>0</v>
      </c>
    </row>
    <row r="626" spans="1:51" ht="15" customHeight="1" x14ac:dyDescent="0.25">
      <c r="A626" s="9">
        <v>742</v>
      </c>
      <c r="B626" s="13">
        <v>45740</v>
      </c>
      <c r="C626" s="9" t="s">
        <v>169</v>
      </c>
      <c r="D626" s="9">
        <v>9518628321</v>
      </c>
      <c r="E626" s="8">
        <v>1</v>
      </c>
      <c r="F626" s="9" t="s">
        <v>1238</v>
      </c>
      <c r="G626" s="79" t="s">
        <v>1303</v>
      </c>
      <c r="H626" s="9" t="s">
        <v>57</v>
      </c>
      <c r="I626" s="9" t="s">
        <v>25</v>
      </c>
      <c r="J626" s="9" t="s">
        <v>31</v>
      </c>
      <c r="K626" s="9">
        <v>2000</v>
      </c>
      <c r="L626" s="39"/>
      <c r="M626" s="7" t="s">
        <v>1</v>
      </c>
      <c r="N626" s="8"/>
      <c r="O626" s="40"/>
      <c r="P626" s="15" t="s">
        <v>194</v>
      </c>
      <c r="Q626" s="9" t="s">
        <v>172</v>
      </c>
      <c r="R626" s="9"/>
      <c r="S626" s="9"/>
      <c r="T626" s="9">
        <v>115841</v>
      </c>
      <c r="U626" s="16" t="s">
        <v>76</v>
      </c>
      <c r="V626" s="9">
        <v>3437524</v>
      </c>
      <c r="W626" s="8" t="s">
        <v>334</v>
      </c>
      <c r="X626" s="8" t="s">
        <v>175</v>
      </c>
      <c r="Y626" s="8"/>
      <c r="Z626" s="8"/>
      <c r="AA626" s="8"/>
      <c r="AB626" s="8"/>
      <c r="AC626" s="8" t="s">
        <v>210</v>
      </c>
      <c r="AD626" s="14" t="s">
        <v>211</v>
      </c>
      <c r="AE626" s="8" t="s">
        <v>212</v>
      </c>
      <c r="AF626" s="14">
        <v>0.4</v>
      </c>
      <c r="AG626" s="8">
        <v>1250</v>
      </c>
      <c r="AH626" s="8">
        <v>2030</v>
      </c>
      <c r="AI626" s="8">
        <v>75</v>
      </c>
      <c r="AJ626" s="8">
        <v>0</v>
      </c>
      <c r="AK626" s="127">
        <v>75</v>
      </c>
      <c r="AL626" s="103">
        <v>0</v>
      </c>
      <c r="AM626" s="8">
        <v>75</v>
      </c>
      <c r="AN626" s="21">
        <v>0</v>
      </c>
      <c r="AO626" s="21">
        <v>0</v>
      </c>
      <c r="AP626" s="21">
        <v>0</v>
      </c>
      <c r="AQ626" s="21">
        <v>75</v>
      </c>
      <c r="AR626" s="21">
        <v>0</v>
      </c>
      <c r="AS626" s="8">
        <v>75</v>
      </c>
      <c r="AT626" s="21">
        <v>0</v>
      </c>
      <c r="AU626" s="21">
        <v>0</v>
      </c>
      <c r="AV626" s="21">
        <v>0</v>
      </c>
      <c r="AW626" s="21">
        <v>0</v>
      </c>
      <c r="AX626" s="21">
        <v>75</v>
      </c>
      <c r="AY626" s="8">
        <v>0</v>
      </c>
    </row>
    <row r="627" spans="1:51" ht="15" customHeight="1" x14ac:dyDescent="0.25">
      <c r="A627" s="9">
        <v>742</v>
      </c>
      <c r="B627" s="13">
        <v>45763</v>
      </c>
      <c r="C627" s="9" t="s">
        <v>169</v>
      </c>
      <c r="D627" s="9">
        <v>9518696886</v>
      </c>
      <c r="E627" s="8">
        <v>5</v>
      </c>
      <c r="F627" s="9" t="s">
        <v>1239</v>
      </c>
      <c r="G627" s="9" t="s">
        <v>1303</v>
      </c>
      <c r="H627" s="9" t="s">
        <v>57</v>
      </c>
      <c r="I627" s="9" t="s">
        <v>25</v>
      </c>
      <c r="J627" s="9" t="s">
        <v>30</v>
      </c>
      <c r="K627" s="9">
        <v>2000</v>
      </c>
      <c r="L627" s="39"/>
      <c r="M627" s="7" t="s">
        <v>1</v>
      </c>
      <c r="N627" s="8"/>
      <c r="O627" s="40"/>
      <c r="P627" s="15" t="s">
        <v>194</v>
      </c>
      <c r="Q627" s="9" t="s">
        <v>172</v>
      </c>
      <c r="R627" s="9"/>
      <c r="S627" s="9"/>
      <c r="T627" s="9">
        <v>115841</v>
      </c>
      <c r="U627" s="16" t="s">
        <v>76</v>
      </c>
      <c r="V627" s="9">
        <v>322575</v>
      </c>
      <c r="W627" s="8" t="s">
        <v>534</v>
      </c>
      <c r="X627" s="8" t="s">
        <v>175</v>
      </c>
      <c r="Y627" s="8"/>
      <c r="Z627" s="8"/>
      <c r="AA627" s="8"/>
      <c r="AB627" s="8"/>
      <c r="AC627" s="8" t="s">
        <v>210</v>
      </c>
      <c r="AD627" s="14" t="s">
        <v>211</v>
      </c>
      <c r="AE627" s="8" t="s">
        <v>252</v>
      </c>
      <c r="AF627" s="14">
        <v>0.7</v>
      </c>
      <c r="AG627" s="8">
        <v>1250</v>
      </c>
      <c r="AH627" s="8">
        <v>0</v>
      </c>
      <c r="AI627" s="8">
        <v>33</v>
      </c>
      <c r="AJ627" s="8">
        <v>0</v>
      </c>
      <c r="AK627" s="127">
        <v>33</v>
      </c>
      <c r="AL627" s="103">
        <v>0</v>
      </c>
      <c r="AM627" s="8">
        <v>33</v>
      </c>
      <c r="AN627" s="21">
        <v>33</v>
      </c>
      <c r="AO627" s="21">
        <v>0</v>
      </c>
      <c r="AP627" s="21">
        <v>0</v>
      </c>
      <c r="AQ627" s="21">
        <v>0</v>
      </c>
      <c r="AR627" s="21">
        <v>0</v>
      </c>
      <c r="AS627" s="8">
        <v>33</v>
      </c>
      <c r="AT627" s="21">
        <v>0</v>
      </c>
      <c r="AU627" s="21">
        <v>33</v>
      </c>
      <c r="AV627" s="21">
        <v>0</v>
      </c>
      <c r="AW627" s="21">
        <v>0</v>
      </c>
      <c r="AX627" s="21">
        <v>0</v>
      </c>
      <c r="AY627" s="8">
        <v>0</v>
      </c>
    </row>
    <row r="628" spans="1:51" ht="15" customHeight="1" x14ac:dyDescent="0.25">
      <c r="A628" s="9">
        <v>742</v>
      </c>
      <c r="B628" s="13">
        <v>45742</v>
      </c>
      <c r="C628" s="9" t="s">
        <v>169</v>
      </c>
      <c r="D628" s="9">
        <v>9518637097</v>
      </c>
      <c r="E628" s="8">
        <v>3</v>
      </c>
      <c r="F628" s="9" t="s">
        <v>1240</v>
      </c>
      <c r="G628" s="79" t="s">
        <v>1303</v>
      </c>
      <c r="H628" s="9" t="s">
        <v>57</v>
      </c>
      <c r="I628" s="9" t="s">
        <v>25</v>
      </c>
      <c r="J628" s="9" t="s">
        <v>31</v>
      </c>
      <c r="K628" s="9">
        <v>2000</v>
      </c>
      <c r="L628" s="39"/>
      <c r="M628" s="7" t="s">
        <v>1</v>
      </c>
      <c r="N628" s="8"/>
      <c r="O628" s="40"/>
      <c r="P628" s="15" t="s">
        <v>363</v>
      </c>
      <c r="Q628" s="9" t="s">
        <v>180</v>
      </c>
      <c r="R628" s="9"/>
      <c r="S628" s="9"/>
      <c r="T628" s="9">
        <v>139336</v>
      </c>
      <c r="U628" s="16" t="s">
        <v>369</v>
      </c>
      <c r="V628" s="9">
        <v>3239557</v>
      </c>
      <c r="W628" s="8" t="s">
        <v>750</v>
      </c>
      <c r="X628" s="8" t="s">
        <v>175</v>
      </c>
      <c r="Y628" s="8"/>
      <c r="Z628" s="8"/>
      <c r="AA628" s="8"/>
      <c r="AB628" s="8"/>
      <c r="AC628" s="8" t="s">
        <v>210</v>
      </c>
      <c r="AD628" s="14" t="s">
        <v>211</v>
      </c>
      <c r="AE628" s="8" t="s">
        <v>212</v>
      </c>
      <c r="AF628" s="14">
        <v>0.4</v>
      </c>
      <c r="AG628" s="8">
        <v>1250</v>
      </c>
      <c r="AH628" s="8">
        <v>0</v>
      </c>
      <c r="AI628" s="8">
        <v>30</v>
      </c>
      <c r="AJ628" s="8">
        <v>0</v>
      </c>
      <c r="AK628" s="127">
        <v>30</v>
      </c>
      <c r="AL628" s="103">
        <v>0</v>
      </c>
      <c r="AM628" s="8">
        <v>30</v>
      </c>
      <c r="AN628" s="21">
        <v>0</v>
      </c>
      <c r="AO628" s="21">
        <v>0</v>
      </c>
      <c r="AP628" s="21">
        <v>0</v>
      </c>
      <c r="AQ628" s="21">
        <v>30</v>
      </c>
      <c r="AR628" s="21">
        <v>0</v>
      </c>
      <c r="AS628" s="8">
        <v>30</v>
      </c>
      <c r="AT628" s="21">
        <v>0</v>
      </c>
      <c r="AU628" s="21">
        <v>0</v>
      </c>
      <c r="AV628" s="21">
        <v>0</v>
      </c>
      <c r="AW628" s="21">
        <v>0</v>
      </c>
      <c r="AX628" s="21">
        <v>30</v>
      </c>
      <c r="AY628" s="8">
        <v>0</v>
      </c>
    </row>
    <row r="629" spans="1:51" ht="15" customHeight="1" x14ac:dyDescent="0.25">
      <c r="A629" s="9">
        <v>743</v>
      </c>
      <c r="B629" s="13">
        <v>45743</v>
      </c>
      <c r="C629" s="9" t="s">
        <v>169</v>
      </c>
      <c r="D629" s="9">
        <v>9518644745</v>
      </c>
      <c r="E629" s="8">
        <v>2</v>
      </c>
      <c r="F629" s="9" t="s">
        <v>1241</v>
      </c>
      <c r="G629" s="9" t="s">
        <v>1687</v>
      </c>
      <c r="H629" s="9" t="s">
        <v>57</v>
      </c>
      <c r="I629" s="9" t="s">
        <v>38</v>
      </c>
      <c r="J629" s="9" t="s">
        <v>28</v>
      </c>
      <c r="K629" s="9">
        <v>1000</v>
      </c>
      <c r="L629" s="39"/>
      <c r="M629" s="7" t="s">
        <v>1</v>
      </c>
      <c r="N629" s="8"/>
      <c r="O629" s="40" t="s">
        <v>1354</v>
      </c>
      <c r="P629" s="15" t="s">
        <v>244</v>
      </c>
      <c r="Q629" s="9" t="s">
        <v>188</v>
      </c>
      <c r="R629" s="9"/>
      <c r="S629" s="9"/>
      <c r="T629" s="9">
        <v>942186</v>
      </c>
      <c r="U629" s="16" t="s">
        <v>1273</v>
      </c>
      <c r="V629" s="9">
        <v>1707170</v>
      </c>
      <c r="W629" s="8" t="s">
        <v>1278</v>
      </c>
      <c r="X629" s="8">
        <v>70</v>
      </c>
      <c r="Y629" s="8"/>
      <c r="Z629" s="8"/>
      <c r="AA629" s="8"/>
      <c r="AB629" s="8"/>
      <c r="AC629" s="8" t="s">
        <v>222</v>
      </c>
      <c r="AD629" s="14" t="s">
        <v>223</v>
      </c>
      <c r="AE629" s="8" t="s">
        <v>301</v>
      </c>
      <c r="AF629" s="14">
        <v>0.42</v>
      </c>
      <c r="AG629" s="8">
        <v>1220</v>
      </c>
      <c r="AH629" s="8">
        <v>0</v>
      </c>
      <c r="AI629" s="8">
        <v>112</v>
      </c>
      <c r="AJ629" s="8">
        <v>0</v>
      </c>
      <c r="AK629" s="127">
        <v>63.45</v>
      </c>
      <c r="AL629" s="103">
        <v>48.55</v>
      </c>
      <c r="AM629" s="8">
        <v>0</v>
      </c>
      <c r="AN629" s="21">
        <v>0</v>
      </c>
      <c r="AO629" s="21">
        <v>0</v>
      </c>
      <c r="AP629" s="21">
        <v>0</v>
      </c>
      <c r="AQ629" s="21">
        <v>0</v>
      </c>
      <c r="AR629" s="21">
        <v>0</v>
      </c>
      <c r="AS629" s="8">
        <v>48.55</v>
      </c>
      <c r="AT629" s="21">
        <v>48.55</v>
      </c>
      <c r="AU629" s="21">
        <v>0</v>
      </c>
      <c r="AV629" s="21">
        <v>0</v>
      </c>
      <c r="AW629" s="21">
        <v>0</v>
      </c>
      <c r="AX629" s="21">
        <v>0</v>
      </c>
      <c r="AY629" s="8">
        <v>0</v>
      </c>
    </row>
    <row r="630" spans="1:51" ht="15" customHeight="1" x14ac:dyDescent="0.25">
      <c r="A630" s="9">
        <v>742</v>
      </c>
      <c r="B630" s="13">
        <v>45737</v>
      </c>
      <c r="C630" s="9" t="s">
        <v>169</v>
      </c>
      <c r="D630" s="9">
        <v>9518620159</v>
      </c>
      <c r="E630" s="8">
        <v>4</v>
      </c>
      <c r="F630" s="9" t="s">
        <v>1242</v>
      </c>
      <c r="G630" s="79" t="s">
        <v>1303</v>
      </c>
      <c r="H630" s="9" t="s">
        <v>57</v>
      </c>
      <c r="I630" s="9" t="s">
        <v>25</v>
      </c>
      <c r="J630" s="9" t="s">
        <v>31</v>
      </c>
      <c r="K630" s="9">
        <v>2000</v>
      </c>
      <c r="L630" s="39"/>
      <c r="M630" s="7" t="s">
        <v>1</v>
      </c>
      <c r="N630" s="8"/>
      <c r="O630" s="40"/>
      <c r="P630" s="15" t="s">
        <v>363</v>
      </c>
      <c r="Q630" s="9" t="s">
        <v>180</v>
      </c>
      <c r="R630" s="9"/>
      <c r="S630" s="9"/>
      <c r="T630" s="9">
        <v>931662</v>
      </c>
      <c r="U630" s="16" t="s">
        <v>93</v>
      </c>
      <c r="V630" s="9">
        <v>3239557</v>
      </c>
      <c r="W630" s="8" t="s">
        <v>750</v>
      </c>
      <c r="X630" s="8" t="s">
        <v>175</v>
      </c>
      <c r="Y630" s="8"/>
      <c r="Z630" s="8"/>
      <c r="AA630" s="8"/>
      <c r="AB630" s="8"/>
      <c r="AC630" s="8" t="s">
        <v>210</v>
      </c>
      <c r="AD630" s="14" t="s">
        <v>211</v>
      </c>
      <c r="AE630" s="8" t="s">
        <v>212</v>
      </c>
      <c r="AF630" s="14">
        <v>0.4</v>
      </c>
      <c r="AG630" s="8">
        <v>1250</v>
      </c>
      <c r="AH630" s="8">
        <v>0</v>
      </c>
      <c r="AI630" s="8">
        <v>30</v>
      </c>
      <c r="AJ630" s="8">
        <v>0</v>
      </c>
      <c r="AK630" s="127">
        <v>30</v>
      </c>
      <c r="AL630" s="103">
        <v>0</v>
      </c>
      <c r="AM630" s="8">
        <v>30</v>
      </c>
      <c r="AN630" s="21">
        <v>0</v>
      </c>
      <c r="AO630" s="21">
        <v>0</v>
      </c>
      <c r="AP630" s="21">
        <v>0</v>
      </c>
      <c r="AQ630" s="21">
        <v>30</v>
      </c>
      <c r="AR630" s="21">
        <v>0</v>
      </c>
      <c r="AS630" s="8">
        <v>30</v>
      </c>
      <c r="AT630" s="21">
        <v>0</v>
      </c>
      <c r="AU630" s="21">
        <v>0</v>
      </c>
      <c r="AV630" s="21">
        <v>0</v>
      </c>
      <c r="AW630" s="21">
        <v>0</v>
      </c>
      <c r="AX630" s="21">
        <v>30</v>
      </c>
      <c r="AY630" s="8">
        <v>0</v>
      </c>
    </row>
    <row r="631" spans="1:51" ht="15" customHeight="1" x14ac:dyDescent="0.25">
      <c r="A631" s="9">
        <v>742</v>
      </c>
      <c r="B631" s="13">
        <v>45749</v>
      </c>
      <c r="C631" s="9" t="s">
        <v>169</v>
      </c>
      <c r="D631" s="9">
        <v>9518664146</v>
      </c>
      <c r="E631" s="8">
        <v>2</v>
      </c>
      <c r="F631" s="9" t="s">
        <v>1243</v>
      </c>
      <c r="G631" s="79" t="s">
        <v>1303</v>
      </c>
      <c r="H631" s="9" t="s">
        <v>57</v>
      </c>
      <c r="I631" s="9" t="s">
        <v>25</v>
      </c>
      <c r="J631" s="9" t="s">
        <v>31</v>
      </c>
      <c r="K631" s="9">
        <v>2000</v>
      </c>
      <c r="L631" s="39"/>
      <c r="M631" s="7" t="s">
        <v>1</v>
      </c>
      <c r="N631" s="8"/>
      <c r="O631" s="40"/>
      <c r="P631" s="15" t="s">
        <v>207</v>
      </c>
      <c r="Q631" s="9" t="s">
        <v>180</v>
      </c>
      <c r="R631" s="9"/>
      <c r="S631" s="9"/>
      <c r="T631" s="9">
        <v>925093</v>
      </c>
      <c r="U631" s="16" t="s">
        <v>79</v>
      </c>
      <c r="V631" s="9">
        <v>2440959</v>
      </c>
      <c r="W631" s="8" t="s">
        <v>263</v>
      </c>
      <c r="X631" s="8" t="s">
        <v>175</v>
      </c>
      <c r="Y631" s="8"/>
      <c r="Z631" s="8"/>
      <c r="AA631" s="8"/>
      <c r="AB631" s="8"/>
      <c r="AC631" s="8" t="s">
        <v>210</v>
      </c>
      <c r="AD631" s="14" t="s">
        <v>211</v>
      </c>
      <c r="AE631" s="8" t="s">
        <v>212</v>
      </c>
      <c r="AF631" s="14">
        <v>0.33</v>
      </c>
      <c r="AG631" s="8">
        <v>900</v>
      </c>
      <c r="AH631" s="8">
        <v>2500</v>
      </c>
      <c r="AI631" s="8">
        <v>24</v>
      </c>
      <c r="AJ631" s="8">
        <v>0</v>
      </c>
      <c r="AK631" s="127">
        <v>24</v>
      </c>
      <c r="AL631" s="103">
        <v>0</v>
      </c>
      <c r="AM631" s="8">
        <v>24</v>
      </c>
      <c r="AN631" s="21">
        <v>0</v>
      </c>
      <c r="AO631" s="21">
        <v>0</v>
      </c>
      <c r="AP631" s="21">
        <v>0</v>
      </c>
      <c r="AQ631" s="21">
        <v>0</v>
      </c>
      <c r="AR631" s="21">
        <v>24</v>
      </c>
      <c r="AS631" s="8">
        <v>24</v>
      </c>
      <c r="AT631" s="21">
        <v>0</v>
      </c>
      <c r="AU631" s="21">
        <v>0</v>
      </c>
      <c r="AV631" s="21">
        <v>0</v>
      </c>
      <c r="AW631" s="21">
        <v>0</v>
      </c>
      <c r="AX631" s="21">
        <v>24</v>
      </c>
      <c r="AY631" s="8">
        <v>0</v>
      </c>
    </row>
    <row r="632" spans="1:51" ht="15" customHeight="1" x14ac:dyDescent="0.25">
      <c r="A632" s="9">
        <v>742</v>
      </c>
      <c r="B632" s="13">
        <v>45749</v>
      </c>
      <c r="C632" s="9" t="s">
        <v>169</v>
      </c>
      <c r="D632" s="9">
        <v>9518664146</v>
      </c>
      <c r="E632" s="8">
        <v>3</v>
      </c>
      <c r="F632" s="9" t="s">
        <v>1244</v>
      </c>
      <c r="G632" s="79" t="s">
        <v>1303</v>
      </c>
      <c r="H632" s="9" t="s">
        <v>57</v>
      </c>
      <c r="I632" s="9" t="s">
        <v>25</v>
      </c>
      <c r="J632" s="9" t="s">
        <v>31</v>
      </c>
      <c r="K632" s="9">
        <v>2000</v>
      </c>
      <c r="L632" s="39"/>
      <c r="M632" s="7" t="s">
        <v>1</v>
      </c>
      <c r="N632" s="8"/>
      <c r="O632" s="40"/>
      <c r="P632" s="15" t="s">
        <v>207</v>
      </c>
      <c r="Q632" s="9" t="s">
        <v>180</v>
      </c>
      <c r="R632" s="9"/>
      <c r="S632" s="9"/>
      <c r="T632" s="9">
        <v>925093</v>
      </c>
      <c r="U632" s="16" t="s">
        <v>79</v>
      </c>
      <c r="V632" s="9">
        <v>3239548</v>
      </c>
      <c r="W632" s="8" t="s">
        <v>486</v>
      </c>
      <c r="X632" s="8" t="s">
        <v>175</v>
      </c>
      <c r="Y632" s="8"/>
      <c r="Z632" s="8"/>
      <c r="AA632" s="8"/>
      <c r="AB632" s="8"/>
      <c r="AC632" s="8" t="s">
        <v>210</v>
      </c>
      <c r="AD632" s="14" t="s">
        <v>211</v>
      </c>
      <c r="AE632" s="8" t="s">
        <v>212</v>
      </c>
      <c r="AF632" s="14">
        <v>0.4</v>
      </c>
      <c r="AG632" s="8">
        <v>900</v>
      </c>
      <c r="AH632" s="8">
        <v>2500</v>
      </c>
      <c r="AI632" s="8">
        <v>24</v>
      </c>
      <c r="AJ632" s="8">
        <v>0</v>
      </c>
      <c r="AK632" s="127">
        <v>24</v>
      </c>
      <c r="AL632" s="103">
        <v>0</v>
      </c>
      <c r="AM632" s="8">
        <v>24</v>
      </c>
      <c r="AN632" s="21">
        <v>0</v>
      </c>
      <c r="AO632" s="21">
        <v>24</v>
      </c>
      <c r="AP632" s="21">
        <v>0</v>
      </c>
      <c r="AQ632" s="21">
        <v>0</v>
      </c>
      <c r="AR632" s="21">
        <v>0</v>
      </c>
      <c r="AS632" s="8">
        <v>24</v>
      </c>
      <c r="AT632" s="21">
        <v>0</v>
      </c>
      <c r="AU632" s="21">
        <v>0</v>
      </c>
      <c r="AV632" s="21">
        <v>24</v>
      </c>
      <c r="AW632" s="21">
        <v>0</v>
      </c>
      <c r="AX632" s="21">
        <v>0</v>
      </c>
      <c r="AY632" s="8">
        <v>0</v>
      </c>
    </row>
    <row r="633" spans="1:51" ht="15" customHeight="1" x14ac:dyDescent="0.25">
      <c r="A633" s="9">
        <v>742</v>
      </c>
      <c r="B633" s="13">
        <v>45727</v>
      </c>
      <c r="C633" s="9" t="s">
        <v>169</v>
      </c>
      <c r="D633" s="9">
        <v>9518593412</v>
      </c>
      <c r="E633" s="8">
        <v>3</v>
      </c>
      <c r="F633" s="9" t="s">
        <v>1245</v>
      </c>
      <c r="G633" s="79" t="s">
        <v>1303</v>
      </c>
      <c r="H633" s="9" t="s">
        <v>57</v>
      </c>
      <c r="I633" s="9" t="s">
        <v>25</v>
      </c>
      <c r="J633" s="9" t="s">
        <v>31</v>
      </c>
      <c r="K633" s="9">
        <v>2000</v>
      </c>
      <c r="L633" s="39"/>
      <c r="M633" s="7" t="s">
        <v>1</v>
      </c>
      <c r="N633" s="8"/>
      <c r="O633" s="40"/>
      <c r="P633" s="15" t="s">
        <v>220</v>
      </c>
      <c r="Q633" s="9" t="s">
        <v>180</v>
      </c>
      <c r="R633" s="9"/>
      <c r="S633" s="9"/>
      <c r="T633" s="9">
        <v>121328</v>
      </c>
      <c r="U633" s="16" t="s">
        <v>81</v>
      </c>
      <c r="V633" s="9">
        <v>3152198</v>
      </c>
      <c r="W633" s="8" t="s">
        <v>374</v>
      </c>
      <c r="X633" s="8" t="s">
        <v>175</v>
      </c>
      <c r="Y633" s="8"/>
      <c r="Z633" s="8"/>
      <c r="AA633" s="8"/>
      <c r="AB633" s="8"/>
      <c r="AC633" s="8" t="s">
        <v>210</v>
      </c>
      <c r="AD633" s="14" t="s">
        <v>211</v>
      </c>
      <c r="AE633" s="8" t="s">
        <v>212</v>
      </c>
      <c r="AF633" s="14">
        <v>0.38</v>
      </c>
      <c r="AG633" s="8">
        <v>1000</v>
      </c>
      <c r="AH633" s="8">
        <v>2500</v>
      </c>
      <c r="AI633" s="8">
        <v>30</v>
      </c>
      <c r="AJ633" s="8">
        <v>0</v>
      </c>
      <c r="AK633" s="127">
        <v>30</v>
      </c>
      <c r="AL633" s="103">
        <v>0</v>
      </c>
      <c r="AM633" s="8">
        <v>30</v>
      </c>
      <c r="AN633" s="21">
        <v>0</v>
      </c>
      <c r="AO633" s="21">
        <v>0</v>
      </c>
      <c r="AP633" s="21">
        <v>0</v>
      </c>
      <c r="AQ633" s="21">
        <v>30</v>
      </c>
      <c r="AR633" s="21">
        <v>0</v>
      </c>
      <c r="AS633" s="8">
        <v>30</v>
      </c>
      <c r="AT633" s="21">
        <v>0</v>
      </c>
      <c r="AU633" s="21">
        <v>0</v>
      </c>
      <c r="AV633" s="21">
        <v>0</v>
      </c>
      <c r="AW633" s="21">
        <v>0</v>
      </c>
      <c r="AX633" s="21">
        <v>30</v>
      </c>
      <c r="AY633" s="8">
        <v>0</v>
      </c>
    </row>
    <row r="634" spans="1:51" ht="15" customHeight="1" x14ac:dyDescent="0.25">
      <c r="A634" s="9">
        <v>743</v>
      </c>
      <c r="B634" s="13">
        <v>45717</v>
      </c>
      <c r="C634" s="9" t="s">
        <v>169</v>
      </c>
      <c r="D634" s="9">
        <v>9518567477</v>
      </c>
      <c r="E634" s="8">
        <v>1</v>
      </c>
      <c r="F634" s="9" t="s">
        <v>1246</v>
      </c>
      <c r="G634" s="79" t="s">
        <v>1303</v>
      </c>
      <c r="H634" s="9" t="s">
        <v>57</v>
      </c>
      <c r="I634" s="9" t="s">
        <v>43</v>
      </c>
      <c r="J634" s="9" t="s">
        <v>45</v>
      </c>
      <c r="K634" s="9">
        <v>2000</v>
      </c>
      <c r="L634" s="39"/>
      <c r="M634" s="7" t="s">
        <v>1</v>
      </c>
      <c r="N634" s="8"/>
      <c r="O634" s="40"/>
      <c r="P634" s="15" t="s">
        <v>216</v>
      </c>
      <c r="Q634" s="9" t="s">
        <v>180</v>
      </c>
      <c r="R634" s="9"/>
      <c r="S634" s="9"/>
      <c r="T634" s="9">
        <v>116649</v>
      </c>
      <c r="U634" s="16" t="s">
        <v>96</v>
      </c>
      <c r="V634" s="9">
        <v>1854363</v>
      </c>
      <c r="W634" s="8" t="s">
        <v>762</v>
      </c>
      <c r="X634" s="8" t="s">
        <v>175</v>
      </c>
      <c r="Y634" s="8"/>
      <c r="Z634" s="8"/>
      <c r="AA634" s="8"/>
      <c r="AB634" s="8"/>
      <c r="AC634" s="8" t="s">
        <v>238</v>
      </c>
      <c r="AD634" s="14" t="s">
        <v>185</v>
      </c>
      <c r="AE634" s="8" t="s">
        <v>309</v>
      </c>
      <c r="AF634" s="14">
        <v>0.22</v>
      </c>
      <c r="AG634" s="8">
        <v>900</v>
      </c>
      <c r="AH634" s="8">
        <v>0</v>
      </c>
      <c r="AI634" s="8">
        <v>21</v>
      </c>
      <c r="AJ634" s="8">
        <v>0</v>
      </c>
      <c r="AK634" s="127">
        <v>21</v>
      </c>
      <c r="AL634" s="103">
        <v>0</v>
      </c>
      <c r="AM634" s="8">
        <v>21</v>
      </c>
      <c r="AN634" s="21">
        <v>0</v>
      </c>
      <c r="AO634" s="21">
        <v>0</v>
      </c>
      <c r="AP634" s="21">
        <v>21</v>
      </c>
      <c r="AQ634" s="21">
        <v>0</v>
      </c>
      <c r="AR634" s="21">
        <v>0</v>
      </c>
      <c r="AS634" s="8">
        <v>21</v>
      </c>
      <c r="AT634" s="21">
        <v>0</v>
      </c>
      <c r="AU634" s="21">
        <v>0</v>
      </c>
      <c r="AV634" s="21">
        <v>0</v>
      </c>
      <c r="AW634" s="21">
        <v>21</v>
      </c>
      <c r="AX634" s="21">
        <v>0</v>
      </c>
      <c r="AY634" s="8">
        <v>0</v>
      </c>
    </row>
    <row r="635" spans="1:51" ht="15" customHeight="1" x14ac:dyDescent="0.25">
      <c r="A635" s="9">
        <v>743</v>
      </c>
      <c r="B635" s="13">
        <v>45723</v>
      </c>
      <c r="C635" s="9" t="s">
        <v>169</v>
      </c>
      <c r="D635" s="9">
        <v>9518583256</v>
      </c>
      <c r="E635" s="8">
        <v>1</v>
      </c>
      <c r="F635" s="9" t="s">
        <v>1247</v>
      </c>
      <c r="G635" s="79" t="s">
        <v>1303</v>
      </c>
      <c r="H635" s="9" t="s">
        <v>57</v>
      </c>
      <c r="I635" s="9" t="s">
        <v>43</v>
      </c>
      <c r="J635" s="9" t="s">
        <v>45</v>
      </c>
      <c r="K635" s="9">
        <v>2000</v>
      </c>
      <c r="L635" s="39"/>
      <c r="M635" s="7" t="s">
        <v>1</v>
      </c>
      <c r="N635" s="8"/>
      <c r="O635" s="40"/>
      <c r="P635" s="15" t="s">
        <v>216</v>
      </c>
      <c r="Q635" s="9" t="s">
        <v>180</v>
      </c>
      <c r="R635" s="9"/>
      <c r="S635" s="9"/>
      <c r="T635" s="9">
        <v>116649</v>
      </c>
      <c r="U635" s="16" t="s">
        <v>96</v>
      </c>
      <c r="V635" s="9">
        <v>1142895</v>
      </c>
      <c r="W635" s="8" t="s">
        <v>752</v>
      </c>
      <c r="X635" s="8" t="s">
        <v>175</v>
      </c>
      <c r="Y635" s="8"/>
      <c r="Z635" s="8"/>
      <c r="AA635" s="8"/>
      <c r="AB635" s="8"/>
      <c r="AC635" s="8" t="s">
        <v>238</v>
      </c>
      <c r="AD635" s="14" t="s">
        <v>185</v>
      </c>
      <c r="AE635" s="8" t="s">
        <v>309</v>
      </c>
      <c r="AF635" s="14">
        <v>0.5</v>
      </c>
      <c r="AG635" s="8">
        <v>900</v>
      </c>
      <c r="AH635" s="8">
        <v>0</v>
      </c>
      <c r="AI635" s="8">
        <v>42</v>
      </c>
      <c r="AJ635" s="8">
        <v>0</v>
      </c>
      <c r="AK635" s="127">
        <v>42</v>
      </c>
      <c r="AL635" s="103">
        <v>0</v>
      </c>
      <c r="AM635" s="8">
        <v>42</v>
      </c>
      <c r="AN635" s="21">
        <v>42</v>
      </c>
      <c r="AO635" s="21">
        <v>0</v>
      </c>
      <c r="AP635" s="21">
        <v>0</v>
      </c>
      <c r="AQ635" s="21">
        <v>0</v>
      </c>
      <c r="AR635" s="21">
        <v>0</v>
      </c>
      <c r="AS635" s="8">
        <v>42</v>
      </c>
      <c r="AT635" s="21">
        <v>0</v>
      </c>
      <c r="AU635" s="21">
        <v>42</v>
      </c>
      <c r="AV635" s="21">
        <v>0</v>
      </c>
      <c r="AW635" s="21">
        <v>0</v>
      </c>
      <c r="AX635" s="21">
        <v>0</v>
      </c>
      <c r="AY635" s="8">
        <v>0</v>
      </c>
    </row>
    <row r="636" spans="1:51" ht="15" customHeight="1" x14ac:dyDescent="0.25">
      <c r="A636" s="9">
        <v>743</v>
      </c>
      <c r="B636" s="13">
        <v>45738</v>
      </c>
      <c r="C636" s="9" t="s">
        <v>169</v>
      </c>
      <c r="D636" s="9">
        <v>9518623643</v>
      </c>
      <c r="E636" s="8">
        <v>1</v>
      </c>
      <c r="F636" s="9" t="s">
        <v>1248</v>
      </c>
      <c r="G636" s="79" t="s">
        <v>1303</v>
      </c>
      <c r="H636" s="9" t="s">
        <v>57</v>
      </c>
      <c r="I636" s="9" t="s">
        <v>43</v>
      </c>
      <c r="J636" s="9" t="s">
        <v>45</v>
      </c>
      <c r="K636" s="9">
        <v>2000</v>
      </c>
      <c r="L636" s="39"/>
      <c r="M636" s="7" t="s">
        <v>1</v>
      </c>
      <c r="N636" s="8"/>
      <c r="O636" s="40"/>
      <c r="P636" s="15" t="s">
        <v>216</v>
      </c>
      <c r="Q636" s="9" t="s">
        <v>180</v>
      </c>
      <c r="R636" s="9"/>
      <c r="S636" s="9"/>
      <c r="T636" s="9">
        <v>116649</v>
      </c>
      <c r="U636" s="16" t="s">
        <v>96</v>
      </c>
      <c r="V636" s="9">
        <v>1851074</v>
      </c>
      <c r="W636" s="8" t="s">
        <v>753</v>
      </c>
      <c r="X636" s="8" t="s">
        <v>175</v>
      </c>
      <c r="Y636" s="8"/>
      <c r="Z636" s="8"/>
      <c r="AA636" s="8"/>
      <c r="AB636" s="8"/>
      <c r="AC636" s="8" t="s">
        <v>238</v>
      </c>
      <c r="AD636" s="14" t="s">
        <v>185</v>
      </c>
      <c r="AE636" s="8" t="s">
        <v>309</v>
      </c>
      <c r="AF636" s="14">
        <v>0.28000000000000003</v>
      </c>
      <c r="AG636" s="8">
        <v>900</v>
      </c>
      <c r="AH636" s="8">
        <v>0</v>
      </c>
      <c r="AI636" s="8">
        <v>63</v>
      </c>
      <c r="AJ636" s="8">
        <v>0</v>
      </c>
      <c r="AK636" s="127">
        <v>63</v>
      </c>
      <c r="AL636" s="103">
        <v>0</v>
      </c>
      <c r="AM636" s="8">
        <v>63</v>
      </c>
      <c r="AN636" s="21">
        <v>0</v>
      </c>
      <c r="AO636" s="21">
        <v>0</v>
      </c>
      <c r="AP636" s="21">
        <v>0</v>
      </c>
      <c r="AQ636" s="21">
        <v>63</v>
      </c>
      <c r="AR636" s="21">
        <v>0</v>
      </c>
      <c r="AS636" s="8">
        <v>0</v>
      </c>
      <c r="AT636" s="21">
        <v>0</v>
      </c>
      <c r="AU636" s="21">
        <v>0</v>
      </c>
      <c r="AV636" s="21">
        <v>0</v>
      </c>
      <c r="AW636" s="21">
        <v>0</v>
      </c>
      <c r="AX636" s="21">
        <v>0</v>
      </c>
      <c r="AY636" s="8">
        <v>63</v>
      </c>
    </row>
    <row r="637" spans="1:51" ht="15" customHeight="1" x14ac:dyDescent="0.25">
      <c r="A637" s="9">
        <v>742</v>
      </c>
      <c r="B637" s="13">
        <v>45741</v>
      </c>
      <c r="C637" s="9" t="s">
        <v>169</v>
      </c>
      <c r="D637" s="9">
        <v>9518631268</v>
      </c>
      <c r="E637" s="8">
        <v>1</v>
      </c>
      <c r="F637" s="9" t="s">
        <v>1249</v>
      </c>
      <c r="G637" s="9" t="s">
        <v>1687</v>
      </c>
      <c r="H637" s="9" t="s">
        <v>57</v>
      </c>
      <c r="I637" s="9" t="s">
        <v>25</v>
      </c>
      <c r="J637" s="9" t="s">
        <v>30</v>
      </c>
      <c r="K637" s="9">
        <v>2000</v>
      </c>
      <c r="L637" s="39"/>
      <c r="M637" s="7" t="s">
        <v>1</v>
      </c>
      <c r="N637" s="8"/>
      <c r="O637" s="40"/>
      <c r="P637" s="15" t="s">
        <v>216</v>
      </c>
      <c r="Q637" s="9" t="s">
        <v>180</v>
      </c>
      <c r="R637" s="9"/>
      <c r="S637" s="9"/>
      <c r="T637" s="9">
        <v>936511</v>
      </c>
      <c r="U637" s="16" t="s">
        <v>122</v>
      </c>
      <c r="V637" s="9">
        <v>206969</v>
      </c>
      <c r="W637" s="8" t="s">
        <v>1279</v>
      </c>
      <c r="X637" s="8" t="s">
        <v>175</v>
      </c>
      <c r="Y637" s="8"/>
      <c r="Z637" s="8"/>
      <c r="AA637" s="8"/>
      <c r="AB637" s="8"/>
      <c r="AC637" s="8" t="s">
        <v>190</v>
      </c>
      <c r="AD637" s="14" t="s">
        <v>191</v>
      </c>
      <c r="AE637" s="8" t="s">
        <v>192</v>
      </c>
      <c r="AF637" s="14">
        <v>0.4</v>
      </c>
      <c r="AG637" s="8">
        <v>1220</v>
      </c>
      <c r="AH637" s="8">
        <v>0</v>
      </c>
      <c r="AI637" s="8">
        <v>56</v>
      </c>
      <c r="AJ637" s="8">
        <v>0</v>
      </c>
      <c r="AK637" s="127">
        <v>16.920000000000002</v>
      </c>
      <c r="AL637" s="103">
        <v>11.08</v>
      </c>
      <c r="AM637" s="8">
        <v>0</v>
      </c>
      <c r="AN637" s="21">
        <v>0</v>
      </c>
      <c r="AO637" s="21">
        <v>0</v>
      </c>
      <c r="AP637" s="21">
        <v>0</v>
      </c>
      <c r="AQ637" s="21">
        <v>0</v>
      </c>
      <c r="AR637" s="21">
        <v>0</v>
      </c>
      <c r="AS637" s="8">
        <v>11.08</v>
      </c>
      <c r="AT637" s="21">
        <v>11.08</v>
      </c>
      <c r="AU637" s="21">
        <v>0</v>
      </c>
      <c r="AV637" s="21">
        <v>0</v>
      </c>
      <c r="AW637" s="21">
        <v>0</v>
      </c>
      <c r="AX637" s="21">
        <v>0</v>
      </c>
      <c r="AY637" s="8">
        <v>0</v>
      </c>
    </row>
    <row r="638" spans="1:51" ht="15" customHeight="1" x14ac:dyDescent="0.25">
      <c r="A638" s="9">
        <v>743</v>
      </c>
      <c r="B638" s="13">
        <v>45734</v>
      </c>
      <c r="C638" s="9" t="s">
        <v>169</v>
      </c>
      <c r="D638" s="9">
        <v>9518610170</v>
      </c>
      <c r="E638" s="8">
        <v>1</v>
      </c>
      <c r="F638" s="9" t="s">
        <v>1250</v>
      </c>
      <c r="G638" s="9" t="s">
        <v>1303</v>
      </c>
      <c r="H638" s="9" t="s">
        <v>57</v>
      </c>
      <c r="I638" s="9" t="s">
        <v>43</v>
      </c>
      <c r="J638" s="9" t="s">
        <v>26</v>
      </c>
      <c r="K638" s="9">
        <v>2200</v>
      </c>
      <c r="L638" s="39"/>
      <c r="M638" s="7" t="s">
        <v>1</v>
      </c>
      <c r="N638" s="8"/>
      <c r="O638" s="40"/>
      <c r="P638" s="15" t="s">
        <v>171</v>
      </c>
      <c r="Q638" s="9" t="s">
        <v>172</v>
      </c>
      <c r="R638" s="9"/>
      <c r="S638" s="9"/>
      <c r="T638" s="9">
        <v>936528</v>
      </c>
      <c r="U638" s="16" t="s">
        <v>111</v>
      </c>
      <c r="V638" s="9">
        <v>3859860</v>
      </c>
      <c r="W638" s="8" t="s">
        <v>767</v>
      </c>
      <c r="X638" s="8">
        <v>80</v>
      </c>
      <c r="Y638" s="8"/>
      <c r="Z638" s="8"/>
      <c r="AA638" s="8"/>
      <c r="AB638" s="8"/>
      <c r="AC638" s="8" t="s">
        <v>269</v>
      </c>
      <c r="AD638" s="14" t="s">
        <v>388</v>
      </c>
      <c r="AE638" s="8" t="s">
        <v>389</v>
      </c>
      <c r="AF638" s="14">
        <v>0.5</v>
      </c>
      <c r="AG638" s="8">
        <v>1220</v>
      </c>
      <c r="AH638" s="8">
        <v>0</v>
      </c>
      <c r="AI638" s="8">
        <v>252</v>
      </c>
      <c r="AJ638" s="8">
        <v>0</v>
      </c>
      <c r="AK638" s="127">
        <v>252</v>
      </c>
      <c r="AL638" s="103">
        <v>0</v>
      </c>
      <c r="AM638" s="8">
        <v>252</v>
      </c>
      <c r="AN638" s="21">
        <v>0</v>
      </c>
      <c r="AO638" s="21">
        <v>252</v>
      </c>
      <c r="AP638" s="21">
        <v>0</v>
      </c>
      <c r="AQ638" s="21">
        <v>0</v>
      </c>
      <c r="AR638" s="21">
        <v>0</v>
      </c>
      <c r="AS638" s="8">
        <v>252</v>
      </c>
      <c r="AT638" s="21">
        <v>0</v>
      </c>
      <c r="AU638" s="21">
        <v>0</v>
      </c>
      <c r="AV638" s="21">
        <v>252</v>
      </c>
      <c r="AW638" s="21">
        <v>0</v>
      </c>
      <c r="AX638" s="21">
        <v>0</v>
      </c>
      <c r="AY638" s="8">
        <v>0</v>
      </c>
    </row>
    <row r="639" spans="1:51" ht="15" customHeight="1" x14ac:dyDescent="0.25">
      <c r="A639" s="9">
        <v>743</v>
      </c>
      <c r="B639" s="13">
        <v>45734</v>
      </c>
      <c r="C639" s="9" t="s">
        <v>169</v>
      </c>
      <c r="D639" s="9">
        <v>9518610170</v>
      </c>
      <c r="E639" s="8">
        <v>2</v>
      </c>
      <c r="F639" s="9" t="s">
        <v>1251</v>
      </c>
      <c r="G639" s="9" t="s">
        <v>1303</v>
      </c>
      <c r="H639" s="9" t="s">
        <v>57</v>
      </c>
      <c r="I639" s="9" t="s">
        <v>43</v>
      </c>
      <c r="J639" s="9" t="s">
        <v>26</v>
      </c>
      <c r="K639" s="9">
        <v>2200</v>
      </c>
      <c r="L639" s="39"/>
      <c r="M639" s="7" t="s">
        <v>1</v>
      </c>
      <c r="N639" s="8"/>
      <c r="O639" s="40"/>
      <c r="P639" s="15" t="s">
        <v>171</v>
      </c>
      <c r="Q639" s="9" t="s">
        <v>172</v>
      </c>
      <c r="R639" s="9"/>
      <c r="S639" s="9"/>
      <c r="T639" s="9">
        <v>936528</v>
      </c>
      <c r="U639" s="16" t="s">
        <v>111</v>
      </c>
      <c r="V639" s="9">
        <v>3859860</v>
      </c>
      <c r="W639" s="8" t="s">
        <v>767</v>
      </c>
      <c r="X639" s="8">
        <v>80</v>
      </c>
      <c r="Y639" s="8"/>
      <c r="Z639" s="8"/>
      <c r="AA639" s="8"/>
      <c r="AB639" s="8"/>
      <c r="AC639" s="8" t="s">
        <v>269</v>
      </c>
      <c r="AD639" s="14" t="s">
        <v>388</v>
      </c>
      <c r="AE639" s="8" t="s">
        <v>389</v>
      </c>
      <c r="AF639" s="14">
        <v>0.5</v>
      </c>
      <c r="AG639" s="8">
        <v>1220</v>
      </c>
      <c r="AH639" s="8">
        <v>0</v>
      </c>
      <c r="AI639" s="8">
        <v>252</v>
      </c>
      <c r="AJ639" s="8">
        <v>0</v>
      </c>
      <c r="AK639" s="127">
        <v>252</v>
      </c>
      <c r="AL639" s="103">
        <v>0</v>
      </c>
      <c r="AM639" s="8">
        <v>252</v>
      </c>
      <c r="AN639" s="21">
        <v>0</v>
      </c>
      <c r="AO639" s="21">
        <v>252</v>
      </c>
      <c r="AP639" s="21">
        <v>0</v>
      </c>
      <c r="AQ639" s="21">
        <v>0</v>
      </c>
      <c r="AR639" s="21">
        <v>0</v>
      </c>
      <c r="AS639" s="8">
        <v>252</v>
      </c>
      <c r="AT639" s="21">
        <v>0</v>
      </c>
      <c r="AU639" s="21">
        <v>0</v>
      </c>
      <c r="AV639" s="21">
        <v>252</v>
      </c>
      <c r="AW639" s="21">
        <v>0</v>
      </c>
      <c r="AX639" s="21">
        <v>0</v>
      </c>
      <c r="AY639" s="8">
        <v>0</v>
      </c>
    </row>
    <row r="640" spans="1:51" ht="15" customHeight="1" x14ac:dyDescent="0.25">
      <c r="A640" s="9">
        <v>742</v>
      </c>
      <c r="B640" s="13">
        <v>45761</v>
      </c>
      <c r="C640" s="9" t="s">
        <v>169</v>
      </c>
      <c r="D640" s="9">
        <v>9518691600</v>
      </c>
      <c r="E640" s="8">
        <v>8</v>
      </c>
      <c r="F640" s="9" t="s">
        <v>1252</v>
      </c>
      <c r="G640" s="9" t="s">
        <v>1303</v>
      </c>
      <c r="H640" s="9" t="s">
        <v>57</v>
      </c>
      <c r="I640" s="9" t="s">
        <v>25</v>
      </c>
      <c r="J640" s="9" t="s">
        <v>31</v>
      </c>
      <c r="K640" s="9">
        <v>2000</v>
      </c>
      <c r="L640" s="39"/>
      <c r="M640" s="7" t="s">
        <v>1</v>
      </c>
      <c r="N640" s="8"/>
      <c r="O640" s="40"/>
      <c r="P640" s="15" t="s">
        <v>220</v>
      </c>
      <c r="Q640" s="9" t="s">
        <v>180</v>
      </c>
      <c r="R640" s="9"/>
      <c r="S640" s="9"/>
      <c r="T640" s="9">
        <v>185794</v>
      </c>
      <c r="U640" s="16" t="s">
        <v>97</v>
      </c>
      <c r="V640" s="9">
        <v>3240760</v>
      </c>
      <c r="W640" s="8" t="s">
        <v>287</v>
      </c>
      <c r="X640" s="8" t="s">
        <v>175</v>
      </c>
      <c r="Y640" s="8"/>
      <c r="Z640" s="8"/>
      <c r="AA640" s="8"/>
      <c r="AB640" s="8"/>
      <c r="AC640" s="8" t="s">
        <v>210</v>
      </c>
      <c r="AD640" s="14" t="s">
        <v>218</v>
      </c>
      <c r="AE640" s="8" t="s">
        <v>250</v>
      </c>
      <c r="AF640" s="14">
        <v>0.5</v>
      </c>
      <c r="AG640" s="8">
        <v>1000</v>
      </c>
      <c r="AH640" s="8">
        <v>2500</v>
      </c>
      <c r="AI640" s="8">
        <v>42</v>
      </c>
      <c r="AJ640" s="8">
        <v>0</v>
      </c>
      <c r="AK640" s="127">
        <v>42</v>
      </c>
      <c r="AL640" s="103">
        <v>0</v>
      </c>
      <c r="AM640" s="8">
        <v>42</v>
      </c>
      <c r="AN640" s="21">
        <v>0</v>
      </c>
      <c r="AO640" s="21">
        <v>42</v>
      </c>
      <c r="AP640" s="21">
        <v>0</v>
      </c>
      <c r="AQ640" s="21">
        <v>0</v>
      </c>
      <c r="AR640" s="21">
        <v>0</v>
      </c>
      <c r="AS640" s="8">
        <v>42</v>
      </c>
      <c r="AT640" s="21">
        <v>0</v>
      </c>
      <c r="AU640" s="21">
        <v>0</v>
      </c>
      <c r="AV640" s="21">
        <v>42</v>
      </c>
      <c r="AW640" s="21">
        <v>0</v>
      </c>
      <c r="AX640" s="21">
        <v>0</v>
      </c>
      <c r="AY640" s="8">
        <v>0</v>
      </c>
    </row>
    <row r="641" spans="1:51" ht="15" customHeight="1" x14ac:dyDescent="0.25">
      <c r="A641" s="9">
        <v>742</v>
      </c>
      <c r="B641" s="13">
        <v>45761</v>
      </c>
      <c r="C641" s="9" t="s">
        <v>169</v>
      </c>
      <c r="D641" s="9">
        <v>9518691600</v>
      </c>
      <c r="E641" s="8">
        <v>9</v>
      </c>
      <c r="F641" s="9" t="s">
        <v>1253</v>
      </c>
      <c r="G641" s="9" t="s">
        <v>1303</v>
      </c>
      <c r="H641" s="9" t="s">
        <v>57</v>
      </c>
      <c r="I641" s="9" t="s">
        <v>25</v>
      </c>
      <c r="J641" s="9" t="s">
        <v>31</v>
      </c>
      <c r="K641" s="9">
        <v>2000</v>
      </c>
      <c r="L641" s="39"/>
      <c r="M641" s="7" t="s">
        <v>1</v>
      </c>
      <c r="N641" s="8"/>
      <c r="O641" s="40"/>
      <c r="P641" s="15" t="s">
        <v>220</v>
      </c>
      <c r="Q641" s="9" t="s">
        <v>180</v>
      </c>
      <c r="R641" s="9"/>
      <c r="S641" s="9"/>
      <c r="T641" s="9">
        <v>185794</v>
      </c>
      <c r="U641" s="16" t="s">
        <v>97</v>
      </c>
      <c r="V641" s="9">
        <v>3240761</v>
      </c>
      <c r="W641" s="8" t="s">
        <v>444</v>
      </c>
      <c r="X641" s="8" t="s">
        <v>175</v>
      </c>
      <c r="Y641" s="8"/>
      <c r="Z641" s="8"/>
      <c r="AA641" s="8"/>
      <c r="AB641" s="8"/>
      <c r="AC641" s="8" t="s">
        <v>210</v>
      </c>
      <c r="AD641" s="14" t="s">
        <v>218</v>
      </c>
      <c r="AE641" s="8" t="s">
        <v>250</v>
      </c>
      <c r="AF641" s="14">
        <v>0.5</v>
      </c>
      <c r="AG641" s="8">
        <v>1250</v>
      </c>
      <c r="AH641" s="8">
        <v>2030</v>
      </c>
      <c r="AI641" s="8">
        <v>30</v>
      </c>
      <c r="AJ641" s="8">
        <v>0</v>
      </c>
      <c r="AK641" s="127">
        <v>27.204999999999998</v>
      </c>
      <c r="AL641" s="103">
        <v>0</v>
      </c>
      <c r="AM641" s="8">
        <v>27.204999999999998</v>
      </c>
      <c r="AN641" s="21">
        <v>0</v>
      </c>
      <c r="AO641" s="21">
        <v>0</v>
      </c>
      <c r="AP641" s="21">
        <v>27.204999999999998</v>
      </c>
      <c r="AQ641" s="21">
        <v>0</v>
      </c>
      <c r="AR641" s="21">
        <v>0</v>
      </c>
      <c r="AS641" s="8">
        <v>27.204999999999998</v>
      </c>
      <c r="AT641" s="21">
        <v>0</v>
      </c>
      <c r="AU641" s="21">
        <v>0</v>
      </c>
      <c r="AV641" s="21">
        <v>0</v>
      </c>
      <c r="AW641" s="21">
        <v>27.204999999999998</v>
      </c>
      <c r="AX641" s="21">
        <v>0</v>
      </c>
      <c r="AY641" s="8">
        <v>0</v>
      </c>
    </row>
    <row r="642" spans="1:51" ht="15" customHeight="1" x14ac:dyDescent="0.25">
      <c r="A642" s="9">
        <v>742</v>
      </c>
      <c r="B642" s="13">
        <v>45761</v>
      </c>
      <c r="C642" s="9" t="s">
        <v>169</v>
      </c>
      <c r="D642" s="9">
        <v>9518691600</v>
      </c>
      <c r="E642" s="8">
        <v>10</v>
      </c>
      <c r="F642" s="9" t="s">
        <v>1254</v>
      </c>
      <c r="G642" s="9" t="s">
        <v>1303</v>
      </c>
      <c r="H642" s="9" t="s">
        <v>57</v>
      </c>
      <c r="I642" s="9" t="s">
        <v>25</v>
      </c>
      <c r="J642" s="9" t="s">
        <v>31</v>
      </c>
      <c r="K642" s="9">
        <v>2000</v>
      </c>
      <c r="L642" s="39"/>
      <c r="M642" s="7" t="s">
        <v>1</v>
      </c>
      <c r="N642" s="8"/>
      <c r="O642" s="40"/>
      <c r="P642" s="15" t="s">
        <v>220</v>
      </c>
      <c r="Q642" s="9" t="s">
        <v>180</v>
      </c>
      <c r="R642" s="9"/>
      <c r="S642" s="9"/>
      <c r="T642" s="9">
        <v>185794</v>
      </c>
      <c r="U642" s="16" t="s">
        <v>97</v>
      </c>
      <c r="V642" s="9">
        <v>3240765</v>
      </c>
      <c r="W642" s="8" t="s">
        <v>360</v>
      </c>
      <c r="X642" s="8" t="s">
        <v>175</v>
      </c>
      <c r="Y642" s="8"/>
      <c r="Z642" s="8"/>
      <c r="AA642" s="8"/>
      <c r="AB642" s="8"/>
      <c r="AC642" s="8" t="s">
        <v>210</v>
      </c>
      <c r="AD642" s="14" t="s">
        <v>218</v>
      </c>
      <c r="AE642" s="8" t="s">
        <v>250</v>
      </c>
      <c r="AF642" s="14">
        <v>0.5</v>
      </c>
      <c r="AG642" s="8">
        <v>1250</v>
      </c>
      <c r="AH642" s="8">
        <v>0</v>
      </c>
      <c r="AI642" s="8">
        <v>60</v>
      </c>
      <c r="AJ642" s="8">
        <v>0</v>
      </c>
      <c r="AK642" s="127">
        <v>60</v>
      </c>
      <c r="AL642" s="103">
        <v>0</v>
      </c>
      <c r="AM642" s="8">
        <v>60</v>
      </c>
      <c r="AN642" s="21">
        <v>0</v>
      </c>
      <c r="AO642" s="21">
        <v>0</v>
      </c>
      <c r="AP642" s="21">
        <v>60</v>
      </c>
      <c r="AQ642" s="21">
        <v>0</v>
      </c>
      <c r="AR642" s="21">
        <v>0</v>
      </c>
      <c r="AS642" s="8">
        <v>60</v>
      </c>
      <c r="AT642" s="21">
        <v>0</v>
      </c>
      <c r="AU642" s="21">
        <v>0</v>
      </c>
      <c r="AV642" s="21">
        <v>0</v>
      </c>
      <c r="AW642" s="21">
        <v>60</v>
      </c>
      <c r="AX642" s="21">
        <v>0</v>
      </c>
      <c r="AY642" s="8">
        <v>0</v>
      </c>
    </row>
    <row r="643" spans="1:51" ht="15" customHeight="1" x14ac:dyDescent="0.25">
      <c r="A643" s="9">
        <v>742</v>
      </c>
      <c r="B643" s="13">
        <v>45761</v>
      </c>
      <c r="C643" s="9" t="s">
        <v>169</v>
      </c>
      <c r="D643" s="9">
        <v>9518691600</v>
      </c>
      <c r="E643" s="8">
        <v>11</v>
      </c>
      <c r="F643" s="9" t="s">
        <v>1255</v>
      </c>
      <c r="G643" s="9" t="s">
        <v>1303</v>
      </c>
      <c r="H643" s="9" t="s">
        <v>57</v>
      </c>
      <c r="I643" s="9" t="s">
        <v>25</v>
      </c>
      <c r="J643" s="9" t="s">
        <v>31</v>
      </c>
      <c r="K643" s="9">
        <v>2000</v>
      </c>
      <c r="L643" s="39"/>
      <c r="M643" s="7" t="s">
        <v>1</v>
      </c>
      <c r="N643" s="8"/>
      <c r="O643" s="40"/>
      <c r="P643" s="15" t="s">
        <v>220</v>
      </c>
      <c r="Q643" s="9" t="s">
        <v>180</v>
      </c>
      <c r="R643" s="9"/>
      <c r="S643" s="9"/>
      <c r="T643" s="9">
        <v>185794</v>
      </c>
      <c r="U643" s="16" t="s">
        <v>97</v>
      </c>
      <c r="V643" s="9">
        <v>3240778</v>
      </c>
      <c r="W643" s="8" t="s">
        <v>253</v>
      </c>
      <c r="X643" s="8" t="s">
        <v>175</v>
      </c>
      <c r="Y643" s="8"/>
      <c r="Z643" s="8"/>
      <c r="AA643" s="8"/>
      <c r="AB643" s="8"/>
      <c r="AC643" s="8" t="s">
        <v>210</v>
      </c>
      <c r="AD643" s="14" t="s">
        <v>218</v>
      </c>
      <c r="AE643" s="8" t="s">
        <v>250</v>
      </c>
      <c r="AF643" s="14">
        <v>0.6</v>
      </c>
      <c r="AG643" s="8">
        <v>1000</v>
      </c>
      <c r="AH643" s="8">
        <v>2500</v>
      </c>
      <c r="AI643" s="8">
        <v>60</v>
      </c>
      <c r="AJ643" s="8">
        <v>0</v>
      </c>
      <c r="AK643" s="127">
        <v>60</v>
      </c>
      <c r="AL643" s="103">
        <v>0</v>
      </c>
      <c r="AM643" s="8">
        <v>60</v>
      </c>
      <c r="AN643" s="21">
        <v>0</v>
      </c>
      <c r="AO643" s="21">
        <v>60</v>
      </c>
      <c r="AP643" s="21">
        <v>0</v>
      </c>
      <c r="AQ643" s="21">
        <v>0</v>
      </c>
      <c r="AR643" s="21">
        <v>0</v>
      </c>
      <c r="AS643" s="8">
        <v>60</v>
      </c>
      <c r="AT643" s="21">
        <v>0</v>
      </c>
      <c r="AU643" s="21">
        <v>0</v>
      </c>
      <c r="AV643" s="21">
        <v>60</v>
      </c>
      <c r="AW643" s="21">
        <v>0</v>
      </c>
      <c r="AX643" s="21">
        <v>0</v>
      </c>
      <c r="AY643" s="8">
        <v>0</v>
      </c>
    </row>
    <row r="644" spans="1:51" ht="15" customHeight="1" x14ac:dyDescent="0.25">
      <c r="A644" s="9">
        <v>742</v>
      </c>
      <c r="B644" s="13">
        <v>45757</v>
      </c>
      <c r="C644" s="9" t="s">
        <v>169</v>
      </c>
      <c r="D644" s="9">
        <v>9518683200</v>
      </c>
      <c r="E644" s="8">
        <v>5</v>
      </c>
      <c r="F644" s="9" t="s">
        <v>1256</v>
      </c>
      <c r="G644" s="79" t="s">
        <v>1303</v>
      </c>
      <c r="H644" s="9" t="s">
        <v>57</v>
      </c>
      <c r="I644" s="9" t="s">
        <v>25</v>
      </c>
      <c r="J644" s="9" t="s">
        <v>31</v>
      </c>
      <c r="K644" s="9">
        <v>2000</v>
      </c>
      <c r="L644" s="39"/>
      <c r="M644" s="7" t="s">
        <v>1</v>
      </c>
      <c r="N644" s="8"/>
      <c r="O644" s="40"/>
      <c r="P644" s="15" t="s">
        <v>213</v>
      </c>
      <c r="Q644" s="9" t="s">
        <v>214</v>
      </c>
      <c r="R644" s="9"/>
      <c r="S644" s="9"/>
      <c r="T644" s="9">
        <v>946077</v>
      </c>
      <c r="U644" s="16" t="s">
        <v>83</v>
      </c>
      <c r="V644" s="9">
        <v>3239559</v>
      </c>
      <c r="W644" s="8" t="s">
        <v>282</v>
      </c>
      <c r="X644" s="8" t="s">
        <v>175</v>
      </c>
      <c r="Y644" s="8"/>
      <c r="Z644" s="8"/>
      <c r="AA644" s="8"/>
      <c r="AB644" s="8"/>
      <c r="AC644" s="8" t="s">
        <v>210</v>
      </c>
      <c r="AD644" s="14" t="s">
        <v>211</v>
      </c>
      <c r="AE644" s="8" t="s">
        <v>212</v>
      </c>
      <c r="AF644" s="14">
        <v>0.45</v>
      </c>
      <c r="AG644" s="8">
        <v>900</v>
      </c>
      <c r="AH644" s="8">
        <v>2440</v>
      </c>
      <c r="AI644" s="8">
        <v>42</v>
      </c>
      <c r="AJ644" s="8">
        <v>0</v>
      </c>
      <c r="AK644" s="127">
        <v>42</v>
      </c>
      <c r="AL644" s="103">
        <v>0</v>
      </c>
      <c r="AM644" s="8">
        <v>42</v>
      </c>
      <c r="AN644" s="21">
        <v>0</v>
      </c>
      <c r="AO644" s="21">
        <v>42</v>
      </c>
      <c r="AP644" s="21">
        <v>0</v>
      </c>
      <c r="AQ644" s="21">
        <v>0</v>
      </c>
      <c r="AR644" s="21">
        <v>0</v>
      </c>
      <c r="AS644" s="8">
        <v>42</v>
      </c>
      <c r="AT644" s="21">
        <v>0</v>
      </c>
      <c r="AU644" s="21">
        <v>0</v>
      </c>
      <c r="AV644" s="21">
        <v>42</v>
      </c>
      <c r="AW644" s="21">
        <v>0</v>
      </c>
      <c r="AX644" s="21">
        <v>0</v>
      </c>
      <c r="AY644" s="8">
        <v>0</v>
      </c>
    </row>
    <row r="645" spans="1:51" ht="15" customHeight="1" x14ac:dyDescent="0.25">
      <c r="A645" s="9">
        <v>742</v>
      </c>
      <c r="B645" s="13">
        <v>45757</v>
      </c>
      <c r="C645" s="9" t="s">
        <v>169</v>
      </c>
      <c r="D645" s="9">
        <v>9518683200</v>
      </c>
      <c r="E645" s="8">
        <v>7</v>
      </c>
      <c r="F645" s="9" t="s">
        <v>1257</v>
      </c>
      <c r="G645" s="79" t="s">
        <v>1303</v>
      </c>
      <c r="H645" s="9" t="s">
        <v>57</v>
      </c>
      <c r="I645" s="9" t="s">
        <v>25</v>
      </c>
      <c r="J645" s="9" t="s">
        <v>31</v>
      </c>
      <c r="K645" s="9">
        <v>2000</v>
      </c>
      <c r="L645" s="39"/>
      <c r="M645" s="7" t="s">
        <v>1</v>
      </c>
      <c r="N645" s="8"/>
      <c r="O645" s="40"/>
      <c r="P645" s="15" t="s">
        <v>213</v>
      </c>
      <c r="Q645" s="9" t="s">
        <v>214</v>
      </c>
      <c r="R645" s="9"/>
      <c r="S645" s="9"/>
      <c r="T645" s="9">
        <v>946077</v>
      </c>
      <c r="U645" s="16" t="s">
        <v>83</v>
      </c>
      <c r="V645" s="9">
        <v>3240759</v>
      </c>
      <c r="W645" s="8" t="s">
        <v>283</v>
      </c>
      <c r="X645" s="8" t="s">
        <v>175</v>
      </c>
      <c r="Y645" s="8"/>
      <c r="Z645" s="8"/>
      <c r="AA645" s="8"/>
      <c r="AB645" s="8"/>
      <c r="AC645" s="8" t="s">
        <v>210</v>
      </c>
      <c r="AD645" s="14" t="s">
        <v>218</v>
      </c>
      <c r="AE645" s="8" t="s">
        <v>250</v>
      </c>
      <c r="AF645" s="14">
        <v>0.5</v>
      </c>
      <c r="AG645" s="8">
        <v>1000</v>
      </c>
      <c r="AH645" s="8">
        <v>2440</v>
      </c>
      <c r="AI645" s="8">
        <v>45</v>
      </c>
      <c r="AJ645" s="8">
        <v>0</v>
      </c>
      <c r="AK645" s="127">
        <v>45</v>
      </c>
      <c r="AL645" s="103">
        <v>0</v>
      </c>
      <c r="AM645" s="8">
        <v>45</v>
      </c>
      <c r="AN645" s="21">
        <v>0</v>
      </c>
      <c r="AO645" s="21">
        <v>45</v>
      </c>
      <c r="AP645" s="21">
        <v>0</v>
      </c>
      <c r="AQ645" s="21">
        <v>0</v>
      </c>
      <c r="AR645" s="21">
        <v>0</v>
      </c>
      <c r="AS645" s="8">
        <v>45</v>
      </c>
      <c r="AT645" s="21">
        <v>0</v>
      </c>
      <c r="AU645" s="21">
        <v>0</v>
      </c>
      <c r="AV645" s="21">
        <v>45</v>
      </c>
      <c r="AW645" s="21">
        <v>0</v>
      </c>
      <c r="AX645" s="21">
        <v>0</v>
      </c>
      <c r="AY645" s="8">
        <v>0</v>
      </c>
    </row>
    <row r="646" spans="1:51" ht="15" customHeight="1" x14ac:dyDescent="0.25">
      <c r="A646" s="9">
        <v>742</v>
      </c>
      <c r="B646" s="13">
        <v>45757</v>
      </c>
      <c r="C646" s="9" t="s">
        <v>169</v>
      </c>
      <c r="D646" s="9">
        <v>9518683200</v>
      </c>
      <c r="E646" s="8">
        <v>8</v>
      </c>
      <c r="F646" s="9" t="s">
        <v>1258</v>
      </c>
      <c r="G646" s="79" t="s">
        <v>1303</v>
      </c>
      <c r="H646" s="9" t="s">
        <v>57</v>
      </c>
      <c r="I646" s="9" t="s">
        <v>25</v>
      </c>
      <c r="J646" s="9" t="s">
        <v>31</v>
      </c>
      <c r="K646" s="9">
        <v>2000</v>
      </c>
      <c r="L646" s="39"/>
      <c r="M646" s="7" t="s">
        <v>1</v>
      </c>
      <c r="N646" s="8"/>
      <c r="O646" s="40"/>
      <c r="P646" s="15" t="s">
        <v>213</v>
      </c>
      <c r="Q646" s="9" t="s">
        <v>214</v>
      </c>
      <c r="R646" s="9"/>
      <c r="S646" s="9"/>
      <c r="T646" s="9">
        <v>946077</v>
      </c>
      <c r="U646" s="16" t="s">
        <v>83</v>
      </c>
      <c r="V646" s="9">
        <v>3240765</v>
      </c>
      <c r="W646" s="8" t="s">
        <v>360</v>
      </c>
      <c r="X646" s="8" t="s">
        <v>175</v>
      </c>
      <c r="Y646" s="8"/>
      <c r="Z646" s="8"/>
      <c r="AA646" s="8"/>
      <c r="AB646" s="8"/>
      <c r="AC646" s="8" t="s">
        <v>210</v>
      </c>
      <c r="AD646" s="14" t="s">
        <v>218</v>
      </c>
      <c r="AE646" s="8" t="s">
        <v>250</v>
      </c>
      <c r="AF646" s="14">
        <v>0.5</v>
      </c>
      <c r="AG646" s="8">
        <v>1250</v>
      </c>
      <c r="AH646" s="8">
        <v>0</v>
      </c>
      <c r="AI646" s="8">
        <v>30</v>
      </c>
      <c r="AJ646" s="8">
        <v>0</v>
      </c>
      <c r="AK646" s="127">
        <v>30</v>
      </c>
      <c r="AL646" s="103">
        <v>0</v>
      </c>
      <c r="AM646" s="8">
        <v>30</v>
      </c>
      <c r="AN646" s="21">
        <v>30</v>
      </c>
      <c r="AO646" s="21">
        <v>0</v>
      </c>
      <c r="AP646" s="21">
        <v>0</v>
      </c>
      <c r="AQ646" s="21">
        <v>0</v>
      </c>
      <c r="AR646" s="21">
        <v>0</v>
      </c>
      <c r="AS646" s="8">
        <v>30</v>
      </c>
      <c r="AT646" s="21">
        <v>0</v>
      </c>
      <c r="AU646" s="21">
        <v>30</v>
      </c>
      <c r="AV646" s="21">
        <v>0</v>
      </c>
      <c r="AW646" s="21">
        <v>0</v>
      </c>
      <c r="AX646" s="21">
        <v>0</v>
      </c>
      <c r="AY646" s="8">
        <v>0</v>
      </c>
    </row>
    <row r="647" spans="1:51" ht="15" customHeight="1" x14ac:dyDescent="0.25">
      <c r="A647" s="9">
        <v>742</v>
      </c>
      <c r="B647" s="13">
        <v>45757</v>
      </c>
      <c r="C647" s="9" t="s">
        <v>169</v>
      </c>
      <c r="D647" s="9">
        <v>9518683200</v>
      </c>
      <c r="E647" s="8">
        <v>12</v>
      </c>
      <c r="F647" s="9" t="s">
        <v>1259</v>
      </c>
      <c r="G647" s="79" t="s">
        <v>1303</v>
      </c>
      <c r="H647" s="9" t="s">
        <v>57</v>
      </c>
      <c r="I647" s="9" t="s">
        <v>25</v>
      </c>
      <c r="J647" s="9" t="s">
        <v>31</v>
      </c>
      <c r="K647" s="9">
        <v>2000</v>
      </c>
      <c r="L647" s="39"/>
      <c r="M647" s="7" t="s">
        <v>1</v>
      </c>
      <c r="N647" s="8"/>
      <c r="O647" s="40"/>
      <c r="P647" s="15" t="s">
        <v>213</v>
      </c>
      <c r="Q647" s="9" t="s">
        <v>214</v>
      </c>
      <c r="R647" s="9"/>
      <c r="S647" s="9"/>
      <c r="T647" s="9">
        <v>946077</v>
      </c>
      <c r="U647" s="16" t="s">
        <v>83</v>
      </c>
      <c r="V647" s="9">
        <v>3410101</v>
      </c>
      <c r="W647" s="8" t="s">
        <v>373</v>
      </c>
      <c r="X647" s="8" t="s">
        <v>175</v>
      </c>
      <c r="Y647" s="8"/>
      <c r="Z647" s="8"/>
      <c r="AA647" s="8"/>
      <c r="AB647" s="8"/>
      <c r="AC647" s="8" t="s">
        <v>210</v>
      </c>
      <c r="AD647" s="14" t="s">
        <v>218</v>
      </c>
      <c r="AE647" s="8" t="s">
        <v>250</v>
      </c>
      <c r="AF647" s="14">
        <v>0.75</v>
      </c>
      <c r="AG647" s="8">
        <v>1000</v>
      </c>
      <c r="AH647" s="8">
        <v>2500</v>
      </c>
      <c r="AI647" s="8">
        <v>24</v>
      </c>
      <c r="AJ647" s="8">
        <v>0</v>
      </c>
      <c r="AK647" s="127">
        <v>24</v>
      </c>
      <c r="AL647" s="103">
        <v>0</v>
      </c>
      <c r="AM647" s="8">
        <v>24</v>
      </c>
      <c r="AN647" s="21">
        <v>0</v>
      </c>
      <c r="AO647" s="21">
        <v>24</v>
      </c>
      <c r="AP647" s="21">
        <v>0</v>
      </c>
      <c r="AQ647" s="21">
        <v>0</v>
      </c>
      <c r="AR647" s="21">
        <v>0</v>
      </c>
      <c r="AS647" s="8">
        <v>24</v>
      </c>
      <c r="AT647" s="21">
        <v>0</v>
      </c>
      <c r="AU647" s="21">
        <v>0</v>
      </c>
      <c r="AV647" s="21">
        <v>24</v>
      </c>
      <c r="AW647" s="21">
        <v>0</v>
      </c>
      <c r="AX647" s="21">
        <v>0</v>
      </c>
      <c r="AY647" s="8">
        <v>0</v>
      </c>
    </row>
    <row r="648" spans="1:51" ht="15" customHeight="1" x14ac:dyDescent="0.25">
      <c r="A648" s="9">
        <v>742</v>
      </c>
      <c r="B648" s="13">
        <v>45757</v>
      </c>
      <c r="C648" s="9" t="s">
        <v>169</v>
      </c>
      <c r="D648" s="9">
        <v>9518683200</v>
      </c>
      <c r="E648" s="8">
        <v>15</v>
      </c>
      <c r="F648" s="9" t="s">
        <v>1260</v>
      </c>
      <c r="G648" s="9" t="s">
        <v>1303</v>
      </c>
      <c r="H648" s="9" t="s">
        <v>57</v>
      </c>
      <c r="I648" s="9" t="s">
        <v>25</v>
      </c>
      <c r="J648" s="9" t="s">
        <v>31</v>
      </c>
      <c r="K648" s="9">
        <v>2000</v>
      </c>
      <c r="L648" s="39"/>
      <c r="M648" s="7" t="s">
        <v>1</v>
      </c>
      <c r="N648" s="8"/>
      <c r="O648" s="40"/>
      <c r="P648" s="15" t="s">
        <v>213</v>
      </c>
      <c r="Q648" s="9" t="s">
        <v>214</v>
      </c>
      <c r="R648" s="9"/>
      <c r="S648" s="9"/>
      <c r="T648" s="9">
        <v>946077</v>
      </c>
      <c r="U648" s="16" t="s">
        <v>83</v>
      </c>
      <c r="V648" s="9">
        <v>3410102</v>
      </c>
      <c r="W648" s="8" t="s">
        <v>445</v>
      </c>
      <c r="X648" s="8" t="s">
        <v>175</v>
      </c>
      <c r="Y648" s="8"/>
      <c r="Z648" s="8"/>
      <c r="AA648" s="8"/>
      <c r="AB648" s="8"/>
      <c r="AC648" s="8" t="s">
        <v>210</v>
      </c>
      <c r="AD648" s="14" t="s">
        <v>218</v>
      </c>
      <c r="AE648" s="8" t="s">
        <v>250</v>
      </c>
      <c r="AF648" s="14">
        <v>0.95</v>
      </c>
      <c r="AG648" s="8">
        <v>1000</v>
      </c>
      <c r="AH648" s="8">
        <v>2500</v>
      </c>
      <c r="AI648" s="8">
        <v>24</v>
      </c>
      <c r="AJ648" s="8">
        <v>0</v>
      </c>
      <c r="AK648" s="127">
        <v>24</v>
      </c>
      <c r="AL648" s="103">
        <v>0</v>
      </c>
      <c r="AM648" s="8">
        <v>24</v>
      </c>
      <c r="AN648" s="21">
        <v>0</v>
      </c>
      <c r="AO648" s="21">
        <v>24</v>
      </c>
      <c r="AP648" s="21">
        <v>0</v>
      </c>
      <c r="AQ648" s="21">
        <v>0</v>
      </c>
      <c r="AR648" s="21">
        <v>0</v>
      </c>
      <c r="AS648" s="8">
        <v>24</v>
      </c>
      <c r="AT648" s="21">
        <v>0</v>
      </c>
      <c r="AU648" s="21">
        <v>0</v>
      </c>
      <c r="AV648" s="21">
        <v>24</v>
      </c>
      <c r="AW648" s="21">
        <v>0</v>
      </c>
      <c r="AX648" s="21">
        <v>0</v>
      </c>
      <c r="AY648" s="8">
        <v>0</v>
      </c>
    </row>
    <row r="649" spans="1:51" ht="15" customHeight="1" x14ac:dyDescent="0.25">
      <c r="A649" s="9">
        <v>743</v>
      </c>
      <c r="B649" s="13">
        <v>45735</v>
      </c>
      <c r="C649" s="9" t="s">
        <v>169</v>
      </c>
      <c r="D649" s="9">
        <v>9518613800</v>
      </c>
      <c r="E649" s="8">
        <v>2</v>
      </c>
      <c r="F649" s="9" t="s">
        <v>1261</v>
      </c>
      <c r="G649" s="79" t="s">
        <v>1303</v>
      </c>
      <c r="H649" s="9" t="s">
        <v>57</v>
      </c>
      <c r="I649" s="9" t="s">
        <v>38</v>
      </c>
      <c r="J649" s="9" t="s">
        <v>39</v>
      </c>
      <c r="K649" s="9">
        <v>1000</v>
      </c>
      <c r="L649" s="39"/>
      <c r="M649" s="7" t="s">
        <v>1</v>
      </c>
      <c r="N649" s="8"/>
      <c r="O649" s="40"/>
      <c r="P649" s="15" t="s">
        <v>220</v>
      </c>
      <c r="Q649" s="9" t="s">
        <v>264</v>
      </c>
      <c r="R649" s="9"/>
      <c r="S649" s="9"/>
      <c r="T649" s="9">
        <v>942283</v>
      </c>
      <c r="U649" s="16" t="s">
        <v>105</v>
      </c>
      <c r="V649" s="9">
        <v>2193752</v>
      </c>
      <c r="W649" s="8" t="s">
        <v>1280</v>
      </c>
      <c r="X649" s="8">
        <v>150</v>
      </c>
      <c r="Y649" s="8"/>
      <c r="Z649" s="8"/>
      <c r="AA649" s="8"/>
      <c r="AB649" s="8"/>
      <c r="AC649" s="8" t="s">
        <v>222</v>
      </c>
      <c r="AD649" s="14" t="s">
        <v>223</v>
      </c>
      <c r="AE649" s="8" t="s">
        <v>224</v>
      </c>
      <c r="AF649" s="14">
        <v>0.75</v>
      </c>
      <c r="AG649" s="8">
        <v>1220</v>
      </c>
      <c r="AH649" s="8">
        <v>0</v>
      </c>
      <c r="AI649" s="8">
        <v>28</v>
      </c>
      <c r="AJ649" s="8">
        <v>0</v>
      </c>
      <c r="AK649" s="127">
        <v>28</v>
      </c>
      <c r="AL649" s="103">
        <v>0</v>
      </c>
      <c r="AM649" s="8">
        <v>28</v>
      </c>
      <c r="AN649" s="21">
        <v>0</v>
      </c>
      <c r="AO649" s="21">
        <v>28</v>
      </c>
      <c r="AP649" s="21">
        <v>0</v>
      </c>
      <c r="AQ649" s="21">
        <v>0</v>
      </c>
      <c r="AR649" s="21">
        <v>0</v>
      </c>
      <c r="AS649" s="8">
        <v>28</v>
      </c>
      <c r="AT649" s="21">
        <v>0</v>
      </c>
      <c r="AU649" s="21">
        <v>0</v>
      </c>
      <c r="AV649" s="21">
        <v>28</v>
      </c>
      <c r="AW649" s="21">
        <v>0</v>
      </c>
      <c r="AX649" s="21">
        <v>0</v>
      </c>
      <c r="AY649" s="8">
        <v>0</v>
      </c>
    </row>
    <row r="650" spans="1:51" ht="15" customHeight="1" x14ac:dyDescent="0.25">
      <c r="A650" s="9">
        <v>743</v>
      </c>
      <c r="B650" s="13">
        <v>45755</v>
      </c>
      <c r="C650" s="9" t="s">
        <v>169</v>
      </c>
      <c r="D650" s="9">
        <v>9518677562</v>
      </c>
      <c r="E650" s="8">
        <v>2</v>
      </c>
      <c r="F650" s="9" t="s">
        <v>1262</v>
      </c>
      <c r="G650" s="79" t="s">
        <v>1303</v>
      </c>
      <c r="H650" s="9" t="s">
        <v>57</v>
      </c>
      <c r="I650" s="9" t="s">
        <v>38</v>
      </c>
      <c r="J650" s="9" t="s">
        <v>39</v>
      </c>
      <c r="K650" s="9">
        <v>1000</v>
      </c>
      <c r="L650" s="39"/>
      <c r="M650" s="7" t="s">
        <v>1</v>
      </c>
      <c r="N650" s="8"/>
      <c r="O650" s="40"/>
      <c r="P650" s="15" t="s">
        <v>220</v>
      </c>
      <c r="Q650" s="9" t="s">
        <v>264</v>
      </c>
      <c r="R650" s="9"/>
      <c r="S650" s="9"/>
      <c r="T650" s="9">
        <v>942283</v>
      </c>
      <c r="U650" s="16" t="s">
        <v>105</v>
      </c>
      <c r="V650" s="9">
        <v>1881969</v>
      </c>
      <c r="W650" s="8" t="s">
        <v>428</v>
      </c>
      <c r="X650" s="8">
        <v>150</v>
      </c>
      <c r="Y650" s="8"/>
      <c r="Z650" s="8"/>
      <c r="AA650" s="8"/>
      <c r="AB650" s="8"/>
      <c r="AC650" s="8" t="s">
        <v>222</v>
      </c>
      <c r="AD650" s="14" t="s">
        <v>223</v>
      </c>
      <c r="AE650" s="8" t="s">
        <v>224</v>
      </c>
      <c r="AF650" s="14">
        <v>0.45</v>
      </c>
      <c r="AG650" s="8">
        <v>1220</v>
      </c>
      <c r="AH650" s="8">
        <v>0</v>
      </c>
      <c r="AI650" s="8">
        <v>280</v>
      </c>
      <c r="AJ650" s="8">
        <v>0</v>
      </c>
      <c r="AK650" s="127">
        <v>280</v>
      </c>
      <c r="AL650" s="103">
        <v>0</v>
      </c>
      <c r="AM650" s="8">
        <v>280</v>
      </c>
      <c r="AN650" s="21">
        <v>0</v>
      </c>
      <c r="AO650" s="21">
        <v>0</v>
      </c>
      <c r="AP650" s="21">
        <v>0</v>
      </c>
      <c r="AQ650" s="21">
        <v>0</v>
      </c>
      <c r="AR650" s="21">
        <v>280</v>
      </c>
      <c r="AS650" s="8">
        <v>0</v>
      </c>
      <c r="AT650" s="21">
        <v>0</v>
      </c>
      <c r="AU650" s="21">
        <v>0</v>
      </c>
      <c r="AV650" s="21">
        <v>0</v>
      </c>
      <c r="AW650" s="21">
        <v>0</v>
      </c>
      <c r="AX650" s="21">
        <v>0</v>
      </c>
      <c r="AY650" s="8">
        <v>280</v>
      </c>
    </row>
    <row r="651" spans="1:51" ht="15" customHeight="1" x14ac:dyDescent="0.25">
      <c r="A651" s="9">
        <v>744</v>
      </c>
      <c r="B651" s="13">
        <v>45764</v>
      </c>
      <c r="C651" s="9" t="s">
        <v>169</v>
      </c>
      <c r="D651" s="9">
        <v>9518699134</v>
      </c>
      <c r="E651" s="8">
        <v>1</v>
      </c>
      <c r="F651" s="9" t="s">
        <v>1263</v>
      </c>
      <c r="G651" s="79" t="s">
        <v>1303</v>
      </c>
      <c r="H651" s="9" t="s">
        <v>57</v>
      </c>
      <c r="I651" s="9" t="s">
        <v>48</v>
      </c>
      <c r="J651" s="9" t="s">
        <v>39</v>
      </c>
      <c r="K651" s="9">
        <v>1000</v>
      </c>
      <c r="L651" s="39"/>
      <c r="M651" s="7" t="s">
        <v>1</v>
      </c>
      <c r="N651" s="8"/>
      <c r="O651" s="40"/>
      <c r="P651" s="15" t="s">
        <v>220</v>
      </c>
      <c r="Q651" s="9" t="s">
        <v>264</v>
      </c>
      <c r="R651" s="9"/>
      <c r="S651" s="9"/>
      <c r="T651" s="9">
        <v>941597</v>
      </c>
      <c r="U651" s="16" t="s">
        <v>105</v>
      </c>
      <c r="V651" s="9">
        <v>3902332</v>
      </c>
      <c r="W651" s="8" t="s">
        <v>353</v>
      </c>
      <c r="X651" s="8">
        <v>150</v>
      </c>
      <c r="Y651" s="8"/>
      <c r="Z651" s="8"/>
      <c r="AA651" s="8"/>
      <c r="AB651" s="8"/>
      <c r="AC651" s="8" t="s">
        <v>228</v>
      </c>
      <c r="AD651" s="14" t="s">
        <v>229</v>
      </c>
      <c r="AE651" s="8" t="s">
        <v>354</v>
      </c>
      <c r="AF651" s="14">
        <v>0.5</v>
      </c>
      <c r="AG651" s="8">
        <v>1220</v>
      </c>
      <c r="AH651" s="8">
        <v>0</v>
      </c>
      <c r="AI651" s="8">
        <v>56</v>
      </c>
      <c r="AJ651" s="8">
        <v>0</v>
      </c>
      <c r="AK651" s="127">
        <v>56</v>
      </c>
      <c r="AL651" s="103">
        <v>0</v>
      </c>
      <c r="AM651" s="8">
        <v>56</v>
      </c>
      <c r="AN651" s="21">
        <v>0</v>
      </c>
      <c r="AO651" s="21">
        <v>0</v>
      </c>
      <c r="AP651" s="21">
        <v>0</v>
      </c>
      <c r="AQ651" s="21">
        <v>56</v>
      </c>
      <c r="AR651" s="21">
        <v>0</v>
      </c>
      <c r="AS651" s="8">
        <v>56</v>
      </c>
      <c r="AT651" s="21">
        <v>0</v>
      </c>
      <c r="AU651" s="21">
        <v>0</v>
      </c>
      <c r="AV651" s="21">
        <v>0</v>
      </c>
      <c r="AW651" s="21">
        <v>0</v>
      </c>
      <c r="AX651" s="21">
        <v>56</v>
      </c>
      <c r="AY651" s="8">
        <v>0</v>
      </c>
    </row>
    <row r="652" spans="1:51" ht="15" customHeight="1" x14ac:dyDescent="0.25">
      <c r="A652" s="9">
        <v>744</v>
      </c>
      <c r="B652" s="13">
        <v>45762</v>
      </c>
      <c r="C652" s="9" t="s">
        <v>169</v>
      </c>
      <c r="D652" s="9">
        <v>9518694961</v>
      </c>
      <c r="E652" s="8">
        <v>2</v>
      </c>
      <c r="F652" s="9" t="s">
        <v>1264</v>
      </c>
      <c r="G652" s="79" t="s">
        <v>1303</v>
      </c>
      <c r="H652" s="9" t="s">
        <v>57</v>
      </c>
      <c r="I652" s="9" t="s">
        <v>48</v>
      </c>
      <c r="J652" s="9" t="s">
        <v>39</v>
      </c>
      <c r="K652" s="9">
        <v>1000</v>
      </c>
      <c r="L652" s="39"/>
      <c r="M652" s="7" t="s">
        <v>1</v>
      </c>
      <c r="N652" s="8"/>
      <c r="O652" s="40"/>
      <c r="P652" s="15" t="s">
        <v>220</v>
      </c>
      <c r="Q652" s="9" t="s">
        <v>264</v>
      </c>
      <c r="R652" s="9"/>
      <c r="S652" s="9"/>
      <c r="T652" s="9">
        <v>940016</v>
      </c>
      <c r="U652" s="16" t="s">
        <v>133</v>
      </c>
      <c r="V652" s="9">
        <v>3930916</v>
      </c>
      <c r="W652" s="8" t="s">
        <v>682</v>
      </c>
      <c r="X652" s="8">
        <v>70</v>
      </c>
      <c r="Y652" s="8"/>
      <c r="Z652" s="8"/>
      <c r="AA652" s="8"/>
      <c r="AB652" s="8"/>
      <c r="AC652" s="8" t="s">
        <v>228</v>
      </c>
      <c r="AD652" s="14" t="s">
        <v>229</v>
      </c>
      <c r="AE652" s="8" t="s">
        <v>230</v>
      </c>
      <c r="AF652" s="14">
        <v>0.35</v>
      </c>
      <c r="AG652" s="8">
        <v>1220</v>
      </c>
      <c r="AH652" s="8">
        <v>0</v>
      </c>
      <c r="AI652" s="8">
        <v>56</v>
      </c>
      <c r="AJ652" s="8">
        <v>0</v>
      </c>
      <c r="AK652" s="127">
        <v>56</v>
      </c>
      <c r="AL652" s="103">
        <v>0</v>
      </c>
      <c r="AM652" s="8">
        <v>56</v>
      </c>
      <c r="AN652" s="21">
        <v>0</v>
      </c>
      <c r="AO652" s="21">
        <v>56</v>
      </c>
      <c r="AP652" s="21">
        <v>0</v>
      </c>
      <c r="AQ652" s="21">
        <v>0</v>
      </c>
      <c r="AR652" s="21">
        <v>0</v>
      </c>
      <c r="AS652" s="8">
        <v>56</v>
      </c>
      <c r="AT652" s="21">
        <v>0</v>
      </c>
      <c r="AU652" s="21">
        <v>0</v>
      </c>
      <c r="AV652" s="21">
        <v>56</v>
      </c>
      <c r="AW652" s="21">
        <v>0</v>
      </c>
      <c r="AX652" s="21">
        <v>0</v>
      </c>
      <c r="AY652" s="8">
        <v>0</v>
      </c>
    </row>
    <row r="653" spans="1:51" ht="15" customHeight="1" x14ac:dyDescent="0.25">
      <c r="A653" s="9">
        <v>742</v>
      </c>
      <c r="B653" s="13">
        <v>45763</v>
      </c>
      <c r="C653" s="9" t="s">
        <v>169</v>
      </c>
      <c r="D653" s="9">
        <v>9518696382</v>
      </c>
      <c r="E653" s="8">
        <v>4</v>
      </c>
      <c r="F653" s="9" t="s">
        <v>1265</v>
      </c>
      <c r="G653" s="9" t="s">
        <v>1303</v>
      </c>
      <c r="H653" s="9" t="s">
        <v>57</v>
      </c>
      <c r="I653" s="9" t="s">
        <v>25</v>
      </c>
      <c r="J653" s="9" t="s">
        <v>30</v>
      </c>
      <c r="K653" s="9">
        <v>2000</v>
      </c>
      <c r="L653" s="39"/>
      <c r="M653" s="7" t="s">
        <v>1</v>
      </c>
      <c r="N653" s="8"/>
      <c r="O653" s="40"/>
      <c r="P653" s="15" t="s">
        <v>207</v>
      </c>
      <c r="Q653" s="9" t="s">
        <v>180</v>
      </c>
      <c r="R653" s="9"/>
      <c r="S653" s="9"/>
      <c r="T653" s="9">
        <v>155536</v>
      </c>
      <c r="U653" s="16" t="s">
        <v>85</v>
      </c>
      <c r="V653" s="9">
        <v>187518</v>
      </c>
      <c r="W653" s="8" t="s">
        <v>1281</v>
      </c>
      <c r="X653" s="8" t="s">
        <v>175</v>
      </c>
      <c r="Y653" s="8"/>
      <c r="Z653" s="8"/>
      <c r="AA653" s="8"/>
      <c r="AB653" s="8"/>
      <c r="AC653" s="8" t="s">
        <v>190</v>
      </c>
      <c r="AD653" s="14" t="s">
        <v>191</v>
      </c>
      <c r="AE653" s="8" t="s">
        <v>192</v>
      </c>
      <c r="AF653" s="14">
        <v>0</v>
      </c>
      <c r="AG653" s="8">
        <v>0</v>
      </c>
      <c r="AH653" s="8">
        <v>0</v>
      </c>
      <c r="AI653" s="8">
        <v>58</v>
      </c>
      <c r="AJ653" s="8">
        <v>0</v>
      </c>
      <c r="AK653" s="127">
        <v>58</v>
      </c>
      <c r="AL653" s="103">
        <v>0</v>
      </c>
      <c r="AM653" s="8">
        <v>58</v>
      </c>
      <c r="AN653" s="21">
        <v>0</v>
      </c>
      <c r="AO653" s="21">
        <v>58</v>
      </c>
      <c r="AP653" s="21">
        <v>0</v>
      </c>
      <c r="AQ653" s="21">
        <v>0</v>
      </c>
      <c r="AR653" s="21">
        <v>0</v>
      </c>
      <c r="AS653" s="8">
        <v>58</v>
      </c>
      <c r="AT653" s="21">
        <v>0</v>
      </c>
      <c r="AU653" s="21">
        <v>0</v>
      </c>
      <c r="AV653" s="21">
        <v>58</v>
      </c>
      <c r="AW653" s="21">
        <v>0</v>
      </c>
      <c r="AX653" s="21">
        <v>0</v>
      </c>
      <c r="AY653" s="8">
        <v>0</v>
      </c>
    </row>
    <row r="654" spans="1:51" ht="15" customHeight="1" x14ac:dyDescent="0.25">
      <c r="A654" s="9">
        <v>742</v>
      </c>
      <c r="B654" s="13">
        <v>45763</v>
      </c>
      <c r="C654" s="9" t="s">
        <v>169</v>
      </c>
      <c r="D654" s="9">
        <v>9518697965</v>
      </c>
      <c r="E654" s="8">
        <v>1</v>
      </c>
      <c r="F654" s="9" t="s">
        <v>1266</v>
      </c>
      <c r="G654" s="79" t="s">
        <v>1303</v>
      </c>
      <c r="H654" s="9" t="s">
        <v>57</v>
      </c>
      <c r="I654" s="9" t="s">
        <v>50</v>
      </c>
      <c r="J654" s="9" t="s">
        <v>26</v>
      </c>
      <c r="K654" s="9">
        <v>2000</v>
      </c>
      <c r="L654" s="39"/>
      <c r="M654" s="7" t="s">
        <v>1</v>
      </c>
      <c r="N654" s="8"/>
      <c r="O654" s="40"/>
      <c r="P654" s="15" t="s">
        <v>239</v>
      </c>
      <c r="Q654" s="9" t="s">
        <v>214</v>
      </c>
      <c r="R654" s="9"/>
      <c r="S654" s="9"/>
      <c r="T654" s="9">
        <v>939268</v>
      </c>
      <c r="U654" s="16" t="s">
        <v>85</v>
      </c>
      <c r="V654" s="9">
        <v>1210083</v>
      </c>
      <c r="W654" s="8" t="s">
        <v>305</v>
      </c>
      <c r="X654" s="8" t="s">
        <v>175</v>
      </c>
      <c r="Y654" s="8"/>
      <c r="Z654" s="8"/>
      <c r="AA654" s="8"/>
      <c r="AB654" s="8"/>
      <c r="AC654" s="8">
        <v>768</v>
      </c>
      <c r="AD654" s="14" t="s">
        <v>242</v>
      </c>
      <c r="AE654" s="8" t="s">
        <v>243</v>
      </c>
      <c r="AF654" s="14">
        <v>2</v>
      </c>
      <c r="AG654" s="8">
        <v>1250</v>
      </c>
      <c r="AH654" s="8">
        <v>0</v>
      </c>
      <c r="AI654" s="8">
        <v>125</v>
      </c>
      <c r="AJ654" s="8">
        <v>0</v>
      </c>
      <c r="AK654" s="127">
        <v>106.69499999999999</v>
      </c>
      <c r="AL654" s="103">
        <v>18.305</v>
      </c>
      <c r="AM654" s="8">
        <v>106.69499999999999</v>
      </c>
      <c r="AN654" s="21">
        <v>0</v>
      </c>
      <c r="AO654" s="21">
        <v>0</v>
      </c>
      <c r="AP654" s="21">
        <v>106.69499999999999</v>
      </c>
      <c r="AQ654" s="21">
        <v>0</v>
      </c>
      <c r="AR654" s="21">
        <v>0</v>
      </c>
      <c r="AS654" s="8">
        <v>125</v>
      </c>
      <c r="AT654" s="21">
        <v>0</v>
      </c>
      <c r="AU654" s="21">
        <v>0</v>
      </c>
      <c r="AV654" s="21">
        <v>0</v>
      </c>
      <c r="AW654" s="21">
        <v>125</v>
      </c>
      <c r="AX654" s="21">
        <v>0</v>
      </c>
      <c r="AY654" s="8">
        <v>0</v>
      </c>
    </row>
    <row r="655" spans="1:51" ht="15" customHeight="1" x14ac:dyDescent="0.25">
      <c r="A655" s="9">
        <v>742</v>
      </c>
      <c r="B655" s="13">
        <v>45763</v>
      </c>
      <c r="C655" s="9" t="s">
        <v>169</v>
      </c>
      <c r="D655" s="9">
        <v>9518697965</v>
      </c>
      <c r="E655" s="8">
        <v>2</v>
      </c>
      <c r="F655" s="9" t="s">
        <v>1267</v>
      </c>
      <c r="G655" s="79" t="s">
        <v>1303</v>
      </c>
      <c r="H655" s="9" t="s">
        <v>57</v>
      </c>
      <c r="I655" s="9" t="s">
        <v>50</v>
      </c>
      <c r="J655" s="9" t="s">
        <v>26</v>
      </c>
      <c r="K655" s="9">
        <v>2000</v>
      </c>
      <c r="L655" s="39"/>
      <c r="M655" s="7" t="s">
        <v>1</v>
      </c>
      <c r="N655" s="8"/>
      <c r="O655" s="40"/>
      <c r="P655" s="15" t="s">
        <v>239</v>
      </c>
      <c r="Q655" s="9" t="s">
        <v>214</v>
      </c>
      <c r="R655" s="9"/>
      <c r="S655" s="9"/>
      <c r="T655" s="9">
        <v>939268</v>
      </c>
      <c r="U655" s="16" t="s">
        <v>85</v>
      </c>
      <c r="V655" s="9">
        <v>1371338</v>
      </c>
      <c r="W655" s="8" t="s">
        <v>362</v>
      </c>
      <c r="X655" s="8" t="s">
        <v>175</v>
      </c>
      <c r="Y655" s="8"/>
      <c r="Z655" s="8"/>
      <c r="AA655" s="8"/>
      <c r="AB655" s="8"/>
      <c r="AC655" s="8">
        <v>768</v>
      </c>
      <c r="AD655" s="14" t="s">
        <v>242</v>
      </c>
      <c r="AE655" s="8" t="s">
        <v>243</v>
      </c>
      <c r="AF655" s="14">
        <v>2.2999999999999998</v>
      </c>
      <c r="AG655" s="8">
        <v>1250</v>
      </c>
      <c r="AH655" s="8">
        <v>0</v>
      </c>
      <c r="AI655" s="8">
        <v>50</v>
      </c>
      <c r="AJ655" s="8">
        <v>0</v>
      </c>
      <c r="AK655" s="127">
        <v>50</v>
      </c>
      <c r="AL655" s="103">
        <v>0</v>
      </c>
      <c r="AM655" s="8">
        <v>50</v>
      </c>
      <c r="AN655" s="21">
        <v>0</v>
      </c>
      <c r="AO655" s="21">
        <v>0</v>
      </c>
      <c r="AP655" s="21">
        <v>0</v>
      </c>
      <c r="AQ655" s="21">
        <v>50</v>
      </c>
      <c r="AR655" s="21">
        <v>0</v>
      </c>
      <c r="AS655" s="8">
        <v>50</v>
      </c>
      <c r="AT655" s="21">
        <v>0</v>
      </c>
      <c r="AU655" s="21">
        <v>0</v>
      </c>
      <c r="AV655" s="21">
        <v>0</v>
      </c>
      <c r="AW655" s="21">
        <v>0</v>
      </c>
      <c r="AX655" s="21">
        <v>50</v>
      </c>
      <c r="AY655" s="8">
        <v>0</v>
      </c>
    </row>
    <row r="656" spans="1:51" ht="15" customHeight="1" x14ac:dyDescent="0.25">
      <c r="A656" s="9">
        <v>742</v>
      </c>
      <c r="B656" s="13">
        <v>45763</v>
      </c>
      <c r="C656" s="9" t="s">
        <v>169</v>
      </c>
      <c r="D656" s="9">
        <v>9518697965</v>
      </c>
      <c r="E656" s="8">
        <v>3</v>
      </c>
      <c r="F656" s="9" t="s">
        <v>1268</v>
      </c>
      <c r="G656" s="79" t="s">
        <v>1303</v>
      </c>
      <c r="H656" s="9" t="s">
        <v>57</v>
      </c>
      <c r="I656" s="9" t="s">
        <v>50</v>
      </c>
      <c r="J656" s="9" t="s">
        <v>26</v>
      </c>
      <c r="K656" s="9">
        <v>2000</v>
      </c>
      <c r="L656" s="39"/>
      <c r="M656" s="7" t="s">
        <v>1</v>
      </c>
      <c r="N656" s="8"/>
      <c r="O656" s="40"/>
      <c r="P656" s="15" t="s">
        <v>239</v>
      </c>
      <c r="Q656" s="9" t="s">
        <v>214</v>
      </c>
      <c r="R656" s="9"/>
      <c r="S656" s="9"/>
      <c r="T656" s="9">
        <v>939268</v>
      </c>
      <c r="U656" s="16" t="s">
        <v>85</v>
      </c>
      <c r="V656" s="9">
        <v>1250221</v>
      </c>
      <c r="W656" s="8" t="s">
        <v>313</v>
      </c>
      <c r="X656" s="8" t="s">
        <v>175</v>
      </c>
      <c r="Y656" s="8"/>
      <c r="Z656" s="8"/>
      <c r="AA656" s="8"/>
      <c r="AB656" s="8"/>
      <c r="AC656" s="8">
        <v>768</v>
      </c>
      <c r="AD656" s="14" t="s">
        <v>242</v>
      </c>
      <c r="AE656" s="8" t="s">
        <v>243</v>
      </c>
      <c r="AF656" s="14">
        <v>0</v>
      </c>
      <c r="AG656" s="8">
        <v>0</v>
      </c>
      <c r="AH656" s="8">
        <v>0</v>
      </c>
      <c r="AI656" s="8">
        <v>25</v>
      </c>
      <c r="AJ656" s="8">
        <v>0</v>
      </c>
      <c r="AK656" s="127">
        <v>25</v>
      </c>
      <c r="AL656" s="103">
        <v>0</v>
      </c>
      <c r="AM656" s="8">
        <v>25</v>
      </c>
      <c r="AN656" s="21">
        <v>0</v>
      </c>
      <c r="AO656" s="21">
        <v>25</v>
      </c>
      <c r="AP656" s="21">
        <v>0</v>
      </c>
      <c r="AQ656" s="21">
        <v>0</v>
      </c>
      <c r="AR656" s="21">
        <v>0</v>
      </c>
      <c r="AS656" s="8">
        <v>25</v>
      </c>
      <c r="AT656" s="21">
        <v>0</v>
      </c>
      <c r="AU656" s="21">
        <v>0</v>
      </c>
      <c r="AV656" s="21">
        <v>25</v>
      </c>
      <c r="AW656" s="21">
        <v>0</v>
      </c>
      <c r="AX656" s="21">
        <v>0</v>
      </c>
      <c r="AY656" s="8">
        <v>0</v>
      </c>
    </row>
    <row r="657" spans="1:51" ht="15" customHeight="1" x14ac:dyDescent="0.25">
      <c r="A657" s="9">
        <v>742</v>
      </c>
      <c r="B657" s="13">
        <v>45763</v>
      </c>
      <c r="C657" s="9" t="s">
        <v>169</v>
      </c>
      <c r="D657" s="9">
        <v>9518697965</v>
      </c>
      <c r="E657" s="8">
        <v>5</v>
      </c>
      <c r="F657" s="9" t="s">
        <v>1269</v>
      </c>
      <c r="G657" s="79" t="s">
        <v>1303</v>
      </c>
      <c r="H657" s="9" t="s">
        <v>57</v>
      </c>
      <c r="I657" s="9" t="s">
        <v>50</v>
      </c>
      <c r="J657" s="9" t="s">
        <v>26</v>
      </c>
      <c r="K657" s="9">
        <v>2000</v>
      </c>
      <c r="L657" s="39"/>
      <c r="M657" s="7" t="s">
        <v>1</v>
      </c>
      <c r="N657" s="8"/>
      <c r="O657" s="40"/>
      <c r="P657" s="15" t="s">
        <v>239</v>
      </c>
      <c r="Q657" s="9" t="s">
        <v>214</v>
      </c>
      <c r="R657" s="9"/>
      <c r="S657" s="9"/>
      <c r="T657" s="9">
        <v>939268</v>
      </c>
      <c r="U657" s="16" t="s">
        <v>85</v>
      </c>
      <c r="V657" s="9">
        <v>1294719</v>
      </c>
      <c r="W657" s="8" t="s">
        <v>589</v>
      </c>
      <c r="X657" s="8" t="s">
        <v>175</v>
      </c>
      <c r="Y657" s="8"/>
      <c r="Z657" s="8"/>
      <c r="AA657" s="8"/>
      <c r="AB657" s="8"/>
      <c r="AC657" s="8">
        <v>768</v>
      </c>
      <c r="AD657" s="14" t="s">
        <v>242</v>
      </c>
      <c r="AE657" s="8" t="s">
        <v>243</v>
      </c>
      <c r="AF657" s="14">
        <v>2.9</v>
      </c>
      <c r="AG657" s="8">
        <v>1250</v>
      </c>
      <c r="AH657" s="8">
        <v>0</v>
      </c>
      <c r="AI657" s="8">
        <v>50</v>
      </c>
      <c r="AJ657" s="8">
        <v>0</v>
      </c>
      <c r="AK657" s="127">
        <v>50</v>
      </c>
      <c r="AL657" s="103">
        <v>0</v>
      </c>
      <c r="AM657" s="8">
        <v>50</v>
      </c>
      <c r="AN657" s="21">
        <v>0</v>
      </c>
      <c r="AO657" s="21">
        <v>0</v>
      </c>
      <c r="AP657" s="21">
        <v>0</v>
      </c>
      <c r="AQ657" s="21">
        <v>50</v>
      </c>
      <c r="AR657" s="21">
        <v>0</v>
      </c>
      <c r="AS657" s="8">
        <v>50</v>
      </c>
      <c r="AT657" s="21">
        <v>0</v>
      </c>
      <c r="AU657" s="21">
        <v>0</v>
      </c>
      <c r="AV657" s="21">
        <v>0</v>
      </c>
      <c r="AW657" s="21">
        <v>0</v>
      </c>
      <c r="AX657" s="21">
        <v>50</v>
      </c>
      <c r="AY657" s="8">
        <v>0</v>
      </c>
    </row>
    <row r="658" spans="1:51" ht="15" customHeight="1" x14ac:dyDescent="0.25">
      <c r="A658" s="9">
        <v>742</v>
      </c>
      <c r="B658" s="13">
        <v>45763</v>
      </c>
      <c r="C658" s="9" t="s">
        <v>169</v>
      </c>
      <c r="D658" s="9">
        <v>9518697965</v>
      </c>
      <c r="E658" s="8">
        <v>6</v>
      </c>
      <c r="F658" s="9" t="s">
        <v>1270</v>
      </c>
      <c r="G658" s="79" t="s">
        <v>1303</v>
      </c>
      <c r="H658" s="9" t="s">
        <v>57</v>
      </c>
      <c r="I658" s="9" t="s">
        <v>50</v>
      </c>
      <c r="J658" s="9" t="s">
        <v>26</v>
      </c>
      <c r="K658" s="9">
        <v>2000</v>
      </c>
      <c r="L658" s="39"/>
      <c r="M658" s="7" t="s">
        <v>1</v>
      </c>
      <c r="N658" s="8"/>
      <c r="O658" s="40"/>
      <c r="P658" s="15" t="s">
        <v>239</v>
      </c>
      <c r="Q658" s="9" t="s">
        <v>214</v>
      </c>
      <c r="R658" s="9"/>
      <c r="S658" s="9"/>
      <c r="T658" s="9">
        <v>939268</v>
      </c>
      <c r="U658" s="16" t="s">
        <v>85</v>
      </c>
      <c r="V658" s="9">
        <v>1252834</v>
      </c>
      <c r="W658" s="8" t="s">
        <v>312</v>
      </c>
      <c r="X658" s="8" t="s">
        <v>175</v>
      </c>
      <c r="Y658" s="8"/>
      <c r="Z658" s="8"/>
      <c r="AA658" s="8"/>
      <c r="AB658" s="8"/>
      <c r="AC658" s="8">
        <v>768</v>
      </c>
      <c r="AD658" s="14" t="s">
        <v>242</v>
      </c>
      <c r="AE658" s="8" t="s">
        <v>243</v>
      </c>
      <c r="AF658" s="14">
        <v>3</v>
      </c>
      <c r="AG658" s="8">
        <v>1250</v>
      </c>
      <c r="AH658" s="8">
        <v>0</v>
      </c>
      <c r="AI658" s="8">
        <v>75</v>
      </c>
      <c r="AJ658" s="8">
        <v>0</v>
      </c>
      <c r="AK658" s="127">
        <v>75</v>
      </c>
      <c r="AL658" s="103">
        <v>0</v>
      </c>
      <c r="AM658" s="8">
        <v>75</v>
      </c>
      <c r="AN658" s="21">
        <v>75</v>
      </c>
      <c r="AO658" s="21">
        <v>0</v>
      </c>
      <c r="AP658" s="21">
        <v>0</v>
      </c>
      <c r="AQ658" s="21">
        <v>0</v>
      </c>
      <c r="AR658" s="21">
        <v>0</v>
      </c>
      <c r="AS658" s="8">
        <v>75</v>
      </c>
      <c r="AT658" s="21">
        <v>0</v>
      </c>
      <c r="AU658" s="21">
        <v>75</v>
      </c>
      <c r="AV658" s="21">
        <v>0</v>
      </c>
      <c r="AW658" s="21">
        <v>0</v>
      </c>
      <c r="AX658" s="21">
        <v>0</v>
      </c>
      <c r="AY658" s="8">
        <v>0</v>
      </c>
    </row>
    <row r="659" spans="1:51" ht="15" customHeight="1" x14ac:dyDescent="0.25">
      <c r="A659" s="9">
        <v>742</v>
      </c>
      <c r="B659" s="13">
        <v>45751</v>
      </c>
      <c r="C659" s="9" t="s">
        <v>169</v>
      </c>
      <c r="D659" s="9">
        <v>9518670119</v>
      </c>
      <c r="E659" s="8">
        <v>1</v>
      </c>
      <c r="F659" s="9" t="s">
        <v>1271</v>
      </c>
      <c r="G659" s="9" t="s">
        <v>1687</v>
      </c>
      <c r="H659" s="9" t="s">
        <v>57</v>
      </c>
      <c r="I659" s="9" t="s">
        <v>25</v>
      </c>
      <c r="J659" s="9" t="s">
        <v>30</v>
      </c>
      <c r="K659" s="9">
        <v>2000</v>
      </c>
      <c r="L659" s="39"/>
      <c r="M659" s="7" t="s">
        <v>1</v>
      </c>
      <c r="N659" s="8"/>
      <c r="O659" s="40"/>
      <c r="P659" s="15" t="s">
        <v>321</v>
      </c>
      <c r="Q659" s="9" t="s">
        <v>214</v>
      </c>
      <c r="R659" s="9"/>
      <c r="S659" s="9"/>
      <c r="T659" s="9">
        <v>939422</v>
      </c>
      <c r="U659" s="16" t="s">
        <v>87</v>
      </c>
      <c r="V659" s="9">
        <v>185675</v>
      </c>
      <c r="W659" s="8" t="s">
        <v>271</v>
      </c>
      <c r="X659" s="8" t="s">
        <v>175</v>
      </c>
      <c r="Y659" s="8"/>
      <c r="Z659" s="8"/>
      <c r="AA659" s="8"/>
      <c r="AB659" s="8"/>
      <c r="AC659" s="8" t="s">
        <v>190</v>
      </c>
      <c r="AD659" s="14" t="s">
        <v>191</v>
      </c>
      <c r="AE659" s="8" t="s">
        <v>192</v>
      </c>
      <c r="AF659" s="14">
        <v>0.5</v>
      </c>
      <c r="AG659" s="8">
        <v>1250</v>
      </c>
      <c r="AH659" s="8">
        <v>0</v>
      </c>
      <c r="AI659" s="8">
        <v>58</v>
      </c>
      <c r="AJ659" s="8">
        <v>0</v>
      </c>
      <c r="AK659" s="127">
        <v>33.83</v>
      </c>
      <c r="AL659" s="103">
        <v>24.17</v>
      </c>
      <c r="AM659" s="8">
        <v>0</v>
      </c>
      <c r="AN659" s="21">
        <v>0</v>
      </c>
      <c r="AO659" s="21">
        <v>0</v>
      </c>
      <c r="AP659" s="21">
        <v>0</v>
      </c>
      <c r="AQ659" s="21">
        <v>0</v>
      </c>
      <c r="AR659" s="21">
        <v>0</v>
      </c>
      <c r="AS659" s="8">
        <v>24.17</v>
      </c>
      <c r="AT659" s="21">
        <v>24.17</v>
      </c>
      <c r="AU659" s="21">
        <v>0</v>
      </c>
      <c r="AV659" s="21">
        <v>0</v>
      </c>
      <c r="AW659" s="21">
        <v>0</v>
      </c>
      <c r="AX659" s="21">
        <v>0</v>
      </c>
      <c r="AY659" s="8">
        <v>0</v>
      </c>
    </row>
    <row r="660" spans="1:51" ht="15" customHeight="1" x14ac:dyDescent="0.25">
      <c r="A660" s="9">
        <v>742</v>
      </c>
      <c r="B660" s="13">
        <v>45708</v>
      </c>
      <c r="C660" s="9" t="s">
        <v>169</v>
      </c>
      <c r="D660" s="9">
        <v>9518535833</v>
      </c>
      <c r="E660" s="8">
        <v>20</v>
      </c>
      <c r="F660" s="9" t="s">
        <v>1285</v>
      </c>
      <c r="G660" s="79" t="s">
        <v>1303</v>
      </c>
      <c r="H660" s="9" t="s">
        <v>57</v>
      </c>
      <c r="I660" s="9" t="s">
        <v>25</v>
      </c>
      <c r="J660" s="9" t="s">
        <v>31</v>
      </c>
      <c r="K660" s="9">
        <v>2000</v>
      </c>
      <c r="L660" s="39"/>
      <c r="M660" s="7" t="s">
        <v>1</v>
      </c>
      <c r="N660" s="8"/>
      <c r="O660" s="40"/>
      <c r="P660" s="15" t="s">
        <v>245</v>
      </c>
      <c r="Q660" s="9" t="s">
        <v>214</v>
      </c>
      <c r="R660" s="9"/>
      <c r="S660" s="9"/>
      <c r="T660" s="9">
        <v>938550</v>
      </c>
      <c r="U660" s="16" t="s">
        <v>69</v>
      </c>
      <c r="V660" s="9">
        <v>3239536</v>
      </c>
      <c r="W660" s="8" t="s">
        <v>209</v>
      </c>
      <c r="X660" s="8"/>
      <c r="Y660" s="8"/>
      <c r="Z660" s="8"/>
      <c r="AA660" s="8"/>
      <c r="AB660" s="8"/>
      <c r="AC660" s="8" t="s">
        <v>210</v>
      </c>
      <c r="AD660" s="14" t="s">
        <v>211</v>
      </c>
      <c r="AE660" s="8" t="s">
        <v>212</v>
      </c>
      <c r="AF660" s="14">
        <v>0.35</v>
      </c>
      <c r="AG660" s="8">
        <v>900</v>
      </c>
      <c r="AH660" s="8">
        <v>2500</v>
      </c>
      <c r="AI660" s="8">
        <v>21</v>
      </c>
      <c r="AJ660" s="8">
        <v>0</v>
      </c>
      <c r="AK660" s="127">
        <v>21</v>
      </c>
      <c r="AL660" s="103">
        <v>0</v>
      </c>
      <c r="AM660" s="8">
        <v>21</v>
      </c>
      <c r="AN660" s="21">
        <v>0</v>
      </c>
      <c r="AO660" s="21">
        <v>0</v>
      </c>
      <c r="AP660" s="21">
        <v>0</v>
      </c>
      <c r="AQ660" s="21">
        <v>0</v>
      </c>
      <c r="AR660" s="21">
        <v>21</v>
      </c>
      <c r="AS660" s="8">
        <v>21</v>
      </c>
      <c r="AT660" s="21">
        <v>0</v>
      </c>
      <c r="AU660" s="21">
        <v>0</v>
      </c>
      <c r="AV660" s="21">
        <v>0</v>
      </c>
      <c r="AW660" s="21">
        <v>0</v>
      </c>
      <c r="AX660" s="21">
        <v>21</v>
      </c>
      <c r="AY660" s="8">
        <v>0</v>
      </c>
    </row>
    <row r="661" spans="1:51" ht="15" customHeight="1" x14ac:dyDescent="0.25">
      <c r="A661" s="9">
        <v>742</v>
      </c>
      <c r="B661" s="13">
        <v>45708</v>
      </c>
      <c r="C661" s="9" t="s">
        <v>169</v>
      </c>
      <c r="D661" s="9">
        <v>9518535833</v>
      </c>
      <c r="E661" s="8">
        <v>22</v>
      </c>
      <c r="F661" s="9" t="s">
        <v>1286</v>
      </c>
      <c r="G661" s="79" t="s">
        <v>1303</v>
      </c>
      <c r="H661" s="9" t="s">
        <v>57</v>
      </c>
      <c r="I661" s="9" t="s">
        <v>25</v>
      </c>
      <c r="J661" s="9" t="s">
        <v>31</v>
      </c>
      <c r="K661" s="9">
        <v>2000</v>
      </c>
      <c r="L661" s="39"/>
      <c r="M661" s="7" t="s">
        <v>1</v>
      </c>
      <c r="N661" s="8"/>
      <c r="O661" s="40"/>
      <c r="P661" s="15" t="s">
        <v>245</v>
      </c>
      <c r="Q661" s="9" t="s">
        <v>214</v>
      </c>
      <c r="R661" s="9"/>
      <c r="S661" s="9"/>
      <c r="T661" s="9">
        <v>938550</v>
      </c>
      <c r="U661" s="16" t="s">
        <v>69</v>
      </c>
      <c r="V661" s="9">
        <v>3239552</v>
      </c>
      <c r="W661" s="8" t="s">
        <v>247</v>
      </c>
      <c r="X661" s="8"/>
      <c r="Y661" s="8"/>
      <c r="Z661" s="8"/>
      <c r="AA661" s="8"/>
      <c r="AB661" s="8"/>
      <c r="AC661" s="8" t="s">
        <v>210</v>
      </c>
      <c r="AD661" s="14" t="s">
        <v>211</v>
      </c>
      <c r="AE661" s="8" t="s">
        <v>212</v>
      </c>
      <c r="AF661" s="14">
        <v>0.4</v>
      </c>
      <c r="AG661" s="8">
        <v>1000</v>
      </c>
      <c r="AH661" s="8">
        <v>1980</v>
      </c>
      <c r="AI661" s="8">
        <v>45</v>
      </c>
      <c r="AJ661" s="8">
        <v>0</v>
      </c>
      <c r="AK661" s="127">
        <v>45</v>
      </c>
      <c r="AL661" s="103">
        <v>0</v>
      </c>
      <c r="AM661" s="8">
        <v>45</v>
      </c>
      <c r="AN661" s="21">
        <v>0</v>
      </c>
      <c r="AO661" s="21">
        <v>0</v>
      </c>
      <c r="AP661" s="21">
        <v>0</v>
      </c>
      <c r="AQ661" s="21">
        <v>45</v>
      </c>
      <c r="AR661" s="21">
        <v>0</v>
      </c>
      <c r="AS661" s="8">
        <v>45</v>
      </c>
      <c r="AT661" s="21">
        <v>0</v>
      </c>
      <c r="AU661" s="21">
        <v>0</v>
      </c>
      <c r="AV661" s="21">
        <v>0</v>
      </c>
      <c r="AW661" s="21">
        <v>0</v>
      </c>
      <c r="AX661" s="21">
        <v>45</v>
      </c>
      <c r="AY661" s="8">
        <v>0</v>
      </c>
    </row>
    <row r="662" spans="1:51" ht="15" customHeight="1" x14ac:dyDescent="0.25">
      <c r="A662" s="9">
        <v>742</v>
      </c>
      <c r="B662" s="13">
        <v>45691</v>
      </c>
      <c r="C662" s="9" t="s">
        <v>169</v>
      </c>
      <c r="D662" s="9">
        <v>9518490750</v>
      </c>
      <c r="E662" s="8">
        <v>3</v>
      </c>
      <c r="F662" s="9" t="s">
        <v>1287</v>
      </c>
      <c r="G662" s="79" t="s">
        <v>1303</v>
      </c>
      <c r="H662" s="9" t="s">
        <v>57</v>
      </c>
      <c r="I662" s="9" t="s">
        <v>25</v>
      </c>
      <c r="J662" s="9" t="s">
        <v>31</v>
      </c>
      <c r="K662" s="9">
        <v>2000</v>
      </c>
      <c r="L662" s="39"/>
      <c r="M662" s="7" t="s">
        <v>1</v>
      </c>
      <c r="N662" s="8"/>
      <c r="O662" s="40"/>
      <c r="P662" s="15" t="s">
        <v>179</v>
      </c>
      <c r="Q662" s="9" t="s">
        <v>180</v>
      </c>
      <c r="R662" s="9"/>
      <c r="S662" s="9"/>
      <c r="T662" s="9">
        <v>117061</v>
      </c>
      <c r="U662" s="16" t="s">
        <v>89</v>
      </c>
      <c r="V662" s="9">
        <v>3239542</v>
      </c>
      <c r="W662" s="8" t="s">
        <v>485</v>
      </c>
      <c r="X662" s="8"/>
      <c r="Y662" s="8"/>
      <c r="Z662" s="8"/>
      <c r="AA662" s="8"/>
      <c r="AB662" s="8"/>
      <c r="AC662" s="8" t="s">
        <v>210</v>
      </c>
      <c r="AD662" s="14" t="s">
        <v>211</v>
      </c>
      <c r="AE662" s="8" t="s">
        <v>212</v>
      </c>
      <c r="AF662" s="14">
        <v>0.35</v>
      </c>
      <c r="AG662" s="8">
        <v>1000</v>
      </c>
      <c r="AH662" s="8">
        <v>2500</v>
      </c>
      <c r="AI662" s="8">
        <v>75</v>
      </c>
      <c r="AJ662" s="8">
        <v>0</v>
      </c>
      <c r="AK662" s="127">
        <v>75</v>
      </c>
      <c r="AL662" s="103">
        <v>0</v>
      </c>
      <c r="AM662" s="8">
        <v>75</v>
      </c>
      <c r="AN662" s="21">
        <v>0</v>
      </c>
      <c r="AO662" s="21">
        <v>0</v>
      </c>
      <c r="AP662" s="21">
        <v>0</v>
      </c>
      <c r="AQ662" s="21">
        <v>0</v>
      </c>
      <c r="AR662" s="21">
        <v>75</v>
      </c>
      <c r="AS662" s="8">
        <v>75</v>
      </c>
      <c r="AT662" s="21">
        <v>0</v>
      </c>
      <c r="AU662" s="21">
        <v>0</v>
      </c>
      <c r="AV662" s="21">
        <v>0</v>
      </c>
      <c r="AW662" s="21">
        <v>0</v>
      </c>
      <c r="AX662" s="21">
        <v>75</v>
      </c>
      <c r="AY662" s="8">
        <v>0</v>
      </c>
    </row>
    <row r="663" spans="1:51" ht="15" customHeight="1" x14ac:dyDescent="0.25">
      <c r="A663" s="9">
        <v>742</v>
      </c>
      <c r="B663" s="13">
        <v>45691</v>
      </c>
      <c r="C663" s="9" t="s">
        <v>169</v>
      </c>
      <c r="D663" s="9">
        <v>9518490750</v>
      </c>
      <c r="E663" s="8">
        <v>4</v>
      </c>
      <c r="F663" s="9" t="s">
        <v>1288</v>
      </c>
      <c r="G663" s="79" t="s">
        <v>1303</v>
      </c>
      <c r="H663" s="9" t="s">
        <v>57</v>
      </c>
      <c r="I663" s="9" t="s">
        <v>25</v>
      </c>
      <c r="J663" s="9" t="s">
        <v>31</v>
      </c>
      <c r="K663" s="9">
        <v>2000</v>
      </c>
      <c r="L663" s="39"/>
      <c r="M663" s="7" t="s">
        <v>1</v>
      </c>
      <c r="N663" s="8"/>
      <c r="O663" s="40"/>
      <c r="P663" s="15" t="s">
        <v>179</v>
      </c>
      <c r="Q663" s="9" t="s">
        <v>180</v>
      </c>
      <c r="R663" s="9"/>
      <c r="S663" s="9"/>
      <c r="T663" s="9">
        <v>117061</v>
      </c>
      <c r="U663" s="16" t="s">
        <v>89</v>
      </c>
      <c r="V663" s="9">
        <v>3239554</v>
      </c>
      <c r="W663" s="8" t="s">
        <v>248</v>
      </c>
      <c r="X663" s="8"/>
      <c r="Y663" s="8"/>
      <c r="Z663" s="8"/>
      <c r="AA663" s="8"/>
      <c r="AB663" s="8"/>
      <c r="AC663" s="8" t="s">
        <v>210</v>
      </c>
      <c r="AD663" s="14" t="s">
        <v>211</v>
      </c>
      <c r="AE663" s="8" t="s">
        <v>212</v>
      </c>
      <c r="AF663" s="14">
        <v>0.4</v>
      </c>
      <c r="AG663" s="8">
        <v>1000</v>
      </c>
      <c r="AH663" s="8">
        <v>2500</v>
      </c>
      <c r="AI663" s="8">
        <v>75</v>
      </c>
      <c r="AJ663" s="8">
        <v>0</v>
      </c>
      <c r="AK663" s="127">
        <v>75</v>
      </c>
      <c r="AL663" s="103">
        <v>0</v>
      </c>
      <c r="AM663" s="8">
        <v>75</v>
      </c>
      <c r="AN663" s="21">
        <v>0</v>
      </c>
      <c r="AO663" s="21">
        <v>0</v>
      </c>
      <c r="AP663" s="21">
        <v>0</v>
      </c>
      <c r="AQ663" s="21">
        <v>0</v>
      </c>
      <c r="AR663" s="21">
        <v>75</v>
      </c>
      <c r="AS663" s="8">
        <v>75</v>
      </c>
      <c r="AT663" s="21">
        <v>0</v>
      </c>
      <c r="AU663" s="21">
        <v>0</v>
      </c>
      <c r="AV663" s="21">
        <v>0</v>
      </c>
      <c r="AW663" s="21">
        <v>0</v>
      </c>
      <c r="AX663" s="21">
        <v>75</v>
      </c>
      <c r="AY663" s="8">
        <v>0</v>
      </c>
    </row>
    <row r="664" spans="1:51" ht="15" customHeight="1" x14ac:dyDescent="0.25">
      <c r="A664" s="9">
        <v>743</v>
      </c>
      <c r="B664" s="13">
        <v>45692</v>
      </c>
      <c r="C664" s="9" t="s">
        <v>169</v>
      </c>
      <c r="D664" s="9">
        <v>9518493782</v>
      </c>
      <c r="E664" s="8">
        <v>1</v>
      </c>
      <c r="F664" s="9" t="s">
        <v>1295</v>
      </c>
      <c r="G664" s="79" t="s">
        <v>1303</v>
      </c>
      <c r="H664" s="9" t="s">
        <v>1272</v>
      </c>
      <c r="I664" s="9" t="s">
        <v>43</v>
      </c>
      <c r="J664" s="9" t="s">
        <v>45</v>
      </c>
      <c r="K664" s="9">
        <v>2000</v>
      </c>
      <c r="L664" s="39"/>
      <c r="M664" s="7" t="s">
        <v>1</v>
      </c>
      <c r="N664" s="8"/>
      <c r="O664" s="40"/>
      <c r="P664" s="15" t="s">
        <v>179</v>
      </c>
      <c r="Q664" s="9" t="s">
        <v>180</v>
      </c>
      <c r="R664" s="9"/>
      <c r="S664" s="9"/>
      <c r="T664" s="9">
        <v>117061</v>
      </c>
      <c r="U664" s="16" t="s">
        <v>89</v>
      </c>
      <c r="V664" s="9">
        <v>3484324</v>
      </c>
      <c r="W664" s="8" t="s">
        <v>182</v>
      </c>
      <c r="X664" s="8"/>
      <c r="Y664" s="8"/>
      <c r="Z664" s="8"/>
      <c r="AA664" s="8"/>
      <c r="AB664" s="8"/>
      <c r="AC664" s="8" t="s">
        <v>184</v>
      </c>
      <c r="AD664" s="14" t="s">
        <v>185</v>
      </c>
      <c r="AE664" s="8" t="s">
        <v>186</v>
      </c>
      <c r="AF664" s="14">
        <v>0.3</v>
      </c>
      <c r="AG664" s="8">
        <v>900</v>
      </c>
      <c r="AH664" s="8">
        <v>2500</v>
      </c>
      <c r="AI664" s="8">
        <v>80</v>
      </c>
      <c r="AJ664" s="8">
        <v>0</v>
      </c>
      <c r="AK664" s="127">
        <v>80</v>
      </c>
      <c r="AL664" s="103">
        <v>0</v>
      </c>
      <c r="AM664" s="8">
        <v>80</v>
      </c>
      <c r="AN664" s="21">
        <v>0</v>
      </c>
      <c r="AO664" s="21">
        <v>0</v>
      </c>
      <c r="AP664" s="21">
        <v>0</v>
      </c>
      <c r="AQ664" s="21">
        <v>80</v>
      </c>
      <c r="AR664" s="21">
        <v>0</v>
      </c>
      <c r="AS664" s="8">
        <v>0</v>
      </c>
      <c r="AT664" s="21">
        <v>0</v>
      </c>
      <c r="AU664" s="21">
        <v>0</v>
      </c>
      <c r="AV664" s="21">
        <v>0</v>
      </c>
      <c r="AW664" s="21">
        <v>0</v>
      </c>
      <c r="AX664" s="21">
        <v>0</v>
      </c>
      <c r="AY664" s="8">
        <v>80</v>
      </c>
    </row>
    <row r="665" spans="1:51" ht="15" customHeight="1" x14ac:dyDescent="0.25">
      <c r="A665" s="9">
        <v>742</v>
      </c>
      <c r="B665" s="13">
        <v>45702</v>
      </c>
      <c r="C665" s="9" t="s">
        <v>169</v>
      </c>
      <c r="D665" s="9">
        <v>9518519644</v>
      </c>
      <c r="E665" s="8">
        <v>2</v>
      </c>
      <c r="F665" s="9" t="s">
        <v>1289</v>
      </c>
      <c r="G665" s="79" t="s">
        <v>1303</v>
      </c>
      <c r="H665" s="9" t="s">
        <v>57</v>
      </c>
      <c r="I665" s="9" t="s">
        <v>25</v>
      </c>
      <c r="J665" s="9" t="s">
        <v>31</v>
      </c>
      <c r="K665" s="9">
        <v>2000</v>
      </c>
      <c r="L665" s="39"/>
      <c r="M665" s="7" t="s">
        <v>1</v>
      </c>
      <c r="N665" s="8"/>
      <c r="O665" s="40"/>
      <c r="P665" s="15" t="s">
        <v>199</v>
      </c>
      <c r="Q665" s="9" t="s">
        <v>180</v>
      </c>
      <c r="R665" s="9"/>
      <c r="S665" s="9"/>
      <c r="T665" s="9">
        <v>103227</v>
      </c>
      <c r="U665" s="16" t="s">
        <v>91</v>
      </c>
      <c r="V665" s="9">
        <v>2440959</v>
      </c>
      <c r="W665" s="8" t="s">
        <v>263</v>
      </c>
      <c r="X665" s="8"/>
      <c r="Y665" s="8"/>
      <c r="Z665" s="8"/>
      <c r="AA665" s="8"/>
      <c r="AB665" s="8"/>
      <c r="AC665" s="8" t="s">
        <v>210</v>
      </c>
      <c r="AD665" s="14" t="s">
        <v>211</v>
      </c>
      <c r="AE665" s="8" t="s">
        <v>212</v>
      </c>
      <c r="AF665" s="14">
        <v>0.33</v>
      </c>
      <c r="AG665" s="8">
        <v>900</v>
      </c>
      <c r="AH665" s="8">
        <v>2500</v>
      </c>
      <c r="AI665" s="8">
        <v>51</v>
      </c>
      <c r="AJ665" s="8">
        <v>0</v>
      </c>
      <c r="AK665" s="127">
        <v>51</v>
      </c>
      <c r="AL665" s="103">
        <v>0</v>
      </c>
      <c r="AM665" s="8">
        <v>51</v>
      </c>
      <c r="AN665" s="21">
        <v>0</v>
      </c>
      <c r="AO665" s="21">
        <v>0</v>
      </c>
      <c r="AP665" s="21">
        <v>0</v>
      </c>
      <c r="AQ665" s="21">
        <v>0</v>
      </c>
      <c r="AR665" s="21">
        <v>51</v>
      </c>
      <c r="AS665" s="8">
        <v>51</v>
      </c>
      <c r="AT665" s="21">
        <v>0</v>
      </c>
      <c r="AU665" s="21">
        <v>0</v>
      </c>
      <c r="AV665" s="21">
        <v>0</v>
      </c>
      <c r="AW665" s="21">
        <v>0</v>
      </c>
      <c r="AX665" s="21">
        <v>51</v>
      </c>
      <c r="AY665" s="8">
        <v>0</v>
      </c>
    </row>
    <row r="666" spans="1:51" ht="15" customHeight="1" x14ac:dyDescent="0.25">
      <c r="A666" s="9">
        <v>742</v>
      </c>
      <c r="B666" s="13">
        <v>45702</v>
      </c>
      <c r="C666" s="9" t="s">
        <v>169</v>
      </c>
      <c r="D666" s="9">
        <v>9518519644</v>
      </c>
      <c r="E666" s="8">
        <v>4</v>
      </c>
      <c r="F666" s="9" t="s">
        <v>1290</v>
      </c>
      <c r="G666" s="79" t="s">
        <v>1303</v>
      </c>
      <c r="H666" s="9" t="s">
        <v>57</v>
      </c>
      <c r="I666" s="9" t="s">
        <v>25</v>
      </c>
      <c r="J666" s="9" t="s">
        <v>31</v>
      </c>
      <c r="K666" s="9">
        <v>2000</v>
      </c>
      <c r="L666" s="39"/>
      <c r="M666" s="7" t="s">
        <v>1</v>
      </c>
      <c r="N666" s="8"/>
      <c r="O666" s="40"/>
      <c r="P666" s="15" t="s">
        <v>199</v>
      </c>
      <c r="Q666" s="9" t="s">
        <v>180</v>
      </c>
      <c r="R666" s="9"/>
      <c r="S666" s="9"/>
      <c r="T666" s="9">
        <v>103227</v>
      </c>
      <c r="U666" s="16" t="s">
        <v>91</v>
      </c>
      <c r="V666" s="9">
        <v>3239536</v>
      </c>
      <c r="W666" s="8" t="s">
        <v>209</v>
      </c>
      <c r="X666" s="8"/>
      <c r="Y666" s="8"/>
      <c r="Z666" s="8"/>
      <c r="AA666" s="8"/>
      <c r="AB666" s="8"/>
      <c r="AC666" s="8" t="s">
        <v>210</v>
      </c>
      <c r="AD666" s="14" t="s">
        <v>211</v>
      </c>
      <c r="AE666" s="8" t="s">
        <v>212</v>
      </c>
      <c r="AF666" s="14">
        <v>0.35</v>
      </c>
      <c r="AG666" s="8">
        <v>900</v>
      </c>
      <c r="AH666" s="8">
        <v>2500</v>
      </c>
      <c r="AI666" s="8">
        <v>51</v>
      </c>
      <c r="AJ666" s="8">
        <v>0</v>
      </c>
      <c r="AK666" s="127">
        <v>51</v>
      </c>
      <c r="AL666" s="103">
        <v>0</v>
      </c>
      <c r="AM666" s="8">
        <v>51</v>
      </c>
      <c r="AN666" s="21">
        <v>0</v>
      </c>
      <c r="AO666" s="21">
        <v>0</v>
      </c>
      <c r="AP666" s="21">
        <v>0</v>
      </c>
      <c r="AQ666" s="21">
        <v>0</v>
      </c>
      <c r="AR666" s="21">
        <v>51</v>
      </c>
      <c r="AS666" s="8">
        <v>0</v>
      </c>
      <c r="AT666" s="21">
        <v>0</v>
      </c>
      <c r="AU666" s="21">
        <v>0</v>
      </c>
      <c r="AV666" s="21">
        <v>0</v>
      </c>
      <c r="AW666" s="21">
        <v>0</v>
      </c>
      <c r="AX666" s="21">
        <v>0</v>
      </c>
      <c r="AY666" s="8">
        <v>51</v>
      </c>
    </row>
    <row r="667" spans="1:51" ht="15" customHeight="1" x14ac:dyDescent="0.25">
      <c r="A667" s="9">
        <v>742</v>
      </c>
      <c r="B667" s="13">
        <v>45702</v>
      </c>
      <c r="C667" s="9" t="s">
        <v>169</v>
      </c>
      <c r="D667" s="9">
        <v>9518520213</v>
      </c>
      <c r="E667" s="8">
        <v>1</v>
      </c>
      <c r="F667" s="9" t="s">
        <v>1291</v>
      </c>
      <c r="G667" s="79" t="s">
        <v>1303</v>
      </c>
      <c r="H667" s="9" t="s">
        <v>57</v>
      </c>
      <c r="I667" s="9" t="s">
        <v>25</v>
      </c>
      <c r="J667" s="9" t="s">
        <v>31</v>
      </c>
      <c r="K667" s="9">
        <v>2000</v>
      </c>
      <c r="L667" s="39"/>
      <c r="M667" s="7" t="s">
        <v>1</v>
      </c>
      <c r="N667" s="8"/>
      <c r="O667" s="40"/>
      <c r="P667" s="15" t="s">
        <v>199</v>
      </c>
      <c r="Q667" s="9" t="s">
        <v>180</v>
      </c>
      <c r="R667" s="9"/>
      <c r="S667" s="9"/>
      <c r="T667" s="9">
        <v>103227</v>
      </c>
      <c r="U667" s="16" t="s">
        <v>91</v>
      </c>
      <c r="V667" s="9">
        <v>3239408</v>
      </c>
      <c r="W667" s="8" t="s">
        <v>262</v>
      </c>
      <c r="X667" s="8"/>
      <c r="Y667" s="8"/>
      <c r="Z667" s="8"/>
      <c r="AA667" s="8"/>
      <c r="AB667" s="8"/>
      <c r="AC667" s="8" t="s">
        <v>210</v>
      </c>
      <c r="AD667" s="14" t="s">
        <v>211</v>
      </c>
      <c r="AE667" s="8" t="s">
        <v>212</v>
      </c>
      <c r="AF667" s="14">
        <v>0.3</v>
      </c>
      <c r="AG667" s="8">
        <v>900</v>
      </c>
      <c r="AH667" s="8">
        <v>2500</v>
      </c>
      <c r="AI667" s="8">
        <v>51</v>
      </c>
      <c r="AJ667" s="8">
        <v>0</v>
      </c>
      <c r="AK667" s="127">
        <v>51</v>
      </c>
      <c r="AL667" s="103">
        <v>0</v>
      </c>
      <c r="AM667" s="8">
        <v>51</v>
      </c>
      <c r="AN667" s="21">
        <v>0</v>
      </c>
      <c r="AO667" s="21">
        <v>0</v>
      </c>
      <c r="AP667" s="21">
        <v>0</v>
      </c>
      <c r="AQ667" s="21">
        <v>0</v>
      </c>
      <c r="AR667" s="21">
        <v>51</v>
      </c>
      <c r="AS667" s="8">
        <v>0</v>
      </c>
      <c r="AT667" s="21">
        <v>0</v>
      </c>
      <c r="AU667" s="21">
        <v>0</v>
      </c>
      <c r="AV667" s="21">
        <v>0</v>
      </c>
      <c r="AW667" s="21">
        <v>0</v>
      </c>
      <c r="AX667" s="21">
        <v>0</v>
      </c>
      <c r="AY667" s="8">
        <v>51</v>
      </c>
    </row>
    <row r="668" spans="1:51" ht="15" customHeight="1" x14ac:dyDescent="0.25">
      <c r="A668" s="9">
        <v>743</v>
      </c>
      <c r="B668" s="13">
        <v>45706</v>
      </c>
      <c r="C668" s="9" t="s">
        <v>169</v>
      </c>
      <c r="D668" s="9">
        <v>9518529960</v>
      </c>
      <c r="E668" s="8">
        <v>3</v>
      </c>
      <c r="F668" s="9" t="s">
        <v>1296</v>
      </c>
      <c r="G668" s="79" t="s">
        <v>1303</v>
      </c>
      <c r="H668" s="9" t="s">
        <v>57</v>
      </c>
      <c r="I668" s="9" t="s">
        <v>38</v>
      </c>
      <c r="J668" s="9" t="s">
        <v>41</v>
      </c>
      <c r="K668" s="9">
        <v>1000</v>
      </c>
      <c r="L668" s="39"/>
      <c r="M668" s="7" t="s">
        <v>1</v>
      </c>
      <c r="N668" s="8"/>
      <c r="O668" s="40"/>
      <c r="P668" s="15" t="s">
        <v>321</v>
      </c>
      <c r="Q668" s="9" t="s">
        <v>214</v>
      </c>
      <c r="R668" s="9"/>
      <c r="S668" s="9"/>
      <c r="T668" s="9">
        <v>188152</v>
      </c>
      <c r="U668" s="16" t="s">
        <v>107</v>
      </c>
      <c r="V668" s="9">
        <v>3903395</v>
      </c>
      <c r="W668" s="8" t="s">
        <v>367</v>
      </c>
      <c r="X668" s="8"/>
      <c r="Y668" s="8"/>
      <c r="Z668" s="8"/>
      <c r="AA668" s="8"/>
      <c r="AB668" s="8"/>
      <c r="AC668" s="8" t="s">
        <v>222</v>
      </c>
      <c r="AD668" s="14" t="s">
        <v>223</v>
      </c>
      <c r="AE668" s="8" t="s">
        <v>368</v>
      </c>
      <c r="AF668" s="14">
        <v>0.9</v>
      </c>
      <c r="AG668" s="8">
        <v>1220</v>
      </c>
      <c r="AH668" s="8">
        <v>0</v>
      </c>
      <c r="AI668" s="8">
        <v>196</v>
      </c>
      <c r="AJ668" s="8">
        <v>0</v>
      </c>
      <c r="AK668" s="127">
        <v>177.61500000000001</v>
      </c>
      <c r="AL668" s="103">
        <v>10.73</v>
      </c>
      <c r="AM668" s="8">
        <v>177.61500000000001</v>
      </c>
      <c r="AN668" s="21">
        <v>0</v>
      </c>
      <c r="AO668" s="21">
        <v>0</v>
      </c>
      <c r="AP668" s="21">
        <v>177.61500000000001</v>
      </c>
      <c r="AQ668" s="21">
        <v>0</v>
      </c>
      <c r="AR668" s="21">
        <v>0</v>
      </c>
      <c r="AS668" s="8">
        <v>188.345</v>
      </c>
      <c r="AT668" s="21">
        <v>0</v>
      </c>
      <c r="AU668" s="21">
        <v>0</v>
      </c>
      <c r="AV668" s="21">
        <v>0</v>
      </c>
      <c r="AW668" s="21">
        <v>188.345</v>
      </c>
      <c r="AX668" s="21">
        <v>0</v>
      </c>
      <c r="AY668" s="8">
        <v>0</v>
      </c>
    </row>
    <row r="669" spans="1:51" ht="15" customHeight="1" x14ac:dyDescent="0.25">
      <c r="A669" s="9">
        <v>742</v>
      </c>
      <c r="B669" s="13">
        <v>45694</v>
      </c>
      <c r="C669" s="9" t="s">
        <v>169</v>
      </c>
      <c r="D669" s="9">
        <v>9518499138</v>
      </c>
      <c r="E669" s="8">
        <v>1</v>
      </c>
      <c r="F669" s="9" t="s">
        <v>1292</v>
      </c>
      <c r="G669" s="79" t="s">
        <v>1303</v>
      </c>
      <c r="H669" s="9" t="s">
        <v>57</v>
      </c>
      <c r="I669" s="9" t="s">
        <v>25</v>
      </c>
      <c r="J669" s="9" t="s">
        <v>31</v>
      </c>
      <c r="K669" s="9">
        <v>2000</v>
      </c>
      <c r="L669" s="39"/>
      <c r="M669" s="7" t="s">
        <v>1</v>
      </c>
      <c r="N669" s="8"/>
      <c r="O669" s="40"/>
      <c r="P669" s="15" t="s">
        <v>220</v>
      </c>
      <c r="Q669" s="9" t="s">
        <v>180</v>
      </c>
      <c r="R669" s="9"/>
      <c r="S669" s="9"/>
      <c r="T669" s="9">
        <v>121328</v>
      </c>
      <c r="U669" s="16" t="s">
        <v>81</v>
      </c>
      <c r="V669" s="9">
        <v>3239408</v>
      </c>
      <c r="W669" s="8" t="s">
        <v>262</v>
      </c>
      <c r="X669" s="8"/>
      <c r="Y669" s="8"/>
      <c r="Z669" s="8"/>
      <c r="AA669" s="8"/>
      <c r="AB669" s="8"/>
      <c r="AC669" s="8" t="s">
        <v>210</v>
      </c>
      <c r="AD669" s="14" t="s">
        <v>211</v>
      </c>
      <c r="AE669" s="8" t="s">
        <v>212</v>
      </c>
      <c r="AF669" s="14">
        <v>0.3</v>
      </c>
      <c r="AG669" s="8">
        <v>900</v>
      </c>
      <c r="AH669" s="8">
        <v>2500</v>
      </c>
      <c r="AI669" s="8">
        <v>81</v>
      </c>
      <c r="AJ669" s="8">
        <v>0</v>
      </c>
      <c r="AK669" s="127">
        <v>81</v>
      </c>
      <c r="AL669" s="103">
        <v>0</v>
      </c>
      <c r="AM669" s="8">
        <v>81</v>
      </c>
      <c r="AN669" s="21">
        <v>0</v>
      </c>
      <c r="AO669" s="21">
        <v>0</v>
      </c>
      <c r="AP669" s="21">
        <v>0</v>
      </c>
      <c r="AQ669" s="21">
        <v>0</v>
      </c>
      <c r="AR669" s="21">
        <v>81</v>
      </c>
      <c r="AS669" s="8">
        <v>0</v>
      </c>
      <c r="AT669" s="21">
        <v>0</v>
      </c>
      <c r="AU669" s="21">
        <v>0</v>
      </c>
      <c r="AV669" s="21">
        <v>0</v>
      </c>
      <c r="AW669" s="21">
        <v>0</v>
      </c>
      <c r="AX669" s="21">
        <v>0</v>
      </c>
      <c r="AY669" s="8">
        <v>81</v>
      </c>
    </row>
    <row r="670" spans="1:51" ht="15" customHeight="1" x14ac:dyDescent="0.25">
      <c r="A670" s="9">
        <v>742</v>
      </c>
      <c r="B670" s="13">
        <v>45694</v>
      </c>
      <c r="C670" s="9" t="s">
        <v>169</v>
      </c>
      <c r="D670" s="9">
        <v>9518499138</v>
      </c>
      <c r="E670" s="8">
        <v>2</v>
      </c>
      <c r="F670" s="9" t="s">
        <v>1293</v>
      </c>
      <c r="G670" s="79" t="s">
        <v>1303</v>
      </c>
      <c r="H670" s="9" t="s">
        <v>57</v>
      </c>
      <c r="I670" s="9" t="s">
        <v>25</v>
      </c>
      <c r="J670" s="9" t="s">
        <v>31</v>
      </c>
      <c r="K670" s="9">
        <v>2000</v>
      </c>
      <c r="L670" s="39"/>
      <c r="M670" s="7" t="s">
        <v>1</v>
      </c>
      <c r="N670" s="8"/>
      <c r="O670" s="40"/>
      <c r="P670" s="15" t="s">
        <v>220</v>
      </c>
      <c r="Q670" s="9" t="s">
        <v>180</v>
      </c>
      <c r="R670" s="9"/>
      <c r="S670" s="9"/>
      <c r="T670" s="9">
        <v>121328</v>
      </c>
      <c r="U670" s="16" t="s">
        <v>81</v>
      </c>
      <c r="V670" s="9">
        <v>2440959</v>
      </c>
      <c r="W670" s="8" t="s">
        <v>263</v>
      </c>
      <c r="X670" s="8"/>
      <c r="Y670" s="8"/>
      <c r="Z670" s="8"/>
      <c r="AA670" s="8"/>
      <c r="AB670" s="8"/>
      <c r="AC670" s="8" t="s">
        <v>210</v>
      </c>
      <c r="AD670" s="14" t="s">
        <v>211</v>
      </c>
      <c r="AE670" s="8" t="s">
        <v>212</v>
      </c>
      <c r="AF670" s="14">
        <v>0.33</v>
      </c>
      <c r="AG670" s="8">
        <v>900</v>
      </c>
      <c r="AH670" s="8">
        <v>2500</v>
      </c>
      <c r="AI670" s="8">
        <v>60</v>
      </c>
      <c r="AJ670" s="8">
        <v>0</v>
      </c>
      <c r="AK670" s="127">
        <v>60</v>
      </c>
      <c r="AL670" s="103">
        <v>0</v>
      </c>
      <c r="AM670" s="8">
        <v>60</v>
      </c>
      <c r="AN670" s="21">
        <v>0</v>
      </c>
      <c r="AO670" s="21">
        <v>0</v>
      </c>
      <c r="AP670" s="21">
        <v>0</v>
      </c>
      <c r="AQ670" s="21">
        <v>0</v>
      </c>
      <c r="AR670" s="21">
        <v>60</v>
      </c>
      <c r="AS670" s="8">
        <v>0</v>
      </c>
      <c r="AT670" s="21">
        <v>0</v>
      </c>
      <c r="AU670" s="21">
        <v>0</v>
      </c>
      <c r="AV670" s="21">
        <v>0</v>
      </c>
      <c r="AW670" s="21">
        <v>0</v>
      </c>
      <c r="AX670" s="21">
        <v>0</v>
      </c>
      <c r="AY670" s="8">
        <v>60</v>
      </c>
    </row>
    <row r="671" spans="1:51" ht="15" customHeight="1" x14ac:dyDescent="0.25">
      <c r="A671" s="9">
        <v>742</v>
      </c>
      <c r="B671" s="13">
        <v>45694</v>
      </c>
      <c r="C671" s="9" t="s">
        <v>169</v>
      </c>
      <c r="D671" s="9">
        <v>9518499138</v>
      </c>
      <c r="E671" s="8">
        <v>3</v>
      </c>
      <c r="F671" s="9" t="s">
        <v>1294</v>
      </c>
      <c r="G671" s="79" t="s">
        <v>1303</v>
      </c>
      <c r="H671" s="9" t="s">
        <v>57</v>
      </c>
      <c r="I671" s="9" t="s">
        <v>25</v>
      </c>
      <c r="J671" s="9" t="s">
        <v>31</v>
      </c>
      <c r="K671" s="9">
        <v>2000</v>
      </c>
      <c r="L671" s="39"/>
      <c r="M671" s="7" t="s">
        <v>1</v>
      </c>
      <c r="N671" s="8"/>
      <c r="O671" s="40"/>
      <c r="P671" s="15" t="s">
        <v>220</v>
      </c>
      <c r="Q671" s="9" t="s">
        <v>180</v>
      </c>
      <c r="R671" s="9"/>
      <c r="S671" s="9"/>
      <c r="T671" s="9">
        <v>121328</v>
      </c>
      <c r="U671" s="16" t="s">
        <v>81</v>
      </c>
      <c r="V671" s="9">
        <v>3152197</v>
      </c>
      <c r="W671" s="8" t="s">
        <v>379</v>
      </c>
      <c r="X671" s="8"/>
      <c r="Y671" s="8"/>
      <c r="Z671" s="8"/>
      <c r="AA671" s="8"/>
      <c r="AB671" s="8"/>
      <c r="AC671" s="8" t="s">
        <v>210</v>
      </c>
      <c r="AD671" s="14" t="s">
        <v>211</v>
      </c>
      <c r="AE671" s="8" t="s">
        <v>212</v>
      </c>
      <c r="AF671" s="14">
        <v>0.33</v>
      </c>
      <c r="AG671" s="8">
        <v>1000</v>
      </c>
      <c r="AH671" s="8">
        <v>2500</v>
      </c>
      <c r="AI671" s="8">
        <v>60</v>
      </c>
      <c r="AJ671" s="8">
        <v>0</v>
      </c>
      <c r="AK671" s="127">
        <v>60</v>
      </c>
      <c r="AL671" s="103">
        <v>0</v>
      </c>
      <c r="AM671" s="8">
        <v>60</v>
      </c>
      <c r="AN671" s="21">
        <v>0</v>
      </c>
      <c r="AO671" s="21">
        <v>0</v>
      </c>
      <c r="AP671" s="21">
        <v>0</v>
      </c>
      <c r="AQ671" s="21">
        <v>0</v>
      </c>
      <c r="AR671" s="21">
        <v>60</v>
      </c>
      <c r="AS671" s="8">
        <v>0</v>
      </c>
      <c r="AT671" s="21">
        <v>0</v>
      </c>
      <c r="AU671" s="21">
        <v>0</v>
      </c>
      <c r="AV671" s="21">
        <v>0</v>
      </c>
      <c r="AW671" s="21">
        <v>0</v>
      </c>
      <c r="AX671" s="21">
        <v>0</v>
      </c>
      <c r="AY671" s="8">
        <v>60</v>
      </c>
    </row>
    <row r="672" spans="1:51" ht="15" customHeight="1" x14ac:dyDescent="0.25">
      <c r="A672" s="9">
        <v>743</v>
      </c>
      <c r="B672" s="13">
        <v>45702</v>
      </c>
      <c r="C672" s="9" t="s">
        <v>169</v>
      </c>
      <c r="D672" s="9">
        <v>9518519921</v>
      </c>
      <c r="E672" s="8">
        <v>1</v>
      </c>
      <c r="F672" s="9" t="s">
        <v>1297</v>
      </c>
      <c r="G672" s="79" t="s">
        <v>1303</v>
      </c>
      <c r="H672" s="9" t="s">
        <v>1272</v>
      </c>
      <c r="I672" s="9" t="s">
        <v>43</v>
      </c>
      <c r="J672" s="9" t="s">
        <v>26</v>
      </c>
      <c r="K672" s="9">
        <v>2000</v>
      </c>
      <c r="L672" s="39">
        <v>800</v>
      </c>
      <c r="M672" s="7" t="s">
        <v>1</v>
      </c>
      <c r="N672" s="8"/>
      <c r="O672" s="40"/>
      <c r="P672" s="15" t="s">
        <v>793</v>
      </c>
      <c r="Q672" s="9" t="s">
        <v>172</v>
      </c>
      <c r="R672" s="9"/>
      <c r="S672" s="9"/>
      <c r="T672" s="9">
        <v>115190</v>
      </c>
      <c r="U672" s="16" t="s">
        <v>110</v>
      </c>
      <c r="V672" s="9">
        <v>3897427</v>
      </c>
      <c r="W672" s="8" t="s">
        <v>749</v>
      </c>
      <c r="X672" s="8"/>
      <c r="Y672" s="8"/>
      <c r="Z672" s="8"/>
      <c r="AA672" s="8"/>
      <c r="AB672" s="8"/>
      <c r="AC672" s="8" t="s">
        <v>269</v>
      </c>
      <c r="AD672" s="14" t="s">
        <v>388</v>
      </c>
      <c r="AE672" s="8" t="s">
        <v>744</v>
      </c>
      <c r="AF672" s="14">
        <v>0.25</v>
      </c>
      <c r="AG672" s="8">
        <v>900</v>
      </c>
      <c r="AH672" s="8">
        <v>0</v>
      </c>
      <c r="AI672" s="8">
        <v>21</v>
      </c>
      <c r="AJ672" s="8">
        <v>0</v>
      </c>
      <c r="AK672" s="127">
        <v>21</v>
      </c>
      <c r="AL672" s="103">
        <v>0</v>
      </c>
      <c r="AM672" s="8">
        <v>21</v>
      </c>
      <c r="AN672" s="21">
        <v>0</v>
      </c>
      <c r="AO672" s="21">
        <v>0</v>
      </c>
      <c r="AP672" s="21">
        <v>21</v>
      </c>
      <c r="AQ672" s="21">
        <v>0</v>
      </c>
      <c r="AR672" s="21">
        <v>0</v>
      </c>
      <c r="AS672" s="8">
        <v>21</v>
      </c>
      <c r="AT672" s="21">
        <v>0</v>
      </c>
      <c r="AU672" s="21">
        <v>0</v>
      </c>
      <c r="AV672" s="21">
        <v>0</v>
      </c>
      <c r="AW672" s="21">
        <v>21</v>
      </c>
      <c r="AX672" s="21">
        <v>0</v>
      </c>
      <c r="AY672" s="8">
        <v>0</v>
      </c>
    </row>
    <row r="673" spans="1:51" ht="15" customHeight="1" x14ac:dyDescent="0.25">
      <c r="A673" s="9">
        <v>743</v>
      </c>
      <c r="B673" s="13">
        <v>45702</v>
      </c>
      <c r="C673" s="9" t="s">
        <v>169</v>
      </c>
      <c r="D673" s="9">
        <v>9518519921</v>
      </c>
      <c r="E673" s="8">
        <v>2</v>
      </c>
      <c r="F673" s="9" t="s">
        <v>1298</v>
      </c>
      <c r="G673" s="79" t="s">
        <v>1303</v>
      </c>
      <c r="H673" s="9" t="s">
        <v>1272</v>
      </c>
      <c r="I673" s="9" t="s">
        <v>43</v>
      </c>
      <c r="J673" s="9" t="s">
        <v>26</v>
      </c>
      <c r="K673" s="9">
        <v>2000</v>
      </c>
      <c r="L673" s="39"/>
      <c r="M673" s="7" t="s">
        <v>1</v>
      </c>
      <c r="N673" s="8"/>
      <c r="O673" s="40"/>
      <c r="P673" s="15" t="s">
        <v>793</v>
      </c>
      <c r="Q673" s="9" t="s">
        <v>172</v>
      </c>
      <c r="R673" s="9"/>
      <c r="S673" s="9"/>
      <c r="T673" s="9">
        <v>115190</v>
      </c>
      <c r="U673" s="16" t="s">
        <v>110</v>
      </c>
      <c r="V673" s="9">
        <v>3897428</v>
      </c>
      <c r="W673" s="8" t="s">
        <v>745</v>
      </c>
      <c r="X673" s="8"/>
      <c r="Y673" s="8"/>
      <c r="Z673" s="8"/>
      <c r="AA673" s="8"/>
      <c r="AB673" s="8"/>
      <c r="AC673" s="8" t="s">
        <v>269</v>
      </c>
      <c r="AD673" s="14" t="s">
        <v>388</v>
      </c>
      <c r="AE673" s="8" t="s">
        <v>744</v>
      </c>
      <c r="AF673" s="14">
        <v>0.3</v>
      </c>
      <c r="AG673" s="8">
        <v>900</v>
      </c>
      <c r="AH673" s="8">
        <v>0</v>
      </c>
      <c r="AI673" s="8">
        <v>21</v>
      </c>
      <c r="AJ673" s="8">
        <v>0</v>
      </c>
      <c r="AK673" s="127">
        <v>21</v>
      </c>
      <c r="AL673" s="103">
        <v>0</v>
      </c>
      <c r="AM673" s="8">
        <v>21</v>
      </c>
      <c r="AN673" s="21">
        <v>0</v>
      </c>
      <c r="AO673" s="21">
        <v>0</v>
      </c>
      <c r="AP673" s="21">
        <v>21</v>
      </c>
      <c r="AQ673" s="21">
        <v>0</v>
      </c>
      <c r="AR673" s="21">
        <v>0</v>
      </c>
      <c r="AS673" s="8">
        <v>21</v>
      </c>
      <c r="AT673" s="21">
        <v>0</v>
      </c>
      <c r="AU673" s="21">
        <v>0</v>
      </c>
      <c r="AV673" s="21">
        <v>0</v>
      </c>
      <c r="AW673" s="21">
        <v>21</v>
      </c>
      <c r="AX673" s="21">
        <v>0</v>
      </c>
      <c r="AY673" s="8">
        <v>0</v>
      </c>
    </row>
    <row r="674" spans="1:51" ht="15" customHeight="1" x14ac:dyDescent="0.25">
      <c r="A674" s="9">
        <v>743</v>
      </c>
      <c r="B674" s="13">
        <v>45702</v>
      </c>
      <c r="C674" s="9" t="s">
        <v>169</v>
      </c>
      <c r="D674" s="9">
        <v>9518519921</v>
      </c>
      <c r="E674" s="8">
        <v>3</v>
      </c>
      <c r="F674" s="9" t="s">
        <v>1299</v>
      </c>
      <c r="G674" s="79" t="s">
        <v>1303</v>
      </c>
      <c r="H674" s="9" t="s">
        <v>1272</v>
      </c>
      <c r="I674" s="9" t="s">
        <v>43</v>
      </c>
      <c r="J674" s="9" t="s">
        <v>26</v>
      </c>
      <c r="K674" s="9">
        <v>2000</v>
      </c>
      <c r="L674" s="39"/>
      <c r="M674" s="7" t="s">
        <v>1</v>
      </c>
      <c r="N674" s="8"/>
      <c r="O674" s="40"/>
      <c r="P674" s="15" t="s">
        <v>793</v>
      </c>
      <c r="Q674" s="9" t="s">
        <v>172</v>
      </c>
      <c r="R674" s="9"/>
      <c r="S674" s="9"/>
      <c r="T674" s="9">
        <v>115190</v>
      </c>
      <c r="U674" s="16" t="s">
        <v>110</v>
      </c>
      <c r="V674" s="9">
        <v>3897429</v>
      </c>
      <c r="W674" s="8" t="s">
        <v>743</v>
      </c>
      <c r="X674" s="8"/>
      <c r="Y674" s="8"/>
      <c r="Z674" s="8"/>
      <c r="AA674" s="8"/>
      <c r="AB674" s="8"/>
      <c r="AC674" s="8" t="s">
        <v>269</v>
      </c>
      <c r="AD674" s="14" t="s">
        <v>388</v>
      </c>
      <c r="AE674" s="8" t="s">
        <v>744</v>
      </c>
      <c r="AF674" s="14">
        <v>0.35</v>
      </c>
      <c r="AG674" s="8">
        <v>900</v>
      </c>
      <c r="AH674" s="8">
        <v>0</v>
      </c>
      <c r="AI674" s="8">
        <v>42</v>
      </c>
      <c r="AJ674" s="8">
        <v>0</v>
      </c>
      <c r="AK674" s="127">
        <v>42</v>
      </c>
      <c r="AL674" s="103">
        <v>0</v>
      </c>
      <c r="AM674" s="8">
        <v>42</v>
      </c>
      <c r="AN674" s="21">
        <v>0</v>
      </c>
      <c r="AO674" s="21">
        <v>0</v>
      </c>
      <c r="AP674" s="21">
        <v>42</v>
      </c>
      <c r="AQ674" s="21">
        <v>0</v>
      </c>
      <c r="AR674" s="21">
        <v>0</v>
      </c>
      <c r="AS674" s="8">
        <v>42</v>
      </c>
      <c r="AT674" s="21">
        <v>0</v>
      </c>
      <c r="AU674" s="21">
        <v>0</v>
      </c>
      <c r="AV674" s="21">
        <v>0</v>
      </c>
      <c r="AW674" s="21">
        <v>42</v>
      </c>
      <c r="AX674" s="21">
        <v>0</v>
      </c>
      <c r="AY674" s="8">
        <v>0</v>
      </c>
    </row>
    <row r="675" spans="1:51" ht="15" customHeight="1" x14ac:dyDescent="0.25">
      <c r="A675" s="9">
        <v>743</v>
      </c>
      <c r="B675" s="13">
        <v>45702</v>
      </c>
      <c r="C675" s="9" t="s">
        <v>169</v>
      </c>
      <c r="D675" s="9">
        <v>9518519921</v>
      </c>
      <c r="E675" s="8">
        <v>4</v>
      </c>
      <c r="F675" s="9" t="s">
        <v>1300</v>
      </c>
      <c r="G675" s="79" t="s">
        <v>1303</v>
      </c>
      <c r="H675" s="9" t="s">
        <v>1272</v>
      </c>
      <c r="I675" s="9" t="s">
        <v>43</v>
      </c>
      <c r="J675" s="9" t="s">
        <v>26</v>
      </c>
      <c r="K675" s="9">
        <v>2000</v>
      </c>
      <c r="L675" s="39"/>
      <c r="M675" s="7" t="s">
        <v>1</v>
      </c>
      <c r="N675" s="8"/>
      <c r="O675" s="40"/>
      <c r="P675" s="15" t="s">
        <v>793</v>
      </c>
      <c r="Q675" s="9" t="s">
        <v>172</v>
      </c>
      <c r="R675" s="9"/>
      <c r="S675" s="9"/>
      <c r="T675" s="9">
        <v>115190</v>
      </c>
      <c r="U675" s="16" t="s">
        <v>110</v>
      </c>
      <c r="V675" s="9">
        <v>3897430</v>
      </c>
      <c r="W675" s="8" t="s">
        <v>746</v>
      </c>
      <c r="X675" s="8"/>
      <c r="Y675" s="8"/>
      <c r="Z675" s="8"/>
      <c r="AA675" s="8"/>
      <c r="AB675" s="8"/>
      <c r="AC675" s="8" t="s">
        <v>269</v>
      </c>
      <c r="AD675" s="14" t="s">
        <v>388</v>
      </c>
      <c r="AE675" s="8" t="s">
        <v>744</v>
      </c>
      <c r="AF675" s="14">
        <v>0.4</v>
      </c>
      <c r="AG675" s="8">
        <v>900</v>
      </c>
      <c r="AH675" s="8">
        <v>0</v>
      </c>
      <c r="AI675" s="8">
        <v>42</v>
      </c>
      <c r="AJ675" s="8">
        <v>0</v>
      </c>
      <c r="AK675" s="127">
        <v>42</v>
      </c>
      <c r="AL675" s="103">
        <v>0</v>
      </c>
      <c r="AM675" s="8">
        <v>42</v>
      </c>
      <c r="AN675" s="21">
        <v>42</v>
      </c>
      <c r="AO675" s="21">
        <v>0</v>
      </c>
      <c r="AP675" s="21">
        <v>0</v>
      </c>
      <c r="AQ675" s="21">
        <v>0</v>
      </c>
      <c r="AR675" s="21">
        <v>0</v>
      </c>
      <c r="AS675" s="8">
        <v>42</v>
      </c>
      <c r="AT675" s="21">
        <v>0</v>
      </c>
      <c r="AU675" s="21">
        <v>42</v>
      </c>
      <c r="AV675" s="21">
        <v>0</v>
      </c>
      <c r="AW675" s="21">
        <v>0</v>
      </c>
      <c r="AX675" s="21">
        <v>0</v>
      </c>
      <c r="AY675" s="8">
        <v>0</v>
      </c>
    </row>
    <row r="676" spans="1:51" ht="15" customHeight="1" x14ac:dyDescent="0.25">
      <c r="A676" s="9">
        <v>743</v>
      </c>
      <c r="B676" s="13">
        <v>45702</v>
      </c>
      <c r="C676" s="9" t="s">
        <v>169</v>
      </c>
      <c r="D676" s="9">
        <v>9518519921</v>
      </c>
      <c r="E676" s="8">
        <v>5</v>
      </c>
      <c r="F676" s="9" t="s">
        <v>1301</v>
      </c>
      <c r="G676" s="79" t="s">
        <v>1303</v>
      </c>
      <c r="H676" s="9" t="s">
        <v>1272</v>
      </c>
      <c r="I676" s="9" t="s">
        <v>43</v>
      </c>
      <c r="J676" s="9" t="s">
        <v>26</v>
      </c>
      <c r="K676" s="9">
        <v>2000</v>
      </c>
      <c r="L676" s="39"/>
      <c r="M676" s="7" t="s">
        <v>1</v>
      </c>
      <c r="N676" s="8"/>
      <c r="O676" s="40"/>
      <c r="P676" s="15" t="s">
        <v>793</v>
      </c>
      <c r="Q676" s="9" t="s">
        <v>172</v>
      </c>
      <c r="R676" s="9"/>
      <c r="S676" s="9"/>
      <c r="T676" s="9">
        <v>115190</v>
      </c>
      <c r="U676" s="16" t="s">
        <v>110</v>
      </c>
      <c r="V676" s="9">
        <v>3897501</v>
      </c>
      <c r="W676" s="8" t="s">
        <v>747</v>
      </c>
      <c r="X676" s="8"/>
      <c r="Y676" s="8"/>
      <c r="Z676" s="8"/>
      <c r="AA676" s="8"/>
      <c r="AB676" s="8"/>
      <c r="AC676" s="8" t="s">
        <v>269</v>
      </c>
      <c r="AD676" s="14" t="s">
        <v>388</v>
      </c>
      <c r="AE676" s="8" t="s">
        <v>744</v>
      </c>
      <c r="AF676" s="14">
        <v>0.5</v>
      </c>
      <c r="AG676" s="8">
        <v>900</v>
      </c>
      <c r="AH676" s="8">
        <v>0</v>
      </c>
      <c r="AI676" s="8">
        <v>42</v>
      </c>
      <c r="AJ676" s="8">
        <v>0</v>
      </c>
      <c r="AK676" s="127">
        <v>42</v>
      </c>
      <c r="AL676" s="103">
        <v>0</v>
      </c>
      <c r="AM676" s="8">
        <v>42</v>
      </c>
      <c r="AN676" s="21">
        <v>42</v>
      </c>
      <c r="AO676" s="21">
        <v>0</v>
      </c>
      <c r="AP676" s="21">
        <v>0</v>
      </c>
      <c r="AQ676" s="21">
        <v>0</v>
      </c>
      <c r="AR676" s="21">
        <v>0</v>
      </c>
      <c r="AS676" s="8">
        <v>42</v>
      </c>
      <c r="AT676" s="21">
        <v>0</v>
      </c>
      <c r="AU676" s="21">
        <v>42</v>
      </c>
      <c r="AV676" s="21">
        <v>0</v>
      </c>
      <c r="AW676" s="21">
        <v>0</v>
      </c>
      <c r="AX676" s="21">
        <v>0</v>
      </c>
      <c r="AY676" s="8">
        <v>0</v>
      </c>
    </row>
    <row r="677" spans="1:51" ht="15" customHeight="1" x14ac:dyDescent="0.25">
      <c r="A677" s="9">
        <v>743</v>
      </c>
      <c r="B677" s="13">
        <v>45731</v>
      </c>
      <c r="C677" s="9" t="s">
        <v>169</v>
      </c>
      <c r="D677" s="9">
        <v>9518602675</v>
      </c>
      <c r="E677" s="8">
        <v>10</v>
      </c>
      <c r="F677" s="9" t="s">
        <v>1305</v>
      </c>
      <c r="G677" s="79" t="s">
        <v>1303</v>
      </c>
      <c r="H677" s="9" t="s">
        <v>57</v>
      </c>
      <c r="I677" s="9" t="s">
        <v>43</v>
      </c>
      <c r="J677" s="9" t="s">
        <v>45</v>
      </c>
      <c r="K677" s="9" t="s">
        <v>170</v>
      </c>
      <c r="L677" s="39"/>
      <c r="M677" s="7" t="s">
        <v>1</v>
      </c>
      <c r="N677" s="8"/>
      <c r="O677" s="40"/>
      <c r="P677" s="15"/>
      <c r="Q677" s="9" t="s">
        <v>180</v>
      </c>
      <c r="R677" s="9" t="s">
        <v>261</v>
      </c>
      <c r="S677" s="9"/>
      <c r="T677" s="9">
        <v>185794</v>
      </c>
      <c r="U677" s="16" t="s">
        <v>97</v>
      </c>
      <c r="V677" s="9">
        <v>1854424</v>
      </c>
      <c r="W677" s="8" t="s">
        <v>319</v>
      </c>
      <c r="X677" s="8" t="s">
        <v>308</v>
      </c>
      <c r="Y677" s="8"/>
      <c r="Z677" s="8">
        <v>5</v>
      </c>
      <c r="AA677" s="8">
        <v>15</v>
      </c>
      <c r="AB677" s="8"/>
      <c r="AC677" s="8" t="s">
        <v>238</v>
      </c>
      <c r="AD677" s="14" t="s">
        <v>185</v>
      </c>
      <c r="AE677" s="8" t="s">
        <v>186</v>
      </c>
      <c r="AF677" s="14">
        <v>0.6</v>
      </c>
      <c r="AG677" s="8">
        <v>900</v>
      </c>
      <c r="AH677" s="8">
        <v>0</v>
      </c>
      <c r="AI677" s="8">
        <v>147</v>
      </c>
      <c r="AJ677" s="8">
        <v>123.97499999999999</v>
      </c>
      <c r="AK677" s="127">
        <v>23.024999999999999</v>
      </c>
      <c r="AL677" s="103">
        <v>0</v>
      </c>
      <c r="AM677" s="8">
        <v>23.024999999999999</v>
      </c>
      <c r="AN677" s="21">
        <v>23.024999999999999</v>
      </c>
      <c r="AO677" s="21">
        <v>0</v>
      </c>
      <c r="AP677" s="21">
        <v>0</v>
      </c>
      <c r="AQ677" s="21">
        <v>0</v>
      </c>
      <c r="AR677" s="21">
        <v>0</v>
      </c>
      <c r="AS677" s="8">
        <v>23.024999999999999</v>
      </c>
      <c r="AT677" s="21">
        <v>0</v>
      </c>
      <c r="AU677" s="21">
        <v>23.024999999999999</v>
      </c>
      <c r="AV677" s="21">
        <v>0</v>
      </c>
      <c r="AW677" s="21">
        <v>0</v>
      </c>
      <c r="AX677" s="21">
        <v>0</v>
      </c>
      <c r="AY677" s="8">
        <v>0</v>
      </c>
    </row>
    <row r="678" spans="1:51" ht="15" customHeight="1" x14ac:dyDescent="0.25">
      <c r="A678" s="9">
        <v>743</v>
      </c>
      <c r="B678" s="13">
        <v>45766</v>
      </c>
      <c r="C678" s="9" t="s">
        <v>169</v>
      </c>
      <c r="D678" s="9">
        <v>9518704427</v>
      </c>
      <c r="E678" s="8">
        <v>1</v>
      </c>
      <c r="F678" s="9" t="s">
        <v>1306</v>
      </c>
      <c r="G678" s="79" t="s">
        <v>1303</v>
      </c>
      <c r="H678" s="9" t="s">
        <v>57</v>
      </c>
      <c r="I678" s="9" t="s">
        <v>43</v>
      </c>
      <c r="J678" s="9" t="s">
        <v>26</v>
      </c>
      <c r="K678" s="9" t="s">
        <v>1304</v>
      </c>
      <c r="L678" s="39"/>
      <c r="M678" s="7" t="s">
        <v>1</v>
      </c>
      <c r="N678" s="8"/>
      <c r="O678" s="40"/>
      <c r="P678" s="15"/>
      <c r="Q678" s="9" t="s">
        <v>214</v>
      </c>
      <c r="R678" s="9" t="s">
        <v>246</v>
      </c>
      <c r="S678" s="9"/>
      <c r="T678" s="9">
        <v>822271</v>
      </c>
      <c r="U678" s="16" t="s">
        <v>86</v>
      </c>
      <c r="V678" s="9">
        <v>1851832</v>
      </c>
      <c r="W678" s="8" t="s">
        <v>1309</v>
      </c>
      <c r="X678" s="8" t="s">
        <v>308</v>
      </c>
      <c r="Y678" s="8"/>
      <c r="Z678" s="8">
        <v>3</v>
      </c>
      <c r="AA678" s="8">
        <v>5</v>
      </c>
      <c r="AB678" s="8"/>
      <c r="AC678" s="8" t="s">
        <v>238</v>
      </c>
      <c r="AD678" s="14" t="s">
        <v>327</v>
      </c>
      <c r="AE678" s="8" t="s">
        <v>1169</v>
      </c>
      <c r="AF678" s="14">
        <v>0.3</v>
      </c>
      <c r="AG678" s="8">
        <v>900</v>
      </c>
      <c r="AH678" s="8">
        <v>0</v>
      </c>
      <c r="AI678" s="8">
        <v>168</v>
      </c>
      <c r="AJ678" s="8">
        <v>0</v>
      </c>
      <c r="AK678" s="127">
        <v>133.69</v>
      </c>
      <c r="AL678" s="103">
        <v>14.684999999999999</v>
      </c>
      <c r="AM678" s="8">
        <v>133.69</v>
      </c>
      <c r="AN678" s="21">
        <v>133.69</v>
      </c>
      <c r="AO678" s="21">
        <v>0</v>
      </c>
      <c r="AP678" s="21">
        <v>0</v>
      </c>
      <c r="AQ678" s="21">
        <v>0</v>
      </c>
      <c r="AR678" s="21">
        <v>0</v>
      </c>
      <c r="AS678" s="8">
        <v>148.375</v>
      </c>
      <c r="AT678" s="21">
        <v>0</v>
      </c>
      <c r="AU678" s="21">
        <v>148.375</v>
      </c>
      <c r="AV678" s="21">
        <v>0</v>
      </c>
      <c r="AW678" s="21">
        <v>0</v>
      </c>
      <c r="AX678" s="21">
        <v>0</v>
      </c>
      <c r="AY678" s="8">
        <v>0</v>
      </c>
    </row>
    <row r="679" spans="1:51" ht="15" customHeight="1" x14ac:dyDescent="0.25">
      <c r="A679" s="9">
        <v>742</v>
      </c>
      <c r="B679" s="13">
        <v>45750</v>
      </c>
      <c r="C679" s="9" t="s">
        <v>169</v>
      </c>
      <c r="D679" s="9">
        <v>9518667214</v>
      </c>
      <c r="E679" s="8">
        <v>3</v>
      </c>
      <c r="F679" s="9" t="s">
        <v>1307</v>
      </c>
      <c r="G679" s="9" t="s">
        <v>1303</v>
      </c>
      <c r="H679" s="9" t="s">
        <v>57</v>
      </c>
      <c r="I679" s="9" t="s">
        <v>25</v>
      </c>
      <c r="J679" s="9" t="s">
        <v>30</v>
      </c>
      <c r="K679" s="9" t="s">
        <v>170</v>
      </c>
      <c r="L679" s="39"/>
      <c r="M679" s="7" t="s">
        <v>1</v>
      </c>
      <c r="N679" s="8"/>
      <c r="O679" s="40"/>
      <c r="P679" s="15"/>
      <c r="Q679" s="9" t="s">
        <v>214</v>
      </c>
      <c r="R679" s="9" t="s">
        <v>240</v>
      </c>
      <c r="S679" s="9"/>
      <c r="T679" s="9">
        <v>801611</v>
      </c>
      <c r="U679" s="16" t="s">
        <v>132</v>
      </c>
      <c r="V679" s="9">
        <v>1801290</v>
      </c>
      <c r="W679" s="8" t="s">
        <v>330</v>
      </c>
      <c r="X679" s="8" t="s">
        <v>265</v>
      </c>
      <c r="Y679" s="8"/>
      <c r="Z679" s="8">
        <v>15</v>
      </c>
      <c r="AA679" s="8">
        <v>28</v>
      </c>
      <c r="AB679" s="8"/>
      <c r="AC679" s="8" t="s">
        <v>190</v>
      </c>
      <c r="AD679" s="14" t="s">
        <v>191</v>
      </c>
      <c r="AE679" s="8" t="s">
        <v>192</v>
      </c>
      <c r="AF679" s="14">
        <v>0.6</v>
      </c>
      <c r="AG679" s="8">
        <v>1250</v>
      </c>
      <c r="AH679" s="8">
        <v>0</v>
      </c>
      <c r="AI679" s="8">
        <v>29</v>
      </c>
      <c r="AJ679" s="8">
        <v>0</v>
      </c>
      <c r="AK679" s="127">
        <v>29</v>
      </c>
      <c r="AL679" s="103">
        <v>0</v>
      </c>
      <c r="AM679" s="8">
        <v>29</v>
      </c>
      <c r="AN679" s="21">
        <v>29</v>
      </c>
      <c r="AO679" s="21">
        <v>0</v>
      </c>
      <c r="AP679" s="21">
        <v>0</v>
      </c>
      <c r="AQ679" s="21">
        <v>0</v>
      </c>
      <c r="AR679" s="21">
        <v>0</v>
      </c>
      <c r="AS679" s="8">
        <v>29</v>
      </c>
      <c r="AT679" s="21">
        <v>0</v>
      </c>
      <c r="AU679" s="21">
        <v>29</v>
      </c>
      <c r="AV679" s="21">
        <v>0</v>
      </c>
      <c r="AW679" s="21">
        <v>0</v>
      </c>
      <c r="AX679" s="21">
        <v>0</v>
      </c>
      <c r="AY679" s="8">
        <v>0</v>
      </c>
    </row>
    <row r="680" spans="1:51" ht="15" customHeight="1" x14ac:dyDescent="0.25">
      <c r="A680" s="9">
        <v>742</v>
      </c>
      <c r="B680" s="13">
        <v>45766</v>
      </c>
      <c r="C680" s="9" t="s">
        <v>169</v>
      </c>
      <c r="D680" s="9">
        <v>9518703509</v>
      </c>
      <c r="E680" s="8">
        <v>1</v>
      </c>
      <c r="F680" s="9" t="s">
        <v>1312</v>
      </c>
      <c r="G680" s="79" t="s">
        <v>1303</v>
      </c>
      <c r="H680" s="9" t="s">
        <v>57</v>
      </c>
      <c r="I680" s="9" t="s">
        <v>25</v>
      </c>
      <c r="J680" s="9" t="s">
        <v>28</v>
      </c>
      <c r="K680" s="9">
        <v>1000</v>
      </c>
      <c r="L680" s="39"/>
      <c r="M680" s="7" t="s">
        <v>1</v>
      </c>
      <c r="N680" s="8"/>
      <c r="O680" s="40" t="s">
        <v>1395</v>
      </c>
      <c r="P680" s="15" t="s">
        <v>213</v>
      </c>
      <c r="Q680" s="9" t="s">
        <v>214</v>
      </c>
      <c r="R680" s="9"/>
      <c r="S680" s="9"/>
      <c r="T680" s="9">
        <v>188238</v>
      </c>
      <c r="U680" s="16" t="s">
        <v>59</v>
      </c>
      <c r="V680" s="9">
        <v>2421723</v>
      </c>
      <c r="W680" s="8" t="s">
        <v>499</v>
      </c>
      <c r="X680" s="8"/>
      <c r="Y680" s="8" t="s">
        <v>175</v>
      </c>
      <c r="Z680" s="8"/>
      <c r="AA680" s="8"/>
      <c r="AB680" s="8"/>
      <c r="AC680" s="8" t="s">
        <v>190</v>
      </c>
      <c r="AD680" s="14" t="s">
        <v>191</v>
      </c>
      <c r="AE680" s="8" t="s">
        <v>384</v>
      </c>
      <c r="AF680" s="14">
        <v>0.77</v>
      </c>
      <c r="AG680" s="8">
        <v>920</v>
      </c>
      <c r="AH680" s="8">
        <v>0</v>
      </c>
      <c r="AI680" s="8">
        <v>273</v>
      </c>
      <c r="AJ680" s="8">
        <v>0</v>
      </c>
      <c r="AK680" s="127">
        <v>273</v>
      </c>
      <c r="AL680" s="103">
        <v>0</v>
      </c>
      <c r="AM680" s="8">
        <v>273</v>
      </c>
      <c r="AN680" s="21">
        <v>0</v>
      </c>
      <c r="AO680" s="21">
        <v>0</v>
      </c>
      <c r="AP680" s="21">
        <v>0</v>
      </c>
      <c r="AQ680" s="21">
        <v>273</v>
      </c>
      <c r="AR680" s="21">
        <v>0</v>
      </c>
      <c r="AS680" s="8">
        <v>273</v>
      </c>
      <c r="AT680" s="21">
        <v>0</v>
      </c>
      <c r="AU680" s="21">
        <v>0</v>
      </c>
      <c r="AV680" s="21">
        <v>0</v>
      </c>
      <c r="AW680" s="21">
        <v>273</v>
      </c>
      <c r="AX680" s="21">
        <v>0</v>
      </c>
      <c r="AY680" s="8">
        <v>0</v>
      </c>
    </row>
    <row r="681" spans="1:51" ht="15" customHeight="1" x14ac:dyDescent="0.25">
      <c r="A681" s="9">
        <v>742</v>
      </c>
      <c r="B681" s="13">
        <v>45766</v>
      </c>
      <c r="C681" s="9" t="s">
        <v>169</v>
      </c>
      <c r="D681" s="9">
        <v>9518703509</v>
      </c>
      <c r="E681" s="8">
        <v>2</v>
      </c>
      <c r="F681" s="9" t="s">
        <v>1313</v>
      </c>
      <c r="G681" s="79" t="s">
        <v>1303</v>
      </c>
      <c r="H681" s="9" t="s">
        <v>57</v>
      </c>
      <c r="I681" s="9" t="s">
        <v>25</v>
      </c>
      <c r="J681" s="9" t="s">
        <v>28</v>
      </c>
      <c r="K681" s="9">
        <v>1000</v>
      </c>
      <c r="L681" s="39"/>
      <c r="M681" s="7" t="s">
        <v>1</v>
      </c>
      <c r="N681" s="8"/>
      <c r="O681" s="40" t="s">
        <v>1395</v>
      </c>
      <c r="P681" s="15" t="s">
        <v>213</v>
      </c>
      <c r="Q681" s="9" t="s">
        <v>214</v>
      </c>
      <c r="R681" s="9"/>
      <c r="S681" s="9"/>
      <c r="T681" s="9">
        <v>188238</v>
      </c>
      <c r="U681" s="16" t="s">
        <v>59</v>
      </c>
      <c r="V681" s="9">
        <v>2421723</v>
      </c>
      <c r="W681" s="8" t="s">
        <v>499</v>
      </c>
      <c r="X681" s="8"/>
      <c r="Y681" s="8" t="s">
        <v>175</v>
      </c>
      <c r="Z681" s="8"/>
      <c r="AA681" s="8"/>
      <c r="AB681" s="8"/>
      <c r="AC681" s="8" t="s">
        <v>190</v>
      </c>
      <c r="AD681" s="14" t="s">
        <v>191</v>
      </c>
      <c r="AE681" s="8" t="s">
        <v>384</v>
      </c>
      <c r="AF681" s="14">
        <v>0.77</v>
      </c>
      <c r="AG681" s="8">
        <v>920</v>
      </c>
      <c r="AH681" s="8">
        <v>0</v>
      </c>
      <c r="AI681" s="8">
        <v>273</v>
      </c>
      <c r="AJ681" s="8">
        <v>0</v>
      </c>
      <c r="AK681" s="127">
        <v>273</v>
      </c>
      <c r="AL681" s="103">
        <v>0</v>
      </c>
      <c r="AM681" s="8">
        <v>273</v>
      </c>
      <c r="AN681" s="21">
        <v>0</v>
      </c>
      <c r="AO681" s="21">
        <v>0</v>
      </c>
      <c r="AP681" s="21">
        <v>0</v>
      </c>
      <c r="AQ681" s="21">
        <v>273</v>
      </c>
      <c r="AR681" s="21">
        <v>0</v>
      </c>
      <c r="AS681" s="8">
        <v>273</v>
      </c>
      <c r="AT681" s="21">
        <v>0</v>
      </c>
      <c r="AU681" s="21">
        <v>0</v>
      </c>
      <c r="AV681" s="21">
        <v>0</v>
      </c>
      <c r="AW681" s="21">
        <v>273</v>
      </c>
      <c r="AX681" s="21">
        <v>0</v>
      </c>
      <c r="AY681" s="8">
        <v>0</v>
      </c>
    </row>
    <row r="682" spans="1:51" ht="15" customHeight="1" x14ac:dyDescent="0.25">
      <c r="A682" s="9">
        <v>742</v>
      </c>
      <c r="B682" s="13">
        <v>45765</v>
      </c>
      <c r="C682" s="9" t="s">
        <v>169</v>
      </c>
      <c r="D682" s="9">
        <v>9518703423</v>
      </c>
      <c r="E682" s="8">
        <v>1</v>
      </c>
      <c r="F682" s="9" t="s">
        <v>1314</v>
      </c>
      <c r="G682" s="79" t="s">
        <v>1303</v>
      </c>
      <c r="H682" s="9" t="s">
        <v>57</v>
      </c>
      <c r="I682" s="9" t="s">
        <v>25</v>
      </c>
      <c r="J682" s="9" t="s">
        <v>28</v>
      </c>
      <c r="K682" s="9">
        <v>1000</v>
      </c>
      <c r="L682" s="39"/>
      <c r="M682" s="7" t="s">
        <v>1</v>
      </c>
      <c r="N682" s="8"/>
      <c r="O682" s="40" t="s">
        <v>1395</v>
      </c>
      <c r="P682" s="15" t="s">
        <v>245</v>
      </c>
      <c r="Q682" s="9" t="s">
        <v>214</v>
      </c>
      <c r="R682" s="9"/>
      <c r="S682" s="9"/>
      <c r="T682" s="9">
        <v>187214</v>
      </c>
      <c r="U682" s="16" t="s">
        <v>60</v>
      </c>
      <c r="V682" s="9">
        <v>2164800</v>
      </c>
      <c r="W682" s="8" t="s">
        <v>501</v>
      </c>
      <c r="X682" s="8"/>
      <c r="Y682" s="8" t="s">
        <v>175</v>
      </c>
      <c r="Z682" s="8"/>
      <c r="AA682" s="8"/>
      <c r="AB682" s="8"/>
      <c r="AC682" s="8" t="s">
        <v>190</v>
      </c>
      <c r="AD682" s="14" t="s">
        <v>191</v>
      </c>
      <c r="AE682" s="8" t="s">
        <v>384</v>
      </c>
      <c r="AF682" s="14">
        <v>0.97</v>
      </c>
      <c r="AG682" s="8">
        <v>913</v>
      </c>
      <c r="AH682" s="8">
        <v>0</v>
      </c>
      <c r="AI682" s="8">
        <v>210</v>
      </c>
      <c r="AJ682" s="8">
        <v>0</v>
      </c>
      <c r="AK682" s="127">
        <v>210</v>
      </c>
      <c r="AL682" s="103">
        <v>0</v>
      </c>
      <c r="AM682" s="8">
        <v>210</v>
      </c>
      <c r="AN682" s="21">
        <v>0</v>
      </c>
      <c r="AO682" s="21">
        <v>0</v>
      </c>
      <c r="AP682" s="21">
        <v>0</v>
      </c>
      <c r="AQ682" s="21">
        <v>210</v>
      </c>
      <c r="AR682" s="21">
        <v>0</v>
      </c>
      <c r="AS682" s="8">
        <v>210</v>
      </c>
      <c r="AT682" s="21">
        <v>0</v>
      </c>
      <c r="AU682" s="21">
        <v>0</v>
      </c>
      <c r="AV682" s="21">
        <v>0</v>
      </c>
      <c r="AW682" s="21">
        <v>210</v>
      </c>
      <c r="AX682" s="21">
        <v>0</v>
      </c>
      <c r="AY682" s="8">
        <v>0</v>
      </c>
    </row>
    <row r="683" spans="1:51" ht="15" customHeight="1" x14ac:dyDescent="0.25">
      <c r="A683" s="9">
        <v>742</v>
      </c>
      <c r="B683" s="13">
        <v>45765</v>
      </c>
      <c r="C683" s="9" t="s">
        <v>169</v>
      </c>
      <c r="D683" s="9">
        <v>9518703431</v>
      </c>
      <c r="E683" s="8">
        <v>1</v>
      </c>
      <c r="F683" s="9" t="s">
        <v>1315</v>
      </c>
      <c r="G683" s="79" t="s">
        <v>1303</v>
      </c>
      <c r="H683" s="9" t="s">
        <v>57</v>
      </c>
      <c r="I683" s="9" t="s">
        <v>25</v>
      </c>
      <c r="J683" s="9" t="s">
        <v>28</v>
      </c>
      <c r="K683" s="9">
        <v>1000</v>
      </c>
      <c r="L683" s="39"/>
      <c r="M683" s="7" t="s">
        <v>1</v>
      </c>
      <c r="N683" s="8"/>
      <c r="O683" s="40" t="s">
        <v>1395</v>
      </c>
      <c r="P683" s="15" t="s">
        <v>171</v>
      </c>
      <c r="Q683" s="9" t="s">
        <v>172</v>
      </c>
      <c r="R683" s="9"/>
      <c r="S683" s="9"/>
      <c r="T683" s="9">
        <v>189430</v>
      </c>
      <c r="U683" s="16" t="s">
        <v>61</v>
      </c>
      <c r="V683" s="9">
        <v>2164792</v>
      </c>
      <c r="W683" s="8" t="s">
        <v>500</v>
      </c>
      <c r="X683" s="8"/>
      <c r="Y683" s="8" t="s">
        <v>175</v>
      </c>
      <c r="Z683" s="8"/>
      <c r="AA683" s="8"/>
      <c r="AB683" s="8"/>
      <c r="AC683" s="8" t="s">
        <v>190</v>
      </c>
      <c r="AD683" s="14" t="s">
        <v>191</v>
      </c>
      <c r="AE683" s="8" t="s">
        <v>384</v>
      </c>
      <c r="AF683" s="14">
        <v>0.9</v>
      </c>
      <c r="AG683" s="8">
        <v>913</v>
      </c>
      <c r="AH683" s="8">
        <v>0</v>
      </c>
      <c r="AI683" s="8">
        <v>126</v>
      </c>
      <c r="AJ683" s="8">
        <v>0</v>
      </c>
      <c r="AK683" s="127">
        <v>126</v>
      </c>
      <c r="AL683" s="103">
        <v>0</v>
      </c>
      <c r="AM683" s="8">
        <v>126</v>
      </c>
      <c r="AN683" s="21">
        <v>0</v>
      </c>
      <c r="AO683" s="21">
        <v>0</v>
      </c>
      <c r="AP683" s="21">
        <v>0</v>
      </c>
      <c r="AQ683" s="21">
        <v>126</v>
      </c>
      <c r="AR683" s="21">
        <v>0</v>
      </c>
      <c r="AS683" s="8">
        <v>126</v>
      </c>
      <c r="AT683" s="21">
        <v>0</v>
      </c>
      <c r="AU683" s="21">
        <v>0</v>
      </c>
      <c r="AV683" s="21">
        <v>0</v>
      </c>
      <c r="AW683" s="21">
        <v>126</v>
      </c>
      <c r="AX683" s="21">
        <v>0</v>
      </c>
      <c r="AY683" s="8">
        <v>0</v>
      </c>
    </row>
    <row r="684" spans="1:51" ht="15" customHeight="1" x14ac:dyDescent="0.25">
      <c r="A684" s="9">
        <v>742</v>
      </c>
      <c r="B684" s="13">
        <v>45765</v>
      </c>
      <c r="C684" s="9" t="s">
        <v>169</v>
      </c>
      <c r="D684" s="9">
        <v>9518703431</v>
      </c>
      <c r="E684" s="8">
        <v>2</v>
      </c>
      <c r="F684" s="9" t="s">
        <v>1316</v>
      </c>
      <c r="G684" s="79" t="s">
        <v>1303</v>
      </c>
      <c r="H684" s="9" t="s">
        <v>57</v>
      </c>
      <c r="I684" s="9" t="s">
        <v>25</v>
      </c>
      <c r="J684" s="9" t="s">
        <v>28</v>
      </c>
      <c r="K684" s="9">
        <v>1000</v>
      </c>
      <c r="L684" s="39"/>
      <c r="M684" s="7" t="s">
        <v>1</v>
      </c>
      <c r="N684" s="8"/>
      <c r="O684" s="40" t="s">
        <v>1395</v>
      </c>
      <c r="P684" s="15" t="s">
        <v>171</v>
      </c>
      <c r="Q684" s="9" t="s">
        <v>172</v>
      </c>
      <c r="R684" s="9"/>
      <c r="S684" s="9"/>
      <c r="T684" s="9">
        <v>189430</v>
      </c>
      <c r="U684" s="16" t="s">
        <v>61</v>
      </c>
      <c r="V684" s="9">
        <v>2164800</v>
      </c>
      <c r="W684" s="8" t="s">
        <v>501</v>
      </c>
      <c r="X684" s="8"/>
      <c r="Y684" s="8" t="s">
        <v>175</v>
      </c>
      <c r="Z684" s="8"/>
      <c r="AA684" s="8"/>
      <c r="AB684" s="8"/>
      <c r="AC684" s="8" t="s">
        <v>190</v>
      </c>
      <c r="AD684" s="14" t="s">
        <v>191</v>
      </c>
      <c r="AE684" s="8" t="s">
        <v>384</v>
      </c>
      <c r="AF684" s="14">
        <v>0.97</v>
      </c>
      <c r="AG684" s="8">
        <v>913</v>
      </c>
      <c r="AH684" s="8">
        <v>0</v>
      </c>
      <c r="AI684" s="8">
        <v>252</v>
      </c>
      <c r="AJ684" s="8">
        <v>0</v>
      </c>
      <c r="AK684" s="127">
        <v>252</v>
      </c>
      <c r="AL684" s="103">
        <v>0</v>
      </c>
      <c r="AM684" s="8">
        <v>252</v>
      </c>
      <c r="AN684" s="21">
        <v>0</v>
      </c>
      <c r="AO684" s="21">
        <v>0</v>
      </c>
      <c r="AP684" s="21">
        <v>0</v>
      </c>
      <c r="AQ684" s="21">
        <v>252</v>
      </c>
      <c r="AR684" s="21">
        <v>0</v>
      </c>
      <c r="AS684" s="8">
        <v>252</v>
      </c>
      <c r="AT684" s="21">
        <v>0</v>
      </c>
      <c r="AU684" s="21">
        <v>0</v>
      </c>
      <c r="AV684" s="21">
        <v>0</v>
      </c>
      <c r="AW684" s="21">
        <v>0</v>
      </c>
      <c r="AX684" s="21">
        <v>252</v>
      </c>
      <c r="AY684" s="8">
        <v>0</v>
      </c>
    </row>
    <row r="685" spans="1:51" ht="15" customHeight="1" x14ac:dyDescent="0.25">
      <c r="A685" s="9">
        <v>742</v>
      </c>
      <c r="B685" s="13">
        <v>45765</v>
      </c>
      <c r="C685" s="9" t="s">
        <v>169</v>
      </c>
      <c r="D685" s="9">
        <v>9518703431</v>
      </c>
      <c r="E685" s="8">
        <v>4</v>
      </c>
      <c r="F685" s="9" t="s">
        <v>1317</v>
      </c>
      <c r="G685" s="79" t="s">
        <v>1303</v>
      </c>
      <c r="H685" s="9" t="s">
        <v>57</v>
      </c>
      <c r="I685" s="9" t="s">
        <v>25</v>
      </c>
      <c r="J685" s="9" t="s">
        <v>28</v>
      </c>
      <c r="K685" s="9">
        <v>1000</v>
      </c>
      <c r="L685" s="39"/>
      <c r="M685" s="7" t="s">
        <v>1</v>
      </c>
      <c r="N685" s="8"/>
      <c r="O685" s="40" t="s">
        <v>1395</v>
      </c>
      <c r="P685" s="15" t="s">
        <v>171</v>
      </c>
      <c r="Q685" s="9" t="s">
        <v>172</v>
      </c>
      <c r="R685" s="9"/>
      <c r="S685" s="9"/>
      <c r="T685" s="9">
        <v>189430</v>
      </c>
      <c r="U685" s="16" t="s">
        <v>61</v>
      </c>
      <c r="V685" s="9">
        <v>2164803</v>
      </c>
      <c r="W685" s="8" t="s">
        <v>502</v>
      </c>
      <c r="X685" s="8"/>
      <c r="Y685" s="8" t="s">
        <v>175</v>
      </c>
      <c r="Z685" s="8"/>
      <c r="AA685" s="8"/>
      <c r="AB685" s="8"/>
      <c r="AC685" s="8" t="s">
        <v>190</v>
      </c>
      <c r="AD685" s="14" t="s">
        <v>191</v>
      </c>
      <c r="AE685" s="8" t="s">
        <v>384</v>
      </c>
      <c r="AF685" s="14">
        <v>1.2</v>
      </c>
      <c r="AG685" s="8">
        <v>910</v>
      </c>
      <c r="AH685" s="8">
        <v>0</v>
      </c>
      <c r="AI685" s="8">
        <v>42</v>
      </c>
      <c r="AJ685" s="8">
        <v>0</v>
      </c>
      <c r="AK685" s="127">
        <v>42</v>
      </c>
      <c r="AL685" s="103">
        <v>0</v>
      </c>
      <c r="AM685" s="8">
        <v>42</v>
      </c>
      <c r="AN685" s="21">
        <v>0</v>
      </c>
      <c r="AO685" s="21">
        <v>0</v>
      </c>
      <c r="AP685" s="21">
        <v>0</v>
      </c>
      <c r="AQ685" s="21">
        <v>0</v>
      </c>
      <c r="AR685" s="21">
        <v>42</v>
      </c>
      <c r="AS685" s="8">
        <v>42</v>
      </c>
      <c r="AT685" s="21">
        <v>0</v>
      </c>
      <c r="AU685" s="21">
        <v>0</v>
      </c>
      <c r="AV685" s="21">
        <v>0</v>
      </c>
      <c r="AW685" s="21">
        <v>0</v>
      </c>
      <c r="AX685" s="21">
        <v>42</v>
      </c>
      <c r="AY685" s="8">
        <v>0</v>
      </c>
    </row>
    <row r="686" spans="1:51" ht="15" customHeight="1" x14ac:dyDescent="0.25">
      <c r="A686" s="9">
        <v>742</v>
      </c>
      <c r="B686" s="13">
        <v>45766</v>
      </c>
      <c r="C686" s="9" t="s">
        <v>169</v>
      </c>
      <c r="D686" s="9">
        <v>9518704091</v>
      </c>
      <c r="E686" s="8">
        <v>1</v>
      </c>
      <c r="F686" s="9" t="s">
        <v>1318</v>
      </c>
      <c r="G686" s="79" t="s">
        <v>1303</v>
      </c>
      <c r="H686" s="9" t="s">
        <v>57</v>
      </c>
      <c r="I686" s="9" t="s">
        <v>25</v>
      </c>
      <c r="J686" s="9" t="s">
        <v>28</v>
      </c>
      <c r="K686" s="9">
        <v>1000</v>
      </c>
      <c r="L686" s="39"/>
      <c r="M686" s="7" t="s">
        <v>1</v>
      </c>
      <c r="N686" s="8"/>
      <c r="O686" s="40" t="s">
        <v>1395</v>
      </c>
      <c r="P686" s="15" t="s">
        <v>571</v>
      </c>
      <c r="Q686" s="9" t="s">
        <v>188</v>
      </c>
      <c r="R686" s="9"/>
      <c r="S686" s="9"/>
      <c r="T686" s="9">
        <v>189405</v>
      </c>
      <c r="U686" s="16" t="s">
        <v>62</v>
      </c>
      <c r="V686" s="9">
        <v>2164800</v>
      </c>
      <c r="W686" s="8" t="s">
        <v>501</v>
      </c>
      <c r="X686" s="8"/>
      <c r="Y686" s="8" t="s">
        <v>175</v>
      </c>
      <c r="Z686" s="8"/>
      <c r="AA686" s="8"/>
      <c r="AB686" s="8"/>
      <c r="AC686" s="8" t="s">
        <v>190</v>
      </c>
      <c r="AD686" s="14" t="s">
        <v>191</v>
      </c>
      <c r="AE686" s="8" t="s">
        <v>384</v>
      </c>
      <c r="AF686" s="14">
        <v>0.97</v>
      </c>
      <c r="AG686" s="8">
        <v>913</v>
      </c>
      <c r="AH686" s="8">
        <v>0</v>
      </c>
      <c r="AI686" s="8">
        <v>273</v>
      </c>
      <c r="AJ686" s="8">
        <v>0</v>
      </c>
      <c r="AK686" s="127">
        <v>273</v>
      </c>
      <c r="AL686" s="103">
        <v>0</v>
      </c>
      <c r="AM686" s="8">
        <v>273</v>
      </c>
      <c r="AN686" s="21">
        <v>0</v>
      </c>
      <c r="AO686" s="21">
        <v>0</v>
      </c>
      <c r="AP686" s="21">
        <v>0</v>
      </c>
      <c r="AQ686" s="21">
        <v>273</v>
      </c>
      <c r="AR686" s="21">
        <v>0</v>
      </c>
      <c r="AS686" s="8">
        <v>273</v>
      </c>
      <c r="AT686" s="21">
        <v>0</v>
      </c>
      <c r="AU686" s="21">
        <v>0</v>
      </c>
      <c r="AV686" s="21">
        <v>0</v>
      </c>
      <c r="AW686" s="21">
        <v>0</v>
      </c>
      <c r="AX686" s="21">
        <v>273</v>
      </c>
      <c r="AY686" s="8">
        <v>0</v>
      </c>
    </row>
    <row r="687" spans="1:51" ht="15" customHeight="1" x14ac:dyDescent="0.25">
      <c r="A687" s="9">
        <v>742</v>
      </c>
      <c r="B687" s="13">
        <v>45766</v>
      </c>
      <c r="C687" s="9" t="s">
        <v>169</v>
      </c>
      <c r="D687" s="9">
        <v>9518704091</v>
      </c>
      <c r="E687" s="8">
        <v>2</v>
      </c>
      <c r="F687" s="9" t="s">
        <v>1319</v>
      </c>
      <c r="G687" s="79" t="s">
        <v>1303</v>
      </c>
      <c r="H687" s="9" t="s">
        <v>57</v>
      </c>
      <c r="I687" s="9" t="s">
        <v>25</v>
      </c>
      <c r="J687" s="9" t="s">
        <v>28</v>
      </c>
      <c r="K687" s="9">
        <v>1000</v>
      </c>
      <c r="L687" s="39"/>
      <c r="M687" s="7" t="s">
        <v>1</v>
      </c>
      <c r="N687" s="8"/>
      <c r="O687" s="40" t="s">
        <v>1395</v>
      </c>
      <c r="P687" s="15" t="s">
        <v>571</v>
      </c>
      <c r="Q687" s="9" t="s">
        <v>188</v>
      </c>
      <c r="R687" s="9"/>
      <c r="S687" s="9"/>
      <c r="T687" s="9">
        <v>189405</v>
      </c>
      <c r="U687" s="16" t="s">
        <v>62</v>
      </c>
      <c r="V687" s="9">
        <v>2164803</v>
      </c>
      <c r="W687" s="8" t="s">
        <v>502</v>
      </c>
      <c r="X687" s="8"/>
      <c r="Y687" s="8" t="s">
        <v>175</v>
      </c>
      <c r="Z687" s="8"/>
      <c r="AA687" s="8"/>
      <c r="AB687" s="8"/>
      <c r="AC687" s="8" t="s">
        <v>190</v>
      </c>
      <c r="AD687" s="14" t="s">
        <v>191</v>
      </c>
      <c r="AE687" s="8" t="s">
        <v>384</v>
      </c>
      <c r="AF687" s="14">
        <v>1.2</v>
      </c>
      <c r="AG687" s="8">
        <v>910</v>
      </c>
      <c r="AH687" s="8">
        <v>0</v>
      </c>
      <c r="AI687" s="8">
        <v>273</v>
      </c>
      <c r="AJ687" s="8">
        <v>0</v>
      </c>
      <c r="AK687" s="127">
        <v>273</v>
      </c>
      <c r="AL687" s="103">
        <v>0</v>
      </c>
      <c r="AM687" s="8">
        <v>273</v>
      </c>
      <c r="AN687" s="21">
        <v>0</v>
      </c>
      <c r="AO687" s="21">
        <v>0</v>
      </c>
      <c r="AP687" s="21">
        <v>0</v>
      </c>
      <c r="AQ687" s="21">
        <v>0</v>
      </c>
      <c r="AR687" s="21">
        <v>273</v>
      </c>
      <c r="AS687" s="8">
        <v>273</v>
      </c>
      <c r="AT687" s="21">
        <v>0</v>
      </c>
      <c r="AU687" s="21">
        <v>0</v>
      </c>
      <c r="AV687" s="21">
        <v>0</v>
      </c>
      <c r="AW687" s="21">
        <v>0</v>
      </c>
      <c r="AX687" s="21">
        <v>273</v>
      </c>
      <c r="AY687" s="8">
        <v>0</v>
      </c>
    </row>
    <row r="688" spans="1:51" ht="15" customHeight="1" x14ac:dyDescent="0.25">
      <c r="A688" s="9">
        <v>742</v>
      </c>
      <c r="B688" s="13">
        <v>45762</v>
      </c>
      <c r="C688" s="9" t="s">
        <v>169</v>
      </c>
      <c r="D688" s="9">
        <v>9518694209</v>
      </c>
      <c r="E688" s="8">
        <v>1</v>
      </c>
      <c r="F688" s="9" t="s">
        <v>1320</v>
      </c>
      <c r="G688" s="9" t="s">
        <v>1303</v>
      </c>
      <c r="H688" s="9" t="s">
        <v>57</v>
      </c>
      <c r="I688" s="9" t="s">
        <v>25</v>
      </c>
      <c r="J688" s="9" t="s">
        <v>30</v>
      </c>
      <c r="K688" s="9">
        <v>2000</v>
      </c>
      <c r="L688" s="39"/>
      <c r="M688" s="7" t="s">
        <v>1</v>
      </c>
      <c r="N688" s="8"/>
      <c r="O688" s="40"/>
      <c r="P688" s="15" t="s">
        <v>273</v>
      </c>
      <c r="Q688" s="9" t="s">
        <v>172</v>
      </c>
      <c r="R688" s="9"/>
      <c r="S688" s="9"/>
      <c r="T688" s="9">
        <v>101499</v>
      </c>
      <c r="U688" s="16" t="s">
        <v>73</v>
      </c>
      <c r="V688" s="9">
        <v>1801456</v>
      </c>
      <c r="W688" s="8" t="s">
        <v>457</v>
      </c>
      <c r="X688" s="8"/>
      <c r="Y688" s="8" t="s">
        <v>175</v>
      </c>
      <c r="Z688" s="8"/>
      <c r="AA688" s="8"/>
      <c r="AB688" s="8"/>
      <c r="AC688" s="8" t="s">
        <v>190</v>
      </c>
      <c r="AD688" s="14" t="s">
        <v>191</v>
      </c>
      <c r="AE688" s="8" t="s">
        <v>192</v>
      </c>
      <c r="AF688" s="14">
        <v>0.7</v>
      </c>
      <c r="AG688" s="8">
        <v>1250</v>
      </c>
      <c r="AH688" s="8">
        <v>0</v>
      </c>
      <c r="AI688" s="8">
        <v>29</v>
      </c>
      <c r="AJ688" s="8">
        <v>0</v>
      </c>
      <c r="AK688" s="127">
        <v>29</v>
      </c>
      <c r="AL688" s="103">
        <v>0</v>
      </c>
      <c r="AM688" s="8">
        <v>29</v>
      </c>
      <c r="AN688" s="21">
        <v>29</v>
      </c>
      <c r="AO688" s="21">
        <v>0</v>
      </c>
      <c r="AP688" s="21">
        <v>0</v>
      </c>
      <c r="AQ688" s="21">
        <v>0</v>
      </c>
      <c r="AR688" s="21">
        <v>0</v>
      </c>
      <c r="AS688" s="8">
        <v>29</v>
      </c>
      <c r="AT688" s="21">
        <v>0</v>
      </c>
      <c r="AU688" s="21">
        <v>29</v>
      </c>
      <c r="AV688" s="21">
        <v>0</v>
      </c>
      <c r="AW688" s="21">
        <v>0</v>
      </c>
      <c r="AX688" s="21">
        <v>0</v>
      </c>
      <c r="AY688" s="8">
        <v>0</v>
      </c>
    </row>
    <row r="689" spans="1:51" ht="15" customHeight="1" x14ac:dyDescent="0.25">
      <c r="A689" s="9">
        <v>742</v>
      </c>
      <c r="B689" s="13">
        <v>45762</v>
      </c>
      <c r="C689" s="9" t="s">
        <v>169</v>
      </c>
      <c r="D689" s="9">
        <v>9518694209</v>
      </c>
      <c r="E689" s="8">
        <v>7</v>
      </c>
      <c r="F689" s="9" t="s">
        <v>1321</v>
      </c>
      <c r="G689" s="9" t="s">
        <v>1303</v>
      </c>
      <c r="H689" s="9" t="s">
        <v>57</v>
      </c>
      <c r="I689" s="9" t="s">
        <v>25</v>
      </c>
      <c r="J689" s="9" t="s">
        <v>30</v>
      </c>
      <c r="K689" s="9">
        <v>2000</v>
      </c>
      <c r="L689" s="39"/>
      <c r="M689" s="7" t="s">
        <v>1</v>
      </c>
      <c r="N689" s="8"/>
      <c r="O689" s="40"/>
      <c r="P689" s="15" t="s">
        <v>273</v>
      </c>
      <c r="Q689" s="9" t="s">
        <v>172</v>
      </c>
      <c r="R689" s="9"/>
      <c r="S689" s="9"/>
      <c r="T689" s="9">
        <v>101499</v>
      </c>
      <c r="U689" s="16" t="s">
        <v>73</v>
      </c>
      <c r="V689" s="9">
        <v>2193599</v>
      </c>
      <c r="W689" s="8" t="s">
        <v>649</v>
      </c>
      <c r="X689" s="8"/>
      <c r="Y689" s="8" t="s">
        <v>175</v>
      </c>
      <c r="Z689" s="8"/>
      <c r="AA689" s="8"/>
      <c r="AB689" s="8"/>
      <c r="AC689" s="8" t="s">
        <v>190</v>
      </c>
      <c r="AD689" s="14" t="s">
        <v>191</v>
      </c>
      <c r="AE689" s="8" t="s">
        <v>192</v>
      </c>
      <c r="AF689" s="14">
        <v>1.4</v>
      </c>
      <c r="AG689" s="8">
        <v>1250</v>
      </c>
      <c r="AH689" s="8">
        <v>0</v>
      </c>
      <c r="AI689" s="8">
        <v>29</v>
      </c>
      <c r="AJ689" s="8">
        <v>0</v>
      </c>
      <c r="AK689" s="127">
        <v>29</v>
      </c>
      <c r="AL689" s="103">
        <v>0</v>
      </c>
      <c r="AM689" s="8">
        <v>29</v>
      </c>
      <c r="AN689" s="21">
        <v>0</v>
      </c>
      <c r="AO689" s="21">
        <v>29</v>
      </c>
      <c r="AP689" s="21">
        <v>0</v>
      </c>
      <c r="AQ689" s="21">
        <v>0</v>
      </c>
      <c r="AR689" s="21">
        <v>0</v>
      </c>
      <c r="AS689" s="8">
        <v>29</v>
      </c>
      <c r="AT689" s="21">
        <v>0</v>
      </c>
      <c r="AU689" s="21">
        <v>0</v>
      </c>
      <c r="AV689" s="21">
        <v>29</v>
      </c>
      <c r="AW689" s="21">
        <v>0</v>
      </c>
      <c r="AX689" s="21">
        <v>0</v>
      </c>
      <c r="AY689" s="8">
        <v>0</v>
      </c>
    </row>
    <row r="690" spans="1:51" ht="15" customHeight="1" x14ac:dyDescent="0.25">
      <c r="A690" s="9">
        <v>742</v>
      </c>
      <c r="B690" s="13">
        <v>45766</v>
      </c>
      <c r="C690" s="9" t="s">
        <v>169</v>
      </c>
      <c r="D690" s="9">
        <v>9518704147</v>
      </c>
      <c r="E690" s="8">
        <v>1</v>
      </c>
      <c r="F690" s="9" t="s">
        <v>1322</v>
      </c>
      <c r="G690" s="79" t="s">
        <v>1303</v>
      </c>
      <c r="H690" s="9" t="s">
        <v>57</v>
      </c>
      <c r="I690" s="9" t="s">
        <v>25</v>
      </c>
      <c r="J690" s="9" t="s">
        <v>28</v>
      </c>
      <c r="K690" s="9">
        <v>1000</v>
      </c>
      <c r="L690" s="39"/>
      <c r="M690" s="7" t="s">
        <v>1</v>
      </c>
      <c r="N690" s="8"/>
      <c r="O690" s="40"/>
      <c r="P690" s="15" t="s">
        <v>245</v>
      </c>
      <c r="Q690" s="9" t="s">
        <v>214</v>
      </c>
      <c r="R690" s="9"/>
      <c r="S690" s="9"/>
      <c r="T690" s="9">
        <v>122082</v>
      </c>
      <c r="U690" s="16" t="s">
        <v>1302</v>
      </c>
      <c r="V690" s="9">
        <v>3774639</v>
      </c>
      <c r="W690" s="8" t="s">
        <v>862</v>
      </c>
      <c r="X690" s="8"/>
      <c r="Y690" s="8" t="s">
        <v>175</v>
      </c>
      <c r="Z690" s="8"/>
      <c r="AA690" s="8"/>
      <c r="AB690" s="8"/>
      <c r="AC690" s="8" t="s">
        <v>190</v>
      </c>
      <c r="AD690" s="14" t="s">
        <v>276</v>
      </c>
      <c r="AE690" s="8" t="s">
        <v>863</v>
      </c>
      <c r="AF690" s="14">
        <v>1.5</v>
      </c>
      <c r="AG690" s="8">
        <v>1260</v>
      </c>
      <c r="AH690" s="8">
        <v>0</v>
      </c>
      <c r="AI690" s="8">
        <v>290</v>
      </c>
      <c r="AJ690" s="8">
        <v>0</v>
      </c>
      <c r="AK690" s="127">
        <v>290</v>
      </c>
      <c r="AL690" s="103">
        <v>0</v>
      </c>
      <c r="AM690" s="8">
        <v>290</v>
      </c>
      <c r="AN690" s="21">
        <v>0</v>
      </c>
      <c r="AO690" s="21">
        <v>0</v>
      </c>
      <c r="AP690" s="21">
        <v>0</v>
      </c>
      <c r="AQ690" s="21">
        <v>0</v>
      </c>
      <c r="AR690" s="21">
        <v>290</v>
      </c>
      <c r="AS690" s="8">
        <v>290</v>
      </c>
      <c r="AT690" s="21">
        <v>0</v>
      </c>
      <c r="AU690" s="21">
        <v>0</v>
      </c>
      <c r="AV690" s="21">
        <v>0</v>
      </c>
      <c r="AW690" s="21">
        <v>0</v>
      </c>
      <c r="AX690" s="21">
        <v>290</v>
      </c>
      <c r="AY690" s="8">
        <v>0</v>
      </c>
    </row>
    <row r="691" spans="1:51" ht="15" customHeight="1" x14ac:dyDescent="0.25">
      <c r="A691" s="9">
        <v>742</v>
      </c>
      <c r="B691" s="13">
        <v>45766</v>
      </c>
      <c r="C691" s="9" t="s">
        <v>169</v>
      </c>
      <c r="D691" s="9">
        <v>9518704147</v>
      </c>
      <c r="E691" s="8">
        <v>3</v>
      </c>
      <c r="F691" s="9" t="s">
        <v>1323</v>
      </c>
      <c r="G691" s="79" t="s">
        <v>1303</v>
      </c>
      <c r="H691" s="9" t="s">
        <v>57</v>
      </c>
      <c r="I691" s="9" t="s">
        <v>25</v>
      </c>
      <c r="J691" s="9" t="s">
        <v>28</v>
      </c>
      <c r="K691" s="9">
        <v>1000</v>
      </c>
      <c r="L691" s="39"/>
      <c r="M691" s="7" t="s">
        <v>1</v>
      </c>
      <c r="N691" s="8"/>
      <c r="O691" s="40"/>
      <c r="P691" s="15" t="s">
        <v>245</v>
      </c>
      <c r="Q691" s="9" t="s">
        <v>214</v>
      </c>
      <c r="R691" s="9"/>
      <c r="S691" s="9"/>
      <c r="T691" s="9">
        <v>122082</v>
      </c>
      <c r="U691" s="16" t="s">
        <v>1302</v>
      </c>
      <c r="V691" s="9">
        <v>3774639</v>
      </c>
      <c r="W691" s="8" t="s">
        <v>862</v>
      </c>
      <c r="X691" s="8"/>
      <c r="Y691" s="8" t="s">
        <v>175</v>
      </c>
      <c r="Z691" s="8"/>
      <c r="AA691" s="8"/>
      <c r="AB691" s="8"/>
      <c r="AC691" s="8" t="s">
        <v>190</v>
      </c>
      <c r="AD691" s="14" t="s">
        <v>276</v>
      </c>
      <c r="AE691" s="8" t="s">
        <v>863</v>
      </c>
      <c r="AF691" s="14">
        <v>1.5</v>
      </c>
      <c r="AG691" s="8">
        <v>1260</v>
      </c>
      <c r="AH691" s="8">
        <v>0</v>
      </c>
      <c r="AI691" s="8">
        <v>290</v>
      </c>
      <c r="AJ691" s="8">
        <v>0</v>
      </c>
      <c r="AK691" s="127">
        <v>290</v>
      </c>
      <c r="AL691" s="103">
        <v>0</v>
      </c>
      <c r="AM691" s="8">
        <v>290</v>
      </c>
      <c r="AN691" s="21">
        <v>0</v>
      </c>
      <c r="AO691" s="21">
        <v>0</v>
      </c>
      <c r="AP691" s="21">
        <v>0</v>
      </c>
      <c r="AQ691" s="21">
        <v>0</v>
      </c>
      <c r="AR691" s="21">
        <v>290</v>
      </c>
      <c r="AS691" s="8">
        <v>0</v>
      </c>
      <c r="AT691" s="21">
        <v>0</v>
      </c>
      <c r="AU691" s="21">
        <v>0</v>
      </c>
      <c r="AV691" s="21">
        <v>0</v>
      </c>
      <c r="AW691" s="21">
        <v>0</v>
      </c>
      <c r="AX691" s="21">
        <v>0</v>
      </c>
      <c r="AY691" s="8">
        <v>290</v>
      </c>
    </row>
    <row r="692" spans="1:51" ht="15" customHeight="1" x14ac:dyDescent="0.25">
      <c r="A692" s="9">
        <v>743</v>
      </c>
      <c r="B692" s="13">
        <v>45764</v>
      </c>
      <c r="C692" s="9" t="s">
        <v>169</v>
      </c>
      <c r="D692" s="9">
        <v>9518701085</v>
      </c>
      <c r="E692" s="8">
        <v>1</v>
      </c>
      <c r="F692" s="9" t="s">
        <v>1324</v>
      </c>
      <c r="G692" s="79" t="s">
        <v>1303</v>
      </c>
      <c r="H692" s="9" t="s">
        <v>57</v>
      </c>
      <c r="I692" s="9" t="s">
        <v>38</v>
      </c>
      <c r="J692" s="9" t="s">
        <v>41</v>
      </c>
      <c r="K692" s="9">
        <v>1000</v>
      </c>
      <c r="L692" s="39"/>
      <c r="M692" s="7" t="s">
        <v>1</v>
      </c>
      <c r="N692" s="8"/>
      <c r="O692" s="40"/>
      <c r="P692" s="15" t="s">
        <v>289</v>
      </c>
      <c r="Q692" s="9" t="s">
        <v>188</v>
      </c>
      <c r="R692" s="9"/>
      <c r="S692" s="9"/>
      <c r="T692" s="9">
        <v>949285</v>
      </c>
      <c r="U692" s="16" t="s">
        <v>1334</v>
      </c>
      <c r="V692" s="9">
        <v>3884496</v>
      </c>
      <c r="W692" s="8" t="s">
        <v>415</v>
      </c>
      <c r="X692" s="8"/>
      <c r="Y692" s="8" t="s">
        <v>175</v>
      </c>
      <c r="Z692" s="8"/>
      <c r="AA692" s="8"/>
      <c r="AB692" s="8"/>
      <c r="AC692" s="8" t="s">
        <v>222</v>
      </c>
      <c r="AD692" s="14" t="s">
        <v>223</v>
      </c>
      <c r="AE692" s="8" t="s">
        <v>372</v>
      </c>
      <c r="AF692" s="14">
        <v>0.9</v>
      </c>
      <c r="AG692" s="8">
        <v>1220</v>
      </c>
      <c r="AH692" s="8">
        <v>0</v>
      </c>
      <c r="AI692" s="8">
        <v>300.99900000000002</v>
      </c>
      <c r="AJ692" s="8">
        <v>0</v>
      </c>
      <c r="AK692" s="127">
        <v>308</v>
      </c>
      <c r="AL692" s="103">
        <v>0</v>
      </c>
      <c r="AM692" s="8">
        <v>308</v>
      </c>
      <c r="AN692" s="21">
        <v>0</v>
      </c>
      <c r="AO692" s="21">
        <v>0</v>
      </c>
      <c r="AP692" s="21">
        <v>308</v>
      </c>
      <c r="AQ692" s="21">
        <v>0</v>
      </c>
      <c r="AR692" s="21">
        <v>0</v>
      </c>
      <c r="AS692" s="8">
        <v>308</v>
      </c>
      <c r="AT692" s="21">
        <v>0</v>
      </c>
      <c r="AU692" s="21">
        <v>0</v>
      </c>
      <c r="AV692" s="21">
        <v>0</v>
      </c>
      <c r="AW692" s="21">
        <v>308</v>
      </c>
      <c r="AX692" s="21">
        <v>0</v>
      </c>
      <c r="AY692" s="8">
        <v>0</v>
      </c>
    </row>
    <row r="693" spans="1:51" ht="15" customHeight="1" x14ac:dyDescent="0.25">
      <c r="A693" s="9">
        <v>743</v>
      </c>
      <c r="B693" s="13">
        <v>45764</v>
      </c>
      <c r="C693" s="9" t="s">
        <v>169</v>
      </c>
      <c r="D693" s="9">
        <v>9518701085</v>
      </c>
      <c r="E693" s="8">
        <v>2</v>
      </c>
      <c r="F693" s="9" t="s">
        <v>1325</v>
      </c>
      <c r="G693" s="79" t="s">
        <v>1303</v>
      </c>
      <c r="H693" s="9" t="s">
        <v>57</v>
      </c>
      <c r="I693" s="9" t="s">
        <v>38</v>
      </c>
      <c r="J693" s="9" t="s">
        <v>41</v>
      </c>
      <c r="K693" s="9">
        <v>1000</v>
      </c>
      <c r="L693" s="39"/>
      <c r="M693" s="7" t="s">
        <v>1</v>
      </c>
      <c r="N693" s="8"/>
      <c r="O693" s="40"/>
      <c r="P693" s="15" t="s">
        <v>289</v>
      </c>
      <c r="Q693" s="9" t="s">
        <v>188</v>
      </c>
      <c r="R693" s="9"/>
      <c r="S693" s="9"/>
      <c r="T693" s="9">
        <v>949285</v>
      </c>
      <c r="U693" s="16" t="s">
        <v>1334</v>
      </c>
      <c r="V693" s="9">
        <v>3884496</v>
      </c>
      <c r="W693" s="8" t="s">
        <v>415</v>
      </c>
      <c r="X693" s="8"/>
      <c r="Y693" s="8" t="s">
        <v>175</v>
      </c>
      <c r="Z693" s="8"/>
      <c r="AA693" s="8"/>
      <c r="AB693" s="8"/>
      <c r="AC693" s="8" t="s">
        <v>222</v>
      </c>
      <c r="AD693" s="14" t="s">
        <v>223</v>
      </c>
      <c r="AE693" s="8" t="s">
        <v>372</v>
      </c>
      <c r="AF693" s="14">
        <v>0.9</v>
      </c>
      <c r="AG693" s="8">
        <v>1220</v>
      </c>
      <c r="AH693" s="8">
        <v>0</v>
      </c>
      <c r="AI693" s="8">
        <v>300.99900000000002</v>
      </c>
      <c r="AJ693" s="8">
        <v>0</v>
      </c>
      <c r="AK693" s="127">
        <v>308</v>
      </c>
      <c r="AL693" s="103">
        <v>0</v>
      </c>
      <c r="AM693" s="8">
        <v>308</v>
      </c>
      <c r="AN693" s="21">
        <v>0</v>
      </c>
      <c r="AO693" s="21">
        <v>0</v>
      </c>
      <c r="AP693" s="21">
        <v>308</v>
      </c>
      <c r="AQ693" s="21">
        <v>0</v>
      </c>
      <c r="AR693" s="21">
        <v>0</v>
      </c>
      <c r="AS693" s="8">
        <v>308</v>
      </c>
      <c r="AT693" s="21">
        <v>0</v>
      </c>
      <c r="AU693" s="21">
        <v>0</v>
      </c>
      <c r="AV693" s="21">
        <v>0</v>
      </c>
      <c r="AW693" s="21">
        <v>308</v>
      </c>
      <c r="AX693" s="21">
        <v>0</v>
      </c>
      <c r="AY693" s="8">
        <v>0</v>
      </c>
    </row>
    <row r="694" spans="1:51" ht="15" customHeight="1" x14ac:dyDescent="0.25">
      <c r="A694" s="9">
        <v>743</v>
      </c>
      <c r="B694" s="13">
        <v>45768</v>
      </c>
      <c r="C694" s="9" t="s">
        <v>169</v>
      </c>
      <c r="D694" s="9">
        <v>9518709108</v>
      </c>
      <c r="E694" s="8">
        <v>1</v>
      </c>
      <c r="F694" s="9" t="s">
        <v>1326</v>
      </c>
      <c r="G694" s="79" t="s">
        <v>1303</v>
      </c>
      <c r="H694" s="9" t="s">
        <v>57</v>
      </c>
      <c r="I694" s="9" t="s">
        <v>38</v>
      </c>
      <c r="J694" s="9" t="s">
        <v>41</v>
      </c>
      <c r="K694" s="9">
        <v>1000</v>
      </c>
      <c r="L694" s="39"/>
      <c r="M694" s="7" t="s">
        <v>1</v>
      </c>
      <c r="N694" s="8"/>
      <c r="O694" s="40"/>
      <c r="P694" s="15" t="s">
        <v>289</v>
      </c>
      <c r="Q694" s="9" t="s">
        <v>188</v>
      </c>
      <c r="R694" s="9"/>
      <c r="S694" s="9"/>
      <c r="T694" s="9">
        <v>944226</v>
      </c>
      <c r="U694" s="16" t="s">
        <v>302</v>
      </c>
      <c r="V694" s="9">
        <v>3889776</v>
      </c>
      <c r="W694" s="8" t="s">
        <v>303</v>
      </c>
      <c r="X694" s="8"/>
      <c r="Y694" s="8" t="s">
        <v>175</v>
      </c>
      <c r="Z694" s="8"/>
      <c r="AA694" s="8"/>
      <c r="AB694" s="8"/>
      <c r="AC694" s="8" t="s">
        <v>222</v>
      </c>
      <c r="AD694" s="14" t="s">
        <v>223</v>
      </c>
      <c r="AE694" s="8" t="s">
        <v>304</v>
      </c>
      <c r="AF694" s="14">
        <v>0.9</v>
      </c>
      <c r="AG694" s="8">
        <v>1249</v>
      </c>
      <c r="AH694" s="8">
        <v>0</v>
      </c>
      <c r="AI694" s="8">
        <v>290</v>
      </c>
      <c r="AJ694" s="8">
        <v>0</v>
      </c>
      <c r="AK694" s="127">
        <v>290</v>
      </c>
      <c r="AL694" s="103">
        <v>0</v>
      </c>
      <c r="AM694" s="8">
        <v>290</v>
      </c>
      <c r="AN694" s="21">
        <v>0</v>
      </c>
      <c r="AO694" s="21">
        <v>0</v>
      </c>
      <c r="AP694" s="21">
        <v>0</v>
      </c>
      <c r="AQ694" s="21">
        <v>0</v>
      </c>
      <c r="AR694" s="21">
        <v>290</v>
      </c>
      <c r="AS694" s="8">
        <v>290</v>
      </c>
      <c r="AT694" s="21">
        <v>0</v>
      </c>
      <c r="AU694" s="21">
        <v>0</v>
      </c>
      <c r="AV694" s="21">
        <v>0</v>
      </c>
      <c r="AW694" s="21">
        <v>0</v>
      </c>
      <c r="AX694" s="21">
        <v>290</v>
      </c>
      <c r="AY694" s="8">
        <v>0</v>
      </c>
    </row>
    <row r="695" spans="1:51" ht="15" customHeight="1" x14ac:dyDescent="0.25">
      <c r="A695" s="9">
        <v>743</v>
      </c>
      <c r="B695" s="13">
        <v>45768</v>
      </c>
      <c r="C695" s="9" t="s">
        <v>169</v>
      </c>
      <c r="D695" s="9">
        <v>9518708769</v>
      </c>
      <c r="E695" s="8">
        <v>1</v>
      </c>
      <c r="F695" s="9" t="s">
        <v>1327</v>
      </c>
      <c r="G695" s="79" t="s">
        <v>1303</v>
      </c>
      <c r="H695" s="9" t="s">
        <v>57</v>
      </c>
      <c r="I695" s="9" t="s">
        <v>43</v>
      </c>
      <c r="J695" s="9" t="s">
        <v>46</v>
      </c>
      <c r="K695" s="9">
        <v>2000</v>
      </c>
      <c r="L695" s="39"/>
      <c r="M695" s="7" t="s">
        <v>1</v>
      </c>
      <c r="N695" s="8"/>
      <c r="O695" s="40"/>
      <c r="P695" s="15" t="s">
        <v>239</v>
      </c>
      <c r="Q695" s="9" t="s">
        <v>214</v>
      </c>
      <c r="R695" s="9"/>
      <c r="S695" s="9"/>
      <c r="T695" s="9">
        <v>942923</v>
      </c>
      <c r="U695" s="16" t="s">
        <v>126</v>
      </c>
      <c r="V695" s="9">
        <v>3708868</v>
      </c>
      <c r="W695" s="8" t="s">
        <v>603</v>
      </c>
      <c r="X695" s="8"/>
      <c r="Y695" s="8" t="s">
        <v>175</v>
      </c>
      <c r="Z695" s="8"/>
      <c r="AA695" s="8"/>
      <c r="AB695" s="8"/>
      <c r="AC695" s="8" t="s">
        <v>269</v>
      </c>
      <c r="AD695" s="14" t="s">
        <v>270</v>
      </c>
      <c r="AE695" s="8" t="s">
        <v>165</v>
      </c>
      <c r="AF695" s="14">
        <v>0.5</v>
      </c>
      <c r="AG695" s="8">
        <v>1350</v>
      </c>
      <c r="AH695" s="8">
        <v>0</v>
      </c>
      <c r="AI695" s="8">
        <v>93</v>
      </c>
      <c r="AJ695" s="8">
        <v>0</v>
      </c>
      <c r="AK695" s="127">
        <v>93</v>
      </c>
      <c r="AL695" s="103">
        <v>0</v>
      </c>
      <c r="AM695" s="8">
        <v>93</v>
      </c>
      <c r="AN695" s="21">
        <v>0</v>
      </c>
      <c r="AO695" s="21">
        <v>0</v>
      </c>
      <c r="AP695" s="21">
        <v>0</v>
      </c>
      <c r="AQ695" s="21">
        <v>93</v>
      </c>
      <c r="AR695" s="21">
        <v>0</v>
      </c>
      <c r="AS695" s="8">
        <v>93</v>
      </c>
      <c r="AT695" s="21">
        <v>0</v>
      </c>
      <c r="AU695" s="21">
        <v>0</v>
      </c>
      <c r="AV695" s="21">
        <v>0</v>
      </c>
      <c r="AW695" s="21">
        <v>0</v>
      </c>
      <c r="AX695" s="21">
        <v>93</v>
      </c>
      <c r="AY695" s="8">
        <v>0</v>
      </c>
    </row>
    <row r="696" spans="1:51" ht="15" customHeight="1" x14ac:dyDescent="0.25">
      <c r="A696" s="9">
        <v>744</v>
      </c>
      <c r="B696" s="13">
        <v>45766</v>
      </c>
      <c r="C696" s="9" t="s">
        <v>169</v>
      </c>
      <c r="D696" s="9">
        <v>9518704714</v>
      </c>
      <c r="E696" s="8">
        <v>1</v>
      </c>
      <c r="F696" s="9" t="s">
        <v>1328</v>
      </c>
      <c r="G696" s="79" t="s">
        <v>1303</v>
      </c>
      <c r="H696" s="9" t="s">
        <v>57</v>
      </c>
      <c r="I696" s="9" t="s">
        <v>48</v>
      </c>
      <c r="J696" s="9" t="s">
        <v>39</v>
      </c>
      <c r="K696" s="9">
        <v>1000</v>
      </c>
      <c r="L696" s="39"/>
      <c r="M696" s="7" t="s">
        <v>1</v>
      </c>
      <c r="N696" s="8"/>
      <c r="O696" s="40"/>
      <c r="P696" s="15" t="s">
        <v>220</v>
      </c>
      <c r="Q696" s="9" t="s">
        <v>264</v>
      </c>
      <c r="R696" s="9"/>
      <c r="S696" s="9"/>
      <c r="T696" s="9">
        <v>941597</v>
      </c>
      <c r="U696" s="16" t="s">
        <v>105</v>
      </c>
      <c r="V696" s="9">
        <v>3902332</v>
      </c>
      <c r="W696" s="8" t="s">
        <v>353</v>
      </c>
      <c r="X696" s="8"/>
      <c r="Y696" s="8" t="s">
        <v>355</v>
      </c>
      <c r="Z696" s="8"/>
      <c r="AA696" s="8"/>
      <c r="AB696" s="8"/>
      <c r="AC696" s="8" t="s">
        <v>228</v>
      </c>
      <c r="AD696" s="14" t="s">
        <v>229</v>
      </c>
      <c r="AE696" s="8" t="s">
        <v>354</v>
      </c>
      <c r="AF696" s="14">
        <v>0.5</v>
      </c>
      <c r="AG696" s="8">
        <v>1220</v>
      </c>
      <c r="AH696" s="8">
        <v>0</v>
      </c>
      <c r="AI696" s="8">
        <v>84</v>
      </c>
      <c r="AJ696" s="8">
        <v>0</v>
      </c>
      <c r="AK696" s="127">
        <v>84</v>
      </c>
      <c r="AL696" s="103">
        <v>0</v>
      </c>
      <c r="AM696" s="8">
        <v>84</v>
      </c>
      <c r="AN696" s="21">
        <v>84</v>
      </c>
      <c r="AO696" s="21">
        <v>0</v>
      </c>
      <c r="AP696" s="21">
        <v>0</v>
      </c>
      <c r="AQ696" s="21">
        <v>0</v>
      </c>
      <c r="AR696" s="21">
        <v>0</v>
      </c>
      <c r="AS696" s="8">
        <v>84</v>
      </c>
      <c r="AT696" s="21">
        <v>0</v>
      </c>
      <c r="AU696" s="21">
        <v>84</v>
      </c>
      <c r="AV696" s="21">
        <v>0</v>
      </c>
      <c r="AW696" s="21">
        <v>0</v>
      </c>
      <c r="AX696" s="21">
        <v>0</v>
      </c>
      <c r="AY696" s="8">
        <v>0</v>
      </c>
    </row>
    <row r="697" spans="1:51" ht="15" customHeight="1" x14ac:dyDescent="0.25">
      <c r="A697" s="9">
        <v>744</v>
      </c>
      <c r="B697" s="13">
        <v>45766</v>
      </c>
      <c r="C697" s="9" t="s">
        <v>169</v>
      </c>
      <c r="D697" s="9">
        <v>9518704714</v>
      </c>
      <c r="E697" s="8">
        <v>2</v>
      </c>
      <c r="F697" s="9" t="s">
        <v>1329</v>
      </c>
      <c r="G697" s="79" t="s">
        <v>1303</v>
      </c>
      <c r="H697" s="9" t="s">
        <v>57</v>
      </c>
      <c r="I697" s="9" t="s">
        <v>48</v>
      </c>
      <c r="J697" s="9" t="s">
        <v>39</v>
      </c>
      <c r="K697" s="9">
        <v>1000</v>
      </c>
      <c r="L697" s="39"/>
      <c r="M697" s="7" t="s">
        <v>1</v>
      </c>
      <c r="N697" s="8"/>
      <c r="O697" s="40"/>
      <c r="P697" s="15" t="s">
        <v>220</v>
      </c>
      <c r="Q697" s="9" t="s">
        <v>264</v>
      </c>
      <c r="R697" s="9"/>
      <c r="S697" s="9"/>
      <c r="T697" s="9">
        <v>941597</v>
      </c>
      <c r="U697" s="16" t="s">
        <v>105</v>
      </c>
      <c r="V697" s="9">
        <v>3902332</v>
      </c>
      <c r="W697" s="8" t="s">
        <v>353</v>
      </c>
      <c r="X697" s="8"/>
      <c r="Y697" s="8" t="s">
        <v>673</v>
      </c>
      <c r="Z697" s="8"/>
      <c r="AA697" s="8"/>
      <c r="AB697" s="8"/>
      <c r="AC697" s="8" t="s">
        <v>228</v>
      </c>
      <c r="AD697" s="14" t="s">
        <v>229</v>
      </c>
      <c r="AE697" s="8" t="s">
        <v>354</v>
      </c>
      <c r="AF697" s="14">
        <v>0.5</v>
      </c>
      <c r="AG697" s="8">
        <v>1220</v>
      </c>
      <c r="AH697" s="8">
        <v>0</v>
      </c>
      <c r="AI697" s="8">
        <v>28</v>
      </c>
      <c r="AJ697" s="8">
        <v>0</v>
      </c>
      <c r="AK697" s="127">
        <v>28</v>
      </c>
      <c r="AL697" s="103">
        <v>0</v>
      </c>
      <c r="AM697" s="8">
        <v>28</v>
      </c>
      <c r="AN697" s="21">
        <v>0</v>
      </c>
      <c r="AO697" s="21">
        <v>0</v>
      </c>
      <c r="AP697" s="21">
        <v>0</v>
      </c>
      <c r="AQ697" s="21">
        <v>28</v>
      </c>
      <c r="AR697" s="21">
        <v>0</v>
      </c>
      <c r="AS697" s="8">
        <v>28</v>
      </c>
      <c r="AT697" s="21">
        <v>0</v>
      </c>
      <c r="AU697" s="21">
        <v>0</v>
      </c>
      <c r="AV697" s="21">
        <v>0</v>
      </c>
      <c r="AW697" s="21">
        <v>0</v>
      </c>
      <c r="AX697" s="21">
        <v>28</v>
      </c>
      <c r="AY697" s="8">
        <v>0</v>
      </c>
    </row>
    <row r="698" spans="1:51" ht="15" customHeight="1" x14ac:dyDescent="0.25">
      <c r="A698" s="9">
        <v>744</v>
      </c>
      <c r="B698" s="13">
        <v>45766</v>
      </c>
      <c r="C698" s="9" t="s">
        <v>169</v>
      </c>
      <c r="D698" s="9">
        <v>9518704714</v>
      </c>
      <c r="E698" s="8">
        <v>3</v>
      </c>
      <c r="F698" s="9" t="s">
        <v>1330</v>
      </c>
      <c r="G698" s="9" t="s">
        <v>1687</v>
      </c>
      <c r="H698" s="9" t="s">
        <v>57</v>
      </c>
      <c r="I698" s="9" t="s">
        <v>48</v>
      </c>
      <c r="J698" s="9" t="s">
        <v>39</v>
      </c>
      <c r="K698" s="9">
        <v>1000</v>
      </c>
      <c r="L698" s="39"/>
      <c r="M698" s="7" t="s">
        <v>1</v>
      </c>
      <c r="N698" s="8"/>
      <c r="O698" s="40"/>
      <c r="P698" s="15" t="s">
        <v>220</v>
      </c>
      <c r="Q698" s="9" t="s">
        <v>264</v>
      </c>
      <c r="R698" s="9"/>
      <c r="S698" s="9"/>
      <c r="T698" s="9">
        <v>941597</v>
      </c>
      <c r="U698" s="16" t="s">
        <v>105</v>
      </c>
      <c r="V698" s="9">
        <v>3902332</v>
      </c>
      <c r="W698" s="8" t="s">
        <v>353</v>
      </c>
      <c r="X698" s="8"/>
      <c r="Y698" s="8" t="s">
        <v>355</v>
      </c>
      <c r="Z698" s="8"/>
      <c r="AA698" s="8"/>
      <c r="AB698" s="8"/>
      <c r="AC698" s="8" t="s">
        <v>228</v>
      </c>
      <c r="AD698" s="14" t="s">
        <v>229</v>
      </c>
      <c r="AE698" s="8" t="s">
        <v>354</v>
      </c>
      <c r="AF698" s="14">
        <v>0.5</v>
      </c>
      <c r="AG698" s="8">
        <v>1220</v>
      </c>
      <c r="AH698" s="8">
        <v>0</v>
      </c>
      <c r="AI698" s="8">
        <v>28</v>
      </c>
      <c r="AJ698" s="8">
        <v>0</v>
      </c>
      <c r="AK698" s="127">
        <v>11.16</v>
      </c>
      <c r="AL698" s="103">
        <v>16.84</v>
      </c>
      <c r="AM698" s="8">
        <v>11.16</v>
      </c>
      <c r="AN698" s="21">
        <v>11.16</v>
      </c>
      <c r="AO698" s="21">
        <v>0</v>
      </c>
      <c r="AP698" s="21">
        <v>0</v>
      </c>
      <c r="AQ698" s="21">
        <v>0</v>
      </c>
      <c r="AR698" s="21">
        <v>0</v>
      </c>
      <c r="AS698" s="8">
        <v>28</v>
      </c>
      <c r="AT698" s="21">
        <v>0</v>
      </c>
      <c r="AU698" s="21">
        <v>28</v>
      </c>
      <c r="AV698" s="21">
        <v>0</v>
      </c>
      <c r="AW698" s="21">
        <v>0</v>
      </c>
      <c r="AX698" s="21">
        <v>0</v>
      </c>
      <c r="AY698" s="8">
        <v>0</v>
      </c>
    </row>
    <row r="699" spans="1:51" ht="15" customHeight="1" x14ac:dyDescent="0.25">
      <c r="A699" s="9">
        <v>744</v>
      </c>
      <c r="B699" s="13">
        <v>45766</v>
      </c>
      <c r="C699" s="9" t="s">
        <v>169</v>
      </c>
      <c r="D699" s="9">
        <v>9518704714</v>
      </c>
      <c r="E699" s="8">
        <v>4</v>
      </c>
      <c r="F699" s="9" t="s">
        <v>1331</v>
      </c>
      <c r="G699" s="79" t="s">
        <v>1303</v>
      </c>
      <c r="H699" s="9" t="s">
        <v>57</v>
      </c>
      <c r="I699" s="9" t="s">
        <v>48</v>
      </c>
      <c r="J699" s="9" t="s">
        <v>39</v>
      </c>
      <c r="K699" s="9">
        <v>1000</v>
      </c>
      <c r="L699" s="39"/>
      <c r="M699" s="7" t="s">
        <v>1</v>
      </c>
      <c r="N699" s="8"/>
      <c r="O699" s="40"/>
      <c r="P699" s="15" t="s">
        <v>220</v>
      </c>
      <c r="Q699" s="9" t="s">
        <v>264</v>
      </c>
      <c r="R699" s="9"/>
      <c r="S699" s="9"/>
      <c r="T699" s="9">
        <v>941597</v>
      </c>
      <c r="U699" s="16" t="s">
        <v>105</v>
      </c>
      <c r="V699" s="9">
        <v>3902332</v>
      </c>
      <c r="W699" s="8" t="s">
        <v>353</v>
      </c>
      <c r="X699" s="8"/>
      <c r="Y699" s="8" t="s">
        <v>355</v>
      </c>
      <c r="Z699" s="8"/>
      <c r="AA699" s="8"/>
      <c r="AB699" s="8"/>
      <c r="AC699" s="8" t="s">
        <v>228</v>
      </c>
      <c r="AD699" s="14" t="s">
        <v>229</v>
      </c>
      <c r="AE699" s="8" t="s">
        <v>354</v>
      </c>
      <c r="AF699" s="14">
        <v>0.5</v>
      </c>
      <c r="AG699" s="8">
        <v>1220</v>
      </c>
      <c r="AH699" s="8">
        <v>0</v>
      </c>
      <c r="AI699" s="8">
        <v>28</v>
      </c>
      <c r="AJ699" s="8">
        <v>0</v>
      </c>
      <c r="AK699" s="127">
        <v>28</v>
      </c>
      <c r="AL699" s="103">
        <v>0</v>
      </c>
      <c r="AM699" s="8">
        <v>28</v>
      </c>
      <c r="AN699" s="21">
        <v>28</v>
      </c>
      <c r="AO699" s="21">
        <v>0</v>
      </c>
      <c r="AP699" s="21">
        <v>0</v>
      </c>
      <c r="AQ699" s="21">
        <v>0</v>
      </c>
      <c r="AR699" s="21">
        <v>0</v>
      </c>
      <c r="AS699" s="8">
        <v>28</v>
      </c>
      <c r="AT699" s="21">
        <v>0</v>
      </c>
      <c r="AU699" s="21">
        <v>28</v>
      </c>
      <c r="AV699" s="21">
        <v>0</v>
      </c>
      <c r="AW699" s="21">
        <v>0</v>
      </c>
      <c r="AX699" s="21">
        <v>0</v>
      </c>
      <c r="AY699" s="8">
        <v>0</v>
      </c>
    </row>
    <row r="700" spans="1:51" ht="15" customHeight="1" x14ac:dyDescent="0.25">
      <c r="A700" s="9">
        <v>744</v>
      </c>
      <c r="B700" s="13">
        <v>45766</v>
      </c>
      <c r="C700" s="9" t="s">
        <v>169</v>
      </c>
      <c r="D700" s="9">
        <v>9518704714</v>
      </c>
      <c r="E700" s="8">
        <v>5</v>
      </c>
      <c r="F700" s="9" t="s">
        <v>1332</v>
      </c>
      <c r="G700" s="79" t="s">
        <v>1303</v>
      </c>
      <c r="H700" s="9" t="s">
        <v>57</v>
      </c>
      <c r="I700" s="9" t="s">
        <v>48</v>
      </c>
      <c r="J700" s="9" t="s">
        <v>39</v>
      </c>
      <c r="K700" s="9">
        <v>1000</v>
      </c>
      <c r="L700" s="39"/>
      <c r="M700" s="7" t="s">
        <v>1</v>
      </c>
      <c r="N700" s="8"/>
      <c r="O700" s="40"/>
      <c r="P700" s="15" t="s">
        <v>220</v>
      </c>
      <c r="Q700" s="9" t="s">
        <v>264</v>
      </c>
      <c r="R700" s="9"/>
      <c r="S700" s="9"/>
      <c r="T700" s="9">
        <v>941597</v>
      </c>
      <c r="U700" s="16" t="s">
        <v>105</v>
      </c>
      <c r="V700" s="9">
        <v>3902332</v>
      </c>
      <c r="W700" s="8" t="s">
        <v>353</v>
      </c>
      <c r="X700" s="8"/>
      <c r="Y700" s="8" t="s">
        <v>399</v>
      </c>
      <c r="Z700" s="8"/>
      <c r="AA700" s="8"/>
      <c r="AB700" s="8"/>
      <c r="AC700" s="8" t="s">
        <v>228</v>
      </c>
      <c r="AD700" s="14" t="s">
        <v>229</v>
      </c>
      <c r="AE700" s="8" t="s">
        <v>354</v>
      </c>
      <c r="AF700" s="14">
        <v>0.5</v>
      </c>
      <c r="AG700" s="8">
        <v>1220</v>
      </c>
      <c r="AH700" s="8">
        <v>0</v>
      </c>
      <c r="AI700" s="8">
        <v>28</v>
      </c>
      <c r="AJ700" s="8">
        <v>0</v>
      </c>
      <c r="AK700" s="127">
        <v>28</v>
      </c>
      <c r="AL700" s="103">
        <v>0</v>
      </c>
      <c r="AM700" s="8">
        <v>28</v>
      </c>
      <c r="AN700" s="21">
        <v>0</v>
      </c>
      <c r="AO700" s="21">
        <v>0</v>
      </c>
      <c r="AP700" s="21">
        <v>0</v>
      </c>
      <c r="AQ700" s="21">
        <v>28</v>
      </c>
      <c r="AR700" s="21">
        <v>0</v>
      </c>
      <c r="AS700" s="8">
        <v>28</v>
      </c>
      <c r="AT700" s="21">
        <v>0</v>
      </c>
      <c r="AU700" s="21">
        <v>0</v>
      </c>
      <c r="AV700" s="21">
        <v>0</v>
      </c>
      <c r="AW700" s="21">
        <v>0</v>
      </c>
      <c r="AX700" s="21">
        <v>28</v>
      </c>
      <c r="AY700" s="8">
        <v>0</v>
      </c>
    </row>
    <row r="701" spans="1:51" ht="15" customHeight="1" x14ac:dyDescent="0.25">
      <c r="A701" s="9">
        <v>744</v>
      </c>
      <c r="B701" s="13">
        <v>45766</v>
      </c>
      <c r="C701" s="9" t="s">
        <v>169</v>
      </c>
      <c r="D701" s="9">
        <v>9518704714</v>
      </c>
      <c r="E701" s="8">
        <v>6</v>
      </c>
      <c r="F701" s="9" t="s">
        <v>1333</v>
      </c>
      <c r="G701" s="79" t="s">
        <v>1303</v>
      </c>
      <c r="H701" s="9" t="s">
        <v>57</v>
      </c>
      <c r="I701" s="9" t="s">
        <v>48</v>
      </c>
      <c r="J701" s="9" t="s">
        <v>39</v>
      </c>
      <c r="K701" s="9">
        <v>1000</v>
      </c>
      <c r="L701" s="39"/>
      <c r="M701" s="7" t="s">
        <v>1</v>
      </c>
      <c r="N701" s="8"/>
      <c r="O701" s="40"/>
      <c r="P701" s="15" t="s">
        <v>220</v>
      </c>
      <c r="Q701" s="9" t="s">
        <v>264</v>
      </c>
      <c r="R701" s="9"/>
      <c r="S701" s="9"/>
      <c r="T701" s="9">
        <v>941597</v>
      </c>
      <c r="U701" s="16" t="s">
        <v>105</v>
      </c>
      <c r="V701" s="9">
        <v>3902332</v>
      </c>
      <c r="W701" s="8" t="s">
        <v>353</v>
      </c>
      <c r="X701" s="8"/>
      <c r="Y701" s="8" t="s">
        <v>692</v>
      </c>
      <c r="Z701" s="8"/>
      <c r="AA701" s="8"/>
      <c r="AB701" s="8"/>
      <c r="AC701" s="8" t="s">
        <v>228</v>
      </c>
      <c r="AD701" s="14" t="s">
        <v>229</v>
      </c>
      <c r="AE701" s="8" t="s">
        <v>354</v>
      </c>
      <c r="AF701" s="14">
        <v>0.5</v>
      </c>
      <c r="AG701" s="8">
        <v>1220</v>
      </c>
      <c r="AH701" s="8">
        <v>0</v>
      </c>
      <c r="AI701" s="8">
        <v>28</v>
      </c>
      <c r="AJ701" s="8">
        <v>0</v>
      </c>
      <c r="AK701" s="127">
        <v>28</v>
      </c>
      <c r="AL701" s="103">
        <v>0</v>
      </c>
      <c r="AM701" s="8">
        <v>28</v>
      </c>
      <c r="AN701" s="21">
        <v>0</v>
      </c>
      <c r="AO701" s="21">
        <v>0</v>
      </c>
      <c r="AP701" s="21">
        <v>28</v>
      </c>
      <c r="AQ701" s="21">
        <v>0</v>
      </c>
      <c r="AR701" s="21">
        <v>0</v>
      </c>
      <c r="AS701" s="8">
        <v>28</v>
      </c>
      <c r="AT701" s="21">
        <v>0</v>
      </c>
      <c r="AU701" s="21">
        <v>0</v>
      </c>
      <c r="AV701" s="21">
        <v>0</v>
      </c>
      <c r="AW701" s="21">
        <v>28</v>
      </c>
      <c r="AX701" s="21">
        <v>0</v>
      </c>
      <c r="AY701" s="8">
        <v>0</v>
      </c>
    </row>
    <row r="702" spans="1:51" ht="15" customHeight="1" x14ac:dyDescent="0.25">
      <c r="A702" s="9">
        <v>744</v>
      </c>
      <c r="B702" s="13">
        <v>45769</v>
      </c>
      <c r="C702" s="9" t="s">
        <v>169</v>
      </c>
      <c r="D702" s="9">
        <v>9518710417</v>
      </c>
      <c r="E702" s="8">
        <v>1</v>
      </c>
      <c r="F702" s="9" t="s">
        <v>1336</v>
      </c>
      <c r="G702" s="79" t="s">
        <v>1303</v>
      </c>
      <c r="H702" s="9" t="s">
        <v>57</v>
      </c>
      <c r="I702" s="9" t="s">
        <v>48</v>
      </c>
      <c r="J702" s="9" t="s">
        <v>39</v>
      </c>
      <c r="K702" s="9" t="s">
        <v>233</v>
      </c>
      <c r="L702" s="39"/>
      <c r="M702" s="7" t="s">
        <v>1</v>
      </c>
      <c r="N702" s="8"/>
      <c r="O702" s="40"/>
      <c r="P702" s="15"/>
      <c r="Q702" s="9" t="s">
        <v>264</v>
      </c>
      <c r="R702" s="9" t="s">
        <v>234</v>
      </c>
      <c r="S702" s="9"/>
      <c r="T702" s="9">
        <v>940008</v>
      </c>
      <c r="U702" s="16" t="s">
        <v>133</v>
      </c>
      <c r="V702" s="9">
        <v>3941967</v>
      </c>
      <c r="W702" s="8" t="s">
        <v>810</v>
      </c>
      <c r="X702" s="8" t="s">
        <v>317</v>
      </c>
      <c r="Y702" s="8" t="s">
        <v>356</v>
      </c>
      <c r="Z702" s="8">
        <v>3</v>
      </c>
      <c r="AA702" s="8">
        <v>5</v>
      </c>
      <c r="AB702" s="8"/>
      <c r="AC702" s="8" t="s">
        <v>228</v>
      </c>
      <c r="AD702" s="14" t="s">
        <v>229</v>
      </c>
      <c r="AE702" s="8" t="s">
        <v>354</v>
      </c>
      <c r="AF702" s="14">
        <v>0.6</v>
      </c>
      <c r="AG702" s="8">
        <v>1220</v>
      </c>
      <c r="AH702" s="8">
        <v>0</v>
      </c>
      <c r="AI702" s="8">
        <v>56</v>
      </c>
      <c r="AJ702" s="8">
        <v>0</v>
      </c>
      <c r="AK702" s="127">
        <v>55.99</v>
      </c>
      <c r="AL702" s="103">
        <v>0</v>
      </c>
      <c r="AM702" s="8">
        <v>55.99</v>
      </c>
      <c r="AN702" s="21">
        <v>0</v>
      </c>
      <c r="AO702" s="21">
        <v>55.99</v>
      </c>
      <c r="AP702" s="21">
        <v>0</v>
      </c>
      <c r="AQ702" s="21">
        <v>0</v>
      </c>
      <c r="AR702" s="21">
        <v>0</v>
      </c>
      <c r="AS702" s="8">
        <v>55.99</v>
      </c>
      <c r="AT702" s="21">
        <v>0</v>
      </c>
      <c r="AU702" s="21">
        <v>0</v>
      </c>
      <c r="AV702" s="21">
        <v>55.99</v>
      </c>
      <c r="AW702" s="21">
        <v>0</v>
      </c>
      <c r="AX702" s="21">
        <v>0</v>
      </c>
      <c r="AY702" s="8">
        <v>0</v>
      </c>
    </row>
    <row r="703" spans="1:51" ht="15" customHeight="1" x14ac:dyDescent="0.25">
      <c r="A703" s="9">
        <v>742</v>
      </c>
      <c r="B703" s="13">
        <v>45762</v>
      </c>
      <c r="C703" s="9" t="s">
        <v>169</v>
      </c>
      <c r="D703" s="9">
        <v>9518694209</v>
      </c>
      <c r="E703" s="8">
        <v>11</v>
      </c>
      <c r="F703" s="9" t="s">
        <v>1337</v>
      </c>
      <c r="G703" s="9" t="s">
        <v>1303</v>
      </c>
      <c r="H703" s="9" t="s">
        <v>57</v>
      </c>
      <c r="I703" s="9" t="s">
        <v>25</v>
      </c>
      <c r="J703" s="9" t="s">
        <v>30</v>
      </c>
      <c r="K703" s="9" t="s">
        <v>170</v>
      </c>
      <c r="L703" s="39"/>
      <c r="M703" s="7" t="s">
        <v>1</v>
      </c>
      <c r="N703" s="8"/>
      <c r="O703" s="40"/>
      <c r="P703" s="15"/>
      <c r="Q703" s="9" t="s">
        <v>172</v>
      </c>
      <c r="R703" s="9" t="s">
        <v>237</v>
      </c>
      <c r="S703" s="9"/>
      <c r="T703" s="9">
        <v>101499</v>
      </c>
      <c r="U703" s="16" t="s">
        <v>73</v>
      </c>
      <c r="V703" s="9">
        <v>1804917</v>
      </c>
      <c r="W703" s="8" t="s">
        <v>782</v>
      </c>
      <c r="X703" s="8" t="s">
        <v>265</v>
      </c>
      <c r="Y703" s="8" t="s">
        <v>175</v>
      </c>
      <c r="Z703" s="8">
        <v>10</v>
      </c>
      <c r="AA703" s="8">
        <v>30</v>
      </c>
      <c r="AB703" s="8"/>
      <c r="AC703" s="8" t="s">
        <v>190</v>
      </c>
      <c r="AD703" s="14" t="s">
        <v>211</v>
      </c>
      <c r="AE703" s="8" t="s">
        <v>252</v>
      </c>
      <c r="AF703" s="14">
        <v>0.6</v>
      </c>
      <c r="AG703" s="8">
        <v>1250</v>
      </c>
      <c r="AH703" s="8">
        <v>0</v>
      </c>
      <c r="AI703" s="8">
        <v>29</v>
      </c>
      <c r="AJ703" s="8">
        <v>0</v>
      </c>
      <c r="AK703" s="127">
        <v>29</v>
      </c>
      <c r="AL703" s="103">
        <v>0</v>
      </c>
      <c r="AM703" s="8">
        <v>29</v>
      </c>
      <c r="AN703" s="21">
        <v>29</v>
      </c>
      <c r="AO703" s="21">
        <v>0</v>
      </c>
      <c r="AP703" s="21">
        <v>0</v>
      </c>
      <c r="AQ703" s="21">
        <v>0</v>
      </c>
      <c r="AR703" s="21">
        <v>0</v>
      </c>
      <c r="AS703" s="8">
        <v>29</v>
      </c>
      <c r="AT703" s="21">
        <v>0</v>
      </c>
      <c r="AU703" s="21">
        <v>29</v>
      </c>
      <c r="AV703" s="21">
        <v>0</v>
      </c>
      <c r="AW703" s="21">
        <v>0</v>
      </c>
      <c r="AX703" s="21">
        <v>0</v>
      </c>
      <c r="AY703" s="8">
        <v>0</v>
      </c>
    </row>
    <row r="704" spans="1:51" ht="15" customHeight="1" x14ac:dyDescent="0.25">
      <c r="A704" s="9">
        <v>744</v>
      </c>
      <c r="B704" s="13">
        <v>45762</v>
      </c>
      <c r="C704" s="9" t="s">
        <v>169</v>
      </c>
      <c r="D704" s="9">
        <v>9518695380</v>
      </c>
      <c r="E704" s="8">
        <v>1</v>
      </c>
      <c r="F704" s="9" t="s">
        <v>1338</v>
      </c>
      <c r="G704" s="79" t="s">
        <v>1303</v>
      </c>
      <c r="H704" s="9" t="s">
        <v>57</v>
      </c>
      <c r="I704" s="9" t="s">
        <v>48</v>
      </c>
      <c r="J704" s="9" t="s">
        <v>39</v>
      </c>
      <c r="K704" s="9" t="s">
        <v>233</v>
      </c>
      <c r="L704" s="39"/>
      <c r="M704" s="7" t="s">
        <v>1</v>
      </c>
      <c r="N704" s="8"/>
      <c r="O704" s="40"/>
      <c r="P704" s="15"/>
      <c r="Q704" s="9" t="s">
        <v>264</v>
      </c>
      <c r="R704" s="9" t="s">
        <v>256</v>
      </c>
      <c r="S704" s="9"/>
      <c r="T704" s="9">
        <v>940074</v>
      </c>
      <c r="U704" s="16" t="s">
        <v>106</v>
      </c>
      <c r="V704" s="9">
        <v>4005315</v>
      </c>
      <c r="W704" s="8" t="s">
        <v>1355</v>
      </c>
      <c r="X704" s="8" t="s">
        <v>317</v>
      </c>
      <c r="Y704" s="8" t="s">
        <v>616</v>
      </c>
      <c r="Z704" s="8">
        <v>3</v>
      </c>
      <c r="AA704" s="8">
        <v>5</v>
      </c>
      <c r="AB704" s="8"/>
      <c r="AC704" s="8" t="s">
        <v>228</v>
      </c>
      <c r="AD704" s="14" t="s">
        <v>229</v>
      </c>
      <c r="AE704" s="8" t="s">
        <v>1358</v>
      </c>
      <c r="AF704" s="14">
        <v>0.53</v>
      </c>
      <c r="AG704" s="8">
        <v>1220</v>
      </c>
      <c r="AH704" s="8">
        <v>0</v>
      </c>
      <c r="AI704" s="8">
        <v>28</v>
      </c>
      <c r="AJ704" s="8">
        <v>0</v>
      </c>
      <c r="AK704" s="127">
        <v>28</v>
      </c>
      <c r="AL704" s="103">
        <v>0</v>
      </c>
      <c r="AM704" s="8">
        <v>28</v>
      </c>
      <c r="AN704" s="21">
        <v>28</v>
      </c>
      <c r="AO704" s="21">
        <v>0</v>
      </c>
      <c r="AP704" s="21">
        <v>0</v>
      </c>
      <c r="AQ704" s="21">
        <v>0</v>
      </c>
      <c r="AR704" s="21">
        <v>0</v>
      </c>
      <c r="AS704" s="8">
        <v>28</v>
      </c>
      <c r="AT704" s="21">
        <v>0</v>
      </c>
      <c r="AU704" s="21">
        <v>28</v>
      </c>
      <c r="AV704" s="21">
        <v>0</v>
      </c>
      <c r="AW704" s="21">
        <v>0</v>
      </c>
      <c r="AX704" s="21">
        <v>0</v>
      </c>
      <c r="AY704" s="8">
        <v>0</v>
      </c>
    </row>
    <row r="705" spans="1:51" ht="15" customHeight="1" x14ac:dyDescent="0.25">
      <c r="A705" s="9">
        <v>744</v>
      </c>
      <c r="B705" s="13">
        <v>45762</v>
      </c>
      <c r="C705" s="9" t="s">
        <v>169</v>
      </c>
      <c r="D705" s="9">
        <v>9518695418</v>
      </c>
      <c r="E705" s="8">
        <v>1</v>
      </c>
      <c r="F705" s="9" t="s">
        <v>1339</v>
      </c>
      <c r="G705" s="79" t="s">
        <v>1303</v>
      </c>
      <c r="H705" s="9" t="s">
        <v>57</v>
      </c>
      <c r="I705" s="9" t="s">
        <v>48</v>
      </c>
      <c r="J705" s="9" t="s">
        <v>39</v>
      </c>
      <c r="K705" s="9" t="s">
        <v>233</v>
      </c>
      <c r="L705" s="39"/>
      <c r="M705" s="7" t="s">
        <v>1</v>
      </c>
      <c r="N705" s="8"/>
      <c r="O705" s="40"/>
      <c r="P705" s="15"/>
      <c r="Q705" s="9" t="s">
        <v>264</v>
      </c>
      <c r="R705" s="9" t="s">
        <v>225</v>
      </c>
      <c r="S705" s="9"/>
      <c r="T705" s="9">
        <v>940016</v>
      </c>
      <c r="U705" s="16" t="s">
        <v>133</v>
      </c>
      <c r="V705" s="9">
        <v>4005316</v>
      </c>
      <c r="W705" s="8" t="s">
        <v>1356</v>
      </c>
      <c r="X705" s="8" t="s">
        <v>317</v>
      </c>
      <c r="Y705" s="8" t="s">
        <v>613</v>
      </c>
      <c r="Z705" s="8">
        <v>3</v>
      </c>
      <c r="AA705" s="8">
        <v>5</v>
      </c>
      <c r="AB705" s="8"/>
      <c r="AC705" s="8" t="s">
        <v>228</v>
      </c>
      <c r="AD705" s="14" t="s">
        <v>229</v>
      </c>
      <c r="AE705" s="8" t="s">
        <v>1358</v>
      </c>
      <c r="AF705" s="14">
        <v>0.63</v>
      </c>
      <c r="AG705" s="8">
        <v>1220</v>
      </c>
      <c r="AH705" s="8">
        <v>0</v>
      </c>
      <c r="AI705" s="8">
        <v>280</v>
      </c>
      <c r="AJ705" s="8">
        <v>0</v>
      </c>
      <c r="AK705" s="127">
        <v>280</v>
      </c>
      <c r="AL705" s="103">
        <v>0</v>
      </c>
      <c r="AM705" s="8">
        <v>280</v>
      </c>
      <c r="AN705" s="21">
        <v>0</v>
      </c>
      <c r="AO705" s="21">
        <v>280</v>
      </c>
      <c r="AP705" s="21">
        <v>0</v>
      </c>
      <c r="AQ705" s="21">
        <v>0</v>
      </c>
      <c r="AR705" s="21">
        <v>0</v>
      </c>
      <c r="AS705" s="8">
        <v>280</v>
      </c>
      <c r="AT705" s="21">
        <v>0</v>
      </c>
      <c r="AU705" s="21">
        <v>0</v>
      </c>
      <c r="AV705" s="21">
        <v>280</v>
      </c>
      <c r="AW705" s="21">
        <v>0</v>
      </c>
      <c r="AX705" s="21">
        <v>0</v>
      </c>
      <c r="AY705" s="8">
        <v>0</v>
      </c>
    </row>
    <row r="706" spans="1:51" ht="15" customHeight="1" x14ac:dyDescent="0.25">
      <c r="A706" s="9">
        <v>744</v>
      </c>
      <c r="B706" s="13">
        <v>45762</v>
      </c>
      <c r="C706" s="9" t="s">
        <v>169</v>
      </c>
      <c r="D706" s="9">
        <v>9518695418</v>
      </c>
      <c r="E706" s="8">
        <v>2</v>
      </c>
      <c r="F706" s="9" t="s">
        <v>1340</v>
      </c>
      <c r="G706" s="79" t="s">
        <v>1303</v>
      </c>
      <c r="H706" s="9" t="s">
        <v>57</v>
      </c>
      <c r="I706" s="9" t="s">
        <v>48</v>
      </c>
      <c r="J706" s="9" t="s">
        <v>39</v>
      </c>
      <c r="K706" s="9" t="s">
        <v>233</v>
      </c>
      <c r="L706" s="39"/>
      <c r="M706" s="7" t="s">
        <v>1</v>
      </c>
      <c r="N706" s="8"/>
      <c r="O706" s="40"/>
      <c r="P706" s="15"/>
      <c r="Q706" s="9" t="s">
        <v>264</v>
      </c>
      <c r="R706" s="9" t="s">
        <v>225</v>
      </c>
      <c r="S706" s="9"/>
      <c r="T706" s="9">
        <v>940016</v>
      </c>
      <c r="U706" s="16" t="s">
        <v>133</v>
      </c>
      <c r="V706" s="9">
        <v>4005316</v>
      </c>
      <c r="W706" s="8" t="s">
        <v>1356</v>
      </c>
      <c r="X706" s="8" t="s">
        <v>317</v>
      </c>
      <c r="Y706" s="8" t="s">
        <v>613</v>
      </c>
      <c r="Z706" s="8">
        <v>3</v>
      </c>
      <c r="AA706" s="8">
        <v>5</v>
      </c>
      <c r="AB706" s="8"/>
      <c r="AC706" s="8" t="s">
        <v>228</v>
      </c>
      <c r="AD706" s="14" t="s">
        <v>229</v>
      </c>
      <c r="AE706" s="8" t="s">
        <v>1358</v>
      </c>
      <c r="AF706" s="14">
        <v>0.63</v>
      </c>
      <c r="AG706" s="8">
        <v>1220</v>
      </c>
      <c r="AH706" s="8">
        <v>0</v>
      </c>
      <c r="AI706" s="8">
        <v>112</v>
      </c>
      <c r="AJ706" s="8">
        <v>0</v>
      </c>
      <c r="AK706" s="127">
        <v>112</v>
      </c>
      <c r="AL706" s="103">
        <v>0</v>
      </c>
      <c r="AM706" s="8">
        <v>112</v>
      </c>
      <c r="AN706" s="21">
        <v>0</v>
      </c>
      <c r="AO706" s="21">
        <v>0</v>
      </c>
      <c r="AP706" s="21">
        <v>112</v>
      </c>
      <c r="AQ706" s="21">
        <v>0</v>
      </c>
      <c r="AR706" s="21">
        <v>0</v>
      </c>
      <c r="AS706" s="8">
        <v>112</v>
      </c>
      <c r="AT706" s="21">
        <v>0</v>
      </c>
      <c r="AU706" s="21">
        <v>0</v>
      </c>
      <c r="AV706" s="21">
        <v>0</v>
      </c>
      <c r="AW706" s="21">
        <v>112</v>
      </c>
      <c r="AX706" s="21">
        <v>0</v>
      </c>
      <c r="AY706" s="8">
        <v>0</v>
      </c>
    </row>
    <row r="707" spans="1:51" ht="15" customHeight="1" x14ac:dyDescent="0.25">
      <c r="A707" s="9">
        <v>742</v>
      </c>
      <c r="B707" s="13">
        <v>45762</v>
      </c>
      <c r="C707" s="9" t="s">
        <v>169</v>
      </c>
      <c r="D707" s="9">
        <v>9518694613</v>
      </c>
      <c r="E707" s="8">
        <v>6</v>
      </c>
      <c r="F707" s="9" t="s">
        <v>1341</v>
      </c>
      <c r="G707" s="79" t="s">
        <v>1303</v>
      </c>
      <c r="H707" s="9" t="s">
        <v>57</v>
      </c>
      <c r="I707" s="9" t="s">
        <v>25</v>
      </c>
      <c r="J707" s="9" t="s">
        <v>31</v>
      </c>
      <c r="K707" s="9" t="s">
        <v>170</v>
      </c>
      <c r="L707" s="39"/>
      <c r="M707" s="7" t="s">
        <v>1</v>
      </c>
      <c r="N707" s="8"/>
      <c r="O707" s="40"/>
      <c r="P707" s="15"/>
      <c r="Q707" s="9" t="s">
        <v>180</v>
      </c>
      <c r="R707" s="9" t="s">
        <v>265</v>
      </c>
      <c r="S707" s="9"/>
      <c r="T707" s="9">
        <v>121328</v>
      </c>
      <c r="U707" s="16" t="s">
        <v>81</v>
      </c>
      <c r="V707" s="9">
        <v>3240760</v>
      </c>
      <c r="W707" s="8" t="s">
        <v>287</v>
      </c>
      <c r="X707" s="8" t="s">
        <v>265</v>
      </c>
      <c r="Y707" s="8" t="s">
        <v>175</v>
      </c>
      <c r="Z707" s="8">
        <v>2.5</v>
      </c>
      <c r="AA707" s="8">
        <v>3.2</v>
      </c>
      <c r="AB707" s="8"/>
      <c r="AC707" s="8" t="s">
        <v>210</v>
      </c>
      <c r="AD707" s="14" t="s">
        <v>218</v>
      </c>
      <c r="AE707" s="8" t="s">
        <v>250</v>
      </c>
      <c r="AF707" s="14">
        <v>0.5</v>
      </c>
      <c r="AG707" s="8">
        <v>1000</v>
      </c>
      <c r="AH707" s="8">
        <v>2500</v>
      </c>
      <c r="AI707" s="8">
        <v>42</v>
      </c>
      <c r="AJ707" s="8">
        <v>0</v>
      </c>
      <c r="AK707" s="127">
        <v>42</v>
      </c>
      <c r="AL707" s="103">
        <v>0</v>
      </c>
      <c r="AM707" s="8">
        <v>42</v>
      </c>
      <c r="AN707" s="21">
        <v>0</v>
      </c>
      <c r="AO707" s="21">
        <v>42</v>
      </c>
      <c r="AP707" s="21">
        <v>0</v>
      </c>
      <c r="AQ707" s="21">
        <v>0</v>
      </c>
      <c r="AR707" s="21">
        <v>0</v>
      </c>
      <c r="AS707" s="8">
        <v>42</v>
      </c>
      <c r="AT707" s="21">
        <v>0</v>
      </c>
      <c r="AU707" s="21">
        <v>0</v>
      </c>
      <c r="AV707" s="21">
        <v>42</v>
      </c>
      <c r="AW707" s="21">
        <v>0</v>
      </c>
      <c r="AX707" s="21">
        <v>0</v>
      </c>
      <c r="AY707" s="8">
        <v>0</v>
      </c>
    </row>
    <row r="708" spans="1:51" ht="15" customHeight="1" x14ac:dyDescent="0.25">
      <c r="A708" s="9">
        <v>742</v>
      </c>
      <c r="B708" s="13">
        <v>45757</v>
      </c>
      <c r="C708" s="9" t="s">
        <v>169</v>
      </c>
      <c r="D708" s="9">
        <v>9518681889</v>
      </c>
      <c r="E708" s="8">
        <v>1</v>
      </c>
      <c r="F708" s="9" t="s">
        <v>1342</v>
      </c>
      <c r="G708" s="9" t="s">
        <v>1303</v>
      </c>
      <c r="H708" s="9" t="s">
        <v>57</v>
      </c>
      <c r="I708" s="9" t="s">
        <v>25</v>
      </c>
      <c r="J708" s="9" t="s">
        <v>30</v>
      </c>
      <c r="K708" s="9" t="s">
        <v>170</v>
      </c>
      <c r="L708" s="39"/>
      <c r="M708" s="7" t="s">
        <v>1</v>
      </c>
      <c r="N708" s="8"/>
      <c r="O708" s="40"/>
      <c r="P708" s="15"/>
      <c r="Q708" s="9" t="s">
        <v>214</v>
      </c>
      <c r="R708" s="9" t="s">
        <v>240</v>
      </c>
      <c r="S708" s="9"/>
      <c r="T708" s="9">
        <v>932244</v>
      </c>
      <c r="U708" s="16" t="s">
        <v>70</v>
      </c>
      <c r="V708" s="9">
        <v>3435197</v>
      </c>
      <c r="W708" s="8" t="s">
        <v>1357</v>
      </c>
      <c r="X708" s="8" t="s">
        <v>265</v>
      </c>
      <c r="Y708" s="8" t="s">
        <v>175</v>
      </c>
      <c r="Z708" s="8">
        <v>0</v>
      </c>
      <c r="AA708" s="8">
        <v>0</v>
      </c>
      <c r="AB708" s="8"/>
      <c r="AC708" s="8" t="s">
        <v>210</v>
      </c>
      <c r="AD708" s="14" t="s">
        <v>191</v>
      </c>
      <c r="AE708" s="8" t="s">
        <v>192</v>
      </c>
      <c r="AF708" s="14">
        <v>0.35</v>
      </c>
      <c r="AG708" s="8">
        <v>1250</v>
      </c>
      <c r="AH708" s="8">
        <v>2500</v>
      </c>
      <c r="AI708" s="8">
        <v>51</v>
      </c>
      <c r="AJ708" s="8">
        <v>0</v>
      </c>
      <c r="AK708" s="127">
        <v>38.344999999999999</v>
      </c>
      <c r="AL708" s="103">
        <v>0</v>
      </c>
      <c r="AM708" s="8">
        <v>38.344999999999999</v>
      </c>
      <c r="AN708" s="21">
        <v>0</v>
      </c>
      <c r="AO708" s="21">
        <v>38.344999999999999</v>
      </c>
      <c r="AP708" s="21">
        <v>0</v>
      </c>
      <c r="AQ708" s="21">
        <v>0</v>
      </c>
      <c r="AR708" s="21">
        <v>0</v>
      </c>
      <c r="AS708" s="8">
        <v>38.344999999999999</v>
      </c>
      <c r="AT708" s="21">
        <v>0</v>
      </c>
      <c r="AU708" s="21">
        <v>0</v>
      </c>
      <c r="AV708" s="21">
        <v>38.344999999999999</v>
      </c>
      <c r="AW708" s="21">
        <v>0</v>
      </c>
      <c r="AX708" s="21">
        <v>0</v>
      </c>
      <c r="AY708" s="8">
        <v>0</v>
      </c>
    </row>
    <row r="709" spans="1:51" ht="15" customHeight="1" x14ac:dyDescent="0.25">
      <c r="A709" s="9">
        <v>744</v>
      </c>
      <c r="B709" s="13">
        <v>45769</v>
      </c>
      <c r="C709" s="9" t="s">
        <v>169</v>
      </c>
      <c r="D709" s="9">
        <v>9518711420</v>
      </c>
      <c r="E709" s="8">
        <v>2</v>
      </c>
      <c r="F709" s="9" t="s">
        <v>1343</v>
      </c>
      <c r="G709" s="79" t="s">
        <v>1303</v>
      </c>
      <c r="H709" s="9" t="s">
        <v>57</v>
      </c>
      <c r="I709" s="9" t="s">
        <v>48</v>
      </c>
      <c r="J709" s="9" t="s">
        <v>39</v>
      </c>
      <c r="K709" s="9" t="s">
        <v>233</v>
      </c>
      <c r="L709" s="39"/>
      <c r="M709" s="7" t="s">
        <v>1</v>
      </c>
      <c r="N709" s="8"/>
      <c r="O709" s="40"/>
      <c r="P709" s="15"/>
      <c r="Q709" s="9" t="s">
        <v>264</v>
      </c>
      <c r="R709" s="9" t="s">
        <v>256</v>
      </c>
      <c r="S709" s="9"/>
      <c r="T709" s="9">
        <v>940074</v>
      </c>
      <c r="U709" s="16" t="s">
        <v>106</v>
      </c>
      <c r="V709" s="9">
        <v>3996225</v>
      </c>
      <c r="W709" s="8" t="s">
        <v>1146</v>
      </c>
      <c r="X709" s="8" t="s">
        <v>1174</v>
      </c>
      <c r="Y709" s="8" t="s">
        <v>231</v>
      </c>
      <c r="Z709" s="8">
        <v>3</v>
      </c>
      <c r="AA709" s="8">
        <v>5</v>
      </c>
      <c r="AB709" s="8"/>
      <c r="AC709" s="8" t="s">
        <v>228</v>
      </c>
      <c r="AD709" s="14" t="s">
        <v>229</v>
      </c>
      <c r="AE709" s="8" t="s">
        <v>1170</v>
      </c>
      <c r="AF709" s="14">
        <v>0.4</v>
      </c>
      <c r="AG709" s="8">
        <v>1220</v>
      </c>
      <c r="AH709" s="8">
        <v>0</v>
      </c>
      <c r="AI709" s="8">
        <v>140</v>
      </c>
      <c r="AJ709" s="8">
        <v>0</v>
      </c>
      <c r="AK709" s="127">
        <v>140</v>
      </c>
      <c r="AL709" s="103">
        <v>0</v>
      </c>
      <c r="AM709" s="8">
        <v>140</v>
      </c>
      <c r="AN709" s="21">
        <v>0</v>
      </c>
      <c r="AO709" s="21">
        <v>140</v>
      </c>
      <c r="AP709" s="21">
        <v>0</v>
      </c>
      <c r="AQ709" s="21">
        <v>0</v>
      </c>
      <c r="AR709" s="21">
        <v>0</v>
      </c>
      <c r="AS709" s="8">
        <v>140</v>
      </c>
      <c r="AT709" s="21">
        <v>0</v>
      </c>
      <c r="AU709" s="21">
        <v>0</v>
      </c>
      <c r="AV709" s="21">
        <v>140</v>
      </c>
      <c r="AW709" s="21">
        <v>0</v>
      </c>
      <c r="AX709" s="21">
        <v>0</v>
      </c>
      <c r="AY709" s="8">
        <v>0</v>
      </c>
    </row>
    <row r="710" spans="1:51" ht="15" customHeight="1" x14ac:dyDescent="0.25">
      <c r="A710" s="9">
        <v>744</v>
      </c>
      <c r="B710" s="13">
        <v>45769</v>
      </c>
      <c r="C710" s="9" t="s">
        <v>169</v>
      </c>
      <c r="D710" s="9">
        <v>9518711241</v>
      </c>
      <c r="E710" s="8">
        <v>4</v>
      </c>
      <c r="F710" s="9" t="s">
        <v>1344</v>
      </c>
      <c r="G710" s="79" t="s">
        <v>1303</v>
      </c>
      <c r="H710" s="9" t="s">
        <v>57</v>
      </c>
      <c r="I710" s="9" t="s">
        <v>48</v>
      </c>
      <c r="J710" s="9" t="s">
        <v>39</v>
      </c>
      <c r="K710" s="9" t="s">
        <v>233</v>
      </c>
      <c r="L710" s="39"/>
      <c r="M710" s="7" t="s">
        <v>1</v>
      </c>
      <c r="N710" s="8"/>
      <c r="O710" s="40"/>
      <c r="P710" s="15"/>
      <c r="Q710" s="9" t="s">
        <v>264</v>
      </c>
      <c r="R710" s="9" t="s">
        <v>225</v>
      </c>
      <c r="S710" s="9"/>
      <c r="T710" s="9">
        <v>940016</v>
      </c>
      <c r="U710" s="16" t="s">
        <v>133</v>
      </c>
      <c r="V710" s="9">
        <v>3522241</v>
      </c>
      <c r="W710" s="8" t="s">
        <v>348</v>
      </c>
      <c r="X710" s="8" t="s">
        <v>349</v>
      </c>
      <c r="Y710" s="8" t="s">
        <v>231</v>
      </c>
      <c r="Z710" s="8">
        <v>3</v>
      </c>
      <c r="AA710" s="8">
        <v>5</v>
      </c>
      <c r="AB710" s="8"/>
      <c r="AC710" s="8" t="s">
        <v>228</v>
      </c>
      <c r="AD710" s="14" t="s">
        <v>229</v>
      </c>
      <c r="AE710" s="8" t="s">
        <v>232</v>
      </c>
      <c r="AF710" s="14">
        <v>0.43</v>
      </c>
      <c r="AG710" s="8">
        <v>1220</v>
      </c>
      <c r="AH710" s="8">
        <v>0</v>
      </c>
      <c r="AI710" s="8">
        <v>84</v>
      </c>
      <c r="AJ710" s="8">
        <v>0</v>
      </c>
      <c r="AK710" s="127">
        <v>84</v>
      </c>
      <c r="AL710" s="103">
        <v>0</v>
      </c>
      <c r="AM710" s="8">
        <v>84</v>
      </c>
      <c r="AN710" s="21">
        <v>0</v>
      </c>
      <c r="AO710" s="21">
        <v>0</v>
      </c>
      <c r="AP710" s="21">
        <v>0</v>
      </c>
      <c r="AQ710" s="21">
        <v>84</v>
      </c>
      <c r="AR710" s="21">
        <v>0</v>
      </c>
      <c r="AS710" s="8">
        <v>84</v>
      </c>
      <c r="AT710" s="21">
        <v>0</v>
      </c>
      <c r="AU710" s="21">
        <v>0</v>
      </c>
      <c r="AV710" s="21">
        <v>0</v>
      </c>
      <c r="AW710" s="21">
        <v>0</v>
      </c>
      <c r="AX710" s="21">
        <v>84</v>
      </c>
      <c r="AY710" s="8">
        <v>0</v>
      </c>
    </row>
    <row r="711" spans="1:51" ht="15" customHeight="1" x14ac:dyDescent="0.25">
      <c r="A711" s="9">
        <v>744</v>
      </c>
      <c r="B711" s="13">
        <v>45769</v>
      </c>
      <c r="C711" s="9" t="s">
        <v>169</v>
      </c>
      <c r="D711" s="9">
        <v>9518711241</v>
      </c>
      <c r="E711" s="8">
        <v>5</v>
      </c>
      <c r="F711" s="9" t="s">
        <v>1345</v>
      </c>
      <c r="G711" s="79" t="s">
        <v>1303</v>
      </c>
      <c r="H711" s="9" t="s">
        <v>57</v>
      </c>
      <c r="I711" s="9" t="s">
        <v>48</v>
      </c>
      <c r="J711" s="9" t="s">
        <v>39</v>
      </c>
      <c r="K711" s="9" t="s">
        <v>233</v>
      </c>
      <c r="L711" s="39"/>
      <c r="M711" s="7" t="s">
        <v>1</v>
      </c>
      <c r="N711" s="8"/>
      <c r="O711" s="40"/>
      <c r="P711" s="15"/>
      <c r="Q711" s="9" t="s">
        <v>264</v>
      </c>
      <c r="R711" s="9" t="s">
        <v>225</v>
      </c>
      <c r="S711" s="9"/>
      <c r="T711" s="9">
        <v>940016</v>
      </c>
      <c r="U711" s="16" t="s">
        <v>133</v>
      </c>
      <c r="V711" s="9">
        <v>3522241</v>
      </c>
      <c r="W711" s="8" t="s">
        <v>348</v>
      </c>
      <c r="X711" s="8" t="s">
        <v>349</v>
      </c>
      <c r="Y711" s="8" t="s">
        <v>1359</v>
      </c>
      <c r="Z711" s="8">
        <v>3</v>
      </c>
      <c r="AA711" s="8">
        <v>5</v>
      </c>
      <c r="AB711" s="8"/>
      <c r="AC711" s="8" t="s">
        <v>228</v>
      </c>
      <c r="AD711" s="14" t="s">
        <v>229</v>
      </c>
      <c r="AE711" s="8" t="s">
        <v>232</v>
      </c>
      <c r="AF711" s="14">
        <v>0.43</v>
      </c>
      <c r="AG711" s="8">
        <v>1220</v>
      </c>
      <c r="AH711" s="8">
        <v>0</v>
      </c>
      <c r="AI711" s="8">
        <v>56</v>
      </c>
      <c r="AJ711" s="8">
        <v>0</v>
      </c>
      <c r="AK711" s="127">
        <v>51.755000000000003</v>
      </c>
      <c r="AL711" s="103">
        <v>4.2450000000000001</v>
      </c>
      <c r="AM711" s="8">
        <v>51.755000000000003</v>
      </c>
      <c r="AN711" s="21">
        <v>0</v>
      </c>
      <c r="AO711" s="21">
        <v>0</v>
      </c>
      <c r="AP711" s="21">
        <v>0</v>
      </c>
      <c r="AQ711" s="21">
        <v>0</v>
      </c>
      <c r="AR711" s="21">
        <v>51.755000000000003</v>
      </c>
      <c r="AS711" s="8">
        <v>56</v>
      </c>
      <c r="AT711" s="21">
        <v>0</v>
      </c>
      <c r="AU711" s="21">
        <v>0</v>
      </c>
      <c r="AV711" s="21">
        <v>0</v>
      </c>
      <c r="AW711" s="21">
        <v>0</v>
      </c>
      <c r="AX711" s="21">
        <v>56</v>
      </c>
      <c r="AY711" s="8">
        <v>0</v>
      </c>
    </row>
    <row r="712" spans="1:51" ht="15" customHeight="1" x14ac:dyDescent="0.25">
      <c r="A712" s="9">
        <v>744</v>
      </c>
      <c r="B712" s="13">
        <v>45769</v>
      </c>
      <c r="C712" s="9" t="s">
        <v>169</v>
      </c>
      <c r="D712" s="9">
        <v>9518712059</v>
      </c>
      <c r="E712" s="8">
        <v>1</v>
      </c>
      <c r="F712" s="9" t="s">
        <v>1346</v>
      </c>
      <c r="G712" s="79" t="s">
        <v>1303</v>
      </c>
      <c r="H712" s="9" t="s">
        <v>57</v>
      </c>
      <c r="I712" s="9" t="s">
        <v>48</v>
      </c>
      <c r="J712" s="9" t="s">
        <v>39</v>
      </c>
      <c r="K712" s="9" t="s">
        <v>233</v>
      </c>
      <c r="L712" s="39"/>
      <c r="M712" s="7" t="s">
        <v>1</v>
      </c>
      <c r="N712" s="8"/>
      <c r="O712" s="40"/>
      <c r="P712" s="15"/>
      <c r="Q712" s="9" t="s">
        <v>264</v>
      </c>
      <c r="R712" s="9" t="s">
        <v>265</v>
      </c>
      <c r="S712" s="9"/>
      <c r="T712" s="9">
        <v>941597</v>
      </c>
      <c r="U712" s="16" t="s">
        <v>106</v>
      </c>
      <c r="V712" s="9">
        <v>3902332</v>
      </c>
      <c r="W712" s="8" t="s">
        <v>353</v>
      </c>
      <c r="X712" s="8" t="s">
        <v>317</v>
      </c>
      <c r="Y712" s="8" t="s">
        <v>355</v>
      </c>
      <c r="Z712" s="8">
        <v>3</v>
      </c>
      <c r="AA712" s="8">
        <v>5</v>
      </c>
      <c r="AB712" s="8"/>
      <c r="AC712" s="8" t="s">
        <v>228</v>
      </c>
      <c r="AD712" s="14" t="s">
        <v>229</v>
      </c>
      <c r="AE712" s="8" t="s">
        <v>354</v>
      </c>
      <c r="AF712" s="14">
        <v>0.5</v>
      </c>
      <c r="AG712" s="8">
        <v>1220</v>
      </c>
      <c r="AH712" s="8">
        <v>0</v>
      </c>
      <c r="AI712" s="8">
        <v>280</v>
      </c>
      <c r="AJ712" s="8">
        <v>0</v>
      </c>
      <c r="AK712" s="127">
        <v>280</v>
      </c>
      <c r="AL712" s="103">
        <v>0</v>
      </c>
      <c r="AM712" s="8">
        <v>0</v>
      </c>
      <c r="AN712" s="21">
        <v>0</v>
      </c>
      <c r="AO712" s="21">
        <v>0</v>
      </c>
      <c r="AP712" s="21">
        <v>0</v>
      </c>
      <c r="AQ712" s="21">
        <v>0</v>
      </c>
      <c r="AR712" s="21">
        <v>0</v>
      </c>
      <c r="AS712" s="8">
        <v>0</v>
      </c>
      <c r="AT712" s="21">
        <v>0</v>
      </c>
      <c r="AU712" s="21">
        <v>0</v>
      </c>
      <c r="AV712" s="21">
        <v>0</v>
      </c>
      <c r="AW712" s="21">
        <v>0</v>
      </c>
      <c r="AX712" s="21">
        <v>0</v>
      </c>
      <c r="AY712" s="8">
        <v>0</v>
      </c>
    </row>
    <row r="713" spans="1:51" ht="15" customHeight="1" x14ac:dyDescent="0.25">
      <c r="A713" s="9">
        <v>744</v>
      </c>
      <c r="B713" s="13">
        <v>45769</v>
      </c>
      <c r="C713" s="9" t="s">
        <v>169</v>
      </c>
      <c r="D713" s="9">
        <v>9518712059</v>
      </c>
      <c r="E713" s="8">
        <v>3</v>
      </c>
      <c r="F713" s="9" t="s">
        <v>1347</v>
      </c>
      <c r="G713" s="79" t="s">
        <v>1303</v>
      </c>
      <c r="H713" s="9" t="s">
        <v>57</v>
      </c>
      <c r="I713" s="9" t="s">
        <v>48</v>
      </c>
      <c r="J713" s="9" t="s">
        <v>39</v>
      </c>
      <c r="K713" s="9" t="s">
        <v>233</v>
      </c>
      <c r="L713" s="39"/>
      <c r="M713" s="7" t="s">
        <v>1</v>
      </c>
      <c r="N713" s="8"/>
      <c r="O713" s="40"/>
      <c r="P713" s="15"/>
      <c r="Q713" s="9" t="s">
        <v>264</v>
      </c>
      <c r="R713" s="9" t="s">
        <v>265</v>
      </c>
      <c r="S713" s="9"/>
      <c r="T713" s="9">
        <v>941597</v>
      </c>
      <c r="U713" s="16" t="s">
        <v>106</v>
      </c>
      <c r="V713" s="9">
        <v>3902332</v>
      </c>
      <c r="W713" s="8" t="s">
        <v>353</v>
      </c>
      <c r="X713" s="8" t="s">
        <v>317</v>
      </c>
      <c r="Y713" s="8" t="s">
        <v>357</v>
      </c>
      <c r="Z713" s="8">
        <v>3</v>
      </c>
      <c r="AA713" s="8">
        <v>5</v>
      </c>
      <c r="AB713" s="8"/>
      <c r="AC713" s="8" t="s">
        <v>228</v>
      </c>
      <c r="AD713" s="14" t="s">
        <v>229</v>
      </c>
      <c r="AE713" s="8" t="s">
        <v>354</v>
      </c>
      <c r="AF713" s="14">
        <v>0.5</v>
      </c>
      <c r="AG713" s="8">
        <v>1220</v>
      </c>
      <c r="AH713" s="8">
        <v>0</v>
      </c>
      <c r="AI713" s="8">
        <v>56</v>
      </c>
      <c r="AJ713" s="8">
        <v>0</v>
      </c>
      <c r="AK713" s="127">
        <v>56</v>
      </c>
      <c r="AL713" s="103">
        <v>0</v>
      </c>
      <c r="AM713" s="8">
        <v>0</v>
      </c>
      <c r="AN713" s="21">
        <v>0</v>
      </c>
      <c r="AO713" s="21">
        <v>0</v>
      </c>
      <c r="AP713" s="21">
        <v>0</v>
      </c>
      <c r="AQ713" s="21">
        <v>0</v>
      </c>
      <c r="AR713" s="21">
        <v>0</v>
      </c>
      <c r="AS713" s="8">
        <v>0</v>
      </c>
      <c r="AT713" s="21">
        <v>0</v>
      </c>
      <c r="AU713" s="21">
        <v>0</v>
      </c>
      <c r="AV713" s="21">
        <v>0</v>
      </c>
      <c r="AW713" s="21">
        <v>0</v>
      </c>
      <c r="AX713" s="21">
        <v>0</v>
      </c>
      <c r="AY713" s="8">
        <v>0</v>
      </c>
    </row>
    <row r="714" spans="1:51" ht="15" customHeight="1" x14ac:dyDescent="0.25">
      <c r="A714" s="9">
        <v>744</v>
      </c>
      <c r="B714" s="13">
        <v>45769</v>
      </c>
      <c r="C714" s="9" t="s">
        <v>169</v>
      </c>
      <c r="D714" s="9">
        <v>9518711241</v>
      </c>
      <c r="E714" s="8">
        <v>6</v>
      </c>
      <c r="F714" s="9" t="s">
        <v>1348</v>
      </c>
      <c r="G714" s="79" t="s">
        <v>1303</v>
      </c>
      <c r="H714" s="9" t="s">
        <v>57</v>
      </c>
      <c r="I714" s="9" t="s">
        <v>48</v>
      </c>
      <c r="J714" s="9" t="s">
        <v>39</v>
      </c>
      <c r="K714" s="9" t="s">
        <v>233</v>
      </c>
      <c r="L714" s="39"/>
      <c r="M714" s="7" t="s">
        <v>1</v>
      </c>
      <c r="N714" s="8"/>
      <c r="O714" s="40"/>
      <c r="P714" s="15"/>
      <c r="Q714" s="9" t="s">
        <v>264</v>
      </c>
      <c r="R714" s="9" t="s">
        <v>225</v>
      </c>
      <c r="S714" s="9"/>
      <c r="T714" s="9">
        <v>940016</v>
      </c>
      <c r="U714" s="16" t="s">
        <v>133</v>
      </c>
      <c r="V714" s="9">
        <v>3522241</v>
      </c>
      <c r="W714" s="8" t="s">
        <v>348</v>
      </c>
      <c r="X714" s="8" t="s">
        <v>349</v>
      </c>
      <c r="Y714" s="8" t="s">
        <v>1178</v>
      </c>
      <c r="Z714" s="8">
        <v>3</v>
      </c>
      <c r="AA714" s="8">
        <v>5</v>
      </c>
      <c r="AB714" s="8"/>
      <c r="AC714" s="8" t="s">
        <v>228</v>
      </c>
      <c r="AD714" s="14" t="s">
        <v>229</v>
      </c>
      <c r="AE714" s="8" t="s">
        <v>232</v>
      </c>
      <c r="AF714" s="14">
        <v>0.43</v>
      </c>
      <c r="AG714" s="8">
        <v>1220</v>
      </c>
      <c r="AH714" s="8">
        <v>0</v>
      </c>
      <c r="AI714" s="8">
        <v>28</v>
      </c>
      <c r="AJ714" s="8">
        <v>0</v>
      </c>
      <c r="AK714" s="127">
        <v>28</v>
      </c>
      <c r="AL714" s="103">
        <v>0</v>
      </c>
      <c r="AM714" s="8">
        <v>28</v>
      </c>
      <c r="AN714" s="21">
        <v>0</v>
      </c>
      <c r="AO714" s="21">
        <v>0</v>
      </c>
      <c r="AP714" s="21">
        <v>0</v>
      </c>
      <c r="AQ714" s="21">
        <v>0</v>
      </c>
      <c r="AR714" s="21">
        <v>28</v>
      </c>
      <c r="AS714" s="8">
        <v>0</v>
      </c>
      <c r="AT714" s="21">
        <v>0</v>
      </c>
      <c r="AU714" s="21">
        <v>0</v>
      </c>
      <c r="AV714" s="21">
        <v>0</v>
      </c>
      <c r="AW714" s="21">
        <v>0</v>
      </c>
      <c r="AX714" s="21">
        <v>0</v>
      </c>
      <c r="AY714" s="8">
        <v>28</v>
      </c>
    </row>
    <row r="715" spans="1:51" ht="15" customHeight="1" x14ac:dyDescent="0.25">
      <c r="A715" s="9">
        <v>744</v>
      </c>
      <c r="B715" s="13">
        <v>45769</v>
      </c>
      <c r="C715" s="9" t="s">
        <v>169</v>
      </c>
      <c r="D715" s="9">
        <v>9518712059</v>
      </c>
      <c r="E715" s="8">
        <v>2</v>
      </c>
      <c r="F715" s="9" t="s">
        <v>1349</v>
      </c>
      <c r="G715" s="79" t="s">
        <v>1303</v>
      </c>
      <c r="H715" s="9" t="s">
        <v>57</v>
      </c>
      <c r="I715" s="9" t="s">
        <v>48</v>
      </c>
      <c r="J715" s="9" t="s">
        <v>39</v>
      </c>
      <c r="K715" s="9" t="s">
        <v>233</v>
      </c>
      <c r="L715" s="39"/>
      <c r="M715" s="7" t="s">
        <v>1</v>
      </c>
      <c r="N715" s="8"/>
      <c r="O715" s="40"/>
      <c r="P715" s="15"/>
      <c r="Q715" s="9" t="s">
        <v>264</v>
      </c>
      <c r="R715" s="9" t="s">
        <v>265</v>
      </c>
      <c r="S715" s="9"/>
      <c r="T715" s="9">
        <v>941597</v>
      </c>
      <c r="U715" s="16" t="s">
        <v>106</v>
      </c>
      <c r="V715" s="9">
        <v>3902332</v>
      </c>
      <c r="W715" s="8" t="s">
        <v>353</v>
      </c>
      <c r="X715" s="8" t="s">
        <v>317</v>
      </c>
      <c r="Y715" s="8" t="s">
        <v>401</v>
      </c>
      <c r="Z715" s="8">
        <v>3</v>
      </c>
      <c r="AA715" s="8">
        <v>5</v>
      </c>
      <c r="AB715" s="8"/>
      <c r="AC715" s="8" t="s">
        <v>228</v>
      </c>
      <c r="AD715" s="14" t="s">
        <v>229</v>
      </c>
      <c r="AE715" s="8" t="s">
        <v>354</v>
      </c>
      <c r="AF715" s="14">
        <v>0.5</v>
      </c>
      <c r="AG715" s="8">
        <v>1220</v>
      </c>
      <c r="AH715" s="8">
        <v>0</v>
      </c>
      <c r="AI715" s="8">
        <v>112</v>
      </c>
      <c r="AJ715" s="8">
        <v>0</v>
      </c>
      <c r="AK715" s="127">
        <v>112</v>
      </c>
      <c r="AL715" s="103">
        <v>0</v>
      </c>
      <c r="AM715" s="8">
        <v>0</v>
      </c>
      <c r="AN715" s="21">
        <v>0</v>
      </c>
      <c r="AO715" s="21">
        <v>0</v>
      </c>
      <c r="AP715" s="21">
        <v>0</v>
      </c>
      <c r="AQ715" s="21">
        <v>0</v>
      </c>
      <c r="AR715" s="21">
        <v>0</v>
      </c>
      <c r="AS715" s="8">
        <v>0</v>
      </c>
      <c r="AT715" s="21">
        <v>0</v>
      </c>
      <c r="AU715" s="21">
        <v>0</v>
      </c>
      <c r="AV715" s="21">
        <v>0</v>
      </c>
      <c r="AW715" s="21">
        <v>0</v>
      </c>
      <c r="AX715" s="21">
        <v>0</v>
      </c>
      <c r="AY715" s="8">
        <v>0</v>
      </c>
    </row>
    <row r="716" spans="1:51" ht="15" customHeight="1" x14ac:dyDescent="0.25">
      <c r="A716" s="9">
        <v>744</v>
      </c>
      <c r="B716" s="13">
        <v>45769</v>
      </c>
      <c r="C716" s="9" t="s">
        <v>169</v>
      </c>
      <c r="D716" s="9">
        <v>9518711420</v>
      </c>
      <c r="E716" s="8">
        <v>1</v>
      </c>
      <c r="F716" s="9" t="s">
        <v>1350</v>
      </c>
      <c r="G716" s="79" t="s">
        <v>1303</v>
      </c>
      <c r="H716" s="9" t="s">
        <v>57</v>
      </c>
      <c r="I716" s="9" t="s">
        <v>48</v>
      </c>
      <c r="J716" s="9" t="s">
        <v>39</v>
      </c>
      <c r="K716" s="9" t="s">
        <v>233</v>
      </c>
      <c r="L716" s="39"/>
      <c r="M716" s="7" t="s">
        <v>1</v>
      </c>
      <c r="N716" s="8"/>
      <c r="O716" s="40"/>
      <c r="P716" s="15"/>
      <c r="Q716" s="9" t="s">
        <v>264</v>
      </c>
      <c r="R716" s="9" t="s">
        <v>256</v>
      </c>
      <c r="S716" s="9"/>
      <c r="T716" s="9">
        <v>940074</v>
      </c>
      <c r="U716" s="16" t="s">
        <v>106</v>
      </c>
      <c r="V716" s="9">
        <v>3996225</v>
      </c>
      <c r="W716" s="8" t="s">
        <v>1146</v>
      </c>
      <c r="X716" s="8" t="s">
        <v>1174</v>
      </c>
      <c r="Y716" s="8" t="s">
        <v>231</v>
      </c>
      <c r="Z716" s="8">
        <v>3</v>
      </c>
      <c r="AA716" s="8">
        <v>5</v>
      </c>
      <c r="AB716" s="8"/>
      <c r="AC716" s="8" t="s">
        <v>228</v>
      </c>
      <c r="AD716" s="14" t="s">
        <v>229</v>
      </c>
      <c r="AE716" s="8" t="s">
        <v>1170</v>
      </c>
      <c r="AF716" s="14">
        <v>0.4</v>
      </c>
      <c r="AG716" s="8">
        <v>1220</v>
      </c>
      <c r="AH716" s="8">
        <v>0</v>
      </c>
      <c r="AI716" s="8">
        <v>280</v>
      </c>
      <c r="AJ716" s="8">
        <v>0</v>
      </c>
      <c r="AK716" s="127">
        <v>280</v>
      </c>
      <c r="AL716" s="103">
        <v>0</v>
      </c>
      <c r="AM716" s="8">
        <v>280</v>
      </c>
      <c r="AN716" s="21">
        <v>0</v>
      </c>
      <c r="AO716" s="21">
        <v>280</v>
      </c>
      <c r="AP716" s="21">
        <v>0</v>
      </c>
      <c r="AQ716" s="21">
        <v>0</v>
      </c>
      <c r="AR716" s="21">
        <v>0</v>
      </c>
      <c r="AS716" s="8">
        <v>280</v>
      </c>
      <c r="AT716" s="21">
        <v>0</v>
      </c>
      <c r="AU716" s="21">
        <v>0</v>
      </c>
      <c r="AV716" s="21">
        <v>280</v>
      </c>
      <c r="AW716" s="21">
        <v>0</v>
      </c>
      <c r="AX716" s="21">
        <v>0</v>
      </c>
      <c r="AY716" s="8">
        <v>0</v>
      </c>
    </row>
    <row r="717" spans="1:51" ht="15" customHeight="1" x14ac:dyDescent="0.25">
      <c r="A717" s="9">
        <v>744</v>
      </c>
      <c r="B717" s="13">
        <v>45769</v>
      </c>
      <c r="C717" s="9" t="s">
        <v>169</v>
      </c>
      <c r="D717" s="9">
        <v>9518711318</v>
      </c>
      <c r="E717" s="8">
        <v>1</v>
      </c>
      <c r="F717" s="9" t="s">
        <v>1351</v>
      </c>
      <c r="G717" s="79" t="s">
        <v>1687</v>
      </c>
      <c r="H717" s="9" t="s">
        <v>57</v>
      </c>
      <c r="I717" s="9" t="s">
        <v>48</v>
      </c>
      <c r="J717" s="9" t="s">
        <v>39</v>
      </c>
      <c r="K717" s="9" t="s">
        <v>233</v>
      </c>
      <c r="L717" s="39"/>
      <c r="M717" s="7" t="s">
        <v>1</v>
      </c>
      <c r="N717" s="8"/>
      <c r="O717" s="40"/>
      <c r="P717" s="15"/>
      <c r="Q717" s="9" t="s">
        <v>264</v>
      </c>
      <c r="R717" s="9" t="s">
        <v>225</v>
      </c>
      <c r="S717" s="9"/>
      <c r="T717" s="9">
        <v>940016</v>
      </c>
      <c r="U717" s="16" t="s">
        <v>133</v>
      </c>
      <c r="V717" s="9">
        <v>3522241</v>
      </c>
      <c r="W717" s="8" t="s">
        <v>348</v>
      </c>
      <c r="X717" s="8" t="s">
        <v>349</v>
      </c>
      <c r="Y717" s="8" t="s">
        <v>1179</v>
      </c>
      <c r="Z717" s="8">
        <v>3</v>
      </c>
      <c r="AA717" s="8">
        <v>5</v>
      </c>
      <c r="AB717" s="8"/>
      <c r="AC717" s="8" t="s">
        <v>228</v>
      </c>
      <c r="AD717" s="14" t="s">
        <v>229</v>
      </c>
      <c r="AE717" s="8" t="s">
        <v>232</v>
      </c>
      <c r="AF717" s="14">
        <v>0.43</v>
      </c>
      <c r="AG717" s="8">
        <v>1220</v>
      </c>
      <c r="AH717" s="8">
        <v>0</v>
      </c>
      <c r="AI717" s="8">
        <v>28</v>
      </c>
      <c r="AJ717" s="8">
        <v>0</v>
      </c>
      <c r="AK717" s="127">
        <v>21.465</v>
      </c>
      <c r="AL717" s="103">
        <v>6.5350000000000001</v>
      </c>
      <c r="AM717" s="8">
        <v>0</v>
      </c>
      <c r="AN717" s="21">
        <v>0</v>
      </c>
      <c r="AO717" s="21">
        <v>0</v>
      </c>
      <c r="AP717" s="21">
        <v>0</v>
      </c>
      <c r="AQ717" s="21">
        <v>0</v>
      </c>
      <c r="AR717" s="21">
        <v>0</v>
      </c>
      <c r="AS717" s="8">
        <v>6.5350000000000001</v>
      </c>
      <c r="AT717" s="21">
        <v>6.5350000000000001</v>
      </c>
      <c r="AU717" s="21">
        <v>0</v>
      </c>
      <c r="AV717" s="21">
        <v>0</v>
      </c>
      <c r="AW717" s="21">
        <v>0</v>
      </c>
      <c r="AX717" s="21">
        <v>0</v>
      </c>
      <c r="AY717" s="8">
        <v>0</v>
      </c>
    </row>
    <row r="718" spans="1:51" ht="15" customHeight="1" x14ac:dyDescent="0.25">
      <c r="A718" s="9">
        <v>744</v>
      </c>
      <c r="B718" s="13">
        <v>45769</v>
      </c>
      <c r="C718" s="9" t="s">
        <v>169</v>
      </c>
      <c r="D718" s="9">
        <v>9518712059</v>
      </c>
      <c r="E718" s="8">
        <v>4</v>
      </c>
      <c r="F718" s="9" t="s">
        <v>1352</v>
      </c>
      <c r="G718" s="79" t="s">
        <v>1303</v>
      </c>
      <c r="H718" s="9" t="s">
        <v>57</v>
      </c>
      <c r="I718" s="9" t="s">
        <v>48</v>
      </c>
      <c r="J718" s="9" t="s">
        <v>39</v>
      </c>
      <c r="K718" s="9" t="s">
        <v>233</v>
      </c>
      <c r="L718" s="39"/>
      <c r="M718" s="7" t="s">
        <v>1</v>
      </c>
      <c r="N718" s="8"/>
      <c r="O718" s="40"/>
      <c r="P718" s="15"/>
      <c r="Q718" s="9" t="s">
        <v>264</v>
      </c>
      <c r="R718" s="9" t="s">
        <v>265</v>
      </c>
      <c r="S718" s="9"/>
      <c r="T718" s="9">
        <v>941597</v>
      </c>
      <c r="U718" s="16" t="s">
        <v>106</v>
      </c>
      <c r="V718" s="9">
        <v>3902332</v>
      </c>
      <c r="W718" s="8" t="s">
        <v>353</v>
      </c>
      <c r="X718" s="8" t="s">
        <v>317</v>
      </c>
      <c r="Y718" s="8" t="s">
        <v>413</v>
      </c>
      <c r="Z718" s="8">
        <v>3</v>
      </c>
      <c r="AA718" s="8">
        <v>5</v>
      </c>
      <c r="AB718" s="8"/>
      <c r="AC718" s="8" t="s">
        <v>228</v>
      </c>
      <c r="AD718" s="14" t="s">
        <v>229</v>
      </c>
      <c r="AE718" s="8" t="s">
        <v>354</v>
      </c>
      <c r="AF718" s="14">
        <v>0.5</v>
      </c>
      <c r="AG718" s="8">
        <v>1220</v>
      </c>
      <c r="AH718" s="8">
        <v>0</v>
      </c>
      <c r="AI718" s="8">
        <v>56</v>
      </c>
      <c r="AJ718" s="8">
        <v>0</v>
      </c>
      <c r="AK718" s="127">
        <v>56</v>
      </c>
      <c r="AL718" s="103">
        <v>0</v>
      </c>
      <c r="AM718" s="8">
        <v>0</v>
      </c>
      <c r="AN718" s="21">
        <v>0</v>
      </c>
      <c r="AO718" s="21">
        <v>0</v>
      </c>
      <c r="AP718" s="21">
        <v>0</v>
      </c>
      <c r="AQ718" s="21">
        <v>0</v>
      </c>
      <c r="AR718" s="21">
        <v>0</v>
      </c>
      <c r="AS718" s="8">
        <v>0</v>
      </c>
      <c r="AT718" s="21">
        <v>0</v>
      </c>
      <c r="AU718" s="21">
        <v>0</v>
      </c>
      <c r="AV718" s="21">
        <v>0</v>
      </c>
      <c r="AW718" s="21">
        <v>0</v>
      </c>
      <c r="AX718" s="21">
        <v>0</v>
      </c>
      <c r="AY718" s="8">
        <v>0</v>
      </c>
    </row>
    <row r="719" spans="1:51" ht="15" customHeight="1" x14ac:dyDescent="0.25">
      <c r="A719" s="9">
        <v>744</v>
      </c>
      <c r="B719" s="13">
        <v>45769</v>
      </c>
      <c r="C719" s="9" t="s">
        <v>169</v>
      </c>
      <c r="D719" s="9">
        <v>9518711318</v>
      </c>
      <c r="E719" s="8">
        <v>2</v>
      </c>
      <c r="F719" s="9" t="s">
        <v>1353</v>
      </c>
      <c r="G719" s="79" t="s">
        <v>1303</v>
      </c>
      <c r="H719" s="9" t="s">
        <v>57</v>
      </c>
      <c r="I719" s="9" t="s">
        <v>48</v>
      </c>
      <c r="J719" s="9" t="s">
        <v>39</v>
      </c>
      <c r="K719" s="9" t="s">
        <v>233</v>
      </c>
      <c r="L719" s="39"/>
      <c r="M719" s="7" t="s">
        <v>1</v>
      </c>
      <c r="N719" s="8"/>
      <c r="O719" s="40"/>
      <c r="P719" s="15"/>
      <c r="Q719" s="9" t="s">
        <v>264</v>
      </c>
      <c r="R719" s="9" t="s">
        <v>225</v>
      </c>
      <c r="S719" s="9"/>
      <c r="T719" s="9">
        <v>940016</v>
      </c>
      <c r="U719" s="16" t="s">
        <v>133</v>
      </c>
      <c r="V719" s="9">
        <v>3522241</v>
      </c>
      <c r="W719" s="8" t="s">
        <v>348</v>
      </c>
      <c r="X719" s="8" t="s">
        <v>349</v>
      </c>
      <c r="Y719" s="8" t="s">
        <v>231</v>
      </c>
      <c r="Z719" s="8">
        <v>3</v>
      </c>
      <c r="AA719" s="8">
        <v>5</v>
      </c>
      <c r="AB719" s="8"/>
      <c r="AC719" s="8" t="s">
        <v>228</v>
      </c>
      <c r="AD719" s="14" t="s">
        <v>229</v>
      </c>
      <c r="AE719" s="8" t="s">
        <v>232</v>
      </c>
      <c r="AF719" s="14">
        <v>0.43</v>
      </c>
      <c r="AG719" s="8">
        <v>1220</v>
      </c>
      <c r="AH719" s="8">
        <v>0</v>
      </c>
      <c r="AI719" s="8">
        <v>84</v>
      </c>
      <c r="AJ719" s="8">
        <v>0</v>
      </c>
      <c r="AK719" s="127">
        <v>84</v>
      </c>
      <c r="AL719" s="103">
        <v>0</v>
      </c>
      <c r="AM719" s="8">
        <v>84</v>
      </c>
      <c r="AN719" s="21">
        <v>0</v>
      </c>
      <c r="AO719" s="21">
        <v>0</v>
      </c>
      <c r="AP719" s="21">
        <v>0</v>
      </c>
      <c r="AQ719" s="21">
        <v>84</v>
      </c>
      <c r="AR719" s="21">
        <v>0</v>
      </c>
      <c r="AS719" s="8">
        <v>84</v>
      </c>
      <c r="AT719" s="21">
        <v>0</v>
      </c>
      <c r="AU719" s="21">
        <v>0</v>
      </c>
      <c r="AV719" s="21">
        <v>0</v>
      </c>
      <c r="AW719" s="21">
        <v>0</v>
      </c>
      <c r="AX719" s="21">
        <v>84</v>
      </c>
      <c r="AY719" s="8">
        <v>0</v>
      </c>
    </row>
    <row r="720" spans="1:51" ht="15" customHeight="1" x14ac:dyDescent="0.25">
      <c r="A720" s="9">
        <v>743</v>
      </c>
      <c r="B720" s="13">
        <v>45770</v>
      </c>
      <c r="C720" s="9" t="s">
        <v>169</v>
      </c>
      <c r="D720" s="9">
        <v>9518710703</v>
      </c>
      <c r="E720" s="8">
        <v>1</v>
      </c>
      <c r="F720" s="9" t="s">
        <v>1366</v>
      </c>
      <c r="G720" s="79" t="s">
        <v>1303</v>
      </c>
      <c r="H720" s="9" t="s">
        <v>57</v>
      </c>
      <c r="I720" s="9" t="s">
        <v>38</v>
      </c>
      <c r="J720" s="9" t="s">
        <v>39</v>
      </c>
      <c r="K720" s="9" t="s">
        <v>233</v>
      </c>
      <c r="L720" s="39"/>
      <c r="M720" s="7" t="s">
        <v>1</v>
      </c>
      <c r="N720" s="8"/>
      <c r="O720" s="40"/>
      <c r="P720" s="15"/>
      <c r="Q720" s="9" t="s">
        <v>264</v>
      </c>
      <c r="R720" s="9" t="s">
        <v>234</v>
      </c>
      <c r="S720" s="9"/>
      <c r="T720" s="9">
        <v>942293</v>
      </c>
      <c r="U720" s="16" t="s">
        <v>106</v>
      </c>
      <c r="V720" s="9">
        <v>3946362</v>
      </c>
      <c r="W720" s="8" t="s">
        <v>416</v>
      </c>
      <c r="X720" s="8"/>
      <c r="Y720" s="8"/>
      <c r="Z720" s="8"/>
      <c r="AA720" s="8"/>
      <c r="AB720" s="8"/>
      <c r="AC720" s="8" t="s">
        <v>222</v>
      </c>
      <c r="AD720" s="14" t="s">
        <v>223</v>
      </c>
      <c r="AE720" s="8" t="s">
        <v>417</v>
      </c>
      <c r="AF720" s="14">
        <v>0.47</v>
      </c>
      <c r="AG720" s="8">
        <v>1220</v>
      </c>
      <c r="AH720" s="8">
        <v>0</v>
      </c>
      <c r="AI720" s="8">
        <v>224</v>
      </c>
      <c r="AJ720" s="8">
        <v>0</v>
      </c>
      <c r="AK720" s="127">
        <v>224</v>
      </c>
      <c r="AL720" s="103">
        <v>0</v>
      </c>
      <c r="AM720" s="8">
        <v>224</v>
      </c>
      <c r="AN720" s="21">
        <v>0</v>
      </c>
      <c r="AO720" s="21">
        <v>0</v>
      </c>
      <c r="AP720" s="21">
        <v>224</v>
      </c>
      <c r="AQ720" s="21">
        <v>0</v>
      </c>
      <c r="AR720" s="21">
        <v>0</v>
      </c>
      <c r="AS720" s="8">
        <v>224</v>
      </c>
      <c r="AT720" s="21">
        <v>0</v>
      </c>
      <c r="AU720" s="21">
        <v>0</v>
      </c>
      <c r="AV720" s="21">
        <v>224</v>
      </c>
      <c r="AW720" s="21">
        <v>0</v>
      </c>
      <c r="AX720" s="21">
        <v>0</v>
      </c>
      <c r="AY720" s="8">
        <v>0</v>
      </c>
    </row>
    <row r="721" spans="1:51" ht="15" customHeight="1" x14ac:dyDescent="0.25">
      <c r="A721" s="9">
        <v>742</v>
      </c>
      <c r="B721" s="13">
        <v>45768</v>
      </c>
      <c r="C721" s="9" t="s">
        <v>169</v>
      </c>
      <c r="D721" s="9">
        <v>9518708445</v>
      </c>
      <c r="E721" s="8">
        <v>4</v>
      </c>
      <c r="F721" s="9" t="s">
        <v>1363</v>
      </c>
      <c r="G721" s="79" t="s">
        <v>1303</v>
      </c>
      <c r="H721" s="9" t="s">
        <v>57</v>
      </c>
      <c r="I721" s="9" t="s">
        <v>25</v>
      </c>
      <c r="J721" s="9" t="s">
        <v>54</v>
      </c>
      <c r="K721" s="9" t="s">
        <v>881</v>
      </c>
      <c r="L721" s="39"/>
      <c r="M721" s="7" t="s">
        <v>1</v>
      </c>
      <c r="N721" s="8"/>
      <c r="O721" s="40"/>
      <c r="P721" s="15"/>
      <c r="Q721" s="9" t="s">
        <v>214</v>
      </c>
      <c r="R721" s="9" t="s">
        <v>240</v>
      </c>
      <c r="S721" s="9"/>
      <c r="T721" s="9">
        <v>157491</v>
      </c>
      <c r="U721" s="16" t="s">
        <v>86</v>
      </c>
      <c r="V721" s="9">
        <v>2420514</v>
      </c>
      <c r="W721" s="8" t="s">
        <v>666</v>
      </c>
      <c r="X721" s="8"/>
      <c r="Y721" s="8"/>
      <c r="Z721" s="8"/>
      <c r="AA721" s="8"/>
      <c r="AB721" s="8"/>
      <c r="AC721" s="8" t="s">
        <v>190</v>
      </c>
      <c r="AD721" s="14" t="s">
        <v>191</v>
      </c>
      <c r="AE721" s="8" t="s">
        <v>530</v>
      </c>
      <c r="AF721" s="14">
        <v>0.8</v>
      </c>
      <c r="AG721" s="8">
        <v>1250</v>
      </c>
      <c r="AH721" s="8">
        <v>0</v>
      </c>
      <c r="AI721" s="8">
        <v>261</v>
      </c>
      <c r="AJ721" s="8">
        <v>0</v>
      </c>
      <c r="AK721" s="127">
        <v>261</v>
      </c>
      <c r="AL721" s="103">
        <v>0</v>
      </c>
      <c r="AM721" s="8">
        <v>261</v>
      </c>
      <c r="AN721" s="21">
        <v>0</v>
      </c>
      <c r="AO721" s="21">
        <v>0</v>
      </c>
      <c r="AP721" s="21">
        <v>0</v>
      </c>
      <c r="AQ721" s="21">
        <v>0</v>
      </c>
      <c r="AR721" s="21">
        <v>261</v>
      </c>
      <c r="AS721" s="8">
        <v>261</v>
      </c>
      <c r="AT721" s="21">
        <v>0</v>
      </c>
      <c r="AU721" s="21">
        <v>0</v>
      </c>
      <c r="AV721" s="21">
        <v>0</v>
      </c>
      <c r="AW721" s="21">
        <v>0</v>
      </c>
      <c r="AX721" s="21">
        <v>261</v>
      </c>
      <c r="AY721" s="8">
        <v>0</v>
      </c>
    </row>
    <row r="722" spans="1:51" ht="15" customHeight="1" x14ac:dyDescent="0.25">
      <c r="A722" s="9">
        <v>742</v>
      </c>
      <c r="B722" s="13">
        <v>45768</v>
      </c>
      <c r="C722" s="9" t="s">
        <v>169</v>
      </c>
      <c r="D722" s="9">
        <v>9518708445</v>
      </c>
      <c r="E722" s="8">
        <v>5</v>
      </c>
      <c r="F722" s="9" t="s">
        <v>1364</v>
      </c>
      <c r="G722" s="79" t="s">
        <v>1303</v>
      </c>
      <c r="H722" s="9" t="s">
        <v>57</v>
      </c>
      <c r="I722" s="9" t="s">
        <v>25</v>
      </c>
      <c r="J722" s="9" t="s">
        <v>54</v>
      </c>
      <c r="K722" s="9" t="s">
        <v>881</v>
      </c>
      <c r="L722" s="39"/>
      <c r="M722" s="7" t="s">
        <v>1</v>
      </c>
      <c r="N722" s="8"/>
      <c r="O722" s="40"/>
      <c r="P722" s="15"/>
      <c r="Q722" s="9" t="s">
        <v>214</v>
      </c>
      <c r="R722" s="9" t="s">
        <v>240</v>
      </c>
      <c r="S722" s="9"/>
      <c r="T722" s="9">
        <v>157491</v>
      </c>
      <c r="U722" s="16" t="s">
        <v>86</v>
      </c>
      <c r="V722" s="9">
        <v>2420518</v>
      </c>
      <c r="W722" s="8" t="s">
        <v>760</v>
      </c>
      <c r="X722" s="8"/>
      <c r="Y722" s="8"/>
      <c r="Z722" s="8"/>
      <c r="AA722" s="8"/>
      <c r="AB722" s="8"/>
      <c r="AC722" s="8" t="s">
        <v>190</v>
      </c>
      <c r="AD722" s="14" t="s">
        <v>191</v>
      </c>
      <c r="AE722" s="8" t="s">
        <v>530</v>
      </c>
      <c r="AF722" s="14">
        <v>1</v>
      </c>
      <c r="AG722" s="8">
        <v>1250</v>
      </c>
      <c r="AH722" s="8">
        <v>0</v>
      </c>
      <c r="AI722" s="8">
        <v>261</v>
      </c>
      <c r="AJ722" s="8">
        <v>0</v>
      </c>
      <c r="AK722" s="127">
        <v>261</v>
      </c>
      <c r="AL722" s="103">
        <v>0</v>
      </c>
      <c r="AM722" s="8">
        <v>261</v>
      </c>
      <c r="AN722" s="21">
        <v>0</v>
      </c>
      <c r="AO722" s="21">
        <v>0</v>
      </c>
      <c r="AP722" s="21">
        <v>0</v>
      </c>
      <c r="AQ722" s="21">
        <v>0</v>
      </c>
      <c r="AR722" s="21">
        <v>261</v>
      </c>
      <c r="AS722" s="8">
        <v>0</v>
      </c>
      <c r="AT722" s="21">
        <v>0</v>
      </c>
      <c r="AU722" s="21">
        <v>0</v>
      </c>
      <c r="AV722" s="21">
        <v>0</v>
      </c>
      <c r="AW722" s="21">
        <v>0</v>
      </c>
      <c r="AX722" s="21">
        <v>0</v>
      </c>
      <c r="AY722" s="8">
        <v>261</v>
      </c>
    </row>
    <row r="723" spans="1:51" ht="15" customHeight="1" x14ac:dyDescent="0.25">
      <c r="A723" s="9">
        <v>742</v>
      </c>
      <c r="B723" s="13">
        <v>45768</v>
      </c>
      <c r="C723" s="9" t="s">
        <v>169</v>
      </c>
      <c r="D723" s="9">
        <v>9518708445</v>
      </c>
      <c r="E723" s="8">
        <v>6</v>
      </c>
      <c r="F723" s="9" t="s">
        <v>1365</v>
      </c>
      <c r="G723" s="79" t="s">
        <v>1303</v>
      </c>
      <c r="H723" s="9" t="s">
        <v>57</v>
      </c>
      <c r="I723" s="9" t="s">
        <v>25</v>
      </c>
      <c r="J723" s="9" t="s">
        <v>54</v>
      </c>
      <c r="K723" s="9" t="s">
        <v>881</v>
      </c>
      <c r="L723" s="39"/>
      <c r="M723" s="7" t="s">
        <v>1</v>
      </c>
      <c r="N723" s="8"/>
      <c r="O723" s="40"/>
      <c r="P723" s="15"/>
      <c r="Q723" s="9" t="s">
        <v>214</v>
      </c>
      <c r="R723" s="9" t="s">
        <v>240</v>
      </c>
      <c r="S723" s="9"/>
      <c r="T723" s="9">
        <v>157491</v>
      </c>
      <c r="U723" s="16" t="s">
        <v>86</v>
      </c>
      <c r="V723" s="9">
        <v>2420521</v>
      </c>
      <c r="W723" s="8" t="s">
        <v>533</v>
      </c>
      <c r="X723" s="8"/>
      <c r="Y723" s="8"/>
      <c r="Z723" s="8"/>
      <c r="AA723" s="8"/>
      <c r="AB723" s="8"/>
      <c r="AC723" s="8" t="s">
        <v>190</v>
      </c>
      <c r="AD723" s="14" t="s">
        <v>191</v>
      </c>
      <c r="AE723" s="8" t="s">
        <v>530</v>
      </c>
      <c r="AF723" s="14">
        <v>1.2</v>
      </c>
      <c r="AG723" s="8">
        <v>1250</v>
      </c>
      <c r="AH723" s="8">
        <v>0</v>
      </c>
      <c r="AI723" s="8">
        <v>145</v>
      </c>
      <c r="AJ723" s="8">
        <v>0</v>
      </c>
      <c r="AK723" s="127">
        <v>145</v>
      </c>
      <c r="AL723" s="103">
        <v>0</v>
      </c>
      <c r="AM723" s="8">
        <v>145</v>
      </c>
      <c r="AN723" s="21">
        <v>0</v>
      </c>
      <c r="AO723" s="21">
        <v>0</v>
      </c>
      <c r="AP723" s="21">
        <v>0</v>
      </c>
      <c r="AQ723" s="21">
        <v>0</v>
      </c>
      <c r="AR723" s="21">
        <v>145</v>
      </c>
      <c r="AS723" s="8">
        <v>0</v>
      </c>
      <c r="AT723" s="21">
        <v>0</v>
      </c>
      <c r="AU723" s="21">
        <v>0</v>
      </c>
      <c r="AV723" s="21">
        <v>0</v>
      </c>
      <c r="AW723" s="21">
        <v>0</v>
      </c>
      <c r="AX723" s="21">
        <v>0</v>
      </c>
      <c r="AY723" s="8">
        <v>145</v>
      </c>
    </row>
    <row r="724" spans="1:51" ht="15" customHeight="1" x14ac:dyDescent="0.25">
      <c r="A724" s="9">
        <v>742</v>
      </c>
      <c r="B724" s="13">
        <v>45768</v>
      </c>
      <c r="C724" s="9" t="s">
        <v>169</v>
      </c>
      <c r="D724" s="9">
        <v>9518708445</v>
      </c>
      <c r="E724" s="8">
        <v>7</v>
      </c>
      <c r="F724" s="9" t="s">
        <v>1367</v>
      </c>
      <c r="G724" s="79" t="s">
        <v>1303</v>
      </c>
      <c r="H724" s="9" t="s">
        <v>57</v>
      </c>
      <c r="I724" s="9" t="s">
        <v>25</v>
      </c>
      <c r="J724" s="9" t="s">
        <v>54</v>
      </c>
      <c r="K724" s="9" t="s">
        <v>881</v>
      </c>
      <c r="L724" s="39"/>
      <c r="M724" s="7" t="s">
        <v>1</v>
      </c>
      <c r="N724" s="8"/>
      <c r="O724" s="40"/>
      <c r="P724" s="15"/>
      <c r="Q724" s="9" t="s">
        <v>214</v>
      </c>
      <c r="R724" s="9" t="s">
        <v>240</v>
      </c>
      <c r="S724" s="9"/>
      <c r="T724" s="9">
        <v>157491</v>
      </c>
      <c r="U724" s="16" t="s">
        <v>86</v>
      </c>
      <c r="V724" s="9">
        <v>2420522</v>
      </c>
      <c r="W724" s="8" t="s">
        <v>539</v>
      </c>
      <c r="X724" s="8"/>
      <c r="Y724" s="8"/>
      <c r="Z724" s="8"/>
      <c r="AA724" s="8"/>
      <c r="AB724" s="8"/>
      <c r="AC724" s="8" t="s">
        <v>190</v>
      </c>
      <c r="AD724" s="14" t="s">
        <v>191</v>
      </c>
      <c r="AE724" s="8" t="s">
        <v>530</v>
      </c>
      <c r="AF724" s="14">
        <v>1.5</v>
      </c>
      <c r="AG724" s="8">
        <v>1250</v>
      </c>
      <c r="AH724" s="8">
        <v>0</v>
      </c>
      <c r="AI724" s="8">
        <v>145</v>
      </c>
      <c r="AJ724" s="8">
        <v>0</v>
      </c>
      <c r="AK724" s="127">
        <v>145</v>
      </c>
      <c r="AL724" s="103">
        <v>0</v>
      </c>
      <c r="AM724" s="8">
        <v>145</v>
      </c>
      <c r="AN724" s="21">
        <v>145</v>
      </c>
      <c r="AO724" s="21">
        <v>0</v>
      </c>
      <c r="AP724" s="21">
        <v>0</v>
      </c>
      <c r="AQ724" s="21">
        <v>0</v>
      </c>
      <c r="AR724" s="21">
        <v>0</v>
      </c>
      <c r="AS724" s="8">
        <v>145</v>
      </c>
      <c r="AT724" s="21">
        <v>0</v>
      </c>
      <c r="AU724" s="21">
        <v>145</v>
      </c>
      <c r="AV724" s="21">
        <v>0</v>
      </c>
      <c r="AW724" s="21">
        <v>0</v>
      </c>
      <c r="AX724" s="21">
        <v>0</v>
      </c>
      <c r="AY724" s="8">
        <v>0</v>
      </c>
    </row>
    <row r="725" spans="1:51" ht="15" customHeight="1" x14ac:dyDescent="0.25">
      <c r="A725" s="9">
        <v>742</v>
      </c>
      <c r="B725" s="13">
        <v>45768</v>
      </c>
      <c r="C725" s="9" t="s">
        <v>193</v>
      </c>
      <c r="D725" s="9">
        <v>9518709004</v>
      </c>
      <c r="E725" s="8">
        <v>1</v>
      </c>
      <c r="F725" s="9" t="s">
        <v>1368</v>
      </c>
      <c r="G725" s="9" t="s">
        <v>1303</v>
      </c>
      <c r="H725" s="9" t="s">
        <v>57</v>
      </c>
      <c r="I725" s="9" t="s">
        <v>25</v>
      </c>
      <c r="J725" s="9" t="s">
        <v>29</v>
      </c>
      <c r="K725" s="9" t="s">
        <v>233</v>
      </c>
      <c r="L725" s="39"/>
      <c r="M725" s="7" t="s">
        <v>1461</v>
      </c>
      <c r="N725" s="8"/>
      <c r="O725" s="40" t="s">
        <v>1392</v>
      </c>
      <c r="P725" s="15"/>
      <c r="Q725" s="9" t="s">
        <v>180</v>
      </c>
      <c r="R725" s="9" t="s">
        <v>439</v>
      </c>
      <c r="S725" s="9"/>
      <c r="T725" s="9">
        <v>600250</v>
      </c>
      <c r="U725" s="16" t="s">
        <v>67</v>
      </c>
      <c r="V725" s="9">
        <v>3659268</v>
      </c>
      <c r="W725" s="8" t="s">
        <v>325</v>
      </c>
      <c r="X725" s="8"/>
      <c r="Y725" s="8"/>
      <c r="Z725" s="8"/>
      <c r="AA725" s="8"/>
      <c r="AB725" s="8"/>
      <c r="AC725" s="8" t="s">
        <v>190</v>
      </c>
      <c r="AD725" s="14" t="s">
        <v>197</v>
      </c>
      <c r="AE725" s="8" t="s">
        <v>326</v>
      </c>
      <c r="AF725" s="14">
        <v>0.5</v>
      </c>
      <c r="AG725" s="8">
        <v>1217</v>
      </c>
      <c r="AH725" s="8">
        <v>0</v>
      </c>
      <c r="AI725" s="8">
        <v>168</v>
      </c>
      <c r="AJ725" s="8">
        <v>0</v>
      </c>
      <c r="AK725" s="127">
        <v>168</v>
      </c>
      <c r="AL725" s="103">
        <v>0</v>
      </c>
      <c r="AM725" s="8">
        <v>168</v>
      </c>
      <c r="AN725" s="21">
        <v>0</v>
      </c>
      <c r="AO725" s="21">
        <v>0</v>
      </c>
      <c r="AP725" s="21">
        <v>168</v>
      </c>
      <c r="AQ725" s="21">
        <v>0</v>
      </c>
      <c r="AR725" s="21">
        <v>0</v>
      </c>
      <c r="AS725" s="8">
        <v>168</v>
      </c>
      <c r="AT725" s="21">
        <v>0</v>
      </c>
      <c r="AU725" s="21">
        <v>0</v>
      </c>
      <c r="AV725" s="21">
        <v>0</v>
      </c>
      <c r="AW725" s="21">
        <v>168</v>
      </c>
      <c r="AX725" s="21">
        <v>0</v>
      </c>
      <c r="AY725" s="8">
        <v>0</v>
      </c>
    </row>
    <row r="726" spans="1:51" ht="15" customHeight="1" x14ac:dyDescent="0.25">
      <c r="A726" s="9">
        <v>742</v>
      </c>
      <c r="B726" s="13">
        <v>45768</v>
      </c>
      <c r="C726" s="9" t="s">
        <v>193</v>
      </c>
      <c r="D726" s="9">
        <v>9518709004</v>
      </c>
      <c r="E726" s="8">
        <v>2</v>
      </c>
      <c r="F726" s="9" t="s">
        <v>1369</v>
      </c>
      <c r="G726" s="79" t="s">
        <v>1303</v>
      </c>
      <c r="H726" s="9" t="s">
        <v>57</v>
      </c>
      <c r="I726" s="9" t="s">
        <v>25</v>
      </c>
      <c r="J726" s="9" t="s">
        <v>29</v>
      </c>
      <c r="K726" s="9" t="s">
        <v>233</v>
      </c>
      <c r="L726" s="39"/>
      <c r="M726" s="7" t="s">
        <v>1</v>
      </c>
      <c r="N726" s="8"/>
      <c r="O726" s="40" t="s">
        <v>1392</v>
      </c>
      <c r="P726" s="15"/>
      <c r="Q726" s="9" t="s">
        <v>180</v>
      </c>
      <c r="R726" s="9" t="s">
        <v>439</v>
      </c>
      <c r="S726" s="9"/>
      <c r="T726" s="9">
        <v>600250</v>
      </c>
      <c r="U726" s="16" t="s">
        <v>67</v>
      </c>
      <c r="V726" s="9">
        <v>3704262</v>
      </c>
      <c r="W726" s="8" t="s">
        <v>597</v>
      </c>
      <c r="X726" s="8"/>
      <c r="Y726" s="8"/>
      <c r="Z726" s="8"/>
      <c r="AA726" s="8"/>
      <c r="AB726" s="8"/>
      <c r="AC726" s="8" t="s">
        <v>190</v>
      </c>
      <c r="AD726" s="14" t="s">
        <v>197</v>
      </c>
      <c r="AE726" s="8" t="s">
        <v>326</v>
      </c>
      <c r="AF726" s="14">
        <v>1</v>
      </c>
      <c r="AG726" s="8">
        <v>1250</v>
      </c>
      <c r="AH726" s="8">
        <v>0</v>
      </c>
      <c r="AI726" s="8">
        <v>58</v>
      </c>
      <c r="AJ726" s="8">
        <v>0</v>
      </c>
      <c r="AK726" s="127">
        <v>58</v>
      </c>
      <c r="AL726" s="103">
        <v>0</v>
      </c>
      <c r="AM726" s="8">
        <v>58</v>
      </c>
      <c r="AN726" s="21">
        <v>0</v>
      </c>
      <c r="AO726" s="21">
        <v>0</v>
      </c>
      <c r="AP726" s="21">
        <v>0</v>
      </c>
      <c r="AQ726" s="21">
        <v>0</v>
      </c>
      <c r="AR726" s="21">
        <v>58</v>
      </c>
      <c r="AS726" s="8">
        <v>0</v>
      </c>
      <c r="AT726" s="21">
        <v>0</v>
      </c>
      <c r="AU726" s="21">
        <v>0</v>
      </c>
      <c r="AV726" s="21">
        <v>0</v>
      </c>
      <c r="AW726" s="21">
        <v>0</v>
      </c>
      <c r="AX726" s="21">
        <v>0</v>
      </c>
      <c r="AY726" s="8">
        <v>58</v>
      </c>
    </row>
    <row r="727" spans="1:51" ht="15" customHeight="1" x14ac:dyDescent="0.25">
      <c r="A727" s="9">
        <v>743</v>
      </c>
      <c r="B727" s="13">
        <v>45770</v>
      </c>
      <c r="C727" s="9" t="s">
        <v>169</v>
      </c>
      <c r="D727" s="9">
        <v>9518715051</v>
      </c>
      <c r="E727" s="8">
        <v>2</v>
      </c>
      <c r="F727" s="9" t="s">
        <v>1370</v>
      </c>
      <c r="G727" s="79" t="s">
        <v>1303</v>
      </c>
      <c r="H727" s="9" t="s">
        <v>57</v>
      </c>
      <c r="I727" s="9" t="s">
        <v>43</v>
      </c>
      <c r="J727" s="9" t="s">
        <v>1311</v>
      </c>
      <c r="K727" s="9">
        <v>2000</v>
      </c>
      <c r="L727" s="39"/>
      <c r="M727" s="7" t="s">
        <v>1</v>
      </c>
      <c r="N727" s="8"/>
      <c r="O727" s="40"/>
      <c r="P727" s="15" t="s">
        <v>216</v>
      </c>
      <c r="Q727" s="9" t="s">
        <v>180</v>
      </c>
      <c r="R727" s="9"/>
      <c r="S727" s="9"/>
      <c r="T727" s="9">
        <v>116649</v>
      </c>
      <c r="U727" s="16" t="s">
        <v>96</v>
      </c>
      <c r="V727" s="9">
        <v>1300229</v>
      </c>
      <c r="W727" s="8" t="s">
        <v>396</v>
      </c>
      <c r="X727" s="8" t="s">
        <v>175</v>
      </c>
      <c r="Y727" s="8" t="s">
        <v>175</v>
      </c>
      <c r="Z727" s="8"/>
      <c r="AA727" s="8"/>
      <c r="AB727" s="8"/>
      <c r="AC727" s="8" t="s">
        <v>238</v>
      </c>
      <c r="AD727" s="14" t="s">
        <v>185</v>
      </c>
      <c r="AE727" s="8" t="s">
        <v>309</v>
      </c>
      <c r="AF727" s="14">
        <v>0.4</v>
      </c>
      <c r="AG727" s="8">
        <v>1220</v>
      </c>
      <c r="AH727" s="8">
        <v>0</v>
      </c>
      <c r="AI727" s="8">
        <v>84</v>
      </c>
      <c r="AJ727" s="8">
        <v>0</v>
      </c>
      <c r="AK727" s="127">
        <v>84</v>
      </c>
      <c r="AL727" s="103">
        <v>0</v>
      </c>
      <c r="AM727" s="8">
        <v>84</v>
      </c>
      <c r="AN727" s="21">
        <v>0</v>
      </c>
      <c r="AO727" s="21">
        <v>0</v>
      </c>
      <c r="AP727" s="21">
        <v>84</v>
      </c>
      <c r="AQ727" s="21">
        <v>0</v>
      </c>
      <c r="AR727" s="21">
        <v>0</v>
      </c>
      <c r="AS727" s="8">
        <v>84</v>
      </c>
      <c r="AT727" s="21">
        <v>0</v>
      </c>
      <c r="AU727" s="21">
        <v>0</v>
      </c>
      <c r="AV727" s="21">
        <v>0</v>
      </c>
      <c r="AW727" s="21">
        <v>84</v>
      </c>
      <c r="AX727" s="21">
        <v>0</v>
      </c>
      <c r="AY727" s="8">
        <v>0</v>
      </c>
    </row>
    <row r="728" spans="1:51" ht="15" customHeight="1" x14ac:dyDescent="0.25">
      <c r="A728" s="9">
        <v>743</v>
      </c>
      <c r="B728" s="13">
        <v>45770</v>
      </c>
      <c r="C728" s="9" t="s">
        <v>169</v>
      </c>
      <c r="D728" s="9">
        <v>9518715051</v>
      </c>
      <c r="E728" s="8">
        <v>3</v>
      </c>
      <c r="F728" s="9" t="s">
        <v>1371</v>
      </c>
      <c r="G728" s="79" t="s">
        <v>1303</v>
      </c>
      <c r="H728" s="9" t="s">
        <v>57</v>
      </c>
      <c r="I728" s="9" t="s">
        <v>43</v>
      </c>
      <c r="J728" s="9" t="s">
        <v>1311</v>
      </c>
      <c r="K728" s="9">
        <v>2000</v>
      </c>
      <c r="L728" s="39"/>
      <c r="M728" s="7" t="s">
        <v>1</v>
      </c>
      <c r="N728" s="8"/>
      <c r="O728" s="40"/>
      <c r="P728" s="15" t="s">
        <v>216</v>
      </c>
      <c r="Q728" s="9" t="s">
        <v>180</v>
      </c>
      <c r="R728" s="9"/>
      <c r="S728" s="9"/>
      <c r="T728" s="9">
        <v>116649</v>
      </c>
      <c r="U728" s="16" t="s">
        <v>96</v>
      </c>
      <c r="V728" s="9">
        <v>2233645</v>
      </c>
      <c r="W728" s="8" t="s">
        <v>1382</v>
      </c>
      <c r="X728" s="8" t="s">
        <v>175</v>
      </c>
      <c r="Y728" s="8" t="s">
        <v>175</v>
      </c>
      <c r="Z728" s="8"/>
      <c r="AA728" s="8"/>
      <c r="AB728" s="8"/>
      <c r="AC728" s="8" t="s">
        <v>238</v>
      </c>
      <c r="AD728" s="14" t="s">
        <v>185</v>
      </c>
      <c r="AE728" s="8" t="s">
        <v>309</v>
      </c>
      <c r="AF728" s="14">
        <v>0.35</v>
      </c>
      <c r="AG728" s="8">
        <v>1220</v>
      </c>
      <c r="AH728" s="8">
        <v>0</v>
      </c>
      <c r="AI728" s="8">
        <v>84</v>
      </c>
      <c r="AJ728" s="8">
        <v>0</v>
      </c>
      <c r="AK728" s="127">
        <v>84</v>
      </c>
      <c r="AL728" s="103">
        <v>0</v>
      </c>
      <c r="AM728" s="8">
        <v>84</v>
      </c>
      <c r="AN728" s="21">
        <v>0</v>
      </c>
      <c r="AO728" s="21">
        <v>0</v>
      </c>
      <c r="AP728" s="21">
        <v>84</v>
      </c>
      <c r="AQ728" s="21">
        <v>0</v>
      </c>
      <c r="AR728" s="21">
        <v>0</v>
      </c>
      <c r="AS728" s="8">
        <v>84</v>
      </c>
      <c r="AT728" s="21">
        <v>0</v>
      </c>
      <c r="AU728" s="21">
        <v>0</v>
      </c>
      <c r="AV728" s="21">
        <v>0</v>
      </c>
      <c r="AW728" s="21">
        <v>84</v>
      </c>
      <c r="AX728" s="21">
        <v>0</v>
      </c>
      <c r="AY728" s="8">
        <v>0</v>
      </c>
    </row>
    <row r="729" spans="1:51" ht="15" customHeight="1" x14ac:dyDescent="0.25">
      <c r="A729" s="9">
        <v>743</v>
      </c>
      <c r="B729" s="13">
        <v>45769</v>
      </c>
      <c r="C729" s="9" t="s">
        <v>169</v>
      </c>
      <c r="D729" s="9">
        <v>9518710703</v>
      </c>
      <c r="E729" s="8">
        <v>2</v>
      </c>
      <c r="F729" s="9" t="s">
        <v>1372</v>
      </c>
      <c r="G729" s="79" t="s">
        <v>1303</v>
      </c>
      <c r="H729" s="9" t="s">
        <v>57</v>
      </c>
      <c r="I729" s="9" t="s">
        <v>38</v>
      </c>
      <c r="J729" s="9" t="s">
        <v>39</v>
      </c>
      <c r="K729" s="9">
        <v>1000</v>
      </c>
      <c r="L729" s="39"/>
      <c r="M729" s="7" t="s">
        <v>1</v>
      </c>
      <c r="N729" s="8"/>
      <c r="O729" s="40"/>
      <c r="P729" s="15" t="s">
        <v>187</v>
      </c>
      <c r="Q729" s="9" t="s">
        <v>264</v>
      </c>
      <c r="R729" s="9"/>
      <c r="S729" s="9"/>
      <c r="T729" s="9">
        <v>942293</v>
      </c>
      <c r="U729" s="16" t="s">
        <v>105</v>
      </c>
      <c r="V729" s="9">
        <v>3946364</v>
      </c>
      <c r="W729" s="8" t="s">
        <v>418</v>
      </c>
      <c r="X729" s="8">
        <v>150</v>
      </c>
      <c r="Y729" s="8" t="s">
        <v>175</v>
      </c>
      <c r="Z729" s="8"/>
      <c r="AA729" s="8"/>
      <c r="AB729" s="8"/>
      <c r="AC729" s="8" t="s">
        <v>222</v>
      </c>
      <c r="AD729" s="14" t="s">
        <v>223</v>
      </c>
      <c r="AE729" s="8" t="s">
        <v>417</v>
      </c>
      <c r="AF729" s="14">
        <v>0.5</v>
      </c>
      <c r="AG729" s="8">
        <v>1220</v>
      </c>
      <c r="AH729" s="8">
        <v>0</v>
      </c>
      <c r="AI729" s="8">
        <v>84</v>
      </c>
      <c r="AJ729" s="8">
        <v>0</v>
      </c>
      <c r="AK729" s="127">
        <v>84</v>
      </c>
      <c r="AL729" s="103">
        <v>0</v>
      </c>
      <c r="AM729" s="8">
        <v>84</v>
      </c>
      <c r="AN729" s="21">
        <v>0</v>
      </c>
      <c r="AO729" s="21">
        <v>0</v>
      </c>
      <c r="AP729" s="21">
        <v>84</v>
      </c>
      <c r="AQ729" s="21">
        <v>0</v>
      </c>
      <c r="AR729" s="21">
        <v>0</v>
      </c>
      <c r="AS729" s="8">
        <v>84</v>
      </c>
      <c r="AT729" s="21">
        <v>0</v>
      </c>
      <c r="AU729" s="21">
        <v>0</v>
      </c>
      <c r="AV729" s="21">
        <v>84</v>
      </c>
      <c r="AW729" s="21">
        <v>0</v>
      </c>
      <c r="AX729" s="21">
        <v>0</v>
      </c>
      <c r="AY729" s="8">
        <v>0</v>
      </c>
    </row>
    <row r="730" spans="1:51" ht="15" customHeight="1" x14ac:dyDescent="0.25">
      <c r="A730" s="9">
        <v>744</v>
      </c>
      <c r="B730" s="13">
        <v>45769</v>
      </c>
      <c r="C730" s="9" t="s">
        <v>169</v>
      </c>
      <c r="D730" s="9">
        <v>9518711554</v>
      </c>
      <c r="E730" s="8">
        <v>1</v>
      </c>
      <c r="F730" s="9" t="s">
        <v>1373</v>
      </c>
      <c r="G730" s="79" t="s">
        <v>1303</v>
      </c>
      <c r="H730" s="9" t="s">
        <v>57</v>
      </c>
      <c r="I730" s="9" t="s">
        <v>48</v>
      </c>
      <c r="J730" s="9" t="s">
        <v>39</v>
      </c>
      <c r="K730" s="9">
        <v>1000</v>
      </c>
      <c r="L730" s="39"/>
      <c r="M730" s="7" t="s">
        <v>1</v>
      </c>
      <c r="N730" s="8"/>
      <c r="O730" s="40"/>
      <c r="P730" s="15" t="s">
        <v>245</v>
      </c>
      <c r="Q730" s="9" t="s">
        <v>264</v>
      </c>
      <c r="R730" s="9"/>
      <c r="S730" s="9"/>
      <c r="T730" s="9">
        <v>940074</v>
      </c>
      <c r="U730" s="16" t="s">
        <v>105</v>
      </c>
      <c r="V730" s="9">
        <v>3522241</v>
      </c>
      <c r="W730" s="8" t="s">
        <v>348</v>
      </c>
      <c r="X730" s="8">
        <v>70</v>
      </c>
      <c r="Y730" s="8" t="s">
        <v>1179</v>
      </c>
      <c r="Z730" s="8"/>
      <c r="AA730" s="8"/>
      <c r="AB730" s="8"/>
      <c r="AC730" s="8" t="s">
        <v>228</v>
      </c>
      <c r="AD730" s="14" t="s">
        <v>229</v>
      </c>
      <c r="AE730" s="8" t="s">
        <v>232</v>
      </c>
      <c r="AF730" s="14">
        <v>0.43</v>
      </c>
      <c r="AG730" s="8">
        <v>1220</v>
      </c>
      <c r="AH730" s="8">
        <v>0</v>
      </c>
      <c r="AI730" s="8">
        <v>140</v>
      </c>
      <c r="AJ730" s="8">
        <v>0</v>
      </c>
      <c r="AK730" s="127">
        <v>140</v>
      </c>
      <c r="AL730" s="103">
        <v>0</v>
      </c>
      <c r="AM730" s="8">
        <v>0</v>
      </c>
      <c r="AN730" s="21">
        <v>0</v>
      </c>
      <c r="AO730" s="21">
        <v>0</v>
      </c>
      <c r="AP730" s="21">
        <v>0</v>
      </c>
      <c r="AQ730" s="21">
        <v>0</v>
      </c>
      <c r="AR730" s="21">
        <v>0</v>
      </c>
      <c r="AS730" s="8">
        <v>0</v>
      </c>
      <c r="AT730" s="21">
        <v>0</v>
      </c>
      <c r="AU730" s="21">
        <v>0</v>
      </c>
      <c r="AV730" s="21">
        <v>0</v>
      </c>
      <c r="AW730" s="21">
        <v>0</v>
      </c>
      <c r="AX730" s="21">
        <v>0</v>
      </c>
      <c r="AY730" s="8">
        <v>0</v>
      </c>
    </row>
    <row r="731" spans="1:51" ht="15" customHeight="1" x14ac:dyDescent="0.25">
      <c r="A731" s="9">
        <v>744</v>
      </c>
      <c r="B731" s="13">
        <v>45770</v>
      </c>
      <c r="C731" s="9" t="s">
        <v>169</v>
      </c>
      <c r="D731" s="9">
        <v>9518714453</v>
      </c>
      <c r="E731" s="8">
        <v>9</v>
      </c>
      <c r="F731" s="9" t="s">
        <v>1374</v>
      </c>
      <c r="G731" s="79" t="s">
        <v>1303</v>
      </c>
      <c r="H731" s="9" t="s">
        <v>57</v>
      </c>
      <c r="I731" s="9" t="s">
        <v>48</v>
      </c>
      <c r="J731" s="9" t="s">
        <v>39</v>
      </c>
      <c r="K731" s="9">
        <v>1000</v>
      </c>
      <c r="L731" s="39"/>
      <c r="M731" s="7" t="s">
        <v>1</v>
      </c>
      <c r="N731" s="8"/>
      <c r="O731" s="40"/>
      <c r="P731" s="15" t="s">
        <v>220</v>
      </c>
      <c r="Q731" s="9" t="s">
        <v>264</v>
      </c>
      <c r="R731" s="9"/>
      <c r="S731" s="9"/>
      <c r="T731" s="9">
        <v>941597</v>
      </c>
      <c r="U731" s="16" t="s">
        <v>105</v>
      </c>
      <c r="V731" s="9">
        <v>3974226</v>
      </c>
      <c r="W731" s="8" t="s">
        <v>1383</v>
      </c>
      <c r="X731" s="8">
        <v>150</v>
      </c>
      <c r="Y731" s="8" t="s">
        <v>735</v>
      </c>
      <c r="Z731" s="8"/>
      <c r="AA731" s="8"/>
      <c r="AB731" s="8"/>
      <c r="AC731" s="8" t="s">
        <v>228</v>
      </c>
      <c r="AD731" s="14" t="s">
        <v>229</v>
      </c>
      <c r="AE731" s="8" t="s">
        <v>354</v>
      </c>
      <c r="AF731" s="14">
        <v>0.8</v>
      </c>
      <c r="AG731" s="8">
        <v>1220</v>
      </c>
      <c r="AH731" s="8">
        <v>0</v>
      </c>
      <c r="AI731" s="8">
        <v>112</v>
      </c>
      <c r="AJ731" s="8">
        <v>0</v>
      </c>
      <c r="AK731" s="127">
        <v>112</v>
      </c>
      <c r="AL731" s="103">
        <v>0</v>
      </c>
      <c r="AM731" s="8">
        <v>0</v>
      </c>
      <c r="AN731" s="21">
        <v>0</v>
      </c>
      <c r="AO731" s="21">
        <v>0</v>
      </c>
      <c r="AP731" s="21">
        <v>0</v>
      </c>
      <c r="AQ731" s="21">
        <v>0</v>
      </c>
      <c r="AR731" s="21">
        <v>0</v>
      </c>
      <c r="AS731" s="8">
        <v>0</v>
      </c>
      <c r="AT731" s="21">
        <v>0</v>
      </c>
      <c r="AU731" s="21">
        <v>0</v>
      </c>
      <c r="AV731" s="21">
        <v>0</v>
      </c>
      <c r="AW731" s="21">
        <v>0</v>
      </c>
      <c r="AX731" s="21">
        <v>0</v>
      </c>
      <c r="AY731" s="8">
        <v>0</v>
      </c>
    </row>
    <row r="732" spans="1:51" ht="15" customHeight="1" x14ac:dyDescent="0.25">
      <c r="A732" s="9">
        <v>743</v>
      </c>
      <c r="B732" s="13">
        <v>45770</v>
      </c>
      <c r="C732" s="9" t="s">
        <v>169</v>
      </c>
      <c r="D732" s="9">
        <v>9518715401</v>
      </c>
      <c r="E732" s="8">
        <v>2</v>
      </c>
      <c r="F732" s="9" t="s">
        <v>1375</v>
      </c>
      <c r="G732" s="79" t="s">
        <v>1303</v>
      </c>
      <c r="H732" s="9" t="s">
        <v>57</v>
      </c>
      <c r="I732" s="9" t="s">
        <v>38</v>
      </c>
      <c r="J732" s="9" t="s">
        <v>39</v>
      </c>
      <c r="K732" s="9">
        <v>1000</v>
      </c>
      <c r="L732" s="39"/>
      <c r="M732" s="7" t="s">
        <v>1</v>
      </c>
      <c r="N732" s="8"/>
      <c r="O732" s="40"/>
      <c r="P732" s="15" t="s">
        <v>220</v>
      </c>
      <c r="Q732" s="9" t="s">
        <v>264</v>
      </c>
      <c r="R732" s="9"/>
      <c r="S732" s="9"/>
      <c r="T732" s="9">
        <v>942284</v>
      </c>
      <c r="U732" s="16" t="s">
        <v>105</v>
      </c>
      <c r="V732" s="9">
        <v>3946364</v>
      </c>
      <c r="W732" s="8" t="s">
        <v>418</v>
      </c>
      <c r="X732" s="8">
        <v>150</v>
      </c>
      <c r="Y732" s="8" t="s">
        <v>175</v>
      </c>
      <c r="Z732" s="8"/>
      <c r="AA732" s="8"/>
      <c r="AB732" s="8"/>
      <c r="AC732" s="8" t="s">
        <v>222</v>
      </c>
      <c r="AD732" s="14" t="s">
        <v>223</v>
      </c>
      <c r="AE732" s="8" t="s">
        <v>417</v>
      </c>
      <c r="AF732" s="14">
        <v>0.5</v>
      </c>
      <c r="AG732" s="8">
        <v>1220</v>
      </c>
      <c r="AH732" s="8">
        <v>0</v>
      </c>
      <c r="AI732" s="8">
        <v>84</v>
      </c>
      <c r="AJ732" s="8">
        <v>0</v>
      </c>
      <c r="AK732" s="127">
        <v>84</v>
      </c>
      <c r="AL732" s="103">
        <v>0</v>
      </c>
      <c r="AM732" s="8">
        <v>84</v>
      </c>
      <c r="AN732" s="21">
        <v>0</v>
      </c>
      <c r="AO732" s="21">
        <v>0</v>
      </c>
      <c r="AP732" s="21">
        <v>0</v>
      </c>
      <c r="AQ732" s="21">
        <v>0</v>
      </c>
      <c r="AR732" s="21">
        <v>84</v>
      </c>
      <c r="AS732" s="8">
        <v>0</v>
      </c>
      <c r="AT732" s="21">
        <v>0</v>
      </c>
      <c r="AU732" s="21">
        <v>0</v>
      </c>
      <c r="AV732" s="21">
        <v>0</v>
      </c>
      <c r="AW732" s="21">
        <v>0</v>
      </c>
      <c r="AX732" s="21">
        <v>0</v>
      </c>
      <c r="AY732" s="8">
        <v>84</v>
      </c>
    </row>
    <row r="733" spans="1:51" ht="15" customHeight="1" x14ac:dyDescent="0.25">
      <c r="A733" s="9">
        <v>743</v>
      </c>
      <c r="B733" s="13">
        <v>45770</v>
      </c>
      <c r="C733" s="9" t="s">
        <v>169</v>
      </c>
      <c r="D733" s="9">
        <v>9518715401</v>
      </c>
      <c r="E733" s="8">
        <v>3</v>
      </c>
      <c r="F733" s="9" t="s">
        <v>1376</v>
      </c>
      <c r="G733" s="79" t="s">
        <v>1303</v>
      </c>
      <c r="H733" s="9" t="s">
        <v>57</v>
      </c>
      <c r="I733" s="9" t="s">
        <v>38</v>
      </c>
      <c r="J733" s="9" t="s">
        <v>39</v>
      </c>
      <c r="K733" s="9">
        <v>1000</v>
      </c>
      <c r="L733" s="39"/>
      <c r="M733" s="7" t="s">
        <v>1</v>
      </c>
      <c r="N733" s="8"/>
      <c r="O733" s="40"/>
      <c r="P733" s="15" t="s">
        <v>220</v>
      </c>
      <c r="Q733" s="9" t="s">
        <v>264</v>
      </c>
      <c r="R733" s="9"/>
      <c r="S733" s="9"/>
      <c r="T733" s="9">
        <v>942284</v>
      </c>
      <c r="U733" s="16" t="s">
        <v>105</v>
      </c>
      <c r="V733" s="9">
        <v>3946362</v>
      </c>
      <c r="W733" s="8" t="s">
        <v>416</v>
      </c>
      <c r="X733" s="8">
        <v>150</v>
      </c>
      <c r="Y733" s="8" t="s">
        <v>175</v>
      </c>
      <c r="Z733" s="8"/>
      <c r="AA733" s="8"/>
      <c r="AB733" s="8"/>
      <c r="AC733" s="8" t="s">
        <v>222</v>
      </c>
      <c r="AD733" s="14" t="s">
        <v>223</v>
      </c>
      <c r="AE733" s="8" t="s">
        <v>417</v>
      </c>
      <c r="AF733" s="14">
        <v>0.47</v>
      </c>
      <c r="AG733" s="8">
        <v>1220</v>
      </c>
      <c r="AH733" s="8">
        <v>0</v>
      </c>
      <c r="AI733" s="8">
        <v>224</v>
      </c>
      <c r="AJ733" s="8">
        <v>0</v>
      </c>
      <c r="AK733" s="127">
        <v>224</v>
      </c>
      <c r="AL733" s="103">
        <v>0</v>
      </c>
      <c r="AM733" s="8">
        <v>224</v>
      </c>
      <c r="AN733" s="21">
        <v>0</v>
      </c>
      <c r="AO733" s="21">
        <v>0</v>
      </c>
      <c r="AP733" s="21">
        <v>0</v>
      </c>
      <c r="AQ733" s="21">
        <v>224</v>
      </c>
      <c r="AR733" s="21">
        <v>0</v>
      </c>
      <c r="AS733" s="8">
        <v>224</v>
      </c>
      <c r="AT733" s="21">
        <v>0</v>
      </c>
      <c r="AU733" s="21">
        <v>0</v>
      </c>
      <c r="AV733" s="21">
        <v>0</v>
      </c>
      <c r="AW733" s="21">
        <v>0</v>
      </c>
      <c r="AX733" s="21">
        <v>224</v>
      </c>
      <c r="AY733" s="8">
        <v>0</v>
      </c>
    </row>
    <row r="734" spans="1:51" ht="15" customHeight="1" x14ac:dyDescent="0.25">
      <c r="A734" s="9">
        <v>743</v>
      </c>
      <c r="B734" s="13">
        <v>45770</v>
      </c>
      <c r="C734" s="9" t="s">
        <v>169</v>
      </c>
      <c r="D734" s="9">
        <v>9518715401</v>
      </c>
      <c r="E734" s="8">
        <v>4</v>
      </c>
      <c r="F734" s="9" t="s">
        <v>1377</v>
      </c>
      <c r="G734" s="79" t="s">
        <v>1303</v>
      </c>
      <c r="H734" s="9" t="s">
        <v>57</v>
      </c>
      <c r="I734" s="9" t="s">
        <v>38</v>
      </c>
      <c r="J734" s="9" t="s">
        <v>39</v>
      </c>
      <c r="K734" s="9">
        <v>1000</v>
      </c>
      <c r="L734" s="39"/>
      <c r="M734" s="7" t="s">
        <v>1</v>
      </c>
      <c r="N734" s="8"/>
      <c r="O734" s="40"/>
      <c r="P734" s="15" t="s">
        <v>220</v>
      </c>
      <c r="Q734" s="9" t="s">
        <v>264</v>
      </c>
      <c r="R734" s="9"/>
      <c r="S734" s="9"/>
      <c r="T734" s="9">
        <v>942284</v>
      </c>
      <c r="U734" s="16" t="s">
        <v>105</v>
      </c>
      <c r="V734" s="9">
        <v>3946364</v>
      </c>
      <c r="W734" s="8" t="s">
        <v>418</v>
      </c>
      <c r="X734" s="8">
        <v>150</v>
      </c>
      <c r="Y734" s="8" t="s">
        <v>175</v>
      </c>
      <c r="Z734" s="8"/>
      <c r="AA734" s="8"/>
      <c r="AB734" s="8"/>
      <c r="AC734" s="8" t="s">
        <v>222</v>
      </c>
      <c r="AD734" s="14" t="s">
        <v>223</v>
      </c>
      <c r="AE734" s="8" t="s">
        <v>417</v>
      </c>
      <c r="AF734" s="14">
        <v>0.5</v>
      </c>
      <c r="AG734" s="8">
        <v>1220</v>
      </c>
      <c r="AH734" s="8">
        <v>0</v>
      </c>
      <c r="AI734" s="8">
        <v>84</v>
      </c>
      <c r="AJ734" s="8">
        <v>0</v>
      </c>
      <c r="AK734" s="127">
        <v>84</v>
      </c>
      <c r="AL734" s="103">
        <v>0</v>
      </c>
      <c r="AM734" s="8">
        <v>84</v>
      </c>
      <c r="AN734" s="21">
        <v>0</v>
      </c>
      <c r="AO734" s="21">
        <v>0</v>
      </c>
      <c r="AP734" s="21">
        <v>84</v>
      </c>
      <c r="AQ734" s="21">
        <v>0</v>
      </c>
      <c r="AR734" s="21">
        <v>0</v>
      </c>
      <c r="AS734" s="8">
        <v>84</v>
      </c>
      <c r="AT734" s="21">
        <v>0</v>
      </c>
      <c r="AU734" s="21">
        <v>0</v>
      </c>
      <c r="AV734" s="21">
        <v>0</v>
      </c>
      <c r="AW734" s="21">
        <v>84</v>
      </c>
      <c r="AX734" s="21">
        <v>0</v>
      </c>
      <c r="AY734" s="8">
        <v>0</v>
      </c>
    </row>
    <row r="735" spans="1:51" ht="15" customHeight="1" x14ac:dyDescent="0.25">
      <c r="A735" s="9">
        <v>744</v>
      </c>
      <c r="B735" s="13">
        <v>45770</v>
      </c>
      <c r="C735" s="9" t="s">
        <v>169</v>
      </c>
      <c r="D735" s="9">
        <v>9518715371</v>
      </c>
      <c r="E735" s="8">
        <v>3</v>
      </c>
      <c r="F735" s="9" t="s">
        <v>1378</v>
      </c>
      <c r="G735" s="79" t="s">
        <v>1303</v>
      </c>
      <c r="H735" s="9" t="s">
        <v>57</v>
      </c>
      <c r="I735" s="9" t="s">
        <v>48</v>
      </c>
      <c r="J735" s="9" t="s">
        <v>39</v>
      </c>
      <c r="K735" s="9">
        <v>1000</v>
      </c>
      <c r="L735" s="39"/>
      <c r="M735" s="7" t="s">
        <v>1</v>
      </c>
      <c r="N735" s="8"/>
      <c r="O735" s="40"/>
      <c r="P735" s="15" t="s">
        <v>220</v>
      </c>
      <c r="Q735" s="9" t="s">
        <v>264</v>
      </c>
      <c r="R735" s="9"/>
      <c r="S735" s="9"/>
      <c r="T735" s="9">
        <v>940016</v>
      </c>
      <c r="U735" s="16" t="s">
        <v>133</v>
      </c>
      <c r="V735" s="9">
        <v>3522241</v>
      </c>
      <c r="W735" s="8" t="s">
        <v>348</v>
      </c>
      <c r="X735" s="8">
        <v>70</v>
      </c>
      <c r="Y735" s="8" t="s">
        <v>231</v>
      </c>
      <c r="Z735" s="8"/>
      <c r="AA735" s="8"/>
      <c r="AB735" s="8"/>
      <c r="AC735" s="8" t="s">
        <v>228</v>
      </c>
      <c r="AD735" s="14" t="s">
        <v>229</v>
      </c>
      <c r="AE735" s="8" t="s">
        <v>232</v>
      </c>
      <c r="AF735" s="14">
        <v>0.43</v>
      </c>
      <c r="AG735" s="8">
        <v>1220</v>
      </c>
      <c r="AH735" s="8">
        <v>0</v>
      </c>
      <c r="AI735" s="8">
        <v>280</v>
      </c>
      <c r="AJ735" s="8">
        <v>0</v>
      </c>
      <c r="AK735" s="127">
        <v>280</v>
      </c>
      <c r="AL735" s="103">
        <v>0</v>
      </c>
      <c r="AM735" s="8">
        <v>280</v>
      </c>
      <c r="AN735" s="21">
        <v>0</v>
      </c>
      <c r="AO735" s="21">
        <v>0</v>
      </c>
      <c r="AP735" s="21">
        <v>0</v>
      </c>
      <c r="AQ735" s="21">
        <v>0</v>
      </c>
      <c r="AR735" s="21">
        <v>280</v>
      </c>
      <c r="AS735" s="8">
        <v>280</v>
      </c>
      <c r="AT735" s="21">
        <v>0</v>
      </c>
      <c r="AU735" s="21">
        <v>0</v>
      </c>
      <c r="AV735" s="21">
        <v>0</v>
      </c>
      <c r="AW735" s="21">
        <v>0</v>
      </c>
      <c r="AX735" s="21">
        <v>280</v>
      </c>
      <c r="AY735" s="8">
        <v>0</v>
      </c>
    </row>
    <row r="736" spans="1:51" ht="15" customHeight="1" x14ac:dyDescent="0.25">
      <c r="A736" s="9">
        <v>744</v>
      </c>
      <c r="B736" s="13">
        <v>45770</v>
      </c>
      <c r="C736" s="9" t="s">
        <v>169</v>
      </c>
      <c r="D736" s="9">
        <v>9518715371</v>
      </c>
      <c r="E736" s="8">
        <v>4</v>
      </c>
      <c r="F736" s="9" t="s">
        <v>1379</v>
      </c>
      <c r="G736" s="79" t="s">
        <v>1303</v>
      </c>
      <c r="H736" s="9" t="s">
        <v>57</v>
      </c>
      <c r="I736" s="9" t="s">
        <v>48</v>
      </c>
      <c r="J736" s="9" t="s">
        <v>39</v>
      </c>
      <c r="K736" s="9">
        <v>1000</v>
      </c>
      <c r="L736" s="39"/>
      <c r="M736" s="7" t="s">
        <v>1</v>
      </c>
      <c r="N736" s="8"/>
      <c r="O736" s="40"/>
      <c r="P736" s="15" t="s">
        <v>220</v>
      </c>
      <c r="Q736" s="9" t="s">
        <v>264</v>
      </c>
      <c r="R736" s="9"/>
      <c r="S736" s="9"/>
      <c r="T736" s="9">
        <v>940016</v>
      </c>
      <c r="U736" s="16" t="s">
        <v>133</v>
      </c>
      <c r="V736" s="9">
        <v>3522241</v>
      </c>
      <c r="W736" s="8" t="s">
        <v>348</v>
      </c>
      <c r="X736" s="8">
        <v>70</v>
      </c>
      <c r="Y736" s="8" t="s">
        <v>231</v>
      </c>
      <c r="Z736" s="8"/>
      <c r="AA736" s="8"/>
      <c r="AB736" s="8"/>
      <c r="AC736" s="8" t="s">
        <v>228</v>
      </c>
      <c r="AD736" s="14" t="s">
        <v>229</v>
      </c>
      <c r="AE736" s="8" t="s">
        <v>232</v>
      </c>
      <c r="AF736" s="14">
        <v>0.43</v>
      </c>
      <c r="AG736" s="8">
        <v>1220</v>
      </c>
      <c r="AH736" s="8">
        <v>0</v>
      </c>
      <c r="AI736" s="8">
        <v>280</v>
      </c>
      <c r="AJ736" s="8">
        <v>0</v>
      </c>
      <c r="AK736" s="127">
        <v>280</v>
      </c>
      <c r="AL736" s="103">
        <v>0</v>
      </c>
      <c r="AM736" s="8">
        <v>280</v>
      </c>
      <c r="AN736" s="21">
        <v>0</v>
      </c>
      <c r="AO736" s="21">
        <v>0</v>
      </c>
      <c r="AP736" s="21">
        <v>0</v>
      </c>
      <c r="AQ736" s="21">
        <v>0</v>
      </c>
      <c r="AR736" s="21">
        <v>280</v>
      </c>
      <c r="AS736" s="8">
        <v>0</v>
      </c>
      <c r="AT736" s="21">
        <v>0</v>
      </c>
      <c r="AU736" s="21">
        <v>0</v>
      </c>
      <c r="AV736" s="21">
        <v>0</v>
      </c>
      <c r="AW736" s="21">
        <v>0</v>
      </c>
      <c r="AX736" s="21">
        <v>0</v>
      </c>
      <c r="AY736" s="8">
        <v>280</v>
      </c>
    </row>
    <row r="737" spans="1:51" ht="15" customHeight="1" x14ac:dyDescent="0.25">
      <c r="A737" s="9">
        <v>744</v>
      </c>
      <c r="B737" s="13">
        <v>45770</v>
      </c>
      <c r="C737" s="9" t="s">
        <v>169</v>
      </c>
      <c r="D737" s="9">
        <v>9518715371</v>
      </c>
      <c r="E737" s="8">
        <v>5</v>
      </c>
      <c r="F737" s="9" t="s">
        <v>1380</v>
      </c>
      <c r="G737" s="79" t="s">
        <v>1303</v>
      </c>
      <c r="H737" s="9" t="s">
        <v>57</v>
      </c>
      <c r="I737" s="9" t="s">
        <v>48</v>
      </c>
      <c r="J737" s="9" t="s">
        <v>39</v>
      </c>
      <c r="K737" s="9">
        <v>1000</v>
      </c>
      <c r="L737" s="39"/>
      <c r="M737" s="7" t="s">
        <v>1</v>
      </c>
      <c r="N737" s="8"/>
      <c r="O737" s="40"/>
      <c r="P737" s="15" t="s">
        <v>220</v>
      </c>
      <c r="Q737" s="9" t="s">
        <v>264</v>
      </c>
      <c r="R737" s="9"/>
      <c r="S737" s="9"/>
      <c r="T737" s="9">
        <v>940016</v>
      </c>
      <c r="U737" s="16" t="s">
        <v>133</v>
      </c>
      <c r="V737" s="9">
        <v>3522241</v>
      </c>
      <c r="W737" s="8" t="s">
        <v>348</v>
      </c>
      <c r="X737" s="8">
        <v>70</v>
      </c>
      <c r="Y737" s="8" t="s">
        <v>231</v>
      </c>
      <c r="Z737" s="8"/>
      <c r="AA737" s="8"/>
      <c r="AB737" s="8"/>
      <c r="AC737" s="8" t="s">
        <v>228</v>
      </c>
      <c r="AD737" s="14" t="s">
        <v>229</v>
      </c>
      <c r="AE737" s="8" t="s">
        <v>232</v>
      </c>
      <c r="AF737" s="14">
        <v>0.43</v>
      </c>
      <c r="AG737" s="8">
        <v>1220</v>
      </c>
      <c r="AH737" s="8">
        <v>0</v>
      </c>
      <c r="AI737" s="8">
        <v>280</v>
      </c>
      <c r="AJ737" s="8">
        <v>0</v>
      </c>
      <c r="AK737" s="127">
        <v>280</v>
      </c>
      <c r="AL737" s="103">
        <v>0</v>
      </c>
      <c r="AM737" s="8">
        <v>0</v>
      </c>
      <c r="AN737" s="21">
        <v>0</v>
      </c>
      <c r="AO737" s="21">
        <v>0</v>
      </c>
      <c r="AP737" s="21">
        <v>0</v>
      </c>
      <c r="AQ737" s="21">
        <v>0</v>
      </c>
      <c r="AR737" s="21">
        <v>0</v>
      </c>
      <c r="AS737" s="8">
        <v>0</v>
      </c>
      <c r="AT737" s="21">
        <v>0</v>
      </c>
      <c r="AU737" s="21">
        <v>0</v>
      </c>
      <c r="AV737" s="21">
        <v>0</v>
      </c>
      <c r="AW737" s="21">
        <v>0</v>
      </c>
      <c r="AX737" s="21">
        <v>0</v>
      </c>
      <c r="AY737" s="8">
        <v>0</v>
      </c>
    </row>
    <row r="738" spans="1:51" ht="15" customHeight="1" x14ac:dyDescent="0.25">
      <c r="A738" s="9">
        <v>744</v>
      </c>
      <c r="B738" s="13">
        <v>45770</v>
      </c>
      <c r="C738" s="9" t="s">
        <v>169</v>
      </c>
      <c r="D738" s="9">
        <v>9518715371</v>
      </c>
      <c r="E738" s="8">
        <v>6</v>
      </c>
      <c r="F738" s="9" t="s">
        <v>1381</v>
      </c>
      <c r="G738" s="79" t="s">
        <v>1303</v>
      </c>
      <c r="H738" s="9" t="s">
        <v>57</v>
      </c>
      <c r="I738" s="9" t="s">
        <v>48</v>
      </c>
      <c r="J738" s="9" t="s">
        <v>39</v>
      </c>
      <c r="K738" s="9">
        <v>1000</v>
      </c>
      <c r="L738" s="39"/>
      <c r="M738" s="7" t="s">
        <v>1</v>
      </c>
      <c r="N738" s="8"/>
      <c r="O738" s="40"/>
      <c r="P738" s="15" t="s">
        <v>220</v>
      </c>
      <c r="Q738" s="9" t="s">
        <v>264</v>
      </c>
      <c r="R738" s="9"/>
      <c r="S738" s="9"/>
      <c r="T738" s="9">
        <v>940016</v>
      </c>
      <c r="U738" s="16" t="s">
        <v>133</v>
      </c>
      <c r="V738" s="9">
        <v>3522241</v>
      </c>
      <c r="W738" s="8" t="s">
        <v>348</v>
      </c>
      <c r="X738" s="8">
        <v>70</v>
      </c>
      <c r="Y738" s="8" t="s">
        <v>1179</v>
      </c>
      <c r="Z738" s="8"/>
      <c r="AA738" s="8"/>
      <c r="AB738" s="8"/>
      <c r="AC738" s="8" t="s">
        <v>228</v>
      </c>
      <c r="AD738" s="14" t="s">
        <v>229</v>
      </c>
      <c r="AE738" s="8" t="s">
        <v>232</v>
      </c>
      <c r="AF738" s="14">
        <v>0.43</v>
      </c>
      <c r="AG738" s="8">
        <v>1220</v>
      </c>
      <c r="AH738" s="8">
        <v>0</v>
      </c>
      <c r="AI738" s="8">
        <v>56</v>
      </c>
      <c r="AJ738" s="8">
        <v>0</v>
      </c>
      <c r="AK738" s="127">
        <v>56</v>
      </c>
      <c r="AL738" s="103">
        <v>0</v>
      </c>
      <c r="AM738" s="8">
        <v>56</v>
      </c>
      <c r="AN738" s="21">
        <v>0</v>
      </c>
      <c r="AO738" s="21">
        <v>0</v>
      </c>
      <c r="AP738" s="21">
        <v>0</v>
      </c>
      <c r="AQ738" s="21">
        <v>0</v>
      </c>
      <c r="AR738" s="21">
        <v>56</v>
      </c>
      <c r="AS738" s="8">
        <v>0</v>
      </c>
      <c r="AT738" s="21">
        <v>0</v>
      </c>
      <c r="AU738" s="21">
        <v>0</v>
      </c>
      <c r="AV738" s="21">
        <v>0</v>
      </c>
      <c r="AW738" s="21">
        <v>0</v>
      </c>
      <c r="AX738" s="21">
        <v>0</v>
      </c>
      <c r="AY738" s="8">
        <v>56</v>
      </c>
    </row>
    <row r="739" spans="1:51" ht="15" customHeight="1" x14ac:dyDescent="0.25">
      <c r="A739" s="9">
        <v>743</v>
      </c>
      <c r="B739" s="13">
        <v>45770</v>
      </c>
      <c r="C739" s="9" t="s">
        <v>169</v>
      </c>
      <c r="D739" s="9">
        <v>9518714995</v>
      </c>
      <c r="E739" s="8">
        <v>1</v>
      </c>
      <c r="F739" s="9" t="s">
        <v>1384</v>
      </c>
      <c r="G739" s="79" t="s">
        <v>1303</v>
      </c>
      <c r="H739" s="9" t="s">
        <v>57</v>
      </c>
      <c r="I739" s="9" t="s">
        <v>38</v>
      </c>
      <c r="J739" s="9" t="s">
        <v>55</v>
      </c>
      <c r="K739" s="9">
        <v>1000</v>
      </c>
      <c r="L739" s="39"/>
      <c r="M739" s="7" t="s">
        <v>1</v>
      </c>
      <c r="N739" s="8"/>
      <c r="O739" s="40"/>
      <c r="P739" s="15" t="s">
        <v>207</v>
      </c>
      <c r="Q739" s="9" t="s">
        <v>180</v>
      </c>
      <c r="R739" s="9"/>
      <c r="S739" s="9"/>
      <c r="T739" s="9">
        <v>101122</v>
      </c>
      <c r="U739" s="16" t="s">
        <v>740</v>
      </c>
      <c r="V739" s="9">
        <v>3988091</v>
      </c>
      <c r="W739" s="8" t="s">
        <v>741</v>
      </c>
      <c r="X739" s="8">
        <v>70</v>
      </c>
      <c r="Y739" s="8"/>
      <c r="Z739" s="8"/>
      <c r="AA739" s="8"/>
      <c r="AB739" s="8"/>
      <c r="AC739" s="8" t="s">
        <v>222</v>
      </c>
      <c r="AD739" s="14" t="s">
        <v>223</v>
      </c>
      <c r="AE739" s="8" t="s">
        <v>301</v>
      </c>
      <c r="AF739" s="14">
        <v>0.44</v>
      </c>
      <c r="AG739" s="8">
        <v>1240</v>
      </c>
      <c r="AH739" s="8">
        <v>0</v>
      </c>
      <c r="AI739" s="8">
        <v>252</v>
      </c>
      <c r="AJ739" s="8">
        <v>0</v>
      </c>
      <c r="AK739" s="127">
        <v>100.69</v>
      </c>
      <c r="AL739" s="103">
        <v>207.50499999999997</v>
      </c>
      <c r="AM739" s="8">
        <v>100.69</v>
      </c>
      <c r="AN739" s="21">
        <v>100.69</v>
      </c>
      <c r="AO739" s="21">
        <v>0</v>
      </c>
      <c r="AP739" s="21">
        <v>0</v>
      </c>
      <c r="AQ739" s="21">
        <v>0</v>
      </c>
      <c r="AR739" s="21">
        <v>0</v>
      </c>
      <c r="AS739" s="8">
        <v>308.19499999999994</v>
      </c>
      <c r="AT739" s="21">
        <v>0</v>
      </c>
      <c r="AU739" s="21">
        <v>308.19499999999994</v>
      </c>
      <c r="AV739" s="21">
        <v>0</v>
      </c>
      <c r="AW739" s="21">
        <v>0</v>
      </c>
      <c r="AX739" s="21">
        <v>0</v>
      </c>
      <c r="AY739" s="8">
        <v>0</v>
      </c>
    </row>
    <row r="740" spans="1:51" ht="15" customHeight="1" x14ac:dyDescent="0.25">
      <c r="A740" s="9">
        <v>743</v>
      </c>
      <c r="B740" s="13">
        <v>45770</v>
      </c>
      <c r="C740" s="9" t="s">
        <v>169</v>
      </c>
      <c r="D740" s="9">
        <v>9518714995</v>
      </c>
      <c r="E740" s="8">
        <v>2</v>
      </c>
      <c r="F740" s="9" t="s">
        <v>1385</v>
      </c>
      <c r="G740" s="79" t="s">
        <v>1303</v>
      </c>
      <c r="H740" s="9" t="s">
        <v>57</v>
      </c>
      <c r="I740" s="9" t="s">
        <v>38</v>
      </c>
      <c r="J740" s="9" t="s">
        <v>55</v>
      </c>
      <c r="K740" s="9">
        <v>1000</v>
      </c>
      <c r="L740" s="39"/>
      <c r="M740" s="7" t="s">
        <v>1</v>
      </c>
      <c r="N740" s="8"/>
      <c r="O740" s="40"/>
      <c r="P740" s="15" t="s">
        <v>207</v>
      </c>
      <c r="Q740" s="9" t="s">
        <v>180</v>
      </c>
      <c r="R740" s="9"/>
      <c r="S740" s="9"/>
      <c r="T740" s="9">
        <v>101122</v>
      </c>
      <c r="U740" s="16" t="s">
        <v>740</v>
      </c>
      <c r="V740" s="9">
        <v>3988091</v>
      </c>
      <c r="W740" s="8" t="s">
        <v>741</v>
      </c>
      <c r="X740" s="8">
        <v>70</v>
      </c>
      <c r="Y740" s="8"/>
      <c r="Z740" s="8"/>
      <c r="AA740" s="8"/>
      <c r="AB740" s="8"/>
      <c r="AC740" s="8" t="s">
        <v>222</v>
      </c>
      <c r="AD740" s="14" t="s">
        <v>223</v>
      </c>
      <c r="AE740" s="8" t="s">
        <v>301</v>
      </c>
      <c r="AF740" s="14">
        <v>0.44</v>
      </c>
      <c r="AG740" s="8">
        <v>1240</v>
      </c>
      <c r="AH740" s="8">
        <v>0</v>
      </c>
      <c r="AI740" s="8">
        <v>252</v>
      </c>
      <c r="AJ740" s="8">
        <v>0</v>
      </c>
      <c r="AK740" s="127">
        <v>172.565</v>
      </c>
      <c r="AL740" s="103">
        <v>107.34</v>
      </c>
      <c r="AM740" s="8">
        <v>172.565</v>
      </c>
      <c r="AN740" s="21">
        <v>172.565</v>
      </c>
      <c r="AO740" s="21">
        <v>0</v>
      </c>
      <c r="AP740" s="21">
        <v>0</v>
      </c>
      <c r="AQ740" s="21">
        <v>0</v>
      </c>
      <c r="AR740" s="21">
        <v>0</v>
      </c>
      <c r="AS740" s="8">
        <v>279.90499999999997</v>
      </c>
      <c r="AT740" s="21">
        <v>0</v>
      </c>
      <c r="AU740" s="21">
        <v>279.90499999999997</v>
      </c>
      <c r="AV740" s="21">
        <v>0</v>
      </c>
      <c r="AW740" s="21">
        <v>0</v>
      </c>
      <c r="AX740" s="21">
        <v>0</v>
      </c>
      <c r="AY740" s="8">
        <v>0</v>
      </c>
    </row>
    <row r="741" spans="1:51" ht="15" customHeight="1" x14ac:dyDescent="0.25">
      <c r="A741" s="9">
        <v>743</v>
      </c>
      <c r="B741" s="13">
        <v>45770</v>
      </c>
      <c r="C741" s="9" t="s">
        <v>169</v>
      </c>
      <c r="D741" s="9">
        <v>9518714995</v>
      </c>
      <c r="E741" s="8">
        <v>3</v>
      </c>
      <c r="F741" s="9" t="s">
        <v>1386</v>
      </c>
      <c r="G741" s="79" t="s">
        <v>1303</v>
      </c>
      <c r="H741" s="9" t="s">
        <v>57</v>
      </c>
      <c r="I741" s="9" t="s">
        <v>38</v>
      </c>
      <c r="J741" s="9" t="s">
        <v>55</v>
      </c>
      <c r="K741" s="9">
        <v>1000</v>
      </c>
      <c r="L741" s="39">
        <v>1400</v>
      </c>
      <c r="M741" s="7" t="s">
        <v>1</v>
      </c>
      <c r="N741" s="8"/>
      <c r="O741" s="40"/>
      <c r="P741" s="15" t="s">
        <v>207</v>
      </c>
      <c r="Q741" s="9" t="s">
        <v>180</v>
      </c>
      <c r="R741" s="9"/>
      <c r="S741" s="9"/>
      <c r="T741" s="9">
        <v>101122</v>
      </c>
      <c r="U741" s="16" t="s">
        <v>740</v>
      </c>
      <c r="V741" s="9">
        <v>3988091</v>
      </c>
      <c r="W741" s="8" t="s">
        <v>741</v>
      </c>
      <c r="X741" s="8">
        <v>70</v>
      </c>
      <c r="Y741" s="8"/>
      <c r="Z741" s="8"/>
      <c r="AA741" s="8"/>
      <c r="AB741" s="8"/>
      <c r="AC741" s="8" t="s">
        <v>222</v>
      </c>
      <c r="AD741" s="14" t="s">
        <v>223</v>
      </c>
      <c r="AE741" s="8" t="s">
        <v>301</v>
      </c>
      <c r="AF741" s="14">
        <v>0.44</v>
      </c>
      <c r="AG741" s="8">
        <v>1240</v>
      </c>
      <c r="AH741" s="8">
        <v>0</v>
      </c>
      <c r="AI741" s="8">
        <v>252</v>
      </c>
      <c r="AJ741" s="8">
        <v>0</v>
      </c>
      <c r="AK741" s="127">
        <v>252</v>
      </c>
      <c r="AL741" s="103">
        <v>13.29</v>
      </c>
      <c r="AM741" s="8">
        <v>252</v>
      </c>
      <c r="AN741" s="21">
        <v>0</v>
      </c>
      <c r="AO741" s="21">
        <v>252</v>
      </c>
      <c r="AP741" s="21">
        <v>0</v>
      </c>
      <c r="AQ741" s="21">
        <v>0</v>
      </c>
      <c r="AR741" s="21">
        <v>0</v>
      </c>
      <c r="AS741" s="8">
        <v>265.29000000000002</v>
      </c>
      <c r="AT741" s="21">
        <v>0</v>
      </c>
      <c r="AU741" s="21">
        <v>0</v>
      </c>
      <c r="AV741" s="21">
        <v>265.29000000000002</v>
      </c>
      <c r="AW741" s="21">
        <v>0</v>
      </c>
      <c r="AX741" s="21">
        <v>0</v>
      </c>
      <c r="AY741" s="8">
        <v>0</v>
      </c>
    </row>
    <row r="742" spans="1:51" ht="15" customHeight="1" x14ac:dyDescent="0.25">
      <c r="A742" s="9">
        <v>743</v>
      </c>
      <c r="B742" s="13">
        <v>45770</v>
      </c>
      <c r="C742" s="9" t="s">
        <v>169</v>
      </c>
      <c r="D742" s="9">
        <v>9518714995</v>
      </c>
      <c r="E742" s="8">
        <v>4</v>
      </c>
      <c r="F742" s="9" t="s">
        <v>1387</v>
      </c>
      <c r="G742" s="79" t="s">
        <v>1303</v>
      </c>
      <c r="H742" s="9" t="s">
        <v>57</v>
      </c>
      <c r="I742" s="9" t="s">
        <v>38</v>
      </c>
      <c r="J742" s="9" t="s">
        <v>55</v>
      </c>
      <c r="K742" s="9">
        <v>1000</v>
      </c>
      <c r="L742" s="39"/>
      <c r="M742" s="7" t="s">
        <v>1</v>
      </c>
      <c r="N742" s="8"/>
      <c r="O742" s="40"/>
      <c r="P742" s="15" t="s">
        <v>207</v>
      </c>
      <c r="Q742" s="9" t="s">
        <v>180</v>
      </c>
      <c r="R742" s="9"/>
      <c r="S742" s="9"/>
      <c r="T742" s="9">
        <v>101122</v>
      </c>
      <c r="U742" s="16" t="s">
        <v>740</v>
      </c>
      <c r="V742" s="9">
        <v>3988091</v>
      </c>
      <c r="W742" s="8" t="s">
        <v>741</v>
      </c>
      <c r="X742" s="8">
        <v>70</v>
      </c>
      <c r="Y742" s="8"/>
      <c r="Z742" s="8"/>
      <c r="AA742" s="8"/>
      <c r="AB742" s="8"/>
      <c r="AC742" s="8" t="s">
        <v>222</v>
      </c>
      <c r="AD742" s="14" t="s">
        <v>223</v>
      </c>
      <c r="AE742" s="8" t="s">
        <v>301</v>
      </c>
      <c r="AF742" s="14">
        <v>0.44</v>
      </c>
      <c r="AG742" s="8">
        <v>1240</v>
      </c>
      <c r="AH742" s="8">
        <v>0</v>
      </c>
      <c r="AI742" s="8">
        <v>252</v>
      </c>
      <c r="AJ742" s="8">
        <v>0</v>
      </c>
      <c r="AK742" s="127">
        <v>252</v>
      </c>
      <c r="AL742" s="103">
        <v>0</v>
      </c>
      <c r="AM742" s="8">
        <v>252</v>
      </c>
      <c r="AN742" s="21">
        <v>0</v>
      </c>
      <c r="AO742" s="21">
        <v>252</v>
      </c>
      <c r="AP742" s="21">
        <v>0</v>
      </c>
      <c r="AQ742" s="21">
        <v>0</v>
      </c>
      <c r="AR742" s="21">
        <v>0</v>
      </c>
      <c r="AS742" s="8">
        <v>252</v>
      </c>
      <c r="AT742" s="21">
        <v>0</v>
      </c>
      <c r="AU742" s="21">
        <v>0</v>
      </c>
      <c r="AV742" s="21">
        <v>252</v>
      </c>
      <c r="AW742" s="21">
        <v>0</v>
      </c>
      <c r="AX742" s="21">
        <v>0</v>
      </c>
      <c r="AY742" s="8">
        <v>0</v>
      </c>
    </row>
    <row r="743" spans="1:51" ht="15" customHeight="1" x14ac:dyDescent="0.25">
      <c r="A743" s="9">
        <v>743</v>
      </c>
      <c r="B743" s="13">
        <v>45770</v>
      </c>
      <c r="C743" s="9" t="s">
        <v>169</v>
      </c>
      <c r="D743" s="9">
        <v>9518714995</v>
      </c>
      <c r="E743" s="8">
        <v>5</v>
      </c>
      <c r="F743" s="9" t="s">
        <v>1388</v>
      </c>
      <c r="G743" s="79" t="s">
        <v>1303</v>
      </c>
      <c r="H743" s="9" t="s">
        <v>57</v>
      </c>
      <c r="I743" s="9" t="s">
        <v>38</v>
      </c>
      <c r="J743" s="9" t="s">
        <v>55</v>
      </c>
      <c r="K743" s="9">
        <v>1000</v>
      </c>
      <c r="L743" s="39"/>
      <c r="M743" s="7" t="s">
        <v>1</v>
      </c>
      <c r="N743" s="8"/>
      <c r="O743" s="40"/>
      <c r="P743" s="15" t="s">
        <v>207</v>
      </c>
      <c r="Q743" s="9" t="s">
        <v>180</v>
      </c>
      <c r="R743" s="9"/>
      <c r="S743" s="9"/>
      <c r="T743" s="9">
        <v>101122</v>
      </c>
      <c r="U743" s="16" t="s">
        <v>740</v>
      </c>
      <c r="V743" s="9">
        <v>3988091</v>
      </c>
      <c r="W743" s="8" t="s">
        <v>741</v>
      </c>
      <c r="X743" s="8">
        <v>70</v>
      </c>
      <c r="Y743" s="8"/>
      <c r="Z743" s="8"/>
      <c r="AA743" s="8"/>
      <c r="AB743" s="8"/>
      <c r="AC743" s="8" t="s">
        <v>222</v>
      </c>
      <c r="AD743" s="14" t="s">
        <v>223</v>
      </c>
      <c r="AE743" s="8" t="s">
        <v>301</v>
      </c>
      <c r="AF743" s="14">
        <v>0.44</v>
      </c>
      <c r="AG743" s="8">
        <v>1240</v>
      </c>
      <c r="AH743" s="8">
        <v>0</v>
      </c>
      <c r="AI743" s="8">
        <v>252</v>
      </c>
      <c r="AJ743" s="8">
        <v>0</v>
      </c>
      <c r="AK743" s="127">
        <v>252</v>
      </c>
      <c r="AL743" s="103">
        <v>0</v>
      </c>
      <c r="AM743" s="8">
        <v>252</v>
      </c>
      <c r="AN743" s="21">
        <v>0</v>
      </c>
      <c r="AO743" s="21">
        <v>0</v>
      </c>
      <c r="AP743" s="21">
        <v>0</v>
      </c>
      <c r="AQ743" s="21">
        <v>252</v>
      </c>
      <c r="AR743" s="21">
        <v>0</v>
      </c>
      <c r="AS743" s="8">
        <v>252</v>
      </c>
      <c r="AT743" s="21">
        <v>0</v>
      </c>
      <c r="AU743" s="21">
        <v>0</v>
      </c>
      <c r="AV743" s="21">
        <v>0</v>
      </c>
      <c r="AW743" s="21">
        <v>0</v>
      </c>
      <c r="AX743" s="21">
        <v>252</v>
      </c>
      <c r="AY743" s="8">
        <v>0</v>
      </c>
    </row>
    <row r="744" spans="1:51" ht="15" customHeight="1" x14ac:dyDescent="0.25">
      <c r="A744" s="9">
        <v>743</v>
      </c>
      <c r="B744" s="13">
        <v>45770</v>
      </c>
      <c r="C744" s="9" t="s">
        <v>169</v>
      </c>
      <c r="D744" s="9">
        <v>9518714995</v>
      </c>
      <c r="E744" s="8">
        <v>6</v>
      </c>
      <c r="F744" s="9" t="s">
        <v>1389</v>
      </c>
      <c r="G744" s="79" t="s">
        <v>1303</v>
      </c>
      <c r="H744" s="9" t="s">
        <v>57</v>
      </c>
      <c r="I744" s="9" t="s">
        <v>38</v>
      </c>
      <c r="J744" s="9" t="s">
        <v>55</v>
      </c>
      <c r="K744" s="9">
        <v>1000</v>
      </c>
      <c r="L744" s="39"/>
      <c r="M744" s="7" t="s">
        <v>1</v>
      </c>
      <c r="N744" s="8"/>
      <c r="O744" s="40"/>
      <c r="P744" s="15" t="s">
        <v>207</v>
      </c>
      <c r="Q744" s="9" t="s">
        <v>180</v>
      </c>
      <c r="R744" s="9"/>
      <c r="S744" s="9"/>
      <c r="T744" s="9">
        <v>101122</v>
      </c>
      <c r="U744" s="16" t="s">
        <v>740</v>
      </c>
      <c r="V744" s="9">
        <v>3988091</v>
      </c>
      <c r="W744" s="8" t="s">
        <v>741</v>
      </c>
      <c r="X744" s="8">
        <v>70</v>
      </c>
      <c r="Y744" s="8"/>
      <c r="Z744" s="8"/>
      <c r="AA744" s="8"/>
      <c r="AB744" s="8"/>
      <c r="AC744" s="8" t="s">
        <v>222</v>
      </c>
      <c r="AD744" s="14" t="s">
        <v>223</v>
      </c>
      <c r="AE744" s="8" t="s">
        <v>301</v>
      </c>
      <c r="AF744" s="14">
        <v>0.44</v>
      </c>
      <c r="AG744" s="8">
        <v>1240</v>
      </c>
      <c r="AH744" s="8">
        <v>0</v>
      </c>
      <c r="AI744" s="8">
        <v>252</v>
      </c>
      <c r="AJ744" s="8">
        <v>0</v>
      </c>
      <c r="AK744" s="127">
        <v>252</v>
      </c>
      <c r="AL744" s="103">
        <v>0</v>
      </c>
      <c r="AM744" s="8">
        <v>252</v>
      </c>
      <c r="AN744" s="21">
        <v>0</v>
      </c>
      <c r="AO744" s="21">
        <v>0</v>
      </c>
      <c r="AP744" s="21">
        <v>0</v>
      </c>
      <c r="AQ744" s="21">
        <v>0</v>
      </c>
      <c r="AR744" s="21">
        <v>252</v>
      </c>
      <c r="AS744" s="8">
        <v>0</v>
      </c>
      <c r="AT744" s="21">
        <v>0</v>
      </c>
      <c r="AU744" s="21">
        <v>0</v>
      </c>
      <c r="AV744" s="21">
        <v>0</v>
      </c>
      <c r="AW744" s="21">
        <v>0</v>
      </c>
      <c r="AX744" s="21">
        <v>0</v>
      </c>
      <c r="AY744" s="8">
        <v>252</v>
      </c>
    </row>
    <row r="745" spans="1:51" ht="15" customHeight="1" x14ac:dyDescent="0.25">
      <c r="A745" s="9">
        <v>742</v>
      </c>
      <c r="B745" s="13"/>
      <c r="C745" s="9"/>
      <c r="D745" s="9"/>
      <c r="E745" s="8"/>
      <c r="F745" s="9"/>
      <c r="G745" s="79" t="s">
        <v>1303</v>
      </c>
      <c r="H745" s="9" t="s">
        <v>1393</v>
      </c>
      <c r="I745" s="9" t="s">
        <v>25</v>
      </c>
      <c r="J745" s="9" t="s">
        <v>1411</v>
      </c>
      <c r="K745" s="9">
        <v>1000</v>
      </c>
      <c r="L745" s="39">
        <v>500</v>
      </c>
      <c r="M745" s="7" t="s">
        <v>1</v>
      </c>
      <c r="N745" s="8"/>
      <c r="O745" s="40"/>
      <c r="P745" s="15"/>
      <c r="Q745" s="9"/>
      <c r="R745" s="9"/>
      <c r="S745" s="9"/>
      <c r="T745" s="9"/>
      <c r="U745" s="16"/>
      <c r="V745" s="9"/>
      <c r="W745" s="8"/>
      <c r="X745" s="8"/>
      <c r="Y745" s="8"/>
      <c r="Z745" s="8"/>
      <c r="AA745" s="8"/>
      <c r="AB745" s="8"/>
      <c r="AC745" s="8"/>
      <c r="AD745" s="14"/>
      <c r="AE745" s="8"/>
      <c r="AF745" s="14"/>
      <c r="AG745" s="8"/>
      <c r="AH745" s="8"/>
      <c r="AI745" s="8"/>
      <c r="AJ745" s="8"/>
      <c r="AK745" s="127">
        <v>500</v>
      </c>
      <c r="AL745" s="103">
        <v>0</v>
      </c>
      <c r="AM745" s="8">
        <v>300</v>
      </c>
      <c r="AN745" s="21">
        <v>0</v>
      </c>
      <c r="AO745" s="21">
        <v>0</v>
      </c>
      <c r="AP745" s="21">
        <v>0</v>
      </c>
      <c r="AQ745" s="21">
        <v>0</v>
      </c>
      <c r="AR745" s="21">
        <v>300</v>
      </c>
      <c r="AS745" s="8">
        <v>0</v>
      </c>
      <c r="AT745" s="21">
        <v>0</v>
      </c>
      <c r="AU745" s="21">
        <v>0</v>
      </c>
      <c r="AV745" s="21">
        <v>0</v>
      </c>
      <c r="AW745" s="21">
        <v>0</v>
      </c>
      <c r="AX745" s="21">
        <v>0</v>
      </c>
      <c r="AY745" s="8">
        <v>300</v>
      </c>
    </row>
    <row r="746" spans="1:51" ht="15" customHeight="1" x14ac:dyDescent="0.25">
      <c r="A746" s="9">
        <v>743</v>
      </c>
      <c r="B746" s="13">
        <v>45771</v>
      </c>
      <c r="C746" s="9" t="s">
        <v>169</v>
      </c>
      <c r="D746" s="9">
        <v>9518716203</v>
      </c>
      <c r="E746" s="8">
        <v>1</v>
      </c>
      <c r="F746" s="9" t="s">
        <v>1398</v>
      </c>
      <c r="G746" s="79" t="s">
        <v>1303</v>
      </c>
      <c r="H746" s="9" t="s">
        <v>57</v>
      </c>
      <c r="I746" s="9" t="s">
        <v>43</v>
      </c>
      <c r="J746" s="9" t="s">
        <v>1311</v>
      </c>
      <c r="K746" s="9" t="s">
        <v>170</v>
      </c>
      <c r="L746" s="39"/>
      <c r="M746" s="7" t="s">
        <v>1</v>
      </c>
      <c r="N746" s="8"/>
      <c r="O746" s="40"/>
      <c r="P746" s="15" t="s">
        <v>1397</v>
      </c>
      <c r="Q746" s="9" t="s">
        <v>188</v>
      </c>
      <c r="R746" s="9"/>
      <c r="S746" s="9"/>
      <c r="T746" s="9">
        <v>931911</v>
      </c>
      <c r="U746" s="16" t="s">
        <v>1396</v>
      </c>
      <c r="V746" s="9">
        <v>1854410</v>
      </c>
      <c r="W746" s="8" t="s">
        <v>394</v>
      </c>
      <c r="X746" s="8"/>
      <c r="Y746" s="8"/>
      <c r="Z746" s="8"/>
      <c r="AA746" s="8"/>
      <c r="AB746" s="8"/>
      <c r="AC746" s="8" t="s">
        <v>238</v>
      </c>
      <c r="AD746" s="14" t="s">
        <v>185</v>
      </c>
      <c r="AE746" s="8" t="s">
        <v>186</v>
      </c>
      <c r="AF746" s="14">
        <v>0.4</v>
      </c>
      <c r="AG746" s="8">
        <v>1220</v>
      </c>
      <c r="AH746" s="8">
        <v>0</v>
      </c>
      <c r="AI746" s="8">
        <v>28</v>
      </c>
      <c r="AJ746" s="8">
        <v>0</v>
      </c>
      <c r="AK746" s="127">
        <v>28</v>
      </c>
      <c r="AL746" s="103">
        <v>0</v>
      </c>
      <c r="AM746" s="8">
        <v>28</v>
      </c>
      <c r="AN746" s="21">
        <v>0</v>
      </c>
      <c r="AO746" s="21">
        <v>0</v>
      </c>
      <c r="AP746" s="21">
        <v>28</v>
      </c>
      <c r="AQ746" s="21">
        <v>0</v>
      </c>
      <c r="AR746" s="21">
        <v>0</v>
      </c>
      <c r="AS746" s="8">
        <v>28</v>
      </c>
      <c r="AT746" s="21">
        <v>0</v>
      </c>
      <c r="AU746" s="21">
        <v>0</v>
      </c>
      <c r="AV746" s="21">
        <v>0</v>
      </c>
      <c r="AW746" s="21">
        <v>28</v>
      </c>
      <c r="AX746" s="21">
        <v>0</v>
      </c>
      <c r="AY746" s="8">
        <v>0</v>
      </c>
    </row>
    <row r="747" spans="1:51" ht="15" customHeight="1" x14ac:dyDescent="0.25">
      <c r="A747" s="9">
        <v>743</v>
      </c>
      <c r="B747" s="13">
        <v>45771</v>
      </c>
      <c r="C747" s="9" t="s">
        <v>169</v>
      </c>
      <c r="D747" s="9">
        <v>9518716203</v>
      </c>
      <c r="E747" s="8">
        <v>2</v>
      </c>
      <c r="F747" s="9" t="s">
        <v>1399</v>
      </c>
      <c r="G747" s="79" t="s">
        <v>1303</v>
      </c>
      <c r="H747" s="9" t="s">
        <v>57</v>
      </c>
      <c r="I747" s="9" t="s">
        <v>43</v>
      </c>
      <c r="J747" s="9" t="s">
        <v>1311</v>
      </c>
      <c r="K747" s="9" t="s">
        <v>170</v>
      </c>
      <c r="L747" s="39"/>
      <c r="M747" s="7" t="s">
        <v>1</v>
      </c>
      <c r="N747" s="8"/>
      <c r="O747" s="40"/>
      <c r="P747" s="15" t="s">
        <v>1397</v>
      </c>
      <c r="Q747" s="9" t="s">
        <v>188</v>
      </c>
      <c r="R747" s="9"/>
      <c r="S747" s="9"/>
      <c r="T747" s="9">
        <v>931911</v>
      </c>
      <c r="U747" s="16" t="s">
        <v>1396</v>
      </c>
      <c r="V747" s="9">
        <v>1851097</v>
      </c>
      <c r="W747" s="8" t="s">
        <v>431</v>
      </c>
      <c r="X747" s="8"/>
      <c r="Y747" s="8"/>
      <c r="Z747" s="8"/>
      <c r="AA747" s="8"/>
      <c r="AB747" s="8"/>
      <c r="AC747" s="8" t="s">
        <v>238</v>
      </c>
      <c r="AD747" s="14" t="s">
        <v>185</v>
      </c>
      <c r="AE747" s="8" t="s">
        <v>186</v>
      </c>
      <c r="AF747" s="14">
        <v>0.45</v>
      </c>
      <c r="AG747" s="8">
        <v>1220</v>
      </c>
      <c r="AH747" s="8">
        <v>0</v>
      </c>
      <c r="AI747" s="8">
        <v>28</v>
      </c>
      <c r="AJ747" s="8">
        <v>0</v>
      </c>
      <c r="AK747" s="127">
        <v>28</v>
      </c>
      <c r="AL747" s="103">
        <v>0</v>
      </c>
      <c r="AM747" s="8">
        <v>28</v>
      </c>
      <c r="AN747" s="21">
        <v>0</v>
      </c>
      <c r="AO747" s="21">
        <v>0</v>
      </c>
      <c r="AP747" s="21">
        <v>28</v>
      </c>
      <c r="AQ747" s="21">
        <v>0</v>
      </c>
      <c r="AR747" s="21">
        <v>0</v>
      </c>
      <c r="AS747" s="8">
        <v>0</v>
      </c>
      <c r="AT747" s="21">
        <v>0</v>
      </c>
      <c r="AU747" s="21">
        <v>0</v>
      </c>
      <c r="AV747" s="21">
        <v>0</v>
      </c>
      <c r="AW747" s="21">
        <v>0</v>
      </c>
      <c r="AX747" s="21">
        <v>0</v>
      </c>
      <c r="AY747" s="8">
        <v>28</v>
      </c>
    </row>
    <row r="748" spans="1:51" ht="15" customHeight="1" x14ac:dyDescent="0.25">
      <c r="A748" s="9">
        <v>743</v>
      </c>
      <c r="B748" s="13">
        <v>45771</v>
      </c>
      <c r="C748" s="9" t="s">
        <v>169</v>
      </c>
      <c r="D748" s="9">
        <v>9518716203</v>
      </c>
      <c r="E748" s="8">
        <v>3</v>
      </c>
      <c r="F748" s="9" t="s">
        <v>1400</v>
      </c>
      <c r="G748" s="79" t="s">
        <v>1303</v>
      </c>
      <c r="H748" s="9" t="s">
        <v>57</v>
      </c>
      <c r="I748" s="9" t="s">
        <v>43</v>
      </c>
      <c r="J748" s="9" t="s">
        <v>1311</v>
      </c>
      <c r="K748" s="9" t="s">
        <v>170</v>
      </c>
      <c r="L748" s="39"/>
      <c r="M748" s="7" t="s">
        <v>1</v>
      </c>
      <c r="N748" s="8"/>
      <c r="O748" s="40"/>
      <c r="P748" s="15" t="s">
        <v>1397</v>
      </c>
      <c r="Q748" s="9" t="s">
        <v>188</v>
      </c>
      <c r="R748" s="9"/>
      <c r="S748" s="9"/>
      <c r="T748" s="9">
        <v>931911</v>
      </c>
      <c r="U748" s="16" t="s">
        <v>1396</v>
      </c>
      <c r="V748" s="9">
        <v>1851101</v>
      </c>
      <c r="W748" s="8" t="s">
        <v>432</v>
      </c>
      <c r="X748" s="8"/>
      <c r="Y748" s="8"/>
      <c r="Z748" s="8"/>
      <c r="AA748" s="8"/>
      <c r="AB748" s="8"/>
      <c r="AC748" s="8" t="s">
        <v>238</v>
      </c>
      <c r="AD748" s="14" t="s">
        <v>185</v>
      </c>
      <c r="AE748" s="8" t="s">
        <v>186</v>
      </c>
      <c r="AF748" s="14">
        <v>0.5</v>
      </c>
      <c r="AG748" s="8">
        <v>1220</v>
      </c>
      <c r="AH748" s="8">
        <v>0</v>
      </c>
      <c r="AI748" s="8">
        <v>28</v>
      </c>
      <c r="AJ748" s="8">
        <v>0</v>
      </c>
      <c r="AK748" s="127">
        <v>28</v>
      </c>
      <c r="AL748" s="103">
        <v>0</v>
      </c>
      <c r="AM748" s="8">
        <v>28</v>
      </c>
      <c r="AN748" s="21">
        <v>0</v>
      </c>
      <c r="AO748" s="21">
        <v>0</v>
      </c>
      <c r="AP748" s="21">
        <v>28</v>
      </c>
      <c r="AQ748" s="21">
        <v>0</v>
      </c>
      <c r="AR748" s="21">
        <v>0</v>
      </c>
      <c r="AS748" s="8">
        <v>0</v>
      </c>
      <c r="AT748" s="21">
        <v>0</v>
      </c>
      <c r="AU748" s="21">
        <v>0</v>
      </c>
      <c r="AV748" s="21">
        <v>0</v>
      </c>
      <c r="AW748" s="21">
        <v>0</v>
      </c>
      <c r="AX748" s="21">
        <v>0</v>
      </c>
      <c r="AY748" s="8">
        <v>28</v>
      </c>
    </row>
    <row r="749" spans="1:51" ht="15" customHeight="1" x14ac:dyDescent="0.25">
      <c r="A749" s="9">
        <v>743</v>
      </c>
      <c r="B749" s="13">
        <v>45771</v>
      </c>
      <c r="C749" s="9" t="s">
        <v>169</v>
      </c>
      <c r="D749" s="9">
        <v>9518716203</v>
      </c>
      <c r="E749" s="8">
        <v>4</v>
      </c>
      <c r="F749" s="9" t="s">
        <v>1401</v>
      </c>
      <c r="G749" s="79" t="s">
        <v>1303</v>
      </c>
      <c r="H749" s="9" t="s">
        <v>57</v>
      </c>
      <c r="I749" s="9" t="s">
        <v>43</v>
      </c>
      <c r="J749" s="9" t="s">
        <v>1311</v>
      </c>
      <c r="K749" s="9" t="s">
        <v>170</v>
      </c>
      <c r="L749" s="39"/>
      <c r="M749" s="7" t="s">
        <v>1</v>
      </c>
      <c r="N749" s="8"/>
      <c r="O749" s="40"/>
      <c r="P749" s="15" t="s">
        <v>1397</v>
      </c>
      <c r="Q749" s="9" t="s">
        <v>188</v>
      </c>
      <c r="R749" s="9"/>
      <c r="S749" s="9"/>
      <c r="T749" s="9">
        <v>931911</v>
      </c>
      <c r="U749" s="16" t="s">
        <v>1396</v>
      </c>
      <c r="V749" s="9">
        <v>1334725</v>
      </c>
      <c r="W749" s="8" t="s">
        <v>475</v>
      </c>
      <c r="X749" s="8"/>
      <c r="Y749" s="8"/>
      <c r="Z749" s="8"/>
      <c r="AA749" s="8"/>
      <c r="AB749" s="8"/>
      <c r="AC749" s="8" t="s">
        <v>238</v>
      </c>
      <c r="AD749" s="14" t="s">
        <v>185</v>
      </c>
      <c r="AE749" s="8" t="s">
        <v>186</v>
      </c>
      <c r="AF749" s="14">
        <v>0.6</v>
      </c>
      <c r="AG749" s="8">
        <v>1220</v>
      </c>
      <c r="AH749" s="8">
        <v>0</v>
      </c>
      <c r="AI749" s="8">
        <v>28</v>
      </c>
      <c r="AJ749" s="8">
        <v>0</v>
      </c>
      <c r="AK749" s="127">
        <v>28</v>
      </c>
      <c r="AL749" s="103">
        <v>0</v>
      </c>
      <c r="AM749" s="8">
        <v>28</v>
      </c>
      <c r="AN749" s="21">
        <v>0</v>
      </c>
      <c r="AO749" s="21">
        <v>0</v>
      </c>
      <c r="AP749" s="21">
        <v>28</v>
      </c>
      <c r="AQ749" s="21">
        <v>0</v>
      </c>
      <c r="AR749" s="21">
        <v>0</v>
      </c>
      <c r="AS749" s="8">
        <v>0</v>
      </c>
      <c r="AT749" s="21">
        <v>0</v>
      </c>
      <c r="AU749" s="21">
        <v>0</v>
      </c>
      <c r="AV749" s="21">
        <v>0</v>
      </c>
      <c r="AW749" s="21">
        <v>0</v>
      </c>
      <c r="AX749" s="21">
        <v>0</v>
      </c>
      <c r="AY749" s="8">
        <v>28</v>
      </c>
    </row>
    <row r="750" spans="1:51" ht="15" customHeight="1" x14ac:dyDescent="0.25">
      <c r="A750" s="9">
        <v>743</v>
      </c>
      <c r="B750" s="13">
        <v>45769</v>
      </c>
      <c r="C750" s="9" t="s">
        <v>169</v>
      </c>
      <c r="D750" s="9">
        <v>9518712210</v>
      </c>
      <c r="E750" s="8">
        <v>7</v>
      </c>
      <c r="F750" s="9" t="s">
        <v>1415</v>
      </c>
      <c r="G750" s="79" t="s">
        <v>1446</v>
      </c>
      <c r="H750" s="9" t="s">
        <v>57</v>
      </c>
      <c r="I750" s="9" t="s">
        <v>38</v>
      </c>
      <c r="J750" s="9" t="s">
        <v>39</v>
      </c>
      <c r="K750" s="9" t="s">
        <v>233</v>
      </c>
      <c r="L750" s="39"/>
      <c r="M750" s="7" t="s">
        <v>1</v>
      </c>
      <c r="N750" s="8"/>
      <c r="O750" s="40"/>
      <c r="P750" s="15"/>
      <c r="Q750" s="9" t="s">
        <v>264</v>
      </c>
      <c r="R750" s="9" t="s">
        <v>265</v>
      </c>
      <c r="S750" s="9"/>
      <c r="T750" s="9">
        <v>942283</v>
      </c>
      <c r="U750" s="16" t="s">
        <v>106</v>
      </c>
      <c r="V750" s="9">
        <v>1881969</v>
      </c>
      <c r="W750" s="8" t="s">
        <v>428</v>
      </c>
      <c r="X750" s="8" t="s">
        <v>317</v>
      </c>
      <c r="Y750" s="8"/>
      <c r="Z750" s="8">
        <v>3</v>
      </c>
      <c r="AA750" s="8">
        <v>5</v>
      </c>
      <c r="AB750" s="8"/>
      <c r="AC750" s="8" t="s">
        <v>222</v>
      </c>
      <c r="AD750" s="14" t="s">
        <v>223</v>
      </c>
      <c r="AE750" s="8" t="s">
        <v>224</v>
      </c>
      <c r="AF750" s="14">
        <v>0.45</v>
      </c>
      <c r="AG750" s="8">
        <v>1220</v>
      </c>
      <c r="AH750" s="8">
        <v>0</v>
      </c>
      <c r="AI750" s="8">
        <v>196</v>
      </c>
      <c r="AJ750" s="8">
        <v>0</v>
      </c>
      <c r="AK750" s="127">
        <v>196</v>
      </c>
      <c r="AL750" s="103">
        <v>0</v>
      </c>
      <c r="AM750" s="8">
        <v>196</v>
      </c>
      <c r="AN750" s="21">
        <v>0</v>
      </c>
      <c r="AO750" s="21">
        <v>0</v>
      </c>
      <c r="AP750" s="21">
        <v>0</v>
      </c>
      <c r="AQ750" s="21">
        <v>196</v>
      </c>
      <c r="AR750" s="21">
        <v>0</v>
      </c>
      <c r="AS750" s="8">
        <v>196</v>
      </c>
      <c r="AT750" s="21">
        <v>0</v>
      </c>
      <c r="AU750" s="21">
        <v>0</v>
      </c>
      <c r="AV750" s="21">
        <v>0</v>
      </c>
      <c r="AW750" s="21">
        <v>0</v>
      </c>
      <c r="AX750" s="21">
        <v>196</v>
      </c>
      <c r="AY750" s="8">
        <v>0</v>
      </c>
    </row>
    <row r="751" spans="1:51" ht="15" customHeight="1" x14ac:dyDescent="0.25">
      <c r="A751" s="9">
        <v>743</v>
      </c>
      <c r="B751" s="13">
        <v>45769</v>
      </c>
      <c r="C751" s="9" t="s">
        <v>169</v>
      </c>
      <c r="D751" s="9">
        <v>9518712491</v>
      </c>
      <c r="E751" s="8">
        <v>1</v>
      </c>
      <c r="F751" s="9" t="s">
        <v>1416</v>
      </c>
      <c r="G751" s="79" t="s">
        <v>1446</v>
      </c>
      <c r="H751" s="9" t="s">
        <v>57</v>
      </c>
      <c r="I751" s="9" t="s">
        <v>38</v>
      </c>
      <c r="J751" s="9" t="s">
        <v>41</v>
      </c>
      <c r="K751" s="9" t="s">
        <v>233</v>
      </c>
      <c r="L751" s="39"/>
      <c r="M751" s="7" t="s">
        <v>1</v>
      </c>
      <c r="N751" s="8"/>
      <c r="O751" s="40"/>
      <c r="P751" s="15"/>
      <c r="Q751" s="9" t="s">
        <v>214</v>
      </c>
      <c r="R751" s="9" t="s">
        <v>450</v>
      </c>
      <c r="S751" s="9"/>
      <c r="T751" s="9">
        <v>947775</v>
      </c>
      <c r="U751" s="16" t="s">
        <v>451</v>
      </c>
      <c r="V751" s="9">
        <v>3886090</v>
      </c>
      <c r="W751" s="8" t="s">
        <v>1438</v>
      </c>
      <c r="X751" s="8" t="s">
        <v>317</v>
      </c>
      <c r="Y751" s="8"/>
      <c r="Z751" s="8">
        <v>10</v>
      </c>
      <c r="AA751" s="8">
        <v>25</v>
      </c>
      <c r="AB751" s="8"/>
      <c r="AC751" s="8" t="s">
        <v>222</v>
      </c>
      <c r="AD751" s="14" t="s">
        <v>223</v>
      </c>
      <c r="AE751" s="8" t="s">
        <v>368</v>
      </c>
      <c r="AF751" s="14">
        <v>0.9</v>
      </c>
      <c r="AG751" s="8">
        <v>1250</v>
      </c>
      <c r="AH751" s="8">
        <v>0</v>
      </c>
      <c r="AI751" s="8">
        <v>116</v>
      </c>
      <c r="AJ751" s="8">
        <v>0</v>
      </c>
      <c r="AK751" s="127">
        <v>116</v>
      </c>
      <c r="AL751" s="103">
        <v>0</v>
      </c>
      <c r="AM751" s="8">
        <v>116</v>
      </c>
      <c r="AN751" s="21">
        <v>0</v>
      </c>
      <c r="AO751" s="21">
        <v>0</v>
      </c>
      <c r="AP751" s="21">
        <v>0</v>
      </c>
      <c r="AQ751" s="21">
        <v>0</v>
      </c>
      <c r="AR751" s="21">
        <v>116</v>
      </c>
      <c r="AS751" s="8">
        <v>116</v>
      </c>
      <c r="AT751" s="21">
        <v>0</v>
      </c>
      <c r="AU751" s="21">
        <v>0</v>
      </c>
      <c r="AV751" s="21">
        <v>0</v>
      </c>
      <c r="AW751" s="21">
        <v>0</v>
      </c>
      <c r="AX751" s="21">
        <v>116</v>
      </c>
      <c r="AY751" s="8">
        <v>0</v>
      </c>
    </row>
    <row r="752" spans="1:51" ht="15" customHeight="1" x14ac:dyDescent="0.25">
      <c r="A752" s="9">
        <v>743</v>
      </c>
      <c r="B752" s="13">
        <v>45769</v>
      </c>
      <c r="C752" s="9" t="s">
        <v>169</v>
      </c>
      <c r="D752" s="9">
        <v>9518711518</v>
      </c>
      <c r="E752" s="8">
        <v>1</v>
      </c>
      <c r="F752" s="9" t="s">
        <v>1417</v>
      </c>
      <c r="G752" s="9" t="s">
        <v>1303</v>
      </c>
      <c r="H752" s="9" t="s">
        <v>57</v>
      </c>
      <c r="I752" s="9" t="s">
        <v>38</v>
      </c>
      <c r="J752" s="9" t="s">
        <v>39</v>
      </c>
      <c r="K752" s="9" t="s">
        <v>233</v>
      </c>
      <c r="L752" s="39"/>
      <c r="M752" s="7" t="s">
        <v>1</v>
      </c>
      <c r="N752" s="8"/>
      <c r="O752" s="40"/>
      <c r="P752" s="15"/>
      <c r="Q752" s="9" t="s">
        <v>264</v>
      </c>
      <c r="R752" s="9" t="s">
        <v>256</v>
      </c>
      <c r="S752" s="9"/>
      <c r="T752" s="9">
        <v>942294</v>
      </c>
      <c r="U752" s="16" t="s">
        <v>106</v>
      </c>
      <c r="V752" s="9">
        <v>3946362</v>
      </c>
      <c r="W752" s="8" t="s">
        <v>416</v>
      </c>
      <c r="X752" s="8" t="s">
        <v>317</v>
      </c>
      <c r="Y752" s="8"/>
      <c r="Z752" s="8">
        <v>3</v>
      </c>
      <c r="AA752" s="8">
        <v>5</v>
      </c>
      <c r="AB752" s="8"/>
      <c r="AC752" s="8" t="s">
        <v>222</v>
      </c>
      <c r="AD752" s="14" t="s">
        <v>223</v>
      </c>
      <c r="AE752" s="8" t="s">
        <v>417</v>
      </c>
      <c r="AF752" s="14">
        <v>0.47</v>
      </c>
      <c r="AG752" s="8">
        <v>1220</v>
      </c>
      <c r="AH752" s="8">
        <v>0</v>
      </c>
      <c r="AI752" s="8">
        <v>280</v>
      </c>
      <c r="AJ752" s="8">
        <v>0</v>
      </c>
      <c r="AK752" s="127">
        <v>280</v>
      </c>
      <c r="AL752" s="103">
        <v>0</v>
      </c>
      <c r="AM752" s="8">
        <v>280</v>
      </c>
      <c r="AN752" s="21">
        <v>0</v>
      </c>
      <c r="AO752" s="21">
        <v>0</v>
      </c>
      <c r="AP752" s="21">
        <v>0</v>
      </c>
      <c r="AQ752" s="21">
        <v>280</v>
      </c>
      <c r="AR752" s="21">
        <v>0</v>
      </c>
      <c r="AS752" s="8">
        <v>0</v>
      </c>
      <c r="AT752" s="21">
        <v>0</v>
      </c>
      <c r="AU752" s="21">
        <v>0</v>
      </c>
      <c r="AV752" s="21">
        <v>0</v>
      </c>
      <c r="AW752" s="21">
        <v>0</v>
      </c>
      <c r="AX752" s="21">
        <v>0</v>
      </c>
      <c r="AY752" s="8">
        <v>280</v>
      </c>
    </row>
    <row r="753" spans="1:51" ht="15" customHeight="1" x14ac:dyDescent="0.25">
      <c r="A753" s="9">
        <v>742</v>
      </c>
      <c r="B753" s="13">
        <v>45764</v>
      </c>
      <c r="C753" s="9" t="s">
        <v>193</v>
      </c>
      <c r="D753" s="9">
        <v>4000504653</v>
      </c>
      <c r="E753" s="8">
        <v>2</v>
      </c>
      <c r="F753" s="125" t="s">
        <v>1418</v>
      </c>
      <c r="G753" s="79" t="s">
        <v>1446</v>
      </c>
      <c r="H753" s="9" t="s">
        <v>57</v>
      </c>
      <c r="I753" s="9" t="s">
        <v>50</v>
      </c>
      <c r="J753" s="9" t="s">
        <v>33</v>
      </c>
      <c r="K753" s="9" t="s">
        <v>170</v>
      </c>
      <c r="L753" s="39"/>
      <c r="M753" s="7" t="s">
        <v>1</v>
      </c>
      <c r="N753" s="8"/>
      <c r="O753" s="40"/>
      <c r="P753" s="15"/>
      <c r="Q753" s="9" t="s">
        <v>214</v>
      </c>
      <c r="R753" s="9" t="s">
        <v>240</v>
      </c>
      <c r="S753" s="9"/>
      <c r="T753" s="9">
        <v>650789</v>
      </c>
      <c r="U753" s="16" t="s">
        <v>1434</v>
      </c>
      <c r="V753" s="9">
        <v>3226987</v>
      </c>
      <c r="W753" s="8" t="s">
        <v>241</v>
      </c>
      <c r="X753" s="8" t="s">
        <v>265</v>
      </c>
      <c r="Y753" s="8"/>
      <c r="Z753" s="8">
        <v>10</v>
      </c>
      <c r="AA753" s="8">
        <v>27</v>
      </c>
      <c r="AB753" s="8"/>
      <c r="AC753" s="8">
        <v>768</v>
      </c>
      <c r="AD753" s="14" t="s">
        <v>242</v>
      </c>
      <c r="AE753" s="8" t="s">
        <v>243</v>
      </c>
      <c r="AF753" s="14">
        <v>1.9</v>
      </c>
      <c r="AG753" s="8">
        <v>1250</v>
      </c>
      <c r="AH753" s="8">
        <v>0</v>
      </c>
      <c r="AI753" s="8">
        <v>250</v>
      </c>
      <c r="AJ753" s="8">
        <v>0</v>
      </c>
      <c r="AK753" s="127">
        <v>250</v>
      </c>
      <c r="AL753" s="103">
        <v>0</v>
      </c>
      <c r="AM753" s="8">
        <v>250</v>
      </c>
      <c r="AN753" s="21">
        <v>0</v>
      </c>
      <c r="AO753" s="21">
        <v>0</v>
      </c>
      <c r="AP753" s="21">
        <v>0</v>
      </c>
      <c r="AQ753" s="21">
        <v>250</v>
      </c>
      <c r="AR753" s="21">
        <v>0</v>
      </c>
      <c r="AS753" s="8">
        <v>250</v>
      </c>
      <c r="AT753" s="21">
        <v>0</v>
      </c>
      <c r="AU753" s="21">
        <v>0</v>
      </c>
      <c r="AV753" s="21">
        <v>0</v>
      </c>
      <c r="AW753" s="21">
        <v>0</v>
      </c>
      <c r="AX753" s="21">
        <v>250</v>
      </c>
      <c r="AY753" s="8">
        <v>0</v>
      </c>
    </row>
    <row r="754" spans="1:51" ht="15" customHeight="1" x14ac:dyDescent="0.25">
      <c r="A754" s="9">
        <v>742</v>
      </c>
      <c r="B754" s="13">
        <v>45764</v>
      </c>
      <c r="C754" s="9" t="s">
        <v>193</v>
      </c>
      <c r="D754" s="9">
        <v>4000504653</v>
      </c>
      <c r="E754" s="8">
        <v>3</v>
      </c>
      <c r="F754" s="125" t="s">
        <v>1419</v>
      </c>
      <c r="G754" s="79" t="s">
        <v>1446</v>
      </c>
      <c r="H754" s="9" t="s">
        <v>57</v>
      </c>
      <c r="I754" s="9" t="s">
        <v>50</v>
      </c>
      <c r="J754" s="9" t="s">
        <v>33</v>
      </c>
      <c r="K754" s="9" t="s">
        <v>170</v>
      </c>
      <c r="L754" s="39"/>
      <c r="M754" s="7" t="s">
        <v>1</v>
      </c>
      <c r="N754" s="8"/>
      <c r="O754" s="40"/>
      <c r="P754" s="15"/>
      <c r="Q754" s="9" t="s">
        <v>214</v>
      </c>
      <c r="R754" s="9" t="s">
        <v>240</v>
      </c>
      <c r="S754" s="9"/>
      <c r="T754" s="9">
        <v>650789</v>
      </c>
      <c r="U754" s="16" t="s">
        <v>1434</v>
      </c>
      <c r="V754" s="9">
        <v>1210083</v>
      </c>
      <c r="W754" s="8" t="s">
        <v>305</v>
      </c>
      <c r="X754" s="8" t="s">
        <v>265</v>
      </c>
      <c r="Y754" s="8"/>
      <c r="Z754" s="8">
        <v>10</v>
      </c>
      <c r="AA754" s="8">
        <v>27</v>
      </c>
      <c r="AB754" s="8"/>
      <c r="AC754" s="8">
        <v>768</v>
      </c>
      <c r="AD754" s="14" t="s">
        <v>242</v>
      </c>
      <c r="AE754" s="8" t="s">
        <v>243</v>
      </c>
      <c r="AF754" s="14">
        <v>2</v>
      </c>
      <c r="AG754" s="8">
        <v>1250</v>
      </c>
      <c r="AH754" s="8">
        <v>0</v>
      </c>
      <c r="AI754" s="8">
        <v>200</v>
      </c>
      <c r="AJ754" s="8">
        <v>0</v>
      </c>
      <c r="AK754" s="127">
        <v>200</v>
      </c>
      <c r="AL754" s="103">
        <v>0</v>
      </c>
      <c r="AM754" s="8">
        <v>200</v>
      </c>
      <c r="AN754" s="21">
        <v>0</v>
      </c>
      <c r="AO754" s="21">
        <v>200</v>
      </c>
      <c r="AP754" s="21">
        <v>0</v>
      </c>
      <c r="AQ754" s="21">
        <v>0</v>
      </c>
      <c r="AR754" s="21">
        <v>0</v>
      </c>
      <c r="AS754" s="8">
        <v>200</v>
      </c>
      <c r="AT754" s="21">
        <v>0</v>
      </c>
      <c r="AU754" s="21">
        <v>0</v>
      </c>
      <c r="AV754" s="21">
        <v>200</v>
      </c>
      <c r="AW754" s="21">
        <v>0</v>
      </c>
      <c r="AX754" s="21">
        <v>0</v>
      </c>
      <c r="AY754" s="8">
        <v>0</v>
      </c>
    </row>
    <row r="755" spans="1:51" ht="15" customHeight="1" x14ac:dyDescent="0.25">
      <c r="A755" s="9">
        <v>742</v>
      </c>
      <c r="B755" s="13">
        <v>45764</v>
      </c>
      <c r="C755" s="9" t="s">
        <v>193</v>
      </c>
      <c r="D755" s="9">
        <v>4000504653</v>
      </c>
      <c r="E755" s="8">
        <v>4</v>
      </c>
      <c r="F755" s="125" t="s">
        <v>1420</v>
      </c>
      <c r="G755" s="79" t="s">
        <v>1446</v>
      </c>
      <c r="H755" s="9" t="s">
        <v>57</v>
      </c>
      <c r="I755" s="9" t="s">
        <v>50</v>
      </c>
      <c r="J755" s="9" t="s">
        <v>33</v>
      </c>
      <c r="K755" s="9" t="s">
        <v>170</v>
      </c>
      <c r="L755" s="39">
        <v>700</v>
      </c>
      <c r="M755" s="7" t="s">
        <v>1</v>
      </c>
      <c r="N755" s="8"/>
      <c r="O755" s="40"/>
      <c r="P755" s="15"/>
      <c r="Q755" s="9" t="s">
        <v>214</v>
      </c>
      <c r="R755" s="9" t="s">
        <v>240</v>
      </c>
      <c r="S755" s="9"/>
      <c r="T755" s="9">
        <v>650789</v>
      </c>
      <c r="U755" s="16" t="s">
        <v>1434</v>
      </c>
      <c r="V755" s="9">
        <v>1371338</v>
      </c>
      <c r="W755" s="8" t="s">
        <v>362</v>
      </c>
      <c r="X755" s="8" t="s">
        <v>265</v>
      </c>
      <c r="Y755" s="8"/>
      <c r="Z755" s="8">
        <v>10</v>
      </c>
      <c r="AA755" s="8">
        <v>27</v>
      </c>
      <c r="AB755" s="8"/>
      <c r="AC755" s="8">
        <v>768</v>
      </c>
      <c r="AD755" s="14" t="s">
        <v>242</v>
      </c>
      <c r="AE755" s="8" t="s">
        <v>243</v>
      </c>
      <c r="AF755" s="14">
        <v>2.2999999999999998</v>
      </c>
      <c r="AG755" s="8">
        <v>1250</v>
      </c>
      <c r="AH755" s="8">
        <v>0</v>
      </c>
      <c r="AI755" s="8">
        <v>200</v>
      </c>
      <c r="AJ755" s="8">
        <v>0</v>
      </c>
      <c r="AK755" s="127">
        <v>200</v>
      </c>
      <c r="AL755" s="103">
        <v>0</v>
      </c>
      <c r="AM755" s="8">
        <v>200</v>
      </c>
      <c r="AN755" s="21">
        <v>0</v>
      </c>
      <c r="AO755" s="21">
        <v>0</v>
      </c>
      <c r="AP755" s="21">
        <v>200</v>
      </c>
      <c r="AQ755" s="21">
        <v>0</v>
      </c>
      <c r="AR755" s="21">
        <v>0</v>
      </c>
      <c r="AS755" s="8">
        <v>200</v>
      </c>
      <c r="AT755" s="21">
        <v>0</v>
      </c>
      <c r="AU755" s="21">
        <v>0</v>
      </c>
      <c r="AV755" s="21">
        <v>0</v>
      </c>
      <c r="AW755" s="21">
        <v>200</v>
      </c>
      <c r="AX755" s="21">
        <v>0</v>
      </c>
      <c r="AY755" s="8">
        <v>0</v>
      </c>
    </row>
    <row r="756" spans="1:51" ht="15" customHeight="1" x14ac:dyDescent="0.25">
      <c r="A756" s="9">
        <v>742</v>
      </c>
      <c r="B756" s="13">
        <v>45764</v>
      </c>
      <c r="C756" s="9" t="s">
        <v>193</v>
      </c>
      <c r="D756" s="9">
        <v>4000504653</v>
      </c>
      <c r="E756" s="8">
        <v>5</v>
      </c>
      <c r="F756" s="125" t="s">
        <v>1421</v>
      </c>
      <c r="G756" s="79" t="s">
        <v>1446</v>
      </c>
      <c r="H756" s="9" t="s">
        <v>57</v>
      </c>
      <c r="I756" s="9" t="s">
        <v>50</v>
      </c>
      <c r="J756" s="9" t="s">
        <v>33</v>
      </c>
      <c r="K756" s="9" t="s">
        <v>170</v>
      </c>
      <c r="L756" s="39"/>
      <c r="M756" s="7" t="s">
        <v>1</v>
      </c>
      <c r="N756" s="8"/>
      <c r="O756" s="40"/>
      <c r="P756" s="15"/>
      <c r="Q756" s="9" t="s">
        <v>214</v>
      </c>
      <c r="R756" s="9" t="s">
        <v>240</v>
      </c>
      <c r="S756" s="9"/>
      <c r="T756" s="9">
        <v>650789</v>
      </c>
      <c r="U756" s="16" t="s">
        <v>1434</v>
      </c>
      <c r="V756" s="9">
        <v>1250221</v>
      </c>
      <c r="W756" s="8" t="s">
        <v>313</v>
      </c>
      <c r="X756" s="8" t="s">
        <v>265</v>
      </c>
      <c r="Y756" s="8"/>
      <c r="Z756" s="8">
        <v>10</v>
      </c>
      <c r="AA756" s="8">
        <v>25</v>
      </c>
      <c r="AB756" s="8"/>
      <c r="AC756" s="8">
        <v>768</v>
      </c>
      <c r="AD756" s="14" t="s">
        <v>242</v>
      </c>
      <c r="AE756" s="8" t="s">
        <v>243</v>
      </c>
      <c r="AF756" s="14">
        <v>2.5</v>
      </c>
      <c r="AG756" s="8">
        <v>1250</v>
      </c>
      <c r="AH756" s="8">
        <v>0</v>
      </c>
      <c r="AI756" s="8">
        <v>300</v>
      </c>
      <c r="AJ756" s="8">
        <v>0</v>
      </c>
      <c r="AK756" s="127">
        <v>300</v>
      </c>
      <c r="AL756" s="103">
        <v>0</v>
      </c>
      <c r="AM756" s="8">
        <v>300</v>
      </c>
      <c r="AN756" s="21">
        <v>0</v>
      </c>
      <c r="AO756" s="21">
        <v>0</v>
      </c>
      <c r="AP756" s="21">
        <v>300</v>
      </c>
      <c r="AQ756" s="21">
        <v>0</v>
      </c>
      <c r="AR756" s="21">
        <v>0</v>
      </c>
      <c r="AS756" s="8">
        <v>300</v>
      </c>
      <c r="AT756" s="21">
        <v>0</v>
      </c>
      <c r="AU756" s="21">
        <v>0</v>
      </c>
      <c r="AV756" s="21">
        <v>0</v>
      </c>
      <c r="AW756" s="21">
        <v>300</v>
      </c>
      <c r="AX756" s="21">
        <v>0</v>
      </c>
      <c r="AY756" s="8">
        <v>0</v>
      </c>
    </row>
    <row r="757" spans="1:51" ht="15" customHeight="1" x14ac:dyDescent="0.25">
      <c r="A757" s="9">
        <v>742</v>
      </c>
      <c r="B757" s="13">
        <v>45768</v>
      </c>
      <c r="C757" s="9" t="s">
        <v>193</v>
      </c>
      <c r="D757" s="9">
        <v>9518709061</v>
      </c>
      <c r="E757" s="8">
        <v>3</v>
      </c>
      <c r="F757" s="9" t="s">
        <v>1422</v>
      </c>
      <c r="G757" s="79" t="s">
        <v>1446</v>
      </c>
      <c r="H757" s="9" t="s">
        <v>57</v>
      </c>
      <c r="I757" s="9" t="s">
        <v>35</v>
      </c>
      <c r="J757" s="9" t="s">
        <v>33</v>
      </c>
      <c r="K757" s="9" t="s">
        <v>170</v>
      </c>
      <c r="L757" s="39">
        <v>400</v>
      </c>
      <c r="M757" s="7" t="s">
        <v>1</v>
      </c>
      <c r="N757" s="8"/>
      <c r="O757" s="40"/>
      <c r="P757" s="15"/>
      <c r="Q757" s="9" t="s">
        <v>214</v>
      </c>
      <c r="R757" s="9" t="s">
        <v>240</v>
      </c>
      <c r="S757" s="9"/>
      <c r="T757" s="9">
        <v>650742</v>
      </c>
      <c r="U757" s="16" t="s">
        <v>101</v>
      </c>
      <c r="V757" s="9">
        <v>2324172</v>
      </c>
      <c r="W757" s="8" t="s">
        <v>1308</v>
      </c>
      <c r="X757" s="8" t="s">
        <v>265</v>
      </c>
      <c r="Y757" s="8"/>
      <c r="Z757" s="8">
        <v>10</v>
      </c>
      <c r="AA757" s="8">
        <v>27</v>
      </c>
      <c r="AB757" s="8"/>
      <c r="AC757" s="8" t="s">
        <v>292</v>
      </c>
      <c r="AD757" s="14" t="s">
        <v>293</v>
      </c>
      <c r="AE757" s="8" t="s">
        <v>1310</v>
      </c>
      <c r="AF757" s="14">
        <v>1</v>
      </c>
      <c r="AG757" s="8">
        <v>1250</v>
      </c>
      <c r="AH757" s="8">
        <v>0</v>
      </c>
      <c r="AI757" s="8">
        <v>116</v>
      </c>
      <c r="AJ757" s="8">
        <v>0</v>
      </c>
      <c r="AK757" s="127">
        <v>116</v>
      </c>
      <c r="AL757" s="103">
        <v>0</v>
      </c>
      <c r="AM757" s="8">
        <v>116</v>
      </c>
      <c r="AN757" s="21">
        <v>0</v>
      </c>
      <c r="AO757" s="21">
        <v>0</v>
      </c>
      <c r="AP757" s="21">
        <v>116</v>
      </c>
      <c r="AQ757" s="21">
        <v>0</v>
      </c>
      <c r="AR757" s="21">
        <v>0</v>
      </c>
      <c r="AS757" s="8">
        <v>116</v>
      </c>
      <c r="AT757" s="21">
        <v>0</v>
      </c>
      <c r="AU757" s="21">
        <v>0</v>
      </c>
      <c r="AV757" s="21">
        <v>0</v>
      </c>
      <c r="AW757" s="21">
        <v>116</v>
      </c>
      <c r="AX757" s="21">
        <v>0</v>
      </c>
      <c r="AY757" s="8">
        <v>0</v>
      </c>
    </row>
    <row r="758" spans="1:51" ht="15" customHeight="1" x14ac:dyDescent="0.25">
      <c r="A758" s="9">
        <v>742</v>
      </c>
      <c r="B758" s="13">
        <v>45768</v>
      </c>
      <c r="C758" s="9" t="s">
        <v>193</v>
      </c>
      <c r="D758" s="9">
        <v>9518709061</v>
      </c>
      <c r="E758" s="8">
        <v>4</v>
      </c>
      <c r="F758" s="9" t="s">
        <v>1423</v>
      </c>
      <c r="G758" s="79" t="s">
        <v>1446</v>
      </c>
      <c r="H758" s="9" t="s">
        <v>57</v>
      </c>
      <c r="I758" s="9" t="s">
        <v>35</v>
      </c>
      <c r="J758" s="9" t="s">
        <v>33</v>
      </c>
      <c r="K758" s="9" t="s">
        <v>170</v>
      </c>
      <c r="L758" s="39"/>
      <c r="M758" s="7" t="s">
        <v>1</v>
      </c>
      <c r="N758" s="8"/>
      <c r="O758" s="40"/>
      <c r="P758" s="15"/>
      <c r="Q758" s="9" t="s">
        <v>214</v>
      </c>
      <c r="R758" s="9" t="s">
        <v>240</v>
      </c>
      <c r="S758" s="9"/>
      <c r="T758" s="9">
        <v>650742</v>
      </c>
      <c r="U758" s="16" t="s">
        <v>101</v>
      </c>
      <c r="V758" s="9">
        <v>2324181</v>
      </c>
      <c r="W758" s="8" t="s">
        <v>1439</v>
      </c>
      <c r="X758" s="8" t="s">
        <v>265</v>
      </c>
      <c r="Y758" s="8"/>
      <c r="Z758" s="8">
        <v>10</v>
      </c>
      <c r="AA758" s="8">
        <v>27</v>
      </c>
      <c r="AB758" s="8"/>
      <c r="AC758" s="8" t="s">
        <v>292</v>
      </c>
      <c r="AD758" s="14" t="s">
        <v>293</v>
      </c>
      <c r="AE758" s="8" t="s">
        <v>1310</v>
      </c>
      <c r="AF758" s="14">
        <v>1.2</v>
      </c>
      <c r="AG758" s="8">
        <v>1250</v>
      </c>
      <c r="AH758" s="8">
        <v>0</v>
      </c>
      <c r="AI758" s="8">
        <v>290</v>
      </c>
      <c r="AJ758" s="8">
        <v>0</v>
      </c>
      <c r="AK758" s="127">
        <v>290</v>
      </c>
      <c r="AL758" s="103">
        <v>0</v>
      </c>
      <c r="AM758" s="8">
        <v>290</v>
      </c>
      <c r="AN758" s="21">
        <v>0</v>
      </c>
      <c r="AO758" s="21">
        <v>0</v>
      </c>
      <c r="AP758" s="21">
        <v>290</v>
      </c>
      <c r="AQ758" s="21">
        <v>0</v>
      </c>
      <c r="AR758" s="21">
        <v>0</v>
      </c>
      <c r="AS758" s="8">
        <v>290</v>
      </c>
      <c r="AT758" s="21">
        <v>0</v>
      </c>
      <c r="AU758" s="21">
        <v>0</v>
      </c>
      <c r="AV758" s="21">
        <v>0</v>
      </c>
      <c r="AW758" s="21">
        <v>0</v>
      </c>
      <c r="AX758" s="21">
        <v>290</v>
      </c>
      <c r="AY758" s="8">
        <v>0</v>
      </c>
    </row>
    <row r="759" spans="1:51" ht="15" customHeight="1" x14ac:dyDescent="0.25">
      <c r="A759" s="9">
        <v>743</v>
      </c>
      <c r="B759" s="13">
        <v>45769</v>
      </c>
      <c r="C759" s="9" t="s">
        <v>169</v>
      </c>
      <c r="D759" s="9">
        <v>9518712210</v>
      </c>
      <c r="E759" s="8">
        <v>5</v>
      </c>
      <c r="F759" s="9" t="s">
        <v>1424</v>
      </c>
      <c r="G759" s="79" t="s">
        <v>1446</v>
      </c>
      <c r="H759" s="9" t="s">
        <v>57</v>
      </c>
      <c r="I759" s="9" t="s">
        <v>38</v>
      </c>
      <c r="J759" s="9" t="s">
        <v>39</v>
      </c>
      <c r="K759" s="9" t="s">
        <v>233</v>
      </c>
      <c r="L759" s="39"/>
      <c r="M759" s="7" t="s">
        <v>1</v>
      </c>
      <c r="N759" s="8"/>
      <c r="O759" s="40"/>
      <c r="P759" s="15"/>
      <c r="Q759" s="9" t="s">
        <v>264</v>
      </c>
      <c r="R759" s="9" t="s">
        <v>265</v>
      </c>
      <c r="S759" s="9"/>
      <c r="T759" s="9">
        <v>942283</v>
      </c>
      <c r="U759" s="16" t="s">
        <v>106</v>
      </c>
      <c r="V759" s="9">
        <v>1881969</v>
      </c>
      <c r="W759" s="8" t="s">
        <v>428</v>
      </c>
      <c r="X759" s="8" t="s">
        <v>317</v>
      </c>
      <c r="Y759" s="8"/>
      <c r="Z759" s="8">
        <v>3</v>
      </c>
      <c r="AA759" s="8">
        <v>5</v>
      </c>
      <c r="AB759" s="8"/>
      <c r="AC759" s="8" t="s">
        <v>222</v>
      </c>
      <c r="AD759" s="14" t="s">
        <v>223</v>
      </c>
      <c r="AE759" s="8" t="s">
        <v>224</v>
      </c>
      <c r="AF759" s="14">
        <v>0.45</v>
      </c>
      <c r="AG759" s="8">
        <v>1220</v>
      </c>
      <c r="AH759" s="8">
        <v>0</v>
      </c>
      <c r="AI759" s="8">
        <v>280</v>
      </c>
      <c r="AJ759" s="8">
        <v>0</v>
      </c>
      <c r="AK759" s="127">
        <v>280</v>
      </c>
      <c r="AL759" s="103">
        <v>0</v>
      </c>
      <c r="AM759" s="8">
        <v>280</v>
      </c>
      <c r="AN759" s="21">
        <v>0</v>
      </c>
      <c r="AO759" s="21">
        <v>0</v>
      </c>
      <c r="AP759" s="21">
        <v>280</v>
      </c>
      <c r="AQ759" s="21">
        <v>0</v>
      </c>
      <c r="AR759" s="21">
        <v>0</v>
      </c>
      <c r="AS759" s="8">
        <v>280</v>
      </c>
      <c r="AT759" s="21">
        <v>0</v>
      </c>
      <c r="AU759" s="21">
        <v>0</v>
      </c>
      <c r="AV759" s="21">
        <v>0</v>
      </c>
      <c r="AW759" s="21">
        <v>280</v>
      </c>
      <c r="AX759" s="21">
        <v>0</v>
      </c>
      <c r="AY759" s="8">
        <v>0</v>
      </c>
    </row>
    <row r="760" spans="1:51" ht="15" customHeight="1" x14ac:dyDescent="0.25">
      <c r="A760" s="9">
        <v>743</v>
      </c>
      <c r="B760" s="13">
        <v>45773</v>
      </c>
      <c r="C760" s="9" t="s">
        <v>169</v>
      </c>
      <c r="D760" s="9">
        <v>9518724444</v>
      </c>
      <c r="E760" s="8">
        <v>1</v>
      </c>
      <c r="F760" s="9" t="s">
        <v>1425</v>
      </c>
      <c r="G760" s="79" t="s">
        <v>1446</v>
      </c>
      <c r="H760" s="9" t="s">
        <v>57</v>
      </c>
      <c r="I760" s="9" t="s">
        <v>43</v>
      </c>
      <c r="J760" s="9" t="s">
        <v>1311</v>
      </c>
      <c r="K760" s="9" t="s">
        <v>170</v>
      </c>
      <c r="L760" s="39"/>
      <c r="M760" s="7" t="s">
        <v>1</v>
      </c>
      <c r="N760" s="8"/>
      <c r="O760" s="40"/>
      <c r="P760" s="15"/>
      <c r="Q760" s="9" t="s">
        <v>180</v>
      </c>
      <c r="R760" s="9" t="s">
        <v>1436</v>
      </c>
      <c r="S760" s="9"/>
      <c r="T760" s="9">
        <v>929931</v>
      </c>
      <c r="U760" s="16" t="s">
        <v>1435</v>
      </c>
      <c r="V760" s="9">
        <v>2428450</v>
      </c>
      <c r="W760" s="8" t="s">
        <v>1440</v>
      </c>
      <c r="X760" s="8" t="s">
        <v>308</v>
      </c>
      <c r="Y760" s="8"/>
      <c r="Z760" s="8">
        <v>4</v>
      </c>
      <c r="AA760" s="8">
        <v>6</v>
      </c>
      <c r="AB760" s="8"/>
      <c r="AC760" s="8" t="s">
        <v>238</v>
      </c>
      <c r="AD760" s="14" t="s">
        <v>185</v>
      </c>
      <c r="AE760" s="8" t="s">
        <v>186</v>
      </c>
      <c r="AF760" s="14">
        <v>0.35</v>
      </c>
      <c r="AG760" s="8">
        <v>1250</v>
      </c>
      <c r="AH760" s="8">
        <v>0</v>
      </c>
      <c r="AI760" s="8">
        <v>29</v>
      </c>
      <c r="AJ760" s="8">
        <v>0</v>
      </c>
      <c r="AK760" s="127">
        <v>29</v>
      </c>
      <c r="AL760" s="103">
        <v>0</v>
      </c>
      <c r="AM760" s="8">
        <v>29</v>
      </c>
      <c r="AN760" s="21">
        <v>0</v>
      </c>
      <c r="AO760" s="21">
        <v>0</v>
      </c>
      <c r="AP760" s="21">
        <v>29</v>
      </c>
      <c r="AQ760" s="21">
        <v>0</v>
      </c>
      <c r="AR760" s="21">
        <v>0</v>
      </c>
      <c r="AS760" s="8">
        <v>29</v>
      </c>
      <c r="AT760" s="21">
        <v>0</v>
      </c>
      <c r="AU760" s="21">
        <v>0</v>
      </c>
      <c r="AV760" s="21">
        <v>0</v>
      </c>
      <c r="AW760" s="21">
        <v>29</v>
      </c>
      <c r="AX760" s="21">
        <v>0</v>
      </c>
      <c r="AY760" s="8">
        <v>0</v>
      </c>
    </row>
    <row r="761" spans="1:51" ht="15" customHeight="1" x14ac:dyDescent="0.25">
      <c r="A761" s="9">
        <v>743</v>
      </c>
      <c r="B761" s="13">
        <v>45773</v>
      </c>
      <c r="C761" s="9" t="s">
        <v>169</v>
      </c>
      <c r="D761" s="9">
        <v>9518724444</v>
      </c>
      <c r="E761" s="8">
        <v>2</v>
      </c>
      <c r="F761" s="9" t="s">
        <v>1426</v>
      </c>
      <c r="G761" s="79" t="s">
        <v>1446</v>
      </c>
      <c r="H761" s="9" t="s">
        <v>57</v>
      </c>
      <c r="I761" s="9" t="s">
        <v>43</v>
      </c>
      <c r="J761" s="9" t="s">
        <v>1311</v>
      </c>
      <c r="K761" s="9" t="s">
        <v>170</v>
      </c>
      <c r="L761" s="39"/>
      <c r="M761" s="7" t="s">
        <v>1</v>
      </c>
      <c r="N761" s="8"/>
      <c r="O761" s="40"/>
      <c r="P761" s="15"/>
      <c r="Q761" s="9" t="s">
        <v>180</v>
      </c>
      <c r="R761" s="9" t="s">
        <v>1436</v>
      </c>
      <c r="S761" s="9"/>
      <c r="T761" s="9">
        <v>929931</v>
      </c>
      <c r="U761" s="16" t="s">
        <v>1435</v>
      </c>
      <c r="V761" s="9">
        <v>1851091</v>
      </c>
      <c r="W761" s="8" t="s">
        <v>1441</v>
      </c>
      <c r="X761" s="8" t="s">
        <v>308</v>
      </c>
      <c r="Y761" s="8"/>
      <c r="Z761" s="8">
        <v>4</v>
      </c>
      <c r="AA761" s="8">
        <v>6</v>
      </c>
      <c r="AB761" s="8"/>
      <c r="AC761" s="8" t="s">
        <v>238</v>
      </c>
      <c r="AD761" s="14" t="s">
        <v>185</v>
      </c>
      <c r="AE761" s="8" t="s">
        <v>186</v>
      </c>
      <c r="AF761" s="14">
        <v>0.4</v>
      </c>
      <c r="AG761" s="8">
        <v>1250</v>
      </c>
      <c r="AH761" s="8">
        <v>0</v>
      </c>
      <c r="AI761" s="8">
        <v>29</v>
      </c>
      <c r="AJ761" s="8">
        <v>0</v>
      </c>
      <c r="AK761" s="127">
        <v>29</v>
      </c>
      <c r="AL761" s="103">
        <v>0</v>
      </c>
      <c r="AM761" s="8">
        <v>29</v>
      </c>
      <c r="AN761" s="21">
        <v>0</v>
      </c>
      <c r="AO761" s="21">
        <v>29</v>
      </c>
      <c r="AP761" s="21">
        <v>0</v>
      </c>
      <c r="AQ761" s="21">
        <v>0</v>
      </c>
      <c r="AR761" s="21">
        <v>0</v>
      </c>
      <c r="AS761" s="8">
        <v>29</v>
      </c>
      <c r="AT761" s="21">
        <v>0</v>
      </c>
      <c r="AU761" s="21">
        <v>0</v>
      </c>
      <c r="AV761" s="21">
        <v>29</v>
      </c>
      <c r="AW761" s="21">
        <v>0</v>
      </c>
      <c r="AX761" s="21">
        <v>0</v>
      </c>
      <c r="AY761" s="8">
        <v>0</v>
      </c>
    </row>
    <row r="762" spans="1:51" ht="15" customHeight="1" x14ac:dyDescent="0.25">
      <c r="A762" s="9">
        <v>743</v>
      </c>
      <c r="B762" s="13">
        <v>45773</v>
      </c>
      <c r="C762" s="9" t="s">
        <v>169</v>
      </c>
      <c r="D762" s="9">
        <v>9518724444</v>
      </c>
      <c r="E762" s="8">
        <v>3</v>
      </c>
      <c r="F762" s="9" t="s">
        <v>1427</v>
      </c>
      <c r="G762" s="79" t="s">
        <v>1446</v>
      </c>
      <c r="H762" s="9" t="s">
        <v>57</v>
      </c>
      <c r="I762" s="9" t="s">
        <v>43</v>
      </c>
      <c r="J762" s="9" t="s">
        <v>1311</v>
      </c>
      <c r="K762" s="9" t="s">
        <v>170</v>
      </c>
      <c r="L762" s="39"/>
      <c r="M762" s="7" t="s">
        <v>1</v>
      </c>
      <c r="N762" s="8"/>
      <c r="O762" s="40"/>
      <c r="P762" s="15"/>
      <c r="Q762" s="9" t="s">
        <v>180</v>
      </c>
      <c r="R762" s="9" t="s">
        <v>1436</v>
      </c>
      <c r="S762" s="9"/>
      <c r="T762" s="9">
        <v>929931</v>
      </c>
      <c r="U762" s="16" t="s">
        <v>1435</v>
      </c>
      <c r="V762" s="9">
        <v>1367614</v>
      </c>
      <c r="W762" s="8" t="s">
        <v>1442</v>
      </c>
      <c r="X762" s="8" t="s">
        <v>308</v>
      </c>
      <c r="Y762" s="8"/>
      <c r="Z762" s="8">
        <v>4</v>
      </c>
      <c r="AA762" s="8">
        <v>6</v>
      </c>
      <c r="AB762" s="8"/>
      <c r="AC762" s="8" t="s">
        <v>238</v>
      </c>
      <c r="AD762" s="14" t="s">
        <v>185</v>
      </c>
      <c r="AE762" s="8" t="s">
        <v>186</v>
      </c>
      <c r="AF762" s="14">
        <v>0.45</v>
      </c>
      <c r="AG762" s="8">
        <v>1250</v>
      </c>
      <c r="AH762" s="8">
        <v>0</v>
      </c>
      <c r="AI762" s="8">
        <v>29</v>
      </c>
      <c r="AJ762" s="8">
        <v>0</v>
      </c>
      <c r="AK762" s="127">
        <v>29</v>
      </c>
      <c r="AL762" s="103">
        <v>0</v>
      </c>
      <c r="AM762" s="8">
        <v>29</v>
      </c>
      <c r="AN762" s="21">
        <v>0</v>
      </c>
      <c r="AO762" s="21">
        <v>29</v>
      </c>
      <c r="AP762" s="21">
        <v>0</v>
      </c>
      <c r="AQ762" s="21">
        <v>0</v>
      </c>
      <c r="AR762" s="21">
        <v>0</v>
      </c>
      <c r="AS762" s="8">
        <v>29</v>
      </c>
      <c r="AT762" s="21">
        <v>0</v>
      </c>
      <c r="AU762" s="21">
        <v>0</v>
      </c>
      <c r="AV762" s="21">
        <v>29</v>
      </c>
      <c r="AW762" s="21">
        <v>0</v>
      </c>
      <c r="AX762" s="21">
        <v>0</v>
      </c>
      <c r="AY762" s="8">
        <v>0</v>
      </c>
    </row>
    <row r="763" spans="1:51" ht="15" customHeight="1" x14ac:dyDescent="0.25">
      <c r="A763" s="9">
        <v>743</v>
      </c>
      <c r="B763" s="13">
        <v>45773</v>
      </c>
      <c r="C763" s="9" t="s">
        <v>169</v>
      </c>
      <c r="D763" s="9">
        <v>9518724444</v>
      </c>
      <c r="E763" s="8">
        <v>4</v>
      </c>
      <c r="F763" s="9" t="s">
        <v>1428</v>
      </c>
      <c r="G763" s="79" t="s">
        <v>1446</v>
      </c>
      <c r="H763" s="9" t="s">
        <v>57</v>
      </c>
      <c r="I763" s="9" t="s">
        <v>43</v>
      </c>
      <c r="J763" s="9" t="s">
        <v>1311</v>
      </c>
      <c r="K763" s="9" t="s">
        <v>170</v>
      </c>
      <c r="L763" s="39"/>
      <c r="M763" s="7" t="s">
        <v>1</v>
      </c>
      <c r="N763" s="8"/>
      <c r="O763" s="40"/>
      <c r="P763" s="15"/>
      <c r="Q763" s="9" t="s">
        <v>180</v>
      </c>
      <c r="R763" s="9" t="s">
        <v>1436</v>
      </c>
      <c r="S763" s="9"/>
      <c r="T763" s="9">
        <v>929931</v>
      </c>
      <c r="U763" s="16" t="s">
        <v>1435</v>
      </c>
      <c r="V763" s="9">
        <v>1851102</v>
      </c>
      <c r="W763" s="8" t="s">
        <v>1443</v>
      </c>
      <c r="X763" s="8" t="s">
        <v>308</v>
      </c>
      <c r="Y763" s="8"/>
      <c r="Z763" s="8">
        <v>4</v>
      </c>
      <c r="AA763" s="8">
        <v>6</v>
      </c>
      <c r="AB763" s="8"/>
      <c r="AC763" s="8" t="s">
        <v>238</v>
      </c>
      <c r="AD763" s="14" t="s">
        <v>185</v>
      </c>
      <c r="AE763" s="8" t="s">
        <v>186</v>
      </c>
      <c r="AF763" s="14">
        <v>0.5</v>
      </c>
      <c r="AG763" s="8">
        <v>1250</v>
      </c>
      <c r="AH763" s="8">
        <v>0</v>
      </c>
      <c r="AI763" s="8">
        <v>29</v>
      </c>
      <c r="AJ763" s="8">
        <v>0</v>
      </c>
      <c r="AK763" s="127">
        <v>29</v>
      </c>
      <c r="AL763" s="103">
        <v>0</v>
      </c>
      <c r="AM763" s="8">
        <v>29</v>
      </c>
      <c r="AN763" s="21">
        <v>0</v>
      </c>
      <c r="AO763" s="21">
        <v>29</v>
      </c>
      <c r="AP763" s="21">
        <v>0</v>
      </c>
      <c r="AQ763" s="21">
        <v>0</v>
      </c>
      <c r="AR763" s="21">
        <v>0</v>
      </c>
      <c r="AS763" s="8">
        <v>29</v>
      </c>
      <c r="AT763" s="21">
        <v>0</v>
      </c>
      <c r="AU763" s="21">
        <v>0</v>
      </c>
      <c r="AV763" s="21">
        <v>29</v>
      </c>
      <c r="AW763" s="21">
        <v>0</v>
      </c>
      <c r="AX763" s="21">
        <v>0</v>
      </c>
      <c r="AY763" s="8">
        <v>0</v>
      </c>
    </row>
    <row r="764" spans="1:51" ht="15" customHeight="1" x14ac:dyDescent="0.25">
      <c r="A764" s="9">
        <v>743</v>
      </c>
      <c r="B764" s="13">
        <v>45773</v>
      </c>
      <c r="C764" s="9" t="s">
        <v>169</v>
      </c>
      <c r="D764" s="9">
        <v>9518724444</v>
      </c>
      <c r="E764" s="8">
        <v>5</v>
      </c>
      <c r="F764" s="9" t="s">
        <v>1429</v>
      </c>
      <c r="G764" s="79" t="s">
        <v>1446</v>
      </c>
      <c r="H764" s="9" t="s">
        <v>57</v>
      </c>
      <c r="I764" s="9" t="s">
        <v>43</v>
      </c>
      <c r="J764" s="9" t="s">
        <v>1311</v>
      </c>
      <c r="K764" s="9" t="s">
        <v>170</v>
      </c>
      <c r="L764" s="39"/>
      <c r="M764" s="7" t="s">
        <v>1</v>
      </c>
      <c r="N764" s="8"/>
      <c r="O764" s="40"/>
      <c r="P764" s="15"/>
      <c r="Q764" s="9" t="s">
        <v>180</v>
      </c>
      <c r="R764" s="9" t="s">
        <v>1436</v>
      </c>
      <c r="S764" s="9"/>
      <c r="T764" s="9">
        <v>929931</v>
      </c>
      <c r="U764" s="16" t="s">
        <v>1435</v>
      </c>
      <c r="V764" s="9">
        <v>1851106</v>
      </c>
      <c r="W764" s="8" t="s">
        <v>1444</v>
      </c>
      <c r="X764" s="8" t="s">
        <v>308</v>
      </c>
      <c r="Y764" s="8"/>
      <c r="Z764" s="8">
        <v>4</v>
      </c>
      <c r="AA764" s="8">
        <v>6</v>
      </c>
      <c r="AB764" s="8"/>
      <c r="AC764" s="8" t="s">
        <v>238</v>
      </c>
      <c r="AD764" s="14" t="s">
        <v>185</v>
      </c>
      <c r="AE764" s="8" t="s">
        <v>186</v>
      </c>
      <c r="AF764" s="14">
        <v>0.6</v>
      </c>
      <c r="AG764" s="8">
        <v>1250</v>
      </c>
      <c r="AH764" s="8">
        <v>0</v>
      </c>
      <c r="AI764" s="8">
        <v>29</v>
      </c>
      <c r="AJ764" s="8">
        <v>0</v>
      </c>
      <c r="AK764" s="127">
        <v>29</v>
      </c>
      <c r="AL764" s="103">
        <v>0</v>
      </c>
      <c r="AM764" s="8">
        <v>29</v>
      </c>
      <c r="AN764" s="21">
        <v>0</v>
      </c>
      <c r="AO764" s="21">
        <v>29</v>
      </c>
      <c r="AP764" s="21">
        <v>0</v>
      </c>
      <c r="AQ764" s="21">
        <v>0</v>
      </c>
      <c r="AR764" s="21">
        <v>0</v>
      </c>
      <c r="AS764" s="8">
        <v>29</v>
      </c>
      <c r="AT764" s="21">
        <v>0</v>
      </c>
      <c r="AU764" s="21">
        <v>0</v>
      </c>
      <c r="AV764" s="21">
        <v>29</v>
      </c>
      <c r="AW764" s="21">
        <v>0</v>
      </c>
      <c r="AX764" s="21">
        <v>0</v>
      </c>
      <c r="AY764" s="8">
        <v>0</v>
      </c>
    </row>
    <row r="765" spans="1:51" ht="15" customHeight="1" x14ac:dyDescent="0.25">
      <c r="A765" s="9">
        <v>742</v>
      </c>
      <c r="B765" s="13">
        <v>45772</v>
      </c>
      <c r="C765" s="9" t="s">
        <v>169</v>
      </c>
      <c r="D765" s="9">
        <v>9518721133</v>
      </c>
      <c r="E765" s="8">
        <v>2</v>
      </c>
      <c r="F765" s="9" t="s">
        <v>1430</v>
      </c>
      <c r="G765" s="79" t="s">
        <v>1446</v>
      </c>
      <c r="H765" s="9" t="s">
        <v>57</v>
      </c>
      <c r="I765" s="9" t="s">
        <v>50</v>
      </c>
      <c r="J765" s="9" t="s">
        <v>26</v>
      </c>
      <c r="K765" s="9" t="s">
        <v>1304</v>
      </c>
      <c r="L765" s="39"/>
      <c r="M765" s="7" t="s">
        <v>1</v>
      </c>
      <c r="N765" s="8"/>
      <c r="O765" s="40"/>
      <c r="P765" s="15"/>
      <c r="Q765" s="9" t="s">
        <v>214</v>
      </c>
      <c r="R765" s="9" t="s">
        <v>1437</v>
      </c>
      <c r="S765" s="9"/>
      <c r="T765" s="9">
        <v>801611</v>
      </c>
      <c r="U765" s="16" t="s">
        <v>132</v>
      </c>
      <c r="V765" s="9">
        <v>1252836</v>
      </c>
      <c r="W765" s="8" t="s">
        <v>1445</v>
      </c>
      <c r="X765" s="8" t="s">
        <v>265</v>
      </c>
      <c r="Y765" s="8"/>
      <c r="Z765" s="8">
        <v>18</v>
      </c>
      <c r="AA765" s="8">
        <v>25</v>
      </c>
      <c r="AB765" s="8"/>
      <c r="AC765" s="8">
        <v>768</v>
      </c>
      <c r="AD765" s="14" t="s">
        <v>242</v>
      </c>
      <c r="AE765" s="8" t="s">
        <v>243</v>
      </c>
      <c r="AF765" s="14">
        <v>3.5</v>
      </c>
      <c r="AG765" s="8">
        <v>1250</v>
      </c>
      <c r="AH765" s="8">
        <v>0</v>
      </c>
      <c r="AI765" s="8">
        <v>50</v>
      </c>
      <c r="AJ765" s="8">
        <v>0</v>
      </c>
      <c r="AK765" s="127">
        <v>50</v>
      </c>
      <c r="AL765" s="103">
        <v>0</v>
      </c>
      <c r="AM765" s="8">
        <v>50</v>
      </c>
      <c r="AN765" s="21">
        <v>0</v>
      </c>
      <c r="AO765" s="21">
        <v>0</v>
      </c>
      <c r="AP765" s="21">
        <v>0</v>
      </c>
      <c r="AQ765" s="21">
        <v>0</v>
      </c>
      <c r="AR765" s="21">
        <v>50</v>
      </c>
      <c r="AS765" s="8">
        <v>50</v>
      </c>
      <c r="AT765" s="21">
        <v>0</v>
      </c>
      <c r="AU765" s="21">
        <v>0</v>
      </c>
      <c r="AV765" s="21">
        <v>0</v>
      </c>
      <c r="AW765" s="21">
        <v>0</v>
      </c>
      <c r="AX765" s="21">
        <v>50</v>
      </c>
      <c r="AY765" s="8">
        <v>0</v>
      </c>
    </row>
    <row r="766" spans="1:51" ht="15" customHeight="1" x14ac:dyDescent="0.25">
      <c r="A766" s="9">
        <v>743</v>
      </c>
      <c r="B766" s="13">
        <v>45769</v>
      </c>
      <c r="C766" s="9" t="s">
        <v>169</v>
      </c>
      <c r="D766" s="9">
        <v>9518711518</v>
      </c>
      <c r="E766" s="8">
        <v>2</v>
      </c>
      <c r="F766" s="9" t="s">
        <v>1431</v>
      </c>
      <c r="G766" s="9" t="s">
        <v>1303</v>
      </c>
      <c r="H766" s="9" t="s">
        <v>57</v>
      </c>
      <c r="I766" s="9" t="s">
        <v>38</v>
      </c>
      <c r="J766" s="9" t="s">
        <v>39</v>
      </c>
      <c r="K766" s="9" t="s">
        <v>233</v>
      </c>
      <c r="L766" s="39"/>
      <c r="M766" s="7" t="s">
        <v>1</v>
      </c>
      <c r="N766" s="8"/>
      <c r="O766" s="40"/>
      <c r="P766" s="15"/>
      <c r="Q766" s="9" t="s">
        <v>264</v>
      </c>
      <c r="R766" s="9" t="s">
        <v>256</v>
      </c>
      <c r="S766" s="9"/>
      <c r="T766" s="9">
        <v>942294</v>
      </c>
      <c r="U766" s="16" t="s">
        <v>106</v>
      </c>
      <c r="V766" s="9">
        <v>3946362</v>
      </c>
      <c r="W766" s="8" t="s">
        <v>416</v>
      </c>
      <c r="X766" s="8" t="s">
        <v>317</v>
      </c>
      <c r="Y766" s="8"/>
      <c r="Z766" s="8">
        <v>3</v>
      </c>
      <c r="AA766" s="8">
        <v>5</v>
      </c>
      <c r="AB766" s="8"/>
      <c r="AC766" s="8" t="s">
        <v>222</v>
      </c>
      <c r="AD766" s="14" t="s">
        <v>223</v>
      </c>
      <c r="AE766" s="8" t="s">
        <v>417</v>
      </c>
      <c r="AF766" s="14">
        <v>0.47</v>
      </c>
      <c r="AG766" s="8">
        <v>1220</v>
      </c>
      <c r="AH766" s="8">
        <v>0</v>
      </c>
      <c r="AI766" s="8">
        <v>168</v>
      </c>
      <c r="AJ766" s="8">
        <v>0</v>
      </c>
      <c r="AK766" s="127">
        <v>168</v>
      </c>
      <c r="AL766" s="103">
        <v>0</v>
      </c>
      <c r="AM766" s="8">
        <v>168</v>
      </c>
      <c r="AN766" s="21">
        <v>0</v>
      </c>
      <c r="AO766" s="21">
        <v>0</v>
      </c>
      <c r="AP766" s="21">
        <v>168</v>
      </c>
      <c r="AQ766" s="21">
        <v>0</v>
      </c>
      <c r="AR766" s="21">
        <v>0</v>
      </c>
      <c r="AS766" s="8">
        <v>168</v>
      </c>
      <c r="AT766" s="21">
        <v>0</v>
      </c>
      <c r="AU766" s="21">
        <v>0</v>
      </c>
      <c r="AV766" s="21">
        <v>0</v>
      </c>
      <c r="AW766" s="21">
        <v>168</v>
      </c>
      <c r="AX766" s="21">
        <v>0</v>
      </c>
      <c r="AY766" s="8">
        <v>0</v>
      </c>
    </row>
    <row r="767" spans="1:51" ht="15" customHeight="1" x14ac:dyDescent="0.25">
      <c r="A767" s="9">
        <v>743</v>
      </c>
      <c r="B767" s="13">
        <v>45769</v>
      </c>
      <c r="C767" s="9" t="s">
        <v>169</v>
      </c>
      <c r="D767" s="9">
        <v>9518711518</v>
      </c>
      <c r="E767" s="8">
        <v>3</v>
      </c>
      <c r="F767" s="9" t="s">
        <v>1432</v>
      </c>
      <c r="G767" s="9" t="s">
        <v>1303</v>
      </c>
      <c r="H767" s="9" t="s">
        <v>57</v>
      </c>
      <c r="I767" s="9" t="s">
        <v>38</v>
      </c>
      <c r="J767" s="9" t="s">
        <v>39</v>
      </c>
      <c r="K767" s="9" t="s">
        <v>233</v>
      </c>
      <c r="L767" s="39"/>
      <c r="M767" s="7" t="s">
        <v>1</v>
      </c>
      <c r="N767" s="8"/>
      <c r="O767" s="40"/>
      <c r="P767" s="15"/>
      <c r="Q767" s="9" t="s">
        <v>264</v>
      </c>
      <c r="R767" s="9" t="s">
        <v>256</v>
      </c>
      <c r="S767" s="9"/>
      <c r="T767" s="9">
        <v>942294</v>
      </c>
      <c r="U767" s="16" t="s">
        <v>106</v>
      </c>
      <c r="V767" s="9">
        <v>3946364</v>
      </c>
      <c r="W767" s="8" t="s">
        <v>418</v>
      </c>
      <c r="X767" s="8" t="s">
        <v>317</v>
      </c>
      <c r="Y767" s="8"/>
      <c r="Z767" s="8">
        <v>3</v>
      </c>
      <c r="AA767" s="8">
        <v>5</v>
      </c>
      <c r="AB767" s="8"/>
      <c r="AC767" s="8" t="s">
        <v>222</v>
      </c>
      <c r="AD767" s="14" t="s">
        <v>223</v>
      </c>
      <c r="AE767" s="8" t="s">
        <v>417</v>
      </c>
      <c r="AF767" s="14">
        <v>0.5</v>
      </c>
      <c r="AG767" s="8">
        <v>1220</v>
      </c>
      <c r="AH767" s="8">
        <v>0</v>
      </c>
      <c r="AI767" s="8">
        <v>28</v>
      </c>
      <c r="AJ767" s="8">
        <v>0</v>
      </c>
      <c r="AK767" s="127">
        <v>28</v>
      </c>
      <c r="AL767" s="103">
        <v>0</v>
      </c>
      <c r="AM767" s="8">
        <v>28</v>
      </c>
      <c r="AN767" s="21">
        <v>0</v>
      </c>
      <c r="AO767" s="21">
        <v>28</v>
      </c>
      <c r="AP767" s="21">
        <v>0</v>
      </c>
      <c r="AQ767" s="21">
        <v>0</v>
      </c>
      <c r="AR767" s="21">
        <v>0</v>
      </c>
      <c r="AS767" s="8">
        <v>28</v>
      </c>
      <c r="AT767" s="21">
        <v>0</v>
      </c>
      <c r="AU767" s="21">
        <v>0</v>
      </c>
      <c r="AV767" s="21">
        <v>28</v>
      </c>
      <c r="AW767" s="21">
        <v>0</v>
      </c>
      <c r="AX767" s="21">
        <v>0</v>
      </c>
      <c r="AY767" s="8">
        <v>0</v>
      </c>
    </row>
    <row r="768" spans="1:51" ht="15" customHeight="1" x14ac:dyDescent="0.25">
      <c r="A768" s="9">
        <v>743</v>
      </c>
      <c r="B768" s="13">
        <v>45770</v>
      </c>
      <c r="C768" s="9" t="s">
        <v>169</v>
      </c>
      <c r="D768" s="9">
        <v>9518715401</v>
      </c>
      <c r="E768" s="8">
        <v>1</v>
      </c>
      <c r="F768" s="9" t="s">
        <v>1433</v>
      </c>
      <c r="G768" s="9" t="s">
        <v>1303</v>
      </c>
      <c r="H768" s="9" t="s">
        <v>57</v>
      </c>
      <c r="I768" s="9" t="s">
        <v>38</v>
      </c>
      <c r="J768" s="9" t="s">
        <v>39</v>
      </c>
      <c r="K768" s="9" t="s">
        <v>233</v>
      </c>
      <c r="L768" s="39"/>
      <c r="M768" s="7" t="s">
        <v>1</v>
      </c>
      <c r="N768" s="8"/>
      <c r="O768" s="40"/>
      <c r="P768" s="15"/>
      <c r="Q768" s="9" t="s">
        <v>264</v>
      </c>
      <c r="R768" s="9" t="s">
        <v>221</v>
      </c>
      <c r="S768" s="9"/>
      <c r="T768" s="9">
        <v>942284</v>
      </c>
      <c r="U768" s="16" t="s">
        <v>106</v>
      </c>
      <c r="V768" s="9">
        <v>3946364</v>
      </c>
      <c r="W768" s="8" t="s">
        <v>418</v>
      </c>
      <c r="X768" s="8" t="s">
        <v>317</v>
      </c>
      <c r="Y768" s="8"/>
      <c r="Z768" s="8">
        <v>3</v>
      </c>
      <c r="AA768" s="8">
        <v>5</v>
      </c>
      <c r="AB768" s="8"/>
      <c r="AC768" s="8" t="s">
        <v>222</v>
      </c>
      <c r="AD768" s="14" t="s">
        <v>223</v>
      </c>
      <c r="AE768" s="8" t="s">
        <v>417</v>
      </c>
      <c r="AF768" s="14">
        <v>0.5</v>
      </c>
      <c r="AG768" s="8">
        <v>1220</v>
      </c>
      <c r="AH768" s="8">
        <v>0</v>
      </c>
      <c r="AI768" s="8">
        <v>280</v>
      </c>
      <c r="AJ768" s="8">
        <v>0</v>
      </c>
      <c r="AK768" s="127">
        <v>280</v>
      </c>
      <c r="AL768" s="103">
        <v>0</v>
      </c>
      <c r="AM768" s="8">
        <v>280</v>
      </c>
      <c r="AN768" s="21">
        <v>0</v>
      </c>
      <c r="AO768" s="21">
        <v>0</v>
      </c>
      <c r="AP768" s="21">
        <v>280</v>
      </c>
      <c r="AQ768" s="21">
        <v>0</v>
      </c>
      <c r="AR768" s="21">
        <v>0</v>
      </c>
      <c r="AS768" s="8">
        <v>280</v>
      </c>
      <c r="AT768" s="21">
        <v>0</v>
      </c>
      <c r="AU768" s="21">
        <v>0</v>
      </c>
      <c r="AV768" s="21">
        <v>0</v>
      </c>
      <c r="AW768" s="21">
        <v>280</v>
      </c>
      <c r="AX768" s="21">
        <v>0</v>
      </c>
      <c r="AY768" s="8">
        <v>0</v>
      </c>
    </row>
    <row r="769" spans="1:51" ht="15" customHeight="1" x14ac:dyDescent="0.25">
      <c r="A769" s="9">
        <v>743</v>
      </c>
      <c r="B769" s="13">
        <v>45771</v>
      </c>
      <c r="C769" s="9" t="s">
        <v>169</v>
      </c>
      <c r="D769" s="9">
        <v>9518717365</v>
      </c>
      <c r="E769" s="8">
        <v>1</v>
      </c>
      <c r="F769" s="9" t="s">
        <v>1447</v>
      </c>
      <c r="G769" s="79" t="s">
        <v>1446</v>
      </c>
      <c r="H769" s="9" t="s">
        <v>57</v>
      </c>
      <c r="I769" s="9" t="s">
        <v>43</v>
      </c>
      <c r="J769" s="9" t="s">
        <v>46</v>
      </c>
      <c r="K769" s="9">
        <v>2000</v>
      </c>
      <c r="L769" s="39"/>
      <c r="M769" s="7" t="s">
        <v>1</v>
      </c>
      <c r="N769" s="8"/>
      <c r="O769" s="40"/>
      <c r="P769" s="15" t="s">
        <v>216</v>
      </c>
      <c r="Q769" s="9" t="s">
        <v>180</v>
      </c>
      <c r="R769" s="9"/>
      <c r="S769" s="9"/>
      <c r="T769" s="9">
        <v>103671</v>
      </c>
      <c r="U769" s="16" t="s">
        <v>124</v>
      </c>
      <c r="V769" s="9">
        <v>3768542</v>
      </c>
      <c r="W769" s="8" t="s">
        <v>386</v>
      </c>
      <c r="X769" s="8" t="s">
        <v>175</v>
      </c>
      <c r="Y769" s="8"/>
      <c r="Z769" s="8"/>
      <c r="AA769" s="8"/>
      <c r="AB769" s="8"/>
      <c r="AC769" s="8" t="s">
        <v>269</v>
      </c>
      <c r="AD769" s="14" t="s">
        <v>270</v>
      </c>
      <c r="AE769" s="8" t="s">
        <v>165</v>
      </c>
      <c r="AF769" s="14">
        <v>0.35</v>
      </c>
      <c r="AG769" s="8">
        <v>900</v>
      </c>
      <c r="AH769" s="8">
        <v>0</v>
      </c>
      <c r="AI769" s="8">
        <v>63</v>
      </c>
      <c r="AJ769" s="8">
        <v>0</v>
      </c>
      <c r="AK769" s="127">
        <v>21</v>
      </c>
      <c r="AL769" s="103">
        <v>0</v>
      </c>
      <c r="AM769" s="8">
        <v>21</v>
      </c>
      <c r="AN769" s="21">
        <v>0</v>
      </c>
      <c r="AO769" s="21">
        <v>0</v>
      </c>
      <c r="AP769" s="21">
        <v>0</v>
      </c>
      <c r="AQ769" s="21">
        <v>21</v>
      </c>
      <c r="AR769" s="21">
        <v>0</v>
      </c>
      <c r="AS769" s="8">
        <v>21</v>
      </c>
      <c r="AT769" s="21">
        <v>0</v>
      </c>
      <c r="AU769" s="21">
        <v>0</v>
      </c>
      <c r="AV769" s="21">
        <v>0</v>
      </c>
      <c r="AW769" s="21">
        <v>0</v>
      </c>
      <c r="AX769" s="21">
        <v>21</v>
      </c>
      <c r="AY769" s="8">
        <v>0</v>
      </c>
    </row>
    <row r="770" spans="1:51" ht="15" customHeight="1" x14ac:dyDescent="0.25">
      <c r="A770" s="9">
        <v>743</v>
      </c>
      <c r="B770" s="13">
        <v>45771</v>
      </c>
      <c r="C770" s="9" t="s">
        <v>169</v>
      </c>
      <c r="D770" s="9">
        <v>9518717365</v>
      </c>
      <c r="E770" s="8">
        <v>2</v>
      </c>
      <c r="F770" s="9" t="s">
        <v>1448</v>
      </c>
      <c r="G770" s="79" t="s">
        <v>1446</v>
      </c>
      <c r="H770" s="9" t="s">
        <v>57</v>
      </c>
      <c r="I770" s="9" t="s">
        <v>43</v>
      </c>
      <c r="J770" s="9" t="s">
        <v>46</v>
      </c>
      <c r="K770" s="9">
        <v>2000</v>
      </c>
      <c r="L770" s="39"/>
      <c r="M770" s="7" t="s">
        <v>1</v>
      </c>
      <c r="N770" s="8"/>
      <c r="O770" s="40"/>
      <c r="P770" s="15" t="s">
        <v>216</v>
      </c>
      <c r="Q770" s="9" t="s">
        <v>180</v>
      </c>
      <c r="R770" s="9"/>
      <c r="S770" s="9"/>
      <c r="T770" s="9">
        <v>103671</v>
      </c>
      <c r="U770" s="16" t="s">
        <v>124</v>
      </c>
      <c r="V770" s="9">
        <v>3710431</v>
      </c>
      <c r="W770" s="8" t="s">
        <v>763</v>
      </c>
      <c r="X770" s="8" t="s">
        <v>175</v>
      </c>
      <c r="Y770" s="8"/>
      <c r="Z770" s="8"/>
      <c r="AA770" s="8"/>
      <c r="AB770" s="8"/>
      <c r="AC770" s="8" t="s">
        <v>269</v>
      </c>
      <c r="AD770" s="14" t="s">
        <v>270</v>
      </c>
      <c r="AE770" s="8" t="s">
        <v>165</v>
      </c>
      <c r="AF770" s="14">
        <v>0.63</v>
      </c>
      <c r="AG770" s="8">
        <v>900</v>
      </c>
      <c r="AH770" s="8">
        <v>0</v>
      </c>
      <c r="AI770" s="8">
        <v>42</v>
      </c>
      <c r="AJ770" s="8">
        <v>0</v>
      </c>
      <c r="AK770" s="127">
        <v>42</v>
      </c>
      <c r="AL770" s="103">
        <v>0</v>
      </c>
      <c r="AM770" s="8">
        <v>42</v>
      </c>
      <c r="AN770" s="21">
        <v>0</v>
      </c>
      <c r="AO770" s="21">
        <v>0</v>
      </c>
      <c r="AP770" s="21">
        <v>0</v>
      </c>
      <c r="AQ770" s="21">
        <v>42</v>
      </c>
      <c r="AR770" s="21">
        <v>0</v>
      </c>
      <c r="AS770" s="8">
        <v>42</v>
      </c>
      <c r="AT770" s="21">
        <v>0</v>
      </c>
      <c r="AU770" s="21">
        <v>0</v>
      </c>
      <c r="AV770" s="21">
        <v>0</v>
      </c>
      <c r="AW770" s="21">
        <v>0</v>
      </c>
      <c r="AX770" s="21">
        <v>42</v>
      </c>
      <c r="AY770" s="8">
        <v>0</v>
      </c>
    </row>
    <row r="771" spans="1:51" ht="15" customHeight="1" x14ac:dyDescent="0.25">
      <c r="A771" s="9">
        <v>743</v>
      </c>
      <c r="B771" s="13">
        <v>45771</v>
      </c>
      <c r="C771" s="9" t="s">
        <v>169</v>
      </c>
      <c r="D771" s="9">
        <v>9518717365</v>
      </c>
      <c r="E771" s="8">
        <v>3</v>
      </c>
      <c r="F771" s="9" t="s">
        <v>1449</v>
      </c>
      <c r="G771" s="79" t="s">
        <v>1446</v>
      </c>
      <c r="H771" s="9" t="s">
        <v>57</v>
      </c>
      <c r="I771" s="9" t="s">
        <v>43</v>
      </c>
      <c r="J771" s="9" t="s">
        <v>46</v>
      </c>
      <c r="K771" s="9">
        <v>2000</v>
      </c>
      <c r="L771" s="39"/>
      <c r="M771" s="7" t="s">
        <v>1</v>
      </c>
      <c r="N771" s="8"/>
      <c r="O771" s="40"/>
      <c r="P771" s="15" t="s">
        <v>216</v>
      </c>
      <c r="Q771" s="9" t="s">
        <v>180</v>
      </c>
      <c r="R771" s="9"/>
      <c r="S771" s="9"/>
      <c r="T771" s="9">
        <v>103671</v>
      </c>
      <c r="U771" s="16" t="s">
        <v>124</v>
      </c>
      <c r="V771" s="9">
        <v>3767487</v>
      </c>
      <c r="W771" s="8" t="s">
        <v>840</v>
      </c>
      <c r="X771" s="8" t="s">
        <v>175</v>
      </c>
      <c r="Y771" s="8"/>
      <c r="Z771" s="8"/>
      <c r="AA771" s="8"/>
      <c r="AB771" s="8"/>
      <c r="AC771" s="8" t="s">
        <v>269</v>
      </c>
      <c r="AD771" s="14" t="s">
        <v>270</v>
      </c>
      <c r="AE771" s="8" t="s">
        <v>165</v>
      </c>
      <c r="AF771" s="14">
        <v>0.63</v>
      </c>
      <c r="AG771" s="8">
        <v>1350</v>
      </c>
      <c r="AH771" s="8">
        <v>0</v>
      </c>
      <c r="AI771" s="8">
        <v>31</v>
      </c>
      <c r="AJ771" s="8">
        <v>0</v>
      </c>
      <c r="AK771" s="127">
        <v>31</v>
      </c>
      <c r="AL771" s="103">
        <v>0</v>
      </c>
      <c r="AM771" s="8">
        <v>31</v>
      </c>
      <c r="AN771" s="21">
        <v>0</v>
      </c>
      <c r="AO771" s="21">
        <v>0</v>
      </c>
      <c r="AP771" s="21">
        <v>31</v>
      </c>
      <c r="AQ771" s="21">
        <v>0</v>
      </c>
      <c r="AR771" s="21">
        <v>0</v>
      </c>
      <c r="AS771" s="8">
        <v>31</v>
      </c>
      <c r="AT771" s="21">
        <v>0</v>
      </c>
      <c r="AU771" s="21">
        <v>0</v>
      </c>
      <c r="AV771" s="21">
        <v>0</v>
      </c>
      <c r="AW771" s="21">
        <v>31</v>
      </c>
      <c r="AX771" s="21">
        <v>0</v>
      </c>
      <c r="AY771" s="8">
        <v>0</v>
      </c>
    </row>
    <row r="772" spans="1:51" ht="15" customHeight="1" x14ac:dyDescent="0.25">
      <c r="A772" s="9">
        <v>743</v>
      </c>
      <c r="B772" s="13">
        <v>45768</v>
      </c>
      <c r="C772" s="9" t="s">
        <v>169</v>
      </c>
      <c r="D772" s="9">
        <v>9518709112</v>
      </c>
      <c r="E772" s="8">
        <v>1</v>
      </c>
      <c r="F772" s="9" t="s">
        <v>1450</v>
      </c>
      <c r="G772" s="79" t="s">
        <v>1446</v>
      </c>
      <c r="H772" s="9" t="s">
        <v>57</v>
      </c>
      <c r="I772" s="9" t="s">
        <v>38</v>
      </c>
      <c r="J772" s="9" t="s">
        <v>41</v>
      </c>
      <c r="K772" s="9">
        <v>1000</v>
      </c>
      <c r="L772" s="39"/>
      <c r="M772" s="7" t="s">
        <v>1</v>
      </c>
      <c r="N772" s="8"/>
      <c r="O772" s="40"/>
      <c r="P772" s="15" t="s">
        <v>289</v>
      </c>
      <c r="Q772" s="9" t="s">
        <v>188</v>
      </c>
      <c r="R772" s="9"/>
      <c r="S772" s="9"/>
      <c r="T772" s="9">
        <v>944226</v>
      </c>
      <c r="U772" s="16" t="s">
        <v>302</v>
      </c>
      <c r="V772" s="9">
        <v>3889776</v>
      </c>
      <c r="W772" s="8" t="s">
        <v>303</v>
      </c>
      <c r="X772" s="8">
        <v>150</v>
      </c>
      <c r="Y772" s="8"/>
      <c r="Z772" s="8"/>
      <c r="AA772" s="8"/>
      <c r="AB772" s="8"/>
      <c r="AC772" s="8" t="s">
        <v>222</v>
      </c>
      <c r="AD772" s="14" t="s">
        <v>223</v>
      </c>
      <c r="AE772" s="8" t="s">
        <v>304</v>
      </c>
      <c r="AF772" s="14">
        <v>0.9</v>
      </c>
      <c r="AG772" s="8">
        <v>1249</v>
      </c>
      <c r="AH772" s="8">
        <v>0</v>
      </c>
      <c r="AI772" s="8">
        <v>290</v>
      </c>
      <c r="AJ772" s="8">
        <v>0</v>
      </c>
      <c r="AK772" s="127">
        <v>290</v>
      </c>
      <c r="AL772" s="103">
        <v>0</v>
      </c>
      <c r="AM772" s="8">
        <v>290</v>
      </c>
      <c r="AN772" s="21">
        <v>0</v>
      </c>
      <c r="AO772" s="21">
        <v>0</v>
      </c>
      <c r="AP772" s="21">
        <v>0</v>
      </c>
      <c r="AQ772" s="21">
        <v>0</v>
      </c>
      <c r="AR772" s="21">
        <v>290</v>
      </c>
      <c r="AS772" s="8">
        <v>290</v>
      </c>
      <c r="AT772" s="21">
        <v>0</v>
      </c>
      <c r="AU772" s="21">
        <v>0</v>
      </c>
      <c r="AV772" s="21">
        <v>0</v>
      </c>
      <c r="AW772" s="21">
        <v>0</v>
      </c>
      <c r="AX772" s="21">
        <v>290</v>
      </c>
      <c r="AY772" s="8">
        <v>0</v>
      </c>
    </row>
    <row r="773" spans="1:51" ht="15" customHeight="1" x14ac:dyDescent="0.25">
      <c r="A773" s="9">
        <v>743</v>
      </c>
      <c r="B773" s="13">
        <v>45768</v>
      </c>
      <c r="C773" s="9" t="s">
        <v>169</v>
      </c>
      <c r="D773" s="9">
        <v>9518709169</v>
      </c>
      <c r="E773" s="8">
        <v>1</v>
      </c>
      <c r="F773" s="9" t="s">
        <v>1451</v>
      </c>
      <c r="G773" s="79" t="s">
        <v>1446</v>
      </c>
      <c r="H773" s="9" t="s">
        <v>57</v>
      </c>
      <c r="I773" s="9" t="s">
        <v>38</v>
      </c>
      <c r="J773" s="9" t="s">
        <v>41</v>
      </c>
      <c r="K773" s="9">
        <v>1000</v>
      </c>
      <c r="L773" s="39"/>
      <c r="M773" s="7" t="s">
        <v>1</v>
      </c>
      <c r="N773" s="8"/>
      <c r="O773" s="40"/>
      <c r="P773" s="15" t="s">
        <v>289</v>
      </c>
      <c r="Q773" s="9" t="s">
        <v>188</v>
      </c>
      <c r="R773" s="9"/>
      <c r="S773" s="9"/>
      <c r="T773" s="9">
        <v>944226</v>
      </c>
      <c r="U773" s="16" t="s">
        <v>302</v>
      </c>
      <c r="V773" s="9">
        <v>3889776</v>
      </c>
      <c r="W773" s="8" t="s">
        <v>303</v>
      </c>
      <c r="X773" s="8">
        <v>150</v>
      </c>
      <c r="Y773" s="8"/>
      <c r="Z773" s="8"/>
      <c r="AA773" s="8"/>
      <c r="AB773" s="8"/>
      <c r="AC773" s="8" t="s">
        <v>222</v>
      </c>
      <c r="AD773" s="14" t="s">
        <v>223</v>
      </c>
      <c r="AE773" s="8" t="s">
        <v>304</v>
      </c>
      <c r="AF773" s="14">
        <v>0.9</v>
      </c>
      <c r="AG773" s="8">
        <v>1249</v>
      </c>
      <c r="AH773" s="8">
        <v>0</v>
      </c>
      <c r="AI773" s="8">
        <v>29</v>
      </c>
      <c r="AJ773" s="8">
        <v>0</v>
      </c>
      <c r="AK773" s="127">
        <v>29</v>
      </c>
      <c r="AL773" s="103">
        <v>0</v>
      </c>
      <c r="AM773" s="8">
        <v>29</v>
      </c>
      <c r="AN773" s="21">
        <v>0</v>
      </c>
      <c r="AO773" s="21">
        <v>0</v>
      </c>
      <c r="AP773" s="21">
        <v>0</v>
      </c>
      <c r="AQ773" s="21">
        <v>0</v>
      </c>
      <c r="AR773" s="21">
        <v>29</v>
      </c>
      <c r="AS773" s="8">
        <v>29</v>
      </c>
      <c r="AT773" s="21">
        <v>0</v>
      </c>
      <c r="AU773" s="21">
        <v>0</v>
      </c>
      <c r="AV773" s="21">
        <v>0</v>
      </c>
      <c r="AW773" s="21">
        <v>0</v>
      </c>
      <c r="AX773" s="21">
        <v>29</v>
      </c>
      <c r="AY773" s="8">
        <v>0</v>
      </c>
    </row>
    <row r="774" spans="1:51" ht="15" customHeight="1" x14ac:dyDescent="0.25">
      <c r="A774" s="9">
        <v>743</v>
      </c>
      <c r="B774" s="13">
        <v>45770</v>
      </c>
      <c r="C774" s="9" t="s">
        <v>169</v>
      </c>
      <c r="D774" s="9">
        <v>9518713333</v>
      </c>
      <c r="E774" s="8">
        <v>1</v>
      </c>
      <c r="F774" s="9" t="s">
        <v>1452</v>
      </c>
      <c r="G774" s="79" t="s">
        <v>1446</v>
      </c>
      <c r="H774" s="9" t="s">
        <v>57</v>
      </c>
      <c r="I774" s="9" t="s">
        <v>38</v>
      </c>
      <c r="J774" s="9" t="s">
        <v>41</v>
      </c>
      <c r="K774" s="9">
        <v>1000</v>
      </c>
      <c r="L774" s="39"/>
      <c r="M774" s="7" t="s">
        <v>1</v>
      </c>
      <c r="N774" s="8"/>
      <c r="O774" s="40"/>
      <c r="P774" s="15" t="s">
        <v>194</v>
      </c>
      <c r="Q774" s="9" t="s">
        <v>172</v>
      </c>
      <c r="R774" s="9"/>
      <c r="S774" s="9"/>
      <c r="T774" s="9">
        <v>188916</v>
      </c>
      <c r="U774" s="16" t="s">
        <v>1459</v>
      </c>
      <c r="V774" s="9">
        <v>3865176</v>
      </c>
      <c r="W774" s="8" t="s">
        <v>409</v>
      </c>
      <c r="X774" s="8">
        <v>150</v>
      </c>
      <c r="Y774" s="8"/>
      <c r="Z774" s="8"/>
      <c r="AA774" s="8"/>
      <c r="AB774" s="8"/>
      <c r="AC774" s="8" t="s">
        <v>222</v>
      </c>
      <c r="AD774" s="14" t="s">
        <v>223</v>
      </c>
      <c r="AE774" s="8" t="s">
        <v>372</v>
      </c>
      <c r="AF774" s="14">
        <v>0.9</v>
      </c>
      <c r="AG774" s="8">
        <v>1250</v>
      </c>
      <c r="AH774" s="8">
        <v>0</v>
      </c>
      <c r="AI774" s="8">
        <v>290</v>
      </c>
      <c r="AJ774" s="8">
        <v>0</v>
      </c>
      <c r="AK774" s="127">
        <v>290</v>
      </c>
      <c r="AL774" s="103">
        <v>0</v>
      </c>
      <c r="AM774" s="8">
        <v>290</v>
      </c>
      <c r="AN774" s="21">
        <v>0</v>
      </c>
      <c r="AO774" s="21">
        <v>0</v>
      </c>
      <c r="AP774" s="21">
        <v>0</v>
      </c>
      <c r="AQ774" s="21">
        <v>0</v>
      </c>
      <c r="AR774" s="21">
        <v>290</v>
      </c>
      <c r="AS774" s="8">
        <v>290</v>
      </c>
      <c r="AT774" s="21">
        <v>0</v>
      </c>
      <c r="AU774" s="21">
        <v>0</v>
      </c>
      <c r="AV774" s="21">
        <v>0</v>
      </c>
      <c r="AW774" s="21">
        <v>0</v>
      </c>
      <c r="AX774" s="21">
        <v>290</v>
      </c>
      <c r="AY774" s="8">
        <v>0</v>
      </c>
    </row>
    <row r="775" spans="1:51" ht="15" customHeight="1" x14ac:dyDescent="0.25">
      <c r="A775" s="9">
        <v>743</v>
      </c>
      <c r="B775" s="13">
        <v>45770</v>
      </c>
      <c r="C775" s="9" t="s">
        <v>169</v>
      </c>
      <c r="D775" s="9">
        <v>9518713406</v>
      </c>
      <c r="E775" s="8">
        <v>1</v>
      </c>
      <c r="F775" s="9" t="s">
        <v>1453</v>
      </c>
      <c r="G775" s="79" t="s">
        <v>1446</v>
      </c>
      <c r="H775" s="9" t="s">
        <v>57</v>
      </c>
      <c r="I775" s="9" t="s">
        <v>38</v>
      </c>
      <c r="J775" s="9" t="s">
        <v>41</v>
      </c>
      <c r="K775" s="9">
        <v>1000</v>
      </c>
      <c r="L775" s="39"/>
      <c r="M775" s="7" t="s">
        <v>1</v>
      </c>
      <c r="N775" s="8"/>
      <c r="O775" s="40"/>
      <c r="P775" s="15" t="s">
        <v>194</v>
      </c>
      <c r="Q775" s="9" t="s">
        <v>172</v>
      </c>
      <c r="R775" s="9"/>
      <c r="S775" s="9"/>
      <c r="T775" s="9">
        <v>188916</v>
      </c>
      <c r="U775" s="16" t="s">
        <v>1459</v>
      </c>
      <c r="V775" s="9">
        <v>3865176</v>
      </c>
      <c r="W775" s="8" t="s">
        <v>409</v>
      </c>
      <c r="X775" s="8">
        <v>150</v>
      </c>
      <c r="Y775" s="8"/>
      <c r="Z775" s="8"/>
      <c r="AA775" s="8"/>
      <c r="AB775" s="8"/>
      <c r="AC775" s="8" t="s">
        <v>222</v>
      </c>
      <c r="AD775" s="14" t="s">
        <v>223</v>
      </c>
      <c r="AE775" s="8" t="s">
        <v>372</v>
      </c>
      <c r="AF775" s="14">
        <v>0.9</v>
      </c>
      <c r="AG775" s="8">
        <v>1250</v>
      </c>
      <c r="AH775" s="8">
        <v>0</v>
      </c>
      <c r="AI775" s="8">
        <v>290</v>
      </c>
      <c r="AJ775" s="8">
        <v>0</v>
      </c>
      <c r="AK775" s="127">
        <v>290</v>
      </c>
      <c r="AL775" s="103">
        <v>0</v>
      </c>
      <c r="AM775" s="8">
        <v>290</v>
      </c>
      <c r="AN775" s="21">
        <v>0</v>
      </c>
      <c r="AO775" s="21">
        <v>0</v>
      </c>
      <c r="AP775" s="21">
        <v>0</v>
      </c>
      <c r="AQ775" s="21">
        <v>0</v>
      </c>
      <c r="AR775" s="21">
        <v>290</v>
      </c>
      <c r="AS775" s="8">
        <v>0</v>
      </c>
      <c r="AT775" s="21">
        <v>0</v>
      </c>
      <c r="AU775" s="21">
        <v>0</v>
      </c>
      <c r="AV775" s="21">
        <v>0</v>
      </c>
      <c r="AW775" s="21">
        <v>0</v>
      </c>
      <c r="AX775" s="21">
        <v>0</v>
      </c>
      <c r="AY775" s="8">
        <v>290</v>
      </c>
    </row>
    <row r="776" spans="1:51" ht="15" customHeight="1" x14ac:dyDescent="0.25">
      <c r="A776" s="9">
        <v>743</v>
      </c>
      <c r="B776" s="13">
        <v>45773</v>
      </c>
      <c r="C776" s="9" t="s">
        <v>169</v>
      </c>
      <c r="D776" s="9">
        <v>9518724466</v>
      </c>
      <c r="E776" s="8">
        <v>1</v>
      </c>
      <c r="F776" s="9" t="s">
        <v>1454</v>
      </c>
      <c r="G776" s="79" t="s">
        <v>1446</v>
      </c>
      <c r="H776" s="9" t="s">
        <v>57</v>
      </c>
      <c r="I776" s="9" t="s">
        <v>43</v>
      </c>
      <c r="J776" s="9" t="s">
        <v>46</v>
      </c>
      <c r="K776" s="9">
        <v>2000</v>
      </c>
      <c r="L776" s="39"/>
      <c r="M776" s="7" t="s">
        <v>1</v>
      </c>
      <c r="N776" s="8"/>
      <c r="O776" s="40"/>
      <c r="P776" s="15" t="s">
        <v>239</v>
      </c>
      <c r="Q776" s="9" t="s">
        <v>214</v>
      </c>
      <c r="R776" s="9"/>
      <c r="S776" s="9"/>
      <c r="T776" s="9">
        <v>942923</v>
      </c>
      <c r="U776" s="16" t="s">
        <v>126</v>
      </c>
      <c r="V776" s="9">
        <v>304874</v>
      </c>
      <c r="W776" s="8" t="s">
        <v>387</v>
      </c>
      <c r="X776" s="8" t="s">
        <v>175</v>
      </c>
      <c r="Y776" s="8"/>
      <c r="Z776" s="8"/>
      <c r="AA776" s="8"/>
      <c r="AB776" s="8"/>
      <c r="AC776" s="8" t="s">
        <v>269</v>
      </c>
      <c r="AD776" s="14" t="s">
        <v>185</v>
      </c>
      <c r="AE776" s="8" t="s">
        <v>165</v>
      </c>
      <c r="AF776" s="14">
        <v>0.25</v>
      </c>
      <c r="AG776" s="8">
        <v>1015</v>
      </c>
      <c r="AH776" s="8">
        <v>0</v>
      </c>
      <c r="AI776" s="8">
        <v>23</v>
      </c>
      <c r="AJ776" s="8">
        <v>0</v>
      </c>
      <c r="AK776" s="127">
        <v>23</v>
      </c>
      <c r="AL776" s="103">
        <v>0</v>
      </c>
      <c r="AM776" s="8">
        <v>23</v>
      </c>
      <c r="AN776" s="21">
        <v>0</v>
      </c>
      <c r="AO776" s="21">
        <v>0</v>
      </c>
      <c r="AP776" s="21">
        <v>0</v>
      </c>
      <c r="AQ776" s="21">
        <v>23</v>
      </c>
      <c r="AR776" s="21">
        <v>0</v>
      </c>
      <c r="AS776" s="8">
        <v>23</v>
      </c>
      <c r="AT776" s="21">
        <v>0</v>
      </c>
      <c r="AU776" s="21">
        <v>0</v>
      </c>
      <c r="AV776" s="21">
        <v>0</v>
      </c>
      <c r="AW776" s="21">
        <v>0</v>
      </c>
      <c r="AX776" s="21">
        <v>23</v>
      </c>
      <c r="AY776" s="8">
        <v>0</v>
      </c>
    </row>
    <row r="777" spans="1:51" ht="15" customHeight="1" x14ac:dyDescent="0.25">
      <c r="A777" s="9">
        <v>743</v>
      </c>
      <c r="B777" s="13">
        <v>45773</v>
      </c>
      <c r="C777" s="9" t="s">
        <v>169</v>
      </c>
      <c r="D777" s="9">
        <v>9518724466</v>
      </c>
      <c r="E777" s="8">
        <v>5</v>
      </c>
      <c r="F777" s="9" t="s">
        <v>1455</v>
      </c>
      <c r="G777" s="79" t="s">
        <v>1446</v>
      </c>
      <c r="H777" s="9" t="s">
        <v>57</v>
      </c>
      <c r="I777" s="9" t="s">
        <v>43</v>
      </c>
      <c r="J777" s="9" t="s">
        <v>46</v>
      </c>
      <c r="K777" s="9">
        <v>2000</v>
      </c>
      <c r="L777" s="39"/>
      <c r="M777" s="7" t="s">
        <v>1</v>
      </c>
      <c r="N777" s="8"/>
      <c r="O777" s="40"/>
      <c r="P777" s="15" t="s">
        <v>239</v>
      </c>
      <c r="Q777" s="9" t="s">
        <v>214</v>
      </c>
      <c r="R777" s="9"/>
      <c r="S777" s="9"/>
      <c r="T777" s="9">
        <v>942923</v>
      </c>
      <c r="U777" s="16" t="s">
        <v>126</v>
      </c>
      <c r="V777" s="9">
        <v>3767014</v>
      </c>
      <c r="W777" s="8" t="s">
        <v>788</v>
      </c>
      <c r="X777" s="8" t="s">
        <v>175</v>
      </c>
      <c r="Y777" s="8"/>
      <c r="Z777" s="8"/>
      <c r="AA777" s="8"/>
      <c r="AB777" s="8"/>
      <c r="AC777" s="8" t="s">
        <v>269</v>
      </c>
      <c r="AD777" s="14" t="s">
        <v>270</v>
      </c>
      <c r="AE777" s="8" t="s">
        <v>165</v>
      </c>
      <c r="AF777" s="14">
        <v>0.4</v>
      </c>
      <c r="AG777" s="8">
        <v>1350</v>
      </c>
      <c r="AH777" s="8">
        <v>0</v>
      </c>
      <c r="AI777" s="8">
        <v>31</v>
      </c>
      <c r="AJ777" s="8">
        <v>0</v>
      </c>
      <c r="AK777" s="127">
        <v>31</v>
      </c>
      <c r="AL777" s="103">
        <v>0</v>
      </c>
      <c r="AM777" s="8">
        <v>31</v>
      </c>
      <c r="AN777" s="21">
        <v>0</v>
      </c>
      <c r="AO777" s="21">
        <v>0</v>
      </c>
      <c r="AP777" s="21">
        <v>31</v>
      </c>
      <c r="AQ777" s="21">
        <v>0</v>
      </c>
      <c r="AR777" s="21">
        <v>0</v>
      </c>
      <c r="AS777" s="8">
        <v>31</v>
      </c>
      <c r="AT777" s="21">
        <v>0</v>
      </c>
      <c r="AU777" s="21">
        <v>0</v>
      </c>
      <c r="AV777" s="21">
        <v>0</v>
      </c>
      <c r="AW777" s="21">
        <v>31</v>
      </c>
      <c r="AX777" s="21">
        <v>0</v>
      </c>
      <c r="AY777" s="8">
        <v>0</v>
      </c>
    </row>
    <row r="778" spans="1:51" ht="15" customHeight="1" x14ac:dyDescent="0.25">
      <c r="A778" s="9">
        <v>743</v>
      </c>
      <c r="B778" s="13">
        <v>45773</v>
      </c>
      <c r="C778" s="9" t="s">
        <v>169</v>
      </c>
      <c r="D778" s="9">
        <v>9518724466</v>
      </c>
      <c r="E778" s="8">
        <v>7</v>
      </c>
      <c r="F778" s="9" t="s">
        <v>1456</v>
      </c>
      <c r="G778" s="79" t="s">
        <v>1446</v>
      </c>
      <c r="H778" s="9" t="s">
        <v>57</v>
      </c>
      <c r="I778" s="9" t="s">
        <v>43</v>
      </c>
      <c r="J778" s="9" t="s">
        <v>46</v>
      </c>
      <c r="K778" s="9">
        <v>2000</v>
      </c>
      <c r="L778" s="39"/>
      <c r="M778" s="7" t="s">
        <v>1</v>
      </c>
      <c r="N778" s="8"/>
      <c r="O778" s="40"/>
      <c r="P778" s="15" t="s">
        <v>239</v>
      </c>
      <c r="Q778" s="9" t="s">
        <v>214</v>
      </c>
      <c r="R778" s="9"/>
      <c r="S778" s="9"/>
      <c r="T778" s="9">
        <v>942923</v>
      </c>
      <c r="U778" s="16" t="s">
        <v>126</v>
      </c>
      <c r="V778" s="9">
        <v>3708868</v>
      </c>
      <c r="W778" s="8" t="s">
        <v>603</v>
      </c>
      <c r="X778" s="8" t="s">
        <v>175</v>
      </c>
      <c r="Y778" s="8"/>
      <c r="Z778" s="8"/>
      <c r="AA778" s="8"/>
      <c r="AB778" s="8"/>
      <c r="AC778" s="8" t="s">
        <v>269</v>
      </c>
      <c r="AD778" s="14" t="s">
        <v>270</v>
      </c>
      <c r="AE778" s="8" t="s">
        <v>165</v>
      </c>
      <c r="AF778" s="14">
        <v>0.5</v>
      </c>
      <c r="AG778" s="8">
        <v>1350</v>
      </c>
      <c r="AH778" s="8">
        <v>0</v>
      </c>
      <c r="AI778" s="8">
        <v>93</v>
      </c>
      <c r="AJ778" s="8">
        <v>0</v>
      </c>
      <c r="AK778" s="127">
        <v>93</v>
      </c>
      <c r="AL778" s="103">
        <v>0</v>
      </c>
      <c r="AM778" s="8">
        <v>93</v>
      </c>
      <c r="AN778" s="21">
        <v>0</v>
      </c>
      <c r="AO778" s="21">
        <v>0</v>
      </c>
      <c r="AP778" s="21">
        <v>0</v>
      </c>
      <c r="AQ778" s="21">
        <v>0</v>
      </c>
      <c r="AR778" s="21">
        <v>93</v>
      </c>
      <c r="AS778" s="8">
        <v>0</v>
      </c>
      <c r="AT778" s="21">
        <v>0</v>
      </c>
      <c r="AU778" s="21">
        <v>0</v>
      </c>
      <c r="AV778" s="21">
        <v>0</v>
      </c>
      <c r="AW778" s="21">
        <v>0</v>
      </c>
      <c r="AX778" s="21">
        <v>0</v>
      </c>
      <c r="AY778" s="8">
        <v>93</v>
      </c>
    </row>
    <row r="779" spans="1:51" ht="15" customHeight="1" x14ac:dyDescent="0.25">
      <c r="A779" s="9">
        <v>743</v>
      </c>
      <c r="B779" s="13">
        <v>45773</v>
      </c>
      <c r="C779" s="9" t="s">
        <v>169</v>
      </c>
      <c r="D779" s="9">
        <v>9518724466</v>
      </c>
      <c r="E779" s="8">
        <v>8</v>
      </c>
      <c r="F779" s="9" t="s">
        <v>1457</v>
      </c>
      <c r="G779" s="79" t="s">
        <v>1446</v>
      </c>
      <c r="H779" s="9" t="s">
        <v>57</v>
      </c>
      <c r="I779" s="9" t="s">
        <v>43</v>
      </c>
      <c r="J779" s="9" t="s">
        <v>46</v>
      </c>
      <c r="K779" s="9">
        <v>2000</v>
      </c>
      <c r="L779" s="39"/>
      <c r="M779" s="7" t="s">
        <v>1</v>
      </c>
      <c r="N779" s="8"/>
      <c r="O779" s="40"/>
      <c r="P779" s="15" t="s">
        <v>239</v>
      </c>
      <c r="Q779" s="9" t="s">
        <v>214</v>
      </c>
      <c r="R779" s="9"/>
      <c r="S779" s="9"/>
      <c r="T779" s="9">
        <v>942923</v>
      </c>
      <c r="U779" s="16" t="s">
        <v>126</v>
      </c>
      <c r="V779" s="9">
        <v>3767015</v>
      </c>
      <c r="W779" s="8" t="s">
        <v>1460</v>
      </c>
      <c r="X779" s="8" t="s">
        <v>175</v>
      </c>
      <c r="Y779" s="8"/>
      <c r="Z779" s="8"/>
      <c r="AA779" s="8"/>
      <c r="AB779" s="8"/>
      <c r="AC779" s="8" t="s">
        <v>269</v>
      </c>
      <c r="AD779" s="14" t="s">
        <v>270</v>
      </c>
      <c r="AE779" s="8" t="s">
        <v>165</v>
      </c>
      <c r="AF779" s="14">
        <v>0.6</v>
      </c>
      <c r="AG779" s="8">
        <v>1350</v>
      </c>
      <c r="AH779" s="8">
        <v>0</v>
      </c>
      <c r="AI779" s="8">
        <v>31</v>
      </c>
      <c r="AJ779" s="8">
        <v>0</v>
      </c>
      <c r="AK779" s="127">
        <v>31</v>
      </c>
      <c r="AL779" s="103">
        <v>0</v>
      </c>
      <c r="AM779" s="8">
        <v>31</v>
      </c>
      <c r="AN779" s="21">
        <v>0</v>
      </c>
      <c r="AO779" s="21">
        <v>0</v>
      </c>
      <c r="AP779" s="21">
        <v>31</v>
      </c>
      <c r="AQ779" s="21">
        <v>0</v>
      </c>
      <c r="AR779" s="21">
        <v>0</v>
      </c>
      <c r="AS779" s="8">
        <v>31</v>
      </c>
      <c r="AT779" s="21">
        <v>0</v>
      </c>
      <c r="AU779" s="21">
        <v>0</v>
      </c>
      <c r="AV779" s="21">
        <v>0</v>
      </c>
      <c r="AW779" s="21">
        <v>31</v>
      </c>
      <c r="AX779" s="21">
        <v>0</v>
      </c>
      <c r="AY779" s="8">
        <v>0</v>
      </c>
    </row>
    <row r="780" spans="1:51" ht="15" customHeight="1" x14ac:dyDescent="0.25">
      <c r="A780" s="9">
        <v>743</v>
      </c>
      <c r="B780" s="13">
        <v>45771</v>
      </c>
      <c r="C780" s="9" t="s">
        <v>169</v>
      </c>
      <c r="D780" s="9">
        <v>9518718466</v>
      </c>
      <c r="E780" s="8">
        <v>1</v>
      </c>
      <c r="F780" s="9" t="s">
        <v>1458</v>
      </c>
      <c r="G780" s="79" t="s">
        <v>1446</v>
      </c>
      <c r="H780" s="9" t="s">
        <v>57</v>
      </c>
      <c r="I780" s="9" t="s">
        <v>38</v>
      </c>
      <c r="J780" s="9" t="s">
        <v>39</v>
      </c>
      <c r="K780" s="9">
        <v>1000</v>
      </c>
      <c r="L780" s="39"/>
      <c r="M780" s="7" t="s">
        <v>1</v>
      </c>
      <c r="N780" s="8"/>
      <c r="O780" s="40"/>
      <c r="P780" s="15" t="s">
        <v>220</v>
      </c>
      <c r="Q780" s="9" t="s">
        <v>264</v>
      </c>
      <c r="R780" s="9"/>
      <c r="S780" s="9"/>
      <c r="T780" s="9">
        <v>942283</v>
      </c>
      <c r="U780" s="16" t="s">
        <v>105</v>
      </c>
      <c r="V780" s="9">
        <v>1881969</v>
      </c>
      <c r="W780" s="8" t="s">
        <v>428</v>
      </c>
      <c r="X780" s="8">
        <v>150</v>
      </c>
      <c r="Y780" s="8"/>
      <c r="Z780" s="8"/>
      <c r="AA780" s="8"/>
      <c r="AB780" s="8"/>
      <c r="AC780" s="8" t="s">
        <v>222</v>
      </c>
      <c r="AD780" s="14" t="s">
        <v>223</v>
      </c>
      <c r="AE780" s="8" t="s">
        <v>224</v>
      </c>
      <c r="AF780" s="14">
        <v>0.45</v>
      </c>
      <c r="AG780" s="8">
        <v>1220</v>
      </c>
      <c r="AH780" s="8">
        <v>0</v>
      </c>
      <c r="AI780" s="8">
        <v>196</v>
      </c>
      <c r="AJ780" s="8">
        <v>0</v>
      </c>
      <c r="AK780" s="127">
        <v>196</v>
      </c>
      <c r="AL780" s="103">
        <v>0</v>
      </c>
      <c r="AM780" s="8">
        <v>196</v>
      </c>
      <c r="AN780" s="21">
        <v>0</v>
      </c>
      <c r="AO780" s="21">
        <v>0</v>
      </c>
      <c r="AP780" s="21">
        <v>0</v>
      </c>
      <c r="AQ780" s="21">
        <v>196</v>
      </c>
      <c r="AR780" s="21">
        <v>0</v>
      </c>
      <c r="AS780" s="8">
        <v>0</v>
      </c>
      <c r="AT780" s="21">
        <v>0</v>
      </c>
      <c r="AU780" s="21">
        <v>0</v>
      </c>
      <c r="AV780" s="21">
        <v>0</v>
      </c>
      <c r="AW780" s="21">
        <v>0</v>
      </c>
      <c r="AX780" s="21">
        <v>0</v>
      </c>
      <c r="AY780" s="8">
        <v>196</v>
      </c>
    </row>
    <row r="781" spans="1:51" ht="15" customHeight="1" x14ac:dyDescent="0.25">
      <c r="A781" s="9">
        <v>742</v>
      </c>
      <c r="B781" s="13">
        <v>45769</v>
      </c>
      <c r="C781" s="9" t="s">
        <v>169</v>
      </c>
      <c r="D781" s="9">
        <v>9518712653</v>
      </c>
      <c r="E781" s="8">
        <v>1</v>
      </c>
      <c r="F781" s="9" t="s">
        <v>1846</v>
      </c>
      <c r="G781" s="79" t="s">
        <v>1446</v>
      </c>
      <c r="H781" s="9" t="s">
        <v>57</v>
      </c>
      <c r="I781" s="9" t="s">
        <v>25</v>
      </c>
      <c r="J781" s="9" t="s">
        <v>28</v>
      </c>
      <c r="K781" s="9">
        <v>1000</v>
      </c>
      <c r="L781" s="39"/>
      <c r="M781" s="7" t="s">
        <v>1</v>
      </c>
      <c r="N781" s="8"/>
      <c r="O781" s="40"/>
      <c r="P781" s="15"/>
      <c r="Q781" s="9" t="s">
        <v>188</v>
      </c>
      <c r="R781" s="9"/>
      <c r="S781" s="9"/>
      <c r="T781" s="9"/>
      <c r="U781" s="16" t="s">
        <v>59</v>
      </c>
      <c r="V781" s="9">
        <v>2421723</v>
      </c>
      <c r="W781" s="8" t="s">
        <v>499</v>
      </c>
      <c r="X781" s="8"/>
      <c r="Y781" s="8"/>
      <c r="Z781" s="8"/>
      <c r="AA781" s="8"/>
      <c r="AB781" s="8"/>
      <c r="AC781" s="8" t="s">
        <v>190</v>
      </c>
      <c r="AD781" s="14" t="s">
        <v>191</v>
      </c>
      <c r="AE781" s="8" t="s">
        <v>384</v>
      </c>
      <c r="AF781" s="14">
        <v>0.77</v>
      </c>
      <c r="AG781" s="8">
        <v>920</v>
      </c>
      <c r="AH781" s="8">
        <v>0</v>
      </c>
      <c r="AI781" s="8">
        <v>273</v>
      </c>
      <c r="AJ781" s="8">
        <v>0</v>
      </c>
      <c r="AK781" s="127">
        <v>273</v>
      </c>
      <c r="AL781" s="103">
        <v>0</v>
      </c>
      <c r="AM781" s="8">
        <v>273</v>
      </c>
      <c r="AN781" s="21">
        <v>0</v>
      </c>
      <c r="AO781" s="21">
        <v>0</v>
      </c>
      <c r="AP781" s="21">
        <v>0</v>
      </c>
      <c r="AQ781" s="21">
        <v>0</v>
      </c>
      <c r="AR781" s="21">
        <v>273</v>
      </c>
      <c r="AS781" s="8">
        <v>0</v>
      </c>
      <c r="AT781" s="21">
        <v>0</v>
      </c>
      <c r="AU781" s="21">
        <v>0</v>
      </c>
      <c r="AV781" s="21">
        <v>0</v>
      </c>
      <c r="AW781" s="21">
        <v>0</v>
      </c>
      <c r="AX781" s="21">
        <v>0</v>
      </c>
      <c r="AY781" s="8">
        <v>273</v>
      </c>
    </row>
    <row r="782" spans="1:51" ht="15" customHeight="1" x14ac:dyDescent="0.25">
      <c r="A782" s="9">
        <v>742</v>
      </c>
      <c r="B782" s="13">
        <v>45769</v>
      </c>
      <c r="C782" s="9" t="s">
        <v>169</v>
      </c>
      <c r="D782" s="9">
        <v>9518712672</v>
      </c>
      <c r="E782" s="8">
        <v>7</v>
      </c>
      <c r="F782" s="9" t="s">
        <v>1847</v>
      </c>
      <c r="G782" s="79" t="s">
        <v>1446</v>
      </c>
      <c r="H782" s="9" t="s">
        <v>57</v>
      </c>
      <c r="I782" s="9" t="s">
        <v>25</v>
      </c>
      <c r="J782" s="9" t="s">
        <v>28</v>
      </c>
      <c r="K782" s="9">
        <v>1000</v>
      </c>
      <c r="L782" s="39"/>
      <c r="M782" s="7" t="s">
        <v>1</v>
      </c>
      <c r="N782" s="8"/>
      <c r="O782" s="40"/>
      <c r="P782" s="15"/>
      <c r="Q782" s="9" t="s">
        <v>188</v>
      </c>
      <c r="R782" s="9"/>
      <c r="S782" s="9"/>
      <c r="T782" s="9"/>
      <c r="U782" s="16" t="s">
        <v>59</v>
      </c>
      <c r="V782" s="9">
        <v>2279492</v>
      </c>
      <c r="W782" s="8" t="s">
        <v>1150</v>
      </c>
      <c r="X782" s="8"/>
      <c r="Y782" s="8"/>
      <c r="Z782" s="8"/>
      <c r="AA782" s="8"/>
      <c r="AB782" s="8"/>
      <c r="AC782" s="8" t="s">
        <v>190</v>
      </c>
      <c r="AD782" s="14" t="s">
        <v>191</v>
      </c>
      <c r="AE782" s="8" t="s">
        <v>346</v>
      </c>
      <c r="AF782" s="14">
        <v>0.9</v>
      </c>
      <c r="AG782" s="8">
        <v>1220</v>
      </c>
      <c r="AH782" s="8">
        <v>0</v>
      </c>
      <c r="AI782" s="8">
        <v>28</v>
      </c>
      <c r="AJ782" s="8">
        <v>0</v>
      </c>
      <c r="AK782" s="127">
        <v>28</v>
      </c>
      <c r="AL782" s="103">
        <v>0</v>
      </c>
      <c r="AM782" s="8">
        <v>28</v>
      </c>
      <c r="AN782" s="21">
        <v>0</v>
      </c>
      <c r="AO782" s="21">
        <v>0</v>
      </c>
      <c r="AP782" s="21">
        <v>28</v>
      </c>
      <c r="AQ782" s="21">
        <v>0</v>
      </c>
      <c r="AR782" s="21">
        <v>0</v>
      </c>
      <c r="AS782" s="8">
        <v>28</v>
      </c>
      <c r="AT782" s="21">
        <v>0</v>
      </c>
      <c r="AU782" s="21">
        <v>0</v>
      </c>
      <c r="AV782" s="21">
        <v>0</v>
      </c>
      <c r="AW782" s="21">
        <v>28</v>
      </c>
      <c r="AX782" s="21">
        <v>0</v>
      </c>
      <c r="AY782" s="8">
        <v>0</v>
      </c>
    </row>
    <row r="783" spans="1:51" ht="15" customHeight="1" x14ac:dyDescent="0.25">
      <c r="A783" s="9">
        <v>742</v>
      </c>
      <c r="B783" s="13">
        <v>45769</v>
      </c>
      <c r="C783" s="9" t="s">
        <v>169</v>
      </c>
      <c r="D783" s="9">
        <v>9518712677</v>
      </c>
      <c r="E783" s="8">
        <v>2</v>
      </c>
      <c r="F783" s="9" t="s">
        <v>1848</v>
      </c>
      <c r="G783" s="126" t="s">
        <v>1446</v>
      </c>
      <c r="H783" s="9" t="s">
        <v>57</v>
      </c>
      <c r="I783" s="9" t="s">
        <v>25</v>
      </c>
      <c r="J783" s="9" t="s">
        <v>28</v>
      </c>
      <c r="K783" s="9">
        <v>1000</v>
      </c>
      <c r="L783" s="39"/>
      <c r="M783" s="7" t="s">
        <v>1</v>
      </c>
      <c r="N783" s="8"/>
      <c r="O783" s="40"/>
      <c r="P783" s="15"/>
      <c r="Q783" s="9" t="s">
        <v>188</v>
      </c>
      <c r="R783" s="9"/>
      <c r="S783" s="9"/>
      <c r="T783" s="9"/>
      <c r="U783" s="16" t="s">
        <v>59</v>
      </c>
      <c r="V783" s="9">
        <v>2299154</v>
      </c>
      <c r="W783" s="8" t="s">
        <v>1163</v>
      </c>
      <c r="X783" s="8"/>
      <c r="Y783" s="8"/>
      <c r="Z783" s="8"/>
      <c r="AA783" s="8"/>
      <c r="AB783" s="8"/>
      <c r="AC783" s="8" t="s">
        <v>190</v>
      </c>
      <c r="AD783" s="14" t="s">
        <v>191</v>
      </c>
      <c r="AE783" s="8" t="s">
        <v>384</v>
      </c>
      <c r="AF783" s="14">
        <v>0.8</v>
      </c>
      <c r="AG783" s="8">
        <v>920</v>
      </c>
      <c r="AH783" s="8">
        <v>0</v>
      </c>
      <c r="AI783" s="8">
        <v>84</v>
      </c>
      <c r="AJ783" s="8">
        <v>0</v>
      </c>
      <c r="AK783" s="127">
        <v>84</v>
      </c>
      <c r="AL783" s="103">
        <v>0</v>
      </c>
      <c r="AM783" s="8">
        <v>84</v>
      </c>
      <c r="AN783" s="21">
        <v>0</v>
      </c>
      <c r="AO783" s="21">
        <v>0</v>
      </c>
      <c r="AP783" s="21">
        <v>0</v>
      </c>
      <c r="AQ783" s="21">
        <v>0</v>
      </c>
      <c r="AR783" s="21">
        <v>84</v>
      </c>
      <c r="AS783" s="8">
        <v>84</v>
      </c>
      <c r="AT783" s="21">
        <v>0</v>
      </c>
      <c r="AU783" s="21">
        <v>0</v>
      </c>
      <c r="AV783" s="21">
        <v>0</v>
      </c>
      <c r="AW783" s="21">
        <v>0</v>
      </c>
      <c r="AX783" s="21">
        <v>84</v>
      </c>
      <c r="AY783" s="8">
        <v>0</v>
      </c>
    </row>
    <row r="784" spans="1:51" ht="15" customHeight="1" x14ac:dyDescent="0.25">
      <c r="A784" s="9">
        <v>742</v>
      </c>
      <c r="B784" s="13">
        <v>45769</v>
      </c>
      <c r="C784" s="9" t="s">
        <v>169</v>
      </c>
      <c r="D784" s="9">
        <v>9518712674</v>
      </c>
      <c r="E784" s="8">
        <v>4</v>
      </c>
      <c r="F784" s="9" t="s">
        <v>1849</v>
      </c>
      <c r="G784" s="126" t="s">
        <v>1446</v>
      </c>
      <c r="H784" s="9" t="s">
        <v>57</v>
      </c>
      <c r="I784" s="9" t="s">
        <v>25</v>
      </c>
      <c r="J784" s="9" t="s">
        <v>28</v>
      </c>
      <c r="K784" s="9">
        <v>1000</v>
      </c>
      <c r="L784" s="39"/>
      <c r="M784" s="7" t="s">
        <v>1</v>
      </c>
      <c r="N784" s="8"/>
      <c r="O784" s="40"/>
      <c r="P784" s="15"/>
      <c r="Q784" s="9" t="s">
        <v>188</v>
      </c>
      <c r="R784" s="9"/>
      <c r="S784" s="9"/>
      <c r="T784" s="9"/>
      <c r="U784" s="16" t="s">
        <v>59</v>
      </c>
      <c r="V784" s="9">
        <v>2170008</v>
      </c>
      <c r="W784" s="8" t="s">
        <v>567</v>
      </c>
      <c r="X784" s="8"/>
      <c r="Y784" s="8"/>
      <c r="Z784" s="8"/>
      <c r="AA784" s="8"/>
      <c r="AB784" s="8"/>
      <c r="AC784" s="8" t="s">
        <v>190</v>
      </c>
      <c r="AD784" s="14" t="s">
        <v>191</v>
      </c>
      <c r="AE784" s="8" t="s">
        <v>346</v>
      </c>
      <c r="AF784" s="14">
        <v>0.97</v>
      </c>
      <c r="AG784" s="8">
        <v>1220</v>
      </c>
      <c r="AH784" s="8">
        <v>0</v>
      </c>
      <c r="AI784" s="8">
        <v>196</v>
      </c>
      <c r="AJ784" s="8">
        <v>0</v>
      </c>
      <c r="AK784" s="127">
        <v>196</v>
      </c>
      <c r="AL784" s="103">
        <v>0</v>
      </c>
      <c r="AM784" s="8">
        <v>196</v>
      </c>
      <c r="AN784" s="21">
        <v>0</v>
      </c>
      <c r="AO784" s="21">
        <v>0</v>
      </c>
      <c r="AP784" s="21">
        <v>196</v>
      </c>
      <c r="AQ784" s="21">
        <v>0</v>
      </c>
      <c r="AR784" s="21">
        <v>0</v>
      </c>
      <c r="AS784" s="8">
        <v>196</v>
      </c>
      <c r="AT784" s="21">
        <v>0</v>
      </c>
      <c r="AU784" s="21">
        <v>0</v>
      </c>
      <c r="AV784" s="21">
        <v>0</v>
      </c>
      <c r="AW784" s="21">
        <v>196</v>
      </c>
      <c r="AX784" s="21">
        <v>0</v>
      </c>
      <c r="AY784" s="8">
        <v>0</v>
      </c>
    </row>
    <row r="785" spans="1:51" ht="15" customHeight="1" x14ac:dyDescent="0.25">
      <c r="A785" s="9">
        <v>742</v>
      </c>
      <c r="B785" s="13">
        <v>45775</v>
      </c>
      <c r="C785" s="9" t="s">
        <v>169</v>
      </c>
      <c r="D785" s="9">
        <v>9518729315</v>
      </c>
      <c r="E785" s="8">
        <v>2</v>
      </c>
      <c r="F785" s="9" t="s">
        <v>1850</v>
      </c>
      <c r="G785" s="126" t="s">
        <v>1446</v>
      </c>
      <c r="H785" s="9" t="s">
        <v>57</v>
      </c>
      <c r="I785" s="9" t="s">
        <v>25</v>
      </c>
      <c r="J785" s="9" t="s">
        <v>28</v>
      </c>
      <c r="K785" s="9">
        <v>1000</v>
      </c>
      <c r="L785" s="39"/>
      <c r="M785" s="7" t="s">
        <v>1</v>
      </c>
      <c r="N785" s="8"/>
      <c r="O785" s="40"/>
      <c r="P785" s="15"/>
      <c r="Q785" s="9" t="s">
        <v>188</v>
      </c>
      <c r="R785" s="9"/>
      <c r="S785" s="9"/>
      <c r="T785" s="9"/>
      <c r="U785" s="16" t="s">
        <v>62</v>
      </c>
      <c r="V785" s="9">
        <v>2403240</v>
      </c>
      <c r="W785" s="8" t="s">
        <v>1394</v>
      </c>
      <c r="X785" s="8"/>
      <c r="Y785" s="8"/>
      <c r="Z785" s="8"/>
      <c r="AA785" s="8"/>
      <c r="AB785" s="8"/>
      <c r="AC785" s="8" t="s">
        <v>190</v>
      </c>
      <c r="AD785" s="14" t="s">
        <v>191</v>
      </c>
      <c r="AE785" s="8" t="s">
        <v>384</v>
      </c>
      <c r="AF785" s="14">
        <v>0.8</v>
      </c>
      <c r="AG785" s="8">
        <v>925</v>
      </c>
      <c r="AH785" s="8">
        <v>0</v>
      </c>
      <c r="AI785" s="8">
        <v>105</v>
      </c>
      <c r="AJ785" s="8">
        <v>0</v>
      </c>
      <c r="AK785" s="127">
        <v>105</v>
      </c>
      <c r="AL785" s="103">
        <v>0</v>
      </c>
      <c r="AM785" s="8">
        <v>105</v>
      </c>
      <c r="AN785" s="21">
        <v>0</v>
      </c>
      <c r="AO785" s="21">
        <v>0</v>
      </c>
      <c r="AP785" s="21">
        <v>0</v>
      </c>
      <c r="AQ785" s="21">
        <v>0</v>
      </c>
      <c r="AR785" s="21">
        <v>105</v>
      </c>
      <c r="AS785" s="8">
        <v>105</v>
      </c>
      <c r="AT785" s="21">
        <v>0</v>
      </c>
      <c r="AU785" s="21">
        <v>0</v>
      </c>
      <c r="AV785" s="21">
        <v>0</v>
      </c>
      <c r="AW785" s="21">
        <v>0</v>
      </c>
      <c r="AX785" s="21">
        <v>105</v>
      </c>
      <c r="AY785" s="8">
        <v>0</v>
      </c>
    </row>
    <row r="786" spans="1:51" ht="15" customHeight="1" x14ac:dyDescent="0.25">
      <c r="A786" s="9">
        <v>742</v>
      </c>
      <c r="B786" s="13">
        <v>45769</v>
      </c>
      <c r="C786" s="9" t="s">
        <v>169</v>
      </c>
      <c r="D786" s="9">
        <v>9518712127</v>
      </c>
      <c r="E786" s="8">
        <v>9</v>
      </c>
      <c r="F786" s="9" t="s">
        <v>1469</v>
      </c>
      <c r="G786" s="79" t="s">
        <v>1303</v>
      </c>
      <c r="H786" s="9" t="s">
        <v>57</v>
      </c>
      <c r="I786" s="9" t="s">
        <v>25</v>
      </c>
      <c r="J786" s="9" t="s">
        <v>30</v>
      </c>
      <c r="K786" s="9" t="s">
        <v>170</v>
      </c>
      <c r="L786" s="39"/>
      <c r="M786" s="7" t="s">
        <v>1</v>
      </c>
      <c r="N786" s="8"/>
      <c r="O786" s="40"/>
      <c r="P786" s="15"/>
      <c r="Q786" s="9" t="s">
        <v>214</v>
      </c>
      <c r="R786" s="9" t="s">
        <v>378</v>
      </c>
      <c r="S786" s="9"/>
      <c r="T786" s="9">
        <v>116465</v>
      </c>
      <c r="U786" s="16" t="s">
        <v>98</v>
      </c>
      <c r="V786" s="9">
        <v>1801290</v>
      </c>
      <c r="W786" s="8" t="s">
        <v>330</v>
      </c>
      <c r="X786" s="8"/>
      <c r="Y786" s="8"/>
      <c r="Z786" s="8">
        <v>6</v>
      </c>
      <c r="AA786" s="8">
        <v>18</v>
      </c>
      <c r="AB786" s="8"/>
      <c r="AC786" s="8" t="s">
        <v>190</v>
      </c>
      <c r="AD786" s="14" t="s">
        <v>191</v>
      </c>
      <c r="AE786" s="8" t="s">
        <v>192</v>
      </c>
      <c r="AF786" s="14">
        <v>0.6</v>
      </c>
      <c r="AG786" s="8">
        <v>1250</v>
      </c>
      <c r="AH786" s="8">
        <v>0</v>
      </c>
      <c r="AI786" s="8">
        <v>29</v>
      </c>
      <c r="AJ786" s="8">
        <v>0</v>
      </c>
      <c r="AK786" s="127">
        <v>29</v>
      </c>
      <c r="AL786" s="103">
        <v>0</v>
      </c>
      <c r="AM786" s="8">
        <v>29</v>
      </c>
      <c r="AN786" s="21">
        <v>29</v>
      </c>
      <c r="AO786" s="21">
        <v>0</v>
      </c>
      <c r="AP786" s="21">
        <v>0</v>
      </c>
      <c r="AQ786" s="21">
        <v>0</v>
      </c>
      <c r="AR786" s="21">
        <v>0</v>
      </c>
      <c r="AS786" s="8">
        <v>29</v>
      </c>
      <c r="AT786" s="21">
        <v>0</v>
      </c>
      <c r="AU786" s="21">
        <v>29</v>
      </c>
      <c r="AV786" s="21">
        <v>0</v>
      </c>
      <c r="AW786" s="21">
        <v>0</v>
      </c>
      <c r="AX786" s="21">
        <v>0</v>
      </c>
      <c r="AY786" s="8">
        <v>0</v>
      </c>
    </row>
    <row r="787" spans="1:51" ht="15" customHeight="1" x14ac:dyDescent="0.25">
      <c r="A787" s="9">
        <v>742</v>
      </c>
      <c r="B787" s="13">
        <v>45769</v>
      </c>
      <c r="C787" s="9" t="s">
        <v>169</v>
      </c>
      <c r="D787" s="9">
        <v>9518712127</v>
      </c>
      <c r="E787" s="8">
        <v>10</v>
      </c>
      <c r="F787" s="9" t="s">
        <v>1470</v>
      </c>
      <c r="G787" s="79" t="s">
        <v>1303</v>
      </c>
      <c r="H787" s="9" t="s">
        <v>57</v>
      </c>
      <c r="I787" s="9" t="s">
        <v>25</v>
      </c>
      <c r="J787" s="9" t="s">
        <v>30</v>
      </c>
      <c r="K787" s="9" t="s">
        <v>170</v>
      </c>
      <c r="L787" s="39"/>
      <c r="M787" s="7" t="s">
        <v>1</v>
      </c>
      <c r="N787" s="8"/>
      <c r="O787" s="40"/>
      <c r="P787" s="15"/>
      <c r="Q787" s="9" t="s">
        <v>214</v>
      </c>
      <c r="R787" s="9" t="s">
        <v>378</v>
      </c>
      <c r="S787" s="9"/>
      <c r="T787" s="9">
        <v>116465</v>
      </c>
      <c r="U787" s="16" t="s">
        <v>98</v>
      </c>
      <c r="V787" s="9">
        <v>1801456</v>
      </c>
      <c r="W787" s="8" t="s">
        <v>457</v>
      </c>
      <c r="X787" s="8"/>
      <c r="Y787" s="8"/>
      <c r="Z787" s="8">
        <v>6</v>
      </c>
      <c r="AA787" s="8">
        <v>18</v>
      </c>
      <c r="AB787" s="8"/>
      <c r="AC787" s="8" t="s">
        <v>190</v>
      </c>
      <c r="AD787" s="14" t="s">
        <v>191</v>
      </c>
      <c r="AE787" s="8" t="s">
        <v>192</v>
      </c>
      <c r="AF787" s="14">
        <v>0.7</v>
      </c>
      <c r="AG787" s="8">
        <v>1250</v>
      </c>
      <c r="AH787" s="8">
        <v>0</v>
      </c>
      <c r="AI787" s="8">
        <v>29</v>
      </c>
      <c r="AJ787" s="8">
        <v>0</v>
      </c>
      <c r="AK787" s="127">
        <v>29</v>
      </c>
      <c r="AL787" s="103">
        <v>0</v>
      </c>
      <c r="AM787" s="8">
        <v>29</v>
      </c>
      <c r="AN787" s="21">
        <v>29</v>
      </c>
      <c r="AO787" s="21">
        <v>0</v>
      </c>
      <c r="AP787" s="21">
        <v>0</v>
      </c>
      <c r="AQ787" s="21">
        <v>0</v>
      </c>
      <c r="AR787" s="21">
        <v>0</v>
      </c>
      <c r="AS787" s="8">
        <v>29</v>
      </c>
      <c r="AT787" s="21">
        <v>0</v>
      </c>
      <c r="AU787" s="21">
        <v>29</v>
      </c>
      <c r="AV787" s="21">
        <v>0</v>
      </c>
      <c r="AW787" s="21">
        <v>0</v>
      </c>
      <c r="AX787" s="21">
        <v>0</v>
      </c>
      <c r="AY787" s="8">
        <v>0</v>
      </c>
    </row>
    <row r="788" spans="1:51" ht="15" customHeight="1" x14ac:dyDescent="0.25">
      <c r="A788" s="9">
        <v>742</v>
      </c>
      <c r="B788" s="13">
        <v>45764</v>
      </c>
      <c r="C788" s="9" t="s">
        <v>169</v>
      </c>
      <c r="D788" s="9">
        <v>9518699641</v>
      </c>
      <c r="E788" s="8">
        <v>1</v>
      </c>
      <c r="F788" s="9" t="s">
        <v>1473</v>
      </c>
      <c r="G788" s="79" t="s">
        <v>1303</v>
      </c>
      <c r="H788" s="9" t="s">
        <v>57</v>
      </c>
      <c r="I788" s="9" t="s">
        <v>25</v>
      </c>
      <c r="J788" s="9" t="s">
        <v>30</v>
      </c>
      <c r="K788" s="9" t="s">
        <v>170</v>
      </c>
      <c r="L788" s="39"/>
      <c r="M788" s="7" t="s">
        <v>1</v>
      </c>
      <c r="N788" s="8"/>
      <c r="O788" s="40"/>
      <c r="P788" s="15"/>
      <c r="Q788" s="9" t="s">
        <v>214</v>
      </c>
      <c r="R788" s="9" t="s">
        <v>337</v>
      </c>
      <c r="S788" s="9"/>
      <c r="T788" s="9">
        <v>161312</v>
      </c>
      <c r="U788" s="16" t="s">
        <v>74</v>
      </c>
      <c r="V788" s="9">
        <v>1801456</v>
      </c>
      <c r="W788" s="8" t="s">
        <v>457</v>
      </c>
      <c r="X788" s="8"/>
      <c r="Y788" s="8"/>
      <c r="Z788" s="8">
        <v>5</v>
      </c>
      <c r="AA788" s="8">
        <v>29</v>
      </c>
      <c r="AB788" s="8"/>
      <c r="AC788" s="8" t="s">
        <v>190</v>
      </c>
      <c r="AD788" s="14" t="s">
        <v>191</v>
      </c>
      <c r="AE788" s="8" t="s">
        <v>192</v>
      </c>
      <c r="AF788" s="14">
        <v>0.7</v>
      </c>
      <c r="AG788" s="8">
        <v>1250</v>
      </c>
      <c r="AH788" s="8">
        <v>0</v>
      </c>
      <c r="AI788" s="8">
        <v>29</v>
      </c>
      <c r="AJ788" s="8">
        <v>0</v>
      </c>
      <c r="AK788" s="127">
        <v>29</v>
      </c>
      <c r="AL788" s="103">
        <v>0</v>
      </c>
      <c r="AM788" s="8">
        <v>29</v>
      </c>
      <c r="AN788" s="21">
        <v>29</v>
      </c>
      <c r="AO788" s="21">
        <v>0</v>
      </c>
      <c r="AP788" s="21">
        <v>0</v>
      </c>
      <c r="AQ788" s="21">
        <v>0</v>
      </c>
      <c r="AR788" s="21">
        <v>0</v>
      </c>
      <c r="AS788" s="8">
        <v>29</v>
      </c>
      <c r="AT788" s="21">
        <v>0</v>
      </c>
      <c r="AU788" s="21">
        <v>29</v>
      </c>
      <c r="AV788" s="21">
        <v>0</v>
      </c>
      <c r="AW788" s="21">
        <v>0</v>
      </c>
      <c r="AX788" s="21">
        <v>0</v>
      </c>
      <c r="AY788" s="8">
        <v>0</v>
      </c>
    </row>
    <row r="789" spans="1:51" ht="15" customHeight="1" x14ac:dyDescent="0.25">
      <c r="A789" s="9">
        <v>742</v>
      </c>
      <c r="B789" s="13">
        <v>45763</v>
      </c>
      <c r="C789" s="9" t="s">
        <v>169</v>
      </c>
      <c r="D789" s="9">
        <v>9518696886</v>
      </c>
      <c r="E789" s="8">
        <v>2</v>
      </c>
      <c r="F789" s="9" t="s">
        <v>1474</v>
      </c>
      <c r="G789" s="79" t="s">
        <v>1303</v>
      </c>
      <c r="H789" s="9" t="s">
        <v>57</v>
      </c>
      <c r="I789" s="9" t="s">
        <v>25</v>
      </c>
      <c r="J789" s="9" t="s">
        <v>31</v>
      </c>
      <c r="K789" s="9" t="s">
        <v>170</v>
      </c>
      <c r="L789" s="39"/>
      <c r="M789" s="7" t="s">
        <v>1</v>
      </c>
      <c r="N789" s="8"/>
      <c r="O789" s="40"/>
      <c r="P789" s="15"/>
      <c r="Q789" s="9" t="s">
        <v>172</v>
      </c>
      <c r="R789" s="9" t="s">
        <v>359</v>
      </c>
      <c r="S789" s="9"/>
      <c r="T789" s="9">
        <v>115841</v>
      </c>
      <c r="U789" s="16" t="s">
        <v>76</v>
      </c>
      <c r="V789" s="9">
        <v>3240760</v>
      </c>
      <c r="W789" s="8" t="s">
        <v>287</v>
      </c>
      <c r="X789" s="8"/>
      <c r="Y789" s="8"/>
      <c r="Z789" s="8">
        <v>0</v>
      </c>
      <c r="AA789" s="8">
        <v>0</v>
      </c>
      <c r="AB789" s="8"/>
      <c r="AC789" s="8" t="s">
        <v>210</v>
      </c>
      <c r="AD789" s="14" t="s">
        <v>218</v>
      </c>
      <c r="AE789" s="8" t="s">
        <v>250</v>
      </c>
      <c r="AF789" s="14">
        <v>0.5</v>
      </c>
      <c r="AG789" s="8">
        <v>1000</v>
      </c>
      <c r="AH789" s="8">
        <v>2500</v>
      </c>
      <c r="AI789" s="8">
        <v>30</v>
      </c>
      <c r="AJ789" s="8">
        <v>0</v>
      </c>
      <c r="AK789" s="127">
        <v>30</v>
      </c>
      <c r="AL789" s="103">
        <v>0</v>
      </c>
      <c r="AM789" s="8">
        <v>30</v>
      </c>
      <c r="AN789" s="21">
        <v>0</v>
      </c>
      <c r="AO789" s="21">
        <v>30</v>
      </c>
      <c r="AP789" s="21">
        <v>0</v>
      </c>
      <c r="AQ789" s="21">
        <v>0</v>
      </c>
      <c r="AR789" s="21">
        <v>0</v>
      </c>
      <c r="AS789" s="8">
        <v>30</v>
      </c>
      <c r="AT789" s="21">
        <v>0</v>
      </c>
      <c r="AU789" s="21">
        <v>0</v>
      </c>
      <c r="AV789" s="21">
        <v>30</v>
      </c>
      <c r="AW789" s="21">
        <v>0</v>
      </c>
      <c r="AX789" s="21">
        <v>0</v>
      </c>
      <c r="AY789" s="8">
        <v>0</v>
      </c>
    </row>
    <row r="790" spans="1:51" ht="15" customHeight="1" x14ac:dyDescent="0.25">
      <c r="A790" s="9">
        <v>742</v>
      </c>
      <c r="B790" s="13">
        <v>45771</v>
      </c>
      <c r="C790" s="9" t="s">
        <v>880</v>
      </c>
      <c r="D790" s="9">
        <v>9518716588</v>
      </c>
      <c r="E790" s="8">
        <v>1</v>
      </c>
      <c r="F790" s="9" t="s">
        <v>1477</v>
      </c>
      <c r="G790" s="79" t="s">
        <v>1303</v>
      </c>
      <c r="H790" s="9" t="s">
        <v>57</v>
      </c>
      <c r="I790" s="9" t="s">
        <v>25</v>
      </c>
      <c r="J790" s="9" t="s">
        <v>872</v>
      </c>
      <c r="K790" s="9" t="s">
        <v>170</v>
      </c>
      <c r="L790" s="39"/>
      <c r="M790" s="7" t="s">
        <v>1</v>
      </c>
      <c r="N790" s="8"/>
      <c r="O790" s="40"/>
      <c r="P790" s="15"/>
      <c r="Q790" s="9" t="s">
        <v>214</v>
      </c>
      <c r="R790" s="9" t="s">
        <v>215</v>
      </c>
      <c r="S790" s="9"/>
      <c r="T790" s="9">
        <v>189881</v>
      </c>
      <c r="U790" s="16" t="s">
        <v>1481</v>
      </c>
      <c r="V790" s="9">
        <v>3532124</v>
      </c>
      <c r="W790" s="8" t="s">
        <v>1482</v>
      </c>
      <c r="X790" s="8"/>
      <c r="Y790" s="8"/>
      <c r="Z790" s="8">
        <v>2</v>
      </c>
      <c r="AA790" s="8">
        <v>3</v>
      </c>
      <c r="AB790" s="8"/>
      <c r="AC790" s="8" t="s">
        <v>210</v>
      </c>
      <c r="AD790" s="14" t="s">
        <v>211</v>
      </c>
      <c r="AE790" s="8" t="s">
        <v>1173</v>
      </c>
      <c r="AF790" s="14">
        <v>0.3</v>
      </c>
      <c r="AG790" s="8">
        <v>1219</v>
      </c>
      <c r="AH790" s="8">
        <v>2438</v>
      </c>
      <c r="AI790" s="8">
        <v>52</v>
      </c>
      <c r="AJ790" s="8">
        <v>0</v>
      </c>
      <c r="AK790" s="127">
        <v>52</v>
      </c>
      <c r="AL790" s="103">
        <v>0</v>
      </c>
      <c r="AM790" s="8">
        <v>52</v>
      </c>
      <c r="AN790" s="21">
        <v>0</v>
      </c>
      <c r="AO790" s="21">
        <v>0</v>
      </c>
      <c r="AP790" s="21">
        <v>52</v>
      </c>
      <c r="AQ790" s="21">
        <v>0</v>
      </c>
      <c r="AR790" s="21">
        <v>0</v>
      </c>
      <c r="AS790" s="8">
        <v>52</v>
      </c>
      <c r="AT790" s="21">
        <v>0</v>
      </c>
      <c r="AU790" s="21">
        <v>0</v>
      </c>
      <c r="AV790" s="21">
        <v>52</v>
      </c>
      <c r="AW790" s="21">
        <v>0</v>
      </c>
      <c r="AX790" s="21">
        <v>0</v>
      </c>
      <c r="AY790" s="8">
        <v>0</v>
      </c>
    </row>
    <row r="791" spans="1:51" ht="15" customHeight="1" x14ac:dyDescent="0.25">
      <c r="A791" s="9">
        <v>742</v>
      </c>
      <c r="B791" s="13">
        <v>45770</v>
      </c>
      <c r="C791" s="9" t="s">
        <v>169</v>
      </c>
      <c r="D791" s="9">
        <v>9518715119</v>
      </c>
      <c r="E791" s="8">
        <v>3</v>
      </c>
      <c r="F791" s="9" t="s">
        <v>1478</v>
      </c>
      <c r="G791" s="79" t="s">
        <v>1303</v>
      </c>
      <c r="H791" s="9" t="s">
        <v>57</v>
      </c>
      <c r="I791" s="9" t="s">
        <v>25</v>
      </c>
      <c r="J791" s="9" t="s">
        <v>31</v>
      </c>
      <c r="K791" s="9" t="s">
        <v>170</v>
      </c>
      <c r="L791" s="39"/>
      <c r="M791" s="7" t="s">
        <v>1</v>
      </c>
      <c r="N791" s="8"/>
      <c r="O791" s="40"/>
      <c r="P791" s="15"/>
      <c r="Q791" s="9" t="s">
        <v>180</v>
      </c>
      <c r="R791" s="9" t="s">
        <v>364</v>
      </c>
      <c r="S791" s="9"/>
      <c r="T791" s="9">
        <v>931662</v>
      </c>
      <c r="U791" s="16" t="s">
        <v>94</v>
      </c>
      <c r="V791" s="9">
        <v>3240760</v>
      </c>
      <c r="W791" s="8" t="s">
        <v>287</v>
      </c>
      <c r="X791" s="8"/>
      <c r="Y791" s="8"/>
      <c r="Z791" s="8">
        <v>1</v>
      </c>
      <c r="AA791" s="8">
        <v>5</v>
      </c>
      <c r="AB791" s="8"/>
      <c r="AC791" s="8" t="s">
        <v>210</v>
      </c>
      <c r="AD791" s="14" t="s">
        <v>218</v>
      </c>
      <c r="AE791" s="8" t="s">
        <v>250</v>
      </c>
      <c r="AF791" s="14">
        <v>0.5</v>
      </c>
      <c r="AG791" s="8">
        <v>1000</v>
      </c>
      <c r="AH791" s="8">
        <v>2500</v>
      </c>
      <c r="AI791" s="8">
        <v>24</v>
      </c>
      <c r="AJ791" s="8">
        <v>0</v>
      </c>
      <c r="AK791" s="127">
        <v>24</v>
      </c>
      <c r="AL791" s="103">
        <v>0</v>
      </c>
      <c r="AM791" s="8">
        <v>24</v>
      </c>
      <c r="AN791" s="21">
        <v>0</v>
      </c>
      <c r="AO791" s="21">
        <v>24</v>
      </c>
      <c r="AP791" s="21">
        <v>0</v>
      </c>
      <c r="AQ791" s="21">
        <v>0</v>
      </c>
      <c r="AR791" s="21">
        <v>0</v>
      </c>
      <c r="AS791" s="8">
        <v>24</v>
      </c>
      <c r="AT791" s="21">
        <v>0</v>
      </c>
      <c r="AU791" s="21">
        <v>0</v>
      </c>
      <c r="AV791" s="21">
        <v>24</v>
      </c>
      <c r="AW791" s="21">
        <v>0</v>
      </c>
      <c r="AX791" s="21">
        <v>0</v>
      </c>
      <c r="AY791" s="8">
        <v>0</v>
      </c>
    </row>
    <row r="792" spans="1:51" ht="15" customHeight="1" x14ac:dyDescent="0.25">
      <c r="A792" s="9">
        <v>742</v>
      </c>
      <c r="B792" s="13">
        <v>45763</v>
      </c>
      <c r="C792" s="9" t="s">
        <v>169</v>
      </c>
      <c r="D792" s="9">
        <v>9518697965</v>
      </c>
      <c r="E792" s="8">
        <v>7</v>
      </c>
      <c r="F792" s="9" t="s">
        <v>1464</v>
      </c>
      <c r="G792" s="79" t="s">
        <v>1446</v>
      </c>
      <c r="H792" s="9" t="s">
        <v>57</v>
      </c>
      <c r="I792" s="9" t="s">
        <v>50</v>
      </c>
      <c r="J792" s="9" t="s">
        <v>26</v>
      </c>
      <c r="K792" s="9" t="s">
        <v>170</v>
      </c>
      <c r="L792" s="39"/>
      <c r="M792" s="7" t="s">
        <v>1</v>
      </c>
      <c r="N792" s="8"/>
      <c r="O792" s="40"/>
      <c r="P792" s="15"/>
      <c r="Q792" s="9" t="s">
        <v>214</v>
      </c>
      <c r="R792" s="9" t="s">
        <v>240</v>
      </c>
      <c r="S792" s="9"/>
      <c r="T792" s="9">
        <v>939268</v>
      </c>
      <c r="U792" s="16" t="s">
        <v>86</v>
      </c>
      <c r="V792" s="9">
        <v>1252835</v>
      </c>
      <c r="W792" s="8" t="s">
        <v>1483</v>
      </c>
      <c r="X792" s="8"/>
      <c r="Y792" s="8"/>
      <c r="Z792" s="8">
        <v>17</v>
      </c>
      <c r="AA792" s="8">
        <v>27.5</v>
      </c>
      <c r="AB792" s="8"/>
      <c r="AC792" s="8">
        <v>768</v>
      </c>
      <c r="AD792" s="14" t="s">
        <v>242</v>
      </c>
      <c r="AE792" s="8" t="s">
        <v>243</v>
      </c>
      <c r="AF792" s="14">
        <v>3.2</v>
      </c>
      <c r="AG792" s="8">
        <v>1250</v>
      </c>
      <c r="AH792" s="8">
        <v>0</v>
      </c>
      <c r="AI792" s="8">
        <v>58</v>
      </c>
      <c r="AJ792" s="8">
        <v>0</v>
      </c>
      <c r="AK792" s="127">
        <v>58</v>
      </c>
      <c r="AL792" s="103">
        <v>0</v>
      </c>
      <c r="AM792" s="8">
        <v>58</v>
      </c>
      <c r="AN792" s="21">
        <v>0</v>
      </c>
      <c r="AO792" s="21">
        <v>0</v>
      </c>
      <c r="AP792" s="21">
        <v>58</v>
      </c>
      <c r="AQ792" s="21">
        <v>0</v>
      </c>
      <c r="AR792" s="21">
        <v>0</v>
      </c>
      <c r="AS792" s="8">
        <v>58</v>
      </c>
      <c r="AT792" s="21">
        <v>0</v>
      </c>
      <c r="AU792" s="21">
        <v>0</v>
      </c>
      <c r="AV792" s="21">
        <v>0</v>
      </c>
      <c r="AW792" s="21">
        <v>58</v>
      </c>
      <c r="AX792" s="21">
        <v>0</v>
      </c>
      <c r="AY792" s="8">
        <v>0</v>
      </c>
    </row>
    <row r="793" spans="1:51" ht="15" customHeight="1" x14ac:dyDescent="0.25">
      <c r="A793" s="9">
        <v>742</v>
      </c>
      <c r="B793" s="13">
        <v>45763</v>
      </c>
      <c r="C793" s="9" t="s">
        <v>169</v>
      </c>
      <c r="D793" s="9">
        <v>9518697965</v>
      </c>
      <c r="E793" s="8">
        <v>8</v>
      </c>
      <c r="F793" s="9" t="s">
        <v>1465</v>
      </c>
      <c r="G793" s="79" t="s">
        <v>1446</v>
      </c>
      <c r="H793" s="9" t="s">
        <v>57</v>
      </c>
      <c r="I793" s="9" t="s">
        <v>50</v>
      </c>
      <c r="J793" s="9" t="s">
        <v>26</v>
      </c>
      <c r="K793" s="9" t="s">
        <v>170</v>
      </c>
      <c r="L793" s="39"/>
      <c r="M793" s="7" t="s">
        <v>1</v>
      </c>
      <c r="N793" s="8"/>
      <c r="O793" s="40"/>
      <c r="P793" s="15"/>
      <c r="Q793" s="9" t="s">
        <v>214</v>
      </c>
      <c r="R793" s="9" t="s">
        <v>240</v>
      </c>
      <c r="S793" s="9"/>
      <c r="T793" s="9">
        <v>939268</v>
      </c>
      <c r="U793" s="16" t="s">
        <v>86</v>
      </c>
      <c r="V793" s="9">
        <v>1252836</v>
      </c>
      <c r="W793" s="8" t="s">
        <v>1445</v>
      </c>
      <c r="X793" s="8"/>
      <c r="Y793" s="8"/>
      <c r="Z793" s="8">
        <v>17</v>
      </c>
      <c r="AA793" s="8">
        <v>27.5</v>
      </c>
      <c r="AB793" s="8"/>
      <c r="AC793" s="8">
        <v>768</v>
      </c>
      <c r="AD793" s="14" t="s">
        <v>242</v>
      </c>
      <c r="AE793" s="8" t="s">
        <v>243</v>
      </c>
      <c r="AF793" s="14">
        <v>3.5</v>
      </c>
      <c r="AG793" s="8">
        <v>1250</v>
      </c>
      <c r="AH793" s="8">
        <v>0</v>
      </c>
      <c r="AI793" s="8">
        <v>29</v>
      </c>
      <c r="AJ793" s="8">
        <v>0</v>
      </c>
      <c r="AK793" s="127">
        <v>29</v>
      </c>
      <c r="AL793" s="103">
        <v>0</v>
      </c>
      <c r="AM793" s="8">
        <v>29</v>
      </c>
      <c r="AN793" s="21">
        <v>0</v>
      </c>
      <c r="AO793" s="21">
        <v>0</v>
      </c>
      <c r="AP793" s="21">
        <v>0</v>
      </c>
      <c r="AQ793" s="21">
        <v>0</v>
      </c>
      <c r="AR793" s="21">
        <v>29</v>
      </c>
      <c r="AS793" s="8">
        <v>29</v>
      </c>
      <c r="AT793" s="21">
        <v>0</v>
      </c>
      <c r="AU793" s="21">
        <v>0</v>
      </c>
      <c r="AV793" s="21">
        <v>0</v>
      </c>
      <c r="AW793" s="21">
        <v>0</v>
      </c>
      <c r="AX793" s="21">
        <v>29</v>
      </c>
      <c r="AY793" s="8">
        <v>0</v>
      </c>
    </row>
    <row r="794" spans="1:51" ht="15" customHeight="1" x14ac:dyDescent="0.25">
      <c r="A794" s="9">
        <v>742</v>
      </c>
      <c r="B794" s="13">
        <v>45763</v>
      </c>
      <c r="C794" s="9" t="s">
        <v>169</v>
      </c>
      <c r="D794" s="9">
        <v>9518697965</v>
      </c>
      <c r="E794" s="8">
        <v>4</v>
      </c>
      <c r="F794" s="9" t="s">
        <v>1466</v>
      </c>
      <c r="G794" s="79" t="s">
        <v>1446</v>
      </c>
      <c r="H794" s="9" t="s">
        <v>57</v>
      </c>
      <c r="I794" s="9" t="s">
        <v>50</v>
      </c>
      <c r="J794" s="9" t="s">
        <v>26</v>
      </c>
      <c r="K794" s="9" t="s">
        <v>170</v>
      </c>
      <c r="L794" s="39"/>
      <c r="M794" s="7" t="s">
        <v>1</v>
      </c>
      <c r="N794" s="8"/>
      <c r="O794" s="40"/>
      <c r="P794" s="15"/>
      <c r="Q794" s="9" t="s">
        <v>214</v>
      </c>
      <c r="R794" s="9" t="s">
        <v>240</v>
      </c>
      <c r="S794" s="9"/>
      <c r="T794" s="9">
        <v>939268</v>
      </c>
      <c r="U794" s="16" t="s">
        <v>86</v>
      </c>
      <c r="V794" s="9">
        <v>1272343</v>
      </c>
      <c r="W794" s="8" t="s">
        <v>1484</v>
      </c>
      <c r="X794" s="8"/>
      <c r="Y794" s="8"/>
      <c r="Z794" s="8">
        <v>17</v>
      </c>
      <c r="AA794" s="8">
        <v>27.5</v>
      </c>
      <c r="AB794" s="8"/>
      <c r="AC794" s="8">
        <v>768</v>
      </c>
      <c r="AD794" s="14" t="s">
        <v>242</v>
      </c>
      <c r="AE794" s="8" t="s">
        <v>243</v>
      </c>
      <c r="AF794" s="14">
        <v>2.6</v>
      </c>
      <c r="AG794" s="8">
        <v>1250</v>
      </c>
      <c r="AH794" s="8">
        <v>0</v>
      </c>
      <c r="AI794" s="8">
        <v>25</v>
      </c>
      <c r="AJ794" s="8">
        <v>0</v>
      </c>
      <c r="AK794" s="127">
        <v>25</v>
      </c>
      <c r="AL794" s="103">
        <v>0</v>
      </c>
      <c r="AM794" s="8">
        <v>25</v>
      </c>
      <c r="AN794" s="21">
        <v>0</v>
      </c>
      <c r="AO794" s="21">
        <v>0</v>
      </c>
      <c r="AP794" s="21">
        <v>0</v>
      </c>
      <c r="AQ794" s="21">
        <v>0</v>
      </c>
      <c r="AR794" s="21">
        <v>25</v>
      </c>
      <c r="AS794" s="8">
        <v>0</v>
      </c>
      <c r="AT794" s="21">
        <v>0</v>
      </c>
      <c r="AU794" s="21">
        <v>0</v>
      </c>
      <c r="AV794" s="21">
        <v>0</v>
      </c>
      <c r="AW794" s="21">
        <v>0</v>
      </c>
      <c r="AX794" s="21">
        <v>0</v>
      </c>
      <c r="AY794" s="8">
        <v>25</v>
      </c>
    </row>
    <row r="795" spans="1:51" ht="15" customHeight="1" x14ac:dyDescent="0.25">
      <c r="A795" s="9">
        <v>742</v>
      </c>
      <c r="B795" s="13">
        <v>45750</v>
      </c>
      <c r="C795" s="9" t="s">
        <v>169</v>
      </c>
      <c r="D795" s="9">
        <v>9518666879</v>
      </c>
      <c r="E795" s="8">
        <v>2</v>
      </c>
      <c r="F795" s="9" t="s">
        <v>1468</v>
      </c>
      <c r="G795" s="79" t="s">
        <v>1446</v>
      </c>
      <c r="H795" s="9" t="s">
        <v>57</v>
      </c>
      <c r="I795" s="9" t="s">
        <v>50</v>
      </c>
      <c r="J795" s="9" t="s">
        <v>26</v>
      </c>
      <c r="K795" s="9" t="s">
        <v>170</v>
      </c>
      <c r="L795" s="39"/>
      <c r="M795" s="7" t="s">
        <v>1</v>
      </c>
      <c r="N795" s="8"/>
      <c r="O795" s="40"/>
      <c r="P795" s="15"/>
      <c r="Q795" s="9" t="s">
        <v>214</v>
      </c>
      <c r="R795" s="9" t="s">
        <v>246</v>
      </c>
      <c r="S795" s="9"/>
      <c r="T795" s="9">
        <v>102888</v>
      </c>
      <c r="U795" s="16" t="s">
        <v>425</v>
      </c>
      <c r="V795" s="9">
        <v>1251304</v>
      </c>
      <c r="W795" s="8" t="s">
        <v>1485</v>
      </c>
      <c r="X795" s="8"/>
      <c r="Y795" s="8"/>
      <c r="Z795" s="8">
        <v>18</v>
      </c>
      <c r="AA795" s="8">
        <v>27</v>
      </c>
      <c r="AB795" s="8"/>
      <c r="AC795" s="8">
        <v>768</v>
      </c>
      <c r="AD795" s="14" t="s">
        <v>242</v>
      </c>
      <c r="AE795" s="8" t="s">
        <v>243</v>
      </c>
      <c r="AF795" s="14">
        <v>4.5</v>
      </c>
      <c r="AG795" s="8">
        <v>1250</v>
      </c>
      <c r="AH795" s="8">
        <v>0</v>
      </c>
      <c r="AI795" s="8">
        <v>29</v>
      </c>
      <c r="AJ795" s="8">
        <v>0</v>
      </c>
      <c r="AK795" s="127">
        <v>29</v>
      </c>
      <c r="AL795" s="103">
        <v>0</v>
      </c>
      <c r="AM795" s="8">
        <v>29</v>
      </c>
      <c r="AN795" s="21">
        <v>0</v>
      </c>
      <c r="AO795" s="21">
        <v>0</v>
      </c>
      <c r="AP795" s="21">
        <v>0</v>
      </c>
      <c r="AQ795" s="21">
        <v>0</v>
      </c>
      <c r="AR795" s="21">
        <v>29</v>
      </c>
      <c r="AS795" s="8">
        <v>0</v>
      </c>
      <c r="AT795" s="21">
        <v>0</v>
      </c>
      <c r="AU795" s="21">
        <v>0</v>
      </c>
      <c r="AV795" s="21">
        <v>0</v>
      </c>
      <c r="AW795" s="21">
        <v>0</v>
      </c>
      <c r="AX795" s="21">
        <v>0</v>
      </c>
      <c r="AY795" s="8">
        <v>29</v>
      </c>
    </row>
    <row r="796" spans="1:51" ht="15" customHeight="1" x14ac:dyDescent="0.25">
      <c r="A796" s="9">
        <v>742</v>
      </c>
      <c r="B796" s="13">
        <v>45776</v>
      </c>
      <c r="C796" s="9" t="s">
        <v>169</v>
      </c>
      <c r="D796" s="9">
        <v>9518731229</v>
      </c>
      <c r="E796" s="8">
        <v>2</v>
      </c>
      <c r="F796" s="9" t="s">
        <v>1471</v>
      </c>
      <c r="G796" s="79" t="s">
        <v>1446</v>
      </c>
      <c r="H796" s="9" t="s">
        <v>57</v>
      </c>
      <c r="I796" s="9" t="s">
        <v>50</v>
      </c>
      <c r="J796" s="9" t="s">
        <v>26</v>
      </c>
      <c r="K796" s="9" t="s">
        <v>170</v>
      </c>
      <c r="L796" s="39"/>
      <c r="M796" s="7" t="s">
        <v>1</v>
      </c>
      <c r="N796" s="8"/>
      <c r="O796" s="40"/>
      <c r="P796" s="15"/>
      <c r="Q796" s="9" t="s">
        <v>180</v>
      </c>
      <c r="R796" s="9" t="s">
        <v>208</v>
      </c>
      <c r="S796" s="9"/>
      <c r="T796" s="9">
        <v>154464</v>
      </c>
      <c r="U796" s="16" t="s">
        <v>86</v>
      </c>
      <c r="V796" s="9">
        <v>1250221</v>
      </c>
      <c r="W796" s="8" t="s">
        <v>313</v>
      </c>
      <c r="X796" s="8"/>
      <c r="Y796" s="8"/>
      <c r="Z796" s="8">
        <v>16</v>
      </c>
      <c r="AA796" s="8">
        <v>34</v>
      </c>
      <c r="AB796" s="8"/>
      <c r="AC796" s="8">
        <v>768</v>
      </c>
      <c r="AD796" s="14" t="s">
        <v>242</v>
      </c>
      <c r="AE796" s="8" t="s">
        <v>243</v>
      </c>
      <c r="AF796" s="14">
        <v>2.5</v>
      </c>
      <c r="AG796" s="8">
        <v>1250</v>
      </c>
      <c r="AH796" s="8">
        <v>0</v>
      </c>
      <c r="AI796" s="8">
        <v>115.9</v>
      </c>
      <c r="AJ796" s="8">
        <v>0</v>
      </c>
      <c r="AK796" s="127">
        <v>115.9</v>
      </c>
      <c r="AL796" s="103">
        <v>0</v>
      </c>
      <c r="AM796" s="8">
        <v>115.9</v>
      </c>
      <c r="AN796" s="21">
        <v>0</v>
      </c>
      <c r="AO796" s="21">
        <v>0</v>
      </c>
      <c r="AP796" s="21">
        <v>0</v>
      </c>
      <c r="AQ796" s="21">
        <v>115.9</v>
      </c>
      <c r="AR796" s="21">
        <v>0</v>
      </c>
      <c r="AS796" s="8">
        <v>115.9</v>
      </c>
      <c r="AT796" s="21">
        <v>0</v>
      </c>
      <c r="AU796" s="21">
        <v>0</v>
      </c>
      <c r="AV796" s="21">
        <v>0</v>
      </c>
      <c r="AW796" s="21">
        <v>0</v>
      </c>
      <c r="AX796" s="21">
        <v>115.9</v>
      </c>
      <c r="AY796" s="8">
        <v>0</v>
      </c>
    </row>
    <row r="797" spans="1:51" ht="15" customHeight="1" x14ac:dyDescent="0.25">
      <c r="A797" s="9">
        <v>742</v>
      </c>
      <c r="B797" s="13">
        <v>45776</v>
      </c>
      <c r="C797" s="9" t="s">
        <v>169</v>
      </c>
      <c r="D797" s="9">
        <v>9518731229</v>
      </c>
      <c r="E797" s="8">
        <v>3</v>
      </c>
      <c r="F797" s="9" t="s">
        <v>1472</v>
      </c>
      <c r="G797" s="79" t="s">
        <v>1446</v>
      </c>
      <c r="H797" s="9" t="s">
        <v>57</v>
      </c>
      <c r="I797" s="9" t="s">
        <v>50</v>
      </c>
      <c r="J797" s="9" t="s">
        <v>26</v>
      </c>
      <c r="K797" s="9" t="s">
        <v>170</v>
      </c>
      <c r="L797" s="39"/>
      <c r="M797" s="7" t="s">
        <v>1</v>
      </c>
      <c r="N797" s="8"/>
      <c r="O797" s="40"/>
      <c r="P797" s="15"/>
      <c r="Q797" s="9" t="s">
        <v>180</v>
      </c>
      <c r="R797" s="9" t="s">
        <v>208</v>
      </c>
      <c r="S797" s="9"/>
      <c r="T797" s="9">
        <v>154464</v>
      </c>
      <c r="U797" s="16" t="s">
        <v>86</v>
      </c>
      <c r="V797" s="9">
        <v>1252834</v>
      </c>
      <c r="W797" s="8" t="s">
        <v>312</v>
      </c>
      <c r="X797" s="8"/>
      <c r="Y797" s="8"/>
      <c r="Z797" s="8">
        <v>16</v>
      </c>
      <c r="AA797" s="8">
        <v>34</v>
      </c>
      <c r="AB797" s="8"/>
      <c r="AC797" s="8">
        <v>768</v>
      </c>
      <c r="AD797" s="14" t="s">
        <v>242</v>
      </c>
      <c r="AE797" s="8" t="s">
        <v>243</v>
      </c>
      <c r="AF797" s="14">
        <v>3</v>
      </c>
      <c r="AG797" s="8">
        <v>1250</v>
      </c>
      <c r="AH797" s="8">
        <v>0</v>
      </c>
      <c r="AI797" s="8">
        <v>115.9</v>
      </c>
      <c r="AJ797" s="8">
        <v>0</v>
      </c>
      <c r="AK797" s="127">
        <v>115.9</v>
      </c>
      <c r="AL797" s="103">
        <v>0</v>
      </c>
      <c r="AM797" s="8">
        <v>115.9</v>
      </c>
      <c r="AN797" s="21">
        <v>0</v>
      </c>
      <c r="AO797" s="21">
        <v>115.9</v>
      </c>
      <c r="AP797" s="21">
        <v>0</v>
      </c>
      <c r="AQ797" s="21">
        <v>0</v>
      </c>
      <c r="AR797" s="21">
        <v>0</v>
      </c>
      <c r="AS797" s="8">
        <v>115.9</v>
      </c>
      <c r="AT797" s="21">
        <v>0</v>
      </c>
      <c r="AU797" s="21">
        <v>0</v>
      </c>
      <c r="AV797" s="21">
        <v>115.9</v>
      </c>
      <c r="AW797" s="21">
        <v>0</v>
      </c>
      <c r="AX797" s="21">
        <v>0</v>
      </c>
      <c r="AY797" s="8">
        <v>0</v>
      </c>
    </row>
    <row r="798" spans="1:51" ht="15" customHeight="1" x14ac:dyDescent="0.25">
      <c r="A798" s="9">
        <v>742</v>
      </c>
      <c r="B798" s="13">
        <v>45768</v>
      </c>
      <c r="C798" s="9" t="s">
        <v>169</v>
      </c>
      <c r="D798" s="9">
        <v>9518708683</v>
      </c>
      <c r="E798" s="8">
        <v>1</v>
      </c>
      <c r="F798" s="9" t="s">
        <v>1475</v>
      </c>
      <c r="G798" s="79" t="s">
        <v>1446</v>
      </c>
      <c r="H798" s="9" t="s">
        <v>57</v>
      </c>
      <c r="I798" s="9" t="s">
        <v>50</v>
      </c>
      <c r="J798" s="9" t="s">
        <v>26</v>
      </c>
      <c r="K798" s="9" t="s">
        <v>1304</v>
      </c>
      <c r="L798" s="39"/>
      <c r="M798" s="7" t="s">
        <v>1</v>
      </c>
      <c r="N798" s="8"/>
      <c r="O798" s="40"/>
      <c r="P798" s="15"/>
      <c r="Q798" s="9" t="s">
        <v>214</v>
      </c>
      <c r="R798" s="9" t="s">
        <v>1437</v>
      </c>
      <c r="S798" s="9"/>
      <c r="T798" s="9">
        <v>801611</v>
      </c>
      <c r="U798" s="16" t="s">
        <v>132</v>
      </c>
      <c r="V798" s="9">
        <v>1424552</v>
      </c>
      <c r="W798" s="8" t="s">
        <v>644</v>
      </c>
      <c r="X798" s="8"/>
      <c r="Y798" s="8"/>
      <c r="Z798" s="8">
        <v>15</v>
      </c>
      <c r="AA798" s="8">
        <v>25</v>
      </c>
      <c r="AB798" s="8"/>
      <c r="AC798" s="8">
        <v>768</v>
      </c>
      <c r="AD798" s="14" t="s">
        <v>242</v>
      </c>
      <c r="AE798" s="8" t="s">
        <v>243</v>
      </c>
      <c r="AF798" s="14">
        <v>2.0099999999999998</v>
      </c>
      <c r="AG798" s="8">
        <v>1250</v>
      </c>
      <c r="AH798" s="8">
        <v>0</v>
      </c>
      <c r="AI798" s="8">
        <v>145</v>
      </c>
      <c r="AJ798" s="8">
        <v>0</v>
      </c>
      <c r="AK798" s="127">
        <v>145</v>
      </c>
      <c r="AL798" s="103">
        <v>0</v>
      </c>
      <c r="AM798" s="8">
        <v>145</v>
      </c>
      <c r="AN798" s="21">
        <v>0</v>
      </c>
      <c r="AO798" s="21">
        <v>0</v>
      </c>
      <c r="AP798" s="21">
        <v>0</v>
      </c>
      <c r="AQ798" s="21">
        <v>0</v>
      </c>
      <c r="AR798" s="21">
        <v>145</v>
      </c>
      <c r="AS798" s="8">
        <v>0</v>
      </c>
      <c r="AT798" s="21">
        <v>0</v>
      </c>
      <c r="AU798" s="21">
        <v>0</v>
      </c>
      <c r="AV798" s="21">
        <v>0</v>
      </c>
      <c r="AW798" s="21">
        <v>0</v>
      </c>
      <c r="AX798" s="21">
        <v>0</v>
      </c>
      <c r="AY798" s="8">
        <v>145</v>
      </c>
    </row>
    <row r="799" spans="1:51" ht="15" customHeight="1" x14ac:dyDescent="0.25">
      <c r="A799" s="9">
        <v>742</v>
      </c>
      <c r="B799" s="13">
        <v>45776</v>
      </c>
      <c r="C799" s="9" t="s">
        <v>169</v>
      </c>
      <c r="D799" s="9">
        <v>9518731229</v>
      </c>
      <c r="E799" s="8">
        <v>1</v>
      </c>
      <c r="F799" s="9" t="s">
        <v>1476</v>
      </c>
      <c r="G799" s="79" t="s">
        <v>1446</v>
      </c>
      <c r="H799" s="9" t="s">
        <v>57</v>
      </c>
      <c r="I799" s="9" t="s">
        <v>50</v>
      </c>
      <c r="J799" s="9" t="s">
        <v>26</v>
      </c>
      <c r="K799" s="9" t="s">
        <v>170</v>
      </c>
      <c r="L799" s="39"/>
      <c r="M799" s="7" t="s">
        <v>1</v>
      </c>
      <c r="N799" s="8"/>
      <c r="O799" s="40"/>
      <c r="P799" s="15"/>
      <c r="Q799" s="9" t="s">
        <v>180</v>
      </c>
      <c r="R799" s="9" t="s">
        <v>208</v>
      </c>
      <c r="S799" s="9"/>
      <c r="T799" s="9">
        <v>154464</v>
      </c>
      <c r="U799" s="16" t="s">
        <v>86</v>
      </c>
      <c r="V799" s="9">
        <v>1210083</v>
      </c>
      <c r="W799" s="8" t="s">
        <v>305</v>
      </c>
      <c r="X799" s="8"/>
      <c r="Y799" s="8"/>
      <c r="Z799" s="8">
        <v>16</v>
      </c>
      <c r="AA799" s="8">
        <v>34</v>
      </c>
      <c r="AB799" s="8"/>
      <c r="AC799" s="8">
        <v>768</v>
      </c>
      <c r="AD799" s="14" t="s">
        <v>242</v>
      </c>
      <c r="AE799" s="8" t="s">
        <v>243</v>
      </c>
      <c r="AF799" s="14">
        <v>2</v>
      </c>
      <c r="AG799" s="8">
        <v>1250</v>
      </c>
      <c r="AH799" s="8">
        <v>0</v>
      </c>
      <c r="AI799" s="8">
        <v>115.9</v>
      </c>
      <c r="AJ799" s="8">
        <v>0</v>
      </c>
      <c r="AK799" s="127">
        <v>115.9</v>
      </c>
      <c r="AL799" s="103">
        <v>0</v>
      </c>
      <c r="AM799" s="8">
        <v>115.9</v>
      </c>
      <c r="AN799" s="21">
        <v>0</v>
      </c>
      <c r="AO799" s="21">
        <v>0</v>
      </c>
      <c r="AP799" s="21">
        <v>0</v>
      </c>
      <c r="AQ799" s="21">
        <v>0</v>
      </c>
      <c r="AR799" s="21">
        <v>115.9</v>
      </c>
      <c r="AS799" s="8">
        <v>0</v>
      </c>
      <c r="AT799" s="21">
        <v>0</v>
      </c>
      <c r="AU799" s="21">
        <v>0</v>
      </c>
      <c r="AV799" s="21">
        <v>0</v>
      </c>
      <c r="AW799" s="21">
        <v>0</v>
      </c>
      <c r="AX799" s="21">
        <v>0</v>
      </c>
      <c r="AY799" s="8">
        <v>115.9</v>
      </c>
    </row>
    <row r="800" spans="1:51" ht="15" customHeight="1" x14ac:dyDescent="0.25">
      <c r="A800" s="9">
        <v>743</v>
      </c>
      <c r="B800" s="13">
        <v>45773</v>
      </c>
      <c r="C800" s="9" t="s">
        <v>169</v>
      </c>
      <c r="D800" s="9">
        <v>9518724466</v>
      </c>
      <c r="E800" s="8">
        <v>3</v>
      </c>
      <c r="F800" s="9" t="s">
        <v>1462</v>
      </c>
      <c r="G800" s="79" t="s">
        <v>1446</v>
      </c>
      <c r="H800" s="9" t="s">
        <v>57</v>
      </c>
      <c r="I800" s="9" t="s">
        <v>43</v>
      </c>
      <c r="J800" s="9" t="s">
        <v>46</v>
      </c>
      <c r="K800" s="9">
        <v>2000</v>
      </c>
      <c r="L800" s="39"/>
      <c r="M800" s="7" t="s">
        <v>1</v>
      </c>
      <c r="N800" s="8"/>
      <c r="O800" s="40"/>
      <c r="P800" s="15"/>
      <c r="Q800" s="9" t="s">
        <v>214</v>
      </c>
      <c r="R800" s="9" t="s">
        <v>240</v>
      </c>
      <c r="S800" s="9"/>
      <c r="T800" s="9">
        <v>942923</v>
      </c>
      <c r="U800" s="16" t="s">
        <v>127</v>
      </c>
      <c r="V800" s="9">
        <v>3777532</v>
      </c>
      <c r="W800" s="8" t="s">
        <v>406</v>
      </c>
      <c r="X800" s="8" t="s">
        <v>407</v>
      </c>
      <c r="Y800" s="8"/>
      <c r="Z800" s="8">
        <v>1</v>
      </c>
      <c r="AA800" s="8">
        <v>5</v>
      </c>
      <c r="AB800" s="8"/>
      <c r="AC800" s="8" t="s">
        <v>269</v>
      </c>
      <c r="AD800" s="14" t="s">
        <v>270</v>
      </c>
      <c r="AE800" s="8" t="s">
        <v>165</v>
      </c>
      <c r="AF800" s="14">
        <v>0.45</v>
      </c>
      <c r="AG800" s="8">
        <v>1015</v>
      </c>
      <c r="AH800" s="8">
        <v>0</v>
      </c>
      <c r="AI800" s="8">
        <v>23</v>
      </c>
      <c r="AJ800" s="8">
        <v>0</v>
      </c>
      <c r="AK800" s="127">
        <v>23</v>
      </c>
      <c r="AL800" s="103">
        <v>0</v>
      </c>
      <c r="AM800" s="8">
        <v>23</v>
      </c>
      <c r="AN800" s="21">
        <v>0</v>
      </c>
      <c r="AO800" s="21">
        <v>0</v>
      </c>
      <c r="AP800" s="21">
        <v>0</v>
      </c>
      <c r="AQ800" s="21">
        <v>23</v>
      </c>
      <c r="AR800" s="21">
        <v>0</v>
      </c>
      <c r="AS800" s="8">
        <v>23</v>
      </c>
      <c r="AT800" s="21">
        <v>0</v>
      </c>
      <c r="AU800" s="21">
        <v>0</v>
      </c>
      <c r="AV800" s="21">
        <v>0</v>
      </c>
      <c r="AW800" s="21">
        <v>0</v>
      </c>
      <c r="AX800" s="21">
        <v>23</v>
      </c>
      <c r="AY800" s="8">
        <v>0</v>
      </c>
    </row>
    <row r="801" spans="1:51" ht="15" customHeight="1" x14ac:dyDescent="0.25">
      <c r="A801" s="9">
        <v>743</v>
      </c>
      <c r="B801" s="13">
        <v>45773</v>
      </c>
      <c r="C801" s="9" t="s">
        <v>169</v>
      </c>
      <c r="D801" s="9">
        <v>9518724466</v>
      </c>
      <c r="E801" s="8">
        <v>4</v>
      </c>
      <c r="F801" s="9" t="s">
        <v>1463</v>
      </c>
      <c r="G801" s="79" t="s">
        <v>1446</v>
      </c>
      <c r="H801" s="9" t="s">
        <v>57</v>
      </c>
      <c r="I801" s="9" t="s">
        <v>43</v>
      </c>
      <c r="J801" s="9" t="s">
        <v>46</v>
      </c>
      <c r="K801" s="9">
        <v>2000</v>
      </c>
      <c r="L801" s="39"/>
      <c r="M801" s="7" t="s">
        <v>1</v>
      </c>
      <c r="N801" s="8"/>
      <c r="O801" s="40"/>
      <c r="P801" s="15"/>
      <c r="Q801" s="9" t="s">
        <v>214</v>
      </c>
      <c r="R801" s="9" t="s">
        <v>240</v>
      </c>
      <c r="S801" s="9"/>
      <c r="T801" s="9">
        <v>942923</v>
      </c>
      <c r="U801" s="16" t="s">
        <v>127</v>
      </c>
      <c r="V801" s="9">
        <v>3777533</v>
      </c>
      <c r="W801" s="8" t="s">
        <v>1486</v>
      </c>
      <c r="X801" s="8" t="s">
        <v>407</v>
      </c>
      <c r="Y801" s="8"/>
      <c r="Z801" s="8">
        <v>1</v>
      </c>
      <c r="AA801" s="8">
        <v>5</v>
      </c>
      <c r="AB801" s="8"/>
      <c r="AC801" s="8" t="s">
        <v>269</v>
      </c>
      <c r="AD801" s="14" t="s">
        <v>270</v>
      </c>
      <c r="AE801" s="8" t="s">
        <v>165</v>
      </c>
      <c r="AF801" s="14">
        <v>0.5</v>
      </c>
      <c r="AG801" s="8">
        <v>1015</v>
      </c>
      <c r="AH801" s="8">
        <v>0</v>
      </c>
      <c r="AI801" s="8">
        <v>23</v>
      </c>
      <c r="AJ801" s="8">
        <v>0</v>
      </c>
      <c r="AK801" s="127">
        <v>23</v>
      </c>
      <c r="AL801" s="103">
        <v>0</v>
      </c>
      <c r="AM801" s="8">
        <v>23</v>
      </c>
      <c r="AN801" s="21">
        <v>0</v>
      </c>
      <c r="AO801" s="21">
        <v>0</v>
      </c>
      <c r="AP801" s="21">
        <v>0</v>
      </c>
      <c r="AQ801" s="21">
        <v>23</v>
      </c>
      <c r="AR801" s="21">
        <v>0</v>
      </c>
      <c r="AS801" s="8">
        <v>23</v>
      </c>
      <c r="AT801" s="21">
        <v>0</v>
      </c>
      <c r="AU801" s="21">
        <v>0</v>
      </c>
      <c r="AV801" s="21">
        <v>0</v>
      </c>
      <c r="AW801" s="21">
        <v>0</v>
      </c>
      <c r="AX801" s="21">
        <v>23</v>
      </c>
      <c r="AY801" s="8">
        <v>0</v>
      </c>
    </row>
    <row r="802" spans="1:51" ht="15" customHeight="1" x14ac:dyDescent="0.25">
      <c r="A802" s="9">
        <v>743</v>
      </c>
      <c r="B802" s="13">
        <v>45773</v>
      </c>
      <c r="C802" s="9" t="s">
        <v>169</v>
      </c>
      <c r="D802" s="9">
        <v>9518724466</v>
      </c>
      <c r="E802" s="8">
        <v>2</v>
      </c>
      <c r="F802" s="9" t="s">
        <v>1467</v>
      </c>
      <c r="G802" s="79" t="s">
        <v>1446</v>
      </c>
      <c r="H802" s="9" t="s">
        <v>57</v>
      </c>
      <c r="I802" s="9" t="s">
        <v>43</v>
      </c>
      <c r="J802" s="9" t="s">
        <v>46</v>
      </c>
      <c r="K802" s="9">
        <v>2000</v>
      </c>
      <c r="L802" s="39"/>
      <c r="M802" s="7" t="s">
        <v>1</v>
      </c>
      <c r="N802" s="8"/>
      <c r="O802" s="40"/>
      <c r="P802" s="15"/>
      <c r="Q802" s="9" t="s">
        <v>214</v>
      </c>
      <c r="R802" s="9" t="s">
        <v>240</v>
      </c>
      <c r="S802" s="9"/>
      <c r="T802" s="9">
        <v>942923</v>
      </c>
      <c r="U802" s="16" t="s">
        <v>127</v>
      </c>
      <c r="V802" s="9">
        <v>3776939</v>
      </c>
      <c r="W802" s="8" t="s">
        <v>411</v>
      </c>
      <c r="X802" s="8" t="s">
        <v>407</v>
      </c>
      <c r="Y802" s="8"/>
      <c r="Z802" s="8">
        <v>1</v>
      </c>
      <c r="AA802" s="8">
        <v>5</v>
      </c>
      <c r="AB802" s="8"/>
      <c r="AC802" s="8" t="s">
        <v>269</v>
      </c>
      <c r="AD802" s="14" t="s">
        <v>270</v>
      </c>
      <c r="AE802" s="8" t="s">
        <v>165</v>
      </c>
      <c r="AF802" s="14">
        <v>0.4</v>
      </c>
      <c r="AG802" s="8">
        <v>1015</v>
      </c>
      <c r="AH802" s="8">
        <v>0</v>
      </c>
      <c r="AI802" s="8">
        <v>23</v>
      </c>
      <c r="AJ802" s="8">
        <v>0</v>
      </c>
      <c r="AK802" s="127">
        <v>23</v>
      </c>
      <c r="AL802" s="103">
        <v>0</v>
      </c>
      <c r="AM802" s="8">
        <v>23</v>
      </c>
      <c r="AN802" s="21">
        <v>0</v>
      </c>
      <c r="AO802" s="21">
        <v>0</v>
      </c>
      <c r="AP802" s="21">
        <v>0</v>
      </c>
      <c r="AQ802" s="21">
        <v>23</v>
      </c>
      <c r="AR802" s="21">
        <v>0</v>
      </c>
      <c r="AS802" s="8">
        <v>23</v>
      </c>
      <c r="AT802" s="21">
        <v>0</v>
      </c>
      <c r="AU802" s="21">
        <v>0</v>
      </c>
      <c r="AV802" s="21">
        <v>0</v>
      </c>
      <c r="AW802" s="21">
        <v>0</v>
      </c>
      <c r="AX802" s="21">
        <v>23</v>
      </c>
      <c r="AY802" s="8">
        <v>0</v>
      </c>
    </row>
    <row r="803" spans="1:51" ht="15" customHeight="1" x14ac:dyDescent="0.25">
      <c r="A803" s="9">
        <v>743</v>
      </c>
      <c r="B803" s="13"/>
      <c r="C803" s="9" t="s">
        <v>193</v>
      </c>
      <c r="D803" s="9"/>
      <c r="E803" s="8"/>
      <c r="F803" s="9"/>
      <c r="G803" s="79" t="s">
        <v>1446</v>
      </c>
      <c r="H803" s="9" t="s">
        <v>1596</v>
      </c>
      <c r="I803" s="9" t="s">
        <v>43</v>
      </c>
      <c r="J803" s="9" t="s">
        <v>1567</v>
      </c>
      <c r="K803" s="9">
        <v>2000</v>
      </c>
      <c r="L803" s="39">
        <v>1100</v>
      </c>
      <c r="M803" s="7" t="s">
        <v>1</v>
      </c>
      <c r="N803" s="8"/>
      <c r="O803" s="40"/>
      <c r="P803" s="15"/>
      <c r="Q803" s="9" t="s">
        <v>180</v>
      </c>
      <c r="R803" s="9"/>
      <c r="S803" s="9"/>
      <c r="T803" s="9"/>
      <c r="U803" s="16" t="s">
        <v>1597</v>
      </c>
      <c r="V803" s="9"/>
      <c r="W803" s="8"/>
      <c r="X803" s="8"/>
      <c r="Y803" s="8"/>
      <c r="Z803" s="8"/>
      <c r="AA803" s="8"/>
      <c r="AB803" s="8"/>
      <c r="AC803" s="8" t="s">
        <v>269</v>
      </c>
      <c r="AD803" s="14" t="s">
        <v>270</v>
      </c>
      <c r="AE803" s="8" t="s">
        <v>165</v>
      </c>
      <c r="AF803" s="14">
        <v>0.5</v>
      </c>
      <c r="AG803" s="8">
        <v>1350</v>
      </c>
      <c r="AH803" s="8">
        <v>0</v>
      </c>
      <c r="AI803" s="8">
        <v>600</v>
      </c>
      <c r="AJ803" s="8">
        <v>0</v>
      </c>
      <c r="AK803" s="127">
        <v>600</v>
      </c>
      <c r="AL803" s="103">
        <v>0</v>
      </c>
      <c r="AM803" s="8">
        <v>600</v>
      </c>
      <c r="AN803" s="21">
        <v>0</v>
      </c>
      <c r="AO803" s="21">
        <v>0</v>
      </c>
      <c r="AP803" s="21">
        <v>0</v>
      </c>
      <c r="AQ803" s="21">
        <v>0</v>
      </c>
      <c r="AR803" s="21">
        <v>600</v>
      </c>
      <c r="AS803" s="8">
        <v>600</v>
      </c>
      <c r="AT803" s="21">
        <v>0</v>
      </c>
      <c r="AU803" s="21">
        <v>0</v>
      </c>
      <c r="AV803" s="21">
        <v>0</v>
      </c>
      <c r="AW803" s="21">
        <v>0</v>
      </c>
      <c r="AX803" s="21">
        <v>600</v>
      </c>
      <c r="AY803" s="8">
        <v>0</v>
      </c>
    </row>
    <row r="804" spans="1:51" ht="15" customHeight="1" x14ac:dyDescent="0.25">
      <c r="A804" s="9">
        <v>743</v>
      </c>
      <c r="B804" s="13"/>
      <c r="C804" s="9" t="s">
        <v>193</v>
      </c>
      <c r="D804" s="9"/>
      <c r="E804" s="8"/>
      <c r="F804" s="9"/>
      <c r="G804" s="79" t="s">
        <v>1446</v>
      </c>
      <c r="H804" s="9" t="s">
        <v>1596</v>
      </c>
      <c r="I804" s="9" t="s">
        <v>43</v>
      </c>
      <c r="J804" s="9" t="s">
        <v>1567</v>
      </c>
      <c r="K804" s="9">
        <v>2000</v>
      </c>
      <c r="L804" s="39"/>
      <c r="M804" s="7" t="s">
        <v>1</v>
      </c>
      <c r="N804" s="8"/>
      <c r="O804" s="40"/>
      <c r="P804" s="15"/>
      <c r="Q804" s="9" t="s">
        <v>180</v>
      </c>
      <c r="R804" s="9"/>
      <c r="S804" s="9"/>
      <c r="T804" s="9"/>
      <c r="U804" s="16" t="s">
        <v>1554</v>
      </c>
      <c r="V804" s="9"/>
      <c r="W804" s="8"/>
      <c r="X804" s="8"/>
      <c r="Y804" s="8"/>
      <c r="Z804" s="8"/>
      <c r="AA804" s="8"/>
      <c r="AB804" s="8"/>
      <c r="AC804" s="8" t="s">
        <v>269</v>
      </c>
      <c r="AD804" s="14" t="s">
        <v>270</v>
      </c>
      <c r="AE804" s="8" t="s">
        <v>165</v>
      </c>
      <c r="AF804" s="14">
        <v>0.35</v>
      </c>
      <c r="AG804" s="8">
        <v>1015</v>
      </c>
      <c r="AH804" s="8">
        <v>0</v>
      </c>
      <c r="AI804" s="8">
        <v>240</v>
      </c>
      <c r="AJ804" s="8">
        <v>0</v>
      </c>
      <c r="AK804" s="127">
        <v>240</v>
      </c>
      <c r="AL804" s="103">
        <v>0</v>
      </c>
      <c r="AM804" s="8">
        <v>240</v>
      </c>
      <c r="AN804" s="21">
        <v>0</v>
      </c>
      <c r="AO804" s="21">
        <v>0</v>
      </c>
      <c r="AP804" s="21">
        <v>0</v>
      </c>
      <c r="AQ804" s="21">
        <v>0</v>
      </c>
      <c r="AR804" s="21">
        <v>240</v>
      </c>
      <c r="AS804" s="8">
        <v>240</v>
      </c>
      <c r="AT804" s="21">
        <v>0</v>
      </c>
      <c r="AU804" s="21">
        <v>0</v>
      </c>
      <c r="AV804" s="21">
        <v>0</v>
      </c>
      <c r="AW804" s="21">
        <v>0</v>
      </c>
      <c r="AX804" s="21">
        <v>240</v>
      </c>
      <c r="AY804" s="8">
        <v>0</v>
      </c>
    </row>
    <row r="805" spans="1:51" ht="15" customHeight="1" x14ac:dyDescent="0.25">
      <c r="A805" s="9">
        <v>743</v>
      </c>
      <c r="B805" s="13"/>
      <c r="C805" s="9" t="s">
        <v>193</v>
      </c>
      <c r="D805" s="9"/>
      <c r="E805" s="8"/>
      <c r="F805" s="9"/>
      <c r="G805" s="79" t="s">
        <v>1446</v>
      </c>
      <c r="H805" s="9" t="s">
        <v>1596</v>
      </c>
      <c r="I805" s="9" t="s">
        <v>43</v>
      </c>
      <c r="J805" s="9" t="s">
        <v>1567</v>
      </c>
      <c r="K805" s="9">
        <v>2000</v>
      </c>
      <c r="L805" s="39"/>
      <c r="M805" s="7" t="s">
        <v>1</v>
      </c>
      <c r="N805" s="8"/>
      <c r="O805" s="40"/>
      <c r="P805" s="15"/>
      <c r="Q805" s="9" t="s">
        <v>180</v>
      </c>
      <c r="R805" s="9"/>
      <c r="S805" s="9"/>
      <c r="T805" s="9"/>
      <c r="U805" s="16" t="s">
        <v>1554</v>
      </c>
      <c r="V805" s="9"/>
      <c r="W805" s="8"/>
      <c r="X805" s="8"/>
      <c r="Y805" s="8"/>
      <c r="Z805" s="8"/>
      <c r="AA805" s="8"/>
      <c r="AB805" s="8"/>
      <c r="AC805" s="8" t="s">
        <v>269</v>
      </c>
      <c r="AD805" s="14" t="s">
        <v>270</v>
      </c>
      <c r="AE805" s="8" t="s">
        <v>165</v>
      </c>
      <c r="AF805" s="14">
        <v>0.3</v>
      </c>
      <c r="AG805" s="8">
        <v>1015</v>
      </c>
      <c r="AH805" s="8">
        <v>0</v>
      </c>
      <c r="AI805" s="8">
        <v>240</v>
      </c>
      <c r="AJ805" s="8">
        <v>0</v>
      </c>
      <c r="AK805" s="127">
        <v>240</v>
      </c>
      <c r="AL805" s="103">
        <v>0</v>
      </c>
      <c r="AM805" s="8">
        <v>240</v>
      </c>
      <c r="AN805" s="21">
        <v>0</v>
      </c>
      <c r="AO805" s="21">
        <v>0</v>
      </c>
      <c r="AP805" s="21">
        <v>0</v>
      </c>
      <c r="AQ805" s="21">
        <v>0</v>
      </c>
      <c r="AR805" s="21">
        <v>240</v>
      </c>
      <c r="AS805" s="8">
        <v>0</v>
      </c>
      <c r="AT805" s="21">
        <v>0</v>
      </c>
      <c r="AU805" s="21">
        <v>0</v>
      </c>
      <c r="AV805" s="21">
        <v>0</v>
      </c>
      <c r="AW805" s="21">
        <v>0</v>
      </c>
      <c r="AX805" s="21">
        <v>0</v>
      </c>
      <c r="AY805" s="8">
        <v>240</v>
      </c>
    </row>
    <row r="806" spans="1:51" ht="15" customHeight="1" x14ac:dyDescent="0.25">
      <c r="A806" s="9">
        <v>743</v>
      </c>
      <c r="B806" s="13"/>
      <c r="C806" s="9" t="s">
        <v>779</v>
      </c>
      <c r="D806" s="9"/>
      <c r="E806" s="8"/>
      <c r="F806" s="9"/>
      <c r="G806" s="79" t="s">
        <v>1446</v>
      </c>
      <c r="H806" s="9" t="s">
        <v>1596</v>
      </c>
      <c r="I806" s="9" t="s">
        <v>43</v>
      </c>
      <c r="J806" s="9" t="s">
        <v>46</v>
      </c>
      <c r="K806" s="9">
        <v>2000</v>
      </c>
      <c r="L806" s="39"/>
      <c r="M806" s="7" t="s">
        <v>1</v>
      </c>
      <c r="N806" s="8"/>
      <c r="O806" s="40"/>
      <c r="P806" s="15"/>
      <c r="Q806" s="9" t="s">
        <v>180</v>
      </c>
      <c r="R806" s="9"/>
      <c r="S806" s="9"/>
      <c r="T806" s="9"/>
      <c r="U806" s="16"/>
      <c r="V806" s="9"/>
      <c r="W806" s="8"/>
      <c r="X806" s="8"/>
      <c r="Y806" s="8"/>
      <c r="Z806" s="8"/>
      <c r="AA806" s="8"/>
      <c r="AB806" s="8"/>
      <c r="AC806" s="8" t="s">
        <v>269</v>
      </c>
      <c r="AD806" s="14" t="s">
        <v>270</v>
      </c>
      <c r="AE806" s="8" t="s">
        <v>165</v>
      </c>
      <c r="AF806" s="14">
        <v>0.3</v>
      </c>
      <c r="AG806" s="8">
        <v>1350</v>
      </c>
      <c r="AH806" s="8">
        <v>0</v>
      </c>
      <c r="AI806" s="8">
        <v>210</v>
      </c>
      <c r="AJ806" s="8">
        <v>0</v>
      </c>
      <c r="AK806" s="127">
        <v>210</v>
      </c>
      <c r="AL806" s="103">
        <v>0</v>
      </c>
      <c r="AM806" s="8">
        <v>210</v>
      </c>
      <c r="AN806" s="21">
        <v>0</v>
      </c>
      <c r="AO806" s="21">
        <v>0</v>
      </c>
      <c r="AP806" s="21">
        <v>0</v>
      </c>
      <c r="AQ806" s="21">
        <v>0</v>
      </c>
      <c r="AR806" s="21">
        <v>210</v>
      </c>
      <c r="AS806" s="8">
        <v>0</v>
      </c>
      <c r="AT806" s="21">
        <v>0</v>
      </c>
      <c r="AU806" s="21">
        <v>0</v>
      </c>
      <c r="AV806" s="21">
        <v>0</v>
      </c>
      <c r="AW806" s="21">
        <v>0</v>
      </c>
      <c r="AX806" s="21">
        <v>0</v>
      </c>
      <c r="AY806" s="8">
        <v>210</v>
      </c>
    </row>
    <row r="807" spans="1:51" ht="15" customHeight="1" x14ac:dyDescent="0.25">
      <c r="A807" s="9">
        <v>743</v>
      </c>
      <c r="B807" s="13">
        <v>45770</v>
      </c>
      <c r="C807" s="9" t="s">
        <v>169</v>
      </c>
      <c r="D807" s="9">
        <v>9518714528</v>
      </c>
      <c r="E807" s="8">
        <v>1</v>
      </c>
      <c r="F807" s="9" t="s">
        <v>1520</v>
      </c>
      <c r="G807" s="79" t="s">
        <v>1303</v>
      </c>
      <c r="H807" s="9" t="s">
        <v>57</v>
      </c>
      <c r="I807" s="9" t="s">
        <v>38</v>
      </c>
      <c r="J807" s="9" t="s">
        <v>39</v>
      </c>
      <c r="K807" s="9" t="s">
        <v>233</v>
      </c>
      <c r="L807" s="39"/>
      <c r="M807" s="7" t="s">
        <v>1</v>
      </c>
      <c r="N807" s="8"/>
      <c r="O807" s="40"/>
      <c r="P807" s="15"/>
      <c r="Q807" s="9" t="s">
        <v>264</v>
      </c>
      <c r="R807" s="9" t="s">
        <v>265</v>
      </c>
      <c r="S807" s="9"/>
      <c r="T807" s="9">
        <v>942283</v>
      </c>
      <c r="U807" s="16" t="s">
        <v>106</v>
      </c>
      <c r="V807" s="9">
        <v>1881969</v>
      </c>
      <c r="W807" s="8" t="s">
        <v>428</v>
      </c>
      <c r="X807" s="8"/>
      <c r="Y807" s="8"/>
      <c r="Z807" s="8"/>
      <c r="AA807" s="8"/>
      <c r="AB807" s="8"/>
      <c r="AC807" s="8" t="s">
        <v>222</v>
      </c>
      <c r="AD807" s="14" t="s">
        <v>223</v>
      </c>
      <c r="AE807" s="8" t="s">
        <v>224</v>
      </c>
      <c r="AF807" s="14">
        <v>0.45</v>
      </c>
      <c r="AG807" s="8">
        <v>1220</v>
      </c>
      <c r="AH807" s="8"/>
      <c r="AI807" s="8">
        <v>56</v>
      </c>
      <c r="AJ807" s="8">
        <v>0</v>
      </c>
      <c r="AK807" s="127">
        <v>56</v>
      </c>
      <c r="AL807" s="103">
        <v>0</v>
      </c>
      <c r="AM807" s="8">
        <v>56</v>
      </c>
      <c r="AN807" s="21">
        <v>0</v>
      </c>
      <c r="AO807" s="21">
        <v>0</v>
      </c>
      <c r="AP807" s="21">
        <v>0</v>
      </c>
      <c r="AQ807" s="21">
        <v>0</v>
      </c>
      <c r="AR807" s="21">
        <v>56</v>
      </c>
      <c r="AS807" s="8">
        <v>0</v>
      </c>
      <c r="AT807" s="21">
        <v>0</v>
      </c>
      <c r="AU807" s="21">
        <v>0</v>
      </c>
      <c r="AV807" s="21">
        <v>0</v>
      </c>
      <c r="AW807" s="21">
        <v>0</v>
      </c>
      <c r="AX807" s="21">
        <v>0</v>
      </c>
      <c r="AY807" s="8">
        <v>56</v>
      </c>
    </row>
    <row r="808" spans="1:51" ht="15" customHeight="1" x14ac:dyDescent="0.25">
      <c r="A808" s="9">
        <v>744</v>
      </c>
      <c r="B808" s="13">
        <v>45745</v>
      </c>
      <c r="C808" s="9" t="s">
        <v>169</v>
      </c>
      <c r="D808" s="9">
        <v>9518653385</v>
      </c>
      <c r="E808" s="8">
        <v>5</v>
      </c>
      <c r="F808" s="9" t="s">
        <v>1544</v>
      </c>
      <c r="G808" s="79" t="s">
        <v>1303</v>
      </c>
      <c r="H808" s="9" t="s">
        <v>57</v>
      </c>
      <c r="I808" s="9" t="s">
        <v>48</v>
      </c>
      <c r="J808" s="9" t="s">
        <v>39</v>
      </c>
      <c r="K808" s="9" t="s">
        <v>233</v>
      </c>
      <c r="L808" s="39"/>
      <c r="M808" s="7" t="s">
        <v>1</v>
      </c>
      <c r="N808" s="8"/>
      <c r="O808" s="40"/>
      <c r="P808" s="15"/>
      <c r="Q808" s="9" t="s">
        <v>264</v>
      </c>
      <c r="R808" s="9" t="s">
        <v>234</v>
      </c>
      <c r="S808" s="9"/>
      <c r="T808" s="9">
        <v>940008</v>
      </c>
      <c r="U808" s="16" t="s">
        <v>133</v>
      </c>
      <c r="V808" s="9">
        <v>3883538</v>
      </c>
      <c r="W808" s="8" t="s">
        <v>697</v>
      </c>
      <c r="X808" s="8"/>
      <c r="Y808" s="8"/>
      <c r="Z808" s="8"/>
      <c r="AA808" s="8"/>
      <c r="AB808" s="8"/>
      <c r="AC808" s="8" t="s">
        <v>228</v>
      </c>
      <c r="AD808" s="14" t="s">
        <v>229</v>
      </c>
      <c r="AE808" s="8" t="s">
        <v>230</v>
      </c>
      <c r="AF808" s="14">
        <v>0.3</v>
      </c>
      <c r="AG808" s="8">
        <v>1220</v>
      </c>
      <c r="AH808" s="8"/>
      <c r="AI808" s="8">
        <v>28</v>
      </c>
      <c r="AJ808" s="8">
        <v>0</v>
      </c>
      <c r="AK808" s="127">
        <v>28</v>
      </c>
      <c r="AL808" s="103">
        <v>0</v>
      </c>
      <c r="AM808" s="8">
        <v>28</v>
      </c>
      <c r="AN808" s="21">
        <v>0</v>
      </c>
      <c r="AO808" s="21">
        <v>0</v>
      </c>
      <c r="AP808" s="21">
        <v>28</v>
      </c>
      <c r="AQ808" s="21">
        <v>0</v>
      </c>
      <c r="AR808" s="21">
        <v>0</v>
      </c>
      <c r="AS808" s="8">
        <v>28</v>
      </c>
      <c r="AT808" s="21">
        <v>0</v>
      </c>
      <c r="AU808" s="21">
        <v>0</v>
      </c>
      <c r="AV808" s="21">
        <v>0</v>
      </c>
      <c r="AW808" s="21">
        <v>28</v>
      </c>
      <c r="AX808" s="21">
        <v>0</v>
      </c>
      <c r="AY808" s="8">
        <v>0</v>
      </c>
    </row>
    <row r="809" spans="1:51" ht="15" customHeight="1" x14ac:dyDescent="0.25">
      <c r="A809" s="9">
        <v>744</v>
      </c>
      <c r="B809" s="13">
        <v>45770</v>
      </c>
      <c r="C809" s="9" t="s">
        <v>169</v>
      </c>
      <c r="D809" s="9">
        <v>9518715371</v>
      </c>
      <c r="E809" s="8">
        <v>1</v>
      </c>
      <c r="F809" s="9" t="s">
        <v>1553</v>
      </c>
      <c r="G809" s="79" t="s">
        <v>1303</v>
      </c>
      <c r="H809" s="9" t="s">
        <v>57</v>
      </c>
      <c r="I809" s="9" t="s">
        <v>48</v>
      </c>
      <c r="J809" s="9" t="s">
        <v>39</v>
      </c>
      <c r="K809" s="9" t="s">
        <v>233</v>
      </c>
      <c r="L809" s="39"/>
      <c r="M809" s="7" t="s">
        <v>1</v>
      </c>
      <c r="N809" s="8"/>
      <c r="O809" s="40"/>
      <c r="P809" s="15"/>
      <c r="Q809" s="9" t="s">
        <v>264</v>
      </c>
      <c r="R809" s="9" t="s">
        <v>225</v>
      </c>
      <c r="S809" s="9"/>
      <c r="T809" s="9">
        <v>940016</v>
      </c>
      <c r="U809" s="16" t="s">
        <v>133</v>
      </c>
      <c r="V809" s="9">
        <v>3522241</v>
      </c>
      <c r="W809" s="8" t="s">
        <v>348</v>
      </c>
      <c r="X809" s="8"/>
      <c r="Y809" s="8"/>
      <c r="Z809" s="8"/>
      <c r="AA809" s="8"/>
      <c r="AB809" s="8"/>
      <c r="AC809" s="8" t="s">
        <v>228</v>
      </c>
      <c r="AD809" s="14" t="s">
        <v>229</v>
      </c>
      <c r="AE809" s="8" t="s">
        <v>232</v>
      </c>
      <c r="AF809" s="14">
        <v>0.43</v>
      </c>
      <c r="AG809" s="8">
        <v>1220</v>
      </c>
      <c r="AH809" s="8"/>
      <c r="AI809" s="8">
        <v>28</v>
      </c>
      <c r="AJ809" s="8">
        <v>0</v>
      </c>
      <c r="AK809" s="127">
        <v>28</v>
      </c>
      <c r="AL809" s="103">
        <v>0</v>
      </c>
      <c r="AM809" s="8">
        <v>28</v>
      </c>
      <c r="AN809" s="21">
        <v>0</v>
      </c>
      <c r="AO809" s="21">
        <v>0</v>
      </c>
      <c r="AP809" s="21">
        <v>0</v>
      </c>
      <c r="AQ809" s="21">
        <v>0</v>
      </c>
      <c r="AR809" s="21">
        <v>28</v>
      </c>
      <c r="AS809" s="8">
        <v>0</v>
      </c>
      <c r="AT809" s="21">
        <v>0</v>
      </c>
      <c r="AU809" s="21">
        <v>0</v>
      </c>
      <c r="AV809" s="21">
        <v>0</v>
      </c>
      <c r="AW809" s="21">
        <v>0</v>
      </c>
      <c r="AX809" s="21">
        <v>0</v>
      </c>
      <c r="AY809" s="8">
        <v>28</v>
      </c>
    </row>
    <row r="810" spans="1:51" ht="15" customHeight="1" x14ac:dyDescent="0.25">
      <c r="A810" s="9">
        <v>744</v>
      </c>
      <c r="B810" s="13">
        <v>45769</v>
      </c>
      <c r="C810" s="9" t="s">
        <v>169</v>
      </c>
      <c r="D810" s="9">
        <v>9518712059</v>
      </c>
      <c r="E810" s="8">
        <v>12</v>
      </c>
      <c r="F810" s="9" t="s">
        <v>1539</v>
      </c>
      <c r="G810" s="79" t="s">
        <v>1303</v>
      </c>
      <c r="H810" s="9" t="s">
        <v>57</v>
      </c>
      <c r="I810" s="9" t="s">
        <v>48</v>
      </c>
      <c r="J810" s="9" t="s">
        <v>39</v>
      </c>
      <c r="K810" s="9" t="s">
        <v>233</v>
      </c>
      <c r="L810" s="39"/>
      <c r="M810" s="7" t="s">
        <v>1</v>
      </c>
      <c r="N810" s="8"/>
      <c r="O810" s="40"/>
      <c r="P810" s="15"/>
      <c r="Q810" s="9" t="s">
        <v>264</v>
      </c>
      <c r="R810" s="9" t="s">
        <v>265</v>
      </c>
      <c r="S810" s="9"/>
      <c r="T810" s="9">
        <v>941597</v>
      </c>
      <c r="U810" s="16" t="s">
        <v>106</v>
      </c>
      <c r="V810" s="9">
        <v>3940122</v>
      </c>
      <c r="W810" s="8" t="s">
        <v>684</v>
      </c>
      <c r="X810" s="8"/>
      <c r="Y810" s="8"/>
      <c r="Z810" s="8"/>
      <c r="AA810" s="8"/>
      <c r="AB810" s="8"/>
      <c r="AC810" s="8" t="s">
        <v>228</v>
      </c>
      <c r="AD810" s="14" t="s">
        <v>229</v>
      </c>
      <c r="AE810" s="8" t="s">
        <v>354</v>
      </c>
      <c r="AF810" s="14">
        <v>0.47</v>
      </c>
      <c r="AG810" s="8">
        <v>1220</v>
      </c>
      <c r="AH810" s="8"/>
      <c r="AI810" s="8">
        <v>56</v>
      </c>
      <c r="AJ810" s="8">
        <v>0</v>
      </c>
      <c r="AK810" s="127">
        <v>56</v>
      </c>
      <c r="AL810" s="103">
        <v>0</v>
      </c>
      <c r="AM810" s="8">
        <v>56</v>
      </c>
      <c r="AN810" s="21">
        <v>0</v>
      </c>
      <c r="AO810" s="21">
        <v>0</v>
      </c>
      <c r="AP810" s="21">
        <v>0</v>
      </c>
      <c r="AQ810" s="21">
        <v>0</v>
      </c>
      <c r="AR810" s="21">
        <v>56</v>
      </c>
      <c r="AS810" s="8">
        <v>0</v>
      </c>
      <c r="AT810" s="21">
        <v>0</v>
      </c>
      <c r="AU810" s="21">
        <v>0</v>
      </c>
      <c r="AV810" s="21">
        <v>0</v>
      </c>
      <c r="AW810" s="21">
        <v>0</v>
      </c>
      <c r="AX810" s="21">
        <v>0</v>
      </c>
      <c r="AY810" s="8">
        <v>56</v>
      </c>
    </row>
    <row r="811" spans="1:51" ht="15" customHeight="1" x14ac:dyDescent="0.25">
      <c r="A811" s="9">
        <v>744</v>
      </c>
      <c r="B811" s="13">
        <v>45770</v>
      </c>
      <c r="C811" s="9" t="s">
        <v>169</v>
      </c>
      <c r="D811" s="9">
        <v>9518714453</v>
      </c>
      <c r="E811" s="8">
        <v>10</v>
      </c>
      <c r="F811" s="9" t="s">
        <v>1532</v>
      </c>
      <c r="G811" s="79" t="s">
        <v>1303</v>
      </c>
      <c r="H811" s="9" t="s">
        <v>57</v>
      </c>
      <c r="I811" s="9" t="s">
        <v>48</v>
      </c>
      <c r="J811" s="9" t="s">
        <v>39</v>
      </c>
      <c r="K811" s="9" t="s">
        <v>233</v>
      </c>
      <c r="L811" s="39"/>
      <c r="M811" s="7" t="s">
        <v>1</v>
      </c>
      <c r="N811" s="8"/>
      <c r="O811" s="40"/>
      <c r="P811" s="15"/>
      <c r="Q811" s="9" t="s">
        <v>264</v>
      </c>
      <c r="R811" s="9" t="s">
        <v>265</v>
      </c>
      <c r="S811" s="9"/>
      <c r="T811" s="9">
        <v>941597</v>
      </c>
      <c r="U811" s="16" t="s">
        <v>106</v>
      </c>
      <c r="V811" s="9">
        <v>3902332</v>
      </c>
      <c r="W811" s="8" t="s">
        <v>353</v>
      </c>
      <c r="X811" s="8"/>
      <c r="Y811" s="8"/>
      <c r="Z811" s="8"/>
      <c r="AA811" s="8"/>
      <c r="AB811" s="8"/>
      <c r="AC811" s="8" t="s">
        <v>228</v>
      </c>
      <c r="AD811" s="14" t="s">
        <v>229</v>
      </c>
      <c r="AE811" s="8" t="s">
        <v>354</v>
      </c>
      <c r="AF811" s="14">
        <v>0.5</v>
      </c>
      <c r="AG811" s="8">
        <v>1220</v>
      </c>
      <c r="AH811" s="8"/>
      <c r="AI811" s="8">
        <v>56</v>
      </c>
      <c r="AJ811" s="8">
        <v>0</v>
      </c>
      <c r="AK811" s="127">
        <v>56</v>
      </c>
      <c r="AL811" s="103">
        <v>0</v>
      </c>
      <c r="AM811" s="8">
        <v>56</v>
      </c>
      <c r="AN811" s="21">
        <v>0</v>
      </c>
      <c r="AO811" s="21">
        <v>0</v>
      </c>
      <c r="AP811" s="21">
        <v>0</v>
      </c>
      <c r="AQ811" s="21">
        <v>0</v>
      </c>
      <c r="AR811" s="21">
        <v>56</v>
      </c>
      <c r="AS811" s="8">
        <v>0</v>
      </c>
      <c r="AT811" s="21">
        <v>0</v>
      </c>
      <c r="AU811" s="21">
        <v>0</v>
      </c>
      <c r="AV811" s="21">
        <v>0</v>
      </c>
      <c r="AW811" s="21">
        <v>0</v>
      </c>
      <c r="AX811" s="21">
        <v>0</v>
      </c>
      <c r="AY811" s="8">
        <v>56</v>
      </c>
    </row>
    <row r="812" spans="1:51" ht="15" customHeight="1" x14ac:dyDescent="0.25">
      <c r="A812" s="9">
        <v>744</v>
      </c>
      <c r="B812" s="13">
        <v>45747</v>
      </c>
      <c r="C812" s="9" t="s">
        <v>169</v>
      </c>
      <c r="D812" s="9">
        <v>9518660599</v>
      </c>
      <c r="E812" s="8">
        <v>1</v>
      </c>
      <c r="F812" s="9" t="s">
        <v>1523</v>
      </c>
      <c r="G812" s="79" t="s">
        <v>1303</v>
      </c>
      <c r="H812" s="9" t="s">
        <v>57</v>
      </c>
      <c r="I812" s="9" t="s">
        <v>48</v>
      </c>
      <c r="J812" s="9" t="s">
        <v>39</v>
      </c>
      <c r="K812" s="9" t="s">
        <v>233</v>
      </c>
      <c r="L812" s="39"/>
      <c r="M812" s="7" t="s">
        <v>1</v>
      </c>
      <c r="N812" s="8"/>
      <c r="O812" s="40"/>
      <c r="P812" s="15"/>
      <c r="Q812" s="9" t="s">
        <v>264</v>
      </c>
      <c r="R812" s="9" t="s">
        <v>225</v>
      </c>
      <c r="S812" s="9"/>
      <c r="T812" s="9">
        <v>940016</v>
      </c>
      <c r="U812" s="16" t="s">
        <v>133</v>
      </c>
      <c r="V812" s="9">
        <v>3960057</v>
      </c>
      <c r="W812" s="8" t="s">
        <v>774</v>
      </c>
      <c r="X812" s="8"/>
      <c r="Y812" s="8"/>
      <c r="Z812" s="8"/>
      <c r="AA812" s="8"/>
      <c r="AB812" s="8"/>
      <c r="AC812" s="8" t="s">
        <v>228</v>
      </c>
      <c r="AD812" s="14" t="s">
        <v>229</v>
      </c>
      <c r="AE812" s="8" t="s">
        <v>614</v>
      </c>
      <c r="AF812" s="14">
        <v>0.63</v>
      </c>
      <c r="AG812" s="8">
        <v>1220</v>
      </c>
      <c r="AH812" s="8"/>
      <c r="AI812" s="8">
        <v>56</v>
      </c>
      <c r="AJ812" s="8">
        <v>0</v>
      </c>
      <c r="AK812" s="127">
        <v>56</v>
      </c>
      <c r="AL812" s="103">
        <v>0</v>
      </c>
      <c r="AM812" s="8">
        <v>56</v>
      </c>
      <c r="AN812" s="21">
        <v>0</v>
      </c>
      <c r="AO812" s="21">
        <v>56</v>
      </c>
      <c r="AP812" s="21">
        <v>0</v>
      </c>
      <c r="AQ812" s="21">
        <v>0</v>
      </c>
      <c r="AR812" s="21">
        <v>0</v>
      </c>
      <c r="AS812" s="8">
        <v>56</v>
      </c>
      <c r="AT812" s="21">
        <v>0</v>
      </c>
      <c r="AU812" s="21">
        <v>0</v>
      </c>
      <c r="AV812" s="21">
        <v>56</v>
      </c>
      <c r="AW812" s="21">
        <v>0</v>
      </c>
      <c r="AX812" s="21">
        <v>0</v>
      </c>
      <c r="AY812" s="8">
        <v>0</v>
      </c>
    </row>
    <row r="813" spans="1:51" ht="15" customHeight="1" x14ac:dyDescent="0.25">
      <c r="A813" s="9">
        <v>744</v>
      </c>
      <c r="B813" s="13">
        <v>45710</v>
      </c>
      <c r="C813" s="9" t="s">
        <v>169</v>
      </c>
      <c r="D813" s="9">
        <v>9518543125</v>
      </c>
      <c r="E813" s="8">
        <v>8</v>
      </c>
      <c r="F813" s="9" t="s">
        <v>1491</v>
      </c>
      <c r="G813" s="79" t="s">
        <v>1303</v>
      </c>
      <c r="H813" s="9" t="s">
        <v>57</v>
      </c>
      <c r="I813" s="9" t="s">
        <v>48</v>
      </c>
      <c r="J813" s="9" t="s">
        <v>39</v>
      </c>
      <c r="K813" s="9" t="s">
        <v>233</v>
      </c>
      <c r="L813" s="39"/>
      <c r="M813" s="7" t="s">
        <v>1</v>
      </c>
      <c r="N813" s="8"/>
      <c r="O813" s="40"/>
      <c r="P813" s="15"/>
      <c r="Q813" s="9" t="s">
        <v>264</v>
      </c>
      <c r="R813" s="9" t="s">
        <v>225</v>
      </c>
      <c r="S813" s="9"/>
      <c r="T813" s="9">
        <v>940016</v>
      </c>
      <c r="U813" s="16" t="s">
        <v>133</v>
      </c>
      <c r="V813" s="9">
        <v>3797658</v>
      </c>
      <c r="W813" s="8" t="s">
        <v>235</v>
      </c>
      <c r="X813" s="8"/>
      <c r="Y813" s="8"/>
      <c r="Z813" s="8"/>
      <c r="AA813" s="8"/>
      <c r="AB813" s="8"/>
      <c r="AC813" s="8" t="s">
        <v>228</v>
      </c>
      <c r="AD813" s="14" t="s">
        <v>229</v>
      </c>
      <c r="AE813" s="8" t="s">
        <v>230</v>
      </c>
      <c r="AF813" s="14">
        <v>0.4</v>
      </c>
      <c r="AG813" s="8">
        <v>1220</v>
      </c>
      <c r="AH813" s="8"/>
      <c r="AI813" s="8">
        <v>83.99</v>
      </c>
      <c r="AJ813" s="8">
        <v>69.745000000000005</v>
      </c>
      <c r="AK813" s="127">
        <v>14.244999999999999</v>
      </c>
      <c r="AL813" s="103">
        <v>0</v>
      </c>
      <c r="AM813" s="8">
        <v>14.244999999999999</v>
      </c>
      <c r="AN813" s="21">
        <v>0</v>
      </c>
      <c r="AO813" s="21">
        <v>0</v>
      </c>
      <c r="AP813" s="21">
        <v>14.244999999999999</v>
      </c>
      <c r="AQ813" s="21">
        <v>0</v>
      </c>
      <c r="AR813" s="21">
        <v>0</v>
      </c>
      <c r="AS813" s="8">
        <v>14.244999999999999</v>
      </c>
      <c r="AT813" s="21">
        <v>0</v>
      </c>
      <c r="AU813" s="21">
        <v>0</v>
      </c>
      <c r="AV813" s="21">
        <v>0</v>
      </c>
      <c r="AW813" s="21">
        <v>14.244999999999999</v>
      </c>
      <c r="AX813" s="21">
        <v>0</v>
      </c>
      <c r="AY813" s="8">
        <v>0</v>
      </c>
    </row>
    <row r="814" spans="1:51" ht="15" customHeight="1" x14ac:dyDescent="0.25">
      <c r="A814" s="9">
        <v>744</v>
      </c>
      <c r="B814" s="13">
        <v>45770</v>
      </c>
      <c r="C814" s="9" t="s">
        <v>169</v>
      </c>
      <c r="D814" s="9">
        <v>9518715371</v>
      </c>
      <c r="E814" s="8">
        <v>2</v>
      </c>
      <c r="F814" s="9" t="s">
        <v>1509</v>
      </c>
      <c r="G814" s="79" t="s">
        <v>1303</v>
      </c>
      <c r="H814" s="9" t="s">
        <v>57</v>
      </c>
      <c r="I814" s="9" t="s">
        <v>48</v>
      </c>
      <c r="J814" s="9" t="s">
        <v>39</v>
      </c>
      <c r="K814" s="9" t="s">
        <v>233</v>
      </c>
      <c r="L814" s="39"/>
      <c r="M814" s="7" t="s">
        <v>1</v>
      </c>
      <c r="N814" s="8"/>
      <c r="O814" s="40"/>
      <c r="P814" s="15"/>
      <c r="Q814" s="9" t="s">
        <v>264</v>
      </c>
      <c r="R814" s="9" t="s">
        <v>225</v>
      </c>
      <c r="S814" s="9"/>
      <c r="T814" s="9">
        <v>940016</v>
      </c>
      <c r="U814" s="16" t="s">
        <v>133</v>
      </c>
      <c r="V814" s="9">
        <v>3522241</v>
      </c>
      <c r="W814" s="8" t="s">
        <v>348</v>
      </c>
      <c r="X814" s="8"/>
      <c r="Y814" s="8"/>
      <c r="Z814" s="8"/>
      <c r="AA814" s="8"/>
      <c r="AB814" s="8"/>
      <c r="AC814" s="8" t="s">
        <v>228</v>
      </c>
      <c r="AD814" s="14" t="s">
        <v>229</v>
      </c>
      <c r="AE814" s="8" t="s">
        <v>232</v>
      </c>
      <c r="AF814" s="14">
        <v>0.43</v>
      </c>
      <c r="AG814" s="8">
        <v>1220</v>
      </c>
      <c r="AH814" s="8"/>
      <c r="AI814" s="8">
        <v>280</v>
      </c>
      <c r="AJ814" s="8">
        <v>0</v>
      </c>
      <c r="AK814" s="127">
        <v>280</v>
      </c>
      <c r="AL814" s="103">
        <v>0</v>
      </c>
      <c r="AM814" s="8">
        <v>280</v>
      </c>
      <c r="AN814" s="21">
        <v>0</v>
      </c>
      <c r="AO814" s="21">
        <v>0</v>
      </c>
      <c r="AP814" s="21">
        <v>0</v>
      </c>
      <c r="AQ814" s="21">
        <v>280</v>
      </c>
      <c r="AR814" s="21">
        <v>0</v>
      </c>
      <c r="AS814" s="8">
        <v>280</v>
      </c>
      <c r="AT814" s="21">
        <v>0</v>
      </c>
      <c r="AU814" s="21">
        <v>0</v>
      </c>
      <c r="AV814" s="21">
        <v>0</v>
      </c>
      <c r="AW814" s="21">
        <v>0</v>
      </c>
      <c r="AX814" s="21">
        <v>280</v>
      </c>
      <c r="AY814" s="8">
        <v>0</v>
      </c>
    </row>
    <row r="815" spans="1:51" ht="15" customHeight="1" x14ac:dyDescent="0.25">
      <c r="A815" s="9">
        <v>744</v>
      </c>
      <c r="B815" s="13">
        <v>45769</v>
      </c>
      <c r="C815" s="9" t="s">
        <v>169</v>
      </c>
      <c r="D815" s="9">
        <v>9518710804</v>
      </c>
      <c r="E815" s="8">
        <v>1</v>
      </c>
      <c r="F815" s="9" t="s">
        <v>1515</v>
      </c>
      <c r="G815" s="79" t="s">
        <v>1303</v>
      </c>
      <c r="H815" s="9" t="s">
        <v>57</v>
      </c>
      <c r="I815" s="9" t="s">
        <v>48</v>
      </c>
      <c r="J815" s="9" t="s">
        <v>39</v>
      </c>
      <c r="K815" s="9" t="s">
        <v>233</v>
      </c>
      <c r="L815" s="39"/>
      <c r="M815" s="7" t="s">
        <v>1</v>
      </c>
      <c r="N815" s="8"/>
      <c r="O815" s="40"/>
      <c r="P815" s="15"/>
      <c r="Q815" s="9" t="s">
        <v>264</v>
      </c>
      <c r="R815" s="9" t="s">
        <v>234</v>
      </c>
      <c r="S815" s="9"/>
      <c r="T815" s="9">
        <v>940008</v>
      </c>
      <c r="U815" s="16" t="s">
        <v>133</v>
      </c>
      <c r="V815" s="9">
        <v>3996225</v>
      </c>
      <c r="W815" s="8" t="s">
        <v>1741</v>
      </c>
      <c r="X815" s="8"/>
      <c r="Y815" s="8"/>
      <c r="Z815" s="8"/>
      <c r="AA815" s="8"/>
      <c r="AB815" s="8"/>
      <c r="AC815" s="8" t="s">
        <v>228</v>
      </c>
      <c r="AD815" s="14" t="s">
        <v>229</v>
      </c>
      <c r="AE815" s="8" t="s">
        <v>1170</v>
      </c>
      <c r="AF815" s="14">
        <v>0.4</v>
      </c>
      <c r="AG815" s="8">
        <v>1220</v>
      </c>
      <c r="AH815" s="8"/>
      <c r="AI815" s="8">
        <v>28</v>
      </c>
      <c r="AJ815" s="8">
        <v>0</v>
      </c>
      <c r="AK815" s="127">
        <v>28</v>
      </c>
      <c r="AL815" s="103">
        <v>0</v>
      </c>
      <c r="AM815" s="8">
        <v>28</v>
      </c>
      <c r="AN815" s="21">
        <v>0</v>
      </c>
      <c r="AO815" s="21">
        <v>28</v>
      </c>
      <c r="AP815" s="21">
        <v>0</v>
      </c>
      <c r="AQ815" s="21">
        <v>0</v>
      </c>
      <c r="AR815" s="21">
        <v>0</v>
      </c>
      <c r="AS815" s="8">
        <v>28</v>
      </c>
      <c r="AT815" s="21">
        <v>0</v>
      </c>
      <c r="AU815" s="21">
        <v>0</v>
      </c>
      <c r="AV815" s="21">
        <v>28</v>
      </c>
      <c r="AW815" s="21">
        <v>0</v>
      </c>
      <c r="AX815" s="21">
        <v>0</v>
      </c>
      <c r="AY815" s="8">
        <v>0</v>
      </c>
    </row>
    <row r="816" spans="1:51" ht="15" customHeight="1" x14ac:dyDescent="0.25">
      <c r="A816" s="9">
        <v>744</v>
      </c>
      <c r="B816" s="13">
        <v>45752</v>
      </c>
      <c r="C816" s="9" t="s">
        <v>169</v>
      </c>
      <c r="D816" s="9">
        <v>9518671035</v>
      </c>
      <c r="E816" s="8">
        <v>1</v>
      </c>
      <c r="F816" s="9" t="s">
        <v>1516</v>
      </c>
      <c r="G816" s="79" t="s">
        <v>1303</v>
      </c>
      <c r="H816" s="9" t="s">
        <v>57</v>
      </c>
      <c r="I816" s="9" t="s">
        <v>48</v>
      </c>
      <c r="J816" s="9" t="s">
        <v>39</v>
      </c>
      <c r="K816" s="9" t="s">
        <v>233</v>
      </c>
      <c r="L816" s="39"/>
      <c r="M816" s="7" t="s">
        <v>1</v>
      </c>
      <c r="N816" s="8"/>
      <c r="O816" s="40"/>
      <c r="P816" s="15"/>
      <c r="Q816" s="9" t="s">
        <v>264</v>
      </c>
      <c r="R816" s="9" t="s">
        <v>234</v>
      </c>
      <c r="S816" s="9"/>
      <c r="T816" s="9">
        <v>940008</v>
      </c>
      <c r="U816" s="16" t="s">
        <v>133</v>
      </c>
      <c r="V816" s="9">
        <v>3727860</v>
      </c>
      <c r="W816" s="8" t="s">
        <v>1742</v>
      </c>
      <c r="X816" s="8"/>
      <c r="Y816" s="8"/>
      <c r="Z816" s="8"/>
      <c r="AA816" s="8"/>
      <c r="AB816" s="8"/>
      <c r="AC816" s="8" t="s">
        <v>228</v>
      </c>
      <c r="AD816" s="14" t="s">
        <v>229</v>
      </c>
      <c r="AE816" s="8" t="s">
        <v>1170</v>
      </c>
      <c r="AF816" s="14">
        <v>0.43</v>
      </c>
      <c r="AG816" s="8">
        <v>1220</v>
      </c>
      <c r="AH816" s="8"/>
      <c r="AI816" s="8">
        <v>28</v>
      </c>
      <c r="AJ816" s="8">
        <v>0</v>
      </c>
      <c r="AK816" s="127">
        <v>28</v>
      </c>
      <c r="AL816" s="103">
        <v>0</v>
      </c>
      <c r="AM816" s="8">
        <v>28</v>
      </c>
      <c r="AN816" s="21">
        <v>0</v>
      </c>
      <c r="AO816" s="21">
        <v>28</v>
      </c>
      <c r="AP816" s="21">
        <v>0</v>
      </c>
      <c r="AQ816" s="21">
        <v>0</v>
      </c>
      <c r="AR816" s="21">
        <v>0</v>
      </c>
      <c r="AS816" s="8">
        <v>28</v>
      </c>
      <c r="AT816" s="21">
        <v>0</v>
      </c>
      <c r="AU816" s="21">
        <v>0</v>
      </c>
      <c r="AV816" s="21">
        <v>28</v>
      </c>
      <c r="AW816" s="21">
        <v>0</v>
      </c>
      <c r="AX816" s="21">
        <v>0</v>
      </c>
      <c r="AY816" s="8">
        <v>0</v>
      </c>
    </row>
    <row r="817" spans="1:51" ht="15" customHeight="1" x14ac:dyDescent="0.25">
      <c r="A817" s="9">
        <v>744</v>
      </c>
      <c r="B817" s="13">
        <v>45745</v>
      </c>
      <c r="C817" s="9" t="s">
        <v>169</v>
      </c>
      <c r="D817" s="9">
        <v>9518653385</v>
      </c>
      <c r="E817" s="8">
        <v>3</v>
      </c>
      <c r="F817" s="9" t="s">
        <v>1517</v>
      </c>
      <c r="G817" s="79" t="s">
        <v>1303</v>
      </c>
      <c r="H817" s="9" t="s">
        <v>57</v>
      </c>
      <c r="I817" s="9" t="s">
        <v>48</v>
      </c>
      <c r="J817" s="9" t="s">
        <v>39</v>
      </c>
      <c r="K817" s="9" t="s">
        <v>233</v>
      </c>
      <c r="L817" s="39"/>
      <c r="M817" s="7" t="s">
        <v>1</v>
      </c>
      <c r="N817" s="8"/>
      <c r="O817" s="40"/>
      <c r="P817" s="15"/>
      <c r="Q817" s="9" t="s">
        <v>264</v>
      </c>
      <c r="R817" s="9" t="s">
        <v>234</v>
      </c>
      <c r="S817" s="9"/>
      <c r="T817" s="9">
        <v>940008</v>
      </c>
      <c r="U817" s="16" t="s">
        <v>133</v>
      </c>
      <c r="V817" s="9">
        <v>3879501</v>
      </c>
      <c r="W817" s="8" t="s">
        <v>621</v>
      </c>
      <c r="X817" s="8"/>
      <c r="Y817" s="8"/>
      <c r="Z817" s="8"/>
      <c r="AA817" s="8"/>
      <c r="AB817" s="8"/>
      <c r="AC817" s="8" t="s">
        <v>228</v>
      </c>
      <c r="AD817" s="14" t="s">
        <v>229</v>
      </c>
      <c r="AE817" s="8" t="s">
        <v>230</v>
      </c>
      <c r="AF817" s="14">
        <v>0.45</v>
      </c>
      <c r="AG817" s="8">
        <v>1220</v>
      </c>
      <c r="AH817" s="8"/>
      <c r="AI817" s="8">
        <v>28</v>
      </c>
      <c r="AJ817" s="8">
        <v>0</v>
      </c>
      <c r="AK817" s="127">
        <v>28</v>
      </c>
      <c r="AL817" s="103">
        <v>0</v>
      </c>
      <c r="AM817" s="8">
        <v>28</v>
      </c>
      <c r="AN817" s="21">
        <v>0</v>
      </c>
      <c r="AO817" s="21">
        <v>28</v>
      </c>
      <c r="AP817" s="21">
        <v>0</v>
      </c>
      <c r="AQ817" s="21">
        <v>0</v>
      </c>
      <c r="AR817" s="21">
        <v>0</v>
      </c>
      <c r="AS817" s="8">
        <v>28</v>
      </c>
      <c r="AT817" s="21">
        <v>0</v>
      </c>
      <c r="AU817" s="21">
        <v>0</v>
      </c>
      <c r="AV817" s="21">
        <v>28</v>
      </c>
      <c r="AW817" s="21">
        <v>0</v>
      </c>
      <c r="AX817" s="21">
        <v>0</v>
      </c>
      <c r="AY817" s="8">
        <v>0</v>
      </c>
    </row>
    <row r="818" spans="1:51" ht="15" customHeight="1" x14ac:dyDescent="0.25">
      <c r="A818" s="9">
        <v>744</v>
      </c>
      <c r="B818" s="13">
        <v>45745</v>
      </c>
      <c r="C818" s="9" t="s">
        <v>169</v>
      </c>
      <c r="D818" s="9">
        <v>9518653385</v>
      </c>
      <c r="E818" s="8">
        <v>4</v>
      </c>
      <c r="F818" s="9" t="s">
        <v>1518</v>
      </c>
      <c r="G818" s="79" t="s">
        <v>1303</v>
      </c>
      <c r="H818" s="9" t="s">
        <v>57</v>
      </c>
      <c r="I818" s="9" t="s">
        <v>48</v>
      </c>
      <c r="J818" s="9" t="s">
        <v>39</v>
      </c>
      <c r="K818" s="9" t="s">
        <v>233</v>
      </c>
      <c r="L818" s="39"/>
      <c r="M818" s="7" t="s">
        <v>1</v>
      </c>
      <c r="N818" s="8"/>
      <c r="O818" s="40"/>
      <c r="P818" s="15"/>
      <c r="Q818" s="9" t="s">
        <v>264</v>
      </c>
      <c r="R818" s="9" t="s">
        <v>234</v>
      </c>
      <c r="S818" s="9"/>
      <c r="T818" s="9">
        <v>940008</v>
      </c>
      <c r="U818" s="16" t="s">
        <v>133</v>
      </c>
      <c r="V818" s="9">
        <v>3900141</v>
      </c>
      <c r="W818" s="8" t="s">
        <v>646</v>
      </c>
      <c r="X818" s="8"/>
      <c r="Y818" s="8"/>
      <c r="Z818" s="8"/>
      <c r="AA818" s="8"/>
      <c r="AB818" s="8"/>
      <c r="AC818" s="8" t="s">
        <v>228</v>
      </c>
      <c r="AD818" s="14" t="s">
        <v>229</v>
      </c>
      <c r="AE818" s="8" t="s">
        <v>230</v>
      </c>
      <c r="AF818" s="14">
        <v>0.43</v>
      </c>
      <c r="AG818" s="8">
        <v>1220</v>
      </c>
      <c r="AH818" s="8"/>
      <c r="AI818" s="8">
        <v>28</v>
      </c>
      <c r="AJ818" s="8">
        <v>0</v>
      </c>
      <c r="AK818" s="127">
        <v>28</v>
      </c>
      <c r="AL818" s="103">
        <v>0</v>
      </c>
      <c r="AM818" s="8">
        <v>28</v>
      </c>
      <c r="AN818" s="21">
        <v>0</v>
      </c>
      <c r="AO818" s="21">
        <v>28</v>
      </c>
      <c r="AP818" s="21">
        <v>0</v>
      </c>
      <c r="AQ818" s="21">
        <v>0</v>
      </c>
      <c r="AR818" s="21">
        <v>0</v>
      </c>
      <c r="AS818" s="8">
        <v>28</v>
      </c>
      <c r="AT818" s="21">
        <v>0</v>
      </c>
      <c r="AU818" s="21">
        <v>0</v>
      </c>
      <c r="AV818" s="21">
        <v>28</v>
      </c>
      <c r="AW818" s="21">
        <v>0</v>
      </c>
      <c r="AX818" s="21">
        <v>0</v>
      </c>
      <c r="AY818" s="8">
        <v>0</v>
      </c>
    </row>
    <row r="819" spans="1:51" ht="15" customHeight="1" x14ac:dyDescent="0.25">
      <c r="A819" s="9">
        <v>744</v>
      </c>
      <c r="B819" s="13">
        <v>45745</v>
      </c>
      <c r="C819" s="9" t="s">
        <v>169</v>
      </c>
      <c r="D819" s="9">
        <v>9518653385</v>
      </c>
      <c r="E819" s="8">
        <v>6</v>
      </c>
      <c r="F819" s="9" t="s">
        <v>1519</v>
      </c>
      <c r="G819" s="79" t="s">
        <v>1303</v>
      </c>
      <c r="H819" s="9" t="s">
        <v>57</v>
      </c>
      <c r="I819" s="9" t="s">
        <v>48</v>
      </c>
      <c r="J819" s="9" t="s">
        <v>39</v>
      </c>
      <c r="K819" s="9" t="s">
        <v>233</v>
      </c>
      <c r="L819" s="39"/>
      <c r="M819" s="7" t="s">
        <v>1</v>
      </c>
      <c r="N819" s="8"/>
      <c r="O819" s="40"/>
      <c r="P819" s="15"/>
      <c r="Q819" s="9" t="s">
        <v>264</v>
      </c>
      <c r="R819" s="9" t="s">
        <v>234</v>
      </c>
      <c r="S819" s="9"/>
      <c r="T819" s="9">
        <v>940008</v>
      </c>
      <c r="U819" s="16" t="s">
        <v>133</v>
      </c>
      <c r="V819" s="9">
        <v>3900141</v>
      </c>
      <c r="W819" s="8" t="s">
        <v>646</v>
      </c>
      <c r="X819" s="8"/>
      <c r="Y819" s="8"/>
      <c r="Z819" s="8"/>
      <c r="AA819" s="8"/>
      <c r="AB819" s="8"/>
      <c r="AC819" s="8" t="s">
        <v>228</v>
      </c>
      <c r="AD819" s="14" t="s">
        <v>229</v>
      </c>
      <c r="AE819" s="8" t="s">
        <v>230</v>
      </c>
      <c r="AF819" s="14">
        <v>0.43</v>
      </c>
      <c r="AG819" s="8">
        <v>1220</v>
      </c>
      <c r="AH819" s="8"/>
      <c r="AI819" s="8">
        <v>28</v>
      </c>
      <c r="AJ819" s="8">
        <v>0</v>
      </c>
      <c r="AK819" s="127">
        <v>28</v>
      </c>
      <c r="AL819" s="103">
        <v>0</v>
      </c>
      <c r="AM819" s="8">
        <v>28</v>
      </c>
      <c r="AN819" s="21">
        <v>0</v>
      </c>
      <c r="AO819" s="21">
        <v>0</v>
      </c>
      <c r="AP819" s="21">
        <v>28</v>
      </c>
      <c r="AQ819" s="21">
        <v>0</v>
      </c>
      <c r="AR819" s="21">
        <v>0</v>
      </c>
      <c r="AS819" s="8">
        <v>28</v>
      </c>
      <c r="AT819" s="21">
        <v>0</v>
      </c>
      <c r="AU819" s="21">
        <v>0</v>
      </c>
      <c r="AV819" s="21">
        <v>0</v>
      </c>
      <c r="AW819" s="21">
        <v>28</v>
      </c>
      <c r="AX819" s="21">
        <v>0</v>
      </c>
      <c r="AY819" s="8">
        <v>0</v>
      </c>
    </row>
    <row r="820" spans="1:51" ht="15" customHeight="1" x14ac:dyDescent="0.25">
      <c r="A820" s="9">
        <v>744</v>
      </c>
      <c r="B820" s="13">
        <v>45769</v>
      </c>
      <c r="C820" s="9" t="s">
        <v>169</v>
      </c>
      <c r="D820" s="9">
        <v>9518711420</v>
      </c>
      <c r="E820" s="8">
        <v>3</v>
      </c>
      <c r="F820" s="9" t="s">
        <v>1521</v>
      </c>
      <c r="G820" s="79" t="s">
        <v>1303</v>
      </c>
      <c r="H820" s="9" t="s">
        <v>57</v>
      </c>
      <c r="I820" s="9" t="s">
        <v>48</v>
      </c>
      <c r="J820" s="9" t="s">
        <v>39</v>
      </c>
      <c r="K820" s="9" t="s">
        <v>233</v>
      </c>
      <c r="L820" s="39"/>
      <c r="M820" s="7" t="s">
        <v>1</v>
      </c>
      <c r="N820" s="8"/>
      <c r="O820" s="40"/>
      <c r="P820" s="15"/>
      <c r="Q820" s="9" t="s">
        <v>264</v>
      </c>
      <c r="R820" s="9" t="s">
        <v>256</v>
      </c>
      <c r="S820" s="9"/>
      <c r="T820" s="9">
        <v>940074</v>
      </c>
      <c r="U820" s="16" t="s">
        <v>106</v>
      </c>
      <c r="V820" s="9">
        <v>3996225</v>
      </c>
      <c r="W820" s="8" t="s">
        <v>1743</v>
      </c>
      <c r="X820" s="8"/>
      <c r="Y820" s="8"/>
      <c r="Z820" s="8"/>
      <c r="AA820" s="8"/>
      <c r="AB820" s="8"/>
      <c r="AC820" s="8" t="s">
        <v>228</v>
      </c>
      <c r="AD820" s="14" t="s">
        <v>229</v>
      </c>
      <c r="AE820" s="8" t="s">
        <v>1170</v>
      </c>
      <c r="AF820" s="14">
        <v>0.4</v>
      </c>
      <c r="AG820" s="8">
        <v>1220</v>
      </c>
      <c r="AH820" s="8"/>
      <c r="AI820" s="8">
        <v>168</v>
      </c>
      <c r="AJ820" s="8">
        <v>0</v>
      </c>
      <c r="AK820" s="127">
        <v>168</v>
      </c>
      <c r="AL820" s="103">
        <v>0</v>
      </c>
      <c r="AM820" s="8">
        <v>168</v>
      </c>
      <c r="AN820" s="21">
        <v>0</v>
      </c>
      <c r="AO820" s="21">
        <v>168</v>
      </c>
      <c r="AP820" s="21">
        <v>0</v>
      </c>
      <c r="AQ820" s="21">
        <v>0</v>
      </c>
      <c r="AR820" s="21">
        <v>0</v>
      </c>
      <c r="AS820" s="8">
        <v>168</v>
      </c>
      <c r="AT820" s="21">
        <v>0</v>
      </c>
      <c r="AU820" s="21">
        <v>0</v>
      </c>
      <c r="AV820" s="21">
        <v>168</v>
      </c>
      <c r="AW820" s="21">
        <v>0</v>
      </c>
      <c r="AX820" s="21">
        <v>0</v>
      </c>
      <c r="AY820" s="8">
        <v>0</v>
      </c>
    </row>
    <row r="821" spans="1:51" ht="15" customHeight="1" x14ac:dyDescent="0.25">
      <c r="A821" s="9">
        <v>744</v>
      </c>
      <c r="B821" s="13">
        <v>45769</v>
      </c>
      <c r="C821" s="9" t="s">
        <v>169</v>
      </c>
      <c r="D821" s="9">
        <v>9518711420</v>
      </c>
      <c r="E821" s="8">
        <v>4</v>
      </c>
      <c r="F821" s="9" t="s">
        <v>1522</v>
      </c>
      <c r="G821" s="79" t="s">
        <v>1303</v>
      </c>
      <c r="H821" s="9" t="s">
        <v>57</v>
      </c>
      <c r="I821" s="9" t="s">
        <v>48</v>
      </c>
      <c r="J821" s="9" t="s">
        <v>39</v>
      </c>
      <c r="K821" s="9" t="s">
        <v>233</v>
      </c>
      <c r="L821" s="39"/>
      <c r="M821" s="7" t="s">
        <v>1</v>
      </c>
      <c r="N821" s="8"/>
      <c r="O821" s="40"/>
      <c r="P821" s="15"/>
      <c r="Q821" s="9" t="s">
        <v>264</v>
      </c>
      <c r="R821" s="9" t="s">
        <v>256</v>
      </c>
      <c r="S821" s="9"/>
      <c r="T821" s="9">
        <v>940074</v>
      </c>
      <c r="U821" s="16" t="s">
        <v>106</v>
      </c>
      <c r="V821" s="9">
        <v>3996225</v>
      </c>
      <c r="W821" s="8" t="s">
        <v>1743</v>
      </c>
      <c r="X821" s="8"/>
      <c r="Y821" s="8"/>
      <c r="Z821" s="8"/>
      <c r="AA821" s="8"/>
      <c r="AB821" s="8"/>
      <c r="AC821" s="8" t="s">
        <v>228</v>
      </c>
      <c r="AD821" s="14" t="s">
        <v>229</v>
      </c>
      <c r="AE821" s="8" t="s">
        <v>1170</v>
      </c>
      <c r="AF821" s="14">
        <v>0.4</v>
      </c>
      <c r="AG821" s="8">
        <v>1220</v>
      </c>
      <c r="AH821" s="8"/>
      <c r="AI821" s="8">
        <v>84</v>
      </c>
      <c r="AJ821" s="8">
        <v>0</v>
      </c>
      <c r="AK821" s="127">
        <v>84</v>
      </c>
      <c r="AL821" s="103">
        <v>0</v>
      </c>
      <c r="AM821" s="8">
        <v>84</v>
      </c>
      <c r="AN821" s="21">
        <v>0</v>
      </c>
      <c r="AO821" s="21">
        <v>0</v>
      </c>
      <c r="AP821" s="21">
        <v>0</v>
      </c>
      <c r="AQ821" s="21">
        <v>84</v>
      </c>
      <c r="AR821" s="21">
        <v>0</v>
      </c>
      <c r="AS821" s="8">
        <v>84</v>
      </c>
      <c r="AT821" s="21">
        <v>0</v>
      </c>
      <c r="AU821" s="21">
        <v>0</v>
      </c>
      <c r="AV821" s="21">
        <v>0</v>
      </c>
      <c r="AW821" s="21">
        <v>0</v>
      </c>
      <c r="AX821" s="21">
        <v>84</v>
      </c>
      <c r="AY821" s="8">
        <v>0</v>
      </c>
    </row>
    <row r="822" spans="1:51" ht="15" customHeight="1" x14ac:dyDescent="0.25">
      <c r="A822" s="9">
        <v>744</v>
      </c>
      <c r="B822" s="13">
        <v>45772</v>
      </c>
      <c r="C822" s="9" t="s">
        <v>169</v>
      </c>
      <c r="D822" s="9">
        <v>9518720671</v>
      </c>
      <c r="E822" s="8">
        <v>1</v>
      </c>
      <c r="F822" s="9" t="s">
        <v>1524</v>
      </c>
      <c r="G822" s="79" t="s">
        <v>1303</v>
      </c>
      <c r="H822" s="9" t="s">
        <v>57</v>
      </c>
      <c r="I822" s="9" t="s">
        <v>48</v>
      </c>
      <c r="J822" s="9" t="s">
        <v>39</v>
      </c>
      <c r="K822" s="9" t="s">
        <v>233</v>
      </c>
      <c r="L822" s="39"/>
      <c r="M822" s="7" t="s">
        <v>1</v>
      </c>
      <c r="N822" s="8"/>
      <c r="O822" s="40"/>
      <c r="P822" s="15"/>
      <c r="Q822" s="9" t="s">
        <v>264</v>
      </c>
      <c r="R822" s="9" t="s">
        <v>225</v>
      </c>
      <c r="S822" s="9"/>
      <c r="T822" s="9">
        <v>940016</v>
      </c>
      <c r="U822" s="16" t="s">
        <v>133</v>
      </c>
      <c r="V822" s="9">
        <v>4015467</v>
      </c>
      <c r="W822" s="8" t="s">
        <v>1744</v>
      </c>
      <c r="X822" s="8"/>
      <c r="Y822" s="8"/>
      <c r="Z822" s="8"/>
      <c r="AA822" s="8"/>
      <c r="AB822" s="8"/>
      <c r="AC822" s="8" t="s">
        <v>228</v>
      </c>
      <c r="AD822" s="14" t="s">
        <v>229</v>
      </c>
      <c r="AE822" s="8" t="s">
        <v>354</v>
      </c>
      <c r="AF822" s="14">
        <v>0.43</v>
      </c>
      <c r="AG822" s="8">
        <v>1220</v>
      </c>
      <c r="AH822" s="8"/>
      <c r="AI822" s="8">
        <v>28</v>
      </c>
      <c r="AJ822" s="8">
        <v>0</v>
      </c>
      <c r="AK822" s="127">
        <v>28</v>
      </c>
      <c r="AL822" s="103">
        <v>0</v>
      </c>
      <c r="AM822" s="8">
        <v>28</v>
      </c>
      <c r="AN822" s="21">
        <v>0</v>
      </c>
      <c r="AO822" s="21">
        <v>28</v>
      </c>
      <c r="AP822" s="21">
        <v>0</v>
      </c>
      <c r="AQ822" s="21">
        <v>0</v>
      </c>
      <c r="AR822" s="21">
        <v>0</v>
      </c>
      <c r="AS822" s="8">
        <v>28</v>
      </c>
      <c r="AT822" s="21">
        <v>0</v>
      </c>
      <c r="AU822" s="21">
        <v>0</v>
      </c>
      <c r="AV822" s="21">
        <v>28</v>
      </c>
      <c r="AW822" s="21">
        <v>0</v>
      </c>
      <c r="AX822" s="21">
        <v>0</v>
      </c>
      <c r="AY822" s="8">
        <v>0</v>
      </c>
    </row>
    <row r="823" spans="1:51" ht="15" customHeight="1" x14ac:dyDescent="0.25">
      <c r="A823" s="9">
        <v>744</v>
      </c>
      <c r="B823" s="13">
        <v>45747</v>
      </c>
      <c r="C823" s="9" t="s">
        <v>169</v>
      </c>
      <c r="D823" s="9">
        <v>9518661174</v>
      </c>
      <c r="E823" s="8">
        <v>1</v>
      </c>
      <c r="F823" s="9" t="s">
        <v>1527</v>
      </c>
      <c r="G823" s="79" t="s">
        <v>1303</v>
      </c>
      <c r="H823" s="9" t="s">
        <v>57</v>
      </c>
      <c r="I823" s="9" t="s">
        <v>48</v>
      </c>
      <c r="J823" s="9" t="s">
        <v>39</v>
      </c>
      <c r="K823" s="9" t="s">
        <v>233</v>
      </c>
      <c r="L823" s="39"/>
      <c r="M823" s="7" t="s">
        <v>1</v>
      </c>
      <c r="N823" s="8"/>
      <c r="O823" s="40"/>
      <c r="P823" s="15"/>
      <c r="Q823" s="9" t="s">
        <v>264</v>
      </c>
      <c r="R823" s="9" t="s">
        <v>265</v>
      </c>
      <c r="S823" s="9"/>
      <c r="T823" s="9">
        <v>941597</v>
      </c>
      <c r="U823" s="16" t="s">
        <v>106</v>
      </c>
      <c r="V823" s="9">
        <v>3902332</v>
      </c>
      <c r="W823" s="8" t="s">
        <v>353</v>
      </c>
      <c r="X823" s="8"/>
      <c r="Y823" s="8"/>
      <c r="Z823" s="8"/>
      <c r="AA823" s="8"/>
      <c r="AB823" s="8"/>
      <c r="AC823" s="8" t="s">
        <v>228</v>
      </c>
      <c r="AD823" s="14" t="s">
        <v>229</v>
      </c>
      <c r="AE823" s="8" t="s">
        <v>354</v>
      </c>
      <c r="AF823" s="14">
        <v>0.5</v>
      </c>
      <c r="AG823" s="8">
        <v>1220</v>
      </c>
      <c r="AH823" s="8"/>
      <c r="AI823" s="8">
        <v>56</v>
      </c>
      <c r="AJ823" s="8">
        <v>0</v>
      </c>
      <c r="AK823" s="127">
        <v>56</v>
      </c>
      <c r="AL823" s="103">
        <v>0</v>
      </c>
      <c r="AM823" s="8">
        <v>56</v>
      </c>
      <c r="AN823" s="21">
        <v>0</v>
      </c>
      <c r="AO823" s="21">
        <v>0</v>
      </c>
      <c r="AP823" s="21">
        <v>0</v>
      </c>
      <c r="AQ823" s="21">
        <v>56</v>
      </c>
      <c r="AR823" s="21">
        <v>0</v>
      </c>
      <c r="AS823" s="8">
        <v>56</v>
      </c>
      <c r="AT823" s="21">
        <v>0</v>
      </c>
      <c r="AU823" s="21">
        <v>0</v>
      </c>
      <c r="AV823" s="21">
        <v>0</v>
      </c>
      <c r="AW823" s="21">
        <v>0</v>
      </c>
      <c r="AX823" s="21">
        <v>56</v>
      </c>
      <c r="AY823" s="8">
        <v>0</v>
      </c>
    </row>
    <row r="824" spans="1:51" ht="15" customHeight="1" x14ac:dyDescent="0.25">
      <c r="A824" s="9">
        <v>744</v>
      </c>
      <c r="B824" s="13">
        <v>45769</v>
      </c>
      <c r="C824" s="9" t="s">
        <v>169</v>
      </c>
      <c r="D824" s="9">
        <v>9518711420</v>
      </c>
      <c r="E824" s="8">
        <v>5</v>
      </c>
      <c r="F824" s="9" t="s">
        <v>1528</v>
      </c>
      <c r="G824" s="79" t="s">
        <v>1303</v>
      </c>
      <c r="H824" s="9" t="s">
        <v>57</v>
      </c>
      <c r="I824" s="9" t="s">
        <v>48</v>
      </c>
      <c r="J824" s="9" t="s">
        <v>39</v>
      </c>
      <c r="K824" s="9" t="s">
        <v>233</v>
      </c>
      <c r="L824" s="39"/>
      <c r="M824" s="7" t="s">
        <v>1</v>
      </c>
      <c r="N824" s="8"/>
      <c r="O824" s="40"/>
      <c r="P824" s="15"/>
      <c r="Q824" s="9" t="s">
        <v>264</v>
      </c>
      <c r="R824" s="9" t="s">
        <v>256</v>
      </c>
      <c r="S824" s="9"/>
      <c r="T824" s="9">
        <v>940074</v>
      </c>
      <c r="U824" s="16" t="s">
        <v>106</v>
      </c>
      <c r="V824" s="9">
        <v>3996225</v>
      </c>
      <c r="W824" s="8" t="s">
        <v>1743</v>
      </c>
      <c r="X824" s="8"/>
      <c r="Y824" s="8"/>
      <c r="Z824" s="8"/>
      <c r="AA824" s="8"/>
      <c r="AB824" s="8"/>
      <c r="AC824" s="8" t="s">
        <v>228</v>
      </c>
      <c r="AD824" s="14" t="s">
        <v>229</v>
      </c>
      <c r="AE824" s="8" t="s">
        <v>1170</v>
      </c>
      <c r="AF824" s="14">
        <v>0.4</v>
      </c>
      <c r="AG824" s="8">
        <v>1220</v>
      </c>
      <c r="AH824" s="8"/>
      <c r="AI824" s="8">
        <v>140</v>
      </c>
      <c r="AJ824" s="8">
        <v>0</v>
      </c>
      <c r="AK824" s="127">
        <v>140</v>
      </c>
      <c r="AL824" s="103">
        <v>0</v>
      </c>
      <c r="AM824" s="8">
        <v>140</v>
      </c>
      <c r="AN824" s="21">
        <v>0</v>
      </c>
      <c r="AO824" s="21">
        <v>0</v>
      </c>
      <c r="AP824" s="21">
        <v>0</v>
      </c>
      <c r="AQ824" s="21">
        <v>0</v>
      </c>
      <c r="AR824" s="21">
        <v>140</v>
      </c>
      <c r="AS824" s="8">
        <v>0</v>
      </c>
      <c r="AT824" s="21">
        <v>0</v>
      </c>
      <c r="AU824" s="21">
        <v>0</v>
      </c>
      <c r="AV824" s="21">
        <v>0</v>
      </c>
      <c r="AW824" s="21">
        <v>0</v>
      </c>
      <c r="AX824" s="21">
        <v>0</v>
      </c>
      <c r="AY824" s="8">
        <v>140</v>
      </c>
    </row>
    <row r="825" spans="1:51" ht="15" customHeight="1" x14ac:dyDescent="0.25">
      <c r="A825" s="9">
        <v>744</v>
      </c>
      <c r="B825" s="13">
        <v>45769</v>
      </c>
      <c r="C825" s="9" t="s">
        <v>169</v>
      </c>
      <c r="D825" s="9">
        <v>9518711420</v>
      </c>
      <c r="E825" s="8">
        <v>6</v>
      </c>
      <c r="F825" s="9" t="s">
        <v>1529</v>
      </c>
      <c r="G825" s="79" t="s">
        <v>1303</v>
      </c>
      <c r="H825" s="9" t="s">
        <v>57</v>
      </c>
      <c r="I825" s="9" t="s">
        <v>48</v>
      </c>
      <c r="J825" s="9" t="s">
        <v>39</v>
      </c>
      <c r="K825" s="9" t="s">
        <v>233</v>
      </c>
      <c r="L825" s="39"/>
      <c r="M825" s="7" t="s">
        <v>1</v>
      </c>
      <c r="N825" s="8"/>
      <c r="O825" s="40"/>
      <c r="P825" s="15"/>
      <c r="Q825" s="9" t="s">
        <v>264</v>
      </c>
      <c r="R825" s="9" t="s">
        <v>256</v>
      </c>
      <c r="S825" s="9"/>
      <c r="T825" s="9">
        <v>940074</v>
      </c>
      <c r="U825" s="16" t="s">
        <v>106</v>
      </c>
      <c r="V825" s="9">
        <v>3996225</v>
      </c>
      <c r="W825" s="8" t="s">
        <v>1743</v>
      </c>
      <c r="X825" s="8"/>
      <c r="Y825" s="8"/>
      <c r="Z825" s="8"/>
      <c r="AA825" s="8"/>
      <c r="AB825" s="8"/>
      <c r="AC825" s="8" t="s">
        <v>228</v>
      </c>
      <c r="AD825" s="14" t="s">
        <v>229</v>
      </c>
      <c r="AE825" s="8" t="s">
        <v>1170</v>
      </c>
      <c r="AF825" s="14">
        <v>0.4</v>
      </c>
      <c r="AG825" s="8">
        <v>1220</v>
      </c>
      <c r="AH825" s="8"/>
      <c r="AI825" s="8">
        <v>28</v>
      </c>
      <c r="AJ825" s="8">
        <v>0</v>
      </c>
      <c r="AK825" s="127">
        <v>28</v>
      </c>
      <c r="AL825" s="103">
        <v>0</v>
      </c>
      <c r="AM825" s="8">
        <v>28</v>
      </c>
      <c r="AN825" s="21">
        <v>0</v>
      </c>
      <c r="AO825" s="21">
        <v>28</v>
      </c>
      <c r="AP825" s="21">
        <v>0</v>
      </c>
      <c r="AQ825" s="21">
        <v>0</v>
      </c>
      <c r="AR825" s="21">
        <v>0</v>
      </c>
      <c r="AS825" s="8">
        <v>28</v>
      </c>
      <c r="AT825" s="21">
        <v>0</v>
      </c>
      <c r="AU825" s="21">
        <v>0</v>
      </c>
      <c r="AV825" s="21">
        <v>28</v>
      </c>
      <c r="AW825" s="21">
        <v>0</v>
      </c>
      <c r="AX825" s="21">
        <v>0</v>
      </c>
      <c r="AY825" s="8">
        <v>0</v>
      </c>
    </row>
    <row r="826" spans="1:51" ht="15" customHeight="1" x14ac:dyDescent="0.25">
      <c r="A826" s="9">
        <v>744</v>
      </c>
      <c r="B826" s="13">
        <v>45734</v>
      </c>
      <c r="C826" s="9" t="s">
        <v>169</v>
      </c>
      <c r="D826" s="9">
        <v>9518609830</v>
      </c>
      <c r="E826" s="8">
        <v>2</v>
      </c>
      <c r="F826" s="9" t="s">
        <v>1530</v>
      </c>
      <c r="G826" s="79" t="s">
        <v>1303</v>
      </c>
      <c r="H826" s="9" t="s">
        <v>57</v>
      </c>
      <c r="I826" s="9" t="s">
        <v>48</v>
      </c>
      <c r="J826" s="9" t="s">
        <v>39</v>
      </c>
      <c r="K826" s="9" t="s">
        <v>233</v>
      </c>
      <c r="L826" s="39"/>
      <c r="M826" s="7" t="s">
        <v>1</v>
      </c>
      <c r="N826" s="8"/>
      <c r="O826" s="40"/>
      <c r="P826" s="15"/>
      <c r="Q826" s="9" t="s">
        <v>264</v>
      </c>
      <c r="R826" s="9" t="s">
        <v>225</v>
      </c>
      <c r="S826" s="9"/>
      <c r="T826" s="9">
        <v>940016</v>
      </c>
      <c r="U826" s="16" t="s">
        <v>133</v>
      </c>
      <c r="V826" s="9">
        <v>3930916</v>
      </c>
      <c r="W826" s="8" t="s">
        <v>682</v>
      </c>
      <c r="X826" s="8"/>
      <c r="Y826" s="8"/>
      <c r="Z826" s="8"/>
      <c r="AA826" s="8"/>
      <c r="AB826" s="8"/>
      <c r="AC826" s="8" t="s">
        <v>228</v>
      </c>
      <c r="AD826" s="14" t="s">
        <v>229</v>
      </c>
      <c r="AE826" s="8" t="s">
        <v>230</v>
      </c>
      <c r="AF826" s="14">
        <v>0.35</v>
      </c>
      <c r="AG826" s="8">
        <v>1220</v>
      </c>
      <c r="AH826" s="8"/>
      <c r="AI826" s="8">
        <v>28</v>
      </c>
      <c r="AJ826" s="8">
        <v>11.8</v>
      </c>
      <c r="AK826" s="127">
        <v>16.2</v>
      </c>
      <c r="AL826" s="103">
        <v>0</v>
      </c>
      <c r="AM826" s="8">
        <v>16.2</v>
      </c>
      <c r="AN826" s="21">
        <v>0</v>
      </c>
      <c r="AO826" s="21">
        <v>0</v>
      </c>
      <c r="AP826" s="21">
        <v>16.2</v>
      </c>
      <c r="AQ826" s="21">
        <v>0</v>
      </c>
      <c r="AR826" s="21">
        <v>0</v>
      </c>
      <c r="AS826" s="8">
        <v>16.2</v>
      </c>
      <c r="AT826" s="21">
        <v>0</v>
      </c>
      <c r="AU826" s="21">
        <v>0</v>
      </c>
      <c r="AV826" s="21">
        <v>0</v>
      </c>
      <c r="AW826" s="21">
        <v>16.2</v>
      </c>
      <c r="AX826" s="21">
        <v>0</v>
      </c>
      <c r="AY826" s="8">
        <v>0</v>
      </c>
    </row>
    <row r="827" spans="1:51" ht="15" customHeight="1" x14ac:dyDescent="0.25">
      <c r="A827" s="9">
        <v>744</v>
      </c>
      <c r="B827" s="13">
        <v>45769</v>
      </c>
      <c r="C827" s="9" t="s">
        <v>169</v>
      </c>
      <c r="D827" s="9">
        <v>9518712059</v>
      </c>
      <c r="E827" s="8">
        <v>9</v>
      </c>
      <c r="F827" s="9" t="s">
        <v>1552</v>
      </c>
      <c r="G827" s="79" t="s">
        <v>1303</v>
      </c>
      <c r="H827" s="9" t="s">
        <v>57</v>
      </c>
      <c r="I827" s="9" t="s">
        <v>48</v>
      </c>
      <c r="J827" s="9" t="s">
        <v>39</v>
      </c>
      <c r="K827" s="9" t="s">
        <v>233</v>
      </c>
      <c r="L827" s="39"/>
      <c r="M827" s="7" t="s">
        <v>1</v>
      </c>
      <c r="N827" s="8"/>
      <c r="O827" s="40"/>
      <c r="P827" s="15"/>
      <c r="Q827" s="9" t="s">
        <v>264</v>
      </c>
      <c r="R827" s="9" t="s">
        <v>265</v>
      </c>
      <c r="S827" s="9"/>
      <c r="T827" s="9">
        <v>941597</v>
      </c>
      <c r="U827" s="16" t="s">
        <v>106</v>
      </c>
      <c r="V827" s="9">
        <v>3902332</v>
      </c>
      <c r="W827" s="8" t="s">
        <v>353</v>
      </c>
      <c r="X827" s="8"/>
      <c r="Y827" s="8"/>
      <c r="Z827" s="8"/>
      <c r="AA827" s="8"/>
      <c r="AB827" s="8"/>
      <c r="AC827" s="8" t="s">
        <v>228</v>
      </c>
      <c r="AD827" s="14" t="s">
        <v>229</v>
      </c>
      <c r="AE827" s="8" t="s">
        <v>354</v>
      </c>
      <c r="AF827" s="14">
        <v>0.5</v>
      </c>
      <c r="AG827" s="8">
        <v>1220</v>
      </c>
      <c r="AH827" s="8"/>
      <c r="AI827" s="8">
        <v>224</v>
      </c>
      <c r="AJ827" s="8">
        <v>0</v>
      </c>
      <c r="AK827" s="127">
        <v>224</v>
      </c>
      <c r="AL827" s="103">
        <v>0</v>
      </c>
      <c r="AM827" s="8">
        <v>224</v>
      </c>
      <c r="AN827" s="21">
        <v>0</v>
      </c>
      <c r="AO827" s="21">
        <v>0</v>
      </c>
      <c r="AP827" s="21">
        <v>0</v>
      </c>
      <c r="AQ827" s="21">
        <v>0</v>
      </c>
      <c r="AR827" s="21">
        <v>224</v>
      </c>
      <c r="AS827" s="8">
        <v>0</v>
      </c>
      <c r="AT827" s="21">
        <v>0</v>
      </c>
      <c r="AU827" s="21">
        <v>0</v>
      </c>
      <c r="AV827" s="21">
        <v>0</v>
      </c>
      <c r="AW827" s="21">
        <v>0</v>
      </c>
      <c r="AX827" s="21">
        <v>0</v>
      </c>
      <c r="AY827" s="8">
        <v>224</v>
      </c>
    </row>
    <row r="828" spans="1:51" ht="15" customHeight="1" x14ac:dyDescent="0.25">
      <c r="A828" s="9">
        <v>744</v>
      </c>
      <c r="B828" s="13">
        <v>45762</v>
      </c>
      <c r="C828" s="9" t="s">
        <v>169</v>
      </c>
      <c r="D828" s="9">
        <v>9518695469</v>
      </c>
      <c r="E828" s="8">
        <v>1</v>
      </c>
      <c r="F828" s="9" t="s">
        <v>1534</v>
      </c>
      <c r="G828" s="79" t="s">
        <v>1303</v>
      </c>
      <c r="H828" s="9" t="s">
        <v>57</v>
      </c>
      <c r="I828" s="9" t="s">
        <v>48</v>
      </c>
      <c r="J828" s="9" t="s">
        <v>39</v>
      </c>
      <c r="K828" s="9" t="s">
        <v>233</v>
      </c>
      <c r="L828" s="39"/>
      <c r="M828" s="7" t="s">
        <v>1</v>
      </c>
      <c r="N828" s="8"/>
      <c r="O828" s="40"/>
      <c r="P828" s="15"/>
      <c r="Q828" s="9" t="s">
        <v>264</v>
      </c>
      <c r="R828" s="9" t="s">
        <v>225</v>
      </c>
      <c r="S828" s="9"/>
      <c r="T828" s="9">
        <v>940016</v>
      </c>
      <c r="U828" s="16" t="s">
        <v>133</v>
      </c>
      <c r="V828" s="9">
        <v>3522241</v>
      </c>
      <c r="W828" s="8" t="s">
        <v>348</v>
      </c>
      <c r="X828" s="8"/>
      <c r="Y828" s="8"/>
      <c r="Z828" s="8"/>
      <c r="AA828" s="8"/>
      <c r="AB828" s="8"/>
      <c r="AC828" s="8" t="s">
        <v>228</v>
      </c>
      <c r="AD828" s="14" t="s">
        <v>229</v>
      </c>
      <c r="AE828" s="8" t="s">
        <v>232</v>
      </c>
      <c r="AF828" s="14">
        <v>0.43</v>
      </c>
      <c r="AG828" s="8">
        <v>1220</v>
      </c>
      <c r="AH828" s="8"/>
      <c r="AI828" s="8">
        <v>196</v>
      </c>
      <c r="AJ828" s="8">
        <v>0</v>
      </c>
      <c r="AK828" s="127">
        <v>196</v>
      </c>
      <c r="AL828" s="103">
        <v>0</v>
      </c>
      <c r="AM828" s="8">
        <v>196</v>
      </c>
      <c r="AN828" s="21">
        <v>0</v>
      </c>
      <c r="AO828" s="21">
        <v>0</v>
      </c>
      <c r="AP828" s="21">
        <v>196</v>
      </c>
      <c r="AQ828" s="21">
        <v>0</v>
      </c>
      <c r="AR828" s="21">
        <v>0</v>
      </c>
      <c r="AS828" s="8">
        <v>196</v>
      </c>
      <c r="AT828" s="21">
        <v>0</v>
      </c>
      <c r="AU828" s="21">
        <v>0</v>
      </c>
      <c r="AV828" s="21">
        <v>0</v>
      </c>
      <c r="AW828" s="21">
        <v>196</v>
      </c>
      <c r="AX828" s="21">
        <v>0</v>
      </c>
      <c r="AY828" s="8">
        <v>0</v>
      </c>
    </row>
    <row r="829" spans="1:51" ht="15" customHeight="1" x14ac:dyDescent="0.25">
      <c r="A829" s="9">
        <v>744</v>
      </c>
      <c r="B829" s="13">
        <v>45769</v>
      </c>
      <c r="C829" s="9" t="s">
        <v>169</v>
      </c>
      <c r="D829" s="9">
        <v>9518710626</v>
      </c>
      <c r="E829" s="8">
        <v>1</v>
      </c>
      <c r="F829" s="9" t="s">
        <v>1540</v>
      </c>
      <c r="G829" s="79" t="s">
        <v>1303</v>
      </c>
      <c r="H829" s="9" t="s">
        <v>57</v>
      </c>
      <c r="I829" s="9" t="s">
        <v>48</v>
      </c>
      <c r="J829" s="9" t="s">
        <v>39</v>
      </c>
      <c r="K829" s="9" t="s">
        <v>233</v>
      </c>
      <c r="L829" s="39"/>
      <c r="M829" s="7" t="s">
        <v>1</v>
      </c>
      <c r="N829" s="8"/>
      <c r="O829" s="40"/>
      <c r="P829" s="15"/>
      <c r="Q829" s="9" t="s">
        <v>264</v>
      </c>
      <c r="R829" s="9" t="s">
        <v>234</v>
      </c>
      <c r="S829" s="9"/>
      <c r="T829" s="9">
        <v>940008</v>
      </c>
      <c r="U829" s="16" t="s">
        <v>133</v>
      </c>
      <c r="V829" s="9">
        <v>3522241</v>
      </c>
      <c r="W829" s="8" t="s">
        <v>348</v>
      </c>
      <c r="X829" s="8"/>
      <c r="Y829" s="8"/>
      <c r="Z829" s="8"/>
      <c r="AA829" s="8"/>
      <c r="AB829" s="8"/>
      <c r="AC829" s="8" t="s">
        <v>228</v>
      </c>
      <c r="AD829" s="14" t="s">
        <v>229</v>
      </c>
      <c r="AE829" s="8" t="s">
        <v>232</v>
      </c>
      <c r="AF829" s="14">
        <v>0.43</v>
      </c>
      <c r="AG829" s="8">
        <v>1220</v>
      </c>
      <c r="AH829" s="8"/>
      <c r="AI829" s="8">
        <v>280</v>
      </c>
      <c r="AJ829" s="8">
        <v>0</v>
      </c>
      <c r="AK829" s="127">
        <v>280</v>
      </c>
      <c r="AL829" s="103">
        <v>0</v>
      </c>
      <c r="AM829" s="8">
        <v>280</v>
      </c>
      <c r="AN829" s="21">
        <v>0</v>
      </c>
      <c r="AO829" s="21">
        <v>0</v>
      </c>
      <c r="AP829" s="21">
        <v>0</v>
      </c>
      <c r="AQ829" s="21">
        <v>280</v>
      </c>
      <c r="AR829" s="21">
        <v>0</v>
      </c>
      <c r="AS829" s="8">
        <v>280</v>
      </c>
      <c r="AT829" s="21">
        <v>0</v>
      </c>
      <c r="AU829" s="21">
        <v>0</v>
      </c>
      <c r="AV829" s="21">
        <v>0</v>
      </c>
      <c r="AW829" s="21">
        <v>0</v>
      </c>
      <c r="AX829" s="21">
        <v>280</v>
      </c>
      <c r="AY829" s="8">
        <v>0</v>
      </c>
    </row>
    <row r="830" spans="1:51" ht="15" customHeight="1" x14ac:dyDescent="0.25">
      <c r="A830" s="9">
        <v>744</v>
      </c>
      <c r="B830" s="13">
        <v>45769</v>
      </c>
      <c r="C830" s="9" t="s">
        <v>169</v>
      </c>
      <c r="D830" s="9">
        <v>9518710764</v>
      </c>
      <c r="E830" s="8">
        <v>1</v>
      </c>
      <c r="F830" s="9" t="s">
        <v>1542</v>
      </c>
      <c r="G830" s="79" t="s">
        <v>1303</v>
      </c>
      <c r="H830" s="9" t="s">
        <v>57</v>
      </c>
      <c r="I830" s="9" t="s">
        <v>48</v>
      </c>
      <c r="J830" s="9" t="s">
        <v>39</v>
      </c>
      <c r="K830" s="9" t="s">
        <v>233</v>
      </c>
      <c r="L830" s="39"/>
      <c r="M830" s="7" t="s">
        <v>1</v>
      </c>
      <c r="N830" s="8"/>
      <c r="O830" s="40"/>
      <c r="P830" s="15"/>
      <c r="Q830" s="9" t="s">
        <v>264</v>
      </c>
      <c r="R830" s="9" t="s">
        <v>234</v>
      </c>
      <c r="S830" s="9"/>
      <c r="T830" s="9">
        <v>940008</v>
      </c>
      <c r="U830" s="16" t="s">
        <v>133</v>
      </c>
      <c r="V830" s="9">
        <v>3712516</v>
      </c>
      <c r="W830" s="8" t="s">
        <v>1745</v>
      </c>
      <c r="X830" s="8"/>
      <c r="Y830" s="8"/>
      <c r="Z830" s="8"/>
      <c r="AA830" s="8"/>
      <c r="AB830" s="8"/>
      <c r="AC830" s="8" t="s">
        <v>228</v>
      </c>
      <c r="AD830" s="14" t="s">
        <v>229</v>
      </c>
      <c r="AE830" s="8" t="s">
        <v>259</v>
      </c>
      <c r="AF830" s="14">
        <v>0.45</v>
      </c>
      <c r="AG830" s="8">
        <v>1220</v>
      </c>
      <c r="AH830" s="8"/>
      <c r="AI830" s="8">
        <v>27.998999999999999</v>
      </c>
      <c r="AJ830" s="8">
        <v>0</v>
      </c>
      <c r="AK830" s="127">
        <v>27.998999999999999</v>
      </c>
      <c r="AL830" s="103">
        <v>0</v>
      </c>
      <c r="AM830" s="8">
        <v>27.998999999999999</v>
      </c>
      <c r="AN830" s="21">
        <v>0</v>
      </c>
      <c r="AO830" s="21">
        <v>0</v>
      </c>
      <c r="AP830" s="21">
        <v>0</v>
      </c>
      <c r="AQ830" s="21">
        <v>27.998999999999999</v>
      </c>
      <c r="AR830" s="21">
        <v>0</v>
      </c>
      <c r="AS830" s="8">
        <v>27.998999999999999</v>
      </c>
      <c r="AT830" s="21">
        <v>0</v>
      </c>
      <c r="AU830" s="21">
        <v>0</v>
      </c>
      <c r="AV830" s="21">
        <v>0</v>
      </c>
      <c r="AW830" s="21">
        <v>0</v>
      </c>
      <c r="AX830" s="21">
        <v>27.998999999999999</v>
      </c>
      <c r="AY830" s="8">
        <v>0</v>
      </c>
    </row>
    <row r="831" spans="1:51" ht="15" customHeight="1" x14ac:dyDescent="0.25">
      <c r="A831" s="9">
        <v>744</v>
      </c>
      <c r="B831" s="13">
        <v>45745</v>
      </c>
      <c r="C831" s="9" t="s">
        <v>169</v>
      </c>
      <c r="D831" s="9">
        <v>9518653385</v>
      </c>
      <c r="E831" s="8">
        <v>2</v>
      </c>
      <c r="F831" s="9" t="s">
        <v>1543</v>
      </c>
      <c r="G831" s="79" t="s">
        <v>1303</v>
      </c>
      <c r="H831" s="9" t="s">
        <v>57</v>
      </c>
      <c r="I831" s="9" t="s">
        <v>48</v>
      </c>
      <c r="J831" s="9" t="s">
        <v>39</v>
      </c>
      <c r="K831" s="9" t="s">
        <v>233</v>
      </c>
      <c r="L831" s="39"/>
      <c r="M831" s="7" t="s">
        <v>1</v>
      </c>
      <c r="N831" s="8"/>
      <c r="O831" s="40"/>
      <c r="P831" s="15"/>
      <c r="Q831" s="9" t="s">
        <v>264</v>
      </c>
      <c r="R831" s="9" t="s">
        <v>234</v>
      </c>
      <c r="S831" s="9"/>
      <c r="T831" s="9">
        <v>940008</v>
      </c>
      <c r="U831" s="16" t="s">
        <v>133</v>
      </c>
      <c r="V831" s="9">
        <v>3797658</v>
      </c>
      <c r="W831" s="8" t="s">
        <v>235</v>
      </c>
      <c r="X831" s="8"/>
      <c r="Y831" s="8"/>
      <c r="Z831" s="8"/>
      <c r="AA831" s="8"/>
      <c r="AB831" s="8"/>
      <c r="AC831" s="8" t="s">
        <v>228</v>
      </c>
      <c r="AD831" s="14" t="s">
        <v>229</v>
      </c>
      <c r="AE831" s="8" t="s">
        <v>230</v>
      </c>
      <c r="AF831" s="14">
        <v>0.4</v>
      </c>
      <c r="AG831" s="8">
        <v>1220</v>
      </c>
      <c r="AH831" s="8"/>
      <c r="AI831" s="8">
        <v>28</v>
      </c>
      <c r="AJ831" s="8">
        <v>0</v>
      </c>
      <c r="AK831" s="127">
        <v>28</v>
      </c>
      <c r="AL831" s="103">
        <v>0</v>
      </c>
      <c r="AM831" s="8">
        <v>28</v>
      </c>
      <c r="AN831" s="21">
        <v>0</v>
      </c>
      <c r="AO831" s="21">
        <v>0</v>
      </c>
      <c r="AP831" s="21">
        <v>28</v>
      </c>
      <c r="AQ831" s="21">
        <v>0</v>
      </c>
      <c r="AR831" s="21">
        <v>0</v>
      </c>
      <c r="AS831" s="8">
        <v>28</v>
      </c>
      <c r="AT831" s="21">
        <v>0</v>
      </c>
      <c r="AU831" s="21">
        <v>0</v>
      </c>
      <c r="AV831" s="21">
        <v>0</v>
      </c>
      <c r="AW831" s="21">
        <v>28</v>
      </c>
      <c r="AX831" s="21">
        <v>0</v>
      </c>
      <c r="AY831" s="8">
        <v>0</v>
      </c>
    </row>
    <row r="832" spans="1:51" ht="15" customHeight="1" x14ac:dyDescent="0.25">
      <c r="A832" s="9">
        <v>742</v>
      </c>
      <c r="B832" s="13"/>
      <c r="C832" s="9" t="s">
        <v>175</v>
      </c>
      <c r="D832" s="9"/>
      <c r="E832" s="8"/>
      <c r="F832" s="9" t="s">
        <v>1598</v>
      </c>
      <c r="G832" s="79" t="s">
        <v>1687</v>
      </c>
      <c r="H832" s="9"/>
      <c r="I832" s="9" t="s">
        <v>25</v>
      </c>
      <c r="J832" s="9" t="s">
        <v>28</v>
      </c>
      <c r="K832" s="9">
        <v>1000</v>
      </c>
      <c r="L832" s="39"/>
      <c r="M832" s="7" t="s">
        <v>1</v>
      </c>
      <c r="N832" s="8"/>
      <c r="O832" s="40"/>
      <c r="P832" s="15"/>
      <c r="Q832" s="9" t="s">
        <v>1689</v>
      </c>
      <c r="R832" s="9"/>
      <c r="S832" s="9"/>
      <c r="T832" s="9"/>
      <c r="U832" s="16" t="s">
        <v>1728</v>
      </c>
      <c r="V832" s="9">
        <v>2164800</v>
      </c>
      <c r="W832" s="8" t="s">
        <v>501</v>
      </c>
      <c r="X832" s="8"/>
      <c r="Y832" s="8"/>
      <c r="Z832" s="8"/>
      <c r="AA832" s="8"/>
      <c r="AB832" s="8"/>
      <c r="AC832" s="8" t="s">
        <v>190</v>
      </c>
      <c r="AD832" s="14" t="s">
        <v>191</v>
      </c>
      <c r="AE832" s="8" t="s">
        <v>384</v>
      </c>
      <c r="AF832" s="14">
        <v>0.97</v>
      </c>
      <c r="AG832" s="8">
        <v>913</v>
      </c>
      <c r="AH832" s="8"/>
      <c r="AI832" s="8"/>
      <c r="AJ832" s="8"/>
      <c r="AK832" s="127"/>
      <c r="AL832" s="103">
        <v>8.07</v>
      </c>
      <c r="AM832" s="8">
        <v>0</v>
      </c>
      <c r="AN832" s="21">
        <v>0</v>
      </c>
      <c r="AO832" s="21">
        <v>0</v>
      </c>
      <c r="AP832" s="21">
        <v>0</v>
      </c>
      <c r="AQ832" s="21">
        <v>0</v>
      </c>
      <c r="AR832" s="21">
        <v>0</v>
      </c>
      <c r="AS832" s="8">
        <v>8.07</v>
      </c>
      <c r="AT832" s="21">
        <v>8.07</v>
      </c>
      <c r="AU832" s="21">
        <v>0</v>
      </c>
      <c r="AV832" s="21">
        <v>0</v>
      </c>
      <c r="AW832" s="21">
        <v>0</v>
      </c>
      <c r="AX832" s="21">
        <v>0</v>
      </c>
      <c r="AY832" s="8">
        <v>0</v>
      </c>
    </row>
    <row r="833" spans="1:51" ht="15" customHeight="1" x14ac:dyDescent="0.25">
      <c r="A833" s="9">
        <v>743</v>
      </c>
      <c r="B833" s="13"/>
      <c r="C833" s="9" t="s">
        <v>175</v>
      </c>
      <c r="D833" s="9"/>
      <c r="E833" s="8"/>
      <c r="F833" s="9" t="s">
        <v>1599</v>
      </c>
      <c r="G833" s="79" t="s">
        <v>1687</v>
      </c>
      <c r="H833" s="9"/>
      <c r="I833" s="9" t="s">
        <v>43</v>
      </c>
      <c r="J833" s="9" t="s">
        <v>1311</v>
      </c>
      <c r="K833" s="9">
        <v>2000</v>
      </c>
      <c r="L833" s="39"/>
      <c r="M833" s="7" t="s">
        <v>1</v>
      </c>
      <c r="N833" s="8"/>
      <c r="O833" s="40"/>
      <c r="P833" s="15"/>
      <c r="Q833" s="9" t="s">
        <v>1689</v>
      </c>
      <c r="R833" s="9"/>
      <c r="S833" s="9"/>
      <c r="T833" s="9"/>
      <c r="U833" s="16" t="s">
        <v>1728</v>
      </c>
      <c r="V833" s="9">
        <v>1851145</v>
      </c>
      <c r="W833" s="8" t="s">
        <v>1692</v>
      </c>
      <c r="X833" s="8"/>
      <c r="Y833" s="8"/>
      <c r="Z833" s="8"/>
      <c r="AA833" s="8"/>
      <c r="AB833" s="8"/>
      <c r="AC833" s="8" t="s">
        <v>184</v>
      </c>
      <c r="AD833" s="14" t="s">
        <v>185</v>
      </c>
      <c r="AE833" s="8" t="s">
        <v>186</v>
      </c>
      <c r="AF833" s="14">
        <v>0.5</v>
      </c>
      <c r="AG833" s="8">
        <v>1220</v>
      </c>
      <c r="AH833" s="8"/>
      <c r="AI833" s="8"/>
      <c r="AJ833" s="8"/>
      <c r="AK833" s="127"/>
      <c r="AL833" s="103">
        <v>3.4849999999999999</v>
      </c>
      <c r="AM833" s="8">
        <v>0</v>
      </c>
      <c r="AN833" s="21">
        <v>0</v>
      </c>
      <c r="AO833" s="21">
        <v>0</v>
      </c>
      <c r="AP833" s="21">
        <v>0</v>
      </c>
      <c r="AQ833" s="21">
        <v>0</v>
      </c>
      <c r="AR833" s="21">
        <v>0</v>
      </c>
      <c r="AS833" s="8">
        <v>3.4849999999999999</v>
      </c>
      <c r="AT833" s="21">
        <v>3.4849999999999999</v>
      </c>
      <c r="AU833" s="21">
        <v>0</v>
      </c>
      <c r="AV833" s="21">
        <v>0</v>
      </c>
      <c r="AW833" s="21">
        <v>0</v>
      </c>
      <c r="AX833" s="21">
        <v>0</v>
      </c>
      <c r="AY833" s="8">
        <v>0</v>
      </c>
    </row>
    <row r="834" spans="1:51" ht="15" customHeight="1" x14ac:dyDescent="0.25">
      <c r="A834" s="9">
        <v>743</v>
      </c>
      <c r="B834" s="13"/>
      <c r="C834" s="9" t="s">
        <v>175</v>
      </c>
      <c r="D834" s="9"/>
      <c r="E834" s="8"/>
      <c r="F834" s="9" t="s">
        <v>1600</v>
      </c>
      <c r="G834" s="79" t="s">
        <v>1687</v>
      </c>
      <c r="H834" s="9"/>
      <c r="I834" s="9" t="s">
        <v>38</v>
      </c>
      <c r="J834" s="9" t="s">
        <v>28</v>
      </c>
      <c r="K834" s="9">
        <v>1000</v>
      </c>
      <c r="L834" s="39"/>
      <c r="M834" s="7" t="s">
        <v>1</v>
      </c>
      <c r="N834" s="8"/>
      <c r="O834" s="40"/>
      <c r="P834" s="15"/>
      <c r="Q834" s="9" t="s">
        <v>1689</v>
      </c>
      <c r="R834" s="9"/>
      <c r="S834" s="9"/>
      <c r="T834" s="9"/>
      <c r="U834" s="16" t="s">
        <v>1728</v>
      </c>
      <c r="V834" s="9">
        <v>3782152</v>
      </c>
      <c r="W834" s="8" t="s">
        <v>1693</v>
      </c>
      <c r="X834" s="8"/>
      <c r="Y834" s="8"/>
      <c r="Z834" s="8"/>
      <c r="AA834" s="8"/>
      <c r="AB834" s="8"/>
      <c r="AC834" s="8" t="s">
        <v>222</v>
      </c>
      <c r="AD834" s="14" t="s">
        <v>223</v>
      </c>
      <c r="AE834" s="8" t="s">
        <v>301</v>
      </c>
      <c r="AF834" s="14">
        <v>0.46</v>
      </c>
      <c r="AG834" s="8">
        <v>1240</v>
      </c>
      <c r="AH834" s="8"/>
      <c r="AI834" s="8"/>
      <c r="AJ834" s="8"/>
      <c r="AK834" s="127"/>
      <c r="AL834" s="103">
        <v>8.0850000000000009</v>
      </c>
      <c r="AM834" s="8">
        <v>0</v>
      </c>
      <c r="AN834" s="21">
        <v>0</v>
      </c>
      <c r="AO834" s="21">
        <v>0</v>
      </c>
      <c r="AP834" s="21">
        <v>0</v>
      </c>
      <c r="AQ834" s="21">
        <v>0</v>
      </c>
      <c r="AR834" s="21">
        <v>0</v>
      </c>
      <c r="AS834" s="8">
        <v>8.0850000000000009</v>
      </c>
      <c r="AT834" s="21">
        <v>8.0850000000000009</v>
      </c>
      <c r="AU834" s="21">
        <v>0</v>
      </c>
      <c r="AV834" s="21">
        <v>0</v>
      </c>
      <c r="AW834" s="21">
        <v>0</v>
      </c>
      <c r="AX834" s="21">
        <v>0</v>
      </c>
      <c r="AY834" s="8">
        <v>0</v>
      </c>
    </row>
    <row r="835" spans="1:51" ht="15" customHeight="1" x14ac:dyDescent="0.25">
      <c r="A835" s="9">
        <v>742</v>
      </c>
      <c r="B835" s="13"/>
      <c r="C835" s="9" t="s">
        <v>175</v>
      </c>
      <c r="D835" s="9"/>
      <c r="E835" s="8"/>
      <c r="F835" s="9" t="s">
        <v>1601</v>
      </c>
      <c r="G835" s="79" t="s">
        <v>1687</v>
      </c>
      <c r="H835" s="9"/>
      <c r="I835" s="9" t="s">
        <v>25</v>
      </c>
      <c r="J835" s="9" t="s">
        <v>31</v>
      </c>
      <c r="K835" s="9">
        <v>2000</v>
      </c>
      <c r="L835" s="39"/>
      <c r="M835" s="7" t="s">
        <v>1</v>
      </c>
      <c r="N835" s="8"/>
      <c r="O835" s="40"/>
      <c r="P835" s="15"/>
      <c r="Q835" s="9" t="s">
        <v>1689</v>
      </c>
      <c r="R835" s="9"/>
      <c r="S835" s="9"/>
      <c r="T835" s="9"/>
      <c r="U835" s="16" t="s">
        <v>1728</v>
      </c>
      <c r="V835" s="9">
        <v>3239410</v>
      </c>
      <c r="W835" s="8" t="s">
        <v>1694</v>
      </c>
      <c r="X835" s="8"/>
      <c r="Y835" s="8"/>
      <c r="Z835" s="8"/>
      <c r="AA835" s="8"/>
      <c r="AB835" s="8"/>
      <c r="AC835" s="8" t="s">
        <v>210</v>
      </c>
      <c r="AD835" s="14" t="s">
        <v>211</v>
      </c>
      <c r="AE835" s="8" t="s">
        <v>212</v>
      </c>
      <c r="AF835" s="14">
        <v>0.3</v>
      </c>
      <c r="AG835" s="8">
        <v>1000</v>
      </c>
      <c r="AH835" s="8"/>
      <c r="AI835" s="8"/>
      <c r="AJ835" s="8"/>
      <c r="AK835" s="127"/>
      <c r="AL835" s="103">
        <v>9.1999999999999993</v>
      </c>
      <c r="AM835" s="8">
        <v>0</v>
      </c>
      <c r="AN835" s="21">
        <v>0</v>
      </c>
      <c r="AO835" s="21">
        <v>0</v>
      </c>
      <c r="AP835" s="21">
        <v>0</v>
      </c>
      <c r="AQ835" s="21">
        <v>0</v>
      </c>
      <c r="AR835" s="21">
        <v>0</v>
      </c>
      <c r="AS835" s="8">
        <v>9.1999999999999993</v>
      </c>
      <c r="AT835" s="21">
        <v>9.1999999999999993</v>
      </c>
      <c r="AU835" s="21">
        <v>0</v>
      </c>
      <c r="AV835" s="21">
        <v>0</v>
      </c>
      <c r="AW835" s="21">
        <v>0</v>
      </c>
      <c r="AX835" s="21">
        <v>0</v>
      </c>
      <c r="AY835" s="8">
        <v>0</v>
      </c>
    </row>
    <row r="836" spans="1:51" ht="15" customHeight="1" x14ac:dyDescent="0.25">
      <c r="A836" s="9">
        <v>742</v>
      </c>
      <c r="B836" s="13"/>
      <c r="C836" s="9" t="s">
        <v>175</v>
      </c>
      <c r="D836" s="9"/>
      <c r="E836" s="8"/>
      <c r="F836" s="9" t="s">
        <v>1602</v>
      </c>
      <c r="G836" s="79" t="s">
        <v>1687</v>
      </c>
      <c r="H836" s="9"/>
      <c r="I836" s="9" t="s">
        <v>25</v>
      </c>
      <c r="J836" s="9" t="s">
        <v>31</v>
      </c>
      <c r="K836" s="9">
        <v>2000</v>
      </c>
      <c r="L836" s="39"/>
      <c r="M836" s="7" t="s">
        <v>1</v>
      </c>
      <c r="N836" s="8"/>
      <c r="O836" s="40"/>
      <c r="P836" s="15"/>
      <c r="Q836" s="9" t="s">
        <v>1689</v>
      </c>
      <c r="R836" s="9"/>
      <c r="S836" s="9"/>
      <c r="T836" s="9"/>
      <c r="U836" s="16" t="s">
        <v>1728</v>
      </c>
      <c r="V836" s="9">
        <v>3239551</v>
      </c>
      <c r="W836" s="8" t="s">
        <v>366</v>
      </c>
      <c r="X836" s="8"/>
      <c r="Y836" s="8"/>
      <c r="Z836" s="8"/>
      <c r="AA836" s="8"/>
      <c r="AB836" s="8"/>
      <c r="AC836" s="8" t="s">
        <v>210</v>
      </c>
      <c r="AD836" s="14" t="s">
        <v>211</v>
      </c>
      <c r="AE836" s="8" t="s">
        <v>212</v>
      </c>
      <c r="AF836" s="14">
        <v>0.4</v>
      </c>
      <c r="AG836" s="8">
        <v>1000</v>
      </c>
      <c r="AH836" s="8"/>
      <c r="AI836" s="8"/>
      <c r="AJ836" s="8"/>
      <c r="AK836" s="127"/>
      <c r="AL836" s="103">
        <v>6.02</v>
      </c>
      <c r="AM836" s="8">
        <v>0</v>
      </c>
      <c r="AN836" s="21">
        <v>0</v>
      </c>
      <c r="AO836" s="21">
        <v>0</v>
      </c>
      <c r="AP836" s="21">
        <v>0</v>
      </c>
      <c r="AQ836" s="21">
        <v>0</v>
      </c>
      <c r="AR836" s="21">
        <v>0</v>
      </c>
      <c r="AS836" s="8">
        <v>6.02</v>
      </c>
      <c r="AT836" s="21">
        <v>6.02</v>
      </c>
      <c r="AU836" s="21">
        <v>0</v>
      </c>
      <c r="AV836" s="21">
        <v>0</v>
      </c>
      <c r="AW836" s="21">
        <v>0</v>
      </c>
      <c r="AX836" s="21">
        <v>0</v>
      </c>
      <c r="AY836" s="8">
        <v>0</v>
      </c>
    </row>
    <row r="837" spans="1:51" ht="15" customHeight="1" x14ac:dyDescent="0.25">
      <c r="A837" s="9">
        <v>742</v>
      </c>
      <c r="B837" s="13"/>
      <c r="C837" s="9" t="s">
        <v>175</v>
      </c>
      <c r="D837" s="9"/>
      <c r="E837" s="8"/>
      <c r="F837" s="9" t="s">
        <v>1603</v>
      </c>
      <c r="G837" s="79" t="s">
        <v>1687</v>
      </c>
      <c r="H837" s="9"/>
      <c r="I837" s="9" t="s">
        <v>25</v>
      </c>
      <c r="J837" s="9" t="s">
        <v>31</v>
      </c>
      <c r="K837" s="9">
        <v>2000</v>
      </c>
      <c r="L837" s="39"/>
      <c r="M837" s="7" t="s">
        <v>1</v>
      </c>
      <c r="N837" s="8"/>
      <c r="O837" s="40"/>
      <c r="P837" s="15"/>
      <c r="Q837" s="9" t="s">
        <v>1689</v>
      </c>
      <c r="R837" s="9"/>
      <c r="S837" s="9"/>
      <c r="T837" s="9"/>
      <c r="U837" s="16" t="s">
        <v>1728</v>
      </c>
      <c r="V837" s="9">
        <v>3239564</v>
      </c>
      <c r="W837" s="8" t="s">
        <v>377</v>
      </c>
      <c r="X837" s="8"/>
      <c r="Y837" s="8"/>
      <c r="Z837" s="8"/>
      <c r="AA837" s="8"/>
      <c r="AB837" s="8"/>
      <c r="AC837" s="8" t="s">
        <v>210</v>
      </c>
      <c r="AD837" s="14" t="s">
        <v>211</v>
      </c>
      <c r="AE837" s="8" t="s">
        <v>212</v>
      </c>
      <c r="AF837" s="14">
        <v>0.45</v>
      </c>
      <c r="AG837" s="8">
        <v>1000</v>
      </c>
      <c r="AH837" s="8"/>
      <c r="AI837" s="8"/>
      <c r="AJ837" s="8"/>
      <c r="AK837" s="127"/>
      <c r="AL837" s="103">
        <v>2.4249999999999998</v>
      </c>
      <c r="AM837" s="8">
        <v>0</v>
      </c>
      <c r="AN837" s="21">
        <v>0</v>
      </c>
      <c r="AO837" s="21">
        <v>0</v>
      </c>
      <c r="AP837" s="21">
        <v>0</v>
      </c>
      <c r="AQ837" s="21">
        <v>0</v>
      </c>
      <c r="AR837" s="21">
        <v>0</v>
      </c>
      <c r="AS837" s="8">
        <v>2.4249999999999998</v>
      </c>
      <c r="AT837" s="21">
        <v>2.4249999999999998</v>
      </c>
      <c r="AU837" s="21">
        <v>0</v>
      </c>
      <c r="AV837" s="21">
        <v>0</v>
      </c>
      <c r="AW837" s="21">
        <v>0</v>
      </c>
      <c r="AX837" s="21">
        <v>0</v>
      </c>
      <c r="AY837" s="8">
        <v>0</v>
      </c>
    </row>
    <row r="838" spans="1:51" ht="15" customHeight="1" x14ac:dyDescent="0.25">
      <c r="A838" s="9">
        <v>743</v>
      </c>
      <c r="B838" s="13"/>
      <c r="C838" s="9" t="s">
        <v>175</v>
      </c>
      <c r="D838" s="9"/>
      <c r="E838" s="8"/>
      <c r="F838" s="9" t="s">
        <v>1604</v>
      </c>
      <c r="G838" s="79" t="s">
        <v>1687</v>
      </c>
      <c r="H838" s="9"/>
      <c r="I838" s="9" t="s">
        <v>38</v>
      </c>
      <c r="J838" s="9" t="s">
        <v>28</v>
      </c>
      <c r="K838" s="9">
        <v>1000</v>
      </c>
      <c r="L838" s="39"/>
      <c r="M838" s="7" t="s">
        <v>1</v>
      </c>
      <c r="N838" s="8"/>
      <c r="O838" s="40"/>
      <c r="P838" s="15"/>
      <c r="Q838" s="9" t="s">
        <v>1689</v>
      </c>
      <c r="R838" s="9"/>
      <c r="S838" s="9"/>
      <c r="T838" s="9"/>
      <c r="U838" s="16" t="s">
        <v>1728</v>
      </c>
      <c r="V838" s="9">
        <v>3865176</v>
      </c>
      <c r="W838" s="8" t="s">
        <v>409</v>
      </c>
      <c r="X838" s="8"/>
      <c r="Y838" s="8"/>
      <c r="Z838" s="8"/>
      <c r="AA838" s="8"/>
      <c r="AB838" s="8"/>
      <c r="AC838" s="8" t="s">
        <v>222</v>
      </c>
      <c r="AD838" s="14" t="s">
        <v>223</v>
      </c>
      <c r="AE838" s="8" t="s">
        <v>372</v>
      </c>
      <c r="AF838" s="14">
        <v>0.9</v>
      </c>
      <c r="AG838" s="8">
        <v>1250</v>
      </c>
      <c r="AH838" s="8"/>
      <c r="AI838" s="8"/>
      <c r="AJ838" s="8"/>
      <c r="AK838" s="127"/>
      <c r="AL838" s="103">
        <v>2.79</v>
      </c>
      <c r="AM838" s="8">
        <v>0</v>
      </c>
      <c r="AN838" s="21">
        <v>0</v>
      </c>
      <c r="AO838" s="21">
        <v>0</v>
      </c>
      <c r="AP838" s="21">
        <v>0</v>
      </c>
      <c r="AQ838" s="21">
        <v>0</v>
      </c>
      <c r="AR838" s="21">
        <v>0</v>
      </c>
      <c r="AS838" s="8">
        <v>2.79</v>
      </c>
      <c r="AT838" s="21">
        <v>2.79</v>
      </c>
      <c r="AU838" s="21">
        <v>0</v>
      </c>
      <c r="AV838" s="21">
        <v>0</v>
      </c>
      <c r="AW838" s="21">
        <v>0</v>
      </c>
      <c r="AX838" s="21">
        <v>0</v>
      </c>
      <c r="AY838" s="8">
        <v>0</v>
      </c>
    </row>
    <row r="839" spans="1:51" ht="15" customHeight="1" x14ac:dyDescent="0.25">
      <c r="A839" s="9">
        <v>742</v>
      </c>
      <c r="B839" s="13"/>
      <c r="C839" s="9" t="s">
        <v>175</v>
      </c>
      <c r="D839" s="9"/>
      <c r="E839" s="8"/>
      <c r="F839" s="9" t="s">
        <v>1605</v>
      </c>
      <c r="G839" s="79" t="s">
        <v>1687</v>
      </c>
      <c r="H839" s="9"/>
      <c r="I839" s="9" t="s">
        <v>25</v>
      </c>
      <c r="J839" s="9" t="s">
        <v>28</v>
      </c>
      <c r="K839" s="9">
        <v>1000</v>
      </c>
      <c r="L839" s="39"/>
      <c r="M839" s="7" t="s">
        <v>1</v>
      </c>
      <c r="N839" s="8"/>
      <c r="O839" s="40"/>
      <c r="P839" s="15"/>
      <c r="Q839" s="9" t="s">
        <v>1689</v>
      </c>
      <c r="R839" s="9"/>
      <c r="S839" s="9"/>
      <c r="T839" s="9"/>
      <c r="U839" s="16" t="s">
        <v>1728</v>
      </c>
      <c r="V839" s="9">
        <v>3403890</v>
      </c>
      <c r="W839" s="8" t="s">
        <v>1695</v>
      </c>
      <c r="X839" s="8"/>
      <c r="Y839" s="8"/>
      <c r="Z839" s="8"/>
      <c r="AA839" s="8"/>
      <c r="AB839" s="8"/>
      <c r="AC839" s="8" t="s">
        <v>210</v>
      </c>
      <c r="AD839" s="14" t="s">
        <v>191</v>
      </c>
      <c r="AE839" s="8" t="s">
        <v>384</v>
      </c>
      <c r="AF839" s="14">
        <v>0.7</v>
      </c>
      <c r="AG839" s="8">
        <v>920</v>
      </c>
      <c r="AH839" s="8"/>
      <c r="AI839" s="8"/>
      <c r="AJ839" s="8"/>
      <c r="AK839" s="127"/>
      <c r="AL839" s="103">
        <v>8.8249999999999993</v>
      </c>
      <c r="AM839" s="8">
        <v>0</v>
      </c>
      <c r="AN839" s="21">
        <v>0</v>
      </c>
      <c r="AO839" s="21">
        <v>0</v>
      </c>
      <c r="AP839" s="21">
        <v>0</v>
      </c>
      <c r="AQ839" s="21">
        <v>0</v>
      </c>
      <c r="AR839" s="21">
        <v>0</v>
      </c>
      <c r="AS839" s="8">
        <v>8.8249999999999993</v>
      </c>
      <c r="AT839" s="21">
        <v>8.8249999999999993</v>
      </c>
      <c r="AU839" s="21">
        <v>0</v>
      </c>
      <c r="AV839" s="21">
        <v>0</v>
      </c>
      <c r="AW839" s="21">
        <v>0</v>
      </c>
      <c r="AX839" s="21">
        <v>0</v>
      </c>
      <c r="AY839" s="8">
        <v>0</v>
      </c>
    </row>
    <row r="840" spans="1:51" ht="15" customHeight="1" x14ac:dyDescent="0.25">
      <c r="A840" s="9">
        <v>742</v>
      </c>
      <c r="B840" s="13"/>
      <c r="C840" s="9" t="s">
        <v>175</v>
      </c>
      <c r="D840" s="9"/>
      <c r="E840" s="8"/>
      <c r="F840" s="9" t="s">
        <v>1606</v>
      </c>
      <c r="G840" s="79" t="s">
        <v>1687</v>
      </c>
      <c r="H840" s="9"/>
      <c r="I840" s="9" t="s">
        <v>25</v>
      </c>
      <c r="J840" s="9" t="s">
        <v>28</v>
      </c>
      <c r="K840" s="9">
        <v>1000</v>
      </c>
      <c r="L840" s="39"/>
      <c r="M840" s="7" t="s">
        <v>1</v>
      </c>
      <c r="N840" s="8"/>
      <c r="O840" s="40"/>
      <c r="P840" s="15"/>
      <c r="Q840" s="9" t="s">
        <v>1689</v>
      </c>
      <c r="R840" s="9"/>
      <c r="S840" s="9"/>
      <c r="T840" s="9"/>
      <c r="U840" s="16" t="s">
        <v>1728</v>
      </c>
      <c r="V840" s="9">
        <v>3202438</v>
      </c>
      <c r="W840" s="8" t="s">
        <v>1696</v>
      </c>
      <c r="X840" s="8"/>
      <c r="Y840" s="8"/>
      <c r="Z840" s="8"/>
      <c r="AA840" s="8"/>
      <c r="AB840" s="8"/>
      <c r="AC840" s="8" t="s">
        <v>210</v>
      </c>
      <c r="AD840" s="14" t="s">
        <v>191</v>
      </c>
      <c r="AE840" s="8" t="s">
        <v>384</v>
      </c>
      <c r="AF840" s="14">
        <v>0.77</v>
      </c>
      <c r="AG840" s="8">
        <v>925</v>
      </c>
      <c r="AH840" s="8"/>
      <c r="AI840" s="8"/>
      <c r="AJ840" s="8"/>
      <c r="AK840" s="127"/>
      <c r="AL840" s="103">
        <v>2.0699999999999998</v>
      </c>
      <c r="AM840" s="8">
        <v>0</v>
      </c>
      <c r="AN840" s="21">
        <v>0</v>
      </c>
      <c r="AO840" s="21">
        <v>0</v>
      </c>
      <c r="AP840" s="21">
        <v>0</v>
      </c>
      <c r="AQ840" s="21">
        <v>0</v>
      </c>
      <c r="AR840" s="21">
        <v>0</v>
      </c>
      <c r="AS840" s="8">
        <v>2.0699999999999998</v>
      </c>
      <c r="AT840" s="21">
        <v>2.0699999999999998</v>
      </c>
      <c r="AU840" s="21">
        <v>0</v>
      </c>
      <c r="AV840" s="21">
        <v>0</v>
      </c>
      <c r="AW840" s="21">
        <v>0</v>
      </c>
      <c r="AX840" s="21">
        <v>0</v>
      </c>
      <c r="AY840" s="8">
        <v>0</v>
      </c>
    </row>
    <row r="841" spans="1:51" ht="15" customHeight="1" x14ac:dyDescent="0.25">
      <c r="A841" s="9">
        <v>742</v>
      </c>
      <c r="B841" s="13"/>
      <c r="C841" s="9" t="s">
        <v>175</v>
      </c>
      <c r="D841" s="9"/>
      <c r="E841" s="8"/>
      <c r="F841" s="9" t="s">
        <v>1607</v>
      </c>
      <c r="G841" s="79" t="s">
        <v>1687</v>
      </c>
      <c r="H841" s="9"/>
      <c r="I841" s="9" t="s">
        <v>25</v>
      </c>
      <c r="J841" s="9" t="s">
        <v>28</v>
      </c>
      <c r="K841" s="9">
        <v>1000</v>
      </c>
      <c r="L841" s="39"/>
      <c r="M841" s="7" t="s">
        <v>1</v>
      </c>
      <c r="N841" s="8"/>
      <c r="O841" s="40"/>
      <c r="P841" s="15"/>
      <c r="Q841" s="9" t="s">
        <v>1689</v>
      </c>
      <c r="R841" s="9"/>
      <c r="S841" s="9"/>
      <c r="T841" s="9"/>
      <c r="U841" s="16" t="s">
        <v>1728</v>
      </c>
      <c r="V841" s="9">
        <v>3403911</v>
      </c>
      <c r="W841" s="8" t="s">
        <v>1697</v>
      </c>
      <c r="X841" s="8"/>
      <c r="Y841" s="8"/>
      <c r="Z841" s="8"/>
      <c r="AA841" s="8"/>
      <c r="AB841" s="8"/>
      <c r="AC841" s="8" t="s">
        <v>210</v>
      </c>
      <c r="AD841" s="14" t="s">
        <v>191</v>
      </c>
      <c r="AE841" s="8" t="s">
        <v>384</v>
      </c>
      <c r="AF841" s="14">
        <v>0.77</v>
      </c>
      <c r="AG841" s="8">
        <v>920</v>
      </c>
      <c r="AH841" s="8"/>
      <c r="AI841" s="8"/>
      <c r="AJ841" s="8"/>
      <c r="AK841" s="127"/>
      <c r="AL841" s="103">
        <v>2.14</v>
      </c>
      <c r="AM841" s="8">
        <v>0</v>
      </c>
      <c r="AN841" s="21">
        <v>0</v>
      </c>
      <c r="AO841" s="21">
        <v>0</v>
      </c>
      <c r="AP841" s="21">
        <v>0</v>
      </c>
      <c r="AQ841" s="21">
        <v>0</v>
      </c>
      <c r="AR841" s="21">
        <v>0</v>
      </c>
      <c r="AS841" s="8">
        <v>2.14</v>
      </c>
      <c r="AT841" s="21">
        <v>2.14</v>
      </c>
      <c r="AU841" s="21">
        <v>0</v>
      </c>
      <c r="AV841" s="21">
        <v>0</v>
      </c>
      <c r="AW841" s="21">
        <v>0</v>
      </c>
      <c r="AX841" s="21">
        <v>0</v>
      </c>
      <c r="AY841" s="8">
        <v>0</v>
      </c>
    </row>
    <row r="842" spans="1:51" ht="15" customHeight="1" x14ac:dyDescent="0.25">
      <c r="A842" s="9">
        <v>743</v>
      </c>
      <c r="B842" s="13"/>
      <c r="C842" s="9" t="s">
        <v>175</v>
      </c>
      <c r="D842" s="9"/>
      <c r="E842" s="8"/>
      <c r="F842" s="9" t="s">
        <v>1608</v>
      </c>
      <c r="G842" s="79" t="s">
        <v>1687</v>
      </c>
      <c r="H842" s="9"/>
      <c r="I842" s="9" t="s">
        <v>38</v>
      </c>
      <c r="J842" s="9" t="s">
        <v>28</v>
      </c>
      <c r="K842" s="9">
        <v>1000</v>
      </c>
      <c r="L842" s="39"/>
      <c r="M842" s="7" t="s">
        <v>1</v>
      </c>
      <c r="N842" s="8"/>
      <c r="O842" s="40"/>
      <c r="P842" s="15"/>
      <c r="Q842" s="9" t="s">
        <v>1689</v>
      </c>
      <c r="R842" s="9"/>
      <c r="S842" s="9"/>
      <c r="T842" s="9"/>
      <c r="U842" s="16" t="s">
        <v>1728</v>
      </c>
      <c r="V842" s="9">
        <v>3789964</v>
      </c>
      <c r="W842" s="8" t="s">
        <v>1698</v>
      </c>
      <c r="X842" s="8"/>
      <c r="Y842" s="8"/>
      <c r="Z842" s="8"/>
      <c r="AA842" s="8"/>
      <c r="AB842" s="8"/>
      <c r="AC842" s="8" t="s">
        <v>222</v>
      </c>
      <c r="AD842" s="14" t="s">
        <v>223</v>
      </c>
      <c r="AE842" s="8" t="s">
        <v>224</v>
      </c>
      <c r="AF842" s="14">
        <v>0.6</v>
      </c>
      <c r="AG842" s="8">
        <v>1250</v>
      </c>
      <c r="AH842" s="8"/>
      <c r="AI842" s="8"/>
      <c r="AJ842" s="8"/>
      <c r="AK842" s="127"/>
      <c r="AL842" s="103">
        <v>9.875</v>
      </c>
      <c r="AM842" s="8">
        <v>0</v>
      </c>
      <c r="AN842" s="21">
        <v>0</v>
      </c>
      <c r="AO842" s="21">
        <v>0</v>
      </c>
      <c r="AP842" s="21">
        <v>0</v>
      </c>
      <c r="AQ842" s="21">
        <v>0</v>
      </c>
      <c r="AR842" s="21">
        <v>0</v>
      </c>
      <c r="AS842" s="8">
        <v>9.875</v>
      </c>
      <c r="AT842" s="21">
        <v>9.875</v>
      </c>
      <c r="AU842" s="21">
        <v>0</v>
      </c>
      <c r="AV842" s="21">
        <v>0</v>
      </c>
      <c r="AW842" s="21">
        <v>0</v>
      </c>
      <c r="AX842" s="21">
        <v>0</v>
      </c>
      <c r="AY842" s="8">
        <v>0</v>
      </c>
    </row>
    <row r="843" spans="1:51" ht="15" customHeight="1" x14ac:dyDescent="0.25">
      <c r="A843" s="9">
        <v>743</v>
      </c>
      <c r="B843" s="13"/>
      <c r="C843" s="9" t="s">
        <v>175</v>
      </c>
      <c r="D843" s="9"/>
      <c r="E843" s="8"/>
      <c r="F843" s="9" t="s">
        <v>1609</v>
      </c>
      <c r="G843" s="79" t="s">
        <v>1687</v>
      </c>
      <c r="H843" s="9"/>
      <c r="I843" s="9" t="s">
        <v>38</v>
      </c>
      <c r="J843" s="9" t="s">
        <v>28</v>
      </c>
      <c r="K843" s="9">
        <v>1000</v>
      </c>
      <c r="L843" s="39"/>
      <c r="M843" s="7" t="s">
        <v>1</v>
      </c>
      <c r="N843" s="8"/>
      <c r="O843" s="40"/>
      <c r="P843" s="15"/>
      <c r="Q843" s="9" t="s">
        <v>1689</v>
      </c>
      <c r="R843" s="9"/>
      <c r="S843" s="9"/>
      <c r="T843" s="9"/>
      <c r="U843" s="16" t="s">
        <v>1728</v>
      </c>
      <c r="V843" s="9">
        <v>2165893</v>
      </c>
      <c r="W843" s="8" t="s">
        <v>1699</v>
      </c>
      <c r="X843" s="8"/>
      <c r="Y843" s="8"/>
      <c r="Z843" s="8"/>
      <c r="AA843" s="8"/>
      <c r="AB843" s="8"/>
      <c r="AC843" s="8" t="s">
        <v>864</v>
      </c>
      <c r="AD843" s="14" t="s">
        <v>1724</v>
      </c>
      <c r="AE843" s="8" t="s">
        <v>1725</v>
      </c>
      <c r="AF843" s="14">
        <v>0.47</v>
      </c>
      <c r="AG843" s="8">
        <v>1220</v>
      </c>
      <c r="AH843" s="8"/>
      <c r="AI843" s="8"/>
      <c r="AJ843" s="8"/>
      <c r="AK843" s="127"/>
      <c r="AL843" s="103">
        <v>9.7200000000000006</v>
      </c>
      <c r="AM843" s="8">
        <v>0</v>
      </c>
      <c r="AN843" s="21">
        <v>0</v>
      </c>
      <c r="AO843" s="21">
        <v>0</v>
      </c>
      <c r="AP843" s="21">
        <v>0</v>
      </c>
      <c r="AQ843" s="21">
        <v>0</v>
      </c>
      <c r="AR843" s="21">
        <v>0</v>
      </c>
      <c r="AS843" s="8">
        <v>9.7200000000000006</v>
      </c>
      <c r="AT843" s="21">
        <v>9.7200000000000006</v>
      </c>
      <c r="AU843" s="21">
        <v>0</v>
      </c>
      <c r="AV843" s="21">
        <v>0</v>
      </c>
      <c r="AW843" s="21">
        <v>0</v>
      </c>
      <c r="AX843" s="21">
        <v>0</v>
      </c>
      <c r="AY843" s="8">
        <v>0</v>
      </c>
    </row>
    <row r="844" spans="1:51" ht="15" customHeight="1" x14ac:dyDescent="0.25">
      <c r="A844" s="9">
        <v>743</v>
      </c>
      <c r="B844" s="13"/>
      <c r="C844" s="9" t="s">
        <v>175</v>
      </c>
      <c r="D844" s="9"/>
      <c r="E844" s="8"/>
      <c r="F844" s="9" t="s">
        <v>1610</v>
      </c>
      <c r="G844" s="79" t="s">
        <v>1687</v>
      </c>
      <c r="H844" s="9"/>
      <c r="I844" s="9" t="s">
        <v>43</v>
      </c>
      <c r="J844" s="9" t="s">
        <v>26</v>
      </c>
      <c r="K844" s="9">
        <v>2000</v>
      </c>
      <c r="L844" s="39"/>
      <c r="M844" s="7" t="s">
        <v>1</v>
      </c>
      <c r="N844" s="8"/>
      <c r="O844" s="40"/>
      <c r="P844" s="15"/>
      <c r="Q844" s="9" t="s">
        <v>1689</v>
      </c>
      <c r="R844" s="9"/>
      <c r="S844" s="9"/>
      <c r="T844" s="9"/>
      <c r="U844" s="16" t="s">
        <v>1729</v>
      </c>
      <c r="V844" s="9">
        <v>3897428</v>
      </c>
      <c r="W844" s="8" t="s">
        <v>745</v>
      </c>
      <c r="X844" s="8"/>
      <c r="Y844" s="8"/>
      <c r="Z844" s="8"/>
      <c r="AA844" s="8"/>
      <c r="AB844" s="8"/>
      <c r="AC844" s="8" t="s">
        <v>269</v>
      </c>
      <c r="AD844" s="14" t="s">
        <v>388</v>
      </c>
      <c r="AE844" s="8" t="s">
        <v>744</v>
      </c>
      <c r="AF844" s="14">
        <v>0.3</v>
      </c>
      <c r="AG844" s="8">
        <v>900</v>
      </c>
      <c r="AH844" s="8"/>
      <c r="AI844" s="8"/>
      <c r="AJ844" s="8"/>
      <c r="AK844" s="127"/>
      <c r="AL844" s="103">
        <v>10.74</v>
      </c>
      <c r="AM844" s="8">
        <v>0</v>
      </c>
      <c r="AN844" s="21">
        <v>0</v>
      </c>
      <c r="AO844" s="21">
        <v>0</v>
      </c>
      <c r="AP844" s="21">
        <v>0</v>
      </c>
      <c r="AQ844" s="21">
        <v>0</v>
      </c>
      <c r="AR844" s="21">
        <v>0</v>
      </c>
      <c r="AS844" s="8">
        <v>10.74</v>
      </c>
      <c r="AT844" s="21">
        <v>10.74</v>
      </c>
      <c r="AU844" s="21">
        <v>0</v>
      </c>
      <c r="AV844" s="21">
        <v>0</v>
      </c>
      <c r="AW844" s="21">
        <v>0</v>
      </c>
      <c r="AX844" s="21">
        <v>0</v>
      </c>
      <c r="AY844" s="8">
        <v>0</v>
      </c>
    </row>
    <row r="845" spans="1:51" ht="15" customHeight="1" x14ac:dyDescent="0.25">
      <c r="A845" s="9">
        <v>743</v>
      </c>
      <c r="B845" s="13"/>
      <c r="C845" s="9" t="s">
        <v>175</v>
      </c>
      <c r="D845" s="9"/>
      <c r="E845" s="8"/>
      <c r="F845" s="9" t="s">
        <v>1611</v>
      </c>
      <c r="G845" s="79" t="s">
        <v>1687</v>
      </c>
      <c r="H845" s="9"/>
      <c r="I845" s="9" t="s">
        <v>43</v>
      </c>
      <c r="J845" s="9" t="s">
        <v>26</v>
      </c>
      <c r="K845" s="9">
        <v>2000</v>
      </c>
      <c r="L845" s="39"/>
      <c r="M845" s="7" t="s">
        <v>1</v>
      </c>
      <c r="N845" s="8"/>
      <c r="O845" s="40"/>
      <c r="P845" s="15"/>
      <c r="Q845" s="9" t="s">
        <v>1689</v>
      </c>
      <c r="R845" s="9"/>
      <c r="S845" s="9"/>
      <c r="T845" s="9"/>
      <c r="U845" s="16" t="s">
        <v>1729</v>
      </c>
      <c r="V845" s="9">
        <v>3897501</v>
      </c>
      <c r="W845" s="8" t="s">
        <v>747</v>
      </c>
      <c r="X845" s="8"/>
      <c r="Y845" s="8"/>
      <c r="Z845" s="8"/>
      <c r="AA845" s="8"/>
      <c r="AB845" s="8"/>
      <c r="AC845" s="8" t="s">
        <v>269</v>
      </c>
      <c r="AD845" s="14" t="s">
        <v>388</v>
      </c>
      <c r="AE845" s="8" t="s">
        <v>744</v>
      </c>
      <c r="AF845" s="14">
        <v>0.5</v>
      </c>
      <c r="AG845" s="8">
        <v>900</v>
      </c>
      <c r="AH845" s="8"/>
      <c r="AI845" s="8"/>
      <c r="AJ845" s="8"/>
      <c r="AK845" s="127"/>
      <c r="AL845" s="103">
        <v>39.07</v>
      </c>
      <c r="AM845" s="8">
        <v>0</v>
      </c>
      <c r="AN845" s="21">
        <v>0</v>
      </c>
      <c r="AO845" s="21">
        <v>0</v>
      </c>
      <c r="AP845" s="21">
        <v>0</v>
      </c>
      <c r="AQ845" s="21">
        <v>0</v>
      </c>
      <c r="AR845" s="21">
        <v>0</v>
      </c>
      <c r="AS845" s="8">
        <v>39.07</v>
      </c>
      <c r="AT845" s="21">
        <v>39.07</v>
      </c>
      <c r="AU845" s="21">
        <v>0</v>
      </c>
      <c r="AV845" s="21">
        <v>0</v>
      </c>
      <c r="AW845" s="21">
        <v>0</v>
      </c>
      <c r="AX845" s="21">
        <v>0</v>
      </c>
      <c r="AY845" s="8">
        <v>0</v>
      </c>
    </row>
    <row r="846" spans="1:51" ht="15" customHeight="1" x14ac:dyDescent="0.25">
      <c r="A846" s="9">
        <v>743</v>
      </c>
      <c r="B846" s="13"/>
      <c r="C846" s="9" t="s">
        <v>1686</v>
      </c>
      <c r="D846" s="9"/>
      <c r="E846" s="8"/>
      <c r="F846" s="9" t="s">
        <v>1612</v>
      </c>
      <c r="G846" s="79" t="s">
        <v>1687</v>
      </c>
      <c r="H846" s="9"/>
      <c r="I846" s="9" t="s">
        <v>43</v>
      </c>
      <c r="J846" s="9" t="s">
        <v>45</v>
      </c>
      <c r="K846" s="9">
        <v>2000</v>
      </c>
      <c r="L846" s="39"/>
      <c r="M846" s="7" t="s">
        <v>1</v>
      </c>
      <c r="N846" s="8"/>
      <c r="O846" s="40"/>
      <c r="P846" s="15"/>
      <c r="Q846" s="9" t="s">
        <v>1688</v>
      </c>
      <c r="R846" s="9"/>
      <c r="S846" s="9"/>
      <c r="T846" s="9"/>
      <c r="U846" s="16" t="s">
        <v>97</v>
      </c>
      <c r="V846" s="9">
        <v>1854424</v>
      </c>
      <c r="W846" s="8" t="s">
        <v>319</v>
      </c>
      <c r="X846" s="8"/>
      <c r="Y846" s="8"/>
      <c r="Z846" s="8"/>
      <c r="AA846" s="8"/>
      <c r="AB846" s="8"/>
      <c r="AC846" s="8" t="s">
        <v>238</v>
      </c>
      <c r="AD846" s="14" t="s">
        <v>185</v>
      </c>
      <c r="AE846" s="8" t="s">
        <v>186</v>
      </c>
      <c r="AF846" s="14">
        <v>0.6</v>
      </c>
      <c r="AG846" s="8">
        <v>900</v>
      </c>
      <c r="AH846" s="8"/>
      <c r="AI846" s="8"/>
      <c r="AJ846" s="8"/>
      <c r="AK846" s="127"/>
      <c r="AL846" s="103">
        <v>4.84</v>
      </c>
      <c r="AM846" s="8">
        <v>0</v>
      </c>
      <c r="AN846" s="21">
        <v>0</v>
      </c>
      <c r="AO846" s="21">
        <v>0</v>
      </c>
      <c r="AP846" s="21">
        <v>0</v>
      </c>
      <c r="AQ846" s="21">
        <v>0</v>
      </c>
      <c r="AR846" s="21">
        <v>0</v>
      </c>
      <c r="AS846" s="8">
        <v>4.84</v>
      </c>
      <c r="AT846" s="21">
        <v>4.84</v>
      </c>
      <c r="AU846" s="21">
        <v>0</v>
      </c>
      <c r="AV846" s="21">
        <v>0</v>
      </c>
      <c r="AW846" s="21">
        <v>0</v>
      </c>
      <c r="AX846" s="21">
        <v>0</v>
      </c>
      <c r="AY846" s="8">
        <v>0</v>
      </c>
    </row>
    <row r="847" spans="1:51" ht="15" customHeight="1" x14ac:dyDescent="0.25">
      <c r="A847" s="9">
        <v>742</v>
      </c>
      <c r="B847" s="13"/>
      <c r="C847" s="9" t="s">
        <v>169</v>
      </c>
      <c r="D847" s="9"/>
      <c r="E847" s="8"/>
      <c r="F847" s="9" t="s">
        <v>1613</v>
      </c>
      <c r="G847" s="79" t="s">
        <v>1687</v>
      </c>
      <c r="H847" s="9"/>
      <c r="I847" s="9" t="s">
        <v>25</v>
      </c>
      <c r="J847" s="9" t="s">
        <v>31</v>
      </c>
      <c r="K847" s="9">
        <v>2000</v>
      </c>
      <c r="L847" s="39"/>
      <c r="M847" s="7" t="s">
        <v>1</v>
      </c>
      <c r="N847" s="8"/>
      <c r="O847" s="40"/>
      <c r="P847" s="15"/>
      <c r="Q847" s="9" t="s">
        <v>1688</v>
      </c>
      <c r="R847" s="9"/>
      <c r="S847" s="9"/>
      <c r="T847" s="9"/>
      <c r="U847" s="16" t="s">
        <v>79</v>
      </c>
      <c r="V847" s="9">
        <v>3533338</v>
      </c>
      <c r="W847" s="8" t="s">
        <v>1700</v>
      </c>
      <c r="X847" s="8"/>
      <c r="Y847" s="8"/>
      <c r="Z847" s="8"/>
      <c r="AA847" s="8"/>
      <c r="AB847" s="8"/>
      <c r="AC847" s="8" t="s">
        <v>210</v>
      </c>
      <c r="AD847" s="14" t="s">
        <v>211</v>
      </c>
      <c r="AE847" s="8" t="s">
        <v>212</v>
      </c>
      <c r="AF847" s="14">
        <v>0.4</v>
      </c>
      <c r="AG847" s="8">
        <v>1000</v>
      </c>
      <c r="AH847" s="8"/>
      <c r="AI847" s="8"/>
      <c r="AJ847" s="8"/>
      <c r="AK847" s="127"/>
      <c r="AL847" s="103">
        <v>2.8450000000000002</v>
      </c>
      <c r="AM847" s="8">
        <v>0</v>
      </c>
      <c r="AN847" s="21">
        <v>0</v>
      </c>
      <c r="AO847" s="21">
        <v>0</v>
      </c>
      <c r="AP847" s="21">
        <v>0</v>
      </c>
      <c r="AQ847" s="21">
        <v>0</v>
      </c>
      <c r="AR847" s="21">
        <v>0</v>
      </c>
      <c r="AS847" s="8">
        <v>2.8450000000000002</v>
      </c>
      <c r="AT847" s="21">
        <v>2.8450000000000002</v>
      </c>
      <c r="AU847" s="21">
        <v>0</v>
      </c>
      <c r="AV847" s="21">
        <v>0</v>
      </c>
      <c r="AW847" s="21">
        <v>0</v>
      </c>
      <c r="AX847" s="21">
        <v>0</v>
      </c>
      <c r="AY847" s="8">
        <v>0</v>
      </c>
    </row>
    <row r="848" spans="1:51" ht="15" customHeight="1" x14ac:dyDescent="0.25">
      <c r="A848" s="9">
        <v>742</v>
      </c>
      <c r="B848" s="13"/>
      <c r="C848" s="9" t="s">
        <v>169</v>
      </c>
      <c r="D848" s="9"/>
      <c r="E848" s="8"/>
      <c r="F848" s="9" t="s">
        <v>1614</v>
      </c>
      <c r="G848" s="79" t="s">
        <v>1687</v>
      </c>
      <c r="H848" s="9"/>
      <c r="I848" s="9" t="s">
        <v>25</v>
      </c>
      <c r="J848" s="9" t="s">
        <v>31</v>
      </c>
      <c r="K848" s="9">
        <v>2000</v>
      </c>
      <c r="L848" s="39"/>
      <c r="M848" s="7" t="s">
        <v>1</v>
      </c>
      <c r="N848" s="8"/>
      <c r="O848" s="40"/>
      <c r="P848" s="15"/>
      <c r="Q848" s="9" t="s">
        <v>1688</v>
      </c>
      <c r="R848" s="9"/>
      <c r="S848" s="9"/>
      <c r="T848" s="9"/>
      <c r="U848" s="16" t="s">
        <v>79</v>
      </c>
      <c r="V848" s="9">
        <v>3240765</v>
      </c>
      <c r="W848" s="8" t="s">
        <v>360</v>
      </c>
      <c r="X848" s="8"/>
      <c r="Y848" s="8"/>
      <c r="Z848" s="8"/>
      <c r="AA848" s="8"/>
      <c r="AB848" s="8"/>
      <c r="AC848" s="8" t="s">
        <v>210</v>
      </c>
      <c r="AD848" s="14" t="s">
        <v>218</v>
      </c>
      <c r="AE848" s="8" t="s">
        <v>250</v>
      </c>
      <c r="AF848" s="14">
        <v>0.5</v>
      </c>
      <c r="AG848" s="8">
        <v>1250</v>
      </c>
      <c r="AH848" s="8"/>
      <c r="AI848" s="8"/>
      <c r="AJ848" s="8"/>
      <c r="AK848" s="127"/>
      <c r="AL848" s="103">
        <v>5.7650000000000006</v>
      </c>
      <c r="AM848" s="8">
        <v>0</v>
      </c>
      <c r="AN848" s="21">
        <v>0</v>
      </c>
      <c r="AO848" s="21">
        <v>0</v>
      </c>
      <c r="AP848" s="21">
        <v>0</v>
      </c>
      <c r="AQ848" s="21">
        <v>0</v>
      </c>
      <c r="AR848" s="21">
        <v>0</v>
      </c>
      <c r="AS848" s="8">
        <v>5.7650000000000006</v>
      </c>
      <c r="AT848" s="21">
        <v>5.7650000000000006</v>
      </c>
      <c r="AU848" s="21">
        <v>0</v>
      </c>
      <c r="AV848" s="21">
        <v>0</v>
      </c>
      <c r="AW848" s="21">
        <v>0</v>
      </c>
      <c r="AX848" s="21">
        <v>0</v>
      </c>
      <c r="AY848" s="8">
        <v>0</v>
      </c>
    </row>
    <row r="849" spans="1:51" ht="15" customHeight="1" x14ac:dyDescent="0.25">
      <c r="A849" s="9">
        <v>742</v>
      </c>
      <c r="B849" s="13"/>
      <c r="C849" s="9" t="s">
        <v>1686</v>
      </c>
      <c r="D849" s="9"/>
      <c r="E849" s="8"/>
      <c r="F849" s="9" t="s">
        <v>1615</v>
      </c>
      <c r="G849" s="79" t="s">
        <v>1687</v>
      </c>
      <c r="H849" s="9"/>
      <c r="I849" s="9" t="s">
        <v>25</v>
      </c>
      <c r="J849" s="9" t="s">
        <v>31</v>
      </c>
      <c r="K849" s="9">
        <v>2000</v>
      </c>
      <c r="L849" s="39"/>
      <c r="M849" s="7" t="s">
        <v>1</v>
      </c>
      <c r="N849" s="8"/>
      <c r="O849" s="40"/>
      <c r="P849" s="15"/>
      <c r="Q849" s="9" t="s">
        <v>1689</v>
      </c>
      <c r="R849" s="9"/>
      <c r="S849" s="9"/>
      <c r="T849" s="9"/>
      <c r="U849" s="16" t="s">
        <v>73</v>
      </c>
      <c r="V849" s="9">
        <v>3402254</v>
      </c>
      <c r="W849" s="8" t="s">
        <v>655</v>
      </c>
      <c r="X849" s="8"/>
      <c r="Y849" s="8"/>
      <c r="Z849" s="8"/>
      <c r="AA849" s="8"/>
      <c r="AB849" s="8"/>
      <c r="AC849" s="8" t="s">
        <v>210</v>
      </c>
      <c r="AD849" s="14" t="s">
        <v>218</v>
      </c>
      <c r="AE849" s="8" t="s">
        <v>250</v>
      </c>
      <c r="AF849" s="14">
        <v>0.6</v>
      </c>
      <c r="AG849" s="8">
        <v>1000</v>
      </c>
      <c r="AH849" s="8"/>
      <c r="AI849" s="8"/>
      <c r="AJ849" s="8"/>
      <c r="AK849" s="127"/>
      <c r="AL849" s="103">
        <v>2.4700000000000002</v>
      </c>
      <c r="AM849" s="8">
        <v>0</v>
      </c>
      <c r="AN849" s="21">
        <v>0</v>
      </c>
      <c r="AO849" s="21">
        <v>0</v>
      </c>
      <c r="AP849" s="21">
        <v>0</v>
      </c>
      <c r="AQ849" s="21">
        <v>0</v>
      </c>
      <c r="AR849" s="21">
        <v>0</v>
      </c>
      <c r="AS849" s="8">
        <v>2.4700000000000002</v>
      </c>
      <c r="AT849" s="21">
        <v>2.4700000000000002</v>
      </c>
      <c r="AU849" s="21">
        <v>0</v>
      </c>
      <c r="AV849" s="21">
        <v>0</v>
      </c>
      <c r="AW849" s="21">
        <v>0</v>
      </c>
      <c r="AX849" s="21">
        <v>0</v>
      </c>
      <c r="AY849" s="8">
        <v>0</v>
      </c>
    </row>
    <row r="850" spans="1:51" ht="15" customHeight="1" x14ac:dyDescent="0.25">
      <c r="A850" s="9">
        <v>744</v>
      </c>
      <c r="B850" s="13"/>
      <c r="C850" s="9" t="s">
        <v>1686</v>
      </c>
      <c r="D850" s="9"/>
      <c r="E850" s="8"/>
      <c r="F850" s="9" t="s">
        <v>1616</v>
      </c>
      <c r="G850" s="79" t="s">
        <v>1687</v>
      </c>
      <c r="H850" s="9"/>
      <c r="I850" s="9" t="s">
        <v>48</v>
      </c>
      <c r="J850" s="9" t="s">
        <v>39</v>
      </c>
      <c r="K850" s="9">
        <v>1000</v>
      </c>
      <c r="L850" s="39"/>
      <c r="M850" s="7" t="s">
        <v>1</v>
      </c>
      <c r="N850" s="8"/>
      <c r="O850" s="40"/>
      <c r="P850" s="15"/>
      <c r="Q850" s="9" t="s">
        <v>264</v>
      </c>
      <c r="R850" s="9"/>
      <c r="S850" s="9"/>
      <c r="T850" s="9"/>
      <c r="U850" s="16" t="s">
        <v>105</v>
      </c>
      <c r="V850" s="9">
        <v>1637522</v>
      </c>
      <c r="W850" s="8" t="s">
        <v>1701</v>
      </c>
      <c r="X850" s="8"/>
      <c r="Y850" s="8"/>
      <c r="Z850" s="8"/>
      <c r="AA850" s="8"/>
      <c r="AB850" s="8"/>
      <c r="AC850" s="8" t="s">
        <v>228</v>
      </c>
      <c r="AD850" s="14" t="s">
        <v>229</v>
      </c>
      <c r="AE850" s="8" t="s">
        <v>342</v>
      </c>
      <c r="AF850" s="14">
        <v>0.7</v>
      </c>
      <c r="AG850" s="8">
        <v>1220</v>
      </c>
      <c r="AH850" s="8"/>
      <c r="AI850" s="8"/>
      <c r="AJ850" s="8"/>
      <c r="AK850" s="127"/>
      <c r="AL850" s="103">
        <v>11.920000000000002</v>
      </c>
      <c r="AM850" s="8">
        <v>0</v>
      </c>
      <c r="AN850" s="21">
        <v>0</v>
      </c>
      <c r="AO850" s="21">
        <v>0</v>
      </c>
      <c r="AP850" s="21">
        <v>0</v>
      </c>
      <c r="AQ850" s="21">
        <v>0</v>
      </c>
      <c r="AR850" s="21">
        <v>0</v>
      </c>
      <c r="AS850" s="8">
        <v>11.920000000000002</v>
      </c>
      <c r="AT850" s="21">
        <v>11.920000000000002</v>
      </c>
      <c r="AU850" s="21">
        <v>0</v>
      </c>
      <c r="AV850" s="21">
        <v>0</v>
      </c>
      <c r="AW850" s="21">
        <v>0</v>
      </c>
      <c r="AX850" s="21">
        <v>0</v>
      </c>
      <c r="AY850" s="8">
        <v>0</v>
      </c>
    </row>
    <row r="851" spans="1:51" ht="15" customHeight="1" x14ac:dyDescent="0.25">
      <c r="A851" s="9">
        <v>744</v>
      </c>
      <c r="B851" s="13"/>
      <c r="C851" s="9" t="s">
        <v>1686</v>
      </c>
      <c r="D851" s="9"/>
      <c r="E851" s="8"/>
      <c r="F851" s="9" t="s">
        <v>1617</v>
      </c>
      <c r="G851" s="79" t="s">
        <v>1687</v>
      </c>
      <c r="H851" s="9"/>
      <c r="I851" s="9" t="s">
        <v>48</v>
      </c>
      <c r="J851" s="9" t="s">
        <v>39</v>
      </c>
      <c r="K851" s="9">
        <v>1000</v>
      </c>
      <c r="L851" s="39"/>
      <c r="M851" s="7" t="s">
        <v>1</v>
      </c>
      <c r="N851" s="8"/>
      <c r="O851" s="40"/>
      <c r="P851" s="15"/>
      <c r="Q851" s="9" t="s">
        <v>264</v>
      </c>
      <c r="R851" s="9"/>
      <c r="S851" s="9"/>
      <c r="T851" s="9"/>
      <c r="U851" s="16" t="s">
        <v>105</v>
      </c>
      <c r="V851" s="9">
        <v>1641099</v>
      </c>
      <c r="W851" s="8" t="s">
        <v>1702</v>
      </c>
      <c r="X851" s="8"/>
      <c r="Y851" s="8"/>
      <c r="Z851" s="8"/>
      <c r="AA851" s="8"/>
      <c r="AB851" s="8"/>
      <c r="AC851" s="8" t="s">
        <v>228</v>
      </c>
      <c r="AD851" s="14" t="s">
        <v>229</v>
      </c>
      <c r="AE851" s="8" t="s">
        <v>342</v>
      </c>
      <c r="AF851" s="14">
        <v>0.6</v>
      </c>
      <c r="AG851" s="8">
        <v>1220</v>
      </c>
      <c r="AH851" s="8"/>
      <c r="AI851" s="8"/>
      <c r="AJ851" s="8"/>
      <c r="AK851" s="127"/>
      <c r="AL851" s="103">
        <v>5.8250000000000002</v>
      </c>
      <c r="AM851" s="8">
        <v>0</v>
      </c>
      <c r="AN851" s="21">
        <v>0</v>
      </c>
      <c r="AO851" s="21">
        <v>0</v>
      </c>
      <c r="AP851" s="21">
        <v>0</v>
      </c>
      <c r="AQ851" s="21">
        <v>0</v>
      </c>
      <c r="AR851" s="21">
        <v>0</v>
      </c>
      <c r="AS851" s="8">
        <v>5.8250000000000002</v>
      </c>
      <c r="AT851" s="21">
        <v>5.8250000000000002</v>
      </c>
      <c r="AU851" s="21">
        <v>0</v>
      </c>
      <c r="AV851" s="21">
        <v>0</v>
      </c>
      <c r="AW851" s="21">
        <v>0</v>
      </c>
      <c r="AX851" s="21">
        <v>0</v>
      </c>
      <c r="AY851" s="8">
        <v>0</v>
      </c>
    </row>
    <row r="852" spans="1:51" ht="15" customHeight="1" x14ac:dyDescent="0.25">
      <c r="A852" s="9">
        <v>744</v>
      </c>
      <c r="B852" s="13"/>
      <c r="C852" s="9" t="s">
        <v>1686</v>
      </c>
      <c r="D852" s="9"/>
      <c r="E852" s="8"/>
      <c r="F852" s="9" t="s">
        <v>1618</v>
      </c>
      <c r="G852" s="79" t="s">
        <v>1687</v>
      </c>
      <c r="H852" s="9"/>
      <c r="I852" s="9" t="s">
        <v>48</v>
      </c>
      <c r="J852" s="9" t="s">
        <v>39</v>
      </c>
      <c r="K852" s="9">
        <v>1000</v>
      </c>
      <c r="L852" s="39"/>
      <c r="M852" s="7" t="s">
        <v>1</v>
      </c>
      <c r="N852" s="8"/>
      <c r="O852" s="40"/>
      <c r="P852" s="15"/>
      <c r="Q852" s="9" t="s">
        <v>264</v>
      </c>
      <c r="R852" s="9"/>
      <c r="S852" s="9"/>
      <c r="T852" s="9"/>
      <c r="U852" s="16" t="s">
        <v>105</v>
      </c>
      <c r="V852" s="9">
        <v>1636510</v>
      </c>
      <c r="W852" s="8" t="s">
        <v>341</v>
      </c>
      <c r="X852" s="8"/>
      <c r="Y852" s="8"/>
      <c r="Z852" s="8"/>
      <c r="AA852" s="8"/>
      <c r="AB852" s="8"/>
      <c r="AC852" s="8" t="s">
        <v>228</v>
      </c>
      <c r="AD852" s="14" t="s">
        <v>229</v>
      </c>
      <c r="AE852" s="8" t="s">
        <v>342</v>
      </c>
      <c r="AF852" s="14">
        <v>0.55000000000000004</v>
      </c>
      <c r="AG852" s="8">
        <v>1220</v>
      </c>
      <c r="AH852" s="8"/>
      <c r="AI852" s="8"/>
      <c r="AJ852" s="8"/>
      <c r="AK852" s="127"/>
      <c r="AL852" s="103">
        <v>8.61</v>
      </c>
      <c r="AM852" s="8">
        <v>0</v>
      </c>
      <c r="AN852" s="21">
        <v>0</v>
      </c>
      <c r="AO852" s="21">
        <v>0</v>
      </c>
      <c r="AP852" s="21">
        <v>0</v>
      </c>
      <c r="AQ852" s="21">
        <v>0</v>
      </c>
      <c r="AR852" s="21">
        <v>0</v>
      </c>
      <c r="AS852" s="8">
        <v>8.61</v>
      </c>
      <c r="AT852" s="21">
        <v>8.61</v>
      </c>
      <c r="AU852" s="21">
        <v>0</v>
      </c>
      <c r="AV852" s="21">
        <v>0</v>
      </c>
      <c r="AW852" s="21">
        <v>0</v>
      </c>
      <c r="AX852" s="21">
        <v>0</v>
      </c>
      <c r="AY852" s="8">
        <v>0</v>
      </c>
    </row>
    <row r="853" spans="1:51" ht="15" customHeight="1" x14ac:dyDescent="0.25">
      <c r="A853" s="9">
        <v>744</v>
      </c>
      <c r="B853" s="13"/>
      <c r="C853" s="9" t="s">
        <v>1686</v>
      </c>
      <c r="D853" s="9"/>
      <c r="E853" s="8"/>
      <c r="F853" s="9" t="s">
        <v>1619</v>
      </c>
      <c r="G853" s="79" t="s">
        <v>1687</v>
      </c>
      <c r="H853" s="9"/>
      <c r="I853" s="9" t="s">
        <v>48</v>
      </c>
      <c r="J853" s="9" t="s">
        <v>39</v>
      </c>
      <c r="K853" s="9">
        <v>1000</v>
      </c>
      <c r="L853" s="39"/>
      <c r="M853" s="7" t="s">
        <v>1</v>
      </c>
      <c r="N853" s="8"/>
      <c r="O853" s="40"/>
      <c r="P853" s="15"/>
      <c r="Q853" s="9" t="s">
        <v>264</v>
      </c>
      <c r="R853" s="9"/>
      <c r="S853" s="9"/>
      <c r="T853" s="9"/>
      <c r="U853" s="16" t="s">
        <v>105</v>
      </c>
      <c r="V853" s="9">
        <v>1640840</v>
      </c>
      <c r="W853" s="8" t="s">
        <v>404</v>
      </c>
      <c r="X853" s="8"/>
      <c r="Y853" s="8"/>
      <c r="Z853" s="8"/>
      <c r="AA853" s="8"/>
      <c r="AB853" s="8"/>
      <c r="AC853" s="8" t="s">
        <v>228</v>
      </c>
      <c r="AD853" s="14" t="s">
        <v>229</v>
      </c>
      <c r="AE853" s="8" t="s">
        <v>342</v>
      </c>
      <c r="AF853" s="14">
        <v>0.45</v>
      </c>
      <c r="AG853" s="8">
        <v>1220</v>
      </c>
      <c r="AH853" s="8"/>
      <c r="AI853" s="8"/>
      <c r="AJ853" s="8"/>
      <c r="AK853" s="127"/>
      <c r="AL853" s="103">
        <v>3.37</v>
      </c>
      <c r="AM853" s="8">
        <v>0</v>
      </c>
      <c r="AN853" s="21">
        <v>0</v>
      </c>
      <c r="AO853" s="21">
        <v>0</v>
      </c>
      <c r="AP853" s="21">
        <v>0</v>
      </c>
      <c r="AQ853" s="21">
        <v>0</v>
      </c>
      <c r="AR853" s="21">
        <v>0</v>
      </c>
      <c r="AS853" s="8">
        <v>3.37</v>
      </c>
      <c r="AT853" s="21">
        <v>3.37</v>
      </c>
      <c r="AU853" s="21">
        <v>0</v>
      </c>
      <c r="AV853" s="21">
        <v>0</v>
      </c>
      <c r="AW853" s="21">
        <v>0</v>
      </c>
      <c r="AX853" s="21">
        <v>0</v>
      </c>
      <c r="AY853" s="8">
        <v>0</v>
      </c>
    </row>
    <row r="854" spans="1:51" ht="15" customHeight="1" x14ac:dyDescent="0.25">
      <c r="A854" s="9">
        <v>743</v>
      </c>
      <c r="B854" s="13"/>
      <c r="C854" s="9" t="s">
        <v>169</v>
      </c>
      <c r="D854" s="9"/>
      <c r="E854" s="8"/>
      <c r="F854" s="9" t="s">
        <v>1620</v>
      </c>
      <c r="G854" s="79" t="s">
        <v>1687</v>
      </c>
      <c r="H854" s="9"/>
      <c r="I854" s="9" t="s">
        <v>43</v>
      </c>
      <c r="J854" s="9" t="s">
        <v>45</v>
      </c>
      <c r="K854" s="9">
        <v>2000</v>
      </c>
      <c r="L854" s="39"/>
      <c r="M854" s="7" t="s">
        <v>1</v>
      </c>
      <c r="N854" s="8"/>
      <c r="O854" s="40"/>
      <c r="P854" s="15"/>
      <c r="Q854" s="9" t="s">
        <v>1688</v>
      </c>
      <c r="R854" s="9"/>
      <c r="S854" s="9"/>
      <c r="T854" s="9"/>
      <c r="U854" s="16" t="s">
        <v>91</v>
      </c>
      <c r="V854" s="9">
        <v>1851133</v>
      </c>
      <c r="W854" s="8" t="s">
        <v>1703</v>
      </c>
      <c r="X854" s="8"/>
      <c r="Y854" s="8"/>
      <c r="Z854" s="8"/>
      <c r="AA854" s="8"/>
      <c r="AB854" s="8"/>
      <c r="AC854" s="8" t="s">
        <v>184</v>
      </c>
      <c r="AD854" s="14" t="s">
        <v>185</v>
      </c>
      <c r="AE854" s="8" t="s">
        <v>186</v>
      </c>
      <c r="AF854" s="14">
        <v>0.35</v>
      </c>
      <c r="AG854" s="8">
        <v>900</v>
      </c>
      <c r="AH854" s="8"/>
      <c r="AI854" s="8"/>
      <c r="AJ854" s="8"/>
      <c r="AK854" s="127"/>
      <c r="AL854" s="103">
        <v>3.03</v>
      </c>
      <c r="AM854" s="8">
        <v>0</v>
      </c>
      <c r="AN854" s="21">
        <v>0</v>
      </c>
      <c r="AO854" s="21">
        <v>0</v>
      </c>
      <c r="AP854" s="21">
        <v>0</v>
      </c>
      <c r="AQ854" s="21">
        <v>0</v>
      </c>
      <c r="AR854" s="21">
        <v>0</v>
      </c>
      <c r="AS854" s="8">
        <v>3.03</v>
      </c>
      <c r="AT854" s="21">
        <v>3.03</v>
      </c>
      <c r="AU854" s="21">
        <v>0</v>
      </c>
      <c r="AV854" s="21">
        <v>0</v>
      </c>
      <c r="AW854" s="21">
        <v>0</v>
      </c>
      <c r="AX854" s="21">
        <v>0</v>
      </c>
      <c r="AY854" s="8">
        <v>0</v>
      </c>
    </row>
    <row r="855" spans="1:51" ht="15" customHeight="1" x14ac:dyDescent="0.25">
      <c r="A855" s="9">
        <v>743</v>
      </c>
      <c r="B855" s="13"/>
      <c r="C855" s="9" t="s">
        <v>169</v>
      </c>
      <c r="D855" s="9"/>
      <c r="E855" s="8"/>
      <c r="F855" s="9" t="s">
        <v>1621</v>
      </c>
      <c r="G855" s="79" t="s">
        <v>1687</v>
      </c>
      <c r="H855" s="9"/>
      <c r="I855" s="9" t="s">
        <v>38</v>
      </c>
      <c r="J855" s="9" t="s">
        <v>39</v>
      </c>
      <c r="K855" s="9">
        <v>1000</v>
      </c>
      <c r="L855" s="39"/>
      <c r="M855" s="7" t="s">
        <v>1</v>
      </c>
      <c r="N855" s="8"/>
      <c r="O855" s="40"/>
      <c r="P855" s="15"/>
      <c r="Q855" s="9" t="s">
        <v>264</v>
      </c>
      <c r="R855" s="9"/>
      <c r="S855" s="9"/>
      <c r="T855" s="9"/>
      <c r="U855" s="16" t="s">
        <v>105</v>
      </c>
      <c r="V855" s="9">
        <v>3856039</v>
      </c>
      <c r="W855" s="8" t="s">
        <v>1704</v>
      </c>
      <c r="X855" s="8"/>
      <c r="Y855" s="8"/>
      <c r="Z855" s="8"/>
      <c r="AA855" s="8"/>
      <c r="AB855" s="8"/>
      <c r="AC855" s="8" t="s">
        <v>222</v>
      </c>
      <c r="AD855" s="14" t="s">
        <v>223</v>
      </c>
      <c r="AE855" s="8" t="s">
        <v>260</v>
      </c>
      <c r="AF855" s="14">
        <v>0.38</v>
      </c>
      <c r="AG855" s="8">
        <v>1000</v>
      </c>
      <c r="AH855" s="8"/>
      <c r="AI855" s="8"/>
      <c r="AJ855" s="8"/>
      <c r="AK855" s="127"/>
      <c r="AL855" s="103">
        <v>7.3650000000000002</v>
      </c>
      <c r="AM855" s="8">
        <v>0</v>
      </c>
      <c r="AN855" s="21">
        <v>0</v>
      </c>
      <c r="AO855" s="21">
        <v>0</v>
      </c>
      <c r="AP855" s="21">
        <v>0</v>
      </c>
      <c r="AQ855" s="21">
        <v>0</v>
      </c>
      <c r="AR855" s="21">
        <v>0</v>
      </c>
      <c r="AS855" s="8">
        <v>7.3650000000000002</v>
      </c>
      <c r="AT855" s="21">
        <v>7.3650000000000002</v>
      </c>
      <c r="AU855" s="21">
        <v>0</v>
      </c>
      <c r="AV855" s="21">
        <v>0</v>
      </c>
      <c r="AW855" s="21">
        <v>0</v>
      </c>
      <c r="AX855" s="21">
        <v>0</v>
      </c>
      <c r="AY855" s="8">
        <v>0</v>
      </c>
    </row>
    <row r="856" spans="1:51" ht="15" customHeight="1" x14ac:dyDescent="0.25">
      <c r="A856" s="9">
        <v>743</v>
      </c>
      <c r="B856" s="13"/>
      <c r="C856" s="9" t="s">
        <v>169</v>
      </c>
      <c r="D856" s="9"/>
      <c r="E856" s="8"/>
      <c r="F856" s="9" t="s">
        <v>1622</v>
      </c>
      <c r="G856" s="79" t="s">
        <v>1687</v>
      </c>
      <c r="H856" s="9"/>
      <c r="I856" s="9" t="s">
        <v>43</v>
      </c>
      <c r="J856" s="9" t="s">
        <v>1311</v>
      </c>
      <c r="K856" s="9">
        <v>2000</v>
      </c>
      <c r="L856" s="39"/>
      <c r="M856" s="7" t="s">
        <v>1</v>
      </c>
      <c r="N856" s="8"/>
      <c r="O856" s="40"/>
      <c r="P856" s="15"/>
      <c r="Q856" s="9" t="s">
        <v>1690</v>
      </c>
      <c r="R856" s="9"/>
      <c r="S856" s="9"/>
      <c r="T856" s="9"/>
      <c r="U856" s="16" t="s">
        <v>123</v>
      </c>
      <c r="V856" s="9">
        <v>1851106</v>
      </c>
      <c r="W856" s="8" t="s">
        <v>1444</v>
      </c>
      <c r="X856" s="8"/>
      <c r="Y856" s="8"/>
      <c r="Z856" s="8"/>
      <c r="AA856" s="8"/>
      <c r="AB856" s="8"/>
      <c r="AC856" s="8" t="s">
        <v>238</v>
      </c>
      <c r="AD856" s="14" t="s">
        <v>185</v>
      </c>
      <c r="AE856" s="8" t="s">
        <v>186</v>
      </c>
      <c r="AF856" s="14">
        <v>0.6</v>
      </c>
      <c r="AG856" s="8">
        <v>1250</v>
      </c>
      <c r="AH856" s="8"/>
      <c r="AI856" s="8"/>
      <c r="AJ856" s="8"/>
      <c r="AK856" s="127"/>
      <c r="AL856" s="103">
        <v>3.89</v>
      </c>
      <c r="AM856" s="8">
        <v>0</v>
      </c>
      <c r="AN856" s="21">
        <v>0</v>
      </c>
      <c r="AO856" s="21">
        <v>0</v>
      </c>
      <c r="AP856" s="21">
        <v>0</v>
      </c>
      <c r="AQ856" s="21">
        <v>0</v>
      </c>
      <c r="AR856" s="21">
        <v>0</v>
      </c>
      <c r="AS856" s="8">
        <v>3.89</v>
      </c>
      <c r="AT856" s="21">
        <v>3.89</v>
      </c>
      <c r="AU856" s="21">
        <v>0</v>
      </c>
      <c r="AV856" s="21">
        <v>0</v>
      </c>
      <c r="AW856" s="21">
        <v>0</v>
      </c>
      <c r="AX856" s="21">
        <v>0</v>
      </c>
      <c r="AY856" s="8">
        <v>0</v>
      </c>
    </row>
    <row r="857" spans="1:51" ht="15" customHeight="1" x14ac:dyDescent="0.25">
      <c r="A857" s="9">
        <v>742</v>
      </c>
      <c r="B857" s="13"/>
      <c r="C857" s="9" t="s">
        <v>169</v>
      </c>
      <c r="D857" s="9"/>
      <c r="E857" s="8"/>
      <c r="F857" s="9" t="s">
        <v>1623</v>
      </c>
      <c r="G857" s="79" t="s">
        <v>1687</v>
      </c>
      <c r="H857" s="9"/>
      <c r="I857" s="9" t="s">
        <v>25</v>
      </c>
      <c r="J857" s="9" t="s">
        <v>31</v>
      </c>
      <c r="K857" s="9">
        <v>2000</v>
      </c>
      <c r="L857" s="39"/>
      <c r="M857" s="7" t="s">
        <v>1</v>
      </c>
      <c r="N857" s="8"/>
      <c r="O857" s="40"/>
      <c r="P857" s="15"/>
      <c r="Q857" s="9" t="s">
        <v>1690</v>
      </c>
      <c r="R857" s="9"/>
      <c r="S857" s="9"/>
      <c r="T857" s="9"/>
      <c r="U857" s="16" t="s">
        <v>131</v>
      </c>
      <c r="V857" s="9">
        <v>3870145</v>
      </c>
      <c r="W857" s="8" t="s">
        <v>1705</v>
      </c>
      <c r="X857" s="8"/>
      <c r="Y857" s="8"/>
      <c r="Z857" s="8"/>
      <c r="AA857" s="8"/>
      <c r="AB857" s="8"/>
      <c r="AC857" s="8" t="s">
        <v>210</v>
      </c>
      <c r="AD857" s="14" t="s">
        <v>211</v>
      </c>
      <c r="AE857" s="8" t="s">
        <v>212</v>
      </c>
      <c r="AF857" s="14">
        <v>0.4</v>
      </c>
      <c r="AG857" s="8">
        <v>1250</v>
      </c>
      <c r="AH857" s="8"/>
      <c r="AI857" s="8"/>
      <c r="AJ857" s="8"/>
      <c r="AK857" s="127"/>
      <c r="AL857" s="103">
        <v>2.84</v>
      </c>
      <c r="AM857" s="8">
        <v>0</v>
      </c>
      <c r="AN857" s="21">
        <v>0</v>
      </c>
      <c r="AO857" s="21">
        <v>0</v>
      </c>
      <c r="AP857" s="21">
        <v>0</v>
      </c>
      <c r="AQ857" s="21">
        <v>0</v>
      </c>
      <c r="AR857" s="21">
        <v>0</v>
      </c>
      <c r="AS857" s="8">
        <v>2.84</v>
      </c>
      <c r="AT857" s="21">
        <v>2.84</v>
      </c>
      <c r="AU857" s="21">
        <v>0</v>
      </c>
      <c r="AV857" s="21">
        <v>0</v>
      </c>
      <c r="AW857" s="21">
        <v>0</v>
      </c>
      <c r="AX857" s="21">
        <v>0</v>
      </c>
      <c r="AY857" s="8">
        <v>0</v>
      </c>
    </row>
    <row r="858" spans="1:51" ht="15" customHeight="1" x14ac:dyDescent="0.25">
      <c r="A858" s="9">
        <v>743</v>
      </c>
      <c r="B858" s="13"/>
      <c r="C858" s="9" t="s">
        <v>1686</v>
      </c>
      <c r="D858" s="9"/>
      <c r="E858" s="8"/>
      <c r="F858" s="9" t="s">
        <v>1624</v>
      </c>
      <c r="G858" s="79" t="s">
        <v>1687</v>
      </c>
      <c r="H858" s="9"/>
      <c r="I858" s="9" t="s">
        <v>43</v>
      </c>
      <c r="J858" s="9" t="s">
        <v>1311</v>
      </c>
      <c r="K858" s="9">
        <v>2000</v>
      </c>
      <c r="L858" s="39"/>
      <c r="M858" s="7" t="s">
        <v>1</v>
      </c>
      <c r="N858" s="8"/>
      <c r="O858" s="40"/>
      <c r="P858" s="15"/>
      <c r="Q858" s="9" t="s">
        <v>1691</v>
      </c>
      <c r="R858" s="9"/>
      <c r="S858" s="9"/>
      <c r="T858" s="9"/>
      <c r="U858" s="16" t="s">
        <v>1730</v>
      </c>
      <c r="V858" s="9">
        <v>1854410</v>
      </c>
      <c r="W858" s="8" t="s">
        <v>394</v>
      </c>
      <c r="X858" s="8"/>
      <c r="Y858" s="8"/>
      <c r="Z858" s="8"/>
      <c r="AA858" s="8"/>
      <c r="AB858" s="8"/>
      <c r="AC858" s="8" t="s">
        <v>238</v>
      </c>
      <c r="AD858" s="14" t="s">
        <v>185</v>
      </c>
      <c r="AE858" s="8" t="s">
        <v>186</v>
      </c>
      <c r="AF858" s="14">
        <v>0.4</v>
      </c>
      <c r="AG858" s="8">
        <v>1220</v>
      </c>
      <c r="AH858" s="8"/>
      <c r="AI858" s="8"/>
      <c r="AJ858" s="8"/>
      <c r="AK858" s="127"/>
      <c r="AL858" s="103">
        <v>10.375</v>
      </c>
      <c r="AM858" s="8">
        <v>0</v>
      </c>
      <c r="AN858" s="21">
        <v>0</v>
      </c>
      <c r="AO858" s="21">
        <v>0</v>
      </c>
      <c r="AP858" s="21">
        <v>0</v>
      </c>
      <c r="AQ858" s="21">
        <v>0</v>
      </c>
      <c r="AR858" s="21">
        <v>0</v>
      </c>
      <c r="AS858" s="8">
        <v>10.375</v>
      </c>
      <c r="AT858" s="21">
        <v>10.375</v>
      </c>
      <c r="AU858" s="21">
        <v>0</v>
      </c>
      <c r="AV858" s="21">
        <v>0</v>
      </c>
      <c r="AW858" s="21">
        <v>0</v>
      </c>
      <c r="AX858" s="21">
        <v>0</v>
      </c>
      <c r="AY858" s="8">
        <v>0</v>
      </c>
    </row>
    <row r="859" spans="1:51" ht="15" customHeight="1" x14ac:dyDescent="0.25">
      <c r="A859" s="9">
        <v>742</v>
      </c>
      <c r="B859" s="13"/>
      <c r="C859" s="9" t="s">
        <v>169</v>
      </c>
      <c r="D859" s="9"/>
      <c r="E859" s="8"/>
      <c r="F859" s="9" t="s">
        <v>1625</v>
      </c>
      <c r="G859" s="79" t="s">
        <v>1687</v>
      </c>
      <c r="H859" s="9"/>
      <c r="I859" s="9" t="s">
        <v>25</v>
      </c>
      <c r="J859" s="9" t="s">
        <v>31</v>
      </c>
      <c r="K859" s="9">
        <v>2000</v>
      </c>
      <c r="L859" s="39"/>
      <c r="M859" s="7" t="s">
        <v>1</v>
      </c>
      <c r="N859" s="8"/>
      <c r="O859" s="40"/>
      <c r="P859" s="15"/>
      <c r="Q859" s="9" t="s">
        <v>1690</v>
      </c>
      <c r="R859" s="9"/>
      <c r="S859" s="9"/>
      <c r="T859" s="9"/>
      <c r="U859" s="16" t="s">
        <v>310</v>
      </c>
      <c r="V859" s="9">
        <v>3240765</v>
      </c>
      <c r="W859" s="8" t="s">
        <v>360</v>
      </c>
      <c r="X859" s="8"/>
      <c r="Y859" s="8"/>
      <c r="Z859" s="8"/>
      <c r="AA859" s="8"/>
      <c r="AB859" s="8"/>
      <c r="AC859" s="8" t="s">
        <v>210</v>
      </c>
      <c r="AD859" s="14" t="s">
        <v>218</v>
      </c>
      <c r="AE859" s="8" t="s">
        <v>250</v>
      </c>
      <c r="AF859" s="14">
        <v>0.5</v>
      </c>
      <c r="AG859" s="8">
        <v>1250</v>
      </c>
      <c r="AH859" s="8"/>
      <c r="AI859" s="8"/>
      <c r="AJ859" s="8"/>
      <c r="AK859" s="127"/>
      <c r="AL859" s="103">
        <v>2.855</v>
      </c>
      <c r="AM859" s="8">
        <v>0</v>
      </c>
      <c r="AN859" s="21">
        <v>0</v>
      </c>
      <c r="AO859" s="21">
        <v>0</v>
      </c>
      <c r="AP859" s="21">
        <v>0</v>
      </c>
      <c r="AQ859" s="21">
        <v>0</v>
      </c>
      <c r="AR859" s="21">
        <v>0</v>
      </c>
      <c r="AS859" s="8">
        <v>2.855</v>
      </c>
      <c r="AT859" s="21">
        <v>2.855</v>
      </c>
      <c r="AU859" s="21">
        <v>0</v>
      </c>
      <c r="AV859" s="21">
        <v>0</v>
      </c>
      <c r="AW859" s="21">
        <v>0</v>
      </c>
      <c r="AX859" s="21">
        <v>0</v>
      </c>
      <c r="AY859" s="8">
        <v>0</v>
      </c>
    </row>
    <row r="860" spans="1:51" ht="15" customHeight="1" x14ac:dyDescent="0.25">
      <c r="A860" s="9">
        <v>743</v>
      </c>
      <c r="B860" s="13"/>
      <c r="C860" s="9" t="s">
        <v>1686</v>
      </c>
      <c r="D860" s="9"/>
      <c r="E860" s="8"/>
      <c r="F860" s="9" t="s">
        <v>1626</v>
      </c>
      <c r="G860" s="79" t="s">
        <v>1687</v>
      </c>
      <c r="H860" s="9"/>
      <c r="I860" s="9" t="s">
        <v>43</v>
      </c>
      <c r="J860" s="9" t="s">
        <v>45</v>
      </c>
      <c r="K860" s="9">
        <v>2000</v>
      </c>
      <c r="L860" s="39"/>
      <c r="M860" s="7" t="s">
        <v>1</v>
      </c>
      <c r="N860" s="8"/>
      <c r="O860" s="40"/>
      <c r="P860" s="15"/>
      <c r="Q860" s="9" t="s">
        <v>1690</v>
      </c>
      <c r="R860" s="9"/>
      <c r="S860" s="9"/>
      <c r="T860" s="9"/>
      <c r="U860" s="16" t="s">
        <v>123</v>
      </c>
      <c r="V860" s="9">
        <v>1851133</v>
      </c>
      <c r="W860" s="8" t="s">
        <v>1703</v>
      </c>
      <c r="X860" s="8"/>
      <c r="Y860" s="8"/>
      <c r="Z860" s="8"/>
      <c r="AA860" s="8"/>
      <c r="AB860" s="8"/>
      <c r="AC860" s="8" t="s">
        <v>184</v>
      </c>
      <c r="AD860" s="14" t="s">
        <v>185</v>
      </c>
      <c r="AE860" s="8" t="s">
        <v>186</v>
      </c>
      <c r="AF860" s="14">
        <v>0.35</v>
      </c>
      <c r="AG860" s="8">
        <v>900</v>
      </c>
      <c r="AH860" s="8"/>
      <c r="AI860" s="8"/>
      <c r="AJ860" s="8"/>
      <c r="AK860" s="127"/>
      <c r="AL860" s="103">
        <v>10.719999999999999</v>
      </c>
      <c r="AM860" s="8">
        <v>0</v>
      </c>
      <c r="AN860" s="21">
        <v>0</v>
      </c>
      <c r="AO860" s="21">
        <v>0</v>
      </c>
      <c r="AP860" s="21">
        <v>0</v>
      </c>
      <c r="AQ860" s="21">
        <v>0</v>
      </c>
      <c r="AR860" s="21">
        <v>0</v>
      </c>
      <c r="AS860" s="8">
        <v>10.719999999999999</v>
      </c>
      <c r="AT860" s="21">
        <v>10.719999999999999</v>
      </c>
      <c r="AU860" s="21">
        <v>0</v>
      </c>
      <c r="AV860" s="21">
        <v>0</v>
      </c>
      <c r="AW860" s="21">
        <v>0</v>
      </c>
      <c r="AX860" s="21">
        <v>0</v>
      </c>
      <c r="AY860" s="8">
        <v>0</v>
      </c>
    </row>
    <row r="861" spans="1:51" ht="15" customHeight="1" x14ac:dyDescent="0.25">
      <c r="A861" s="9">
        <v>743</v>
      </c>
      <c r="B861" s="13"/>
      <c r="C861" s="9" t="s">
        <v>169</v>
      </c>
      <c r="D861" s="9"/>
      <c r="E861" s="8"/>
      <c r="F861" s="9" t="s">
        <v>1627</v>
      </c>
      <c r="G861" s="79" t="s">
        <v>1687</v>
      </c>
      <c r="H861" s="9"/>
      <c r="I861" s="9" t="s">
        <v>38</v>
      </c>
      <c r="J861" s="9" t="s">
        <v>41</v>
      </c>
      <c r="K861" s="9">
        <v>1000</v>
      </c>
      <c r="L861" s="39"/>
      <c r="M861" s="7" t="s">
        <v>1</v>
      </c>
      <c r="N861" s="8"/>
      <c r="O861" s="40"/>
      <c r="P861" s="15"/>
      <c r="Q861" s="9" t="s">
        <v>1690</v>
      </c>
      <c r="R861" s="9"/>
      <c r="S861" s="9"/>
      <c r="T861" s="9"/>
      <c r="U861" s="16" t="s">
        <v>817</v>
      </c>
      <c r="V861" s="9">
        <v>3865176</v>
      </c>
      <c r="W861" s="8" t="s">
        <v>409</v>
      </c>
      <c r="X861" s="8"/>
      <c r="Y861" s="8"/>
      <c r="Z861" s="8"/>
      <c r="AA861" s="8"/>
      <c r="AB861" s="8"/>
      <c r="AC861" s="8" t="s">
        <v>222</v>
      </c>
      <c r="AD861" s="14" t="s">
        <v>223</v>
      </c>
      <c r="AE861" s="8" t="s">
        <v>372</v>
      </c>
      <c r="AF861" s="14">
        <v>0.9</v>
      </c>
      <c r="AG861" s="8">
        <v>1250</v>
      </c>
      <c r="AH861" s="8"/>
      <c r="AI861" s="8"/>
      <c r="AJ861" s="8"/>
      <c r="AK861" s="127"/>
      <c r="AL861" s="103">
        <v>16.02</v>
      </c>
      <c r="AM861" s="8">
        <v>0</v>
      </c>
      <c r="AN861" s="21">
        <v>0</v>
      </c>
      <c r="AO861" s="21">
        <v>0</v>
      </c>
      <c r="AP861" s="21">
        <v>0</v>
      </c>
      <c r="AQ861" s="21">
        <v>0</v>
      </c>
      <c r="AR861" s="21">
        <v>0</v>
      </c>
      <c r="AS861" s="8">
        <v>16.02</v>
      </c>
      <c r="AT861" s="21">
        <v>16.02</v>
      </c>
      <c r="AU861" s="21">
        <v>0</v>
      </c>
      <c r="AV861" s="21">
        <v>0</v>
      </c>
      <c r="AW861" s="21">
        <v>0</v>
      </c>
      <c r="AX861" s="21">
        <v>0</v>
      </c>
      <c r="AY861" s="8">
        <v>0</v>
      </c>
    </row>
    <row r="862" spans="1:51" ht="15" customHeight="1" x14ac:dyDescent="0.25">
      <c r="A862" s="9">
        <v>743</v>
      </c>
      <c r="B862" s="13"/>
      <c r="C862" s="9" t="s">
        <v>169</v>
      </c>
      <c r="D862" s="9"/>
      <c r="E862" s="8"/>
      <c r="F862" s="9" t="s">
        <v>1628</v>
      </c>
      <c r="G862" s="79" t="s">
        <v>1687</v>
      </c>
      <c r="H862" s="9"/>
      <c r="I862" s="9" t="s">
        <v>43</v>
      </c>
      <c r="J862" s="9" t="s">
        <v>45</v>
      </c>
      <c r="K862" s="9">
        <v>2000</v>
      </c>
      <c r="L862" s="39"/>
      <c r="M862" s="7" t="s">
        <v>1</v>
      </c>
      <c r="N862" s="8"/>
      <c r="O862" s="40"/>
      <c r="P862" s="15"/>
      <c r="Q862" s="9" t="s">
        <v>1688</v>
      </c>
      <c r="R862" s="9"/>
      <c r="S862" s="9"/>
      <c r="T862" s="9"/>
      <c r="U862" s="16" t="s">
        <v>89</v>
      </c>
      <c r="V862" s="9">
        <v>3484329</v>
      </c>
      <c r="W862" s="8" t="s">
        <v>766</v>
      </c>
      <c r="X862" s="8"/>
      <c r="Y862" s="8"/>
      <c r="Z862" s="8"/>
      <c r="AA862" s="8"/>
      <c r="AB862" s="8"/>
      <c r="AC862" s="8" t="s">
        <v>184</v>
      </c>
      <c r="AD862" s="14" t="s">
        <v>185</v>
      </c>
      <c r="AE862" s="8" t="s">
        <v>186</v>
      </c>
      <c r="AF862" s="14">
        <v>0.6</v>
      </c>
      <c r="AG862" s="8">
        <v>900</v>
      </c>
      <c r="AH862" s="8"/>
      <c r="AI862" s="8"/>
      <c r="AJ862" s="8"/>
      <c r="AK862" s="127"/>
      <c r="AL862" s="103">
        <v>2.8849999999999998</v>
      </c>
      <c r="AM862" s="8">
        <v>0</v>
      </c>
      <c r="AN862" s="21">
        <v>0</v>
      </c>
      <c r="AO862" s="21">
        <v>0</v>
      </c>
      <c r="AP862" s="21">
        <v>0</v>
      </c>
      <c r="AQ862" s="21">
        <v>0</v>
      </c>
      <c r="AR862" s="21">
        <v>0</v>
      </c>
      <c r="AS862" s="8">
        <v>2.8849999999999998</v>
      </c>
      <c r="AT862" s="21">
        <v>2.8849999999999998</v>
      </c>
      <c r="AU862" s="21">
        <v>0</v>
      </c>
      <c r="AV862" s="21">
        <v>0</v>
      </c>
      <c r="AW862" s="21">
        <v>0</v>
      </c>
      <c r="AX862" s="21">
        <v>0</v>
      </c>
      <c r="AY862" s="8">
        <v>0</v>
      </c>
    </row>
    <row r="863" spans="1:51" ht="15" customHeight="1" x14ac:dyDescent="0.25">
      <c r="A863" s="9">
        <v>744</v>
      </c>
      <c r="B863" s="13"/>
      <c r="C863" s="9" t="s">
        <v>1686</v>
      </c>
      <c r="D863" s="9"/>
      <c r="E863" s="8"/>
      <c r="F863" s="9" t="s">
        <v>1629</v>
      </c>
      <c r="G863" s="79" t="s">
        <v>1687</v>
      </c>
      <c r="H863" s="9"/>
      <c r="I863" s="9" t="s">
        <v>48</v>
      </c>
      <c r="J863" s="9" t="s">
        <v>39</v>
      </c>
      <c r="K863" s="9">
        <v>1000</v>
      </c>
      <c r="L863" s="39"/>
      <c r="M863" s="7" t="s">
        <v>1</v>
      </c>
      <c r="N863" s="8"/>
      <c r="O863" s="40"/>
      <c r="P863" s="15"/>
      <c r="Q863" s="9" t="s">
        <v>264</v>
      </c>
      <c r="R863" s="9"/>
      <c r="S863" s="9"/>
      <c r="T863" s="9"/>
      <c r="U863" s="16" t="s">
        <v>133</v>
      </c>
      <c r="V863" s="9">
        <v>3724432</v>
      </c>
      <c r="W863" s="8" t="s">
        <v>1706</v>
      </c>
      <c r="X863" s="8"/>
      <c r="Y863" s="8"/>
      <c r="Z863" s="8"/>
      <c r="AA863" s="8"/>
      <c r="AB863" s="8"/>
      <c r="AC863" s="8" t="s">
        <v>228</v>
      </c>
      <c r="AD863" s="14" t="s">
        <v>229</v>
      </c>
      <c r="AE863" s="8" t="s">
        <v>865</v>
      </c>
      <c r="AF863" s="14">
        <v>0.43</v>
      </c>
      <c r="AG863" s="8">
        <v>1020</v>
      </c>
      <c r="AH863" s="8"/>
      <c r="AI863" s="8"/>
      <c r="AJ863" s="8"/>
      <c r="AK863" s="127"/>
      <c r="AL863" s="103">
        <v>13.125</v>
      </c>
      <c r="AM863" s="8">
        <v>0</v>
      </c>
      <c r="AN863" s="21">
        <v>0</v>
      </c>
      <c r="AO863" s="21">
        <v>0</v>
      </c>
      <c r="AP863" s="21">
        <v>0</v>
      </c>
      <c r="AQ863" s="21">
        <v>0</v>
      </c>
      <c r="AR863" s="21">
        <v>0</v>
      </c>
      <c r="AS863" s="8">
        <v>13.125</v>
      </c>
      <c r="AT863" s="21">
        <v>13.125</v>
      </c>
      <c r="AU863" s="21">
        <v>0</v>
      </c>
      <c r="AV863" s="21">
        <v>0</v>
      </c>
      <c r="AW863" s="21">
        <v>0</v>
      </c>
      <c r="AX863" s="21">
        <v>0</v>
      </c>
      <c r="AY863" s="8">
        <v>0</v>
      </c>
    </row>
    <row r="864" spans="1:51" ht="15" customHeight="1" x14ac:dyDescent="0.25">
      <c r="A864" s="9">
        <v>742</v>
      </c>
      <c r="B864" s="13"/>
      <c r="C864" s="9" t="s">
        <v>169</v>
      </c>
      <c r="D864" s="9"/>
      <c r="E864" s="8"/>
      <c r="F864" s="9" t="s">
        <v>1630</v>
      </c>
      <c r="G864" s="79" t="s">
        <v>1687</v>
      </c>
      <c r="H864" s="9"/>
      <c r="I864" s="9" t="s">
        <v>25</v>
      </c>
      <c r="J864" s="9" t="s">
        <v>28</v>
      </c>
      <c r="K864" s="9">
        <v>1000</v>
      </c>
      <c r="L864" s="39"/>
      <c r="M864" s="7" t="s">
        <v>1</v>
      </c>
      <c r="N864" s="8"/>
      <c r="O864" s="40"/>
      <c r="P864" s="15"/>
      <c r="Q864" s="9" t="s">
        <v>1691</v>
      </c>
      <c r="R864" s="9"/>
      <c r="S864" s="9"/>
      <c r="T864" s="9"/>
      <c r="U864" s="16" t="s">
        <v>58</v>
      </c>
      <c r="V864" s="9">
        <v>3867647</v>
      </c>
      <c r="W864" s="8" t="s">
        <v>1707</v>
      </c>
      <c r="X864" s="8"/>
      <c r="Y864" s="8"/>
      <c r="Z864" s="8"/>
      <c r="AA864" s="8"/>
      <c r="AB864" s="8"/>
      <c r="AC864" s="8" t="s">
        <v>190</v>
      </c>
      <c r="AD864" s="14" t="s">
        <v>191</v>
      </c>
      <c r="AE864" s="8" t="s">
        <v>1726</v>
      </c>
      <c r="AF864" s="14">
        <v>0.6</v>
      </c>
      <c r="AG864" s="8">
        <v>1120</v>
      </c>
      <c r="AH864" s="8"/>
      <c r="AI864" s="8"/>
      <c r="AJ864" s="8"/>
      <c r="AK864" s="127"/>
      <c r="AL864" s="103">
        <v>110.69500000000001</v>
      </c>
      <c r="AM864" s="8">
        <v>0</v>
      </c>
      <c r="AN864" s="21">
        <v>0</v>
      </c>
      <c r="AO864" s="21">
        <v>0</v>
      </c>
      <c r="AP864" s="21">
        <v>0</v>
      </c>
      <c r="AQ864" s="21">
        <v>0</v>
      </c>
      <c r="AR864" s="21">
        <v>0</v>
      </c>
      <c r="AS864" s="8">
        <v>110.69500000000001</v>
      </c>
      <c r="AT864" s="21">
        <v>110.69500000000001</v>
      </c>
      <c r="AU864" s="21">
        <v>0</v>
      </c>
      <c r="AV864" s="21">
        <v>0</v>
      </c>
      <c r="AW864" s="21">
        <v>0</v>
      </c>
      <c r="AX864" s="21">
        <v>0</v>
      </c>
      <c r="AY864" s="8">
        <v>0</v>
      </c>
    </row>
    <row r="865" spans="1:51" ht="15" customHeight="1" x14ac:dyDescent="0.25">
      <c r="A865" s="9">
        <v>744</v>
      </c>
      <c r="B865" s="13"/>
      <c r="C865" s="9" t="s">
        <v>169</v>
      </c>
      <c r="D865" s="9"/>
      <c r="E865" s="8"/>
      <c r="F865" s="9" t="s">
        <v>1631</v>
      </c>
      <c r="G865" s="79" t="s">
        <v>1687</v>
      </c>
      <c r="H865" s="9"/>
      <c r="I865" s="9" t="s">
        <v>48</v>
      </c>
      <c r="J865" s="9" t="s">
        <v>39</v>
      </c>
      <c r="K865" s="9">
        <v>1000</v>
      </c>
      <c r="L865" s="39"/>
      <c r="M865" s="7" t="s">
        <v>1</v>
      </c>
      <c r="N865" s="8"/>
      <c r="O865" s="40"/>
      <c r="P865" s="15"/>
      <c r="Q865" s="9" t="s">
        <v>264</v>
      </c>
      <c r="R865" s="9"/>
      <c r="S865" s="9"/>
      <c r="T865" s="9"/>
      <c r="U865" s="16" t="s">
        <v>133</v>
      </c>
      <c r="V865" s="9">
        <v>3521298</v>
      </c>
      <c r="W865" s="8" t="s">
        <v>1708</v>
      </c>
      <c r="X865" s="8"/>
      <c r="Y865" s="8"/>
      <c r="Z865" s="8"/>
      <c r="AA865" s="8"/>
      <c r="AB865" s="8"/>
      <c r="AC865" s="8" t="s">
        <v>228</v>
      </c>
      <c r="AD865" s="14" t="s">
        <v>229</v>
      </c>
      <c r="AE865" s="8" t="s">
        <v>232</v>
      </c>
      <c r="AF865" s="14">
        <v>0.33</v>
      </c>
      <c r="AG865" s="8">
        <v>1220</v>
      </c>
      <c r="AH865" s="8"/>
      <c r="AI865" s="8"/>
      <c r="AJ865" s="8"/>
      <c r="AK865" s="127"/>
      <c r="AL865" s="103">
        <v>4.92</v>
      </c>
      <c r="AM865" s="8">
        <v>0</v>
      </c>
      <c r="AN865" s="21">
        <v>0</v>
      </c>
      <c r="AO865" s="21">
        <v>0</v>
      </c>
      <c r="AP865" s="21">
        <v>0</v>
      </c>
      <c r="AQ865" s="21">
        <v>0</v>
      </c>
      <c r="AR865" s="21">
        <v>0</v>
      </c>
      <c r="AS865" s="8">
        <v>4.92</v>
      </c>
      <c r="AT865" s="21">
        <v>4.92</v>
      </c>
      <c r="AU865" s="21">
        <v>0</v>
      </c>
      <c r="AV865" s="21">
        <v>0</v>
      </c>
      <c r="AW865" s="21">
        <v>0</v>
      </c>
      <c r="AX865" s="21">
        <v>0</v>
      </c>
      <c r="AY865" s="8">
        <v>0</v>
      </c>
    </row>
    <row r="866" spans="1:51" ht="15" customHeight="1" x14ac:dyDescent="0.25">
      <c r="A866" s="9">
        <v>743</v>
      </c>
      <c r="B866" s="13"/>
      <c r="C866" s="9" t="s">
        <v>1686</v>
      </c>
      <c r="D866" s="9"/>
      <c r="E866" s="8"/>
      <c r="F866" s="9" t="s">
        <v>1632</v>
      </c>
      <c r="G866" s="79" t="s">
        <v>1687</v>
      </c>
      <c r="H866" s="9"/>
      <c r="I866" s="9" t="s">
        <v>38</v>
      </c>
      <c r="J866" s="9" t="s">
        <v>41</v>
      </c>
      <c r="K866" s="9">
        <v>1000</v>
      </c>
      <c r="L866" s="39"/>
      <c r="M866" s="7" t="s">
        <v>1</v>
      </c>
      <c r="N866" s="8"/>
      <c r="O866" s="40"/>
      <c r="P866" s="15"/>
      <c r="Q866" s="9" t="s">
        <v>1690</v>
      </c>
      <c r="R866" s="9"/>
      <c r="S866" s="9"/>
      <c r="T866" s="9"/>
      <c r="U866" s="16" t="s">
        <v>302</v>
      </c>
      <c r="V866" s="9">
        <v>3865176</v>
      </c>
      <c r="W866" s="8" t="s">
        <v>409</v>
      </c>
      <c r="X866" s="8"/>
      <c r="Y866" s="8"/>
      <c r="Z866" s="8"/>
      <c r="AA866" s="8"/>
      <c r="AB866" s="8"/>
      <c r="AC866" s="8" t="s">
        <v>222</v>
      </c>
      <c r="AD866" s="14" t="s">
        <v>223</v>
      </c>
      <c r="AE866" s="8" t="s">
        <v>372</v>
      </c>
      <c r="AF866" s="14">
        <v>0.9</v>
      </c>
      <c r="AG866" s="8">
        <v>1250</v>
      </c>
      <c r="AH866" s="8"/>
      <c r="AI866" s="8"/>
      <c r="AJ866" s="8"/>
      <c r="AK866" s="127"/>
      <c r="AL866" s="103">
        <v>6.2050000000000001</v>
      </c>
      <c r="AM866" s="8">
        <v>0</v>
      </c>
      <c r="AN866" s="21">
        <v>0</v>
      </c>
      <c r="AO866" s="21">
        <v>0</v>
      </c>
      <c r="AP866" s="21">
        <v>0</v>
      </c>
      <c r="AQ866" s="21">
        <v>0</v>
      </c>
      <c r="AR866" s="21">
        <v>0</v>
      </c>
      <c r="AS866" s="8">
        <v>6.2050000000000001</v>
      </c>
      <c r="AT866" s="21">
        <v>6.2050000000000001</v>
      </c>
      <c r="AU866" s="21">
        <v>0</v>
      </c>
      <c r="AV866" s="21">
        <v>0</v>
      </c>
      <c r="AW866" s="21">
        <v>0</v>
      </c>
      <c r="AX866" s="21">
        <v>0</v>
      </c>
      <c r="AY866" s="8">
        <v>0</v>
      </c>
    </row>
    <row r="867" spans="1:51" ht="15" customHeight="1" x14ac:dyDescent="0.25">
      <c r="A867" s="9">
        <v>743</v>
      </c>
      <c r="B867" s="13"/>
      <c r="C867" s="9" t="s">
        <v>169</v>
      </c>
      <c r="D867" s="9"/>
      <c r="E867" s="8"/>
      <c r="F867" s="9" t="s">
        <v>1633</v>
      </c>
      <c r="G867" s="79" t="s">
        <v>1687</v>
      </c>
      <c r="H867" s="9"/>
      <c r="I867" s="9" t="s">
        <v>38</v>
      </c>
      <c r="J867" s="9" t="s">
        <v>39</v>
      </c>
      <c r="K867" s="9">
        <v>1000</v>
      </c>
      <c r="L867" s="39"/>
      <c r="M867" s="7" t="s">
        <v>1</v>
      </c>
      <c r="N867" s="8"/>
      <c r="O867" s="40"/>
      <c r="P867" s="15"/>
      <c r="Q867" s="9" t="s">
        <v>264</v>
      </c>
      <c r="R867" s="9"/>
      <c r="S867" s="9"/>
      <c r="T867" s="9"/>
      <c r="U867" s="16" t="s">
        <v>105</v>
      </c>
      <c r="V867" s="9">
        <v>3856040</v>
      </c>
      <c r="W867" s="8" t="s">
        <v>1709</v>
      </c>
      <c r="X867" s="8"/>
      <c r="Y867" s="8"/>
      <c r="Z867" s="8"/>
      <c r="AA867" s="8"/>
      <c r="AB867" s="8"/>
      <c r="AC867" s="8" t="s">
        <v>222</v>
      </c>
      <c r="AD867" s="14" t="s">
        <v>223</v>
      </c>
      <c r="AE867" s="8" t="s">
        <v>260</v>
      </c>
      <c r="AF867" s="14">
        <v>0.43</v>
      </c>
      <c r="AG867" s="8">
        <v>900</v>
      </c>
      <c r="AH867" s="8"/>
      <c r="AI867" s="8"/>
      <c r="AJ867" s="8"/>
      <c r="AK867" s="127"/>
      <c r="AL867" s="103">
        <v>4.09</v>
      </c>
      <c r="AM867" s="8">
        <v>0</v>
      </c>
      <c r="AN867" s="21">
        <v>0</v>
      </c>
      <c r="AO867" s="21">
        <v>0</v>
      </c>
      <c r="AP867" s="21">
        <v>0</v>
      </c>
      <c r="AQ867" s="21">
        <v>0</v>
      </c>
      <c r="AR867" s="21">
        <v>0</v>
      </c>
      <c r="AS867" s="8">
        <v>4.09</v>
      </c>
      <c r="AT867" s="21">
        <v>4.09</v>
      </c>
      <c r="AU867" s="21">
        <v>0</v>
      </c>
      <c r="AV867" s="21">
        <v>0</v>
      </c>
      <c r="AW867" s="21">
        <v>0</v>
      </c>
      <c r="AX867" s="21">
        <v>0</v>
      </c>
      <c r="AY867" s="8">
        <v>0</v>
      </c>
    </row>
    <row r="868" spans="1:51" ht="15" customHeight="1" x14ac:dyDescent="0.25">
      <c r="A868" s="9">
        <v>743</v>
      </c>
      <c r="B868" s="13"/>
      <c r="C868" s="9" t="s">
        <v>169</v>
      </c>
      <c r="D868" s="9"/>
      <c r="E868" s="8"/>
      <c r="F868" s="9" t="s">
        <v>1634</v>
      </c>
      <c r="G868" s="79" t="s">
        <v>1687</v>
      </c>
      <c r="H868" s="9"/>
      <c r="I868" s="9" t="s">
        <v>38</v>
      </c>
      <c r="J868" s="9" t="s">
        <v>39</v>
      </c>
      <c r="K868" s="9">
        <v>1000</v>
      </c>
      <c r="L868" s="39"/>
      <c r="M868" s="7" t="s">
        <v>1</v>
      </c>
      <c r="N868" s="8"/>
      <c r="O868" s="40"/>
      <c r="P868" s="15"/>
      <c r="Q868" s="9" t="s">
        <v>264</v>
      </c>
      <c r="R868" s="9"/>
      <c r="S868" s="9"/>
      <c r="T868" s="9"/>
      <c r="U868" s="16" t="s">
        <v>105</v>
      </c>
      <c r="V868" s="9">
        <v>3856039</v>
      </c>
      <c r="W868" s="8" t="s">
        <v>1704</v>
      </c>
      <c r="X868" s="8"/>
      <c r="Y868" s="8"/>
      <c r="Z868" s="8"/>
      <c r="AA868" s="8"/>
      <c r="AB868" s="8"/>
      <c r="AC868" s="8" t="s">
        <v>222</v>
      </c>
      <c r="AD868" s="14" t="s">
        <v>223</v>
      </c>
      <c r="AE868" s="8" t="s">
        <v>260</v>
      </c>
      <c r="AF868" s="14">
        <v>0.38</v>
      </c>
      <c r="AG868" s="8">
        <v>1000</v>
      </c>
      <c r="AH868" s="8"/>
      <c r="AI868" s="8"/>
      <c r="AJ868" s="8"/>
      <c r="AK868" s="127"/>
      <c r="AL868" s="103">
        <v>16.684999999999999</v>
      </c>
      <c r="AM868" s="8">
        <v>94.525000000000006</v>
      </c>
      <c r="AN868" s="21">
        <v>0</v>
      </c>
      <c r="AO868" s="21">
        <v>94.525000000000006</v>
      </c>
      <c r="AP868" s="21">
        <v>0</v>
      </c>
      <c r="AQ868" s="21">
        <v>0</v>
      </c>
      <c r="AR868" s="21">
        <v>0</v>
      </c>
      <c r="AS868" s="8">
        <v>111.21000000000001</v>
      </c>
      <c r="AT868" s="21">
        <v>0</v>
      </c>
      <c r="AU868" s="21">
        <v>0</v>
      </c>
      <c r="AV868" s="21">
        <v>111.21000000000001</v>
      </c>
      <c r="AW868" s="21">
        <v>0</v>
      </c>
      <c r="AX868" s="21">
        <v>0</v>
      </c>
      <c r="AY868" s="8">
        <v>0</v>
      </c>
    </row>
    <row r="869" spans="1:51" ht="15" customHeight="1" x14ac:dyDescent="0.25">
      <c r="A869" s="9">
        <v>743</v>
      </c>
      <c r="B869" s="13"/>
      <c r="C869" s="9" t="s">
        <v>169</v>
      </c>
      <c r="D869" s="9"/>
      <c r="E869" s="8"/>
      <c r="F869" s="9" t="s">
        <v>1635</v>
      </c>
      <c r="G869" s="79" t="s">
        <v>1687</v>
      </c>
      <c r="H869" s="9"/>
      <c r="I869" s="9" t="s">
        <v>38</v>
      </c>
      <c r="J869" s="9" t="s">
        <v>39</v>
      </c>
      <c r="K869" s="9">
        <v>1000</v>
      </c>
      <c r="L869" s="39"/>
      <c r="M869" s="7" t="s">
        <v>1</v>
      </c>
      <c r="N869" s="8"/>
      <c r="O869" s="40"/>
      <c r="P869" s="15"/>
      <c r="Q869" s="9" t="s">
        <v>264</v>
      </c>
      <c r="R869" s="9"/>
      <c r="S869" s="9"/>
      <c r="T869" s="9"/>
      <c r="U869" s="16" t="s">
        <v>105</v>
      </c>
      <c r="V869" s="9">
        <v>3856039</v>
      </c>
      <c r="W869" s="8" t="s">
        <v>1704</v>
      </c>
      <c r="X869" s="8"/>
      <c r="Y869" s="8"/>
      <c r="Z869" s="8"/>
      <c r="AA869" s="8"/>
      <c r="AB869" s="8"/>
      <c r="AC869" s="8" t="s">
        <v>222</v>
      </c>
      <c r="AD869" s="14" t="s">
        <v>223</v>
      </c>
      <c r="AE869" s="8" t="s">
        <v>260</v>
      </c>
      <c r="AF869" s="14">
        <v>0.38</v>
      </c>
      <c r="AG869" s="8">
        <v>1000</v>
      </c>
      <c r="AH869" s="8"/>
      <c r="AI869" s="8"/>
      <c r="AJ869" s="8"/>
      <c r="AK869" s="127"/>
      <c r="AL869" s="103">
        <v>3.72</v>
      </c>
      <c r="AM869" s="8">
        <v>0</v>
      </c>
      <c r="AN869" s="21">
        <v>0</v>
      </c>
      <c r="AO869" s="21">
        <v>0</v>
      </c>
      <c r="AP869" s="21">
        <v>0</v>
      </c>
      <c r="AQ869" s="21">
        <v>0</v>
      </c>
      <c r="AR869" s="21">
        <v>0</v>
      </c>
      <c r="AS869" s="8">
        <v>3.72</v>
      </c>
      <c r="AT869" s="21">
        <v>3.72</v>
      </c>
      <c r="AU869" s="21">
        <v>0</v>
      </c>
      <c r="AV869" s="21">
        <v>0</v>
      </c>
      <c r="AW869" s="21">
        <v>0</v>
      </c>
      <c r="AX869" s="21">
        <v>0</v>
      </c>
      <c r="AY869" s="8">
        <v>0</v>
      </c>
    </row>
    <row r="870" spans="1:51" ht="15" customHeight="1" x14ac:dyDescent="0.25">
      <c r="A870" s="9">
        <v>742</v>
      </c>
      <c r="B870" s="13"/>
      <c r="C870" s="9" t="s">
        <v>169</v>
      </c>
      <c r="D870" s="9"/>
      <c r="E870" s="8"/>
      <c r="F870" s="9" t="s">
        <v>1636</v>
      </c>
      <c r="G870" s="79" t="s">
        <v>1687</v>
      </c>
      <c r="H870" s="9"/>
      <c r="I870" s="9" t="s">
        <v>25</v>
      </c>
      <c r="J870" s="9" t="s">
        <v>31</v>
      </c>
      <c r="K870" s="9">
        <v>2000</v>
      </c>
      <c r="L870" s="39"/>
      <c r="M870" s="7" t="s">
        <v>1</v>
      </c>
      <c r="N870" s="8"/>
      <c r="O870" s="40"/>
      <c r="P870" s="15"/>
      <c r="Q870" s="9" t="s">
        <v>1688</v>
      </c>
      <c r="R870" s="9"/>
      <c r="S870" s="9"/>
      <c r="T870" s="9"/>
      <c r="U870" s="16" t="s">
        <v>89</v>
      </c>
      <c r="V870" s="9">
        <v>3240818</v>
      </c>
      <c r="W870" s="8" t="s">
        <v>249</v>
      </c>
      <c r="X870" s="8"/>
      <c r="Y870" s="8"/>
      <c r="Z870" s="8"/>
      <c r="AA870" s="8"/>
      <c r="AB870" s="8"/>
      <c r="AC870" s="8" t="s">
        <v>210</v>
      </c>
      <c r="AD870" s="14" t="s">
        <v>218</v>
      </c>
      <c r="AE870" s="8" t="s">
        <v>250</v>
      </c>
      <c r="AF870" s="14">
        <v>0.9</v>
      </c>
      <c r="AG870" s="8">
        <v>1000</v>
      </c>
      <c r="AH870" s="8"/>
      <c r="AI870" s="8"/>
      <c r="AJ870" s="8"/>
      <c r="AK870" s="127"/>
      <c r="AL870" s="103">
        <v>2.68</v>
      </c>
      <c r="AM870" s="8">
        <v>0</v>
      </c>
      <c r="AN870" s="21">
        <v>0</v>
      </c>
      <c r="AO870" s="21">
        <v>0</v>
      </c>
      <c r="AP870" s="21">
        <v>0</v>
      </c>
      <c r="AQ870" s="21">
        <v>0</v>
      </c>
      <c r="AR870" s="21">
        <v>0</v>
      </c>
      <c r="AS870" s="8">
        <v>2.68</v>
      </c>
      <c r="AT870" s="21">
        <v>2.68</v>
      </c>
      <c r="AU870" s="21">
        <v>0</v>
      </c>
      <c r="AV870" s="21">
        <v>0</v>
      </c>
      <c r="AW870" s="21">
        <v>0</v>
      </c>
      <c r="AX870" s="21">
        <v>0</v>
      </c>
      <c r="AY870" s="8">
        <v>0</v>
      </c>
    </row>
    <row r="871" spans="1:51" ht="15" customHeight="1" x14ac:dyDescent="0.25">
      <c r="A871" s="9">
        <v>743</v>
      </c>
      <c r="B871" s="13"/>
      <c r="C871" s="9" t="s">
        <v>193</v>
      </c>
      <c r="D871" s="9"/>
      <c r="E871" s="8"/>
      <c r="F871" s="9" t="s">
        <v>1637</v>
      </c>
      <c r="G871" s="79" t="s">
        <v>1687</v>
      </c>
      <c r="H871" s="9"/>
      <c r="I871" s="9" t="s">
        <v>43</v>
      </c>
      <c r="J871" s="9" t="s">
        <v>45</v>
      </c>
      <c r="K871" s="9">
        <v>2000</v>
      </c>
      <c r="L871" s="39"/>
      <c r="M871" s="7" t="s">
        <v>1</v>
      </c>
      <c r="N871" s="8"/>
      <c r="O871" s="40"/>
      <c r="P871" s="15"/>
      <c r="Q871" s="9" t="s">
        <v>1688</v>
      </c>
      <c r="R871" s="9"/>
      <c r="S871" s="9"/>
      <c r="T871" s="9"/>
      <c r="U871" s="16" t="s">
        <v>67</v>
      </c>
      <c r="V871" s="9">
        <v>1854424</v>
      </c>
      <c r="W871" s="8" t="s">
        <v>319</v>
      </c>
      <c r="X871" s="8"/>
      <c r="Y871" s="8"/>
      <c r="Z871" s="8"/>
      <c r="AA871" s="8"/>
      <c r="AB871" s="8"/>
      <c r="AC871" s="8" t="s">
        <v>238</v>
      </c>
      <c r="AD871" s="14" t="s">
        <v>185</v>
      </c>
      <c r="AE871" s="8" t="s">
        <v>186</v>
      </c>
      <c r="AF871" s="14">
        <v>0.6</v>
      </c>
      <c r="AG871" s="8">
        <v>900</v>
      </c>
      <c r="AH871" s="8"/>
      <c r="AI871" s="8"/>
      <c r="AJ871" s="8"/>
      <c r="AK871" s="127"/>
      <c r="AL871" s="103">
        <v>9.5399999999999991</v>
      </c>
      <c r="AM871" s="8">
        <v>0</v>
      </c>
      <c r="AN871" s="21">
        <v>0</v>
      </c>
      <c r="AO871" s="21">
        <v>0</v>
      </c>
      <c r="AP871" s="21">
        <v>0</v>
      </c>
      <c r="AQ871" s="21">
        <v>0</v>
      </c>
      <c r="AR871" s="21">
        <v>0</v>
      </c>
      <c r="AS871" s="8">
        <v>9.5399999999999991</v>
      </c>
      <c r="AT871" s="21">
        <v>9.5399999999999991</v>
      </c>
      <c r="AU871" s="21">
        <v>0</v>
      </c>
      <c r="AV871" s="21">
        <v>0</v>
      </c>
      <c r="AW871" s="21">
        <v>0</v>
      </c>
      <c r="AX871" s="21">
        <v>0</v>
      </c>
      <c r="AY871" s="8">
        <v>0</v>
      </c>
    </row>
    <row r="872" spans="1:51" ht="15" customHeight="1" x14ac:dyDescent="0.25">
      <c r="A872" s="9">
        <v>744</v>
      </c>
      <c r="B872" s="13"/>
      <c r="C872" s="9" t="s">
        <v>169</v>
      </c>
      <c r="D872" s="9"/>
      <c r="E872" s="8"/>
      <c r="F872" s="9" t="s">
        <v>1494</v>
      </c>
      <c r="G872" s="79" t="s">
        <v>1687</v>
      </c>
      <c r="H872" s="9"/>
      <c r="I872" s="9" t="s">
        <v>48</v>
      </c>
      <c r="J872" s="9" t="s">
        <v>39</v>
      </c>
      <c r="K872" s="9">
        <v>1000</v>
      </c>
      <c r="L872" s="39"/>
      <c r="M872" s="7" t="s">
        <v>1</v>
      </c>
      <c r="N872" s="8"/>
      <c r="O872" s="40"/>
      <c r="P872" s="15"/>
      <c r="Q872" s="9" t="s">
        <v>264</v>
      </c>
      <c r="R872" s="9"/>
      <c r="S872" s="9"/>
      <c r="T872" s="9"/>
      <c r="U872" s="16" t="s">
        <v>133</v>
      </c>
      <c r="V872" s="9">
        <v>1640840</v>
      </c>
      <c r="W872" s="8" t="s">
        <v>404</v>
      </c>
      <c r="X872" s="8"/>
      <c r="Y872" s="8"/>
      <c r="Z872" s="8"/>
      <c r="AA872" s="8"/>
      <c r="AB872" s="8"/>
      <c r="AC872" s="8" t="s">
        <v>228</v>
      </c>
      <c r="AD872" s="14" t="s">
        <v>229</v>
      </c>
      <c r="AE872" s="8" t="s">
        <v>342</v>
      </c>
      <c r="AF872" s="14">
        <v>0.45</v>
      </c>
      <c r="AG872" s="8">
        <v>1220</v>
      </c>
      <c r="AH872" s="8"/>
      <c r="AI872" s="8"/>
      <c r="AJ872" s="8"/>
      <c r="AK872" s="127"/>
      <c r="AL872" s="103">
        <v>4.42</v>
      </c>
      <c r="AM872" s="8">
        <v>0</v>
      </c>
      <c r="AN872" s="21">
        <v>0</v>
      </c>
      <c r="AO872" s="21">
        <v>0</v>
      </c>
      <c r="AP872" s="21">
        <v>0</v>
      </c>
      <c r="AQ872" s="21">
        <v>0</v>
      </c>
      <c r="AR872" s="21">
        <v>0</v>
      </c>
      <c r="AS872" s="8">
        <v>4.42</v>
      </c>
      <c r="AT872" s="21">
        <v>4.42</v>
      </c>
      <c r="AU872" s="21">
        <v>0</v>
      </c>
      <c r="AV872" s="21">
        <v>0</v>
      </c>
      <c r="AW872" s="21">
        <v>0</v>
      </c>
      <c r="AX872" s="21">
        <v>0</v>
      </c>
      <c r="AY872" s="8">
        <v>0</v>
      </c>
    </row>
    <row r="873" spans="1:51" ht="15" customHeight="1" x14ac:dyDescent="0.25">
      <c r="A873" s="9">
        <v>743</v>
      </c>
      <c r="B873" s="13"/>
      <c r="C873" s="9" t="s">
        <v>1686</v>
      </c>
      <c r="D873" s="9"/>
      <c r="E873" s="8"/>
      <c r="F873" s="9" t="s">
        <v>1638</v>
      </c>
      <c r="G873" s="79" t="s">
        <v>1687</v>
      </c>
      <c r="H873" s="9"/>
      <c r="I873" s="9" t="s">
        <v>38</v>
      </c>
      <c r="J873" s="9" t="s">
        <v>39</v>
      </c>
      <c r="K873" s="9">
        <v>1000</v>
      </c>
      <c r="L873" s="39"/>
      <c r="M873" s="7" t="s">
        <v>1</v>
      </c>
      <c r="N873" s="8"/>
      <c r="O873" s="40"/>
      <c r="P873" s="15"/>
      <c r="Q873" s="9" t="s">
        <v>264</v>
      </c>
      <c r="R873" s="9"/>
      <c r="S873" s="9"/>
      <c r="T873" s="9"/>
      <c r="U873" s="16" t="s">
        <v>1731</v>
      </c>
      <c r="V873" s="9">
        <v>3239573</v>
      </c>
      <c r="W873" s="8" t="s">
        <v>429</v>
      </c>
      <c r="X873" s="8"/>
      <c r="Y873" s="8"/>
      <c r="Z873" s="8"/>
      <c r="AA873" s="8"/>
      <c r="AB873" s="8"/>
      <c r="AC873" s="8" t="s">
        <v>222</v>
      </c>
      <c r="AD873" s="14" t="s">
        <v>223</v>
      </c>
      <c r="AE873" s="8" t="s">
        <v>224</v>
      </c>
      <c r="AF873" s="14">
        <v>0.42</v>
      </c>
      <c r="AG873" s="8">
        <v>1220</v>
      </c>
      <c r="AH873" s="8"/>
      <c r="AI873" s="8"/>
      <c r="AJ873" s="8"/>
      <c r="AK873" s="127"/>
      <c r="AL873" s="103">
        <v>5.04</v>
      </c>
      <c r="AM873" s="8">
        <v>0</v>
      </c>
      <c r="AN873" s="21">
        <v>0</v>
      </c>
      <c r="AO873" s="21">
        <v>0</v>
      </c>
      <c r="AP873" s="21">
        <v>0</v>
      </c>
      <c r="AQ873" s="21">
        <v>0</v>
      </c>
      <c r="AR873" s="21">
        <v>0</v>
      </c>
      <c r="AS873" s="8">
        <v>5.04</v>
      </c>
      <c r="AT873" s="21">
        <v>5.04</v>
      </c>
      <c r="AU873" s="21">
        <v>0</v>
      </c>
      <c r="AV873" s="21">
        <v>0</v>
      </c>
      <c r="AW873" s="21">
        <v>0</v>
      </c>
      <c r="AX873" s="21">
        <v>0</v>
      </c>
      <c r="AY873" s="8">
        <v>0</v>
      </c>
    </row>
    <row r="874" spans="1:51" ht="15" customHeight="1" x14ac:dyDescent="0.25">
      <c r="A874" s="9">
        <v>743</v>
      </c>
      <c r="B874" s="13"/>
      <c r="C874" s="9" t="s">
        <v>169</v>
      </c>
      <c r="D874" s="9"/>
      <c r="E874" s="8"/>
      <c r="F874" s="9" t="s">
        <v>1536</v>
      </c>
      <c r="G874" s="79" t="s">
        <v>1687</v>
      </c>
      <c r="H874" s="9"/>
      <c r="I874" s="9" t="s">
        <v>38</v>
      </c>
      <c r="J874" s="9" t="s">
        <v>39</v>
      </c>
      <c r="K874" s="9">
        <v>1000</v>
      </c>
      <c r="L874" s="39"/>
      <c r="M874" s="7" t="s">
        <v>1</v>
      </c>
      <c r="N874" s="8"/>
      <c r="O874" s="40"/>
      <c r="P874" s="15"/>
      <c r="Q874" s="9" t="s">
        <v>264</v>
      </c>
      <c r="R874" s="9"/>
      <c r="S874" s="9"/>
      <c r="T874" s="9"/>
      <c r="U874" s="16" t="s">
        <v>105</v>
      </c>
      <c r="V874" s="9">
        <v>2193752</v>
      </c>
      <c r="W874" s="8" t="s">
        <v>1280</v>
      </c>
      <c r="X874" s="8"/>
      <c r="Y874" s="8"/>
      <c r="Z874" s="8"/>
      <c r="AA874" s="8"/>
      <c r="AB874" s="8"/>
      <c r="AC874" s="8" t="s">
        <v>222</v>
      </c>
      <c r="AD874" s="14" t="s">
        <v>223</v>
      </c>
      <c r="AE874" s="8" t="s">
        <v>224</v>
      </c>
      <c r="AF874" s="14">
        <v>0.75</v>
      </c>
      <c r="AG874" s="8">
        <v>1220</v>
      </c>
      <c r="AH874" s="8"/>
      <c r="AI874" s="8"/>
      <c r="AJ874" s="8"/>
      <c r="AK874" s="127"/>
      <c r="AL874" s="103">
        <v>11.87</v>
      </c>
      <c r="AM874" s="8">
        <v>0</v>
      </c>
      <c r="AN874" s="21">
        <v>0</v>
      </c>
      <c r="AO874" s="21">
        <v>0</v>
      </c>
      <c r="AP874" s="21">
        <v>0</v>
      </c>
      <c r="AQ874" s="21">
        <v>0</v>
      </c>
      <c r="AR874" s="21">
        <v>0</v>
      </c>
      <c r="AS874" s="8">
        <v>11.87</v>
      </c>
      <c r="AT874" s="21">
        <v>11.87</v>
      </c>
      <c r="AU874" s="21">
        <v>0</v>
      </c>
      <c r="AV874" s="21">
        <v>0</v>
      </c>
      <c r="AW874" s="21">
        <v>0</v>
      </c>
      <c r="AX874" s="21">
        <v>0</v>
      </c>
      <c r="AY874" s="8">
        <v>0</v>
      </c>
    </row>
    <row r="875" spans="1:51" ht="15" customHeight="1" x14ac:dyDescent="0.25">
      <c r="A875" s="9">
        <v>743</v>
      </c>
      <c r="B875" s="13"/>
      <c r="C875" s="9" t="s">
        <v>169</v>
      </c>
      <c r="D875" s="9"/>
      <c r="E875" s="8"/>
      <c r="F875" s="9" t="s">
        <v>1537</v>
      </c>
      <c r="G875" s="79" t="s">
        <v>1687</v>
      </c>
      <c r="H875" s="9"/>
      <c r="I875" s="9" t="s">
        <v>43</v>
      </c>
      <c r="J875" s="9" t="s">
        <v>45</v>
      </c>
      <c r="K875" s="9">
        <v>2000</v>
      </c>
      <c r="L875" s="39"/>
      <c r="M875" s="7" t="s">
        <v>1</v>
      </c>
      <c r="N875" s="8"/>
      <c r="O875" s="40"/>
      <c r="P875" s="15"/>
      <c r="Q875" s="9" t="s">
        <v>1688</v>
      </c>
      <c r="R875" s="9"/>
      <c r="S875" s="9"/>
      <c r="T875" s="9"/>
      <c r="U875" s="16" t="s">
        <v>97</v>
      </c>
      <c r="V875" s="9">
        <v>1178439</v>
      </c>
      <c r="W875" s="8" t="s">
        <v>446</v>
      </c>
      <c r="X875" s="8"/>
      <c r="Y875" s="8"/>
      <c r="Z875" s="8"/>
      <c r="AA875" s="8"/>
      <c r="AB875" s="8"/>
      <c r="AC875" s="8" t="s">
        <v>238</v>
      </c>
      <c r="AD875" s="14" t="s">
        <v>185</v>
      </c>
      <c r="AE875" s="8" t="s">
        <v>186</v>
      </c>
      <c r="AF875" s="14">
        <v>0.4</v>
      </c>
      <c r="AG875" s="8">
        <v>900</v>
      </c>
      <c r="AH875" s="8"/>
      <c r="AI875" s="8"/>
      <c r="AJ875" s="8"/>
      <c r="AK875" s="127"/>
      <c r="AL875" s="103">
        <v>6.09</v>
      </c>
      <c r="AM875" s="8">
        <v>0</v>
      </c>
      <c r="AN875" s="21">
        <v>0</v>
      </c>
      <c r="AO875" s="21">
        <v>0</v>
      </c>
      <c r="AP875" s="21">
        <v>0</v>
      </c>
      <c r="AQ875" s="21">
        <v>0</v>
      </c>
      <c r="AR875" s="21">
        <v>0</v>
      </c>
      <c r="AS875" s="8">
        <v>6.09</v>
      </c>
      <c r="AT875" s="21">
        <v>6.09</v>
      </c>
      <c r="AU875" s="21">
        <v>0</v>
      </c>
      <c r="AV875" s="21">
        <v>0</v>
      </c>
      <c r="AW875" s="21">
        <v>0</v>
      </c>
      <c r="AX875" s="21">
        <v>0</v>
      </c>
      <c r="AY875" s="8">
        <v>0</v>
      </c>
    </row>
    <row r="876" spans="1:51" ht="15" customHeight="1" x14ac:dyDescent="0.25">
      <c r="A876" s="9">
        <v>742</v>
      </c>
      <c r="B876" s="13"/>
      <c r="C876" s="9" t="s">
        <v>169</v>
      </c>
      <c r="D876" s="9"/>
      <c r="E876" s="8"/>
      <c r="F876" s="9" t="s">
        <v>1501</v>
      </c>
      <c r="G876" s="79" t="s">
        <v>1687</v>
      </c>
      <c r="H876" s="9"/>
      <c r="I876" s="9" t="s">
        <v>25</v>
      </c>
      <c r="J876" s="9" t="s">
        <v>31</v>
      </c>
      <c r="K876" s="9">
        <v>2000</v>
      </c>
      <c r="L876" s="39"/>
      <c r="M876" s="7" t="s">
        <v>1</v>
      </c>
      <c r="N876" s="8"/>
      <c r="O876" s="40"/>
      <c r="P876" s="15"/>
      <c r="Q876" s="9" t="s">
        <v>1688</v>
      </c>
      <c r="R876" s="9"/>
      <c r="S876" s="9"/>
      <c r="T876" s="9"/>
      <c r="U876" s="16" t="s">
        <v>89</v>
      </c>
      <c r="V876" s="9">
        <v>3240818</v>
      </c>
      <c r="W876" s="8" t="s">
        <v>249</v>
      </c>
      <c r="X876" s="8"/>
      <c r="Y876" s="8"/>
      <c r="Z876" s="8"/>
      <c r="AA876" s="8"/>
      <c r="AB876" s="8"/>
      <c r="AC876" s="8" t="s">
        <v>210</v>
      </c>
      <c r="AD876" s="14" t="s">
        <v>218</v>
      </c>
      <c r="AE876" s="8" t="s">
        <v>250</v>
      </c>
      <c r="AF876" s="14">
        <v>0.9</v>
      </c>
      <c r="AG876" s="8">
        <v>1000</v>
      </c>
      <c r="AH876" s="8"/>
      <c r="AI876" s="8"/>
      <c r="AJ876" s="8"/>
      <c r="AK876" s="127"/>
      <c r="AL876" s="103">
        <v>2.9750000000000001</v>
      </c>
      <c r="AM876" s="8">
        <v>0</v>
      </c>
      <c r="AN876" s="21">
        <v>0</v>
      </c>
      <c r="AO876" s="21">
        <v>0</v>
      </c>
      <c r="AP876" s="21">
        <v>0</v>
      </c>
      <c r="AQ876" s="21">
        <v>0</v>
      </c>
      <c r="AR876" s="21">
        <v>0</v>
      </c>
      <c r="AS876" s="8">
        <v>2.9750000000000001</v>
      </c>
      <c r="AT876" s="21">
        <v>2.9750000000000001</v>
      </c>
      <c r="AU876" s="21">
        <v>0</v>
      </c>
      <c r="AV876" s="21">
        <v>0</v>
      </c>
      <c r="AW876" s="21">
        <v>0</v>
      </c>
      <c r="AX876" s="21">
        <v>0</v>
      </c>
      <c r="AY876" s="8">
        <v>0</v>
      </c>
    </row>
    <row r="877" spans="1:51" ht="15" customHeight="1" x14ac:dyDescent="0.25">
      <c r="A877" s="9">
        <v>744</v>
      </c>
      <c r="B877" s="13"/>
      <c r="C877" s="9" t="s">
        <v>1686</v>
      </c>
      <c r="D877" s="9"/>
      <c r="E877" s="8"/>
      <c r="F877" s="9" t="s">
        <v>1639</v>
      </c>
      <c r="G877" s="79" t="s">
        <v>1687</v>
      </c>
      <c r="H877" s="9"/>
      <c r="I877" s="9" t="s">
        <v>48</v>
      </c>
      <c r="J877" s="9" t="s">
        <v>39</v>
      </c>
      <c r="K877" s="9">
        <v>1000</v>
      </c>
      <c r="L877" s="39"/>
      <c r="M877" s="7" t="s">
        <v>1</v>
      </c>
      <c r="N877" s="8"/>
      <c r="O877" s="40"/>
      <c r="P877" s="15"/>
      <c r="Q877" s="9" t="s">
        <v>264</v>
      </c>
      <c r="R877" s="9"/>
      <c r="S877" s="9"/>
      <c r="T877" s="9"/>
      <c r="U877" s="16" t="s">
        <v>105</v>
      </c>
      <c r="V877" s="9">
        <v>3837004</v>
      </c>
      <c r="W877" s="8" t="s">
        <v>1710</v>
      </c>
      <c r="X877" s="8"/>
      <c r="Y877" s="8"/>
      <c r="Z877" s="8"/>
      <c r="AA877" s="8"/>
      <c r="AB877" s="8"/>
      <c r="AC877" s="8" t="s">
        <v>228</v>
      </c>
      <c r="AD877" s="14" t="s">
        <v>229</v>
      </c>
      <c r="AE877" s="8" t="s">
        <v>1727</v>
      </c>
      <c r="AF877" s="14">
        <v>0.4</v>
      </c>
      <c r="AG877" s="8">
        <v>1220</v>
      </c>
      <c r="AH877" s="8"/>
      <c r="AI877" s="8"/>
      <c r="AJ877" s="8"/>
      <c r="AK877" s="127"/>
      <c r="AL877" s="103">
        <v>4.585</v>
      </c>
      <c r="AM877" s="8">
        <v>0</v>
      </c>
      <c r="AN877" s="21">
        <v>0</v>
      </c>
      <c r="AO877" s="21">
        <v>0</v>
      </c>
      <c r="AP877" s="21">
        <v>0</v>
      </c>
      <c r="AQ877" s="21">
        <v>0</v>
      </c>
      <c r="AR877" s="21">
        <v>0</v>
      </c>
      <c r="AS877" s="8">
        <v>4.585</v>
      </c>
      <c r="AT877" s="21">
        <v>4.585</v>
      </c>
      <c r="AU877" s="21">
        <v>0</v>
      </c>
      <c r="AV877" s="21">
        <v>0</v>
      </c>
      <c r="AW877" s="21">
        <v>0</v>
      </c>
      <c r="AX877" s="21">
        <v>0</v>
      </c>
      <c r="AY877" s="8">
        <v>0</v>
      </c>
    </row>
    <row r="878" spans="1:51" ht="15" customHeight="1" x14ac:dyDescent="0.25">
      <c r="A878" s="9">
        <v>743</v>
      </c>
      <c r="B878" s="13"/>
      <c r="C878" s="9" t="s">
        <v>169</v>
      </c>
      <c r="D878" s="9"/>
      <c r="E878" s="8"/>
      <c r="F878" s="9" t="s">
        <v>1495</v>
      </c>
      <c r="G878" s="79" t="s">
        <v>1687</v>
      </c>
      <c r="H878" s="9"/>
      <c r="I878" s="9" t="s">
        <v>43</v>
      </c>
      <c r="J878" s="9" t="s">
        <v>46</v>
      </c>
      <c r="K878" s="9">
        <v>2000</v>
      </c>
      <c r="L878" s="39"/>
      <c r="M878" s="7" t="s">
        <v>1</v>
      </c>
      <c r="N878" s="8"/>
      <c r="O878" s="40"/>
      <c r="P878" s="15"/>
      <c r="Q878" s="9" t="s">
        <v>1688</v>
      </c>
      <c r="R878" s="9"/>
      <c r="S878" s="9"/>
      <c r="T878" s="9"/>
      <c r="U878" s="16" t="s">
        <v>91</v>
      </c>
      <c r="V878" s="9">
        <v>3774103</v>
      </c>
      <c r="W878" s="8" t="s">
        <v>610</v>
      </c>
      <c r="X878" s="8"/>
      <c r="Y878" s="8"/>
      <c r="Z878" s="8"/>
      <c r="AA878" s="8"/>
      <c r="AB878" s="8"/>
      <c r="AC878" s="8" t="s">
        <v>269</v>
      </c>
      <c r="AD878" s="14" t="s">
        <v>185</v>
      </c>
      <c r="AE878" s="8" t="s">
        <v>165</v>
      </c>
      <c r="AF878" s="14">
        <v>0.45</v>
      </c>
      <c r="AG878" s="8">
        <v>1350</v>
      </c>
      <c r="AH878" s="8"/>
      <c r="AI878" s="8"/>
      <c r="AJ878" s="8"/>
      <c r="AK878" s="127"/>
      <c r="AL878" s="103">
        <v>4.58</v>
      </c>
      <c r="AM878" s="8">
        <v>0</v>
      </c>
      <c r="AN878" s="21">
        <v>0</v>
      </c>
      <c r="AO878" s="21">
        <v>0</v>
      </c>
      <c r="AP878" s="21">
        <v>0</v>
      </c>
      <c r="AQ878" s="21">
        <v>0</v>
      </c>
      <c r="AR878" s="21">
        <v>0</v>
      </c>
      <c r="AS878" s="8">
        <v>4.58</v>
      </c>
      <c r="AT878" s="21">
        <v>4.58</v>
      </c>
      <c r="AU878" s="21">
        <v>0</v>
      </c>
      <c r="AV878" s="21">
        <v>0</v>
      </c>
      <c r="AW878" s="21">
        <v>0</v>
      </c>
      <c r="AX878" s="21">
        <v>0</v>
      </c>
      <c r="AY878" s="8">
        <v>0</v>
      </c>
    </row>
    <row r="879" spans="1:51" ht="15" customHeight="1" x14ac:dyDescent="0.25">
      <c r="A879" s="9">
        <v>742</v>
      </c>
      <c r="B879" s="13"/>
      <c r="C879" s="9" t="s">
        <v>169</v>
      </c>
      <c r="D879" s="9"/>
      <c r="E879" s="8"/>
      <c r="F879" s="9" t="s">
        <v>1551</v>
      </c>
      <c r="G879" s="79" t="s">
        <v>1687</v>
      </c>
      <c r="H879" s="9"/>
      <c r="I879" s="9" t="s">
        <v>25</v>
      </c>
      <c r="J879" s="9" t="s">
        <v>32</v>
      </c>
      <c r="K879" s="9">
        <v>2000</v>
      </c>
      <c r="L879" s="39"/>
      <c r="M879" s="7" t="s">
        <v>1</v>
      </c>
      <c r="N879" s="8"/>
      <c r="O879" s="40"/>
      <c r="P879" s="15"/>
      <c r="Q879" s="9" t="s">
        <v>1691</v>
      </c>
      <c r="R879" s="9"/>
      <c r="S879" s="9"/>
      <c r="T879" s="9"/>
      <c r="U879" s="16" t="s">
        <v>70</v>
      </c>
      <c r="V879" s="9">
        <v>2420609</v>
      </c>
      <c r="W879" s="8" t="s">
        <v>1711</v>
      </c>
      <c r="X879" s="8"/>
      <c r="Y879" s="8"/>
      <c r="Z879" s="8"/>
      <c r="AA879" s="8"/>
      <c r="AB879" s="8"/>
      <c r="AC879" s="8" t="s">
        <v>190</v>
      </c>
      <c r="AD879" s="14" t="s">
        <v>191</v>
      </c>
      <c r="AE879" s="8" t="s">
        <v>530</v>
      </c>
      <c r="AF879" s="14">
        <v>1.9</v>
      </c>
      <c r="AG879" s="8">
        <v>1250</v>
      </c>
      <c r="AH879" s="8"/>
      <c r="AI879" s="8"/>
      <c r="AJ879" s="8"/>
      <c r="AK879" s="127"/>
      <c r="AL879" s="103">
        <v>26.425000000000001</v>
      </c>
      <c r="AM879" s="8">
        <v>0</v>
      </c>
      <c r="AN879" s="21">
        <v>0</v>
      </c>
      <c r="AO879" s="21">
        <v>0</v>
      </c>
      <c r="AP879" s="21">
        <v>0</v>
      </c>
      <c r="AQ879" s="21">
        <v>0</v>
      </c>
      <c r="AR879" s="21">
        <v>0</v>
      </c>
      <c r="AS879" s="8">
        <v>26.425000000000001</v>
      </c>
      <c r="AT879" s="21">
        <v>26.425000000000001</v>
      </c>
      <c r="AU879" s="21">
        <v>0</v>
      </c>
      <c r="AV879" s="21">
        <v>0</v>
      </c>
      <c r="AW879" s="21">
        <v>0</v>
      </c>
      <c r="AX879" s="21">
        <v>0</v>
      </c>
      <c r="AY879" s="8">
        <v>0</v>
      </c>
    </row>
    <row r="880" spans="1:51" ht="15" customHeight="1" x14ac:dyDescent="0.25">
      <c r="A880" s="9">
        <v>744</v>
      </c>
      <c r="B880" s="13"/>
      <c r="C880" s="9" t="s">
        <v>169</v>
      </c>
      <c r="D880" s="9"/>
      <c r="E880" s="8"/>
      <c r="F880" s="9" t="s">
        <v>1545</v>
      </c>
      <c r="G880" s="79" t="s">
        <v>1687</v>
      </c>
      <c r="H880" s="9"/>
      <c r="I880" s="9" t="s">
        <v>48</v>
      </c>
      <c r="J880" s="9" t="s">
        <v>39</v>
      </c>
      <c r="K880" s="9">
        <v>1000</v>
      </c>
      <c r="L880" s="39"/>
      <c r="M880" s="7" t="s">
        <v>1</v>
      </c>
      <c r="N880" s="8"/>
      <c r="O880" s="40"/>
      <c r="P880" s="15"/>
      <c r="Q880" s="9" t="s">
        <v>264</v>
      </c>
      <c r="R880" s="9"/>
      <c r="S880" s="9"/>
      <c r="T880" s="9"/>
      <c r="U880" s="16" t="s">
        <v>133</v>
      </c>
      <c r="V880" s="9">
        <v>3522241</v>
      </c>
      <c r="W880" s="8" t="s">
        <v>348</v>
      </c>
      <c r="X880" s="8"/>
      <c r="Y880" s="8"/>
      <c r="Z880" s="8"/>
      <c r="AA880" s="8"/>
      <c r="AB880" s="8"/>
      <c r="AC880" s="8" t="s">
        <v>228</v>
      </c>
      <c r="AD880" s="14" t="s">
        <v>229</v>
      </c>
      <c r="AE880" s="8" t="s">
        <v>232</v>
      </c>
      <c r="AF880" s="14">
        <v>0.43</v>
      </c>
      <c r="AG880" s="8">
        <v>1220</v>
      </c>
      <c r="AH880" s="8"/>
      <c r="AI880" s="8"/>
      <c r="AJ880" s="8"/>
      <c r="AK880" s="127"/>
      <c r="AL880" s="103">
        <v>2.4900000000000002</v>
      </c>
      <c r="AM880" s="8">
        <v>0</v>
      </c>
      <c r="AN880" s="21">
        <v>0</v>
      </c>
      <c r="AO880" s="21">
        <v>0</v>
      </c>
      <c r="AP880" s="21">
        <v>0</v>
      </c>
      <c r="AQ880" s="21">
        <v>0</v>
      </c>
      <c r="AR880" s="21">
        <v>0</v>
      </c>
      <c r="AS880" s="8">
        <v>2.4900000000000002</v>
      </c>
      <c r="AT880" s="21">
        <v>2.4900000000000002</v>
      </c>
      <c r="AU880" s="21">
        <v>0</v>
      </c>
      <c r="AV880" s="21">
        <v>0</v>
      </c>
      <c r="AW880" s="21">
        <v>0</v>
      </c>
      <c r="AX880" s="21">
        <v>0</v>
      </c>
      <c r="AY880" s="8">
        <v>0</v>
      </c>
    </row>
    <row r="881" spans="1:51" ht="15" customHeight="1" x14ac:dyDescent="0.25">
      <c r="A881" s="9">
        <v>744</v>
      </c>
      <c r="B881" s="13"/>
      <c r="C881" s="9" t="s">
        <v>169</v>
      </c>
      <c r="D881" s="9"/>
      <c r="E881" s="8"/>
      <c r="F881" s="9" t="s">
        <v>1496</v>
      </c>
      <c r="G881" s="79" t="s">
        <v>1687</v>
      </c>
      <c r="H881" s="9"/>
      <c r="I881" s="9" t="s">
        <v>48</v>
      </c>
      <c r="J881" s="9" t="s">
        <v>39</v>
      </c>
      <c r="K881" s="9">
        <v>1000</v>
      </c>
      <c r="L881" s="39"/>
      <c r="M881" s="7" t="s">
        <v>1</v>
      </c>
      <c r="N881" s="8"/>
      <c r="O881" s="40"/>
      <c r="P881" s="15"/>
      <c r="Q881" s="9" t="s">
        <v>264</v>
      </c>
      <c r="R881" s="9"/>
      <c r="S881" s="9"/>
      <c r="T881" s="9"/>
      <c r="U881" s="16" t="s">
        <v>133</v>
      </c>
      <c r="V881" s="9">
        <v>3522241</v>
      </c>
      <c r="W881" s="8" t="s">
        <v>348</v>
      </c>
      <c r="X881" s="8"/>
      <c r="Y881" s="8"/>
      <c r="Z881" s="8"/>
      <c r="AA881" s="8"/>
      <c r="AB881" s="8"/>
      <c r="AC881" s="8" t="s">
        <v>228</v>
      </c>
      <c r="AD881" s="14" t="s">
        <v>229</v>
      </c>
      <c r="AE881" s="8" t="s">
        <v>232</v>
      </c>
      <c r="AF881" s="14">
        <v>0.43</v>
      </c>
      <c r="AG881" s="8">
        <v>1220</v>
      </c>
      <c r="AH881" s="8"/>
      <c r="AI881" s="8"/>
      <c r="AJ881" s="8"/>
      <c r="AK881" s="127"/>
      <c r="AL881" s="103">
        <v>2.31</v>
      </c>
      <c r="AM881" s="8">
        <v>0</v>
      </c>
      <c r="AN881" s="21">
        <v>0</v>
      </c>
      <c r="AO881" s="21">
        <v>0</v>
      </c>
      <c r="AP881" s="21">
        <v>0</v>
      </c>
      <c r="AQ881" s="21">
        <v>0</v>
      </c>
      <c r="AR881" s="21">
        <v>0</v>
      </c>
      <c r="AS881" s="8">
        <v>2.31</v>
      </c>
      <c r="AT881" s="21">
        <v>2.31</v>
      </c>
      <c r="AU881" s="21">
        <v>0</v>
      </c>
      <c r="AV881" s="21">
        <v>0</v>
      </c>
      <c r="AW881" s="21">
        <v>0</v>
      </c>
      <c r="AX881" s="21">
        <v>0</v>
      </c>
      <c r="AY881" s="8">
        <v>0</v>
      </c>
    </row>
    <row r="882" spans="1:51" ht="15" customHeight="1" x14ac:dyDescent="0.25">
      <c r="A882" s="9">
        <v>744</v>
      </c>
      <c r="B882" s="13"/>
      <c r="C882" s="9" t="s">
        <v>169</v>
      </c>
      <c r="D882" s="9"/>
      <c r="E882" s="8"/>
      <c r="F882" s="9" t="s">
        <v>1546</v>
      </c>
      <c r="G882" s="79" t="s">
        <v>1687</v>
      </c>
      <c r="H882" s="9"/>
      <c r="I882" s="9" t="s">
        <v>48</v>
      </c>
      <c r="J882" s="9" t="s">
        <v>39</v>
      </c>
      <c r="K882" s="9">
        <v>1000</v>
      </c>
      <c r="L882" s="39"/>
      <c r="M882" s="7" t="s">
        <v>1</v>
      </c>
      <c r="N882" s="8"/>
      <c r="O882" s="40"/>
      <c r="P882" s="15"/>
      <c r="Q882" s="9" t="s">
        <v>264</v>
      </c>
      <c r="R882" s="9"/>
      <c r="S882" s="9"/>
      <c r="T882" s="9"/>
      <c r="U882" s="16" t="s">
        <v>133</v>
      </c>
      <c r="V882" s="9">
        <v>3883538</v>
      </c>
      <c r="W882" s="8" t="s">
        <v>697</v>
      </c>
      <c r="X882" s="8"/>
      <c r="Y882" s="8"/>
      <c r="Z882" s="8"/>
      <c r="AA882" s="8"/>
      <c r="AB882" s="8"/>
      <c r="AC882" s="8" t="s">
        <v>228</v>
      </c>
      <c r="AD882" s="14" t="s">
        <v>229</v>
      </c>
      <c r="AE882" s="8" t="s">
        <v>230</v>
      </c>
      <c r="AF882" s="14">
        <v>0.3</v>
      </c>
      <c r="AG882" s="8">
        <v>1220</v>
      </c>
      <c r="AH882" s="8"/>
      <c r="AI882" s="8"/>
      <c r="AJ882" s="8"/>
      <c r="AK882" s="127"/>
      <c r="AL882" s="103">
        <v>9.9649999999999999</v>
      </c>
      <c r="AM882" s="8">
        <v>0.255</v>
      </c>
      <c r="AN882" s="21">
        <v>0</v>
      </c>
      <c r="AO882" s="21">
        <v>0</v>
      </c>
      <c r="AP882" s="21">
        <v>0.255</v>
      </c>
      <c r="AQ882" s="21">
        <v>0</v>
      </c>
      <c r="AR882" s="21">
        <v>0</v>
      </c>
      <c r="AS882" s="8">
        <v>9.9649999999999999</v>
      </c>
      <c r="AT882" s="21">
        <v>9.9649999999999999</v>
      </c>
      <c r="AU882" s="21">
        <v>0</v>
      </c>
      <c r="AV882" s="21">
        <v>0</v>
      </c>
      <c r="AW882" s="21">
        <v>0</v>
      </c>
      <c r="AX882" s="21">
        <v>0</v>
      </c>
      <c r="AY882" s="8">
        <v>0.25500000000000078</v>
      </c>
    </row>
    <row r="883" spans="1:51" ht="15" customHeight="1" x14ac:dyDescent="0.25">
      <c r="A883" s="9">
        <v>742</v>
      </c>
      <c r="B883" s="13"/>
      <c r="C883" s="9" t="s">
        <v>169</v>
      </c>
      <c r="D883" s="9"/>
      <c r="E883" s="8"/>
      <c r="F883" s="9" t="s">
        <v>1549</v>
      </c>
      <c r="G883" s="79" t="s">
        <v>1687</v>
      </c>
      <c r="H883" s="9"/>
      <c r="I883" s="9" t="s">
        <v>25</v>
      </c>
      <c r="J883" s="9" t="s">
        <v>31</v>
      </c>
      <c r="K883" s="9">
        <v>2000</v>
      </c>
      <c r="L883" s="39"/>
      <c r="M883" s="7" t="s">
        <v>1</v>
      </c>
      <c r="N883" s="8"/>
      <c r="O883" s="40"/>
      <c r="P883" s="15"/>
      <c r="Q883" s="9" t="s">
        <v>1690</v>
      </c>
      <c r="R883" s="9"/>
      <c r="S883" s="9"/>
      <c r="T883" s="9"/>
      <c r="U883" s="16" t="s">
        <v>100</v>
      </c>
      <c r="V883" s="9">
        <v>3239568</v>
      </c>
      <c r="W883" s="8" t="s">
        <v>459</v>
      </c>
      <c r="X883" s="8"/>
      <c r="Y883" s="8"/>
      <c r="Z883" s="8"/>
      <c r="AA883" s="8"/>
      <c r="AB883" s="8"/>
      <c r="AC883" s="8" t="s">
        <v>210</v>
      </c>
      <c r="AD883" s="14" t="s">
        <v>211</v>
      </c>
      <c r="AE883" s="8" t="s">
        <v>212</v>
      </c>
      <c r="AF883" s="14">
        <v>0.45</v>
      </c>
      <c r="AG883" s="8">
        <v>1250</v>
      </c>
      <c r="AH883" s="8"/>
      <c r="AI883" s="8"/>
      <c r="AJ883" s="8"/>
      <c r="AK883" s="127"/>
      <c r="AL883" s="103">
        <v>2.87</v>
      </c>
      <c r="AM883" s="8">
        <v>0</v>
      </c>
      <c r="AN883" s="21">
        <v>0</v>
      </c>
      <c r="AO883" s="21">
        <v>0</v>
      </c>
      <c r="AP883" s="21">
        <v>0</v>
      </c>
      <c r="AQ883" s="21">
        <v>0</v>
      </c>
      <c r="AR883" s="21">
        <v>0</v>
      </c>
      <c r="AS883" s="8">
        <v>2.87</v>
      </c>
      <c r="AT883" s="21">
        <v>2.87</v>
      </c>
      <c r="AU883" s="21">
        <v>0</v>
      </c>
      <c r="AV883" s="21">
        <v>0</v>
      </c>
      <c r="AW883" s="21">
        <v>0</v>
      </c>
      <c r="AX883" s="21">
        <v>0</v>
      </c>
      <c r="AY883" s="8">
        <v>0</v>
      </c>
    </row>
    <row r="884" spans="1:51" ht="15" customHeight="1" x14ac:dyDescent="0.25">
      <c r="A884" s="9">
        <v>742</v>
      </c>
      <c r="B884" s="13"/>
      <c r="C884" s="9" t="s">
        <v>169</v>
      </c>
      <c r="D884" s="9"/>
      <c r="E884" s="8"/>
      <c r="F884" s="9" t="s">
        <v>1512</v>
      </c>
      <c r="G884" s="79" t="s">
        <v>1687</v>
      </c>
      <c r="H884" s="9"/>
      <c r="I884" s="9" t="s">
        <v>25</v>
      </c>
      <c r="J884" s="9" t="s">
        <v>31</v>
      </c>
      <c r="K884" s="9">
        <v>2000</v>
      </c>
      <c r="L884" s="39"/>
      <c r="M884" s="7" t="s">
        <v>1</v>
      </c>
      <c r="N884" s="8"/>
      <c r="O884" s="40"/>
      <c r="P884" s="15"/>
      <c r="Q884" s="9" t="s">
        <v>1688</v>
      </c>
      <c r="R884" s="9"/>
      <c r="S884" s="9"/>
      <c r="T884" s="9"/>
      <c r="U884" s="16" t="s">
        <v>369</v>
      </c>
      <c r="V884" s="9">
        <v>3239560</v>
      </c>
      <c r="W884" s="8" t="s">
        <v>370</v>
      </c>
      <c r="X884" s="8"/>
      <c r="Y884" s="8"/>
      <c r="Z884" s="8"/>
      <c r="AA884" s="8"/>
      <c r="AB884" s="8"/>
      <c r="AC884" s="8" t="s">
        <v>210</v>
      </c>
      <c r="AD884" s="14" t="s">
        <v>211</v>
      </c>
      <c r="AE884" s="8" t="s">
        <v>212</v>
      </c>
      <c r="AF884" s="14">
        <v>0.45</v>
      </c>
      <c r="AG884" s="8">
        <v>900</v>
      </c>
      <c r="AH884" s="8"/>
      <c r="AI884" s="8"/>
      <c r="AJ884" s="8"/>
      <c r="AK884" s="127"/>
      <c r="AL884" s="103">
        <v>5.26</v>
      </c>
      <c r="AM884" s="8">
        <v>0</v>
      </c>
      <c r="AN884" s="21">
        <v>0</v>
      </c>
      <c r="AO884" s="21">
        <v>0</v>
      </c>
      <c r="AP884" s="21">
        <v>0</v>
      </c>
      <c r="AQ884" s="21">
        <v>0</v>
      </c>
      <c r="AR884" s="21">
        <v>0</v>
      </c>
      <c r="AS884" s="8">
        <v>5.26</v>
      </c>
      <c r="AT884" s="21">
        <v>5.26</v>
      </c>
      <c r="AU884" s="21">
        <v>0</v>
      </c>
      <c r="AV884" s="21">
        <v>0</v>
      </c>
      <c r="AW884" s="21">
        <v>0</v>
      </c>
      <c r="AX884" s="21">
        <v>0</v>
      </c>
      <c r="AY884" s="8">
        <v>0</v>
      </c>
    </row>
    <row r="885" spans="1:51" ht="15" customHeight="1" x14ac:dyDescent="0.25">
      <c r="A885" s="9">
        <v>743</v>
      </c>
      <c r="B885" s="13"/>
      <c r="C885" s="9" t="s">
        <v>169</v>
      </c>
      <c r="D885" s="9"/>
      <c r="E885" s="8"/>
      <c r="F885" s="9" t="s">
        <v>1497</v>
      </c>
      <c r="G885" s="79" t="s">
        <v>1687</v>
      </c>
      <c r="H885" s="9"/>
      <c r="I885" s="9" t="s">
        <v>38</v>
      </c>
      <c r="J885" s="9" t="s">
        <v>41</v>
      </c>
      <c r="K885" s="9">
        <v>1000</v>
      </c>
      <c r="L885" s="39"/>
      <c r="M885" s="7" t="s">
        <v>1</v>
      </c>
      <c r="N885" s="8"/>
      <c r="O885" s="40"/>
      <c r="P885" s="15"/>
      <c r="Q885" s="9" t="s">
        <v>1691</v>
      </c>
      <c r="R885" s="9"/>
      <c r="S885" s="9"/>
      <c r="T885" s="9"/>
      <c r="U885" s="16" t="s">
        <v>109</v>
      </c>
      <c r="V885" s="9">
        <v>3924555</v>
      </c>
      <c r="W885" s="8" t="s">
        <v>381</v>
      </c>
      <c r="X885" s="8"/>
      <c r="Y885" s="8"/>
      <c r="Z885" s="8"/>
      <c r="AA885" s="8"/>
      <c r="AB885" s="8"/>
      <c r="AC885" s="8" t="s">
        <v>222</v>
      </c>
      <c r="AD885" s="14" t="s">
        <v>223</v>
      </c>
      <c r="AE885" s="8" t="s">
        <v>372</v>
      </c>
      <c r="AF885" s="14">
        <v>0.9</v>
      </c>
      <c r="AG885" s="8">
        <v>1045</v>
      </c>
      <c r="AH885" s="8"/>
      <c r="AI885" s="8"/>
      <c r="AJ885" s="8"/>
      <c r="AK885" s="127"/>
      <c r="AL885" s="103">
        <v>8.9600000000000009</v>
      </c>
      <c r="AM885" s="8">
        <v>0</v>
      </c>
      <c r="AN885" s="21">
        <v>0</v>
      </c>
      <c r="AO885" s="21">
        <v>0</v>
      </c>
      <c r="AP885" s="21">
        <v>0</v>
      </c>
      <c r="AQ885" s="21">
        <v>0</v>
      </c>
      <c r="AR885" s="21">
        <v>0</v>
      </c>
      <c r="AS885" s="8">
        <v>8.9600000000000009</v>
      </c>
      <c r="AT885" s="21">
        <v>8.9600000000000009</v>
      </c>
      <c r="AU885" s="21">
        <v>0</v>
      </c>
      <c r="AV885" s="21">
        <v>0</v>
      </c>
      <c r="AW885" s="21">
        <v>0</v>
      </c>
      <c r="AX885" s="21">
        <v>0</v>
      </c>
      <c r="AY885" s="8">
        <v>0</v>
      </c>
    </row>
    <row r="886" spans="1:51" ht="15" customHeight="1" x14ac:dyDescent="0.25">
      <c r="A886" s="9">
        <v>742</v>
      </c>
      <c r="B886" s="13"/>
      <c r="C886" s="9" t="s">
        <v>1686</v>
      </c>
      <c r="D886" s="9"/>
      <c r="E886" s="8"/>
      <c r="F886" s="9" t="s">
        <v>1640</v>
      </c>
      <c r="G886" s="79" t="s">
        <v>1687</v>
      </c>
      <c r="H886" s="9"/>
      <c r="I886" s="9" t="s">
        <v>25</v>
      </c>
      <c r="J886" s="9" t="s">
        <v>28</v>
      </c>
      <c r="K886" s="9">
        <v>1000</v>
      </c>
      <c r="L886" s="39"/>
      <c r="M886" s="7" t="s">
        <v>1</v>
      </c>
      <c r="N886" s="8"/>
      <c r="O886" s="40"/>
      <c r="P886" s="15"/>
      <c r="Q886" s="9" t="s">
        <v>1690</v>
      </c>
      <c r="R886" s="9"/>
      <c r="S886" s="9"/>
      <c r="T886" s="9"/>
      <c r="U886" s="16" t="s">
        <v>63</v>
      </c>
      <c r="V886" s="9">
        <v>2164800</v>
      </c>
      <c r="W886" s="8" t="s">
        <v>501</v>
      </c>
      <c r="X886" s="8"/>
      <c r="Y886" s="8"/>
      <c r="Z886" s="8"/>
      <c r="AA886" s="8"/>
      <c r="AB886" s="8"/>
      <c r="AC886" s="8" t="s">
        <v>190</v>
      </c>
      <c r="AD886" s="14" t="s">
        <v>191</v>
      </c>
      <c r="AE886" s="8" t="s">
        <v>384</v>
      </c>
      <c r="AF886" s="14">
        <v>0.97</v>
      </c>
      <c r="AG886" s="8">
        <v>913</v>
      </c>
      <c r="AH886" s="8"/>
      <c r="AI886" s="8"/>
      <c r="AJ886" s="8"/>
      <c r="AK886" s="127"/>
      <c r="AL886" s="103">
        <v>9.0500000000000007</v>
      </c>
      <c r="AM886" s="8">
        <v>0</v>
      </c>
      <c r="AN886" s="21">
        <v>0</v>
      </c>
      <c r="AO886" s="21">
        <v>0</v>
      </c>
      <c r="AP886" s="21">
        <v>0</v>
      </c>
      <c r="AQ886" s="21">
        <v>0</v>
      </c>
      <c r="AR886" s="21">
        <v>0</v>
      </c>
      <c r="AS886" s="8">
        <v>9.0500000000000007</v>
      </c>
      <c r="AT886" s="21">
        <v>9.0500000000000007</v>
      </c>
      <c r="AU886" s="21">
        <v>0</v>
      </c>
      <c r="AV886" s="21">
        <v>0</v>
      </c>
      <c r="AW886" s="21">
        <v>0</v>
      </c>
      <c r="AX886" s="21">
        <v>0</v>
      </c>
      <c r="AY886" s="8">
        <v>0</v>
      </c>
    </row>
    <row r="887" spans="1:51" ht="15" customHeight="1" x14ac:dyDescent="0.25">
      <c r="A887" s="9">
        <v>743</v>
      </c>
      <c r="B887" s="13"/>
      <c r="C887" s="9" t="s">
        <v>169</v>
      </c>
      <c r="D887" s="9"/>
      <c r="E887" s="8"/>
      <c r="F887" s="9" t="s">
        <v>1535</v>
      </c>
      <c r="G887" s="79" t="s">
        <v>1687</v>
      </c>
      <c r="H887" s="9"/>
      <c r="I887" s="9" t="s">
        <v>38</v>
      </c>
      <c r="J887" s="9" t="s">
        <v>28</v>
      </c>
      <c r="K887" s="9">
        <v>1000</v>
      </c>
      <c r="L887" s="39"/>
      <c r="M887" s="7" t="s">
        <v>1</v>
      </c>
      <c r="N887" s="8"/>
      <c r="O887" s="40"/>
      <c r="P887" s="15"/>
      <c r="Q887" s="9" t="s">
        <v>1688</v>
      </c>
      <c r="R887" s="9"/>
      <c r="S887" s="9"/>
      <c r="T887" s="9"/>
      <c r="U887" s="16" t="s">
        <v>112</v>
      </c>
      <c r="V887" s="9">
        <v>2427833</v>
      </c>
      <c r="W887" s="8" t="s">
        <v>1712</v>
      </c>
      <c r="X887" s="8"/>
      <c r="Y887" s="8"/>
      <c r="Z887" s="8"/>
      <c r="AA887" s="8"/>
      <c r="AB887" s="8"/>
      <c r="AC887" s="8" t="s">
        <v>222</v>
      </c>
      <c r="AD887" s="14" t="s">
        <v>223</v>
      </c>
      <c r="AE887" s="8" t="s">
        <v>301</v>
      </c>
      <c r="AF887" s="14">
        <v>0.45</v>
      </c>
      <c r="AG887" s="8">
        <v>1245</v>
      </c>
      <c r="AH887" s="8"/>
      <c r="AI887" s="8"/>
      <c r="AJ887" s="8"/>
      <c r="AK887" s="127"/>
      <c r="AL887" s="103">
        <v>14.005000000000001</v>
      </c>
      <c r="AM887" s="8">
        <v>0</v>
      </c>
      <c r="AN887" s="21">
        <v>0</v>
      </c>
      <c r="AO887" s="21">
        <v>0</v>
      </c>
      <c r="AP887" s="21">
        <v>0</v>
      </c>
      <c r="AQ887" s="21">
        <v>0</v>
      </c>
      <c r="AR887" s="21">
        <v>0</v>
      </c>
      <c r="AS887" s="8">
        <v>14.005000000000001</v>
      </c>
      <c r="AT887" s="21">
        <v>14.005000000000001</v>
      </c>
      <c r="AU887" s="21">
        <v>0</v>
      </c>
      <c r="AV887" s="21">
        <v>0</v>
      </c>
      <c r="AW887" s="21">
        <v>0</v>
      </c>
      <c r="AX887" s="21">
        <v>0</v>
      </c>
      <c r="AY887" s="8">
        <v>0</v>
      </c>
    </row>
    <row r="888" spans="1:51" ht="15" customHeight="1" x14ac:dyDescent="0.25">
      <c r="A888" s="9">
        <v>744</v>
      </c>
      <c r="B888" s="13"/>
      <c r="C888" s="9" t="s">
        <v>169</v>
      </c>
      <c r="D888" s="9"/>
      <c r="E888" s="8"/>
      <c r="F888" s="9" t="s">
        <v>1541</v>
      </c>
      <c r="G888" s="79" t="s">
        <v>1687</v>
      </c>
      <c r="H888" s="9"/>
      <c r="I888" s="9" t="s">
        <v>48</v>
      </c>
      <c r="J888" s="9" t="s">
        <v>39</v>
      </c>
      <c r="K888" s="9">
        <v>1000</v>
      </c>
      <c r="L888" s="39"/>
      <c r="M888" s="7" t="s">
        <v>1</v>
      </c>
      <c r="N888" s="8"/>
      <c r="O888" s="40"/>
      <c r="P888" s="15"/>
      <c r="Q888" s="9" t="s">
        <v>264</v>
      </c>
      <c r="R888" s="9"/>
      <c r="S888" s="9"/>
      <c r="T888" s="9"/>
      <c r="U888" s="16" t="s">
        <v>133</v>
      </c>
      <c r="V888" s="9">
        <v>3797658</v>
      </c>
      <c r="W888" s="8" t="s">
        <v>235</v>
      </c>
      <c r="X888" s="8"/>
      <c r="Y888" s="8"/>
      <c r="Z888" s="8"/>
      <c r="AA888" s="8"/>
      <c r="AB888" s="8"/>
      <c r="AC888" s="8" t="s">
        <v>228</v>
      </c>
      <c r="AD888" s="14" t="s">
        <v>229</v>
      </c>
      <c r="AE888" s="8" t="s">
        <v>230</v>
      </c>
      <c r="AF888" s="14">
        <v>0.4</v>
      </c>
      <c r="AG888" s="8">
        <v>1220</v>
      </c>
      <c r="AH888" s="8"/>
      <c r="AI888" s="8"/>
      <c r="AJ888" s="8"/>
      <c r="AK888" s="127"/>
      <c r="AL888" s="103">
        <v>2.5550000000000002</v>
      </c>
      <c r="AM888" s="8">
        <v>0</v>
      </c>
      <c r="AN888" s="21">
        <v>0</v>
      </c>
      <c r="AO888" s="21">
        <v>0</v>
      </c>
      <c r="AP888" s="21">
        <v>0</v>
      </c>
      <c r="AQ888" s="21">
        <v>0</v>
      </c>
      <c r="AR888" s="21">
        <v>0</v>
      </c>
      <c r="AS888" s="8">
        <v>2.5550000000000002</v>
      </c>
      <c r="AT888" s="21">
        <v>2.5550000000000002</v>
      </c>
      <c r="AU888" s="21">
        <v>0</v>
      </c>
      <c r="AV888" s="21">
        <v>0</v>
      </c>
      <c r="AW888" s="21">
        <v>0</v>
      </c>
      <c r="AX888" s="21">
        <v>0</v>
      </c>
      <c r="AY888" s="8">
        <v>0</v>
      </c>
    </row>
    <row r="889" spans="1:51" ht="15" customHeight="1" x14ac:dyDescent="0.25">
      <c r="A889" s="9">
        <v>743</v>
      </c>
      <c r="B889" s="13"/>
      <c r="C889" s="9" t="s">
        <v>1686</v>
      </c>
      <c r="D889" s="9"/>
      <c r="E889" s="8"/>
      <c r="F889" s="9" t="s">
        <v>1641</v>
      </c>
      <c r="G889" s="79" t="s">
        <v>1687</v>
      </c>
      <c r="H889" s="9"/>
      <c r="I889" s="9" t="s">
        <v>43</v>
      </c>
      <c r="J889" s="9" t="s">
        <v>45</v>
      </c>
      <c r="K889" s="9">
        <v>2000</v>
      </c>
      <c r="L889" s="39"/>
      <c r="M889" s="7" t="s">
        <v>1</v>
      </c>
      <c r="N889" s="8"/>
      <c r="O889" s="40"/>
      <c r="P889" s="15"/>
      <c r="Q889" s="9" t="s">
        <v>1689</v>
      </c>
      <c r="R889" s="9"/>
      <c r="S889" s="9"/>
      <c r="T889" s="9"/>
      <c r="U889" s="16" t="s">
        <v>117</v>
      </c>
      <c r="V889" s="9">
        <v>3661684</v>
      </c>
      <c r="W889" s="8" t="s">
        <v>1713</v>
      </c>
      <c r="X889" s="8"/>
      <c r="Y889" s="8"/>
      <c r="Z889" s="8"/>
      <c r="AA889" s="8"/>
      <c r="AB889" s="8"/>
      <c r="AC889" s="8" t="s">
        <v>238</v>
      </c>
      <c r="AD889" s="14" t="s">
        <v>185</v>
      </c>
      <c r="AE889" s="8" t="s">
        <v>186</v>
      </c>
      <c r="AF889" s="14">
        <v>0.63</v>
      </c>
      <c r="AG889" s="8">
        <v>1000</v>
      </c>
      <c r="AH889" s="8"/>
      <c r="AI889" s="8"/>
      <c r="AJ889" s="8"/>
      <c r="AK889" s="127"/>
      <c r="AL889" s="103">
        <v>4.9349999999999996</v>
      </c>
      <c r="AM889" s="8">
        <v>0</v>
      </c>
      <c r="AN889" s="21">
        <v>0</v>
      </c>
      <c r="AO889" s="21">
        <v>0</v>
      </c>
      <c r="AP889" s="21">
        <v>0</v>
      </c>
      <c r="AQ889" s="21">
        <v>0</v>
      </c>
      <c r="AR889" s="21">
        <v>0</v>
      </c>
      <c r="AS889" s="8">
        <v>4.9349999999999996</v>
      </c>
      <c r="AT889" s="21">
        <v>4.9349999999999996</v>
      </c>
      <c r="AU889" s="21">
        <v>0</v>
      </c>
      <c r="AV889" s="21">
        <v>0</v>
      </c>
      <c r="AW889" s="21">
        <v>0</v>
      </c>
      <c r="AX889" s="21">
        <v>0</v>
      </c>
      <c r="AY889" s="8">
        <v>0</v>
      </c>
    </row>
    <row r="890" spans="1:51" ht="15" customHeight="1" x14ac:dyDescent="0.25">
      <c r="A890" s="9">
        <v>744</v>
      </c>
      <c r="B890" s="13"/>
      <c r="C890" s="9" t="s">
        <v>169</v>
      </c>
      <c r="D890" s="9"/>
      <c r="E890" s="8"/>
      <c r="F890" s="9" t="s">
        <v>1525</v>
      </c>
      <c r="G890" s="79" t="s">
        <v>1687</v>
      </c>
      <c r="H890" s="9"/>
      <c r="I890" s="9" t="s">
        <v>48</v>
      </c>
      <c r="J890" s="9" t="s">
        <v>39</v>
      </c>
      <c r="K890" s="9">
        <v>1000</v>
      </c>
      <c r="L890" s="39"/>
      <c r="M890" s="7" t="s">
        <v>1</v>
      </c>
      <c r="N890" s="8"/>
      <c r="O890" s="40"/>
      <c r="P890" s="15"/>
      <c r="Q890" s="9" t="s">
        <v>264</v>
      </c>
      <c r="R890" s="9"/>
      <c r="S890" s="9"/>
      <c r="T890" s="9"/>
      <c r="U890" s="16" t="s">
        <v>105</v>
      </c>
      <c r="V890" s="9">
        <v>3902332</v>
      </c>
      <c r="W890" s="8" t="s">
        <v>353</v>
      </c>
      <c r="X890" s="8"/>
      <c r="Y890" s="8"/>
      <c r="Z890" s="8"/>
      <c r="AA890" s="8"/>
      <c r="AB890" s="8"/>
      <c r="AC890" s="8" t="s">
        <v>228</v>
      </c>
      <c r="AD890" s="14" t="s">
        <v>229</v>
      </c>
      <c r="AE890" s="8" t="s">
        <v>354</v>
      </c>
      <c r="AF890" s="14">
        <v>0.5</v>
      </c>
      <c r="AG890" s="8">
        <v>1220</v>
      </c>
      <c r="AH890" s="8"/>
      <c r="AI890" s="8"/>
      <c r="AJ890" s="8"/>
      <c r="AK890" s="127"/>
      <c r="AL890" s="103">
        <v>2.37</v>
      </c>
      <c r="AM890" s="8">
        <v>0</v>
      </c>
      <c r="AN890" s="21">
        <v>0</v>
      </c>
      <c r="AO890" s="21">
        <v>0</v>
      </c>
      <c r="AP890" s="21">
        <v>0</v>
      </c>
      <c r="AQ890" s="21">
        <v>0</v>
      </c>
      <c r="AR890" s="21">
        <v>0</v>
      </c>
      <c r="AS890" s="8">
        <v>2.37</v>
      </c>
      <c r="AT890" s="21">
        <v>2.37</v>
      </c>
      <c r="AU890" s="21">
        <v>0</v>
      </c>
      <c r="AV890" s="21">
        <v>0</v>
      </c>
      <c r="AW890" s="21">
        <v>0</v>
      </c>
      <c r="AX890" s="21">
        <v>0</v>
      </c>
      <c r="AY890" s="8">
        <v>0</v>
      </c>
    </row>
    <row r="891" spans="1:51" ht="15" customHeight="1" x14ac:dyDescent="0.25">
      <c r="A891" s="9">
        <v>743</v>
      </c>
      <c r="B891" s="13"/>
      <c r="C891" s="9" t="s">
        <v>169</v>
      </c>
      <c r="D891" s="9"/>
      <c r="E891" s="8"/>
      <c r="F891" s="9" t="s">
        <v>1550</v>
      </c>
      <c r="G891" s="79" t="s">
        <v>1687</v>
      </c>
      <c r="H891" s="9"/>
      <c r="I891" s="9" t="s">
        <v>38</v>
      </c>
      <c r="J891" s="9" t="s">
        <v>28</v>
      </c>
      <c r="K891" s="9">
        <v>1000</v>
      </c>
      <c r="L891" s="39"/>
      <c r="M891" s="7" t="s">
        <v>1</v>
      </c>
      <c r="N891" s="8"/>
      <c r="O891" s="40"/>
      <c r="P891" s="15"/>
      <c r="Q891" s="9" t="s">
        <v>1688</v>
      </c>
      <c r="R891" s="9"/>
      <c r="S891" s="9"/>
      <c r="T891" s="9"/>
      <c r="U891" s="16" t="s">
        <v>112</v>
      </c>
      <c r="V891" s="9">
        <v>2427832</v>
      </c>
      <c r="W891" s="8" t="s">
        <v>1714</v>
      </c>
      <c r="X891" s="8"/>
      <c r="Y891" s="8"/>
      <c r="Z891" s="8"/>
      <c r="AA891" s="8"/>
      <c r="AB891" s="8"/>
      <c r="AC891" s="8" t="s">
        <v>222</v>
      </c>
      <c r="AD891" s="14" t="s">
        <v>223</v>
      </c>
      <c r="AE891" s="8" t="s">
        <v>301</v>
      </c>
      <c r="AF891" s="14">
        <v>0.4</v>
      </c>
      <c r="AG891" s="8">
        <v>1245</v>
      </c>
      <c r="AH891" s="8"/>
      <c r="AI891" s="8"/>
      <c r="AJ891" s="8"/>
      <c r="AK891" s="127"/>
      <c r="AL891" s="103">
        <v>7.4</v>
      </c>
      <c r="AM891" s="8">
        <v>0</v>
      </c>
      <c r="AN891" s="21">
        <v>0</v>
      </c>
      <c r="AO891" s="21">
        <v>0</v>
      </c>
      <c r="AP891" s="21">
        <v>0</v>
      </c>
      <c r="AQ891" s="21">
        <v>0</v>
      </c>
      <c r="AR891" s="21">
        <v>0</v>
      </c>
      <c r="AS891" s="8">
        <v>7.4</v>
      </c>
      <c r="AT891" s="21">
        <v>7.4</v>
      </c>
      <c r="AU891" s="21">
        <v>0</v>
      </c>
      <c r="AV891" s="21">
        <v>0</v>
      </c>
      <c r="AW891" s="21">
        <v>0</v>
      </c>
      <c r="AX891" s="21">
        <v>0</v>
      </c>
      <c r="AY891" s="8">
        <v>0</v>
      </c>
    </row>
    <row r="892" spans="1:51" ht="15" customHeight="1" x14ac:dyDescent="0.25">
      <c r="A892" s="9">
        <v>742</v>
      </c>
      <c r="B892" s="13"/>
      <c r="C892" s="9" t="s">
        <v>169</v>
      </c>
      <c r="D892" s="9"/>
      <c r="E892" s="8"/>
      <c r="F892" s="9" t="s">
        <v>1493</v>
      </c>
      <c r="G892" s="79" t="s">
        <v>1687</v>
      </c>
      <c r="H892" s="9"/>
      <c r="I892" s="9" t="s">
        <v>25</v>
      </c>
      <c r="J892" s="9" t="s">
        <v>31</v>
      </c>
      <c r="K892" s="9">
        <v>2000</v>
      </c>
      <c r="L892" s="39"/>
      <c r="M892" s="7" t="s">
        <v>1</v>
      </c>
      <c r="N892" s="8"/>
      <c r="O892" s="40"/>
      <c r="P892" s="15"/>
      <c r="Q892" s="9" t="s">
        <v>1688</v>
      </c>
      <c r="R892" s="9"/>
      <c r="S892" s="9"/>
      <c r="T892" s="9"/>
      <c r="U892" s="16" t="s">
        <v>81</v>
      </c>
      <c r="V892" s="9">
        <v>2441004</v>
      </c>
      <c r="W892" s="8" t="s">
        <v>441</v>
      </c>
      <c r="X892" s="8"/>
      <c r="Y892" s="8"/>
      <c r="Z892" s="8"/>
      <c r="AA892" s="8"/>
      <c r="AB892" s="8"/>
      <c r="AC892" s="8" t="s">
        <v>210</v>
      </c>
      <c r="AD892" s="14" t="s">
        <v>211</v>
      </c>
      <c r="AE892" s="8" t="s">
        <v>212</v>
      </c>
      <c r="AF892" s="14">
        <v>0.43</v>
      </c>
      <c r="AG892" s="8">
        <v>1250</v>
      </c>
      <c r="AH892" s="8"/>
      <c r="AI892" s="8"/>
      <c r="AJ892" s="8"/>
      <c r="AK892" s="127"/>
      <c r="AL892" s="103">
        <v>5.65</v>
      </c>
      <c r="AM892" s="8">
        <v>0</v>
      </c>
      <c r="AN892" s="21">
        <v>0</v>
      </c>
      <c r="AO892" s="21">
        <v>0</v>
      </c>
      <c r="AP892" s="21">
        <v>0</v>
      </c>
      <c r="AQ892" s="21">
        <v>0</v>
      </c>
      <c r="AR892" s="21">
        <v>0</v>
      </c>
      <c r="AS892" s="8">
        <v>5.65</v>
      </c>
      <c r="AT892" s="21">
        <v>5.65</v>
      </c>
      <c r="AU892" s="21">
        <v>0</v>
      </c>
      <c r="AV892" s="21">
        <v>0</v>
      </c>
      <c r="AW892" s="21">
        <v>0</v>
      </c>
      <c r="AX892" s="21">
        <v>0</v>
      </c>
      <c r="AY892" s="8">
        <v>0</v>
      </c>
    </row>
    <row r="893" spans="1:51" ht="15" customHeight="1" x14ac:dyDescent="0.25">
      <c r="A893" s="9">
        <v>742</v>
      </c>
      <c r="B893" s="13"/>
      <c r="C893" s="9" t="s">
        <v>169</v>
      </c>
      <c r="D893" s="9"/>
      <c r="E893" s="8"/>
      <c r="F893" s="9" t="s">
        <v>1513</v>
      </c>
      <c r="G893" s="79" t="s">
        <v>1687</v>
      </c>
      <c r="H893" s="9"/>
      <c r="I893" s="9" t="s">
        <v>35</v>
      </c>
      <c r="J893" s="9" t="s">
        <v>28</v>
      </c>
      <c r="K893" s="9">
        <v>1000</v>
      </c>
      <c r="L893" s="39"/>
      <c r="M893" s="7" t="s">
        <v>1</v>
      </c>
      <c r="N893" s="8"/>
      <c r="O893" s="40"/>
      <c r="P893" s="15"/>
      <c r="Q893" s="9" t="s">
        <v>1690</v>
      </c>
      <c r="R893" s="9"/>
      <c r="S893" s="9"/>
      <c r="T893" s="9"/>
      <c r="U893" s="16" t="s">
        <v>104</v>
      </c>
      <c r="V893" s="9">
        <v>3577912</v>
      </c>
      <c r="W893" s="8" t="s">
        <v>602</v>
      </c>
      <c r="X893" s="8"/>
      <c r="Y893" s="8"/>
      <c r="Z893" s="8"/>
      <c r="AA893" s="8"/>
      <c r="AB893" s="8"/>
      <c r="AC893" s="8" t="s">
        <v>292</v>
      </c>
      <c r="AD893" s="14" t="s">
        <v>293</v>
      </c>
      <c r="AE893" s="8" t="s">
        <v>294</v>
      </c>
      <c r="AF893" s="14">
        <v>0.36</v>
      </c>
      <c r="AG893" s="8">
        <v>1320</v>
      </c>
      <c r="AH893" s="8"/>
      <c r="AI893" s="8"/>
      <c r="AJ893" s="8"/>
      <c r="AK893" s="127"/>
      <c r="AL893" s="103">
        <v>13.78</v>
      </c>
      <c r="AM893" s="8">
        <v>0</v>
      </c>
      <c r="AN893" s="21">
        <v>0</v>
      </c>
      <c r="AO893" s="21">
        <v>0</v>
      </c>
      <c r="AP893" s="21">
        <v>0</v>
      </c>
      <c r="AQ893" s="21">
        <v>0</v>
      </c>
      <c r="AR893" s="21">
        <v>0</v>
      </c>
      <c r="AS893" s="8">
        <v>13.78</v>
      </c>
      <c r="AT893" s="21">
        <v>13.78</v>
      </c>
      <c r="AU893" s="21">
        <v>0</v>
      </c>
      <c r="AV893" s="21">
        <v>0</v>
      </c>
      <c r="AW893" s="21">
        <v>0</v>
      </c>
      <c r="AX893" s="21">
        <v>0</v>
      </c>
      <c r="AY893" s="8">
        <v>0</v>
      </c>
    </row>
    <row r="894" spans="1:51" ht="15" customHeight="1" x14ac:dyDescent="0.25">
      <c r="A894" s="9">
        <v>742</v>
      </c>
      <c r="B894" s="13"/>
      <c r="C894" s="9" t="s">
        <v>169</v>
      </c>
      <c r="D894" s="9"/>
      <c r="E894" s="8"/>
      <c r="F894" s="9" t="s">
        <v>1506</v>
      </c>
      <c r="G894" s="79" t="s">
        <v>1687</v>
      </c>
      <c r="H894" s="9"/>
      <c r="I894" s="9" t="s">
        <v>25</v>
      </c>
      <c r="J894" s="9" t="s">
        <v>30</v>
      </c>
      <c r="K894" s="9">
        <v>2000</v>
      </c>
      <c r="L894" s="39"/>
      <c r="M894" s="7" t="s">
        <v>1</v>
      </c>
      <c r="N894" s="8"/>
      <c r="O894" s="40"/>
      <c r="P894" s="15"/>
      <c r="Q894" s="9" t="s">
        <v>1689</v>
      </c>
      <c r="R894" s="9"/>
      <c r="S894" s="9"/>
      <c r="T894" s="9"/>
      <c r="U894" s="16" t="s">
        <v>71</v>
      </c>
      <c r="V894" s="9">
        <v>1804908</v>
      </c>
      <c r="W894" s="8" t="s">
        <v>251</v>
      </c>
      <c r="X894" s="8"/>
      <c r="Y894" s="8"/>
      <c r="Z894" s="8"/>
      <c r="AA894" s="8"/>
      <c r="AB894" s="8"/>
      <c r="AC894" s="8" t="s">
        <v>190</v>
      </c>
      <c r="AD894" s="14" t="s">
        <v>211</v>
      </c>
      <c r="AE894" s="8" t="s">
        <v>252</v>
      </c>
      <c r="AF894" s="14">
        <v>0.5</v>
      </c>
      <c r="AG894" s="8">
        <v>1250</v>
      </c>
      <c r="AH894" s="8"/>
      <c r="AI894" s="8"/>
      <c r="AJ894" s="8"/>
      <c r="AK894" s="127"/>
      <c r="AL894" s="103">
        <v>25.38</v>
      </c>
      <c r="AM894" s="8">
        <v>0</v>
      </c>
      <c r="AN894" s="21">
        <v>0</v>
      </c>
      <c r="AO894" s="21">
        <v>0</v>
      </c>
      <c r="AP894" s="21">
        <v>0</v>
      </c>
      <c r="AQ894" s="21">
        <v>0</v>
      </c>
      <c r="AR894" s="21">
        <v>0</v>
      </c>
      <c r="AS894" s="8">
        <v>25.38</v>
      </c>
      <c r="AT894" s="21">
        <v>25.38</v>
      </c>
      <c r="AU894" s="21">
        <v>0</v>
      </c>
      <c r="AV894" s="21">
        <v>0</v>
      </c>
      <c r="AW894" s="21">
        <v>0</v>
      </c>
      <c r="AX894" s="21">
        <v>0</v>
      </c>
      <c r="AY894" s="8">
        <v>0</v>
      </c>
    </row>
    <row r="895" spans="1:51" ht="15" customHeight="1" x14ac:dyDescent="0.25">
      <c r="A895" s="9">
        <v>742</v>
      </c>
      <c r="B895" s="13"/>
      <c r="C895" s="9" t="s">
        <v>193</v>
      </c>
      <c r="D895" s="9"/>
      <c r="E895" s="8"/>
      <c r="F895" s="9" t="s">
        <v>1502</v>
      </c>
      <c r="G895" s="79" t="s">
        <v>1687</v>
      </c>
      <c r="H895" s="9"/>
      <c r="I895" s="9" t="s">
        <v>25</v>
      </c>
      <c r="J895" s="9" t="s">
        <v>29</v>
      </c>
      <c r="K895" s="9">
        <v>1000</v>
      </c>
      <c r="L895" s="39"/>
      <c r="M895" s="7" t="s">
        <v>1</v>
      </c>
      <c r="N895" s="8"/>
      <c r="O895" s="40"/>
      <c r="P895" s="15"/>
      <c r="Q895" s="9" t="s">
        <v>1688</v>
      </c>
      <c r="R895" s="9"/>
      <c r="S895" s="9"/>
      <c r="T895" s="9"/>
      <c r="U895" s="16" t="s">
        <v>67</v>
      </c>
      <c r="V895" s="9">
        <v>3587949</v>
      </c>
      <c r="W895" s="8" t="s">
        <v>196</v>
      </c>
      <c r="X895" s="8"/>
      <c r="Y895" s="8"/>
      <c r="Z895" s="8"/>
      <c r="AA895" s="8"/>
      <c r="AB895" s="8"/>
      <c r="AC895" s="8" t="s">
        <v>190</v>
      </c>
      <c r="AD895" s="14" t="s">
        <v>197</v>
      </c>
      <c r="AE895" s="8" t="s">
        <v>198</v>
      </c>
      <c r="AF895" s="14">
        <v>0.5</v>
      </c>
      <c r="AG895" s="8">
        <v>1250</v>
      </c>
      <c r="AH895" s="8"/>
      <c r="AI895" s="8"/>
      <c r="AJ895" s="8"/>
      <c r="AK895" s="127"/>
      <c r="AL895" s="103">
        <v>51.835000000000001</v>
      </c>
      <c r="AM895" s="8">
        <v>0</v>
      </c>
      <c r="AN895" s="21">
        <v>0</v>
      </c>
      <c r="AO895" s="21">
        <v>0</v>
      </c>
      <c r="AP895" s="21">
        <v>0</v>
      </c>
      <c r="AQ895" s="21">
        <v>0</v>
      </c>
      <c r="AR895" s="21">
        <v>0</v>
      </c>
      <c r="AS895" s="8">
        <v>51.835000000000001</v>
      </c>
      <c r="AT895" s="21">
        <v>51.835000000000001</v>
      </c>
      <c r="AU895" s="21">
        <v>0</v>
      </c>
      <c r="AV895" s="21">
        <v>0</v>
      </c>
      <c r="AW895" s="21">
        <v>0</v>
      </c>
      <c r="AX895" s="21">
        <v>0</v>
      </c>
      <c r="AY895" s="8">
        <v>0</v>
      </c>
    </row>
    <row r="896" spans="1:51" ht="15" customHeight="1" x14ac:dyDescent="0.25">
      <c r="A896" s="9">
        <v>743</v>
      </c>
      <c r="B896" s="13"/>
      <c r="C896" s="9" t="s">
        <v>1686</v>
      </c>
      <c r="D896" s="9"/>
      <c r="E896" s="8"/>
      <c r="F896" s="9" t="s">
        <v>1642</v>
      </c>
      <c r="G896" s="79" t="s">
        <v>1687</v>
      </c>
      <c r="H896" s="9"/>
      <c r="I896" s="9" t="s">
        <v>38</v>
      </c>
      <c r="J896" s="9" t="s">
        <v>41</v>
      </c>
      <c r="K896" s="9">
        <v>1000</v>
      </c>
      <c r="L896" s="39"/>
      <c r="M896" s="7" t="s">
        <v>1</v>
      </c>
      <c r="N896" s="8"/>
      <c r="O896" s="40"/>
      <c r="P896" s="15"/>
      <c r="Q896" s="9" t="s">
        <v>1691</v>
      </c>
      <c r="R896" s="9"/>
      <c r="S896" s="9"/>
      <c r="T896" s="9"/>
      <c r="U896" s="16" t="s">
        <v>1732</v>
      </c>
      <c r="V896" s="9">
        <v>3884496</v>
      </c>
      <c r="W896" s="8" t="s">
        <v>415</v>
      </c>
      <c r="X896" s="8"/>
      <c r="Y896" s="8"/>
      <c r="Z896" s="8"/>
      <c r="AA896" s="8"/>
      <c r="AB896" s="8"/>
      <c r="AC896" s="8" t="s">
        <v>222</v>
      </c>
      <c r="AD896" s="14" t="s">
        <v>223</v>
      </c>
      <c r="AE896" s="8" t="s">
        <v>372</v>
      </c>
      <c r="AF896" s="14">
        <v>0.9</v>
      </c>
      <c r="AG896" s="8">
        <v>1220</v>
      </c>
      <c r="AH896" s="8"/>
      <c r="AI896" s="8"/>
      <c r="AJ896" s="8"/>
      <c r="AK896" s="127"/>
      <c r="AL896" s="103">
        <v>10.86</v>
      </c>
      <c r="AM896" s="8">
        <v>0</v>
      </c>
      <c r="AN896" s="21">
        <v>0</v>
      </c>
      <c r="AO896" s="21">
        <v>0</v>
      </c>
      <c r="AP896" s="21">
        <v>0</v>
      </c>
      <c r="AQ896" s="21">
        <v>0</v>
      </c>
      <c r="AR896" s="21">
        <v>0</v>
      </c>
      <c r="AS896" s="8">
        <v>10.86</v>
      </c>
      <c r="AT896" s="21">
        <v>10.86</v>
      </c>
      <c r="AU896" s="21">
        <v>0</v>
      </c>
      <c r="AV896" s="21">
        <v>0</v>
      </c>
      <c r="AW896" s="21">
        <v>0</v>
      </c>
      <c r="AX896" s="21">
        <v>0</v>
      </c>
      <c r="AY896" s="8">
        <v>0</v>
      </c>
    </row>
    <row r="897" spans="1:51" ht="15" customHeight="1" x14ac:dyDescent="0.25">
      <c r="A897" s="9">
        <v>742</v>
      </c>
      <c r="B897" s="13"/>
      <c r="C897" s="9" t="s">
        <v>1686</v>
      </c>
      <c r="D897" s="9"/>
      <c r="E897" s="8"/>
      <c r="F897" s="9" t="s">
        <v>1643</v>
      </c>
      <c r="G897" s="79" t="s">
        <v>1687</v>
      </c>
      <c r="H897" s="9"/>
      <c r="I897" s="9" t="s">
        <v>25</v>
      </c>
      <c r="J897" s="9" t="s">
        <v>31</v>
      </c>
      <c r="K897" s="9">
        <v>2000</v>
      </c>
      <c r="L897" s="39"/>
      <c r="M897" s="7" t="s">
        <v>1</v>
      </c>
      <c r="N897" s="8"/>
      <c r="O897" s="40"/>
      <c r="P897" s="15"/>
      <c r="Q897" s="9" t="s">
        <v>1688</v>
      </c>
      <c r="R897" s="9"/>
      <c r="S897" s="9"/>
      <c r="T897" s="9"/>
      <c r="U897" s="16" t="s">
        <v>81</v>
      </c>
      <c r="V897" s="9">
        <v>3411571</v>
      </c>
      <c r="W897" s="8" t="s">
        <v>548</v>
      </c>
      <c r="X897" s="8"/>
      <c r="Y897" s="8"/>
      <c r="Z897" s="8"/>
      <c r="AA897" s="8"/>
      <c r="AB897" s="8"/>
      <c r="AC897" s="8" t="s">
        <v>210</v>
      </c>
      <c r="AD897" s="14" t="s">
        <v>218</v>
      </c>
      <c r="AE897" s="8" t="s">
        <v>250</v>
      </c>
      <c r="AF897" s="14">
        <v>0.5</v>
      </c>
      <c r="AG897" s="8">
        <v>900</v>
      </c>
      <c r="AH897" s="8"/>
      <c r="AI897" s="8"/>
      <c r="AJ897" s="8"/>
      <c r="AK897" s="127"/>
      <c r="AL897" s="103">
        <v>2.64</v>
      </c>
      <c r="AM897" s="8">
        <v>0</v>
      </c>
      <c r="AN897" s="21">
        <v>0</v>
      </c>
      <c r="AO897" s="21">
        <v>0</v>
      </c>
      <c r="AP897" s="21">
        <v>0</v>
      </c>
      <c r="AQ897" s="21">
        <v>0</v>
      </c>
      <c r="AR897" s="21">
        <v>0</v>
      </c>
      <c r="AS897" s="8">
        <v>2.64</v>
      </c>
      <c r="AT897" s="21">
        <v>2.64</v>
      </c>
      <c r="AU897" s="21">
        <v>0</v>
      </c>
      <c r="AV897" s="21">
        <v>0</v>
      </c>
      <c r="AW897" s="21">
        <v>0</v>
      </c>
      <c r="AX897" s="21">
        <v>0</v>
      </c>
      <c r="AY897" s="8">
        <v>0</v>
      </c>
    </row>
    <row r="898" spans="1:51" ht="15" customHeight="1" x14ac:dyDescent="0.25">
      <c r="A898" s="9">
        <v>742</v>
      </c>
      <c r="B898" s="13"/>
      <c r="C898" s="9" t="s">
        <v>1686</v>
      </c>
      <c r="D898" s="9"/>
      <c r="E898" s="8"/>
      <c r="F898" s="9" t="s">
        <v>1644</v>
      </c>
      <c r="G898" s="79" t="s">
        <v>1687</v>
      </c>
      <c r="H898" s="9"/>
      <c r="I898" s="9" t="s">
        <v>25</v>
      </c>
      <c r="J898" s="9" t="s">
        <v>31</v>
      </c>
      <c r="K898" s="9">
        <v>2000</v>
      </c>
      <c r="L898" s="39"/>
      <c r="M898" s="7" t="s">
        <v>1</v>
      </c>
      <c r="N898" s="8"/>
      <c r="O898" s="40"/>
      <c r="P898" s="15"/>
      <c r="Q898" s="9" t="s">
        <v>1688</v>
      </c>
      <c r="R898" s="9"/>
      <c r="S898" s="9"/>
      <c r="T898" s="9"/>
      <c r="U898" s="16" t="s">
        <v>369</v>
      </c>
      <c r="V898" s="9">
        <v>3240793</v>
      </c>
      <c r="W898" s="8" t="s">
        <v>497</v>
      </c>
      <c r="X898" s="8"/>
      <c r="Y898" s="8"/>
      <c r="Z898" s="8"/>
      <c r="AA898" s="8"/>
      <c r="AB898" s="8"/>
      <c r="AC898" s="8" t="s">
        <v>210</v>
      </c>
      <c r="AD898" s="14" t="s">
        <v>218</v>
      </c>
      <c r="AE898" s="8" t="s">
        <v>250</v>
      </c>
      <c r="AF898" s="14">
        <v>0.7</v>
      </c>
      <c r="AG898" s="8">
        <v>1250</v>
      </c>
      <c r="AH898" s="8"/>
      <c r="AI898" s="8"/>
      <c r="AJ898" s="8"/>
      <c r="AK898" s="127"/>
      <c r="AL898" s="103">
        <v>2.9249999999999998</v>
      </c>
      <c r="AM898" s="8">
        <v>0</v>
      </c>
      <c r="AN898" s="21">
        <v>0</v>
      </c>
      <c r="AO898" s="21">
        <v>0</v>
      </c>
      <c r="AP898" s="21">
        <v>0</v>
      </c>
      <c r="AQ898" s="21">
        <v>0</v>
      </c>
      <c r="AR898" s="21">
        <v>0</v>
      </c>
      <c r="AS898" s="8">
        <v>2.9249999999999998</v>
      </c>
      <c r="AT898" s="21">
        <v>2.9249999999999998</v>
      </c>
      <c r="AU898" s="21">
        <v>0</v>
      </c>
      <c r="AV898" s="21">
        <v>0</v>
      </c>
      <c r="AW898" s="21">
        <v>0</v>
      </c>
      <c r="AX898" s="21">
        <v>0</v>
      </c>
      <c r="AY898" s="8">
        <v>0</v>
      </c>
    </row>
    <row r="899" spans="1:51" ht="15" customHeight="1" x14ac:dyDescent="0.25">
      <c r="A899" s="9">
        <v>743</v>
      </c>
      <c r="B899" s="13"/>
      <c r="C899" s="9" t="s">
        <v>169</v>
      </c>
      <c r="D899" s="9"/>
      <c r="E899" s="8"/>
      <c r="F899" s="9" t="s">
        <v>1511</v>
      </c>
      <c r="G899" s="79" t="s">
        <v>1687</v>
      </c>
      <c r="H899" s="9"/>
      <c r="I899" s="9" t="s">
        <v>43</v>
      </c>
      <c r="J899" s="9" t="s">
        <v>45</v>
      </c>
      <c r="K899" s="9">
        <v>2000</v>
      </c>
      <c r="L899" s="39"/>
      <c r="M899" s="7" t="s">
        <v>1</v>
      </c>
      <c r="N899" s="8"/>
      <c r="O899" s="40"/>
      <c r="P899" s="15"/>
      <c r="Q899" s="9" t="s">
        <v>1689</v>
      </c>
      <c r="R899" s="9"/>
      <c r="S899" s="9"/>
      <c r="T899" s="9"/>
      <c r="U899" s="16" t="s">
        <v>116</v>
      </c>
      <c r="V899" s="9">
        <v>1854418</v>
      </c>
      <c r="W899" s="8" t="s">
        <v>456</v>
      </c>
      <c r="X899" s="8"/>
      <c r="Y899" s="8"/>
      <c r="Z899" s="8"/>
      <c r="AA899" s="8"/>
      <c r="AB899" s="8"/>
      <c r="AC899" s="8" t="s">
        <v>238</v>
      </c>
      <c r="AD899" s="14" t="s">
        <v>185</v>
      </c>
      <c r="AE899" s="8" t="s">
        <v>186</v>
      </c>
      <c r="AF899" s="14">
        <v>0.5</v>
      </c>
      <c r="AG899" s="8">
        <v>900</v>
      </c>
      <c r="AH899" s="8"/>
      <c r="AI899" s="8"/>
      <c r="AJ899" s="8"/>
      <c r="AK899" s="127"/>
      <c r="AL899" s="103">
        <v>4.91</v>
      </c>
      <c r="AM899" s="8">
        <v>0</v>
      </c>
      <c r="AN899" s="21">
        <v>0</v>
      </c>
      <c r="AO899" s="21">
        <v>0</v>
      </c>
      <c r="AP899" s="21">
        <v>0</v>
      </c>
      <c r="AQ899" s="21">
        <v>0</v>
      </c>
      <c r="AR899" s="21">
        <v>0</v>
      </c>
      <c r="AS899" s="8">
        <v>4.91</v>
      </c>
      <c r="AT899" s="21">
        <v>4.91</v>
      </c>
      <c r="AU899" s="21">
        <v>0</v>
      </c>
      <c r="AV899" s="21">
        <v>0</v>
      </c>
      <c r="AW899" s="21">
        <v>0</v>
      </c>
      <c r="AX899" s="21">
        <v>0</v>
      </c>
      <c r="AY899" s="8">
        <v>0</v>
      </c>
    </row>
    <row r="900" spans="1:51" ht="15" customHeight="1" x14ac:dyDescent="0.25">
      <c r="A900" s="9">
        <v>742</v>
      </c>
      <c r="B900" s="13"/>
      <c r="C900" s="9" t="s">
        <v>169</v>
      </c>
      <c r="D900" s="9"/>
      <c r="E900" s="8"/>
      <c r="F900" s="9" t="s">
        <v>1507</v>
      </c>
      <c r="G900" s="79" t="s">
        <v>1687</v>
      </c>
      <c r="H900" s="9"/>
      <c r="I900" s="9" t="s">
        <v>25</v>
      </c>
      <c r="J900" s="9" t="s">
        <v>30</v>
      </c>
      <c r="K900" s="9">
        <v>2000</v>
      </c>
      <c r="L900" s="39"/>
      <c r="M900" s="7" t="s">
        <v>1</v>
      </c>
      <c r="N900" s="8"/>
      <c r="O900" s="40"/>
      <c r="P900" s="15"/>
      <c r="Q900" s="9" t="s">
        <v>1691</v>
      </c>
      <c r="R900" s="9"/>
      <c r="S900" s="9"/>
      <c r="T900" s="9"/>
      <c r="U900" s="16" t="s">
        <v>66</v>
      </c>
      <c r="V900" s="9">
        <v>1804908</v>
      </c>
      <c r="W900" s="8" t="s">
        <v>251</v>
      </c>
      <c r="X900" s="8"/>
      <c r="Y900" s="8"/>
      <c r="Z900" s="8"/>
      <c r="AA900" s="8"/>
      <c r="AB900" s="8"/>
      <c r="AC900" s="8" t="s">
        <v>190</v>
      </c>
      <c r="AD900" s="14" t="s">
        <v>211</v>
      </c>
      <c r="AE900" s="8" t="s">
        <v>252</v>
      </c>
      <c r="AF900" s="14">
        <v>0.5</v>
      </c>
      <c r="AG900" s="8">
        <v>1250</v>
      </c>
      <c r="AH900" s="8"/>
      <c r="AI900" s="8"/>
      <c r="AJ900" s="8"/>
      <c r="AK900" s="127"/>
      <c r="AL900" s="103">
        <v>12.99</v>
      </c>
      <c r="AM900" s="8">
        <v>0</v>
      </c>
      <c r="AN900" s="21">
        <v>0</v>
      </c>
      <c r="AO900" s="21">
        <v>0</v>
      </c>
      <c r="AP900" s="21">
        <v>0</v>
      </c>
      <c r="AQ900" s="21">
        <v>0</v>
      </c>
      <c r="AR900" s="21">
        <v>0</v>
      </c>
      <c r="AS900" s="8">
        <v>12.99</v>
      </c>
      <c r="AT900" s="21">
        <v>12.99</v>
      </c>
      <c r="AU900" s="21">
        <v>0</v>
      </c>
      <c r="AV900" s="21">
        <v>0</v>
      </c>
      <c r="AW900" s="21">
        <v>0</v>
      </c>
      <c r="AX900" s="21">
        <v>0</v>
      </c>
      <c r="AY900" s="8">
        <v>0</v>
      </c>
    </row>
    <row r="901" spans="1:51" ht="15" customHeight="1" x14ac:dyDescent="0.25">
      <c r="A901" s="9">
        <v>743</v>
      </c>
      <c r="B901" s="13"/>
      <c r="C901" s="9" t="s">
        <v>169</v>
      </c>
      <c r="D901" s="9"/>
      <c r="E901" s="8"/>
      <c r="F901" s="9" t="s">
        <v>1489</v>
      </c>
      <c r="G901" s="79" t="s">
        <v>1687</v>
      </c>
      <c r="H901" s="9"/>
      <c r="I901" s="9" t="s">
        <v>38</v>
      </c>
      <c r="J901" s="9" t="s">
        <v>41</v>
      </c>
      <c r="K901" s="9">
        <v>1000</v>
      </c>
      <c r="L901" s="39"/>
      <c r="M901" s="7" t="s">
        <v>1</v>
      </c>
      <c r="N901" s="8"/>
      <c r="O901" s="40"/>
      <c r="P901" s="15"/>
      <c r="Q901" s="9" t="s">
        <v>1691</v>
      </c>
      <c r="R901" s="9"/>
      <c r="S901" s="9"/>
      <c r="T901" s="9"/>
      <c r="U901" s="16" t="s">
        <v>107</v>
      </c>
      <c r="V901" s="9">
        <v>3903395</v>
      </c>
      <c r="W901" s="8" t="s">
        <v>367</v>
      </c>
      <c r="X901" s="8"/>
      <c r="Y901" s="8"/>
      <c r="Z901" s="8"/>
      <c r="AA901" s="8"/>
      <c r="AB901" s="8"/>
      <c r="AC901" s="8" t="s">
        <v>222</v>
      </c>
      <c r="AD901" s="14" t="s">
        <v>223</v>
      </c>
      <c r="AE901" s="8" t="s">
        <v>368</v>
      </c>
      <c r="AF901" s="14">
        <v>0.9</v>
      </c>
      <c r="AG901" s="8">
        <v>1220</v>
      </c>
      <c r="AH901" s="8"/>
      <c r="AI901" s="8"/>
      <c r="AJ901" s="8"/>
      <c r="AK901" s="127"/>
      <c r="AL901" s="103">
        <v>27.55</v>
      </c>
      <c r="AM901" s="8">
        <v>0</v>
      </c>
      <c r="AN901" s="21">
        <v>0</v>
      </c>
      <c r="AO901" s="21">
        <v>0</v>
      </c>
      <c r="AP901" s="21">
        <v>0</v>
      </c>
      <c r="AQ901" s="21">
        <v>0</v>
      </c>
      <c r="AR901" s="21">
        <v>0</v>
      </c>
      <c r="AS901" s="8">
        <v>27.55</v>
      </c>
      <c r="AT901" s="21">
        <v>27.55</v>
      </c>
      <c r="AU901" s="21">
        <v>0</v>
      </c>
      <c r="AV901" s="21">
        <v>0</v>
      </c>
      <c r="AW901" s="21">
        <v>0</v>
      </c>
      <c r="AX901" s="21">
        <v>0</v>
      </c>
      <c r="AY901" s="8">
        <v>0</v>
      </c>
    </row>
    <row r="902" spans="1:51" ht="15" customHeight="1" x14ac:dyDescent="0.25">
      <c r="A902" s="9">
        <v>742</v>
      </c>
      <c r="B902" s="13"/>
      <c r="C902" s="9" t="s">
        <v>1686</v>
      </c>
      <c r="D902" s="9"/>
      <c r="E902" s="8"/>
      <c r="F902" s="9" t="s">
        <v>1645</v>
      </c>
      <c r="G902" s="79" t="s">
        <v>1687</v>
      </c>
      <c r="H902" s="9"/>
      <c r="I902" s="9" t="s">
        <v>25</v>
      </c>
      <c r="J902" s="9" t="s">
        <v>30</v>
      </c>
      <c r="K902" s="9">
        <v>2000</v>
      </c>
      <c r="L902" s="39"/>
      <c r="M902" s="7" t="s">
        <v>1</v>
      </c>
      <c r="N902" s="8"/>
      <c r="O902" s="40"/>
      <c r="P902" s="15"/>
      <c r="Q902" s="9" t="s">
        <v>1690</v>
      </c>
      <c r="R902" s="9"/>
      <c r="S902" s="9"/>
      <c r="T902" s="9"/>
      <c r="U902" s="16" t="s">
        <v>123</v>
      </c>
      <c r="V902" s="9">
        <v>1804870</v>
      </c>
      <c r="W902" s="8" t="s">
        <v>742</v>
      </c>
      <c r="X902" s="8"/>
      <c r="Y902" s="8"/>
      <c r="Z902" s="8"/>
      <c r="AA902" s="8"/>
      <c r="AB902" s="8"/>
      <c r="AC902" s="8" t="s">
        <v>190</v>
      </c>
      <c r="AD902" s="14" t="s">
        <v>191</v>
      </c>
      <c r="AE902" s="8" t="s">
        <v>192</v>
      </c>
      <c r="AF902" s="14">
        <v>2</v>
      </c>
      <c r="AG902" s="8">
        <v>1000</v>
      </c>
      <c r="AH902" s="8"/>
      <c r="AI902" s="8"/>
      <c r="AJ902" s="8"/>
      <c r="AK902" s="127"/>
      <c r="AL902" s="103">
        <v>39.9</v>
      </c>
      <c r="AM902" s="8">
        <v>0</v>
      </c>
      <c r="AN902" s="21">
        <v>0</v>
      </c>
      <c r="AO902" s="21">
        <v>0</v>
      </c>
      <c r="AP902" s="21">
        <v>0</v>
      </c>
      <c r="AQ902" s="21">
        <v>0</v>
      </c>
      <c r="AR902" s="21">
        <v>0</v>
      </c>
      <c r="AS902" s="8">
        <v>39.9</v>
      </c>
      <c r="AT902" s="21">
        <v>39.9</v>
      </c>
      <c r="AU902" s="21">
        <v>0</v>
      </c>
      <c r="AV902" s="21">
        <v>0</v>
      </c>
      <c r="AW902" s="21">
        <v>0</v>
      </c>
      <c r="AX902" s="21">
        <v>0</v>
      </c>
      <c r="AY902" s="8">
        <v>0</v>
      </c>
    </row>
    <row r="903" spans="1:51" ht="15" customHeight="1" x14ac:dyDescent="0.25">
      <c r="A903" s="9">
        <v>744</v>
      </c>
      <c r="B903" s="13"/>
      <c r="C903" s="9" t="s">
        <v>169</v>
      </c>
      <c r="D903" s="9"/>
      <c r="E903" s="8"/>
      <c r="F903" s="9" t="s">
        <v>1490</v>
      </c>
      <c r="G903" s="79" t="s">
        <v>1687</v>
      </c>
      <c r="H903" s="9"/>
      <c r="I903" s="9" t="s">
        <v>48</v>
      </c>
      <c r="J903" s="9" t="s">
        <v>39</v>
      </c>
      <c r="K903" s="9">
        <v>1000</v>
      </c>
      <c r="L903" s="39"/>
      <c r="M903" s="7" t="s">
        <v>1</v>
      </c>
      <c r="N903" s="8"/>
      <c r="O903" s="40"/>
      <c r="P903" s="15"/>
      <c r="Q903" s="9" t="s">
        <v>264</v>
      </c>
      <c r="R903" s="9"/>
      <c r="S903" s="9"/>
      <c r="T903" s="9"/>
      <c r="U903" s="16" t="s">
        <v>133</v>
      </c>
      <c r="V903" s="9">
        <v>3900141</v>
      </c>
      <c r="W903" s="8" t="s">
        <v>646</v>
      </c>
      <c r="X903" s="8"/>
      <c r="Y903" s="8"/>
      <c r="Z903" s="8"/>
      <c r="AA903" s="8"/>
      <c r="AB903" s="8"/>
      <c r="AC903" s="8" t="s">
        <v>228</v>
      </c>
      <c r="AD903" s="14" t="s">
        <v>229</v>
      </c>
      <c r="AE903" s="8" t="s">
        <v>230</v>
      </c>
      <c r="AF903" s="14">
        <v>0.43</v>
      </c>
      <c r="AG903" s="8">
        <v>1220</v>
      </c>
      <c r="AH903" s="8"/>
      <c r="AI903" s="8"/>
      <c r="AJ903" s="8"/>
      <c r="AK903" s="127"/>
      <c r="AL903" s="103">
        <v>8.01</v>
      </c>
      <c r="AM903" s="8">
        <v>0</v>
      </c>
      <c r="AN903" s="21">
        <v>0</v>
      </c>
      <c r="AO903" s="21">
        <v>0</v>
      </c>
      <c r="AP903" s="21">
        <v>0</v>
      </c>
      <c r="AQ903" s="21">
        <v>0</v>
      </c>
      <c r="AR903" s="21">
        <v>0</v>
      </c>
      <c r="AS903" s="8">
        <v>8.01</v>
      </c>
      <c r="AT903" s="21">
        <v>8.01</v>
      </c>
      <c r="AU903" s="21">
        <v>0</v>
      </c>
      <c r="AV903" s="21">
        <v>0</v>
      </c>
      <c r="AW903" s="21">
        <v>0</v>
      </c>
      <c r="AX903" s="21">
        <v>0</v>
      </c>
      <c r="AY903" s="8">
        <v>0</v>
      </c>
    </row>
    <row r="904" spans="1:51" ht="15" customHeight="1" x14ac:dyDescent="0.25">
      <c r="A904" s="9">
        <v>742</v>
      </c>
      <c r="B904" s="13"/>
      <c r="C904" s="9" t="s">
        <v>169</v>
      </c>
      <c r="D904" s="9"/>
      <c r="E904" s="8"/>
      <c r="F904" s="9" t="s">
        <v>1531</v>
      </c>
      <c r="G904" s="79" t="s">
        <v>1687</v>
      </c>
      <c r="H904" s="9"/>
      <c r="I904" s="9" t="s">
        <v>25</v>
      </c>
      <c r="J904" s="9" t="s">
        <v>28</v>
      </c>
      <c r="K904" s="9">
        <v>1000</v>
      </c>
      <c r="L904" s="39"/>
      <c r="M904" s="7" t="s">
        <v>1</v>
      </c>
      <c r="N904" s="8"/>
      <c r="O904" s="40"/>
      <c r="P904" s="15"/>
      <c r="Q904" s="9" t="s">
        <v>1691</v>
      </c>
      <c r="R904" s="9"/>
      <c r="S904" s="9"/>
      <c r="T904" s="9"/>
      <c r="U904" s="16" t="s">
        <v>882</v>
      </c>
      <c r="V904" s="9">
        <v>2426078</v>
      </c>
      <c r="W904" s="8" t="s">
        <v>596</v>
      </c>
      <c r="X904" s="8"/>
      <c r="Y904" s="8"/>
      <c r="Z904" s="8"/>
      <c r="AA904" s="8"/>
      <c r="AB904" s="8"/>
      <c r="AC904" s="8" t="s">
        <v>190</v>
      </c>
      <c r="AD904" s="14" t="s">
        <v>191</v>
      </c>
      <c r="AE904" s="8" t="s">
        <v>346</v>
      </c>
      <c r="AF904" s="14">
        <v>1</v>
      </c>
      <c r="AG904" s="8">
        <v>1320</v>
      </c>
      <c r="AH904" s="8"/>
      <c r="AI904" s="8"/>
      <c r="AJ904" s="8"/>
      <c r="AK904" s="127"/>
      <c r="AL904" s="103">
        <v>38.825000000000003</v>
      </c>
      <c r="AM904" s="8">
        <v>0</v>
      </c>
      <c r="AN904" s="21">
        <v>0</v>
      </c>
      <c r="AO904" s="21">
        <v>0</v>
      </c>
      <c r="AP904" s="21">
        <v>0</v>
      </c>
      <c r="AQ904" s="21">
        <v>0</v>
      </c>
      <c r="AR904" s="21">
        <v>0</v>
      </c>
      <c r="AS904" s="8">
        <v>38.825000000000003</v>
      </c>
      <c r="AT904" s="21">
        <v>38.825000000000003</v>
      </c>
      <c r="AU904" s="21">
        <v>0</v>
      </c>
      <c r="AV904" s="21">
        <v>0</v>
      </c>
      <c r="AW904" s="21">
        <v>0</v>
      </c>
      <c r="AX904" s="21">
        <v>0</v>
      </c>
      <c r="AY904" s="8">
        <v>0</v>
      </c>
    </row>
    <row r="905" spans="1:51" ht="15" customHeight="1" x14ac:dyDescent="0.25">
      <c r="A905" s="9">
        <v>743</v>
      </c>
      <c r="B905" s="13"/>
      <c r="C905" s="9" t="s">
        <v>169</v>
      </c>
      <c r="D905" s="9"/>
      <c r="E905" s="8"/>
      <c r="F905" s="9" t="s">
        <v>1488</v>
      </c>
      <c r="G905" s="79" t="s">
        <v>1687</v>
      </c>
      <c r="H905" s="9"/>
      <c r="I905" s="9" t="s">
        <v>38</v>
      </c>
      <c r="J905" s="9" t="s">
        <v>28</v>
      </c>
      <c r="K905" s="9">
        <v>1000</v>
      </c>
      <c r="L905" s="39"/>
      <c r="M905" s="7" t="s">
        <v>1</v>
      </c>
      <c r="N905" s="8"/>
      <c r="O905" s="40"/>
      <c r="P905" s="15"/>
      <c r="Q905" s="9" t="s">
        <v>1691</v>
      </c>
      <c r="R905" s="9"/>
      <c r="S905" s="9"/>
      <c r="T905" s="9"/>
      <c r="U905" s="16" t="s">
        <v>316</v>
      </c>
      <c r="V905" s="9">
        <v>3200143</v>
      </c>
      <c r="W905" s="8" t="s">
        <v>1715</v>
      </c>
      <c r="X905" s="8"/>
      <c r="Y905" s="8"/>
      <c r="Z905" s="8"/>
      <c r="AA905" s="8"/>
      <c r="AB905" s="8"/>
      <c r="AC905" s="8" t="s">
        <v>222</v>
      </c>
      <c r="AD905" s="14" t="s">
        <v>223</v>
      </c>
      <c r="AE905" s="8" t="s">
        <v>301</v>
      </c>
      <c r="AF905" s="14">
        <v>0.37</v>
      </c>
      <c r="AG905" s="8">
        <v>1245</v>
      </c>
      <c r="AH905" s="8"/>
      <c r="AI905" s="8"/>
      <c r="AJ905" s="8"/>
      <c r="AK905" s="127"/>
      <c r="AL905" s="103">
        <v>12.63</v>
      </c>
      <c r="AM905" s="8">
        <v>0</v>
      </c>
      <c r="AN905" s="21">
        <v>0</v>
      </c>
      <c r="AO905" s="21">
        <v>0</v>
      </c>
      <c r="AP905" s="21">
        <v>0</v>
      </c>
      <c r="AQ905" s="21">
        <v>0</v>
      </c>
      <c r="AR905" s="21">
        <v>0</v>
      </c>
      <c r="AS905" s="8">
        <v>12.63</v>
      </c>
      <c r="AT905" s="21">
        <v>12.63</v>
      </c>
      <c r="AU905" s="21">
        <v>0</v>
      </c>
      <c r="AV905" s="21">
        <v>0</v>
      </c>
      <c r="AW905" s="21">
        <v>0</v>
      </c>
      <c r="AX905" s="21">
        <v>0</v>
      </c>
      <c r="AY905" s="8">
        <v>0</v>
      </c>
    </row>
    <row r="906" spans="1:51" ht="15" customHeight="1" x14ac:dyDescent="0.25">
      <c r="A906" s="9">
        <v>744</v>
      </c>
      <c r="B906" s="13"/>
      <c r="C906" s="9" t="s">
        <v>1686</v>
      </c>
      <c r="D906" s="9"/>
      <c r="E906" s="8"/>
      <c r="F906" s="9" t="s">
        <v>1646</v>
      </c>
      <c r="G906" s="79" t="s">
        <v>1687</v>
      </c>
      <c r="H906" s="9"/>
      <c r="I906" s="9" t="s">
        <v>48</v>
      </c>
      <c r="J906" s="9" t="s">
        <v>39</v>
      </c>
      <c r="K906" s="9">
        <v>1000</v>
      </c>
      <c r="L906" s="39"/>
      <c r="M906" s="7" t="s">
        <v>1</v>
      </c>
      <c r="N906" s="8"/>
      <c r="O906" s="40"/>
      <c r="P906" s="15"/>
      <c r="Q906" s="9" t="s">
        <v>264</v>
      </c>
      <c r="R906" s="9"/>
      <c r="S906" s="9"/>
      <c r="T906" s="9"/>
      <c r="U906" s="16" t="s">
        <v>105</v>
      </c>
      <c r="V906" s="9">
        <v>1640840</v>
      </c>
      <c r="W906" s="8" t="s">
        <v>404</v>
      </c>
      <c r="X906" s="8"/>
      <c r="Y906" s="8"/>
      <c r="Z906" s="8"/>
      <c r="AA906" s="8"/>
      <c r="AB906" s="8"/>
      <c r="AC906" s="8" t="s">
        <v>228</v>
      </c>
      <c r="AD906" s="14" t="s">
        <v>229</v>
      </c>
      <c r="AE906" s="8" t="s">
        <v>342</v>
      </c>
      <c r="AF906" s="14">
        <v>0.45</v>
      </c>
      <c r="AG906" s="8">
        <v>1220</v>
      </c>
      <c r="AH906" s="8"/>
      <c r="AI906" s="8"/>
      <c r="AJ906" s="8"/>
      <c r="AK906" s="127"/>
      <c r="AL906" s="103">
        <v>4.4050000000000002</v>
      </c>
      <c r="AM906" s="8">
        <v>0</v>
      </c>
      <c r="AN906" s="21">
        <v>0</v>
      </c>
      <c r="AO906" s="21">
        <v>0</v>
      </c>
      <c r="AP906" s="21">
        <v>0</v>
      </c>
      <c r="AQ906" s="21">
        <v>0</v>
      </c>
      <c r="AR906" s="21">
        <v>0</v>
      </c>
      <c r="AS906" s="8">
        <v>4.4050000000000002</v>
      </c>
      <c r="AT906" s="21">
        <v>4.4050000000000002</v>
      </c>
      <c r="AU906" s="21">
        <v>0</v>
      </c>
      <c r="AV906" s="21">
        <v>0</v>
      </c>
      <c r="AW906" s="21">
        <v>0</v>
      </c>
      <c r="AX906" s="21">
        <v>0</v>
      </c>
      <c r="AY906" s="8">
        <v>0</v>
      </c>
    </row>
    <row r="907" spans="1:51" ht="15" customHeight="1" x14ac:dyDescent="0.25">
      <c r="A907" s="9">
        <v>744</v>
      </c>
      <c r="B907" s="13"/>
      <c r="C907" s="9" t="s">
        <v>1686</v>
      </c>
      <c r="D907" s="9"/>
      <c r="E907" s="8"/>
      <c r="F907" s="9" t="s">
        <v>1647</v>
      </c>
      <c r="G907" s="79" t="s">
        <v>1687</v>
      </c>
      <c r="H907" s="9"/>
      <c r="I907" s="9" t="s">
        <v>48</v>
      </c>
      <c r="J907" s="9" t="s">
        <v>39</v>
      </c>
      <c r="K907" s="9">
        <v>1000</v>
      </c>
      <c r="L907" s="39"/>
      <c r="M907" s="7" t="s">
        <v>1</v>
      </c>
      <c r="N907" s="8"/>
      <c r="O907" s="40"/>
      <c r="P907" s="15"/>
      <c r="Q907" s="9" t="s">
        <v>264</v>
      </c>
      <c r="R907" s="9"/>
      <c r="S907" s="9"/>
      <c r="T907" s="9"/>
      <c r="U907" s="16" t="s">
        <v>105</v>
      </c>
      <c r="V907" s="9">
        <v>1640840</v>
      </c>
      <c r="W907" s="8" t="s">
        <v>404</v>
      </c>
      <c r="X907" s="8"/>
      <c r="Y907" s="8"/>
      <c r="Z907" s="8"/>
      <c r="AA907" s="8"/>
      <c r="AB907" s="8"/>
      <c r="AC907" s="8" t="s">
        <v>228</v>
      </c>
      <c r="AD907" s="14" t="s">
        <v>229</v>
      </c>
      <c r="AE907" s="8" t="s">
        <v>342</v>
      </c>
      <c r="AF907" s="14">
        <v>0.45</v>
      </c>
      <c r="AG907" s="8">
        <v>1220</v>
      </c>
      <c r="AH907" s="8"/>
      <c r="AI907" s="8"/>
      <c r="AJ907" s="8"/>
      <c r="AK907" s="127"/>
      <c r="AL907" s="103">
        <v>4.91</v>
      </c>
      <c r="AM907" s="8">
        <v>0</v>
      </c>
      <c r="AN907" s="21">
        <v>0</v>
      </c>
      <c r="AO907" s="21">
        <v>0</v>
      </c>
      <c r="AP907" s="21">
        <v>0</v>
      </c>
      <c r="AQ907" s="21">
        <v>0</v>
      </c>
      <c r="AR907" s="21">
        <v>0</v>
      </c>
      <c r="AS907" s="8">
        <v>4.91</v>
      </c>
      <c r="AT907" s="21">
        <v>4.91</v>
      </c>
      <c r="AU907" s="21">
        <v>0</v>
      </c>
      <c r="AV907" s="21">
        <v>0</v>
      </c>
      <c r="AW907" s="21">
        <v>0</v>
      </c>
      <c r="AX907" s="21">
        <v>0</v>
      </c>
      <c r="AY907" s="8">
        <v>0</v>
      </c>
    </row>
    <row r="908" spans="1:51" ht="15" customHeight="1" x14ac:dyDescent="0.25">
      <c r="A908" s="9">
        <v>744</v>
      </c>
      <c r="B908" s="13"/>
      <c r="C908" s="9" t="s">
        <v>1686</v>
      </c>
      <c r="D908" s="9"/>
      <c r="E908" s="8"/>
      <c r="F908" s="9" t="s">
        <v>1648</v>
      </c>
      <c r="G908" s="79" t="s">
        <v>1687</v>
      </c>
      <c r="H908" s="9"/>
      <c r="I908" s="9" t="s">
        <v>48</v>
      </c>
      <c r="J908" s="9" t="s">
        <v>39</v>
      </c>
      <c r="K908" s="9">
        <v>1000</v>
      </c>
      <c r="L908" s="39"/>
      <c r="M908" s="7" t="s">
        <v>1</v>
      </c>
      <c r="N908" s="8"/>
      <c r="O908" s="40"/>
      <c r="P908" s="15"/>
      <c r="Q908" s="9" t="s">
        <v>264</v>
      </c>
      <c r="R908" s="9"/>
      <c r="S908" s="9"/>
      <c r="T908" s="9"/>
      <c r="U908" s="16" t="s">
        <v>105</v>
      </c>
      <c r="V908" s="9">
        <v>1641099</v>
      </c>
      <c r="W908" s="8" t="s">
        <v>1702</v>
      </c>
      <c r="X908" s="8"/>
      <c r="Y908" s="8"/>
      <c r="Z908" s="8"/>
      <c r="AA908" s="8"/>
      <c r="AB908" s="8"/>
      <c r="AC908" s="8" t="s">
        <v>228</v>
      </c>
      <c r="AD908" s="14" t="s">
        <v>229</v>
      </c>
      <c r="AE908" s="8" t="s">
        <v>342</v>
      </c>
      <c r="AF908" s="14">
        <v>0.6</v>
      </c>
      <c r="AG908" s="8">
        <v>1220</v>
      </c>
      <c r="AH908" s="8"/>
      <c r="AI908" s="8"/>
      <c r="AJ908" s="8"/>
      <c r="AK908" s="127"/>
      <c r="AL908" s="103">
        <v>4.08</v>
      </c>
      <c r="AM908" s="8">
        <v>0</v>
      </c>
      <c r="AN908" s="21">
        <v>0</v>
      </c>
      <c r="AO908" s="21">
        <v>0</v>
      </c>
      <c r="AP908" s="21">
        <v>0</v>
      </c>
      <c r="AQ908" s="21">
        <v>0</v>
      </c>
      <c r="AR908" s="21">
        <v>0</v>
      </c>
      <c r="AS908" s="8">
        <v>4.08</v>
      </c>
      <c r="AT908" s="21">
        <v>4.08</v>
      </c>
      <c r="AU908" s="21">
        <v>0</v>
      </c>
      <c r="AV908" s="21">
        <v>0</v>
      </c>
      <c r="AW908" s="21">
        <v>0</v>
      </c>
      <c r="AX908" s="21">
        <v>0</v>
      </c>
      <c r="AY908" s="8">
        <v>0</v>
      </c>
    </row>
    <row r="909" spans="1:51" ht="15" customHeight="1" x14ac:dyDescent="0.25">
      <c r="A909" s="9">
        <v>744</v>
      </c>
      <c r="B909" s="13"/>
      <c r="C909" s="9" t="s">
        <v>1686</v>
      </c>
      <c r="D909" s="9"/>
      <c r="E909" s="8"/>
      <c r="F909" s="9" t="s">
        <v>1649</v>
      </c>
      <c r="G909" s="79" t="s">
        <v>1687</v>
      </c>
      <c r="H909" s="9"/>
      <c r="I909" s="9" t="s">
        <v>48</v>
      </c>
      <c r="J909" s="9" t="s">
        <v>39</v>
      </c>
      <c r="K909" s="9">
        <v>1000</v>
      </c>
      <c r="L909" s="39"/>
      <c r="M909" s="7" t="s">
        <v>1</v>
      </c>
      <c r="N909" s="8"/>
      <c r="O909" s="40"/>
      <c r="P909" s="15"/>
      <c r="Q909" s="9" t="s">
        <v>264</v>
      </c>
      <c r="R909" s="9"/>
      <c r="S909" s="9"/>
      <c r="T909" s="9"/>
      <c r="U909" s="16" t="s">
        <v>105</v>
      </c>
      <c r="V909" s="9">
        <v>1641131</v>
      </c>
      <c r="W909" s="8" t="s">
        <v>1716</v>
      </c>
      <c r="X909" s="8"/>
      <c r="Y909" s="8"/>
      <c r="Z909" s="8"/>
      <c r="AA909" s="8"/>
      <c r="AB909" s="8"/>
      <c r="AC909" s="8" t="s">
        <v>228</v>
      </c>
      <c r="AD909" s="14" t="s">
        <v>229</v>
      </c>
      <c r="AE909" s="8" t="s">
        <v>342</v>
      </c>
      <c r="AF909" s="14">
        <v>0.65</v>
      </c>
      <c r="AG909" s="8">
        <v>1220</v>
      </c>
      <c r="AH909" s="8"/>
      <c r="AI909" s="8"/>
      <c r="AJ909" s="8"/>
      <c r="AK909" s="127"/>
      <c r="AL909" s="103">
        <v>4.24</v>
      </c>
      <c r="AM909" s="8">
        <v>0</v>
      </c>
      <c r="AN909" s="21">
        <v>0</v>
      </c>
      <c r="AO909" s="21">
        <v>0</v>
      </c>
      <c r="AP909" s="21">
        <v>0</v>
      </c>
      <c r="AQ909" s="21">
        <v>0</v>
      </c>
      <c r="AR909" s="21">
        <v>0</v>
      </c>
      <c r="AS909" s="8">
        <v>4.24</v>
      </c>
      <c r="AT909" s="21">
        <v>4.24</v>
      </c>
      <c r="AU909" s="21">
        <v>0</v>
      </c>
      <c r="AV909" s="21">
        <v>0</v>
      </c>
      <c r="AW909" s="21">
        <v>0</v>
      </c>
      <c r="AX909" s="21">
        <v>0</v>
      </c>
      <c r="AY909" s="8">
        <v>0</v>
      </c>
    </row>
    <row r="910" spans="1:51" ht="15" customHeight="1" x14ac:dyDescent="0.25">
      <c r="A910" s="9">
        <v>744</v>
      </c>
      <c r="B910" s="13"/>
      <c r="C910" s="9" t="s">
        <v>1686</v>
      </c>
      <c r="D910" s="9"/>
      <c r="E910" s="8"/>
      <c r="F910" s="9" t="s">
        <v>1650</v>
      </c>
      <c r="G910" s="79" t="s">
        <v>1687</v>
      </c>
      <c r="H910" s="9"/>
      <c r="I910" s="9" t="s">
        <v>48</v>
      </c>
      <c r="J910" s="9" t="s">
        <v>39</v>
      </c>
      <c r="K910" s="9">
        <v>1000</v>
      </c>
      <c r="L910" s="39"/>
      <c r="M910" s="7" t="s">
        <v>1</v>
      </c>
      <c r="N910" s="8"/>
      <c r="O910" s="40"/>
      <c r="P910" s="15"/>
      <c r="Q910" s="9" t="s">
        <v>264</v>
      </c>
      <c r="R910" s="9"/>
      <c r="S910" s="9"/>
      <c r="T910" s="9"/>
      <c r="U910" s="16" t="s">
        <v>105</v>
      </c>
      <c r="V910" s="9">
        <v>3408372</v>
      </c>
      <c r="W910" s="8" t="s">
        <v>1717</v>
      </c>
      <c r="X910" s="8"/>
      <c r="Y910" s="8"/>
      <c r="Z910" s="8"/>
      <c r="AA910" s="8"/>
      <c r="AB910" s="8"/>
      <c r="AC910" s="8" t="s">
        <v>228</v>
      </c>
      <c r="AD910" s="14" t="s">
        <v>229</v>
      </c>
      <c r="AE910" s="8" t="s">
        <v>342</v>
      </c>
      <c r="AF910" s="14">
        <v>0.72</v>
      </c>
      <c r="AG910" s="8">
        <v>1220</v>
      </c>
      <c r="AH910" s="8"/>
      <c r="AI910" s="8"/>
      <c r="AJ910" s="8"/>
      <c r="AK910" s="127"/>
      <c r="AL910" s="103">
        <v>4.63</v>
      </c>
      <c r="AM910" s="8">
        <v>0</v>
      </c>
      <c r="AN910" s="21">
        <v>0</v>
      </c>
      <c r="AO910" s="21">
        <v>0</v>
      </c>
      <c r="AP910" s="21">
        <v>0</v>
      </c>
      <c r="AQ910" s="21">
        <v>0</v>
      </c>
      <c r="AR910" s="21">
        <v>0</v>
      </c>
      <c r="AS910" s="8">
        <v>4.63</v>
      </c>
      <c r="AT910" s="21">
        <v>4.63</v>
      </c>
      <c r="AU910" s="21">
        <v>0</v>
      </c>
      <c r="AV910" s="21">
        <v>0</v>
      </c>
      <c r="AW910" s="21">
        <v>0</v>
      </c>
      <c r="AX910" s="21">
        <v>0</v>
      </c>
      <c r="AY910" s="8">
        <v>0</v>
      </c>
    </row>
    <row r="911" spans="1:51" ht="15" customHeight="1" x14ac:dyDescent="0.25">
      <c r="A911" s="9">
        <v>744</v>
      </c>
      <c r="B911" s="13"/>
      <c r="C911" s="9" t="s">
        <v>1686</v>
      </c>
      <c r="D911" s="9"/>
      <c r="E911" s="8"/>
      <c r="F911" s="9" t="s">
        <v>1651</v>
      </c>
      <c r="G911" s="79" t="s">
        <v>1687</v>
      </c>
      <c r="H911" s="9"/>
      <c r="I911" s="9" t="s">
        <v>48</v>
      </c>
      <c r="J911" s="9" t="s">
        <v>39</v>
      </c>
      <c r="K911" s="9">
        <v>1000</v>
      </c>
      <c r="L911" s="39"/>
      <c r="M911" s="7" t="s">
        <v>1</v>
      </c>
      <c r="N911" s="8"/>
      <c r="O911" s="40"/>
      <c r="P911" s="15"/>
      <c r="Q911" s="9" t="s">
        <v>264</v>
      </c>
      <c r="R911" s="9"/>
      <c r="S911" s="9"/>
      <c r="T911" s="9"/>
      <c r="U911" s="16" t="s">
        <v>105</v>
      </c>
      <c r="V911" s="9">
        <v>3440211</v>
      </c>
      <c r="W911" s="8" t="s">
        <v>1718</v>
      </c>
      <c r="X911" s="8"/>
      <c r="Y911" s="8"/>
      <c r="Z911" s="8"/>
      <c r="AA911" s="8"/>
      <c r="AB911" s="8"/>
      <c r="AC911" s="8" t="s">
        <v>228</v>
      </c>
      <c r="AD911" s="14" t="s">
        <v>229</v>
      </c>
      <c r="AE911" s="8" t="s">
        <v>342</v>
      </c>
      <c r="AF911" s="14">
        <v>0.32</v>
      </c>
      <c r="AG911" s="8">
        <v>1220</v>
      </c>
      <c r="AH911" s="8"/>
      <c r="AI911" s="8"/>
      <c r="AJ911" s="8"/>
      <c r="AK911" s="127"/>
      <c r="AL911" s="103">
        <v>12.555</v>
      </c>
      <c r="AM911" s="8">
        <v>0</v>
      </c>
      <c r="AN911" s="21">
        <v>0</v>
      </c>
      <c r="AO911" s="21">
        <v>0</v>
      </c>
      <c r="AP911" s="21">
        <v>0</v>
      </c>
      <c r="AQ911" s="21">
        <v>0</v>
      </c>
      <c r="AR911" s="21">
        <v>0</v>
      </c>
      <c r="AS911" s="8">
        <v>12.555</v>
      </c>
      <c r="AT911" s="21">
        <v>12.555</v>
      </c>
      <c r="AU911" s="21">
        <v>0</v>
      </c>
      <c r="AV911" s="21">
        <v>0</v>
      </c>
      <c r="AW911" s="21">
        <v>0</v>
      </c>
      <c r="AX911" s="21">
        <v>0</v>
      </c>
      <c r="AY911" s="8">
        <v>0</v>
      </c>
    </row>
    <row r="912" spans="1:51" ht="15" customHeight="1" x14ac:dyDescent="0.25">
      <c r="A912" s="9">
        <v>744</v>
      </c>
      <c r="B912" s="13"/>
      <c r="C912" s="9" t="s">
        <v>169</v>
      </c>
      <c r="D912" s="9"/>
      <c r="E912" s="8"/>
      <c r="F912" s="9" t="s">
        <v>1508</v>
      </c>
      <c r="G912" s="79" t="s">
        <v>1687</v>
      </c>
      <c r="H912" s="9"/>
      <c r="I912" s="9" t="s">
        <v>48</v>
      </c>
      <c r="J912" s="9" t="s">
        <v>39</v>
      </c>
      <c r="K912" s="9">
        <v>1000</v>
      </c>
      <c r="L912" s="39"/>
      <c r="M912" s="7" t="s">
        <v>1</v>
      </c>
      <c r="N912" s="8"/>
      <c r="O912" s="40"/>
      <c r="P912" s="15"/>
      <c r="Q912" s="9" t="s">
        <v>264</v>
      </c>
      <c r="R912" s="9"/>
      <c r="S912" s="9"/>
      <c r="T912" s="9"/>
      <c r="U912" s="16" t="s">
        <v>105</v>
      </c>
      <c r="V912" s="9">
        <v>3960726</v>
      </c>
      <c r="W912" s="8" t="s">
        <v>1719</v>
      </c>
      <c r="X912" s="8"/>
      <c r="Y912" s="8"/>
      <c r="Z912" s="8"/>
      <c r="AA912" s="8"/>
      <c r="AB912" s="8"/>
      <c r="AC912" s="8" t="s">
        <v>228</v>
      </c>
      <c r="AD912" s="14" t="s">
        <v>229</v>
      </c>
      <c r="AE912" s="8" t="s">
        <v>354</v>
      </c>
      <c r="AF912" s="14">
        <v>0.45</v>
      </c>
      <c r="AG912" s="8">
        <v>1220</v>
      </c>
      <c r="AH912" s="8"/>
      <c r="AI912" s="8"/>
      <c r="AJ912" s="8"/>
      <c r="AK912" s="127"/>
      <c r="AL912" s="103">
        <v>4.1950000000000003</v>
      </c>
      <c r="AM912" s="8">
        <v>0</v>
      </c>
      <c r="AN912" s="21">
        <v>0</v>
      </c>
      <c r="AO912" s="21">
        <v>0</v>
      </c>
      <c r="AP912" s="21">
        <v>0</v>
      </c>
      <c r="AQ912" s="21">
        <v>0</v>
      </c>
      <c r="AR912" s="21">
        <v>0</v>
      </c>
      <c r="AS912" s="8">
        <v>4.1950000000000003</v>
      </c>
      <c r="AT912" s="21">
        <v>4.1950000000000003</v>
      </c>
      <c r="AU912" s="21">
        <v>0</v>
      </c>
      <c r="AV912" s="21">
        <v>0</v>
      </c>
      <c r="AW912" s="21">
        <v>0</v>
      </c>
      <c r="AX912" s="21">
        <v>0</v>
      </c>
      <c r="AY912" s="8">
        <v>0</v>
      </c>
    </row>
    <row r="913" spans="1:51" ht="15" customHeight="1" x14ac:dyDescent="0.25">
      <c r="A913" s="9">
        <v>744</v>
      </c>
      <c r="B913" s="13"/>
      <c r="C913" s="9" t="s">
        <v>169</v>
      </c>
      <c r="D913" s="9"/>
      <c r="E913" s="8"/>
      <c r="F913" s="9" t="s">
        <v>1500</v>
      </c>
      <c r="G913" s="79" t="s">
        <v>1687</v>
      </c>
      <c r="H913" s="9"/>
      <c r="I913" s="9" t="s">
        <v>48</v>
      </c>
      <c r="J913" s="9" t="s">
        <v>39</v>
      </c>
      <c r="K913" s="9">
        <v>1000</v>
      </c>
      <c r="L913" s="39"/>
      <c r="M913" s="7" t="s">
        <v>1</v>
      </c>
      <c r="N913" s="8"/>
      <c r="O913" s="40"/>
      <c r="P913" s="15"/>
      <c r="Q913" s="9" t="s">
        <v>264</v>
      </c>
      <c r="R913" s="9"/>
      <c r="S913" s="9"/>
      <c r="T913" s="9"/>
      <c r="U913" s="16" t="s">
        <v>105</v>
      </c>
      <c r="V913" s="9">
        <v>3902332</v>
      </c>
      <c r="W913" s="8" t="s">
        <v>353</v>
      </c>
      <c r="X913" s="8"/>
      <c r="Y913" s="8"/>
      <c r="Z913" s="8"/>
      <c r="AA913" s="8"/>
      <c r="AB913" s="8"/>
      <c r="AC913" s="8" t="s">
        <v>228</v>
      </c>
      <c r="AD913" s="14" t="s">
        <v>229</v>
      </c>
      <c r="AE913" s="8" t="s">
        <v>354</v>
      </c>
      <c r="AF913" s="14">
        <v>0.5</v>
      </c>
      <c r="AG913" s="8">
        <v>1220</v>
      </c>
      <c r="AH913" s="8"/>
      <c r="AI913" s="8"/>
      <c r="AJ913" s="8"/>
      <c r="AK913" s="127"/>
      <c r="AL913" s="103">
        <v>4.3949999999999996</v>
      </c>
      <c r="AM913" s="8">
        <v>0</v>
      </c>
      <c r="AN913" s="21">
        <v>0</v>
      </c>
      <c r="AO913" s="21">
        <v>0</v>
      </c>
      <c r="AP913" s="21">
        <v>0</v>
      </c>
      <c r="AQ913" s="21">
        <v>0</v>
      </c>
      <c r="AR913" s="21">
        <v>0</v>
      </c>
      <c r="AS913" s="8">
        <v>4.3949999999999996</v>
      </c>
      <c r="AT913" s="21">
        <v>4.3949999999999996</v>
      </c>
      <c r="AU913" s="21">
        <v>0</v>
      </c>
      <c r="AV913" s="21">
        <v>0</v>
      </c>
      <c r="AW913" s="21">
        <v>0</v>
      </c>
      <c r="AX913" s="21">
        <v>0</v>
      </c>
      <c r="AY913" s="8">
        <v>0</v>
      </c>
    </row>
    <row r="914" spans="1:51" ht="15" customHeight="1" x14ac:dyDescent="0.25">
      <c r="A914" s="9">
        <v>742</v>
      </c>
      <c r="B914" s="13"/>
      <c r="C914" s="9" t="s">
        <v>1686</v>
      </c>
      <c r="D914" s="9"/>
      <c r="E914" s="8"/>
      <c r="F914" s="9" t="s">
        <v>1652</v>
      </c>
      <c r="G914" s="79" t="s">
        <v>1687</v>
      </c>
      <c r="H914" s="9"/>
      <c r="I914" s="9" t="s">
        <v>25</v>
      </c>
      <c r="J914" s="9" t="s">
        <v>26</v>
      </c>
      <c r="K914" s="9">
        <v>2000</v>
      </c>
      <c r="L914" s="39"/>
      <c r="M914" s="7" t="s">
        <v>1</v>
      </c>
      <c r="N914" s="8"/>
      <c r="O914" s="40"/>
      <c r="P914" s="15"/>
      <c r="Q914" s="9" t="s">
        <v>1690</v>
      </c>
      <c r="R914" s="9"/>
      <c r="S914" s="9"/>
      <c r="T914" s="9"/>
      <c r="U914" s="16" t="s">
        <v>85</v>
      </c>
      <c r="V914" s="9">
        <v>3867647</v>
      </c>
      <c r="W914" s="8" t="s">
        <v>1707</v>
      </c>
      <c r="X914" s="8"/>
      <c r="Y914" s="8"/>
      <c r="Z914" s="8"/>
      <c r="AA914" s="8"/>
      <c r="AB914" s="8"/>
      <c r="AC914" s="8" t="s">
        <v>190</v>
      </c>
      <c r="AD914" s="14" t="s">
        <v>191</v>
      </c>
      <c r="AE914" s="8" t="s">
        <v>1726</v>
      </c>
      <c r="AF914" s="14">
        <v>0.6</v>
      </c>
      <c r="AG914" s="8">
        <v>1120</v>
      </c>
      <c r="AH914" s="8"/>
      <c r="AI914" s="8"/>
      <c r="AJ914" s="8"/>
      <c r="AK914" s="127"/>
      <c r="AL914" s="103">
        <v>5.31</v>
      </c>
      <c r="AM914" s="8">
        <v>0</v>
      </c>
      <c r="AN914" s="21">
        <v>0</v>
      </c>
      <c r="AO914" s="21">
        <v>0</v>
      </c>
      <c r="AP914" s="21">
        <v>0</v>
      </c>
      <c r="AQ914" s="21">
        <v>0</v>
      </c>
      <c r="AR914" s="21">
        <v>0</v>
      </c>
      <c r="AS914" s="8">
        <v>5.31</v>
      </c>
      <c r="AT914" s="21">
        <v>5.31</v>
      </c>
      <c r="AU914" s="21">
        <v>0</v>
      </c>
      <c r="AV914" s="21">
        <v>0</v>
      </c>
      <c r="AW914" s="21">
        <v>0</v>
      </c>
      <c r="AX914" s="21">
        <v>0</v>
      </c>
      <c r="AY914" s="8">
        <v>0</v>
      </c>
    </row>
    <row r="915" spans="1:51" ht="15" customHeight="1" x14ac:dyDescent="0.25">
      <c r="A915" s="9">
        <v>742</v>
      </c>
      <c r="B915" s="13"/>
      <c r="C915" s="9" t="s">
        <v>169</v>
      </c>
      <c r="D915" s="9"/>
      <c r="E915" s="8"/>
      <c r="F915" s="9" t="s">
        <v>1548</v>
      </c>
      <c r="G915" s="79" t="s">
        <v>1687</v>
      </c>
      <c r="H915" s="9"/>
      <c r="I915" s="9" t="s">
        <v>25</v>
      </c>
      <c r="J915" s="9" t="s">
        <v>30</v>
      </c>
      <c r="K915" s="9">
        <v>2000</v>
      </c>
      <c r="L915" s="39"/>
      <c r="M915" s="7" t="s">
        <v>1</v>
      </c>
      <c r="N915" s="8"/>
      <c r="O915" s="40"/>
      <c r="P915" s="15"/>
      <c r="Q915" s="9" t="s">
        <v>1689</v>
      </c>
      <c r="R915" s="9"/>
      <c r="S915" s="9"/>
      <c r="T915" s="9"/>
      <c r="U915" s="16" t="s">
        <v>82</v>
      </c>
      <c r="V915" s="9">
        <v>185675</v>
      </c>
      <c r="W915" s="8" t="s">
        <v>271</v>
      </c>
      <c r="X915" s="8"/>
      <c r="Y915" s="8"/>
      <c r="Z915" s="8"/>
      <c r="AA915" s="8"/>
      <c r="AB915" s="8"/>
      <c r="AC915" s="8" t="s">
        <v>190</v>
      </c>
      <c r="AD915" s="14" t="s">
        <v>191</v>
      </c>
      <c r="AE915" s="8" t="s">
        <v>192</v>
      </c>
      <c r="AF915" s="14">
        <v>0.5</v>
      </c>
      <c r="AG915" s="8">
        <v>1250</v>
      </c>
      <c r="AH915" s="8"/>
      <c r="AI915" s="8"/>
      <c r="AJ915" s="8"/>
      <c r="AK915" s="127"/>
      <c r="AL915" s="103">
        <v>25.75</v>
      </c>
      <c r="AM915" s="8">
        <v>0</v>
      </c>
      <c r="AN915" s="21">
        <v>0</v>
      </c>
      <c r="AO915" s="21">
        <v>0</v>
      </c>
      <c r="AP915" s="21">
        <v>0</v>
      </c>
      <c r="AQ915" s="21">
        <v>0</v>
      </c>
      <c r="AR915" s="21">
        <v>0</v>
      </c>
      <c r="AS915" s="8">
        <v>25.75</v>
      </c>
      <c r="AT915" s="21">
        <v>25.75</v>
      </c>
      <c r="AU915" s="21">
        <v>0</v>
      </c>
      <c r="AV915" s="21">
        <v>0</v>
      </c>
      <c r="AW915" s="21">
        <v>0</v>
      </c>
      <c r="AX915" s="21">
        <v>0</v>
      </c>
      <c r="AY915" s="8">
        <v>0</v>
      </c>
    </row>
    <row r="916" spans="1:51" ht="15" customHeight="1" x14ac:dyDescent="0.25">
      <c r="A916" s="9">
        <v>743</v>
      </c>
      <c r="B916" s="13"/>
      <c r="C916" s="9" t="s">
        <v>169</v>
      </c>
      <c r="D916" s="9"/>
      <c r="E916" s="8"/>
      <c r="F916" s="9" t="s">
        <v>1492</v>
      </c>
      <c r="G916" s="79" t="s">
        <v>1687</v>
      </c>
      <c r="H916" s="9"/>
      <c r="I916" s="9" t="s">
        <v>43</v>
      </c>
      <c r="J916" s="9" t="s">
        <v>1311</v>
      </c>
      <c r="K916" s="9">
        <v>2000</v>
      </c>
      <c r="L916" s="39"/>
      <c r="M916" s="7" t="s">
        <v>1</v>
      </c>
      <c r="N916" s="8"/>
      <c r="O916" s="40"/>
      <c r="P916" s="15"/>
      <c r="Q916" s="9" t="s">
        <v>1690</v>
      </c>
      <c r="R916" s="9"/>
      <c r="S916" s="9"/>
      <c r="T916" s="9"/>
      <c r="U916" s="16" t="s">
        <v>1396</v>
      </c>
      <c r="V916" s="9">
        <v>1854410</v>
      </c>
      <c r="W916" s="8" t="s">
        <v>394</v>
      </c>
      <c r="X916" s="8"/>
      <c r="Y916" s="8"/>
      <c r="Z916" s="8"/>
      <c r="AA916" s="8"/>
      <c r="AB916" s="8"/>
      <c r="AC916" s="8" t="s">
        <v>238</v>
      </c>
      <c r="AD916" s="14" t="s">
        <v>185</v>
      </c>
      <c r="AE916" s="8" t="s">
        <v>186</v>
      </c>
      <c r="AF916" s="14">
        <v>0.4</v>
      </c>
      <c r="AG916" s="8">
        <v>1220</v>
      </c>
      <c r="AH916" s="8"/>
      <c r="AI916" s="8"/>
      <c r="AJ916" s="8"/>
      <c r="AK916" s="127"/>
      <c r="AL916" s="103">
        <v>5.2750000000000004</v>
      </c>
      <c r="AM916" s="8">
        <v>0</v>
      </c>
      <c r="AN916" s="21">
        <v>0</v>
      </c>
      <c r="AO916" s="21">
        <v>0</v>
      </c>
      <c r="AP916" s="21">
        <v>0</v>
      </c>
      <c r="AQ916" s="21">
        <v>0</v>
      </c>
      <c r="AR916" s="21">
        <v>0</v>
      </c>
      <c r="AS916" s="8">
        <v>5.2750000000000004</v>
      </c>
      <c r="AT916" s="21">
        <v>5.2750000000000004</v>
      </c>
      <c r="AU916" s="21">
        <v>0</v>
      </c>
      <c r="AV916" s="21">
        <v>0</v>
      </c>
      <c r="AW916" s="21">
        <v>0</v>
      </c>
      <c r="AX916" s="21">
        <v>0</v>
      </c>
      <c r="AY916" s="8">
        <v>0</v>
      </c>
    </row>
    <row r="917" spans="1:51" ht="15" customHeight="1" x14ac:dyDescent="0.25">
      <c r="A917" s="9">
        <v>742</v>
      </c>
      <c r="B917" s="13"/>
      <c r="C917" s="9" t="s">
        <v>193</v>
      </c>
      <c r="D917" s="9"/>
      <c r="E917" s="8"/>
      <c r="F917" s="9" t="s">
        <v>1503</v>
      </c>
      <c r="G917" s="79" t="s">
        <v>1687</v>
      </c>
      <c r="H917" s="9"/>
      <c r="I917" s="9" t="s">
        <v>25</v>
      </c>
      <c r="J917" s="9" t="s">
        <v>29</v>
      </c>
      <c r="K917" s="9">
        <v>1000</v>
      </c>
      <c r="L917" s="39"/>
      <c r="M917" s="7" t="s">
        <v>1</v>
      </c>
      <c r="N917" s="8"/>
      <c r="O917" s="40"/>
      <c r="P917" s="15"/>
      <c r="Q917" s="9" t="s">
        <v>1688</v>
      </c>
      <c r="R917" s="9"/>
      <c r="S917" s="9"/>
      <c r="T917" s="9"/>
      <c r="U917" s="16" t="s">
        <v>67</v>
      </c>
      <c r="V917" s="9">
        <v>2439203</v>
      </c>
      <c r="W917" s="8" t="s">
        <v>288</v>
      </c>
      <c r="X917" s="8"/>
      <c r="Y917" s="8"/>
      <c r="Z917" s="8"/>
      <c r="AA917" s="8"/>
      <c r="AB917" s="8"/>
      <c r="AC917" s="8" t="s">
        <v>190</v>
      </c>
      <c r="AD917" s="14" t="s">
        <v>197</v>
      </c>
      <c r="AE917" s="8" t="s">
        <v>198</v>
      </c>
      <c r="AF917" s="14">
        <v>0.5</v>
      </c>
      <c r="AG917" s="8">
        <v>1160</v>
      </c>
      <c r="AH917" s="8"/>
      <c r="AI917" s="8"/>
      <c r="AJ917" s="8"/>
      <c r="AK917" s="127"/>
      <c r="AL917" s="103">
        <v>12.515000000000001</v>
      </c>
      <c r="AM917" s="8">
        <v>0</v>
      </c>
      <c r="AN917" s="21">
        <v>0</v>
      </c>
      <c r="AO917" s="21">
        <v>0</v>
      </c>
      <c r="AP917" s="21">
        <v>0</v>
      </c>
      <c r="AQ917" s="21">
        <v>0</v>
      </c>
      <c r="AR917" s="21">
        <v>0</v>
      </c>
      <c r="AS917" s="8">
        <v>12.515000000000001</v>
      </c>
      <c r="AT917" s="21">
        <v>12.515000000000001</v>
      </c>
      <c r="AU917" s="21">
        <v>0</v>
      </c>
      <c r="AV917" s="21">
        <v>0</v>
      </c>
      <c r="AW917" s="21">
        <v>0</v>
      </c>
      <c r="AX917" s="21">
        <v>0</v>
      </c>
      <c r="AY917" s="8">
        <v>0</v>
      </c>
    </row>
    <row r="918" spans="1:51" ht="15" customHeight="1" x14ac:dyDescent="0.25">
      <c r="A918" s="9">
        <v>743</v>
      </c>
      <c r="B918" s="13"/>
      <c r="C918" s="9" t="s">
        <v>169</v>
      </c>
      <c r="D918" s="9"/>
      <c r="E918" s="8"/>
      <c r="F918" s="9" t="s">
        <v>1504</v>
      </c>
      <c r="G918" s="79" t="s">
        <v>1687</v>
      </c>
      <c r="H918" s="9"/>
      <c r="I918" s="9" t="s">
        <v>43</v>
      </c>
      <c r="J918" s="9" t="s">
        <v>45</v>
      </c>
      <c r="K918" s="9">
        <v>2000</v>
      </c>
      <c r="L918" s="39"/>
      <c r="M918" s="7" t="s">
        <v>1</v>
      </c>
      <c r="N918" s="8"/>
      <c r="O918" s="40"/>
      <c r="P918" s="15"/>
      <c r="Q918" s="9" t="s">
        <v>1688</v>
      </c>
      <c r="R918" s="9"/>
      <c r="S918" s="9"/>
      <c r="T918" s="9"/>
      <c r="U918" s="16" t="s">
        <v>89</v>
      </c>
      <c r="V918" s="9">
        <v>1178439</v>
      </c>
      <c r="W918" s="8" t="s">
        <v>446</v>
      </c>
      <c r="X918" s="8"/>
      <c r="Y918" s="8"/>
      <c r="Z918" s="8"/>
      <c r="AA918" s="8"/>
      <c r="AB918" s="8"/>
      <c r="AC918" s="8" t="s">
        <v>238</v>
      </c>
      <c r="AD918" s="14" t="s">
        <v>185</v>
      </c>
      <c r="AE918" s="8" t="s">
        <v>186</v>
      </c>
      <c r="AF918" s="14">
        <v>0.4</v>
      </c>
      <c r="AG918" s="8">
        <v>900</v>
      </c>
      <c r="AH918" s="8"/>
      <c r="AI918" s="8"/>
      <c r="AJ918" s="8"/>
      <c r="AK918" s="127"/>
      <c r="AL918" s="103">
        <v>3.94</v>
      </c>
      <c r="AM918" s="8">
        <v>0</v>
      </c>
      <c r="AN918" s="21">
        <v>0</v>
      </c>
      <c r="AO918" s="21">
        <v>0</v>
      </c>
      <c r="AP918" s="21">
        <v>0</v>
      </c>
      <c r="AQ918" s="21">
        <v>0</v>
      </c>
      <c r="AR918" s="21">
        <v>0</v>
      </c>
      <c r="AS918" s="8">
        <v>3.94</v>
      </c>
      <c r="AT918" s="21">
        <v>3.94</v>
      </c>
      <c r="AU918" s="21">
        <v>0</v>
      </c>
      <c r="AV918" s="21">
        <v>0</v>
      </c>
      <c r="AW918" s="21">
        <v>0</v>
      </c>
      <c r="AX918" s="21">
        <v>0</v>
      </c>
      <c r="AY918" s="8">
        <v>0</v>
      </c>
    </row>
    <row r="919" spans="1:51" ht="15" customHeight="1" x14ac:dyDescent="0.25">
      <c r="A919" s="9">
        <v>744</v>
      </c>
      <c r="B919" s="13"/>
      <c r="C919" s="9" t="s">
        <v>169</v>
      </c>
      <c r="D919" s="9"/>
      <c r="E919" s="8"/>
      <c r="F919" s="9" t="s">
        <v>1514</v>
      </c>
      <c r="G919" s="79" t="s">
        <v>1687</v>
      </c>
      <c r="H919" s="9"/>
      <c r="I919" s="9" t="s">
        <v>48</v>
      </c>
      <c r="J919" s="9" t="s">
        <v>39</v>
      </c>
      <c r="K919" s="9">
        <v>1000</v>
      </c>
      <c r="L919" s="39"/>
      <c r="M919" s="7" t="s">
        <v>1</v>
      </c>
      <c r="N919" s="8"/>
      <c r="O919" s="40"/>
      <c r="P919" s="15"/>
      <c r="Q919" s="9" t="s">
        <v>264</v>
      </c>
      <c r="R919" s="9"/>
      <c r="S919" s="9"/>
      <c r="T919" s="9"/>
      <c r="U919" s="16" t="s">
        <v>133</v>
      </c>
      <c r="V919" s="9">
        <v>3930916</v>
      </c>
      <c r="W919" s="8" t="s">
        <v>682</v>
      </c>
      <c r="X919" s="8"/>
      <c r="Y919" s="8"/>
      <c r="Z919" s="8"/>
      <c r="AA919" s="8"/>
      <c r="AB919" s="8"/>
      <c r="AC919" s="8" t="s">
        <v>228</v>
      </c>
      <c r="AD919" s="14" t="s">
        <v>229</v>
      </c>
      <c r="AE919" s="8" t="s">
        <v>230</v>
      </c>
      <c r="AF919" s="14">
        <v>0.35</v>
      </c>
      <c r="AG919" s="8">
        <v>1220</v>
      </c>
      <c r="AH919" s="8"/>
      <c r="AI919" s="8"/>
      <c r="AJ919" s="8"/>
      <c r="AK919" s="127"/>
      <c r="AL919" s="103">
        <v>2.8149999999999999</v>
      </c>
      <c r="AM919" s="8">
        <v>0</v>
      </c>
      <c r="AN919" s="21">
        <v>0</v>
      </c>
      <c r="AO919" s="21">
        <v>0</v>
      </c>
      <c r="AP919" s="21">
        <v>0</v>
      </c>
      <c r="AQ919" s="21">
        <v>0</v>
      </c>
      <c r="AR919" s="21">
        <v>0</v>
      </c>
      <c r="AS919" s="8">
        <v>2.8149999999999999</v>
      </c>
      <c r="AT919" s="21">
        <v>2.8149999999999999</v>
      </c>
      <c r="AU919" s="21">
        <v>0</v>
      </c>
      <c r="AV919" s="21">
        <v>0</v>
      </c>
      <c r="AW919" s="21">
        <v>0</v>
      </c>
      <c r="AX919" s="21">
        <v>0</v>
      </c>
      <c r="AY919" s="8">
        <v>0</v>
      </c>
    </row>
    <row r="920" spans="1:51" ht="15" customHeight="1" x14ac:dyDescent="0.25">
      <c r="A920" s="9">
        <v>743</v>
      </c>
      <c r="B920" s="13"/>
      <c r="C920" s="9" t="s">
        <v>169</v>
      </c>
      <c r="D920" s="9"/>
      <c r="E920" s="8"/>
      <c r="F920" s="9" t="s">
        <v>1487</v>
      </c>
      <c r="G920" s="79" t="s">
        <v>1687</v>
      </c>
      <c r="H920" s="9"/>
      <c r="I920" s="9" t="s">
        <v>38</v>
      </c>
      <c r="J920" s="9" t="s">
        <v>41</v>
      </c>
      <c r="K920" s="9">
        <v>1000</v>
      </c>
      <c r="L920" s="39"/>
      <c r="M920" s="7" t="s">
        <v>1</v>
      </c>
      <c r="N920" s="8"/>
      <c r="O920" s="40"/>
      <c r="P920" s="15"/>
      <c r="Q920" s="9" t="s">
        <v>1691</v>
      </c>
      <c r="R920" s="9"/>
      <c r="S920" s="9"/>
      <c r="T920" s="9"/>
      <c r="U920" s="16" t="s">
        <v>109</v>
      </c>
      <c r="V920" s="9">
        <v>3924555</v>
      </c>
      <c r="W920" s="8" t="s">
        <v>381</v>
      </c>
      <c r="X920" s="8"/>
      <c r="Y920" s="8"/>
      <c r="Z920" s="8"/>
      <c r="AA920" s="8"/>
      <c r="AB920" s="8"/>
      <c r="AC920" s="8" t="s">
        <v>222</v>
      </c>
      <c r="AD920" s="14" t="s">
        <v>223</v>
      </c>
      <c r="AE920" s="8" t="s">
        <v>372</v>
      </c>
      <c r="AF920" s="14">
        <v>0.9</v>
      </c>
      <c r="AG920" s="8">
        <v>1045</v>
      </c>
      <c r="AH920" s="8"/>
      <c r="AI920" s="8"/>
      <c r="AJ920" s="8"/>
      <c r="AK920" s="127"/>
      <c r="AL920" s="103">
        <v>9.74</v>
      </c>
      <c r="AM920" s="8">
        <v>0</v>
      </c>
      <c r="AN920" s="21">
        <v>0</v>
      </c>
      <c r="AO920" s="21">
        <v>0</v>
      </c>
      <c r="AP920" s="21">
        <v>0</v>
      </c>
      <c r="AQ920" s="21">
        <v>0</v>
      </c>
      <c r="AR920" s="21">
        <v>0</v>
      </c>
      <c r="AS920" s="8">
        <v>9.74</v>
      </c>
      <c r="AT920" s="21">
        <v>9.74</v>
      </c>
      <c r="AU920" s="21">
        <v>0</v>
      </c>
      <c r="AV920" s="21">
        <v>0</v>
      </c>
      <c r="AW920" s="21">
        <v>0</v>
      </c>
      <c r="AX920" s="21">
        <v>0</v>
      </c>
      <c r="AY920" s="8">
        <v>0</v>
      </c>
    </row>
    <row r="921" spans="1:51" ht="15" customHeight="1" x14ac:dyDescent="0.25">
      <c r="A921" s="9">
        <v>744</v>
      </c>
      <c r="B921" s="13"/>
      <c r="C921" s="9" t="s">
        <v>169</v>
      </c>
      <c r="D921" s="9"/>
      <c r="E921" s="8"/>
      <c r="F921" s="9" t="s">
        <v>1498</v>
      </c>
      <c r="G921" s="79" t="s">
        <v>1687</v>
      </c>
      <c r="H921" s="9"/>
      <c r="I921" s="9" t="s">
        <v>48</v>
      </c>
      <c r="J921" s="9" t="s">
        <v>39</v>
      </c>
      <c r="K921" s="9">
        <v>1000</v>
      </c>
      <c r="L921" s="39"/>
      <c r="M921" s="7" t="s">
        <v>1</v>
      </c>
      <c r="N921" s="8"/>
      <c r="O921" s="40"/>
      <c r="P921" s="15"/>
      <c r="Q921" s="9" t="s">
        <v>264</v>
      </c>
      <c r="R921" s="9"/>
      <c r="S921" s="9"/>
      <c r="T921" s="9"/>
      <c r="U921" s="16" t="s">
        <v>1731</v>
      </c>
      <c r="V921" s="9">
        <v>3522241</v>
      </c>
      <c r="W921" s="8" t="s">
        <v>348</v>
      </c>
      <c r="X921" s="8"/>
      <c r="Y921" s="8"/>
      <c r="Z921" s="8"/>
      <c r="AA921" s="8"/>
      <c r="AB921" s="8"/>
      <c r="AC921" s="8" t="s">
        <v>228</v>
      </c>
      <c r="AD921" s="14" t="s">
        <v>229</v>
      </c>
      <c r="AE921" s="8" t="s">
        <v>232</v>
      </c>
      <c r="AF921" s="14">
        <v>0.43</v>
      </c>
      <c r="AG921" s="8">
        <v>1220</v>
      </c>
      <c r="AH921" s="8"/>
      <c r="AI921" s="8"/>
      <c r="AJ921" s="8"/>
      <c r="AK921" s="127"/>
      <c r="AL921" s="103">
        <v>3.08</v>
      </c>
      <c r="AM921" s="8">
        <v>0</v>
      </c>
      <c r="AN921" s="21">
        <v>0</v>
      </c>
      <c r="AO921" s="21">
        <v>0</v>
      </c>
      <c r="AP921" s="21">
        <v>0</v>
      </c>
      <c r="AQ921" s="21">
        <v>0</v>
      </c>
      <c r="AR921" s="21">
        <v>0</v>
      </c>
      <c r="AS921" s="8">
        <v>3.08</v>
      </c>
      <c r="AT921" s="21">
        <v>3.08</v>
      </c>
      <c r="AU921" s="21">
        <v>0</v>
      </c>
      <c r="AV921" s="21">
        <v>0</v>
      </c>
      <c r="AW921" s="21">
        <v>0</v>
      </c>
      <c r="AX921" s="21">
        <v>0</v>
      </c>
      <c r="AY921" s="8">
        <v>0</v>
      </c>
    </row>
    <row r="922" spans="1:51" ht="15" customHeight="1" x14ac:dyDescent="0.25">
      <c r="A922" s="9">
        <v>744</v>
      </c>
      <c r="B922" s="13"/>
      <c r="C922" s="9" t="s">
        <v>169</v>
      </c>
      <c r="D922" s="9"/>
      <c r="E922" s="8"/>
      <c r="F922" s="9" t="s">
        <v>1505</v>
      </c>
      <c r="G922" s="79" t="s">
        <v>1687</v>
      </c>
      <c r="H922" s="9"/>
      <c r="I922" s="9" t="s">
        <v>48</v>
      </c>
      <c r="J922" s="9" t="s">
        <v>39</v>
      </c>
      <c r="K922" s="9">
        <v>1000</v>
      </c>
      <c r="L922" s="39"/>
      <c r="M922" s="7" t="s">
        <v>1</v>
      </c>
      <c r="N922" s="8"/>
      <c r="O922" s="40"/>
      <c r="P922" s="15"/>
      <c r="Q922" s="9" t="s">
        <v>264</v>
      </c>
      <c r="R922" s="9"/>
      <c r="S922" s="9"/>
      <c r="T922" s="9"/>
      <c r="U922" s="16" t="s">
        <v>105</v>
      </c>
      <c r="V922" s="9">
        <v>3941967</v>
      </c>
      <c r="W922" s="8" t="s">
        <v>810</v>
      </c>
      <c r="X922" s="8"/>
      <c r="Y922" s="8"/>
      <c r="Z922" s="8"/>
      <c r="AA922" s="8"/>
      <c r="AB922" s="8"/>
      <c r="AC922" s="8" t="s">
        <v>228</v>
      </c>
      <c r="AD922" s="14" t="s">
        <v>229</v>
      </c>
      <c r="AE922" s="8" t="s">
        <v>354</v>
      </c>
      <c r="AF922" s="14">
        <v>0.6</v>
      </c>
      <c r="AG922" s="8">
        <v>1220</v>
      </c>
      <c r="AH922" s="8"/>
      <c r="AI922" s="8"/>
      <c r="AJ922" s="8"/>
      <c r="AK922" s="127"/>
      <c r="AL922" s="103">
        <v>7.15</v>
      </c>
      <c r="AM922" s="8">
        <v>0</v>
      </c>
      <c r="AN922" s="21">
        <v>0</v>
      </c>
      <c r="AO922" s="21">
        <v>0</v>
      </c>
      <c r="AP922" s="21">
        <v>0</v>
      </c>
      <c r="AQ922" s="21">
        <v>0</v>
      </c>
      <c r="AR922" s="21">
        <v>0</v>
      </c>
      <c r="AS922" s="8">
        <v>7.15</v>
      </c>
      <c r="AT922" s="21">
        <v>7.15</v>
      </c>
      <c r="AU922" s="21">
        <v>0</v>
      </c>
      <c r="AV922" s="21">
        <v>0</v>
      </c>
      <c r="AW922" s="21">
        <v>0</v>
      </c>
      <c r="AX922" s="21">
        <v>0</v>
      </c>
      <c r="AY922" s="8">
        <v>0</v>
      </c>
    </row>
    <row r="923" spans="1:51" ht="15" customHeight="1" x14ac:dyDescent="0.25">
      <c r="A923" s="9">
        <v>743</v>
      </c>
      <c r="B923" s="13"/>
      <c r="C923" s="9" t="s">
        <v>169</v>
      </c>
      <c r="D923" s="9"/>
      <c r="E923" s="8"/>
      <c r="F923" s="9" t="s">
        <v>1499</v>
      </c>
      <c r="G923" s="79" t="s">
        <v>1687</v>
      </c>
      <c r="H923" s="9"/>
      <c r="I923" s="9" t="s">
        <v>43</v>
      </c>
      <c r="J923" s="9" t="s">
        <v>1311</v>
      </c>
      <c r="K923" s="9">
        <v>2000</v>
      </c>
      <c r="L923" s="39"/>
      <c r="M923" s="7" t="s">
        <v>1</v>
      </c>
      <c r="N923" s="8"/>
      <c r="O923" s="40"/>
      <c r="P923" s="15"/>
      <c r="Q923" s="9" t="s">
        <v>1690</v>
      </c>
      <c r="R923" s="9"/>
      <c r="S923" s="9"/>
      <c r="T923" s="9"/>
      <c r="U923" s="16" t="s">
        <v>123</v>
      </c>
      <c r="V923" s="9">
        <v>1851106</v>
      </c>
      <c r="W923" s="8" t="s">
        <v>1444</v>
      </c>
      <c r="X923" s="8"/>
      <c r="Y923" s="8"/>
      <c r="Z923" s="8"/>
      <c r="AA923" s="8"/>
      <c r="AB923" s="8"/>
      <c r="AC923" s="8" t="s">
        <v>238</v>
      </c>
      <c r="AD923" s="14" t="s">
        <v>185</v>
      </c>
      <c r="AE923" s="8" t="s">
        <v>186</v>
      </c>
      <c r="AF923" s="14">
        <v>0.6</v>
      </c>
      <c r="AG923" s="8">
        <v>1250</v>
      </c>
      <c r="AH923" s="8"/>
      <c r="AI923" s="8"/>
      <c r="AJ923" s="8"/>
      <c r="AK923" s="127"/>
      <c r="AL923" s="103">
        <v>18.305</v>
      </c>
      <c r="AM923" s="8">
        <v>0</v>
      </c>
      <c r="AN923" s="21">
        <v>0</v>
      </c>
      <c r="AO923" s="21">
        <v>0</v>
      </c>
      <c r="AP923" s="21">
        <v>0</v>
      </c>
      <c r="AQ923" s="21">
        <v>0</v>
      </c>
      <c r="AR923" s="21">
        <v>0</v>
      </c>
      <c r="AS923" s="8">
        <v>18.305</v>
      </c>
      <c r="AT923" s="21">
        <v>18.305</v>
      </c>
      <c r="AU923" s="21">
        <v>0</v>
      </c>
      <c r="AV923" s="21">
        <v>0</v>
      </c>
      <c r="AW923" s="21">
        <v>0</v>
      </c>
      <c r="AX923" s="21">
        <v>0</v>
      </c>
      <c r="AY923" s="8">
        <v>0</v>
      </c>
    </row>
    <row r="924" spans="1:51" ht="15" customHeight="1" x14ac:dyDescent="0.25">
      <c r="A924" s="9">
        <v>742</v>
      </c>
      <c r="B924" s="13"/>
      <c r="C924" s="9" t="s">
        <v>1686</v>
      </c>
      <c r="D924" s="9"/>
      <c r="E924" s="8"/>
      <c r="F924" s="9" t="s">
        <v>1653</v>
      </c>
      <c r="G924" s="79" t="s">
        <v>1687</v>
      </c>
      <c r="H924" s="9"/>
      <c r="I924" s="9" t="s">
        <v>25</v>
      </c>
      <c r="J924" s="9" t="s">
        <v>30</v>
      </c>
      <c r="K924" s="9">
        <v>2000</v>
      </c>
      <c r="L924" s="39"/>
      <c r="M924" s="7" t="s">
        <v>1</v>
      </c>
      <c r="N924" s="8"/>
      <c r="O924" s="40"/>
      <c r="P924" s="15"/>
      <c r="Q924" s="9" t="s">
        <v>1691</v>
      </c>
      <c r="R924" s="9"/>
      <c r="S924" s="9"/>
      <c r="T924" s="9"/>
      <c r="U924" s="16" t="s">
        <v>764</v>
      </c>
      <c r="V924" s="9">
        <v>1206324</v>
      </c>
      <c r="W924" s="8" t="s">
        <v>1720</v>
      </c>
      <c r="X924" s="8"/>
      <c r="Y924" s="8"/>
      <c r="Z924" s="8"/>
      <c r="AA924" s="8"/>
      <c r="AB924" s="8"/>
      <c r="AC924" s="8" t="s">
        <v>210</v>
      </c>
      <c r="AD924" s="14" t="s">
        <v>191</v>
      </c>
      <c r="AE924" s="8" t="s">
        <v>192</v>
      </c>
      <c r="AF924" s="14">
        <v>0.75</v>
      </c>
      <c r="AG924" s="8">
        <v>1250</v>
      </c>
      <c r="AH924" s="8"/>
      <c r="AI924" s="8"/>
      <c r="AJ924" s="8"/>
      <c r="AK924" s="127"/>
      <c r="AL924" s="103">
        <v>2.9049999999999998</v>
      </c>
      <c r="AM924" s="8">
        <v>0</v>
      </c>
      <c r="AN924" s="21">
        <v>0</v>
      </c>
      <c r="AO924" s="21">
        <v>0</v>
      </c>
      <c r="AP924" s="21">
        <v>0</v>
      </c>
      <c r="AQ924" s="21">
        <v>0</v>
      </c>
      <c r="AR924" s="21">
        <v>0</v>
      </c>
      <c r="AS924" s="8">
        <v>2.9049999999999998</v>
      </c>
      <c r="AT924" s="21">
        <v>2.9049999999999998</v>
      </c>
      <c r="AU924" s="21">
        <v>0</v>
      </c>
      <c r="AV924" s="21">
        <v>0</v>
      </c>
      <c r="AW924" s="21">
        <v>0</v>
      </c>
      <c r="AX924" s="21">
        <v>0</v>
      </c>
      <c r="AY924" s="8">
        <v>0</v>
      </c>
    </row>
    <row r="925" spans="1:51" ht="15" customHeight="1" x14ac:dyDescent="0.25">
      <c r="A925" s="9">
        <v>743</v>
      </c>
      <c r="B925" s="13"/>
      <c r="C925" s="9" t="s">
        <v>169</v>
      </c>
      <c r="D925" s="9"/>
      <c r="E925" s="8"/>
      <c r="F925" s="9" t="s">
        <v>1547</v>
      </c>
      <c r="G925" s="79" t="s">
        <v>1687</v>
      </c>
      <c r="H925" s="9"/>
      <c r="I925" s="9" t="s">
        <v>38</v>
      </c>
      <c r="J925" s="9" t="s">
        <v>41</v>
      </c>
      <c r="K925" s="9">
        <v>1000</v>
      </c>
      <c r="L925" s="39"/>
      <c r="M925" s="7" t="s">
        <v>1</v>
      </c>
      <c r="N925" s="8"/>
      <c r="O925" s="40"/>
      <c r="P925" s="15"/>
      <c r="Q925" s="9" t="s">
        <v>1691</v>
      </c>
      <c r="R925" s="9"/>
      <c r="S925" s="9"/>
      <c r="T925" s="9"/>
      <c r="U925" s="16" t="s">
        <v>107</v>
      </c>
      <c r="V925" s="9">
        <v>3903395</v>
      </c>
      <c r="W925" s="8" t="s">
        <v>367</v>
      </c>
      <c r="X925" s="8"/>
      <c r="Y925" s="8"/>
      <c r="Z925" s="8"/>
      <c r="AA925" s="8"/>
      <c r="AB925" s="8"/>
      <c r="AC925" s="8" t="s">
        <v>222</v>
      </c>
      <c r="AD925" s="14" t="s">
        <v>223</v>
      </c>
      <c r="AE925" s="8" t="s">
        <v>368</v>
      </c>
      <c r="AF925" s="14">
        <v>0.9</v>
      </c>
      <c r="AG925" s="8">
        <v>1220</v>
      </c>
      <c r="AH925" s="8"/>
      <c r="AI925" s="8"/>
      <c r="AJ925" s="8"/>
      <c r="AK925" s="127"/>
      <c r="AL925" s="103">
        <v>124.99500000000002</v>
      </c>
      <c r="AM925" s="8">
        <v>0</v>
      </c>
      <c r="AN925" s="21">
        <v>0</v>
      </c>
      <c r="AO925" s="21">
        <v>0</v>
      </c>
      <c r="AP925" s="21">
        <v>0</v>
      </c>
      <c r="AQ925" s="21">
        <v>0</v>
      </c>
      <c r="AR925" s="21">
        <v>0</v>
      </c>
      <c r="AS925" s="8">
        <v>124.99500000000002</v>
      </c>
      <c r="AT925" s="21">
        <v>124.99500000000002</v>
      </c>
      <c r="AU925" s="21">
        <v>0</v>
      </c>
      <c r="AV925" s="21">
        <v>0</v>
      </c>
      <c r="AW925" s="21">
        <v>0</v>
      </c>
      <c r="AX925" s="21">
        <v>0</v>
      </c>
      <c r="AY925" s="8">
        <v>0</v>
      </c>
    </row>
    <row r="926" spans="1:51" ht="15" customHeight="1" x14ac:dyDescent="0.25">
      <c r="A926" s="9">
        <v>743</v>
      </c>
      <c r="B926" s="13"/>
      <c r="C926" s="9" t="s">
        <v>1686</v>
      </c>
      <c r="D926" s="9"/>
      <c r="E926" s="8"/>
      <c r="F926" s="9" t="s">
        <v>1654</v>
      </c>
      <c r="G926" s="79" t="s">
        <v>1687</v>
      </c>
      <c r="H926" s="9"/>
      <c r="I926" s="9" t="s">
        <v>38</v>
      </c>
      <c r="J926" s="9" t="s">
        <v>28</v>
      </c>
      <c r="K926" s="9">
        <v>1000</v>
      </c>
      <c r="L926" s="39"/>
      <c r="M926" s="7" t="s">
        <v>1</v>
      </c>
      <c r="N926" s="8"/>
      <c r="O926" s="40"/>
      <c r="P926" s="15"/>
      <c r="Q926" s="9" t="s">
        <v>1690</v>
      </c>
      <c r="R926" s="9"/>
      <c r="S926" s="9"/>
      <c r="T926" s="9"/>
      <c r="U926" s="16" t="s">
        <v>1273</v>
      </c>
      <c r="V926" s="9">
        <v>3946140</v>
      </c>
      <c r="W926" s="8" t="s">
        <v>1142</v>
      </c>
      <c r="X926" s="8"/>
      <c r="Y926" s="8"/>
      <c r="Z926" s="8"/>
      <c r="AA926" s="8"/>
      <c r="AB926" s="8"/>
      <c r="AC926" s="8" t="s">
        <v>864</v>
      </c>
      <c r="AD926" s="14" t="s">
        <v>1167</v>
      </c>
      <c r="AE926" s="8" t="s">
        <v>1168</v>
      </c>
      <c r="AF926" s="14">
        <v>0.33</v>
      </c>
      <c r="AG926" s="8">
        <v>1250</v>
      </c>
      <c r="AH926" s="8"/>
      <c r="AI926" s="8"/>
      <c r="AJ926" s="8"/>
      <c r="AK926" s="127"/>
      <c r="AL926" s="103">
        <v>10.914999999999999</v>
      </c>
      <c r="AM926" s="8">
        <v>0</v>
      </c>
      <c r="AN926" s="21">
        <v>0</v>
      </c>
      <c r="AO926" s="21">
        <v>0</v>
      </c>
      <c r="AP926" s="21">
        <v>0</v>
      </c>
      <c r="AQ926" s="21">
        <v>0</v>
      </c>
      <c r="AR926" s="21">
        <v>0</v>
      </c>
      <c r="AS926" s="8">
        <v>10.914999999999999</v>
      </c>
      <c r="AT926" s="21">
        <v>10.914999999999999</v>
      </c>
      <c r="AU926" s="21">
        <v>0</v>
      </c>
      <c r="AV926" s="21">
        <v>0</v>
      </c>
      <c r="AW926" s="21">
        <v>0</v>
      </c>
      <c r="AX926" s="21">
        <v>0</v>
      </c>
      <c r="AY926" s="8">
        <v>0</v>
      </c>
    </row>
    <row r="927" spans="1:51" ht="15" customHeight="1" x14ac:dyDescent="0.25">
      <c r="A927" s="9">
        <v>743</v>
      </c>
      <c r="B927" s="13"/>
      <c r="C927" s="9" t="s">
        <v>1686</v>
      </c>
      <c r="D927" s="9"/>
      <c r="E927" s="8"/>
      <c r="F927" s="9" t="s">
        <v>1655</v>
      </c>
      <c r="G927" s="79" t="s">
        <v>1687</v>
      </c>
      <c r="H927" s="9"/>
      <c r="I927" s="9" t="s">
        <v>43</v>
      </c>
      <c r="J927" s="9" t="s">
        <v>45</v>
      </c>
      <c r="K927" s="9">
        <v>2000</v>
      </c>
      <c r="L927" s="39"/>
      <c r="M927" s="7" t="s">
        <v>1</v>
      </c>
      <c r="N927" s="8"/>
      <c r="O927" s="40"/>
      <c r="P927" s="15"/>
      <c r="Q927" s="9" t="s">
        <v>1688</v>
      </c>
      <c r="R927" s="9"/>
      <c r="S927" s="9"/>
      <c r="T927" s="9"/>
      <c r="U927" s="16" t="s">
        <v>96</v>
      </c>
      <c r="V927" s="9">
        <v>1851066</v>
      </c>
      <c r="W927" s="8" t="s">
        <v>751</v>
      </c>
      <c r="X927" s="8"/>
      <c r="Y927" s="8"/>
      <c r="Z927" s="8"/>
      <c r="AA927" s="8"/>
      <c r="AB927" s="8"/>
      <c r="AC927" s="8" t="s">
        <v>238</v>
      </c>
      <c r="AD927" s="14" t="s">
        <v>185</v>
      </c>
      <c r="AE927" s="8" t="s">
        <v>309</v>
      </c>
      <c r="AF927" s="14">
        <v>0.25</v>
      </c>
      <c r="AG927" s="8">
        <v>900</v>
      </c>
      <c r="AH927" s="8"/>
      <c r="AI927" s="8"/>
      <c r="AJ927" s="8"/>
      <c r="AK927" s="127"/>
      <c r="AL927" s="103">
        <v>11.11</v>
      </c>
      <c r="AM927" s="8">
        <v>0</v>
      </c>
      <c r="AN927" s="21">
        <v>0</v>
      </c>
      <c r="AO927" s="21">
        <v>0</v>
      </c>
      <c r="AP927" s="21">
        <v>0</v>
      </c>
      <c r="AQ927" s="21">
        <v>0</v>
      </c>
      <c r="AR927" s="21">
        <v>0</v>
      </c>
      <c r="AS927" s="8">
        <v>11.11</v>
      </c>
      <c r="AT927" s="21">
        <v>11.11</v>
      </c>
      <c r="AU927" s="21">
        <v>0</v>
      </c>
      <c r="AV927" s="21">
        <v>0</v>
      </c>
      <c r="AW927" s="21">
        <v>0</v>
      </c>
      <c r="AX927" s="21">
        <v>0</v>
      </c>
      <c r="AY927" s="8">
        <v>0</v>
      </c>
    </row>
    <row r="928" spans="1:51" ht="15" customHeight="1" x14ac:dyDescent="0.25">
      <c r="A928" s="9">
        <v>744</v>
      </c>
      <c r="B928" s="13"/>
      <c r="C928" s="9" t="s">
        <v>169</v>
      </c>
      <c r="D928" s="9"/>
      <c r="E928" s="8"/>
      <c r="F928" s="9" t="s">
        <v>1533</v>
      </c>
      <c r="G928" s="79" t="s">
        <v>1687</v>
      </c>
      <c r="H928" s="9"/>
      <c r="I928" s="9" t="s">
        <v>48</v>
      </c>
      <c r="J928" s="9" t="s">
        <v>39</v>
      </c>
      <c r="K928" s="9">
        <v>1000</v>
      </c>
      <c r="L928" s="39"/>
      <c r="M928" s="7" t="s">
        <v>1</v>
      </c>
      <c r="N928" s="8"/>
      <c r="O928" s="40"/>
      <c r="P928" s="15"/>
      <c r="Q928" s="9" t="s">
        <v>264</v>
      </c>
      <c r="R928" s="9"/>
      <c r="S928" s="9"/>
      <c r="T928" s="9"/>
      <c r="U928" s="16" t="s">
        <v>133</v>
      </c>
      <c r="V928" s="9">
        <v>3522241</v>
      </c>
      <c r="W928" s="8" t="s">
        <v>348</v>
      </c>
      <c r="X928" s="8"/>
      <c r="Y928" s="8"/>
      <c r="Z928" s="8"/>
      <c r="AA928" s="8"/>
      <c r="AB928" s="8"/>
      <c r="AC928" s="8" t="s">
        <v>228</v>
      </c>
      <c r="AD928" s="14" t="s">
        <v>229</v>
      </c>
      <c r="AE928" s="8" t="s">
        <v>232</v>
      </c>
      <c r="AF928" s="14">
        <v>0.43</v>
      </c>
      <c r="AG928" s="8">
        <v>1220</v>
      </c>
      <c r="AH928" s="8"/>
      <c r="AI928" s="8"/>
      <c r="AJ928" s="8"/>
      <c r="AK928" s="127"/>
      <c r="AL928" s="103">
        <v>4.5350000000000001</v>
      </c>
      <c r="AM928" s="8">
        <v>112</v>
      </c>
      <c r="AN928" s="21">
        <v>0</v>
      </c>
      <c r="AO928" s="21">
        <v>0</v>
      </c>
      <c r="AP928" s="21">
        <v>0</v>
      </c>
      <c r="AQ928" s="21">
        <v>0</v>
      </c>
      <c r="AR928" s="21">
        <v>112</v>
      </c>
      <c r="AS928" s="8">
        <v>116.535</v>
      </c>
      <c r="AT928" s="21">
        <v>0</v>
      </c>
      <c r="AU928" s="21">
        <v>0</v>
      </c>
      <c r="AV928" s="21">
        <v>0</v>
      </c>
      <c r="AW928" s="21">
        <v>0</v>
      </c>
      <c r="AX928" s="21">
        <v>116.535</v>
      </c>
      <c r="AY928" s="8">
        <v>0</v>
      </c>
    </row>
    <row r="929" spans="1:51" ht="15" customHeight="1" x14ac:dyDescent="0.25">
      <c r="A929" s="9">
        <v>742</v>
      </c>
      <c r="B929" s="13"/>
      <c r="C929" s="9" t="s">
        <v>169</v>
      </c>
      <c r="D929" s="9"/>
      <c r="E929" s="8"/>
      <c r="F929" s="9" t="s">
        <v>1526</v>
      </c>
      <c r="G929" s="79" t="s">
        <v>1687</v>
      </c>
      <c r="H929" s="9"/>
      <c r="I929" s="9" t="s">
        <v>25</v>
      </c>
      <c r="J929" s="9" t="s">
        <v>31</v>
      </c>
      <c r="K929" s="9">
        <v>2000</v>
      </c>
      <c r="L929" s="39"/>
      <c r="M929" s="7" t="s">
        <v>1</v>
      </c>
      <c r="N929" s="8"/>
      <c r="O929" s="40"/>
      <c r="P929" s="15"/>
      <c r="Q929" s="9" t="s">
        <v>1690</v>
      </c>
      <c r="R929" s="9"/>
      <c r="S929" s="9"/>
      <c r="T929" s="9"/>
      <c r="U929" s="16" t="s">
        <v>100</v>
      </c>
      <c r="V929" s="9">
        <v>3240786</v>
      </c>
      <c r="W929" s="8" t="s">
        <v>497</v>
      </c>
      <c r="X929" s="8"/>
      <c r="Y929" s="8"/>
      <c r="Z929" s="8"/>
      <c r="AA929" s="8"/>
      <c r="AB929" s="8"/>
      <c r="AC929" s="8" t="s">
        <v>210</v>
      </c>
      <c r="AD929" s="14" t="s">
        <v>218</v>
      </c>
      <c r="AE929" s="8" t="s">
        <v>250</v>
      </c>
      <c r="AF929" s="14">
        <v>0.7</v>
      </c>
      <c r="AG929" s="8">
        <v>1250</v>
      </c>
      <c r="AH929" s="8"/>
      <c r="AI929" s="8"/>
      <c r="AJ929" s="8"/>
      <c r="AK929" s="127"/>
      <c r="AL929" s="103">
        <v>22.785000000000004</v>
      </c>
      <c r="AM929" s="8">
        <v>0</v>
      </c>
      <c r="AN929" s="21">
        <v>0</v>
      </c>
      <c r="AO929" s="21">
        <v>0</v>
      </c>
      <c r="AP929" s="21">
        <v>0</v>
      </c>
      <c r="AQ929" s="21">
        <v>0</v>
      </c>
      <c r="AR929" s="21">
        <v>0</v>
      </c>
      <c r="AS929" s="8">
        <v>22.785000000000004</v>
      </c>
      <c r="AT929" s="21">
        <v>22.785000000000004</v>
      </c>
      <c r="AU929" s="21">
        <v>0</v>
      </c>
      <c r="AV929" s="21">
        <v>0</v>
      </c>
      <c r="AW929" s="21">
        <v>0</v>
      </c>
      <c r="AX929" s="21">
        <v>0</v>
      </c>
      <c r="AY929" s="8">
        <v>0</v>
      </c>
    </row>
    <row r="930" spans="1:51" ht="15" customHeight="1" x14ac:dyDescent="0.25">
      <c r="A930" s="9">
        <v>742</v>
      </c>
      <c r="B930" s="13"/>
      <c r="C930" s="9" t="s">
        <v>169</v>
      </c>
      <c r="D930" s="9"/>
      <c r="E930" s="8"/>
      <c r="F930" s="9" t="s">
        <v>1510</v>
      </c>
      <c r="G930" s="79" t="s">
        <v>1687</v>
      </c>
      <c r="H930" s="9"/>
      <c r="I930" s="9" t="s">
        <v>25</v>
      </c>
      <c r="J930" s="9" t="s">
        <v>28</v>
      </c>
      <c r="K930" s="9">
        <v>1000</v>
      </c>
      <c r="L930" s="39"/>
      <c r="M930" s="7" t="s">
        <v>1</v>
      </c>
      <c r="N930" s="8"/>
      <c r="O930" s="40"/>
      <c r="P930" s="15"/>
      <c r="Q930" s="9" t="s">
        <v>1690</v>
      </c>
      <c r="R930" s="9"/>
      <c r="S930" s="9"/>
      <c r="T930" s="9"/>
      <c r="U930" s="16" t="s">
        <v>62</v>
      </c>
      <c r="V930" s="9">
        <v>2164803</v>
      </c>
      <c r="W930" s="8" t="s">
        <v>502</v>
      </c>
      <c r="X930" s="8"/>
      <c r="Y930" s="8"/>
      <c r="Z930" s="8"/>
      <c r="AA930" s="8"/>
      <c r="AB930" s="8"/>
      <c r="AC930" s="8" t="s">
        <v>190</v>
      </c>
      <c r="AD930" s="14" t="s">
        <v>191</v>
      </c>
      <c r="AE930" s="8" t="s">
        <v>384</v>
      </c>
      <c r="AF930" s="14">
        <v>1.2</v>
      </c>
      <c r="AG930" s="8">
        <v>910</v>
      </c>
      <c r="AH930" s="8"/>
      <c r="AI930" s="8"/>
      <c r="AJ930" s="8"/>
      <c r="AK930" s="127"/>
      <c r="AL930" s="103">
        <v>9.66</v>
      </c>
      <c r="AM930" s="8">
        <v>0</v>
      </c>
      <c r="AN930" s="21">
        <v>0</v>
      </c>
      <c r="AO930" s="21">
        <v>0</v>
      </c>
      <c r="AP930" s="21">
        <v>0</v>
      </c>
      <c r="AQ930" s="21">
        <v>0</v>
      </c>
      <c r="AR930" s="21">
        <v>0</v>
      </c>
      <c r="AS930" s="8">
        <v>9.66</v>
      </c>
      <c r="AT930" s="21">
        <v>9.66</v>
      </c>
      <c r="AU930" s="21">
        <v>0</v>
      </c>
      <c r="AV930" s="21">
        <v>0</v>
      </c>
      <c r="AW930" s="21">
        <v>0</v>
      </c>
      <c r="AX930" s="21">
        <v>0</v>
      </c>
      <c r="AY930" s="8">
        <v>0</v>
      </c>
    </row>
    <row r="931" spans="1:51" ht="15" customHeight="1" x14ac:dyDescent="0.25">
      <c r="A931" s="9">
        <v>743</v>
      </c>
      <c r="B931" s="13"/>
      <c r="C931" s="9" t="s">
        <v>1686</v>
      </c>
      <c r="D931" s="9"/>
      <c r="E931" s="8"/>
      <c r="F931" s="9" t="s">
        <v>1656</v>
      </c>
      <c r="G931" s="79" t="s">
        <v>1687</v>
      </c>
      <c r="H931" s="9"/>
      <c r="I931" s="9" t="s">
        <v>43</v>
      </c>
      <c r="J931" s="9" t="s">
        <v>45</v>
      </c>
      <c r="K931" s="9">
        <v>2000</v>
      </c>
      <c r="L931" s="39"/>
      <c r="M931" s="7" t="s">
        <v>1</v>
      </c>
      <c r="N931" s="8"/>
      <c r="O931" s="40"/>
      <c r="P931" s="15"/>
      <c r="Q931" s="9" t="s">
        <v>1688</v>
      </c>
      <c r="R931" s="9"/>
      <c r="S931" s="9"/>
      <c r="T931" s="9"/>
      <c r="U931" s="16" t="s">
        <v>96</v>
      </c>
      <c r="V931" s="9">
        <v>2399771</v>
      </c>
      <c r="W931" s="8" t="s">
        <v>1721</v>
      </c>
      <c r="X931" s="8"/>
      <c r="Y931" s="8"/>
      <c r="Z931" s="8"/>
      <c r="AA931" s="8"/>
      <c r="AB931" s="8"/>
      <c r="AC931" s="8" t="s">
        <v>238</v>
      </c>
      <c r="AD931" s="14" t="s">
        <v>185</v>
      </c>
      <c r="AE931" s="8" t="s">
        <v>186</v>
      </c>
      <c r="AF931" s="14">
        <v>0.22</v>
      </c>
      <c r="AG931" s="8">
        <v>900</v>
      </c>
      <c r="AH931" s="8"/>
      <c r="AI931" s="8"/>
      <c r="AJ931" s="8"/>
      <c r="AK931" s="127"/>
      <c r="AL931" s="103">
        <v>3.6</v>
      </c>
      <c r="AM931" s="8">
        <v>0</v>
      </c>
      <c r="AN931" s="21">
        <v>0</v>
      </c>
      <c r="AO931" s="21">
        <v>0</v>
      </c>
      <c r="AP931" s="21">
        <v>0</v>
      </c>
      <c r="AQ931" s="21">
        <v>0</v>
      </c>
      <c r="AR931" s="21">
        <v>0</v>
      </c>
      <c r="AS931" s="8">
        <v>3.6</v>
      </c>
      <c r="AT931" s="21">
        <v>3.6</v>
      </c>
      <c r="AU931" s="21">
        <v>0</v>
      </c>
      <c r="AV931" s="21">
        <v>0</v>
      </c>
      <c r="AW931" s="21">
        <v>0</v>
      </c>
      <c r="AX931" s="21">
        <v>0</v>
      </c>
      <c r="AY931" s="8">
        <v>0</v>
      </c>
    </row>
    <row r="932" spans="1:51" ht="15" customHeight="1" x14ac:dyDescent="0.25">
      <c r="A932" s="9">
        <v>744</v>
      </c>
      <c r="B932" s="13"/>
      <c r="C932" s="9" t="s">
        <v>1686</v>
      </c>
      <c r="D932" s="9"/>
      <c r="E932" s="8"/>
      <c r="F932" s="9" t="s">
        <v>1657</v>
      </c>
      <c r="G932" s="79" t="s">
        <v>1687</v>
      </c>
      <c r="H932" s="9"/>
      <c r="I932" s="9" t="s">
        <v>48</v>
      </c>
      <c r="J932" s="9" t="s">
        <v>39</v>
      </c>
      <c r="K932" s="9">
        <v>1000</v>
      </c>
      <c r="L932" s="39"/>
      <c r="M932" s="7" t="s">
        <v>1</v>
      </c>
      <c r="N932" s="8"/>
      <c r="O932" s="40"/>
      <c r="P932" s="15"/>
      <c r="Q932" s="9" t="s">
        <v>264</v>
      </c>
      <c r="R932" s="9"/>
      <c r="S932" s="9"/>
      <c r="T932" s="9"/>
      <c r="U932" s="16" t="s">
        <v>105</v>
      </c>
      <c r="V932" s="9">
        <v>3902332</v>
      </c>
      <c r="W932" s="8" t="s">
        <v>353</v>
      </c>
      <c r="X932" s="8"/>
      <c r="Y932" s="8"/>
      <c r="Z932" s="8"/>
      <c r="AA932" s="8"/>
      <c r="AB932" s="8"/>
      <c r="AC932" s="8" t="s">
        <v>228</v>
      </c>
      <c r="AD932" s="14" t="s">
        <v>229</v>
      </c>
      <c r="AE932" s="8" t="s">
        <v>354</v>
      </c>
      <c r="AF932" s="14">
        <v>0.5</v>
      </c>
      <c r="AG932" s="8">
        <v>1220</v>
      </c>
      <c r="AH932" s="8"/>
      <c r="AI932" s="8"/>
      <c r="AJ932" s="8"/>
      <c r="AK932" s="127"/>
      <c r="AL932" s="103">
        <v>9.8550000000000004</v>
      </c>
      <c r="AM932" s="8">
        <v>0</v>
      </c>
      <c r="AN932" s="21">
        <v>0</v>
      </c>
      <c r="AO932" s="21">
        <v>0</v>
      </c>
      <c r="AP932" s="21">
        <v>0</v>
      </c>
      <c r="AQ932" s="21">
        <v>0</v>
      </c>
      <c r="AR932" s="21">
        <v>0</v>
      </c>
      <c r="AS932" s="8">
        <v>9.8550000000000004</v>
      </c>
      <c r="AT932" s="21">
        <v>9.8550000000000004</v>
      </c>
      <c r="AU932" s="21">
        <v>0</v>
      </c>
      <c r="AV932" s="21">
        <v>0</v>
      </c>
      <c r="AW932" s="21">
        <v>0</v>
      </c>
      <c r="AX932" s="21">
        <v>0</v>
      </c>
      <c r="AY932" s="8">
        <v>0</v>
      </c>
    </row>
    <row r="933" spans="1:51" ht="15" customHeight="1" x14ac:dyDescent="0.25">
      <c r="A933" s="9">
        <v>742</v>
      </c>
      <c r="B933" s="13"/>
      <c r="C933" s="9" t="s">
        <v>1686</v>
      </c>
      <c r="D933" s="9"/>
      <c r="E933" s="8"/>
      <c r="F933" s="9" t="s">
        <v>1658</v>
      </c>
      <c r="G933" s="79" t="s">
        <v>1687</v>
      </c>
      <c r="H933" s="9"/>
      <c r="I933" s="9" t="s">
        <v>25</v>
      </c>
      <c r="J933" s="9" t="s">
        <v>28</v>
      </c>
      <c r="K933" s="9">
        <v>1000</v>
      </c>
      <c r="L933" s="39"/>
      <c r="M933" s="7" t="s">
        <v>1</v>
      </c>
      <c r="N933" s="8"/>
      <c r="O933" s="40"/>
      <c r="P933" s="15"/>
      <c r="Q933" s="9" t="s">
        <v>1691</v>
      </c>
      <c r="R933" s="9"/>
      <c r="S933" s="9"/>
      <c r="T933" s="9"/>
      <c r="U933" s="16" t="s">
        <v>882</v>
      </c>
      <c r="V933" s="9">
        <v>3945230</v>
      </c>
      <c r="W933" s="8" t="s">
        <v>617</v>
      </c>
      <c r="X933" s="8"/>
      <c r="Y933" s="8"/>
      <c r="Z933" s="8"/>
      <c r="AA933" s="8"/>
      <c r="AB933" s="8"/>
      <c r="AC933" s="8" t="s">
        <v>210</v>
      </c>
      <c r="AD933" s="14" t="s">
        <v>191</v>
      </c>
      <c r="AE933" s="8" t="s">
        <v>384</v>
      </c>
      <c r="AF933" s="14">
        <v>0.8</v>
      </c>
      <c r="AG933" s="8">
        <v>920</v>
      </c>
      <c r="AH933" s="8"/>
      <c r="AI933" s="8"/>
      <c r="AJ933" s="8"/>
      <c r="AK933" s="127"/>
      <c r="AL933" s="103">
        <v>5.0350000000000001</v>
      </c>
      <c r="AM933" s="8">
        <v>0</v>
      </c>
      <c r="AN933" s="21">
        <v>0</v>
      </c>
      <c r="AO933" s="21">
        <v>0</v>
      </c>
      <c r="AP933" s="21">
        <v>0</v>
      </c>
      <c r="AQ933" s="21">
        <v>0</v>
      </c>
      <c r="AR933" s="21">
        <v>0</v>
      </c>
      <c r="AS933" s="8">
        <v>5.0350000000000001</v>
      </c>
      <c r="AT933" s="21">
        <v>5.0350000000000001</v>
      </c>
      <c r="AU933" s="21">
        <v>0</v>
      </c>
      <c r="AV933" s="21">
        <v>0</v>
      </c>
      <c r="AW933" s="21">
        <v>0</v>
      </c>
      <c r="AX933" s="21">
        <v>0</v>
      </c>
      <c r="AY933" s="8">
        <v>0</v>
      </c>
    </row>
    <row r="934" spans="1:51" ht="15" customHeight="1" x14ac:dyDescent="0.25">
      <c r="A934" s="9">
        <v>742</v>
      </c>
      <c r="B934" s="13"/>
      <c r="C934" s="9" t="s">
        <v>1686</v>
      </c>
      <c r="D934" s="9"/>
      <c r="E934" s="8"/>
      <c r="F934" s="9" t="s">
        <v>1659</v>
      </c>
      <c r="G934" s="79" t="s">
        <v>1687</v>
      </c>
      <c r="H934" s="9"/>
      <c r="I934" s="9" t="s">
        <v>25</v>
      </c>
      <c r="J934" s="9" t="s">
        <v>28</v>
      </c>
      <c r="K934" s="9">
        <v>1000</v>
      </c>
      <c r="L934" s="39"/>
      <c r="M934" s="7" t="s">
        <v>1</v>
      </c>
      <c r="N934" s="8"/>
      <c r="O934" s="40"/>
      <c r="P934" s="15"/>
      <c r="Q934" s="9" t="s">
        <v>1691</v>
      </c>
      <c r="R934" s="9"/>
      <c r="S934" s="9"/>
      <c r="T934" s="9"/>
      <c r="U934" s="16" t="s">
        <v>882</v>
      </c>
      <c r="V934" s="9">
        <v>2426388</v>
      </c>
      <c r="W934" s="8" t="s">
        <v>595</v>
      </c>
      <c r="X934" s="8"/>
      <c r="Y934" s="8"/>
      <c r="Z934" s="8"/>
      <c r="AA934" s="8"/>
      <c r="AB934" s="8"/>
      <c r="AC934" s="8" t="s">
        <v>190</v>
      </c>
      <c r="AD934" s="14" t="s">
        <v>191</v>
      </c>
      <c r="AE934" s="8" t="s">
        <v>346</v>
      </c>
      <c r="AF934" s="14">
        <v>0.9</v>
      </c>
      <c r="AG934" s="8">
        <v>1320</v>
      </c>
      <c r="AH934" s="8"/>
      <c r="AI934" s="8"/>
      <c r="AJ934" s="8"/>
      <c r="AK934" s="127"/>
      <c r="AL934" s="103">
        <v>24.195</v>
      </c>
      <c r="AM934" s="8">
        <v>0</v>
      </c>
      <c r="AN934" s="21">
        <v>0</v>
      </c>
      <c r="AO934" s="21">
        <v>0</v>
      </c>
      <c r="AP934" s="21">
        <v>0</v>
      </c>
      <c r="AQ934" s="21">
        <v>0</v>
      </c>
      <c r="AR934" s="21">
        <v>0</v>
      </c>
      <c r="AS934" s="8">
        <v>24.195</v>
      </c>
      <c r="AT934" s="21">
        <v>24.195</v>
      </c>
      <c r="AU934" s="21">
        <v>0</v>
      </c>
      <c r="AV934" s="21">
        <v>0</v>
      </c>
      <c r="AW934" s="21">
        <v>0</v>
      </c>
      <c r="AX934" s="21">
        <v>0</v>
      </c>
      <c r="AY934" s="8">
        <v>0</v>
      </c>
    </row>
    <row r="935" spans="1:51" ht="15" customHeight="1" x14ac:dyDescent="0.25">
      <c r="A935" s="9">
        <v>742</v>
      </c>
      <c r="B935" s="13"/>
      <c r="C935" s="9" t="s">
        <v>1686</v>
      </c>
      <c r="D935" s="9"/>
      <c r="E935" s="8"/>
      <c r="F935" s="9" t="s">
        <v>1660</v>
      </c>
      <c r="G935" s="79" t="s">
        <v>1687</v>
      </c>
      <c r="H935" s="9"/>
      <c r="I935" s="9" t="s">
        <v>25</v>
      </c>
      <c r="J935" s="9" t="s">
        <v>28</v>
      </c>
      <c r="K935" s="9">
        <v>1000</v>
      </c>
      <c r="L935" s="39"/>
      <c r="M935" s="7" t="s">
        <v>1</v>
      </c>
      <c r="N935" s="8"/>
      <c r="O935" s="40"/>
      <c r="P935" s="15"/>
      <c r="Q935" s="9" t="s">
        <v>1691</v>
      </c>
      <c r="R935" s="9"/>
      <c r="S935" s="9"/>
      <c r="T935" s="9"/>
      <c r="U935" s="16" t="s">
        <v>882</v>
      </c>
      <c r="V935" s="9">
        <v>2426078</v>
      </c>
      <c r="W935" s="8" t="s">
        <v>596</v>
      </c>
      <c r="X935" s="8"/>
      <c r="Y935" s="8"/>
      <c r="Z935" s="8"/>
      <c r="AA935" s="8"/>
      <c r="AB935" s="8"/>
      <c r="AC935" s="8" t="s">
        <v>190</v>
      </c>
      <c r="AD935" s="14" t="s">
        <v>191</v>
      </c>
      <c r="AE935" s="8" t="s">
        <v>346</v>
      </c>
      <c r="AF935" s="14">
        <v>1</v>
      </c>
      <c r="AG935" s="8">
        <v>1320</v>
      </c>
      <c r="AH935" s="8"/>
      <c r="AI935" s="8"/>
      <c r="AJ935" s="8"/>
      <c r="AK935" s="127"/>
      <c r="AL935" s="103">
        <v>6.29</v>
      </c>
      <c r="AM935" s="8">
        <v>0</v>
      </c>
      <c r="AN935" s="21">
        <v>0</v>
      </c>
      <c r="AO935" s="21">
        <v>0</v>
      </c>
      <c r="AP935" s="21">
        <v>0</v>
      </c>
      <c r="AQ935" s="21">
        <v>0</v>
      </c>
      <c r="AR935" s="21">
        <v>0</v>
      </c>
      <c r="AS935" s="8">
        <v>6.29</v>
      </c>
      <c r="AT935" s="21">
        <v>6.29</v>
      </c>
      <c r="AU935" s="21">
        <v>0</v>
      </c>
      <c r="AV935" s="21">
        <v>0</v>
      </c>
      <c r="AW935" s="21">
        <v>0</v>
      </c>
      <c r="AX935" s="21">
        <v>0</v>
      </c>
      <c r="AY935" s="8">
        <v>0</v>
      </c>
    </row>
    <row r="936" spans="1:51" ht="15" customHeight="1" x14ac:dyDescent="0.25">
      <c r="A936" s="9">
        <v>742</v>
      </c>
      <c r="B936" s="13"/>
      <c r="C936" s="9" t="s">
        <v>1686</v>
      </c>
      <c r="D936" s="9"/>
      <c r="E936" s="8"/>
      <c r="F936" s="9" t="s">
        <v>1661</v>
      </c>
      <c r="G936" s="79" t="s">
        <v>1687</v>
      </c>
      <c r="H936" s="9"/>
      <c r="I936" s="9" t="s">
        <v>25</v>
      </c>
      <c r="J936" s="9" t="s">
        <v>30</v>
      </c>
      <c r="K936" s="9">
        <v>2000</v>
      </c>
      <c r="L936" s="39"/>
      <c r="M936" s="7" t="s">
        <v>1</v>
      </c>
      <c r="N936" s="8"/>
      <c r="O936" s="40"/>
      <c r="P936" s="15"/>
      <c r="Q936" s="9" t="s">
        <v>1691</v>
      </c>
      <c r="R936" s="9"/>
      <c r="S936" s="9"/>
      <c r="T936" s="9"/>
      <c r="U936" s="16" t="s">
        <v>83</v>
      </c>
      <c r="V936" s="9">
        <v>1801804</v>
      </c>
      <c r="W936" s="8" t="s">
        <v>339</v>
      </c>
      <c r="X936" s="8"/>
      <c r="Y936" s="8"/>
      <c r="Z936" s="8"/>
      <c r="AA936" s="8"/>
      <c r="AB936" s="8"/>
      <c r="AC936" s="8" t="s">
        <v>190</v>
      </c>
      <c r="AD936" s="14" t="s">
        <v>191</v>
      </c>
      <c r="AE936" s="8" t="s">
        <v>192</v>
      </c>
      <c r="AF936" s="14">
        <v>1</v>
      </c>
      <c r="AG936" s="8">
        <v>1250</v>
      </c>
      <c r="AH936" s="8"/>
      <c r="AI936" s="8"/>
      <c r="AJ936" s="8"/>
      <c r="AK936" s="127"/>
      <c r="AL936" s="103">
        <v>10.5</v>
      </c>
      <c r="AM936" s="8">
        <v>0</v>
      </c>
      <c r="AN936" s="21">
        <v>0</v>
      </c>
      <c r="AO936" s="21">
        <v>0</v>
      </c>
      <c r="AP936" s="21">
        <v>0</v>
      </c>
      <c r="AQ936" s="21">
        <v>0</v>
      </c>
      <c r="AR936" s="21">
        <v>0</v>
      </c>
      <c r="AS936" s="8">
        <v>10.5</v>
      </c>
      <c r="AT936" s="21">
        <v>10.5</v>
      </c>
      <c r="AU936" s="21">
        <v>0</v>
      </c>
      <c r="AV936" s="21">
        <v>0</v>
      </c>
      <c r="AW936" s="21">
        <v>0</v>
      </c>
      <c r="AX936" s="21">
        <v>0</v>
      </c>
      <c r="AY936" s="8">
        <v>0</v>
      </c>
    </row>
    <row r="937" spans="1:51" ht="15" customHeight="1" x14ac:dyDescent="0.25">
      <c r="A937" s="9">
        <v>744</v>
      </c>
      <c r="B937" s="13"/>
      <c r="C937" s="9" t="s">
        <v>1686</v>
      </c>
      <c r="D937" s="9"/>
      <c r="E937" s="8"/>
      <c r="F937" s="9" t="s">
        <v>1662</v>
      </c>
      <c r="G937" s="79" t="s">
        <v>1687</v>
      </c>
      <c r="H937" s="9"/>
      <c r="I937" s="9" t="s">
        <v>48</v>
      </c>
      <c r="J937" s="9" t="s">
        <v>39</v>
      </c>
      <c r="K937" s="9">
        <v>1000</v>
      </c>
      <c r="L937" s="39"/>
      <c r="M937" s="7" t="s">
        <v>1</v>
      </c>
      <c r="N937" s="8"/>
      <c r="O937" s="40"/>
      <c r="P937" s="15"/>
      <c r="Q937" s="9" t="s">
        <v>264</v>
      </c>
      <c r="R937" s="9"/>
      <c r="S937" s="9"/>
      <c r="T937" s="9"/>
      <c r="U937" s="16" t="s">
        <v>105</v>
      </c>
      <c r="V937" s="9">
        <v>3879501</v>
      </c>
      <c r="W937" s="8" t="s">
        <v>621</v>
      </c>
      <c r="X937" s="8"/>
      <c r="Y937" s="8"/>
      <c r="Z937" s="8"/>
      <c r="AA937" s="8"/>
      <c r="AB937" s="8"/>
      <c r="AC937" s="8" t="s">
        <v>228</v>
      </c>
      <c r="AD937" s="14" t="s">
        <v>229</v>
      </c>
      <c r="AE937" s="8" t="s">
        <v>230</v>
      </c>
      <c r="AF937" s="14">
        <v>0.45</v>
      </c>
      <c r="AG937" s="8">
        <v>1220</v>
      </c>
      <c r="AH937" s="8"/>
      <c r="AI937" s="8"/>
      <c r="AJ937" s="8"/>
      <c r="AK937" s="127"/>
      <c r="AL937" s="103">
        <v>9.5399999999999991</v>
      </c>
      <c r="AM937" s="8">
        <v>0</v>
      </c>
      <c r="AN937" s="21">
        <v>0</v>
      </c>
      <c r="AO937" s="21">
        <v>0</v>
      </c>
      <c r="AP937" s="21">
        <v>0</v>
      </c>
      <c r="AQ937" s="21">
        <v>0</v>
      </c>
      <c r="AR937" s="21">
        <v>0</v>
      </c>
      <c r="AS937" s="8">
        <v>9.5399999999999991</v>
      </c>
      <c r="AT937" s="21">
        <v>9.5399999999999991</v>
      </c>
      <c r="AU937" s="21">
        <v>0</v>
      </c>
      <c r="AV937" s="21">
        <v>0</v>
      </c>
      <c r="AW937" s="21">
        <v>0</v>
      </c>
      <c r="AX937" s="21">
        <v>0</v>
      </c>
      <c r="AY937" s="8">
        <v>0</v>
      </c>
    </row>
    <row r="938" spans="1:51" ht="15" customHeight="1" x14ac:dyDescent="0.25">
      <c r="A938" s="9">
        <v>744</v>
      </c>
      <c r="B938" s="13"/>
      <c r="C938" s="9" t="s">
        <v>1686</v>
      </c>
      <c r="D938" s="9"/>
      <c r="E938" s="8"/>
      <c r="F938" s="9" t="s">
        <v>1663</v>
      </c>
      <c r="G938" s="79" t="s">
        <v>1687</v>
      </c>
      <c r="H938" s="9"/>
      <c r="I938" s="9" t="s">
        <v>48</v>
      </c>
      <c r="J938" s="9" t="s">
        <v>39</v>
      </c>
      <c r="K938" s="9">
        <v>1000</v>
      </c>
      <c r="L938" s="39"/>
      <c r="M938" s="7" t="s">
        <v>1</v>
      </c>
      <c r="N938" s="8"/>
      <c r="O938" s="40"/>
      <c r="P938" s="15"/>
      <c r="Q938" s="9" t="s">
        <v>264</v>
      </c>
      <c r="R938" s="9"/>
      <c r="S938" s="9"/>
      <c r="T938" s="9"/>
      <c r="U938" s="16" t="s">
        <v>105</v>
      </c>
      <c r="V938" s="9">
        <v>3879501</v>
      </c>
      <c r="W938" s="8" t="s">
        <v>621</v>
      </c>
      <c r="X938" s="8"/>
      <c r="Y938" s="8"/>
      <c r="Z938" s="8"/>
      <c r="AA938" s="8"/>
      <c r="AB938" s="8"/>
      <c r="AC938" s="8" t="s">
        <v>228</v>
      </c>
      <c r="AD938" s="14" t="s">
        <v>229</v>
      </c>
      <c r="AE938" s="8" t="s">
        <v>230</v>
      </c>
      <c r="AF938" s="14">
        <v>0.45</v>
      </c>
      <c r="AG938" s="8">
        <v>1220</v>
      </c>
      <c r="AH938" s="8"/>
      <c r="AI938" s="8"/>
      <c r="AJ938" s="8"/>
      <c r="AK938" s="127"/>
      <c r="AL938" s="103">
        <v>3.3149999999999999</v>
      </c>
      <c r="AM938" s="8">
        <v>0</v>
      </c>
      <c r="AN938" s="21">
        <v>0</v>
      </c>
      <c r="AO938" s="21">
        <v>0</v>
      </c>
      <c r="AP938" s="21">
        <v>0</v>
      </c>
      <c r="AQ938" s="21">
        <v>0</v>
      </c>
      <c r="AR938" s="21">
        <v>0</v>
      </c>
      <c r="AS938" s="8">
        <v>3.3149999999999999</v>
      </c>
      <c r="AT938" s="21">
        <v>3.3149999999999999</v>
      </c>
      <c r="AU938" s="21">
        <v>0</v>
      </c>
      <c r="AV938" s="21">
        <v>0</v>
      </c>
      <c r="AW938" s="21">
        <v>0</v>
      </c>
      <c r="AX938" s="21">
        <v>0</v>
      </c>
      <c r="AY938" s="8">
        <v>0</v>
      </c>
    </row>
    <row r="939" spans="1:51" ht="15" customHeight="1" x14ac:dyDescent="0.25">
      <c r="A939" s="9">
        <v>742</v>
      </c>
      <c r="B939" s="13"/>
      <c r="C939" s="9" t="s">
        <v>1686</v>
      </c>
      <c r="D939" s="9"/>
      <c r="E939" s="8"/>
      <c r="F939" s="9" t="s">
        <v>1664</v>
      </c>
      <c r="G939" s="79" t="s">
        <v>1687</v>
      </c>
      <c r="H939" s="9"/>
      <c r="I939" s="9" t="s">
        <v>25</v>
      </c>
      <c r="J939" s="9" t="s">
        <v>31</v>
      </c>
      <c r="K939" s="9">
        <v>2000</v>
      </c>
      <c r="L939" s="39"/>
      <c r="M939" s="7" t="s">
        <v>1</v>
      </c>
      <c r="N939" s="8"/>
      <c r="O939" s="40"/>
      <c r="P939" s="15"/>
      <c r="Q939" s="9" t="s">
        <v>1688</v>
      </c>
      <c r="R939" s="9"/>
      <c r="S939" s="9"/>
      <c r="T939" s="9"/>
      <c r="U939" s="16" t="s">
        <v>96</v>
      </c>
      <c r="V939" s="9">
        <v>3240753</v>
      </c>
      <c r="W939" s="8" t="s">
        <v>1722</v>
      </c>
      <c r="X939" s="8"/>
      <c r="Y939" s="8"/>
      <c r="Z939" s="8"/>
      <c r="AA939" s="8"/>
      <c r="AB939" s="8"/>
      <c r="AC939" s="8" t="s">
        <v>210</v>
      </c>
      <c r="AD939" s="14" t="s">
        <v>218</v>
      </c>
      <c r="AE939" s="8" t="s">
        <v>250</v>
      </c>
      <c r="AF939" s="14">
        <v>0.5</v>
      </c>
      <c r="AG939" s="8">
        <v>900</v>
      </c>
      <c r="AH939" s="8"/>
      <c r="AI939" s="8"/>
      <c r="AJ939" s="8"/>
      <c r="AK939" s="127"/>
      <c r="AL939" s="103">
        <v>13.365</v>
      </c>
      <c r="AM939" s="8">
        <v>0</v>
      </c>
      <c r="AN939" s="21">
        <v>0</v>
      </c>
      <c r="AO939" s="21">
        <v>0</v>
      </c>
      <c r="AP939" s="21">
        <v>0</v>
      </c>
      <c r="AQ939" s="21">
        <v>0</v>
      </c>
      <c r="AR939" s="21">
        <v>0</v>
      </c>
      <c r="AS939" s="8">
        <v>13.365</v>
      </c>
      <c r="AT939" s="21">
        <v>13.365</v>
      </c>
      <c r="AU939" s="21">
        <v>0</v>
      </c>
      <c r="AV939" s="21">
        <v>0</v>
      </c>
      <c r="AW939" s="21">
        <v>0</v>
      </c>
      <c r="AX939" s="21">
        <v>0</v>
      </c>
      <c r="AY939" s="8">
        <v>0</v>
      </c>
    </row>
    <row r="940" spans="1:51" ht="15" customHeight="1" x14ac:dyDescent="0.25">
      <c r="A940" s="9">
        <v>742</v>
      </c>
      <c r="B940" s="13"/>
      <c r="C940" s="9" t="s">
        <v>169</v>
      </c>
      <c r="D940" s="9"/>
      <c r="E940" s="8"/>
      <c r="F940" s="9" t="s">
        <v>1538</v>
      </c>
      <c r="G940" s="79" t="s">
        <v>1687</v>
      </c>
      <c r="H940" s="9"/>
      <c r="I940" s="9" t="s">
        <v>25</v>
      </c>
      <c r="J940" s="9" t="s">
        <v>30</v>
      </c>
      <c r="K940" s="9">
        <v>2000</v>
      </c>
      <c r="L940" s="39"/>
      <c r="M940" s="7" t="s">
        <v>1</v>
      </c>
      <c r="N940" s="8"/>
      <c r="O940" s="40"/>
      <c r="P940" s="15"/>
      <c r="Q940" s="9" t="s">
        <v>1691</v>
      </c>
      <c r="R940" s="9"/>
      <c r="S940" s="9"/>
      <c r="T940" s="9"/>
      <c r="U940" s="16" t="s">
        <v>98</v>
      </c>
      <c r="V940" s="9">
        <v>2334995</v>
      </c>
      <c r="W940" s="8" t="s">
        <v>460</v>
      </c>
      <c r="X940" s="8"/>
      <c r="Y940" s="8"/>
      <c r="Z940" s="8"/>
      <c r="AA940" s="8"/>
      <c r="AB940" s="8"/>
      <c r="AC940" s="8" t="s">
        <v>190</v>
      </c>
      <c r="AD940" s="14" t="s">
        <v>191</v>
      </c>
      <c r="AE940" s="8" t="s">
        <v>192</v>
      </c>
      <c r="AF940" s="14">
        <v>1.5</v>
      </c>
      <c r="AG940" s="8">
        <v>1250</v>
      </c>
      <c r="AH940" s="8"/>
      <c r="AI940" s="8"/>
      <c r="AJ940" s="8"/>
      <c r="AK940" s="127"/>
      <c r="AL940" s="103">
        <v>9.6950000000000003</v>
      </c>
      <c r="AM940" s="8">
        <v>0</v>
      </c>
      <c r="AN940" s="21">
        <v>0</v>
      </c>
      <c r="AO940" s="21">
        <v>0</v>
      </c>
      <c r="AP940" s="21">
        <v>0</v>
      </c>
      <c r="AQ940" s="21">
        <v>0</v>
      </c>
      <c r="AR940" s="21">
        <v>0</v>
      </c>
      <c r="AS940" s="8">
        <v>9.6950000000000003</v>
      </c>
      <c r="AT940" s="21">
        <v>9.6950000000000003</v>
      </c>
      <c r="AU940" s="21">
        <v>0</v>
      </c>
      <c r="AV940" s="21">
        <v>0</v>
      </c>
      <c r="AW940" s="21">
        <v>0</v>
      </c>
      <c r="AX940" s="21">
        <v>0</v>
      </c>
      <c r="AY940" s="8">
        <v>0</v>
      </c>
    </row>
    <row r="941" spans="1:51" ht="15" customHeight="1" x14ac:dyDescent="0.25">
      <c r="A941" s="9">
        <v>742</v>
      </c>
      <c r="B941" s="13"/>
      <c r="C941" s="9" t="s">
        <v>1686</v>
      </c>
      <c r="D941" s="9"/>
      <c r="E941" s="8"/>
      <c r="F941" s="9" t="s">
        <v>1665</v>
      </c>
      <c r="G941" s="79" t="s">
        <v>1687</v>
      </c>
      <c r="H941" s="9"/>
      <c r="I941" s="9" t="s">
        <v>25</v>
      </c>
      <c r="J941" s="9" t="s">
        <v>31</v>
      </c>
      <c r="K941" s="9">
        <v>2000</v>
      </c>
      <c r="L941" s="39"/>
      <c r="M941" s="7" t="s">
        <v>1</v>
      </c>
      <c r="N941" s="8"/>
      <c r="O941" s="40"/>
      <c r="P941" s="15"/>
      <c r="Q941" s="9" t="s">
        <v>1688</v>
      </c>
      <c r="R941" s="9"/>
      <c r="S941" s="9"/>
      <c r="T941" s="9"/>
      <c r="U941" s="16" t="s">
        <v>89</v>
      </c>
      <c r="V941" s="9">
        <v>3240792</v>
      </c>
      <c r="W941" s="8" t="s">
        <v>467</v>
      </c>
      <c r="X941" s="8"/>
      <c r="Y941" s="8"/>
      <c r="Z941" s="8"/>
      <c r="AA941" s="8"/>
      <c r="AB941" s="8"/>
      <c r="AC941" s="8" t="s">
        <v>210</v>
      </c>
      <c r="AD941" s="14" t="s">
        <v>218</v>
      </c>
      <c r="AE941" s="8" t="s">
        <v>250</v>
      </c>
      <c r="AF941" s="14">
        <v>0.6</v>
      </c>
      <c r="AG941" s="8">
        <v>1250</v>
      </c>
      <c r="AH941" s="8"/>
      <c r="AI941" s="8"/>
      <c r="AJ941" s="8"/>
      <c r="AK941" s="127"/>
      <c r="AL941" s="103">
        <v>2.7</v>
      </c>
      <c r="AM941" s="8">
        <v>0</v>
      </c>
      <c r="AN941" s="21">
        <v>0</v>
      </c>
      <c r="AO941" s="21">
        <v>0</v>
      </c>
      <c r="AP941" s="21">
        <v>0</v>
      </c>
      <c r="AQ941" s="21">
        <v>0</v>
      </c>
      <c r="AR941" s="21">
        <v>0</v>
      </c>
      <c r="AS941" s="8">
        <v>2.7</v>
      </c>
      <c r="AT941" s="21">
        <v>2.7</v>
      </c>
      <c r="AU941" s="21">
        <v>0</v>
      </c>
      <c r="AV941" s="21">
        <v>0</v>
      </c>
      <c r="AW941" s="21">
        <v>0</v>
      </c>
      <c r="AX941" s="21">
        <v>0</v>
      </c>
      <c r="AY941" s="8">
        <v>0</v>
      </c>
    </row>
    <row r="942" spans="1:51" ht="15" customHeight="1" x14ac:dyDescent="0.25">
      <c r="A942" s="9">
        <v>742</v>
      </c>
      <c r="B942" s="13"/>
      <c r="C942" s="9" t="s">
        <v>1686</v>
      </c>
      <c r="D942" s="9"/>
      <c r="E942" s="8"/>
      <c r="F942" s="9" t="s">
        <v>1666</v>
      </c>
      <c r="G942" s="79" t="s">
        <v>1687</v>
      </c>
      <c r="H942" s="9"/>
      <c r="I942" s="9" t="s">
        <v>25</v>
      </c>
      <c r="J942" s="9" t="s">
        <v>30</v>
      </c>
      <c r="K942" s="9">
        <v>2000</v>
      </c>
      <c r="L942" s="39"/>
      <c r="M942" s="7" t="s">
        <v>1</v>
      </c>
      <c r="N942" s="8"/>
      <c r="O942" s="40"/>
      <c r="P942" s="15"/>
      <c r="Q942" s="9" t="s">
        <v>1688</v>
      </c>
      <c r="R942" s="9"/>
      <c r="S942" s="9"/>
      <c r="T942" s="9"/>
      <c r="U942" s="16" t="s">
        <v>89</v>
      </c>
      <c r="V942" s="9">
        <v>274376</v>
      </c>
      <c r="W942" s="8" t="s">
        <v>458</v>
      </c>
      <c r="X942" s="8"/>
      <c r="Y942" s="8"/>
      <c r="Z942" s="8"/>
      <c r="AA942" s="8"/>
      <c r="AB942" s="8"/>
      <c r="AC942" s="8" t="s">
        <v>210</v>
      </c>
      <c r="AD942" s="14" t="s">
        <v>191</v>
      </c>
      <c r="AE942" s="8" t="s">
        <v>192</v>
      </c>
      <c r="AF942" s="14">
        <v>2</v>
      </c>
      <c r="AG942" s="8">
        <v>1250</v>
      </c>
      <c r="AH942" s="8"/>
      <c r="AI942" s="8"/>
      <c r="AJ942" s="8"/>
      <c r="AK942" s="127"/>
      <c r="AL942" s="103">
        <v>2.93</v>
      </c>
      <c r="AM942" s="8">
        <v>0</v>
      </c>
      <c r="AN942" s="21">
        <v>0</v>
      </c>
      <c r="AO942" s="21">
        <v>0</v>
      </c>
      <c r="AP942" s="21">
        <v>0</v>
      </c>
      <c r="AQ942" s="21">
        <v>0</v>
      </c>
      <c r="AR942" s="21">
        <v>0</v>
      </c>
      <c r="AS942" s="8">
        <v>2.93</v>
      </c>
      <c r="AT942" s="21">
        <v>2.93</v>
      </c>
      <c r="AU942" s="21">
        <v>0</v>
      </c>
      <c r="AV942" s="21">
        <v>0</v>
      </c>
      <c r="AW942" s="21">
        <v>0</v>
      </c>
      <c r="AX942" s="21">
        <v>0</v>
      </c>
      <c r="AY942" s="8">
        <v>0</v>
      </c>
    </row>
    <row r="943" spans="1:51" ht="15" customHeight="1" x14ac:dyDescent="0.25">
      <c r="A943" s="9">
        <v>742</v>
      </c>
      <c r="B943" s="13"/>
      <c r="C943" s="9" t="s">
        <v>1686</v>
      </c>
      <c r="D943" s="9"/>
      <c r="E943" s="8"/>
      <c r="F943" s="9" t="s">
        <v>1667</v>
      </c>
      <c r="G943" s="79" t="s">
        <v>1687</v>
      </c>
      <c r="H943" s="9"/>
      <c r="I943" s="9" t="s">
        <v>25</v>
      </c>
      <c r="J943" s="9" t="s">
        <v>30</v>
      </c>
      <c r="K943" s="9">
        <v>2000</v>
      </c>
      <c r="L943" s="39"/>
      <c r="M943" s="7" t="s">
        <v>1</v>
      </c>
      <c r="N943" s="8"/>
      <c r="O943" s="40"/>
      <c r="P943" s="15"/>
      <c r="Q943" s="9" t="s">
        <v>1688</v>
      </c>
      <c r="R943" s="9"/>
      <c r="S943" s="9"/>
      <c r="T943" s="9"/>
      <c r="U943" s="16" t="s">
        <v>89</v>
      </c>
      <c r="V943" s="9">
        <v>1206324</v>
      </c>
      <c r="W943" s="8" t="s">
        <v>1720</v>
      </c>
      <c r="X943" s="8"/>
      <c r="Y943" s="8"/>
      <c r="Z943" s="8"/>
      <c r="AA943" s="8"/>
      <c r="AB943" s="8"/>
      <c r="AC943" s="8" t="s">
        <v>210</v>
      </c>
      <c r="AD943" s="14" t="s">
        <v>191</v>
      </c>
      <c r="AE943" s="8" t="s">
        <v>192</v>
      </c>
      <c r="AF943" s="14">
        <v>0.75</v>
      </c>
      <c r="AG943" s="8">
        <v>1250</v>
      </c>
      <c r="AH943" s="8"/>
      <c r="AI943" s="8"/>
      <c r="AJ943" s="8"/>
      <c r="AK943" s="127"/>
      <c r="AL943" s="103">
        <v>2.895</v>
      </c>
      <c r="AM943" s="8">
        <v>0</v>
      </c>
      <c r="AN943" s="21">
        <v>0</v>
      </c>
      <c r="AO943" s="21">
        <v>0</v>
      </c>
      <c r="AP943" s="21">
        <v>0</v>
      </c>
      <c r="AQ943" s="21">
        <v>0</v>
      </c>
      <c r="AR943" s="21">
        <v>0</v>
      </c>
      <c r="AS943" s="8">
        <v>2.895</v>
      </c>
      <c r="AT943" s="21">
        <v>2.895</v>
      </c>
      <c r="AU943" s="21">
        <v>0</v>
      </c>
      <c r="AV943" s="21">
        <v>0</v>
      </c>
      <c r="AW943" s="21">
        <v>0</v>
      </c>
      <c r="AX943" s="21">
        <v>0</v>
      </c>
      <c r="AY943" s="8">
        <v>0</v>
      </c>
    </row>
    <row r="944" spans="1:51" ht="15" customHeight="1" x14ac:dyDescent="0.25">
      <c r="A944" s="9">
        <v>743</v>
      </c>
      <c r="B944" s="13"/>
      <c r="C944" s="9" t="s">
        <v>1686</v>
      </c>
      <c r="D944" s="9"/>
      <c r="E944" s="8"/>
      <c r="F944" s="9" t="s">
        <v>1668</v>
      </c>
      <c r="G944" s="79" t="s">
        <v>1687</v>
      </c>
      <c r="H944" s="9"/>
      <c r="I944" s="9" t="s">
        <v>43</v>
      </c>
      <c r="J944" s="9" t="s">
        <v>45</v>
      </c>
      <c r="K944" s="9">
        <v>2000</v>
      </c>
      <c r="L944" s="39"/>
      <c r="M944" s="7" t="s">
        <v>1</v>
      </c>
      <c r="N944" s="8"/>
      <c r="O944" s="40"/>
      <c r="P944" s="15"/>
      <c r="Q944" s="9" t="s">
        <v>1688</v>
      </c>
      <c r="R944" s="9"/>
      <c r="S944" s="9"/>
      <c r="T944" s="9"/>
      <c r="U944" s="16" t="s">
        <v>89</v>
      </c>
      <c r="V944" s="9">
        <v>3484326</v>
      </c>
      <c r="W944" s="8" t="s">
        <v>607</v>
      </c>
      <c r="X944" s="8"/>
      <c r="Y944" s="8"/>
      <c r="Z944" s="8"/>
      <c r="AA944" s="8"/>
      <c r="AB944" s="8"/>
      <c r="AC944" s="8" t="s">
        <v>184</v>
      </c>
      <c r="AD944" s="14" t="s">
        <v>185</v>
      </c>
      <c r="AE944" s="8" t="s">
        <v>186</v>
      </c>
      <c r="AF944" s="14">
        <v>0.4</v>
      </c>
      <c r="AG944" s="8">
        <v>900</v>
      </c>
      <c r="AH944" s="8"/>
      <c r="AI944" s="8"/>
      <c r="AJ944" s="8"/>
      <c r="AK944" s="127"/>
      <c r="AL944" s="103">
        <v>3.16</v>
      </c>
      <c r="AM944" s="8">
        <v>0</v>
      </c>
      <c r="AN944" s="21">
        <v>0</v>
      </c>
      <c r="AO944" s="21">
        <v>0</v>
      </c>
      <c r="AP944" s="21">
        <v>0</v>
      </c>
      <c r="AQ944" s="21">
        <v>0</v>
      </c>
      <c r="AR944" s="21">
        <v>0</v>
      </c>
      <c r="AS944" s="8">
        <v>3.16</v>
      </c>
      <c r="AT944" s="21">
        <v>3.16</v>
      </c>
      <c r="AU944" s="21">
        <v>0</v>
      </c>
      <c r="AV944" s="21">
        <v>0</v>
      </c>
      <c r="AW944" s="21">
        <v>0</v>
      </c>
      <c r="AX944" s="21">
        <v>0</v>
      </c>
      <c r="AY944" s="8">
        <v>0</v>
      </c>
    </row>
    <row r="945" spans="1:51" ht="15" customHeight="1" x14ac:dyDescent="0.25">
      <c r="A945" s="9">
        <v>743</v>
      </c>
      <c r="B945" s="13"/>
      <c r="C945" s="9" t="s">
        <v>1686</v>
      </c>
      <c r="D945" s="9"/>
      <c r="E945" s="8"/>
      <c r="F945" s="9" t="s">
        <v>1669</v>
      </c>
      <c r="G945" s="79" t="s">
        <v>1687</v>
      </c>
      <c r="H945" s="9"/>
      <c r="I945" s="9" t="s">
        <v>43</v>
      </c>
      <c r="J945" s="9" t="s">
        <v>45</v>
      </c>
      <c r="K945" s="9">
        <v>2000</v>
      </c>
      <c r="L945" s="39"/>
      <c r="M945" s="7" t="s">
        <v>1</v>
      </c>
      <c r="N945" s="8"/>
      <c r="O945" s="40"/>
      <c r="P945" s="15"/>
      <c r="Q945" s="9" t="s">
        <v>1688</v>
      </c>
      <c r="R945" s="9"/>
      <c r="S945" s="9"/>
      <c r="T945" s="9"/>
      <c r="U945" s="16" t="s">
        <v>89</v>
      </c>
      <c r="V945" s="9">
        <v>1851133</v>
      </c>
      <c r="W945" s="8" t="s">
        <v>1703</v>
      </c>
      <c r="X945" s="8"/>
      <c r="Y945" s="8"/>
      <c r="Z945" s="8"/>
      <c r="AA945" s="8"/>
      <c r="AB945" s="8"/>
      <c r="AC945" s="8" t="s">
        <v>184</v>
      </c>
      <c r="AD945" s="14" t="s">
        <v>185</v>
      </c>
      <c r="AE945" s="8" t="s">
        <v>186</v>
      </c>
      <c r="AF945" s="14">
        <v>0.35</v>
      </c>
      <c r="AG945" s="8">
        <v>900</v>
      </c>
      <c r="AH945" s="8"/>
      <c r="AI945" s="8"/>
      <c r="AJ945" s="8"/>
      <c r="AK945" s="127"/>
      <c r="AL945" s="103">
        <v>2.6150000000000002</v>
      </c>
      <c r="AM945" s="8">
        <v>0</v>
      </c>
      <c r="AN945" s="21">
        <v>0</v>
      </c>
      <c r="AO945" s="21">
        <v>0</v>
      </c>
      <c r="AP945" s="21">
        <v>0</v>
      </c>
      <c r="AQ945" s="21">
        <v>0</v>
      </c>
      <c r="AR945" s="21">
        <v>0</v>
      </c>
      <c r="AS945" s="8">
        <v>2.6150000000000002</v>
      </c>
      <c r="AT945" s="21">
        <v>2.6150000000000002</v>
      </c>
      <c r="AU945" s="21">
        <v>0</v>
      </c>
      <c r="AV945" s="21">
        <v>0</v>
      </c>
      <c r="AW945" s="21">
        <v>0</v>
      </c>
      <c r="AX945" s="21">
        <v>0</v>
      </c>
      <c r="AY945" s="8">
        <v>0</v>
      </c>
    </row>
    <row r="946" spans="1:51" ht="15" customHeight="1" x14ac:dyDescent="0.25">
      <c r="A946" s="9">
        <v>743</v>
      </c>
      <c r="B946" s="13"/>
      <c r="C946" s="9" t="s">
        <v>1686</v>
      </c>
      <c r="D946" s="9"/>
      <c r="E946" s="8"/>
      <c r="F946" s="9" t="s">
        <v>1670</v>
      </c>
      <c r="G946" s="79" t="s">
        <v>1687</v>
      </c>
      <c r="H946" s="9"/>
      <c r="I946" s="9" t="s">
        <v>43</v>
      </c>
      <c r="J946" s="9" t="s">
        <v>45</v>
      </c>
      <c r="K946" s="9">
        <v>2000</v>
      </c>
      <c r="L946" s="39"/>
      <c r="M946" s="7" t="s">
        <v>1</v>
      </c>
      <c r="N946" s="8"/>
      <c r="O946" s="40"/>
      <c r="P946" s="15"/>
      <c r="Q946" s="9" t="s">
        <v>1688</v>
      </c>
      <c r="R946" s="9"/>
      <c r="S946" s="9"/>
      <c r="T946" s="9"/>
      <c r="U946" s="16" t="s">
        <v>89</v>
      </c>
      <c r="V946" s="9">
        <v>1851133</v>
      </c>
      <c r="W946" s="8" t="s">
        <v>1703</v>
      </c>
      <c r="X946" s="8"/>
      <c r="Y946" s="8"/>
      <c r="Z946" s="8"/>
      <c r="AA946" s="8"/>
      <c r="AB946" s="8"/>
      <c r="AC946" s="8" t="s">
        <v>184</v>
      </c>
      <c r="AD946" s="14" t="s">
        <v>185</v>
      </c>
      <c r="AE946" s="8" t="s">
        <v>186</v>
      </c>
      <c r="AF946" s="14">
        <v>0.35</v>
      </c>
      <c r="AG946" s="8">
        <v>900</v>
      </c>
      <c r="AH946" s="8"/>
      <c r="AI946" s="8"/>
      <c r="AJ946" s="8"/>
      <c r="AK946" s="127"/>
      <c r="AL946" s="103">
        <v>3.2450000000000001</v>
      </c>
      <c r="AM946" s="8">
        <v>0</v>
      </c>
      <c r="AN946" s="21">
        <v>0</v>
      </c>
      <c r="AO946" s="21">
        <v>0</v>
      </c>
      <c r="AP946" s="21">
        <v>0</v>
      </c>
      <c r="AQ946" s="21">
        <v>0</v>
      </c>
      <c r="AR946" s="21">
        <v>0</v>
      </c>
      <c r="AS946" s="8">
        <v>3.2450000000000001</v>
      </c>
      <c r="AT946" s="21">
        <v>3.2450000000000001</v>
      </c>
      <c r="AU946" s="21">
        <v>0</v>
      </c>
      <c r="AV946" s="21">
        <v>0</v>
      </c>
      <c r="AW946" s="21">
        <v>0</v>
      </c>
      <c r="AX946" s="21">
        <v>0</v>
      </c>
      <c r="AY946" s="8">
        <v>0</v>
      </c>
    </row>
    <row r="947" spans="1:51" ht="15" customHeight="1" x14ac:dyDescent="0.25">
      <c r="A947" s="9">
        <v>743</v>
      </c>
      <c r="B947" s="13"/>
      <c r="C947" s="9" t="s">
        <v>1686</v>
      </c>
      <c r="D947" s="9"/>
      <c r="E947" s="8"/>
      <c r="F947" s="9" t="s">
        <v>1671</v>
      </c>
      <c r="G947" s="79" t="s">
        <v>1687</v>
      </c>
      <c r="H947" s="9"/>
      <c r="I947" s="9" t="s">
        <v>43</v>
      </c>
      <c r="J947" s="9" t="s">
        <v>45</v>
      </c>
      <c r="K947" s="9">
        <v>2000</v>
      </c>
      <c r="L947" s="39"/>
      <c r="M947" s="7" t="s">
        <v>1</v>
      </c>
      <c r="N947" s="8"/>
      <c r="O947" s="40"/>
      <c r="P947" s="15"/>
      <c r="Q947" s="9" t="s">
        <v>1688</v>
      </c>
      <c r="R947" s="9"/>
      <c r="S947" s="9"/>
      <c r="T947" s="9"/>
      <c r="U947" s="16" t="s">
        <v>89</v>
      </c>
      <c r="V947" s="9">
        <v>1851133</v>
      </c>
      <c r="W947" s="8" t="s">
        <v>1703</v>
      </c>
      <c r="X947" s="8"/>
      <c r="Y947" s="8"/>
      <c r="Z947" s="8"/>
      <c r="AA947" s="8"/>
      <c r="AB947" s="8"/>
      <c r="AC947" s="8" t="s">
        <v>184</v>
      </c>
      <c r="AD947" s="14" t="s">
        <v>185</v>
      </c>
      <c r="AE947" s="8" t="s">
        <v>186</v>
      </c>
      <c r="AF947" s="14">
        <v>0.35</v>
      </c>
      <c r="AG947" s="8">
        <v>900</v>
      </c>
      <c r="AH947" s="8"/>
      <c r="AI947" s="8"/>
      <c r="AJ947" s="8"/>
      <c r="AK947" s="127"/>
      <c r="AL947" s="103">
        <v>3.25</v>
      </c>
      <c r="AM947" s="8">
        <v>0</v>
      </c>
      <c r="AN947" s="21">
        <v>0</v>
      </c>
      <c r="AO947" s="21">
        <v>0</v>
      </c>
      <c r="AP947" s="21">
        <v>0</v>
      </c>
      <c r="AQ947" s="21">
        <v>0</v>
      </c>
      <c r="AR947" s="21">
        <v>0</v>
      </c>
      <c r="AS947" s="8">
        <v>3.25</v>
      </c>
      <c r="AT947" s="21">
        <v>3.25</v>
      </c>
      <c r="AU947" s="21">
        <v>0</v>
      </c>
      <c r="AV947" s="21">
        <v>0</v>
      </c>
      <c r="AW947" s="21">
        <v>0</v>
      </c>
      <c r="AX947" s="21">
        <v>0</v>
      </c>
      <c r="AY947" s="8">
        <v>0</v>
      </c>
    </row>
    <row r="948" spans="1:51" ht="15" customHeight="1" x14ac:dyDescent="0.25">
      <c r="A948" s="9">
        <v>743</v>
      </c>
      <c r="B948" s="13"/>
      <c r="C948" s="9" t="s">
        <v>1686</v>
      </c>
      <c r="D948" s="9"/>
      <c r="E948" s="8"/>
      <c r="F948" s="9" t="s">
        <v>1672</v>
      </c>
      <c r="G948" s="79" t="s">
        <v>1687</v>
      </c>
      <c r="H948" s="9"/>
      <c r="I948" s="9" t="s">
        <v>43</v>
      </c>
      <c r="J948" s="9" t="s">
        <v>45</v>
      </c>
      <c r="K948" s="9">
        <v>2000</v>
      </c>
      <c r="L948" s="39"/>
      <c r="M948" s="7" t="s">
        <v>1</v>
      </c>
      <c r="N948" s="8"/>
      <c r="O948" s="40"/>
      <c r="P948" s="15"/>
      <c r="Q948" s="9" t="s">
        <v>1688</v>
      </c>
      <c r="R948" s="9"/>
      <c r="S948" s="9"/>
      <c r="T948" s="9"/>
      <c r="U948" s="16" t="s">
        <v>89</v>
      </c>
      <c r="V948" s="9">
        <v>1854424</v>
      </c>
      <c r="W948" s="8" t="s">
        <v>319</v>
      </c>
      <c r="X948" s="8"/>
      <c r="Y948" s="8"/>
      <c r="Z948" s="8"/>
      <c r="AA948" s="8"/>
      <c r="AB948" s="8"/>
      <c r="AC948" s="8" t="s">
        <v>238</v>
      </c>
      <c r="AD948" s="14" t="s">
        <v>185</v>
      </c>
      <c r="AE948" s="8" t="s">
        <v>186</v>
      </c>
      <c r="AF948" s="14">
        <v>0.6</v>
      </c>
      <c r="AG948" s="8">
        <v>900</v>
      </c>
      <c r="AH948" s="8"/>
      <c r="AI948" s="8"/>
      <c r="AJ948" s="8"/>
      <c r="AK948" s="127"/>
      <c r="AL948" s="103">
        <v>8.43</v>
      </c>
      <c r="AM948" s="8">
        <v>0</v>
      </c>
      <c r="AN948" s="21">
        <v>0</v>
      </c>
      <c r="AO948" s="21">
        <v>0</v>
      </c>
      <c r="AP948" s="21">
        <v>0</v>
      </c>
      <c r="AQ948" s="21">
        <v>0</v>
      </c>
      <c r="AR948" s="21">
        <v>0</v>
      </c>
      <c r="AS948" s="8">
        <v>8.43</v>
      </c>
      <c r="AT948" s="21">
        <v>8.43</v>
      </c>
      <c r="AU948" s="21">
        <v>0</v>
      </c>
      <c r="AV948" s="21">
        <v>0</v>
      </c>
      <c r="AW948" s="21">
        <v>0</v>
      </c>
      <c r="AX948" s="21">
        <v>0</v>
      </c>
      <c r="AY948" s="8">
        <v>0</v>
      </c>
    </row>
    <row r="949" spans="1:51" ht="15" customHeight="1" x14ac:dyDescent="0.25">
      <c r="A949" s="9">
        <v>743</v>
      </c>
      <c r="B949" s="13"/>
      <c r="C949" s="9" t="s">
        <v>1686</v>
      </c>
      <c r="D949" s="9"/>
      <c r="E949" s="8"/>
      <c r="F949" s="9" t="s">
        <v>1673</v>
      </c>
      <c r="G949" s="79" t="s">
        <v>1687</v>
      </c>
      <c r="H949" s="9"/>
      <c r="I949" s="9" t="s">
        <v>43</v>
      </c>
      <c r="J949" s="9" t="s">
        <v>45</v>
      </c>
      <c r="K949" s="9">
        <v>2000</v>
      </c>
      <c r="L949" s="39"/>
      <c r="M949" s="7" t="s">
        <v>1</v>
      </c>
      <c r="N949" s="8"/>
      <c r="O949" s="40"/>
      <c r="P949" s="15"/>
      <c r="Q949" s="9" t="s">
        <v>1688</v>
      </c>
      <c r="R949" s="9"/>
      <c r="S949" s="9"/>
      <c r="T949" s="9"/>
      <c r="U949" s="16" t="s">
        <v>89</v>
      </c>
      <c r="V949" s="9">
        <v>1854424</v>
      </c>
      <c r="W949" s="8" t="s">
        <v>319</v>
      </c>
      <c r="X949" s="8"/>
      <c r="Y949" s="8"/>
      <c r="Z949" s="8"/>
      <c r="AA949" s="8"/>
      <c r="AB949" s="8"/>
      <c r="AC949" s="8" t="s">
        <v>238</v>
      </c>
      <c r="AD949" s="14" t="s">
        <v>185</v>
      </c>
      <c r="AE949" s="8" t="s">
        <v>186</v>
      </c>
      <c r="AF949" s="14">
        <v>0.6</v>
      </c>
      <c r="AG949" s="8">
        <v>900</v>
      </c>
      <c r="AH949" s="8"/>
      <c r="AI949" s="8"/>
      <c r="AJ949" s="8"/>
      <c r="AK949" s="127"/>
      <c r="AL949" s="103">
        <v>9.6349999999999998</v>
      </c>
      <c r="AM949" s="8">
        <v>0</v>
      </c>
      <c r="AN949" s="21">
        <v>0</v>
      </c>
      <c r="AO949" s="21">
        <v>0</v>
      </c>
      <c r="AP949" s="21">
        <v>0</v>
      </c>
      <c r="AQ949" s="21">
        <v>0</v>
      </c>
      <c r="AR949" s="21">
        <v>0</v>
      </c>
      <c r="AS949" s="8">
        <v>9.6349999999999998</v>
      </c>
      <c r="AT949" s="21">
        <v>9.6349999999999998</v>
      </c>
      <c r="AU949" s="21">
        <v>0</v>
      </c>
      <c r="AV949" s="21">
        <v>0</v>
      </c>
      <c r="AW949" s="21">
        <v>0</v>
      </c>
      <c r="AX949" s="21">
        <v>0</v>
      </c>
      <c r="AY949" s="8">
        <v>0</v>
      </c>
    </row>
    <row r="950" spans="1:51" ht="15" customHeight="1" x14ac:dyDescent="0.25">
      <c r="A950" s="9">
        <v>743</v>
      </c>
      <c r="B950" s="13"/>
      <c r="C950" s="9" t="s">
        <v>1686</v>
      </c>
      <c r="D950" s="9"/>
      <c r="E950" s="8"/>
      <c r="F950" s="9" t="s">
        <v>1674</v>
      </c>
      <c r="G950" s="79" t="s">
        <v>1687</v>
      </c>
      <c r="H950" s="9"/>
      <c r="I950" s="9" t="s">
        <v>43</v>
      </c>
      <c r="J950" s="9" t="s">
        <v>45</v>
      </c>
      <c r="K950" s="9">
        <v>2000</v>
      </c>
      <c r="L950" s="39"/>
      <c r="M950" s="7" t="s">
        <v>1</v>
      </c>
      <c r="N950" s="8"/>
      <c r="O950" s="40"/>
      <c r="P950" s="15"/>
      <c r="Q950" s="9" t="s">
        <v>1688</v>
      </c>
      <c r="R950" s="9"/>
      <c r="S950" s="9"/>
      <c r="T950" s="9"/>
      <c r="U950" s="16" t="s">
        <v>89</v>
      </c>
      <c r="V950" s="9">
        <v>1854424</v>
      </c>
      <c r="W950" s="8" t="s">
        <v>319</v>
      </c>
      <c r="X950" s="8"/>
      <c r="Y950" s="8"/>
      <c r="Z950" s="8"/>
      <c r="AA950" s="8"/>
      <c r="AB950" s="8"/>
      <c r="AC950" s="8" t="s">
        <v>238</v>
      </c>
      <c r="AD950" s="14" t="s">
        <v>185</v>
      </c>
      <c r="AE950" s="8" t="s">
        <v>186</v>
      </c>
      <c r="AF950" s="14">
        <v>0.6</v>
      </c>
      <c r="AG950" s="8">
        <v>900</v>
      </c>
      <c r="AH950" s="8"/>
      <c r="AI950" s="8"/>
      <c r="AJ950" s="8"/>
      <c r="AK950" s="127"/>
      <c r="AL950" s="103">
        <v>9.52</v>
      </c>
      <c r="AM950" s="8">
        <v>0</v>
      </c>
      <c r="AN950" s="21">
        <v>0</v>
      </c>
      <c r="AO950" s="21">
        <v>0</v>
      </c>
      <c r="AP950" s="21">
        <v>0</v>
      </c>
      <c r="AQ950" s="21">
        <v>0</v>
      </c>
      <c r="AR950" s="21">
        <v>0</v>
      </c>
      <c r="AS950" s="8">
        <v>9.52</v>
      </c>
      <c r="AT950" s="21">
        <v>9.52</v>
      </c>
      <c r="AU950" s="21">
        <v>0</v>
      </c>
      <c r="AV950" s="21">
        <v>0</v>
      </c>
      <c r="AW950" s="21">
        <v>0</v>
      </c>
      <c r="AX950" s="21">
        <v>0</v>
      </c>
      <c r="AY950" s="8">
        <v>0</v>
      </c>
    </row>
    <row r="951" spans="1:51" ht="15" customHeight="1" x14ac:dyDescent="0.25">
      <c r="A951" s="9">
        <v>743</v>
      </c>
      <c r="B951" s="13"/>
      <c r="C951" s="9" t="s">
        <v>1686</v>
      </c>
      <c r="D951" s="9"/>
      <c r="E951" s="8"/>
      <c r="F951" s="9" t="s">
        <v>1675</v>
      </c>
      <c r="G951" s="79" t="s">
        <v>1687</v>
      </c>
      <c r="H951" s="9"/>
      <c r="I951" s="9" t="s">
        <v>43</v>
      </c>
      <c r="J951" s="9" t="s">
        <v>45</v>
      </c>
      <c r="K951" s="9">
        <v>2000</v>
      </c>
      <c r="L951" s="39"/>
      <c r="M951" s="7" t="s">
        <v>1</v>
      </c>
      <c r="N951" s="8"/>
      <c r="O951" s="40"/>
      <c r="P951" s="15"/>
      <c r="Q951" s="9" t="s">
        <v>1688</v>
      </c>
      <c r="R951" s="9"/>
      <c r="S951" s="9"/>
      <c r="T951" s="9"/>
      <c r="U951" s="16" t="s">
        <v>89</v>
      </c>
      <c r="V951" s="9">
        <v>1854424</v>
      </c>
      <c r="W951" s="8" t="s">
        <v>319</v>
      </c>
      <c r="X951" s="8"/>
      <c r="Y951" s="8"/>
      <c r="Z951" s="8"/>
      <c r="AA951" s="8"/>
      <c r="AB951" s="8"/>
      <c r="AC951" s="8" t="s">
        <v>238</v>
      </c>
      <c r="AD951" s="14" t="s">
        <v>185</v>
      </c>
      <c r="AE951" s="8" t="s">
        <v>186</v>
      </c>
      <c r="AF951" s="14">
        <v>0.6</v>
      </c>
      <c r="AG951" s="8">
        <v>900</v>
      </c>
      <c r="AH951" s="8"/>
      <c r="AI951" s="8"/>
      <c r="AJ951" s="8"/>
      <c r="AK951" s="127"/>
      <c r="AL951" s="103">
        <v>9.5150000000000006</v>
      </c>
      <c r="AM951" s="8">
        <v>0</v>
      </c>
      <c r="AN951" s="21">
        <v>0</v>
      </c>
      <c r="AO951" s="21">
        <v>0</v>
      </c>
      <c r="AP951" s="21">
        <v>0</v>
      </c>
      <c r="AQ951" s="21">
        <v>0</v>
      </c>
      <c r="AR951" s="21">
        <v>0</v>
      </c>
      <c r="AS951" s="8">
        <v>9.5150000000000006</v>
      </c>
      <c r="AT951" s="21">
        <v>9.5150000000000006</v>
      </c>
      <c r="AU951" s="21">
        <v>0</v>
      </c>
      <c r="AV951" s="21">
        <v>0</v>
      </c>
      <c r="AW951" s="21">
        <v>0</v>
      </c>
      <c r="AX951" s="21">
        <v>0</v>
      </c>
      <c r="AY951" s="8">
        <v>0</v>
      </c>
    </row>
    <row r="952" spans="1:51" ht="15" customHeight="1" x14ac:dyDescent="0.25">
      <c r="A952" s="9">
        <v>742</v>
      </c>
      <c r="B952" s="13"/>
      <c r="C952" s="9" t="s">
        <v>1686</v>
      </c>
      <c r="D952" s="9"/>
      <c r="E952" s="8"/>
      <c r="F952" s="9" t="s">
        <v>1676</v>
      </c>
      <c r="G952" s="79" t="s">
        <v>1687</v>
      </c>
      <c r="H952" s="9"/>
      <c r="I952" s="9" t="s">
        <v>25</v>
      </c>
      <c r="J952" s="9" t="s">
        <v>31</v>
      </c>
      <c r="K952" s="9">
        <v>2000</v>
      </c>
      <c r="L952" s="39"/>
      <c r="M952" s="7" t="s">
        <v>1</v>
      </c>
      <c r="N952" s="8"/>
      <c r="O952" s="40"/>
      <c r="P952" s="15"/>
      <c r="Q952" s="9" t="s">
        <v>1688</v>
      </c>
      <c r="R952" s="9"/>
      <c r="S952" s="9"/>
      <c r="T952" s="9"/>
      <c r="U952" s="16" t="s">
        <v>96</v>
      </c>
      <c r="V952" s="9">
        <v>3240849</v>
      </c>
      <c r="W952" s="8" t="s">
        <v>535</v>
      </c>
      <c r="X952" s="8"/>
      <c r="Y952" s="8"/>
      <c r="Z952" s="8"/>
      <c r="AA952" s="8"/>
      <c r="AB952" s="8"/>
      <c r="AC952" s="8" t="s">
        <v>210</v>
      </c>
      <c r="AD952" s="14" t="s">
        <v>218</v>
      </c>
      <c r="AE952" s="8" t="s">
        <v>250</v>
      </c>
      <c r="AF952" s="14">
        <v>1.2</v>
      </c>
      <c r="AG952" s="8">
        <v>1250</v>
      </c>
      <c r="AH952" s="8"/>
      <c r="AI952" s="8"/>
      <c r="AJ952" s="8"/>
      <c r="AK952" s="127"/>
      <c r="AL952" s="103">
        <v>2.7450000000000001</v>
      </c>
      <c r="AM952" s="8">
        <v>0</v>
      </c>
      <c r="AN952" s="21">
        <v>0</v>
      </c>
      <c r="AO952" s="21">
        <v>0</v>
      </c>
      <c r="AP952" s="21">
        <v>0</v>
      </c>
      <c r="AQ952" s="21">
        <v>0</v>
      </c>
      <c r="AR952" s="21">
        <v>0</v>
      </c>
      <c r="AS952" s="8">
        <v>2.7450000000000001</v>
      </c>
      <c r="AT952" s="21">
        <v>2.7450000000000001</v>
      </c>
      <c r="AU952" s="21">
        <v>0</v>
      </c>
      <c r="AV952" s="21">
        <v>0</v>
      </c>
      <c r="AW952" s="21">
        <v>0</v>
      </c>
      <c r="AX952" s="21">
        <v>0</v>
      </c>
      <c r="AY952" s="8">
        <v>0</v>
      </c>
    </row>
    <row r="953" spans="1:51" ht="15" customHeight="1" x14ac:dyDescent="0.25">
      <c r="A953" s="9">
        <v>742</v>
      </c>
      <c r="B953" s="13"/>
      <c r="C953" s="9" t="s">
        <v>1686</v>
      </c>
      <c r="D953" s="9"/>
      <c r="E953" s="8"/>
      <c r="F953" s="9" t="s">
        <v>1677</v>
      </c>
      <c r="G953" s="79" t="s">
        <v>1687</v>
      </c>
      <c r="H953" s="9"/>
      <c r="I953" s="9" t="s">
        <v>25</v>
      </c>
      <c r="J953" s="9" t="s">
        <v>31</v>
      </c>
      <c r="K953" s="9">
        <v>2000</v>
      </c>
      <c r="L953" s="39"/>
      <c r="M953" s="7" t="s">
        <v>1</v>
      </c>
      <c r="N953" s="8"/>
      <c r="O953" s="40"/>
      <c r="P953" s="15"/>
      <c r="Q953" s="9" t="s">
        <v>1688</v>
      </c>
      <c r="R953" s="9"/>
      <c r="S953" s="9"/>
      <c r="T953" s="9"/>
      <c r="U953" s="16" t="s">
        <v>96</v>
      </c>
      <c r="V953" s="9">
        <v>3240851</v>
      </c>
      <c r="W953" s="8" t="s">
        <v>535</v>
      </c>
      <c r="X953" s="8"/>
      <c r="Y953" s="8"/>
      <c r="Z953" s="8"/>
      <c r="AA953" s="8"/>
      <c r="AB953" s="8"/>
      <c r="AC953" s="8" t="s">
        <v>210</v>
      </c>
      <c r="AD953" s="14" t="s">
        <v>218</v>
      </c>
      <c r="AE953" s="8" t="s">
        <v>250</v>
      </c>
      <c r="AF953" s="14">
        <v>1.2</v>
      </c>
      <c r="AG953" s="8">
        <v>1250</v>
      </c>
      <c r="AH953" s="8"/>
      <c r="AI953" s="8"/>
      <c r="AJ953" s="8"/>
      <c r="AK953" s="127"/>
      <c r="AL953" s="103">
        <v>2.76</v>
      </c>
      <c r="AM953" s="8">
        <v>0</v>
      </c>
      <c r="AN953" s="21">
        <v>0</v>
      </c>
      <c r="AO953" s="21">
        <v>0</v>
      </c>
      <c r="AP953" s="21">
        <v>0</v>
      </c>
      <c r="AQ953" s="21">
        <v>0</v>
      </c>
      <c r="AR953" s="21">
        <v>0</v>
      </c>
      <c r="AS953" s="8">
        <v>2.76</v>
      </c>
      <c r="AT953" s="21">
        <v>2.76</v>
      </c>
      <c r="AU953" s="21">
        <v>0</v>
      </c>
      <c r="AV953" s="21">
        <v>0</v>
      </c>
      <c r="AW953" s="21">
        <v>0</v>
      </c>
      <c r="AX953" s="21">
        <v>0</v>
      </c>
      <c r="AY953" s="8">
        <v>0</v>
      </c>
    </row>
    <row r="954" spans="1:51" ht="15" customHeight="1" x14ac:dyDescent="0.25">
      <c r="A954" s="9">
        <v>742</v>
      </c>
      <c r="B954" s="13"/>
      <c r="C954" s="9" t="s">
        <v>1686</v>
      </c>
      <c r="D954" s="9"/>
      <c r="E954" s="8"/>
      <c r="F954" s="9" t="s">
        <v>1678</v>
      </c>
      <c r="G954" s="79" t="s">
        <v>1687</v>
      </c>
      <c r="H954" s="9"/>
      <c r="I954" s="9" t="s">
        <v>25</v>
      </c>
      <c r="J954" s="9" t="s">
        <v>30</v>
      </c>
      <c r="K954" s="9">
        <v>2000</v>
      </c>
      <c r="L954" s="39"/>
      <c r="M954" s="7" t="s">
        <v>1</v>
      </c>
      <c r="N954" s="8"/>
      <c r="O954" s="40"/>
      <c r="P954" s="15"/>
      <c r="Q954" s="9" t="s">
        <v>1691</v>
      </c>
      <c r="R954" s="9"/>
      <c r="S954" s="9"/>
      <c r="T954" s="9"/>
      <c r="U954" s="16" t="s">
        <v>72</v>
      </c>
      <c r="V954" s="9">
        <v>1804908</v>
      </c>
      <c r="W954" s="8" t="s">
        <v>251</v>
      </c>
      <c r="X954" s="8"/>
      <c r="Y954" s="8"/>
      <c r="Z954" s="8"/>
      <c r="AA954" s="8"/>
      <c r="AB954" s="8"/>
      <c r="AC954" s="8" t="s">
        <v>190</v>
      </c>
      <c r="AD954" s="14" t="s">
        <v>211</v>
      </c>
      <c r="AE954" s="8" t="s">
        <v>252</v>
      </c>
      <c r="AF954" s="14">
        <v>0.5</v>
      </c>
      <c r="AG954" s="8">
        <v>1250</v>
      </c>
      <c r="AH954" s="8"/>
      <c r="AI954" s="8"/>
      <c r="AJ954" s="8"/>
      <c r="AK954" s="127"/>
      <c r="AL954" s="103">
        <v>21.954999999999998</v>
      </c>
      <c r="AM954" s="8">
        <v>0</v>
      </c>
      <c r="AN954" s="21">
        <v>0</v>
      </c>
      <c r="AO954" s="21">
        <v>0</v>
      </c>
      <c r="AP954" s="21">
        <v>0</v>
      </c>
      <c r="AQ954" s="21">
        <v>0</v>
      </c>
      <c r="AR954" s="21">
        <v>0</v>
      </c>
      <c r="AS954" s="8">
        <v>21.954999999999998</v>
      </c>
      <c r="AT954" s="21">
        <v>21.954999999999998</v>
      </c>
      <c r="AU954" s="21">
        <v>0</v>
      </c>
      <c r="AV954" s="21">
        <v>0</v>
      </c>
      <c r="AW954" s="21">
        <v>0</v>
      </c>
      <c r="AX954" s="21">
        <v>0</v>
      </c>
      <c r="AY954" s="8">
        <v>0</v>
      </c>
    </row>
    <row r="955" spans="1:51" ht="15" customHeight="1" x14ac:dyDescent="0.25">
      <c r="A955" s="9">
        <v>743</v>
      </c>
      <c r="B955" s="13"/>
      <c r="C955" s="9" t="s">
        <v>1686</v>
      </c>
      <c r="D955" s="9"/>
      <c r="E955" s="8"/>
      <c r="F955" s="9" t="s">
        <v>1679</v>
      </c>
      <c r="G955" s="79" t="s">
        <v>1687</v>
      </c>
      <c r="H955" s="9"/>
      <c r="I955" s="9" t="s">
        <v>43</v>
      </c>
      <c r="J955" s="9" t="s">
        <v>26</v>
      </c>
      <c r="K955" s="9">
        <v>2000</v>
      </c>
      <c r="L955" s="39"/>
      <c r="M955" s="7" t="s">
        <v>1</v>
      </c>
      <c r="N955" s="8"/>
      <c r="O955" s="40"/>
      <c r="P955" s="15"/>
      <c r="Q955" s="9" t="s">
        <v>1689</v>
      </c>
      <c r="R955" s="9"/>
      <c r="S955" s="9"/>
      <c r="T955" s="9"/>
      <c r="U955" s="16" t="s">
        <v>110</v>
      </c>
      <c r="V955" s="9">
        <v>3897429</v>
      </c>
      <c r="W955" s="8" t="s">
        <v>743</v>
      </c>
      <c r="X955" s="8"/>
      <c r="Y955" s="8"/>
      <c r="Z955" s="8"/>
      <c r="AA955" s="8"/>
      <c r="AB955" s="8"/>
      <c r="AC955" s="8" t="s">
        <v>269</v>
      </c>
      <c r="AD955" s="14" t="s">
        <v>388</v>
      </c>
      <c r="AE955" s="8" t="s">
        <v>744</v>
      </c>
      <c r="AF955" s="14">
        <v>0.35</v>
      </c>
      <c r="AG955" s="8">
        <v>900</v>
      </c>
      <c r="AH955" s="8"/>
      <c r="AI955" s="8"/>
      <c r="AJ955" s="8"/>
      <c r="AK955" s="127"/>
      <c r="AL955" s="103">
        <v>4.1399999999999997</v>
      </c>
      <c r="AM955" s="8">
        <v>0</v>
      </c>
      <c r="AN955" s="21">
        <v>0</v>
      </c>
      <c r="AO955" s="21">
        <v>0</v>
      </c>
      <c r="AP955" s="21">
        <v>0</v>
      </c>
      <c r="AQ955" s="21">
        <v>0</v>
      </c>
      <c r="AR955" s="21">
        <v>0</v>
      </c>
      <c r="AS955" s="8">
        <v>4.1399999999999997</v>
      </c>
      <c r="AT955" s="21">
        <v>4.1399999999999997</v>
      </c>
      <c r="AU955" s="21">
        <v>0</v>
      </c>
      <c r="AV955" s="21">
        <v>0</v>
      </c>
      <c r="AW955" s="21">
        <v>0</v>
      </c>
      <c r="AX955" s="21">
        <v>0</v>
      </c>
      <c r="AY955" s="8">
        <v>0</v>
      </c>
    </row>
    <row r="956" spans="1:51" ht="15" customHeight="1" x14ac:dyDescent="0.25">
      <c r="A956" s="9">
        <v>743</v>
      </c>
      <c r="B956" s="13"/>
      <c r="C956" s="9" t="s">
        <v>1686</v>
      </c>
      <c r="D956" s="9"/>
      <c r="E956" s="8"/>
      <c r="F956" s="9" t="s">
        <v>1680</v>
      </c>
      <c r="G956" s="79" t="s">
        <v>1687</v>
      </c>
      <c r="H956" s="9"/>
      <c r="I956" s="9" t="s">
        <v>43</v>
      </c>
      <c r="J956" s="9" t="s">
        <v>26</v>
      </c>
      <c r="K956" s="9">
        <v>2000</v>
      </c>
      <c r="L956" s="39"/>
      <c r="M956" s="7" t="s">
        <v>1</v>
      </c>
      <c r="N956" s="8"/>
      <c r="O956" s="40"/>
      <c r="P956" s="15"/>
      <c r="Q956" s="9" t="s">
        <v>1689</v>
      </c>
      <c r="R956" s="9"/>
      <c r="S956" s="9"/>
      <c r="T956" s="9"/>
      <c r="U956" s="16" t="s">
        <v>110</v>
      </c>
      <c r="V956" s="9">
        <v>3897430</v>
      </c>
      <c r="W956" s="8" t="s">
        <v>746</v>
      </c>
      <c r="X956" s="8"/>
      <c r="Y956" s="8"/>
      <c r="Z956" s="8"/>
      <c r="AA956" s="8"/>
      <c r="AB956" s="8"/>
      <c r="AC956" s="8" t="s">
        <v>269</v>
      </c>
      <c r="AD956" s="14" t="s">
        <v>388</v>
      </c>
      <c r="AE956" s="8" t="s">
        <v>744</v>
      </c>
      <c r="AF956" s="14">
        <v>0.4</v>
      </c>
      <c r="AG956" s="8">
        <v>900</v>
      </c>
      <c r="AH956" s="8"/>
      <c r="AI956" s="8"/>
      <c r="AJ956" s="8"/>
      <c r="AK956" s="127"/>
      <c r="AL956" s="103">
        <v>14.9</v>
      </c>
      <c r="AM956" s="8">
        <v>0</v>
      </c>
      <c r="AN956" s="21">
        <v>0</v>
      </c>
      <c r="AO956" s="21">
        <v>0</v>
      </c>
      <c r="AP956" s="21">
        <v>0</v>
      </c>
      <c r="AQ956" s="21">
        <v>0</v>
      </c>
      <c r="AR956" s="21">
        <v>0</v>
      </c>
      <c r="AS956" s="8">
        <v>14.9</v>
      </c>
      <c r="AT956" s="21">
        <v>14.9</v>
      </c>
      <c r="AU956" s="21">
        <v>0</v>
      </c>
      <c r="AV956" s="21">
        <v>0</v>
      </c>
      <c r="AW956" s="21">
        <v>0</v>
      </c>
      <c r="AX956" s="21">
        <v>0</v>
      </c>
      <c r="AY956" s="8">
        <v>0</v>
      </c>
    </row>
    <row r="957" spans="1:51" ht="15" customHeight="1" x14ac:dyDescent="0.25">
      <c r="A957" s="9">
        <v>743</v>
      </c>
      <c r="B957" s="13"/>
      <c r="C957" s="9" t="s">
        <v>1686</v>
      </c>
      <c r="D957" s="9"/>
      <c r="E957" s="8"/>
      <c r="F957" s="9" t="s">
        <v>1681</v>
      </c>
      <c r="G957" s="79" t="s">
        <v>1687</v>
      </c>
      <c r="H957" s="9"/>
      <c r="I957" s="9" t="s">
        <v>43</v>
      </c>
      <c r="J957" s="9" t="s">
        <v>26</v>
      </c>
      <c r="K957" s="9">
        <v>2000</v>
      </c>
      <c r="L957" s="39"/>
      <c r="M957" s="7" t="s">
        <v>1</v>
      </c>
      <c r="N957" s="8"/>
      <c r="O957" s="40"/>
      <c r="P957" s="15"/>
      <c r="Q957" s="9" t="s">
        <v>1689</v>
      </c>
      <c r="R957" s="9"/>
      <c r="S957" s="9"/>
      <c r="T957" s="9"/>
      <c r="U957" s="16" t="s">
        <v>110</v>
      </c>
      <c r="V957" s="9">
        <v>3897501</v>
      </c>
      <c r="W957" s="8" t="s">
        <v>747</v>
      </c>
      <c r="X957" s="8"/>
      <c r="Y957" s="8"/>
      <c r="Z957" s="8"/>
      <c r="AA957" s="8"/>
      <c r="AB957" s="8"/>
      <c r="AC957" s="8" t="s">
        <v>269</v>
      </c>
      <c r="AD957" s="14" t="s">
        <v>388</v>
      </c>
      <c r="AE957" s="8" t="s">
        <v>744</v>
      </c>
      <c r="AF957" s="14">
        <v>0.5</v>
      </c>
      <c r="AG957" s="8">
        <v>900</v>
      </c>
      <c r="AH957" s="8"/>
      <c r="AI957" s="8"/>
      <c r="AJ957" s="8"/>
      <c r="AK957" s="127"/>
      <c r="AL957" s="103">
        <v>14.57</v>
      </c>
      <c r="AM957" s="8">
        <v>0</v>
      </c>
      <c r="AN957" s="21">
        <v>0</v>
      </c>
      <c r="AO957" s="21">
        <v>0</v>
      </c>
      <c r="AP957" s="21">
        <v>0</v>
      </c>
      <c r="AQ957" s="21">
        <v>0</v>
      </c>
      <c r="AR957" s="21">
        <v>0</v>
      </c>
      <c r="AS957" s="8">
        <v>14.57</v>
      </c>
      <c r="AT957" s="21">
        <v>14.57</v>
      </c>
      <c r="AU957" s="21">
        <v>0</v>
      </c>
      <c r="AV957" s="21">
        <v>0</v>
      </c>
      <c r="AW957" s="21">
        <v>0</v>
      </c>
      <c r="AX957" s="21">
        <v>0</v>
      </c>
      <c r="AY957" s="8">
        <v>0</v>
      </c>
    </row>
    <row r="958" spans="1:51" ht="15" customHeight="1" x14ac:dyDescent="0.25">
      <c r="A958" s="9">
        <v>744</v>
      </c>
      <c r="B958" s="13"/>
      <c r="C958" s="9" t="s">
        <v>1686</v>
      </c>
      <c r="D958" s="9"/>
      <c r="E958" s="8"/>
      <c r="F958" s="9" t="s">
        <v>1682</v>
      </c>
      <c r="G958" s="79" t="s">
        <v>1687</v>
      </c>
      <c r="H958" s="9"/>
      <c r="I958" s="9" t="s">
        <v>48</v>
      </c>
      <c r="J958" s="9" t="s">
        <v>39</v>
      </c>
      <c r="K958" s="9">
        <v>1000</v>
      </c>
      <c r="L958" s="39"/>
      <c r="M958" s="7" t="s">
        <v>1</v>
      </c>
      <c r="N958" s="8"/>
      <c r="O958" s="40"/>
      <c r="P958" s="15"/>
      <c r="Q958" s="9" t="s">
        <v>264</v>
      </c>
      <c r="R958" s="9"/>
      <c r="S958" s="9"/>
      <c r="T958" s="9"/>
      <c r="U958" s="16" t="s">
        <v>105</v>
      </c>
      <c r="V958" s="9">
        <v>3837002</v>
      </c>
      <c r="W958" s="8" t="s">
        <v>1723</v>
      </c>
      <c r="X958" s="8"/>
      <c r="Y958" s="8"/>
      <c r="Z958" s="8"/>
      <c r="AA958" s="8"/>
      <c r="AB958" s="8"/>
      <c r="AC958" s="8" t="s">
        <v>228</v>
      </c>
      <c r="AD958" s="14" t="s">
        <v>229</v>
      </c>
      <c r="AE958" s="8" t="s">
        <v>1727</v>
      </c>
      <c r="AF958" s="14">
        <v>0.3</v>
      </c>
      <c r="AG958" s="8">
        <v>1220</v>
      </c>
      <c r="AH958" s="8"/>
      <c r="AI958" s="8"/>
      <c r="AJ958" s="8"/>
      <c r="AK958" s="127"/>
      <c r="AL958" s="103">
        <v>4.585</v>
      </c>
      <c r="AM958" s="8">
        <v>0</v>
      </c>
      <c r="AN958" s="21">
        <v>0</v>
      </c>
      <c r="AO958" s="21">
        <v>0</v>
      </c>
      <c r="AP958" s="21">
        <v>0</v>
      </c>
      <c r="AQ958" s="21">
        <v>0</v>
      </c>
      <c r="AR958" s="21">
        <v>0</v>
      </c>
      <c r="AS958" s="8">
        <v>4.585</v>
      </c>
      <c r="AT958" s="21">
        <v>4.585</v>
      </c>
      <c r="AU958" s="21">
        <v>0</v>
      </c>
      <c r="AV958" s="21">
        <v>0</v>
      </c>
      <c r="AW958" s="21">
        <v>0</v>
      </c>
      <c r="AX958" s="21">
        <v>0</v>
      </c>
      <c r="AY958" s="8">
        <v>0</v>
      </c>
    </row>
    <row r="959" spans="1:51" ht="15" customHeight="1" x14ac:dyDescent="0.25">
      <c r="A959" s="9">
        <v>744</v>
      </c>
      <c r="B959" s="13"/>
      <c r="C959" s="9" t="s">
        <v>1686</v>
      </c>
      <c r="D959" s="9"/>
      <c r="E959" s="8"/>
      <c r="F959" s="9" t="s">
        <v>1683</v>
      </c>
      <c r="G959" s="79" t="s">
        <v>1687</v>
      </c>
      <c r="H959" s="9"/>
      <c r="I959" s="9" t="s">
        <v>48</v>
      </c>
      <c r="J959" s="9" t="s">
        <v>39</v>
      </c>
      <c r="K959" s="9">
        <v>1000</v>
      </c>
      <c r="L959" s="39"/>
      <c r="M959" s="7" t="s">
        <v>1</v>
      </c>
      <c r="N959" s="8"/>
      <c r="O959" s="40"/>
      <c r="P959" s="15"/>
      <c r="Q959" s="9" t="s">
        <v>264</v>
      </c>
      <c r="R959" s="9"/>
      <c r="S959" s="9"/>
      <c r="T959" s="9"/>
      <c r="U959" s="16" t="s">
        <v>105</v>
      </c>
      <c r="V959" s="9">
        <v>1640840</v>
      </c>
      <c r="W959" s="8" t="s">
        <v>404</v>
      </c>
      <c r="X959" s="8"/>
      <c r="Y959" s="8"/>
      <c r="Z959" s="8"/>
      <c r="AA959" s="8"/>
      <c r="AB959" s="8"/>
      <c r="AC959" s="8" t="s">
        <v>228</v>
      </c>
      <c r="AD959" s="14" t="s">
        <v>229</v>
      </c>
      <c r="AE959" s="8" t="s">
        <v>342</v>
      </c>
      <c r="AF959" s="14">
        <v>0.45</v>
      </c>
      <c r="AG959" s="8">
        <v>1220</v>
      </c>
      <c r="AH959" s="8"/>
      <c r="AI959" s="8"/>
      <c r="AJ959" s="8"/>
      <c r="AK959" s="127"/>
      <c r="AL959" s="103">
        <v>9.68</v>
      </c>
      <c r="AM959" s="8">
        <v>0</v>
      </c>
      <c r="AN959" s="21">
        <v>0</v>
      </c>
      <c r="AO959" s="21">
        <v>0</v>
      </c>
      <c r="AP959" s="21">
        <v>0</v>
      </c>
      <c r="AQ959" s="21">
        <v>0</v>
      </c>
      <c r="AR959" s="21">
        <v>0</v>
      </c>
      <c r="AS959" s="8">
        <v>9.68</v>
      </c>
      <c r="AT959" s="21">
        <v>9.68</v>
      </c>
      <c r="AU959" s="21">
        <v>0</v>
      </c>
      <c r="AV959" s="21">
        <v>0</v>
      </c>
      <c r="AW959" s="21">
        <v>0</v>
      </c>
      <c r="AX959" s="21">
        <v>0</v>
      </c>
      <c r="AY959" s="8">
        <v>0</v>
      </c>
    </row>
    <row r="960" spans="1:51" ht="15" customHeight="1" x14ac:dyDescent="0.25">
      <c r="A960" s="9">
        <v>742</v>
      </c>
      <c r="B960" s="13"/>
      <c r="C960" s="9" t="s">
        <v>1686</v>
      </c>
      <c r="D960" s="9"/>
      <c r="E960" s="8"/>
      <c r="F960" s="9" t="s">
        <v>1684</v>
      </c>
      <c r="G960" s="79" t="s">
        <v>1687</v>
      </c>
      <c r="H960" s="9"/>
      <c r="I960" s="9" t="s">
        <v>25</v>
      </c>
      <c r="J960" s="9" t="s">
        <v>30</v>
      </c>
      <c r="K960" s="9">
        <v>2000</v>
      </c>
      <c r="L960" s="39"/>
      <c r="M960" s="7" t="s">
        <v>1</v>
      </c>
      <c r="N960" s="8"/>
      <c r="O960" s="40"/>
      <c r="P960" s="15"/>
      <c r="Q960" s="9" t="s">
        <v>1691</v>
      </c>
      <c r="R960" s="9"/>
      <c r="S960" s="9"/>
      <c r="T960" s="9"/>
      <c r="U960" s="16" t="s">
        <v>66</v>
      </c>
      <c r="V960" s="9">
        <v>2334995</v>
      </c>
      <c r="W960" s="8" t="s">
        <v>460</v>
      </c>
      <c r="X960" s="8"/>
      <c r="Y960" s="8"/>
      <c r="Z960" s="8"/>
      <c r="AA960" s="8"/>
      <c r="AB960" s="8"/>
      <c r="AC960" s="8" t="s">
        <v>190</v>
      </c>
      <c r="AD960" s="14" t="s">
        <v>191</v>
      </c>
      <c r="AE960" s="8" t="s">
        <v>192</v>
      </c>
      <c r="AF960" s="14">
        <v>1.5</v>
      </c>
      <c r="AG960" s="8">
        <v>1250</v>
      </c>
      <c r="AH960" s="8"/>
      <c r="AI960" s="8"/>
      <c r="AJ960" s="8"/>
      <c r="AK960" s="127"/>
      <c r="AL960" s="103">
        <v>25.91</v>
      </c>
      <c r="AM960" s="8">
        <v>0</v>
      </c>
      <c r="AN960" s="21">
        <v>0</v>
      </c>
      <c r="AO960" s="21">
        <v>0</v>
      </c>
      <c r="AP960" s="21">
        <v>0</v>
      </c>
      <c r="AQ960" s="21">
        <v>0</v>
      </c>
      <c r="AR960" s="21">
        <v>0</v>
      </c>
      <c r="AS960" s="8">
        <v>25.91</v>
      </c>
      <c r="AT960" s="21">
        <v>25.91</v>
      </c>
      <c r="AU960" s="21">
        <v>0</v>
      </c>
      <c r="AV960" s="21">
        <v>0</v>
      </c>
      <c r="AW960" s="21">
        <v>0</v>
      </c>
      <c r="AX960" s="21">
        <v>0</v>
      </c>
      <c r="AY960" s="8">
        <v>0</v>
      </c>
    </row>
    <row r="961" spans="1:51" ht="15" customHeight="1" x14ac:dyDescent="0.25">
      <c r="A961" s="9">
        <v>743</v>
      </c>
      <c r="B961" s="13"/>
      <c r="C961" s="9" t="s">
        <v>1686</v>
      </c>
      <c r="D961" s="9"/>
      <c r="E961" s="8"/>
      <c r="F961" s="9" t="s">
        <v>1685</v>
      </c>
      <c r="G961" s="79" t="s">
        <v>1687</v>
      </c>
      <c r="H961" s="9"/>
      <c r="I961" s="9" t="s">
        <v>43</v>
      </c>
      <c r="J961" s="9" t="s">
        <v>46</v>
      </c>
      <c r="K961" s="9">
        <v>2000</v>
      </c>
      <c r="L961" s="39"/>
      <c r="M961" s="7" t="s">
        <v>1</v>
      </c>
      <c r="N961" s="8"/>
      <c r="O961" s="40"/>
      <c r="P961" s="15"/>
      <c r="Q961" s="9" t="s">
        <v>1688</v>
      </c>
      <c r="R961" s="9"/>
      <c r="S961" s="9"/>
      <c r="T961" s="9"/>
      <c r="U961" s="16" t="s">
        <v>124</v>
      </c>
      <c r="V961" s="9">
        <v>3767487</v>
      </c>
      <c r="W961" s="8" t="s">
        <v>840</v>
      </c>
      <c r="X961" s="8"/>
      <c r="Y961" s="8"/>
      <c r="Z961" s="8"/>
      <c r="AA961" s="8"/>
      <c r="AB961" s="8"/>
      <c r="AC961" s="8" t="s">
        <v>269</v>
      </c>
      <c r="AD961" s="14" t="s">
        <v>270</v>
      </c>
      <c r="AE961" s="8" t="s">
        <v>165</v>
      </c>
      <c r="AF961" s="14">
        <v>0.63</v>
      </c>
      <c r="AG961" s="8">
        <v>1350</v>
      </c>
      <c r="AH961" s="8"/>
      <c r="AI961" s="8"/>
      <c r="AJ961" s="8"/>
      <c r="AK961" s="127"/>
      <c r="AL961" s="103">
        <v>29.68</v>
      </c>
      <c r="AM961" s="8">
        <v>0</v>
      </c>
      <c r="AN961" s="21">
        <v>0</v>
      </c>
      <c r="AO961" s="21">
        <v>0</v>
      </c>
      <c r="AP961" s="21">
        <v>0</v>
      </c>
      <c r="AQ961" s="21">
        <v>0</v>
      </c>
      <c r="AR961" s="21">
        <v>0</v>
      </c>
      <c r="AS961" s="8">
        <v>29.68</v>
      </c>
      <c r="AT961" s="21">
        <v>29.68</v>
      </c>
      <c r="AU961" s="21">
        <v>0</v>
      </c>
      <c r="AV961" s="21">
        <v>0</v>
      </c>
      <c r="AW961" s="21">
        <v>0</v>
      </c>
      <c r="AX961" s="21">
        <v>0</v>
      </c>
      <c r="AY961" s="8">
        <v>0</v>
      </c>
    </row>
  </sheetData>
  <autoFilter ref="A1:AY961" xr:uid="{00000000-0001-0000-0300-000000000000}"/>
  <phoneticPr fontId="21"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9D859-1D1B-4F61-B9F1-1135807F9B88}">
  <dimension ref="A1:O144"/>
  <sheetViews>
    <sheetView zoomScale="90" zoomScaleNormal="90" workbookViewId="0">
      <pane xSplit="1" ySplit="5" topLeftCell="B15" activePane="bottomRight" state="frozen"/>
      <selection pane="topRight" activeCell="B1" sqref="B1"/>
      <selection pane="bottomLeft" activeCell="A6" sqref="A6"/>
      <selection pane="bottomRight" activeCell="F1" sqref="F1:I1048576"/>
    </sheetView>
  </sheetViews>
  <sheetFormatPr defaultColWidth="8.77734375" defaultRowHeight="14.4" x14ac:dyDescent="0.3"/>
  <cols>
    <col min="1" max="1" width="10.77734375" style="96" bestFit="1" customWidth="1"/>
    <col min="2" max="2" width="20.109375" style="96" bestFit="1" customWidth="1"/>
    <col min="3" max="3" width="6.5546875" style="48" bestFit="1" customWidth="1"/>
    <col min="4" max="4" width="8" style="48" customWidth="1"/>
    <col min="5" max="5" width="10.21875" style="48" bestFit="1" customWidth="1"/>
    <col min="6" max="8" width="8.33203125" style="1" customWidth="1"/>
    <col min="9" max="9" width="74.88671875" style="1" customWidth="1"/>
    <col min="10" max="15" width="8.33203125" style="1" bestFit="1" customWidth="1"/>
    <col min="16" max="16384" width="8.77734375" style="1"/>
  </cols>
  <sheetData>
    <row r="1" spans="1:15" x14ac:dyDescent="0.3">
      <c r="A1" s="108" t="s">
        <v>53</v>
      </c>
      <c r="B1" s="96" t="s">
        <v>821</v>
      </c>
    </row>
    <row r="2" spans="1:15" x14ac:dyDescent="0.3">
      <c r="A2" s="108" t="s">
        <v>0</v>
      </c>
      <c r="B2" s="96" t="s">
        <v>1</v>
      </c>
    </row>
    <row r="3" spans="1:15" x14ac:dyDescent="0.3">
      <c r="A3" s="111"/>
      <c r="B3" s="111"/>
      <c r="C3" s="3"/>
      <c r="D3" s="3"/>
      <c r="E3" s="3"/>
    </row>
    <row r="4" spans="1:15" hidden="1" x14ac:dyDescent="0.3">
      <c r="A4" s="111"/>
      <c r="B4" s="111"/>
      <c r="C4" s="112" t="s">
        <v>3</v>
      </c>
      <c r="D4" s="3"/>
      <c r="E4" s="3"/>
      <c r="G4" s="105"/>
      <c r="H4" s="105"/>
      <c r="I4"/>
      <c r="J4"/>
      <c r="K4"/>
      <c r="L4"/>
      <c r="M4"/>
      <c r="N4"/>
      <c r="O4"/>
    </row>
    <row r="5" spans="1:15" s="2" customFormat="1" ht="42.45" customHeight="1" x14ac:dyDescent="0.3">
      <c r="A5" s="116" t="s">
        <v>4</v>
      </c>
      <c r="B5" s="116" t="s">
        <v>5</v>
      </c>
      <c r="C5" s="130" t="s">
        <v>6</v>
      </c>
      <c r="D5" s="131" t="s">
        <v>1284</v>
      </c>
      <c r="E5" s="132" t="s">
        <v>1480</v>
      </c>
      <c r="F5" s="116" t="s">
        <v>1283</v>
      </c>
      <c r="G5" s="117" t="s">
        <v>57</v>
      </c>
      <c r="H5" s="117" t="s">
        <v>1272</v>
      </c>
      <c r="I5" s="116" t="s">
        <v>1360</v>
      </c>
      <c r="J5"/>
      <c r="K5"/>
      <c r="L5"/>
      <c r="M5"/>
      <c r="N5"/>
      <c r="O5"/>
    </row>
    <row r="6" spans="1:15" x14ac:dyDescent="0.3">
      <c r="A6" s="97" t="s">
        <v>25</v>
      </c>
      <c r="B6" s="96" t="s">
        <v>26</v>
      </c>
      <c r="C6" s="106"/>
      <c r="D6" s="106">
        <v>150.14500000000001</v>
      </c>
      <c r="E6" s="106">
        <v>94.295000000000002</v>
      </c>
      <c r="F6" s="124">
        <v>0</v>
      </c>
      <c r="G6" s="118">
        <f>D6-H6</f>
        <v>34.14500000000001</v>
      </c>
      <c r="H6" s="119">
        <v>116</v>
      </c>
      <c r="I6" s="120" t="s">
        <v>1</v>
      </c>
      <c r="J6"/>
      <c r="K6"/>
      <c r="L6"/>
      <c r="M6"/>
      <c r="N6"/>
      <c r="O6"/>
    </row>
    <row r="7" spans="1:15" ht="16.05" customHeight="1" x14ac:dyDescent="0.3">
      <c r="A7" s="97"/>
      <c r="B7" s="96" t="s">
        <v>872</v>
      </c>
      <c r="C7" s="106"/>
      <c r="D7" s="106">
        <v>0</v>
      </c>
      <c r="E7" s="106">
        <v>54.86</v>
      </c>
      <c r="F7" s="124">
        <v>0</v>
      </c>
      <c r="G7" s="106">
        <f>D7-H7</f>
        <v>-4410</v>
      </c>
      <c r="H7" s="25">
        <v>4410</v>
      </c>
      <c r="I7" s="121" t="s">
        <v>1410</v>
      </c>
      <c r="J7" s="11"/>
      <c r="K7" s="11"/>
      <c r="L7" s="11"/>
      <c r="M7" s="11"/>
      <c r="N7" s="11"/>
      <c r="O7" s="11"/>
    </row>
    <row r="8" spans="1:15" x14ac:dyDescent="0.3">
      <c r="A8" s="97"/>
      <c r="B8" s="109" t="s">
        <v>54</v>
      </c>
      <c r="C8" s="106">
        <v>1000</v>
      </c>
      <c r="D8" s="106">
        <v>892.66000000000008</v>
      </c>
      <c r="E8" s="106">
        <v>1052.24</v>
      </c>
      <c r="F8" s="124">
        <v>0</v>
      </c>
      <c r="G8" s="118">
        <f t="shared" ref="G8:G12" si="0">D8-H8</f>
        <v>666.66000000000008</v>
      </c>
      <c r="H8" s="119">
        <v>226</v>
      </c>
      <c r="I8" s="120" t="s">
        <v>1409</v>
      </c>
      <c r="J8"/>
      <c r="K8"/>
      <c r="L8"/>
      <c r="M8"/>
      <c r="N8"/>
      <c r="O8"/>
    </row>
    <row r="9" spans="1:15" ht="13.95" customHeight="1" x14ac:dyDescent="0.3">
      <c r="A9" s="97"/>
      <c r="B9" s="97" t="s">
        <v>28</v>
      </c>
      <c r="C9" s="106">
        <v>4500</v>
      </c>
      <c r="D9" s="106">
        <v>4590.3580000000002</v>
      </c>
      <c r="E9" s="106">
        <v>4484.0969999999998</v>
      </c>
      <c r="F9" s="124">
        <v>0</v>
      </c>
      <c r="G9" s="118">
        <f t="shared" si="0"/>
        <v>4590.3580000000002</v>
      </c>
      <c r="H9" s="119"/>
      <c r="I9" s="122" t="s">
        <v>1361</v>
      </c>
      <c r="J9"/>
      <c r="K9"/>
      <c r="L9"/>
      <c r="M9"/>
      <c r="N9"/>
      <c r="O9"/>
    </row>
    <row r="10" spans="1:15" x14ac:dyDescent="0.3">
      <c r="A10" s="97"/>
      <c r="B10" s="97" t="s">
        <v>29</v>
      </c>
      <c r="C10" s="106">
        <v>3500</v>
      </c>
      <c r="D10" s="106">
        <v>2619.9650000000001</v>
      </c>
      <c r="E10" s="106">
        <v>3529.4349999999999</v>
      </c>
      <c r="F10" s="124">
        <v>0</v>
      </c>
      <c r="G10" s="118">
        <f t="shared" si="0"/>
        <v>2619.9650000000001</v>
      </c>
      <c r="H10" s="119"/>
      <c r="I10" s="120" t="s">
        <v>1</v>
      </c>
      <c r="J10"/>
      <c r="K10"/>
      <c r="L10"/>
      <c r="M10"/>
      <c r="N10"/>
      <c r="O10"/>
    </row>
    <row r="11" spans="1:15" x14ac:dyDescent="0.3">
      <c r="A11" s="97"/>
      <c r="B11" s="97" t="s">
        <v>30</v>
      </c>
      <c r="C11" s="106">
        <v>3200</v>
      </c>
      <c r="D11" s="106">
        <v>2212.0950000000003</v>
      </c>
      <c r="E11" s="106">
        <v>3543.1750000000002</v>
      </c>
      <c r="F11" s="124">
        <v>0</v>
      </c>
      <c r="G11" s="118">
        <f t="shared" si="0"/>
        <v>2212.0950000000003</v>
      </c>
      <c r="H11" s="119"/>
      <c r="I11" s="120" t="s">
        <v>1362</v>
      </c>
      <c r="J11"/>
      <c r="K11"/>
      <c r="L11"/>
      <c r="M11"/>
      <c r="N11"/>
      <c r="O11"/>
    </row>
    <row r="12" spans="1:15" x14ac:dyDescent="0.3">
      <c r="A12" s="97"/>
      <c r="B12" s="97" t="s">
        <v>32</v>
      </c>
      <c r="C12" s="106">
        <v>500</v>
      </c>
      <c r="D12" s="106">
        <v>364.04499999999996</v>
      </c>
      <c r="E12" s="106">
        <v>567.70499999999993</v>
      </c>
      <c r="F12" s="124">
        <v>0</v>
      </c>
      <c r="G12" s="118">
        <f t="shared" si="0"/>
        <v>364.04499999999996</v>
      </c>
      <c r="H12" s="119"/>
      <c r="I12" s="120"/>
      <c r="J12"/>
      <c r="K12"/>
      <c r="L12"/>
      <c r="M12"/>
      <c r="N12"/>
      <c r="O12"/>
    </row>
    <row r="13" spans="1:15" x14ac:dyDescent="0.3">
      <c r="A13" s="97"/>
      <c r="B13" s="97" t="s">
        <v>31</v>
      </c>
      <c r="C13" s="106">
        <v>5500</v>
      </c>
      <c r="D13" s="106">
        <v>3638.82</v>
      </c>
      <c r="E13" s="106">
        <v>5594.9150000000009</v>
      </c>
      <c r="F13" s="23"/>
      <c r="G13" s="25"/>
      <c r="H13" s="25"/>
      <c r="I13" s="120" t="s">
        <v>1402</v>
      </c>
      <c r="J13"/>
      <c r="K13"/>
      <c r="L13"/>
      <c r="M13"/>
      <c r="N13"/>
      <c r="O13"/>
    </row>
    <row r="14" spans="1:15" x14ac:dyDescent="0.3">
      <c r="A14" s="97"/>
      <c r="B14" s="97" t="s">
        <v>33</v>
      </c>
      <c r="C14" s="106">
        <v>1300</v>
      </c>
      <c r="D14" s="106">
        <v>1122.865</v>
      </c>
      <c r="E14" s="106">
        <v>1339.365</v>
      </c>
      <c r="F14" s="114">
        <f>SUM(F6:F12)</f>
        <v>0</v>
      </c>
      <c r="G14" s="113">
        <f>SUM(G6:G12)</f>
        <v>6077.2680000000009</v>
      </c>
      <c r="H14" s="113">
        <f>SUM(H6:H12)</f>
        <v>4752</v>
      </c>
      <c r="I14" s="25"/>
      <c r="J14"/>
      <c r="K14"/>
      <c r="L14"/>
      <c r="M14"/>
      <c r="N14"/>
      <c r="O14"/>
    </row>
    <row r="15" spans="1:15" x14ac:dyDescent="0.3">
      <c r="A15" s="97"/>
      <c r="B15" s="96" t="s">
        <v>1411</v>
      </c>
      <c r="C15" s="106">
        <v>500</v>
      </c>
      <c r="D15" s="106"/>
      <c r="E15" s="106">
        <v>500</v>
      </c>
      <c r="F15" s="124">
        <v>0</v>
      </c>
      <c r="G15" s="118">
        <f>D15-H15</f>
        <v>0</v>
      </c>
      <c r="H15" s="119"/>
      <c r="I15" s="120"/>
      <c r="J15"/>
      <c r="K15"/>
      <c r="L15"/>
      <c r="M15"/>
      <c r="N15"/>
      <c r="O15"/>
    </row>
    <row r="16" spans="1:15" x14ac:dyDescent="0.3">
      <c r="A16" s="98" t="s">
        <v>34</v>
      </c>
      <c r="B16" s="98"/>
      <c r="C16" s="107">
        <v>20000</v>
      </c>
      <c r="D16" s="107">
        <v>15590.953000000001</v>
      </c>
      <c r="E16" s="107">
        <v>20760.087000000003</v>
      </c>
      <c r="F16" s="124">
        <f t="shared" ref="F16" si="1">C16-D16</f>
        <v>4409.0469999999987</v>
      </c>
      <c r="G16" s="118">
        <f t="shared" ref="G16:G17" si="2">D16-H16</f>
        <v>15590.953000000001</v>
      </c>
      <c r="H16" s="119"/>
      <c r="I16" s="120"/>
      <c r="J16"/>
      <c r="K16"/>
      <c r="L16"/>
      <c r="M16"/>
      <c r="N16"/>
      <c r="O16"/>
    </row>
    <row r="17" spans="1:15" x14ac:dyDescent="0.3">
      <c r="A17" s="97" t="s">
        <v>35</v>
      </c>
      <c r="B17" s="109" t="s">
        <v>28</v>
      </c>
      <c r="C17" s="106">
        <v>500</v>
      </c>
      <c r="D17" s="106">
        <v>872.06000000000006</v>
      </c>
      <c r="E17" s="106">
        <v>557.77</v>
      </c>
      <c r="F17" s="124">
        <v>0</v>
      </c>
      <c r="G17" s="118">
        <f t="shared" si="2"/>
        <v>872.06000000000006</v>
      </c>
      <c r="H17" s="119"/>
      <c r="I17" s="120"/>
      <c r="J17"/>
      <c r="K17"/>
      <c r="L17"/>
      <c r="M17"/>
      <c r="N17"/>
      <c r="O17"/>
    </row>
    <row r="18" spans="1:15" x14ac:dyDescent="0.3">
      <c r="A18" s="97"/>
      <c r="B18" s="97" t="s">
        <v>36</v>
      </c>
      <c r="C18" s="106">
        <v>1000</v>
      </c>
      <c r="D18" s="106">
        <v>367.70500000000004</v>
      </c>
      <c r="E18" s="106">
        <v>870.78</v>
      </c>
      <c r="F18" s="114">
        <f>SUM(F15:F17)</f>
        <v>4409.0469999999987</v>
      </c>
      <c r="G18" s="113">
        <f t="shared" ref="G18:H18" si="3">SUM(G15:G17)</f>
        <v>16463.013000000003</v>
      </c>
      <c r="H18" s="113">
        <f t="shared" si="3"/>
        <v>0</v>
      </c>
      <c r="I18" s="120"/>
      <c r="J18"/>
      <c r="K18"/>
      <c r="L18"/>
      <c r="M18"/>
      <c r="N18"/>
      <c r="O18"/>
    </row>
    <row r="19" spans="1:15" x14ac:dyDescent="0.3">
      <c r="A19" s="97"/>
      <c r="B19" s="97" t="s">
        <v>33</v>
      </c>
      <c r="C19" s="106">
        <v>400</v>
      </c>
      <c r="D19" s="106">
        <v>406</v>
      </c>
      <c r="E19" s="106">
        <v>406</v>
      </c>
      <c r="F19" s="124">
        <v>0</v>
      </c>
      <c r="G19" s="118">
        <f>D19-H19</f>
        <v>-847</v>
      </c>
      <c r="H19" s="119">
        <v>1253</v>
      </c>
      <c r="I19" s="120" t="s">
        <v>1403</v>
      </c>
      <c r="J19"/>
      <c r="K19"/>
      <c r="L19"/>
      <c r="M19"/>
      <c r="N19"/>
      <c r="O19"/>
    </row>
    <row r="20" spans="1:15" x14ac:dyDescent="0.3">
      <c r="A20" s="98" t="s">
        <v>37</v>
      </c>
      <c r="B20" s="98"/>
      <c r="C20" s="107">
        <v>1900</v>
      </c>
      <c r="D20" s="107">
        <v>1645.7650000000001</v>
      </c>
      <c r="E20" s="107">
        <v>1834.55</v>
      </c>
      <c r="F20" s="124">
        <v>0</v>
      </c>
      <c r="G20" s="118">
        <f t="shared" ref="G20:G21" si="4">D20-H20</f>
        <v>1645.7650000000001</v>
      </c>
      <c r="H20" s="119">
        <v>0</v>
      </c>
      <c r="I20" s="120" t="s">
        <v>1404</v>
      </c>
      <c r="J20"/>
      <c r="K20"/>
      <c r="L20"/>
      <c r="M20"/>
      <c r="N20"/>
      <c r="O20"/>
    </row>
    <row r="21" spans="1:15" ht="15" customHeight="1" x14ac:dyDescent="0.3">
      <c r="A21" s="97" t="s">
        <v>38</v>
      </c>
      <c r="B21" s="109" t="s">
        <v>28</v>
      </c>
      <c r="C21" s="106"/>
      <c r="D21" s="106">
        <v>112</v>
      </c>
      <c r="E21" s="106">
        <v>63.45</v>
      </c>
      <c r="F21" s="124">
        <f t="shared" ref="F21" si="5">C21-D21</f>
        <v>-112</v>
      </c>
      <c r="G21" s="106">
        <f t="shared" si="4"/>
        <v>-1340</v>
      </c>
      <c r="H21" s="25">
        <v>1452</v>
      </c>
      <c r="I21" s="121" t="s">
        <v>1414</v>
      </c>
      <c r="J21" s="11"/>
      <c r="K21" s="11"/>
      <c r="L21" s="11"/>
      <c r="M21" s="11"/>
      <c r="N21" s="11"/>
      <c r="O21" s="11"/>
    </row>
    <row r="22" spans="1:15" ht="15" customHeight="1" x14ac:dyDescent="0.3">
      <c r="A22" s="97"/>
      <c r="B22" s="97" t="s">
        <v>39</v>
      </c>
      <c r="C22" s="106">
        <v>4000</v>
      </c>
      <c r="D22" s="106">
        <v>5622.2250000000004</v>
      </c>
      <c r="E22" s="106">
        <v>5292.1449999999995</v>
      </c>
      <c r="F22" s="114">
        <f>SUM(F19:F21)</f>
        <v>-112</v>
      </c>
      <c r="G22" s="113">
        <f t="shared" ref="G22:H22" si="6">SUM(G19:G21)</f>
        <v>-541.2349999999999</v>
      </c>
      <c r="H22" s="113">
        <f t="shared" si="6"/>
        <v>2705</v>
      </c>
      <c r="I22" s="120"/>
      <c r="J22"/>
      <c r="K22"/>
      <c r="L22"/>
      <c r="M22"/>
      <c r="N22"/>
      <c r="O22"/>
    </row>
    <row r="23" spans="1:15" x14ac:dyDescent="0.3">
      <c r="A23" s="97"/>
      <c r="B23" s="97" t="s">
        <v>55</v>
      </c>
      <c r="C23" s="106">
        <v>1400</v>
      </c>
      <c r="D23" s="106">
        <v>1695.7049999999999</v>
      </c>
      <c r="E23" s="106">
        <v>1436.7050000000002</v>
      </c>
      <c r="F23" s="124">
        <v>0</v>
      </c>
      <c r="G23" s="118">
        <f>D23-H23</f>
        <v>1695.7049999999999</v>
      </c>
      <c r="H23" s="119"/>
      <c r="I23" s="120" t="s">
        <v>1405</v>
      </c>
      <c r="J23"/>
      <c r="K23"/>
      <c r="L23"/>
      <c r="M23"/>
      <c r="N23"/>
      <c r="O23"/>
    </row>
    <row r="24" spans="1:15" x14ac:dyDescent="0.3">
      <c r="A24" s="97"/>
      <c r="B24" s="97" t="s">
        <v>41</v>
      </c>
      <c r="C24" s="106">
        <v>4800</v>
      </c>
      <c r="D24" s="106">
        <v>3283.3249999999998</v>
      </c>
      <c r="E24" s="106">
        <v>4808.6049999999996</v>
      </c>
      <c r="F24" s="124">
        <v>0</v>
      </c>
      <c r="G24" s="118">
        <f t="shared" ref="G24:G26" si="7">D24-H24</f>
        <v>1511.3249999999998</v>
      </c>
      <c r="H24" s="119">
        <v>1772</v>
      </c>
      <c r="I24" s="120" t="s">
        <v>1406</v>
      </c>
      <c r="J24"/>
      <c r="K24"/>
      <c r="L24"/>
      <c r="M24"/>
      <c r="N24"/>
      <c r="O24"/>
    </row>
    <row r="25" spans="1:15" x14ac:dyDescent="0.3">
      <c r="A25" s="98" t="s">
        <v>42</v>
      </c>
      <c r="B25" s="98"/>
      <c r="C25" s="107">
        <v>10200</v>
      </c>
      <c r="D25" s="107">
        <v>10713.255000000001</v>
      </c>
      <c r="E25" s="107">
        <v>11600.904999999999</v>
      </c>
      <c r="F25" s="124">
        <v>0</v>
      </c>
      <c r="G25" s="118">
        <f t="shared" si="7"/>
        <v>10545.255000000001</v>
      </c>
      <c r="H25" s="119">
        <v>168</v>
      </c>
      <c r="I25" s="120" t="s">
        <v>1412</v>
      </c>
      <c r="L25"/>
      <c r="M25"/>
      <c r="N25"/>
      <c r="O25"/>
    </row>
    <row r="26" spans="1:15" x14ac:dyDescent="0.3">
      <c r="A26" s="97" t="s">
        <v>43</v>
      </c>
      <c r="B26" s="109" t="s">
        <v>26</v>
      </c>
      <c r="C26" s="106">
        <v>800</v>
      </c>
      <c r="D26" s="106">
        <v>772.69</v>
      </c>
      <c r="E26" s="106">
        <v>849.95</v>
      </c>
      <c r="F26" s="124">
        <f t="shared" ref="F26" si="8">C26-D26</f>
        <v>27.309999999999945</v>
      </c>
      <c r="G26" s="118">
        <f t="shared" si="7"/>
        <v>24.690000000000055</v>
      </c>
      <c r="H26" s="119">
        <v>748</v>
      </c>
      <c r="I26" s="120" t="s">
        <v>1413</v>
      </c>
      <c r="J26"/>
      <c r="K26"/>
      <c r="L26"/>
      <c r="M26"/>
      <c r="N26"/>
      <c r="O26"/>
    </row>
    <row r="27" spans="1:15" x14ac:dyDescent="0.3">
      <c r="A27" s="97"/>
      <c r="B27" s="97" t="s">
        <v>45</v>
      </c>
      <c r="C27" s="106">
        <v>4200</v>
      </c>
      <c r="D27" s="106">
        <v>4489.5329999999994</v>
      </c>
      <c r="E27" s="106">
        <v>4556.2749999999996</v>
      </c>
      <c r="F27" s="114">
        <f>SUM(F23:F26)</f>
        <v>27.309999999999945</v>
      </c>
      <c r="G27" s="113">
        <f t="shared" ref="G27:H27" si="9">SUM(G23:G26)</f>
        <v>13776.975</v>
      </c>
      <c r="H27" s="113">
        <f t="shared" si="9"/>
        <v>2688</v>
      </c>
      <c r="I27" s="120"/>
      <c r="J27"/>
      <c r="K27"/>
      <c r="L27"/>
      <c r="M27"/>
      <c r="N27"/>
      <c r="O27"/>
    </row>
    <row r="28" spans="1:15" x14ac:dyDescent="0.3">
      <c r="A28" s="97"/>
      <c r="B28" s="97" t="s">
        <v>44</v>
      </c>
      <c r="C28" s="106">
        <v>1200</v>
      </c>
      <c r="D28" s="106">
        <v>1145.6950000000002</v>
      </c>
      <c r="E28" s="106">
        <v>1259.595</v>
      </c>
      <c r="F28" s="124">
        <f t="shared" ref="F28" si="10">C28-D28</f>
        <v>54.304999999999836</v>
      </c>
      <c r="G28" s="118">
        <f t="shared" ref="G28:G29" si="11">D28-H28</f>
        <v>395.69500000000016</v>
      </c>
      <c r="H28" s="119">
        <v>750</v>
      </c>
      <c r="I28" s="120" t="s">
        <v>1408</v>
      </c>
      <c r="J28"/>
      <c r="K28"/>
      <c r="L28"/>
      <c r="M28"/>
      <c r="N28"/>
      <c r="O28"/>
    </row>
    <row r="29" spans="1:15" x14ac:dyDescent="0.3">
      <c r="A29" s="97"/>
      <c r="B29" s="97" t="s">
        <v>46</v>
      </c>
      <c r="C29" s="106">
        <v>1700</v>
      </c>
      <c r="D29" s="106">
        <v>1436.19</v>
      </c>
      <c r="E29" s="106">
        <v>1788.7</v>
      </c>
      <c r="F29" s="124">
        <v>0</v>
      </c>
      <c r="G29" s="118">
        <f t="shared" si="11"/>
        <v>1436.19</v>
      </c>
      <c r="H29" s="119"/>
      <c r="I29" s="120"/>
      <c r="J29"/>
      <c r="K29"/>
      <c r="L29"/>
      <c r="M29"/>
      <c r="N29"/>
      <c r="O29"/>
    </row>
    <row r="30" spans="1:15" x14ac:dyDescent="0.3">
      <c r="A30" s="97"/>
      <c r="B30" s="96" t="s">
        <v>1567</v>
      </c>
      <c r="C30" s="106">
        <v>1100</v>
      </c>
      <c r="D30" s="106"/>
      <c r="E30" s="106">
        <v>1080</v>
      </c>
      <c r="F30" s="114">
        <f>SUM(F28:F29)</f>
        <v>54.304999999999836</v>
      </c>
      <c r="G30" s="113">
        <f t="shared" ref="G30:H30" si="12">SUM(G28:G29)</f>
        <v>1831.8850000000002</v>
      </c>
      <c r="H30" s="113">
        <f t="shared" si="12"/>
        <v>750</v>
      </c>
      <c r="I30" s="120"/>
      <c r="J30"/>
      <c r="K30"/>
      <c r="L30"/>
      <c r="M30"/>
      <c r="N30"/>
      <c r="O30"/>
    </row>
    <row r="31" spans="1:15" x14ac:dyDescent="0.3">
      <c r="A31" s="98" t="s">
        <v>47</v>
      </c>
      <c r="B31" s="98"/>
      <c r="C31" s="107">
        <v>9000</v>
      </c>
      <c r="D31" s="107">
        <v>7844.1080000000002</v>
      </c>
      <c r="E31" s="107">
        <v>9534.52</v>
      </c>
      <c r="F31" s="124">
        <v>0</v>
      </c>
      <c r="G31" s="118">
        <f>D31-H31</f>
        <v>6696.1080000000002</v>
      </c>
      <c r="H31" s="119">
        <v>1148</v>
      </c>
      <c r="I31" s="120" t="s">
        <v>1407</v>
      </c>
      <c r="J31"/>
      <c r="K31"/>
      <c r="L31"/>
      <c r="M31"/>
      <c r="N31"/>
      <c r="O31"/>
    </row>
    <row r="32" spans="1:15" x14ac:dyDescent="0.3">
      <c r="A32" s="97" t="s">
        <v>50</v>
      </c>
      <c r="B32" s="97" t="s">
        <v>26</v>
      </c>
      <c r="C32" s="106">
        <v>3600</v>
      </c>
      <c r="D32" s="106">
        <v>1971.2550000000001</v>
      </c>
      <c r="E32" s="106">
        <v>2723.5549999999998</v>
      </c>
      <c r="F32" s="114">
        <f>SUM(F31)</f>
        <v>0</v>
      </c>
      <c r="G32" s="113">
        <f t="shared" ref="G32:H32" si="13">SUM(G31)</f>
        <v>6696.1080000000002</v>
      </c>
      <c r="H32" s="113">
        <f t="shared" si="13"/>
        <v>1148</v>
      </c>
      <c r="I32" s="120"/>
      <c r="J32"/>
      <c r="K32"/>
      <c r="L32"/>
      <c r="M32"/>
      <c r="N32"/>
      <c r="O32"/>
    </row>
    <row r="33" spans="1:15" x14ac:dyDescent="0.3">
      <c r="A33" s="97"/>
      <c r="B33" s="96" t="s">
        <v>54</v>
      </c>
      <c r="C33" s="106"/>
      <c r="D33" s="106">
        <v>0</v>
      </c>
      <c r="E33" s="106">
        <v>0</v>
      </c>
      <c r="F33" s="115">
        <f>F32+F30+F27+F22+F18+F14</f>
        <v>4378.6619999999984</v>
      </c>
      <c r="G33" s="123">
        <f t="shared" ref="G33:H33" si="14">G32+G30+G27+G22+G18+G14</f>
        <v>44304.014000000003</v>
      </c>
      <c r="H33" s="123">
        <f t="shared" si="14"/>
        <v>12043</v>
      </c>
      <c r="I33" s="120"/>
      <c r="J33"/>
      <c r="K33"/>
      <c r="L33"/>
      <c r="M33"/>
      <c r="N33"/>
      <c r="O33"/>
    </row>
    <row r="34" spans="1:15" x14ac:dyDescent="0.3">
      <c r="A34" s="97"/>
      <c r="B34" s="97" t="s">
        <v>33</v>
      </c>
      <c r="C34" s="106">
        <v>700</v>
      </c>
      <c r="D34" s="106">
        <v>756.79</v>
      </c>
      <c r="E34" s="106">
        <v>961.95500000000004</v>
      </c>
      <c r="G34" s="105"/>
      <c r="H34" s="105"/>
      <c r="I34"/>
      <c r="J34"/>
      <c r="K34"/>
      <c r="L34"/>
      <c r="M34"/>
      <c r="N34"/>
      <c r="O34"/>
    </row>
    <row r="35" spans="1:15" x14ac:dyDescent="0.3">
      <c r="A35" s="98" t="s">
        <v>51</v>
      </c>
      <c r="B35" s="98"/>
      <c r="C35" s="107">
        <v>4300</v>
      </c>
      <c r="D35" s="107">
        <v>2728.0450000000001</v>
      </c>
      <c r="E35" s="107">
        <v>3685.5099999999998</v>
      </c>
      <c r="G35" s="105"/>
      <c r="H35" s="105"/>
      <c r="I35" s="105"/>
      <c r="J35" s="105"/>
      <c r="K35" s="105"/>
      <c r="L35" s="105"/>
      <c r="M35" s="105"/>
      <c r="N35" s="105"/>
      <c r="O35" s="105"/>
    </row>
    <row r="36" spans="1:15" x14ac:dyDescent="0.3">
      <c r="A36" s="97" t="s">
        <v>48</v>
      </c>
      <c r="B36" s="97" t="s">
        <v>39</v>
      </c>
      <c r="C36" s="106">
        <v>9000</v>
      </c>
      <c r="D36" s="106">
        <v>10038.562999999996</v>
      </c>
      <c r="E36" s="106">
        <v>10619.762999999999</v>
      </c>
      <c r="G36" s="105"/>
      <c r="H36" s="105"/>
      <c r="I36" s="105"/>
      <c r="J36" s="105"/>
      <c r="K36" s="105"/>
      <c r="L36" s="105"/>
      <c r="M36" s="105"/>
      <c r="N36" s="105"/>
      <c r="O36" s="105"/>
    </row>
    <row r="37" spans="1:15" x14ac:dyDescent="0.3">
      <c r="A37" s="98" t="s">
        <v>49</v>
      </c>
      <c r="B37" s="98"/>
      <c r="C37" s="107">
        <v>9000</v>
      </c>
      <c r="D37" s="107">
        <v>10038.562999999996</v>
      </c>
      <c r="E37" s="107">
        <v>10619.762999999999</v>
      </c>
      <c r="G37" s="105"/>
      <c r="H37" s="105"/>
      <c r="I37" s="105"/>
      <c r="J37" s="105"/>
      <c r="K37" s="105"/>
      <c r="L37" s="105"/>
      <c r="M37" s="105"/>
      <c r="N37" s="105"/>
      <c r="O37" s="105"/>
    </row>
    <row r="38" spans="1:15" x14ac:dyDescent="0.3">
      <c r="A38" s="97" t="s">
        <v>52</v>
      </c>
      <c r="B38" s="97"/>
      <c r="C38" s="106">
        <v>54400</v>
      </c>
      <c r="D38" s="106">
        <v>48560.689000000006</v>
      </c>
      <c r="E38" s="106">
        <v>58035.334999999999</v>
      </c>
      <c r="G38" s="105"/>
      <c r="H38" s="105"/>
      <c r="I38" s="105"/>
      <c r="J38" s="105"/>
      <c r="K38" s="105"/>
      <c r="L38" s="105"/>
      <c r="M38" s="105"/>
      <c r="N38" s="105"/>
      <c r="O38" s="105"/>
    </row>
    <row r="39" spans="1:15" x14ac:dyDescent="0.3">
      <c r="A39"/>
      <c r="B39"/>
      <c r="C39"/>
      <c r="D39"/>
      <c r="E39"/>
      <c r="G39" s="105"/>
      <c r="H39" s="105"/>
      <c r="I39" s="105"/>
      <c r="J39" s="105"/>
      <c r="K39" s="105"/>
      <c r="L39" s="105"/>
      <c r="M39" s="105"/>
      <c r="N39" s="105"/>
      <c r="O39" s="105"/>
    </row>
    <row r="40" spans="1:15" x14ac:dyDescent="0.3">
      <c r="A40"/>
      <c r="B40"/>
      <c r="C40"/>
      <c r="D40"/>
      <c r="E40"/>
      <c r="G40" s="105"/>
      <c r="H40" s="105"/>
      <c r="I40" s="105"/>
      <c r="J40" s="105"/>
      <c r="K40" s="105"/>
      <c r="L40" s="105"/>
      <c r="M40" s="105"/>
      <c r="N40" s="105"/>
      <c r="O40" s="105"/>
    </row>
    <row r="41" spans="1:15" x14ac:dyDescent="0.3">
      <c r="A41"/>
      <c r="B41"/>
      <c r="C41"/>
      <c r="D41"/>
      <c r="E41"/>
      <c r="G41" s="105"/>
      <c r="H41" s="105"/>
      <c r="I41" s="105"/>
      <c r="J41" s="105"/>
      <c r="K41" s="105"/>
      <c r="L41" s="105"/>
      <c r="M41" s="105"/>
      <c r="N41" s="105"/>
      <c r="O41" s="105"/>
    </row>
    <row r="42" spans="1:15" x14ac:dyDescent="0.3">
      <c r="A42"/>
      <c r="B42"/>
      <c r="C42" s="1"/>
      <c r="D42" s="1"/>
      <c r="E42" s="1"/>
      <c r="G42" s="105"/>
      <c r="H42" s="105"/>
      <c r="I42" s="105"/>
      <c r="J42" s="105"/>
      <c r="K42" s="105"/>
      <c r="L42" s="105"/>
      <c r="M42" s="105"/>
      <c r="N42" s="105"/>
      <c r="O42" s="105"/>
    </row>
    <row r="43" spans="1:15" x14ac:dyDescent="0.3">
      <c r="A43"/>
      <c r="B43"/>
      <c r="C43" s="1"/>
      <c r="D43" s="1"/>
      <c r="E43" s="1"/>
      <c r="G43" s="105"/>
      <c r="H43" s="105"/>
      <c r="I43" s="105"/>
      <c r="J43" s="105"/>
      <c r="K43" s="105"/>
      <c r="L43" s="105"/>
      <c r="M43" s="105"/>
      <c r="N43" s="105"/>
      <c r="O43" s="105"/>
    </row>
    <row r="44" spans="1:15" x14ac:dyDescent="0.3">
      <c r="A44"/>
      <c r="B44"/>
      <c r="C44" s="1"/>
      <c r="D44" s="1"/>
      <c r="E44" s="1"/>
      <c r="G44" s="105"/>
      <c r="H44" s="105"/>
      <c r="I44" s="105"/>
      <c r="J44" s="105"/>
      <c r="K44" s="105"/>
      <c r="L44" s="105"/>
      <c r="M44" s="105"/>
      <c r="N44" s="105"/>
      <c r="O44" s="105"/>
    </row>
    <row r="45" spans="1:15" x14ac:dyDescent="0.3">
      <c r="A45"/>
      <c r="B45"/>
      <c r="C45" s="1"/>
      <c r="D45" s="1"/>
      <c r="E45" s="1"/>
      <c r="G45" s="105"/>
      <c r="H45" s="105"/>
      <c r="I45" s="105"/>
      <c r="J45" s="105"/>
      <c r="K45" s="105"/>
      <c r="L45" s="105"/>
      <c r="M45" s="105"/>
      <c r="N45" s="105"/>
      <c r="O45" s="105"/>
    </row>
    <row r="46" spans="1:15" x14ac:dyDescent="0.3">
      <c r="A46"/>
      <c r="B46"/>
      <c r="C46" s="1"/>
      <c r="D46" s="1"/>
      <c r="E46" s="1"/>
      <c r="G46" s="105"/>
      <c r="H46" s="105"/>
      <c r="I46" s="105"/>
      <c r="J46" s="105"/>
      <c r="K46" s="105"/>
      <c r="L46" s="105"/>
      <c r="M46" s="105"/>
      <c r="N46" s="105"/>
      <c r="O46" s="105"/>
    </row>
    <row r="47" spans="1:15" x14ac:dyDescent="0.3">
      <c r="A47"/>
      <c r="B47"/>
      <c r="C47" s="1"/>
      <c r="D47" s="1"/>
      <c r="E47" s="1"/>
      <c r="G47" s="105"/>
      <c r="H47" s="105"/>
      <c r="I47" s="105"/>
      <c r="J47" s="105"/>
      <c r="K47" s="105"/>
      <c r="L47" s="105"/>
      <c r="M47" s="105"/>
      <c r="N47" s="105"/>
      <c r="O47" s="105"/>
    </row>
    <row r="48" spans="1:15" x14ac:dyDescent="0.3">
      <c r="A48"/>
      <c r="B48"/>
      <c r="C48" s="1"/>
      <c r="D48" s="1"/>
      <c r="E48" s="1"/>
      <c r="G48" s="105"/>
      <c r="H48" s="105"/>
      <c r="I48" s="105"/>
      <c r="J48" s="105"/>
      <c r="K48" s="105"/>
      <c r="L48" s="105"/>
      <c r="M48" s="105"/>
      <c r="N48" s="105"/>
      <c r="O48" s="105"/>
    </row>
    <row r="49" spans="1:15" x14ac:dyDescent="0.3">
      <c r="A49"/>
      <c r="B49"/>
      <c r="C49" s="1"/>
      <c r="D49" s="1"/>
      <c r="E49" s="1"/>
      <c r="G49" s="105"/>
      <c r="H49" s="105"/>
      <c r="I49" s="105"/>
      <c r="J49" s="105"/>
      <c r="K49" s="105"/>
      <c r="L49" s="105"/>
      <c r="M49" s="105"/>
      <c r="N49" s="105"/>
      <c r="O49" s="105"/>
    </row>
    <row r="50" spans="1:15" x14ac:dyDescent="0.3">
      <c r="A50"/>
      <c r="B50"/>
      <c r="C50" s="1"/>
      <c r="D50" s="1"/>
      <c r="E50" s="1"/>
      <c r="G50" s="105"/>
      <c r="H50" s="105"/>
      <c r="I50" s="105"/>
      <c r="J50" s="105"/>
      <c r="K50" s="105"/>
      <c r="L50" s="105"/>
      <c r="M50" s="105"/>
      <c r="N50" s="105"/>
      <c r="O50" s="105"/>
    </row>
    <row r="51" spans="1:15" x14ac:dyDescent="0.3">
      <c r="A51"/>
      <c r="B51"/>
      <c r="C51" s="1"/>
      <c r="D51" s="1"/>
      <c r="E51" s="1"/>
      <c r="G51" s="105"/>
      <c r="H51" s="105"/>
      <c r="I51" s="105"/>
      <c r="J51" s="105"/>
      <c r="K51" s="105"/>
      <c r="L51" s="105"/>
      <c r="M51" s="105"/>
      <c r="N51" s="105"/>
      <c r="O51" s="105"/>
    </row>
    <row r="52" spans="1:15" x14ac:dyDescent="0.3">
      <c r="A52"/>
      <c r="B52"/>
      <c r="C52" s="1"/>
      <c r="D52" s="1"/>
      <c r="E52" s="1"/>
      <c r="G52" s="105"/>
      <c r="H52" s="105"/>
      <c r="I52" s="105"/>
      <c r="J52" s="105"/>
      <c r="K52" s="105"/>
      <c r="L52" s="105"/>
      <c r="M52" s="105"/>
      <c r="N52" s="105"/>
      <c r="O52" s="105"/>
    </row>
    <row r="53" spans="1:15" x14ac:dyDescent="0.3">
      <c r="A53"/>
      <c r="B53"/>
      <c r="C53" s="1"/>
      <c r="D53" s="1"/>
      <c r="E53" s="1"/>
      <c r="G53" s="105"/>
      <c r="H53" s="105"/>
      <c r="I53" s="105"/>
      <c r="J53" s="105"/>
      <c r="K53" s="105"/>
      <c r="L53" s="105"/>
      <c r="M53" s="105"/>
      <c r="N53" s="105"/>
      <c r="O53" s="105"/>
    </row>
    <row r="54" spans="1:15" x14ac:dyDescent="0.3">
      <c r="A54"/>
      <c r="B54"/>
      <c r="C54" s="1"/>
      <c r="D54" s="1"/>
      <c r="E54" s="1"/>
      <c r="G54" s="105"/>
      <c r="H54" s="105"/>
      <c r="I54" s="105"/>
      <c r="J54" s="105"/>
      <c r="K54" s="105"/>
      <c r="L54" s="105"/>
      <c r="M54" s="105"/>
      <c r="N54" s="105"/>
      <c r="O54" s="105"/>
    </row>
    <row r="55" spans="1:15" x14ac:dyDescent="0.3">
      <c r="A55"/>
      <c r="B55"/>
      <c r="C55" s="1"/>
      <c r="D55" s="1"/>
      <c r="E55" s="1"/>
      <c r="G55" s="105"/>
      <c r="H55" s="105"/>
      <c r="I55" s="105"/>
      <c r="J55" s="105"/>
      <c r="K55" s="105"/>
      <c r="L55" s="105"/>
      <c r="M55" s="105"/>
      <c r="N55" s="105"/>
      <c r="O55" s="105"/>
    </row>
    <row r="56" spans="1:15" x14ac:dyDescent="0.3">
      <c r="A56"/>
      <c r="B56"/>
      <c r="C56" s="1"/>
      <c r="D56" s="1"/>
      <c r="E56" s="1"/>
      <c r="G56" s="105"/>
      <c r="H56" s="105"/>
      <c r="I56" s="105"/>
      <c r="J56" s="105"/>
      <c r="K56" s="105"/>
      <c r="L56" s="105"/>
      <c r="M56" s="105"/>
      <c r="N56" s="105"/>
      <c r="O56" s="105"/>
    </row>
    <row r="57" spans="1:15" x14ac:dyDescent="0.3">
      <c r="A57"/>
      <c r="B57"/>
      <c r="C57" s="1"/>
      <c r="D57" s="1"/>
      <c r="E57" s="1"/>
      <c r="G57" s="105"/>
      <c r="H57" s="105"/>
      <c r="I57" s="105"/>
      <c r="J57" s="105"/>
      <c r="K57" s="105"/>
      <c r="L57" s="105"/>
      <c r="M57" s="105"/>
      <c r="N57" s="105"/>
      <c r="O57" s="105"/>
    </row>
    <row r="58" spans="1:15" x14ac:dyDescent="0.3">
      <c r="A58"/>
      <c r="B58"/>
      <c r="C58" s="1"/>
      <c r="D58" s="1"/>
      <c r="E58" s="1"/>
      <c r="G58" s="105"/>
      <c r="H58" s="105"/>
      <c r="I58" s="105"/>
      <c r="J58" s="105"/>
      <c r="K58" s="105"/>
      <c r="L58" s="105"/>
      <c r="M58" s="105"/>
      <c r="N58" s="105"/>
      <c r="O58" s="105"/>
    </row>
    <row r="59" spans="1:15" x14ac:dyDescent="0.3">
      <c r="A59"/>
      <c r="B59"/>
      <c r="C59" s="1"/>
      <c r="D59" s="1"/>
      <c r="E59" s="1"/>
      <c r="G59" s="105"/>
      <c r="H59" s="105"/>
      <c r="I59" s="105"/>
      <c r="J59" s="105"/>
      <c r="K59" s="105"/>
      <c r="L59" s="105"/>
      <c r="M59" s="105"/>
      <c r="N59" s="105"/>
      <c r="O59" s="105"/>
    </row>
    <row r="60" spans="1:15" x14ac:dyDescent="0.3">
      <c r="A60"/>
      <c r="B60"/>
      <c r="C60" s="1"/>
      <c r="D60" s="1"/>
      <c r="E60" s="1"/>
      <c r="G60" s="105"/>
      <c r="H60" s="105"/>
      <c r="I60" s="105"/>
      <c r="J60" s="105"/>
      <c r="K60" s="105"/>
      <c r="L60" s="105"/>
      <c r="M60" s="105"/>
      <c r="N60" s="105"/>
      <c r="O60" s="105"/>
    </row>
    <row r="61" spans="1:15" x14ac:dyDescent="0.3">
      <c r="A61"/>
      <c r="B61"/>
      <c r="C61" s="1"/>
      <c r="D61" s="1"/>
      <c r="E61" s="1"/>
      <c r="G61" s="105"/>
      <c r="H61" s="105"/>
      <c r="I61" s="105"/>
      <c r="J61" s="105"/>
      <c r="K61" s="105"/>
      <c r="L61" s="105"/>
      <c r="M61" s="105"/>
      <c r="N61" s="105"/>
      <c r="O61" s="105"/>
    </row>
    <row r="62" spans="1:15" x14ac:dyDescent="0.3">
      <c r="A62"/>
      <c r="B62"/>
      <c r="C62" s="1"/>
      <c r="D62" s="1"/>
      <c r="E62" s="1"/>
      <c r="G62" s="105"/>
      <c r="H62" s="105"/>
      <c r="I62" s="105"/>
      <c r="J62" s="105"/>
      <c r="K62" s="105"/>
      <c r="L62" s="105"/>
      <c r="M62" s="105"/>
      <c r="N62" s="105"/>
      <c r="O62" s="105"/>
    </row>
    <row r="63" spans="1:15" x14ac:dyDescent="0.3">
      <c r="A63"/>
      <c r="B63"/>
      <c r="C63" s="1"/>
      <c r="D63" s="1"/>
      <c r="E63" s="1"/>
      <c r="G63" s="105"/>
      <c r="H63" s="105"/>
      <c r="I63" s="105"/>
      <c r="J63" s="105"/>
      <c r="K63" s="105"/>
      <c r="L63" s="105"/>
      <c r="M63" s="105"/>
      <c r="N63" s="105"/>
      <c r="O63" s="105"/>
    </row>
    <row r="64" spans="1:15" x14ac:dyDescent="0.3">
      <c r="A64"/>
      <c r="B64"/>
      <c r="C64" s="1"/>
      <c r="D64" s="1"/>
      <c r="E64" s="1"/>
      <c r="G64" s="105"/>
      <c r="H64" s="105"/>
      <c r="I64" s="105"/>
      <c r="J64" s="105"/>
      <c r="K64" s="105"/>
      <c r="L64" s="105"/>
      <c r="M64" s="105"/>
      <c r="N64" s="105"/>
      <c r="O64" s="105"/>
    </row>
    <row r="65" spans="1:15" x14ac:dyDescent="0.3">
      <c r="A65"/>
      <c r="B65"/>
      <c r="C65" s="1"/>
      <c r="D65" s="1"/>
      <c r="E65" s="1"/>
      <c r="G65" s="105"/>
      <c r="H65" s="105"/>
      <c r="I65" s="105"/>
      <c r="J65" s="105"/>
      <c r="K65" s="105"/>
      <c r="L65" s="105"/>
      <c r="M65" s="105"/>
      <c r="N65" s="105"/>
      <c r="O65" s="105"/>
    </row>
    <row r="66" spans="1:15" x14ac:dyDescent="0.3">
      <c r="A66"/>
      <c r="B66"/>
      <c r="C66" s="1"/>
      <c r="D66" s="1"/>
      <c r="E66" s="1"/>
      <c r="G66" s="105"/>
      <c r="H66" s="105"/>
      <c r="I66" s="105"/>
      <c r="J66" s="105"/>
      <c r="K66" s="105"/>
      <c r="L66" s="105"/>
      <c r="M66" s="105"/>
      <c r="N66" s="105"/>
      <c r="O66" s="105"/>
    </row>
    <row r="67" spans="1:15" x14ac:dyDescent="0.3">
      <c r="A67"/>
      <c r="B67"/>
      <c r="C67" s="1"/>
      <c r="D67" s="1"/>
      <c r="E67" s="1"/>
      <c r="G67" s="105"/>
      <c r="H67" s="105"/>
      <c r="I67" s="105"/>
      <c r="J67" s="105"/>
      <c r="K67" s="105"/>
      <c r="L67" s="105"/>
      <c r="M67" s="105"/>
      <c r="N67" s="105"/>
      <c r="O67" s="105"/>
    </row>
    <row r="68" spans="1:15" x14ac:dyDescent="0.3">
      <c r="A68"/>
      <c r="B68"/>
      <c r="C68" s="1"/>
      <c r="D68" s="1"/>
      <c r="E68" s="1"/>
      <c r="G68" s="105"/>
      <c r="H68" s="105"/>
      <c r="I68" s="105"/>
      <c r="J68" s="105"/>
      <c r="K68" s="105"/>
      <c r="L68" s="105"/>
      <c r="M68" s="105"/>
      <c r="N68" s="105"/>
      <c r="O68" s="105"/>
    </row>
    <row r="69" spans="1:15" x14ac:dyDescent="0.3">
      <c r="A69"/>
      <c r="B69"/>
      <c r="C69" s="1"/>
      <c r="D69" s="1"/>
      <c r="E69" s="1"/>
      <c r="G69" s="105"/>
      <c r="H69" s="105"/>
      <c r="I69" s="105"/>
      <c r="J69" s="105"/>
      <c r="K69" s="105"/>
      <c r="L69" s="105"/>
      <c r="M69" s="105"/>
      <c r="N69" s="105"/>
      <c r="O69" s="105"/>
    </row>
    <row r="70" spans="1:15" x14ac:dyDescent="0.3">
      <c r="A70"/>
      <c r="B70"/>
      <c r="C70" s="1"/>
      <c r="D70" s="1"/>
      <c r="E70" s="1"/>
      <c r="G70" s="105"/>
      <c r="H70" s="105"/>
      <c r="I70" s="105"/>
      <c r="J70" s="105"/>
      <c r="K70" s="105"/>
      <c r="L70" s="105"/>
      <c r="M70" s="105"/>
      <c r="N70" s="105"/>
      <c r="O70" s="105"/>
    </row>
    <row r="71" spans="1:15" x14ac:dyDescent="0.3">
      <c r="A71"/>
      <c r="B71"/>
      <c r="C71" s="1"/>
      <c r="D71" s="1"/>
      <c r="E71" s="1"/>
      <c r="G71" s="105"/>
      <c r="H71" s="105"/>
      <c r="I71" s="105"/>
      <c r="J71" s="105"/>
      <c r="K71" s="105"/>
      <c r="L71" s="105"/>
      <c r="M71" s="105"/>
      <c r="N71" s="105"/>
      <c r="O71" s="105"/>
    </row>
    <row r="72" spans="1:15" x14ac:dyDescent="0.3">
      <c r="A72"/>
      <c r="B72"/>
      <c r="C72" s="1"/>
      <c r="D72" s="1"/>
      <c r="E72" s="1"/>
      <c r="G72" s="105"/>
      <c r="H72" s="105"/>
      <c r="I72" s="105"/>
      <c r="J72" s="105"/>
      <c r="K72" s="105"/>
      <c r="L72" s="105"/>
      <c r="M72" s="105"/>
      <c r="N72" s="105"/>
      <c r="O72" s="105"/>
    </row>
    <row r="73" spans="1:15" x14ac:dyDescent="0.3">
      <c r="A73"/>
      <c r="B73"/>
      <c r="C73" s="1"/>
      <c r="D73" s="1"/>
      <c r="E73" s="1"/>
      <c r="G73" s="105"/>
      <c r="H73" s="105"/>
      <c r="I73" s="105"/>
      <c r="J73" s="105"/>
      <c r="K73" s="105"/>
      <c r="L73" s="105"/>
      <c r="M73" s="105"/>
      <c r="N73" s="105"/>
      <c r="O73" s="105"/>
    </row>
    <row r="74" spans="1:15" x14ac:dyDescent="0.3">
      <c r="A74"/>
      <c r="B74"/>
      <c r="C74" s="1"/>
      <c r="D74" s="1"/>
      <c r="E74" s="1"/>
      <c r="G74" s="105"/>
      <c r="H74" s="105"/>
      <c r="I74" s="105"/>
      <c r="J74" s="105"/>
      <c r="K74" s="105"/>
      <c r="L74" s="105"/>
      <c r="M74" s="105"/>
      <c r="N74" s="105"/>
      <c r="O74" s="105"/>
    </row>
    <row r="75" spans="1:15" x14ac:dyDescent="0.3">
      <c r="A75"/>
      <c r="B75"/>
      <c r="C75" s="1"/>
      <c r="D75" s="1"/>
      <c r="E75" s="1"/>
      <c r="G75" s="105"/>
      <c r="H75" s="105"/>
      <c r="I75" s="105"/>
      <c r="J75" s="105"/>
      <c r="K75" s="105"/>
      <c r="L75" s="105"/>
      <c r="M75" s="105"/>
      <c r="N75" s="105"/>
      <c r="O75" s="105"/>
    </row>
    <row r="76" spans="1:15" x14ac:dyDescent="0.3">
      <c r="A76"/>
      <c r="B76"/>
      <c r="C76" s="1"/>
      <c r="D76" s="1"/>
      <c r="E76" s="1"/>
      <c r="G76" s="105"/>
      <c r="H76" s="105"/>
      <c r="I76" s="105"/>
      <c r="J76" s="105"/>
      <c r="K76" s="105"/>
      <c r="L76" s="105"/>
      <c r="M76" s="105"/>
      <c r="N76" s="105"/>
      <c r="O76" s="105"/>
    </row>
    <row r="77" spans="1:15" x14ac:dyDescent="0.3">
      <c r="A77"/>
      <c r="B77"/>
      <c r="C77" s="1"/>
      <c r="D77" s="1"/>
      <c r="E77" s="1"/>
      <c r="G77" s="105"/>
      <c r="H77" s="105"/>
      <c r="I77" s="105"/>
      <c r="J77" s="105"/>
      <c r="K77" s="105"/>
      <c r="L77" s="105"/>
      <c r="M77" s="105"/>
      <c r="N77" s="105"/>
      <c r="O77" s="105"/>
    </row>
    <row r="78" spans="1:15" x14ac:dyDescent="0.3">
      <c r="A78"/>
      <c r="B78"/>
      <c r="C78" s="1"/>
      <c r="D78" s="1"/>
      <c r="E78" s="1"/>
      <c r="G78" s="105"/>
      <c r="H78" s="105"/>
      <c r="I78" s="105"/>
      <c r="J78" s="105"/>
      <c r="K78" s="105"/>
      <c r="L78" s="105"/>
      <c r="M78" s="105"/>
      <c r="N78" s="105"/>
      <c r="O78" s="105"/>
    </row>
    <row r="79" spans="1:15" x14ac:dyDescent="0.3">
      <c r="A79"/>
      <c r="B79"/>
      <c r="C79" s="1"/>
      <c r="D79" s="1"/>
      <c r="E79" s="1"/>
      <c r="G79" s="105"/>
      <c r="H79" s="105"/>
      <c r="I79" s="105"/>
      <c r="J79" s="105"/>
      <c r="K79" s="105"/>
      <c r="L79" s="105"/>
      <c r="M79" s="105"/>
      <c r="N79" s="105"/>
      <c r="O79" s="105"/>
    </row>
    <row r="80" spans="1:15" x14ac:dyDescent="0.3">
      <c r="A80"/>
      <c r="B80"/>
      <c r="C80" s="1"/>
      <c r="D80" s="1"/>
      <c r="E80" s="1"/>
      <c r="G80" s="105"/>
      <c r="H80" s="105"/>
      <c r="I80" s="105"/>
      <c r="J80" s="105"/>
      <c r="K80" s="105"/>
      <c r="L80" s="105"/>
      <c r="M80" s="105"/>
      <c r="N80" s="105"/>
      <c r="O80" s="105"/>
    </row>
    <row r="81" spans="1:15" x14ac:dyDescent="0.3">
      <c r="A81"/>
      <c r="B81"/>
      <c r="C81" s="1"/>
      <c r="D81" s="1"/>
      <c r="E81" s="1"/>
      <c r="G81" s="105"/>
      <c r="H81" s="105"/>
      <c r="I81" s="105"/>
      <c r="J81" s="105"/>
      <c r="K81" s="105"/>
      <c r="L81" s="105"/>
      <c r="M81" s="105"/>
      <c r="N81" s="105"/>
      <c r="O81" s="105"/>
    </row>
    <row r="82" spans="1:15" x14ac:dyDescent="0.3">
      <c r="A82"/>
      <c r="B82"/>
      <c r="C82" s="1"/>
      <c r="D82" s="1"/>
      <c r="E82" s="1"/>
      <c r="G82" s="105"/>
      <c r="H82" s="105"/>
      <c r="I82" s="105"/>
      <c r="J82" s="105"/>
      <c r="K82" s="105"/>
      <c r="L82" s="105"/>
      <c r="M82" s="105"/>
      <c r="N82" s="105"/>
      <c r="O82" s="105"/>
    </row>
    <row r="83" spans="1:15" x14ac:dyDescent="0.3">
      <c r="A83"/>
      <c r="B83"/>
      <c r="C83" s="1"/>
      <c r="D83" s="1"/>
      <c r="E83" s="1"/>
      <c r="G83" s="105"/>
      <c r="H83" s="105"/>
      <c r="I83" s="105"/>
      <c r="J83" s="105"/>
      <c r="K83" s="105"/>
      <c r="L83" s="105"/>
      <c r="M83" s="105"/>
      <c r="N83" s="105"/>
      <c r="O83" s="105"/>
    </row>
    <row r="84" spans="1:15" x14ac:dyDescent="0.3">
      <c r="A84"/>
      <c r="B84"/>
      <c r="C84" s="1"/>
      <c r="D84" s="1"/>
      <c r="E84" s="1"/>
      <c r="G84" s="105"/>
      <c r="H84" s="105"/>
      <c r="I84" s="105"/>
      <c r="J84" s="105"/>
      <c r="K84" s="105"/>
      <c r="L84" s="105"/>
      <c r="M84" s="105"/>
      <c r="N84" s="105"/>
      <c r="O84" s="105"/>
    </row>
    <row r="85" spans="1:15" x14ac:dyDescent="0.3">
      <c r="A85"/>
      <c r="B85"/>
      <c r="C85" s="1"/>
      <c r="D85" s="1"/>
      <c r="E85" s="1"/>
      <c r="G85" s="105"/>
      <c r="H85" s="105"/>
      <c r="I85" s="105"/>
      <c r="J85" s="105"/>
      <c r="K85" s="105"/>
      <c r="L85" s="105"/>
      <c r="M85" s="105"/>
      <c r="N85" s="105"/>
      <c r="O85" s="105"/>
    </row>
    <row r="86" spans="1:15" x14ac:dyDescent="0.3">
      <c r="A86"/>
      <c r="B86"/>
      <c r="C86" s="1"/>
      <c r="D86" s="1"/>
      <c r="E86" s="1"/>
      <c r="G86" s="105"/>
      <c r="H86" s="105"/>
      <c r="I86" s="105"/>
      <c r="J86" s="105"/>
      <c r="K86" s="105"/>
      <c r="L86" s="105"/>
      <c r="M86" s="105"/>
      <c r="N86" s="105"/>
      <c r="O86" s="105"/>
    </row>
    <row r="87" spans="1:15" x14ac:dyDescent="0.3">
      <c r="A87"/>
      <c r="B87"/>
      <c r="C87" s="1"/>
      <c r="D87" s="1"/>
      <c r="E87" s="1"/>
      <c r="G87" s="105"/>
      <c r="H87" s="105"/>
      <c r="I87" s="105"/>
      <c r="J87" s="105"/>
      <c r="K87" s="105"/>
      <c r="L87" s="105"/>
      <c r="M87" s="105"/>
      <c r="N87" s="105"/>
      <c r="O87" s="105"/>
    </row>
    <row r="88" spans="1:15" x14ac:dyDescent="0.3">
      <c r="A88"/>
      <c r="B88"/>
      <c r="C88" s="1"/>
      <c r="D88" s="1"/>
      <c r="E88" s="1"/>
      <c r="G88" s="105"/>
      <c r="H88" s="105"/>
      <c r="I88" s="105"/>
      <c r="J88" s="105"/>
      <c r="K88" s="105"/>
      <c r="L88" s="105"/>
      <c r="M88" s="105"/>
      <c r="N88" s="105"/>
      <c r="O88" s="105"/>
    </row>
    <row r="89" spans="1:15" x14ac:dyDescent="0.3">
      <c r="A89"/>
      <c r="B89"/>
      <c r="C89" s="1"/>
      <c r="D89" s="1"/>
      <c r="E89" s="1"/>
      <c r="G89" s="105"/>
      <c r="H89" s="105"/>
      <c r="I89" s="105"/>
      <c r="J89" s="105"/>
      <c r="K89" s="105"/>
      <c r="L89" s="105"/>
      <c r="M89" s="105"/>
      <c r="N89" s="105"/>
      <c r="O89" s="105"/>
    </row>
    <row r="90" spans="1:15" x14ac:dyDescent="0.3">
      <c r="A90"/>
      <c r="B90"/>
      <c r="C90" s="1"/>
      <c r="D90" s="1"/>
      <c r="E90" s="1"/>
      <c r="G90" s="105"/>
      <c r="H90" s="105"/>
      <c r="I90" s="105"/>
      <c r="J90" s="105"/>
      <c r="K90" s="105"/>
      <c r="L90" s="105"/>
      <c r="M90" s="105"/>
      <c r="N90" s="105"/>
      <c r="O90" s="105"/>
    </row>
    <row r="91" spans="1:15" x14ac:dyDescent="0.3">
      <c r="A91"/>
      <c r="B91"/>
      <c r="C91" s="1"/>
      <c r="D91" s="1"/>
      <c r="E91" s="1"/>
      <c r="G91" s="105"/>
      <c r="H91" s="105"/>
      <c r="I91" s="105"/>
      <c r="J91" s="105"/>
      <c r="K91" s="105"/>
      <c r="L91" s="105"/>
      <c r="M91" s="105"/>
      <c r="N91" s="105"/>
      <c r="O91" s="105"/>
    </row>
    <row r="92" spans="1:15" x14ac:dyDescent="0.3">
      <c r="A92"/>
      <c r="B92"/>
      <c r="C92" s="1"/>
      <c r="D92" s="1"/>
      <c r="E92" s="1"/>
      <c r="G92" s="105"/>
      <c r="H92" s="105"/>
      <c r="I92" s="105"/>
      <c r="J92" s="105"/>
      <c r="K92" s="105"/>
      <c r="L92" s="105"/>
      <c r="M92" s="105"/>
      <c r="N92" s="105"/>
      <c r="O92" s="105"/>
    </row>
    <row r="93" spans="1:15" x14ac:dyDescent="0.3">
      <c r="A93"/>
      <c r="B93"/>
      <c r="C93" s="1"/>
      <c r="D93" s="1"/>
      <c r="E93" s="1"/>
      <c r="G93" s="105"/>
      <c r="H93" s="105"/>
      <c r="I93" s="105"/>
      <c r="J93" s="105"/>
      <c r="K93" s="105"/>
      <c r="L93" s="105"/>
      <c r="M93" s="105"/>
      <c r="N93" s="105"/>
      <c r="O93" s="105"/>
    </row>
    <row r="94" spans="1:15" x14ac:dyDescent="0.3">
      <c r="A94"/>
      <c r="B94"/>
      <c r="C94" s="1"/>
      <c r="D94" s="1"/>
      <c r="E94" s="1"/>
      <c r="G94" s="105"/>
      <c r="H94" s="105"/>
      <c r="I94" s="105"/>
      <c r="J94" s="105"/>
      <c r="K94" s="105"/>
      <c r="L94" s="105"/>
      <c r="M94" s="105"/>
      <c r="N94" s="105"/>
      <c r="O94" s="105"/>
    </row>
    <row r="95" spans="1:15" x14ac:dyDescent="0.3">
      <c r="A95"/>
      <c r="B95"/>
      <c r="C95" s="1"/>
      <c r="D95" s="1"/>
      <c r="E95" s="1"/>
      <c r="G95" s="105"/>
      <c r="H95" s="105"/>
      <c r="I95" s="105"/>
      <c r="J95" s="105"/>
      <c r="K95" s="105"/>
      <c r="L95" s="105"/>
      <c r="M95" s="105"/>
      <c r="N95" s="105"/>
      <c r="O95" s="105"/>
    </row>
    <row r="96" spans="1:15" x14ac:dyDescent="0.3">
      <c r="A96"/>
      <c r="B96"/>
      <c r="C96" s="1"/>
      <c r="D96" s="1"/>
      <c r="E96" s="1"/>
      <c r="G96" s="105"/>
      <c r="H96" s="105"/>
      <c r="I96" s="105"/>
      <c r="J96" s="105"/>
      <c r="K96" s="105"/>
      <c r="L96" s="105"/>
      <c r="M96" s="105"/>
      <c r="N96" s="105"/>
      <c r="O96" s="105"/>
    </row>
    <row r="97" spans="1:15" x14ac:dyDescent="0.3">
      <c r="A97"/>
      <c r="B97"/>
      <c r="C97" s="1"/>
      <c r="D97" s="1"/>
      <c r="E97" s="1"/>
      <c r="G97" s="105"/>
      <c r="H97" s="105"/>
      <c r="I97" s="105"/>
      <c r="J97" s="105"/>
      <c r="K97" s="105"/>
      <c r="L97" s="105"/>
      <c r="M97" s="105"/>
      <c r="N97" s="105"/>
      <c r="O97" s="105"/>
    </row>
    <row r="98" spans="1:15" x14ac:dyDescent="0.3">
      <c r="A98"/>
      <c r="B98"/>
      <c r="C98" s="1"/>
      <c r="D98" s="1"/>
      <c r="E98" s="1"/>
      <c r="G98" s="105"/>
      <c r="H98" s="105"/>
      <c r="I98" s="105"/>
      <c r="J98" s="105"/>
      <c r="K98" s="105"/>
      <c r="L98" s="105"/>
      <c r="M98" s="105"/>
      <c r="N98" s="105"/>
      <c r="O98" s="105"/>
    </row>
    <row r="99" spans="1:15" x14ac:dyDescent="0.3">
      <c r="A99"/>
      <c r="B99"/>
      <c r="C99" s="1"/>
      <c r="D99" s="1"/>
      <c r="E99" s="1"/>
      <c r="G99" s="105"/>
      <c r="H99" s="105"/>
      <c r="I99" s="105"/>
      <c r="J99" s="105"/>
      <c r="K99" s="105"/>
      <c r="L99" s="105"/>
      <c r="M99" s="105"/>
      <c r="N99" s="105"/>
      <c r="O99" s="105"/>
    </row>
    <row r="100" spans="1:15" x14ac:dyDescent="0.3">
      <c r="A100"/>
      <c r="B100"/>
      <c r="C100" s="1"/>
      <c r="D100" s="1"/>
      <c r="E100" s="1"/>
      <c r="G100" s="105"/>
      <c r="H100" s="105"/>
      <c r="I100" s="105"/>
      <c r="J100" s="105"/>
      <c r="K100" s="105"/>
      <c r="L100" s="105"/>
      <c r="M100" s="105"/>
      <c r="N100" s="105"/>
      <c r="O100" s="105"/>
    </row>
    <row r="101" spans="1:15" x14ac:dyDescent="0.3">
      <c r="A101"/>
      <c r="B101"/>
      <c r="C101" s="1"/>
      <c r="D101" s="1"/>
      <c r="E101" s="1"/>
      <c r="G101" s="105"/>
      <c r="H101" s="105"/>
      <c r="I101" s="105"/>
      <c r="J101" s="105"/>
      <c r="K101" s="105"/>
      <c r="L101" s="105"/>
      <c r="M101" s="105"/>
      <c r="N101" s="105"/>
      <c r="O101" s="105"/>
    </row>
    <row r="102" spans="1:15" x14ac:dyDescent="0.3">
      <c r="A102"/>
      <c r="B102"/>
      <c r="C102" s="1"/>
      <c r="D102" s="1"/>
      <c r="E102" s="1"/>
      <c r="G102" s="105"/>
      <c r="H102" s="105"/>
      <c r="I102" s="105"/>
      <c r="J102" s="105"/>
      <c r="K102" s="105"/>
      <c r="L102" s="105"/>
      <c r="M102" s="105"/>
      <c r="N102" s="105"/>
      <c r="O102" s="105"/>
    </row>
    <row r="103" spans="1:15" x14ac:dyDescent="0.3">
      <c r="A103"/>
      <c r="B103"/>
      <c r="C103" s="1"/>
      <c r="D103" s="1"/>
      <c r="E103" s="1"/>
      <c r="G103" s="105"/>
      <c r="H103" s="105"/>
      <c r="I103" s="105"/>
      <c r="J103" s="105"/>
      <c r="K103" s="105"/>
      <c r="L103" s="105"/>
      <c r="M103" s="105"/>
      <c r="N103" s="105"/>
      <c r="O103" s="105"/>
    </row>
    <row r="104" spans="1:15" x14ac:dyDescent="0.3">
      <c r="A104"/>
      <c r="B104"/>
      <c r="C104" s="1"/>
      <c r="D104" s="1"/>
      <c r="E104" s="1"/>
      <c r="G104" s="105"/>
      <c r="H104" s="105"/>
      <c r="I104" s="105"/>
      <c r="J104" s="105"/>
      <c r="K104" s="105"/>
      <c r="L104" s="105"/>
      <c r="M104" s="105"/>
      <c r="N104" s="105"/>
      <c r="O104" s="105"/>
    </row>
    <row r="105" spans="1:15" x14ac:dyDescent="0.3">
      <c r="A105"/>
      <c r="B105"/>
      <c r="C105" s="1"/>
      <c r="D105" s="1"/>
      <c r="E105" s="1"/>
      <c r="G105" s="105"/>
      <c r="H105" s="105"/>
      <c r="I105" s="105"/>
      <c r="J105" s="105"/>
      <c r="K105" s="105"/>
      <c r="L105" s="105"/>
      <c r="M105" s="105"/>
      <c r="N105" s="105"/>
      <c r="O105" s="105"/>
    </row>
    <row r="106" spans="1:15" x14ac:dyDescent="0.3">
      <c r="A106"/>
      <c r="B106"/>
      <c r="C106" s="1"/>
      <c r="D106" s="1"/>
      <c r="E106" s="1"/>
      <c r="G106" s="105"/>
      <c r="H106" s="105"/>
      <c r="I106" s="105"/>
      <c r="J106" s="105"/>
      <c r="K106" s="105"/>
      <c r="L106" s="105"/>
      <c r="M106" s="105"/>
      <c r="N106" s="105"/>
      <c r="O106" s="105"/>
    </row>
    <row r="107" spans="1:15" x14ac:dyDescent="0.3">
      <c r="A107"/>
      <c r="B107"/>
      <c r="C107" s="1"/>
      <c r="D107" s="1"/>
      <c r="E107" s="1"/>
      <c r="G107" s="105"/>
      <c r="H107" s="105"/>
      <c r="I107" s="105"/>
      <c r="J107" s="105"/>
      <c r="K107" s="105"/>
      <c r="L107" s="105"/>
      <c r="M107" s="105"/>
      <c r="N107" s="105"/>
      <c r="O107" s="105"/>
    </row>
    <row r="108" spans="1:15" x14ac:dyDescent="0.3">
      <c r="A108"/>
      <c r="B108"/>
      <c r="C108" s="1"/>
      <c r="D108" s="1"/>
      <c r="E108" s="1"/>
      <c r="G108" s="105"/>
      <c r="H108" s="105"/>
      <c r="I108" s="105"/>
      <c r="J108" s="105"/>
      <c r="K108" s="105"/>
      <c r="L108" s="105"/>
      <c r="M108" s="105"/>
      <c r="N108" s="105"/>
      <c r="O108" s="105"/>
    </row>
    <row r="109" spans="1:15" x14ac:dyDescent="0.3">
      <c r="A109"/>
      <c r="B109"/>
      <c r="C109" s="1"/>
      <c r="D109" s="1"/>
      <c r="E109" s="1"/>
      <c r="G109" s="105"/>
      <c r="H109" s="105"/>
      <c r="I109" s="105"/>
      <c r="J109" s="105"/>
      <c r="K109" s="105"/>
      <c r="L109" s="105"/>
      <c r="M109" s="105"/>
      <c r="N109" s="105"/>
      <c r="O109" s="105"/>
    </row>
    <row r="110" spans="1:15" x14ac:dyDescent="0.3">
      <c r="A110"/>
      <c r="B110"/>
      <c r="C110" s="1"/>
      <c r="D110" s="1"/>
      <c r="E110" s="1"/>
      <c r="G110" s="105"/>
      <c r="H110" s="105"/>
      <c r="I110" s="105"/>
      <c r="J110" s="105"/>
      <c r="K110" s="105"/>
      <c r="L110" s="105"/>
      <c r="M110" s="105"/>
      <c r="N110" s="105"/>
      <c r="O110" s="105"/>
    </row>
    <row r="111" spans="1:15" x14ac:dyDescent="0.3">
      <c r="A111"/>
      <c r="B111"/>
      <c r="C111" s="1"/>
      <c r="D111" s="1"/>
      <c r="E111" s="1"/>
      <c r="G111" s="105"/>
      <c r="H111" s="105"/>
      <c r="I111" s="105"/>
      <c r="J111" s="105"/>
      <c r="K111" s="105"/>
      <c r="L111" s="105"/>
      <c r="M111" s="105"/>
      <c r="N111" s="105"/>
      <c r="O111" s="105"/>
    </row>
    <row r="112" spans="1:15" x14ac:dyDescent="0.3">
      <c r="A112"/>
      <c r="B112"/>
      <c r="C112" s="1"/>
      <c r="D112" s="1"/>
      <c r="E112" s="1"/>
      <c r="G112" s="105"/>
      <c r="H112" s="105"/>
      <c r="I112" s="105"/>
      <c r="J112" s="105"/>
      <c r="K112" s="105"/>
      <c r="L112" s="105"/>
      <c r="M112" s="105"/>
      <c r="N112" s="105"/>
      <c r="O112" s="105"/>
    </row>
    <row r="113" spans="1:15" x14ac:dyDescent="0.3">
      <c r="A113"/>
      <c r="B113"/>
      <c r="C113" s="1"/>
      <c r="D113" s="1"/>
      <c r="E113" s="1"/>
      <c r="G113" s="105"/>
      <c r="H113" s="105"/>
      <c r="I113" s="105"/>
      <c r="J113" s="105"/>
      <c r="K113" s="105"/>
      <c r="L113" s="105"/>
      <c r="M113" s="105"/>
      <c r="N113" s="105"/>
      <c r="O113" s="105"/>
    </row>
    <row r="114" spans="1:15" x14ac:dyDescent="0.3">
      <c r="A114"/>
      <c r="B114"/>
      <c r="C114" s="1"/>
      <c r="D114" s="1"/>
      <c r="E114" s="1"/>
      <c r="G114" s="105"/>
      <c r="H114" s="105"/>
      <c r="I114" s="105"/>
      <c r="J114" s="105"/>
      <c r="K114" s="105"/>
      <c r="L114" s="105"/>
      <c r="M114" s="105"/>
      <c r="N114" s="105"/>
      <c r="O114" s="105"/>
    </row>
    <row r="115" spans="1:15" x14ac:dyDescent="0.3">
      <c r="A115"/>
      <c r="B115"/>
      <c r="C115" s="1"/>
      <c r="D115" s="1"/>
      <c r="E115" s="1"/>
      <c r="G115" s="105"/>
      <c r="H115" s="105"/>
      <c r="I115" s="105"/>
      <c r="J115" s="105"/>
      <c r="K115" s="105"/>
      <c r="L115" s="105"/>
      <c r="M115" s="105"/>
      <c r="N115" s="105"/>
      <c r="O115" s="105"/>
    </row>
    <row r="116" spans="1:15" x14ac:dyDescent="0.3">
      <c r="A116"/>
      <c r="B116"/>
      <c r="C116" s="1"/>
      <c r="D116" s="1"/>
      <c r="E116" s="1"/>
      <c r="G116" s="105"/>
      <c r="H116" s="105"/>
      <c r="I116" s="105"/>
      <c r="J116" s="105"/>
      <c r="K116" s="105"/>
      <c r="L116" s="105"/>
      <c r="M116" s="105"/>
      <c r="N116" s="105"/>
      <c r="O116" s="105"/>
    </row>
    <row r="117" spans="1:15" x14ac:dyDescent="0.3">
      <c r="A117"/>
      <c r="B117"/>
      <c r="C117" s="1"/>
      <c r="D117" s="1"/>
      <c r="E117" s="1"/>
      <c r="G117" s="105"/>
      <c r="H117" s="105"/>
      <c r="I117" s="105"/>
      <c r="J117" s="105"/>
      <c r="K117" s="105"/>
      <c r="L117" s="105"/>
      <c r="M117" s="105"/>
      <c r="N117" s="105"/>
      <c r="O117" s="105"/>
    </row>
    <row r="118" spans="1:15" x14ac:dyDescent="0.3">
      <c r="A118"/>
      <c r="B118"/>
      <c r="C118" s="1"/>
      <c r="D118" s="1"/>
      <c r="E118" s="1"/>
      <c r="G118" s="105"/>
      <c r="H118" s="105"/>
      <c r="I118" s="105"/>
      <c r="J118" s="105"/>
      <c r="K118" s="105"/>
      <c r="L118" s="105"/>
      <c r="M118" s="105"/>
      <c r="N118" s="105"/>
      <c r="O118" s="105"/>
    </row>
    <row r="119" spans="1:15" x14ac:dyDescent="0.3">
      <c r="A119"/>
      <c r="B119"/>
      <c r="C119" s="1"/>
      <c r="D119" s="1"/>
      <c r="E119" s="1"/>
      <c r="G119" s="105"/>
      <c r="H119" s="105"/>
      <c r="I119" s="105"/>
      <c r="J119" s="105"/>
      <c r="K119" s="105"/>
      <c r="L119" s="105"/>
      <c r="M119" s="105"/>
      <c r="N119" s="105"/>
      <c r="O119" s="105"/>
    </row>
    <row r="120" spans="1:15" x14ac:dyDescent="0.3">
      <c r="A120"/>
      <c r="B120"/>
      <c r="C120" s="1"/>
      <c r="D120" s="1"/>
      <c r="E120" s="1"/>
      <c r="G120" s="105"/>
      <c r="H120" s="105"/>
      <c r="I120" s="105"/>
      <c r="J120" s="105"/>
      <c r="K120" s="105"/>
      <c r="L120" s="105"/>
      <c r="M120" s="105"/>
      <c r="N120" s="105"/>
      <c r="O120" s="105"/>
    </row>
    <row r="121" spans="1:15" x14ac:dyDescent="0.3">
      <c r="A121"/>
      <c r="B121"/>
      <c r="C121" s="1"/>
      <c r="D121" s="1"/>
      <c r="E121" s="1"/>
      <c r="G121" s="105"/>
      <c r="H121" s="105"/>
      <c r="I121" s="105"/>
      <c r="J121" s="105"/>
      <c r="K121" s="105"/>
      <c r="L121" s="105"/>
      <c r="M121" s="105"/>
      <c r="N121" s="105"/>
      <c r="O121" s="105"/>
    </row>
    <row r="122" spans="1:15" x14ac:dyDescent="0.3">
      <c r="A122"/>
      <c r="B122"/>
      <c r="C122" s="1"/>
      <c r="D122" s="1"/>
      <c r="E122" s="1"/>
      <c r="G122" s="105"/>
      <c r="H122" s="105"/>
      <c r="I122" s="105"/>
      <c r="J122" s="105"/>
      <c r="K122" s="105"/>
      <c r="L122" s="105"/>
      <c r="M122" s="105"/>
      <c r="N122" s="105"/>
      <c r="O122" s="105"/>
    </row>
    <row r="123" spans="1:15" x14ac:dyDescent="0.3">
      <c r="A123"/>
      <c r="B123"/>
      <c r="C123" s="1"/>
      <c r="D123" s="1"/>
      <c r="E123" s="1"/>
      <c r="G123" s="105"/>
      <c r="H123" s="105"/>
      <c r="I123" s="105"/>
      <c r="J123" s="105"/>
      <c r="K123" s="105"/>
      <c r="L123" s="105"/>
      <c r="M123" s="105"/>
      <c r="N123" s="105"/>
      <c r="O123" s="105"/>
    </row>
    <row r="124" spans="1:15" x14ac:dyDescent="0.3">
      <c r="A124"/>
      <c r="B124"/>
      <c r="C124" s="1"/>
      <c r="D124" s="1"/>
      <c r="E124" s="1"/>
      <c r="G124" s="105"/>
      <c r="H124" s="105"/>
      <c r="I124" s="105"/>
      <c r="J124" s="105"/>
      <c r="K124" s="105"/>
      <c r="L124" s="105"/>
      <c r="M124" s="105"/>
      <c r="N124" s="105"/>
      <c r="O124" s="105"/>
    </row>
    <row r="125" spans="1:15" x14ac:dyDescent="0.3">
      <c r="A125"/>
      <c r="B125"/>
      <c r="C125" s="1"/>
      <c r="D125" s="1"/>
      <c r="E125" s="1"/>
      <c r="G125" s="105"/>
      <c r="H125" s="105"/>
      <c r="I125" s="105"/>
      <c r="J125" s="105"/>
      <c r="K125" s="105"/>
      <c r="L125" s="105"/>
      <c r="M125" s="105"/>
      <c r="N125" s="105"/>
      <c r="O125" s="105"/>
    </row>
    <row r="126" spans="1:15" x14ac:dyDescent="0.3">
      <c r="A126"/>
      <c r="B126"/>
      <c r="C126" s="1"/>
      <c r="D126" s="1"/>
      <c r="E126" s="1"/>
      <c r="G126" s="105"/>
      <c r="H126" s="105"/>
      <c r="I126" s="105"/>
      <c r="J126" s="105"/>
      <c r="K126" s="105"/>
      <c r="L126" s="105"/>
      <c r="M126" s="105"/>
      <c r="N126" s="105"/>
      <c r="O126" s="105"/>
    </row>
    <row r="127" spans="1:15" x14ac:dyDescent="0.3">
      <c r="A127"/>
      <c r="B127"/>
      <c r="C127" s="1"/>
      <c r="D127" s="1"/>
      <c r="E127" s="1"/>
      <c r="G127" s="105"/>
      <c r="H127" s="105"/>
      <c r="I127" s="105"/>
      <c r="J127" s="105"/>
      <c r="K127" s="105"/>
      <c r="L127" s="105"/>
      <c r="M127" s="105"/>
      <c r="N127" s="105"/>
      <c r="O127" s="105"/>
    </row>
    <row r="128" spans="1:15" x14ac:dyDescent="0.3">
      <c r="A128"/>
      <c r="B128"/>
      <c r="C128" s="1"/>
      <c r="D128" s="1"/>
      <c r="E128" s="1"/>
      <c r="G128" s="105"/>
      <c r="H128" s="105"/>
      <c r="I128" s="105"/>
      <c r="J128" s="105"/>
      <c r="K128" s="105"/>
      <c r="L128" s="105"/>
      <c r="M128" s="105"/>
      <c r="N128" s="105"/>
      <c r="O128" s="105"/>
    </row>
    <row r="129" spans="1:15" x14ac:dyDescent="0.3">
      <c r="A129"/>
      <c r="B129"/>
      <c r="C129" s="1"/>
      <c r="D129" s="1"/>
      <c r="E129" s="1"/>
      <c r="G129" s="105"/>
      <c r="H129" s="105"/>
      <c r="I129" s="105"/>
      <c r="J129" s="105"/>
      <c r="K129" s="105"/>
      <c r="L129" s="105"/>
      <c r="M129" s="105"/>
      <c r="N129" s="105"/>
      <c r="O129" s="105"/>
    </row>
    <row r="130" spans="1:15" x14ac:dyDescent="0.3">
      <c r="A130"/>
      <c r="B130"/>
      <c r="C130" s="1"/>
      <c r="D130" s="1"/>
      <c r="E130" s="1"/>
      <c r="G130" s="105"/>
      <c r="H130" s="105"/>
      <c r="I130" s="105"/>
      <c r="J130" s="105"/>
      <c r="K130" s="105"/>
      <c r="L130" s="105"/>
      <c r="M130" s="105"/>
      <c r="N130" s="105"/>
      <c r="O130" s="105"/>
    </row>
    <row r="131" spans="1:15" x14ac:dyDescent="0.3">
      <c r="A131"/>
      <c r="B131"/>
      <c r="C131" s="1"/>
      <c r="D131" s="1"/>
      <c r="E131" s="1"/>
      <c r="G131" s="105"/>
      <c r="H131" s="105"/>
      <c r="I131" s="105"/>
      <c r="J131" s="105"/>
      <c r="K131" s="105"/>
      <c r="L131" s="105"/>
      <c r="M131" s="105"/>
      <c r="N131" s="105"/>
      <c r="O131" s="105"/>
    </row>
    <row r="132" spans="1:15" x14ac:dyDescent="0.3">
      <c r="A132"/>
      <c r="B132"/>
      <c r="C132" s="1"/>
      <c r="D132" s="1"/>
      <c r="E132" s="1"/>
      <c r="G132" s="105"/>
      <c r="H132" s="105"/>
      <c r="I132" s="105"/>
      <c r="J132" s="105"/>
      <c r="K132" s="105"/>
      <c r="L132" s="105"/>
      <c r="M132" s="105"/>
      <c r="N132" s="105"/>
      <c r="O132" s="105"/>
    </row>
    <row r="133" spans="1:15" x14ac:dyDescent="0.3">
      <c r="A133"/>
      <c r="B133"/>
      <c r="C133" s="1"/>
      <c r="D133" s="1"/>
      <c r="E133" s="1"/>
      <c r="G133" s="105"/>
      <c r="H133" s="105"/>
      <c r="I133" s="105"/>
      <c r="J133" s="105"/>
      <c r="K133" s="105"/>
      <c r="L133" s="105"/>
      <c r="M133" s="105"/>
      <c r="N133" s="105"/>
      <c r="O133" s="105"/>
    </row>
    <row r="134" spans="1:15" x14ac:dyDescent="0.3">
      <c r="A134"/>
      <c r="B134"/>
      <c r="C134" s="1"/>
      <c r="D134" s="1"/>
      <c r="E134" s="1"/>
      <c r="G134" s="105"/>
      <c r="H134" s="105"/>
      <c r="I134" s="105"/>
      <c r="J134" s="105"/>
      <c r="K134" s="105"/>
      <c r="L134" s="105"/>
      <c r="M134" s="105"/>
      <c r="N134" s="105"/>
      <c r="O134" s="105"/>
    </row>
    <row r="135" spans="1:15" x14ac:dyDescent="0.3">
      <c r="A135"/>
      <c r="B135"/>
      <c r="C135" s="1"/>
      <c r="D135" s="1"/>
      <c r="E135" s="1"/>
      <c r="G135" s="105"/>
      <c r="H135" s="105"/>
      <c r="I135" s="105"/>
      <c r="J135" s="105"/>
      <c r="K135" s="105"/>
      <c r="L135" s="105"/>
      <c r="M135" s="105"/>
      <c r="N135" s="105"/>
      <c r="O135" s="105"/>
    </row>
    <row r="136" spans="1:15" x14ac:dyDescent="0.3">
      <c r="A136"/>
      <c r="B136"/>
      <c r="C136" s="1"/>
      <c r="D136" s="1"/>
      <c r="E136" s="1"/>
      <c r="G136" s="105"/>
      <c r="H136" s="105"/>
      <c r="I136" s="105"/>
      <c r="J136" s="105"/>
      <c r="K136" s="105"/>
      <c r="L136" s="105"/>
      <c r="M136" s="105"/>
      <c r="N136" s="105"/>
      <c r="O136" s="105"/>
    </row>
    <row r="137" spans="1:15" x14ac:dyDescent="0.3">
      <c r="A137"/>
      <c r="B137"/>
      <c r="C137" s="1"/>
      <c r="D137" s="1"/>
      <c r="E137" s="1"/>
      <c r="G137" s="105"/>
      <c r="H137" s="105"/>
      <c r="I137" s="105"/>
      <c r="J137" s="105"/>
      <c r="K137" s="105"/>
      <c r="L137" s="105"/>
      <c r="M137" s="105"/>
      <c r="N137" s="105"/>
      <c r="O137" s="105"/>
    </row>
    <row r="138" spans="1:15" x14ac:dyDescent="0.3">
      <c r="A138"/>
      <c r="B138"/>
      <c r="C138" s="1"/>
      <c r="D138" s="1"/>
      <c r="E138" s="1"/>
      <c r="G138" s="105"/>
      <c r="H138" s="105"/>
      <c r="I138" s="105"/>
      <c r="J138" s="105"/>
      <c r="K138" s="105"/>
      <c r="L138" s="105"/>
      <c r="M138" s="105"/>
      <c r="N138" s="105"/>
      <c r="O138" s="105"/>
    </row>
    <row r="139" spans="1:15" x14ac:dyDescent="0.3">
      <c r="A139"/>
      <c r="B139"/>
      <c r="C139" s="1"/>
      <c r="D139" s="1"/>
      <c r="E139" s="1"/>
      <c r="G139" s="105"/>
      <c r="H139" s="105"/>
      <c r="I139" s="105"/>
      <c r="J139" s="105"/>
      <c r="K139" s="105"/>
      <c r="L139" s="105"/>
      <c r="M139" s="105"/>
      <c r="N139" s="105"/>
      <c r="O139" s="105"/>
    </row>
    <row r="140" spans="1:15" x14ac:dyDescent="0.3">
      <c r="A140"/>
      <c r="B140"/>
      <c r="C140" s="1"/>
      <c r="D140" s="1"/>
      <c r="E140" s="1"/>
      <c r="G140" s="105"/>
      <c r="H140" s="105"/>
      <c r="I140" s="105"/>
      <c r="J140" s="105"/>
      <c r="K140" s="105"/>
      <c r="L140" s="105"/>
      <c r="M140" s="105"/>
      <c r="N140" s="105"/>
      <c r="O140" s="105"/>
    </row>
    <row r="141" spans="1:15" x14ac:dyDescent="0.3">
      <c r="A141"/>
      <c r="B141"/>
      <c r="C141" s="1"/>
      <c r="D141" s="1"/>
      <c r="E141" s="1"/>
      <c r="G141" s="105"/>
      <c r="H141" s="105"/>
      <c r="I141" s="105"/>
      <c r="J141" s="105"/>
      <c r="K141" s="105"/>
      <c r="L141" s="105"/>
      <c r="M141" s="105"/>
      <c r="N141" s="105"/>
      <c r="O141" s="105"/>
    </row>
    <row r="142" spans="1:15" x14ac:dyDescent="0.3">
      <c r="A142"/>
      <c r="B142"/>
      <c r="C142" s="1"/>
      <c r="D142" s="1"/>
      <c r="E142" s="1"/>
      <c r="G142" s="105"/>
      <c r="H142" s="105"/>
      <c r="I142" s="105"/>
      <c r="J142" s="105"/>
      <c r="K142" s="105"/>
      <c r="L142" s="105"/>
      <c r="M142" s="105"/>
      <c r="N142" s="105"/>
      <c r="O142" s="105"/>
    </row>
    <row r="143" spans="1:15" x14ac:dyDescent="0.3">
      <c r="A143"/>
      <c r="B143"/>
      <c r="C143" s="1"/>
      <c r="D143" s="1"/>
      <c r="E143" s="1"/>
      <c r="G143" s="105"/>
      <c r="H143" s="105"/>
      <c r="I143" s="105"/>
      <c r="J143" s="105"/>
      <c r="K143" s="105"/>
      <c r="L143" s="105"/>
      <c r="M143" s="105"/>
      <c r="N143" s="105"/>
      <c r="O143" s="105"/>
    </row>
    <row r="144" spans="1:15" x14ac:dyDescent="0.3">
      <c r="A144"/>
      <c r="B144"/>
      <c r="C144" s="1"/>
      <c r="D144" s="1"/>
      <c r="E144" s="1"/>
      <c r="G144" s="105"/>
      <c r="H144" s="105"/>
      <c r="I144" s="105"/>
      <c r="J144" s="105"/>
      <c r="K144" s="105"/>
      <c r="L144" s="105"/>
      <c r="M144" s="105"/>
      <c r="N144" s="105"/>
      <c r="O144" s="105"/>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5 week summary</vt:lpstr>
      <vt:lpstr>May'25 week wise plan</vt:lpstr>
      <vt:lpstr>Sheet1</vt:lpstr>
      <vt:lpstr>5 week format May'25</vt:lpstr>
      <vt:lpstr>order load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Debasish Dutta</dc:creator>
  <cp:keywords/>
  <dc:description/>
  <cp:lastModifiedBy>Uday Singh</cp:lastModifiedBy>
  <cp:revision/>
  <dcterms:created xsi:type="dcterms:W3CDTF">2022-10-06T03:49:22Z</dcterms:created>
  <dcterms:modified xsi:type="dcterms:W3CDTF">2026-07-22T10:52:17Z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50afb6-ab6e-4e8b-96b5-6e00ab52e29e_Enabled">
    <vt:lpwstr>true</vt:lpwstr>
  </property>
  <property fmtid="{D5CDD505-2E9C-101B-9397-08002B2CF9AE}" pid="3" name="MSIP_Label_2f50afb6-ab6e-4e8b-96b5-6e00ab52e29e_SetDate">
    <vt:lpwstr>2024-12-26T13:35:09Z</vt:lpwstr>
  </property>
  <property fmtid="{D5CDD505-2E9C-101B-9397-08002B2CF9AE}" pid="4" name="MSIP_Label_2f50afb6-ab6e-4e8b-96b5-6e00ab52e29e_Method">
    <vt:lpwstr>Standard</vt:lpwstr>
  </property>
  <property fmtid="{D5CDD505-2E9C-101B-9397-08002B2CF9AE}" pid="5" name="MSIP_Label_2f50afb6-ab6e-4e8b-96b5-6e00ab52e29e_Name">
    <vt:lpwstr>2f50afb6-ab6e-4e8b-96b5-6e00ab52e29e</vt:lpwstr>
  </property>
  <property fmtid="{D5CDD505-2E9C-101B-9397-08002B2CF9AE}" pid="6" name="MSIP_Label_2f50afb6-ab6e-4e8b-96b5-6e00ab52e29e_SiteId">
    <vt:lpwstr>f35425af-4755-4e0c-b1bb-b3cb9f1c6afd</vt:lpwstr>
  </property>
  <property fmtid="{D5CDD505-2E9C-101B-9397-08002B2CF9AE}" pid="7" name="MSIP_Label_2f50afb6-ab6e-4e8b-96b5-6e00ab52e29e_ActionId">
    <vt:lpwstr>8e0897f1-8764-4c8d-b1b3-3167e958ea68</vt:lpwstr>
  </property>
  <property fmtid="{D5CDD505-2E9C-101B-9397-08002B2CF9AE}" pid="8" name="MSIP_Label_2f50afb6-ab6e-4e8b-96b5-6e00ab52e29e_ContentBits">
    <vt:lpwstr>0</vt:lpwstr>
  </property>
</Properties>
</file>